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3675" windowWidth="29040" windowHeight="15720" tabRatio="500" firstSheet="1" activeTab="4" autoFilterDateGrouping="1"/>
  </bookViews>
  <sheets>
    <sheet name="01_Predicciones" sheetId="1" state="visible" r:id="rId1"/>
    <sheet name="02_Plan_Operativo" sheetId="2" state="visible" r:id="rId2"/>
    <sheet name="03_Metricas_Desarrollo" sheetId="3" state="visible" r:id="rId3"/>
    <sheet name="04_Descripcion_Solucion" sheetId="4" state="visible" r:id="rId4"/>
    <sheet name="05_M6_Fondos" sheetId="5" state="visible" r:id="rId5"/>
    <sheet name="06_Diccionario_Campos" sheetId="6" state="visible" r:id="rId6"/>
  </sheets>
  <definedNames>
    <definedName name="_xlnm._FilterDatabase" localSheetId="0" hidden="1">'01_Predicciones'!$A$2:$I$13</definedName>
    <definedName name="_xlnm._FilterDatabase" localSheetId="1" hidden="1">'02_Plan_Operativo'!$A$2:$P$16</definedName>
    <definedName name="_xlnm._FilterDatabase" localSheetId="2" hidden="1">'03_Metricas_Desarrollo'!$A$2:$L$20</definedName>
    <definedName name="_xlnm._FilterDatabase" localSheetId="3" hidden="1">'04_Descripcion_Solucion'!$A$2:$M$10</definedName>
    <definedName name="_xlnm._FilterDatabase" localSheetId="4" hidden="1">'05_M6_Fondos'!$A$2:$AE$13</definedName>
    <definedName name="_xlnm._FilterDatabase" localSheetId="5" hidden="1">'06_Diccionario_Campos'!$A$2:$F$21</definedName>
  </definedNames>
  <calcPr calcId="191028" fullCalcOnLoad="1"/>
</workbook>
</file>

<file path=xl/styles.xml><?xml version="1.0" encoding="utf-8"?>
<styleSheet xmlns="http://schemas.openxmlformats.org/spreadsheetml/2006/main">
  <numFmts count="3">
    <numFmt numFmtId="164" formatCode="dd/mm/yyyy"/>
    <numFmt numFmtId="165" formatCode="0.0%"/>
    <numFmt numFmtId="166" formatCode="yyyy-mm-dd"/>
  </numFmts>
  <fonts count="5">
    <font>
      <name val="Calibri"/>
      <charset val="1"/>
      <family val="2"/>
      <color theme="1"/>
      <sz val="11"/>
    </font>
    <font>
      <name val="Arial"/>
      <b val="1"/>
      <color rgb="FF2C2A29"/>
      <sz val="14"/>
    </font>
    <font>
      <name val="Arial"/>
      <color rgb="FF2C2A29"/>
      <sz val="10"/>
    </font>
    <font>
      <name val="Arial"/>
      <b val="1"/>
      <color rgb="FFFFFFFF"/>
      <sz val="10"/>
    </font>
    <font>
      <name val="Arial"/>
      <family val="2"/>
      <b val="1"/>
      <color theme="0"/>
      <sz val="10"/>
    </font>
  </fonts>
  <fills count="6">
    <fill>
      <patternFill/>
    </fill>
    <fill>
      <patternFill patternType="gray125"/>
    </fill>
    <fill>
      <patternFill patternType="solid">
        <fgColor rgb="FFFDDA24"/>
        <bgColor indexed="64"/>
      </patternFill>
    </fill>
    <fill>
      <patternFill patternType="solid">
        <fgColor rgb="FFFFFFFF"/>
        <bgColor indexed="64"/>
      </patternFill>
    </fill>
    <fill>
      <patternFill patternType="solid">
        <fgColor rgb="FF2C2A29"/>
        <bgColor indexed="64"/>
      </patternFill>
    </fill>
    <fill>
      <patternFill patternType="solid">
        <fgColor rgb="FFF5F4F2"/>
        <bgColor indexed="64"/>
      </patternFill>
    </fill>
  </fills>
  <borders count="4">
    <border>
      <left/>
      <right/>
      <top/>
      <bottom/>
      <diagonal/>
    </border>
    <border>
      <left/>
      <right/>
      <top style="thin">
        <color rgb="FFABA59D"/>
      </top>
      <bottom/>
      <diagonal/>
    </border>
    <border>
      <left/>
      <right/>
      <top style="thick">
        <color rgb="FFFDDA24"/>
      </top>
      <bottom style="thin">
        <color rgb="FFD9D6D2"/>
      </bottom>
      <diagonal/>
    </border>
    <border>
      <left/>
      <right/>
      <top style="thin">
        <color rgb="FFD9D6D2"/>
      </top>
      <bottom style="thin">
        <color rgb="FFD9D6D2"/>
      </bottom>
      <diagonal/>
    </border>
  </borders>
  <cellStyleXfs count="1">
    <xf numFmtId="0" fontId="0" fillId="0" borderId="0"/>
  </cellStyleXfs>
  <cellXfs count="28">
    <xf numFmtId="0" fontId="0" fillId="0" borderId="0" pivotButton="0" quotePrefix="0" xfId="0"/>
    <xf numFmtId="0" fontId="3" fillId="4" borderId="1" applyAlignment="1" pivotButton="0" quotePrefix="0" xfId="0">
      <alignment horizontal="center" vertical="center" wrapText="1"/>
    </xf>
    <xf numFmtId="0" fontId="2" fillId="3" borderId="2" applyAlignment="1" pivotButton="0" quotePrefix="0" xfId="0">
      <alignment vertical="top" wrapText="1"/>
    </xf>
    <xf numFmtId="0" fontId="2" fillId="5" borderId="3" applyAlignment="1" pivotButton="0" quotePrefix="0" xfId="0">
      <alignment vertical="top" wrapText="1"/>
    </xf>
    <xf numFmtId="0" fontId="2" fillId="3" borderId="3" applyAlignment="1" pivotButton="0" quotePrefix="0" xfId="0">
      <alignment vertical="top" wrapText="1"/>
    </xf>
    <xf numFmtId="1" fontId="2" fillId="3" borderId="2" applyAlignment="1" pivotButton="0" quotePrefix="0" xfId="0">
      <alignment vertical="top" wrapText="1"/>
    </xf>
    <xf numFmtId="1" fontId="2" fillId="5" borderId="3" applyAlignment="1" pivotButton="0" quotePrefix="0" xfId="0">
      <alignment vertical="top" wrapText="1"/>
    </xf>
    <xf numFmtId="164" fontId="2" fillId="3" borderId="2" applyAlignment="1" pivotButton="0" quotePrefix="0" xfId="0">
      <alignment vertical="top" wrapText="1"/>
    </xf>
    <xf numFmtId="37" fontId="2" fillId="3" borderId="2" applyAlignment="1" pivotButton="0" quotePrefix="0" xfId="0">
      <alignment vertical="top" wrapText="1"/>
    </xf>
    <xf numFmtId="164" fontId="2" fillId="5" borderId="3" applyAlignment="1" pivotButton="0" quotePrefix="0" xfId="0">
      <alignment vertical="top" wrapText="1"/>
    </xf>
    <xf numFmtId="37" fontId="2" fillId="5" borderId="3" applyAlignment="1" pivotButton="0" quotePrefix="0" xfId="0">
      <alignment vertical="top" wrapText="1"/>
    </xf>
    <xf numFmtId="164" fontId="2" fillId="3" borderId="3" applyAlignment="1" pivotButton="0" quotePrefix="0" xfId="0">
      <alignment vertical="top" wrapText="1"/>
    </xf>
    <xf numFmtId="37" fontId="2" fillId="3" borderId="3" applyAlignment="1" pivotButton="0" quotePrefix="0" xfId="0">
      <alignment vertical="top" wrapText="1"/>
    </xf>
    <xf numFmtId="165" fontId="2" fillId="3" borderId="2" applyAlignment="1" pivotButton="0" quotePrefix="0" xfId="0">
      <alignment vertical="top" wrapText="1"/>
    </xf>
    <xf numFmtId="3" fontId="2" fillId="3" borderId="2" applyAlignment="1" pivotButton="0" quotePrefix="0" xfId="0">
      <alignment vertical="top" wrapText="1"/>
    </xf>
    <xf numFmtId="165" fontId="2" fillId="5" borderId="3" applyAlignment="1" pivotButton="0" quotePrefix="0" xfId="0">
      <alignment vertical="top" wrapText="1"/>
    </xf>
    <xf numFmtId="3" fontId="2" fillId="5" borderId="3" applyAlignment="1" pivotButton="0" quotePrefix="0" xfId="0">
      <alignment vertical="top" wrapText="1"/>
    </xf>
    <xf numFmtId="165" fontId="2" fillId="3" borderId="3" applyAlignment="1" pivotButton="0" quotePrefix="0" xfId="0">
      <alignment vertical="top" wrapText="1"/>
    </xf>
    <xf numFmtId="3" fontId="2" fillId="3" borderId="3" applyAlignment="1" pivotButton="0" quotePrefix="0" xfId="0">
      <alignment vertical="top" wrapText="1"/>
    </xf>
    <xf numFmtId="49" fontId="2" fillId="5" borderId="3" applyAlignment="1" pivotButton="0" quotePrefix="0" xfId="0">
      <alignment vertical="top" wrapText="1"/>
    </xf>
    <xf numFmtId="0" fontId="4" fillId="4" borderId="1" applyAlignment="1" pivotButton="0" quotePrefix="0" xfId="0">
      <alignment horizontal="center" vertical="center" wrapText="1"/>
    </xf>
    <xf numFmtId="0" fontId="1" fillId="2" borderId="0" applyAlignment="1" pivotButton="0" quotePrefix="0" xfId="0">
      <alignment horizontal="left" vertical="center" indent="1"/>
    </xf>
    <xf numFmtId="0" fontId="1" fillId="2" borderId="0" applyAlignment="1" pivotButton="0" quotePrefix="0" xfId="0">
      <alignment horizontal="center" vertical="center"/>
    </xf>
    <xf numFmtId="164" fontId="0" fillId="0" borderId="0" pivotButton="0" quotePrefix="0" xfId="0"/>
    <xf numFmtId="1" fontId="0" fillId="0" borderId="0" pivotButton="0" quotePrefix="0" xfId="0"/>
    <xf numFmtId="3" fontId="0" fillId="0" borderId="0" pivotButton="0" quotePrefix="0" xfId="0"/>
    <xf numFmtId="37" fontId="0" fillId="0" borderId="0" pivotButton="0" quotePrefix="0" xfId="0"/>
    <xf numFmtId="165"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9FB"/>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FDDA24"/>
    <outlinePr summaryBelow="1" summaryRight="1"/>
    <pageSetUpPr fitToPage="1"/>
  </sheetPr>
  <dimension ref="A1:I9692"/>
  <sheetViews>
    <sheetView showGridLines="0" zoomScaleNormal="100" workbookViewId="0">
      <pane ySplit="2" topLeftCell="A3" activePane="bottomLeft" state="frozen"/>
      <selection pane="bottomLeft" activeCell="F2" sqref="F1:F1048576"/>
    </sheetView>
  </sheetViews>
  <sheetFormatPr baseColWidth="10" defaultColWidth="8.7265625" defaultRowHeight="15" customHeight="1"/>
  <cols>
    <col width="17" customWidth="1" min="1" max="1"/>
    <col width="9" customWidth="1" min="2" max="2"/>
    <col width="11" customWidth="1" min="3" max="3"/>
    <col width="27" customWidth="1" min="4" max="5"/>
    <col width="14" customWidth="1" min="6" max="6"/>
    <col width="12" customWidth="1" min="7" max="7"/>
    <col width="21" customWidth="1" min="8" max="8"/>
    <col width="16" customWidth="1" min="9" max="9"/>
  </cols>
  <sheetData>
    <row r="1" ht="26" customHeight="1">
      <c r="A1" s="21" t="inlineStr">
        <is>
          <t>Hoja 01 – Predicciones</t>
        </is>
      </c>
    </row>
    <row r="2" ht="39.75" customHeight="1" thickBot="1">
      <c r="A2" s="1" t="inlineStr">
        <is>
          <t>id_proveedor</t>
        </is>
      </c>
      <c r="B2" s="1" t="inlineStr">
        <is>
          <t>modelo</t>
        </is>
      </c>
      <c r="C2" s="1" t="inlineStr">
        <is>
          <t>ciudad</t>
        </is>
      </c>
      <c r="D2" s="1" t="inlineStr">
        <is>
          <t>id_entidad</t>
        </is>
      </c>
      <c r="E2" s="1" t="inlineStr">
        <is>
          <t>variable_objetivo</t>
        </is>
      </c>
      <c r="F2" s="1" t="inlineStr">
        <is>
          <t>fecha_objetivo</t>
        </is>
      </c>
      <c r="G2" s="1" t="inlineStr">
        <is>
          <t>horizonte_dias</t>
        </is>
      </c>
      <c r="H2" s="1" t="inlineStr">
        <is>
          <t>valor_pronosticado_cop</t>
        </is>
      </c>
      <c r="I2" s="1" t="inlineStr">
        <is>
          <t>nivel_agregacion</t>
        </is>
      </c>
    </row>
    <row r="3" ht="25.5" customHeight="1" thickTop="1">
      <c r="A3" t="inlineStr">
        <is>
          <t>PRAGMA</t>
        </is>
      </c>
      <c r="B3" t="inlineStr">
        <is>
          <t>M1</t>
        </is>
      </c>
      <c r="C3" t="inlineStr">
        <is>
          <t>Cali</t>
        </is>
      </c>
      <c r="D3" t="inlineStr">
        <is>
          <t>1049</t>
        </is>
      </c>
      <c r="E3" t="inlineStr">
        <is>
          <t>pagado</t>
        </is>
      </c>
      <c r="F3" s="23" t="n">
        <v>46266</v>
      </c>
      <c r="G3" s="24">
        <f>F3-DATE(2026,8,31)</f>
        <v>1</v>
      </c>
      <c r="H3" s="25" t="n">
        <v>170278423</v>
      </c>
      <c r="I3" t="inlineStr">
        <is>
          <t>entidad-dia</t>
        </is>
      </c>
    </row>
    <row r="4" ht="25.5" customHeight="1" thickBot="1">
      <c r="A4" t="inlineStr">
        <is>
          <t>PRAGMA</t>
        </is>
      </c>
      <c r="B4" t="inlineStr">
        <is>
          <t>M1</t>
        </is>
      </c>
      <c r="C4" t="inlineStr">
        <is>
          <t>Cali</t>
        </is>
      </c>
      <c r="D4" t="inlineStr">
        <is>
          <t>1049</t>
        </is>
      </c>
      <c r="E4" t="inlineStr">
        <is>
          <t>pagado</t>
        </is>
      </c>
      <c r="F4" s="23" t="n">
        <v>46267</v>
      </c>
      <c r="G4" s="24">
        <f>F4-DATE(2026,8,31)</f>
        <v>2</v>
      </c>
      <c r="H4" s="25" t="n">
        <v>146967704</v>
      </c>
      <c r="I4" t="inlineStr">
        <is>
          <t>entidad-dia</t>
        </is>
      </c>
    </row>
    <row r="5" ht="25.5" customHeight="1" thickTop="1">
      <c r="A5" t="inlineStr">
        <is>
          <t>PRAGMA</t>
        </is>
      </c>
      <c r="B5" t="inlineStr">
        <is>
          <t>M1</t>
        </is>
      </c>
      <c r="C5" t="inlineStr">
        <is>
          <t>Cali</t>
        </is>
      </c>
      <c r="D5" t="inlineStr">
        <is>
          <t>1049</t>
        </is>
      </c>
      <c r="E5" t="inlineStr">
        <is>
          <t>pagado</t>
        </is>
      </c>
      <c r="F5" s="23" t="n">
        <v>46268</v>
      </c>
      <c r="G5" s="24">
        <f>F5-DATE(2026,8,31)</f>
        <v>3</v>
      </c>
      <c r="H5" s="25" t="n">
        <v>146261423</v>
      </c>
      <c r="I5" t="inlineStr">
        <is>
          <t>entidad-dia</t>
        </is>
      </c>
    </row>
    <row r="6" ht="25.5" customHeight="1" thickBot="1">
      <c r="A6" t="inlineStr">
        <is>
          <t>PRAGMA</t>
        </is>
      </c>
      <c r="B6" t="inlineStr">
        <is>
          <t>M1</t>
        </is>
      </c>
      <c r="C6" t="inlineStr">
        <is>
          <t>Cali</t>
        </is>
      </c>
      <c r="D6" t="inlineStr">
        <is>
          <t>1049</t>
        </is>
      </c>
      <c r="E6" t="inlineStr">
        <is>
          <t>pagado</t>
        </is>
      </c>
      <c r="F6" s="23" t="n">
        <v>46269</v>
      </c>
      <c r="G6" s="24">
        <f>F6-DATE(2026,8,31)</f>
        <v>4</v>
      </c>
      <c r="H6" s="25" t="n">
        <v>143825986</v>
      </c>
      <c r="I6" t="inlineStr">
        <is>
          <t>entidad-dia</t>
        </is>
      </c>
    </row>
    <row r="7" ht="25.5" customHeight="1" thickTop="1">
      <c r="A7" t="inlineStr">
        <is>
          <t>PRAGMA</t>
        </is>
      </c>
      <c r="B7" t="inlineStr">
        <is>
          <t>M1</t>
        </is>
      </c>
      <c r="C7" t="inlineStr">
        <is>
          <t>Cali</t>
        </is>
      </c>
      <c r="D7" t="inlineStr">
        <is>
          <t>1049</t>
        </is>
      </c>
      <c r="E7" t="inlineStr">
        <is>
          <t>pagado</t>
        </is>
      </c>
      <c r="F7" s="23" t="n">
        <v>46270</v>
      </c>
      <c r="G7" s="24">
        <f>F7-DATE(2026,8,31)</f>
        <v>5</v>
      </c>
      <c r="H7" s="25" t="n">
        <v>142254795</v>
      </c>
      <c r="I7" t="inlineStr">
        <is>
          <t>entidad-dia</t>
        </is>
      </c>
    </row>
    <row r="8" ht="25.5" customHeight="1" thickBot="1">
      <c r="A8" t="inlineStr">
        <is>
          <t>PRAGMA</t>
        </is>
      </c>
      <c r="B8" t="inlineStr">
        <is>
          <t>M1</t>
        </is>
      </c>
      <c r="C8" t="inlineStr">
        <is>
          <t>Cali</t>
        </is>
      </c>
      <c r="D8" t="inlineStr">
        <is>
          <t>1049</t>
        </is>
      </c>
      <c r="E8" t="inlineStr">
        <is>
          <t>pagado</t>
        </is>
      </c>
      <c r="F8" s="23" t="n">
        <v>46271</v>
      </c>
      <c r="G8" s="24">
        <f>F8-DATE(2026,8,31)</f>
        <v>6</v>
      </c>
      <c r="H8" s="25" t="n">
        <v>80560061</v>
      </c>
      <c r="I8" t="inlineStr">
        <is>
          <t>entidad-dia</t>
        </is>
      </c>
    </row>
    <row r="9" ht="25.5" customHeight="1" thickTop="1">
      <c r="A9" t="inlineStr">
        <is>
          <t>PRAGMA</t>
        </is>
      </c>
      <c r="B9" t="inlineStr">
        <is>
          <t>M1</t>
        </is>
      </c>
      <c r="C9" t="inlineStr">
        <is>
          <t>Cali</t>
        </is>
      </c>
      <c r="D9" t="inlineStr">
        <is>
          <t>1049</t>
        </is>
      </c>
      <c r="E9" t="inlineStr">
        <is>
          <t>pagado</t>
        </is>
      </c>
      <c r="F9" s="23" t="n">
        <v>46272</v>
      </c>
      <c r="G9" s="24">
        <f>F9-DATE(2026,8,31)</f>
        <v>7</v>
      </c>
      <c r="H9" s="25" t="n">
        <v>113701398</v>
      </c>
      <c r="I9" t="inlineStr">
        <is>
          <t>entidad-dia</t>
        </is>
      </c>
    </row>
    <row r="10" ht="25.5" customHeight="1" thickBot="1">
      <c r="A10" t="inlineStr">
        <is>
          <t>PRAGMA</t>
        </is>
      </c>
      <c r="B10" t="inlineStr">
        <is>
          <t>M1</t>
        </is>
      </c>
      <c r="C10" t="inlineStr">
        <is>
          <t>Cali</t>
        </is>
      </c>
      <c r="D10" t="inlineStr">
        <is>
          <t>1049</t>
        </is>
      </c>
      <c r="E10" t="inlineStr">
        <is>
          <t>pagado</t>
        </is>
      </c>
      <c r="F10" s="23" t="n">
        <v>46273</v>
      </c>
      <c r="G10" s="24">
        <f>F10-DATE(2026,8,31)</f>
        <v>8</v>
      </c>
      <c r="H10" s="25" t="n">
        <v>110525603</v>
      </c>
      <c r="I10" t="inlineStr">
        <is>
          <t>entidad-dia</t>
        </is>
      </c>
    </row>
    <row r="11" ht="25.5" customHeight="1" thickTop="1">
      <c r="A11" t="inlineStr">
        <is>
          <t>PRAGMA</t>
        </is>
      </c>
      <c r="B11" t="inlineStr">
        <is>
          <t>M1</t>
        </is>
      </c>
      <c r="C11" t="inlineStr">
        <is>
          <t>Cali</t>
        </is>
      </c>
      <c r="D11" t="inlineStr">
        <is>
          <t>1049</t>
        </is>
      </c>
      <c r="E11" t="inlineStr">
        <is>
          <t>pagado</t>
        </is>
      </c>
      <c r="F11" s="23" t="n">
        <v>46274</v>
      </c>
      <c r="G11" s="24">
        <f>F11-DATE(2026,8,31)</f>
        <v>9</v>
      </c>
      <c r="H11" s="25" t="n">
        <v>105378618</v>
      </c>
      <c r="I11" t="inlineStr">
        <is>
          <t>entidad-dia</t>
        </is>
      </c>
    </row>
    <row r="12" ht="25.5" customHeight="1" thickBot="1">
      <c r="A12" t="inlineStr">
        <is>
          <t>PRAGMA</t>
        </is>
      </c>
      <c r="B12" t="inlineStr">
        <is>
          <t>M1</t>
        </is>
      </c>
      <c r="C12" t="inlineStr">
        <is>
          <t>Cali</t>
        </is>
      </c>
      <c r="D12" t="inlineStr">
        <is>
          <t>1049</t>
        </is>
      </c>
      <c r="E12" t="inlineStr">
        <is>
          <t>pagado</t>
        </is>
      </c>
      <c r="F12" s="23" t="n">
        <v>46275</v>
      </c>
      <c r="G12" s="24">
        <f>F12-DATE(2026,8,31)</f>
        <v>10</v>
      </c>
      <c r="H12" s="25" t="n">
        <v>103580276</v>
      </c>
      <c r="I12" t="inlineStr">
        <is>
          <t>entidad-dia</t>
        </is>
      </c>
    </row>
    <row r="13" ht="25.5" customHeight="1" thickTop="1">
      <c r="A13" t="inlineStr">
        <is>
          <t>PRAGMA</t>
        </is>
      </c>
      <c r="B13" t="inlineStr">
        <is>
          <t>M1</t>
        </is>
      </c>
      <c r="C13" t="inlineStr">
        <is>
          <t>Cali</t>
        </is>
      </c>
      <c r="D13" t="inlineStr">
        <is>
          <t>1049</t>
        </is>
      </c>
      <c r="E13" t="inlineStr">
        <is>
          <t>pagado</t>
        </is>
      </c>
      <c r="F13" s="23" t="n">
        <v>46276</v>
      </c>
      <c r="G13" s="24">
        <f>F13-DATE(2026,8,31)</f>
        <v>11</v>
      </c>
      <c r="H13" s="25" t="n">
        <v>112408504</v>
      </c>
      <c r="I13" t="inlineStr">
        <is>
          <t>entidad-dia</t>
        </is>
      </c>
    </row>
    <row r="14" ht="15" customHeight="1" thickBot="1">
      <c r="A14" t="inlineStr">
        <is>
          <t>PRAGMA</t>
        </is>
      </c>
      <c r="B14" t="inlineStr">
        <is>
          <t>M1</t>
        </is>
      </c>
      <c r="C14" t="inlineStr">
        <is>
          <t>Cali</t>
        </is>
      </c>
      <c r="D14" t="inlineStr">
        <is>
          <t>1049</t>
        </is>
      </c>
      <c r="E14" t="inlineStr">
        <is>
          <t>pagado</t>
        </is>
      </c>
      <c r="F14" s="23" t="n">
        <v>46277</v>
      </c>
      <c r="G14" s="24">
        <f>F14-DATE(2026,8,31)</f>
        <v>12</v>
      </c>
      <c r="H14" s="25" t="n">
        <v>117833352</v>
      </c>
      <c r="I14" t="inlineStr">
        <is>
          <t>entidad-dia</t>
        </is>
      </c>
    </row>
    <row r="15" ht="15" customHeight="1" thickTop="1">
      <c r="A15" t="inlineStr">
        <is>
          <t>PRAGMA</t>
        </is>
      </c>
      <c r="B15" t="inlineStr">
        <is>
          <t>M1</t>
        </is>
      </c>
      <c r="C15" t="inlineStr">
        <is>
          <t>Cali</t>
        </is>
      </c>
      <c r="D15" t="inlineStr">
        <is>
          <t>1049</t>
        </is>
      </c>
      <c r="E15" t="inlineStr">
        <is>
          <t>pagado</t>
        </is>
      </c>
      <c r="F15" s="23" t="n">
        <v>46278</v>
      </c>
      <c r="G15" s="24">
        <f>F15-DATE(2026,8,31)</f>
        <v>13</v>
      </c>
      <c r="H15" s="25" t="n">
        <v>71691191</v>
      </c>
      <c r="I15" t="inlineStr">
        <is>
          <t>entidad-dia</t>
        </is>
      </c>
    </row>
    <row r="16" ht="15" customHeight="1" thickBot="1">
      <c r="A16" t="inlineStr">
        <is>
          <t>PRAGMA</t>
        </is>
      </c>
      <c r="B16" t="inlineStr">
        <is>
          <t>M1</t>
        </is>
      </c>
      <c r="C16" t="inlineStr">
        <is>
          <t>Cali</t>
        </is>
      </c>
      <c r="D16" t="inlineStr">
        <is>
          <t>1049</t>
        </is>
      </c>
      <c r="E16" t="inlineStr">
        <is>
          <t>pagado</t>
        </is>
      </c>
      <c r="F16" s="23" t="n">
        <v>46279</v>
      </c>
      <c r="G16" s="24">
        <f>F16-DATE(2026,8,31)</f>
        <v>14</v>
      </c>
      <c r="H16" s="25" t="n">
        <v>114652822</v>
      </c>
      <c r="I16" t="inlineStr">
        <is>
          <t>entidad-dia</t>
        </is>
      </c>
    </row>
    <row r="17" ht="15" customHeight="1" thickTop="1">
      <c r="A17" t="inlineStr">
        <is>
          <t>PRAGMA</t>
        </is>
      </c>
      <c r="B17" t="inlineStr">
        <is>
          <t>M1</t>
        </is>
      </c>
      <c r="C17" t="inlineStr">
        <is>
          <t>Cali</t>
        </is>
      </c>
      <c r="D17" t="inlineStr">
        <is>
          <t>1049</t>
        </is>
      </c>
      <c r="E17" t="inlineStr">
        <is>
          <t>pagado</t>
        </is>
      </c>
      <c r="F17" s="23" t="n">
        <v>46280</v>
      </c>
      <c r="G17" s="24">
        <f>F17-DATE(2026,8,31)</f>
        <v>15</v>
      </c>
      <c r="H17" s="25" t="n">
        <v>124364088</v>
      </c>
      <c r="I17" t="inlineStr">
        <is>
          <t>entidad-dia</t>
        </is>
      </c>
    </row>
    <row r="18" ht="15" customHeight="1" thickBot="1">
      <c r="A18" t="inlineStr">
        <is>
          <t>PRAGMA</t>
        </is>
      </c>
      <c r="B18" t="inlineStr">
        <is>
          <t>M1</t>
        </is>
      </c>
      <c r="C18" t="inlineStr">
        <is>
          <t>Cali</t>
        </is>
      </c>
      <c r="D18" t="inlineStr">
        <is>
          <t>1050</t>
        </is>
      </c>
      <c r="E18" t="inlineStr">
        <is>
          <t>pagado</t>
        </is>
      </c>
      <c r="F18" s="23" t="n">
        <v>46266</v>
      </c>
      <c r="G18" s="24">
        <f>F18-DATE(2026,8,31)</f>
        <v>1</v>
      </c>
      <c r="H18" s="25" t="n">
        <v>0</v>
      </c>
      <c r="I18" t="inlineStr">
        <is>
          <t>entidad-dia</t>
        </is>
      </c>
    </row>
    <row r="19" ht="15" customHeight="1" thickTop="1">
      <c r="A19" t="inlineStr">
        <is>
          <t>PRAGMA</t>
        </is>
      </c>
      <c r="B19" t="inlineStr">
        <is>
          <t>M1</t>
        </is>
      </c>
      <c r="C19" t="inlineStr">
        <is>
          <t>Cali</t>
        </is>
      </c>
      <c r="D19" t="inlineStr">
        <is>
          <t>1050</t>
        </is>
      </c>
      <c r="E19" t="inlineStr">
        <is>
          <t>pagado</t>
        </is>
      </c>
      <c r="F19" s="23" t="n">
        <v>46267</v>
      </c>
      <c r="G19" s="24">
        <f>F19-DATE(2026,8,31)</f>
        <v>2</v>
      </c>
      <c r="H19" s="25" t="n">
        <v>0</v>
      </c>
      <c r="I19" t="inlineStr">
        <is>
          <t>entidad-dia</t>
        </is>
      </c>
    </row>
    <row r="20" ht="15" customHeight="1" thickBot="1">
      <c r="A20" t="inlineStr">
        <is>
          <t>PRAGMA</t>
        </is>
      </c>
      <c r="B20" t="inlineStr">
        <is>
          <t>M1</t>
        </is>
      </c>
      <c r="C20" t="inlineStr">
        <is>
          <t>Cali</t>
        </is>
      </c>
      <c r="D20" t="inlineStr">
        <is>
          <t>1050</t>
        </is>
      </c>
      <c r="E20" t="inlineStr">
        <is>
          <t>pagado</t>
        </is>
      </c>
      <c r="F20" s="23" t="n">
        <v>46268</v>
      </c>
      <c r="G20" s="24">
        <f>F20-DATE(2026,8,31)</f>
        <v>3</v>
      </c>
      <c r="H20" s="25" t="n">
        <v>0</v>
      </c>
      <c r="I20" t="inlineStr">
        <is>
          <t>entidad-dia</t>
        </is>
      </c>
    </row>
    <row r="21" ht="15" customHeight="1" thickTop="1">
      <c r="A21" t="inlineStr">
        <is>
          <t>PRAGMA</t>
        </is>
      </c>
      <c r="B21" t="inlineStr">
        <is>
          <t>M1</t>
        </is>
      </c>
      <c r="C21" t="inlineStr">
        <is>
          <t>Cali</t>
        </is>
      </c>
      <c r="D21" t="inlineStr">
        <is>
          <t>1050</t>
        </is>
      </c>
      <c r="E21" t="inlineStr">
        <is>
          <t>pagado</t>
        </is>
      </c>
      <c r="F21" s="23" t="n">
        <v>46269</v>
      </c>
      <c r="G21" s="24">
        <f>F21-DATE(2026,8,31)</f>
        <v>4</v>
      </c>
      <c r="H21" s="25" t="n">
        <v>0</v>
      </c>
      <c r="I21" t="inlineStr">
        <is>
          <t>entidad-dia</t>
        </is>
      </c>
    </row>
    <row r="22" ht="15" customHeight="1" thickBot="1">
      <c r="A22" t="inlineStr">
        <is>
          <t>PRAGMA</t>
        </is>
      </c>
      <c r="B22" t="inlineStr">
        <is>
          <t>M1</t>
        </is>
      </c>
      <c r="C22" t="inlineStr">
        <is>
          <t>Cali</t>
        </is>
      </c>
      <c r="D22" t="inlineStr">
        <is>
          <t>1050</t>
        </is>
      </c>
      <c r="E22" t="inlineStr">
        <is>
          <t>pagado</t>
        </is>
      </c>
      <c r="F22" s="23" t="n">
        <v>46270</v>
      </c>
      <c r="G22" s="24">
        <f>F22-DATE(2026,8,31)</f>
        <v>5</v>
      </c>
      <c r="H22" s="25" t="n">
        <v>0</v>
      </c>
      <c r="I22" t="inlineStr">
        <is>
          <t>entidad-dia</t>
        </is>
      </c>
    </row>
    <row r="23" ht="15" customHeight="1" thickTop="1">
      <c r="A23" t="inlineStr">
        <is>
          <t>PRAGMA</t>
        </is>
      </c>
      <c r="B23" t="inlineStr">
        <is>
          <t>M1</t>
        </is>
      </c>
      <c r="C23" t="inlineStr">
        <is>
          <t>Cali</t>
        </is>
      </c>
      <c r="D23" t="inlineStr">
        <is>
          <t>1050</t>
        </is>
      </c>
      <c r="E23" t="inlineStr">
        <is>
          <t>pagado</t>
        </is>
      </c>
      <c r="F23" s="23" t="n">
        <v>46271</v>
      </c>
      <c r="G23" s="24">
        <f>F23-DATE(2026,8,31)</f>
        <v>6</v>
      </c>
      <c r="H23" s="25" t="n">
        <v>0</v>
      </c>
      <c r="I23" t="inlineStr">
        <is>
          <t>entidad-dia</t>
        </is>
      </c>
    </row>
    <row r="24" ht="15" customHeight="1" thickBot="1">
      <c r="A24" t="inlineStr">
        <is>
          <t>PRAGMA</t>
        </is>
      </c>
      <c r="B24" t="inlineStr">
        <is>
          <t>M1</t>
        </is>
      </c>
      <c r="C24" t="inlineStr">
        <is>
          <t>Cali</t>
        </is>
      </c>
      <c r="D24" t="inlineStr">
        <is>
          <t>1050</t>
        </is>
      </c>
      <c r="E24" t="inlineStr">
        <is>
          <t>pagado</t>
        </is>
      </c>
      <c r="F24" s="23" t="n">
        <v>46272</v>
      </c>
      <c r="G24" s="24">
        <f>F24-DATE(2026,8,31)</f>
        <v>7</v>
      </c>
      <c r="H24" s="25" t="n">
        <v>0</v>
      </c>
      <c r="I24" t="inlineStr">
        <is>
          <t>entidad-dia</t>
        </is>
      </c>
    </row>
    <row r="25" ht="15" customHeight="1" thickTop="1">
      <c r="A25" t="inlineStr">
        <is>
          <t>PRAGMA</t>
        </is>
      </c>
      <c r="B25" t="inlineStr">
        <is>
          <t>M1</t>
        </is>
      </c>
      <c r="C25" t="inlineStr">
        <is>
          <t>Cali</t>
        </is>
      </c>
      <c r="D25" t="inlineStr">
        <is>
          <t>1050</t>
        </is>
      </c>
      <c r="E25" t="inlineStr">
        <is>
          <t>pagado</t>
        </is>
      </c>
      <c r="F25" s="23" t="n">
        <v>46273</v>
      </c>
      <c r="G25" s="24">
        <f>F25-DATE(2026,8,31)</f>
        <v>8</v>
      </c>
      <c r="H25" s="25" t="n">
        <v>0</v>
      </c>
      <c r="I25" t="inlineStr">
        <is>
          <t>entidad-dia</t>
        </is>
      </c>
    </row>
    <row r="26" ht="15" customHeight="1" thickBot="1">
      <c r="A26" t="inlineStr">
        <is>
          <t>PRAGMA</t>
        </is>
      </c>
      <c r="B26" t="inlineStr">
        <is>
          <t>M1</t>
        </is>
      </c>
      <c r="C26" t="inlineStr">
        <is>
          <t>Cali</t>
        </is>
      </c>
      <c r="D26" t="inlineStr">
        <is>
          <t>1050</t>
        </is>
      </c>
      <c r="E26" t="inlineStr">
        <is>
          <t>pagado</t>
        </is>
      </c>
      <c r="F26" s="23" t="n">
        <v>46274</v>
      </c>
      <c r="G26" s="24">
        <f>F26-DATE(2026,8,31)</f>
        <v>9</v>
      </c>
      <c r="H26" s="25" t="n">
        <v>0</v>
      </c>
      <c r="I26" t="inlineStr">
        <is>
          <t>entidad-dia</t>
        </is>
      </c>
    </row>
    <row r="27" ht="15" customHeight="1" thickTop="1">
      <c r="A27" t="inlineStr">
        <is>
          <t>PRAGMA</t>
        </is>
      </c>
      <c r="B27" t="inlineStr">
        <is>
          <t>M1</t>
        </is>
      </c>
      <c r="C27" t="inlineStr">
        <is>
          <t>Cali</t>
        </is>
      </c>
      <c r="D27" t="inlineStr">
        <is>
          <t>1050</t>
        </is>
      </c>
      <c r="E27" t="inlineStr">
        <is>
          <t>pagado</t>
        </is>
      </c>
      <c r="F27" s="23" t="n">
        <v>46275</v>
      </c>
      <c r="G27" s="24">
        <f>F27-DATE(2026,8,31)</f>
        <v>10</v>
      </c>
      <c r="H27" s="25" t="n">
        <v>0</v>
      </c>
      <c r="I27" t="inlineStr">
        <is>
          <t>entidad-dia</t>
        </is>
      </c>
    </row>
    <row r="28" ht="15" customHeight="1" thickBot="1">
      <c r="A28" t="inlineStr">
        <is>
          <t>PRAGMA</t>
        </is>
      </c>
      <c r="B28" t="inlineStr">
        <is>
          <t>M1</t>
        </is>
      </c>
      <c r="C28" t="inlineStr">
        <is>
          <t>Cali</t>
        </is>
      </c>
      <c r="D28" t="inlineStr">
        <is>
          <t>1050</t>
        </is>
      </c>
      <c r="E28" t="inlineStr">
        <is>
          <t>pagado</t>
        </is>
      </c>
      <c r="F28" s="23" t="n">
        <v>46276</v>
      </c>
      <c r="G28" s="24">
        <f>F28-DATE(2026,8,31)</f>
        <v>11</v>
      </c>
      <c r="H28" s="25" t="n">
        <v>0</v>
      </c>
      <c r="I28" t="inlineStr">
        <is>
          <t>entidad-dia</t>
        </is>
      </c>
    </row>
    <row r="29" ht="15" customHeight="1" thickTop="1">
      <c r="A29" t="inlineStr">
        <is>
          <t>PRAGMA</t>
        </is>
      </c>
      <c r="B29" t="inlineStr">
        <is>
          <t>M1</t>
        </is>
      </c>
      <c r="C29" t="inlineStr">
        <is>
          <t>Cali</t>
        </is>
      </c>
      <c r="D29" t="inlineStr">
        <is>
          <t>1050</t>
        </is>
      </c>
      <c r="E29" t="inlineStr">
        <is>
          <t>pagado</t>
        </is>
      </c>
      <c r="F29" s="23" t="n">
        <v>46277</v>
      </c>
      <c r="G29" s="24">
        <f>F29-DATE(2026,8,31)</f>
        <v>12</v>
      </c>
      <c r="H29" s="25" t="n">
        <v>0</v>
      </c>
      <c r="I29" t="inlineStr">
        <is>
          <t>entidad-dia</t>
        </is>
      </c>
    </row>
    <row r="30" ht="15" customHeight="1" thickBot="1">
      <c r="A30" t="inlineStr">
        <is>
          <t>PRAGMA</t>
        </is>
      </c>
      <c r="B30" t="inlineStr">
        <is>
          <t>M1</t>
        </is>
      </c>
      <c r="C30" t="inlineStr">
        <is>
          <t>Cali</t>
        </is>
      </c>
      <c r="D30" t="inlineStr">
        <is>
          <t>1050</t>
        </is>
      </c>
      <c r="E30" t="inlineStr">
        <is>
          <t>pagado</t>
        </is>
      </c>
      <c r="F30" s="23" t="n">
        <v>46278</v>
      </c>
      <c r="G30" s="24">
        <f>F30-DATE(2026,8,31)</f>
        <v>13</v>
      </c>
      <c r="H30" s="25" t="n">
        <v>0</v>
      </c>
      <c r="I30" t="inlineStr">
        <is>
          <t>entidad-dia</t>
        </is>
      </c>
    </row>
    <row r="31" ht="15" customHeight="1" thickTop="1">
      <c r="A31" t="inlineStr">
        <is>
          <t>PRAGMA</t>
        </is>
      </c>
      <c r="B31" t="inlineStr">
        <is>
          <t>M1</t>
        </is>
      </c>
      <c r="C31" t="inlineStr">
        <is>
          <t>Cali</t>
        </is>
      </c>
      <c r="D31" t="inlineStr">
        <is>
          <t>1050</t>
        </is>
      </c>
      <c r="E31" t="inlineStr">
        <is>
          <t>pagado</t>
        </is>
      </c>
      <c r="F31" s="23" t="n">
        <v>46279</v>
      </c>
      <c r="G31" s="24">
        <f>F31-DATE(2026,8,31)</f>
        <v>14</v>
      </c>
      <c r="H31" s="25" t="n">
        <v>0</v>
      </c>
      <c r="I31" t="inlineStr">
        <is>
          <t>entidad-dia</t>
        </is>
      </c>
    </row>
    <row r="32" ht="15" customHeight="1" thickBot="1">
      <c r="A32" t="inlineStr">
        <is>
          <t>PRAGMA</t>
        </is>
      </c>
      <c r="B32" t="inlineStr">
        <is>
          <t>M1</t>
        </is>
      </c>
      <c r="C32" t="inlineStr">
        <is>
          <t>Cali</t>
        </is>
      </c>
      <c r="D32" t="inlineStr">
        <is>
          <t>1050</t>
        </is>
      </c>
      <c r="E32" t="inlineStr">
        <is>
          <t>pagado</t>
        </is>
      </c>
      <c r="F32" s="23" t="n">
        <v>46280</v>
      </c>
      <c r="G32" s="24">
        <f>F32-DATE(2026,8,31)</f>
        <v>15</v>
      </c>
      <c r="H32" s="25" t="n">
        <v>0</v>
      </c>
      <c r="I32" t="inlineStr">
        <is>
          <t>entidad-dia</t>
        </is>
      </c>
    </row>
    <row r="33" ht="15" customHeight="1" thickTop="1">
      <c r="A33" t="inlineStr">
        <is>
          <t>PRAGMA</t>
        </is>
      </c>
      <c r="B33" t="inlineStr">
        <is>
          <t>M1</t>
        </is>
      </c>
      <c r="C33" t="inlineStr">
        <is>
          <t>Cali</t>
        </is>
      </c>
      <c r="D33" t="inlineStr">
        <is>
          <t>1085</t>
        </is>
      </c>
      <c r="E33" t="inlineStr">
        <is>
          <t>pagado</t>
        </is>
      </c>
      <c r="F33" s="23" t="n">
        <v>46266</v>
      </c>
      <c r="G33" s="24">
        <f>F33-DATE(2026,8,31)</f>
        <v>1</v>
      </c>
      <c r="H33" s="25" t="n">
        <v>66328770</v>
      </c>
      <c r="I33" t="inlineStr">
        <is>
          <t>entidad-dia</t>
        </is>
      </c>
    </row>
    <row r="34">
      <c r="A34" t="inlineStr">
        <is>
          <t>PRAGMA</t>
        </is>
      </c>
      <c r="B34" t="inlineStr">
        <is>
          <t>M1</t>
        </is>
      </c>
      <c r="C34" t="inlineStr">
        <is>
          <t>Cali</t>
        </is>
      </c>
      <c r="D34" t="inlineStr">
        <is>
          <t>1085</t>
        </is>
      </c>
      <c r="E34" t="inlineStr">
        <is>
          <t>pagado</t>
        </is>
      </c>
      <c r="F34" s="23" t="n">
        <v>46267</v>
      </c>
      <c r="G34" s="24">
        <f>F34-DATE(2026,8,31)</f>
        <v>2</v>
      </c>
      <c r="H34" s="25" t="n">
        <v>39048044</v>
      </c>
      <c r="I34" t="inlineStr">
        <is>
          <t>entidad-dia</t>
        </is>
      </c>
    </row>
    <row r="35">
      <c r="A35" t="inlineStr">
        <is>
          <t>PRAGMA</t>
        </is>
      </c>
      <c r="B35" t="inlineStr">
        <is>
          <t>M1</t>
        </is>
      </c>
      <c r="C35" t="inlineStr">
        <is>
          <t>Cali</t>
        </is>
      </c>
      <c r="D35" t="inlineStr">
        <is>
          <t>1085</t>
        </is>
      </c>
      <c r="E35" t="inlineStr">
        <is>
          <t>pagado</t>
        </is>
      </c>
      <c r="F35" s="23" t="n">
        <v>46268</v>
      </c>
      <c r="G35" s="24">
        <f>F35-DATE(2026,8,31)</f>
        <v>3</v>
      </c>
      <c r="H35" s="25" t="n">
        <v>34362637</v>
      </c>
      <c r="I35" t="inlineStr">
        <is>
          <t>entidad-dia</t>
        </is>
      </c>
    </row>
    <row r="36">
      <c r="A36" t="inlineStr">
        <is>
          <t>PRAGMA</t>
        </is>
      </c>
      <c r="B36" t="inlineStr">
        <is>
          <t>M1</t>
        </is>
      </c>
      <c r="C36" t="inlineStr">
        <is>
          <t>Cali</t>
        </is>
      </c>
      <c r="D36" t="inlineStr">
        <is>
          <t>1085</t>
        </is>
      </c>
      <c r="E36" t="inlineStr">
        <is>
          <t>pagado</t>
        </is>
      </c>
      <c r="F36" s="23" t="n">
        <v>46269</v>
      </c>
      <c r="G36" s="24">
        <f>F36-DATE(2026,8,31)</f>
        <v>4</v>
      </c>
      <c r="H36" s="25" t="n">
        <v>34523085</v>
      </c>
      <c r="I36" t="inlineStr">
        <is>
          <t>entidad-dia</t>
        </is>
      </c>
    </row>
    <row r="37">
      <c r="A37" t="inlineStr">
        <is>
          <t>PRAGMA</t>
        </is>
      </c>
      <c r="B37" t="inlineStr">
        <is>
          <t>M1</t>
        </is>
      </c>
      <c r="C37" t="inlineStr">
        <is>
          <t>Cali</t>
        </is>
      </c>
      <c r="D37" t="inlineStr">
        <is>
          <t>1085</t>
        </is>
      </c>
      <c r="E37" t="inlineStr">
        <is>
          <t>pagado</t>
        </is>
      </c>
      <c r="F37" s="23" t="n">
        <v>46270</v>
      </c>
      <c r="G37" s="24">
        <f>F37-DATE(2026,8,31)</f>
        <v>5</v>
      </c>
      <c r="H37" s="25" t="n">
        <v>38978913</v>
      </c>
      <c r="I37" t="inlineStr">
        <is>
          <t>entidad-dia</t>
        </is>
      </c>
    </row>
    <row r="38">
      <c r="A38" t="inlineStr">
        <is>
          <t>PRAGMA</t>
        </is>
      </c>
      <c r="B38" t="inlineStr">
        <is>
          <t>M1</t>
        </is>
      </c>
      <c r="C38" t="inlineStr">
        <is>
          <t>Cali</t>
        </is>
      </c>
      <c r="D38" t="inlineStr">
        <is>
          <t>1085</t>
        </is>
      </c>
      <c r="E38" t="inlineStr">
        <is>
          <t>pagado</t>
        </is>
      </c>
      <c r="F38" s="23" t="n">
        <v>46271</v>
      </c>
      <c r="G38" s="24">
        <f>F38-DATE(2026,8,31)</f>
        <v>6</v>
      </c>
      <c r="H38" s="25" t="n">
        <v>30290101</v>
      </c>
      <c r="I38" t="inlineStr">
        <is>
          <t>entidad-dia</t>
        </is>
      </c>
    </row>
    <row r="39">
      <c r="A39" t="inlineStr">
        <is>
          <t>PRAGMA</t>
        </is>
      </c>
      <c r="B39" t="inlineStr">
        <is>
          <t>M1</t>
        </is>
      </c>
      <c r="C39" t="inlineStr">
        <is>
          <t>Cali</t>
        </is>
      </c>
      <c r="D39" t="inlineStr">
        <is>
          <t>1085</t>
        </is>
      </c>
      <c r="E39" t="inlineStr">
        <is>
          <t>pagado</t>
        </is>
      </c>
      <c r="F39" s="23" t="n">
        <v>46272</v>
      </c>
      <c r="G39" s="24">
        <f>F39-DATE(2026,8,31)</f>
        <v>7</v>
      </c>
      <c r="H39" s="25" t="n">
        <v>28035758</v>
      </c>
      <c r="I39" t="inlineStr">
        <is>
          <t>entidad-dia</t>
        </is>
      </c>
    </row>
    <row r="40">
      <c r="A40" t="inlineStr">
        <is>
          <t>PRAGMA</t>
        </is>
      </c>
      <c r="B40" t="inlineStr">
        <is>
          <t>M1</t>
        </is>
      </c>
      <c r="C40" t="inlineStr">
        <is>
          <t>Cali</t>
        </is>
      </c>
      <c r="D40" t="inlineStr">
        <is>
          <t>1085</t>
        </is>
      </c>
      <c r="E40" t="inlineStr">
        <is>
          <t>pagado</t>
        </is>
      </c>
      <c r="F40" s="23" t="n">
        <v>46273</v>
      </c>
      <c r="G40" s="24">
        <f>F40-DATE(2026,8,31)</f>
        <v>8</v>
      </c>
      <c r="H40" s="25" t="n">
        <v>41472211</v>
      </c>
      <c r="I40" t="inlineStr">
        <is>
          <t>entidad-dia</t>
        </is>
      </c>
    </row>
    <row r="41">
      <c r="A41" t="inlineStr">
        <is>
          <t>PRAGMA</t>
        </is>
      </c>
      <c r="B41" t="inlineStr">
        <is>
          <t>M1</t>
        </is>
      </c>
      <c r="C41" t="inlineStr">
        <is>
          <t>Cali</t>
        </is>
      </c>
      <c r="D41" t="inlineStr">
        <is>
          <t>1085</t>
        </is>
      </c>
      <c r="E41" t="inlineStr">
        <is>
          <t>pagado</t>
        </is>
      </c>
      <c r="F41" s="23" t="n">
        <v>46274</v>
      </c>
      <c r="G41" s="24">
        <f>F41-DATE(2026,8,31)</f>
        <v>9</v>
      </c>
      <c r="H41" s="25" t="n">
        <v>26009938</v>
      </c>
      <c r="I41" t="inlineStr">
        <is>
          <t>entidad-dia</t>
        </is>
      </c>
    </row>
    <row r="42">
      <c r="A42" t="inlineStr">
        <is>
          <t>PRAGMA</t>
        </is>
      </c>
      <c r="B42" t="inlineStr">
        <is>
          <t>M1</t>
        </is>
      </c>
      <c r="C42" t="inlineStr">
        <is>
          <t>Cali</t>
        </is>
      </c>
      <c r="D42" t="inlineStr">
        <is>
          <t>1085</t>
        </is>
      </c>
      <c r="E42" t="inlineStr">
        <is>
          <t>pagado</t>
        </is>
      </c>
      <c r="F42" s="23" t="n">
        <v>46275</v>
      </c>
      <c r="G42" s="24">
        <f>F42-DATE(2026,8,31)</f>
        <v>10</v>
      </c>
      <c r="H42" s="25" t="n">
        <v>26615285</v>
      </c>
      <c r="I42" t="inlineStr">
        <is>
          <t>entidad-dia</t>
        </is>
      </c>
    </row>
    <row r="43">
      <c r="A43" t="inlineStr">
        <is>
          <t>PRAGMA</t>
        </is>
      </c>
      <c r="B43" t="inlineStr">
        <is>
          <t>M1</t>
        </is>
      </c>
      <c r="C43" t="inlineStr">
        <is>
          <t>Cali</t>
        </is>
      </c>
      <c r="D43" t="inlineStr">
        <is>
          <t>1085</t>
        </is>
      </c>
      <c r="E43" t="inlineStr">
        <is>
          <t>pagado</t>
        </is>
      </c>
      <c r="F43" s="23" t="n">
        <v>46276</v>
      </c>
      <c r="G43" s="24">
        <f>F43-DATE(2026,8,31)</f>
        <v>11</v>
      </c>
      <c r="H43" s="25" t="n">
        <v>26037089</v>
      </c>
      <c r="I43" t="inlineStr">
        <is>
          <t>entidad-dia</t>
        </is>
      </c>
    </row>
    <row r="44">
      <c r="A44" t="inlineStr">
        <is>
          <t>PRAGMA</t>
        </is>
      </c>
      <c r="B44" t="inlineStr">
        <is>
          <t>M1</t>
        </is>
      </c>
      <c r="C44" t="inlineStr">
        <is>
          <t>Cali</t>
        </is>
      </c>
      <c r="D44" t="inlineStr">
        <is>
          <t>1085</t>
        </is>
      </c>
      <c r="E44" t="inlineStr">
        <is>
          <t>pagado</t>
        </is>
      </c>
      <c r="F44" s="23" t="n">
        <v>46277</v>
      </c>
      <c r="G44" s="24">
        <f>F44-DATE(2026,8,31)</f>
        <v>12</v>
      </c>
      <c r="H44" s="25" t="n">
        <v>38515314</v>
      </c>
      <c r="I44" t="inlineStr">
        <is>
          <t>entidad-dia</t>
        </is>
      </c>
    </row>
    <row r="45">
      <c r="A45" t="inlineStr">
        <is>
          <t>PRAGMA</t>
        </is>
      </c>
      <c r="B45" t="inlineStr">
        <is>
          <t>M1</t>
        </is>
      </c>
      <c r="C45" t="inlineStr">
        <is>
          <t>Cali</t>
        </is>
      </c>
      <c r="D45" t="inlineStr">
        <is>
          <t>1085</t>
        </is>
      </c>
      <c r="E45" t="inlineStr">
        <is>
          <t>pagado</t>
        </is>
      </c>
      <c r="F45" s="23" t="n">
        <v>46278</v>
      </c>
      <c r="G45" s="24">
        <f>F45-DATE(2026,8,31)</f>
        <v>13</v>
      </c>
      <c r="H45" s="25" t="n">
        <v>28703604</v>
      </c>
      <c r="I45" t="inlineStr">
        <is>
          <t>entidad-dia</t>
        </is>
      </c>
    </row>
    <row r="46">
      <c r="A46" t="inlineStr">
        <is>
          <t>PRAGMA</t>
        </is>
      </c>
      <c r="B46" t="inlineStr">
        <is>
          <t>M1</t>
        </is>
      </c>
      <c r="C46" t="inlineStr">
        <is>
          <t>Cali</t>
        </is>
      </c>
      <c r="D46" t="inlineStr">
        <is>
          <t>1085</t>
        </is>
      </c>
      <c r="E46" t="inlineStr">
        <is>
          <t>pagado</t>
        </is>
      </c>
      <c r="F46" s="23" t="n">
        <v>46279</v>
      </c>
      <c r="G46" s="24">
        <f>F46-DATE(2026,8,31)</f>
        <v>14</v>
      </c>
      <c r="H46" s="25" t="n">
        <v>25877585</v>
      </c>
      <c r="I46" t="inlineStr">
        <is>
          <t>entidad-dia</t>
        </is>
      </c>
    </row>
    <row r="47">
      <c r="A47" t="inlineStr">
        <is>
          <t>PRAGMA</t>
        </is>
      </c>
      <c r="B47" t="inlineStr">
        <is>
          <t>M1</t>
        </is>
      </c>
      <c r="C47" t="inlineStr">
        <is>
          <t>Cali</t>
        </is>
      </c>
      <c r="D47" t="inlineStr">
        <is>
          <t>1085</t>
        </is>
      </c>
      <c r="E47" t="inlineStr">
        <is>
          <t>pagado</t>
        </is>
      </c>
      <c r="F47" s="23" t="n">
        <v>46280</v>
      </c>
      <c r="G47" s="24">
        <f>F47-DATE(2026,8,31)</f>
        <v>15</v>
      </c>
      <c r="H47" s="25" t="n">
        <v>49589598</v>
      </c>
      <c r="I47" t="inlineStr">
        <is>
          <t>entidad-dia</t>
        </is>
      </c>
    </row>
    <row r="48">
      <c r="A48" t="inlineStr">
        <is>
          <t>PRAGMA</t>
        </is>
      </c>
      <c r="B48" t="inlineStr">
        <is>
          <t>M1</t>
        </is>
      </c>
      <c r="C48" t="inlineStr">
        <is>
          <t>Cali</t>
        </is>
      </c>
      <c r="D48" t="inlineStr">
        <is>
          <t>1086</t>
        </is>
      </c>
      <c r="E48" t="inlineStr">
        <is>
          <t>pagado</t>
        </is>
      </c>
      <c r="F48" s="23" t="n">
        <v>46266</v>
      </c>
      <c r="G48" s="24">
        <f>F48-DATE(2026,8,31)</f>
        <v>1</v>
      </c>
      <c r="H48" s="25" t="n">
        <v>50018809</v>
      </c>
      <c r="I48" t="inlineStr">
        <is>
          <t>entidad-dia</t>
        </is>
      </c>
    </row>
    <row r="49">
      <c r="A49" t="inlineStr">
        <is>
          <t>PRAGMA</t>
        </is>
      </c>
      <c r="B49" t="inlineStr">
        <is>
          <t>M1</t>
        </is>
      </c>
      <c r="C49" t="inlineStr">
        <is>
          <t>Cali</t>
        </is>
      </c>
      <c r="D49" t="inlineStr">
        <is>
          <t>1086</t>
        </is>
      </c>
      <c r="E49" t="inlineStr">
        <is>
          <t>pagado</t>
        </is>
      </c>
      <c r="F49" s="23" t="n">
        <v>46267</v>
      </c>
      <c r="G49" s="24">
        <f>F49-DATE(2026,8,31)</f>
        <v>2</v>
      </c>
      <c r="H49" s="25" t="n">
        <v>45855274</v>
      </c>
      <c r="I49" t="inlineStr">
        <is>
          <t>entidad-dia</t>
        </is>
      </c>
    </row>
    <row r="50">
      <c r="A50" t="inlineStr">
        <is>
          <t>PRAGMA</t>
        </is>
      </c>
      <c r="B50" t="inlineStr">
        <is>
          <t>M1</t>
        </is>
      </c>
      <c r="C50" t="inlineStr">
        <is>
          <t>Cali</t>
        </is>
      </c>
      <c r="D50" t="inlineStr">
        <is>
          <t>1086</t>
        </is>
      </c>
      <c r="E50" t="inlineStr">
        <is>
          <t>pagado</t>
        </is>
      </c>
      <c r="F50" s="23" t="n">
        <v>46268</v>
      </c>
      <c r="G50" s="24">
        <f>F50-DATE(2026,8,31)</f>
        <v>3</v>
      </c>
      <c r="H50" s="25" t="n">
        <v>38673933</v>
      </c>
      <c r="I50" t="inlineStr">
        <is>
          <t>entidad-dia</t>
        </is>
      </c>
    </row>
    <row r="51">
      <c r="A51" t="inlineStr">
        <is>
          <t>PRAGMA</t>
        </is>
      </c>
      <c r="B51" t="inlineStr">
        <is>
          <t>M1</t>
        </is>
      </c>
      <c r="C51" t="inlineStr">
        <is>
          <t>Cali</t>
        </is>
      </c>
      <c r="D51" t="inlineStr">
        <is>
          <t>1086</t>
        </is>
      </c>
      <c r="E51" t="inlineStr">
        <is>
          <t>pagado</t>
        </is>
      </c>
      <c r="F51" s="23" t="n">
        <v>46269</v>
      </c>
      <c r="G51" s="24">
        <f>F51-DATE(2026,8,31)</f>
        <v>4</v>
      </c>
      <c r="H51" s="25" t="n">
        <v>40026278</v>
      </c>
      <c r="I51" t="inlineStr">
        <is>
          <t>entidad-dia</t>
        </is>
      </c>
    </row>
    <row r="52">
      <c r="A52" t="inlineStr">
        <is>
          <t>PRAGMA</t>
        </is>
      </c>
      <c r="B52" t="inlineStr">
        <is>
          <t>M1</t>
        </is>
      </c>
      <c r="C52" t="inlineStr">
        <is>
          <t>Cali</t>
        </is>
      </c>
      <c r="D52" t="inlineStr">
        <is>
          <t>1086</t>
        </is>
      </c>
      <c r="E52" t="inlineStr">
        <is>
          <t>pagado</t>
        </is>
      </c>
      <c r="F52" s="23" t="n">
        <v>46270</v>
      </c>
      <c r="G52" s="24">
        <f>F52-DATE(2026,8,31)</f>
        <v>5</v>
      </c>
      <c r="H52" s="25" t="n">
        <v>55840411</v>
      </c>
      <c r="I52" t="inlineStr">
        <is>
          <t>entidad-dia</t>
        </is>
      </c>
    </row>
    <row r="53">
      <c r="A53" t="inlineStr">
        <is>
          <t>PRAGMA</t>
        </is>
      </c>
      <c r="B53" t="inlineStr">
        <is>
          <t>M1</t>
        </is>
      </c>
      <c r="C53" t="inlineStr">
        <is>
          <t>Cali</t>
        </is>
      </c>
      <c r="D53" t="inlineStr">
        <is>
          <t>1086</t>
        </is>
      </c>
      <c r="E53" t="inlineStr">
        <is>
          <t>pagado</t>
        </is>
      </c>
      <c r="F53" s="23" t="n">
        <v>46271</v>
      </c>
      <c r="G53" s="24">
        <f>F53-DATE(2026,8,31)</f>
        <v>6</v>
      </c>
      <c r="H53" s="25" t="n">
        <v>39738720</v>
      </c>
      <c r="I53" t="inlineStr">
        <is>
          <t>entidad-dia</t>
        </is>
      </c>
    </row>
    <row r="54">
      <c r="A54" t="inlineStr">
        <is>
          <t>PRAGMA</t>
        </is>
      </c>
      <c r="B54" t="inlineStr">
        <is>
          <t>M1</t>
        </is>
      </c>
      <c r="C54" t="inlineStr">
        <is>
          <t>Cali</t>
        </is>
      </c>
      <c r="D54" t="inlineStr">
        <is>
          <t>1086</t>
        </is>
      </c>
      <c r="E54" t="inlineStr">
        <is>
          <t>pagado</t>
        </is>
      </c>
      <c r="F54" s="23" t="n">
        <v>46272</v>
      </c>
      <c r="G54" s="24">
        <f>F54-DATE(2026,8,31)</f>
        <v>7</v>
      </c>
      <c r="H54" s="25" t="n">
        <v>29715587</v>
      </c>
      <c r="I54" t="inlineStr">
        <is>
          <t>entidad-dia</t>
        </is>
      </c>
    </row>
    <row r="55">
      <c r="A55" t="inlineStr">
        <is>
          <t>PRAGMA</t>
        </is>
      </c>
      <c r="B55" t="inlineStr">
        <is>
          <t>M1</t>
        </is>
      </c>
      <c r="C55" t="inlineStr">
        <is>
          <t>Cali</t>
        </is>
      </c>
      <c r="D55" t="inlineStr">
        <is>
          <t>1086</t>
        </is>
      </c>
      <c r="E55" t="inlineStr">
        <is>
          <t>pagado</t>
        </is>
      </c>
      <c r="F55" s="23" t="n">
        <v>46273</v>
      </c>
      <c r="G55" s="24">
        <f>F55-DATE(2026,8,31)</f>
        <v>8</v>
      </c>
      <c r="H55" s="25" t="n">
        <v>47257015</v>
      </c>
      <c r="I55" t="inlineStr">
        <is>
          <t>entidad-dia</t>
        </is>
      </c>
    </row>
    <row r="56">
      <c r="A56" t="inlineStr">
        <is>
          <t>PRAGMA</t>
        </is>
      </c>
      <c r="B56" t="inlineStr">
        <is>
          <t>M1</t>
        </is>
      </c>
      <c r="C56" t="inlineStr">
        <is>
          <t>Cali</t>
        </is>
      </c>
      <c r="D56" t="inlineStr">
        <is>
          <t>1086</t>
        </is>
      </c>
      <c r="E56" t="inlineStr">
        <is>
          <t>pagado</t>
        </is>
      </c>
      <c r="F56" s="23" t="n">
        <v>46274</v>
      </c>
      <c r="G56" s="24">
        <f>F56-DATE(2026,8,31)</f>
        <v>9</v>
      </c>
      <c r="H56" s="25" t="n">
        <v>34098626</v>
      </c>
      <c r="I56" t="inlineStr">
        <is>
          <t>entidad-dia</t>
        </is>
      </c>
    </row>
    <row r="57">
      <c r="A57" t="inlineStr">
        <is>
          <t>PRAGMA</t>
        </is>
      </c>
      <c r="B57" t="inlineStr">
        <is>
          <t>M1</t>
        </is>
      </c>
      <c r="C57" t="inlineStr">
        <is>
          <t>Cali</t>
        </is>
      </c>
      <c r="D57" t="inlineStr">
        <is>
          <t>1086</t>
        </is>
      </c>
      <c r="E57" t="inlineStr">
        <is>
          <t>pagado</t>
        </is>
      </c>
      <c r="F57" s="23" t="n">
        <v>46275</v>
      </c>
      <c r="G57" s="24">
        <f>F57-DATE(2026,8,31)</f>
        <v>10</v>
      </c>
      <c r="H57" s="25" t="n">
        <v>22044827</v>
      </c>
      <c r="I57" t="inlineStr">
        <is>
          <t>entidad-dia</t>
        </is>
      </c>
    </row>
    <row r="58">
      <c r="A58" t="inlineStr">
        <is>
          <t>PRAGMA</t>
        </is>
      </c>
      <c r="B58" t="inlineStr">
        <is>
          <t>M1</t>
        </is>
      </c>
      <c r="C58" t="inlineStr">
        <is>
          <t>Cali</t>
        </is>
      </c>
      <c r="D58" t="inlineStr">
        <is>
          <t>1086</t>
        </is>
      </c>
      <c r="E58" t="inlineStr">
        <is>
          <t>pagado</t>
        </is>
      </c>
      <c r="F58" s="23" t="n">
        <v>46276</v>
      </c>
      <c r="G58" s="24">
        <f>F58-DATE(2026,8,31)</f>
        <v>11</v>
      </c>
      <c r="H58" s="25" t="n">
        <v>19845560</v>
      </c>
      <c r="I58" t="inlineStr">
        <is>
          <t>entidad-dia</t>
        </is>
      </c>
    </row>
    <row r="59">
      <c r="A59" t="inlineStr">
        <is>
          <t>PRAGMA</t>
        </is>
      </c>
      <c r="B59" t="inlineStr">
        <is>
          <t>M1</t>
        </is>
      </c>
      <c r="C59" t="inlineStr">
        <is>
          <t>Cali</t>
        </is>
      </c>
      <c r="D59" t="inlineStr">
        <is>
          <t>1086</t>
        </is>
      </c>
      <c r="E59" t="inlineStr">
        <is>
          <t>pagado</t>
        </is>
      </c>
      <c r="F59" s="23" t="n">
        <v>46277</v>
      </c>
      <c r="G59" s="24">
        <f>F59-DATE(2026,8,31)</f>
        <v>12</v>
      </c>
      <c r="H59" s="25" t="n">
        <v>38151870</v>
      </c>
      <c r="I59" t="inlineStr">
        <is>
          <t>entidad-dia</t>
        </is>
      </c>
    </row>
    <row r="60">
      <c r="A60" t="inlineStr">
        <is>
          <t>PRAGMA</t>
        </is>
      </c>
      <c r="B60" t="inlineStr">
        <is>
          <t>M1</t>
        </is>
      </c>
      <c r="C60" t="inlineStr">
        <is>
          <t>Cali</t>
        </is>
      </c>
      <c r="D60" t="inlineStr">
        <is>
          <t>1086</t>
        </is>
      </c>
      <c r="E60" t="inlineStr">
        <is>
          <t>pagado</t>
        </is>
      </c>
      <c r="F60" s="23" t="n">
        <v>46278</v>
      </c>
      <c r="G60" s="24">
        <f>F60-DATE(2026,8,31)</f>
        <v>13</v>
      </c>
      <c r="H60" s="25" t="n">
        <v>28471311</v>
      </c>
      <c r="I60" t="inlineStr">
        <is>
          <t>entidad-dia</t>
        </is>
      </c>
    </row>
    <row r="61">
      <c r="A61" t="inlineStr">
        <is>
          <t>PRAGMA</t>
        </is>
      </c>
      <c r="B61" t="inlineStr">
        <is>
          <t>M1</t>
        </is>
      </c>
      <c r="C61" t="inlineStr">
        <is>
          <t>Cali</t>
        </is>
      </c>
      <c r="D61" t="inlineStr">
        <is>
          <t>1086</t>
        </is>
      </c>
      <c r="E61" t="inlineStr">
        <is>
          <t>pagado</t>
        </is>
      </c>
      <c r="F61" s="23" t="n">
        <v>46279</v>
      </c>
      <c r="G61" s="24">
        <f>F61-DATE(2026,8,31)</f>
        <v>14</v>
      </c>
      <c r="H61" s="25" t="n">
        <v>28187886</v>
      </c>
      <c r="I61" t="inlineStr">
        <is>
          <t>entidad-dia</t>
        </is>
      </c>
    </row>
    <row r="62">
      <c r="A62" t="inlineStr">
        <is>
          <t>PRAGMA</t>
        </is>
      </c>
      <c r="B62" t="inlineStr">
        <is>
          <t>M1</t>
        </is>
      </c>
      <c r="C62" t="inlineStr">
        <is>
          <t>Cali</t>
        </is>
      </c>
      <c r="D62" t="inlineStr">
        <is>
          <t>1086</t>
        </is>
      </c>
      <c r="E62" t="inlineStr">
        <is>
          <t>pagado</t>
        </is>
      </c>
      <c r="F62" s="23" t="n">
        <v>46280</v>
      </c>
      <c r="G62" s="24">
        <f>F62-DATE(2026,8,31)</f>
        <v>15</v>
      </c>
      <c r="H62" s="25" t="n">
        <v>39379193</v>
      </c>
      <c r="I62" t="inlineStr">
        <is>
          <t>entidad-dia</t>
        </is>
      </c>
    </row>
    <row r="63">
      <c r="A63" t="inlineStr">
        <is>
          <t>PRAGMA</t>
        </is>
      </c>
      <c r="B63" t="inlineStr">
        <is>
          <t>M1</t>
        </is>
      </c>
      <c r="C63" t="inlineStr">
        <is>
          <t>Cali</t>
        </is>
      </c>
      <c r="D63" t="inlineStr">
        <is>
          <t>1105</t>
        </is>
      </c>
      <c r="E63" t="inlineStr">
        <is>
          <t>pagado</t>
        </is>
      </c>
      <c r="F63" s="23" t="n">
        <v>46266</v>
      </c>
      <c r="G63" s="24">
        <f>F63-DATE(2026,8,31)</f>
        <v>1</v>
      </c>
      <c r="H63" s="25" t="n">
        <v>130973024</v>
      </c>
      <c r="I63" t="inlineStr">
        <is>
          <t>entidad-dia</t>
        </is>
      </c>
    </row>
    <row r="64">
      <c r="A64" t="inlineStr">
        <is>
          <t>PRAGMA</t>
        </is>
      </c>
      <c r="B64" t="inlineStr">
        <is>
          <t>M1</t>
        </is>
      </c>
      <c r="C64" t="inlineStr">
        <is>
          <t>Cali</t>
        </is>
      </c>
      <c r="D64" t="inlineStr">
        <is>
          <t>1105</t>
        </is>
      </c>
      <c r="E64" t="inlineStr">
        <is>
          <t>pagado</t>
        </is>
      </c>
      <c r="F64" s="23" t="n">
        <v>46267</v>
      </c>
      <c r="G64" s="24">
        <f>F64-DATE(2026,8,31)</f>
        <v>2</v>
      </c>
      <c r="H64" s="25" t="n">
        <v>104336764</v>
      </c>
      <c r="I64" t="inlineStr">
        <is>
          <t>entidad-dia</t>
        </is>
      </c>
    </row>
    <row r="65">
      <c r="A65" t="inlineStr">
        <is>
          <t>PRAGMA</t>
        </is>
      </c>
      <c r="B65" t="inlineStr">
        <is>
          <t>M1</t>
        </is>
      </c>
      <c r="C65" t="inlineStr">
        <is>
          <t>Cali</t>
        </is>
      </c>
      <c r="D65" t="inlineStr">
        <is>
          <t>1105</t>
        </is>
      </c>
      <c r="E65" t="inlineStr">
        <is>
          <t>pagado</t>
        </is>
      </c>
      <c r="F65" s="23" t="n">
        <v>46268</v>
      </c>
      <c r="G65" s="24">
        <f>F65-DATE(2026,8,31)</f>
        <v>3</v>
      </c>
      <c r="H65" s="25" t="n">
        <v>98239709</v>
      </c>
      <c r="I65" t="inlineStr">
        <is>
          <t>entidad-dia</t>
        </is>
      </c>
    </row>
    <row r="66">
      <c r="A66" t="inlineStr">
        <is>
          <t>PRAGMA</t>
        </is>
      </c>
      <c r="B66" t="inlineStr">
        <is>
          <t>M1</t>
        </is>
      </c>
      <c r="C66" t="inlineStr">
        <is>
          <t>Cali</t>
        </is>
      </c>
      <c r="D66" t="inlineStr">
        <is>
          <t>1105</t>
        </is>
      </c>
      <c r="E66" t="inlineStr">
        <is>
          <t>pagado</t>
        </is>
      </c>
      <c r="F66" s="23" t="n">
        <v>46269</v>
      </c>
      <c r="G66" s="24">
        <f>F66-DATE(2026,8,31)</f>
        <v>4</v>
      </c>
      <c r="H66" s="25" t="n">
        <v>97059567</v>
      </c>
      <c r="I66" t="inlineStr">
        <is>
          <t>entidad-dia</t>
        </is>
      </c>
    </row>
    <row r="67">
      <c r="A67" t="inlineStr">
        <is>
          <t>PRAGMA</t>
        </is>
      </c>
      <c r="B67" t="inlineStr">
        <is>
          <t>M1</t>
        </is>
      </c>
      <c r="C67" t="inlineStr">
        <is>
          <t>Cali</t>
        </is>
      </c>
      <c r="D67" t="inlineStr">
        <is>
          <t>1105</t>
        </is>
      </c>
      <c r="E67" t="inlineStr">
        <is>
          <t>pagado</t>
        </is>
      </c>
      <c r="F67" s="23" t="n">
        <v>46270</v>
      </c>
      <c r="G67" s="24">
        <f>F67-DATE(2026,8,31)</f>
        <v>5</v>
      </c>
      <c r="H67" s="25" t="n">
        <v>107714373</v>
      </c>
      <c r="I67" t="inlineStr">
        <is>
          <t>entidad-dia</t>
        </is>
      </c>
    </row>
    <row r="68">
      <c r="A68" t="inlineStr">
        <is>
          <t>PRAGMA</t>
        </is>
      </c>
      <c r="B68" t="inlineStr">
        <is>
          <t>M1</t>
        </is>
      </c>
      <c r="C68" t="inlineStr">
        <is>
          <t>Cali</t>
        </is>
      </c>
      <c r="D68" t="inlineStr">
        <is>
          <t>1105</t>
        </is>
      </c>
      <c r="E68" t="inlineStr">
        <is>
          <t>pagado</t>
        </is>
      </c>
      <c r="F68" s="23" t="n">
        <v>46271</v>
      </c>
      <c r="G68" s="24">
        <f>F68-DATE(2026,8,31)</f>
        <v>6</v>
      </c>
      <c r="H68" s="25" t="n">
        <v>89144032</v>
      </c>
      <c r="I68" t="inlineStr">
        <is>
          <t>entidad-dia</t>
        </is>
      </c>
    </row>
    <row r="69">
      <c r="A69" t="inlineStr">
        <is>
          <t>PRAGMA</t>
        </is>
      </c>
      <c r="B69" t="inlineStr">
        <is>
          <t>M1</t>
        </is>
      </c>
      <c r="C69" t="inlineStr">
        <is>
          <t>Cali</t>
        </is>
      </c>
      <c r="D69" t="inlineStr">
        <is>
          <t>1105</t>
        </is>
      </c>
      <c r="E69" t="inlineStr">
        <is>
          <t>pagado</t>
        </is>
      </c>
      <c r="F69" s="23" t="n">
        <v>46272</v>
      </c>
      <c r="G69" s="24">
        <f>F69-DATE(2026,8,31)</f>
        <v>7</v>
      </c>
      <c r="H69" s="25" t="n">
        <v>84370290</v>
      </c>
      <c r="I69" t="inlineStr">
        <is>
          <t>entidad-dia</t>
        </is>
      </c>
    </row>
    <row r="70">
      <c r="A70" t="inlineStr">
        <is>
          <t>PRAGMA</t>
        </is>
      </c>
      <c r="B70" t="inlineStr">
        <is>
          <t>M1</t>
        </is>
      </c>
      <c r="C70" t="inlineStr">
        <is>
          <t>Cali</t>
        </is>
      </c>
      <c r="D70" t="inlineStr">
        <is>
          <t>1105</t>
        </is>
      </c>
      <c r="E70" t="inlineStr">
        <is>
          <t>pagado</t>
        </is>
      </c>
      <c r="F70" s="23" t="n">
        <v>46273</v>
      </c>
      <c r="G70" s="24">
        <f>F70-DATE(2026,8,31)</f>
        <v>8</v>
      </c>
      <c r="H70" s="25" t="n">
        <v>70750086</v>
      </c>
      <c r="I70" t="inlineStr">
        <is>
          <t>entidad-dia</t>
        </is>
      </c>
    </row>
    <row r="71">
      <c r="A71" t="inlineStr">
        <is>
          <t>PRAGMA</t>
        </is>
      </c>
      <c r="B71" t="inlineStr">
        <is>
          <t>M1</t>
        </is>
      </c>
      <c r="C71" t="inlineStr">
        <is>
          <t>Cali</t>
        </is>
      </c>
      <c r="D71" t="inlineStr">
        <is>
          <t>1105</t>
        </is>
      </c>
      <c r="E71" t="inlineStr">
        <is>
          <t>pagado</t>
        </is>
      </c>
      <c r="F71" s="23" t="n">
        <v>46274</v>
      </c>
      <c r="G71" s="24">
        <f>F71-DATE(2026,8,31)</f>
        <v>9</v>
      </c>
      <c r="H71" s="25" t="n">
        <v>69124587</v>
      </c>
      <c r="I71" t="inlineStr">
        <is>
          <t>entidad-dia</t>
        </is>
      </c>
    </row>
    <row r="72">
      <c r="A72" t="inlineStr">
        <is>
          <t>PRAGMA</t>
        </is>
      </c>
      <c r="B72" t="inlineStr">
        <is>
          <t>M1</t>
        </is>
      </c>
      <c r="C72" t="inlineStr">
        <is>
          <t>Cali</t>
        </is>
      </c>
      <c r="D72" t="inlineStr">
        <is>
          <t>1105</t>
        </is>
      </c>
      <c r="E72" t="inlineStr">
        <is>
          <t>pagado</t>
        </is>
      </c>
      <c r="F72" s="23" t="n">
        <v>46275</v>
      </c>
      <c r="G72" s="24">
        <f>F72-DATE(2026,8,31)</f>
        <v>10</v>
      </c>
      <c r="H72" s="25" t="n">
        <v>63280242</v>
      </c>
      <c r="I72" t="inlineStr">
        <is>
          <t>entidad-dia</t>
        </is>
      </c>
    </row>
    <row r="73">
      <c r="A73" t="inlineStr">
        <is>
          <t>PRAGMA</t>
        </is>
      </c>
      <c r="B73" t="inlineStr">
        <is>
          <t>M1</t>
        </is>
      </c>
      <c r="C73" t="inlineStr">
        <is>
          <t>Cali</t>
        </is>
      </c>
      <c r="D73" t="inlineStr">
        <is>
          <t>1105</t>
        </is>
      </c>
      <c r="E73" t="inlineStr">
        <is>
          <t>pagado</t>
        </is>
      </c>
      <c r="F73" s="23" t="n">
        <v>46276</v>
      </c>
      <c r="G73" s="24">
        <f>F73-DATE(2026,8,31)</f>
        <v>11</v>
      </c>
      <c r="H73" s="25" t="n">
        <v>76290691</v>
      </c>
      <c r="I73" t="inlineStr">
        <is>
          <t>entidad-dia</t>
        </is>
      </c>
    </row>
    <row r="74">
      <c r="A74" t="inlineStr">
        <is>
          <t>PRAGMA</t>
        </is>
      </c>
      <c r="B74" t="inlineStr">
        <is>
          <t>M1</t>
        </is>
      </c>
      <c r="C74" t="inlineStr">
        <is>
          <t>Cali</t>
        </is>
      </c>
      <c r="D74" t="inlineStr">
        <is>
          <t>1105</t>
        </is>
      </c>
      <c r="E74" t="inlineStr">
        <is>
          <t>pagado</t>
        </is>
      </c>
      <c r="F74" s="23" t="n">
        <v>46277</v>
      </c>
      <c r="G74" s="24">
        <f>F74-DATE(2026,8,31)</f>
        <v>12</v>
      </c>
      <c r="H74" s="25" t="n">
        <v>83135862</v>
      </c>
      <c r="I74" t="inlineStr">
        <is>
          <t>entidad-dia</t>
        </is>
      </c>
    </row>
    <row r="75">
      <c r="A75" t="inlineStr">
        <is>
          <t>PRAGMA</t>
        </is>
      </c>
      <c r="B75" t="inlineStr">
        <is>
          <t>M1</t>
        </is>
      </c>
      <c r="C75" t="inlineStr">
        <is>
          <t>Cali</t>
        </is>
      </c>
      <c r="D75" t="inlineStr">
        <is>
          <t>1105</t>
        </is>
      </c>
      <c r="E75" t="inlineStr">
        <is>
          <t>pagado</t>
        </is>
      </c>
      <c r="F75" s="23" t="n">
        <v>46278</v>
      </c>
      <c r="G75" s="24">
        <f>F75-DATE(2026,8,31)</f>
        <v>13</v>
      </c>
      <c r="H75" s="25" t="n">
        <v>69409771</v>
      </c>
      <c r="I75" t="inlineStr">
        <is>
          <t>entidad-dia</t>
        </is>
      </c>
    </row>
    <row r="76">
      <c r="A76" t="inlineStr">
        <is>
          <t>PRAGMA</t>
        </is>
      </c>
      <c r="B76" t="inlineStr">
        <is>
          <t>M1</t>
        </is>
      </c>
      <c r="C76" t="inlineStr">
        <is>
          <t>Cali</t>
        </is>
      </c>
      <c r="D76" t="inlineStr">
        <is>
          <t>1105</t>
        </is>
      </c>
      <c r="E76" t="inlineStr">
        <is>
          <t>pagado</t>
        </is>
      </c>
      <c r="F76" s="23" t="n">
        <v>46279</v>
      </c>
      <c r="G76" s="24">
        <f>F76-DATE(2026,8,31)</f>
        <v>14</v>
      </c>
      <c r="H76" s="25" t="n">
        <v>65144062</v>
      </c>
      <c r="I76" t="inlineStr">
        <is>
          <t>entidad-dia</t>
        </is>
      </c>
    </row>
    <row r="77">
      <c r="A77" t="inlineStr">
        <is>
          <t>PRAGMA</t>
        </is>
      </c>
      <c r="B77" t="inlineStr">
        <is>
          <t>M1</t>
        </is>
      </c>
      <c r="C77" t="inlineStr">
        <is>
          <t>Cali</t>
        </is>
      </c>
      <c r="D77" t="inlineStr">
        <is>
          <t>1105</t>
        </is>
      </c>
      <c r="E77" t="inlineStr">
        <is>
          <t>pagado</t>
        </is>
      </c>
      <c r="F77" s="23" t="n">
        <v>46280</v>
      </c>
      <c r="G77" s="24">
        <f>F77-DATE(2026,8,31)</f>
        <v>15</v>
      </c>
      <c r="H77" s="25" t="n">
        <v>107106180</v>
      </c>
      <c r="I77" t="inlineStr">
        <is>
          <t>entidad-dia</t>
        </is>
      </c>
    </row>
    <row r="78">
      <c r="A78" t="inlineStr">
        <is>
          <t>PRAGMA</t>
        </is>
      </c>
      <c r="B78" t="inlineStr">
        <is>
          <t>M1</t>
        </is>
      </c>
      <c r="C78" t="inlineStr">
        <is>
          <t>Cali</t>
        </is>
      </c>
      <c r="D78" t="inlineStr">
        <is>
          <t>1120</t>
        </is>
      </c>
      <c r="E78" t="inlineStr">
        <is>
          <t>pagado</t>
        </is>
      </c>
      <c r="F78" s="23" t="n">
        <v>46266</v>
      </c>
      <c r="G78" s="24">
        <f>F78-DATE(2026,8,31)</f>
        <v>1</v>
      </c>
      <c r="H78" s="25" t="n">
        <v>0</v>
      </c>
      <c r="I78" t="inlineStr">
        <is>
          <t>entidad-dia</t>
        </is>
      </c>
    </row>
    <row r="79">
      <c r="A79" t="inlineStr">
        <is>
          <t>PRAGMA</t>
        </is>
      </c>
      <c r="B79" t="inlineStr">
        <is>
          <t>M1</t>
        </is>
      </c>
      <c r="C79" t="inlineStr">
        <is>
          <t>Cali</t>
        </is>
      </c>
      <c r="D79" t="inlineStr">
        <is>
          <t>1120</t>
        </is>
      </c>
      <c r="E79" t="inlineStr">
        <is>
          <t>pagado</t>
        </is>
      </c>
      <c r="F79" s="23" t="n">
        <v>46267</v>
      </c>
      <c r="G79" s="24">
        <f>F79-DATE(2026,8,31)</f>
        <v>2</v>
      </c>
      <c r="H79" s="25" t="n">
        <v>0</v>
      </c>
      <c r="I79" t="inlineStr">
        <is>
          <t>entidad-dia</t>
        </is>
      </c>
    </row>
    <row r="80">
      <c r="A80" t="inlineStr">
        <is>
          <t>PRAGMA</t>
        </is>
      </c>
      <c r="B80" t="inlineStr">
        <is>
          <t>M1</t>
        </is>
      </c>
      <c r="C80" t="inlineStr">
        <is>
          <t>Cali</t>
        </is>
      </c>
      <c r="D80" t="inlineStr">
        <is>
          <t>1120</t>
        </is>
      </c>
      <c r="E80" t="inlineStr">
        <is>
          <t>pagado</t>
        </is>
      </c>
      <c r="F80" s="23" t="n">
        <v>46268</v>
      </c>
      <c r="G80" s="24">
        <f>F80-DATE(2026,8,31)</f>
        <v>3</v>
      </c>
      <c r="H80" s="25" t="n">
        <v>0</v>
      </c>
      <c r="I80" t="inlineStr">
        <is>
          <t>entidad-dia</t>
        </is>
      </c>
    </row>
    <row r="81">
      <c r="A81" t="inlineStr">
        <is>
          <t>PRAGMA</t>
        </is>
      </c>
      <c r="B81" t="inlineStr">
        <is>
          <t>M1</t>
        </is>
      </c>
      <c r="C81" t="inlineStr">
        <is>
          <t>Cali</t>
        </is>
      </c>
      <c r="D81" t="inlineStr">
        <is>
          <t>1120</t>
        </is>
      </c>
      <c r="E81" t="inlineStr">
        <is>
          <t>pagado</t>
        </is>
      </c>
      <c r="F81" s="23" t="n">
        <v>46269</v>
      </c>
      <c r="G81" s="24">
        <f>F81-DATE(2026,8,31)</f>
        <v>4</v>
      </c>
      <c r="H81" s="25" t="n">
        <v>0</v>
      </c>
      <c r="I81" t="inlineStr">
        <is>
          <t>entidad-dia</t>
        </is>
      </c>
    </row>
    <row r="82">
      <c r="A82" t="inlineStr">
        <is>
          <t>PRAGMA</t>
        </is>
      </c>
      <c r="B82" t="inlineStr">
        <is>
          <t>M1</t>
        </is>
      </c>
      <c r="C82" t="inlineStr">
        <is>
          <t>Cali</t>
        </is>
      </c>
      <c r="D82" t="inlineStr">
        <is>
          <t>1120</t>
        </is>
      </c>
      <c r="E82" t="inlineStr">
        <is>
          <t>pagado</t>
        </is>
      </c>
      <c r="F82" s="23" t="n">
        <v>46270</v>
      </c>
      <c r="G82" s="24">
        <f>F82-DATE(2026,8,31)</f>
        <v>5</v>
      </c>
      <c r="H82" s="25" t="n">
        <v>0</v>
      </c>
      <c r="I82" t="inlineStr">
        <is>
          <t>entidad-dia</t>
        </is>
      </c>
    </row>
    <row r="83">
      <c r="A83" t="inlineStr">
        <is>
          <t>PRAGMA</t>
        </is>
      </c>
      <c r="B83" t="inlineStr">
        <is>
          <t>M1</t>
        </is>
      </c>
      <c r="C83" t="inlineStr">
        <is>
          <t>Cali</t>
        </is>
      </c>
      <c r="D83" t="inlineStr">
        <is>
          <t>1120</t>
        </is>
      </c>
      <c r="E83" t="inlineStr">
        <is>
          <t>pagado</t>
        </is>
      </c>
      <c r="F83" s="23" t="n">
        <v>46271</v>
      </c>
      <c r="G83" s="24">
        <f>F83-DATE(2026,8,31)</f>
        <v>6</v>
      </c>
      <c r="H83" s="25" t="n">
        <v>0</v>
      </c>
      <c r="I83" t="inlineStr">
        <is>
          <t>entidad-dia</t>
        </is>
      </c>
    </row>
    <row r="84">
      <c r="A84" t="inlineStr">
        <is>
          <t>PRAGMA</t>
        </is>
      </c>
      <c r="B84" t="inlineStr">
        <is>
          <t>M1</t>
        </is>
      </c>
      <c r="C84" t="inlineStr">
        <is>
          <t>Cali</t>
        </is>
      </c>
      <c r="D84" t="inlineStr">
        <is>
          <t>1120</t>
        </is>
      </c>
      <c r="E84" t="inlineStr">
        <is>
          <t>pagado</t>
        </is>
      </c>
      <c r="F84" s="23" t="n">
        <v>46272</v>
      </c>
      <c r="G84" s="24">
        <f>F84-DATE(2026,8,31)</f>
        <v>7</v>
      </c>
      <c r="H84" s="25" t="n">
        <v>0</v>
      </c>
      <c r="I84" t="inlineStr">
        <is>
          <t>entidad-dia</t>
        </is>
      </c>
    </row>
    <row r="85">
      <c r="A85" t="inlineStr">
        <is>
          <t>PRAGMA</t>
        </is>
      </c>
      <c r="B85" t="inlineStr">
        <is>
          <t>M1</t>
        </is>
      </c>
      <c r="C85" t="inlineStr">
        <is>
          <t>Cali</t>
        </is>
      </c>
      <c r="D85" t="inlineStr">
        <is>
          <t>1120</t>
        </is>
      </c>
      <c r="E85" t="inlineStr">
        <is>
          <t>pagado</t>
        </is>
      </c>
      <c r="F85" s="23" t="n">
        <v>46273</v>
      </c>
      <c r="G85" s="24">
        <f>F85-DATE(2026,8,31)</f>
        <v>8</v>
      </c>
      <c r="H85" s="25" t="n">
        <v>0</v>
      </c>
      <c r="I85" t="inlineStr">
        <is>
          <t>entidad-dia</t>
        </is>
      </c>
    </row>
    <row r="86">
      <c r="A86" t="inlineStr">
        <is>
          <t>PRAGMA</t>
        </is>
      </c>
      <c r="B86" t="inlineStr">
        <is>
          <t>M1</t>
        </is>
      </c>
      <c r="C86" t="inlineStr">
        <is>
          <t>Cali</t>
        </is>
      </c>
      <c r="D86" t="inlineStr">
        <is>
          <t>1120</t>
        </is>
      </c>
      <c r="E86" t="inlineStr">
        <is>
          <t>pagado</t>
        </is>
      </c>
      <c r="F86" s="23" t="n">
        <v>46274</v>
      </c>
      <c r="G86" s="24">
        <f>F86-DATE(2026,8,31)</f>
        <v>9</v>
      </c>
      <c r="H86" s="25" t="n">
        <v>0</v>
      </c>
      <c r="I86" t="inlineStr">
        <is>
          <t>entidad-dia</t>
        </is>
      </c>
    </row>
    <row r="87">
      <c r="A87" t="inlineStr">
        <is>
          <t>PRAGMA</t>
        </is>
      </c>
      <c r="B87" t="inlineStr">
        <is>
          <t>M1</t>
        </is>
      </c>
      <c r="C87" t="inlineStr">
        <is>
          <t>Cali</t>
        </is>
      </c>
      <c r="D87" t="inlineStr">
        <is>
          <t>1120</t>
        </is>
      </c>
      <c r="E87" t="inlineStr">
        <is>
          <t>pagado</t>
        </is>
      </c>
      <c r="F87" s="23" t="n">
        <v>46275</v>
      </c>
      <c r="G87" s="24">
        <f>F87-DATE(2026,8,31)</f>
        <v>10</v>
      </c>
      <c r="H87" s="25" t="n">
        <v>0</v>
      </c>
      <c r="I87" t="inlineStr">
        <is>
          <t>entidad-dia</t>
        </is>
      </c>
    </row>
    <row r="88">
      <c r="A88" t="inlineStr">
        <is>
          <t>PRAGMA</t>
        </is>
      </c>
      <c r="B88" t="inlineStr">
        <is>
          <t>M1</t>
        </is>
      </c>
      <c r="C88" t="inlineStr">
        <is>
          <t>Cali</t>
        </is>
      </c>
      <c r="D88" t="inlineStr">
        <is>
          <t>1120</t>
        </is>
      </c>
      <c r="E88" t="inlineStr">
        <is>
          <t>pagado</t>
        </is>
      </c>
      <c r="F88" s="23" t="n">
        <v>46276</v>
      </c>
      <c r="G88" s="24">
        <f>F88-DATE(2026,8,31)</f>
        <v>11</v>
      </c>
      <c r="H88" s="25" t="n">
        <v>0</v>
      </c>
      <c r="I88" t="inlineStr">
        <is>
          <t>entidad-dia</t>
        </is>
      </c>
    </row>
    <row r="89">
      <c r="A89" t="inlineStr">
        <is>
          <t>PRAGMA</t>
        </is>
      </c>
      <c r="B89" t="inlineStr">
        <is>
          <t>M1</t>
        </is>
      </c>
      <c r="C89" t="inlineStr">
        <is>
          <t>Cali</t>
        </is>
      </c>
      <c r="D89" t="inlineStr">
        <is>
          <t>1120</t>
        </is>
      </c>
      <c r="E89" t="inlineStr">
        <is>
          <t>pagado</t>
        </is>
      </c>
      <c r="F89" s="23" t="n">
        <v>46277</v>
      </c>
      <c r="G89" s="24">
        <f>F89-DATE(2026,8,31)</f>
        <v>12</v>
      </c>
      <c r="H89" s="25" t="n">
        <v>0</v>
      </c>
      <c r="I89" t="inlineStr">
        <is>
          <t>entidad-dia</t>
        </is>
      </c>
    </row>
    <row r="90">
      <c r="A90" t="inlineStr">
        <is>
          <t>PRAGMA</t>
        </is>
      </c>
      <c r="B90" t="inlineStr">
        <is>
          <t>M1</t>
        </is>
      </c>
      <c r="C90" t="inlineStr">
        <is>
          <t>Cali</t>
        </is>
      </c>
      <c r="D90" t="inlineStr">
        <is>
          <t>1120</t>
        </is>
      </c>
      <c r="E90" t="inlineStr">
        <is>
          <t>pagado</t>
        </is>
      </c>
      <c r="F90" s="23" t="n">
        <v>46278</v>
      </c>
      <c r="G90" s="24">
        <f>F90-DATE(2026,8,31)</f>
        <v>13</v>
      </c>
      <c r="H90" s="25" t="n">
        <v>0</v>
      </c>
      <c r="I90" t="inlineStr">
        <is>
          <t>entidad-dia</t>
        </is>
      </c>
    </row>
    <row r="91">
      <c r="A91" t="inlineStr">
        <is>
          <t>PRAGMA</t>
        </is>
      </c>
      <c r="B91" t="inlineStr">
        <is>
          <t>M1</t>
        </is>
      </c>
      <c r="C91" t="inlineStr">
        <is>
          <t>Cali</t>
        </is>
      </c>
      <c r="D91" t="inlineStr">
        <is>
          <t>1120</t>
        </is>
      </c>
      <c r="E91" t="inlineStr">
        <is>
          <t>pagado</t>
        </is>
      </c>
      <c r="F91" s="23" t="n">
        <v>46279</v>
      </c>
      <c r="G91" s="24">
        <f>F91-DATE(2026,8,31)</f>
        <v>14</v>
      </c>
      <c r="H91" s="25" t="n">
        <v>0</v>
      </c>
      <c r="I91" t="inlineStr">
        <is>
          <t>entidad-dia</t>
        </is>
      </c>
    </row>
    <row r="92">
      <c r="A92" t="inlineStr">
        <is>
          <t>PRAGMA</t>
        </is>
      </c>
      <c r="B92" t="inlineStr">
        <is>
          <t>M1</t>
        </is>
      </c>
      <c r="C92" t="inlineStr">
        <is>
          <t>Cali</t>
        </is>
      </c>
      <c r="D92" t="inlineStr">
        <is>
          <t>1120</t>
        </is>
      </c>
      <c r="E92" t="inlineStr">
        <is>
          <t>pagado</t>
        </is>
      </c>
      <c r="F92" s="23" t="n">
        <v>46280</v>
      </c>
      <c r="G92" s="24">
        <f>F92-DATE(2026,8,31)</f>
        <v>15</v>
      </c>
      <c r="H92" s="25" t="n">
        <v>0</v>
      </c>
      <c r="I92" t="inlineStr">
        <is>
          <t>entidad-dia</t>
        </is>
      </c>
    </row>
    <row r="93">
      <c r="A93" t="inlineStr">
        <is>
          <t>PRAGMA</t>
        </is>
      </c>
      <c r="B93" t="inlineStr">
        <is>
          <t>M1</t>
        </is>
      </c>
      <c r="C93" t="inlineStr">
        <is>
          <t>Cali</t>
        </is>
      </c>
      <c r="D93" t="inlineStr">
        <is>
          <t>1121</t>
        </is>
      </c>
      <c r="E93" t="inlineStr">
        <is>
          <t>pagado</t>
        </is>
      </c>
      <c r="F93" s="23" t="n">
        <v>46266</v>
      </c>
      <c r="G93" s="24">
        <f>F93-DATE(2026,8,31)</f>
        <v>1</v>
      </c>
      <c r="H93" s="25" t="n">
        <v>0</v>
      </c>
      <c r="I93" t="inlineStr">
        <is>
          <t>entidad-dia</t>
        </is>
      </c>
    </row>
    <row r="94">
      <c r="A94" t="inlineStr">
        <is>
          <t>PRAGMA</t>
        </is>
      </c>
      <c r="B94" t="inlineStr">
        <is>
          <t>M1</t>
        </is>
      </c>
      <c r="C94" t="inlineStr">
        <is>
          <t>Cali</t>
        </is>
      </c>
      <c r="D94" t="inlineStr">
        <is>
          <t>1121</t>
        </is>
      </c>
      <c r="E94" t="inlineStr">
        <is>
          <t>pagado</t>
        </is>
      </c>
      <c r="F94" s="23" t="n">
        <v>46267</v>
      </c>
      <c r="G94" s="24">
        <f>F94-DATE(2026,8,31)</f>
        <v>2</v>
      </c>
      <c r="H94" s="25" t="n">
        <v>0</v>
      </c>
      <c r="I94" t="inlineStr">
        <is>
          <t>entidad-dia</t>
        </is>
      </c>
    </row>
    <row r="95">
      <c r="A95" t="inlineStr">
        <is>
          <t>PRAGMA</t>
        </is>
      </c>
      <c r="B95" t="inlineStr">
        <is>
          <t>M1</t>
        </is>
      </c>
      <c r="C95" t="inlineStr">
        <is>
          <t>Cali</t>
        </is>
      </c>
      <c r="D95" t="inlineStr">
        <is>
          <t>1121</t>
        </is>
      </c>
      <c r="E95" t="inlineStr">
        <is>
          <t>pagado</t>
        </is>
      </c>
      <c r="F95" s="23" t="n">
        <v>46268</v>
      </c>
      <c r="G95" s="24">
        <f>F95-DATE(2026,8,31)</f>
        <v>3</v>
      </c>
      <c r="H95" s="25" t="n">
        <v>0</v>
      </c>
      <c r="I95" t="inlineStr">
        <is>
          <t>entidad-dia</t>
        </is>
      </c>
    </row>
    <row r="96">
      <c r="A96" t="inlineStr">
        <is>
          <t>PRAGMA</t>
        </is>
      </c>
      <c r="B96" t="inlineStr">
        <is>
          <t>M1</t>
        </is>
      </c>
      <c r="C96" t="inlineStr">
        <is>
          <t>Cali</t>
        </is>
      </c>
      <c r="D96" t="inlineStr">
        <is>
          <t>1121</t>
        </is>
      </c>
      <c r="E96" t="inlineStr">
        <is>
          <t>pagado</t>
        </is>
      </c>
      <c r="F96" s="23" t="n">
        <v>46269</v>
      </c>
      <c r="G96" s="24">
        <f>F96-DATE(2026,8,31)</f>
        <v>4</v>
      </c>
      <c r="H96" s="25" t="n">
        <v>0</v>
      </c>
      <c r="I96" t="inlineStr">
        <is>
          <t>entidad-dia</t>
        </is>
      </c>
    </row>
    <row r="97">
      <c r="A97" t="inlineStr">
        <is>
          <t>PRAGMA</t>
        </is>
      </c>
      <c r="B97" t="inlineStr">
        <is>
          <t>M1</t>
        </is>
      </c>
      <c r="C97" t="inlineStr">
        <is>
          <t>Cali</t>
        </is>
      </c>
      <c r="D97" t="inlineStr">
        <is>
          <t>1121</t>
        </is>
      </c>
      <c r="E97" t="inlineStr">
        <is>
          <t>pagado</t>
        </is>
      </c>
      <c r="F97" s="23" t="n">
        <v>46270</v>
      </c>
      <c r="G97" s="24">
        <f>F97-DATE(2026,8,31)</f>
        <v>5</v>
      </c>
      <c r="H97" s="25" t="n">
        <v>0</v>
      </c>
      <c r="I97" t="inlineStr">
        <is>
          <t>entidad-dia</t>
        </is>
      </c>
    </row>
    <row r="98">
      <c r="A98" t="inlineStr">
        <is>
          <t>PRAGMA</t>
        </is>
      </c>
      <c r="B98" t="inlineStr">
        <is>
          <t>M1</t>
        </is>
      </c>
      <c r="C98" t="inlineStr">
        <is>
          <t>Cali</t>
        </is>
      </c>
      <c r="D98" t="inlineStr">
        <is>
          <t>1121</t>
        </is>
      </c>
      <c r="E98" t="inlineStr">
        <is>
          <t>pagado</t>
        </is>
      </c>
      <c r="F98" s="23" t="n">
        <v>46271</v>
      </c>
      <c r="G98" s="24">
        <f>F98-DATE(2026,8,31)</f>
        <v>6</v>
      </c>
      <c r="H98" s="25" t="n">
        <v>0</v>
      </c>
      <c r="I98" t="inlineStr">
        <is>
          <t>entidad-dia</t>
        </is>
      </c>
    </row>
    <row r="99">
      <c r="A99" t="inlineStr">
        <is>
          <t>PRAGMA</t>
        </is>
      </c>
      <c r="B99" t="inlineStr">
        <is>
          <t>M1</t>
        </is>
      </c>
      <c r="C99" t="inlineStr">
        <is>
          <t>Cali</t>
        </is>
      </c>
      <c r="D99" t="inlineStr">
        <is>
          <t>1121</t>
        </is>
      </c>
      <c r="E99" t="inlineStr">
        <is>
          <t>pagado</t>
        </is>
      </c>
      <c r="F99" s="23" t="n">
        <v>46272</v>
      </c>
      <c r="G99" s="24">
        <f>F99-DATE(2026,8,31)</f>
        <v>7</v>
      </c>
      <c r="H99" s="25" t="n">
        <v>0</v>
      </c>
      <c r="I99" t="inlineStr">
        <is>
          <t>entidad-dia</t>
        </is>
      </c>
    </row>
    <row r="100">
      <c r="A100" t="inlineStr">
        <is>
          <t>PRAGMA</t>
        </is>
      </c>
      <c r="B100" t="inlineStr">
        <is>
          <t>M1</t>
        </is>
      </c>
      <c r="C100" t="inlineStr">
        <is>
          <t>Cali</t>
        </is>
      </c>
      <c r="D100" t="inlineStr">
        <is>
          <t>1121</t>
        </is>
      </c>
      <c r="E100" t="inlineStr">
        <is>
          <t>pagado</t>
        </is>
      </c>
      <c r="F100" s="23" t="n">
        <v>46273</v>
      </c>
      <c r="G100" s="24">
        <f>F100-DATE(2026,8,31)</f>
        <v>8</v>
      </c>
      <c r="H100" s="25" t="n">
        <v>0</v>
      </c>
      <c r="I100" t="inlineStr">
        <is>
          <t>entidad-dia</t>
        </is>
      </c>
    </row>
    <row r="101">
      <c r="A101" t="inlineStr">
        <is>
          <t>PRAGMA</t>
        </is>
      </c>
      <c r="B101" t="inlineStr">
        <is>
          <t>M1</t>
        </is>
      </c>
      <c r="C101" t="inlineStr">
        <is>
          <t>Cali</t>
        </is>
      </c>
      <c r="D101" t="inlineStr">
        <is>
          <t>1121</t>
        </is>
      </c>
      <c r="E101" t="inlineStr">
        <is>
          <t>pagado</t>
        </is>
      </c>
      <c r="F101" s="23" t="n">
        <v>46274</v>
      </c>
      <c r="G101" s="24">
        <f>F101-DATE(2026,8,31)</f>
        <v>9</v>
      </c>
      <c r="H101" s="25" t="n">
        <v>0</v>
      </c>
      <c r="I101" t="inlineStr">
        <is>
          <t>entidad-dia</t>
        </is>
      </c>
    </row>
    <row r="102">
      <c r="A102" t="inlineStr">
        <is>
          <t>PRAGMA</t>
        </is>
      </c>
      <c r="B102" t="inlineStr">
        <is>
          <t>M1</t>
        </is>
      </c>
      <c r="C102" t="inlineStr">
        <is>
          <t>Cali</t>
        </is>
      </c>
      <c r="D102" t="inlineStr">
        <is>
          <t>1121</t>
        </is>
      </c>
      <c r="E102" t="inlineStr">
        <is>
          <t>pagado</t>
        </is>
      </c>
      <c r="F102" s="23" t="n">
        <v>46275</v>
      </c>
      <c r="G102" s="24">
        <f>F102-DATE(2026,8,31)</f>
        <v>10</v>
      </c>
      <c r="H102" s="25" t="n">
        <v>0</v>
      </c>
      <c r="I102" t="inlineStr">
        <is>
          <t>entidad-dia</t>
        </is>
      </c>
    </row>
    <row r="103">
      <c r="A103" t="inlineStr">
        <is>
          <t>PRAGMA</t>
        </is>
      </c>
      <c r="B103" t="inlineStr">
        <is>
          <t>M1</t>
        </is>
      </c>
      <c r="C103" t="inlineStr">
        <is>
          <t>Cali</t>
        </is>
      </c>
      <c r="D103" t="inlineStr">
        <is>
          <t>1121</t>
        </is>
      </c>
      <c r="E103" t="inlineStr">
        <is>
          <t>pagado</t>
        </is>
      </c>
      <c r="F103" s="23" t="n">
        <v>46276</v>
      </c>
      <c r="G103" s="24">
        <f>F103-DATE(2026,8,31)</f>
        <v>11</v>
      </c>
      <c r="H103" s="25" t="n">
        <v>0</v>
      </c>
      <c r="I103" t="inlineStr">
        <is>
          <t>entidad-dia</t>
        </is>
      </c>
    </row>
    <row r="104">
      <c r="A104" t="inlineStr">
        <is>
          <t>PRAGMA</t>
        </is>
      </c>
      <c r="B104" t="inlineStr">
        <is>
          <t>M1</t>
        </is>
      </c>
      <c r="C104" t="inlineStr">
        <is>
          <t>Cali</t>
        </is>
      </c>
      <c r="D104" t="inlineStr">
        <is>
          <t>1121</t>
        </is>
      </c>
      <c r="E104" t="inlineStr">
        <is>
          <t>pagado</t>
        </is>
      </c>
      <c r="F104" s="23" t="n">
        <v>46277</v>
      </c>
      <c r="G104" s="24">
        <f>F104-DATE(2026,8,31)</f>
        <v>12</v>
      </c>
      <c r="H104" s="25" t="n">
        <v>0</v>
      </c>
      <c r="I104" t="inlineStr">
        <is>
          <t>entidad-dia</t>
        </is>
      </c>
    </row>
    <row r="105">
      <c r="A105" t="inlineStr">
        <is>
          <t>PRAGMA</t>
        </is>
      </c>
      <c r="B105" t="inlineStr">
        <is>
          <t>M1</t>
        </is>
      </c>
      <c r="C105" t="inlineStr">
        <is>
          <t>Cali</t>
        </is>
      </c>
      <c r="D105" t="inlineStr">
        <is>
          <t>1121</t>
        </is>
      </c>
      <c r="E105" t="inlineStr">
        <is>
          <t>pagado</t>
        </is>
      </c>
      <c r="F105" s="23" t="n">
        <v>46278</v>
      </c>
      <c r="G105" s="24">
        <f>F105-DATE(2026,8,31)</f>
        <v>13</v>
      </c>
      <c r="H105" s="25" t="n">
        <v>0</v>
      </c>
      <c r="I105" t="inlineStr">
        <is>
          <t>entidad-dia</t>
        </is>
      </c>
    </row>
    <row r="106">
      <c r="A106" t="inlineStr">
        <is>
          <t>PRAGMA</t>
        </is>
      </c>
      <c r="B106" t="inlineStr">
        <is>
          <t>M1</t>
        </is>
      </c>
      <c r="C106" t="inlineStr">
        <is>
          <t>Cali</t>
        </is>
      </c>
      <c r="D106" t="inlineStr">
        <is>
          <t>1121</t>
        </is>
      </c>
      <c r="E106" t="inlineStr">
        <is>
          <t>pagado</t>
        </is>
      </c>
      <c r="F106" s="23" t="n">
        <v>46279</v>
      </c>
      <c r="G106" s="24">
        <f>F106-DATE(2026,8,31)</f>
        <v>14</v>
      </c>
      <c r="H106" s="25" t="n">
        <v>0</v>
      </c>
      <c r="I106" t="inlineStr">
        <is>
          <t>entidad-dia</t>
        </is>
      </c>
    </row>
    <row r="107">
      <c r="A107" t="inlineStr">
        <is>
          <t>PRAGMA</t>
        </is>
      </c>
      <c r="B107" t="inlineStr">
        <is>
          <t>M1</t>
        </is>
      </c>
      <c r="C107" t="inlineStr">
        <is>
          <t>Cali</t>
        </is>
      </c>
      <c r="D107" t="inlineStr">
        <is>
          <t>1121</t>
        </is>
      </c>
      <c r="E107" t="inlineStr">
        <is>
          <t>pagado</t>
        </is>
      </c>
      <c r="F107" s="23" t="n">
        <v>46280</v>
      </c>
      <c r="G107" s="24">
        <f>F107-DATE(2026,8,31)</f>
        <v>15</v>
      </c>
      <c r="H107" s="25" t="n">
        <v>0</v>
      </c>
      <c r="I107" t="inlineStr">
        <is>
          <t>entidad-dia</t>
        </is>
      </c>
    </row>
    <row r="108">
      <c r="A108" t="inlineStr">
        <is>
          <t>PRAGMA</t>
        </is>
      </c>
      <c r="B108" t="inlineStr">
        <is>
          <t>M1</t>
        </is>
      </c>
      <c r="C108" t="inlineStr">
        <is>
          <t>Cali</t>
        </is>
      </c>
      <c r="D108" t="inlineStr">
        <is>
          <t>1122</t>
        </is>
      </c>
      <c r="E108" t="inlineStr">
        <is>
          <t>pagado</t>
        </is>
      </c>
      <c r="F108" s="23" t="n">
        <v>46266</v>
      </c>
      <c r="G108" s="24">
        <f>F108-DATE(2026,8,31)</f>
        <v>1</v>
      </c>
      <c r="H108" s="25" t="n">
        <v>0</v>
      </c>
      <c r="I108" t="inlineStr">
        <is>
          <t>entidad-dia</t>
        </is>
      </c>
    </row>
    <row r="109">
      <c r="A109" t="inlineStr">
        <is>
          <t>PRAGMA</t>
        </is>
      </c>
      <c r="B109" t="inlineStr">
        <is>
          <t>M1</t>
        </is>
      </c>
      <c r="C109" t="inlineStr">
        <is>
          <t>Cali</t>
        </is>
      </c>
      <c r="D109" t="inlineStr">
        <is>
          <t>1122</t>
        </is>
      </c>
      <c r="E109" t="inlineStr">
        <is>
          <t>pagado</t>
        </is>
      </c>
      <c r="F109" s="23" t="n">
        <v>46267</v>
      </c>
      <c r="G109" s="24">
        <f>F109-DATE(2026,8,31)</f>
        <v>2</v>
      </c>
      <c r="H109" s="25" t="n">
        <v>0</v>
      </c>
      <c r="I109" t="inlineStr">
        <is>
          <t>entidad-dia</t>
        </is>
      </c>
    </row>
    <row r="110">
      <c r="A110" t="inlineStr">
        <is>
          <t>PRAGMA</t>
        </is>
      </c>
      <c r="B110" t="inlineStr">
        <is>
          <t>M1</t>
        </is>
      </c>
      <c r="C110" t="inlineStr">
        <is>
          <t>Cali</t>
        </is>
      </c>
      <c r="D110" t="inlineStr">
        <is>
          <t>1122</t>
        </is>
      </c>
      <c r="E110" t="inlineStr">
        <is>
          <t>pagado</t>
        </is>
      </c>
      <c r="F110" s="23" t="n">
        <v>46268</v>
      </c>
      <c r="G110" s="24">
        <f>F110-DATE(2026,8,31)</f>
        <v>3</v>
      </c>
      <c r="H110" s="25" t="n">
        <v>0</v>
      </c>
      <c r="I110" t="inlineStr">
        <is>
          <t>entidad-dia</t>
        </is>
      </c>
    </row>
    <row r="111">
      <c r="A111" t="inlineStr">
        <is>
          <t>PRAGMA</t>
        </is>
      </c>
      <c r="B111" t="inlineStr">
        <is>
          <t>M1</t>
        </is>
      </c>
      <c r="C111" t="inlineStr">
        <is>
          <t>Cali</t>
        </is>
      </c>
      <c r="D111" t="inlineStr">
        <is>
          <t>1122</t>
        </is>
      </c>
      <c r="E111" t="inlineStr">
        <is>
          <t>pagado</t>
        </is>
      </c>
      <c r="F111" s="23" t="n">
        <v>46269</v>
      </c>
      <c r="G111" s="24">
        <f>F111-DATE(2026,8,31)</f>
        <v>4</v>
      </c>
      <c r="H111" s="25" t="n">
        <v>0</v>
      </c>
      <c r="I111" t="inlineStr">
        <is>
          <t>entidad-dia</t>
        </is>
      </c>
    </row>
    <row r="112">
      <c r="A112" t="inlineStr">
        <is>
          <t>PRAGMA</t>
        </is>
      </c>
      <c r="B112" t="inlineStr">
        <is>
          <t>M1</t>
        </is>
      </c>
      <c r="C112" t="inlineStr">
        <is>
          <t>Cali</t>
        </is>
      </c>
      <c r="D112" t="inlineStr">
        <is>
          <t>1122</t>
        </is>
      </c>
      <c r="E112" t="inlineStr">
        <is>
          <t>pagado</t>
        </is>
      </c>
      <c r="F112" s="23" t="n">
        <v>46270</v>
      </c>
      <c r="G112" s="24">
        <f>F112-DATE(2026,8,31)</f>
        <v>5</v>
      </c>
      <c r="H112" s="25" t="n">
        <v>0</v>
      </c>
      <c r="I112" t="inlineStr">
        <is>
          <t>entidad-dia</t>
        </is>
      </c>
    </row>
    <row r="113">
      <c r="A113" t="inlineStr">
        <is>
          <t>PRAGMA</t>
        </is>
      </c>
      <c r="B113" t="inlineStr">
        <is>
          <t>M1</t>
        </is>
      </c>
      <c r="C113" t="inlineStr">
        <is>
          <t>Cali</t>
        </is>
      </c>
      <c r="D113" t="inlineStr">
        <is>
          <t>1122</t>
        </is>
      </c>
      <c r="E113" t="inlineStr">
        <is>
          <t>pagado</t>
        </is>
      </c>
      <c r="F113" s="23" t="n">
        <v>46271</v>
      </c>
      <c r="G113" s="24">
        <f>F113-DATE(2026,8,31)</f>
        <v>6</v>
      </c>
      <c r="H113" s="25" t="n">
        <v>0</v>
      </c>
      <c r="I113" t="inlineStr">
        <is>
          <t>entidad-dia</t>
        </is>
      </c>
    </row>
    <row r="114">
      <c r="A114" t="inlineStr">
        <is>
          <t>PRAGMA</t>
        </is>
      </c>
      <c r="B114" t="inlineStr">
        <is>
          <t>M1</t>
        </is>
      </c>
      <c r="C114" t="inlineStr">
        <is>
          <t>Cali</t>
        </is>
      </c>
      <c r="D114" t="inlineStr">
        <is>
          <t>1122</t>
        </is>
      </c>
      <c r="E114" t="inlineStr">
        <is>
          <t>pagado</t>
        </is>
      </c>
      <c r="F114" s="23" t="n">
        <v>46272</v>
      </c>
      <c r="G114" s="24">
        <f>F114-DATE(2026,8,31)</f>
        <v>7</v>
      </c>
      <c r="H114" s="25" t="n">
        <v>0</v>
      </c>
      <c r="I114" t="inlineStr">
        <is>
          <t>entidad-dia</t>
        </is>
      </c>
    </row>
    <row r="115">
      <c r="A115" t="inlineStr">
        <is>
          <t>PRAGMA</t>
        </is>
      </c>
      <c r="B115" t="inlineStr">
        <is>
          <t>M1</t>
        </is>
      </c>
      <c r="C115" t="inlineStr">
        <is>
          <t>Cali</t>
        </is>
      </c>
      <c r="D115" t="inlineStr">
        <is>
          <t>1122</t>
        </is>
      </c>
      <c r="E115" t="inlineStr">
        <is>
          <t>pagado</t>
        </is>
      </c>
      <c r="F115" s="23" t="n">
        <v>46273</v>
      </c>
      <c r="G115" s="24">
        <f>F115-DATE(2026,8,31)</f>
        <v>8</v>
      </c>
      <c r="H115" s="25" t="n">
        <v>0</v>
      </c>
      <c r="I115" t="inlineStr">
        <is>
          <t>entidad-dia</t>
        </is>
      </c>
    </row>
    <row r="116">
      <c r="A116" t="inlineStr">
        <is>
          <t>PRAGMA</t>
        </is>
      </c>
      <c r="B116" t="inlineStr">
        <is>
          <t>M1</t>
        </is>
      </c>
      <c r="C116" t="inlineStr">
        <is>
          <t>Cali</t>
        </is>
      </c>
      <c r="D116" t="inlineStr">
        <is>
          <t>1122</t>
        </is>
      </c>
      <c r="E116" t="inlineStr">
        <is>
          <t>pagado</t>
        </is>
      </c>
      <c r="F116" s="23" t="n">
        <v>46274</v>
      </c>
      <c r="G116" s="24">
        <f>F116-DATE(2026,8,31)</f>
        <v>9</v>
      </c>
      <c r="H116" s="25" t="n">
        <v>0</v>
      </c>
      <c r="I116" t="inlineStr">
        <is>
          <t>entidad-dia</t>
        </is>
      </c>
    </row>
    <row r="117">
      <c r="A117" t="inlineStr">
        <is>
          <t>PRAGMA</t>
        </is>
      </c>
      <c r="B117" t="inlineStr">
        <is>
          <t>M1</t>
        </is>
      </c>
      <c r="C117" t="inlineStr">
        <is>
          <t>Cali</t>
        </is>
      </c>
      <c r="D117" t="inlineStr">
        <is>
          <t>1122</t>
        </is>
      </c>
      <c r="E117" t="inlineStr">
        <is>
          <t>pagado</t>
        </is>
      </c>
      <c r="F117" s="23" t="n">
        <v>46275</v>
      </c>
      <c r="G117" s="24">
        <f>F117-DATE(2026,8,31)</f>
        <v>10</v>
      </c>
      <c r="H117" s="25" t="n">
        <v>0</v>
      </c>
      <c r="I117" t="inlineStr">
        <is>
          <t>entidad-dia</t>
        </is>
      </c>
    </row>
    <row r="118">
      <c r="A118" t="inlineStr">
        <is>
          <t>PRAGMA</t>
        </is>
      </c>
      <c r="B118" t="inlineStr">
        <is>
          <t>M1</t>
        </is>
      </c>
      <c r="C118" t="inlineStr">
        <is>
          <t>Cali</t>
        </is>
      </c>
      <c r="D118" t="inlineStr">
        <is>
          <t>1122</t>
        </is>
      </c>
      <c r="E118" t="inlineStr">
        <is>
          <t>pagado</t>
        </is>
      </c>
      <c r="F118" s="23" t="n">
        <v>46276</v>
      </c>
      <c r="G118" s="24">
        <f>F118-DATE(2026,8,31)</f>
        <v>11</v>
      </c>
      <c r="H118" s="25" t="n">
        <v>0</v>
      </c>
      <c r="I118" t="inlineStr">
        <is>
          <t>entidad-dia</t>
        </is>
      </c>
    </row>
    <row r="119">
      <c r="A119" t="inlineStr">
        <is>
          <t>PRAGMA</t>
        </is>
      </c>
      <c r="B119" t="inlineStr">
        <is>
          <t>M1</t>
        </is>
      </c>
      <c r="C119" t="inlineStr">
        <is>
          <t>Cali</t>
        </is>
      </c>
      <c r="D119" t="inlineStr">
        <is>
          <t>1122</t>
        </is>
      </c>
      <c r="E119" t="inlineStr">
        <is>
          <t>pagado</t>
        </is>
      </c>
      <c r="F119" s="23" t="n">
        <v>46277</v>
      </c>
      <c r="G119" s="24">
        <f>F119-DATE(2026,8,31)</f>
        <v>12</v>
      </c>
      <c r="H119" s="25" t="n">
        <v>0</v>
      </c>
      <c r="I119" t="inlineStr">
        <is>
          <t>entidad-dia</t>
        </is>
      </c>
    </row>
    <row r="120">
      <c r="A120" t="inlineStr">
        <is>
          <t>PRAGMA</t>
        </is>
      </c>
      <c r="B120" t="inlineStr">
        <is>
          <t>M1</t>
        </is>
      </c>
      <c r="C120" t="inlineStr">
        <is>
          <t>Cali</t>
        </is>
      </c>
      <c r="D120" t="inlineStr">
        <is>
          <t>1122</t>
        </is>
      </c>
      <c r="E120" t="inlineStr">
        <is>
          <t>pagado</t>
        </is>
      </c>
      <c r="F120" s="23" t="n">
        <v>46278</v>
      </c>
      <c r="G120" s="24">
        <f>F120-DATE(2026,8,31)</f>
        <v>13</v>
      </c>
      <c r="H120" s="25" t="n">
        <v>0</v>
      </c>
      <c r="I120" t="inlineStr">
        <is>
          <t>entidad-dia</t>
        </is>
      </c>
    </row>
    <row r="121">
      <c r="A121" t="inlineStr">
        <is>
          <t>PRAGMA</t>
        </is>
      </c>
      <c r="B121" t="inlineStr">
        <is>
          <t>M1</t>
        </is>
      </c>
      <c r="C121" t="inlineStr">
        <is>
          <t>Cali</t>
        </is>
      </c>
      <c r="D121" t="inlineStr">
        <is>
          <t>1122</t>
        </is>
      </c>
      <c r="E121" t="inlineStr">
        <is>
          <t>pagado</t>
        </is>
      </c>
      <c r="F121" s="23" t="n">
        <v>46279</v>
      </c>
      <c r="G121" s="24">
        <f>F121-DATE(2026,8,31)</f>
        <v>14</v>
      </c>
      <c r="H121" s="25" t="n">
        <v>0</v>
      </c>
      <c r="I121" t="inlineStr">
        <is>
          <t>entidad-dia</t>
        </is>
      </c>
    </row>
    <row r="122">
      <c r="A122" t="inlineStr">
        <is>
          <t>PRAGMA</t>
        </is>
      </c>
      <c r="B122" t="inlineStr">
        <is>
          <t>M1</t>
        </is>
      </c>
      <c r="C122" t="inlineStr">
        <is>
          <t>Cali</t>
        </is>
      </c>
      <c r="D122" t="inlineStr">
        <is>
          <t>1122</t>
        </is>
      </c>
      <c r="E122" t="inlineStr">
        <is>
          <t>pagado</t>
        </is>
      </c>
      <c r="F122" s="23" t="n">
        <v>46280</v>
      </c>
      <c r="G122" s="24">
        <f>F122-DATE(2026,8,31)</f>
        <v>15</v>
      </c>
      <c r="H122" s="25" t="n">
        <v>0</v>
      </c>
      <c r="I122" t="inlineStr">
        <is>
          <t>entidad-dia</t>
        </is>
      </c>
    </row>
    <row r="123">
      <c r="A123" t="inlineStr">
        <is>
          <t>PRAGMA</t>
        </is>
      </c>
      <c r="B123" t="inlineStr">
        <is>
          <t>M1</t>
        </is>
      </c>
      <c r="C123" t="inlineStr">
        <is>
          <t>Cali</t>
        </is>
      </c>
      <c r="D123" t="inlineStr">
        <is>
          <t>1124</t>
        </is>
      </c>
      <c r="E123" t="inlineStr">
        <is>
          <t>pagado</t>
        </is>
      </c>
      <c r="F123" s="23" t="n">
        <v>46266</v>
      </c>
      <c r="G123" s="24">
        <f>F123-DATE(2026,8,31)</f>
        <v>1</v>
      </c>
      <c r="H123" s="25" t="n">
        <v>223713144</v>
      </c>
      <c r="I123" t="inlineStr">
        <is>
          <t>entidad-dia</t>
        </is>
      </c>
    </row>
    <row r="124">
      <c r="A124" t="inlineStr">
        <is>
          <t>PRAGMA</t>
        </is>
      </c>
      <c r="B124" t="inlineStr">
        <is>
          <t>M1</t>
        </is>
      </c>
      <c r="C124" t="inlineStr">
        <is>
          <t>Cali</t>
        </is>
      </c>
      <c r="D124" t="inlineStr">
        <is>
          <t>1124</t>
        </is>
      </c>
      <c r="E124" t="inlineStr">
        <is>
          <t>pagado</t>
        </is>
      </c>
      <c r="F124" s="23" t="n">
        <v>46267</v>
      </c>
      <c r="G124" s="24">
        <f>F124-DATE(2026,8,31)</f>
        <v>2</v>
      </c>
      <c r="H124" s="25" t="n">
        <v>177876386</v>
      </c>
      <c r="I124" t="inlineStr">
        <is>
          <t>entidad-dia</t>
        </is>
      </c>
    </row>
    <row r="125">
      <c r="A125" t="inlineStr">
        <is>
          <t>PRAGMA</t>
        </is>
      </c>
      <c r="B125" t="inlineStr">
        <is>
          <t>M1</t>
        </is>
      </c>
      <c r="C125" t="inlineStr">
        <is>
          <t>Cali</t>
        </is>
      </c>
      <c r="D125" t="inlineStr">
        <is>
          <t>1124</t>
        </is>
      </c>
      <c r="E125" t="inlineStr">
        <is>
          <t>pagado</t>
        </is>
      </c>
      <c r="F125" s="23" t="n">
        <v>46268</v>
      </c>
      <c r="G125" s="24">
        <f>F125-DATE(2026,8,31)</f>
        <v>3</v>
      </c>
      <c r="H125" s="25" t="n">
        <v>164372649</v>
      </c>
      <c r="I125" t="inlineStr">
        <is>
          <t>entidad-dia</t>
        </is>
      </c>
    </row>
    <row r="126">
      <c r="A126" t="inlineStr">
        <is>
          <t>PRAGMA</t>
        </is>
      </c>
      <c r="B126" t="inlineStr">
        <is>
          <t>M1</t>
        </is>
      </c>
      <c r="C126" t="inlineStr">
        <is>
          <t>Cali</t>
        </is>
      </c>
      <c r="D126" t="inlineStr">
        <is>
          <t>1124</t>
        </is>
      </c>
      <c r="E126" t="inlineStr">
        <is>
          <t>pagado</t>
        </is>
      </c>
      <c r="F126" s="23" t="n">
        <v>46269</v>
      </c>
      <c r="G126" s="24">
        <f>F126-DATE(2026,8,31)</f>
        <v>4</v>
      </c>
      <c r="H126" s="25" t="n">
        <v>166555779</v>
      </c>
      <c r="I126" t="inlineStr">
        <is>
          <t>entidad-dia</t>
        </is>
      </c>
    </row>
    <row r="127">
      <c r="A127" t="inlineStr">
        <is>
          <t>PRAGMA</t>
        </is>
      </c>
      <c r="B127" t="inlineStr">
        <is>
          <t>M1</t>
        </is>
      </c>
      <c r="C127" t="inlineStr">
        <is>
          <t>Cali</t>
        </is>
      </c>
      <c r="D127" t="inlineStr">
        <is>
          <t>1124</t>
        </is>
      </c>
      <c r="E127" t="inlineStr">
        <is>
          <t>pagado</t>
        </is>
      </c>
      <c r="F127" s="23" t="n">
        <v>46270</v>
      </c>
      <c r="G127" s="24">
        <f>F127-DATE(2026,8,31)</f>
        <v>5</v>
      </c>
      <c r="H127" s="25" t="n">
        <v>158342870</v>
      </c>
      <c r="I127" t="inlineStr">
        <is>
          <t>entidad-dia</t>
        </is>
      </c>
    </row>
    <row r="128">
      <c r="A128" t="inlineStr">
        <is>
          <t>PRAGMA</t>
        </is>
      </c>
      <c r="B128" t="inlineStr">
        <is>
          <t>M1</t>
        </is>
      </c>
      <c r="C128" t="inlineStr">
        <is>
          <t>Cali</t>
        </is>
      </c>
      <c r="D128" t="inlineStr">
        <is>
          <t>1124</t>
        </is>
      </c>
      <c r="E128" t="inlineStr">
        <is>
          <t>pagado</t>
        </is>
      </c>
      <c r="F128" s="23" t="n">
        <v>46271</v>
      </c>
      <c r="G128" s="24">
        <f>F128-DATE(2026,8,31)</f>
        <v>6</v>
      </c>
      <c r="H128" s="25" t="n">
        <v>102980974</v>
      </c>
      <c r="I128" t="inlineStr">
        <is>
          <t>entidad-dia</t>
        </is>
      </c>
    </row>
    <row r="129">
      <c r="A129" t="inlineStr">
        <is>
          <t>PRAGMA</t>
        </is>
      </c>
      <c r="B129" t="inlineStr">
        <is>
          <t>M1</t>
        </is>
      </c>
      <c r="C129" t="inlineStr">
        <is>
          <t>Cali</t>
        </is>
      </c>
      <c r="D129" t="inlineStr">
        <is>
          <t>1124</t>
        </is>
      </c>
      <c r="E129" t="inlineStr">
        <is>
          <t>pagado</t>
        </is>
      </c>
      <c r="F129" s="23" t="n">
        <v>46272</v>
      </c>
      <c r="G129" s="24">
        <f>F129-DATE(2026,8,31)</f>
        <v>7</v>
      </c>
      <c r="H129" s="25" t="n">
        <v>118420227</v>
      </c>
      <c r="I129" t="inlineStr">
        <is>
          <t>entidad-dia</t>
        </is>
      </c>
    </row>
    <row r="130">
      <c r="A130" t="inlineStr">
        <is>
          <t>PRAGMA</t>
        </is>
      </c>
      <c r="B130" t="inlineStr">
        <is>
          <t>M1</t>
        </is>
      </c>
      <c r="C130" t="inlineStr">
        <is>
          <t>Cali</t>
        </is>
      </c>
      <c r="D130" t="inlineStr">
        <is>
          <t>1124</t>
        </is>
      </c>
      <c r="E130" t="inlineStr">
        <is>
          <t>pagado</t>
        </is>
      </c>
      <c r="F130" s="23" t="n">
        <v>46273</v>
      </c>
      <c r="G130" s="24">
        <f>F130-DATE(2026,8,31)</f>
        <v>8</v>
      </c>
      <c r="H130" s="25" t="n">
        <v>116927957</v>
      </c>
      <c r="I130" t="inlineStr">
        <is>
          <t>entidad-dia</t>
        </is>
      </c>
    </row>
    <row r="131">
      <c r="A131" t="inlineStr">
        <is>
          <t>PRAGMA</t>
        </is>
      </c>
      <c r="B131" t="inlineStr">
        <is>
          <t>M1</t>
        </is>
      </c>
      <c r="C131" t="inlineStr">
        <is>
          <t>Cali</t>
        </is>
      </c>
      <c r="D131" t="inlineStr">
        <is>
          <t>1124</t>
        </is>
      </c>
      <c r="E131" t="inlineStr">
        <is>
          <t>pagado</t>
        </is>
      </c>
      <c r="F131" s="23" t="n">
        <v>46274</v>
      </c>
      <c r="G131" s="24">
        <f>F131-DATE(2026,8,31)</f>
        <v>9</v>
      </c>
      <c r="H131" s="25" t="n">
        <v>119515945</v>
      </c>
      <c r="I131" t="inlineStr">
        <is>
          <t>entidad-dia</t>
        </is>
      </c>
    </row>
    <row r="132">
      <c r="A132" t="inlineStr">
        <is>
          <t>PRAGMA</t>
        </is>
      </c>
      <c r="B132" t="inlineStr">
        <is>
          <t>M1</t>
        </is>
      </c>
      <c r="C132" t="inlineStr">
        <is>
          <t>Cali</t>
        </is>
      </c>
      <c r="D132" t="inlineStr">
        <is>
          <t>1124</t>
        </is>
      </c>
      <c r="E132" t="inlineStr">
        <is>
          <t>pagado</t>
        </is>
      </c>
      <c r="F132" s="23" t="n">
        <v>46275</v>
      </c>
      <c r="G132" s="24">
        <f>F132-DATE(2026,8,31)</f>
        <v>10</v>
      </c>
      <c r="H132" s="25" t="n">
        <v>110426309</v>
      </c>
      <c r="I132" t="inlineStr">
        <is>
          <t>entidad-dia</t>
        </is>
      </c>
    </row>
    <row r="133">
      <c r="A133" t="inlineStr">
        <is>
          <t>PRAGMA</t>
        </is>
      </c>
      <c r="B133" t="inlineStr">
        <is>
          <t>M1</t>
        </is>
      </c>
      <c r="C133" t="inlineStr">
        <is>
          <t>Cali</t>
        </is>
      </c>
      <c r="D133" t="inlineStr">
        <is>
          <t>1124</t>
        </is>
      </c>
      <c r="E133" t="inlineStr">
        <is>
          <t>pagado</t>
        </is>
      </c>
      <c r="F133" s="23" t="n">
        <v>46276</v>
      </c>
      <c r="G133" s="24">
        <f>F133-DATE(2026,8,31)</f>
        <v>11</v>
      </c>
      <c r="H133" s="25" t="n">
        <v>118349349</v>
      </c>
      <c r="I133" t="inlineStr">
        <is>
          <t>entidad-dia</t>
        </is>
      </c>
    </row>
    <row r="134">
      <c r="A134" t="inlineStr">
        <is>
          <t>PRAGMA</t>
        </is>
      </c>
      <c r="B134" t="inlineStr">
        <is>
          <t>M1</t>
        </is>
      </c>
      <c r="C134" t="inlineStr">
        <is>
          <t>Cali</t>
        </is>
      </c>
      <c r="D134" t="inlineStr">
        <is>
          <t>1124</t>
        </is>
      </c>
      <c r="E134" t="inlineStr">
        <is>
          <t>pagado</t>
        </is>
      </c>
      <c r="F134" s="23" t="n">
        <v>46277</v>
      </c>
      <c r="G134" s="24">
        <f>F134-DATE(2026,8,31)</f>
        <v>12</v>
      </c>
      <c r="H134" s="25" t="n">
        <v>118319289</v>
      </c>
      <c r="I134" t="inlineStr">
        <is>
          <t>entidad-dia</t>
        </is>
      </c>
    </row>
    <row r="135">
      <c r="A135" t="inlineStr">
        <is>
          <t>PRAGMA</t>
        </is>
      </c>
      <c r="B135" t="inlineStr">
        <is>
          <t>M1</t>
        </is>
      </c>
      <c r="C135" t="inlineStr">
        <is>
          <t>Cali</t>
        </is>
      </c>
      <c r="D135" t="inlineStr">
        <is>
          <t>1124</t>
        </is>
      </c>
      <c r="E135" t="inlineStr">
        <is>
          <t>pagado</t>
        </is>
      </c>
      <c r="F135" s="23" t="n">
        <v>46278</v>
      </c>
      <c r="G135" s="24">
        <f>F135-DATE(2026,8,31)</f>
        <v>13</v>
      </c>
      <c r="H135" s="25" t="n">
        <v>81367293</v>
      </c>
      <c r="I135" t="inlineStr">
        <is>
          <t>entidad-dia</t>
        </is>
      </c>
    </row>
    <row r="136">
      <c r="A136" t="inlineStr">
        <is>
          <t>PRAGMA</t>
        </is>
      </c>
      <c r="B136" t="inlineStr">
        <is>
          <t>M1</t>
        </is>
      </c>
      <c r="C136" t="inlineStr">
        <is>
          <t>Cali</t>
        </is>
      </c>
      <c r="D136" t="inlineStr">
        <is>
          <t>1124</t>
        </is>
      </c>
      <c r="E136" t="inlineStr">
        <is>
          <t>pagado</t>
        </is>
      </c>
      <c r="F136" s="23" t="n">
        <v>46279</v>
      </c>
      <c r="G136" s="24">
        <f>F136-DATE(2026,8,31)</f>
        <v>14</v>
      </c>
      <c r="H136" s="25" t="n">
        <v>127174003</v>
      </c>
      <c r="I136" t="inlineStr">
        <is>
          <t>entidad-dia</t>
        </is>
      </c>
    </row>
    <row r="137">
      <c r="A137" t="inlineStr">
        <is>
          <t>PRAGMA</t>
        </is>
      </c>
      <c r="B137" t="inlineStr">
        <is>
          <t>M1</t>
        </is>
      </c>
      <c r="C137" t="inlineStr">
        <is>
          <t>Cali</t>
        </is>
      </c>
      <c r="D137" t="inlineStr">
        <is>
          <t>1124</t>
        </is>
      </c>
      <c r="E137" t="inlineStr">
        <is>
          <t>pagado</t>
        </is>
      </c>
      <c r="F137" s="23" t="n">
        <v>46280</v>
      </c>
      <c r="G137" s="24">
        <f>F137-DATE(2026,8,31)</f>
        <v>15</v>
      </c>
      <c r="H137" s="25" t="n">
        <v>170738703</v>
      </c>
      <c r="I137" t="inlineStr">
        <is>
          <t>entidad-dia</t>
        </is>
      </c>
    </row>
    <row r="138">
      <c r="A138" t="inlineStr">
        <is>
          <t>PRAGMA</t>
        </is>
      </c>
      <c r="B138" t="inlineStr">
        <is>
          <t>M1</t>
        </is>
      </c>
      <c r="C138" t="inlineStr">
        <is>
          <t>Cali</t>
        </is>
      </c>
      <c r="D138" t="inlineStr">
        <is>
          <t>1150</t>
        </is>
      </c>
      <c r="E138" t="inlineStr">
        <is>
          <t>pagado</t>
        </is>
      </c>
      <c r="F138" s="23" t="n">
        <v>46266</v>
      </c>
      <c r="G138" s="24">
        <f>F138-DATE(2026,8,31)</f>
        <v>1</v>
      </c>
      <c r="H138" s="25" t="n">
        <v>203100533</v>
      </c>
      <c r="I138" t="inlineStr">
        <is>
          <t>entidad-dia</t>
        </is>
      </c>
    </row>
    <row r="139">
      <c r="A139" t="inlineStr">
        <is>
          <t>PRAGMA</t>
        </is>
      </c>
      <c r="B139" t="inlineStr">
        <is>
          <t>M1</t>
        </is>
      </c>
      <c r="C139" t="inlineStr">
        <is>
          <t>Cali</t>
        </is>
      </c>
      <c r="D139" t="inlineStr">
        <is>
          <t>1150</t>
        </is>
      </c>
      <c r="E139" t="inlineStr">
        <is>
          <t>pagado</t>
        </is>
      </c>
      <c r="F139" s="23" t="n">
        <v>46267</v>
      </c>
      <c r="G139" s="24">
        <f>F139-DATE(2026,8,31)</f>
        <v>2</v>
      </c>
      <c r="H139" s="25" t="n">
        <v>160069370</v>
      </c>
      <c r="I139" t="inlineStr">
        <is>
          <t>entidad-dia</t>
        </is>
      </c>
    </row>
    <row r="140">
      <c r="A140" t="inlineStr">
        <is>
          <t>PRAGMA</t>
        </is>
      </c>
      <c r="B140" t="inlineStr">
        <is>
          <t>M1</t>
        </is>
      </c>
      <c r="C140" t="inlineStr">
        <is>
          <t>Cali</t>
        </is>
      </c>
      <c r="D140" t="inlineStr">
        <is>
          <t>1150</t>
        </is>
      </c>
      <c r="E140" t="inlineStr">
        <is>
          <t>pagado</t>
        </is>
      </c>
      <c r="F140" s="23" t="n">
        <v>46268</v>
      </c>
      <c r="G140" s="24">
        <f>F140-DATE(2026,8,31)</f>
        <v>3</v>
      </c>
      <c r="H140" s="25" t="n">
        <v>147899284</v>
      </c>
      <c r="I140" t="inlineStr">
        <is>
          <t>entidad-dia</t>
        </is>
      </c>
    </row>
    <row r="141">
      <c r="A141" t="inlineStr">
        <is>
          <t>PRAGMA</t>
        </is>
      </c>
      <c r="B141" t="inlineStr">
        <is>
          <t>M1</t>
        </is>
      </c>
      <c r="C141" t="inlineStr">
        <is>
          <t>Cali</t>
        </is>
      </c>
      <c r="D141" t="inlineStr">
        <is>
          <t>1150</t>
        </is>
      </c>
      <c r="E141" t="inlineStr">
        <is>
          <t>pagado</t>
        </is>
      </c>
      <c r="F141" s="23" t="n">
        <v>46269</v>
      </c>
      <c r="G141" s="24">
        <f>F141-DATE(2026,8,31)</f>
        <v>4</v>
      </c>
      <c r="H141" s="25" t="n">
        <v>145391208</v>
      </c>
      <c r="I141" t="inlineStr">
        <is>
          <t>entidad-dia</t>
        </is>
      </c>
    </row>
    <row r="142">
      <c r="A142" t="inlineStr">
        <is>
          <t>PRAGMA</t>
        </is>
      </c>
      <c r="B142" t="inlineStr">
        <is>
          <t>M1</t>
        </is>
      </c>
      <c r="C142" t="inlineStr">
        <is>
          <t>Cali</t>
        </is>
      </c>
      <c r="D142" t="inlineStr">
        <is>
          <t>1150</t>
        </is>
      </c>
      <c r="E142" t="inlineStr">
        <is>
          <t>pagado</t>
        </is>
      </c>
      <c r="F142" s="23" t="n">
        <v>46270</v>
      </c>
      <c r="G142" s="24">
        <f>F142-DATE(2026,8,31)</f>
        <v>5</v>
      </c>
      <c r="H142" s="25" t="n">
        <v>90534402</v>
      </c>
      <c r="I142" t="inlineStr">
        <is>
          <t>entidad-dia</t>
        </is>
      </c>
    </row>
    <row r="143">
      <c r="A143" t="inlineStr">
        <is>
          <t>PRAGMA</t>
        </is>
      </c>
      <c r="B143" t="inlineStr">
        <is>
          <t>M1</t>
        </is>
      </c>
      <c r="C143" t="inlineStr">
        <is>
          <t>Cali</t>
        </is>
      </c>
      <c r="D143" t="inlineStr">
        <is>
          <t>1150</t>
        </is>
      </c>
      <c r="E143" t="inlineStr">
        <is>
          <t>pagado</t>
        </is>
      </c>
      <c r="F143" s="23" t="n">
        <v>46271</v>
      </c>
      <c r="G143" s="24">
        <f>F143-DATE(2026,8,31)</f>
        <v>6</v>
      </c>
      <c r="H143" s="25" t="n">
        <v>43460767</v>
      </c>
      <c r="I143" t="inlineStr">
        <is>
          <t>entidad-dia</t>
        </is>
      </c>
    </row>
    <row r="144">
      <c r="A144" t="inlineStr">
        <is>
          <t>PRAGMA</t>
        </is>
      </c>
      <c r="B144" t="inlineStr">
        <is>
          <t>M1</t>
        </is>
      </c>
      <c r="C144" t="inlineStr">
        <is>
          <t>Cali</t>
        </is>
      </c>
      <c r="D144" t="inlineStr">
        <is>
          <t>1150</t>
        </is>
      </c>
      <c r="E144" t="inlineStr">
        <is>
          <t>pagado</t>
        </is>
      </c>
      <c r="F144" s="23" t="n">
        <v>46272</v>
      </c>
      <c r="G144" s="24">
        <f>F144-DATE(2026,8,31)</f>
        <v>7</v>
      </c>
      <c r="H144" s="25" t="n">
        <v>105012880</v>
      </c>
      <c r="I144" t="inlineStr">
        <is>
          <t>entidad-dia</t>
        </is>
      </c>
    </row>
    <row r="145">
      <c r="A145" t="inlineStr">
        <is>
          <t>PRAGMA</t>
        </is>
      </c>
      <c r="B145" t="inlineStr">
        <is>
          <t>M1</t>
        </is>
      </c>
      <c r="C145" t="inlineStr">
        <is>
          <t>Cali</t>
        </is>
      </c>
      <c r="D145" t="inlineStr">
        <is>
          <t>1150</t>
        </is>
      </c>
      <c r="E145" t="inlineStr">
        <is>
          <t>pagado</t>
        </is>
      </c>
      <c r="F145" s="23" t="n">
        <v>46273</v>
      </c>
      <c r="G145" s="24">
        <f>F145-DATE(2026,8,31)</f>
        <v>8</v>
      </c>
      <c r="H145" s="25" t="n">
        <v>112532516</v>
      </c>
      <c r="I145" t="inlineStr">
        <is>
          <t>entidad-dia</t>
        </is>
      </c>
    </row>
    <row r="146">
      <c r="A146" t="inlineStr">
        <is>
          <t>PRAGMA</t>
        </is>
      </c>
      <c r="B146" t="inlineStr">
        <is>
          <t>M1</t>
        </is>
      </c>
      <c r="C146" t="inlineStr">
        <is>
          <t>Cali</t>
        </is>
      </c>
      <c r="D146" t="inlineStr">
        <is>
          <t>1150</t>
        </is>
      </c>
      <c r="E146" t="inlineStr">
        <is>
          <t>pagado</t>
        </is>
      </c>
      <c r="F146" s="23" t="n">
        <v>46274</v>
      </c>
      <c r="G146" s="24">
        <f>F146-DATE(2026,8,31)</f>
        <v>9</v>
      </c>
      <c r="H146" s="25" t="n">
        <v>115147714</v>
      </c>
      <c r="I146" t="inlineStr">
        <is>
          <t>entidad-dia</t>
        </is>
      </c>
    </row>
    <row r="147">
      <c r="A147" t="inlineStr">
        <is>
          <t>PRAGMA</t>
        </is>
      </c>
      <c r="B147" t="inlineStr">
        <is>
          <t>M1</t>
        </is>
      </c>
      <c r="C147" t="inlineStr">
        <is>
          <t>Cali</t>
        </is>
      </c>
      <c r="D147" t="inlineStr">
        <is>
          <t>1150</t>
        </is>
      </c>
      <c r="E147" t="inlineStr">
        <is>
          <t>pagado</t>
        </is>
      </c>
      <c r="F147" s="23" t="n">
        <v>46275</v>
      </c>
      <c r="G147" s="24">
        <f>F147-DATE(2026,8,31)</f>
        <v>10</v>
      </c>
      <c r="H147" s="25" t="n">
        <v>102665727</v>
      </c>
      <c r="I147" t="inlineStr">
        <is>
          <t>entidad-dia</t>
        </is>
      </c>
    </row>
    <row r="148">
      <c r="A148" t="inlineStr">
        <is>
          <t>PRAGMA</t>
        </is>
      </c>
      <c r="B148" t="inlineStr">
        <is>
          <t>M1</t>
        </is>
      </c>
      <c r="C148" t="inlineStr">
        <is>
          <t>Cali</t>
        </is>
      </c>
      <c r="D148" t="inlineStr">
        <is>
          <t>1150</t>
        </is>
      </c>
      <c r="E148" t="inlineStr">
        <is>
          <t>pagado</t>
        </is>
      </c>
      <c r="F148" s="23" t="n">
        <v>46276</v>
      </c>
      <c r="G148" s="24">
        <f>F148-DATE(2026,8,31)</f>
        <v>11</v>
      </c>
      <c r="H148" s="25" t="n">
        <v>114403497</v>
      </c>
      <c r="I148" t="inlineStr">
        <is>
          <t>entidad-dia</t>
        </is>
      </c>
    </row>
    <row r="149">
      <c r="A149" t="inlineStr">
        <is>
          <t>PRAGMA</t>
        </is>
      </c>
      <c r="B149" t="inlineStr">
        <is>
          <t>M1</t>
        </is>
      </c>
      <c r="C149" t="inlineStr">
        <is>
          <t>Cali</t>
        </is>
      </c>
      <c r="D149" t="inlineStr">
        <is>
          <t>1150</t>
        </is>
      </c>
      <c r="E149" t="inlineStr">
        <is>
          <t>pagado</t>
        </is>
      </c>
      <c r="F149" s="23" t="n">
        <v>46277</v>
      </c>
      <c r="G149" s="24">
        <f>F149-DATE(2026,8,31)</f>
        <v>12</v>
      </c>
      <c r="H149" s="25" t="n">
        <v>72241431</v>
      </c>
      <c r="I149" t="inlineStr">
        <is>
          <t>entidad-dia</t>
        </is>
      </c>
    </row>
    <row r="150">
      <c r="A150" t="inlineStr">
        <is>
          <t>PRAGMA</t>
        </is>
      </c>
      <c r="B150" t="inlineStr">
        <is>
          <t>M1</t>
        </is>
      </c>
      <c r="C150" t="inlineStr">
        <is>
          <t>Cali</t>
        </is>
      </c>
      <c r="D150" t="inlineStr">
        <is>
          <t>1150</t>
        </is>
      </c>
      <c r="E150" t="inlineStr">
        <is>
          <t>pagado</t>
        </is>
      </c>
      <c r="F150" s="23" t="n">
        <v>46278</v>
      </c>
      <c r="G150" s="24">
        <f>F150-DATE(2026,8,31)</f>
        <v>13</v>
      </c>
      <c r="H150" s="25" t="n">
        <v>37193723</v>
      </c>
      <c r="I150" t="inlineStr">
        <is>
          <t>entidad-dia</t>
        </is>
      </c>
    </row>
    <row r="151">
      <c r="A151" t="inlineStr">
        <is>
          <t>PRAGMA</t>
        </is>
      </c>
      <c r="B151" t="inlineStr">
        <is>
          <t>M1</t>
        </is>
      </c>
      <c r="C151" t="inlineStr">
        <is>
          <t>Cali</t>
        </is>
      </c>
      <c r="D151" t="inlineStr">
        <is>
          <t>1150</t>
        </is>
      </c>
      <c r="E151" t="inlineStr">
        <is>
          <t>pagado</t>
        </is>
      </c>
      <c r="F151" s="23" t="n">
        <v>46279</v>
      </c>
      <c r="G151" s="24">
        <f>F151-DATE(2026,8,31)</f>
        <v>14</v>
      </c>
      <c r="H151" s="25" t="n">
        <v>96335542</v>
      </c>
      <c r="I151" t="inlineStr">
        <is>
          <t>entidad-dia</t>
        </is>
      </c>
    </row>
    <row r="152">
      <c r="A152" t="inlineStr">
        <is>
          <t>PRAGMA</t>
        </is>
      </c>
      <c r="B152" t="inlineStr">
        <is>
          <t>M1</t>
        </is>
      </c>
      <c r="C152" t="inlineStr">
        <is>
          <t>Cali</t>
        </is>
      </c>
      <c r="D152" t="inlineStr">
        <is>
          <t>1150</t>
        </is>
      </c>
      <c r="E152" t="inlineStr">
        <is>
          <t>pagado</t>
        </is>
      </c>
      <c r="F152" s="23" t="n">
        <v>46280</v>
      </c>
      <c r="G152" s="24">
        <f>F152-DATE(2026,8,31)</f>
        <v>15</v>
      </c>
      <c r="H152" s="25" t="n">
        <v>146920832</v>
      </c>
      <c r="I152" t="inlineStr">
        <is>
          <t>entidad-dia</t>
        </is>
      </c>
    </row>
    <row r="153">
      <c r="A153" t="inlineStr">
        <is>
          <t>PRAGMA</t>
        </is>
      </c>
      <c r="B153" t="inlineStr">
        <is>
          <t>M1</t>
        </is>
      </c>
      <c r="C153" t="inlineStr">
        <is>
          <t>Cali</t>
        </is>
      </c>
      <c r="D153" t="inlineStr">
        <is>
          <t>1155</t>
        </is>
      </c>
      <c r="E153" t="inlineStr">
        <is>
          <t>pagado</t>
        </is>
      </c>
      <c r="F153" s="23" t="n">
        <v>46266</v>
      </c>
      <c r="G153" s="24">
        <f>F153-DATE(2026,8,31)</f>
        <v>1</v>
      </c>
      <c r="H153" s="25" t="n">
        <v>45715854</v>
      </c>
      <c r="I153" t="inlineStr">
        <is>
          <t>entidad-dia</t>
        </is>
      </c>
    </row>
    <row r="154">
      <c r="A154" t="inlineStr">
        <is>
          <t>PRAGMA</t>
        </is>
      </c>
      <c r="B154" t="inlineStr">
        <is>
          <t>M1</t>
        </is>
      </c>
      <c r="C154" t="inlineStr">
        <is>
          <t>Cali</t>
        </is>
      </c>
      <c r="D154" t="inlineStr">
        <is>
          <t>1155</t>
        </is>
      </c>
      <c r="E154" t="inlineStr">
        <is>
          <t>pagado</t>
        </is>
      </c>
      <c r="F154" s="23" t="n">
        <v>46267</v>
      </c>
      <c r="G154" s="24">
        <f>F154-DATE(2026,8,31)</f>
        <v>2</v>
      </c>
      <c r="H154" s="25" t="n">
        <v>34773463</v>
      </c>
      <c r="I154" t="inlineStr">
        <is>
          <t>entidad-dia</t>
        </is>
      </c>
    </row>
    <row r="155">
      <c r="A155" t="inlineStr">
        <is>
          <t>PRAGMA</t>
        </is>
      </c>
      <c r="B155" t="inlineStr">
        <is>
          <t>M1</t>
        </is>
      </c>
      <c r="C155" t="inlineStr">
        <is>
          <t>Cali</t>
        </is>
      </c>
      <c r="D155" t="inlineStr">
        <is>
          <t>1155</t>
        </is>
      </c>
      <c r="E155" t="inlineStr">
        <is>
          <t>pagado</t>
        </is>
      </c>
      <c r="F155" s="23" t="n">
        <v>46268</v>
      </c>
      <c r="G155" s="24">
        <f>F155-DATE(2026,8,31)</f>
        <v>3</v>
      </c>
      <c r="H155" s="25" t="n">
        <v>37255795</v>
      </c>
      <c r="I155" t="inlineStr">
        <is>
          <t>entidad-dia</t>
        </is>
      </c>
    </row>
    <row r="156">
      <c r="A156" t="inlineStr">
        <is>
          <t>PRAGMA</t>
        </is>
      </c>
      <c r="B156" t="inlineStr">
        <is>
          <t>M1</t>
        </is>
      </c>
      <c r="C156" t="inlineStr">
        <is>
          <t>Cali</t>
        </is>
      </c>
      <c r="D156" t="inlineStr">
        <is>
          <t>1155</t>
        </is>
      </c>
      <c r="E156" t="inlineStr">
        <is>
          <t>pagado</t>
        </is>
      </c>
      <c r="F156" s="23" t="n">
        <v>46269</v>
      </c>
      <c r="G156" s="24">
        <f>F156-DATE(2026,8,31)</f>
        <v>4</v>
      </c>
      <c r="H156" s="25" t="n">
        <v>35971768</v>
      </c>
      <c r="I156" t="inlineStr">
        <is>
          <t>entidad-dia</t>
        </is>
      </c>
    </row>
    <row r="157">
      <c r="A157" t="inlineStr">
        <is>
          <t>PRAGMA</t>
        </is>
      </c>
      <c r="B157" t="inlineStr">
        <is>
          <t>M1</t>
        </is>
      </c>
      <c r="C157" t="inlineStr">
        <is>
          <t>Cali</t>
        </is>
      </c>
      <c r="D157" t="inlineStr">
        <is>
          <t>1155</t>
        </is>
      </c>
      <c r="E157" t="inlineStr">
        <is>
          <t>pagado</t>
        </is>
      </c>
      <c r="F157" s="23" t="n">
        <v>46270</v>
      </c>
      <c r="G157" s="24">
        <f>F157-DATE(2026,8,31)</f>
        <v>5</v>
      </c>
      <c r="H157" s="25" t="n">
        <v>14010991</v>
      </c>
      <c r="I157" t="inlineStr">
        <is>
          <t>entidad-dia</t>
        </is>
      </c>
    </row>
    <row r="158">
      <c r="A158" t="inlineStr">
        <is>
          <t>PRAGMA</t>
        </is>
      </c>
      <c r="B158" t="inlineStr">
        <is>
          <t>M1</t>
        </is>
      </c>
      <c r="C158" t="inlineStr">
        <is>
          <t>Cali</t>
        </is>
      </c>
      <c r="D158" t="inlineStr">
        <is>
          <t>1155</t>
        </is>
      </c>
      <c r="E158" t="inlineStr">
        <is>
          <t>pagado</t>
        </is>
      </c>
      <c r="F158" s="23" t="n">
        <v>46271</v>
      </c>
      <c r="G158" s="24">
        <f>F158-DATE(2026,8,31)</f>
        <v>6</v>
      </c>
      <c r="H158" s="25" t="n">
        <v>1322432</v>
      </c>
      <c r="I158" t="inlineStr">
        <is>
          <t>entidad-dia</t>
        </is>
      </c>
    </row>
    <row r="159">
      <c r="A159" t="inlineStr">
        <is>
          <t>PRAGMA</t>
        </is>
      </c>
      <c r="B159" t="inlineStr">
        <is>
          <t>M1</t>
        </is>
      </c>
      <c r="C159" t="inlineStr">
        <is>
          <t>Cali</t>
        </is>
      </c>
      <c r="D159" t="inlineStr">
        <is>
          <t>1155</t>
        </is>
      </c>
      <c r="E159" t="inlineStr">
        <is>
          <t>pagado</t>
        </is>
      </c>
      <c r="F159" s="23" t="n">
        <v>46272</v>
      </c>
      <c r="G159" s="24">
        <f>F159-DATE(2026,8,31)</f>
        <v>7</v>
      </c>
      <c r="H159" s="25" t="n">
        <v>24234622</v>
      </c>
      <c r="I159" t="inlineStr">
        <is>
          <t>entidad-dia</t>
        </is>
      </c>
    </row>
    <row r="160">
      <c r="A160" t="inlineStr">
        <is>
          <t>PRAGMA</t>
        </is>
      </c>
      <c r="B160" t="inlineStr">
        <is>
          <t>M1</t>
        </is>
      </c>
      <c r="C160" t="inlineStr">
        <is>
          <t>Cali</t>
        </is>
      </c>
      <c r="D160" t="inlineStr">
        <is>
          <t>1155</t>
        </is>
      </c>
      <c r="E160" t="inlineStr">
        <is>
          <t>pagado</t>
        </is>
      </c>
      <c r="F160" s="23" t="n">
        <v>46273</v>
      </c>
      <c r="G160" s="24">
        <f>F160-DATE(2026,8,31)</f>
        <v>8</v>
      </c>
      <c r="H160" s="25" t="n">
        <v>26628672</v>
      </c>
      <c r="I160" t="inlineStr">
        <is>
          <t>entidad-dia</t>
        </is>
      </c>
    </row>
    <row r="161">
      <c r="A161" t="inlineStr">
        <is>
          <t>PRAGMA</t>
        </is>
      </c>
      <c r="B161" t="inlineStr">
        <is>
          <t>M1</t>
        </is>
      </c>
      <c r="C161" t="inlineStr">
        <is>
          <t>Cali</t>
        </is>
      </c>
      <c r="D161" t="inlineStr">
        <is>
          <t>1155</t>
        </is>
      </c>
      <c r="E161" t="inlineStr">
        <is>
          <t>pagado</t>
        </is>
      </c>
      <c r="F161" s="23" t="n">
        <v>46274</v>
      </c>
      <c r="G161" s="24">
        <f>F161-DATE(2026,8,31)</f>
        <v>9</v>
      </c>
      <c r="H161" s="25" t="n">
        <v>28204011</v>
      </c>
      <c r="I161" t="inlineStr">
        <is>
          <t>entidad-dia</t>
        </is>
      </c>
    </row>
    <row r="162">
      <c r="A162" t="inlineStr">
        <is>
          <t>PRAGMA</t>
        </is>
      </c>
      <c r="B162" t="inlineStr">
        <is>
          <t>M1</t>
        </is>
      </c>
      <c r="C162" t="inlineStr">
        <is>
          <t>Cali</t>
        </is>
      </c>
      <c r="D162" t="inlineStr">
        <is>
          <t>1155</t>
        </is>
      </c>
      <c r="E162" t="inlineStr">
        <is>
          <t>pagado</t>
        </is>
      </c>
      <c r="F162" s="23" t="n">
        <v>46275</v>
      </c>
      <c r="G162" s="24">
        <f>F162-DATE(2026,8,31)</f>
        <v>10</v>
      </c>
      <c r="H162" s="25" t="n">
        <v>25799049</v>
      </c>
      <c r="I162" t="inlineStr">
        <is>
          <t>entidad-dia</t>
        </is>
      </c>
    </row>
    <row r="163">
      <c r="A163" t="inlineStr">
        <is>
          <t>PRAGMA</t>
        </is>
      </c>
      <c r="B163" t="inlineStr">
        <is>
          <t>M1</t>
        </is>
      </c>
      <c r="C163" t="inlineStr">
        <is>
          <t>Cali</t>
        </is>
      </c>
      <c r="D163" t="inlineStr">
        <is>
          <t>1155</t>
        </is>
      </c>
      <c r="E163" t="inlineStr">
        <is>
          <t>pagado</t>
        </is>
      </c>
      <c r="F163" s="23" t="n">
        <v>46276</v>
      </c>
      <c r="G163" s="24">
        <f>F163-DATE(2026,8,31)</f>
        <v>11</v>
      </c>
      <c r="H163" s="25" t="n">
        <v>27347193</v>
      </c>
      <c r="I163" t="inlineStr">
        <is>
          <t>entidad-dia</t>
        </is>
      </c>
    </row>
    <row r="164">
      <c r="A164" t="inlineStr">
        <is>
          <t>PRAGMA</t>
        </is>
      </c>
      <c r="B164" t="inlineStr">
        <is>
          <t>M1</t>
        </is>
      </c>
      <c r="C164" t="inlineStr">
        <is>
          <t>Cali</t>
        </is>
      </c>
      <c r="D164" t="inlineStr">
        <is>
          <t>1155</t>
        </is>
      </c>
      <c r="E164" t="inlineStr">
        <is>
          <t>pagado</t>
        </is>
      </c>
      <c r="F164" s="23" t="n">
        <v>46277</v>
      </c>
      <c r="G164" s="24">
        <f>F164-DATE(2026,8,31)</f>
        <v>12</v>
      </c>
      <c r="H164" s="25" t="n">
        <v>10487071</v>
      </c>
      <c r="I164" t="inlineStr">
        <is>
          <t>entidad-dia</t>
        </is>
      </c>
    </row>
    <row r="165">
      <c r="A165" t="inlineStr">
        <is>
          <t>PRAGMA</t>
        </is>
      </c>
      <c r="B165" t="inlineStr">
        <is>
          <t>M1</t>
        </is>
      </c>
      <c r="C165" t="inlineStr">
        <is>
          <t>Cali</t>
        </is>
      </c>
      <c r="D165" t="inlineStr">
        <is>
          <t>1155</t>
        </is>
      </c>
      <c r="E165" t="inlineStr">
        <is>
          <t>pagado</t>
        </is>
      </c>
      <c r="F165" s="23" t="n">
        <v>46278</v>
      </c>
      <c r="G165" s="24">
        <f>F165-DATE(2026,8,31)</f>
        <v>13</v>
      </c>
      <c r="H165" s="25" t="n">
        <v>1137881</v>
      </c>
      <c r="I165" t="inlineStr">
        <is>
          <t>entidad-dia</t>
        </is>
      </c>
    </row>
    <row r="166">
      <c r="A166" t="inlineStr">
        <is>
          <t>PRAGMA</t>
        </is>
      </c>
      <c r="B166" t="inlineStr">
        <is>
          <t>M1</t>
        </is>
      </c>
      <c r="C166" t="inlineStr">
        <is>
          <t>Cali</t>
        </is>
      </c>
      <c r="D166" t="inlineStr">
        <is>
          <t>1155</t>
        </is>
      </c>
      <c r="E166" t="inlineStr">
        <is>
          <t>pagado</t>
        </is>
      </c>
      <c r="F166" s="23" t="n">
        <v>46279</v>
      </c>
      <c r="G166" s="24">
        <f>F166-DATE(2026,8,31)</f>
        <v>14</v>
      </c>
      <c r="H166" s="25" t="n">
        <v>18555113</v>
      </c>
      <c r="I166" t="inlineStr">
        <is>
          <t>entidad-dia</t>
        </is>
      </c>
    </row>
    <row r="167">
      <c r="A167" t="inlineStr">
        <is>
          <t>PRAGMA</t>
        </is>
      </c>
      <c r="B167" t="inlineStr">
        <is>
          <t>M1</t>
        </is>
      </c>
      <c r="C167" t="inlineStr">
        <is>
          <t>Cali</t>
        </is>
      </c>
      <c r="D167" t="inlineStr">
        <is>
          <t>1155</t>
        </is>
      </c>
      <c r="E167" t="inlineStr">
        <is>
          <t>pagado</t>
        </is>
      </c>
      <c r="F167" s="23" t="n">
        <v>46280</v>
      </c>
      <c r="G167" s="24">
        <f>F167-DATE(2026,8,31)</f>
        <v>15</v>
      </c>
      <c r="H167" s="25" t="n">
        <v>39435292</v>
      </c>
      <c r="I167" t="inlineStr">
        <is>
          <t>entidad-dia</t>
        </is>
      </c>
    </row>
    <row r="168">
      <c r="A168" t="inlineStr">
        <is>
          <t>PRAGMA</t>
        </is>
      </c>
      <c r="B168" t="inlineStr">
        <is>
          <t>M1</t>
        </is>
      </c>
      <c r="C168" t="inlineStr">
        <is>
          <t>Cali</t>
        </is>
      </c>
      <c r="D168" t="inlineStr">
        <is>
          <t>1160</t>
        </is>
      </c>
      <c r="E168" t="inlineStr">
        <is>
          <t>pagado</t>
        </is>
      </c>
      <c r="F168" s="23" t="n">
        <v>46266</v>
      </c>
      <c r="G168" s="24">
        <f>F168-DATE(2026,8,31)</f>
        <v>1</v>
      </c>
      <c r="H168" s="25" t="n">
        <v>213606922</v>
      </c>
      <c r="I168" t="inlineStr">
        <is>
          <t>entidad-dia</t>
        </is>
      </c>
    </row>
    <row r="169">
      <c r="A169" t="inlineStr">
        <is>
          <t>PRAGMA</t>
        </is>
      </c>
      <c r="B169" t="inlineStr">
        <is>
          <t>M1</t>
        </is>
      </c>
      <c r="C169" t="inlineStr">
        <is>
          <t>Cali</t>
        </is>
      </c>
      <c r="D169" t="inlineStr">
        <is>
          <t>1160</t>
        </is>
      </c>
      <c r="E169" t="inlineStr">
        <is>
          <t>pagado</t>
        </is>
      </c>
      <c r="F169" s="23" t="n">
        <v>46267</v>
      </c>
      <c r="G169" s="24">
        <f>F169-DATE(2026,8,31)</f>
        <v>2</v>
      </c>
      <c r="H169" s="25" t="n">
        <v>182569615</v>
      </c>
      <c r="I169" t="inlineStr">
        <is>
          <t>entidad-dia</t>
        </is>
      </c>
    </row>
    <row r="170">
      <c r="A170" t="inlineStr">
        <is>
          <t>PRAGMA</t>
        </is>
      </c>
      <c r="B170" t="inlineStr">
        <is>
          <t>M1</t>
        </is>
      </c>
      <c r="C170" t="inlineStr">
        <is>
          <t>Cali</t>
        </is>
      </c>
      <c r="D170" t="inlineStr">
        <is>
          <t>1160</t>
        </is>
      </c>
      <c r="E170" t="inlineStr">
        <is>
          <t>pagado</t>
        </is>
      </c>
      <c r="F170" s="23" t="n">
        <v>46268</v>
      </c>
      <c r="G170" s="24">
        <f>F170-DATE(2026,8,31)</f>
        <v>3</v>
      </c>
      <c r="H170" s="25" t="n">
        <v>159648371</v>
      </c>
      <c r="I170" t="inlineStr">
        <is>
          <t>entidad-dia</t>
        </is>
      </c>
    </row>
    <row r="171">
      <c r="A171" t="inlineStr">
        <is>
          <t>PRAGMA</t>
        </is>
      </c>
      <c r="B171" t="inlineStr">
        <is>
          <t>M1</t>
        </is>
      </c>
      <c r="C171" t="inlineStr">
        <is>
          <t>Cali</t>
        </is>
      </c>
      <c r="D171" t="inlineStr">
        <is>
          <t>1160</t>
        </is>
      </c>
      <c r="E171" t="inlineStr">
        <is>
          <t>pagado</t>
        </is>
      </c>
      <c r="F171" s="23" t="n">
        <v>46269</v>
      </c>
      <c r="G171" s="24">
        <f>F171-DATE(2026,8,31)</f>
        <v>4</v>
      </c>
      <c r="H171" s="25" t="n">
        <v>170932715</v>
      </c>
      <c r="I171" t="inlineStr">
        <is>
          <t>entidad-dia</t>
        </is>
      </c>
    </row>
    <row r="172">
      <c r="A172" t="inlineStr">
        <is>
          <t>PRAGMA</t>
        </is>
      </c>
      <c r="B172" t="inlineStr">
        <is>
          <t>M1</t>
        </is>
      </c>
      <c r="C172" t="inlineStr">
        <is>
          <t>Cali</t>
        </is>
      </c>
      <c r="D172" t="inlineStr">
        <is>
          <t>1160</t>
        </is>
      </c>
      <c r="E172" t="inlineStr">
        <is>
          <t>pagado</t>
        </is>
      </c>
      <c r="F172" s="23" t="n">
        <v>46270</v>
      </c>
      <c r="G172" s="24">
        <f>F172-DATE(2026,8,31)</f>
        <v>5</v>
      </c>
      <c r="H172" s="25" t="n">
        <v>149330121</v>
      </c>
      <c r="I172" t="inlineStr">
        <is>
          <t>entidad-dia</t>
        </is>
      </c>
    </row>
    <row r="173">
      <c r="A173" t="inlineStr">
        <is>
          <t>PRAGMA</t>
        </is>
      </c>
      <c r="B173" t="inlineStr">
        <is>
          <t>M1</t>
        </is>
      </c>
      <c r="C173" t="inlineStr">
        <is>
          <t>Cali</t>
        </is>
      </c>
      <c r="D173" t="inlineStr">
        <is>
          <t>1160</t>
        </is>
      </c>
      <c r="E173" t="inlineStr">
        <is>
          <t>pagado</t>
        </is>
      </c>
      <c r="F173" s="23" t="n">
        <v>46271</v>
      </c>
      <c r="G173" s="24">
        <f>F173-DATE(2026,8,31)</f>
        <v>6</v>
      </c>
      <c r="H173" s="25" t="n">
        <v>65180995</v>
      </c>
      <c r="I173" t="inlineStr">
        <is>
          <t>entidad-dia</t>
        </is>
      </c>
    </row>
    <row r="174">
      <c r="A174" t="inlineStr">
        <is>
          <t>PRAGMA</t>
        </is>
      </c>
      <c r="B174" t="inlineStr">
        <is>
          <t>M1</t>
        </is>
      </c>
      <c r="C174" t="inlineStr">
        <is>
          <t>Cali</t>
        </is>
      </c>
      <c r="D174" t="inlineStr">
        <is>
          <t>1160</t>
        </is>
      </c>
      <c r="E174" t="inlineStr">
        <is>
          <t>pagado</t>
        </is>
      </c>
      <c r="F174" s="23" t="n">
        <v>46272</v>
      </c>
      <c r="G174" s="24">
        <f>F174-DATE(2026,8,31)</f>
        <v>7</v>
      </c>
      <c r="H174" s="25" t="n">
        <v>120463453</v>
      </c>
      <c r="I174" t="inlineStr">
        <is>
          <t>entidad-dia</t>
        </is>
      </c>
    </row>
    <row r="175">
      <c r="A175" t="inlineStr">
        <is>
          <t>PRAGMA</t>
        </is>
      </c>
      <c r="B175" t="inlineStr">
        <is>
          <t>M1</t>
        </is>
      </c>
      <c r="C175" t="inlineStr">
        <is>
          <t>Cali</t>
        </is>
      </c>
      <c r="D175" t="inlineStr">
        <is>
          <t>1160</t>
        </is>
      </c>
      <c r="E175" t="inlineStr">
        <is>
          <t>pagado</t>
        </is>
      </c>
      <c r="F175" s="23" t="n">
        <v>46273</v>
      </c>
      <c r="G175" s="24">
        <f>F175-DATE(2026,8,31)</f>
        <v>8</v>
      </c>
      <c r="H175" s="25" t="n">
        <v>139839286</v>
      </c>
      <c r="I175" t="inlineStr">
        <is>
          <t>entidad-dia</t>
        </is>
      </c>
    </row>
    <row r="176">
      <c r="A176" t="inlineStr">
        <is>
          <t>PRAGMA</t>
        </is>
      </c>
      <c r="B176" t="inlineStr">
        <is>
          <t>M1</t>
        </is>
      </c>
      <c r="C176" t="inlineStr">
        <is>
          <t>Cali</t>
        </is>
      </c>
      <c r="D176" t="inlineStr">
        <is>
          <t>1160</t>
        </is>
      </c>
      <c r="E176" t="inlineStr">
        <is>
          <t>pagado</t>
        </is>
      </c>
      <c r="F176" s="23" t="n">
        <v>46274</v>
      </c>
      <c r="G176" s="24">
        <f>F176-DATE(2026,8,31)</f>
        <v>9</v>
      </c>
      <c r="H176" s="25" t="n">
        <v>138701848</v>
      </c>
      <c r="I176" t="inlineStr">
        <is>
          <t>entidad-dia</t>
        </is>
      </c>
    </row>
    <row r="177">
      <c r="A177" t="inlineStr">
        <is>
          <t>PRAGMA</t>
        </is>
      </c>
      <c r="B177" t="inlineStr">
        <is>
          <t>M1</t>
        </is>
      </c>
      <c r="C177" t="inlineStr">
        <is>
          <t>Cali</t>
        </is>
      </c>
      <c r="D177" t="inlineStr">
        <is>
          <t>1160</t>
        </is>
      </c>
      <c r="E177" t="inlineStr">
        <is>
          <t>pagado</t>
        </is>
      </c>
      <c r="F177" s="23" t="n">
        <v>46275</v>
      </c>
      <c r="G177" s="24">
        <f>F177-DATE(2026,8,31)</f>
        <v>10</v>
      </c>
      <c r="H177" s="25" t="n">
        <v>131831169</v>
      </c>
      <c r="I177" t="inlineStr">
        <is>
          <t>entidad-dia</t>
        </is>
      </c>
    </row>
    <row r="178">
      <c r="A178" t="inlineStr">
        <is>
          <t>PRAGMA</t>
        </is>
      </c>
      <c r="B178" t="inlineStr">
        <is>
          <t>M1</t>
        </is>
      </c>
      <c r="C178" t="inlineStr">
        <is>
          <t>Cali</t>
        </is>
      </c>
      <c r="D178" t="inlineStr">
        <is>
          <t>1160</t>
        </is>
      </c>
      <c r="E178" t="inlineStr">
        <is>
          <t>pagado</t>
        </is>
      </c>
      <c r="F178" s="23" t="n">
        <v>46276</v>
      </c>
      <c r="G178" s="24">
        <f>F178-DATE(2026,8,31)</f>
        <v>11</v>
      </c>
      <c r="H178" s="25" t="n">
        <v>138305049</v>
      </c>
      <c r="I178" t="inlineStr">
        <is>
          <t>entidad-dia</t>
        </is>
      </c>
    </row>
    <row r="179">
      <c r="A179" t="inlineStr">
        <is>
          <t>PRAGMA</t>
        </is>
      </c>
      <c r="B179" t="inlineStr">
        <is>
          <t>M1</t>
        </is>
      </c>
      <c r="C179" t="inlineStr">
        <is>
          <t>Cali</t>
        </is>
      </c>
      <c r="D179" t="inlineStr">
        <is>
          <t>1160</t>
        </is>
      </c>
      <c r="E179" t="inlineStr">
        <is>
          <t>pagado</t>
        </is>
      </c>
      <c r="F179" s="23" t="n">
        <v>46277</v>
      </c>
      <c r="G179" s="24">
        <f>F179-DATE(2026,8,31)</f>
        <v>12</v>
      </c>
      <c r="H179" s="25" t="n">
        <v>112870290</v>
      </c>
      <c r="I179" t="inlineStr">
        <is>
          <t>entidad-dia</t>
        </is>
      </c>
    </row>
    <row r="180">
      <c r="A180" t="inlineStr">
        <is>
          <t>PRAGMA</t>
        </is>
      </c>
      <c r="B180" t="inlineStr">
        <is>
          <t>M1</t>
        </is>
      </c>
      <c r="C180" t="inlineStr">
        <is>
          <t>Cali</t>
        </is>
      </c>
      <c r="D180" t="inlineStr">
        <is>
          <t>1160</t>
        </is>
      </c>
      <c r="E180" t="inlineStr">
        <is>
          <t>pagado</t>
        </is>
      </c>
      <c r="F180" s="23" t="n">
        <v>46278</v>
      </c>
      <c r="G180" s="24">
        <f>F180-DATE(2026,8,31)</f>
        <v>13</v>
      </c>
      <c r="H180" s="25" t="n">
        <v>57552442</v>
      </c>
      <c r="I180" t="inlineStr">
        <is>
          <t>entidad-dia</t>
        </is>
      </c>
    </row>
    <row r="181">
      <c r="A181" t="inlineStr">
        <is>
          <t>PRAGMA</t>
        </is>
      </c>
      <c r="B181" t="inlineStr">
        <is>
          <t>M1</t>
        </is>
      </c>
      <c r="C181" t="inlineStr">
        <is>
          <t>Cali</t>
        </is>
      </c>
      <c r="D181" t="inlineStr">
        <is>
          <t>1160</t>
        </is>
      </c>
      <c r="E181" t="inlineStr">
        <is>
          <t>pagado</t>
        </is>
      </c>
      <c r="F181" s="23" t="n">
        <v>46279</v>
      </c>
      <c r="G181" s="24">
        <f>F181-DATE(2026,8,31)</f>
        <v>14</v>
      </c>
      <c r="H181" s="25" t="n">
        <v>127372274</v>
      </c>
      <c r="I181" t="inlineStr">
        <is>
          <t>entidad-dia</t>
        </is>
      </c>
    </row>
    <row r="182">
      <c r="A182" t="inlineStr">
        <is>
          <t>PRAGMA</t>
        </is>
      </c>
      <c r="B182" t="inlineStr">
        <is>
          <t>M1</t>
        </is>
      </c>
      <c r="C182" t="inlineStr">
        <is>
          <t>Cali</t>
        </is>
      </c>
      <c r="D182" t="inlineStr">
        <is>
          <t>1160</t>
        </is>
      </c>
      <c r="E182" t="inlineStr">
        <is>
          <t>pagado</t>
        </is>
      </c>
      <c r="F182" s="23" t="n">
        <v>46280</v>
      </c>
      <c r="G182" s="24">
        <f>F182-DATE(2026,8,31)</f>
        <v>15</v>
      </c>
      <c r="H182" s="25" t="n">
        <v>161879584</v>
      </c>
      <c r="I182" t="inlineStr">
        <is>
          <t>entidad-dia</t>
        </is>
      </c>
    </row>
    <row r="183">
      <c r="A183" t="inlineStr">
        <is>
          <t>PRAGMA</t>
        </is>
      </c>
      <c r="B183" t="inlineStr">
        <is>
          <t>M1</t>
        </is>
      </c>
      <c r="C183" t="inlineStr">
        <is>
          <t>Cali</t>
        </is>
      </c>
      <c r="D183" t="inlineStr">
        <is>
          <t>1161</t>
        </is>
      </c>
      <c r="E183" t="inlineStr">
        <is>
          <t>pagado</t>
        </is>
      </c>
      <c r="F183" s="23" t="n">
        <v>46266</v>
      </c>
      <c r="G183" s="24">
        <f>F183-DATE(2026,8,31)</f>
        <v>1</v>
      </c>
      <c r="H183" s="25" t="n">
        <v>188584177</v>
      </c>
      <c r="I183" t="inlineStr">
        <is>
          <t>entidad-dia</t>
        </is>
      </c>
    </row>
    <row r="184">
      <c r="A184" t="inlineStr">
        <is>
          <t>PRAGMA</t>
        </is>
      </c>
      <c r="B184" t="inlineStr">
        <is>
          <t>M1</t>
        </is>
      </c>
      <c r="C184" t="inlineStr">
        <is>
          <t>Cali</t>
        </is>
      </c>
      <c r="D184" t="inlineStr">
        <is>
          <t>1161</t>
        </is>
      </c>
      <c r="E184" t="inlineStr">
        <is>
          <t>pagado</t>
        </is>
      </c>
      <c r="F184" s="23" t="n">
        <v>46267</v>
      </c>
      <c r="G184" s="24">
        <f>F184-DATE(2026,8,31)</f>
        <v>2</v>
      </c>
      <c r="H184" s="25" t="n">
        <v>152095271</v>
      </c>
      <c r="I184" t="inlineStr">
        <is>
          <t>entidad-dia</t>
        </is>
      </c>
    </row>
    <row r="185">
      <c r="A185" t="inlineStr">
        <is>
          <t>PRAGMA</t>
        </is>
      </c>
      <c r="B185" t="inlineStr">
        <is>
          <t>M1</t>
        </is>
      </c>
      <c r="C185" t="inlineStr">
        <is>
          <t>Cali</t>
        </is>
      </c>
      <c r="D185" t="inlineStr">
        <is>
          <t>1161</t>
        </is>
      </c>
      <c r="E185" t="inlineStr">
        <is>
          <t>pagado</t>
        </is>
      </c>
      <c r="F185" s="23" t="n">
        <v>46268</v>
      </c>
      <c r="G185" s="24">
        <f>F185-DATE(2026,8,31)</f>
        <v>3</v>
      </c>
      <c r="H185" s="25" t="n">
        <v>126832964</v>
      </c>
      <c r="I185" t="inlineStr">
        <is>
          <t>entidad-dia</t>
        </is>
      </c>
    </row>
    <row r="186">
      <c r="A186" t="inlineStr">
        <is>
          <t>PRAGMA</t>
        </is>
      </c>
      <c r="B186" t="inlineStr">
        <is>
          <t>M1</t>
        </is>
      </c>
      <c r="C186" t="inlineStr">
        <is>
          <t>Cali</t>
        </is>
      </c>
      <c r="D186" t="inlineStr">
        <is>
          <t>1161</t>
        </is>
      </c>
      <c r="E186" t="inlineStr">
        <is>
          <t>pagado</t>
        </is>
      </c>
      <c r="F186" s="23" t="n">
        <v>46269</v>
      </c>
      <c r="G186" s="24">
        <f>F186-DATE(2026,8,31)</f>
        <v>4</v>
      </c>
      <c r="H186" s="25" t="n">
        <v>140263273</v>
      </c>
      <c r="I186" t="inlineStr">
        <is>
          <t>entidad-dia</t>
        </is>
      </c>
    </row>
    <row r="187">
      <c r="A187" t="inlineStr">
        <is>
          <t>PRAGMA</t>
        </is>
      </c>
      <c r="B187" t="inlineStr">
        <is>
          <t>M1</t>
        </is>
      </c>
      <c r="C187" t="inlineStr">
        <is>
          <t>Cali</t>
        </is>
      </c>
      <c r="D187" t="inlineStr">
        <is>
          <t>1161</t>
        </is>
      </c>
      <c r="E187" t="inlineStr">
        <is>
          <t>pagado</t>
        </is>
      </c>
      <c r="F187" s="23" t="n">
        <v>46270</v>
      </c>
      <c r="G187" s="24">
        <f>F187-DATE(2026,8,31)</f>
        <v>5</v>
      </c>
      <c r="H187" s="25" t="n">
        <v>119724280</v>
      </c>
      <c r="I187" t="inlineStr">
        <is>
          <t>entidad-dia</t>
        </is>
      </c>
    </row>
    <row r="188">
      <c r="A188" t="inlineStr">
        <is>
          <t>PRAGMA</t>
        </is>
      </c>
      <c r="B188" t="inlineStr">
        <is>
          <t>M1</t>
        </is>
      </c>
      <c r="C188" t="inlineStr">
        <is>
          <t>Cali</t>
        </is>
      </c>
      <c r="D188" t="inlineStr">
        <is>
          <t>1161</t>
        </is>
      </c>
      <c r="E188" t="inlineStr">
        <is>
          <t>pagado</t>
        </is>
      </c>
      <c r="F188" s="23" t="n">
        <v>46271</v>
      </c>
      <c r="G188" s="24">
        <f>F188-DATE(2026,8,31)</f>
        <v>6</v>
      </c>
      <c r="H188" s="25" t="n">
        <v>68559948</v>
      </c>
      <c r="I188" t="inlineStr">
        <is>
          <t>entidad-dia</t>
        </is>
      </c>
    </row>
    <row r="189">
      <c r="A189" t="inlineStr">
        <is>
          <t>PRAGMA</t>
        </is>
      </c>
      <c r="B189" t="inlineStr">
        <is>
          <t>M1</t>
        </is>
      </c>
      <c r="C189" t="inlineStr">
        <is>
          <t>Cali</t>
        </is>
      </c>
      <c r="D189" t="inlineStr">
        <is>
          <t>1161</t>
        </is>
      </c>
      <c r="E189" t="inlineStr">
        <is>
          <t>pagado</t>
        </is>
      </c>
      <c r="F189" s="23" t="n">
        <v>46272</v>
      </c>
      <c r="G189" s="24">
        <f>F189-DATE(2026,8,31)</f>
        <v>7</v>
      </c>
      <c r="H189" s="25" t="n">
        <v>127100928</v>
      </c>
      <c r="I189" t="inlineStr">
        <is>
          <t>entidad-dia</t>
        </is>
      </c>
    </row>
    <row r="190">
      <c r="A190" t="inlineStr">
        <is>
          <t>PRAGMA</t>
        </is>
      </c>
      <c r="B190" t="inlineStr">
        <is>
          <t>M1</t>
        </is>
      </c>
      <c r="C190" t="inlineStr">
        <is>
          <t>Cali</t>
        </is>
      </c>
      <c r="D190" t="inlineStr">
        <is>
          <t>1161</t>
        </is>
      </c>
      <c r="E190" t="inlineStr">
        <is>
          <t>pagado</t>
        </is>
      </c>
      <c r="F190" s="23" t="n">
        <v>46273</v>
      </c>
      <c r="G190" s="24">
        <f>F190-DATE(2026,8,31)</f>
        <v>8</v>
      </c>
      <c r="H190" s="25" t="n">
        <v>100379687</v>
      </c>
      <c r="I190" t="inlineStr">
        <is>
          <t>entidad-dia</t>
        </is>
      </c>
    </row>
    <row r="191">
      <c r="A191" t="inlineStr">
        <is>
          <t>PRAGMA</t>
        </is>
      </c>
      <c r="B191" t="inlineStr">
        <is>
          <t>M1</t>
        </is>
      </c>
      <c r="C191" t="inlineStr">
        <is>
          <t>Cali</t>
        </is>
      </c>
      <c r="D191" t="inlineStr">
        <is>
          <t>1161</t>
        </is>
      </c>
      <c r="E191" t="inlineStr">
        <is>
          <t>pagado</t>
        </is>
      </c>
      <c r="F191" s="23" t="n">
        <v>46274</v>
      </c>
      <c r="G191" s="24">
        <f>F191-DATE(2026,8,31)</f>
        <v>9</v>
      </c>
      <c r="H191" s="25" t="n">
        <v>118066893</v>
      </c>
      <c r="I191" t="inlineStr">
        <is>
          <t>entidad-dia</t>
        </is>
      </c>
    </row>
    <row r="192">
      <c r="A192" t="inlineStr">
        <is>
          <t>PRAGMA</t>
        </is>
      </c>
      <c r="B192" t="inlineStr">
        <is>
          <t>M1</t>
        </is>
      </c>
      <c r="C192" t="inlineStr">
        <is>
          <t>Cali</t>
        </is>
      </c>
      <c r="D192" t="inlineStr">
        <is>
          <t>1161</t>
        </is>
      </c>
      <c r="E192" t="inlineStr">
        <is>
          <t>pagado</t>
        </is>
      </c>
      <c r="F192" s="23" t="n">
        <v>46275</v>
      </c>
      <c r="G192" s="24">
        <f>F192-DATE(2026,8,31)</f>
        <v>10</v>
      </c>
      <c r="H192" s="25" t="n">
        <v>91598291</v>
      </c>
      <c r="I192" t="inlineStr">
        <is>
          <t>entidad-dia</t>
        </is>
      </c>
    </row>
    <row r="193">
      <c r="A193" t="inlineStr">
        <is>
          <t>PRAGMA</t>
        </is>
      </c>
      <c r="B193" t="inlineStr">
        <is>
          <t>M1</t>
        </is>
      </c>
      <c r="C193" t="inlineStr">
        <is>
          <t>Cali</t>
        </is>
      </c>
      <c r="D193" t="inlineStr">
        <is>
          <t>1161</t>
        </is>
      </c>
      <c r="E193" t="inlineStr">
        <is>
          <t>pagado</t>
        </is>
      </c>
      <c r="F193" s="23" t="n">
        <v>46276</v>
      </c>
      <c r="G193" s="24">
        <f>F193-DATE(2026,8,31)</f>
        <v>11</v>
      </c>
      <c r="H193" s="25" t="n">
        <v>122990165</v>
      </c>
      <c r="I193" t="inlineStr">
        <is>
          <t>entidad-dia</t>
        </is>
      </c>
    </row>
    <row r="194">
      <c r="A194" t="inlineStr">
        <is>
          <t>PRAGMA</t>
        </is>
      </c>
      <c r="B194" t="inlineStr">
        <is>
          <t>M1</t>
        </is>
      </c>
      <c r="C194" t="inlineStr">
        <is>
          <t>Cali</t>
        </is>
      </c>
      <c r="D194" t="inlineStr">
        <is>
          <t>1161</t>
        </is>
      </c>
      <c r="E194" t="inlineStr">
        <is>
          <t>pagado</t>
        </is>
      </c>
      <c r="F194" s="23" t="n">
        <v>46277</v>
      </c>
      <c r="G194" s="24">
        <f>F194-DATE(2026,8,31)</f>
        <v>12</v>
      </c>
      <c r="H194" s="25" t="n">
        <v>100669357</v>
      </c>
      <c r="I194" t="inlineStr">
        <is>
          <t>entidad-dia</t>
        </is>
      </c>
    </row>
    <row r="195">
      <c r="A195" t="inlineStr">
        <is>
          <t>PRAGMA</t>
        </is>
      </c>
      <c r="B195" t="inlineStr">
        <is>
          <t>M1</t>
        </is>
      </c>
      <c r="C195" t="inlineStr">
        <is>
          <t>Cali</t>
        </is>
      </c>
      <c r="D195" t="inlineStr">
        <is>
          <t>1161</t>
        </is>
      </c>
      <c r="E195" t="inlineStr">
        <is>
          <t>pagado</t>
        </is>
      </c>
      <c r="F195" s="23" t="n">
        <v>46278</v>
      </c>
      <c r="G195" s="24">
        <f>F195-DATE(2026,8,31)</f>
        <v>13</v>
      </c>
      <c r="H195" s="25" t="n">
        <v>57842627</v>
      </c>
      <c r="I195" t="inlineStr">
        <is>
          <t>entidad-dia</t>
        </is>
      </c>
    </row>
    <row r="196">
      <c r="A196" t="inlineStr">
        <is>
          <t>PRAGMA</t>
        </is>
      </c>
      <c r="B196" t="inlineStr">
        <is>
          <t>M1</t>
        </is>
      </c>
      <c r="C196" t="inlineStr">
        <is>
          <t>Cali</t>
        </is>
      </c>
      <c r="D196" t="inlineStr">
        <is>
          <t>1161</t>
        </is>
      </c>
      <c r="E196" t="inlineStr">
        <is>
          <t>pagado</t>
        </is>
      </c>
      <c r="F196" s="23" t="n">
        <v>46279</v>
      </c>
      <c r="G196" s="24">
        <f>F196-DATE(2026,8,31)</f>
        <v>14</v>
      </c>
      <c r="H196" s="25" t="n">
        <v>124680888</v>
      </c>
      <c r="I196" t="inlineStr">
        <is>
          <t>entidad-dia</t>
        </is>
      </c>
    </row>
    <row r="197">
      <c r="A197" t="inlineStr">
        <is>
          <t>PRAGMA</t>
        </is>
      </c>
      <c r="B197" t="inlineStr">
        <is>
          <t>M1</t>
        </is>
      </c>
      <c r="C197" t="inlineStr">
        <is>
          <t>Cali</t>
        </is>
      </c>
      <c r="D197" t="inlineStr">
        <is>
          <t>1161</t>
        </is>
      </c>
      <c r="E197" t="inlineStr">
        <is>
          <t>pagado</t>
        </is>
      </c>
      <c r="F197" s="23" t="n">
        <v>46280</v>
      </c>
      <c r="G197" s="24">
        <f>F197-DATE(2026,8,31)</f>
        <v>15</v>
      </c>
      <c r="H197" s="25" t="n">
        <v>149901532</v>
      </c>
      <c r="I197" t="inlineStr">
        <is>
          <t>entidad-dia</t>
        </is>
      </c>
    </row>
    <row r="198">
      <c r="A198" t="inlineStr">
        <is>
          <t>PRAGMA</t>
        </is>
      </c>
      <c r="B198" t="inlineStr">
        <is>
          <t>M1</t>
        </is>
      </c>
      <c r="C198" t="inlineStr">
        <is>
          <t>Cali</t>
        </is>
      </c>
      <c r="D198" t="inlineStr">
        <is>
          <t>1162</t>
        </is>
      </c>
      <c r="E198" t="inlineStr">
        <is>
          <t>pagado</t>
        </is>
      </c>
      <c r="F198" s="23" t="n">
        <v>46266</v>
      </c>
      <c r="G198" s="24">
        <f>F198-DATE(2026,8,31)</f>
        <v>1</v>
      </c>
      <c r="H198" s="25" t="n">
        <v>233080553</v>
      </c>
      <c r="I198" t="inlineStr">
        <is>
          <t>entidad-dia</t>
        </is>
      </c>
    </row>
    <row r="199">
      <c r="A199" t="inlineStr">
        <is>
          <t>PRAGMA</t>
        </is>
      </c>
      <c r="B199" t="inlineStr">
        <is>
          <t>M1</t>
        </is>
      </c>
      <c r="C199" t="inlineStr">
        <is>
          <t>Cali</t>
        </is>
      </c>
      <c r="D199" t="inlineStr">
        <is>
          <t>1162</t>
        </is>
      </c>
      <c r="E199" t="inlineStr">
        <is>
          <t>pagado</t>
        </is>
      </c>
      <c r="F199" s="23" t="n">
        <v>46267</v>
      </c>
      <c r="G199" s="24">
        <f>F199-DATE(2026,8,31)</f>
        <v>2</v>
      </c>
      <c r="H199" s="25" t="n">
        <v>190856194</v>
      </c>
      <c r="I199" t="inlineStr">
        <is>
          <t>entidad-dia</t>
        </is>
      </c>
    </row>
    <row r="200">
      <c r="A200" t="inlineStr">
        <is>
          <t>PRAGMA</t>
        </is>
      </c>
      <c r="B200" t="inlineStr">
        <is>
          <t>M1</t>
        </is>
      </c>
      <c r="C200" t="inlineStr">
        <is>
          <t>Cali</t>
        </is>
      </c>
      <c r="D200" t="inlineStr">
        <is>
          <t>1162</t>
        </is>
      </c>
      <c r="E200" t="inlineStr">
        <is>
          <t>pagado</t>
        </is>
      </c>
      <c r="F200" s="23" t="n">
        <v>46268</v>
      </c>
      <c r="G200" s="24">
        <f>F200-DATE(2026,8,31)</f>
        <v>3</v>
      </c>
      <c r="H200" s="25" t="n">
        <v>187804865</v>
      </c>
      <c r="I200" t="inlineStr">
        <is>
          <t>entidad-dia</t>
        </is>
      </c>
    </row>
    <row r="201">
      <c r="A201" t="inlineStr">
        <is>
          <t>PRAGMA</t>
        </is>
      </c>
      <c r="B201" t="inlineStr">
        <is>
          <t>M1</t>
        </is>
      </c>
      <c r="C201" t="inlineStr">
        <is>
          <t>Cali</t>
        </is>
      </c>
      <c r="D201" t="inlineStr">
        <is>
          <t>1162</t>
        </is>
      </c>
      <c r="E201" t="inlineStr">
        <is>
          <t>pagado</t>
        </is>
      </c>
      <c r="F201" s="23" t="n">
        <v>46269</v>
      </c>
      <c r="G201" s="24">
        <f>F201-DATE(2026,8,31)</f>
        <v>4</v>
      </c>
      <c r="H201" s="25" t="n">
        <v>182867387</v>
      </c>
      <c r="I201" t="inlineStr">
        <is>
          <t>entidad-dia</t>
        </is>
      </c>
    </row>
    <row r="202">
      <c r="A202" t="inlineStr">
        <is>
          <t>PRAGMA</t>
        </is>
      </c>
      <c r="B202" t="inlineStr">
        <is>
          <t>M1</t>
        </is>
      </c>
      <c r="C202" t="inlineStr">
        <is>
          <t>Cali</t>
        </is>
      </c>
      <c r="D202" t="inlineStr">
        <is>
          <t>1162</t>
        </is>
      </c>
      <c r="E202" t="inlineStr">
        <is>
          <t>pagado</t>
        </is>
      </c>
      <c r="F202" s="23" t="n">
        <v>46270</v>
      </c>
      <c r="G202" s="24">
        <f>F202-DATE(2026,8,31)</f>
        <v>5</v>
      </c>
      <c r="H202" s="25" t="n">
        <v>168967832</v>
      </c>
      <c r="I202" t="inlineStr">
        <is>
          <t>entidad-dia</t>
        </is>
      </c>
    </row>
    <row r="203">
      <c r="A203" t="inlineStr">
        <is>
          <t>PRAGMA</t>
        </is>
      </c>
      <c r="B203" t="inlineStr">
        <is>
          <t>M1</t>
        </is>
      </c>
      <c r="C203" t="inlineStr">
        <is>
          <t>Cali</t>
        </is>
      </c>
      <c r="D203" t="inlineStr">
        <is>
          <t>1162</t>
        </is>
      </c>
      <c r="E203" t="inlineStr">
        <is>
          <t>pagado</t>
        </is>
      </c>
      <c r="F203" s="23" t="n">
        <v>46271</v>
      </c>
      <c r="G203" s="24">
        <f>F203-DATE(2026,8,31)</f>
        <v>6</v>
      </c>
      <c r="H203" s="25" t="n">
        <v>82182416</v>
      </c>
      <c r="I203" t="inlineStr">
        <is>
          <t>entidad-dia</t>
        </is>
      </c>
    </row>
    <row r="204">
      <c r="A204" t="inlineStr">
        <is>
          <t>PRAGMA</t>
        </is>
      </c>
      <c r="B204" t="inlineStr">
        <is>
          <t>M1</t>
        </is>
      </c>
      <c r="C204" t="inlineStr">
        <is>
          <t>Cali</t>
        </is>
      </c>
      <c r="D204" t="inlineStr">
        <is>
          <t>1162</t>
        </is>
      </c>
      <c r="E204" t="inlineStr">
        <is>
          <t>pagado</t>
        </is>
      </c>
      <c r="F204" s="23" t="n">
        <v>46272</v>
      </c>
      <c r="G204" s="24">
        <f>F204-DATE(2026,8,31)</f>
        <v>7</v>
      </c>
      <c r="H204" s="25" t="n">
        <v>121055686</v>
      </c>
      <c r="I204" t="inlineStr">
        <is>
          <t>entidad-dia</t>
        </is>
      </c>
    </row>
    <row r="205">
      <c r="A205" t="inlineStr">
        <is>
          <t>PRAGMA</t>
        </is>
      </c>
      <c r="B205" t="inlineStr">
        <is>
          <t>M1</t>
        </is>
      </c>
      <c r="C205" t="inlineStr">
        <is>
          <t>Cali</t>
        </is>
      </c>
      <c r="D205" t="inlineStr">
        <is>
          <t>1162</t>
        </is>
      </c>
      <c r="E205" t="inlineStr">
        <is>
          <t>pagado</t>
        </is>
      </c>
      <c r="F205" s="23" t="n">
        <v>46273</v>
      </c>
      <c r="G205" s="24">
        <f>F205-DATE(2026,8,31)</f>
        <v>8</v>
      </c>
      <c r="H205" s="25" t="n">
        <v>152696591</v>
      </c>
      <c r="I205" t="inlineStr">
        <is>
          <t>entidad-dia</t>
        </is>
      </c>
    </row>
    <row r="206">
      <c r="A206" t="inlineStr">
        <is>
          <t>PRAGMA</t>
        </is>
      </c>
      <c r="B206" t="inlineStr">
        <is>
          <t>M1</t>
        </is>
      </c>
      <c r="C206" t="inlineStr">
        <is>
          <t>Cali</t>
        </is>
      </c>
      <c r="D206" t="inlineStr">
        <is>
          <t>1162</t>
        </is>
      </c>
      <c r="E206" t="inlineStr">
        <is>
          <t>pagado</t>
        </is>
      </c>
      <c r="F206" s="23" t="n">
        <v>46274</v>
      </c>
      <c r="G206" s="24">
        <f>F206-DATE(2026,8,31)</f>
        <v>9</v>
      </c>
      <c r="H206" s="25" t="n">
        <v>160094275</v>
      </c>
      <c r="I206" t="inlineStr">
        <is>
          <t>entidad-dia</t>
        </is>
      </c>
    </row>
    <row r="207">
      <c r="A207" t="inlineStr">
        <is>
          <t>PRAGMA</t>
        </is>
      </c>
      <c r="B207" t="inlineStr">
        <is>
          <t>M1</t>
        </is>
      </c>
      <c r="C207" t="inlineStr">
        <is>
          <t>Cali</t>
        </is>
      </c>
      <c r="D207" t="inlineStr">
        <is>
          <t>1162</t>
        </is>
      </c>
      <c r="E207" t="inlineStr">
        <is>
          <t>pagado</t>
        </is>
      </c>
      <c r="F207" s="23" t="n">
        <v>46275</v>
      </c>
      <c r="G207" s="24">
        <f>F207-DATE(2026,8,31)</f>
        <v>10</v>
      </c>
      <c r="H207" s="25" t="n">
        <v>142836100</v>
      </c>
      <c r="I207" t="inlineStr">
        <is>
          <t>entidad-dia</t>
        </is>
      </c>
    </row>
    <row r="208">
      <c r="A208" t="inlineStr">
        <is>
          <t>PRAGMA</t>
        </is>
      </c>
      <c r="B208" t="inlineStr">
        <is>
          <t>M1</t>
        </is>
      </c>
      <c r="C208" t="inlineStr">
        <is>
          <t>Cali</t>
        </is>
      </c>
      <c r="D208" t="inlineStr">
        <is>
          <t>1162</t>
        </is>
      </c>
      <c r="E208" t="inlineStr">
        <is>
          <t>pagado</t>
        </is>
      </c>
      <c r="F208" s="23" t="n">
        <v>46276</v>
      </c>
      <c r="G208" s="24">
        <f>F208-DATE(2026,8,31)</f>
        <v>11</v>
      </c>
      <c r="H208" s="25" t="n">
        <v>160793987</v>
      </c>
      <c r="I208" t="inlineStr">
        <is>
          <t>entidad-dia</t>
        </is>
      </c>
    </row>
    <row r="209">
      <c r="A209" t="inlineStr">
        <is>
          <t>PRAGMA</t>
        </is>
      </c>
      <c r="B209" t="inlineStr">
        <is>
          <t>M1</t>
        </is>
      </c>
      <c r="C209" t="inlineStr">
        <is>
          <t>Cali</t>
        </is>
      </c>
      <c r="D209" t="inlineStr">
        <is>
          <t>1162</t>
        </is>
      </c>
      <c r="E209" t="inlineStr">
        <is>
          <t>pagado</t>
        </is>
      </c>
      <c r="F209" s="23" t="n">
        <v>46277</v>
      </c>
      <c r="G209" s="24">
        <f>F209-DATE(2026,8,31)</f>
        <v>12</v>
      </c>
      <c r="H209" s="25" t="n">
        <v>125542779</v>
      </c>
      <c r="I209" t="inlineStr">
        <is>
          <t>entidad-dia</t>
        </is>
      </c>
    </row>
    <row r="210">
      <c r="A210" t="inlineStr">
        <is>
          <t>PRAGMA</t>
        </is>
      </c>
      <c r="B210" t="inlineStr">
        <is>
          <t>M1</t>
        </is>
      </c>
      <c r="C210" t="inlineStr">
        <is>
          <t>Cali</t>
        </is>
      </c>
      <c r="D210" t="inlineStr">
        <is>
          <t>1162</t>
        </is>
      </c>
      <c r="E210" t="inlineStr">
        <is>
          <t>pagado</t>
        </is>
      </c>
      <c r="F210" s="23" t="n">
        <v>46278</v>
      </c>
      <c r="G210" s="24">
        <f>F210-DATE(2026,8,31)</f>
        <v>13</v>
      </c>
      <c r="H210" s="25" t="n">
        <v>72122184</v>
      </c>
      <c r="I210" t="inlineStr">
        <is>
          <t>entidad-dia</t>
        </is>
      </c>
    </row>
    <row r="211">
      <c r="A211" t="inlineStr">
        <is>
          <t>PRAGMA</t>
        </is>
      </c>
      <c r="B211" t="inlineStr">
        <is>
          <t>M1</t>
        </is>
      </c>
      <c r="C211" t="inlineStr">
        <is>
          <t>Cali</t>
        </is>
      </c>
      <c r="D211" t="inlineStr">
        <is>
          <t>1162</t>
        </is>
      </c>
      <c r="E211" t="inlineStr">
        <is>
          <t>pagado</t>
        </is>
      </c>
      <c r="F211" s="23" t="n">
        <v>46279</v>
      </c>
      <c r="G211" s="24">
        <f>F211-DATE(2026,8,31)</f>
        <v>14</v>
      </c>
      <c r="H211" s="25" t="n">
        <v>121627569</v>
      </c>
      <c r="I211" t="inlineStr">
        <is>
          <t>entidad-dia</t>
        </is>
      </c>
    </row>
    <row r="212">
      <c r="A212" t="inlineStr">
        <is>
          <t>PRAGMA</t>
        </is>
      </c>
      <c r="B212" t="inlineStr">
        <is>
          <t>M1</t>
        </is>
      </c>
      <c r="C212" t="inlineStr">
        <is>
          <t>Cali</t>
        </is>
      </c>
      <c r="D212" t="inlineStr">
        <is>
          <t>1162</t>
        </is>
      </c>
      <c r="E212" t="inlineStr">
        <is>
          <t>pagado</t>
        </is>
      </c>
      <c r="F212" s="23" t="n">
        <v>46280</v>
      </c>
      <c r="G212" s="24">
        <f>F212-DATE(2026,8,31)</f>
        <v>15</v>
      </c>
      <c r="H212" s="25" t="n">
        <v>177763865</v>
      </c>
      <c r="I212" t="inlineStr">
        <is>
          <t>entidad-dia</t>
        </is>
      </c>
    </row>
    <row r="213">
      <c r="A213" t="inlineStr">
        <is>
          <t>PRAGMA</t>
        </is>
      </c>
      <c r="B213" t="inlineStr">
        <is>
          <t>M1</t>
        </is>
      </c>
      <c r="C213" t="inlineStr">
        <is>
          <t>Cali</t>
        </is>
      </c>
      <c r="D213" t="inlineStr">
        <is>
          <t>1165</t>
        </is>
      </c>
      <c r="E213" t="inlineStr">
        <is>
          <t>pagado</t>
        </is>
      </c>
      <c r="F213" s="23" t="n">
        <v>46266</v>
      </c>
      <c r="G213" s="24">
        <f>F213-DATE(2026,8,31)</f>
        <v>1</v>
      </c>
      <c r="H213" s="25" t="n">
        <v>112938991</v>
      </c>
      <c r="I213" t="inlineStr">
        <is>
          <t>entidad-dia</t>
        </is>
      </c>
    </row>
    <row r="214">
      <c r="A214" t="inlineStr">
        <is>
          <t>PRAGMA</t>
        </is>
      </c>
      <c r="B214" t="inlineStr">
        <is>
          <t>M1</t>
        </is>
      </c>
      <c r="C214" t="inlineStr">
        <is>
          <t>Cali</t>
        </is>
      </c>
      <c r="D214" t="inlineStr">
        <is>
          <t>1165</t>
        </is>
      </c>
      <c r="E214" t="inlineStr">
        <is>
          <t>pagado</t>
        </is>
      </c>
      <c r="F214" s="23" t="n">
        <v>46267</v>
      </c>
      <c r="G214" s="24">
        <f>F214-DATE(2026,8,31)</f>
        <v>2</v>
      </c>
      <c r="H214" s="25" t="n">
        <v>89367639</v>
      </c>
      <c r="I214" t="inlineStr">
        <is>
          <t>entidad-dia</t>
        </is>
      </c>
    </row>
    <row r="215">
      <c r="A215" t="inlineStr">
        <is>
          <t>PRAGMA</t>
        </is>
      </c>
      <c r="B215" t="inlineStr">
        <is>
          <t>M1</t>
        </is>
      </c>
      <c r="C215" t="inlineStr">
        <is>
          <t>Cali</t>
        </is>
      </c>
      <c r="D215" t="inlineStr">
        <is>
          <t>1165</t>
        </is>
      </c>
      <c r="E215" t="inlineStr">
        <is>
          <t>pagado</t>
        </is>
      </c>
      <c r="F215" s="23" t="n">
        <v>46268</v>
      </c>
      <c r="G215" s="24">
        <f>F215-DATE(2026,8,31)</f>
        <v>3</v>
      </c>
      <c r="H215" s="25" t="n">
        <v>144942339</v>
      </c>
      <c r="I215" t="inlineStr">
        <is>
          <t>entidad-dia</t>
        </is>
      </c>
    </row>
    <row r="216">
      <c r="A216" t="inlineStr">
        <is>
          <t>PRAGMA</t>
        </is>
      </c>
      <c r="B216" t="inlineStr">
        <is>
          <t>M1</t>
        </is>
      </c>
      <c r="C216" t="inlineStr">
        <is>
          <t>Cali</t>
        </is>
      </c>
      <c r="D216" t="inlineStr">
        <is>
          <t>1165</t>
        </is>
      </c>
      <c r="E216" t="inlineStr">
        <is>
          <t>pagado</t>
        </is>
      </c>
      <c r="F216" s="23" t="n">
        <v>46269</v>
      </c>
      <c r="G216" s="24">
        <f>F216-DATE(2026,8,31)</f>
        <v>4</v>
      </c>
      <c r="H216" s="25" t="n">
        <v>120763481</v>
      </c>
      <c r="I216" t="inlineStr">
        <is>
          <t>entidad-dia</t>
        </is>
      </c>
    </row>
    <row r="217">
      <c r="A217" t="inlineStr">
        <is>
          <t>PRAGMA</t>
        </is>
      </c>
      <c r="B217" t="inlineStr">
        <is>
          <t>M1</t>
        </is>
      </c>
      <c r="C217" t="inlineStr">
        <is>
          <t>Cali</t>
        </is>
      </c>
      <c r="D217" t="inlineStr">
        <is>
          <t>1165</t>
        </is>
      </c>
      <c r="E217" t="inlineStr">
        <is>
          <t>pagado</t>
        </is>
      </c>
      <c r="F217" s="23" t="n">
        <v>46270</v>
      </c>
      <c r="G217" s="24">
        <f>F217-DATE(2026,8,31)</f>
        <v>5</v>
      </c>
      <c r="H217" s="25" t="n">
        <v>98400215</v>
      </c>
      <c r="I217" t="inlineStr">
        <is>
          <t>entidad-dia</t>
        </is>
      </c>
    </row>
    <row r="218">
      <c r="A218" t="inlineStr">
        <is>
          <t>PRAGMA</t>
        </is>
      </c>
      <c r="B218" t="inlineStr">
        <is>
          <t>M1</t>
        </is>
      </c>
      <c r="C218" t="inlineStr">
        <is>
          <t>Cali</t>
        </is>
      </c>
      <c r="D218" t="inlineStr">
        <is>
          <t>1165</t>
        </is>
      </c>
      <c r="E218" t="inlineStr">
        <is>
          <t>pagado</t>
        </is>
      </c>
      <c r="F218" s="23" t="n">
        <v>46271</v>
      </c>
      <c r="G218" s="24">
        <f>F218-DATE(2026,8,31)</f>
        <v>6</v>
      </c>
      <c r="H218" s="25" t="n">
        <v>47986615</v>
      </c>
      <c r="I218" t="inlineStr">
        <is>
          <t>entidad-dia</t>
        </is>
      </c>
    </row>
    <row r="219">
      <c r="A219" t="inlineStr">
        <is>
          <t>PRAGMA</t>
        </is>
      </c>
      <c r="B219" t="inlineStr">
        <is>
          <t>M1</t>
        </is>
      </c>
      <c r="C219" t="inlineStr">
        <is>
          <t>Cali</t>
        </is>
      </c>
      <c r="D219" t="inlineStr">
        <is>
          <t>1165</t>
        </is>
      </c>
      <c r="E219" t="inlineStr">
        <is>
          <t>pagado</t>
        </is>
      </c>
      <c r="F219" s="23" t="n">
        <v>46272</v>
      </c>
      <c r="G219" s="24">
        <f>F219-DATE(2026,8,31)</f>
        <v>7</v>
      </c>
      <c r="H219" s="25" t="n">
        <v>85115793</v>
      </c>
      <c r="I219" t="inlineStr">
        <is>
          <t>entidad-dia</t>
        </is>
      </c>
    </row>
    <row r="220">
      <c r="A220" t="inlineStr">
        <is>
          <t>PRAGMA</t>
        </is>
      </c>
      <c r="B220" t="inlineStr">
        <is>
          <t>M1</t>
        </is>
      </c>
      <c r="C220" t="inlineStr">
        <is>
          <t>Cali</t>
        </is>
      </c>
      <c r="D220" t="inlineStr">
        <is>
          <t>1165</t>
        </is>
      </c>
      <c r="E220" t="inlineStr">
        <is>
          <t>pagado</t>
        </is>
      </c>
      <c r="F220" s="23" t="n">
        <v>46273</v>
      </c>
      <c r="G220" s="24">
        <f>F220-DATE(2026,8,31)</f>
        <v>8</v>
      </c>
      <c r="H220" s="25" t="n">
        <v>88093621</v>
      </c>
      <c r="I220" t="inlineStr">
        <is>
          <t>entidad-dia</t>
        </is>
      </c>
    </row>
    <row r="221">
      <c r="A221" t="inlineStr">
        <is>
          <t>PRAGMA</t>
        </is>
      </c>
      <c r="B221" t="inlineStr">
        <is>
          <t>M1</t>
        </is>
      </c>
      <c r="C221" t="inlineStr">
        <is>
          <t>Cali</t>
        </is>
      </c>
      <c r="D221" t="inlineStr">
        <is>
          <t>1165</t>
        </is>
      </c>
      <c r="E221" t="inlineStr">
        <is>
          <t>pagado</t>
        </is>
      </c>
      <c r="F221" s="23" t="n">
        <v>46274</v>
      </c>
      <c r="G221" s="24">
        <f>F221-DATE(2026,8,31)</f>
        <v>9</v>
      </c>
      <c r="H221" s="25" t="n">
        <v>69984054</v>
      </c>
      <c r="I221" t="inlineStr">
        <is>
          <t>entidad-dia</t>
        </is>
      </c>
    </row>
    <row r="222">
      <c r="A222" t="inlineStr">
        <is>
          <t>PRAGMA</t>
        </is>
      </c>
      <c r="B222" t="inlineStr">
        <is>
          <t>M1</t>
        </is>
      </c>
      <c r="C222" t="inlineStr">
        <is>
          <t>Cali</t>
        </is>
      </c>
      <c r="D222" t="inlineStr">
        <is>
          <t>1165</t>
        </is>
      </c>
      <c r="E222" t="inlineStr">
        <is>
          <t>pagado</t>
        </is>
      </c>
      <c r="F222" s="23" t="n">
        <v>46275</v>
      </c>
      <c r="G222" s="24">
        <f>F222-DATE(2026,8,31)</f>
        <v>10</v>
      </c>
      <c r="H222" s="25" t="n">
        <v>63137106</v>
      </c>
      <c r="I222" t="inlineStr">
        <is>
          <t>entidad-dia</t>
        </is>
      </c>
    </row>
    <row r="223">
      <c r="A223" t="inlineStr">
        <is>
          <t>PRAGMA</t>
        </is>
      </c>
      <c r="B223" t="inlineStr">
        <is>
          <t>M1</t>
        </is>
      </c>
      <c r="C223" t="inlineStr">
        <is>
          <t>Cali</t>
        </is>
      </c>
      <c r="D223" t="inlineStr">
        <is>
          <t>1165</t>
        </is>
      </c>
      <c r="E223" t="inlineStr">
        <is>
          <t>pagado</t>
        </is>
      </c>
      <c r="F223" s="23" t="n">
        <v>46276</v>
      </c>
      <c r="G223" s="24">
        <f>F223-DATE(2026,8,31)</f>
        <v>11</v>
      </c>
      <c r="H223" s="25" t="n">
        <v>81234881</v>
      </c>
      <c r="I223" t="inlineStr">
        <is>
          <t>entidad-dia</t>
        </is>
      </c>
    </row>
    <row r="224">
      <c r="A224" t="inlineStr">
        <is>
          <t>PRAGMA</t>
        </is>
      </c>
      <c r="B224" t="inlineStr">
        <is>
          <t>M1</t>
        </is>
      </c>
      <c r="C224" t="inlineStr">
        <is>
          <t>Cali</t>
        </is>
      </c>
      <c r="D224" t="inlineStr">
        <is>
          <t>1165</t>
        </is>
      </c>
      <c r="E224" t="inlineStr">
        <is>
          <t>pagado</t>
        </is>
      </c>
      <c r="F224" s="23" t="n">
        <v>46277</v>
      </c>
      <c r="G224" s="24">
        <f>F224-DATE(2026,8,31)</f>
        <v>12</v>
      </c>
      <c r="H224" s="25" t="n">
        <v>79613330</v>
      </c>
      <c r="I224" t="inlineStr">
        <is>
          <t>entidad-dia</t>
        </is>
      </c>
    </row>
    <row r="225">
      <c r="A225" t="inlineStr">
        <is>
          <t>PRAGMA</t>
        </is>
      </c>
      <c r="B225" t="inlineStr">
        <is>
          <t>M1</t>
        </is>
      </c>
      <c r="C225" t="inlineStr">
        <is>
          <t>Cali</t>
        </is>
      </c>
      <c r="D225" t="inlineStr">
        <is>
          <t>1165</t>
        </is>
      </c>
      <c r="E225" t="inlineStr">
        <is>
          <t>pagado</t>
        </is>
      </c>
      <c r="F225" s="23" t="n">
        <v>46278</v>
      </c>
      <c r="G225" s="24">
        <f>F225-DATE(2026,8,31)</f>
        <v>13</v>
      </c>
      <c r="H225" s="25" t="n">
        <v>42707734</v>
      </c>
      <c r="I225" t="inlineStr">
        <is>
          <t>entidad-dia</t>
        </is>
      </c>
    </row>
    <row r="226">
      <c r="A226" t="inlineStr">
        <is>
          <t>PRAGMA</t>
        </is>
      </c>
      <c r="B226" t="inlineStr">
        <is>
          <t>M1</t>
        </is>
      </c>
      <c r="C226" t="inlineStr">
        <is>
          <t>Cali</t>
        </is>
      </c>
      <c r="D226" t="inlineStr">
        <is>
          <t>1165</t>
        </is>
      </c>
      <c r="E226" t="inlineStr">
        <is>
          <t>pagado</t>
        </is>
      </c>
      <c r="F226" s="23" t="n">
        <v>46279</v>
      </c>
      <c r="G226" s="24">
        <f>F226-DATE(2026,8,31)</f>
        <v>14</v>
      </c>
      <c r="H226" s="25" t="n">
        <v>79986571</v>
      </c>
      <c r="I226" t="inlineStr">
        <is>
          <t>entidad-dia</t>
        </is>
      </c>
    </row>
    <row r="227">
      <c r="A227" t="inlineStr">
        <is>
          <t>PRAGMA</t>
        </is>
      </c>
      <c r="B227" t="inlineStr">
        <is>
          <t>M1</t>
        </is>
      </c>
      <c r="C227" t="inlineStr">
        <is>
          <t>Cali</t>
        </is>
      </c>
      <c r="D227" t="inlineStr">
        <is>
          <t>1165</t>
        </is>
      </c>
      <c r="E227" t="inlineStr">
        <is>
          <t>pagado</t>
        </is>
      </c>
      <c r="F227" s="23" t="n">
        <v>46280</v>
      </c>
      <c r="G227" s="24">
        <f>F227-DATE(2026,8,31)</f>
        <v>15</v>
      </c>
      <c r="H227" s="25" t="n">
        <v>99168547</v>
      </c>
      <c r="I227" t="inlineStr">
        <is>
          <t>entidad-dia</t>
        </is>
      </c>
    </row>
    <row r="228">
      <c r="A228" t="inlineStr">
        <is>
          <t>PRAGMA</t>
        </is>
      </c>
      <c r="B228" t="inlineStr">
        <is>
          <t>M1</t>
        </is>
      </c>
      <c r="C228" t="inlineStr">
        <is>
          <t>Cali</t>
        </is>
      </c>
      <c r="D228" t="inlineStr">
        <is>
          <t>1166</t>
        </is>
      </c>
      <c r="E228" t="inlineStr">
        <is>
          <t>pagado</t>
        </is>
      </c>
      <c r="F228" s="23" t="n">
        <v>46266</v>
      </c>
      <c r="G228" s="24">
        <f>F228-DATE(2026,8,31)</f>
        <v>1</v>
      </c>
      <c r="H228" s="25" t="n">
        <v>77180545</v>
      </c>
      <c r="I228" t="inlineStr">
        <is>
          <t>entidad-dia</t>
        </is>
      </c>
    </row>
    <row r="229">
      <c r="A229" t="inlineStr">
        <is>
          <t>PRAGMA</t>
        </is>
      </c>
      <c r="B229" t="inlineStr">
        <is>
          <t>M1</t>
        </is>
      </c>
      <c r="C229" t="inlineStr">
        <is>
          <t>Cali</t>
        </is>
      </c>
      <c r="D229" t="inlineStr">
        <is>
          <t>1166</t>
        </is>
      </c>
      <c r="E229" t="inlineStr">
        <is>
          <t>pagado</t>
        </is>
      </c>
      <c r="F229" s="23" t="n">
        <v>46267</v>
      </c>
      <c r="G229" s="24">
        <f>F229-DATE(2026,8,31)</f>
        <v>2</v>
      </c>
      <c r="H229" s="25" t="n">
        <v>73872071</v>
      </c>
      <c r="I229" t="inlineStr">
        <is>
          <t>entidad-dia</t>
        </is>
      </c>
    </row>
    <row r="230">
      <c r="A230" t="inlineStr">
        <is>
          <t>PRAGMA</t>
        </is>
      </c>
      <c r="B230" t="inlineStr">
        <is>
          <t>M1</t>
        </is>
      </c>
      <c r="C230" t="inlineStr">
        <is>
          <t>Cali</t>
        </is>
      </c>
      <c r="D230" t="inlineStr">
        <is>
          <t>1166</t>
        </is>
      </c>
      <c r="E230" t="inlineStr">
        <is>
          <t>pagado</t>
        </is>
      </c>
      <c r="F230" s="23" t="n">
        <v>46268</v>
      </c>
      <c r="G230" s="24">
        <f>F230-DATE(2026,8,31)</f>
        <v>3</v>
      </c>
      <c r="H230" s="25" t="n">
        <v>69232458</v>
      </c>
      <c r="I230" t="inlineStr">
        <is>
          <t>entidad-dia</t>
        </is>
      </c>
    </row>
    <row r="231">
      <c r="A231" t="inlineStr">
        <is>
          <t>PRAGMA</t>
        </is>
      </c>
      <c r="B231" t="inlineStr">
        <is>
          <t>M1</t>
        </is>
      </c>
      <c r="C231" t="inlineStr">
        <is>
          <t>Cali</t>
        </is>
      </c>
      <c r="D231" t="inlineStr">
        <is>
          <t>1166</t>
        </is>
      </c>
      <c r="E231" t="inlineStr">
        <is>
          <t>pagado</t>
        </is>
      </c>
      <c r="F231" s="23" t="n">
        <v>46269</v>
      </c>
      <c r="G231" s="24">
        <f>F231-DATE(2026,8,31)</f>
        <v>4</v>
      </c>
      <c r="H231" s="25" t="n">
        <v>54620570</v>
      </c>
      <c r="I231" t="inlineStr">
        <is>
          <t>entidad-dia</t>
        </is>
      </c>
    </row>
    <row r="232">
      <c r="A232" t="inlineStr">
        <is>
          <t>PRAGMA</t>
        </is>
      </c>
      <c r="B232" t="inlineStr">
        <is>
          <t>M1</t>
        </is>
      </c>
      <c r="C232" t="inlineStr">
        <is>
          <t>Cali</t>
        </is>
      </c>
      <c r="D232" t="inlineStr">
        <is>
          <t>1166</t>
        </is>
      </c>
      <c r="E232" t="inlineStr">
        <is>
          <t>pagado</t>
        </is>
      </c>
      <c r="F232" s="23" t="n">
        <v>46270</v>
      </c>
      <c r="G232" s="24">
        <f>F232-DATE(2026,8,31)</f>
        <v>5</v>
      </c>
      <c r="H232" s="25" t="n">
        <v>92678853</v>
      </c>
      <c r="I232" t="inlineStr">
        <is>
          <t>entidad-dia</t>
        </is>
      </c>
    </row>
    <row r="233">
      <c r="A233" t="inlineStr">
        <is>
          <t>PRAGMA</t>
        </is>
      </c>
      <c r="B233" t="inlineStr">
        <is>
          <t>M1</t>
        </is>
      </c>
      <c r="C233" t="inlineStr">
        <is>
          <t>Cali</t>
        </is>
      </c>
      <c r="D233" t="inlineStr">
        <is>
          <t>1166</t>
        </is>
      </c>
      <c r="E233" t="inlineStr">
        <is>
          <t>pagado</t>
        </is>
      </c>
      <c r="F233" s="23" t="n">
        <v>46271</v>
      </c>
      <c r="G233" s="24">
        <f>F233-DATE(2026,8,31)</f>
        <v>6</v>
      </c>
      <c r="H233" s="25" t="n">
        <v>56319648</v>
      </c>
      <c r="I233" t="inlineStr">
        <is>
          <t>entidad-dia</t>
        </is>
      </c>
    </row>
    <row r="234">
      <c r="A234" t="inlineStr">
        <is>
          <t>PRAGMA</t>
        </is>
      </c>
      <c r="B234" t="inlineStr">
        <is>
          <t>M1</t>
        </is>
      </c>
      <c r="C234" t="inlineStr">
        <is>
          <t>Cali</t>
        </is>
      </c>
      <c r="D234" t="inlineStr">
        <is>
          <t>1166</t>
        </is>
      </c>
      <c r="E234" t="inlineStr">
        <is>
          <t>pagado</t>
        </is>
      </c>
      <c r="F234" s="23" t="n">
        <v>46272</v>
      </c>
      <c r="G234" s="24">
        <f>F234-DATE(2026,8,31)</f>
        <v>7</v>
      </c>
      <c r="H234" s="25" t="n">
        <v>54217937</v>
      </c>
      <c r="I234" t="inlineStr">
        <is>
          <t>entidad-dia</t>
        </is>
      </c>
    </row>
    <row r="235">
      <c r="A235" t="inlineStr">
        <is>
          <t>PRAGMA</t>
        </is>
      </c>
      <c r="B235" t="inlineStr">
        <is>
          <t>M1</t>
        </is>
      </c>
      <c r="C235" t="inlineStr">
        <is>
          <t>Cali</t>
        </is>
      </c>
      <c r="D235" t="inlineStr">
        <is>
          <t>1166</t>
        </is>
      </c>
      <c r="E235" t="inlineStr">
        <is>
          <t>pagado</t>
        </is>
      </c>
      <c r="F235" s="23" t="n">
        <v>46273</v>
      </c>
      <c r="G235" s="24">
        <f>F235-DATE(2026,8,31)</f>
        <v>8</v>
      </c>
      <c r="H235" s="25" t="n">
        <v>61272634</v>
      </c>
      <c r="I235" t="inlineStr">
        <is>
          <t>entidad-dia</t>
        </is>
      </c>
    </row>
    <row r="236">
      <c r="A236" t="inlineStr">
        <is>
          <t>PRAGMA</t>
        </is>
      </c>
      <c r="B236" t="inlineStr">
        <is>
          <t>M1</t>
        </is>
      </c>
      <c r="C236" t="inlineStr">
        <is>
          <t>Cali</t>
        </is>
      </c>
      <c r="D236" t="inlineStr">
        <is>
          <t>1166</t>
        </is>
      </c>
      <c r="E236" t="inlineStr">
        <is>
          <t>pagado</t>
        </is>
      </c>
      <c r="F236" s="23" t="n">
        <v>46274</v>
      </c>
      <c r="G236" s="24">
        <f>F236-DATE(2026,8,31)</f>
        <v>9</v>
      </c>
      <c r="H236" s="25" t="n">
        <v>49805691</v>
      </c>
      <c r="I236" t="inlineStr">
        <is>
          <t>entidad-dia</t>
        </is>
      </c>
    </row>
    <row r="237">
      <c r="A237" t="inlineStr">
        <is>
          <t>PRAGMA</t>
        </is>
      </c>
      <c r="B237" t="inlineStr">
        <is>
          <t>M1</t>
        </is>
      </c>
      <c r="C237" t="inlineStr">
        <is>
          <t>Cali</t>
        </is>
      </c>
      <c r="D237" t="inlineStr">
        <is>
          <t>1166</t>
        </is>
      </c>
      <c r="E237" t="inlineStr">
        <is>
          <t>pagado</t>
        </is>
      </c>
      <c r="F237" s="23" t="n">
        <v>46275</v>
      </c>
      <c r="G237" s="24">
        <f>F237-DATE(2026,8,31)</f>
        <v>10</v>
      </c>
      <c r="H237" s="25" t="n">
        <v>52980392</v>
      </c>
      <c r="I237" t="inlineStr">
        <is>
          <t>entidad-dia</t>
        </is>
      </c>
    </row>
    <row r="238">
      <c r="A238" t="inlineStr">
        <is>
          <t>PRAGMA</t>
        </is>
      </c>
      <c r="B238" t="inlineStr">
        <is>
          <t>M1</t>
        </is>
      </c>
      <c r="C238" t="inlineStr">
        <is>
          <t>Cali</t>
        </is>
      </c>
      <c r="D238" t="inlineStr">
        <is>
          <t>1166</t>
        </is>
      </c>
      <c r="E238" t="inlineStr">
        <is>
          <t>pagado</t>
        </is>
      </c>
      <c r="F238" s="23" t="n">
        <v>46276</v>
      </c>
      <c r="G238" s="24">
        <f>F238-DATE(2026,8,31)</f>
        <v>11</v>
      </c>
      <c r="H238" s="25" t="n">
        <v>42253292</v>
      </c>
      <c r="I238" t="inlineStr">
        <is>
          <t>entidad-dia</t>
        </is>
      </c>
    </row>
    <row r="239">
      <c r="A239" t="inlineStr">
        <is>
          <t>PRAGMA</t>
        </is>
      </c>
      <c r="B239" t="inlineStr">
        <is>
          <t>M1</t>
        </is>
      </c>
      <c r="C239" t="inlineStr">
        <is>
          <t>Cali</t>
        </is>
      </c>
      <c r="D239" t="inlineStr">
        <is>
          <t>1166</t>
        </is>
      </c>
      <c r="E239" t="inlineStr">
        <is>
          <t>pagado</t>
        </is>
      </c>
      <c r="F239" s="23" t="n">
        <v>46277</v>
      </c>
      <c r="G239" s="24">
        <f>F239-DATE(2026,8,31)</f>
        <v>12</v>
      </c>
      <c r="H239" s="25" t="n">
        <v>55607539</v>
      </c>
      <c r="I239" t="inlineStr">
        <is>
          <t>entidad-dia</t>
        </is>
      </c>
    </row>
    <row r="240">
      <c r="A240" t="inlineStr">
        <is>
          <t>PRAGMA</t>
        </is>
      </c>
      <c r="B240" t="inlineStr">
        <is>
          <t>M1</t>
        </is>
      </c>
      <c r="C240" t="inlineStr">
        <is>
          <t>Cali</t>
        </is>
      </c>
      <c r="D240" t="inlineStr">
        <is>
          <t>1166</t>
        </is>
      </c>
      <c r="E240" t="inlineStr">
        <is>
          <t>pagado</t>
        </is>
      </c>
      <c r="F240" s="23" t="n">
        <v>46278</v>
      </c>
      <c r="G240" s="24">
        <f>F240-DATE(2026,8,31)</f>
        <v>13</v>
      </c>
      <c r="H240" s="25" t="n">
        <v>37455482</v>
      </c>
      <c r="I240" t="inlineStr">
        <is>
          <t>entidad-dia</t>
        </is>
      </c>
    </row>
    <row r="241">
      <c r="A241" t="inlineStr">
        <is>
          <t>PRAGMA</t>
        </is>
      </c>
      <c r="B241" t="inlineStr">
        <is>
          <t>M1</t>
        </is>
      </c>
      <c r="C241" t="inlineStr">
        <is>
          <t>Cali</t>
        </is>
      </c>
      <c r="D241" t="inlineStr">
        <is>
          <t>1166</t>
        </is>
      </c>
      <c r="E241" t="inlineStr">
        <is>
          <t>pagado</t>
        </is>
      </c>
      <c r="F241" s="23" t="n">
        <v>46279</v>
      </c>
      <c r="G241" s="24">
        <f>F241-DATE(2026,8,31)</f>
        <v>14</v>
      </c>
      <c r="H241" s="25" t="n">
        <v>52048611</v>
      </c>
      <c r="I241" t="inlineStr">
        <is>
          <t>entidad-dia</t>
        </is>
      </c>
    </row>
    <row r="242">
      <c r="A242" t="inlineStr">
        <is>
          <t>PRAGMA</t>
        </is>
      </c>
      <c r="B242" t="inlineStr">
        <is>
          <t>M1</t>
        </is>
      </c>
      <c r="C242" t="inlineStr">
        <is>
          <t>Cali</t>
        </is>
      </c>
      <c r="D242" t="inlineStr">
        <is>
          <t>1166</t>
        </is>
      </c>
      <c r="E242" t="inlineStr">
        <is>
          <t>pagado</t>
        </is>
      </c>
      <c r="F242" s="23" t="n">
        <v>46280</v>
      </c>
      <c r="G242" s="24">
        <f>F242-DATE(2026,8,31)</f>
        <v>15</v>
      </c>
      <c r="H242" s="25" t="n">
        <v>62042269</v>
      </c>
      <c r="I242" t="inlineStr">
        <is>
          <t>entidad-dia</t>
        </is>
      </c>
    </row>
    <row r="243">
      <c r="A243" t="inlineStr">
        <is>
          <t>PRAGMA</t>
        </is>
      </c>
      <c r="B243" t="inlineStr">
        <is>
          <t>M1</t>
        </is>
      </c>
      <c r="C243" t="inlineStr">
        <is>
          <t>Cali</t>
        </is>
      </c>
      <c r="D243" t="inlineStr">
        <is>
          <t>1167</t>
        </is>
      </c>
      <c r="E243" t="inlineStr">
        <is>
          <t>pagado</t>
        </is>
      </c>
      <c r="F243" s="23" t="n">
        <v>46266</v>
      </c>
      <c r="G243" s="24">
        <f>F243-DATE(2026,8,31)</f>
        <v>1</v>
      </c>
      <c r="H243" s="25" t="n">
        <v>50366711</v>
      </c>
      <c r="I243" t="inlineStr">
        <is>
          <t>entidad-dia</t>
        </is>
      </c>
    </row>
    <row r="244">
      <c r="A244" t="inlineStr">
        <is>
          <t>PRAGMA</t>
        </is>
      </c>
      <c r="B244" t="inlineStr">
        <is>
          <t>M1</t>
        </is>
      </c>
      <c r="C244" t="inlineStr">
        <is>
          <t>Cali</t>
        </is>
      </c>
      <c r="D244" t="inlineStr">
        <is>
          <t>1167</t>
        </is>
      </c>
      <c r="E244" t="inlineStr">
        <is>
          <t>pagado</t>
        </is>
      </c>
      <c r="F244" s="23" t="n">
        <v>46267</v>
      </c>
      <c r="G244" s="24">
        <f>F244-DATE(2026,8,31)</f>
        <v>2</v>
      </c>
      <c r="H244" s="25" t="n">
        <v>45139038</v>
      </c>
      <c r="I244" t="inlineStr">
        <is>
          <t>entidad-dia</t>
        </is>
      </c>
    </row>
    <row r="245">
      <c r="A245" t="inlineStr">
        <is>
          <t>PRAGMA</t>
        </is>
      </c>
      <c r="B245" t="inlineStr">
        <is>
          <t>M1</t>
        </is>
      </c>
      <c r="C245" t="inlineStr">
        <is>
          <t>Cali</t>
        </is>
      </c>
      <c r="D245" t="inlineStr">
        <is>
          <t>1167</t>
        </is>
      </c>
      <c r="E245" t="inlineStr">
        <is>
          <t>pagado</t>
        </is>
      </c>
      <c r="F245" s="23" t="n">
        <v>46268</v>
      </c>
      <c r="G245" s="24">
        <f>F245-DATE(2026,8,31)</f>
        <v>3</v>
      </c>
      <c r="H245" s="25" t="n">
        <v>67662842</v>
      </c>
      <c r="I245" t="inlineStr">
        <is>
          <t>entidad-dia</t>
        </is>
      </c>
    </row>
    <row r="246">
      <c r="A246" t="inlineStr">
        <is>
          <t>PRAGMA</t>
        </is>
      </c>
      <c r="B246" t="inlineStr">
        <is>
          <t>M1</t>
        </is>
      </c>
      <c r="C246" t="inlineStr">
        <is>
          <t>Cali</t>
        </is>
      </c>
      <c r="D246" t="inlineStr">
        <is>
          <t>1167</t>
        </is>
      </c>
      <c r="E246" t="inlineStr">
        <is>
          <t>pagado</t>
        </is>
      </c>
      <c r="F246" s="23" t="n">
        <v>46269</v>
      </c>
      <c r="G246" s="24">
        <f>F246-DATE(2026,8,31)</f>
        <v>4</v>
      </c>
      <c r="H246" s="25" t="n">
        <v>35805188</v>
      </c>
      <c r="I246" t="inlineStr">
        <is>
          <t>entidad-dia</t>
        </is>
      </c>
    </row>
    <row r="247">
      <c r="A247" t="inlineStr">
        <is>
          <t>PRAGMA</t>
        </is>
      </c>
      <c r="B247" t="inlineStr">
        <is>
          <t>M1</t>
        </is>
      </c>
      <c r="C247" t="inlineStr">
        <is>
          <t>Cali</t>
        </is>
      </c>
      <c r="D247" t="inlineStr">
        <is>
          <t>1167</t>
        </is>
      </c>
      <c r="E247" t="inlineStr">
        <is>
          <t>pagado</t>
        </is>
      </c>
      <c r="F247" s="23" t="n">
        <v>46270</v>
      </c>
      <c r="G247" s="24">
        <f>F247-DATE(2026,8,31)</f>
        <v>5</v>
      </c>
      <c r="H247" s="25" t="n">
        <v>80938756</v>
      </c>
      <c r="I247" t="inlineStr">
        <is>
          <t>entidad-dia</t>
        </is>
      </c>
    </row>
    <row r="248">
      <c r="A248" t="inlineStr">
        <is>
          <t>PRAGMA</t>
        </is>
      </c>
      <c r="B248" t="inlineStr">
        <is>
          <t>M1</t>
        </is>
      </c>
      <c r="C248" t="inlineStr">
        <is>
          <t>Cali</t>
        </is>
      </c>
      <c r="D248" t="inlineStr">
        <is>
          <t>1167</t>
        </is>
      </c>
      <c r="E248" t="inlineStr">
        <is>
          <t>pagado</t>
        </is>
      </c>
      <c r="F248" s="23" t="n">
        <v>46271</v>
      </c>
      <c r="G248" s="24">
        <f>F248-DATE(2026,8,31)</f>
        <v>6</v>
      </c>
      <c r="H248" s="25" t="n">
        <v>29103372</v>
      </c>
      <c r="I248" t="inlineStr">
        <is>
          <t>entidad-dia</t>
        </is>
      </c>
    </row>
    <row r="249">
      <c r="A249" t="inlineStr">
        <is>
          <t>PRAGMA</t>
        </is>
      </c>
      <c r="B249" t="inlineStr">
        <is>
          <t>M1</t>
        </is>
      </c>
      <c r="C249" t="inlineStr">
        <is>
          <t>Cali</t>
        </is>
      </c>
      <c r="D249" t="inlineStr">
        <is>
          <t>1167</t>
        </is>
      </c>
      <c r="E249" t="inlineStr">
        <is>
          <t>pagado</t>
        </is>
      </c>
      <c r="F249" s="23" t="n">
        <v>46272</v>
      </c>
      <c r="G249" s="24">
        <f>F249-DATE(2026,8,31)</f>
        <v>7</v>
      </c>
      <c r="H249" s="25" t="n">
        <v>29387262</v>
      </c>
      <c r="I249" t="inlineStr">
        <is>
          <t>entidad-dia</t>
        </is>
      </c>
    </row>
    <row r="250">
      <c r="A250" t="inlineStr">
        <is>
          <t>PRAGMA</t>
        </is>
      </c>
      <c r="B250" t="inlineStr">
        <is>
          <t>M1</t>
        </is>
      </c>
      <c r="C250" t="inlineStr">
        <is>
          <t>Cali</t>
        </is>
      </c>
      <c r="D250" t="inlineStr">
        <is>
          <t>1167</t>
        </is>
      </c>
      <c r="E250" t="inlineStr">
        <is>
          <t>pagado</t>
        </is>
      </c>
      <c r="F250" s="23" t="n">
        <v>46273</v>
      </c>
      <c r="G250" s="24">
        <f>F250-DATE(2026,8,31)</f>
        <v>8</v>
      </c>
      <c r="H250" s="25" t="n">
        <v>37777318</v>
      </c>
      <c r="I250" t="inlineStr">
        <is>
          <t>entidad-dia</t>
        </is>
      </c>
    </row>
    <row r="251">
      <c r="A251" t="inlineStr">
        <is>
          <t>PRAGMA</t>
        </is>
      </c>
      <c r="B251" t="inlineStr">
        <is>
          <t>M1</t>
        </is>
      </c>
      <c r="C251" t="inlineStr">
        <is>
          <t>Cali</t>
        </is>
      </c>
      <c r="D251" t="inlineStr">
        <is>
          <t>1167</t>
        </is>
      </c>
      <c r="E251" t="inlineStr">
        <is>
          <t>pagado</t>
        </is>
      </c>
      <c r="F251" s="23" t="n">
        <v>46274</v>
      </c>
      <c r="G251" s="24">
        <f>F251-DATE(2026,8,31)</f>
        <v>9</v>
      </c>
      <c r="H251" s="25" t="n">
        <v>34154979</v>
      </c>
      <c r="I251" t="inlineStr">
        <is>
          <t>entidad-dia</t>
        </is>
      </c>
    </row>
    <row r="252">
      <c r="A252" t="inlineStr">
        <is>
          <t>PRAGMA</t>
        </is>
      </c>
      <c r="B252" t="inlineStr">
        <is>
          <t>M1</t>
        </is>
      </c>
      <c r="C252" t="inlineStr">
        <is>
          <t>Cali</t>
        </is>
      </c>
      <c r="D252" t="inlineStr">
        <is>
          <t>1167</t>
        </is>
      </c>
      <c r="E252" t="inlineStr">
        <is>
          <t>pagado</t>
        </is>
      </c>
      <c r="F252" s="23" t="n">
        <v>46275</v>
      </c>
      <c r="G252" s="24">
        <f>F252-DATE(2026,8,31)</f>
        <v>10</v>
      </c>
      <c r="H252" s="25" t="n">
        <v>26222718</v>
      </c>
      <c r="I252" t="inlineStr">
        <is>
          <t>entidad-dia</t>
        </is>
      </c>
    </row>
    <row r="253">
      <c r="A253" t="inlineStr">
        <is>
          <t>PRAGMA</t>
        </is>
      </c>
      <c r="B253" t="inlineStr">
        <is>
          <t>M1</t>
        </is>
      </c>
      <c r="C253" t="inlineStr">
        <is>
          <t>Cali</t>
        </is>
      </c>
      <c r="D253" t="inlineStr">
        <is>
          <t>1167</t>
        </is>
      </c>
      <c r="E253" t="inlineStr">
        <is>
          <t>pagado</t>
        </is>
      </c>
      <c r="F253" s="23" t="n">
        <v>46276</v>
      </c>
      <c r="G253" s="24">
        <f>F253-DATE(2026,8,31)</f>
        <v>11</v>
      </c>
      <c r="H253" s="25" t="n">
        <v>27301395</v>
      </c>
      <c r="I253" t="inlineStr">
        <is>
          <t>entidad-dia</t>
        </is>
      </c>
    </row>
    <row r="254">
      <c r="A254" t="inlineStr">
        <is>
          <t>PRAGMA</t>
        </is>
      </c>
      <c r="B254" t="inlineStr">
        <is>
          <t>M1</t>
        </is>
      </c>
      <c r="C254" t="inlineStr">
        <is>
          <t>Cali</t>
        </is>
      </c>
      <c r="D254" t="inlineStr">
        <is>
          <t>1167</t>
        </is>
      </c>
      <c r="E254" t="inlineStr">
        <is>
          <t>pagado</t>
        </is>
      </c>
      <c r="F254" s="23" t="n">
        <v>46277</v>
      </c>
      <c r="G254" s="24">
        <f>F254-DATE(2026,8,31)</f>
        <v>12</v>
      </c>
      <c r="H254" s="25" t="n">
        <v>36385055</v>
      </c>
      <c r="I254" t="inlineStr">
        <is>
          <t>entidad-dia</t>
        </is>
      </c>
    </row>
    <row r="255">
      <c r="A255" t="inlineStr">
        <is>
          <t>PRAGMA</t>
        </is>
      </c>
      <c r="B255" t="inlineStr">
        <is>
          <t>M1</t>
        </is>
      </c>
      <c r="C255" t="inlineStr">
        <is>
          <t>Cali</t>
        </is>
      </c>
      <c r="D255" t="inlineStr">
        <is>
          <t>1167</t>
        </is>
      </c>
      <c r="E255" t="inlineStr">
        <is>
          <t>pagado</t>
        </is>
      </c>
      <c r="F255" s="23" t="n">
        <v>46278</v>
      </c>
      <c r="G255" s="24">
        <f>F255-DATE(2026,8,31)</f>
        <v>13</v>
      </c>
      <c r="H255" s="25" t="n">
        <v>15365529</v>
      </c>
      <c r="I255" t="inlineStr">
        <is>
          <t>entidad-dia</t>
        </is>
      </c>
    </row>
    <row r="256">
      <c r="A256" t="inlineStr">
        <is>
          <t>PRAGMA</t>
        </is>
      </c>
      <c r="B256" t="inlineStr">
        <is>
          <t>M1</t>
        </is>
      </c>
      <c r="C256" t="inlineStr">
        <is>
          <t>Cali</t>
        </is>
      </c>
      <c r="D256" t="inlineStr">
        <is>
          <t>1167</t>
        </is>
      </c>
      <c r="E256" t="inlineStr">
        <is>
          <t>pagado</t>
        </is>
      </c>
      <c r="F256" s="23" t="n">
        <v>46279</v>
      </c>
      <c r="G256" s="24">
        <f>F256-DATE(2026,8,31)</f>
        <v>14</v>
      </c>
      <c r="H256" s="25" t="n">
        <v>26305200</v>
      </c>
      <c r="I256" t="inlineStr">
        <is>
          <t>entidad-dia</t>
        </is>
      </c>
    </row>
    <row r="257">
      <c r="A257" t="inlineStr">
        <is>
          <t>PRAGMA</t>
        </is>
      </c>
      <c r="B257" t="inlineStr">
        <is>
          <t>M1</t>
        </is>
      </c>
      <c r="C257" t="inlineStr">
        <is>
          <t>Cali</t>
        </is>
      </c>
      <c r="D257" t="inlineStr">
        <is>
          <t>1167</t>
        </is>
      </c>
      <c r="E257" t="inlineStr">
        <is>
          <t>pagado</t>
        </is>
      </c>
      <c r="F257" s="23" t="n">
        <v>46280</v>
      </c>
      <c r="G257" s="24">
        <f>F257-DATE(2026,8,31)</f>
        <v>15</v>
      </c>
      <c r="H257" s="25" t="n">
        <v>44532838</v>
      </c>
      <c r="I257" t="inlineStr">
        <is>
          <t>entidad-dia</t>
        </is>
      </c>
    </row>
    <row r="258">
      <c r="A258" t="inlineStr">
        <is>
          <t>PRAGMA</t>
        </is>
      </c>
      <c r="B258" t="inlineStr">
        <is>
          <t>M1</t>
        </is>
      </c>
      <c r="C258" t="inlineStr">
        <is>
          <t>Cali</t>
        </is>
      </c>
      <c r="D258" t="inlineStr">
        <is>
          <t>1168</t>
        </is>
      </c>
      <c r="E258" t="inlineStr">
        <is>
          <t>pagado</t>
        </is>
      </c>
      <c r="F258" s="23" t="n">
        <v>46266</v>
      </c>
      <c r="G258" s="24">
        <f>F258-DATE(2026,8,31)</f>
        <v>1</v>
      </c>
      <c r="H258" s="25" t="n">
        <v>67138975</v>
      </c>
      <c r="I258" t="inlineStr">
        <is>
          <t>entidad-dia</t>
        </is>
      </c>
    </row>
    <row r="259">
      <c r="A259" t="inlineStr">
        <is>
          <t>PRAGMA</t>
        </is>
      </c>
      <c r="B259" t="inlineStr">
        <is>
          <t>M1</t>
        </is>
      </c>
      <c r="C259" t="inlineStr">
        <is>
          <t>Cali</t>
        </is>
      </c>
      <c r="D259" t="inlineStr">
        <is>
          <t>1168</t>
        </is>
      </c>
      <c r="E259" t="inlineStr">
        <is>
          <t>pagado</t>
        </is>
      </c>
      <c r="F259" s="23" t="n">
        <v>46267</v>
      </c>
      <c r="G259" s="24">
        <f>F259-DATE(2026,8,31)</f>
        <v>2</v>
      </c>
      <c r="H259" s="25" t="n">
        <v>49485162</v>
      </c>
      <c r="I259" t="inlineStr">
        <is>
          <t>entidad-dia</t>
        </is>
      </c>
    </row>
    <row r="260">
      <c r="A260" t="inlineStr">
        <is>
          <t>PRAGMA</t>
        </is>
      </c>
      <c r="B260" t="inlineStr">
        <is>
          <t>M1</t>
        </is>
      </c>
      <c r="C260" t="inlineStr">
        <is>
          <t>Cali</t>
        </is>
      </c>
      <c r="D260" t="inlineStr">
        <is>
          <t>1168</t>
        </is>
      </c>
      <c r="E260" t="inlineStr">
        <is>
          <t>pagado</t>
        </is>
      </c>
      <c r="F260" s="23" t="n">
        <v>46268</v>
      </c>
      <c r="G260" s="24">
        <f>F260-DATE(2026,8,31)</f>
        <v>3</v>
      </c>
      <c r="H260" s="25" t="n">
        <v>103523534</v>
      </c>
      <c r="I260" t="inlineStr">
        <is>
          <t>entidad-dia</t>
        </is>
      </c>
    </row>
    <row r="261">
      <c r="A261" t="inlineStr">
        <is>
          <t>PRAGMA</t>
        </is>
      </c>
      <c r="B261" t="inlineStr">
        <is>
          <t>M1</t>
        </is>
      </c>
      <c r="C261" t="inlineStr">
        <is>
          <t>Cali</t>
        </is>
      </c>
      <c r="D261" t="inlineStr">
        <is>
          <t>1168</t>
        </is>
      </c>
      <c r="E261" t="inlineStr">
        <is>
          <t>pagado</t>
        </is>
      </c>
      <c r="F261" s="23" t="n">
        <v>46269</v>
      </c>
      <c r="G261" s="24">
        <f>F261-DATE(2026,8,31)</f>
        <v>4</v>
      </c>
      <c r="H261" s="25" t="n">
        <v>66955765</v>
      </c>
      <c r="I261" t="inlineStr">
        <is>
          <t>entidad-dia</t>
        </is>
      </c>
    </row>
    <row r="262">
      <c r="A262" t="inlineStr">
        <is>
          <t>PRAGMA</t>
        </is>
      </c>
      <c r="B262" t="inlineStr">
        <is>
          <t>M1</t>
        </is>
      </c>
      <c r="C262" t="inlineStr">
        <is>
          <t>Cali</t>
        </is>
      </c>
      <c r="D262" t="inlineStr">
        <is>
          <t>1168</t>
        </is>
      </c>
      <c r="E262" t="inlineStr">
        <is>
          <t>pagado</t>
        </is>
      </c>
      <c r="F262" s="23" t="n">
        <v>46270</v>
      </c>
      <c r="G262" s="24">
        <f>F262-DATE(2026,8,31)</f>
        <v>5</v>
      </c>
      <c r="H262" s="25" t="n">
        <v>87324473</v>
      </c>
      <c r="I262" t="inlineStr">
        <is>
          <t>entidad-dia</t>
        </is>
      </c>
    </row>
    <row r="263">
      <c r="A263" t="inlineStr">
        <is>
          <t>PRAGMA</t>
        </is>
      </c>
      <c r="B263" t="inlineStr">
        <is>
          <t>M1</t>
        </is>
      </c>
      <c r="C263" t="inlineStr">
        <is>
          <t>Cali</t>
        </is>
      </c>
      <c r="D263" t="inlineStr">
        <is>
          <t>1168</t>
        </is>
      </c>
      <c r="E263" t="inlineStr">
        <is>
          <t>pagado</t>
        </is>
      </c>
      <c r="F263" s="23" t="n">
        <v>46271</v>
      </c>
      <c r="G263" s="24">
        <f>F263-DATE(2026,8,31)</f>
        <v>6</v>
      </c>
      <c r="H263" s="25" t="n">
        <v>23497503</v>
      </c>
      <c r="I263" t="inlineStr">
        <is>
          <t>entidad-dia</t>
        </is>
      </c>
    </row>
    <row r="264">
      <c r="A264" t="inlineStr">
        <is>
          <t>PRAGMA</t>
        </is>
      </c>
      <c r="B264" t="inlineStr">
        <is>
          <t>M1</t>
        </is>
      </c>
      <c r="C264" t="inlineStr">
        <is>
          <t>Cali</t>
        </is>
      </c>
      <c r="D264" t="inlineStr">
        <is>
          <t>1168</t>
        </is>
      </c>
      <c r="E264" t="inlineStr">
        <is>
          <t>pagado</t>
        </is>
      </c>
      <c r="F264" s="23" t="n">
        <v>46272</v>
      </c>
      <c r="G264" s="24">
        <f>F264-DATE(2026,8,31)</f>
        <v>7</v>
      </c>
      <c r="H264" s="25" t="n">
        <v>45073736</v>
      </c>
      <c r="I264" t="inlineStr">
        <is>
          <t>entidad-dia</t>
        </is>
      </c>
    </row>
    <row r="265">
      <c r="A265" t="inlineStr">
        <is>
          <t>PRAGMA</t>
        </is>
      </c>
      <c r="B265" t="inlineStr">
        <is>
          <t>M1</t>
        </is>
      </c>
      <c r="C265" t="inlineStr">
        <is>
          <t>Cali</t>
        </is>
      </c>
      <c r="D265" t="inlineStr">
        <is>
          <t>1168</t>
        </is>
      </c>
      <c r="E265" t="inlineStr">
        <is>
          <t>pagado</t>
        </is>
      </c>
      <c r="F265" s="23" t="n">
        <v>46273</v>
      </c>
      <c r="G265" s="24">
        <f>F265-DATE(2026,8,31)</f>
        <v>8</v>
      </c>
      <c r="H265" s="25" t="n">
        <v>50475077</v>
      </c>
      <c r="I265" t="inlineStr">
        <is>
          <t>entidad-dia</t>
        </is>
      </c>
    </row>
    <row r="266">
      <c r="A266" t="inlineStr">
        <is>
          <t>PRAGMA</t>
        </is>
      </c>
      <c r="B266" t="inlineStr">
        <is>
          <t>M1</t>
        </is>
      </c>
      <c r="C266" t="inlineStr">
        <is>
          <t>Cali</t>
        </is>
      </c>
      <c r="D266" t="inlineStr">
        <is>
          <t>1168</t>
        </is>
      </c>
      <c r="E266" t="inlineStr">
        <is>
          <t>pagado</t>
        </is>
      </c>
      <c r="F266" s="23" t="n">
        <v>46274</v>
      </c>
      <c r="G266" s="24">
        <f>F266-DATE(2026,8,31)</f>
        <v>9</v>
      </c>
      <c r="H266" s="25" t="n">
        <v>39912025</v>
      </c>
      <c r="I266" t="inlineStr">
        <is>
          <t>entidad-dia</t>
        </is>
      </c>
    </row>
    <row r="267">
      <c r="A267" t="inlineStr">
        <is>
          <t>PRAGMA</t>
        </is>
      </c>
      <c r="B267" t="inlineStr">
        <is>
          <t>M1</t>
        </is>
      </c>
      <c r="C267" t="inlineStr">
        <is>
          <t>Cali</t>
        </is>
      </c>
      <c r="D267" t="inlineStr">
        <is>
          <t>1168</t>
        </is>
      </c>
      <c r="E267" t="inlineStr">
        <is>
          <t>pagado</t>
        </is>
      </c>
      <c r="F267" s="23" t="n">
        <v>46275</v>
      </c>
      <c r="G267" s="24">
        <f>F267-DATE(2026,8,31)</f>
        <v>10</v>
      </c>
      <c r="H267" s="25" t="n">
        <v>31952053</v>
      </c>
      <c r="I267" t="inlineStr">
        <is>
          <t>entidad-dia</t>
        </is>
      </c>
    </row>
    <row r="268">
      <c r="A268" t="inlineStr">
        <is>
          <t>PRAGMA</t>
        </is>
      </c>
      <c r="B268" t="inlineStr">
        <is>
          <t>M1</t>
        </is>
      </c>
      <c r="C268" t="inlineStr">
        <is>
          <t>Cali</t>
        </is>
      </c>
      <c r="D268" t="inlineStr">
        <is>
          <t>1168</t>
        </is>
      </c>
      <c r="E268" t="inlineStr">
        <is>
          <t>pagado</t>
        </is>
      </c>
      <c r="F268" s="23" t="n">
        <v>46276</v>
      </c>
      <c r="G268" s="24">
        <f>F268-DATE(2026,8,31)</f>
        <v>11</v>
      </c>
      <c r="H268" s="25" t="n">
        <v>40011736</v>
      </c>
      <c r="I268" t="inlineStr">
        <is>
          <t>entidad-dia</t>
        </is>
      </c>
    </row>
    <row r="269">
      <c r="A269" t="inlineStr">
        <is>
          <t>PRAGMA</t>
        </is>
      </c>
      <c r="B269" t="inlineStr">
        <is>
          <t>M1</t>
        </is>
      </c>
      <c r="C269" t="inlineStr">
        <is>
          <t>Cali</t>
        </is>
      </c>
      <c r="D269" t="inlineStr">
        <is>
          <t>1168</t>
        </is>
      </c>
      <c r="E269" t="inlineStr">
        <is>
          <t>pagado</t>
        </is>
      </c>
      <c r="F269" s="23" t="n">
        <v>46277</v>
      </c>
      <c r="G269" s="24">
        <f>F269-DATE(2026,8,31)</f>
        <v>12</v>
      </c>
      <c r="H269" s="25" t="n">
        <v>34255770</v>
      </c>
      <c r="I269" t="inlineStr">
        <is>
          <t>entidad-dia</t>
        </is>
      </c>
    </row>
    <row r="270">
      <c r="A270" t="inlineStr">
        <is>
          <t>PRAGMA</t>
        </is>
      </c>
      <c r="B270" t="inlineStr">
        <is>
          <t>M1</t>
        </is>
      </c>
      <c r="C270" t="inlineStr">
        <is>
          <t>Cali</t>
        </is>
      </c>
      <c r="D270" t="inlineStr">
        <is>
          <t>1168</t>
        </is>
      </c>
      <c r="E270" t="inlineStr">
        <is>
          <t>pagado</t>
        </is>
      </c>
      <c r="F270" s="23" t="n">
        <v>46278</v>
      </c>
      <c r="G270" s="24">
        <f>F270-DATE(2026,8,31)</f>
        <v>13</v>
      </c>
      <c r="H270" s="25" t="n">
        <v>16144953</v>
      </c>
      <c r="I270" t="inlineStr">
        <is>
          <t>entidad-dia</t>
        </is>
      </c>
    </row>
    <row r="271">
      <c r="A271" t="inlineStr">
        <is>
          <t>PRAGMA</t>
        </is>
      </c>
      <c r="B271" t="inlineStr">
        <is>
          <t>M1</t>
        </is>
      </c>
      <c r="C271" t="inlineStr">
        <is>
          <t>Cali</t>
        </is>
      </c>
      <c r="D271" t="inlineStr">
        <is>
          <t>1168</t>
        </is>
      </c>
      <c r="E271" t="inlineStr">
        <is>
          <t>pagado</t>
        </is>
      </c>
      <c r="F271" s="23" t="n">
        <v>46279</v>
      </c>
      <c r="G271" s="24">
        <f>F271-DATE(2026,8,31)</f>
        <v>14</v>
      </c>
      <c r="H271" s="25" t="n">
        <v>42826104</v>
      </c>
      <c r="I271" t="inlineStr">
        <is>
          <t>entidad-dia</t>
        </is>
      </c>
    </row>
    <row r="272">
      <c r="A272" t="inlineStr">
        <is>
          <t>PRAGMA</t>
        </is>
      </c>
      <c r="B272" t="inlineStr">
        <is>
          <t>M1</t>
        </is>
      </c>
      <c r="C272" t="inlineStr">
        <is>
          <t>Cali</t>
        </is>
      </c>
      <c r="D272" t="inlineStr">
        <is>
          <t>1168</t>
        </is>
      </c>
      <c r="E272" t="inlineStr">
        <is>
          <t>pagado</t>
        </is>
      </c>
      <c r="F272" s="23" t="n">
        <v>46280</v>
      </c>
      <c r="G272" s="24">
        <f>F272-DATE(2026,8,31)</f>
        <v>15</v>
      </c>
      <c r="H272" s="25" t="n">
        <v>56426728</v>
      </c>
      <c r="I272" t="inlineStr">
        <is>
          <t>entidad-dia</t>
        </is>
      </c>
    </row>
    <row r="273">
      <c r="A273" t="inlineStr">
        <is>
          <t>PRAGMA</t>
        </is>
      </c>
      <c r="B273" t="inlineStr">
        <is>
          <t>M1</t>
        </is>
      </c>
      <c r="C273" t="inlineStr">
        <is>
          <t>Cali</t>
        </is>
      </c>
      <c r="D273" t="inlineStr">
        <is>
          <t>117</t>
        </is>
      </c>
      <c r="E273" t="inlineStr">
        <is>
          <t>pagado</t>
        </is>
      </c>
      <c r="F273" s="23" t="n">
        <v>46266</v>
      </c>
      <c r="G273" s="24">
        <f>F273-DATE(2026,8,31)</f>
        <v>1</v>
      </c>
      <c r="H273" s="25" t="n">
        <v>161160357</v>
      </c>
      <c r="I273" t="inlineStr">
        <is>
          <t>entidad-dia</t>
        </is>
      </c>
    </row>
    <row r="274">
      <c r="A274" t="inlineStr">
        <is>
          <t>PRAGMA</t>
        </is>
      </c>
      <c r="B274" t="inlineStr">
        <is>
          <t>M1</t>
        </is>
      </c>
      <c r="C274" t="inlineStr">
        <is>
          <t>Cali</t>
        </is>
      </c>
      <c r="D274" t="inlineStr">
        <is>
          <t>117</t>
        </is>
      </c>
      <c r="E274" t="inlineStr">
        <is>
          <t>pagado</t>
        </is>
      </c>
      <c r="F274" s="23" t="n">
        <v>46267</v>
      </c>
      <c r="G274" s="24">
        <f>F274-DATE(2026,8,31)</f>
        <v>2</v>
      </c>
      <c r="H274" s="25" t="n">
        <v>125030717</v>
      </c>
      <c r="I274" t="inlineStr">
        <is>
          <t>entidad-dia</t>
        </is>
      </c>
    </row>
    <row r="275">
      <c r="A275" t="inlineStr">
        <is>
          <t>PRAGMA</t>
        </is>
      </c>
      <c r="B275" t="inlineStr">
        <is>
          <t>M1</t>
        </is>
      </c>
      <c r="C275" t="inlineStr">
        <is>
          <t>Cali</t>
        </is>
      </c>
      <c r="D275" t="inlineStr">
        <is>
          <t>117</t>
        </is>
      </c>
      <c r="E275" t="inlineStr">
        <is>
          <t>pagado</t>
        </is>
      </c>
      <c r="F275" s="23" t="n">
        <v>46268</v>
      </c>
      <c r="G275" s="24">
        <f>F275-DATE(2026,8,31)</f>
        <v>3</v>
      </c>
      <c r="H275" s="25" t="n">
        <v>114627088</v>
      </c>
      <c r="I275" t="inlineStr">
        <is>
          <t>entidad-dia</t>
        </is>
      </c>
    </row>
    <row r="276">
      <c r="A276" t="inlineStr">
        <is>
          <t>PRAGMA</t>
        </is>
      </c>
      <c r="B276" t="inlineStr">
        <is>
          <t>M1</t>
        </is>
      </c>
      <c r="C276" t="inlineStr">
        <is>
          <t>Cali</t>
        </is>
      </c>
      <c r="D276" t="inlineStr">
        <is>
          <t>117</t>
        </is>
      </c>
      <c r="E276" t="inlineStr">
        <is>
          <t>pagado</t>
        </is>
      </c>
      <c r="F276" s="23" t="n">
        <v>46269</v>
      </c>
      <c r="G276" s="24">
        <f>F276-DATE(2026,8,31)</f>
        <v>4</v>
      </c>
      <c r="H276" s="25" t="n">
        <v>124921395</v>
      </c>
      <c r="I276" t="inlineStr">
        <is>
          <t>entidad-dia</t>
        </is>
      </c>
    </row>
    <row r="277">
      <c r="A277" t="inlineStr">
        <is>
          <t>PRAGMA</t>
        </is>
      </c>
      <c r="B277" t="inlineStr">
        <is>
          <t>M1</t>
        </is>
      </c>
      <c r="C277" t="inlineStr">
        <is>
          <t>Cali</t>
        </is>
      </c>
      <c r="D277" t="inlineStr">
        <is>
          <t>117</t>
        </is>
      </c>
      <c r="E277" t="inlineStr">
        <is>
          <t>pagado</t>
        </is>
      </c>
      <c r="F277" s="23" t="n">
        <v>46270</v>
      </c>
      <c r="G277" s="24">
        <f>F277-DATE(2026,8,31)</f>
        <v>5</v>
      </c>
      <c r="H277" s="25" t="n">
        <v>95102871</v>
      </c>
      <c r="I277" t="inlineStr">
        <is>
          <t>entidad-dia</t>
        </is>
      </c>
    </row>
    <row r="278">
      <c r="A278" t="inlineStr">
        <is>
          <t>PRAGMA</t>
        </is>
      </c>
      <c r="B278" t="inlineStr">
        <is>
          <t>M1</t>
        </is>
      </c>
      <c r="C278" t="inlineStr">
        <is>
          <t>Cali</t>
        </is>
      </c>
      <c r="D278" t="inlineStr">
        <is>
          <t>117</t>
        </is>
      </c>
      <c r="E278" t="inlineStr">
        <is>
          <t>pagado</t>
        </is>
      </c>
      <c r="F278" s="23" t="n">
        <v>46271</v>
      </c>
      <c r="G278" s="24">
        <f>F278-DATE(2026,8,31)</f>
        <v>6</v>
      </c>
      <c r="H278" s="25" t="n">
        <v>10717185</v>
      </c>
      <c r="I278" t="inlineStr">
        <is>
          <t>entidad-dia</t>
        </is>
      </c>
    </row>
    <row r="279">
      <c r="A279" t="inlineStr">
        <is>
          <t>PRAGMA</t>
        </is>
      </c>
      <c r="B279" t="inlineStr">
        <is>
          <t>M1</t>
        </is>
      </c>
      <c r="C279" t="inlineStr">
        <is>
          <t>Cali</t>
        </is>
      </c>
      <c r="D279" t="inlineStr">
        <is>
          <t>117</t>
        </is>
      </c>
      <c r="E279" t="inlineStr">
        <is>
          <t>pagado</t>
        </is>
      </c>
      <c r="F279" s="23" t="n">
        <v>46272</v>
      </c>
      <c r="G279" s="24">
        <f>F279-DATE(2026,8,31)</f>
        <v>7</v>
      </c>
      <c r="H279" s="25" t="n">
        <v>82019822</v>
      </c>
      <c r="I279" t="inlineStr">
        <is>
          <t>entidad-dia</t>
        </is>
      </c>
    </row>
    <row r="280">
      <c r="A280" t="inlineStr">
        <is>
          <t>PRAGMA</t>
        </is>
      </c>
      <c r="B280" t="inlineStr">
        <is>
          <t>M1</t>
        </is>
      </c>
      <c r="C280" t="inlineStr">
        <is>
          <t>Cali</t>
        </is>
      </c>
      <c r="D280" t="inlineStr">
        <is>
          <t>117</t>
        </is>
      </c>
      <c r="E280" t="inlineStr">
        <is>
          <t>pagado</t>
        </is>
      </c>
      <c r="F280" s="23" t="n">
        <v>46273</v>
      </c>
      <c r="G280" s="24">
        <f>F280-DATE(2026,8,31)</f>
        <v>8</v>
      </c>
      <c r="H280" s="25" t="n">
        <v>72677824</v>
      </c>
      <c r="I280" t="inlineStr">
        <is>
          <t>entidad-dia</t>
        </is>
      </c>
    </row>
    <row r="281">
      <c r="A281" t="inlineStr">
        <is>
          <t>PRAGMA</t>
        </is>
      </c>
      <c r="B281" t="inlineStr">
        <is>
          <t>M1</t>
        </is>
      </c>
      <c r="C281" t="inlineStr">
        <is>
          <t>Cali</t>
        </is>
      </c>
      <c r="D281" t="inlineStr">
        <is>
          <t>117</t>
        </is>
      </c>
      <c r="E281" t="inlineStr">
        <is>
          <t>pagado</t>
        </is>
      </c>
      <c r="F281" s="23" t="n">
        <v>46274</v>
      </c>
      <c r="G281" s="24">
        <f>F281-DATE(2026,8,31)</f>
        <v>9</v>
      </c>
      <c r="H281" s="25" t="n">
        <v>98562457</v>
      </c>
      <c r="I281" t="inlineStr">
        <is>
          <t>entidad-dia</t>
        </is>
      </c>
    </row>
    <row r="282">
      <c r="A282" t="inlineStr">
        <is>
          <t>PRAGMA</t>
        </is>
      </c>
      <c r="B282" t="inlineStr">
        <is>
          <t>M1</t>
        </is>
      </c>
      <c r="C282" t="inlineStr">
        <is>
          <t>Cali</t>
        </is>
      </c>
      <c r="D282" t="inlineStr">
        <is>
          <t>117</t>
        </is>
      </c>
      <c r="E282" t="inlineStr">
        <is>
          <t>pagado</t>
        </is>
      </c>
      <c r="F282" s="23" t="n">
        <v>46275</v>
      </c>
      <c r="G282" s="24">
        <f>F282-DATE(2026,8,31)</f>
        <v>10</v>
      </c>
      <c r="H282" s="25" t="n">
        <v>91285930</v>
      </c>
      <c r="I282" t="inlineStr">
        <is>
          <t>entidad-dia</t>
        </is>
      </c>
    </row>
    <row r="283">
      <c r="A283" t="inlineStr">
        <is>
          <t>PRAGMA</t>
        </is>
      </c>
      <c r="B283" t="inlineStr">
        <is>
          <t>M1</t>
        </is>
      </c>
      <c r="C283" t="inlineStr">
        <is>
          <t>Cali</t>
        </is>
      </c>
      <c r="D283" t="inlineStr">
        <is>
          <t>117</t>
        </is>
      </c>
      <c r="E283" t="inlineStr">
        <is>
          <t>pagado</t>
        </is>
      </c>
      <c r="F283" s="23" t="n">
        <v>46276</v>
      </c>
      <c r="G283" s="24">
        <f>F283-DATE(2026,8,31)</f>
        <v>11</v>
      </c>
      <c r="H283" s="25" t="n">
        <v>83607485</v>
      </c>
      <c r="I283" t="inlineStr">
        <is>
          <t>entidad-dia</t>
        </is>
      </c>
    </row>
    <row r="284">
      <c r="A284" t="inlineStr">
        <is>
          <t>PRAGMA</t>
        </is>
      </c>
      <c r="B284" t="inlineStr">
        <is>
          <t>M1</t>
        </is>
      </c>
      <c r="C284" t="inlineStr">
        <is>
          <t>Cali</t>
        </is>
      </c>
      <c r="D284" t="inlineStr">
        <is>
          <t>117</t>
        </is>
      </c>
      <c r="E284" t="inlineStr">
        <is>
          <t>pagado</t>
        </is>
      </c>
      <c r="F284" s="23" t="n">
        <v>46277</v>
      </c>
      <c r="G284" s="24">
        <f>F284-DATE(2026,8,31)</f>
        <v>12</v>
      </c>
      <c r="H284" s="25" t="n">
        <v>80666838</v>
      </c>
      <c r="I284" t="inlineStr">
        <is>
          <t>entidad-dia</t>
        </is>
      </c>
    </row>
    <row r="285">
      <c r="A285" t="inlineStr">
        <is>
          <t>PRAGMA</t>
        </is>
      </c>
      <c r="B285" t="inlineStr">
        <is>
          <t>M1</t>
        </is>
      </c>
      <c r="C285" t="inlineStr">
        <is>
          <t>Cali</t>
        </is>
      </c>
      <c r="D285" t="inlineStr">
        <is>
          <t>117</t>
        </is>
      </c>
      <c r="E285" t="inlineStr">
        <is>
          <t>pagado</t>
        </is>
      </c>
      <c r="F285" s="23" t="n">
        <v>46278</v>
      </c>
      <c r="G285" s="24">
        <f>F285-DATE(2026,8,31)</f>
        <v>13</v>
      </c>
      <c r="H285" s="25" t="n">
        <v>8045409</v>
      </c>
      <c r="I285" t="inlineStr">
        <is>
          <t>entidad-dia</t>
        </is>
      </c>
    </row>
    <row r="286">
      <c r="A286" t="inlineStr">
        <is>
          <t>PRAGMA</t>
        </is>
      </c>
      <c r="B286" t="inlineStr">
        <is>
          <t>M1</t>
        </is>
      </c>
      <c r="C286" t="inlineStr">
        <is>
          <t>Cali</t>
        </is>
      </c>
      <c r="D286" t="inlineStr">
        <is>
          <t>117</t>
        </is>
      </c>
      <c r="E286" t="inlineStr">
        <is>
          <t>pagado</t>
        </is>
      </c>
      <c r="F286" s="23" t="n">
        <v>46279</v>
      </c>
      <c r="G286" s="24">
        <f>F286-DATE(2026,8,31)</f>
        <v>14</v>
      </c>
      <c r="H286" s="25" t="n">
        <v>76971804</v>
      </c>
      <c r="I286" t="inlineStr">
        <is>
          <t>entidad-dia</t>
        </is>
      </c>
    </row>
    <row r="287">
      <c r="A287" t="inlineStr">
        <is>
          <t>PRAGMA</t>
        </is>
      </c>
      <c r="B287" t="inlineStr">
        <is>
          <t>M1</t>
        </is>
      </c>
      <c r="C287" t="inlineStr">
        <is>
          <t>Cali</t>
        </is>
      </c>
      <c r="D287" t="inlineStr">
        <is>
          <t>117</t>
        </is>
      </c>
      <c r="E287" t="inlineStr">
        <is>
          <t>pagado</t>
        </is>
      </c>
      <c r="F287" s="23" t="n">
        <v>46280</v>
      </c>
      <c r="G287" s="24">
        <f>F287-DATE(2026,8,31)</f>
        <v>15</v>
      </c>
      <c r="H287" s="25" t="n">
        <v>142757344</v>
      </c>
      <c r="I287" t="inlineStr">
        <is>
          <t>entidad-dia</t>
        </is>
      </c>
    </row>
    <row r="288">
      <c r="A288" t="inlineStr">
        <is>
          <t>PRAGMA</t>
        </is>
      </c>
      <c r="B288" t="inlineStr">
        <is>
          <t>M1</t>
        </is>
      </c>
      <c r="C288" t="inlineStr">
        <is>
          <t>Ipiales</t>
        </is>
      </c>
      <c r="D288" t="inlineStr">
        <is>
          <t>1224</t>
        </is>
      </c>
      <c r="E288" t="inlineStr">
        <is>
          <t>pagado</t>
        </is>
      </c>
      <c r="F288" s="23" t="n">
        <v>46266</v>
      </c>
      <c r="G288" s="24">
        <f>F288-DATE(2026,8,31)</f>
        <v>1</v>
      </c>
      <c r="H288" s="25" t="n">
        <v>164264497</v>
      </c>
      <c r="I288" t="inlineStr">
        <is>
          <t>entidad-dia</t>
        </is>
      </c>
    </row>
    <row r="289">
      <c r="A289" t="inlineStr">
        <is>
          <t>PRAGMA</t>
        </is>
      </c>
      <c r="B289" t="inlineStr">
        <is>
          <t>M1</t>
        </is>
      </c>
      <c r="C289" t="inlineStr">
        <is>
          <t>Ipiales</t>
        </is>
      </c>
      <c r="D289" t="inlineStr">
        <is>
          <t>1224</t>
        </is>
      </c>
      <c r="E289" t="inlineStr">
        <is>
          <t>pagado</t>
        </is>
      </c>
      <c r="F289" s="23" t="n">
        <v>46267</v>
      </c>
      <c r="G289" s="24">
        <f>F289-DATE(2026,8,31)</f>
        <v>2</v>
      </c>
      <c r="H289" s="25" t="n">
        <v>139959231</v>
      </c>
      <c r="I289" t="inlineStr">
        <is>
          <t>entidad-dia</t>
        </is>
      </c>
    </row>
    <row r="290">
      <c r="A290" t="inlineStr">
        <is>
          <t>PRAGMA</t>
        </is>
      </c>
      <c r="B290" t="inlineStr">
        <is>
          <t>M1</t>
        </is>
      </c>
      <c r="C290" t="inlineStr">
        <is>
          <t>Ipiales</t>
        </is>
      </c>
      <c r="D290" t="inlineStr">
        <is>
          <t>1224</t>
        </is>
      </c>
      <c r="E290" t="inlineStr">
        <is>
          <t>pagado</t>
        </is>
      </c>
      <c r="F290" s="23" t="n">
        <v>46268</v>
      </c>
      <c r="G290" s="24">
        <f>F290-DATE(2026,8,31)</f>
        <v>3</v>
      </c>
      <c r="H290" s="25" t="n">
        <v>125353622</v>
      </c>
      <c r="I290" t="inlineStr">
        <is>
          <t>entidad-dia</t>
        </is>
      </c>
    </row>
    <row r="291">
      <c r="A291" t="inlineStr">
        <is>
          <t>PRAGMA</t>
        </is>
      </c>
      <c r="B291" t="inlineStr">
        <is>
          <t>M1</t>
        </is>
      </c>
      <c r="C291" t="inlineStr">
        <is>
          <t>Ipiales</t>
        </is>
      </c>
      <c r="D291" t="inlineStr">
        <is>
          <t>1224</t>
        </is>
      </c>
      <c r="E291" t="inlineStr">
        <is>
          <t>pagado</t>
        </is>
      </c>
      <c r="F291" s="23" t="n">
        <v>46269</v>
      </c>
      <c r="G291" s="24">
        <f>F291-DATE(2026,8,31)</f>
        <v>4</v>
      </c>
      <c r="H291" s="25" t="n">
        <v>135385060</v>
      </c>
      <c r="I291" t="inlineStr">
        <is>
          <t>entidad-dia</t>
        </is>
      </c>
    </row>
    <row r="292">
      <c r="A292" t="inlineStr">
        <is>
          <t>PRAGMA</t>
        </is>
      </c>
      <c r="B292" t="inlineStr">
        <is>
          <t>M1</t>
        </is>
      </c>
      <c r="C292" t="inlineStr">
        <is>
          <t>Ipiales</t>
        </is>
      </c>
      <c r="D292" t="inlineStr">
        <is>
          <t>1224</t>
        </is>
      </c>
      <c r="E292" t="inlineStr">
        <is>
          <t>pagado</t>
        </is>
      </c>
      <c r="F292" s="23" t="n">
        <v>46270</v>
      </c>
      <c r="G292" s="24">
        <f>F292-DATE(2026,8,31)</f>
        <v>5</v>
      </c>
      <c r="H292" s="25" t="n">
        <v>137495328</v>
      </c>
      <c r="I292" t="inlineStr">
        <is>
          <t>entidad-dia</t>
        </is>
      </c>
    </row>
    <row r="293">
      <c r="A293" t="inlineStr">
        <is>
          <t>PRAGMA</t>
        </is>
      </c>
      <c r="B293" t="inlineStr">
        <is>
          <t>M1</t>
        </is>
      </c>
      <c r="C293" t="inlineStr">
        <is>
          <t>Ipiales</t>
        </is>
      </c>
      <c r="D293" t="inlineStr">
        <is>
          <t>1224</t>
        </is>
      </c>
      <c r="E293" t="inlineStr">
        <is>
          <t>pagado</t>
        </is>
      </c>
      <c r="F293" s="23" t="n">
        <v>46271</v>
      </c>
      <c r="G293" s="24">
        <f>F293-DATE(2026,8,31)</f>
        <v>6</v>
      </c>
      <c r="H293" s="25" t="n">
        <v>78691073</v>
      </c>
      <c r="I293" t="inlineStr">
        <is>
          <t>entidad-dia</t>
        </is>
      </c>
    </row>
    <row r="294">
      <c r="A294" t="inlineStr">
        <is>
          <t>PRAGMA</t>
        </is>
      </c>
      <c r="B294" t="inlineStr">
        <is>
          <t>M1</t>
        </is>
      </c>
      <c r="C294" t="inlineStr">
        <is>
          <t>Ipiales</t>
        </is>
      </c>
      <c r="D294" t="inlineStr">
        <is>
          <t>1224</t>
        </is>
      </c>
      <c r="E294" t="inlineStr">
        <is>
          <t>pagado</t>
        </is>
      </c>
      <c r="F294" s="23" t="n">
        <v>46272</v>
      </c>
      <c r="G294" s="24">
        <f>F294-DATE(2026,8,31)</f>
        <v>7</v>
      </c>
      <c r="H294" s="25" t="n">
        <v>112589119</v>
      </c>
      <c r="I294" t="inlineStr">
        <is>
          <t>entidad-dia</t>
        </is>
      </c>
    </row>
    <row r="295">
      <c r="A295" t="inlineStr">
        <is>
          <t>PRAGMA</t>
        </is>
      </c>
      <c r="B295" t="inlineStr">
        <is>
          <t>M1</t>
        </is>
      </c>
      <c r="C295" t="inlineStr">
        <is>
          <t>Ipiales</t>
        </is>
      </c>
      <c r="D295" t="inlineStr">
        <is>
          <t>1224</t>
        </is>
      </c>
      <c r="E295" t="inlineStr">
        <is>
          <t>pagado</t>
        </is>
      </c>
      <c r="F295" s="23" t="n">
        <v>46273</v>
      </c>
      <c r="G295" s="24">
        <f>F295-DATE(2026,8,31)</f>
        <v>8</v>
      </c>
      <c r="H295" s="25" t="n">
        <v>112511271</v>
      </c>
      <c r="I295" t="inlineStr">
        <is>
          <t>entidad-dia</t>
        </is>
      </c>
    </row>
    <row r="296">
      <c r="A296" t="inlineStr">
        <is>
          <t>PRAGMA</t>
        </is>
      </c>
      <c r="B296" t="inlineStr">
        <is>
          <t>M1</t>
        </is>
      </c>
      <c r="C296" t="inlineStr">
        <is>
          <t>Ipiales</t>
        </is>
      </c>
      <c r="D296" t="inlineStr">
        <is>
          <t>1224</t>
        </is>
      </c>
      <c r="E296" t="inlineStr">
        <is>
          <t>pagado</t>
        </is>
      </c>
      <c r="F296" s="23" t="n">
        <v>46274</v>
      </c>
      <c r="G296" s="24">
        <f>F296-DATE(2026,8,31)</f>
        <v>9</v>
      </c>
      <c r="H296" s="25" t="n">
        <v>104764109</v>
      </c>
      <c r="I296" t="inlineStr">
        <is>
          <t>entidad-dia</t>
        </is>
      </c>
    </row>
    <row r="297">
      <c r="A297" t="inlineStr">
        <is>
          <t>PRAGMA</t>
        </is>
      </c>
      <c r="B297" t="inlineStr">
        <is>
          <t>M1</t>
        </is>
      </c>
      <c r="C297" t="inlineStr">
        <is>
          <t>Ipiales</t>
        </is>
      </c>
      <c r="D297" t="inlineStr">
        <is>
          <t>1224</t>
        </is>
      </c>
      <c r="E297" t="inlineStr">
        <is>
          <t>pagado</t>
        </is>
      </c>
      <c r="F297" s="23" t="n">
        <v>46275</v>
      </c>
      <c r="G297" s="24">
        <f>F297-DATE(2026,8,31)</f>
        <v>10</v>
      </c>
      <c r="H297" s="25" t="n">
        <v>95991648</v>
      </c>
      <c r="I297" t="inlineStr">
        <is>
          <t>entidad-dia</t>
        </is>
      </c>
    </row>
    <row r="298">
      <c r="A298" t="inlineStr">
        <is>
          <t>PRAGMA</t>
        </is>
      </c>
      <c r="B298" t="inlineStr">
        <is>
          <t>M1</t>
        </is>
      </c>
      <c r="C298" t="inlineStr">
        <is>
          <t>Ipiales</t>
        </is>
      </c>
      <c r="D298" t="inlineStr">
        <is>
          <t>1224</t>
        </is>
      </c>
      <c r="E298" t="inlineStr">
        <is>
          <t>pagado</t>
        </is>
      </c>
      <c r="F298" s="23" t="n">
        <v>46276</v>
      </c>
      <c r="G298" s="24">
        <f>F298-DATE(2026,8,31)</f>
        <v>11</v>
      </c>
      <c r="H298" s="25" t="n">
        <v>115042389</v>
      </c>
      <c r="I298" t="inlineStr">
        <is>
          <t>entidad-dia</t>
        </is>
      </c>
    </row>
    <row r="299">
      <c r="A299" t="inlineStr">
        <is>
          <t>PRAGMA</t>
        </is>
      </c>
      <c r="B299" t="inlineStr">
        <is>
          <t>M1</t>
        </is>
      </c>
      <c r="C299" t="inlineStr">
        <is>
          <t>Ipiales</t>
        </is>
      </c>
      <c r="D299" t="inlineStr">
        <is>
          <t>1224</t>
        </is>
      </c>
      <c r="E299" t="inlineStr">
        <is>
          <t>pagado</t>
        </is>
      </c>
      <c r="F299" s="23" t="n">
        <v>46277</v>
      </c>
      <c r="G299" s="24">
        <f>F299-DATE(2026,8,31)</f>
        <v>12</v>
      </c>
      <c r="H299" s="25" t="n">
        <v>109357016</v>
      </c>
      <c r="I299" t="inlineStr">
        <is>
          <t>entidad-dia</t>
        </is>
      </c>
    </row>
    <row r="300">
      <c r="A300" t="inlineStr">
        <is>
          <t>PRAGMA</t>
        </is>
      </c>
      <c r="B300" t="inlineStr">
        <is>
          <t>M1</t>
        </is>
      </c>
      <c r="C300" t="inlineStr">
        <is>
          <t>Ipiales</t>
        </is>
      </c>
      <c r="D300" t="inlineStr">
        <is>
          <t>1224</t>
        </is>
      </c>
      <c r="E300" t="inlineStr">
        <is>
          <t>pagado</t>
        </is>
      </c>
      <c r="F300" s="23" t="n">
        <v>46278</v>
      </c>
      <c r="G300" s="24">
        <f>F300-DATE(2026,8,31)</f>
        <v>13</v>
      </c>
      <c r="H300" s="25" t="n">
        <v>66432269</v>
      </c>
      <c r="I300" t="inlineStr">
        <is>
          <t>entidad-dia</t>
        </is>
      </c>
    </row>
    <row r="301">
      <c r="A301" t="inlineStr">
        <is>
          <t>PRAGMA</t>
        </is>
      </c>
      <c r="B301" t="inlineStr">
        <is>
          <t>M1</t>
        </is>
      </c>
      <c r="C301" t="inlineStr">
        <is>
          <t>Ipiales</t>
        </is>
      </c>
      <c r="D301" t="inlineStr">
        <is>
          <t>1224</t>
        </is>
      </c>
      <c r="E301" t="inlineStr">
        <is>
          <t>pagado</t>
        </is>
      </c>
      <c r="F301" s="23" t="n">
        <v>46279</v>
      </c>
      <c r="G301" s="24">
        <f>F301-DATE(2026,8,31)</f>
        <v>14</v>
      </c>
      <c r="H301" s="25" t="n">
        <v>108041399</v>
      </c>
      <c r="I301" t="inlineStr">
        <is>
          <t>entidad-dia</t>
        </is>
      </c>
    </row>
    <row r="302">
      <c r="A302" t="inlineStr">
        <is>
          <t>PRAGMA</t>
        </is>
      </c>
      <c r="B302" t="inlineStr">
        <is>
          <t>M1</t>
        </is>
      </c>
      <c r="C302" t="inlineStr">
        <is>
          <t>Ipiales</t>
        </is>
      </c>
      <c r="D302" t="inlineStr">
        <is>
          <t>1224</t>
        </is>
      </c>
      <c r="E302" t="inlineStr">
        <is>
          <t>pagado</t>
        </is>
      </c>
      <c r="F302" s="23" t="n">
        <v>46280</v>
      </c>
      <c r="G302" s="24">
        <f>F302-DATE(2026,8,31)</f>
        <v>15</v>
      </c>
      <c r="H302" s="25" t="n">
        <v>124051009</v>
      </c>
      <c r="I302" t="inlineStr">
        <is>
          <t>entidad-dia</t>
        </is>
      </c>
    </row>
    <row r="303">
      <c r="A303" t="inlineStr">
        <is>
          <t>PRAGMA</t>
        </is>
      </c>
      <c r="B303" t="inlineStr">
        <is>
          <t>M1</t>
        </is>
      </c>
      <c r="C303" t="inlineStr">
        <is>
          <t>Cali</t>
        </is>
      </c>
      <c r="D303" t="inlineStr">
        <is>
          <t>1270</t>
        </is>
      </c>
      <c r="E303" t="inlineStr">
        <is>
          <t>pagado</t>
        </is>
      </c>
      <c r="F303" s="23" t="n">
        <v>46266</v>
      </c>
      <c r="G303" s="24">
        <f>F303-DATE(2026,8,31)</f>
        <v>1</v>
      </c>
      <c r="H303" s="25" t="n">
        <v>230239619</v>
      </c>
      <c r="I303" t="inlineStr">
        <is>
          <t>entidad-dia</t>
        </is>
      </c>
    </row>
    <row r="304">
      <c r="A304" t="inlineStr">
        <is>
          <t>PRAGMA</t>
        </is>
      </c>
      <c r="B304" t="inlineStr">
        <is>
          <t>M1</t>
        </is>
      </c>
      <c r="C304" t="inlineStr">
        <is>
          <t>Cali</t>
        </is>
      </c>
      <c r="D304" t="inlineStr">
        <is>
          <t>1270</t>
        </is>
      </c>
      <c r="E304" t="inlineStr">
        <is>
          <t>pagado</t>
        </is>
      </c>
      <c r="F304" s="23" t="n">
        <v>46267</v>
      </c>
      <c r="G304" s="24">
        <f>F304-DATE(2026,8,31)</f>
        <v>2</v>
      </c>
      <c r="H304" s="25" t="n">
        <v>179644065</v>
      </c>
      <c r="I304" t="inlineStr">
        <is>
          <t>entidad-dia</t>
        </is>
      </c>
    </row>
    <row r="305">
      <c r="A305" t="inlineStr">
        <is>
          <t>PRAGMA</t>
        </is>
      </c>
      <c r="B305" t="inlineStr">
        <is>
          <t>M1</t>
        </is>
      </c>
      <c r="C305" t="inlineStr">
        <is>
          <t>Cali</t>
        </is>
      </c>
      <c r="D305" t="inlineStr">
        <is>
          <t>1270</t>
        </is>
      </c>
      <c r="E305" t="inlineStr">
        <is>
          <t>pagado</t>
        </is>
      </c>
      <c r="F305" s="23" t="n">
        <v>46268</v>
      </c>
      <c r="G305" s="24">
        <f>F305-DATE(2026,8,31)</f>
        <v>3</v>
      </c>
      <c r="H305" s="25" t="n">
        <v>175615905</v>
      </c>
      <c r="I305" t="inlineStr">
        <is>
          <t>entidad-dia</t>
        </is>
      </c>
    </row>
    <row r="306">
      <c r="A306" t="inlineStr">
        <is>
          <t>PRAGMA</t>
        </is>
      </c>
      <c r="B306" t="inlineStr">
        <is>
          <t>M1</t>
        </is>
      </c>
      <c r="C306" t="inlineStr">
        <is>
          <t>Cali</t>
        </is>
      </c>
      <c r="D306" t="inlineStr">
        <is>
          <t>1270</t>
        </is>
      </c>
      <c r="E306" t="inlineStr">
        <is>
          <t>pagado</t>
        </is>
      </c>
      <c r="F306" s="23" t="n">
        <v>46269</v>
      </c>
      <c r="G306" s="24">
        <f>F306-DATE(2026,8,31)</f>
        <v>4</v>
      </c>
      <c r="H306" s="25" t="n">
        <v>181024116</v>
      </c>
      <c r="I306" t="inlineStr">
        <is>
          <t>entidad-dia</t>
        </is>
      </c>
    </row>
    <row r="307">
      <c r="A307" t="inlineStr">
        <is>
          <t>PRAGMA</t>
        </is>
      </c>
      <c r="B307" t="inlineStr">
        <is>
          <t>M1</t>
        </is>
      </c>
      <c r="C307" t="inlineStr">
        <is>
          <t>Cali</t>
        </is>
      </c>
      <c r="D307" t="inlineStr">
        <is>
          <t>1270</t>
        </is>
      </c>
      <c r="E307" t="inlineStr">
        <is>
          <t>pagado</t>
        </is>
      </c>
      <c r="F307" s="23" t="n">
        <v>46270</v>
      </c>
      <c r="G307" s="24">
        <f>F307-DATE(2026,8,31)</f>
        <v>5</v>
      </c>
      <c r="H307" s="25" t="n">
        <v>187971744</v>
      </c>
      <c r="I307" t="inlineStr">
        <is>
          <t>entidad-dia</t>
        </is>
      </c>
    </row>
    <row r="308">
      <c r="A308" t="inlineStr">
        <is>
          <t>PRAGMA</t>
        </is>
      </c>
      <c r="B308" t="inlineStr">
        <is>
          <t>M1</t>
        </is>
      </c>
      <c r="C308" t="inlineStr">
        <is>
          <t>Cali</t>
        </is>
      </c>
      <c r="D308" t="inlineStr">
        <is>
          <t>1270</t>
        </is>
      </c>
      <c r="E308" t="inlineStr">
        <is>
          <t>pagado</t>
        </is>
      </c>
      <c r="F308" s="23" t="n">
        <v>46271</v>
      </c>
      <c r="G308" s="24">
        <f>F308-DATE(2026,8,31)</f>
        <v>6</v>
      </c>
      <c r="H308" s="25" t="n">
        <v>110524249</v>
      </c>
      <c r="I308" t="inlineStr">
        <is>
          <t>entidad-dia</t>
        </is>
      </c>
    </row>
    <row r="309">
      <c r="A309" t="inlineStr">
        <is>
          <t>PRAGMA</t>
        </is>
      </c>
      <c r="B309" t="inlineStr">
        <is>
          <t>M1</t>
        </is>
      </c>
      <c r="C309" t="inlineStr">
        <is>
          <t>Cali</t>
        </is>
      </c>
      <c r="D309" t="inlineStr">
        <is>
          <t>1270</t>
        </is>
      </c>
      <c r="E309" t="inlineStr">
        <is>
          <t>pagado</t>
        </is>
      </c>
      <c r="F309" s="23" t="n">
        <v>46272</v>
      </c>
      <c r="G309" s="24">
        <f>F309-DATE(2026,8,31)</f>
        <v>7</v>
      </c>
      <c r="H309" s="25" t="n">
        <v>122781686</v>
      </c>
      <c r="I309" t="inlineStr">
        <is>
          <t>entidad-dia</t>
        </is>
      </c>
    </row>
    <row r="310">
      <c r="A310" t="inlineStr">
        <is>
          <t>PRAGMA</t>
        </is>
      </c>
      <c r="B310" t="inlineStr">
        <is>
          <t>M1</t>
        </is>
      </c>
      <c r="C310" t="inlineStr">
        <is>
          <t>Cali</t>
        </is>
      </c>
      <c r="D310" t="inlineStr">
        <is>
          <t>1270</t>
        </is>
      </c>
      <c r="E310" t="inlineStr">
        <is>
          <t>pagado</t>
        </is>
      </c>
      <c r="F310" s="23" t="n">
        <v>46273</v>
      </c>
      <c r="G310" s="24">
        <f>F310-DATE(2026,8,31)</f>
        <v>8</v>
      </c>
      <c r="H310" s="25" t="n">
        <v>121065447</v>
      </c>
      <c r="I310" t="inlineStr">
        <is>
          <t>entidad-dia</t>
        </is>
      </c>
    </row>
    <row r="311">
      <c r="A311" t="inlineStr">
        <is>
          <t>PRAGMA</t>
        </is>
      </c>
      <c r="B311" t="inlineStr">
        <is>
          <t>M1</t>
        </is>
      </c>
      <c r="C311" t="inlineStr">
        <is>
          <t>Cali</t>
        </is>
      </c>
      <c r="D311" t="inlineStr">
        <is>
          <t>1270</t>
        </is>
      </c>
      <c r="E311" t="inlineStr">
        <is>
          <t>pagado</t>
        </is>
      </c>
      <c r="F311" s="23" t="n">
        <v>46274</v>
      </c>
      <c r="G311" s="24">
        <f>F311-DATE(2026,8,31)</f>
        <v>9</v>
      </c>
      <c r="H311" s="25" t="n">
        <v>121917124</v>
      </c>
      <c r="I311" t="inlineStr">
        <is>
          <t>entidad-dia</t>
        </is>
      </c>
    </row>
    <row r="312">
      <c r="A312" t="inlineStr">
        <is>
          <t>PRAGMA</t>
        </is>
      </c>
      <c r="B312" t="inlineStr">
        <is>
          <t>M1</t>
        </is>
      </c>
      <c r="C312" t="inlineStr">
        <is>
          <t>Cali</t>
        </is>
      </c>
      <c r="D312" t="inlineStr">
        <is>
          <t>1270</t>
        </is>
      </c>
      <c r="E312" t="inlineStr">
        <is>
          <t>pagado</t>
        </is>
      </c>
      <c r="F312" s="23" t="n">
        <v>46275</v>
      </c>
      <c r="G312" s="24">
        <f>F312-DATE(2026,8,31)</f>
        <v>10</v>
      </c>
      <c r="H312" s="25" t="n">
        <v>118437993</v>
      </c>
      <c r="I312" t="inlineStr">
        <is>
          <t>entidad-dia</t>
        </is>
      </c>
    </row>
    <row r="313">
      <c r="A313" t="inlineStr">
        <is>
          <t>PRAGMA</t>
        </is>
      </c>
      <c r="B313" t="inlineStr">
        <is>
          <t>M1</t>
        </is>
      </c>
      <c r="C313" t="inlineStr">
        <is>
          <t>Cali</t>
        </is>
      </c>
      <c r="D313" t="inlineStr">
        <is>
          <t>1270</t>
        </is>
      </c>
      <c r="E313" t="inlineStr">
        <is>
          <t>pagado</t>
        </is>
      </c>
      <c r="F313" s="23" t="n">
        <v>46276</v>
      </c>
      <c r="G313" s="24">
        <f>F313-DATE(2026,8,31)</f>
        <v>11</v>
      </c>
      <c r="H313" s="25" t="n">
        <v>122310192</v>
      </c>
      <c r="I313" t="inlineStr">
        <is>
          <t>entidad-dia</t>
        </is>
      </c>
    </row>
    <row r="314">
      <c r="A314" t="inlineStr">
        <is>
          <t>PRAGMA</t>
        </is>
      </c>
      <c r="B314" t="inlineStr">
        <is>
          <t>M1</t>
        </is>
      </c>
      <c r="C314" t="inlineStr">
        <is>
          <t>Cali</t>
        </is>
      </c>
      <c r="D314" t="inlineStr">
        <is>
          <t>1270</t>
        </is>
      </c>
      <c r="E314" t="inlineStr">
        <is>
          <t>pagado</t>
        </is>
      </c>
      <c r="F314" s="23" t="n">
        <v>46277</v>
      </c>
      <c r="G314" s="24">
        <f>F314-DATE(2026,8,31)</f>
        <v>12</v>
      </c>
      <c r="H314" s="25" t="n">
        <v>141640939</v>
      </c>
      <c r="I314" t="inlineStr">
        <is>
          <t>entidad-dia</t>
        </is>
      </c>
    </row>
    <row r="315">
      <c r="A315" t="inlineStr">
        <is>
          <t>PRAGMA</t>
        </is>
      </c>
      <c r="B315" t="inlineStr">
        <is>
          <t>M1</t>
        </is>
      </c>
      <c r="C315" t="inlineStr">
        <is>
          <t>Cali</t>
        </is>
      </c>
      <c r="D315" t="inlineStr">
        <is>
          <t>1270</t>
        </is>
      </c>
      <c r="E315" t="inlineStr">
        <is>
          <t>pagado</t>
        </is>
      </c>
      <c r="F315" s="23" t="n">
        <v>46278</v>
      </c>
      <c r="G315" s="24">
        <f>F315-DATE(2026,8,31)</f>
        <v>13</v>
      </c>
      <c r="H315" s="25" t="n">
        <v>86257528</v>
      </c>
      <c r="I315" t="inlineStr">
        <is>
          <t>entidad-dia</t>
        </is>
      </c>
    </row>
    <row r="316">
      <c r="A316" t="inlineStr">
        <is>
          <t>PRAGMA</t>
        </is>
      </c>
      <c r="B316" t="inlineStr">
        <is>
          <t>M1</t>
        </is>
      </c>
      <c r="C316" t="inlineStr">
        <is>
          <t>Cali</t>
        </is>
      </c>
      <c r="D316" t="inlineStr">
        <is>
          <t>1270</t>
        </is>
      </c>
      <c r="E316" t="inlineStr">
        <is>
          <t>pagado</t>
        </is>
      </c>
      <c r="F316" s="23" t="n">
        <v>46279</v>
      </c>
      <c r="G316" s="24">
        <f>F316-DATE(2026,8,31)</f>
        <v>14</v>
      </c>
      <c r="H316" s="25" t="n">
        <v>131819238</v>
      </c>
      <c r="I316" t="inlineStr">
        <is>
          <t>entidad-dia</t>
        </is>
      </c>
    </row>
    <row r="317">
      <c r="A317" t="inlineStr">
        <is>
          <t>PRAGMA</t>
        </is>
      </c>
      <c r="B317" t="inlineStr">
        <is>
          <t>M1</t>
        </is>
      </c>
      <c r="C317" t="inlineStr">
        <is>
          <t>Cali</t>
        </is>
      </c>
      <c r="D317" t="inlineStr">
        <is>
          <t>1270</t>
        </is>
      </c>
      <c r="E317" t="inlineStr">
        <is>
          <t>pagado</t>
        </is>
      </c>
      <c r="F317" s="23" t="n">
        <v>46280</v>
      </c>
      <c r="G317" s="24">
        <f>F317-DATE(2026,8,31)</f>
        <v>15</v>
      </c>
      <c r="H317" s="25" t="n">
        <v>171340341</v>
      </c>
      <c r="I317" t="inlineStr">
        <is>
          <t>entidad-dia</t>
        </is>
      </c>
    </row>
    <row r="318">
      <c r="A318" t="inlineStr">
        <is>
          <t>PRAGMA</t>
        </is>
      </c>
      <c r="B318" t="inlineStr">
        <is>
          <t>M1</t>
        </is>
      </c>
      <c r="C318" t="inlineStr">
        <is>
          <t>Cali</t>
        </is>
      </c>
      <c r="D318" t="inlineStr">
        <is>
          <t>1271</t>
        </is>
      </c>
      <c r="E318" t="inlineStr">
        <is>
          <t>pagado</t>
        </is>
      </c>
      <c r="F318" s="23" t="n">
        <v>46266</v>
      </c>
      <c r="G318" s="24">
        <f>F318-DATE(2026,8,31)</f>
        <v>1</v>
      </c>
      <c r="H318" s="25" t="n">
        <v>241707867</v>
      </c>
      <c r="I318" t="inlineStr">
        <is>
          <t>entidad-dia</t>
        </is>
      </c>
    </row>
    <row r="319">
      <c r="A319" t="inlineStr">
        <is>
          <t>PRAGMA</t>
        </is>
      </c>
      <c r="B319" t="inlineStr">
        <is>
          <t>M1</t>
        </is>
      </c>
      <c r="C319" t="inlineStr">
        <is>
          <t>Cali</t>
        </is>
      </c>
      <c r="D319" t="inlineStr">
        <is>
          <t>1271</t>
        </is>
      </c>
      <c r="E319" t="inlineStr">
        <is>
          <t>pagado</t>
        </is>
      </c>
      <c r="F319" s="23" t="n">
        <v>46267</v>
      </c>
      <c r="G319" s="24">
        <f>F319-DATE(2026,8,31)</f>
        <v>2</v>
      </c>
      <c r="H319" s="25" t="n">
        <v>190568440</v>
      </c>
      <c r="I319" t="inlineStr">
        <is>
          <t>entidad-dia</t>
        </is>
      </c>
    </row>
    <row r="320">
      <c r="A320" t="inlineStr">
        <is>
          <t>PRAGMA</t>
        </is>
      </c>
      <c r="B320" t="inlineStr">
        <is>
          <t>M1</t>
        </is>
      </c>
      <c r="C320" t="inlineStr">
        <is>
          <t>Cali</t>
        </is>
      </c>
      <c r="D320" t="inlineStr">
        <is>
          <t>1271</t>
        </is>
      </c>
      <c r="E320" t="inlineStr">
        <is>
          <t>pagado</t>
        </is>
      </c>
      <c r="F320" s="23" t="n">
        <v>46268</v>
      </c>
      <c r="G320" s="24">
        <f>F320-DATE(2026,8,31)</f>
        <v>3</v>
      </c>
      <c r="H320" s="25" t="n">
        <v>174969089</v>
      </c>
      <c r="I320" t="inlineStr">
        <is>
          <t>entidad-dia</t>
        </is>
      </c>
    </row>
    <row r="321">
      <c r="A321" t="inlineStr">
        <is>
          <t>PRAGMA</t>
        </is>
      </c>
      <c r="B321" t="inlineStr">
        <is>
          <t>M1</t>
        </is>
      </c>
      <c r="C321" t="inlineStr">
        <is>
          <t>Cali</t>
        </is>
      </c>
      <c r="D321" t="inlineStr">
        <is>
          <t>1271</t>
        </is>
      </c>
      <c r="E321" t="inlineStr">
        <is>
          <t>pagado</t>
        </is>
      </c>
      <c r="F321" s="23" t="n">
        <v>46269</v>
      </c>
      <c r="G321" s="24">
        <f>F321-DATE(2026,8,31)</f>
        <v>4</v>
      </c>
      <c r="H321" s="25" t="n">
        <v>180212135</v>
      </c>
      <c r="I321" t="inlineStr">
        <is>
          <t>entidad-dia</t>
        </is>
      </c>
    </row>
    <row r="322">
      <c r="A322" t="inlineStr">
        <is>
          <t>PRAGMA</t>
        </is>
      </c>
      <c r="B322" t="inlineStr">
        <is>
          <t>M1</t>
        </is>
      </c>
      <c r="C322" t="inlineStr">
        <is>
          <t>Cali</t>
        </is>
      </c>
      <c r="D322" t="inlineStr">
        <is>
          <t>1271</t>
        </is>
      </c>
      <c r="E322" t="inlineStr">
        <is>
          <t>pagado</t>
        </is>
      </c>
      <c r="F322" s="23" t="n">
        <v>46270</v>
      </c>
      <c r="G322" s="24">
        <f>F322-DATE(2026,8,31)</f>
        <v>5</v>
      </c>
      <c r="H322" s="25" t="n">
        <v>184389730</v>
      </c>
      <c r="I322" t="inlineStr">
        <is>
          <t>entidad-dia</t>
        </is>
      </c>
    </row>
    <row r="323">
      <c r="A323" t="inlineStr">
        <is>
          <t>PRAGMA</t>
        </is>
      </c>
      <c r="B323" t="inlineStr">
        <is>
          <t>M1</t>
        </is>
      </c>
      <c r="C323" t="inlineStr">
        <is>
          <t>Cali</t>
        </is>
      </c>
      <c r="D323" t="inlineStr">
        <is>
          <t>1271</t>
        </is>
      </c>
      <c r="E323" t="inlineStr">
        <is>
          <t>pagado</t>
        </is>
      </c>
      <c r="F323" s="23" t="n">
        <v>46271</v>
      </c>
      <c r="G323" s="24">
        <f>F323-DATE(2026,8,31)</f>
        <v>6</v>
      </c>
      <c r="H323" s="25" t="n">
        <v>132390608</v>
      </c>
      <c r="I323" t="inlineStr">
        <is>
          <t>entidad-dia</t>
        </is>
      </c>
    </row>
    <row r="324">
      <c r="A324" t="inlineStr">
        <is>
          <t>PRAGMA</t>
        </is>
      </c>
      <c r="B324" t="inlineStr">
        <is>
          <t>M1</t>
        </is>
      </c>
      <c r="C324" t="inlineStr">
        <is>
          <t>Cali</t>
        </is>
      </c>
      <c r="D324" t="inlineStr">
        <is>
          <t>1271</t>
        </is>
      </c>
      <c r="E324" t="inlineStr">
        <is>
          <t>pagado</t>
        </is>
      </c>
      <c r="F324" s="23" t="n">
        <v>46272</v>
      </c>
      <c r="G324" s="24">
        <f>F324-DATE(2026,8,31)</f>
        <v>7</v>
      </c>
      <c r="H324" s="25" t="n">
        <v>140296307</v>
      </c>
      <c r="I324" t="inlineStr">
        <is>
          <t>entidad-dia</t>
        </is>
      </c>
    </row>
    <row r="325">
      <c r="A325" t="inlineStr">
        <is>
          <t>PRAGMA</t>
        </is>
      </c>
      <c r="B325" t="inlineStr">
        <is>
          <t>M1</t>
        </is>
      </c>
      <c r="C325" t="inlineStr">
        <is>
          <t>Cali</t>
        </is>
      </c>
      <c r="D325" t="inlineStr">
        <is>
          <t>1271</t>
        </is>
      </c>
      <c r="E325" t="inlineStr">
        <is>
          <t>pagado</t>
        </is>
      </c>
      <c r="F325" s="23" t="n">
        <v>46273</v>
      </c>
      <c r="G325" s="24">
        <f>F325-DATE(2026,8,31)</f>
        <v>8</v>
      </c>
      <c r="H325" s="25" t="n">
        <v>137688278</v>
      </c>
      <c r="I325" t="inlineStr">
        <is>
          <t>entidad-dia</t>
        </is>
      </c>
    </row>
    <row r="326">
      <c r="A326" t="inlineStr">
        <is>
          <t>PRAGMA</t>
        </is>
      </c>
      <c r="B326" t="inlineStr">
        <is>
          <t>M1</t>
        </is>
      </c>
      <c r="C326" t="inlineStr">
        <is>
          <t>Cali</t>
        </is>
      </c>
      <c r="D326" t="inlineStr">
        <is>
          <t>1271</t>
        </is>
      </c>
      <c r="E326" t="inlineStr">
        <is>
          <t>pagado</t>
        </is>
      </c>
      <c r="F326" s="23" t="n">
        <v>46274</v>
      </c>
      <c r="G326" s="24">
        <f>F326-DATE(2026,8,31)</f>
        <v>9</v>
      </c>
      <c r="H326" s="25" t="n">
        <v>135008229</v>
      </c>
      <c r="I326" t="inlineStr">
        <is>
          <t>entidad-dia</t>
        </is>
      </c>
    </row>
    <row r="327">
      <c r="A327" t="inlineStr">
        <is>
          <t>PRAGMA</t>
        </is>
      </c>
      <c r="B327" t="inlineStr">
        <is>
          <t>M1</t>
        </is>
      </c>
      <c r="C327" t="inlineStr">
        <is>
          <t>Cali</t>
        </is>
      </c>
      <c r="D327" t="inlineStr">
        <is>
          <t>1271</t>
        </is>
      </c>
      <c r="E327" t="inlineStr">
        <is>
          <t>pagado</t>
        </is>
      </c>
      <c r="F327" s="23" t="n">
        <v>46275</v>
      </c>
      <c r="G327" s="24">
        <f>F327-DATE(2026,8,31)</f>
        <v>10</v>
      </c>
      <c r="H327" s="25" t="n">
        <v>123748676</v>
      </c>
      <c r="I327" t="inlineStr">
        <is>
          <t>entidad-dia</t>
        </is>
      </c>
    </row>
    <row r="328">
      <c r="A328" t="inlineStr">
        <is>
          <t>PRAGMA</t>
        </is>
      </c>
      <c r="B328" t="inlineStr">
        <is>
          <t>M1</t>
        </is>
      </c>
      <c r="C328" t="inlineStr">
        <is>
          <t>Cali</t>
        </is>
      </c>
      <c r="D328" t="inlineStr">
        <is>
          <t>1271</t>
        </is>
      </c>
      <c r="E328" t="inlineStr">
        <is>
          <t>pagado</t>
        </is>
      </c>
      <c r="F328" s="23" t="n">
        <v>46276</v>
      </c>
      <c r="G328" s="24">
        <f>F328-DATE(2026,8,31)</f>
        <v>11</v>
      </c>
      <c r="H328" s="25" t="n">
        <v>127750720</v>
      </c>
      <c r="I328" t="inlineStr">
        <is>
          <t>entidad-dia</t>
        </is>
      </c>
    </row>
    <row r="329">
      <c r="A329" t="inlineStr">
        <is>
          <t>PRAGMA</t>
        </is>
      </c>
      <c r="B329" t="inlineStr">
        <is>
          <t>M1</t>
        </is>
      </c>
      <c r="C329" t="inlineStr">
        <is>
          <t>Cali</t>
        </is>
      </c>
      <c r="D329" t="inlineStr">
        <is>
          <t>1271</t>
        </is>
      </c>
      <c r="E329" t="inlineStr">
        <is>
          <t>pagado</t>
        </is>
      </c>
      <c r="F329" s="23" t="n">
        <v>46277</v>
      </c>
      <c r="G329" s="24">
        <f>F329-DATE(2026,8,31)</f>
        <v>12</v>
      </c>
      <c r="H329" s="25" t="n">
        <v>155112762</v>
      </c>
      <c r="I329" t="inlineStr">
        <is>
          <t>entidad-dia</t>
        </is>
      </c>
    </row>
    <row r="330">
      <c r="A330" t="inlineStr">
        <is>
          <t>PRAGMA</t>
        </is>
      </c>
      <c r="B330" t="inlineStr">
        <is>
          <t>M1</t>
        </is>
      </c>
      <c r="C330" t="inlineStr">
        <is>
          <t>Cali</t>
        </is>
      </c>
      <c r="D330" t="inlineStr">
        <is>
          <t>1271</t>
        </is>
      </c>
      <c r="E330" t="inlineStr">
        <is>
          <t>pagado</t>
        </is>
      </c>
      <c r="F330" s="23" t="n">
        <v>46278</v>
      </c>
      <c r="G330" s="24">
        <f>F330-DATE(2026,8,31)</f>
        <v>13</v>
      </c>
      <c r="H330" s="25" t="n">
        <v>98694437</v>
      </c>
      <c r="I330" t="inlineStr">
        <is>
          <t>entidad-dia</t>
        </is>
      </c>
    </row>
    <row r="331">
      <c r="A331" t="inlineStr">
        <is>
          <t>PRAGMA</t>
        </is>
      </c>
      <c r="B331" t="inlineStr">
        <is>
          <t>M1</t>
        </is>
      </c>
      <c r="C331" t="inlineStr">
        <is>
          <t>Cali</t>
        </is>
      </c>
      <c r="D331" t="inlineStr">
        <is>
          <t>1271</t>
        </is>
      </c>
      <c r="E331" t="inlineStr">
        <is>
          <t>pagado</t>
        </is>
      </c>
      <c r="F331" s="23" t="n">
        <v>46279</v>
      </c>
      <c r="G331" s="24">
        <f>F331-DATE(2026,8,31)</f>
        <v>14</v>
      </c>
      <c r="H331" s="25" t="n">
        <v>131332644</v>
      </c>
      <c r="I331" t="inlineStr">
        <is>
          <t>entidad-dia</t>
        </is>
      </c>
    </row>
    <row r="332">
      <c r="A332" t="inlineStr">
        <is>
          <t>PRAGMA</t>
        </is>
      </c>
      <c r="B332" t="inlineStr">
        <is>
          <t>M1</t>
        </is>
      </c>
      <c r="C332" t="inlineStr">
        <is>
          <t>Cali</t>
        </is>
      </c>
      <c r="D332" t="inlineStr">
        <is>
          <t>1271</t>
        </is>
      </c>
      <c r="E332" t="inlineStr">
        <is>
          <t>pagado</t>
        </is>
      </c>
      <c r="F332" s="23" t="n">
        <v>46280</v>
      </c>
      <c r="G332" s="24">
        <f>F332-DATE(2026,8,31)</f>
        <v>15</v>
      </c>
      <c r="H332" s="25" t="n">
        <v>184564323</v>
      </c>
      <c r="I332" t="inlineStr">
        <is>
          <t>entidad-dia</t>
        </is>
      </c>
    </row>
    <row r="333">
      <c r="A333" t="inlineStr">
        <is>
          <t>PRAGMA</t>
        </is>
      </c>
      <c r="B333" t="inlineStr">
        <is>
          <t>M1</t>
        </is>
      </c>
      <c r="C333" t="inlineStr">
        <is>
          <t>Cali</t>
        </is>
      </c>
      <c r="D333" t="inlineStr">
        <is>
          <t>1302</t>
        </is>
      </c>
      <c r="E333" t="inlineStr">
        <is>
          <t>pagado</t>
        </is>
      </c>
      <c r="F333" s="23" t="n">
        <v>46266</v>
      </c>
      <c r="G333" s="24">
        <f>F333-DATE(2026,8,31)</f>
        <v>1</v>
      </c>
      <c r="H333" s="25" t="n">
        <v>109221561</v>
      </c>
      <c r="I333" t="inlineStr">
        <is>
          <t>entidad-dia</t>
        </is>
      </c>
    </row>
    <row r="334">
      <c r="A334" t="inlineStr">
        <is>
          <t>PRAGMA</t>
        </is>
      </c>
      <c r="B334" t="inlineStr">
        <is>
          <t>M1</t>
        </is>
      </c>
      <c r="C334" t="inlineStr">
        <is>
          <t>Cali</t>
        </is>
      </c>
      <c r="D334" t="inlineStr">
        <is>
          <t>1302</t>
        </is>
      </c>
      <c r="E334" t="inlineStr">
        <is>
          <t>pagado</t>
        </is>
      </c>
      <c r="F334" s="23" t="n">
        <v>46267</v>
      </c>
      <c r="G334" s="24">
        <f>F334-DATE(2026,8,31)</f>
        <v>2</v>
      </c>
      <c r="H334" s="25" t="n">
        <v>80396025</v>
      </c>
      <c r="I334" t="inlineStr">
        <is>
          <t>entidad-dia</t>
        </is>
      </c>
    </row>
    <row r="335">
      <c r="A335" t="inlineStr">
        <is>
          <t>PRAGMA</t>
        </is>
      </c>
      <c r="B335" t="inlineStr">
        <is>
          <t>M1</t>
        </is>
      </c>
      <c r="C335" t="inlineStr">
        <is>
          <t>Cali</t>
        </is>
      </c>
      <c r="D335" t="inlineStr">
        <is>
          <t>1302</t>
        </is>
      </c>
      <c r="E335" t="inlineStr">
        <is>
          <t>pagado</t>
        </is>
      </c>
      <c r="F335" s="23" t="n">
        <v>46268</v>
      </c>
      <c r="G335" s="24">
        <f>F335-DATE(2026,8,31)</f>
        <v>3</v>
      </c>
      <c r="H335" s="25" t="n">
        <v>73504458</v>
      </c>
      <c r="I335" t="inlineStr">
        <is>
          <t>entidad-dia</t>
        </is>
      </c>
    </row>
    <row r="336">
      <c r="A336" t="inlineStr">
        <is>
          <t>PRAGMA</t>
        </is>
      </c>
      <c r="B336" t="inlineStr">
        <is>
          <t>M1</t>
        </is>
      </c>
      <c r="C336" t="inlineStr">
        <is>
          <t>Cali</t>
        </is>
      </c>
      <c r="D336" t="inlineStr">
        <is>
          <t>1302</t>
        </is>
      </c>
      <c r="E336" t="inlineStr">
        <is>
          <t>pagado</t>
        </is>
      </c>
      <c r="F336" s="23" t="n">
        <v>46269</v>
      </c>
      <c r="G336" s="24">
        <f>F336-DATE(2026,8,31)</f>
        <v>4</v>
      </c>
      <c r="H336" s="25" t="n">
        <v>78269611</v>
      </c>
      <c r="I336" t="inlineStr">
        <is>
          <t>entidad-dia</t>
        </is>
      </c>
    </row>
    <row r="337">
      <c r="A337" t="inlineStr">
        <is>
          <t>PRAGMA</t>
        </is>
      </c>
      <c r="B337" t="inlineStr">
        <is>
          <t>M1</t>
        </is>
      </c>
      <c r="C337" t="inlineStr">
        <is>
          <t>Cali</t>
        </is>
      </c>
      <c r="D337" t="inlineStr">
        <is>
          <t>1302</t>
        </is>
      </c>
      <c r="E337" t="inlineStr">
        <is>
          <t>pagado</t>
        </is>
      </c>
      <c r="F337" s="23" t="n">
        <v>46270</v>
      </c>
      <c r="G337" s="24">
        <f>F337-DATE(2026,8,31)</f>
        <v>5</v>
      </c>
      <c r="H337" s="25" t="n">
        <v>87183729</v>
      </c>
      <c r="I337" t="inlineStr">
        <is>
          <t>entidad-dia</t>
        </is>
      </c>
    </row>
    <row r="338">
      <c r="A338" t="inlineStr">
        <is>
          <t>PRAGMA</t>
        </is>
      </c>
      <c r="B338" t="inlineStr">
        <is>
          <t>M1</t>
        </is>
      </c>
      <c r="C338" t="inlineStr">
        <is>
          <t>Cali</t>
        </is>
      </c>
      <c r="D338" t="inlineStr">
        <is>
          <t>1302</t>
        </is>
      </c>
      <c r="E338" t="inlineStr">
        <is>
          <t>pagado</t>
        </is>
      </c>
      <c r="F338" s="23" t="n">
        <v>46271</v>
      </c>
      <c r="G338" s="24">
        <f>F338-DATE(2026,8,31)</f>
        <v>6</v>
      </c>
      <c r="H338" s="25" t="n">
        <v>50136147</v>
      </c>
      <c r="I338" t="inlineStr">
        <is>
          <t>entidad-dia</t>
        </is>
      </c>
    </row>
    <row r="339">
      <c r="A339" t="inlineStr">
        <is>
          <t>PRAGMA</t>
        </is>
      </c>
      <c r="B339" t="inlineStr">
        <is>
          <t>M1</t>
        </is>
      </c>
      <c r="C339" t="inlineStr">
        <is>
          <t>Cali</t>
        </is>
      </c>
      <c r="D339" t="inlineStr">
        <is>
          <t>1302</t>
        </is>
      </c>
      <c r="E339" t="inlineStr">
        <is>
          <t>pagado</t>
        </is>
      </c>
      <c r="F339" s="23" t="n">
        <v>46272</v>
      </c>
      <c r="G339" s="24">
        <f>F339-DATE(2026,8,31)</f>
        <v>7</v>
      </c>
      <c r="H339" s="25" t="n">
        <v>65282776</v>
      </c>
      <c r="I339" t="inlineStr">
        <is>
          <t>entidad-dia</t>
        </is>
      </c>
    </row>
    <row r="340">
      <c r="A340" t="inlineStr">
        <is>
          <t>PRAGMA</t>
        </is>
      </c>
      <c r="B340" t="inlineStr">
        <is>
          <t>M1</t>
        </is>
      </c>
      <c r="C340" t="inlineStr">
        <is>
          <t>Cali</t>
        </is>
      </c>
      <c r="D340" t="inlineStr">
        <is>
          <t>1302</t>
        </is>
      </c>
      <c r="E340" t="inlineStr">
        <is>
          <t>pagado</t>
        </is>
      </c>
      <c r="F340" s="23" t="n">
        <v>46273</v>
      </c>
      <c r="G340" s="24">
        <f>F340-DATE(2026,8,31)</f>
        <v>8</v>
      </c>
      <c r="H340" s="25" t="n">
        <v>57777644</v>
      </c>
      <c r="I340" t="inlineStr">
        <is>
          <t>entidad-dia</t>
        </is>
      </c>
    </row>
    <row r="341">
      <c r="A341" t="inlineStr">
        <is>
          <t>PRAGMA</t>
        </is>
      </c>
      <c r="B341" t="inlineStr">
        <is>
          <t>M1</t>
        </is>
      </c>
      <c r="C341" t="inlineStr">
        <is>
          <t>Cali</t>
        </is>
      </c>
      <c r="D341" t="inlineStr">
        <is>
          <t>1302</t>
        </is>
      </c>
      <c r="E341" t="inlineStr">
        <is>
          <t>pagado</t>
        </is>
      </c>
      <c r="F341" s="23" t="n">
        <v>46274</v>
      </c>
      <c r="G341" s="24">
        <f>F341-DATE(2026,8,31)</f>
        <v>9</v>
      </c>
      <c r="H341" s="25" t="n">
        <v>58626862</v>
      </c>
      <c r="I341" t="inlineStr">
        <is>
          <t>entidad-dia</t>
        </is>
      </c>
    </row>
    <row r="342">
      <c r="A342" t="inlineStr">
        <is>
          <t>PRAGMA</t>
        </is>
      </c>
      <c r="B342" t="inlineStr">
        <is>
          <t>M1</t>
        </is>
      </c>
      <c r="C342" t="inlineStr">
        <is>
          <t>Cali</t>
        </is>
      </c>
      <c r="D342" t="inlineStr">
        <is>
          <t>1302</t>
        </is>
      </c>
      <c r="E342" t="inlineStr">
        <is>
          <t>pagado</t>
        </is>
      </c>
      <c r="F342" s="23" t="n">
        <v>46275</v>
      </c>
      <c r="G342" s="24">
        <f>F342-DATE(2026,8,31)</f>
        <v>10</v>
      </c>
      <c r="H342" s="25" t="n">
        <v>78441043</v>
      </c>
      <c r="I342" t="inlineStr">
        <is>
          <t>entidad-dia</t>
        </is>
      </c>
    </row>
    <row r="343">
      <c r="A343" t="inlineStr">
        <is>
          <t>PRAGMA</t>
        </is>
      </c>
      <c r="B343" t="inlineStr">
        <is>
          <t>M1</t>
        </is>
      </c>
      <c r="C343" t="inlineStr">
        <is>
          <t>Cali</t>
        </is>
      </c>
      <c r="D343" t="inlineStr">
        <is>
          <t>1302</t>
        </is>
      </c>
      <c r="E343" t="inlineStr">
        <is>
          <t>pagado</t>
        </is>
      </c>
      <c r="F343" s="23" t="n">
        <v>46276</v>
      </c>
      <c r="G343" s="24">
        <f>F343-DATE(2026,8,31)</f>
        <v>11</v>
      </c>
      <c r="H343" s="25" t="n">
        <v>65380994</v>
      </c>
      <c r="I343" t="inlineStr">
        <is>
          <t>entidad-dia</t>
        </is>
      </c>
    </row>
    <row r="344">
      <c r="A344" t="inlineStr">
        <is>
          <t>PRAGMA</t>
        </is>
      </c>
      <c r="B344" t="inlineStr">
        <is>
          <t>M1</t>
        </is>
      </c>
      <c r="C344" t="inlineStr">
        <is>
          <t>Cali</t>
        </is>
      </c>
      <c r="D344" t="inlineStr">
        <is>
          <t>1302</t>
        </is>
      </c>
      <c r="E344" t="inlineStr">
        <is>
          <t>pagado</t>
        </is>
      </c>
      <c r="F344" s="23" t="n">
        <v>46277</v>
      </c>
      <c r="G344" s="24">
        <f>F344-DATE(2026,8,31)</f>
        <v>12</v>
      </c>
      <c r="H344" s="25" t="n">
        <v>70065498</v>
      </c>
      <c r="I344" t="inlineStr">
        <is>
          <t>entidad-dia</t>
        </is>
      </c>
    </row>
    <row r="345">
      <c r="A345" t="inlineStr">
        <is>
          <t>PRAGMA</t>
        </is>
      </c>
      <c r="B345" t="inlineStr">
        <is>
          <t>M1</t>
        </is>
      </c>
      <c r="C345" t="inlineStr">
        <is>
          <t>Cali</t>
        </is>
      </c>
      <c r="D345" t="inlineStr">
        <is>
          <t>1302</t>
        </is>
      </c>
      <c r="E345" t="inlineStr">
        <is>
          <t>pagado</t>
        </is>
      </c>
      <c r="F345" s="23" t="n">
        <v>46278</v>
      </c>
      <c r="G345" s="24">
        <f>F345-DATE(2026,8,31)</f>
        <v>13</v>
      </c>
      <c r="H345" s="25" t="n">
        <v>41371096</v>
      </c>
      <c r="I345" t="inlineStr">
        <is>
          <t>entidad-dia</t>
        </is>
      </c>
    </row>
    <row r="346">
      <c r="A346" t="inlineStr">
        <is>
          <t>PRAGMA</t>
        </is>
      </c>
      <c r="B346" t="inlineStr">
        <is>
          <t>M1</t>
        </is>
      </c>
      <c r="C346" t="inlineStr">
        <is>
          <t>Cali</t>
        </is>
      </c>
      <c r="D346" t="inlineStr">
        <is>
          <t>1302</t>
        </is>
      </c>
      <c r="E346" t="inlineStr">
        <is>
          <t>pagado</t>
        </is>
      </c>
      <c r="F346" s="23" t="n">
        <v>46279</v>
      </c>
      <c r="G346" s="24">
        <f>F346-DATE(2026,8,31)</f>
        <v>14</v>
      </c>
      <c r="H346" s="25" t="n">
        <v>58715431</v>
      </c>
      <c r="I346" t="inlineStr">
        <is>
          <t>entidad-dia</t>
        </is>
      </c>
    </row>
    <row r="347">
      <c r="A347" t="inlineStr">
        <is>
          <t>PRAGMA</t>
        </is>
      </c>
      <c r="B347" t="inlineStr">
        <is>
          <t>M1</t>
        </is>
      </c>
      <c r="C347" t="inlineStr">
        <is>
          <t>Cali</t>
        </is>
      </c>
      <c r="D347" t="inlineStr">
        <is>
          <t>1302</t>
        </is>
      </c>
      <c r="E347" t="inlineStr">
        <is>
          <t>pagado</t>
        </is>
      </c>
      <c r="F347" s="23" t="n">
        <v>46280</v>
      </c>
      <c r="G347" s="24">
        <f>F347-DATE(2026,8,31)</f>
        <v>15</v>
      </c>
      <c r="H347" s="25" t="n">
        <v>92857777</v>
      </c>
      <c r="I347" t="inlineStr">
        <is>
          <t>entidad-dia</t>
        </is>
      </c>
    </row>
    <row r="348">
      <c r="A348" t="inlineStr">
        <is>
          <t>PRAGMA</t>
        </is>
      </c>
      <c r="B348" t="inlineStr">
        <is>
          <t>M1</t>
        </is>
      </c>
      <c r="C348" t="inlineStr">
        <is>
          <t>Cali</t>
        </is>
      </c>
      <c r="D348" t="inlineStr">
        <is>
          <t>134</t>
        </is>
      </c>
      <c r="E348" t="inlineStr">
        <is>
          <t>pagado</t>
        </is>
      </c>
      <c r="F348" s="23" t="n">
        <v>46266</v>
      </c>
      <c r="G348" s="24">
        <f>F348-DATE(2026,8,31)</f>
        <v>1</v>
      </c>
      <c r="H348" s="25" t="n">
        <v>223864839</v>
      </c>
      <c r="I348" t="inlineStr">
        <is>
          <t>entidad-dia</t>
        </is>
      </c>
    </row>
    <row r="349">
      <c r="A349" t="inlineStr">
        <is>
          <t>PRAGMA</t>
        </is>
      </c>
      <c r="B349" t="inlineStr">
        <is>
          <t>M1</t>
        </is>
      </c>
      <c r="C349" t="inlineStr">
        <is>
          <t>Cali</t>
        </is>
      </c>
      <c r="D349" t="inlineStr">
        <is>
          <t>134</t>
        </is>
      </c>
      <c r="E349" t="inlineStr">
        <is>
          <t>pagado</t>
        </is>
      </c>
      <c r="F349" s="23" t="n">
        <v>46267</v>
      </c>
      <c r="G349" s="24">
        <f>F349-DATE(2026,8,31)</f>
        <v>2</v>
      </c>
      <c r="H349" s="25" t="n">
        <v>168429655</v>
      </c>
      <c r="I349" t="inlineStr">
        <is>
          <t>entidad-dia</t>
        </is>
      </c>
    </row>
    <row r="350">
      <c r="A350" t="inlineStr">
        <is>
          <t>PRAGMA</t>
        </is>
      </c>
      <c r="B350" t="inlineStr">
        <is>
          <t>M1</t>
        </is>
      </c>
      <c r="C350" t="inlineStr">
        <is>
          <t>Cali</t>
        </is>
      </c>
      <c r="D350" t="inlineStr">
        <is>
          <t>134</t>
        </is>
      </c>
      <c r="E350" t="inlineStr">
        <is>
          <t>pagado</t>
        </is>
      </c>
      <c r="F350" s="23" t="n">
        <v>46268</v>
      </c>
      <c r="G350" s="24">
        <f>F350-DATE(2026,8,31)</f>
        <v>3</v>
      </c>
      <c r="H350" s="25" t="n">
        <v>154290701</v>
      </c>
      <c r="I350" t="inlineStr">
        <is>
          <t>entidad-dia</t>
        </is>
      </c>
    </row>
    <row r="351">
      <c r="A351" t="inlineStr">
        <is>
          <t>PRAGMA</t>
        </is>
      </c>
      <c r="B351" t="inlineStr">
        <is>
          <t>M1</t>
        </is>
      </c>
      <c r="C351" t="inlineStr">
        <is>
          <t>Cali</t>
        </is>
      </c>
      <c r="D351" t="inlineStr">
        <is>
          <t>134</t>
        </is>
      </c>
      <c r="E351" t="inlineStr">
        <is>
          <t>pagado</t>
        </is>
      </c>
      <c r="F351" s="23" t="n">
        <v>46269</v>
      </c>
      <c r="G351" s="24">
        <f>F351-DATE(2026,8,31)</f>
        <v>4</v>
      </c>
      <c r="H351" s="25" t="n">
        <v>151850694</v>
      </c>
      <c r="I351" t="inlineStr">
        <is>
          <t>entidad-dia</t>
        </is>
      </c>
    </row>
    <row r="352">
      <c r="A352" t="inlineStr">
        <is>
          <t>PRAGMA</t>
        </is>
      </c>
      <c r="B352" t="inlineStr">
        <is>
          <t>M1</t>
        </is>
      </c>
      <c r="C352" t="inlineStr">
        <is>
          <t>Cali</t>
        </is>
      </c>
      <c r="D352" t="inlineStr">
        <is>
          <t>134</t>
        </is>
      </c>
      <c r="E352" t="inlineStr">
        <is>
          <t>pagado</t>
        </is>
      </c>
      <c r="F352" s="23" t="n">
        <v>46270</v>
      </c>
      <c r="G352" s="24">
        <f>F352-DATE(2026,8,31)</f>
        <v>5</v>
      </c>
      <c r="H352" s="25" t="n">
        <v>170064198</v>
      </c>
      <c r="I352" t="inlineStr">
        <is>
          <t>entidad-dia</t>
        </is>
      </c>
    </row>
    <row r="353">
      <c r="A353" t="inlineStr">
        <is>
          <t>PRAGMA</t>
        </is>
      </c>
      <c r="B353" t="inlineStr">
        <is>
          <t>M1</t>
        </is>
      </c>
      <c r="C353" t="inlineStr">
        <is>
          <t>Cali</t>
        </is>
      </c>
      <c r="D353" t="inlineStr">
        <is>
          <t>134</t>
        </is>
      </c>
      <c r="E353" t="inlineStr">
        <is>
          <t>pagado</t>
        </is>
      </c>
      <c r="F353" s="23" t="n">
        <v>46271</v>
      </c>
      <c r="G353" s="24">
        <f>F353-DATE(2026,8,31)</f>
        <v>6</v>
      </c>
      <c r="H353" s="25" t="n">
        <v>109575365</v>
      </c>
      <c r="I353" t="inlineStr">
        <is>
          <t>entidad-dia</t>
        </is>
      </c>
    </row>
    <row r="354">
      <c r="A354" t="inlineStr">
        <is>
          <t>PRAGMA</t>
        </is>
      </c>
      <c r="B354" t="inlineStr">
        <is>
          <t>M1</t>
        </is>
      </c>
      <c r="C354" t="inlineStr">
        <is>
          <t>Cali</t>
        </is>
      </c>
      <c r="D354" t="inlineStr">
        <is>
          <t>134</t>
        </is>
      </c>
      <c r="E354" t="inlineStr">
        <is>
          <t>pagado</t>
        </is>
      </c>
      <c r="F354" s="23" t="n">
        <v>46272</v>
      </c>
      <c r="G354" s="24">
        <f>F354-DATE(2026,8,31)</f>
        <v>7</v>
      </c>
      <c r="H354" s="25" t="n">
        <v>118182791</v>
      </c>
      <c r="I354" t="inlineStr">
        <is>
          <t>entidad-dia</t>
        </is>
      </c>
    </row>
    <row r="355">
      <c r="A355" t="inlineStr">
        <is>
          <t>PRAGMA</t>
        </is>
      </c>
      <c r="B355" t="inlineStr">
        <is>
          <t>M1</t>
        </is>
      </c>
      <c r="C355" t="inlineStr">
        <is>
          <t>Cali</t>
        </is>
      </c>
      <c r="D355" t="inlineStr">
        <is>
          <t>134</t>
        </is>
      </c>
      <c r="E355" t="inlineStr">
        <is>
          <t>pagado</t>
        </is>
      </c>
      <c r="F355" s="23" t="n">
        <v>46273</v>
      </c>
      <c r="G355" s="24">
        <f>F355-DATE(2026,8,31)</f>
        <v>8</v>
      </c>
      <c r="H355" s="25" t="n">
        <v>114226990</v>
      </c>
      <c r="I355" t="inlineStr">
        <is>
          <t>entidad-dia</t>
        </is>
      </c>
    </row>
    <row r="356">
      <c r="A356" t="inlineStr">
        <is>
          <t>PRAGMA</t>
        </is>
      </c>
      <c r="B356" t="inlineStr">
        <is>
          <t>M1</t>
        </is>
      </c>
      <c r="C356" t="inlineStr">
        <is>
          <t>Cali</t>
        </is>
      </c>
      <c r="D356" t="inlineStr">
        <is>
          <t>134</t>
        </is>
      </c>
      <c r="E356" t="inlineStr">
        <is>
          <t>pagado</t>
        </is>
      </c>
      <c r="F356" s="23" t="n">
        <v>46274</v>
      </c>
      <c r="G356" s="24">
        <f>F356-DATE(2026,8,31)</f>
        <v>9</v>
      </c>
      <c r="H356" s="25" t="n">
        <v>111093001</v>
      </c>
      <c r="I356" t="inlineStr">
        <is>
          <t>entidad-dia</t>
        </is>
      </c>
    </row>
    <row r="357">
      <c r="A357" t="inlineStr">
        <is>
          <t>PRAGMA</t>
        </is>
      </c>
      <c r="B357" t="inlineStr">
        <is>
          <t>M1</t>
        </is>
      </c>
      <c r="C357" t="inlineStr">
        <is>
          <t>Cali</t>
        </is>
      </c>
      <c r="D357" t="inlineStr">
        <is>
          <t>134</t>
        </is>
      </c>
      <c r="E357" t="inlineStr">
        <is>
          <t>pagado</t>
        </is>
      </c>
      <c r="F357" s="23" t="n">
        <v>46275</v>
      </c>
      <c r="G357" s="24">
        <f>F357-DATE(2026,8,31)</f>
        <v>10</v>
      </c>
      <c r="H357" s="25" t="n">
        <v>108566354</v>
      </c>
      <c r="I357" t="inlineStr">
        <is>
          <t>entidad-dia</t>
        </is>
      </c>
    </row>
    <row r="358">
      <c r="A358" t="inlineStr">
        <is>
          <t>PRAGMA</t>
        </is>
      </c>
      <c r="B358" t="inlineStr">
        <is>
          <t>M1</t>
        </is>
      </c>
      <c r="C358" t="inlineStr">
        <is>
          <t>Cali</t>
        </is>
      </c>
      <c r="D358" t="inlineStr">
        <is>
          <t>134</t>
        </is>
      </c>
      <c r="E358" t="inlineStr">
        <is>
          <t>pagado</t>
        </is>
      </c>
      <c r="F358" s="23" t="n">
        <v>46276</v>
      </c>
      <c r="G358" s="24">
        <f>F358-DATE(2026,8,31)</f>
        <v>11</v>
      </c>
      <c r="H358" s="25" t="n">
        <v>109384082</v>
      </c>
      <c r="I358" t="inlineStr">
        <is>
          <t>entidad-dia</t>
        </is>
      </c>
    </row>
    <row r="359">
      <c r="A359" t="inlineStr">
        <is>
          <t>PRAGMA</t>
        </is>
      </c>
      <c r="B359" t="inlineStr">
        <is>
          <t>M1</t>
        </is>
      </c>
      <c r="C359" t="inlineStr">
        <is>
          <t>Cali</t>
        </is>
      </c>
      <c r="D359" t="inlineStr">
        <is>
          <t>134</t>
        </is>
      </c>
      <c r="E359" t="inlineStr">
        <is>
          <t>pagado</t>
        </is>
      </c>
      <c r="F359" s="23" t="n">
        <v>46277</v>
      </c>
      <c r="G359" s="24">
        <f>F359-DATE(2026,8,31)</f>
        <v>12</v>
      </c>
      <c r="H359" s="25" t="n">
        <v>123581559</v>
      </c>
      <c r="I359" t="inlineStr">
        <is>
          <t>entidad-dia</t>
        </is>
      </c>
    </row>
    <row r="360">
      <c r="A360" t="inlineStr">
        <is>
          <t>PRAGMA</t>
        </is>
      </c>
      <c r="B360" t="inlineStr">
        <is>
          <t>M1</t>
        </is>
      </c>
      <c r="C360" t="inlineStr">
        <is>
          <t>Cali</t>
        </is>
      </c>
      <c r="D360" t="inlineStr">
        <is>
          <t>134</t>
        </is>
      </c>
      <c r="E360" t="inlineStr">
        <is>
          <t>pagado</t>
        </is>
      </c>
      <c r="F360" s="23" t="n">
        <v>46278</v>
      </c>
      <c r="G360" s="24">
        <f>F360-DATE(2026,8,31)</f>
        <v>13</v>
      </c>
      <c r="H360" s="25" t="n">
        <v>81402047</v>
      </c>
      <c r="I360" t="inlineStr">
        <is>
          <t>entidad-dia</t>
        </is>
      </c>
    </row>
    <row r="361">
      <c r="A361" t="inlineStr">
        <is>
          <t>PRAGMA</t>
        </is>
      </c>
      <c r="B361" t="inlineStr">
        <is>
          <t>M1</t>
        </is>
      </c>
      <c r="C361" t="inlineStr">
        <is>
          <t>Cali</t>
        </is>
      </c>
      <c r="D361" t="inlineStr">
        <is>
          <t>134</t>
        </is>
      </c>
      <c r="E361" t="inlineStr">
        <is>
          <t>pagado</t>
        </is>
      </c>
      <c r="F361" s="23" t="n">
        <v>46279</v>
      </c>
      <c r="G361" s="24">
        <f>F361-DATE(2026,8,31)</f>
        <v>14</v>
      </c>
      <c r="H361" s="25" t="n">
        <v>112375741</v>
      </c>
      <c r="I361" t="inlineStr">
        <is>
          <t>entidad-dia</t>
        </is>
      </c>
    </row>
    <row r="362">
      <c r="A362" t="inlineStr">
        <is>
          <t>PRAGMA</t>
        </is>
      </c>
      <c r="B362" t="inlineStr">
        <is>
          <t>M1</t>
        </is>
      </c>
      <c r="C362" t="inlineStr">
        <is>
          <t>Cali</t>
        </is>
      </c>
      <c r="D362" t="inlineStr">
        <is>
          <t>134</t>
        </is>
      </c>
      <c r="E362" t="inlineStr">
        <is>
          <t>pagado</t>
        </is>
      </c>
      <c r="F362" s="23" t="n">
        <v>46280</v>
      </c>
      <c r="G362" s="24">
        <f>F362-DATE(2026,8,31)</f>
        <v>15</v>
      </c>
      <c r="H362" s="25" t="n">
        <v>164164591</v>
      </c>
      <c r="I362" t="inlineStr">
        <is>
          <t>entidad-dia</t>
        </is>
      </c>
    </row>
    <row r="363">
      <c r="A363" t="inlineStr">
        <is>
          <t>PRAGMA</t>
        </is>
      </c>
      <c r="B363" t="inlineStr">
        <is>
          <t>M1</t>
        </is>
      </c>
      <c r="C363" t="inlineStr">
        <is>
          <t>Cali</t>
        </is>
      </c>
      <c r="D363" t="inlineStr">
        <is>
          <t>1388</t>
        </is>
      </c>
      <c r="E363" t="inlineStr">
        <is>
          <t>pagado</t>
        </is>
      </c>
      <c r="F363" s="23" t="n">
        <v>46266</v>
      </c>
      <c r="G363" s="24">
        <f>F363-DATE(2026,8,31)</f>
        <v>1</v>
      </c>
      <c r="H363" s="25" t="n">
        <v>72772826</v>
      </c>
      <c r="I363" t="inlineStr">
        <is>
          <t>entidad-dia</t>
        </is>
      </c>
    </row>
    <row r="364">
      <c r="A364" t="inlineStr">
        <is>
          <t>PRAGMA</t>
        </is>
      </c>
      <c r="B364" t="inlineStr">
        <is>
          <t>M1</t>
        </is>
      </c>
      <c r="C364" t="inlineStr">
        <is>
          <t>Cali</t>
        </is>
      </c>
      <c r="D364" t="inlineStr">
        <is>
          <t>1388</t>
        </is>
      </c>
      <c r="E364" t="inlineStr">
        <is>
          <t>pagado</t>
        </is>
      </c>
      <c r="F364" s="23" t="n">
        <v>46267</v>
      </c>
      <c r="G364" s="24">
        <f>F364-DATE(2026,8,31)</f>
        <v>2</v>
      </c>
      <c r="H364" s="25" t="n">
        <v>59330822</v>
      </c>
      <c r="I364" t="inlineStr">
        <is>
          <t>entidad-dia</t>
        </is>
      </c>
    </row>
    <row r="365">
      <c r="A365" t="inlineStr">
        <is>
          <t>PRAGMA</t>
        </is>
      </c>
      <c r="B365" t="inlineStr">
        <is>
          <t>M1</t>
        </is>
      </c>
      <c r="C365" t="inlineStr">
        <is>
          <t>Cali</t>
        </is>
      </c>
      <c r="D365" t="inlineStr">
        <is>
          <t>1388</t>
        </is>
      </c>
      <c r="E365" t="inlineStr">
        <is>
          <t>pagado</t>
        </is>
      </c>
      <c r="F365" s="23" t="n">
        <v>46268</v>
      </c>
      <c r="G365" s="24">
        <f>F365-DATE(2026,8,31)</f>
        <v>3</v>
      </c>
      <c r="H365" s="25" t="n">
        <v>53688749</v>
      </c>
      <c r="I365" t="inlineStr">
        <is>
          <t>entidad-dia</t>
        </is>
      </c>
    </row>
    <row r="366">
      <c r="A366" t="inlineStr">
        <is>
          <t>PRAGMA</t>
        </is>
      </c>
      <c r="B366" t="inlineStr">
        <is>
          <t>M1</t>
        </is>
      </c>
      <c r="C366" t="inlineStr">
        <is>
          <t>Cali</t>
        </is>
      </c>
      <c r="D366" t="inlineStr">
        <is>
          <t>1388</t>
        </is>
      </c>
      <c r="E366" t="inlineStr">
        <is>
          <t>pagado</t>
        </is>
      </c>
      <c r="F366" s="23" t="n">
        <v>46269</v>
      </c>
      <c r="G366" s="24">
        <f>F366-DATE(2026,8,31)</f>
        <v>4</v>
      </c>
      <c r="H366" s="25" t="n">
        <v>57765520</v>
      </c>
      <c r="I366" t="inlineStr">
        <is>
          <t>entidad-dia</t>
        </is>
      </c>
    </row>
    <row r="367">
      <c r="A367" t="inlineStr">
        <is>
          <t>PRAGMA</t>
        </is>
      </c>
      <c r="B367" t="inlineStr">
        <is>
          <t>M1</t>
        </is>
      </c>
      <c r="C367" t="inlineStr">
        <is>
          <t>Cali</t>
        </is>
      </c>
      <c r="D367" t="inlineStr">
        <is>
          <t>1388</t>
        </is>
      </c>
      <c r="E367" t="inlineStr">
        <is>
          <t>pagado</t>
        </is>
      </c>
      <c r="F367" s="23" t="n">
        <v>46270</v>
      </c>
      <c r="G367" s="24">
        <f>F367-DATE(2026,8,31)</f>
        <v>5</v>
      </c>
      <c r="H367" s="25" t="n">
        <v>60406810</v>
      </c>
      <c r="I367" t="inlineStr">
        <is>
          <t>entidad-dia</t>
        </is>
      </c>
    </row>
    <row r="368">
      <c r="A368" t="inlineStr">
        <is>
          <t>PRAGMA</t>
        </is>
      </c>
      <c r="B368" t="inlineStr">
        <is>
          <t>M1</t>
        </is>
      </c>
      <c r="C368" t="inlineStr">
        <is>
          <t>Cali</t>
        </is>
      </c>
      <c r="D368" t="inlineStr">
        <is>
          <t>1388</t>
        </is>
      </c>
      <c r="E368" t="inlineStr">
        <is>
          <t>pagado</t>
        </is>
      </c>
      <c r="F368" s="23" t="n">
        <v>46271</v>
      </c>
      <c r="G368" s="24">
        <f>F368-DATE(2026,8,31)</f>
        <v>6</v>
      </c>
      <c r="H368" s="25" t="n">
        <v>50649557</v>
      </c>
      <c r="I368" t="inlineStr">
        <is>
          <t>entidad-dia</t>
        </is>
      </c>
    </row>
    <row r="369">
      <c r="A369" t="inlineStr">
        <is>
          <t>PRAGMA</t>
        </is>
      </c>
      <c r="B369" t="inlineStr">
        <is>
          <t>M1</t>
        </is>
      </c>
      <c r="C369" t="inlineStr">
        <is>
          <t>Cali</t>
        </is>
      </c>
      <c r="D369" t="inlineStr">
        <is>
          <t>1388</t>
        </is>
      </c>
      <c r="E369" t="inlineStr">
        <is>
          <t>pagado</t>
        </is>
      </c>
      <c r="F369" s="23" t="n">
        <v>46272</v>
      </c>
      <c r="G369" s="24">
        <f>F369-DATE(2026,8,31)</f>
        <v>7</v>
      </c>
      <c r="H369" s="25" t="n">
        <v>41247218</v>
      </c>
      <c r="I369" t="inlineStr">
        <is>
          <t>entidad-dia</t>
        </is>
      </c>
    </row>
    <row r="370">
      <c r="A370" t="inlineStr">
        <is>
          <t>PRAGMA</t>
        </is>
      </c>
      <c r="B370" t="inlineStr">
        <is>
          <t>M1</t>
        </is>
      </c>
      <c r="C370" t="inlineStr">
        <is>
          <t>Cali</t>
        </is>
      </c>
      <c r="D370" t="inlineStr">
        <is>
          <t>1388</t>
        </is>
      </c>
      <c r="E370" t="inlineStr">
        <is>
          <t>pagado</t>
        </is>
      </c>
      <c r="F370" s="23" t="n">
        <v>46273</v>
      </c>
      <c r="G370" s="24">
        <f>F370-DATE(2026,8,31)</f>
        <v>8</v>
      </c>
      <c r="H370" s="25" t="n">
        <v>48078835</v>
      </c>
      <c r="I370" t="inlineStr">
        <is>
          <t>entidad-dia</t>
        </is>
      </c>
    </row>
    <row r="371">
      <c r="A371" t="inlineStr">
        <is>
          <t>PRAGMA</t>
        </is>
      </c>
      <c r="B371" t="inlineStr">
        <is>
          <t>M1</t>
        </is>
      </c>
      <c r="C371" t="inlineStr">
        <is>
          <t>Cali</t>
        </is>
      </c>
      <c r="D371" t="inlineStr">
        <is>
          <t>1388</t>
        </is>
      </c>
      <c r="E371" t="inlineStr">
        <is>
          <t>pagado</t>
        </is>
      </c>
      <c r="F371" s="23" t="n">
        <v>46274</v>
      </c>
      <c r="G371" s="24">
        <f>F371-DATE(2026,8,31)</f>
        <v>9</v>
      </c>
      <c r="H371" s="25" t="n">
        <v>44846953</v>
      </c>
      <c r="I371" t="inlineStr">
        <is>
          <t>entidad-dia</t>
        </is>
      </c>
    </row>
    <row r="372">
      <c r="A372" t="inlineStr">
        <is>
          <t>PRAGMA</t>
        </is>
      </c>
      <c r="B372" t="inlineStr">
        <is>
          <t>M1</t>
        </is>
      </c>
      <c r="C372" t="inlineStr">
        <is>
          <t>Cali</t>
        </is>
      </c>
      <c r="D372" t="inlineStr">
        <is>
          <t>1388</t>
        </is>
      </c>
      <c r="E372" t="inlineStr">
        <is>
          <t>pagado</t>
        </is>
      </c>
      <c r="F372" s="23" t="n">
        <v>46275</v>
      </c>
      <c r="G372" s="24">
        <f>F372-DATE(2026,8,31)</f>
        <v>10</v>
      </c>
      <c r="H372" s="25" t="n">
        <v>39351575</v>
      </c>
      <c r="I372" t="inlineStr">
        <is>
          <t>entidad-dia</t>
        </is>
      </c>
    </row>
    <row r="373">
      <c r="A373" t="inlineStr">
        <is>
          <t>PRAGMA</t>
        </is>
      </c>
      <c r="B373" t="inlineStr">
        <is>
          <t>M1</t>
        </is>
      </c>
      <c r="C373" t="inlineStr">
        <is>
          <t>Cali</t>
        </is>
      </c>
      <c r="D373" t="inlineStr">
        <is>
          <t>1388</t>
        </is>
      </c>
      <c r="E373" t="inlineStr">
        <is>
          <t>pagado</t>
        </is>
      </c>
      <c r="F373" s="23" t="n">
        <v>46276</v>
      </c>
      <c r="G373" s="24">
        <f>F373-DATE(2026,8,31)</f>
        <v>11</v>
      </c>
      <c r="H373" s="25" t="n">
        <v>43865909</v>
      </c>
      <c r="I373" t="inlineStr">
        <is>
          <t>entidad-dia</t>
        </is>
      </c>
    </row>
    <row r="374">
      <c r="A374" t="inlineStr">
        <is>
          <t>PRAGMA</t>
        </is>
      </c>
      <c r="B374" t="inlineStr">
        <is>
          <t>M1</t>
        </is>
      </c>
      <c r="C374" t="inlineStr">
        <is>
          <t>Cali</t>
        </is>
      </c>
      <c r="D374" t="inlineStr">
        <is>
          <t>1388</t>
        </is>
      </c>
      <c r="E374" t="inlineStr">
        <is>
          <t>pagado</t>
        </is>
      </c>
      <c r="F374" s="23" t="n">
        <v>46277</v>
      </c>
      <c r="G374" s="24">
        <f>F374-DATE(2026,8,31)</f>
        <v>12</v>
      </c>
      <c r="H374" s="25" t="n">
        <v>45697244</v>
      </c>
      <c r="I374" t="inlineStr">
        <is>
          <t>entidad-dia</t>
        </is>
      </c>
    </row>
    <row r="375">
      <c r="A375" t="inlineStr">
        <is>
          <t>PRAGMA</t>
        </is>
      </c>
      <c r="B375" t="inlineStr">
        <is>
          <t>M1</t>
        </is>
      </c>
      <c r="C375" t="inlineStr">
        <is>
          <t>Cali</t>
        </is>
      </c>
      <c r="D375" t="inlineStr">
        <is>
          <t>1388</t>
        </is>
      </c>
      <c r="E375" t="inlineStr">
        <is>
          <t>pagado</t>
        </is>
      </c>
      <c r="F375" s="23" t="n">
        <v>46278</v>
      </c>
      <c r="G375" s="24">
        <f>F375-DATE(2026,8,31)</f>
        <v>13</v>
      </c>
      <c r="H375" s="25" t="n">
        <v>38888369</v>
      </c>
      <c r="I375" t="inlineStr">
        <is>
          <t>entidad-dia</t>
        </is>
      </c>
    </row>
    <row r="376">
      <c r="A376" t="inlineStr">
        <is>
          <t>PRAGMA</t>
        </is>
      </c>
      <c r="B376" t="inlineStr">
        <is>
          <t>M1</t>
        </is>
      </c>
      <c r="C376" t="inlineStr">
        <is>
          <t>Cali</t>
        </is>
      </c>
      <c r="D376" t="inlineStr">
        <is>
          <t>1388</t>
        </is>
      </c>
      <c r="E376" t="inlineStr">
        <is>
          <t>pagado</t>
        </is>
      </c>
      <c r="F376" s="23" t="n">
        <v>46279</v>
      </c>
      <c r="G376" s="24">
        <f>F376-DATE(2026,8,31)</f>
        <v>14</v>
      </c>
      <c r="H376" s="25" t="n">
        <v>42738911</v>
      </c>
      <c r="I376" t="inlineStr">
        <is>
          <t>entidad-dia</t>
        </is>
      </c>
    </row>
    <row r="377">
      <c r="A377" t="inlineStr">
        <is>
          <t>PRAGMA</t>
        </is>
      </c>
      <c r="B377" t="inlineStr">
        <is>
          <t>M1</t>
        </is>
      </c>
      <c r="C377" t="inlineStr">
        <is>
          <t>Cali</t>
        </is>
      </c>
      <c r="D377" t="inlineStr">
        <is>
          <t>1388</t>
        </is>
      </c>
      <c r="E377" t="inlineStr">
        <is>
          <t>pagado</t>
        </is>
      </c>
      <c r="F377" s="23" t="n">
        <v>46280</v>
      </c>
      <c r="G377" s="24">
        <f>F377-DATE(2026,8,31)</f>
        <v>15</v>
      </c>
      <c r="H377" s="25" t="n">
        <v>59332658</v>
      </c>
      <c r="I377" t="inlineStr">
        <is>
          <t>entidad-dia</t>
        </is>
      </c>
    </row>
    <row r="378">
      <c r="A378" t="inlineStr">
        <is>
          <t>PRAGMA</t>
        </is>
      </c>
      <c r="B378" t="inlineStr">
        <is>
          <t>M1</t>
        </is>
      </c>
      <c r="C378" t="inlineStr">
        <is>
          <t>Cali</t>
        </is>
      </c>
      <c r="D378" t="inlineStr">
        <is>
          <t>1389</t>
        </is>
      </c>
      <c r="E378" t="inlineStr">
        <is>
          <t>pagado</t>
        </is>
      </c>
      <c r="F378" s="23" t="n">
        <v>46266</v>
      </c>
      <c r="G378" s="24">
        <f>F378-DATE(2026,8,31)</f>
        <v>1</v>
      </c>
      <c r="H378" s="25" t="n">
        <v>70900203</v>
      </c>
      <c r="I378" t="inlineStr">
        <is>
          <t>entidad-dia</t>
        </is>
      </c>
    </row>
    <row r="379">
      <c r="A379" t="inlineStr">
        <is>
          <t>PRAGMA</t>
        </is>
      </c>
      <c r="B379" t="inlineStr">
        <is>
          <t>M1</t>
        </is>
      </c>
      <c r="C379" t="inlineStr">
        <is>
          <t>Cali</t>
        </is>
      </c>
      <c r="D379" t="inlineStr">
        <is>
          <t>1389</t>
        </is>
      </c>
      <c r="E379" t="inlineStr">
        <is>
          <t>pagado</t>
        </is>
      </c>
      <c r="F379" s="23" t="n">
        <v>46267</v>
      </c>
      <c r="G379" s="24">
        <f>F379-DATE(2026,8,31)</f>
        <v>2</v>
      </c>
      <c r="H379" s="25" t="n">
        <v>53694453</v>
      </c>
      <c r="I379" t="inlineStr">
        <is>
          <t>entidad-dia</t>
        </is>
      </c>
    </row>
    <row r="380">
      <c r="A380" t="inlineStr">
        <is>
          <t>PRAGMA</t>
        </is>
      </c>
      <c r="B380" t="inlineStr">
        <is>
          <t>M1</t>
        </is>
      </c>
      <c r="C380" t="inlineStr">
        <is>
          <t>Cali</t>
        </is>
      </c>
      <c r="D380" t="inlineStr">
        <is>
          <t>1389</t>
        </is>
      </c>
      <c r="E380" t="inlineStr">
        <is>
          <t>pagado</t>
        </is>
      </c>
      <c r="F380" s="23" t="n">
        <v>46268</v>
      </c>
      <c r="G380" s="24">
        <f>F380-DATE(2026,8,31)</f>
        <v>3</v>
      </c>
      <c r="H380" s="25" t="n">
        <v>51566811</v>
      </c>
      <c r="I380" t="inlineStr">
        <is>
          <t>entidad-dia</t>
        </is>
      </c>
    </row>
    <row r="381">
      <c r="A381" t="inlineStr">
        <is>
          <t>PRAGMA</t>
        </is>
      </c>
      <c r="B381" t="inlineStr">
        <is>
          <t>M1</t>
        </is>
      </c>
      <c r="C381" t="inlineStr">
        <is>
          <t>Cali</t>
        </is>
      </c>
      <c r="D381" t="inlineStr">
        <is>
          <t>1389</t>
        </is>
      </c>
      <c r="E381" t="inlineStr">
        <is>
          <t>pagado</t>
        </is>
      </c>
      <c r="F381" s="23" t="n">
        <v>46269</v>
      </c>
      <c r="G381" s="24">
        <f>F381-DATE(2026,8,31)</f>
        <v>4</v>
      </c>
      <c r="H381" s="25" t="n">
        <v>51564419</v>
      </c>
      <c r="I381" t="inlineStr">
        <is>
          <t>entidad-dia</t>
        </is>
      </c>
    </row>
    <row r="382">
      <c r="A382" t="inlineStr">
        <is>
          <t>PRAGMA</t>
        </is>
      </c>
      <c r="B382" t="inlineStr">
        <is>
          <t>M1</t>
        </is>
      </c>
      <c r="C382" t="inlineStr">
        <is>
          <t>Cali</t>
        </is>
      </c>
      <c r="D382" t="inlineStr">
        <is>
          <t>1389</t>
        </is>
      </c>
      <c r="E382" t="inlineStr">
        <is>
          <t>pagado</t>
        </is>
      </c>
      <c r="F382" s="23" t="n">
        <v>46270</v>
      </c>
      <c r="G382" s="24">
        <f>F382-DATE(2026,8,31)</f>
        <v>5</v>
      </c>
      <c r="H382" s="25" t="n">
        <v>57573441</v>
      </c>
      <c r="I382" t="inlineStr">
        <is>
          <t>entidad-dia</t>
        </is>
      </c>
    </row>
    <row r="383">
      <c r="A383" t="inlineStr">
        <is>
          <t>PRAGMA</t>
        </is>
      </c>
      <c r="B383" t="inlineStr">
        <is>
          <t>M1</t>
        </is>
      </c>
      <c r="C383" t="inlineStr">
        <is>
          <t>Cali</t>
        </is>
      </c>
      <c r="D383" t="inlineStr">
        <is>
          <t>1389</t>
        </is>
      </c>
      <c r="E383" t="inlineStr">
        <is>
          <t>pagado</t>
        </is>
      </c>
      <c r="F383" s="23" t="n">
        <v>46271</v>
      </c>
      <c r="G383" s="24">
        <f>F383-DATE(2026,8,31)</f>
        <v>6</v>
      </c>
      <c r="H383" s="25" t="n">
        <v>44908852</v>
      </c>
      <c r="I383" t="inlineStr">
        <is>
          <t>entidad-dia</t>
        </is>
      </c>
    </row>
    <row r="384">
      <c r="A384" t="inlineStr">
        <is>
          <t>PRAGMA</t>
        </is>
      </c>
      <c r="B384" t="inlineStr">
        <is>
          <t>M1</t>
        </is>
      </c>
      <c r="C384" t="inlineStr">
        <is>
          <t>Cali</t>
        </is>
      </c>
      <c r="D384" t="inlineStr">
        <is>
          <t>1389</t>
        </is>
      </c>
      <c r="E384" t="inlineStr">
        <is>
          <t>pagado</t>
        </is>
      </c>
      <c r="F384" s="23" t="n">
        <v>46272</v>
      </c>
      <c r="G384" s="24">
        <f>F384-DATE(2026,8,31)</f>
        <v>7</v>
      </c>
      <c r="H384" s="25" t="n">
        <v>38653925</v>
      </c>
      <c r="I384" t="inlineStr">
        <is>
          <t>entidad-dia</t>
        </is>
      </c>
    </row>
    <row r="385">
      <c r="A385" t="inlineStr">
        <is>
          <t>PRAGMA</t>
        </is>
      </c>
      <c r="B385" t="inlineStr">
        <is>
          <t>M1</t>
        </is>
      </c>
      <c r="C385" t="inlineStr">
        <is>
          <t>Cali</t>
        </is>
      </c>
      <c r="D385" t="inlineStr">
        <is>
          <t>1389</t>
        </is>
      </c>
      <c r="E385" t="inlineStr">
        <is>
          <t>pagado</t>
        </is>
      </c>
      <c r="F385" s="23" t="n">
        <v>46273</v>
      </c>
      <c r="G385" s="24">
        <f>F385-DATE(2026,8,31)</f>
        <v>8</v>
      </c>
      <c r="H385" s="25" t="n">
        <v>37817380</v>
      </c>
      <c r="I385" t="inlineStr">
        <is>
          <t>entidad-dia</t>
        </is>
      </c>
    </row>
    <row r="386">
      <c r="A386" t="inlineStr">
        <is>
          <t>PRAGMA</t>
        </is>
      </c>
      <c r="B386" t="inlineStr">
        <is>
          <t>M1</t>
        </is>
      </c>
      <c r="C386" t="inlineStr">
        <is>
          <t>Cali</t>
        </is>
      </c>
      <c r="D386" t="inlineStr">
        <is>
          <t>1389</t>
        </is>
      </c>
      <c r="E386" t="inlineStr">
        <is>
          <t>pagado</t>
        </is>
      </c>
      <c r="F386" s="23" t="n">
        <v>46274</v>
      </c>
      <c r="G386" s="24">
        <f>F386-DATE(2026,8,31)</f>
        <v>9</v>
      </c>
      <c r="H386" s="25" t="n">
        <v>34900515</v>
      </c>
      <c r="I386" t="inlineStr">
        <is>
          <t>entidad-dia</t>
        </is>
      </c>
    </row>
    <row r="387">
      <c r="A387" t="inlineStr">
        <is>
          <t>PRAGMA</t>
        </is>
      </c>
      <c r="B387" t="inlineStr">
        <is>
          <t>M1</t>
        </is>
      </c>
      <c r="C387" t="inlineStr">
        <is>
          <t>Cali</t>
        </is>
      </c>
      <c r="D387" t="inlineStr">
        <is>
          <t>1389</t>
        </is>
      </c>
      <c r="E387" t="inlineStr">
        <is>
          <t>pagado</t>
        </is>
      </c>
      <c r="F387" s="23" t="n">
        <v>46275</v>
      </c>
      <c r="G387" s="24">
        <f>F387-DATE(2026,8,31)</f>
        <v>10</v>
      </c>
      <c r="H387" s="25" t="n">
        <v>34926799</v>
      </c>
      <c r="I387" t="inlineStr">
        <is>
          <t>entidad-dia</t>
        </is>
      </c>
    </row>
    <row r="388">
      <c r="A388" t="inlineStr">
        <is>
          <t>PRAGMA</t>
        </is>
      </c>
      <c r="B388" t="inlineStr">
        <is>
          <t>M1</t>
        </is>
      </c>
      <c r="C388" t="inlineStr">
        <is>
          <t>Cali</t>
        </is>
      </c>
      <c r="D388" t="inlineStr">
        <is>
          <t>1389</t>
        </is>
      </c>
      <c r="E388" t="inlineStr">
        <is>
          <t>pagado</t>
        </is>
      </c>
      <c r="F388" s="23" t="n">
        <v>46276</v>
      </c>
      <c r="G388" s="24">
        <f>F388-DATE(2026,8,31)</f>
        <v>11</v>
      </c>
      <c r="H388" s="25" t="n">
        <v>39188675</v>
      </c>
      <c r="I388" t="inlineStr">
        <is>
          <t>entidad-dia</t>
        </is>
      </c>
    </row>
    <row r="389">
      <c r="A389" t="inlineStr">
        <is>
          <t>PRAGMA</t>
        </is>
      </c>
      <c r="B389" t="inlineStr">
        <is>
          <t>M1</t>
        </is>
      </c>
      <c r="C389" t="inlineStr">
        <is>
          <t>Cali</t>
        </is>
      </c>
      <c r="D389" t="inlineStr">
        <is>
          <t>1389</t>
        </is>
      </c>
      <c r="E389" t="inlineStr">
        <is>
          <t>pagado</t>
        </is>
      </c>
      <c r="F389" s="23" t="n">
        <v>46277</v>
      </c>
      <c r="G389" s="24">
        <f>F389-DATE(2026,8,31)</f>
        <v>12</v>
      </c>
      <c r="H389" s="25" t="n">
        <v>47073862</v>
      </c>
      <c r="I389" t="inlineStr">
        <is>
          <t>entidad-dia</t>
        </is>
      </c>
    </row>
    <row r="390">
      <c r="A390" t="inlineStr">
        <is>
          <t>PRAGMA</t>
        </is>
      </c>
      <c r="B390" t="inlineStr">
        <is>
          <t>M1</t>
        </is>
      </c>
      <c r="C390" t="inlineStr">
        <is>
          <t>Cali</t>
        </is>
      </c>
      <c r="D390" t="inlineStr">
        <is>
          <t>1389</t>
        </is>
      </c>
      <c r="E390" t="inlineStr">
        <is>
          <t>pagado</t>
        </is>
      </c>
      <c r="F390" s="23" t="n">
        <v>46278</v>
      </c>
      <c r="G390" s="24">
        <f>F390-DATE(2026,8,31)</f>
        <v>13</v>
      </c>
      <c r="H390" s="25" t="n">
        <v>34416699</v>
      </c>
      <c r="I390" t="inlineStr">
        <is>
          <t>entidad-dia</t>
        </is>
      </c>
    </row>
    <row r="391">
      <c r="A391" t="inlineStr">
        <is>
          <t>PRAGMA</t>
        </is>
      </c>
      <c r="B391" t="inlineStr">
        <is>
          <t>M1</t>
        </is>
      </c>
      <c r="C391" t="inlineStr">
        <is>
          <t>Cali</t>
        </is>
      </c>
      <c r="D391" t="inlineStr">
        <is>
          <t>1389</t>
        </is>
      </c>
      <c r="E391" t="inlineStr">
        <is>
          <t>pagado</t>
        </is>
      </c>
      <c r="F391" s="23" t="n">
        <v>46279</v>
      </c>
      <c r="G391" s="24">
        <f>F391-DATE(2026,8,31)</f>
        <v>14</v>
      </c>
      <c r="H391" s="25" t="n">
        <v>36224495</v>
      </c>
      <c r="I391" t="inlineStr">
        <is>
          <t>entidad-dia</t>
        </is>
      </c>
    </row>
    <row r="392">
      <c r="A392" t="inlineStr">
        <is>
          <t>PRAGMA</t>
        </is>
      </c>
      <c r="B392" t="inlineStr">
        <is>
          <t>M1</t>
        </is>
      </c>
      <c r="C392" t="inlineStr">
        <is>
          <t>Cali</t>
        </is>
      </c>
      <c r="D392" t="inlineStr">
        <is>
          <t>1389</t>
        </is>
      </c>
      <c r="E392" t="inlineStr">
        <is>
          <t>pagado</t>
        </is>
      </c>
      <c r="F392" s="23" t="n">
        <v>46280</v>
      </c>
      <c r="G392" s="24">
        <f>F392-DATE(2026,8,31)</f>
        <v>15</v>
      </c>
      <c r="H392" s="25" t="n">
        <v>53527833</v>
      </c>
      <c r="I392" t="inlineStr">
        <is>
          <t>entidad-dia</t>
        </is>
      </c>
    </row>
    <row r="393">
      <c r="A393" t="inlineStr">
        <is>
          <t>PRAGMA</t>
        </is>
      </c>
      <c r="B393" t="inlineStr">
        <is>
          <t>M1</t>
        </is>
      </c>
      <c r="C393" t="inlineStr">
        <is>
          <t>Cali</t>
        </is>
      </c>
      <c r="D393" t="inlineStr">
        <is>
          <t>1390</t>
        </is>
      </c>
      <c r="E393" t="inlineStr">
        <is>
          <t>pagado</t>
        </is>
      </c>
      <c r="F393" s="23" t="n">
        <v>46266</v>
      </c>
      <c r="G393" s="24">
        <f>F393-DATE(2026,8,31)</f>
        <v>1</v>
      </c>
      <c r="H393" s="25" t="n">
        <v>53622084</v>
      </c>
      <c r="I393" t="inlineStr">
        <is>
          <t>entidad-dia</t>
        </is>
      </c>
    </row>
    <row r="394">
      <c r="A394" t="inlineStr">
        <is>
          <t>PRAGMA</t>
        </is>
      </c>
      <c r="B394" t="inlineStr">
        <is>
          <t>M1</t>
        </is>
      </c>
      <c r="C394" t="inlineStr">
        <is>
          <t>Cali</t>
        </is>
      </c>
      <c r="D394" t="inlineStr">
        <is>
          <t>1390</t>
        </is>
      </c>
      <c r="E394" t="inlineStr">
        <is>
          <t>pagado</t>
        </is>
      </c>
      <c r="F394" s="23" t="n">
        <v>46267</v>
      </c>
      <c r="G394" s="24">
        <f>F394-DATE(2026,8,31)</f>
        <v>2</v>
      </c>
      <c r="H394" s="25" t="n">
        <v>34853146</v>
      </c>
      <c r="I394" t="inlineStr">
        <is>
          <t>entidad-dia</t>
        </is>
      </c>
    </row>
    <row r="395">
      <c r="A395" t="inlineStr">
        <is>
          <t>PRAGMA</t>
        </is>
      </c>
      <c r="B395" t="inlineStr">
        <is>
          <t>M1</t>
        </is>
      </c>
      <c r="C395" t="inlineStr">
        <is>
          <t>Cali</t>
        </is>
      </c>
      <c r="D395" t="inlineStr">
        <is>
          <t>1390</t>
        </is>
      </c>
      <c r="E395" t="inlineStr">
        <is>
          <t>pagado</t>
        </is>
      </c>
      <c r="F395" s="23" t="n">
        <v>46268</v>
      </c>
      <c r="G395" s="24">
        <f>F395-DATE(2026,8,31)</f>
        <v>3</v>
      </c>
      <c r="H395" s="25" t="n">
        <v>32602934</v>
      </c>
      <c r="I395" t="inlineStr">
        <is>
          <t>entidad-dia</t>
        </is>
      </c>
    </row>
    <row r="396">
      <c r="A396" t="inlineStr">
        <is>
          <t>PRAGMA</t>
        </is>
      </c>
      <c r="B396" t="inlineStr">
        <is>
          <t>M1</t>
        </is>
      </c>
      <c r="C396" t="inlineStr">
        <is>
          <t>Cali</t>
        </is>
      </c>
      <c r="D396" t="inlineStr">
        <is>
          <t>1390</t>
        </is>
      </c>
      <c r="E396" t="inlineStr">
        <is>
          <t>pagado</t>
        </is>
      </c>
      <c r="F396" s="23" t="n">
        <v>46269</v>
      </c>
      <c r="G396" s="24">
        <f>F396-DATE(2026,8,31)</f>
        <v>4</v>
      </c>
      <c r="H396" s="25" t="n">
        <v>31060007</v>
      </c>
      <c r="I396" t="inlineStr">
        <is>
          <t>entidad-dia</t>
        </is>
      </c>
    </row>
    <row r="397">
      <c r="A397" t="inlineStr">
        <is>
          <t>PRAGMA</t>
        </is>
      </c>
      <c r="B397" t="inlineStr">
        <is>
          <t>M1</t>
        </is>
      </c>
      <c r="C397" t="inlineStr">
        <is>
          <t>Cali</t>
        </is>
      </c>
      <c r="D397" t="inlineStr">
        <is>
          <t>1390</t>
        </is>
      </c>
      <c r="E397" t="inlineStr">
        <is>
          <t>pagado</t>
        </is>
      </c>
      <c r="F397" s="23" t="n">
        <v>46270</v>
      </c>
      <c r="G397" s="24">
        <f>F397-DATE(2026,8,31)</f>
        <v>5</v>
      </c>
      <c r="H397" s="25" t="n">
        <v>35805172</v>
      </c>
      <c r="I397" t="inlineStr">
        <is>
          <t>entidad-dia</t>
        </is>
      </c>
    </row>
    <row r="398">
      <c r="A398" t="inlineStr">
        <is>
          <t>PRAGMA</t>
        </is>
      </c>
      <c r="B398" t="inlineStr">
        <is>
          <t>M1</t>
        </is>
      </c>
      <c r="C398" t="inlineStr">
        <is>
          <t>Cali</t>
        </is>
      </c>
      <c r="D398" t="inlineStr">
        <is>
          <t>1390</t>
        </is>
      </c>
      <c r="E398" t="inlineStr">
        <is>
          <t>pagado</t>
        </is>
      </c>
      <c r="F398" s="23" t="n">
        <v>46271</v>
      </c>
      <c r="G398" s="24">
        <f>F398-DATE(2026,8,31)</f>
        <v>6</v>
      </c>
      <c r="H398" s="25" t="n">
        <v>27103906</v>
      </c>
      <c r="I398" t="inlineStr">
        <is>
          <t>entidad-dia</t>
        </is>
      </c>
    </row>
    <row r="399">
      <c r="A399" t="inlineStr">
        <is>
          <t>PRAGMA</t>
        </is>
      </c>
      <c r="B399" t="inlineStr">
        <is>
          <t>M1</t>
        </is>
      </c>
      <c r="C399" t="inlineStr">
        <is>
          <t>Cali</t>
        </is>
      </c>
      <c r="D399" t="inlineStr">
        <is>
          <t>1390</t>
        </is>
      </c>
      <c r="E399" t="inlineStr">
        <is>
          <t>pagado</t>
        </is>
      </c>
      <c r="F399" s="23" t="n">
        <v>46272</v>
      </c>
      <c r="G399" s="24">
        <f>F399-DATE(2026,8,31)</f>
        <v>7</v>
      </c>
      <c r="H399" s="25" t="n">
        <v>23352630</v>
      </c>
      <c r="I399" t="inlineStr">
        <is>
          <t>entidad-dia</t>
        </is>
      </c>
    </row>
    <row r="400">
      <c r="A400" t="inlineStr">
        <is>
          <t>PRAGMA</t>
        </is>
      </c>
      <c r="B400" t="inlineStr">
        <is>
          <t>M1</t>
        </is>
      </c>
      <c r="C400" t="inlineStr">
        <is>
          <t>Cali</t>
        </is>
      </c>
      <c r="D400" t="inlineStr">
        <is>
          <t>1390</t>
        </is>
      </c>
      <c r="E400" t="inlineStr">
        <is>
          <t>pagado</t>
        </is>
      </c>
      <c r="F400" s="23" t="n">
        <v>46273</v>
      </c>
      <c r="G400" s="24">
        <f>F400-DATE(2026,8,31)</f>
        <v>8</v>
      </c>
      <c r="H400" s="25" t="n">
        <v>23463542</v>
      </c>
      <c r="I400" t="inlineStr">
        <is>
          <t>entidad-dia</t>
        </is>
      </c>
    </row>
    <row r="401">
      <c r="A401" t="inlineStr">
        <is>
          <t>PRAGMA</t>
        </is>
      </c>
      <c r="B401" t="inlineStr">
        <is>
          <t>M1</t>
        </is>
      </c>
      <c r="C401" t="inlineStr">
        <is>
          <t>Cali</t>
        </is>
      </c>
      <c r="D401" t="inlineStr">
        <is>
          <t>1390</t>
        </is>
      </c>
      <c r="E401" t="inlineStr">
        <is>
          <t>pagado</t>
        </is>
      </c>
      <c r="F401" s="23" t="n">
        <v>46274</v>
      </c>
      <c r="G401" s="24">
        <f>F401-DATE(2026,8,31)</f>
        <v>9</v>
      </c>
      <c r="H401" s="25" t="n">
        <v>22528474</v>
      </c>
      <c r="I401" t="inlineStr">
        <is>
          <t>entidad-dia</t>
        </is>
      </c>
    </row>
    <row r="402">
      <c r="A402" t="inlineStr">
        <is>
          <t>PRAGMA</t>
        </is>
      </c>
      <c r="B402" t="inlineStr">
        <is>
          <t>M1</t>
        </is>
      </c>
      <c r="C402" t="inlineStr">
        <is>
          <t>Cali</t>
        </is>
      </c>
      <c r="D402" t="inlineStr">
        <is>
          <t>1390</t>
        </is>
      </c>
      <c r="E402" t="inlineStr">
        <is>
          <t>pagado</t>
        </is>
      </c>
      <c r="F402" s="23" t="n">
        <v>46275</v>
      </c>
      <c r="G402" s="24">
        <f>F402-DATE(2026,8,31)</f>
        <v>10</v>
      </c>
      <c r="H402" s="25" t="n">
        <v>22547262</v>
      </c>
      <c r="I402" t="inlineStr">
        <is>
          <t>entidad-dia</t>
        </is>
      </c>
    </row>
    <row r="403">
      <c r="A403" t="inlineStr">
        <is>
          <t>PRAGMA</t>
        </is>
      </c>
      <c r="B403" t="inlineStr">
        <is>
          <t>M1</t>
        </is>
      </c>
      <c r="C403" t="inlineStr">
        <is>
          <t>Cali</t>
        </is>
      </c>
      <c r="D403" t="inlineStr">
        <is>
          <t>1390</t>
        </is>
      </c>
      <c r="E403" t="inlineStr">
        <is>
          <t>pagado</t>
        </is>
      </c>
      <c r="F403" s="23" t="n">
        <v>46276</v>
      </c>
      <c r="G403" s="24">
        <f>F403-DATE(2026,8,31)</f>
        <v>11</v>
      </c>
      <c r="H403" s="25" t="n">
        <v>22038465</v>
      </c>
      <c r="I403" t="inlineStr">
        <is>
          <t>entidad-dia</t>
        </is>
      </c>
    </row>
    <row r="404">
      <c r="A404" t="inlineStr">
        <is>
          <t>PRAGMA</t>
        </is>
      </c>
      <c r="B404" t="inlineStr">
        <is>
          <t>M1</t>
        </is>
      </c>
      <c r="C404" t="inlineStr">
        <is>
          <t>Cali</t>
        </is>
      </c>
      <c r="D404" t="inlineStr">
        <is>
          <t>1390</t>
        </is>
      </c>
      <c r="E404" t="inlineStr">
        <is>
          <t>pagado</t>
        </is>
      </c>
      <c r="F404" s="23" t="n">
        <v>46277</v>
      </c>
      <c r="G404" s="24">
        <f>F404-DATE(2026,8,31)</f>
        <v>12</v>
      </c>
      <c r="H404" s="25" t="n">
        <v>25501857</v>
      </c>
      <c r="I404" t="inlineStr">
        <is>
          <t>entidad-dia</t>
        </is>
      </c>
    </row>
    <row r="405">
      <c r="A405" t="inlineStr">
        <is>
          <t>PRAGMA</t>
        </is>
      </c>
      <c r="B405" t="inlineStr">
        <is>
          <t>M1</t>
        </is>
      </c>
      <c r="C405" t="inlineStr">
        <is>
          <t>Cali</t>
        </is>
      </c>
      <c r="D405" t="inlineStr">
        <is>
          <t>1390</t>
        </is>
      </c>
      <c r="E405" t="inlineStr">
        <is>
          <t>pagado</t>
        </is>
      </c>
      <c r="F405" s="23" t="n">
        <v>46278</v>
      </c>
      <c r="G405" s="24">
        <f>F405-DATE(2026,8,31)</f>
        <v>13</v>
      </c>
      <c r="H405" s="25" t="n">
        <v>19791672</v>
      </c>
      <c r="I405" t="inlineStr">
        <is>
          <t>entidad-dia</t>
        </is>
      </c>
    </row>
    <row r="406">
      <c r="A406" t="inlineStr">
        <is>
          <t>PRAGMA</t>
        </is>
      </c>
      <c r="B406" t="inlineStr">
        <is>
          <t>M1</t>
        </is>
      </c>
      <c r="C406" t="inlineStr">
        <is>
          <t>Cali</t>
        </is>
      </c>
      <c r="D406" t="inlineStr">
        <is>
          <t>1390</t>
        </is>
      </c>
      <c r="E406" t="inlineStr">
        <is>
          <t>pagado</t>
        </is>
      </c>
      <c r="F406" s="23" t="n">
        <v>46279</v>
      </c>
      <c r="G406" s="24">
        <f>F406-DATE(2026,8,31)</f>
        <v>14</v>
      </c>
      <c r="H406" s="25" t="n">
        <v>20415928</v>
      </c>
      <c r="I406" t="inlineStr">
        <is>
          <t>entidad-dia</t>
        </is>
      </c>
    </row>
    <row r="407">
      <c r="A407" t="inlineStr">
        <is>
          <t>PRAGMA</t>
        </is>
      </c>
      <c r="B407" t="inlineStr">
        <is>
          <t>M1</t>
        </is>
      </c>
      <c r="C407" t="inlineStr">
        <is>
          <t>Cali</t>
        </is>
      </c>
      <c r="D407" t="inlineStr">
        <is>
          <t>1390</t>
        </is>
      </c>
      <c r="E407" t="inlineStr">
        <is>
          <t>pagado</t>
        </is>
      </c>
      <c r="F407" s="23" t="n">
        <v>46280</v>
      </c>
      <c r="G407" s="24">
        <f>F407-DATE(2026,8,31)</f>
        <v>15</v>
      </c>
      <c r="H407" s="25" t="n">
        <v>38660105</v>
      </c>
      <c r="I407" t="inlineStr">
        <is>
          <t>entidad-dia</t>
        </is>
      </c>
    </row>
    <row r="408">
      <c r="A408" t="inlineStr">
        <is>
          <t>PRAGMA</t>
        </is>
      </c>
      <c r="B408" t="inlineStr">
        <is>
          <t>M1</t>
        </is>
      </c>
      <c r="C408" t="inlineStr">
        <is>
          <t>Cali</t>
        </is>
      </c>
      <c r="D408" t="inlineStr">
        <is>
          <t>1391</t>
        </is>
      </c>
      <c r="E408" t="inlineStr">
        <is>
          <t>pagado</t>
        </is>
      </c>
      <c r="F408" s="23" t="n">
        <v>46266</v>
      </c>
      <c r="G408" s="24">
        <f>F408-DATE(2026,8,31)</f>
        <v>1</v>
      </c>
      <c r="H408" s="25" t="n">
        <v>65810511</v>
      </c>
      <c r="I408" t="inlineStr">
        <is>
          <t>entidad-dia</t>
        </is>
      </c>
    </row>
    <row r="409">
      <c r="A409" t="inlineStr">
        <is>
          <t>PRAGMA</t>
        </is>
      </c>
      <c r="B409" t="inlineStr">
        <is>
          <t>M1</t>
        </is>
      </c>
      <c r="C409" t="inlineStr">
        <is>
          <t>Cali</t>
        </is>
      </c>
      <c r="D409" t="inlineStr">
        <is>
          <t>1391</t>
        </is>
      </c>
      <c r="E409" t="inlineStr">
        <is>
          <t>pagado</t>
        </is>
      </c>
      <c r="F409" s="23" t="n">
        <v>46267</v>
      </c>
      <c r="G409" s="24">
        <f>F409-DATE(2026,8,31)</f>
        <v>2</v>
      </c>
      <c r="H409" s="25" t="n">
        <v>49717549</v>
      </c>
      <c r="I409" t="inlineStr">
        <is>
          <t>entidad-dia</t>
        </is>
      </c>
    </row>
    <row r="410">
      <c r="A410" t="inlineStr">
        <is>
          <t>PRAGMA</t>
        </is>
      </c>
      <c r="B410" t="inlineStr">
        <is>
          <t>M1</t>
        </is>
      </c>
      <c r="C410" t="inlineStr">
        <is>
          <t>Cali</t>
        </is>
      </c>
      <c r="D410" t="inlineStr">
        <is>
          <t>1391</t>
        </is>
      </c>
      <c r="E410" t="inlineStr">
        <is>
          <t>pagado</t>
        </is>
      </c>
      <c r="F410" s="23" t="n">
        <v>46268</v>
      </c>
      <c r="G410" s="24">
        <f>F410-DATE(2026,8,31)</f>
        <v>3</v>
      </c>
      <c r="H410" s="25" t="n">
        <v>48215966</v>
      </c>
      <c r="I410" t="inlineStr">
        <is>
          <t>entidad-dia</t>
        </is>
      </c>
    </row>
    <row r="411">
      <c r="A411" t="inlineStr">
        <is>
          <t>PRAGMA</t>
        </is>
      </c>
      <c r="B411" t="inlineStr">
        <is>
          <t>M1</t>
        </is>
      </c>
      <c r="C411" t="inlineStr">
        <is>
          <t>Cali</t>
        </is>
      </c>
      <c r="D411" t="inlineStr">
        <is>
          <t>1391</t>
        </is>
      </c>
      <c r="E411" t="inlineStr">
        <is>
          <t>pagado</t>
        </is>
      </c>
      <c r="F411" s="23" t="n">
        <v>46269</v>
      </c>
      <c r="G411" s="24">
        <f>F411-DATE(2026,8,31)</f>
        <v>4</v>
      </c>
      <c r="H411" s="25" t="n">
        <v>47526820</v>
      </c>
      <c r="I411" t="inlineStr">
        <is>
          <t>entidad-dia</t>
        </is>
      </c>
    </row>
    <row r="412">
      <c r="A412" t="inlineStr">
        <is>
          <t>PRAGMA</t>
        </is>
      </c>
      <c r="B412" t="inlineStr">
        <is>
          <t>M1</t>
        </is>
      </c>
      <c r="C412" t="inlineStr">
        <is>
          <t>Cali</t>
        </is>
      </c>
      <c r="D412" t="inlineStr">
        <is>
          <t>1391</t>
        </is>
      </c>
      <c r="E412" t="inlineStr">
        <is>
          <t>pagado</t>
        </is>
      </c>
      <c r="F412" s="23" t="n">
        <v>46270</v>
      </c>
      <c r="G412" s="24">
        <f>F412-DATE(2026,8,31)</f>
        <v>5</v>
      </c>
      <c r="H412" s="25" t="n">
        <v>55039869</v>
      </c>
      <c r="I412" t="inlineStr">
        <is>
          <t>entidad-dia</t>
        </is>
      </c>
    </row>
    <row r="413">
      <c r="A413" t="inlineStr">
        <is>
          <t>PRAGMA</t>
        </is>
      </c>
      <c r="B413" t="inlineStr">
        <is>
          <t>M1</t>
        </is>
      </c>
      <c r="C413" t="inlineStr">
        <is>
          <t>Cali</t>
        </is>
      </c>
      <c r="D413" t="inlineStr">
        <is>
          <t>1391</t>
        </is>
      </c>
      <c r="E413" t="inlineStr">
        <is>
          <t>pagado</t>
        </is>
      </c>
      <c r="F413" s="23" t="n">
        <v>46271</v>
      </c>
      <c r="G413" s="24">
        <f>F413-DATE(2026,8,31)</f>
        <v>6</v>
      </c>
      <c r="H413" s="25" t="n">
        <v>42899723</v>
      </c>
      <c r="I413" t="inlineStr">
        <is>
          <t>entidad-dia</t>
        </is>
      </c>
    </row>
    <row r="414">
      <c r="A414" t="inlineStr">
        <is>
          <t>PRAGMA</t>
        </is>
      </c>
      <c r="B414" t="inlineStr">
        <is>
          <t>M1</t>
        </is>
      </c>
      <c r="C414" t="inlineStr">
        <is>
          <t>Cali</t>
        </is>
      </c>
      <c r="D414" t="inlineStr">
        <is>
          <t>1391</t>
        </is>
      </c>
      <c r="E414" t="inlineStr">
        <is>
          <t>pagado</t>
        </is>
      </c>
      <c r="F414" s="23" t="n">
        <v>46272</v>
      </c>
      <c r="G414" s="24">
        <f>F414-DATE(2026,8,31)</f>
        <v>7</v>
      </c>
      <c r="H414" s="25" t="n">
        <v>33660841</v>
      </c>
      <c r="I414" t="inlineStr">
        <is>
          <t>entidad-dia</t>
        </is>
      </c>
    </row>
    <row r="415">
      <c r="A415" t="inlineStr">
        <is>
          <t>PRAGMA</t>
        </is>
      </c>
      <c r="B415" t="inlineStr">
        <is>
          <t>M1</t>
        </is>
      </c>
      <c r="C415" t="inlineStr">
        <is>
          <t>Cali</t>
        </is>
      </c>
      <c r="D415" t="inlineStr">
        <is>
          <t>1391</t>
        </is>
      </c>
      <c r="E415" t="inlineStr">
        <is>
          <t>pagado</t>
        </is>
      </c>
      <c r="F415" s="23" t="n">
        <v>46273</v>
      </c>
      <c r="G415" s="24">
        <f>F415-DATE(2026,8,31)</f>
        <v>8</v>
      </c>
      <c r="H415" s="25" t="n">
        <v>36298018</v>
      </c>
      <c r="I415" t="inlineStr">
        <is>
          <t>entidad-dia</t>
        </is>
      </c>
    </row>
    <row r="416">
      <c r="A416" t="inlineStr">
        <is>
          <t>PRAGMA</t>
        </is>
      </c>
      <c r="B416" t="inlineStr">
        <is>
          <t>M1</t>
        </is>
      </c>
      <c r="C416" t="inlineStr">
        <is>
          <t>Cali</t>
        </is>
      </c>
      <c r="D416" t="inlineStr">
        <is>
          <t>1391</t>
        </is>
      </c>
      <c r="E416" t="inlineStr">
        <is>
          <t>pagado</t>
        </is>
      </c>
      <c r="F416" s="23" t="n">
        <v>46274</v>
      </c>
      <c r="G416" s="24">
        <f>F416-DATE(2026,8,31)</f>
        <v>9</v>
      </c>
      <c r="H416" s="25" t="n">
        <v>38157446</v>
      </c>
      <c r="I416" t="inlineStr">
        <is>
          <t>entidad-dia</t>
        </is>
      </c>
    </row>
    <row r="417">
      <c r="A417" t="inlineStr">
        <is>
          <t>PRAGMA</t>
        </is>
      </c>
      <c r="B417" t="inlineStr">
        <is>
          <t>M1</t>
        </is>
      </c>
      <c r="C417" t="inlineStr">
        <is>
          <t>Cali</t>
        </is>
      </c>
      <c r="D417" t="inlineStr">
        <is>
          <t>1391</t>
        </is>
      </c>
      <c r="E417" t="inlineStr">
        <is>
          <t>pagado</t>
        </is>
      </c>
      <c r="F417" s="23" t="n">
        <v>46275</v>
      </c>
      <c r="G417" s="24">
        <f>F417-DATE(2026,8,31)</f>
        <v>10</v>
      </c>
      <c r="H417" s="25" t="n">
        <v>36764020</v>
      </c>
      <c r="I417" t="inlineStr">
        <is>
          <t>entidad-dia</t>
        </is>
      </c>
    </row>
    <row r="418">
      <c r="A418" t="inlineStr">
        <is>
          <t>PRAGMA</t>
        </is>
      </c>
      <c r="B418" t="inlineStr">
        <is>
          <t>M1</t>
        </is>
      </c>
      <c r="C418" t="inlineStr">
        <is>
          <t>Cali</t>
        </is>
      </c>
      <c r="D418" t="inlineStr">
        <is>
          <t>1391</t>
        </is>
      </c>
      <c r="E418" t="inlineStr">
        <is>
          <t>pagado</t>
        </is>
      </c>
      <c r="F418" s="23" t="n">
        <v>46276</v>
      </c>
      <c r="G418" s="24">
        <f>F418-DATE(2026,8,31)</f>
        <v>11</v>
      </c>
      <c r="H418" s="25" t="n">
        <v>36832025</v>
      </c>
      <c r="I418" t="inlineStr">
        <is>
          <t>entidad-dia</t>
        </is>
      </c>
    </row>
    <row r="419">
      <c r="A419" t="inlineStr">
        <is>
          <t>PRAGMA</t>
        </is>
      </c>
      <c r="B419" t="inlineStr">
        <is>
          <t>M1</t>
        </is>
      </c>
      <c r="C419" t="inlineStr">
        <is>
          <t>Cali</t>
        </is>
      </c>
      <c r="D419" t="inlineStr">
        <is>
          <t>1391</t>
        </is>
      </c>
      <c r="E419" t="inlineStr">
        <is>
          <t>pagado</t>
        </is>
      </c>
      <c r="F419" s="23" t="n">
        <v>46277</v>
      </c>
      <c r="G419" s="24">
        <f>F419-DATE(2026,8,31)</f>
        <v>12</v>
      </c>
      <c r="H419" s="25" t="n">
        <v>40640261</v>
      </c>
      <c r="I419" t="inlineStr">
        <is>
          <t>entidad-dia</t>
        </is>
      </c>
    </row>
    <row r="420">
      <c r="A420" t="inlineStr">
        <is>
          <t>PRAGMA</t>
        </is>
      </c>
      <c r="B420" t="inlineStr">
        <is>
          <t>M1</t>
        </is>
      </c>
      <c r="C420" t="inlineStr">
        <is>
          <t>Cali</t>
        </is>
      </c>
      <c r="D420" t="inlineStr">
        <is>
          <t>1391</t>
        </is>
      </c>
      <c r="E420" t="inlineStr">
        <is>
          <t>pagado</t>
        </is>
      </c>
      <c r="F420" s="23" t="n">
        <v>46278</v>
      </c>
      <c r="G420" s="24">
        <f>F420-DATE(2026,8,31)</f>
        <v>13</v>
      </c>
      <c r="H420" s="25" t="n">
        <v>32949633</v>
      </c>
      <c r="I420" t="inlineStr">
        <is>
          <t>entidad-dia</t>
        </is>
      </c>
    </row>
    <row r="421">
      <c r="A421" t="inlineStr">
        <is>
          <t>PRAGMA</t>
        </is>
      </c>
      <c r="B421" t="inlineStr">
        <is>
          <t>M1</t>
        </is>
      </c>
      <c r="C421" t="inlineStr">
        <is>
          <t>Cali</t>
        </is>
      </c>
      <c r="D421" t="inlineStr">
        <is>
          <t>1391</t>
        </is>
      </c>
      <c r="E421" t="inlineStr">
        <is>
          <t>pagado</t>
        </is>
      </c>
      <c r="F421" s="23" t="n">
        <v>46279</v>
      </c>
      <c r="G421" s="24">
        <f>F421-DATE(2026,8,31)</f>
        <v>14</v>
      </c>
      <c r="H421" s="25" t="n">
        <v>32506722</v>
      </c>
      <c r="I421" t="inlineStr">
        <is>
          <t>entidad-dia</t>
        </is>
      </c>
    </row>
    <row r="422">
      <c r="A422" t="inlineStr">
        <is>
          <t>PRAGMA</t>
        </is>
      </c>
      <c r="B422" t="inlineStr">
        <is>
          <t>M1</t>
        </is>
      </c>
      <c r="C422" t="inlineStr">
        <is>
          <t>Cali</t>
        </is>
      </c>
      <c r="D422" t="inlineStr">
        <is>
          <t>1391</t>
        </is>
      </c>
      <c r="E422" t="inlineStr">
        <is>
          <t>pagado</t>
        </is>
      </c>
      <c r="F422" s="23" t="n">
        <v>46280</v>
      </c>
      <c r="G422" s="24">
        <f>F422-DATE(2026,8,31)</f>
        <v>15</v>
      </c>
      <c r="H422" s="25" t="n">
        <v>49857154</v>
      </c>
      <c r="I422" t="inlineStr">
        <is>
          <t>entidad-dia</t>
        </is>
      </c>
    </row>
    <row r="423">
      <c r="A423" t="inlineStr">
        <is>
          <t>PRAGMA</t>
        </is>
      </c>
      <c r="B423" t="inlineStr">
        <is>
          <t>M1</t>
        </is>
      </c>
      <c r="C423" t="inlineStr">
        <is>
          <t>Cali</t>
        </is>
      </c>
      <c r="D423" t="inlineStr">
        <is>
          <t>1392</t>
        </is>
      </c>
      <c r="E423" t="inlineStr">
        <is>
          <t>pagado</t>
        </is>
      </c>
      <c r="F423" s="23" t="n">
        <v>46266</v>
      </c>
      <c r="G423" s="24">
        <f>F423-DATE(2026,8,31)</f>
        <v>1</v>
      </c>
      <c r="H423" s="25" t="n">
        <v>62793649</v>
      </c>
      <c r="I423" t="inlineStr">
        <is>
          <t>entidad-dia</t>
        </is>
      </c>
    </row>
    <row r="424">
      <c r="A424" t="inlineStr">
        <is>
          <t>PRAGMA</t>
        </is>
      </c>
      <c r="B424" t="inlineStr">
        <is>
          <t>M1</t>
        </is>
      </c>
      <c r="C424" t="inlineStr">
        <is>
          <t>Cali</t>
        </is>
      </c>
      <c r="D424" t="inlineStr">
        <is>
          <t>1392</t>
        </is>
      </c>
      <c r="E424" t="inlineStr">
        <is>
          <t>pagado</t>
        </is>
      </c>
      <c r="F424" s="23" t="n">
        <v>46267</v>
      </c>
      <c r="G424" s="24">
        <f>F424-DATE(2026,8,31)</f>
        <v>2</v>
      </c>
      <c r="H424" s="25" t="n">
        <v>48623733</v>
      </c>
      <c r="I424" t="inlineStr">
        <is>
          <t>entidad-dia</t>
        </is>
      </c>
    </row>
    <row r="425">
      <c r="A425" t="inlineStr">
        <is>
          <t>PRAGMA</t>
        </is>
      </c>
      <c r="B425" t="inlineStr">
        <is>
          <t>M1</t>
        </is>
      </c>
      <c r="C425" t="inlineStr">
        <is>
          <t>Cali</t>
        </is>
      </c>
      <c r="D425" t="inlineStr">
        <is>
          <t>1392</t>
        </is>
      </c>
      <c r="E425" t="inlineStr">
        <is>
          <t>pagado</t>
        </is>
      </c>
      <c r="F425" s="23" t="n">
        <v>46268</v>
      </c>
      <c r="G425" s="24">
        <f>F425-DATE(2026,8,31)</f>
        <v>3</v>
      </c>
      <c r="H425" s="25" t="n">
        <v>45625827</v>
      </c>
      <c r="I425" t="inlineStr">
        <is>
          <t>entidad-dia</t>
        </is>
      </c>
    </row>
    <row r="426">
      <c r="A426" t="inlineStr">
        <is>
          <t>PRAGMA</t>
        </is>
      </c>
      <c r="B426" t="inlineStr">
        <is>
          <t>M1</t>
        </is>
      </c>
      <c r="C426" t="inlineStr">
        <is>
          <t>Cali</t>
        </is>
      </c>
      <c r="D426" t="inlineStr">
        <is>
          <t>1392</t>
        </is>
      </c>
      <c r="E426" t="inlineStr">
        <is>
          <t>pagado</t>
        </is>
      </c>
      <c r="F426" s="23" t="n">
        <v>46269</v>
      </c>
      <c r="G426" s="24">
        <f>F426-DATE(2026,8,31)</f>
        <v>4</v>
      </c>
      <c r="H426" s="25" t="n">
        <v>44053261</v>
      </c>
      <c r="I426" t="inlineStr">
        <is>
          <t>entidad-dia</t>
        </is>
      </c>
    </row>
    <row r="427">
      <c r="A427" t="inlineStr">
        <is>
          <t>PRAGMA</t>
        </is>
      </c>
      <c r="B427" t="inlineStr">
        <is>
          <t>M1</t>
        </is>
      </c>
      <c r="C427" t="inlineStr">
        <is>
          <t>Cali</t>
        </is>
      </c>
      <c r="D427" t="inlineStr">
        <is>
          <t>1392</t>
        </is>
      </c>
      <c r="E427" t="inlineStr">
        <is>
          <t>pagado</t>
        </is>
      </c>
      <c r="F427" s="23" t="n">
        <v>46270</v>
      </c>
      <c r="G427" s="24">
        <f>F427-DATE(2026,8,31)</f>
        <v>5</v>
      </c>
      <c r="H427" s="25" t="n">
        <v>51037322</v>
      </c>
      <c r="I427" t="inlineStr">
        <is>
          <t>entidad-dia</t>
        </is>
      </c>
    </row>
    <row r="428">
      <c r="A428" t="inlineStr">
        <is>
          <t>PRAGMA</t>
        </is>
      </c>
      <c r="B428" t="inlineStr">
        <is>
          <t>M1</t>
        </is>
      </c>
      <c r="C428" t="inlineStr">
        <is>
          <t>Cali</t>
        </is>
      </c>
      <c r="D428" t="inlineStr">
        <is>
          <t>1392</t>
        </is>
      </c>
      <c r="E428" t="inlineStr">
        <is>
          <t>pagado</t>
        </is>
      </c>
      <c r="F428" s="23" t="n">
        <v>46271</v>
      </c>
      <c r="G428" s="24">
        <f>F428-DATE(2026,8,31)</f>
        <v>6</v>
      </c>
      <c r="H428" s="25" t="n">
        <v>41864781</v>
      </c>
      <c r="I428" t="inlineStr">
        <is>
          <t>entidad-dia</t>
        </is>
      </c>
    </row>
    <row r="429">
      <c r="A429" t="inlineStr">
        <is>
          <t>PRAGMA</t>
        </is>
      </c>
      <c r="B429" t="inlineStr">
        <is>
          <t>M1</t>
        </is>
      </c>
      <c r="C429" t="inlineStr">
        <is>
          <t>Cali</t>
        </is>
      </c>
      <c r="D429" t="inlineStr">
        <is>
          <t>1392</t>
        </is>
      </c>
      <c r="E429" t="inlineStr">
        <is>
          <t>pagado</t>
        </is>
      </c>
      <c r="F429" s="23" t="n">
        <v>46272</v>
      </c>
      <c r="G429" s="24">
        <f>F429-DATE(2026,8,31)</f>
        <v>7</v>
      </c>
      <c r="H429" s="25" t="n">
        <v>35009483</v>
      </c>
      <c r="I429" t="inlineStr">
        <is>
          <t>entidad-dia</t>
        </is>
      </c>
    </row>
    <row r="430">
      <c r="A430" t="inlineStr">
        <is>
          <t>PRAGMA</t>
        </is>
      </c>
      <c r="B430" t="inlineStr">
        <is>
          <t>M1</t>
        </is>
      </c>
      <c r="C430" t="inlineStr">
        <is>
          <t>Cali</t>
        </is>
      </c>
      <c r="D430" t="inlineStr">
        <is>
          <t>1392</t>
        </is>
      </c>
      <c r="E430" t="inlineStr">
        <is>
          <t>pagado</t>
        </is>
      </c>
      <c r="F430" s="23" t="n">
        <v>46273</v>
      </c>
      <c r="G430" s="24">
        <f>F430-DATE(2026,8,31)</f>
        <v>8</v>
      </c>
      <c r="H430" s="25" t="n">
        <v>33683194</v>
      </c>
      <c r="I430" t="inlineStr">
        <is>
          <t>entidad-dia</t>
        </is>
      </c>
    </row>
    <row r="431">
      <c r="A431" t="inlineStr">
        <is>
          <t>PRAGMA</t>
        </is>
      </c>
      <c r="B431" t="inlineStr">
        <is>
          <t>M1</t>
        </is>
      </c>
      <c r="C431" t="inlineStr">
        <is>
          <t>Cali</t>
        </is>
      </c>
      <c r="D431" t="inlineStr">
        <is>
          <t>1392</t>
        </is>
      </c>
      <c r="E431" t="inlineStr">
        <is>
          <t>pagado</t>
        </is>
      </c>
      <c r="F431" s="23" t="n">
        <v>46274</v>
      </c>
      <c r="G431" s="24">
        <f>F431-DATE(2026,8,31)</f>
        <v>9</v>
      </c>
      <c r="H431" s="25" t="n">
        <v>33256981</v>
      </c>
      <c r="I431" t="inlineStr">
        <is>
          <t>entidad-dia</t>
        </is>
      </c>
    </row>
    <row r="432">
      <c r="A432" t="inlineStr">
        <is>
          <t>PRAGMA</t>
        </is>
      </c>
      <c r="B432" t="inlineStr">
        <is>
          <t>M1</t>
        </is>
      </c>
      <c r="C432" t="inlineStr">
        <is>
          <t>Cali</t>
        </is>
      </c>
      <c r="D432" t="inlineStr">
        <is>
          <t>1392</t>
        </is>
      </c>
      <c r="E432" t="inlineStr">
        <is>
          <t>pagado</t>
        </is>
      </c>
      <c r="F432" s="23" t="n">
        <v>46275</v>
      </c>
      <c r="G432" s="24">
        <f>F432-DATE(2026,8,31)</f>
        <v>10</v>
      </c>
      <c r="H432" s="25" t="n">
        <v>32442026</v>
      </c>
      <c r="I432" t="inlineStr">
        <is>
          <t>entidad-dia</t>
        </is>
      </c>
    </row>
    <row r="433">
      <c r="A433" t="inlineStr">
        <is>
          <t>PRAGMA</t>
        </is>
      </c>
      <c r="B433" t="inlineStr">
        <is>
          <t>M1</t>
        </is>
      </c>
      <c r="C433" t="inlineStr">
        <is>
          <t>Cali</t>
        </is>
      </c>
      <c r="D433" t="inlineStr">
        <is>
          <t>1392</t>
        </is>
      </c>
      <c r="E433" t="inlineStr">
        <is>
          <t>pagado</t>
        </is>
      </c>
      <c r="F433" s="23" t="n">
        <v>46276</v>
      </c>
      <c r="G433" s="24">
        <f>F433-DATE(2026,8,31)</f>
        <v>11</v>
      </c>
      <c r="H433" s="25" t="n">
        <v>32839324</v>
      </c>
      <c r="I433" t="inlineStr">
        <is>
          <t>entidad-dia</t>
        </is>
      </c>
    </row>
    <row r="434">
      <c r="A434" t="inlineStr">
        <is>
          <t>PRAGMA</t>
        </is>
      </c>
      <c r="B434" t="inlineStr">
        <is>
          <t>M1</t>
        </is>
      </c>
      <c r="C434" t="inlineStr">
        <is>
          <t>Cali</t>
        </is>
      </c>
      <c r="D434" t="inlineStr">
        <is>
          <t>1392</t>
        </is>
      </c>
      <c r="E434" t="inlineStr">
        <is>
          <t>pagado</t>
        </is>
      </c>
      <c r="F434" s="23" t="n">
        <v>46277</v>
      </c>
      <c r="G434" s="24">
        <f>F434-DATE(2026,8,31)</f>
        <v>12</v>
      </c>
      <c r="H434" s="25" t="n">
        <v>36144481</v>
      </c>
      <c r="I434" t="inlineStr">
        <is>
          <t>entidad-dia</t>
        </is>
      </c>
    </row>
    <row r="435">
      <c r="A435" t="inlineStr">
        <is>
          <t>PRAGMA</t>
        </is>
      </c>
      <c r="B435" t="inlineStr">
        <is>
          <t>M1</t>
        </is>
      </c>
      <c r="C435" t="inlineStr">
        <is>
          <t>Cali</t>
        </is>
      </c>
      <c r="D435" t="inlineStr">
        <is>
          <t>1392</t>
        </is>
      </c>
      <c r="E435" t="inlineStr">
        <is>
          <t>pagado</t>
        </is>
      </c>
      <c r="F435" s="23" t="n">
        <v>46278</v>
      </c>
      <c r="G435" s="24">
        <f>F435-DATE(2026,8,31)</f>
        <v>13</v>
      </c>
      <c r="H435" s="25" t="n">
        <v>31514792</v>
      </c>
      <c r="I435" t="inlineStr">
        <is>
          <t>entidad-dia</t>
        </is>
      </c>
    </row>
    <row r="436">
      <c r="A436" t="inlineStr">
        <is>
          <t>PRAGMA</t>
        </is>
      </c>
      <c r="B436" t="inlineStr">
        <is>
          <t>M1</t>
        </is>
      </c>
      <c r="C436" t="inlineStr">
        <is>
          <t>Cali</t>
        </is>
      </c>
      <c r="D436" t="inlineStr">
        <is>
          <t>1392</t>
        </is>
      </c>
      <c r="E436" t="inlineStr">
        <is>
          <t>pagado</t>
        </is>
      </c>
      <c r="F436" s="23" t="n">
        <v>46279</v>
      </c>
      <c r="G436" s="24">
        <f>F436-DATE(2026,8,31)</f>
        <v>14</v>
      </c>
      <c r="H436" s="25" t="n">
        <v>32394016</v>
      </c>
      <c r="I436" t="inlineStr">
        <is>
          <t>entidad-dia</t>
        </is>
      </c>
    </row>
    <row r="437">
      <c r="A437" t="inlineStr">
        <is>
          <t>PRAGMA</t>
        </is>
      </c>
      <c r="B437" t="inlineStr">
        <is>
          <t>M1</t>
        </is>
      </c>
      <c r="C437" t="inlineStr">
        <is>
          <t>Cali</t>
        </is>
      </c>
      <c r="D437" t="inlineStr">
        <is>
          <t>1392</t>
        </is>
      </c>
      <c r="E437" t="inlineStr">
        <is>
          <t>pagado</t>
        </is>
      </c>
      <c r="F437" s="23" t="n">
        <v>46280</v>
      </c>
      <c r="G437" s="24">
        <f>F437-DATE(2026,8,31)</f>
        <v>15</v>
      </c>
      <c r="H437" s="25" t="n">
        <v>48371666</v>
      </c>
      <c r="I437" t="inlineStr">
        <is>
          <t>entidad-dia</t>
        </is>
      </c>
    </row>
    <row r="438">
      <c r="A438" t="inlineStr">
        <is>
          <t>PRAGMA</t>
        </is>
      </c>
      <c r="B438" t="inlineStr">
        <is>
          <t>M1</t>
        </is>
      </c>
      <c r="C438" t="inlineStr">
        <is>
          <t>Cali</t>
        </is>
      </c>
      <c r="D438" t="inlineStr">
        <is>
          <t>1393</t>
        </is>
      </c>
      <c r="E438" t="inlineStr">
        <is>
          <t>pagado</t>
        </is>
      </c>
      <c r="F438" s="23" t="n">
        <v>46266</v>
      </c>
      <c r="G438" s="24">
        <f>F438-DATE(2026,8,31)</f>
        <v>1</v>
      </c>
      <c r="H438" s="25" t="n">
        <v>72777028</v>
      </c>
      <c r="I438" t="inlineStr">
        <is>
          <t>entidad-dia</t>
        </is>
      </c>
    </row>
    <row r="439">
      <c r="A439" t="inlineStr">
        <is>
          <t>PRAGMA</t>
        </is>
      </c>
      <c r="B439" t="inlineStr">
        <is>
          <t>M1</t>
        </is>
      </c>
      <c r="C439" t="inlineStr">
        <is>
          <t>Cali</t>
        </is>
      </c>
      <c r="D439" t="inlineStr">
        <is>
          <t>1393</t>
        </is>
      </c>
      <c r="E439" t="inlineStr">
        <is>
          <t>pagado</t>
        </is>
      </c>
      <c r="F439" s="23" t="n">
        <v>46267</v>
      </c>
      <c r="G439" s="24">
        <f>F439-DATE(2026,8,31)</f>
        <v>2</v>
      </c>
      <c r="H439" s="25" t="n">
        <v>54630378</v>
      </c>
      <c r="I439" t="inlineStr">
        <is>
          <t>entidad-dia</t>
        </is>
      </c>
    </row>
    <row r="440">
      <c r="A440" t="inlineStr">
        <is>
          <t>PRAGMA</t>
        </is>
      </c>
      <c r="B440" t="inlineStr">
        <is>
          <t>M1</t>
        </is>
      </c>
      <c r="C440" t="inlineStr">
        <is>
          <t>Cali</t>
        </is>
      </c>
      <c r="D440" t="inlineStr">
        <is>
          <t>1393</t>
        </is>
      </c>
      <c r="E440" t="inlineStr">
        <is>
          <t>pagado</t>
        </is>
      </c>
      <c r="F440" s="23" t="n">
        <v>46268</v>
      </c>
      <c r="G440" s="24">
        <f>F440-DATE(2026,8,31)</f>
        <v>3</v>
      </c>
      <c r="H440" s="25" t="n">
        <v>51446711</v>
      </c>
      <c r="I440" t="inlineStr">
        <is>
          <t>entidad-dia</t>
        </is>
      </c>
    </row>
    <row r="441">
      <c r="A441" t="inlineStr">
        <is>
          <t>PRAGMA</t>
        </is>
      </c>
      <c r="B441" t="inlineStr">
        <is>
          <t>M1</t>
        </is>
      </c>
      <c r="C441" t="inlineStr">
        <is>
          <t>Cali</t>
        </is>
      </c>
      <c r="D441" t="inlineStr">
        <is>
          <t>1393</t>
        </is>
      </c>
      <c r="E441" t="inlineStr">
        <is>
          <t>pagado</t>
        </is>
      </c>
      <c r="F441" s="23" t="n">
        <v>46269</v>
      </c>
      <c r="G441" s="24">
        <f>F441-DATE(2026,8,31)</f>
        <v>4</v>
      </c>
      <c r="H441" s="25" t="n">
        <v>53174866</v>
      </c>
      <c r="I441" t="inlineStr">
        <is>
          <t>entidad-dia</t>
        </is>
      </c>
    </row>
    <row r="442">
      <c r="A442" t="inlineStr">
        <is>
          <t>PRAGMA</t>
        </is>
      </c>
      <c r="B442" t="inlineStr">
        <is>
          <t>M1</t>
        </is>
      </c>
      <c r="C442" t="inlineStr">
        <is>
          <t>Cali</t>
        </is>
      </c>
      <c r="D442" t="inlineStr">
        <is>
          <t>1393</t>
        </is>
      </c>
      <c r="E442" t="inlineStr">
        <is>
          <t>pagado</t>
        </is>
      </c>
      <c r="F442" s="23" t="n">
        <v>46270</v>
      </c>
      <c r="G442" s="24">
        <f>F442-DATE(2026,8,31)</f>
        <v>5</v>
      </c>
      <c r="H442" s="25" t="n">
        <v>51257179</v>
      </c>
      <c r="I442" t="inlineStr">
        <is>
          <t>entidad-dia</t>
        </is>
      </c>
    </row>
    <row r="443">
      <c r="A443" t="inlineStr">
        <is>
          <t>PRAGMA</t>
        </is>
      </c>
      <c r="B443" t="inlineStr">
        <is>
          <t>M1</t>
        </is>
      </c>
      <c r="C443" t="inlineStr">
        <is>
          <t>Cali</t>
        </is>
      </c>
      <c r="D443" t="inlineStr">
        <is>
          <t>1393</t>
        </is>
      </c>
      <c r="E443" t="inlineStr">
        <is>
          <t>pagado</t>
        </is>
      </c>
      <c r="F443" s="23" t="n">
        <v>46271</v>
      </c>
      <c r="G443" s="24">
        <f>F443-DATE(2026,8,31)</f>
        <v>6</v>
      </c>
      <c r="H443" s="25" t="n">
        <v>48241164</v>
      </c>
      <c r="I443" t="inlineStr">
        <is>
          <t>entidad-dia</t>
        </is>
      </c>
    </row>
    <row r="444">
      <c r="A444" t="inlineStr">
        <is>
          <t>PRAGMA</t>
        </is>
      </c>
      <c r="B444" t="inlineStr">
        <is>
          <t>M1</t>
        </is>
      </c>
      <c r="C444" t="inlineStr">
        <is>
          <t>Cali</t>
        </is>
      </c>
      <c r="D444" t="inlineStr">
        <is>
          <t>1393</t>
        </is>
      </c>
      <c r="E444" t="inlineStr">
        <is>
          <t>pagado</t>
        </is>
      </c>
      <c r="F444" s="23" t="n">
        <v>46272</v>
      </c>
      <c r="G444" s="24">
        <f>F444-DATE(2026,8,31)</f>
        <v>7</v>
      </c>
      <c r="H444" s="25" t="n">
        <v>38613497</v>
      </c>
      <c r="I444" t="inlineStr">
        <is>
          <t>entidad-dia</t>
        </is>
      </c>
    </row>
    <row r="445">
      <c r="A445" t="inlineStr">
        <is>
          <t>PRAGMA</t>
        </is>
      </c>
      <c r="B445" t="inlineStr">
        <is>
          <t>M1</t>
        </is>
      </c>
      <c r="C445" t="inlineStr">
        <is>
          <t>Cali</t>
        </is>
      </c>
      <c r="D445" t="inlineStr">
        <is>
          <t>1393</t>
        </is>
      </c>
      <c r="E445" t="inlineStr">
        <is>
          <t>pagado</t>
        </is>
      </c>
      <c r="F445" s="23" t="n">
        <v>46273</v>
      </c>
      <c r="G445" s="24">
        <f>F445-DATE(2026,8,31)</f>
        <v>8</v>
      </c>
      <c r="H445" s="25" t="n">
        <v>39968302</v>
      </c>
      <c r="I445" t="inlineStr">
        <is>
          <t>entidad-dia</t>
        </is>
      </c>
    </row>
    <row r="446">
      <c r="A446" t="inlineStr">
        <is>
          <t>PRAGMA</t>
        </is>
      </c>
      <c r="B446" t="inlineStr">
        <is>
          <t>M1</t>
        </is>
      </c>
      <c r="C446" t="inlineStr">
        <is>
          <t>Cali</t>
        </is>
      </c>
      <c r="D446" t="inlineStr">
        <is>
          <t>1393</t>
        </is>
      </c>
      <c r="E446" t="inlineStr">
        <is>
          <t>pagado</t>
        </is>
      </c>
      <c r="F446" s="23" t="n">
        <v>46274</v>
      </c>
      <c r="G446" s="24">
        <f>F446-DATE(2026,8,31)</f>
        <v>9</v>
      </c>
      <c r="H446" s="25" t="n">
        <v>38429731</v>
      </c>
      <c r="I446" t="inlineStr">
        <is>
          <t>entidad-dia</t>
        </is>
      </c>
    </row>
    <row r="447">
      <c r="A447" t="inlineStr">
        <is>
          <t>PRAGMA</t>
        </is>
      </c>
      <c r="B447" t="inlineStr">
        <is>
          <t>M1</t>
        </is>
      </c>
      <c r="C447" t="inlineStr">
        <is>
          <t>Cali</t>
        </is>
      </c>
      <c r="D447" t="inlineStr">
        <is>
          <t>1393</t>
        </is>
      </c>
      <c r="E447" t="inlineStr">
        <is>
          <t>pagado</t>
        </is>
      </c>
      <c r="F447" s="23" t="n">
        <v>46275</v>
      </c>
      <c r="G447" s="24">
        <f>F447-DATE(2026,8,31)</f>
        <v>10</v>
      </c>
      <c r="H447" s="25" t="n">
        <v>34867438</v>
      </c>
      <c r="I447" t="inlineStr">
        <is>
          <t>entidad-dia</t>
        </is>
      </c>
    </row>
    <row r="448">
      <c r="A448" t="inlineStr">
        <is>
          <t>PRAGMA</t>
        </is>
      </c>
      <c r="B448" t="inlineStr">
        <is>
          <t>M1</t>
        </is>
      </c>
      <c r="C448" t="inlineStr">
        <is>
          <t>Cali</t>
        </is>
      </c>
      <c r="D448" t="inlineStr">
        <is>
          <t>1393</t>
        </is>
      </c>
      <c r="E448" t="inlineStr">
        <is>
          <t>pagado</t>
        </is>
      </c>
      <c r="F448" s="23" t="n">
        <v>46276</v>
      </c>
      <c r="G448" s="24">
        <f>F448-DATE(2026,8,31)</f>
        <v>11</v>
      </c>
      <c r="H448" s="25" t="n">
        <v>38224723</v>
      </c>
      <c r="I448" t="inlineStr">
        <is>
          <t>entidad-dia</t>
        </is>
      </c>
    </row>
    <row r="449">
      <c r="A449" t="inlineStr">
        <is>
          <t>PRAGMA</t>
        </is>
      </c>
      <c r="B449" t="inlineStr">
        <is>
          <t>M1</t>
        </is>
      </c>
      <c r="C449" t="inlineStr">
        <is>
          <t>Cali</t>
        </is>
      </c>
      <c r="D449" t="inlineStr">
        <is>
          <t>1393</t>
        </is>
      </c>
      <c r="E449" t="inlineStr">
        <is>
          <t>pagado</t>
        </is>
      </c>
      <c r="F449" s="23" t="n">
        <v>46277</v>
      </c>
      <c r="G449" s="24">
        <f>F449-DATE(2026,8,31)</f>
        <v>12</v>
      </c>
      <c r="H449" s="25" t="n">
        <v>41463577</v>
      </c>
      <c r="I449" t="inlineStr">
        <is>
          <t>entidad-dia</t>
        </is>
      </c>
    </row>
    <row r="450">
      <c r="A450" t="inlineStr">
        <is>
          <t>PRAGMA</t>
        </is>
      </c>
      <c r="B450" t="inlineStr">
        <is>
          <t>M1</t>
        </is>
      </c>
      <c r="C450" t="inlineStr">
        <is>
          <t>Cali</t>
        </is>
      </c>
      <c r="D450" t="inlineStr">
        <is>
          <t>1393</t>
        </is>
      </c>
      <c r="E450" t="inlineStr">
        <is>
          <t>pagado</t>
        </is>
      </c>
      <c r="F450" s="23" t="n">
        <v>46278</v>
      </c>
      <c r="G450" s="24">
        <f>F450-DATE(2026,8,31)</f>
        <v>13</v>
      </c>
      <c r="H450" s="25" t="n">
        <v>37835132</v>
      </c>
      <c r="I450" t="inlineStr">
        <is>
          <t>entidad-dia</t>
        </is>
      </c>
    </row>
    <row r="451">
      <c r="A451" t="inlineStr">
        <is>
          <t>PRAGMA</t>
        </is>
      </c>
      <c r="B451" t="inlineStr">
        <is>
          <t>M1</t>
        </is>
      </c>
      <c r="C451" t="inlineStr">
        <is>
          <t>Cali</t>
        </is>
      </c>
      <c r="D451" t="inlineStr">
        <is>
          <t>1393</t>
        </is>
      </c>
      <c r="E451" t="inlineStr">
        <is>
          <t>pagado</t>
        </is>
      </c>
      <c r="F451" s="23" t="n">
        <v>46279</v>
      </c>
      <c r="G451" s="24">
        <f>F451-DATE(2026,8,31)</f>
        <v>14</v>
      </c>
      <c r="H451" s="25" t="n">
        <v>36228667</v>
      </c>
      <c r="I451" t="inlineStr">
        <is>
          <t>entidad-dia</t>
        </is>
      </c>
    </row>
    <row r="452">
      <c r="A452" t="inlineStr">
        <is>
          <t>PRAGMA</t>
        </is>
      </c>
      <c r="B452" t="inlineStr">
        <is>
          <t>M1</t>
        </is>
      </c>
      <c r="C452" t="inlineStr">
        <is>
          <t>Cali</t>
        </is>
      </c>
      <c r="D452" t="inlineStr">
        <is>
          <t>1393</t>
        </is>
      </c>
      <c r="E452" t="inlineStr">
        <is>
          <t>pagado</t>
        </is>
      </c>
      <c r="F452" s="23" t="n">
        <v>46280</v>
      </c>
      <c r="G452" s="24">
        <f>F452-DATE(2026,8,31)</f>
        <v>15</v>
      </c>
      <c r="H452" s="25" t="n">
        <v>55461304</v>
      </c>
      <c r="I452" t="inlineStr">
        <is>
          <t>entidad-dia</t>
        </is>
      </c>
    </row>
    <row r="453">
      <c r="A453" t="inlineStr">
        <is>
          <t>PRAGMA</t>
        </is>
      </c>
      <c r="B453" t="inlineStr">
        <is>
          <t>M1</t>
        </is>
      </c>
      <c r="C453" t="inlineStr">
        <is>
          <t>Cali</t>
        </is>
      </c>
      <c r="D453" t="inlineStr">
        <is>
          <t>1398</t>
        </is>
      </c>
      <c r="E453" t="inlineStr">
        <is>
          <t>pagado</t>
        </is>
      </c>
      <c r="F453" s="23" t="n">
        <v>46266</v>
      </c>
      <c r="G453" s="24">
        <f>F453-DATE(2026,8,31)</f>
        <v>1</v>
      </c>
      <c r="H453" s="25" t="n">
        <v>158774486</v>
      </c>
      <c r="I453" t="inlineStr">
        <is>
          <t>entidad-dia</t>
        </is>
      </c>
    </row>
    <row r="454">
      <c r="A454" t="inlineStr">
        <is>
          <t>PRAGMA</t>
        </is>
      </c>
      <c r="B454" t="inlineStr">
        <is>
          <t>M1</t>
        </is>
      </c>
      <c r="C454" t="inlineStr">
        <is>
          <t>Cali</t>
        </is>
      </c>
      <c r="D454" t="inlineStr">
        <is>
          <t>1398</t>
        </is>
      </c>
      <c r="E454" t="inlineStr">
        <is>
          <t>pagado</t>
        </is>
      </c>
      <c r="F454" s="23" t="n">
        <v>46267</v>
      </c>
      <c r="G454" s="24">
        <f>F454-DATE(2026,8,31)</f>
        <v>2</v>
      </c>
      <c r="H454" s="25" t="n">
        <v>118943926</v>
      </c>
      <c r="I454" t="inlineStr">
        <is>
          <t>entidad-dia</t>
        </is>
      </c>
    </row>
    <row r="455">
      <c r="A455" t="inlineStr">
        <is>
          <t>PRAGMA</t>
        </is>
      </c>
      <c r="B455" t="inlineStr">
        <is>
          <t>M1</t>
        </is>
      </c>
      <c r="C455" t="inlineStr">
        <is>
          <t>Cali</t>
        </is>
      </c>
      <c r="D455" t="inlineStr">
        <is>
          <t>1398</t>
        </is>
      </c>
      <c r="E455" t="inlineStr">
        <is>
          <t>pagado</t>
        </is>
      </c>
      <c r="F455" s="23" t="n">
        <v>46268</v>
      </c>
      <c r="G455" s="24">
        <f>F455-DATE(2026,8,31)</f>
        <v>3</v>
      </c>
      <c r="H455" s="25" t="n">
        <v>106354755</v>
      </c>
      <c r="I455" t="inlineStr">
        <is>
          <t>entidad-dia</t>
        </is>
      </c>
    </row>
    <row r="456">
      <c r="A456" t="inlineStr">
        <is>
          <t>PRAGMA</t>
        </is>
      </c>
      <c r="B456" t="inlineStr">
        <is>
          <t>M1</t>
        </is>
      </c>
      <c r="C456" t="inlineStr">
        <is>
          <t>Cali</t>
        </is>
      </c>
      <c r="D456" t="inlineStr">
        <is>
          <t>1398</t>
        </is>
      </c>
      <c r="E456" t="inlineStr">
        <is>
          <t>pagado</t>
        </is>
      </c>
      <c r="F456" s="23" t="n">
        <v>46269</v>
      </c>
      <c r="G456" s="24">
        <f>F456-DATE(2026,8,31)</f>
        <v>4</v>
      </c>
      <c r="H456" s="25" t="n">
        <v>112560735</v>
      </c>
      <c r="I456" t="inlineStr">
        <is>
          <t>entidad-dia</t>
        </is>
      </c>
    </row>
    <row r="457">
      <c r="A457" t="inlineStr">
        <is>
          <t>PRAGMA</t>
        </is>
      </c>
      <c r="B457" t="inlineStr">
        <is>
          <t>M1</t>
        </is>
      </c>
      <c r="C457" t="inlineStr">
        <is>
          <t>Cali</t>
        </is>
      </c>
      <c r="D457" t="inlineStr">
        <is>
          <t>1398</t>
        </is>
      </c>
      <c r="E457" t="inlineStr">
        <is>
          <t>pagado</t>
        </is>
      </c>
      <c r="F457" s="23" t="n">
        <v>46270</v>
      </c>
      <c r="G457" s="24">
        <f>F457-DATE(2026,8,31)</f>
        <v>5</v>
      </c>
      <c r="H457" s="25" t="n">
        <v>119147256</v>
      </c>
      <c r="I457" t="inlineStr">
        <is>
          <t>entidad-dia</t>
        </is>
      </c>
    </row>
    <row r="458">
      <c r="A458" t="inlineStr">
        <is>
          <t>PRAGMA</t>
        </is>
      </c>
      <c r="B458" t="inlineStr">
        <is>
          <t>M1</t>
        </is>
      </c>
      <c r="C458" t="inlineStr">
        <is>
          <t>Cali</t>
        </is>
      </c>
      <c r="D458" t="inlineStr">
        <is>
          <t>1398</t>
        </is>
      </c>
      <c r="E458" t="inlineStr">
        <is>
          <t>pagado</t>
        </is>
      </c>
      <c r="F458" s="23" t="n">
        <v>46271</v>
      </c>
      <c r="G458" s="24">
        <f>F458-DATE(2026,8,31)</f>
        <v>6</v>
      </c>
      <c r="H458" s="25" t="n">
        <v>78999647</v>
      </c>
      <c r="I458" t="inlineStr">
        <is>
          <t>entidad-dia</t>
        </is>
      </c>
    </row>
    <row r="459">
      <c r="A459" t="inlineStr">
        <is>
          <t>PRAGMA</t>
        </is>
      </c>
      <c r="B459" t="inlineStr">
        <is>
          <t>M1</t>
        </is>
      </c>
      <c r="C459" t="inlineStr">
        <is>
          <t>Cali</t>
        </is>
      </c>
      <c r="D459" t="inlineStr">
        <is>
          <t>1398</t>
        </is>
      </c>
      <c r="E459" t="inlineStr">
        <is>
          <t>pagado</t>
        </is>
      </c>
      <c r="F459" s="23" t="n">
        <v>46272</v>
      </c>
      <c r="G459" s="24">
        <f>F459-DATE(2026,8,31)</f>
        <v>7</v>
      </c>
      <c r="H459" s="25" t="n">
        <v>87394410</v>
      </c>
      <c r="I459" t="inlineStr">
        <is>
          <t>entidad-dia</t>
        </is>
      </c>
    </row>
    <row r="460">
      <c r="A460" t="inlineStr">
        <is>
          <t>PRAGMA</t>
        </is>
      </c>
      <c r="B460" t="inlineStr">
        <is>
          <t>M1</t>
        </is>
      </c>
      <c r="C460" t="inlineStr">
        <is>
          <t>Cali</t>
        </is>
      </c>
      <c r="D460" t="inlineStr">
        <is>
          <t>1398</t>
        </is>
      </c>
      <c r="E460" t="inlineStr">
        <is>
          <t>pagado</t>
        </is>
      </c>
      <c r="F460" s="23" t="n">
        <v>46273</v>
      </c>
      <c r="G460" s="24">
        <f>F460-DATE(2026,8,31)</f>
        <v>8</v>
      </c>
      <c r="H460" s="25" t="n">
        <v>77028437</v>
      </c>
      <c r="I460" t="inlineStr">
        <is>
          <t>entidad-dia</t>
        </is>
      </c>
    </row>
    <row r="461">
      <c r="A461" t="inlineStr">
        <is>
          <t>PRAGMA</t>
        </is>
      </c>
      <c r="B461" t="inlineStr">
        <is>
          <t>M1</t>
        </is>
      </c>
      <c r="C461" t="inlineStr">
        <is>
          <t>Cali</t>
        </is>
      </c>
      <c r="D461" t="inlineStr">
        <is>
          <t>1398</t>
        </is>
      </c>
      <c r="E461" t="inlineStr">
        <is>
          <t>pagado</t>
        </is>
      </c>
      <c r="F461" s="23" t="n">
        <v>46274</v>
      </c>
      <c r="G461" s="24">
        <f>F461-DATE(2026,8,31)</f>
        <v>9</v>
      </c>
      <c r="H461" s="25" t="n">
        <v>72465235</v>
      </c>
      <c r="I461" t="inlineStr">
        <is>
          <t>entidad-dia</t>
        </is>
      </c>
    </row>
    <row r="462">
      <c r="A462" t="inlineStr">
        <is>
          <t>PRAGMA</t>
        </is>
      </c>
      <c r="B462" t="inlineStr">
        <is>
          <t>M1</t>
        </is>
      </c>
      <c r="C462" t="inlineStr">
        <is>
          <t>Cali</t>
        </is>
      </c>
      <c r="D462" t="inlineStr">
        <is>
          <t>1398</t>
        </is>
      </c>
      <c r="E462" t="inlineStr">
        <is>
          <t>pagado</t>
        </is>
      </c>
      <c r="F462" s="23" t="n">
        <v>46275</v>
      </c>
      <c r="G462" s="24">
        <f>F462-DATE(2026,8,31)</f>
        <v>10</v>
      </c>
      <c r="H462" s="25" t="n">
        <v>70471376</v>
      </c>
      <c r="I462" t="inlineStr">
        <is>
          <t>entidad-dia</t>
        </is>
      </c>
    </row>
    <row r="463">
      <c r="A463" t="inlineStr">
        <is>
          <t>PRAGMA</t>
        </is>
      </c>
      <c r="B463" t="inlineStr">
        <is>
          <t>M1</t>
        </is>
      </c>
      <c r="C463" t="inlineStr">
        <is>
          <t>Cali</t>
        </is>
      </c>
      <c r="D463" t="inlineStr">
        <is>
          <t>1398</t>
        </is>
      </c>
      <c r="E463" t="inlineStr">
        <is>
          <t>pagado</t>
        </is>
      </c>
      <c r="F463" s="23" t="n">
        <v>46276</v>
      </c>
      <c r="G463" s="24">
        <f>F463-DATE(2026,8,31)</f>
        <v>11</v>
      </c>
      <c r="H463" s="25" t="n">
        <v>75788932</v>
      </c>
      <c r="I463" t="inlineStr">
        <is>
          <t>entidad-dia</t>
        </is>
      </c>
    </row>
    <row r="464">
      <c r="A464" t="inlineStr">
        <is>
          <t>PRAGMA</t>
        </is>
      </c>
      <c r="B464" t="inlineStr">
        <is>
          <t>M1</t>
        </is>
      </c>
      <c r="C464" t="inlineStr">
        <is>
          <t>Cali</t>
        </is>
      </c>
      <c r="D464" t="inlineStr">
        <is>
          <t>1398</t>
        </is>
      </c>
      <c r="E464" t="inlineStr">
        <is>
          <t>pagado</t>
        </is>
      </c>
      <c r="F464" s="23" t="n">
        <v>46277</v>
      </c>
      <c r="G464" s="24">
        <f>F464-DATE(2026,8,31)</f>
        <v>12</v>
      </c>
      <c r="H464" s="25" t="n">
        <v>83057418</v>
      </c>
      <c r="I464" t="inlineStr">
        <is>
          <t>entidad-dia</t>
        </is>
      </c>
    </row>
    <row r="465">
      <c r="A465" t="inlineStr">
        <is>
          <t>PRAGMA</t>
        </is>
      </c>
      <c r="B465" t="inlineStr">
        <is>
          <t>M1</t>
        </is>
      </c>
      <c r="C465" t="inlineStr">
        <is>
          <t>Cali</t>
        </is>
      </c>
      <c r="D465" t="inlineStr">
        <is>
          <t>1398</t>
        </is>
      </c>
      <c r="E465" t="inlineStr">
        <is>
          <t>pagado</t>
        </is>
      </c>
      <c r="F465" s="23" t="n">
        <v>46278</v>
      </c>
      <c r="G465" s="24">
        <f>F465-DATE(2026,8,31)</f>
        <v>13</v>
      </c>
      <c r="H465" s="25" t="n">
        <v>55827729</v>
      </c>
      <c r="I465" t="inlineStr">
        <is>
          <t>entidad-dia</t>
        </is>
      </c>
    </row>
    <row r="466">
      <c r="A466" t="inlineStr">
        <is>
          <t>PRAGMA</t>
        </is>
      </c>
      <c r="B466" t="inlineStr">
        <is>
          <t>M1</t>
        </is>
      </c>
      <c r="C466" t="inlineStr">
        <is>
          <t>Cali</t>
        </is>
      </c>
      <c r="D466" t="inlineStr">
        <is>
          <t>1398</t>
        </is>
      </c>
      <c r="E466" t="inlineStr">
        <is>
          <t>pagado</t>
        </is>
      </c>
      <c r="F466" s="23" t="n">
        <v>46279</v>
      </c>
      <c r="G466" s="24">
        <f>F466-DATE(2026,8,31)</f>
        <v>14</v>
      </c>
      <c r="H466" s="25" t="n">
        <v>81131953</v>
      </c>
      <c r="I466" t="inlineStr">
        <is>
          <t>entidad-dia</t>
        </is>
      </c>
    </row>
    <row r="467">
      <c r="A467" t="inlineStr">
        <is>
          <t>PRAGMA</t>
        </is>
      </c>
      <c r="B467" t="inlineStr">
        <is>
          <t>M1</t>
        </is>
      </c>
      <c r="C467" t="inlineStr">
        <is>
          <t>Cali</t>
        </is>
      </c>
      <c r="D467" t="inlineStr">
        <is>
          <t>1398</t>
        </is>
      </c>
      <c r="E467" t="inlineStr">
        <is>
          <t>pagado</t>
        </is>
      </c>
      <c r="F467" s="23" t="n">
        <v>46280</v>
      </c>
      <c r="G467" s="24">
        <f>F467-DATE(2026,8,31)</f>
        <v>15</v>
      </c>
      <c r="H467" s="25" t="n">
        <v>110277344</v>
      </c>
      <c r="I467" t="inlineStr">
        <is>
          <t>entidad-dia</t>
        </is>
      </c>
    </row>
    <row r="468">
      <c r="A468" t="inlineStr">
        <is>
          <t>PRAGMA</t>
        </is>
      </c>
      <c r="B468" t="inlineStr">
        <is>
          <t>M1</t>
        </is>
      </c>
      <c r="C468" t="inlineStr">
        <is>
          <t>Cali</t>
        </is>
      </c>
      <c r="D468" t="inlineStr">
        <is>
          <t>1399</t>
        </is>
      </c>
      <c r="E468" t="inlineStr">
        <is>
          <t>pagado</t>
        </is>
      </c>
      <c r="F468" s="23" t="n">
        <v>46266</v>
      </c>
      <c r="G468" s="24">
        <f>F468-DATE(2026,8,31)</f>
        <v>1</v>
      </c>
      <c r="H468" s="25" t="n">
        <v>148060564</v>
      </c>
      <c r="I468" t="inlineStr">
        <is>
          <t>entidad-dia</t>
        </is>
      </c>
    </row>
    <row r="469">
      <c r="A469" t="inlineStr">
        <is>
          <t>PRAGMA</t>
        </is>
      </c>
      <c r="B469" t="inlineStr">
        <is>
          <t>M1</t>
        </is>
      </c>
      <c r="C469" t="inlineStr">
        <is>
          <t>Cali</t>
        </is>
      </c>
      <c r="D469" t="inlineStr">
        <is>
          <t>1399</t>
        </is>
      </c>
      <c r="E469" t="inlineStr">
        <is>
          <t>pagado</t>
        </is>
      </c>
      <c r="F469" s="23" t="n">
        <v>46267</v>
      </c>
      <c r="G469" s="24">
        <f>F469-DATE(2026,8,31)</f>
        <v>2</v>
      </c>
      <c r="H469" s="25" t="n">
        <v>104295103</v>
      </c>
      <c r="I469" t="inlineStr">
        <is>
          <t>entidad-dia</t>
        </is>
      </c>
    </row>
    <row r="470">
      <c r="A470" t="inlineStr">
        <is>
          <t>PRAGMA</t>
        </is>
      </c>
      <c r="B470" t="inlineStr">
        <is>
          <t>M1</t>
        </is>
      </c>
      <c r="C470" t="inlineStr">
        <is>
          <t>Cali</t>
        </is>
      </c>
      <c r="D470" t="inlineStr">
        <is>
          <t>1399</t>
        </is>
      </c>
      <c r="E470" t="inlineStr">
        <is>
          <t>pagado</t>
        </is>
      </c>
      <c r="F470" s="23" t="n">
        <v>46268</v>
      </c>
      <c r="G470" s="24">
        <f>F470-DATE(2026,8,31)</f>
        <v>3</v>
      </c>
      <c r="H470" s="25" t="n">
        <v>95735577</v>
      </c>
      <c r="I470" t="inlineStr">
        <is>
          <t>entidad-dia</t>
        </is>
      </c>
    </row>
    <row r="471">
      <c r="A471" t="inlineStr">
        <is>
          <t>PRAGMA</t>
        </is>
      </c>
      <c r="B471" t="inlineStr">
        <is>
          <t>M1</t>
        </is>
      </c>
      <c r="C471" t="inlineStr">
        <is>
          <t>Cali</t>
        </is>
      </c>
      <c r="D471" t="inlineStr">
        <is>
          <t>1399</t>
        </is>
      </c>
      <c r="E471" t="inlineStr">
        <is>
          <t>pagado</t>
        </is>
      </c>
      <c r="F471" s="23" t="n">
        <v>46269</v>
      </c>
      <c r="G471" s="24">
        <f>F471-DATE(2026,8,31)</f>
        <v>4</v>
      </c>
      <c r="H471" s="25" t="n">
        <v>99778323</v>
      </c>
      <c r="I471" t="inlineStr">
        <is>
          <t>entidad-dia</t>
        </is>
      </c>
    </row>
    <row r="472">
      <c r="A472" t="inlineStr">
        <is>
          <t>PRAGMA</t>
        </is>
      </c>
      <c r="B472" t="inlineStr">
        <is>
          <t>M1</t>
        </is>
      </c>
      <c r="C472" t="inlineStr">
        <is>
          <t>Cali</t>
        </is>
      </c>
      <c r="D472" t="inlineStr">
        <is>
          <t>1399</t>
        </is>
      </c>
      <c r="E472" t="inlineStr">
        <is>
          <t>pagado</t>
        </is>
      </c>
      <c r="F472" s="23" t="n">
        <v>46270</v>
      </c>
      <c r="G472" s="24">
        <f>F472-DATE(2026,8,31)</f>
        <v>5</v>
      </c>
      <c r="H472" s="25" t="n">
        <v>105317670</v>
      </c>
      <c r="I472" t="inlineStr">
        <is>
          <t>entidad-dia</t>
        </is>
      </c>
    </row>
    <row r="473">
      <c r="A473" t="inlineStr">
        <is>
          <t>PRAGMA</t>
        </is>
      </c>
      <c r="B473" t="inlineStr">
        <is>
          <t>M1</t>
        </is>
      </c>
      <c r="C473" t="inlineStr">
        <is>
          <t>Cali</t>
        </is>
      </c>
      <c r="D473" t="inlineStr">
        <is>
          <t>1399</t>
        </is>
      </c>
      <c r="E473" t="inlineStr">
        <is>
          <t>pagado</t>
        </is>
      </c>
      <c r="F473" s="23" t="n">
        <v>46271</v>
      </c>
      <c r="G473" s="24">
        <f>F473-DATE(2026,8,31)</f>
        <v>6</v>
      </c>
      <c r="H473" s="25" t="n">
        <v>71127979</v>
      </c>
      <c r="I473" t="inlineStr">
        <is>
          <t>entidad-dia</t>
        </is>
      </c>
    </row>
    <row r="474">
      <c r="A474" t="inlineStr">
        <is>
          <t>PRAGMA</t>
        </is>
      </c>
      <c r="B474" t="inlineStr">
        <is>
          <t>M1</t>
        </is>
      </c>
      <c r="C474" t="inlineStr">
        <is>
          <t>Cali</t>
        </is>
      </c>
      <c r="D474" t="inlineStr">
        <is>
          <t>1399</t>
        </is>
      </c>
      <c r="E474" t="inlineStr">
        <is>
          <t>pagado</t>
        </is>
      </c>
      <c r="F474" s="23" t="n">
        <v>46272</v>
      </c>
      <c r="G474" s="24">
        <f>F474-DATE(2026,8,31)</f>
        <v>7</v>
      </c>
      <c r="H474" s="25" t="n">
        <v>65704703</v>
      </c>
      <c r="I474" t="inlineStr">
        <is>
          <t>entidad-dia</t>
        </is>
      </c>
    </row>
    <row r="475">
      <c r="A475" t="inlineStr">
        <is>
          <t>PRAGMA</t>
        </is>
      </c>
      <c r="B475" t="inlineStr">
        <is>
          <t>M1</t>
        </is>
      </c>
      <c r="C475" t="inlineStr">
        <is>
          <t>Cali</t>
        </is>
      </c>
      <c r="D475" t="inlineStr">
        <is>
          <t>1399</t>
        </is>
      </c>
      <c r="E475" t="inlineStr">
        <is>
          <t>pagado</t>
        </is>
      </c>
      <c r="F475" s="23" t="n">
        <v>46273</v>
      </c>
      <c r="G475" s="24">
        <f>F475-DATE(2026,8,31)</f>
        <v>8</v>
      </c>
      <c r="H475" s="25" t="n">
        <v>63419019</v>
      </c>
      <c r="I475" t="inlineStr">
        <is>
          <t>entidad-dia</t>
        </is>
      </c>
    </row>
    <row r="476">
      <c r="A476" t="inlineStr">
        <is>
          <t>PRAGMA</t>
        </is>
      </c>
      <c r="B476" t="inlineStr">
        <is>
          <t>M1</t>
        </is>
      </c>
      <c r="C476" t="inlineStr">
        <is>
          <t>Cali</t>
        </is>
      </c>
      <c r="D476" t="inlineStr">
        <is>
          <t>1399</t>
        </is>
      </c>
      <c r="E476" t="inlineStr">
        <is>
          <t>pagado</t>
        </is>
      </c>
      <c r="F476" s="23" t="n">
        <v>46274</v>
      </c>
      <c r="G476" s="24">
        <f>F476-DATE(2026,8,31)</f>
        <v>9</v>
      </c>
      <c r="H476" s="25" t="n">
        <v>58227494</v>
      </c>
      <c r="I476" t="inlineStr">
        <is>
          <t>entidad-dia</t>
        </is>
      </c>
    </row>
    <row r="477">
      <c r="A477" t="inlineStr">
        <is>
          <t>PRAGMA</t>
        </is>
      </c>
      <c r="B477" t="inlineStr">
        <is>
          <t>M1</t>
        </is>
      </c>
      <c r="C477" t="inlineStr">
        <is>
          <t>Cali</t>
        </is>
      </c>
      <c r="D477" t="inlineStr">
        <is>
          <t>1399</t>
        </is>
      </c>
      <c r="E477" t="inlineStr">
        <is>
          <t>pagado</t>
        </is>
      </c>
      <c r="F477" s="23" t="n">
        <v>46275</v>
      </c>
      <c r="G477" s="24">
        <f>F477-DATE(2026,8,31)</f>
        <v>10</v>
      </c>
      <c r="H477" s="25" t="n">
        <v>59434598</v>
      </c>
      <c r="I477" t="inlineStr">
        <is>
          <t>entidad-dia</t>
        </is>
      </c>
    </row>
    <row r="478">
      <c r="A478" t="inlineStr">
        <is>
          <t>PRAGMA</t>
        </is>
      </c>
      <c r="B478" t="inlineStr">
        <is>
          <t>M1</t>
        </is>
      </c>
      <c r="C478" t="inlineStr">
        <is>
          <t>Cali</t>
        </is>
      </c>
      <c r="D478" t="inlineStr">
        <is>
          <t>1399</t>
        </is>
      </c>
      <c r="E478" t="inlineStr">
        <is>
          <t>pagado</t>
        </is>
      </c>
      <c r="F478" s="23" t="n">
        <v>46276</v>
      </c>
      <c r="G478" s="24">
        <f>F478-DATE(2026,8,31)</f>
        <v>11</v>
      </c>
      <c r="H478" s="25" t="n">
        <v>59934016</v>
      </c>
      <c r="I478" t="inlineStr">
        <is>
          <t>entidad-dia</t>
        </is>
      </c>
    </row>
    <row r="479">
      <c r="A479" t="inlineStr">
        <is>
          <t>PRAGMA</t>
        </is>
      </c>
      <c r="B479" t="inlineStr">
        <is>
          <t>M1</t>
        </is>
      </c>
      <c r="C479" t="inlineStr">
        <is>
          <t>Cali</t>
        </is>
      </c>
      <c r="D479" t="inlineStr">
        <is>
          <t>1399</t>
        </is>
      </c>
      <c r="E479" t="inlineStr">
        <is>
          <t>pagado</t>
        </is>
      </c>
      <c r="F479" s="23" t="n">
        <v>46277</v>
      </c>
      <c r="G479" s="24">
        <f>F479-DATE(2026,8,31)</f>
        <v>12</v>
      </c>
      <c r="H479" s="25" t="n">
        <v>83820734</v>
      </c>
      <c r="I479" t="inlineStr">
        <is>
          <t>entidad-dia</t>
        </is>
      </c>
    </row>
    <row r="480">
      <c r="A480" t="inlineStr">
        <is>
          <t>PRAGMA</t>
        </is>
      </c>
      <c r="B480" t="inlineStr">
        <is>
          <t>M1</t>
        </is>
      </c>
      <c r="C480" t="inlineStr">
        <is>
          <t>Cali</t>
        </is>
      </c>
      <c r="D480" t="inlineStr">
        <is>
          <t>1399</t>
        </is>
      </c>
      <c r="E480" t="inlineStr">
        <is>
          <t>pagado</t>
        </is>
      </c>
      <c r="F480" s="23" t="n">
        <v>46278</v>
      </c>
      <c r="G480" s="24">
        <f>F480-DATE(2026,8,31)</f>
        <v>13</v>
      </c>
      <c r="H480" s="25" t="n">
        <v>51813420</v>
      </c>
      <c r="I480" t="inlineStr">
        <is>
          <t>entidad-dia</t>
        </is>
      </c>
    </row>
    <row r="481">
      <c r="A481" t="inlineStr">
        <is>
          <t>PRAGMA</t>
        </is>
      </c>
      <c r="B481" t="inlineStr">
        <is>
          <t>M1</t>
        </is>
      </c>
      <c r="C481" t="inlineStr">
        <is>
          <t>Cali</t>
        </is>
      </c>
      <c r="D481" t="inlineStr">
        <is>
          <t>1399</t>
        </is>
      </c>
      <c r="E481" t="inlineStr">
        <is>
          <t>pagado</t>
        </is>
      </c>
      <c r="F481" s="23" t="n">
        <v>46279</v>
      </c>
      <c r="G481" s="24">
        <f>F481-DATE(2026,8,31)</f>
        <v>14</v>
      </c>
      <c r="H481" s="25" t="n">
        <v>65169530</v>
      </c>
      <c r="I481" t="inlineStr">
        <is>
          <t>entidad-dia</t>
        </is>
      </c>
    </row>
    <row r="482">
      <c r="A482" t="inlineStr">
        <is>
          <t>PRAGMA</t>
        </is>
      </c>
      <c r="B482" t="inlineStr">
        <is>
          <t>M1</t>
        </is>
      </c>
      <c r="C482" t="inlineStr">
        <is>
          <t>Cali</t>
        </is>
      </c>
      <c r="D482" t="inlineStr">
        <is>
          <t>1399</t>
        </is>
      </c>
      <c r="E482" t="inlineStr">
        <is>
          <t>pagado</t>
        </is>
      </c>
      <c r="F482" s="23" t="n">
        <v>46280</v>
      </c>
      <c r="G482" s="24">
        <f>F482-DATE(2026,8,31)</f>
        <v>15</v>
      </c>
      <c r="H482" s="25" t="n">
        <v>101702426</v>
      </c>
      <c r="I482" t="inlineStr">
        <is>
          <t>entidad-dia</t>
        </is>
      </c>
    </row>
    <row r="483">
      <c r="A483" t="inlineStr">
        <is>
          <t>PRAGMA</t>
        </is>
      </c>
      <c r="B483" t="inlineStr">
        <is>
          <t>M1</t>
        </is>
      </c>
      <c r="C483" t="inlineStr">
        <is>
          <t>Cali</t>
        </is>
      </c>
      <c r="D483" t="inlineStr">
        <is>
          <t>1400</t>
        </is>
      </c>
      <c r="E483" t="inlineStr">
        <is>
          <t>pagado</t>
        </is>
      </c>
      <c r="F483" s="23" t="n">
        <v>46266</v>
      </c>
      <c r="G483" s="24">
        <f>F483-DATE(2026,8,31)</f>
        <v>1</v>
      </c>
      <c r="H483" s="25" t="n">
        <v>79395640</v>
      </c>
      <c r="I483" t="inlineStr">
        <is>
          <t>entidad-dia</t>
        </is>
      </c>
    </row>
    <row r="484">
      <c r="A484" t="inlineStr">
        <is>
          <t>PRAGMA</t>
        </is>
      </c>
      <c r="B484" t="inlineStr">
        <is>
          <t>M1</t>
        </is>
      </c>
      <c r="C484" t="inlineStr">
        <is>
          <t>Cali</t>
        </is>
      </c>
      <c r="D484" t="inlineStr">
        <is>
          <t>1400</t>
        </is>
      </c>
      <c r="E484" t="inlineStr">
        <is>
          <t>pagado</t>
        </is>
      </c>
      <c r="F484" s="23" t="n">
        <v>46267</v>
      </c>
      <c r="G484" s="24">
        <f>F484-DATE(2026,8,31)</f>
        <v>2</v>
      </c>
      <c r="H484" s="25" t="n">
        <v>55574999</v>
      </c>
      <c r="I484" t="inlineStr">
        <is>
          <t>entidad-dia</t>
        </is>
      </c>
    </row>
    <row r="485">
      <c r="A485" t="inlineStr">
        <is>
          <t>PRAGMA</t>
        </is>
      </c>
      <c r="B485" t="inlineStr">
        <is>
          <t>M1</t>
        </is>
      </c>
      <c r="C485" t="inlineStr">
        <is>
          <t>Cali</t>
        </is>
      </c>
      <c r="D485" t="inlineStr">
        <is>
          <t>1400</t>
        </is>
      </c>
      <c r="E485" t="inlineStr">
        <is>
          <t>pagado</t>
        </is>
      </c>
      <c r="F485" s="23" t="n">
        <v>46268</v>
      </c>
      <c r="G485" s="24">
        <f>F485-DATE(2026,8,31)</f>
        <v>3</v>
      </c>
      <c r="H485" s="25" t="n">
        <v>42361622</v>
      </c>
      <c r="I485" t="inlineStr">
        <is>
          <t>entidad-dia</t>
        </is>
      </c>
    </row>
    <row r="486">
      <c r="A486" t="inlineStr">
        <is>
          <t>PRAGMA</t>
        </is>
      </c>
      <c r="B486" t="inlineStr">
        <is>
          <t>M1</t>
        </is>
      </c>
      <c r="C486" t="inlineStr">
        <is>
          <t>Cali</t>
        </is>
      </c>
      <c r="D486" t="inlineStr">
        <is>
          <t>1400</t>
        </is>
      </c>
      <c r="E486" t="inlineStr">
        <is>
          <t>pagado</t>
        </is>
      </c>
      <c r="F486" s="23" t="n">
        <v>46269</v>
      </c>
      <c r="G486" s="24">
        <f>F486-DATE(2026,8,31)</f>
        <v>4</v>
      </c>
      <c r="H486" s="25" t="n">
        <v>43744619</v>
      </c>
      <c r="I486" t="inlineStr">
        <is>
          <t>entidad-dia</t>
        </is>
      </c>
    </row>
    <row r="487">
      <c r="A487" t="inlineStr">
        <is>
          <t>PRAGMA</t>
        </is>
      </c>
      <c r="B487" t="inlineStr">
        <is>
          <t>M1</t>
        </is>
      </c>
      <c r="C487" t="inlineStr">
        <is>
          <t>Cali</t>
        </is>
      </c>
      <c r="D487" t="inlineStr">
        <is>
          <t>1400</t>
        </is>
      </c>
      <c r="E487" t="inlineStr">
        <is>
          <t>pagado</t>
        </is>
      </c>
      <c r="F487" s="23" t="n">
        <v>46270</v>
      </c>
      <c r="G487" s="24">
        <f>F487-DATE(2026,8,31)</f>
        <v>5</v>
      </c>
      <c r="H487" s="25" t="n">
        <v>49857639</v>
      </c>
      <c r="I487" t="inlineStr">
        <is>
          <t>entidad-dia</t>
        </is>
      </c>
    </row>
    <row r="488">
      <c r="A488" t="inlineStr">
        <is>
          <t>PRAGMA</t>
        </is>
      </c>
      <c r="B488" t="inlineStr">
        <is>
          <t>M1</t>
        </is>
      </c>
      <c r="C488" t="inlineStr">
        <is>
          <t>Cali</t>
        </is>
      </c>
      <c r="D488" t="inlineStr">
        <is>
          <t>1400</t>
        </is>
      </c>
      <c r="E488" t="inlineStr">
        <is>
          <t>pagado</t>
        </is>
      </c>
      <c r="F488" s="23" t="n">
        <v>46271</v>
      </c>
      <c r="G488" s="24">
        <f>F488-DATE(2026,8,31)</f>
        <v>6</v>
      </c>
      <c r="H488" s="25" t="n">
        <v>35365616</v>
      </c>
      <c r="I488" t="inlineStr">
        <is>
          <t>entidad-dia</t>
        </is>
      </c>
    </row>
    <row r="489">
      <c r="A489" t="inlineStr">
        <is>
          <t>PRAGMA</t>
        </is>
      </c>
      <c r="B489" t="inlineStr">
        <is>
          <t>M1</t>
        </is>
      </c>
      <c r="C489" t="inlineStr">
        <is>
          <t>Cali</t>
        </is>
      </c>
      <c r="D489" t="inlineStr">
        <is>
          <t>1400</t>
        </is>
      </c>
      <c r="E489" t="inlineStr">
        <is>
          <t>pagado</t>
        </is>
      </c>
      <c r="F489" s="23" t="n">
        <v>46272</v>
      </c>
      <c r="G489" s="24">
        <f>F489-DATE(2026,8,31)</f>
        <v>7</v>
      </c>
      <c r="H489" s="25" t="n">
        <v>34371744</v>
      </c>
      <c r="I489" t="inlineStr">
        <is>
          <t>entidad-dia</t>
        </is>
      </c>
    </row>
    <row r="490">
      <c r="A490" t="inlineStr">
        <is>
          <t>PRAGMA</t>
        </is>
      </c>
      <c r="B490" t="inlineStr">
        <is>
          <t>M1</t>
        </is>
      </c>
      <c r="C490" t="inlineStr">
        <is>
          <t>Cali</t>
        </is>
      </c>
      <c r="D490" t="inlineStr">
        <is>
          <t>1400</t>
        </is>
      </c>
      <c r="E490" t="inlineStr">
        <is>
          <t>pagado</t>
        </is>
      </c>
      <c r="F490" s="23" t="n">
        <v>46273</v>
      </c>
      <c r="G490" s="24">
        <f>F490-DATE(2026,8,31)</f>
        <v>8</v>
      </c>
      <c r="H490" s="25" t="n">
        <v>29824942</v>
      </c>
      <c r="I490" t="inlineStr">
        <is>
          <t>entidad-dia</t>
        </is>
      </c>
    </row>
    <row r="491">
      <c r="A491" t="inlineStr">
        <is>
          <t>PRAGMA</t>
        </is>
      </c>
      <c r="B491" t="inlineStr">
        <is>
          <t>M1</t>
        </is>
      </c>
      <c r="C491" t="inlineStr">
        <is>
          <t>Cali</t>
        </is>
      </c>
      <c r="D491" t="inlineStr">
        <is>
          <t>1400</t>
        </is>
      </c>
      <c r="E491" t="inlineStr">
        <is>
          <t>pagado</t>
        </is>
      </c>
      <c r="F491" s="23" t="n">
        <v>46274</v>
      </c>
      <c r="G491" s="24">
        <f>F491-DATE(2026,8,31)</f>
        <v>9</v>
      </c>
      <c r="H491" s="25" t="n">
        <v>31988083</v>
      </c>
      <c r="I491" t="inlineStr">
        <is>
          <t>entidad-dia</t>
        </is>
      </c>
    </row>
    <row r="492">
      <c r="A492" t="inlineStr">
        <is>
          <t>PRAGMA</t>
        </is>
      </c>
      <c r="B492" t="inlineStr">
        <is>
          <t>M1</t>
        </is>
      </c>
      <c r="C492" t="inlineStr">
        <is>
          <t>Cali</t>
        </is>
      </c>
      <c r="D492" t="inlineStr">
        <is>
          <t>1400</t>
        </is>
      </c>
      <c r="E492" t="inlineStr">
        <is>
          <t>pagado</t>
        </is>
      </c>
      <c r="F492" s="23" t="n">
        <v>46275</v>
      </c>
      <c r="G492" s="24">
        <f>F492-DATE(2026,8,31)</f>
        <v>10</v>
      </c>
      <c r="H492" s="25" t="n">
        <v>26699187</v>
      </c>
      <c r="I492" t="inlineStr">
        <is>
          <t>entidad-dia</t>
        </is>
      </c>
    </row>
    <row r="493">
      <c r="A493" t="inlineStr">
        <is>
          <t>PRAGMA</t>
        </is>
      </c>
      <c r="B493" t="inlineStr">
        <is>
          <t>M1</t>
        </is>
      </c>
      <c r="C493" t="inlineStr">
        <is>
          <t>Cali</t>
        </is>
      </c>
      <c r="D493" t="inlineStr">
        <is>
          <t>1400</t>
        </is>
      </c>
      <c r="E493" t="inlineStr">
        <is>
          <t>pagado</t>
        </is>
      </c>
      <c r="F493" s="23" t="n">
        <v>46276</v>
      </c>
      <c r="G493" s="24">
        <f>F493-DATE(2026,8,31)</f>
        <v>11</v>
      </c>
      <c r="H493" s="25" t="n">
        <v>30446874</v>
      </c>
      <c r="I493" t="inlineStr">
        <is>
          <t>entidad-dia</t>
        </is>
      </c>
    </row>
    <row r="494">
      <c r="A494" t="inlineStr">
        <is>
          <t>PRAGMA</t>
        </is>
      </c>
      <c r="B494" t="inlineStr">
        <is>
          <t>M1</t>
        </is>
      </c>
      <c r="C494" t="inlineStr">
        <is>
          <t>Cali</t>
        </is>
      </c>
      <c r="D494" t="inlineStr">
        <is>
          <t>1400</t>
        </is>
      </c>
      <c r="E494" t="inlineStr">
        <is>
          <t>pagado</t>
        </is>
      </c>
      <c r="F494" s="23" t="n">
        <v>46277</v>
      </c>
      <c r="G494" s="24">
        <f>F494-DATE(2026,8,31)</f>
        <v>12</v>
      </c>
      <c r="H494" s="25" t="n">
        <v>31915713</v>
      </c>
      <c r="I494" t="inlineStr">
        <is>
          <t>entidad-dia</t>
        </is>
      </c>
    </row>
    <row r="495">
      <c r="A495" t="inlineStr">
        <is>
          <t>PRAGMA</t>
        </is>
      </c>
      <c r="B495" t="inlineStr">
        <is>
          <t>M1</t>
        </is>
      </c>
      <c r="C495" t="inlineStr">
        <is>
          <t>Cali</t>
        </is>
      </c>
      <c r="D495" t="inlineStr">
        <is>
          <t>1400</t>
        </is>
      </c>
      <c r="E495" t="inlineStr">
        <is>
          <t>pagado</t>
        </is>
      </c>
      <c r="F495" s="23" t="n">
        <v>46278</v>
      </c>
      <c r="G495" s="24">
        <f>F495-DATE(2026,8,31)</f>
        <v>13</v>
      </c>
      <c r="H495" s="25" t="n">
        <v>25536456</v>
      </c>
      <c r="I495" t="inlineStr">
        <is>
          <t>entidad-dia</t>
        </is>
      </c>
    </row>
    <row r="496">
      <c r="A496" t="inlineStr">
        <is>
          <t>PRAGMA</t>
        </is>
      </c>
      <c r="B496" t="inlineStr">
        <is>
          <t>M1</t>
        </is>
      </c>
      <c r="C496" t="inlineStr">
        <is>
          <t>Cali</t>
        </is>
      </c>
      <c r="D496" t="inlineStr">
        <is>
          <t>1400</t>
        </is>
      </c>
      <c r="E496" t="inlineStr">
        <is>
          <t>pagado</t>
        </is>
      </c>
      <c r="F496" s="23" t="n">
        <v>46279</v>
      </c>
      <c r="G496" s="24">
        <f>F496-DATE(2026,8,31)</f>
        <v>14</v>
      </c>
      <c r="H496" s="25" t="n">
        <v>36276005</v>
      </c>
      <c r="I496" t="inlineStr">
        <is>
          <t>entidad-dia</t>
        </is>
      </c>
    </row>
    <row r="497">
      <c r="A497" t="inlineStr">
        <is>
          <t>PRAGMA</t>
        </is>
      </c>
      <c r="B497" t="inlineStr">
        <is>
          <t>M1</t>
        </is>
      </c>
      <c r="C497" t="inlineStr">
        <is>
          <t>Cali</t>
        </is>
      </c>
      <c r="D497" t="inlineStr">
        <is>
          <t>1400</t>
        </is>
      </c>
      <c r="E497" t="inlineStr">
        <is>
          <t>pagado</t>
        </is>
      </c>
      <c r="F497" s="23" t="n">
        <v>46280</v>
      </c>
      <c r="G497" s="24">
        <f>F497-DATE(2026,8,31)</f>
        <v>15</v>
      </c>
      <c r="H497" s="25" t="n">
        <v>55473698</v>
      </c>
      <c r="I497" t="inlineStr">
        <is>
          <t>entidad-dia</t>
        </is>
      </c>
    </row>
    <row r="498">
      <c r="A498" t="inlineStr">
        <is>
          <t>PRAGMA</t>
        </is>
      </c>
      <c r="B498" t="inlineStr">
        <is>
          <t>M1</t>
        </is>
      </c>
      <c r="C498" t="inlineStr">
        <is>
          <t>Cali</t>
        </is>
      </c>
      <c r="D498" t="inlineStr">
        <is>
          <t>1476</t>
        </is>
      </c>
      <c r="E498" t="inlineStr">
        <is>
          <t>pagado</t>
        </is>
      </c>
      <c r="F498" s="23" t="n">
        <v>46266</v>
      </c>
      <c r="G498" s="24">
        <f>F498-DATE(2026,8,31)</f>
        <v>1</v>
      </c>
      <c r="H498" s="25" t="n">
        <v>78434218</v>
      </c>
      <c r="I498" t="inlineStr">
        <is>
          <t>entidad-dia</t>
        </is>
      </c>
    </row>
    <row r="499">
      <c r="A499" t="inlineStr">
        <is>
          <t>PRAGMA</t>
        </is>
      </c>
      <c r="B499" t="inlineStr">
        <is>
          <t>M1</t>
        </is>
      </c>
      <c r="C499" t="inlineStr">
        <is>
          <t>Cali</t>
        </is>
      </c>
      <c r="D499" t="inlineStr">
        <is>
          <t>1476</t>
        </is>
      </c>
      <c r="E499" t="inlineStr">
        <is>
          <t>pagado</t>
        </is>
      </c>
      <c r="F499" s="23" t="n">
        <v>46267</v>
      </c>
      <c r="G499" s="24">
        <f>F499-DATE(2026,8,31)</f>
        <v>2</v>
      </c>
      <c r="H499" s="25" t="n">
        <v>57953937</v>
      </c>
      <c r="I499" t="inlineStr">
        <is>
          <t>entidad-dia</t>
        </is>
      </c>
    </row>
    <row r="500">
      <c r="A500" t="inlineStr">
        <is>
          <t>PRAGMA</t>
        </is>
      </c>
      <c r="B500" t="inlineStr">
        <is>
          <t>M1</t>
        </is>
      </c>
      <c r="C500" t="inlineStr">
        <is>
          <t>Cali</t>
        </is>
      </c>
      <c r="D500" t="inlineStr">
        <is>
          <t>1476</t>
        </is>
      </c>
      <c r="E500" t="inlineStr">
        <is>
          <t>pagado</t>
        </is>
      </c>
      <c r="F500" s="23" t="n">
        <v>46268</v>
      </c>
      <c r="G500" s="24">
        <f>F500-DATE(2026,8,31)</f>
        <v>3</v>
      </c>
      <c r="H500" s="25" t="n">
        <v>37364531</v>
      </c>
      <c r="I500" t="inlineStr">
        <is>
          <t>entidad-dia</t>
        </is>
      </c>
    </row>
    <row r="501">
      <c r="A501" t="inlineStr">
        <is>
          <t>PRAGMA</t>
        </is>
      </c>
      <c r="B501" t="inlineStr">
        <is>
          <t>M1</t>
        </is>
      </c>
      <c r="C501" t="inlineStr">
        <is>
          <t>Cali</t>
        </is>
      </c>
      <c r="D501" t="inlineStr">
        <is>
          <t>1476</t>
        </is>
      </c>
      <c r="E501" t="inlineStr">
        <is>
          <t>pagado</t>
        </is>
      </c>
      <c r="F501" s="23" t="n">
        <v>46269</v>
      </c>
      <c r="G501" s="24">
        <f>F501-DATE(2026,8,31)</f>
        <v>4</v>
      </c>
      <c r="H501" s="25" t="n">
        <v>41859053</v>
      </c>
      <c r="I501" t="inlineStr">
        <is>
          <t>entidad-dia</t>
        </is>
      </c>
    </row>
    <row r="502">
      <c r="A502" t="inlineStr">
        <is>
          <t>PRAGMA</t>
        </is>
      </c>
      <c r="B502" t="inlineStr">
        <is>
          <t>M1</t>
        </is>
      </c>
      <c r="C502" t="inlineStr">
        <is>
          <t>Cali</t>
        </is>
      </c>
      <c r="D502" t="inlineStr">
        <is>
          <t>1476</t>
        </is>
      </c>
      <c r="E502" t="inlineStr">
        <is>
          <t>pagado</t>
        </is>
      </c>
      <c r="F502" s="23" t="n">
        <v>46270</v>
      </c>
      <c r="G502" s="24">
        <f>F502-DATE(2026,8,31)</f>
        <v>5</v>
      </c>
      <c r="H502" s="25" t="n">
        <v>45361543</v>
      </c>
      <c r="I502" t="inlineStr">
        <is>
          <t>entidad-dia</t>
        </is>
      </c>
    </row>
    <row r="503">
      <c r="A503" t="inlineStr">
        <is>
          <t>PRAGMA</t>
        </is>
      </c>
      <c r="B503" t="inlineStr">
        <is>
          <t>M1</t>
        </is>
      </c>
      <c r="C503" t="inlineStr">
        <is>
          <t>Cali</t>
        </is>
      </c>
      <c r="D503" t="inlineStr">
        <is>
          <t>1476</t>
        </is>
      </c>
      <c r="E503" t="inlineStr">
        <is>
          <t>pagado</t>
        </is>
      </c>
      <c r="F503" s="23" t="n">
        <v>46271</v>
      </c>
      <c r="G503" s="24">
        <f>F503-DATE(2026,8,31)</f>
        <v>6</v>
      </c>
      <c r="H503" s="25" t="n">
        <v>35450125</v>
      </c>
      <c r="I503" t="inlineStr">
        <is>
          <t>entidad-dia</t>
        </is>
      </c>
    </row>
    <row r="504">
      <c r="A504" t="inlineStr">
        <is>
          <t>PRAGMA</t>
        </is>
      </c>
      <c r="B504" t="inlineStr">
        <is>
          <t>M1</t>
        </is>
      </c>
      <c r="C504" t="inlineStr">
        <is>
          <t>Cali</t>
        </is>
      </c>
      <c r="D504" t="inlineStr">
        <is>
          <t>1476</t>
        </is>
      </c>
      <c r="E504" t="inlineStr">
        <is>
          <t>pagado</t>
        </is>
      </c>
      <c r="F504" s="23" t="n">
        <v>46272</v>
      </c>
      <c r="G504" s="24">
        <f>F504-DATE(2026,8,31)</f>
        <v>7</v>
      </c>
      <c r="H504" s="25" t="n">
        <v>37712905</v>
      </c>
      <c r="I504" t="inlineStr">
        <is>
          <t>entidad-dia</t>
        </is>
      </c>
    </row>
    <row r="505">
      <c r="A505" t="inlineStr">
        <is>
          <t>PRAGMA</t>
        </is>
      </c>
      <c r="B505" t="inlineStr">
        <is>
          <t>M1</t>
        </is>
      </c>
      <c r="C505" t="inlineStr">
        <is>
          <t>Cali</t>
        </is>
      </c>
      <c r="D505" t="inlineStr">
        <is>
          <t>1476</t>
        </is>
      </c>
      <c r="E505" t="inlineStr">
        <is>
          <t>pagado</t>
        </is>
      </c>
      <c r="F505" s="23" t="n">
        <v>46273</v>
      </c>
      <c r="G505" s="24">
        <f>F505-DATE(2026,8,31)</f>
        <v>8</v>
      </c>
      <c r="H505" s="25" t="n">
        <v>33145539</v>
      </c>
      <c r="I505" t="inlineStr">
        <is>
          <t>entidad-dia</t>
        </is>
      </c>
    </row>
    <row r="506">
      <c r="A506" t="inlineStr">
        <is>
          <t>PRAGMA</t>
        </is>
      </c>
      <c r="B506" t="inlineStr">
        <is>
          <t>M1</t>
        </is>
      </c>
      <c r="C506" t="inlineStr">
        <is>
          <t>Cali</t>
        </is>
      </c>
      <c r="D506" t="inlineStr">
        <is>
          <t>1476</t>
        </is>
      </c>
      <c r="E506" t="inlineStr">
        <is>
          <t>pagado</t>
        </is>
      </c>
      <c r="F506" s="23" t="n">
        <v>46274</v>
      </c>
      <c r="G506" s="24">
        <f>F506-DATE(2026,8,31)</f>
        <v>9</v>
      </c>
      <c r="H506" s="25" t="n">
        <v>31014269</v>
      </c>
      <c r="I506" t="inlineStr">
        <is>
          <t>entidad-dia</t>
        </is>
      </c>
    </row>
    <row r="507">
      <c r="A507" t="inlineStr">
        <is>
          <t>PRAGMA</t>
        </is>
      </c>
      <c r="B507" t="inlineStr">
        <is>
          <t>M1</t>
        </is>
      </c>
      <c r="C507" t="inlineStr">
        <is>
          <t>Cali</t>
        </is>
      </c>
      <c r="D507" t="inlineStr">
        <is>
          <t>1476</t>
        </is>
      </c>
      <c r="E507" t="inlineStr">
        <is>
          <t>pagado</t>
        </is>
      </c>
      <c r="F507" s="23" t="n">
        <v>46275</v>
      </c>
      <c r="G507" s="24">
        <f>F507-DATE(2026,8,31)</f>
        <v>10</v>
      </c>
      <c r="H507" s="25" t="n">
        <v>26718345</v>
      </c>
      <c r="I507" t="inlineStr">
        <is>
          <t>entidad-dia</t>
        </is>
      </c>
    </row>
    <row r="508">
      <c r="A508" t="inlineStr">
        <is>
          <t>PRAGMA</t>
        </is>
      </c>
      <c r="B508" t="inlineStr">
        <is>
          <t>M1</t>
        </is>
      </c>
      <c r="C508" t="inlineStr">
        <is>
          <t>Cali</t>
        </is>
      </c>
      <c r="D508" t="inlineStr">
        <is>
          <t>1476</t>
        </is>
      </c>
      <c r="E508" t="inlineStr">
        <is>
          <t>pagado</t>
        </is>
      </c>
      <c r="F508" s="23" t="n">
        <v>46276</v>
      </c>
      <c r="G508" s="24">
        <f>F508-DATE(2026,8,31)</f>
        <v>11</v>
      </c>
      <c r="H508" s="25" t="n">
        <v>26474865</v>
      </c>
      <c r="I508" t="inlineStr">
        <is>
          <t>entidad-dia</t>
        </is>
      </c>
    </row>
    <row r="509">
      <c r="A509" t="inlineStr">
        <is>
          <t>PRAGMA</t>
        </is>
      </c>
      <c r="B509" t="inlineStr">
        <is>
          <t>M1</t>
        </is>
      </c>
      <c r="C509" t="inlineStr">
        <is>
          <t>Cali</t>
        </is>
      </c>
      <c r="D509" t="inlineStr">
        <is>
          <t>1476</t>
        </is>
      </c>
      <c r="E509" t="inlineStr">
        <is>
          <t>pagado</t>
        </is>
      </c>
      <c r="F509" s="23" t="n">
        <v>46277</v>
      </c>
      <c r="G509" s="24">
        <f>F509-DATE(2026,8,31)</f>
        <v>12</v>
      </c>
      <c r="H509" s="25" t="n">
        <v>33900473</v>
      </c>
      <c r="I509" t="inlineStr">
        <is>
          <t>entidad-dia</t>
        </is>
      </c>
    </row>
    <row r="510">
      <c r="A510" t="inlineStr">
        <is>
          <t>PRAGMA</t>
        </is>
      </c>
      <c r="B510" t="inlineStr">
        <is>
          <t>M1</t>
        </is>
      </c>
      <c r="C510" t="inlineStr">
        <is>
          <t>Cali</t>
        </is>
      </c>
      <c r="D510" t="inlineStr">
        <is>
          <t>1476</t>
        </is>
      </c>
      <c r="E510" t="inlineStr">
        <is>
          <t>pagado</t>
        </is>
      </c>
      <c r="F510" s="23" t="n">
        <v>46278</v>
      </c>
      <c r="G510" s="24">
        <f>F510-DATE(2026,8,31)</f>
        <v>13</v>
      </c>
      <c r="H510" s="25" t="n">
        <v>25602350</v>
      </c>
      <c r="I510" t="inlineStr">
        <is>
          <t>entidad-dia</t>
        </is>
      </c>
    </row>
    <row r="511">
      <c r="A511" t="inlineStr">
        <is>
          <t>PRAGMA</t>
        </is>
      </c>
      <c r="B511" t="inlineStr">
        <is>
          <t>M1</t>
        </is>
      </c>
      <c r="C511" t="inlineStr">
        <is>
          <t>Cali</t>
        </is>
      </c>
      <c r="D511" t="inlineStr">
        <is>
          <t>1476</t>
        </is>
      </c>
      <c r="E511" t="inlineStr">
        <is>
          <t>pagado</t>
        </is>
      </c>
      <c r="F511" s="23" t="n">
        <v>46279</v>
      </c>
      <c r="G511" s="24">
        <f>F511-DATE(2026,8,31)</f>
        <v>14</v>
      </c>
      <c r="H511" s="25" t="n">
        <v>34189072</v>
      </c>
      <c r="I511" t="inlineStr">
        <is>
          <t>entidad-dia</t>
        </is>
      </c>
    </row>
    <row r="512">
      <c r="A512" t="inlineStr">
        <is>
          <t>PRAGMA</t>
        </is>
      </c>
      <c r="B512" t="inlineStr">
        <is>
          <t>M1</t>
        </is>
      </c>
      <c r="C512" t="inlineStr">
        <is>
          <t>Cali</t>
        </is>
      </c>
      <c r="D512" t="inlineStr">
        <is>
          <t>1476</t>
        </is>
      </c>
      <c r="E512" t="inlineStr">
        <is>
          <t>pagado</t>
        </is>
      </c>
      <c r="F512" s="23" t="n">
        <v>46280</v>
      </c>
      <c r="G512" s="24">
        <f>F512-DATE(2026,8,31)</f>
        <v>15</v>
      </c>
      <c r="H512" s="25" t="n">
        <v>46436439</v>
      </c>
      <c r="I512" t="inlineStr">
        <is>
          <t>entidad-dia</t>
        </is>
      </c>
    </row>
    <row r="513">
      <c r="A513" t="inlineStr">
        <is>
          <t>PRAGMA</t>
        </is>
      </c>
      <c r="B513" t="inlineStr">
        <is>
          <t>M1</t>
        </is>
      </c>
      <c r="C513" t="inlineStr">
        <is>
          <t>Cali</t>
        </is>
      </c>
      <c r="D513" t="inlineStr">
        <is>
          <t>1477</t>
        </is>
      </c>
      <c r="E513" t="inlineStr">
        <is>
          <t>pagado</t>
        </is>
      </c>
      <c r="F513" s="23" t="n">
        <v>46266</v>
      </c>
      <c r="G513" s="24">
        <f>F513-DATE(2026,8,31)</f>
        <v>1</v>
      </c>
      <c r="H513" s="25" t="n">
        <v>96533980</v>
      </c>
      <c r="I513" t="inlineStr">
        <is>
          <t>entidad-dia</t>
        </is>
      </c>
    </row>
    <row r="514">
      <c r="A514" t="inlineStr">
        <is>
          <t>PRAGMA</t>
        </is>
      </c>
      <c r="B514" t="inlineStr">
        <is>
          <t>M1</t>
        </is>
      </c>
      <c r="C514" t="inlineStr">
        <is>
          <t>Cali</t>
        </is>
      </c>
      <c r="D514" t="inlineStr">
        <is>
          <t>1477</t>
        </is>
      </c>
      <c r="E514" t="inlineStr">
        <is>
          <t>pagado</t>
        </is>
      </c>
      <c r="F514" s="23" t="n">
        <v>46267</v>
      </c>
      <c r="G514" s="24">
        <f>F514-DATE(2026,8,31)</f>
        <v>2</v>
      </c>
      <c r="H514" s="25" t="n">
        <v>69287995</v>
      </c>
      <c r="I514" t="inlineStr">
        <is>
          <t>entidad-dia</t>
        </is>
      </c>
    </row>
    <row r="515">
      <c r="A515" t="inlineStr">
        <is>
          <t>PRAGMA</t>
        </is>
      </c>
      <c r="B515" t="inlineStr">
        <is>
          <t>M1</t>
        </is>
      </c>
      <c r="C515" t="inlineStr">
        <is>
          <t>Cali</t>
        </is>
      </c>
      <c r="D515" t="inlineStr">
        <is>
          <t>1477</t>
        </is>
      </c>
      <c r="E515" t="inlineStr">
        <is>
          <t>pagado</t>
        </is>
      </c>
      <c r="F515" s="23" t="n">
        <v>46268</v>
      </c>
      <c r="G515" s="24">
        <f>F515-DATE(2026,8,31)</f>
        <v>3</v>
      </c>
      <c r="H515" s="25" t="n">
        <v>58522407</v>
      </c>
      <c r="I515" t="inlineStr">
        <is>
          <t>entidad-dia</t>
        </is>
      </c>
    </row>
    <row r="516">
      <c r="A516" t="inlineStr">
        <is>
          <t>PRAGMA</t>
        </is>
      </c>
      <c r="B516" t="inlineStr">
        <is>
          <t>M1</t>
        </is>
      </c>
      <c r="C516" t="inlineStr">
        <is>
          <t>Cali</t>
        </is>
      </c>
      <c r="D516" t="inlineStr">
        <is>
          <t>1477</t>
        </is>
      </c>
      <c r="E516" t="inlineStr">
        <is>
          <t>pagado</t>
        </is>
      </c>
      <c r="F516" s="23" t="n">
        <v>46269</v>
      </c>
      <c r="G516" s="24">
        <f>F516-DATE(2026,8,31)</f>
        <v>4</v>
      </c>
      <c r="H516" s="25" t="n">
        <v>54822298</v>
      </c>
      <c r="I516" t="inlineStr">
        <is>
          <t>entidad-dia</t>
        </is>
      </c>
    </row>
    <row r="517">
      <c r="A517" t="inlineStr">
        <is>
          <t>PRAGMA</t>
        </is>
      </c>
      <c r="B517" t="inlineStr">
        <is>
          <t>M1</t>
        </is>
      </c>
      <c r="C517" t="inlineStr">
        <is>
          <t>Cali</t>
        </is>
      </c>
      <c r="D517" t="inlineStr">
        <is>
          <t>1477</t>
        </is>
      </c>
      <c r="E517" t="inlineStr">
        <is>
          <t>pagado</t>
        </is>
      </c>
      <c r="F517" s="23" t="n">
        <v>46270</v>
      </c>
      <c r="G517" s="24">
        <f>F517-DATE(2026,8,31)</f>
        <v>5</v>
      </c>
      <c r="H517" s="25" t="n">
        <v>60667535</v>
      </c>
      <c r="I517" t="inlineStr">
        <is>
          <t>entidad-dia</t>
        </is>
      </c>
    </row>
    <row r="518">
      <c r="A518" t="inlineStr">
        <is>
          <t>PRAGMA</t>
        </is>
      </c>
      <c r="B518" t="inlineStr">
        <is>
          <t>M1</t>
        </is>
      </c>
      <c r="C518" t="inlineStr">
        <is>
          <t>Cali</t>
        </is>
      </c>
      <c r="D518" t="inlineStr">
        <is>
          <t>1477</t>
        </is>
      </c>
      <c r="E518" t="inlineStr">
        <is>
          <t>pagado</t>
        </is>
      </c>
      <c r="F518" s="23" t="n">
        <v>46271</v>
      </c>
      <c r="G518" s="24">
        <f>F518-DATE(2026,8,31)</f>
        <v>6</v>
      </c>
      <c r="H518" s="25" t="n">
        <v>50218748</v>
      </c>
      <c r="I518" t="inlineStr">
        <is>
          <t>entidad-dia</t>
        </is>
      </c>
    </row>
    <row r="519">
      <c r="A519" t="inlineStr">
        <is>
          <t>PRAGMA</t>
        </is>
      </c>
      <c r="B519" t="inlineStr">
        <is>
          <t>M1</t>
        </is>
      </c>
      <c r="C519" t="inlineStr">
        <is>
          <t>Cali</t>
        </is>
      </c>
      <c r="D519" t="inlineStr">
        <is>
          <t>1477</t>
        </is>
      </c>
      <c r="E519" t="inlineStr">
        <is>
          <t>pagado</t>
        </is>
      </c>
      <c r="F519" s="23" t="n">
        <v>46272</v>
      </c>
      <c r="G519" s="24">
        <f>F519-DATE(2026,8,31)</f>
        <v>7</v>
      </c>
      <c r="H519" s="25" t="n">
        <v>47096930</v>
      </c>
      <c r="I519" t="inlineStr">
        <is>
          <t>entidad-dia</t>
        </is>
      </c>
    </row>
    <row r="520">
      <c r="A520" t="inlineStr">
        <is>
          <t>PRAGMA</t>
        </is>
      </c>
      <c r="B520" t="inlineStr">
        <is>
          <t>M1</t>
        </is>
      </c>
      <c r="C520" t="inlineStr">
        <is>
          <t>Cali</t>
        </is>
      </c>
      <c r="D520" t="inlineStr">
        <is>
          <t>1477</t>
        </is>
      </c>
      <c r="E520" t="inlineStr">
        <is>
          <t>pagado</t>
        </is>
      </c>
      <c r="F520" s="23" t="n">
        <v>46273</v>
      </c>
      <c r="G520" s="24">
        <f>F520-DATE(2026,8,31)</f>
        <v>8</v>
      </c>
      <c r="H520" s="25" t="n">
        <v>44792484</v>
      </c>
      <c r="I520" t="inlineStr">
        <is>
          <t>entidad-dia</t>
        </is>
      </c>
    </row>
    <row r="521">
      <c r="A521" t="inlineStr">
        <is>
          <t>PRAGMA</t>
        </is>
      </c>
      <c r="B521" t="inlineStr">
        <is>
          <t>M1</t>
        </is>
      </c>
      <c r="C521" t="inlineStr">
        <is>
          <t>Cali</t>
        </is>
      </c>
      <c r="D521" t="inlineStr">
        <is>
          <t>1477</t>
        </is>
      </c>
      <c r="E521" t="inlineStr">
        <is>
          <t>pagado</t>
        </is>
      </c>
      <c r="F521" s="23" t="n">
        <v>46274</v>
      </c>
      <c r="G521" s="24">
        <f>F521-DATE(2026,8,31)</f>
        <v>9</v>
      </c>
      <c r="H521" s="25" t="n">
        <v>42257241</v>
      </c>
      <c r="I521" t="inlineStr">
        <is>
          <t>entidad-dia</t>
        </is>
      </c>
    </row>
    <row r="522">
      <c r="A522" t="inlineStr">
        <is>
          <t>PRAGMA</t>
        </is>
      </c>
      <c r="B522" t="inlineStr">
        <is>
          <t>M1</t>
        </is>
      </c>
      <c r="C522" t="inlineStr">
        <is>
          <t>Cali</t>
        </is>
      </c>
      <c r="D522" t="inlineStr">
        <is>
          <t>1477</t>
        </is>
      </c>
      <c r="E522" t="inlineStr">
        <is>
          <t>pagado</t>
        </is>
      </c>
      <c r="F522" s="23" t="n">
        <v>46275</v>
      </c>
      <c r="G522" s="24">
        <f>F522-DATE(2026,8,31)</f>
        <v>10</v>
      </c>
      <c r="H522" s="25" t="n">
        <v>37732133</v>
      </c>
      <c r="I522" t="inlineStr">
        <is>
          <t>entidad-dia</t>
        </is>
      </c>
    </row>
    <row r="523">
      <c r="A523" t="inlineStr">
        <is>
          <t>PRAGMA</t>
        </is>
      </c>
      <c r="B523" t="inlineStr">
        <is>
          <t>M1</t>
        </is>
      </c>
      <c r="C523" t="inlineStr">
        <is>
          <t>Cali</t>
        </is>
      </c>
      <c r="D523" t="inlineStr">
        <is>
          <t>1477</t>
        </is>
      </c>
      <c r="E523" t="inlineStr">
        <is>
          <t>pagado</t>
        </is>
      </c>
      <c r="F523" s="23" t="n">
        <v>46276</v>
      </c>
      <c r="G523" s="24">
        <f>F523-DATE(2026,8,31)</f>
        <v>11</v>
      </c>
      <c r="H523" s="25" t="n">
        <v>35865425</v>
      </c>
      <c r="I523" t="inlineStr">
        <is>
          <t>entidad-dia</t>
        </is>
      </c>
    </row>
    <row r="524">
      <c r="A524" t="inlineStr">
        <is>
          <t>PRAGMA</t>
        </is>
      </c>
      <c r="B524" t="inlineStr">
        <is>
          <t>M1</t>
        </is>
      </c>
      <c r="C524" t="inlineStr">
        <is>
          <t>Cali</t>
        </is>
      </c>
      <c r="D524" t="inlineStr">
        <is>
          <t>1477</t>
        </is>
      </c>
      <c r="E524" t="inlineStr">
        <is>
          <t>pagado</t>
        </is>
      </c>
      <c r="F524" s="23" t="n">
        <v>46277</v>
      </c>
      <c r="G524" s="24">
        <f>F524-DATE(2026,8,31)</f>
        <v>12</v>
      </c>
      <c r="H524" s="25" t="n">
        <v>47012877</v>
      </c>
      <c r="I524" t="inlineStr">
        <is>
          <t>entidad-dia</t>
        </is>
      </c>
    </row>
    <row r="525">
      <c r="A525" t="inlineStr">
        <is>
          <t>PRAGMA</t>
        </is>
      </c>
      <c r="B525" t="inlineStr">
        <is>
          <t>M1</t>
        </is>
      </c>
      <c r="C525" t="inlineStr">
        <is>
          <t>Cali</t>
        </is>
      </c>
      <c r="D525" t="inlineStr">
        <is>
          <t>1477</t>
        </is>
      </c>
      <c r="E525" t="inlineStr">
        <is>
          <t>pagado</t>
        </is>
      </c>
      <c r="F525" s="23" t="n">
        <v>46278</v>
      </c>
      <c r="G525" s="24">
        <f>F525-DATE(2026,8,31)</f>
        <v>13</v>
      </c>
      <c r="H525" s="25" t="n">
        <v>37325284</v>
      </c>
      <c r="I525" t="inlineStr">
        <is>
          <t>entidad-dia</t>
        </is>
      </c>
    </row>
    <row r="526">
      <c r="A526" t="inlineStr">
        <is>
          <t>PRAGMA</t>
        </is>
      </c>
      <c r="B526" t="inlineStr">
        <is>
          <t>M1</t>
        </is>
      </c>
      <c r="C526" t="inlineStr">
        <is>
          <t>Cali</t>
        </is>
      </c>
      <c r="D526" t="inlineStr">
        <is>
          <t>1477</t>
        </is>
      </c>
      <c r="E526" t="inlineStr">
        <is>
          <t>pagado</t>
        </is>
      </c>
      <c r="F526" s="23" t="n">
        <v>46279</v>
      </c>
      <c r="G526" s="24">
        <f>F526-DATE(2026,8,31)</f>
        <v>14</v>
      </c>
      <c r="H526" s="25" t="n">
        <v>44192160</v>
      </c>
      <c r="I526" t="inlineStr">
        <is>
          <t>entidad-dia</t>
        </is>
      </c>
    </row>
    <row r="527">
      <c r="A527" t="inlineStr">
        <is>
          <t>PRAGMA</t>
        </is>
      </c>
      <c r="B527" t="inlineStr">
        <is>
          <t>M1</t>
        </is>
      </c>
      <c r="C527" t="inlineStr">
        <is>
          <t>Cali</t>
        </is>
      </c>
      <c r="D527" t="inlineStr">
        <is>
          <t>1477</t>
        </is>
      </c>
      <c r="E527" t="inlineStr">
        <is>
          <t>pagado</t>
        </is>
      </c>
      <c r="F527" s="23" t="n">
        <v>46280</v>
      </c>
      <c r="G527" s="24">
        <f>F527-DATE(2026,8,31)</f>
        <v>15</v>
      </c>
      <c r="H527" s="25" t="n">
        <v>62097567</v>
      </c>
      <c r="I527" t="inlineStr">
        <is>
          <t>entidad-dia</t>
        </is>
      </c>
    </row>
    <row r="528">
      <c r="A528" t="inlineStr">
        <is>
          <t>PRAGMA</t>
        </is>
      </c>
      <c r="B528" t="inlineStr">
        <is>
          <t>M1</t>
        </is>
      </c>
      <c r="C528" t="inlineStr">
        <is>
          <t>Cali</t>
        </is>
      </c>
      <c r="D528" t="inlineStr">
        <is>
          <t>1479</t>
        </is>
      </c>
      <c r="E528" t="inlineStr">
        <is>
          <t>pagado</t>
        </is>
      </c>
      <c r="F528" s="23" t="n">
        <v>46266</v>
      </c>
      <c r="G528" s="24">
        <f>F528-DATE(2026,8,31)</f>
        <v>1</v>
      </c>
      <c r="H528" s="25" t="n">
        <v>52341407</v>
      </c>
      <c r="I528" t="inlineStr">
        <is>
          <t>entidad-dia</t>
        </is>
      </c>
    </row>
    <row r="529">
      <c r="A529" t="inlineStr">
        <is>
          <t>PRAGMA</t>
        </is>
      </c>
      <c r="B529" t="inlineStr">
        <is>
          <t>M1</t>
        </is>
      </c>
      <c r="C529" t="inlineStr">
        <is>
          <t>Cali</t>
        </is>
      </c>
      <c r="D529" t="inlineStr">
        <is>
          <t>1479</t>
        </is>
      </c>
      <c r="E529" t="inlineStr">
        <is>
          <t>pagado</t>
        </is>
      </c>
      <c r="F529" s="23" t="n">
        <v>46267</v>
      </c>
      <c r="G529" s="24">
        <f>F529-DATE(2026,8,31)</f>
        <v>2</v>
      </c>
      <c r="H529" s="25" t="n">
        <v>34285925</v>
      </c>
      <c r="I529" t="inlineStr">
        <is>
          <t>entidad-dia</t>
        </is>
      </c>
    </row>
    <row r="530">
      <c r="A530" t="inlineStr">
        <is>
          <t>PRAGMA</t>
        </is>
      </c>
      <c r="B530" t="inlineStr">
        <is>
          <t>M1</t>
        </is>
      </c>
      <c r="C530" t="inlineStr">
        <is>
          <t>Cali</t>
        </is>
      </c>
      <c r="D530" t="inlineStr">
        <is>
          <t>1479</t>
        </is>
      </c>
      <c r="E530" t="inlineStr">
        <is>
          <t>pagado</t>
        </is>
      </c>
      <c r="F530" s="23" t="n">
        <v>46268</v>
      </c>
      <c r="G530" s="24">
        <f>F530-DATE(2026,8,31)</f>
        <v>3</v>
      </c>
      <c r="H530" s="25" t="n">
        <v>29775082</v>
      </c>
      <c r="I530" t="inlineStr">
        <is>
          <t>entidad-dia</t>
        </is>
      </c>
    </row>
    <row r="531">
      <c r="A531" t="inlineStr">
        <is>
          <t>PRAGMA</t>
        </is>
      </c>
      <c r="B531" t="inlineStr">
        <is>
          <t>M1</t>
        </is>
      </c>
      <c r="C531" t="inlineStr">
        <is>
          <t>Cali</t>
        </is>
      </c>
      <c r="D531" t="inlineStr">
        <is>
          <t>1479</t>
        </is>
      </c>
      <c r="E531" t="inlineStr">
        <is>
          <t>pagado</t>
        </is>
      </c>
      <c r="F531" s="23" t="n">
        <v>46269</v>
      </c>
      <c r="G531" s="24">
        <f>F531-DATE(2026,8,31)</f>
        <v>4</v>
      </c>
      <c r="H531" s="25" t="n">
        <v>36489607</v>
      </c>
      <c r="I531" t="inlineStr">
        <is>
          <t>entidad-dia</t>
        </is>
      </c>
    </row>
    <row r="532">
      <c r="A532" t="inlineStr">
        <is>
          <t>PRAGMA</t>
        </is>
      </c>
      <c r="B532" t="inlineStr">
        <is>
          <t>M1</t>
        </is>
      </c>
      <c r="C532" t="inlineStr">
        <is>
          <t>Cali</t>
        </is>
      </c>
      <c r="D532" t="inlineStr">
        <is>
          <t>1479</t>
        </is>
      </c>
      <c r="E532" t="inlineStr">
        <is>
          <t>pagado</t>
        </is>
      </c>
      <c r="F532" s="23" t="n">
        <v>46270</v>
      </c>
      <c r="G532" s="24">
        <f>F532-DATE(2026,8,31)</f>
        <v>5</v>
      </c>
      <c r="H532" s="25" t="n">
        <v>35782560</v>
      </c>
      <c r="I532" t="inlineStr">
        <is>
          <t>entidad-dia</t>
        </is>
      </c>
    </row>
    <row r="533">
      <c r="A533" t="inlineStr">
        <is>
          <t>PRAGMA</t>
        </is>
      </c>
      <c r="B533" t="inlineStr">
        <is>
          <t>M1</t>
        </is>
      </c>
      <c r="C533" t="inlineStr">
        <is>
          <t>Cali</t>
        </is>
      </c>
      <c r="D533" t="inlineStr">
        <is>
          <t>1479</t>
        </is>
      </c>
      <c r="E533" t="inlineStr">
        <is>
          <t>pagado</t>
        </is>
      </c>
      <c r="F533" s="23" t="n">
        <v>46271</v>
      </c>
      <c r="G533" s="24">
        <f>F533-DATE(2026,8,31)</f>
        <v>6</v>
      </c>
      <c r="H533" s="25" t="n">
        <v>27784181</v>
      </c>
      <c r="I533" t="inlineStr">
        <is>
          <t>entidad-dia</t>
        </is>
      </c>
    </row>
    <row r="534">
      <c r="A534" t="inlineStr">
        <is>
          <t>PRAGMA</t>
        </is>
      </c>
      <c r="B534" t="inlineStr">
        <is>
          <t>M1</t>
        </is>
      </c>
      <c r="C534" t="inlineStr">
        <is>
          <t>Cali</t>
        </is>
      </c>
      <c r="D534" t="inlineStr">
        <is>
          <t>1479</t>
        </is>
      </c>
      <c r="E534" t="inlineStr">
        <is>
          <t>pagado</t>
        </is>
      </c>
      <c r="F534" s="23" t="n">
        <v>46272</v>
      </c>
      <c r="G534" s="24">
        <f>F534-DATE(2026,8,31)</f>
        <v>7</v>
      </c>
      <c r="H534" s="25" t="n">
        <v>26846085</v>
      </c>
      <c r="I534" t="inlineStr">
        <is>
          <t>entidad-dia</t>
        </is>
      </c>
    </row>
    <row r="535">
      <c r="A535" t="inlineStr">
        <is>
          <t>PRAGMA</t>
        </is>
      </c>
      <c r="B535" t="inlineStr">
        <is>
          <t>M1</t>
        </is>
      </c>
      <c r="C535" t="inlineStr">
        <is>
          <t>Cali</t>
        </is>
      </c>
      <c r="D535" t="inlineStr">
        <is>
          <t>1479</t>
        </is>
      </c>
      <c r="E535" t="inlineStr">
        <is>
          <t>pagado</t>
        </is>
      </c>
      <c r="F535" s="23" t="n">
        <v>46273</v>
      </c>
      <c r="G535" s="24">
        <f>F535-DATE(2026,8,31)</f>
        <v>8</v>
      </c>
      <c r="H535" s="25" t="n">
        <v>24392083</v>
      </c>
      <c r="I535" t="inlineStr">
        <is>
          <t>entidad-dia</t>
        </is>
      </c>
    </row>
    <row r="536">
      <c r="A536" t="inlineStr">
        <is>
          <t>PRAGMA</t>
        </is>
      </c>
      <c r="B536" t="inlineStr">
        <is>
          <t>M1</t>
        </is>
      </c>
      <c r="C536" t="inlineStr">
        <is>
          <t>Cali</t>
        </is>
      </c>
      <c r="D536" t="inlineStr">
        <is>
          <t>1479</t>
        </is>
      </c>
      <c r="E536" t="inlineStr">
        <is>
          <t>pagado</t>
        </is>
      </c>
      <c r="F536" s="23" t="n">
        <v>46274</v>
      </c>
      <c r="G536" s="24">
        <f>F536-DATE(2026,8,31)</f>
        <v>9</v>
      </c>
      <c r="H536" s="25" t="n">
        <v>25300259</v>
      </c>
      <c r="I536" t="inlineStr">
        <is>
          <t>entidad-dia</t>
        </is>
      </c>
    </row>
    <row r="537">
      <c r="A537" t="inlineStr">
        <is>
          <t>PRAGMA</t>
        </is>
      </c>
      <c r="B537" t="inlineStr">
        <is>
          <t>M1</t>
        </is>
      </c>
      <c r="C537" t="inlineStr">
        <is>
          <t>Cali</t>
        </is>
      </c>
      <c r="D537" t="inlineStr">
        <is>
          <t>1479</t>
        </is>
      </c>
      <c r="E537" t="inlineStr">
        <is>
          <t>pagado</t>
        </is>
      </c>
      <c r="F537" s="23" t="n">
        <v>46275</v>
      </c>
      <c r="G537" s="24">
        <f>F537-DATE(2026,8,31)</f>
        <v>10</v>
      </c>
      <c r="H537" s="25" t="n">
        <v>24018388</v>
      </c>
      <c r="I537" t="inlineStr">
        <is>
          <t>entidad-dia</t>
        </is>
      </c>
    </row>
    <row r="538">
      <c r="A538" t="inlineStr">
        <is>
          <t>PRAGMA</t>
        </is>
      </c>
      <c r="B538" t="inlineStr">
        <is>
          <t>M1</t>
        </is>
      </c>
      <c r="C538" t="inlineStr">
        <is>
          <t>Cali</t>
        </is>
      </c>
      <c r="D538" t="inlineStr">
        <is>
          <t>1479</t>
        </is>
      </c>
      <c r="E538" t="inlineStr">
        <is>
          <t>pagado</t>
        </is>
      </c>
      <c r="F538" s="23" t="n">
        <v>46276</v>
      </c>
      <c r="G538" s="24">
        <f>F538-DATE(2026,8,31)</f>
        <v>11</v>
      </c>
      <c r="H538" s="25" t="n">
        <v>22977273</v>
      </c>
      <c r="I538" t="inlineStr">
        <is>
          <t>entidad-dia</t>
        </is>
      </c>
    </row>
    <row r="539">
      <c r="A539" t="inlineStr">
        <is>
          <t>PRAGMA</t>
        </is>
      </c>
      <c r="B539" t="inlineStr">
        <is>
          <t>M1</t>
        </is>
      </c>
      <c r="C539" t="inlineStr">
        <is>
          <t>Cali</t>
        </is>
      </c>
      <c r="D539" t="inlineStr">
        <is>
          <t>1479</t>
        </is>
      </c>
      <c r="E539" t="inlineStr">
        <is>
          <t>pagado</t>
        </is>
      </c>
      <c r="F539" s="23" t="n">
        <v>46277</v>
      </c>
      <c r="G539" s="24">
        <f>F539-DATE(2026,8,31)</f>
        <v>12</v>
      </c>
      <c r="H539" s="25" t="n">
        <v>29527357</v>
      </c>
      <c r="I539" t="inlineStr">
        <is>
          <t>entidad-dia</t>
        </is>
      </c>
    </row>
    <row r="540">
      <c r="A540" t="inlineStr">
        <is>
          <t>PRAGMA</t>
        </is>
      </c>
      <c r="B540" t="inlineStr">
        <is>
          <t>M1</t>
        </is>
      </c>
      <c r="C540" t="inlineStr">
        <is>
          <t>Cali</t>
        </is>
      </c>
      <c r="D540" t="inlineStr">
        <is>
          <t>1479</t>
        </is>
      </c>
      <c r="E540" t="inlineStr">
        <is>
          <t>pagado</t>
        </is>
      </c>
      <c r="F540" s="23" t="n">
        <v>46278</v>
      </c>
      <c r="G540" s="24">
        <f>F540-DATE(2026,8,31)</f>
        <v>13</v>
      </c>
      <c r="H540" s="25" t="n">
        <v>26307261</v>
      </c>
      <c r="I540" t="inlineStr">
        <is>
          <t>entidad-dia</t>
        </is>
      </c>
    </row>
    <row r="541">
      <c r="A541" t="inlineStr">
        <is>
          <t>PRAGMA</t>
        </is>
      </c>
      <c r="B541" t="inlineStr">
        <is>
          <t>M1</t>
        </is>
      </c>
      <c r="C541" t="inlineStr">
        <is>
          <t>Cali</t>
        </is>
      </c>
      <c r="D541" t="inlineStr">
        <is>
          <t>1479</t>
        </is>
      </c>
      <c r="E541" t="inlineStr">
        <is>
          <t>pagado</t>
        </is>
      </c>
      <c r="F541" s="23" t="n">
        <v>46279</v>
      </c>
      <c r="G541" s="24">
        <f>F541-DATE(2026,8,31)</f>
        <v>14</v>
      </c>
      <c r="H541" s="25" t="n">
        <v>23736725</v>
      </c>
      <c r="I541" t="inlineStr">
        <is>
          <t>entidad-dia</t>
        </is>
      </c>
    </row>
    <row r="542">
      <c r="A542" t="inlineStr">
        <is>
          <t>PRAGMA</t>
        </is>
      </c>
      <c r="B542" t="inlineStr">
        <is>
          <t>M1</t>
        </is>
      </c>
      <c r="C542" t="inlineStr">
        <is>
          <t>Cali</t>
        </is>
      </c>
      <c r="D542" t="inlineStr">
        <is>
          <t>1479</t>
        </is>
      </c>
      <c r="E542" t="inlineStr">
        <is>
          <t>pagado</t>
        </is>
      </c>
      <c r="F542" s="23" t="n">
        <v>46280</v>
      </c>
      <c r="G542" s="24">
        <f>F542-DATE(2026,8,31)</f>
        <v>15</v>
      </c>
      <c r="H542" s="25" t="n">
        <v>43555037</v>
      </c>
      <c r="I542" t="inlineStr">
        <is>
          <t>entidad-dia</t>
        </is>
      </c>
    </row>
    <row r="543">
      <c r="A543" t="inlineStr">
        <is>
          <t>PRAGMA</t>
        </is>
      </c>
      <c r="B543" t="inlineStr">
        <is>
          <t>M1</t>
        </is>
      </c>
      <c r="C543" t="inlineStr">
        <is>
          <t>Cali</t>
        </is>
      </c>
      <c r="D543" t="inlineStr">
        <is>
          <t>1480</t>
        </is>
      </c>
      <c r="E543" t="inlineStr">
        <is>
          <t>pagado</t>
        </is>
      </c>
      <c r="F543" s="23" t="n">
        <v>46266</v>
      </c>
      <c r="G543" s="24">
        <f>F543-DATE(2026,8,31)</f>
        <v>1</v>
      </c>
      <c r="H543" s="25" t="n">
        <v>0</v>
      </c>
      <c r="I543" t="inlineStr">
        <is>
          <t>entidad-dia</t>
        </is>
      </c>
    </row>
    <row r="544">
      <c r="A544" t="inlineStr">
        <is>
          <t>PRAGMA</t>
        </is>
      </c>
      <c r="B544" t="inlineStr">
        <is>
          <t>M1</t>
        </is>
      </c>
      <c r="C544" t="inlineStr">
        <is>
          <t>Cali</t>
        </is>
      </c>
      <c r="D544" t="inlineStr">
        <is>
          <t>1480</t>
        </is>
      </c>
      <c r="E544" t="inlineStr">
        <is>
          <t>pagado</t>
        </is>
      </c>
      <c r="F544" s="23" t="n">
        <v>46267</v>
      </c>
      <c r="G544" s="24">
        <f>F544-DATE(2026,8,31)</f>
        <v>2</v>
      </c>
      <c r="H544" s="25" t="n">
        <v>0</v>
      </c>
      <c r="I544" t="inlineStr">
        <is>
          <t>entidad-dia</t>
        </is>
      </c>
    </row>
    <row r="545">
      <c r="A545" t="inlineStr">
        <is>
          <t>PRAGMA</t>
        </is>
      </c>
      <c r="B545" t="inlineStr">
        <is>
          <t>M1</t>
        </is>
      </c>
      <c r="C545" t="inlineStr">
        <is>
          <t>Cali</t>
        </is>
      </c>
      <c r="D545" t="inlineStr">
        <is>
          <t>1480</t>
        </is>
      </c>
      <c r="E545" t="inlineStr">
        <is>
          <t>pagado</t>
        </is>
      </c>
      <c r="F545" s="23" t="n">
        <v>46268</v>
      </c>
      <c r="G545" s="24">
        <f>F545-DATE(2026,8,31)</f>
        <v>3</v>
      </c>
      <c r="H545" s="25" t="n">
        <v>0</v>
      </c>
      <c r="I545" t="inlineStr">
        <is>
          <t>entidad-dia</t>
        </is>
      </c>
    </row>
    <row r="546">
      <c r="A546" t="inlineStr">
        <is>
          <t>PRAGMA</t>
        </is>
      </c>
      <c r="B546" t="inlineStr">
        <is>
          <t>M1</t>
        </is>
      </c>
      <c r="C546" t="inlineStr">
        <is>
          <t>Cali</t>
        </is>
      </c>
      <c r="D546" t="inlineStr">
        <is>
          <t>1480</t>
        </is>
      </c>
      <c r="E546" t="inlineStr">
        <is>
          <t>pagado</t>
        </is>
      </c>
      <c r="F546" s="23" t="n">
        <v>46269</v>
      </c>
      <c r="G546" s="24">
        <f>F546-DATE(2026,8,31)</f>
        <v>4</v>
      </c>
      <c r="H546" s="25" t="n">
        <v>0</v>
      </c>
      <c r="I546" t="inlineStr">
        <is>
          <t>entidad-dia</t>
        </is>
      </c>
    </row>
    <row r="547">
      <c r="A547" t="inlineStr">
        <is>
          <t>PRAGMA</t>
        </is>
      </c>
      <c r="B547" t="inlineStr">
        <is>
          <t>M1</t>
        </is>
      </c>
      <c r="C547" t="inlineStr">
        <is>
          <t>Cali</t>
        </is>
      </c>
      <c r="D547" t="inlineStr">
        <is>
          <t>1480</t>
        </is>
      </c>
      <c r="E547" t="inlineStr">
        <is>
          <t>pagado</t>
        </is>
      </c>
      <c r="F547" s="23" t="n">
        <v>46270</v>
      </c>
      <c r="G547" s="24">
        <f>F547-DATE(2026,8,31)</f>
        <v>5</v>
      </c>
      <c r="H547" s="25" t="n">
        <v>0</v>
      </c>
      <c r="I547" t="inlineStr">
        <is>
          <t>entidad-dia</t>
        </is>
      </c>
    </row>
    <row r="548">
      <c r="A548" t="inlineStr">
        <is>
          <t>PRAGMA</t>
        </is>
      </c>
      <c r="B548" t="inlineStr">
        <is>
          <t>M1</t>
        </is>
      </c>
      <c r="C548" t="inlineStr">
        <is>
          <t>Cali</t>
        </is>
      </c>
      <c r="D548" t="inlineStr">
        <is>
          <t>1480</t>
        </is>
      </c>
      <c r="E548" t="inlineStr">
        <is>
          <t>pagado</t>
        </is>
      </c>
      <c r="F548" s="23" t="n">
        <v>46271</v>
      </c>
      <c r="G548" s="24">
        <f>F548-DATE(2026,8,31)</f>
        <v>6</v>
      </c>
      <c r="H548" s="25" t="n">
        <v>0</v>
      </c>
      <c r="I548" t="inlineStr">
        <is>
          <t>entidad-dia</t>
        </is>
      </c>
    </row>
    <row r="549">
      <c r="A549" t="inlineStr">
        <is>
          <t>PRAGMA</t>
        </is>
      </c>
      <c r="B549" t="inlineStr">
        <is>
          <t>M1</t>
        </is>
      </c>
      <c r="C549" t="inlineStr">
        <is>
          <t>Cali</t>
        </is>
      </c>
      <c r="D549" t="inlineStr">
        <is>
          <t>1480</t>
        </is>
      </c>
      <c r="E549" t="inlineStr">
        <is>
          <t>pagado</t>
        </is>
      </c>
      <c r="F549" s="23" t="n">
        <v>46272</v>
      </c>
      <c r="G549" s="24">
        <f>F549-DATE(2026,8,31)</f>
        <v>7</v>
      </c>
      <c r="H549" s="25" t="n">
        <v>0</v>
      </c>
      <c r="I549" t="inlineStr">
        <is>
          <t>entidad-dia</t>
        </is>
      </c>
    </row>
    <row r="550">
      <c r="A550" t="inlineStr">
        <is>
          <t>PRAGMA</t>
        </is>
      </c>
      <c r="B550" t="inlineStr">
        <is>
          <t>M1</t>
        </is>
      </c>
      <c r="C550" t="inlineStr">
        <is>
          <t>Cali</t>
        </is>
      </c>
      <c r="D550" t="inlineStr">
        <is>
          <t>1480</t>
        </is>
      </c>
      <c r="E550" t="inlineStr">
        <is>
          <t>pagado</t>
        </is>
      </c>
      <c r="F550" s="23" t="n">
        <v>46273</v>
      </c>
      <c r="G550" s="24">
        <f>F550-DATE(2026,8,31)</f>
        <v>8</v>
      </c>
      <c r="H550" s="25" t="n">
        <v>0</v>
      </c>
      <c r="I550" t="inlineStr">
        <is>
          <t>entidad-dia</t>
        </is>
      </c>
    </row>
    <row r="551">
      <c r="A551" t="inlineStr">
        <is>
          <t>PRAGMA</t>
        </is>
      </c>
      <c r="B551" t="inlineStr">
        <is>
          <t>M1</t>
        </is>
      </c>
      <c r="C551" t="inlineStr">
        <is>
          <t>Cali</t>
        </is>
      </c>
      <c r="D551" t="inlineStr">
        <is>
          <t>1480</t>
        </is>
      </c>
      <c r="E551" t="inlineStr">
        <is>
          <t>pagado</t>
        </is>
      </c>
      <c r="F551" s="23" t="n">
        <v>46274</v>
      </c>
      <c r="G551" s="24">
        <f>F551-DATE(2026,8,31)</f>
        <v>9</v>
      </c>
      <c r="H551" s="25" t="n">
        <v>0</v>
      </c>
      <c r="I551" t="inlineStr">
        <is>
          <t>entidad-dia</t>
        </is>
      </c>
    </row>
    <row r="552">
      <c r="A552" t="inlineStr">
        <is>
          <t>PRAGMA</t>
        </is>
      </c>
      <c r="B552" t="inlineStr">
        <is>
          <t>M1</t>
        </is>
      </c>
      <c r="C552" t="inlineStr">
        <is>
          <t>Cali</t>
        </is>
      </c>
      <c r="D552" t="inlineStr">
        <is>
          <t>1480</t>
        </is>
      </c>
      <c r="E552" t="inlineStr">
        <is>
          <t>pagado</t>
        </is>
      </c>
      <c r="F552" s="23" t="n">
        <v>46275</v>
      </c>
      <c r="G552" s="24">
        <f>F552-DATE(2026,8,31)</f>
        <v>10</v>
      </c>
      <c r="H552" s="25" t="n">
        <v>0</v>
      </c>
      <c r="I552" t="inlineStr">
        <is>
          <t>entidad-dia</t>
        </is>
      </c>
    </row>
    <row r="553">
      <c r="A553" t="inlineStr">
        <is>
          <t>PRAGMA</t>
        </is>
      </c>
      <c r="B553" t="inlineStr">
        <is>
          <t>M1</t>
        </is>
      </c>
      <c r="C553" t="inlineStr">
        <is>
          <t>Cali</t>
        </is>
      </c>
      <c r="D553" t="inlineStr">
        <is>
          <t>1480</t>
        </is>
      </c>
      <c r="E553" t="inlineStr">
        <is>
          <t>pagado</t>
        </is>
      </c>
      <c r="F553" s="23" t="n">
        <v>46276</v>
      </c>
      <c r="G553" s="24">
        <f>F553-DATE(2026,8,31)</f>
        <v>11</v>
      </c>
      <c r="H553" s="25" t="n">
        <v>0</v>
      </c>
      <c r="I553" t="inlineStr">
        <is>
          <t>entidad-dia</t>
        </is>
      </c>
    </row>
    <row r="554">
      <c r="A554" t="inlineStr">
        <is>
          <t>PRAGMA</t>
        </is>
      </c>
      <c r="B554" t="inlineStr">
        <is>
          <t>M1</t>
        </is>
      </c>
      <c r="C554" t="inlineStr">
        <is>
          <t>Cali</t>
        </is>
      </c>
      <c r="D554" t="inlineStr">
        <is>
          <t>1480</t>
        </is>
      </c>
      <c r="E554" t="inlineStr">
        <is>
          <t>pagado</t>
        </is>
      </c>
      <c r="F554" s="23" t="n">
        <v>46277</v>
      </c>
      <c r="G554" s="24">
        <f>F554-DATE(2026,8,31)</f>
        <v>12</v>
      </c>
      <c r="H554" s="25" t="n">
        <v>0</v>
      </c>
      <c r="I554" t="inlineStr">
        <is>
          <t>entidad-dia</t>
        </is>
      </c>
    </row>
    <row r="555">
      <c r="A555" t="inlineStr">
        <is>
          <t>PRAGMA</t>
        </is>
      </c>
      <c r="B555" t="inlineStr">
        <is>
          <t>M1</t>
        </is>
      </c>
      <c r="C555" t="inlineStr">
        <is>
          <t>Cali</t>
        </is>
      </c>
      <c r="D555" t="inlineStr">
        <is>
          <t>1480</t>
        </is>
      </c>
      <c r="E555" t="inlineStr">
        <is>
          <t>pagado</t>
        </is>
      </c>
      <c r="F555" s="23" t="n">
        <v>46278</v>
      </c>
      <c r="G555" s="24">
        <f>F555-DATE(2026,8,31)</f>
        <v>13</v>
      </c>
      <c r="H555" s="25" t="n">
        <v>0</v>
      </c>
      <c r="I555" t="inlineStr">
        <is>
          <t>entidad-dia</t>
        </is>
      </c>
    </row>
    <row r="556">
      <c r="A556" t="inlineStr">
        <is>
          <t>PRAGMA</t>
        </is>
      </c>
      <c r="B556" t="inlineStr">
        <is>
          <t>M1</t>
        </is>
      </c>
      <c r="C556" t="inlineStr">
        <is>
          <t>Cali</t>
        </is>
      </c>
      <c r="D556" t="inlineStr">
        <is>
          <t>1480</t>
        </is>
      </c>
      <c r="E556" t="inlineStr">
        <is>
          <t>pagado</t>
        </is>
      </c>
      <c r="F556" s="23" t="n">
        <v>46279</v>
      </c>
      <c r="G556" s="24">
        <f>F556-DATE(2026,8,31)</f>
        <v>14</v>
      </c>
      <c r="H556" s="25" t="n">
        <v>0</v>
      </c>
      <c r="I556" t="inlineStr">
        <is>
          <t>entidad-dia</t>
        </is>
      </c>
    </row>
    <row r="557">
      <c r="A557" t="inlineStr">
        <is>
          <t>PRAGMA</t>
        </is>
      </c>
      <c r="B557" t="inlineStr">
        <is>
          <t>M1</t>
        </is>
      </c>
      <c r="C557" t="inlineStr">
        <is>
          <t>Cali</t>
        </is>
      </c>
      <c r="D557" t="inlineStr">
        <is>
          <t>1480</t>
        </is>
      </c>
      <c r="E557" t="inlineStr">
        <is>
          <t>pagado</t>
        </is>
      </c>
      <c r="F557" s="23" t="n">
        <v>46280</v>
      </c>
      <c r="G557" s="24">
        <f>F557-DATE(2026,8,31)</f>
        <v>15</v>
      </c>
      <c r="H557" s="25" t="n">
        <v>0</v>
      </c>
      <c r="I557" t="inlineStr">
        <is>
          <t>entidad-dia</t>
        </is>
      </c>
    </row>
    <row r="558">
      <c r="A558" t="inlineStr">
        <is>
          <t>PRAGMA</t>
        </is>
      </c>
      <c r="B558" t="inlineStr">
        <is>
          <t>M1</t>
        </is>
      </c>
      <c r="C558" t="inlineStr">
        <is>
          <t>Cali</t>
        </is>
      </c>
      <c r="D558" t="inlineStr">
        <is>
          <t>1499</t>
        </is>
      </c>
      <c r="E558" t="inlineStr">
        <is>
          <t>pagado</t>
        </is>
      </c>
      <c r="F558" s="23" t="n">
        <v>46266</v>
      </c>
      <c r="G558" s="24">
        <f>F558-DATE(2026,8,31)</f>
        <v>1</v>
      </c>
      <c r="H558" s="25" t="n">
        <v>122935092</v>
      </c>
      <c r="I558" t="inlineStr">
        <is>
          <t>entidad-dia</t>
        </is>
      </c>
    </row>
    <row r="559">
      <c r="A559" t="inlineStr">
        <is>
          <t>PRAGMA</t>
        </is>
      </c>
      <c r="B559" t="inlineStr">
        <is>
          <t>M1</t>
        </is>
      </c>
      <c r="C559" t="inlineStr">
        <is>
          <t>Cali</t>
        </is>
      </c>
      <c r="D559" t="inlineStr">
        <is>
          <t>1499</t>
        </is>
      </c>
      <c r="E559" t="inlineStr">
        <is>
          <t>pagado</t>
        </is>
      </c>
      <c r="F559" s="23" t="n">
        <v>46267</v>
      </c>
      <c r="G559" s="24">
        <f>F559-DATE(2026,8,31)</f>
        <v>2</v>
      </c>
      <c r="H559" s="25" t="n">
        <v>71951778</v>
      </c>
      <c r="I559" t="inlineStr">
        <is>
          <t>entidad-dia</t>
        </is>
      </c>
    </row>
    <row r="560">
      <c r="A560" t="inlineStr">
        <is>
          <t>PRAGMA</t>
        </is>
      </c>
      <c r="B560" t="inlineStr">
        <is>
          <t>M1</t>
        </is>
      </c>
      <c r="C560" t="inlineStr">
        <is>
          <t>Cali</t>
        </is>
      </c>
      <c r="D560" t="inlineStr">
        <is>
          <t>1499</t>
        </is>
      </c>
      <c r="E560" t="inlineStr">
        <is>
          <t>pagado</t>
        </is>
      </c>
      <c r="F560" s="23" t="n">
        <v>46268</v>
      </c>
      <c r="G560" s="24">
        <f>F560-DATE(2026,8,31)</f>
        <v>3</v>
      </c>
      <c r="H560" s="25" t="n">
        <v>65898845</v>
      </c>
      <c r="I560" t="inlineStr">
        <is>
          <t>entidad-dia</t>
        </is>
      </c>
    </row>
    <row r="561">
      <c r="A561" t="inlineStr">
        <is>
          <t>PRAGMA</t>
        </is>
      </c>
      <c r="B561" t="inlineStr">
        <is>
          <t>M1</t>
        </is>
      </c>
      <c r="C561" t="inlineStr">
        <is>
          <t>Cali</t>
        </is>
      </c>
      <c r="D561" t="inlineStr">
        <is>
          <t>1499</t>
        </is>
      </c>
      <c r="E561" t="inlineStr">
        <is>
          <t>pagado</t>
        </is>
      </c>
      <c r="F561" s="23" t="n">
        <v>46269</v>
      </c>
      <c r="G561" s="24">
        <f>F561-DATE(2026,8,31)</f>
        <v>4</v>
      </c>
      <c r="H561" s="25" t="n">
        <v>68886371</v>
      </c>
      <c r="I561" t="inlineStr">
        <is>
          <t>entidad-dia</t>
        </is>
      </c>
    </row>
    <row r="562">
      <c r="A562" t="inlineStr">
        <is>
          <t>PRAGMA</t>
        </is>
      </c>
      <c r="B562" t="inlineStr">
        <is>
          <t>M1</t>
        </is>
      </c>
      <c r="C562" t="inlineStr">
        <is>
          <t>Cali</t>
        </is>
      </c>
      <c r="D562" t="inlineStr">
        <is>
          <t>1499</t>
        </is>
      </c>
      <c r="E562" t="inlineStr">
        <is>
          <t>pagado</t>
        </is>
      </c>
      <c r="F562" s="23" t="n">
        <v>46270</v>
      </c>
      <c r="G562" s="24">
        <f>F562-DATE(2026,8,31)</f>
        <v>5</v>
      </c>
      <c r="H562" s="25" t="n">
        <v>55984622</v>
      </c>
      <c r="I562" t="inlineStr">
        <is>
          <t>entidad-dia</t>
        </is>
      </c>
    </row>
    <row r="563">
      <c r="A563" t="inlineStr">
        <is>
          <t>PRAGMA</t>
        </is>
      </c>
      <c r="B563" t="inlineStr">
        <is>
          <t>M1</t>
        </is>
      </c>
      <c r="C563" t="inlineStr">
        <is>
          <t>Cali</t>
        </is>
      </c>
      <c r="D563" t="inlineStr">
        <is>
          <t>1499</t>
        </is>
      </c>
      <c r="E563" t="inlineStr">
        <is>
          <t>pagado</t>
        </is>
      </c>
      <c r="F563" s="23" t="n">
        <v>46271</v>
      </c>
      <c r="G563" s="24">
        <f>F563-DATE(2026,8,31)</f>
        <v>6</v>
      </c>
      <c r="H563" s="25" t="n">
        <v>18571443</v>
      </c>
      <c r="I563" t="inlineStr">
        <is>
          <t>entidad-dia</t>
        </is>
      </c>
    </row>
    <row r="564">
      <c r="A564" t="inlineStr">
        <is>
          <t>PRAGMA</t>
        </is>
      </c>
      <c r="B564" t="inlineStr">
        <is>
          <t>M1</t>
        </is>
      </c>
      <c r="C564" t="inlineStr">
        <is>
          <t>Cali</t>
        </is>
      </c>
      <c r="D564" t="inlineStr">
        <is>
          <t>1499</t>
        </is>
      </c>
      <c r="E564" t="inlineStr">
        <is>
          <t>pagado</t>
        </is>
      </c>
      <c r="F564" s="23" t="n">
        <v>46272</v>
      </c>
      <c r="G564" s="24">
        <f>F564-DATE(2026,8,31)</f>
        <v>7</v>
      </c>
      <c r="H564" s="25" t="n">
        <v>47375097</v>
      </c>
      <c r="I564" t="inlineStr">
        <is>
          <t>entidad-dia</t>
        </is>
      </c>
    </row>
    <row r="565">
      <c r="A565" t="inlineStr">
        <is>
          <t>PRAGMA</t>
        </is>
      </c>
      <c r="B565" t="inlineStr">
        <is>
          <t>M1</t>
        </is>
      </c>
      <c r="C565" t="inlineStr">
        <is>
          <t>Cali</t>
        </is>
      </c>
      <c r="D565" t="inlineStr">
        <is>
          <t>1499</t>
        </is>
      </c>
      <c r="E565" t="inlineStr">
        <is>
          <t>pagado</t>
        </is>
      </c>
      <c r="F565" s="23" t="n">
        <v>46273</v>
      </c>
      <c r="G565" s="24">
        <f>F565-DATE(2026,8,31)</f>
        <v>8</v>
      </c>
      <c r="H565" s="25" t="n">
        <v>42971773</v>
      </c>
      <c r="I565" t="inlineStr">
        <is>
          <t>entidad-dia</t>
        </is>
      </c>
    </row>
    <row r="566">
      <c r="A566" t="inlineStr">
        <is>
          <t>PRAGMA</t>
        </is>
      </c>
      <c r="B566" t="inlineStr">
        <is>
          <t>M1</t>
        </is>
      </c>
      <c r="C566" t="inlineStr">
        <is>
          <t>Cali</t>
        </is>
      </c>
      <c r="D566" t="inlineStr">
        <is>
          <t>1499</t>
        </is>
      </c>
      <c r="E566" t="inlineStr">
        <is>
          <t>pagado</t>
        </is>
      </c>
      <c r="F566" s="23" t="n">
        <v>46274</v>
      </c>
      <c r="G566" s="24">
        <f>F566-DATE(2026,8,31)</f>
        <v>9</v>
      </c>
      <c r="H566" s="25" t="n">
        <v>46333003</v>
      </c>
      <c r="I566" t="inlineStr">
        <is>
          <t>entidad-dia</t>
        </is>
      </c>
    </row>
    <row r="567">
      <c r="A567" t="inlineStr">
        <is>
          <t>PRAGMA</t>
        </is>
      </c>
      <c r="B567" t="inlineStr">
        <is>
          <t>M1</t>
        </is>
      </c>
      <c r="C567" t="inlineStr">
        <is>
          <t>Cali</t>
        </is>
      </c>
      <c r="D567" t="inlineStr">
        <is>
          <t>1499</t>
        </is>
      </c>
      <c r="E567" t="inlineStr">
        <is>
          <t>pagado</t>
        </is>
      </c>
      <c r="F567" s="23" t="n">
        <v>46275</v>
      </c>
      <c r="G567" s="24">
        <f>F567-DATE(2026,8,31)</f>
        <v>10</v>
      </c>
      <c r="H567" s="25" t="n">
        <v>37160697</v>
      </c>
      <c r="I567" t="inlineStr">
        <is>
          <t>entidad-dia</t>
        </is>
      </c>
    </row>
    <row r="568">
      <c r="A568" t="inlineStr">
        <is>
          <t>PRAGMA</t>
        </is>
      </c>
      <c r="B568" t="inlineStr">
        <is>
          <t>M1</t>
        </is>
      </c>
      <c r="C568" t="inlineStr">
        <is>
          <t>Cali</t>
        </is>
      </c>
      <c r="D568" t="inlineStr">
        <is>
          <t>1499</t>
        </is>
      </c>
      <c r="E568" t="inlineStr">
        <is>
          <t>pagado</t>
        </is>
      </c>
      <c r="F568" s="23" t="n">
        <v>46276</v>
      </c>
      <c r="G568" s="24">
        <f>F568-DATE(2026,8,31)</f>
        <v>11</v>
      </c>
      <c r="H568" s="25" t="n">
        <v>40891197</v>
      </c>
      <c r="I568" t="inlineStr">
        <is>
          <t>entidad-dia</t>
        </is>
      </c>
    </row>
    <row r="569">
      <c r="A569" t="inlineStr">
        <is>
          <t>PRAGMA</t>
        </is>
      </c>
      <c r="B569" t="inlineStr">
        <is>
          <t>M1</t>
        </is>
      </c>
      <c r="C569" t="inlineStr">
        <is>
          <t>Cali</t>
        </is>
      </c>
      <c r="D569" t="inlineStr">
        <is>
          <t>1499</t>
        </is>
      </c>
      <c r="E569" t="inlineStr">
        <is>
          <t>pagado</t>
        </is>
      </c>
      <c r="F569" s="23" t="n">
        <v>46277</v>
      </c>
      <c r="G569" s="24">
        <f>F569-DATE(2026,8,31)</f>
        <v>12</v>
      </c>
      <c r="H569" s="25" t="n">
        <v>36248576</v>
      </c>
      <c r="I569" t="inlineStr">
        <is>
          <t>entidad-dia</t>
        </is>
      </c>
    </row>
    <row r="570">
      <c r="A570" t="inlineStr">
        <is>
          <t>PRAGMA</t>
        </is>
      </c>
      <c r="B570" t="inlineStr">
        <is>
          <t>M1</t>
        </is>
      </c>
      <c r="C570" t="inlineStr">
        <is>
          <t>Cali</t>
        </is>
      </c>
      <c r="D570" t="inlineStr">
        <is>
          <t>1499</t>
        </is>
      </c>
      <c r="E570" t="inlineStr">
        <is>
          <t>pagado</t>
        </is>
      </c>
      <c r="F570" s="23" t="n">
        <v>46278</v>
      </c>
      <c r="G570" s="24">
        <f>F570-DATE(2026,8,31)</f>
        <v>13</v>
      </c>
      <c r="H570" s="25" t="n">
        <v>14401004</v>
      </c>
      <c r="I570" t="inlineStr">
        <is>
          <t>entidad-dia</t>
        </is>
      </c>
    </row>
    <row r="571">
      <c r="A571" t="inlineStr">
        <is>
          <t>PRAGMA</t>
        </is>
      </c>
      <c r="B571" t="inlineStr">
        <is>
          <t>M1</t>
        </is>
      </c>
      <c r="C571" t="inlineStr">
        <is>
          <t>Cali</t>
        </is>
      </c>
      <c r="D571" t="inlineStr">
        <is>
          <t>1499</t>
        </is>
      </c>
      <c r="E571" t="inlineStr">
        <is>
          <t>pagado</t>
        </is>
      </c>
      <c r="F571" s="23" t="n">
        <v>46279</v>
      </c>
      <c r="G571" s="24">
        <f>F571-DATE(2026,8,31)</f>
        <v>14</v>
      </c>
      <c r="H571" s="25" t="n">
        <v>47179956</v>
      </c>
      <c r="I571" t="inlineStr">
        <is>
          <t>entidad-dia</t>
        </is>
      </c>
    </row>
    <row r="572">
      <c r="A572" t="inlineStr">
        <is>
          <t>PRAGMA</t>
        </is>
      </c>
      <c r="B572" t="inlineStr">
        <is>
          <t>M1</t>
        </is>
      </c>
      <c r="C572" t="inlineStr">
        <is>
          <t>Cali</t>
        </is>
      </c>
      <c r="D572" t="inlineStr">
        <is>
          <t>1499</t>
        </is>
      </c>
      <c r="E572" t="inlineStr">
        <is>
          <t>pagado</t>
        </is>
      </c>
      <c r="F572" s="23" t="n">
        <v>46280</v>
      </c>
      <c r="G572" s="24">
        <f>F572-DATE(2026,8,31)</f>
        <v>15</v>
      </c>
      <c r="H572" s="25" t="n">
        <v>86997451</v>
      </c>
      <c r="I572" t="inlineStr">
        <is>
          <t>entidad-dia</t>
        </is>
      </c>
    </row>
    <row r="573">
      <c r="A573" t="inlineStr">
        <is>
          <t>PRAGMA</t>
        </is>
      </c>
      <c r="B573" t="inlineStr">
        <is>
          <t>M1</t>
        </is>
      </c>
      <c r="C573" t="inlineStr">
        <is>
          <t>Cali</t>
        </is>
      </c>
      <c r="D573" t="inlineStr">
        <is>
          <t>1500</t>
        </is>
      </c>
      <c r="E573" t="inlineStr">
        <is>
          <t>pagado</t>
        </is>
      </c>
      <c r="F573" s="23" t="n">
        <v>46266</v>
      </c>
      <c r="G573" s="24">
        <f>F573-DATE(2026,8,31)</f>
        <v>1</v>
      </c>
      <c r="H573" s="25" t="n">
        <v>104073632</v>
      </c>
      <c r="I573" t="inlineStr">
        <is>
          <t>entidad-dia</t>
        </is>
      </c>
    </row>
    <row r="574">
      <c r="A574" t="inlineStr">
        <is>
          <t>PRAGMA</t>
        </is>
      </c>
      <c r="B574" t="inlineStr">
        <is>
          <t>M1</t>
        </is>
      </c>
      <c r="C574" t="inlineStr">
        <is>
          <t>Cali</t>
        </is>
      </c>
      <c r="D574" t="inlineStr">
        <is>
          <t>1500</t>
        </is>
      </c>
      <c r="E574" t="inlineStr">
        <is>
          <t>pagado</t>
        </is>
      </c>
      <c r="F574" s="23" t="n">
        <v>46267</v>
      </c>
      <c r="G574" s="24">
        <f>F574-DATE(2026,8,31)</f>
        <v>2</v>
      </c>
      <c r="H574" s="25" t="n">
        <v>78693413</v>
      </c>
      <c r="I574" t="inlineStr">
        <is>
          <t>entidad-dia</t>
        </is>
      </c>
    </row>
    <row r="575">
      <c r="A575" t="inlineStr">
        <is>
          <t>PRAGMA</t>
        </is>
      </c>
      <c r="B575" t="inlineStr">
        <is>
          <t>M1</t>
        </is>
      </c>
      <c r="C575" t="inlineStr">
        <is>
          <t>Cali</t>
        </is>
      </c>
      <c r="D575" t="inlineStr">
        <is>
          <t>1500</t>
        </is>
      </c>
      <c r="E575" t="inlineStr">
        <is>
          <t>pagado</t>
        </is>
      </c>
      <c r="F575" s="23" t="n">
        <v>46268</v>
      </c>
      <c r="G575" s="24">
        <f>F575-DATE(2026,8,31)</f>
        <v>3</v>
      </c>
      <c r="H575" s="25" t="n">
        <v>66768163</v>
      </c>
      <c r="I575" t="inlineStr">
        <is>
          <t>entidad-dia</t>
        </is>
      </c>
    </row>
    <row r="576">
      <c r="A576" t="inlineStr">
        <is>
          <t>PRAGMA</t>
        </is>
      </c>
      <c r="B576" t="inlineStr">
        <is>
          <t>M1</t>
        </is>
      </c>
      <c r="C576" t="inlineStr">
        <is>
          <t>Cali</t>
        </is>
      </c>
      <c r="D576" t="inlineStr">
        <is>
          <t>1500</t>
        </is>
      </c>
      <c r="E576" t="inlineStr">
        <is>
          <t>pagado</t>
        </is>
      </c>
      <c r="F576" s="23" t="n">
        <v>46269</v>
      </c>
      <c r="G576" s="24">
        <f>F576-DATE(2026,8,31)</f>
        <v>4</v>
      </c>
      <c r="H576" s="25" t="n">
        <v>73950747</v>
      </c>
      <c r="I576" t="inlineStr">
        <is>
          <t>entidad-dia</t>
        </is>
      </c>
    </row>
    <row r="577">
      <c r="A577" t="inlineStr">
        <is>
          <t>PRAGMA</t>
        </is>
      </c>
      <c r="B577" t="inlineStr">
        <is>
          <t>M1</t>
        </is>
      </c>
      <c r="C577" t="inlineStr">
        <is>
          <t>Cali</t>
        </is>
      </c>
      <c r="D577" t="inlineStr">
        <is>
          <t>1500</t>
        </is>
      </c>
      <c r="E577" t="inlineStr">
        <is>
          <t>pagado</t>
        </is>
      </c>
      <c r="F577" s="23" t="n">
        <v>46270</v>
      </c>
      <c r="G577" s="24">
        <f>F577-DATE(2026,8,31)</f>
        <v>5</v>
      </c>
      <c r="H577" s="25" t="n">
        <v>65380232</v>
      </c>
      <c r="I577" t="inlineStr">
        <is>
          <t>entidad-dia</t>
        </is>
      </c>
    </row>
    <row r="578">
      <c r="A578" t="inlineStr">
        <is>
          <t>PRAGMA</t>
        </is>
      </c>
      <c r="B578" t="inlineStr">
        <is>
          <t>M1</t>
        </is>
      </c>
      <c r="C578" t="inlineStr">
        <is>
          <t>Cali</t>
        </is>
      </c>
      <c r="D578" t="inlineStr">
        <is>
          <t>1500</t>
        </is>
      </c>
      <c r="E578" t="inlineStr">
        <is>
          <t>pagado</t>
        </is>
      </c>
      <c r="F578" s="23" t="n">
        <v>46271</v>
      </c>
      <c r="G578" s="24">
        <f>F578-DATE(2026,8,31)</f>
        <v>6</v>
      </c>
      <c r="H578" s="25" t="n">
        <v>31401160</v>
      </c>
      <c r="I578" t="inlineStr">
        <is>
          <t>entidad-dia</t>
        </is>
      </c>
    </row>
    <row r="579">
      <c r="A579" t="inlineStr">
        <is>
          <t>PRAGMA</t>
        </is>
      </c>
      <c r="B579" t="inlineStr">
        <is>
          <t>M1</t>
        </is>
      </c>
      <c r="C579" t="inlineStr">
        <is>
          <t>Cali</t>
        </is>
      </c>
      <c r="D579" t="inlineStr">
        <is>
          <t>1500</t>
        </is>
      </c>
      <c r="E579" t="inlineStr">
        <is>
          <t>pagado</t>
        </is>
      </c>
      <c r="F579" s="23" t="n">
        <v>46272</v>
      </c>
      <c r="G579" s="24">
        <f>F579-DATE(2026,8,31)</f>
        <v>7</v>
      </c>
      <c r="H579" s="25" t="n">
        <v>50140185</v>
      </c>
      <c r="I579" t="inlineStr">
        <is>
          <t>entidad-dia</t>
        </is>
      </c>
    </row>
    <row r="580">
      <c r="A580" t="inlineStr">
        <is>
          <t>PRAGMA</t>
        </is>
      </c>
      <c r="B580" t="inlineStr">
        <is>
          <t>M1</t>
        </is>
      </c>
      <c r="C580" t="inlineStr">
        <is>
          <t>Cali</t>
        </is>
      </c>
      <c r="D580" t="inlineStr">
        <is>
          <t>1500</t>
        </is>
      </c>
      <c r="E580" t="inlineStr">
        <is>
          <t>pagado</t>
        </is>
      </c>
      <c r="F580" s="23" t="n">
        <v>46273</v>
      </c>
      <c r="G580" s="24">
        <f>F580-DATE(2026,8,31)</f>
        <v>8</v>
      </c>
      <c r="H580" s="25" t="n">
        <v>58102464</v>
      </c>
      <c r="I580" t="inlineStr">
        <is>
          <t>entidad-dia</t>
        </is>
      </c>
    </row>
    <row r="581">
      <c r="A581" t="inlineStr">
        <is>
          <t>PRAGMA</t>
        </is>
      </c>
      <c r="B581" t="inlineStr">
        <is>
          <t>M1</t>
        </is>
      </c>
      <c r="C581" t="inlineStr">
        <is>
          <t>Cali</t>
        </is>
      </c>
      <c r="D581" t="inlineStr">
        <is>
          <t>1500</t>
        </is>
      </c>
      <c r="E581" t="inlineStr">
        <is>
          <t>pagado</t>
        </is>
      </c>
      <c r="F581" s="23" t="n">
        <v>46274</v>
      </c>
      <c r="G581" s="24">
        <f>F581-DATE(2026,8,31)</f>
        <v>9</v>
      </c>
      <c r="H581" s="25" t="n">
        <v>55408861</v>
      </c>
      <c r="I581" t="inlineStr">
        <is>
          <t>entidad-dia</t>
        </is>
      </c>
    </row>
    <row r="582">
      <c r="A582" t="inlineStr">
        <is>
          <t>PRAGMA</t>
        </is>
      </c>
      <c r="B582" t="inlineStr">
        <is>
          <t>M1</t>
        </is>
      </c>
      <c r="C582" t="inlineStr">
        <is>
          <t>Cali</t>
        </is>
      </c>
      <c r="D582" t="inlineStr">
        <is>
          <t>1500</t>
        </is>
      </c>
      <c r="E582" t="inlineStr">
        <is>
          <t>pagado</t>
        </is>
      </c>
      <c r="F582" s="23" t="n">
        <v>46275</v>
      </c>
      <c r="G582" s="24">
        <f>F582-DATE(2026,8,31)</f>
        <v>10</v>
      </c>
      <c r="H582" s="25" t="n">
        <v>47702981</v>
      </c>
      <c r="I582" t="inlineStr">
        <is>
          <t>entidad-dia</t>
        </is>
      </c>
    </row>
    <row r="583">
      <c r="A583" t="inlineStr">
        <is>
          <t>PRAGMA</t>
        </is>
      </c>
      <c r="B583" t="inlineStr">
        <is>
          <t>M1</t>
        </is>
      </c>
      <c r="C583" t="inlineStr">
        <is>
          <t>Cali</t>
        </is>
      </c>
      <c r="D583" t="inlineStr">
        <is>
          <t>1500</t>
        </is>
      </c>
      <c r="E583" t="inlineStr">
        <is>
          <t>pagado</t>
        </is>
      </c>
      <c r="F583" s="23" t="n">
        <v>46276</v>
      </c>
      <c r="G583" s="24">
        <f>F583-DATE(2026,8,31)</f>
        <v>11</v>
      </c>
      <c r="H583" s="25" t="n">
        <v>46113523</v>
      </c>
      <c r="I583" t="inlineStr">
        <is>
          <t>entidad-dia</t>
        </is>
      </c>
    </row>
    <row r="584">
      <c r="A584" t="inlineStr">
        <is>
          <t>PRAGMA</t>
        </is>
      </c>
      <c r="B584" t="inlineStr">
        <is>
          <t>M1</t>
        </is>
      </c>
      <c r="C584" t="inlineStr">
        <is>
          <t>Cali</t>
        </is>
      </c>
      <c r="D584" t="inlineStr">
        <is>
          <t>1500</t>
        </is>
      </c>
      <c r="E584" t="inlineStr">
        <is>
          <t>pagado</t>
        </is>
      </c>
      <c r="F584" s="23" t="n">
        <v>46277</v>
      </c>
      <c r="G584" s="24">
        <f>F584-DATE(2026,8,31)</f>
        <v>12</v>
      </c>
      <c r="H584" s="25" t="n">
        <v>53469868</v>
      </c>
      <c r="I584" t="inlineStr">
        <is>
          <t>entidad-dia</t>
        </is>
      </c>
    </row>
    <row r="585">
      <c r="A585" t="inlineStr">
        <is>
          <t>PRAGMA</t>
        </is>
      </c>
      <c r="B585" t="inlineStr">
        <is>
          <t>M1</t>
        </is>
      </c>
      <c r="C585" t="inlineStr">
        <is>
          <t>Cali</t>
        </is>
      </c>
      <c r="D585" t="inlineStr">
        <is>
          <t>1500</t>
        </is>
      </c>
      <c r="E585" t="inlineStr">
        <is>
          <t>pagado</t>
        </is>
      </c>
      <c r="F585" s="23" t="n">
        <v>46278</v>
      </c>
      <c r="G585" s="24">
        <f>F585-DATE(2026,8,31)</f>
        <v>13</v>
      </c>
      <c r="H585" s="25" t="n">
        <v>27718494</v>
      </c>
      <c r="I585" t="inlineStr">
        <is>
          <t>entidad-dia</t>
        </is>
      </c>
    </row>
    <row r="586">
      <c r="A586" t="inlineStr">
        <is>
          <t>PRAGMA</t>
        </is>
      </c>
      <c r="B586" t="inlineStr">
        <is>
          <t>M1</t>
        </is>
      </c>
      <c r="C586" t="inlineStr">
        <is>
          <t>Cali</t>
        </is>
      </c>
      <c r="D586" t="inlineStr">
        <is>
          <t>1500</t>
        </is>
      </c>
      <c r="E586" t="inlineStr">
        <is>
          <t>pagado</t>
        </is>
      </c>
      <c r="F586" s="23" t="n">
        <v>46279</v>
      </c>
      <c r="G586" s="24">
        <f>F586-DATE(2026,8,31)</f>
        <v>14</v>
      </c>
      <c r="H586" s="25" t="n">
        <v>53856431</v>
      </c>
      <c r="I586" t="inlineStr">
        <is>
          <t>entidad-dia</t>
        </is>
      </c>
    </row>
    <row r="587">
      <c r="A587" t="inlineStr">
        <is>
          <t>PRAGMA</t>
        </is>
      </c>
      <c r="B587" t="inlineStr">
        <is>
          <t>M1</t>
        </is>
      </c>
      <c r="C587" t="inlineStr">
        <is>
          <t>Cali</t>
        </is>
      </c>
      <c r="D587" t="inlineStr">
        <is>
          <t>1500</t>
        </is>
      </c>
      <c r="E587" t="inlineStr">
        <is>
          <t>pagado</t>
        </is>
      </c>
      <c r="F587" s="23" t="n">
        <v>46280</v>
      </c>
      <c r="G587" s="24">
        <f>F587-DATE(2026,8,31)</f>
        <v>15</v>
      </c>
      <c r="H587" s="25" t="n">
        <v>87102045</v>
      </c>
      <c r="I587" t="inlineStr">
        <is>
          <t>entidad-dia</t>
        </is>
      </c>
    </row>
    <row r="588">
      <c r="A588" t="inlineStr">
        <is>
          <t>PRAGMA</t>
        </is>
      </c>
      <c r="B588" t="inlineStr">
        <is>
          <t>M1</t>
        </is>
      </c>
      <c r="C588" t="inlineStr">
        <is>
          <t>Cali</t>
        </is>
      </c>
      <c r="D588" t="inlineStr">
        <is>
          <t>1501</t>
        </is>
      </c>
      <c r="E588" t="inlineStr">
        <is>
          <t>pagado</t>
        </is>
      </c>
      <c r="F588" s="23" t="n">
        <v>46266</v>
      </c>
      <c r="G588" s="24">
        <f>F588-DATE(2026,8,31)</f>
        <v>1</v>
      </c>
      <c r="H588" s="25" t="n">
        <v>135101496</v>
      </c>
      <c r="I588" t="inlineStr">
        <is>
          <t>entidad-dia</t>
        </is>
      </c>
    </row>
    <row r="589">
      <c r="A589" t="inlineStr">
        <is>
          <t>PRAGMA</t>
        </is>
      </c>
      <c r="B589" t="inlineStr">
        <is>
          <t>M1</t>
        </is>
      </c>
      <c r="C589" t="inlineStr">
        <is>
          <t>Cali</t>
        </is>
      </c>
      <c r="D589" t="inlineStr">
        <is>
          <t>1501</t>
        </is>
      </c>
      <c r="E589" t="inlineStr">
        <is>
          <t>pagado</t>
        </is>
      </c>
      <c r="F589" s="23" t="n">
        <v>46267</v>
      </c>
      <c r="G589" s="24">
        <f>F589-DATE(2026,8,31)</f>
        <v>2</v>
      </c>
      <c r="H589" s="25" t="n">
        <v>109956755</v>
      </c>
      <c r="I589" t="inlineStr">
        <is>
          <t>entidad-dia</t>
        </is>
      </c>
    </row>
    <row r="590">
      <c r="A590" t="inlineStr">
        <is>
          <t>PRAGMA</t>
        </is>
      </c>
      <c r="B590" t="inlineStr">
        <is>
          <t>M1</t>
        </is>
      </c>
      <c r="C590" t="inlineStr">
        <is>
          <t>Cali</t>
        </is>
      </c>
      <c r="D590" t="inlineStr">
        <is>
          <t>1501</t>
        </is>
      </c>
      <c r="E590" t="inlineStr">
        <is>
          <t>pagado</t>
        </is>
      </c>
      <c r="F590" s="23" t="n">
        <v>46268</v>
      </c>
      <c r="G590" s="24">
        <f>F590-DATE(2026,8,31)</f>
        <v>3</v>
      </c>
      <c r="H590" s="25" t="n">
        <v>92023700</v>
      </c>
      <c r="I590" t="inlineStr">
        <is>
          <t>entidad-dia</t>
        </is>
      </c>
    </row>
    <row r="591">
      <c r="A591" t="inlineStr">
        <is>
          <t>PRAGMA</t>
        </is>
      </c>
      <c r="B591" t="inlineStr">
        <is>
          <t>M1</t>
        </is>
      </c>
      <c r="C591" t="inlineStr">
        <is>
          <t>Cali</t>
        </is>
      </c>
      <c r="D591" t="inlineStr">
        <is>
          <t>1501</t>
        </is>
      </c>
      <c r="E591" t="inlineStr">
        <is>
          <t>pagado</t>
        </is>
      </c>
      <c r="F591" s="23" t="n">
        <v>46269</v>
      </c>
      <c r="G591" s="24">
        <f>F591-DATE(2026,8,31)</f>
        <v>4</v>
      </c>
      <c r="H591" s="25" t="n">
        <v>97841393</v>
      </c>
      <c r="I591" t="inlineStr">
        <is>
          <t>entidad-dia</t>
        </is>
      </c>
    </row>
    <row r="592">
      <c r="A592" t="inlineStr">
        <is>
          <t>PRAGMA</t>
        </is>
      </c>
      <c r="B592" t="inlineStr">
        <is>
          <t>M1</t>
        </is>
      </c>
      <c r="C592" t="inlineStr">
        <is>
          <t>Cali</t>
        </is>
      </c>
      <c r="D592" t="inlineStr">
        <is>
          <t>1501</t>
        </is>
      </c>
      <c r="E592" t="inlineStr">
        <is>
          <t>pagado</t>
        </is>
      </c>
      <c r="F592" s="23" t="n">
        <v>46270</v>
      </c>
      <c r="G592" s="24">
        <f>F592-DATE(2026,8,31)</f>
        <v>5</v>
      </c>
      <c r="H592" s="25" t="n">
        <v>89257405</v>
      </c>
      <c r="I592" t="inlineStr">
        <is>
          <t>entidad-dia</t>
        </is>
      </c>
    </row>
    <row r="593">
      <c r="A593" t="inlineStr">
        <is>
          <t>PRAGMA</t>
        </is>
      </c>
      <c r="B593" t="inlineStr">
        <is>
          <t>M1</t>
        </is>
      </c>
      <c r="C593" t="inlineStr">
        <is>
          <t>Cali</t>
        </is>
      </c>
      <c r="D593" t="inlineStr">
        <is>
          <t>1501</t>
        </is>
      </c>
      <c r="E593" t="inlineStr">
        <is>
          <t>pagado</t>
        </is>
      </c>
      <c r="F593" s="23" t="n">
        <v>46271</v>
      </c>
      <c r="G593" s="24">
        <f>F593-DATE(2026,8,31)</f>
        <v>6</v>
      </c>
      <c r="H593" s="25" t="n">
        <v>50573491</v>
      </c>
      <c r="I593" t="inlineStr">
        <is>
          <t>entidad-dia</t>
        </is>
      </c>
    </row>
    <row r="594">
      <c r="A594" t="inlineStr">
        <is>
          <t>PRAGMA</t>
        </is>
      </c>
      <c r="B594" t="inlineStr">
        <is>
          <t>M1</t>
        </is>
      </c>
      <c r="C594" t="inlineStr">
        <is>
          <t>Cali</t>
        </is>
      </c>
      <c r="D594" t="inlineStr">
        <is>
          <t>1501</t>
        </is>
      </c>
      <c r="E594" t="inlineStr">
        <is>
          <t>pagado</t>
        </is>
      </c>
      <c r="F594" s="23" t="n">
        <v>46272</v>
      </c>
      <c r="G594" s="24">
        <f>F594-DATE(2026,8,31)</f>
        <v>7</v>
      </c>
      <c r="H594" s="25" t="n">
        <v>75709685</v>
      </c>
      <c r="I594" t="inlineStr">
        <is>
          <t>entidad-dia</t>
        </is>
      </c>
    </row>
    <row r="595">
      <c r="A595" t="inlineStr">
        <is>
          <t>PRAGMA</t>
        </is>
      </c>
      <c r="B595" t="inlineStr">
        <is>
          <t>M1</t>
        </is>
      </c>
      <c r="C595" t="inlineStr">
        <is>
          <t>Cali</t>
        </is>
      </c>
      <c r="D595" t="inlineStr">
        <is>
          <t>1501</t>
        </is>
      </c>
      <c r="E595" t="inlineStr">
        <is>
          <t>pagado</t>
        </is>
      </c>
      <c r="F595" s="23" t="n">
        <v>46273</v>
      </c>
      <c r="G595" s="24">
        <f>F595-DATE(2026,8,31)</f>
        <v>8</v>
      </c>
      <c r="H595" s="25" t="n">
        <v>80520064</v>
      </c>
      <c r="I595" t="inlineStr">
        <is>
          <t>entidad-dia</t>
        </is>
      </c>
    </row>
    <row r="596">
      <c r="A596" t="inlineStr">
        <is>
          <t>PRAGMA</t>
        </is>
      </c>
      <c r="B596" t="inlineStr">
        <is>
          <t>M1</t>
        </is>
      </c>
      <c r="C596" t="inlineStr">
        <is>
          <t>Cali</t>
        </is>
      </c>
      <c r="D596" t="inlineStr">
        <is>
          <t>1501</t>
        </is>
      </c>
      <c r="E596" t="inlineStr">
        <is>
          <t>pagado</t>
        </is>
      </c>
      <c r="F596" s="23" t="n">
        <v>46274</v>
      </c>
      <c r="G596" s="24">
        <f>F596-DATE(2026,8,31)</f>
        <v>9</v>
      </c>
      <c r="H596" s="25" t="n">
        <v>80635541</v>
      </c>
      <c r="I596" t="inlineStr">
        <is>
          <t>entidad-dia</t>
        </is>
      </c>
    </row>
    <row r="597">
      <c r="A597" t="inlineStr">
        <is>
          <t>PRAGMA</t>
        </is>
      </c>
      <c r="B597" t="inlineStr">
        <is>
          <t>M1</t>
        </is>
      </c>
      <c r="C597" t="inlineStr">
        <is>
          <t>Cali</t>
        </is>
      </c>
      <c r="D597" t="inlineStr">
        <is>
          <t>1501</t>
        </is>
      </c>
      <c r="E597" t="inlineStr">
        <is>
          <t>pagado</t>
        </is>
      </c>
      <c r="F597" s="23" t="n">
        <v>46275</v>
      </c>
      <c r="G597" s="24">
        <f>F597-DATE(2026,8,31)</f>
        <v>10</v>
      </c>
      <c r="H597" s="25" t="n">
        <v>54784213</v>
      </c>
      <c r="I597" t="inlineStr">
        <is>
          <t>entidad-dia</t>
        </is>
      </c>
    </row>
    <row r="598">
      <c r="A598" t="inlineStr">
        <is>
          <t>PRAGMA</t>
        </is>
      </c>
      <c r="B598" t="inlineStr">
        <is>
          <t>M1</t>
        </is>
      </c>
      <c r="C598" t="inlineStr">
        <is>
          <t>Cali</t>
        </is>
      </c>
      <c r="D598" t="inlineStr">
        <is>
          <t>1501</t>
        </is>
      </c>
      <c r="E598" t="inlineStr">
        <is>
          <t>pagado</t>
        </is>
      </c>
      <c r="F598" s="23" t="n">
        <v>46276</v>
      </c>
      <c r="G598" s="24">
        <f>F598-DATE(2026,8,31)</f>
        <v>11</v>
      </c>
      <c r="H598" s="25" t="n">
        <v>58311482</v>
      </c>
      <c r="I598" t="inlineStr">
        <is>
          <t>entidad-dia</t>
        </is>
      </c>
    </row>
    <row r="599">
      <c r="A599" t="inlineStr">
        <is>
          <t>PRAGMA</t>
        </is>
      </c>
      <c r="B599" t="inlineStr">
        <is>
          <t>M1</t>
        </is>
      </c>
      <c r="C599" t="inlineStr">
        <is>
          <t>Cali</t>
        </is>
      </c>
      <c r="D599" t="inlineStr">
        <is>
          <t>1501</t>
        </is>
      </c>
      <c r="E599" t="inlineStr">
        <is>
          <t>pagado</t>
        </is>
      </c>
      <c r="F599" s="23" t="n">
        <v>46277</v>
      </c>
      <c r="G599" s="24">
        <f>F599-DATE(2026,8,31)</f>
        <v>12</v>
      </c>
      <c r="H599" s="25" t="n">
        <v>63396155</v>
      </c>
      <c r="I599" t="inlineStr">
        <is>
          <t>entidad-dia</t>
        </is>
      </c>
    </row>
    <row r="600">
      <c r="A600" t="inlineStr">
        <is>
          <t>PRAGMA</t>
        </is>
      </c>
      <c r="B600" t="inlineStr">
        <is>
          <t>M1</t>
        </is>
      </c>
      <c r="C600" t="inlineStr">
        <is>
          <t>Cali</t>
        </is>
      </c>
      <c r="D600" t="inlineStr">
        <is>
          <t>1501</t>
        </is>
      </c>
      <c r="E600" t="inlineStr">
        <is>
          <t>pagado</t>
        </is>
      </c>
      <c r="F600" s="23" t="n">
        <v>46278</v>
      </c>
      <c r="G600" s="24">
        <f>F600-DATE(2026,8,31)</f>
        <v>13</v>
      </c>
      <c r="H600" s="25" t="n">
        <v>37120830</v>
      </c>
      <c r="I600" t="inlineStr">
        <is>
          <t>entidad-dia</t>
        </is>
      </c>
    </row>
    <row r="601">
      <c r="A601" t="inlineStr">
        <is>
          <t>PRAGMA</t>
        </is>
      </c>
      <c r="B601" t="inlineStr">
        <is>
          <t>M1</t>
        </is>
      </c>
      <c r="C601" t="inlineStr">
        <is>
          <t>Cali</t>
        </is>
      </c>
      <c r="D601" t="inlineStr">
        <is>
          <t>1501</t>
        </is>
      </c>
      <c r="E601" t="inlineStr">
        <is>
          <t>pagado</t>
        </is>
      </c>
      <c r="F601" s="23" t="n">
        <v>46279</v>
      </c>
      <c r="G601" s="24">
        <f>F601-DATE(2026,8,31)</f>
        <v>14</v>
      </c>
      <c r="H601" s="25" t="n">
        <v>63300535</v>
      </c>
      <c r="I601" t="inlineStr">
        <is>
          <t>entidad-dia</t>
        </is>
      </c>
    </row>
    <row r="602">
      <c r="A602" t="inlineStr">
        <is>
          <t>PRAGMA</t>
        </is>
      </c>
      <c r="B602" t="inlineStr">
        <is>
          <t>M1</t>
        </is>
      </c>
      <c r="C602" t="inlineStr">
        <is>
          <t>Cali</t>
        </is>
      </c>
      <c r="D602" t="inlineStr">
        <is>
          <t>1501</t>
        </is>
      </c>
      <c r="E602" t="inlineStr">
        <is>
          <t>pagado</t>
        </is>
      </c>
      <c r="F602" s="23" t="n">
        <v>46280</v>
      </c>
      <c r="G602" s="24">
        <f>F602-DATE(2026,8,31)</f>
        <v>15</v>
      </c>
      <c r="H602" s="25" t="n">
        <v>99611812</v>
      </c>
      <c r="I602" t="inlineStr">
        <is>
          <t>entidad-dia</t>
        </is>
      </c>
    </row>
    <row r="603">
      <c r="A603" t="inlineStr">
        <is>
          <t>PRAGMA</t>
        </is>
      </c>
      <c r="B603" t="inlineStr">
        <is>
          <t>M1</t>
        </is>
      </c>
      <c r="C603" t="inlineStr">
        <is>
          <t>Cali</t>
        </is>
      </c>
      <c r="D603" t="inlineStr">
        <is>
          <t>1502</t>
        </is>
      </c>
      <c r="E603" t="inlineStr">
        <is>
          <t>pagado</t>
        </is>
      </c>
      <c r="F603" s="23" t="n">
        <v>46266</v>
      </c>
      <c r="G603" s="24">
        <f>F603-DATE(2026,8,31)</f>
        <v>1</v>
      </c>
      <c r="H603" s="25" t="n">
        <v>146662829</v>
      </c>
      <c r="I603" t="inlineStr">
        <is>
          <t>entidad-dia</t>
        </is>
      </c>
    </row>
    <row r="604">
      <c r="A604" t="inlineStr">
        <is>
          <t>PRAGMA</t>
        </is>
      </c>
      <c r="B604" t="inlineStr">
        <is>
          <t>M1</t>
        </is>
      </c>
      <c r="C604" t="inlineStr">
        <is>
          <t>Cali</t>
        </is>
      </c>
      <c r="D604" t="inlineStr">
        <is>
          <t>1502</t>
        </is>
      </c>
      <c r="E604" t="inlineStr">
        <is>
          <t>pagado</t>
        </is>
      </c>
      <c r="F604" s="23" t="n">
        <v>46267</v>
      </c>
      <c r="G604" s="24">
        <f>F604-DATE(2026,8,31)</f>
        <v>2</v>
      </c>
      <c r="H604" s="25" t="n">
        <v>105523759</v>
      </c>
      <c r="I604" t="inlineStr">
        <is>
          <t>entidad-dia</t>
        </is>
      </c>
    </row>
    <row r="605">
      <c r="A605" t="inlineStr">
        <is>
          <t>PRAGMA</t>
        </is>
      </c>
      <c r="B605" t="inlineStr">
        <is>
          <t>M1</t>
        </is>
      </c>
      <c r="C605" t="inlineStr">
        <is>
          <t>Cali</t>
        </is>
      </c>
      <c r="D605" t="inlineStr">
        <is>
          <t>1502</t>
        </is>
      </c>
      <c r="E605" t="inlineStr">
        <is>
          <t>pagado</t>
        </is>
      </c>
      <c r="F605" s="23" t="n">
        <v>46268</v>
      </c>
      <c r="G605" s="24">
        <f>F605-DATE(2026,8,31)</f>
        <v>3</v>
      </c>
      <c r="H605" s="25" t="n">
        <v>96166020</v>
      </c>
      <c r="I605" t="inlineStr">
        <is>
          <t>entidad-dia</t>
        </is>
      </c>
    </row>
    <row r="606">
      <c r="A606" t="inlineStr">
        <is>
          <t>PRAGMA</t>
        </is>
      </c>
      <c r="B606" t="inlineStr">
        <is>
          <t>M1</t>
        </is>
      </c>
      <c r="C606" t="inlineStr">
        <is>
          <t>Cali</t>
        </is>
      </c>
      <c r="D606" t="inlineStr">
        <is>
          <t>1502</t>
        </is>
      </c>
      <c r="E606" t="inlineStr">
        <is>
          <t>pagado</t>
        </is>
      </c>
      <c r="F606" s="23" t="n">
        <v>46269</v>
      </c>
      <c r="G606" s="24">
        <f>F606-DATE(2026,8,31)</f>
        <v>4</v>
      </c>
      <c r="H606" s="25" t="n">
        <v>100705066</v>
      </c>
      <c r="I606" t="inlineStr">
        <is>
          <t>entidad-dia</t>
        </is>
      </c>
    </row>
    <row r="607">
      <c r="A607" t="inlineStr">
        <is>
          <t>PRAGMA</t>
        </is>
      </c>
      <c r="B607" t="inlineStr">
        <is>
          <t>M1</t>
        </is>
      </c>
      <c r="C607" t="inlineStr">
        <is>
          <t>Cali</t>
        </is>
      </c>
      <c r="D607" t="inlineStr">
        <is>
          <t>1502</t>
        </is>
      </c>
      <c r="E607" t="inlineStr">
        <is>
          <t>pagado</t>
        </is>
      </c>
      <c r="F607" s="23" t="n">
        <v>46270</v>
      </c>
      <c r="G607" s="24">
        <f>F607-DATE(2026,8,31)</f>
        <v>5</v>
      </c>
      <c r="H607" s="25" t="n">
        <v>105410289</v>
      </c>
      <c r="I607" t="inlineStr">
        <is>
          <t>entidad-dia</t>
        </is>
      </c>
    </row>
    <row r="608">
      <c r="A608" t="inlineStr">
        <is>
          <t>PRAGMA</t>
        </is>
      </c>
      <c r="B608" t="inlineStr">
        <is>
          <t>M1</t>
        </is>
      </c>
      <c r="C608" t="inlineStr">
        <is>
          <t>Cali</t>
        </is>
      </c>
      <c r="D608" t="inlineStr">
        <is>
          <t>1502</t>
        </is>
      </c>
      <c r="E608" t="inlineStr">
        <is>
          <t>pagado</t>
        </is>
      </c>
      <c r="F608" s="23" t="n">
        <v>46271</v>
      </c>
      <c r="G608" s="24">
        <f>F608-DATE(2026,8,31)</f>
        <v>6</v>
      </c>
      <c r="H608" s="25" t="n">
        <v>58965640</v>
      </c>
      <c r="I608" t="inlineStr">
        <is>
          <t>entidad-dia</t>
        </is>
      </c>
    </row>
    <row r="609">
      <c r="A609" t="inlineStr">
        <is>
          <t>PRAGMA</t>
        </is>
      </c>
      <c r="B609" t="inlineStr">
        <is>
          <t>M1</t>
        </is>
      </c>
      <c r="C609" t="inlineStr">
        <is>
          <t>Cali</t>
        </is>
      </c>
      <c r="D609" t="inlineStr">
        <is>
          <t>1502</t>
        </is>
      </c>
      <c r="E609" t="inlineStr">
        <is>
          <t>pagado</t>
        </is>
      </c>
      <c r="F609" s="23" t="n">
        <v>46272</v>
      </c>
      <c r="G609" s="24">
        <f>F609-DATE(2026,8,31)</f>
        <v>7</v>
      </c>
      <c r="H609" s="25" t="n">
        <v>90061144</v>
      </c>
      <c r="I609" t="inlineStr">
        <is>
          <t>entidad-dia</t>
        </is>
      </c>
    </row>
    <row r="610">
      <c r="A610" t="inlineStr">
        <is>
          <t>PRAGMA</t>
        </is>
      </c>
      <c r="B610" t="inlineStr">
        <is>
          <t>M1</t>
        </is>
      </c>
      <c r="C610" t="inlineStr">
        <is>
          <t>Cali</t>
        </is>
      </c>
      <c r="D610" t="inlineStr">
        <is>
          <t>1502</t>
        </is>
      </c>
      <c r="E610" t="inlineStr">
        <is>
          <t>pagado</t>
        </is>
      </c>
      <c r="F610" s="23" t="n">
        <v>46273</v>
      </c>
      <c r="G610" s="24">
        <f>F610-DATE(2026,8,31)</f>
        <v>8</v>
      </c>
      <c r="H610" s="25" t="n">
        <v>88018804</v>
      </c>
      <c r="I610" t="inlineStr">
        <is>
          <t>entidad-dia</t>
        </is>
      </c>
    </row>
    <row r="611">
      <c r="A611" t="inlineStr">
        <is>
          <t>PRAGMA</t>
        </is>
      </c>
      <c r="B611" t="inlineStr">
        <is>
          <t>M1</t>
        </is>
      </c>
      <c r="C611" t="inlineStr">
        <is>
          <t>Cali</t>
        </is>
      </c>
      <c r="D611" t="inlineStr">
        <is>
          <t>1502</t>
        </is>
      </c>
      <c r="E611" t="inlineStr">
        <is>
          <t>pagado</t>
        </is>
      </c>
      <c r="F611" s="23" t="n">
        <v>46274</v>
      </c>
      <c r="G611" s="24">
        <f>F611-DATE(2026,8,31)</f>
        <v>9</v>
      </c>
      <c r="H611" s="25" t="n">
        <v>76126890</v>
      </c>
      <c r="I611" t="inlineStr">
        <is>
          <t>entidad-dia</t>
        </is>
      </c>
    </row>
    <row r="612">
      <c r="A612" t="inlineStr">
        <is>
          <t>PRAGMA</t>
        </is>
      </c>
      <c r="B612" t="inlineStr">
        <is>
          <t>M1</t>
        </is>
      </c>
      <c r="C612" t="inlineStr">
        <is>
          <t>Cali</t>
        </is>
      </c>
      <c r="D612" t="inlineStr">
        <is>
          <t>1502</t>
        </is>
      </c>
      <c r="E612" t="inlineStr">
        <is>
          <t>pagado</t>
        </is>
      </c>
      <c r="F612" s="23" t="n">
        <v>46275</v>
      </c>
      <c r="G612" s="24">
        <f>F612-DATE(2026,8,31)</f>
        <v>10</v>
      </c>
      <c r="H612" s="25" t="n">
        <v>63557595</v>
      </c>
      <c r="I612" t="inlineStr">
        <is>
          <t>entidad-dia</t>
        </is>
      </c>
    </row>
    <row r="613">
      <c r="A613" t="inlineStr">
        <is>
          <t>PRAGMA</t>
        </is>
      </c>
      <c r="B613" t="inlineStr">
        <is>
          <t>M1</t>
        </is>
      </c>
      <c r="C613" t="inlineStr">
        <is>
          <t>Cali</t>
        </is>
      </c>
      <c r="D613" t="inlineStr">
        <is>
          <t>1502</t>
        </is>
      </c>
      <c r="E613" t="inlineStr">
        <is>
          <t>pagado</t>
        </is>
      </c>
      <c r="F613" s="23" t="n">
        <v>46276</v>
      </c>
      <c r="G613" s="24">
        <f>F613-DATE(2026,8,31)</f>
        <v>11</v>
      </c>
      <c r="H613" s="25" t="n">
        <v>63450324</v>
      </c>
      <c r="I613" t="inlineStr">
        <is>
          <t>entidad-dia</t>
        </is>
      </c>
    </row>
    <row r="614">
      <c r="A614" t="inlineStr">
        <is>
          <t>PRAGMA</t>
        </is>
      </c>
      <c r="B614" t="inlineStr">
        <is>
          <t>M1</t>
        </is>
      </c>
      <c r="C614" t="inlineStr">
        <is>
          <t>Cali</t>
        </is>
      </c>
      <c r="D614" t="inlineStr">
        <is>
          <t>1502</t>
        </is>
      </c>
      <c r="E614" t="inlineStr">
        <is>
          <t>pagado</t>
        </is>
      </c>
      <c r="F614" s="23" t="n">
        <v>46277</v>
      </c>
      <c r="G614" s="24">
        <f>F614-DATE(2026,8,31)</f>
        <v>12</v>
      </c>
      <c r="H614" s="25" t="n">
        <v>69099382</v>
      </c>
      <c r="I614" t="inlineStr">
        <is>
          <t>entidad-dia</t>
        </is>
      </c>
    </row>
    <row r="615">
      <c r="A615" t="inlineStr">
        <is>
          <t>PRAGMA</t>
        </is>
      </c>
      <c r="B615" t="inlineStr">
        <is>
          <t>M1</t>
        </is>
      </c>
      <c r="C615" t="inlineStr">
        <is>
          <t>Cali</t>
        </is>
      </c>
      <c r="D615" t="inlineStr">
        <is>
          <t>1502</t>
        </is>
      </c>
      <c r="E615" t="inlineStr">
        <is>
          <t>pagado</t>
        </is>
      </c>
      <c r="F615" s="23" t="n">
        <v>46278</v>
      </c>
      <c r="G615" s="24">
        <f>F615-DATE(2026,8,31)</f>
        <v>13</v>
      </c>
      <c r="H615" s="25" t="n">
        <v>40293554</v>
      </c>
      <c r="I615" t="inlineStr">
        <is>
          <t>entidad-dia</t>
        </is>
      </c>
    </row>
    <row r="616">
      <c r="A616" t="inlineStr">
        <is>
          <t>PRAGMA</t>
        </is>
      </c>
      <c r="B616" t="inlineStr">
        <is>
          <t>M1</t>
        </is>
      </c>
      <c r="C616" t="inlineStr">
        <is>
          <t>Cali</t>
        </is>
      </c>
      <c r="D616" t="inlineStr">
        <is>
          <t>1502</t>
        </is>
      </c>
      <c r="E616" t="inlineStr">
        <is>
          <t>pagado</t>
        </is>
      </c>
      <c r="F616" s="23" t="n">
        <v>46279</v>
      </c>
      <c r="G616" s="24">
        <f>F616-DATE(2026,8,31)</f>
        <v>14</v>
      </c>
      <c r="H616" s="25" t="n">
        <v>72134234</v>
      </c>
      <c r="I616" t="inlineStr">
        <is>
          <t>entidad-dia</t>
        </is>
      </c>
    </row>
    <row r="617">
      <c r="A617" t="inlineStr">
        <is>
          <t>PRAGMA</t>
        </is>
      </c>
      <c r="B617" t="inlineStr">
        <is>
          <t>M1</t>
        </is>
      </c>
      <c r="C617" t="inlineStr">
        <is>
          <t>Cali</t>
        </is>
      </c>
      <c r="D617" t="inlineStr">
        <is>
          <t>1502</t>
        </is>
      </c>
      <c r="E617" t="inlineStr">
        <is>
          <t>pagado</t>
        </is>
      </c>
      <c r="F617" s="23" t="n">
        <v>46280</v>
      </c>
      <c r="G617" s="24">
        <f>F617-DATE(2026,8,31)</f>
        <v>15</v>
      </c>
      <c r="H617" s="25" t="n">
        <v>101905250</v>
      </c>
      <c r="I617" t="inlineStr">
        <is>
          <t>entidad-dia</t>
        </is>
      </c>
    </row>
    <row r="618">
      <c r="A618" t="inlineStr">
        <is>
          <t>PRAGMA</t>
        </is>
      </c>
      <c r="B618" t="inlineStr">
        <is>
          <t>M1</t>
        </is>
      </c>
      <c r="C618" t="inlineStr">
        <is>
          <t>Cali</t>
        </is>
      </c>
      <c r="D618" t="inlineStr">
        <is>
          <t>1503</t>
        </is>
      </c>
      <c r="E618" t="inlineStr">
        <is>
          <t>pagado</t>
        </is>
      </c>
      <c r="F618" s="23" t="n">
        <v>46266</v>
      </c>
      <c r="G618" s="24">
        <f>F618-DATE(2026,8,31)</f>
        <v>1</v>
      </c>
      <c r="H618" s="25" t="n">
        <v>148588222</v>
      </c>
      <c r="I618" t="inlineStr">
        <is>
          <t>entidad-dia</t>
        </is>
      </c>
    </row>
    <row r="619">
      <c r="A619" t="inlineStr">
        <is>
          <t>PRAGMA</t>
        </is>
      </c>
      <c r="B619" t="inlineStr">
        <is>
          <t>M1</t>
        </is>
      </c>
      <c r="C619" t="inlineStr">
        <is>
          <t>Cali</t>
        </is>
      </c>
      <c r="D619" t="inlineStr">
        <is>
          <t>1503</t>
        </is>
      </c>
      <c r="E619" t="inlineStr">
        <is>
          <t>pagado</t>
        </is>
      </c>
      <c r="F619" s="23" t="n">
        <v>46267</v>
      </c>
      <c r="G619" s="24">
        <f>F619-DATE(2026,8,31)</f>
        <v>2</v>
      </c>
      <c r="H619" s="25" t="n">
        <v>118688088</v>
      </c>
      <c r="I619" t="inlineStr">
        <is>
          <t>entidad-dia</t>
        </is>
      </c>
    </row>
    <row r="620">
      <c r="A620" t="inlineStr">
        <is>
          <t>PRAGMA</t>
        </is>
      </c>
      <c r="B620" t="inlineStr">
        <is>
          <t>M1</t>
        </is>
      </c>
      <c r="C620" t="inlineStr">
        <is>
          <t>Cali</t>
        </is>
      </c>
      <c r="D620" t="inlineStr">
        <is>
          <t>1503</t>
        </is>
      </c>
      <c r="E620" t="inlineStr">
        <is>
          <t>pagado</t>
        </is>
      </c>
      <c r="F620" s="23" t="n">
        <v>46268</v>
      </c>
      <c r="G620" s="24">
        <f>F620-DATE(2026,8,31)</f>
        <v>3</v>
      </c>
      <c r="H620" s="25" t="n">
        <v>104631742</v>
      </c>
      <c r="I620" t="inlineStr">
        <is>
          <t>entidad-dia</t>
        </is>
      </c>
    </row>
    <row r="621">
      <c r="A621" t="inlineStr">
        <is>
          <t>PRAGMA</t>
        </is>
      </c>
      <c r="B621" t="inlineStr">
        <is>
          <t>M1</t>
        </is>
      </c>
      <c r="C621" t="inlineStr">
        <is>
          <t>Cali</t>
        </is>
      </c>
      <c r="D621" t="inlineStr">
        <is>
          <t>1503</t>
        </is>
      </c>
      <c r="E621" t="inlineStr">
        <is>
          <t>pagado</t>
        </is>
      </c>
      <c r="F621" s="23" t="n">
        <v>46269</v>
      </c>
      <c r="G621" s="24">
        <f>F621-DATE(2026,8,31)</f>
        <v>4</v>
      </c>
      <c r="H621" s="25" t="n">
        <v>110362273</v>
      </c>
      <c r="I621" t="inlineStr">
        <is>
          <t>entidad-dia</t>
        </is>
      </c>
    </row>
    <row r="622">
      <c r="A622" t="inlineStr">
        <is>
          <t>PRAGMA</t>
        </is>
      </c>
      <c r="B622" t="inlineStr">
        <is>
          <t>M1</t>
        </is>
      </c>
      <c r="C622" t="inlineStr">
        <is>
          <t>Cali</t>
        </is>
      </c>
      <c r="D622" t="inlineStr">
        <is>
          <t>1503</t>
        </is>
      </c>
      <c r="E622" t="inlineStr">
        <is>
          <t>pagado</t>
        </is>
      </c>
      <c r="F622" s="23" t="n">
        <v>46270</v>
      </c>
      <c r="G622" s="24">
        <f>F622-DATE(2026,8,31)</f>
        <v>5</v>
      </c>
      <c r="H622" s="25" t="n">
        <v>105386092</v>
      </c>
      <c r="I622" t="inlineStr">
        <is>
          <t>entidad-dia</t>
        </is>
      </c>
    </row>
    <row r="623">
      <c r="A623" t="inlineStr">
        <is>
          <t>PRAGMA</t>
        </is>
      </c>
      <c r="B623" t="inlineStr">
        <is>
          <t>M1</t>
        </is>
      </c>
      <c r="C623" t="inlineStr">
        <is>
          <t>Cali</t>
        </is>
      </c>
      <c r="D623" t="inlineStr">
        <is>
          <t>1503</t>
        </is>
      </c>
      <c r="E623" t="inlineStr">
        <is>
          <t>pagado</t>
        </is>
      </c>
      <c r="F623" s="23" t="n">
        <v>46271</v>
      </c>
      <c r="G623" s="24">
        <f>F623-DATE(2026,8,31)</f>
        <v>6</v>
      </c>
      <c r="H623" s="25" t="n">
        <v>53443457</v>
      </c>
      <c r="I623" t="inlineStr">
        <is>
          <t>entidad-dia</t>
        </is>
      </c>
    </row>
    <row r="624">
      <c r="A624" t="inlineStr">
        <is>
          <t>PRAGMA</t>
        </is>
      </c>
      <c r="B624" t="inlineStr">
        <is>
          <t>M1</t>
        </is>
      </c>
      <c r="C624" t="inlineStr">
        <is>
          <t>Cali</t>
        </is>
      </c>
      <c r="D624" t="inlineStr">
        <is>
          <t>1503</t>
        </is>
      </c>
      <c r="E624" t="inlineStr">
        <is>
          <t>pagado</t>
        </is>
      </c>
      <c r="F624" s="23" t="n">
        <v>46272</v>
      </c>
      <c r="G624" s="24">
        <f>F624-DATE(2026,8,31)</f>
        <v>7</v>
      </c>
      <c r="H624" s="25" t="n">
        <v>78937686</v>
      </c>
      <c r="I624" t="inlineStr">
        <is>
          <t>entidad-dia</t>
        </is>
      </c>
    </row>
    <row r="625">
      <c r="A625" t="inlineStr">
        <is>
          <t>PRAGMA</t>
        </is>
      </c>
      <c r="B625" t="inlineStr">
        <is>
          <t>M1</t>
        </is>
      </c>
      <c r="C625" t="inlineStr">
        <is>
          <t>Cali</t>
        </is>
      </c>
      <c r="D625" t="inlineStr">
        <is>
          <t>1503</t>
        </is>
      </c>
      <c r="E625" t="inlineStr">
        <is>
          <t>pagado</t>
        </is>
      </c>
      <c r="F625" s="23" t="n">
        <v>46273</v>
      </c>
      <c r="G625" s="24">
        <f>F625-DATE(2026,8,31)</f>
        <v>8</v>
      </c>
      <c r="H625" s="25" t="n">
        <v>90356645</v>
      </c>
      <c r="I625" t="inlineStr">
        <is>
          <t>entidad-dia</t>
        </is>
      </c>
    </row>
    <row r="626">
      <c r="A626" t="inlineStr">
        <is>
          <t>PRAGMA</t>
        </is>
      </c>
      <c r="B626" t="inlineStr">
        <is>
          <t>M1</t>
        </is>
      </c>
      <c r="C626" t="inlineStr">
        <is>
          <t>Cali</t>
        </is>
      </c>
      <c r="D626" t="inlineStr">
        <is>
          <t>1503</t>
        </is>
      </c>
      <c r="E626" t="inlineStr">
        <is>
          <t>pagado</t>
        </is>
      </c>
      <c r="F626" s="23" t="n">
        <v>46274</v>
      </c>
      <c r="G626" s="24">
        <f>F626-DATE(2026,8,31)</f>
        <v>9</v>
      </c>
      <c r="H626" s="25" t="n">
        <v>76658270</v>
      </c>
      <c r="I626" t="inlineStr">
        <is>
          <t>entidad-dia</t>
        </is>
      </c>
    </row>
    <row r="627">
      <c r="A627" t="inlineStr">
        <is>
          <t>PRAGMA</t>
        </is>
      </c>
      <c r="B627" t="inlineStr">
        <is>
          <t>M1</t>
        </is>
      </c>
      <c r="C627" t="inlineStr">
        <is>
          <t>Cali</t>
        </is>
      </c>
      <c r="D627" t="inlineStr">
        <is>
          <t>1503</t>
        </is>
      </c>
      <c r="E627" t="inlineStr">
        <is>
          <t>pagado</t>
        </is>
      </c>
      <c r="F627" s="23" t="n">
        <v>46275</v>
      </c>
      <c r="G627" s="24">
        <f>F627-DATE(2026,8,31)</f>
        <v>10</v>
      </c>
      <c r="H627" s="25" t="n">
        <v>64795317</v>
      </c>
      <c r="I627" t="inlineStr">
        <is>
          <t>entidad-dia</t>
        </is>
      </c>
    </row>
    <row r="628">
      <c r="A628" t="inlineStr">
        <is>
          <t>PRAGMA</t>
        </is>
      </c>
      <c r="B628" t="inlineStr">
        <is>
          <t>M1</t>
        </is>
      </c>
      <c r="C628" t="inlineStr">
        <is>
          <t>Cali</t>
        </is>
      </c>
      <c r="D628" t="inlineStr">
        <is>
          <t>1503</t>
        </is>
      </c>
      <c r="E628" t="inlineStr">
        <is>
          <t>pagado</t>
        </is>
      </c>
      <c r="F628" s="23" t="n">
        <v>46276</v>
      </c>
      <c r="G628" s="24">
        <f>F628-DATE(2026,8,31)</f>
        <v>11</v>
      </c>
      <c r="H628" s="25" t="n">
        <v>71938546</v>
      </c>
      <c r="I628" t="inlineStr">
        <is>
          <t>entidad-dia</t>
        </is>
      </c>
    </row>
    <row r="629">
      <c r="A629" t="inlineStr">
        <is>
          <t>PRAGMA</t>
        </is>
      </c>
      <c r="B629" t="inlineStr">
        <is>
          <t>M1</t>
        </is>
      </c>
      <c r="C629" t="inlineStr">
        <is>
          <t>Cali</t>
        </is>
      </c>
      <c r="D629" t="inlineStr">
        <is>
          <t>1503</t>
        </is>
      </c>
      <c r="E629" t="inlineStr">
        <is>
          <t>pagado</t>
        </is>
      </c>
      <c r="F629" s="23" t="n">
        <v>46277</v>
      </c>
      <c r="G629" s="24">
        <f>F629-DATE(2026,8,31)</f>
        <v>12</v>
      </c>
      <c r="H629" s="25" t="n">
        <v>79724331</v>
      </c>
      <c r="I629" t="inlineStr">
        <is>
          <t>entidad-dia</t>
        </is>
      </c>
    </row>
    <row r="630">
      <c r="A630" t="inlineStr">
        <is>
          <t>PRAGMA</t>
        </is>
      </c>
      <c r="B630" t="inlineStr">
        <is>
          <t>M1</t>
        </is>
      </c>
      <c r="C630" t="inlineStr">
        <is>
          <t>Cali</t>
        </is>
      </c>
      <c r="D630" t="inlineStr">
        <is>
          <t>1503</t>
        </is>
      </c>
      <c r="E630" t="inlineStr">
        <is>
          <t>pagado</t>
        </is>
      </c>
      <c r="F630" s="23" t="n">
        <v>46278</v>
      </c>
      <c r="G630" s="24">
        <f>F630-DATE(2026,8,31)</f>
        <v>13</v>
      </c>
      <c r="H630" s="25" t="n">
        <v>41637131</v>
      </c>
      <c r="I630" t="inlineStr">
        <is>
          <t>entidad-dia</t>
        </is>
      </c>
    </row>
    <row r="631">
      <c r="A631" t="inlineStr">
        <is>
          <t>PRAGMA</t>
        </is>
      </c>
      <c r="B631" t="inlineStr">
        <is>
          <t>M1</t>
        </is>
      </c>
      <c r="C631" t="inlineStr">
        <is>
          <t>Cali</t>
        </is>
      </c>
      <c r="D631" t="inlineStr">
        <is>
          <t>1503</t>
        </is>
      </c>
      <c r="E631" t="inlineStr">
        <is>
          <t>pagado</t>
        </is>
      </c>
      <c r="F631" s="23" t="n">
        <v>46279</v>
      </c>
      <c r="G631" s="24">
        <f>F631-DATE(2026,8,31)</f>
        <v>14</v>
      </c>
      <c r="H631" s="25" t="n">
        <v>77633633</v>
      </c>
      <c r="I631" t="inlineStr">
        <is>
          <t>entidad-dia</t>
        </is>
      </c>
    </row>
    <row r="632">
      <c r="A632" t="inlineStr">
        <is>
          <t>PRAGMA</t>
        </is>
      </c>
      <c r="B632" t="inlineStr">
        <is>
          <t>M1</t>
        </is>
      </c>
      <c r="C632" t="inlineStr">
        <is>
          <t>Cali</t>
        </is>
      </c>
      <c r="D632" t="inlineStr">
        <is>
          <t>1503</t>
        </is>
      </c>
      <c r="E632" t="inlineStr">
        <is>
          <t>pagado</t>
        </is>
      </c>
      <c r="F632" s="23" t="n">
        <v>46280</v>
      </c>
      <c r="G632" s="24">
        <f>F632-DATE(2026,8,31)</f>
        <v>15</v>
      </c>
      <c r="H632" s="25" t="n">
        <v>119995350</v>
      </c>
      <c r="I632" t="inlineStr">
        <is>
          <t>entidad-dia</t>
        </is>
      </c>
    </row>
    <row r="633">
      <c r="A633" t="inlineStr">
        <is>
          <t>PRAGMA</t>
        </is>
      </c>
      <c r="B633" t="inlineStr">
        <is>
          <t>M1</t>
        </is>
      </c>
      <c r="C633" t="inlineStr">
        <is>
          <t>Cali</t>
        </is>
      </c>
      <c r="D633" t="inlineStr">
        <is>
          <t>1504</t>
        </is>
      </c>
      <c r="E633" t="inlineStr">
        <is>
          <t>pagado</t>
        </is>
      </c>
      <c r="F633" s="23" t="n">
        <v>46266</v>
      </c>
      <c r="G633" s="24">
        <f>F633-DATE(2026,8,31)</f>
        <v>1</v>
      </c>
      <c r="H633" s="25" t="n">
        <v>149084356</v>
      </c>
      <c r="I633" t="inlineStr">
        <is>
          <t>entidad-dia</t>
        </is>
      </c>
    </row>
    <row r="634">
      <c r="A634" t="inlineStr">
        <is>
          <t>PRAGMA</t>
        </is>
      </c>
      <c r="B634" t="inlineStr">
        <is>
          <t>M1</t>
        </is>
      </c>
      <c r="C634" t="inlineStr">
        <is>
          <t>Cali</t>
        </is>
      </c>
      <c r="D634" t="inlineStr">
        <is>
          <t>1504</t>
        </is>
      </c>
      <c r="E634" t="inlineStr">
        <is>
          <t>pagado</t>
        </is>
      </c>
      <c r="F634" s="23" t="n">
        <v>46267</v>
      </c>
      <c r="G634" s="24">
        <f>F634-DATE(2026,8,31)</f>
        <v>2</v>
      </c>
      <c r="H634" s="25" t="n">
        <v>121733617</v>
      </c>
      <c r="I634" t="inlineStr">
        <is>
          <t>entidad-dia</t>
        </is>
      </c>
    </row>
    <row r="635">
      <c r="A635" t="inlineStr">
        <is>
          <t>PRAGMA</t>
        </is>
      </c>
      <c r="B635" t="inlineStr">
        <is>
          <t>M1</t>
        </is>
      </c>
      <c r="C635" t="inlineStr">
        <is>
          <t>Cali</t>
        </is>
      </c>
      <c r="D635" t="inlineStr">
        <is>
          <t>1504</t>
        </is>
      </c>
      <c r="E635" t="inlineStr">
        <is>
          <t>pagado</t>
        </is>
      </c>
      <c r="F635" s="23" t="n">
        <v>46268</v>
      </c>
      <c r="G635" s="24">
        <f>F635-DATE(2026,8,31)</f>
        <v>3</v>
      </c>
      <c r="H635" s="25" t="n">
        <v>105485632</v>
      </c>
      <c r="I635" t="inlineStr">
        <is>
          <t>entidad-dia</t>
        </is>
      </c>
    </row>
    <row r="636">
      <c r="A636" t="inlineStr">
        <is>
          <t>PRAGMA</t>
        </is>
      </c>
      <c r="B636" t="inlineStr">
        <is>
          <t>M1</t>
        </is>
      </c>
      <c r="C636" t="inlineStr">
        <is>
          <t>Cali</t>
        </is>
      </c>
      <c r="D636" t="inlineStr">
        <is>
          <t>1504</t>
        </is>
      </c>
      <c r="E636" t="inlineStr">
        <is>
          <t>pagado</t>
        </is>
      </c>
      <c r="F636" s="23" t="n">
        <v>46269</v>
      </c>
      <c r="G636" s="24">
        <f>F636-DATE(2026,8,31)</f>
        <v>4</v>
      </c>
      <c r="H636" s="25" t="n">
        <v>105066672</v>
      </c>
      <c r="I636" t="inlineStr">
        <is>
          <t>entidad-dia</t>
        </is>
      </c>
    </row>
    <row r="637">
      <c r="A637" t="inlineStr">
        <is>
          <t>PRAGMA</t>
        </is>
      </c>
      <c r="B637" t="inlineStr">
        <is>
          <t>M1</t>
        </is>
      </c>
      <c r="C637" t="inlineStr">
        <is>
          <t>Cali</t>
        </is>
      </c>
      <c r="D637" t="inlineStr">
        <is>
          <t>1504</t>
        </is>
      </c>
      <c r="E637" t="inlineStr">
        <is>
          <t>pagado</t>
        </is>
      </c>
      <c r="F637" s="23" t="n">
        <v>46270</v>
      </c>
      <c r="G637" s="24">
        <f>F637-DATE(2026,8,31)</f>
        <v>5</v>
      </c>
      <c r="H637" s="25" t="n">
        <v>105066082</v>
      </c>
      <c r="I637" t="inlineStr">
        <is>
          <t>entidad-dia</t>
        </is>
      </c>
    </row>
    <row r="638">
      <c r="A638" t="inlineStr">
        <is>
          <t>PRAGMA</t>
        </is>
      </c>
      <c r="B638" t="inlineStr">
        <is>
          <t>M1</t>
        </is>
      </c>
      <c r="C638" t="inlineStr">
        <is>
          <t>Cali</t>
        </is>
      </c>
      <c r="D638" t="inlineStr">
        <is>
          <t>1504</t>
        </is>
      </c>
      <c r="E638" t="inlineStr">
        <is>
          <t>pagado</t>
        </is>
      </c>
      <c r="F638" s="23" t="n">
        <v>46271</v>
      </c>
      <c r="G638" s="24">
        <f>F638-DATE(2026,8,31)</f>
        <v>6</v>
      </c>
      <c r="H638" s="25" t="n">
        <v>73945360</v>
      </c>
      <c r="I638" t="inlineStr">
        <is>
          <t>entidad-dia</t>
        </is>
      </c>
    </row>
    <row r="639">
      <c r="A639" t="inlineStr">
        <is>
          <t>PRAGMA</t>
        </is>
      </c>
      <c r="B639" t="inlineStr">
        <is>
          <t>M1</t>
        </is>
      </c>
      <c r="C639" t="inlineStr">
        <is>
          <t>Cali</t>
        </is>
      </c>
      <c r="D639" t="inlineStr">
        <is>
          <t>1504</t>
        </is>
      </c>
      <c r="E639" t="inlineStr">
        <is>
          <t>pagado</t>
        </is>
      </c>
      <c r="F639" s="23" t="n">
        <v>46272</v>
      </c>
      <c r="G639" s="24">
        <f>F639-DATE(2026,8,31)</f>
        <v>7</v>
      </c>
      <c r="H639" s="25" t="n">
        <v>87981264</v>
      </c>
      <c r="I639" t="inlineStr">
        <is>
          <t>entidad-dia</t>
        </is>
      </c>
    </row>
    <row r="640">
      <c r="A640" t="inlineStr">
        <is>
          <t>PRAGMA</t>
        </is>
      </c>
      <c r="B640" t="inlineStr">
        <is>
          <t>M1</t>
        </is>
      </c>
      <c r="C640" t="inlineStr">
        <is>
          <t>Cali</t>
        </is>
      </c>
      <c r="D640" t="inlineStr">
        <is>
          <t>1504</t>
        </is>
      </c>
      <c r="E640" t="inlineStr">
        <is>
          <t>pagado</t>
        </is>
      </c>
      <c r="F640" s="23" t="n">
        <v>46273</v>
      </c>
      <c r="G640" s="24">
        <f>F640-DATE(2026,8,31)</f>
        <v>8</v>
      </c>
      <c r="H640" s="25" t="n">
        <v>90094096</v>
      </c>
      <c r="I640" t="inlineStr">
        <is>
          <t>entidad-dia</t>
        </is>
      </c>
    </row>
    <row r="641">
      <c r="A641" t="inlineStr">
        <is>
          <t>PRAGMA</t>
        </is>
      </c>
      <c r="B641" t="inlineStr">
        <is>
          <t>M1</t>
        </is>
      </c>
      <c r="C641" t="inlineStr">
        <is>
          <t>Cali</t>
        </is>
      </c>
      <c r="D641" t="inlineStr">
        <is>
          <t>1504</t>
        </is>
      </c>
      <c r="E641" t="inlineStr">
        <is>
          <t>pagado</t>
        </is>
      </c>
      <c r="F641" s="23" t="n">
        <v>46274</v>
      </c>
      <c r="G641" s="24">
        <f>F641-DATE(2026,8,31)</f>
        <v>9</v>
      </c>
      <c r="H641" s="25" t="n">
        <v>89213599</v>
      </c>
      <c r="I641" t="inlineStr">
        <is>
          <t>entidad-dia</t>
        </is>
      </c>
    </row>
    <row r="642">
      <c r="A642" t="inlineStr">
        <is>
          <t>PRAGMA</t>
        </is>
      </c>
      <c r="B642" t="inlineStr">
        <is>
          <t>M1</t>
        </is>
      </c>
      <c r="C642" t="inlineStr">
        <is>
          <t>Cali</t>
        </is>
      </c>
      <c r="D642" t="inlineStr">
        <is>
          <t>1504</t>
        </is>
      </c>
      <c r="E642" t="inlineStr">
        <is>
          <t>pagado</t>
        </is>
      </c>
      <c r="F642" s="23" t="n">
        <v>46275</v>
      </c>
      <c r="G642" s="24">
        <f>F642-DATE(2026,8,31)</f>
        <v>10</v>
      </c>
      <c r="H642" s="25" t="n">
        <v>70747003</v>
      </c>
      <c r="I642" t="inlineStr">
        <is>
          <t>entidad-dia</t>
        </is>
      </c>
    </row>
    <row r="643">
      <c r="A643" t="inlineStr">
        <is>
          <t>PRAGMA</t>
        </is>
      </c>
      <c r="B643" t="inlineStr">
        <is>
          <t>M1</t>
        </is>
      </c>
      <c r="C643" t="inlineStr">
        <is>
          <t>Cali</t>
        </is>
      </c>
      <c r="D643" t="inlineStr">
        <is>
          <t>1504</t>
        </is>
      </c>
      <c r="E643" t="inlineStr">
        <is>
          <t>pagado</t>
        </is>
      </c>
      <c r="F643" s="23" t="n">
        <v>46276</v>
      </c>
      <c r="G643" s="24">
        <f>F643-DATE(2026,8,31)</f>
        <v>11</v>
      </c>
      <c r="H643" s="25" t="n">
        <v>73631384</v>
      </c>
      <c r="I643" t="inlineStr">
        <is>
          <t>entidad-dia</t>
        </is>
      </c>
    </row>
    <row r="644">
      <c r="A644" t="inlineStr">
        <is>
          <t>PRAGMA</t>
        </is>
      </c>
      <c r="B644" t="inlineStr">
        <is>
          <t>M1</t>
        </is>
      </c>
      <c r="C644" t="inlineStr">
        <is>
          <t>Cali</t>
        </is>
      </c>
      <c r="D644" t="inlineStr">
        <is>
          <t>1504</t>
        </is>
      </c>
      <c r="E644" t="inlineStr">
        <is>
          <t>pagado</t>
        </is>
      </c>
      <c r="F644" s="23" t="n">
        <v>46277</v>
      </c>
      <c r="G644" s="24">
        <f>F644-DATE(2026,8,31)</f>
        <v>12</v>
      </c>
      <c r="H644" s="25" t="n">
        <v>79011136</v>
      </c>
      <c r="I644" t="inlineStr">
        <is>
          <t>entidad-dia</t>
        </is>
      </c>
    </row>
    <row r="645">
      <c r="A645" t="inlineStr">
        <is>
          <t>PRAGMA</t>
        </is>
      </c>
      <c r="B645" t="inlineStr">
        <is>
          <t>M1</t>
        </is>
      </c>
      <c r="C645" t="inlineStr">
        <is>
          <t>Cali</t>
        </is>
      </c>
      <c r="D645" t="inlineStr">
        <is>
          <t>1504</t>
        </is>
      </c>
      <c r="E645" t="inlineStr">
        <is>
          <t>pagado</t>
        </is>
      </c>
      <c r="F645" s="23" t="n">
        <v>46278</v>
      </c>
      <c r="G645" s="24">
        <f>F645-DATE(2026,8,31)</f>
        <v>13</v>
      </c>
      <c r="H645" s="25" t="n">
        <v>51933318</v>
      </c>
      <c r="I645" t="inlineStr">
        <is>
          <t>entidad-dia</t>
        </is>
      </c>
    </row>
    <row r="646">
      <c r="A646" t="inlineStr">
        <is>
          <t>PRAGMA</t>
        </is>
      </c>
      <c r="B646" t="inlineStr">
        <is>
          <t>M1</t>
        </is>
      </c>
      <c r="C646" t="inlineStr">
        <is>
          <t>Cali</t>
        </is>
      </c>
      <c r="D646" t="inlineStr">
        <is>
          <t>1504</t>
        </is>
      </c>
      <c r="E646" t="inlineStr">
        <is>
          <t>pagado</t>
        </is>
      </c>
      <c r="F646" s="23" t="n">
        <v>46279</v>
      </c>
      <c r="G646" s="24">
        <f>F646-DATE(2026,8,31)</f>
        <v>14</v>
      </c>
      <c r="H646" s="25" t="n">
        <v>79345456</v>
      </c>
      <c r="I646" t="inlineStr">
        <is>
          <t>entidad-dia</t>
        </is>
      </c>
    </row>
    <row r="647">
      <c r="A647" t="inlineStr">
        <is>
          <t>PRAGMA</t>
        </is>
      </c>
      <c r="B647" t="inlineStr">
        <is>
          <t>M1</t>
        </is>
      </c>
      <c r="C647" t="inlineStr">
        <is>
          <t>Cali</t>
        </is>
      </c>
      <c r="D647" t="inlineStr">
        <is>
          <t>1504</t>
        </is>
      </c>
      <c r="E647" t="inlineStr">
        <is>
          <t>pagado</t>
        </is>
      </c>
      <c r="F647" s="23" t="n">
        <v>46280</v>
      </c>
      <c r="G647" s="24">
        <f>F647-DATE(2026,8,31)</f>
        <v>15</v>
      </c>
      <c r="H647" s="25" t="n">
        <v>118738580</v>
      </c>
      <c r="I647" t="inlineStr">
        <is>
          <t>entidad-dia</t>
        </is>
      </c>
    </row>
    <row r="648">
      <c r="A648" t="inlineStr">
        <is>
          <t>PRAGMA</t>
        </is>
      </c>
      <c r="B648" t="inlineStr">
        <is>
          <t>M1</t>
        </is>
      </c>
      <c r="C648" t="inlineStr">
        <is>
          <t>Cali</t>
        </is>
      </c>
      <c r="D648" t="inlineStr">
        <is>
          <t>1516</t>
        </is>
      </c>
      <c r="E648" t="inlineStr">
        <is>
          <t>pagado</t>
        </is>
      </c>
      <c r="F648" s="23" t="n">
        <v>46266</v>
      </c>
      <c r="G648" s="24">
        <f>F648-DATE(2026,8,31)</f>
        <v>1</v>
      </c>
      <c r="H648" s="25" t="n">
        <v>156827195</v>
      </c>
      <c r="I648" t="inlineStr">
        <is>
          <t>entidad-dia</t>
        </is>
      </c>
    </row>
    <row r="649">
      <c r="A649" t="inlineStr">
        <is>
          <t>PRAGMA</t>
        </is>
      </c>
      <c r="B649" t="inlineStr">
        <is>
          <t>M1</t>
        </is>
      </c>
      <c r="C649" t="inlineStr">
        <is>
          <t>Cali</t>
        </is>
      </c>
      <c r="D649" t="inlineStr">
        <is>
          <t>1516</t>
        </is>
      </c>
      <c r="E649" t="inlineStr">
        <is>
          <t>pagado</t>
        </is>
      </c>
      <c r="F649" s="23" t="n">
        <v>46267</v>
      </c>
      <c r="G649" s="24">
        <f>F649-DATE(2026,8,31)</f>
        <v>2</v>
      </c>
      <c r="H649" s="25" t="n">
        <v>117557839</v>
      </c>
      <c r="I649" t="inlineStr">
        <is>
          <t>entidad-dia</t>
        </is>
      </c>
    </row>
    <row r="650">
      <c r="A650" t="inlineStr">
        <is>
          <t>PRAGMA</t>
        </is>
      </c>
      <c r="B650" t="inlineStr">
        <is>
          <t>M1</t>
        </is>
      </c>
      <c r="C650" t="inlineStr">
        <is>
          <t>Cali</t>
        </is>
      </c>
      <c r="D650" t="inlineStr">
        <is>
          <t>1516</t>
        </is>
      </c>
      <c r="E650" t="inlineStr">
        <is>
          <t>pagado</t>
        </is>
      </c>
      <c r="F650" s="23" t="n">
        <v>46268</v>
      </c>
      <c r="G650" s="24">
        <f>F650-DATE(2026,8,31)</f>
        <v>3</v>
      </c>
      <c r="H650" s="25" t="n">
        <v>101010969</v>
      </c>
      <c r="I650" t="inlineStr">
        <is>
          <t>entidad-dia</t>
        </is>
      </c>
    </row>
    <row r="651">
      <c r="A651" t="inlineStr">
        <is>
          <t>PRAGMA</t>
        </is>
      </c>
      <c r="B651" t="inlineStr">
        <is>
          <t>M1</t>
        </is>
      </c>
      <c r="C651" t="inlineStr">
        <is>
          <t>Cali</t>
        </is>
      </c>
      <c r="D651" t="inlineStr">
        <is>
          <t>1516</t>
        </is>
      </c>
      <c r="E651" t="inlineStr">
        <is>
          <t>pagado</t>
        </is>
      </c>
      <c r="F651" s="23" t="n">
        <v>46269</v>
      </c>
      <c r="G651" s="24">
        <f>F651-DATE(2026,8,31)</f>
        <v>4</v>
      </c>
      <c r="H651" s="25" t="n">
        <v>109207437</v>
      </c>
      <c r="I651" t="inlineStr">
        <is>
          <t>entidad-dia</t>
        </is>
      </c>
    </row>
    <row r="652">
      <c r="A652" t="inlineStr">
        <is>
          <t>PRAGMA</t>
        </is>
      </c>
      <c r="B652" t="inlineStr">
        <is>
          <t>M1</t>
        </is>
      </c>
      <c r="C652" t="inlineStr">
        <is>
          <t>Cali</t>
        </is>
      </c>
      <c r="D652" t="inlineStr">
        <is>
          <t>1516</t>
        </is>
      </c>
      <c r="E652" t="inlineStr">
        <is>
          <t>pagado</t>
        </is>
      </c>
      <c r="F652" s="23" t="n">
        <v>46270</v>
      </c>
      <c r="G652" s="24">
        <f>F652-DATE(2026,8,31)</f>
        <v>5</v>
      </c>
      <c r="H652" s="25" t="n">
        <v>115872536</v>
      </c>
      <c r="I652" t="inlineStr">
        <is>
          <t>entidad-dia</t>
        </is>
      </c>
    </row>
    <row r="653">
      <c r="A653" t="inlineStr">
        <is>
          <t>PRAGMA</t>
        </is>
      </c>
      <c r="B653" t="inlineStr">
        <is>
          <t>M1</t>
        </is>
      </c>
      <c r="C653" t="inlineStr">
        <is>
          <t>Cali</t>
        </is>
      </c>
      <c r="D653" t="inlineStr">
        <is>
          <t>1516</t>
        </is>
      </c>
      <c r="E653" t="inlineStr">
        <is>
          <t>pagado</t>
        </is>
      </c>
      <c r="F653" s="23" t="n">
        <v>46271</v>
      </c>
      <c r="G653" s="24">
        <f>F653-DATE(2026,8,31)</f>
        <v>6</v>
      </c>
      <c r="H653" s="25" t="n">
        <v>75280595</v>
      </c>
      <c r="I653" t="inlineStr">
        <is>
          <t>entidad-dia</t>
        </is>
      </c>
    </row>
    <row r="654">
      <c r="A654" t="inlineStr">
        <is>
          <t>PRAGMA</t>
        </is>
      </c>
      <c r="B654" t="inlineStr">
        <is>
          <t>M1</t>
        </is>
      </c>
      <c r="C654" t="inlineStr">
        <is>
          <t>Cali</t>
        </is>
      </c>
      <c r="D654" t="inlineStr">
        <is>
          <t>1516</t>
        </is>
      </c>
      <c r="E654" t="inlineStr">
        <is>
          <t>pagado</t>
        </is>
      </c>
      <c r="F654" s="23" t="n">
        <v>46272</v>
      </c>
      <c r="G654" s="24">
        <f>F654-DATE(2026,8,31)</f>
        <v>7</v>
      </c>
      <c r="H654" s="25" t="n">
        <v>82496552</v>
      </c>
      <c r="I654" t="inlineStr">
        <is>
          <t>entidad-dia</t>
        </is>
      </c>
    </row>
    <row r="655">
      <c r="A655" t="inlineStr">
        <is>
          <t>PRAGMA</t>
        </is>
      </c>
      <c r="B655" t="inlineStr">
        <is>
          <t>M1</t>
        </is>
      </c>
      <c r="C655" t="inlineStr">
        <is>
          <t>Cali</t>
        </is>
      </c>
      <c r="D655" t="inlineStr">
        <is>
          <t>1516</t>
        </is>
      </c>
      <c r="E655" t="inlineStr">
        <is>
          <t>pagado</t>
        </is>
      </c>
      <c r="F655" s="23" t="n">
        <v>46273</v>
      </c>
      <c r="G655" s="24">
        <f>F655-DATE(2026,8,31)</f>
        <v>8</v>
      </c>
      <c r="H655" s="25" t="n">
        <v>79007640</v>
      </c>
      <c r="I655" t="inlineStr">
        <is>
          <t>entidad-dia</t>
        </is>
      </c>
    </row>
    <row r="656">
      <c r="A656" t="inlineStr">
        <is>
          <t>PRAGMA</t>
        </is>
      </c>
      <c r="B656" t="inlineStr">
        <is>
          <t>M1</t>
        </is>
      </c>
      <c r="C656" t="inlineStr">
        <is>
          <t>Cali</t>
        </is>
      </c>
      <c r="D656" t="inlineStr">
        <is>
          <t>1516</t>
        </is>
      </c>
      <c r="E656" t="inlineStr">
        <is>
          <t>pagado</t>
        </is>
      </c>
      <c r="F656" s="23" t="n">
        <v>46274</v>
      </c>
      <c r="G656" s="24">
        <f>F656-DATE(2026,8,31)</f>
        <v>9</v>
      </c>
      <c r="H656" s="25" t="n">
        <v>79860601</v>
      </c>
      <c r="I656" t="inlineStr">
        <is>
          <t>entidad-dia</t>
        </is>
      </c>
    </row>
    <row r="657">
      <c r="A657" t="inlineStr">
        <is>
          <t>PRAGMA</t>
        </is>
      </c>
      <c r="B657" t="inlineStr">
        <is>
          <t>M1</t>
        </is>
      </c>
      <c r="C657" t="inlineStr">
        <is>
          <t>Cali</t>
        </is>
      </c>
      <c r="D657" t="inlineStr">
        <is>
          <t>1516</t>
        </is>
      </c>
      <c r="E657" t="inlineStr">
        <is>
          <t>pagado</t>
        </is>
      </c>
      <c r="F657" s="23" t="n">
        <v>46275</v>
      </c>
      <c r="G657" s="24">
        <f>F657-DATE(2026,8,31)</f>
        <v>10</v>
      </c>
      <c r="H657" s="25" t="n">
        <v>67694893</v>
      </c>
      <c r="I657" t="inlineStr">
        <is>
          <t>entidad-dia</t>
        </is>
      </c>
    </row>
    <row r="658">
      <c r="A658" t="inlineStr">
        <is>
          <t>PRAGMA</t>
        </is>
      </c>
      <c r="B658" t="inlineStr">
        <is>
          <t>M1</t>
        </is>
      </c>
      <c r="C658" t="inlineStr">
        <is>
          <t>Cali</t>
        </is>
      </c>
      <c r="D658" t="inlineStr">
        <is>
          <t>1516</t>
        </is>
      </c>
      <c r="E658" t="inlineStr">
        <is>
          <t>pagado</t>
        </is>
      </c>
      <c r="F658" s="23" t="n">
        <v>46276</v>
      </c>
      <c r="G658" s="24">
        <f>F658-DATE(2026,8,31)</f>
        <v>11</v>
      </c>
      <c r="H658" s="25" t="n">
        <v>77482909</v>
      </c>
      <c r="I658" t="inlineStr">
        <is>
          <t>entidad-dia</t>
        </is>
      </c>
    </row>
    <row r="659">
      <c r="A659" t="inlineStr">
        <is>
          <t>PRAGMA</t>
        </is>
      </c>
      <c r="B659" t="inlineStr">
        <is>
          <t>M1</t>
        </is>
      </c>
      <c r="C659" t="inlineStr">
        <is>
          <t>Cali</t>
        </is>
      </c>
      <c r="D659" t="inlineStr">
        <is>
          <t>1516</t>
        </is>
      </c>
      <c r="E659" t="inlineStr">
        <is>
          <t>pagado</t>
        </is>
      </c>
      <c r="F659" s="23" t="n">
        <v>46277</v>
      </c>
      <c r="G659" s="24">
        <f>F659-DATE(2026,8,31)</f>
        <v>12</v>
      </c>
      <c r="H659" s="25" t="n">
        <v>76382137</v>
      </c>
      <c r="I659" t="inlineStr">
        <is>
          <t>entidad-dia</t>
        </is>
      </c>
    </row>
    <row r="660">
      <c r="A660" t="inlineStr">
        <is>
          <t>PRAGMA</t>
        </is>
      </c>
      <c r="B660" t="inlineStr">
        <is>
          <t>M1</t>
        </is>
      </c>
      <c r="C660" t="inlineStr">
        <is>
          <t>Cali</t>
        </is>
      </c>
      <c r="D660" t="inlineStr">
        <is>
          <t>1516</t>
        </is>
      </c>
      <c r="E660" t="inlineStr">
        <is>
          <t>pagado</t>
        </is>
      </c>
      <c r="F660" s="23" t="n">
        <v>46278</v>
      </c>
      <c r="G660" s="24">
        <f>F660-DATE(2026,8,31)</f>
        <v>13</v>
      </c>
      <c r="H660" s="25" t="n">
        <v>56996736</v>
      </c>
      <c r="I660" t="inlineStr">
        <is>
          <t>entidad-dia</t>
        </is>
      </c>
    </row>
    <row r="661">
      <c r="A661" t="inlineStr">
        <is>
          <t>PRAGMA</t>
        </is>
      </c>
      <c r="B661" t="inlineStr">
        <is>
          <t>M1</t>
        </is>
      </c>
      <c r="C661" t="inlineStr">
        <is>
          <t>Cali</t>
        </is>
      </c>
      <c r="D661" t="inlineStr">
        <is>
          <t>1516</t>
        </is>
      </c>
      <c r="E661" t="inlineStr">
        <is>
          <t>pagado</t>
        </is>
      </c>
      <c r="F661" s="23" t="n">
        <v>46279</v>
      </c>
      <c r="G661" s="24">
        <f>F661-DATE(2026,8,31)</f>
        <v>14</v>
      </c>
      <c r="H661" s="25" t="n">
        <v>83688155</v>
      </c>
      <c r="I661" t="inlineStr">
        <is>
          <t>entidad-dia</t>
        </is>
      </c>
    </row>
    <row r="662">
      <c r="A662" t="inlineStr">
        <is>
          <t>PRAGMA</t>
        </is>
      </c>
      <c r="B662" t="inlineStr">
        <is>
          <t>M1</t>
        </is>
      </c>
      <c r="C662" t="inlineStr">
        <is>
          <t>Cali</t>
        </is>
      </c>
      <c r="D662" t="inlineStr">
        <is>
          <t>1516</t>
        </is>
      </c>
      <c r="E662" t="inlineStr">
        <is>
          <t>pagado</t>
        </is>
      </c>
      <c r="F662" s="23" t="n">
        <v>46280</v>
      </c>
      <c r="G662" s="24">
        <f>F662-DATE(2026,8,31)</f>
        <v>15</v>
      </c>
      <c r="H662" s="25" t="n">
        <v>122180703</v>
      </c>
      <c r="I662" t="inlineStr">
        <is>
          <t>entidad-dia</t>
        </is>
      </c>
    </row>
    <row r="663">
      <c r="A663" t="inlineStr">
        <is>
          <t>PRAGMA</t>
        </is>
      </c>
      <c r="B663" t="inlineStr">
        <is>
          <t>M1</t>
        </is>
      </c>
      <c r="C663" t="inlineStr">
        <is>
          <t>Cali</t>
        </is>
      </c>
      <c r="D663" t="inlineStr">
        <is>
          <t>1517</t>
        </is>
      </c>
      <c r="E663" t="inlineStr">
        <is>
          <t>pagado</t>
        </is>
      </c>
      <c r="F663" s="23" t="n">
        <v>46266</v>
      </c>
      <c r="G663" s="24">
        <f>F663-DATE(2026,8,31)</f>
        <v>1</v>
      </c>
      <c r="H663" s="25" t="n">
        <v>166766313</v>
      </c>
      <c r="I663" t="inlineStr">
        <is>
          <t>entidad-dia</t>
        </is>
      </c>
    </row>
    <row r="664">
      <c r="A664" t="inlineStr">
        <is>
          <t>PRAGMA</t>
        </is>
      </c>
      <c r="B664" t="inlineStr">
        <is>
          <t>M1</t>
        </is>
      </c>
      <c r="C664" t="inlineStr">
        <is>
          <t>Cali</t>
        </is>
      </c>
      <c r="D664" t="inlineStr">
        <is>
          <t>1517</t>
        </is>
      </c>
      <c r="E664" t="inlineStr">
        <is>
          <t>pagado</t>
        </is>
      </c>
      <c r="F664" s="23" t="n">
        <v>46267</v>
      </c>
      <c r="G664" s="24">
        <f>F664-DATE(2026,8,31)</f>
        <v>2</v>
      </c>
      <c r="H664" s="25" t="n">
        <v>125921470</v>
      </c>
      <c r="I664" t="inlineStr">
        <is>
          <t>entidad-dia</t>
        </is>
      </c>
    </row>
    <row r="665">
      <c r="A665" t="inlineStr">
        <is>
          <t>PRAGMA</t>
        </is>
      </c>
      <c r="B665" t="inlineStr">
        <is>
          <t>M1</t>
        </is>
      </c>
      <c r="C665" t="inlineStr">
        <is>
          <t>Cali</t>
        </is>
      </c>
      <c r="D665" t="inlineStr">
        <is>
          <t>1517</t>
        </is>
      </c>
      <c r="E665" t="inlineStr">
        <is>
          <t>pagado</t>
        </is>
      </c>
      <c r="F665" s="23" t="n">
        <v>46268</v>
      </c>
      <c r="G665" s="24">
        <f>F665-DATE(2026,8,31)</f>
        <v>3</v>
      </c>
      <c r="H665" s="25" t="n">
        <v>112392151</v>
      </c>
      <c r="I665" t="inlineStr">
        <is>
          <t>entidad-dia</t>
        </is>
      </c>
    </row>
    <row r="666">
      <c r="A666" t="inlineStr">
        <is>
          <t>PRAGMA</t>
        </is>
      </c>
      <c r="B666" t="inlineStr">
        <is>
          <t>M1</t>
        </is>
      </c>
      <c r="C666" t="inlineStr">
        <is>
          <t>Cali</t>
        </is>
      </c>
      <c r="D666" t="inlineStr">
        <is>
          <t>1517</t>
        </is>
      </c>
      <c r="E666" t="inlineStr">
        <is>
          <t>pagado</t>
        </is>
      </c>
      <c r="F666" s="23" t="n">
        <v>46269</v>
      </c>
      <c r="G666" s="24">
        <f>F666-DATE(2026,8,31)</f>
        <v>4</v>
      </c>
      <c r="H666" s="25" t="n">
        <v>125805417</v>
      </c>
      <c r="I666" t="inlineStr">
        <is>
          <t>entidad-dia</t>
        </is>
      </c>
    </row>
    <row r="667">
      <c r="A667" t="inlineStr">
        <is>
          <t>PRAGMA</t>
        </is>
      </c>
      <c r="B667" t="inlineStr">
        <is>
          <t>M1</t>
        </is>
      </c>
      <c r="C667" t="inlineStr">
        <is>
          <t>Cali</t>
        </is>
      </c>
      <c r="D667" t="inlineStr">
        <is>
          <t>1517</t>
        </is>
      </c>
      <c r="E667" t="inlineStr">
        <is>
          <t>pagado</t>
        </is>
      </c>
      <c r="F667" s="23" t="n">
        <v>46270</v>
      </c>
      <c r="G667" s="24">
        <f>F667-DATE(2026,8,31)</f>
        <v>5</v>
      </c>
      <c r="H667" s="25" t="n">
        <v>125578502</v>
      </c>
      <c r="I667" t="inlineStr">
        <is>
          <t>entidad-dia</t>
        </is>
      </c>
    </row>
    <row r="668">
      <c r="A668" t="inlineStr">
        <is>
          <t>PRAGMA</t>
        </is>
      </c>
      <c r="B668" t="inlineStr">
        <is>
          <t>M1</t>
        </is>
      </c>
      <c r="C668" t="inlineStr">
        <is>
          <t>Cali</t>
        </is>
      </c>
      <c r="D668" t="inlineStr">
        <is>
          <t>1517</t>
        </is>
      </c>
      <c r="E668" t="inlineStr">
        <is>
          <t>pagado</t>
        </is>
      </c>
      <c r="F668" s="23" t="n">
        <v>46271</v>
      </c>
      <c r="G668" s="24">
        <f>F668-DATE(2026,8,31)</f>
        <v>6</v>
      </c>
      <c r="H668" s="25" t="n">
        <v>95643123</v>
      </c>
      <c r="I668" t="inlineStr">
        <is>
          <t>entidad-dia</t>
        </is>
      </c>
    </row>
    <row r="669">
      <c r="A669" t="inlineStr">
        <is>
          <t>PRAGMA</t>
        </is>
      </c>
      <c r="B669" t="inlineStr">
        <is>
          <t>M1</t>
        </is>
      </c>
      <c r="C669" t="inlineStr">
        <is>
          <t>Cali</t>
        </is>
      </c>
      <c r="D669" t="inlineStr">
        <is>
          <t>1517</t>
        </is>
      </c>
      <c r="E669" t="inlineStr">
        <is>
          <t>pagado</t>
        </is>
      </c>
      <c r="F669" s="23" t="n">
        <v>46272</v>
      </c>
      <c r="G669" s="24">
        <f>F669-DATE(2026,8,31)</f>
        <v>7</v>
      </c>
      <c r="H669" s="25" t="n">
        <v>91099471</v>
      </c>
      <c r="I669" t="inlineStr">
        <is>
          <t>entidad-dia</t>
        </is>
      </c>
    </row>
    <row r="670">
      <c r="A670" t="inlineStr">
        <is>
          <t>PRAGMA</t>
        </is>
      </c>
      <c r="B670" t="inlineStr">
        <is>
          <t>M1</t>
        </is>
      </c>
      <c r="C670" t="inlineStr">
        <is>
          <t>Cali</t>
        </is>
      </c>
      <c r="D670" t="inlineStr">
        <is>
          <t>1517</t>
        </is>
      </c>
      <c r="E670" t="inlineStr">
        <is>
          <t>pagado</t>
        </is>
      </c>
      <c r="F670" s="23" t="n">
        <v>46273</v>
      </c>
      <c r="G670" s="24">
        <f>F670-DATE(2026,8,31)</f>
        <v>8</v>
      </c>
      <c r="H670" s="25" t="n">
        <v>82455682</v>
      </c>
      <c r="I670" t="inlineStr">
        <is>
          <t>entidad-dia</t>
        </is>
      </c>
    </row>
    <row r="671">
      <c r="A671" t="inlineStr">
        <is>
          <t>PRAGMA</t>
        </is>
      </c>
      <c r="B671" t="inlineStr">
        <is>
          <t>M1</t>
        </is>
      </c>
      <c r="C671" t="inlineStr">
        <is>
          <t>Cali</t>
        </is>
      </c>
      <c r="D671" t="inlineStr">
        <is>
          <t>1517</t>
        </is>
      </c>
      <c r="E671" t="inlineStr">
        <is>
          <t>pagado</t>
        </is>
      </c>
      <c r="F671" s="23" t="n">
        <v>46274</v>
      </c>
      <c r="G671" s="24">
        <f>F671-DATE(2026,8,31)</f>
        <v>9</v>
      </c>
      <c r="H671" s="25" t="n">
        <v>85049386</v>
      </c>
      <c r="I671" t="inlineStr">
        <is>
          <t>entidad-dia</t>
        </is>
      </c>
    </row>
    <row r="672">
      <c r="A672" t="inlineStr">
        <is>
          <t>PRAGMA</t>
        </is>
      </c>
      <c r="B672" t="inlineStr">
        <is>
          <t>M1</t>
        </is>
      </c>
      <c r="C672" t="inlineStr">
        <is>
          <t>Cali</t>
        </is>
      </c>
      <c r="D672" t="inlineStr">
        <is>
          <t>1517</t>
        </is>
      </c>
      <c r="E672" t="inlineStr">
        <is>
          <t>pagado</t>
        </is>
      </c>
      <c r="F672" s="23" t="n">
        <v>46275</v>
      </c>
      <c r="G672" s="24">
        <f>F672-DATE(2026,8,31)</f>
        <v>10</v>
      </c>
      <c r="H672" s="25" t="n">
        <v>75365853</v>
      </c>
      <c r="I672" t="inlineStr">
        <is>
          <t>entidad-dia</t>
        </is>
      </c>
    </row>
    <row r="673">
      <c r="A673" t="inlineStr">
        <is>
          <t>PRAGMA</t>
        </is>
      </c>
      <c r="B673" t="inlineStr">
        <is>
          <t>M1</t>
        </is>
      </c>
      <c r="C673" t="inlineStr">
        <is>
          <t>Cali</t>
        </is>
      </c>
      <c r="D673" t="inlineStr">
        <is>
          <t>1517</t>
        </is>
      </c>
      <c r="E673" t="inlineStr">
        <is>
          <t>pagado</t>
        </is>
      </c>
      <c r="F673" s="23" t="n">
        <v>46276</v>
      </c>
      <c r="G673" s="24">
        <f>F673-DATE(2026,8,31)</f>
        <v>11</v>
      </c>
      <c r="H673" s="25" t="n">
        <v>84354204</v>
      </c>
      <c r="I673" t="inlineStr">
        <is>
          <t>entidad-dia</t>
        </is>
      </c>
    </row>
    <row r="674">
      <c r="A674" t="inlineStr">
        <is>
          <t>PRAGMA</t>
        </is>
      </c>
      <c r="B674" t="inlineStr">
        <is>
          <t>M1</t>
        </is>
      </c>
      <c r="C674" t="inlineStr">
        <is>
          <t>Cali</t>
        </is>
      </c>
      <c r="D674" t="inlineStr">
        <is>
          <t>1517</t>
        </is>
      </c>
      <c r="E674" t="inlineStr">
        <is>
          <t>pagado</t>
        </is>
      </c>
      <c r="F674" s="23" t="n">
        <v>46277</v>
      </c>
      <c r="G674" s="24">
        <f>F674-DATE(2026,8,31)</f>
        <v>12</v>
      </c>
      <c r="H674" s="25" t="n">
        <v>89783918</v>
      </c>
      <c r="I674" t="inlineStr">
        <is>
          <t>entidad-dia</t>
        </is>
      </c>
    </row>
    <row r="675">
      <c r="A675" t="inlineStr">
        <is>
          <t>PRAGMA</t>
        </is>
      </c>
      <c r="B675" t="inlineStr">
        <is>
          <t>M1</t>
        </is>
      </c>
      <c r="C675" t="inlineStr">
        <is>
          <t>Cali</t>
        </is>
      </c>
      <c r="D675" t="inlineStr">
        <is>
          <t>1517</t>
        </is>
      </c>
      <c r="E675" t="inlineStr">
        <is>
          <t>pagado</t>
        </is>
      </c>
      <c r="F675" s="23" t="n">
        <v>46278</v>
      </c>
      <c r="G675" s="24">
        <f>F675-DATE(2026,8,31)</f>
        <v>13</v>
      </c>
      <c r="H675" s="25" t="n">
        <v>74444710</v>
      </c>
      <c r="I675" t="inlineStr">
        <is>
          <t>entidad-dia</t>
        </is>
      </c>
    </row>
    <row r="676">
      <c r="A676" t="inlineStr">
        <is>
          <t>PRAGMA</t>
        </is>
      </c>
      <c r="B676" t="inlineStr">
        <is>
          <t>M1</t>
        </is>
      </c>
      <c r="C676" t="inlineStr">
        <is>
          <t>Cali</t>
        </is>
      </c>
      <c r="D676" t="inlineStr">
        <is>
          <t>1517</t>
        </is>
      </c>
      <c r="E676" t="inlineStr">
        <is>
          <t>pagado</t>
        </is>
      </c>
      <c r="F676" s="23" t="n">
        <v>46279</v>
      </c>
      <c r="G676" s="24">
        <f>F676-DATE(2026,8,31)</f>
        <v>14</v>
      </c>
      <c r="H676" s="25" t="n">
        <v>88034084</v>
      </c>
      <c r="I676" t="inlineStr">
        <is>
          <t>entidad-dia</t>
        </is>
      </c>
    </row>
    <row r="677">
      <c r="A677" t="inlineStr">
        <is>
          <t>PRAGMA</t>
        </is>
      </c>
      <c r="B677" t="inlineStr">
        <is>
          <t>M1</t>
        </is>
      </c>
      <c r="C677" t="inlineStr">
        <is>
          <t>Cali</t>
        </is>
      </c>
      <c r="D677" t="inlineStr">
        <is>
          <t>1517</t>
        </is>
      </c>
      <c r="E677" t="inlineStr">
        <is>
          <t>pagado</t>
        </is>
      </c>
      <c r="F677" s="23" t="n">
        <v>46280</v>
      </c>
      <c r="G677" s="24">
        <f>F677-DATE(2026,8,31)</f>
        <v>15</v>
      </c>
      <c r="H677" s="25" t="n">
        <v>123816630</v>
      </c>
      <c r="I677" t="inlineStr">
        <is>
          <t>entidad-dia</t>
        </is>
      </c>
    </row>
    <row r="678">
      <c r="A678" t="inlineStr">
        <is>
          <t>PRAGMA</t>
        </is>
      </c>
      <c r="B678" t="inlineStr">
        <is>
          <t>M1</t>
        </is>
      </c>
      <c r="C678" t="inlineStr">
        <is>
          <t>Cali</t>
        </is>
      </c>
      <c r="D678" t="inlineStr">
        <is>
          <t>1518</t>
        </is>
      </c>
      <c r="E678" t="inlineStr">
        <is>
          <t>pagado</t>
        </is>
      </c>
      <c r="F678" s="23" t="n">
        <v>46266</v>
      </c>
      <c r="G678" s="24">
        <f>F678-DATE(2026,8,31)</f>
        <v>1</v>
      </c>
      <c r="H678" s="25" t="n">
        <v>149015303</v>
      </c>
      <c r="I678" t="inlineStr">
        <is>
          <t>entidad-dia</t>
        </is>
      </c>
    </row>
    <row r="679">
      <c r="A679" t="inlineStr">
        <is>
          <t>PRAGMA</t>
        </is>
      </c>
      <c r="B679" t="inlineStr">
        <is>
          <t>M1</t>
        </is>
      </c>
      <c r="C679" t="inlineStr">
        <is>
          <t>Cali</t>
        </is>
      </c>
      <c r="D679" t="inlineStr">
        <is>
          <t>1518</t>
        </is>
      </c>
      <c r="E679" t="inlineStr">
        <is>
          <t>pagado</t>
        </is>
      </c>
      <c r="F679" s="23" t="n">
        <v>46267</v>
      </c>
      <c r="G679" s="24">
        <f>F679-DATE(2026,8,31)</f>
        <v>2</v>
      </c>
      <c r="H679" s="25" t="n">
        <v>107928531</v>
      </c>
      <c r="I679" t="inlineStr">
        <is>
          <t>entidad-dia</t>
        </is>
      </c>
    </row>
    <row r="680">
      <c r="A680" t="inlineStr">
        <is>
          <t>PRAGMA</t>
        </is>
      </c>
      <c r="B680" t="inlineStr">
        <is>
          <t>M1</t>
        </is>
      </c>
      <c r="C680" t="inlineStr">
        <is>
          <t>Cali</t>
        </is>
      </c>
      <c r="D680" t="inlineStr">
        <is>
          <t>1518</t>
        </is>
      </c>
      <c r="E680" t="inlineStr">
        <is>
          <t>pagado</t>
        </is>
      </c>
      <c r="F680" s="23" t="n">
        <v>46268</v>
      </c>
      <c r="G680" s="24">
        <f>F680-DATE(2026,8,31)</f>
        <v>3</v>
      </c>
      <c r="H680" s="25" t="n">
        <v>92582998</v>
      </c>
      <c r="I680" t="inlineStr">
        <is>
          <t>entidad-dia</t>
        </is>
      </c>
    </row>
    <row r="681">
      <c r="A681" t="inlineStr">
        <is>
          <t>PRAGMA</t>
        </is>
      </c>
      <c r="B681" t="inlineStr">
        <is>
          <t>M1</t>
        </is>
      </c>
      <c r="C681" t="inlineStr">
        <is>
          <t>Cali</t>
        </is>
      </c>
      <c r="D681" t="inlineStr">
        <is>
          <t>1518</t>
        </is>
      </c>
      <c r="E681" t="inlineStr">
        <is>
          <t>pagado</t>
        </is>
      </c>
      <c r="F681" s="23" t="n">
        <v>46269</v>
      </c>
      <c r="G681" s="24">
        <f>F681-DATE(2026,8,31)</f>
        <v>4</v>
      </c>
      <c r="H681" s="25" t="n">
        <v>107947422</v>
      </c>
      <c r="I681" t="inlineStr">
        <is>
          <t>entidad-dia</t>
        </is>
      </c>
    </row>
    <row r="682">
      <c r="A682" t="inlineStr">
        <is>
          <t>PRAGMA</t>
        </is>
      </c>
      <c r="B682" t="inlineStr">
        <is>
          <t>M1</t>
        </is>
      </c>
      <c r="C682" t="inlineStr">
        <is>
          <t>Cali</t>
        </is>
      </c>
      <c r="D682" t="inlineStr">
        <is>
          <t>1518</t>
        </is>
      </c>
      <c r="E682" t="inlineStr">
        <is>
          <t>pagado</t>
        </is>
      </c>
      <c r="F682" s="23" t="n">
        <v>46270</v>
      </c>
      <c r="G682" s="24">
        <f>F682-DATE(2026,8,31)</f>
        <v>5</v>
      </c>
      <c r="H682" s="25" t="n">
        <v>109000647</v>
      </c>
      <c r="I682" t="inlineStr">
        <is>
          <t>entidad-dia</t>
        </is>
      </c>
    </row>
    <row r="683">
      <c r="A683" t="inlineStr">
        <is>
          <t>PRAGMA</t>
        </is>
      </c>
      <c r="B683" t="inlineStr">
        <is>
          <t>M1</t>
        </is>
      </c>
      <c r="C683" t="inlineStr">
        <is>
          <t>Cali</t>
        </is>
      </c>
      <c r="D683" t="inlineStr">
        <is>
          <t>1518</t>
        </is>
      </c>
      <c r="E683" t="inlineStr">
        <is>
          <t>pagado</t>
        </is>
      </c>
      <c r="F683" s="23" t="n">
        <v>46271</v>
      </c>
      <c r="G683" s="24">
        <f>F683-DATE(2026,8,31)</f>
        <v>6</v>
      </c>
      <c r="H683" s="25" t="n">
        <v>81087361</v>
      </c>
      <c r="I683" t="inlineStr">
        <is>
          <t>entidad-dia</t>
        </is>
      </c>
    </row>
    <row r="684">
      <c r="A684" t="inlineStr">
        <is>
          <t>PRAGMA</t>
        </is>
      </c>
      <c r="B684" t="inlineStr">
        <is>
          <t>M1</t>
        </is>
      </c>
      <c r="C684" t="inlineStr">
        <is>
          <t>Cali</t>
        </is>
      </c>
      <c r="D684" t="inlineStr">
        <is>
          <t>1518</t>
        </is>
      </c>
      <c r="E684" t="inlineStr">
        <is>
          <t>pagado</t>
        </is>
      </c>
      <c r="F684" s="23" t="n">
        <v>46272</v>
      </c>
      <c r="G684" s="24">
        <f>F684-DATE(2026,8,31)</f>
        <v>7</v>
      </c>
      <c r="H684" s="25" t="n">
        <v>76359490</v>
      </c>
      <c r="I684" t="inlineStr">
        <is>
          <t>entidad-dia</t>
        </is>
      </c>
    </row>
    <row r="685">
      <c r="A685" t="inlineStr">
        <is>
          <t>PRAGMA</t>
        </is>
      </c>
      <c r="B685" t="inlineStr">
        <is>
          <t>M1</t>
        </is>
      </c>
      <c r="C685" t="inlineStr">
        <is>
          <t>Cali</t>
        </is>
      </c>
      <c r="D685" t="inlineStr">
        <is>
          <t>1518</t>
        </is>
      </c>
      <c r="E685" t="inlineStr">
        <is>
          <t>pagado</t>
        </is>
      </c>
      <c r="F685" s="23" t="n">
        <v>46273</v>
      </c>
      <c r="G685" s="24">
        <f>F685-DATE(2026,8,31)</f>
        <v>8</v>
      </c>
      <c r="H685" s="25" t="n">
        <v>68764378</v>
      </c>
      <c r="I685" t="inlineStr">
        <is>
          <t>entidad-dia</t>
        </is>
      </c>
    </row>
    <row r="686">
      <c r="A686" t="inlineStr">
        <is>
          <t>PRAGMA</t>
        </is>
      </c>
      <c r="B686" t="inlineStr">
        <is>
          <t>M1</t>
        </is>
      </c>
      <c r="C686" t="inlineStr">
        <is>
          <t>Cali</t>
        </is>
      </c>
      <c r="D686" t="inlineStr">
        <is>
          <t>1518</t>
        </is>
      </c>
      <c r="E686" t="inlineStr">
        <is>
          <t>pagado</t>
        </is>
      </c>
      <c r="F686" s="23" t="n">
        <v>46274</v>
      </c>
      <c r="G686" s="24">
        <f>F686-DATE(2026,8,31)</f>
        <v>9</v>
      </c>
      <c r="H686" s="25" t="n">
        <v>73639263</v>
      </c>
      <c r="I686" t="inlineStr">
        <is>
          <t>entidad-dia</t>
        </is>
      </c>
    </row>
    <row r="687">
      <c r="A687" t="inlineStr">
        <is>
          <t>PRAGMA</t>
        </is>
      </c>
      <c r="B687" t="inlineStr">
        <is>
          <t>M1</t>
        </is>
      </c>
      <c r="C687" t="inlineStr">
        <is>
          <t>Cali</t>
        </is>
      </c>
      <c r="D687" t="inlineStr">
        <is>
          <t>1518</t>
        </is>
      </c>
      <c r="E687" t="inlineStr">
        <is>
          <t>pagado</t>
        </is>
      </c>
      <c r="F687" s="23" t="n">
        <v>46275</v>
      </c>
      <c r="G687" s="24">
        <f>F687-DATE(2026,8,31)</f>
        <v>10</v>
      </c>
      <c r="H687" s="25" t="n">
        <v>62580508</v>
      </c>
      <c r="I687" t="inlineStr">
        <is>
          <t>entidad-dia</t>
        </is>
      </c>
    </row>
    <row r="688">
      <c r="A688" t="inlineStr">
        <is>
          <t>PRAGMA</t>
        </is>
      </c>
      <c r="B688" t="inlineStr">
        <is>
          <t>M1</t>
        </is>
      </c>
      <c r="C688" t="inlineStr">
        <is>
          <t>Cali</t>
        </is>
      </c>
      <c r="D688" t="inlineStr">
        <is>
          <t>1518</t>
        </is>
      </c>
      <c r="E688" t="inlineStr">
        <is>
          <t>pagado</t>
        </is>
      </c>
      <c r="F688" s="23" t="n">
        <v>46276</v>
      </c>
      <c r="G688" s="24">
        <f>F688-DATE(2026,8,31)</f>
        <v>11</v>
      </c>
      <c r="H688" s="25" t="n">
        <v>73343427</v>
      </c>
      <c r="I688" t="inlineStr">
        <is>
          <t>entidad-dia</t>
        </is>
      </c>
    </row>
    <row r="689">
      <c r="A689" t="inlineStr">
        <is>
          <t>PRAGMA</t>
        </is>
      </c>
      <c r="B689" t="inlineStr">
        <is>
          <t>M1</t>
        </is>
      </c>
      <c r="C689" t="inlineStr">
        <is>
          <t>Cali</t>
        </is>
      </c>
      <c r="D689" t="inlineStr">
        <is>
          <t>1518</t>
        </is>
      </c>
      <c r="E689" t="inlineStr">
        <is>
          <t>pagado</t>
        </is>
      </c>
      <c r="F689" s="23" t="n">
        <v>46277</v>
      </c>
      <c r="G689" s="24">
        <f>F689-DATE(2026,8,31)</f>
        <v>12</v>
      </c>
      <c r="H689" s="25" t="n">
        <v>75746156</v>
      </c>
      <c r="I689" t="inlineStr">
        <is>
          <t>entidad-dia</t>
        </is>
      </c>
    </row>
    <row r="690">
      <c r="A690" t="inlineStr">
        <is>
          <t>PRAGMA</t>
        </is>
      </c>
      <c r="B690" t="inlineStr">
        <is>
          <t>M1</t>
        </is>
      </c>
      <c r="C690" t="inlineStr">
        <is>
          <t>Cali</t>
        </is>
      </c>
      <c r="D690" t="inlineStr">
        <is>
          <t>1518</t>
        </is>
      </c>
      <c r="E690" t="inlineStr">
        <is>
          <t>pagado</t>
        </is>
      </c>
      <c r="F690" s="23" t="n">
        <v>46278</v>
      </c>
      <c r="G690" s="24">
        <f>F690-DATE(2026,8,31)</f>
        <v>13</v>
      </c>
      <c r="H690" s="25" t="n">
        <v>57487026</v>
      </c>
      <c r="I690" t="inlineStr">
        <is>
          <t>entidad-dia</t>
        </is>
      </c>
    </row>
    <row r="691">
      <c r="A691" t="inlineStr">
        <is>
          <t>PRAGMA</t>
        </is>
      </c>
      <c r="B691" t="inlineStr">
        <is>
          <t>M1</t>
        </is>
      </c>
      <c r="C691" t="inlineStr">
        <is>
          <t>Cali</t>
        </is>
      </c>
      <c r="D691" t="inlineStr">
        <is>
          <t>1518</t>
        </is>
      </c>
      <c r="E691" t="inlineStr">
        <is>
          <t>pagado</t>
        </is>
      </c>
      <c r="F691" s="23" t="n">
        <v>46279</v>
      </c>
      <c r="G691" s="24">
        <f>F691-DATE(2026,8,31)</f>
        <v>14</v>
      </c>
      <c r="H691" s="25" t="n">
        <v>70875212</v>
      </c>
      <c r="I691" t="inlineStr">
        <is>
          <t>entidad-dia</t>
        </is>
      </c>
    </row>
    <row r="692">
      <c r="A692" t="inlineStr">
        <is>
          <t>PRAGMA</t>
        </is>
      </c>
      <c r="B692" t="inlineStr">
        <is>
          <t>M1</t>
        </is>
      </c>
      <c r="C692" t="inlineStr">
        <is>
          <t>Cali</t>
        </is>
      </c>
      <c r="D692" t="inlineStr">
        <is>
          <t>1518</t>
        </is>
      </c>
      <c r="E692" t="inlineStr">
        <is>
          <t>pagado</t>
        </is>
      </c>
      <c r="F692" s="23" t="n">
        <v>46280</v>
      </c>
      <c r="G692" s="24">
        <f>F692-DATE(2026,8,31)</f>
        <v>15</v>
      </c>
      <c r="H692" s="25" t="n">
        <v>113828133</v>
      </c>
      <c r="I692" t="inlineStr">
        <is>
          <t>entidad-dia</t>
        </is>
      </c>
    </row>
    <row r="693">
      <c r="A693" t="inlineStr">
        <is>
          <t>PRAGMA</t>
        </is>
      </c>
      <c r="B693" t="inlineStr">
        <is>
          <t>M1</t>
        </is>
      </c>
      <c r="C693" t="inlineStr">
        <is>
          <t>Cali</t>
        </is>
      </c>
      <c r="D693" t="inlineStr">
        <is>
          <t>1547</t>
        </is>
      </c>
      <c r="E693" t="inlineStr">
        <is>
          <t>pagado</t>
        </is>
      </c>
      <c r="F693" s="23" t="n">
        <v>46266</v>
      </c>
      <c r="G693" s="24">
        <f>F693-DATE(2026,8,31)</f>
        <v>1</v>
      </c>
      <c r="H693" s="25" t="n">
        <v>198225644</v>
      </c>
      <c r="I693" t="inlineStr">
        <is>
          <t>entidad-dia</t>
        </is>
      </c>
    </row>
    <row r="694">
      <c r="A694" t="inlineStr">
        <is>
          <t>PRAGMA</t>
        </is>
      </c>
      <c r="B694" t="inlineStr">
        <is>
          <t>M1</t>
        </is>
      </c>
      <c r="C694" t="inlineStr">
        <is>
          <t>Cali</t>
        </is>
      </c>
      <c r="D694" t="inlineStr">
        <is>
          <t>1547</t>
        </is>
      </c>
      <c r="E694" t="inlineStr">
        <is>
          <t>pagado</t>
        </is>
      </c>
      <c r="F694" s="23" t="n">
        <v>46267</v>
      </c>
      <c r="G694" s="24">
        <f>F694-DATE(2026,8,31)</f>
        <v>2</v>
      </c>
      <c r="H694" s="25" t="n">
        <v>146897454</v>
      </c>
      <c r="I694" t="inlineStr">
        <is>
          <t>entidad-dia</t>
        </is>
      </c>
    </row>
    <row r="695">
      <c r="A695" t="inlineStr">
        <is>
          <t>PRAGMA</t>
        </is>
      </c>
      <c r="B695" t="inlineStr">
        <is>
          <t>M1</t>
        </is>
      </c>
      <c r="C695" t="inlineStr">
        <is>
          <t>Cali</t>
        </is>
      </c>
      <c r="D695" t="inlineStr">
        <is>
          <t>1547</t>
        </is>
      </c>
      <c r="E695" t="inlineStr">
        <is>
          <t>pagado</t>
        </is>
      </c>
      <c r="F695" s="23" t="n">
        <v>46268</v>
      </c>
      <c r="G695" s="24">
        <f>F695-DATE(2026,8,31)</f>
        <v>3</v>
      </c>
      <c r="H695" s="25" t="n">
        <v>145782799</v>
      </c>
      <c r="I695" t="inlineStr">
        <is>
          <t>entidad-dia</t>
        </is>
      </c>
    </row>
    <row r="696">
      <c r="A696" t="inlineStr">
        <is>
          <t>PRAGMA</t>
        </is>
      </c>
      <c r="B696" t="inlineStr">
        <is>
          <t>M1</t>
        </is>
      </c>
      <c r="C696" t="inlineStr">
        <is>
          <t>Cali</t>
        </is>
      </c>
      <c r="D696" t="inlineStr">
        <is>
          <t>1547</t>
        </is>
      </c>
      <c r="E696" t="inlineStr">
        <is>
          <t>pagado</t>
        </is>
      </c>
      <c r="F696" s="23" t="n">
        <v>46269</v>
      </c>
      <c r="G696" s="24">
        <f>F696-DATE(2026,8,31)</f>
        <v>4</v>
      </c>
      <c r="H696" s="25" t="n">
        <v>145856332</v>
      </c>
      <c r="I696" t="inlineStr">
        <is>
          <t>entidad-dia</t>
        </is>
      </c>
    </row>
    <row r="697">
      <c r="A697" t="inlineStr">
        <is>
          <t>PRAGMA</t>
        </is>
      </c>
      <c r="B697" t="inlineStr">
        <is>
          <t>M1</t>
        </is>
      </c>
      <c r="C697" t="inlineStr">
        <is>
          <t>Cali</t>
        </is>
      </c>
      <c r="D697" t="inlineStr">
        <is>
          <t>1547</t>
        </is>
      </c>
      <c r="E697" t="inlineStr">
        <is>
          <t>pagado</t>
        </is>
      </c>
      <c r="F697" s="23" t="n">
        <v>46270</v>
      </c>
      <c r="G697" s="24">
        <f>F697-DATE(2026,8,31)</f>
        <v>5</v>
      </c>
      <c r="H697" s="25" t="n">
        <v>130361337</v>
      </c>
      <c r="I697" t="inlineStr">
        <is>
          <t>entidad-dia</t>
        </is>
      </c>
    </row>
    <row r="698">
      <c r="A698" t="inlineStr">
        <is>
          <t>PRAGMA</t>
        </is>
      </c>
      <c r="B698" t="inlineStr">
        <is>
          <t>M1</t>
        </is>
      </c>
      <c r="C698" t="inlineStr">
        <is>
          <t>Cali</t>
        </is>
      </c>
      <c r="D698" t="inlineStr">
        <is>
          <t>1547</t>
        </is>
      </c>
      <c r="E698" t="inlineStr">
        <is>
          <t>pagado</t>
        </is>
      </c>
      <c r="F698" s="23" t="n">
        <v>46271</v>
      </c>
      <c r="G698" s="24">
        <f>F698-DATE(2026,8,31)</f>
        <v>6</v>
      </c>
      <c r="H698" s="25" t="n">
        <v>73247682</v>
      </c>
      <c r="I698" t="inlineStr">
        <is>
          <t>entidad-dia</t>
        </is>
      </c>
    </row>
    <row r="699">
      <c r="A699" t="inlineStr">
        <is>
          <t>PRAGMA</t>
        </is>
      </c>
      <c r="B699" t="inlineStr">
        <is>
          <t>M1</t>
        </is>
      </c>
      <c r="C699" t="inlineStr">
        <is>
          <t>Cali</t>
        </is>
      </c>
      <c r="D699" t="inlineStr">
        <is>
          <t>1547</t>
        </is>
      </c>
      <c r="E699" t="inlineStr">
        <is>
          <t>pagado</t>
        </is>
      </c>
      <c r="F699" s="23" t="n">
        <v>46272</v>
      </c>
      <c r="G699" s="24">
        <f>F699-DATE(2026,8,31)</f>
        <v>7</v>
      </c>
      <c r="H699" s="25" t="n">
        <v>104311935</v>
      </c>
      <c r="I699" t="inlineStr">
        <is>
          <t>entidad-dia</t>
        </is>
      </c>
    </row>
    <row r="700">
      <c r="A700" t="inlineStr">
        <is>
          <t>PRAGMA</t>
        </is>
      </c>
      <c r="B700" t="inlineStr">
        <is>
          <t>M1</t>
        </is>
      </c>
      <c r="C700" t="inlineStr">
        <is>
          <t>Cali</t>
        </is>
      </c>
      <c r="D700" t="inlineStr">
        <is>
          <t>1547</t>
        </is>
      </c>
      <c r="E700" t="inlineStr">
        <is>
          <t>pagado</t>
        </is>
      </c>
      <c r="F700" s="23" t="n">
        <v>46273</v>
      </c>
      <c r="G700" s="24">
        <f>F700-DATE(2026,8,31)</f>
        <v>8</v>
      </c>
      <c r="H700" s="25" t="n">
        <v>110912362</v>
      </c>
      <c r="I700" t="inlineStr">
        <is>
          <t>entidad-dia</t>
        </is>
      </c>
    </row>
    <row r="701">
      <c r="A701" t="inlineStr">
        <is>
          <t>PRAGMA</t>
        </is>
      </c>
      <c r="B701" t="inlineStr">
        <is>
          <t>M1</t>
        </is>
      </c>
      <c r="C701" t="inlineStr">
        <is>
          <t>Cali</t>
        </is>
      </c>
      <c r="D701" t="inlineStr">
        <is>
          <t>1547</t>
        </is>
      </c>
      <c r="E701" t="inlineStr">
        <is>
          <t>pagado</t>
        </is>
      </c>
      <c r="F701" s="23" t="n">
        <v>46274</v>
      </c>
      <c r="G701" s="24">
        <f>F701-DATE(2026,8,31)</f>
        <v>9</v>
      </c>
      <c r="H701" s="25" t="n">
        <v>104717496</v>
      </c>
      <c r="I701" t="inlineStr">
        <is>
          <t>entidad-dia</t>
        </is>
      </c>
    </row>
    <row r="702">
      <c r="A702" t="inlineStr">
        <is>
          <t>PRAGMA</t>
        </is>
      </c>
      <c r="B702" t="inlineStr">
        <is>
          <t>M1</t>
        </is>
      </c>
      <c r="C702" t="inlineStr">
        <is>
          <t>Cali</t>
        </is>
      </c>
      <c r="D702" t="inlineStr">
        <is>
          <t>1547</t>
        </is>
      </c>
      <c r="E702" t="inlineStr">
        <is>
          <t>pagado</t>
        </is>
      </c>
      <c r="F702" s="23" t="n">
        <v>46275</v>
      </c>
      <c r="G702" s="24">
        <f>F702-DATE(2026,8,31)</f>
        <v>10</v>
      </c>
      <c r="H702" s="25" t="n">
        <v>105232175</v>
      </c>
      <c r="I702" t="inlineStr">
        <is>
          <t>entidad-dia</t>
        </is>
      </c>
    </row>
    <row r="703">
      <c r="A703" t="inlineStr">
        <is>
          <t>PRAGMA</t>
        </is>
      </c>
      <c r="B703" t="inlineStr">
        <is>
          <t>M1</t>
        </is>
      </c>
      <c r="C703" t="inlineStr">
        <is>
          <t>Cali</t>
        </is>
      </c>
      <c r="D703" t="inlineStr">
        <is>
          <t>1547</t>
        </is>
      </c>
      <c r="E703" t="inlineStr">
        <is>
          <t>pagado</t>
        </is>
      </c>
      <c r="F703" s="23" t="n">
        <v>46276</v>
      </c>
      <c r="G703" s="24">
        <f>F703-DATE(2026,8,31)</f>
        <v>11</v>
      </c>
      <c r="H703" s="25" t="n">
        <v>116351987</v>
      </c>
      <c r="I703" t="inlineStr">
        <is>
          <t>entidad-dia</t>
        </is>
      </c>
    </row>
    <row r="704">
      <c r="A704" t="inlineStr">
        <is>
          <t>PRAGMA</t>
        </is>
      </c>
      <c r="B704" t="inlineStr">
        <is>
          <t>M1</t>
        </is>
      </c>
      <c r="C704" t="inlineStr">
        <is>
          <t>Cali</t>
        </is>
      </c>
      <c r="D704" t="inlineStr">
        <is>
          <t>1547</t>
        </is>
      </c>
      <c r="E704" t="inlineStr">
        <is>
          <t>pagado</t>
        </is>
      </c>
      <c r="F704" s="23" t="n">
        <v>46277</v>
      </c>
      <c r="G704" s="24">
        <f>F704-DATE(2026,8,31)</f>
        <v>12</v>
      </c>
      <c r="H704" s="25" t="n">
        <v>103343146</v>
      </c>
      <c r="I704" t="inlineStr">
        <is>
          <t>entidad-dia</t>
        </is>
      </c>
    </row>
    <row r="705">
      <c r="A705" t="inlineStr">
        <is>
          <t>PRAGMA</t>
        </is>
      </c>
      <c r="B705" t="inlineStr">
        <is>
          <t>M1</t>
        </is>
      </c>
      <c r="C705" t="inlineStr">
        <is>
          <t>Cali</t>
        </is>
      </c>
      <c r="D705" t="inlineStr">
        <is>
          <t>1547</t>
        </is>
      </c>
      <c r="E705" t="inlineStr">
        <is>
          <t>pagado</t>
        </is>
      </c>
      <c r="F705" s="23" t="n">
        <v>46278</v>
      </c>
      <c r="G705" s="24">
        <f>F705-DATE(2026,8,31)</f>
        <v>13</v>
      </c>
      <c r="H705" s="25" t="n">
        <v>60114216</v>
      </c>
      <c r="I705" t="inlineStr">
        <is>
          <t>entidad-dia</t>
        </is>
      </c>
    </row>
    <row r="706">
      <c r="A706" t="inlineStr">
        <is>
          <t>PRAGMA</t>
        </is>
      </c>
      <c r="B706" t="inlineStr">
        <is>
          <t>M1</t>
        </is>
      </c>
      <c r="C706" t="inlineStr">
        <is>
          <t>Cali</t>
        </is>
      </c>
      <c r="D706" t="inlineStr">
        <is>
          <t>1547</t>
        </is>
      </c>
      <c r="E706" t="inlineStr">
        <is>
          <t>pagado</t>
        </is>
      </c>
      <c r="F706" s="23" t="n">
        <v>46279</v>
      </c>
      <c r="G706" s="24">
        <f>F706-DATE(2026,8,31)</f>
        <v>14</v>
      </c>
      <c r="H706" s="25" t="n">
        <v>100895537</v>
      </c>
      <c r="I706" t="inlineStr">
        <is>
          <t>entidad-dia</t>
        </is>
      </c>
    </row>
    <row r="707">
      <c r="A707" t="inlineStr">
        <is>
          <t>PRAGMA</t>
        </is>
      </c>
      <c r="B707" t="inlineStr">
        <is>
          <t>M1</t>
        </is>
      </c>
      <c r="C707" t="inlineStr">
        <is>
          <t>Cali</t>
        </is>
      </c>
      <c r="D707" t="inlineStr">
        <is>
          <t>1547</t>
        </is>
      </c>
      <c r="E707" t="inlineStr">
        <is>
          <t>pagado</t>
        </is>
      </c>
      <c r="F707" s="23" t="n">
        <v>46280</v>
      </c>
      <c r="G707" s="24">
        <f>F707-DATE(2026,8,31)</f>
        <v>15</v>
      </c>
      <c r="H707" s="25" t="n">
        <v>151052669</v>
      </c>
      <c r="I707" t="inlineStr">
        <is>
          <t>entidad-dia</t>
        </is>
      </c>
    </row>
    <row r="708">
      <c r="A708" t="inlineStr">
        <is>
          <t>PRAGMA</t>
        </is>
      </c>
      <c r="B708" t="inlineStr">
        <is>
          <t>M1</t>
        </is>
      </c>
      <c r="C708" t="inlineStr">
        <is>
          <t>Cali</t>
        </is>
      </c>
      <c r="D708" t="inlineStr">
        <is>
          <t>1549</t>
        </is>
      </c>
      <c r="E708" t="inlineStr">
        <is>
          <t>pagado</t>
        </is>
      </c>
      <c r="F708" s="23" t="n">
        <v>46266</v>
      </c>
      <c r="G708" s="24">
        <f>F708-DATE(2026,8,31)</f>
        <v>1</v>
      </c>
      <c r="H708" s="25" t="n">
        <v>200244277</v>
      </c>
      <c r="I708" t="inlineStr">
        <is>
          <t>entidad-dia</t>
        </is>
      </c>
    </row>
    <row r="709">
      <c r="A709" t="inlineStr">
        <is>
          <t>PRAGMA</t>
        </is>
      </c>
      <c r="B709" t="inlineStr">
        <is>
          <t>M1</t>
        </is>
      </c>
      <c r="C709" t="inlineStr">
        <is>
          <t>Cali</t>
        </is>
      </c>
      <c r="D709" t="inlineStr">
        <is>
          <t>1549</t>
        </is>
      </c>
      <c r="E709" t="inlineStr">
        <is>
          <t>pagado</t>
        </is>
      </c>
      <c r="F709" s="23" t="n">
        <v>46267</v>
      </c>
      <c r="G709" s="24">
        <f>F709-DATE(2026,8,31)</f>
        <v>2</v>
      </c>
      <c r="H709" s="25" t="n">
        <v>166891924</v>
      </c>
      <c r="I709" t="inlineStr">
        <is>
          <t>entidad-dia</t>
        </is>
      </c>
    </row>
    <row r="710">
      <c r="A710" t="inlineStr">
        <is>
          <t>PRAGMA</t>
        </is>
      </c>
      <c r="B710" t="inlineStr">
        <is>
          <t>M1</t>
        </is>
      </c>
      <c r="C710" t="inlineStr">
        <is>
          <t>Cali</t>
        </is>
      </c>
      <c r="D710" t="inlineStr">
        <is>
          <t>1549</t>
        </is>
      </c>
      <c r="E710" t="inlineStr">
        <is>
          <t>pagado</t>
        </is>
      </c>
      <c r="F710" s="23" t="n">
        <v>46268</v>
      </c>
      <c r="G710" s="24">
        <f>F710-DATE(2026,8,31)</f>
        <v>3</v>
      </c>
      <c r="H710" s="25" t="n">
        <v>149046767</v>
      </c>
      <c r="I710" t="inlineStr">
        <is>
          <t>entidad-dia</t>
        </is>
      </c>
    </row>
    <row r="711">
      <c r="A711" t="inlineStr">
        <is>
          <t>PRAGMA</t>
        </is>
      </c>
      <c r="B711" t="inlineStr">
        <is>
          <t>M1</t>
        </is>
      </c>
      <c r="C711" t="inlineStr">
        <is>
          <t>Cali</t>
        </is>
      </c>
      <c r="D711" t="inlineStr">
        <is>
          <t>1549</t>
        </is>
      </c>
      <c r="E711" t="inlineStr">
        <is>
          <t>pagado</t>
        </is>
      </c>
      <c r="F711" s="23" t="n">
        <v>46269</v>
      </c>
      <c r="G711" s="24">
        <f>F711-DATE(2026,8,31)</f>
        <v>4</v>
      </c>
      <c r="H711" s="25" t="n">
        <v>151702477</v>
      </c>
      <c r="I711" t="inlineStr">
        <is>
          <t>entidad-dia</t>
        </is>
      </c>
    </row>
    <row r="712">
      <c r="A712" t="inlineStr">
        <is>
          <t>PRAGMA</t>
        </is>
      </c>
      <c r="B712" t="inlineStr">
        <is>
          <t>M1</t>
        </is>
      </c>
      <c r="C712" t="inlineStr">
        <is>
          <t>Cali</t>
        </is>
      </c>
      <c r="D712" t="inlineStr">
        <is>
          <t>1549</t>
        </is>
      </c>
      <c r="E712" t="inlineStr">
        <is>
          <t>pagado</t>
        </is>
      </c>
      <c r="F712" s="23" t="n">
        <v>46270</v>
      </c>
      <c r="G712" s="24">
        <f>F712-DATE(2026,8,31)</f>
        <v>5</v>
      </c>
      <c r="H712" s="25" t="n">
        <v>147669554</v>
      </c>
      <c r="I712" t="inlineStr">
        <is>
          <t>entidad-dia</t>
        </is>
      </c>
    </row>
    <row r="713">
      <c r="A713" t="inlineStr">
        <is>
          <t>PRAGMA</t>
        </is>
      </c>
      <c r="B713" t="inlineStr">
        <is>
          <t>M1</t>
        </is>
      </c>
      <c r="C713" t="inlineStr">
        <is>
          <t>Cali</t>
        </is>
      </c>
      <c r="D713" t="inlineStr">
        <is>
          <t>1549</t>
        </is>
      </c>
      <c r="E713" t="inlineStr">
        <is>
          <t>pagado</t>
        </is>
      </c>
      <c r="F713" s="23" t="n">
        <v>46271</v>
      </c>
      <c r="G713" s="24">
        <f>F713-DATE(2026,8,31)</f>
        <v>6</v>
      </c>
      <c r="H713" s="25" t="n">
        <v>100902141</v>
      </c>
      <c r="I713" t="inlineStr">
        <is>
          <t>entidad-dia</t>
        </is>
      </c>
    </row>
    <row r="714">
      <c r="A714" t="inlineStr">
        <is>
          <t>PRAGMA</t>
        </is>
      </c>
      <c r="B714" t="inlineStr">
        <is>
          <t>M1</t>
        </is>
      </c>
      <c r="C714" t="inlineStr">
        <is>
          <t>Cali</t>
        </is>
      </c>
      <c r="D714" t="inlineStr">
        <is>
          <t>1549</t>
        </is>
      </c>
      <c r="E714" t="inlineStr">
        <is>
          <t>pagado</t>
        </is>
      </c>
      <c r="F714" s="23" t="n">
        <v>46272</v>
      </c>
      <c r="G714" s="24">
        <f>F714-DATE(2026,8,31)</f>
        <v>7</v>
      </c>
      <c r="H714" s="25" t="n">
        <v>126196877</v>
      </c>
      <c r="I714" t="inlineStr">
        <is>
          <t>entidad-dia</t>
        </is>
      </c>
    </row>
    <row r="715">
      <c r="A715" t="inlineStr">
        <is>
          <t>PRAGMA</t>
        </is>
      </c>
      <c r="B715" t="inlineStr">
        <is>
          <t>M1</t>
        </is>
      </c>
      <c r="C715" t="inlineStr">
        <is>
          <t>Cali</t>
        </is>
      </c>
      <c r="D715" t="inlineStr">
        <is>
          <t>1549</t>
        </is>
      </c>
      <c r="E715" t="inlineStr">
        <is>
          <t>pagado</t>
        </is>
      </c>
      <c r="F715" s="23" t="n">
        <v>46273</v>
      </c>
      <c r="G715" s="24">
        <f>F715-DATE(2026,8,31)</f>
        <v>8</v>
      </c>
      <c r="H715" s="25" t="n">
        <v>122289173</v>
      </c>
      <c r="I715" t="inlineStr">
        <is>
          <t>entidad-dia</t>
        </is>
      </c>
    </row>
    <row r="716">
      <c r="A716" t="inlineStr">
        <is>
          <t>PRAGMA</t>
        </is>
      </c>
      <c r="B716" t="inlineStr">
        <is>
          <t>M1</t>
        </is>
      </c>
      <c r="C716" t="inlineStr">
        <is>
          <t>Cali</t>
        </is>
      </c>
      <c r="D716" t="inlineStr">
        <is>
          <t>1549</t>
        </is>
      </c>
      <c r="E716" t="inlineStr">
        <is>
          <t>pagado</t>
        </is>
      </c>
      <c r="F716" s="23" t="n">
        <v>46274</v>
      </c>
      <c r="G716" s="24">
        <f>F716-DATE(2026,8,31)</f>
        <v>9</v>
      </c>
      <c r="H716" s="25" t="n">
        <v>130547882</v>
      </c>
      <c r="I716" t="inlineStr">
        <is>
          <t>entidad-dia</t>
        </is>
      </c>
    </row>
    <row r="717">
      <c r="A717" t="inlineStr">
        <is>
          <t>PRAGMA</t>
        </is>
      </c>
      <c r="B717" t="inlineStr">
        <is>
          <t>M1</t>
        </is>
      </c>
      <c r="C717" t="inlineStr">
        <is>
          <t>Cali</t>
        </is>
      </c>
      <c r="D717" t="inlineStr">
        <is>
          <t>1549</t>
        </is>
      </c>
      <c r="E717" t="inlineStr">
        <is>
          <t>pagado</t>
        </is>
      </c>
      <c r="F717" s="23" t="n">
        <v>46275</v>
      </c>
      <c r="G717" s="24">
        <f>F717-DATE(2026,8,31)</f>
        <v>10</v>
      </c>
      <c r="H717" s="25" t="n">
        <v>107199243</v>
      </c>
      <c r="I717" t="inlineStr">
        <is>
          <t>entidad-dia</t>
        </is>
      </c>
    </row>
    <row r="718">
      <c r="A718" t="inlineStr">
        <is>
          <t>PRAGMA</t>
        </is>
      </c>
      <c r="B718" t="inlineStr">
        <is>
          <t>M1</t>
        </is>
      </c>
      <c r="C718" t="inlineStr">
        <is>
          <t>Cali</t>
        </is>
      </c>
      <c r="D718" t="inlineStr">
        <is>
          <t>1549</t>
        </is>
      </c>
      <c r="E718" t="inlineStr">
        <is>
          <t>pagado</t>
        </is>
      </c>
      <c r="F718" s="23" t="n">
        <v>46276</v>
      </c>
      <c r="G718" s="24">
        <f>F718-DATE(2026,8,31)</f>
        <v>11</v>
      </c>
      <c r="H718" s="25" t="n">
        <v>104062418</v>
      </c>
      <c r="I718" t="inlineStr">
        <is>
          <t>entidad-dia</t>
        </is>
      </c>
    </row>
    <row r="719">
      <c r="A719" t="inlineStr">
        <is>
          <t>PRAGMA</t>
        </is>
      </c>
      <c r="B719" t="inlineStr">
        <is>
          <t>M1</t>
        </is>
      </c>
      <c r="C719" t="inlineStr">
        <is>
          <t>Cali</t>
        </is>
      </c>
      <c r="D719" t="inlineStr">
        <is>
          <t>1549</t>
        </is>
      </c>
      <c r="E719" t="inlineStr">
        <is>
          <t>pagado</t>
        </is>
      </c>
      <c r="F719" s="23" t="n">
        <v>46277</v>
      </c>
      <c r="G719" s="24">
        <f>F719-DATE(2026,8,31)</f>
        <v>12</v>
      </c>
      <c r="H719" s="25" t="n">
        <v>113833469</v>
      </c>
      <c r="I719" t="inlineStr">
        <is>
          <t>entidad-dia</t>
        </is>
      </c>
    </row>
    <row r="720">
      <c r="A720" t="inlineStr">
        <is>
          <t>PRAGMA</t>
        </is>
      </c>
      <c r="B720" t="inlineStr">
        <is>
          <t>M1</t>
        </is>
      </c>
      <c r="C720" t="inlineStr">
        <is>
          <t>Cali</t>
        </is>
      </c>
      <c r="D720" t="inlineStr">
        <is>
          <t>1549</t>
        </is>
      </c>
      <c r="E720" t="inlineStr">
        <is>
          <t>pagado</t>
        </is>
      </c>
      <c r="F720" s="23" t="n">
        <v>46278</v>
      </c>
      <c r="G720" s="24">
        <f>F720-DATE(2026,8,31)</f>
        <v>13</v>
      </c>
      <c r="H720" s="25" t="n">
        <v>81340306</v>
      </c>
      <c r="I720" t="inlineStr">
        <is>
          <t>entidad-dia</t>
        </is>
      </c>
    </row>
    <row r="721">
      <c r="A721" t="inlineStr">
        <is>
          <t>PRAGMA</t>
        </is>
      </c>
      <c r="B721" t="inlineStr">
        <is>
          <t>M1</t>
        </is>
      </c>
      <c r="C721" t="inlineStr">
        <is>
          <t>Cali</t>
        </is>
      </c>
      <c r="D721" t="inlineStr">
        <is>
          <t>1549</t>
        </is>
      </c>
      <c r="E721" t="inlineStr">
        <is>
          <t>pagado</t>
        </is>
      </c>
      <c r="F721" s="23" t="n">
        <v>46279</v>
      </c>
      <c r="G721" s="24">
        <f>F721-DATE(2026,8,31)</f>
        <v>14</v>
      </c>
      <c r="H721" s="25" t="n">
        <v>111791624</v>
      </c>
      <c r="I721" t="inlineStr">
        <is>
          <t>entidad-dia</t>
        </is>
      </c>
    </row>
    <row r="722">
      <c r="A722" t="inlineStr">
        <is>
          <t>PRAGMA</t>
        </is>
      </c>
      <c r="B722" t="inlineStr">
        <is>
          <t>M1</t>
        </is>
      </c>
      <c r="C722" t="inlineStr">
        <is>
          <t>Cali</t>
        </is>
      </c>
      <c r="D722" t="inlineStr">
        <is>
          <t>1549</t>
        </is>
      </c>
      <c r="E722" t="inlineStr">
        <is>
          <t>pagado</t>
        </is>
      </c>
      <c r="F722" s="23" t="n">
        <v>46280</v>
      </c>
      <c r="G722" s="24">
        <f>F722-DATE(2026,8,31)</f>
        <v>15</v>
      </c>
      <c r="H722" s="25" t="n">
        <v>162343541</v>
      </c>
      <c r="I722" t="inlineStr">
        <is>
          <t>entidad-dia</t>
        </is>
      </c>
    </row>
    <row r="723">
      <c r="A723" t="inlineStr">
        <is>
          <t>PRAGMA</t>
        </is>
      </c>
      <c r="B723" t="inlineStr">
        <is>
          <t>M1</t>
        </is>
      </c>
      <c r="C723" t="inlineStr">
        <is>
          <t>Cali</t>
        </is>
      </c>
      <c r="D723" t="inlineStr">
        <is>
          <t>161</t>
        </is>
      </c>
      <c r="E723" t="inlineStr">
        <is>
          <t>pagado</t>
        </is>
      </c>
      <c r="F723" s="23" t="n">
        <v>46266</v>
      </c>
      <c r="G723" s="24">
        <f>F723-DATE(2026,8,31)</f>
        <v>1</v>
      </c>
      <c r="H723" s="25" t="n">
        <v>11659401</v>
      </c>
      <c r="I723" t="inlineStr">
        <is>
          <t>entidad-dia</t>
        </is>
      </c>
    </row>
    <row r="724">
      <c r="A724" t="inlineStr">
        <is>
          <t>PRAGMA</t>
        </is>
      </c>
      <c r="B724" t="inlineStr">
        <is>
          <t>M1</t>
        </is>
      </c>
      <c r="C724" t="inlineStr">
        <is>
          <t>Cali</t>
        </is>
      </c>
      <c r="D724" t="inlineStr">
        <is>
          <t>161</t>
        </is>
      </c>
      <c r="E724" t="inlineStr">
        <is>
          <t>pagado</t>
        </is>
      </c>
      <c r="F724" s="23" t="n">
        <v>46267</v>
      </c>
      <c r="G724" s="24">
        <f>F724-DATE(2026,8,31)</f>
        <v>2</v>
      </c>
      <c r="H724" s="25" t="n">
        <v>9199927</v>
      </c>
      <c r="I724" t="inlineStr">
        <is>
          <t>entidad-dia</t>
        </is>
      </c>
    </row>
    <row r="725">
      <c r="A725" t="inlineStr">
        <is>
          <t>PRAGMA</t>
        </is>
      </c>
      <c r="B725" t="inlineStr">
        <is>
          <t>M1</t>
        </is>
      </c>
      <c r="C725" t="inlineStr">
        <is>
          <t>Cali</t>
        </is>
      </c>
      <c r="D725" t="inlineStr">
        <is>
          <t>161</t>
        </is>
      </c>
      <c r="E725" t="inlineStr">
        <is>
          <t>pagado</t>
        </is>
      </c>
      <c r="F725" s="23" t="n">
        <v>46268</v>
      </c>
      <c r="G725" s="24">
        <f>F725-DATE(2026,8,31)</f>
        <v>3</v>
      </c>
      <c r="H725" s="25" t="n">
        <v>7621894</v>
      </c>
      <c r="I725" t="inlineStr">
        <is>
          <t>entidad-dia</t>
        </is>
      </c>
    </row>
    <row r="726">
      <c r="A726" t="inlineStr">
        <is>
          <t>PRAGMA</t>
        </is>
      </c>
      <c r="B726" t="inlineStr">
        <is>
          <t>M1</t>
        </is>
      </c>
      <c r="C726" t="inlineStr">
        <is>
          <t>Cali</t>
        </is>
      </c>
      <c r="D726" t="inlineStr">
        <is>
          <t>161</t>
        </is>
      </c>
      <c r="E726" t="inlineStr">
        <is>
          <t>pagado</t>
        </is>
      </c>
      <c r="F726" s="23" t="n">
        <v>46269</v>
      </c>
      <c r="G726" s="24">
        <f>F726-DATE(2026,8,31)</f>
        <v>4</v>
      </c>
      <c r="H726" s="25" t="n">
        <v>7454969</v>
      </c>
      <c r="I726" t="inlineStr">
        <is>
          <t>entidad-dia</t>
        </is>
      </c>
    </row>
    <row r="727">
      <c r="A727" t="inlineStr">
        <is>
          <t>PRAGMA</t>
        </is>
      </c>
      <c r="B727" t="inlineStr">
        <is>
          <t>M1</t>
        </is>
      </c>
      <c r="C727" t="inlineStr">
        <is>
          <t>Cali</t>
        </is>
      </c>
      <c r="D727" t="inlineStr">
        <is>
          <t>161</t>
        </is>
      </c>
      <c r="E727" t="inlineStr">
        <is>
          <t>pagado</t>
        </is>
      </c>
      <c r="F727" s="23" t="n">
        <v>46270</v>
      </c>
      <c r="G727" s="24">
        <f>F727-DATE(2026,8,31)</f>
        <v>5</v>
      </c>
      <c r="H727" s="25" t="n">
        <v>5887368</v>
      </c>
      <c r="I727" t="inlineStr">
        <is>
          <t>entidad-dia</t>
        </is>
      </c>
    </row>
    <row r="728">
      <c r="A728" t="inlineStr">
        <is>
          <t>PRAGMA</t>
        </is>
      </c>
      <c r="B728" t="inlineStr">
        <is>
          <t>M1</t>
        </is>
      </c>
      <c r="C728" t="inlineStr">
        <is>
          <t>Cali</t>
        </is>
      </c>
      <c r="D728" t="inlineStr">
        <is>
          <t>161</t>
        </is>
      </c>
      <c r="E728" t="inlineStr">
        <is>
          <t>pagado</t>
        </is>
      </c>
      <c r="F728" s="23" t="n">
        <v>46271</v>
      </c>
      <c r="G728" s="24">
        <f>F728-DATE(2026,8,31)</f>
        <v>6</v>
      </c>
      <c r="H728" s="25" t="n">
        <v>6004376</v>
      </c>
      <c r="I728" t="inlineStr">
        <is>
          <t>entidad-dia</t>
        </is>
      </c>
    </row>
    <row r="729">
      <c r="A729" t="inlineStr">
        <is>
          <t>PRAGMA</t>
        </is>
      </c>
      <c r="B729" t="inlineStr">
        <is>
          <t>M1</t>
        </is>
      </c>
      <c r="C729" t="inlineStr">
        <is>
          <t>Cali</t>
        </is>
      </c>
      <c r="D729" t="inlineStr">
        <is>
          <t>161</t>
        </is>
      </c>
      <c r="E729" t="inlineStr">
        <is>
          <t>pagado</t>
        </is>
      </c>
      <c r="F729" s="23" t="n">
        <v>46272</v>
      </c>
      <c r="G729" s="24">
        <f>F729-DATE(2026,8,31)</f>
        <v>7</v>
      </c>
      <c r="H729" s="25" t="n">
        <v>6046186</v>
      </c>
      <c r="I729" t="inlineStr">
        <is>
          <t>entidad-dia</t>
        </is>
      </c>
    </row>
    <row r="730">
      <c r="A730" t="inlineStr">
        <is>
          <t>PRAGMA</t>
        </is>
      </c>
      <c r="B730" t="inlineStr">
        <is>
          <t>M1</t>
        </is>
      </c>
      <c r="C730" t="inlineStr">
        <is>
          <t>Cali</t>
        </is>
      </c>
      <c r="D730" t="inlineStr">
        <is>
          <t>161</t>
        </is>
      </c>
      <c r="E730" t="inlineStr">
        <is>
          <t>pagado</t>
        </is>
      </c>
      <c r="F730" s="23" t="n">
        <v>46273</v>
      </c>
      <c r="G730" s="24">
        <f>F730-DATE(2026,8,31)</f>
        <v>8</v>
      </c>
      <c r="H730" s="25" t="n">
        <v>4415128</v>
      </c>
      <c r="I730" t="inlineStr">
        <is>
          <t>entidad-dia</t>
        </is>
      </c>
    </row>
    <row r="731">
      <c r="A731" t="inlineStr">
        <is>
          <t>PRAGMA</t>
        </is>
      </c>
      <c r="B731" t="inlineStr">
        <is>
          <t>M1</t>
        </is>
      </c>
      <c r="C731" t="inlineStr">
        <is>
          <t>Cali</t>
        </is>
      </c>
      <c r="D731" t="inlineStr">
        <is>
          <t>161</t>
        </is>
      </c>
      <c r="E731" t="inlineStr">
        <is>
          <t>pagado</t>
        </is>
      </c>
      <c r="F731" s="23" t="n">
        <v>46274</v>
      </c>
      <c r="G731" s="24">
        <f>F731-DATE(2026,8,31)</f>
        <v>9</v>
      </c>
      <c r="H731" s="25" t="n">
        <v>5106275</v>
      </c>
      <c r="I731" t="inlineStr">
        <is>
          <t>entidad-dia</t>
        </is>
      </c>
    </row>
    <row r="732">
      <c r="A732" t="inlineStr">
        <is>
          <t>PRAGMA</t>
        </is>
      </c>
      <c r="B732" t="inlineStr">
        <is>
          <t>M1</t>
        </is>
      </c>
      <c r="C732" t="inlineStr">
        <is>
          <t>Cali</t>
        </is>
      </c>
      <c r="D732" t="inlineStr">
        <is>
          <t>161</t>
        </is>
      </c>
      <c r="E732" t="inlineStr">
        <is>
          <t>pagado</t>
        </is>
      </c>
      <c r="F732" s="23" t="n">
        <v>46275</v>
      </c>
      <c r="G732" s="24">
        <f>F732-DATE(2026,8,31)</f>
        <v>10</v>
      </c>
      <c r="H732" s="25" t="n">
        <v>6280817</v>
      </c>
      <c r="I732" t="inlineStr">
        <is>
          <t>entidad-dia</t>
        </is>
      </c>
    </row>
    <row r="733">
      <c r="A733" t="inlineStr">
        <is>
          <t>PRAGMA</t>
        </is>
      </c>
      <c r="B733" t="inlineStr">
        <is>
          <t>M1</t>
        </is>
      </c>
      <c r="C733" t="inlineStr">
        <is>
          <t>Cali</t>
        </is>
      </c>
      <c r="D733" t="inlineStr">
        <is>
          <t>161</t>
        </is>
      </c>
      <c r="E733" t="inlineStr">
        <is>
          <t>pagado</t>
        </is>
      </c>
      <c r="F733" s="23" t="n">
        <v>46276</v>
      </c>
      <c r="G733" s="24">
        <f>F733-DATE(2026,8,31)</f>
        <v>11</v>
      </c>
      <c r="H733" s="25" t="n">
        <v>5112529</v>
      </c>
      <c r="I733" t="inlineStr">
        <is>
          <t>entidad-dia</t>
        </is>
      </c>
    </row>
    <row r="734">
      <c r="A734" t="inlineStr">
        <is>
          <t>PRAGMA</t>
        </is>
      </c>
      <c r="B734" t="inlineStr">
        <is>
          <t>M1</t>
        </is>
      </c>
      <c r="C734" t="inlineStr">
        <is>
          <t>Cali</t>
        </is>
      </c>
      <c r="D734" t="inlineStr">
        <is>
          <t>161</t>
        </is>
      </c>
      <c r="E734" t="inlineStr">
        <is>
          <t>pagado</t>
        </is>
      </c>
      <c r="F734" s="23" t="n">
        <v>46277</v>
      </c>
      <c r="G734" s="24">
        <f>F734-DATE(2026,8,31)</f>
        <v>12</v>
      </c>
      <c r="H734" s="25" t="n">
        <v>5243817</v>
      </c>
      <c r="I734" t="inlineStr">
        <is>
          <t>entidad-dia</t>
        </is>
      </c>
    </row>
    <row r="735">
      <c r="A735" t="inlineStr">
        <is>
          <t>PRAGMA</t>
        </is>
      </c>
      <c r="B735" t="inlineStr">
        <is>
          <t>M1</t>
        </is>
      </c>
      <c r="C735" t="inlineStr">
        <is>
          <t>Cali</t>
        </is>
      </c>
      <c r="D735" t="inlineStr">
        <is>
          <t>161</t>
        </is>
      </c>
      <c r="E735" t="inlineStr">
        <is>
          <t>pagado</t>
        </is>
      </c>
      <c r="F735" s="23" t="n">
        <v>46278</v>
      </c>
      <c r="G735" s="24">
        <f>F735-DATE(2026,8,31)</f>
        <v>13</v>
      </c>
      <c r="H735" s="25" t="n">
        <v>5044674</v>
      </c>
      <c r="I735" t="inlineStr">
        <is>
          <t>entidad-dia</t>
        </is>
      </c>
    </row>
    <row r="736">
      <c r="A736" t="inlineStr">
        <is>
          <t>PRAGMA</t>
        </is>
      </c>
      <c r="B736" t="inlineStr">
        <is>
          <t>M1</t>
        </is>
      </c>
      <c r="C736" t="inlineStr">
        <is>
          <t>Cali</t>
        </is>
      </c>
      <c r="D736" t="inlineStr">
        <is>
          <t>161</t>
        </is>
      </c>
      <c r="E736" t="inlineStr">
        <is>
          <t>pagado</t>
        </is>
      </c>
      <c r="F736" s="23" t="n">
        <v>46279</v>
      </c>
      <c r="G736" s="24">
        <f>F736-DATE(2026,8,31)</f>
        <v>14</v>
      </c>
      <c r="H736" s="25" t="n">
        <v>9200466</v>
      </c>
      <c r="I736" t="inlineStr">
        <is>
          <t>entidad-dia</t>
        </is>
      </c>
    </row>
    <row r="737">
      <c r="A737" t="inlineStr">
        <is>
          <t>PRAGMA</t>
        </is>
      </c>
      <c r="B737" t="inlineStr">
        <is>
          <t>M1</t>
        </is>
      </c>
      <c r="C737" t="inlineStr">
        <is>
          <t>Cali</t>
        </is>
      </c>
      <c r="D737" t="inlineStr">
        <is>
          <t>161</t>
        </is>
      </c>
      <c r="E737" t="inlineStr">
        <is>
          <t>pagado</t>
        </is>
      </c>
      <c r="F737" s="23" t="n">
        <v>46280</v>
      </c>
      <c r="G737" s="24">
        <f>F737-DATE(2026,8,31)</f>
        <v>15</v>
      </c>
      <c r="H737" s="25" t="n">
        <v>11893025</v>
      </c>
      <c r="I737" t="inlineStr">
        <is>
          <t>entidad-dia</t>
        </is>
      </c>
    </row>
    <row r="738">
      <c r="A738" t="inlineStr">
        <is>
          <t>PRAGMA</t>
        </is>
      </c>
      <c r="B738" t="inlineStr">
        <is>
          <t>M1</t>
        </is>
      </c>
      <c r="C738" t="inlineStr">
        <is>
          <t>Cali</t>
        </is>
      </c>
      <c r="D738" t="inlineStr">
        <is>
          <t>163</t>
        </is>
      </c>
      <c r="E738" t="inlineStr">
        <is>
          <t>pagado</t>
        </is>
      </c>
      <c r="F738" s="23" t="n">
        <v>46266</v>
      </c>
      <c r="G738" s="24">
        <f>F738-DATE(2026,8,31)</f>
        <v>1</v>
      </c>
      <c r="H738" s="25" t="n">
        <v>18120263</v>
      </c>
      <c r="I738" t="inlineStr">
        <is>
          <t>entidad-dia</t>
        </is>
      </c>
    </row>
    <row r="739">
      <c r="A739" t="inlineStr">
        <is>
          <t>PRAGMA</t>
        </is>
      </c>
      <c r="B739" t="inlineStr">
        <is>
          <t>M1</t>
        </is>
      </c>
      <c r="C739" t="inlineStr">
        <is>
          <t>Cali</t>
        </is>
      </c>
      <c r="D739" t="inlineStr">
        <is>
          <t>163</t>
        </is>
      </c>
      <c r="E739" t="inlineStr">
        <is>
          <t>pagado</t>
        </is>
      </c>
      <c r="F739" s="23" t="n">
        <v>46267</v>
      </c>
      <c r="G739" s="24">
        <f>F739-DATE(2026,8,31)</f>
        <v>2</v>
      </c>
      <c r="H739" s="25" t="n">
        <v>11649379</v>
      </c>
      <c r="I739" t="inlineStr">
        <is>
          <t>entidad-dia</t>
        </is>
      </c>
    </row>
    <row r="740">
      <c r="A740" t="inlineStr">
        <is>
          <t>PRAGMA</t>
        </is>
      </c>
      <c r="B740" t="inlineStr">
        <is>
          <t>M1</t>
        </is>
      </c>
      <c r="C740" t="inlineStr">
        <is>
          <t>Cali</t>
        </is>
      </c>
      <c r="D740" t="inlineStr">
        <is>
          <t>163</t>
        </is>
      </c>
      <c r="E740" t="inlineStr">
        <is>
          <t>pagado</t>
        </is>
      </c>
      <c r="F740" s="23" t="n">
        <v>46268</v>
      </c>
      <c r="G740" s="24">
        <f>F740-DATE(2026,8,31)</f>
        <v>3</v>
      </c>
      <c r="H740" s="25" t="n">
        <v>10253506</v>
      </c>
      <c r="I740" t="inlineStr">
        <is>
          <t>entidad-dia</t>
        </is>
      </c>
    </row>
    <row r="741">
      <c r="A741" t="inlineStr">
        <is>
          <t>PRAGMA</t>
        </is>
      </c>
      <c r="B741" t="inlineStr">
        <is>
          <t>M1</t>
        </is>
      </c>
      <c r="C741" t="inlineStr">
        <is>
          <t>Cali</t>
        </is>
      </c>
      <c r="D741" t="inlineStr">
        <is>
          <t>163</t>
        </is>
      </c>
      <c r="E741" t="inlineStr">
        <is>
          <t>pagado</t>
        </is>
      </c>
      <c r="F741" s="23" t="n">
        <v>46269</v>
      </c>
      <c r="G741" s="24">
        <f>F741-DATE(2026,8,31)</f>
        <v>4</v>
      </c>
      <c r="H741" s="25" t="n">
        <v>11229715</v>
      </c>
      <c r="I741" t="inlineStr">
        <is>
          <t>entidad-dia</t>
        </is>
      </c>
    </row>
    <row r="742">
      <c r="A742" t="inlineStr">
        <is>
          <t>PRAGMA</t>
        </is>
      </c>
      <c r="B742" t="inlineStr">
        <is>
          <t>M1</t>
        </is>
      </c>
      <c r="C742" t="inlineStr">
        <is>
          <t>Cali</t>
        </is>
      </c>
      <c r="D742" t="inlineStr">
        <is>
          <t>163</t>
        </is>
      </c>
      <c r="E742" t="inlineStr">
        <is>
          <t>pagado</t>
        </is>
      </c>
      <c r="F742" s="23" t="n">
        <v>46270</v>
      </c>
      <c r="G742" s="24">
        <f>F742-DATE(2026,8,31)</f>
        <v>5</v>
      </c>
      <c r="H742" s="25" t="n">
        <v>11608374</v>
      </c>
      <c r="I742" t="inlineStr">
        <is>
          <t>entidad-dia</t>
        </is>
      </c>
    </row>
    <row r="743">
      <c r="A743" t="inlineStr">
        <is>
          <t>PRAGMA</t>
        </is>
      </c>
      <c r="B743" t="inlineStr">
        <is>
          <t>M1</t>
        </is>
      </c>
      <c r="C743" t="inlineStr">
        <is>
          <t>Cali</t>
        </is>
      </c>
      <c r="D743" t="inlineStr">
        <is>
          <t>163</t>
        </is>
      </c>
      <c r="E743" t="inlineStr">
        <is>
          <t>pagado</t>
        </is>
      </c>
      <c r="F743" s="23" t="n">
        <v>46271</v>
      </c>
      <c r="G743" s="24">
        <f>F743-DATE(2026,8,31)</f>
        <v>6</v>
      </c>
      <c r="H743" s="25" t="n">
        <v>12094331</v>
      </c>
      <c r="I743" t="inlineStr">
        <is>
          <t>entidad-dia</t>
        </is>
      </c>
    </row>
    <row r="744">
      <c r="A744" t="inlineStr">
        <is>
          <t>PRAGMA</t>
        </is>
      </c>
      <c r="B744" t="inlineStr">
        <is>
          <t>M1</t>
        </is>
      </c>
      <c r="C744" t="inlineStr">
        <is>
          <t>Cali</t>
        </is>
      </c>
      <c r="D744" t="inlineStr">
        <is>
          <t>163</t>
        </is>
      </c>
      <c r="E744" t="inlineStr">
        <is>
          <t>pagado</t>
        </is>
      </c>
      <c r="F744" s="23" t="n">
        <v>46272</v>
      </c>
      <c r="G744" s="24">
        <f>F744-DATE(2026,8,31)</f>
        <v>7</v>
      </c>
      <c r="H744" s="25" t="n">
        <v>9924456</v>
      </c>
      <c r="I744" t="inlineStr">
        <is>
          <t>entidad-dia</t>
        </is>
      </c>
    </row>
    <row r="745">
      <c r="A745" t="inlineStr">
        <is>
          <t>PRAGMA</t>
        </is>
      </c>
      <c r="B745" t="inlineStr">
        <is>
          <t>M1</t>
        </is>
      </c>
      <c r="C745" t="inlineStr">
        <is>
          <t>Cali</t>
        </is>
      </c>
      <c r="D745" t="inlineStr">
        <is>
          <t>163</t>
        </is>
      </c>
      <c r="E745" t="inlineStr">
        <is>
          <t>pagado</t>
        </is>
      </c>
      <c r="F745" s="23" t="n">
        <v>46273</v>
      </c>
      <c r="G745" s="24">
        <f>F745-DATE(2026,8,31)</f>
        <v>8</v>
      </c>
      <c r="H745" s="25" t="n">
        <v>11950383</v>
      </c>
      <c r="I745" t="inlineStr">
        <is>
          <t>entidad-dia</t>
        </is>
      </c>
    </row>
    <row r="746">
      <c r="A746" t="inlineStr">
        <is>
          <t>PRAGMA</t>
        </is>
      </c>
      <c r="B746" t="inlineStr">
        <is>
          <t>M1</t>
        </is>
      </c>
      <c r="C746" t="inlineStr">
        <is>
          <t>Cali</t>
        </is>
      </c>
      <c r="D746" t="inlineStr">
        <is>
          <t>163</t>
        </is>
      </c>
      <c r="E746" t="inlineStr">
        <is>
          <t>pagado</t>
        </is>
      </c>
      <c r="F746" s="23" t="n">
        <v>46274</v>
      </c>
      <c r="G746" s="24">
        <f>F746-DATE(2026,8,31)</f>
        <v>9</v>
      </c>
      <c r="H746" s="25" t="n">
        <v>13008240</v>
      </c>
      <c r="I746" t="inlineStr">
        <is>
          <t>entidad-dia</t>
        </is>
      </c>
    </row>
    <row r="747">
      <c r="A747" t="inlineStr">
        <is>
          <t>PRAGMA</t>
        </is>
      </c>
      <c r="B747" t="inlineStr">
        <is>
          <t>M1</t>
        </is>
      </c>
      <c r="C747" t="inlineStr">
        <is>
          <t>Cali</t>
        </is>
      </c>
      <c r="D747" t="inlineStr">
        <is>
          <t>163</t>
        </is>
      </c>
      <c r="E747" t="inlineStr">
        <is>
          <t>pagado</t>
        </is>
      </c>
      <c r="F747" s="23" t="n">
        <v>46275</v>
      </c>
      <c r="G747" s="24">
        <f>F747-DATE(2026,8,31)</f>
        <v>10</v>
      </c>
      <c r="H747" s="25" t="n">
        <v>8920470</v>
      </c>
      <c r="I747" t="inlineStr">
        <is>
          <t>entidad-dia</t>
        </is>
      </c>
    </row>
    <row r="748">
      <c r="A748" t="inlineStr">
        <is>
          <t>PRAGMA</t>
        </is>
      </c>
      <c r="B748" t="inlineStr">
        <is>
          <t>M1</t>
        </is>
      </c>
      <c r="C748" t="inlineStr">
        <is>
          <t>Cali</t>
        </is>
      </c>
      <c r="D748" t="inlineStr">
        <is>
          <t>163</t>
        </is>
      </c>
      <c r="E748" t="inlineStr">
        <is>
          <t>pagado</t>
        </is>
      </c>
      <c r="F748" s="23" t="n">
        <v>46276</v>
      </c>
      <c r="G748" s="24">
        <f>F748-DATE(2026,8,31)</f>
        <v>11</v>
      </c>
      <c r="H748" s="25" t="n">
        <v>8995808</v>
      </c>
      <c r="I748" t="inlineStr">
        <is>
          <t>entidad-dia</t>
        </is>
      </c>
    </row>
    <row r="749">
      <c r="A749" t="inlineStr">
        <is>
          <t>PRAGMA</t>
        </is>
      </c>
      <c r="B749" t="inlineStr">
        <is>
          <t>M1</t>
        </is>
      </c>
      <c r="C749" t="inlineStr">
        <is>
          <t>Cali</t>
        </is>
      </c>
      <c r="D749" t="inlineStr">
        <is>
          <t>163</t>
        </is>
      </c>
      <c r="E749" t="inlineStr">
        <is>
          <t>pagado</t>
        </is>
      </c>
      <c r="F749" s="23" t="n">
        <v>46277</v>
      </c>
      <c r="G749" s="24">
        <f>F749-DATE(2026,8,31)</f>
        <v>12</v>
      </c>
      <c r="H749" s="25" t="n">
        <v>11439144</v>
      </c>
      <c r="I749" t="inlineStr">
        <is>
          <t>entidad-dia</t>
        </is>
      </c>
    </row>
    <row r="750">
      <c r="A750" t="inlineStr">
        <is>
          <t>PRAGMA</t>
        </is>
      </c>
      <c r="B750" t="inlineStr">
        <is>
          <t>M1</t>
        </is>
      </c>
      <c r="C750" t="inlineStr">
        <is>
          <t>Cali</t>
        </is>
      </c>
      <c r="D750" t="inlineStr">
        <is>
          <t>163</t>
        </is>
      </c>
      <c r="E750" t="inlineStr">
        <is>
          <t>pagado</t>
        </is>
      </c>
      <c r="F750" s="23" t="n">
        <v>46278</v>
      </c>
      <c r="G750" s="24">
        <f>F750-DATE(2026,8,31)</f>
        <v>13</v>
      </c>
      <c r="H750" s="25" t="n">
        <v>9218926</v>
      </c>
      <c r="I750" t="inlineStr">
        <is>
          <t>entidad-dia</t>
        </is>
      </c>
    </row>
    <row r="751">
      <c r="A751" t="inlineStr">
        <is>
          <t>PRAGMA</t>
        </is>
      </c>
      <c r="B751" t="inlineStr">
        <is>
          <t>M1</t>
        </is>
      </c>
      <c r="C751" t="inlineStr">
        <is>
          <t>Cali</t>
        </is>
      </c>
      <c r="D751" t="inlineStr">
        <is>
          <t>163</t>
        </is>
      </c>
      <c r="E751" t="inlineStr">
        <is>
          <t>pagado</t>
        </is>
      </c>
      <c r="F751" s="23" t="n">
        <v>46279</v>
      </c>
      <c r="G751" s="24">
        <f>F751-DATE(2026,8,31)</f>
        <v>14</v>
      </c>
      <c r="H751" s="25" t="n">
        <v>8265413</v>
      </c>
      <c r="I751" t="inlineStr">
        <is>
          <t>entidad-dia</t>
        </is>
      </c>
    </row>
    <row r="752">
      <c r="A752" t="inlineStr">
        <is>
          <t>PRAGMA</t>
        </is>
      </c>
      <c r="B752" t="inlineStr">
        <is>
          <t>M1</t>
        </is>
      </c>
      <c r="C752" t="inlineStr">
        <is>
          <t>Cali</t>
        </is>
      </c>
      <c r="D752" t="inlineStr">
        <is>
          <t>163</t>
        </is>
      </c>
      <c r="E752" t="inlineStr">
        <is>
          <t>pagado</t>
        </is>
      </c>
      <c r="F752" s="23" t="n">
        <v>46280</v>
      </c>
      <c r="G752" s="24">
        <f>F752-DATE(2026,8,31)</f>
        <v>15</v>
      </c>
      <c r="H752" s="25" t="n">
        <v>14925840</v>
      </c>
      <c r="I752" t="inlineStr">
        <is>
          <t>entidad-dia</t>
        </is>
      </c>
    </row>
    <row r="753">
      <c r="A753" t="inlineStr">
        <is>
          <t>PRAGMA</t>
        </is>
      </c>
      <c r="B753" t="inlineStr">
        <is>
          <t>M1</t>
        </is>
      </c>
      <c r="C753" t="inlineStr">
        <is>
          <t>Cali</t>
        </is>
      </c>
      <c r="D753" t="inlineStr">
        <is>
          <t>1632</t>
        </is>
      </c>
      <c r="E753" t="inlineStr">
        <is>
          <t>pagado</t>
        </is>
      </c>
      <c r="F753" s="23" t="n">
        <v>46266</v>
      </c>
      <c r="G753" s="24">
        <f>F753-DATE(2026,8,31)</f>
        <v>1</v>
      </c>
      <c r="H753" s="25" t="n">
        <v>220321120</v>
      </c>
      <c r="I753" t="inlineStr">
        <is>
          <t>entidad-dia</t>
        </is>
      </c>
    </row>
    <row r="754">
      <c r="A754" t="inlineStr">
        <is>
          <t>PRAGMA</t>
        </is>
      </c>
      <c r="B754" t="inlineStr">
        <is>
          <t>M1</t>
        </is>
      </c>
      <c r="C754" t="inlineStr">
        <is>
          <t>Cali</t>
        </is>
      </c>
      <c r="D754" t="inlineStr">
        <is>
          <t>1632</t>
        </is>
      </c>
      <c r="E754" t="inlineStr">
        <is>
          <t>pagado</t>
        </is>
      </c>
      <c r="F754" s="23" t="n">
        <v>46267</v>
      </c>
      <c r="G754" s="24">
        <f>F754-DATE(2026,8,31)</f>
        <v>2</v>
      </c>
      <c r="H754" s="25" t="n">
        <v>162908944</v>
      </c>
      <c r="I754" t="inlineStr">
        <is>
          <t>entidad-dia</t>
        </is>
      </c>
    </row>
    <row r="755">
      <c r="A755" t="inlineStr">
        <is>
          <t>PRAGMA</t>
        </is>
      </c>
      <c r="B755" t="inlineStr">
        <is>
          <t>M1</t>
        </is>
      </c>
      <c r="C755" t="inlineStr">
        <is>
          <t>Cali</t>
        </is>
      </c>
      <c r="D755" t="inlineStr">
        <is>
          <t>1632</t>
        </is>
      </c>
      <c r="E755" t="inlineStr">
        <is>
          <t>pagado</t>
        </is>
      </c>
      <c r="F755" s="23" t="n">
        <v>46268</v>
      </c>
      <c r="G755" s="24">
        <f>F755-DATE(2026,8,31)</f>
        <v>3</v>
      </c>
      <c r="H755" s="25" t="n">
        <v>149630236</v>
      </c>
      <c r="I755" t="inlineStr">
        <is>
          <t>entidad-dia</t>
        </is>
      </c>
    </row>
    <row r="756">
      <c r="A756" t="inlineStr">
        <is>
          <t>PRAGMA</t>
        </is>
      </c>
      <c r="B756" t="inlineStr">
        <is>
          <t>M1</t>
        </is>
      </c>
      <c r="C756" t="inlineStr">
        <is>
          <t>Cali</t>
        </is>
      </c>
      <c r="D756" t="inlineStr">
        <is>
          <t>1632</t>
        </is>
      </c>
      <c r="E756" t="inlineStr">
        <is>
          <t>pagado</t>
        </is>
      </c>
      <c r="F756" s="23" t="n">
        <v>46269</v>
      </c>
      <c r="G756" s="24">
        <f>F756-DATE(2026,8,31)</f>
        <v>4</v>
      </c>
      <c r="H756" s="25" t="n">
        <v>151216899</v>
      </c>
      <c r="I756" t="inlineStr">
        <is>
          <t>entidad-dia</t>
        </is>
      </c>
    </row>
    <row r="757">
      <c r="A757" t="inlineStr">
        <is>
          <t>PRAGMA</t>
        </is>
      </c>
      <c r="B757" t="inlineStr">
        <is>
          <t>M1</t>
        </is>
      </c>
      <c r="C757" t="inlineStr">
        <is>
          <t>Cali</t>
        </is>
      </c>
      <c r="D757" t="inlineStr">
        <is>
          <t>1632</t>
        </is>
      </c>
      <c r="E757" t="inlineStr">
        <is>
          <t>pagado</t>
        </is>
      </c>
      <c r="F757" s="23" t="n">
        <v>46270</v>
      </c>
      <c r="G757" s="24">
        <f>F757-DATE(2026,8,31)</f>
        <v>5</v>
      </c>
      <c r="H757" s="25" t="n">
        <v>168100184</v>
      </c>
      <c r="I757" t="inlineStr">
        <is>
          <t>entidad-dia</t>
        </is>
      </c>
    </row>
    <row r="758">
      <c r="A758" t="inlineStr">
        <is>
          <t>PRAGMA</t>
        </is>
      </c>
      <c r="B758" t="inlineStr">
        <is>
          <t>M1</t>
        </is>
      </c>
      <c r="C758" t="inlineStr">
        <is>
          <t>Cali</t>
        </is>
      </c>
      <c r="D758" t="inlineStr">
        <is>
          <t>1632</t>
        </is>
      </c>
      <c r="E758" t="inlineStr">
        <is>
          <t>pagado</t>
        </is>
      </c>
      <c r="F758" s="23" t="n">
        <v>46271</v>
      </c>
      <c r="G758" s="24">
        <f>F758-DATE(2026,8,31)</f>
        <v>6</v>
      </c>
      <c r="H758" s="25" t="n">
        <v>125607783</v>
      </c>
      <c r="I758" t="inlineStr">
        <is>
          <t>entidad-dia</t>
        </is>
      </c>
    </row>
    <row r="759">
      <c r="A759" t="inlineStr">
        <is>
          <t>PRAGMA</t>
        </is>
      </c>
      <c r="B759" t="inlineStr">
        <is>
          <t>M1</t>
        </is>
      </c>
      <c r="C759" t="inlineStr">
        <is>
          <t>Cali</t>
        </is>
      </c>
      <c r="D759" t="inlineStr">
        <is>
          <t>1632</t>
        </is>
      </c>
      <c r="E759" t="inlineStr">
        <is>
          <t>pagado</t>
        </is>
      </c>
      <c r="F759" s="23" t="n">
        <v>46272</v>
      </c>
      <c r="G759" s="24">
        <f>F759-DATE(2026,8,31)</f>
        <v>7</v>
      </c>
      <c r="H759" s="25" t="n">
        <v>105088675</v>
      </c>
      <c r="I759" t="inlineStr">
        <is>
          <t>entidad-dia</t>
        </is>
      </c>
    </row>
    <row r="760">
      <c r="A760" t="inlineStr">
        <is>
          <t>PRAGMA</t>
        </is>
      </c>
      <c r="B760" t="inlineStr">
        <is>
          <t>M1</t>
        </is>
      </c>
      <c r="C760" t="inlineStr">
        <is>
          <t>Cali</t>
        </is>
      </c>
      <c r="D760" t="inlineStr">
        <is>
          <t>1632</t>
        </is>
      </c>
      <c r="E760" t="inlineStr">
        <is>
          <t>pagado</t>
        </is>
      </c>
      <c r="F760" s="23" t="n">
        <v>46273</v>
      </c>
      <c r="G760" s="24">
        <f>F760-DATE(2026,8,31)</f>
        <v>8</v>
      </c>
      <c r="H760" s="25" t="n">
        <v>115899289</v>
      </c>
      <c r="I760" t="inlineStr">
        <is>
          <t>entidad-dia</t>
        </is>
      </c>
    </row>
    <row r="761">
      <c r="A761" t="inlineStr">
        <is>
          <t>PRAGMA</t>
        </is>
      </c>
      <c r="B761" t="inlineStr">
        <is>
          <t>M1</t>
        </is>
      </c>
      <c r="C761" t="inlineStr">
        <is>
          <t>Cali</t>
        </is>
      </c>
      <c r="D761" t="inlineStr">
        <is>
          <t>1632</t>
        </is>
      </c>
      <c r="E761" t="inlineStr">
        <is>
          <t>pagado</t>
        </is>
      </c>
      <c r="F761" s="23" t="n">
        <v>46274</v>
      </c>
      <c r="G761" s="24">
        <f>F761-DATE(2026,8,31)</f>
        <v>9</v>
      </c>
      <c r="H761" s="25" t="n">
        <v>111039568</v>
      </c>
      <c r="I761" t="inlineStr">
        <is>
          <t>entidad-dia</t>
        </is>
      </c>
    </row>
    <row r="762">
      <c r="A762" t="inlineStr">
        <is>
          <t>PRAGMA</t>
        </is>
      </c>
      <c r="B762" t="inlineStr">
        <is>
          <t>M1</t>
        </is>
      </c>
      <c r="C762" t="inlineStr">
        <is>
          <t>Cali</t>
        </is>
      </c>
      <c r="D762" t="inlineStr">
        <is>
          <t>1632</t>
        </is>
      </c>
      <c r="E762" t="inlineStr">
        <is>
          <t>pagado</t>
        </is>
      </c>
      <c r="F762" s="23" t="n">
        <v>46275</v>
      </c>
      <c r="G762" s="24">
        <f>F762-DATE(2026,8,31)</f>
        <v>10</v>
      </c>
      <c r="H762" s="25" t="n">
        <v>100589628</v>
      </c>
      <c r="I762" t="inlineStr">
        <is>
          <t>entidad-dia</t>
        </is>
      </c>
    </row>
    <row r="763">
      <c r="A763" t="inlineStr">
        <is>
          <t>PRAGMA</t>
        </is>
      </c>
      <c r="B763" t="inlineStr">
        <is>
          <t>M1</t>
        </is>
      </c>
      <c r="C763" t="inlineStr">
        <is>
          <t>Cali</t>
        </is>
      </c>
      <c r="D763" t="inlineStr">
        <is>
          <t>1632</t>
        </is>
      </c>
      <c r="E763" t="inlineStr">
        <is>
          <t>pagado</t>
        </is>
      </c>
      <c r="F763" s="23" t="n">
        <v>46276</v>
      </c>
      <c r="G763" s="24">
        <f>F763-DATE(2026,8,31)</f>
        <v>11</v>
      </c>
      <c r="H763" s="25" t="n">
        <v>116118834</v>
      </c>
      <c r="I763" t="inlineStr">
        <is>
          <t>entidad-dia</t>
        </is>
      </c>
    </row>
    <row r="764">
      <c r="A764" t="inlineStr">
        <is>
          <t>PRAGMA</t>
        </is>
      </c>
      <c r="B764" t="inlineStr">
        <is>
          <t>M1</t>
        </is>
      </c>
      <c r="C764" t="inlineStr">
        <is>
          <t>Cali</t>
        </is>
      </c>
      <c r="D764" t="inlineStr">
        <is>
          <t>1632</t>
        </is>
      </c>
      <c r="E764" t="inlineStr">
        <is>
          <t>pagado</t>
        </is>
      </c>
      <c r="F764" s="23" t="n">
        <v>46277</v>
      </c>
      <c r="G764" s="24">
        <f>F764-DATE(2026,8,31)</f>
        <v>12</v>
      </c>
      <c r="H764" s="25" t="n">
        <v>123083401</v>
      </c>
      <c r="I764" t="inlineStr">
        <is>
          <t>entidad-dia</t>
        </is>
      </c>
    </row>
    <row r="765">
      <c r="A765" t="inlineStr">
        <is>
          <t>PRAGMA</t>
        </is>
      </c>
      <c r="B765" t="inlineStr">
        <is>
          <t>M1</t>
        </is>
      </c>
      <c r="C765" t="inlineStr">
        <is>
          <t>Cali</t>
        </is>
      </c>
      <c r="D765" t="inlineStr">
        <is>
          <t>1632</t>
        </is>
      </c>
      <c r="E765" t="inlineStr">
        <is>
          <t>pagado</t>
        </is>
      </c>
      <c r="F765" s="23" t="n">
        <v>46278</v>
      </c>
      <c r="G765" s="24">
        <f>F765-DATE(2026,8,31)</f>
        <v>13</v>
      </c>
      <c r="H765" s="25" t="n">
        <v>101218890</v>
      </c>
      <c r="I765" t="inlineStr">
        <is>
          <t>entidad-dia</t>
        </is>
      </c>
    </row>
    <row r="766">
      <c r="A766" t="inlineStr">
        <is>
          <t>PRAGMA</t>
        </is>
      </c>
      <c r="B766" t="inlineStr">
        <is>
          <t>M1</t>
        </is>
      </c>
      <c r="C766" t="inlineStr">
        <is>
          <t>Cali</t>
        </is>
      </c>
      <c r="D766" t="inlineStr">
        <is>
          <t>1632</t>
        </is>
      </c>
      <c r="E766" t="inlineStr">
        <is>
          <t>pagado</t>
        </is>
      </c>
      <c r="F766" s="23" t="n">
        <v>46279</v>
      </c>
      <c r="G766" s="24">
        <f>F766-DATE(2026,8,31)</f>
        <v>14</v>
      </c>
      <c r="H766" s="25" t="n">
        <v>105392971</v>
      </c>
      <c r="I766" t="inlineStr">
        <is>
          <t>entidad-dia</t>
        </is>
      </c>
    </row>
    <row r="767">
      <c r="A767" t="inlineStr">
        <is>
          <t>PRAGMA</t>
        </is>
      </c>
      <c r="B767" t="inlineStr">
        <is>
          <t>M1</t>
        </is>
      </c>
      <c r="C767" t="inlineStr">
        <is>
          <t>Cali</t>
        </is>
      </c>
      <c r="D767" t="inlineStr">
        <is>
          <t>1632</t>
        </is>
      </c>
      <c r="E767" t="inlineStr">
        <is>
          <t>pagado</t>
        </is>
      </c>
      <c r="F767" s="23" t="n">
        <v>46280</v>
      </c>
      <c r="G767" s="24">
        <f>F767-DATE(2026,8,31)</f>
        <v>15</v>
      </c>
      <c r="H767" s="25" t="n">
        <v>154555867</v>
      </c>
      <c r="I767" t="inlineStr">
        <is>
          <t>entidad-dia</t>
        </is>
      </c>
    </row>
    <row r="768">
      <c r="A768" t="inlineStr">
        <is>
          <t>PRAGMA</t>
        </is>
      </c>
      <c r="B768" t="inlineStr">
        <is>
          <t>M1</t>
        </is>
      </c>
      <c r="C768" t="inlineStr">
        <is>
          <t>Cali</t>
        </is>
      </c>
      <c r="D768" t="inlineStr">
        <is>
          <t>180</t>
        </is>
      </c>
      <c r="E768" t="inlineStr">
        <is>
          <t>pagado</t>
        </is>
      </c>
      <c r="F768" s="23" t="n">
        <v>46266</v>
      </c>
      <c r="G768" s="24">
        <f>F768-DATE(2026,8,31)</f>
        <v>1</v>
      </c>
      <c r="H768" s="25" t="n">
        <v>150207954</v>
      </c>
      <c r="I768" t="inlineStr">
        <is>
          <t>entidad-dia</t>
        </is>
      </c>
    </row>
    <row r="769">
      <c r="A769" t="inlineStr">
        <is>
          <t>PRAGMA</t>
        </is>
      </c>
      <c r="B769" t="inlineStr">
        <is>
          <t>M1</t>
        </is>
      </c>
      <c r="C769" t="inlineStr">
        <is>
          <t>Cali</t>
        </is>
      </c>
      <c r="D769" t="inlineStr">
        <is>
          <t>180</t>
        </is>
      </c>
      <c r="E769" t="inlineStr">
        <is>
          <t>pagado</t>
        </is>
      </c>
      <c r="F769" s="23" t="n">
        <v>46267</v>
      </c>
      <c r="G769" s="24">
        <f>F769-DATE(2026,8,31)</f>
        <v>2</v>
      </c>
      <c r="H769" s="25" t="n">
        <v>123044522</v>
      </c>
      <c r="I769" t="inlineStr">
        <is>
          <t>entidad-dia</t>
        </is>
      </c>
    </row>
    <row r="770">
      <c r="A770" t="inlineStr">
        <is>
          <t>PRAGMA</t>
        </is>
      </c>
      <c r="B770" t="inlineStr">
        <is>
          <t>M1</t>
        </is>
      </c>
      <c r="C770" t="inlineStr">
        <is>
          <t>Cali</t>
        </is>
      </c>
      <c r="D770" t="inlineStr">
        <is>
          <t>180</t>
        </is>
      </c>
      <c r="E770" t="inlineStr">
        <is>
          <t>pagado</t>
        </is>
      </c>
      <c r="F770" s="23" t="n">
        <v>46268</v>
      </c>
      <c r="G770" s="24">
        <f>F770-DATE(2026,8,31)</f>
        <v>3</v>
      </c>
      <c r="H770" s="25" t="n">
        <v>112668156</v>
      </c>
      <c r="I770" t="inlineStr">
        <is>
          <t>entidad-dia</t>
        </is>
      </c>
    </row>
    <row r="771">
      <c r="A771" t="inlineStr">
        <is>
          <t>PRAGMA</t>
        </is>
      </c>
      <c r="B771" t="inlineStr">
        <is>
          <t>M1</t>
        </is>
      </c>
      <c r="C771" t="inlineStr">
        <is>
          <t>Cali</t>
        </is>
      </c>
      <c r="D771" t="inlineStr">
        <is>
          <t>180</t>
        </is>
      </c>
      <c r="E771" t="inlineStr">
        <is>
          <t>pagado</t>
        </is>
      </c>
      <c r="F771" s="23" t="n">
        <v>46269</v>
      </c>
      <c r="G771" s="24">
        <f>F771-DATE(2026,8,31)</f>
        <v>4</v>
      </c>
      <c r="H771" s="25" t="n">
        <v>120931187</v>
      </c>
      <c r="I771" t="inlineStr">
        <is>
          <t>entidad-dia</t>
        </is>
      </c>
    </row>
    <row r="772">
      <c r="A772" t="inlineStr">
        <is>
          <t>PRAGMA</t>
        </is>
      </c>
      <c r="B772" t="inlineStr">
        <is>
          <t>M1</t>
        </is>
      </c>
      <c r="C772" t="inlineStr">
        <is>
          <t>Cali</t>
        </is>
      </c>
      <c r="D772" t="inlineStr">
        <is>
          <t>180</t>
        </is>
      </c>
      <c r="E772" t="inlineStr">
        <is>
          <t>pagado</t>
        </is>
      </c>
      <c r="F772" s="23" t="n">
        <v>46270</v>
      </c>
      <c r="G772" s="24">
        <f>F772-DATE(2026,8,31)</f>
        <v>5</v>
      </c>
      <c r="H772" s="25" t="n">
        <v>115400513</v>
      </c>
      <c r="I772" t="inlineStr">
        <is>
          <t>entidad-dia</t>
        </is>
      </c>
    </row>
    <row r="773">
      <c r="A773" t="inlineStr">
        <is>
          <t>PRAGMA</t>
        </is>
      </c>
      <c r="B773" t="inlineStr">
        <is>
          <t>M1</t>
        </is>
      </c>
      <c r="C773" t="inlineStr">
        <is>
          <t>Cali</t>
        </is>
      </c>
      <c r="D773" t="inlineStr">
        <is>
          <t>180</t>
        </is>
      </c>
      <c r="E773" t="inlineStr">
        <is>
          <t>pagado</t>
        </is>
      </c>
      <c r="F773" s="23" t="n">
        <v>46271</v>
      </c>
      <c r="G773" s="24">
        <f>F773-DATE(2026,8,31)</f>
        <v>6</v>
      </c>
      <c r="H773" s="25" t="n">
        <v>91342055</v>
      </c>
      <c r="I773" t="inlineStr">
        <is>
          <t>entidad-dia</t>
        </is>
      </c>
    </row>
    <row r="774">
      <c r="A774" t="inlineStr">
        <is>
          <t>PRAGMA</t>
        </is>
      </c>
      <c r="B774" t="inlineStr">
        <is>
          <t>M1</t>
        </is>
      </c>
      <c r="C774" t="inlineStr">
        <is>
          <t>Cali</t>
        </is>
      </c>
      <c r="D774" t="inlineStr">
        <is>
          <t>180</t>
        </is>
      </c>
      <c r="E774" t="inlineStr">
        <is>
          <t>pagado</t>
        </is>
      </c>
      <c r="F774" s="23" t="n">
        <v>46272</v>
      </c>
      <c r="G774" s="24">
        <f>F774-DATE(2026,8,31)</f>
        <v>7</v>
      </c>
      <c r="H774" s="25" t="n">
        <v>90260914</v>
      </c>
      <c r="I774" t="inlineStr">
        <is>
          <t>entidad-dia</t>
        </is>
      </c>
    </row>
    <row r="775">
      <c r="A775" t="inlineStr">
        <is>
          <t>PRAGMA</t>
        </is>
      </c>
      <c r="B775" t="inlineStr">
        <is>
          <t>M1</t>
        </is>
      </c>
      <c r="C775" t="inlineStr">
        <is>
          <t>Cali</t>
        </is>
      </c>
      <c r="D775" t="inlineStr">
        <is>
          <t>180</t>
        </is>
      </c>
      <c r="E775" t="inlineStr">
        <is>
          <t>pagado</t>
        </is>
      </c>
      <c r="F775" s="23" t="n">
        <v>46273</v>
      </c>
      <c r="G775" s="24">
        <f>F775-DATE(2026,8,31)</f>
        <v>8</v>
      </c>
      <c r="H775" s="25" t="n">
        <v>91372189</v>
      </c>
      <c r="I775" t="inlineStr">
        <is>
          <t>entidad-dia</t>
        </is>
      </c>
    </row>
    <row r="776">
      <c r="A776" t="inlineStr">
        <is>
          <t>PRAGMA</t>
        </is>
      </c>
      <c r="B776" t="inlineStr">
        <is>
          <t>M1</t>
        </is>
      </c>
      <c r="C776" t="inlineStr">
        <is>
          <t>Cali</t>
        </is>
      </c>
      <c r="D776" t="inlineStr">
        <is>
          <t>180</t>
        </is>
      </c>
      <c r="E776" t="inlineStr">
        <is>
          <t>pagado</t>
        </is>
      </c>
      <c r="F776" s="23" t="n">
        <v>46274</v>
      </c>
      <c r="G776" s="24">
        <f>F776-DATE(2026,8,31)</f>
        <v>9</v>
      </c>
      <c r="H776" s="25" t="n">
        <v>96132673</v>
      </c>
      <c r="I776" t="inlineStr">
        <is>
          <t>entidad-dia</t>
        </is>
      </c>
    </row>
    <row r="777">
      <c r="A777" t="inlineStr">
        <is>
          <t>PRAGMA</t>
        </is>
      </c>
      <c r="B777" t="inlineStr">
        <is>
          <t>M1</t>
        </is>
      </c>
      <c r="C777" t="inlineStr">
        <is>
          <t>Cali</t>
        </is>
      </c>
      <c r="D777" t="inlineStr">
        <is>
          <t>180</t>
        </is>
      </c>
      <c r="E777" t="inlineStr">
        <is>
          <t>pagado</t>
        </is>
      </c>
      <c r="F777" s="23" t="n">
        <v>46275</v>
      </c>
      <c r="G777" s="24">
        <f>F777-DATE(2026,8,31)</f>
        <v>10</v>
      </c>
      <c r="H777" s="25" t="n">
        <v>87881520</v>
      </c>
      <c r="I777" t="inlineStr">
        <is>
          <t>entidad-dia</t>
        </is>
      </c>
    </row>
    <row r="778">
      <c r="A778" t="inlineStr">
        <is>
          <t>PRAGMA</t>
        </is>
      </c>
      <c r="B778" t="inlineStr">
        <is>
          <t>M1</t>
        </is>
      </c>
      <c r="C778" t="inlineStr">
        <is>
          <t>Cali</t>
        </is>
      </c>
      <c r="D778" t="inlineStr">
        <is>
          <t>180</t>
        </is>
      </c>
      <c r="E778" t="inlineStr">
        <is>
          <t>pagado</t>
        </is>
      </c>
      <c r="F778" s="23" t="n">
        <v>46276</v>
      </c>
      <c r="G778" s="24">
        <f>F778-DATE(2026,8,31)</f>
        <v>11</v>
      </c>
      <c r="H778" s="25" t="n">
        <v>105059336</v>
      </c>
      <c r="I778" t="inlineStr">
        <is>
          <t>entidad-dia</t>
        </is>
      </c>
    </row>
    <row r="779">
      <c r="A779" t="inlineStr">
        <is>
          <t>PRAGMA</t>
        </is>
      </c>
      <c r="B779" t="inlineStr">
        <is>
          <t>M1</t>
        </is>
      </c>
      <c r="C779" t="inlineStr">
        <is>
          <t>Cali</t>
        </is>
      </c>
      <c r="D779" t="inlineStr">
        <is>
          <t>180</t>
        </is>
      </c>
      <c r="E779" t="inlineStr">
        <is>
          <t>pagado</t>
        </is>
      </c>
      <c r="F779" s="23" t="n">
        <v>46277</v>
      </c>
      <c r="G779" s="24">
        <f>F779-DATE(2026,8,31)</f>
        <v>12</v>
      </c>
      <c r="H779" s="25" t="n">
        <v>93285130</v>
      </c>
      <c r="I779" t="inlineStr">
        <is>
          <t>entidad-dia</t>
        </is>
      </c>
    </row>
    <row r="780">
      <c r="A780" t="inlineStr">
        <is>
          <t>PRAGMA</t>
        </is>
      </c>
      <c r="B780" t="inlineStr">
        <is>
          <t>M1</t>
        </is>
      </c>
      <c r="C780" t="inlineStr">
        <is>
          <t>Cali</t>
        </is>
      </c>
      <c r="D780" t="inlineStr">
        <is>
          <t>180</t>
        </is>
      </c>
      <c r="E780" t="inlineStr">
        <is>
          <t>pagado</t>
        </is>
      </c>
      <c r="F780" s="23" t="n">
        <v>46278</v>
      </c>
      <c r="G780" s="24">
        <f>F780-DATE(2026,8,31)</f>
        <v>13</v>
      </c>
      <c r="H780" s="25" t="n">
        <v>75040559</v>
      </c>
      <c r="I780" t="inlineStr">
        <is>
          <t>entidad-dia</t>
        </is>
      </c>
    </row>
    <row r="781">
      <c r="A781" t="inlineStr">
        <is>
          <t>PRAGMA</t>
        </is>
      </c>
      <c r="B781" t="inlineStr">
        <is>
          <t>M1</t>
        </is>
      </c>
      <c r="C781" t="inlineStr">
        <is>
          <t>Cali</t>
        </is>
      </c>
      <c r="D781" t="inlineStr">
        <is>
          <t>180</t>
        </is>
      </c>
      <c r="E781" t="inlineStr">
        <is>
          <t>pagado</t>
        </is>
      </c>
      <c r="F781" s="23" t="n">
        <v>46279</v>
      </c>
      <c r="G781" s="24">
        <f>F781-DATE(2026,8,31)</f>
        <v>14</v>
      </c>
      <c r="H781" s="25" t="n">
        <v>85932901</v>
      </c>
      <c r="I781" t="inlineStr">
        <is>
          <t>entidad-dia</t>
        </is>
      </c>
    </row>
    <row r="782">
      <c r="A782" t="inlineStr">
        <is>
          <t>PRAGMA</t>
        </is>
      </c>
      <c r="B782" t="inlineStr">
        <is>
          <t>M1</t>
        </is>
      </c>
      <c r="C782" t="inlineStr">
        <is>
          <t>Cali</t>
        </is>
      </c>
      <c r="D782" t="inlineStr">
        <is>
          <t>180</t>
        </is>
      </c>
      <c r="E782" t="inlineStr">
        <is>
          <t>pagado</t>
        </is>
      </c>
      <c r="F782" s="23" t="n">
        <v>46280</v>
      </c>
      <c r="G782" s="24">
        <f>F782-DATE(2026,8,31)</f>
        <v>15</v>
      </c>
      <c r="H782" s="25" t="n">
        <v>121324831</v>
      </c>
      <c r="I782" t="inlineStr">
        <is>
          <t>entidad-dia</t>
        </is>
      </c>
    </row>
    <row r="783">
      <c r="A783" t="inlineStr">
        <is>
          <t>PRAGMA</t>
        </is>
      </c>
      <c r="B783" t="inlineStr">
        <is>
          <t>M1</t>
        </is>
      </c>
      <c r="C783" t="inlineStr">
        <is>
          <t>Cali</t>
        </is>
      </c>
      <c r="D783" t="inlineStr">
        <is>
          <t>1915</t>
        </is>
      </c>
      <c r="E783" t="inlineStr">
        <is>
          <t>pagado</t>
        </is>
      </c>
      <c r="F783" s="23" t="n">
        <v>46266</v>
      </c>
      <c r="G783" s="24">
        <f>F783-DATE(2026,8,31)</f>
        <v>1</v>
      </c>
      <c r="H783" s="25" t="n">
        <v>160637879</v>
      </c>
      <c r="I783" t="inlineStr">
        <is>
          <t>entidad-dia</t>
        </is>
      </c>
    </row>
    <row r="784">
      <c r="A784" t="inlineStr">
        <is>
          <t>PRAGMA</t>
        </is>
      </c>
      <c r="B784" t="inlineStr">
        <is>
          <t>M1</t>
        </is>
      </c>
      <c r="C784" t="inlineStr">
        <is>
          <t>Cali</t>
        </is>
      </c>
      <c r="D784" t="inlineStr">
        <is>
          <t>1915</t>
        </is>
      </c>
      <c r="E784" t="inlineStr">
        <is>
          <t>pagado</t>
        </is>
      </c>
      <c r="F784" s="23" t="n">
        <v>46267</v>
      </c>
      <c r="G784" s="24">
        <f>F784-DATE(2026,8,31)</f>
        <v>2</v>
      </c>
      <c r="H784" s="25" t="n">
        <v>138945595</v>
      </c>
      <c r="I784" t="inlineStr">
        <is>
          <t>entidad-dia</t>
        </is>
      </c>
    </row>
    <row r="785">
      <c r="A785" t="inlineStr">
        <is>
          <t>PRAGMA</t>
        </is>
      </c>
      <c r="B785" t="inlineStr">
        <is>
          <t>M1</t>
        </is>
      </c>
      <c r="C785" t="inlineStr">
        <is>
          <t>Cali</t>
        </is>
      </c>
      <c r="D785" t="inlineStr">
        <is>
          <t>1915</t>
        </is>
      </c>
      <c r="E785" t="inlineStr">
        <is>
          <t>pagado</t>
        </is>
      </c>
      <c r="F785" s="23" t="n">
        <v>46268</v>
      </c>
      <c r="G785" s="24">
        <f>F785-DATE(2026,8,31)</f>
        <v>3</v>
      </c>
      <c r="H785" s="25" t="n">
        <v>130446646</v>
      </c>
      <c r="I785" t="inlineStr">
        <is>
          <t>entidad-dia</t>
        </is>
      </c>
    </row>
    <row r="786">
      <c r="A786" t="inlineStr">
        <is>
          <t>PRAGMA</t>
        </is>
      </c>
      <c r="B786" t="inlineStr">
        <is>
          <t>M1</t>
        </is>
      </c>
      <c r="C786" t="inlineStr">
        <is>
          <t>Cali</t>
        </is>
      </c>
      <c r="D786" t="inlineStr">
        <is>
          <t>1915</t>
        </is>
      </c>
      <c r="E786" t="inlineStr">
        <is>
          <t>pagado</t>
        </is>
      </c>
      <c r="F786" s="23" t="n">
        <v>46269</v>
      </c>
      <c r="G786" s="24">
        <f>F786-DATE(2026,8,31)</f>
        <v>4</v>
      </c>
      <c r="H786" s="25" t="n">
        <v>134547827</v>
      </c>
      <c r="I786" t="inlineStr">
        <is>
          <t>entidad-dia</t>
        </is>
      </c>
    </row>
    <row r="787">
      <c r="A787" t="inlineStr">
        <is>
          <t>PRAGMA</t>
        </is>
      </c>
      <c r="B787" t="inlineStr">
        <is>
          <t>M1</t>
        </is>
      </c>
      <c r="C787" t="inlineStr">
        <is>
          <t>Cali</t>
        </is>
      </c>
      <c r="D787" t="inlineStr">
        <is>
          <t>1915</t>
        </is>
      </c>
      <c r="E787" t="inlineStr">
        <is>
          <t>pagado</t>
        </is>
      </c>
      <c r="F787" s="23" t="n">
        <v>46270</v>
      </c>
      <c r="G787" s="24">
        <f>F787-DATE(2026,8,31)</f>
        <v>5</v>
      </c>
      <c r="H787" s="25" t="n">
        <v>125098528</v>
      </c>
      <c r="I787" t="inlineStr">
        <is>
          <t>entidad-dia</t>
        </is>
      </c>
    </row>
    <row r="788">
      <c r="A788" t="inlineStr">
        <is>
          <t>PRAGMA</t>
        </is>
      </c>
      <c r="B788" t="inlineStr">
        <is>
          <t>M1</t>
        </is>
      </c>
      <c r="C788" t="inlineStr">
        <is>
          <t>Cali</t>
        </is>
      </c>
      <c r="D788" t="inlineStr">
        <is>
          <t>1915</t>
        </is>
      </c>
      <c r="E788" t="inlineStr">
        <is>
          <t>pagado</t>
        </is>
      </c>
      <c r="F788" s="23" t="n">
        <v>46271</v>
      </c>
      <c r="G788" s="24">
        <f>F788-DATE(2026,8,31)</f>
        <v>6</v>
      </c>
      <c r="H788" s="25" t="n">
        <v>74443330</v>
      </c>
      <c r="I788" t="inlineStr">
        <is>
          <t>entidad-dia</t>
        </is>
      </c>
    </row>
    <row r="789">
      <c r="A789" t="inlineStr">
        <is>
          <t>PRAGMA</t>
        </is>
      </c>
      <c r="B789" t="inlineStr">
        <is>
          <t>M1</t>
        </is>
      </c>
      <c r="C789" t="inlineStr">
        <is>
          <t>Cali</t>
        </is>
      </c>
      <c r="D789" t="inlineStr">
        <is>
          <t>1915</t>
        </is>
      </c>
      <c r="E789" t="inlineStr">
        <is>
          <t>pagado</t>
        </is>
      </c>
      <c r="F789" s="23" t="n">
        <v>46272</v>
      </c>
      <c r="G789" s="24">
        <f>F789-DATE(2026,8,31)</f>
        <v>7</v>
      </c>
      <c r="H789" s="25" t="n">
        <v>87935048</v>
      </c>
      <c r="I789" t="inlineStr">
        <is>
          <t>entidad-dia</t>
        </is>
      </c>
    </row>
    <row r="790">
      <c r="A790" t="inlineStr">
        <is>
          <t>PRAGMA</t>
        </is>
      </c>
      <c r="B790" t="inlineStr">
        <is>
          <t>M1</t>
        </is>
      </c>
      <c r="C790" t="inlineStr">
        <is>
          <t>Cali</t>
        </is>
      </c>
      <c r="D790" t="inlineStr">
        <is>
          <t>1915</t>
        </is>
      </c>
      <c r="E790" t="inlineStr">
        <is>
          <t>pagado</t>
        </is>
      </c>
      <c r="F790" s="23" t="n">
        <v>46273</v>
      </c>
      <c r="G790" s="24">
        <f>F790-DATE(2026,8,31)</f>
        <v>8</v>
      </c>
      <c r="H790" s="25" t="n">
        <v>90450043</v>
      </c>
      <c r="I790" t="inlineStr">
        <is>
          <t>entidad-dia</t>
        </is>
      </c>
    </row>
    <row r="791">
      <c r="A791" t="inlineStr">
        <is>
          <t>PRAGMA</t>
        </is>
      </c>
      <c r="B791" t="inlineStr">
        <is>
          <t>M1</t>
        </is>
      </c>
      <c r="C791" t="inlineStr">
        <is>
          <t>Cali</t>
        </is>
      </c>
      <c r="D791" t="inlineStr">
        <is>
          <t>1915</t>
        </is>
      </c>
      <c r="E791" t="inlineStr">
        <is>
          <t>pagado</t>
        </is>
      </c>
      <c r="F791" s="23" t="n">
        <v>46274</v>
      </c>
      <c r="G791" s="24">
        <f>F791-DATE(2026,8,31)</f>
        <v>9</v>
      </c>
      <c r="H791" s="25" t="n">
        <v>99777234</v>
      </c>
      <c r="I791" t="inlineStr">
        <is>
          <t>entidad-dia</t>
        </is>
      </c>
    </row>
    <row r="792">
      <c r="A792" t="inlineStr">
        <is>
          <t>PRAGMA</t>
        </is>
      </c>
      <c r="B792" t="inlineStr">
        <is>
          <t>M1</t>
        </is>
      </c>
      <c r="C792" t="inlineStr">
        <is>
          <t>Cali</t>
        </is>
      </c>
      <c r="D792" t="inlineStr">
        <is>
          <t>1915</t>
        </is>
      </c>
      <c r="E792" t="inlineStr">
        <is>
          <t>pagado</t>
        </is>
      </c>
      <c r="F792" s="23" t="n">
        <v>46275</v>
      </c>
      <c r="G792" s="24">
        <f>F792-DATE(2026,8,31)</f>
        <v>10</v>
      </c>
      <c r="H792" s="25" t="n">
        <v>84407307</v>
      </c>
      <c r="I792" t="inlineStr">
        <is>
          <t>entidad-dia</t>
        </is>
      </c>
    </row>
    <row r="793">
      <c r="A793" t="inlineStr">
        <is>
          <t>PRAGMA</t>
        </is>
      </c>
      <c r="B793" t="inlineStr">
        <is>
          <t>M1</t>
        </is>
      </c>
      <c r="C793" t="inlineStr">
        <is>
          <t>Cali</t>
        </is>
      </c>
      <c r="D793" t="inlineStr">
        <is>
          <t>1915</t>
        </is>
      </c>
      <c r="E793" t="inlineStr">
        <is>
          <t>pagado</t>
        </is>
      </c>
      <c r="F793" s="23" t="n">
        <v>46276</v>
      </c>
      <c r="G793" s="24">
        <f>F793-DATE(2026,8,31)</f>
        <v>11</v>
      </c>
      <c r="H793" s="25" t="n">
        <v>100317257</v>
      </c>
      <c r="I793" t="inlineStr">
        <is>
          <t>entidad-dia</t>
        </is>
      </c>
    </row>
    <row r="794">
      <c r="A794" t="inlineStr">
        <is>
          <t>PRAGMA</t>
        </is>
      </c>
      <c r="B794" t="inlineStr">
        <is>
          <t>M1</t>
        </is>
      </c>
      <c r="C794" t="inlineStr">
        <is>
          <t>Cali</t>
        </is>
      </c>
      <c r="D794" t="inlineStr">
        <is>
          <t>1915</t>
        </is>
      </c>
      <c r="E794" t="inlineStr">
        <is>
          <t>pagado</t>
        </is>
      </c>
      <c r="F794" s="23" t="n">
        <v>46277</v>
      </c>
      <c r="G794" s="24">
        <f>F794-DATE(2026,8,31)</f>
        <v>12</v>
      </c>
      <c r="H794" s="25" t="n">
        <v>99845580</v>
      </c>
      <c r="I794" t="inlineStr">
        <is>
          <t>entidad-dia</t>
        </is>
      </c>
    </row>
    <row r="795">
      <c r="A795" t="inlineStr">
        <is>
          <t>PRAGMA</t>
        </is>
      </c>
      <c r="B795" t="inlineStr">
        <is>
          <t>M1</t>
        </is>
      </c>
      <c r="C795" t="inlineStr">
        <is>
          <t>Cali</t>
        </is>
      </c>
      <c r="D795" t="inlineStr">
        <is>
          <t>1915</t>
        </is>
      </c>
      <c r="E795" t="inlineStr">
        <is>
          <t>pagado</t>
        </is>
      </c>
      <c r="F795" s="23" t="n">
        <v>46278</v>
      </c>
      <c r="G795" s="24">
        <f>F795-DATE(2026,8,31)</f>
        <v>13</v>
      </c>
      <c r="H795" s="25" t="n">
        <v>59333298</v>
      </c>
      <c r="I795" t="inlineStr">
        <is>
          <t>entidad-dia</t>
        </is>
      </c>
    </row>
    <row r="796">
      <c r="A796" t="inlineStr">
        <is>
          <t>PRAGMA</t>
        </is>
      </c>
      <c r="B796" t="inlineStr">
        <is>
          <t>M1</t>
        </is>
      </c>
      <c r="C796" t="inlineStr">
        <is>
          <t>Cali</t>
        </is>
      </c>
      <c r="D796" t="inlineStr">
        <is>
          <t>1915</t>
        </is>
      </c>
      <c r="E796" t="inlineStr">
        <is>
          <t>pagado</t>
        </is>
      </c>
      <c r="F796" s="23" t="n">
        <v>46279</v>
      </c>
      <c r="G796" s="24">
        <f>F796-DATE(2026,8,31)</f>
        <v>14</v>
      </c>
      <c r="H796" s="25" t="n">
        <v>90122719</v>
      </c>
      <c r="I796" t="inlineStr">
        <is>
          <t>entidad-dia</t>
        </is>
      </c>
    </row>
    <row r="797">
      <c r="A797" t="inlineStr">
        <is>
          <t>PRAGMA</t>
        </is>
      </c>
      <c r="B797" t="inlineStr">
        <is>
          <t>M1</t>
        </is>
      </c>
      <c r="C797" t="inlineStr">
        <is>
          <t>Cali</t>
        </is>
      </c>
      <c r="D797" t="inlineStr">
        <is>
          <t>1915</t>
        </is>
      </c>
      <c r="E797" t="inlineStr">
        <is>
          <t>pagado</t>
        </is>
      </c>
      <c r="F797" s="23" t="n">
        <v>46280</v>
      </c>
      <c r="G797" s="24">
        <f>F797-DATE(2026,8,31)</f>
        <v>15</v>
      </c>
      <c r="H797" s="25" t="n">
        <v>127104910</v>
      </c>
      <c r="I797" t="inlineStr">
        <is>
          <t>entidad-dia</t>
        </is>
      </c>
    </row>
    <row r="798">
      <c r="A798" t="inlineStr">
        <is>
          <t>PRAGMA</t>
        </is>
      </c>
      <c r="B798" t="inlineStr">
        <is>
          <t>M1</t>
        </is>
      </c>
      <c r="C798" t="inlineStr">
        <is>
          <t>Pasto</t>
        </is>
      </c>
      <c r="D798" t="inlineStr">
        <is>
          <t>1955</t>
        </is>
      </c>
      <c r="E798" t="inlineStr">
        <is>
          <t>pagado</t>
        </is>
      </c>
      <c r="F798" s="23" t="n">
        <v>46266</v>
      </c>
      <c r="G798" s="24">
        <f>F798-DATE(2026,8,31)</f>
        <v>1</v>
      </c>
      <c r="H798" s="25" t="n">
        <v>140697077</v>
      </c>
      <c r="I798" t="inlineStr">
        <is>
          <t>entidad-dia</t>
        </is>
      </c>
    </row>
    <row r="799">
      <c r="A799" t="inlineStr">
        <is>
          <t>PRAGMA</t>
        </is>
      </c>
      <c r="B799" t="inlineStr">
        <is>
          <t>M1</t>
        </is>
      </c>
      <c r="C799" t="inlineStr">
        <is>
          <t>Pasto</t>
        </is>
      </c>
      <c r="D799" t="inlineStr">
        <is>
          <t>1955</t>
        </is>
      </c>
      <c r="E799" t="inlineStr">
        <is>
          <t>pagado</t>
        </is>
      </c>
      <c r="F799" s="23" t="n">
        <v>46267</v>
      </c>
      <c r="G799" s="24">
        <f>F799-DATE(2026,8,31)</f>
        <v>2</v>
      </c>
      <c r="H799" s="25" t="n">
        <v>114822702</v>
      </c>
      <c r="I799" t="inlineStr">
        <is>
          <t>entidad-dia</t>
        </is>
      </c>
    </row>
    <row r="800">
      <c r="A800" t="inlineStr">
        <is>
          <t>PRAGMA</t>
        </is>
      </c>
      <c r="B800" t="inlineStr">
        <is>
          <t>M1</t>
        </is>
      </c>
      <c r="C800" t="inlineStr">
        <is>
          <t>Pasto</t>
        </is>
      </c>
      <c r="D800" t="inlineStr">
        <is>
          <t>1955</t>
        </is>
      </c>
      <c r="E800" t="inlineStr">
        <is>
          <t>pagado</t>
        </is>
      </c>
      <c r="F800" s="23" t="n">
        <v>46268</v>
      </c>
      <c r="G800" s="24">
        <f>F800-DATE(2026,8,31)</f>
        <v>3</v>
      </c>
      <c r="H800" s="25" t="n">
        <v>102344500</v>
      </c>
      <c r="I800" t="inlineStr">
        <is>
          <t>entidad-dia</t>
        </is>
      </c>
    </row>
    <row r="801">
      <c r="A801" t="inlineStr">
        <is>
          <t>PRAGMA</t>
        </is>
      </c>
      <c r="B801" t="inlineStr">
        <is>
          <t>M1</t>
        </is>
      </c>
      <c r="C801" t="inlineStr">
        <is>
          <t>Pasto</t>
        </is>
      </c>
      <c r="D801" t="inlineStr">
        <is>
          <t>1955</t>
        </is>
      </c>
      <c r="E801" t="inlineStr">
        <is>
          <t>pagado</t>
        </is>
      </c>
      <c r="F801" s="23" t="n">
        <v>46269</v>
      </c>
      <c r="G801" s="24">
        <f>F801-DATE(2026,8,31)</f>
        <v>4</v>
      </c>
      <c r="H801" s="25" t="n">
        <v>108438844</v>
      </c>
      <c r="I801" t="inlineStr">
        <is>
          <t>entidad-dia</t>
        </is>
      </c>
    </row>
    <row r="802">
      <c r="A802" t="inlineStr">
        <is>
          <t>PRAGMA</t>
        </is>
      </c>
      <c r="B802" t="inlineStr">
        <is>
          <t>M1</t>
        </is>
      </c>
      <c r="C802" t="inlineStr">
        <is>
          <t>Pasto</t>
        </is>
      </c>
      <c r="D802" t="inlineStr">
        <is>
          <t>1955</t>
        </is>
      </c>
      <c r="E802" t="inlineStr">
        <is>
          <t>pagado</t>
        </is>
      </c>
      <c r="F802" s="23" t="n">
        <v>46270</v>
      </c>
      <c r="G802" s="24">
        <f>F802-DATE(2026,8,31)</f>
        <v>5</v>
      </c>
      <c r="H802" s="25" t="n">
        <v>126787283</v>
      </c>
      <c r="I802" t="inlineStr">
        <is>
          <t>entidad-dia</t>
        </is>
      </c>
    </row>
    <row r="803">
      <c r="A803" t="inlineStr">
        <is>
          <t>PRAGMA</t>
        </is>
      </c>
      <c r="B803" t="inlineStr">
        <is>
          <t>M1</t>
        </is>
      </c>
      <c r="C803" t="inlineStr">
        <is>
          <t>Pasto</t>
        </is>
      </c>
      <c r="D803" t="inlineStr">
        <is>
          <t>1955</t>
        </is>
      </c>
      <c r="E803" t="inlineStr">
        <is>
          <t>pagado</t>
        </is>
      </c>
      <c r="F803" s="23" t="n">
        <v>46271</v>
      </c>
      <c r="G803" s="24">
        <f>F803-DATE(2026,8,31)</f>
        <v>6</v>
      </c>
      <c r="H803" s="25" t="n">
        <v>81773345</v>
      </c>
      <c r="I803" t="inlineStr">
        <is>
          <t>entidad-dia</t>
        </is>
      </c>
    </row>
    <row r="804">
      <c r="A804" t="inlineStr">
        <is>
          <t>PRAGMA</t>
        </is>
      </c>
      <c r="B804" t="inlineStr">
        <is>
          <t>M1</t>
        </is>
      </c>
      <c r="C804" t="inlineStr">
        <is>
          <t>Pasto</t>
        </is>
      </c>
      <c r="D804" t="inlineStr">
        <is>
          <t>1955</t>
        </is>
      </c>
      <c r="E804" t="inlineStr">
        <is>
          <t>pagado</t>
        </is>
      </c>
      <c r="F804" s="23" t="n">
        <v>46272</v>
      </c>
      <c r="G804" s="24">
        <f>F804-DATE(2026,8,31)</f>
        <v>7</v>
      </c>
      <c r="H804" s="25" t="n">
        <v>98279841</v>
      </c>
      <c r="I804" t="inlineStr">
        <is>
          <t>entidad-dia</t>
        </is>
      </c>
    </row>
    <row r="805">
      <c r="A805" t="inlineStr">
        <is>
          <t>PRAGMA</t>
        </is>
      </c>
      <c r="B805" t="inlineStr">
        <is>
          <t>M1</t>
        </is>
      </c>
      <c r="C805" t="inlineStr">
        <is>
          <t>Pasto</t>
        </is>
      </c>
      <c r="D805" t="inlineStr">
        <is>
          <t>1955</t>
        </is>
      </c>
      <c r="E805" t="inlineStr">
        <is>
          <t>pagado</t>
        </is>
      </c>
      <c r="F805" s="23" t="n">
        <v>46273</v>
      </c>
      <c r="G805" s="24">
        <f>F805-DATE(2026,8,31)</f>
        <v>8</v>
      </c>
      <c r="H805" s="25" t="n">
        <v>87523469</v>
      </c>
      <c r="I805" t="inlineStr">
        <is>
          <t>entidad-dia</t>
        </is>
      </c>
    </row>
    <row r="806">
      <c r="A806" t="inlineStr">
        <is>
          <t>PRAGMA</t>
        </is>
      </c>
      <c r="B806" t="inlineStr">
        <is>
          <t>M1</t>
        </is>
      </c>
      <c r="C806" t="inlineStr">
        <is>
          <t>Pasto</t>
        </is>
      </c>
      <c r="D806" t="inlineStr">
        <is>
          <t>1955</t>
        </is>
      </c>
      <c r="E806" t="inlineStr">
        <is>
          <t>pagado</t>
        </is>
      </c>
      <c r="F806" s="23" t="n">
        <v>46274</v>
      </c>
      <c r="G806" s="24">
        <f>F806-DATE(2026,8,31)</f>
        <v>9</v>
      </c>
      <c r="H806" s="25" t="n">
        <v>83391245</v>
      </c>
      <c r="I806" t="inlineStr">
        <is>
          <t>entidad-dia</t>
        </is>
      </c>
    </row>
    <row r="807">
      <c r="A807" t="inlineStr">
        <is>
          <t>PRAGMA</t>
        </is>
      </c>
      <c r="B807" t="inlineStr">
        <is>
          <t>M1</t>
        </is>
      </c>
      <c r="C807" t="inlineStr">
        <is>
          <t>Pasto</t>
        </is>
      </c>
      <c r="D807" t="inlineStr">
        <is>
          <t>1955</t>
        </is>
      </c>
      <c r="E807" t="inlineStr">
        <is>
          <t>pagado</t>
        </is>
      </c>
      <c r="F807" s="23" t="n">
        <v>46275</v>
      </c>
      <c r="G807" s="24">
        <f>F807-DATE(2026,8,31)</f>
        <v>10</v>
      </c>
      <c r="H807" s="25" t="n">
        <v>83681252</v>
      </c>
      <c r="I807" t="inlineStr">
        <is>
          <t>entidad-dia</t>
        </is>
      </c>
    </row>
    <row r="808">
      <c r="A808" t="inlineStr">
        <is>
          <t>PRAGMA</t>
        </is>
      </c>
      <c r="B808" t="inlineStr">
        <is>
          <t>M1</t>
        </is>
      </c>
      <c r="C808" t="inlineStr">
        <is>
          <t>Pasto</t>
        </is>
      </c>
      <c r="D808" t="inlineStr">
        <is>
          <t>1955</t>
        </is>
      </c>
      <c r="E808" t="inlineStr">
        <is>
          <t>pagado</t>
        </is>
      </c>
      <c r="F808" s="23" t="n">
        <v>46276</v>
      </c>
      <c r="G808" s="24">
        <f>F808-DATE(2026,8,31)</f>
        <v>11</v>
      </c>
      <c r="H808" s="25" t="n">
        <v>86724677</v>
      </c>
      <c r="I808" t="inlineStr">
        <is>
          <t>entidad-dia</t>
        </is>
      </c>
    </row>
    <row r="809">
      <c r="A809" t="inlineStr">
        <is>
          <t>PRAGMA</t>
        </is>
      </c>
      <c r="B809" t="inlineStr">
        <is>
          <t>M1</t>
        </is>
      </c>
      <c r="C809" t="inlineStr">
        <is>
          <t>Pasto</t>
        </is>
      </c>
      <c r="D809" t="inlineStr">
        <is>
          <t>1955</t>
        </is>
      </c>
      <c r="E809" t="inlineStr">
        <is>
          <t>pagado</t>
        </is>
      </c>
      <c r="F809" s="23" t="n">
        <v>46277</v>
      </c>
      <c r="G809" s="24">
        <f>F809-DATE(2026,8,31)</f>
        <v>12</v>
      </c>
      <c r="H809" s="25" t="n">
        <v>110503719</v>
      </c>
      <c r="I809" t="inlineStr">
        <is>
          <t>entidad-dia</t>
        </is>
      </c>
    </row>
    <row r="810">
      <c r="A810" t="inlineStr">
        <is>
          <t>PRAGMA</t>
        </is>
      </c>
      <c r="B810" t="inlineStr">
        <is>
          <t>M1</t>
        </is>
      </c>
      <c r="C810" t="inlineStr">
        <is>
          <t>Pasto</t>
        </is>
      </c>
      <c r="D810" t="inlineStr">
        <is>
          <t>1955</t>
        </is>
      </c>
      <c r="E810" t="inlineStr">
        <is>
          <t>pagado</t>
        </is>
      </c>
      <c r="F810" s="23" t="n">
        <v>46278</v>
      </c>
      <c r="G810" s="24">
        <f>F810-DATE(2026,8,31)</f>
        <v>13</v>
      </c>
      <c r="H810" s="25" t="n">
        <v>65028322</v>
      </c>
      <c r="I810" t="inlineStr">
        <is>
          <t>entidad-dia</t>
        </is>
      </c>
    </row>
    <row r="811">
      <c r="A811" t="inlineStr">
        <is>
          <t>PRAGMA</t>
        </is>
      </c>
      <c r="B811" t="inlineStr">
        <is>
          <t>M1</t>
        </is>
      </c>
      <c r="C811" t="inlineStr">
        <is>
          <t>Pasto</t>
        </is>
      </c>
      <c r="D811" t="inlineStr">
        <is>
          <t>1955</t>
        </is>
      </c>
      <c r="E811" t="inlineStr">
        <is>
          <t>pagado</t>
        </is>
      </c>
      <c r="F811" s="23" t="n">
        <v>46279</v>
      </c>
      <c r="G811" s="24">
        <f>F811-DATE(2026,8,31)</f>
        <v>14</v>
      </c>
      <c r="H811" s="25" t="n">
        <v>78924425</v>
      </c>
      <c r="I811" t="inlineStr">
        <is>
          <t>entidad-dia</t>
        </is>
      </c>
    </row>
    <row r="812">
      <c r="A812" t="inlineStr">
        <is>
          <t>PRAGMA</t>
        </is>
      </c>
      <c r="B812" t="inlineStr">
        <is>
          <t>M1</t>
        </is>
      </c>
      <c r="C812" t="inlineStr">
        <is>
          <t>Pasto</t>
        </is>
      </c>
      <c r="D812" t="inlineStr">
        <is>
          <t>1955</t>
        </is>
      </c>
      <c r="E812" t="inlineStr">
        <is>
          <t>pagado</t>
        </is>
      </c>
      <c r="F812" s="23" t="n">
        <v>46280</v>
      </c>
      <c r="G812" s="24">
        <f>F812-DATE(2026,8,31)</f>
        <v>15</v>
      </c>
      <c r="H812" s="25" t="n">
        <v>99213781</v>
      </c>
      <c r="I812" t="inlineStr">
        <is>
          <t>entidad-dia</t>
        </is>
      </c>
    </row>
    <row r="813">
      <c r="A813" t="inlineStr">
        <is>
          <t>PRAGMA</t>
        </is>
      </c>
      <c r="B813" t="inlineStr">
        <is>
          <t>M1</t>
        </is>
      </c>
      <c r="C813" t="inlineStr">
        <is>
          <t>Cali</t>
        </is>
      </c>
      <c r="D813" t="inlineStr">
        <is>
          <t>1987</t>
        </is>
      </c>
      <c r="E813" t="inlineStr">
        <is>
          <t>pagado</t>
        </is>
      </c>
      <c r="F813" s="23" t="n">
        <v>46266</v>
      </c>
      <c r="G813" s="24">
        <f>F813-DATE(2026,8,31)</f>
        <v>1</v>
      </c>
      <c r="H813" s="25" t="n">
        <v>158214152</v>
      </c>
      <c r="I813" t="inlineStr">
        <is>
          <t>entidad-dia</t>
        </is>
      </c>
    </row>
    <row r="814">
      <c r="A814" t="inlineStr">
        <is>
          <t>PRAGMA</t>
        </is>
      </c>
      <c r="B814" t="inlineStr">
        <is>
          <t>M1</t>
        </is>
      </c>
      <c r="C814" t="inlineStr">
        <is>
          <t>Cali</t>
        </is>
      </c>
      <c r="D814" t="inlineStr">
        <is>
          <t>1987</t>
        </is>
      </c>
      <c r="E814" t="inlineStr">
        <is>
          <t>pagado</t>
        </is>
      </c>
      <c r="F814" s="23" t="n">
        <v>46267</v>
      </c>
      <c r="G814" s="24">
        <f>F814-DATE(2026,8,31)</f>
        <v>2</v>
      </c>
      <c r="H814" s="25" t="n">
        <v>130458488</v>
      </c>
      <c r="I814" t="inlineStr">
        <is>
          <t>entidad-dia</t>
        </is>
      </c>
    </row>
    <row r="815">
      <c r="A815" t="inlineStr">
        <is>
          <t>PRAGMA</t>
        </is>
      </c>
      <c r="B815" t="inlineStr">
        <is>
          <t>M1</t>
        </is>
      </c>
      <c r="C815" t="inlineStr">
        <is>
          <t>Cali</t>
        </is>
      </c>
      <c r="D815" t="inlineStr">
        <is>
          <t>1987</t>
        </is>
      </c>
      <c r="E815" t="inlineStr">
        <is>
          <t>pagado</t>
        </is>
      </c>
      <c r="F815" s="23" t="n">
        <v>46268</v>
      </c>
      <c r="G815" s="24">
        <f>F815-DATE(2026,8,31)</f>
        <v>3</v>
      </c>
      <c r="H815" s="25" t="n">
        <v>117030635</v>
      </c>
      <c r="I815" t="inlineStr">
        <is>
          <t>entidad-dia</t>
        </is>
      </c>
    </row>
    <row r="816">
      <c r="A816" t="inlineStr">
        <is>
          <t>PRAGMA</t>
        </is>
      </c>
      <c r="B816" t="inlineStr">
        <is>
          <t>M1</t>
        </is>
      </c>
      <c r="C816" t="inlineStr">
        <is>
          <t>Cali</t>
        </is>
      </c>
      <c r="D816" t="inlineStr">
        <is>
          <t>1987</t>
        </is>
      </c>
      <c r="E816" t="inlineStr">
        <is>
          <t>pagado</t>
        </is>
      </c>
      <c r="F816" s="23" t="n">
        <v>46269</v>
      </c>
      <c r="G816" s="24">
        <f>F816-DATE(2026,8,31)</f>
        <v>4</v>
      </c>
      <c r="H816" s="25" t="n">
        <v>117606663</v>
      </c>
      <c r="I816" t="inlineStr">
        <is>
          <t>entidad-dia</t>
        </is>
      </c>
    </row>
    <row r="817">
      <c r="A817" t="inlineStr">
        <is>
          <t>PRAGMA</t>
        </is>
      </c>
      <c r="B817" t="inlineStr">
        <is>
          <t>M1</t>
        </is>
      </c>
      <c r="C817" t="inlineStr">
        <is>
          <t>Cali</t>
        </is>
      </c>
      <c r="D817" t="inlineStr">
        <is>
          <t>1987</t>
        </is>
      </c>
      <c r="E817" t="inlineStr">
        <is>
          <t>pagado</t>
        </is>
      </c>
      <c r="F817" s="23" t="n">
        <v>46270</v>
      </c>
      <c r="G817" s="24">
        <f>F817-DATE(2026,8,31)</f>
        <v>5</v>
      </c>
      <c r="H817" s="25" t="n">
        <v>121105328</v>
      </c>
      <c r="I817" t="inlineStr">
        <is>
          <t>entidad-dia</t>
        </is>
      </c>
    </row>
    <row r="818">
      <c r="A818" t="inlineStr">
        <is>
          <t>PRAGMA</t>
        </is>
      </c>
      <c r="B818" t="inlineStr">
        <is>
          <t>M1</t>
        </is>
      </c>
      <c r="C818" t="inlineStr">
        <is>
          <t>Cali</t>
        </is>
      </c>
      <c r="D818" t="inlineStr">
        <is>
          <t>1987</t>
        </is>
      </c>
      <c r="E818" t="inlineStr">
        <is>
          <t>pagado</t>
        </is>
      </c>
      <c r="F818" s="23" t="n">
        <v>46271</v>
      </c>
      <c r="G818" s="24">
        <f>F818-DATE(2026,8,31)</f>
        <v>6</v>
      </c>
      <c r="H818" s="25" t="n">
        <v>84701464</v>
      </c>
      <c r="I818" t="inlineStr">
        <is>
          <t>entidad-dia</t>
        </is>
      </c>
    </row>
    <row r="819">
      <c r="A819" t="inlineStr">
        <is>
          <t>PRAGMA</t>
        </is>
      </c>
      <c r="B819" t="inlineStr">
        <is>
          <t>M1</t>
        </is>
      </c>
      <c r="C819" t="inlineStr">
        <is>
          <t>Cali</t>
        </is>
      </c>
      <c r="D819" t="inlineStr">
        <is>
          <t>1987</t>
        </is>
      </c>
      <c r="E819" t="inlineStr">
        <is>
          <t>pagado</t>
        </is>
      </c>
      <c r="F819" s="23" t="n">
        <v>46272</v>
      </c>
      <c r="G819" s="24">
        <f>F819-DATE(2026,8,31)</f>
        <v>7</v>
      </c>
      <c r="H819" s="25" t="n">
        <v>86613386</v>
      </c>
      <c r="I819" t="inlineStr">
        <is>
          <t>entidad-dia</t>
        </is>
      </c>
    </row>
    <row r="820">
      <c r="A820" t="inlineStr">
        <is>
          <t>PRAGMA</t>
        </is>
      </c>
      <c r="B820" t="inlineStr">
        <is>
          <t>M1</t>
        </is>
      </c>
      <c r="C820" t="inlineStr">
        <is>
          <t>Cali</t>
        </is>
      </c>
      <c r="D820" t="inlineStr">
        <is>
          <t>1987</t>
        </is>
      </c>
      <c r="E820" t="inlineStr">
        <is>
          <t>pagado</t>
        </is>
      </c>
      <c r="F820" s="23" t="n">
        <v>46273</v>
      </c>
      <c r="G820" s="24">
        <f>F820-DATE(2026,8,31)</f>
        <v>8</v>
      </c>
      <c r="H820" s="25" t="n">
        <v>83047102</v>
      </c>
      <c r="I820" t="inlineStr">
        <is>
          <t>entidad-dia</t>
        </is>
      </c>
    </row>
    <row r="821">
      <c r="A821" t="inlineStr">
        <is>
          <t>PRAGMA</t>
        </is>
      </c>
      <c r="B821" t="inlineStr">
        <is>
          <t>M1</t>
        </is>
      </c>
      <c r="C821" t="inlineStr">
        <is>
          <t>Cali</t>
        </is>
      </c>
      <c r="D821" t="inlineStr">
        <is>
          <t>1987</t>
        </is>
      </c>
      <c r="E821" t="inlineStr">
        <is>
          <t>pagado</t>
        </is>
      </c>
      <c r="F821" s="23" t="n">
        <v>46274</v>
      </c>
      <c r="G821" s="24">
        <f>F821-DATE(2026,8,31)</f>
        <v>9</v>
      </c>
      <c r="H821" s="25" t="n">
        <v>85413864</v>
      </c>
      <c r="I821" t="inlineStr">
        <is>
          <t>entidad-dia</t>
        </is>
      </c>
    </row>
    <row r="822">
      <c r="A822" t="inlineStr">
        <is>
          <t>PRAGMA</t>
        </is>
      </c>
      <c r="B822" t="inlineStr">
        <is>
          <t>M1</t>
        </is>
      </c>
      <c r="C822" t="inlineStr">
        <is>
          <t>Cali</t>
        </is>
      </c>
      <c r="D822" t="inlineStr">
        <is>
          <t>1987</t>
        </is>
      </c>
      <c r="E822" t="inlineStr">
        <is>
          <t>pagado</t>
        </is>
      </c>
      <c r="F822" s="23" t="n">
        <v>46275</v>
      </c>
      <c r="G822" s="24">
        <f>F822-DATE(2026,8,31)</f>
        <v>10</v>
      </c>
      <c r="H822" s="25" t="n">
        <v>75031890</v>
      </c>
      <c r="I822" t="inlineStr">
        <is>
          <t>entidad-dia</t>
        </is>
      </c>
    </row>
    <row r="823">
      <c r="A823" t="inlineStr">
        <is>
          <t>PRAGMA</t>
        </is>
      </c>
      <c r="B823" t="inlineStr">
        <is>
          <t>M1</t>
        </is>
      </c>
      <c r="C823" t="inlineStr">
        <is>
          <t>Cali</t>
        </is>
      </c>
      <c r="D823" t="inlineStr">
        <is>
          <t>1987</t>
        </is>
      </c>
      <c r="E823" t="inlineStr">
        <is>
          <t>pagado</t>
        </is>
      </c>
      <c r="F823" s="23" t="n">
        <v>46276</v>
      </c>
      <c r="G823" s="24">
        <f>F823-DATE(2026,8,31)</f>
        <v>11</v>
      </c>
      <c r="H823" s="25" t="n">
        <v>84684027</v>
      </c>
      <c r="I823" t="inlineStr">
        <is>
          <t>entidad-dia</t>
        </is>
      </c>
    </row>
    <row r="824">
      <c r="A824" t="inlineStr">
        <is>
          <t>PRAGMA</t>
        </is>
      </c>
      <c r="B824" t="inlineStr">
        <is>
          <t>M1</t>
        </is>
      </c>
      <c r="C824" t="inlineStr">
        <is>
          <t>Cali</t>
        </is>
      </c>
      <c r="D824" t="inlineStr">
        <is>
          <t>1987</t>
        </is>
      </c>
      <c r="E824" t="inlineStr">
        <is>
          <t>pagado</t>
        </is>
      </c>
      <c r="F824" s="23" t="n">
        <v>46277</v>
      </c>
      <c r="G824" s="24">
        <f>F824-DATE(2026,8,31)</f>
        <v>12</v>
      </c>
      <c r="H824" s="25" t="n">
        <v>91581880</v>
      </c>
      <c r="I824" t="inlineStr">
        <is>
          <t>entidad-dia</t>
        </is>
      </c>
    </row>
    <row r="825">
      <c r="A825" t="inlineStr">
        <is>
          <t>PRAGMA</t>
        </is>
      </c>
      <c r="B825" t="inlineStr">
        <is>
          <t>M1</t>
        </is>
      </c>
      <c r="C825" t="inlineStr">
        <is>
          <t>Cali</t>
        </is>
      </c>
      <c r="D825" t="inlineStr">
        <is>
          <t>1987</t>
        </is>
      </c>
      <c r="E825" t="inlineStr">
        <is>
          <t>pagado</t>
        </is>
      </c>
      <c r="F825" s="23" t="n">
        <v>46278</v>
      </c>
      <c r="G825" s="24">
        <f>F825-DATE(2026,8,31)</f>
        <v>13</v>
      </c>
      <c r="H825" s="25" t="n">
        <v>66412692</v>
      </c>
      <c r="I825" t="inlineStr">
        <is>
          <t>entidad-dia</t>
        </is>
      </c>
    </row>
    <row r="826">
      <c r="A826" t="inlineStr">
        <is>
          <t>PRAGMA</t>
        </is>
      </c>
      <c r="B826" t="inlineStr">
        <is>
          <t>M1</t>
        </is>
      </c>
      <c r="C826" t="inlineStr">
        <is>
          <t>Cali</t>
        </is>
      </c>
      <c r="D826" t="inlineStr">
        <is>
          <t>1987</t>
        </is>
      </c>
      <c r="E826" t="inlineStr">
        <is>
          <t>pagado</t>
        </is>
      </c>
      <c r="F826" s="23" t="n">
        <v>46279</v>
      </c>
      <c r="G826" s="24">
        <f>F826-DATE(2026,8,31)</f>
        <v>14</v>
      </c>
      <c r="H826" s="25" t="n">
        <v>84723707</v>
      </c>
      <c r="I826" t="inlineStr">
        <is>
          <t>entidad-dia</t>
        </is>
      </c>
    </row>
    <row r="827">
      <c r="A827" t="inlineStr">
        <is>
          <t>PRAGMA</t>
        </is>
      </c>
      <c r="B827" t="inlineStr">
        <is>
          <t>M1</t>
        </is>
      </c>
      <c r="C827" t="inlineStr">
        <is>
          <t>Cali</t>
        </is>
      </c>
      <c r="D827" t="inlineStr">
        <is>
          <t>1987</t>
        </is>
      </c>
      <c r="E827" t="inlineStr">
        <is>
          <t>pagado</t>
        </is>
      </c>
      <c r="F827" s="23" t="n">
        <v>46280</v>
      </c>
      <c r="G827" s="24">
        <f>F827-DATE(2026,8,31)</f>
        <v>15</v>
      </c>
      <c r="H827" s="25" t="n">
        <v>117935799</v>
      </c>
      <c r="I827" t="inlineStr">
        <is>
          <t>entidad-dia</t>
        </is>
      </c>
    </row>
    <row r="828">
      <c r="A828" t="inlineStr">
        <is>
          <t>PRAGMA</t>
        </is>
      </c>
      <c r="B828" t="inlineStr">
        <is>
          <t>M1</t>
        </is>
      </c>
      <c r="C828" t="inlineStr">
        <is>
          <t>Ipiales</t>
        </is>
      </c>
      <c r="D828" t="inlineStr">
        <is>
          <t>20</t>
        </is>
      </c>
      <c r="E828" t="inlineStr">
        <is>
          <t>pagado</t>
        </is>
      </c>
      <c r="F828" s="23" t="n">
        <v>46266</v>
      </c>
      <c r="G828" s="24">
        <f>F828-DATE(2026,8,31)</f>
        <v>1</v>
      </c>
      <c r="H828" s="25" t="n">
        <v>20988194</v>
      </c>
      <c r="I828" t="inlineStr">
        <is>
          <t>entidad-dia</t>
        </is>
      </c>
    </row>
    <row r="829">
      <c r="A829" t="inlineStr">
        <is>
          <t>PRAGMA</t>
        </is>
      </c>
      <c r="B829" t="inlineStr">
        <is>
          <t>M1</t>
        </is>
      </c>
      <c r="C829" t="inlineStr">
        <is>
          <t>Ipiales</t>
        </is>
      </c>
      <c r="D829" t="inlineStr">
        <is>
          <t>20</t>
        </is>
      </c>
      <c r="E829" t="inlineStr">
        <is>
          <t>pagado</t>
        </is>
      </c>
      <c r="F829" s="23" t="n">
        <v>46267</v>
      </c>
      <c r="G829" s="24">
        <f>F829-DATE(2026,8,31)</f>
        <v>2</v>
      </c>
      <c r="H829" s="25" t="n">
        <v>18335412</v>
      </c>
      <c r="I829" t="inlineStr">
        <is>
          <t>entidad-dia</t>
        </is>
      </c>
    </row>
    <row r="830">
      <c r="A830" t="inlineStr">
        <is>
          <t>PRAGMA</t>
        </is>
      </c>
      <c r="B830" t="inlineStr">
        <is>
          <t>M1</t>
        </is>
      </c>
      <c r="C830" t="inlineStr">
        <is>
          <t>Ipiales</t>
        </is>
      </c>
      <c r="D830" t="inlineStr">
        <is>
          <t>20</t>
        </is>
      </c>
      <c r="E830" t="inlineStr">
        <is>
          <t>pagado</t>
        </is>
      </c>
      <c r="F830" s="23" t="n">
        <v>46268</v>
      </c>
      <c r="G830" s="24">
        <f>F830-DATE(2026,8,31)</f>
        <v>3</v>
      </c>
      <c r="H830" s="25" t="n">
        <v>16955059</v>
      </c>
      <c r="I830" t="inlineStr">
        <is>
          <t>entidad-dia</t>
        </is>
      </c>
    </row>
    <row r="831">
      <c r="A831" t="inlineStr">
        <is>
          <t>PRAGMA</t>
        </is>
      </c>
      <c r="B831" t="inlineStr">
        <is>
          <t>M1</t>
        </is>
      </c>
      <c r="C831" t="inlineStr">
        <is>
          <t>Ipiales</t>
        </is>
      </c>
      <c r="D831" t="inlineStr">
        <is>
          <t>20</t>
        </is>
      </c>
      <c r="E831" t="inlineStr">
        <is>
          <t>pagado</t>
        </is>
      </c>
      <c r="F831" s="23" t="n">
        <v>46269</v>
      </c>
      <c r="G831" s="24">
        <f>F831-DATE(2026,8,31)</f>
        <v>4</v>
      </c>
      <c r="H831" s="25" t="n">
        <v>18711774</v>
      </c>
      <c r="I831" t="inlineStr">
        <is>
          <t>entidad-dia</t>
        </is>
      </c>
    </row>
    <row r="832">
      <c r="A832" t="inlineStr">
        <is>
          <t>PRAGMA</t>
        </is>
      </c>
      <c r="B832" t="inlineStr">
        <is>
          <t>M1</t>
        </is>
      </c>
      <c r="C832" t="inlineStr">
        <is>
          <t>Ipiales</t>
        </is>
      </c>
      <c r="D832" t="inlineStr">
        <is>
          <t>20</t>
        </is>
      </c>
      <c r="E832" t="inlineStr">
        <is>
          <t>pagado</t>
        </is>
      </c>
      <c r="F832" s="23" t="n">
        <v>46270</v>
      </c>
      <c r="G832" s="24">
        <f>F832-DATE(2026,8,31)</f>
        <v>5</v>
      </c>
      <c r="H832" s="25" t="n">
        <v>27101985</v>
      </c>
      <c r="I832" t="inlineStr">
        <is>
          <t>entidad-dia</t>
        </is>
      </c>
    </row>
    <row r="833">
      <c r="A833" t="inlineStr">
        <is>
          <t>PRAGMA</t>
        </is>
      </c>
      <c r="B833" t="inlineStr">
        <is>
          <t>M1</t>
        </is>
      </c>
      <c r="C833" t="inlineStr">
        <is>
          <t>Ipiales</t>
        </is>
      </c>
      <c r="D833" t="inlineStr">
        <is>
          <t>20</t>
        </is>
      </c>
      <c r="E833" t="inlineStr">
        <is>
          <t>pagado</t>
        </is>
      </c>
      <c r="F833" s="23" t="n">
        <v>46271</v>
      </c>
      <c r="G833" s="24">
        <f>F833-DATE(2026,8,31)</f>
        <v>6</v>
      </c>
      <c r="H833" s="25" t="n">
        <v>25402591</v>
      </c>
      <c r="I833" t="inlineStr">
        <is>
          <t>entidad-dia</t>
        </is>
      </c>
    </row>
    <row r="834">
      <c r="A834" t="inlineStr">
        <is>
          <t>PRAGMA</t>
        </is>
      </c>
      <c r="B834" t="inlineStr">
        <is>
          <t>M1</t>
        </is>
      </c>
      <c r="C834" t="inlineStr">
        <is>
          <t>Ipiales</t>
        </is>
      </c>
      <c r="D834" t="inlineStr">
        <is>
          <t>20</t>
        </is>
      </c>
      <c r="E834" t="inlineStr">
        <is>
          <t>pagado</t>
        </is>
      </c>
      <c r="F834" s="23" t="n">
        <v>46272</v>
      </c>
      <c r="G834" s="24">
        <f>F834-DATE(2026,8,31)</f>
        <v>7</v>
      </c>
      <c r="H834" s="25" t="n">
        <v>15132868</v>
      </c>
      <c r="I834" t="inlineStr">
        <is>
          <t>entidad-dia</t>
        </is>
      </c>
    </row>
    <row r="835">
      <c r="A835" t="inlineStr">
        <is>
          <t>PRAGMA</t>
        </is>
      </c>
      <c r="B835" t="inlineStr">
        <is>
          <t>M1</t>
        </is>
      </c>
      <c r="C835" t="inlineStr">
        <is>
          <t>Ipiales</t>
        </is>
      </c>
      <c r="D835" t="inlineStr">
        <is>
          <t>20</t>
        </is>
      </c>
      <c r="E835" t="inlineStr">
        <is>
          <t>pagado</t>
        </is>
      </c>
      <c r="F835" s="23" t="n">
        <v>46273</v>
      </c>
      <c r="G835" s="24">
        <f>F835-DATE(2026,8,31)</f>
        <v>8</v>
      </c>
      <c r="H835" s="25" t="n">
        <v>12850196</v>
      </c>
      <c r="I835" t="inlineStr">
        <is>
          <t>entidad-dia</t>
        </is>
      </c>
    </row>
    <row r="836">
      <c r="A836" t="inlineStr">
        <is>
          <t>PRAGMA</t>
        </is>
      </c>
      <c r="B836" t="inlineStr">
        <is>
          <t>M1</t>
        </is>
      </c>
      <c r="C836" t="inlineStr">
        <is>
          <t>Ipiales</t>
        </is>
      </c>
      <c r="D836" t="inlineStr">
        <is>
          <t>20</t>
        </is>
      </c>
      <c r="E836" t="inlineStr">
        <is>
          <t>pagado</t>
        </is>
      </c>
      <c r="F836" s="23" t="n">
        <v>46274</v>
      </c>
      <c r="G836" s="24">
        <f>F836-DATE(2026,8,31)</f>
        <v>9</v>
      </c>
      <c r="H836" s="25" t="n">
        <v>12738558</v>
      </c>
      <c r="I836" t="inlineStr">
        <is>
          <t>entidad-dia</t>
        </is>
      </c>
    </row>
    <row r="837">
      <c r="A837" t="inlineStr">
        <is>
          <t>PRAGMA</t>
        </is>
      </c>
      <c r="B837" t="inlineStr">
        <is>
          <t>M1</t>
        </is>
      </c>
      <c r="C837" t="inlineStr">
        <is>
          <t>Ipiales</t>
        </is>
      </c>
      <c r="D837" t="inlineStr">
        <is>
          <t>20</t>
        </is>
      </c>
      <c r="E837" t="inlineStr">
        <is>
          <t>pagado</t>
        </is>
      </c>
      <c r="F837" s="23" t="n">
        <v>46275</v>
      </c>
      <c r="G837" s="24">
        <f>F837-DATE(2026,8,31)</f>
        <v>10</v>
      </c>
      <c r="H837" s="25" t="n">
        <v>11817584</v>
      </c>
      <c r="I837" t="inlineStr">
        <is>
          <t>entidad-dia</t>
        </is>
      </c>
    </row>
    <row r="838">
      <c r="A838" t="inlineStr">
        <is>
          <t>PRAGMA</t>
        </is>
      </c>
      <c r="B838" t="inlineStr">
        <is>
          <t>M1</t>
        </is>
      </c>
      <c r="C838" t="inlineStr">
        <is>
          <t>Ipiales</t>
        </is>
      </c>
      <c r="D838" t="inlineStr">
        <is>
          <t>20</t>
        </is>
      </c>
      <c r="E838" t="inlineStr">
        <is>
          <t>pagado</t>
        </is>
      </c>
      <c r="F838" s="23" t="n">
        <v>46276</v>
      </c>
      <c r="G838" s="24">
        <f>F838-DATE(2026,8,31)</f>
        <v>11</v>
      </c>
      <c r="H838" s="25" t="n">
        <v>12725663</v>
      </c>
      <c r="I838" t="inlineStr">
        <is>
          <t>entidad-dia</t>
        </is>
      </c>
    </row>
    <row r="839">
      <c r="A839" t="inlineStr">
        <is>
          <t>PRAGMA</t>
        </is>
      </c>
      <c r="B839" t="inlineStr">
        <is>
          <t>M1</t>
        </is>
      </c>
      <c r="C839" t="inlineStr">
        <is>
          <t>Ipiales</t>
        </is>
      </c>
      <c r="D839" t="inlineStr">
        <is>
          <t>20</t>
        </is>
      </c>
      <c r="E839" t="inlineStr">
        <is>
          <t>pagado</t>
        </is>
      </c>
      <c r="F839" s="23" t="n">
        <v>46277</v>
      </c>
      <c r="G839" s="24">
        <f>F839-DATE(2026,8,31)</f>
        <v>12</v>
      </c>
      <c r="H839" s="25" t="n">
        <v>22635870</v>
      </c>
      <c r="I839" t="inlineStr">
        <is>
          <t>entidad-dia</t>
        </is>
      </c>
    </row>
    <row r="840">
      <c r="A840" t="inlineStr">
        <is>
          <t>PRAGMA</t>
        </is>
      </c>
      <c r="B840" t="inlineStr">
        <is>
          <t>M1</t>
        </is>
      </c>
      <c r="C840" t="inlineStr">
        <is>
          <t>Ipiales</t>
        </is>
      </c>
      <c r="D840" t="inlineStr">
        <is>
          <t>20</t>
        </is>
      </c>
      <c r="E840" t="inlineStr">
        <is>
          <t>pagado</t>
        </is>
      </c>
      <c r="F840" s="23" t="n">
        <v>46278</v>
      </c>
      <c r="G840" s="24">
        <f>F840-DATE(2026,8,31)</f>
        <v>13</v>
      </c>
      <c r="H840" s="25" t="n">
        <v>22120881</v>
      </c>
      <c r="I840" t="inlineStr">
        <is>
          <t>entidad-dia</t>
        </is>
      </c>
    </row>
    <row r="841">
      <c r="A841" t="inlineStr">
        <is>
          <t>PRAGMA</t>
        </is>
      </c>
      <c r="B841" t="inlineStr">
        <is>
          <t>M1</t>
        </is>
      </c>
      <c r="C841" t="inlineStr">
        <is>
          <t>Ipiales</t>
        </is>
      </c>
      <c r="D841" t="inlineStr">
        <is>
          <t>20</t>
        </is>
      </c>
      <c r="E841" t="inlineStr">
        <is>
          <t>pagado</t>
        </is>
      </c>
      <c r="F841" s="23" t="n">
        <v>46279</v>
      </c>
      <c r="G841" s="24">
        <f>F841-DATE(2026,8,31)</f>
        <v>14</v>
      </c>
      <c r="H841" s="25" t="n">
        <v>12405463</v>
      </c>
      <c r="I841" t="inlineStr">
        <is>
          <t>entidad-dia</t>
        </is>
      </c>
    </row>
    <row r="842">
      <c r="A842" t="inlineStr">
        <is>
          <t>PRAGMA</t>
        </is>
      </c>
      <c r="B842" t="inlineStr">
        <is>
          <t>M1</t>
        </is>
      </c>
      <c r="C842" t="inlineStr">
        <is>
          <t>Ipiales</t>
        </is>
      </c>
      <c r="D842" t="inlineStr">
        <is>
          <t>20</t>
        </is>
      </c>
      <c r="E842" t="inlineStr">
        <is>
          <t>pagado</t>
        </is>
      </c>
      <c r="F842" s="23" t="n">
        <v>46280</v>
      </c>
      <c r="G842" s="24">
        <f>F842-DATE(2026,8,31)</f>
        <v>15</v>
      </c>
      <c r="H842" s="25" t="n">
        <v>17390524</v>
      </c>
      <c r="I842" t="inlineStr">
        <is>
          <t>entidad-dia</t>
        </is>
      </c>
    </row>
    <row r="843">
      <c r="A843" t="inlineStr">
        <is>
          <t>PRAGMA</t>
        </is>
      </c>
      <c r="B843" t="inlineStr">
        <is>
          <t>M1</t>
        </is>
      </c>
      <c r="C843" t="inlineStr">
        <is>
          <t>Cali</t>
        </is>
      </c>
      <c r="D843" t="inlineStr">
        <is>
          <t>2027</t>
        </is>
      </c>
      <c r="E843" t="inlineStr">
        <is>
          <t>pagado</t>
        </is>
      </c>
      <c r="F843" s="23" t="n">
        <v>46266</v>
      </c>
      <c r="G843" s="24">
        <f>F843-DATE(2026,8,31)</f>
        <v>1</v>
      </c>
      <c r="H843" s="25" t="n">
        <v>195749948</v>
      </c>
      <c r="I843" t="inlineStr">
        <is>
          <t>entidad-dia</t>
        </is>
      </c>
    </row>
    <row r="844">
      <c r="A844" t="inlineStr">
        <is>
          <t>PRAGMA</t>
        </is>
      </c>
      <c r="B844" t="inlineStr">
        <is>
          <t>M1</t>
        </is>
      </c>
      <c r="C844" t="inlineStr">
        <is>
          <t>Cali</t>
        </is>
      </c>
      <c r="D844" t="inlineStr">
        <is>
          <t>2027</t>
        </is>
      </c>
      <c r="E844" t="inlineStr">
        <is>
          <t>pagado</t>
        </is>
      </c>
      <c r="F844" s="23" t="n">
        <v>46267</v>
      </c>
      <c r="G844" s="24">
        <f>F844-DATE(2026,8,31)</f>
        <v>2</v>
      </c>
      <c r="H844" s="25" t="n">
        <v>154885198</v>
      </c>
      <c r="I844" t="inlineStr">
        <is>
          <t>entidad-dia</t>
        </is>
      </c>
    </row>
    <row r="845">
      <c r="A845" t="inlineStr">
        <is>
          <t>PRAGMA</t>
        </is>
      </c>
      <c r="B845" t="inlineStr">
        <is>
          <t>M1</t>
        </is>
      </c>
      <c r="C845" t="inlineStr">
        <is>
          <t>Cali</t>
        </is>
      </c>
      <c r="D845" t="inlineStr">
        <is>
          <t>2027</t>
        </is>
      </c>
      <c r="E845" t="inlineStr">
        <is>
          <t>pagado</t>
        </is>
      </c>
      <c r="F845" s="23" t="n">
        <v>46268</v>
      </c>
      <c r="G845" s="24">
        <f>F845-DATE(2026,8,31)</f>
        <v>3</v>
      </c>
      <c r="H845" s="25" t="n">
        <v>146017263</v>
      </c>
      <c r="I845" t="inlineStr">
        <is>
          <t>entidad-dia</t>
        </is>
      </c>
    </row>
    <row r="846">
      <c r="A846" t="inlineStr">
        <is>
          <t>PRAGMA</t>
        </is>
      </c>
      <c r="B846" t="inlineStr">
        <is>
          <t>M1</t>
        </is>
      </c>
      <c r="C846" t="inlineStr">
        <is>
          <t>Cali</t>
        </is>
      </c>
      <c r="D846" t="inlineStr">
        <is>
          <t>2027</t>
        </is>
      </c>
      <c r="E846" t="inlineStr">
        <is>
          <t>pagado</t>
        </is>
      </c>
      <c r="F846" s="23" t="n">
        <v>46269</v>
      </c>
      <c r="G846" s="24">
        <f>F846-DATE(2026,8,31)</f>
        <v>4</v>
      </c>
      <c r="H846" s="25" t="n">
        <v>151949735</v>
      </c>
      <c r="I846" t="inlineStr">
        <is>
          <t>entidad-dia</t>
        </is>
      </c>
    </row>
    <row r="847">
      <c r="A847" t="inlineStr">
        <is>
          <t>PRAGMA</t>
        </is>
      </c>
      <c r="B847" t="inlineStr">
        <is>
          <t>M1</t>
        </is>
      </c>
      <c r="C847" t="inlineStr">
        <is>
          <t>Cali</t>
        </is>
      </c>
      <c r="D847" t="inlineStr">
        <is>
          <t>2027</t>
        </is>
      </c>
      <c r="E847" t="inlineStr">
        <is>
          <t>pagado</t>
        </is>
      </c>
      <c r="F847" s="23" t="n">
        <v>46270</v>
      </c>
      <c r="G847" s="24">
        <f>F847-DATE(2026,8,31)</f>
        <v>5</v>
      </c>
      <c r="H847" s="25" t="n">
        <v>168058558</v>
      </c>
      <c r="I847" t="inlineStr">
        <is>
          <t>entidad-dia</t>
        </is>
      </c>
    </row>
    <row r="848">
      <c r="A848" t="inlineStr">
        <is>
          <t>PRAGMA</t>
        </is>
      </c>
      <c r="B848" t="inlineStr">
        <is>
          <t>M1</t>
        </is>
      </c>
      <c r="C848" t="inlineStr">
        <is>
          <t>Cali</t>
        </is>
      </c>
      <c r="D848" t="inlineStr">
        <is>
          <t>2027</t>
        </is>
      </c>
      <c r="E848" t="inlineStr">
        <is>
          <t>pagado</t>
        </is>
      </c>
      <c r="F848" s="23" t="n">
        <v>46271</v>
      </c>
      <c r="G848" s="24">
        <f>F848-DATE(2026,8,31)</f>
        <v>6</v>
      </c>
      <c r="H848" s="25" t="n">
        <v>122481739</v>
      </c>
      <c r="I848" t="inlineStr">
        <is>
          <t>entidad-dia</t>
        </is>
      </c>
    </row>
    <row r="849">
      <c r="A849" t="inlineStr">
        <is>
          <t>PRAGMA</t>
        </is>
      </c>
      <c r="B849" t="inlineStr">
        <is>
          <t>M1</t>
        </is>
      </c>
      <c r="C849" t="inlineStr">
        <is>
          <t>Cali</t>
        </is>
      </c>
      <c r="D849" t="inlineStr">
        <is>
          <t>2027</t>
        </is>
      </c>
      <c r="E849" t="inlineStr">
        <is>
          <t>pagado</t>
        </is>
      </c>
      <c r="F849" s="23" t="n">
        <v>46272</v>
      </c>
      <c r="G849" s="24">
        <f>F849-DATE(2026,8,31)</f>
        <v>7</v>
      </c>
      <c r="H849" s="25" t="n">
        <v>117403022</v>
      </c>
      <c r="I849" t="inlineStr">
        <is>
          <t>entidad-dia</t>
        </is>
      </c>
    </row>
    <row r="850">
      <c r="A850" t="inlineStr">
        <is>
          <t>PRAGMA</t>
        </is>
      </c>
      <c r="B850" t="inlineStr">
        <is>
          <t>M1</t>
        </is>
      </c>
      <c r="C850" t="inlineStr">
        <is>
          <t>Cali</t>
        </is>
      </c>
      <c r="D850" t="inlineStr">
        <is>
          <t>2027</t>
        </is>
      </c>
      <c r="E850" t="inlineStr">
        <is>
          <t>pagado</t>
        </is>
      </c>
      <c r="F850" s="23" t="n">
        <v>46273</v>
      </c>
      <c r="G850" s="24">
        <f>F850-DATE(2026,8,31)</f>
        <v>8</v>
      </c>
      <c r="H850" s="25" t="n">
        <v>111497814</v>
      </c>
      <c r="I850" t="inlineStr">
        <is>
          <t>entidad-dia</t>
        </is>
      </c>
    </row>
    <row r="851">
      <c r="A851" t="inlineStr">
        <is>
          <t>PRAGMA</t>
        </is>
      </c>
      <c r="B851" t="inlineStr">
        <is>
          <t>M1</t>
        </is>
      </c>
      <c r="C851" t="inlineStr">
        <is>
          <t>Cali</t>
        </is>
      </c>
      <c r="D851" t="inlineStr">
        <is>
          <t>2027</t>
        </is>
      </c>
      <c r="E851" t="inlineStr">
        <is>
          <t>pagado</t>
        </is>
      </c>
      <c r="F851" s="23" t="n">
        <v>46274</v>
      </c>
      <c r="G851" s="24">
        <f>F851-DATE(2026,8,31)</f>
        <v>9</v>
      </c>
      <c r="H851" s="25" t="n">
        <v>106988034</v>
      </c>
      <c r="I851" t="inlineStr">
        <is>
          <t>entidad-dia</t>
        </is>
      </c>
    </row>
    <row r="852">
      <c r="A852" t="inlineStr">
        <is>
          <t>PRAGMA</t>
        </is>
      </c>
      <c r="B852" t="inlineStr">
        <is>
          <t>M1</t>
        </is>
      </c>
      <c r="C852" t="inlineStr">
        <is>
          <t>Cali</t>
        </is>
      </c>
      <c r="D852" t="inlineStr">
        <is>
          <t>2027</t>
        </is>
      </c>
      <c r="E852" t="inlineStr">
        <is>
          <t>pagado</t>
        </is>
      </c>
      <c r="F852" s="23" t="n">
        <v>46275</v>
      </c>
      <c r="G852" s="24">
        <f>F852-DATE(2026,8,31)</f>
        <v>10</v>
      </c>
      <c r="H852" s="25" t="n">
        <v>106786099</v>
      </c>
      <c r="I852" t="inlineStr">
        <is>
          <t>entidad-dia</t>
        </is>
      </c>
    </row>
    <row r="853">
      <c r="A853" t="inlineStr">
        <is>
          <t>PRAGMA</t>
        </is>
      </c>
      <c r="B853" t="inlineStr">
        <is>
          <t>M1</t>
        </is>
      </c>
      <c r="C853" t="inlineStr">
        <is>
          <t>Cali</t>
        </is>
      </c>
      <c r="D853" t="inlineStr">
        <is>
          <t>2027</t>
        </is>
      </c>
      <c r="E853" t="inlineStr">
        <is>
          <t>pagado</t>
        </is>
      </c>
      <c r="F853" s="23" t="n">
        <v>46276</v>
      </c>
      <c r="G853" s="24">
        <f>F853-DATE(2026,8,31)</f>
        <v>11</v>
      </c>
      <c r="H853" s="25" t="n">
        <v>120331786</v>
      </c>
      <c r="I853" t="inlineStr">
        <is>
          <t>entidad-dia</t>
        </is>
      </c>
    </row>
    <row r="854">
      <c r="A854" t="inlineStr">
        <is>
          <t>PRAGMA</t>
        </is>
      </c>
      <c r="B854" t="inlineStr">
        <is>
          <t>M1</t>
        </is>
      </c>
      <c r="C854" t="inlineStr">
        <is>
          <t>Cali</t>
        </is>
      </c>
      <c r="D854" t="inlineStr">
        <is>
          <t>2027</t>
        </is>
      </c>
      <c r="E854" t="inlineStr">
        <is>
          <t>pagado</t>
        </is>
      </c>
      <c r="F854" s="23" t="n">
        <v>46277</v>
      </c>
      <c r="G854" s="24">
        <f>F854-DATE(2026,8,31)</f>
        <v>12</v>
      </c>
      <c r="H854" s="25" t="n">
        <v>128194121</v>
      </c>
      <c r="I854" t="inlineStr">
        <is>
          <t>entidad-dia</t>
        </is>
      </c>
    </row>
    <row r="855">
      <c r="A855" t="inlineStr">
        <is>
          <t>PRAGMA</t>
        </is>
      </c>
      <c r="B855" t="inlineStr">
        <is>
          <t>M1</t>
        </is>
      </c>
      <c r="C855" t="inlineStr">
        <is>
          <t>Cali</t>
        </is>
      </c>
      <c r="D855" t="inlineStr">
        <is>
          <t>2027</t>
        </is>
      </c>
      <c r="E855" t="inlineStr">
        <is>
          <t>pagado</t>
        </is>
      </c>
      <c r="F855" s="23" t="n">
        <v>46278</v>
      </c>
      <c r="G855" s="24">
        <f>F855-DATE(2026,8,31)</f>
        <v>13</v>
      </c>
      <c r="H855" s="25" t="n">
        <v>88403956</v>
      </c>
      <c r="I855" t="inlineStr">
        <is>
          <t>entidad-dia</t>
        </is>
      </c>
    </row>
    <row r="856">
      <c r="A856" t="inlineStr">
        <is>
          <t>PRAGMA</t>
        </is>
      </c>
      <c r="B856" t="inlineStr">
        <is>
          <t>M1</t>
        </is>
      </c>
      <c r="C856" t="inlineStr">
        <is>
          <t>Cali</t>
        </is>
      </c>
      <c r="D856" t="inlineStr">
        <is>
          <t>2027</t>
        </is>
      </c>
      <c r="E856" t="inlineStr">
        <is>
          <t>pagado</t>
        </is>
      </c>
      <c r="F856" s="23" t="n">
        <v>46279</v>
      </c>
      <c r="G856" s="24">
        <f>F856-DATE(2026,8,31)</f>
        <v>14</v>
      </c>
      <c r="H856" s="25" t="n">
        <v>104084732</v>
      </c>
      <c r="I856" t="inlineStr">
        <is>
          <t>entidad-dia</t>
        </is>
      </c>
    </row>
    <row r="857">
      <c r="A857" t="inlineStr">
        <is>
          <t>PRAGMA</t>
        </is>
      </c>
      <c r="B857" t="inlineStr">
        <is>
          <t>M1</t>
        </is>
      </c>
      <c r="C857" t="inlineStr">
        <is>
          <t>Cali</t>
        </is>
      </c>
      <c r="D857" t="inlineStr">
        <is>
          <t>2027</t>
        </is>
      </c>
      <c r="E857" t="inlineStr">
        <is>
          <t>pagado</t>
        </is>
      </c>
      <c r="F857" s="23" t="n">
        <v>46280</v>
      </c>
      <c r="G857" s="24">
        <f>F857-DATE(2026,8,31)</f>
        <v>15</v>
      </c>
      <c r="H857" s="25" t="n">
        <v>166778087</v>
      </c>
      <c r="I857" t="inlineStr">
        <is>
          <t>entidad-dia</t>
        </is>
      </c>
    </row>
    <row r="858">
      <c r="A858" t="inlineStr">
        <is>
          <t>PRAGMA</t>
        </is>
      </c>
      <c r="B858" t="inlineStr">
        <is>
          <t>M1</t>
        </is>
      </c>
      <c r="C858" t="inlineStr">
        <is>
          <t>Cali</t>
        </is>
      </c>
      <c r="D858" t="inlineStr">
        <is>
          <t>2036</t>
        </is>
      </c>
      <c r="E858" t="inlineStr">
        <is>
          <t>pagado</t>
        </is>
      </c>
      <c r="F858" s="23" t="n">
        <v>46266</v>
      </c>
      <c r="G858" s="24">
        <f>F858-DATE(2026,8,31)</f>
        <v>1</v>
      </c>
      <c r="H858" s="25" t="n">
        <v>105514195</v>
      </c>
      <c r="I858" t="inlineStr">
        <is>
          <t>entidad-dia</t>
        </is>
      </c>
    </row>
    <row r="859">
      <c r="A859" t="inlineStr">
        <is>
          <t>PRAGMA</t>
        </is>
      </c>
      <c r="B859" t="inlineStr">
        <is>
          <t>M1</t>
        </is>
      </c>
      <c r="C859" t="inlineStr">
        <is>
          <t>Cali</t>
        </is>
      </c>
      <c r="D859" t="inlineStr">
        <is>
          <t>2036</t>
        </is>
      </c>
      <c r="E859" t="inlineStr">
        <is>
          <t>pagado</t>
        </is>
      </c>
      <c r="F859" s="23" t="n">
        <v>46267</v>
      </c>
      <c r="G859" s="24">
        <f>F859-DATE(2026,8,31)</f>
        <v>2</v>
      </c>
      <c r="H859" s="25" t="n">
        <v>77448057</v>
      </c>
      <c r="I859" t="inlineStr">
        <is>
          <t>entidad-dia</t>
        </is>
      </c>
    </row>
    <row r="860">
      <c r="A860" t="inlineStr">
        <is>
          <t>PRAGMA</t>
        </is>
      </c>
      <c r="B860" t="inlineStr">
        <is>
          <t>M1</t>
        </is>
      </c>
      <c r="C860" t="inlineStr">
        <is>
          <t>Cali</t>
        </is>
      </c>
      <c r="D860" t="inlineStr">
        <is>
          <t>2036</t>
        </is>
      </c>
      <c r="E860" t="inlineStr">
        <is>
          <t>pagado</t>
        </is>
      </c>
      <c r="F860" s="23" t="n">
        <v>46268</v>
      </c>
      <c r="G860" s="24">
        <f>F860-DATE(2026,8,31)</f>
        <v>3</v>
      </c>
      <c r="H860" s="25" t="n">
        <v>65754569</v>
      </c>
      <c r="I860" t="inlineStr">
        <is>
          <t>entidad-dia</t>
        </is>
      </c>
    </row>
    <row r="861">
      <c r="A861" t="inlineStr">
        <is>
          <t>PRAGMA</t>
        </is>
      </c>
      <c r="B861" t="inlineStr">
        <is>
          <t>M1</t>
        </is>
      </c>
      <c r="C861" t="inlineStr">
        <is>
          <t>Cali</t>
        </is>
      </c>
      <c r="D861" t="inlineStr">
        <is>
          <t>2036</t>
        </is>
      </c>
      <c r="E861" t="inlineStr">
        <is>
          <t>pagado</t>
        </is>
      </c>
      <c r="F861" s="23" t="n">
        <v>46269</v>
      </c>
      <c r="G861" s="24">
        <f>F861-DATE(2026,8,31)</f>
        <v>4</v>
      </c>
      <c r="H861" s="25" t="n">
        <v>69145658</v>
      </c>
      <c r="I861" t="inlineStr">
        <is>
          <t>entidad-dia</t>
        </is>
      </c>
    </row>
    <row r="862">
      <c r="A862" t="inlineStr">
        <is>
          <t>PRAGMA</t>
        </is>
      </c>
      <c r="B862" t="inlineStr">
        <is>
          <t>M1</t>
        </is>
      </c>
      <c r="C862" t="inlineStr">
        <is>
          <t>Cali</t>
        </is>
      </c>
      <c r="D862" t="inlineStr">
        <is>
          <t>2036</t>
        </is>
      </c>
      <c r="E862" t="inlineStr">
        <is>
          <t>pagado</t>
        </is>
      </c>
      <c r="F862" s="23" t="n">
        <v>46270</v>
      </c>
      <c r="G862" s="24">
        <f>F862-DATE(2026,8,31)</f>
        <v>5</v>
      </c>
      <c r="H862" s="25" t="n">
        <v>78911446</v>
      </c>
      <c r="I862" t="inlineStr">
        <is>
          <t>entidad-dia</t>
        </is>
      </c>
    </row>
    <row r="863">
      <c r="A863" t="inlineStr">
        <is>
          <t>PRAGMA</t>
        </is>
      </c>
      <c r="B863" t="inlineStr">
        <is>
          <t>M1</t>
        </is>
      </c>
      <c r="C863" t="inlineStr">
        <is>
          <t>Cali</t>
        </is>
      </c>
      <c r="D863" t="inlineStr">
        <is>
          <t>2036</t>
        </is>
      </c>
      <c r="E863" t="inlineStr">
        <is>
          <t>pagado</t>
        </is>
      </c>
      <c r="F863" s="23" t="n">
        <v>46271</v>
      </c>
      <c r="G863" s="24">
        <f>F863-DATE(2026,8,31)</f>
        <v>6</v>
      </c>
      <c r="H863" s="25" t="n">
        <v>55868089</v>
      </c>
      <c r="I863" t="inlineStr">
        <is>
          <t>entidad-dia</t>
        </is>
      </c>
    </row>
    <row r="864">
      <c r="A864" t="inlineStr">
        <is>
          <t>PRAGMA</t>
        </is>
      </c>
      <c r="B864" t="inlineStr">
        <is>
          <t>M1</t>
        </is>
      </c>
      <c r="C864" t="inlineStr">
        <is>
          <t>Cali</t>
        </is>
      </c>
      <c r="D864" t="inlineStr">
        <is>
          <t>2036</t>
        </is>
      </c>
      <c r="E864" t="inlineStr">
        <is>
          <t>pagado</t>
        </is>
      </c>
      <c r="F864" s="23" t="n">
        <v>46272</v>
      </c>
      <c r="G864" s="24">
        <f>F864-DATE(2026,8,31)</f>
        <v>7</v>
      </c>
      <c r="H864" s="25" t="n">
        <v>54125707</v>
      </c>
      <c r="I864" t="inlineStr">
        <is>
          <t>entidad-dia</t>
        </is>
      </c>
    </row>
    <row r="865">
      <c r="A865" t="inlineStr">
        <is>
          <t>PRAGMA</t>
        </is>
      </c>
      <c r="B865" t="inlineStr">
        <is>
          <t>M1</t>
        </is>
      </c>
      <c r="C865" t="inlineStr">
        <is>
          <t>Cali</t>
        </is>
      </c>
      <c r="D865" t="inlineStr">
        <is>
          <t>2036</t>
        </is>
      </c>
      <c r="E865" t="inlineStr">
        <is>
          <t>pagado</t>
        </is>
      </c>
      <c r="F865" s="23" t="n">
        <v>46273</v>
      </c>
      <c r="G865" s="24">
        <f>F865-DATE(2026,8,31)</f>
        <v>8</v>
      </c>
      <c r="H865" s="25" t="n">
        <v>45837794</v>
      </c>
      <c r="I865" t="inlineStr">
        <is>
          <t>entidad-dia</t>
        </is>
      </c>
    </row>
    <row r="866">
      <c r="A866" t="inlineStr">
        <is>
          <t>PRAGMA</t>
        </is>
      </c>
      <c r="B866" t="inlineStr">
        <is>
          <t>M1</t>
        </is>
      </c>
      <c r="C866" t="inlineStr">
        <is>
          <t>Cali</t>
        </is>
      </c>
      <c r="D866" t="inlineStr">
        <is>
          <t>2036</t>
        </is>
      </c>
      <c r="E866" t="inlineStr">
        <is>
          <t>pagado</t>
        </is>
      </c>
      <c r="F866" s="23" t="n">
        <v>46274</v>
      </c>
      <c r="G866" s="24">
        <f>F866-DATE(2026,8,31)</f>
        <v>9</v>
      </c>
      <c r="H866" s="25" t="n">
        <v>52686839</v>
      </c>
      <c r="I866" t="inlineStr">
        <is>
          <t>entidad-dia</t>
        </is>
      </c>
    </row>
    <row r="867">
      <c r="A867" t="inlineStr">
        <is>
          <t>PRAGMA</t>
        </is>
      </c>
      <c r="B867" t="inlineStr">
        <is>
          <t>M1</t>
        </is>
      </c>
      <c r="C867" t="inlineStr">
        <is>
          <t>Cali</t>
        </is>
      </c>
      <c r="D867" t="inlineStr">
        <is>
          <t>2036</t>
        </is>
      </c>
      <c r="E867" t="inlineStr">
        <is>
          <t>pagado</t>
        </is>
      </c>
      <c r="F867" s="23" t="n">
        <v>46275</v>
      </c>
      <c r="G867" s="24">
        <f>F867-DATE(2026,8,31)</f>
        <v>10</v>
      </c>
      <c r="H867" s="25" t="n">
        <v>53147489</v>
      </c>
      <c r="I867" t="inlineStr">
        <is>
          <t>entidad-dia</t>
        </is>
      </c>
    </row>
    <row r="868">
      <c r="A868" t="inlineStr">
        <is>
          <t>PRAGMA</t>
        </is>
      </c>
      <c r="B868" t="inlineStr">
        <is>
          <t>M1</t>
        </is>
      </c>
      <c r="C868" t="inlineStr">
        <is>
          <t>Cali</t>
        </is>
      </c>
      <c r="D868" t="inlineStr">
        <is>
          <t>2036</t>
        </is>
      </c>
      <c r="E868" t="inlineStr">
        <is>
          <t>pagado</t>
        </is>
      </c>
      <c r="F868" s="23" t="n">
        <v>46276</v>
      </c>
      <c r="G868" s="24">
        <f>F868-DATE(2026,8,31)</f>
        <v>11</v>
      </c>
      <c r="H868" s="25" t="n">
        <v>52779680</v>
      </c>
      <c r="I868" t="inlineStr">
        <is>
          <t>entidad-dia</t>
        </is>
      </c>
    </row>
    <row r="869">
      <c r="A869" t="inlineStr">
        <is>
          <t>PRAGMA</t>
        </is>
      </c>
      <c r="B869" t="inlineStr">
        <is>
          <t>M1</t>
        </is>
      </c>
      <c r="C869" t="inlineStr">
        <is>
          <t>Cali</t>
        </is>
      </c>
      <c r="D869" t="inlineStr">
        <is>
          <t>2036</t>
        </is>
      </c>
      <c r="E869" t="inlineStr">
        <is>
          <t>pagado</t>
        </is>
      </c>
      <c r="F869" s="23" t="n">
        <v>46277</v>
      </c>
      <c r="G869" s="24">
        <f>F869-DATE(2026,8,31)</f>
        <v>12</v>
      </c>
      <c r="H869" s="25" t="n">
        <v>61072094</v>
      </c>
      <c r="I869" t="inlineStr">
        <is>
          <t>entidad-dia</t>
        </is>
      </c>
    </row>
    <row r="870">
      <c r="A870" t="inlineStr">
        <is>
          <t>PRAGMA</t>
        </is>
      </c>
      <c r="B870" t="inlineStr">
        <is>
          <t>M1</t>
        </is>
      </c>
      <c r="C870" t="inlineStr">
        <is>
          <t>Cali</t>
        </is>
      </c>
      <c r="D870" t="inlineStr">
        <is>
          <t>2036</t>
        </is>
      </c>
      <c r="E870" t="inlineStr">
        <is>
          <t>pagado</t>
        </is>
      </c>
      <c r="F870" s="23" t="n">
        <v>46278</v>
      </c>
      <c r="G870" s="24">
        <f>F870-DATE(2026,8,31)</f>
        <v>13</v>
      </c>
      <c r="H870" s="25" t="n">
        <v>42401394</v>
      </c>
      <c r="I870" t="inlineStr">
        <is>
          <t>entidad-dia</t>
        </is>
      </c>
    </row>
    <row r="871">
      <c r="A871" t="inlineStr">
        <is>
          <t>PRAGMA</t>
        </is>
      </c>
      <c r="B871" t="inlineStr">
        <is>
          <t>M1</t>
        </is>
      </c>
      <c r="C871" t="inlineStr">
        <is>
          <t>Cali</t>
        </is>
      </c>
      <c r="D871" t="inlineStr">
        <is>
          <t>2036</t>
        </is>
      </c>
      <c r="E871" t="inlineStr">
        <is>
          <t>pagado</t>
        </is>
      </c>
      <c r="F871" s="23" t="n">
        <v>46279</v>
      </c>
      <c r="G871" s="24">
        <f>F871-DATE(2026,8,31)</f>
        <v>14</v>
      </c>
      <c r="H871" s="25" t="n">
        <v>52129860</v>
      </c>
      <c r="I871" t="inlineStr">
        <is>
          <t>entidad-dia</t>
        </is>
      </c>
    </row>
    <row r="872">
      <c r="A872" t="inlineStr">
        <is>
          <t>PRAGMA</t>
        </is>
      </c>
      <c r="B872" t="inlineStr">
        <is>
          <t>M1</t>
        </is>
      </c>
      <c r="C872" t="inlineStr">
        <is>
          <t>Cali</t>
        </is>
      </c>
      <c r="D872" t="inlineStr">
        <is>
          <t>2036</t>
        </is>
      </c>
      <c r="E872" t="inlineStr">
        <is>
          <t>pagado</t>
        </is>
      </c>
      <c r="F872" s="23" t="n">
        <v>46280</v>
      </c>
      <c r="G872" s="24">
        <f>F872-DATE(2026,8,31)</f>
        <v>15</v>
      </c>
      <c r="H872" s="25" t="n">
        <v>85454693</v>
      </c>
      <c r="I872" t="inlineStr">
        <is>
          <t>entidad-dia</t>
        </is>
      </c>
    </row>
    <row r="873">
      <c r="A873" t="inlineStr">
        <is>
          <t>PRAGMA</t>
        </is>
      </c>
      <c r="B873" t="inlineStr">
        <is>
          <t>M1</t>
        </is>
      </c>
      <c r="C873" t="inlineStr">
        <is>
          <t>Cali</t>
        </is>
      </c>
      <c r="D873" t="inlineStr">
        <is>
          <t>2037</t>
        </is>
      </c>
      <c r="E873" t="inlineStr">
        <is>
          <t>pagado</t>
        </is>
      </c>
      <c r="F873" s="23" t="n">
        <v>46266</v>
      </c>
      <c r="G873" s="24">
        <f>F873-DATE(2026,8,31)</f>
        <v>1</v>
      </c>
      <c r="H873" s="25" t="n">
        <v>112932516</v>
      </c>
      <c r="I873" t="inlineStr">
        <is>
          <t>entidad-dia</t>
        </is>
      </c>
    </row>
    <row r="874">
      <c r="A874" t="inlineStr">
        <is>
          <t>PRAGMA</t>
        </is>
      </c>
      <c r="B874" t="inlineStr">
        <is>
          <t>M1</t>
        </is>
      </c>
      <c r="C874" t="inlineStr">
        <is>
          <t>Cali</t>
        </is>
      </c>
      <c r="D874" t="inlineStr">
        <is>
          <t>2037</t>
        </is>
      </c>
      <c r="E874" t="inlineStr">
        <is>
          <t>pagado</t>
        </is>
      </c>
      <c r="F874" s="23" t="n">
        <v>46267</v>
      </c>
      <c r="G874" s="24">
        <f>F874-DATE(2026,8,31)</f>
        <v>2</v>
      </c>
      <c r="H874" s="25" t="n">
        <v>82778167</v>
      </c>
      <c r="I874" t="inlineStr">
        <is>
          <t>entidad-dia</t>
        </is>
      </c>
    </row>
    <row r="875">
      <c r="A875" t="inlineStr">
        <is>
          <t>PRAGMA</t>
        </is>
      </c>
      <c r="B875" t="inlineStr">
        <is>
          <t>M1</t>
        </is>
      </c>
      <c r="C875" t="inlineStr">
        <is>
          <t>Cali</t>
        </is>
      </c>
      <c r="D875" t="inlineStr">
        <is>
          <t>2037</t>
        </is>
      </c>
      <c r="E875" t="inlineStr">
        <is>
          <t>pagado</t>
        </is>
      </c>
      <c r="F875" s="23" t="n">
        <v>46268</v>
      </c>
      <c r="G875" s="24">
        <f>F875-DATE(2026,8,31)</f>
        <v>3</v>
      </c>
      <c r="H875" s="25" t="n">
        <v>75069323</v>
      </c>
      <c r="I875" t="inlineStr">
        <is>
          <t>entidad-dia</t>
        </is>
      </c>
    </row>
    <row r="876">
      <c r="A876" t="inlineStr">
        <is>
          <t>PRAGMA</t>
        </is>
      </c>
      <c r="B876" t="inlineStr">
        <is>
          <t>M1</t>
        </is>
      </c>
      <c r="C876" t="inlineStr">
        <is>
          <t>Cali</t>
        </is>
      </c>
      <c r="D876" t="inlineStr">
        <is>
          <t>2037</t>
        </is>
      </c>
      <c r="E876" t="inlineStr">
        <is>
          <t>pagado</t>
        </is>
      </c>
      <c r="F876" s="23" t="n">
        <v>46269</v>
      </c>
      <c r="G876" s="24">
        <f>F876-DATE(2026,8,31)</f>
        <v>4</v>
      </c>
      <c r="H876" s="25" t="n">
        <v>78219812</v>
      </c>
      <c r="I876" t="inlineStr">
        <is>
          <t>entidad-dia</t>
        </is>
      </c>
    </row>
    <row r="877">
      <c r="A877" t="inlineStr">
        <is>
          <t>PRAGMA</t>
        </is>
      </c>
      <c r="B877" t="inlineStr">
        <is>
          <t>M1</t>
        </is>
      </c>
      <c r="C877" t="inlineStr">
        <is>
          <t>Cali</t>
        </is>
      </c>
      <c r="D877" t="inlineStr">
        <is>
          <t>2037</t>
        </is>
      </c>
      <c r="E877" t="inlineStr">
        <is>
          <t>pagado</t>
        </is>
      </c>
      <c r="F877" s="23" t="n">
        <v>46270</v>
      </c>
      <c r="G877" s="24">
        <f>F877-DATE(2026,8,31)</f>
        <v>5</v>
      </c>
      <c r="H877" s="25" t="n">
        <v>90897946</v>
      </c>
      <c r="I877" t="inlineStr">
        <is>
          <t>entidad-dia</t>
        </is>
      </c>
    </row>
    <row r="878">
      <c r="A878" t="inlineStr">
        <is>
          <t>PRAGMA</t>
        </is>
      </c>
      <c r="B878" t="inlineStr">
        <is>
          <t>M1</t>
        </is>
      </c>
      <c r="C878" t="inlineStr">
        <is>
          <t>Cali</t>
        </is>
      </c>
      <c r="D878" t="inlineStr">
        <is>
          <t>2037</t>
        </is>
      </c>
      <c r="E878" t="inlineStr">
        <is>
          <t>pagado</t>
        </is>
      </c>
      <c r="F878" s="23" t="n">
        <v>46271</v>
      </c>
      <c r="G878" s="24">
        <f>F878-DATE(2026,8,31)</f>
        <v>6</v>
      </c>
      <c r="H878" s="25" t="n">
        <v>64631087</v>
      </c>
      <c r="I878" t="inlineStr">
        <is>
          <t>entidad-dia</t>
        </is>
      </c>
    </row>
    <row r="879">
      <c r="A879" t="inlineStr">
        <is>
          <t>PRAGMA</t>
        </is>
      </c>
      <c r="B879" t="inlineStr">
        <is>
          <t>M1</t>
        </is>
      </c>
      <c r="C879" t="inlineStr">
        <is>
          <t>Cali</t>
        </is>
      </c>
      <c r="D879" t="inlineStr">
        <is>
          <t>2037</t>
        </is>
      </c>
      <c r="E879" t="inlineStr">
        <is>
          <t>pagado</t>
        </is>
      </c>
      <c r="F879" s="23" t="n">
        <v>46272</v>
      </c>
      <c r="G879" s="24">
        <f>F879-DATE(2026,8,31)</f>
        <v>7</v>
      </c>
      <c r="H879" s="25" t="n">
        <v>55986325</v>
      </c>
      <c r="I879" t="inlineStr">
        <is>
          <t>entidad-dia</t>
        </is>
      </c>
    </row>
    <row r="880">
      <c r="A880" t="inlineStr">
        <is>
          <t>PRAGMA</t>
        </is>
      </c>
      <c r="B880" t="inlineStr">
        <is>
          <t>M1</t>
        </is>
      </c>
      <c r="C880" t="inlineStr">
        <is>
          <t>Cali</t>
        </is>
      </c>
      <c r="D880" t="inlineStr">
        <is>
          <t>2037</t>
        </is>
      </c>
      <c r="E880" t="inlineStr">
        <is>
          <t>pagado</t>
        </is>
      </c>
      <c r="F880" s="23" t="n">
        <v>46273</v>
      </c>
      <c r="G880" s="24">
        <f>F880-DATE(2026,8,31)</f>
        <v>8</v>
      </c>
      <c r="H880" s="25" t="n">
        <v>54462021</v>
      </c>
      <c r="I880" t="inlineStr">
        <is>
          <t>entidad-dia</t>
        </is>
      </c>
    </row>
    <row r="881">
      <c r="A881" t="inlineStr">
        <is>
          <t>PRAGMA</t>
        </is>
      </c>
      <c r="B881" t="inlineStr">
        <is>
          <t>M1</t>
        </is>
      </c>
      <c r="C881" t="inlineStr">
        <is>
          <t>Cali</t>
        </is>
      </c>
      <c r="D881" t="inlineStr">
        <is>
          <t>2037</t>
        </is>
      </c>
      <c r="E881" t="inlineStr">
        <is>
          <t>pagado</t>
        </is>
      </c>
      <c r="F881" s="23" t="n">
        <v>46274</v>
      </c>
      <c r="G881" s="24">
        <f>F881-DATE(2026,8,31)</f>
        <v>9</v>
      </c>
      <c r="H881" s="25" t="n">
        <v>51305736</v>
      </c>
      <c r="I881" t="inlineStr">
        <is>
          <t>entidad-dia</t>
        </is>
      </c>
    </row>
    <row r="882">
      <c r="A882" t="inlineStr">
        <is>
          <t>PRAGMA</t>
        </is>
      </c>
      <c r="B882" t="inlineStr">
        <is>
          <t>M1</t>
        </is>
      </c>
      <c r="C882" t="inlineStr">
        <is>
          <t>Cali</t>
        </is>
      </c>
      <c r="D882" t="inlineStr">
        <is>
          <t>2037</t>
        </is>
      </c>
      <c r="E882" t="inlineStr">
        <is>
          <t>pagado</t>
        </is>
      </c>
      <c r="F882" s="23" t="n">
        <v>46275</v>
      </c>
      <c r="G882" s="24">
        <f>F882-DATE(2026,8,31)</f>
        <v>10</v>
      </c>
      <c r="H882" s="25" t="n">
        <v>51211658</v>
      </c>
      <c r="I882" t="inlineStr">
        <is>
          <t>entidad-dia</t>
        </is>
      </c>
    </row>
    <row r="883">
      <c r="A883" t="inlineStr">
        <is>
          <t>PRAGMA</t>
        </is>
      </c>
      <c r="B883" t="inlineStr">
        <is>
          <t>M1</t>
        </is>
      </c>
      <c r="C883" t="inlineStr">
        <is>
          <t>Cali</t>
        </is>
      </c>
      <c r="D883" t="inlineStr">
        <is>
          <t>2037</t>
        </is>
      </c>
      <c r="E883" t="inlineStr">
        <is>
          <t>pagado</t>
        </is>
      </c>
      <c r="F883" s="23" t="n">
        <v>46276</v>
      </c>
      <c r="G883" s="24">
        <f>F883-DATE(2026,8,31)</f>
        <v>11</v>
      </c>
      <c r="H883" s="25" t="n">
        <v>60266919</v>
      </c>
      <c r="I883" t="inlineStr">
        <is>
          <t>entidad-dia</t>
        </is>
      </c>
    </row>
    <row r="884">
      <c r="A884" t="inlineStr">
        <is>
          <t>PRAGMA</t>
        </is>
      </c>
      <c r="B884" t="inlineStr">
        <is>
          <t>M1</t>
        </is>
      </c>
      <c r="C884" t="inlineStr">
        <is>
          <t>Cali</t>
        </is>
      </c>
      <c r="D884" t="inlineStr">
        <is>
          <t>2037</t>
        </is>
      </c>
      <c r="E884" t="inlineStr">
        <is>
          <t>pagado</t>
        </is>
      </c>
      <c r="F884" s="23" t="n">
        <v>46277</v>
      </c>
      <c r="G884" s="24">
        <f>F884-DATE(2026,8,31)</f>
        <v>12</v>
      </c>
      <c r="H884" s="25" t="n">
        <v>72921456</v>
      </c>
      <c r="I884" t="inlineStr">
        <is>
          <t>entidad-dia</t>
        </is>
      </c>
    </row>
    <row r="885">
      <c r="A885" t="inlineStr">
        <is>
          <t>PRAGMA</t>
        </is>
      </c>
      <c r="B885" t="inlineStr">
        <is>
          <t>M1</t>
        </is>
      </c>
      <c r="C885" t="inlineStr">
        <is>
          <t>Cali</t>
        </is>
      </c>
      <c r="D885" t="inlineStr">
        <is>
          <t>2037</t>
        </is>
      </c>
      <c r="E885" t="inlineStr">
        <is>
          <t>pagado</t>
        </is>
      </c>
      <c r="F885" s="23" t="n">
        <v>46278</v>
      </c>
      <c r="G885" s="24">
        <f>F885-DATE(2026,8,31)</f>
        <v>13</v>
      </c>
      <c r="H885" s="25" t="n">
        <v>49445668</v>
      </c>
      <c r="I885" t="inlineStr">
        <is>
          <t>entidad-dia</t>
        </is>
      </c>
    </row>
    <row r="886">
      <c r="A886" t="inlineStr">
        <is>
          <t>PRAGMA</t>
        </is>
      </c>
      <c r="B886" t="inlineStr">
        <is>
          <t>M1</t>
        </is>
      </c>
      <c r="C886" t="inlineStr">
        <is>
          <t>Cali</t>
        </is>
      </c>
      <c r="D886" t="inlineStr">
        <is>
          <t>2037</t>
        </is>
      </c>
      <c r="E886" t="inlineStr">
        <is>
          <t>pagado</t>
        </is>
      </c>
      <c r="F886" s="23" t="n">
        <v>46279</v>
      </c>
      <c r="G886" s="24">
        <f>F886-DATE(2026,8,31)</f>
        <v>14</v>
      </c>
      <c r="H886" s="25" t="n">
        <v>57995294</v>
      </c>
      <c r="I886" t="inlineStr">
        <is>
          <t>entidad-dia</t>
        </is>
      </c>
    </row>
    <row r="887">
      <c r="A887" t="inlineStr">
        <is>
          <t>PRAGMA</t>
        </is>
      </c>
      <c r="B887" t="inlineStr">
        <is>
          <t>M1</t>
        </is>
      </c>
      <c r="C887" t="inlineStr">
        <is>
          <t>Cali</t>
        </is>
      </c>
      <c r="D887" t="inlineStr">
        <is>
          <t>2037</t>
        </is>
      </c>
      <c r="E887" t="inlineStr">
        <is>
          <t>pagado</t>
        </is>
      </c>
      <c r="F887" s="23" t="n">
        <v>46280</v>
      </c>
      <c r="G887" s="24">
        <f>F887-DATE(2026,8,31)</f>
        <v>15</v>
      </c>
      <c r="H887" s="25" t="n">
        <v>96844016</v>
      </c>
      <c r="I887" t="inlineStr">
        <is>
          <t>entidad-dia</t>
        </is>
      </c>
    </row>
    <row r="888">
      <c r="A888" t="inlineStr">
        <is>
          <t>PRAGMA</t>
        </is>
      </c>
      <c r="B888" t="inlineStr">
        <is>
          <t>M1</t>
        </is>
      </c>
      <c r="C888" t="inlineStr">
        <is>
          <t>Cali</t>
        </is>
      </c>
      <c r="D888" t="inlineStr">
        <is>
          <t>2042</t>
        </is>
      </c>
      <c r="E888" t="inlineStr">
        <is>
          <t>pagado</t>
        </is>
      </c>
      <c r="F888" s="23" t="n">
        <v>46266</v>
      </c>
      <c r="G888" s="24">
        <f>F888-DATE(2026,8,31)</f>
        <v>1</v>
      </c>
      <c r="H888" s="25" t="n">
        <v>184378081</v>
      </c>
      <c r="I888" t="inlineStr">
        <is>
          <t>entidad-dia</t>
        </is>
      </c>
    </row>
    <row r="889">
      <c r="A889" t="inlineStr">
        <is>
          <t>PRAGMA</t>
        </is>
      </c>
      <c r="B889" t="inlineStr">
        <is>
          <t>M1</t>
        </is>
      </c>
      <c r="C889" t="inlineStr">
        <is>
          <t>Cali</t>
        </is>
      </c>
      <c r="D889" t="inlineStr">
        <is>
          <t>2042</t>
        </is>
      </c>
      <c r="E889" t="inlineStr">
        <is>
          <t>pagado</t>
        </is>
      </c>
      <c r="F889" s="23" t="n">
        <v>46267</v>
      </c>
      <c r="G889" s="24">
        <f>F889-DATE(2026,8,31)</f>
        <v>2</v>
      </c>
      <c r="H889" s="25" t="n">
        <v>136020105</v>
      </c>
      <c r="I889" t="inlineStr">
        <is>
          <t>entidad-dia</t>
        </is>
      </c>
    </row>
    <row r="890">
      <c r="A890" t="inlineStr">
        <is>
          <t>PRAGMA</t>
        </is>
      </c>
      <c r="B890" t="inlineStr">
        <is>
          <t>M1</t>
        </is>
      </c>
      <c r="C890" t="inlineStr">
        <is>
          <t>Cali</t>
        </is>
      </c>
      <c r="D890" t="inlineStr">
        <is>
          <t>2042</t>
        </is>
      </c>
      <c r="E890" t="inlineStr">
        <is>
          <t>pagado</t>
        </is>
      </c>
      <c r="F890" s="23" t="n">
        <v>46268</v>
      </c>
      <c r="G890" s="24">
        <f>F890-DATE(2026,8,31)</f>
        <v>3</v>
      </c>
      <c r="H890" s="25" t="n">
        <v>134022601</v>
      </c>
      <c r="I890" t="inlineStr">
        <is>
          <t>entidad-dia</t>
        </is>
      </c>
    </row>
    <row r="891">
      <c r="A891" t="inlineStr">
        <is>
          <t>PRAGMA</t>
        </is>
      </c>
      <c r="B891" t="inlineStr">
        <is>
          <t>M1</t>
        </is>
      </c>
      <c r="C891" t="inlineStr">
        <is>
          <t>Cali</t>
        </is>
      </c>
      <c r="D891" t="inlineStr">
        <is>
          <t>2042</t>
        </is>
      </c>
      <c r="E891" t="inlineStr">
        <is>
          <t>pagado</t>
        </is>
      </c>
      <c r="F891" s="23" t="n">
        <v>46269</v>
      </c>
      <c r="G891" s="24">
        <f>F891-DATE(2026,8,31)</f>
        <v>4</v>
      </c>
      <c r="H891" s="25" t="n">
        <v>131185030</v>
      </c>
      <c r="I891" t="inlineStr">
        <is>
          <t>entidad-dia</t>
        </is>
      </c>
    </row>
    <row r="892">
      <c r="A892" t="inlineStr">
        <is>
          <t>PRAGMA</t>
        </is>
      </c>
      <c r="B892" t="inlineStr">
        <is>
          <t>M1</t>
        </is>
      </c>
      <c r="C892" t="inlineStr">
        <is>
          <t>Cali</t>
        </is>
      </c>
      <c r="D892" t="inlineStr">
        <is>
          <t>2042</t>
        </is>
      </c>
      <c r="E892" t="inlineStr">
        <is>
          <t>pagado</t>
        </is>
      </c>
      <c r="F892" s="23" t="n">
        <v>46270</v>
      </c>
      <c r="G892" s="24">
        <f>F892-DATE(2026,8,31)</f>
        <v>5</v>
      </c>
      <c r="H892" s="25" t="n">
        <v>143256935</v>
      </c>
      <c r="I892" t="inlineStr">
        <is>
          <t>entidad-dia</t>
        </is>
      </c>
    </row>
    <row r="893">
      <c r="A893" t="inlineStr">
        <is>
          <t>PRAGMA</t>
        </is>
      </c>
      <c r="B893" t="inlineStr">
        <is>
          <t>M1</t>
        </is>
      </c>
      <c r="C893" t="inlineStr">
        <is>
          <t>Cali</t>
        </is>
      </c>
      <c r="D893" t="inlineStr">
        <is>
          <t>2042</t>
        </is>
      </c>
      <c r="E893" t="inlineStr">
        <is>
          <t>pagado</t>
        </is>
      </c>
      <c r="F893" s="23" t="n">
        <v>46271</v>
      </c>
      <c r="G893" s="24">
        <f>F893-DATE(2026,8,31)</f>
        <v>6</v>
      </c>
      <c r="H893" s="25" t="n">
        <v>72191547</v>
      </c>
      <c r="I893" t="inlineStr">
        <is>
          <t>entidad-dia</t>
        </is>
      </c>
    </row>
    <row r="894">
      <c r="A894" t="inlineStr">
        <is>
          <t>PRAGMA</t>
        </is>
      </c>
      <c r="B894" t="inlineStr">
        <is>
          <t>M1</t>
        </is>
      </c>
      <c r="C894" t="inlineStr">
        <is>
          <t>Cali</t>
        </is>
      </c>
      <c r="D894" t="inlineStr">
        <is>
          <t>2042</t>
        </is>
      </c>
      <c r="E894" t="inlineStr">
        <is>
          <t>pagado</t>
        </is>
      </c>
      <c r="F894" s="23" t="n">
        <v>46272</v>
      </c>
      <c r="G894" s="24">
        <f>F894-DATE(2026,8,31)</f>
        <v>7</v>
      </c>
      <c r="H894" s="25" t="n">
        <v>99626888</v>
      </c>
      <c r="I894" t="inlineStr">
        <is>
          <t>entidad-dia</t>
        </is>
      </c>
    </row>
    <row r="895">
      <c r="A895" t="inlineStr">
        <is>
          <t>PRAGMA</t>
        </is>
      </c>
      <c r="B895" t="inlineStr">
        <is>
          <t>M1</t>
        </is>
      </c>
      <c r="C895" t="inlineStr">
        <is>
          <t>Cali</t>
        </is>
      </c>
      <c r="D895" t="inlineStr">
        <is>
          <t>2042</t>
        </is>
      </c>
      <c r="E895" t="inlineStr">
        <is>
          <t>pagado</t>
        </is>
      </c>
      <c r="F895" s="23" t="n">
        <v>46273</v>
      </c>
      <c r="G895" s="24">
        <f>F895-DATE(2026,8,31)</f>
        <v>8</v>
      </c>
      <c r="H895" s="25" t="n">
        <v>113533278</v>
      </c>
      <c r="I895" t="inlineStr">
        <is>
          <t>entidad-dia</t>
        </is>
      </c>
    </row>
    <row r="896">
      <c r="A896" t="inlineStr">
        <is>
          <t>PRAGMA</t>
        </is>
      </c>
      <c r="B896" t="inlineStr">
        <is>
          <t>M1</t>
        </is>
      </c>
      <c r="C896" t="inlineStr">
        <is>
          <t>Cali</t>
        </is>
      </c>
      <c r="D896" t="inlineStr">
        <is>
          <t>2042</t>
        </is>
      </c>
      <c r="E896" t="inlineStr">
        <is>
          <t>pagado</t>
        </is>
      </c>
      <c r="F896" s="23" t="n">
        <v>46274</v>
      </c>
      <c r="G896" s="24">
        <f>F896-DATE(2026,8,31)</f>
        <v>9</v>
      </c>
      <c r="H896" s="25" t="n">
        <v>110515433</v>
      </c>
      <c r="I896" t="inlineStr">
        <is>
          <t>entidad-dia</t>
        </is>
      </c>
    </row>
    <row r="897">
      <c r="A897" t="inlineStr">
        <is>
          <t>PRAGMA</t>
        </is>
      </c>
      <c r="B897" t="inlineStr">
        <is>
          <t>M1</t>
        </is>
      </c>
      <c r="C897" t="inlineStr">
        <is>
          <t>Cali</t>
        </is>
      </c>
      <c r="D897" t="inlineStr">
        <is>
          <t>2042</t>
        </is>
      </c>
      <c r="E897" t="inlineStr">
        <is>
          <t>pagado</t>
        </is>
      </c>
      <c r="F897" s="23" t="n">
        <v>46275</v>
      </c>
      <c r="G897" s="24">
        <f>F897-DATE(2026,8,31)</f>
        <v>10</v>
      </c>
      <c r="H897" s="25" t="n">
        <v>104429378</v>
      </c>
      <c r="I897" t="inlineStr">
        <is>
          <t>entidad-dia</t>
        </is>
      </c>
    </row>
    <row r="898">
      <c r="A898" t="inlineStr">
        <is>
          <t>PRAGMA</t>
        </is>
      </c>
      <c r="B898" t="inlineStr">
        <is>
          <t>M1</t>
        </is>
      </c>
      <c r="C898" t="inlineStr">
        <is>
          <t>Cali</t>
        </is>
      </c>
      <c r="D898" t="inlineStr">
        <is>
          <t>2042</t>
        </is>
      </c>
      <c r="E898" t="inlineStr">
        <is>
          <t>pagado</t>
        </is>
      </c>
      <c r="F898" s="23" t="n">
        <v>46276</v>
      </c>
      <c r="G898" s="24">
        <f>F898-DATE(2026,8,31)</f>
        <v>11</v>
      </c>
      <c r="H898" s="25" t="n">
        <v>114454349</v>
      </c>
      <c r="I898" t="inlineStr">
        <is>
          <t>entidad-dia</t>
        </is>
      </c>
    </row>
    <row r="899">
      <c r="A899" t="inlineStr">
        <is>
          <t>PRAGMA</t>
        </is>
      </c>
      <c r="B899" t="inlineStr">
        <is>
          <t>M1</t>
        </is>
      </c>
      <c r="C899" t="inlineStr">
        <is>
          <t>Cali</t>
        </is>
      </c>
      <c r="D899" t="inlineStr">
        <is>
          <t>2042</t>
        </is>
      </c>
      <c r="E899" t="inlineStr">
        <is>
          <t>pagado</t>
        </is>
      </c>
      <c r="F899" s="23" t="n">
        <v>46277</v>
      </c>
      <c r="G899" s="24">
        <f>F899-DATE(2026,8,31)</f>
        <v>12</v>
      </c>
      <c r="H899" s="25" t="n">
        <v>125296119</v>
      </c>
      <c r="I899" t="inlineStr">
        <is>
          <t>entidad-dia</t>
        </is>
      </c>
    </row>
    <row r="900">
      <c r="A900" t="inlineStr">
        <is>
          <t>PRAGMA</t>
        </is>
      </c>
      <c r="B900" t="inlineStr">
        <is>
          <t>M1</t>
        </is>
      </c>
      <c r="C900" t="inlineStr">
        <is>
          <t>Cali</t>
        </is>
      </c>
      <c r="D900" t="inlineStr">
        <is>
          <t>2042</t>
        </is>
      </c>
      <c r="E900" t="inlineStr">
        <is>
          <t>pagado</t>
        </is>
      </c>
      <c r="F900" s="23" t="n">
        <v>46278</v>
      </c>
      <c r="G900" s="24">
        <f>F900-DATE(2026,8,31)</f>
        <v>13</v>
      </c>
      <c r="H900" s="25" t="n">
        <v>63348262</v>
      </c>
      <c r="I900" t="inlineStr">
        <is>
          <t>entidad-dia</t>
        </is>
      </c>
    </row>
    <row r="901">
      <c r="A901" t="inlineStr">
        <is>
          <t>PRAGMA</t>
        </is>
      </c>
      <c r="B901" t="inlineStr">
        <is>
          <t>M1</t>
        </is>
      </c>
      <c r="C901" t="inlineStr">
        <is>
          <t>Cali</t>
        </is>
      </c>
      <c r="D901" t="inlineStr">
        <is>
          <t>2042</t>
        </is>
      </c>
      <c r="E901" t="inlineStr">
        <is>
          <t>pagado</t>
        </is>
      </c>
      <c r="F901" s="23" t="n">
        <v>46279</v>
      </c>
      <c r="G901" s="24">
        <f>F901-DATE(2026,8,31)</f>
        <v>14</v>
      </c>
      <c r="H901" s="25" t="n">
        <v>105049056</v>
      </c>
      <c r="I901" t="inlineStr">
        <is>
          <t>entidad-dia</t>
        </is>
      </c>
    </row>
    <row r="902">
      <c r="A902" t="inlineStr">
        <is>
          <t>PRAGMA</t>
        </is>
      </c>
      <c r="B902" t="inlineStr">
        <is>
          <t>M1</t>
        </is>
      </c>
      <c r="C902" t="inlineStr">
        <is>
          <t>Cali</t>
        </is>
      </c>
      <c r="D902" t="inlineStr">
        <is>
          <t>2042</t>
        </is>
      </c>
      <c r="E902" t="inlineStr">
        <is>
          <t>pagado</t>
        </is>
      </c>
      <c r="F902" s="23" t="n">
        <v>46280</v>
      </c>
      <c r="G902" s="24">
        <f>F902-DATE(2026,8,31)</f>
        <v>15</v>
      </c>
      <c r="H902" s="25" t="n">
        <v>143107165</v>
      </c>
      <c r="I902" t="inlineStr">
        <is>
          <t>entidad-dia</t>
        </is>
      </c>
    </row>
    <row r="903">
      <c r="A903" t="inlineStr">
        <is>
          <t>PRAGMA</t>
        </is>
      </c>
      <c r="B903" t="inlineStr">
        <is>
          <t>M1</t>
        </is>
      </c>
      <c r="C903" t="inlineStr">
        <is>
          <t>Cali</t>
        </is>
      </c>
      <c r="D903" t="inlineStr">
        <is>
          <t>2099</t>
        </is>
      </c>
      <c r="E903" t="inlineStr">
        <is>
          <t>pagado</t>
        </is>
      </c>
      <c r="F903" s="23" t="n">
        <v>46266</v>
      </c>
      <c r="G903" s="24">
        <f>F903-DATE(2026,8,31)</f>
        <v>1</v>
      </c>
      <c r="H903" s="25" t="n">
        <v>14931980</v>
      </c>
      <c r="I903" t="inlineStr">
        <is>
          <t>entidad-dia</t>
        </is>
      </c>
    </row>
    <row r="904">
      <c r="A904" t="inlineStr">
        <is>
          <t>PRAGMA</t>
        </is>
      </c>
      <c r="B904" t="inlineStr">
        <is>
          <t>M1</t>
        </is>
      </c>
      <c r="C904" t="inlineStr">
        <is>
          <t>Cali</t>
        </is>
      </c>
      <c r="D904" t="inlineStr">
        <is>
          <t>2099</t>
        </is>
      </c>
      <c r="E904" t="inlineStr">
        <is>
          <t>pagado</t>
        </is>
      </c>
      <c r="F904" s="23" t="n">
        <v>46267</v>
      </c>
      <c r="G904" s="24">
        <f>F904-DATE(2026,8,31)</f>
        <v>2</v>
      </c>
      <c r="H904" s="25" t="n">
        <v>8975631</v>
      </c>
      <c r="I904" t="inlineStr">
        <is>
          <t>entidad-dia</t>
        </is>
      </c>
    </row>
    <row r="905">
      <c r="A905" t="inlineStr">
        <is>
          <t>PRAGMA</t>
        </is>
      </c>
      <c r="B905" t="inlineStr">
        <is>
          <t>M1</t>
        </is>
      </c>
      <c r="C905" t="inlineStr">
        <is>
          <t>Cali</t>
        </is>
      </c>
      <c r="D905" t="inlineStr">
        <is>
          <t>2099</t>
        </is>
      </c>
      <c r="E905" t="inlineStr">
        <is>
          <t>pagado</t>
        </is>
      </c>
      <c r="F905" s="23" t="n">
        <v>46268</v>
      </c>
      <c r="G905" s="24">
        <f>F905-DATE(2026,8,31)</f>
        <v>3</v>
      </c>
      <c r="H905" s="25" t="n">
        <v>10230001</v>
      </c>
      <c r="I905" t="inlineStr">
        <is>
          <t>entidad-dia</t>
        </is>
      </c>
    </row>
    <row r="906">
      <c r="A906" t="inlineStr">
        <is>
          <t>PRAGMA</t>
        </is>
      </c>
      <c r="B906" t="inlineStr">
        <is>
          <t>M1</t>
        </is>
      </c>
      <c r="C906" t="inlineStr">
        <is>
          <t>Cali</t>
        </is>
      </c>
      <c r="D906" t="inlineStr">
        <is>
          <t>2099</t>
        </is>
      </c>
      <c r="E906" t="inlineStr">
        <is>
          <t>pagado</t>
        </is>
      </c>
      <c r="F906" s="23" t="n">
        <v>46269</v>
      </c>
      <c r="G906" s="24">
        <f>F906-DATE(2026,8,31)</f>
        <v>4</v>
      </c>
      <c r="H906" s="25" t="n">
        <v>11070844</v>
      </c>
      <c r="I906" t="inlineStr">
        <is>
          <t>entidad-dia</t>
        </is>
      </c>
    </row>
    <row r="907">
      <c r="A907" t="inlineStr">
        <is>
          <t>PRAGMA</t>
        </is>
      </c>
      <c r="B907" t="inlineStr">
        <is>
          <t>M1</t>
        </is>
      </c>
      <c r="C907" t="inlineStr">
        <is>
          <t>Cali</t>
        </is>
      </c>
      <c r="D907" t="inlineStr">
        <is>
          <t>2099</t>
        </is>
      </c>
      <c r="E907" t="inlineStr">
        <is>
          <t>pagado</t>
        </is>
      </c>
      <c r="F907" s="23" t="n">
        <v>46270</v>
      </c>
      <c r="G907" s="24">
        <f>F907-DATE(2026,8,31)</f>
        <v>5</v>
      </c>
      <c r="H907" s="25" t="n">
        <v>3886961</v>
      </c>
      <c r="I907" t="inlineStr">
        <is>
          <t>entidad-dia</t>
        </is>
      </c>
    </row>
    <row r="908">
      <c r="A908" t="inlineStr">
        <is>
          <t>PRAGMA</t>
        </is>
      </c>
      <c r="B908" t="inlineStr">
        <is>
          <t>M1</t>
        </is>
      </c>
      <c r="C908" t="inlineStr">
        <is>
          <t>Cali</t>
        </is>
      </c>
      <c r="D908" t="inlineStr">
        <is>
          <t>2099</t>
        </is>
      </c>
      <c r="E908" t="inlineStr">
        <is>
          <t>pagado</t>
        </is>
      </c>
      <c r="F908" s="23" t="n">
        <v>46271</v>
      </c>
      <c r="G908" s="24">
        <f>F908-DATE(2026,8,31)</f>
        <v>6</v>
      </c>
      <c r="H908" s="25" t="n">
        <v>482586</v>
      </c>
      <c r="I908" t="inlineStr">
        <is>
          <t>entidad-dia</t>
        </is>
      </c>
    </row>
    <row r="909">
      <c r="A909" t="inlineStr">
        <is>
          <t>PRAGMA</t>
        </is>
      </c>
      <c r="B909" t="inlineStr">
        <is>
          <t>M1</t>
        </is>
      </c>
      <c r="C909" t="inlineStr">
        <is>
          <t>Cali</t>
        </is>
      </c>
      <c r="D909" t="inlineStr">
        <is>
          <t>2099</t>
        </is>
      </c>
      <c r="E909" t="inlineStr">
        <is>
          <t>pagado</t>
        </is>
      </c>
      <c r="F909" s="23" t="n">
        <v>46272</v>
      </c>
      <c r="G909" s="24">
        <f>F909-DATE(2026,8,31)</f>
        <v>7</v>
      </c>
      <c r="H909" s="25" t="n">
        <v>6186586</v>
      </c>
      <c r="I909" t="inlineStr">
        <is>
          <t>entidad-dia</t>
        </is>
      </c>
    </row>
    <row r="910">
      <c r="A910" t="inlineStr">
        <is>
          <t>PRAGMA</t>
        </is>
      </c>
      <c r="B910" t="inlineStr">
        <is>
          <t>M1</t>
        </is>
      </c>
      <c r="C910" t="inlineStr">
        <is>
          <t>Cali</t>
        </is>
      </c>
      <c r="D910" t="inlineStr">
        <is>
          <t>2099</t>
        </is>
      </c>
      <c r="E910" t="inlineStr">
        <is>
          <t>pagado</t>
        </is>
      </c>
      <c r="F910" s="23" t="n">
        <v>46273</v>
      </c>
      <c r="G910" s="24">
        <f>F910-DATE(2026,8,31)</f>
        <v>8</v>
      </c>
      <c r="H910" s="25" t="n">
        <v>6426524</v>
      </c>
      <c r="I910" t="inlineStr">
        <is>
          <t>entidad-dia</t>
        </is>
      </c>
    </row>
    <row r="911">
      <c r="A911" t="inlineStr">
        <is>
          <t>PRAGMA</t>
        </is>
      </c>
      <c r="B911" t="inlineStr">
        <is>
          <t>M1</t>
        </is>
      </c>
      <c r="C911" t="inlineStr">
        <is>
          <t>Cali</t>
        </is>
      </c>
      <c r="D911" t="inlineStr">
        <is>
          <t>2099</t>
        </is>
      </c>
      <c r="E911" t="inlineStr">
        <is>
          <t>pagado</t>
        </is>
      </c>
      <c r="F911" s="23" t="n">
        <v>46274</v>
      </c>
      <c r="G911" s="24">
        <f>F911-DATE(2026,8,31)</f>
        <v>9</v>
      </c>
      <c r="H911" s="25" t="n">
        <v>4859337</v>
      </c>
      <c r="I911" t="inlineStr">
        <is>
          <t>entidad-dia</t>
        </is>
      </c>
    </row>
    <row r="912">
      <c r="A912" t="inlineStr">
        <is>
          <t>PRAGMA</t>
        </is>
      </c>
      <c r="B912" t="inlineStr">
        <is>
          <t>M1</t>
        </is>
      </c>
      <c r="C912" t="inlineStr">
        <is>
          <t>Cali</t>
        </is>
      </c>
      <c r="D912" t="inlineStr">
        <is>
          <t>2099</t>
        </is>
      </c>
      <c r="E912" t="inlineStr">
        <is>
          <t>pagado</t>
        </is>
      </c>
      <c r="F912" s="23" t="n">
        <v>46275</v>
      </c>
      <c r="G912" s="24">
        <f>F912-DATE(2026,8,31)</f>
        <v>10</v>
      </c>
      <c r="H912" s="25" t="n">
        <v>5004971</v>
      </c>
      <c r="I912" t="inlineStr">
        <is>
          <t>entidad-dia</t>
        </is>
      </c>
    </row>
    <row r="913">
      <c r="A913" t="inlineStr">
        <is>
          <t>PRAGMA</t>
        </is>
      </c>
      <c r="B913" t="inlineStr">
        <is>
          <t>M1</t>
        </is>
      </c>
      <c r="C913" t="inlineStr">
        <is>
          <t>Cali</t>
        </is>
      </c>
      <c r="D913" t="inlineStr">
        <is>
          <t>2099</t>
        </is>
      </c>
      <c r="E913" t="inlineStr">
        <is>
          <t>pagado</t>
        </is>
      </c>
      <c r="F913" s="23" t="n">
        <v>46276</v>
      </c>
      <c r="G913" s="24">
        <f>F913-DATE(2026,8,31)</f>
        <v>11</v>
      </c>
      <c r="H913" s="25" t="n">
        <v>7469714</v>
      </c>
      <c r="I913" t="inlineStr">
        <is>
          <t>entidad-dia</t>
        </is>
      </c>
    </row>
    <row r="914">
      <c r="A914" t="inlineStr">
        <is>
          <t>PRAGMA</t>
        </is>
      </c>
      <c r="B914" t="inlineStr">
        <is>
          <t>M1</t>
        </is>
      </c>
      <c r="C914" t="inlineStr">
        <is>
          <t>Cali</t>
        </is>
      </c>
      <c r="D914" t="inlineStr">
        <is>
          <t>2099</t>
        </is>
      </c>
      <c r="E914" t="inlineStr">
        <is>
          <t>pagado</t>
        </is>
      </c>
      <c r="F914" s="23" t="n">
        <v>46277</v>
      </c>
      <c r="G914" s="24">
        <f>F914-DATE(2026,8,31)</f>
        <v>12</v>
      </c>
      <c r="H914" s="25" t="n">
        <v>5048455</v>
      </c>
      <c r="I914" t="inlineStr">
        <is>
          <t>entidad-dia</t>
        </is>
      </c>
    </row>
    <row r="915">
      <c r="A915" t="inlineStr">
        <is>
          <t>PRAGMA</t>
        </is>
      </c>
      <c r="B915" t="inlineStr">
        <is>
          <t>M1</t>
        </is>
      </c>
      <c r="C915" t="inlineStr">
        <is>
          <t>Cali</t>
        </is>
      </c>
      <c r="D915" t="inlineStr">
        <is>
          <t>2099</t>
        </is>
      </c>
      <c r="E915" t="inlineStr">
        <is>
          <t>pagado</t>
        </is>
      </c>
      <c r="F915" s="23" t="n">
        <v>46278</v>
      </c>
      <c r="G915" s="24">
        <f>F915-DATE(2026,8,31)</f>
        <v>13</v>
      </c>
      <c r="H915" s="25" t="n">
        <v>792852</v>
      </c>
      <c r="I915" t="inlineStr">
        <is>
          <t>entidad-dia</t>
        </is>
      </c>
    </row>
    <row r="916">
      <c r="A916" t="inlineStr">
        <is>
          <t>PRAGMA</t>
        </is>
      </c>
      <c r="B916" t="inlineStr">
        <is>
          <t>M1</t>
        </is>
      </c>
      <c r="C916" t="inlineStr">
        <is>
          <t>Cali</t>
        </is>
      </c>
      <c r="D916" t="inlineStr">
        <is>
          <t>2099</t>
        </is>
      </c>
      <c r="E916" t="inlineStr">
        <is>
          <t>pagado</t>
        </is>
      </c>
      <c r="F916" s="23" t="n">
        <v>46279</v>
      </c>
      <c r="G916" s="24">
        <f>F916-DATE(2026,8,31)</f>
        <v>14</v>
      </c>
      <c r="H916" s="25" t="n">
        <v>8384189</v>
      </c>
      <c r="I916" t="inlineStr">
        <is>
          <t>entidad-dia</t>
        </is>
      </c>
    </row>
    <row r="917">
      <c r="A917" t="inlineStr">
        <is>
          <t>PRAGMA</t>
        </is>
      </c>
      <c r="B917" t="inlineStr">
        <is>
          <t>M1</t>
        </is>
      </c>
      <c r="C917" t="inlineStr">
        <is>
          <t>Cali</t>
        </is>
      </c>
      <c r="D917" t="inlineStr">
        <is>
          <t>2099</t>
        </is>
      </c>
      <c r="E917" t="inlineStr">
        <is>
          <t>pagado</t>
        </is>
      </c>
      <c r="F917" s="23" t="n">
        <v>46280</v>
      </c>
      <c r="G917" s="24">
        <f>F917-DATE(2026,8,31)</f>
        <v>15</v>
      </c>
      <c r="H917" s="25" t="n">
        <v>13947814</v>
      </c>
      <c r="I917" t="inlineStr">
        <is>
          <t>entidad-dia</t>
        </is>
      </c>
    </row>
    <row r="918">
      <c r="A918" t="inlineStr">
        <is>
          <t>PRAGMA</t>
        </is>
      </c>
      <c r="B918" t="inlineStr">
        <is>
          <t>M1</t>
        </is>
      </c>
      <c r="C918" t="inlineStr">
        <is>
          <t>Cali</t>
        </is>
      </c>
      <c r="D918" t="inlineStr">
        <is>
          <t>2115</t>
        </is>
      </c>
      <c r="E918" t="inlineStr">
        <is>
          <t>pagado</t>
        </is>
      </c>
      <c r="F918" s="23" t="n">
        <v>46266</v>
      </c>
      <c r="G918" s="24">
        <f>F918-DATE(2026,8,31)</f>
        <v>1</v>
      </c>
      <c r="H918" s="25" t="n">
        <v>138071184</v>
      </c>
      <c r="I918" t="inlineStr">
        <is>
          <t>entidad-dia</t>
        </is>
      </c>
    </row>
    <row r="919">
      <c r="A919" t="inlineStr">
        <is>
          <t>PRAGMA</t>
        </is>
      </c>
      <c r="B919" t="inlineStr">
        <is>
          <t>M1</t>
        </is>
      </c>
      <c r="C919" t="inlineStr">
        <is>
          <t>Cali</t>
        </is>
      </c>
      <c r="D919" t="inlineStr">
        <is>
          <t>2115</t>
        </is>
      </c>
      <c r="E919" t="inlineStr">
        <is>
          <t>pagado</t>
        </is>
      </c>
      <c r="F919" s="23" t="n">
        <v>46267</v>
      </c>
      <c r="G919" s="24">
        <f>F919-DATE(2026,8,31)</f>
        <v>2</v>
      </c>
      <c r="H919" s="25" t="n">
        <v>109498350</v>
      </c>
      <c r="I919" t="inlineStr">
        <is>
          <t>entidad-dia</t>
        </is>
      </c>
    </row>
    <row r="920">
      <c r="A920" t="inlineStr">
        <is>
          <t>PRAGMA</t>
        </is>
      </c>
      <c r="B920" t="inlineStr">
        <is>
          <t>M1</t>
        </is>
      </c>
      <c r="C920" t="inlineStr">
        <is>
          <t>Cali</t>
        </is>
      </c>
      <c r="D920" t="inlineStr">
        <is>
          <t>2115</t>
        </is>
      </c>
      <c r="E920" t="inlineStr">
        <is>
          <t>pagado</t>
        </is>
      </c>
      <c r="F920" s="23" t="n">
        <v>46268</v>
      </c>
      <c r="G920" s="24">
        <f>F920-DATE(2026,8,31)</f>
        <v>3</v>
      </c>
      <c r="H920" s="25" t="n">
        <v>86794037</v>
      </c>
      <c r="I920" t="inlineStr">
        <is>
          <t>entidad-dia</t>
        </is>
      </c>
    </row>
    <row r="921">
      <c r="A921" t="inlineStr">
        <is>
          <t>PRAGMA</t>
        </is>
      </c>
      <c r="B921" t="inlineStr">
        <is>
          <t>M1</t>
        </is>
      </c>
      <c r="C921" t="inlineStr">
        <is>
          <t>Cali</t>
        </is>
      </c>
      <c r="D921" t="inlineStr">
        <is>
          <t>2115</t>
        </is>
      </c>
      <c r="E921" t="inlineStr">
        <is>
          <t>pagado</t>
        </is>
      </c>
      <c r="F921" s="23" t="n">
        <v>46269</v>
      </c>
      <c r="G921" s="24">
        <f>F921-DATE(2026,8,31)</f>
        <v>4</v>
      </c>
      <c r="H921" s="25" t="n">
        <v>96319853</v>
      </c>
      <c r="I921" t="inlineStr">
        <is>
          <t>entidad-dia</t>
        </is>
      </c>
    </row>
    <row r="922">
      <c r="A922" t="inlineStr">
        <is>
          <t>PRAGMA</t>
        </is>
      </c>
      <c r="B922" t="inlineStr">
        <is>
          <t>M1</t>
        </is>
      </c>
      <c r="C922" t="inlineStr">
        <is>
          <t>Cali</t>
        </is>
      </c>
      <c r="D922" t="inlineStr">
        <is>
          <t>2115</t>
        </is>
      </c>
      <c r="E922" t="inlineStr">
        <is>
          <t>pagado</t>
        </is>
      </c>
      <c r="F922" s="23" t="n">
        <v>46270</v>
      </c>
      <c r="G922" s="24">
        <f>F922-DATE(2026,8,31)</f>
        <v>5</v>
      </c>
      <c r="H922" s="25" t="n">
        <v>103400142</v>
      </c>
      <c r="I922" t="inlineStr">
        <is>
          <t>entidad-dia</t>
        </is>
      </c>
    </row>
    <row r="923">
      <c r="A923" t="inlineStr">
        <is>
          <t>PRAGMA</t>
        </is>
      </c>
      <c r="B923" t="inlineStr">
        <is>
          <t>M1</t>
        </is>
      </c>
      <c r="C923" t="inlineStr">
        <is>
          <t>Cali</t>
        </is>
      </c>
      <c r="D923" t="inlineStr">
        <is>
          <t>2115</t>
        </is>
      </c>
      <c r="E923" t="inlineStr">
        <is>
          <t>pagado</t>
        </is>
      </c>
      <c r="F923" s="23" t="n">
        <v>46271</v>
      </c>
      <c r="G923" s="24">
        <f>F923-DATE(2026,8,31)</f>
        <v>6</v>
      </c>
      <c r="H923" s="25" t="n">
        <v>55078236</v>
      </c>
      <c r="I923" t="inlineStr">
        <is>
          <t>entidad-dia</t>
        </is>
      </c>
    </row>
    <row r="924">
      <c r="A924" t="inlineStr">
        <is>
          <t>PRAGMA</t>
        </is>
      </c>
      <c r="B924" t="inlineStr">
        <is>
          <t>M1</t>
        </is>
      </c>
      <c r="C924" t="inlineStr">
        <is>
          <t>Cali</t>
        </is>
      </c>
      <c r="D924" t="inlineStr">
        <is>
          <t>2115</t>
        </is>
      </c>
      <c r="E924" t="inlineStr">
        <is>
          <t>pagado</t>
        </is>
      </c>
      <c r="F924" s="23" t="n">
        <v>46272</v>
      </c>
      <c r="G924" s="24">
        <f>F924-DATE(2026,8,31)</f>
        <v>7</v>
      </c>
      <c r="H924" s="25" t="n">
        <v>69846374</v>
      </c>
      <c r="I924" t="inlineStr">
        <is>
          <t>entidad-dia</t>
        </is>
      </c>
    </row>
    <row r="925">
      <c r="A925" t="inlineStr">
        <is>
          <t>PRAGMA</t>
        </is>
      </c>
      <c r="B925" t="inlineStr">
        <is>
          <t>M1</t>
        </is>
      </c>
      <c r="C925" t="inlineStr">
        <is>
          <t>Cali</t>
        </is>
      </c>
      <c r="D925" t="inlineStr">
        <is>
          <t>2115</t>
        </is>
      </c>
      <c r="E925" t="inlineStr">
        <is>
          <t>pagado</t>
        </is>
      </c>
      <c r="F925" s="23" t="n">
        <v>46273</v>
      </c>
      <c r="G925" s="24">
        <f>F925-DATE(2026,8,31)</f>
        <v>8</v>
      </c>
      <c r="H925" s="25" t="n">
        <v>71602334</v>
      </c>
      <c r="I925" t="inlineStr">
        <is>
          <t>entidad-dia</t>
        </is>
      </c>
    </row>
    <row r="926">
      <c r="A926" t="inlineStr">
        <is>
          <t>PRAGMA</t>
        </is>
      </c>
      <c r="B926" t="inlineStr">
        <is>
          <t>M1</t>
        </is>
      </c>
      <c r="C926" t="inlineStr">
        <is>
          <t>Cali</t>
        </is>
      </c>
      <c r="D926" t="inlineStr">
        <is>
          <t>2115</t>
        </is>
      </c>
      <c r="E926" t="inlineStr">
        <is>
          <t>pagado</t>
        </is>
      </c>
      <c r="F926" s="23" t="n">
        <v>46274</v>
      </c>
      <c r="G926" s="24">
        <f>F926-DATE(2026,8,31)</f>
        <v>9</v>
      </c>
      <c r="H926" s="25" t="n">
        <v>83744966</v>
      </c>
      <c r="I926" t="inlineStr">
        <is>
          <t>entidad-dia</t>
        </is>
      </c>
    </row>
    <row r="927">
      <c r="A927" t="inlineStr">
        <is>
          <t>PRAGMA</t>
        </is>
      </c>
      <c r="B927" t="inlineStr">
        <is>
          <t>M1</t>
        </is>
      </c>
      <c r="C927" t="inlineStr">
        <is>
          <t>Cali</t>
        </is>
      </c>
      <c r="D927" t="inlineStr">
        <is>
          <t>2115</t>
        </is>
      </c>
      <c r="E927" t="inlineStr">
        <is>
          <t>pagado</t>
        </is>
      </c>
      <c r="F927" s="23" t="n">
        <v>46275</v>
      </c>
      <c r="G927" s="24">
        <f>F927-DATE(2026,8,31)</f>
        <v>10</v>
      </c>
      <c r="H927" s="25" t="n">
        <v>65389705</v>
      </c>
      <c r="I927" t="inlineStr">
        <is>
          <t>entidad-dia</t>
        </is>
      </c>
    </row>
    <row r="928">
      <c r="A928" t="inlineStr">
        <is>
          <t>PRAGMA</t>
        </is>
      </c>
      <c r="B928" t="inlineStr">
        <is>
          <t>M1</t>
        </is>
      </c>
      <c r="C928" t="inlineStr">
        <is>
          <t>Cali</t>
        </is>
      </c>
      <c r="D928" t="inlineStr">
        <is>
          <t>2115</t>
        </is>
      </c>
      <c r="E928" t="inlineStr">
        <is>
          <t>pagado</t>
        </is>
      </c>
      <c r="F928" s="23" t="n">
        <v>46276</v>
      </c>
      <c r="G928" s="24">
        <f>F928-DATE(2026,8,31)</f>
        <v>11</v>
      </c>
      <c r="H928" s="25" t="n">
        <v>72741755</v>
      </c>
      <c r="I928" t="inlineStr">
        <is>
          <t>entidad-dia</t>
        </is>
      </c>
    </row>
    <row r="929">
      <c r="A929" t="inlineStr">
        <is>
          <t>PRAGMA</t>
        </is>
      </c>
      <c r="B929" t="inlineStr">
        <is>
          <t>M1</t>
        </is>
      </c>
      <c r="C929" t="inlineStr">
        <is>
          <t>Cali</t>
        </is>
      </c>
      <c r="D929" t="inlineStr">
        <is>
          <t>2115</t>
        </is>
      </c>
      <c r="E929" t="inlineStr">
        <is>
          <t>pagado</t>
        </is>
      </c>
      <c r="F929" s="23" t="n">
        <v>46277</v>
      </c>
      <c r="G929" s="24">
        <f>F929-DATE(2026,8,31)</f>
        <v>12</v>
      </c>
      <c r="H929" s="25" t="n">
        <v>86435425</v>
      </c>
      <c r="I929" t="inlineStr">
        <is>
          <t>entidad-dia</t>
        </is>
      </c>
    </row>
    <row r="930">
      <c r="A930" t="inlineStr">
        <is>
          <t>PRAGMA</t>
        </is>
      </c>
      <c r="B930" t="inlineStr">
        <is>
          <t>M1</t>
        </is>
      </c>
      <c r="C930" t="inlineStr">
        <is>
          <t>Cali</t>
        </is>
      </c>
      <c r="D930" t="inlineStr">
        <is>
          <t>2115</t>
        </is>
      </c>
      <c r="E930" t="inlineStr">
        <is>
          <t>pagado</t>
        </is>
      </c>
      <c r="F930" s="23" t="n">
        <v>46278</v>
      </c>
      <c r="G930" s="24">
        <f>F930-DATE(2026,8,31)</f>
        <v>13</v>
      </c>
      <c r="H930" s="25" t="n">
        <v>42779401</v>
      </c>
      <c r="I930" t="inlineStr">
        <is>
          <t>entidad-dia</t>
        </is>
      </c>
    </row>
    <row r="931">
      <c r="A931" t="inlineStr">
        <is>
          <t>PRAGMA</t>
        </is>
      </c>
      <c r="B931" t="inlineStr">
        <is>
          <t>M1</t>
        </is>
      </c>
      <c r="C931" t="inlineStr">
        <is>
          <t>Cali</t>
        </is>
      </c>
      <c r="D931" t="inlineStr">
        <is>
          <t>2115</t>
        </is>
      </c>
      <c r="E931" t="inlineStr">
        <is>
          <t>pagado</t>
        </is>
      </c>
      <c r="F931" s="23" t="n">
        <v>46279</v>
      </c>
      <c r="G931" s="24">
        <f>F931-DATE(2026,8,31)</f>
        <v>14</v>
      </c>
      <c r="H931" s="25" t="n">
        <v>75840869</v>
      </c>
      <c r="I931" t="inlineStr">
        <is>
          <t>entidad-dia</t>
        </is>
      </c>
    </row>
    <row r="932">
      <c r="A932" t="inlineStr">
        <is>
          <t>PRAGMA</t>
        </is>
      </c>
      <c r="B932" t="inlineStr">
        <is>
          <t>M1</t>
        </is>
      </c>
      <c r="C932" t="inlineStr">
        <is>
          <t>Cali</t>
        </is>
      </c>
      <c r="D932" t="inlineStr">
        <is>
          <t>2115</t>
        </is>
      </c>
      <c r="E932" t="inlineStr">
        <is>
          <t>pagado</t>
        </is>
      </c>
      <c r="F932" s="23" t="n">
        <v>46280</v>
      </c>
      <c r="G932" s="24">
        <f>F932-DATE(2026,8,31)</f>
        <v>15</v>
      </c>
      <c r="H932" s="25" t="n">
        <v>109272052</v>
      </c>
      <c r="I932" t="inlineStr">
        <is>
          <t>entidad-dia</t>
        </is>
      </c>
    </row>
    <row r="933">
      <c r="A933" t="inlineStr">
        <is>
          <t>PRAGMA</t>
        </is>
      </c>
      <c r="B933" t="inlineStr">
        <is>
          <t>M1</t>
        </is>
      </c>
      <c r="C933" t="inlineStr">
        <is>
          <t>Cali</t>
        </is>
      </c>
      <c r="D933" t="inlineStr">
        <is>
          <t>2122</t>
        </is>
      </c>
      <c r="E933" t="inlineStr">
        <is>
          <t>pagado</t>
        </is>
      </c>
      <c r="F933" s="23" t="n">
        <v>46266</v>
      </c>
      <c r="G933" s="24">
        <f>F933-DATE(2026,8,31)</f>
        <v>1</v>
      </c>
      <c r="H933" s="25" t="n">
        <v>0</v>
      </c>
      <c r="I933" t="inlineStr">
        <is>
          <t>entidad-dia</t>
        </is>
      </c>
    </row>
    <row r="934">
      <c r="A934" t="inlineStr">
        <is>
          <t>PRAGMA</t>
        </is>
      </c>
      <c r="B934" t="inlineStr">
        <is>
          <t>M1</t>
        </is>
      </c>
      <c r="C934" t="inlineStr">
        <is>
          <t>Cali</t>
        </is>
      </c>
      <c r="D934" t="inlineStr">
        <is>
          <t>2122</t>
        </is>
      </c>
      <c r="E934" t="inlineStr">
        <is>
          <t>pagado</t>
        </is>
      </c>
      <c r="F934" s="23" t="n">
        <v>46267</v>
      </c>
      <c r="G934" s="24">
        <f>F934-DATE(2026,8,31)</f>
        <v>2</v>
      </c>
      <c r="H934" s="25" t="n">
        <v>0</v>
      </c>
      <c r="I934" t="inlineStr">
        <is>
          <t>entidad-dia</t>
        </is>
      </c>
    </row>
    <row r="935">
      <c r="A935" t="inlineStr">
        <is>
          <t>PRAGMA</t>
        </is>
      </c>
      <c r="B935" t="inlineStr">
        <is>
          <t>M1</t>
        </is>
      </c>
      <c r="C935" t="inlineStr">
        <is>
          <t>Cali</t>
        </is>
      </c>
      <c r="D935" t="inlineStr">
        <is>
          <t>2122</t>
        </is>
      </c>
      <c r="E935" t="inlineStr">
        <is>
          <t>pagado</t>
        </is>
      </c>
      <c r="F935" s="23" t="n">
        <v>46268</v>
      </c>
      <c r="G935" s="24">
        <f>F935-DATE(2026,8,31)</f>
        <v>3</v>
      </c>
      <c r="H935" s="25" t="n">
        <v>0</v>
      </c>
      <c r="I935" t="inlineStr">
        <is>
          <t>entidad-dia</t>
        </is>
      </c>
    </row>
    <row r="936">
      <c r="A936" t="inlineStr">
        <is>
          <t>PRAGMA</t>
        </is>
      </c>
      <c r="B936" t="inlineStr">
        <is>
          <t>M1</t>
        </is>
      </c>
      <c r="C936" t="inlineStr">
        <is>
          <t>Cali</t>
        </is>
      </c>
      <c r="D936" t="inlineStr">
        <is>
          <t>2122</t>
        </is>
      </c>
      <c r="E936" t="inlineStr">
        <is>
          <t>pagado</t>
        </is>
      </c>
      <c r="F936" s="23" t="n">
        <v>46269</v>
      </c>
      <c r="G936" s="24">
        <f>F936-DATE(2026,8,31)</f>
        <v>4</v>
      </c>
      <c r="H936" s="25" t="n">
        <v>0</v>
      </c>
      <c r="I936" t="inlineStr">
        <is>
          <t>entidad-dia</t>
        </is>
      </c>
    </row>
    <row r="937">
      <c r="A937" t="inlineStr">
        <is>
          <t>PRAGMA</t>
        </is>
      </c>
      <c r="B937" t="inlineStr">
        <is>
          <t>M1</t>
        </is>
      </c>
      <c r="C937" t="inlineStr">
        <is>
          <t>Cali</t>
        </is>
      </c>
      <c r="D937" t="inlineStr">
        <is>
          <t>2122</t>
        </is>
      </c>
      <c r="E937" t="inlineStr">
        <is>
          <t>pagado</t>
        </is>
      </c>
      <c r="F937" s="23" t="n">
        <v>46270</v>
      </c>
      <c r="G937" s="24">
        <f>F937-DATE(2026,8,31)</f>
        <v>5</v>
      </c>
      <c r="H937" s="25" t="n">
        <v>0</v>
      </c>
      <c r="I937" t="inlineStr">
        <is>
          <t>entidad-dia</t>
        </is>
      </c>
    </row>
    <row r="938">
      <c r="A938" t="inlineStr">
        <is>
          <t>PRAGMA</t>
        </is>
      </c>
      <c r="B938" t="inlineStr">
        <is>
          <t>M1</t>
        </is>
      </c>
      <c r="C938" t="inlineStr">
        <is>
          <t>Cali</t>
        </is>
      </c>
      <c r="D938" t="inlineStr">
        <is>
          <t>2122</t>
        </is>
      </c>
      <c r="E938" t="inlineStr">
        <is>
          <t>pagado</t>
        </is>
      </c>
      <c r="F938" s="23" t="n">
        <v>46271</v>
      </c>
      <c r="G938" s="24">
        <f>F938-DATE(2026,8,31)</f>
        <v>6</v>
      </c>
      <c r="H938" s="25" t="n">
        <v>0</v>
      </c>
      <c r="I938" t="inlineStr">
        <is>
          <t>entidad-dia</t>
        </is>
      </c>
    </row>
    <row r="939">
      <c r="A939" t="inlineStr">
        <is>
          <t>PRAGMA</t>
        </is>
      </c>
      <c r="B939" t="inlineStr">
        <is>
          <t>M1</t>
        </is>
      </c>
      <c r="C939" t="inlineStr">
        <is>
          <t>Cali</t>
        </is>
      </c>
      <c r="D939" t="inlineStr">
        <is>
          <t>2122</t>
        </is>
      </c>
      <c r="E939" t="inlineStr">
        <is>
          <t>pagado</t>
        </is>
      </c>
      <c r="F939" s="23" t="n">
        <v>46272</v>
      </c>
      <c r="G939" s="24">
        <f>F939-DATE(2026,8,31)</f>
        <v>7</v>
      </c>
      <c r="H939" s="25" t="n">
        <v>0</v>
      </c>
      <c r="I939" t="inlineStr">
        <is>
          <t>entidad-dia</t>
        </is>
      </c>
    </row>
    <row r="940">
      <c r="A940" t="inlineStr">
        <is>
          <t>PRAGMA</t>
        </is>
      </c>
      <c r="B940" t="inlineStr">
        <is>
          <t>M1</t>
        </is>
      </c>
      <c r="C940" t="inlineStr">
        <is>
          <t>Cali</t>
        </is>
      </c>
      <c r="D940" t="inlineStr">
        <is>
          <t>2122</t>
        </is>
      </c>
      <c r="E940" t="inlineStr">
        <is>
          <t>pagado</t>
        </is>
      </c>
      <c r="F940" s="23" t="n">
        <v>46273</v>
      </c>
      <c r="G940" s="24">
        <f>F940-DATE(2026,8,31)</f>
        <v>8</v>
      </c>
      <c r="H940" s="25" t="n">
        <v>0</v>
      </c>
      <c r="I940" t="inlineStr">
        <is>
          <t>entidad-dia</t>
        </is>
      </c>
    </row>
    <row r="941">
      <c r="A941" t="inlineStr">
        <is>
          <t>PRAGMA</t>
        </is>
      </c>
      <c r="B941" t="inlineStr">
        <is>
          <t>M1</t>
        </is>
      </c>
      <c r="C941" t="inlineStr">
        <is>
          <t>Cali</t>
        </is>
      </c>
      <c r="D941" t="inlineStr">
        <is>
          <t>2122</t>
        </is>
      </c>
      <c r="E941" t="inlineStr">
        <is>
          <t>pagado</t>
        </is>
      </c>
      <c r="F941" s="23" t="n">
        <v>46274</v>
      </c>
      <c r="G941" s="24">
        <f>F941-DATE(2026,8,31)</f>
        <v>9</v>
      </c>
      <c r="H941" s="25" t="n">
        <v>0</v>
      </c>
      <c r="I941" t="inlineStr">
        <is>
          <t>entidad-dia</t>
        </is>
      </c>
    </row>
    <row r="942">
      <c r="A942" t="inlineStr">
        <is>
          <t>PRAGMA</t>
        </is>
      </c>
      <c r="B942" t="inlineStr">
        <is>
          <t>M1</t>
        </is>
      </c>
      <c r="C942" t="inlineStr">
        <is>
          <t>Cali</t>
        </is>
      </c>
      <c r="D942" t="inlineStr">
        <is>
          <t>2122</t>
        </is>
      </c>
      <c r="E942" t="inlineStr">
        <is>
          <t>pagado</t>
        </is>
      </c>
      <c r="F942" s="23" t="n">
        <v>46275</v>
      </c>
      <c r="G942" s="24">
        <f>F942-DATE(2026,8,31)</f>
        <v>10</v>
      </c>
      <c r="H942" s="25" t="n">
        <v>0</v>
      </c>
      <c r="I942" t="inlineStr">
        <is>
          <t>entidad-dia</t>
        </is>
      </c>
    </row>
    <row r="943">
      <c r="A943" t="inlineStr">
        <is>
          <t>PRAGMA</t>
        </is>
      </c>
      <c r="B943" t="inlineStr">
        <is>
          <t>M1</t>
        </is>
      </c>
      <c r="C943" t="inlineStr">
        <is>
          <t>Cali</t>
        </is>
      </c>
      <c r="D943" t="inlineStr">
        <is>
          <t>2122</t>
        </is>
      </c>
      <c r="E943" t="inlineStr">
        <is>
          <t>pagado</t>
        </is>
      </c>
      <c r="F943" s="23" t="n">
        <v>46276</v>
      </c>
      <c r="G943" s="24">
        <f>F943-DATE(2026,8,31)</f>
        <v>11</v>
      </c>
      <c r="H943" s="25" t="n">
        <v>0</v>
      </c>
      <c r="I943" t="inlineStr">
        <is>
          <t>entidad-dia</t>
        </is>
      </c>
    </row>
    <row r="944">
      <c r="A944" t="inlineStr">
        <is>
          <t>PRAGMA</t>
        </is>
      </c>
      <c r="B944" t="inlineStr">
        <is>
          <t>M1</t>
        </is>
      </c>
      <c r="C944" t="inlineStr">
        <is>
          <t>Cali</t>
        </is>
      </c>
      <c r="D944" t="inlineStr">
        <is>
          <t>2122</t>
        </is>
      </c>
      <c r="E944" t="inlineStr">
        <is>
          <t>pagado</t>
        </is>
      </c>
      <c r="F944" s="23" t="n">
        <v>46277</v>
      </c>
      <c r="G944" s="24">
        <f>F944-DATE(2026,8,31)</f>
        <v>12</v>
      </c>
      <c r="H944" s="25" t="n">
        <v>0</v>
      </c>
      <c r="I944" t="inlineStr">
        <is>
          <t>entidad-dia</t>
        </is>
      </c>
    </row>
    <row r="945">
      <c r="A945" t="inlineStr">
        <is>
          <t>PRAGMA</t>
        </is>
      </c>
      <c r="B945" t="inlineStr">
        <is>
          <t>M1</t>
        </is>
      </c>
      <c r="C945" t="inlineStr">
        <is>
          <t>Cali</t>
        </is>
      </c>
      <c r="D945" t="inlineStr">
        <is>
          <t>2122</t>
        </is>
      </c>
      <c r="E945" t="inlineStr">
        <is>
          <t>pagado</t>
        </is>
      </c>
      <c r="F945" s="23" t="n">
        <v>46278</v>
      </c>
      <c r="G945" s="24">
        <f>F945-DATE(2026,8,31)</f>
        <v>13</v>
      </c>
      <c r="H945" s="25" t="n">
        <v>0</v>
      </c>
      <c r="I945" t="inlineStr">
        <is>
          <t>entidad-dia</t>
        </is>
      </c>
    </row>
    <row r="946">
      <c r="A946" t="inlineStr">
        <is>
          <t>PRAGMA</t>
        </is>
      </c>
      <c r="B946" t="inlineStr">
        <is>
          <t>M1</t>
        </is>
      </c>
      <c r="C946" t="inlineStr">
        <is>
          <t>Cali</t>
        </is>
      </c>
      <c r="D946" t="inlineStr">
        <is>
          <t>2122</t>
        </is>
      </c>
      <c r="E946" t="inlineStr">
        <is>
          <t>pagado</t>
        </is>
      </c>
      <c r="F946" s="23" t="n">
        <v>46279</v>
      </c>
      <c r="G946" s="24">
        <f>F946-DATE(2026,8,31)</f>
        <v>14</v>
      </c>
      <c r="H946" s="25" t="n">
        <v>0</v>
      </c>
      <c r="I946" t="inlineStr">
        <is>
          <t>entidad-dia</t>
        </is>
      </c>
    </row>
    <row r="947">
      <c r="A947" t="inlineStr">
        <is>
          <t>PRAGMA</t>
        </is>
      </c>
      <c r="B947" t="inlineStr">
        <is>
          <t>M1</t>
        </is>
      </c>
      <c r="C947" t="inlineStr">
        <is>
          <t>Cali</t>
        </is>
      </c>
      <c r="D947" t="inlineStr">
        <is>
          <t>2122</t>
        </is>
      </c>
      <c r="E947" t="inlineStr">
        <is>
          <t>pagado</t>
        </is>
      </c>
      <c r="F947" s="23" t="n">
        <v>46280</v>
      </c>
      <c r="G947" s="24">
        <f>F947-DATE(2026,8,31)</f>
        <v>15</v>
      </c>
      <c r="H947" s="25" t="n">
        <v>0</v>
      </c>
      <c r="I947" t="inlineStr">
        <is>
          <t>entidad-dia</t>
        </is>
      </c>
    </row>
    <row r="948">
      <c r="A948" t="inlineStr">
        <is>
          <t>PRAGMA</t>
        </is>
      </c>
      <c r="B948" t="inlineStr">
        <is>
          <t>M1</t>
        </is>
      </c>
      <c r="C948" t="inlineStr">
        <is>
          <t>Cali</t>
        </is>
      </c>
      <c r="D948" t="inlineStr">
        <is>
          <t>2140</t>
        </is>
      </c>
      <c r="E948" t="inlineStr">
        <is>
          <t>pagado</t>
        </is>
      </c>
      <c r="F948" s="23" t="n">
        <v>46266</v>
      </c>
      <c r="G948" s="24">
        <f>F948-DATE(2026,8,31)</f>
        <v>1</v>
      </c>
      <c r="H948" s="25" t="n">
        <v>102635421</v>
      </c>
      <c r="I948" t="inlineStr">
        <is>
          <t>entidad-dia</t>
        </is>
      </c>
    </row>
    <row r="949">
      <c r="A949" t="inlineStr">
        <is>
          <t>PRAGMA</t>
        </is>
      </c>
      <c r="B949" t="inlineStr">
        <is>
          <t>M1</t>
        </is>
      </c>
      <c r="C949" t="inlineStr">
        <is>
          <t>Cali</t>
        </is>
      </c>
      <c r="D949" t="inlineStr">
        <is>
          <t>2140</t>
        </is>
      </c>
      <c r="E949" t="inlineStr">
        <is>
          <t>pagado</t>
        </is>
      </c>
      <c r="F949" s="23" t="n">
        <v>46267</v>
      </c>
      <c r="G949" s="24">
        <f>F949-DATE(2026,8,31)</f>
        <v>2</v>
      </c>
      <c r="H949" s="25" t="n">
        <v>71885355</v>
      </c>
      <c r="I949" t="inlineStr">
        <is>
          <t>entidad-dia</t>
        </is>
      </c>
    </row>
    <row r="950">
      <c r="A950" t="inlineStr">
        <is>
          <t>PRAGMA</t>
        </is>
      </c>
      <c r="B950" t="inlineStr">
        <is>
          <t>M1</t>
        </is>
      </c>
      <c r="C950" t="inlineStr">
        <is>
          <t>Cali</t>
        </is>
      </c>
      <c r="D950" t="inlineStr">
        <is>
          <t>2140</t>
        </is>
      </c>
      <c r="E950" t="inlineStr">
        <is>
          <t>pagado</t>
        </is>
      </c>
      <c r="F950" s="23" t="n">
        <v>46268</v>
      </c>
      <c r="G950" s="24">
        <f>F950-DATE(2026,8,31)</f>
        <v>3</v>
      </c>
      <c r="H950" s="25" t="n">
        <v>66295238</v>
      </c>
      <c r="I950" t="inlineStr">
        <is>
          <t>entidad-dia</t>
        </is>
      </c>
    </row>
    <row r="951">
      <c r="A951" t="inlineStr">
        <is>
          <t>PRAGMA</t>
        </is>
      </c>
      <c r="B951" t="inlineStr">
        <is>
          <t>M1</t>
        </is>
      </c>
      <c r="C951" t="inlineStr">
        <is>
          <t>Cali</t>
        </is>
      </c>
      <c r="D951" t="inlineStr">
        <is>
          <t>2140</t>
        </is>
      </c>
      <c r="E951" t="inlineStr">
        <is>
          <t>pagado</t>
        </is>
      </c>
      <c r="F951" s="23" t="n">
        <v>46269</v>
      </c>
      <c r="G951" s="24">
        <f>F951-DATE(2026,8,31)</f>
        <v>4</v>
      </c>
      <c r="H951" s="25" t="n">
        <v>73306587</v>
      </c>
      <c r="I951" t="inlineStr">
        <is>
          <t>entidad-dia</t>
        </is>
      </c>
    </row>
    <row r="952">
      <c r="A952" t="inlineStr">
        <is>
          <t>PRAGMA</t>
        </is>
      </c>
      <c r="B952" t="inlineStr">
        <is>
          <t>M1</t>
        </is>
      </c>
      <c r="C952" t="inlineStr">
        <is>
          <t>Cali</t>
        </is>
      </c>
      <c r="D952" t="inlineStr">
        <is>
          <t>2140</t>
        </is>
      </c>
      <c r="E952" t="inlineStr">
        <is>
          <t>pagado</t>
        </is>
      </c>
      <c r="F952" s="23" t="n">
        <v>46270</v>
      </c>
      <c r="G952" s="24">
        <f>F952-DATE(2026,8,31)</f>
        <v>5</v>
      </c>
      <c r="H952" s="25" t="n">
        <v>62009844</v>
      </c>
      <c r="I952" t="inlineStr">
        <is>
          <t>entidad-dia</t>
        </is>
      </c>
    </row>
    <row r="953">
      <c r="A953" t="inlineStr">
        <is>
          <t>PRAGMA</t>
        </is>
      </c>
      <c r="B953" t="inlineStr">
        <is>
          <t>M1</t>
        </is>
      </c>
      <c r="C953" t="inlineStr">
        <is>
          <t>Cali</t>
        </is>
      </c>
      <c r="D953" t="inlineStr">
        <is>
          <t>2140</t>
        </is>
      </c>
      <c r="E953" t="inlineStr">
        <is>
          <t>pagado</t>
        </is>
      </c>
      <c r="F953" s="23" t="n">
        <v>46271</v>
      </c>
      <c r="G953" s="24">
        <f>F953-DATE(2026,8,31)</f>
        <v>6</v>
      </c>
      <c r="H953" s="25" t="n">
        <v>29098771</v>
      </c>
      <c r="I953" t="inlineStr">
        <is>
          <t>entidad-dia</t>
        </is>
      </c>
    </row>
    <row r="954">
      <c r="A954" t="inlineStr">
        <is>
          <t>PRAGMA</t>
        </is>
      </c>
      <c r="B954" t="inlineStr">
        <is>
          <t>M1</t>
        </is>
      </c>
      <c r="C954" t="inlineStr">
        <is>
          <t>Cali</t>
        </is>
      </c>
      <c r="D954" t="inlineStr">
        <is>
          <t>2140</t>
        </is>
      </c>
      <c r="E954" t="inlineStr">
        <is>
          <t>pagado</t>
        </is>
      </c>
      <c r="F954" s="23" t="n">
        <v>46272</v>
      </c>
      <c r="G954" s="24">
        <f>F954-DATE(2026,8,31)</f>
        <v>7</v>
      </c>
      <c r="H954" s="25" t="n">
        <v>51446218</v>
      </c>
      <c r="I954" t="inlineStr">
        <is>
          <t>entidad-dia</t>
        </is>
      </c>
    </row>
    <row r="955">
      <c r="A955" t="inlineStr">
        <is>
          <t>PRAGMA</t>
        </is>
      </c>
      <c r="B955" t="inlineStr">
        <is>
          <t>M1</t>
        </is>
      </c>
      <c r="C955" t="inlineStr">
        <is>
          <t>Cali</t>
        </is>
      </c>
      <c r="D955" t="inlineStr">
        <is>
          <t>2140</t>
        </is>
      </c>
      <c r="E955" t="inlineStr">
        <is>
          <t>pagado</t>
        </is>
      </c>
      <c r="F955" s="23" t="n">
        <v>46273</v>
      </c>
      <c r="G955" s="24">
        <f>F955-DATE(2026,8,31)</f>
        <v>8</v>
      </c>
      <c r="H955" s="25" t="n">
        <v>47019549</v>
      </c>
      <c r="I955" t="inlineStr">
        <is>
          <t>entidad-dia</t>
        </is>
      </c>
    </row>
    <row r="956">
      <c r="A956" t="inlineStr">
        <is>
          <t>PRAGMA</t>
        </is>
      </c>
      <c r="B956" t="inlineStr">
        <is>
          <t>M1</t>
        </is>
      </c>
      <c r="C956" t="inlineStr">
        <is>
          <t>Cali</t>
        </is>
      </c>
      <c r="D956" t="inlineStr">
        <is>
          <t>2140</t>
        </is>
      </c>
      <c r="E956" t="inlineStr">
        <is>
          <t>pagado</t>
        </is>
      </c>
      <c r="F956" s="23" t="n">
        <v>46274</v>
      </c>
      <c r="G956" s="24">
        <f>F956-DATE(2026,8,31)</f>
        <v>9</v>
      </c>
      <c r="H956" s="25" t="n">
        <v>47554473</v>
      </c>
      <c r="I956" t="inlineStr">
        <is>
          <t>entidad-dia</t>
        </is>
      </c>
    </row>
    <row r="957">
      <c r="A957" t="inlineStr">
        <is>
          <t>PRAGMA</t>
        </is>
      </c>
      <c r="B957" t="inlineStr">
        <is>
          <t>M1</t>
        </is>
      </c>
      <c r="C957" t="inlineStr">
        <is>
          <t>Cali</t>
        </is>
      </c>
      <c r="D957" t="inlineStr">
        <is>
          <t>2140</t>
        </is>
      </c>
      <c r="E957" t="inlineStr">
        <is>
          <t>pagado</t>
        </is>
      </c>
      <c r="F957" s="23" t="n">
        <v>46275</v>
      </c>
      <c r="G957" s="24">
        <f>F957-DATE(2026,8,31)</f>
        <v>10</v>
      </c>
      <c r="H957" s="25" t="n">
        <v>43657149</v>
      </c>
      <c r="I957" t="inlineStr">
        <is>
          <t>entidad-dia</t>
        </is>
      </c>
    </row>
    <row r="958">
      <c r="A958" t="inlineStr">
        <is>
          <t>PRAGMA</t>
        </is>
      </c>
      <c r="B958" t="inlineStr">
        <is>
          <t>M1</t>
        </is>
      </c>
      <c r="C958" t="inlineStr">
        <is>
          <t>Cali</t>
        </is>
      </c>
      <c r="D958" t="inlineStr">
        <is>
          <t>2140</t>
        </is>
      </c>
      <c r="E958" t="inlineStr">
        <is>
          <t>pagado</t>
        </is>
      </c>
      <c r="F958" s="23" t="n">
        <v>46276</v>
      </c>
      <c r="G958" s="24">
        <f>F958-DATE(2026,8,31)</f>
        <v>11</v>
      </c>
      <c r="H958" s="25" t="n">
        <v>53254315</v>
      </c>
      <c r="I958" t="inlineStr">
        <is>
          <t>entidad-dia</t>
        </is>
      </c>
    </row>
    <row r="959">
      <c r="A959" t="inlineStr">
        <is>
          <t>PRAGMA</t>
        </is>
      </c>
      <c r="B959" t="inlineStr">
        <is>
          <t>M1</t>
        </is>
      </c>
      <c r="C959" t="inlineStr">
        <is>
          <t>Cali</t>
        </is>
      </c>
      <c r="D959" t="inlineStr">
        <is>
          <t>2140</t>
        </is>
      </c>
      <c r="E959" t="inlineStr">
        <is>
          <t>pagado</t>
        </is>
      </c>
      <c r="F959" s="23" t="n">
        <v>46277</v>
      </c>
      <c r="G959" s="24">
        <f>F959-DATE(2026,8,31)</f>
        <v>12</v>
      </c>
      <c r="H959" s="25" t="n">
        <v>46344226</v>
      </c>
      <c r="I959" t="inlineStr">
        <is>
          <t>entidad-dia</t>
        </is>
      </c>
    </row>
    <row r="960">
      <c r="A960" t="inlineStr">
        <is>
          <t>PRAGMA</t>
        </is>
      </c>
      <c r="B960" t="inlineStr">
        <is>
          <t>M1</t>
        </is>
      </c>
      <c r="C960" t="inlineStr">
        <is>
          <t>Cali</t>
        </is>
      </c>
      <c r="D960" t="inlineStr">
        <is>
          <t>2140</t>
        </is>
      </c>
      <c r="E960" t="inlineStr">
        <is>
          <t>pagado</t>
        </is>
      </c>
      <c r="F960" s="23" t="n">
        <v>46278</v>
      </c>
      <c r="G960" s="24">
        <f>F960-DATE(2026,8,31)</f>
        <v>13</v>
      </c>
      <c r="H960" s="25" t="n">
        <v>23260991</v>
      </c>
      <c r="I960" t="inlineStr">
        <is>
          <t>entidad-dia</t>
        </is>
      </c>
    </row>
    <row r="961">
      <c r="A961" t="inlineStr">
        <is>
          <t>PRAGMA</t>
        </is>
      </c>
      <c r="B961" t="inlineStr">
        <is>
          <t>M1</t>
        </is>
      </c>
      <c r="C961" t="inlineStr">
        <is>
          <t>Cali</t>
        </is>
      </c>
      <c r="D961" t="inlineStr">
        <is>
          <t>2140</t>
        </is>
      </c>
      <c r="E961" t="inlineStr">
        <is>
          <t>pagado</t>
        </is>
      </c>
      <c r="F961" s="23" t="n">
        <v>46279</v>
      </c>
      <c r="G961" s="24">
        <f>F961-DATE(2026,8,31)</f>
        <v>14</v>
      </c>
      <c r="H961" s="25" t="n">
        <v>46506417</v>
      </c>
      <c r="I961" t="inlineStr">
        <is>
          <t>entidad-dia</t>
        </is>
      </c>
    </row>
    <row r="962">
      <c r="A962" t="inlineStr">
        <is>
          <t>PRAGMA</t>
        </is>
      </c>
      <c r="B962" t="inlineStr">
        <is>
          <t>M1</t>
        </is>
      </c>
      <c r="C962" t="inlineStr">
        <is>
          <t>Cali</t>
        </is>
      </c>
      <c r="D962" t="inlineStr">
        <is>
          <t>2140</t>
        </is>
      </c>
      <c r="E962" t="inlineStr">
        <is>
          <t>pagado</t>
        </is>
      </c>
      <c r="F962" s="23" t="n">
        <v>46280</v>
      </c>
      <c r="G962" s="24">
        <f>F962-DATE(2026,8,31)</f>
        <v>15</v>
      </c>
      <c r="H962" s="25" t="n">
        <v>83670257</v>
      </c>
      <c r="I962" t="inlineStr">
        <is>
          <t>entidad-dia</t>
        </is>
      </c>
    </row>
    <row r="963">
      <c r="A963" t="inlineStr">
        <is>
          <t>PRAGMA</t>
        </is>
      </c>
      <c r="B963" t="inlineStr">
        <is>
          <t>M1</t>
        </is>
      </c>
      <c r="C963" t="inlineStr">
        <is>
          <t>Cali</t>
        </is>
      </c>
      <c r="D963" t="inlineStr">
        <is>
          <t>2141</t>
        </is>
      </c>
      <c r="E963" t="inlineStr">
        <is>
          <t>pagado</t>
        </is>
      </c>
      <c r="F963" s="23" t="n">
        <v>46266</v>
      </c>
      <c r="G963" s="24">
        <f>F963-DATE(2026,8,31)</f>
        <v>1</v>
      </c>
      <c r="H963" s="25" t="n">
        <v>183294500</v>
      </c>
      <c r="I963" t="inlineStr">
        <is>
          <t>entidad-dia</t>
        </is>
      </c>
    </row>
    <row r="964">
      <c r="A964" t="inlineStr">
        <is>
          <t>PRAGMA</t>
        </is>
      </c>
      <c r="B964" t="inlineStr">
        <is>
          <t>M1</t>
        </is>
      </c>
      <c r="C964" t="inlineStr">
        <is>
          <t>Cali</t>
        </is>
      </c>
      <c r="D964" t="inlineStr">
        <is>
          <t>2141</t>
        </is>
      </c>
      <c r="E964" t="inlineStr">
        <is>
          <t>pagado</t>
        </is>
      </c>
      <c r="F964" s="23" t="n">
        <v>46267</v>
      </c>
      <c r="G964" s="24">
        <f>F964-DATE(2026,8,31)</f>
        <v>2</v>
      </c>
      <c r="H964" s="25" t="n">
        <v>136726392</v>
      </c>
      <c r="I964" t="inlineStr">
        <is>
          <t>entidad-dia</t>
        </is>
      </c>
    </row>
    <row r="965">
      <c r="A965" t="inlineStr">
        <is>
          <t>PRAGMA</t>
        </is>
      </c>
      <c r="B965" t="inlineStr">
        <is>
          <t>M1</t>
        </is>
      </c>
      <c r="C965" t="inlineStr">
        <is>
          <t>Cali</t>
        </is>
      </c>
      <c r="D965" t="inlineStr">
        <is>
          <t>2141</t>
        </is>
      </c>
      <c r="E965" t="inlineStr">
        <is>
          <t>pagado</t>
        </is>
      </c>
      <c r="F965" s="23" t="n">
        <v>46268</v>
      </c>
      <c r="G965" s="24">
        <f>F965-DATE(2026,8,31)</f>
        <v>3</v>
      </c>
      <c r="H965" s="25" t="n">
        <v>122356056</v>
      </c>
      <c r="I965" t="inlineStr">
        <is>
          <t>entidad-dia</t>
        </is>
      </c>
    </row>
    <row r="966">
      <c r="A966" t="inlineStr">
        <is>
          <t>PRAGMA</t>
        </is>
      </c>
      <c r="B966" t="inlineStr">
        <is>
          <t>M1</t>
        </is>
      </c>
      <c r="C966" t="inlineStr">
        <is>
          <t>Cali</t>
        </is>
      </c>
      <c r="D966" t="inlineStr">
        <is>
          <t>2141</t>
        </is>
      </c>
      <c r="E966" t="inlineStr">
        <is>
          <t>pagado</t>
        </is>
      </c>
      <c r="F966" s="23" t="n">
        <v>46269</v>
      </c>
      <c r="G966" s="24">
        <f>F966-DATE(2026,8,31)</f>
        <v>4</v>
      </c>
      <c r="H966" s="25" t="n">
        <v>136596767</v>
      </c>
      <c r="I966" t="inlineStr">
        <is>
          <t>entidad-dia</t>
        </is>
      </c>
    </row>
    <row r="967">
      <c r="A967" t="inlineStr">
        <is>
          <t>PRAGMA</t>
        </is>
      </c>
      <c r="B967" t="inlineStr">
        <is>
          <t>M1</t>
        </is>
      </c>
      <c r="C967" t="inlineStr">
        <is>
          <t>Cali</t>
        </is>
      </c>
      <c r="D967" t="inlineStr">
        <is>
          <t>2141</t>
        </is>
      </c>
      <c r="E967" t="inlineStr">
        <is>
          <t>pagado</t>
        </is>
      </c>
      <c r="F967" s="23" t="n">
        <v>46270</v>
      </c>
      <c r="G967" s="24">
        <f>F967-DATE(2026,8,31)</f>
        <v>5</v>
      </c>
      <c r="H967" s="25" t="n">
        <v>148390377</v>
      </c>
      <c r="I967" t="inlineStr">
        <is>
          <t>entidad-dia</t>
        </is>
      </c>
    </row>
    <row r="968">
      <c r="A968" t="inlineStr">
        <is>
          <t>PRAGMA</t>
        </is>
      </c>
      <c r="B968" t="inlineStr">
        <is>
          <t>M1</t>
        </is>
      </c>
      <c r="C968" t="inlineStr">
        <is>
          <t>Cali</t>
        </is>
      </c>
      <c r="D968" t="inlineStr">
        <is>
          <t>2141</t>
        </is>
      </c>
      <c r="E968" t="inlineStr">
        <is>
          <t>pagado</t>
        </is>
      </c>
      <c r="F968" s="23" t="n">
        <v>46271</v>
      </c>
      <c r="G968" s="24">
        <f>F968-DATE(2026,8,31)</f>
        <v>6</v>
      </c>
      <c r="H968" s="25" t="n">
        <v>70069136</v>
      </c>
      <c r="I968" t="inlineStr">
        <is>
          <t>entidad-dia</t>
        </is>
      </c>
    </row>
    <row r="969">
      <c r="A969" t="inlineStr">
        <is>
          <t>PRAGMA</t>
        </is>
      </c>
      <c r="B969" t="inlineStr">
        <is>
          <t>M1</t>
        </is>
      </c>
      <c r="C969" t="inlineStr">
        <is>
          <t>Cali</t>
        </is>
      </c>
      <c r="D969" t="inlineStr">
        <is>
          <t>2141</t>
        </is>
      </c>
      <c r="E969" t="inlineStr">
        <is>
          <t>pagado</t>
        </is>
      </c>
      <c r="F969" s="23" t="n">
        <v>46272</v>
      </c>
      <c r="G969" s="24">
        <f>F969-DATE(2026,8,31)</f>
        <v>7</v>
      </c>
      <c r="H969" s="25" t="n">
        <v>102052671</v>
      </c>
      <c r="I969" t="inlineStr">
        <is>
          <t>entidad-dia</t>
        </is>
      </c>
    </row>
    <row r="970">
      <c r="A970" t="inlineStr">
        <is>
          <t>PRAGMA</t>
        </is>
      </c>
      <c r="B970" t="inlineStr">
        <is>
          <t>M1</t>
        </is>
      </c>
      <c r="C970" t="inlineStr">
        <is>
          <t>Cali</t>
        </is>
      </c>
      <c r="D970" t="inlineStr">
        <is>
          <t>2141</t>
        </is>
      </c>
      <c r="E970" t="inlineStr">
        <is>
          <t>pagado</t>
        </is>
      </c>
      <c r="F970" s="23" t="n">
        <v>46273</v>
      </c>
      <c r="G970" s="24">
        <f>F970-DATE(2026,8,31)</f>
        <v>8</v>
      </c>
      <c r="H970" s="25" t="n">
        <v>108801714</v>
      </c>
      <c r="I970" t="inlineStr">
        <is>
          <t>entidad-dia</t>
        </is>
      </c>
    </row>
    <row r="971">
      <c r="A971" t="inlineStr">
        <is>
          <t>PRAGMA</t>
        </is>
      </c>
      <c r="B971" t="inlineStr">
        <is>
          <t>M1</t>
        </is>
      </c>
      <c r="C971" t="inlineStr">
        <is>
          <t>Cali</t>
        </is>
      </c>
      <c r="D971" t="inlineStr">
        <is>
          <t>2141</t>
        </is>
      </c>
      <c r="E971" t="inlineStr">
        <is>
          <t>pagado</t>
        </is>
      </c>
      <c r="F971" s="23" t="n">
        <v>46274</v>
      </c>
      <c r="G971" s="24">
        <f>F971-DATE(2026,8,31)</f>
        <v>9</v>
      </c>
      <c r="H971" s="25" t="n">
        <v>99843247</v>
      </c>
      <c r="I971" t="inlineStr">
        <is>
          <t>entidad-dia</t>
        </is>
      </c>
    </row>
    <row r="972">
      <c r="A972" t="inlineStr">
        <is>
          <t>PRAGMA</t>
        </is>
      </c>
      <c r="B972" t="inlineStr">
        <is>
          <t>M1</t>
        </is>
      </c>
      <c r="C972" t="inlineStr">
        <is>
          <t>Cali</t>
        </is>
      </c>
      <c r="D972" t="inlineStr">
        <is>
          <t>2141</t>
        </is>
      </c>
      <c r="E972" t="inlineStr">
        <is>
          <t>pagado</t>
        </is>
      </c>
      <c r="F972" s="23" t="n">
        <v>46275</v>
      </c>
      <c r="G972" s="24">
        <f>F972-DATE(2026,8,31)</f>
        <v>10</v>
      </c>
      <c r="H972" s="25" t="n">
        <v>86313867</v>
      </c>
      <c r="I972" t="inlineStr">
        <is>
          <t>entidad-dia</t>
        </is>
      </c>
    </row>
    <row r="973">
      <c r="A973" t="inlineStr">
        <is>
          <t>PRAGMA</t>
        </is>
      </c>
      <c r="B973" t="inlineStr">
        <is>
          <t>M1</t>
        </is>
      </c>
      <c r="C973" t="inlineStr">
        <is>
          <t>Cali</t>
        </is>
      </c>
      <c r="D973" t="inlineStr">
        <is>
          <t>2141</t>
        </is>
      </c>
      <c r="E973" t="inlineStr">
        <is>
          <t>pagado</t>
        </is>
      </c>
      <c r="F973" s="23" t="n">
        <v>46276</v>
      </c>
      <c r="G973" s="24">
        <f>F973-DATE(2026,8,31)</f>
        <v>11</v>
      </c>
      <c r="H973" s="25" t="n">
        <v>106655630</v>
      </c>
      <c r="I973" t="inlineStr">
        <is>
          <t>entidad-dia</t>
        </is>
      </c>
    </row>
    <row r="974">
      <c r="A974" t="inlineStr">
        <is>
          <t>PRAGMA</t>
        </is>
      </c>
      <c r="B974" t="inlineStr">
        <is>
          <t>M1</t>
        </is>
      </c>
      <c r="C974" t="inlineStr">
        <is>
          <t>Cali</t>
        </is>
      </c>
      <c r="D974" t="inlineStr">
        <is>
          <t>2141</t>
        </is>
      </c>
      <c r="E974" t="inlineStr">
        <is>
          <t>pagado</t>
        </is>
      </c>
      <c r="F974" s="23" t="n">
        <v>46277</v>
      </c>
      <c r="G974" s="24">
        <f>F974-DATE(2026,8,31)</f>
        <v>12</v>
      </c>
      <c r="H974" s="25" t="n">
        <v>121383913</v>
      </c>
      <c r="I974" t="inlineStr">
        <is>
          <t>entidad-dia</t>
        </is>
      </c>
    </row>
    <row r="975">
      <c r="A975" t="inlineStr">
        <is>
          <t>PRAGMA</t>
        </is>
      </c>
      <c r="B975" t="inlineStr">
        <is>
          <t>M1</t>
        </is>
      </c>
      <c r="C975" t="inlineStr">
        <is>
          <t>Cali</t>
        </is>
      </c>
      <c r="D975" t="inlineStr">
        <is>
          <t>2141</t>
        </is>
      </c>
      <c r="E975" t="inlineStr">
        <is>
          <t>pagado</t>
        </is>
      </c>
      <c r="F975" s="23" t="n">
        <v>46278</v>
      </c>
      <c r="G975" s="24">
        <f>F975-DATE(2026,8,31)</f>
        <v>13</v>
      </c>
      <c r="H975" s="25" t="n">
        <v>57850107</v>
      </c>
      <c r="I975" t="inlineStr">
        <is>
          <t>entidad-dia</t>
        </is>
      </c>
    </row>
    <row r="976">
      <c r="A976" t="inlineStr">
        <is>
          <t>PRAGMA</t>
        </is>
      </c>
      <c r="B976" t="inlineStr">
        <is>
          <t>M1</t>
        </is>
      </c>
      <c r="C976" t="inlineStr">
        <is>
          <t>Cali</t>
        </is>
      </c>
      <c r="D976" t="inlineStr">
        <is>
          <t>2141</t>
        </is>
      </c>
      <c r="E976" t="inlineStr">
        <is>
          <t>pagado</t>
        </is>
      </c>
      <c r="F976" s="23" t="n">
        <v>46279</v>
      </c>
      <c r="G976" s="24">
        <f>F976-DATE(2026,8,31)</f>
        <v>14</v>
      </c>
      <c r="H976" s="25" t="n">
        <v>97740386</v>
      </c>
      <c r="I976" t="inlineStr">
        <is>
          <t>entidad-dia</t>
        </is>
      </c>
    </row>
    <row r="977">
      <c r="A977" t="inlineStr">
        <is>
          <t>PRAGMA</t>
        </is>
      </c>
      <c r="B977" t="inlineStr">
        <is>
          <t>M1</t>
        </is>
      </c>
      <c r="C977" t="inlineStr">
        <is>
          <t>Cali</t>
        </is>
      </c>
      <c r="D977" t="inlineStr">
        <is>
          <t>2141</t>
        </is>
      </c>
      <c r="E977" t="inlineStr">
        <is>
          <t>pagado</t>
        </is>
      </c>
      <c r="F977" s="23" t="n">
        <v>46280</v>
      </c>
      <c r="G977" s="24">
        <f>F977-DATE(2026,8,31)</f>
        <v>15</v>
      </c>
      <c r="H977" s="25" t="n">
        <v>149496468</v>
      </c>
      <c r="I977" t="inlineStr">
        <is>
          <t>entidad-dia</t>
        </is>
      </c>
    </row>
    <row r="978">
      <c r="A978" t="inlineStr">
        <is>
          <t>PRAGMA</t>
        </is>
      </c>
      <c r="B978" t="inlineStr">
        <is>
          <t>M1</t>
        </is>
      </c>
      <c r="C978" t="inlineStr">
        <is>
          <t>Cali</t>
        </is>
      </c>
      <c r="D978" t="inlineStr">
        <is>
          <t>2143</t>
        </is>
      </c>
      <c r="E978" t="inlineStr">
        <is>
          <t>pagado</t>
        </is>
      </c>
      <c r="F978" s="23" t="n">
        <v>46266</v>
      </c>
      <c r="G978" s="24">
        <f>F978-DATE(2026,8,31)</f>
        <v>1</v>
      </c>
      <c r="H978" s="25" t="n">
        <v>134141888</v>
      </c>
      <c r="I978" t="inlineStr">
        <is>
          <t>entidad-dia</t>
        </is>
      </c>
    </row>
    <row r="979">
      <c r="A979" t="inlineStr">
        <is>
          <t>PRAGMA</t>
        </is>
      </c>
      <c r="B979" t="inlineStr">
        <is>
          <t>M1</t>
        </is>
      </c>
      <c r="C979" t="inlineStr">
        <is>
          <t>Cali</t>
        </is>
      </c>
      <c r="D979" t="inlineStr">
        <is>
          <t>2143</t>
        </is>
      </c>
      <c r="E979" t="inlineStr">
        <is>
          <t>pagado</t>
        </is>
      </c>
      <c r="F979" s="23" t="n">
        <v>46267</v>
      </c>
      <c r="G979" s="24">
        <f>F979-DATE(2026,8,31)</f>
        <v>2</v>
      </c>
      <c r="H979" s="25" t="n">
        <v>94922932</v>
      </c>
      <c r="I979" t="inlineStr">
        <is>
          <t>entidad-dia</t>
        </is>
      </c>
    </row>
    <row r="980">
      <c r="A980" t="inlineStr">
        <is>
          <t>PRAGMA</t>
        </is>
      </c>
      <c r="B980" t="inlineStr">
        <is>
          <t>M1</t>
        </is>
      </c>
      <c r="C980" t="inlineStr">
        <is>
          <t>Cali</t>
        </is>
      </c>
      <c r="D980" t="inlineStr">
        <is>
          <t>2143</t>
        </is>
      </c>
      <c r="E980" t="inlineStr">
        <is>
          <t>pagado</t>
        </is>
      </c>
      <c r="F980" s="23" t="n">
        <v>46268</v>
      </c>
      <c r="G980" s="24">
        <f>F980-DATE(2026,8,31)</f>
        <v>3</v>
      </c>
      <c r="H980" s="25" t="n">
        <v>81950403</v>
      </c>
      <c r="I980" t="inlineStr">
        <is>
          <t>entidad-dia</t>
        </is>
      </c>
    </row>
    <row r="981">
      <c r="A981" t="inlineStr">
        <is>
          <t>PRAGMA</t>
        </is>
      </c>
      <c r="B981" t="inlineStr">
        <is>
          <t>M1</t>
        </is>
      </c>
      <c r="C981" t="inlineStr">
        <is>
          <t>Cali</t>
        </is>
      </c>
      <c r="D981" t="inlineStr">
        <is>
          <t>2143</t>
        </is>
      </c>
      <c r="E981" t="inlineStr">
        <is>
          <t>pagado</t>
        </is>
      </c>
      <c r="F981" s="23" t="n">
        <v>46269</v>
      </c>
      <c r="G981" s="24">
        <f>F981-DATE(2026,8,31)</f>
        <v>4</v>
      </c>
      <c r="H981" s="25" t="n">
        <v>83717690</v>
      </c>
      <c r="I981" t="inlineStr">
        <is>
          <t>entidad-dia</t>
        </is>
      </c>
    </row>
    <row r="982">
      <c r="A982" t="inlineStr">
        <is>
          <t>PRAGMA</t>
        </is>
      </c>
      <c r="B982" t="inlineStr">
        <is>
          <t>M1</t>
        </is>
      </c>
      <c r="C982" t="inlineStr">
        <is>
          <t>Cali</t>
        </is>
      </c>
      <c r="D982" t="inlineStr">
        <is>
          <t>2143</t>
        </is>
      </c>
      <c r="E982" t="inlineStr">
        <is>
          <t>pagado</t>
        </is>
      </c>
      <c r="F982" s="23" t="n">
        <v>46270</v>
      </c>
      <c r="G982" s="24">
        <f>F982-DATE(2026,8,31)</f>
        <v>5</v>
      </c>
      <c r="H982" s="25" t="n">
        <v>94886280</v>
      </c>
      <c r="I982" t="inlineStr">
        <is>
          <t>entidad-dia</t>
        </is>
      </c>
    </row>
    <row r="983">
      <c r="A983" t="inlineStr">
        <is>
          <t>PRAGMA</t>
        </is>
      </c>
      <c r="B983" t="inlineStr">
        <is>
          <t>M1</t>
        </is>
      </c>
      <c r="C983" t="inlineStr">
        <is>
          <t>Cali</t>
        </is>
      </c>
      <c r="D983" t="inlineStr">
        <is>
          <t>2143</t>
        </is>
      </c>
      <c r="E983" t="inlineStr">
        <is>
          <t>pagado</t>
        </is>
      </c>
      <c r="F983" s="23" t="n">
        <v>46271</v>
      </c>
      <c r="G983" s="24">
        <f>F983-DATE(2026,8,31)</f>
        <v>6</v>
      </c>
      <c r="H983" s="25" t="n">
        <v>67111993</v>
      </c>
      <c r="I983" t="inlineStr">
        <is>
          <t>entidad-dia</t>
        </is>
      </c>
    </row>
    <row r="984">
      <c r="A984" t="inlineStr">
        <is>
          <t>PRAGMA</t>
        </is>
      </c>
      <c r="B984" t="inlineStr">
        <is>
          <t>M1</t>
        </is>
      </c>
      <c r="C984" t="inlineStr">
        <is>
          <t>Cali</t>
        </is>
      </c>
      <c r="D984" t="inlineStr">
        <is>
          <t>2143</t>
        </is>
      </c>
      <c r="E984" t="inlineStr">
        <is>
          <t>pagado</t>
        </is>
      </c>
      <c r="F984" s="23" t="n">
        <v>46272</v>
      </c>
      <c r="G984" s="24">
        <f>F984-DATE(2026,8,31)</f>
        <v>7</v>
      </c>
      <c r="H984" s="25" t="n">
        <v>65387525</v>
      </c>
      <c r="I984" t="inlineStr">
        <is>
          <t>entidad-dia</t>
        </is>
      </c>
    </row>
    <row r="985">
      <c r="A985" t="inlineStr">
        <is>
          <t>PRAGMA</t>
        </is>
      </c>
      <c r="B985" t="inlineStr">
        <is>
          <t>M1</t>
        </is>
      </c>
      <c r="C985" t="inlineStr">
        <is>
          <t>Cali</t>
        </is>
      </c>
      <c r="D985" t="inlineStr">
        <is>
          <t>2143</t>
        </is>
      </c>
      <c r="E985" t="inlineStr">
        <is>
          <t>pagado</t>
        </is>
      </c>
      <c r="F985" s="23" t="n">
        <v>46273</v>
      </c>
      <c r="G985" s="24">
        <f>F985-DATE(2026,8,31)</f>
        <v>8</v>
      </c>
      <c r="H985" s="25" t="n">
        <v>64622288</v>
      </c>
      <c r="I985" t="inlineStr">
        <is>
          <t>entidad-dia</t>
        </is>
      </c>
    </row>
    <row r="986">
      <c r="A986" t="inlineStr">
        <is>
          <t>PRAGMA</t>
        </is>
      </c>
      <c r="B986" t="inlineStr">
        <is>
          <t>M1</t>
        </is>
      </c>
      <c r="C986" t="inlineStr">
        <is>
          <t>Cali</t>
        </is>
      </c>
      <c r="D986" t="inlineStr">
        <is>
          <t>2143</t>
        </is>
      </c>
      <c r="E986" t="inlineStr">
        <is>
          <t>pagado</t>
        </is>
      </c>
      <c r="F986" s="23" t="n">
        <v>46274</v>
      </c>
      <c r="G986" s="24">
        <f>F986-DATE(2026,8,31)</f>
        <v>9</v>
      </c>
      <c r="H986" s="25" t="n">
        <v>59104663</v>
      </c>
      <c r="I986" t="inlineStr">
        <is>
          <t>entidad-dia</t>
        </is>
      </c>
    </row>
    <row r="987">
      <c r="A987" t="inlineStr">
        <is>
          <t>PRAGMA</t>
        </is>
      </c>
      <c r="B987" t="inlineStr">
        <is>
          <t>M1</t>
        </is>
      </c>
      <c r="C987" t="inlineStr">
        <is>
          <t>Cali</t>
        </is>
      </c>
      <c r="D987" t="inlineStr">
        <is>
          <t>2143</t>
        </is>
      </c>
      <c r="E987" t="inlineStr">
        <is>
          <t>pagado</t>
        </is>
      </c>
      <c r="F987" s="23" t="n">
        <v>46275</v>
      </c>
      <c r="G987" s="24">
        <f>F987-DATE(2026,8,31)</f>
        <v>10</v>
      </c>
      <c r="H987" s="25" t="n">
        <v>54022151</v>
      </c>
      <c r="I987" t="inlineStr">
        <is>
          <t>entidad-dia</t>
        </is>
      </c>
    </row>
    <row r="988">
      <c r="A988" t="inlineStr">
        <is>
          <t>PRAGMA</t>
        </is>
      </c>
      <c r="B988" t="inlineStr">
        <is>
          <t>M1</t>
        </is>
      </c>
      <c r="C988" t="inlineStr">
        <is>
          <t>Cali</t>
        </is>
      </c>
      <c r="D988" t="inlineStr">
        <is>
          <t>2143</t>
        </is>
      </c>
      <c r="E988" t="inlineStr">
        <is>
          <t>pagado</t>
        </is>
      </c>
      <c r="F988" s="23" t="n">
        <v>46276</v>
      </c>
      <c r="G988" s="24">
        <f>F988-DATE(2026,8,31)</f>
        <v>11</v>
      </c>
      <c r="H988" s="25" t="n">
        <v>57526219</v>
      </c>
      <c r="I988" t="inlineStr">
        <is>
          <t>entidad-dia</t>
        </is>
      </c>
    </row>
    <row r="989">
      <c r="A989" t="inlineStr">
        <is>
          <t>PRAGMA</t>
        </is>
      </c>
      <c r="B989" t="inlineStr">
        <is>
          <t>M1</t>
        </is>
      </c>
      <c r="C989" t="inlineStr">
        <is>
          <t>Cali</t>
        </is>
      </c>
      <c r="D989" t="inlineStr">
        <is>
          <t>2143</t>
        </is>
      </c>
      <c r="E989" t="inlineStr">
        <is>
          <t>pagado</t>
        </is>
      </c>
      <c r="F989" s="23" t="n">
        <v>46277</v>
      </c>
      <c r="G989" s="24">
        <f>F989-DATE(2026,8,31)</f>
        <v>12</v>
      </c>
      <c r="H989" s="25" t="n">
        <v>70444116</v>
      </c>
      <c r="I989" t="inlineStr">
        <is>
          <t>entidad-dia</t>
        </is>
      </c>
    </row>
    <row r="990">
      <c r="A990" t="inlineStr">
        <is>
          <t>PRAGMA</t>
        </is>
      </c>
      <c r="B990" t="inlineStr">
        <is>
          <t>M1</t>
        </is>
      </c>
      <c r="C990" t="inlineStr">
        <is>
          <t>Cali</t>
        </is>
      </c>
      <c r="D990" t="inlineStr">
        <is>
          <t>2143</t>
        </is>
      </c>
      <c r="E990" t="inlineStr">
        <is>
          <t>pagado</t>
        </is>
      </c>
      <c r="F990" s="23" t="n">
        <v>46278</v>
      </c>
      <c r="G990" s="24">
        <f>F990-DATE(2026,8,31)</f>
        <v>13</v>
      </c>
      <c r="H990" s="25" t="n">
        <v>50581495</v>
      </c>
      <c r="I990" t="inlineStr">
        <is>
          <t>entidad-dia</t>
        </is>
      </c>
    </row>
    <row r="991">
      <c r="A991" t="inlineStr">
        <is>
          <t>PRAGMA</t>
        </is>
      </c>
      <c r="B991" t="inlineStr">
        <is>
          <t>M1</t>
        </is>
      </c>
      <c r="C991" t="inlineStr">
        <is>
          <t>Cali</t>
        </is>
      </c>
      <c r="D991" t="inlineStr">
        <is>
          <t>2143</t>
        </is>
      </c>
      <c r="E991" t="inlineStr">
        <is>
          <t>pagado</t>
        </is>
      </c>
      <c r="F991" s="23" t="n">
        <v>46279</v>
      </c>
      <c r="G991" s="24">
        <f>F991-DATE(2026,8,31)</f>
        <v>14</v>
      </c>
      <c r="H991" s="25" t="n">
        <v>66129808</v>
      </c>
      <c r="I991" t="inlineStr">
        <is>
          <t>entidad-dia</t>
        </is>
      </c>
    </row>
    <row r="992">
      <c r="A992" t="inlineStr">
        <is>
          <t>PRAGMA</t>
        </is>
      </c>
      <c r="B992" t="inlineStr">
        <is>
          <t>M1</t>
        </is>
      </c>
      <c r="C992" t="inlineStr">
        <is>
          <t>Cali</t>
        </is>
      </c>
      <c r="D992" t="inlineStr">
        <is>
          <t>2143</t>
        </is>
      </c>
      <c r="E992" t="inlineStr">
        <is>
          <t>pagado</t>
        </is>
      </c>
      <c r="F992" s="23" t="n">
        <v>46280</v>
      </c>
      <c r="G992" s="24">
        <f>F992-DATE(2026,8,31)</f>
        <v>15</v>
      </c>
      <c r="H992" s="25" t="n">
        <v>116338514</v>
      </c>
      <c r="I992" t="inlineStr">
        <is>
          <t>entidad-dia</t>
        </is>
      </c>
    </row>
    <row r="993">
      <c r="A993" t="inlineStr">
        <is>
          <t>PRAGMA</t>
        </is>
      </c>
      <c r="B993" t="inlineStr">
        <is>
          <t>M1</t>
        </is>
      </c>
      <c r="C993" t="inlineStr">
        <is>
          <t>Cali</t>
        </is>
      </c>
      <c r="D993" t="inlineStr">
        <is>
          <t>2147</t>
        </is>
      </c>
      <c r="E993" t="inlineStr">
        <is>
          <t>pagado</t>
        </is>
      </c>
      <c r="F993" s="23" t="n">
        <v>46266</v>
      </c>
      <c r="G993" s="24">
        <f>F993-DATE(2026,8,31)</f>
        <v>1</v>
      </c>
      <c r="H993" s="25" t="n">
        <v>108375087</v>
      </c>
      <c r="I993" t="inlineStr">
        <is>
          <t>entidad-dia</t>
        </is>
      </c>
    </row>
    <row r="994">
      <c r="A994" t="inlineStr">
        <is>
          <t>PRAGMA</t>
        </is>
      </c>
      <c r="B994" t="inlineStr">
        <is>
          <t>M1</t>
        </is>
      </c>
      <c r="C994" t="inlineStr">
        <is>
          <t>Cali</t>
        </is>
      </c>
      <c r="D994" t="inlineStr">
        <is>
          <t>2147</t>
        </is>
      </c>
      <c r="E994" t="inlineStr">
        <is>
          <t>pagado</t>
        </is>
      </c>
      <c r="F994" s="23" t="n">
        <v>46267</v>
      </c>
      <c r="G994" s="24">
        <f>F994-DATE(2026,8,31)</f>
        <v>2</v>
      </c>
      <c r="H994" s="25" t="n">
        <v>77764363</v>
      </c>
      <c r="I994" t="inlineStr">
        <is>
          <t>entidad-dia</t>
        </is>
      </c>
    </row>
    <row r="995">
      <c r="A995" t="inlineStr">
        <is>
          <t>PRAGMA</t>
        </is>
      </c>
      <c r="B995" t="inlineStr">
        <is>
          <t>M1</t>
        </is>
      </c>
      <c r="C995" t="inlineStr">
        <is>
          <t>Cali</t>
        </is>
      </c>
      <c r="D995" t="inlineStr">
        <is>
          <t>2147</t>
        </is>
      </c>
      <c r="E995" t="inlineStr">
        <is>
          <t>pagado</t>
        </is>
      </c>
      <c r="F995" s="23" t="n">
        <v>46268</v>
      </c>
      <c r="G995" s="24">
        <f>F995-DATE(2026,8,31)</f>
        <v>3</v>
      </c>
      <c r="H995" s="25" t="n">
        <v>69225828</v>
      </c>
      <c r="I995" t="inlineStr">
        <is>
          <t>entidad-dia</t>
        </is>
      </c>
    </row>
    <row r="996">
      <c r="A996" t="inlineStr">
        <is>
          <t>PRAGMA</t>
        </is>
      </c>
      <c r="B996" t="inlineStr">
        <is>
          <t>M1</t>
        </is>
      </c>
      <c r="C996" t="inlineStr">
        <is>
          <t>Cali</t>
        </is>
      </c>
      <c r="D996" t="inlineStr">
        <is>
          <t>2147</t>
        </is>
      </c>
      <c r="E996" t="inlineStr">
        <is>
          <t>pagado</t>
        </is>
      </c>
      <c r="F996" s="23" t="n">
        <v>46269</v>
      </c>
      <c r="G996" s="24">
        <f>F996-DATE(2026,8,31)</f>
        <v>4</v>
      </c>
      <c r="H996" s="25" t="n">
        <v>64104713</v>
      </c>
      <c r="I996" t="inlineStr">
        <is>
          <t>entidad-dia</t>
        </is>
      </c>
    </row>
    <row r="997">
      <c r="A997" t="inlineStr">
        <is>
          <t>PRAGMA</t>
        </is>
      </c>
      <c r="B997" t="inlineStr">
        <is>
          <t>M1</t>
        </is>
      </c>
      <c r="C997" t="inlineStr">
        <is>
          <t>Cali</t>
        </is>
      </c>
      <c r="D997" t="inlineStr">
        <is>
          <t>2147</t>
        </is>
      </c>
      <c r="E997" t="inlineStr">
        <is>
          <t>pagado</t>
        </is>
      </c>
      <c r="F997" s="23" t="n">
        <v>46270</v>
      </c>
      <c r="G997" s="24">
        <f>F997-DATE(2026,8,31)</f>
        <v>5</v>
      </c>
      <c r="H997" s="25" t="n">
        <v>75707521</v>
      </c>
      <c r="I997" t="inlineStr">
        <is>
          <t>entidad-dia</t>
        </is>
      </c>
    </row>
    <row r="998">
      <c r="A998" t="inlineStr">
        <is>
          <t>PRAGMA</t>
        </is>
      </c>
      <c r="B998" t="inlineStr">
        <is>
          <t>M1</t>
        </is>
      </c>
      <c r="C998" t="inlineStr">
        <is>
          <t>Cali</t>
        </is>
      </c>
      <c r="D998" t="inlineStr">
        <is>
          <t>2147</t>
        </is>
      </c>
      <c r="E998" t="inlineStr">
        <is>
          <t>pagado</t>
        </is>
      </c>
      <c r="F998" s="23" t="n">
        <v>46271</v>
      </c>
      <c r="G998" s="24">
        <f>F998-DATE(2026,8,31)</f>
        <v>6</v>
      </c>
      <c r="H998" s="25" t="n">
        <v>56391448</v>
      </c>
      <c r="I998" t="inlineStr">
        <is>
          <t>entidad-dia</t>
        </is>
      </c>
    </row>
    <row r="999">
      <c r="A999" t="inlineStr">
        <is>
          <t>PRAGMA</t>
        </is>
      </c>
      <c r="B999" t="inlineStr">
        <is>
          <t>M1</t>
        </is>
      </c>
      <c r="C999" t="inlineStr">
        <is>
          <t>Cali</t>
        </is>
      </c>
      <c r="D999" t="inlineStr">
        <is>
          <t>2147</t>
        </is>
      </c>
      <c r="E999" t="inlineStr">
        <is>
          <t>pagado</t>
        </is>
      </c>
      <c r="F999" s="23" t="n">
        <v>46272</v>
      </c>
      <c r="G999" s="24">
        <f>F999-DATE(2026,8,31)</f>
        <v>7</v>
      </c>
      <c r="H999" s="25" t="n">
        <v>52973336</v>
      </c>
      <c r="I999" t="inlineStr">
        <is>
          <t>entidad-dia</t>
        </is>
      </c>
    </row>
    <row r="1000">
      <c r="A1000" t="inlineStr">
        <is>
          <t>PRAGMA</t>
        </is>
      </c>
      <c r="B1000" t="inlineStr">
        <is>
          <t>M1</t>
        </is>
      </c>
      <c r="C1000" t="inlineStr">
        <is>
          <t>Cali</t>
        </is>
      </c>
      <c r="D1000" t="inlineStr">
        <is>
          <t>2147</t>
        </is>
      </c>
      <c r="E1000" t="inlineStr">
        <is>
          <t>pagado</t>
        </is>
      </c>
      <c r="F1000" s="23" t="n">
        <v>46273</v>
      </c>
      <c r="G1000" s="24">
        <f>F1000-DATE(2026,8,31)</f>
        <v>8</v>
      </c>
      <c r="H1000" s="25" t="n">
        <v>49785776</v>
      </c>
      <c r="I1000" t="inlineStr">
        <is>
          <t>entidad-dia</t>
        </is>
      </c>
    </row>
    <row r="1001">
      <c r="A1001" t="inlineStr">
        <is>
          <t>PRAGMA</t>
        </is>
      </c>
      <c r="B1001" t="inlineStr">
        <is>
          <t>M1</t>
        </is>
      </c>
      <c r="C1001" t="inlineStr">
        <is>
          <t>Cali</t>
        </is>
      </c>
      <c r="D1001" t="inlineStr">
        <is>
          <t>2147</t>
        </is>
      </c>
      <c r="E1001" t="inlineStr">
        <is>
          <t>pagado</t>
        </is>
      </c>
      <c r="F1001" s="23" t="n">
        <v>46274</v>
      </c>
      <c r="G1001" s="24">
        <f>F1001-DATE(2026,8,31)</f>
        <v>9</v>
      </c>
      <c r="H1001" s="25" t="n">
        <v>54889720</v>
      </c>
      <c r="I1001" t="inlineStr">
        <is>
          <t>entidad-dia</t>
        </is>
      </c>
    </row>
    <row r="1002">
      <c r="A1002" t="inlineStr">
        <is>
          <t>PRAGMA</t>
        </is>
      </c>
      <c r="B1002" t="inlineStr">
        <is>
          <t>M1</t>
        </is>
      </c>
      <c r="C1002" t="inlineStr">
        <is>
          <t>Cali</t>
        </is>
      </c>
      <c r="D1002" t="inlineStr">
        <is>
          <t>2147</t>
        </is>
      </c>
      <c r="E1002" t="inlineStr">
        <is>
          <t>pagado</t>
        </is>
      </c>
      <c r="F1002" s="23" t="n">
        <v>46275</v>
      </c>
      <c r="G1002" s="24">
        <f>F1002-DATE(2026,8,31)</f>
        <v>10</v>
      </c>
      <c r="H1002" s="25" t="n">
        <v>49506868</v>
      </c>
      <c r="I1002" t="inlineStr">
        <is>
          <t>entidad-dia</t>
        </is>
      </c>
    </row>
    <row r="1003">
      <c r="A1003" t="inlineStr">
        <is>
          <t>PRAGMA</t>
        </is>
      </c>
      <c r="B1003" t="inlineStr">
        <is>
          <t>M1</t>
        </is>
      </c>
      <c r="C1003" t="inlineStr">
        <is>
          <t>Cali</t>
        </is>
      </c>
      <c r="D1003" t="inlineStr">
        <is>
          <t>2147</t>
        </is>
      </c>
      <c r="E1003" t="inlineStr">
        <is>
          <t>pagado</t>
        </is>
      </c>
      <c r="F1003" s="23" t="n">
        <v>46276</v>
      </c>
      <c r="G1003" s="24">
        <f>F1003-DATE(2026,8,31)</f>
        <v>11</v>
      </c>
      <c r="H1003" s="25" t="n">
        <v>46484881</v>
      </c>
      <c r="I1003" t="inlineStr">
        <is>
          <t>entidad-dia</t>
        </is>
      </c>
    </row>
    <row r="1004">
      <c r="A1004" t="inlineStr">
        <is>
          <t>PRAGMA</t>
        </is>
      </c>
      <c r="B1004" t="inlineStr">
        <is>
          <t>M1</t>
        </is>
      </c>
      <c r="C1004" t="inlineStr">
        <is>
          <t>Cali</t>
        </is>
      </c>
      <c r="D1004" t="inlineStr">
        <is>
          <t>2147</t>
        </is>
      </c>
      <c r="E1004" t="inlineStr">
        <is>
          <t>pagado</t>
        </is>
      </c>
      <c r="F1004" s="23" t="n">
        <v>46277</v>
      </c>
      <c r="G1004" s="24">
        <f>F1004-DATE(2026,8,31)</f>
        <v>12</v>
      </c>
      <c r="H1004" s="25" t="n">
        <v>55358714</v>
      </c>
      <c r="I1004" t="inlineStr">
        <is>
          <t>entidad-dia</t>
        </is>
      </c>
    </row>
    <row r="1005">
      <c r="A1005" t="inlineStr">
        <is>
          <t>PRAGMA</t>
        </is>
      </c>
      <c r="B1005" t="inlineStr">
        <is>
          <t>M1</t>
        </is>
      </c>
      <c r="C1005" t="inlineStr">
        <is>
          <t>Cali</t>
        </is>
      </c>
      <c r="D1005" t="inlineStr">
        <is>
          <t>2147</t>
        </is>
      </c>
      <c r="E1005" t="inlineStr">
        <is>
          <t>pagado</t>
        </is>
      </c>
      <c r="F1005" s="23" t="n">
        <v>46278</v>
      </c>
      <c r="G1005" s="24">
        <f>F1005-DATE(2026,8,31)</f>
        <v>13</v>
      </c>
      <c r="H1005" s="25" t="n">
        <v>43981815</v>
      </c>
      <c r="I1005" t="inlineStr">
        <is>
          <t>entidad-dia</t>
        </is>
      </c>
    </row>
    <row r="1006">
      <c r="A1006" t="inlineStr">
        <is>
          <t>PRAGMA</t>
        </is>
      </c>
      <c r="B1006" t="inlineStr">
        <is>
          <t>M1</t>
        </is>
      </c>
      <c r="C1006" t="inlineStr">
        <is>
          <t>Cali</t>
        </is>
      </c>
      <c r="D1006" t="inlineStr">
        <is>
          <t>2147</t>
        </is>
      </c>
      <c r="E1006" t="inlineStr">
        <is>
          <t>pagado</t>
        </is>
      </c>
      <c r="F1006" s="23" t="n">
        <v>46279</v>
      </c>
      <c r="G1006" s="24">
        <f>F1006-DATE(2026,8,31)</f>
        <v>14</v>
      </c>
      <c r="H1006" s="25" t="n">
        <v>46828443</v>
      </c>
      <c r="I1006" t="inlineStr">
        <is>
          <t>entidad-dia</t>
        </is>
      </c>
    </row>
    <row r="1007">
      <c r="A1007" t="inlineStr">
        <is>
          <t>PRAGMA</t>
        </is>
      </c>
      <c r="B1007" t="inlineStr">
        <is>
          <t>M1</t>
        </is>
      </c>
      <c r="C1007" t="inlineStr">
        <is>
          <t>Cali</t>
        </is>
      </c>
      <c r="D1007" t="inlineStr">
        <is>
          <t>2147</t>
        </is>
      </c>
      <c r="E1007" t="inlineStr">
        <is>
          <t>pagado</t>
        </is>
      </c>
      <c r="F1007" s="23" t="n">
        <v>46280</v>
      </c>
      <c r="G1007" s="24">
        <f>F1007-DATE(2026,8,31)</f>
        <v>15</v>
      </c>
      <c r="H1007" s="25" t="n">
        <v>69983168</v>
      </c>
      <c r="I1007" t="inlineStr">
        <is>
          <t>entidad-dia</t>
        </is>
      </c>
    </row>
    <row r="1008">
      <c r="A1008" t="inlineStr">
        <is>
          <t>PRAGMA</t>
        </is>
      </c>
      <c r="B1008" t="inlineStr">
        <is>
          <t>M1</t>
        </is>
      </c>
      <c r="C1008" t="inlineStr">
        <is>
          <t>Cali</t>
        </is>
      </c>
      <c r="D1008" t="inlineStr">
        <is>
          <t>2148</t>
        </is>
      </c>
      <c r="E1008" t="inlineStr">
        <is>
          <t>pagado</t>
        </is>
      </c>
      <c r="F1008" s="23" t="n">
        <v>46266</v>
      </c>
      <c r="G1008" s="24">
        <f>F1008-DATE(2026,8,31)</f>
        <v>1</v>
      </c>
      <c r="H1008" s="25" t="n">
        <v>109144145</v>
      </c>
      <c r="I1008" t="inlineStr">
        <is>
          <t>entidad-dia</t>
        </is>
      </c>
    </row>
    <row r="1009">
      <c r="A1009" t="inlineStr">
        <is>
          <t>PRAGMA</t>
        </is>
      </c>
      <c r="B1009" t="inlineStr">
        <is>
          <t>M1</t>
        </is>
      </c>
      <c r="C1009" t="inlineStr">
        <is>
          <t>Cali</t>
        </is>
      </c>
      <c r="D1009" t="inlineStr">
        <is>
          <t>2148</t>
        </is>
      </c>
      <c r="E1009" t="inlineStr">
        <is>
          <t>pagado</t>
        </is>
      </c>
      <c r="F1009" s="23" t="n">
        <v>46267</v>
      </c>
      <c r="G1009" s="24">
        <f>F1009-DATE(2026,8,31)</f>
        <v>2</v>
      </c>
      <c r="H1009" s="25" t="n">
        <v>82534286</v>
      </c>
      <c r="I1009" t="inlineStr">
        <is>
          <t>entidad-dia</t>
        </is>
      </c>
    </row>
    <row r="1010">
      <c r="A1010" t="inlineStr">
        <is>
          <t>PRAGMA</t>
        </is>
      </c>
      <c r="B1010" t="inlineStr">
        <is>
          <t>M1</t>
        </is>
      </c>
      <c r="C1010" t="inlineStr">
        <is>
          <t>Cali</t>
        </is>
      </c>
      <c r="D1010" t="inlineStr">
        <is>
          <t>2148</t>
        </is>
      </c>
      <c r="E1010" t="inlineStr">
        <is>
          <t>pagado</t>
        </is>
      </c>
      <c r="F1010" s="23" t="n">
        <v>46268</v>
      </c>
      <c r="G1010" s="24">
        <f>F1010-DATE(2026,8,31)</f>
        <v>3</v>
      </c>
      <c r="H1010" s="25" t="n">
        <v>69337954</v>
      </c>
      <c r="I1010" t="inlineStr">
        <is>
          <t>entidad-dia</t>
        </is>
      </c>
    </row>
    <row r="1011">
      <c r="A1011" t="inlineStr">
        <is>
          <t>PRAGMA</t>
        </is>
      </c>
      <c r="B1011" t="inlineStr">
        <is>
          <t>M1</t>
        </is>
      </c>
      <c r="C1011" t="inlineStr">
        <is>
          <t>Cali</t>
        </is>
      </c>
      <c r="D1011" t="inlineStr">
        <is>
          <t>2148</t>
        </is>
      </c>
      <c r="E1011" t="inlineStr">
        <is>
          <t>pagado</t>
        </is>
      </c>
      <c r="F1011" s="23" t="n">
        <v>46269</v>
      </c>
      <c r="G1011" s="24">
        <f>F1011-DATE(2026,8,31)</f>
        <v>4</v>
      </c>
      <c r="H1011" s="25" t="n">
        <v>72466261</v>
      </c>
      <c r="I1011" t="inlineStr">
        <is>
          <t>entidad-dia</t>
        </is>
      </c>
    </row>
    <row r="1012">
      <c r="A1012" t="inlineStr">
        <is>
          <t>PRAGMA</t>
        </is>
      </c>
      <c r="B1012" t="inlineStr">
        <is>
          <t>M1</t>
        </is>
      </c>
      <c r="C1012" t="inlineStr">
        <is>
          <t>Cali</t>
        </is>
      </c>
      <c r="D1012" t="inlineStr">
        <is>
          <t>2148</t>
        </is>
      </c>
      <c r="E1012" t="inlineStr">
        <is>
          <t>pagado</t>
        </is>
      </c>
      <c r="F1012" s="23" t="n">
        <v>46270</v>
      </c>
      <c r="G1012" s="24">
        <f>F1012-DATE(2026,8,31)</f>
        <v>5</v>
      </c>
      <c r="H1012" s="25" t="n">
        <v>79458109</v>
      </c>
      <c r="I1012" t="inlineStr">
        <is>
          <t>entidad-dia</t>
        </is>
      </c>
    </row>
    <row r="1013">
      <c r="A1013" t="inlineStr">
        <is>
          <t>PRAGMA</t>
        </is>
      </c>
      <c r="B1013" t="inlineStr">
        <is>
          <t>M1</t>
        </is>
      </c>
      <c r="C1013" t="inlineStr">
        <is>
          <t>Cali</t>
        </is>
      </c>
      <c r="D1013" t="inlineStr">
        <is>
          <t>2148</t>
        </is>
      </c>
      <c r="E1013" t="inlineStr">
        <is>
          <t>pagado</t>
        </is>
      </c>
      <c r="F1013" s="23" t="n">
        <v>46271</v>
      </c>
      <c r="G1013" s="24">
        <f>F1013-DATE(2026,8,31)</f>
        <v>6</v>
      </c>
      <c r="H1013" s="25" t="n">
        <v>58839883</v>
      </c>
      <c r="I1013" t="inlineStr">
        <is>
          <t>entidad-dia</t>
        </is>
      </c>
    </row>
    <row r="1014">
      <c r="A1014" t="inlineStr">
        <is>
          <t>PRAGMA</t>
        </is>
      </c>
      <c r="B1014" t="inlineStr">
        <is>
          <t>M1</t>
        </is>
      </c>
      <c r="C1014" t="inlineStr">
        <is>
          <t>Cali</t>
        </is>
      </c>
      <c r="D1014" t="inlineStr">
        <is>
          <t>2148</t>
        </is>
      </c>
      <c r="E1014" t="inlineStr">
        <is>
          <t>pagado</t>
        </is>
      </c>
      <c r="F1014" s="23" t="n">
        <v>46272</v>
      </c>
      <c r="G1014" s="24">
        <f>F1014-DATE(2026,8,31)</f>
        <v>7</v>
      </c>
      <c r="H1014" s="25" t="n">
        <v>57467322</v>
      </c>
      <c r="I1014" t="inlineStr">
        <is>
          <t>entidad-dia</t>
        </is>
      </c>
    </row>
    <row r="1015">
      <c r="A1015" t="inlineStr">
        <is>
          <t>PRAGMA</t>
        </is>
      </c>
      <c r="B1015" t="inlineStr">
        <is>
          <t>M1</t>
        </is>
      </c>
      <c r="C1015" t="inlineStr">
        <is>
          <t>Cali</t>
        </is>
      </c>
      <c r="D1015" t="inlineStr">
        <is>
          <t>2148</t>
        </is>
      </c>
      <c r="E1015" t="inlineStr">
        <is>
          <t>pagado</t>
        </is>
      </c>
      <c r="F1015" s="23" t="n">
        <v>46273</v>
      </c>
      <c r="G1015" s="24">
        <f>F1015-DATE(2026,8,31)</f>
        <v>8</v>
      </c>
      <c r="H1015" s="25" t="n">
        <v>52548114</v>
      </c>
      <c r="I1015" t="inlineStr">
        <is>
          <t>entidad-dia</t>
        </is>
      </c>
    </row>
    <row r="1016">
      <c r="A1016" t="inlineStr">
        <is>
          <t>PRAGMA</t>
        </is>
      </c>
      <c r="B1016" t="inlineStr">
        <is>
          <t>M1</t>
        </is>
      </c>
      <c r="C1016" t="inlineStr">
        <is>
          <t>Cali</t>
        </is>
      </c>
      <c r="D1016" t="inlineStr">
        <is>
          <t>2148</t>
        </is>
      </c>
      <c r="E1016" t="inlineStr">
        <is>
          <t>pagado</t>
        </is>
      </c>
      <c r="F1016" s="23" t="n">
        <v>46274</v>
      </c>
      <c r="G1016" s="24">
        <f>F1016-DATE(2026,8,31)</f>
        <v>9</v>
      </c>
      <c r="H1016" s="25" t="n">
        <v>52181576</v>
      </c>
      <c r="I1016" t="inlineStr">
        <is>
          <t>entidad-dia</t>
        </is>
      </c>
    </row>
    <row r="1017">
      <c r="A1017" t="inlineStr">
        <is>
          <t>PRAGMA</t>
        </is>
      </c>
      <c r="B1017" t="inlineStr">
        <is>
          <t>M1</t>
        </is>
      </c>
      <c r="C1017" t="inlineStr">
        <is>
          <t>Cali</t>
        </is>
      </c>
      <c r="D1017" t="inlineStr">
        <is>
          <t>2148</t>
        </is>
      </c>
      <c r="E1017" t="inlineStr">
        <is>
          <t>pagado</t>
        </is>
      </c>
      <c r="F1017" s="23" t="n">
        <v>46275</v>
      </c>
      <c r="G1017" s="24">
        <f>F1017-DATE(2026,8,31)</f>
        <v>10</v>
      </c>
      <c r="H1017" s="25" t="n">
        <v>46858531</v>
      </c>
      <c r="I1017" t="inlineStr">
        <is>
          <t>entidad-dia</t>
        </is>
      </c>
    </row>
    <row r="1018">
      <c r="A1018" t="inlineStr">
        <is>
          <t>PRAGMA</t>
        </is>
      </c>
      <c r="B1018" t="inlineStr">
        <is>
          <t>M1</t>
        </is>
      </c>
      <c r="C1018" t="inlineStr">
        <is>
          <t>Cali</t>
        </is>
      </c>
      <c r="D1018" t="inlineStr">
        <is>
          <t>2148</t>
        </is>
      </c>
      <c r="E1018" t="inlineStr">
        <is>
          <t>pagado</t>
        </is>
      </c>
      <c r="F1018" s="23" t="n">
        <v>46276</v>
      </c>
      <c r="G1018" s="24">
        <f>F1018-DATE(2026,8,31)</f>
        <v>11</v>
      </c>
      <c r="H1018" s="25" t="n">
        <v>50400310</v>
      </c>
      <c r="I1018" t="inlineStr">
        <is>
          <t>entidad-dia</t>
        </is>
      </c>
    </row>
    <row r="1019">
      <c r="A1019" t="inlineStr">
        <is>
          <t>PRAGMA</t>
        </is>
      </c>
      <c r="B1019" t="inlineStr">
        <is>
          <t>M1</t>
        </is>
      </c>
      <c r="C1019" t="inlineStr">
        <is>
          <t>Cali</t>
        </is>
      </c>
      <c r="D1019" t="inlineStr">
        <is>
          <t>2148</t>
        </is>
      </c>
      <c r="E1019" t="inlineStr">
        <is>
          <t>pagado</t>
        </is>
      </c>
      <c r="F1019" s="23" t="n">
        <v>46277</v>
      </c>
      <c r="G1019" s="24">
        <f>F1019-DATE(2026,8,31)</f>
        <v>12</v>
      </c>
      <c r="H1019" s="25" t="n">
        <v>54851344</v>
      </c>
      <c r="I1019" t="inlineStr">
        <is>
          <t>entidad-dia</t>
        </is>
      </c>
    </row>
    <row r="1020">
      <c r="A1020" t="inlineStr">
        <is>
          <t>PRAGMA</t>
        </is>
      </c>
      <c r="B1020" t="inlineStr">
        <is>
          <t>M1</t>
        </is>
      </c>
      <c r="C1020" t="inlineStr">
        <is>
          <t>Cali</t>
        </is>
      </c>
      <c r="D1020" t="inlineStr">
        <is>
          <t>2148</t>
        </is>
      </c>
      <c r="E1020" t="inlineStr">
        <is>
          <t>pagado</t>
        </is>
      </c>
      <c r="F1020" s="23" t="n">
        <v>46278</v>
      </c>
      <c r="G1020" s="24">
        <f>F1020-DATE(2026,8,31)</f>
        <v>13</v>
      </c>
      <c r="H1020" s="25" t="n">
        <v>39423788</v>
      </c>
      <c r="I1020" t="inlineStr">
        <is>
          <t>entidad-dia</t>
        </is>
      </c>
    </row>
    <row r="1021">
      <c r="A1021" t="inlineStr">
        <is>
          <t>PRAGMA</t>
        </is>
      </c>
      <c r="B1021" t="inlineStr">
        <is>
          <t>M1</t>
        </is>
      </c>
      <c r="C1021" t="inlineStr">
        <is>
          <t>Cali</t>
        </is>
      </c>
      <c r="D1021" t="inlineStr">
        <is>
          <t>2148</t>
        </is>
      </c>
      <c r="E1021" t="inlineStr">
        <is>
          <t>pagado</t>
        </is>
      </c>
      <c r="F1021" s="23" t="n">
        <v>46279</v>
      </c>
      <c r="G1021" s="24">
        <f>F1021-DATE(2026,8,31)</f>
        <v>14</v>
      </c>
      <c r="H1021" s="25" t="n">
        <v>53478669</v>
      </c>
      <c r="I1021" t="inlineStr">
        <is>
          <t>entidad-dia</t>
        </is>
      </c>
    </row>
    <row r="1022">
      <c r="A1022" t="inlineStr">
        <is>
          <t>PRAGMA</t>
        </is>
      </c>
      <c r="B1022" t="inlineStr">
        <is>
          <t>M1</t>
        </is>
      </c>
      <c r="C1022" t="inlineStr">
        <is>
          <t>Cali</t>
        </is>
      </c>
      <c r="D1022" t="inlineStr">
        <is>
          <t>2148</t>
        </is>
      </c>
      <c r="E1022" t="inlineStr">
        <is>
          <t>pagado</t>
        </is>
      </c>
      <c r="F1022" s="23" t="n">
        <v>46280</v>
      </c>
      <c r="G1022" s="24">
        <f>F1022-DATE(2026,8,31)</f>
        <v>15</v>
      </c>
      <c r="H1022" s="25" t="n">
        <v>82519941</v>
      </c>
      <c r="I1022" t="inlineStr">
        <is>
          <t>entidad-dia</t>
        </is>
      </c>
    </row>
    <row r="1023">
      <c r="A1023" t="inlineStr">
        <is>
          <t>PRAGMA</t>
        </is>
      </c>
      <c r="B1023" t="inlineStr">
        <is>
          <t>M1</t>
        </is>
      </c>
      <c r="C1023" t="inlineStr">
        <is>
          <t>Pasto</t>
        </is>
      </c>
      <c r="D1023" t="inlineStr">
        <is>
          <t>2149</t>
        </is>
      </c>
      <c r="E1023" t="inlineStr">
        <is>
          <t>pagado</t>
        </is>
      </c>
      <c r="F1023" s="23" t="n">
        <v>46266</v>
      </c>
      <c r="G1023" s="24">
        <f>F1023-DATE(2026,8,31)</f>
        <v>1</v>
      </c>
      <c r="H1023" s="25" t="n">
        <v>220585991</v>
      </c>
      <c r="I1023" t="inlineStr">
        <is>
          <t>entidad-dia</t>
        </is>
      </c>
    </row>
    <row r="1024">
      <c r="A1024" t="inlineStr">
        <is>
          <t>PRAGMA</t>
        </is>
      </c>
      <c r="B1024" t="inlineStr">
        <is>
          <t>M1</t>
        </is>
      </c>
      <c r="C1024" t="inlineStr">
        <is>
          <t>Pasto</t>
        </is>
      </c>
      <c r="D1024" t="inlineStr">
        <is>
          <t>2149</t>
        </is>
      </c>
      <c r="E1024" t="inlineStr">
        <is>
          <t>pagado</t>
        </is>
      </c>
      <c r="F1024" s="23" t="n">
        <v>46267</v>
      </c>
      <c r="G1024" s="24">
        <f>F1024-DATE(2026,8,31)</f>
        <v>2</v>
      </c>
      <c r="H1024" s="25" t="n">
        <v>188145913</v>
      </c>
      <c r="I1024" t="inlineStr">
        <is>
          <t>entidad-dia</t>
        </is>
      </c>
    </row>
    <row r="1025">
      <c r="A1025" t="inlineStr">
        <is>
          <t>PRAGMA</t>
        </is>
      </c>
      <c r="B1025" t="inlineStr">
        <is>
          <t>M1</t>
        </is>
      </c>
      <c r="C1025" t="inlineStr">
        <is>
          <t>Pasto</t>
        </is>
      </c>
      <c r="D1025" t="inlineStr">
        <is>
          <t>2149</t>
        </is>
      </c>
      <c r="E1025" t="inlineStr">
        <is>
          <t>pagado</t>
        </is>
      </c>
      <c r="F1025" s="23" t="n">
        <v>46268</v>
      </c>
      <c r="G1025" s="24">
        <f>F1025-DATE(2026,8,31)</f>
        <v>3</v>
      </c>
      <c r="H1025" s="25" t="n">
        <v>178438286</v>
      </c>
      <c r="I1025" t="inlineStr">
        <is>
          <t>entidad-dia</t>
        </is>
      </c>
    </row>
    <row r="1026">
      <c r="A1026" t="inlineStr">
        <is>
          <t>PRAGMA</t>
        </is>
      </c>
      <c r="B1026" t="inlineStr">
        <is>
          <t>M1</t>
        </is>
      </c>
      <c r="C1026" t="inlineStr">
        <is>
          <t>Pasto</t>
        </is>
      </c>
      <c r="D1026" t="inlineStr">
        <is>
          <t>2149</t>
        </is>
      </c>
      <c r="E1026" t="inlineStr">
        <is>
          <t>pagado</t>
        </is>
      </c>
      <c r="F1026" s="23" t="n">
        <v>46269</v>
      </c>
      <c r="G1026" s="24">
        <f>F1026-DATE(2026,8,31)</f>
        <v>4</v>
      </c>
      <c r="H1026" s="25" t="n">
        <v>178267395</v>
      </c>
      <c r="I1026" t="inlineStr">
        <is>
          <t>entidad-dia</t>
        </is>
      </c>
    </row>
    <row r="1027">
      <c r="A1027" t="inlineStr">
        <is>
          <t>PRAGMA</t>
        </is>
      </c>
      <c r="B1027" t="inlineStr">
        <is>
          <t>M1</t>
        </is>
      </c>
      <c r="C1027" t="inlineStr">
        <is>
          <t>Pasto</t>
        </is>
      </c>
      <c r="D1027" t="inlineStr">
        <is>
          <t>2149</t>
        </is>
      </c>
      <c r="E1027" t="inlineStr">
        <is>
          <t>pagado</t>
        </is>
      </c>
      <c r="F1027" s="23" t="n">
        <v>46270</v>
      </c>
      <c r="G1027" s="24">
        <f>F1027-DATE(2026,8,31)</f>
        <v>5</v>
      </c>
      <c r="H1027" s="25" t="n">
        <v>175333426</v>
      </c>
      <c r="I1027" t="inlineStr">
        <is>
          <t>entidad-dia</t>
        </is>
      </c>
    </row>
    <row r="1028">
      <c r="A1028" t="inlineStr">
        <is>
          <t>PRAGMA</t>
        </is>
      </c>
      <c r="B1028" t="inlineStr">
        <is>
          <t>M1</t>
        </is>
      </c>
      <c r="C1028" t="inlineStr">
        <is>
          <t>Pasto</t>
        </is>
      </c>
      <c r="D1028" t="inlineStr">
        <is>
          <t>2149</t>
        </is>
      </c>
      <c r="E1028" t="inlineStr">
        <is>
          <t>pagado</t>
        </is>
      </c>
      <c r="F1028" s="23" t="n">
        <v>46271</v>
      </c>
      <c r="G1028" s="24">
        <f>F1028-DATE(2026,8,31)</f>
        <v>6</v>
      </c>
      <c r="H1028" s="25" t="n">
        <v>114133370</v>
      </c>
      <c r="I1028" t="inlineStr">
        <is>
          <t>entidad-dia</t>
        </is>
      </c>
    </row>
    <row r="1029">
      <c r="A1029" t="inlineStr">
        <is>
          <t>PRAGMA</t>
        </is>
      </c>
      <c r="B1029" t="inlineStr">
        <is>
          <t>M1</t>
        </is>
      </c>
      <c r="C1029" t="inlineStr">
        <is>
          <t>Pasto</t>
        </is>
      </c>
      <c r="D1029" t="inlineStr">
        <is>
          <t>2149</t>
        </is>
      </c>
      <c r="E1029" t="inlineStr">
        <is>
          <t>pagado</t>
        </is>
      </c>
      <c r="F1029" s="23" t="n">
        <v>46272</v>
      </c>
      <c r="G1029" s="24">
        <f>F1029-DATE(2026,8,31)</f>
        <v>7</v>
      </c>
      <c r="H1029" s="25" t="n">
        <v>153886515</v>
      </c>
      <c r="I1029" t="inlineStr">
        <is>
          <t>entidad-dia</t>
        </is>
      </c>
    </row>
    <row r="1030">
      <c r="A1030" t="inlineStr">
        <is>
          <t>PRAGMA</t>
        </is>
      </c>
      <c r="B1030" t="inlineStr">
        <is>
          <t>M1</t>
        </is>
      </c>
      <c r="C1030" t="inlineStr">
        <is>
          <t>Pasto</t>
        </is>
      </c>
      <c r="D1030" t="inlineStr">
        <is>
          <t>2149</t>
        </is>
      </c>
      <c r="E1030" t="inlineStr">
        <is>
          <t>pagado</t>
        </is>
      </c>
      <c r="F1030" s="23" t="n">
        <v>46273</v>
      </c>
      <c r="G1030" s="24">
        <f>F1030-DATE(2026,8,31)</f>
        <v>8</v>
      </c>
      <c r="H1030" s="25" t="n">
        <v>145249065</v>
      </c>
      <c r="I1030" t="inlineStr">
        <is>
          <t>entidad-dia</t>
        </is>
      </c>
    </row>
    <row r="1031">
      <c r="A1031" t="inlineStr">
        <is>
          <t>PRAGMA</t>
        </is>
      </c>
      <c r="B1031" t="inlineStr">
        <is>
          <t>M1</t>
        </is>
      </c>
      <c r="C1031" t="inlineStr">
        <is>
          <t>Pasto</t>
        </is>
      </c>
      <c r="D1031" t="inlineStr">
        <is>
          <t>2149</t>
        </is>
      </c>
      <c r="E1031" t="inlineStr">
        <is>
          <t>pagado</t>
        </is>
      </c>
      <c r="F1031" s="23" t="n">
        <v>46274</v>
      </c>
      <c r="G1031" s="24">
        <f>F1031-DATE(2026,8,31)</f>
        <v>9</v>
      </c>
      <c r="H1031" s="25" t="n">
        <v>139660841</v>
      </c>
      <c r="I1031" t="inlineStr">
        <is>
          <t>entidad-dia</t>
        </is>
      </c>
    </row>
    <row r="1032">
      <c r="A1032" t="inlineStr">
        <is>
          <t>PRAGMA</t>
        </is>
      </c>
      <c r="B1032" t="inlineStr">
        <is>
          <t>M1</t>
        </is>
      </c>
      <c r="C1032" t="inlineStr">
        <is>
          <t>Pasto</t>
        </is>
      </c>
      <c r="D1032" t="inlineStr">
        <is>
          <t>2149</t>
        </is>
      </c>
      <c r="E1032" t="inlineStr">
        <is>
          <t>pagado</t>
        </is>
      </c>
      <c r="F1032" s="23" t="n">
        <v>46275</v>
      </c>
      <c r="G1032" s="24">
        <f>F1032-DATE(2026,8,31)</f>
        <v>10</v>
      </c>
      <c r="H1032" s="25" t="n">
        <v>141557752</v>
      </c>
      <c r="I1032" t="inlineStr">
        <is>
          <t>entidad-dia</t>
        </is>
      </c>
    </row>
    <row r="1033">
      <c r="A1033" t="inlineStr">
        <is>
          <t>PRAGMA</t>
        </is>
      </c>
      <c r="B1033" t="inlineStr">
        <is>
          <t>M1</t>
        </is>
      </c>
      <c r="C1033" t="inlineStr">
        <is>
          <t>Pasto</t>
        </is>
      </c>
      <c r="D1033" t="inlineStr">
        <is>
          <t>2149</t>
        </is>
      </c>
      <c r="E1033" t="inlineStr">
        <is>
          <t>pagado</t>
        </is>
      </c>
      <c r="F1033" s="23" t="n">
        <v>46276</v>
      </c>
      <c r="G1033" s="24">
        <f>F1033-DATE(2026,8,31)</f>
        <v>11</v>
      </c>
      <c r="H1033" s="25" t="n">
        <v>139026856</v>
      </c>
      <c r="I1033" t="inlineStr">
        <is>
          <t>entidad-dia</t>
        </is>
      </c>
    </row>
    <row r="1034">
      <c r="A1034" t="inlineStr">
        <is>
          <t>PRAGMA</t>
        </is>
      </c>
      <c r="B1034" t="inlineStr">
        <is>
          <t>M1</t>
        </is>
      </c>
      <c r="C1034" t="inlineStr">
        <is>
          <t>Pasto</t>
        </is>
      </c>
      <c r="D1034" t="inlineStr">
        <is>
          <t>2149</t>
        </is>
      </c>
      <c r="E1034" t="inlineStr">
        <is>
          <t>pagado</t>
        </is>
      </c>
      <c r="F1034" s="23" t="n">
        <v>46277</v>
      </c>
      <c r="G1034" s="24">
        <f>F1034-DATE(2026,8,31)</f>
        <v>12</v>
      </c>
      <c r="H1034" s="25" t="n">
        <v>127413804</v>
      </c>
      <c r="I1034" t="inlineStr">
        <is>
          <t>entidad-dia</t>
        </is>
      </c>
    </row>
    <row r="1035">
      <c r="A1035" t="inlineStr">
        <is>
          <t>PRAGMA</t>
        </is>
      </c>
      <c r="B1035" t="inlineStr">
        <is>
          <t>M1</t>
        </is>
      </c>
      <c r="C1035" t="inlineStr">
        <is>
          <t>Pasto</t>
        </is>
      </c>
      <c r="D1035" t="inlineStr">
        <is>
          <t>2149</t>
        </is>
      </c>
      <c r="E1035" t="inlineStr">
        <is>
          <t>pagado</t>
        </is>
      </c>
      <c r="F1035" s="23" t="n">
        <v>46278</v>
      </c>
      <c r="G1035" s="24">
        <f>F1035-DATE(2026,8,31)</f>
        <v>13</v>
      </c>
      <c r="H1035" s="25" t="n">
        <v>86224185</v>
      </c>
      <c r="I1035" t="inlineStr">
        <is>
          <t>entidad-dia</t>
        </is>
      </c>
    </row>
    <row r="1036">
      <c r="A1036" t="inlineStr">
        <is>
          <t>PRAGMA</t>
        </is>
      </c>
      <c r="B1036" t="inlineStr">
        <is>
          <t>M1</t>
        </is>
      </c>
      <c r="C1036" t="inlineStr">
        <is>
          <t>Pasto</t>
        </is>
      </c>
      <c r="D1036" t="inlineStr">
        <is>
          <t>2149</t>
        </is>
      </c>
      <c r="E1036" t="inlineStr">
        <is>
          <t>pagado</t>
        </is>
      </c>
      <c r="F1036" s="23" t="n">
        <v>46279</v>
      </c>
      <c r="G1036" s="24">
        <f>F1036-DATE(2026,8,31)</f>
        <v>14</v>
      </c>
      <c r="H1036" s="25" t="n">
        <v>131360259</v>
      </c>
      <c r="I1036" t="inlineStr">
        <is>
          <t>entidad-dia</t>
        </is>
      </c>
    </row>
    <row r="1037">
      <c r="A1037" t="inlineStr">
        <is>
          <t>PRAGMA</t>
        </is>
      </c>
      <c r="B1037" t="inlineStr">
        <is>
          <t>M1</t>
        </is>
      </c>
      <c r="C1037" t="inlineStr">
        <is>
          <t>Pasto</t>
        </is>
      </c>
      <c r="D1037" t="inlineStr">
        <is>
          <t>2149</t>
        </is>
      </c>
      <c r="E1037" t="inlineStr">
        <is>
          <t>pagado</t>
        </is>
      </c>
      <c r="F1037" s="23" t="n">
        <v>46280</v>
      </c>
      <c r="G1037" s="24">
        <f>F1037-DATE(2026,8,31)</f>
        <v>15</v>
      </c>
      <c r="H1037" s="25" t="n">
        <v>155727381</v>
      </c>
      <c r="I1037" t="inlineStr">
        <is>
          <t>entidad-dia</t>
        </is>
      </c>
    </row>
    <row r="1038">
      <c r="A1038" t="inlineStr">
        <is>
          <t>PRAGMA</t>
        </is>
      </c>
      <c r="B1038" t="inlineStr">
        <is>
          <t>M1</t>
        </is>
      </c>
      <c r="C1038" t="inlineStr">
        <is>
          <t>Cali</t>
        </is>
      </c>
      <c r="D1038" t="inlineStr">
        <is>
          <t>2187</t>
        </is>
      </c>
      <c r="E1038" t="inlineStr">
        <is>
          <t>pagado</t>
        </is>
      </c>
      <c r="F1038" s="23" t="n">
        <v>46266</v>
      </c>
      <c r="G1038" s="24">
        <f>F1038-DATE(2026,8,31)</f>
        <v>1</v>
      </c>
      <c r="H1038" s="25" t="n">
        <v>159564166</v>
      </c>
      <c r="I1038" t="inlineStr">
        <is>
          <t>entidad-dia</t>
        </is>
      </c>
    </row>
    <row r="1039">
      <c r="A1039" t="inlineStr">
        <is>
          <t>PRAGMA</t>
        </is>
      </c>
      <c r="B1039" t="inlineStr">
        <is>
          <t>M1</t>
        </is>
      </c>
      <c r="C1039" t="inlineStr">
        <is>
          <t>Cali</t>
        </is>
      </c>
      <c r="D1039" t="inlineStr">
        <is>
          <t>2187</t>
        </is>
      </c>
      <c r="E1039" t="inlineStr">
        <is>
          <t>pagado</t>
        </is>
      </c>
      <c r="F1039" s="23" t="n">
        <v>46267</v>
      </c>
      <c r="G1039" s="24">
        <f>F1039-DATE(2026,8,31)</f>
        <v>2</v>
      </c>
      <c r="H1039" s="25" t="n">
        <v>123120520</v>
      </c>
      <c r="I1039" t="inlineStr">
        <is>
          <t>entidad-dia</t>
        </is>
      </c>
    </row>
    <row r="1040">
      <c r="A1040" t="inlineStr">
        <is>
          <t>PRAGMA</t>
        </is>
      </c>
      <c r="B1040" t="inlineStr">
        <is>
          <t>M1</t>
        </is>
      </c>
      <c r="C1040" t="inlineStr">
        <is>
          <t>Cali</t>
        </is>
      </c>
      <c r="D1040" t="inlineStr">
        <is>
          <t>2187</t>
        </is>
      </c>
      <c r="E1040" t="inlineStr">
        <is>
          <t>pagado</t>
        </is>
      </c>
      <c r="F1040" s="23" t="n">
        <v>46268</v>
      </c>
      <c r="G1040" s="24">
        <f>F1040-DATE(2026,8,31)</f>
        <v>3</v>
      </c>
      <c r="H1040" s="25" t="n">
        <v>133809559</v>
      </c>
      <c r="I1040" t="inlineStr">
        <is>
          <t>entidad-dia</t>
        </is>
      </c>
    </row>
    <row r="1041">
      <c r="A1041" t="inlineStr">
        <is>
          <t>PRAGMA</t>
        </is>
      </c>
      <c r="B1041" t="inlineStr">
        <is>
          <t>M1</t>
        </is>
      </c>
      <c r="C1041" t="inlineStr">
        <is>
          <t>Cali</t>
        </is>
      </c>
      <c r="D1041" t="inlineStr">
        <is>
          <t>2187</t>
        </is>
      </c>
      <c r="E1041" t="inlineStr">
        <is>
          <t>pagado</t>
        </is>
      </c>
      <c r="F1041" s="23" t="n">
        <v>46269</v>
      </c>
      <c r="G1041" s="24">
        <f>F1041-DATE(2026,8,31)</f>
        <v>4</v>
      </c>
      <c r="H1041" s="25" t="n">
        <v>125107852</v>
      </c>
      <c r="I1041" t="inlineStr">
        <is>
          <t>entidad-dia</t>
        </is>
      </c>
    </row>
    <row r="1042">
      <c r="A1042" t="inlineStr">
        <is>
          <t>PRAGMA</t>
        </is>
      </c>
      <c r="B1042" t="inlineStr">
        <is>
          <t>M1</t>
        </is>
      </c>
      <c r="C1042" t="inlineStr">
        <is>
          <t>Cali</t>
        </is>
      </c>
      <c r="D1042" t="inlineStr">
        <is>
          <t>2187</t>
        </is>
      </c>
      <c r="E1042" t="inlineStr">
        <is>
          <t>pagado</t>
        </is>
      </c>
      <c r="F1042" s="23" t="n">
        <v>46270</v>
      </c>
      <c r="G1042" s="24">
        <f>F1042-DATE(2026,8,31)</f>
        <v>5</v>
      </c>
      <c r="H1042" s="25" t="n">
        <v>142182721</v>
      </c>
      <c r="I1042" t="inlineStr">
        <is>
          <t>entidad-dia</t>
        </is>
      </c>
    </row>
    <row r="1043">
      <c r="A1043" t="inlineStr">
        <is>
          <t>PRAGMA</t>
        </is>
      </c>
      <c r="B1043" t="inlineStr">
        <is>
          <t>M1</t>
        </is>
      </c>
      <c r="C1043" t="inlineStr">
        <is>
          <t>Cali</t>
        </is>
      </c>
      <c r="D1043" t="inlineStr">
        <is>
          <t>2187</t>
        </is>
      </c>
      <c r="E1043" t="inlineStr">
        <is>
          <t>pagado</t>
        </is>
      </c>
      <c r="F1043" s="23" t="n">
        <v>46271</v>
      </c>
      <c r="G1043" s="24">
        <f>F1043-DATE(2026,8,31)</f>
        <v>6</v>
      </c>
      <c r="H1043" s="25" t="n">
        <v>122267086</v>
      </c>
      <c r="I1043" t="inlineStr">
        <is>
          <t>entidad-dia</t>
        </is>
      </c>
    </row>
    <row r="1044">
      <c r="A1044" t="inlineStr">
        <is>
          <t>PRAGMA</t>
        </is>
      </c>
      <c r="B1044" t="inlineStr">
        <is>
          <t>M1</t>
        </is>
      </c>
      <c r="C1044" t="inlineStr">
        <is>
          <t>Cali</t>
        </is>
      </c>
      <c r="D1044" t="inlineStr">
        <is>
          <t>2187</t>
        </is>
      </c>
      <c r="E1044" t="inlineStr">
        <is>
          <t>pagado</t>
        </is>
      </c>
      <c r="F1044" s="23" t="n">
        <v>46272</v>
      </c>
      <c r="G1044" s="24">
        <f>F1044-DATE(2026,8,31)</f>
        <v>7</v>
      </c>
      <c r="H1044" s="25" t="n">
        <v>101476232</v>
      </c>
      <c r="I1044" t="inlineStr">
        <is>
          <t>entidad-dia</t>
        </is>
      </c>
    </row>
    <row r="1045">
      <c r="A1045" t="inlineStr">
        <is>
          <t>PRAGMA</t>
        </is>
      </c>
      <c r="B1045" t="inlineStr">
        <is>
          <t>M1</t>
        </is>
      </c>
      <c r="C1045" t="inlineStr">
        <is>
          <t>Cali</t>
        </is>
      </c>
      <c r="D1045" t="inlineStr">
        <is>
          <t>2187</t>
        </is>
      </c>
      <c r="E1045" t="inlineStr">
        <is>
          <t>pagado</t>
        </is>
      </c>
      <c r="F1045" s="23" t="n">
        <v>46273</v>
      </c>
      <c r="G1045" s="24">
        <f>F1045-DATE(2026,8,31)</f>
        <v>8</v>
      </c>
      <c r="H1045" s="25" t="n">
        <v>103157039</v>
      </c>
      <c r="I1045" t="inlineStr">
        <is>
          <t>entidad-dia</t>
        </is>
      </c>
    </row>
    <row r="1046">
      <c r="A1046" t="inlineStr">
        <is>
          <t>PRAGMA</t>
        </is>
      </c>
      <c r="B1046" t="inlineStr">
        <is>
          <t>M1</t>
        </is>
      </c>
      <c r="C1046" t="inlineStr">
        <is>
          <t>Cali</t>
        </is>
      </c>
      <c r="D1046" t="inlineStr">
        <is>
          <t>2187</t>
        </is>
      </c>
      <c r="E1046" t="inlineStr">
        <is>
          <t>pagado</t>
        </is>
      </c>
      <c r="F1046" s="23" t="n">
        <v>46274</v>
      </c>
      <c r="G1046" s="24">
        <f>F1046-DATE(2026,8,31)</f>
        <v>9</v>
      </c>
      <c r="H1046" s="25" t="n">
        <v>108299252</v>
      </c>
      <c r="I1046" t="inlineStr">
        <is>
          <t>entidad-dia</t>
        </is>
      </c>
    </row>
    <row r="1047">
      <c r="A1047" t="inlineStr">
        <is>
          <t>PRAGMA</t>
        </is>
      </c>
      <c r="B1047" t="inlineStr">
        <is>
          <t>M1</t>
        </is>
      </c>
      <c r="C1047" t="inlineStr">
        <is>
          <t>Cali</t>
        </is>
      </c>
      <c r="D1047" t="inlineStr">
        <is>
          <t>2187</t>
        </is>
      </c>
      <c r="E1047" t="inlineStr">
        <is>
          <t>pagado</t>
        </is>
      </c>
      <c r="F1047" s="23" t="n">
        <v>46275</v>
      </c>
      <c r="G1047" s="24">
        <f>F1047-DATE(2026,8,31)</f>
        <v>10</v>
      </c>
      <c r="H1047" s="25" t="n">
        <v>84224554</v>
      </c>
      <c r="I1047" t="inlineStr">
        <is>
          <t>entidad-dia</t>
        </is>
      </c>
    </row>
    <row r="1048">
      <c r="A1048" t="inlineStr">
        <is>
          <t>PRAGMA</t>
        </is>
      </c>
      <c r="B1048" t="inlineStr">
        <is>
          <t>M1</t>
        </is>
      </c>
      <c r="C1048" t="inlineStr">
        <is>
          <t>Cali</t>
        </is>
      </c>
      <c r="D1048" t="inlineStr">
        <is>
          <t>2187</t>
        </is>
      </c>
      <c r="E1048" t="inlineStr">
        <is>
          <t>pagado</t>
        </is>
      </c>
      <c r="F1048" s="23" t="n">
        <v>46276</v>
      </c>
      <c r="G1048" s="24">
        <f>F1048-DATE(2026,8,31)</f>
        <v>11</v>
      </c>
      <c r="H1048" s="25" t="n">
        <v>94340480</v>
      </c>
      <c r="I1048" t="inlineStr">
        <is>
          <t>entidad-dia</t>
        </is>
      </c>
    </row>
    <row r="1049">
      <c r="A1049" t="inlineStr">
        <is>
          <t>PRAGMA</t>
        </is>
      </c>
      <c r="B1049" t="inlineStr">
        <is>
          <t>M1</t>
        </is>
      </c>
      <c r="C1049" t="inlineStr">
        <is>
          <t>Cali</t>
        </is>
      </c>
      <c r="D1049" t="inlineStr">
        <is>
          <t>2187</t>
        </is>
      </c>
      <c r="E1049" t="inlineStr">
        <is>
          <t>pagado</t>
        </is>
      </c>
      <c r="F1049" s="23" t="n">
        <v>46277</v>
      </c>
      <c r="G1049" s="24">
        <f>F1049-DATE(2026,8,31)</f>
        <v>12</v>
      </c>
      <c r="H1049" s="25" t="n">
        <v>108211720</v>
      </c>
      <c r="I1049" t="inlineStr">
        <is>
          <t>entidad-dia</t>
        </is>
      </c>
    </row>
    <row r="1050">
      <c r="A1050" t="inlineStr">
        <is>
          <t>PRAGMA</t>
        </is>
      </c>
      <c r="B1050" t="inlineStr">
        <is>
          <t>M1</t>
        </is>
      </c>
      <c r="C1050" t="inlineStr">
        <is>
          <t>Cali</t>
        </is>
      </c>
      <c r="D1050" t="inlineStr">
        <is>
          <t>2187</t>
        </is>
      </c>
      <c r="E1050" t="inlineStr">
        <is>
          <t>pagado</t>
        </is>
      </c>
      <c r="F1050" s="23" t="n">
        <v>46278</v>
      </c>
      <c r="G1050" s="24">
        <f>F1050-DATE(2026,8,31)</f>
        <v>13</v>
      </c>
      <c r="H1050" s="25" t="n">
        <v>90418349</v>
      </c>
      <c r="I1050" t="inlineStr">
        <is>
          <t>entidad-dia</t>
        </is>
      </c>
    </row>
    <row r="1051">
      <c r="A1051" t="inlineStr">
        <is>
          <t>PRAGMA</t>
        </is>
      </c>
      <c r="B1051" t="inlineStr">
        <is>
          <t>M1</t>
        </is>
      </c>
      <c r="C1051" t="inlineStr">
        <is>
          <t>Cali</t>
        </is>
      </c>
      <c r="D1051" t="inlineStr">
        <is>
          <t>2187</t>
        </is>
      </c>
      <c r="E1051" t="inlineStr">
        <is>
          <t>pagado</t>
        </is>
      </c>
      <c r="F1051" s="23" t="n">
        <v>46279</v>
      </c>
      <c r="G1051" s="24">
        <f>F1051-DATE(2026,8,31)</f>
        <v>14</v>
      </c>
      <c r="H1051" s="25" t="n">
        <v>93730587</v>
      </c>
      <c r="I1051" t="inlineStr">
        <is>
          <t>entidad-dia</t>
        </is>
      </c>
    </row>
    <row r="1052">
      <c r="A1052" t="inlineStr">
        <is>
          <t>PRAGMA</t>
        </is>
      </c>
      <c r="B1052" t="inlineStr">
        <is>
          <t>M1</t>
        </is>
      </c>
      <c r="C1052" t="inlineStr">
        <is>
          <t>Cali</t>
        </is>
      </c>
      <c r="D1052" t="inlineStr">
        <is>
          <t>2187</t>
        </is>
      </c>
      <c r="E1052" t="inlineStr">
        <is>
          <t>pagado</t>
        </is>
      </c>
      <c r="F1052" s="23" t="n">
        <v>46280</v>
      </c>
      <c r="G1052" s="24">
        <f>F1052-DATE(2026,8,31)</f>
        <v>15</v>
      </c>
      <c r="H1052" s="25" t="n">
        <v>130832104</v>
      </c>
      <c r="I1052" t="inlineStr">
        <is>
          <t>entidad-dia</t>
        </is>
      </c>
    </row>
    <row r="1053">
      <c r="A1053" t="inlineStr">
        <is>
          <t>PRAGMA</t>
        </is>
      </c>
      <c r="B1053" t="inlineStr">
        <is>
          <t>M1</t>
        </is>
      </c>
      <c r="C1053" t="inlineStr">
        <is>
          <t>Cali</t>
        </is>
      </c>
      <c r="D1053" t="inlineStr">
        <is>
          <t>2204</t>
        </is>
      </c>
      <c r="E1053" t="inlineStr">
        <is>
          <t>pagado</t>
        </is>
      </c>
      <c r="F1053" s="23" t="n">
        <v>46266</v>
      </c>
      <c r="G1053" s="24">
        <f>F1053-DATE(2026,8,31)</f>
        <v>1</v>
      </c>
      <c r="H1053" s="25" t="n">
        <v>171295499</v>
      </c>
      <c r="I1053" t="inlineStr">
        <is>
          <t>entidad-dia</t>
        </is>
      </c>
    </row>
    <row r="1054">
      <c r="A1054" t="inlineStr">
        <is>
          <t>PRAGMA</t>
        </is>
      </c>
      <c r="B1054" t="inlineStr">
        <is>
          <t>M1</t>
        </is>
      </c>
      <c r="C1054" t="inlineStr">
        <is>
          <t>Cali</t>
        </is>
      </c>
      <c r="D1054" t="inlineStr">
        <is>
          <t>2204</t>
        </is>
      </c>
      <c r="E1054" t="inlineStr">
        <is>
          <t>pagado</t>
        </is>
      </c>
      <c r="F1054" s="23" t="n">
        <v>46267</v>
      </c>
      <c r="G1054" s="24">
        <f>F1054-DATE(2026,8,31)</f>
        <v>2</v>
      </c>
      <c r="H1054" s="25" t="n">
        <v>134638746</v>
      </c>
      <c r="I1054" t="inlineStr">
        <is>
          <t>entidad-dia</t>
        </is>
      </c>
    </row>
    <row r="1055">
      <c r="A1055" t="inlineStr">
        <is>
          <t>PRAGMA</t>
        </is>
      </c>
      <c r="B1055" t="inlineStr">
        <is>
          <t>M1</t>
        </is>
      </c>
      <c r="C1055" t="inlineStr">
        <is>
          <t>Cali</t>
        </is>
      </c>
      <c r="D1055" t="inlineStr">
        <is>
          <t>2204</t>
        </is>
      </c>
      <c r="E1055" t="inlineStr">
        <is>
          <t>pagado</t>
        </is>
      </c>
      <c r="F1055" s="23" t="n">
        <v>46268</v>
      </c>
      <c r="G1055" s="24">
        <f>F1055-DATE(2026,8,31)</f>
        <v>3</v>
      </c>
      <c r="H1055" s="25" t="n">
        <v>115943628</v>
      </c>
      <c r="I1055" t="inlineStr">
        <is>
          <t>entidad-dia</t>
        </is>
      </c>
    </row>
    <row r="1056">
      <c r="A1056" t="inlineStr">
        <is>
          <t>PRAGMA</t>
        </is>
      </c>
      <c r="B1056" t="inlineStr">
        <is>
          <t>M1</t>
        </is>
      </c>
      <c r="C1056" t="inlineStr">
        <is>
          <t>Cali</t>
        </is>
      </c>
      <c r="D1056" t="inlineStr">
        <is>
          <t>2204</t>
        </is>
      </c>
      <c r="E1056" t="inlineStr">
        <is>
          <t>pagado</t>
        </is>
      </c>
      <c r="F1056" s="23" t="n">
        <v>46269</v>
      </c>
      <c r="G1056" s="24">
        <f>F1056-DATE(2026,8,31)</f>
        <v>4</v>
      </c>
      <c r="H1056" s="25" t="n">
        <v>121924884</v>
      </c>
      <c r="I1056" t="inlineStr">
        <is>
          <t>entidad-dia</t>
        </is>
      </c>
    </row>
    <row r="1057">
      <c r="A1057" t="inlineStr">
        <is>
          <t>PRAGMA</t>
        </is>
      </c>
      <c r="B1057" t="inlineStr">
        <is>
          <t>M1</t>
        </is>
      </c>
      <c r="C1057" t="inlineStr">
        <is>
          <t>Cali</t>
        </is>
      </c>
      <c r="D1057" t="inlineStr">
        <is>
          <t>2204</t>
        </is>
      </c>
      <c r="E1057" t="inlineStr">
        <is>
          <t>pagado</t>
        </is>
      </c>
      <c r="F1057" s="23" t="n">
        <v>46270</v>
      </c>
      <c r="G1057" s="24">
        <f>F1057-DATE(2026,8,31)</f>
        <v>5</v>
      </c>
      <c r="H1057" s="25" t="n">
        <v>126843784</v>
      </c>
      <c r="I1057" t="inlineStr">
        <is>
          <t>entidad-dia</t>
        </is>
      </c>
    </row>
    <row r="1058">
      <c r="A1058" t="inlineStr">
        <is>
          <t>PRAGMA</t>
        </is>
      </c>
      <c r="B1058" t="inlineStr">
        <is>
          <t>M1</t>
        </is>
      </c>
      <c r="C1058" t="inlineStr">
        <is>
          <t>Cali</t>
        </is>
      </c>
      <c r="D1058" t="inlineStr">
        <is>
          <t>2204</t>
        </is>
      </c>
      <c r="E1058" t="inlineStr">
        <is>
          <t>pagado</t>
        </is>
      </c>
      <c r="F1058" s="23" t="n">
        <v>46271</v>
      </c>
      <c r="G1058" s="24">
        <f>F1058-DATE(2026,8,31)</f>
        <v>6</v>
      </c>
      <c r="H1058" s="25" t="n">
        <v>76189324</v>
      </c>
      <c r="I1058" t="inlineStr">
        <is>
          <t>entidad-dia</t>
        </is>
      </c>
    </row>
    <row r="1059">
      <c r="A1059" t="inlineStr">
        <is>
          <t>PRAGMA</t>
        </is>
      </c>
      <c r="B1059" t="inlineStr">
        <is>
          <t>M1</t>
        </is>
      </c>
      <c r="C1059" t="inlineStr">
        <is>
          <t>Cali</t>
        </is>
      </c>
      <c r="D1059" t="inlineStr">
        <is>
          <t>2204</t>
        </is>
      </c>
      <c r="E1059" t="inlineStr">
        <is>
          <t>pagado</t>
        </is>
      </c>
      <c r="F1059" s="23" t="n">
        <v>46272</v>
      </c>
      <c r="G1059" s="24">
        <f>F1059-DATE(2026,8,31)</f>
        <v>7</v>
      </c>
      <c r="H1059" s="25" t="n">
        <v>91379462</v>
      </c>
      <c r="I1059" t="inlineStr">
        <is>
          <t>entidad-dia</t>
        </is>
      </c>
    </row>
    <row r="1060">
      <c r="A1060" t="inlineStr">
        <is>
          <t>PRAGMA</t>
        </is>
      </c>
      <c r="B1060" t="inlineStr">
        <is>
          <t>M1</t>
        </is>
      </c>
      <c r="C1060" t="inlineStr">
        <is>
          <t>Cali</t>
        </is>
      </c>
      <c r="D1060" t="inlineStr">
        <is>
          <t>2204</t>
        </is>
      </c>
      <c r="E1060" t="inlineStr">
        <is>
          <t>pagado</t>
        </is>
      </c>
      <c r="F1060" s="23" t="n">
        <v>46273</v>
      </c>
      <c r="G1060" s="24">
        <f>F1060-DATE(2026,8,31)</f>
        <v>8</v>
      </c>
      <c r="H1060" s="25" t="n">
        <v>94897934</v>
      </c>
      <c r="I1060" t="inlineStr">
        <is>
          <t>entidad-dia</t>
        </is>
      </c>
    </row>
    <row r="1061">
      <c r="A1061" t="inlineStr">
        <is>
          <t>PRAGMA</t>
        </is>
      </c>
      <c r="B1061" t="inlineStr">
        <is>
          <t>M1</t>
        </is>
      </c>
      <c r="C1061" t="inlineStr">
        <is>
          <t>Cali</t>
        </is>
      </c>
      <c r="D1061" t="inlineStr">
        <is>
          <t>2204</t>
        </is>
      </c>
      <c r="E1061" t="inlineStr">
        <is>
          <t>pagado</t>
        </is>
      </c>
      <c r="F1061" s="23" t="n">
        <v>46274</v>
      </c>
      <c r="G1061" s="24">
        <f>F1061-DATE(2026,8,31)</f>
        <v>9</v>
      </c>
      <c r="H1061" s="25" t="n">
        <v>91685601</v>
      </c>
      <c r="I1061" t="inlineStr">
        <is>
          <t>entidad-dia</t>
        </is>
      </c>
    </row>
    <row r="1062">
      <c r="A1062" t="inlineStr">
        <is>
          <t>PRAGMA</t>
        </is>
      </c>
      <c r="B1062" t="inlineStr">
        <is>
          <t>M1</t>
        </is>
      </c>
      <c r="C1062" t="inlineStr">
        <is>
          <t>Cali</t>
        </is>
      </c>
      <c r="D1062" t="inlineStr">
        <is>
          <t>2204</t>
        </is>
      </c>
      <c r="E1062" t="inlineStr">
        <is>
          <t>pagado</t>
        </is>
      </c>
      <c r="F1062" s="23" t="n">
        <v>46275</v>
      </c>
      <c r="G1062" s="24">
        <f>F1062-DATE(2026,8,31)</f>
        <v>10</v>
      </c>
      <c r="H1062" s="25" t="n">
        <v>82725969</v>
      </c>
      <c r="I1062" t="inlineStr">
        <is>
          <t>entidad-dia</t>
        </is>
      </c>
    </row>
    <row r="1063">
      <c r="A1063" t="inlineStr">
        <is>
          <t>PRAGMA</t>
        </is>
      </c>
      <c r="B1063" t="inlineStr">
        <is>
          <t>M1</t>
        </is>
      </c>
      <c r="C1063" t="inlineStr">
        <is>
          <t>Cali</t>
        </is>
      </c>
      <c r="D1063" t="inlineStr">
        <is>
          <t>2204</t>
        </is>
      </c>
      <c r="E1063" t="inlineStr">
        <is>
          <t>pagado</t>
        </is>
      </c>
      <c r="F1063" s="23" t="n">
        <v>46276</v>
      </c>
      <c r="G1063" s="24">
        <f>F1063-DATE(2026,8,31)</f>
        <v>11</v>
      </c>
      <c r="H1063" s="25" t="n">
        <v>95393006</v>
      </c>
      <c r="I1063" t="inlineStr">
        <is>
          <t>entidad-dia</t>
        </is>
      </c>
    </row>
    <row r="1064">
      <c r="A1064" t="inlineStr">
        <is>
          <t>PRAGMA</t>
        </is>
      </c>
      <c r="B1064" t="inlineStr">
        <is>
          <t>M1</t>
        </is>
      </c>
      <c r="C1064" t="inlineStr">
        <is>
          <t>Cali</t>
        </is>
      </c>
      <c r="D1064" t="inlineStr">
        <is>
          <t>2204</t>
        </is>
      </c>
      <c r="E1064" t="inlineStr">
        <is>
          <t>pagado</t>
        </is>
      </c>
      <c r="F1064" s="23" t="n">
        <v>46277</v>
      </c>
      <c r="G1064" s="24">
        <f>F1064-DATE(2026,8,31)</f>
        <v>12</v>
      </c>
      <c r="H1064" s="25" t="n">
        <v>103218771</v>
      </c>
      <c r="I1064" t="inlineStr">
        <is>
          <t>entidad-dia</t>
        </is>
      </c>
    </row>
    <row r="1065">
      <c r="A1065" t="inlineStr">
        <is>
          <t>PRAGMA</t>
        </is>
      </c>
      <c r="B1065" t="inlineStr">
        <is>
          <t>M1</t>
        </is>
      </c>
      <c r="C1065" t="inlineStr">
        <is>
          <t>Cali</t>
        </is>
      </c>
      <c r="D1065" t="inlineStr">
        <is>
          <t>2204</t>
        </is>
      </c>
      <c r="E1065" t="inlineStr">
        <is>
          <t>pagado</t>
        </is>
      </c>
      <c r="F1065" s="23" t="n">
        <v>46278</v>
      </c>
      <c r="G1065" s="24">
        <f>F1065-DATE(2026,8,31)</f>
        <v>13</v>
      </c>
      <c r="H1065" s="25" t="n">
        <v>62054202</v>
      </c>
      <c r="I1065" t="inlineStr">
        <is>
          <t>entidad-dia</t>
        </is>
      </c>
    </row>
    <row r="1066">
      <c r="A1066" t="inlineStr">
        <is>
          <t>PRAGMA</t>
        </is>
      </c>
      <c r="B1066" t="inlineStr">
        <is>
          <t>M1</t>
        </is>
      </c>
      <c r="C1066" t="inlineStr">
        <is>
          <t>Cali</t>
        </is>
      </c>
      <c r="D1066" t="inlineStr">
        <is>
          <t>2204</t>
        </is>
      </c>
      <c r="E1066" t="inlineStr">
        <is>
          <t>pagado</t>
        </is>
      </c>
      <c r="F1066" s="23" t="n">
        <v>46279</v>
      </c>
      <c r="G1066" s="24">
        <f>F1066-DATE(2026,8,31)</f>
        <v>14</v>
      </c>
      <c r="H1066" s="25" t="n">
        <v>94351489</v>
      </c>
      <c r="I1066" t="inlineStr">
        <is>
          <t>entidad-dia</t>
        </is>
      </c>
    </row>
    <row r="1067">
      <c r="A1067" t="inlineStr">
        <is>
          <t>PRAGMA</t>
        </is>
      </c>
      <c r="B1067" t="inlineStr">
        <is>
          <t>M1</t>
        </is>
      </c>
      <c r="C1067" t="inlineStr">
        <is>
          <t>Cali</t>
        </is>
      </c>
      <c r="D1067" t="inlineStr">
        <is>
          <t>2204</t>
        </is>
      </c>
      <c r="E1067" t="inlineStr">
        <is>
          <t>pagado</t>
        </is>
      </c>
      <c r="F1067" s="23" t="n">
        <v>46280</v>
      </c>
      <c r="G1067" s="24">
        <f>F1067-DATE(2026,8,31)</f>
        <v>15</v>
      </c>
      <c r="H1067" s="25" t="n">
        <v>138104267</v>
      </c>
      <c r="I1067" t="inlineStr">
        <is>
          <t>entidad-dia</t>
        </is>
      </c>
    </row>
    <row r="1068">
      <c r="A1068" t="inlineStr">
        <is>
          <t>PRAGMA</t>
        </is>
      </c>
      <c r="B1068" t="inlineStr">
        <is>
          <t>M1</t>
        </is>
      </c>
      <c r="C1068" t="inlineStr">
        <is>
          <t>Cali</t>
        </is>
      </c>
      <c r="D1068" t="inlineStr">
        <is>
          <t>2215</t>
        </is>
      </c>
      <c r="E1068" t="inlineStr">
        <is>
          <t>pagado</t>
        </is>
      </c>
      <c r="F1068" s="23" t="n">
        <v>46266</v>
      </c>
      <c r="G1068" s="24">
        <f>F1068-DATE(2026,8,31)</f>
        <v>1</v>
      </c>
      <c r="H1068" s="25" t="n">
        <v>201751910</v>
      </c>
      <c r="I1068" t="inlineStr">
        <is>
          <t>entidad-dia</t>
        </is>
      </c>
    </row>
    <row r="1069">
      <c r="A1069" t="inlineStr">
        <is>
          <t>PRAGMA</t>
        </is>
      </c>
      <c r="B1069" t="inlineStr">
        <is>
          <t>M1</t>
        </is>
      </c>
      <c r="C1069" t="inlineStr">
        <is>
          <t>Cali</t>
        </is>
      </c>
      <c r="D1069" t="inlineStr">
        <is>
          <t>2215</t>
        </is>
      </c>
      <c r="E1069" t="inlineStr">
        <is>
          <t>pagado</t>
        </is>
      </c>
      <c r="F1069" s="23" t="n">
        <v>46267</v>
      </c>
      <c r="G1069" s="24">
        <f>F1069-DATE(2026,8,31)</f>
        <v>2</v>
      </c>
      <c r="H1069" s="25" t="n">
        <v>148686216</v>
      </c>
      <c r="I1069" t="inlineStr">
        <is>
          <t>entidad-dia</t>
        </is>
      </c>
    </row>
    <row r="1070">
      <c r="A1070" t="inlineStr">
        <is>
          <t>PRAGMA</t>
        </is>
      </c>
      <c r="B1070" t="inlineStr">
        <is>
          <t>M1</t>
        </is>
      </c>
      <c r="C1070" t="inlineStr">
        <is>
          <t>Cali</t>
        </is>
      </c>
      <c r="D1070" t="inlineStr">
        <is>
          <t>2215</t>
        </is>
      </c>
      <c r="E1070" t="inlineStr">
        <is>
          <t>pagado</t>
        </is>
      </c>
      <c r="F1070" s="23" t="n">
        <v>46268</v>
      </c>
      <c r="G1070" s="24">
        <f>F1070-DATE(2026,8,31)</f>
        <v>3</v>
      </c>
      <c r="H1070" s="25" t="n">
        <v>137266834</v>
      </c>
      <c r="I1070" t="inlineStr">
        <is>
          <t>entidad-dia</t>
        </is>
      </c>
    </row>
    <row r="1071">
      <c r="A1071" t="inlineStr">
        <is>
          <t>PRAGMA</t>
        </is>
      </c>
      <c r="B1071" t="inlineStr">
        <is>
          <t>M1</t>
        </is>
      </c>
      <c r="C1071" t="inlineStr">
        <is>
          <t>Cali</t>
        </is>
      </c>
      <c r="D1071" t="inlineStr">
        <is>
          <t>2215</t>
        </is>
      </c>
      <c r="E1071" t="inlineStr">
        <is>
          <t>pagado</t>
        </is>
      </c>
      <c r="F1071" s="23" t="n">
        <v>46269</v>
      </c>
      <c r="G1071" s="24">
        <f>F1071-DATE(2026,8,31)</f>
        <v>4</v>
      </c>
      <c r="H1071" s="25" t="n">
        <v>150053424</v>
      </c>
      <c r="I1071" t="inlineStr">
        <is>
          <t>entidad-dia</t>
        </is>
      </c>
    </row>
    <row r="1072">
      <c r="A1072" t="inlineStr">
        <is>
          <t>PRAGMA</t>
        </is>
      </c>
      <c r="B1072" t="inlineStr">
        <is>
          <t>M1</t>
        </is>
      </c>
      <c r="C1072" t="inlineStr">
        <is>
          <t>Cali</t>
        </is>
      </c>
      <c r="D1072" t="inlineStr">
        <is>
          <t>2215</t>
        </is>
      </c>
      <c r="E1072" t="inlineStr">
        <is>
          <t>pagado</t>
        </is>
      </c>
      <c r="F1072" s="23" t="n">
        <v>46270</v>
      </c>
      <c r="G1072" s="24">
        <f>F1072-DATE(2026,8,31)</f>
        <v>5</v>
      </c>
      <c r="H1072" s="25" t="n">
        <v>158579093</v>
      </c>
      <c r="I1072" t="inlineStr">
        <is>
          <t>entidad-dia</t>
        </is>
      </c>
    </row>
    <row r="1073">
      <c r="A1073" t="inlineStr">
        <is>
          <t>PRAGMA</t>
        </is>
      </c>
      <c r="B1073" t="inlineStr">
        <is>
          <t>M1</t>
        </is>
      </c>
      <c r="C1073" t="inlineStr">
        <is>
          <t>Cali</t>
        </is>
      </c>
      <c r="D1073" t="inlineStr">
        <is>
          <t>2215</t>
        </is>
      </c>
      <c r="E1073" t="inlineStr">
        <is>
          <t>pagado</t>
        </is>
      </c>
      <c r="F1073" s="23" t="n">
        <v>46271</v>
      </c>
      <c r="G1073" s="24">
        <f>F1073-DATE(2026,8,31)</f>
        <v>6</v>
      </c>
      <c r="H1073" s="25" t="n">
        <v>106022466</v>
      </c>
      <c r="I1073" t="inlineStr">
        <is>
          <t>entidad-dia</t>
        </is>
      </c>
    </row>
    <row r="1074">
      <c r="A1074" t="inlineStr">
        <is>
          <t>PRAGMA</t>
        </is>
      </c>
      <c r="B1074" t="inlineStr">
        <is>
          <t>M1</t>
        </is>
      </c>
      <c r="C1074" t="inlineStr">
        <is>
          <t>Cali</t>
        </is>
      </c>
      <c r="D1074" t="inlineStr">
        <is>
          <t>2215</t>
        </is>
      </c>
      <c r="E1074" t="inlineStr">
        <is>
          <t>pagado</t>
        </is>
      </c>
      <c r="F1074" s="23" t="n">
        <v>46272</v>
      </c>
      <c r="G1074" s="24">
        <f>F1074-DATE(2026,8,31)</f>
        <v>7</v>
      </c>
      <c r="H1074" s="25" t="n">
        <v>106333741</v>
      </c>
      <c r="I1074" t="inlineStr">
        <is>
          <t>entidad-dia</t>
        </is>
      </c>
    </row>
    <row r="1075">
      <c r="A1075" t="inlineStr">
        <is>
          <t>PRAGMA</t>
        </is>
      </c>
      <c r="B1075" t="inlineStr">
        <is>
          <t>M1</t>
        </is>
      </c>
      <c r="C1075" t="inlineStr">
        <is>
          <t>Cali</t>
        </is>
      </c>
      <c r="D1075" t="inlineStr">
        <is>
          <t>2215</t>
        </is>
      </c>
      <c r="E1075" t="inlineStr">
        <is>
          <t>pagado</t>
        </is>
      </c>
      <c r="F1075" s="23" t="n">
        <v>46273</v>
      </c>
      <c r="G1075" s="24">
        <f>F1075-DATE(2026,8,31)</f>
        <v>8</v>
      </c>
      <c r="H1075" s="25" t="n">
        <v>102714597</v>
      </c>
      <c r="I1075" t="inlineStr">
        <is>
          <t>entidad-dia</t>
        </is>
      </c>
    </row>
    <row r="1076">
      <c r="A1076" t="inlineStr">
        <is>
          <t>PRAGMA</t>
        </is>
      </c>
      <c r="B1076" t="inlineStr">
        <is>
          <t>M1</t>
        </is>
      </c>
      <c r="C1076" t="inlineStr">
        <is>
          <t>Cali</t>
        </is>
      </c>
      <c r="D1076" t="inlineStr">
        <is>
          <t>2215</t>
        </is>
      </c>
      <c r="E1076" t="inlineStr">
        <is>
          <t>pagado</t>
        </is>
      </c>
      <c r="F1076" s="23" t="n">
        <v>46274</v>
      </c>
      <c r="G1076" s="24">
        <f>F1076-DATE(2026,8,31)</f>
        <v>9</v>
      </c>
      <c r="H1076" s="25" t="n">
        <v>102126239</v>
      </c>
      <c r="I1076" t="inlineStr">
        <is>
          <t>entidad-dia</t>
        </is>
      </c>
    </row>
    <row r="1077">
      <c r="A1077" t="inlineStr">
        <is>
          <t>PRAGMA</t>
        </is>
      </c>
      <c r="B1077" t="inlineStr">
        <is>
          <t>M1</t>
        </is>
      </c>
      <c r="C1077" t="inlineStr">
        <is>
          <t>Cali</t>
        </is>
      </c>
      <c r="D1077" t="inlineStr">
        <is>
          <t>2215</t>
        </is>
      </c>
      <c r="E1077" t="inlineStr">
        <is>
          <t>pagado</t>
        </is>
      </c>
      <c r="F1077" s="23" t="n">
        <v>46275</v>
      </c>
      <c r="G1077" s="24">
        <f>F1077-DATE(2026,8,31)</f>
        <v>10</v>
      </c>
      <c r="H1077" s="25" t="n">
        <v>98006059</v>
      </c>
      <c r="I1077" t="inlineStr">
        <is>
          <t>entidad-dia</t>
        </is>
      </c>
    </row>
    <row r="1078">
      <c r="A1078" t="inlineStr">
        <is>
          <t>PRAGMA</t>
        </is>
      </c>
      <c r="B1078" t="inlineStr">
        <is>
          <t>M1</t>
        </is>
      </c>
      <c r="C1078" t="inlineStr">
        <is>
          <t>Cali</t>
        </is>
      </c>
      <c r="D1078" t="inlineStr">
        <is>
          <t>2215</t>
        </is>
      </c>
      <c r="E1078" t="inlineStr">
        <is>
          <t>pagado</t>
        </is>
      </c>
      <c r="F1078" s="23" t="n">
        <v>46276</v>
      </c>
      <c r="G1078" s="24">
        <f>F1078-DATE(2026,8,31)</f>
        <v>11</v>
      </c>
      <c r="H1078" s="25" t="n">
        <v>109702377</v>
      </c>
      <c r="I1078" t="inlineStr">
        <is>
          <t>entidad-dia</t>
        </is>
      </c>
    </row>
    <row r="1079">
      <c r="A1079" t="inlineStr">
        <is>
          <t>PRAGMA</t>
        </is>
      </c>
      <c r="B1079" t="inlineStr">
        <is>
          <t>M1</t>
        </is>
      </c>
      <c r="C1079" t="inlineStr">
        <is>
          <t>Cali</t>
        </is>
      </c>
      <c r="D1079" t="inlineStr">
        <is>
          <t>2215</t>
        </is>
      </c>
      <c r="E1079" t="inlineStr">
        <is>
          <t>pagado</t>
        </is>
      </c>
      <c r="F1079" s="23" t="n">
        <v>46277</v>
      </c>
      <c r="G1079" s="24">
        <f>F1079-DATE(2026,8,31)</f>
        <v>12</v>
      </c>
      <c r="H1079" s="25" t="n">
        <v>123359057</v>
      </c>
      <c r="I1079" t="inlineStr">
        <is>
          <t>entidad-dia</t>
        </is>
      </c>
    </row>
    <row r="1080">
      <c r="A1080" t="inlineStr">
        <is>
          <t>PRAGMA</t>
        </is>
      </c>
      <c r="B1080" t="inlineStr">
        <is>
          <t>M1</t>
        </is>
      </c>
      <c r="C1080" t="inlineStr">
        <is>
          <t>Cali</t>
        </is>
      </c>
      <c r="D1080" t="inlineStr">
        <is>
          <t>2215</t>
        </is>
      </c>
      <c r="E1080" t="inlineStr">
        <is>
          <t>pagado</t>
        </is>
      </c>
      <c r="F1080" s="23" t="n">
        <v>46278</v>
      </c>
      <c r="G1080" s="24">
        <f>F1080-DATE(2026,8,31)</f>
        <v>13</v>
      </c>
      <c r="H1080" s="25" t="n">
        <v>74696010</v>
      </c>
      <c r="I1080" t="inlineStr">
        <is>
          <t>entidad-dia</t>
        </is>
      </c>
    </row>
    <row r="1081">
      <c r="A1081" t="inlineStr">
        <is>
          <t>PRAGMA</t>
        </is>
      </c>
      <c r="B1081" t="inlineStr">
        <is>
          <t>M1</t>
        </is>
      </c>
      <c r="C1081" t="inlineStr">
        <is>
          <t>Cali</t>
        </is>
      </c>
      <c r="D1081" t="inlineStr">
        <is>
          <t>2215</t>
        </is>
      </c>
      <c r="E1081" t="inlineStr">
        <is>
          <t>pagado</t>
        </is>
      </c>
      <c r="F1081" s="23" t="n">
        <v>46279</v>
      </c>
      <c r="G1081" s="24">
        <f>F1081-DATE(2026,8,31)</f>
        <v>14</v>
      </c>
      <c r="H1081" s="25" t="n">
        <v>95121549</v>
      </c>
      <c r="I1081" t="inlineStr">
        <is>
          <t>entidad-dia</t>
        </is>
      </c>
    </row>
    <row r="1082">
      <c r="A1082" t="inlineStr">
        <is>
          <t>PRAGMA</t>
        </is>
      </c>
      <c r="B1082" t="inlineStr">
        <is>
          <t>M1</t>
        </is>
      </c>
      <c r="C1082" t="inlineStr">
        <is>
          <t>Cali</t>
        </is>
      </c>
      <c r="D1082" t="inlineStr">
        <is>
          <t>2215</t>
        </is>
      </c>
      <c r="E1082" t="inlineStr">
        <is>
          <t>pagado</t>
        </is>
      </c>
      <c r="F1082" s="23" t="n">
        <v>46280</v>
      </c>
      <c r="G1082" s="24">
        <f>F1082-DATE(2026,8,31)</f>
        <v>15</v>
      </c>
      <c r="H1082" s="25" t="n">
        <v>146752181</v>
      </c>
      <c r="I1082" t="inlineStr">
        <is>
          <t>entidad-dia</t>
        </is>
      </c>
    </row>
    <row r="1083">
      <c r="A1083" t="inlineStr">
        <is>
          <t>PRAGMA</t>
        </is>
      </c>
      <c r="B1083" t="inlineStr">
        <is>
          <t>M1</t>
        </is>
      </c>
      <c r="C1083" t="inlineStr">
        <is>
          <t>Cali</t>
        </is>
      </c>
      <c r="D1083" t="inlineStr">
        <is>
          <t>2219</t>
        </is>
      </c>
      <c r="E1083" t="inlineStr">
        <is>
          <t>pagado</t>
        </is>
      </c>
      <c r="F1083" s="23" t="n">
        <v>46266</v>
      </c>
      <c r="G1083" s="24">
        <f>F1083-DATE(2026,8,31)</f>
        <v>1</v>
      </c>
      <c r="H1083" s="25" t="n">
        <v>86141938</v>
      </c>
      <c r="I1083" t="inlineStr">
        <is>
          <t>entidad-dia</t>
        </is>
      </c>
    </row>
    <row r="1084">
      <c r="A1084" t="inlineStr">
        <is>
          <t>PRAGMA</t>
        </is>
      </c>
      <c r="B1084" t="inlineStr">
        <is>
          <t>M1</t>
        </is>
      </c>
      <c r="C1084" t="inlineStr">
        <is>
          <t>Cali</t>
        </is>
      </c>
      <c r="D1084" t="inlineStr">
        <is>
          <t>2219</t>
        </is>
      </c>
      <c r="E1084" t="inlineStr">
        <is>
          <t>pagado</t>
        </is>
      </c>
      <c r="F1084" s="23" t="n">
        <v>46267</v>
      </c>
      <c r="G1084" s="24">
        <f>F1084-DATE(2026,8,31)</f>
        <v>2</v>
      </c>
      <c r="H1084" s="25" t="n">
        <v>64962788</v>
      </c>
      <c r="I1084" t="inlineStr">
        <is>
          <t>entidad-dia</t>
        </is>
      </c>
    </row>
    <row r="1085">
      <c r="A1085" t="inlineStr">
        <is>
          <t>PRAGMA</t>
        </is>
      </c>
      <c r="B1085" t="inlineStr">
        <is>
          <t>M1</t>
        </is>
      </c>
      <c r="C1085" t="inlineStr">
        <is>
          <t>Cali</t>
        </is>
      </c>
      <c r="D1085" t="inlineStr">
        <is>
          <t>2219</t>
        </is>
      </c>
      <c r="E1085" t="inlineStr">
        <is>
          <t>pagado</t>
        </is>
      </c>
      <c r="F1085" s="23" t="n">
        <v>46268</v>
      </c>
      <c r="G1085" s="24">
        <f>F1085-DATE(2026,8,31)</f>
        <v>3</v>
      </c>
      <c r="H1085" s="25" t="n">
        <v>56303486</v>
      </c>
      <c r="I1085" t="inlineStr">
        <is>
          <t>entidad-dia</t>
        </is>
      </c>
    </row>
    <row r="1086">
      <c r="A1086" t="inlineStr">
        <is>
          <t>PRAGMA</t>
        </is>
      </c>
      <c r="B1086" t="inlineStr">
        <is>
          <t>M1</t>
        </is>
      </c>
      <c r="C1086" t="inlineStr">
        <is>
          <t>Cali</t>
        </is>
      </c>
      <c r="D1086" t="inlineStr">
        <is>
          <t>2219</t>
        </is>
      </c>
      <c r="E1086" t="inlineStr">
        <is>
          <t>pagado</t>
        </is>
      </c>
      <c r="F1086" s="23" t="n">
        <v>46269</v>
      </c>
      <c r="G1086" s="24">
        <f>F1086-DATE(2026,8,31)</f>
        <v>4</v>
      </c>
      <c r="H1086" s="25" t="n">
        <v>63825558</v>
      </c>
      <c r="I1086" t="inlineStr">
        <is>
          <t>entidad-dia</t>
        </is>
      </c>
    </row>
    <row r="1087">
      <c r="A1087" t="inlineStr">
        <is>
          <t>PRAGMA</t>
        </is>
      </c>
      <c r="B1087" t="inlineStr">
        <is>
          <t>M1</t>
        </is>
      </c>
      <c r="C1087" t="inlineStr">
        <is>
          <t>Cali</t>
        </is>
      </c>
      <c r="D1087" t="inlineStr">
        <is>
          <t>2219</t>
        </is>
      </c>
      <c r="E1087" t="inlineStr">
        <is>
          <t>pagado</t>
        </is>
      </c>
      <c r="F1087" s="23" t="n">
        <v>46270</v>
      </c>
      <c r="G1087" s="24">
        <f>F1087-DATE(2026,8,31)</f>
        <v>5</v>
      </c>
      <c r="H1087" s="25" t="n">
        <v>61050955</v>
      </c>
      <c r="I1087" t="inlineStr">
        <is>
          <t>entidad-dia</t>
        </is>
      </c>
    </row>
    <row r="1088">
      <c r="A1088" t="inlineStr">
        <is>
          <t>PRAGMA</t>
        </is>
      </c>
      <c r="B1088" t="inlineStr">
        <is>
          <t>M1</t>
        </is>
      </c>
      <c r="C1088" t="inlineStr">
        <is>
          <t>Cali</t>
        </is>
      </c>
      <c r="D1088" t="inlineStr">
        <is>
          <t>2219</t>
        </is>
      </c>
      <c r="E1088" t="inlineStr">
        <is>
          <t>pagado</t>
        </is>
      </c>
      <c r="F1088" s="23" t="n">
        <v>46271</v>
      </c>
      <c r="G1088" s="24">
        <f>F1088-DATE(2026,8,31)</f>
        <v>6</v>
      </c>
      <c r="H1088" s="25" t="n">
        <v>40536443</v>
      </c>
      <c r="I1088" t="inlineStr">
        <is>
          <t>entidad-dia</t>
        </is>
      </c>
    </row>
    <row r="1089">
      <c r="A1089" t="inlineStr">
        <is>
          <t>PRAGMA</t>
        </is>
      </c>
      <c r="B1089" t="inlineStr">
        <is>
          <t>M1</t>
        </is>
      </c>
      <c r="C1089" t="inlineStr">
        <is>
          <t>Cali</t>
        </is>
      </c>
      <c r="D1089" t="inlineStr">
        <is>
          <t>2219</t>
        </is>
      </c>
      <c r="E1089" t="inlineStr">
        <is>
          <t>pagado</t>
        </is>
      </c>
      <c r="F1089" s="23" t="n">
        <v>46272</v>
      </c>
      <c r="G1089" s="24">
        <f>F1089-DATE(2026,8,31)</f>
        <v>7</v>
      </c>
      <c r="H1089" s="25" t="n">
        <v>37761689</v>
      </c>
      <c r="I1089" t="inlineStr">
        <is>
          <t>entidad-dia</t>
        </is>
      </c>
    </row>
    <row r="1090">
      <c r="A1090" t="inlineStr">
        <is>
          <t>PRAGMA</t>
        </is>
      </c>
      <c r="B1090" t="inlineStr">
        <is>
          <t>M1</t>
        </is>
      </c>
      <c r="C1090" t="inlineStr">
        <is>
          <t>Cali</t>
        </is>
      </c>
      <c r="D1090" t="inlineStr">
        <is>
          <t>2219</t>
        </is>
      </c>
      <c r="E1090" t="inlineStr">
        <is>
          <t>pagado</t>
        </is>
      </c>
      <c r="F1090" s="23" t="n">
        <v>46273</v>
      </c>
      <c r="G1090" s="24">
        <f>F1090-DATE(2026,8,31)</f>
        <v>8</v>
      </c>
      <c r="H1090" s="25" t="n">
        <v>39144088</v>
      </c>
      <c r="I1090" t="inlineStr">
        <is>
          <t>entidad-dia</t>
        </is>
      </c>
    </row>
    <row r="1091">
      <c r="A1091" t="inlineStr">
        <is>
          <t>PRAGMA</t>
        </is>
      </c>
      <c r="B1091" t="inlineStr">
        <is>
          <t>M1</t>
        </is>
      </c>
      <c r="C1091" t="inlineStr">
        <is>
          <t>Cali</t>
        </is>
      </c>
      <c r="D1091" t="inlineStr">
        <is>
          <t>2219</t>
        </is>
      </c>
      <c r="E1091" t="inlineStr">
        <is>
          <t>pagado</t>
        </is>
      </c>
      <c r="F1091" s="23" t="n">
        <v>46274</v>
      </c>
      <c r="G1091" s="24">
        <f>F1091-DATE(2026,8,31)</f>
        <v>9</v>
      </c>
      <c r="H1091" s="25" t="n">
        <v>37116534</v>
      </c>
      <c r="I1091" t="inlineStr">
        <is>
          <t>entidad-dia</t>
        </is>
      </c>
    </row>
    <row r="1092">
      <c r="A1092" t="inlineStr">
        <is>
          <t>PRAGMA</t>
        </is>
      </c>
      <c r="B1092" t="inlineStr">
        <is>
          <t>M1</t>
        </is>
      </c>
      <c r="C1092" t="inlineStr">
        <is>
          <t>Cali</t>
        </is>
      </c>
      <c r="D1092" t="inlineStr">
        <is>
          <t>2219</t>
        </is>
      </c>
      <c r="E1092" t="inlineStr">
        <is>
          <t>pagado</t>
        </is>
      </c>
      <c r="F1092" s="23" t="n">
        <v>46275</v>
      </c>
      <c r="G1092" s="24">
        <f>F1092-DATE(2026,8,31)</f>
        <v>10</v>
      </c>
      <c r="H1092" s="25" t="n">
        <v>41789029</v>
      </c>
      <c r="I1092" t="inlineStr">
        <is>
          <t>entidad-dia</t>
        </is>
      </c>
    </row>
    <row r="1093">
      <c r="A1093" t="inlineStr">
        <is>
          <t>PRAGMA</t>
        </is>
      </c>
      <c r="B1093" t="inlineStr">
        <is>
          <t>M1</t>
        </is>
      </c>
      <c r="C1093" t="inlineStr">
        <is>
          <t>Cali</t>
        </is>
      </c>
      <c r="D1093" t="inlineStr">
        <is>
          <t>2219</t>
        </is>
      </c>
      <c r="E1093" t="inlineStr">
        <is>
          <t>pagado</t>
        </is>
      </c>
      <c r="F1093" s="23" t="n">
        <v>46276</v>
      </c>
      <c r="G1093" s="24">
        <f>F1093-DATE(2026,8,31)</f>
        <v>11</v>
      </c>
      <c r="H1093" s="25" t="n">
        <v>48317312</v>
      </c>
      <c r="I1093" t="inlineStr">
        <is>
          <t>entidad-dia</t>
        </is>
      </c>
    </row>
    <row r="1094">
      <c r="A1094" t="inlineStr">
        <is>
          <t>PRAGMA</t>
        </is>
      </c>
      <c r="B1094" t="inlineStr">
        <is>
          <t>M1</t>
        </is>
      </c>
      <c r="C1094" t="inlineStr">
        <is>
          <t>Cali</t>
        </is>
      </c>
      <c r="D1094" t="inlineStr">
        <is>
          <t>2219</t>
        </is>
      </c>
      <c r="E1094" t="inlineStr">
        <is>
          <t>pagado</t>
        </is>
      </c>
      <c r="F1094" s="23" t="n">
        <v>46277</v>
      </c>
      <c r="G1094" s="24">
        <f>F1094-DATE(2026,8,31)</f>
        <v>12</v>
      </c>
      <c r="H1094" s="25" t="n">
        <v>49730388</v>
      </c>
      <c r="I1094" t="inlineStr">
        <is>
          <t>entidad-dia</t>
        </is>
      </c>
    </row>
    <row r="1095">
      <c r="A1095" t="inlineStr">
        <is>
          <t>PRAGMA</t>
        </is>
      </c>
      <c r="B1095" t="inlineStr">
        <is>
          <t>M1</t>
        </is>
      </c>
      <c r="C1095" t="inlineStr">
        <is>
          <t>Cali</t>
        </is>
      </c>
      <c r="D1095" t="inlineStr">
        <is>
          <t>2219</t>
        </is>
      </c>
      <c r="E1095" t="inlineStr">
        <is>
          <t>pagado</t>
        </is>
      </c>
      <c r="F1095" s="23" t="n">
        <v>46278</v>
      </c>
      <c r="G1095" s="24">
        <f>F1095-DATE(2026,8,31)</f>
        <v>13</v>
      </c>
      <c r="H1095" s="25" t="n">
        <v>35416251</v>
      </c>
      <c r="I1095" t="inlineStr">
        <is>
          <t>entidad-dia</t>
        </is>
      </c>
    </row>
    <row r="1096">
      <c r="A1096" t="inlineStr">
        <is>
          <t>PRAGMA</t>
        </is>
      </c>
      <c r="B1096" t="inlineStr">
        <is>
          <t>M1</t>
        </is>
      </c>
      <c r="C1096" t="inlineStr">
        <is>
          <t>Cali</t>
        </is>
      </c>
      <c r="D1096" t="inlineStr">
        <is>
          <t>2219</t>
        </is>
      </c>
      <c r="E1096" t="inlineStr">
        <is>
          <t>pagado</t>
        </is>
      </c>
      <c r="F1096" s="23" t="n">
        <v>46279</v>
      </c>
      <c r="G1096" s="24">
        <f>F1096-DATE(2026,8,31)</f>
        <v>14</v>
      </c>
      <c r="H1096" s="25" t="n">
        <v>47298587</v>
      </c>
      <c r="I1096" t="inlineStr">
        <is>
          <t>entidad-dia</t>
        </is>
      </c>
    </row>
    <row r="1097">
      <c r="A1097" t="inlineStr">
        <is>
          <t>PRAGMA</t>
        </is>
      </c>
      <c r="B1097" t="inlineStr">
        <is>
          <t>M1</t>
        </is>
      </c>
      <c r="C1097" t="inlineStr">
        <is>
          <t>Cali</t>
        </is>
      </c>
      <c r="D1097" t="inlineStr">
        <is>
          <t>2219</t>
        </is>
      </c>
      <c r="E1097" t="inlineStr">
        <is>
          <t>pagado</t>
        </is>
      </c>
      <c r="F1097" s="23" t="n">
        <v>46280</v>
      </c>
      <c r="G1097" s="24">
        <f>F1097-DATE(2026,8,31)</f>
        <v>15</v>
      </c>
      <c r="H1097" s="25" t="n">
        <v>77986535</v>
      </c>
      <c r="I1097" t="inlineStr">
        <is>
          <t>entidad-dia</t>
        </is>
      </c>
    </row>
    <row r="1098">
      <c r="A1098" t="inlineStr">
        <is>
          <t>PRAGMA</t>
        </is>
      </c>
      <c r="B1098" t="inlineStr">
        <is>
          <t>M1</t>
        </is>
      </c>
      <c r="C1098" t="inlineStr">
        <is>
          <t>Cali</t>
        </is>
      </c>
      <c r="D1098" t="inlineStr">
        <is>
          <t>2226</t>
        </is>
      </c>
      <c r="E1098" t="inlineStr">
        <is>
          <t>pagado</t>
        </is>
      </c>
      <c r="F1098" s="23" t="n">
        <v>46266</v>
      </c>
      <c r="G1098" s="24">
        <f>F1098-DATE(2026,8,31)</f>
        <v>1</v>
      </c>
      <c r="H1098" s="25" t="n">
        <v>174951204</v>
      </c>
      <c r="I1098" t="inlineStr">
        <is>
          <t>entidad-dia</t>
        </is>
      </c>
    </row>
    <row r="1099">
      <c r="A1099" t="inlineStr">
        <is>
          <t>PRAGMA</t>
        </is>
      </c>
      <c r="B1099" t="inlineStr">
        <is>
          <t>M1</t>
        </is>
      </c>
      <c r="C1099" t="inlineStr">
        <is>
          <t>Cali</t>
        </is>
      </c>
      <c r="D1099" t="inlineStr">
        <is>
          <t>2226</t>
        </is>
      </c>
      <c r="E1099" t="inlineStr">
        <is>
          <t>pagado</t>
        </is>
      </c>
      <c r="F1099" s="23" t="n">
        <v>46267</v>
      </c>
      <c r="G1099" s="24">
        <f>F1099-DATE(2026,8,31)</f>
        <v>2</v>
      </c>
      <c r="H1099" s="25" t="n">
        <v>138604335</v>
      </c>
      <c r="I1099" t="inlineStr">
        <is>
          <t>entidad-dia</t>
        </is>
      </c>
    </row>
    <row r="1100">
      <c r="A1100" t="inlineStr">
        <is>
          <t>PRAGMA</t>
        </is>
      </c>
      <c r="B1100" t="inlineStr">
        <is>
          <t>M1</t>
        </is>
      </c>
      <c r="C1100" t="inlineStr">
        <is>
          <t>Cali</t>
        </is>
      </c>
      <c r="D1100" t="inlineStr">
        <is>
          <t>2226</t>
        </is>
      </c>
      <c r="E1100" t="inlineStr">
        <is>
          <t>pagado</t>
        </is>
      </c>
      <c r="F1100" s="23" t="n">
        <v>46268</v>
      </c>
      <c r="G1100" s="24">
        <f>F1100-DATE(2026,8,31)</f>
        <v>3</v>
      </c>
      <c r="H1100" s="25" t="n">
        <v>124326034</v>
      </c>
      <c r="I1100" t="inlineStr">
        <is>
          <t>entidad-dia</t>
        </is>
      </c>
    </row>
    <row r="1101">
      <c r="A1101" t="inlineStr">
        <is>
          <t>PRAGMA</t>
        </is>
      </c>
      <c r="B1101" t="inlineStr">
        <is>
          <t>M1</t>
        </is>
      </c>
      <c r="C1101" t="inlineStr">
        <is>
          <t>Cali</t>
        </is>
      </c>
      <c r="D1101" t="inlineStr">
        <is>
          <t>2226</t>
        </is>
      </c>
      <c r="E1101" t="inlineStr">
        <is>
          <t>pagado</t>
        </is>
      </c>
      <c r="F1101" s="23" t="n">
        <v>46269</v>
      </c>
      <c r="G1101" s="24">
        <f>F1101-DATE(2026,8,31)</f>
        <v>4</v>
      </c>
      <c r="H1101" s="25" t="n">
        <v>135563016</v>
      </c>
      <c r="I1101" t="inlineStr">
        <is>
          <t>entidad-dia</t>
        </is>
      </c>
    </row>
    <row r="1102">
      <c r="A1102" t="inlineStr">
        <is>
          <t>PRAGMA</t>
        </is>
      </c>
      <c r="B1102" t="inlineStr">
        <is>
          <t>M1</t>
        </is>
      </c>
      <c r="C1102" t="inlineStr">
        <is>
          <t>Cali</t>
        </is>
      </c>
      <c r="D1102" t="inlineStr">
        <is>
          <t>2226</t>
        </is>
      </c>
      <c r="E1102" t="inlineStr">
        <is>
          <t>pagado</t>
        </is>
      </c>
      <c r="F1102" s="23" t="n">
        <v>46270</v>
      </c>
      <c r="G1102" s="24">
        <f>F1102-DATE(2026,8,31)</f>
        <v>5</v>
      </c>
      <c r="H1102" s="25" t="n">
        <v>133242999</v>
      </c>
      <c r="I1102" t="inlineStr">
        <is>
          <t>entidad-dia</t>
        </is>
      </c>
    </row>
    <row r="1103">
      <c r="A1103" t="inlineStr">
        <is>
          <t>PRAGMA</t>
        </is>
      </c>
      <c r="B1103" t="inlineStr">
        <is>
          <t>M1</t>
        </is>
      </c>
      <c r="C1103" t="inlineStr">
        <is>
          <t>Cali</t>
        </is>
      </c>
      <c r="D1103" t="inlineStr">
        <is>
          <t>2226</t>
        </is>
      </c>
      <c r="E1103" t="inlineStr">
        <is>
          <t>pagado</t>
        </is>
      </c>
      <c r="F1103" s="23" t="n">
        <v>46271</v>
      </c>
      <c r="G1103" s="24">
        <f>F1103-DATE(2026,8,31)</f>
        <v>6</v>
      </c>
      <c r="H1103" s="25" t="n">
        <v>107989826</v>
      </c>
      <c r="I1103" t="inlineStr">
        <is>
          <t>entidad-dia</t>
        </is>
      </c>
    </row>
    <row r="1104">
      <c r="A1104" t="inlineStr">
        <is>
          <t>PRAGMA</t>
        </is>
      </c>
      <c r="B1104" t="inlineStr">
        <is>
          <t>M1</t>
        </is>
      </c>
      <c r="C1104" t="inlineStr">
        <is>
          <t>Cali</t>
        </is>
      </c>
      <c r="D1104" t="inlineStr">
        <is>
          <t>2226</t>
        </is>
      </c>
      <c r="E1104" t="inlineStr">
        <is>
          <t>pagado</t>
        </is>
      </c>
      <c r="F1104" s="23" t="n">
        <v>46272</v>
      </c>
      <c r="G1104" s="24">
        <f>F1104-DATE(2026,8,31)</f>
        <v>7</v>
      </c>
      <c r="H1104" s="25" t="n">
        <v>102803848</v>
      </c>
      <c r="I1104" t="inlineStr">
        <is>
          <t>entidad-dia</t>
        </is>
      </c>
    </row>
    <row r="1105">
      <c r="A1105" t="inlineStr">
        <is>
          <t>PRAGMA</t>
        </is>
      </c>
      <c r="B1105" t="inlineStr">
        <is>
          <t>M1</t>
        </is>
      </c>
      <c r="C1105" t="inlineStr">
        <is>
          <t>Cali</t>
        </is>
      </c>
      <c r="D1105" t="inlineStr">
        <is>
          <t>2226</t>
        </is>
      </c>
      <c r="E1105" t="inlineStr">
        <is>
          <t>pagado</t>
        </is>
      </c>
      <c r="F1105" s="23" t="n">
        <v>46273</v>
      </c>
      <c r="G1105" s="24">
        <f>F1105-DATE(2026,8,31)</f>
        <v>8</v>
      </c>
      <c r="H1105" s="25" t="n">
        <v>95798342</v>
      </c>
      <c r="I1105" t="inlineStr">
        <is>
          <t>entidad-dia</t>
        </is>
      </c>
    </row>
    <row r="1106">
      <c r="A1106" t="inlineStr">
        <is>
          <t>PRAGMA</t>
        </is>
      </c>
      <c r="B1106" t="inlineStr">
        <is>
          <t>M1</t>
        </is>
      </c>
      <c r="C1106" t="inlineStr">
        <is>
          <t>Cali</t>
        </is>
      </c>
      <c r="D1106" t="inlineStr">
        <is>
          <t>2226</t>
        </is>
      </c>
      <c r="E1106" t="inlineStr">
        <is>
          <t>pagado</t>
        </is>
      </c>
      <c r="F1106" s="23" t="n">
        <v>46274</v>
      </c>
      <c r="G1106" s="24">
        <f>F1106-DATE(2026,8,31)</f>
        <v>9</v>
      </c>
      <c r="H1106" s="25" t="n">
        <v>99481750</v>
      </c>
      <c r="I1106" t="inlineStr">
        <is>
          <t>entidad-dia</t>
        </is>
      </c>
    </row>
    <row r="1107">
      <c r="A1107" t="inlineStr">
        <is>
          <t>PRAGMA</t>
        </is>
      </c>
      <c r="B1107" t="inlineStr">
        <is>
          <t>M1</t>
        </is>
      </c>
      <c r="C1107" t="inlineStr">
        <is>
          <t>Cali</t>
        </is>
      </c>
      <c r="D1107" t="inlineStr">
        <is>
          <t>2226</t>
        </is>
      </c>
      <c r="E1107" t="inlineStr">
        <is>
          <t>pagado</t>
        </is>
      </c>
      <c r="F1107" s="23" t="n">
        <v>46275</v>
      </c>
      <c r="G1107" s="24">
        <f>F1107-DATE(2026,8,31)</f>
        <v>10</v>
      </c>
      <c r="H1107" s="25" t="n">
        <v>90422943</v>
      </c>
      <c r="I1107" t="inlineStr">
        <is>
          <t>entidad-dia</t>
        </is>
      </c>
    </row>
    <row r="1108">
      <c r="A1108" t="inlineStr">
        <is>
          <t>PRAGMA</t>
        </is>
      </c>
      <c r="B1108" t="inlineStr">
        <is>
          <t>M1</t>
        </is>
      </c>
      <c r="C1108" t="inlineStr">
        <is>
          <t>Cali</t>
        </is>
      </c>
      <c r="D1108" t="inlineStr">
        <is>
          <t>2226</t>
        </is>
      </c>
      <c r="E1108" t="inlineStr">
        <is>
          <t>pagado</t>
        </is>
      </c>
      <c r="F1108" s="23" t="n">
        <v>46276</v>
      </c>
      <c r="G1108" s="24">
        <f>F1108-DATE(2026,8,31)</f>
        <v>11</v>
      </c>
      <c r="H1108" s="25" t="n">
        <v>108783169</v>
      </c>
      <c r="I1108" t="inlineStr">
        <is>
          <t>entidad-dia</t>
        </is>
      </c>
    </row>
    <row r="1109">
      <c r="A1109" t="inlineStr">
        <is>
          <t>PRAGMA</t>
        </is>
      </c>
      <c r="B1109" t="inlineStr">
        <is>
          <t>M1</t>
        </is>
      </c>
      <c r="C1109" t="inlineStr">
        <is>
          <t>Cali</t>
        </is>
      </c>
      <c r="D1109" t="inlineStr">
        <is>
          <t>2226</t>
        </is>
      </c>
      <c r="E1109" t="inlineStr">
        <is>
          <t>pagado</t>
        </is>
      </c>
      <c r="F1109" s="23" t="n">
        <v>46277</v>
      </c>
      <c r="G1109" s="24">
        <f>F1109-DATE(2026,8,31)</f>
        <v>12</v>
      </c>
      <c r="H1109" s="25" t="n">
        <v>108011385</v>
      </c>
      <c r="I1109" t="inlineStr">
        <is>
          <t>entidad-dia</t>
        </is>
      </c>
    </row>
    <row r="1110">
      <c r="A1110" t="inlineStr">
        <is>
          <t>PRAGMA</t>
        </is>
      </c>
      <c r="B1110" t="inlineStr">
        <is>
          <t>M1</t>
        </is>
      </c>
      <c r="C1110" t="inlineStr">
        <is>
          <t>Cali</t>
        </is>
      </c>
      <c r="D1110" t="inlineStr">
        <is>
          <t>2226</t>
        </is>
      </c>
      <c r="E1110" t="inlineStr">
        <is>
          <t>pagado</t>
        </is>
      </c>
      <c r="F1110" s="23" t="n">
        <v>46278</v>
      </c>
      <c r="G1110" s="24">
        <f>F1110-DATE(2026,8,31)</f>
        <v>13</v>
      </c>
      <c r="H1110" s="25" t="n">
        <v>88548047</v>
      </c>
      <c r="I1110" t="inlineStr">
        <is>
          <t>entidad-dia</t>
        </is>
      </c>
    </row>
    <row r="1111">
      <c r="A1111" t="inlineStr">
        <is>
          <t>PRAGMA</t>
        </is>
      </c>
      <c r="B1111" t="inlineStr">
        <is>
          <t>M1</t>
        </is>
      </c>
      <c r="C1111" t="inlineStr">
        <is>
          <t>Cali</t>
        </is>
      </c>
      <c r="D1111" t="inlineStr">
        <is>
          <t>2226</t>
        </is>
      </c>
      <c r="E1111" t="inlineStr">
        <is>
          <t>pagado</t>
        </is>
      </c>
      <c r="F1111" s="23" t="n">
        <v>46279</v>
      </c>
      <c r="G1111" s="24">
        <f>F1111-DATE(2026,8,31)</f>
        <v>14</v>
      </c>
      <c r="H1111" s="25" t="n">
        <v>89344666</v>
      </c>
      <c r="I1111" t="inlineStr">
        <is>
          <t>entidad-dia</t>
        </is>
      </c>
    </row>
    <row r="1112">
      <c r="A1112" t="inlineStr">
        <is>
          <t>PRAGMA</t>
        </is>
      </c>
      <c r="B1112" t="inlineStr">
        <is>
          <t>M1</t>
        </is>
      </c>
      <c r="C1112" t="inlineStr">
        <is>
          <t>Cali</t>
        </is>
      </c>
      <c r="D1112" t="inlineStr">
        <is>
          <t>2226</t>
        </is>
      </c>
      <c r="E1112" t="inlineStr">
        <is>
          <t>pagado</t>
        </is>
      </c>
      <c r="F1112" s="23" t="n">
        <v>46280</v>
      </c>
      <c r="G1112" s="24">
        <f>F1112-DATE(2026,8,31)</f>
        <v>15</v>
      </c>
      <c r="H1112" s="25" t="n">
        <v>139661916</v>
      </c>
      <c r="I1112" t="inlineStr">
        <is>
          <t>entidad-dia</t>
        </is>
      </c>
    </row>
    <row r="1113">
      <c r="A1113" t="inlineStr">
        <is>
          <t>PRAGMA</t>
        </is>
      </c>
      <c r="B1113" t="inlineStr">
        <is>
          <t>M1</t>
        </is>
      </c>
      <c r="C1113" t="inlineStr">
        <is>
          <t>Cali</t>
        </is>
      </c>
      <c r="D1113" t="inlineStr">
        <is>
          <t>2299</t>
        </is>
      </c>
      <c r="E1113" t="inlineStr">
        <is>
          <t>pagado</t>
        </is>
      </c>
      <c r="F1113" s="23" t="n">
        <v>46266</v>
      </c>
      <c r="G1113" s="24">
        <f>F1113-DATE(2026,8,31)</f>
        <v>1</v>
      </c>
      <c r="H1113" s="25" t="n">
        <v>163582869</v>
      </c>
      <c r="I1113" t="inlineStr">
        <is>
          <t>entidad-dia</t>
        </is>
      </c>
    </row>
    <row r="1114">
      <c r="A1114" t="inlineStr">
        <is>
          <t>PRAGMA</t>
        </is>
      </c>
      <c r="B1114" t="inlineStr">
        <is>
          <t>M1</t>
        </is>
      </c>
      <c r="C1114" t="inlineStr">
        <is>
          <t>Cali</t>
        </is>
      </c>
      <c r="D1114" t="inlineStr">
        <is>
          <t>2299</t>
        </is>
      </c>
      <c r="E1114" t="inlineStr">
        <is>
          <t>pagado</t>
        </is>
      </c>
      <c r="F1114" s="23" t="n">
        <v>46267</v>
      </c>
      <c r="G1114" s="24">
        <f>F1114-DATE(2026,8,31)</f>
        <v>2</v>
      </c>
      <c r="H1114" s="25" t="n">
        <v>119139632</v>
      </c>
      <c r="I1114" t="inlineStr">
        <is>
          <t>entidad-dia</t>
        </is>
      </c>
    </row>
    <row r="1115">
      <c r="A1115" t="inlineStr">
        <is>
          <t>PRAGMA</t>
        </is>
      </c>
      <c r="B1115" t="inlineStr">
        <is>
          <t>M1</t>
        </is>
      </c>
      <c r="C1115" t="inlineStr">
        <is>
          <t>Cali</t>
        </is>
      </c>
      <c r="D1115" t="inlineStr">
        <is>
          <t>2299</t>
        </is>
      </c>
      <c r="E1115" t="inlineStr">
        <is>
          <t>pagado</t>
        </is>
      </c>
      <c r="F1115" s="23" t="n">
        <v>46268</v>
      </c>
      <c r="G1115" s="24">
        <f>F1115-DATE(2026,8,31)</f>
        <v>3</v>
      </c>
      <c r="H1115" s="25" t="n">
        <v>118205075</v>
      </c>
      <c r="I1115" t="inlineStr">
        <is>
          <t>entidad-dia</t>
        </is>
      </c>
    </row>
    <row r="1116">
      <c r="A1116" t="inlineStr">
        <is>
          <t>PRAGMA</t>
        </is>
      </c>
      <c r="B1116" t="inlineStr">
        <is>
          <t>M1</t>
        </is>
      </c>
      <c r="C1116" t="inlineStr">
        <is>
          <t>Cali</t>
        </is>
      </c>
      <c r="D1116" t="inlineStr">
        <is>
          <t>2299</t>
        </is>
      </c>
      <c r="E1116" t="inlineStr">
        <is>
          <t>pagado</t>
        </is>
      </c>
      <c r="F1116" s="23" t="n">
        <v>46269</v>
      </c>
      <c r="G1116" s="24">
        <f>F1116-DATE(2026,8,31)</f>
        <v>4</v>
      </c>
      <c r="H1116" s="25" t="n">
        <v>122528820</v>
      </c>
      <c r="I1116" t="inlineStr">
        <is>
          <t>entidad-dia</t>
        </is>
      </c>
    </row>
    <row r="1117">
      <c r="A1117" t="inlineStr">
        <is>
          <t>PRAGMA</t>
        </is>
      </c>
      <c r="B1117" t="inlineStr">
        <is>
          <t>M1</t>
        </is>
      </c>
      <c r="C1117" t="inlineStr">
        <is>
          <t>Cali</t>
        </is>
      </c>
      <c r="D1117" t="inlineStr">
        <is>
          <t>2299</t>
        </is>
      </c>
      <c r="E1117" t="inlineStr">
        <is>
          <t>pagado</t>
        </is>
      </c>
      <c r="F1117" s="23" t="n">
        <v>46270</v>
      </c>
      <c r="G1117" s="24">
        <f>F1117-DATE(2026,8,31)</f>
        <v>5</v>
      </c>
      <c r="H1117" s="25" t="n">
        <v>141936335</v>
      </c>
      <c r="I1117" t="inlineStr">
        <is>
          <t>entidad-dia</t>
        </is>
      </c>
    </row>
    <row r="1118">
      <c r="A1118" t="inlineStr">
        <is>
          <t>PRAGMA</t>
        </is>
      </c>
      <c r="B1118" t="inlineStr">
        <is>
          <t>M1</t>
        </is>
      </c>
      <c r="C1118" t="inlineStr">
        <is>
          <t>Cali</t>
        </is>
      </c>
      <c r="D1118" t="inlineStr">
        <is>
          <t>2299</t>
        </is>
      </c>
      <c r="E1118" t="inlineStr">
        <is>
          <t>pagado</t>
        </is>
      </c>
      <c r="F1118" s="23" t="n">
        <v>46271</v>
      </c>
      <c r="G1118" s="24">
        <f>F1118-DATE(2026,8,31)</f>
        <v>6</v>
      </c>
      <c r="H1118" s="25" t="n">
        <v>97096918</v>
      </c>
      <c r="I1118" t="inlineStr">
        <is>
          <t>entidad-dia</t>
        </is>
      </c>
    </row>
    <row r="1119">
      <c r="A1119" t="inlineStr">
        <is>
          <t>PRAGMA</t>
        </is>
      </c>
      <c r="B1119" t="inlineStr">
        <is>
          <t>M1</t>
        </is>
      </c>
      <c r="C1119" t="inlineStr">
        <is>
          <t>Cali</t>
        </is>
      </c>
      <c r="D1119" t="inlineStr">
        <is>
          <t>2299</t>
        </is>
      </c>
      <c r="E1119" t="inlineStr">
        <is>
          <t>pagado</t>
        </is>
      </c>
      <c r="F1119" s="23" t="n">
        <v>46272</v>
      </c>
      <c r="G1119" s="24">
        <f>F1119-DATE(2026,8,31)</f>
        <v>7</v>
      </c>
      <c r="H1119" s="25" t="n">
        <v>92323478</v>
      </c>
      <c r="I1119" t="inlineStr">
        <is>
          <t>entidad-dia</t>
        </is>
      </c>
    </row>
    <row r="1120">
      <c r="A1120" t="inlineStr">
        <is>
          <t>PRAGMA</t>
        </is>
      </c>
      <c r="B1120" t="inlineStr">
        <is>
          <t>M1</t>
        </is>
      </c>
      <c r="C1120" t="inlineStr">
        <is>
          <t>Cali</t>
        </is>
      </c>
      <c r="D1120" t="inlineStr">
        <is>
          <t>2299</t>
        </is>
      </c>
      <c r="E1120" t="inlineStr">
        <is>
          <t>pagado</t>
        </is>
      </c>
      <c r="F1120" s="23" t="n">
        <v>46273</v>
      </c>
      <c r="G1120" s="24">
        <f>F1120-DATE(2026,8,31)</f>
        <v>8</v>
      </c>
      <c r="H1120" s="25" t="n">
        <v>88848193</v>
      </c>
      <c r="I1120" t="inlineStr">
        <is>
          <t>entidad-dia</t>
        </is>
      </c>
    </row>
    <row r="1121">
      <c r="A1121" t="inlineStr">
        <is>
          <t>PRAGMA</t>
        </is>
      </c>
      <c r="B1121" t="inlineStr">
        <is>
          <t>M1</t>
        </is>
      </c>
      <c r="C1121" t="inlineStr">
        <is>
          <t>Cali</t>
        </is>
      </c>
      <c r="D1121" t="inlineStr">
        <is>
          <t>2299</t>
        </is>
      </c>
      <c r="E1121" t="inlineStr">
        <is>
          <t>pagado</t>
        </is>
      </c>
      <c r="F1121" s="23" t="n">
        <v>46274</v>
      </c>
      <c r="G1121" s="24">
        <f>F1121-DATE(2026,8,31)</f>
        <v>9</v>
      </c>
      <c r="H1121" s="25" t="n">
        <v>86843220</v>
      </c>
      <c r="I1121" t="inlineStr">
        <is>
          <t>entidad-dia</t>
        </is>
      </c>
    </row>
    <row r="1122">
      <c r="A1122" t="inlineStr">
        <is>
          <t>PRAGMA</t>
        </is>
      </c>
      <c r="B1122" t="inlineStr">
        <is>
          <t>M1</t>
        </is>
      </c>
      <c r="C1122" t="inlineStr">
        <is>
          <t>Cali</t>
        </is>
      </c>
      <c r="D1122" t="inlineStr">
        <is>
          <t>2299</t>
        </is>
      </c>
      <c r="E1122" t="inlineStr">
        <is>
          <t>pagado</t>
        </is>
      </c>
      <c r="F1122" s="23" t="n">
        <v>46275</v>
      </c>
      <c r="G1122" s="24">
        <f>F1122-DATE(2026,8,31)</f>
        <v>10</v>
      </c>
      <c r="H1122" s="25" t="n">
        <v>79617970</v>
      </c>
      <c r="I1122" t="inlineStr">
        <is>
          <t>entidad-dia</t>
        </is>
      </c>
    </row>
    <row r="1123">
      <c r="A1123" t="inlineStr">
        <is>
          <t>PRAGMA</t>
        </is>
      </c>
      <c r="B1123" t="inlineStr">
        <is>
          <t>M1</t>
        </is>
      </c>
      <c r="C1123" t="inlineStr">
        <is>
          <t>Cali</t>
        </is>
      </c>
      <c r="D1123" t="inlineStr">
        <is>
          <t>2299</t>
        </is>
      </c>
      <c r="E1123" t="inlineStr">
        <is>
          <t>pagado</t>
        </is>
      </c>
      <c r="F1123" s="23" t="n">
        <v>46276</v>
      </c>
      <c r="G1123" s="24">
        <f>F1123-DATE(2026,8,31)</f>
        <v>11</v>
      </c>
      <c r="H1123" s="25" t="n">
        <v>90833797</v>
      </c>
      <c r="I1123" t="inlineStr">
        <is>
          <t>entidad-dia</t>
        </is>
      </c>
    </row>
    <row r="1124">
      <c r="A1124" t="inlineStr">
        <is>
          <t>PRAGMA</t>
        </is>
      </c>
      <c r="B1124" t="inlineStr">
        <is>
          <t>M1</t>
        </is>
      </c>
      <c r="C1124" t="inlineStr">
        <is>
          <t>Cali</t>
        </is>
      </c>
      <c r="D1124" t="inlineStr">
        <is>
          <t>2299</t>
        </is>
      </c>
      <c r="E1124" t="inlineStr">
        <is>
          <t>pagado</t>
        </is>
      </c>
      <c r="F1124" s="23" t="n">
        <v>46277</v>
      </c>
      <c r="G1124" s="24">
        <f>F1124-DATE(2026,8,31)</f>
        <v>12</v>
      </c>
      <c r="H1124" s="25" t="n">
        <v>102318609</v>
      </c>
      <c r="I1124" t="inlineStr">
        <is>
          <t>entidad-dia</t>
        </is>
      </c>
    </row>
    <row r="1125">
      <c r="A1125" t="inlineStr">
        <is>
          <t>PRAGMA</t>
        </is>
      </c>
      <c r="B1125" t="inlineStr">
        <is>
          <t>M1</t>
        </is>
      </c>
      <c r="C1125" t="inlineStr">
        <is>
          <t>Cali</t>
        </is>
      </c>
      <c r="D1125" t="inlineStr">
        <is>
          <t>2299</t>
        </is>
      </c>
      <c r="E1125" t="inlineStr">
        <is>
          <t>pagado</t>
        </is>
      </c>
      <c r="F1125" s="23" t="n">
        <v>46278</v>
      </c>
      <c r="G1125" s="24">
        <f>F1125-DATE(2026,8,31)</f>
        <v>13</v>
      </c>
      <c r="H1125" s="25" t="n">
        <v>74437095</v>
      </c>
      <c r="I1125" t="inlineStr">
        <is>
          <t>entidad-dia</t>
        </is>
      </c>
    </row>
    <row r="1126">
      <c r="A1126" t="inlineStr">
        <is>
          <t>PRAGMA</t>
        </is>
      </c>
      <c r="B1126" t="inlineStr">
        <is>
          <t>M1</t>
        </is>
      </c>
      <c r="C1126" t="inlineStr">
        <is>
          <t>Cali</t>
        </is>
      </c>
      <c r="D1126" t="inlineStr">
        <is>
          <t>2299</t>
        </is>
      </c>
      <c r="E1126" t="inlineStr">
        <is>
          <t>pagado</t>
        </is>
      </c>
      <c r="F1126" s="23" t="n">
        <v>46279</v>
      </c>
      <c r="G1126" s="24">
        <f>F1126-DATE(2026,8,31)</f>
        <v>14</v>
      </c>
      <c r="H1126" s="25" t="n">
        <v>82791552</v>
      </c>
      <c r="I1126" t="inlineStr">
        <is>
          <t>entidad-dia</t>
        </is>
      </c>
    </row>
    <row r="1127">
      <c r="A1127" t="inlineStr">
        <is>
          <t>PRAGMA</t>
        </is>
      </c>
      <c r="B1127" t="inlineStr">
        <is>
          <t>M1</t>
        </is>
      </c>
      <c r="C1127" t="inlineStr">
        <is>
          <t>Cali</t>
        </is>
      </c>
      <c r="D1127" t="inlineStr">
        <is>
          <t>2299</t>
        </is>
      </c>
      <c r="E1127" t="inlineStr">
        <is>
          <t>pagado</t>
        </is>
      </c>
      <c r="F1127" s="23" t="n">
        <v>46280</v>
      </c>
      <c r="G1127" s="24">
        <f>F1127-DATE(2026,8,31)</f>
        <v>15</v>
      </c>
      <c r="H1127" s="25" t="n">
        <v>114681693</v>
      </c>
      <c r="I1127" t="inlineStr">
        <is>
          <t>entidad-dia</t>
        </is>
      </c>
    </row>
    <row r="1128">
      <c r="A1128" t="inlineStr">
        <is>
          <t>PRAGMA</t>
        </is>
      </c>
      <c r="B1128" t="inlineStr">
        <is>
          <t>M1</t>
        </is>
      </c>
      <c r="C1128" t="inlineStr">
        <is>
          <t>Cali</t>
        </is>
      </c>
      <c r="D1128" t="inlineStr">
        <is>
          <t>2319</t>
        </is>
      </c>
      <c r="E1128" t="inlineStr">
        <is>
          <t>pagado</t>
        </is>
      </c>
      <c r="F1128" s="23" t="n">
        <v>46266</v>
      </c>
      <c r="G1128" s="24">
        <f>F1128-DATE(2026,8,31)</f>
        <v>1</v>
      </c>
      <c r="H1128" s="25" t="n">
        <v>18575506</v>
      </c>
      <c r="I1128" t="inlineStr">
        <is>
          <t>entidad-dia</t>
        </is>
      </c>
    </row>
    <row r="1129">
      <c r="A1129" t="inlineStr">
        <is>
          <t>PRAGMA</t>
        </is>
      </c>
      <c r="B1129" t="inlineStr">
        <is>
          <t>M1</t>
        </is>
      </c>
      <c r="C1129" t="inlineStr">
        <is>
          <t>Cali</t>
        </is>
      </c>
      <c r="D1129" t="inlineStr">
        <is>
          <t>2319</t>
        </is>
      </c>
      <c r="E1129" t="inlineStr">
        <is>
          <t>pagado</t>
        </is>
      </c>
      <c r="F1129" s="23" t="n">
        <v>46267</v>
      </c>
      <c r="G1129" s="24">
        <f>F1129-DATE(2026,8,31)</f>
        <v>2</v>
      </c>
      <c r="H1129" s="25" t="n">
        <v>16305305</v>
      </c>
      <c r="I1129" t="inlineStr">
        <is>
          <t>entidad-dia</t>
        </is>
      </c>
    </row>
    <row r="1130">
      <c r="A1130" t="inlineStr">
        <is>
          <t>PRAGMA</t>
        </is>
      </c>
      <c r="B1130" t="inlineStr">
        <is>
          <t>M1</t>
        </is>
      </c>
      <c r="C1130" t="inlineStr">
        <is>
          <t>Cali</t>
        </is>
      </c>
      <c r="D1130" t="inlineStr">
        <is>
          <t>2319</t>
        </is>
      </c>
      <c r="E1130" t="inlineStr">
        <is>
          <t>pagado</t>
        </is>
      </c>
      <c r="F1130" s="23" t="n">
        <v>46268</v>
      </c>
      <c r="G1130" s="24">
        <f>F1130-DATE(2026,8,31)</f>
        <v>3</v>
      </c>
      <c r="H1130" s="25" t="n">
        <v>11266447</v>
      </c>
      <c r="I1130" t="inlineStr">
        <is>
          <t>entidad-dia</t>
        </is>
      </c>
    </row>
    <row r="1131">
      <c r="A1131" t="inlineStr">
        <is>
          <t>PRAGMA</t>
        </is>
      </c>
      <c r="B1131" t="inlineStr">
        <is>
          <t>M1</t>
        </is>
      </c>
      <c r="C1131" t="inlineStr">
        <is>
          <t>Cali</t>
        </is>
      </c>
      <c r="D1131" t="inlineStr">
        <is>
          <t>2319</t>
        </is>
      </c>
      <c r="E1131" t="inlineStr">
        <is>
          <t>pagado</t>
        </is>
      </c>
      <c r="F1131" s="23" t="n">
        <v>46269</v>
      </c>
      <c r="G1131" s="24">
        <f>F1131-DATE(2026,8,31)</f>
        <v>4</v>
      </c>
      <c r="H1131" s="25" t="n">
        <v>15754601</v>
      </c>
      <c r="I1131" t="inlineStr">
        <is>
          <t>entidad-dia</t>
        </is>
      </c>
    </row>
    <row r="1132">
      <c r="A1132" t="inlineStr">
        <is>
          <t>PRAGMA</t>
        </is>
      </c>
      <c r="B1132" t="inlineStr">
        <is>
          <t>M1</t>
        </is>
      </c>
      <c r="C1132" t="inlineStr">
        <is>
          <t>Cali</t>
        </is>
      </c>
      <c r="D1132" t="inlineStr">
        <is>
          <t>2319</t>
        </is>
      </c>
      <c r="E1132" t="inlineStr">
        <is>
          <t>pagado</t>
        </is>
      </c>
      <c r="F1132" s="23" t="n">
        <v>46270</v>
      </c>
      <c r="G1132" s="24">
        <f>F1132-DATE(2026,8,31)</f>
        <v>5</v>
      </c>
      <c r="H1132" s="25" t="n">
        <v>9829656</v>
      </c>
      <c r="I1132" t="inlineStr">
        <is>
          <t>entidad-dia</t>
        </is>
      </c>
    </row>
    <row r="1133">
      <c r="A1133" t="inlineStr">
        <is>
          <t>PRAGMA</t>
        </is>
      </c>
      <c r="B1133" t="inlineStr">
        <is>
          <t>M1</t>
        </is>
      </c>
      <c r="C1133" t="inlineStr">
        <is>
          <t>Cali</t>
        </is>
      </c>
      <c r="D1133" t="inlineStr">
        <is>
          <t>2319</t>
        </is>
      </c>
      <c r="E1133" t="inlineStr">
        <is>
          <t>pagado</t>
        </is>
      </c>
      <c r="F1133" s="23" t="n">
        <v>46271</v>
      </c>
      <c r="G1133" s="24">
        <f>F1133-DATE(2026,8,31)</f>
        <v>6</v>
      </c>
      <c r="H1133" s="25" t="n">
        <v>1234367</v>
      </c>
      <c r="I1133" t="inlineStr">
        <is>
          <t>entidad-dia</t>
        </is>
      </c>
    </row>
    <row r="1134">
      <c r="A1134" t="inlineStr">
        <is>
          <t>PRAGMA</t>
        </is>
      </c>
      <c r="B1134" t="inlineStr">
        <is>
          <t>M1</t>
        </is>
      </c>
      <c r="C1134" t="inlineStr">
        <is>
          <t>Cali</t>
        </is>
      </c>
      <c r="D1134" t="inlineStr">
        <is>
          <t>2319</t>
        </is>
      </c>
      <c r="E1134" t="inlineStr">
        <is>
          <t>pagado</t>
        </is>
      </c>
      <c r="F1134" s="23" t="n">
        <v>46272</v>
      </c>
      <c r="G1134" s="24">
        <f>F1134-DATE(2026,8,31)</f>
        <v>7</v>
      </c>
      <c r="H1134" s="25" t="n">
        <v>9657709</v>
      </c>
      <c r="I1134" t="inlineStr">
        <is>
          <t>entidad-dia</t>
        </is>
      </c>
    </row>
    <row r="1135">
      <c r="A1135" t="inlineStr">
        <is>
          <t>PRAGMA</t>
        </is>
      </c>
      <c r="B1135" t="inlineStr">
        <is>
          <t>M1</t>
        </is>
      </c>
      <c r="C1135" t="inlineStr">
        <is>
          <t>Cali</t>
        </is>
      </c>
      <c r="D1135" t="inlineStr">
        <is>
          <t>2319</t>
        </is>
      </c>
      <c r="E1135" t="inlineStr">
        <is>
          <t>pagado</t>
        </is>
      </c>
      <c r="F1135" s="23" t="n">
        <v>46273</v>
      </c>
      <c r="G1135" s="24">
        <f>F1135-DATE(2026,8,31)</f>
        <v>8</v>
      </c>
      <c r="H1135" s="25" t="n">
        <v>6531487</v>
      </c>
      <c r="I1135" t="inlineStr">
        <is>
          <t>entidad-dia</t>
        </is>
      </c>
    </row>
    <row r="1136">
      <c r="A1136" t="inlineStr">
        <is>
          <t>PRAGMA</t>
        </is>
      </c>
      <c r="B1136" t="inlineStr">
        <is>
          <t>M1</t>
        </is>
      </c>
      <c r="C1136" t="inlineStr">
        <is>
          <t>Cali</t>
        </is>
      </c>
      <c r="D1136" t="inlineStr">
        <is>
          <t>2319</t>
        </is>
      </c>
      <c r="E1136" t="inlineStr">
        <is>
          <t>pagado</t>
        </is>
      </c>
      <c r="F1136" s="23" t="n">
        <v>46274</v>
      </c>
      <c r="G1136" s="24">
        <f>F1136-DATE(2026,8,31)</f>
        <v>9</v>
      </c>
      <c r="H1136" s="25" t="n">
        <v>7300994</v>
      </c>
      <c r="I1136" t="inlineStr">
        <is>
          <t>entidad-dia</t>
        </is>
      </c>
    </row>
    <row r="1137">
      <c r="A1137" t="inlineStr">
        <is>
          <t>PRAGMA</t>
        </is>
      </c>
      <c r="B1137" t="inlineStr">
        <is>
          <t>M1</t>
        </is>
      </c>
      <c r="C1137" t="inlineStr">
        <is>
          <t>Cali</t>
        </is>
      </c>
      <c r="D1137" t="inlineStr">
        <is>
          <t>2319</t>
        </is>
      </c>
      <c r="E1137" t="inlineStr">
        <is>
          <t>pagado</t>
        </is>
      </c>
      <c r="F1137" s="23" t="n">
        <v>46275</v>
      </c>
      <c r="G1137" s="24">
        <f>F1137-DATE(2026,8,31)</f>
        <v>10</v>
      </c>
      <c r="H1137" s="25" t="n">
        <v>5677679</v>
      </c>
      <c r="I1137" t="inlineStr">
        <is>
          <t>entidad-dia</t>
        </is>
      </c>
    </row>
    <row r="1138">
      <c r="A1138" t="inlineStr">
        <is>
          <t>PRAGMA</t>
        </is>
      </c>
      <c r="B1138" t="inlineStr">
        <is>
          <t>M1</t>
        </is>
      </c>
      <c r="C1138" t="inlineStr">
        <is>
          <t>Cali</t>
        </is>
      </c>
      <c r="D1138" t="inlineStr">
        <is>
          <t>2319</t>
        </is>
      </c>
      <c r="E1138" t="inlineStr">
        <is>
          <t>pagado</t>
        </is>
      </c>
      <c r="F1138" s="23" t="n">
        <v>46276</v>
      </c>
      <c r="G1138" s="24">
        <f>F1138-DATE(2026,8,31)</f>
        <v>11</v>
      </c>
      <c r="H1138" s="25" t="n">
        <v>10711635</v>
      </c>
      <c r="I1138" t="inlineStr">
        <is>
          <t>entidad-dia</t>
        </is>
      </c>
    </row>
    <row r="1139">
      <c r="A1139" t="inlineStr">
        <is>
          <t>PRAGMA</t>
        </is>
      </c>
      <c r="B1139" t="inlineStr">
        <is>
          <t>M1</t>
        </is>
      </c>
      <c r="C1139" t="inlineStr">
        <is>
          <t>Cali</t>
        </is>
      </c>
      <c r="D1139" t="inlineStr">
        <is>
          <t>2319</t>
        </is>
      </c>
      <c r="E1139" t="inlineStr">
        <is>
          <t>pagado</t>
        </is>
      </c>
      <c r="F1139" s="23" t="n">
        <v>46277</v>
      </c>
      <c r="G1139" s="24">
        <f>F1139-DATE(2026,8,31)</f>
        <v>12</v>
      </c>
      <c r="H1139" s="25" t="n">
        <v>8234359</v>
      </c>
      <c r="I1139" t="inlineStr">
        <is>
          <t>entidad-dia</t>
        </is>
      </c>
    </row>
    <row r="1140">
      <c r="A1140" t="inlineStr">
        <is>
          <t>PRAGMA</t>
        </is>
      </c>
      <c r="B1140" t="inlineStr">
        <is>
          <t>M1</t>
        </is>
      </c>
      <c r="C1140" t="inlineStr">
        <is>
          <t>Cali</t>
        </is>
      </c>
      <c r="D1140" t="inlineStr">
        <is>
          <t>2319</t>
        </is>
      </c>
      <c r="E1140" t="inlineStr">
        <is>
          <t>pagado</t>
        </is>
      </c>
      <c r="F1140" s="23" t="n">
        <v>46278</v>
      </c>
      <c r="G1140" s="24">
        <f>F1140-DATE(2026,8,31)</f>
        <v>13</v>
      </c>
      <c r="H1140" s="25" t="n">
        <v>933011</v>
      </c>
      <c r="I1140" t="inlineStr">
        <is>
          <t>entidad-dia</t>
        </is>
      </c>
    </row>
    <row r="1141">
      <c r="A1141" t="inlineStr">
        <is>
          <t>PRAGMA</t>
        </is>
      </c>
      <c r="B1141" t="inlineStr">
        <is>
          <t>M1</t>
        </is>
      </c>
      <c r="C1141" t="inlineStr">
        <is>
          <t>Cali</t>
        </is>
      </c>
      <c r="D1141" t="inlineStr">
        <is>
          <t>2319</t>
        </is>
      </c>
      <c r="E1141" t="inlineStr">
        <is>
          <t>pagado</t>
        </is>
      </c>
      <c r="F1141" s="23" t="n">
        <v>46279</v>
      </c>
      <c r="G1141" s="24">
        <f>F1141-DATE(2026,8,31)</f>
        <v>14</v>
      </c>
      <c r="H1141" s="25" t="n">
        <v>14043049</v>
      </c>
      <c r="I1141" t="inlineStr">
        <is>
          <t>entidad-dia</t>
        </is>
      </c>
    </row>
    <row r="1142">
      <c r="A1142" t="inlineStr">
        <is>
          <t>PRAGMA</t>
        </is>
      </c>
      <c r="B1142" t="inlineStr">
        <is>
          <t>M1</t>
        </is>
      </c>
      <c r="C1142" t="inlineStr">
        <is>
          <t>Cali</t>
        </is>
      </c>
      <c r="D1142" t="inlineStr">
        <is>
          <t>2319</t>
        </is>
      </c>
      <c r="E1142" t="inlineStr">
        <is>
          <t>pagado</t>
        </is>
      </c>
      <c r="F1142" s="23" t="n">
        <v>46280</v>
      </c>
      <c r="G1142" s="24">
        <f>F1142-DATE(2026,8,31)</f>
        <v>15</v>
      </c>
      <c r="H1142" s="25" t="n">
        <v>26012186</v>
      </c>
      <c r="I1142" t="inlineStr">
        <is>
          <t>entidad-dia</t>
        </is>
      </c>
    </row>
    <row r="1143">
      <c r="A1143" t="inlineStr">
        <is>
          <t>PRAGMA</t>
        </is>
      </c>
      <c r="B1143" t="inlineStr">
        <is>
          <t>M1</t>
        </is>
      </c>
      <c r="C1143" t="inlineStr">
        <is>
          <t>Cali</t>
        </is>
      </c>
      <c r="D1143" t="inlineStr">
        <is>
          <t>2343</t>
        </is>
      </c>
      <c r="E1143" t="inlineStr">
        <is>
          <t>pagado</t>
        </is>
      </c>
      <c r="F1143" s="23" t="n">
        <v>46266</v>
      </c>
      <c r="G1143" s="24">
        <f>F1143-DATE(2026,8,31)</f>
        <v>1</v>
      </c>
      <c r="H1143" s="25" t="n">
        <v>180964804</v>
      </c>
      <c r="I1143" t="inlineStr">
        <is>
          <t>entidad-dia</t>
        </is>
      </c>
    </row>
    <row r="1144">
      <c r="A1144" t="inlineStr">
        <is>
          <t>PRAGMA</t>
        </is>
      </c>
      <c r="B1144" t="inlineStr">
        <is>
          <t>M1</t>
        </is>
      </c>
      <c r="C1144" t="inlineStr">
        <is>
          <t>Cali</t>
        </is>
      </c>
      <c r="D1144" t="inlineStr">
        <is>
          <t>2343</t>
        </is>
      </c>
      <c r="E1144" t="inlineStr">
        <is>
          <t>pagado</t>
        </is>
      </c>
      <c r="F1144" s="23" t="n">
        <v>46267</v>
      </c>
      <c r="G1144" s="24">
        <f>F1144-DATE(2026,8,31)</f>
        <v>2</v>
      </c>
      <c r="H1144" s="25" t="n">
        <v>146083330</v>
      </c>
      <c r="I1144" t="inlineStr">
        <is>
          <t>entidad-dia</t>
        </is>
      </c>
    </row>
    <row r="1145">
      <c r="A1145" t="inlineStr">
        <is>
          <t>PRAGMA</t>
        </is>
      </c>
      <c r="B1145" t="inlineStr">
        <is>
          <t>M1</t>
        </is>
      </c>
      <c r="C1145" t="inlineStr">
        <is>
          <t>Cali</t>
        </is>
      </c>
      <c r="D1145" t="inlineStr">
        <is>
          <t>2343</t>
        </is>
      </c>
      <c r="E1145" t="inlineStr">
        <is>
          <t>pagado</t>
        </is>
      </c>
      <c r="F1145" s="23" t="n">
        <v>46268</v>
      </c>
      <c r="G1145" s="24">
        <f>F1145-DATE(2026,8,31)</f>
        <v>3</v>
      </c>
      <c r="H1145" s="25" t="n">
        <v>122912358</v>
      </c>
      <c r="I1145" t="inlineStr">
        <is>
          <t>entidad-dia</t>
        </is>
      </c>
    </row>
    <row r="1146">
      <c r="A1146" t="inlineStr">
        <is>
          <t>PRAGMA</t>
        </is>
      </c>
      <c r="B1146" t="inlineStr">
        <is>
          <t>M1</t>
        </is>
      </c>
      <c r="C1146" t="inlineStr">
        <is>
          <t>Cali</t>
        </is>
      </c>
      <c r="D1146" t="inlineStr">
        <is>
          <t>2343</t>
        </is>
      </c>
      <c r="E1146" t="inlineStr">
        <is>
          <t>pagado</t>
        </is>
      </c>
      <c r="F1146" s="23" t="n">
        <v>46269</v>
      </c>
      <c r="G1146" s="24">
        <f>F1146-DATE(2026,8,31)</f>
        <v>4</v>
      </c>
      <c r="H1146" s="25" t="n">
        <v>137794808</v>
      </c>
      <c r="I1146" t="inlineStr">
        <is>
          <t>entidad-dia</t>
        </is>
      </c>
    </row>
    <row r="1147">
      <c r="A1147" t="inlineStr">
        <is>
          <t>PRAGMA</t>
        </is>
      </c>
      <c r="B1147" t="inlineStr">
        <is>
          <t>M1</t>
        </is>
      </c>
      <c r="C1147" t="inlineStr">
        <is>
          <t>Cali</t>
        </is>
      </c>
      <c r="D1147" t="inlineStr">
        <is>
          <t>2343</t>
        </is>
      </c>
      <c r="E1147" t="inlineStr">
        <is>
          <t>pagado</t>
        </is>
      </c>
      <c r="F1147" s="23" t="n">
        <v>46270</v>
      </c>
      <c r="G1147" s="24">
        <f>F1147-DATE(2026,8,31)</f>
        <v>5</v>
      </c>
      <c r="H1147" s="25" t="n">
        <v>146498068</v>
      </c>
      <c r="I1147" t="inlineStr">
        <is>
          <t>entidad-dia</t>
        </is>
      </c>
    </row>
    <row r="1148">
      <c r="A1148" t="inlineStr">
        <is>
          <t>PRAGMA</t>
        </is>
      </c>
      <c r="B1148" t="inlineStr">
        <is>
          <t>M1</t>
        </is>
      </c>
      <c r="C1148" t="inlineStr">
        <is>
          <t>Cali</t>
        </is>
      </c>
      <c r="D1148" t="inlineStr">
        <is>
          <t>2343</t>
        </is>
      </c>
      <c r="E1148" t="inlineStr">
        <is>
          <t>pagado</t>
        </is>
      </c>
      <c r="F1148" s="23" t="n">
        <v>46271</v>
      </c>
      <c r="G1148" s="24">
        <f>F1148-DATE(2026,8,31)</f>
        <v>6</v>
      </c>
      <c r="H1148" s="25" t="n">
        <v>112916805</v>
      </c>
      <c r="I1148" t="inlineStr">
        <is>
          <t>entidad-dia</t>
        </is>
      </c>
    </row>
    <row r="1149">
      <c r="A1149" t="inlineStr">
        <is>
          <t>PRAGMA</t>
        </is>
      </c>
      <c r="B1149" t="inlineStr">
        <is>
          <t>M1</t>
        </is>
      </c>
      <c r="C1149" t="inlineStr">
        <is>
          <t>Cali</t>
        </is>
      </c>
      <c r="D1149" t="inlineStr">
        <is>
          <t>2343</t>
        </is>
      </c>
      <c r="E1149" t="inlineStr">
        <is>
          <t>pagado</t>
        </is>
      </c>
      <c r="F1149" s="23" t="n">
        <v>46272</v>
      </c>
      <c r="G1149" s="24">
        <f>F1149-DATE(2026,8,31)</f>
        <v>7</v>
      </c>
      <c r="H1149" s="25" t="n">
        <v>111471898</v>
      </c>
      <c r="I1149" t="inlineStr">
        <is>
          <t>entidad-dia</t>
        </is>
      </c>
    </row>
    <row r="1150">
      <c r="A1150" t="inlineStr">
        <is>
          <t>PRAGMA</t>
        </is>
      </c>
      <c r="B1150" t="inlineStr">
        <is>
          <t>M1</t>
        </is>
      </c>
      <c r="C1150" t="inlineStr">
        <is>
          <t>Cali</t>
        </is>
      </c>
      <c r="D1150" t="inlineStr">
        <is>
          <t>2343</t>
        </is>
      </c>
      <c r="E1150" t="inlineStr">
        <is>
          <t>pagado</t>
        </is>
      </c>
      <c r="F1150" s="23" t="n">
        <v>46273</v>
      </c>
      <c r="G1150" s="24">
        <f>F1150-DATE(2026,8,31)</f>
        <v>8</v>
      </c>
      <c r="H1150" s="25" t="n">
        <v>105650473</v>
      </c>
      <c r="I1150" t="inlineStr">
        <is>
          <t>entidad-dia</t>
        </is>
      </c>
    </row>
    <row r="1151">
      <c r="A1151" t="inlineStr">
        <is>
          <t>PRAGMA</t>
        </is>
      </c>
      <c r="B1151" t="inlineStr">
        <is>
          <t>M1</t>
        </is>
      </c>
      <c r="C1151" t="inlineStr">
        <is>
          <t>Cali</t>
        </is>
      </c>
      <c r="D1151" t="inlineStr">
        <is>
          <t>2343</t>
        </is>
      </c>
      <c r="E1151" t="inlineStr">
        <is>
          <t>pagado</t>
        </is>
      </c>
      <c r="F1151" s="23" t="n">
        <v>46274</v>
      </c>
      <c r="G1151" s="24">
        <f>F1151-DATE(2026,8,31)</f>
        <v>9</v>
      </c>
      <c r="H1151" s="25" t="n">
        <v>104019039</v>
      </c>
      <c r="I1151" t="inlineStr">
        <is>
          <t>entidad-dia</t>
        </is>
      </c>
    </row>
    <row r="1152">
      <c r="A1152" t="inlineStr">
        <is>
          <t>PRAGMA</t>
        </is>
      </c>
      <c r="B1152" t="inlineStr">
        <is>
          <t>M1</t>
        </is>
      </c>
      <c r="C1152" t="inlineStr">
        <is>
          <t>Cali</t>
        </is>
      </c>
      <c r="D1152" t="inlineStr">
        <is>
          <t>2343</t>
        </is>
      </c>
      <c r="E1152" t="inlineStr">
        <is>
          <t>pagado</t>
        </is>
      </c>
      <c r="F1152" s="23" t="n">
        <v>46275</v>
      </c>
      <c r="G1152" s="24">
        <f>F1152-DATE(2026,8,31)</f>
        <v>10</v>
      </c>
      <c r="H1152" s="25" t="n">
        <v>86754624</v>
      </c>
      <c r="I1152" t="inlineStr">
        <is>
          <t>entidad-dia</t>
        </is>
      </c>
    </row>
    <row r="1153">
      <c r="A1153" t="inlineStr">
        <is>
          <t>PRAGMA</t>
        </is>
      </c>
      <c r="B1153" t="inlineStr">
        <is>
          <t>M1</t>
        </is>
      </c>
      <c r="C1153" t="inlineStr">
        <is>
          <t>Cali</t>
        </is>
      </c>
      <c r="D1153" t="inlineStr">
        <is>
          <t>2343</t>
        </is>
      </c>
      <c r="E1153" t="inlineStr">
        <is>
          <t>pagado</t>
        </is>
      </c>
      <c r="F1153" s="23" t="n">
        <v>46276</v>
      </c>
      <c r="G1153" s="24">
        <f>F1153-DATE(2026,8,31)</f>
        <v>11</v>
      </c>
      <c r="H1153" s="25" t="n">
        <v>102545467</v>
      </c>
      <c r="I1153" t="inlineStr">
        <is>
          <t>entidad-dia</t>
        </is>
      </c>
    </row>
    <row r="1154">
      <c r="A1154" t="inlineStr">
        <is>
          <t>PRAGMA</t>
        </is>
      </c>
      <c r="B1154" t="inlineStr">
        <is>
          <t>M1</t>
        </is>
      </c>
      <c r="C1154" t="inlineStr">
        <is>
          <t>Cali</t>
        </is>
      </c>
      <c r="D1154" t="inlineStr">
        <is>
          <t>2343</t>
        </is>
      </c>
      <c r="E1154" t="inlineStr">
        <is>
          <t>pagado</t>
        </is>
      </c>
      <c r="F1154" s="23" t="n">
        <v>46277</v>
      </c>
      <c r="G1154" s="24">
        <f>F1154-DATE(2026,8,31)</f>
        <v>12</v>
      </c>
      <c r="H1154" s="25" t="n">
        <v>118764309</v>
      </c>
      <c r="I1154" t="inlineStr">
        <is>
          <t>entidad-dia</t>
        </is>
      </c>
    </row>
    <row r="1155">
      <c r="A1155" t="inlineStr">
        <is>
          <t>PRAGMA</t>
        </is>
      </c>
      <c r="B1155" t="inlineStr">
        <is>
          <t>M1</t>
        </is>
      </c>
      <c r="C1155" t="inlineStr">
        <is>
          <t>Cali</t>
        </is>
      </c>
      <c r="D1155" t="inlineStr">
        <is>
          <t>2343</t>
        </is>
      </c>
      <c r="E1155" t="inlineStr">
        <is>
          <t>pagado</t>
        </is>
      </c>
      <c r="F1155" s="23" t="n">
        <v>46278</v>
      </c>
      <c r="G1155" s="24">
        <f>F1155-DATE(2026,8,31)</f>
        <v>13</v>
      </c>
      <c r="H1155" s="25" t="n">
        <v>86315303</v>
      </c>
      <c r="I1155" t="inlineStr">
        <is>
          <t>entidad-dia</t>
        </is>
      </c>
    </row>
    <row r="1156">
      <c r="A1156" t="inlineStr">
        <is>
          <t>PRAGMA</t>
        </is>
      </c>
      <c r="B1156" t="inlineStr">
        <is>
          <t>M1</t>
        </is>
      </c>
      <c r="C1156" t="inlineStr">
        <is>
          <t>Cali</t>
        </is>
      </c>
      <c r="D1156" t="inlineStr">
        <is>
          <t>2343</t>
        </is>
      </c>
      <c r="E1156" t="inlineStr">
        <is>
          <t>pagado</t>
        </is>
      </c>
      <c r="F1156" s="23" t="n">
        <v>46279</v>
      </c>
      <c r="G1156" s="24">
        <f>F1156-DATE(2026,8,31)</f>
        <v>14</v>
      </c>
      <c r="H1156" s="25" t="n">
        <v>99531489</v>
      </c>
      <c r="I1156" t="inlineStr">
        <is>
          <t>entidad-dia</t>
        </is>
      </c>
    </row>
    <row r="1157">
      <c r="A1157" t="inlineStr">
        <is>
          <t>PRAGMA</t>
        </is>
      </c>
      <c r="B1157" t="inlineStr">
        <is>
          <t>M1</t>
        </is>
      </c>
      <c r="C1157" t="inlineStr">
        <is>
          <t>Cali</t>
        </is>
      </c>
      <c r="D1157" t="inlineStr">
        <is>
          <t>2343</t>
        </is>
      </c>
      <c r="E1157" t="inlineStr">
        <is>
          <t>pagado</t>
        </is>
      </c>
      <c r="F1157" s="23" t="n">
        <v>46280</v>
      </c>
      <c r="G1157" s="24">
        <f>F1157-DATE(2026,8,31)</f>
        <v>15</v>
      </c>
      <c r="H1157" s="25" t="n">
        <v>156122277</v>
      </c>
      <c r="I1157" t="inlineStr">
        <is>
          <t>entidad-dia</t>
        </is>
      </c>
    </row>
    <row r="1158">
      <c r="A1158" t="inlineStr">
        <is>
          <t>PRAGMA</t>
        </is>
      </c>
      <c r="B1158" t="inlineStr">
        <is>
          <t>M1</t>
        </is>
      </c>
      <c r="C1158" t="inlineStr">
        <is>
          <t>Cali</t>
        </is>
      </c>
      <c r="D1158" t="inlineStr">
        <is>
          <t>2362</t>
        </is>
      </c>
      <c r="E1158" t="inlineStr">
        <is>
          <t>pagado</t>
        </is>
      </c>
      <c r="F1158" s="23" t="n">
        <v>46266</v>
      </c>
      <c r="G1158" s="24">
        <f>F1158-DATE(2026,8,31)</f>
        <v>1</v>
      </c>
      <c r="H1158" s="25" t="n">
        <v>36647225</v>
      </c>
      <c r="I1158" t="inlineStr">
        <is>
          <t>entidad-dia</t>
        </is>
      </c>
    </row>
    <row r="1159">
      <c r="A1159" t="inlineStr">
        <is>
          <t>PRAGMA</t>
        </is>
      </c>
      <c r="B1159" t="inlineStr">
        <is>
          <t>M1</t>
        </is>
      </c>
      <c r="C1159" t="inlineStr">
        <is>
          <t>Cali</t>
        </is>
      </c>
      <c r="D1159" t="inlineStr">
        <is>
          <t>2362</t>
        </is>
      </c>
      <c r="E1159" t="inlineStr">
        <is>
          <t>pagado</t>
        </is>
      </c>
      <c r="F1159" s="23" t="n">
        <v>46267</v>
      </c>
      <c r="G1159" s="24">
        <f>F1159-DATE(2026,8,31)</f>
        <v>2</v>
      </c>
      <c r="H1159" s="25" t="n">
        <v>30677564</v>
      </c>
      <c r="I1159" t="inlineStr">
        <is>
          <t>entidad-dia</t>
        </is>
      </c>
    </row>
    <row r="1160">
      <c r="A1160" t="inlineStr">
        <is>
          <t>PRAGMA</t>
        </is>
      </c>
      <c r="B1160" t="inlineStr">
        <is>
          <t>M1</t>
        </is>
      </c>
      <c r="C1160" t="inlineStr">
        <is>
          <t>Cali</t>
        </is>
      </c>
      <c r="D1160" t="inlineStr">
        <is>
          <t>2362</t>
        </is>
      </c>
      <c r="E1160" t="inlineStr">
        <is>
          <t>pagado</t>
        </is>
      </c>
      <c r="F1160" s="23" t="n">
        <v>46268</v>
      </c>
      <c r="G1160" s="24">
        <f>F1160-DATE(2026,8,31)</f>
        <v>3</v>
      </c>
      <c r="H1160" s="25" t="n">
        <v>18952741</v>
      </c>
      <c r="I1160" t="inlineStr">
        <is>
          <t>entidad-dia</t>
        </is>
      </c>
    </row>
    <row r="1161">
      <c r="A1161" t="inlineStr">
        <is>
          <t>PRAGMA</t>
        </is>
      </c>
      <c r="B1161" t="inlineStr">
        <is>
          <t>M1</t>
        </is>
      </c>
      <c r="C1161" t="inlineStr">
        <is>
          <t>Cali</t>
        </is>
      </c>
      <c r="D1161" t="inlineStr">
        <is>
          <t>2362</t>
        </is>
      </c>
      <c r="E1161" t="inlineStr">
        <is>
          <t>pagado</t>
        </is>
      </c>
      <c r="F1161" s="23" t="n">
        <v>46269</v>
      </c>
      <c r="G1161" s="24">
        <f>F1161-DATE(2026,8,31)</f>
        <v>4</v>
      </c>
      <c r="H1161" s="25" t="n">
        <v>16446608</v>
      </c>
      <c r="I1161" t="inlineStr">
        <is>
          <t>entidad-dia</t>
        </is>
      </c>
    </row>
    <row r="1162">
      <c r="A1162" t="inlineStr">
        <is>
          <t>PRAGMA</t>
        </is>
      </c>
      <c r="B1162" t="inlineStr">
        <is>
          <t>M1</t>
        </is>
      </c>
      <c r="C1162" t="inlineStr">
        <is>
          <t>Cali</t>
        </is>
      </c>
      <c r="D1162" t="inlineStr">
        <is>
          <t>2362</t>
        </is>
      </c>
      <c r="E1162" t="inlineStr">
        <is>
          <t>pagado</t>
        </is>
      </c>
      <c r="F1162" s="23" t="n">
        <v>46270</v>
      </c>
      <c r="G1162" s="24">
        <f>F1162-DATE(2026,8,31)</f>
        <v>5</v>
      </c>
      <c r="H1162" s="25" t="n">
        <v>24042406</v>
      </c>
      <c r="I1162" t="inlineStr">
        <is>
          <t>entidad-dia</t>
        </is>
      </c>
    </row>
    <row r="1163">
      <c r="A1163" t="inlineStr">
        <is>
          <t>PRAGMA</t>
        </is>
      </c>
      <c r="B1163" t="inlineStr">
        <is>
          <t>M1</t>
        </is>
      </c>
      <c r="C1163" t="inlineStr">
        <is>
          <t>Cali</t>
        </is>
      </c>
      <c r="D1163" t="inlineStr">
        <is>
          <t>2362</t>
        </is>
      </c>
      <c r="E1163" t="inlineStr">
        <is>
          <t>pagado</t>
        </is>
      </c>
      <c r="F1163" s="23" t="n">
        <v>46271</v>
      </c>
      <c r="G1163" s="24">
        <f>F1163-DATE(2026,8,31)</f>
        <v>6</v>
      </c>
      <c r="H1163" s="25" t="n">
        <v>19481842</v>
      </c>
      <c r="I1163" t="inlineStr">
        <is>
          <t>entidad-dia</t>
        </is>
      </c>
    </row>
    <row r="1164">
      <c r="A1164" t="inlineStr">
        <is>
          <t>PRAGMA</t>
        </is>
      </c>
      <c r="B1164" t="inlineStr">
        <is>
          <t>M1</t>
        </is>
      </c>
      <c r="C1164" t="inlineStr">
        <is>
          <t>Cali</t>
        </is>
      </c>
      <c r="D1164" t="inlineStr">
        <is>
          <t>2362</t>
        </is>
      </c>
      <c r="E1164" t="inlineStr">
        <is>
          <t>pagado</t>
        </is>
      </c>
      <c r="F1164" s="23" t="n">
        <v>46272</v>
      </c>
      <c r="G1164" s="24">
        <f>F1164-DATE(2026,8,31)</f>
        <v>7</v>
      </c>
      <c r="H1164" s="25" t="n">
        <v>20492909</v>
      </c>
      <c r="I1164" t="inlineStr">
        <is>
          <t>entidad-dia</t>
        </is>
      </c>
    </row>
    <row r="1165">
      <c r="A1165" t="inlineStr">
        <is>
          <t>PRAGMA</t>
        </is>
      </c>
      <c r="B1165" t="inlineStr">
        <is>
          <t>M1</t>
        </is>
      </c>
      <c r="C1165" t="inlineStr">
        <is>
          <t>Cali</t>
        </is>
      </c>
      <c r="D1165" t="inlineStr">
        <is>
          <t>2362</t>
        </is>
      </c>
      <c r="E1165" t="inlineStr">
        <is>
          <t>pagado</t>
        </is>
      </c>
      <c r="F1165" s="23" t="n">
        <v>46273</v>
      </c>
      <c r="G1165" s="24">
        <f>F1165-DATE(2026,8,31)</f>
        <v>8</v>
      </c>
      <c r="H1165" s="25" t="n">
        <v>17289746</v>
      </c>
      <c r="I1165" t="inlineStr">
        <is>
          <t>entidad-dia</t>
        </is>
      </c>
    </row>
    <row r="1166">
      <c r="A1166" t="inlineStr">
        <is>
          <t>PRAGMA</t>
        </is>
      </c>
      <c r="B1166" t="inlineStr">
        <is>
          <t>M1</t>
        </is>
      </c>
      <c r="C1166" t="inlineStr">
        <is>
          <t>Cali</t>
        </is>
      </c>
      <c r="D1166" t="inlineStr">
        <is>
          <t>2362</t>
        </is>
      </c>
      <c r="E1166" t="inlineStr">
        <is>
          <t>pagado</t>
        </is>
      </c>
      <c r="F1166" s="23" t="n">
        <v>46274</v>
      </c>
      <c r="G1166" s="24">
        <f>F1166-DATE(2026,8,31)</f>
        <v>9</v>
      </c>
      <c r="H1166" s="25" t="n">
        <v>19648581</v>
      </c>
      <c r="I1166" t="inlineStr">
        <is>
          <t>entidad-dia</t>
        </is>
      </c>
    </row>
    <row r="1167">
      <c r="A1167" t="inlineStr">
        <is>
          <t>PRAGMA</t>
        </is>
      </c>
      <c r="B1167" t="inlineStr">
        <is>
          <t>M1</t>
        </is>
      </c>
      <c r="C1167" t="inlineStr">
        <is>
          <t>Cali</t>
        </is>
      </c>
      <c r="D1167" t="inlineStr">
        <is>
          <t>2362</t>
        </is>
      </c>
      <c r="E1167" t="inlineStr">
        <is>
          <t>pagado</t>
        </is>
      </c>
      <c r="F1167" s="23" t="n">
        <v>46275</v>
      </c>
      <c r="G1167" s="24">
        <f>F1167-DATE(2026,8,31)</f>
        <v>10</v>
      </c>
      <c r="H1167" s="25" t="n">
        <v>20220558</v>
      </c>
      <c r="I1167" t="inlineStr">
        <is>
          <t>entidad-dia</t>
        </is>
      </c>
    </row>
    <row r="1168">
      <c r="A1168" t="inlineStr">
        <is>
          <t>PRAGMA</t>
        </is>
      </c>
      <c r="B1168" t="inlineStr">
        <is>
          <t>M1</t>
        </is>
      </c>
      <c r="C1168" t="inlineStr">
        <is>
          <t>Cali</t>
        </is>
      </c>
      <c r="D1168" t="inlineStr">
        <is>
          <t>2362</t>
        </is>
      </c>
      <c r="E1168" t="inlineStr">
        <is>
          <t>pagado</t>
        </is>
      </c>
      <c r="F1168" s="23" t="n">
        <v>46276</v>
      </c>
      <c r="G1168" s="24">
        <f>F1168-DATE(2026,8,31)</f>
        <v>11</v>
      </c>
      <c r="H1168" s="25" t="n">
        <v>22633518</v>
      </c>
      <c r="I1168" t="inlineStr">
        <is>
          <t>entidad-dia</t>
        </is>
      </c>
    </row>
    <row r="1169">
      <c r="A1169" t="inlineStr">
        <is>
          <t>PRAGMA</t>
        </is>
      </c>
      <c r="B1169" t="inlineStr">
        <is>
          <t>M1</t>
        </is>
      </c>
      <c r="C1169" t="inlineStr">
        <is>
          <t>Cali</t>
        </is>
      </c>
      <c r="D1169" t="inlineStr">
        <is>
          <t>2362</t>
        </is>
      </c>
      <c r="E1169" t="inlineStr">
        <is>
          <t>pagado</t>
        </is>
      </c>
      <c r="F1169" s="23" t="n">
        <v>46277</v>
      </c>
      <c r="G1169" s="24">
        <f>F1169-DATE(2026,8,31)</f>
        <v>12</v>
      </c>
      <c r="H1169" s="25" t="n">
        <v>26492704</v>
      </c>
      <c r="I1169" t="inlineStr">
        <is>
          <t>entidad-dia</t>
        </is>
      </c>
    </row>
    <row r="1170">
      <c r="A1170" t="inlineStr">
        <is>
          <t>PRAGMA</t>
        </is>
      </c>
      <c r="B1170" t="inlineStr">
        <is>
          <t>M1</t>
        </is>
      </c>
      <c r="C1170" t="inlineStr">
        <is>
          <t>Cali</t>
        </is>
      </c>
      <c r="D1170" t="inlineStr">
        <is>
          <t>2362</t>
        </is>
      </c>
      <c r="E1170" t="inlineStr">
        <is>
          <t>pagado</t>
        </is>
      </c>
      <c r="F1170" s="23" t="n">
        <v>46278</v>
      </c>
      <c r="G1170" s="24">
        <f>F1170-DATE(2026,8,31)</f>
        <v>13</v>
      </c>
      <c r="H1170" s="25" t="n">
        <v>17897419</v>
      </c>
      <c r="I1170" t="inlineStr">
        <is>
          <t>entidad-dia</t>
        </is>
      </c>
    </row>
    <row r="1171">
      <c r="A1171" t="inlineStr">
        <is>
          <t>PRAGMA</t>
        </is>
      </c>
      <c r="B1171" t="inlineStr">
        <is>
          <t>M1</t>
        </is>
      </c>
      <c r="C1171" t="inlineStr">
        <is>
          <t>Cali</t>
        </is>
      </c>
      <c r="D1171" t="inlineStr">
        <is>
          <t>2362</t>
        </is>
      </c>
      <c r="E1171" t="inlineStr">
        <is>
          <t>pagado</t>
        </is>
      </c>
      <c r="F1171" s="23" t="n">
        <v>46279</v>
      </c>
      <c r="G1171" s="24">
        <f>F1171-DATE(2026,8,31)</f>
        <v>14</v>
      </c>
      <c r="H1171" s="25" t="n">
        <v>22613746</v>
      </c>
      <c r="I1171" t="inlineStr">
        <is>
          <t>entidad-dia</t>
        </is>
      </c>
    </row>
    <row r="1172">
      <c r="A1172" t="inlineStr">
        <is>
          <t>PRAGMA</t>
        </is>
      </c>
      <c r="B1172" t="inlineStr">
        <is>
          <t>M1</t>
        </is>
      </c>
      <c r="C1172" t="inlineStr">
        <is>
          <t>Cali</t>
        </is>
      </c>
      <c r="D1172" t="inlineStr">
        <is>
          <t>2362</t>
        </is>
      </c>
      <c r="E1172" t="inlineStr">
        <is>
          <t>pagado</t>
        </is>
      </c>
      <c r="F1172" s="23" t="n">
        <v>46280</v>
      </c>
      <c r="G1172" s="24">
        <f>F1172-DATE(2026,8,31)</f>
        <v>15</v>
      </c>
      <c r="H1172" s="25" t="n">
        <v>38440712</v>
      </c>
      <c r="I1172" t="inlineStr">
        <is>
          <t>entidad-dia</t>
        </is>
      </c>
    </row>
    <row r="1173">
      <c r="A1173" t="inlineStr">
        <is>
          <t>PRAGMA</t>
        </is>
      </c>
      <c r="B1173" t="inlineStr">
        <is>
          <t>M1</t>
        </is>
      </c>
      <c r="C1173" t="inlineStr">
        <is>
          <t>Cali</t>
        </is>
      </c>
      <c r="D1173" t="inlineStr">
        <is>
          <t>2381</t>
        </is>
      </c>
      <c r="E1173" t="inlineStr">
        <is>
          <t>pagado</t>
        </is>
      </c>
      <c r="F1173" s="23" t="n">
        <v>46266</v>
      </c>
      <c r="G1173" s="24">
        <f>F1173-DATE(2026,8,31)</f>
        <v>1</v>
      </c>
      <c r="H1173" s="25" t="n">
        <v>215785353</v>
      </c>
      <c r="I1173" t="inlineStr">
        <is>
          <t>entidad-dia</t>
        </is>
      </c>
    </row>
    <row r="1174">
      <c r="A1174" t="inlineStr">
        <is>
          <t>PRAGMA</t>
        </is>
      </c>
      <c r="B1174" t="inlineStr">
        <is>
          <t>M1</t>
        </is>
      </c>
      <c r="C1174" t="inlineStr">
        <is>
          <t>Cali</t>
        </is>
      </c>
      <c r="D1174" t="inlineStr">
        <is>
          <t>2381</t>
        </is>
      </c>
      <c r="E1174" t="inlineStr">
        <is>
          <t>pagado</t>
        </is>
      </c>
      <c r="F1174" s="23" t="n">
        <v>46267</v>
      </c>
      <c r="G1174" s="24">
        <f>F1174-DATE(2026,8,31)</f>
        <v>2</v>
      </c>
      <c r="H1174" s="25" t="n">
        <v>184623374</v>
      </c>
      <c r="I1174" t="inlineStr">
        <is>
          <t>entidad-dia</t>
        </is>
      </c>
    </row>
    <row r="1175">
      <c r="A1175" t="inlineStr">
        <is>
          <t>PRAGMA</t>
        </is>
      </c>
      <c r="B1175" t="inlineStr">
        <is>
          <t>M1</t>
        </is>
      </c>
      <c r="C1175" t="inlineStr">
        <is>
          <t>Cali</t>
        </is>
      </c>
      <c r="D1175" t="inlineStr">
        <is>
          <t>2381</t>
        </is>
      </c>
      <c r="E1175" t="inlineStr">
        <is>
          <t>pagado</t>
        </is>
      </c>
      <c r="F1175" s="23" t="n">
        <v>46268</v>
      </c>
      <c r="G1175" s="24">
        <f>F1175-DATE(2026,8,31)</f>
        <v>3</v>
      </c>
      <c r="H1175" s="25" t="n">
        <v>159993299</v>
      </c>
      <c r="I1175" t="inlineStr">
        <is>
          <t>entidad-dia</t>
        </is>
      </c>
    </row>
    <row r="1176">
      <c r="A1176" t="inlineStr">
        <is>
          <t>PRAGMA</t>
        </is>
      </c>
      <c r="B1176" t="inlineStr">
        <is>
          <t>M1</t>
        </is>
      </c>
      <c r="C1176" t="inlineStr">
        <is>
          <t>Cali</t>
        </is>
      </c>
      <c r="D1176" t="inlineStr">
        <is>
          <t>2381</t>
        </is>
      </c>
      <c r="E1176" t="inlineStr">
        <is>
          <t>pagado</t>
        </is>
      </c>
      <c r="F1176" s="23" t="n">
        <v>46269</v>
      </c>
      <c r="G1176" s="24">
        <f>F1176-DATE(2026,8,31)</f>
        <v>4</v>
      </c>
      <c r="H1176" s="25" t="n">
        <v>169678556</v>
      </c>
      <c r="I1176" t="inlineStr">
        <is>
          <t>entidad-dia</t>
        </is>
      </c>
    </row>
    <row r="1177">
      <c r="A1177" t="inlineStr">
        <is>
          <t>PRAGMA</t>
        </is>
      </c>
      <c r="B1177" t="inlineStr">
        <is>
          <t>M1</t>
        </is>
      </c>
      <c r="C1177" t="inlineStr">
        <is>
          <t>Cali</t>
        </is>
      </c>
      <c r="D1177" t="inlineStr">
        <is>
          <t>2381</t>
        </is>
      </c>
      <c r="E1177" t="inlineStr">
        <is>
          <t>pagado</t>
        </is>
      </c>
      <c r="F1177" s="23" t="n">
        <v>46270</v>
      </c>
      <c r="G1177" s="24">
        <f>F1177-DATE(2026,8,31)</f>
        <v>5</v>
      </c>
      <c r="H1177" s="25" t="n">
        <v>165668011</v>
      </c>
      <c r="I1177" t="inlineStr">
        <is>
          <t>entidad-dia</t>
        </is>
      </c>
    </row>
    <row r="1178">
      <c r="A1178" t="inlineStr">
        <is>
          <t>PRAGMA</t>
        </is>
      </c>
      <c r="B1178" t="inlineStr">
        <is>
          <t>M1</t>
        </is>
      </c>
      <c r="C1178" t="inlineStr">
        <is>
          <t>Cali</t>
        </is>
      </c>
      <c r="D1178" t="inlineStr">
        <is>
          <t>2381</t>
        </is>
      </c>
      <c r="E1178" t="inlineStr">
        <is>
          <t>pagado</t>
        </is>
      </c>
      <c r="F1178" s="23" t="n">
        <v>46271</v>
      </c>
      <c r="G1178" s="24">
        <f>F1178-DATE(2026,8,31)</f>
        <v>6</v>
      </c>
      <c r="H1178" s="25" t="n">
        <v>88693159</v>
      </c>
      <c r="I1178" t="inlineStr">
        <is>
          <t>entidad-dia</t>
        </is>
      </c>
    </row>
    <row r="1179">
      <c r="A1179" t="inlineStr">
        <is>
          <t>PRAGMA</t>
        </is>
      </c>
      <c r="B1179" t="inlineStr">
        <is>
          <t>M1</t>
        </is>
      </c>
      <c r="C1179" t="inlineStr">
        <is>
          <t>Cali</t>
        </is>
      </c>
      <c r="D1179" t="inlineStr">
        <is>
          <t>2381</t>
        </is>
      </c>
      <c r="E1179" t="inlineStr">
        <is>
          <t>pagado</t>
        </is>
      </c>
      <c r="F1179" s="23" t="n">
        <v>46272</v>
      </c>
      <c r="G1179" s="24">
        <f>F1179-DATE(2026,8,31)</f>
        <v>7</v>
      </c>
      <c r="H1179" s="25" t="n">
        <v>138276165</v>
      </c>
      <c r="I1179" t="inlineStr">
        <is>
          <t>entidad-dia</t>
        </is>
      </c>
    </row>
    <row r="1180">
      <c r="A1180" t="inlineStr">
        <is>
          <t>PRAGMA</t>
        </is>
      </c>
      <c r="B1180" t="inlineStr">
        <is>
          <t>M1</t>
        </is>
      </c>
      <c r="C1180" t="inlineStr">
        <is>
          <t>Cali</t>
        </is>
      </c>
      <c r="D1180" t="inlineStr">
        <is>
          <t>2381</t>
        </is>
      </c>
      <c r="E1180" t="inlineStr">
        <is>
          <t>pagado</t>
        </is>
      </c>
      <c r="F1180" s="23" t="n">
        <v>46273</v>
      </c>
      <c r="G1180" s="24">
        <f>F1180-DATE(2026,8,31)</f>
        <v>8</v>
      </c>
      <c r="H1180" s="25" t="n">
        <v>148369194</v>
      </c>
      <c r="I1180" t="inlineStr">
        <is>
          <t>entidad-dia</t>
        </is>
      </c>
    </row>
    <row r="1181">
      <c r="A1181" t="inlineStr">
        <is>
          <t>PRAGMA</t>
        </is>
      </c>
      <c r="B1181" t="inlineStr">
        <is>
          <t>M1</t>
        </is>
      </c>
      <c r="C1181" t="inlineStr">
        <is>
          <t>Cali</t>
        </is>
      </c>
      <c r="D1181" t="inlineStr">
        <is>
          <t>2381</t>
        </is>
      </c>
      <c r="E1181" t="inlineStr">
        <is>
          <t>pagado</t>
        </is>
      </c>
      <c r="F1181" s="23" t="n">
        <v>46274</v>
      </c>
      <c r="G1181" s="24">
        <f>F1181-DATE(2026,8,31)</f>
        <v>9</v>
      </c>
      <c r="H1181" s="25" t="n">
        <v>136466170</v>
      </c>
      <c r="I1181" t="inlineStr">
        <is>
          <t>entidad-dia</t>
        </is>
      </c>
    </row>
    <row r="1182">
      <c r="A1182" t="inlineStr">
        <is>
          <t>PRAGMA</t>
        </is>
      </c>
      <c r="B1182" t="inlineStr">
        <is>
          <t>M1</t>
        </is>
      </c>
      <c r="C1182" t="inlineStr">
        <is>
          <t>Cali</t>
        </is>
      </c>
      <c r="D1182" t="inlineStr">
        <is>
          <t>2381</t>
        </is>
      </c>
      <c r="E1182" t="inlineStr">
        <is>
          <t>pagado</t>
        </is>
      </c>
      <c r="F1182" s="23" t="n">
        <v>46275</v>
      </c>
      <c r="G1182" s="24">
        <f>F1182-DATE(2026,8,31)</f>
        <v>10</v>
      </c>
      <c r="H1182" s="25" t="n">
        <v>117335312</v>
      </c>
      <c r="I1182" t="inlineStr">
        <is>
          <t>entidad-dia</t>
        </is>
      </c>
    </row>
    <row r="1183">
      <c r="A1183" t="inlineStr">
        <is>
          <t>PRAGMA</t>
        </is>
      </c>
      <c r="B1183" t="inlineStr">
        <is>
          <t>M1</t>
        </is>
      </c>
      <c r="C1183" t="inlineStr">
        <is>
          <t>Cali</t>
        </is>
      </c>
      <c r="D1183" t="inlineStr">
        <is>
          <t>2381</t>
        </is>
      </c>
      <c r="E1183" t="inlineStr">
        <is>
          <t>pagado</t>
        </is>
      </c>
      <c r="F1183" s="23" t="n">
        <v>46276</v>
      </c>
      <c r="G1183" s="24">
        <f>F1183-DATE(2026,8,31)</f>
        <v>11</v>
      </c>
      <c r="H1183" s="25" t="n">
        <v>148938494</v>
      </c>
      <c r="I1183" t="inlineStr">
        <is>
          <t>entidad-dia</t>
        </is>
      </c>
    </row>
    <row r="1184">
      <c r="A1184" t="inlineStr">
        <is>
          <t>PRAGMA</t>
        </is>
      </c>
      <c r="B1184" t="inlineStr">
        <is>
          <t>M1</t>
        </is>
      </c>
      <c r="C1184" t="inlineStr">
        <is>
          <t>Cali</t>
        </is>
      </c>
      <c r="D1184" t="inlineStr">
        <is>
          <t>2381</t>
        </is>
      </c>
      <c r="E1184" t="inlineStr">
        <is>
          <t>pagado</t>
        </is>
      </c>
      <c r="F1184" s="23" t="n">
        <v>46277</v>
      </c>
      <c r="G1184" s="24">
        <f>F1184-DATE(2026,8,31)</f>
        <v>12</v>
      </c>
      <c r="H1184" s="25" t="n">
        <v>133438544</v>
      </c>
      <c r="I1184" t="inlineStr">
        <is>
          <t>entidad-dia</t>
        </is>
      </c>
    </row>
    <row r="1185">
      <c r="A1185" t="inlineStr">
        <is>
          <t>PRAGMA</t>
        </is>
      </c>
      <c r="B1185" t="inlineStr">
        <is>
          <t>M1</t>
        </is>
      </c>
      <c r="C1185" t="inlineStr">
        <is>
          <t>Cali</t>
        </is>
      </c>
      <c r="D1185" t="inlineStr">
        <is>
          <t>2381</t>
        </is>
      </c>
      <c r="E1185" t="inlineStr">
        <is>
          <t>pagado</t>
        </is>
      </c>
      <c r="F1185" s="23" t="n">
        <v>46278</v>
      </c>
      <c r="G1185" s="24">
        <f>F1185-DATE(2026,8,31)</f>
        <v>13</v>
      </c>
      <c r="H1185" s="25" t="n">
        <v>75438918</v>
      </c>
      <c r="I1185" t="inlineStr">
        <is>
          <t>entidad-dia</t>
        </is>
      </c>
    </row>
    <row r="1186">
      <c r="A1186" t="inlineStr">
        <is>
          <t>PRAGMA</t>
        </is>
      </c>
      <c r="B1186" t="inlineStr">
        <is>
          <t>M1</t>
        </is>
      </c>
      <c r="C1186" t="inlineStr">
        <is>
          <t>Cali</t>
        </is>
      </c>
      <c r="D1186" t="inlineStr">
        <is>
          <t>2381</t>
        </is>
      </c>
      <c r="E1186" t="inlineStr">
        <is>
          <t>pagado</t>
        </is>
      </c>
      <c r="F1186" s="23" t="n">
        <v>46279</v>
      </c>
      <c r="G1186" s="24">
        <f>F1186-DATE(2026,8,31)</f>
        <v>14</v>
      </c>
      <c r="H1186" s="25" t="n">
        <v>140113364</v>
      </c>
      <c r="I1186" t="inlineStr">
        <is>
          <t>entidad-dia</t>
        </is>
      </c>
    </row>
    <row r="1187">
      <c r="A1187" t="inlineStr">
        <is>
          <t>PRAGMA</t>
        </is>
      </c>
      <c r="B1187" t="inlineStr">
        <is>
          <t>M1</t>
        </is>
      </c>
      <c r="C1187" t="inlineStr">
        <is>
          <t>Cali</t>
        </is>
      </c>
      <c r="D1187" t="inlineStr">
        <is>
          <t>2381</t>
        </is>
      </c>
      <c r="E1187" t="inlineStr">
        <is>
          <t>pagado</t>
        </is>
      </c>
      <c r="F1187" s="23" t="n">
        <v>46280</v>
      </c>
      <c r="G1187" s="24">
        <f>F1187-DATE(2026,8,31)</f>
        <v>15</v>
      </c>
      <c r="H1187" s="25" t="n">
        <v>171138181</v>
      </c>
      <c r="I1187" t="inlineStr">
        <is>
          <t>entidad-dia</t>
        </is>
      </c>
    </row>
    <row r="1188">
      <c r="A1188" t="inlineStr">
        <is>
          <t>PRAGMA</t>
        </is>
      </c>
      <c r="B1188" t="inlineStr">
        <is>
          <t>M1</t>
        </is>
      </c>
      <c r="C1188" t="inlineStr">
        <is>
          <t>Cali</t>
        </is>
      </c>
      <c r="D1188" t="inlineStr">
        <is>
          <t>24</t>
        </is>
      </c>
      <c r="E1188" t="inlineStr">
        <is>
          <t>pagado</t>
        </is>
      </c>
      <c r="F1188" s="23" t="n">
        <v>46266</v>
      </c>
      <c r="G1188" s="24">
        <f>F1188-DATE(2026,8,31)</f>
        <v>1</v>
      </c>
      <c r="H1188" s="25" t="n">
        <v>99823308</v>
      </c>
      <c r="I1188" t="inlineStr">
        <is>
          <t>entidad-dia</t>
        </is>
      </c>
    </row>
    <row r="1189">
      <c r="A1189" t="inlineStr">
        <is>
          <t>PRAGMA</t>
        </is>
      </c>
      <c r="B1189" t="inlineStr">
        <is>
          <t>M1</t>
        </is>
      </c>
      <c r="C1189" t="inlineStr">
        <is>
          <t>Cali</t>
        </is>
      </c>
      <c r="D1189" t="inlineStr">
        <is>
          <t>24</t>
        </is>
      </c>
      <c r="E1189" t="inlineStr">
        <is>
          <t>pagado</t>
        </is>
      </c>
      <c r="F1189" s="23" t="n">
        <v>46267</v>
      </c>
      <c r="G1189" s="24">
        <f>F1189-DATE(2026,8,31)</f>
        <v>2</v>
      </c>
      <c r="H1189" s="25" t="n">
        <v>79684180</v>
      </c>
      <c r="I1189" t="inlineStr">
        <is>
          <t>entidad-dia</t>
        </is>
      </c>
    </row>
    <row r="1190">
      <c r="A1190" t="inlineStr">
        <is>
          <t>PRAGMA</t>
        </is>
      </c>
      <c r="B1190" t="inlineStr">
        <is>
          <t>M1</t>
        </is>
      </c>
      <c r="C1190" t="inlineStr">
        <is>
          <t>Cali</t>
        </is>
      </c>
      <c r="D1190" t="inlineStr">
        <is>
          <t>24</t>
        </is>
      </c>
      <c r="E1190" t="inlineStr">
        <is>
          <t>pagado</t>
        </is>
      </c>
      <c r="F1190" s="23" t="n">
        <v>46268</v>
      </c>
      <c r="G1190" s="24">
        <f>F1190-DATE(2026,8,31)</f>
        <v>3</v>
      </c>
      <c r="H1190" s="25" t="n">
        <v>72498962</v>
      </c>
      <c r="I1190" t="inlineStr">
        <is>
          <t>entidad-dia</t>
        </is>
      </c>
    </row>
    <row r="1191">
      <c r="A1191" t="inlineStr">
        <is>
          <t>PRAGMA</t>
        </is>
      </c>
      <c r="B1191" t="inlineStr">
        <is>
          <t>M1</t>
        </is>
      </c>
      <c r="C1191" t="inlineStr">
        <is>
          <t>Cali</t>
        </is>
      </c>
      <c r="D1191" t="inlineStr">
        <is>
          <t>24</t>
        </is>
      </c>
      <c r="E1191" t="inlineStr">
        <is>
          <t>pagado</t>
        </is>
      </c>
      <c r="F1191" s="23" t="n">
        <v>46269</v>
      </c>
      <c r="G1191" s="24">
        <f>F1191-DATE(2026,8,31)</f>
        <v>4</v>
      </c>
      <c r="H1191" s="25" t="n">
        <v>72312192</v>
      </c>
      <c r="I1191" t="inlineStr">
        <is>
          <t>entidad-dia</t>
        </is>
      </c>
    </row>
    <row r="1192">
      <c r="A1192" t="inlineStr">
        <is>
          <t>PRAGMA</t>
        </is>
      </c>
      <c r="B1192" t="inlineStr">
        <is>
          <t>M1</t>
        </is>
      </c>
      <c r="C1192" t="inlineStr">
        <is>
          <t>Cali</t>
        </is>
      </c>
      <c r="D1192" t="inlineStr">
        <is>
          <t>24</t>
        </is>
      </c>
      <c r="E1192" t="inlineStr">
        <is>
          <t>pagado</t>
        </is>
      </c>
      <c r="F1192" s="23" t="n">
        <v>46270</v>
      </c>
      <c r="G1192" s="24">
        <f>F1192-DATE(2026,8,31)</f>
        <v>5</v>
      </c>
      <c r="H1192" s="25" t="n">
        <v>77941531</v>
      </c>
      <c r="I1192" t="inlineStr">
        <is>
          <t>entidad-dia</t>
        </is>
      </c>
    </row>
    <row r="1193">
      <c r="A1193" t="inlineStr">
        <is>
          <t>PRAGMA</t>
        </is>
      </c>
      <c r="B1193" t="inlineStr">
        <is>
          <t>M1</t>
        </is>
      </c>
      <c r="C1193" t="inlineStr">
        <is>
          <t>Cali</t>
        </is>
      </c>
      <c r="D1193" t="inlineStr">
        <is>
          <t>24</t>
        </is>
      </c>
      <c r="E1193" t="inlineStr">
        <is>
          <t>pagado</t>
        </is>
      </c>
      <c r="F1193" s="23" t="n">
        <v>46271</v>
      </c>
      <c r="G1193" s="24">
        <f>F1193-DATE(2026,8,31)</f>
        <v>6</v>
      </c>
      <c r="H1193" s="25" t="n">
        <v>33863366</v>
      </c>
      <c r="I1193" t="inlineStr">
        <is>
          <t>entidad-dia</t>
        </is>
      </c>
    </row>
    <row r="1194">
      <c r="A1194" t="inlineStr">
        <is>
          <t>PRAGMA</t>
        </is>
      </c>
      <c r="B1194" t="inlineStr">
        <is>
          <t>M1</t>
        </is>
      </c>
      <c r="C1194" t="inlineStr">
        <is>
          <t>Cali</t>
        </is>
      </c>
      <c r="D1194" t="inlineStr">
        <is>
          <t>24</t>
        </is>
      </c>
      <c r="E1194" t="inlineStr">
        <is>
          <t>pagado</t>
        </is>
      </c>
      <c r="F1194" s="23" t="n">
        <v>46272</v>
      </c>
      <c r="G1194" s="24">
        <f>F1194-DATE(2026,8,31)</f>
        <v>7</v>
      </c>
      <c r="H1194" s="25" t="n">
        <v>52435591</v>
      </c>
      <c r="I1194" t="inlineStr">
        <is>
          <t>entidad-dia</t>
        </is>
      </c>
    </row>
    <row r="1195">
      <c r="A1195" t="inlineStr">
        <is>
          <t>PRAGMA</t>
        </is>
      </c>
      <c r="B1195" t="inlineStr">
        <is>
          <t>M1</t>
        </is>
      </c>
      <c r="C1195" t="inlineStr">
        <is>
          <t>Cali</t>
        </is>
      </c>
      <c r="D1195" t="inlineStr">
        <is>
          <t>24</t>
        </is>
      </c>
      <c r="E1195" t="inlineStr">
        <is>
          <t>pagado</t>
        </is>
      </c>
      <c r="F1195" s="23" t="n">
        <v>46273</v>
      </c>
      <c r="G1195" s="24">
        <f>F1195-DATE(2026,8,31)</f>
        <v>8</v>
      </c>
      <c r="H1195" s="25" t="n">
        <v>54928937</v>
      </c>
      <c r="I1195" t="inlineStr">
        <is>
          <t>entidad-dia</t>
        </is>
      </c>
    </row>
    <row r="1196">
      <c r="A1196" t="inlineStr">
        <is>
          <t>PRAGMA</t>
        </is>
      </c>
      <c r="B1196" t="inlineStr">
        <is>
          <t>M1</t>
        </is>
      </c>
      <c r="C1196" t="inlineStr">
        <is>
          <t>Cali</t>
        </is>
      </c>
      <c r="D1196" t="inlineStr">
        <is>
          <t>24</t>
        </is>
      </c>
      <c r="E1196" t="inlineStr">
        <is>
          <t>pagado</t>
        </is>
      </c>
      <c r="F1196" s="23" t="n">
        <v>46274</v>
      </c>
      <c r="G1196" s="24">
        <f>F1196-DATE(2026,8,31)</f>
        <v>9</v>
      </c>
      <c r="H1196" s="25" t="n">
        <v>55935238</v>
      </c>
      <c r="I1196" t="inlineStr">
        <is>
          <t>entidad-dia</t>
        </is>
      </c>
    </row>
    <row r="1197">
      <c r="A1197" t="inlineStr">
        <is>
          <t>PRAGMA</t>
        </is>
      </c>
      <c r="B1197" t="inlineStr">
        <is>
          <t>M1</t>
        </is>
      </c>
      <c r="C1197" t="inlineStr">
        <is>
          <t>Cali</t>
        </is>
      </c>
      <c r="D1197" t="inlineStr">
        <is>
          <t>24</t>
        </is>
      </c>
      <c r="E1197" t="inlineStr">
        <is>
          <t>pagado</t>
        </is>
      </c>
      <c r="F1197" s="23" t="n">
        <v>46275</v>
      </c>
      <c r="G1197" s="24">
        <f>F1197-DATE(2026,8,31)</f>
        <v>10</v>
      </c>
      <c r="H1197" s="25" t="n">
        <v>49294360</v>
      </c>
      <c r="I1197" t="inlineStr">
        <is>
          <t>entidad-dia</t>
        </is>
      </c>
    </row>
    <row r="1198">
      <c r="A1198" t="inlineStr">
        <is>
          <t>PRAGMA</t>
        </is>
      </c>
      <c r="B1198" t="inlineStr">
        <is>
          <t>M1</t>
        </is>
      </c>
      <c r="C1198" t="inlineStr">
        <is>
          <t>Cali</t>
        </is>
      </c>
      <c r="D1198" t="inlineStr">
        <is>
          <t>24</t>
        </is>
      </c>
      <c r="E1198" t="inlineStr">
        <is>
          <t>pagado</t>
        </is>
      </c>
      <c r="F1198" s="23" t="n">
        <v>46276</v>
      </c>
      <c r="G1198" s="24">
        <f>F1198-DATE(2026,8,31)</f>
        <v>11</v>
      </c>
      <c r="H1198" s="25" t="n">
        <v>53711794</v>
      </c>
      <c r="I1198" t="inlineStr">
        <is>
          <t>entidad-dia</t>
        </is>
      </c>
    </row>
    <row r="1199">
      <c r="A1199" t="inlineStr">
        <is>
          <t>PRAGMA</t>
        </is>
      </c>
      <c r="B1199" t="inlineStr">
        <is>
          <t>M1</t>
        </is>
      </c>
      <c r="C1199" t="inlineStr">
        <is>
          <t>Cali</t>
        </is>
      </c>
      <c r="D1199" t="inlineStr">
        <is>
          <t>24</t>
        </is>
      </c>
      <c r="E1199" t="inlineStr">
        <is>
          <t>pagado</t>
        </is>
      </c>
      <c r="F1199" s="23" t="n">
        <v>46277</v>
      </c>
      <c r="G1199" s="24">
        <f>F1199-DATE(2026,8,31)</f>
        <v>12</v>
      </c>
      <c r="H1199" s="25" t="n">
        <v>67678962</v>
      </c>
      <c r="I1199" t="inlineStr">
        <is>
          <t>entidad-dia</t>
        </is>
      </c>
    </row>
    <row r="1200">
      <c r="A1200" t="inlineStr">
        <is>
          <t>PRAGMA</t>
        </is>
      </c>
      <c r="B1200" t="inlineStr">
        <is>
          <t>M1</t>
        </is>
      </c>
      <c r="C1200" t="inlineStr">
        <is>
          <t>Cali</t>
        </is>
      </c>
      <c r="D1200" t="inlineStr">
        <is>
          <t>24</t>
        </is>
      </c>
      <c r="E1200" t="inlineStr">
        <is>
          <t>pagado</t>
        </is>
      </c>
      <c r="F1200" s="23" t="n">
        <v>46278</v>
      </c>
      <c r="G1200" s="24">
        <f>F1200-DATE(2026,8,31)</f>
        <v>13</v>
      </c>
      <c r="H1200" s="25" t="n">
        <v>29096538</v>
      </c>
      <c r="I1200" t="inlineStr">
        <is>
          <t>entidad-dia</t>
        </is>
      </c>
    </row>
    <row r="1201">
      <c r="A1201" t="inlineStr">
        <is>
          <t>PRAGMA</t>
        </is>
      </c>
      <c r="B1201" t="inlineStr">
        <is>
          <t>M1</t>
        </is>
      </c>
      <c r="C1201" t="inlineStr">
        <is>
          <t>Cali</t>
        </is>
      </c>
      <c r="D1201" t="inlineStr">
        <is>
          <t>24</t>
        </is>
      </c>
      <c r="E1201" t="inlineStr">
        <is>
          <t>pagado</t>
        </is>
      </c>
      <c r="F1201" s="23" t="n">
        <v>46279</v>
      </c>
      <c r="G1201" s="24">
        <f>F1201-DATE(2026,8,31)</f>
        <v>14</v>
      </c>
      <c r="H1201" s="25" t="n">
        <v>47519543</v>
      </c>
      <c r="I1201" t="inlineStr">
        <is>
          <t>entidad-dia</t>
        </is>
      </c>
    </row>
    <row r="1202">
      <c r="A1202" t="inlineStr">
        <is>
          <t>PRAGMA</t>
        </is>
      </c>
      <c r="B1202" t="inlineStr">
        <is>
          <t>M1</t>
        </is>
      </c>
      <c r="C1202" t="inlineStr">
        <is>
          <t>Cali</t>
        </is>
      </c>
      <c r="D1202" t="inlineStr">
        <is>
          <t>24</t>
        </is>
      </c>
      <c r="E1202" t="inlineStr">
        <is>
          <t>pagado</t>
        </is>
      </c>
      <c r="F1202" s="23" t="n">
        <v>46280</v>
      </c>
      <c r="G1202" s="24">
        <f>F1202-DATE(2026,8,31)</f>
        <v>15</v>
      </c>
      <c r="H1202" s="25" t="n">
        <v>79789880</v>
      </c>
      <c r="I1202" t="inlineStr">
        <is>
          <t>entidad-dia</t>
        </is>
      </c>
    </row>
    <row r="1203">
      <c r="A1203" t="inlineStr">
        <is>
          <t>PRAGMA</t>
        </is>
      </c>
      <c r="B1203" t="inlineStr">
        <is>
          <t>M1</t>
        </is>
      </c>
      <c r="C1203" t="inlineStr">
        <is>
          <t>Cali</t>
        </is>
      </c>
      <c r="D1203" t="inlineStr">
        <is>
          <t>2480</t>
        </is>
      </c>
      <c r="E1203" t="inlineStr">
        <is>
          <t>pagado</t>
        </is>
      </c>
      <c r="F1203" s="23" t="n">
        <v>46266</v>
      </c>
      <c r="G1203" s="24">
        <f>F1203-DATE(2026,8,31)</f>
        <v>1</v>
      </c>
      <c r="H1203" s="25" t="n">
        <v>137806584</v>
      </c>
      <c r="I1203" t="inlineStr">
        <is>
          <t>entidad-dia</t>
        </is>
      </c>
    </row>
    <row r="1204">
      <c r="A1204" t="inlineStr">
        <is>
          <t>PRAGMA</t>
        </is>
      </c>
      <c r="B1204" t="inlineStr">
        <is>
          <t>M1</t>
        </is>
      </c>
      <c r="C1204" t="inlineStr">
        <is>
          <t>Cali</t>
        </is>
      </c>
      <c r="D1204" t="inlineStr">
        <is>
          <t>2480</t>
        </is>
      </c>
      <c r="E1204" t="inlineStr">
        <is>
          <t>pagado</t>
        </is>
      </c>
      <c r="F1204" s="23" t="n">
        <v>46267</v>
      </c>
      <c r="G1204" s="24">
        <f>F1204-DATE(2026,8,31)</f>
        <v>2</v>
      </c>
      <c r="H1204" s="25" t="n">
        <v>107049477</v>
      </c>
      <c r="I1204" t="inlineStr">
        <is>
          <t>entidad-dia</t>
        </is>
      </c>
    </row>
    <row r="1205">
      <c r="A1205" t="inlineStr">
        <is>
          <t>PRAGMA</t>
        </is>
      </c>
      <c r="B1205" t="inlineStr">
        <is>
          <t>M1</t>
        </is>
      </c>
      <c r="C1205" t="inlineStr">
        <is>
          <t>Cali</t>
        </is>
      </c>
      <c r="D1205" t="inlineStr">
        <is>
          <t>2480</t>
        </is>
      </c>
      <c r="E1205" t="inlineStr">
        <is>
          <t>pagado</t>
        </is>
      </c>
      <c r="F1205" s="23" t="n">
        <v>46268</v>
      </c>
      <c r="G1205" s="24">
        <f>F1205-DATE(2026,8,31)</f>
        <v>3</v>
      </c>
      <c r="H1205" s="25" t="n">
        <v>92746975</v>
      </c>
      <c r="I1205" t="inlineStr">
        <is>
          <t>entidad-dia</t>
        </is>
      </c>
    </row>
    <row r="1206">
      <c r="A1206" t="inlineStr">
        <is>
          <t>PRAGMA</t>
        </is>
      </c>
      <c r="B1206" t="inlineStr">
        <is>
          <t>M1</t>
        </is>
      </c>
      <c r="C1206" t="inlineStr">
        <is>
          <t>Cali</t>
        </is>
      </c>
      <c r="D1206" t="inlineStr">
        <is>
          <t>2480</t>
        </is>
      </c>
      <c r="E1206" t="inlineStr">
        <is>
          <t>pagado</t>
        </is>
      </c>
      <c r="F1206" s="23" t="n">
        <v>46269</v>
      </c>
      <c r="G1206" s="24">
        <f>F1206-DATE(2026,8,31)</f>
        <v>4</v>
      </c>
      <c r="H1206" s="25" t="n">
        <v>104135927</v>
      </c>
      <c r="I1206" t="inlineStr">
        <is>
          <t>entidad-dia</t>
        </is>
      </c>
    </row>
    <row r="1207">
      <c r="A1207" t="inlineStr">
        <is>
          <t>PRAGMA</t>
        </is>
      </c>
      <c r="B1207" t="inlineStr">
        <is>
          <t>M1</t>
        </is>
      </c>
      <c r="C1207" t="inlineStr">
        <is>
          <t>Cali</t>
        </is>
      </c>
      <c r="D1207" t="inlineStr">
        <is>
          <t>2480</t>
        </is>
      </c>
      <c r="E1207" t="inlineStr">
        <is>
          <t>pagado</t>
        </is>
      </c>
      <c r="F1207" s="23" t="n">
        <v>46270</v>
      </c>
      <c r="G1207" s="24">
        <f>F1207-DATE(2026,8,31)</f>
        <v>5</v>
      </c>
      <c r="H1207" s="25" t="n">
        <v>113407786</v>
      </c>
      <c r="I1207" t="inlineStr">
        <is>
          <t>entidad-dia</t>
        </is>
      </c>
    </row>
    <row r="1208">
      <c r="A1208" t="inlineStr">
        <is>
          <t>PRAGMA</t>
        </is>
      </c>
      <c r="B1208" t="inlineStr">
        <is>
          <t>M1</t>
        </is>
      </c>
      <c r="C1208" t="inlineStr">
        <is>
          <t>Cali</t>
        </is>
      </c>
      <c r="D1208" t="inlineStr">
        <is>
          <t>2480</t>
        </is>
      </c>
      <c r="E1208" t="inlineStr">
        <is>
          <t>pagado</t>
        </is>
      </c>
      <c r="F1208" s="23" t="n">
        <v>46271</v>
      </c>
      <c r="G1208" s="24">
        <f>F1208-DATE(2026,8,31)</f>
        <v>6</v>
      </c>
      <c r="H1208" s="25" t="n">
        <v>64617098</v>
      </c>
      <c r="I1208" t="inlineStr">
        <is>
          <t>entidad-dia</t>
        </is>
      </c>
    </row>
    <row r="1209">
      <c r="A1209" t="inlineStr">
        <is>
          <t>PRAGMA</t>
        </is>
      </c>
      <c r="B1209" t="inlineStr">
        <is>
          <t>M1</t>
        </is>
      </c>
      <c r="C1209" t="inlineStr">
        <is>
          <t>Cali</t>
        </is>
      </c>
      <c r="D1209" t="inlineStr">
        <is>
          <t>2480</t>
        </is>
      </c>
      <c r="E1209" t="inlineStr">
        <is>
          <t>pagado</t>
        </is>
      </c>
      <c r="F1209" s="23" t="n">
        <v>46272</v>
      </c>
      <c r="G1209" s="24">
        <f>F1209-DATE(2026,8,31)</f>
        <v>7</v>
      </c>
      <c r="H1209" s="25" t="n">
        <v>81392568</v>
      </c>
      <c r="I1209" t="inlineStr">
        <is>
          <t>entidad-dia</t>
        </is>
      </c>
    </row>
    <row r="1210">
      <c r="A1210" t="inlineStr">
        <is>
          <t>PRAGMA</t>
        </is>
      </c>
      <c r="B1210" t="inlineStr">
        <is>
          <t>M1</t>
        </is>
      </c>
      <c r="C1210" t="inlineStr">
        <is>
          <t>Cali</t>
        </is>
      </c>
      <c r="D1210" t="inlineStr">
        <is>
          <t>2480</t>
        </is>
      </c>
      <c r="E1210" t="inlineStr">
        <is>
          <t>pagado</t>
        </is>
      </c>
      <c r="F1210" s="23" t="n">
        <v>46273</v>
      </c>
      <c r="G1210" s="24">
        <f>F1210-DATE(2026,8,31)</f>
        <v>8</v>
      </c>
      <c r="H1210" s="25" t="n">
        <v>74205312</v>
      </c>
      <c r="I1210" t="inlineStr">
        <is>
          <t>entidad-dia</t>
        </is>
      </c>
    </row>
    <row r="1211">
      <c r="A1211" t="inlineStr">
        <is>
          <t>PRAGMA</t>
        </is>
      </c>
      <c r="B1211" t="inlineStr">
        <is>
          <t>M1</t>
        </is>
      </c>
      <c r="C1211" t="inlineStr">
        <is>
          <t>Cali</t>
        </is>
      </c>
      <c r="D1211" t="inlineStr">
        <is>
          <t>2480</t>
        </is>
      </c>
      <c r="E1211" t="inlineStr">
        <is>
          <t>pagado</t>
        </is>
      </c>
      <c r="F1211" s="23" t="n">
        <v>46274</v>
      </c>
      <c r="G1211" s="24">
        <f>F1211-DATE(2026,8,31)</f>
        <v>9</v>
      </c>
      <c r="H1211" s="25" t="n">
        <v>74116748</v>
      </c>
      <c r="I1211" t="inlineStr">
        <is>
          <t>entidad-dia</t>
        </is>
      </c>
    </row>
    <row r="1212">
      <c r="A1212" t="inlineStr">
        <is>
          <t>PRAGMA</t>
        </is>
      </c>
      <c r="B1212" t="inlineStr">
        <is>
          <t>M1</t>
        </is>
      </c>
      <c r="C1212" t="inlineStr">
        <is>
          <t>Cali</t>
        </is>
      </c>
      <c r="D1212" t="inlineStr">
        <is>
          <t>2480</t>
        </is>
      </c>
      <c r="E1212" t="inlineStr">
        <is>
          <t>pagado</t>
        </is>
      </c>
      <c r="F1212" s="23" t="n">
        <v>46275</v>
      </c>
      <c r="G1212" s="24">
        <f>F1212-DATE(2026,8,31)</f>
        <v>10</v>
      </c>
      <c r="H1212" s="25" t="n">
        <v>65624258</v>
      </c>
      <c r="I1212" t="inlineStr">
        <is>
          <t>entidad-dia</t>
        </is>
      </c>
    </row>
    <row r="1213">
      <c r="A1213" t="inlineStr">
        <is>
          <t>PRAGMA</t>
        </is>
      </c>
      <c r="B1213" t="inlineStr">
        <is>
          <t>M1</t>
        </is>
      </c>
      <c r="C1213" t="inlineStr">
        <is>
          <t>Cali</t>
        </is>
      </c>
      <c r="D1213" t="inlineStr">
        <is>
          <t>2480</t>
        </is>
      </c>
      <c r="E1213" t="inlineStr">
        <is>
          <t>pagado</t>
        </is>
      </c>
      <c r="F1213" s="23" t="n">
        <v>46276</v>
      </c>
      <c r="G1213" s="24">
        <f>F1213-DATE(2026,8,31)</f>
        <v>11</v>
      </c>
      <c r="H1213" s="25" t="n">
        <v>74244395</v>
      </c>
      <c r="I1213" t="inlineStr">
        <is>
          <t>entidad-dia</t>
        </is>
      </c>
    </row>
    <row r="1214">
      <c r="A1214" t="inlineStr">
        <is>
          <t>PRAGMA</t>
        </is>
      </c>
      <c r="B1214" t="inlineStr">
        <is>
          <t>M1</t>
        </is>
      </c>
      <c r="C1214" t="inlineStr">
        <is>
          <t>Cali</t>
        </is>
      </c>
      <c r="D1214" t="inlineStr">
        <is>
          <t>2480</t>
        </is>
      </c>
      <c r="E1214" t="inlineStr">
        <is>
          <t>pagado</t>
        </is>
      </c>
      <c r="F1214" s="23" t="n">
        <v>46277</v>
      </c>
      <c r="G1214" s="24">
        <f>F1214-DATE(2026,8,31)</f>
        <v>12</v>
      </c>
      <c r="H1214" s="25" t="n">
        <v>79689944</v>
      </c>
      <c r="I1214" t="inlineStr">
        <is>
          <t>entidad-dia</t>
        </is>
      </c>
    </row>
    <row r="1215">
      <c r="A1215" t="inlineStr">
        <is>
          <t>PRAGMA</t>
        </is>
      </c>
      <c r="B1215" t="inlineStr">
        <is>
          <t>M1</t>
        </is>
      </c>
      <c r="C1215" t="inlineStr">
        <is>
          <t>Cali</t>
        </is>
      </c>
      <c r="D1215" t="inlineStr">
        <is>
          <t>2480</t>
        </is>
      </c>
      <c r="E1215" t="inlineStr">
        <is>
          <t>pagado</t>
        </is>
      </c>
      <c r="F1215" s="23" t="n">
        <v>46278</v>
      </c>
      <c r="G1215" s="24">
        <f>F1215-DATE(2026,8,31)</f>
        <v>13</v>
      </c>
      <c r="H1215" s="25" t="n">
        <v>50825253</v>
      </c>
      <c r="I1215" t="inlineStr">
        <is>
          <t>entidad-dia</t>
        </is>
      </c>
    </row>
    <row r="1216">
      <c r="A1216" t="inlineStr">
        <is>
          <t>PRAGMA</t>
        </is>
      </c>
      <c r="B1216" t="inlineStr">
        <is>
          <t>M1</t>
        </is>
      </c>
      <c r="C1216" t="inlineStr">
        <is>
          <t>Cali</t>
        </is>
      </c>
      <c r="D1216" t="inlineStr">
        <is>
          <t>2480</t>
        </is>
      </c>
      <c r="E1216" t="inlineStr">
        <is>
          <t>pagado</t>
        </is>
      </c>
      <c r="F1216" s="23" t="n">
        <v>46279</v>
      </c>
      <c r="G1216" s="24">
        <f>F1216-DATE(2026,8,31)</f>
        <v>14</v>
      </c>
      <c r="H1216" s="25" t="n">
        <v>76648766</v>
      </c>
      <c r="I1216" t="inlineStr">
        <is>
          <t>entidad-dia</t>
        </is>
      </c>
    </row>
    <row r="1217">
      <c r="A1217" t="inlineStr">
        <is>
          <t>PRAGMA</t>
        </is>
      </c>
      <c r="B1217" t="inlineStr">
        <is>
          <t>M1</t>
        </is>
      </c>
      <c r="C1217" t="inlineStr">
        <is>
          <t>Cali</t>
        </is>
      </c>
      <c r="D1217" t="inlineStr">
        <is>
          <t>2480</t>
        </is>
      </c>
      <c r="E1217" t="inlineStr">
        <is>
          <t>pagado</t>
        </is>
      </c>
      <c r="F1217" s="23" t="n">
        <v>46280</v>
      </c>
      <c r="G1217" s="24">
        <f>F1217-DATE(2026,8,31)</f>
        <v>15</v>
      </c>
      <c r="H1217" s="25" t="n">
        <v>98808380</v>
      </c>
      <c r="I1217" t="inlineStr">
        <is>
          <t>entidad-dia</t>
        </is>
      </c>
    </row>
    <row r="1218">
      <c r="A1218" t="inlineStr">
        <is>
          <t>PRAGMA</t>
        </is>
      </c>
      <c r="B1218" t="inlineStr">
        <is>
          <t>M1</t>
        </is>
      </c>
      <c r="C1218" t="inlineStr">
        <is>
          <t>Pasto</t>
        </is>
      </c>
      <c r="D1218" t="inlineStr">
        <is>
          <t>2481</t>
        </is>
      </c>
      <c r="E1218" t="inlineStr">
        <is>
          <t>pagado</t>
        </is>
      </c>
      <c r="F1218" s="23" t="n">
        <v>46266</v>
      </c>
      <c r="G1218" s="24">
        <f>F1218-DATE(2026,8,31)</f>
        <v>1</v>
      </c>
      <c r="H1218" s="25" t="n">
        <v>137641864</v>
      </c>
      <c r="I1218" t="inlineStr">
        <is>
          <t>entidad-dia</t>
        </is>
      </c>
    </row>
    <row r="1219">
      <c r="A1219" t="inlineStr">
        <is>
          <t>PRAGMA</t>
        </is>
      </c>
      <c r="B1219" t="inlineStr">
        <is>
          <t>M1</t>
        </is>
      </c>
      <c r="C1219" t="inlineStr">
        <is>
          <t>Pasto</t>
        </is>
      </c>
      <c r="D1219" t="inlineStr">
        <is>
          <t>2481</t>
        </is>
      </c>
      <c r="E1219" t="inlineStr">
        <is>
          <t>pagado</t>
        </is>
      </c>
      <c r="F1219" s="23" t="n">
        <v>46267</v>
      </c>
      <c r="G1219" s="24">
        <f>F1219-DATE(2026,8,31)</f>
        <v>2</v>
      </c>
      <c r="H1219" s="25" t="n">
        <v>107676292</v>
      </c>
      <c r="I1219" t="inlineStr">
        <is>
          <t>entidad-dia</t>
        </is>
      </c>
    </row>
    <row r="1220">
      <c r="A1220" t="inlineStr">
        <is>
          <t>PRAGMA</t>
        </is>
      </c>
      <c r="B1220" t="inlineStr">
        <is>
          <t>M1</t>
        </is>
      </c>
      <c r="C1220" t="inlineStr">
        <is>
          <t>Pasto</t>
        </is>
      </c>
      <c r="D1220" t="inlineStr">
        <is>
          <t>2481</t>
        </is>
      </c>
      <c r="E1220" t="inlineStr">
        <is>
          <t>pagado</t>
        </is>
      </c>
      <c r="F1220" s="23" t="n">
        <v>46268</v>
      </c>
      <c r="G1220" s="24">
        <f>F1220-DATE(2026,8,31)</f>
        <v>3</v>
      </c>
      <c r="H1220" s="25" t="n">
        <v>97592475</v>
      </c>
      <c r="I1220" t="inlineStr">
        <is>
          <t>entidad-dia</t>
        </is>
      </c>
    </row>
    <row r="1221">
      <c r="A1221" t="inlineStr">
        <is>
          <t>PRAGMA</t>
        </is>
      </c>
      <c r="B1221" t="inlineStr">
        <is>
          <t>M1</t>
        </is>
      </c>
      <c r="C1221" t="inlineStr">
        <is>
          <t>Pasto</t>
        </is>
      </c>
      <c r="D1221" t="inlineStr">
        <is>
          <t>2481</t>
        </is>
      </c>
      <c r="E1221" t="inlineStr">
        <is>
          <t>pagado</t>
        </is>
      </c>
      <c r="F1221" s="23" t="n">
        <v>46269</v>
      </c>
      <c r="G1221" s="24">
        <f>F1221-DATE(2026,8,31)</f>
        <v>4</v>
      </c>
      <c r="H1221" s="25" t="n">
        <v>99594879</v>
      </c>
      <c r="I1221" t="inlineStr">
        <is>
          <t>entidad-dia</t>
        </is>
      </c>
    </row>
    <row r="1222">
      <c r="A1222" t="inlineStr">
        <is>
          <t>PRAGMA</t>
        </is>
      </c>
      <c r="B1222" t="inlineStr">
        <is>
          <t>M1</t>
        </is>
      </c>
      <c r="C1222" t="inlineStr">
        <is>
          <t>Pasto</t>
        </is>
      </c>
      <c r="D1222" t="inlineStr">
        <is>
          <t>2481</t>
        </is>
      </c>
      <c r="E1222" t="inlineStr">
        <is>
          <t>pagado</t>
        </is>
      </c>
      <c r="F1222" s="23" t="n">
        <v>46270</v>
      </c>
      <c r="G1222" s="24">
        <f>F1222-DATE(2026,8,31)</f>
        <v>5</v>
      </c>
      <c r="H1222" s="25" t="n">
        <v>84033138</v>
      </c>
      <c r="I1222" t="inlineStr">
        <is>
          <t>entidad-dia</t>
        </is>
      </c>
    </row>
    <row r="1223">
      <c r="A1223" t="inlineStr">
        <is>
          <t>PRAGMA</t>
        </is>
      </c>
      <c r="B1223" t="inlineStr">
        <is>
          <t>M1</t>
        </is>
      </c>
      <c r="C1223" t="inlineStr">
        <is>
          <t>Pasto</t>
        </is>
      </c>
      <c r="D1223" t="inlineStr">
        <is>
          <t>2481</t>
        </is>
      </c>
      <c r="E1223" t="inlineStr">
        <is>
          <t>pagado</t>
        </is>
      </c>
      <c r="F1223" s="23" t="n">
        <v>46271</v>
      </c>
      <c r="G1223" s="24">
        <f>F1223-DATE(2026,8,31)</f>
        <v>6</v>
      </c>
      <c r="H1223" s="25" t="n">
        <v>21244832</v>
      </c>
      <c r="I1223" t="inlineStr">
        <is>
          <t>entidad-dia</t>
        </is>
      </c>
    </row>
    <row r="1224">
      <c r="A1224" t="inlineStr">
        <is>
          <t>PRAGMA</t>
        </is>
      </c>
      <c r="B1224" t="inlineStr">
        <is>
          <t>M1</t>
        </is>
      </c>
      <c r="C1224" t="inlineStr">
        <is>
          <t>Pasto</t>
        </is>
      </c>
      <c r="D1224" t="inlineStr">
        <is>
          <t>2481</t>
        </is>
      </c>
      <c r="E1224" t="inlineStr">
        <is>
          <t>pagado</t>
        </is>
      </c>
      <c r="F1224" s="23" t="n">
        <v>46272</v>
      </c>
      <c r="G1224" s="24">
        <f>F1224-DATE(2026,8,31)</f>
        <v>7</v>
      </c>
      <c r="H1224" s="25" t="n">
        <v>88966744</v>
      </c>
      <c r="I1224" t="inlineStr">
        <is>
          <t>entidad-dia</t>
        </is>
      </c>
    </row>
    <row r="1225">
      <c r="A1225" t="inlineStr">
        <is>
          <t>PRAGMA</t>
        </is>
      </c>
      <c r="B1225" t="inlineStr">
        <is>
          <t>M1</t>
        </is>
      </c>
      <c r="C1225" t="inlineStr">
        <is>
          <t>Pasto</t>
        </is>
      </c>
      <c r="D1225" t="inlineStr">
        <is>
          <t>2481</t>
        </is>
      </c>
      <c r="E1225" t="inlineStr">
        <is>
          <t>pagado</t>
        </is>
      </c>
      <c r="F1225" s="23" t="n">
        <v>46273</v>
      </c>
      <c r="G1225" s="24">
        <f>F1225-DATE(2026,8,31)</f>
        <v>8</v>
      </c>
      <c r="H1225" s="25" t="n">
        <v>80928548</v>
      </c>
      <c r="I1225" t="inlineStr">
        <is>
          <t>entidad-dia</t>
        </is>
      </c>
    </row>
    <row r="1226">
      <c r="A1226" t="inlineStr">
        <is>
          <t>PRAGMA</t>
        </is>
      </c>
      <c r="B1226" t="inlineStr">
        <is>
          <t>M1</t>
        </is>
      </c>
      <c r="C1226" t="inlineStr">
        <is>
          <t>Pasto</t>
        </is>
      </c>
      <c r="D1226" t="inlineStr">
        <is>
          <t>2481</t>
        </is>
      </c>
      <c r="E1226" t="inlineStr">
        <is>
          <t>pagado</t>
        </is>
      </c>
      <c r="F1226" s="23" t="n">
        <v>46274</v>
      </c>
      <c r="G1226" s="24">
        <f>F1226-DATE(2026,8,31)</f>
        <v>9</v>
      </c>
      <c r="H1226" s="25" t="n">
        <v>79110698</v>
      </c>
      <c r="I1226" t="inlineStr">
        <is>
          <t>entidad-dia</t>
        </is>
      </c>
    </row>
    <row r="1227">
      <c r="A1227" t="inlineStr">
        <is>
          <t>PRAGMA</t>
        </is>
      </c>
      <c r="B1227" t="inlineStr">
        <is>
          <t>M1</t>
        </is>
      </c>
      <c r="C1227" t="inlineStr">
        <is>
          <t>Pasto</t>
        </is>
      </c>
      <c r="D1227" t="inlineStr">
        <is>
          <t>2481</t>
        </is>
      </c>
      <c r="E1227" t="inlineStr">
        <is>
          <t>pagado</t>
        </is>
      </c>
      <c r="F1227" s="23" t="n">
        <v>46275</v>
      </c>
      <c r="G1227" s="24">
        <f>F1227-DATE(2026,8,31)</f>
        <v>10</v>
      </c>
      <c r="H1227" s="25" t="n">
        <v>71383054</v>
      </c>
      <c r="I1227" t="inlineStr">
        <is>
          <t>entidad-dia</t>
        </is>
      </c>
    </row>
    <row r="1228">
      <c r="A1228" t="inlineStr">
        <is>
          <t>PRAGMA</t>
        </is>
      </c>
      <c r="B1228" t="inlineStr">
        <is>
          <t>M1</t>
        </is>
      </c>
      <c r="C1228" t="inlineStr">
        <is>
          <t>Pasto</t>
        </is>
      </c>
      <c r="D1228" t="inlineStr">
        <is>
          <t>2481</t>
        </is>
      </c>
      <c r="E1228" t="inlineStr">
        <is>
          <t>pagado</t>
        </is>
      </c>
      <c r="F1228" s="23" t="n">
        <v>46276</v>
      </c>
      <c r="G1228" s="24">
        <f>F1228-DATE(2026,8,31)</f>
        <v>11</v>
      </c>
      <c r="H1228" s="25" t="n">
        <v>69800593</v>
      </c>
      <c r="I1228" t="inlineStr">
        <is>
          <t>entidad-dia</t>
        </is>
      </c>
    </row>
    <row r="1229">
      <c r="A1229" t="inlineStr">
        <is>
          <t>PRAGMA</t>
        </is>
      </c>
      <c r="B1229" t="inlineStr">
        <is>
          <t>M1</t>
        </is>
      </c>
      <c r="C1229" t="inlineStr">
        <is>
          <t>Pasto</t>
        </is>
      </c>
      <c r="D1229" t="inlineStr">
        <is>
          <t>2481</t>
        </is>
      </c>
      <c r="E1229" t="inlineStr">
        <is>
          <t>pagado</t>
        </is>
      </c>
      <c r="F1229" s="23" t="n">
        <v>46277</v>
      </c>
      <c r="G1229" s="24">
        <f>F1229-DATE(2026,8,31)</f>
        <v>12</v>
      </c>
      <c r="H1229" s="25" t="n">
        <v>61571125</v>
      </c>
      <c r="I1229" t="inlineStr">
        <is>
          <t>entidad-dia</t>
        </is>
      </c>
    </row>
    <row r="1230">
      <c r="A1230" t="inlineStr">
        <is>
          <t>PRAGMA</t>
        </is>
      </c>
      <c r="B1230" t="inlineStr">
        <is>
          <t>M1</t>
        </is>
      </c>
      <c r="C1230" t="inlineStr">
        <is>
          <t>Pasto</t>
        </is>
      </c>
      <c r="D1230" t="inlineStr">
        <is>
          <t>2481</t>
        </is>
      </c>
      <c r="E1230" t="inlineStr">
        <is>
          <t>pagado</t>
        </is>
      </c>
      <c r="F1230" s="23" t="n">
        <v>46278</v>
      </c>
      <c r="G1230" s="24">
        <f>F1230-DATE(2026,8,31)</f>
        <v>13</v>
      </c>
      <c r="H1230" s="25" t="n">
        <v>16495466</v>
      </c>
      <c r="I1230" t="inlineStr">
        <is>
          <t>entidad-dia</t>
        </is>
      </c>
    </row>
    <row r="1231">
      <c r="A1231" t="inlineStr">
        <is>
          <t>PRAGMA</t>
        </is>
      </c>
      <c r="B1231" t="inlineStr">
        <is>
          <t>M1</t>
        </is>
      </c>
      <c r="C1231" t="inlineStr">
        <is>
          <t>Pasto</t>
        </is>
      </c>
      <c r="D1231" t="inlineStr">
        <is>
          <t>2481</t>
        </is>
      </c>
      <c r="E1231" t="inlineStr">
        <is>
          <t>pagado</t>
        </is>
      </c>
      <c r="F1231" s="23" t="n">
        <v>46279</v>
      </c>
      <c r="G1231" s="24">
        <f>F1231-DATE(2026,8,31)</f>
        <v>14</v>
      </c>
      <c r="H1231" s="25" t="n">
        <v>70506411</v>
      </c>
      <c r="I1231" t="inlineStr">
        <is>
          <t>entidad-dia</t>
        </is>
      </c>
    </row>
    <row r="1232">
      <c r="A1232" t="inlineStr">
        <is>
          <t>PRAGMA</t>
        </is>
      </c>
      <c r="B1232" t="inlineStr">
        <is>
          <t>M1</t>
        </is>
      </c>
      <c r="C1232" t="inlineStr">
        <is>
          <t>Pasto</t>
        </is>
      </c>
      <c r="D1232" t="inlineStr">
        <is>
          <t>2481</t>
        </is>
      </c>
      <c r="E1232" t="inlineStr">
        <is>
          <t>pagado</t>
        </is>
      </c>
      <c r="F1232" s="23" t="n">
        <v>46280</v>
      </c>
      <c r="G1232" s="24">
        <f>F1232-DATE(2026,8,31)</f>
        <v>15</v>
      </c>
      <c r="H1232" s="25" t="n">
        <v>93162205</v>
      </c>
      <c r="I1232" t="inlineStr">
        <is>
          <t>entidad-dia</t>
        </is>
      </c>
    </row>
    <row r="1233">
      <c r="A1233" t="inlineStr">
        <is>
          <t>PRAGMA</t>
        </is>
      </c>
      <c r="B1233" t="inlineStr">
        <is>
          <t>M1</t>
        </is>
      </c>
      <c r="C1233" t="inlineStr">
        <is>
          <t>Pasto</t>
        </is>
      </c>
      <c r="D1233" t="inlineStr">
        <is>
          <t>2482</t>
        </is>
      </c>
      <c r="E1233" t="inlineStr">
        <is>
          <t>pagado</t>
        </is>
      </c>
      <c r="F1233" s="23" t="n">
        <v>46266</v>
      </c>
      <c r="G1233" s="24">
        <f>F1233-DATE(2026,8,31)</f>
        <v>1</v>
      </c>
      <c r="H1233" s="25" t="n">
        <v>129419894</v>
      </c>
      <c r="I1233" t="inlineStr">
        <is>
          <t>entidad-dia</t>
        </is>
      </c>
    </row>
    <row r="1234">
      <c r="A1234" t="inlineStr">
        <is>
          <t>PRAGMA</t>
        </is>
      </c>
      <c r="B1234" t="inlineStr">
        <is>
          <t>M1</t>
        </is>
      </c>
      <c r="C1234" t="inlineStr">
        <is>
          <t>Pasto</t>
        </is>
      </c>
      <c r="D1234" t="inlineStr">
        <is>
          <t>2482</t>
        </is>
      </c>
      <c r="E1234" t="inlineStr">
        <is>
          <t>pagado</t>
        </is>
      </c>
      <c r="F1234" s="23" t="n">
        <v>46267</v>
      </c>
      <c r="G1234" s="24">
        <f>F1234-DATE(2026,8,31)</f>
        <v>2</v>
      </c>
      <c r="H1234" s="25" t="n">
        <v>102086456</v>
      </c>
      <c r="I1234" t="inlineStr">
        <is>
          <t>entidad-dia</t>
        </is>
      </c>
    </row>
    <row r="1235">
      <c r="A1235" t="inlineStr">
        <is>
          <t>PRAGMA</t>
        </is>
      </c>
      <c r="B1235" t="inlineStr">
        <is>
          <t>M1</t>
        </is>
      </c>
      <c r="C1235" t="inlineStr">
        <is>
          <t>Pasto</t>
        </is>
      </c>
      <c r="D1235" t="inlineStr">
        <is>
          <t>2482</t>
        </is>
      </c>
      <c r="E1235" t="inlineStr">
        <is>
          <t>pagado</t>
        </is>
      </c>
      <c r="F1235" s="23" t="n">
        <v>46268</v>
      </c>
      <c r="G1235" s="24">
        <f>F1235-DATE(2026,8,31)</f>
        <v>3</v>
      </c>
      <c r="H1235" s="25" t="n">
        <v>93416613</v>
      </c>
      <c r="I1235" t="inlineStr">
        <is>
          <t>entidad-dia</t>
        </is>
      </c>
    </row>
    <row r="1236">
      <c r="A1236" t="inlineStr">
        <is>
          <t>PRAGMA</t>
        </is>
      </c>
      <c r="B1236" t="inlineStr">
        <is>
          <t>M1</t>
        </is>
      </c>
      <c r="C1236" t="inlineStr">
        <is>
          <t>Pasto</t>
        </is>
      </c>
      <c r="D1236" t="inlineStr">
        <is>
          <t>2482</t>
        </is>
      </c>
      <c r="E1236" t="inlineStr">
        <is>
          <t>pagado</t>
        </is>
      </c>
      <c r="F1236" s="23" t="n">
        <v>46269</v>
      </c>
      <c r="G1236" s="24">
        <f>F1236-DATE(2026,8,31)</f>
        <v>4</v>
      </c>
      <c r="H1236" s="25" t="n">
        <v>95749060</v>
      </c>
      <c r="I1236" t="inlineStr">
        <is>
          <t>entidad-dia</t>
        </is>
      </c>
    </row>
    <row r="1237">
      <c r="A1237" t="inlineStr">
        <is>
          <t>PRAGMA</t>
        </is>
      </c>
      <c r="B1237" t="inlineStr">
        <is>
          <t>M1</t>
        </is>
      </c>
      <c r="C1237" t="inlineStr">
        <is>
          <t>Pasto</t>
        </is>
      </c>
      <c r="D1237" t="inlineStr">
        <is>
          <t>2482</t>
        </is>
      </c>
      <c r="E1237" t="inlineStr">
        <is>
          <t>pagado</t>
        </is>
      </c>
      <c r="F1237" s="23" t="n">
        <v>46270</v>
      </c>
      <c r="G1237" s="24">
        <f>F1237-DATE(2026,8,31)</f>
        <v>5</v>
      </c>
      <c r="H1237" s="25" t="n">
        <v>90193909</v>
      </c>
      <c r="I1237" t="inlineStr">
        <is>
          <t>entidad-dia</t>
        </is>
      </c>
    </row>
    <row r="1238">
      <c r="A1238" t="inlineStr">
        <is>
          <t>PRAGMA</t>
        </is>
      </c>
      <c r="B1238" t="inlineStr">
        <is>
          <t>M1</t>
        </is>
      </c>
      <c r="C1238" t="inlineStr">
        <is>
          <t>Pasto</t>
        </is>
      </c>
      <c r="D1238" t="inlineStr">
        <is>
          <t>2482</t>
        </is>
      </c>
      <c r="E1238" t="inlineStr">
        <is>
          <t>pagado</t>
        </is>
      </c>
      <c r="F1238" s="23" t="n">
        <v>46271</v>
      </c>
      <c r="G1238" s="24">
        <f>F1238-DATE(2026,8,31)</f>
        <v>6</v>
      </c>
      <c r="H1238" s="25" t="n">
        <v>23097827</v>
      </c>
      <c r="I1238" t="inlineStr">
        <is>
          <t>entidad-dia</t>
        </is>
      </c>
    </row>
    <row r="1239">
      <c r="A1239" t="inlineStr">
        <is>
          <t>PRAGMA</t>
        </is>
      </c>
      <c r="B1239" t="inlineStr">
        <is>
          <t>M1</t>
        </is>
      </c>
      <c r="C1239" t="inlineStr">
        <is>
          <t>Pasto</t>
        </is>
      </c>
      <c r="D1239" t="inlineStr">
        <is>
          <t>2482</t>
        </is>
      </c>
      <c r="E1239" t="inlineStr">
        <is>
          <t>pagado</t>
        </is>
      </c>
      <c r="F1239" s="23" t="n">
        <v>46272</v>
      </c>
      <c r="G1239" s="24">
        <f>F1239-DATE(2026,8,31)</f>
        <v>7</v>
      </c>
      <c r="H1239" s="25" t="n">
        <v>85654185</v>
      </c>
      <c r="I1239" t="inlineStr">
        <is>
          <t>entidad-dia</t>
        </is>
      </c>
    </row>
    <row r="1240">
      <c r="A1240" t="inlineStr">
        <is>
          <t>PRAGMA</t>
        </is>
      </c>
      <c r="B1240" t="inlineStr">
        <is>
          <t>M1</t>
        </is>
      </c>
      <c r="C1240" t="inlineStr">
        <is>
          <t>Pasto</t>
        </is>
      </c>
      <c r="D1240" t="inlineStr">
        <is>
          <t>2482</t>
        </is>
      </c>
      <c r="E1240" t="inlineStr">
        <is>
          <t>pagado</t>
        </is>
      </c>
      <c r="F1240" s="23" t="n">
        <v>46273</v>
      </c>
      <c r="G1240" s="24">
        <f>F1240-DATE(2026,8,31)</f>
        <v>8</v>
      </c>
      <c r="H1240" s="25" t="n">
        <v>79979289</v>
      </c>
      <c r="I1240" t="inlineStr">
        <is>
          <t>entidad-dia</t>
        </is>
      </c>
    </row>
    <row r="1241">
      <c r="A1241" t="inlineStr">
        <is>
          <t>PRAGMA</t>
        </is>
      </c>
      <c r="B1241" t="inlineStr">
        <is>
          <t>M1</t>
        </is>
      </c>
      <c r="C1241" t="inlineStr">
        <is>
          <t>Pasto</t>
        </is>
      </c>
      <c r="D1241" t="inlineStr">
        <is>
          <t>2482</t>
        </is>
      </c>
      <c r="E1241" t="inlineStr">
        <is>
          <t>pagado</t>
        </is>
      </c>
      <c r="F1241" s="23" t="n">
        <v>46274</v>
      </c>
      <c r="G1241" s="24">
        <f>F1241-DATE(2026,8,31)</f>
        <v>9</v>
      </c>
      <c r="H1241" s="25" t="n">
        <v>77209463</v>
      </c>
      <c r="I1241" t="inlineStr">
        <is>
          <t>entidad-dia</t>
        </is>
      </c>
    </row>
    <row r="1242">
      <c r="A1242" t="inlineStr">
        <is>
          <t>PRAGMA</t>
        </is>
      </c>
      <c r="B1242" t="inlineStr">
        <is>
          <t>M1</t>
        </is>
      </c>
      <c r="C1242" t="inlineStr">
        <is>
          <t>Pasto</t>
        </is>
      </c>
      <c r="D1242" t="inlineStr">
        <is>
          <t>2482</t>
        </is>
      </c>
      <c r="E1242" t="inlineStr">
        <is>
          <t>pagado</t>
        </is>
      </c>
      <c r="F1242" s="23" t="n">
        <v>46275</v>
      </c>
      <c r="G1242" s="24">
        <f>F1242-DATE(2026,8,31)</f>
        <v>10</v>
      </c>
      <c r="H1242" s="25" t="n">
        <v>64524626</v>
      </c>
      <c r="I1242" t="inlineStr">
        <is>
          <t>entidad-dia</t>
        </is>
      </c>
    </row>
    <row r="1243">
      <c r="A1243" t="inlineStr">
        <is>
          <t>PRAGMA</t>
        </is>
      </c>
      <c r="B1243" t="inlineStr">
        <is>
          <t>M1</t>
        </is>
      </c>
      <c r="C1243" t="inlineStr">
        <is>
          <t>Pasto</t>
        </is>
      </c>
      <c r="D1243" t="inlineStr">
        <is>
          <t>2482</t>
        </is>
      </c>
      <c r="E1243" t="inlineStr">
        <is>
          <t>pagado</t>
        </is>
      </c>
      <c r="F1243" s="23" t="n">
        <v>46276</v>
      </c>
      <c r="G1243" s="24">
        <f>F1243-DATE(2026,8,31)</f>
        <v>11</v>
      </c>
      <c r="H1243" s="25" t="n">
        <v>75424490</v>
      </c>
      <c r="I1243" t="inlineStr">
        <is>
          <t>entidad-dia</t>
        </is>
      </c>
    </row>
    <row r="1244">
      <c r="A1244" t="inlineStr">
        <is>
          <t>PRAGMA</t>
        </is>
      </c>
      <c r="B1244" t="inlineStr">
        <is>
          <t>M1</t>
        </is>
      </c>
      <c r="C1244" t="inlineStr">
        <is>
          <t>Pasto</t>
        </is>
      </c>
      <c r="D1244" t="inlineStr">
        <is>
          <t>2482</t>
        </is>
      </c>
      <c r="E1244" t="inlineStr">
        <is>
          <t>pagado</t>
        </is>
      </c>
      <c r="F1244" s="23" t="n">
        <v>46277</v>
      </c>
      <c r="G1244" s="24">
        <f>F1244-DATE(2026,8,31)</f>
        <v>12</v>
      </c>
      <c r="H1244" s="25" t="n">
        <v>61908200</v>
      </c>
      <c r="I1244" t="inlineStr">
        <is>
          <t>entidad-dia</t>
        </is>
      </c>
    </row>
    <row r="1245">
      <c r="A1245" t="inlineStr">
        <is>
          <t>PRAGMA</t>
        </is>
      </c>
      <c r="B1245" t="inlineStr">
        <is>
          <t>M1</t>
        </is>
      </c>
      <c r="C1245" t="inlineStr">
        <is>
          <t>Pasto</t>
        </is>
      </c>
      <c r="D1245" t="inlineStr">
        <is>
          <t>2482</t>
        </is>
      </c>
      <c r="E1245" t="inlineStr">
        <is>
          <t>pagado</t>
        </is>
      </c>
      <c r="F1245" s="23" t="n">
        <v>46278</v>
      </c>
      <c r="G1245" s="24">
        <f>F1245-DATE(2026,8,31)</f>
        <v>13</v>
      </c>
      <c r="H1245" s="25" t="n">
        <v>14399859</v>
      </c>
      <c r="I1245" t="inlineStr">
        <is>
          <t>entidad-dia</t>
        </is>
      </c>
    </row>
    <row r="1246">
      <c r="A1246" t="inlineStr">
        <is>
          <t>PRAGMA</t>
        </is>
      </c>
      <c r="B1246" t="inlineStr">
        <is>
          <t>M1</t>
        </is>
      </c>
      <c r="C1246" t="inlineStr">
        <is>
          <t>Pasto</t>
        </is>
      </c>
      <c r="D1246" t="inlineStr">
        <is>
          <t>2482</t>
        </is>
      </c>
      <c r="E1246" t="inlineStr">
        <is>
          <t>pagado</t>
        </is>
      </c>
      <c r="F1246" s="23" t="n">
        <v>46279</v>
      </c>
      <c r="G1246" s="24">
        <f>F1246-DATE(2026,8,31)</f>
        <v>14</v>
      </c>
      <c r="H1246" s="25" t="n">
        <v>71213253</v>
      </c>
      <c r="I1246" t="inlineStr">
        <is>
          <t>entidad-dia</t>
        </is>
      </c>
    </row>
    <row r="1247">
      <c r="A1247" t="inlineStr">
        <is>
          <t>PRAGMA</t>
        </is>
      </c>
      <c r="B1247" t="inlineStr">
        <is>
          <t>M1</t>
        </is>
      </c>
      <c r="C1247" t="inlineStr">
        <is>
          <t>Pasto</t>
        </is>
      </c>
      <c r="D1247" t="inlineStr">
        <is>
          <t>2482</t>
        </is>
      </c>
      <c r="E1247" t="inlineStr">
        <is>
          <t>pagado</t>
        </is>
      </c>
      <c r="F1247" s="23" t="n">
        <v>46280</v>
      </c>
      <c r="G1247" s="24">
        <f>F1247-DATE(2026,8,31)</f>
        <v>15</v>
      </c>
      <c r="H1247" s="25" t="n">
        <v>86408239</v>
      </c>
      <c r="I1247" t="inlineStr">
        <is>
          <t>entidad-dia</t>
        </is>
      </c>
    </row>
    <row r="1248">
      <c r="A1248" t="inlineStr">
        <is>
          <t>PRAGMA</t>
        </is>
      </c>
      <c r="B1248" t="inlineStr">
        <is>
          <t>M1</t>
        </is>
      </c>
      <c r="C1248" t="inlineStr">
        <is>
          <t>Pasto</t>
        </is>
      </c>
      <c r="D1248" t="inlineStr">
        <is>
          <t>2483</t>
        </is>
      </c>
      <c r="E1248" t="inlineStr">
        <is>
          <t>pagado</t>
        </is>
      </c>
      <c r="F1248" s="23" t="n">
        <v>46266</v>
      </c>
      <c r="G1248" s="24">
        <f>F1248-DATE(2026,8,31)</f>
        <v>1</v>
      </c>
      <c r="H1248" s="25" t="n">
        <v>133335960</v>
      </c>
      <c r="I1248" t="inlineStr">
        <is>
          <t>entidad-dia</t>
        </is>
      </c>
    </row>
    <row r="1249">
      <c r="A1249" t="inlineStr">
        <is>
          <t>PRAGMA</t>
        </is>
      </c>
      <c r="B1249" t="inlineStr">
        <is>
          <t>M1</t>
        </is>
      </c>
      <c r="C1249" t="inlineStr">
        <is>
          <t>Pasto</t>
        </is>
      </c>
      <c r="D1249" t="inlineStr">
        <is>
          <t>2483</t>
        </is>
      </c>
      <c r="E1249" t="inlineStr">
        <is>
          <t>pagado</t>
        </is>
      </c>
      <c r="F1249" s="23" t="n">
        <v>46267</v>
      </c>
      <c r="G1249" s="24">
        <f>F1249-DATE(2026,8,31)</f>
        <v>2</v>
      </c>
      <c r="H1249" s="25" t="n">
        <v>109264864</v>
      </c>
      <c r="I1249" t="inlineStr">
        <is>
          <t>entidad-dia</t>
        </is>
      </c>
    </row>
    <row r="1250">
      <c r="A1250" t="inlineStr">
        <is>
          <t>PRAGMA</t>
        </is>
      </c>
      <c r="B1250" t="inlineStr">
        <is>
          <t>M1</t>
        </is>
      </c>
      <c r="C1250" t="inlineStr">
        <is>
          <t>Pasto</t>
        </is>
      </c>
      <c r="D1250" t="inlineStr">
        <is>
          <t>2483</t>
        </is>
      </c>
      <c r="E1250" t="inlineStr">
        <is>
          <t>pagado</t>
        </is>
      </c>
      <c r="F1250" s="23" t="n">
        <v>46268</v>
      </c>
      <c r="G1250" s="24">
        <f>F1250-DATE(2026,8,31)</f>
        <v>3</v>
      </c>
      <c r="H1250" s="25" t="n">
        <v>103928595</v>
      </c>
      <c r="I1250" t="inlineStr">
        <is>
          <t>entidad-dia</t>
        </is>
      </c>
    </row>
    <row r="1251">
      <c r="A1251" t="inlineStr">
        <is>
          <t>PRAGMA</t>
        </is>
      </c>
      <c r="B1251" t="inlineStr">
        <is>
          <t>M1</t>
        </is>
      </c>
      <c r="C1251" t="inlineStr">
        <is>
          <t>Pasto</t>
        </is>
      </c>
      <c r="D1251" t="inlineStr">
        <is>
          <t>2483</t>
        </is>
      </c>
      <c r="E1251" t="inlineStr">
        <is>
          <t>pagado</t>
        </is>
      </c>
      <c r="F1251" s="23" t="n">
        <v>46269</v>
      </c>
      <c r="G1251" s="24">
        <f>F1251-DATE(2026,8,31)</f>
        <v>4</v>
      </c>
      <c r="H1251" s="25" t="n">
        <v>97130884</v>
      </c>
      <c r="I1251" t="inlineStr">
        <is>
          <t>entidad-dia</t>
        </is>
      </c>
    </row>
    <row r="1252">
      <c r="A1252" t="inlineStr">
        <is>
          <t>PRAGMA</t>
        </is>
      </c>
      <c r="B1252" t="inlineStr">
        <is>
          <t>M1</t>
        </is>
      </c>
      <c r="C1252" t="inlineStr">
        <is>
          <t>Pasto</t>
        </is>
      </c>
      <c r="D1252" t="inlineStr">
        <is>
          <t>2483</t>
        </is>
      </c>
      <c r="E1252" t="inlineStr">
        <is>
          <t>pagado</t>
        </is>
      </c>
      <c r="F1252" s="23" t="n">
        <v>46270</v>
      </c>
      <c r="G1252" s="24">
        <f>F1252-DATE(2026,8,31)</f>
        <v>5</v>
      </c>
      <c r="H1252" s="25" t="n">
        <v>88507967</v>
      </c>
      <c r="I1252" t="inlineStr">
        <is>
          <t>entidad-dia</t>
        </is>
      </c>
    </row>
    <row r="1253">
      <c r="A1253" t="inlineStr">
        <is>
          <t>PRAGMA</t>
        </is>
      </c>
      <c r="B1253" t="inlineStr">
        <is>
          <t>M1</t>
        </is>
      </c>
      <c r="C1253" t="inlineStr">
        <is>
          <t>Pasto</t>
        </is>
      </c>
      <c r="D1253" t="inlineStr">
        <is>
          <t>2483</t>
        </is>
      </c>
      <c r="E1253" t="inlineStr">
        <is>
          <t>pagado</t>
        </is>
      </c>
      <c r="F1253" s="23" t="n">
        <v>46271</v>
      </c>
      <c r="G1253" s="24">
        <f>F1253-DATE(2026,8,31)</f>
        <v>6</v>
      </c>
      <c r="H1253" s="25" t="n">
        <v>32970028</v>
      </c>
      <c r="I1253" t="inlineStr">
        <is>
          <t>entidad-dia</t>
        </is>
      </c>
    </row>
    <row r="1254">
      <c r="A1254" t="inlineStr">
        <is>
          <t>PRAGMA</t>
        </is>
      </c>
      <c r="B1254" t="inlineStr">
        <is>
          <t>M1</t>
        </is>
      </c>
      <c r="C1254" t="inlineStr">
        <is>
          <t>Pasto</t>
        </is>
      </c>
      <c r="D1254" t="inlineStr">
        <is>
          <t>2483</t>
        </is>
      </c>
      <c r="E1254" t="inlineStr">
        <is>
          <t>pagado</t>
        </is>
      </c>
      <c r="F1254" s="23" t="n">
        <v>46272</v>
      </c>
      <c r="G1254" s="24">
        <f>F1254-DATE(2026,8,31)</f>
        <v>7</v>
      </c>
      <c r="H1254" s="25" t="n">
        <v>83822875</v>
      </c>
      <c r="I1254" t="inlineStr">
        <is>
          <t>entidad-dia</t>
        </is>
      </c>
    </row>
    <row r="1255">
      <c r="A1255" t="inlineStr">
        <is>
          <t>PRAGMA</t>
        </is>
      </c>
      <c r="B1255" t="inlineStr">
        <is>
          <t>M1</t>
        </is>
      </c>
      <c r="C1255" t="inlineStr">
        <is>
          <t>Pasto</t>
        </is>
      </c>
      <c r="D1255" t="inlineStr">
        <is>
          <t>2483</t>
        </is>
      </c>
      <c r="E1255" t="inlineStr">
        <is>
          <t>pagado</t>
        </is>
      </c>
      <c r="F1255" s="23" t="n">
        <v>46273</v>
      </c>
      <c r="G1255" s="24">
        <f>F1255-DATE(2026,8,31)</f>
        <v>8</v>
      </c>
      <c r="H1255" s="25" t="n">
        <v>82825354</v>
      </c>
      <c r="I1255" t="inlineStr">
        <is>
          <t>entidad-dia</t>
        </is>
      </c>
    </row>
    <row r="1256">
      <c r="A1256" t="inlineStr">
        <is>
          <t>PRAGMA</t>
        </is>
      </c>
      <c r="B1256" t="inlineStr">
        <is>
          <t>M1</t>
        </is>
      </c>
      <c r="C1256" t="inlineStr">
        <is>
          <t>Pasto</t>
        </is>
      </c>
      <c r="D1256" t="inlineStr">
        <is>
          <t>2483</t>
        </is>
      </c>
      <c r="E1256" t="inlineStr">
        <is>
          <t>pagado</t>
        </is>
      </c>
      <c r="F1256" s="23" t="n">
        <v>46274</v>
      </c>
      <c r="G1256" s="24">
        <f>F1256-DATE(2026,8,31)</f>
        <v>9</v>
      </c>
      <c r="H1256" s="25" t="n">
        <v>80165124</v>
      </c>
      <c r="I1256" t="inlineStr">
        <is>
          <t>entidad-dia</t>
        </is>
      </c>
    </row>
    <row r="1257">
      <c r="A1257" t="inlineStr">
        <is>
          <t>PRAGMA</t>
        </is>
      </c>
      <c r="B1257" t="inlineStr">
        <is>
          <t>M1</t>
        </is>
      </c>
      <c r="C1257" t="inlineStr">
        <is>
          <t>Pasto</t>
        </is>
      </c>
      <c r="D1257" t="inlineStr">
        <is>
          <t>2483</t>
        </is>
      </c>
      <c r="E1257" t="inlineStr">
        <is>
          <t>pagado</t>
        </is>
      </c>
      <c r="F1257" s="23" t="n">
        <v>46275</v>
      </c>
      <c r="G1257" s="24">
        <f>F1257-DATE(2026,8,31)</f>
        <v>10</v>
      </c>
      <c r="H1257" s="25" t="n">
        <v>66091755</v>
      </c>
      <c r="I1257" t="inlineStr">
        <is>
          <t>entidad-dia</t>
        </is>
      </c>
    </row>
    <row r="1258">
      <c r="A1258" t="inlineStr">
        <is>
          <t>PRAGMA</t>
        </is>
      </c>
      <c r="B1258" t="inlineStr">
        <is>
          <t>M1</t>
        </is>
      </c>
      <c r="C1258" t="inlineStr">
        <is>
          <t>Pasto</t>
        </is>
      </c>
      <c r="D1258" t="inlineStr">
        <is>
          <t>2483</t>
        </is>
      </c>
      <c r="E1258" t="inlineStr">
        <is>
          <t>pagado</t>
        </is>
      </c>
      <c r="F1258" s="23" t="n">
        <v>46276</v>
      </c>
      <c r="G1258" s="24">
        <f>F1258-DATE(2026,8,31)</f>
        <v>11</v>
      </c>
      <c r="H1258" s="25" t="n">
        <v>70462992</v>
      </c>
      <c r="I1258" t="inlineStr">
        <is>
          <t>entidad-dia</t>
        </is>
      </c>
    </row>
    <row r="1259">
      <c r="A1259" t="inlineStr">
        <is>
          <t>PRAGMA</t>
        </is>
      </c>
      <c r="B1259" t="inlineStr">
        <is>
          <t>M1</t>
        </is>
      </c>
      <c r="C1259" t="inlineStr">
        <is>
          <t>Pasto</t>
        </is>
      </c>
      <c r="D1259" t="inlineStr">
        <is>
          <t>2483</t>
        </is>
      </c>
      <c r="E1259" t="inlineStr">
        <is>
          <t>pagado</t>
        </is>
      </c>
      <c r="F1259" s="23" t="n">
        <v>46277</v>
      </c>
      <c r="G1259" s="24">
        <f>F1259-DATE(2026,8,31)</f>
        <v>12</v>
      </c>
      <c r="H1259" s="25" t="n">
        <v>62892517</v>
      </c>
      <c r="I1259" t="inlineStr">
        <is>
          <t>entidad-dia</t>
        </is>
      </c>
    </row>
    <row r="1260">
      <c r="A1260" t="inlineStr">
        <is>
          <t>PRAGMA</t>
        </is>
      </c>
      <c r="B1260" t="inlineStr">
        <is>
          <t>M1</t>
        </is>
      </c>
      <c r="C1260" t="inlineStr">
        <is>
          <t>Pasto</t>
        </is>
      </c>
      <c r="D1260" t="inlineStr">
        <is>
          <t>2483</t>
        </is>
      </c>
      <c r="E1260" t="inlineStr">
        <is>
          <t>pagado</t>
        </is>
      </c>
      <c r="F1260" s="23" t="n">
        <v>46278</v>
      </c>
      <c r="G1260" s="24">
        <f>F1260-DATE(2026,8,31)</f>
        <v>13</v>
      </c>
      <c r="H1260" s="25" t="n">
        <v>24948278</v>
      </c>
      <c r="I1260" t="inlineStr">
        <is>
          <t>entidad-dia</t>
        </is>
      </c>
    </row>
    <row r="1261">
      <c r="A1261" t="inlineStr">
        <is>
          <t>PRAGMA</t>
        </is>
      </c>
      <c r="B1261" t="inlineStr">
        <is>
          <t>M1</t>
        </is>
      </c>
      <c r="C1261" t="inlineStr">
        <is>
          <t>Pasto</t>
        </is>
      </c>
      <c r="D1261" t="inlineStr">
        <is>
          <t>2483</t>
        </is>
      </c>
      <c r="E1261" t="inlineStr">
        <is>
          <t>pagado</t>
        </is>
      </c>
      <c r="F1261" s="23" t="n">
        <v>46279</v>
      </c>
      <c r="G1261" s="24">
        <f>F1261-DATE(2026,8,31)</f>
        <v>14</v>
      </c>
      <c r="H1261" s="25" t="n">
        <v>70664742</v>
      </c>
      <c r="I1261" t="inlineStr">
        <is>
          <t>entidad-dia</t>
        </is>
      </c>
    </row>
    <row r="1262">
      <c r="A1262" t="inlineStr">
        <is>
          <t>PRAGMA</t>
        </is>
      </c>
      <c r="B1262" t="inlineStr">
        <is>
          <t>M1</t>
        </is>
      </c>
      <c r="C1262" t="inlineStr">
        <is>
          <t>Pasto</t>
        </is>
      </c>
      <c r="D1262" t="inlineStr">
        <is>
          <t>2483</t>
        </is>
      </c>
      <c r="E1262" t="inlineStr">
        <is>
          <t>pagado</t>
        </is>
      </c>
      <c r="F1262" s="23" t="n">
        <v>46280</v>
      </c>
      <c r="G1262" s="24">
        <f>F1262-DATE(2026,8,31)</f>
        <v>15</v>
      </c>
      <c r="H1262" s="25" t="n">
        <v>86926360</v>
      </c>
      <c r="I1262" t="inlineStr">
        <is>
          <t>entidad-dia</t>
        </is>
      </c>
    </row>
    <row r="1263">
      <c r="A1263" t="inlineStr">
        <is>
          <t>PRAGMA</t>
        </is>
      </c>
      <c r="B1263" t="inlineStr">
        <is>
          <t>M1</t>
        </is>
      </c>
      <c r="C1263" t="inlineStr">
        <is>
          <t>Cali</t>
        </is>
      </c>
      <c r="D1263" t="inlineStr">
        <is>
          <t>2490</t>
        </is>
      </c>
      <c r="E1263" t="inlineStr">
        <is>
          <t>pagado</t>
        </is>
      </c>
      <c r="F1263" s="23" t="n">
        <v>46266</v>
      </c>
      <c r="G1263" s="24">
        <f>F1263-DATE(2026,8,31)</f>
        <v>1</v>
      </c>
      <c r="H1263" s="25" t="n">
        <v>86117630</v>
      </c>
      <c r="I1263" t="inlineStr">
        <is>
          <t>entidad-dia</t>
        </is>
      </c>
    </row>
    <row r="1264">
      <c r="A1264" t="inlineStr">
        <is>
          <t>PRAGMA</t>
        </is>
      </c>
      <c r="B1264" t="inlineStr">
        <is>
          <t>M1</t>
        </is>
      </c>
      <c r="C1264" t="inlineStr">
        <is>
          <t>Cali</t>
        </is>
      </c>
      <c r="D1264" t="inlineStr">
        <is>
          <t>2490</t>
        </is>
      </c>
      <c r="E1264" t="inlineStr">
        <is>
          <t>pagado</t>
        </is>
      </c>
      <c r="F1264" s="23" t="n">
        <v>46267</v>
      </c>
      <c r="G1264" s="24">
        <f>F1264-DATE(2026,8,31)</f>
        <v>2</v>
      </c>
      <c r="H1264" s="25" t="n">
        <v>66503449</v>
      </c>
      <c r="I1264" t="inlineStr">
        <is>
          <t>entidad-dia</t>
        </is>
      </c>
    </row>
    <row r="1265">
      <c r="A1265" t="inlineStr">
        <is>
          <t>PRAGMA</t>
        </is>
      </c>
      <c r="B1265" t="inlineStr">
        <is>
          <t>M1</t>
        </is>
      </c>
      <c r="C1265" t="inlineStr">
        <is>
          <t>Cali</t>
        </is>
      </c>
      <c r="D1265" t="inlineStr">
        <is>
          <t>2490</t>
        </is>
      </c>
      <c r="E1265" t="inlineStr">
        <is>
          <t>pagado</t>
        </is>
      </c>
      <c r="F1265" s="23" t="n">
        <v>46268</v>
      </c>
      <c r="G1265" s="24">
        <f>F1265-DATE(2026,8,31)</f>
        <v>3</v>
      </c>
      <c r="H1265" s="25" t="n">
        <v>58480833</v>
      </c>
      <c r="I1265" t="inlineStr">
        <is>
          <t>entidad-dia</t>
        </is>
      </c>
    </row>
    <row r="1266">
      <c r="A1266" t="inlineStr">
        <is>
          <t>PRAGMA</t>
        </is>
      </c>
      <c r="B1266" t="inlineStr">
        <is>
          <t>M1</t>
        </is>
      </c>
      <c r="C1266" t="inlineStr">
        <is>
          <t>Cali</t>
        </is>
      </c>
      <c r="D1266" t="inlineStr">
        <is>
          <t>2490</t>
        </is>
      </c>
      <c r="E1266" t="inlineStr">
        <is>
          <t>pagado</t>
        </is>
      </c>
      <c r="F1266" s="23" t="n">
        <v>46269</v>
      </c>
      <c r="G1266" s="24">
        <f>F1266-DATE(2026,8,31)</f>
        <v>4</v>
      </c>
      <c r="H1266" s="25" t="n">
        <v>58591771</v>
      </c>
      <c r="I1266" t="inlineStr">
        <is>
          <t>entidad-dia</t>
        </is>
      </c>
    </row>
    <row r="1267">
      <c r="A1267" t="inlineStr">
        <is>
          <t>PRAGMA</t>
        </is>
      </c>
      <c r="B1267" t="inlineStr">
        <is>
          <t>M1</t>
        </is>
      </c>
      <c r="C1267" t="inlineStr">
        <is>
          <t>Cali</t>
        </is>
      </c>
      <c r="D1267" t="inlineStr">
        <is>
          <t>2490</t>
        </is>
      </c>
      <c r="E1267" t="inlineStr">
        <is>
          <t>pagado</t>
        </is>
      </c>
      <c r="F1267" s="23" t="n">
        <v>46270</v>
      </c>
      <c r="G1267" s="24">
        <f>F1267-DATE(2026,8,31)</f>
        <v>5</v>
      </c>
      <c r="H1267" s="25" t="n">
        <v>61898154</v>
      </c>
      <c r="I1267" t="inlineStr">
        <is>
          <t>entidad-dia</t>
        </is>
      </c>
    </row>
    <row r="1268">
      <c r="A1268" t="inlineStr">
        <is>
          <t>PRAGMA</t>
        </is>
      </c>
      <c r="B1268" t="inlineStr">
        <is>
          <t>M1</t>
        </is>
      </c>
      <c r="C1268" t="inlineStr">
        <is>
          <t>Cali</t>
        </is>
      </c>
      <c r="D1268" t="inlineStr">
        <is>
          <t>2490</t>
        </is>
      </c>
      <c r="E1268" t="inlineStr">
        <is>
          <t>pagado</t>
        </is>
      </c>
      <c r="F1268" s="23" t="n">
        <v>46271</v>
      </c>
      <c r="G1268" s="24">
        <f>F1268-DATE(2026,8,31)</f>
        <v>6</v>
      </c>
      <c r="H1268" s="25" t="n">
        <v>34521496</v>
      </c>
      <c r="I1268" t="inlineStr">
        <is>
          <t>entidad-dia</t>
        </is>
      </c>
    </row>
    <row r="1269">
      <c r="A1269" t="inlineStr">
        <is>
          <t>PRAGMA</t>
        </is>
      </c>
      <c r="B1269" t="inlineStr">
        <is>
          <t>M1</t>
        </is>
      </c>
      <c r="C1269" t="inlineStr">
        <is>
          <t>Cali</t>
        </is>
      </c>
      <c r="D1269" t="inlineStr">
        <is>
          <t>2490</t>
        </is>
      </c>
      <c r="E1269" t="inlineStr">
        <is>
          <t>pagado</t>
        </is>
      </c>
      <c r="F1269" s="23" t="n">
        <v>46272</v>
      </c>
      <c r="G1269" s="24">
        <f>F1269-DATE(2026,8,31)</f>
        <v>7</v>
      </c>
      <c r="H1269" s="25" t="n">
        <v>42347466</v>
      </c>
      <c r="I1269" t="inlineStr">
        <is>
          <t>entidad-dia</t>
        </is>
      </c>
    </row>
    <row r="1270">
      <c r="A1270" t="inlineStr">
        <is>
          <t>PRAGMA</t>
        </is>
      </c>
      <c r="B1270" t="inlineStr">
        <is>
          <t>M1</t>
        </is>
      </c>
      <c r="C1270" t="inlineStr">
        <is>
          <t>Cali</t>
        </is>
      </c>
      <c r="D1270" t="inlineStr">
        <is>
          <t>2490</t>
        </is>
      </c>
      <c r="E1270" t="inlineStr">
        <is>
          <t>pagado</t>
        </is>
      </c>
      <c r="F1270" s="23" t="n">
        <v>46273</v>
      </c>
      <c r="G1270" s="24">
        <f>F1270-DATE(2026,8,31)</f>
        <v>8</v>
      </c>
      <c r="H1270" s="25" t="n">
        <v>41246183</v>
      </c>
      <c r="I1270" t="inlineStr">
        <is>
          <t>entidad-dia</t>
        </is>
      </c>
    </row>
    <row r="1271">
      <c r="A1271" t="inlineStr">
        <is>
          <t>PRAGMA</t>
        </is>
      </c>
      <c r="B1271" t="inlineStr">
        <is>
          <t>M1</t>
        </is>
      </c>
      <c r="C1271" t="inlineStr">
        <is>
          <t>Cali</t>
        </is>
      </c>
      <c r="D1271" t="inlineStr">
        <is>
          <t>2490</t>
        </is>
      </c>
      <c r="E1271" t="inlineStr">
        <is>
          <t>pagado</t>
        </is>
      </c>
      <c r="F1271" s="23" t="n">
        <v>46274</v>
      </c>
      <c r="G1271" s="24">
        <f>F1271-DATE(2026,8,31)</f>
        <v>9</v>
      </c>
      <c r="H1271" s="25" t="n">
        <v>41825318</v>
      </c>
      <c r="I1271" t="inlineStr">
        <is>
          <t>entidad-dia</t>
        </is>
      </c>
    </row>
    <row r="1272">
      <c r="A1272" t="inlineStr">
        <is>
          <t>PRAGMA</t>
        </is>
      </c>
      <c r="B1272" t="inlineStr">
        <is>
          <t>M1</t>
        </is>
      </c>
      <c r="C1272" t="inlineStr">
        <is>
          <t>Cali</t>
        </is>
      </c>
      <c r="D1272" t="inlineStr">
        <is>
          <t>2490</t>
        </is>
      </c>
      <c r="E1272" t="inlineStr">
        <is>
          <t>pagado</t>
        </is>
      </c>
      <c r="F1272" s="23" t="n">
        <v>46275</v>
      </c>
      <c r="G1272" s="24">
        <f>F1272-DATE(2026,8,31)</f>
        <v>10</v>
      </c>
      <c r="H1272" s="25" t="n">
        <v>37478030</v>
      </c>
      <c r="I1272" t="inlineStr">
        <is>
          <t>entidad-dia</t>
        </is>
      </c>
    </row>
    <row r="1273">
      <c r="A1273" t="inlineStr">
        <is>
          <t>PRAGMA</t>
        </is>
      </c>
      <c r="B1273" t="inlineStr">
        <is>
          <t>M1</t>
        </is>
      </c>
      <c r="C1273" t="inlineStr">
        <is>
          <t>Cali</t>
        </is>
      </c>
      <c r="D1273" t="inlineStr">
        <is>
          <t>2490</t>
        </is>
      </c>
      <c r="E1273" t="inlineStr">
        <is>
          <t>pagado</t>
        </is>
      </c>
      <c r="F1273" s="23" t="n">
        <v>46276</v>
      </c>
      <c r="G1273" s="24">
        <f>F1273-DATE(2026,8,31)</f>
        <v>11</v>
      </c>
      <c r="H1273" s="25" t="n">
        <v>42234849</v>
      </c>
      <c r="I1273" t="inlineStr">
        <is>
          <t>entidad-dia</t>
        </is>
      </c>
    </row>
    <row r="1274">
      <c r="A1274" t="inlineStr">
        <is>
          <t>PRAGMA</t>
        </is>
      </c>
      <c r="B1274" t="inlineStr">
        <is>
          <t>M1</t>
        </is>
      </c>
      <c r="C1274" t="inlineStr">
        <is>
          <t>Cali</t>
        </is>
      </c>
      <c r="D1274" t="inlineStr">
        <is>
          <t>2490</t>
        </is>
      </c>
      <c r="E1274" t="inlineStr">
        <is>
          <t>pagado</t>
        </is>
      </c>
      <c r="F1274" s="23" t="n">
        <v>46277</v>
      </c>
      <c r="G1274" s="24">
        <f>F1274-DATE(2026,8,31)</f>
        <v>12</v>
      </c>
      <c r="H1274" s="25" t="n">
        <v>44218687</v>
      </c>
      <c r="I1274" t="inlineStr">
        <is>
          <t>entidad-dia</t>
        </is>
      </c>
    </row>
    <row r="1275">
      <c r="A1275" t="inlineStr">
        <is>
          <t>PRAGMA</t>
        </is>
      </c>
      <c r="B1275" t="inlineStr">
        <is>
          <t>M1</t>
        </is>
      </c>
      <c r="C1275" t="inlineStr">
        <is>
          <t>Cali</t>
        </is>
      </c>
      <c r="D1275" t="inlineStr">
        <is>
          <t>2490</t>
        </is>
      </c>
      <c r="E1275" t="inlineStr">
        <is>
          <t>pagado</t>
        </is>
      </c>
      <c r="F1275" s="23" t="n">
        <v>46278</v>
      </c>
      <c r="G1275" s="24">
        <f>F1275-DATE(2026,8,31)</f>
        <v>13</v>
      </c>
      <c r="H1275" s="25" t="n">
        <v>26230186</v>
      </c>
      <c r="I1275" t="inlineStr">
        <is>
          <t>entidad-dia</t>
        </is>
      </c>
    </row>
    <row r="1276">
      <c r="A1276" t="inlineStr">
        <is>
          <t>PRAGMA</t>
        </is>
      </c>
      <c r="B1276" t="inlineStr">
        <is>
          <t>M1</t>
        </is>
      </c>
      <c r="C1276" t="inlineStr">
        <is>
          <t>Cali</t>
        </is>
      </c>
      <c r="D1276" t="inlineStr">
        <is>
          <t>2490</t>
        </is>
      </c>
      <c r="E1276" t="inlineStr">
        <is>
          <t>pagado</t>
        </is>
      </c>
      <c r="F1276" s="23" t="n">
        <v>46279</v>
      </c>
      <c r="G1276" s="24">
        <f>F1276-DATE(2026,8,31)</f>
        <v>14</v>
      </c>
      <c r="H1276" s="25" t="n">
        <v>39680345</v>
      </c>
      <c r="I1276" t="inlineStr">
        <is>
          <t>entidad-dia</t>
        </is>
      </c>
    </row>
    <row r="1277">
      <c r="A1277" t="inlineStr">
        <is>
          <t>PRAGMA</t>
        </is>
      </c>
      <c r="B1277" t="inlineStr">
        <is>
          <t>M1</t>
        </is>
      </c>
      <c r="C1277" t="inlineStr">
        <is>
          <t>Cali</t>
        </is>
      </c>
      <c r="D1277" t="inlineStr">
        <is>
          <t>2490</t>
        </is>
      </c>
      <c r="E1277" t="inlineStr">
        <is>
          <t>pagado</t>
        </is>
      </c>
      <c r="F1277" s="23" t="n">
        <v>46280</v>
      </c>
      <c r="G1277" s="24">
        <f>F1277-DATE(2026,8,31)</f>
        <v>15</v>
      </c>
      <c r="H1277" s="25" t="n">
        <v>59314997</v>
      </c>
      <c r="I1277" t="inlineStr">
        <is>
          <t>entidad-dia</t>
        </is>
      </c>
    </row>
    <row r="1278">
      <c r="A1278" t="inlineStr">
        <is>
          <t>PRAGMA</t>
        </is>
      </c>
      <c r="B1278" t="inlineStr">
        <is>
          <t>M1</t>
        </is>
      </c>
      <c r="C1278" t="inlineStr">
        <is>
          <t>Cali</t>
        </is>
      </c>
      <c r="D1278" t="inlineStr">
        <is>
          <t>25</t>
        </is>
      </c>
      <c r="E1278" t="inlineStr">
        <is>
          <t>pagado</t>
        </is>
      </c>
      <c r="F1278" s="23" t="n">
        <v>46266</v>
      </c>
      <c r="G1278" s="24">
        <f>F1278-DATE(2026,8,31)</f>
        <v>1</v>
      </c>
      <c r="H1278" s="25" t="n">
        <v>102027611</v>
      </c>
      <c r="I1278" t="inlineStr">
        <is>
          <t>entidad-dia</t>
        </is>
      </c>
    </row>
    <row r="1279">
      <c r="A1279" t="inlineStr">
        <is>
          <t>PRAGMA</t>
        </is>
      </c>
      <c r="B1279" t="inlineStr">
        <is>
          <t>M1</t>
        </is>
      </c>
      <c r="C1279" t="inlineStr">
        <is>
          <t>Cali</t>
        </is>
      </c>
      <c r="D1279" t="inlineStr">
        <is>
          <t>25</t>
        </is>
      </c>
      <c r="E1279" t="inlineStr">
        <is>
          <t>pagado</t>
        </is>
      </c>
      <c r="F1279" s="23" t="n">
        <v>46267</v>
      </c>
      <c r="G1279" s="24">
        <f>F1279-DATE(2026,8,31)</f>
        <v>2</v>
      </c>
      <c r="H1279" s="25" t="n">
        <v>72732036</v>
      </c>
      <c r="I1279" t="inlineStr">
        <is>
          <t>entidad-dia</t>
        </is>
      </c>
    </row>
    <row r="1280">
      <c r="A1280" t="inlineStr">
        <is>
          <t>PRAGMA</t>
        </is>
      </c>
      <c r="B1280" t="inlineStr">
        <is>
          <t>M1</t>
        </is>
      </c>
      <c r="C1280" t="inlineStr">
        <is>
          <t>Cali</t>
        </is>
      </c>
      <c r="D1280" t="inlineStr">
        <is>
          <t>25</t>
        </is>
      </c>
      <c r="E1280" t="inlineStr">
        <is>
          <t>pagado</t>
        </is>
      </c>
      <c r="F1280" s="23" t="n">
        <v>46268</v>
      </c>
      <c r="G1280" s="24">
        <f>F1280-DATE(2026,8,31)</f>
        <v>3</v>
      </c>
      <c r="H1280" s="25" t="n">
        <v>70921203</v>
      </c>
      <c r="I1280" t="inlineStr">
        <is>
          <t>entidad-dia</t>
        </is>
      </c>
    </row>
    <row r="1281">
      <c r="A1281" t="inlineStr">
        <is>
          <t>PRAGMA</t>
        </is>
      </c>
      <c r="B1281" t="inlineStr">
        <is>
          <t>M1</t>
        </is>
      </c>
      <c r="C1281" t="inlineStr">
        <is>
          <t>Cali</t>
        </is>
      </c>
      <c r="D1281" t="inlineStr">
        <is>
          <t>25</t>
        </is>
      </c>
      <c r="E1281" t="inlineStr">
        <is>
          <t>pagado</t>
        </is>
      </c>
      <c r="F1281" s="23" t="n">
        <v>46269</v>
      </c>
      <c r="G1281" s="24">
        <f>F1281-DATE(2026,8,31)</f>
        <v>4</v>
      </c>
      <c r="H1281" s="25" t="n">
        <v>69404658</v>
      </c>
      <c r="I1281" t="inlineStr">
        <is>
          <t>entidad-dia</t>
        </is>
      </c>
    </row>
    <row r="1282">
      <c r="A1282" t="inlineStr">
        <is>
          <t>PRAGMA</t>
        </is>
      </c>
      <c r="B1282" t="inlineStr">
        <is>
          <t>M1</t>
        </is>
      </c>
      <c r="C1282" t="inlineStr">
        <is>
          <t>Cali</t>
        </is>
      </c>
      <c r="D1282" t="inlineStr">
        <is>
          <t>25</t>
        </is>
      </c>
      <c r="E1282" t="inlineStr">
        <is>
          <t>pagado</t>
        </is>
      </c>
      <c r="F1282" s="23" t="n">
        <v>46270</v>
      </c>
      <c r="G1282" s="24">
        <f>F1282-DATE(2026,8,31)</f>
        <v>5</v>
      </c>
      <c r="H1282" s="25" t="n">
        <v>78230574</v>
      </c>
      <c r="I1282" t="inlineStr">
        <is>
          <t>entidad-dia</t>
        </is>
      </c>
    </row>
    <row r="1283">
      <c r="A1283" t="inlineStr">
        <is>
          <t>PRAGMA</t>
        </is>
      </c>
      <c r="B1283" t="inlineStr">
        <is>
          <t>M1</t>
        </is>
      </c>
      <c r="C1283" t="inlineStr">
        <is>
          <t>Cali</t>
        </is>
      </c>
      <c r="D1283" t="inlineStr">
        <is>
          <t>25</t>
        </is>
      </c>
      <c r="E1283" t="inlineStr">
        <is>
          <t>pagado</t>
        </is>
      </c>
      <c r="F1283" s="23" t="n">
        <v>46271</v>
      </c>
      <c r="G1283" s="24">
        <f>F1283-DATE(2026,8,31)</f>
        <v>6</v>
      </c>
      <c r="H1283" s="25" t="n">
        <v>39407490</v>
      </c>
      <c r="I1283" t="inlineStr">
        <is>
          <t>entidad-dia</t>
        </is>
      </c>
    </row>
    <row r="1284">
      <c r="A1284" t="inlineStr">
        <is>
          <t>PRAGMA</t>
        </is>
      </c>
      <c r="B1284" t="inlineStr">
        <is>
          <t>M1</t>
        </is>
      </c>
      <c r="C1284" t="inlineStr">
        <is>
          <t>Cali</t>
        </is>
      </c>
      <c r="D1284" t="inlineStr">
        <is>
          <t>25</t>
        </is>
      </c>
      <c r="E1284" t="inlineStr">
        <is>
          <t>pagado</t>
        </is>
      </c>
      <c r="F1284" s="23" t="n">
        <v>46272</v>
      </c>
      <c r="G1284" s="24">
        <f>F1284-DATE(2026,8,31)</f>
        <v>7</v>
      </c>
      <c r="H1284" s="25" t="n">
        <v>49756311</v>
      </c>
      <c r="I1284" t="inlineStr">
        <is>
          <t>entidad-dia</t>
        </is>
      </c>
    </row>
    <row r="1285">
      <c r="A1285" t="inlineStr">
        <is>
          <t>PRAGMA</t>
        </is>
      </c>
      <c r="B1285" t="inlineStr">
        <is>
          <t>M1</t>
        </is>
      </c>
      <c r="C1285" t="inlineStr">
        <is>
          <t>Cali</t>
        </is>
      </c>
      <c r="D1285" t="inlineStr">
        <is>
          <t>25</t>
        </is>
      </c>
      <c r="E1285" t="inlineStr">
        <is>
          <t>pagado</t>
        </is>
      </c>
      <c r="F1285" s="23" t="n">
        <v>46273</v>
      </c>
      <c r="G1285" s="24">
        <f>F1285-DATE(2026,8,31)</f>
        <v>8</v>
      </c>
      <c r="H1285" s="25" t="n">
        <v>54025632</v>
      </c>
      <c r="I1285" t="inlineStr">
        <is>
          <t>entidad-dia</t>
        </is>
      </c>
    </row>
    <row r="1286">
      <c r="A1286" t="inlineStr">
        <is>
          <t>PRAGMA</t>
        </is>
      </c>
      <c r="B1286" t="inlineStr">
        <is>
          <t>M1</t>
        </is>
      </c>
      <c r="C1286" t="inlineStr">
        <is>
          <t>Cali</t>
        </is>
      </c>
      <c r="D1286" t="inlineStr">
        <is>
          <t>25</t>
        </is>
      </c>
      <c r="E1286" t="inlineStr">
        <is>
          <t>pagado</t>
        </is>
      </c>
      <c r="F1286" s="23" t="n">
        <v>46274</v>
      </c>
      <c r="G1286" s="24">
        <f>F1286-DATE(2026,8,31)</f>
        <v>9</v>
      </c>
      <c r="H1286" s="25" t="n">
        <v>47309835</v>
      </c>
      <c r="I1286" t="inlineStr">
        <is>
          <t>entidad-dia</t>
        </is>
      </c>
    </row>
    <row r="1287">
      <c r="A1287" t="inlineStr">
        <is>
          <t>PRAGMA</t>
        </is>
      </c>
      <c r="B1287" t="inlineStr">
        <is>
          <t>M1</t>
        </is>
      </c>
      <c r="C1287" t="inlineStr">
        <is>
          <t>Cali</t>
        </is>
      </c>
      <c r="D1287" t="inlineStr">
        <is>
          <t>25</t>
        </is>
      </c>
      <c r="E1287" t="inlineStr">
        <is>
          <t>pagado</t>
        </is>
      </c>
      <c r="F1287" s="23" t="n">
        <v>46275</v>
      </c>
      <c r="G1287" s="24">
        <f>F1287-DATE(2026,8,31)</f>
        <v>10</v>
      </c>
      <c r="H1287" s="25" t="n">
        <v>51088717</v>
      </c>
      <c r="I1287" t="inlineStr">
        <is>
          <t>entidad-dia</t>
        </is>
      </c>
    </row>
    <row r="1288">
      <c r="A1288" t="inlineStr">
        <is>
          <t>PRAGMA</t>
        </is>
      </c>
      <c r="B1288" t="inlineStr">
        <is>
          <t>M1</t>
        </is>
      </c>
      <c r="C1288" t="inlineStr">
        <is>
          <t>Cali</t>
        </is>
      </c>
      <c r="D1288" t="inlineStr">
        <is>
          <t>25</t>
        </is>
      </c>
      <c r="E1288" t="inlineStr">
        <is>
          <t>pagado</t>
        </is>
      </c>
      <c r="F1288" s="23" t="n">
        <v>46276</v>
      </c>
      <c r="G1288" s="24">
        <f>F1288-DATE(2026,8,31)</f>
        <v>11</v>
      </c>
      <c r="H1288" s="25" t="n">
        <v>49299430</v>
      </c>
      <c r="I1288" t="inlineStr">
        <is>
          <t>entidad-dia</t>
        </is>
      </c>
    </row>
    <row r="1289">
      <c r="A1289" t="inlineStr">
        <is>
          <t>PRAGMA</t>
        </is>
      </c>
      <c r="B1289" t="inlineStr">
        <is>
          <t>M1</t>
        </is>
      </c>
      <c r="C1289" t="inlineStr">
        <is>
          <t>Cali</t>
        </is>
      </c>
      <c r="D1289" t="inlineStr">
        <is>
          <t>25</t>
        </is>
      </c>
      <c r="E1289" t="inlineStr">
        <is>
          <t>pagado</t>
        </is>
      </c>
      <c r="F1289" s="23" t="n">
        <v>46277</v>
      </c>
      <c r="G1289" s="24">
        <f>F1289-DATE(2026,8,31)</f>
        <v>12</v>
      </c>
      <c r="H1289" s="25" t="n">
        <v>64549713</v>
      </c>
      <c r="I1289" t="inlineStr">
        <is>
          <t>entidad-dia</t>
        </is>
      </c>
    </row>
    <row r="1290">
      <c r="A1290" t="inlineStr">
        <is>
          <t>PRAGMA</t>
        </is>
      </c>
      <c r="B1290" t="inlineStr">
        <is>
          <t>M1</t>
        </is>
      </c>
      <c r="C1290" t="inlineStr">
        <is>
          <t>Cali</t>
        </is>
      </c>
      <c r="D1290" t="inlineStr">
        <is>
          <t>25</t>
        </is>
      </c>
      <c r="E1290" t="inlineStr">
        <is>
          <t>pagado</t>
        </is>
      </c>
      <c r="F1290" s="23" t="n">
        <v>46278</v>
      </c>
      <c r="G1290" s="24">
        <f>F1290-DATE(2026,8,31)</f>
        <v>13</v>
      </c>
      <c r="H1290" s="25" t="n">
        <v>33039033</v>
      </c>
      <c r="I1290" t="inlineStr">
        <is>
          <t>entidad-dia</t>
        </is>
      </c>
    </row>
    <row r="1291">
      <c r="A1291" t="inlineStr">
        <is>
          <t>PRAGMA</t>
        </is>
      </c>
      <c r="B1291" t="inlineStr">
        <is>
          <t>M1</t>
        </is>
      </c>
      <c r="C1291" t="inlineStr">
        <is>
          <t>Cali</t>
        </is>
      </c>
      <c r="D1291" t="inlineStr">
        <is>
          <t>25</t>
        </is>
      </c>
      <c r="E1291" t="inlineStr">
        <is>
          <t>pagado</t>
        </is>
      </c>
      <c r="F1291" s="23" t="n">
        <v>46279</v>
      </c>
      <c r="G1291" s="24">
        <f>F1291-DATE(2026,8,31)</f>
        <v>14</v>
      </c>
      <c r="H1291" s="25" t="n">
        <v>45502577</v>
      </c>
      <c r="I1291" t="inlineStr">
        <is>
          <t>entidad-dia</t>
        </is>
      </c>
    </row>
    <row r="1292">
      <c r="A1292" t="inlineStr">
        <is>
          <t>PRAGMA</t>
        </is>
      </c>
      <c r="B1292" t="inlineStr">
        <is>
          <t>M1</t>
        </is>
      </c>
      <c r="C1292" t="inlineStr">
        <is>
          <t>Cali</t>
        </is>
      </c>
      <c r="D1292" t="inlineStr">
        <is>
          <t>25</t>
        </is>
      </c>
      <c r="E1292" t="inlineStr">
        <is>
          <t>pagado</t>
        </is>
      </c>
      <c r="F1292" s="23" t="n">
        <v>46280</v>
      </c>
      <c r="G1292" s="24">
        <f>F1292-DATE(2026,8,31)</f>
        <v>15</v>
      </c>
      <c r="H1292" s="25" t="n">
        <v>79997995</v>
      </c>
      <c r="I1292" t="inlineStr">
        <is>
          <t>entidad-dia</t>
        </is>
      </c>
    </row>
    <row r="1293">
      <c r="A1293" t="inlineStr">
        <is>
          <t>PRAGMA</t>
        </is>
      </c>
      <c r="B1293" t="inlineStr">
        <is>
          <t>M1</t>
        </is>
      </c>
      <c r="C1293" t="inlineStr">
        <is>
          <t>Cali</t>
        </is>
      </c>
      <c r="D1293" t="inlineStr">
        <is>
          <t>2527</t>
        </is>
      </c>
      <c r="E1293" t="inlineStr">
        <is>
          <t>pagado</t>
        </is>
      </c>
      <c r="F1293" s="23" t="n">
        <v>46266</v>
      </c>
      <c r="G1293" s="24">
        <f>F1293-DATE(2026,8,31)</f>
        <v>1</v>
      </c>
      <c r="H1293" s="25" t="n">
        <v>259190250</v>
      </c>
      <c r="I1293" t="inlineStr">
        <is>
          <t>entidad-dia</t>
        </is>
      </c>
    </row>
    <row r="1294">
      <c r="A1294" t="inlineStr">
        <is>
          <t>PRAGMA</t>
        </is>
      </c>
      <c r="B1294" t="inlineStr">
        <is>
          <t>M1</t>
        </is>
      </c>
      <c r="C1294" t="inlineStr">
        <is>
          <t>Cali</t>
        </is>
      </c>
      <c r="D1294" t="inlineStr">
        <is>
          <t>2527</t>
        </is>
      </c>
      <c r="E1294" t="inlineStr">
        <is>
          <t>pagado</t>
        </is>
      </c>
      <c r="F1294" s="23" t="n">
        <v>46267</v>
      </c>
      <c r="G1294" s="24">
        <f>F1294-DATE(2026,8,31)</f>
        <v>2</v>
      </c>
      <c r="H1294" s="25" t="n">
        <v>224934701</v>
      </c>
      <c r="I1294" t="inlineStr">
        <is>
          <t>entidad-dia</t>
        </is>
      </c>
    </row>
    <row r="1295">
      <c r="A1295" t="inlineStr">
        <is>
          <t>PRAGMA</t>
        </is>
      </c>
      <c r="B1295" t="inlineStr">
        <is>
          <t>M1</t>
        </is>
      </c>
      <c r="C1295" t="inlineStr">
        <is>
          <t>Cali</t>
        </is>
      </c>
      <c r="D1295" t="inlineStr">
        <is>
          <t>2527</t>
        </is>
      </c>
      <c r="E1295" t="inlineStr">
        <is>
          <t>pagado</t>
        </is>
      </c>
      <c r="F1295" s="23" t="n">
        <v>46268</v>
      </c>
      <c r="G1295" s="24">
        <f>F1295-DATE(2026,8,31)</f>
        <v>3</v>
      </c>
      <c r="H1295" s="25" t="n">
        <v>216212540</v>
      </c>
      <c r="I1295" t="inlineStr">
        <is>
          <t>entidad-dia</t>
        </is>
      </c>
    </row>
    <row r="1296">
      <c r="A1296" t="inlineStr">
        <is>
          <t>PRAGMA</t>
        </is>
      </c>
      <c r="B1296" t="inlineStr">
        <is>
          <t>M1</t>
        </is>
      </c>
      <c r="C1296" t="inlineStr">
        <is>
          <t>Cali</t>
        </is>
      </c>
      <c r="D1296" t="inlineStr">
        <is>
          <t>2527</t>
        </is>
      </c>
      <c r="E1296" t="inlineStr">
        <is>
          <t>pagado</t>
        </is>
      </c>
      <c r="F1296" s="23" t="n">
        <v>46269</v>
      </c>
      <c r="G1296" s="24">
        <f>F1296-DATE(2026,8,31)</f>
        <v>4</v>
      </c>
      <c r="H1296" s="25" t="n">
        <v>216323677</v>
      </c>
      <c r="I1296" t="inlineStr">
        <is>
          <t>entidad-dia</t>
        </is>
      </c>
    </row>
    <row r="1297">
      <c r="A1297" t="inlineStr">
        <is>
          <t>PRAGMA</t>
        </is>
      </c>
      <c r="B1297" t="inlineStr">
        <is>
          <t>M1</t>
        </is>
      </c>
      <c r="C1297" t="inlineStr">
        <is>
          <t>Cali</t>
        </is>
      </c>
      <c r="D1297" t="inlineStr">
        <is>
          <t>2527</t>
        </is>
      </c>
      <c r="E1297" t="inlineStr">
        <is>
          <t>pagado</t>
        </is>
      </c>
      <c r="F1297" s="23" t="n">
        <v>46270</v>
      </c>
      <c r="G1297" s="24">
        <f>F1297-DATE(2026,8,31)</f>
        <v>5</v>
      </c>
      <c r="H1297" s="25" t="n">
        <v>193401898</v>
      </c>
      <c r="I1297" t="inlineStr">
        <is>
          <t>entidad-dia</t>
        </is>
      </c>
    </row>
    <row r="1298">
      <c r="A1298" t="inlineStr">
        <is>
          <t>PRAGMA</t>
        </is>
      </c>
      <c r="B1298" t="inlineStr">
        <is>
          <t>M1</t>
        </is>
      </c>
      <c r="C1298" t="inlineStr">
        <is>
          <t>Cali</t>
        </is>
      </c>
      <c r="D1298" t="inlineStr">
        <is>
          <t>2527</t>
        </is>
      </c>
      <c r="E1298" t="inlineStr">
        <is>
          <t>pagado</t>
        </is>
      </c>
      <c r="F1298" s="23" t="n">
        <v>46271</v>
      </c>
      <c r="G1298" s="24">
        <f>F1298-DATE(2026,8,31)</f>
        <v>6</v>
      </c>
      <c r="H1298" s="25" t="n">
        <v>5428841</v>
      </c>
      <c r="I1298" t="inlineStr">
        <is>
          <t>entidad-dia</t>
        </is>
      </c>
    </row>
    <row r="1299">
      <c r="A1299" t="inlineStr">
        <is>
          <t>PRAGMA</t>
        </is>
      </c>
      <c r="B1299" t="inlineStr">
        <is>
          <t>M1</t>
        </is>
      </c>
      <c r="C1299" t="inlineStr">
        <is>
          <t>Cali</t>
        </is>
      </c>
      <c r="D1299" t="inlineStr">
        <is>
          <t>2527</t>
        </is>
      </c>
      <c r="E1299" t="inlineStr">
        <is>
          <t>pagado</t>
        </is>
      </c>
      <c r="F1299" s="23" t="n">
        <v>46272</v>
      </c>
      <c r="G1299" s="24">
        <f>F1299-DATE(2026,8,31)</f>
        <v>7</v>
      </c>
      <c r="H1299" s="25" t="n">
        <v>201558734</v>
      </c>
      <c r="I1299" t="inlineStr">
        <is>
          <t>entidad-dia</t>
        </is>
      </c>
    </row>
    <row r="1300">
      <c r="A1300" t="inlineStr">
        <is>
          <t>PRAGMA</t>
        </is>
      </c>
      <c r="B1300" t="inlineStr">
        <is>
          <t>M1</t>
        </is>
      </c>
      <c r="C1300" t="inlineStr">
        <is>
          <t>Cali</t>
        </is>
      </c>
      <c r="D1300" t="inlineStr">
        <is>
          <t>2527</t>
        </is>
      </c>
      <c r="E1300" t="inlineStr">
        <is>
          <t>pagado</t>
        </is>
      </c>
      <c r="F1300" s="23" t="n">
        <v>46273</v>
      </c>
      <c r="G1300" s="24">
        <f>F1300-DATE(2026,8,31)</f>
        <v>8</v>
      </c>
      <c r="H1300" s="25" t="n">
        <v>201722471</v>
      </c>
      <c r="I1300" t="inlineStr">
        <is>
          <t>entidad-dia</t>
        </is>
      </c>
    </row>
    <row r="1301">
      <c r="A1301" t="inlineStr">
        <is>
          <t>PRAGMA</t>
        </is>
      </c>
      <c r="B1301" t="inlineStr">
        <is>
          <t>M1</t>
        </is>
      </c>
      <c r="C1301" t="inlineStr">
        <is>
          <t>Cali</t>
        </is>
      </c>
      <c r="D1301" t="inlineStr">
        <is>
          <t>2527</t>
        </is>
      </c>
      <c r="E1301" t="inlineStr">
        <is>
          <t>pagado</t>
        </is>
      </c>
      <c r="F1301" s="23" t="n">
        <v>46274</v>
      </c>
      <c r="G1301" s="24">
        <f>F1301-DATE(2026,8,31)</f>
        <v>9</v>
      </c>
      <c r="H1301" s="25" t="n">
        <v>172186750</v>
      </c>
      <c r="I1301" t="inlineStr">
        <is>
          <t>entidad-dia</t>
        </is>
      </c>
    </row>
    <row r="1302">
      <c r="A1302" t="inlineStr">
        <is>
          <t>PRAGMA</t>
        </is>
      </c>
      <c r="B1302" t="inlineStr">
        <is>
          <t>M1</t>
        </is>
      </c>
      <c r="C1302" t="inlineStr">
        <is>
          <t>Cali</t>
        </is>
      </c>
      <c r="D1302" t="inlineStr">
        <is>
          <t>2527</t>
        </is>
      </c>
      <c r="E1302" t="inlineStr">
        <is>
          <t>pagado</t>
        </is>
      </c>
      <c r="F1302" s="23" t="n">
        <v>46275</v>
      </c>
      <c r="G1302" s="24">
        <f>F1302-DATE(2026,8,31)</f>
        <v>10</v>
      </c>
      <c r="H1302" s="25" t="n">
        <v>188239921</v>
      </c>
      <c r="I1302" t="inlineStr">
        <is>
          <t>entidad-dia</t>
        </is>
      </c>
    </row>
    <row r="1303">
      <c r="A1303" t="inlineStr">
        <is>
          <t>PRAGMA</t>
        </is>
      </c>
      <c r="B1303" t="inlineStr">
        <is>
          <t>M1</t>
        </is>
      </c>
      <c r="C1303" t="inlineStr">
        <is>
          <t>Cali</t>
        </is>
      </c>
      <c r="D1303" t="inlineStr">
        <is>
          <t>2527</t>
        </is>
      </c>
      <c r="E1303" t="inlineStr">
        <is>
          <t>pagado</t>
        </is>
      </c>
      <c r="F1303" s="23" t="n">
        <v>46276</v>
      </c>
      <c r="G1303" s="24">
        <f>F1303-DATE(2026,8,31)</f>
        <v>11</v>
      </c>
      <c r="H1303" s="25" t="n">
        <v>197704202</v>
      </c>
      <c r="I1303" t="inlineStr">
        <is>
          <t>entidad-dia</t>
        </is>
      </c>
    </row>
    <row r="1304">
      <c r="A1304" t="inlineStr">
        <is>
          <t>PRAGMA</t>
        </is>
      </c>
      <c r="B1304" t="inlineStr">
        <is>
          <t>M1</t>
        </is>
      </c>
      <c r="C1304" t="inlineStr">
        <is>
          <t>Cali</t>
        </is>
      </c>
      <c r="D1304" t="inlineStr">
        <is>
          <t>2527</t>
        </is>
      </c>
      <c r="E1304" t="inlineStr">
        <is>
          <t>pagado</t>
        </is>
      </c>
      <c r="F1304" s="23" t="n">
        <v>46277</v>
      </c>
      <c r="G1304" s="24">
        <f>F1304-DATE(2026,8,31)</f>
        <v>12</v>
      </c>
      <c r="H1304" s="25" t="n">
        <v>168043414</v>
      </c>
      <c r="I1304" t="inlineStr">
        <is>
          <t>entidad-dia</t>
        </is>
      </c>
    </row>
    <row r="1305">
      <c r="A1305" t="inlineStr">
        <is>
          <t>PRAGMA</t>
        </is>
      </c>
      <c r="B1305" t="inlineStr">
        <is>
          <t>M1</t>
        </is>
      </c>
      <c r="C1305" t="inlineStr">
        <is>
          <t>Cali</t>
        </is>
      </c>
      <c r="D1305" t="inlineStr">
        <is>
          <t>2527</t>
        </is>
      </c>
      <c r="E1305" t="inlineStr">
        <is>
          <t>pagado</t>
        </is>
      </c>
      <c r="F1305" s="23" t="n">
        <v>46278</v>
      </c>
      <c r="G1305" s="24">
        <f>F1305-DATE(2026,8,31)</f>
        <v>13</v>
      </c>
      <c r="H1305" s="25" t="n">
        <v>6660561</v>
      </c>
      <c r="I1305" t="inlineStr">
        <is>
          <t>entidad-dia</t>
        </is>
      </c>
    </row>
    <row r="1306">
      <c r="A1306" t="inlineStr">
        <is>
          <t>PRAGMA</t>
        </is>
      </c>
      <c r="B1306" t="inlineStr">
        <is>
          <t>M1</t>
        </is>
      </c>
      <c r="C1306" t="inlineStr">
        <is>
          <t>Cali</t>
        </is>
      </c>
      <c r="D1306" t="inlineStr">
        <is>
          <t>2527</t>
        </is>
      </c>
      <c r="E1306" t="inlineStr">
        <is>
          <t>pagado</t>
        </is>
      </c>
      <c r="F1306" s="23" t="n">
        <v>46279</v>
      </c>
      <c r="G1306" s="24">
        <f>F1306-DATE(2026,8,31)</f>
        <v>14</v>
      </c>
      <c r="H1306" s="25" t="n">
        <v>188551420</v>
      </c>
      <c r="I1306" t="inlineStr">
        <is>
          <t>entidad-dia</t>
        </is>
      </c>
    </row>
    <row r="1307">
      <c r="A1307" t="inlineStr">
        <is>
          <t>PRAGMA</t>
        </is>
      </c>
      <c r="B1307" t="inlineStr">
        <is>
          <t>M1</t>
        </is>
      </c>
      <c r="C1307" t="inlineStr">
        <is>
          <t>Cali</t>
        </is>
      </c>
      <c r="D1307" t="inlineStr">
        <is>
          <t>2527</t>
        </is>
      </c>
      <c r="E1307" t="inlineStr">
        <is>
          <t>pagado</t>
        </is>
      </c>
      <c r="F1307" s="23" t="n">
        <v>46280</v>
      </c>
      <c r="G1307" s="24">
        <f>F1307-DATE(2026,8,31)</f>
        <v>15</v>
      </c>
      <c r="H1307" s="25" t="n">
        <v>214073351</v>
      </c>
      <c r="I1307" t="inlineStr">
        <is>
          <t>entidad-dia</t>
        </is>
      </c>
    </row>
    <row r="1308">
      <c r="A1308" t="inlineStr">
        <is>
          <t>PRAGMA</t>
        </is>
      </c>
      <c r="B1308" t="inlineStr">
        <is>
          <t>M1</t>
        </is>
      </c>
      <c r="C1308" t="inlineStr">
        <is>
          <t>Cali</t>
        </is>
      </c>
      <c r="D1308" t="inlineStr">
        <is>
          <t>2537</t>
        </is>
      </c>
      <c r="E1308" t="inlineStr">
        <is>
          <t>pagado</t>
        </is>
      </c>
      <c r="F1308" s="23" t="n">
        <v>46266</v>
      </c>
      <c r="G1308" s="24">
        <f>F1308-DATE(2026,8,31)</f>
        <v>1</v>
      </c>
      <c r="H1308" s="25" t="n">
        <v>149277466</v>
      </c>
      <c r="I1308" t="inlineStr">
        <is>
          <t>entidad-dia</t>
        </is>
      </c>
    </row>
    <row r="1309">
      <c r="A1309" t="inlineStr">
        <is>
          <t>PRAGMA</t>
        </is>
      </c>
      <c r="B1309" t="inlineStr">
        <is>
          <t>M1</t>
        </is>
      </c>
      <c r="C1309" t="inlineStr">
        <is>
          <t>Cali</t>
        </is>
      </c>
      <c r="D1309" t="inlineStr">
        <is>
          <t>2537</t>
        </is>
      </c>
      <c r="E1309" t="inlineStr">
        <is>
          <t>pagado</t>
        </is>
      </c>
      <c r="F1309" s="23" t="n">
        <v>46267</v>
      </c>
      <c r="G1309" s="24">
        <f>F1309-DATE(2026,8,31)</f>
        <v>2</v>
      </c>
      <c r="H1309" s="25" t="n">
        <v>106153382</v>
      </c>
      <c r="I1309" t="inlineStr">
        <is>
          <t>entidad-dia</t>
        </is>
      </c>
    </row>
    <row r="1310">
      <c r="A1310" t="inlineStr">
        <is>
          <t>PRAGMA</t>
        </is>
      </c>
      <c r="B1310" t="inlineStr">
        <is>
          <t>M1</t>
        </is>
      </c>
      <c r="C1310" t="inlineStr">
        <is>
          <t>Cali</t>
        </is>
      </c>
      <c r="D1310" t="inlineStr">
        <is>
          <t>2537</t>
        </is>
      </c>
      <c r="E1310" t="inlineStr">
        <is>
          <t>pagado</t>
        </is>
      </c>
      <c r="F1310" s="23" t="n">
        <v>46268</v>
      </c>
      <c r="G1310" s="24">
        <f>F1310-DATE(2026,8,31)</f>
        <v>3</v>
      </c>
      <c r="H1310" s="25" t="n">
        <v>92845670</v>
      </c>
      <c r="I1310" t="inlineStr">
        <is>
          <t>entidad-dia</t>
        </is>
      </c>
    </row>
    <row r="1311">
      <c r="A1311" t="inlineStr">
        <is>
          <t>PRAGMA</t>
        </is>
      </c>
      <c r="B1311" t="inlineStr">
        <is>
          <t>M1</t>
        </is>
      </c>
      <c r="C1311" t="inlineStr">
        <is>
          <t>Cali</t>
        </is>
      </c>
      <c r="D1311" t="inlineStr">
        <is>
          <t>2537</t>
        </is>
      </c>
      <c r="E1311" t="inlineStr">
        <is>
          <t>pagado</t>
        </is>
      </c>
      <c r="F1311" s="23" t="n">
        <v>46269</v>
      </c>
      <c r="G1311" s="24">
        <f>F1311-DATE(2026,8,31)</f>
        <v>4</v>
      </c>
      <c r="H1311" s="25" t="n">
        <v>82483345</v>
      </c>
      <c r="I1311" t="inlineStr">
        <is>
          <t>entidad-dia</t>
        </is>
      </c>
    </row>
    <row r="1312">
      <c r="A1312" t="inlineStr">
        <is>
          <t>PRAGMA</t>
        </is>
      </c>
      <c r="B1312" t="inlineStr">
        <is>
          <t>M1</t>
        </is>
      </c>
      <c r="C1312" t="inlineStr">
        <is>
          <t>Cali</t>
        </is>
      </c>
      <c r="D1312" t="inlineStr">
        <is>
          <t>2537</t>
        </is>
      </c>
      <c r="E1312" t="inlineStr">
        <is>
          <t>pagado</t>
        </is>
      </c>
      <c r="F1312" s="23" t="n">
        <v>46270</v>
      </c>
      <c r="G1312" s="24">
        <f>F1312-DATE(2026,8,31)</f>
        <v>5</v>
      </c>
      <c r="H1312" s="25" t="n">
        <v>89392461</v>
      </c>
      <c r="I1312" t="inlineStr">
        <is>
          <t>entidad-dia</t>
        </is>
      </c>
    </row>
    <row r="1313">
      <c r="A1313" t="inlineStr">
        <is>
          <t>PRAGMA</t>
        </is>
      </c>
      <c r="B1313" t="inlineStr">
        <is>
          <t>M1</t>
        </is>
      </c>
      <c r="C1313" t="inlineStr">
        <is>
          <t>Cali</t>
        </is>
      </c>
      <c r="D1313" t="inlineStr">
        <is>
          <t>2537</t>
        </is>
      </c>
      <c r="E1313" t="inlineStr">
        <is>
          <t>pagado</t>
        </is>
      </c>
      <c r="F1313" s="23" t="n">
        <v>46271</v>
      </c>
      <c r="G1313" s="24">
        <f>F1313-DATE(2026,8,31)</f>
        <v>6</v>
      </c>
      <c r="H1313" s="25" t="n">
        <v>67996643</v>
      </c>
      <c r="I1313" t="inlineStr">
        <is>
          <t>entidad-dia</t>
        </is>
      </c>
    </row>
    <row r="1314">
      <c r="A1314" t="inlineStr">
        <is>
          <t>PRAGMA</t>
        </is>
      </c>
      <c r="B1314" t="inlineStr">
        <is>
          <t>M1</t>
        </is>
      </c>
      <c r="C1314" t="inlineStr">
        <is>
          <t>Cali</t>
        </is>
      </c>
      <c r="D1314" t="inlineStr">
        <is>
          <t>2537</t>
        </is>
      </c>
      <c r="E1314" t="inlineStr">
        <is>
          <t>pagado</t>
        </is>
      </c>
      <c r="F1314" s="23" t="n">
        <v>46272</v>
      </c>
      <c r="G1314" s="24">
        <f>F1314-DATE(2026,8,31)</f>
        <v>7</v>
      </c>
      <c r="H1314" s="25" t="n">
        <v>65595605</v>
      </c>
      <c r="I1314" t="inlineStr">
        <is>
          <t>entidad-dia</t>
        </is>
      </c>
    </row>
    <row r="1315">
      <c r="A1315" t="inlineStr">
        <is>
          <t>PRAGMA</t>
        </is>
      </c>
      <c r="B1315" t="inlineStr">
        <is>
          <t>M1</t>
        </is>
      </c>
      <c r="C1315" t="inlineStr">
        <is>
          <t>Cali</t>
        </is>
      </c>
      <c r="D1315" t="inlineStr">
        <is>
          <t>2537</t>
        </is>
      </c>
      <c r="E1315" t="inlineStr">
        <is>
          <t>pagado</t>
        </is>
      </c>
      <c r="F1315" s="23" t="n">
        <v>46273</v>
      </c>
      <c r="G1315" s="24">
        <f>F1315-DATE(2026,8,31)</f>
        <v>8</v>
      </c>
      <c r="H1315" s="25" t="n">
        <v>52692179</v>
      </c>
      <c r="I1315" t="inlineStr">
        <is>
          <t>entidad-dia</t>
        </is>
      </c>
    </row>
    <row r="1316">
      <c r="A1316" t="inlineStr">
        <is>
          <t>PRAGMA</t>
        </is>
      </c>
      <c r="B1316" t="inlineStr">
        <is>
          <t>M1</t>
        </is>
      </c>
      <c r="C1316" t="inlineStr">
        <is>
          <t>Cali</t>
        </is>
      </c>
      <c r="D1316" t="inlineStr">
        <is>
          <t>2537</t>
        </is>
      </c>
      <c r="E1316" t="inlineStr">
        <is>
          <t>pagado</t>
        </is>
      </c>
      <c r="F1316" s="23" t="n">
        <v>46274</v>
      </c>
      <c r="G1316" s="24">
        <f>F1316-DATE(2026,8,31)</f>
        <v>9</v>
      </c>
      <c r="H1316" s="25" t="n">
        <v>61359570</v>
      </c>
      <c r="I1316" t="inlineStr">
        <is>
          <t>entidad-dia</t>
        </is>
      </c>
    </row>
    <row r="1317">
      <c r="A1317" t="inlineStr">
        <is>
          <t>PRAGMA</t>
        </is>
      </c>
      <c r="B1317" t="inlineStr">
        <is>
          <t>M1</t>
        </is>
      </c>
      <c r="C1317" t="inlineStr">
        <is>
          <t>Cali</t>
        </is>
      </c>
      <c r="D1317" t="inlineStr">
        <is>
          <t>2537</t>
        </is>
      </c>
      <c r="E1317" t="inlineStr">
        <is>
          <t>pagado</t>
        </is>
      </c>
      <c r="F1317" s="23" t="n">
        <v>46275</v>
      </c>
      <c r="G1317" s="24">
        <f>F1317-DATE(2026,8,31)</f>
        <v>10</v>
      </c>
      <c r="H1317" s="25" t="n">
        <v>51974768</v>
      </c>
      <c r="I1317" t="inlineStr">
        <is>
          <t>entidad-dia</t>
        </is>
      </c>
    </row>
    <row r="1318">
      <c r="A1318" t="inlineStr">
        <is>
          <t>PRAGMA</t>
        </is>
      </c>
      <c r="B1318" t="inlineStr">
        <is>
          <t>M1</t>
        </is>
      </c>
      <c r="C1318" t="inlineStr">
        <is>
          <t>Cali</t>
        </is>
      </c>
      <c r="D1318" t="inlineStr">
        <is>
          <t>2537</t>
        </is>
      </c>
      <c r="E1318" t="inlineStr">
        <is>
          <t>pagado</t>
        </is>
      </c>
      <c r="F1318" s="23" t="n">
        <v>46276</v>
      </c>
      <c r="G1318" s="24">
        <f>F1318-DATE(2026,8,31)</f>
        <v>11</v>
      </c>
      <c r="H1318" s="25" t="n">
        <v>52077762</v>
      </c>
      <c r="I1318" t="inlineStr">
        <is>
          <t>entidad-dia</t>
        </is>
      </c>
    </row>
    <row r="1319">
      <c r="A1319" t="inlineStr">
        <is>
          <t>PRAGMA</t>
        </is>
      </c>
      <c r="B1319" t="inlineStr">
        <is>
          <t>M1</t>
        </is>
      </c>
      <c r="C1319" t="inlineStr">
        <is>
          <t>Cali</t>
        </is>
      </c>
      <c r="D1319" t="inlineStr">
        <is>
          <t>2537</t>
        </is>
      </c>
      <c r="E1319" t="inlineStr">
        <is>
          <t>pagado</t>
        </is>
      </c>
      <c r="F1319" s="23" t="n">
        <v>46277</v>
      </c>
      <c r="G1319" s="24">
        <f>F1319-DATE(2026,8,31)</f>
        <v>12</v>
      </c>
      <c r="H1319" s="25" t="n">
        <v>66890592</v>
      </c>
      <c r="I1319" t="inlineStr">
        <is>
          <t>entidad-dia</t>
        </is>
      </c>
    </row>
    <row r="1320">
      <c r="A1320" t="inlineStr">
        <is>
          <t>PRAGMA</t>
        </is>
      </c>
      <c r="B1320" t="inlineStr">
        <is>
          <t>M1</t>
        </is>
      </c>
      <c r="C1320" t="inlineStr">
        <is>
          <t>Cali</t>
        </is>
      </c>
      <c r="D1320" t="inlineStr">
        <is>
          <t>2537</t>
        </is>
      </c>
      <c r="E1320" t="inlineStr">
        <is>
          <t>pagado</t>
        </is>
      </c>
      <c r="F1320" s="23" t="n">
        <v>46278</v>
      </c>
      <c r="G1320" s="24">
        <f>F1320-DATE(2026,8,31)</f>
        <v>13</v>
      </c>
      <c r="H1320" s="25" t="n">
        <v>44180548</v>
      </c>
      <c r="I1320" t="inlineStr">
        <is>
          <t>entidad-dia</t>
        </is>
      </c>
    </row>
    <row r="1321">
      <c r="A1321" t="inlineStr">
        <is>
          <t>PRAGMA</t>
        </is>
      </c>
      <c r="B1321" t="inlineStr">
        <is>
          <t>M1</t>
        </is>
      </c>
      <c r="C1321" t="inlineStr">
        <is>
          <t>Cali</t>
        </is>
      </c>
      <c r="D1321" t="inlineStr">
        <is>
          <t>2537</t>
        </is>
      </c>
      <c r="E1321" t="inlineStr">
        <is>
          <t>pagado</t>
        </is>
      </c>
      <c r="F1321" s="23" t="n">
        <v>46279</v>
      </c>
      <c r="G1321" s="24">
        <f>F1321-DATE(2026,8,31)</f>
        <v>14</v>
      </c>
      <c r="H1321" s="25" t="n">
        <v>58309996</v>
      </c>
      <c r="I1321" t="inlineStr">
        <is>
          <t>entidad-dia</t>
        </is>
      </c>
    </row>
    <row r="1322">
      <c r="A1322" t="inlineStr">
        <is>
          <t>PRAGMA</t>
        </is>
      </c>
      <c r="B1322" t="inlineStr">
        <is>
          <t>M1</t>
        </is>
      </c>
      <c r="C1322" t="inlineStr">
        <is>
          <t>Cali</t>
        </is>
      </c>
      <c r="D1322" t="inlineStr">
        <is>
          <t>2537</t>
        </is>
      </c>
      <c r="E1322" t="inlineStr">
        <is>
          <t>pagado</t>
        </is>
      </c>
      <c r="F1322" s="23" t="n">
        <v>46280</v>
      </c>
      <c r="G1322" s="24">
        <f>F1322-DATE(2026,8,31)</f>
        <v>15</v>
      </c>
      <c r="H1322" s="25" t="n">
        <v>102470008</v>
      </c>
      <c r="I1322" t="inlineStr">
        <is>
          <t>entidad-dia</t>
        </is>
      </c>
    </row>
    <row r="1323">
      <c r="A1323" t="inlineStr">
        <is>
          <t>PRAGMA</t>
        </is>
      </c>
      <c r="B1323" t="inlineStr">
        <is>
          <t>M1</t>
        </is>
      </c>
      <c r="C1323" t="inlineStr">
        <is>
          <t>Cali</t>
        </is>
      </c>
      <c r="D1323" t="inlineStr">
        <is>
          <t>2541</t>
        </is>
      </c>
      <c r="E1323" t="inlineStr">
        <is>
          <t>pagado</t>
        </is>
      </c>
      <c r="F1323" s="23" t="n">
        <v>46266</v>
      </c>
      <c r="G1323" s="24">
        <f>F1323-DATE(2026,8,31)</f>
        <v>1</v>
      </c>
      <c r="H1323" s="25" t="n">
        <v>138655188</v>
      </c>
      <c r="I1323" t="inlineStr">
        <is>
          <t>entidad-dia</t>
        </is>
      </c>
    </row>
    <row r="1324">
      <c r="A1324" t="inlineStr">
        <is>
          <t>PRAGMA</t>
        </is>
      </c>
      <c r="B1324" t="inlineStr">
        <is>
          <t>M1</t>
        </is>
      </c>
      <c r="C1324" t="inlineStr">
        <is>
          <t>Cali</t>
        </is>
      </c>
      <c r="D1324" t="inlineStr">
        <is>
          <t>2541</t>
        </is>
      </c>
      <c r="E1324" t="inlineStr">
        <is>
          <t>pagado</t>
        </is>
      </c>
      <c r="F1324" s="23" t="n">
        <v>46267</v>
      </c>
      <c r="G1324" s="24">
        <f>F1324-DATE(2026,8,31)</f>
        <v>2</v>
      </c>
      <c r="H1324" s="25" t="n">
        <v>108770199</v>
      </c>
      <c r="I1324" t="inlineStr">
        <is>
          <t>entidad-dia</t>
        </is>
      </c>
    </row>
    <row r="1325">
      <c r="A1325" t="inlineStr">
        <is>
          <t>PRAGMA</t>
        </is>
      </c>
      <c r="B1325" t="inlineStr">
        <is>
          <t>M1</t>
        </is>
      </c>
      <c r="C1325" t="inlineStr">
        <is>
          <t>Cali</t>
        </is>
      </c>
      <c r="D1325" t="inlineStr">
        <is>
          <t>2541</t>
        </is>
      </c>
      <c r="E1325" t="inlineStr">
        <is>
          <t>pagado</t>
        </is>
      </c>
      <c r="F1325" s="23" t="n">
        <v>46268</v>
      </c>
      <c r="G1325" s="24">
        <f>F1325-DATE(2026,8,31)</f>
        <v>3</v>
      </c>
      <c r="H1325" s="25" t="n">
        <v>97842413</v>
      </c>
      <c r="I1325" t="inlineStr">
        <is>
          <t>entidad-dia</t>
        </is>
      </c>
    </row>
    <row r="1326">
      <c r="A1326" t="inlineStr">
        <is>
          <t>PRAGMA</t>
        </is>
      </c>
      <c r="B1326" t="inlineStr">
        <is>
          <t>M1</t>
        </is>
      </c>
      <c r="C1326" t="inlineStr">
        <is>
          <t>Cali</t>
        </is>
      </c>
      <c r="D1326" t="inlineStr">
        <is>
          <t>2541</t>
        </is>
      </c>
      <c r="E1326" t="inlineStr">
        <is>
          <t>pagado</t>
        </is>
      </c>
      <c r="F1326" s="23" t="n">
        <v>46269</v>
      </c>
      <c r="G1326" s="24">
        <f>F1326-DATE(2026,8,31)</f>
        <v>4</v>
      </c>
      <c r="H1326" s="25" t="n">
        <v>105748623</v>
      </c>
      <c r="I1326" t="inlineStr">
        <is>
          <t>entidad-dia</t>
        </is>
      </c>
    </row>
    <row r="1327">
      <c r="A1327" t="inlineStr">
        <is>
          <t>PRAGMA</t>
        </is>
      </c>
      <c r="B1327" t="inlineStr">
        <is>
          <t>M1</t>
        </is>
      </c>
      <c r="C1327" t="inlineStr">
        <is>
          <t>Cali</t>
        </is>
      </c>
      <c r="D1327" t="inlineStr">
        <is>
          <t>2541</t>
        </is>
      </c>
      <c r="E1327" t="inlineStr">
        <is>
          <t>pagado</t>
        </is>
      </c>
      <c r="F1327" s="23" t="n">
        <v>46270</v>
      </c>
      <c r="G1327" s="24">
        <f>F1327-DATE(2026,8,31)</f>
        <v>5</v>
      </c>
      <c r="H1327" s="25" t="n">
        <v>96356586</v>
      </c>
      <c r="I1327" t="inlineStr">
        <is>
          <t>entidad-dia</t>
        </is>
      </c>
    </row>
    <row r="1328">
      <c r="A1328" t="inlineStr">
        <is>
          <t>PRAGMA</t>
        </is>
      </c>
      <c r="B1328" t="inlineStr">
        <is>
          <t>M1</t>
        </is>
      </c>
      <c r="C1328" t="inlineStr">
        <is>
          <t>Cali</t>
        </is>
      </c>
      <c r="D1328" t="inlineStr">
        <is>
          <t>2541</t>
        </is>
      </c>
      <c r="E1328" t="inlineStr">
        <is>
          <t>pagado</t>
        </is>
      </c>
      <c r="F1328" s="23" t="n">
        <v>46271</v>
      </c>
      <c r="G1328" s="24">
        <f>F1328-DATE(2026,8,31)</f>
        <v>6</v>
      </c>
      <c r="H1328" s="25" t="n">
        <v>45955020</v>
      </c>
      <c r="I1328" t="inlineStr">
        <is>
          <t>entidad-dia</t>
        </is>
      </c>
    </row>
    <row r="1329">
      <c r="A1329" t="inlineStr">
        <is>
          <t>PRAGMA</t>
        </is>
      </c>
      <c r="B1329" t="inlineStr">
        <is>
          <t>M1</t>
        </is>
      </c>
      <c r="C1329" t="inlineStr">
        <is>
          <t>Cali</t>
        </is>
      </c>
      <c r="D1329" t="inlineStr">
        <is>
          <t>2541</t>
        </is>
      </c>
      <c r="E1329" t="inlineStr">
        <is>
          <t>pagado</t>
        </is>
      </c>
      <c r="F1329" s="23" t="n">
        <v>46272</v>
      </c>
      <c r="G1329" s="24">
        <f>F1329-DATE(2026,8,31)</f>
        <v>7</v>
      </c>
      <c r="H1329" s="25" t="n">
        <v>82766557</v>
      </c>
      <c r="I1329" t="inlineStr">
        <is>
          <t>entidad-dia</t>
        </is>
      </c>
    </row>
    <row r="1330">
      <c r="A1330" t="inlineStr">
        <is>
          <t>PRAGMA</t>
        </is>
      </c>
      <c r="B1330" t="inlineStr">
        <is>
          <t>M1</t>
        </is>
      </c>
      <c r="C1330" t="inlineStr">
        <is>
          <t>Cali</t>
        </is>
      </c>
      <c r="D1330" t="inlineStr">
        <is>
          <t>2541</t>
        </is>
      </c>
      <c r="E1330" t="inlineStr">
        <is>
          <t>pagado</t>
        </is>
      </c>
      <c r="F1330" s="23" t="n">
        <v>46273</v>
      </c>
      <c r="G1330" s="24">
        <f>F1330-DATE(2026,8,31)</f>
        <v>8</v>
      </c>
      <c r="H1330" s="25" t="n">
        <v>70325232</v>
      </c>
      <c r="I1330" t="inlineStr">
        <is>
          <t>entidad-dia</t>
        </is>
      </c>
    </row>
    <row r="1331">
      <c r="A1331" t="inlineStr">
        <is>
          <t>PRAGMA</t>
        </is>
      </c>
      <c r="B1331" t="inlineStr">
        <is>
          <t>M1</t>
        </is>
      </c>
      <c r="C1331" t="inlineStr">
        <is>
          <t>Cali</t>
        </is>
      </c>
      <c r="D1331" t="inlineStr">
        <is>
          <t>2541</t>
        </is>
      </c>
      <c r="E1331" t="inlineStr">
        <is>
          <t>pagado</t>
        </is>
      </c>
      <c r="F1331" s="23" t="n">
        <v>46274</v>
      </c>
      <c r="G1331" s="24">
        <f>F1331-DATE(2026,8,31)</f>
        <v>9</v>
      </c>
      <c r="H1331" s="25" t="n">
        <v>73763514</v>
      </c>
      <c r="I1331" t="inlineStr">
        <is>
          <t>entidad-dia</t>
        </is>
      </c>
    </row>
    <row r="1332">
      <c r="A1332" t="inlineStr">
        <is>
          <t>PRAGMA</t>
        </is>
      </c>
      <c r="B1332" t="inlineStr">
        <is>
          <t>M1</t>
        </is>
      </c>
      <c r="C1332" t="inlineStr">
        <is>
          <t>Cali</t>
        </is>
      </c>
      <c r="D1332" t="inlineStr">
        <is>
          <t>2541</t>
        </is>
      </c>
      <c r="E1332" t="inlineStr">
        <is>
          <t>pagado</t>
        </is>
      </c>
      <c r="F1332" s="23" t="n">
        <v>46275</v>
      </c>
      <c r="G1332" s="24">
        <f>F1332-DATE(2026,8,31)</f>
        <v>10</v>
      </c>
      <c r="H1332" s="25" t="n">
        <v>65780790</v>
      </c>
      <c r="I1332" t="inlineStr">
        <is>
          <t>entidad-dia</t>
        </is>
      </c>
    </row>
    <row r="1333">
      <c r="A1333" t="inlineStr">
        <is>
          <t>PRAGMA</t>
        </is>
      </c>
      <c r="B1333" t="inlineStr">
        <is>
          <t>M1</t>
        </is>
      </c>
      <c r="C1333" t="inlineStr">
        <is>
          <t>Cali</t>
        </is>
      </c>
      <c r="D1333" t="inlineStr">
        <is>
          <t>2541</t>
        </is>
      </c>
      <c r="E1333" t="inlineStr">
        <is>
          <t>pagado</t>
        </is>
      </c>
      <c r="F1333" s="23" t="n">
        <v>46276</v>
      </c>
      <c r="G1333" s="24">
        <f>F1333-DATE(2026,8,31)</f>
        <v>11</v>
      </c>
      <c r="H1333" s="25" t="n">
        <v>82454773</v>
      </c>
      <c r="I1333" t="inlineStr">
        <is>
          <t>entidad-dia</t>
        </is>
      </c>
    </row>
    <row r="1334">
      <c r="A1334" t="inlineStr">
        <is>
          <t>PRAGMA</t>
        </is>
      </c>
      <c r="B1334" t="inlineStr">
        <is>
          <t>M1</t>
        </is>
      </c>
      <c r="C1334" t="inlineStr">
        <is>
          <t>Cali</t>
        </is>
      </c>
      <c r="D1334" t="inlineStr">
        <is>
          <t>2541</t>
        </is>
      </c>
      <c r="E1334" t="inlineStr">
        <is>
          <t>pagado</t>
        </is>
      </c>
      <c r="F1334" s="23" t="n">
        <v>46277</v>
      </c>
      <c r="G1334" s="24">
        <f>F1334-DATE(2026,8,31)</f>
        <v>12</v>
      </c>
      <c r="H1334" s="25" t="n">
        <v>81190878</v>
      </c>
      <c r="I1334" t="inlineStr">
        <is>
          <t>entidad-dia</t>
        </is>
      </c>
    </row>
    <row r="1335">
      <c r="A1335" t="inlineStr">
        <is>
          <t>PRAGMA</t>
        </is>
      </c>
      <c r="B1335" t="inlineStr">
        <is>
          <t>M1</t>
        </is>
      </c>
      <c r="C1335" t="inlineStr">
        <is>
          <t>Cali</t>
        </is>
      </c>
      <c r="D1335" t="inlineStr">
        <is>
          <t>2541</t>
        </is>
      </c>
      <c r="E1335" t="inlineStr">
        <is>
          <t>pagado</t>
        </is>
      </c>
      <c r="F1335" s="23" t="n">
        <v>46278</v>
      </c>
      <c r="G1335" s="24">
        <f>F1335-DATE(2026,8,31)</f>
        <v>13</v>
      </c>
      <c r="H1335" s="25" t="n">
        <v>37257041</v>
      </c>
      <c r="I1335" t="inlineStr">
        <is>
          <t>entidad-dia</t>
        </is>
      </c>
    </row>
    <row r="1336">
      <c r="A1336" t="inlineStr">
        <is>
          <t>PRAGMA</t>
        </is>
      </c>
      <c r="B1336" t="inlineStr">
        <is>
          <t>M1</t>
        </is>
      </c>
      <c r="C1336" t="inlineStr">
        <is>
          <t>Cali</t>
        </is>
      </c>
      <c r="D1336" t="inlineStr">
        <is>
          <t>2541</t>
        </is>
      </c>
      <c r="E1336" t="inlineStr">
        <is>
          <t>pagado</t>
        </is>
      </c>
      <c r="F1336" s="23" t="n">
        <v>46279</v>
      </c>
      <c r="G1336" s="24">
        <f>F1336-DATE(2026,8,31)</f>
        <v>14</v>
      </c>
      <c r="H1336" s="25" t="n">
        <v>78600765</v>
      </c>
      <c r="I1336" t="inlineStr">
        <is>
          <t>entidad-dia</t>
        </is>
      </c>
    </row>
    <row r="1337">
      <c r="A1337" t="inlineStr">
        <is>
          <t>PRAGMA</t>
        </is>
      </c>
      <c r="B1337" t="inlineStr">
        <is>
          <t>M1</t>
        </is>
      </c>
      <c r="C1337" t="inlineStr">
        <is>
          <t>Cali</t>
        </is>
      </c>
      <c r="D1337" t="inlineStr">
        <is>
          <t>2541</t>
        </is>
      </c>
      <c r="E1337" t="inlineStr">
        <is>
          <t>pagado</t>
        </is>
      </c>
      <c r="F1337" s="23" t="n">
        <v>46280</v>
      </c>
      <c r="G1337" s="24">
        <f>F1337-DATE(2026,8,31)</f>
        <v>15</v>
      </c>
      <c r="H1337" s="25" t="n">
        <v>115389312</v>
      </c>
      <c r="I1337" t="inlineStr">
        <is>
          <t>entidad-dia</t>
        </is>
      </c>
    </row>
    <row r="1338">
      <c r="A1338" t="inlineStr">
        <is>
          <t>PRAGMA</t>
        </is>
      </c>
      <c r="B1338" t="inlineStr">
        <is>
          <t>M1</t>
        </is>
      </c>
      <c r="C1338" t="inlineStr">
        <is>
          <t>Cali</t>
        </is>
      </c>
      <c r="D1338" t="inlineStr">
        <is>
          <t>2592</t>
        </is>
      </c>
      <c r="E1338" t="inlineStr">
        <is>
          <t>pagado</t>
        </is>
      </c>
      <c r="F1338" s="23" t="n">
        <v>46266</v>
      </c>
      <c r="G1338" s="24">
        <f>F1338-DATE(2026,8,31)</f>
        <v>1</v>
      </c>
      <c r="H1338" s="25" t="n">
        <v>219029670</v>
      </c>
      <c r="I1338" t="inlineStr">
        <is>
          <t>entidad-dia</t>
        </is>
      </c>
    </row>
    <row r="1339">
      <c r="A1339" t="inlineStr">
        <is>
          <t>PRAGMA</t>
        </is>
      </c>
      <c r="B1339" t="inlineStr">
        <is>
          <t>M1</t>
        </is>
      </c>
      <c r="C1339" t="inlineStr">
        <is>
          <t>Cali</t>
        </is>
      </c>
      <c r="D1339" t="inlineStr">
        <is>
          <t>2592</t>
        </is>
      </c>
      <c r="E1339" t="inlineStr">
        <is>
          <t>pagado</t>
        </is>
      </c>
      <c r="F1339" s="23" t="n">
        <v>46267</v>
      </c>
      <c r="G1339" s="24">
        <f>F1339-DATE(2026,8,31)</f>
        <v>2</v>
      </c>
      <c r="H1339" s="25" t="n">
        <v>172116274</v>
      </c>
      <c r="I1339" t="inlineStr">
        <is>
          <t>entidad-dia</t>
        </is>
      </c>
    </row>
    <row r="1340">
      <c r="A1340" t="inlineStr">
        <is>
          <t>PRAGMA</t>
        </is>
      </c>
      <c r="B1340" t="inlineStr">
        <is>
          <t>M1</t>
        </is>
      </c>
      <c r="C1340" t="inlineStr">
        <is>
          <t>Cali</t>
        </is>
      </c>
      <c r="D1340" t="inlineStr">
        <is>
          <t>2592</t>
        </is>
      </c>
      <c r="E1340" t="inlineStr">
        <is>
          <t>pagado</t>
        </is>
      </c>
      <c r="F1340" s="23" t="n">
        <v>46268</v>
      </c>
      <c r="G1340" s="24">
        <f>F1340-DATE(2026,8,31)</f>
        <v>3</v>
      </c>
      <c r="H1340" s="25" t="n">
        <v>149925452</v>
      </c>
      <c r="I1340" t="inlineStr">
        <is>
          <t>entidad-dia</t>
        </is>
      </c>
    </row>
    <row r="1341">
      <c r="A1341" t="inlineStr">
        <is>
          <t>PRAGMA</t>
        </is>
      </c>
      <c r="B1341" t="inlineStr">
        <is>
          <t>M1</t>
        </is>
      </c>
      <c r="C1341" t="inlineStr">
        <is>
          <t>Cali</t>
        </is>
      </c>
      <c r="D1341" t="inlineStr">
        <is>
          <t>2592</t>
        </is>
      </c>
      <c r="E1341" t="inlineStr">
        <is>
          <t>pagado</t>
        </is>
      </c>
      <c r="F1341" s="23" t="n">
        <v>46269</v>
      </c>
      <c r="G1341" s="24">
        <f>F1341-DATE(2026,8,31)</f>
        <v>4</v>
      </c>
      <c r="H1341" s="25" t="n">
        <v>159797720</v>
      </c>
      <c r="I1341" t="inlineStr">
        <is>
          <t>entidad-dia</t>
        </is>
      </c>
    </row>
    <row r="1342">
      <c r="A1342" t="inlineStr">
        <is>
          <t>PRAGMA</t>
        </is>
      </c>
      <c r="B1342" t="inlineStr">
        <is>
          <t>M1</t>
        </is>
      </c>
      <c r="C1342" t="inlineStr">
        <is>
          <t>Cali</t>
        </is>
      </c>
      <c r="D1342" t="inlineStr">
        <is>
          <t>2592</t>
        </is>
      </c>
      <c r="E1342" t="inlineStr">
        <is>
          <t>pagado</t>
        </is>
      </c>
      <c r="F1342" s="23" t="n">
        <v>46270</v>
      </c>
      <c r="G1342" s="24">
        <f>F1342-DATE(2026,8,31)</f>
        <v>5</v>
      </c>
      <c r="H1342" s="25" t="n">
        <v>174549123</v>
      </c>
      <c r="I1342" t="inlineStr">
        <is>
          <t>entidad-dia</t>
        </is>
      </c>
    </row>
    <row r="1343">
      <c r="A1343" t="inlineStr">
        <is>
          <t>PRAGMA</t>
        </is>
      </c>
      <c r="B1343" t="inlineStr">
        <is>
          <t>M1</t>
        </is>
      </c>
      <c r="C1343" t="inlineStr">
        <is>
          <t>Cali</t>
        </is>
      </c>
      <c r="D1343" t="inlineStr">
        <is>
          <t>2592</t>
        </is>
      </c>
      <c r="E1343" t="inlineStr">
        <is>
          <t>pagado</t>
        </is>
      </c>
      <c r="F1343" s="23" t="n">
        <v>46271</v>
      </c>
      <c r="G1343" s="24">
        <f>F1343-DATE(2026,8,31)</f>
        <v>6</v>
      </c>
      <c r="H1343" s="25" t="n">
        <v>126830483</v>
      </c>
      <c r="I1343" t="inlineStr">
        <is>
          <t>entidad-dia</t>
        </is>
      </c>
    </row>
    <row r="1344">
      <c r="A1344" t="inlineStr">
        <is>
          <t>PRAGMA</t>
        </is>
      </c>
      <c r="B1344" t="inlineStr">
        <is>
          <t>M1</t>
        </is>
      </c>
      <c r="C1344" t="inlineStr">
        <is>
          <t>Cali</t>
        </is>
      </c>
      <c r="D1344" t="inlineStr">
        <is>
          <t>2592</t>
        </is>
      </c>
      <c r="E1344" t="inlineStr">
        <is>
          <t>pagado</t>
        </is>
      </c>
      <c r="F1344" s="23" t="n">
        <v>46272</v>
      </c>
      <c r="G1344" s="24">
        <f>F1344-DATE(2026,8,31)</f>
        <v>7</v>
      </c>
      <c r="H1344" s="25" t="n">
        <v>126841946</v>
      </c>
      <c r="I1344" t="inlineStr">
        <is>
          <t>entidad-dia</t>
        </is>
      </c>
    </row>
    <row r="1345">
      <c r="A1345" t="inlineStr">
        <is>
          <t>PRAGMA</t>
        </is>
      </c>
      <c r="B1345" t="inlineStr">
        <is>
          <t>M1</t>
        </is>
      </c>
      <c r="C1345" t="inlineStr">
        <is>
          <t>Cali</t>
        </is>
      </c>
      <c r="D1345" t="inlineStr">
        <is>
          <t>2592</t>
        </is>
      </c>
      <c r="E1345" t="inlineStr">
        <is>
          <t>pagado</t>
        </is>
      </c>
      <c r="F1345" s="23" t="n">
        <v>46273</v>
      </c>
      <c r="G1345" s="24">
        <f>F1345-DATE(2026,8,31)</f>
        <v>8</v>
      </c>
      <c r="H1345" s="25" t="n">
        <v>125426352</v>
      </c>
      <c r="I1345" t="inlineStr">
        <is>
          <t>entidad-dia</t>
        </is>
      </c>
    </row>
    <row r="1346">
      <c r="A1346" t="inlineStr">
        <is>
          <t>PRAGMA</t>
        </is>
      </c>
      <c r="B1346" t="inlineStr">
        <is>
          <t>M1</t>
        </is>
      </c>
      <c r="C1346" t="inlineStr">
        <is>
          <t>Cali</t>
        </is>
      </c>
      <c r="D1346" t="inlineStr">
        <is>
          <t>2592</t>
        </is>
      </c>
      <c r="E1346" t="inlineStr">
        <is>
          <t>pagado</t>
        </is>
      </c>
      <c r="F1346" s="23" t="n">
        <v>46274</v>
      </c>
      <c r="G1346" s="24">
        <f>F1346-DATE(2026,8,31)</f>
        <v>9</v>
      </c>
      <c r="H1346" s="25" t="n">
        <v>127243737</v>
      </c>
      <c r="I1346" t="inlineStr">
        <is>
          <t>entidad-dia</t>
        </is>
      </c>
    </row>
    <row r="1347">
      <c r="A1347" t="inlineStr">
        <is>
          <t>PRAGMA</t>
        </is>
      </c>
      <c r="B1347" t="inlineStr">
        <is>
          <t>M1</t>
        </is>
      </c>
      <c r="C1347" t="inlineStr">
        <is>
          <t>Cali</t>
        </is>
      </c>
      <c r="D1347" t="inlineStr">
        <is>
          <t>2592</t>
        </is>
      </c>
      <c r="E1347" t="inlineStr">
        <is>
          <t>pagado</t>
        </is>
      </c>
      <c r="F1347" s="23" t="n">
        <v>46275</v>
      </c>
      <c r="G1347" s="24">
        <f>F1347-DATE(2026,8,31)</f>
        <v>10</v>
      </c>
      <c r="H1347" s="25" t="n">
        <v>110487030</v>
      </c>
      <c r="I1347" t="inlineStr">
        <is>
          <t>entidad-dia</t>
        </is>
      </c>
    </row>
    <row r="1348">
      <c r="A1348" t="inlineStr">
        <is>
          <t>PRAGMA</t>
        </is>
      </c>
      <c r="B1348" t="inlineStr">
        <is>
          <t>M1</t>
        </is>
      </c>
      <c r="C1348" t="inlineStr">
        <is>
          <t>Cali</t>
        </is>
      </c>
      <c r="D1348" t="inlineStr">
        <is>
          <t>2592</t>
        </is>
      </c>
      <c r="E1348" t="inlineStr">
        <is>
          <t>pagado</t>
        </is>
      </c>
      <c r="F1348" s="23" t="n">
        <v>46276</v>
      </c>
      <c r="G1348" s="24">
        <f>F1348-DATE(2026,8,31)</f>
        <v>11</v>
      </c>
      <c r="H1348" s="25" t="n">
        <v>130658515</v>
      </c>
      <c r="I1348" t="inlineStr">
        <is>
          <t>entidad-dia</t>
        </is>
      </c>
    </row>
    <row r="1349">
      <c r="A1349" t="inlineStr">
        <is>
          <t>PRAGMA</t>
        </is>
      </c>
      <c r="B1349" t="inlineStr">
        <is>
          <t>M1</t>
        </is>
      </c>
      <c r="C1349" t="inlineStr">
        <is>
          <t>Cali</t>
        </is>
      </c>
      <c r="D1349" t="inlineStr">
        <is>
          <t>2592</t>
        </is>
      </c>
      <c r="E1349" t="inlineStr">
        <is>
          <t>pagado</t>
        </is>
      </c>
      <c r="F1349" s="23" t="n">
        <v>46277</v>
      </c>
      <c r="G1349" s="24">
        <f>F1349-DATE(2026,8,31)</f>
        <v>12</v>
      </c>
      <c r="H1349" s="25" t="n">
        <v>135433553</v>
      </c>
      <c r="I1349" t="inlineStr">
        <is>
          <t>entidad-dia</t>
        </is>
      </c>
    </row>
    <row r="1350">
      <c r="A1350" t="inlineStr">
        <is>
          <t>PRAGMA</t>
        </is>
      </c>
      <c r="B1350" t="inlineStr">
        <is>
          <t>M1</t>
        </is>
      </c>
      <c r="C1350" t="inlineStr">
        <is>
          <t>Cali</t>
        </is>
      </c>
      <c r="D1350" t="inlineStr">
        <is>
          <t>2592</t>
        </is>
      </c>
      <c r="E1350" t="inlineStr">
        <is>
          <t>pagado</t>
        </is>
      </c>
      <c r="F1350" s="23" t="n">
        <v>46278</v>
      </c>
      <c r="G1350" s="24">
        <f>F1350-DATE(2026,8,31)</f>
        <v>13</v>
      </c>
      <c r="H1350" s="25" t="n">
        <v>91143426</v>
      </c>
      <c r="I1350" t="inlineStr">
        <is>
          <t>entidad-dia</t>
        </is>
      </c>
    </row>
    <row r="1351">
      <c r="A1351" t="inlineStr">
        <is>
          <t>PRAGMA</t>
        </is>
      </c>
      <c r="B1351" t="inlineStr">
        <is>
          <t>M1</t>
        </is>
      </c>
      <c r="C1351" t="inlineStr">
        <is>
          <t>Cali</t>
        </is>
      </c>
      <c r="D1351" t="inlineStr">
        <is>
          <t>2592</t>
        </is>
      </c>
      <c r="E1351" t="inlineStr">
        <is>
          <t>pagado</t>
        </is>
      </c>
      <c r="F1351" s="23" t="n">
        <v>46279</v>
      </c>
      <c r="G1351" s="24">
        <f>F1351-DATE(2026,8,31)</f>
        <v>14</v>
      </c>
      <c r="H1351" s="25" t="n">
        <v>113774464</v>
      </c>
      <c r="I1351" t="inlineStr">
        <is>
          <t>entidad-dia</t>
        </is>
      </c>
    </row>
    <row r="1352">
      <c r="A1352" t="inlineStr">
        <is>
          <t>PRAGMA</t>
        </is>
      </c>
      <c r="B1352" t="inlineStr">
        <is>
          <t>M1</t>
        </is>
      </c>
      <c r="C1352" t="inlineStr">
        <is>
          <t>Cali</t>
        </is>
      </c>
      <c r="D1352" t="inlineStr">
        <is>
          <t>2592</t>
        </is>
      </c>
      <c r="E1352" t="inlineStr">
        <is>
          <t>pagado</t>
        </is>
      </c>
      <c r="F1352" s="23" t="n">
        <v>46280</v>
      </c>
      <c r="G1352" s="24">
        <f>F1352-DATE(2026,8,31)</f>
        <v>15</v>
      </c>
      <c r="H1352" s="25" t="n">
        <v>156022765</v>
      </c>
      <c r="I1352" t="inlineStr">
        <is>
          <t>entidad-dia</t>
        </is>
      </c>
    </row>
    <row r="1353">
      <c r="A1353" t="inlineStr">
        <is>
          <t>PRAGMA</t>
        </is>
      </c>
      <c r="B1353" t="inlineStr">
        <is>
          <t>M1</t>
        </is>
      </c>
      <c r="C1353" t="inlineStr">
        <is>
          <t>Cali</t>
        </is>
      </c>
      <c r="D1353" t="inlineStr">
        <is>
          <t>26</t>
        </is>
      </c>
      <c r="E1353" t="inlineStr">
        <is>
          <t>pagado</t>
        </is>
      </c>
      <c r="F1353" s="23" t="n">
        <v>46266</v>
      </c>
      <c r="G1353" s="24">
        <f>F1353-DATE(2026,8,31)</f>
        <v>1</v>
      </c>
      <c r="H1353" s="25" t="n">
        <v>99747696</v>
      </c>
      <c r="I1353" t="inlineStr">
        <is>
          <t>entidad-dia</t>
        </is>
      </c>
    </row>
    <row r="1354">
      <c r="A1354" t="inlineStr">
        <is>
          <t>PRAGMA</t>
        </is>
      </c>
      <c r="B1354" t="inlineStr">
        <is>
          <t>M1</t>
        </is>
      </c>
      <c r="C1354" t="inlineStr">
        <is>
          <t>Cali</t>
        </is>
      </c>
      <c r="D1354" t="inlineStr">
        <is>
          <t>26</t>
        </is>
      </c>
      <c r="E1354" t="inlineStr">
        <is>
          <t>pagado</t>
        </is>
      </c>
      <c r="F1354" s="23" t="n">
        <v>46267</v>
      </c>
      <c r="G1354" s="24">
        <f>F1354-DATE(2026,8,31)</f>
        <v>2</v>
      </c>
      <c r="H1354" s="25" t="n">
        <v>81576212</v>
      </c>
      <c r="I1354" t="inlineStr">
        <is>
          <t>entidad-dia</t>
        </is>
      </c>
    </row>
    <row r="1355">
      <c r="A1355" t="inlineStr">
        <is>
          <t>PRAGMA</t>
        </is>
      </c>
      <c r="B1355" t="inlineStr">
        <is>
          <t>M1</t>
        </is>
      </c>
      <c r="C1355" t="inlineStr">
        <is>
          <t>Cali</t>
        </is>
      </c>
      <c r="D1355" t="inlineStr">
        <is>
          <t>26</t>
        </is>
      </c>
      <c r="E1355" t="inlineStr">
        <is>
          <t>pagado</t>
        </is>
      </c>
      <c r="F1355" s="23" t="n">
        <v>46268</v>
      </c>
      <c r="G1355" s="24">
        <f>F1355-DATE(2026,8,31)</f>
        <v>3</v>
      </c>
      <c r="H1355" s="25" t="n">
        <v>75223173</v>
      </c>
      <c r="I1355" t="inlineStr">
        <is>
          <t>entidad-dia</t>
        </is>
      </c>
    </row>
    <row r="1356">
      <c r="A1356" t="inlineStr">
        <is>
          <t>PRAGMA</t>
        </is>
      </c>
      <c r="B1356" t="inlineStr">
        <is>
          <t>M1</t>
        </is>
      </c>
      <c r="C1356" t="inlineStr">
        <is>
          <t>Cali</t>
        </is>
      </c>
      <c r="D1356" t="inlineStr">
        <is>
          <t>26</t>
        </is>
      </c>
      <c r="E1356" t="inlineStr">
        <is>
          <t>pagado</t>
        </is>
      </c>
      <c r="F1356" s="23" t="n">
        <v>46269</v>
      </c>
      <c r="G1356" s="24">
        <f>F1356-DATE(2026,8,31)</f>
        <v>4</v>
      </c>
      <c r="H1356" s="25" t="n">
        <v>75032298</v>
      </c>
      <c r="I1356" t="inlineStr">
        <is>
          <t>entidad-dia</t>
        </is>
      </c>
    </row>
    <row r="1357">
      <c r="A1357" t="inlineStr">
        <is>
          <t>PRAGMA</t>
        </is>
      </c>
      <c r="B1357" t="inlineStr">
        <is>
          <t>M1</t>
        </is>
      </c>
      <c r="C1357" t="inlineStr">
        <is>
          <t>Cali</t>
        </is>
      </c>
      <c r="D1357" t="inlineStr">
        <is>
          <t>26</t>
        </is>
      </c>
      <c r="E1357" t="inlineStr">
        <is>
          <t>pagado</t>
        </is>
      </c>
      <c r="F1357" s="23" t="n">
        <v>46270</v>
      </c>
      <c r="G1357" s="24">
        <f>F1357-DATE(2026,8,31)</f>
        <v>5</v>
      </c>
      <c r="H1357" s="25" t="n">
        <v>85864822</v>
      </c>
      <c r="I1357" t="inlineStr">
        <is>
          <t>entidad-dia</t>
        </is>
      </c>
    </row>
    <row r="1358">
      <c r="A1358" t="inlineStr">
        <is>
          <t>PRAGMA</t>
        </is>
      </c>
      <c r="B1358" t="inlineStr">
        <is>
          <t>M1</t>
        </is>
      </c>
      <c r="C1358" t="inlineStr">
        <is>
          <t>Cali</t>
        </is>
      </c>
      <c r="D1358" t="inlineStr">
        <is>
          <t>26</t>
        </is>
      </c>
      <c r="E1358" t="inlineStr">
        <is>
          <t>pagado</t>
        </is>
      </c>
      <c r="F1358" s="23" t="n">
        <v>46271</v>
      </c>
      <c r="G1358" s="24">
        <f>F1358-DATE(2026,8,31)</f>
        <v>6</v>
      </c>
      <c r="H1358" s="25" t="n">
        <v>48764806</v>
      </c>
      <c r="I1358" t="inlineStr">
        <is>
          <t>entidad-dia</t>
        </is>
      </c>
    </row>
    <row r="1359">
      <c r="A1359" t="inlineStr">
        <is>
          <t>PRAGMA</t>
        </is>
      </c>
      <c r="B1359" t="inlineStr">
        <is>
          <t>M1</t>
        </is>
      </c>
      <c r="C1359" t="inlineStr">
        <is>
          <t>Cali</t>
        </is>
      </c>
      <c r="D1359" t="inlineStr">
        <is>
          <t>26</t>
        </is>
      </c>
      <c r="E1359" t="inlineStr">
        <is>
          <t>pagado</t>
        </is>
      </c>
      <c r="F1359" s="23" t="n">
        <v>46272</v>
      </c>
      <c r="G1359" s="24">
        <f>F1359-DATE(2026,8,31)</f>
        <v>7</v>
      </c>
      <c r="H1359" s="25" t="n">
        <v>55948998</v>
      </c>
      <c r="I1359" t="inlineStr">
        <is>
          <t>entidad-dia</t>
        </is>
      </c>
    </row>
    <row r="1360">
      <c r="A1360" t="inlineStr">
        <is>
          <t>PRAGMA</t>
        </is>
      </c>
      <c r="B1360" t="inlineStr">
        <is>
          <t>M1</t>
        </is>
      </c>
      <c r="C1360" t="inlineStr">
        <is>
          <t>Cali</t>
        </is>
      </c>
      <c r="D1360" t="inlineStr">
        <is>
          <t>26</t>
        </is>
      </c>
      <c r="E1360" t="inlineStr">
        <is>
          <t>pagado</t>
        </is>
      </c>
      <c r="F1360" s="23" t="n">
        <v>46273</v>
      </c>
      <c r="G1360" s="24">
        <f>F1360-DATE(2026,8,31)</f>
        <v>8</v>
      </c>
      <c r="H1360" s="25" t="n">
        <v>56307357</v>
      </c>
      <c r="I1360" t="inlineStr">
        <is>
          <t>entidad-dia</t>
        </is>
      </c>
    </row>
    <row r="1361">
      <c r="A1361" t="inlineStr">
        <is>
          <t>PRAGMA</t>
        </is>
      </c>
      <c r="B1361" t="inlineStr">
        <is>
          <t>M1</t>
        </is>
      </c>
      <c r="C1361" t="inlineStr">
        <is>
          <t>Cali</t>
        </is>
      </c>
      <c r="D1361" t="inlineStr">
        <is>
          <t>26</t>
        </is>
      </c>
      <c r="E1361" t="inlineStr">
        <is>
          <t>pagado</t>
        </is>
      </c>
      <c r="F1361" s="23" t="n">
        <v>46274</v>
      </c>
      <c r="G1361" s="24">
        <f>F1361-DATE(2026,8,31)</f>
        <v>9</v>
      </c>
      <c r="H1361" s="25" t="n">
        <v>59005015</v>
      </c>
      <c r="I1361" t="inlineStr">
        <is>
          <t>entidad-dia</t>
        </is>
      </c>
    </row>
    <row r="1362">
      <c r="A1362" t="inlineStr">
        <is>
          <t>PRAGMA</t>
        </is>
      </c>
      <c r="B1362" t="inlineStr">
        <is>
          <t>M1</t>
        </is>
      </c>
      <c r="C1362" t="inlineStr">
        <is>
          <t>Cali</t>
        </is>
      </c>
      <c r="D1362" t="inlineStr">
        <is>
          <t>26</t>
        </is>
      </c>
      <c r="E1362" t="inlineStr">
        <is>
          <t>pagado</t>
        </is>
      </c>
      <c r="F1362" s="23" t="n">
        <v>46275</v>
      </c>
      <c r="G1362" s="24">
        <f>F1362-DATE(2026,8,31)</f>
        <v>10</v>
      </c>
      <c r="H1362" s="25" t="n">
        <v>53718167</v>
      </c>
      <c r="I1362" t="inlineStr">
        <is>
          <t>entidad-dia</t>
        </is>
      </c>
    </row>
    <row r="1363">
      <c r="A1363" t="inlineStr">
        <is>
          <t>PRAGMA</t>
        </is>
      </c>
      <c r="B1363" t="inlineStr">
        <is>
          <t>M1</t>
        </is>
      </c>
      <c r="C1363" t="inlineStr">
        <is>
          <t>Cali</t>
        </is>
      </c>
      <c r="D1363" t="inlineStr">
        <is>
          <t>26</t>
        </is>
      </c>
      <c r="E1363" t="inlineStr">
        <is>
          <t>pagado</t>
        </is>
      </c>
      <c r="F1363" s="23" t="n">
        <v>46276</v>
      </c>
      <c r="G1363" s="24">
        <f>F1363-DATE(2026,8,31)</f>
        <v>11</v>
      </c>
      <c r="H1363" s="25" t="n">
        <v>57803057</v>
      </c>
      <c r="I1363" t="inlineStr">
        <is>
          <t>entidad-dia</t>
        </is>
      </c>
    </row>
    <row r="1364">
      <c r="A1364" t="inlineStr">
        <is>
          <t>PRAGMA</t>
        </is>
      </c>
      <c r="B1364" t="inlineStr">
        <is>
          <t>M1</t>
        </is>
      </c>
      <c r="C1364" t="inlineStr">
        <is>
          <t>Cali</t>
        </is>
      </c>
      <c r="D1364" t="inlineStr">
        <is>
          <t>26</t>
        </is>
      </c>
      <c r="E1364" t="inlineStr">
        <is>
          <t>pagado</t>
        </is>
      </c>
      <c r="F1364" s="23" t="n">
        <v>46277</v>
      </c>
      <c r="G1364" s="24">
        <f>F1364-DATE(2026,8,31)</f>
        <v>12</v>
      </c>
      <c r="H1364" s="25" t="n">
        <v>66056992</v>
      </c>
      <c r="I1364" t="inlineStr">
        <is>
          <t>entidad-dia</t>
        </is>
      </c>
    </row>
    <row r="1365">
      <c r="A1365" t="inlineStr">
        <is>
          <t>PRAGMA</t>
        </is>
      </c>
      <c r="B1365" t="inlineStr">
        <is>
          <t>M1</t>
        </is>
      </c>
      <c r="C1365" t="inlineStr">
        <is>
          <t>Cali</t>
        </is>
      </c>
      <c r="D1365" t="inlineStr">
        <is>
          <t>26</t>
        </is>
      </c>
      <c r="E1365" t="inlineStr">
        <is>
          <t>pagado</t>
        </is>
      </c>
      <c r="F1365" s="23" t="n">
        <v>46278</v>
      </c>
      <c r="G1365" s="24">
        <f>F1365-DATE(2026,8,31)</f>
        <v>13</v>
      </c>
      <c r="H1365" s="25" t="n">
        <v>39262668</v>
      </c>
      <c r="I1365" t="inlineStr">
        <is>
          <t>entidad-dia</t>
        </is>
      </c>
    </row>
    <row r="1366">
      <c r="A1366" t="inlineStr">
        <is>
          <t>PRAGMA</t>
        </is>
      </c>
      <c r="B1366" t="inlineStr">
        <is>
          <t>M1</t>
        </is>
      </c>
      <c r="C1366" t="inlineStr">
        <is>
          <t>Cali</t>
        </is>
      </c>
      <c r="D1366" t="inlineStr">
        <is>
          <t>26</t>
        </is>
      </c>
      <c r="E1366" t="inlineStr">
        <is>
          <t>pagado</t>
        </is>
      </c>
      <c r="F1366" s="23" t="n">
        <v>46279</v>
      </c>
      <c r="G1366" s="24">
        <f>F1366-DATE(2026,8,31)</f>
        <v>14</v>
      </c>
      <c r="H1366" s="25" t="n">
        <v>54504812</v>
      </c>
      <c r="I1366" t="inlineStr">
        <is>
          <t>entidad-dia</t>
        </is>
      </c>
    </row>
    <row r="1367">
      <c r="A1367" t="inlineStr">
        <is>
          <t>PRAGMA</t>
        </is>
      </c>
      <c r="B1367" t="inlineStr">
        <is>
          <t>M1</t>
        </is>
      </c>
      <c r="C1367" t="inlineStr">
        <is>
          <t>Cali</t>
        </is>
      </c>
      <c r="D1367" t="inlineStr">
        <is>
          <t>26</t>
        </is>
      </c>
      <c r="E1367" t="inlineStr">
        <is>
          <t>pagado</t>
        </is>
      </c>
      <c r="F1367" s="23" t="n">
        <v>46280</v>
      </c>
      <c r="G1367" s="24">
        <f>F1367-DATE(2026,8,31)</f>
        <v>15</v>
      </c>
      <c r="H1367" s="25" t="n">
        <v>76699041</v>
      </c>
      <c r="I1367" t="inlineStr">
        <is>
          <t>entidad-dia</t>
        </is>
      </c>
    </row>
    <row r="1368">
      <c r="A1368" t="inlineStr">
        <is>
          <t>PRAGMA</t>
        </is>
      </c>
      <c r="B1368" t="inlineStr">
        <is>
          <t>M1</t>
        </is>
      </c>
      <c r="C1368" t="inlineStr">
        <is>
          <t>Cali</t>
        </is>
      </c>
      <c r="D1368" t="inlineStr">
        <is>
          <t>2635</t>
        </is>
      </c>
      <c r="E1368" t="inlineStr">
        <is>
          <t>pagado</t>
        </is>
      </c>
      <c r="F1368" s="23" t="n">
        <v>46266</v>
      </c>
      <c r="G1368" s="24">
        <f>F1368-DATE(2026,8,31)</f>
        <v>1</v>
      </c>
      <c r="H1368" s="25" t="n">
        <v>191694496</v>
      </c>
      <c r="I1368" t="inlineStr">
        <is>
          <t>entidad-dia</t>
        </is>
      </c>
    </row>
    <row r="1369">
      <c r="A1369" t="inlineStr">
        <is>
          <t>PRAGMA</t>
        </is>
      </c>
      <c r="B1369" t="inlineStr">
        <is>
          <t>M1</t>
        </is>
      </c>
      <c r="C1369" t="inlineStr">
        <is>
          <t>Cali</t>
        </is>
      </c>
      <c r="D1369" t="inlineStr">
        <is>
          <t>2635</t>
        </is>
      </c>
      <c r="E1369" t="inlineStr">
        <is>
          <t>pagado</t>
        </is>
      </c>
      <c r="F1369" s="23" t="n">
        <v>46267</v>
      </c>
      <c r="G1369" s="24">
        <f>F1369-DATE(2026,8,31)</f>
        <v>2</v>
      </c>
      <c r="H1369" s="25" t="n">
        <v>161549625</v>
      </c>
      <c r="I1369" t="inlineStr">
        <is>
          <t>entidad-dia</t>
        </is>
      </c>
    </row>
    <row r="1370">
      <c r="A1370" t="inlineStr">
        <is>
          <t>PRAGMA</t>
        </is>
      </c>
      <c r="B1370" t="inlineStr">
        <is>
          <t>M1</t>
        </is>
      </c>
      <c r="C1370" t="inlineStr">
        <is>
          <t>Cali</t>
        </is>
      </c>
      <c r="D1370" t="inlineStr">
        <is>
          <t>2635</t>
        </is>
      </c>
      <c r="E1370" t="inlineStr">
        <is>
          <t>pagado</t>
        </is>
      </c>
      <c r="F1370" s="23" t="n">
        <v>46268</v>
      </c>
      <c r="G1370" s="24">
        <f>F1370-DATE(2026,8,31)</f>
        <v>3</v>
      </c>
      <c r="H1370" s="25" t="n">
        <v>144104224</v>
      </c>
      <c r="I1370" t="inlineStr">
        <is>
          <t>entidad-dia</t>
        </is>
      </c>
    </row>
    <row r="1371">
      <c r="A1371" t="inlineStr">
        <is>
          <t>PRAGMA</t>
        </is>
      </c>
      <c r="B1371" t="inlineStr">
        <is>
          <t>M1</t>
        </is>
      </c>
      <c r="C1371" t="inlineStr">
        <is>
          <t>Cali</t>
        </is>
      </c>
      <c r="D1371" t="inlineStr">
        <is>
          <t>2635</t>
        </is>
      </c>
      <c r="E1371" t="inlineStr">
        <is>
          <t>pagado</t>
        </is>
      </c>
      <c r="F1371" s="23" t="n">
        <v>46269</v>
      </c>
      <c r="G1371" s="24">
        <f>F1371-DATE(2026,8,31)</f>
        <v>4</v>
      </c>
      <c r="H1371" s="25" t="n">
        <v>147476897</v>
      </c>
      <c r="I1371" t="inlineStr">
        <is>
          <t>entidad-dia</t>
        </is>
      </c>
    </row>
    <row r="1372">
      <c r="A1372" t="inlineStr">
        <is>
          <t>PRAGMA</t>
        </is>
      </c>
      <c r="B1372" t="inlineStr">
        <is>
          <t>M1</t>
        </is>
      </c>
      <c r="C1372" t="inlineStr">
        <is>
          <t>Cali</t>
        </is>
      </c>
      <c r="D1372" t="inlineStr">
        <is>
          <t>2635</t>
        </is>
      </c>
      <c r="E1372" t="inlineStr">
        <is>
          <t>pagado</t>
        </is>
      </c>
      <c r="F1372" s="23" t="n">
        <v>46270</v>
      </c>
      <c r="G1372" s="24">
        <f>F1372-DATE(2026,8,31)</f>
        <v>5</v>
      </c>
      <c r="H1372" s="25" t="n">
        <v>163834821</v>
      </c>
      <c r="I1372" t="inlineStr">
        <is>
          <t>entidad-dia</t>
        </is>
      </c>
    </row>
    <row r="1373">
      <c r="A1373" t="inlineStr">
        <is>
          <t>PRAGMA</t>
        </is>
      </c>
      <c r="B1373" t="inlineStr">
        <is>
          <t>M1</t>
        </is>
      </c>
      <c r="C1373" t="inlineStr">
        <is>
          <t>Cali</t>
        </is>
      </c>
      <c r="D1373" t="inlineStr">
        <is>
          <t>2635</t>
        </is>
      </c>
      <c r="E1373" t="inlineStr">
        <is>
          <t>pagado</t>
        </is>
      </c>
      <c r="F1373" s="23" t="n">
        <v>46271</v>
      </c>
      <c r="G1373" s="24">
        <f>F1373-DATE(2026,8,31)</f>
        <v>6</v>
      </c>
      <c r="H1373" s="25" t="n">
        <v>109664835</v>
      </c>
      <c r="I1373" t="inlineStr">
        <is>
          <t>entidad-dia</t>
        </is>
      </c>
    </row>
    <row r="1374">
      <c r="A1374" t="inlineStr">
        <is>
          <t>PRAGMA</t>
        </is>
      </c>
      <c r="B1374" t="inlineStr">
        <is>
          <t>M1</t>
        </is>
      </c>
      <c r="C1374" t="inlineStr">
        <is>
          <t>Cali</t>
        </is>
      </c>
      <c r="D1374" t="inlineStr">
        <is>
          <t>2635</t>
        </is>
      </c>
      <c r="E1374" t="inlineStr">
        <is>
          <t>pagado</t>
        </is>
      </c>
      <c r="F1374" s="23" t="n">
        <v>46272</v>
      </c>
      <c r="G1374" s="24">
        <f>F1374-DATE(2026,8,31)</f>
        <v>7</v>
      </c>
      <c r="H1374" s="25" t="n">
        <v>103043693</v>
      </c>
      <c r="I1374" t="inlineStr">
        <is>
          <t>entidad-dia</t>
        </is>
      </c>
    </row>
    <row r="1375">
      <c r="A1375" t="inlineStr">
        <is>
          <t>PRAGMA</t>
        </is>
      </c>
      <c r="B1375" t="inlineStr">
        <is>
          <t>M1</t>
        </is>
      </c>
      <c r="C1375" t="inlineStr">
        <is>
          <t>Cali</t>
        </is>
      </c>
      <c r="D1375" t="inlineStr">
        <is>
          <t>2635</t>
        </is>
      </c>
      <c r="E1375" t="inlineStr">
        <is>
          <t>pagado</t>
        </is>
      </c>
      <c r="F1375" s="23" t="n">
        <v>46273</v>
      </c>
      <c r="G1375" s="24">
        <f>F1375-DATE(2026,8,31)</f>
        <v>8</v>
      </c>
      <c r="H1375" s="25" t="n">
        <v>118066671</v>
      </c>
      <c r="I1375" t="inlineStr">
        <is>
          <t>entidad-dia</t>
        </is>
      </c>
    </row>
    <row r="1376">
      <c r="A1376" t="inlineStr">
        <is>
          <t>PRAGMA</t>
        </is>
      </c>
      <c r="B1376" t="inlineStr">
        <is>
          <t>M1</t>
        </is>
      </c>
      <c r="C1376" t="inlineStr">
        <is>
          <t>Cali</t>
        </is>
      </c>
      <c r="D1376" t="inlineStr">
        <is>
          <t>2635</t>
        </is>
      </c>
      <c r="E1376" t="inlineStr">
        <is>
          <t>pagado</t>
        </is>
      </c>
      <c r="F1376" s="23" t="n">
        <v>46274</v>
      </c>
      <c r="G1376" s="24">
        <f>F1376-DATE(2026,8,31)</f>
        <v>9</v>
      </c>
      <c r="H1376" s="25" t="n">
        <v>110222235</v>
      </c>
      <c r="I1376" t="inlineStr">
        <is>
          <t>entidad-dia</t>
        </is>
      </c>
    </row>
    <row r="1377">
      <c r="A1377" t="inlineStr">
        <is>
          <t>PRAGMA</t>
        </is>
      </c>
      <c r="B1377" t="inlineStr">
        <is>
          <t>M1</t>
        </is>
      </c>
      <c r="C1377" t="inlineStr">
        <is>
          <t>Cali</t>
        </is>
      </c>
      <c r="D1377" t="inlineStr">
        <is>
          <t>2635</t>
        </is>
      </c>
      <c r="E1377" t="inlineStr">
        <is>
          <t>pagado</t>
        </is>
      </c>
      <c r="F1377" s="23" t="n">
        <v>46275</v>
      </c>
      <c r="G1377" s="24">
        <f>F1377-DATE(2026,8,31)</f>
        <v>10</v>
      </c>
      <c r="H1377" s="25" t="n">
        <v>99761390</v>
      </c>
      <c r="I1377" t="inlineStr">
        <is>
          <t>entidad-dia</t>
        </is>
      </c>
    </row>
    <row r="1378">
      <c r="A1378" t="inlineStr">
        <is>
          <t>PRAGMA</t>
        </is>
      </c>
      <c r="B1378" t="inlineStr">
        <is>
          <t>M1</t>
        </is>
      </c>
      <c r="C1378" t="inlineStr">
        <is>
          <t>Cali</t>
        </is>
      </c>
      <c r="D1378" t="inlineStr">
        <is>
          <t>2635</t>
        </is>
      </c>
      <c r="E1378" t="inlineStr">
        <is>
          <t>pagado</t>
        </is>
      </c>
      <c r="F1378" s="23" t="n">
        <v>46276</v>
      </c>
      <c r="G1378" s="24">
        <f>F1378-DATE(2026,8,31)</f>
        <v>11</v>
      </c>
      <c r="H1378" s="25" t="n">
        <v>114974878</v>
      </c>
      <c r="I1378" t="inlineStr">
        <is>
          <t>entidad-dia</t>
        </is>
      </c>
    </row>
    <row r="1379">
      <c r="A1379" t="inlineStr">
        <is>
          <t>PRAGMA</t>
        </is>
      </c>
      <c r="B1379" t="inlineStr">
        <is>
          <t>M1</t>
        </is>
      </c>
      <c r="C1379" t="inlineStr">
        <is>
          <t>Cali</t>
        </is>
      </c>
      <c r="D1379" t="inlineStr">
        <is>
          <t>2635</t>
        </is>
      </c>
      <c r="E1379" t="inlineStr">
        <is>
          <t>pagado</t>
        </is>
      </c>
      <c r="F1379" s="23" t="n">
        <v>46277</v>
      </c>
      <c r="G1379" s="24">
        <f>F1379-DATE(2026,8,31)</f>
        <v>12</v>
      </c>
      <c r="H1379" s="25" t="n">
        <v>128712632</v>
      </c>
      <c r="I1379" t="inlineStr">
        <is>
          <t>entidad-dia</t>
        </is>
      </c>
    </row>
    <row r="1380">
      <c r="A1380" t="inlineStr">
        <is>
          <t>PRAGMA</t>
        </is>
      </c>
      <c r="B1380" t="inlineStr">
        <is>
          <t>M1</t>
        </is>
      </c>
      <c r="C1380" t="inlineStr">
        <is>
          <t>Cali</t>
        </is>
      </c>
      <c r="D1380" t="inlineStr">
        <is>
          <t>2635</t>
        </is>
      </c>
      <c r="E1380" t="inlineStr">
        <is>
          <t>pagado</t>
        </is>
      </c>
      <c r="F1380" s="23" t="n">
        <v>46278</v>
      </c>
      <c r="G1380" s="24">
        <f>F1380-DATE(2026,8,31)</f>
        <v>13</v>
      </c>
      <c r="H1380" s="25" t="n">
        <v>84038478</v>
      </c>
      <c r="I1380" t="inlineStr">
        <is>
          <t>entidad-dia</t>
        </is>
      </c>
    </row>
    <row r="1381">
      <c r="A1381" t="inlineStr">
        <is>
          <t>PRAGMA</t>
        </is>
      </c>
      <c r="B1381" t="inlineStr">
        <is>
          <t>M1</t>
        </is>
      </c>
      <c r="C1381" t="inlineStr">
        <is>
          <t>Cali</t>
        </is>
      </c>
      <c r="D1381" t="inlineStr">
        <is>
          <t>2635</t>
        </is>
      </c>
      <c r="E1381" t="inlineStr">
        <is>
          <t>pagado</t>
        </is>
      </c>
      <c r="F1381" s="23" t="n">
        <v>46279</v>
      </c>
      <c r="G1381" s="24">
        <f>F1381-DATE(2026,8,31)</f>
        <v>14</v>
      </c>
      <c r="H1381" s="25" t="n">
        <v>105075772</v>
      </c>
      <c r="I1381" t="inlineStr">
        <is>
          <t>entidad-dia</t>
        </is>
      </c>
    </row>
    <row r="1382">
      <c r="A1382" t="inlineStr">
        <is>
          <t>PRAGMA</t>
        </is>
      </c>
      <c r="B1382" t="inlineStr">
        <is>
          <t>M1</t>
        </is>
      </c>
      <c r="C1382" t="inlineStr">
        <is>
          <t>Cali</t>
        </is>
      </c>
      <c r="D1382" t="inlineStr">
        <is>
          <t>2635</t>
        </is>
      </c>
      <c r="E1382" t="inlineStr">
        <is>
          <t>pagado</t>
        </is>
      </c>
      <c r="F1382" s="23" t="n">
        <v>46280</v>
      </c>
      <c r="G1382" s="24">
        <f>F1382-DATE(2026,8,31)</f>
        <v>15</v>
      </c>
      <c r="H1382" s="25" t="n">
        <v>153220843</v>
      </c>
      <c r="I1382" t="inlineStr">
        <is>
          <t>entidad-dia</t>
        </is>
      </c>
    </row>
    <row r="1383">
      <c r="A1383" t="inlineStr">
        <is>
          <t>PRAGMA</t>
        </is>
      </c>
      <c r="B1383" t="inlineStr">
        <is>
          <t>M1</t>
        </is>
      </c>
      <c r="C1383" t="inlineStr">
        <is>
          <t>Cali</t>
        </is>
      </c>
      <c r="D1383" t="inlineStr">
        <is>
          <t>2687</t>
        </is>
      </c>
      <c r="E1383" t="inlineStr">
        <is>
          <t>pagado</t>
        </is>
      </c>
      <c r="F1383" s="23" t="n">
        <v>46266</v>
      </c>
      <c r="G1383" s="24">
        <f>F1383-DATE(2026,8,31)</f>
        <v>1</v>
      </c>
      <c r="H1383" s="25" t="n">
        <v>58225631</v>
      </c>
      <c r="I1383" t="inlineStr">
        <is>
          <t>entidad-dia</t>
        </is>
      </c>
    </row>
    <row r="1384">
      <c r="A1384" t="inlineStr">
        <is>
          <t>PRAGMA</t>
        </is>
      </c>
      <c r="B1384" t="inlineStr">
        <is>
          <t>M1</t>
        </is>
      </c>
      <c r="C1384" t="inlineStr">
        <is>
          <t>Cali</t>
        </is>
      </c>
      <c r="D1384" t="inlineStr">
        <is>
          <t>2687</t>
        </is>
      </c>
      <c r="E1384" t="inlineStr">
        <is>
          <t>pagado</t>
        </is>
      </c>
      <c r="F1384" s="23" t="n">
        <v>46267</v>
      </c>
      <c r="G1384" s="24">
        <f>F1384-DATE(2026,8,31)</f>
        <v>2</v>
      </c>
      <c r="H1384" s="25" t="n">
        <v>42314121</v>
      </c>
      <c r="I1384" t="inlineStr">
        <is>
          <t>entidad-dia</t>
        </is>
      </c>
    </row>
    <row r="1385">
      <c r="A1385" t="inlineStr">
        <is>
          <t>PRAGMA</t>
        </is>
      </c>
      <c r="B1385" t="inlineStr">
        <is>
          <t>M1</t>
        </is>
      </c>
      <c r="C1385" t="inlineStr">
        <is>
          <t>Cali</t>
        </is>
      </c>
      <c r="D1385" t="inlineStr">
        <is>
          <t>2687</t>
        </is>
      </c>
      <c r="E1385" t="inlineStr">
        <is>
          <t>pagado</t>
        </is>
      </c>
      <c r="F1385" s="23" t="n">
        <v>46268</v>
      </c>
      <c r="G1385" s="24">
        <f>F1385-DATE(2026,8,31)</f>
        <v>3</v>
      </c>
      <c r="H1385" s="25" t="n">
        <v>37218121</v>
      </c>
      <c r="I1385" t="inlineStr">
        <is>
          <t>entidad-dia</t>
        </is>
      </c>
    </row>
    <row r="1386">
      <c r="A1386" t="inlineStr">
        <is>
          <t>PRAGMA</t>
        </is>
      </c>
      <c r="B1386" t="inlineStr">
        <is>
          <t>M1</t>
        </is>
      </c>
      <c r="C1386" t="inlineStr">
        <is>
          <t>Cali</t>
        </is>
      </c>
      <c r="D1386" t="inlineStr">
        <is>
          <t>2687</t>
        </is>
      </c>
      <c r="E1386" t="inlineStr">
        <is>
          <t>pagado</t>
        </is>
      </c>
      <c r="F1386" s="23" t="n">
        <v>46269</v>
      </c>
      <c r="G1386" s="24">
        <f>F1386-DATE(2026,8,31)</f>
        <v>4</v>
      </c>
      <c r="H1386" s="25" t="n">
        <v>37281544</v>
      </c>
      <c r="I1386" t="inlineStr">
        <is>
          <t>entidad-dia</t>
        </is>
      </c>
    </row>
    <row r="1387">
      <c r="A1387" t="inlineStr">
        <is>
          <t>PRAGMA</t>
        </is>
      </c>
      <c r="B1387" t="inlineStr">
        <is>
          <t>M1</t>
        </is>
      </c>
      <c r="C1387" t="inlineStr">
        <is>
          <t>Cali</t>
        </is>
      </c>
      <c r="D1387" t="inlineStr">
        <is>
          <t>2687</t>
        </is>
      </c>
      <c r="E1387" t="inlineStr">
        <is>
          <t>pagado</t>
        </is>
      </c>
      <c r="F1387" s="23" t="n">
        <v>46270</v>
      </c>
      <c r="G1387" s="24">
        <f>F1387-DATE(2026,8,31)</f>
        <v>5</v>
      </c>
      <c r="H1387" s="25" t="n">
        <v>20638349</v>
      </c>
      <c r="I1387" t="inlineStr">
        <is>
          <t>entidad-dia</t>
        </is>
      </c>
    </row>
    <row r="1388">
      <c r="A1388" t="inlineStr">
        <is>
          <t>PRAGMA</t>
        </is>
      </c>
      <c r="B1388" t="inlineStr">
        <is>
          <t>M1</t>
        </is>
      </c>
      <c r="C1388" t="inlineStr">
        <is>
          <t>Cali</t>
        </is>
      </c>
      <c r="D1388" t="inlineStr">
        <is>
          <t>2687</t>
        </is>
      </c>
      <c r="E1388" t="inlineStr">
        <is>
          <t>pagado</t>
        </is>
      </c>
      <c r="F1388" s="23" t="n">
        <v>46271</v>
      </c>
      <c r="G1388" s="24">
        <f>F1388-DATE(2026,8,31)</f>
        <v>6</v>
      </c>
      <c r="H1388" s="25" t="n">
        <v>5859802</v>
      </c>
      <c r="I1388" t="inlineStr">
        <is>
          <t>entidad-dia</t>
        </is>
      </c>
    </row>
    <row r="1389">
      <c r="A1389" t="inlineStr">
        <is>
          <t>PRAGMA</t>
        </is>
      </c>
      <c r="B1389" t="inlineStr">
        <is>
          <t>M1</t>
        </is>
      </c>
      <c r="C1389" t="inlineStr">
        <is>
          <t>Cali</t>
        </is>
      </c>
      <c r="D1389" t="inlineStr">
        <is>
          <t>2687</t>
        </is>
      </c>
      <c r="E1389" t="inlineStr">
        <is>
          <t>pagado</t>
        </is>
      </c>
      <c r="F1389" s="23" t="n">
        <v>46272</v>
      </c>
      <c r="G1389" s="24">
        <f>F1389-DATE(2026,8,31)</f>
        <v>7</v>
      </c>
      <c r="H1389" s="25" t="n">
        <v>23850797</v>
      </c>
      <c r="I1389" t="inlineStr">
        <is>
          <t>entidad-dia</t>
        </is>
      </c>
    </row>
    <row r="1390">
      <c r="A1390" t="inlineStr">
        <is>
          <t>PRAGMA</t>
        </is>
      </c>
      <c r="B1390" t="inlineStr">
        <is>
          <t>M1</t>
        </is>
      </c>
      <c r="C1390" t="inlineStr">
        <is>
          <t>Cali</t>
        </is>
      </c>
      <c r="D1390" t="inlineStr">
        <is>
          <t>2687</t>
        </is>
      </c>
      <c r="E1390" t="inlineStr">
        <is>
          <t>pagado</t>
        </is>
      </c>
      <c r="F1390" s="23" t="n">
        <v>46273</v>
      </c>
      <c r="G1390" s="24">
        <f>F1390-DATE(2026,8,31)</f>
        <v>8</v>
      </c>
      <c r="H1390" s="25" t="n">
        <v>25177731</v>
      </c>
      <c r="I1390" t="inlineStr">
        <is>
          <t>entidad-dia</t>
        </is>
      </c>
    </row>
    <row r="1391">
      <c r="A1391" t="inlineStr">
        <is>
          <t>PRAGMA</t>
        </is>
      </c>
      <c r="B1391" t="inlineStr">
        <is>
          <t>M1</t>
        </is>
      </c>
      <c r="C1391" t="inlineStr">
        <is>
          <t>Cali</t>
        </is>
      </c>
      <c r="D1391" t="inlineStr">
        <is>
          <t>2687</t>
        </is>
      </c>
      <c r="E1391" t="inlineStr">
        <is>
          <t>pagado</t>
        </is>
      </c>
      <c r="F1391" s="23" t="n">
        <v>46274</v>
      </c>
      <c r="G1391" s="24">
        <f>F1391-DATE(2026,8,31)</f>
        <v>9</v>
      </c>
      <c r="H1391" s="25" t="n">
        <v>26309498</v>
      </c>
      <c r="I1391" t="inlineStr">
        <is>
          <t>entidad-dia</t>
        </is>
      </c>
    </row>
    <row r="1392">
      <c r="A1392" t="inlineStr">
        <is>
          <t>PRAGMA</t>
        </is>
      </c>
      <c r="B1392" t="inlineStr">
        <is>
          <t>M1</t>
        </is>
      </c>
      <c r="C1392" t="inlineStr">
        <is>
          <t>Cali</t>
        </is>
      </c>
      <c r="D1392" t="inlineStr">
        <is>
          <t>2687</t>
        </is>
      </c>
      <c r="E1392" t="inlineStr">
        <is>
          <t>pagado</t>
        </is>
      </c>
      <c r="F1392" s="23" t="n">
        <v>46275</v>
      </c>
      <c r="G1392" s="24">
        <f>F1392-DATE(2026,8,31)</f>
        <v>10</v>
      </c>
      <c r="H1392" s="25" t="n">
        <v>31500531</v>
      </c>
      <c r="I1392" t="inlineStr">
        <is>
          <t>entidad-dia</t>
        </is>
      </c>
    </row>
    <row r="1393">
      <c r="A1393" t="inlineStr">
        <is>
          <t>PRAGMA</t>
        </is>
      </c>
      <c r="B1393" t="inlineStr">
        <is>
          <t>M1</t>
        </is>
      </c>
      <c r="C1393" t="inlineStr">
        <is>
          <t>Cali</t>
        </is>
      </c>
      <c r="D1393" t="inlineStr">
        <is>
          <t>2687</t>
        </is>
      </c>
      <c r="E1393" t="inlineStr">
        <is>
          <t>pagado</t>
        </is>
      </c>
      <c r="F1393" s="23" t="n">
        <v>46276</v>
      </c>
      <c r="G1393" s="24">
        <f>F1393-DATE(2026,8,31)</f>
        <v>11</v>
      </c>
      <c r="H1393" s="25" t="n">
        <v>49411004</v>
      </c>
      <c r="I1393" t="inlineStr">
        <is>
          <t>entidad-dia</t>
        </is>
      </c>
    </row>
    <row r="1394">
      <c r="A1394" t="inlineStr">
        <is>
          <t>PRAGMA</t>
        </is>
      </c>
      <c r="B1394" t="inlineStr">
        <is>
          <t>M1</t>
        </is>
      </c>
      <c r="C1394" t="inlineStr">
        <is>
          <t>Cali</t>
        </is>
      </c>
      <c r="D1394" t="inlineStr">
        <is>
          <t>2687</t>
        </is>
      </c>
      <c r="E1394" t="inlineStr">
        <is>
          <t>pagado</t>
        </is>
      </c>
      <c r="F1394" s="23" t="n">
        <v>46277</v>
      </c>
      <c r="G1394" s="24">
        <f>F1394-DATE(2026,8,31)</f>
        <v>12</v>
      </c>
      <c r="H1394" s="25" t="n">
        <v>33205643</v>
      </c>
      <c r="I1394" t="inlineStr">
        <is>
          <t>entidad-dia</t>
        </is>
      </c>
    </row>
    <row r="1395">
      <c r="A1395" t="inlineStr">
        <is>
          <t>PRAGMA</t>
        </is>
      </c>
      <c r="B1395" t="inlineStr">
        <is>
          <t>M1</t>
        </is>
      </c>
      <c r="C1395" t="inlineStr">
        <is>
          <t>Cali</t>
        </is>
      </c>
      <c r="D1395" t="inlineStr">
        <is>
          <t>2687</t>
        </is>
      </c>
      <c r="E1395" t="inlineStr">
        <is>
          <t>pagado</t>
        </is>
      </c>
      <c r="F1395" s="23" t="n">
        <v>46278</v>
      </c>
      <c r="G1395" s="24">
        <f>F1395-DATE(2026,8,31)</f>
        <v>13</v>
      </c>
      <c r="H1395" s="25" t="n">
        <v>8763096</v>
      </c>
      <c r="I1395" t="inlineStr">
        <is>
          <t>entidad-dia</t>
        </is>
      </c>
    </row>
    <row r="1396">
      <c r="A1396" t="inlineStr">
        <is>
          <t>PRAGMA</t>
        </is>
      </c>
      <c r="B1396" t="inlineStr">
        <is>
          <t>M1</t>
        </is>
      </c>
      <c r="C1396" t="inlineStr">
        <is>
          <t>Cali</t>
        </is>
      </c>
      <c r="D1396" t="inlineStr">
        <is>
          <t>2687</t>
        </is>
      </c>
      <c r="E1396" t="inlineStr">
        <is>
          <t>pagado</t>
        </is>
      </c>
      <c r="F1396" s="23" t="n">
        <v>46279</v>
      </c>
      <c r="G1396" s="24">
        <f>F1396-DATE(2026,8,31)</f>
        <v>14</v>
      </c>
      <c r="H1396" s="25" t="n">
        <v>49950671</v>
      </c>
      <c r="I1396" t="inlineStr">
        <is>
          <t>entidad-dia</t>
        </is>
      </c>
    </row>
    <row r="1397">
      <c r="A1397" t="inlineStr">
        <is>
          <t>PRAGMA</t>
        </is>
      </c>
      <c r="B1397" t="inlineStr">
        <is>
          <t>M1</t>
        </is>
      </c>
      <c r="C1397" t="inlineStr">
        <is>
          <t>Cali</t>
        </is>
      </c>
      <c r="D1397" t="inlineStr">
        <is>
          <t>2687</t>
        </is>
      </c>
      <c r="E1397" t="inlineStr">
        <is>
          <t>pagado</t>
        </is>
      </c>
      <c r="F1397" s="23" t="n">
        <v>46280</v>
      </c>
      <c r="G1397" s="24">
        <f>F1397-DATE(2026,8,31)</f>
        <v>15</v>
      </c>
      <c r="H1397" s="25" t="n">
        <v>68412622</v>
      </c>
      <c r="I1397" t="inlineStr">
        <is>
          <t>entidad-dia</t>
        </is>
      </c>
    </row>
    <row r="1398">
      <c r="A1398" t="inlineStr">
        <is>
          <t>PRAGMA</t>
        </is>
      </c>
      <c r="B1398" t="inlineStr">
        <is>
          <t>M1</t>
        </is>
      </c>
      <c r="C1398" t="inlineStr">
        <is>
          <t>Pasto</t>
        </is>
      </c>
      <c r="D1398" t="inlineStr">
        <is>
          <t>2691</t>
        </is>
      </c>
      <c r="E1398" t="inlineStr">
        <is>
          <t>pagado</t>
        </is>
      </c>
      <c r="F1398" s="23" t="n">
        <v>46266</v>
      </c>
      <c r="G1398" s="24">
        <f>F1398-DATE(2026,8,31)</f>
        <v>1</v>
      </c>
      <c r="H1398" s="25" t="n">
        <v>142948112</v>
      </c>
      <c r="I1398" t="inlineStr">
        <is>
          <t>entidad-dia</t>
        </is>
      </c>
    </row>
    <row r="1399">
      <c r="A1399" t="inlineStr">
        <is>
          <t>PRAGMA</t>
        </is>
      </c>
      <c r="B1399" t="inlineStr">
        <is>
          <t>M1</t>
        </is>
      </c>
      <c r="C1399" t="inlineStr">
        <is>
          <t>Pasto</t>
        </is>
      </c>
      <c r="D1399" t="inlineStr">
        <is>
          <t>2691</t>
        </is>
      </c>
      <c r="E1399" t="inlineStr">
        <is>
          <t>pagado</t>
        </is>
      </c>
      <c r="F1399" s="23" t="n">
        <v>46267</v>
      </c>
      <c r="G1399" s="24">
        <f>F1399-DATE(2026,8,31)</f>
        <v>2</v>
      </c>
      <c r="H1399" s="25" t="n">
        <v>107658281</v>
      </c>
      <c r="I1399" t="inlineStr">
        <is>
          <t>entidad-dia</t>
        </is>
      </c>
    </row>
    <row r="1400">
      <c r="A1400" t="inlineStr">
        <is>
          <t>PRAGMA</t>
        </is>
      </c>
      <c r="B1400" t="inlineStr">
        <is>
          <t>M1</t>
        </is>
      </c>
      <c r="C1400" t="inlineStr">
        <is>
          <t>Pasto</t>
        </is>
      </c>
      <c r="D1400" t="inlineStr">
        <is>
          <t>2691</t>
        </is>
      </c>
      <c r="E1400" t="inlineStr">
        <is>
          <t>pagado</t>
        </is>
      </c>
      <c r="F1400" s="23" t="n">
        <v>46268</v>
      </c>
      <c r="G1400" s="24">
        <f>F1400-DATE(2026,8,31)</f>
        <v>3</v>
      </c>
      <c r="H1400" s="25" t="n">
        <v>98977127</v>
      </c>
      <c r="I1400" t="inlineStr">
        <is>
          <t>entidad-dia</t>
        </is>
      </c>
    </row>
    <row r="1401">
      <c r="A1401" t="inlineStr">
        <is>
          <t>PRAGMA</t>
        </is>
      </c>
      <c r="B1401" t="inlineStr">
        <is>
          <t>M1</t>
        </is>
      </c>
      <c r="C1401" t="inlineStr">
        <is>
          <t>Pasto</t>
        </is>
      </c>
      <c r="D1401" t="inlineStr">
        <is>
          <t>2691</t>
        </is>
      </c>
      <c r="E1401" t="inlineStr">
        <is>
          <t>pagado</t>
        </is>
      </c>
      <c r="F1401" s="23" t="n">
        <v>46269</v>
      </c>
      <c r="G1401" s="24">
        <f>F1401-DATE(2026,8,31)</f>
        <v>4</v>
      </c>
      <c r="H1401" s="25" t="n">
        <v>105589793</v>
      </c>
      <c r="I1401" t="inlineStr">
        <is>
          <t>entidad-dia</t>
        </is>
      </c>
    </row>
    <row r="1402">
      <c r="A1402" t="inlineStr">
        <is>
          <t>PRAGMA</t>
        </is>
      </c>
      <c r="B1402" t="inlineStr">
        <is>
          <t>M1</t>
        </is>
      </c>
      <c r="C1402" t="inlineStr">
        <is>
          <t>Pasto</t>
        </is>
      </c>
      <c r="D1402" t="inlineStr">
        <is>
          <t>2691</t>
        </is>
      </c>
      <c r="E1402" t="inlineStr">
        <is>
          <t>pagado</t>
        </is>
      </c>
      <c r="F1402" s="23" t="n">
        <v>46270</v>
      </c>
      <c r="G1402" s="24">
        <f>F1402-DATE(2026,8,31)</f>
        <v>5</v>
      </c>
      <c r="H1402" s="25" t="n">
        <v>112279384</v>
      </c>
      <c r="I1402" t="inlineStr">
        <is>
          <t>entidad-dia</t>
        </is>
      </c>
    </row>
    <row r="1403">
      <c r="A1403" t="inlineStr">
        <is>
          <t>PRAGMA</t>
        </is>
      </c>
      <c r="B1403" t="inlineStr">
        <is>
          <t>M1</t>
        </is>
      </c>
      <c r="C1403" t="inlineStr">
        <is>
          <t>Pasto</t>
        </is>
      </c>
      <c r="D1403" t="inlineStr">
        <is>
          <t>2691</t>
        </is>
      </c>
      <c r="E1403" t="inlineStr">
        <is>
          <t>pagado</t>
        </is>
      </c>
      <c r="F1403" s="23" t="n">
        <v>46271</v>
      </c>
      <c r="G1403" s="24">
        <f>F1403-DATE(2026,8,31)</f>
        <v>6</v>
      </c>
      <c r="H1403" s="25" t="n">
        <v>76016658</v>
      </c>
      <c r="I1403" t="inlineStr">
        <is>
          <t>entidad-dia</t>
        </is>
      </c>
    </row>
    <row r="1404">
      <c r="A1404" t="inlineStr">
        <is>
          <t>PRAGMA</t>
        </is>
      </c>
      <c r="B1404" t="inlineStr">
        <is>
          <t>M1</t>
        </is>
      </c>
      <c r="C1404" t="inlineStr">
        <is>
          <t>Pasto</t>
        </is>
      </c>
      <c r="D1404" t="inlineStr">
        <is>
          <t>2691</t>
        </is>
      </c>
      <c r="E1404" t="inlineStr">
        <is>
          <t>pagado</t>
        </is>
      </c>
      <c r="F1404" s="23" t="n">
        <v>46272</v>
      </c>
      <c r="G1404" s="24">
        <f>F1404-DATE(2026,8,31)</f>
        <v>7</v>
      </c>
      <c r="H1404" s="25" t="n">
        <v>85549148</v>
      </c>
      <c r="I1404" t="inlineStr">
        <is>
          <t>entidad-dia</t>
        </is>
      </c>
    </row>
    <row r="1405">
      <c r="A1405" t="inlineStr">
        <is>
          <t>PRAGMA</t>
        </is>
      </c>
      <c r="B1405" t="inlineStr">
        <is>
          <t>M1</t>
        </is>
      </c>
      <c r="C1405" t="inlineStr">
        <is>
          <t>Pasto</t>
        </is>
      </c>
      <c r="D1405" t="inlineStr">
        <is>
          <t>2691</t>
        </is>
      </c>
      <c r="E1405" t="inlineStr">
        <is>
          <t>pagado</t>
        </is>
      </c>
      <c r="F1405" s="23" t="n">
        <v>46273</v>
      </c>
      <c r="G1405" s="24">
        <f>F1405-DATE(2026,8,31)</f>
        <v>8</v>
      </c>
      <c r="H1405" s="25" t="n">
        <v>77820633</v>
      </c>
      <c r="I1405" t="inlineStr">
        <is>
          <t>entidad-dia</t>
        </is>
      </c>
    </row>
    <row r="1406">
      <c r="A1406" t="inlineStr">
        <is>
          <t>PRAGMA</t>
        </is>
      </c>
      <c r="B1406" t="inlineStr">
        <is>
          <t>M1</t>
        </is>
      </c>
      <c r="C1406" t="inlineStr">
        <is>
          <t>Pasto</t>
        </is>
      </c>
      <c r="D1406" t="inlineStr">
        <is>
          <t>2691</t>
        </is>
      </c>
      <c r="E1406" t="inlineStr">
        <is>
          <t>pagado</t>
        </is>
      </c>
      <c r="F1406" s="23" t="n">
        <v>46274</v>
      </c>
      <c r="G1406" s="24">
        <f>F1406-DATE(2026,8,31)</f>
        <v>9</v>
      </c>
      <c r="H1406" s="25" t="n">
        <v>77109534</v>
      </c>
      <c r="I1406" t="inlineStr">
        <is>
          <t>entidad-dia</t>
        </is>
      </c>
    </row>
    <row r="1407">
      <c r="A1407" t="inlineStr">
        <is>
          <t>PRAGMA</t>
        </is>
      </c>
      <c r="B1407" t="inlineStr">
        <is>
          <t>M1</t>
        </is>
      </c>
      <c r="C1407" t="inlineStr">
        <is>
          <t>Pasto</t>
        </is>
      </c>
      <c r="D1407" t="inlineStr">
        <is>
          <t>2691</t>
        </is>
      </c>
      <c r="E1407" t="inlineStr">
        <is>
          <t>pagado</t>
        </is>
      </c>
      <c r="F1407" s="23" t="n">
        <v>46275</v>
      </c>
      <c r="G1407" s="24">
        <f>F1407-DATE(2026,8,31)</f>
        <v>10</v>
      </c>
      <c r="H1407" s="25" t="n">
        <v>71504351</v>
      </c>
      <c r="I1407" t="inlineStr">
        <is>
          <t>entidad-dia</t>
        </is>
      </c>
    </row>
    <row r="1408">
      <c r="A1408" t="inlineStr">
        <is>
          <t>PRAGMA</t>
        </is>
      </c>
      <c r="B1408" t="inlineStr">
        <is>
          <t>M1</t>
        </is>
      </c>
      <c r="C1408" t="inlineStr">
        <is>
          <t>Pasto</t>
        </is>
      </c>
      <c r="D1408" t="inlineStr">
        <is>
          <t>2691</t>
        </is>
      </c>
      <c r="E1408" t="inlineStr">
        <is>
          <t>pagado</t>
        </is>
      </c>
      <c r="F1408" s="23" t="n">
        <v>46276</v>
      </c>
      <c r="G1408" s="24">
        <f>F1408-DATE(2026,8,31)</f>
        <v>11</v>
      </c>
      <c r="H1408" s="25" t="n">
        <v>82394737</v>
      </c>
      <c r="I1408" t="inlineStr">
        <is>
          <t>entidad-dia</t>
        </is>
      </c>
    </row>
    <row r="1409">
      <c r="A1409" t="inlineStr">
        <is>
          <t>PRAGMA</t>
        </is>
      </c>
      <c r="B1409" t="inlineStr">
        <is>
          <t>M1</t>
        </is>
      </c>
      <c r="C1409" t="inlineStr">
        <is>
          <t>Pasto</t>
        </is>
      </c>
      <c r="D1409" t="inlineStr">
        <is>
          <t>2691</t>
        </is>
      </c>
      <c r="E1409" t="inlineStr">
        <is>
          <t>pagado</t>
        </is>
      </c>
      <c r="F1409" s="23" t="n">
        <v>46277</v>
      </c>
      <c r="G1409" s="24">
        <f>F1409-DATE(2026,8,31)</f>
        <v>12</v>
      </c>
      <c r="H1409" s="25" t="n">
        <v>97428202</v>
      </c>
      <c r="I1409" t="inlineStr">
        <is>
          <t>entidad-dia</t>
        </is>
      </c>
    </row>
    <row r="1410">
      <c r="A1410" t="inlineStr">
        <is>
          <t>PRAGMA</t>
        </is>
      </c>
      <c r="B1410" t="inlineStr">
        <is>
          <t>M1</t>
        </is>
      </c>
      <c r="C1410" t="inlineStr">
        <is>
          <t>Pasto</t>
        </is>
      </c>
      <c r="D1410" t="inlineStr">
        <is>
          <t>2691</t>
        </is>
      </c>
      <c r="E1410" t="inlineStr">
        <is>
          <t>pagado</t>
        </is>
      </c>
      <c r="F1410" s="23" t="n">
        <v>46278</v>
      </c>
      <c r="G1410" s="24">
        <f>F1410-DATE(2026,8,31)</f>
        <v>13</v>
      </c>
      <c r="H1410" s="25" t="n">
        <v>59264705</v>
      </c>
      <c r="I1410" t="inlineStr">
        <is>
          <t>entidad-dia</t>
        </is>
      </c>
    </row>
    <row r="1411">
      <c r="A1411" t="inlineStr">
        <is>
          <t>PRAGMA</t>
        </is>
      </c>
      <c r="B1411" t="inlineStr">
        <is>
          <t>M1</t>
        </is>
      </c>
      <c r="C1411" t="inlineStr">
        <is>
          <t>Pasto</t>
        </is>
      </c>
      <c r="D1411" t="inlineStr">
        <is>
          <t>2691</t>
        </is>
      </c>
      <c r="E1411" t="inlineStr">
        <is>
          <t>pagado</t>
        </is>
      </c>
      <c r="F1411" s="23" t="n">
        <v>46279</v>
      </c>
      <c r="G1411" s="24">
        <f>F1411-DATE(2026,8,31)</f>
        <v>14</v>
      </c>
      <c r="H1411" s="25" t="n">
        <v>73027033</v>
      </c>
      <c r="I1411" t="inlineStr">
        <is>
          <t>entidad-dia</t>
        </is>
      </c>
    </row>
    <row r="1412">
      <c r="A1412" t="inlineStr">
        <is>
          <t>PRAGMA</t>
        </is>
      </c>
      <c r="B1412" t="inlineStr">
        <is>
          <t>M1</t>
        </is>
      </c>
      <c r="C1412" t="inlineStr">
        <is>
          <t>Pasto</t>
        </is>
      </c>
      <c r="D1412" t="inlineStr">
        <is>
          <t>2691</t>
        </is>
      </c>
      <c r="E1412" t="inlineStr">
        <is>
          <t>pagado</t>
        </is>
      </c>
      <c r="F1412" s="23" t="n">
        <v>46280</v>
      </c>
      <c r="G1412" s="24">
        <f>F1412-DATE(2026,8,31)</f>
        <v>15</v>
      </c>
      <c r="H1412" s="25" t="n">
        <v>92690827</v>
      </c>
      <c r="I1412" t="inlineStr">
        <is>
          <t>entidad-dia</t>
        </is>
      </c>
    </row>
    <row r="1413">
      <c r="A1413" t="inlineStr">
        <is>
          <t>PRAGMA</t>
        </is>
      </c>
      <c r="B1413" t="inlineStr">
        <is>
          <t>M1</t>
        </is>
      </c>
      <c r="C1413" t="inlineStr">
        <is>
          <t>Cali</t>
        </is>
      </c>
      <c r="D1413" t="inlineStr">
        <is>
          <t>2720</t>
        </is>
      </c>
      <c r="E1413" t="inlineStr">
        <is>
          <t>pagado</t>
        </is>
      </c>
      <c r="F1413" s="23" t="n">
        <v>46266</v>
      </c>
      <c r="G1413" s="24">
        <f>F1413-DATE(2026,8,31)</f>
        <v>1</v>
      </c>
      <c r="H1413" s="25" t="n">
        <v>195684552</v>
      </c>
      <c r="I1413" t="inlineStr">
        <is>
          <t>entidad-dia</t>
        </is>
      </c>
    </row>
    <row r="1414">
      <c r="A1414" t="inlineStr">
        <is>
          <t>PRAGMA</t>
        </is>
      </c>
      <c r="B1414" t="inlineStr">
        <is>
          <t>M1</t>
        </is>
      </c>
      <c r="C1414" t="inlineStr">
        <is>
          <t>Cali</t>
        </is>
      </c>
      <c r="D1414" t="inlineStr">
        <is>
          <t>2720</t>
        </is>
      </c>
      <c r="E1414" t="inlineStr">
        <is>
          <t>pagado</t>
        </is>
      </c>
      <c r="F1414" s="23" t="n">
        <v>46267</v>
      </c>
      <c r="G1414" s="24">
        <f>F1414-DATE(2026,8,31)</f>
        <v>2</v>
      </c>
      <c r="H1414" s="25" t="n">
        <v>150166481</v>
      </c>
      <c r="I1414" t="inlineStr">
        <is>
          <t>entidad-dia</t>
        </is>
      </c>
    </row>
    <row r="1415">
      <c r="A1415" t="inlineStr">
        <is>
          <t>PRAGMA</t>
        </is>
      </c>
      <c r="B1415" t="inlineStr">
        <is>
          <t>M1</t>
        </is>
      </c>
      <c r="C1415" t="inlineStr">
        <is>
          <t>Cali</t>
        </is>
      </c>
      <c r="D1415" t="inlineStr">
        <is>
          <t>2720</t>
        </is>
      </c>
      <c r="E1415" t="inlineStr">
        <is>
          <t>pagado</t>
        </is>
      </c>
      <c r="F1415" s="23" t="n">
        <v>46268</v>
      </c>
      <c r="G1415" s="24">
        <f>F1415-DATE(2026,8,31)</f>
        <v>3</v>
      </c>
      <c r="H1415" s="25" t="n">
        <v>141096396</v>
      </c>
      <c r="I1415" t="inlineStr">
        <is>
          <t>entidad-dia</t>
        </is>
      </c>
    </row>
    <row r="1416">
      <c r="A1416" t="inlineStr">
        <is>
          <t>PRAGMA</t>
        </is>
      </c>
      <c r="B1416" t="inlineStr">
        <is>
          <t>M1</t>
        </is>
      </c>
      <c r="C1416" t="inlineStr">
        <is>
          <t>Cali</t>
        </is>
      </c>
      <c r="D1416" t="inlineStr">
        <is>
          <t>2720</t>
        </is>
      </c>
      <c r="E1416" t="inlineStr">
        <is>
          <t>pagado</t>
        </is>
      </c>
      <c r="F1416" s="23" t="n">
        <v>46269</v>
      </c>
      <c r="G1416" s="24">
        <f>F1416-DATE(2026,8,31)</f>
        <v>4</v>
      </c>
      <c r="H1416" s="25" t="n">
        <v>147603341</v>
      </c>
      <c r="I1416" t="inlineStr">
        <is>
          <t>entidad-dia</t>
        </is>
      </c>
    </row>
    <row r="1417">
      <c r="A1417" t="inlineStr">
        <is>
          <t>PRAGMA</t>
        </is>
      </c>
      <c r="B1417" t="inlineStr">
        <is>
          <t>M1</t>
        </is>
      </c>
      <c r="C1417" t="inlineStr">
        <is>
          <t>Cali</t>
        </is>
      </c>
      <c r="D1417" t="inlineStr">
        <is>
          <t>2720</t>
        </is>
      </c>
      <c r="E1417" t="inlineStr">
        <is>
          <t>pagado</t>
        </is>
      </c>
      <c r="F1417" s="23" t="n">
        <v>46270</v>
      </c>
      <c r="G1417" s="24">
        <f>F1417-DATE(2026,8,31)</f>
        <v>5</v>
      </c>
      <c r="H1417" s="25" t="n">
        <v>141457490</v>
      </c>
      <c r="I1417" t="inlineStr">
        <is>
          <t>entidad-dia</t>
        </is>
      </c>
    </row>
    <row r="1418">
      <c r="A1418" t="inlineStr">
        <is>
          <t>PRAGMA</t>
        </is>
      </c>
      <c r="B1418" t="inlineStr">
        <is>
          <t>M1</t>
        </is>
      </c>
      <c r="C1418" t="inlineStr">
        <is>
          <t>Cali</t>
        </is>
      </c>
      <c r="D1418" t="inlineStr">
        <is>
          <t>2720</t>
        </is>
      </c>
      <c r="E1418" t="inlineStr">
        <is>
          <t>pagado</t>
        </is>
      </c>
      <c r="F1418" s="23" t="n">
        <v>46271</v>
      </c>
      <c r="G1418" s="24">
        <f>F1418-DATE(2026,8,31)</f>
        <v>6</v>
      </c>
      <c r="H1418" s="25" t="n">
        <v>70461043</v>
      </c>
      <c r="I1418" t="inlineStr">
        <is>
          <t>entidad-dia</t>
        </is>
      </c>
    </row>
    <row r="1419">
      <c r="A1419" t="inlineStr">
        <is>
          <t>PRAGMA</t>
        </is>
      </c>
      <c r="B1419" t="inlineStr">
        <is>
          <t>M1</t>
        </is>
      </c>
      <c r="C1419" t="inlineStr">
        <is>
          <t>Cali</t>
        </is>
      </c>
      <c r="D1419" t="inlineStr">
        <is>
          <t>2720</t>
        </is>
      </c>
      <c r="E1419" t="inlineStr">
        <is>
          <t>pagado</t>
        </is>
      </c>
      <c r="F1419" s="23" t="n">
        <v>46272</v>
      </c>
      <c r="G1419" s="24">
        <f>F1419-DATE(2026,8,31)</f>
        <v>7</v>
      </c>
      <c r="H1419" s="25" t="n">
        <v>103515398</v>
      </c>
      <c r="I1419" t="inlineStr">
        <is>
          <t>entidad-dia</t>
        </is>
      </c>
    </row>
    <row r="1420">
      <c r="A1420" t="inlineStr">
        <is>
          <t>PRAGMA</t>
        </is>
      </c>
      <c r="B1420" t="inlineStr">
        <is>
          <t>M1</t>
        </is>
      </c>
      <c r="C1420" t="inlineStr">
        <is>
          <t>Cali</t>
        </is>
      </c>
      <c r="D1420" t="inlineStr">
        <is>
          <t>2720</t>
        </is>
      </c>
      <c r="E1420" t="inlineStr">
        <is>
          <t>pagado</t>
        </is>
      </c>
      <c r="F1420" s="23" t="n">
        <v>46273</v>
      </c>
      <c r="G1420" s="24">
        <f>F1420-DATE(2026,8,31)</f>
        <v>8</v>
      </c>
      <c r="H1420" s="25" t="n">
        <v>96377139</v>
      </c>
      <c r="I1420" t="inlineStr">
        <is>
          <t>entidad-dia</t>
        </is>
      </c>
    </row>
    <row r="1421">
      <c r="A1421" t="inlineStr">
        <is>
          <t>PRAGMA</t>
        </is>
      </c>
      <c r="B1421" t="inlineStr">
        <is>
          <t>M1</t>
        </is>
      </c>
      <c r="C1421" t="inlineStr">
        <is>
          <t>Cali</t>
        </is>
      </c>
      <c r="D1421" t="inlineStr">
        <is>
          <t>2720</t>
        </is>
      </c>
      <c r="E1421" t="inlineStr">
        <is>
          <t>pagado</t>
        </is>
      </c>
      <c r="F1421" s="23" t="n">
        <v>46274</v>
      </c>
      <c r="G1421" s="24">
        <f>F1421-DATE(2026,8,31)</f>
        <v>9</v>
      </c>
      <c r="H1421" s="25" t="n">
        <v>89481215</v>
      </c>
      <c r="I1421" t="inlineStr">
        <is>
          <t>entidad-dia</t>
        </is>
      </c>
    </row>
    <row r="1422">
      <c r="A1422" t="inlineStr">
        <is>
          <t>PRAGMA</t>
        </is>
      </c>
      <c r="B1422" t="inlineStr">
        <is>
          <t>M1</t>
        </is>
      </c>
      <c r="C1422" t="inlineStr">
        <is>
          <t>Cali</t>
        </is>
      </c>
      <c r="D1422" t="inlineStr">
        <is>
          <t>2720</t>
        </is>
      </c>
      <c r="E1422" t="inlineStr">
        <is>
          <t>pagado</t>
        </is>
      </c>
      <c r="F1422" s="23" t="n">
        <v>46275</v>
      </c>
      <c r="G1422" s="24">
        <f>F1422-DATE(2026,8,31)</f>
        <v>10</v>
      </c>
      <c r="H1422" s="25" t="n">
        <v>103187784</v>
      </c>
      <c r="I1422" t="inlineStr">
        <is>
          <t>entidad-dia</t>
        </is>
      </c>
    </row>
    <row r="1423">
      <c r="A1423" t="inlineStr">
        <is>
          <t>PRAGMA</t>
        </is>
      </c>
      <c r="B1423" t="inlineStr">
        <is>
          <t>M1</t>
        </is>
      </c>
      <c r="C1423" t="inlineStr">
        <is>
          <t>Cali</t>
        </is>
      </c>
      <c r="D1423" t="inlineStr">
        <is>
          <t>2720</t>
        </is>
      </c>
      <c r="E1423" t="inlineStr">
        <is>
          <t>pagado</t>
        </is>
      </c>
      <c r="F1423" s="23" t="n">
        <v>46276</v>
      </c>
      <c r="G1423" s="24">
        <f>F1423-DATE(2026,8,31)</f>
        <v>11</v>
      </c>
      <c r="H1423" s="25" t="n">
        <v>114627778</v>
      </c>
      <c r="I1423" t="inlineStr">
        <is>
          <t>entidad-dia</t>
        </is>
      </c>
    </row>
    <row r="1424">
      <c r="A1424" t="inlineStr">
        <is>
          <t>PRAGMA</t>
        </is>
      </c>
      <c r="B1424" t="inlineStr">
        <is>
          <t>M1</t>
        </is>
      </c>
      <c r="C1424" t="inlineStr">
        <is>
          <t>Cali</t>
        </is>
      </c>
      <c r="D1424" t="inlineStr">
        <is>
          <t>2720</t>
        </is>
      </c>
      <c r="E1424" t="inlineStr">
        <is>
          <t>pagado</t>
        </is>
      </c>
      <c r="F1424" s="23" t="n">
        <v>46277</v>
      </c>
      <c r="G1424" s="24">
        <f>F1424-DATE(2026,8,31)</f>
        <v>12</v>
      </c>
      <c r="H1424" s="25" t="n">
        <v>112041936</v>
      </c>
      <c r="I1424" t="inlineStr">
        <is>
          <t>entidad-dia</t>
        </is>
      </c>
    </row>
    <row r="1425">
      <c r="A1425" t="inlineStr">
        <is>
          <t>PRAGMA</t>
        </is>
      </c>
      <c r="B1425" t="inlineStr">
        <is>
          <t>M1</t>
        </is>
      </c>
      <c r="C1425" t="inlineStr">
        <is>
          <t>Cali</t>
        </is>
      </c>
      <c r="D1425" t="inlineStr">
        <is>
          <t>2720</t>
        </is>
      </c>
      <c r="E1425" t="inlineStr">
        <is>
          <t>pagado</t>
        </is>
      </c>
      <c r="F1425" s="23" t="n">
        <v>46278</v>
      </c>
      <c r="G1425" s="24">
        <f>F1425-DATE(2026,8,31)</f>
        <v>13</v>
      </c>
      <c r="H1425" s="25" t="n">
        <v>58417533</v>
      </c>
      <c r="I1425" t="inlineStr">
        <is>
          <t>entidad-dia</t>
        </is>
      </c>
    </row>
    <row r="1426">
      <c r="A1426" t="inlineStr">
        <is>
          <t>PRAGMA</t>
        </is>
      </c>
      <c r="B1426" t="inlineStr">
        <is>
          <t>M1</t>
        </is>
      </c>
      <c r="C1426" t="inlineStr">
        <is>
          <t>Cali</t>
        </is>
      </c>
      <c r="D1426" t="inlineStr">
        <is>
          <t>2720</t>
        </is>
      </c>
      <c r="E1426" t="inlineStr">
        <is>
          <t>pagado</t>
        </is>
      </c>
      <c r="F1426" s="23" t="n">
        <v>46279</v>
      </c>
      <c r="G1426" s="24">
        <f>F1426-DATE(2026,8,31)</f>
        <v>14</v>
      </c>
      <c r="H1426" s="25" t="n">
        <v>105618324</v>
      </c>
      <c r="I1426" t="inlineStr">
        <is>
          <t>entidad-dia</t>
        </is>
      </c>
    </row>
    <row r="1427">
      <c r="A1427" t="inlineStr">
        <is>
          <t>PRAGMA</t>
        </is>
      </c>
      <c r="B1427" t="inlineStr">
        <is>
          <t>M1</t>
        </is>
      </c>
      <c r="C1427" t="inlineStr">
        <is>
          <t>Cali</t>
        </is>
      </c>
      <c r="D1427" t="inlineStr">
        <is>
          <t>2720</t>
        </is>
      </c>
      <c r="E1427" t="inlineStr">
        <is>
          <t>pagado</t>
        </is>
      </c>
      <c r="F1427" s="23" t="n">
        <v>46280</v>
      </c>
      <c r="G1427" s="24">
        <f>F1427-DATE(2026,8,31)</f>
        <v>15</v>
      </c>
      <c r="H1427" s="25" t="n">
        <v>149947478</v>
      </c>
      <c r="I1427" t="inlineStr">
        <is>
          <t>entidad-dia</t>
        </is>
      </c>
    </row>
    <row r="1428">
      <c r="A1428" t="inlineStr">
        <is>
          <t>PRAGMA</t>
        </is>
      </c>
      <c r="B1428" t="inlineStr">
        <is>
          <t>M1</t>
        </is>
      </c>
      <c r="C1428" t="inlineStr">
        <is>
          <t>Cali</t>
        </is>
      </c>
      <c r="D1428" t="inlineStr">
        <is>
          <t>2721</t>
        </is>
      </c>
      <c r="E1428" t="inlineStr">
        <is>
          <t>pagado</t>
        </is>
      </c>
      <c r="F1428" s="23" t="n">
        <v>46266</v>
      </c>
      <c r="G1428" s="24">
        <f>F1428-DATE(2026,8,31)</f>
        <v>1</v>
      </c>
      <c r="H1428" s="25" t="n">
        <v>176692003</v>
      </c>
      <c r="I1428" t="inlineStr">
        <is>
          <t>entidad-dia</t>
        </is>
      </c>
    </row>
    <row r="1429">
      <c r="A1429" t="inlineStr">
        <is>
          <t>PRAGMA</t>
        </is>
      </c>
      <c r="B1429" t="inlineStr">
        <is>
          <t>M1</t>
        </is>
      </c>
      <c r="C1429" t="inlineStr">
        <is>
          <t>Cali</t>
        </is>
      </c>
      <c r="D1429" t="inlineStr">
        <is>
          <t>2721</t>
        </is>
      </c>
      <c r="E1429" t="inlineStr">
        <is>
          <t>pagado</t>
        </is>
      </c>
      <c r="F1429" s="23" t="n">
        <v>46267</v>
      </c>
      <c r="G1429" s="24">
        <f>F1429-DATE(2026,8,31)</f>
        <v>2</v>
      </c>
      <c r="H1429" s="25" t="n">
        <v>127066181</v>
      </c>
      <c r="I1429" t="inlineStr">
        <is>
          <t>entidad-dia</t>
        </is>
      </c>
    </row>
    <row r="1430">
      <c r="A1430" t="inlineStr">
        <is>
          <t>PRAGMA</t>
        </is>
      </c>
      <c r="B1430" t="inlineStr">
        <is>
          <t>M1</t>
        </is>
      </c>
      <c r="C1430" t="inlineStr">
        <is>
          <t>Cali</t>
        </is>
      </c>
      <c r="D1430" t="inlineStr">
        <is>
          <t>2721</t>
        </is>
      </c>
      <c r="E1430" t="inlineStr">
        <is>
          <t>pagado</t>
        </is>
      </c>
      <c r="F1430" s="23" t="n">
        <v>46268</v>
      </c>
      <c r="G1430" s="24">
        <f>F1430-DATE(2026,8,31)</f>
        <v>3</v>
      </c>
      <c r="H1430" s="25" t="n">
        <v>121926142</v>
      </c>
      <c r="I1430" t="inlineStr">
        <is>
          <t>entidad-dia</t>
        </is>
      </c>
    </row>
    <row r="1431">
      <c r="A1431" t="inlineStr">
        <is>
          <t>PRAGMA</t>
        </is>
      </c>
      <c r="B1431" t="inlineStr">
        <is>
          <t>M1</t>
        </is>
      </c>
      <c r="C1431" t="inlineStr">
        <is>
          <t>Cali</t>
        </is>
      </c>
      <c r="D1431" t="inlineStr">
        <is>
          <t>2721</t>
        </is>
      </c>
      <c r="E1431" t="inlineStr">
        <is>
          <t>pagado</t>
        </is>
      </c>
      <c r="F1431" s="23" t="n">
        <v>46269</v>
      </c>
      <c r="G1431" s="24">
        <f>F1431-DATE(2026,8,31)</f>
        <v>4</v>
      </c>
      <c r="H1431" s="25" t="n">
        <v>115460912</v>
      </c>
      <c r="I1431" t="inlineStr">
        <is>
          <t>entidad-dia</t>
        </is>
      </c>
    </row>
    <row r="1432">
      <c r="A1432" t="inlineStr">
        <is>
          <t>PRAGMA</t>
        </is>
      </c>
      <c r="B1432" t="inlineStr">
        <is>
          <t>M1</t>
        </is>
      </c>
      <c r="C1432" t="inlineStr">
        <is>
          <t>Cali</t>
        </is>
      </c>
      <c r="D1432" t="inlineStr">
        <is>
          <t>2721</t>
        </is>
      </c>
      <c r="E1432" t="inlineStr">
        <is>
          <t>pagado</t>
        </is>
      </c>
      <c r="F1432" s="23" t="n">
        <v>46270</v>
      </c>
      <c r="G1432" s="24">
        <f>F1432-DATE(2026,8,31)</f>
        <v>5</v>
      </c>
      <c r="H1432" s="25" t="n">
        <v>96501761</v>
      </c>
      <c r="I1432" t="inlineStr">
        <is>
          <t>entidad-dia</t>
        </is>
      </c>
    </row>
    <row r="1433">
      <c r="A1433" t="inlineStr">
        <is>
          <t>PRAGMA</t>
        </is>
      </c>
      <c r="B1433" t="inlineStr">
        <is>
          <t>M1</t>
        </is>
      </c>
      <c r="C1433" t="inlineStr">
        <is>
          <t>Cali</t>
        </is>
      </c>
      <c r="D1433" t="inlineStr">
        <is>
          <t>2721</t>
        </is>
      </c>
      <c r="E1433" t="inlineStr">
        <is>
          <t>pagado</t>
        </is>
      </c>
      <c r="F1433" s="23" t="n">
        <v>46271</v>
      </c>
      <c r="G1433" s="24">
        <f>F1433-DATE(2026,8,31)</f>
        <v>6</v>
      </c>
      <c r="H1433" s="25" t="n">
        <v>37364969</v>
      </c>
      <c r="I1433" t="inlineStr">
        <is>
          <t>entidad-dia</t>
        </is>
      </c>
    </row>
    <row r="1434">
      <c r="A1434" t="inlineStr">
        <is>
          <t>PRAGMA</t>
        </is>
      </c>
      <c r="B1434" t="inlineStr">
        <is>
          <t>M1</t>
        </is>
      </c>
      <c r="C1434" t="inlineStr">
        <is>
          <t>Cali</t>
        </is>
      </c>
      <c r="D1434" t="inlineStr">
        <is>
          <t>2721</t>
        </is>
      </c>
      <c r="E1434" t="inlineStr">
        <is>
          <t>pagado</t>
        </is>
      </c>
      <c r="F1434" s="23" t="n">
        <v>46272</v>
      </c>
      <c r="G1434" s="24">
        <f>F1434-DATE(2026,8,31)</f>
        <v>7</v>
      </c>
      <c r="H1434" s="25" t="n">
        <v>86320066</v>
      </c>
      <c r="I1434" t="inlineStr">
        <is>
          <t>entidad-dia</t>
        </is>
      </c>
    </row>
    <row r="1435">
      <c r="A1435" t="inlineStr">
        <is>
          <t>PRAGMA</t>
        </is>
      </c>
      <c r="B1435" t="inlineStr">
        <is>
          <t>M1</t>
        </is>
      </c>
      <c r="C1435" t="inlineStr">
        <is>
          <t>Cali</t>
        </is>
      </c>
      <c r="D1435" t="inlineStr">
        <is>
          <t>2721</t>
        </is>
      </c>
      <c r="E1435" t="inlineStr">
        <is>
          <t>pagado</t>
        </is>
      </c>
      <c r="F1435" s="23" t="n">
        <v>46273</v>
      </c>
      <c r="G1435" s="24">
        <f>F1435-DATE(2026,8,31)</f>
        <v>8</v>
      </c>
      <c r="H1435" s="25" t="n">
        <v>92715967</v>
      </c>
      <c r="I1435" t="inlineStr">
        <is>
          <t>entidad-dia</t>
        </is>
      </c>
    </row>
    <row r="1436">
      <c r="A1436" t="inlineStr">
        <is>
          <t>PRAGMA</t>
        </is>
      </c>
      <c r="B1436" t="inlineStr">
        <is>
          <t>M1</t>
        </is>
      </c>
      <c r="C1436" t="inlineStr">
        <is>
          <t>Cali</t>
        </is>
      </c>
      <c r="D1436" t="inlineStr">
        <is>
          <t>2721</t>
        </is>
      </c>
      <c r="E1436" t="inlineStr">
        <is>
          <t>pagado</t>
        </is>
      </c>
      <c r="F1436" s="23" t="n">
        <v>46274</v>
      </c>
      <c r="G1436" s="24">
        <f>F1436-DATE(2026,8,31)</f>
        <v>9</v>
      </c>
      <c r="H1436" s="25" t="n">
        <v>92640408</v>
      </c>
      <c r="I1436" t="inlineStr">
        <is>
          <t>entidad-dia</t>
        </is>
      </c>
    </row>
    <row r="1437">
      <c r="A1437" t="inlineStr">
        <is>
          <t>PRAGMA</t>
        </is>
      </c>
      <c r="B1437" t="inlineStr">
        <is>
          <t>M1</t>
        </is>
      </c>
      <c r="C1437" t="inlineStr">
        <is>
          <t>Cali</t>
        </is>
      </c>
      <c r="D1437" t="inlineStr">
        <is>
          <t>2721</t>
        </is>
      </c>
      <c r="E1437" t="inlineStr">
        <is>
          <t>pagado</t>
        </is>
      </c>
      <c r="F1437" s="23" t="n">
        <v>46275</v>
      </c>
      <c r="G1437" s="24">
        <f>F1437-DATE(2026,8,31)</f>
        <v>10</v>
      </c>
      <c r="H1437" s="25" t="n">
        <v>86004044</v>
      </c>
      <c r="I1437" t="inlineStr">
        <is>
          <t>entidad-dia</t>
        </is>
      </c>
    </row>
    <row r="1438">
      <c r="A1438" t="inlineStr">
        <is>
          <t>PRAGMA</t>
        </is>
      </c>
      <c r="B1438" t="inlineStr">
        <is>
          <t>M1</t>
        </is>
      </c>
      <c r="C1438" t="inlineStr">
        <is>
          <t>Cali</t>
        </is>
      </c>
      <c r="D1438" t="inlineStr">
        <is>
          <t>2721</t>
        </is>
      </c>
      <c r="E1438" t="inlineStr">
        <is>
          <t>pagado</t>
        </is>
      </c>
      <c r="F1438" s="23" t="n">
        <v>46276</v>
      </c>
      <c r="G1438" s="24">
        <f>F1438-DATE(2026,8,31)</f>
        <v>11</v>
      </c>
      <c r="H1438" s="25" t="n">
        <v>85805486</v>
      </c>
      <c r="I1438" t="inlineStr">
        <is>
          <t>entidad-dia</t>
        </is>
      </c>
    </row>
    <row r="1439">
      <c r="A1439" t="inlineStr">
        <is>
          <t>PRAGMA</t>
        </is>
      </c>
      <c r="B1439" t="inlineStr">
        <is>
          <t>M1</t>
        </is>
      </c>
      <c r="C1439" t="inlineStr">
        <is>
          <t>Cali</t>
        </is>
      </c>
      <c r="D1439" t="inlineStr">
        <is>
          <t>2721</t>
        </is>
      </c>
      <c r="E1439" t="inlineStr">
        <is>
          <t>pagado</t>
        </is>
      </c>
      <c r="F1439" s="23" t="n">
        <v>46277</v>
      </c>
      <c r="G1439" s="24">
        <f>F1439-DATE(2026,8,31)</f>
        <v>12</v>
      </c>
      <c r="H1439" s="25" t="n">
        <v>65936139</v>
      </c>
      <c r="I1439" t="inlineStr">
        <is>
          <t>entidad-dia</t>
        </is>
      </c>
    </row>
    <row r="1440">
      <c r="A1440" t="inlineStr">
        <is>
          <t>PRAGMA</t>
        </is>
      </c>
      <c r="B1440" t="inlineStr">
        <is>
          <t>M1</t>
        </is>
      </c>
      <c r="C1440" t="inlineStr">
        <is>
          <t>Cali</t>
        </is>
      </c>
      <c r="D1440" t="inlineStr">
        <is>
          <t>2721</t>
        </is>
      </c>
      <c r="E1440" t="inlineStr">
        <is>
          <t>pagado</t>
        </is>
      </c>
      <c r="F1440" s="23" t="n">
        <v>46278</v>
      </c>
      <c r="G1440" s="24">
        <f>F1440-DATE(2026,8,31)</f>
        <v>13</v>
      </c>
      <c r="H1440" s="25" t="n">
        <v>26688096</v>
      </c>
      <c r="I1440" t="inlineStr">
        <is>
          <t>entidad-dia</t>
        </is>
      </c>
    </row>
    <row r="1441">
      <c r="A1441" t="inlineStr">
        <is>
          <t>PRAGMA</t>
        </is>
      </c>
      <c r="B1441" t="inlineStr">
        <is>
          <t>M1</t>
        </is>
      </c>
      <c r="C1441" t="inlineStr">
        <is>
          <t>Cali</t>
        </is>
      </c>
      <c r="D1441" t="inlineStr">
        <is>
          <t>2721</t>
        </is>
      </c>
      <c r="E1441" t="inlineStr">
        <is>
          <t>pagado</t>
        </is>
      </c>
      <c r="F1441" s="23" t="n">
        <v>46279</v>
      </c>
      <c r="G1441" s="24">
        <f>F1441-DATE(2026,8,31)</f>
        <v>14</v>
      </c>
      <c r="H1441" s="25" t="n">
        <v>80098955</v>
      </c>
      <c r="I1441" t="inlineStr">
        <is>
          <t>entidad-dia</t>
        </is>
      </c>
    </row>
    <row r="1442">
      <c r="A1442" t="inlineStr">
        <is>
          <t>PRAGMA</t>
        </is>
      </c>
      <c r="B1442" t="inlineStr">
        <is>
          <t>M1</t>
        </is>
      </c>
      <c r="C1442" t="inlineStr">
        <is>
          <t>Cali</t>
        </is>
      </c>
      <c r="D1442" t="inlineStr">
        <is>
          <t>2721</t>
        </is>
      </c>
      <c r="E1442" t="inlineStr">
        <is>
          <t>pagado</t>
        </is>
      </c>
      <c r="F1442" s="23" t="n">
        <v>46280</v>
      </c>
      <c r="G1442" s="24">
        <f>F1442-DATE(2026,8,31)</f>
        <v>15</v>
      </c>
      <c r="H1442" s="25" t="n">
        <v>140983880</v>
      </c>
      <c r="I1442" t="inlineStr">
        <is>
          <t>entidad-dia</t>
        </is>
      </c>
    </row>
    <row r="1443">
      <c r="A1443" t="inlineStr">
        <is>
          <t>PRAGMA</t>
        </is>
      </c>
      <c r="B1443" t="inlineStr">
        <is>
          <t>M1</t>
        </is>
      </c>
      <c r="C1443" t="inlineStr">
        <is>
          <t>Cali</t>
        </is>
      </c>
      <c r="D1443" t="inlineStr">
        <is>
          <t>2741</t>
        </is>
      </c>
      <c r="E1443" t="inlineStr">
        <is>
          <t>pagado</t>
        </is>
      </c>
      <c r="F1443" s="23" t="n">
        <v>46266</v>
      </c>
      <c r="G1443" s="24">
        <f>F1443-DATE(2026,8,31)</f>
        <v>1</v>
      </c>
      <c r="H1443" s="25" t="n">
        <v>177480246</v>
      </c>
      <c r="I1443" t="inlineStr">
        <is>
          <t>entidad-dia</t>
        </is>
      </c>
    </row>
    <row r="1444">
      <c r="A1444" t="inlineStr">
        <is>
          <t>PRAGMA</t>
        </is>
      </c>
      <c r="B1444" t="inlineStr">
        <is>
          <t>M1</t>
        </is>
      </c>
      <c r="C1444" t="inlineStr">
        <is>
          <t>Cali</t>
        </is>
      </c>
      <c r="D1444" t="inlineStr">
        <is>
          <t>2741</t>
        </is>
      </c>
      <c r="E1444" t="inlineStr">
        <is>
          <t>pagado</t>
        </is>
      </c>
      <c r="F1444" s="23" t="n">
        <v>46267</v>
      </c>
      <c r="G1444" s="24">
        <f>F1444-DATE(2026,8,31)</f>
        <v>2</v>
      </c>
      <c r="H1444" s="25" t="n">
        <v>130128879</v>
      </c>
      <c r="I1444" t="inlineStr">
        <is>
          <t>entidad-dia</t>
        </is>
      </c>
    </row>
    <row r="1445">
      <c r="A1445" t="inlineStr">
        <is>
          <t>PRAGMA</t>
        </is>
      </c>
      <c r="B1445" t="inlineStr">
        <is>
          <t>M1</t>
        </is>
      </c>
      <c r="C1445" t="inlineStr">
        <is>
          <t>Cali</t>
        </is>
      </c>
      <c r="D1445" t="inlineStr">
        <is>
          <t>2741</t>
        </is>
      </c>
      <c r="E1445" t="inlineStr">
        <is>
          <t>pagado</t>
        </is>
      </c>
      <c r="F1445" s="23" t="n">
        <v>46268</v>
      </c>
      <c r="G1445" s="24">
        <f>F1445-DATE(2026,8,31)</f>
        <v>3</v>
      </c>
      <c r="H1445" s="25" t="n">
        <v>130636332</v>
      </c>
      <c r="I1445" t="inlineStr">
        <is>
          <t>entidad-dia</t>
        </is>
      </c>
    </row>
    <row r="1446">
      <c r="A1446" t="inlineStr">
        <is>
          <t>PRAGMA</t>
        </is>
      </c>
      <c r="B1446" t="inlineStr">
        <is>
          <t>M1</t>
        </is>
      </c>
      <c r="C1446" t="inlineStr">
        <is>
          <t>Cali</t>
        </is>
      </c>
      <c r="D1446" t="inlineStr">
        <is>
          <t>2741</t>
        </is>
      </c>
      <c r="E1446" t="inlineStr">
        <is>
          <t>pagado</t>
        </is>
      </c>
      <c r="F1446" s="23" t="n">
        <v>46269</v>
      </c>
      <c r="G1446" s="24">
        <f>F1446-DATE(2026,8,31)</f>
        <v>4</v>
      </c>
      <c r="H1446" s="25" t="n">
        <v>127582946</v>
      </c>
      <c r="I1446" t="inlineStr">
        <is>
          <t>entidad-dia</t>
        </is>
      </c>
    </row>
    <row r="1447">
      <c r="A1447" t="inlineStr">
        <is>
          <t>PRAGMA</t>
        </is>
      </c>
      <c r="B1447" t="inlineStr">
        <is>
          <t>M1</t>
        </is>
      </c>
      <c r="C1447" t="inlineStr">
        <is>
          <t>Cali</t>
        </is>
      </c>
      <c r="D1447" t="inlineStr">
        <is>
          <t>2741</t>
        </is>
      </c>
      <c r="E1447" t="inlineStr">
        <is>
          <t>pagado</t>
        </is>
      </c>
      <c r="F1447" s="23" t="n">
        <v>46270</v>
      </c>
      <c r="G1447" s="24">
        <f>F1447-DATE(2026,8,31)</f>
        <v>5</v>
      </c>
      <c r="H1447" s="25" t="n">
        <v>126197157</v>
      </c>
      <c r="I1447" t="inlineStr">
        <is>
          <t>entidad-dia</t>
        </is>
      </c>
    </row>
    <row r="1448">
      <c r="A1448" t="inlineStr">
        <is>
          <t>PRAGMA</t>
        </is>
      </c>
      <c r="B1448" t="inlineStr">
        <is>
          <t>M1</t>
        </is>
      </c>
      <c r="C1448" t="inlineStr">
        <is>
          <t>Cali</t>
        </is>
      </c>
      <c r="D1448" t="inlineStr">
        <is>
          <t>2741</t>
        </is>
      </c>
      <c r="E1448" t="inlineStr">
        <is>
          <t>pagado</t>
        </is>
      </c>
      <c r="F1448" s="23" t="n">
        <v>46271</v>
      </c>
      <c r="G1448" s="24">
        <f>F1448-DATE(2026,8,31)</f>
        <v>6</v>
      </c>
      <c r="H1448" s="25" t="n">
        <v>112682034</v>
      </c>
      <c r="I1448" t="inlineStr">
        <is>
          <t>entidad-dia</t>
        </is>
      </c>
    </row>
    <row r="1449">
      <c r="A1449" t="inlineStr">
        <is>
          <t>PRAGMA</t>
        </is>
      </c>
      <c r="B1449" t="inlineStr">
        <is>
          <t>M1</t>
        </is>
      </c>
      <c r="C1449" t="inlineStr">
        <is>
          <t>Cali</t>
        </is>
      </c>
      <c r="D1449" t="inlineStr">
        <is>
          <t>2741</t>
        </is>
      </c>
      <c r="E1449" t="inlineStr">
        <is>
          <t>pagado</t>
        </is>
      </c>
      <c r="F1449" s="23" t="n">
        <v>46272</v>
      </c>
      <c r="G1449" s="24">
        <f>F1449-DATE(2026,8,31)</f>
        <v>7</v>
      </c>
      <c r="H1449" s="25" t="n">
        <v>86351015</v>
      </c>
      <c r="I1449" t="inlineStr">
        <is>
          <t>entidad-dia</t>
        </is>
      </c>
    </row>
    <row r="1450">
      <c r="A1450" t="inlineStr">
        <is>
          <t>PRAGMA</t>
        </is>
      </c>
      <c r="B1450" t="inlineStr">
        <is>
          <t>M1</t>
        </is>
      </c>
      <c r="C1450" t="inlineStr">
        <is>
          <t>Cali</t>
        </is>
      </c>
      <c r="D1450" t="inlineStr">
        <is>
          <t>2741</t>
        </is>
      </c>
      <c r="E1450" t="inlineStr">
        <is>
          <t>pagado</t>
        </is>
      </c>
      <c r="F1450" s="23" t="n">
        <v>46273</v>
      </c>
      <c r="G1450" s="24">
        <f>F1450-DATE(2026,8,31)</f>
        <v>8</v>
      </c>
      <c r="H1450" s="25" t="n">
        <v>76681956</v>
      </c>
      <c r="I1450" t="inlineStr">
        <is>
          <t>entidad-dia</t>
        </is>
      </c>
    </row>
    <row r="1451">
      <c r="A1451" t="inlineStr">
        <is>
          <t>PRAGMA</t>
        </is>
      </c>
      <c r="B1451" t="inlineStr">
        <is>
          <t>M1</t>
        </is>
      </c>
      <c r="C1451" t="inlineStr">
        <is>
          <t>Cali</t>
        </is>
      </c>
      <c r="D1451" t="inlineStr">
        <is>
          <t>2741</t>
        </is>
      </c>
      <c r="E1451" t="inlineStr">
        <is>
          <t>pagado</t>
        </is>
      </c>
      <c r="F1451" s="23" t="n">
        <v>46274</v>
      </c>
      <c r="G1451" s="24">
        <f>F1451-DATE(2026,8,31)</f>
        <v>9</v>
      </c>
      <c r="H1451" s="25" t="n">
        <v>74605982</v>
      </c>
      <c r="I1451" t="inlineStr">
        <is>
          <t>entidad-dia</t>
        </is>
      </c>
    </row>
    <row r="1452">
      <c r="A1452" t="inlineStr">
        <is>
          <t>PRAGMA</t>
        </is>
      </c>
      <c r="B1452" t="inlineStr">
        <is>
          <t>M1</t>
        </is>
      </c>
      <c r="C1452" t="inlineStr">
        <is>
          <t>Cali</t>
        </is>
      </c>
      <c r="D1452" t="inlineStr">
        <is>
          <t>2741</t>
        </is>
      </c>
      <c r="E1452" t="inlineStr">
        <is>
          <t>pagado</t>
        </is>
      </c>
      <c r="F1452" s="23" t="n">
        <v>46275</v>
      </c>
      <c r="G1452" s="24">
        <f>F1452-DATE(2026,8,31)</f>
        <v>10</v>
      </c>
      <c r="H1452" s="25" t="n">
        <v>70294231</v>
      </c>
      <c r="I1452" t="inlineStr">
        <is>
          <t>entidad-dia</t>
        </is>
      </c>
    </row>
    <row r="1453">
      <c r="A1453" t="inlineStr">
        <is>
          <t>PRAGMA</t>
        </is>
      </c>
      <c r="B1453" t="inlineStr">
        <is>
          <t>M1</t>
        </is>
      </c>
      <c r="C1453" t="inlineStr">
        <is>
          <t>Cali</t>
        </is>
      </c>
      <c r="D1453" t="inlineStr">
        <is>
          <t>2741</t>
        </is>
      </c>
      <c r="E1453" t="inlineStr">
        <is>
          <t>pagado</t>
        </is>
      </c>
      <c r="F1453" s="23" t="n">
        <v>46276</v>
      </c>
      <c r="G1453" s="24">
        <f>F1453-DATE(2026,8,31)</f>
        <v>11</v>
      </c>
      <c r="H1453" s="25" t="n">
        <v>69078859</v>
      </c>
      <c r="I1453" t="inlineStr">
        <is>
          <t>entidad-dia</t>
        </is>
      </c>
    </row>
    <row r="1454">
      <c r="A1454" t="inlineStr">
        <is>
          <t>PRAGMA</t>
        </is>
      </c>
      <c r="B1454" t="inlineStr">
        <is>
          <t>M1</t>
        </is>
      </c>
      <c r="C1454" t="inlineStr">
        <is>
          <t>Cali</t>
        </is>
      </c>
      <c r="D1454" t="inlineStr">
        <is>
          <t>2741</t>
        </is>
      </c>
      <c r="E1454" t="inlineStr">
        <is>
          <t>pagado</t>
        </is>
      </c>
      <c r="F1454" s="23" t="n">
        <v>46277</v>
      </c>
      <c r="G1454" s="24">
        <f>F1454-DATE(2026,8,31)</f>
        <v>12</v>
      </c>
      <c r="H1454" s="25" t="n">
        <v>79348790</v>
      </c>
      <c r="I1454" t="inlineStr">
        <is>
          <t>entidad-dia</t>
        </is>
      </c>
    </row>
    <row r="1455">
      <c r="A1455" t="inlineStr">
        <is>
          <t>PRAGMA</t>
        </is>
      </c>
      <c r="B1455" t="inlineStr">
        <is>
          <t>M1</t>
        </is>
      </c>
      <c r="C1455" t="inlineStr">
        <is>
          <t>Cali</t>
        </is>
      </c>
      <c r="D1455" t="inlineStr">
        <is>
          <t>2741</t>
        </is>
      </c>
      <c r="E1455" t="inlineStr">
        <is>
          <t>pagado</t>
        </is>
      </c>
      <c r="F1455" s="23" t="n">
        <v>46278</v>
      </c>
      <c r="G1455" s="24">
        <f>F1455-DATE(2026,8,31)</f>
        <v>13</v>
      </c>
      <c r="H1455" s="25" t="n">
        <v>85668239</v>
      </c>
      <c r="I1455" t="inlineStr">
        <is>
          <t>entidad-dia</t>
        </is>
      </c>
    </row>
    <row r="1456">
      <c r="A1456" t="inlineStr">
        <is>
          <t>PRAGMA</t>
        </is>
      </c>
      <c r="B1456" t="inlineStr">
        <is>
          <t>M1</t>
        </is>
      </c>
      <c r="C1456" t="inlineStr">
        <is>
          <t>Cali</t>
        </is>
      </c>
      <c r="D1456" t="inlineStr">
        <is>
          <t>2741</t>
        </is>
      </c>
      <c r="E1456" t="inlineStr">
        <is>
          <t>pagado</t>
        </is>
      </c>
      <c r="F1456" s="23" t="n">
        <v>46279</v>
      </c>
      <c r="G1456" s="24">
        <f>F1456-DATE(2026,8,31)</f>
        <v>14</v>
      </c>
      <c r="H1456" s="25" t="n">
        <v>85137921</v>
      </c>
      <c r="I1456" t="inlineStr">
        <is>
          <t>entidad-dia</t>
        </is>
      </c>
    </row>
    <row r="1457">
      <c r="A1457" t="inlineStr">
        <is>
          <t>PRAGMA</t>
        </is>
      </c>
      <c r="B1457" t="inlineStr">
        <is>
          <t>M1</t>
        </is>
      </c>
      <c r="C1457" t="inlineStr">
        <is>
          <t>Cali</t>
        </is>
      </c>
      <c r="D1457" t="inlineStr">
        <is>
          <t>2741</t>
        </is>
      </c>
      <c r="E1457" t="inlineStr">
        <is>
          <t>pagado</t>
        </is>
      </c>
      <c r="F1457" s="23" t="n">
        <v>46280</v>
      </c>
      <c r="G1457" s="24">
        <f>F1457-DATE(2026,8,31)</f>
        <v>15</v>
      </c>
      <c r="H1457" s="25" t="n">
        <v>128662339</v>
      </c>
      <c r="I1457" t="inlineStr">
        <is>
          <t>entidad-dia</t>
        </is>
      </c>
    </row>
    <row r="1458">
      <c r="A1458" t="inlineStr">
        <is>
          <t>PRAGMA</t>
        </is>
      </c>
      <c r="B1458" t="inlineStr">
        <is>
          <t>M1</t>
        </is>
      </c>
      <c r="C1458" t="inlineStr">
        <is>
          <t>Pasto</t>
        </is>
      </c>
      <c r="D1458" t="inlineStr">
        <is>
          <t>2760</t>
        </is>
      </c>
      <c r="E1458" t="inlineStr">
        <is>
          <t>pagado</t>
        </is>
      </c>
      <c r="F1458" s="23" t="n">
        <v>46266</v>
      </c>
      <c r="G1458" s="24">
        <f>F1458-DATE(2026,8,31)</f>
        <v>1</v>
      </c>
      <c r="H1458" s="25" t="n">
        <v>121264603</v>
      </c>
      <c r="I1458" t="inlineStr">
        <is>
          <t>entidad-dia</t>
        </is>
      </c>
    </row>
    <row r="1459">
      <c r="A1459" t="inlineStr">
        <is>
          <t>PRAGMA</t>
        </is>
      </c>
      <c r="B1459" t="inlineStr">
        <is>
          <t>M1</t>
        </is>
      </c>
      <c r="C1459" t="inlineStr">
        <is>
          <t>Pasto</t>
        </is>
      </c>
      <c r="D1459" t="inlineStr">
        <is>
          <t>2760</t>
        </is>
      </c>
      <c r="E1459" t="inlineStr">
        <is>
          <t>pagado</t>
        </is>
      </c>
      <c r="F1459" s="23" t="n">
        <v>46267</v>
      </c>
      <c r="G1459" s="24">
        <f>F1459-DATE(2026,8,31)</f>
        <v>2</v>
      </c>
      <c r="H1459" s="25" t="n">
        <v>100032268</v>
      </c>
      <c r="I1459" t="inlineStr">
        <is>
          <t>entidad-dia</t>
        </is>
      </c>
    </row>
    <row r="1460">
      <c r="A1460" t="inlineStr">
        <is>
          <t>PRAGMA</t>
        </is>
      </c>
      <c r="B1460" t="inlineStr">
        <is>
          <t>M1</t>
        </is>
      </c>
      <c r="C1460" t="inlineStr">
        <is>
          <t>Pasto</t>
        </is>
      </c>
      <c r="D1460" t="inlineStr">
        <is>
          <t>2760</t>
        </is>
      </c>
      <c r="E1460" t="inlineStr">
        <is>
          <t>pagado</t>
        </is>
      </c>
      <c r="F1460" s="23" t="n">
        <v>46268</v>
      </c>
      <c r="G1460" s="24">
        <f>F1460-DATE(2026,8,31)</f>
        <v>3</v>
      </c>
      <c r="H1460" s="25" t="n">
        <v>87517489</v>
      </c>
      <c r="I1460" t="inlineStr">
        <is>
          <t>entidad-dia</t>
        </is>
      </c>
    </row>
    <row r="1461">
      <c r="A1461" t="inlineStr">
        <is>
          <t>PRAGMA</t>
        </is>
      </c>
      <c r="B1461" t="inlineStr">
        <is>
          <t>M1</t>
        </is>
      </c>
      <c r="C1461" t="inlineStr">
        <is>
          <t>Pasto</t>
        </is>
      </c>
      <c r="D1461" t="inlineStr">
        <is>
          <t>2760</t>
        </is>
      </c>
      <c r="E1461" t="inlineStr">
        <is>
          <t>pagado</t>
        </is>
      </c>
      <c r="F1461" s="23" t="n">
        <v>46269</v>
      </c>
      <c r="G1461" s="24">
        <f>F1461-DATE(2026,8,31)</f>
        <v>4</v>
      </c>
      <c r="H1461" s="25" t="n">
        <v>85317595</v>
      </c>
      <c r="I1461" t="inlineStr">
        <is>
          <t>entidad-dia</t>
        </is>
      </c>
    </row>
    <row r="1462">
      <c r="A1462" t="inlineStr">
        <is>
          <t>PRAGMA</t>
        </is>
      </c>
      <c r="B1462" t="inlineStr">
        <is>
          <t>M1</t>
        </is>
      </c>
      <c r="C1462" t="inlineStr">
        <is>
          <t>Pasto</t>
        </is>
      </c>
      <c r="D1462" t="inlineStr">
        <is>
          <t>2760</t>
        </is>
      </c>
      <c r="E1462" t="inlineStr">
        <is>
          <t>pagado</t>
        </is>
      </c>
      <c r="F1462" s="23" t="n">
        <v>46270</v>
      </c>
      <c r="G1462" s="24">
        <f>F1462-DATE(2026,8,31)</f>
        <v>5</v>
      </c>
      <c r="H1462" s="25" t="n">
        <v>90053345</v>
      </c>
      <c r="I1462" t="inlineStr">
        <is>
          <t>entidad-dia</t>
        </is>
      </c>
    </row>
    <row r="1463">
      <c r="A1463" t="inlineStr">
        <is>
          <t>PRAGMA</t>
        </is>
      </c>
      <c r="B1463" t="inlineStr">
        <is>
          <t>M1</t>
        </is>
      </c>
      <c r="C1463" t="inlineStr">
        <is>
          <t>Pasto</t>
        </is>
      </c>
      <c r="D1463" t="inlineStr">
        <is>
          <t>2760</t>
        </is>
      </c>
      <c r="E1463" t="inlineStr">
        <is>
          <t>pagado</t>
        </is>
      </c>
      <c r="F1463" s="23" t="n">
        <v>46271</v>
      </c>
      <c r="G1463" s="24">
        <f>F1463-DATE(2026,8,31)</f>
        <v>6</v>
      </c>
      <c r="H1463" s="25" t="n">
        <v>39737250</v>
      </c>
      <c r="I1463" t="inlineStr">
        <is>
          <t>entidad-dia</t>
        </is>
      </c>
    </row>
    <row r="1464">
      <c r="A1464" t="inlineStr">
        <is>
          <t>PRAGMA</t>
        </is>
      </c>
      <c r="B1464" t="inlineStr">
        <is>
          <t>M1</t>
        </is>
      </c>
      <c r="C1464" t="inlineStr">
        <is>
          <t>Pasto</t>
        </is>
      </c>
      <c r="D1464" t="inlineStr">
        <is>
          <t>2760</t>
        </is>
      </c>
      <c r="E1464" t="inlineStr">
        <is>
          <t>pagado</t>
        </is>
      </c>
      <c r="F1464" s="23" t="n">
        <v>46272</v>
      </c>
      <c r="G1464" s="24">
        <f>F1464-DATE(2026,8,31)</f>
        <v>7</v>
      </c>
      <c r="H1464" s="25" t="n">
        <v>77133405</v>
      </c>
      <c r="I1464" t="inlineStr">
        <is>
          <t>entidad-dia</t>
        </is>
      </c>
    </row>
    <row r="1465">
      <c r="A1465" t="inlineStr">
        <is>
          <t>PRAGMA</t>
        </is>
      </c>
      <c r="B1465" t="inlineStr">
        <is>
          <t>M1</t>
        </is>
      </c>
      <c r="C1465" t="inlineStr">
        <is>
          <t>Pasto</t>
        </is>
      </c>
      <c r="D1465" t="inlineStr">
        <is>
          <t>2760</t>
        </is>
      </c>
      <c r="E1465" t="inlineStr">
        <is>
          <t>pagado</t>
        </is>
      </c>
      <c r="F1465" s="23" t="n">
        <v>46273</v>
      </c>
      <c r="G1465" s="24">
        <f>F1465-DATE(2026,8,31)</f>
        <v>8</v>
      </c>
      <c r="H1465" s="25" t="n">
        <v>71304584</v>
      </c>
      <c r="I1465" t="inlineStr">
        <is>
          <t>entidad-dia</t>
        </is>
      </c>
    </row>
    <row r="1466">
      <c r="A1466" t="inlineStr">
        <is>
          <t>PRAGMA</t>
        </is>
      </c>
      <c r="B1466" t="inlineStr">
        <is>
          <t>M1</t>
        </is>
      </c>
      <c r="C1466" t="inlineStr">
        <is>
          <t>Pasto</t>
        </is>
      </c>
      <c r="D1466" t="inlineStr">
        <is>
          <t>2760</t>
        </is>
      </c>
      <c r="E1466" t="inlineStr">
        <is>
          <t>pagado</t>
        </is>
      </c>
      <c r="F1466" s="23" t="n">
        <v>46274</v>
      </c>
      <c r="G1466" s="24">
        <f>F1466-DATE(2026,8,31)</f>
        <v>9</v>
      </c>
      <c r="H1466" s="25" t="n">
        <v>68723291</v>
      </c>
      <c r="I1466" t="inlineStr">
        <is>
          <t>entidad-dia</t>
        </is>
      </c>
    </row>
    <row r="1467">
      <c r="A1467" t="inlineStr">
        <is>
          <t>PRAGMA</t>
        </is>
      </c>
      <c r="B1467" t="inlineStr">
        <is>
          <t>M1</t>
        </is>
      </c>
      <c r="C1467" t="inlineStr">
        <is>
          <t>Pasto</t>
        </is>
      </c>
      <c r="D1467" t="inlineStr">
        <is>
          <t>2760</t>
        </is>
      </c>
      <c r="E1467" t="inlineStr">
        <is>
          <t>pagado</t>
        </is>
      </c>
      <c r="F1467" s="23" t="n">
        <v>46275</v>
      </c>
      <c r="G1467" s="24">
        <f>F1467-DATE(2026,8,31)</f>
        <v>10</v>
      </c>
      <c r="H1467" s="25" t="n">
        <v>65459393</v>
      </c>
      <c r="I1467" t="inlineStr">
        <is>
          <t>entidad-dia</t>
        </is>
      </c>
    </row>
    <row r="1468">
      <c r="A1468" t="inlineStr">
        <is>
          <t>PRAGMA</t>
        </is>
      </c>
      <c r="B1468" t="inlineStr">
        <is>
          <t>M1</t>
        </is>
      </c>
      <c r="C1468" t="inlineStr">
        <is>
          <t>Pasto</t>
        </is>
      </c>
      <c r="D1468" t="inlineStr">
        <is>
          <t>2760</t>
        </is>
      </c>
      <c r="E1468" t="inlineStr">
        <is>
          <t>pagado</t>
        </is>
      </c>
      <c r="F1468" s="23" t="n">
        <v>46276</v>
      </c>
      <c r="G1468" s="24">
        <f>F1468-DATE(2026,8,31)</f>
        <v>11</v>
      </c>
      <c r="H1468" s="25" t="n">
        <v>63764688</v>
      </c>
      <c r="I1468" t="inlineStr">
        <is>
          <t>entidad-dia</t>
        </is>
      </c>
    </row>
    <row r="1469">
      <c r="A1469" t="inlineStr">
        <is>
          <t>PRAGMA</t>
        </is>
      </c>
      <c r="B1469" t="inlineStr">
        <is>
          <t>M1</t>
        </is>
      </c>
      <c r="C1469" t="inlineStr">
        <is>
          <t>Pasto</t>
        </is>
      </c>
      <c r="D1469" t="inlineStr">
        <is>
          <t>2760</t>
        </is>
      </c>
      <c r="E1469" t="inlineStr">
        <is>
          <t>pagado</t>
        </is>
      </c>
      <c r="F1469" s="23" t="n">
        <v>46277</v>
      </c>
      <c r="G1469" s="24">
        <f>F1469-DATE(2026,8,31)</f>
        <v>12</v>
      </c>
      <c r="H1469" s="25" t="n">
        <v>68194077</v>
      </c>
      <c r="I1469" t="inlineStr">
        <is>
          <t>entidad-dia</t>
        </is>
      </c>
    </row>
    <row r="1470">
      <c r="A1470" t="inlineStr">
        <is>
          <t>PRAGMA</t>
        </is>
      </c>
      <c r="B1470" t="inlineStr">
        <is>
          <t>M1</t>
        </is>
      </c>
      <c r="C1470" t="inlineStr">
        <is>
          <t>Pasto</t>
        </is>
      </c>
      <c r="D1470" t="inlineStr">
        <is>
          <t>2760</t>
        </is>
      </c>
      <c r="E1470" t="inlineStr">
        <is>
          <t>pagado</t>
        </is>
      </c>
      <c r="F1470" s="23" t="n">
        <v>46278</v>
      </c>
      <c r="G1470" s="24">
        <f>F1470-DATE(2026,8,31)</f>
        <v>13</v>
      </c>
      <c r="H1470" s="25" t="n">
        <v>28611810</v>
      </c>
      <c r="I1470" t="inlineStr">
        <is>
          <t>entidad-dia</t>
        </is>
      </c>
    </row>
    <row r="1471">
      <c r="A1471" t="inlineStr">
        <is>
          <t>PRAGMA</t>
        </is>
      </c>
      <c r="B1471" t="inlineStr">
        <is>
          <t>M1</t>
        </is>
      </c>
      <c r="C1471" t="inlineStr">
        <is>
          <t>Pasto</t>
        </is>
      </c>
      <c r="D1471" t="inlineStr">
        <is>
          <t>2760</t>
        </is>
      </c>
      <c r="E1471" t="inlineStr">
        <is>
          <t>pagado</t>
        </is>
      </c>
      <c r="F1471" s="23" t="n">
        <v>46279</v>
      </c>
      <c r="G1471" s="24">
        <f>F1471-DATE(2026,8,31)</f>
        <v>14</v>
      </c>
      <c r="H1471" s="25" t="n">
        <v>59442434</v>
      </c>
      <c r="I1471" t="inlineStr">
        <is>
          <t>entidad-dia</t>
        </is>
      </c>
    </row>
    <row r="1472">
      <c r="A1472" t="inlineStr">
        <is>
          <t>PRAGMA</t>
        </is>
      </c>
      <c r="B1472" t="inlineStr">
        <is>
          <t>M1</t>
        </is>
      </c>
      <c r="C1472" t="inlineStr">
        <is>
          <t>Pasto</t>
        </is>
      </c>
      <c r="D1472" t="inlineStr">
        <is>
          <t>2760</t>
        </is>
      </c>
      <c r="E1472" t="inlineStr">
        <is>
          <t>pagado</t>
        </is>
      </c>
      <c r="F1472" s="23" t="n">
        <v>46280</v>
      </c>
      <c r="G1472" s="24">
        <f>F1472-DATE(2026,8,31)</f>
        <v>15</v>
      </c>
      <c r="H1472" s="25" t="n">
        <v>73658771</v>
      </c>
      <c r="I1472" t="inlineStr">
        <is>
          <t>entidad-dia</t>
        </is>
      </c>
    </row>
    <row r="1473">
      <c r="A1473" t="inlineStr">
        <is>
          <t>PRAGMA</t>
        </is>
      </c>
      <c r="B1473" t="inlineStr">
        <is>
          <t>M1</t>
        </is>
      </c>
      <c r="C1473" t="inlineStr">
        <is>
          <t>Cali</t>
        </is>
      </c>
      <c r="D1473" t="inlineStr">
        <is>
          <t>2790</t>
        </is>
      </c>
      <c r="E1473" t="inlineStr">
        <is>
          <t>pagado</t>
        </is>
      </c>
      <c r="F1473" s="23" t="n">
        <v>46266</v>
      </c>
      <c r="G1473" s="24">
        <f>F1473-DATE(2026,8,31)</f>
        <v>1</v>
      </c>
      <c r="H1473" s="25" t="n">
        <v>122809317</v>
      </c>
      <c r="I1473" t="inlineStr">
        <is>
          <t>entidad-dia</t>
        </is>
      </c>
    </row>
    <row r="1474">
      <c r="A1474" t="inlineStr">
        <is>
          <t>PRAGMA</t>
        </is>
      </c>
      <c r="B1474" t="inlineStr">
        <is>
          <t>M1</t>
        </is>
      </c>
      <c r="C1474" t="inlineStr">
        <is>
          <t>Cali</t>
        </is>
      </c>
      <c r="D1474" t="inlineStr">
        <is>
          <t>2790</t>
        </is>
      </c>
      <c r="E1474" t="inlineStr">
        <is>
          <t>pagado</t>
        </is>
      </c>
      <c r="F1474" s="23" t="n">
        <v>46267</v>
      </c>
      <c r="G1474" s="24">
        <f>F1474-DATE(2026,8,31)</f>
        <v>2</v>
      </c>
      <c r="H1474" s="25" t="n">
        <v>101911969</v>
      </c>
      <c r="I1474" t="inlineStr">
        <is>
          <t>entidad-dia</t>
        </is>
      </c>
    </row>
    <row r="1475">
      <c r="A1475" t="inlineStr">
        <is>
          <t>PRAGMA</t>
        </is>
      </c>
      <c r="B1475" t="inlineStr">
        <is>
          <t>M1</t>
        </is>
      </c>
      <c r="C1475" t="inlineStr">
        <is>
          <t>Cali</t>
        </is>
      </c>
      <c r="D1475" t="inlineStr">
        <is>
          <t>2790</t>
        </is>
      </c>
      <c r="E1475" t="inlineStr">
        <is>
          <t>pagado</t>
        </is>
      </c>
      <c r="F1475" s="23" t="n">
        <v>46268</v>
      </c>
      <c r="G1475" s="24">
        <f>F1475-DATE(2026,8,31)</f>
        <v>3</v>
      </c>
      <c r="H1475" s="25" t="n">
        <v>89587304</v>
      </c>
      <c r="I1475" t="inlineStr">
        <is>
          <t>entidad-dia</t>
        </is>
      </c>
    </row>
    <row r="1476">
      <c r="A1476" t="inlineStr">
        <is>
          <t>PRAGMA</t>
        </is>
      </c>
      <c r="B1476" t="inlineStr">
        <is>
          <t>M1</t>
        </is>
      </c>
      <c r="C1476" t="inlineStr">
        <is>
          <t>Cali</t>
        </is>
      </c>
      <c r="D1476" t="inlineStr">
        <is>
          <t>2790</t>
        </is>
      </c>
      <c r="E1476" t="inlineStr">
        <is>
          <t>pagado</t>
        </is>
      </c>
      <c r="F1476" s="23" t="n">
        <v>46269</v>
      </c>
      <c r="G1476" s="24">
        <f>F1476-DATE(2026,8,31)</f>
        <v>4</v>
      </c>
      <c r="H1476" s="25" t="n">
        <v>94339601</v>
      </c>
      <c r="I1476" t="inlineStr">
        <is>
          <t>entidad-dia</t>
        </is>
      </c>
    </row>
    <row r="1477">
      <c r="A1477" t="inlineStr">
        <is>
          <t>PRAGMA</t>
        </is>
      </c>
      <c r="B1477" t="inlineStr">
        <is>
          <t>M1</t>
        </is>
      </c>
      <c r="C1477" t="inlineStr">
        <is>
          <t>Cali</t>
        </is>
      </c>
      <c r="D1477" t="inlineStr">
        <is>
          <t>2790</t>
        </is>
      </c>
      <c r="E1477" t="inlineStr">
        <is>
          <t>pagado</t>
        </is>
      </c>
      <c r="F1477" s="23" t="n">
        <v>46270</v>
      </c>
      <c r="G1477" s="24">
        <f>F1477-DATE(2026,8,31)</f>
        <v>5</v>
      </c>
      <c r="H1477" s="25" t="n">
        <v>87337499</v>
      </c>
      <c r="I1477" t="inlineStr">
        <is>
          <t>entidad-dia</t>
        </is>
      </c>
    </row>
    <row r="1478">
      <c r="A1478" t="inlineStr">
        <is>
          <t>PRAGMA</t>
        </is>
      </c>
      <c r="B1478" t="inlineStr">
        <is>
          <t>M1</t>
        </is>
      </c>
      <c r="C1478" t="inlineStr">
        <is>
          <t>Cali</t>
        </is>
      </c>
      <c r="D1478" t="inlineStr">
        <is>
          <t>2790</t>
        </is>
      </c>
      <c r="E1478" t="inlineStr">
        <is>
          <t>pagado</t>
        </is>
      </c>
      <c r="F1478" s="23" t="n">
        <v>46271</v>
      </c>
      <c r="G1478" s="24">
        <f>F1478-DATE(2026,8,31)</f>
        <v>6</v>
      </c>
      <c r="H1478" s="25" t="n">
        <v>44355774</v>
      </c>
      <c r="I1478" t="inlineStr">
        <is>
          <t>entidad-dia</t>
        </is>
      </c>
    </row>
    <row r="1479">
      <c r="A1479" t="inlineStr">
        <is>
          <t>PRAGMA</t>
        </is>
      </c>
      <c r="B1479" t="inlineStr">
        <is>
          <t>M1</t>
        </is>
      </c>
      <c r="C1479" t="inlineStr">
        <is>
          <t>Cali</t>
        </is>
      </c>
      <c r="D1479" t="inlineStr">
        <is>
          <t>2790</t>
        </is>
      </c>
      <c r="E1479" t="inlineStr">
        <is>
          <t>pagado</t>
        </is>
      </c>
      <c r="F1479" s="23" t="n">
        <v>46272</v>
      </c>
      <c r="G1479" s="24">
        <f>F1479-DATE(2026,8,31)</f>
        <v>7</v>
      </c>
      <c r="H1479" s="25" t="n">
        <v>73269617</v>
      </c>
      <c r="I1479" t="inlineStr">
        <is>
          <t>entidad-dia</t>
        </is>
      </c>
    </row>
    <row r="1480">
      <c r="A1480" t="inlineStr">
        <is>
          <t>PRAGMA</t>
        </is>
      </c>
      <c r="B1480" t="inlineStr">
        <is>
          <t>M1</t>
        </is>
      </c>
      <c r="C1480" t="inlineStr">
        <is>
          <t>Cali</t>
        </is>
      </c>
      <c r="D1480" t="inlineStr">
        <is>
          <t>2790</t>
        </is>
      </c>
      <c r="E1480" t="inlineStr">
        <is>
          <t>pagado</t>
        </is>
      </c>
      <c r="F1480" s="23" t="n">
        <v>46273</v>
      </c>
      <c r="G1480" s="24">
        <f>F1480-DATE(2026,8,31)</f>
        <v>8</v>
      </c>
      <c r="H1480" s="25" t="n">
        <v>80387616</v>
      </c>
      <c r="I1480" t="inlineStr">
        <is>
          <t>entidad-dia</t>
        </is>
      </c>
    </row>
    <row r="1481">
      <c r="A1481" t="inlineStr">
        <is>
          <t>PRAGMA</t>
        </is>
      </c>
      <c r="B1481" t="inlineStr">
        <is>
          <t>M1</t>
        </is>
      </c>
      <c r="C1481" t="inlineStr">
        <is>
          <t>Cali</t>
        </is>
      </c>
      <c r="D1481" t="inlineStr">
        <is>
          <t>2790</t>
        </is>
      </c>
      <c r="E1481" t="inlineStr">
        <is>
          <t>pagado</t>
        </is>
      </c>
      <c r="F1481" s="23" t="n">
        <v>46274</v>
      </c>
      <c r="G1481" s="24">
        <f>F1481-DATE(2026,8,31)</f>
        <v>9</v>
      </c>
      <c r="H1481" s="25" t="n">
        <v>62932477</v>
      </c>
      <c r="I1481" t="inlineStr">
        <is>
          <t>entidad-dia</t>
        </is>
      </c>
    </row>
    <row r="1482">
      <c r="A1482" t="inlineStr">
        <is>
          <t>PRAGMA</t>
        </is>
      </c>
      <c r="B1482" t="inlineStr">
        <is>
          <t>M1</t>
        </is>
      </c>
      <c r="C1482" t="inlineStr">
        <is>
          <t>Cali</t>
        </is>
      </c>
      <c r="D1482" t="inlineStr">
        <is>
          <t>2790</t>
        </is>
      </c>
      <c r="E1482" t="inlineStr">
        <is>
          <t>pagado</t>
        </is>
      </c>
      <c r="F1482" s="23" t="n">
        <v>46275</v>
      </c>
      <c r="G1482" s="24">
        <f>F1482-DATE(2026,8,31)</f>
        <v>10</v>
      </c>
      <c r="H1482" s="25" t="n">
        <v>65389599</v>
      </c>
      <c r="I1482" t="inlineStr">
        <is>
          <t>entidad-dia</t>
        </is>
      </c>
    </row>
    <row r="1483">
      <c r="A1483" t="inlineStr">
        <is>
          <t>PRAGMA</t>
        </is>
      </c>
      <c r="B1483" t="inlineStr">
        <is>
          <t>M1</t>
        </is>
      </c>
      <c r="C1483" t="inlineStr">
        <is>
          <t>Cali</t>
        </is>
      </c>
      <c r="D1483" t="inlineStr">
        <is>
          <t>2790</t>
        </is>
      </c>
      <c r="E1483" t="inlineStr">
        <is>
          <t>pagado</t>
        </is>
      </c>
      <c r="F1483" s="23" t="n">
        <v>46276</v>
      </c>
      <c r="G1483" s="24">
        <f>F1483-DATE(2026,8,31)</f>
        <v>11</v>
      </c>
      <c r="H1483" s="25" t="n">
        <v>73089232</v>
      </c>
      <c r="I1483" t="inlineStr">
        <is>
          <t>entidad-dia</t>
        </is>
      </c>
    </row>
    <row r="1484">
      <c r="A1484" t="inlineStr">
        <is>
          <t>PRAGMA</t>
        </is>
      </c>
      <c r="B1484" t="inlineStr">
        <is>
          <t>M1</t>
        </is>
      </c>
      <c r="C1484" t="inlineStr">
        <is>
          <t>Cali</t>
        </is>
      </c>
      <c r="D1484" t="inlineStr">
        <is>
          <t>2790</t>
        </is>
      </c>
      <c r="E1484" t="inlineStr">
        <is>
          <t>pagado</t>
        </is>
      </c>
      <c r="F1484" s="23" t="n">
        <v>46277</v>
      </c>
      <c r="G1484" s="24">
        <f>F1484-DATE(2026,8,31)</f>
        <v>12</v>
      </c>
      <c r="H1484" s="25" t="n">
        <v>72154204</v>
      </c>
      <c r="I1484" t="inlineStr">
        <is>
          <t>entidad-dia</t>
        </is>
      </c>
    </row>
    <row r="1485">
      <c r="A1485" t="inlineStr">
        <is>
          <t>PRAGMA</t>
        </is>
      </c>
      <c r="B1485" t="inlineStr">
        <is>
          <t>M1</t>
        </is>
      </c>
      <c r="C1485" t="inlineStr">
        <is>
          <t>Cali</t>
        </is>
      </c>
      <c r="D1485" t="inlineStr">
        <is>
          <t>2790</t>
        </is>
      </c>
      <c r="E1485" t="inlineStr">
        <is>
          <t>pagado</t>
        </is>
      </c>
      <c r="F1485" s="23" t="n">
        <v>46278</v>
      </c>
      <c r="G1485" s="24">
        <f>F1485-DATE(2026,8,31)</f>
        <v>13</v>
      </c>
      <c r="H1485" s="25" t="n">
        <v>34957804</v>
      </c>
      <c r="I1485" t="inlineStr">
        <is>
          <t>entidad-dia</t>
        </is>
      </c>
    </row>
    <row r="1486">
      <c r="A1486" t="inlineStr">
        <is>
          <t>PRAGMA</t>
        </is>
      </c>
      <c r="B1486" t="inlineStr">
        <is>
          <t>M1</t>
        </is>
      </c>
      <c r="C1486" t="inlineStr">
        <is>
          <t>Cali</t>
        </is>
      </c>
      <c r="D1486" t="inlineStr">
        <is>
          <t>2790</t>
        </is>
      </c>
      <c r="E1486" t="inlineStr">
        <is>
          <t>pagado</t>
        </is>
      </c>
      <c r="F1486" s="23" t="n">
        <v>46279</v>
      </c>
      <c r="G1486" s="24">
        <f>F1486-DATE(2026,8,31)</f>
        <v>14</v>
      </c>
      <c r="H1486" s="25" t="n">
        <v>66809528</v>
      </c>
      <c r="I1486" t="inlineStr">
        <is>
          <t>entidad-dia</t>
        </is>
      </c>
    </row>
    <row r="1487">
      <c r="A1487" t="inlineStr">
        <is>
          <t>PRAGMA</t>
        </is>
      </c>
      <c r="B1487" t="inlineStr">
        <is>
          <t>M1</t>
        </is>
      </c>
      <c r="C1487" t="inlineStr">
        <is>
          <t>Cali</t>
        </is>
      </c>
      <c r="D1487" t="inlineStr">
        <is>
          <t>2790</t>
        </is>
      </c>
      <c r="E1487" t="inlineStr">
        <is>
          <t>pagado</t>
        </is>
      </c>
      <c r="F1487" s="23" t="n">
        <v>46280</v>
      </c>
      <c r="G1487" s="24">
        <f>F1487-DATE(2026,8,31)</f>
        <v>15</v>
      </c>
      <c r="H1487" s="25" t="n">
        <v>92207157</v>
      </c>
      <c r="I1487" t="inlineStr">
        <is>
          <t>entidad-dia</t>
        </is>
      </c>
    </row>
    <row r="1488">
      <c r="A1488" t="inlineStr">
        <is>
          <t>PRAGMA</t>
        </is>
      </c>
      <c r="B1488" t="inlineStr">
        <is>
          <t>M1</t>
        </is>
      </c>
      <c r="C1488" t="inlineStr">
        <is>
          <t>Cali</t>
        </is>
      </c>
      <c r="D1488" t="inlineStr">
        <is>
          <t>2805</t>
        </is>
      </c>
      <c r="E1488" t="inlineStr">
        <is>
          <t>pagado</t>
        </is>
      </c>
      <c r="F1488" s="23" t="n">
        <v>46266</v>
      </c>
      <c r="G1488" s="24">
        <f>F1488-DATE(2026,8,31)</f>
        <v>1</v>
      </c>
      <c r="H1488" s="25" t="n">
        <v>49730536</v>
      </c>
      <c r="I1488" t="inlineStr">
        <is>
          <t>entidad-dia</t>
        </is>
      </c>
    </row>
    <row r="1489">
      <c r="A1489" t="inlineStr">
        <is>
          <t>PRAGMA</t>
        </is>
      </c>
      <c r="B1489" t="inlineStr">
        <is>
          <t>M1</t>
        </is>
      </c>
      <c r="C1489" t="inlineStr">
        <is>
          <t>Cali</t>
        </is>
      </c>
      <c r="D1489" t="inlineStr">
        <is>
          <t>2805</t>
        </is>
      </c>
      <c r="E1489" t="inlineStr">
        <is>
          <t>pagado</t>
        </is>
      </c>
      <c r="F1489" s="23" t="n">
        <v>46267</v>
      </c>
      <c r="G1489" s="24">
        <f>F1489-DATE(2026,8,31)</f>
        <v>2</v>
      </c>
      <c r="H1489" s="25" t="n">
        <v>27693179</v>
      </c>
      <c r="I1489" t="inlineStr">
        <is>
          <t>entidad-dia</t>
        </is>
      </c>
    </row>
    <row r="1490">
      <c r="A1490" t="inlineStr">
        <is>
          <t>PRAGMA</t>
        </is>
      </c>
      <c r="B1490" t="inlineStr">
        <is>
          <t>M1</t>
        </is>
      </c>
      <c r="C1490" t="inlineStr">
        <is>
          <t>Cali</t>
        </is>
      </c>
      <c r="D1490" t="inlineStr">
        <is>
          <t>2805</t>
        </is>
      </c>
      <c r="E1490" t="inlineStr">
        <is>
          <t>pagado</t>
        </is>
      </c>
      <c r="F1490" s="23" t="n">
        <v>46268</v>
      </c>
      <c r="G1490" s="24">
        <f>F1490-DATE(2026,8,31)</f>
        <v>3</v>
      </c>
      <c r="H1490" s="25" t="n">
        <v>23048193</v>
      </c>
      <c r="I1490" t="inlineStr">
        <is>
          <t>entidad-dia</t>
        </is>
      </c>
    </row>
    <row r="1491">
      <c r="A1491" t="inlineStr">
        <is>
          <t>PRAGMA</t>
        </is>
      </c>
      <c r="B1491" t="inlineStr">
        <is>
          <t>M1</t>
        </is>
      </c>
      <c r="C1491" t="inlineStr">
        <is>
          <t>Cali</t>
        </is>
      </c>
      <c r="D1491" t="inlineStr">
        <is>
          <t>2805</t>
        </is>
      </c>
      <c r="E1491" t="inlineStr">
        <is>
          <t>pagado</t>
        </is>
      </c>
      <c r="F1491" s="23" t="n">
        <v>46269</v>
      </c>
      <c r="G1491" s="24">
        <f>F1491-DATE(2026,8,31)</f>
        <v>4</v>
      </c>
      <c r="H1491" s="25" t="n">
        <v>30173565</v>
      </c>
      <c r="I1491" t="inlineStr">
        <is>
          <t>entidad-dia</t>
        </is>
      </c>
    </row>
    <row r="1492">
      <c r="A1492" t="inlineStr">
        <is>
          <t>PRAGMA</t>
        </is>
      </c>
      <c r="B1492" t="inlineStr">
        <is>
          <t>M1</t>
        </is>
      </c>
      <c r="C1492" t="inlineStr">
        <is>
          <t>Cali</t>
        </is>
      </c>
      <c r="D1492" t="inlineStr">
        <is>
          <t>2805</t>
        </is>
      </c>
      <c r="E1492" t="inlineStr">
        <is>
          <t>pagado</t>
        </is>
      </c>
      <c r="F1492" s="23" t="n">
        <v>46270</v>
      </c>
      <c r="G1492" s="24">
        <f>F1492-DATE(2026,8,31)</f>
        <v>5</v>
      </c>
      <c r="H1492" s="25" t="n">
        <v>24156357</v>
      </c>
      <c r="I1492" t="inlineStr">
        <is>
          <t>entidad-dia</t>
        </is>
      </c>
    </row>
    <row r="1493">
      <c r="A1493" t="inlineStr">
        <is>
          <t>PRAGMA</t>
        </is>
      </c>
      <c r="B1493" t="inlineStr">
        <is>
          <t>M1</t>
        </is>
      </c>
      <c r="C1493" t="inlineStr">
        <is>
          <t>Cali</t>
        </is>
      </c>
      <c r="D1493" t="inlineStr">
        <is>
          <t>2805</t>
        </is>
      </c>
      <c r="E1493" t="inlineStr">
        <is>
          <t>pagado</t>
        </is>
      </c>
      <c r="F1493" s="23" t="n">
        <v>46271</v>
      </c>
      <c r="G1493" s="24">
        <f>F1493-DATE(2026,8,31)</f>
        <v>6</v>
      </c>
      <c r="H1493" s="25" t="n">
        <v>5807195</v>
      </c>
      <c r="I1493" t="inlineStr">
        <is>
          <t>entidad-dia</t>
        </is>
      </c>
    </row>
    <row r="1494">
      <c r="A1494" t="inlineStr">
        <is>
          <t>PRAGMA</t>
        </is>
      </c>
      <c r="B1494" t="inlineStr">
        <is>
          <t>M1</t>
        </is>
      </c>
      <c r="C1494" t="inlineStr">
        <is>
          <t>Cali</t>
        </is>
      </c>
      <c r="D1494" t="inlineStr">
        <is>
          <t>2805</t>
        </is>
      </c>
      <c r="E1494" t="inlineStr">
        <is>
          <t>pagado</t>
        </is>
      </c>
      <c r="F1494" s="23" t="n">
        <v>46272</v>
      </c>
      <c r="G1494" s="24">
        <f>F1494-DATE(2026,8,31)</f>
        <v>7</v>
      </c>
      <c r="H1494" s="25" t="n">
        <v>17878444</v>
      </c>
      <c r="I1494" t="inlineStr">
        <is>
          <t>entidad-dia</t>
        </is>
      </c>
    </row>
    <row r="1495">
      <c r="A1495" t="inlineStr">
        <is>
          <t>PRAGMA</t>
        </is>
      </c>
      <c r="B1495" t="inlineStr">
        <is>
          <t>M1</t>
        </is>
      </c>
      <c r="C1495" t="inlineStr">
        <is>
          <t>Cali</t>
        </is>
      </c>
      <c r="D1495" t="inlineStr">
        <is>
          <t>2805</t>
        </is>
      </c>
      <c r="E1495" t="inlineStr">
        <is>
          <t>pagado</t>
        </is>
      </c>
      <c r="F1495" s="23" t="n">
        <v>46273</v>
      </c>
      <c r="G1495" s="24">
        <f>F1495-DATE(2026,8,31)</f>
        <v>8</v>
      </c>
      <c r="H1495" s="25" t="n">
        <v>15254398</v>
      </c>
      <c r="I1495" t="inlineStr">
        <is>
          <t>entidad-dia</t>
        </is>
      </c>
    </row>
    <row r="1496">
      <c r="A1496" t="inlineStr">
        <is>
          <t>PRAGMA</t>
        </is>
      </c>
      <c r="B1496" t="inlineStr">
        <is>
          <t>M1</t>
        </is>
      </c>
      <c r="C1496" t="inlineStr">
        <is>
          <t>Cali</t>
        </is>
      </c>
      <c r="D1496" t="inlineStr">
        <is>
          <t>2805</t>
        </is>
      </c>
      <c r="E1496" t="inlineStr">
        <is>
          <t>pagado</t>
        </is>
      </c>
      <c r="F1496" s="23" t="n">
        <v>46274</v>
      </c>
      <c r="G1496" s="24">
        <f>F1496-DATE(2026,8,31)</f>
        <v>9</v>
      </c>
      <c r="H1496" s="25" t="n">
        <v>12455856</v>
      </c>
      <c r="I1496" t="inlineStr">
        <is>
          <t>entidad-dia</t>
        </is>
      </c>
    </row>
    <row r="1497">
      <c r="A1497" t="inlineStr">
        <is>
          <t>PRAGMA</t>
        </is>
      </c>
      <c r="B1497" t="inlineStr">
        <is>
          <t>M1</t>
        </is>
      </c>
      <c r="C1497" t="inlineStr">
        <is>
          <t>Cali</t>
        </is>
      </c>
      <c r="D1497" t="inlineStr">
        <is>
          <t>2805</t>
        </is>
      </c>
      <c r="E1497" t="inlineStr">
        <is>
          <t>pagado</t>
        </is>
      </c>
      <c r="F1497" s="23" t="n">
        <v>46275</v>
      </c>
      <c r="G1497" s="24">
        <f>F1497-DATE(2026,8,31)</f>
        <v>10</v>
      </c>
      <c r="H1497" s="25" t="n">
        <v>12745948</v>
      </c>
      <c r="I1497" t="inlineStr">
        <is>
          <t>entidad-dia</t>
        </is>
      </c>
    </row>
    <row r="1498">
      <c r="A1498" t="inlineStr">
        <is>
          <t>PRAGMA</t>
        </is>
      </c>
      <c r="B1498" t="inlineStr">
        <is>
          <t>M1</t>
        </is>
      </c>
      <c r="C1498" t="inlineStr">
        <is>
          <t>Cali</t>
        </is>
      </c>
      <c r="D1498" t="inlineStr">
        <is>
          <t>2805</t>
        </is>
      </c>
      <c r="E1498" t="inlineStr">
        <is>
          <t>pagado</t>
        </is>
      </c>
      <c r="F1498" s="23" t="n">
        <v>46276</v>
      </c>
      <c r="G1498" s="24">
        <f>F1498-DATE(2026,8,31)</f>
        <v>11</v>
      </c>
      <c r="H1498" s="25" t="n">
        <v>18844869</v>
      </c>
      <c r="I1498" t="inlineStr">
        <is>
          <t>entidad-dia</t>
        </is>
      </c>
    </row>
    <row r="1499">
      <c r="A1499" t="inlineStr">
        <is>
          <t>PRAGMA</t>
        </is>
      </c>
      <c r="B1499" t="inlineStr">
        <is>
          <t>M1</t>
        </is>
      </c>
      <c r="C1499" t="inlineStr">
        <is>
          <t>Cali</t>
        </is>
      </c>
      <c r="D1499" t="inlineStr">
        <is>
          <t>2805</t>
        </is>
      </c>
      <c r="E1499" t="inlineStr">
        <is>
          <t>pagado</t>
        </is>
      </c>
      <c r="F1499" s="23" t="n">
        <v>46277</v>
      </c>
      <c r="G1499" s="24">
        <f>F1499-DATE(2026,8,31)</f>
        <v>12</v>
      </c>
      <c r="H1499" s="25" t="n">
        <v>20867059</v>
      </c>
      <c r="I1499" t="inlineStr">
        <is>
          <t>entidad-dia</t>
        </is>
      </c>
    </row>
    <row r="1500">
      <c r="A1500" t="inlineStr">
        <is>
          <t>PRAGMA</t>
        </is>
      </c>
      <c r="B1500" t="inlineStr">
        <is>
          <t>M1</t>
        </is>
      </c>
      <c r="C1500" t="inlineStr">
        <is>
          <t>Cali</t>
        </is>
      </c>
      <c r="D1500" t="inlineStr">
        <is>
          <t>2805</t>
        </is>
      </c>
      <c r="E1500" t="inlineStr">
        <is>
          <t>pagado</t>
        </is>
      </c>
      <c r="F1500" s="23" t="n">
        <v>46278</v>
      </c>
      <c r="G1500" s="24">
        <f>F1500-DATE(2026,8,31)</f>
        <v>13</v>
      </c>
      <c r="H1500" s="25" t="n">
        <v>3981264</v>
      </c>
      <c r="I1500" t="inlineStr">
        <is>
          <t>entidad-dia</t>
        </is>
      </c>
    </row>
    <row r="1501">
      <c r="A1501" t="inlineStr">
        <is>
          <t>PRAGMA</t>
        </is>
      </c>
      <c r="B1501" t="inlineStr">
        <is>
          <t>M1</t>
        </is>
      </c>
      <c r="C1501" t="inlineStr">
        <is>
          <t>Cali</t>
        </is>
      </c>
      <c r="D1501" t="inlineStr">
        <is>
          <t>2805</t>
        </is>
      </c>
      <c r="E1501" t="inlineStr">
        <is>
          <t>pagado</t>
        </is>
      </c>
      <c r="F1501" s="23" t="n">
        <v>46279</v>
      </c>
      <c r="G1501" s="24">
        <f>F1501-DATE(2026,8,31)</f>
        <v>14</v>
      </c>
      <c r="H1501" s="25" t="n">
        <v>21263540</v>
      </c>
      <c r="I1501" t="inlineStr">
        <is>
          <t>entidad-dia</t>
        </is>
      </c>
    </row>
    <row r="1502">
      <c r="A1502" t="inlineStr">
        <is>
          <t>PRAGMA</t>
        </is>
      </c>
      <c r="B1502" t="inlineStr">
        <is>
          <t>M1</t>
        </is>
      </c>
      <c r="C1502" t="inlineStr">
        <is>
          <t>Cali</t>
        </is>
      </c>
      <c r="D1502" t="inlineStr">
        <is>
          <t>2805</t>
        </is>
      </c>
      <c r="E1502" t="inlineStr">
        <is>
          <t>pagado</t>
        </is>
      </c>
      <c r="F1502" s="23" t="n">
        <v>46280</v>
      </c>
      <c r="G1502" s="24">
        <f>F1502-DATE(2026,8,31)</f>
        <v>15</v>
      </c>
      <c r="H1502" s="25" t="n">
        <v>54394645</v>
      </c>
      <c r="I1502" t="inlineStr">
        <is>
          <t>entidad-dia</t>
        </is>
      </c>
    </row>
    <row r="1503">
      <c r="A1503" t="inlineStr">
        <is>
          <t>PRAGMA</t>
        </is>
      </c>
      <c r="B1503" t="inlineStr">
        <is>
          <t>M1</t>
        </is>
      </c>
      <c r="C1503" t="inlineStr">
        <is>
          <t>Cali</t>
        </is>
      </c>
      <c r="D1503" t="inlineStr">
        <is>
          <t>2863</t>
        </is>
      </c>
      <c r="E1503" t="inlineStr">
        <is>
          <t>pagado</t>
        </is>
      </c>
      <c r="F1503" s="23" t="n">
        <v>46266</v>
      </c>
      <c r="G1503" s="24">
        <f>F1503-DATE(2026,8,31)</f>
        <v>1</v>
      </c>
      <c r="H1503" s="25" t="n">
        <v>41152116</v>
      </c>
      <c r="I1503" t="inlineStr">
        <is>
          <t>entidad-dia</t>
        </is>
      </c>
    </row>
    <row r="1504">
      <c r="A1504" t="inlineStr">
        <is>
          <t>PRAGMA</t>
        </is>
      </c>
      <c r="B1504" t="inlineStr">
        <is>
          <t>M1</t>
        </is>
      </c>
      <c r="C1504" t="inlineStr">
        <is>
          <t>Cali</t>
        </is>
      </c>
      <c r="D1504" t="inlineStr">
        <is>
          <t>2863</t>
        </is>
      </c>
      <c r="E1504" t="inlineStr">
        <is>
          <t>pagado</t>
        </is>
      </c>
      <c r="F1504" s="23" t="n">
        <v>46267</v>
      </c>
      <c r="G1504" s="24">
        <f>F1504-DATE(2026,8,31)</f>
        <v>2</v>
      </c>
      <c r="H1504" s="25" t="n">
        <v>25956984</v>
      </c>
      <c r="I1504" t="inlineStr">
        <is>
          <t>entidad-dia</t>
        </is>
      </c>
    </row>
    <row r="1505">
      <c r="A1505" t="inlineStr">
        <is>
          <t>PRAGMA</t>
        </is>
      </c>
      <c r="B1505" t="inlineStr">
        <is>
          <t>M1</t>
        </is>
      </c>
      <c r="C1505" t="inlineStr">
        <is>
          <t>Cali</t>
        </is>
      </c>
      <c r="D1505" t="inlineStr">
        <is>
          <t>2863</t>
        </is>
      </c>
      <c r="E1505" t="inlineStr">
        <is>
          <t>pagado</t>
        </is>
      </c>
      <c r="F1505" s="23" t="n">
        <v>46268</v>
      </c>
      <c r="G1505" s="24">
        <f>F1505-DATE(2026,8,31)</f>
        <v>3</v>
      </c>
      <c r="H1505" s="25" t="n">
        <v>25555758</v>
      </c>
      <c r="I1505" t="inlineStr">
        <is>
          <t>entidad-dia</t>
        </is>
      </c>
    </row>
    <row r="1506">
      <c r="A1506" t="inlineStr">
        <is>
          <t>PRAGMA</t>
        </is>
      </c>
      <c r="B1506" t="inlineStr">
        <is>
          <t>M1</t>
        </is>
      </c>
      <c r="C1506" t="inlineStr">
        <is>
          <t>Cali</t>
        </is>
      </c>
      <c r="D1506" t="inlineStr">
        <is>
          <t>2863</t>
        </is>
      </c>
      <c r="E1506" t="inlineStr">
        <is>
          <t>pagado</t>
        </is>
      </c>
      <c r="F1506" s="23" t="n">
        <v>46269</v>
      </c>
      <c r="G1506" s="24">
        <f>F1506-DATE(2026,8,31)</f>
        <v>4</v>
      </c>
      <c r="H1506" s="25" t="n">
        <v>25463082</v>
      </c>
      <c r="I1506" t="inlineStr">
        <is>
          <t>entidad-dia</t>
        </is>
      </c>
    </row>
    <row r="1507">
      <c r="A1507" t="inlineStr">
        <is>
          <t>PRAGMA</t>
        </is>
      </c>
      <c r="B1507" t="inlineStr">
        <is>
          <t>M1</t>
        </is>
      </c>
      <c r="C1507" t="inlineStr">
        <is>
          <t>Cali</t>
        </is>
      </c>
      <c r="D1507" t="inlineStr">
        <is>
          <t>2863</t>
        </is>
      </c>
      <c r="E1507" t="inlineStr">
        <is>
          <t>pagado</t>
        </is>
      </c>
      <c r="F1507" s="23" t="n">
        <v>46270</v>
      </c>
      <c r="G1507" s="24">
        <f>F1507-DATE(2026,8,31)</f>
        <v>5</v>
      </c>
      <c r="H1507" s="25" t="n">
        <v>12756956</v>
      </c>
      <c r="I1507" t="inlineStr">
        <is>
          <t>entidad-dia</t>
        </is>
      </c>
    </row>
    <row r="1508">
      <c r="A1508" t="inlineStr">
        <is>
          <t>PRAGMA</t>
        </is>
      </c>
      <c r="B1508" t="inlineStr">
        <is>
          <t>M1</t>
        </is>
      </c>
      <c r="C1508" t="inlineStr">
        <is>
          <t>Cali</t>
        </is>
      </c>
      <c r="D1508" t="inlineStr">
        <is>
          <t>2863</t>
        </is>
      </c>
      <c r="E1508" t="inlineStr">
        <is>
          <t>pagado</t>
        </is>
      </c>
      <c r="F1508" s="23" t="n">
        <v>46271</v>
      </c>
      <c r="G1508" s="24">
        <f>F1508-DATE(2026,8,31)</f>
        <v>6</v>
      </c>
      <c r="H1508" s="25" t="n">
        <v>3636767</v>
      </c>
      <c r="I1508" t="inlineStr">
        <is>
          <t>entidad-dia</t>
        </is>
      </c>
    </row>
    <row r="1509">
      <c r="A1509" t="inlineStr">
        <is>
          <t>PRAGMA</t>
        </is>
      </c>
      <c r="B1509" t="inlineStr">
        <is>
          <t>M1</t>
        </is>
      </c>
      <c r="C1509" t="inlineStr">
        <is>
          <t>Cali</t>
        </is>
      </c>
      <c r="D1509" t="inlineStr">
        <is>
          <t>2863</t>
        </is>
      </c>
      <c r="E1509" t="inlineStr">
        <is>
          <t>pagado</t>
        </is>
      </c>
      <c r="F1509" s="23" t="n">
        <v>46272</v>
      </c>
      <c r="G1509" s="24">
        <f>F1509-DATE(2026,8,31)</f>
        <v>7</v>
      </c>
      <c r="H1509" s="25" t="n">
        <v>21657366</v>
      </c>
      <c r="I1509" t="inlineStr">
        <is>
          <t>entidad-dia</t>
        </is>
      </c>
    </row>
    <row r="1510">
      <c r="A1510" t="inlineStr">
        <is>
          <t>PRAGMA</t>
        </is>
      </c>
      <c r="B1510" t="inlineStr">
        <is>
          <t>M1</t>
        </is>
      </c>
      <c r="C1510" t="inlineStr">
        <is>
          <t>Cali</t>
        </is>
      </c>
      <c r="D1510" t="inlineStr">
        <is>
          <t>2863</t>
        </is>
      </c>
      <c r="E1510" t="inlineStr">
        <is>
          <t>pagado</t>
        </is>
      </c>
      <c r="F1510" s="23" t="n">
        <v>46273</v>
      </c>
      <c r="G1510" s="24">
        <f>F1510-DATE(2026,8,31)</f>
        <v>8</v>
      </c>
      <c r="H1510" s="25" t="n">
        <v>20747693</v>
      </c>
      <c r="I1510" t="inlineStr">
        <is>
          <t>entidad-dia</t>
        </is>
      </c>
    </row>
    <row r="1511">
      <c r="A1511" t="inlineStr">
        <is>
          <t>PRAGMA</t>
        </is>
      </c>
      <c r="B1511" t="inlineStr">
        <is>
          <t>M1</t>
        </is>
      </c>
      <c r="C1511" t="inlineStr">
        <is>
          <t>Cali</t>
        </is>
      </c>
      <c r="D1511" t="inlineStr">
        <is>
          <t>2863</t>
        </is>
      </c>
      <c r="E1511" t="inlineStr">
        <is>
          <t>pagado</t>
        </is>
      </c>
      <c r="F1511" s="23" t="n">
        <v>46274</v>
      </c>
      <c r="G1511" s="24">
        <f>F1511-DATE(2026,8,31)</f>
        <v>9</v>
      </c>
      <c r="H1511" s="25" t="n">
        <v>21979196</v>
      </c>
      <c r="I1511" t="inlineStr">
        <is>
          <t>entidad-dia</t>
        </is>
      </c>
    </row>
    <row r="1512">
      <c r="A1512" t="inlineStr">
        <is>
          <t>PRAGMA</t>
        </is>
      </c>
      <c r="B1512" t="inlineStr">
        <is>
          <t>M1</t>
        </is>
      </c>
      <c r="C1512" t="inlineStr">
        <is>
          <t>Cali</t>
        </is>
      </c>
      <c r="D1512" t="inlineStr">
        <is>
          <t>2863</t>
        </is>
      </c>
      <c r="E1512" t="inlineStr">
        <is>
          <t>pagado</t>
        </is>
      </c>
      <c r="F1512" s="23" t="n">
        <v>46275</v>
      </c>
      <c r="G1512" s="24">
        <f>F1512-DATE(2026,8,31)</f>
        <v>10</v>
      </c>
      <c r="H1512" s="25" t="n">
        <v>22212211</v>
      </c>
      <c r="I1512" t="inlineStr">
        <is>
          <t>entidad-dia</t>
        </is>
      </c>
    </row>
    <row r="1513">
      <c r="A1513" t="inlineStr">
        <is>
          <t>PRAGMA</t>
        </is>
      </c>
      <c r="B1513" t="inlineStr">
        <is>
          <t>M1</t>
        </is>
      </c>
      <c r="C1513" t="inlineStr">
        <is>
          <t>Cali</t>
        </is>
      </c>
      <c r="D1513" t="inlineStr">
        <is>
          <t>2863</t>
        </is>
      </c>
      <c r="E1513" t="inlineStr">
        <is>
          <t>pagado</t>
        </is>
      </c>
      <c r="F1513" s="23" t="n">
        <v>46276</v>
      </c>
      <c r="G1513" s="24">
        <f>F1513-DATE(2026,8,31)</f>
        <v>11</v>
      </c>
      <c r="H1513" s="25" t="n">
        <v>26558255</v>
      </c>
      <c r="I1513" t="inlineStr">
        <is>
          <t>entidad-dia</t>
        </is>
      </c>
    </row>
    <row r="1514">
      <c r="A1514" t="inlineStr">
        <is>
          <t>PRAGMA</t>
        </is>
      </c>
      <c r="B1514" t="inlineStr">
        <is>
          <t>M1</t>
        </is>
      </c>
      <c r="C1514" t="inlineStr">
        <is>
          <t>Cali</t>
        </is>
      </c>
      <c r="D1514" t="inlineStr">
        <is>
          <t>2863</t>
        </is>
      </c>
      <c r="E1514" t="inlineStr">
        <is>
          <t>pagado</t>
        </is>
      </c>
      <c r="F1514" s="23" t="n">
        <v>46277</v>
      </c>
      <c r="G1514" s="24">
        <f>F1514-DATE(2026,8,31)</f>
        <v>12</v>
      </c>
      <c r="H1514" s="25" t="n">
        <v>15038179</v>
      </c>
      <c r="I1514" t="inlineStr">
        <is>
          <t>entidad-dia</t>
        </is>
      </c>
    </row>
    <row r="1515">
      <c r="A1515" t="inlineStr">
        <is>
          <t>PRAGMA</t>
        </is>
      </c>
      <c r="B1515" t="inlineStr">
        <is>
          <t>M1</t>
        </is>
      </c>
      <c r="C1515" t="inlineStr">
        <is>
          <t>Cali</t>
        </is>
      </c>
      <c r="D1515" t="inlineStr">
        <is>
          <t>2863</t>
        </is>
      </c>
      <c r="E1515" t="inlineStr">
        <is>
          <t>pagado</t>
        </is>
      </c>
      <c r="F1515" s="23" t="n">
        <v>46278</v>
      </c>
      <c r="G1515" s="24">
        <f>F1515-DATE(2026,8,31)</f>
        <v>13</v>
      </c>
      <c r="H1515" s="25" t="n">
        <v>3446192</v>
      </c>
      <c r="I1515" t="inlineStr">
        <is>
          <t>entidad-dia</t>
        </is>
      </c>
    </row>
    <row r="1516">
      <c r="A1516" t="inlineStr">
        <is>
          <t>PRAGMA</t>
        </is>
      </c>
      <c r="B1516" t="inlineStr">
        <is>
          <t>M1</t>
        </is>
      </c>
      <c r="C1516" t="inlineStr">
        <is>
          <t>Cali</t>
        </is>
      </c>
      <c r="D1516" t="inlineStr">
        <is>
          <t>2863</t>
        </is>
      </c>
      <c r="E1516" t="inlineStr">
        <is>
          <t>pagado</t>
        </is>
      </c>
      <c r="F1516" s="23" t="n">
        <v>46279</v>
      </c>
      <c r="G1516" s="24">
        <f>F1516-DATE(2026,8,31)</f>
        <v>14</v>
      </c>
      <c r="H1516" s="25" t="n">
        <v>28347066</v>
      </c>
      <c r="I1516" t="inlineStr">
        <is>
          <t>entidad-dia</t>
        </is>
      </c>
    </row>
    <row r="1517">
      <c r="A1517" t="inlineStr">
        <is>
          <t>PRAGMA</t>
        </is>
      </c>
      <c r="B1517" t="inlineStr">
        <is>
          <t>M1</t>
        </is>
      </c>
      <c r="C1517" t="inlineStr">
        <is>
          <t>Cali</t>
        </is>
      </c>
      <c r="D1517" t="inlineStr">
        <is>
          <t>2863</t>
        </is>
      </c>
      <c r="E1517" t="inlineStr">
        <is>
          <t>pagado</t>
        </is>
      </c>
      <c r="F1517" s="23" t="n">
        <v>46280</v>
      </c>
      <c r="G1517" s="24">
        <f>F1517-DATE(2026,8,31)</f>
        <v>15</v>
      </c>
      <c r="H1517" s="25" t="n">
        <v>77141991</v>
      </c>
      <c r="I1517" t="inlineStr">
        <is>
          <t>entidad-dia</t>
        </is>
      </c>
    </row>
    <row r="1518">
      <c r="A1518" t="inlineStr">
        <is>
          <t>PRAGMA</t>
        </is>
      </c>
      <c r="B1518" t="inlineStr">
        <is>
          <t>M1</t>
        </is>
      </c>
      <c r="C1518" t="inlineStr">
        <is>
          <t>Cali</t>
        </is>
      </c>
      <c r="D1518" t="inlineStr">
        <is>
          <t>2866</t>
        </is>
      </c>
      <c r="E1518" t="inlineStr">
        <is>
          <t>pagado</t>
        </is>
      </c>
      <c r="F1518" s="23" t="n">
        <v>46266</v>
      </c>
      <c r="G1518" s="24">
        <f>F1518-DATE(2026,8,31)</f>
        <v>1</v>
      </c>
      <c r="H1518" s="25" t="n">
        <v>207450374</v>
      </c>
      <c r="I1518" t="inlineStr">
        <is>
          <t>entidad-dia</t>
        </is>
      </c>
    </row>
    <row r="1519">
      <c r="A1519" t="inlineStr">
        <is>
          <t>PRAGMA</t>
        </is>
      </c>
      <c r="B1519" t="inlineStr">
        <is>
          <t>M1</t>
        </is>
      </c>
      <c r="C1519" t="inlineStr">
        <is>
          <t>Cali</t>
        </is>
      </c>
      <c r="D1519" t="inlineStr">
        <is>
          <t>2866</t>
        </is>
      </c>
      <c r="E1519" t="inlineStr">
        <is>
          <t>pagado</t>
        </is>
      </c>
      <c r="F1519" s="23" t="n">
        <v>46267</v>
      </c>
      <c r="G1519" s="24">
        <f>F1519-DATE(2026,8,31)</f>
        <v>2</v>
      </c>
      <c r="H1519" s="25" t="n">
        <v>160289692</v>
      </c>
      <c r="I1519" t="inlineStr">
        <is>
          <t>entidad-dia</t>
        </is>
      </c>
    </row>
    <row r="1520">
      <c r="A1520" t="inlineStr">
        <is>
          <t>PRAGMA</t>
        </is>
      </c>
      <c r="B1520" t="inlineStr">
        <is>
          <t>M1</t>
        </is>
      </c>
      <c r="C1520" t="inlineStr">
        <is>
          <t>Cali</t>
        </is>
      </c>
      <c r="D1520" t="inlineStr">
        <is>
          <t>2866</t>
        </is>
      </c>
      <c r="E1520" t="inlineStr">
        <is>
          <t>pagado</t>
        </is>
      </c>
      <c r="F1520" s="23" t="n">
        <v>46268</v>
      </c>
      <c r="G1520" s="24">
        <f>F1520-DATE(2026,8,31)</f>
        <v>3</v>
      </c>
      <c r="H1520" s="25" t="n">
        <v>145584975</v>
      </c>
      <c r="I1520" t="inlineStr">
        <is>
          <t>entidad-dia</t>
        </is>
      </c>
    </row>
    <row r="1521">
      <c r="A1521" t="inlineStr">
        <is>
          <t>PRAGMA</t>
        </is>
      </c>
      <c r="B1521" t="inlineStr">
        <is>
          <t>M1</t>
        </is>
      </c>
      <c r="C1521" t="inlineStr">
        <is>
          <t>Cali</t>
        </is>
      </c>
      <c r="D1521" t="inlineStr">
        <is>
          <t>2866</t>
        </is>
      </c>
      <c r="E1521" t="inlineStr">
        <is>
          <t>pagado</t>
        </is>
      </c>
      <c r="F1521" s="23" t="n">
        <v>46269</v>
      </c>
      <c r="G1521" s="24">
        <f>F1521-DATE(2026,8,31)</f>
        <v>4</v>
      </c>
      <c r="H1521" s="25" t="n">
        <v>140743326</v>
      </c>
      <c r="I1521" t="inlineStr">
        <is>
          <t>entidad-dia</t>
        </is>
      </c>
    </row>
    <row r="1522">
      <c r="A1522" t="inlineStr">
        <is>
          <t>PRAGMA</t>
        </is>
      </c>
      <c r="B1522" t="inlineStr">
        <is>
          <t>M1</t>
        </is>
      </c>
      <c r="C1522" t="inlineStr">
        <is>
          <t>Cali</t>
        </is>
      </c>
      <c r="D1522" t="inlineStr">
        <is>
          <t>2866</t>
        </is>
      </c>
      <c r="E1522" t="inlineStr">
        <is>
          <t>pagado</t>
        </is>
      </c>
      <c r="F1522" s="23" t="n">
        <v>46270</v>
      </c>
      <c r="G1522" s="24">
        <f>F1522-DATE(2026,8,31)</f>
        <v>5</v>
      </c>
      <c r="H1522" s="25" t="n">
        <v>149486043</v>
      </c>
      <c r="I1522" t="inlineStr">
        <is>
          <t>entidad-dia</t>
        </is>
      </c>
    </row>
    <row r="1523">
      <c r="A1523" t="inlineStr">
        <is>
          <t>PRAGMA</t>
        </is>
      </c>
      <c r="B1523" t="inlineStr">
        <is>
          <t>M1</t>
        </is>
      </c>
      <c r="C1523" t="inlineStr">
        <is>
          <t>Cali</t>
        </is>
      </c>
      <c r="D1523" t="inlineStr">
        <is>
          <t>2866</t>
        </is>
      </c>
      <c r="E1523" t="inlineStr">
        <is>
          <t>pagado</t>
        </is>
      </c>
      <c r="F1523" s="23" t="n">
        <v>46271</v>
      </c>
      <c r="G1523" s="24">
        <f>F1523-DATE(2026,8,31)</f>
        <v>6</v>
      </c>
      <c r="H1523" s="25" t="n">
        <v>64330064</v>
      </c>
      <c r="I1523" t="inlineStr">
        <is>
          <t>entidad-dia</t>
        </is>
      </c>
    </row>
    <row r="1524">
      <c r="A1524" t="inlineStr">
        <is>
          <t>PRAGMA</t>
        </is>
      </c>
      <c r="B1524" t="inlineStr">
        <is>
          <t>M1</t>
        </is>
      </c>
      <c r="C1524" t="inlineStr">
        <is>
          <t>Cali</t>
        </is>
      </c>
      <c r="D1524" t="inlineStr">
        <is>
          <t>2866</t>
        </is>
      </c>
      <c r="E1524" t="inlineStr">
        <is>
          <t>pagado</t>
        </is>
      </c>
      <c r="F1524" s="23" t="n">
        <v>46272</v>
      </c>
      <c r="G1524" s="24">
        <f>F1524-DATE(2026,8,31)</f>
        <v>7</v>
      </c>
      <c r="H1524" s="25" t="n">
        <v>94479373</v>
      </c>
      <c r="I1524" t="inlineStr">
        <is>
          <t>entidad-dia</t>
        </is>
      </c>
    </row>
    <row r="1525">
      <c r="A1525" t="inlineStr">
        <is>
          <t>PRAGMA</t>
        </is>
      </c>
      <c r="B1525" t="inlineStr">
        <is>
          <t>M1</t>
        </is>
      </c>
      <c r="C1525" t="inlineStr">
        <is>
          <t>Cali</t>
        </is>
      </c>
      <c r="D1525" t="inlineStr">
        <is>
          <t>2866</t>
        </is>
      </c>
      <c r="E1525" t="inlineStr">
        <is>
          <t>pagado</t>
        </is>
      </c>
      <c r="F1525" s="23" t="n">
        <v>46273</v>
      </c>
      <c r="G1525" s="24">
        <f>F1525-DATE(2026,8,31)</f>
        <v>8</v>
      </c>
      <c r="H1525" s="25" t="n">
        <v>100363335</v>
      </c>
      <c r="I1525" t="inlineStr">
        <is>
          <t>entidad-dia</t>
        </is>
      </c>
    </row>
    <row r="1526">
      <c r="A1526" t="inlineStr">
        <is>
          <t>PRAGMA</t>
        </is>
      </c>
      <c r="B1526" t="inlineStr">
        <is>
          <t>M1</t>
        </is>
      </c>
      <c r="C1526" t="inlineStr">
        <is>
          <t>Cali</t>
        </is>
      </c>
      <c r="D1526" t="inlineStr">
        <is>
          <t>2866</t>
        </is>
      </c>
      <c r="E1526" t="inlineStr">
        <is>
          <t>pagado</t>
        </is>
      </c>
      <c r="F1526" s="23" t="n">
        <v>46274</v>
      </c>
      <c r="G1526" s="24">
        <f>F1526-DATE(2026,8,31)</f>
        <v>9</v>
      </c>
      <c r="H1526" s="25" t="n">
        <v>97560221</v>
      </c>
      <c r="I1526" t="inlineStr">
        <is>
          <t>entidad-dia</t>
        </is>
      </c>
    </row>
    <row r="1527">
      <c r="A1527" t="inlineStr">
        <is>
          <t>PRAGMA</t>
        </is>
      </c>
      <c r="B1527" t="inlineStr">
        <is>
          <t>M1</t>
        </is>
      </c>
      <c r="C1527" t="inlineStr">
        <is>
          <t>Cali</t>
        </is>
      </c>
      <c r="D1527" t="inlineStr">
        <is>
          <t>2866</t>
        </is>
      </c>
      <c r="E1527" t="inlineStr">
        <is>
          <t>pagado</t>
        </is>
      </c>
      <c r="F1527" s="23" t="n">
        <v>46275</v>
      </c>
      <c r="G1527" s="24">
        <f>F1527-DATE(2026,8,31)</f>
        <v>10</v>
      </c>
      <c r="H1527" s="25" t="n">
        <v>96897956</v>
      </c>
      <c r="I1527" t="inlineStr">
        <is>
          <t>entidad-dia</t>
        </is>
      </c>
    </row>
    <row r="1528">
      <c r="A1528" t="inlineStr">
        <is>
          <t>PRAGMA</t>
        </is>
      </c>
      <c r="B1528" t="inlineStr">
        <is>
          <t>M1</t>
        </is>
      </c>
      <c r="C1528" t="inlineStr">
        <is>
          <t>Cali</t>
        </is>
      </c>
      <c r="D1528" t="inlineStr">
        <is>
          <t>2866</t>
        </is>
      </c>
      <c r="E1528" t="inlineStr">
        <is>
          <t>pagado</t>
        </is>
      </c>
      <c r="F1528" s="23" t="n">
        <v>46276</v>
      </c>
      <c r="G1528" s="24">
        <f>F1528-DATE(2026,8,31)</f>
        <v>11</v>
      </c>
      <c r="H1528" s="25" t="n">
        <v>93707432</v>
      </c>
      <c r="I1528" t="inlineStr">
        <is>
          <t>entidad-dia</t>
        </is>
      </c>
    </row>
    <row r="1529">
      <c r="A1529" t="inlineStr">
        <is>
          <t>PRAGMA</t>
        </is>
      </c>
      <c r="B1529" t="inlineStr">
        <is>
          <t>M1</t>
        </is>
      </c>
      <c r="C1529" t="inlineStr">
        <is>
          <t>Cali</t>
        </is>
      </c>
      <c r="D1529" t="inlineStr">
        <is>
          <t>2866</t>
        </is>
      </c>
      <c r="E1529" t="inlineStr">
        <is>
          <t>pagado</t>
        </is>
      </c>
      <c r="F1529" s="23" t="n">
        <v>46277</v>
      </c>
      <c r="G1529" s="24">
        <f>F1529-DATE(2026,8,31)</f>
        <v>12</v>
      </c>
      <c r="H1529" s="25" t="n">
        <v>101672286</v>
      </c>
      <c r="I1529" t="inlineStr">
        <is>
          <t>entidad-dia</t>
        </is>
      </c>
    </row>
    <row r="1530">
      <c r="A1530" t="inlineStr">
        <is>
          <t>PRAGMA</t>
        </is>
      </c>
      <c r="B1530" t="inlineStr">
        <is>
          <t>M1</t>
        </is>
      </c>
      <c r="C1530" t="inlineStr">
        <is>
          <t>Cali</t>
        </is>
      </c>
      <c r="D1530" t="inlineStr">
        <is>
          <t>2866</t>
        </is>
      </c>
      <c r="E1530" t="inlineStr">
        <is>
          <t>pagado</t>
        </is>
      </c>
      <c r="F1530" s="23" t="n">
        <v>46278</v>
      </c>
      <c r="G1530" s="24">
        <f>F1530-DATE(2026,8,31)</f>
        <v>13</v>
      </c>
      <c r="H1530" s="25" t="n">
        <v>51187965</v>
      </c>
      <c r="I1530" t="inlineStr">
        <is>
          <t>entidad-dia</t>
        </is>
      </c>
    </row>
    <row r="1531">
      <c r="A1531" t="inlineStr">
        <is>
          <t>PRAGMA</t>
        </is>
      </c>
      <c r="B1531" t="inlineStr">
        <is>
          <t>M1</t>
        </is>
      </c>
      <c r="C1531" t="inlineStr">
        <is>
          <t>Cali</t>
        </is>
      </c>
      <c r="D1531" t="inlineStr">
        <is>
          <t>2866</t>
        </is>
      </c>
      <c r="E1531" t="inlineStr">
        <is>
          <t>pagado</t>
        </is>
      </c>
      <c r="F1531" s="23" t="n">
        <v>46279</v>
      </c>
      <c r="G1531" s="24">
        <f>F1531-DATE(2026,8,31)</f>
        <v>14</v>
      </c>
      <c r="H1531" s="25" t="n">
        <v>98829403</v>
      </c>
      <c r="I1531" t="inlineStr">
        <is>
          <t>entidad-dia</t>
        </is>
      </c>
    </row>
    <row r="1532">
      <c r="A1532" t="inlineStr">
        <is>
          <t>PRAGMA</t>
        </is>
      </c>
      <c r="B1532" t="inlineStr">
        <is>
          <t>M1</t>
        </is>
      </c>
      <c r="C1532" t="inlineStr">
        <is>
          <t>Cali</t>
        </is>
      </c>
      <c r="D1532" t="inlineStr">
        <is>
          <t>2866</t>
        </is>
      </c>
      <c r="E1532" t="inlineStr">
        <is>
          <t>pagado</t>
        </is>
      </c>
      <c r="F1532" s="23" t="n">
        <v>46280</v>
      </c>
      <c r="G1532" s="24">
        <f>F1532-DATE(2026,8,31)</f>
        <v>15</v>
      </c>
      <c r="H1532" s="25" t="n">
        <v>154208479</v>
      </c>
      <c r="I1532" t="inlineStr">
        <is>
          <t>entidad-dia</t>
        </is>
      </c>
    </row>
    <row r="1533">
      <c r="A1533" t="inlineStr">
        <is>
          <t>PRAGMA</t>
        </is>
      </c>
      <c r="B1533" t="inlineStr">
        <is>
          <t>M1</t>
        </is>
      </c>
      <c r="C1533" t="inlineStr">
        <is>
          <t>Cali</t>
        </is>
      </c>
      <c r="D1533" t="inlineStr">
        <is>
          <t>2867</t>
        </is>
      </c>
      <c r="E1533" t="inlineStr">
        <is>
          <t>pagado</t>
        </is>
      </c>
      <c r="F1533" s="23" t="n">
        <v>46266</v>
      </c>
      <c r="G1533" s="24">
        <f>F1533-DATE(2026,8,31)</f>
        <v>1</v>
      </c>
      <c r="H1533" s="25" t="n">
        <v>205889879</v>
      </c>
      <c r="I1533" t="inlineStr">
        <is>
          <t>entidad-dia</t>
        </is>
      </c>
    </row>
    <row r="1534">
      <c r="A1534" t="inlineStr">
        <is>
          <t>PRAGMA</t>
        </is>
      </c>
      <c r="B1534" t="inlineStr">
        <is>
          <t>M1</t>
        </is>
      </c>
      <c r="C1534" t="inlineStr">
        <is>
          <t>Cali</t>
        </is>
      </c>
      <c r="D1534" t="inlineStr">
        <is>
          <t>2867</t>
        </is>
      </c>
      <c r="E1534" t="inlineStr">
        <is>
          <t>pagado</t>
        </is>
      </c>
      <c r="F1534" s="23" t="n">
        <v>46267</v>
      </c>
      <c r="G1534" s="24">
        <f>F1534-DATE(2026,8,31)</f>
        <v>2</v>
      </c>
      <c r="H1534" s="25" t="n">
        <v>150471916</v>
      </c>
      <c r="I1534" t="inlineStr">
        <is>
          <t>entidad-dia</t>
        </is>
      </c>
    </row>
    <row r="1535">
      <c r="A1535" t="inlineStr">
        <is>
          <t>PRAGMA</t>
        </is>
      </c>
      <c r="B1535" t="inlineStr">
        <is>
          <t>M1</t>
        </is>
      </c>
      <c r="C1535" t="inlineStr">
        <is>
          <t>Cali</t>
        </is>
      </c>
      <c r="D1535" t="inlineStr">
        <is>
          <t>2867</t>
        </is>
      </c>
      <c r="E1535" t="inlineStr">
        <is>
          <t>pagado</t>
        </is>
      </c>
      <c r="F1535" s="23" t="n">
        <v>46268</v>
      </c>
      <c r="G1535" s="24">
        <f>F1535-DATE(2026,8,31)</f>
        <v>3</v>
      </c>
      <c r="H1535" s="25" t="n">
        <v>139281908</v>
      </c>
      <c r="I1535" t="inlineStr">
        <is>
          <t>entidad-dia</t>
        </is>
      </c>
    </row>
    <row r="1536">
      <c r="A1536" t="inlineStr">
        <is>
          <t>PRAGMA</t>
        </is>
      </c>
      <c r="B1536" t="inlineStr">
        <is>
          <t>M1</t>
        </is>
      </c>
      <c r="C1536" t="inlineStr">
        <is>
          <t>Cali</t>
        </is>
      </c>
      <c r="D1536" t="inlineStr">
        <is>
          <t>2867</t>
        </is>
      </c>
      <c r="E1536" t="inlineStr">
        <is>
          <t>pagado</t>
        </is>
      </c>
      <c r="F1536" s="23" t="n">
        <v>46269</v>
      </c>
      <c r="G1536" s="24">
        <f>F1536-DATE(2026,8,31)</f>
        <v>4</v>
      </c>
      <c r="H1536" s="25" t="n">
        <v>138897921</v>
      </c>
      <c r="I1536" t="inlineStr">
        <is>
          <t>entidad-dia</t>
        </is>
      </c>
    </row>
    <row r="1537">
      <c r="A1537" t="inlineStr">
        <is>
          <t>PRAGMA</t>
        </is>
      </c>
      <c r="B1537" t="inlineStr">
        <is>
          <t>M1</t>
        </is>
      </c>
      <c r="C1537" t="inlineStr">
        <is>
          <t>Cali</t>
        </is>
      </c>
      <c r="D1537" t="inlineStr">
        <is>
          <t>2867</t>
        </is>
      </c>
      <c r="E1537" t="inlineStr">
        <is>
          <t>pagado</t>
        </is>
      </c>
      <c r="F1537" s="23" t="n">
        <v>46270</v>
      </c>
      <c r="G1537" s="24">
        <f>F1537-DATE(2026,8,31)</f>
        <v>5</v>
      </c>
      <c r="H1537" s="25" t="n">
        <v>148454794</v>
      </c>
      <c r="I1537" t="inlineStr">
        <is>
          <t>entidad-dia</t>
        </is>
      </c>
    </row>
    <row r="1538">
      <c r="A1538" t="inlineStr">
        <is>
          <t>PRAGMA</t>
        </is>
      </c>
      <c r="B1538" t="inlineStr">
        <is>
          <t>M1</t>
        </is>
      </c>
      <c r="C1538" t="inlineStr">
        <is>
          <t>Cali</t>
        </is>
      </c>
      <c r="D1538" t="inlineStr">
        <is>
          <t>2867</t>
        </is>
      </c>
      <c r="E1538" t="inlineStr">
        <is>
          <t>pagado</t>
        </is>
      </c>
      <c r="F1538" s="23" t="n">
        <v>46271</v>
      </c>
      <c r="G1538" s="24">
        <f>F1538-DATE(2026,8,31)</f>
        <v>6</v>
      </c>
      <c r="H1538" s="25" t="n">
        <v>60265950</v>
      </c>
      <c r="I1538" t="inlineStr">
        <is>
          <t>entidad-dia</t>
        </is>
      </c>
    </row>
    <row r="1539">
      <c r="A1539" t="inlineStr">
        <is>
          <t>PRAGMA</t>
        </is>
      </c>
      <c r="B1539" t="inlineStr">
        <is>
          <t>M1</t>
        </is>
      </c>
      <c r="C1539" t="inlineStr">
        <is>
          <t>Cali</t>
        </is>
      </c>
      <c r="D1539" t="inlineStr">
        <is>
          <t>2867</t>
        </is>
      </c>
      <c r="E1539" t="inlineStr">
        <is>
          <t>pagado</t>
        </is>
      </c>
      <c r="F1539" s="23" t="n">
        <v>46272</v>
      </c>
      <c r="G1539" s="24">
        <f>F1539-DATE(2026,8,31)</f>
        <v>7</v>
      </c>
      <c r="H1539" s="25" t="n">
        <v>103582518</v>
      </c>
      <c r="I1539" t="inlineStr">
        <is>
          <t>entidad-dia</t>
        </is>
      </c>
    </row>
    <row r="1540">
      <c r="A1540" t="inlineStr">
        <is>
          <t>PRAGMA</t>
        </is>
      </c>
      <c r="B1540" t="inlineStr">
        <is>
          <t>M1</t>
        </is>
      </c>
      <c r="C1540" t="inlineStr">
        <is>
          <t>Cali</t>
        </is>
      </c>
      <c r="D1540" t="inlineStr">
        <is>
          <t>2867</t>
        </is>
      </c>
      <c r="E1540" t="inlineStr">
        <is>
          <t>pagado</t>
        </is>
      </c>
      <c r="F1540" s="23" t="n">
        <v>46273</v>
      </c>
      <c r="G1540" s="24">
        <f>F1540-DATE(2026,8,31)</f>
        <v>8</v>
      </c>
      <c r="H1540" s="25" t="n">
        <v>104250342</v>
      </c>
      <c r="I1540" t="inlineStr">
        <is>
          <t>entidad-dia</t>
        </is>
      </c>
    </row>
    <row r="1541">
      <c r="A1541" t="inlineStr">
        <is>
          <t>PRAGMA</t>
        </is>
      </c>
      <c r="B1541" t="inlineStr">
        <is>
          <t>M1</t>
        </is>
      </c>
      <c r="C1541" t="inlineStr">
        <is>
          <t>Cali</t>
        </is>
      </c>
      <c r="D1541" t="inlineStr">
        <is>
          <t>2867</t>
        </is>
      </c>
      <c r="E1541" t="inlineStr">
        <is>
          <t>pagado</t>
        </is>
      </c>
      <c r="F1541" s="23" t="n">
        <v>46274</v>
      </c>
      <c r="G1541" s="24">
        <f>F1541-DATE(2026,8,31)</f>
        <v>9</v>
      </c>
      <c r="H1541" s="25" t="n">
        <v>91170731</v>
      </c>
      <c r="I1541" t="inlineStr">
        <is>
          <t>entidad-dia</t>
        </is>
      </c>
    </row>
    <row r="1542">
      <c r="A1542" t="inlineStr">
        <is>
          <t>PRAGMA</t>
        </is>
      </c>
      <c r="B1542" t="inlineStr">
        <is>
          <t>M1</t>
        </is>
      </c>
      <c r="C1542" t="inlineStr">
        <is>
          <t>Cali</t>
        </is>
      </c>
      <c r="D1542" t="inlineStr">
        <is>
          <t>2867</t>
        </is>
      </c>
      <c r="E1542" t="inlineStr">
        <is>
          <t>pagado</t>
        </is>
      </c>
      <c r="F1542" s="23" t="n">
        <v>46275</v>
      </c>
      <c r="G1542" s="24">
        <f>F1542-DATE(2026,8,31)</f>
        <v>10</v>
      </c>
      <c r="H1542" s="25" t="n">
        <v>92924033</v>
      </c>
      <c r="I1542" t="inlineStr">
        <is>
          <t>entidad-dia</t>
        </is>
      </c>
    </row>
    <row r="1543">
      <c r="A1543" t="inlineStr">
        <is>
          <t>PRAGMA</t>
        </is>
      </c>
      <c r="B1543" t="inlineStr">
        <is>
          <t>M1</t>
        </is>
      </c>
      <c r="C1543" t="inlineStr">
        <is>
          <t>Cali</t>
        </is>
      </c>
      <c r="D1543" t="inlineStr">
        <is>
          <t>2867</t>
        </is>
      </c>
      <c r="E1543" t="inlineStr">
        <is>
          <t>pagado</t>
        </is>
      </c>
      <c r="F1543" s="23" t="n">
        <v>46276</v>
      </c>
      <c r="G1543" s="24">
        <f>F1543-DATE(2026,8,31)</f>
        <v>11</v>
      </c>
      <c r="H1543" s="25" t="n">
        <v>98005085</v>
      </c>
      <c r="I1543" t="inlineStr">
        <is>
          <t>entidad-dia</t>
        </is>
      </c>
    </row>
    <row r="1544">
      <c r="A1544" t="inlineStr">
        <is>
          <t>PRAGMA</t>
        </is>
      </c>
      <c r="B1544" t="inlineStr">
        <is>
          <t>M1</t>
        </is>
      </c>
      <c r="C1544" t="inlineStr">
        <is>
          <t>Cali</t>
        </is>
      </c>
      <c r="D1544" t="inlineStr">
        <is>
          <t>2867</t>
        </is>
      </c>
      <c r="E1544" t="inlineStr">
        <is>
          <t>pagado</t>
        </is>
      </c>
      <c r="F1544" s="23" t="n">
        <v>46277</v>
      </c>
      <c r="G1544" s="24">
        <f>F1544-DATE(2026,8,31)</f>
        <v>12</v>
      </c>
      <c r="H1544" s="25" t="n">
        <v>107298046</v>
      </c>
      <c r="I1544" t="inlineStr">
        <is>
          <t>entidad-dia</t>
        </is>
      </c>
    </row>
    <row r="1545">
      <c r="A1545" t="inlineStr">
        <is>
          <t>PRAGMA</t>
        </is>
      </c>
      <c r="B1545" t="inlineStr">
        <is>
          <t>M1</t>
        </is>
      </c>
      <c r="C1545" t="inlineStr">
        <is>
          <t>Cali</t>
        </is>
      </c>
      <c r="D1545" t="inlineStr">
        <is>
          <t>2867</t>
        </is>
      </c>
      <c r="E1545" t="inlineStr">
        <is>
          <t>pagado</t>
        </is>
      </c>
      <c r="F1545" s="23" t="n">
        <v>46278</v>
      </c>
      <c r="G1545" s="24">
        <f>F1545-DATE(2026,8,31)</f>
        <v>13</v>
      </c>
      <c r="H1545" s="25" t="n">
        <v>49174669</v>
      </c>
      <c r="I1545" t="inlineStr">
        <is>
          <t>entidad-dia</t>
        </is>
      </c>
    </row>
    <row r="1546">
      <c r="A1546" t="inlineStr">
        <is>
          <t>PRAGMA</t>
        </is>
      </c>
      <c r="B1546" t="inlineStr">
        <is>
          <t>M1</t>
        </is>
      </c>
      <c r="C1546" t="inlineStr">
        <is>
          <t>Cali</t>
        </is>
      </c>
      <c r="D1546" t="inlineStr">
        <is>
          <t>2867</t>
        </is>
      </c>
      <c r="E1546" t="inlineStr">
        <is>
          <t>pagado</t>
        </is>
      </c>
      <c r="F1546" s="23" t="n">
        <v>46279</v>
      </c>
      <c r="G1546" s="24">
        <f>F1546-DATE(2026,8,31)</f>
        <v>14</v>
      </c>
      <c r="H1546" s="25" t="n">
        <v>102841615</v>
      </c>
      <c r="I1546" t="inlineStr">
        <is>
          <t>entidad-dia</t>
        </is>
      </c>
    </row>
    <row r="1547">
      <c r="A1547" t="inlineStr">
        <is>
          <t>PRAGMA</t>
        </is>
      </c>
      <c r="B1547" t="inlineStr">
        <is>
          <t>M1</t>
        </is>
      </c>
      <c r="C1547" t="inlineStr">
        <is>
          <t>Cali</t>
        </is>
      </c>
      <c r="D1547" t="inlineStr">
        <is>
          <t>2867</t>
        </is>
      </c>
      <c r="E1547" t="inlineStr">
        <is>
          <t>pagado</t>
        </is>
      </c>
      <c r="F1547" s="23" t="n">
        <v>46280</v>
      </c>
      <c r="G1547" s="24">
        <f>F1547-DATE(2026,8,31)</f>
        <v>15</v>
      </c>
      <c r="H1547" s="25" t="n">
        <v>139282439</v>
      </c>
      <c r="I1547" t="inlineStr">
        <is>
          <t>entidad-dia</t>
        </is>
      </c>
    </row>
    <row r="1548">
      <c r="A1548" t="inlineStr">
        <is>
          <t>PRAGMA</t>
        </is>
      </c>
      <c r="B1548" t="inlineStr">
        <is>
          <t>M1</t>
        </is>
      </c>
      <c r="C1548" t="inlineStr">
        <is>
          <t>Cali</t>
        </is>
      </c>
      <c r="D1548" t="inlineStr">
        <is>
          <t>2899</t>
        </is>
      </c>
      <c r="E1548" t="inlineStr">
        <is>
          <t>pagado</t>
        </is>
      </c>
      <c r="F1548" s="23" t="n">
        <v>46266</v>
      </c>
      <c r="G1548" s="24">
        <f>F1548-DATE(2026,8,31)</f>
        <v>1</v>
      </c>
      <c r="H1548" s="25" t="n">
        <v>176268819</v>
      </c>
      <c r="I1548" t="inlineStr">
        <is>
          <t>entidad-dia</t>
        </is>
      </c>
    </row>
    <row r="1549">
      <c r="A1549" t="inlineStr">
        <is>
          <t>PRAGMA</t>
        </is>
      </c>
      <c r="B1549" t="inlineStr">
        <is>
          <t>M1</t>
        </is>
      </c>
      <c r="C1549" t="inlineStr">
        <is>
          <t>Cali</t>
        </is>
      </c>
      <c r="D1549" t="inlineStr">
        <is>
          <t>2899</t>
        </is>
      </c>
      <c r="E1549" t="inlineStr">
        <is>
          <t>pagado</t>
        </is>
      </c>
      <c r="F1549" s="23" t="n">
        <v>46267</v>
      </c>
      <c r="G1549" s="24">
        <f>F1549-DATE(2026,8,31)</f>
        <v>2</v>
      </c>
      <c r="H1549" s="25" t="n">
        <v>129331632</v>
      </c>
      <c r="I1549" t="inlineStr">
        <is>
          <t>entidad-dia</t>
        </is>
      </c>
    </row>
    <row r="1550">
      <c r="A1550" t="inlineStr">
        <is>
          <t>PRAGMA</t>
        </is>
      </c>
      <c r="B1550" t="inlineStr">
        <is>
          <t>M1</t>
        </is>
      </c>
      <c r="C1550" t="inlineStr">
        <is>
          <t>Cali</t>
        </is>
      </c>
      <c r="D1550" t="inlineStr">
        <is>
          <t>2899</t>
        </is>
      </c>
      <c r="E1550" t="inlineStr">
        <is>
          <t>pagado</t>
        </is>
      </c>
      <c r="F1550" s="23" t="n">
        <v>46268</v>
      </c>
      <c r="G1550" s="24">
        <f>F1550-DATE(2026,8,31)</f>
        <v>3</v>
      </c>
      <c r="H1550" s="25" t="n">
        <v>111942473</v>
      </c>
      <c r="I1550" t="inlineStr">
        <is>
          <t>entidad-dia</t>
        </is>
      </c>
    </row>
    <row r="1551">
      <c r="A1551" t="inlineStr">
        <is>
          <t>PRAGMA</t>
        </is>
      </c>
      <c r="B1551" t="inlineStr">
        <is>
          <t>M1</t>
        </is>
      </c>
      <c r="C1551" t="inlineStr">
        <is>
          <t>Cali</t>
        </is>
      </c>
      <c r="D1551" t="inlineStr">
        <is>
          <t>2899</t>
        </is>
      </c>
      <c r="E1551" t="inlineStr">
        <is>
          <t>pagado</t>
        </is>
      </c>
      <c r="F1551" s="23" t="n">
        <v>46269</v>
      </c>
      <c r="G1551" s="24">
        <f>F1551-DATE(2026,8,31)</f>
        <v>4</v>
      </c>
      <c r="H1551" s="25" t="n">
        <v>120441434</v>
      </c>
      <c r="I1551" t="inlineStr">
        <is>
          <t>entidad-dia</t>
        </is>
      </c>
    </row>
    <row r="1552">
      <c r="A1552" t="inlineStr">
        <is>
          <t>PRAGMA</t>
        </is>
      </c>
      <c r="B1552" t="inlineStr">
        <is>
          <t>M1</t>
        </is>
      </c>
      <c r="C1552" t="inlineStr">
        <is>
          <t>Cali</t>
        </is>
      </c>
      <c r="D1552" t="inlineStr">
        <is>
          <t>2899</t>
        </is>
      </c>
      <c r="E1552" t="inlineStr">
        <is>
          <t>pagado</t>
        </is>
      </c>
      <c r="F1552" s="23" t="n">
        <v>46270</v>
      </c>
      <c r="G1552" s="24">
        <f>F1552-DATE(2026,8,31)</f>
        <v>5</v>
      </c>
      <c r="H1552" s="25" t="n">
        <v>135923606</v>
      </c>
      <c r="I1552" t="inlineStr">
        <is>
          <t>entidad-dia</t>
        </is>
      </c>
    </row>
    <row r="1553">
      <c r="A1553" t="inlineStr">
        <is>
          <t>PRAGMA</t>
        </is>
      </c>
      <c r="B1553" t="inlineStr">
        <is>
          <t>M1</t>
        </is>
      </c>
      <c r="C1553" t="inlineStr">
        <is>
          <t>Cali</t>
        </is>
      </c>
      <c r="D1553" t="inlineStr">
        <is>
          <t>2899</t>
        </is>
      </c>
      <c r="E1553" t="inlineStr">
        <is>
          <t>pagado</t>
        </is>
      </c>
      <c r="F1553" s="23" t="n">
        <v>46271</v>
      </c>
      <c r="G1553" s="24">
        <f>F1553-DATE(2026,8,31)</f>
        <v>6</v>
      </c>
      <c r="H1553" s="25" t="n">
        <v>94762993</v>
      </c>
      <c r="I1553" t="inlineStr">
        <is>
          <t>entidad-dia</t>
        </is>
      </c>
    </row>
    <row r="1554">
      <c r="A1554" t="inlineStr">
        <is>
          <t>PRAGMA</t>
        </is>
      </c>
      <c r="B1554" t="inlineStr">
        <is>
          <t>M1</t>
        </is>
      </c>
      <c r="C1554" t="inlineStr">
        <is>
          <t>Cali</t>
        </is>
      </c>
      <c r="D1554" t="inlineStr">
        <is>
          <t>2899</t>
        </is>
      </c>
      <c r="E1554" t="inlineStr">
        <is>
          <t>pagado</t>
        </is>
      </c>
      <c r="F1554" s="23" t="n">
        <v>46272</v>
      </c>
      <c r="G1554" s="24">
        <f>F1554-DATE(2026,8,31)</f>
        <v>7</v>
      </c>
      <c r="H1554" s="25" t="n">
        <v>96169242</v>
      </c>
      <c r="I1554" t="inlineStr">
        <is>
          <t>entidad-dia</t>
        </is>
      </c>
    </row>
    <row r="1555">
      <c r="A1555" t="inlineStr">
        <is>
          <t>PRAGMA</t>
        </is>
      </c>
      <c r="B1555" t="inlineStr">
        <is>
          <t>M1</t>
        </is>
      </c>
      <c r="C1555" t="inlineStr">
        <is>
          <t>Cali</t>
        </is>
      </c>
      <c r="D1555" t="inlineStr">
        <is>
          <t>2899</t>
        </is>
      </c>
      <c r="E1555" t="inlineStr">
        <is>
          <t>pagado</t>
        </is>
      </c>
      <c r="F1555" s="23" t="n">
        <v>46273</v>
      </c>
      <c r="G1555" s="24">
        <f>F1555-DATE(2026,8,31)</f>
        <v>8</v>
      </c>
      <c r="H1555" s="25" t="n">
        <v>88045418</v>
      </c>
      <c r="I1555" t="inlineStr">
        <is>
          <t>entidad-dia</t>
        </is>
      </c>
    </row>
    <row r="1556">
      <c r="A1556" t="inlineStr">
        <is>
          <t>PRAGMA</t>
        </is>
      </c>
      <c r="B1556" t="inlineStr">
        <is>
          <t>M1</t>
        </is>
      </c>
      <c r="C1556" t="inlineStr">
        <is>
          <t>Cali</t>
        </is>
      </c>
      <c r="D1556" t="inlineStr">
        <is>
          <t>2899</t>
        </is>
      </c>
      <c r="E1556" t="inlineStr">
        <is>
          <t>pagado</t>
        </is>
      </c>
      <c r="F1556" s="23" t="n">
        <v>46274</v>
      </c>
      <c r="G1556" s="24">
        <f>F1556-DATE(2026,8,31)</f>
        <v>9</v>
      </c>
      <c r="H1556" s="25" t="n">
        <v>81123189</v>
      </c>
      <c r="I1556" t="inlineStr">
        <is>
          <t>entidad-dia</t>
        </is>
      </c>
    </row>
    <row r="1557">
      <c r="A1557" t="inlineStr">
        <is>
          <t>PRAGMA</t>
        </is>
      </c>
      <c r="B1557" t="inlineStr">
        <is>
          <t>M1</t>
        </is>
      </c>
      <c r="C1557" t="inlineStr">
        <is>
          <t>Cali</t>
        </is>
      </c>
      <c r="D1557" t="inlineStr">
        <is>
          <t>2899</t>
        </is>
      </c>
      <c r="E1557" t="inlineStr">
        <is>
          <t>pagado</t>
        </is>
      </c>
      <c r="F1557" s="23" t="n">
        <v>46275</v>
      </c>
      <c r="G1557" s="24">
        <f>F1557-DATE(2026,8,31)</f>
        <v>10</v>
      </c>
      <c r="H1557" s="25" t="n">
        <v>80741079</v>
      </c>
      <c r="I1557" t="inlineStr">
        <is>
          <t>entidad-dia</t>
        </is>
      </c>
    </row>
    <row r="1558">
      <c r="A1558" t="inlineStr">
        <is>
          <t>PRAGMA</t>
        </is>
      </c>
      <c r="B1558" t="inlineStr">
        <is>
          <t>M1</t>
        </is>
      </c>
      <c r="C1558" t="inlineStr">
        <is>
          <t>Cali</t>
        </is>
      </c>
      <c r="D1558" t="inlineStr">
        <is>
          <t>2899</t>
        </is>
      </c>
      <c r="E1558" t="inlineStr">
        <is>
          <t>pagado</t>
        </is>
      </c>
      <c r="F1558" s="23" t="n">
        <v>46276</v>
      </c>
      <c r="G1558" s="24">
        <f>F1558-DATE(2026,8,31)</f>
        <v>11</v>
      </c>
      <c r="H1558" s="25" t="n">
        <v>90256233</v>
      </c>
      <c r="I1558" t="inlineStr">
        <is>
          <t>entidad-dia</t>
        </is>
      </c>
    </row>
    <row r="1559">
      <c r="A1559" t="inlineStr">
        <is>
          <t>PRAGMA</t>
        </is>
      </c>
      <c r="B1559" t="inlineStr">
        <is>
          <t>M1</t>
        </is>
      </c>
      <c r="C1559" t="inlineStr">
        <is>
          <t>Cali</t>
        </is>
      </c>
      <c r="D1559" t="inlineStr">
        <is>
          <t>2899</t>
        </is>
      </c>
      <c r="E1559" t="inlineStr">
        <is>
          <t>pagado</t>
        </is>
      </c>
      <c r="F1559" s="23" t="n">
        <v>46277</v>
      </c>
      <c r="G1559" s="24">
        <f>F1559-DATE(2026,8,31)</f>
        <v>12</v>
      </c>
      <c r="H1559" s="25" t="n">
        <v>112774709</v>
      </c>
      <c r="I1559" t="inlineStr">
        <is>
          <t>entidad-dia</t>
        </is>
      </c>
    </row>
    <row r="1560">
      <c r="A1560" t="inlineStr">
        <is>
          <t>PRAGMA</t>
        </is>
      </c>
      <c r="B1560" t="inlineStr">
        <is>
          <t>M1</t>
        </is>
      </c>
      <c r="C1560" t="inlineStr">
        <is>
          <t>Cali</t>
        </is>
      </c>
      <c r="D1560" t="inlineStr">
        <is>
          <t>2899</t>
        </is>
      </c>
      <c r="E1560" t="inlineStr">
        <is>
          <t>pagado</t>
        </is>
      </c>
      <c r="F1560" s="23" t="n">
        <v>46278</v>
      </c>
      <c r="G1560" s="24">
        <f>F1560-DATE(2026,8,31)</f>
        <v>13</v>
      </c>
      <c r="H1560" s="25" t="n">
        <v>73714101</v>
      </c>
      <c r="I1560" t="inlineStr">
        <is>
          <t>entidad-dia</t>
        </is>
      </c>
    </row>
    <row r="1561">
      <c r="A1561" t="inlineStr">
        <is>
          <t>PRAGMA</t>
        </is>
      </c>
      <c r="B1561" t="inlineStr">
        <is>
          <t>M1</t>
        </is>
      </c>
      <c r="C1561" t="inlineStr">
        <is>
          <t>Cali</t>
        </is>
      </c>
      <c r="D1561" t="inlineStr">
        <is>
          <t>2899</t>
        </is>
      </c>
      <c r="E1561" t="inlineStr">
        <is>
          <t>pagado</t>
        </is>
      </c>
      <c r="F1561" s="23" t="n">
        <v>46279</v>
      </c>
      <c r="G1561" s="24">
        <f>F1561-DATE(2026,8,31)</f>
        <v>14</v>
      </c>
      <c r="H1561" s="25" t="n">
        <v>98830488</v>
      </c>
      <c r="I1561" t="inlineStr">
        <is>
          <t>entidad-dia</t>
        </is>
      </c>
    </row>
    <row r="1562">
      <c r="A1562" t="inlineStr">
        <is>
          <t>PRAGMA</t>
        </is>
      </c>
      <c r="B1562" t="inlineStr">
        <is>
          <t>M1</t>
        </is>
      </c>
      <c r="C1562" t="inlineStr">
        <is>
          <t>Cali</t>
        </is>
      </c>
      <c r="D1562" t="inlineStr">
        <is>
          <t>2899</t>
        </is>
      </c>
      <c r="E1562" t="inlineStr">
        <is>
          <t>pagado</t>
        </is>
      </c>
      <c r="F1562" s="23" t="n">
        <v>46280</v>
      </c>
      <c r="G1562" s="24">
        <f>F1562-DATE(2026,8,31)</f>
        <v>15</v>
      </c>
      <c r="H1562" s="25" t="n">
        <v>133860147</v>
      </c>
      <c r="I1562" t="inlineStr">
        <is>
          <t>entidad-dia</t>
        </is>
      </c>
    </row>
    <row r="1563">
      <c r="A1563" t="inlineStr">
        <is>
          <t>PRAGMA</t>
        </is>
      </c>
      <c r="B1563" t="inlineStr">
        <is>
          <t>M1</t>
        </is>
      </c>
      <c r="C1563" t="inlineStr">
        <is>
          <t>Cali</t>
        </is>
      </c>
      <c r="D1563" t="inlineStr">
        <is>
          <t>2903</t>
        </is>
      </c>
      <c r="E1563" t="inlineStr">
        <is>
          <t>pagado</t>
        </is>
      </c>
      <c r="F1563" s="23" t="n">
        <v>46266</v>
      </c>
      <c r="G1563" s="24">
        <f>F1563-DATE(2026,8,31)</f>
        <v>1</v>
      </c>
      <c r="H1563" s="25" t="n">
        <v>63631671</v>
      </c>
      <c r="I1563" t="inlineStr">
        <is>
          <t>entidad-dia</t>
        </is>
      </c>
    </row>
    <row r="1564">
      <c r="A1564" t="inlineStr">
        <is>
          <t>PRAGMA</t>
        </is>
      </c>
      <c r="B1564" t="inlineStr">
        <is>
          <t>M1</t>
        </is>
      </c>
      <c r="C1564" t="inlineStr">
        <is>
          <t>Cali</t>
        </is>
      </c>
      <c r="D1564" t="inlineStr">
        <is>
          <t>2903</t>
        </is>
      </c>
      <c r="E1564" t="inlineStr">
        <is>
          <t>pagado</t>
        </is>
      </c>
      <c r="F1564" s="23" t="n">
        <v>46267</v>
      </c>
      <c r="G1564" s="24">
        <f>F1564-DATE(2026,8,31)</f>
        <v>2</v>
      </c>
      <c r="H1564" s="25" t="n">
        <v>48968400</v>
      </c>
      <c r="I1564" t="inlineStr">
        <is>
          <t>entidad-dia</t>
        </is>
      </c>
    </row>
    <row r="1565">
      <c r="A1565" t="inlineStr">
        <is>
          <t>PRAGMA</t>
        </is>
      </c>
      <c r="B1565" t="inlineStr">
        <is>
          <t>M1</t>
        </is>
      </c>
      <c r="C1565" t="inlineStr">
        <is>
          <t>Cali</t>
        </is>
      </c>
      <c r="D1565" t="inlineStr">
        <is>
          <t>2903</t>
        </is>
      </c>
      <c r="E1565" t="inlineStr">
        <is>
          <t>pagado</t>
        </is>
      </c>
      <c r="F1565" s="23" t="n">
        <v>46268</v>
      </c>
      <c r="G1565" s="24">
        <f>F1565-DATE(2026,8,31)</f>
        <v>3</v>
      </c>
      <c r="H1565" s="25" t="n">
        <v>42264143</v>
      </c>
      <c r="I1565" t="inlineStr">
        <is>
          <t>entidad-dia</t>
        </is>
      </c>
    </row>
    <row r="1566">
      <c r="A1566" t="inlineStr">
        <is>
          <t>PRAGMA</t>
        </is>
      </c>
      <c r="B1566" t="inlineStr">
        <is>
          <t>M1</t>
        </is>
      </c>
      <c r="C1566" t="inlineStr">
        <is>
          <t>Cali</t>
        </is>
      </c>
      <c r="D1566" t="inlineStr">
        <is>
          <t>2903</t>
        </is>
      </c>
      <c r="E1566" t="inlineStr">
        <is>
          <t>pagado</t>
        </is>
      </c>
      <c r="F1566" s="23" t="n">
        <v>46269</v>
      </c>
      <c r="G1566" s="24">
        <f>F1566-DATE(2026,8,31)</f>
        <v>4</v>
      </c>
      <c r="H1566" s="25" t="n">
        <v>47361673</v>
      </c>
      <c r="I1566" t="inlineStr">
        <is>
          <t>entidad-dia</t>
        </is>
      </c>
    </row>
    <row r="1567">
      <c r="A1567" t="inlineStr">
        <is>
          <t>PRAGMA</t>
        </is>
      </c>
      <c r="B1567" t="inlineStr">
        <is>
          <t>M1</t>
        </is>
      </c>
      <c r="C1567" t="inlineStr">
        <is>
          <t>Cali</t>
        </is>
      </c>
      <c r="D1567" t="inlineStr">
        <is>
          <t>2903</t>
        </is>
      </c>
      <c r="E1567" t="inlineStr">
        <is>
          <t>pagado</t>
        </is>
      </c>
      <c r="F1567" s="23" t="n">
        <v>46270</v>
      </c>
      <c r="G1567" s="24">
        <f>F1567-DATE(2026,8,31)</f>
        <v>5</v>
      </c>
      <c r="H1567" s="25" t="n">
        <v>44086042</v>
      </c>
      <c r="I1567" t="inlineStr">
        <is>
          <t>entidad-dia</t>
        </is>
      </c>
    </row>
    <row r="1568">
      <c r="A1568" t="inlineStr">
        <is>
          <t>PRAGMA</t>
        </is>
      </c>
      <c r="B1568" t="inlineStr">
        <is>
          <t>M1</t>
        </is>
      </c>
      <c r="C1568" t="inlineStr">
        <is>
          <t>Cali</t>
        </is>
      </c>
      <c r="D1568" t="inlineStr">
        <is>
          <t>2903</t>
        </is>
      </c>
      <c r="E1568" t="inlineStr">
        <is>
          <t>pagado</t>
        </is>
      </c>
      <c r="F1568" s="23" t="n">
        <v>46271</v>
      </c>
      <c r="G1568" s="24">
        <f>F1568-DATE(2026,8,31)</f>
        <v>6</v>
      </c>
      <c r="H1568" s="25" t="n">
        <v>25673865</v>
      </c>
      <c r="I1568" t="inlineStr">
        <is>
          <t>entidad-dia</t>
        </is>
      </c>
    </row>
    <row r="1569">
      <c r="A1569" t="inlineStr">
        <is>
          <t>PRAGMA</t>
        </is>
      </c>
      <c r="B1569" t="inlineStr">
        <is>
          <t>M1</t>
        </is>
      </c>
      <c r="C1569" t="inlineStr">
        <is>
          <t>Cali</t>
        </is>
      </c>
      <c r="D1569" t="inlineStr">
        <is>
          <t>2903</t>
        </is>
      </c>
      <c r="E1569" t="inlineStr">
        <is>
          <t>pagado</t>
        </is>
      </c>
      <c r="F1569" s="23" t="n">
        <v>46272</v>
      </c>
      <c r="G1569" s="24">
        <f>F1569-DATE(2026,8,31)</f>
        <v>7</v>
      </c>
      <c r="H1569" s="25" t="n">
        <v>36577815</v>
      </c>
      <c r="I1569" t="inlineStr">
        <is>
          <t>entidad-dia</t>
        </is>
      </c>
    </row>
    <row r="1570">
      <c r="A1570" t="inlineStr">
        <is>
          <t>PRAGMA</t>
        </is>
      </c>
      <c r="B1570" t="inlineStr">
        <is>
          <t>M1</t>
        </is>
      </c>
      <c r="C1570" t="inlineStr">
        <is>
          <t>Cali</t>
        </is>
      </c>
      <c r="D1570" t="inlineStr">
        <is>
          <t>2903</t>
        </is>
      </c>
      <c r="E1570" t="inlineStr">
        <is>
          <t>pagado</t>
        </is>
      </c>
      <c r="F1570" s="23" t="n">
        <v>46273</v>
      </c>
      <c r="G1570" s="24">
        <f>F1570-DATE(2026,8,31)</f>
        <v>8</v>
      </c>
      <c r="H1570" s="25" t="n">
        <v>39082450</v>
      </c>
      <c r="I1570" t="inlineStr">
        <is>
          <t>entidad-dia</t>
        </is>
      </c>
    </row>
    <row r="1571">
      <c r="A1571" t="inlineStr">
        <is>
          <t>PRAGMA</t>
        </is>
      </c>
      <c r="B1571" t="inlineStr">
        <is>
          <t>M1</t>
        </is>
      </c>
      <c r="C1571" t="inlineStr">
        <is>
          <t>Cali</t>
        </is>
      </c>
      <c r="D1571" t="inlineStr">
        <is>
          <t>2903</t>
        </is>
      </c>
      <c r="E1571" t="inlineStr">
        <is>
          <t>pagado</t>
        </is>
      </c>
      <c r="F1571" s="23" t="n">
        <v>46274</v>
      </c>
      <c r="G1571" s="24">
        <f>F1571-DATE(2026,8,31)</f>
        <v>9</v>
      </c>
      <c r="H1571" s="25" t="n">
        <v>41451078</v>
      </c>
      <c r="I1571" t="inlineStr">
        <is>
          <t>entidad-dia</t>
        </is>
      </c>
    </row>
    <row r="1572">
      <c r="A1572" t="inlineStr">
        <is>
          <t>PRAGMA</t>
        </is>
      </c>
      <c r="B1572" t="inlineStr">
        <is>
          <t>M1</t>
        </is>
      </c>
      <c r="C1572" t="inlineStr">
        <is>
          <t>Cali</t>
        </is>
      </c>
      <c r="D1572" t="inlineStr">
        <is>
          <t>2903</t>
        </is>
      </c>
      <c r="E1572" t="inlineStr">
        <is>
          <t>pagado</t>
        </is>
      </c>
      <c r="F1572" s="23" t="n">
        <v>46275</v>
      </c>
      <c r="G1572" s="24">
        <f>F1572-DATE(2026,8,31)</f>
        <v>10</v>
      </c>
      <c r="H1572" s="25" t="n">
        <v>31342562</v>
      </c>
      <c r="I1572" t="inlineStr">
        <is>
          <t>entidad-dia</t>
        </is>
      </c>
    </row>
    <row r="1573">
      <c r="A1573" t="inlineStr">
        <is>
          <t>PRAGMA</t>
        </is>
      </c>
      <c r="B1573" t="inlineStr">
        <is>
          <t>M1</t>
        </is>
      </c>
      <c r="C1573" t="inlineStr">
        <is>
          <t>Cali</t>
        </is>
      </c>
      <c r="D1573" t="inlineStr">
        <is>
          <t>2903</t>
        </is>
      </c>
      <c r="E1573" t="inlineStr">
        <is>
          <t>pagado</t>
        </is>
      </c>
      <c r="F1573" s="23" t="n">
        <v>46276</v>
      </c>
      <c r="G1573" s="24">
        <f>F1573-DATE(2026,8,31)</f>
        <v>11</v>
      </c>
      <c r="H1573" s="25" t="n">
        <v>32942556</v>
      </c>
      <c r="I1573" t="inlineStr">
        <is>
          <t>entidad-dia</t>
        </is>
      </c>
    </row>
    <row r="1574">
      <c r="A1574" t="inlineStr">
        <is>
          <t>PRAGMA</t>
        </is>
      </c>
      <c r="B1574" t="inlineStr">
        <is>
          <t>M1</t>
        </is>
      </c>
      <c r="C1574" t="inlineStr">
        <is>
          <t>Cali</t>
        </is>
      </c>
      <c r="D1574" t="inlineStr">
        <is>
          <t>2903</t>
        </is>
      </c>
      <c r="E1574" t="inlineStr">
        <is>
          <t>pagado</t>
        </is>
      </c>
      <c r="F1574" s="23" t="n">
        <v>46277</v>
      </c>
      <c r="G1574" s="24">
        <f>F1574-DATE(2026,8,31)</f>
        <v>12</v>
      </c>
      <c r="H1574" s="25" t="n">
        <v>37904331</v>
      </c>
      <c r="I1574" t="inlineStr">
        <is>
          <t>entidad-dia</t>
        </is>
      </c>
    </row>
    <row r="1575">
      <c r="A1575" t="inlineStr">
        <is>
          <t>PRAGMA</t>
        </is>
      </c>
      <c r="B1575" t="inlineStr">
        <is>
          <t>M1</t>
        </is>
      </c>
      <c r="C1575" t="inlineStr">
        <is>
          <t>Cali</t>
        </is>
      </c>
      <c r="D1575" t="inlineStr">
        <is>
          <t>2903</t>
        </is>
      </c>
      <c r="E1575" t="inlineStr">
        <is>
          <t>pagado</t>
        </is>
      </c>
      <c r="F1575" s="23" t="n">
        <v>46278</v>
      </c>
      <c r="G1575" s="24">
        <f>F1575-DATE(2026,8,31)</f>
        <v>13</v>
      </c>
      <c r="H1575" s="25" t="n">
        <v>18599670</v>
      </c>
      <c r="I1575" t="inlineStr">
        <is>
          <t>entidad-dia</t>
        </is>
      </c>
    </row>
    <row r="1576">
      <c r="A1576" t="inlineStr">
        <is>
          <t>PRAGMA</t>
        </is>
      </c>
      <c r="B1576" t="inlineStr">
        <is>
          <t>M1</t>
        </is>
      </c>
      <c r="C1576" t="inlineStr">
        <is>
          <t>Cali</t>
        </is>
      </c>
      <c r="D1576" t="inlineStr">
        <is>
          <t>2903</t>
        </is>
      </c>
      <c r="E1576" t="inlineStr">
        <is>
          <t>pagado</t>
        </is>
      </c>
      <c r="F1576" s="23" t="n">
        <v>46279</v>
      </c>
      <c r="G1576" s="24">
        <f>F1576-DATE(2026,8,31)</f>
        <v>14</v>
      </c>
      <c r="H1576" s="25" t="n">
        <v>37758304</v>
      </c>
      <c r="I1576" t="inlineStr">
        <is>
          <t>entidad-dia</t>
        </is>
      </c>
    </row>
    <row r="1577">
      <c r="A1577" t="inlineStr">
        <is>
          <t>PRAGMA</t>
        </is>
      </c>
      <c r="B1577" t="inlineStr">
        <is>
          <t>M1</t>
        </is>
      </c>
      <c r="C1577" t="inlineStr">
        <is>
          <t>Cali</t>
        </is>
      </c>
      <c r="D1577" t="inlineStr">
        <is>
          <t>2903</t>
        </is>
      </c>
      <c r="E1577" t="inlineStr">
        <is>
          <t>pagado</t>
        </is>
      </c>
      <c r="F1577" s="23" t="n">
        <v>46280</v>
      </c>
      <c r="G1577" s="24">
        <f>F1577-DATE(2026,8,31)</f>
        <v>15</v>
      </c>
      <c r="H1577" s="25" t="n">
        <v>60752588</v>
      </c>
      <c r="I1577" t="inlineStr">
        <is>
          <t>entidad-dia</t>
        </is>
      </c>
    </row>
    <row r="1578">
      <c r="A1578" t="inlineStr">
        <is>
          <t>PRAGMA</t>
        </is>
      </c>
      <c r="B1578" t="inlineStr">
        <is>
          <t>M1</t>
        </is>
      </c>
      <c r="C1578" t="inlineStr">
        <is>
          <t>Cali</t>
        </is>
      </c>
      <c r="D1578" t="inlineStr">
        <is>
          <t>2904</t>
        </is>
      </c>
      <c r="E1578" t="inlineStr">
        <is>
          <t>pagado</t>
        </is>
      </c>
      <c r="F1578" s="23" t="n">
        <v>46266</v>
      </c>
      <c r="G1578" s="24">
        <f>F1578-DATE(2026,8,31)</f>
        <v>1</v>
      </c>
      <c r="H1578" s="25" t="n">
        <v>94304672</v>
      </c>
      <c r="I1578" t="inlineStr">
        <is>
          <t>entidad-dia</t>
        </is>
      </c>
    </row>
    <row r="1579">
      <c r="A1579" t="inlineStr">
        <is>
          <t>PRAGMA</t>
        </is>
      </c>
      <c r="B1579" t="inlineStr">
        <is>
          <t>M1</t>
        </is>
      </c>
      <c r="C1579" t="inlineStr">
        <is>
          <t>Cali</t>
        </is>
      </c>
      <c r="D1579" t="inlineStr">
        <is>
          <t>2904</t>
        </is>
      </c>
      <c r="E1579" t="inlineStr">
        <is>
          <t>pagado</t>
        </is>
      </c>
      <c r="F1579" s="23" t="n">
        <v>46267</v>
      </c>
      <c r="G1579" s="24">
        <f>F1579-DATE(2026,8,31)</f>
        <v>2</v>
      </c>
      <c r="H1579" s="25" t="n">
        <v>74373833</v>
      </c>
      <c r="I1579" t="inlineStr">
        <is>
          <t>entidad-dia</t>
        </is>
      </c>
    </row>
    <row r="1580">
      <c r="A1580" t="inlineStr">
        <is>
          <t>PRAGMA</t>
        </is>
      </c>
      <c r="B1580" t="inlineStr">
        <is>
          <t>M1</t>
        </is>
      </c>
      <c r="C1580" t="inlineStr">
        <is>
          <t>Cali</t>
        </is>
      </c>
      <c r="D1580" t="inlineStr">
        <is>
          <t>2904</t>
        </is>
      </c>
      <c r="E1580" t="inlineStr">
        <is>
          <t>pagado</t>
        </is>
      </c>
      <c r="F1580" s="23" t="n">
        <v>46268</v>
      </c>
      <c r="G1580" s="24">
        <f>F1580-DATE(2026,8,31)</f>
        <v>3</v>
      </c>
      <c r="H1580" s="25" t="n">
        <v>67009361</v>
      </c>
      <c r="I1580" t="inlineStr">
        <is>
          <t>entidad-dia</t>
        </is>
      </c>
    </row>
    <row r="1581">
      <c r="A1581" t="inlineStr">
        <is>
          <t>PRAGMA</t>
        </is>
      </c>
      <c r="B1581" t="inlineStr">
        <is>
          <t>M1</t>
        </is>
      </c>
      <c r="C1581" t="inlineStr">
        <is>
          <t>Cali</t>
        </is>
      </c>
      <c r="D1581" t="inlineStr">
        <is>
          <t>2904</t>
        </is>
      </c>
      <c r="E1581" t="inlineStr">
        <is>
          <t>pagado</t>
        </is>
      </c>
      <c r="F1581" s="23" t="n">
        <v>46269</v>
      </c>
      <c r="G1581" s="24">
        <f>F1581-DATE(2026,8,31)</f>
        <v>4</v>
      </c>
      <c r="H1581" s="25" t="n">
        <v>64264603</v>
      </c>
      <c r="I1581" t="inlineStr">
        <is>
          <t>entidad-dia</t>
        </is>
      </c>
    </row>
    <row r="1582">
      <c r="A1582" t="inlineStr">
        <is>
          <t>PRAGMA</t>
        </is>
      </c>
      <c r="B1582" t="inlineStr">
        <is>
          <t>M1</t>
        </is>
      </c>
      <c r="C1582" t="inlineStr">
        <is>
          <t>Cali</t>
        </is>
      </c>
      <c r="D1582" t="inlineStr">
        <is>
          <t>2904</t>
        </is>
      </c>
      <c r="E1582" t="inlineStr">
        <is>
          <t>pagado</t>
        </is>
      </c>
      <c r="F1582" s="23" t="n">
        <v>46270</v>
      </c>
      <c r="G1582" s="24">
        <f>F1582-DATE(2026,8,31)</f>
        <v>5</v>
      </c>
      <c r="H1582" s="25" t="n">
        <v>53858306</v>
      </c>
      <c r="I1582" t="inlineStr">
        <is>
          <t>entidad-dia</t>
        </is>
      </c>
    </row>
    <row r="1583">
      <c r="A1583" t="inlineStr">
        <is>
          <t>PRAGMA</t>
        </is>
      </c>
      <c r="B1583" t="inlineStr">
        <is>
          <t>M1</t>
        </is>
      </c>
      <c r="C1583" t="inlineStr">
        <is>
          <t>Cali</t>
        </is>
      </c>
      <c r="D1583" t="inlineStr">
        <is>
          <t>2904</t>
        </is>
      </c>
      <c r="E1583" t="inlineStr">
        <is>
          <t>pagado</t>
        </is>
      </c>
      <c r="F1583" s="23" t="n">
        <v>46271</v>
      </c>
      <c r="G1583" s="24">
        <f>F1583-DATE(2026,8,31)</f>
        <v>6</v>
      </c>
      <c r="H1583" s="25" t="n">
        <v>32165100</v>
      </c>
      <c r="I1583" t="inlineStr">
        <is>
          <t>entidad-dia</t>
        </is>
      </c>
    </row>
    <row r="1584">
      <c r="A1584" t="inlineStr">
        <is>
          <t>PRAGMA</t>
        </is>
      </c>
      <c r="B1584" t="inlineStr">
        <is>
          <t>M1</t>
        </is>
      </c>
      <c r="C1584" t="inlineStr">
        <is>
          <t>Cali</t>
        </is>
      </c>
      <c r="D1584" t="inlineStr">
        <is>
          <t>2904</t>
        </is>
      </c>
      <c r="E1584" t="inlineStr">
        <is>
          <t>pagado</t>
        </is>
      </c>
      <c r="F1584" s="23" t="n">
        <v>46272</v>
      </c>
      <c r="G1584" s="24">
        <f>F1584-DATE(2026,8,31)</f>
        <v>7</v>
      </c>
      <c r="H1584" s="25" t="n">
        <v>50723561</v>
      </c>
      <c r="I1584" t="inlineStr">
        <is>
          <t>entidad-dia</t>
        </is>
      </c>
    </row>
    <row r="1585">
      <c r="A1585" t="inlineStr">
        <is>
          <t>PRAGMA</t>
        </is>
      </c>
      <c r="B1585" t="inlineStr">
        <is>
          <t>M1</t>
        </is>
      </c>
      <c r="C1585" t="inlineStr">
        <is>
          <t>Cali</t>
        </is>
      </c>
      <c r="D1585" t="inlineStr">
        <is>
          <t>2904</t>
        </is>
      </c>
      <c r="E1585" t="inlineStr">
        <is>
          <t>pagado</t>
        </is>
      </c>
      <c r="F1585" s="23" t="n">
        <v>46273</v>
      </c>
      <c r="G1585" s="24">
        <f>F1585-DATE(2026,8,31)</f>
        <v>8</v>
      </c>
      <c r="H1585" s="25" t="n">
        <v>52235997</v>
      </c>
      <c r="I1585" t="inlineStr">
        <is>
          <t>entidad-dia</t>
        </is>
      </c>
    </row>
    <row r="1586">
      <c r="A1586" t="inlineStr">
        <is>
          <t>PRAGMA</t>
        </is>
      </c>
      <c r="B1586" t="inlineStr">
        <is>
          <t>M1</t>
        </is>
      </c>
      <c r="C1586" t="inlineStr">
        <is>
          <t>Cali</t>
        </is>
      </c>
      <c r="D1586" t="inlineStr">
        <is>
          <t>2904</t>
        </is>
      </c>
      <c r="E1586" t="inlineStr">
        <is>
          <t>pagado</t>
        </is>
      </c>
      <c r="F1586" s="23" t="n">
        <v>46274</v>
      </c>
      <c r="G1586" s="24">
        <f>F1586-DATE(2026,8,31)</f>
        <v>9</v>
      </c>
      <c r="H1586" s="25" t="n">
        <v>60604073</v>
      </c>
      <c r="I1586" t="inlineStr">
        <is>
          <t>entidad-dia</t>
        </is>
      </c>
    </row>
    <row r="1587">
      <c r="A1587" t="inlineStr">
        <is>
          <t>PRAGMA</t>
        </is>
      </c>
      <c r="B1587" t="inlineStr">
        <is>
          <t>M1</t>
        </is>
      </c>
      <c r="C1587" t="inlineStr">
        <is>
          <t>Cali</t>
        </is>
      </c>
      <c r="D1587" t="inlineStr">
        <is>
          <t>2904</t>
        </is>
      </c>
      <c r="E1587" t="inlineStr">
        <is>
          <t>pagado</t>
        </is>
      </c>
      <c r="F1587" s="23" t="n">
        <v>46275</v>
      </c>
      <c r="G1587" s="24">
        <f>F1587-DATE(2026,8,31)</f>
        <v>10</v>
      </c>
      <c r="H1587" s="25" t="n">
        <v>42444494</v>
      </c>
      <c r="I1587" t="inlineStr">
        <is>
          <t>entidad-dia</t>
        </is>
      </c>
    </row>
    <row r="1588">
      <c r="A1588" t="inlineStr">
        <is>
          <t>PRAGMA</t>
        </is>
      </c>
      <c r="B1588" t="inlineStr">
        <is>
          <t>M1</t>
        </is>
      </c>
      <c r="C1588" t="inlineStr">
        <is>
          <t>Cali</t>
        </is>
      </c>
      <c r="D1588" t="inlineStr">
        <is>
          <t>2904</t>
        </is>
      </c>
      <c r="E1588" t="inlineStr">
        <is>
          <t>pagado</t>
        </is>
      </c>
      <c r="F1588" s="23" t="n">
        <v>46276</v>
      </c>
      <c r="G1588" s="24">
        <f>F1588-DATE(2026,8,31)</f>
        <v>11</v>
      </c>
      <c r="H1588" s="25" t="n">
        <v>50725738</v>
      </c>
      <c r="I1588" t="inlineStr">
        <is>
          <t>entidad-dia</t>
        </is>
      </c>
    </row>
    <row r="1589">
      <c r="A1589" t="inlineStr">
        <is>
          <t>PRAGMA</t>
        </is>
      </c>
      <c r="B1589" t="inlineStr">
        <is>
          <t>M1</t>
        </is>
      </c>
      <c r="C1589" t="inlineStr">
        <is>
          <t>Cali</t>
        </is>
      </c>
      <c r="D1589" t="inlineStr">
        <is>
          <t>2904</t>
        </is>
      </c>
      <c r="E1589" t="inlineStr">
        <is>
          <t>pagado</t>
        </is>
      </c>
      <c r="F1589" s="23" t="n">
        <v>46277</v>
      </c>
      <c r="G1589" s="24">
        <f>F1589-DATE(2026,8,31)</f>
        <v>12</v>
      </c>
      <c r="H1589" s="25" t="n">
        <v>42686739</v>
      </c>
      <c r="I1589" t="inlineStr">
        <is>
          <t>entidad-dia</t>
        </is>
      </c>
    </row>
    <row r="1590">
      <c r="A1590" t="inlineStr">
        <is>
          <t>PRAGMA</t>
        </is>
      </c>
      <c r="B1590" t="inlineStr">
        <is>
          <t>M1</t>
        </is>
      </c>
      <c r="C1590" t="inlineStr">
        <is>
          <t>Cali</t>
        </is>
      </c>
      <c r="D1590" t="inlineStr">
        <is>
          <t>2904</t>
        </is>
      </c>
      <c r="E1590" t="inlineStr">
        <is>
          <t>pagado</t>
        </is>
      </c>
      <c r="F1590" s="23" t="n">
        <v>46278</v>
      </c>
      <c r="G1590" s="24">
        <f>F1590-DATE(2026,8,31)</f>
        <v>13</v>
      </c>
      <c r="H1590" s="25" t="n">
        <v>24888128</v>
      </c>
      <c r="I1590" t="inlineStr">
        <is>
          <t>entidad-dia</t>
        </is>
      </c>
    </row>
    <row r="1591">
      <c r="A1591" t="inlineStr">
        <is>
          <t>PRAGMA</t>
        </is>
      </c>
      <c r="B1591" t="inlineStr">
        <is>
          <t>M1</t>
        </is>
      </c>
      <c r="C1591" t="inlineStr">
        <is>
          <t>Cali</t>
        </is>
      </c>
      <c r="D1591" t="inlineStr">
        <is>
          <t>2904</t>
        </is>
      </c>
      <c r="E1591" t="inlineStr">
        <is>
          <t>pagado</t>
        </is>
      </c>
      <c r="F1591" s="23" t="n">
        <v>46279</v>
      </c>
      <c r="G1591" s="24">
        <f>F1591-DATE(2026,8,31)</f>
        <v>14</v>
      </c>
      <c r="H1591" s="25" t="n">
        <v>52558308</v>
      </c>
      <c r="I1591" t="inlineStr">
        <is>
          <t>entidad-dia</t>
        </is>
      </c>
    </row>
    <row r="1592">
      <c r="A1592" t="inlineStr">
        <is>
          <t>PRAGMA</t>
        </is>
      </c>
      <c r="B1592" t="inlineStr">
        <is>
          <t>M1</t>
        </is>
      </c>
      <c r="C1592" t="inlineStr">
        <is>
          <t>Cali</t>
        </is>
      </c>
      <c r="D1592" t="inlineStr">
        <is>
          <t>2904</t>
        </is>
      </c>
      <c r="E1592" t="inlineStr">
        <is>
          <t>pagado</t>
        </is>
      </c>
      <c r="F1592" s="23" t="n">
        <v>46280</v>
      </c>
      <c r="G1592" s="24">
        <f>F1592-DATE(2026,8,31)</f>
        <v>15</v>
      </c>
      <c r="H1592" s="25" t="n">
        <v>75953672</v>
      </c>
      <c r="I1592" t="inlineStr">
        <is>
          <t>entidad-dia</t>
        </is>
      </c>
    </row>
    <row r="1593">
      <c r="A1593" t="inlineStr">
        <is>
          <t>PRAGMA</t>
        </is>
      </c>
      <c r="B1593" t="inlineStr">
        <is>
          <t>M1</t>
        </is>
      </c>
      <c r="C1593" t="inlineStr">
        <is>
          <t>Pasto</t>
        </is>
      </c>
      <c r="D1593" t="inlineStr">
        <is>
          <t>2917</t>
        </is>
      </c>
      <c r="E1593" t="inlineStr">
        <is>
          <t>pagado</t>
        </is>
      </c>
      <c r="F1593" s="23" t="n">
        <v>46266</v>
      </c>
      <c r="G1593" s="24">
        <f>F1593-DATE(2026,8,31)</f>
        <v>1</v>
      </c>
      <c r="H1593" s="25" t="n">
        <v>88309903</v>
      </c>
      <c r="I1593" t="inlineStr">
        <is>
          <t>entidad-dia</t>
        </is>
      </c>
    </row>
    <row r="1594">
      <c r="A1594" t="inlineStr">
        <is>
          <t>PRAGMA</t>
        </is>
      </c>
      <c r="B1594" t="inlineStr">
        <is>
          <t>M1</t>
        </is>
      </c>
      <c r="C1594" t="inlineStr">
        <is>
          <t>Pasto</t>
        </is>
      </c>
      <c r="D1594" t="inlineStr">
        <is>
          <t>2917</t>
        </is>
      </c>
      <c r="E1594" t="inlineStr">
        <is>
          <t>pagado</t>
        </is>
      </c>
      <c r="F1594" s="23" t="n">
        <v>46267</v>
      </c>
      <c r="G1594" s="24">
        <f>F1594-DATE(2026,8,31)</f>
        <v>2</v>
      </c>
      <c r="H1594" s="25" t="n">
        <v>63375454</v>
      </c>
      <c r="I1594" t="inlineStr">
        <is>
          <t>entidad-dia</t>
        </is>
      </c>
    </row>
    <row r="1595">
      <c r="A1595" t="inlineStr">
        <is>
          <t>PRAGMA</t>
        </is>
      </c>
      <c r="B1595" t="inlineStr">
        <is>
          <t>M1</t>
        </is>
      </c>
      <c r="C1595" t="inlineStr">
        <is>
          <t>Pasto</t>
        </is>
      </c>
      <c r="D1595" t="inlineStr">
        <is>
          <t>2917</t>
        </is>
      </c>
      <c r="E1595" t="inlineStr">
        <is>
          <t>pagado</t>
        </is>
      </c>
      <c r="F1595" s="23" t="n">
        <v>46268</v>
      </c>
      <c r="G1595" s="24">
        <f>F1595-DATE(2026,8,31)</f>
        <v>3</v>
      </c>
      <c r="H1595" s="25" t="n">
        <v>56164599</v>
      </c>
      <c r="I1595" t="inlineStr">
        <is>
          <t>entidad-dia</t>
        </is>
      </c>
    </row>
    <row r="1596">
      <c r="A1596" t="inlineStr">
        <is>
          <t>PRAGMA</t>
        </is>
      </c>
      <c r="B1596" t="inlineStr">
        <is>
          <t>M1</t>
        </is>
      </c>
      <c r="C1596" t="inlineStr">
        <is>
          <t>Pasto</t>
        </is>
      </c>
      <c r="D1596" t="inlineStr">
        <is>
          <t>2917</t>
        </is>
      </c>
      <c r="E1596" t="inlineStr">
        <is>
          <t>pagado</t>
        </is>
      </c>
      <c r="F1596" s="23" t="n">
        <v>46269</v>
      </c>
      <c r="G1596" s="24">
        <f>F1596-DATE(2026,8,31)</f>
        <v>4</v>
      </c>
      <c r="H1596" s="25" t="n">
        <v>57606284</v>
      </c>
      <c r="I1596" t="inlineStr">
        <is>
          <t>entidad-dia</t>
        </is>
      </c>
    </row>
    <row r="1597">
      <c r="A1597" t="inlineStr">
        <is>
          <t>PRAGMA</t>
        </is>
      </c>
      <c r="B1597" t="inlineStr">
        <is>
          <t>M1</t>
        </is>
      </c>
      <c r="C1597" t="inlineStr">
        <is>
          <t>Pasto</t>
        </is>
      </c>
      <c r="D1597" t="inlineStr">
        <is>
          <t>2917</t>
        </is>
      </c>
      <c r="E1597" t="inlineStr">
        <is>
          <t>pagado</t>
        </is>
      </c>
      <c r="F1597" s="23" t="n">
        <v>46270</v>
      </c>
      <c r="G1597" s="24">
        <f>F1597-DATE(2026,8,31)</f>
        <v>5</v>
      </c>
      <c r="H1597" s="25" t="n">
        <v>49666457</v>
      </c>
      <c r="I1597" t="inlineStr">
        <is>
          <t>entidad-dia</t>
        </is>
      </c>
    </row>
    <row r="1598">
      <c r="A1598" t="inlineStr">
        <is>
          <t>PRAGMA</t>
        </is>
      </c>
      <c r="B1598" t="inlineStr">
        <is>
          <t>M1</t>
        </is>
      </c>
      <c r="C1598" t="inlineStr">
        <is>
          <t>Pasto</t>
        </is>
      </c>
      <c r="D1598" t="inlineStr">
        <is>
          <t>2917</t>
        </is>
      </c>
      <c r="E1598" t="inlineStr">
        <is>
          <t>pagado</t>
        </is>
      </c>
      <c r="F1598" s="23" t="n">
        <v>46271</v>
      </c>
      <c r="G1598" s="24">
        <f>F1598-DATE(2026,8,31)</f>
        <v>6</v>
      </c>
      <c r="H1598" s="25" t="n">
        <v>10537020</v>
      </c>
      <c r="I1598" t="inlineStr">
        <is>
          <t>entidad-dia</t>
        </is>
      </c>
    </row>
    <row r="1599">
      <c r="A1599" t="inlineStr">
        <is>
          <t>PRAGMA</t>
        </is>
      </c>
      <c r="B1599" t="inlineStr">
        <is>
          <t>M1</t>
        </is>
      </c>
      <c r="C1599" t="inlineStr">
        <is>
          <t>Pasto</t>
        </is>
      </c>
      <c r="D1599" t="inlineStr">
        <is>
          <t>2917</t>
        </is>
      </c>
      <c r="E1599" t="inlineStr">
        <is>
          <t>pagado</t>
        </is>
      </c>
      <c r="F1599" s="23" t="n">
        <v>46272</v>
      </c>
      <c r="G1599" s="24">
        <f>F1599-DATE(2026,8,31)</f>
        <v>7</v>
      </c>
      <c r="H1599" s="25" t="n">
        <v>49548962</v>
      </c>
      <c r="I1599" t="inlineStr">
        <is>
          <t>entidad-dia</t>
        </is>
      </c>
    </row>
    <row r="1600">
      <c r="A1600" t="inlineStr">
        <is>
          <t>PRAGMA</t>
        </is>
      </c>
      <c r="B1600" t="inlineStr">
        <is>
          <t>M1</t>
        </is>
      </c>
      <c r="C1600" t="inlineStr">
        <is>
          <t>Pasto</t>
        </is>
      </c>
      <c r="D1600" t="inlineStr">
        <is>
          <t>2917</t>
        </is>
      </c>
      <c r="E1600" t="inlineStr">
        <is>
          <t>pagado</t>
        </is>
      </c>
      <c r="F1600" s="23" t="n">
        <v>46273</v>
      </c>
      <c r="G1600" s="24">
        <f>F1600-DATE(2026,8,31)</f>
        <v>8</v>
      </c>
      <c r="H1600" s="25" t="n">
        <v>48049489</v>
      </c>
      <c r="I1600" t="inlineStr">
        <is>
          <t>entidad-dia</t>
        </is>
      </c>
    </row>
    <row r="1601">
      <c r="A1601" t="inlineStr">
        <is>
          <t>PRAGMA</t>
        </is>
      </c>
      <c r="B1601" t="inlineStr">
        <is>
          <t>M1</t>
        </is>
      </c>
      <c r="C1601" t="inlineStr">
        <is>
          <t>Pasto</t>
        </is>
      </c>
      <c r="D1601" t="inlineStr">
        <is>
          <t>2917</t>
        </is>
      </c>
      <c r="E1601" t="inlineStr">
        <is>
          <t>pagado</t>
        </is>
      </c>
      <c r="F1601" s="23" t="n">
        <v>46274</v>
      </c>
      <c r="G1601" s="24">
        <f>F1601-DATE(2026,8,31)</f>
        <v>9</v>
      </c>
      <c r="H1601" s="25" t="n">
        <v>43860752</v>
      </c>
      <c r="I1601" t="inlineStr">
        <is>
          <t>entidad-dia</t>
        </is>
      </c>
    </row>
    <row r="1602">
      <c r="A1602" t="inlineStr">
        <is>
          <t>PRAGMA</t>
        </is>
      </c>
      <c r="B1602" t="inlineStr">
        <is>
          <t>M1</t>
        </is>
      </c>
      <c r="C1602" t="inlineStr">
        <is>
          <t>Pasto</t>
        </is>
      </c>
      <c r="D1602" t="inlineStr">
        <is>
          <t>2917</t>
        </is>
      </c>
      <c r="E1602" t="inlineStr">
        <is>
          <t>pagado</t>
        </is>
      </c>
      <c r="F1602" s="23" t="n">
        <v>46275</v>
      </c>
      <c r="G1602" s="24">
        <f>F1602-DATE(2026,8,31)</f>
        <v>10</v>
      </c>
      <c r="H1602" s="25" t="n">
        <v>39452971</v>
      </c>
      <c r="I1602" t="inlineStr">
        <is>
          <t>entidad-dia</t>
        </is>
      </c>
    </row>
    <row r="1603">
      <c r="A1603" t="inlineStr">
        <is>
          <t>PRAGMA</t>
        </is>
      </c>
      <c r="B1603" t="inlineStr">
        <is>
          <t>M1</t>
        </is>
      </c>
      <c r="C1603" t="inlineStr">
        <is>
          <t>Pasto</t>
        </is>
      </c>
      <c r="D1603" t="inlineStr">
        <is>
          <t>2917</t>
        </is>
      </c>
      <c r="E1603" t="inlineStr">
        <is>
          <t>pagado</t>
        </is>
      </c>
      <c r="F1603" s="23" t="n">
        <v>46276</v>
      </c>
      <c r="G1603" s="24">
        <f>F1603-DATE(2026,8,31)</f>
        <v>11</v>
      </c>
      <c r="H1603" s="25" t="n">
        <v>43725911</v>
      </c>
      <c r="I1603" t="inlineStr">
        <is>
          <t>entidad-dia</t>
        </is>
      </c>
    </row>
    <row r="1604">
      <c r="A1604" t="inlineStr">
        <is>
          <t>PRAGMA</t>
        </is>
      </c>
      <c r="B1604" t="inlineStr">
        <is>
          <t>M1</t>
        </is>
      </c>
      <c r="C1604" t="inlineStr">
        <is>
          <t>Pasto</t>
        </is>
      </c>
      <c r="D1604" t="inlineStr">
        <is>
          <t>2917</t>
        </is>
      </c>
      <c r="E1604" t="inlineStr">
        <is>
          <t>pagado</t>
        </is>
      </c>
      <c r="F1604" s="23" t="n">
        <v>46277</v>
      </c>
      <c r="G1604" s="24">
        <f>F1604-DATE(2026,8,31)</f>
        <v>12</v>
      </c>
      <c r="H1604" s="25" t="n">
        <v>33478993</v>
      </c>
      <c r="I1604" t="inlineStr">
        <is>
          <t>entidad-dia</t>
        </is>
      </c>
    </row>
    <row r="1605">
      <c r="A1605" t="inlineStr">
        <is>
          <t>PRAGMA</t>
        </is>
      </c>
      <c r="B1605" t="inlineStr">
        <is>
          <t>M1</t>
        </is>
      </c>
      <c r="C1605" t="inlineStr">
        <is>
          <t>Pasto</t>
        </is>
      </c>
      <c r="D1605" t="inlineStr">
        <is>
          <t>2917</t>
        </is>
      </c>
      <c r="E1605" t="inlineStr">
        <is>
          <t>pagado</t>
        </is>
      </c>
      <c r="F1605" s="23" t="n">
        <v>46278</v>
      </c>
      <c r="G1605" s="24">
        <f>F1605-DATE(2026,8,31)</f>
        <v>13</v>
      </c>
      <c r="H1605" s="25" t="n">
        <v>8412270</v>
      </c>
      <c r="I1605" t="inlineStr">
        <is>
          <t>entidad-dia</t>
        </is>
      </c>
    </row>
    <row r="1606">
      <c r="A1606" t="inlineStr">
        <is>
          <t>PRAGMA</t>
        </is>
      </c>
      <c r="B1606" t="inlineStr">
        <is>
          <t>M1</t>
        </is>
      </c>
      <c r="C1606" t="inlineStr">
        <is>
          <t>Pasto</t>
        </is>
      </c>
      <c r="D1606" t="inlineStr">
        <is>
          <t>2917</t>
        </is>
      </c>
      <c r="E1606" t="inlineStr">
        <is>
          <t>pagado</t>
        </is>
      </c>
      <c r="F1606" s="23" t="n">
        <v>46279</v>
      </c>
      <c r="G1606" s="24">
        <f>F1606-DATE(2026,8,31)</f>
        <v>14</v>
      </c>
      <c r="H1606" s="25" t="n">
        <v>42473954</v>
      </c>
      <c r="I1606" t="inlineStr">
        <is>
          <t>entidad-dia</t>
        </is>
      </c>
    </row>
    <row r="1607">
      <c r="A1607" t="inlineStr">
        <is>
          <t>PRAGMA</t>
        </is>
      </c>
      <c r="B1607" t="inlineStr">
        <is>
          <t>M1</t>
        </is>
      </c>
      <c r="C1607" t="inlineStr">
        <is>
          <t>Pasto</t>
        </is>
      </c>
      <c r="D1607" t="inlineStr">
        <is>
          <t>2917</t>
        </is>
      </c>
      <c r="E1607" t="inlineStr">
        <is>
          <t>pagado</t>
        </is>
      </c>
      <c r="F1607" s="23" t="n">
        <v>46280</v>
      </c>
      <c r="G1607" s="24">
        <f>F1607-DATE(2026,8,31)</f>
        <v>15</v>
      </c>
      <c r="H1607" s="25" t="n">
        <v>54048737</v>
      </c>
      <c r="I1607" t="inlineStr">
        <is>
          <t>entidad-dia</t>
        </is>
      </c>
    </row>
    <row r="1608">
      <c r="A1608" t="inlineStr">
        <is>
          <t>PRAGMA</t>
        </is>
      </c>
      <c r="B1608" t="inlineStr">
        <is>
          <t>M1</t>
        </is>
      </c>
      <c r="C1608" t="inlineStr">
        <is>
          <t>Cali</t>
        </is>
      </c>
      <c r="D1608" t="inlineStr">
        <is>
          <t>2921</t>
        </is>
      </c>
      <c r="E1608" t="inlineStr">
        <is>
          <t>pagado</t>
        </is>
      </c>
      <c r="F1608" s="23" t="n">
        <v>46266</v>
      </c>
      <c r="G1608" s="24">
        <f>F1608-DATE(2026,8,31)</f>
        <v>1</v>
      </c>
      <c r="H1608" s="25" t="n">
        <v>164586522</v>
      </c>
      <c r="I1608" t="inlineStr">
        <is>
          <t>entidad-dia</t>
        </is>
      </c>
    </row>
    <row r="1609">
      <c r="A1609" t="inlineStr">
        <is>
          <t>PRAGMA</t>
        </is>
      </c>
      <c r="B1609" t="inlineStr">
        <is>
          <t>M1</t>
        </is>
      </c>
      <c r="C1609" t="inlineStr">
        <is>
          <t>Cali</t>
        </is>
      </c>
      <c r="D1609" t="inlineStr">
        <is>
          <t>2921</t>
        </is>
      </c>
      <c r="E1609" t="inlineStr">
        <is>
          <t>pagado</t>
        </is>
      </c>
      <c r="F1609" s="23" t="n">
        <v>46267</v>
      </c>
      <c r="G1609" s="24">
        <f>F1609-DATE(2026,8,31)</f>
        <v>2</v>
      </c>
      <c r="H1609" s="25" t="n">
        <v>127410472</v>
      </c>
      <c r="I1609" t="inlineStr">
        <is>
          <t>entidad-dia</t>
        </is>
      </c>
    </row>
    <row r="1610">
      <c r="A1610" t="inlineStr">
        <is>
          <t>PRAGMA</t>
        </is>
      </c>
      <c r="B1610" t="inlineStr">
        <is>
          <t>M1</t>
        </is>
      </c>
      <c r="C1610" t="inlineStr">
        <is>
          <t>Cali</t>
        </is>
      </c>
      <c r="D1610" t="inlineStr">
        <is>
          <t>2921</t>
        </is>
      </c>
      <c r="E1610" t="inlineStr">
        <is>
          <t>pagado</t>
        </is>
      </c>
      <c r="F1610" s="23" t="n">
        <v>46268</v>
      </c>
      <c r="G1610" s="24">
        <f>F1610-DATE(2026,8,31)</f>
        <v>3</v>
      </c>
      <c r="H1610" s="25" t="n">
        <v>117692714</v>
      </c>
      <c r="I1610" t="inlineStr">
        <is>
          <t>entidad-dia</t>
        </is>
      </c>
    </row>
    <row r="1611">
      <c r="A1611" t="inlineStr">
        <is>
          <t>PRAGMA</t>
        </is>
      </c>
      <c r="B1611" t="inlineStr">
        <is>
          <t>M1</t>
        </is>
      </c>
      <c r="C1611" t="inlineStr">
        <is>
          <t>Cali</t>
        </is>
      </c>
      <c r="D1611" t="inlineStr">
        <is>
          <t>2921</t>
        </is>
      </c>
      <c r="E1611" t="inlineStr">
        <is>
          <t>pagado</t>
        </is>
      </c>
      <c r="F1611" s="23" t="n">
        <v>46269</v>
      </c>
      <c r="G1611" s="24">
        <f>F1611-DATE(2026,8,31)</f>
        <v>4</v>
      </c>
      <c r="H1611" s="25" t="n">
        <v>115264925</v>
      </c>
      <c r="I1611" t="inlineStr">
        <is>
          <t>entidad-dia</t>
        </is>
      </c>
    </row>
    <row r="1612">
      <c r="A1612" t="inlineStr">
        <is>
          <t>PRAGMA</t>
        </is>
      </c>
      <c r="B1612" t="inlineStr">
        <is>
          <t>M1</t>
        </is>
      </c>
      <c r="C1612" t="inlineStr">
        <is>
          <t>Cali</t>
        </is>
      </c>
      <c r="D1612" t="inlineStr">
        <is>
          <t>2921</t>
        </is>
      </c>
      <c r="E1612" t="inlineStr">
        <is>
          <t>pagado</t>
        </is>
      </c>
      <c r="F1612" s="23" t="n">
        <v>46270</v>
      </c>
      <c r="G1612" s="24">
        <f>F1612-DATE(2026,8,31)</f>
        <v>5</v>
      </c>
      <c r="H1612" s="25" t="n">
        <v>123921318</v>
      </c>
      <c r="I1612" t="inlineStr">
        <is>
          <t>entidad-dia</t>
        </is>
      </c>
    </row>
    <row r="1613">
      <c r="A1613" t="inlineStr">
        <is>
          <t>PRAGMA</t>
        </is>
      </c>
      <c r="B1613" t="inlineStr">
        <is>
          <t>M1</t>
        </is>
      </c>
      <c r="C1613" t="inlineStr">
        <is>
          <t>Cali</t>
        </is>
      </c>
      <c r="D1613" t="inlineStr">
        <is>
          <t>2921</t>
        </is>
      </c>
      <c r="E1613" t="inlineStr">
        <is>
          <t>pagado</t>
        </is>
      </c>
      <c r="F1613" s="23" t="n">
        <v>46271</v>
      </c>
      <c r="G1613" s="24">
        <f>F1613-DATE(2026,8,31)</f>
        <v>6</v>
      </c>
      <c r="H1613" s="25" t="n">
        <v>88455873</v>
      </c>
      <c r="I1613" t="inlineStr">
        <is>
          <t>entidad-dia</t>
        </is>
      </c>
    </row>
    <row r="1614">
      <c r="A1614" t="inlineStr">
        <is>
          <t>PRAGMA</t>
        </is>
      </c>
      <c r="B1614" t="inlineStr">
        <is>
          <t>M1</t>
        </is>
      </c>
      <c r="C1614" t="inlineStr">
        <is>
          <t>Cali</t>
        </is>
      </c>
      <c r="D1614" t="inlineStr">
        <is>
          <t>2921</t>
        </is>
      </c>
      <c r="E1614" t="inlineStr">
        <is>
          <t>pagado</t>
        </is>
      </c>
      <c r="F1614" s="23" t="n">
        <v>46272</v>
      </c>
      <c r="G1614" s="24">
        <f>F1614-DATE(2026,8,31)</f>
        <v>7</v>
      </c>
      <c r="H1614" s="25" t="n">
        <v>95983838</v>
      </c>
      <c r="I1614" t="inlineStr">
        <is>
          <t>entidad-dia</t>
        </is>
      </c>
    </row>
    <row r="1615">
      <c r="A1615" t="inlineStr">
        <is>
          <t>PRAGMA</t>
        </is>
      </c>
      <c r="B1615" t="inlineStr">
        <is>
          <t>M1</t>
        </is>
      </c>
      <c r="C1615" t="inlineStr">
        <is>
          <t>Cali</t>
        </is>
      </c>
      <c r="D1615" t="inlineStr">
        <is>
          <t>2921</t>
        </is>
      </c>
      <c r="E1615" t="inlineStr">
        <is>
          <t>pagado</t>
        </is>
      </c>
      <c r="F1615" s="23" t="n">
        <v>46273</v>
      </c>
      <c r="G1615" s="24">
        <f>F1615-DATE(2026,8,31)</f>
        <v>8</v>
      </c>
      <c r="H1615" s="25" t="n">
        <v>92312221</v>
      </c>
      <c r="I1615" t="inlineStr">
        <is>
          <t>entidad-dia</t>
        </is>
      </c>
    </row>
    <row r="1616">
      <c r="A1616" t="inlineStr">
        <is>
          <t>PRAGMA</t>
        </is>
      </c>
      <c r="B1616" t="inlineStr">
        <is>
          <t>M1</t>
        </is>
      </c>
      <c r="C1616" t="inlineStr">
        <is>
          <t>Cali</t>
        </is>
      </c>
      <c r="D1616" t="inlineStr">
        <is>
          <t>2921</t>
        </is>
      </c>
      <c r="E1616" t="inlineStr">
        <is>
          <t>pagado</t>
        </is>
      </c>
      <c r="F1616" s="23" t="n">
        <v>46274</v>
      </c>
      <c r="G1616" s="24">
        <f>F1616-DATE(2026,8,31)</f>
        <v>9</v>
      </c>
      <c r="H1616" s="25" t="n">
        <v>84700271</v>
      </c>
      <c r="I1616" t="inlineStr">
        <is>
          <t>entidad-dia</t>
        </is>
      </c>
    </row>
    <row r="1617">
      <c r="A1617" t="inlineStr">
        <is>
          <t>PRAGMA</t>
        </is>
      </c>
      <c r="B1617" t="inlineStr">
        <is>
          <t>M1</t>
        </is>
      </c>
      <c r="C1617" t="inlineStr">
        <is>
          <t>Cali</t>
        </is>
      </c>
      <c r="D1617" t="inlineStr">
        <is>
          <t>2921</t>
        </is>
      </c>
      <c r="E1617" t="inlineStr">
        <is>
          <t>pagado</t>
        </is>
      </c>
      <c r="F1617" s="23" t="n">
        <v>46275</v>
      </c>
      <c r="G1617" s="24">
        <f>F1617-DATE(2026,8,31)</f>
        <v>10</v>
      </c>
      <c r="H1617" s="25" t="n">
        <v>80745801</v>
      </c>
      <c r="I1617" t="inlineStr">
        <is>
          <t>entidad-dia</t>
        </is>
      </c>
    </row>
    <row r="1618">
      <c r="A1618" t="inlineStr">
        <is>
          <t>PRAGMA</t>
        </is>
      </c>
      <c r="B1618" t="inlineStr">
        <is>
          <t>M1</t>
        </is>
      </c>
      <c r="C1618" t="inlineStr">
        <is>
          <t>Cali</t>
        </is>
      </c>
      <c r="D1618" t="inlineStr">
        <is>
          <t>2921</t>
        </is>
      </c>
      <c r="E1618" t="inlineStr">
        <is>
          <t>pagado</t>
        </is>
      </c>
      <c r="F1618" s="23" t="n">
        <v>46276</v>
      </c>
      <c r="G1618" s="24">
        <f>F1618-DATE(2026,8,31)</f>
        <v>11</v>
      </c>
      <c r="H1618" s="25" t="n">
        <v>77241160</v>
      </c>
      <c r="I1618" t="inlineStr">
        <is>
          <t>entidad-dia</t>
        </is>
      </c>
    </row>
    <row r="1619">
      <c r="A1619" t="inlineStr">
        <is>
          <t>PRAGMA</t>
        </is>
      </c>
      <c r="B1619" t="inlineStr">
        <is>
          <t>M1</t>
        </is>
      </c>
      <c r="C1619" t="inlineStr">
        <is>
          <t>Cali</t>
        </is>
      </c>
      <c r="D1619" t="inlineStr">
        <is>
          <t>2921</t>
        </is>
      </c>
      <c r="E1619" t="inlineStr">
        <is>
          <t>pagado</t>
        </is>
      </c>
      <c r="F1619" s="23" t="n">
        <v>46277</v>
      </c>
      <c r="G1619" s="24">
        <f>F1619-DATE(2026,8,31)</f>
        <v>12</v>
      </c>
      <c r="H1619" s="25" t="n">
        <v>96765678</v>
      </c>
      <c r="I1619" t="inlineStr">
        <is>
          <t>entidad-dia</t>
        </is>
      </c>
    </row>
    <row r="1620">
      <c r="A1620" t="inlineStr">
        <is>
          <t>PRAGMA</t>
        </is>
      </c>
      <c r="B1620" t="inlineStr">
        <is>
          <t>M1</t>
        </is>
      </c>
      <c r="C1620" t="inlineStr">
        <is>
          <t>Cali</t>
        </is>
      </c>
      <c r="D1620" t="inlineStr">
        <is>
          <t>2921</t>
        </is>
      </c>
      <c r="E1620" t="inlineStr">
        <is>
          <t>pagado</t>
        </is>
      </c>
      <c r="F1620" s="23" t="n">
        <v>46278</v>
      </c>
      <c r="G1620" s="24">
        <f>F1620-DATE(2026,8,31)</f>
        <v>13</v>
      </c>
      <c r="H1620" s="25" t="n">
        <v>65117350</v>
      </c>
      <c r="I1620" t="inlineStr">
        <is>
          <t>entidad-dia</t>
        </is>
      </c>
    </row>
    <row r="1621">
      <c r="A1621" t="inlineStr">
        <is>
          <t>PRAGMA</t>
        </is>
      </c>
      <c r="B1621" t="inlineStr">
        <is>
          <t>M1</t>
        </is>
      </c>
      <c r="C1621" t="inlineStr">
        <is>
          <t>Cali</t>
        </is>
      </c>
      <c r="D1621" t="inlineStr">
        <is>
          <t>2921</t>
        </is>
      </c>
      <c r="E1621" t="inlineStr">
        <is>
          <t>pagado</t>
        </is>
      </c>
      <c r="F1621" s="23" t="n">
        <v>46279</v>
      </c>
      <c r="G1621" s="24">
        <f>F1621-DATE(2026,8,31)</f>
        <v>14</v>
      </c>
      <c r="H1621" s="25" t="n">
        <v>89177265</v>
      </c>
      <c r="I1621" t="inlineStr">
        <is>
          <t>entidad-dia</t>
        </is>
      </c>
    </row>
    <row r="1622">
      <c r="A1622" t="inlineStr">
        <is>
          <t>PRAGMA</t>
        </is>
      </c>
      <c r="B1622" t="inlineStr">
        <is>
          <t>M1</t>
        </is>
      </c>
      <c r="C1622" t="inlineStr">
        <is>
          <t>Cali</t>
        </is>
      </c>
      <c r="D1622" t="inlineStr">
        <is>
          <t>2921</t>
        </is>
      </c>
      <c r="E1622" t="inlineStr">
        <is>
          <t>pagado</t>
        </is>
      </c>
      <c r="F1622" s="23" t="n">
        <v>46280</v>
      </c>
      <c r="G1622" s="24">
        <f>F1622-DATE(2026,8,31)</f>
        <v>15</v>
      </c>
      <c r="H1622" s="25" t="n">
        <v>118621845</v>
      </c>
      <c r="I1622" t="inlineStr">
        <is>
          <t>entidad-dia</t>
        </is>
      </c>
    </row>
    <row r="1623">
      <c r="A1623" t="inlineStr">
        <is>
          <t>PRAGMA</t>
        </is>
      </c>
      <c r="B1623" t="inlineStr">
        <is>
          <t>M1</t>
        </is>
      </c>
      <c r="C1623" t="inlineStr">
        <is>
          <t>Cali</t>
        </is>
      </c>
      <c r="D1623" t="inlineStr">
        <is>
          <t>2970</t>
        </is>
      </c>
      <c r="E1623" t="inlineStr">
        <is>
          <t>pagado</t>
        </is>
      </c>
      <c r="F1623" s="23" t="n">
        <v>46266</v>
      </c>
      <c r="G1623" s="24">
        <f>F1623-DATE(2026,8,31)</f>
        <v>1</v>
      </c>
      <c r="H1623" s="25" t="n">
        <v>100797259</v>
      </c>
      <c r="I1623" t="inlineStr">
        <is>
          <t>entidad-dia</t>
        </is>
      </c>
    </row>
    <row r="1624">
      <c r="A1624" t="inlineStr">
        <is>
          <t>PRAGMA</t>
        </is>
      </c>
      <c r="B1624" t="inlineStr">
        <is>
          <t>M1</t>
        </is>
      </c>
      <c r="C1624" t="inlineStr">
        <is>
          <t>Cali</t>
        </is>
      </c>
      <c r="D1624" t="inlineStr">
        <is>
          <t>2970</t>
        </is>
      </c>
      <c r="E1624" t="inlineStr">
        <is>
          <t>pagado</t>
        </is>
      </c>
      <c r="F1624" s="23" t="n">
        <v>46267</v>
      </c>
      <c r="G1624" s="24">
        <f>F1624-DATE(2026,8,31)</f>
        <v>2</v>
      </c>
      <c r="H1624" s="25" t="n">
        <v>73176886</v>
      </c>
      <c r="I1624" t="inlineStr">
        <is>
          <t>entidad-dia</t>
        </is>
      </c>
    </row>
    <row r="1625">
      <c r="A1625" t="inlineStr">
        <is>
          <t>PRAGMA</t>
        </is>
      </c>
      <c r="B1625" t="inlineStr">
        <is>
          <t>M1</t>
        </is>
      </c>
      <c r="C1625" t="inlineStr">
        <is>
          <t>Cali</t>
        </is>
      </c>
      <c r="D1625" t="inlineStr">
        <is>
          <t>2970</t>
        </is>
      </c>
      <c r="E1625" t="inlineStr">
        <is>
          <t>pagado</t>
        </is>
      </c>
      <c r="F1625" s="23" t="n">
        <v>46268</v>
      </c>
      <c r="G1625" s="24">
        <f>F1625-DATE(2026,8,31)</f>
        <v>3</v>
      </c>
      <c r="H1625" s="25" t="n">
        <v>61937968</v>
      </c>
      <c r="I1625" t="inlineStr">
        <is>
          <t>entidad-dia</t>
        </is>
      </c>
    </row>
    <row r="1626">
      <c r="A1626" t="inlineStr">
        <is>
          <t>PRAGMA</t>
        </is>
      </c>
      <c r="B1626" t="inlineStr">
        <is>
          <t>M1</t>
        </is>
      </c>
      <c r="C1626" t="inlineStr">
        <is>
          <t>Cali</t>
        </is>
      </c>
      <c r="D1626" t="inlineStr">
        <is>
          <t>2970</t>
        </is>
      </c>
      <c r="E1626" t="inlineStr">
        <is>
          <t>pagado</t>
        </is>
      </c>
      <c r="F1626" s="23" t="n">
        <v>46269</v>
      </c>
      <c r="G1626" s="24">
        <f>F1626-DATE(2026,8,31)</f>
        <v>4</v>
      </c>
      <c r="H1626" s="25" t="n">
        <v>63643948</v>
      </c>
      <c r="I1626" t="inlineStr">
        <is>
          <t>entidad-dia</t>
        </is>
      </c>
    </row>
    <row r="1627">
      <c r="A1627" t="inlineStr">
        <is>
          <t>PRAGMA</t>
        </is>
      </c>
      <c r="B1627" t="inlineStr">
        <is>
          <t>M1</t>
        </is>
      </c>
      <c r="C1627" t="inlineStr">
        <is>
          <t>Cali</t>
        </is>
      </c>
      <c r="D1627" t="inlineStr">
        <is>
          <t>2970</t>
        </is>
      </c>
      <c r="E1627" t="inlineStr">
        <is>
          <t>pagado</t>
        </is>
      </c>
      <c r="F1627" s="23" t="n">
        <v>46270</v>
      </c>
      <c r="G1627" s="24">
        <f>F1627-DATE(2026,8,31)</f>
        <v>5</v>
      </c>
      <c r="H1627" s="25" t="n">
        <v>54464774</v>
      </c>
      <c r="I1627" t="inlineStr">
        <is>
          <t>entidad-dia</t>
        </is>
      </c>
    </row>
    <row r="1628">
      <c r="A1628" t="inlineStr">
        <is>
          <t>PRAGMA</t>
        </is>
      </c>
      <c r="B1628" t="inlineStr">
        <is>
          <t>M1</t>
        </is>
      </c>
      <c r="C1628" t="inlineStr">
        <is>
          <t>Cali</t>
        </is>
      </c>
      <c r="D1628" t="inlineStr">
        <is>
          <t>2970</t>
        </is>
      </c>
      <c r="E1628" t="inlineStr">
        <is>
          <t>pagado</t>
        </is>
      </c>
      <c r="F1628" s="23" t="n">
        <v>46271</v>
      </c>
      <c r="G1628" s="24">
        <f>F1628-DATE(2026,8,31)</f>
        <v>6</v>
      </c>
      <c r="H1628" s="25" t="n">
        <v>23997951</v>
      </c>
      <c r="I1628" t="inlineStr">
        <is>
          <t>entidad-dia</t>
        </is>
      </c>
    </row>
    <row r="1629">
      <c r="A1629" t="inlineStr">
        <is>
          <t>PRAGMA</t>
        </is>
      </c>
      <c r="B1629" t="inlineStr">
        <is>
          <t>M1</t>
        </is>
      </c>
      <c r="C1629" t="inlineStr">
        <is>
          <t>Cali</t>
        </is>
      </c>
      <c r="D1629" t="inlineStr">
        <is>
          <t>2970</t>
        </is>
      </c>
      <c r="E1629" t="inlineStr">
        <is>
          <t>pagado</t>
        </is>
      </c>
      <c r="F1629" s="23" t="n">
        <v>46272</v>
      </c>
      <c r="G1629" s="24">
        <f>F1629-DATE(2026,8,31)</f>
        <v>7</v>
      </c>
      <c r="H1629" s="25" t="n">
        <v>39943581</v>
      </c>
      <c r="I1629" t="inlineStr">
        <is>
          <t>entidad-dia</t>
        </is>
      </c>
    </row>
    <row r="1630">
      <c r="A1630" t="inlineStr">
        <is>
          <t>PRAGMA</t>
        </is>
      </c>
      <c r="B1630" t="inlineStr">
        <is>
          <t>M1</t>
        </is>
      </c>
      <c r="C1630" t="inlineStr">
        <is>
          <t>Cali</t>
        </is>
      </c>
      <c r="D1630" t="inlineStr">
        <is>
          <t>2970</t>
        </is>
      </c>
      <c r="E1630" t="inlineStr">
        <is>
          <t>pagado</t>
        </is>
      </c>
      <c r="F1630" s="23" t="n">
        <v>46273</v>
      </c>
      <c r="G1630" s="24">
        <f>F1630-DATE(2026,8,31)</f>
        <v>8</v>
      </c>
      <c r="H1630" s="25" t="n">
        <v>40185151</v>
      </c>
      <c r="I1630" t="inlineStr">
        <is>
          <t>entidad-dia</t>
        </is>
      </c>
    </row>
    <row r="1631">
      <c r="A1631" t="inlineStr">
        <is>
          <t>PRAGMA</t>
        </is>
      </c>
      <c r="B1631" t="inlineStr">
        <is>
          <t>M1</t>
        </is>
      </c>
      <c r="C1631" t="inlineStr">
        <is>
          <t>Cali</t>
        </is>
      </c>
      <c r="D1631" t="inlineStr">
        <is>
          <t>2970</t>
        </is>
      </c>
      <c r="E1631" t="inlineStr">
        <is>
          <t>pagado</t>
        </is>
      </c>
      <c r="F1631" s="23" t="n">
        <v>46274</v>
      </c>
      <c r="G1631" s="24">
        <f>F1631-DATE(2026,8,31)</f>
        <v>9</v>
      </c>
      <c r="H1631" s="25" t="n">
        <v>38608627</v>
      </c>
      <c r="I1631" t="inlineStr">
        <is>
          <t>entidad-dia</t>
        </is>
      </c>
    </row>
    <row r="1632">
      <c r="A1632" t="inlineStr">
        <is>
          <t>PRAGMA</t>
        </is>
      </c>
      <c r="B1632" t="inlineStr">
        <is>
          <t>M1</t>
        </is>
      </c>
      <c r="C1632" t="inlineStr">
        <is>
          <t>Cali</t>
        </is>
      </c>
      <c r="D1632" t="inlineStr">
        <is>
          <t>2970</t>
        </is>
      </c>
      <c r="E1632" t="inlineStr">
        <is>
          <t>pagado</t>
        </is>
      </c>
      <c r="F1632" s="23" t="n">
        <v>46275</v>
      </c>
      <c r="G1632" s="24">
        <f>F1632-DATE(2026,8,31)</f>
        <v>10</v>
      </c>
      <c r="H1632" s="25" t="n">
        <v>39144588</v>
      </c>
      <c r="I1632" t="inlineStr">
        <is>
          <t>entidad-dia</t>
        </is>
      </c>
    </row>
    <row r="1633">
      <c r="A1633" t="inlineStr">
        <is>
          <t>PRAGMA</t>
        </is>
      </c>
      <c r="B1633" t="inlineStr">
        <is>
          <t>M1</t>
        </is>
      </c>
      <c r="C1633" t="inlineStr">
        <is>
          <t>Cali</t>
        </is>
      </c>
      <c r="D1633" t="inlineStr">
        <is>
          <t>2970</t>
        </is>
      </c>
      <c r="E1633" t="inlineStr">
        <is>
          <t>pagado</t>
        </is>
      </c>
      <c r="F1633" s="23" t="n">
        <v>46276</v>
      </c>
      <c r="G1633" s="24">
        <f>F1633-DATE(2026,8,31)</f>
        <v>11</v>
      </c>
      <c r="H1633" s="25" t="n">
        <v>48247995</v>
      </c>
      <c r="I1633" t="inlineStr">
        <is>
          <t>entidad-dia</t>
        </is>
      </c>
    </row>
    <row r="1634">
      <c r="A1634" t="inlineStr">
        <is>
          <t>PRAGMA</t>
        </is>
      </c>
      <c r="B1634" t="inlineStr">
        <is>
          <t>M1</t>
        </is>
      </c>
      <c r="C1634" t="inlineStr">
        <is>
          <t>Cali</t>
        </is>
      </c>
      <c r="D1634" t="inlineStr">
        <is>
          <t>2970</t>
        </is>
      </c>
      <c r="E1634" t="inlineStr">
        <is>
          <t>pagado</t>
        </is>
      </c>
      <c r="F1634" s="23" t="n">
        <v>46277</v>
      </c>
      <c r="G1634" s="24">
        <f>F1634-DATE(2026,8,31)</f>
        <v>12</v>
      </c>
      <c r="H1634" s="25" t="n">
        <v>47114185</v>
      </c>
      <c r="I1634" t="inlineStr">
        <is>
          <t>entidad-dia</t>
        </is>
      </c>
    </row>
    <row r="1635">
      <c r="A1635" t="inlineStr">
        <is>
          <t>PRAGMA</t>
        </is>
      </c>
      <c r="B1635" t="inlineStr">
        <is>
          <t>M1</t>
        </is>
      </c>
      <c r="C1635" t="inlineStr">
        <is>
          <t>Cali</t>
        </is>
      </c>
      <c r="D1635" t="inlineStr">
        <is>
          <t>2970</t>
        </is>
      </c>
      <c r="E1635" t="inlineStr">
        <is>
          <t>pagado</t>
        </is>
      </c>
      <c r="F1635" s="23" t="n">
        <v>46278</v>
      </c>
      <c r="G1635" s="24">
        <f>F1635-DATE(2026,8,31)</f>
        <v>13</v>
      </c>
      <c r="H1635" s="25" t="n">
        <v>22238047</v>
      </c>
      <c r="I1635" t="inlineStr">
        <is>
          <t>entidad-dia</t>
        </is>
      </c>
    </row>
    <row r="1636">
      <c r="A1636" t="inlineStr">
        <is>
          <t>PRAGMA</t>
        </is>
      </c>
      <c r="B1636" t="inlineStr">
        <is>
          <t>M1</t>
        </is>
      </c>
      <c r="C1636" t="inlineStr">
        <is>
          <t>Cali</t>
        </is>
      </c>
      <c r="D1636" t="inlineStr">
        <is>
          <t>2970</t>
        </is>
      </c>
      <c r="E1636" t="inlineStr">
        <is>
          <t>pagado</t>
        </is>
      </c>
      <c r="F1636" s="23" t="n">
        <v>46279</v>
      </c>
      <c r="G1636" s="24">
        <f>F1636-DATE(2026,8,31)</f>
        <v>14</v>
      </c>
      <c r="H1636" s="25" t="n">
        <v>56847518</v>
      </c>
      <c r="I1636" t="inlineStr">
        <is>
          <t>entidad-dia</t>
        </is>
      </c>
    </row>
    <row r="1637">
      <c r="A1637" t="inlineStr">
        <is>
          <t>PRAGMA</t>
        </is>
      </c>
      <c r="B1637" t="inlineStr">
        <is>
          <t>M1</t>
        </is>
      </c>
      <c r="C1637" t="inlineStr">
        <is>
          <t>Cali</t>
        </is>
      </c>
      <c r="D1637" t="inlineStr">
        <is>
          <t>2970</t>
        </is>
      </c>
      <c r="E1637" t="inlineStr">
        <is>
          <t>pagado</t>
        </is>
      </c>
      <c r="F1637" s="23" t="n">
        <v>46280</v>
      </c>
      <c r="G1637" s="24">
        <f>F1637-DATE(2026,8,31)</f>
        <v>15</v>
      </c>
      <c r="H1637" s="25" t="n">
        <v>72824755</v>
      </c>
      <c r="I1637" t="inlineStr">
        <is>
          <t>entidad-dia</t>
        </is>
      </c>
    </row>
    <row r="1638">
      <c r="A1638" t="inlineStr">
        <is>
          <t>PRAGMA</t>
        </is>
      </c>
      <c r="B1638" t="inlineStr">
        <is>
          <t>M1</t>
        </is>
      </c>
      <c r="C1638" t="inlineStr">
        <is>
          <t>Cali</t>
        </is>
      </c>
      <c r="D1638" t="inlineStr">
        <is>
          <t>2993</t>
        </is>
      </c>
      <c r="E1638" t="inlineStr">
        <is>
          <t>pagado</t>
        </is>
      </c>
      <c r="F1638" s="23" t="n">
        <v>46266</v>
      </c>
      <c r="G1638" s="24">
        <f>F1638-DATE(2026,8,31)</f>
        <v>1</v>
      </c>
      <c r="H1638" s="25" t="n">
        <v>170104158</v>
      </c>
      <c r="I1638" t="inlineStr">
        <is>
          <t>entidad-dia</t>
        </is>
      </c>
    </row>
    <row r="1639">
      <c r="A1639" t="inlineStr">
        <is>
          <t>PRAGMA</t>
        </is>
      </c>
      <c r="B1639" t="inlineStr">
        <is>
          <t>M1</t>
        </is>
      </c>
      <c r="C1639" t="inlineStr">
        <is>
          <t>Cali</t>
        </is>
      </c>
      <c r="D1639" t="inlineStr">
        <is>
          <t>2993</t>
        </is>
      </c>
      <c r="E1639" t="inlineStr">
        <is>
          <t>pagado</t>
        </is>
      </c>
      <c r="F1639" s="23" t="n">
        <v>46267</v>
      </c>
      <c r="G1639" s="24">
        <f>F1639-DATE(2026,8,31)</f>
        <v>2</v>
      </c>
      <c r="H1639" s="25" t="n">
        <v>124856414</v>
      </c>
      <c r="I1639" t="inlineStr">
        <is>
          <t>entidad-dia</t>
        </is>
      </c>
    </row>
    <row r="1640">
      <c r="A1640" t="inlineStr">
        <is>
          <t>PRAGMA</t>
        </is>
      </c>
      <c r="B1640" t="inlineStr">
        <is>
          <t>M1</t>
        </is>
      </c>
      <c r="C1640" t="inlineStr">
        <is>
          <t>Cali</t>
        </is>
      </c>
      <c r="D1640" t="inlineStr">
        <is>
          <t>2993</t>
        </is>
      </c>
      <c r="E1640" t="inlineStr">
        <is>
          <t>pagado</t>
        </is>
      </c>
      <c r="F1640" s="23" t="n">
        <v>46268</v>
      </c>
      <c r="G1640" s="24">
        <f>F1640-DATE(2026,8,31)</f>
        <v>3</v>
      </c>
      <c r="H1640" s="25" t="n">
        <v>114497194</v>
      </c>
      <c r="I1640" t="inlineStr">
        <is>
          <t>entidad-dia</t>
        </is>
      </c>
    </row>
    <row r="1641">
      <c r="A1641" t="inlineStr">
        <is>
          <t>PRAGMA</t>
        </is>
      </c>
      <c r="B1641" t="inlineStr">
        <is>
          <t>M1</t>
        </is>
      </c>
      <c r="C1641" t="inlineStr">
        <is>
          <t>Cali</t>
        </is>
      </c>
      <c r="D1641" t="inlineStr">
        <is>
          <t>2993</t>
        </is>
      </c>
      <c r="E1641" t="inlineStr">
        <is>
          <t>pagado</t>
        </is>
      </c>
      <c r="F1641" s="23" t="n">
        <v>46269</v>
      </c>
      <c r="G1641" s="24">
        <f>F1641-DATE(2026,8,31)</f>
        <v>4</v>
      </c>
      <c r="H1641" s="25" t="n">
        <v>114778845</v>
      </c>
      <c r="I1641" t="inlineStr">
        <is>
          <t>entidad-dia</t>
        </is>
      </c>
    </row>
    <row r="1642">
      <c r="A1642" t="inlineStr">
        <is>
          <t>PRAGMA</t>
        </is>
      </c>
      <c r="B1642" t="inlineStr">
        <is>
          <t>M1</t>
        </is>
      </c>
      <c r="C1642" t="inlineStr">
        <is>
          <t>Cali</t>
        </is>
      </c>
      <c r="D1642" t="inlineStr">
        <is>
          <t>2993</t>
        </is>
      </c>
      <c r="E1642" t="inlineStr">
        <is>
          <t>pagado</t>
        </is>
      </c>
      <c r="F1642" s="23" t="n">
        <v>46270</v>
      </c>
      <c r="G1642" s="24">
        <f>F1642-DATE(2026,8,31)</f>
        <v>5</v>
      </c>
      <c r="H1642" s="25" t="n">
        <v>127801315</v>
      </c>
      <c r="I1642" t="inlineStr">
        <is>
          <t>entidad-dia</t>
        </is>
      </c>
    </row>
    <row r="1643">
      <c r="A1643" t="inlineStr">
        <is>
          <t>PRAGMA</t>
        </is>
      </c>
      <c r="B1643" t="inlineStr">
        <is>
          <t>M1</t>
        </is>
      </c>
      <c r="C1643" t="inlineStr">
        <is>
          <t>Cali</t>
        </is>
      </c>
      <c r="D1643" t="inlineStr">
        <is>
          <t>2993</t>
        </is>
      </c>
      <c r="E1643" t="inlineStr">
        <is>
          <t>pagado</t>
        </is>
      </c>
      <c r="F1643" s="23" t="n">
        <v>46271</v>
      </c>
      <c r="G1643" s="24">
        <f>F1643-DATE(2026,8,31)</f>
        <v>6</v>
      </c>
      <c r="H1643" s="25" t="n">
        <v>93210067</v>
      </c>
      <c r="I1643" t="inlineStr">
        <is>
          <t>entidad-dia</t>
        </is>
      </c>
    </row>
    <row r="1644">
      <c r="A1644" t="inlineStr">
        <is>
          <t>PRAGMA</t>
        </is>
      </c>
      <c r="B1644" t="inlineStr">
        <is>
          <t>M1</t>
        </is>
      </c>
      <c r="C1644" t="inlineStr">
        <is>
          <t>Cali</t>
        </is>
      </c>
      <c r="D1644" t="inlineStr">
        <is>
          <t>2993</t>
        </is>
      </c>
      <c r="E1644" t="inlineStr">
        <is>
          <t>pagado</t>
        </is>
      </c>
      <c r="F1644" s="23" t="n">
        <v>46272</v>
      </c>
      <c r="G1644" s="24">
        <f>F1644-DATE(2026,8,31)</f>
        <v>7</v>
      </c>
      <c r="H1644" s="25" t="n">
        <v>86302378</v>
      </c>
      <c r="I1644" t="inlineStr">
        <is>
          <t>entidad-dia</t>
        </is>
      </c>
    </row>
    <row r="1645">
      <c r="A1645" t="inlineStr">
        <is>
          <t>PRAGMA</t>
        </is>
      </c>
      <c r="B1645" t="inlineStr">
        <is>
          <t>M1</t>
        </is>
      </c>
      <c r="C1645" t="inlineStr">
        <is>
          <t>Cali</t>
        </is>
      </c>
      <c r="D1645" t="inlineStr">
        <is>
          <t>2993</t>
        </is>
      </c>
      <c r="E1645" t="inlineStr">
        <is>
          <t>pagado</t>
        </is>
      </c>
      <c r="F1645" s="23" t="n">
        <v>46273</v>
      </c>
      <c r="G1645" s="24">
        <f>F1645-DATE(2026,8,31)</f>
        <v>8</v>
      </c>
      <c r="H1645" s="25" t="n">
        <v>88999552</v>
      </c>
      <c r="I1645" t="inlineStr">
        <is>
          <t>entidad-dia</t>
        </is>
      </c>
    </row>
    <row r="1646">
      <c r="A1646" t="inlineStr">
        <is>
          <t>PRAGMA</t>
        </is>
      </c>
      <c r="B1646" t="inlineStr">
        <is>
          <t>M1</t>
        </is>
      </c>
      <c r="C1646" t="inlineStr">
        <is>
          <t>Cali</t>
        </is>
      </c>
      <c r="D1646" t="inlineStr">
        <is>
          <t>2993</t>
        </is>
      </c>
      <c r="E1646" t="inlineStr">
        <is>
          <t>pagado</t>
        </is>
      </c>
      <c r="F1646" s="23" t="n">
        <v>46274</v>
      </c>
      <c r="G1646" s="24">
        <f>F1646-DATE(2026,8,31)</f>
        <v>9</v>
      </c>
      <c r="H1646" s="25" t="n">
        <v>82143174</v>
      </c>
      <c r="I1646" t="inlineStr">
        <is>
          <t>entidad-dia</t>
        </is>
      </c>
    </row>
    <row r="1647">
      <c r="A1647" t="inlineStr">
        <is>
          <t>PRAGMA</t>
        </is>
      </c>
      <c r="B1647" t="inlineStr">
        <is>
          <t>M1</t>
        </is>
      </c>
      <c r="C1647" t="inlineStr">
        <is>
          <t>Cali</t>
        </is>
      </c>
      <c r="D1647" t="inlineStr">
        <is>
          <t>2993</t>
        </is>
      </c>
      <c r="E1647" t="inlineStr">
        <is>
          <t>pagado</t>
        </is>
      </c>
      <c r="F1647" s="23" t="n">
        <v>46275</v>
      </c>
      <c r="G1647" s="24">
        <f>F1647-DATE(2026,8,31)</f>
        <v>10</v>
      </c>
      <c r="H1647" s="25" t="n">
        <v>79037045</v>
      </c>
      <c r="I1647" t="inlineStr">
        <is>
          <t>entidad-dia</t>
        </is>
      </c>
    </row>
    <row r="1648">
      <c r="A1648" t="inlineStr">
        <is>
          <t>PRAGMA</t>
        </is>
      </c>
      <c r="B1648" t="inlineStr">
        <is>
          <t>M1</t>
        </is>
      </c>
      <c r="C1648" t="inlineStr">
        <is>
          <t>Cali</t>
        </is>
      </c>
      <c r="D1648" t="inlineStr">
        <is>
          <t>2993</t>
        </is>
      </c>
      <c r="E1648" t="inlineStr">
        <is>
          <t>pagado</t>
        </is>
      </c>
      <c r="F1648" s="23" t="n">
        <v>46276</v>
      </c>
      <c r="G1648" s="24">
        <f>F1648-DATE(2026,8,31)</f>
        <v>11</v>
      </c>
      <c r="H1648" s="25" t="n">
        <v>80576532</v>
      </c>
      <c r="I1648" t="inlineStr">
        <is>
          <t>entidad-dia</t>
        </is>
      </c>
    </row>
    <row r="1649">
      <c r="A1649" t="inlineStr">
        <is>
          <t>PRAGMA</t>
        </is>
      </c>
      <c r="B1649" t="inlineStr">
        <is>
          <t>M1</t>
        </is>
      </c>
      <c r="C1649" t="inlineStr">
        <is>
          <t>Cali</t>
        </is>
      </c>
      <c r="D1649" t="inlineStr">
        <is>
          <t>2993</t>
        </is>
      </c>
      <c r="E1649" t="inlineStr">
        <is>
          <t>pagado</t>
        </is>
      </c>
      <c r="F1649" s="23" t="n">
        <v>46277</v>
      </c>
      <c r="G1649" s="24">
        <f>F1649-DATE(2026,8,31)</f>
        <v>12</v>
      </c>
      <c r="H1649" s="25" t="n">
        <v>100935679</v>
      </c>
      <c r="I1649" t="inlineStr">
        <is>
          <t>entidad-dia</t>
        </is>
      </c>
    </row>
    <row r="1650">
      <c r="A1650" t="inlineStr">
        <is>
          <t>PRAGMA</t>
        </is>
      </c>
      <c r="B1650" t="inlineStr">
        <is>
          <t>M1</t>
        </is>
      </c>
      <c r="C1650" t="inlineStr">
        <is>
          <t>Cali</t>
        </is>
      </c>
      <c r="D1650" t="inlineStr">
        <is>
          <t>2993</t>
        </is>
      </c>
      <c r="E1650" t="inlineStr">
        <is>
          <t>pagado</t>
        </is>
      </c>
      <c r="F1650" s="23" t="n">
        <v>46278</v>
      </c>
      <c r="G1650" s="24">
        <f>F1650-DATE(2026,8,31)</f>
        <v>13</v>
      </c>
      <c r="H1650" s="25" t="n">
        <v>69206131</v>
      </c>
      <c r="I1650" t="inlineStr">
        <is>
          <t>entidad-dia</t>
        </is>
      </c>
    </row>
    <row r="1651">
      <c r="A1651" t="inlineStr">
        <is>
          <t>PRAGMA</t>
        </is>
      </c>
      <c r="B1651" t="inlineStr">
        <is>
          <t>M1</t>
        </is>
      </c>
      <c r="C1651" t="inlineStr">
        <is>
          <t>Cali</t>
        </is>
      </c>
      <c r="D1651" t="inlineStr">
        <is>
          <t>2993</t>
        </is>
      </c>
      <c r="E1651" t="inlineStr">
        <is>
          <t>pagado</t>
        </is>
      </c>
      <c r="F1651" s="23" t="n">
        <v>46279</v>
      </c>
      <c r="G1651" s="24">
        <f>F1651-DATE(2026,8,31)</f>
        <v>14</v>
      </c>
      <c r="H1651" s="25" t="n">
        <v>88043511</v>
      </c>
      <c r="I1651" t="inlineStr">
        <is>
          <t>entidad-dia</t>
        </is>
      </c>
    </row>
    <row r="1652">
      <c r="A1652" t="inlineStr">
        <is>
          <t>PRAGMA</t>
        </is>
      </c>
      <c r="B1652" t="inlineStr">
        <is>
          <t>M1</t>
        </is>
      </c>
      <c r="C1652" t="inlineStr">
        <is>
          <t>Cali</t>
        </is>
      </c>
      <c r="D1652" t="inlineStr">
        <is>
          <t>2993</t>
        </is>
      </c>
      <c r="E1652" t="inlineStr">
        <is>
          <t>pagado</t>
        </is>
      </c>
      <c r="F1652" s="23" t="n">
        <v>46280</v>
      </c>
      <c r="G1652" s="24">
        <f>F1652-DATE(2026,8,31)</f>
        <v>15</v>
      </c>
      <c r="H1652" s="25" t="n">
        <v>130444077</v>
      </c>
      <c r="I1652" t="inlineStr">
        <is>
          <t>entidad-dia</t>
        </is>
      </c>
    </row>
    <row r="1653">
      <c r="A1653" t="inlineStr">
        <is>
          <t>PRAGMA</t>
        </is>
      </c>
      <c r="B1653" t="inlineStr">
        <is>
          <t>M1</t>
        </is>
      </c>
      <c r="C1653" t="inlineStr">
        <is>
          <t>Cali</t>
        </is>
      </c>
      <c r="D1653" t="inlineStr">
        <is>
          <t>3043</t>
        </is>
      </c>
      <c r="E1653" t="inlineStr">
        <is>
          <t>pagado</t>
        </is>
      </c>
      <c r="F1653" s="23" t="n">
        <v>46266</v>
      </c>
      <c r="G1653" s="24">
        <f>F1653-DATE(2026,8,31)</f>
        <v>1</v>
      </c>
      <c r="H1653" s="25" t="n">
        <v>12761186</v>
      </c>
      <c r="I1653" t="inlineStr">
        <is>
          <t>entidad-dia</t>
        </is>
      </c>
    </row>
    <row r="1654">
      <c r="A1654" t="inlineStr">
        <is>
          <t>PRAGMA</t>
        </is>
      </c>
      <c r="B1654" t="inlineStr">
        <is>
          <t>M1</t>
        </is>
      </c>
      <c r="C1654" t="inlineStr">
        <is>
          <t>Cali</t>
        </is>
      </c>
      <c r="D1654" t="inlineStr">
        <is>
          <t>3043</t>
        </is>
      </c>
      <c r="E1654" t="inlineStr">
        <is>
          <t>pagado</t>
        </is>
      </c>
      <c r="F1654" s="23" t="n">
        <v>46267</v>
      </c>
      <c r="G1654" s="24">
        <f>F1654-DATE(2026,8,31)</f>
        <v>2</v>
      </c>
      <c r="H1654" s="25" t="n">
        <v>11704604</v>
      </c>
      <c r="I1654" t="inlineStr">
        <is>
          <t>entidad-dia</t>
        </is>
      </c>
    </row>
    <row r="1655">
      <c r="A1655" t="inlineStr">
        <is>
          <t>PRAGMA</t>
        </is>
      </c>
      <c r="B1655" t="inlineStr">
        <is>
          <t>M1</t>
        </is>
      </c>
      <c r="C1655" t="inlineStr">
        <is>
          <t>Cali</t>
        </is>
      </c>
      <c r="D1655" t="inlineStr">
        <is>
          <t>3043</t>
        </is>
      </c>
      <c r="E1655" t="inlineStr">
        <is>
          <t>pagado</t>
        </is>
      </c>
      <c r="F1655" s="23" t="n">
        <v>46268</v>
      </c>
      <c r="G1655" s="24">
        <f>F1655-DATE(2026,8,31)</f>
        <v>3</v>
      </c>
      <c r="H1655" s="25" t="n">
        <v>9968253</v>
      </c>
      <c r="I1655" t="inlineStr">
        <is>
          <t>entidad-dia</t>
        </is>
      </c>
    </row>
    <row r="1656">
      <c r="A1656" t="inlineStr">
        <is>
          <t>PRAGMA</t>
        </is>
      </c>
      <c r="B1656" t="inlineStr">
        <is>
          <t>M1</t>
        </is>
      </c>
      <c r="C1656" t="inlineStr">
        <is>
          <t>Cali</t>
        </is>
      </c>
      <c r="D1656" t="inlineStr">
        <is>
          <t>3043</t>
        </is>
      </c>
      <c r="E1656" t="inlineStr">
        <is>
          <t>pagado</t>
        </is>
      </c>
      <c r="F1656" s="23" t="n">
        <v>46269</v>
      </c>
      <c r="G1656" s="24">
        <f>F1656-DATE(2026,8,31)</f>
        <v>4</v>
      </c>
      <c r="H1656" s="25" t="n">
        <v>9008320</v>
      </c>
      <c r="I1656" t="inlineStr">
        <is>
          <t>entidad-dia</t>
        </is>
      </c>
    </row>
    <row r="1657">
      <c r="A1657" t="inlineStr">
        <is>
          <t>PRAGMA</t>
        </is>
      </c>
      <c r="B1657" t="inlineStr">
        <is>
          <t>M1</t>
        </is>
      </c>
      <c r="C1657" t="inlineStr">
        <is>
          <t>Cali</t>
        </is>
      </c>
      <c r="D1657" t="inlineStr">
        <is>
          <t>3043</t>
        </is>
      </c>
      <c r="E1657" t="inlineStr">
        <is>
          <t>pagado</t>
        </is>
      </c>
      <c r="F1657" s="23" t="n">
        <v>46270</v>
      </c>
      <c r="G1657" s="24">
        <f>F1657-DATE(2026,8,31)</f>
        <v>5</v>
      </c>
      <c r="H1657" s="25" t="n">
        <v>4898986</v>
      </c>
      <c r="I1657" t="inlineStr">
        <is>
          <t>entidad-dia</t>
        </is>
      </c>
    </row>
    <row r="1658">
      <c r="A1658" t="inlineStr">
        <is>
          <t>PRAGMA</t>
        </is>
      </c>
      <c r="B1658" t="inlineStr">
        <is>
          <t>M1</t>
        </is>
      </c>
      <c r="C1658" t="inlineStr">
        <is>
          <t>Cali</t>
        </is>
      </c>
      <c r="D1658" t="inlineStr">
        <is>
          <t>3043</t>
        </is>
      </c>
      <c r="E1658" t="inlineStr">
        <is>
          <t>pagado</t>
        </is>
      </c>
      <c r="F1658" s="23" t="n">
        <v>46271</v>
      </c>
      <c r="G1658" s="24">
        <f>F1658-DATE(2026,8,31)</f>
        <v>6</v>
      </c>
      <c r="H1658" s="25" t="n">
        <v>789212</v>
      </c>
      <c r="I1658" t="inlineStr">
        <is>
          <t>entidad-dia</t>
        </is>
      </c>
    </row>
    <row r="1659">
      <c r="A1659" t="inlineStr">
        <is>
          <t>PRAGMA</t>
        </is>
      </c>
      <c r="B1659" t="inlineStr">
        <is>
          <t>M1</t>
        </is>
      </c>
      <c r="C1659" t="inlineStr">
        <is>
          <t>Cali</t>
        </is>
      </c>
      <c r="D1659" t="inlineStr">
        <is>
          <t>3043</t>
        </is>
      </c>
      <c r="E1659" t="inlineStr">
        <is>
          <t>pagado</t>
        </is>
      </c>
      <c r="F1659" s="23" t="n">
        <v>46272</v>
      </c>
      <c r="G1659" s="24">
        <f>F1659-DATE(2026,8,31)</f>
        <v>7</v>
      </c>
      <c r="H1659" s="25" t="n">
        <v>6879444</v>
      </c>
      <c r="I1659" t="inlineStr">
        <is>
          <t>entidad-dia</t>
        </is>
      </c>
    </row>
    <row r="1660">
      <c r="A1660" t="inlineStr">
        <is>
          <t>PRAGMA</t>
        </is>
      </c>
      <c r="B1660" t="inlineStr">
        <is>
          <t>M1</t>
        </is>
      </c>
      <c r="C1660" t="inlineStr">
        <is>
          <t>Cali</t>
        </is>
      </c>
      <c r="D1660" t="inlineStr">
        <is>
          <t>3043</t>
        </is>
      </c>
      <c r="E1660" t="inlineStr">
        <is>
          <t>pagado</t>
        </is>
      </c>
      <c r="F1660" s="23" t="n">
        <v>46273</v>
      </c>
      <c r="G1660" s="24">
        <f>F1660-DATE(2026,8,31)</f>
        <v>8</v>
      </c>
      <c r="H1660" s="25" t="n">
        <v>7172526</v>
      </c>
      <c r="I1660" t="inlineStr">
        <is>
          <t>entidad-dia</t>
        </is>
      </c>
    </row>
    <row r="1661">
      <c r="A1661" t="inlineStr">
        <is>
          <t>PRAGMA</t>
        </is>
      </c>
      <c r="B1661" t="inlineStr">
        <is>
          <t>M1</t>
        </is>
      </c>
      <c r="C1661" t="inlineStr">
        <is>
          <t>Cali</t>
        </is>
      </c>
      <c r="D1661" t="inlineStr">
        <is>
          <t>3043</t>
        </is>
      </c>
      <c r="E1661" t="inlineStr">
        <is>
          <t>pagado</t>
        </is>
      </c>
      <c r="F1661" s="23" t="n">
        <v>46274</v>
      </c>
      <c r="G1661" s="24">
        <f>F1661-DATE(2026,8,31)</f>
        <v>9</v>
      </c>
      <c r="H1661" s="25" t="n">
        <v>12973762</v>
      </c>
      <c r="I1661" t="inlineStr">
        <is>
          <t>entidad-dia</t>
        </is>
      </c>
    </row>
    <row r="1662">
      <c r="A1662" t="inlineStr">
        <is>
          <t>PRAGMA</t>
        </is>
      </c>
      <c r="B1662" t="inlineStr">
        <is>
          <t>M1</t>
        </is>
      </c>
      <c r="C1662" t="inlineStr">
        <is>
          <t>Cali</t>
        </is>
      </c>
      <c r="D1662" t="inlineStr">
        <is>
          <t>3043</t>
        </is>
      </c>
      <c r="E1662" t="inlineStr">
        <is>
          <t>pagado</t>
        </is>
      </c>
      <c r="F1662" s="23" t="n">
        <v>46275</v>
      </c>
      <c r="G1662" s="24">
        <f>F1662-DATE(2026,8,31)</f>
        <v>10</v>
      </c>
      <c r="H1662" s="25" t="n">
        <v>18840551</v>
      </c>
      <c r="I1662" t="inlineStr">
        <is>
          <t>entidad-dia</t>
        </is>
      </c>
    </row>
    <row r="1663">
      <c r="A1663" t="inlineStr">
        <is>
          <t>PRAGMA</t>
        </is>
      </c>
      <c r="B1663" t="inlineStr">
        <is>
          <t>M1</t>
        </is>
      </c>
      <c r="C1663" t="inlineStr">
        <is>
          <t>Cali</t>
        </is>
      </c>
      <c r="D1663" t="inlineStr">
        <is>
          <t>3043</t>
        </is>
      </c>
      <c r="E1663" t="inlineStr">
        <is>
          <t>pagado</t>
        </is>
      </c>
      <c r="F1663" s="23" t="n">
        <v>46276</v>
      </c>
      <c r="G1663" s="24">
        <f>F1663-DATE(2026,8,31)</f>
        <v>11</v>
      </c>
      <c r="H1663" s="25" t="n">
        <v>24556728</v>
      </c>
      <c r="I1663" t="inlineStr">
        <is>
          <t>entidad-dia</t>
        </is>
      </c>
    </row>
    <row r="1664">
      <c r="A1664" t="inlineStr">
        <is>
          <t>PRAGMA</t>
        </is>
      </c>
      <c r="B1664" t="inlineStr">
        <is>
          <t>M1</t>
        </is>
      </c>
      <c r="C1664" t="inlineStr">
        <is>
          <t>Cali</t>
        </is>
      </c>
      <c r="D1664" t="inlineStr">
        <is>
          <t>3043</t>
        </is>
      </c>
      <c r="E1664" t="inlineStr">
        <is>
          <t>pagado</t>
        </is>
      </c>
      <c r="F1664" s="23" t="n">
        <v>46277</v>
      </c>
      <c r="G1664" s="24">
        <f>F1664-DATE(2026,8,31)</f>
        <v>12</v>
      </c>
      <c r="H1664" s="25" t="n">
        <v>8000014</v>
      </c>
      <c r="I1664" t="inlineStr">
        <is>
          <t>entidad-dia</t>
        </is>
      </c>
    </row>
    <row r="1665">
      <c r="A1665" t="inlineStr">
        <is>
          <t>PRAGMA</t>
        </is>
      </c>
      <c r="B1665" t="inlineStr">
        <is>
          <t>M1</t>
        </is>
      </c>
      <c r="C1665" t="inlineStr">
        <is>
          <t>Cali</t>
        </is>
      </c>
      <c r="D1665" t="inlineStr">
        <is>
          <t>3043</t>
        </is>
      </c>
      <c r="E1665" t="inlineStr">
        <is>
          <t>pagado</t>
        </is>
      </c>
      <c r="F1665" s="23" t="n">
        <v>46278</v>
      </c>
      <c r="G1665" s="24">
        <f>F1665-DATE(2026,8,31)</f>
        <v>13</v>
      </c>
      <c r="H1665" s="25" t="n">
        <v>633067</v>
      </c>
      <c r="I1665" t="inlineStr">
        <is>
          <t>entidad-dia</t>
        </is>
      </c>
    </row>
    <row r="1666">
      <c r="A1666" t="inlineStr">
        <is>
          <t>PRAGMA</t>
        </is>
      </c>
      <c r="B1666" t="inlineStr">
        <is>
          <t>M1</t>
        </is>
      </c>
      <c r="C1666" t="inlineStr">
        <is>
          <t>Cali</t>
        </is>
      </c>
      <c r="D1666" t="inlineStr">
        <is>
          <t>3043</t>
        </is>
      </c>
      <c r="E1666" t="inlineStr">
        <is>
          <t>pagado</t>
        </is>
      </c>
      <c r="F1666" s="23" t="n">
        <v>46279</v>
      </c>
      <c r="G1666" s="24">
        <f>F1666-DATE(2026,8,31)</f>
        <v>14</v>
      </c>
      <c r="H1666" s="25" t="n">
        <v>9698381</v>
      </c>
      <c r="I1666" t="inlineStr">
        <is>
          <t>entidad-dia</t>
        </is>
      </c>
    </row>
    <row r="1667">
      <c r="A1667" t="inlineStr">
        <is>
          <t>PRAGMA</t>
        </is>
      </c>
      <c r="B1667" t="inlineStr">
        <is>
          <t>M1</t>
        </is>
      </c>
      <c r="C1667" t="inlineStr">
        <is>
          <t>Cali</t>
        </is>
      </c>
      <c r="D1667" t="inlineStr">
        <is>
          <t>3043</t>
        </is>
      </c>
      <c r="E1667" t="inlineStr">
        <is>
          <t>pagado</t>
        </is>
      </c>
      <c r="F1667" s="23" t="n">
        <v>46280</v>
      </c>
      <c r="G1667" s="24">
        <f>F1667-DATE(2026,8,31)</f>
        <v>15</v>
      </c>
      <c r="H1667" s="25" t="n">
        <v>12373415</v>
      </c>
      <c r="I1667" t="inlineStr">
        <is>
          <t>entidad-dia</t>
        </is>
      </c>
    </row>
    <row r="1668">
      <c r="A1668" t="inlineStr">
        <is>
          <t>PRAGMA</t>
        </is>
      </c>
      <c r="B1668" t="inlineStr">
        <is>
          <t>M1</t>
        </is>
      </c>
      <c r="C1668" t="inlineStr">
        <is>
          <t>Cali</t>
        </is>
      </c>
      <c r="D1668" t="inlineStr">
        <is>
          <t>3049</t>
        </is>
      </c>
      <c r="E1668" t="inlineStr">
        <is>
          <t>pagado</t>
        </is>
      </c>
      <c r="F1668" s="23" t="n">
        <v>46266</v>
      </c>
      <c r="G1668" s="24">
        <f>F1668-DATE(2026,8,31)</f>
        <v>1</v>
      </c>
      <c r="H1668" s="25" t="n">
        <v>119336066</v>
      </c>
      <c r="I1668" t="inlineStr">
        <is>
          <t>entidad-dia</t>
        </is>
      </c>
    </row>
    <row r="1669">
      <c r="A1669" t="inlineStr">
        <is>
          <t>PRAGMA</t>
        </is>
      </c>
      <c r="B1669" t="inlineStr">
        <is>
          <t>M1</t>
        </is>
      </c>
      <c r="C1669" t="inlineStr">
        <is>
          <t>Cali</t>
        </is>
      </c>
      <c r="D1669" t="inlineStr">
        <is>
          <t>3049</t>
        </is>
      </c>
      <c r="E1669" t="inlineStr">
        <is>
          <t>pagado</t>
        </is>
      </c>
      <c r="F1669" s="23" t="n">
        <v>46267</v>
      </c>
      <c r="G1669" s="24">
        <f>F1669-DATE(2026,8,31)</f>
        <v>2</v>
      </c>
      <c r="H1669" s="25" t="n">
        <v>84666263</v>
      </c>
      <c r="I1669" t="inlineStr">
        <is>
          <t>entidad-dia</t>
        </is>
      </c>
    </row>
    <row r="1670">
      <c r="A1670" t="inlineStr">
        <is>
          <t>PRAGMA</t>
        </is>
      </c>
      <c r="B1670" t="inlineStr">
        <is>
          <t>M1</t>
        </is>
      </c>
      <c r="C1670" t="inlineStr">
        <is>
          <t>Cali</t>
        </is>
      </c>
      <c r="D1670" t="inlineStr">
        <is>
          <t>3049</t>
        </is>
      </c>
      <c r="E1670" t="inlineStr">
        <is>
          <t>pagado</t>
        </is>
      </c>
      <c r="F1670" s="23" t="n">
        <v>46268</v>
      </c>
      <c r="G1670" s="24">
        <f>F1670-DATE(2026,8,31)</f>
        <v>3</v>
      </c>
      <c r="H1670" s="25" t="n">
        <v>73234646</v>
      </c>
      <c r="I1670" t="inlineStr">
        <is>
          <t>entidad-dia</t>
        </is>
      </c>
    </row>
    <row r="1671">
      <c r="A1671" t="inlineStr">
        <is>
          <t>PRAGMA</t>
        </is>
      </c>
      <c r="B1671" t="inlineStr">
        <is>
          <t>M1</t>
        </is>
      </c>
      <c r="C1671" t="inlineStr">
        <is>
          <t>Cali</t>
        </is>
      </c>
      <c r="D1671" t="inlineStr">
        <is>
          <t>3049</t>
        </is>
      </c>
      <c r="E1671" t="inlineStr">
        <is>
          <t>pagado</t>
        </is>
      </c>
      <c r="F1671" s="23" t="n">
        <v>46269</v>
      </c>
      <c r="G1671" s="24">
        <f>F1671-DATE(2026,8,31)</f>
        <v>4</v>
      </c>
      <c r="H1671" s="25" t="n">
        <v>76045316</v>
      </c>
      <c r="I1671" t="inlineStr">
        <is>
          <t>entidad-dia</t>
        </is>
      </c>
    </row>
    <row r="1672">
      <c r="A1672" t="inlineStr">
        <is>
          <t>PRAGMA</t>
        </is>
      </c>
      <c r="B1672" t="inlineStr">
        <is>
          <t>M1</t>
        </is>
      </c>
      <c r="C1672" t="inlineStr">
        <is>
          <t>Cali</t>
        </is>
      </c>
      <c r="D1672" t="inlineStr">
        <is>
          <t>3049</t>
        </is>
      </c>
      <c r="E1672" t="inlineStr">
        <is>
          <t>pagado</t>
        </is>
      </c>
      <c r="F1672" s="23" t="n">
        <v>46270</v>
      </c>
      <c r="G1672" s="24">
        <f>F1672-DATE(2026,8,31)</f>
        <v>5</v>
      </c>
      <c r="H1672" s="25" t="n">
        <v>72547086</v>
      </c>
      <c r="I1672" t="inlineStr">
        <is>
          <t>entidad-dia</t>
        </is>
      </c>
    </row>
    <row r="1673">
      <c r="A1673" t="inlineStr">
        <is>
          <t>PRAGMA</t>
        </is>
      </c>
      <c r="B1673" t="inlineStr">
        <is>
          <t>M1</t>
        </is>
      </c>
      <c r="C1673" t="inlineStr">
        <is>
          <t>Cali</t>
        </is>
      </c>
      <c r="D1673" t="inlineStr">
        <is>
          <t>3049</t>
        </is>
      </c>
      <c r="E1673" t="inlineStr">
        <is>
          <t>pagado</t>
        </is>
      </c>
      <c r="F1673" s="23" t="n">
        <v>46271</v>
      </c>
      <c r="G1673" s="24">
        <f>F1673-DATE(2026,8,31)</f>
        <v>6</v>
      </c>
      <c r="H1673" s="25" t="n">
        <v>38996677</v>
      </c>
      <c r="I1673" t="inlineStr">
        <is>
          <t>entidad-dia</t>
        </is>
      </c>
    </row>
    <row r="1674">
      <c r="A1674" t="inlineStr">
        <is>
          <t>PRAGMA</t>
        </is>
      </c>
      <c r="B1674" t="inlineStr">
        <is>
          <t>M1</t>
        </is>
      </c>
      <c r="C1674" t="inlineStr">
        <is>
          <t>Cali</t>
        </is>
      </c>
      <c r="D1674" t="inlineStr">
        <is>
          <t>3049</t>
        </is>
      </c>
      <c r="E1674" t="inlineStr">
        <is>
          <t>pagado</t>
        </is>
      </c>
      <c r="F1674" s="23" t="n">
        <v>46272</v>
      </c>
      <c r="G1674" s="24">
        <f>F1674-DATE(2026,8,31)</f>
        <v>7</v>
      </c>
      <c r="H1674" s="25" t="n">
        <v>70762516</v>
      </c>
      <c r="I1674" t="inlineStr">
        <is>
          <t>entidad-dia</t>
        </is>
      </c>
    </row>
    <row r="1675">
      <c r="A1675" t="inlineStr">
        <is>
          <t>PRAGMA</t>
        </is>
      </c>
      <c r="B1675" t="inlineStr">
        <is>
          <t>M1</t>
        </is>
      </c>
      <c r="C1675" t="inlineStr">
        <is>
          <t>Cali</t>
        </is>
      </c>
      <c r="D1675" t="inlineStr">
        <is>
          <t>3049</t>
        </is>
      </c>
      <c r="E1675" t="inlineStr">
        <is>
          <t>pagado</t>
        </is>
      </c>
      <c r="F1675" s="23" t="n">
        <v>46273</v>
      </c>
      <c r="G1675" s="24">
        <f>F1675-DATE(2026,8,31)</f>
        <v>8</v>
      </c>
      <c r="H1675" s="25" t="n">
        <v>74254874</v>
      </c>
      <c r="I1675" t="inlineStr">
        <is>
          <t>entidad-dia</t>
        </is>
      </c>
    </row>
    <row r="1676">
      <c r="A1676" t="inlineStr">
        <is>
          <t>PRAGMA</t>
        </is>
      </c>
      <c r="B1676" t="inlineStr">
        <is>
          <t>M1</t>
        </is>
      </c>
      <c r="C1676" t="inlineStr">
        <is>
          <t>Cali</t>
        </is>
      </c>
      <c r="D1676" t="inlineStr">
        <is>
          <t>3049</t>
        </is>
      </c>
      <c r="E1676" t="inlineStr">
        <is>
          <t>pagado</t>
        </is>
      </c>
      <c r="F1676" s="23" t="n">
        <v>46274</v>
      </c>
      <c r="G1676" s="24">
        <f>F1676-DATE(2026,8,31)</f>
        <v>9</v>
      </c>
      <c r="H1676" s="25" t="n">
        <v>73806503</v>
      </c>
      <c r="I1676" t="inlineStr">
        <is>
          <t>entidad-dia</t>
        </is>
      </c>
    </row>
    <row r="1677">
      <c r="A1677" t="inlineStr">
        <is>
          <t>PRAGMA</t>
        </is>
      </c>
      <c r="B1677" t="inlineStr">
        <is>
          <t>M1</t>
        </is>
      </c>
      <c r="C1677" t="inlineStr">
        <is>
          <t>Cali</t>
        </is>
      </c>
      <c r="D1677" t="inlineStr">
        <is>
          <t>3049</t>
        </is>
      </c>
      <c r="E1677" t="inlineStr">
        <is>
          <t>pagado</t>
        </is>
      </c>
      <c r="F1677" s="23" t="n">
        <v>46275</v>
      </c>
      <c r="G1677" s="24">
        <f>F1677-DATE(2026,8,31)</f>
        <v>10</v>
      </c>
      <c r="H1677" s="25" t="n">
        <v>62516952</v>
      </c>
      <c r="I1677" t="inlineStr">
        <is>
          <t>entidad-dia</t>
        </is>
      </c>
    </row>
    <row r="1678">
      <c r="A1678" t="inlineStr">
        <is>
          <t>PRAGMA</t>
        </is>
      </c>
      <c r="B1678" t="inlineStr">
        <is>
          <t>M1</t>
        </is>
      </c>
      <c r="C1678" t="inlineStr">
        <is>
          <t>Cali</t>
        </is>
      </c>
      <c r="D1678" t="inlineStr">
        <is>
          <t>3049</t>
        </is>
      </c>
      <c r="E1678" t="inlineStr">
        <is>
          <t>pagado</t>
        </is>
      </c>
      <c r="F1678" s="23" t="n">
        <v>46276</v>
      </c>
      <c r="G1678" s="24">
        <f>F1678-DATE(2026,8,31)</f>
        <v>11</v>
      </c>
      <c r="H1678" s="25" t="n">
        <v>69414570</v>
      </c>
      <c r="I1678" t="inlineStr">
        <is>
          <t>entidad-dia</t>
        </is>
      </c>
    </row>
    <row r="1679">
      <c r="A1679" t="inlineStr">
        <is>
          <t>PRAGMA</t>
        </is>
      </c>
      <c r="B1679" t="inlineStr">
        <is>
          <t>M1</t>
        </is>
      </c>
      <c r="C1679" t="inlineStr">
        <is>
          <t>Cali</t>
        </is>
      </c>
      <c r="D1679" t="inlineStr">
        <is>
          <t>3049</t>
        </is>
      </c>
      <c r="E1679" t="inlineStr">
        <is>
          <t>pagado</t>
        </is>
      </c>
      <c r="F1679" s="23" t="n">
        <v>46277</v>
      </c>
      <c r="G1679" s="24">
        <f>F1679-DATE(2026,8,31)</f>
        <v>12</v>
      </c>
      <c r="H1679" s="25" t="n">
        <v>81329622</v>
      </c>
      <c r="I1679" t="inlineStr">
        <is>
          <t>entidad-dia</t>
        </is>
      </c>
    </row>
    <row r="1680">
      <c r="A1680" t="inlineStr">
        <is>
          <t>PRAGMA</t>
        </is>
      </c>
      <c r="B1680" t="inlineStr">
        <is>
          <t>M1</t>
        </is>
      </c>
      <c r="C1680" t="inlineStr">
        <is>
          <t>Cali</t>
        </is>
      </c>
      <c r="D1680" t="inlineStr">
        <is>
          <t>3049</t>
        </is>
      </c>
      <c r="E1680" t="inlineStr">
        <is>
          <t>pagado</t>
        </is>
      </c>
      <c r="F1680" s="23" t="n">
        <v>46278</v>
      </c>
      <c r="G1680" s="24">
        <f>F1680-DATE(2026,8,31)</f>
        <v>13</v>
      </c>
      <c r="H1680" s="25" t="n">
        <v>34608520</v>
      </c>
      <c r="I1680" t="inlineStr">
        <is>
          <t>entidad-dia</t>
        </is>
      </c>
    </row>
    <row r="1681">
      <c r="A1681" t="inlineStr">
        <is>
          <t>PRAGMA</t>
        </is>
      </c>
      <c r="B1681" t="inlineStr">
        <is>
          <t>M1</t>
        </is>
      </c>
      <c r="C1681" t="inlineStr">
        <is>
          <t>Cali</t>
        </is>
      </c>
      <c r="D1681" t="inlineStr">
        <is>
          <t>3049</t>
        </is>
      </c>
      <c r="E1681" t="inlineStr">
        <is>
          <t>pagado</t>
        </is>
      </c>
      <c r="F1681" s="23" t="n">
        <v>46279</v>
      </c>
      <c r="G1681" s="24">
        <f>F1681-DATE(2026,8,31)</f>
        <v>14</v>
      </c>
      <c r="H1681" s="25" t="n">
        <v>70889669</v>
      </c>
      <c r="I1681" t="inlineStr">
        <is>
          <t>entidad-dia</t>
        </is>
      </c>
    </row>
    <row r="1682">
      <c r="A1682" t="inlineStr">
        <is>
          <t>PRAGMA</t>
        </is>
      </c>
      <c r="B1682" t="inlineStr">
        <is>
          <t>M1</t>
        </is>
      </c>
      <c r="C1682" t="inlineStr">
        <is>
          <t>Cali</t>
        </is>
      </c>
      <c r="D1682" t="inlineStr">
        <is>
          <t>3049</t>
        </is>
      </c>
      <c r="E1682" t="inlineStr">
        <is>
          <t>pagado</t>
        </is>
      </c>
      <c r="F1682" s="23" t="n">
        <v>46280</v>
      </c>
      <c r="G1682" s="24">
        <f>F1682-DATE(2026,8,31)</f>
        <v>15</v>
      </c>
      <c r="H1682" s="25" t="n">
        <v>104592089</v>
      </c>
      <c r="I1682" t="inlineStr">
        <is>
          <t>entidad-dia</t>
        </is>
      </c>
    </row>
    <row r="1683">
      <c r="A1683" t="inlineStr">
        <is>
          <t>PRAGMA</t>
        </is>
      </c>
      <c r="B1683" t="inlineStr">
        <is>
          <t>M1</t>
        </is>
      </c>
      <c r="C1683" t="inlineStr">
        <is>
          <t>Cali</t>
        </is>
      </c>
      <c r="D1683" t="inlineStr">
        <is>
          <t>3055</t>
        </is>
      </c>
      <c r="E1683" t="inlineStr">
        <is>
          <t>pagado</t>
        </is>
      </c>
      <c r="F1683" s="23" t="n">
        <v>46266</v>
      </c>
      <c r="G1683" s="24">
        <f>F1683-DATE(2026,8,31)</f>
        <v>1</v>
      </c>
      <c r="H1683" s="25" t="n">
        <v>184121448</v>
      </c>
      <c r="I1683" t="inlineStr">
        <is>
          <t>entidad-dia</t>
        </is>
      </c>
    </row>
    <row r="1684">
      <c r="A1684" t="inlineStr">
        <is>
          <t>PRAGMA</t>
        </is>
      </c>
      <c r="B1684" t="inlineStr">
        <is>
          <t>M1</t>
        </is>
      </c>
      <c r="C1684" t="inlineStr">
        <is>
          <t>Cali</t>
        </is>
      </c>
      <c r="D1684" t="inlineStr">
        <is>
          <t>3055</t>
        </is>
      </c>
      <c r="E1684" t="inlineStr">
        <is>
          <t>pagado</t>
        </is>
      </c>
      <c r="F1684" s="23" t="n">
        <v>46267</v>
      </c>
      <c r="G1684" s="24">
        <f>F1684-DATE(2026,8,31)</f>
        <v>2</v>
      </c>
      <c r="H1684" s="25" t="n">
        <v>136440746</v>
      </c>
      <c r="I1684" t="inlineStr">
        <is>
          <t>entidad-dia</t>
        </is>
      </c>
    </row>
    <row r="1685">
      <c r="A1685" t="inlineStr">
        <is>
          <t>PRAGMA</t>
        </is>
      </c>
      <c r="B1685" t="inlineStr">
        <is>
          <t>M1</t>
        </is>
      </c>
      <c r="C1685" t="inlineStr">
        <is>
          <t>Cali</t>
        </is>
      </c>
      <c r="D1685" t="inlineStr">
        <is>
          <t>3055</t>
        </is>
      </c>
      <c r="E1685" t="inlineStr">
        <is>
          <t>pagado</t>
        </is>
      </c>
      <c r="F1685" s="23" t="n">
        <v>46268</v>
      </c>
      <c r="G1685" s="24">
        <f>F1685-DATE(2026,8,31)</f>
        <v>3</v>
      </c>
      <c r="H1685" s="25" t="n">
        <v>119759472</v>
      </c>
      <c r="I1685" t="inlineStr">
        <is>
          <t>entidad-dia</t>
        </is>
      </c>
    </row>
    <row r="1686">
      <c r="A1686" t="inlineStr">
        <is>
          <t>PRAGMA</t>
        </is>
      </c>
      <c r="B1686" t="inlineStr">
        <is>
          <t>M1</t>
        </is>
      </c>
      <c r="C1686" t="inlineStr">
        <is>
          <t>Cali</t>
        </is>
      </c>
      <c r="D1686" t="inlineStr">
        <is>
          <t>3055</t>
        </is>
      </c>
      <c r="E1686" t="inlineStr">
        <is>
          <t>pagado</t>
        </is>
      </c>
      <c r="F1686" s="23" t="n">
        <v>46269</v>
      </c>
      <c r="G1686" s="24">
        <f>F1686-DATE(2026,8,31)</f>
        <v>4</v>
      </c>
      <c r="H1686" s="25" t="n">
        <v>128381434</v>
      </c>
      <c r="I1686" t="inlineStr">
        <is>
          <t>entidad-dia</t>
        </is>
      </c>
    </row>
    <row r="1687">
      <c r="A1687" t="inlineStr">
        <is>
          <t>PRAGMA</t>
        </is>
      </c>
      <c r="B1687" t="inlineStr">
        <is>
          <t>M1</t>
        </is>
      </c>
      <c r="C1687" t="inlineStr">
        <is>
          <t>Cali</t>
        </is>
      </c>
      <c r="D1687" t="inlineStr">
        <is>
          <t>3055</t>
        </is>
      </c>
      <c r="E1687" t="inlineStr">
        <is>
          <t>pagado</t>
        </is>
      </c>
      <c r="F1687" s="23" t="n">
        <v>46270</v>
      </c>
      <c r="G1687" s="24">
        <f>F1687-DATE(2026,8,31)</f>
        <v>5</v>
      </c>
      <c r="H1687" s="25" t="n">
        <v>143010644</v>
      </c>
      <c r="I1687" t="inlineStr">
        <is>
          <t>entidad-dia</t>
        </is>
      </c>
    </row>
    <row r="1688">
      <c r="A1688" t="inlineStr">
        <is>
          <t>PRAGMA</t>
        </is>
      </c>
      <c r="B1688" t="inlineStr">
        <is>
          <t>M1</t>
        </is>
      </c>
      <c r="C1688" t="inlineStr">
        <is>
          <t>Cali</t>
        </is>
      </c>
      <c r="D1688" t="inlineStr">
        <is>
          <t>3055</t>
        </is>
      </c>
      <c r="E1688" t="inlineStr">
        <is>
          <t>pagado</t>
        </is>
      </c>
      <c r="F1688" s="23" t="n">
        <v>46271</v>
      </c>
      <c r="G1688" s="24">
        <f>F1688-DATE(2026,8,31)</f>
        <v>6</v>
      </c>
      <c r="H1688" s="25" t="n">
        <v>97367245</v>
      </c>
      <c r="I1688" t="inlineStr">
        <is>
          <t>entidad-dia</t>
        </is>
      </c>
    </row>
    <row r="1689">
      <c r="A1689" t="inlineStr">
        <is>
          <t>PRAGMA</t>
        </is>
      </c>
      <c r="B1689" t="inlineStr">
        <is>
          <t>M1</t>
        </is>
      </c>
      <c r="C1689" t="inlineStr">
        <is>
          <t>Cali</t>
        </is>
      </c>
      <c r="D1689" t="inlineStr">
        <is>
          <t>3055</t>
        </is>
      </c>
      <c r="E1689" t="inlineStr">
        <is>
          <t>pagado</t>
        </is>
      </c>
      <c r="F1689" s="23" t="n">
        <v>46272</v>
      </c>
      <c r="G1689" s="24">
        <f>F1689-DATE(2026,8,31)</f>
        <v>7</v>
      </c>
      <c r="H1689" s="25" t="n">
        <v>94546669</v>
      </c>
      <c r="I1689" t="inlineStr">
        <is>
          <t>entidad-dia</t>
        </is>
      </c>
    </row>
    <row r="1690">
      <c r="A1690" t="inlineStr">
        <is>
          <t>PRAGMA</t>
        </is>
      </c>
      <c r="B1690" t="inlineStr">
        <is>
          <t>M1</t>
        </is>
      </c>
      <c r="C1690" t="inlineStr">
        <is>
          <t>Cali</t>
        </is>
      </c>
      <c r="D1690" t="inlineStr">
        <is>
          <t>3055</t>
        </is>
      </c>
      <c r="E1690" t="inlineStr">
        <is>
          <t>pagado</t>
        </is>
      </c>
      <c r="F1690" s="23" t="n">
        <v>46273</v>
      </c>
      <c r="G1690" s="24">
        <f>F1690-DATE(2026,8,31)</f>
        <v>8</v>
      </c>
      <c r="H1690" s="25" t="n">
        <v>92774851</v>
      </c>
      <c r="I1690" t="inlineStr">
        <is>
          <t>entidad-dia</t>
        </is>
      </c>
    </row>
    <row r="1691">
      <c r="A1691" t="inlineStr">
        <is>
          <t>PRAGMA</t>
        </is>
      </c>
      <c r="B1691" t="inlineStr">
        <is>
          <t>M1</t>
        </is>
      </c>
      <c r="C1691" t="inlineStr">
        <is>
          <t>Cali</t>
        </is>
      </c>
      <c r="D1691" t="inlineStr">
        <is>
          <t>3055</t>
        </is>
      </c>
      <c r="E1691" t="inlineStr">
        <is>
          <t>pagado</t>
        </is>
      </c>
      <c r="F1691" s="23" t="n">
        <v>46274</v>
      </c>
      <c r="G1691" s="24">
        <f>F1691-DATE(2026,8,31)</f>
        <v>9</v>
      </c>
      <c r="H1691" s="25" t="n">
        <v>89149117</v>
      </c>
      <c r="I1691" t="inlineStr">
        <is>
          <t>entidad-dia</t>
        </is>
      </c>
    </row>
    <row r="1692">
      <c r="A1692" t="inlineStr">
        <is>
          <t>PRAGMA</t>
        </is>
      </c>
      <c r="B1692" t="inlineStr">
        <is>
          <t>M1</t>
        </is>
      </c>
      <c r="C1692" t="inlineStr">
        <is>
          <t>Cali</t>
        </is>
      </c>
      <c r="D1692" t="inlineStr">
        <is>
          <t>3055</t>
        </is>
      </c>
      <c r="E1692" t="inlineStr">
        <is>
          <t>pagado</t>
        </is>
      </c>
      <c r="F1692" s="23" t="n">
        <v>46275</v>
      </c>
      <c r="G1692" s="24">
        <f>F1692-DATE(2026,8,31)</f>
        <v>10</v>
      </c>
      <c r="H1692" s="25" t="n">
        <v>79015656</v>
      </c>
      <c r="I1692" t="inlineStr">
        <is>
          <t>entidad-dia</t>
        </is>
      </c>
    </row>
    <row r="1693">
      <c r="A1693" t="inlineStr">
        <is>
          <t>PRAGMA</t>
        </is>
      </c>
      <c r="B1693" t="inlineStr">
        <is>
          <t>M1</t>
        </is>
      </c>
      <c r="C1693" t="inlineStr">
        <is>
          <t>Cali</t>
        </is>
      </c>
      <c r="D1693" t="inlineStr">
        <is>
          <t>3055</t>
        </is>
      </c>
      <c r="E1693" t="inlineStr">
        <is>
          <t>pagado</t>
        </is>
      </c>
      <c r="F1693" s="23" t="n">
        <v>46276</v>
      </c>
      <c r="G1693" s="24">
        <f>F1693-DATE(2026,8,31)</f>
        <v>11</v>
      </c>
      <c r="H1693" s="25" t="n">
        <v>87992430</v>
      </c>
      <c r="I1693" t="inlineStr">
        <is>
          <t>entidad-dia</t>
        </is>
      </c>
    </row>
    <row r="1694">
      <c r="A1694" t="inlineStr">
        <is>
          <t>PRAGMA</t>
        </is>
      </c>
      <c r="B1694" t="inlineStr">
        <is>
          <t>M1</t>
        </is>
      </c>
      <c r="C1694" t="inlineStr">
        <is>
          <t>Cali</t>
        </is>
      </c>
      <c r="D1694" t="inlineStr">
        <is>
          <t>3055</t>
        </is>
      </c>
      <c r="E1694" t="inlineStr">
        <is>
          <t>pagado</t>
        </is>
      </c>
      <c r="F1694" s="23" t="n">
        <v>46277</v>
      </c>
      <c r="G1694" s="24">
        <f>F1694-DATE(2026,8,31)</f>
        <v>12</v>
      </c>
      <c r="H1694" s="25" t="n">
        <v>111516172</v>
      </c>
      <c r="I1694" t="inlineStr">
        <is>
          <t>entidad-dia</t>
        </is>
      </c>
    </row>
    <row r="1695">
      <c r="A1695" t="inlineStr">
        <is>
          <t>PRAGMA</t>
        </is>
      </c>
      <c r="B1695" t="inlineStr">
        <is>
          <t>M1</t>
        </is>
      </c>
      <c r="C1695" t="inlineStr">
        <is>
          <t>Cali</t>
        </is>
      </c>
      <c r="D1695" t="inlineStr">
        <is>
          <t>3055</t>
        </is>
      </c>
      <c r="E1695" t="inlineStr">
        <is>
          <t>pagado</t>
        </is>
      </c>
      <c r="F1695" s="23" t="n">
        <v>46278</v>
      </c>
      <c r="G1695" s="24">
        <f>F1695-DATE(2026,8,31)</f>
        <v>13</v>
      </c>
      <c r="H1695" s="25" t="n">
        <v>75162013</v>
      </c>
      <c r="I1695" t="inlineStr">
        <is>
          <t>entidad-dia</t>
        </is>
      </c>
    </row>
    <row r="1696">
      <c r="A1696" t="inlineStr">
        <is>
          <t>PRAGMA</t>
        </is>
      </c>
      <c r="B1696" t="inlineStr">
        <is>
          <t>M1</t>
        </is>
      </c>
      <c r="C1696" t="inlineStr">
        <is>
          <t>Cali</t>
        </is>
      </c>
      <c r="D1696" t="inlineStr">
        <is>
          <t>3055</t>
        </is>
      </c>
      <c r="E1696" t="inlineStr">
        <is>
          <t>pagado</t>
        </is>
      </c>
      <c r="F1696" s="23" t="n">
        <v>46279</v>
      </c>
      <c r="G1696" s="24">
        <f>F1696-DATE(2026,8,31)</f>
        <v>14</v>
      </c>
      <c r="H1696" s="25" t="n">
        <v>104291709</v>
      </c>
      <c r="I1696" t="inlineStr">
        <is>
          <t>entidad-dia</t>
        </is>
      </c>
    </row>
    <row r="1697">
      <c r="A1697" t="inlineStr">
        <is>
          <t>PRAGMA</t>
        </is>
      </c>
      <c r="B1697" t="inlineStr">
        <is>
          <t>M1</t>
        </is>
      </c>
      <c r="C1697" t="inlineStr">
        <is>
          <t>Cali</t>
        </is>
      </c>
      <c r="D1697" t="inlineStr">
        <is>
          <t>3055</t>
        </is>
      </c>
      <c r="E1697" t="inlineStr">
        <is>
          <t>pagado</t>
        </is>
      </c>
      <c r="F1697" s="23" t="n">
        <v>46280</v>
      </c>
      <c r="G1697" s="24">
        <f>F1697-DATE(2026,8,31)</f>
        <v>15</v>
      </c>
      <c r="H1697" s="25" t="n">
        <v>154475370</v>
      </c>
      <c r="I1697" t="inlineStr">
        <is>
          <t>entidad-dia</t>
        </is>
      </c>
    </row>
    <row r="1698">
      <c r="A1698" t="inlineStr">
        <is>
          <t>PRAGMA</t>
        </is>
      </c>
      <c r="B1698" t="inlineStr">
        <is>
          <t>M1</t>
        </is>
      </c>
      <c r="C1698" t="inlineStr">
        <is>
          <t>Cali</t>
        </is>
      </c>
      <c r="D1698" t="inlineStr">
        <is>
          <t>3099</t>
        </is>
      </c>
      <c r="E1698" t="inlineStr">
        <is>
          <t>pagado</t>
        </is>
      </c>
      <c r="F1698" s="23" t="n">
        <v>46266</v>
      </c>
      <c r="G1698" s="24">
        <f>F1698-DATE(2026,8,31)</f>
        <v>1</v>
      </c>
      <c r="H1698" s="25" t="n">
        <v>57964434</v>
      </c>
      <c r="I1698" t="inlineStr">
        <is>
          <t>entidad-dia</t>
        </is>
      </c>
    </row>
    <row r="1699">
      <c r="A1699" t="inlineStr">
        <is>
          <t>PRAGMA</t>
        </is>
      </c>
      <c r="B1699" t="inlineStr">
        <is>
          <t>M1</t>
        </is>
      </c>
      <c r="C1699" t="inlineStr">
        <is>
          <t>Cali</t>
        </is>
      </c>
      <c r="D1699" t="inlineStr">
        <is>
          <t>3099</t>
        </is>
      </c>
      <c r="E1699" t="inlineStr">
        <is>
          <t>pagado</t>
        </is>
      </c>
      <c r="F1699" s="23" t="n">
        <v>46267</v>
      </c>
      <c r="G1699" s="24">
        <f>F1699-DATE(2026,8,31)</f>
        <v>2</v>
      </c>
      <c r="H1699" s="25" t="n">
        <v>42566924</v>
      </c>
      <c r="I1699" t="inlineStr">
        <is>
          <t>entidad-dia</t>
        </is>
      </c>
    </row>
    <row r="1700">
      <c r="A1700" t="inlineStr">
        <is>
          <t>PRAGMA</t>
        </is>
      </c>
      <c r="B1700" t="inlineStr">
        <is>
          <t>M1</t>
        </is>
      </c>
      <c r="C1700" t="inlineStr">
        <is>
          <t>Cali</t>
        </is>
      </c>
      <c r="D1700" t="inlineStr">
        <is>
          <t>3099</t>
        </is>
      </c>
      <c r="E1700" t="inlineStr">
        <is>
          <t>pagado</t>
        </is>
      </c>
      <c r="F1700" s="23" t="n">
        <v>46268</v>
      </c>
      <c r="G1700" s="24">
        <f>F1700-DATE(2026,8,31)</f>
        <v>3</v>
      </c>
      <c r="H1700" s="25" t="n">
        <v>38208386</v>
      </c>
      <c r="I1700" t="inlineStr">
        <is>
          <t>entidad-dia</t>
        </is>
      </c>
    </row>
    <row r="1701">
      <c r="A1701" t="inlineStr">
        <is>
          <t>PRAGMA</t>
        </is>
      </c>
      <c r="B1701" t="inlineStr">
        <is>
          <t>M1</t>
        </is>
      </c>
      <c r="C1701" t="inlineStr">
        <is>
          <t>Cali</t>
        </is>
      </c>
      <c r="D1701" t="inlineStr">
        <is>
          <t>3099</t>
        </is>
      </c>
      <c r="E1701" t="inlineStr">
        <is>
          <t>pagado</t>
        </is>
      </c>
      <c r="F1701" s="23" t="n">
        <v>46269</v>
      </c>
      <c r="G1701" s="24">
        <f>F1701-DATE(2026,8,31)</f>
        <v>4</v>
      </c>
      <c r="H1701" s="25" t="n">
        <v>37780616</v>
      </c>
      <c r="I1701" t="inlineStr">
        <is>
          <t>entidad-dia</t>
        </is>
      </c>
    </row>
    <row r="1702">
      <c r="A1702" t="inlineStr">
        <is>
          <t>PRAGMA</t>
        </is>
      </c>
      <c r="B1702" t="inlineStr">
        <is>
          <t>M1</t>
        </is>
      </c>
      <c r="C1702" t="inlineStr">
        <is>
          <t>Cali</t>
        </is>
      </c>
      <c r="D1702" t="inlineStr">
        <is>
          <t>3099</t>
        </is>
      </c>
      <c r="E1702" t="inlineStr">
        <is>
          <t>pagado</t>
        </is>
      </c>
      <c r="F1702" s="23" t="n">
        <v>46270</v>
      </c>
      <c r="G1702" s="24">
        <f>F1702-DATE(2026,8,31)</f>
        <v>5</v>
      </c>
      <c r="H1702" s="25" t="n">
        <v>28582633</v>
      </c>
      <c r="I1702" t="inlineStr">
        <is>
          <t>entidad-dia</t>
        </is>
      </c>
    </row>
    <row r="1703">
      <c r="A1703" t="inlineStr">
        <is>
          <t>PRAGMA</t>
        </is>
      </c>
      <c r="B1703" t="inlineStr">
        <is>
          <t>M1</t>
        </is>
      </c>
      <c r="C1703" t="inlineStr">
        <is>
          <t>Cali</t>
        </is>
      </c>
      <c r="D1703" t="inlineStr">
        <is>
          <t>3099</t>
        </is>
      </c>
      <c r="E1703" t="inlineStr">
        <is>
          <t>pagado</t>
        </is>
      </c>
      <c r="F1703" s="23" t="n">
        <v>46271</v>
      </c>
      <c r="G1703" s="24">
        <f>F1703-DATE(2026,8,31)</f>
        <v>6</v>
      </c>
      <c r="H1703" s="25" t="n">
        <v>13682506</v>
      </c>
      <c r="I1703" t="inlineStr">
        <is>
          <t>entidad-dia</t>
        </is>
      </c>
    </row>
    <row r="1704">
      <c r="A1704" t="inlineStr">
        <is>
          <t>PRAGMA</t>
        </is>
      </c>
      <c r="B1704" t="inlineStr">
        <is>
          <t>M1</t>
        </is>
      </c>
      <c r="C1704" t="inlineStr">
        <is>
          <t>Cali</t>
        </is>
      </c>
      <c r="D1704" t="inlineStr">
        <is>
          <t>3099</t>
        </is>
      </c>
      <c r="E1704" t="inlineStr">
        <is>
          <t>pagado</t>
        </is>
      </c>
      <c r="F1704" s="23" t="n">
        <v>46272</v>
      </c>
      <c r="G1704" s="24">
        <f>F1704-DATE(2026,8,31)</f>
        <v>7</v>
      </c>
      <c r="H1704" s="25" t="n">
        <v>20908673</v>
      </c>
      <c r="I1704" t="inlineStr">
        <is>
          <t>entidad-dia</t>
        </is>
      </c>
    </row>
    <row r="1705">
      <c r="A1705" t="inlineStr">
        <is>
          <t>PRAGMA</t>
        </is>
      </c>
      <c r="B1705" t="inlineStr">
        <is>
          <t>M1</t>
        </is>
      </c>
      <c r="C1705" t="inlineStr">
        <is>
          <t>Cali</t>
        </is>
      </c>
      <c r="D1705" t="inlineStr">
        <is>
          <t>3099</t>
        </is>
      </c>
      <c r="E1705" t="inlineStr">
        <is>
          <t>pagado</t>
        </is>
      </c>
      <c r="F1705" s="23" t="n">
        <v>46273</v>
      </c>
      <c r="G1705" s="24">
        <f>F1705-DATE(2026,8,31)</f>
        <v>8</v>
      </c>
      <c r="H1705" s="25" t="n">
        <v>19947826</v>
      </c>
      <c r="I1705" t="inlineStr">
        <is>
          <t>entidad-dia</t>
        </is>
      </c>
    </row>
    <row r="1706">
      <c r="A1706" t="inlineStr">
        <is>
          <t>PRAGMA</t>
        </is>
      </c>
      <c r="B1706" t="inlineStr">
        <is>
          <t>M1</t>
        </is>
      </c>
      <c r="C1706" t="inlineStr">
        <is>
          <t>Cali</t>
        </is>
      </c>
      <c r="D1706" t="inlineStr">
        <is>
          <t>3099</t>
        </is>
      </c>
      <c r="E1706" t="inlineStr">
        <is>
          <t>pagado</t>
        </is>
      </c>
      <c r="F1706" s="23" t="n">
        <v>46274</v>
      </c>
      <c r="G1706" s="24">
        <f>F1706-DATE(2026,8,31)</f>
        <v>9</v>
      </c>
      <c r="H1706" s="25" t="n">
        <v>19826417</v>
      </c>
      <c r="I1706" t="inlineStr">
        <is>
          <t>entidad-dia</t>
        </is>
      </c>
    </row>
    <row r="1707">
      <c r="A1707" t="inlineStr">
        <is>
          <t>PRAGMA</t>
        </is>
      </c>
      <c r="B1707" t="inlineStr">
        <is>
          <t>M1</t>
        </is>
      </c>
      <c r="C1707" t="inlineStr">
        <is>
          <t>Cali</t>
        </is>
      </c>
      <c r="D1707" t="inlineStr">
        <is>
          <t>3099</t>
        </is>
      </c>
      <c r="E1707" t="inlineStr">
        <is>
          <t>pagado</t>
        </is>
      </c>
      <c r="F1707" s="23" t="n">
        <v>46275</v>
      </c>
      <c r="G1707" s="24">
        <f>F1707-DATE(2026,8,31)</f>
        <v>10</v>
      </c>
      <c r="H1707" s="25" t="n">
        <v>21340321</v>
      </c>
      <c r="I1707" t="inlineStr">
        <is>
          <t>entidad-dia</t>
        </is>
      </c>
    </row>
    <row r="1708">
      <c r="A1708" t="inlineStr">
        <is>
          <t>PRAGMA</t>
        </is>
      </c>
      <c r="B1708" t="inlineStr">
        <is>
          <t>M1</t>
        </is>
      </c>
      <c r="C1708" t="inlineStr">
        <is>
          <t>Cali</t>
        </is>
      </c>
      <c r="D1708" t="inlineStr">
        <is>
          <t>3099</t>
        </is>
      </c>
      <c r="E1708" t="inlineStr">
        <is>
          <t>pagado</t>
        </is>
      </c>
      <c r="F1708" s="23" t="n">
        <v>46276</v>
      </c>
      <c r="G1708" s="24">
        <f>F1708-DATE(2026,8,31)</f>
        <v>11</v>
      </c>
      <c r="H1708" s="25" t="n">
        <v>22398129</v>
      </c>
      <c r="I1708" t="inlineStr">
        <is>
          <t>entidad-dia</t>
        </is>
      </c>
    </row>
    <row r="1709">
      <c r="A1709" t="inlineStr">
        <is>
          <t>PRAGMA</t>
        </is>
      </c>
      <c r="B1709" t="inlineStr">
        <is>
          <t>M1</t>
        </is>
      </c>
      <c r="C1709" t="inlineStr">
        <is>
          <t>Cali</t>
        </is>
      </c>
      <c r="D1709" t="inlineStr">
        <is>
          <t>3099</t>
        </is>
      </c>
      <c r="E1709" t="inlineStr">
        <is>
          <t>pagado</t>
        </is>
      </c>
      <c r="F1709" s="23" t="n">
        <v>46277</v>
      </c>
      <c r="G1709" s="24">
        <f>F1709-DATE(2026,8,31)</f>
        <v>12</v>
      </c>
      <c r="H1709" s="25" t="n">
        <v>21184999</v>
      </c>
      <c r="I1709" t="inlineStr">
        <is>
          <t>entidad-dia</t>
        </is>
      </c>
    </row>
    <row r="1710">
      <c r="A1710" t="inlineStr">
        <is>
          <t>PRAGMA</t>
        </is>
      </c>
      <c r="B1710" t="inlineStr">
        <is>
          <t>M1</t>
        </is>
      </c>
      <c r="C1710" t="inlineStr">
        <is>
          <t>Cali</t>
        </is>
      </c>
      <c r="D1710" t="inlineStr">
        <is>
          <t>3099</t>
        </is>
      </c>
      <c r="E1710" t="inlineStr">
        <is>
          <t>pagado</t>
        </is>
      </c>
      <c r="F1710" s="23" t="n">
        <v>46278</v>
      </c>
      <c r="G1710" s="24">
        <f>F1710-DATE(2026,8,31)</f>
        <v>13</v>
      </c>
      <c r="H1710" s="25" t="n">
        <v>11617687</v>
      </c>
      <c r="I1710" t="inlineStr">
        <is>
          <t>entidad-dia</t>
        </is>
      </c>
    </row>
    <row r="1711">
      <c r="A1711" t="inlineStr">
        <is>
          <t>PRAGMA</t>
        </is>
      </c>
      <c r="B1711" t="inlineStr">
        <is>
          <t>M1</t>
        </is>
      </c>
      <c r="C1711" t="inlineStr">
        <is>
          <t>Cali</t>
        </is>
      </c>
      <c r="D1711" t="inlineStr">
        <is>
          <t>3099</t>
        </is>
      </c>
      <c r="E1711" t="inlineStr">
        <is>
          <t>pagado</t>
        </is>
      </c>
      <c r="F1711" s="23" t="n">
        <v>46279</v>
      </c>
      <c r="G1711" s="24">
        <f>F1711-DATE(2026,8,31)</f>
        <v>14</v>
      </c>
      <c r="H1711" s="25" t="n">
        <v>25591169</v>
      </c>
      <c r="I1711" t="inlineStr">
        <is>
          <t>entidad-dia</t>
        </is>
      </c>
    </row>
    <row r="1712">
      <c r="A1712" t="inlineStr">
        <is>
          <t>PRAGMA</t>
        </is>
      </c>
      <c r="B1712" t="inlineStr">
        <is>
          <t>M1</t>
        </is>
      </c>
      <c r="C1712" t="inlineStr">
        <is>
          <t>Cali</t>
        </is>
      </c>
      <c r="D1712" t="inlineStr">
        <is>
          <t>3099</t>
        </is>
      </c>
      <c r="E1712" t="inlineStr">
        <is>
          <t>pagado</t>
        </is>
      </c>
      <c r="F1712" s="23" t="n">
        <v>46280</v>
      </c>
      <c r="G1712" s="24">
        <f>F1712-DATE(2026,8,31)</f>
        <v>15</v>
      </c>
      <c r="H1712" s="25" t="n">
        <v>38276579</v>
      </c>
      <c r="I1712" t="inlineStr">
        <is>
          <t>entidad-dia</t>
        </is>
      </c>
    </row>
    <row r="1713">
      <c r="A1713" t="inlineStr">
        <is>
          <t>PRAGMA</t>
        </is>
      </c>
      <c r="B1713" t="inlineStr">
        <is>
          <t>M1</t>
        </is>
      </c>
      <c r="C1713" t="inlineStr">
        <is>
          <t>Cali</t>
        </is>
      </c>
      <c r="D1713" t="inlineStr">
        <is>
          <t>310</t>
        </is>
      </c>
      <c r="E1713" t="inlineStr">
        <is>
          <t>pagado</t>
        </is>
      </c>
      <c r="F1713" s="23" t="n">
        <v>46266</v>
      </c>
      <c r="G1713" s="24">
        <f>F1713-DATE(2026,8,31)</f>
        <v>1</v>
      </c>
      <c r="H1713" s="25" t="n">
        <v>89164237</v>
      </c>
      <c r="I1713" t="inlineStr">
        <is>
          <t>entidad-dia</t>
        </is>
      </c>
    </row>
    <row r="1714">
      <c r="A1714" t="inlineStr">
        <is>
          <t>PRAGMA</t>
        </is>
      </c>
      <c r="B1714" t="inlineStr">
        <is>
          <t>M1</t>
        </is>
      </c>
      <c r="C1714" t="inlineStr">
        <is>
          <t>Cali</t>
        </is>
      </c>
      <c r="D1714" t="inlineStr">
        <is>
          <t>310</t>
        </is>
      </c>
      <c r="E1714" t="inlineStr">
        <is>
          <t>pagado</t>
        </is>
      </c>
      <c r="F1714" s="23" t="n">
        <v>46267</v>
      </c>
      <c r="G1714" s="24">
        <f>F1714-DATE(2026,8,31)</f>
        <v>2</v>
      </c>
      <c r="H1714" s="25" t="n">
        <v>72978579</v>
      </c>
      <c r="I1714" t="inlineStr">
        <is>
          <t>entidad-dia</t>
        </is>
      </c>
    </row>
    <row r="1715">
      <c r="A1715" t="inlineStr">
        <is>
          <t>PRAGMA</t>
        </is>
      </c>
      <c r="B1715" t="inlineStr">
        <is>
          <t>M1</t>
        </is>
      </c>
      <c r="C1715" t="inlineStr">
        <is>
          <t>Cali</t>
        </is>
      </c>
      <c r="D1715" t="inlineStr">
        <is>
          <t>310</t>
        </is>
      </c>
      <c r="E1715" t="inlineStr">
        <is>
          <t>pagado</t>
        </is>
      </c>
      <c r="F1715" s="23" t="n">
        <v>46268</v>
      </c>
      <c r="G1715" s="24">
        <f>F1715-DATE(2026,8,31)</f>
        <v>3</v>
      </c>
      <c r="H1715" s="25" t="n">
        <v>67288438</v>
      </c>
      <c r="I1715" t="inlineStr">
        <is>
          <t>entidad-dia</t>
        </is>
      </c>
    </row>
    <row r="1716">
      <c r="A1716" t="inlineStr">
        <is>
          <t>PRAGMA</t>
        </is>
      </c>
      <c r="B1716" t="inlineStr">
        <is>
          <t>M1</t>
        </is>
      </c>
      <c r="C1716" t="inlineStr">
        <is>
          <t>Cali</t>
        </is>
      </c>
      <c r="D1716" t="inlineStr">
        <is>
          <t>310</t>
        </is>
      </c>
      <c r="E1716" t="inlineStr">
        <is>
          <t>pagado</t>
        </is>
      </c>
      <c r="F1716" s="23" t="n">
        <v>46269</v>
      </c>
      <c r="G1716" s="24">
        <f>F1716-DATE(2026,8,31)</f>
        <v>4</v>
      </c>
      <c r="H1716" s="25" t="n">
        <v>70323991</v>
      </c>
      <c r="I1716" t="inlineStr">
        <is>
          <t>entidad-dia</t>
        </is>
      </c>
    </row>
    <row r="1717">
      <c r="A1717" t="inlineStr">
        <is>
          <t>PRAGMA</t>
        </is>
      </c>
      <c r="B1717" t="inlineStr">
        <is>
          <t>M1</t>
        </is>
      </c>
      <c r="C1717" t="inlineStr">
        <is>
          <t>Cali</t>
        </is>
      </c>
      <c r="D1717" t="inlineStr">
        <is>
          <t>310</t>
        </is>
      </c>
      <c r="E1717" t="inlineStr">
        <is>
          <t>pagado</t>
        </is>
      </c>
      <c r="F1717" s="23" t="n">
        <v>46270</v>
      </c>
      <c r="G1717" s="24">
        <f>F1717-DATE(2026,8,31)</f>
        <v>5</v>
      </c>
      <c r="H1717" s="25" t="n">
        <v>64141510</v>
      </c>
      <c r="I1717" t="inlineStr">
        <is>
          <t>entidad-dia</t>
        </is>
      </c>
    </row>
    <row r="1718">
      <c r="A1718" t="inlineStr">
        <is>
          <t>PRAGMA</t>
        </is>
      </c>
      <c r="B1718" t="inlineStr">
        <is>
          <t>M1</t>
        </is>
      </c>
      <c r="C1718" t="inlineStr">
        <is>
          <t>Cali</t>
        </is>
      </c>
      <c r="D1718" t="inlineStr">
        <is>
          <t>310</t>
        </is>
      </c>
      <c r="E1718" t="inlineStr">
        <is>
          <t>pagado</t>
        </is>
      </c>
      <c r="F1718" s="23" t="n">
        <v>46271</v>
      </c>
      <c r="G1718" s="24">
        <f>F1718-DATE(2026,8,31)</f>
        <v>6</v>
      </c>
      <c r="H1718" s="25" t="n">
        <v>33697042</v>
      </c>
      <c r="I1718" t="inlineStr">
        <is>
          <t>entidad-dia</t>
        </is>
      </c>
    </row>
    <row r="1719">
      <c r="A1719" t="inlineStr">
        <is>
          <t>PRAGMA</t>
        </is>
      </c>
      <c r="B1719" t="inlineStr">
        <is>
          <t>M1</t>
        </is>
      </c>
      <c r="C1719" t="inlineStr">
        <is>
          <t>Cali</t>
        </is>
      </c>
      <c r="D1719" t="inlineStr">
        <is>
          <t>310</t>
        </is>
      </c>
      <c r="E1719" t="inlineStr">
        <is>
          <t>pagado</t>
        </is>
      </c>
      <c r="F1719" s="23" t="n">
        <v>46272</v>
      </c>
      <c r="G1719" s="24">
        <f>F1719-DATE(2026,8,31)</f>
        <v>7</v>
      </c>
      <c r="H1719" s="25" t="n">
        <v>49618153</v>
      </c>
      <c r="I1719" t="inlineStr">
        <is>
          <t>entidad-dia</t>
        </is>
      </c>
    </row>
    <row r="1720">
      <c r="A1720" t="inlineStr">
        <is>
          <t>PRAGMA</t>
        </is>
      </c>
      <c r="B1720" t="inlineStr">
        <is>
          <t>M1</t>
        </is>
      </c>
      <c r="C1720" t="inlineStr">
        <is>
          <t>Cali</t>
        </is>
      </c>
      <c r="D1720" t="inlineStr">
        <is>
          <t>310</t>
        </is>
      </c>
      <c r="E1720" t="inlineStr">
        <is>
          <t>pagado</t>
        </is>
      </c>
      <c r="F1720" s="23" t="n">
        <v>46273</v>
      </c>
      <c r="G1720" s="24">
        <f>F1720-DATE(2026,8,31)</f>
        <v>8</v>
      </c>
      <c r="H1720" s="25" t="n">
        <v>51487132</v>
      </c>
      <c r="I1720" t="inlineStr">
        <is>
          <t>entidad-dia</t>
        </is>
      </c>
    </row>
    <row r="1721">
      <c r="A1721" t="inlineStr">
        <is>
          <t>PRAGMA</t>
        </is>
      </c>
      <c r="B1721" t="inlineStr">
        <is>
          <t>M1</t>
        </is>
      </c>
      <c r="C1721" t="inlineStr">
        <is>
          <t>Cali</t>
        </is>
      </c>
      <c r="D1721" t="inlineStr">
        <is>
          <t>310</t>
        </is>
      </c>
      <c r="E1721" t="inlineStr">
        <is>
          <t>pagado</t>
        </is>
      </c>
      <c r="F1721" s="23" t="n">
        <v>46274</v>
      </c>
      <c r="G1721" s="24">
        <f>F1721-DATE(2026,8,31)</f>
        <v>9</v>
      </c>
      <c r="H1721" s="25" t="n">
        <v>53821805</v>
      </c>
      <c r="I1721" t="inlineStr">
        <is>
          <t>entidad-dia</t>
        </is>
      </c>
    </row>
    <row r="1722">
      <c r="A1722" t="inlineStr">
        <is>
          <t>PRAGMA</t>
        </is>
      </c>
      <c r="B1722" t="inlineStr">
        <is>
          <t>M1</t>
        </is>
      </c>
      <c r="C1722" t="inlineStr">
        <is>
          <t>Cali</t>
        </is>
      </c>
      <c r="D1722" t="inlineStr">
        <is>
          <t>310</t>
        </is>
      </c>
      <c r="E1722" t="inlineStr">
        <is>
          <t>pagado</t>
        </is>
      </c>
      <c r="F1722" s="23" t="n">
        <v>46275</v>
      </c>
      <c r="G1722" s="24">
        <f>F1722-DATE(2026,8,31)</f>
        <v>10</v>
      </c>
      <c r="H1722" s="25" t="n">
        <v>47705447</v>
      </c>
      <c r="I1722" t="inlineStr">
        <is>
          <t>entidad-dia</t>
        </is>
      </c>
    </row>
    <row r="1723">
      <c r="A1723" t="inlineStr">
        <is>
          <t>PRAGMA</t>
        </is>
      </c>
      <c r="B1723" t="inlineStr">
        <is>
          <t>M1</t>
        </is>
      </c>
      <c r="C1723" t="inlineStr">
        <is>
          <t>Cali</t>
        </is>
      </c>
      <c r="D1723" t="inlineStr">
        <is>
          <t>310</t>
        </is>
      </c>
      <c r="E1723" t="inlineStr">
        <is>
          <t>pagado</t>
        </is>
      </c>
      <c r="F1723" s="23" t="n">
        <v>46276</v>
      </c>
      <c r="G1723" s="24">
        <f>F1723-DATE(2026,8,31)</f>
        <v>11</v>
      </c>
      <c r="H1723" s="25" t="n">
        <v>55544064</v>
      </c>
      <c r="I1723" t="inlineStr">
        <is>
          <t>entidad-dia</t>
        </is>
      </c>
    </row>
    <row r="1724">
      <c r="A1724" t="inlineStr">
        <is>
          <t>PRAGMA</t>
        </is>
      </c>
      <c r="B1724" t="inlineStr">
        <is>
          <t>M1</t>
        </is>
      </c>
      <c r="C1724" t="inlineStr">
        <is>
          <t>Cali</t>
        </is>
      </c>
      <c r="D1724" t="inlineStr">
        <is>
          <t>310</t>
        </is>
      </c>
      <c r="E1724" t="inlineStr">
        <is>
          <t>pagado</t>
        </is>
      </c>
      <c r="F1724" s="23" t="n">
        <v>46277</v>
      </c>
      <c r="G1724" s="24">
        <f>F1724-DATE(2026,8,31)</f>
        <v>12</v>
      </c>
      <c r="H1724" s="25" t="n">
        <v>49739705</v>
      </c>
      <c r="I1724" t="inlineStr">
        <is>
          <t>entidad-dia</t>
        </is>
      </c>
    </row>
    <row r="1725">
      <c r="A1725" t="inlineStr">
        <is>
          <t>PRAGMA</t>
        </is>
      </c>
      <c r="B1725" t="inlineStr">
        <is>
          <t>M1</t>
        </is>
      </c>
      <c r="C1725" t="inlineStr">
        <is>
          <t>Cali</t>
        </is>
      </c>
      <c r="D1725" t="inlineStr">
        <is>
          <t>310</t>
        </is>
      </c>
      <c r="E1725" t="inlineStr">
        <is>
          <t>pagado</t>
        </is>
      </c>
      <c r="F1725" s="23" t="n">
        <v>46278</v>
      </c>
      <c r="G1725" s="24">
        <f>F1725-DATE(2026,8,31)</f>
        <v>13</v>
      </c>
      <c r="H1725" s="25" t="n">
        <v>27993581</v>
      </c>
      <c r="I1725" t="inlineStr">
        <is>
          <t>entidad-dia</t>
        </is>
      </c>
    </row>
    <row r="1726">
      <c r="A1726" t="inlineStr">
        <is>
          <t>PRAGMA</t>
        </is>
      </c>
      <c r="B1726" t="inlineStr">
        <is>
          <t>M1</t>
        </is>
      </c>
      <c r="C1726" t="inlineStr">
        <is>
          <t>Cali</t>
        </is>
      </c>
      <c r="D1726" t="inlineStr">
        <is>
          <t>310</t>
        </is>
      </c>
      <c r="E1726" t="inlineStr">
        <is>
          <t>pagado</t>
        </is>
      </c>
      <c r="F1726" s="23" t="n">
        <v>46279</v>
      </c>
      <c r="G1726" s="24">
        <f>F1726-DATE(2026,8,31)</f>
        <v>14</v>
      </c>
      <c r="H1726" s="25" t="n">
        <v>48172193</v>
      </c>
      <c r="I1726" t="inlineStr">
        <is>
          <t>entidad-dia</t>
        </is>
      </c>
    </row>
    <row r="1727">
      <c r="A1727" t="inlineStr">
        <is>
          <t>PRAGMA</t>
        </is>
      </c>
      <c r="B1727" t="inlineStr">
        <is>
          <t>M1</t>
        </is>
      </c>
      <c r="C1727" t="inlineStr">
        <is>
          <t>Cali</t>
        </is>
      </c>
      <c r="D1727" t="inlineStr">
        <is>
          <t>310</t>
        </is>
      </c>
      <c r="E1727" t="inlineStr">
        <is>
          <t>pagado</t>
        </is>
      </c>
      <c r="F1727" s="23" t="n">
        <v>46280</v>
      </c>
      <c r="G1727" s="24">
        <f>F1727-DATE(2026,8,31)</f>
        <v>15</v>
      </c>
      <c r="H1727" s="25" t="n">
        <v>66384325</v>
      </c>
      <c r="I1727" t="inlineStr">
        <is>
          <t>entidad-dia</t>
        </is>
      </c>
    </row>
    <row r="1728">
      <c r="A1728" t="inlineStr">
        <is>
          <t>PRAGMA</t>
        </is>
      </c>
      <c r="B1728" t="inlineStr">
        <is>
          <t>M1</t>
        </is>
      </c>
      <c r="C1728" t="inlineStr">
        <is>
          <t>Cali</t>
        </is>
      </c>
      <c r="D1728" t="inlineStr">
        <is>
          <t>3136</t>
        </is>
      </c>
      <c r="E1728" t="inlineStr">
        <is>
          <t>pagado</t>
        </is>
      </c>
      <c r="F1728" s="23" t="n">
        <v>46266</v>
      </c>
      <c r="G1728" s="24">
        <f>F1728-DATE(2026,8,31)</f>
        <v>1</v>
      </c>
      <c r="H1728" s="25" t="n">
        <v>182882975</v>
      </c>
      <c r="I1728" t="inlineStr">
        <is>
          <t>entidad-dia</t>
        </is>
      </c>
    </row>
    <row r="1729">
      <c r="A1729" t="inlineStr">
        <is>
          <t>PRAGMA</t>
        </is>
      </c>
      <c r="B1729" t="inlineStr">
        <is>
          <t>M1</t>
        </is>
      </c>
      <c r="C1729" t="inlineStr">
        <is>
          <t>Cali</t>
        </is>
      </c>
      <c r="D1729" t="inlineStr">
        <is>
          <t>3136</t>
        </is>
      </c>
      <c r="E1729" t="inlineStr">
        <is>
          <t>pagado</t>
        </is>
      </c>
      <c r="F1729" s="23" t="n">
        <v>46267</v>
      </c>
      <c r="G1729" s="24">
        <f>F1729-DATE(2026,8,31)</f>
        <v>2</v>
      </c>
      <c r="H1729" s="25" t="n">
        <v>144343935</v>
      </c>
      <c r="I1729" t="inlineStr">
        <is>
          <t>entidad-dia</t>
        </is>
      </c>
    </row>
    <row r="1730">
      <c r="A1730" t="inlineStr">
        <is>
          <t>PRAGMA</t>
        </is>
      </c>
      <c r="B1730" t="inlineStr">
        <is>
          <t>M1</t>
        </is>
      </c>
      <c r="C1730" t="inlineStr">
        <is>
          <t>Cali</t>
        </is>
      </c>
      <c r="D1730" t="inlineStr">
        <is>
          <t>3136</t>
        </is>
      </c>
      <c r="E1730" t="inlineStr">
        <is>
          <t>pagado</t>
        </is>
      </c>
      <c r="F1730" s="23" t="n">
        <v>46268</v>
      </c>
      <c r="G1730" s="24">
        <f>F1730-DATE(2026,8,31)</f>
        <v>3</v>
      </c>
      <c r="H1730" s="25" t="n">
        <v>130566814</v>
      </c>
      <c r="I1730" t="inlineStr">
        <is>
          <t>entidad-dia</t>
        </is>
      </c>
    </row>
    <row r="1731">
      <c r="A1731" t="inlineStr">
        <is>
          <t>PRAGMA</t>
        </is>
      </c>
      <c r="B1731" t="inlineStr">
        <is>
          <t>M1</t>
        </is>
      </c>
      <c r="C1731" t="inlineStr">
        <is>
          <t>Cali</t>
        </is>
      </c>
      <c r="D1731" t="inlineStr">
        <is>
          <t>3136</t>
        </is>
      </c>
      <c r="E1731" t="inlineStr">
        <is>
          <t>pagado</t>
        </is>
      </c>
      <c r="F1731" s="23" t="n">
        <v>46269</v>
      </c>
      <c r="G1731" s="24">
        <f>F1731-DATE(2026,8,31)</f>
        <v>4</v>
      </c>
      <c r="H1731" s="25" t="n">
        <v>125367391</v>
      </c>
      <c r="I1731" t="inlineStr">
        <is>
          <t>entidad-dia</t>
        </is>
      </c>
    </row>
    <row r="1732">
      <c r="A1732" t="inlineStr">
        <is>
          <t>PRAGMA</t>
        </is>
      </c>
      <c r="B1732" t="inlineStr">
        <is>
          <t>M1</t>
        </is>
      </c>
      <c r="C1732" t="inlineStr">
        <is>
          <t>Cali</t>
        </is>
      </c>
      <c r="D1732" t="inlineStr">
        <is>
          <t>3136</t>
        </is>
      </c>
      <c r="E1732" t="inlineStr">
        <is>
          <t>pagado</t>
        </is>
      </c>
      <c r="F1732" s="23" t="n">
        <v>46270</v>
      </c>
      <c r="G1732" s="24">
        <f>F1732-DATE(2026,8,31)</f>
        <v>5</v>
      </c>
      <c r="H1732" s="25" t="n">
        <v>143887467</v>
      </c>
      <c r="I1732" t="inlineStr">
        <is>
          <t>entidad-dia</t>
        </is>
      </c>
    </row>
    <row r="1733">
      <c r="A1733" t="inlineStr">
        <is>
          <t>PRAGMA</t>
        </is>
      </c>
      <c r="B1733" t="inlineStr">
        <is>
          <t>M1</t>
        </is>
      </c>
      <c r="C1733" t="inlineStr">
        <is>
          <t>Cali</t>
        </is>
      </c>
      <c r="D1733" t="inlineStr">
        <is>
          <t>3136</t>
        </is>
      </c>
      <c r="E1733" t="inlineStr">
        <is>
          <t>pagado</t>
        </is>
      </c>
      <c r="F1733" s="23" t="n">
        <v>46271</v>
      </c>
      <c r="G1733" s="24">
        <f>F1733-DATE(2026,8,31)</f>
        <v>6</v>
      </c>
      <c r="H1733" s="25" t="n">
        <v>108084269</v>
      </c>
      <c r="I1733" t="inlineStr">
        <is>
          <t>entidad-dia</t>
        </is>
      </c>
    </row>
    <row r="1734">
      <c r="A1734" t="inlineStr">
        <is>
          <t>PRAGMA</t>
        </is>
      </c>
      <c r="B1734" t="inlineStr">
        <is>
          <t>M1</t>
        </is>
      </c>
      <c r="C1734" t="inlineStr">
        <is>
          <t>Cali</t>
        </is>
      </c>
      <c r="D1734" t="inlineStr">
        <is>
          <t>3136</t>
        </is>
      </c>
      <c r="E1734" t="inlineStr">
        <is>
          <t>pagado</t>
        </is>
      </c>
      <c r="F1734" s="23" t="n">
        <v>46272</v>
      </c>
      <c r="G1734" s="24">
        <f>F1734-DATE(2026,8,31)</f>
        <v>7</v>
      </c>
      <c r="H1734" s="25" t="n">
        <v>94790531</v>
      </c>
      <c r="I1734" t="inlineStr">
        <is>
          <t>entidad-dia</t>
        </is>
      </c>
    </row>
    <row r="1735">
      <c r="A1735" t="inlineStr">
        <is>
          <t>PRAGMA</t>
        </is>
      </c>
      <c r="B1735" t="inlineStr">
        <is>
          <t>M1</t>
        </is>
      </c>
      <c r="C1735" t="inlineStr">
        <is>
          <t>Cali</t>
        </is>
      </c>
      <c r="D1735" t="inlineStr">
        <is>
          <t>3136</t>
        </is>
      </c>
      <c r="E1735" t="inlineStr">
        <is>
          <t>pagado</t>
        </is>
      </c>
      <c r="F1735" s="23" t="n">
        <v>46273</v>
      </c>
      <c r="G1735" s="24">
        <f>F1735-DATE(2026,8,31)</f>
        <v>8</v>
      </c>
      <c r="H1735" s="25" t="n">
        <v>93699067</v>
      </c>
      <c r="I1735" t="inlineStr">
        <is>
          <t>entidad-dia</t>
        </is>
      </c>
    </row>
    <row r="1736">
      <c r="A1736" t="inlineStr">
        <is>
          <t>PRAGMA</t>
        </is>
      </c>
      <c r="B1736" t="inlineStr">
        <is>
          <t>M1</t>
        </is>
      </c>
      <c r="C1736" t="inlineStr">
        <is>
          <t>Cali</t>
        </is>
      </c>
      <c r="D1736" t="inlineStr">
        <is>
          <t>3136</t>
        </is>
      </c>
      <c r="E1736" t="inlineStr">
        <is>
          <t>pagado</t>
        </is>
      </c>
      <c r="F1736" s="23" t="n">
        <v>46274</v>
      </c>
      <c r="G1736" s="24">
        <f>F1736-DATE(2026,8,31)</f>
        <v>9</v>
      </c>
      <c r="H1736" s="25" t="n">
        <v>99644344</v>
      </c>
      <c r="I1736" t="inlineStr">
        <is>
          <t>entidad-dia</t>
        </is>
      </c>
    </row>
    <row r="1737">
      <c r="A1737" t="inlineStr">
        <is>
          <t>PRAGMA</t>
        </is>
      </c>
      <c r="B1737" t="inlineStr">
        <is>
          <t>M1</t>
        </is>
      </c>
      <c r="C1737" t="inlineStr">
        <is>
          <t>Cali</t>
        </is>
      </c>
      <c r="D1737" t="inlineStr">
        <is>
          <t>3136</t>
        </is>
      </c>
      <c r="E1737" t="inlineStr">
        <is>
          <t>pagado</t>
        </is>
      </c>
      <c r="F1737" s="23" t="n">
        <v>46275</v>
      </c>
      <c r="G1737" s="24">
        <f>F1737-DATE(2026,8,31)</f>
        <v>10</v>
      </c>
      <c r="H1737" s="25" t="n">
        <v>83316474</v>
      </c>
      <c r="I1737" t="inlineStr">
        <is>
          <t>entidad-dia</t>
        </is>
      </c>
    </row>
    <row r="1738">
      <c r="A1738" t="inlineStr">
        <is>
          <t>PRAGMA</t>
        </is>
      </c>
      <c r="B1738" t="inlineStr">
        <is>
          <t>M1</t>
        </is>
      </c>
      <c r="C1738" t="inlineStr">
        <is>
          <t>Cali</t>
        </is>
      </c>
      <c r="D1738" t="inlineStr">
        <is>
          <t>3136</t>
        </is>
      </c>
      <c r="E1738" t="inlineStr">
        <is>
          <t>pagado</t>
        </is>
      </c>
      <c r="F1738" s="23" t="n">
        <v>46276</v>
      </c>
      <c r="G1738" s="24">
        <f>F1738-DATE(2026,8,31)</f>
        <v>11</v>
      </c>
      <c r="H1738" s="25" t="n">
        <v>90047459</v>
      </c>
      <c r="I1738" t="inlineStr">
        <is>
          <t>entidad-dia</t>
        </is>
      </c>
    </row>
    <row r="1739">
      <c r="A1739" t="inlineStr">
        <is>
          <t>PRAGMA</t>
        </is>
      </c>
      <c r="B1739" t="inlineStr">
        <is>
          <t>M1</t>
        </is>
      </c>
      <c r="C1739" t="inlineStr">
        <is>
          <t>Cali</t>
        </is>
      </c>
      <c r="D1739" t="inlineStr">
        <is>
          <t>3136</t>
        </is>
      </c>
      <c r="E1739" t="inlineStr">
        <is>
          <t>pagado</t>
        </is>
      </c>
      <c r="F1739" s="23" t="n">
        <v>46277</v>
      </c>
      <c r="G1739" s="24">
        <f>F1739-DATE(2026,8,31)</f>
        <v>12</v>
      </c>
      <c r="H1739" s="25" t="n">
        <v>111759042</v>
      </c>
      <c r="I1739" t="inlineStr">
        <is>
          <t>entidad-dia</t>
        </is>
      </c>
    </row>
    <row r="1740">
      <c r="A1740" t="inlineStr">
        <is>
          <t>PRAGMA</t>
        </is>
      </c>
      <c r="B1740" t="inlineStr">
        <is>
          <t>M1</t>
        </is>
      </c>
      <c r="C1740" t="inlineStr">
        <is>
          <t>Cali</t>
        </is>
      </c>
      <c r="D1740" t="inlineStr">
        <is>
          <t>3136</t>
        </is>
      </c>
      <c r="E1740" t="inlineStr">
        <is>
          <t>pagado</t>
        </is>
      </c>
      <c r="F1740" s="23" t="n">
        <v>46278</v>
      </c>
      <c r="G1740" s="24">
        <f>F1740-DATE(2026,8,31)</f>
        <v>13</v>
      </c>
      <c r="H1740" s="25" t="n">
        <v>87455444</v>
      </c>
      <c r="I1740" t="inlineStr">
        <is>
          <t>entidad-dia</t>
        </is>
      </c>
    </row>
    <row r="1741">
      <c r="A1741" t="inlineStr">
        <is>
          <t>PRAGMA</t>
        </is>
      </c>
      <c r="B1741" t="inlineStr">
        <is>
          <t>M1</t>
        </is>
      </c>
      <c r="C1741" t="inlineStr">
        <is>
          <t>Cali</t>
        </is>
      </c>
      <c r="D1741" t="inlineStr">
        <is>
          <t>3136</t>
        </is>
      </c>
      <c r="E1741" t="inlineStr">
        <is>
          <t>pagado</t>
        </is>
      </c>
      <c r="F1741" s="23" t="n">
        <v>46279</v>
      </c>
      <c r="G1741" s="24">
        <f>F1741-DATE(2026,8,31)</f>
        <v>14</v>
      </c>
      <c r="H1741" s="25" t="n">
        <v>83484520</v>
      </c>
      <c r="I1741" t="inlineStr">
        <is>
          <t>entidad-dia</t>
        </is>
      </c>
    </row>
    <row r="1742">
      <c r="A1742" t="inlineStr">
        <is>
          <t>PRAGMA</t>
        </is>
      </c>
      <c r="B1742" t="inlineStr">
        <is>
          <t>M1</t>
        </is>
      </c>
      <c r="C1742" t="inlineStr">
        <is>
          <t>Cali</t>
        </is>
      </c>
      <c r="D1742" t="inlineStr">
        <is>
          <t>3136</t>
        </is>
      </c>
      <c r="E1742" t="inlineStr">
        <is>
          <t>pagado</t>
        </is>
      </c>
      <c r="F1742" s="23" t="n">
        <v>46280</v>
      </c>
      <c r="G1742" s="24">
        <f>F1742-DATE(2026,8,31)</f>
        <v>15</v>
      </c>
      <c r="H1742" s="25" t="n">
        <v>133098111</v>
      </c>
      <c r="I1742" t="inlineStr">
        <is>
          <t>entidad-dia</t>
        </is>
      </c>
    </row>
    <row r="1743">
      <c r="A1743" t="inlineStr">
        <is>
          <t>PRAGMA</t>
        </is>
      </c>
      <c r="B1743" t="inlineStr">
        <is>
          <t>M1</t>
        </is>
      </c>
      <c r="C1743" t="inlineStr">
        <is>
          <t>Cali</t>
        </is>
      </c>
      <c r="D1743" t="inlineStr">
        <is>
          <t>3167</t>
        </is>
      </c>
      <c r="E1743" t="inlineStr">
        <is>
          <t>pagado</t>
        </is>
      </c>
      <c r="F1743" s="23" t="n">
        <v>46266</v>
      </c>
      <c r="G1743" s="24">
        <f>F1743-DATE(2026,8,31)</f>
        <v>1</v>
      </c>
      <c r="H1743" s="25" t="n">
        <v>192640231</v>
      </c>
      <c r="I1743" t="inlineStr">
        <is>
          <t>entidad-dia</t>
        </is>
      </c>
    </row>
    <row r="1744">
      <c r="A1744" t="inlineStr">
        <is>
          <t>PRAGMA</t>
        </is>
      </c>
      <c r="B1744" t="inlineStr">
        <is>
          <t>M1</t>
        </is>
      </c>
      <c r="C1744" t="inlineStr">
        <is>
          <t>Cali</t>
        </is>
      </c>
      <c r="D1744" t="inlineStr">
        <is>
          <t>3167</t>
        </is>
      </c>
      <c r="E1744" t="inlineStr">
        <is>
          <t>pagado</t>
        </is>
      </c>
      <c r="F1744" s="23" t="n">
        <v>46267</v>
      </c>
      <c r="G1744" s="24">
        <f>F1744-DATE(2026,8,31)</f>
        <v>2</v>
      </c>
      <c r="H1744" s="25" t="n">
        <v>152542448</v>
      </c>
      <c r="I1744" t="inlineStr">
        <is>
          <t>entidad-dia</t>
        </is>
      </c>
    </row>
    <row r="1745">
      <c r="A1745" t="inlineStr">
        <is>
          <t>PRAGMA</t>
        </is>
      </c>
      <c r="B1745" t="inlineStr">
        <is>
          <t>M1</t>
        </is>
      </c>
      <c r="C1745" t="inlineStr">
        <is>
          <t>Cali</t>
        </is>
      </c>
      <c r="D1745" t="inlineStr">
        <is>
          <t>3167</t>
        </is>
      </c>
      <c r="E1745" t="inlineStr">
        <is>
          <t>pagado</t>
        </is>
      </c>
      <c r="F1745" s="23" t="n">
        <v>46268</v>
      </c>
      <c r="G1745" s="24">
        <f>F1745-DATE(2026,8,31)</f>
        <v>3</v>
      </c>
      <c r="H1745" s="25" t="n">
        <v>140523773</v>
      </c>
      <c r="I1745" t="inlineStr">
        <is>
          <t>entidad-dia</t>
        </is>
      </c>
    </row>
    <row r="1746">
      <c r="A1746" t="inlineStr">
        <is>
          <t>PRAGMA</t>
        </is>
      </c>
      <c r="B1746" t="inlineStr">
        <is>
          <t>M1</t>
        </is>
      </c>
      <c r="C1746" t="inlineStr">
        <is>
          <t>Cali</t>
        </is>
      </c>
      <c r="D1746" t="inlineStr">
        <is>
          <t>3167</t>
        </is>
      </c>
      <c r="E1746" t="inlineStr">
        <is>
          <t>pagado</t>
        </is>
      </c>
      <c r="F1746" s="23" t="n">
        <v>46269</v>
      </c>
      <c r="G1746" s="24">
        <f>F1746-DATE(2026,8,31)</f>
        <v>4</v>
      </c>
      <c r="H1746" s="25" t="n">
        <v>141800838</v>
      </c>
      <c r="I1746" t="inlineStr">
        <is>
          <t>entidad-dia</t>
        </is>
      </c>
    </row>
    <row r="1747">
      <c r="A1747" t="inlineStr">
        <is>
          <t>PRAGMA</t>
        </is>
      </c>
      <c r="B1747" t="inlineStr">
        <is>
          <t>M1</t>
        </is>
      </c>
      <c r="C1747" t="inlineStr">
        <is>
          <t>Cali</t>
        </is>
      </c>
      <c r="D1747" t="inlineStr">
        <is>
          <t>3167</t>
        </is>
      </c>
      <c r="E1747" t="inlineStr">
        <is>
          <t>pagado</t>
        </is>
      </c>
      <c r="F1747" s="23" t="n">
        <v>46270</v>
      </c>
      <c r="G1747" s="24">
        <f>F1747-DATE(2026,8,31)</f>
        <v>5</v>
      </c>
      <c r="H1747" s="25" t="n">
        <v>141215767</v>
      </c>
      <c r="I1747" t="inlineStr">
        <is>
          <t>entidad-dia</t>
        </is>
      </c>
    </row>
    <row r="1748">
      <c r="A1748" t="inlineStr">
        <is>
          <t>PRAGMA</t>
        </is>
      </c>
      <c r="B1748" t="inlineStr">
        <is>
          <t>M1</t>
        </is>
      </c>
      <c r="C1748" t="inlineStr">
        <is>
          <t>Cali</t>
        </is>
      </c>
      <c r="D1748" t="inlineStr">
        <is>
          <t>3167</t>
        </is>
      </c>
      <c r="E1748" t="inlineStr">
        <is>
          <t>pagado</t>
        </is>
      </c>
      <c r="F1748" s="23" t="n">
        <v>46271</v>
      </c>
      <c r="G1748" s="24">
        <f>F1748-DATE(2026,8,31)</f>
        <v>6</v>
      </c>
      <c r="H1748" s="25" t="n">
        <v>108423603</v>
      </c>
      <c r="I1748" t="inlineStr">
        <is>
          <t>entidad-dia</t>
        </is>
      </c>
    </row>
    <row r="1749">
      <c r="A1749" t="inlineStr">
        <is>
          <t>PRAGMA</t>
        </is>
      </c>
      <c r="B1749" t="inlineStr">
        <is>
          <t>M1</t>
        </is>
      </c>
      <c r="C1749" t="inlineStr">
        <is>
          <t>Cali</t>
        </is>
      </c>
      <c r="D1749" t="inlineStr">
        <is>
          <t>3167</t>
        </is>
      </c>
      <c r="E1749" t="inlineStr">
        <is>
          <t>pagado</t>
        </is>
      </c>
      <c r="F1749" s="23" t="n">
        <v>46272</v>
      </c>
      <c r="G1749" s="24">
        <f>F1749-DATE(2026,8,31)</f>
        <v>7</v>
      </c>
      <c r="H1749" s="25" t="n">
        <v>101056410</v>
      </c>
      <c r="I1749" t="inlineStr">
        <is>
          <t>entidad-dia</t>
        </is>
      </c>
    </row>
    <row r="1750">
      <c r="A1750" t="inlineStr">
        <is>
          <t>PRAGMA</t>
        </is>
      </c>
      <c r="B1750" t="inlineStr">
        <is>
          <t>M1</t>
        </is>
      </c>
      <c r="C1750" t="inlineStr">
        <is>
          <t>Cali</t>
        </is>
      </c>
      <c r="D1750" t="inlineStr">
        <is>
          <t>3167</t>
        </is>
      </c>
      <c r="E1750" t="inlineStr">
        <is>
          <t>pagado</t>
        </is>
      </c>
      <c r="F1750" s="23" t="n">
        <v>46273</v>
      </c>
      <c r="G1750" s="24">
        <f>F1750-DATE(2026,8,31)</f>
        <v>8</v>
      </c>
      <c r="H1750" s="25" t="n">
        <v>94699729</v>
      </c>
      <c r="I1750" t="inlineStr">
        <is>
          <t>entidad-dia</t>
        </is>
      </c>
    </row>
    <row r="1751">
      <c r="A1751" t="inlineStr">
        <is>
          <t>PRAGMA</t>
        </is>
      </c>
      <c r="B1751" t="inlineStr">
        <is>
          <t>M1</t>
        </is>
      </c>
      <c r="C1751" t="inlineStr">
        <is>
          <t>Cali</t>
        </is>
      </c>
      <c r="D1751" t="inlineStr">
        <is>
          <t>3167</t>
        </is>
      </c>
      <c r="E1751" t="inlineStr">
        <is>
          <t>pagado</t>
        </is>
      </c>
      <c r="F1751" s="23" t="n">
        <v>46274</v>
      </c>
      <c r="G1751" s="24">
        <f>F1751-DATE(2026,8,31)</f>
        <v>9</v>
      </c>
      <c r="H1751" s="25" t="n">
        <v>102822145</v>
      </c>
      <c r="I1751" t="inlineStr">
        <is>
          <t>entidad-dia</t>
        </is>
      </c>
    </row>
    <row r="1752">
      <c r="A1752" t="inlineStr">
        <is>
          <t>PRAGMA</t>
        </is>
      </c>
      <c r="B1752" t="inlineStr">
        <is>
          <t>M1</t>
        </is>
      </c>
      <c r="C1752" t="inlineStr">
        <is>
          <t>Cali</t>
        </is>
      </c>
      <c r="D1752" t="inlineStr">
        <is>
          <t>3167</t>
        </is>
      </c>
      <c r="E1752" t="inlineStr">
        <is>
          <t>pagado</t>
        </is>
      </c>
      <c r="F1752" s="23" t="n">
        <v>46275</v>
      </c>
      <c r="G1752" s="24">
        <f>F1752-DATE(2026,8,31)</f>
        <v>10</v>
      </c>
      <c r="H1752" s="25" t="n">
        <v>93939854</v>
      </c>
      <c r="I1752" t="inlineStr">
        <is>
          <t>entidad-dia</t>
        </is>
      </c>
    </row>
    <row r="1753">
      <c r="A1753" t="inlineStr">
        <is>
          <t>PRAGMA</t>
        </is>
      </c>
      <c r="B1753" t="inlineStr">
        <is>
          <t>M1</t>
        </is>
      </c>
      <c r="C1753" t="inlineStr">
        <is>
          <t>Cali</t>
        </is>
      </c>
      <c r="D1753" t="inlineStr">
        <is>
          <t>3167</t>
        </is>
      </c>
      <c r="E1753" t="inlineStr">
        <is>
          <t>pagado</t>
        </is>
      </c>
      <c r="F1753" s="23" t="n">
        <v>46276</v>
      </c>
      <c r="G1753" s="24">
        <f>F1753-DATE(2026,8,31)</f>
        <v>11</v>
      </c>
      <c r="H1753" s="25" t="n">
        <v>109336741</v>
      </c>
      <c r="I1753" t="inlineStr">
        <is>
          <t>entidad-dia</t>
        </is>
      </c>
    </row>
    <row r="1754">
      <c r="A1754" t="inlineStr">
        <is>
          <t>PRAGMA</t>
        </is>
      </c>
      <c r="B1754" t="inlineStr">
        <is>
          <t>M1</t>
        </is>
      </c>
      <c r="C1754" t="inlineStr">
        <is>
          <t>Cali</t>
        </is>
      </c>
      <c r="D1754" t="inlineStr">
        <is>
          <t>3167</t>
        </is>
      </c>
      <c r="E1754" t="inlineStr">
        <is>
          <t>pagado</t>
        </is>
      </c>
      <c r="F1754" s="23" t="n">
        <v>46277</v>
      </c>
      <c r="G1754" s="24">
        <f>F1754-DATE(2026,8,31)</f>
        <v>12</v>
      </c>
      <c r="H1754" s="25" t="n">
        <v>109260807</v>
      </c>
      <c r="I1754" t="inlineStr">
        <is>
          <t>entidad-dia</t>
        </is>
      </c>
    </row>
    <row r="1755">
      <c r="A1755" t="inlineStr">
        <is>
          <t>PRAGMA</t>
        </is>
      </c>
      <c r="B1755" t="inlineStr">
        <is>
          <t>M1</t>
        </is>
      </c>
      <c r="C1755" t="inlineStr">
        <is>
          <t>Cali</t>
        </is>
      </c>
      <c r="D1755" t="inlineStr">
        <is>
          <t>3167</t>
        </is>
      </c>
      <c r="E1755" t="inlineStr">
        <is>
          <t>pagado</t>
        </is>
      </c>
      <c r="F1755" s="23" t="n">
        <v>46278</v>
      </c>
      <c r="G1755" s="24">
        <f>F1755-DATE(2026,8,31)</f>
        <v>13</v>
      </c>
      <c r="H1755" s="25" t="n">
        <v>84709114</v>
      </c>
      <c r="I1755" t="inlineStr">
        <is>
          <t>entidad-dia</t>
        </is>
      </c>
    </row>
    <row r="1756">
      <c r="A1756" t="inlineStr">
        <is>
          <t>PRAGMA</t>
        </is>
      </c>
      <c r="B1756" t="inlineStr">
        <is>
          <t>M1</t>
        </is>
      </c>
      <c r="C1756" t="inlineStr">
        <is>
          <t>Cali</t>
        </is>
      </c>
      <c r="D1756" t="inlineStr">
        <is>
          <t>3167</t>
        </is>
      </c>
      <c r="E1756" t="inlineStr">
        <is>
          <t>pagado</t>
        </is>
      </c>
      <c r="F1756" s="23" t="n">
        <v>46279</v>
      </c>
      <c r="G1756" s="24">
        <f>F1756-DATE(2026,8,31)</f>
        <v>14</v>
      </c>
      <c r="H1756" s="25" t="n">
        <v>108508735</v>
      </c>
      <c r="I1756" t="inlineStr">
        <is>
          <t>entidad-dia</t>
        </is>
      </c>
    </row>
    <row r="1757">
      <c r="A1757" t="inlineStr">
        <is>
          <t>PRAGMA</t>
        </is>
      </c>
      <c r="B1757" t="inlineStr">
        <is>
          <t>M1</t>
        </is>
      </c>
      <c r="C1757" t="inlineStr">
        <is>
          <t>Cali</t>
        </is>
      </c>
      <c r="D1757" t="inlineStr">
        <is>
          <t>3167</t>
        </is>
      </c>
      <c r="E1757" t="inlineStr">
        <is>
          <t>pagado</t>
        </is>
      </c>
      <c r="F1757" s="23" t="n">
        <v>46280</v>
      </c>
      <c r="G1757" s="24">
        <f>F1757-DATE(2026,8,31)</f>
        <v>15</v>
      </c>
      <c r="H1757" s="25" t="n">
        <v>149575562</v>
      </c>
      <c r="I1757" t="inlineStr">
        <is>
          <t>entidad-dia</t>
        </is>
      </c>
    </row>
    <row r="1758">
      <c r="A1758" t="inlineStr">
        <is>
          <t>PRAGMA</t>
        </is>
      </c>
      <c r="B1758" t="inlineStr">
        <is>
          <t>M1</t>
        </is>
      </c>
      <c r="C1758" t="inlineStr">
        <is>
          <t>Cali</t>
        </is>
      </c>
      <c r="D1758" t="inlineStr">
        <is>
          <t>3250</t>
        </is>
      </c>
      <c r="E1758" t="inlineStr">
        <is>
          <t>pagado</t>
        </is>
      </c>
      <c r="F1758" s="23" t="n">
        <v>46266</v>
      </c>
      <c r="G1758" s="24">
        <f>F1758-DATE(2026,8,31)</f>
        <v>1</v>
      </c>
      <c r="H1758" s="25" t="n">
        <v>141666837</v>
      </c>
      <c r="I1758" t="inlineStr">
        <is>
          <t>entidad-dia</t>
        </is>
      </c>
    </row>
    <row r="1759">
      <c r="A1759" t="inlineStr">
        <is>
          <t>PRAGMA</t>
        </is>
      </c>
      <c r="B1759" t="inlineStr">
        <is>
          <t>M1</t>
        </is>
      </c>
      <c r="C1759" t="inlineStr">
        <is>
          <t>Cali</t>
        </is>
      </c>
      <c r="D1759" t="inlineStr">
        <is>
          <t>3250</t>
        </is>
      </c>
      <c r="E1759" t="inlineStr">
        <is>
          <t>pagado</t>
        </is>
      </c>
      <c r="F1759" s="23" t="n">
        <v>46267</v>
      </c>
      <c r="G1759" s="24">
        <f>F1759-DATE(2026,8,31)</f>
        <v>2</v>
      </c>
      <c r="H1759" s="25" t="n">
        <v>108441983</v>
      </c>
      <c r="I1759" t="inlineStr">
        <is>
          <t>entidad-dia</t>
        </is>
      </c>
    </row>
    <row r="1760">
      <c r="A1760" t="inlineStr">
        <is>
          <t>PRAGMA</t>
        </is>
      </c>
      <c r="B1760" t="inlineStr">
        <is>
          <t>M1</t>
        </is>
      </c>
      <c r="C1760" t="inlineStr">
        <is>
          <t>Cali</t>
        </is>
      </c>
      <c r="D1760" t="inlineStr">
        <is>
          <t>3250</t>
        </is>
      </c>
      <c r="E1760" t="inlineStr">
        <is>
          <t>pagado</t>
        </is>
      </c>
      <c r="F1760" s="23" t="n">
        <v>46268</v>
      </c>
      <c r="G1760" s="24">
        <f>F1760-DATE(2026,8,31)</f>
        <v>3</v>
      </c>
      <c r="H1760" s="25" t="n">
        <v>94348730</v>
      </c>
      <c r="I1760" t="inlineStr">
        <is>
          <t>entidad-dia</t>
        </is>
      </c>
    </row>
    <row r="1761">
      <c r="A1761" t="inlineStr">
        <is>
          <t>PRAGMA</t>
        </is>
      </c>
      <c r="B1761" t="inlineStr">
        <is>
          <t>M1</t>
        </is>
      </c>
      <c r="C1761" t="inlineStr">
        <is>
          <t>Cali</t>
        </is>
      </c>
      <c r="D1761" t="inlineStr">
        <is>
          <t>3250</t>
        </is>
      </c>
      <c r="E1761" t="inlineStr">
        <is>
          <t>pagado</t>
        </is>
      </c>
      <c r="F1761" s="23" t="n">
        <v>46269</v>
      </c>
      <c r="G1761" s="24">
        <f>F1761-DATE(2026,8,31)</f>
        <v>4</v>
      </c>
      <c r="H1761" s="25" t="n">
        <v>102174752</v>
      </c>
      <c r="I1761" t="inlineStr">
        <is>
          <t>entidad-dia</t>
        </is>
      </c>
    </row>
    <row r="1762">
      <c r="A1762" t="inlineStr">
        <is>
          <t>PRAGMA</t>
        </is>
      </c>
      <c r="B1762" t="inlineStr">
        <is>
          <t>M1</t>
        </is>
      </c>
      <c r="C1762" t="inlineStr">
        <is>
          <t>Cali</t>
        </is>
      </c>
      <c r="D1762" t="inlineStr">
        <is>
          <t>3250</t>
        </is>
      </c>
      <c r="E1762" t="inlineStr">
        <is>
          <t>pagado</t>
        </is>
      </c>
      <c r="F1762" s="23" t="n">
        <v>46270</v>
      </c>
      <c r="G1762" s="24">
        <f>F1762-DATE(2026,8,31)</f>
        <v>5</v>
      </c>
      <c r="H1762" s="25" t="n">
        <v>107615382</v>
      </c>
      <c r="I1762" t="inlineStr">
        <is>
          <t>entidad-dia</t>
        </is>
      </c>
    </row>
    <row r="1763">
      <c r="A1763" t="inlineStr">
        <is>
          <t>PRAGMA</t>
        </is>
      </c>
      <c r="B1763" t="inlineStr">
        <is>
          <t>M1</t>
        </is>
      </c>
      <c r="C1763" t="inlineStr">
        <is>
          <t>Cali</t>
        </is>
      </c>
      <c r="D1763" t="inlineStr">
        <is>
          <t>3250</t>
        </is>
      </c>
      <c r="E1763" t="inlineStr">
        <is>
          <t>pagado</t>
        </is>
      </c>
      <c r="F1763" s="23" t="n">
        <v>46271</v>
      </c>
      <c r="G1763" s="24">
        <f>F1763-DATE(2026,8,31)</f>
        <v>6</v>
      </c>
      <c r="H1763" s="25" t="n">
        <v>54451430</v>
      </c>
      <c r="I1763" t="inlineStr">
        <is>
          <t>entidad-dia</t>
        </is>
      </c>
    </row>
    <row r="1764">
      <c r="A1764" t="inlineStr">
        <is>
          <t>PRAGMA</t>
        </is>
      </c>
      <c r="B1764" t="inlineStr">
        <is>
          <t>M1</t>
        </is>
      </c>
      <c r="C1764" t="inlineStr">
        <is>
          <t>Cali</t>
        </is>
      </c>
      <c r="D1764" t="inlineStr">
        <is>
          <t>3250</t>
        </is>
      </c>
      <c r="E1764" t="inlineStr">
        <is>
          <t>pagado</t>
        </is>
      </c>
      <c r="F1764" s="23" t="n">
        <v>46272</v>
      </c>
      <c r="G1764" s="24">
        <f>F1764-DATE(2026,8,31)</f>
        <v>7</v>
      </c>
      <c r="H1764" s="25" t="n">
        <v>65871952</v>
      </c>
      <c r="I1764" t="inlineStr">
        <is>
          <t>entidad-dia</t>
        </is>
      </c>
    </row>
    <row r="1765">
      <c r="A1765" t="inlineStr">
        <is>
          <t>PRAGMA</t>
        </is>
      </c>
      <c r="B1765" t="inlineStr">
        <is>
          <t>M1</t>
        </is>
      </c>
      <c r="C1765" t="inlineStr">
        <is>
          <t>Cali</t>
        </is>
      </c>
      <c r="D1765" t="inlineStr">
        <is>
          <t>3250</t>
        </is>
      </c>
      <c r="E1765" t="inlineStr">
        <is>
          <t>pagado</t>
        </is>
      </c>
      <c r="F1765" s="23" t="n">
        <v>46273</v>
      </c>
      <c r="G1765" s="24">
        <f>F1765-DATE(2026,8,31)</f>
        <v>8</v>
      </c>
      <c r="H1765" s="25" t="n">
        <v>71992061</v>
      </c>
      <c r="I1765" t="inlineStr">
        <is>
          <t>entidad-dia</t>
        </is>
      </c>
    </row>
    <row r="1766">
      <c r="A1766" t="inlineStr">
        <is>
          <t>PRAGMA</t>
        </is>
      </c>
      <c r="B1766" t="inlineStr">
        <is>
          <t>M1</t>
        </is>
      </c>
      <c r="C1766" t="inlineStr">
        <is>
          <t>Cali</t>
        </is>
      </c>
      <c r="D1766" t="inlineStr">
        <is>
          <t>3250</t>
        </is>
      </c>
      <c r="E1766" t="inlineStr">
        <is>
          <t>pagado</t>
        </is>
      </c>
      <c r="F1766" s="23" t="n">
        <v>46274</v>
      </c>
      <c r="G1766" s="24">
        <f>F1766-DATE(2026,8,31)</f>
        <v>9</v>
      </c>
      <c r="H1766" s="25" t="n">
        <v>69489355</v>
      </c>
      <c r="I1766" t="inlineStr">
        <is>
          <t>entidad-dia</t>
        </is>
      </c>
    </row>
    <row r="1767">
      <c r="A1767" t="inlineStr">
        <is>
          <t>PRAGMA</t>
        </is>
      </c>
      <c r="B1767" t="inlineStr">
        <is>
          <t>M1</t>
        </is>
      </c>
      <c r="C1767" t="inlineStr">
        <is>
          <t>Cali</t>
        </is>
      </c>
      <c r="D1767" t="inlineStr">
        <is>
          <t>3250</t>
        </is>
      </c>
      <c r="E1767" t="inlineStr">
        <is>
          <t>pagado</t>
        </is>
      </c>
      <c r="F1767" s="23" t="n">
        <v>46275</v>
      </c>
      <c r="G1767" s="24">
        <f>F1767-DATE(2026,8,31)</f>
        <v>10</v>
      </c>
      <c r="H1767" s="25" t="n">
        <v>63065409</v>
      </c>
      <c r="I1767" t="inlineStr">
        <is>
          <t>entidad-dia</t>
        </is>
      </c>
    </row>
    <row r="1768">
      <c r="A1768" t="inlineStr">
        <is>
          <t>PRAGMA</t>
        </is>
      </c>
      <c r="B1768" t="inlineStr">
        <is>
          <t>M1</t>
        </is>
      </c>
      <c r="C1768" t="inlineStr">
        <is>
          <t>Cali</t>
        </is>
      </c>
      <c r="D1768" t="inlineStr">
        <is>
          <t>3250</t>
        </is>
      </c>
      <c r="E1768" t="inlineStr">
        <is>
          <t>pagado</t>
        </is>
      </c>
      <c r="F1768" s="23" t="n">
        <v>46276</v>
      </c>
      <c r="G1768" s="24">
        <f>F1768-DATE(2026,8,31)</f>
        <v>11</v>
      </c>
      <c r="H1768" s="25" t="n">
        <v>79899592</v>
      </c>
      <c r="I1768" t="inlineStr">
        <is>
          <t>entidad-dia</t>
        </is>
      </c>
    </row>
    <row r="1769">
      <c r="A1769" t="inlineStr">
        <is>
          <t>PRAGMA</t>
        </is>
      </c>
      <c r="B1769" t="inlineStr">
        <is>
          <t>M1</t>
        </is>
      </c>
      <c r="C1769" t="inlineStr">
        <is>
          <t>Cali</t>
        </is>
      </c>
      <c r="D1769" t="inlineStr">
        <is>
          <t>3250</t>
        </is>
      </c>
      <c r="E1769" t="inlineStr">
        <is>
          <t>pagado</t>
        </is>
      </c>
      <c r="F1769" s="23" t="n">
        <v>46277</v>
      </c>
      <c r="G1769" s="24">
        <f>F1769-DATE(2026,8,31)</f>
        <v>12</v>
      </c>
      <c r="H1769" s="25" t="n">
        <v>84153861</v>
      </c>
      <c r="I1769" t="inlineStr">
        <is>
          <t>entidad-dia</t>
        </is>
      </c>
    </row>
    <row r="1770">
      <c r="A1770" t="inlineStr">
        <is>
          <t>PRAGMA</t>
        </is>
      </c>
      <c r="B1770" t="inlineStr">
        <is>
          <t>M1</t>
        </is>
      </c>
      <c r="C1770" t="inlineStr">
        <is>
          <t>Cali</t>
        </is>
      </c>
      <c r="D1770" t="inlineStr">
        <is>
          <t>3250</t>
        </is>
      </c>
      <c r="E1770" t="inlineStr">
        <is>
          <t>pagado</t>
        </is>
      </c>
      <c r="F1770" s="23" t="n">
        <v>46278</v>
      </c>
      <c r="G1770" s="24">
        <f>F1770-DATE(2026,8,31)</f>
        <v>13</v>
      </c>
      <c r="H1770" s="25" t="n">
        <v>41147899</v>
      </c>
      <c r="I1770" t="inlineStr">
        <is>
          <t>entidad-dia</t>
        </is>
      </c>
    </row>
    <row r="1771">
      <c r="A1771" t="inlineStr">
        <is>
          <t>PRAGMA</t>
        </is>
      </c>
      <c r="B1771" t="inlineStr">
        <is>
          <t>M1</t>
        </is>
      </c>
      <c r="C1771" t="inlineStr">
        <is>
          <t>Cali</t>
        </is>
      </c>
      <c r="D1771" t="inlineStr">
        <is>
          <t>3250</t>
        </is>
      </c>
      <c r="E1771" t="inlineStr">
        <is>
          <t>pagado</t>
        </is>
      </c>
      <c r="F1771" s="23" t="n">
        <v>46279</v>
      </c>
      <c r="G1771" s="24">
        <f>F1771-DATE(2026,8,31)</f>
        <v>14</v>
      </c>
      <c r="H1771" s="25" t="n">
        <v>71688261</v>
      </c>
      <c r="I1771" t="inlineStr">
        <is>
          <t>entidad-dia</t>
        </is>
      </c>
    </row>
    <row r="1772">
      <c r="A1772" t="inlineStr">
        <is>
          <t>PRAGMA</t>
        </is>
      </c>
      <c r="B1772" t="inlineStr">
        <is>
          <t>M1</t>
        </is>
      </c>
      <c r="C1772" t="inlineStr">
        <is>
          <t>Cali</t>
        </is>
      </c>
      <c r="D1772" t="inlineStr">
        <is>
          <t>3250</t>
        </is>
      </c>
      <c r="E1772" t="inlineStr">
        <is>
          <t>pagado</t>
        </is>
      </c>
      <c r="F1772" s="23" t="n">
        <v>46280</v>
      </c>
      <c r="G1772" s="24">
        <f>F1772-DATE(2026,8,31)</f>
        <v>15</v>
      </c>
      <c r="H1772" s="25" t="n">
        <v>105180486</v>
      </c>
      <c r="I1772" t="inlineStr">
        <is>
          <t>entidad-dia</t>
        </is>
      </c>
    </row>
    <row r="1773">
      <c r="A1773" t="inlineStr">
        <is>
          <t>PRAGMA</t>
        </is>
      </c>
      <c r="B1773" t="inlineStr">
        <is>
          <t>M1</t>
        </is>
      </c>
      <c r="C1773" t="inlineStr">
        <is>
          <t>Cali</t>
        </is>
      </c>
      <c r="D1773" t="inlineStr">
        <is>
          <t>3251</t>
        </is>
      </c>
      <c r="E1773" t="inlineStr">
        <is>
          <t>pagado</t>
        </is>
      </c>
      <c r="F1773" s="23" t="n">
        <v>46266</v>
      </c>
      <c r="G1773" s="24">
        <f>F1773-DATE(2026,8,31)</f>
        <v>1</v>
      </c>
      <c r="H1773" s="25" t="n">
        <v>216092451</v>
      </c>
      <c r="I1773" t="inlineStr">
        <is>
          <t>entidad-dia</t>
        </is>
      </c>
    </row>
    <row r="1774">
      <c r="A1774" t="inlineStr">
        <is>
          <t>PRAGMA</t>
        </is>
      </c>
      <c r="B1774" t="inlineStr">
        <is>
          <t>M1</t>
        </is>
      </c>
      <c r="C1774" t="inlineStr">
        <is>
          <t>Cali</t>
        </is>
      </c>
      <c r="D1774" t="inlineStr">
        <is>
          <t>3251</t>
        </is>
      </c>
      <c r="E1774" t="inlineStr">
        <is>
          <t>pagado</t>
        </is>
      </c>
      <c r="F1774" s="23" t="n">
        <v>46267</v>
      </c>
      <c r="G1774" s="24">
        <f>F1774-DATE(2026,8,31)</f>
        <v>2</v>
      </c>
      <c r="H1774" s="25" t="n">
        <v>176869173</v>
      </c>
      <c r="I1774" t="inlineStr">
        <is>
          <t>entidad-dia</t>
        </is>
      </c>
    </row>
    <row r="1775">
      <c r="A1775" t="inlineStr">
        <is>
          <t>PRAGMA</t>
        </is>
      </c>
      <c r="B1775" t="inlineStr">
        <is>
          <t>M1</t>
        </is>
      </c>
      <c r="C1775" t="inlineStr">
        <is>
          <t>Cali</t>
        </is>
      </c>
      <c r="D1775" t="inlineStr">
        <is>
          <t>3251</t>
        </is>
      </c>
      <c r="E1775" t="inlineStr">
        <is>
          <t>pagado</t>
        </is>
      </c>
      <c r="F1775" s="23" t="n">
        <v>46268</v>
      </c>
      <c r="G1775" s="24">
        <f>F1775-DATE(2026,8,31)</f>
        <v>3</v>
      </c>
      <c r="H1775" s="25" t="n">
        <v>162651636</v>
      </c>
      <c r="I1775" t="inlineStr">
        <is>
          <t>entidad-dia</t>
        </is>
      </c>
    </row>
    <row r="1776">
      <c r="A1776" t="inlineStr">
        <is>
          <t>PRAGMA</t>
        </is>
      </c>
      <c r="B1776" t="inlineStr">
        <is>
          <t>M1</t>
        </is>
      </c>
      <c r="C1776" t="inlineStr">
        <is>
          <t>Cali</t>
        </is>
      </c>
      <c r="D1776" t="inlineStr">
        <is>
          <t>3251</t>
        </is>
      </c>
      <c r="E1776" t="inlineStr">
        <is>
          <t>pagado</t>
        </is>
      </c>
      <c r="F1776" s="23" t="n">
        <v>46269</v>
      </c>
      <c r="G1776" s="24">
        <f>F1776-DATE(2026,8,31)</f>
        <v>4</v>
      </c>
      <c r="H1776" s="25" t="n">
        <v>171101487</v>
      </c>
      <c r="I1776" t="inlineStr">
        <is>
          <t>entidad-dia</t>
        </is>
      </c>
    </row>
    <row r="1777">
      <c r="A1777" t="inlineStr">
        <is>
          <t>PRAGMA</t>
        </is>
      </c>
      <c r="B1777" t="inlineStr">
        <is>
          <t>M1</t>
        </is>
      </c>
      <c r="C1777" t="inlineStr">
        <is>
          <t>Cali</t>
        </is>
      </c>
      <c r="D1777" t="inlineStr">
        <is>
          <t>3251</t>
        </is>
      </c>
      <c r="E1777" t="inlineStr">
        <is>
          <t>pagado</t>
        </is>
      </c>
      <c r="F1777" s="23" t="n">
        <v>46270</v>
      </c>
      <c r="G1777" s="24">
        <f>F1777-DATE(2026,8,31)</f>
        <v>5</v>
      </c>
      <c r="H1777" s="25" t="n">
        <v>188339289</v>
      </c>
      <c r="I1777" t="inlineStr">
        <is>
          <t>entidad-dia</t>
        </is>
      </c>
    </row>
    <row r="1778">
      <c r="A1778" t="inlineStr">
        <is>
          <t>PRAGMA</t>
        </is>
      </c>
      <c r="B1778" t="inlineStr">
        <is>
          <t>M1</t>
        </is>
      </c>
      <c r="C1778" t="inlineStr">
        <is>
          <t>Cali</t>
        </is>
      </c>
      <c r="D1778" t="inlineStr">
        <is>
          <t>3251</t>
        </is>
      </c>
      <c r="E1778" t="inlineStr">
        <is>
          <t>pagado</t>
        </is>
      </c>
      <c r="F1778" s="23" t="n">
        <v>46271</v>
      </c>
      <c r="G1778" s="24">
        <f>F1778-DATE(2026,8,31)</f>
        <v>6</v>
      </c>
      <c r="H1778" s="25" t="n">
        <v>140737564</v>
      </c>
      <c r="I1778" t="inlineStr">
        <is>
          <t>entidad-dia</t>
        </is>
      </c>
    </row>
    <row r="1779">
      <c r="A1779" t="inlineStr">
        <is>
          <t>PRAGMA</t>
        </is>
      </c>
      <c r="B1779" t="inlineStr">
        <is>
          <t>M1</t>
        </is>
      </c>
      <c r="C1779" t="inlineStr">
        <is>
          <t>Cali</t>
        </is>
      </c>
      <c r="D1779" t="inlineStr">
        <is>
          <t>3251</t>
        </is>
      </c>
      <c r="E1779" t="inlineStr">
        <is>
          <t>pagado</t>
        </is>
      </c>
      <c r="F1779" s="23" t="n">
        <v>46272</v>
      </c>
      <c r="G1779" s="24">
        <f>F1779-DATE(2026,8,31)</f>
        <v>7</v>
      </c>
      <c r="H1779" s="25" t="n">
        <v>138830911</v>
      </c>
      <c r="I1779" t="inlineStr">
        <is>
          <t>entidad-dia</t>
        </is>
      </c>
    </row>
    <row r="1780">
      <c r="A1780" t="inlineStr">
        <is>
          <t>PRAGMA</t>
        </is>
      </c>
      <c r="B1780" t="inlineStr">
        <is>
          <t>M1</t>
        </is>
      </c>
      <c r="C1780" t="inlineStr">
        <is>
          <t>Cali</t>
        </is>
      </c>
      <c r="D1780" t="inlineStr">
        <is>
          <t>3251</t>
        </is>
      </c>
      <c r="E1780" t="inlineStr">
        <is>
          <t>pagado</t>
        </is>
      </c>
      <c r="F1780" s="23" t="n">
        <v>46273</v>
      </c>
      <c r="G1780" s="24">
        <f>F1780-DATE(2026,8,31)</f>
        <v>8</v>
      </c>
      <c r="H1780" s="25" t="n">
        <v>131137086</v>
      </c>
      <c r="I1780" t="inlineStr">
        <is>
          <t>entidad-dia</t>
        </is>
      </c>
    </row>
    <row r="1781">
      <c r="A1781" t="inlineStr">
        <is>
          <t>PRAGMA</t>
        </is>
      </c>
      <c r="B1781" t="inlineStr">
        <is>
          <t>M1</t>
        </is>
      </c>
      <c r="C1781" t="inlineStr">
        <is>
          <t>Cali</t>
        </is>
      </c>
      <c r="D1781" t="inlineStr">
        <is>
          <t>3251</t>
        </is>
      </c>
      <c r="E1781" t="inlineStr">
        <is>
          <t>pagado</t>
        </is>
      </c>
      <c r="F1781" s="23" t="n">
        <v>46274</v>
      </c>
      <c r="G1781" s="24">
        <f>F1781-DATE(2026,8,31)</f>
        <v>9</v>
      </c>
      <c r="H1781" s="25" t="n">
        <v>130886275</v>
      </c>
      <c r="I1781" t="inlineStr">
        <is>
          <t>entidad-dia</t>
        </is>
      </c>
    </row>
    <row r="1782">
      <c r="A1782" t="inlineStr">
        <is>
          <t>PRAGMA</t>
        </is>
      </c>
      <c r="B1782" t="inlineStr">
        <is>
          <t>M1</t>
        </is>
      </c>
      <c r="C1782" t="inlineStr">
        <is>
          <t>Cali</t>
        </is>
      </c>
      <c r="D1782" t="inlineStr">
        <is>
          <t>3251</t>
        </is>
      </c>
      <c r="E1782" t="inlineStr">
        <is>
          <t>pagado</t>
        </is>
      </c>
      <c r="F1782" s="23" t="n">
        <v>46275</v>
      </c>
      <c r="G1782" s="24">
        <f>F1782-DATE(2026,8,31)</f>
        <v>10</v>
      </c>
      <c r="H1782" s="25" t="n">
        <v>110606655</v>
      </c>
      <c r="I1782" t="inlineStr">
        <is>
          <t>entidad-dia</t>
        </is>
      </c>
    </row>
    <row r="1783">
      <c r="A1783" t="inlineStr">
        <is>
          <t>PRAGMA</t>
        </is>
      </c>
      <c r="B1783" t="inlineStr">
        <is>
          <t>M1</t>
        </is>
      </c>
      <c r="C1783" t="inlineStr">
        <is>
          <t>Cali</t>
        </is>
      </c>
      <c r="D1783" t="inlineStr">
        <is>
          <t>3251</t>
        </is>
      </c>
      <c r="E1783" t="inlineStr">
        <is>
          <t>pagado</t>
        </is>
      </c>
      <c r="F1783" s="23" t="n">
        <v>46276</v>
      </c>
      <c r="G1783" s="24">
        <f>F1783-DATE(2026,8,31)</f>
        <v>11</v>
      </c>
      <c r="H1783" s="25" t="n">
        <v>126126957</v>
      </c>
      <c r="I1783" t="inlineStr">
        <is>
          <t>entidad-dia</t>
        </is>
      </c>
    </row>
    <row r="1784">
      <c r="A1784" t="inlineStr">
        <is>
          <t>PRAGMA</t>
        </is>
      </c>
      <c r="B1784" t="inlineStr">
        <is>
          <t>M1</t>
        </is>
      </c>
      <c r="C1784" t="inlineStr">
        <is>
          <t>Cali</t>
        </is>
      </c>
      <c r="D1784" t="inlineStr">
        <is>
          <t>3251</t>
        </is>
      </c>
      <c r="E1784" t="inlineStr">
        <is>
          <t>pagado</t>
        </is>
      </c>
      <c r="F1784" s="23" t="n">
        <v>46277</v>
      </c>
      <c r="G1784" s="24">
        <f>F1784-DATE(2026,8,31)</f>
        <v>12</v>
      </c>
      <c r="H1784" s="25" t="n">
        <v>147998535</v>
      </c>
      <c r="I1784" t="inlineStr">
        <is>
          <t>entidad-dia</t>
        </is>
      </c>
    </row>
    <row r="1785">
      <c r="A1785" t="inlineStr">
        <is>
          <t>PRAGMA</t>
        </is>
      </c>
      <c r="B1785" t="inlineStr">
        <is>
          <t>M1</t>
        </is>
      </c>
      <c r="C1785" t="inlineStr">
        <is>
          <t>Cali</t>
        </is>
      </c>
      <c r="D1785" t="inlineStr">
        <is>
          <t>3251</t>
        </is>
      </c>
      <c r="E1785" t="inlineStr">
        <is>
          <t>pagado</t>
        </is>
      </c>
      <c r="F1785" s="23" t="n">
        <v>46278</v>
      </c>
      <c r="G1785" s="24">
        <f>F1785-DATE(2026,8,31)</f>
        <v>13</v>
      </c>
      <c r="H1785" s="25" t="n">
        <v>102194956</v>
      </c>
      <c r="I1785" t="inlineStr">
        <is>
          <t>entidad-dia</t>
        </is>
      </c>
    </row>
    <row r="1786">
      <c r="A1786" t="inlineStr">
        <is>
          <t>PRAGMA</t>
        </is>
      </c>
      <c r="B1786" t="inlineStr">
        <is>
          <t>M1</t>
        </is>
      </c>
      <c r="C1786" t="inlineStr">
        <is>
          <t>Cali</t>
        </is>
      </c>
      <c r="D1786" t="inlineStr">
        <is>
          <t>3251</t>
        </is>
      </c>
      <c r="E1786" t="inlineStr">
        <is>
          <t>pagado</t>
        </is>
      </c>
      <c r="F1786" s="23" t="n">
        <v>46279</v>
      </c>
      <c r="G1786" s="24">
        <f>F1786-DATE(2026,8,31)</f>
        <v>14</v>
      </c>
      <c r="H1786" s="25" t="n">
        <v>112169730</v>
      </c>
      <c r="I1786" t="inlineStr">
        <is>
          <t>entidad-dia</t>
        </is>
      </c>
    </row>
    <row r="1787">
      <c r="A1787" t="inlineStr">
        <is>
          <t>PRAGMA</t>
        </is>
      </c>
      <c r="B1787" t="inlineStr">
        <is>
          <t>M1</t>
        </is>
      </c>
      <c r="C1787" t="inlineStr">
        <is>
          <t>Cali</t>
        </is>
      </c>
      <c r="D1787" t="inlineStr">
        <is>
          <t>3251</t>
        </is>
      </c>
      <c r="E1787" t="inlineStr">
        <is>
          <t>pagado</t>
        </is>
      </c>
      <c r="F1787" s="23" t="n">
        <v>46280</v>
      </c>
      <c r="G1787" s="24">
        <f>F1787-DATE(2026,8,31)</f>
        <v>15</v>
      </c>
      <c r="H1787" s="25" t="n">
        <v>171828409</v>
      </c>
      <c r="I1787" t="inlineStr">
        <is>
          <t>entidad-dia</t>
        </is>
      </c>
    </row>
    <row r="1788">
      <c r="A1788" t="inlineStr">
        <is>
          <t>PRAGMA</t>
        </is>
      </c>
      <c r="B1788" t="inlineStr">
        <is>
          <t>M1</t>
        </is>
      </c>
      <c r="C1788" t="inlineStr">
        <is>
          <t>Cali</t>
        </is>
      </c>
      <c r="D1788" t="inlineStr">
        <is>
          <t>3341</t>
        </is>
      </c>
      <c r="E1788" t="inlineStr">
        <is>
          <t>pagado</t>
        </is>
      </c>
      <c r="F1788" s="23" t="n">
        <v>46266</v>
      </c>
      <c r="G1788" s="24">
        <f>F1788-DATE(2026,8,31)</f>
        <v>1</v>
      </c>
      <c r="H1788" s="25" t="n">
        <v>10160854</v>
      </c>
      <c r="I1788" t="inlineStr">
        <is>
          <t>entidad-dia</t>
        </is>
      </c>
    </row>
    <row r="1789">
      <c r="A1789" t="inlineStr">
        <is>
          <t>PRAGMA</t>
        </is>
      </c>
      <c r="B1789" t="inlineStr">
        <is>
          <t>M1</t>
        </is>
      </c>
      <c r="C1789" t="inlineStr">
        <is>
          <t>Cali</t>
        </is>
      </c>
      <c r="D1789" t="inlineStr">
        <is>
          <t>3341</t>
        </is>
      </c>
      <c r="E1789" t="inlineStr">
        <is>
          <t>pagado</t>
        </is>
      </c>
      <c r="F1789" s="23" t="n">
        <v>46267</v>
      </c>
      <c r="G1789" s="24">
        <f>F1789-DATE(2026,8,31)</f>
        <v>2</v>
      </c>
      <c r="H1789" s="25" t="n">
        <v>8328548</v>
      </c>
      <c r="I1789" t="inlineStr">
        <is>
          <t>entidad-dia</t>
        </is>
      </c>
    </row>
    <row r="1790">
      <c r="A1790" t="inlineStr">
        <is>
          <t>PRAGMA</t>
        </is>
      </c>
      <c r="B1790" t="inlineStr">
        <is>
          <t>M1</t>
        </is>
      </c>
      <c r="C1790" t="inlineStr">
        <is>
          <t>Cali</t>
        </is>
      </c>
      <c r="D1790" t="inlineStr">
        <is>
          <t>3341</t>
        </is>
      </c>
      <c r="E1790" t="inlineStr">
        <is>
          <t>pagado</t>
        </is>
      </c>
      <c r="F1790" s="23" t="n">
        <v>46268</v>
      </c>
      <c r="G1790" s="24">
        <f>F1790-DATE(2026,8,31)</f>
        <v>3</v>
      </c>
      <c r="H1790" s="25" t="n">
        <v>12395597</v>
      </c>
      <c r="I1790" t="inlineStr">
        <is>
          <t>entidad-dia</t>
        </is>
      </c>
    </row>
    <row r="1791">
      <c r="A1791" t="inlineStr">
        <is>
          <t>PRAGMA</t>
        </is>
      </c>
      <c r="B1791" t="inlineStr">
        <is>
          <t>M1</t>
        </is>
      </c>
      <c r="C1791" t="inlineStr">
        <is>
          <t>Cali</t>
        </is>
      </c>
      <c r="D1791" t="inlineStr">
        <is>
          <t>3341</t>
        </is>
      </c>
      <c r="E1791" t="inlineStr">
        <is>
          <t>pagado</t>
        </is>
      </c>
      <c r="F1791" s="23" t="n">
        <v>46269</v>
      </c>
      <c r="G1791" s="24">
        <f>F1791-DATE(2026,8,31)</f>
        <v>4</v>
      </c>
      <c r="H1791" s="25" t="n">
        <v>8017235</v>
      </c>
      <c r="I1791" t="inlineStr">
        <is>
          <t>entidad-dia</t>
        </is>
      </c>
    </row>
    <row r="1792">
      <c r="A1792" t="inlineStr">
        <is>
          <t>PRAGMA</t>
        </is>
      </c>
      <c r="B1792" t="inlineStr">
        <is>
          <t>M1</t>
        </is>
      </c>
      <c r="C1792" t="inlineStr">
        <is>
          <t>Cali</t>
        </is>
      </c>
      <c r="D1792" t="inlineStr">
        <is>
          <t>3341</t>
        </is>
      </c>
      <c r="E1792" t="inlineStr">
        <is>
          <t>pagado</t>
        </is>
      </c>
      <c r="F1792" s="23" t="n">
        <v>46270</v>
      </c>
      <c r="G1792" s="24">
        <f>F1792-DATE(2026,8,31)</f>
        <v>5</v>
      </c>
      <c r="H1792" s="25" t="n">
        <v>1732908</v>
      </c>
      <c r="I1792" t="inlineStr">
        <is>
          <t>entidad-dia</t>
        </is>
      </c>
    </row>
    <row r="1793">
      <c r="A1793" t="inlineStr">
        <is>
          <t>PRAGMA</t>
        </is>
      </c>
      <c r="B1793" t="inlineStr">
        <is>
          <t>M1</t>
        </is>
      </c>
      <c r="C1793" t="inlineStr">
        <is>
          <t>Cali</t>
        </is>
      </c>
      <c r="D1793" t="inlineStr">
        <is>
          <t>3341</t>
        </is>
      </c>
      <c r="E1793" t="inlineStr">
        <is>
          <t>pagado</t>
        </is>
      </c>
      <c r="F1793" s="23" t="n">
        <v>46271</v>
      </c>
      <c r="G1793" s="24">
        <f>F1793-DATE(2026,8,31)</f>
        <v>6</v>
      </c>
      <c r="H1793" s="25" t="n">
        <v>1052265</v>
      </c>
      <c r="I1793" t="inlineStr">
        <is>
          <t>entidad-dia</t>
        </is>
      </c>
    </row>
    <row r="1794">
      <c r="A1794" t="inlineStr">
        <is>
          <t>PRAGMA</t>
        </is>
      </c>
      <c r="B1794" t="inlineStr">
        <is>
          <t>M1</t>
        </is>
      </c>
      <c r="C1794" t="inlineStr">
        <is>
          <t>Cali</t>
        </is>
      </c>
      <c r="D1794" t="inlineStr">
        <is>
          <t>3341</t>
        </is>
      </c>
      <c r="E1794" t="inlineStr">
        <is>
          <t>pagado</t>
        </is>
      </c>
      <c r="F1794" s="23" t="n">
        <v>46272</v>
      </c>
      <c r="G1794" s="24">
        <f>F1794-DATE(2026,8,31)</f>
        <v>7</v>
      </c>
      <c r="H1794" s="25" t="n">
        <v>8326865</v>
      </c>
      <c r="I1794" t="inlineStr">
        <is>
          <t>entidad-dia</t>
        </is>
      </c>
    </row>
    <row r="1795">
      <c r="A1795" t="inlineStr">
        <is>
          <t>PRAGMA</t>
        </is>
      </c>
      <c r="B1795" t="inlineStr">
        <is>
          <t>M1</t>
        </is>
      </c>
      <c r="C1795" t="inlineStr">
        <is>
          <t>Cali</t>
        </is>
      </c>
      <c r="D1795" t="inlineStr">
        <is>
          <t>3341</t>
        </is>
      </c>
      <c r="E1795" t="inlineStr">
        <is>
          <t>pagado</t>
        </is>
      </c>
      <c r="F1795" s="23" t="n">
        <v>46273</v>
      </c>
      <c r="G1795" s="24">
        <f>F1795-DATE(2026,8,31)</f>
        <v>8</v>
      </c>
      <c r="H1795" s="25" t="n">
        <v>7981749</v>
      </c>
      <c r="I1795" t="inlineStr">
        <is>
          <t>entidad-dia</t>
        </is>
      </c>
    </row>
    <row r="1796">
      <c r="A1796" t="inlineStr">
        <is>
          <t>PRAGMA</t>
        </is>
      </c>
      <c r="B1796" t="inlineStr">
        <is>
          <t>M1</t>
        </is>
      </c>
      <c r="C1796" t="inlineStr">
        <is>
          <t>Cali</t>
        </is>
      </c>
      <c r="D1796" t="inlineStr">
        <is>
          <t>3341</t>
        </is>
      </c>
      <c r="E1796" t="inlineStr">
        <is>
          <t>pagado</t>
        </is>
      </c>
      <c r="F1796" s="23" t="n">
        <v>46274</v>
      </c>
      <c r="G1796" s="24">
        <f>F1796-DATE(2026,8,31)</f>
        <v>9</v>
      </c>
      <c r="H1796" s="25" t="n">
        <v>7351009</v>
      </c>
      <c r="I1796" t="inlineStr">
        <is>
          <t>entidad-dia</t>
        </is>
      </c>
    </row>
    <row r="1797">
      <c r="A1797" t="inlineStr">
        <is>
          <t>PRAGMA</t>
        </is>
      </c>
      <c r="B1797" t="inlineStr">
        <is>
          <t>M1</t>
        </is>
      </c>
      <c r="C1797" t="inlineStr">
        <is>
          <t>Cali</t>
        </is>
      </c>
      <c r="D1797" t="inlineStr">
        <is>
          <t>3341</t>
        </is>
      </c>
      <c r="E1797" t="inlineStr">
        <is>
          <t>pagado</t>
        </is>
      </c>
      <c r="F1797" s="23" t="n">
        <v>46275</v>
      </c>
      <c r="G1797" s="24">
        <f>F1797-DATE(2026,8,31)</f>
        <v>10</v>
      </c>
      <c r="H1797" s="25" t="n">
        <v>5953549</v>
      </c>
      <c r="I1797" t="inlineStr">
        <is>
          <t>entidad-dia</t>
        </is>
      </c>
    </row>
    <row r="1798">
      <c r="A1798" t="inlineStr">
        <is>
          <t>PRAGMA</t>
        </is>
      </c>
      <c r="B1798" t="inlineStr">
        <is>
          <t>M1</t>
        </is>
      </c>
      <c r="C1798" t="inlineStr">
        <is>
          <t>Cali</t>
        </is>
      </c>
      <c r="D1798" t="inlineStr">
        <is>
          <t>3341</t>
        </is>
      </c>
      <c r="E1798" t="inlineStr">
        <is>
          <t>pagado</t>
        </is>
      </c>
      <c r="F1798" s="23" t="n">
        <v>46276</v>
      </c>
      <c r="G1798" s="24">
        <f>F1798-DATE(2026,8,31)</f>
        <v>11</v>
      </c>
      <c r="H1798" s="25" t="n">
        <v>7559158</v>
      </c>
      <c r="I1798" t="inlineStr">
        <is>
          <t>entidad-dia</t>
        </is>
      </c>
    </row>
    <row r="1799">
      <c r="A1799" t="inlineStr">
        <is>
          <t>PRAGMA</t>
        </is>
      </c>
      <c r="B1799" t="inlineStr">
        <is>
          <t>M1</t>
        </is>
      </c>
      <c r="C1799" t="inlineStr">
        <is>
          <t>Cali</t>
        </is>
      </c>
      <c r="D1799" t="inlineStr">
        <is>
          <t>3341</t>
        </is>
      </c>
      <c r="E1799" t="inlineStr">
        <is>
          <t>pagado</t>
        </is>
      </c>
      <c r="F1799" s="23" t="n">
        <v>46277</v>
      </c>
      <c r="G1799" s="24">
        <f>F1799-DATE(2026,8,31)</f>
        <v>12</v>
      </c>
      <c r="H1799" s="25" t="n">
        <v>1503087</v>
      </c>
      <c r="I1799" t="inlineStr">
        <is>
          <t>entidad-dia</t>
        </is>
      </c>
    </row>
    <row r="1800">
      <c r="A1800" t="inlineStr">
        <is>
          <t>PRAGMA</t>
        </is>
      </c>
      <c r="B1800" t="inlineStr">
        <is>
          <t>M1</t>
        </is>
      </c>
      <c r="C1800" t="inlineStr">
        <is>
          <t>Cali</t>
        </is>
      </c>
      <c r="D1800" t="inlineStr">
        <is>
          <t>3341</t>
        </is>
      </c>
      <c r="E1800" t="inlineStr">
        <is>
          <t>pagado</t>
        </is>
      </c>
      <c r="F1800" s="23" t="n">
        <v>46278</v>
      </c>
      <c r="G1800" s="24">
        <f>F1800-DATE(2026,8,31)</f>
        <v>13</v>
      </c>
      <c r="H1800" s="25" t="n">
        <v>1401193</v>
      </c>
      <c r="I1800" t="inlineStr">
        <is>
          <t>entidad-dia</t>
        </is>
      </c>
    </row>
    <row r="1801">
      <c r="A1801" t="inlineStr">
        <is>
          <t>PRAGMA</t>
        </is>
      </c>
      <c r="B1801" t="inlineStr">
        <is>
          <t>M1</t>
        </is>
      </c>
      <c r="C1801" t="inlineStr">
        <is>
          <t>Cali</t>
        </is>
      </c>
      <c r="D1801" t="inlineStr">
        <is>
          <t>3341</t>
        </is>
      </c>
      <c r="E1801" t="inlineStr">
        <is>
          <t>pagado</t>
        </is>
      </c>
      <c r="F1801" s="23" t="n">
        <v>46279</v>
      </c>
      <c r="G1801" s="24">
        <f>F1801-DATE(2026,8,31)</f>
        <v>14</v>
      </c>
      <c r="H1801" s="25" t="n">
        <v>7967601</v>
      </c>
      <c r="I1801" t="inlineStr">
        <is>
          <t>entidad-dia</t>
        </is>
      </c>
    </row>
    <row r="1802">
      <c r="A1802" t="inlineStr">
        <is>
          <t>PRAGMA</t>
        </is>
      </c>
      <c r="B1802" t="inlineStr">
        <is>
          <t>M1</t>
        </is>
      </c>
      <c r="C1802" t="inlineStr">
        <is>
          <t>Cali</t>
        </is>
      </c>
      <c r="D1802" t="inlineStr">
        <is>
          <t>3341</t>
        </is>
      </c>
      <c r="E1802" t="inlineStr">
        <is>
          <t>pagado</t>
        </is>
      </c>
      <c r="F1802" s="23" t="n">
        <v>46280</v>
      </c>
      <c r="G1802" s="24">
        <f>F1802-DATE(2026,8,31)</f>
        <v>15</v>
      </c>
      <c r="H1802" s="25" t="n">
        <v>13148889</v>
      </c>
      <c r="I1802" t="inlineStr">
        <is>
          <t>entidad-dia</t>
        </is>
      </c>
    </row>
    <row r="1803">
      <c r="A1803" t="inlineStr">
        <is>
          <t>PRAGMA</t>
        </is>
      </c>
      <c r="B1803" t="inlineStr">
        <is>
          <t>M1</t>
        </is>
      </c>
      <c r="C1803" t="inlineStr">
        <is>
          <t>Cali</t>
        </is>
      </c>
      <c r="D1803" t="inlineStr">
        <is>
          <t>3465</t>
        </is>
      </c>
      <c r="E1803" t="inlineStr">
        <is>
          <t>pagado</t>
        </is>
      </c>
      <c r="F1803" s="23" t="n">
        <v>46266</v>
      </c>
      <c r="G1803" s="24">
        <f>F1803-DATE(2026,8,31)</f>
        <v>1</v>
      </c>
      <c r="H1803" s="25" t="n">
        <v>361622004</v>
      </c>
      <c r="I1803" t="inlineStr">
        <is>
          <t>entidad-dia</t>
        </is>
      </c>
    </row>
    <row r="1804">
      <c r="A1804" t="inlineStr">
        <is>
          <t>PRAGMA</t>
        </is>
      </c>
      <c r="B1804" t="inlineStr">
        <is>
          <t>M1</t>
        </is>
      </c>
      <c r="C1804" t="inlineStr">
        <is>
          <t>Cali</t>
        </is>
      </c>
      <c r="D1804" t="inlineStr">
        <is>
          <t>3465</t>
        </is>
      </c>
      <c r="E1804" t="inlineStr">
        <is>
          <t>pagado</t>
        </is>
      </c>
      <c r="F1804" s="23" t="n">
        <v>46267</v>
      </c>
      <c r="G1804" s="24">
        <f>F1804-DATE(2026,8,31)</f>
        <v>2</v>
      </c>
      <c r="H1804" s="25" t="n">
        <v>326301650</v>
      </c>
      <c r="I1804" t="inlineStr">
        <is>
          <t>entidad-dia</t>
        </is>
      </c>
    </row>
    <row r="1805">
      <c r="A1805" t="inlineStr">
        <is>
          <t>PRAGMA</t>
        </is>
      </c>
      <c r="B1805" t="inlineStr">
        <is>
          <t>M1</t>
        </is>
      </c>
      <c r="C1805" t="inlineStr">
        <is>
          <t>Cali</t>
        </is>
      </c>
      <c r="D1805" t="inlineStr">
        <is>
          <t>3465</t>
        </is>
      </c>
      <c r="E1805" t="inlineStr">
        <is>
          <t>pagado</t>
        </is>
      </c>
      <c r="F1805" s="23" t="n">
        <v>46268</v>
      </c>
      <c r="G1805" s="24">
        <f>F1805-DATE(2026,8,31)</f>
        <v>3</v>
      </c>
      <c r="H1805" s="25" t="n">
        <v>311369724</v>
      </c>
      <c r="I1805" t="inlineStr">
        <is>
          <t>entidad-dia</t>
        </is>
      </c>
    </row>
    <row r="1806">
      <c r="A1806" t="inlineStr">
        <is>
          <t>PRAGMA</t>
        </is>
      </c>
      <c r="B1806" t="inlineStr">
        <is>
          <t>M1</t>
        </is>
      </c>
      <c r="C1806" t="inlineStr">
        <is>
          <t>Cali</t>
        </is>
      </c>
      <c r="D1806" t="inlineStr">
        <is>
          <t>3465</t>
        </is>
      </c>
      <c r="E1806" t="inlineStr">
        <is>
          <t>pagado</t>
        </is>
      </c>
      <c r="F1806" s="23" t="n">
        <v>46269</v>
      </c>
      <c r="G1806" s="24">
        <f>F1806-DATE(2026,8,31)</f>
        <v>4</v>
      </c>
      <c r="H1806" s="25" t="n">
        <v>310936603</v>
      </c>
      <c r="I1806" t="inlineStr">
        <is>
          <t>entidad-dia</t>
        </is>
      </c>
    </row>
    <row r="1807">
      <c r="A1807" t="inlineStr">
        <is>
          <t>PRAGMA</t>
        </is>
      </c>
      <c r="B1807" t="inlineStr">
        <is>
          <t>M1</t>
        </is>
      </c>
      <c r="C1807" t="inlineStr">
        <is>
          <t>Cali</t>
        </is>
      </c>
      <c r="D1807" t="inlineStr">
        <is>
          <t>3465</t>
        </is>
      </c>
      <c r="E1807" t="inlineStr">
        <is>
          <t>pagado</t>
        </is>
      </c>
      <c r="F1807" s="23" t="n">
        <v>46270</v>
      </c>
      <c r="G1807" s="24">
        <f>F1807-DATE(2026,8,31)</f>
        <v>5</v>
      </c>
      <c r="H1807" s="25" t="n">
        <v>307915441</v>
      </c>
      <c r="I1807" t="inlineStr">
        <is>
          <t>entidad-dia</t>
        </is>
      </c>
    </row>
    <row r="1808">
      <c r="A1808" t="inlineStr">
        <is>
          <t>PRAGMA</t>
        </is>
      </c>
      <c r="B1808" t="inlineStr">
        <is>
          <t>M1</t>
        </is>
      </c>
      <c r="C1808" t="inlineStr">
        <is>
          <t>Cali</t>
        </is>
      </c>
      <c r="D1808" t="inlineStr">
        <is>
          <t>3465</t>
        </is>
      </c>
      <c r="E1808" t="inlineStr">
        <is>
          <t>pagado</t>
        </is>
      </c>
      <c r="F1808" s="23" t="n">
        <v>46271</v>
      </c>
      <c r="G1808" s="24">
        <f>F1808-DATE(2026,8,31)</f>
        <v>6</v>
      </c>
      <c r="H1808" s="25" t="n">
        <v>151717736</v>
      </c>
      <c r="I1808" t="inlineStr">
        <is>
          <t>entidad-dia</t>
        </is>
      </c>
    </row>
    <row r="1809">
      <c r="A1809" t="inlineStr">
        <is>
          <t>PRAGMA</t>
        </is>
      </c>
      <c r="B1809" t="inlineStr">
        <is>
          <t>M1</t>
        </is>
      </c>
      <c r="C1809" t="inlineStr">
        <is>
          <t>Cali</t>
        </is>
      </c>
      <c r="D1809" t="inlineStr">
        <is>
          <t>3465</t>
        </is>
      </c>
      <c r="E1809" t="inlineStr">
        <is>
          <t>pagado</t>
        </is>
      </c>
      <c r="F1809" s="23" t="n">
        <v>46272</v>
      </c>
      <c r="G1809" s="24">
        <f>F1809-DATE(2026,8,31)</f>
        <v>7</v>
      </c>
      <c r="H1809" s="25" t="n">
        <v>249327132</v>
      </c>
      <c r="I1809" t="inlineStr">
        <is>
          <t>entidad-dia</t>
        </is>
      </c>
    </row>
    <row r="1810">
      <c r="A1810" t="inlineStr">
        <is>
          <t>PRAGMA</t>
        </is>
      </c>
      <c r="B1810" t="inlineStr">
        <is>
          <t>M1</t>
        </is>
      </c>
      <c r="C1810" t="inlineStr">
        <is>
          <t>Cali</t>
        </is>
      </c>
      <c r="D1810" t="inlineStr">
        <is>
          <t>3465</t>
        </is>
      </c>
      <c r="E1810" t="inlineStr">
        <is>
          <t>pagado</t>
        </is>
      </c>
      <c r="F1810" s="23" t="n">
        <v>46273</v>
      </c>
      <c r="G1810" s="24">
        <f>F1810-DATE(2026,8,31)</f>
        <v>8</v>
      </c>
      <c r="H1810" s="25" t="n">
        <v>222699356</v>
      </c>
      <c r="I1810" t="inlineStr">
        <is>
          <t>entidad-dia</t>
        </is>
      </c>
    </row>
    <row r="1811">
      <c r="A1811" t="inlineStr">
        <is>
          <t>PRAGMA</t>
        </is>
      </c>
      <c r="B1811" t="inlineStr">
        <is>
          <t>M1</t>
        </is>
      </c>
      <c r="C1811" t="inlineStr">
        <is>
          <t>Cali</t>
        </is>
      </c>
      <c r="D1811" t="inlineStr">
        <is>
          <t>3465</t>
        </is>
      </c>
      <c r="E1811" t="inlineStr">
        <is>
          <t>pagado</t>
        </is>
      </c>
      <c r="F1811" s="23" t="n">
        <v>46274</v>
      </c>
      <c r="G1811" s="24">
        <f>F1811-DATE(2026,8,31)</f>
        <v>9</v>
      </c>
      <c r="H1811" s="25" t="n">
        <v>236437113</v>
      </c>
      <c r="I1811" t="inlineStr">
        <is>
          <t>entidad-dia</t>
        </is>
      </c>
    </row>
    <row r="1812">
      <c r="A1812" t="inlineStr">
        <is>
          <t>PRAGMA</t>
        </is>
      </c>
      <c r="B1812" t="inlineStr">
        <is>
          <t>M1</t>
        </is>
      </c>
      <c r="C1812" t="inlineStr">
        <is>
          <t>Cali</t>
        </is>
      </c>
      <c r="D1812" t="inlineStr">
        <is>
          <t>3465</t>
        </is>
      </c>
      <c r="E1812" t="inlineStr">
        <is>
          <t>pagado</t>
        </is>
      </c>
      <c r="F1812" s="23" t="n">
        <v>46275</v>
      </c>
      <c r="G1812" s="24">
        <f>F1812-DATE(2026,8,31)</f>
        <v>10</v>
      </c>
      <c r="H1812" s="25" t="n">
        <v>253606240</v>
      </c>
      <c r="I1812" t="inlineStr">
        <is>
          <t>entidad-dia</t>
        </is>
      </c>
    </row>
    <row r="1813">
      <c r="A1813" t="inlineStr">
        <is>
          <t>PRAGMA</t>
        </is>
      </c>
      <c r="B1813" t="inlineStr">
        <is>
          <t>M1</t>
        </is>
      </c>
      <c r="C1813" t="inlineStr">
        <is>
          <t>Cali</t>
        </is>
      </c>
      <c r="D1813" t="inlineStr">
        <is>
          <t>3465</t>
        </is>
      </c>
      <c r="E1813" t="inlineStr">
        <is>
          <t>pagado</t>
        </is>
      </c>
      <c r="F1813" s="23" t="n">
        <v>46276</v>
      </c>
      <c r="G1813" s="24">
        <f>F1813-DATE(2026,8,31)</f>
        <v>11</v>
      </c>
      <c r="H1813" s="25" t="n">
        <v>273398612</v>
      </c>
      <c r="I1813" t="inlineStr">
        <is>
          <t>entidad-dia</t>
        </is>
      </c>
    </row>
    <row r="1814">
      <c r="A1814" t="inlineStr">
        <is>
          <t>PRAGMA</t>
        </is>
      </c>
      <c r="B1814" t="inlineStr">
        <is>
          <t>M1</t>
        </is>
      </c>
      <c r="C1814" t="inlineStr">
        <is>
          <t>Cali</t>
        </is>
      </c>
      <c r="D1814" t="inlineStr">
        <is>
          <t>3465</t>
        </is>
      </c>
      <c r="E1814" t="inlineStr">
        <is>
          <t>pagado</t>
        </is>
      </c>
      <c r="F1814" s="23" t="n">
        <v>46277</v>
      </c>
      <c r="G1814" s="24">
        <f>F1814-DATE(2026,8,31)</f>
        <v>12</v>
      </c>
      <c r="H1814" s="25" t="n">
        <v>267838315</v>
      </c>
      <c r="I1814" t="inlineStr">
        <is>
          <t>entidad-dia</t>
        </is>
      </c>
    </row>
    <row r="1815">
      <c r="A1815" t="inlineStr">
        <is>
          <t>PRAGMA</t>
        </is>
      </c>
      <c r="B1815" t="inlineStr">
        <is>
          <t>M1</t>
        </is>
      </c>
      <c r="C1815" t="inlineStr">
        <is>
          <t>Cali</t>
        </is>
      </c>
      <c r="D1815" t="inlineStr">
        <is>
          <t>3465</t>
        </is>
      </c>
      <c r="E1815" t="inlineStr">
        <is>
          <t>pagado</t>
        </is>
      </c>
      <c r="F1815" s="23" t="n">
        <v>46278</v>
      </c>
      <c r="G1815" s="24">
        <f>F1815-DATE(2026,8,31)</f>
        <v>13</v>
      </c>
      <c r="H1815" s="25" t="n">
        <v>131580933</v>
      </c>
      <c r="I1815" t="inlineStr">
        <is>
          <t>entidad-dia</t>
        </is>
      </c>
    </row>
    <row r="1816">
      <c r="A1816" t="inlineStr">
        <is>
          <t>PRAGMA</t>
        </is>
      </c>
      <c r="B1816" t="inlineStr">
        <is>
          <t>M1</t>
        </is>
      </c>
      <c r="C1816" t="inlineStr">
        <is>
          <t>Cali</t>
        </is>
      </c>
      <c r="D1816" t="inlineStr">
        <is>
          <t>3465</t>
        </is>
      </c>
      <c r="E1816" t="inlineStr">
        <is>
          <t>pagado</t>
        </is>
      </c>
      <c r="F1816" s="23" t="n">
        <v>46279</v>
      </c>
      <c r="G1816" s="24">
        <f>F1816-DATE(2026,8,31)</f>
        <v>14</v>
      </c>
      <c r="H1816" s="25" t="n">
        <v>228390803</v>
      </c>
      <c r="I1816" t="inlineStr">
        <is>
          <t>entidad-dia</t>
        </is>
      </c>
    </row>
    <row r="1817">
      <c r="A1817" t="inlineStr">
        <is>
          <t>PRAGMA</t>
        </is>
      </c>
      <c r="B1817" t="inlineStr">
        <is>
          <t>M1</t>
        </is>
      </c>
      <c r="C1817" t="inlineStr">
        <is>
          <t>Cali</t>
        </is>
      </c>
      <c r="D1817" t="inlineStr">
        <is>
          <t>3465</t>
        </is>
      </c>
      <c r="E1817" t="inlineStr">
        <is>
          <t>pagado</t>
        </is>
      </c>
      <c r="F1817" s="23" t="n">
        <v>46280</v>
      </c>
      <c r="G1817" s="24">
        <f>F1817-DATE(2026,8,31)</f>
        <v>15</v>
      </c>
      <c r="H1817" s="25" t="n">
        <v>287918165</v>
      </c>
      <c r="I1817" t="inlineStr">
        <is>
          <t>entidad-dia</t>
        </is>
      </c>
    </row>
    <row r="1818">
      <c r="A1818" t="inlineStr">
        <is>
          <t>PRAGMA</t>
        </is>
      </c>
      <c r="B1818" t="inlineStr">
        <is>
          <t>M1</t>
        </is>
      </c>
      <c r="C1818" t="inlineStr">
        <is>
          <t>Cali</t>
        </is>
      </c>
      <c r="D1818" t="inlineStr">
        <is>
          <t>347</t>
        </is>
      </c>
      <c r="E1818" t="inlineStr">
        <is>
          <t>pagado</t>
        </is>
      </c>
      <c r="F1818" s="23" t="n">
        <v>46266</v>
      </c>
      <c r="G1818" s="24">
        <f>F1818-DATE(2026,8,31)</f>
        <v>1</v>
      </c>
      <c r="H1818" s="25" t="n">
        <v>118508315</v>
      </c>
      <c r="I1818" t="inlineStr">
        <is>
          <t>entidad-dia</t>
        </is>
      </c>
    </row>
    <row r="1819">
      <c r="A1819" t="inlineStr">
        <is>
          <t>PRAGMA</t>
        </is>
      </c>
      <c r="B1819" t="inlineStr">
        <is>
          <t>M1</t>
        </is>
      </c>
      <c r="C1819" t="inlineStr">
        <is>
          <t>Cali</t>
        </is>
      </c>
      <c r="D1819" t="inlineStr">
        <is>
          <t>347</t>
        </is>
      </c>
      <c r="E1819" t="inlineStr">
        <is>
          <t>pagado</t>
        </is>
      </c>
      <c r="F1819" s="23" t="n">
        <v>46267</v>
      </c>
      <c r="G1819" s="24">
        <f>F1819-DATE(2026,8,31)</f>
        <v>2</v>
      </c>
      <c r="H1819" s="25" t="n">
        <v>87715432</v>
      </c>
      <c r="I1819" t="inlineStr">
        <is>
          <t>entidad-dia</t>
        </is>
      </c>
    </row>
    <row r="1820">
      <c r="A1820" t="inlineStr">
        <is>
          <t>PRAGMA</t>
        </is>
      </c>
      <c r="B1820" t="inlineStr">
        <is>
          <t>M1</t>
        </is>
      </c>
      <c r="C1820" t="inlineStr">
        <is>
          <t>Cali</t>
        </is>
      </c>
      <c r="D1820" t="inlineStr">
        <is>
          <t>347</t>
        </is>
      </c>
      <c r="E1820" t="inlineStr">
        <is>
          <t>pagado</t>
        </is>
      </c>
      <c r="F1820" s="23" t="n">
        <v>46268</v>
      </c>
      <c r="G1820" s="24">
        <f>F1820-DATE(2026,8,31)</f>
        <v>3</v>
      </c>
      <c r="H1820" s="25" t="n">
        <v>78842740</v>
      </c>
      <c r="I1820" t="inlineStr">
        <is>
          <t>entidad-dia</t>
        </is>
      </c>
    </row>
    <row r="1821">
      <c r="A1821" t="inlineStr">
        <is>
          <t>PRAGMA</t>
        </is>
      </c>
      <c r="B1821" t="inlineStr">
        <is>
          <t>M1</t>
        </is>
      </c>
      <c r="C1821" t="inlineStr">
        <is>
          <t>Cali</t>
        </is>
      </c>
      <c r="D1821" t="inlineStr">
        <is>
          <t>347</t>
        </is>
      </c>
      <c r="E1821" t="inlineStr">
        <is>
          <t>pagado</t>
        </is>
      </c>
      <c r="F1821" s="23" t="n">
        <v>46269</v>
      </c>
      <c r="G1821" s="24">
        <f>F1821-DATE(2026,8,31)</f>
        <v>4</v>
      </c>
      <c r="H1821" s="25" t="n">
        <v>80879079</v>
      </c>
      <c r="I1821" t="inlineStr">
        <is>
          <t>entidad-dia</t>
        </is>
      </c>
    </row>
    <row r="1822">
      <c r="A1822" t="inlineStr">
        <is>
          <t>PRAGMA</t>
        </is>
      </c>
      <c r="B1822" t="inlineStr">
        <is>
          <t>M1</t>
        </is>
      </c>
      <c r="C1822" t="inlineStr">
        <is>
          <t>Cali</t>
        </is>
      </c>
      <c r="D1822" t="inlineStr">
        <is>
          <t>347</t>
        </is>
      </c>
      <c r="E1822" t="inlineStr">
        <is>
          <t>pagado</t>
        </is>
      </c>
      <c r="F1822" s="23" t="n">
        <v>46270</v>
      </c>
      <c r="G1822" s="24">
        <f>F1822-DATE(2026,8,31)</f>
        <v>5</v>
      </c>
      <c r="H1822" s="25" t="n">
        <v>88603520</v>
      </c>
      <c r="I1822" t="inlineStr">
        <is>
          <t>entidad-dia</t>
        </is>
      </c>
    </row>
    <row r="1823">
      <c r="A1823" t="inlineStr">
        <is>
          <t>PRAGMA</t>
        </is>
      </c>
      <c r="B1823" t="inlineStr">
        <is>
          <t>M1</t>
        </is>
      </c>
      <c r="C1823" t="inlineStr">
        <is>
          <t>Cali</t>
        </is>
      </c>
      <c r="D1823" t="inlineStr">
        <is>
          <t>347</t>
        </is>
      </c>
      <c r="E1823" t="inlineStr">
        <is>
          <t>pagado</t>
        </is>
      </c>
      <c r="F1823" s="23" t="n">
        <v>46271</v>
      </c>
      <c r="G1823" s="24">
        <f>F1823-DATE(2026,8,31)</f>
        <v>6</v>
      </c>
      <c r="H1823" s="25" t="n">
        <v>62675559</v>
      </c>
      <c r="I1823" t="inlineStr">
        <is>
          <t>entidad-dia</t>
        </is>
      </c>
    </row>
    <row r="1824">
      <c r="A1824" t="inlineStr">
        <is>
          <t>PRAGMA</t>
        </is>
      </c>
      <c r="B1824" t="inlineStr">
        <is>
          <t>M1</t>
        </is>
      </c>
      <c r="C1824" t="inlineStr">
        <is>
          <t>Cali</t>
        </is>
      </c>
      <c r="D1824" t="inlineStr">
        <is>
          <t>347</t>
        </is>
      </c>
      <c r="E1824" t="inlineStr">
        <is>
          <t>pagado</t>
        </is>
      </c>
      <c r="F1824" s="23" t="n">
        <v>46272</v>
      </c>
      <c r="G1824" s="24">
        <f>F1824-DATE(2026,8,31)</f>
        <v>7</v>
      </c>
      <c r="H1824" s="25" t="n">
        <v>65963229</v>
      </c>
      <c r="I1824" t="inlineStr">
        <is>
          <t>entidad-dia</t>
        </is>
      </c>
    </row>
    <row r="1825">
      <c r="A1825" t="inlineStr">
        <is>
          <t>PRAGMA</t>
        </is>
      </c>
      <c r="B1825" t="inlineStr">
        <is>
          <t>M1</t>
        </is>
      </c>
      <c r="C1825" t="inlineStr">
        <is>
          <t>Cali</t>
        </is>
      </c>
      <c r="D1825" t="inlineStr">
        <is>
          <t>347</t>
        </is>
      </c>
      <c r="E1825" t="inlineStr">
        <is>
          <t>pagado</t>
        </is>
      </c>
      <c r="F1825" s="23" t="n">
        <v>46273</v>
      </c>
      <c r="G1825" s="24">
        <f>F1825-DATE(2026,8,31)</f>
        <v>8</v>
      </c>
      <c r="H1825" s="25" t="n">
        <v>66174478</v>
      </c>
      <c r="I1825" t="inlineStr">
        <is>
          <t>entidad-dia</t>
        </is>
      </c>
    </row>
    <row r="1826">
      <c r="A1826" t="inlineStr">
        <is>
          <t>PRAGMA</t>
        </is>
      </c>
      <c r="B1826" t="inlineStr">
        <is>
          <t>M1</t>
        </is>
      </c>
      <c r="C1826" t="inlineStr">
        <is>
          <t>Cali</t>
        </is>
      </c>
      <c r="D1826" t="inlineStr">
        <is>
          <t>347</t>
        </is>
      </c>
      <c r="E1826" t="inlineStr">
        <is>
          <t>pagado</t>
        </is>
      </c>
      <c r="F1826" s="23" t="n">
        <v>46274</v>
      </c>
      <c r="G1826" s="24">
        <f>F1826-DATE(2026,8,31)</f>
        <v>9</v>
      </c>
      <c r="H1826" s="25" t="n">
        <v>56367522</v>
      </c>
      <c r="I1826" t="inlineStr">
        <is>
          <t>entidad-dia</t>
        </is>
      </c>
    </row>
    <row r="1827">
      <c r="A1827" t="inlineStr">
        <is>
          <t>PRAGMA</t>
        </is>
      </c>
      <c r="B1827" t="inlineStr">
        <is>
          <t>M1</t>
        </is>
      </c>
      <c r="C1827" t="inlineStr">
        <is>
          <t>Cali</t>
        </is>
      </c>
      <c r="D1827" t="inlineStr">
        <is>
          <t>347</t>
        </is>
      </c>
      <c r="E1827" t="inlineStr">
        <is>
          <t>pagado</t>
        </is>
      </c>
      <c r="F1827" s="23" t="n">
        <v>46275</v>
      </c>
      <c r="G1827" s="24">
        <f>F1827-DATE(2026,8,31)</f>
        <v>10</v>
      </c>
      <c r="H1827" s="25" t="n">
        <v>51810414</v>
      </c>
      <c r="I1827" t="inlineStr">
        <is>
          <t>entidad-dia</t>
        </is>
      </c>
    </row>
    <row r="1828">
      <c r="A1828" t="inlineStr">
        <is>
          <t>PRAGMA</t>
        </is>
      </c>
      <c r="B1828" t="inlineStr">
        <is>
          <t>M1</t>
        </is>
      </c>
      <c r="C1828" t="inlineStr">
        <is>
          <t>Cali</t>
        </is>
      </c>
      <c r="D1828" t="inlineStr">
        <is>
          <t>347</t>
        </is>
      </c>
      <c r="E1828" t="inlineStr">
        <is>
          <t>pagado</t>
        </is>
      </c>
      <c r="F1828" s="23" t="n">
        <v>46276</v>
      </c>
      <c r="G1828" s="24">
        <f>F1828-DATE(2026,8,31)</f>
        <v>11</v>
      </c>
      <c r="H1828" s="25" t="n">
        <v>64232329</v>
      </c>
      <c r="I1828" t="inlineStr">
        <is>
          <t>entidad-dia</t>
        </is>
      </c>
    </row>
    <row r="1829">
      <c r="A1829" t="inlineStr">
        <is>
          <t>PRAGMA</t>
        </is>
      </c>
      <c r="B1829" t="inlineStr">
        <is>
          <t>M1</t>
        </is>
      </c>
      <c r="C1829" t="inlineStr">
        <is>
          <t>Cali</t>
        </is>
      </c>
      <c r="D1829" t="inlineStr">
        <is>
          <t>347</t>
        </is>
      </c>
      <c r="E1829" t="inlineStr">
        <is>
          <t>pagado</t>
        </is>
      </c>
      <c r="F1829" s="23" t="n">
        <v>46277</v>
      </c>
      <c r="G1829" s="24">
        <f>F1829-DATE(2026,8,31)</f>
        <v>12</v>
      </c>
      <c r="H1829" s="25" t="n">
        <v>75268536</v>
      </c>
      <c r="I1829" t="inlineStr">
        <is>
          <t>entidad-dia</t>
        </is>
      </c>
    </row>
    <row r="1830">
      <c r="A1830" t="inlineStr">
        <is>
          <t>PRAGMA</t>
        </is>
      </c>
      <c r="B1830" t="inlineStr">
        <is>
          <t>M1</t>
        </is>
      </c>
      <c r="C1830" t="inlineStr">
        <is>
          <t>Cali</t>
        </is>
      </c>
      <c r="D1830" t="inlineStr">
        <is>
          <t>347</t>
        </is>
      </c>
      <c r="E1830" t="inlineStr">
        <is>
          <t>pagado</t>
        </is>
      </c>
      <c r="F1830" s="23" t="n">
        <v>46278</v>
      </c>
      <c r="G1830" s="24">
        <f>F1830-DATE(2026,8,31)</f>
        <v>13</v>
      </c>
      <c r="H1830" s="25" t="n">
        <v>49225481</v>
      </c>
      <c r="I1830" t="inlineStr">
        <is>
          <t>entidad-dia</t>
        </is>
      </c>
    </row>
    <row r="1831">
      <c r="A1831" t="inlineStr">
        <is>
          <t>PRAGMA</t>
        </is>
      </c>
      <c r="B1831" t="inlineStr">
        <is>
          <t>M1</t>
        </is>
      </c>
      <c r="C1831" t="inlineStr">
        <is>
          <t>Cali</t>
        </is>
      </c>
      <c r="D1831" t="inlineStr">
        <is>
          <t>347</t>
        </is>
      </c>
      <c r="E1831" t="inlineStr">
        <is>
          <t>pagado</t>
        </is>
      </c>
      <c r="F1831" s="23" t="n">
        <v>46279</v>
      </c>
      <c r="G1831" s="24">
        <f>F1831-DATE(2026,8,31)</f>
        <v>14</v>
      </c>
      <c r="H1831" s="25" t="n">
        <v>63103083</v>
      </c>
      <c r="I1831" t="inlineStr">
        <is>
          <t>entidad-dia</t>
        </is>
      </c>
    </row>
    <row r="1832">
      <c r="A1832" t="inlineStr">
        <is>
          <t>PRAGMA</t>
        </is>
      </c>
      <c r="B1832" t="inlineStr">
        <is>
          <t>M1</t>
        </is>
      </c>
      <c r="C1832" t="inlineStr">
        <is>
          <t>Cali</t>
        </is>
      </c>
      <c r="D1832" t="inlineStr">
        <is>
          <t>347</t>
        </is>
      </c>
      <c r="E1832" t="inlineStr">
        <is>
          <t>pagado</t>
        </is>
      </c>
      <c r="F1832" s="23" t="n">
        <v>46280</v>
      </c>
      <c r="G1832" s="24">
        <f>F1832-DATE(2026,8,31)</f>
        <v>15</v>
      </c>
      <c r="H1832" s="25" t="n">
        <v>92341081</v>
      </c>
      <c r="I1832" t="inlineStr">
        <is>
          <t>entidad-dia</t>
        </is>
      </c>
    </row>
    <row r="1833">
      <c r="A1833" t="inlineStr">
        <is>
          <t>PRAGMA</t>
        </is>
      </c>
      <c r="B1833" t="inlineStr">
        <is>
          <t>M1</t>
        </is>
      </c>
      <c r="C1833" t="inlineStr">
        <is>
          <t>Cali</t>
        </is>
      </c>
      <c r="D1833" t="inlineStr">
        <is>
          <t>3497</t>
        </is>
      </c>
      <c r="E1833" t="inlineStr">
        <is>
          <t>pagado</t>
        </is>
      </c>
      <c r="F1833" s="23" t="n">
        <v>46266</v>
      </c>
      <c r="G1833" s="24">
        <f>F1833-DATE(2026,8,31)</f>
        <v>1</v>
      </c>
      <c r="H1833" s="25" t="n">
        <v>215523628</v>
      </c>
      <c r="I1833" t="inlineStr">
        <is>
          <t>entidad-dia</t>
        </is>
      </c>
    </row>
    <row r="1834">
      <c r="A1834" t="inlineStr">
        <is>
          <t>PRAGMA</t>
        </is>
      </c>
      <c r="B1834" t="inlineStr">
        <is>
          <t>M1</t>
        </is>
      </c>
      <c r="C1834" t="inlineStr">
        <is>
          <t>Cali</t>
        </is>
      </c>
      <c r="D1834" t="inlineStr">
        <is>
          <t>3497</t>
        </is>
      </c>
      <c r="E1834" t="inlineStr">
        <is>
          <t>pagado</t>
        </is>
      </c>
      <c r="F1834" s="23" t="n">
        <v>46267</v>
      </c>
      <c r="G1834" s="24">
        <f>F1834-DATE(2026,8,31)</f>
        <v>2</v>
      </c>
      <c r="H1834" s="25" t="n">
        <v>156116510</v>
      </c>
      <c r="I1834" t="inlineStr">
        <is>
          <t>entidad-dia</t>
        </is>
      </c>
    </row>
    <row r="1835">
      <c r="A1835" t="inlineStr">
        <is>
          <t>PRAGMA</t>
        </is>
      </c>
      <c r="B1835" t="inlineStr">
        <is>
          <t>M1</t>
        </is>
      </c>
      <c r="C1835" t="inlineStr">
        <is>
          <t>Cali</t>
        </is>
      </c>
      <c r="D1835" t="inlineStr">
        <is>
          <t>3497</t>
        </is>
      </c>
      <c r="E1835" t="inlineStr">
        <is>
          <t>pagado</t>
        </is>
      </c>
      <c r="F1835" s="23" t="n">
        <v>46268</v>
      </c>
      <c r="G1835" s="24">
        <f>F1835-DATE(2026,8,31)</f>
        <v>3</v>
      </c>
      <c r="H1835" s="25" t="n">
        <v>137592538</v>
      </c>
      <c r="I1835" t="inlineStr">
        <is>
          <t>entidad-dia</t>
        </is>
      </c>
    </row>
    <row r="1836">
      <c r="A1836" t="inlineStr">
        <is>
          <t>PRAGMA</t>
        </is>
      </c>
      <c r="B1836" t="inlineStr">
        <is>
          <t>M1</t>
        </is>
      </c>
      <c r="C1836" t="inlineStr">
        <is>
          <t>Cali</t>
        </is>
      </c>
      <c r="D1836" t="inlineStr">
        <is>
          <t>3497</t>
        </is>
      </c>
      <c r="E1836" t="inlineStr">
        <is>
          <t>pagado</t>
        </is>
      </c>
      <c r="F1836" s="23" t="n">
        <v>46269</v>
      </c>
      <c r="G1836" s="24">
        <f>F1836-DATE(2026,8,31)</f>
        <v>4</v>
      </c>
      <c r="H1836" s="25" t="n">
        <v>148017612</v>
      </c>
      <c r="I1836" t="inlineStr">
        <is>
          <t>entidad-dia</t>
        </is>
      </c>
    </row>
    <row r="1837">
      <c r="A1837" t="inlineStr">
        <is>
          <t>PRAGMA</t>
        </is>
      </c>
      <c r="B1837" t="inlineStr">
        <is>
          <t>M1</t>
        </is>
      </c>
      <c r="C1837" t="inlineStr">
        <is>
          <t>Cali</t>
        </is>
      </c>
      <c r="D1837" t="inlineStr">
        <is>
          <t>3497</t>
        </is>
      </c>
      <c r="E1837" t="inlineStr">
        <is>
          <t>pagado</t>
        </is>
      </c>
      <c r="F1837" s="23" t="n">
        <v>46270</v>
      </c>
      <c r="G1837" s="24">
        <f>F1837-DATE(2026,8,31)</f>
        <v>5</v>
      </c>
      <c r="H1837" s="25" t="n">
        <v>146758630</v>
      </c>
      <c r="I1837" t="inlineStr">
        <is>
          <t>entidad-dia</t>
        </is>
      </c>
    </row>
    <row r="1838">
      <c r="A1838" t="inlineStr">
        <is>
          <t>PRAGMA</t>
        </is>
      </c>
      <c r="B1838" t="inlineStr">
        <is>
          <t>M1</t>
        </is>
      </c>
      <c r="C1838" t="inlineStr">
        <is>
          <t>Cali</t>
        </is>
      </c>
      <c r="D1838" t="inlineStr">
        <is>
          <t>3497</t>
        </is>
      </c>
      <c r="E1838" t="inlineStr">
        <is>
          <t>pagado</t>
        </is>
      </c>
      <c r="F1838" s="23" t="n">
        <v>46271</v>
      </c>
      <c r="G1838" s="24">
        <f>F1838-DATE(2026,8,31)</f>
        <v>6</v>
      </c>
      <c r="H1838" s="25" t="n">
        <v>90523322</v>
      </c>
      <c r="I1838" t="inlineStr">
        <is>
          <t>entidad-dia</t>
        </is>
      </c>
    </row>
    <row r="1839">
      <c r="A1839" t="inlineStr">
        <is>
          <t>PRAGMA</t>
        </is>
      </c>
      <c r="B1839" t="inlineStr">
        <is>
          <t>M1</t>
        </is>
      </c>
      <c r="C1839" t="inlineStr">
        <is>
          <t>Cali</t>
        </is>
      </c>
      <c r="D1839" t="inlineStr">
        <is>
          <t>3497</t>
        </is>
      </c>
      <c r="E1839" t="inlineStr">
        <is>
          <t>pagado</t>
        </is>
      </c>
      <c r="F1839" s="23" t="n">
        <v>46272</v>
      </c>
      <c r="G1839" s="24">
        <f>F1839-DATE(2026,8,31)</f>
        <v>7</v>
      </c>
      <c r="H1839" s="25" t="n">
        <v>117879936</v>
      </c>
      <c r="I1839" t="inlineStr">
        <is>
          <t>entidad-dia</t>
        </is>
      </c>
    </row>
    <row r="1840">
      <c r="A1840" t="inlineStr">
        <is>
          <t>PRAGMA</t>
        </is>
      </c>
      <c r="B1840" t="inlineStr">
        <is>
          <t>M1</t>
        </is>
      </c>
      <c r="C1840" t="inlineStr">
        <is>
          <t>Cali</t>
        </is>
      </c>
      <c r="D1840" t="inlineStr">
        <is>
          <t>3497</t>
        </is>
      </c>
      <c r="E1840" t="inlineStr">
        <is>
          <t>pagado</t>
        </is>
      </c>
      <c r="F1840" s="23" t="n">
        <v>46273</v>
      </c>
      <c r="G1840" s="24">
        <f>F1840-DATE(2026,8,31)</f>
        <v>8</v>
      </c>
      <c r="H1840" s="25" t="n">
        <v>100700436</v>
      </c>
      <c r="I1840" t="inlineStr">
        <is>
          <t>entidad-dia</t>
        </is>
      </c>
    </row>
    <row r="1841">
      <c r="A1841" t="inlineStr">
        <is>
          <t>PRAGMA</t>
        </is>
      </c>
      <c r="B1841" t="inlineStr">
        <is>
          <t>M1</t>
        </is>
      </c>
      <c r="C1841" t="inlineStr">
        <is>
          <t>Cali</t>
        </is>
      </c>
      <c r="D1841" t="inlineStr">
        <is>
          <t>3497</t>
        </is>
      </c>
      <c r="E1841" t="inlineStr">
        <is>
          <t>pagado</t>
        </is>
      </c>
      <c r="F1841" s="23" t="n">
        <v>46274</v>
      </c>
      <c r="G1841" s="24">
        <f>F1841-DATE(2026,8,31)</f>
        <v>9</v>
      </c>
      <c r="H1841" s="25" t="n">
        <v>102486142</v>
      </c>
      <c r="I1841" t="inlineStr">
        <is>
          <t>entidad-dia</t>
        </is>
      </c>
    </row>
    <row r="1842">
      <c r="A1842" t="inlineStr">
        <is>
          <t>PRAGMA</t>
        </is>
      </c>
      <c r="B1842" t="inlineStr">
        <is>
          <t>M1</t>
        </is>
      </c>
      <c r="C1842" t="inlineStr">
        <is>
          <t>Cali</t>
        </is>
      </c>
      <c r="D1842" t="inlineStr">
        <is>
          <t>3497</t>
        </is>
      </c>
      <c r="E1842" t="inlineStr">
        <is>
          <t>pagado</t>
        </is>
      </c>
      <c r="F1842" s="23" t="n">
        <v>46275</v>
      </c>
      <c r="G1842" s="24">
        <f>F1842-DATE(2026,8,31)</f>
        <v>10</v>
      </c>
      <c r="H1842" s="25" t="n">
        <v>89277601</v>
      </c>
      <c r="I1842" t="inlineStr">
        <is>
          <t>entidad-dia</t>
        </is>
      </c>
    </row>
    <row r="1843">
      <c r="A1843" t="inlineStr">
        <is>
          <t>PRAGMA</t>
        </is>
      </c>
      <c r="B1843" t="inlineStr">
        <is>
          <t>M1</t>
        </is>
      </c>
      <c r="C1843" t="inlineStr">
        <is>
          <t>Cali</t>
        </is>
      </c>
      <c r="D1843" t="inlineStr">
        <is>
          <t>3497</t>
        </is>
      </c>
      <c r="E1843" t="inlineStr">
        <is>
          <t>pagado</t>
        </is>
      </c>
      <c r="F1843" s="23" t="n">
        <v>46276</v>
      </c>
      <c r="G1843" s="24">
        <f>F1843-DATE(2026,8,31)</f>
        <v>11</v>
      </c>
      <c r="H1843" s="25" t="n">
        <v>111324382</v>
      </c>
      <c r="I1843" t="inlineStr">
        <is>
          <t>entidad-dia</t>
        </is>
      </c>
    </row>
    <row r="1844">
      <c r="A1844" t="inlineStr">
        <is>
          <t>PRAGMA</t>
        </is>
      </c>
      <c r="B1844" t="inlineStr">
        <is>
          <t>M1</t>
        </is>
      </c>
      <c r="C1844" t="inlineStr">
        <is>
          <t>Cali</t>
        </is>
      </c>
      <c r="D1844" t="inlineStr">
        <is>
          <t>3497</t>
        </is>
      </c>
      <c r="E1844" t="inlineStr">
        <is>
          <t>pagado</t>
        </is>
      </c>
      <c r="F1844" s="23" t="n">
        <v>46277</v>
      </c>
      <c r="G1844" s="24">
        <f>F1844-DATE(2026,8,31)</f>
        <v>12</v>
      </c>
      <c r="H1844" s="25" t="n">
        <v>111984366</v>
      </c>
      <c r="I1844" t="inlineStr">
        <is>
          <t>entidad-dia</t>
        </is>
      </c>
    </row>
    <row r="1845">
      <c r="A1845" t="inlineStr">
        <is>
          <t>PRAGMA</t>
        </is>
      </c>
      <c r="B1845" t="inlineStr">
        <is>
          <t>M1</t>
        </is>
      </c>
      <c r="C1845" t="inlineStr">
        <is>
          <t>Cali</t>
        </is>
      </c>
      <c r="D1845" t="inlineStr">
        <is>
          <t>3497</t>
        </is>
      </c>
      <c r="E1845" t="inlineStr">
        <is>
          <t>pagado</t>
        </is>
      </c>
      <c r="F1845" s="23" t="n">
        <v>46278</v>
      </c>
      <c r="G1845" s="24">
        <f>F1845-DATE(2026,8,31)</f>
        <v>13</v>
      </c>
      <c r="H1845" s="25" t="n">
        <v>69355433</v>
      </c>
      <c r="I1845" t="inlineStr">
        <is>
          <t>entidad-dia</t>
        </is>
      </c>
    </row>
    <row r="1846">
      <c r="A1846" t="inlineStr">
        <is>
          <t>PRAGMA</t>
        </is>
      </c>
      <c r="B1846" t="inlineStr">
        <is>
          <t>M1</t>
        </is>
      </c>
      <c r="C1846" t="inlineStr">
        <is>
          <t>Cali</t>
        </is>
      </c>
      <c r="D1846" t="inlineStr">
        <is>
          <t>3497</t>
        </is>
      </c>
      <c r="E1846" t="inlineStr">
        <is>
          <t>pagado</t>
        </is>
      </c>
      <c r="F1846" s="23" t="n">
        <v>46279</v>
      </c>
      <c r="G1846" s="24">
        <f>F1846-DATE(2026,8,31)</f>
        <v>14</v>
      </c>
      <c r="H1846" s="25" t="n">
        <v>105561884</v>
      </c>
      <c r="I1846" t="inlineStr">
        <is>
          <t>entidad-dia</t>
        </is>
      </c>
    </row>
    <row r="1847">
      <c r="A1847" t="inlineStr">
        <is>
          <t>PRAGMA</t>
        </is>
      </c>
      <c r="B1847" t="inlineStr">
        <is>
          <t>M1</t>
        </is>
      </c>
      <c r="C1847" t="inlineStr">
        <is>
          <t>Cali</t>
        </is>
      </c>
      <c r="D1847" t="inlineStr">
        <is>
          <t>3497</t>
        </is>
      </c>
      <c r="E1847" t="inlineStr">
        <is>
          <t>pagado</t>
        </is>
      </c>
      <c r="F1847" s="23" t="n">
        <v>46280</v>
      </c>
      <c r="G1847" s="24">
        <f>F1847-DATE(2026,8,31)</f>
        <v>15</v>
      </c>
      <c r="H1847" s="25" t="n">
        <v>171082633</v>
      </c>
      <c r="I1847" t="inlineStr">
        <is>
          <t>entidad-dia</t>
        </is>
      </c>
    </row>
    <row r="1848">
      <c r="A1848" t="inlineStr">
        <is>
          <t>PRAGMA</t>
        </is>
      </c>
      <c r="B1848" t="inlineStr">
        <is>
          <t>M1</t>
        </is>
      </c>
      <c r="C1848" t="inlineStr">
        <is>
          <t>Cali</t>
        </is>
      </c>
      <c r="D1848" t="inlineStr">
        <is>
          <t>3512</t>
        </is>
      </c>
      <c r="E1848" t="inlineStr">
        <is>
          <t>pagado</t>
        </is>
      </c>
      <c r="F1848" s="23" t="n">
        <v>46266</v>
      </c>
      <c r="G1848" s="24">
        <f>F1848-DATE(2026,8,31)</f>
        <v>1</v>
      </c>
      <c r="H1848" s="25" t="n">
        <v>17155354</v>
      </c>
      <c r="I1848" t="inlineStr">
        <is>
          <t>entidad-dia</t>
        </is>
      </c>
    </row>
    <row r="1849">
      <c r="A1849" t="inlineStr">
        <is>
          <t>PRAGMA</t>
        </is>
      </c>
      <c r="B1849" t="inlineStr">
        <is>
          <t>M1</t>
        </is>
      </c>
      <c r="C1849" t="inlineStr">
        <is>
          <t>Cali</t>
        </is>
      </c>
      <c r="D1849" t="inlineStr">
        <is>
          <t>3512</t>
        </is>
      </c>
      <c r="E1849" t="inlineStr">
        <is>
          <t>pagado</t>
        </is>
      </c>
      <c r="F1849" s="23" t="n">
        <v>46267</v>
      </c>
      <c r="G1849" s="24">
        <f>F1849-DATE(2026,8,31)</f>
        <v>2</v>
      </c>
      <c r="H1849" s="25" t="n">
        <v>13960237</v>
      </c>
      <c r="I1849" t="inlineStr">
        <is>
          <t>entidad-dia</t>
        </is>
      </c>
    </row>
    <row r="1850">
      <c r="A1850" t="inlineStr">
        <is>
          <t>PRAGMA</t>
        </is>
      </c>
      <c r="B1850" t="inlineStr">
        <is>
          <t>M1</t>
        </is>
      </c>
      <c r="C1850" t="inlineStr">
        <is>
          <t>Cali</t>
        </is>
      </c>
      <c r="D1850" t="inlineStr">
        <is>
          <t>3512</t>
        </is>
      </c>
      <c r="E1850" t="inlineStr">
        <is>
          <t>pagado</t>
        </is>
      </c>
      <c r="F1850" s="23" t="n">
        <v>46268</v>
      </c>
      <c r="G1850" s="24">
        <f>F1850-DATE(2026,8,31)</f>
        <v>3</v>
      </c>
      <c r="H1850" s="25" t="n">
        <v>12991211</v>
      </c>
      <c r="I1850" t="inlineStr">
        <is>
          <t>entidad-dia</t>
        </is>
      </c>
    </row>
    <row r="1851">
      <c r="A1851" t="inlineStr">
        <is>
          <t>PRAGMA</t>
        </is>
      </c>
      <c r="B1851" t="inlineStr">
        <is>
          <t>M1</t>
        </is>
      </c>
      <c r="C1851" t="inlineStr">
        <is>
          <t>Cali</t>
        </is>
      </c>
      <c r="D1851" t="inlineStr">
        <is>
          <t>3512</t>
        </is>
      </c>
      <c r="E1851" t="inlineStr">
        <is>
          <t>pagado</t>
        </is>
      </c>
      <c r="F1851" s="23" t="n">
        <v>46269</v>
      </c>
      <c r="G1851" s="24">
        <f>F1851-DATE(2026,8,31)</f>
        <v>4</v>
      </c>
      <c r="H1851" s="25" t="n">
        <v>11707552</v>
      </c>
      <c r="I1851" t="inlineStr">
        <is>
          <t>entidad-dia</t>
        </is>
      </c>
    </row>
    <row r="1852">
      <c r="A1852" t="inlineStr">
        <is>
          <t>PRAGMA</t>
        </is>
      </c>
      <c r="B1852" t="inlineStr">
        <is>
          <t>M1</t>
        </is>
      </c>
      <c r="C1852" t="inlineStr">
        <is>
          <t>Cali</t>
        </is>
      </c>
      <c r="D1852" t="inlineStr">
        <is>
          <t>3512</t>
        </is>
      </c>
      <c r="E1852" t="inlineStr">
        <is>
          <t>pagado</t>
        </is>
      </c>
      <c r="F1852" s="23" t="n">
        <v>46270</v>
      </c>
      <c r="G1852" s="24">
        <f>F1852-DATE(2026,8,31)</f>
        <v>5</v>
      </c>
      <c r="H1852" s="25" t="n">
        <v>1622391</v>
      </c>
      <c r="I1852" t="inlineStr">
        <is>
          <t>entidad-dia</t>
        </is>
      </c>
    </row>
    <row r="1853">
      <c r="A1853" t="inlineStr">
        <is>
          <t>PRAGMA</t>
        </is>
      </c>
      <c r="B1853" t="inlineStr">
        <is>
          <t>M1</t>
        </is>
      </c>
      <c r="C1853" t="inlineStr">
        <is>
          <t>Cali</t>
        </is>
      </c>
      <c r="D1853" t="inlineStr">
        <is>
          <t>3512</t>
        </is>
      </c>
      <c r="E1853" t="inlineStr">
        <is>
          <t>pagado</t>
        </is>
      </c>
      <c r="F1853" s="23" t="n">
        <v>46271</v>
      </c>
      <c r="G1853" s="24">
        <f>F1853-DATE(2026,8,31)</f>
        <v>6</v>
      </c>
      <c r="H1853" s="25" t="n">
        <v>939567</v>
      </c>
      <c r="I1853" t="inlineStr">
        <is>
          <t>entidad-dia</t>
        </is>
      </c>
    </row>
    <row r="1854">
      <c r="A1854" t="inlineStr">
        <is>
          <t>PRAGMA</t>
        </is>
      </c>
      <c r="B1854" t="inlineStr">
        <is>
          <t>M1</t>
        </is>
      </c>
      <c r="C1854" t="inlineStr">
        <is>
          <t>Cali</t>
        </is>
      </c>
      <c r="D1854" t="inlineStr">
        <is>
          <t>3512</t>
        </is>
      </c>
      <c r="E1854" t="inlineStr">
        <is>
          <t>pagado</t>
        </is>
      </c>
      <c r="F1854" s="23" t="n">
        <v>46272</v>
      </c>
      <c r="G1854" s="24">
        <f>F1854-DATE(2026,8,31)</f>
        <v>7</v>
      </c>
      <c r="H1854" s="25" t="n">
        <v>8030533</v>
      </c>
      <c r="I1854" t="inlineStr">
        <is>
          <t>entidad-dia</t>
        </is>
      </c>
    </row>
    <row r="1855">
      <c r="A1855" t="inlineStr">
        <is>
          <t>PRAGMA</t>
        </is>
      </c>
      <c r="B1855" t="inlineStr">
        <is>
          <t>M1</t>
        </is>
      </c>
      <c r="C1855" t="inlineStr">
        <is>
          <t>Cali</t>
        </is>
      </c>
      <c r="D1855" t="inlineStr">
        <is>
          <t>3512</t>
        </is>
      </c>
      <c r="E1855" t="inlineStr">
        <is>
          <t>pagado</t>
        </is>
      </c>
      <c r="F1855" s="23" t="n">
        <v>46273</v>
      </c>
      <c r="G1855" s="24">
        <f>F1855-DATE(2026,8,31)</f>
        <v>8</v>
      </c>
      <c r="H1855" s="25" t="n">
        <v>8601137</v>
      </c>
      <c r="I1855" t="inlineStr">
        <is>
          <t>entidad-dia</t>
        </is>
      </c>
    </row>
    <row r="1856">
      <c r="A1856" t="inlineStr">
        <is>
          <t>PRAGMA</t>
        </is>
      </c>
      <c r="B1856" t="inlineStr">
        <is>
          <t>M1</t>
        </is>
      </c>
      <c r="C1856" t="inlineStr">
        <is>
          <t>Cali</t>
        </is>
      </c>
      <c r="D1856" t="inlineStr">
        <is>
          <t>3512</t>
        </is>
      </c>
      <c r="E1856" t="inlineStr">
        <is>
          <t>pagado</t>
        </is>
      </c>
      <c r="F1856" s="23" t="n">
        <v>46274</v>
      </c>
      <c r="G1856" s="24">
        <f>F1856-DATE(2026,8,31)</f>
        <v>9</v>
      </c>
      <c r="H1856" s="25" t="n">
        <v>8706852</v>
      </c>
      <c r="I1856" t="inlineStr">
        <is>
          <t>entidad-dia</t>
        </is>
      </c>
    </row>
    <row r="1857">
      <c r="A1857" t="inlineStr">
        <is>
          <t>PRAGMA</t>
        </is>
      </c>
      <c r="B1857" t="inlineStr">
        <is>
          <t>M1</t>
        </is>
      </c>
      <c r="C1857" t="inlineStr">
        <is>
          <t>Cali</t>
        </is>
      </c>
      <c r="D1857" t="inlineStr">
        <is>
          <t>3512</t>
        </is>
      </c>
      <c r="E1857" t="inlineStr">
        <is>
          <t>pagado</t>
        </is>
      </c>
      <c r="F1857" s="23" t="n">
        <v>46275</v>
      </c>
      <c r="G1857" s="24">
        <f>F1857-DATE(2026,8,31)</f>
        <v>10</v>
      </c>
      <c r="H1857" s="25" t="n">
        <v>9513029</v>
      </c>
      <c r="I1857" t="inlineStr">
        <is>
          <t>entidad-dia</t>
        </is>
      </c>
    </row>
    <row r="1858">
      <c r="A1858" t="inlineStr">
        <is>
          <t>PRAGMA</t>
        </is>
      </c>
      <c r="B1858" t="inlineStr">
        <is>
          <t>M1</t>
        </is>
      </c>
      <c r="C1858" t="inlineStr">
        <is>
          <t>Cali</t>
        </is>
      </c>
      <c r="D1858" t="inlineStr">
        <is>
          <t>3512</t>
        </is>
      </c>
      <c r="E1858" t="inlineStr">
        <is>
          <t>pagado</t>
        </is>
      </c>
      <c r="F1858" s="23" t="n">
        <v>46276</v>
      </c>
      <c r="G1858" s="24">
        <f>F1858-DATE(2026,8,31)</f>
        <v>11</v>
      </c>
      <c r="H1858" s="25" t="n">
        <v>10400212</v>
      </c>
      <c r="I1858" t="inlineStr">
        <is>
          <t>entidad-dia</t>
        </is>
      </c>
    </row>
    <row r="1859">
      <c r="A1859" t="inlineStr">
        <is>
          <t>PRAGMA</t>
        </is>
      </c>
      <c r="B1859" t="inlineStr">
        <is>
          <t>M1</t>
        </is>
      </c>
      <c r="C1859" t="inlineStr">
        <is>
          <t>Cali</t>
        </is>
      </c>
      <c r="D1859" t="inlineStr">
        <is>
          <t>3512</t>
        </is>
      </c>
      <c r="E1859" t="inlineStr">
        <is>
          <t>pagado</t>
        </is>
      </c>
      <c r="F1859" s="23" t="n">
        <v>46277</v>
      </c>
      <c r="G1859" s="24">
        <f>F1859-DATE(2026,8,31)</f>
        <v>12</v>
      </c>
      <c r="H1859" s="25" t="n">
        <v>1830369</v>
      </c>
      <c r="I1859" t="inlineStr">
        <is>
          <t>entidad-dia</t>
        </is>
      </c>
    </row>
    <row r="1860">
      <c r="A1860" t="inlineStr">
        <is>
          <t>PRAGMA</t>
        </is>
      </c>
      <c r="B1860" t="inlineStr">
        <is>
          <t>M1</t>
        </is>
      </c>
      <c r="C1860" t="inlineStr">
        <is>
          <t>Cali</t>
        </is>
      </c>
      <c r="D1860" t="inlineStr">
        <is>
          <t>3512</t>
        </is>
      </c>
      <c r="E1860" t="inlineStr">
        <is>
          <t>pagado</t>
        </is>
      </c>
      <c r="F1860" s="23" t="n">
        <v>46278</v>
      </c>
      <c r="G1860" s="24">
        <f>F1860-DATE(2026,8,31)</f>
        <v>13</v>
      </c>
      <c r="H1860" s="25" t="n">
        <v>732101</v>
      </c>
      <c r="I1860" t="inlineStr">
        <is>
          <t>entidad-dia</t>
        </is>
      </c>
    </row>
    <row r="1861">
      <c r="A1861" t="inlineStr">
        <is>
          <t>PRAGMA</t>
        </is>
      </c>
      <c r="B1861" t="inlineStr">
        <is>
          <t>M1</t>
        </is>
      </c>
      <c r="C1861" t="inlineStr">
        <is>
          <t>Cali</t>
        </is>
      </c>
      <c r="D1861" t="inlineStr">
        <is>
          <t>3512</t>
        </is>
      </c>
      <c r="E1861" t="inlineStr">
        <is>
          <t>pagado</t>
        </is>
      </c>
      <c r="F1861" s="23" t="n">
        <v>46279</v>
      </c>
      <c r="G1861" s="24">
        <f>F1861-DATE(2026,8,31)</f>
        <v>14</v>
      </c>
      <c r="H1861" s="25" t="n">
        <v>17363083</v>
      </c>
      <c r="I1861" t="inlineStr">
        <is>
          <t>entidad-dia</t>
        </is>
      </c>
    </row>
    <row r="1862">
      <c r="A1862" t="inlineStr">
        <is>
          <t>PRAGMA</t>
        </is>
      </c>
      <c r="B1862" t="inlineStr">
        <is>
          <t>M1</t>
        </is>
      </c>
      <c r="C1862" t="inlineStr">
        <is>
          <t>Cali</t>
        </is>
      </c>
      <c r="D1862" t="inlineStr">
        <is>
          <t>3512</t>
        </is>
      </c>
      <c r="E1862" t="inlineStr">
        <is>
          <t>pagado</t>
        </is>
      </c>
      <c r="F1862" s="23" t="n">
        <v>46280</v>
      </c>
      <c r="G1862" s="24">
        <f>F1862-DATE(2026,8,31)</f>
        <v>15</v>
      </c>
      <c r="H1862" s="25" t="n">
        <v>23937043</v>
      </c>
      <c r="I1862" t="inlineStr">
        <is>
          <t>entidad-dia</t>
        </is>
      </c>
    </row>
    <row r="1863">
      <c r="A1863" t="inlineStr">
        <is>
          <t>PRAGMA</t>
        </is>
      </c>
      <c r="B1863" t="inlineStr">
        <is>
          <t>M1</t>
        </is>
      </c>
      <c r="C1863" t="inlineStr">
        <is>
          <t>Cali</t>
        </is>
      </c>
      <c r="D1863" t="inlineStr">
        <is>
          <t>3568</t>
        </is>
      </c>
      <c r="E1863" t="inlineStr">
        <is>
          <t>pagado</t>
        </is>
      </c>
      <c r="F1863" s="23" t="n">
        <v>46266</v>
      </c>
      <c r="G1863" s="24">
        <f>F1863-DATE(2026,8,31)</f>
        <v>1</v>
      </c>
      <c r="H1863" s="25" t="n">
        <v>145691275</v>
      </c>
      <c r="I1863" t="inlineStr">
        <is>
          <t>entidad-dia</t>
        </is>
      </c>
    </row>
    <row r="1864">
      <c r="A1864" t="inlineStr">
        <is>
          <t>PRAGMA</t>
        </is>
      </c>
      <c r="B1864" t="inlineStr">
        <is>
          <t>M1</t>
        </is>
      </c>
      <c r="C1864" t="inlineStr">
        <is>
          <t>Cali</t>
        </is>
      </c>
      <c r="D1864" t="inlineStr">
        <is>
          <t>3568</t>
        </is>
      </c>
      <c r="E1864" t="inlineStr">
        <is>
          <t>pagado</t>
        </is>
      </c>
      <c r="F1864" s="23" t="n">
        <v>46267</v>
      </c>
      <c r="G1864" s="24">
        <f>F1864-DATE(2026,8,31)</f>
        <v>2</v>
      </c>
      <c r="H1864" s="25" t="n">
        <v>107695048</v>
      </c>
      <c r="I1864" t="inlineStr">
        <is>
          <t>entidad-dia</t>
        </is>
      </c>
    </row>
    <row r="1865">
      <c r="A1865" t="inlineStr">
        <is>
          <t>PRAGMA</t>
        </is>
      </c>
      <c r="B1865" t="inlineStr">
        <is>
          <t>M1</t>
        </is>
      </c>
      <c r="C1865" t="inlineStr">
        <is>
          <t>Cali</t>
        </is>
      </c>
      <c r="D1865" t="inlineStr">
        <is>
          <t>3568</t>
        </is>
      </c>
      <c r="E1865" t="inlineStr">
        <is>
          <t>pagado</t>
        </is>
      </c>
      <c r="F1865" s="23" t="n">
        <v>46268</v>
      </c>
      <c r="G1865" s="24">
        <f>F1865-DATE(2026,8,31)</f>
        <v>3</v>
      </c>
      <c r="H1865" s="25" t="n">
        <v>95717317</v>
      </c>
      <c r="I1865" t="inlineStr">
        <is>
          <t>entidad-dia</t>
        </is>
      </c>
    </row>
    <row r="1866">
      <c r="A1866" t="inlineStr">
        <is>
          <t>PRAGMA</t>
        </is>
      </c>
      <c r="B1866" t="inlineStr">
        <is>
          <t>M1</t>
        </is>
      </c>
      <c r="C1866" t="inlineStr">
        <is>
          <t>Cali</t>
        </is>
      </c>
      <c r="D1866" t="inlineStr">
        <is>
          <t>3568</t>
        </is>
      </c>
      <c r="E1866" t="inlineStr">
        <is>
          <t>pagado</t>
        </is>
      </c>
      <c r="F1866" s="23" t="n">
        <v>46269</v>
      </c>
      <c r="G1866" s="24">
        <f>F1866-DATE(2026,8,31)</f>
        <v>4</v>
      </c>
      <c r="H1866" s="25" t="n">
        <v>99878740</v>
      </c>
      <c r="I1866" t="inlineStr">
        <is>
          <t>entidad-dia</t>
        </is>
      </c>
    </row>
    <row r="1867">
      <c r="A1867" t="inlineStr">
        <is>
          <t>PRAGMA</t>
        </is>
      </c>
      <c r="B1867" t="inlineStr">
        <is>
          <t>M1</t>
        </is>
      </c>
      <c r="C1867" t="inlineStr">
        <is>
          <t>Cali</t>
        </is>
      </c>
      <c r="D1867" t="inlineStr">
        <is>
          <t>3568</t>
        </is>
      </c>
      <c r="E1867" t="inlineStr">
        <is>
          <t>pagado</t>
        </is>
      </c>
      <c r="F1867" s="23" t="n">
        <v>46270</v>
      </c>
      <c r="G1867" s="24">
        <f>F1867-DATE(2026,8,31)</f>
        <v>5</v>
      </c>
      <c r="H1867" s="25" t="n">
        <v>117376866</v>
      </c>
      <c r="I1867" t="inlineStr">
        <is>
          <t>entidad-dia</t>
        </is>
      </c>
    </row>
    <row r="1868">
      <c r="A1868" t="inlineStr">
        <is>
          <t>PRAGMA</t>
        </is>
      </c>
      <c r="B1868" t="inlineStr">
        <is>
          <t>M1</t>
        </is>
      </c>
      <c r="C1868" t="inlineStr">
        <is>
          <t>Cali</t>
        </is>
      </c>
      <c r="D1868" t="inlineStr">
        <is>
          <t>3568</t>
        </is>
      </c>
      <c r="E1868" t="inlineStr">
        <is>
          <t>pagado</t>
        </is>
      </c>
      <c r="F1868" s="23" t="n">
        <v>46271</v>
      </c>
      <c r="G1868" s="24">
        <f>F1868-DATE(2026,8,31)</f>
        <v>6</v>
      </c>
      <c r="H1868" s="25" t="n">
        <v>87400476</v>
      </c>
      <c r="I1868" t="inlineStr">
        <is>
          <t>entidad-dia</t>
        </is>
      </c>
    </row>
    <row r="1869">
      <c r="A1869" t="inlineStr">
        <is>
          <t>PRAGMA</t>
        </is>
      </c>
      <c r="B1869" t="inlineStr">
        <is>
          <t>M1</t>
        </is>
      </c>
      <c r="C1869" t="inlineStr">
        <is>
          <t>Cali</t>
        </is>
      </c>
      <c r="D1869" t="inlineStr">
        <is>
          <t>3568</t>
        </is>
      </c>
      <c r="E1869" t="inlineStr">
        <is>
          <t>pagado</t>
        </is>
      </c>
      <c r="F1869" s="23" t="n">
        <v>46272</v>
      </c>
      <c r="G1869" s="24">
        <f>F1869-DATE(2026,8,31)</f>
        <v>7</v>
      </c>
      <c r="H1869" s="25" t="n">
        <v>86038204</v>
      </c>
      <c r="I1869" t="inlineStr">
        <is>
          <t>entidad-dia</t>
        </is>
      </c>
    </row>
    <row r="1870">
      <c r="A1870" t="inlineStr">
        <is>
          <t>PRAGMA</t>
        </is>
      </c>
      <c r="B1870" t="inlineStr">
        <is>
          <t>M1</t>
        </is>
      </c>
      <c r="C1870" t="inlineStr">
        <is>
          <t>Cali</t>
        </is>
      </c>
      <c r="D1870" t="inlineStr">
        <is>
          <t>3568</t>
        </is>
      </c>
      <c r="E1870" t="inlineStr">
        <is>
          <t>pagado</t>
        </is>
      </c>
      <c r="F1870" s="23" t="n">
        <v>46273</v>
      </c>
      <c r="G1870" s="24">
        <f>F1870-DATE(2026,8,31)</f>
        <v>8</v>
      </c>
      <c r="H1870" s="25" t="n">
        <v>72272232</v>
      </c>
      <c r="I1870" t="inlineStr">
        <is>
          <t>entidad-dia</t>
        </is>
      </c>
    </row>
    <row r="1871">
      <c r="A1871" t="inlineStr">
        <is>
          <t>PRAGMA</t>
        </is>
      </c>
      <c r="B1871" t="inlineStr">
        <is>
          <t>M1</t>
        </is>
      </c>
      <c r="C1871" t="inlineStr">
        <is>
          <t>Cali</t>
        </is>
      </c>
      <c r="D1871" t="inlineStr">
        <is>
          <t>3568</t>
        </is>
      </c>
      <c r="E1871" t="inlineStr">
        <is>
          <t>pagado</t>
        </is>
      </c>
      <c r="F1871" s="23" t="n">
        <v>46274</v>
      </c>
      <c r="G1871" s="24">
        <f>F1871-DATE(2026,8,31)</f>
        <v>9</v>
      </c>
      <c r="H1871" s="25" t="n">
        <v>71517092</v>
      </c>
      <c r="I1871" t="inlineStr">
        <is>
          <t>entidad-dia</t>
        </is>
      </c>
    </row>
    <row r="1872">
      <c r="A1872" t="inlineStr">
        <is>
          <t>PRAGMA</t>
        </is>
      </c>
      <c r="B1872" t="inlineStr">
        <is>
          <t>M1</t>
        </is>
      </c>
      <c r="C1872" t="inlineStr">
        <is>
          <t>Cali</t>
        </is>
      </c>
      <c r="D1872" t="inlineStr">
        <is>
          <t>3568</t>
        </is>
      </c>
      <c r="E1872" t="inlineStr">
        <is>
          <t>pagado</t>
        </is>
      </c>
      <c r="F1872" s="23" t="n">
        <v>46275</v>
      </c>
      <c r="G1872" s="24">
        <f>F1872-DATE(2026,8,31)</f>
        <v>10</v>
      </c>
      <c r="H1872" s="25" t="n">
        <v>63076831</v>
      </c>
      <c r="I1872" t="inlineStr">
        <is>
          <t>entidad-dia</t>
        </is>
      </c>
    </row>
    <row r="1873">
      <c r="A1873" t="inlineStr">
        <is>
          <t>PRAGMA</t>
        </is>
      </c>
      <c r="B1873" t="inlineStr">
        <is>
          <t>M1</t>
        </is>
      </c>
      <c r="C1873" t="inlineStr">
        <is>
          <t>Cali</t>
        </is>
      </c>
      <c r="D1873" t="inlineStr">
        <is>
          <t>3568</t>
        </is>
      </c>
      <c r="E1873" t="inlineStr">
        <is>
          <t>pagado</t>
        </is>
      </c>
      <c r="F1873" s="23" t="n">
        <v>46276</v>
      </c>
      <c r="G1873" s="24">
        <f>F1873-DATE(2026,8,31)</f>
        <v>11</v>
      </c>
      <c r="H1873" s="25" t="n">
        <v>73654374</v>
      </c>
      <c r="I1873" t="inlineStr">
        <is>
          <t>entidad-dia</t>
        </is>
      </c>
    </row>
    <row r="1874">
      <c r="A1874" t="inlineStr">
        <is>
          <t>PRAGMA</t>
        </is>
      </c>
      <c r="B1874" t="inlineStr">
        <is>
          <t>M1</t>
        </is>
      </c>
      <c r="C1874" t="inlineStr">
        <is>
          <t>Cali</t>
        </is>
      </c>
      <c r="D1874" t="inlineStr">
        <is>
          <t>3568</t>
        </is>
      </c>
      <c r="E1874" t="inlineStr">
        <is>
          <t>pagado</t>
        </is>
      </c>
      <c r="F1874" s="23" t="n">
        <v>46277</v>
      </c>
      <c r="G1874" s="24">
        <f>F1874-DATE(2026,8,31)</f>
        <v>12</v>
      </c>
      <c r="H1874" s="25" t="n">
        <v>83317410</v>
      </c>
      <c r="I1874" t="inlineStr">
        <is>
          <t>entidad-dia</t>
        </is>
      </c>
    </row>
    <row r="1875">
      <c r="A1875" t="inlineStr">
        <is>
          <t>PRAGMA</t>
        </is>
      </c>
      <c r="B1875" t="inlineStr">
        <is>
          <t>M1</t>
        </is>
      </c>
      <c r="C1875" t="inlineStr">
        <is>
          <t>Cali</t>
        </is>
      </c>
      <c r="D1875" t="inlineStr">
        <is>
          <t>3568</t>
        </is>
      </c>
      <c r="E1875" t="inlineStr">
        <is>
          <t>pagado</t>
        </is>
      </c>
      <c r="F1875" s="23" t="n">
        <v>46278</v>
      </c>
      <c r="G1875" s="24">
        <f>F1875-DATE(2026,8,31)</f>
        <v>13</v>
      </c>
      <c r="H1875" s="25" t="n">
        <v>62276329</v>
      </c>
      <c r="I1875" t="inlineStr">
        <is>
          <t>entidad-dia</t>
        </is>
      </c>
    </row>
    <row r="1876">
      <c r="A1876" t="inlineStr">
        <is>
          <t>PRAGMA</t>
        </is>
      </c>
      <c r="B1876" t="inlineStr">
        <is>
          <t>M1</t>
        </is>
      </c>
      <c r="C1876" t="inlineStr">
        <is>
          <t>Cali</t>
        </is>
      </c>
      <c r="D1876" t="inlineStr">
        <is>
          <t>3568</t>
        </is>
      </c>
      <c r="E1876" t="inlineStr">
        <is>
          <t>pagado</t>
        </is>
      </c>
      <c r="F1876" s="23" t="n">
        <v>46279</v>
      </c>
      <c r="G1876" s="24">
        <f>F1876-DATE(2026,8,31)</f>
        <v>14</v>
      </c>
      <c r="H1876" s="25" t="n">
        <v>73302339</v>
      </c>
      <c r="I1876" t="inlineStr">
        <is>
          <t>entidad-dia</t>
        </is>
      </c>
    </row>
    <row r="1877">
      <c r="A1877" t="inlineStr">
        <is>
          <t>PRAGMA</t>
        </is>
      </c>
      <c r="B1877" t="inlineStr">
        <is>
          <t>M1</t>
        </is>
      </c>
      <c r="C1877" t="inlineStr">
        <is>
          <t>Cali</t>
        </is>
      </c>
      <c r="D1877" t="inlineStr">
        <is>
          <t>3568</t>
        </is>
      </c>
      <c r="E1877" t="inlineStr">
        <is>
          <t>pagado</t>
        </is>
      </c>
      <c r="F1877" s="23" t="n">
        <v>46280</v>
      </c>
      <c r="G1877" s="24">
        <f>F1877-DATE(2026,8,31)</f>
        <v>15</v>
      </c>
      <c r="H1877" s="25" t="n">
        <v>110477253</v>
      </c>
      <c r="I1877" t="inlineStr">
        <is>
          <t>entidad-dia</t>
        </is>
      </c>
    </row>
    <row r="1878">
      <c r="A1878" t="inlineStr">
        <is>
          <t>PRAGMA</t>
        </is>
      </c>
      <c r="B1878" t="inlineStr">
        <is>
          <t>M1</t>
        </is>
      </c>
      <c r="C1878" t="inlineStr">
        <is>
          <t>Cali</t>
        </is>
      </c>
      <c r="D1878" t="inlineStr">
        <is>
          <t>3571</t>
        </is>
      </c>
      <c r="E1878" t="inlineStr">
        <is>
          <t>pagado</t>
        </is>
      </c>
      <c r="F1878" s="23" t="n">
        <v>46266</v>
      </c>
      <c r="G1878" s="24">
        <f>F1878-DATE(2026,8,31)</f>
        <v>1</v>
      </c>
      <c r="H1878" s="25" t="n">
        <v>105940390</v>
      </c>
      <c r="I1878" t="inlineStr">
        <is>
          <t>entidad-dia</t>
        </is>
      </c>
    </row>
    <row r="1879">
      <c r="A1879" t="inlineStr">
        <is>
          <t>PRAGMA</t>
        </is>
      </c>
      <c r="B1879" t="inlineStr">
        <is>
          <t>M1</t>
        </is>
      </c>
      <c r="C1879" t="inlineStr">
        <is>
          <t>Cali</t>
        </is>
      </c>
      <c r="D1879" t="inlineStr">
        <is>
          <t>3571</t>
        </is>
      </c>
      <c r="E1879" t="inlineStr">
        <is>
          <t>pagado</t>
        </is>
      </c>
      <c r="F1879" s="23" t="n">
        <v>46267</v>
      </c>
      <c r="G1879" s="24">
        <f>F1879-DATE(2026,8,31)</f>
        <v>2</v>
      </c>
      <c r="H1879" s="25" t="n">
        <v>76515732</v>
      </c>
      <c r="I1879" t="inlineStr">
        <is>
          <t>entidad-dia</t>
        </is>
      </c>
    </row>
    <row r="1880">
      <c r="A1880" t="inlineStr">
        <is>
          <t>PRAGMA</t>
        </is>
      </c>
      <c r="B1880" t="inlineStr">
        <is>
          <t>M1</t>
        </is>
      </c>
      <c r="C1880" t="inlineStr">
        <is>
          <t>Cali</t>
        </is>
      </c>
      <c r="D1880" t="inlineStr">
        <is>
          <t>3571</t>
        </is>
      </c>
      <c r="E1880" t="inlineStr">
        <is>
          <t>pagado</t>
        </is>
      </c>
      <c r="F1880" s="23" t="n">
        <v>46268</v>
      </c>
      <c r="G1880" s="24">
        <f>F1880-DATE(2026,8,31)</f>
        <v>3</v>
      </c>
      <c r="H1880" s="25" t="n">
        <v>69710847</v>
      </c>
      <c r="I1880" t="inlineStr">
        <is>
          <t>entidad-dia</t>
        </is>
      </c>
    </row>
    <row r="1881">
      <c r="A1881" t="inlineStr">
        <is>
          <t>PRAGMA</t>
        </is>
      </c>
      <c r="B1881" t="inlineStr">
        <is>
          <t>M1</t>
        </is>
      </c>
      <c r="C1881" t="inlineStr">
        <is>
          <t>Cali</t>
        </is>
      </c>
      <c r="D1881" t="inlineStr">
        <is>
          <t>3571</t>
        </is>
      </c>
      <c r="E1881" t="inlineStr">
        <is>
          <t>pagado</t>
        </is>
      </c>
      <c r="F1881" s="23" t="n">
        <v>46269</v>
      </c>
      <c r="G1881" s="24">
        <f>F1881-DATE(2026,8,31)</f>
        <v>4</v>
      </c>
      <c r="H1881" s="25" t="n">
        <v>74979989</v>
      </c>
      <c r="I1881" t="inlineStr">
        <is>
          <t>entidad-dia</t>
        </is>
      </c>
    </row>
    <row r="1882">
      <c r="A1882" t="inlineStr">
        <is>
          <t>PRAGMA</t>
        </is>
      </c>
      <c r="B1882" t="inlineStr">
        <is>
          <t>M1</t>
        </is>
      </c>
      <c r="C1882" t="inlineStr">
        <is>
          <t>Cali</t>
        </is>
      </c>
      <c r="D1882" t="inlineStr">
        <is>
          <t>3571</t>
        </is>
      </c>
      <c r="E1882" t="inlineStr">
        <is>
          <t>pagado</t>
        </is>
      </c>
      <c r="F1882" s="23" t="n">
        <v>46270</v>
      </c>
      <c r="G1882" s="24">
        <f>F1882-DATE(2026,8,31)</f>
        <v>5</v>
      </c>
      <c r="H1882" s="25" t="n">
        <v>78218501</v>
      </c>
      <c r="I1882" t="inlineStr">
        <is>
          <t>entidad-dia</t>
        </is>
      </c>
    </row>
    <row r="1883">
      <c r="A1883" t="inlineStr">
        <is>
          <t>PRAGMA</t>
        </is>
      </c>
      <c r="B1883" t="inlineStr">
        <is>
          <t>M1</t>
        </is>
      </c>
      <c r="C1883" t="inlineStr">
        <is>
          <t>Cali</t>
        </is>
      </c>
      <c r="D1883" t="inlineStr">
        <is>
          <t>3571</t>
        </is>
      </c>
      <c r="E1883" t="inlineStr">
        <is>
          <t>pagado</t>
        </is>
      </c>
      <c r="F1883" s="23" t="n">
        <v>46271</v>
      </c>
      <c r="G1883" s="24">
        <f>F1883-DATE(2026,8,31)</f>
        <v>6</v>
      </c>
      <c r="H1883" s="25" t="n">
        <v>56920514</v>
      </c>
      <c r="I1883" t="inlineStr">
        <is>
          <t>entidad-dia</t>
        </is>
      </c>
    </row>
    <row r="1884">
      <c r="A1884" t="inlineStr">
        <is>
          <t>PRAGMA</t>
        </is>
      </c>
      <c r="B1884" t="inlineStr">
        <is>
          <t>M1</t>
        </is>
      </c>
      <c r="C1884" t="inlineStr">
        <is>
          <t>Cali</t>
        </is>
      </c>
      <c r="D1884" t="inlineStr">
        <is>
          <t>3571</t>
        </is>
      </c>
      <c r="E1884" t="inlineStr">
        <is>
          <t>pagado</t>
        </is>
      </c>
      <c r="F1884" s="23" t="n">
        <v>46272</v>
      </c>
      <c r="G1884" s="24">
        <f>F1884-DATE(2026,8,31)</f>
        <v>7</v>
      </c>
      <c r="H1884" s="25" t="n">
        <v>58953727</v>
      </c>
      <c r="I1884" t="inlineStr">
        <is>
          <t>entidad-dia</t>
        </is>
      </c>
    </row>
    <row r="1885">
      <c r="A1885" t="inlineStr">
        <is>
          <t>PRAGMA</t>
        </is>
      </c>
      <c r="B1885" t="inlineStr">
        <is>
          <t>M1</t>
        </is>
      </c>
      <c r="C1885" t="inlineStr">
        <is>
          <t>Cali</t>
        </is>
      </c>
      <c r="D1885" t="inlineStr">
        <is>
          <t>3571</t>
        </is>
      </c>
      <c r="E1885" t="inlineStr">
        <is>
          <t>pagado</t>
        </is>
      </c>
      <c r="F1885" s="23" t="n">
        <v>46273</v>
      </c>
      <c r="G1885" s="24">
        <f>F1885-DATE(2026,8,31)</f>
        <v>8</v>
      </c>
      <c r="H1885" s="25" t="n">
        <v>49853320</v>
      </c>
      <c r="I1885" t="inlineStr">
        <is>
          <t>entidad-dia</t>
        </is>
      </c>
    </row>
    <row r="1886">
      <c r="A1886" t="inlineStr">
        <is>
          <t>PRAGMA</t>
        </is>
      </c>
      <c r="B1886" t="inlineStr">
        <is>
          <t>M1</t>
        </is>
      </c>
      <c r="C1886" t="inlineStr">
        <is>
          <t>Cali</t>
        </is>
      </c>
      <c r="D1886" t="inlineStr">
        <is>
          <t>3571</t>
        </is>
      </c>
      <c r="E1886" t="inlineStr">
        <is>
          <t>pagado</t>
        </is>
      </c>
      <c r="F1886" s="23" t="n">
        <v>46274</v>
      </c>
      <c r="G1886" s="24">
        <f>F1886-DATE(2026,8,31)</f>
        <v>9</v>
      </c>
      <c r="H1886" s="25" t="n">
        <v>44832481</v>
      </c>
      <c r="I1886" t="inlineStr">
        <is>
          <t>entidad-dia</t>
        </is>
      </c>
    </row>
    <row r="1887">
      <c r="A1887" t="inlineStr">
        <is>
          <t>PRAGMA</t>
        </is>
      </c>
      <c r="B1887" t="inlineStr">
        <is>
          <t>M1</t>
        </is>
      </c>
      <c r="C1887" t="inlineStr">
        <is>
          <t>Cali</t>
        </is>
      </c>
      <c r="D1887" t="inlineStr">
        <is>
          <t>3571</t>
        </is>
      </c>
      <c r="E1887" t="inlineStr">
        <is>
          <t>pagado</t>
        </is>
      </c>
      <c r="F1887" s="23" t="n">
        <v>46275</v>
      </c>
      <c r="G1887" s="24">
        <f>F1887-DATE(2026,8,31)</f>
        <v>10</v>
      </c>
      <c r="H1887" s="25" t="n">
        <v>45752157</v>
      </c>
      <c r="I1887" t="inlineStr">
        <is>
          <t>entidad-dia</t>
        </is>
      </c>
    </row>
    <row r="1888">
      <c r="A1888" t="inlineStr">
        <is>
          <t>PRAGMA</t>
        </is>
      </c>
      <c r="B1888" t="inlineStr">
        <is>
          <t>M1</t>
        </is>
      </c>
      <c r="C1888" t="inlineStr">
        <is>
          <t>Cali</t>
        </is>
      </c>
      <c r="D1888" t="inlineStr">
        <is>
          <t>3571</t>
        </is>
      </c>
      <c r="E1888" t="inlineStr">
        <is>
          <t>pagado</t>
        </is>
      </c>
      <c r="F1888" s="23" t="n">
        <v>46276</v>
      </c>
      <c r="G1888" s="24">
        <f>F1888-DATE(2026,8,31)</f>
        <v>11</v>
      </c>
      <c r="H1888" s="25" t="n">
        <v>49686089</v>
      </c>
      <c r="I1888" t="inlineStr">
        <is>
          <t>entidad-dia</t>
        </is>
      </c>
    </row>
    <row r="1889">
      <c r="A1889" t="inlineStr">
        <is>
          <t>PRAGMA</t>
        </is>
      </c>
      <c r="B1889" t="inlineStr">
        <is>
          <t>M1</t>
        </is>
      </c>
      <c r="C1889" t="inlineStr">
        <is>
          <t>Cali</t>
        </is>
      </c>
      <c r="D1889" t="inlineStr">
        <is>
          <t>3571</t>
        </is>
      </c>
      <c r="E1889" t="inlineStr">
        <is>
          <t>pagado</t>
        </is>
      </c>
      <c r="F1889" s="23" t="n">
        <v>46277</v>
      </c>
      <c r="G1889" s="24">
        <f>F1889-DATE(2026,8,31)</f>
        <v>12</v>
      </c>
      <c r="H1889" s="25" t="n">
        <v>52388650</v>
      </c>
      <c r="I1889" t="inlineStr">
        <is>
          <t>entidad-dia</t>
        </is>
      </c>
    </row>
    <row r="1890">
      <c r="A1890" t="inlineStr">
        <is>
          <t>PRAGMA</t>
        </is>
      </c>
      <c r="B1890" t="inlineStr">
        <is>
          <t>M1</t>
        </is>
      </c>
      <c r="C1890" t="inlineStr">
        <is>
          <t>Cali</t>
        </is>
      </c>
      <c r="D1890" t="inlineStr">
        <is>
          <t>3571</t>
        </is>
      </c>
      <c r="E1890" t="inlineStr">
        <is>
          <t>pagado</t>
        </is>
      </c>
      <c r="F1890" s="23" t="n">
        <v>46278</v>
      </c>
      <c r="G1890" s="24">
        <f>F1890-DATE(2026,8,31)</f>
        <v>13</v>
      </c>
      <c r="H1890" s="25" t="n">
        <v>40213489</v>
      </c>
      <c r="I1890" t="inlineStr">
        <is>
          <t>entidad-dia</t>
        </is>
      </c>
    </row>
    <row r="1891">
      <c r="A1891" t="inlineStr">
        <is>
          <t>PRAGMA</t>
        </is>
      </c>
      <c r="B1891" t="inlineStr">
        <is>
          <t>M1</t>
        </is>
      </c>
      <c r="C1891" t="inlineStr">
        <is>
          <t>Cali</t>
        </is>
      </c>
      <c r="D1891" t="inlineStr">
        <is>
          <t>3571</t>
        </is>
      </c>
      <c r="E1891" t="inlineStr">
        <is>
          <t>pagado</t>
        </is>
      </c>
      <c r="F1891" s="23" t="n">
        <v>46279</v>
      </c>
      <c r="G1891" s="24">
        <f>F1891-DATE(2026,8,31)</f>
        <v>14</v>
      </c>
      <c r="H1891" s="25" t="n">
        <v>52886213</v>
      </c>
      <c r="I1891" t="inlineStr">
        <is>
          <t>entidad-dia</t>
        </is>
      </c>
    </row>
    <row r="1892">
      <c r="A1892" t="inlineStr">
        <is>
          <t>PRAGMA</t>
        </is>
      </c>
      <c r="B1892" t="inlineStr">
        <is>
          <t>M1</t>
        </is>
      </c>
      <c r="C1892" t="inlineStr">
        <is>
          <t>Cali</t>
        </is>
      </c>
      <c r="D1892" t="inlineStr">
        <is>
          <t>3571</t>
        </is>
      </c>
      <c r="E1892" t="inlineStr">
        <is>
          <t>pagado</t>
        </is>
      </c>
      <c r="F1892" s="23" t="n">
        <v>46280</v>
      </c>
      <c r="G1892" s="24">
        <f>F1892-DATE(2026,8,31)</f>
        <v>15</v>
      </c>
      <c r="H1892" s="25" t="n">
        <v>76672368</v>
      </c>
      <c r="I1892" t="inlineStr">
        <is>
          <t>entidad-dia</t>
        </is>
      </c>
    </row>
    <row r="1893">
      <c r="A1893" t="inlineStr">
        <is>
          <t>PRAGMA</t>
        </is>
      </c>
      <c r="B1893" t="inlineStr">
        <is>
          <t>M1</t>
        </is>
      </c>
      <c r="C1893" t="inlineStr">
        <is>
          <t>Cali</t>
        </is>
      </c>
      <c r="D1893" t="inlineStr">
        <is>
          <t>3601</t>
        </is>
      </c>
      <c r="E1893" t="inlineStr">
        <is>
          <t>pagado</t>
        </is>
      </c>
      <c r="F1893" s="23" t="n">
        <v>46266</v>
      </c>
      <c r="G1893" s="24">
        <f>F1893-DATE(2026,8,31)</f>
        <v>1</v>
      </c>
      <c r="H1893" s="25" t="n">
        <v>31291598</v>
      </c>
      <c r="I1893" t="inlineStr">
        <is>
          <t>entidad-dia</t>
        </is>
      </c>
    </row>
    <row r="1894">
      <c r="A1894" t="inlineStr">
        <is>
          <t>PRAGMA</t>
        </is>
      </c>
      <c r="B1894" t="inlineStr">
        <is>
          <t>M1</t>
        </is>
      </c>
      <c r="C1894" t="inlineStr">
        <is>
          <t>Cali</t>
        </is>
      </c>
      <c r="D1894" t="inlineStr">
        <is>
          <t>3601</t>
        </is>
      </c>
      <c r="E1894" t="inlineStr">
        <is>
          <t>pagado</t>
        </is>
      </c>
      <c r="F1894" s="23" t="n">
        <v>46267</v>
      </c>
      <c r="G1894" s="24">
        <f>F1894-DATE(2026,8,31)</f>
        <v>2</v>
      </c>
      <c r="H1894" s="25" t="n">
        <v>18724373</v>
      </c>
      <c r="I1894" t="inlineStr">
        <is>
          <t>entidad-dia</t>
        </is>
      </c>
    </row>
    <row r="1895">
      <c r="A1895" t="inlineStr">
        <is>
          <t>PRAGMA</t>
        </is>
      </c>
      <c r="B1895" t="inlineStr">
        <is>
          <t>M1</t>
        </is>
      </c>
      <c r="C1895" t="inlineStr">
        <is>
          <t>Cali</t>
        </is>
      </c>
      <c r="D1895" t="inlineStr">
        <is>
          <t>3601</t>
        </is>
      </c>
      <c r="E1895" t="inlineStr">
        <is>
          <t>pagado</t>
        </is>
      </c>
      <c r="F1895" s="23" t="n">
        <v>46268</v>
      </c>
      <c r="G1895" s="24">
        <f>F1895-DATE(2026,8,31)</f>
        <v>3</v>
      </c>
      <c r="H1895" s="25" t="n">
        <v>19061756</v>
      </c>
      <c r="I1895" t="inlineStr">
        <is>
          <t>entidad-dia</t>
        </is>
      </c>
    </row>
    <row r="1896">
      <c r="A1896" t="inlineStr">
        <is>
          <t>PRAGMA</t>
        </is>
      </c>
      <c r="B1896" t="inlineStr">
        <is>
          <t>M1</t>
        </is>
      </c>
      <c r="C1896" t="inlineStr">
        <is>
          <t>Cali</t>
        </is>
      </c>
      <c r="D1896" t="inlineStr">
        <is>
          <t>3601</t>
        </is>
      </c>
      <c r="E1896" t="inlineStr">
        <is>
          <t>pagado</t>
        </is>
      </c>
      <c r="F1896" s="23" t="n">
        <v>46269</v>
      </c>
      <c r="G1896" s="24">
        <f>F1896-DATE(2026,8,31)</f>
        <v>4</v>
      </c>
      <c r="H1896" s="25" t="n">
        <v>26520062</v>
      </c>
      <c r="I1896" t="inlineStr">
        <is>
          <t>entidad-dia</t>
        </is>
      </c>
    </row>
    <row r="1897">
      <c r="A1897" t="inlineStr">
        <is>
          <t>PRAGMA</t>
        </is>
      </c>
      <c r="B1897" t="inlineStr">
        <is>
          <t>M1</t>
        </is>
      </c>
      <c r="C1897" t="inlineStr">
        <is>
          <t>Cali</t>
        </is>
      </c>
      <c r="D1897" t="inlineStr">
        <is>
          <t>3601</t>
        </is>
      </c>
      <c r="E1897" t="inlineStr">
        <is>
          <t>pagado</t>
        </is>
      </c>
      <c r="F1897" s="23" t="n">
        <v>46270</v>
      </c>
      <c r="G1897" s="24">
        <f>F1897-DATE(2026,8,31)</f>
        <v>5</v>
      </c>
      <c r="H1897" s="25" t="n">
        <v>22036777</v>
      </c>
      <c r="I1897" t="inlineStr">
        <is>
          <t>entidad-dia</t>
        </is>
      </c>
    </row>
    <row r="1898">
      <c r="A1898" t="inlineStr">
        <is>
          <t>PRAGMA</t>
        </is>
      </c>
      <c r="B1898" t="inlineStr">
        <is>
          <t>M1</t>
        </is>
      </c>
      <c r="C1898" t="inlineStr">
        <is>
          <t>Cali</t>
        </is>
      </c>
      <c r="D1898" t="inlineStr">
        <is>
          <t>3601</t>
        </is>
      </c>
      <c r="E1898" t="inlineStr">
        <is>
          <t>pagado</t>
        </is>
      </c>
      <c r="F1898" s="23" t="n">
        <v>46271</v>
      </c>
      <c r="G1898" s="24">
        <f>F1898-DATE(2026,8,31)</f>
        <v>6</v>
      </c>
      <c r="H1898" s="25" t="n">
        <v>8320664</v>
      </c>
      <c r="I1898" t="inlineStr">
        <is>
          <t>entidad-dia</t>
        </is>
      </c>
    </row>
    <row r="1899">
      <c r="A1899" t="inlineStr">
        <is>
          <t>PRAGMA</t>
        </is>
      </c>
      <c r="B1899" t="inlineStr">
        <is>
          <t>M1</t>
        </is>
      </c>
      <c r="C1899" t="inlineStr">
        <is>
          <t>Cali</t>
        </is>
      </c>
      <c r="D1899" t="inlineStr">
        <is>
          <t>3601</t>
        </is>
      </c>
      <c r="E1899" t="inlineStr">
        <is>
          <t>pagado</t>
        </is>
      </c>
      <c r="F1899" s="23" t="n">
        <v>46272</v>
      </c>
      <c r="G1899" s="24">
        <f>F1899-DATE(2026,8,31)</f>
        <v>7</v>
      </c>
      <c r="H1899" s="25" t="n">
        <v>14054541</v>
      </c>
      <c r="I1899" t="inlineStr">
        <is>
          <t>entidad-dia</t>
        </is>
      </c>
    </row>
    <row r="1900">
      <c r="A1900" t="inlineStr">
        <is>
          <t>PRAGMA</t>
        </is>
      </c>
      <c r="B1900" t="inlineStr">
        <is>
          <t>M1</t>
        </is>
      </c>
      <c r="C1900" t="inlineStr">
        <is>
          <t>Cali</t>
        </is>
      </c>
      <c r="D1900" t="inlineStr">
        <is>
          <t>3601</t>
        </is>
      </c>
      <c r="E1900" t="inlineStr">
        <is>
          <t>pagado</t>
        </is>
      </c>
      <c r="F1900" s="23" t="n">
        <v>46273</v>
      </c>
      <c r="G1900" s="24">
        <f>F1900-DATE(2026,8,31)</f>
        <v>8</v>
      </c>
      <c r="H1900" s="25" t="n">
        <v>12588734</v>
      </c>
      <c r="I1900" t="inlineStr">
        <is>
          <t>entidad-dia</t>
        </is>
      </c>
    </row>
    <row r="1901">
      <c r="A1901" t="inlineStr">
        <is>
          <t>PRAGMA</t>
        </is>
      </c>
      <c r="B1901" t="inlineStr">
        <is>
          <t>M1</t>
        </is>
      </c>
      <c r="C1901" t="inlineStr">
        <is>
          <t>Cali</t>
        </is>
      </c>
      <c r="D1901" t="inlineStr">
        <is>
          <t>3601</t>
        </is>
      </c>
      <c r="E1901" t="inlineStr">
        <is>
          <t>pagado</t>
        </is>
      </c>
      <c r="F1901" s="23" t="n">
        <v>46274</v>
      </c>
      <c r="G1901" s="24">
        <f>F1901-DATE(2026,8,31)</f>
        <v>9</v>
      </c>
      <c r="H1901" s="25" t="n">
        <v>13464709</v>
      </c>
      <c r="I1901" t="inlineStr">
        <is>
          <t>entidad-dia</t>
        </is>
      </c>
    </row>
    <row r="1902">
      <c r="A1902" t="inlineStr">
        <is>
          <t>PRAGMA</t>
        </is>
      </c>
      <c r="B1902" t="inlineStr">
        <is>
          <t>M1</t>
        </is>
      </c>
      <c r="C1902" t="inlineStr">
        <is>
          <t>Cali</t>
        </is>
      </c>
      <c r="D1902" t="inlineStr">
        <is>
          <t>3601</t>
        </is>
      </c>
      <c r="E1902" t="inlineStr">
        <is>
          <t>pagado</t>
        </is>
      </c>
      <c r="F1902" s="23" t="n">
        <v>46275</v>
      </c>
      <c r="G1902" s="24">
        <f>F1902-DATE(2026,8,31)</f>
        <v>10</v>
      </c>
      <c r="H1902" s="25" t="n">
        <v>14101022</v>
      </c>
      <c r="I1902" t="inlineStr">
        <is>
          <t>entidad-dia</t>
        </is>
      </c>
    </row>
    <row r="1903">
      <c r="A1903" t="inlineStr">
        <is>
          <t>PRAGMA</t>
        </is>
      </c>
      <c r="B1903" t="inlineStr">
        <is>
          <t>M1</t>
        </is>
      </c>
      <c r="C1903" t="inlineStr">
        <is>
          <t>Cali</t>
        </is>
      </c>
      <c r="D1903" t="inlineStr">
        <is>
          <t>3601</t>
        </is>
      </c>
      <c r="E1903" t="inlineStr">
        <is>
          <t>pagado</t>
        </is>
      </c>
      <c r="F1903" s="23" t="n">
        <v>46276</v>
      </c>
      <c r="G1903" s="24">
        <f>F1903-DATE(2026,8,31)</f>
        <v>11</v>
      </c>
      <c r="H1903" s="25" t="n">
        <v>23114622</v>
      </c>
      <c r="I1903" t="inlineStr">
        <is>
          <t>entidad-dia</t>
        </is>
      </c>
    </row>
    <row r="1904">
      <c r="A1904" t="inlineStr">
        <is>
          <t>PRAGMA</t>
        </is>
      </c>
      <c r="B1904" t="inlineStr">
        <is>
          <t>M1</t>
        </is>
      </c>
      <c r="C1904" t="inlineStr">
        <is>
          <t>Cali</t>
        </is>
      </c>
      <c r="D1904" t="inlineStr">
        <is>
          <t>3601</t>
        </is>
      </c>
      <c r="E1904" t="inlineStr">
        <is>
          <t>pagado</t>
        </is>
      </c>
      <c r="F1904" s="23" t="n">
        <v>46277</v>
      </c>
      <c r="G1904" s="24">
        <f>F1904-DATE(2026,8,31)</f>
        <v>12</v>
      </c>
      <c r="H1904" s="25" t="n">
        <v>19440460</v>
      </c>
      <c r="I1904" t="inlineStr">
        <is>
          <t>entidad-dia</t>
        </is>
      </c>
    </row>
    <row r="1905">
      <c r="A1905" t="inlineStr">
        <is>
          <t>PRAGMA</t>
        </is>
      </c>
      <c r="B1905" t="inlineStr">
        <is>
          <t>M1</t>
        </is>
      </c>
      <c r="C1905" t="inlineStr">
        <is>
          <t>Cali</t>
        </is>
      </c>
      <c r="D1905" t="inlineStr">
        <is>
          <t>3601</t>
        </is>
      </c>
      <c r="E1905" t="inlineStr">
        <is>
          <t>pagado</t>
        </is>
      </c>
      <c r="F1905" s="23" t="n">
        <v>46278</v>
      </c>
      <c r="G1905" s="24">
        <f>F1905-DATE(2026,8,31)</f>
        <v>13</v>
      </c>
      <c r="H1905" s="25" t="n">
        <v>6680929</v>
      </c>
      <c r="I1905" t="inlineStr">
        <is>
          <t>entidad-dia</t>
        </is>
      </c>
    </row>
    <row r="1906">
      <c r="A1906" t="inlineStr">
        <is>
          <t>PRAGMA</t>
        </is>
      </c>
      <c r="B1906" t="inlineStr">
        <is>
          <t>M1</t>
        </is>
      </c>
      <c r="C1906" t="inlineStr">
        <is>
          <t>Cali</t>
        </is>
      </c>
      <c r="D1906" t="inlineStr">
        <is>
          <t>3601</t>
        </is>
      </c>
      <c r="E1906" t="inlineStr">
        <is>
          <t>pagado</t>
        </is>
      </c>
      <c r="F1906" s="23" t="n">
        <v>46279</v>
      </c>
      <c r="G1906" s="24">
        <f>F1906-DATE(2026,8,31)</f>
        <v>14</v>
      </c>
      <c r="H1906" s="25" t="n">
        <v>13623838</v>
      </c>
      <c r="I1906" t="inlineStr">
        <is>
          <t>entidad-dia</t>
        </is>
      </c>
    </row>
    <row r="1907">
      <c r="A1907" t="inlineStr">
        <is>
          <t>PRAGMA</t>
        </is>
      </c>
      <c r="B1907" t="inlineStr">
        <is>
          <t>M1</t>
        </is>
      </c>
      <c r="C1907" t="inlineStr">
        <is>
          <t>Cali</t>
        </is>
      </c>
      <c r="D1907" t="inlineStr">
        <is>
          <t>3601</t>
        </is>
      </c>
      <c r="E1907" t="inlineStr">
        <is>
          <t>pagado</t>
        </is>
      </c>
      <c r="F1907" s="23" t="n">
        <v>46280</v>
      </c>
      <c r="G1907" s="24">
        <f>F1907-DATE(2026,8,31)</f>
        <v>15</v>
      </c>
      <c r="H1907" s="25" t="n">
        <v>22428647</v>
      </c>
      <c r="I1907" t="inlineStr">
        <is>
          <t>entidad-dia</t>
        </is>
      </c>
    </row>
    <row r="1908">
      <c r="A1908" t="inlineStr">
        <is>
          <t>PRAGMA</t>
        </is>
      </c>
      <c r="B1908" t="inlineStr">
        <is>
          <t>M1</t>
        </is>
      </c>
      <c r="C1908" t="inlineStr">
        <is>
          <t>Cali</t>
        </is>
      </c>
      <c r="D1908" t="inlineStr">
        <is>
          <t>3668</t>
        </is>
      </c>
      <c r="E1908" t="inlineStr">
        <is>
          <t>pagado</t>
        </is>
      </c>
      <c r="F1908" s="23" t="n">
        <v>46266</v>
      </c>
      <c r="G1908" s="24">
        <f>F1908-DATE(2026,8,31)</f>
        <v>1</v>
      </c>
      <c r="H1908" s="25" t="n">
        <v>155193296</v>
      </c>
      <c r="I1908" t="inlineStr">
        <is>
          <t>entidad-dia</t>
        </is>
      </c>
    </row>
    <row r="1909">
      <c r="A1909" t="inlineStr">
        <is>
          <t>PRAGMA</t>
        </is>
      </c>
      <c r="B1909" t="inlineStr">
        <is>
          <t>M1</t>
        </is>
      </c>
      <c r="C1909" t="inlineStr">
        <is>
          <t>Cali</t>
        </is>
      </c>
      <c r="D1909" t="inlineStr">
        <is>
          <t>3668</t>
        </is>
      </c>
      <c r="E1909" t="inlineStr">
        <is>
          <t>pagado</t>
        </is>
      </c>
      <c r="F1909" s="23" t="n">
        <v>46267</v>
      </c>
      <c r="G1909" s="24">
        <f>F1909-DATE(2026,8,31)</f>
        <v>2</v>
      </c>
      <c r="H1909" s="25" t="n">
        <v>121141657</v>
      </c>
      <c r="I1909" t="inlineStr">
        <is>
          <t>entidad-dia</t>
        </is>
      </c>
    </row>
    <row r="1910">
      <c r="A1910" t="inlineStr">
        <is>
          <t>PRAGMA</t>
        </is>
      </c>
      <c r="B1910" t="inlineStr">
        <is>
          <t>M1</t>
        </is>
      </c>
      <c r="C1910" t="inlineStr">
        <is>
          <t>Cali</t>
        </is>
      </c>
      <c r="D1910" t="inlineStr">
        <is>
          <t>3668</t>
        </is>
      </c>
      <c r="E1910" t="inlineStr">
        <is>
          <t>pagado</t>
        </is>
      </c>
      <c r="F1910" s="23" t="n">
        <v>46268</v>
      </c>
      <c r="G1910" s="24">
        <f>F1910-DATE(2026,8,31)</f>
        <v>3</v>
      </c>
      <c r="H1910" s="25" t="n">
        <v>104110696</v>
      </c>
      <c r="I1910" t="inlineStr">
        <is>
          <t>entidad-dia</t>
        </is>
      </c>
    </row>
    <row r="1911">
      <c r="A1911" t="inlineStr">
        <is>
          <t>PRAGMA</t>
        </is>
      </c>
      <c r="B1911" t="inlineStr">
        <is>
          <t>M1</t>
        </is>
      </c>
      <c r="C1911" t="inlineStr">
        <is>
          <t>Cali</t>
        </is>
      </c>
      <c r="D1911" t="inlineStr">
        <is>
          <t>3668</t>
        </is>
      </c>
      <c r="E1911" t="inlineStr">
        <is>
          <t>pagado</t>
        </is>
      </c>
      <c r="F1911" s="23" t="n">
        <v>46269</v>
      </c>
      <c r="G1911" s="24">
        <f>F1911-DATE(2026,8,31)</f>
        <v>4</v>
      </c>
      <c r="H1911" s="25" t="n">
        <v>105106049</v>
      </c>
      <c r="I1911" t="inlineStr">
        <is>
          <t>entidad-dia</t>
        </is>
      </c>
    </row>
    <row r="1912">
      <c r="A1912" t="inlineStr">
        <is>
          <t>PRAGMA</t>
        </is>
      </c>
      <c r="B1912" t="inlineStr">
        <is>
          <t>M1</t>
        </is>
      </c>
      <c r="C1912" t="inlineStr">
        <is>
          <t>Cali</t>
        </is>
      </c>
      <c r="D1912" t="inlineStr">
        <is>
          <t>3668</t>
        </is>
      </c>
      <c r="E1912" t="inlineStr">
        <is>
          <t>pagado</t>
        </is>
      </c>
      <c r="F1912" s="23" t="n">
        <v>46270</v>
      </c>
      <c r="G1912" s="24">
        <f>F1912-DATE(2026,8,31)</f>
        <v>5</v>
      </c>
      <c r="H1912" s="25" t="n">
        <v>88954369</v>
      </c>
      <c r="I1912" t="inlineStr">
        <is>
          <t>entidad-dia</t>
        </is>
      </c>
    </row>
    <row r="1913">
      <c r="A1913" t="inlineStr">
        <is>
          <t>PRAGMA</t>
        </is>
      </c>
      <c r="B1913" t="inlineStr">
        <is>
          <t>M1</t>
        </is>
      </c>
      <c r="C1913" t="inlineStr">
        <is>
          <t>Cali</t>
        </is>
      </c>
      <c r="D1913" t="inlineStr">
        <is>
          <t>3668</t>
        </is>
      </c>
      <c r="E1913" t="inlineStr">
        <is>
          <t>pagado</t>
        </is>
      </c>
      <c r="F1913" s="23" t="n">
        <v>46271</v>
      </c>
      <c r="G1913" s="24">
        <f>F1913-DATE(2026,8,31)</f>
        <v>6</v>
      </c>
      <c r="H1913" s="25" t="n">
        <v>42273049</v>
      </c>
      <c r="I1913" t="inlineStr">
        <is>
          <t>entidad-dia</t>
        </is>
      </c>
    </row>
    <row r="1914">
      <c r="A1914" t="inlineStr">
        <is>
          <t>PRAGMA</t>
        </is>
      </c>
      <c r="B1914" t="inlineStr">
        <is>
          <t>M1</t>
        </is>
      </c>
      <c r="C1914" t="inlineStr">
        <is>
          <t>Cali</t>
        </is>
      </c>
      <c r="D1914" t="inlineStr">
        <is>
          <t>3668</t>
        </is>
      </c>
      <c r="E1914" t="inlineStr">
        <is>
          <t>pagado</t>
        </is>
      </c>
      <c r="F1914" s="23" t="n">
        <v>46272</v>
      </c>
      <c r="G1914" s="24">
        <f>F1914-DATE(2026,8,31)</f>
        <v>7</v>
      </c>
      <c r="H1914" s="25" t="n">
        <v>90171359</v>
      </c>
      <c r="I1914" t="inlineStr">
        <is>
          <t>entidad-dia</t>
        </is>
      </c>
    </row>
    <row r="1915">
      <c r="A1915" t="inlineStr">
        <is>
          <t>PRAGMA</t>
        </is>
      </c>
      <c r="B1915" t="inlineStr">
        <is>
          <t>M1</t>
        </is>
      </c>
      <c r="C1915" t="inlineStr">
        <is>
          <t>Cali</t>
        </is>
      </c>
      <c r="D1915" t="inlineStr">
        <is>
          <t>3668</t>
        </is>
      </c>
      <c r="E1915" t="inlineStr">
        <is>
          <t>pagado</t>
        </is>
      </c>
      <c r="F1915" s="23" t="n">
        <v>46273</v>
      </c>
      <c r="G1915" s="24">
        <f>F1915-DATE(2026,8,31)</f>
        <v>8</v>
      </c>
      <c r="H1915" s="25" t="n">
        <v>81467433</v>
      </c>
      <c r="I1915" t="inlineStr">
        <is>
          <t>entidad-dia</t>
        </is>
      </c>
    </row>
    <row r="1916">
      <c r="A1916" t="inlineStr">
        <is>
          <t>PRAGMA</t>
        </is>
      </c>
      <c r="B1916" t="inlineStr">
        <is>
          <t>M1</t>
        </is>
      </c>
      <c r="C1916" t="inlineStr">
        <is>
          <t>Cali</t>
        </is>
      </c>
      <c r="D1916" t="inlineStr">
        <is>
          <t>3668</t>
        </is>
      </c>
      <c r="E1916" t="inlineStr">
        <is>
          <t>pagado</t>
        </is>
      </c>
      <c r="F1916" s="23" t="n">
        <v>46274</v>
      </c>
      <c r="G1916" s="24">
        <f>F1916-DATE(2026,8,31)</f>
        <v>9</v>
      </c>
      <c r="H1916" s="25" t="n">
        <v>89572394</v>
      </c>
      <c r="I1916" t="inlineStr">
        <is>
          <t>entidad-dia</t>
        </is>
      </c>
    </row>
    <row r="1917">
      <c r="A1917" t="inlineStr">
        <is>
          <t>PRAGMA</t>
        </is>
      </c>
      <c r="B1917" t="inlineStr">
        <is>
          <t>M1</t>
        </is>
      </c>
      <c r="C1917" t="inlineStr">
        <is>
          <t>Cali</t>
        </is>
      </c>
      <c r="D1917" t="inlineStr">
        <is>
          <t>3668</t>
        </is>
      </c>
      <c r="E1917" t="inlineStr">
        <is>
          <t>pagado</t>
        </is>
      </c>
      <c r="F1917" s="23" t="n">
        <v>46275</v>
      </c>
      <c r="G1917" s="24">
        <f>F1917-DATE(2026,8,31)</f>
        <v>10</v>
      </c>
      <c r="H1917" s="25" t="n">
        <v>70951297</v>
      </c>
      <c r="I1917" t="inlineStr">
        <is>
          <t>entidad-dia</t>
        </is>
      </c>
    </row>
    <row r="1918">
      <c r="A1918" t="inlineStr">
        <is>
          <t>PRAGMA</t>
        </is>
      </c>
      <c r="B1918" t="inlineStr">
        <is>
          <t>M1</t>
        </is>
      </c>
      <c r="C1918" t="inlineStr">
        <is>
          <t>Cali</t>
        </is>
      </c>
      <c r="D1918" t="inlineStr">
        <is>
          <t>3668</t>
        </is>
      </c>
      <c r="E1918" t="inlineStr">
        <is>
          <t>pagado</t>
        </is>
      </c>
      <c r="F1918" s="23" t="n">
        <v>46276</v>
      </c>
      <c r="G1918" s="24">
        <f>F1918-DATE(2026,8,31)</f>
        <v>11</v>
      </c>
      <c r="H1918" s="25" t="n">
        <v>77882233</v>
      </c>
      <c r="I1918" t="inlineStr">
        <is>
          <t>entidad-dia</t>
        </is>
      </c>
    </row>
    <row r="1919">
      <c r="A1919" t="inlineStr">
        <is>
          <t>PRAGMA</t>
        </is>
      </c>
      <c r="B1919" t="inlineStr">
        <is>
          <t>M1</t>
        </is>
      </c>
      <c r="C1919" t="inlineStr">
        <is>
          <t>Cali</t>
        </is>
      </c>
      <c r="D1919" t="inlineStr">
        <is>
          <t>3668</t>
        </is>
      </c>
      <c r="E1919" t="inlineStr">
        <is>
          <t>pagado</t>
        </is>
      </c>
      <c r="F1919" s="23" t="n">
        <v>46277</v>
      </c>
      <c r="G1919" s="24">
        <f>F1919-DATE(2026,8,31)</f>
        <v>12</v>
      </c>
      <c r="H1919" s="25" t="n">
        <v>70815137</v>
      </c>
      <c r="I1919" t="inlineStr">
        <is>
          <t>entidad-dia</t>
        </is>
      </c>
    </row>
    <row r="1920">
      <c r="A1920" t="inlineStr">
        <is>
          <t>PRAGMA</t>
        </is>
      </c>
      <c r="B1920" t="inlineStr">
        <is>
          <t>M1</t>
        </is>
      </c>
      <c r="C1920" t="inlineStr">
        <is>
          <t>Cali</t>
        </is>
      </c>
      <c r="D1920" t="inlineStr">
        <is>
          <t>3668</t>
        </is>
      </c>
      <c r="E1920" t="inlineStr">
        <is>
          <t>pagado</t>
        </is>
      </c>
      <c r="F1920" s="23" t="n">
        <v>46278</v>
      </c>
      <c r="G1920" s="24">
        <f>F1920-DATE(2026,8,31)</f>
        <v>13</v>
      </c>
      <c r="H1920" s="25" t="n">
        <v>33304883</v>
      </c>
      <c r="I1920" t="inlineStr">
        <is>
          <t>entidad-dia</t>
        </is>
      </c>
    </row>
    <row r="1921">
      <c r="A1921" t="inlineStr">
        <is>
          <t>PRAGMA</t>
        </is>
      </c>
      <c r="B1921" t="inlineStr">
        <is>
          <t>M1</t>
        </is>
      </c>
      <c r="C1921" t="inlineStr">
        <is>
          <t>Cali</t>
        </is>
      </c>
      <c r="D1921" t="inlineStr">
        <is>
          <t>3668</t>
        </is>
      </c>
      <c r="E1921" t="inlineStr">
        <is>
          <t>pagado</t>
        </is>
      </c>
      <c r="F1921" s="23" t="n">
        <v>46279</v>
      </c>
      <c r="G1921" s="24">
        <f>F1921-DATE(2026,8,31)</f>
        <v>14</v>
      </c>
      <c r="H1921" s="25" t="n">
        <v>91711549</v>
      </c>
      <c r="I1921" t="inlineStr">
        <is>
          <t>entidad-dia</t>
        </is>
      </c>
    </row>
    <row r="1922">
      <c r="A1922" t="inlineStr">
        <is>
          <t>PRAGMA</t>
        </is>
      </c>
      <c r="B1922" t="inlineStr">
        <is>
          <t>M1</t>
        </is>
      </c>
      <c r="C1922" t="inlineStr">
        <is>
          <t>Cali</t>
        </is>
      </c>
      <c r="D1922" t="inlineStr">
        <is>
          <t>3668</t>
        </is>
      </c>
      <c r="E1922" t="inlineStr">
        <is>
          <t>pagado</t>
        </is>
      </c>
      <c r="F1922" s="23" t="n">
        <v>46280</v>
      </c>
      <c r="G1922" s="24">
        <f>F1922-DATE(2026,8,31)</f>
        <v>15</v>
      </c>
      <c r="H1922" s="25" t="n">
        <v>123426285</v>
      </c>
      <c r="I1922" t="inlineStr">
        <is>
          <t>entidad-dia</t>
        </is>
      </c>
    </row>
    <row r="1923">
      <c r="A1923" t="inlineStr">
        <is>
          <t>PRAGMA</t>
        </is>
      </c>
      <c r="B1923" t="inlineStr">
        <is>
          <t>M1</t>
        </is>
      </c>
      <c r="C1923" t="inlineStr">
        <is>
          <t>Cali</t>
        </is>
      </c>
      <c r="D1923" t="inlineStr">
        <is>
          <t>3692</t>
        </is>
      </c>
      <c r="E1923" t="inlineStr">
        <is>
          <t>pagado</t>
        </is>
      </c>
      <c r="F1923" s="23" t="n">
        <v>46266</v>
      </c>
      <c r="G1923" s="24">
        <f>F1923-DATE(2026,8,31)</f>
        <v>1</v>
      </c>
      <c r="H1923" s="25" t="n">
        <v>117410536</v>
      </c>
      <c r="I1923" t="inlineStr">
        <is>
          <t>entidad-dia</t>
        </is>
      </c>
    </row>
    <row r="1924">
      <c r="A1924" t="inlineStr">
        <is>
          <t>PRAGMA</t>
        </is>
      </c>
      <c r="B1924" t="inlineStr">
        <is>
          <t>M1</t>
        </is>
      </c>
      <c r="C1924" t="inlineStr">
        <is>
          <t>Cali</t>
        </is>
      </c>
      <c r="D1924" t="inlineStr">
        <is>
          <t>3692</t>
        </is>
      </c>
      <c r="E1924" t="inlineStr">
        <is>
          <t>pagado</t>
        </is>
      </c>
      <c r="F1924" s="23" t="n">
        <v>46267</v>
      </c>
      <c r="G1924" s="24">
        <f>F1924-DATE(2026,8,31)</f>
        <v>2</v>
      </c>
      <c r="H1924" s="25" t="n">
        <v>74408278</v>
      </c>
      <c r="I1924" t="inlineStr">
        <is>
          <t>entidad-dia</t>
        </is>
      </c>
    </row>
    <row r="1925">
      <c r="A1925" t="inlineStr">
        <is>
          <t>PRAGMA</t>
        </is>
      </c>
      <c r="B1925" t="inlineStr">
        <is>
          <t>M1</t>
        </is>
      </c>
      <c r="C1925" t="inlineStr">
        <is>
          <t>Cali</t>
        </is>
      </c>
      <c r="D1925" t="inlineStr">
        <is>
          <t>3692</t>
        </is>
      </c>
      <c r="E1925" t="inlineStr">
        <is>
          <t>pagado</t>
        </is>
      </c>
      <c r="F1925" s="23" t="n">
        <v>46268</v>
      </c>
      <c r="G1925" s="24">
        <f>F1925-DATE(2026,8,31)</f>
        <v>3</v>
      </c>
      <c r="H1925" s="25" t="n">
        <v>57330715</v>
      </c>
      <c r="I1925" t="inlineStr">
        <is>
          <t>entidad-dia</t>
        </is>
      </c>
    </row>
    <row r="1926">
      <c r="A1926" t="inlineStr">
        <is>
          <t>PRAGMA</t>
        </is>
      </c>
      <c r="B1926" t="inlineStr">
        <is>
          <t>M1</t>
        </is>
      </c>
      <c r="C1926" t="inlineStr">
        <is>
          <t>Cali</t>
        </is>
      </c>
      <c r="D1926" t="inlineStr">
        <is>
          <t>3692</t>
        </is>
      </c>
      <c r="E1926" t="inlineStr">
        <is>
          <t>pagado</t>
        </is>
      </c>
      <c r="F1926" s="23" t="n">
        <v>46269</v>
      </c>
      <c r="G1926" s="24">
        <f>F1926-DATE(2026,8,31)</f>
        <v>4</v>
      </c>
      <c r="H1926" s="25" t="n">
        <v>59530160</v>
      </c>
      <c r="I1926" t="inlineStr">
        <is>
          <t>entidad-dia</t>
        </is>
      </c>
    </row>
    <row r="1927">
      <c r="A1927" t="inlineStr">
        <is>
          <t>PRAGMA</t>
        </is>
      </c>
      <c r="B1927" t="inlineStr">
        <is>
          <t>M1</t>
        </is>
      </c>
      <c r="C1927" t="inlineStr">
        <is>
          <t>Cali</t>
        </is>
      </c>
      <c r="D1927" t="inlineStr">
        <is>
          <t>3692</t>
        </is>
      </c>
      <c r="E1927" t="inlineStr">
        <is>
          <t>pagado</t>
        </is>
      </c>
      <c r="F1927" s="23" t="n">
        <v>46270</v>
      </c>
      <c r="G1927" s="24">
        <f>F1927-DATE(2026,8,31)</f>
        <v>5</v>
      </c>
      <c r="H1927" s="25" t="n">
        <v>66281455</v>
      </c>
      <c r="I1927" t="inlineStr">
        <is>
          <t>entidad-dia</t>
        </is>
      </c>
    </row>
    <row r="1928">
      <c r="A1928" t="inlineStr">
        <is>
          <t>PRAGMA</t>
        </is>
      </c>
      <c r="B1928" t="inlineStr">
        <is>
          <t>M1</t>
        </is>
      </c>
      <c r="C1928" t="inlineStr">
        <is>
          <t>Cali</t>
        </is>
      </c>
      <c r="D1928" t="inlineStr">
        <is>
          <t>3692</t>
        </is>
      </c>
      <c r="E1928" t="inlineStr">
        <is>
          <t>pagado</t>
        </is>
      </c>
      <c r="F1928" s="23" t="n">
        <v>46271</v>
      </c>
      <c r="G1928" s="24">
        <f>F1928-DATE(2026,8,31)</f>
        <v>6</v>
      </c>
      <c r="H1928" s="25" t="n">
        <v>45617532</v>
      </c>
      <c r="I1928" t="inlineStr">
        <is>
          <t>entidad-dia</t>
        </is>
      </c>
    </row>
    <row r="1929">
      <c r="A1929" t="inlineStr">
        <is>
          <t>PRAGMA</t>
        </is>
      </c>
      <c r="B1929" t="inlineStr">
        <is>
          <t>M1</t>
        </is>
      </c>
      <c r="C1929" t="inlineStr">
        <is>
          <t>Cali</t>
        </is>
      </c>
      <c r="D1929" t="inlineStr">
        <is>
          <t>3692</t>
        </is>
      </c>
      <c r="E1929" t="inlineStr">
        <is>
          <t>pagado</t>
        </is>
      </c>
      <c r="F1929" s="23" t="n">
        <v>46272</v>
      </c>
      <c r="G1929" s="24">
        <f>F1929-DATE(2026,8,31)</f>
        <v>7</v>
      </c>
      <c r="H1929" s="25" t="n">
        <v>34631420</v>
      </c>
      <c r="I1929" t="inlineStr">
        <is>
          <t>entidad-dia</t>
        </is>
      </c>
    </row>
    <row r="1930">
      <c r="A1930" t="inlineStr">
        <is>
          <t>PRAGMA</t>
        </is>
      </c>
      <c r="B1930" t="inlineStr">
        <is>
          <t>M1</t>
        </is>
      </c>
      <c r="C1930" t="inlineStr">
        <is>
          <t>Cali</t>
        </is>
      </c>
      <c r="D1930" t="inlineStr">
        <is>
          <t>3692</t>
        </is>
      </c>
      <c r="E1930" t="inlineStr">
        <is>
          <t>pagado</t>
        </is>
      </c>
      <c r="F1930" s="23" t="n">
        <v>46273</v>
      </c>
      <c r="G1930" s="24">
        <f>F1930-DATE(2026,8,31)</f>
        <v>8</v>
      </c>
      <c r="H1930" s="25" t="n">
        <v>34794990</v>
      </c>
      <c r="I1930" t="inlineStr">
        <is>
          <t>entidad-dia</t>
        </is>
      </c>
    </row>
    <row r="1931">
      <c r="A1931" t="inlineStr">
        <is>
          <t>PRAGMA</t>
        </is>
      </c>
      <c r="B1931" t="inlineStr">
        <is>
          <t>M1</t>
        </is>
      </c>
      <c r="C1931" t="inlineStr">
        <is>
          <t>Cali</t>
        </is>
      </c>
      <c r="D1931" t="inlineStr">
        <is>
          <t>3692</t>
        </is>
      </c>
      <c r="E1931" t="inlineStr">
        <is>
          <t>pagado</t>
        </is>
      </c>
      <c r="F1931" s="23" t="n">
        <v>46274</v>
      </c>
      <c r="G1931" s="24">
        <f>F1931-DATE(2026,8,31)</f>
        <v>9</v>
      </c>
      <c r="H1931" s="25" t="n">
        <v>34626445</v>
      </c>
      <c r="I1931" t="inlineStr">
        <is>
          <t>entidad-dia</t>
        </is>
      </c>
    </row>
    <row r="1932">
      <c r="A1932" t="inlineStr">
        <is>
          <t>PRAGMA</t>
        </is>
      </c>
      <c r="B1932" t="inlineStr">
        <is>
          <t>M1</t>
        </is>
      </c>
      <c r="C1932" t="inlineStr">
        <is>
          <t>Cali</t>
        </is>
      </c>
      <c r="D1932" t="inlineStr">
        <is>
          <t>3692</t>
        </is>
      </c>
      <c r="E1932" t="inlineStr">
        <is>
          <t>pagado</t>
        </is>
      </c>
      <c r="F1932" s="23" t="n">
        <v>46275</v>
      </c>
      <c r="G1932" s="24">
        <f>F1932-DATE(2026,8,31)</f>
        <v>10</v>
      </c>
      <c r="H1932" s="25" t="n">
        <v>32132548</v>
      </c>
      <c r="I1932" t="inlineStr">
        <is>
          <t>entidad-dia</t>
        </is>
      </c>
    </row>
    <row r="1933">
      <c r="A1933" t="inlineStr">
        <is>
          <t>PRAGMA</t>
        </is>
      </c>
      <c r="B1933" t="inlineStr">
        <is>
          <t>M1</t>
        </is>
      </c>
      <c r="C1933" t="inlineStr">
        <is>
          <t>Cali</t>
        </is>
      </c>
      <c r="D1933" t="inlineStr">
        <is>
          <t>3692</t>
        </is>
      </c>
      <c r="E1933" t="inlineStr">
        <is>
          <t>pagado</t>
        </is>
      </c>
      <c r="F1933" s="23" t="n">
        <v>46276</v>
      </c>
      <c r="G1933" s="24">
        <f>F1933-DATE(2026,8,31)</f>
        <v>11</v>
      </c>
      <c r="H1933" s="25" t="n">
        <v>34044814</v>
      </c>
      <c r="I1933" t="inlineStr">
        <is>
          <t>entidad-dia</t>
        </is>
      </c>
    </row>
    <row r="1934">
      <c r="A1934" t="inlineStr">
        <is>
          <t>PRAGMA</t>
        </is>
      </c>
      <c r="B1934" t="inlineStr">
        <is>
          <t>M1</t>
        </is>
      </c>
      <c r="C1934" t="inlineStr">
        <is>
          <t>Cali</t>
        </is>
      </c>
      <c r="D1934" t="inlineStr">
        <is>
          <t>3692</t>
        </is>
      </c>
      <c r="E1934" t="inlineStr">
        <is>
          <t>pagado</t>
        </is>
      </c>
      <c r="F1934" s="23" t="n">
        <v>46277</v>
      </c>
      <c r="G1934" s="24">
        <f>F1934-DATE(2026,8,31)</f>
        <v>12</v>
      </c>
      <c r="H1934" s="25" t="n">
        <v>45245137</v>
      </c>
      <c r="I1934" t="inlineStr">
        <is>
          <t>entidad-dia</t>
        </is>
      </c>
    </row>
    <row r="1935">
      <c r="A1935" t="inlineStr">
        <is>
          <t>PRAGMA</t>
        </is>
      </c>
      <c r="B1935" t="inlineStr">
        <is>
          <t>M1</t>
        </is>
      </c>
      <c r="C1935" t="inlineStr">
        <is>
          <t>Cali</t>
        </is>
      </c>
      <c r="D1935" t="inlineStr">
        <is>
          <t>3692</t>
        </is>
      </c>
      <c r="E1935" t="inlineStr">
        <is>
          <t>pagado</t>
        </is>
      </c>
      <c r="F1935" s="23" t="n">
        <v>46278</v>
      </c>
      <c r="G1935" s="24">
        <f>F1935-DATE(2026,8,31)</f>
        <v>13</v>
      </c>
      <c r="H1935" s="25" t="n">
        <v>29108474</v>
      </c>
      <c r="I1935" t="inlineStr">
        <is>
          <t>entidad-dia</t>
        </is>
      </c>
    </row>
    <row r="1936">
      <c r="A1936" t="inlineStr">
        <is>
          <t>PRAGMA</t>
        </is>
      </c>
      <c r="B1936" t="inlineStr">
        <is>
          <t>M1</t>
        </is>
      </c>
      <c r="C1936" t="inlineStr">
        <is>
          <t>Cali</t>
        </is>
      </c>
      <c r="D1936" t="inlineStr">
        <is>
          <t>3692</t>
        </is>
      </c>
      <c r="E1936" t="inlineStr">
        <is>
          <t>pagado</t>
        </is>
      </c>
      <c r="F1936" s="23" t="n">
        <v>46279</v>
      </c>
      <c r="G1936" s="24">
        <f>F1936-DATE(2026,8,31)</f>
        <v>14</v>
      </c>
      <c r="H1936" s="25" t="n">
        <v>47752992</v>
      </c>
      <c r="I1936" t="inlineStr">
        <is>
          <t>entidad-dia</t>
        </is>
      </c>
    </row>
    <row r="1937">
      <c r="A1937" t="inlineStr">
        <is>
          <t>PRAGMA</t>
        </is>
      </c>
      <c r="B1937" t="inlineStr">
        <is>
          <t>M1</t>
        </is>
      </c>
      <c r="C1937" t="inlineStr">
        <is>
          <t>Cali</t>
        </is>
      </c>
      <c r="D1937" t="inlineStr">
        <is>
          <t>3692</t>
        </is>
      </c>
      <c r="E1937" t="inlineStr">
        <is>
          <t>pagado</t>
        </is>
      </c>
      <c r="F1937" s="23" t="n">
        <v>46280</v>
      </c>
      <c r="G1937" s="24">
        <f>F1937-DATE(2026,8,31)</f>
        <v>15</v>
      </c>
      <c r="H1937" s="25" t="n">
        <v>93118584</v>
      </c>
      <c r="I1937" t="inlineStr">
        <is>
          <t>entidad-dia</t>
        </is>
      </c>
    </row>
    <row r="1938">
      <c r="A1938" t="inlineStr">
        <is>
          <t>PRAGMA</t>
        </is>
      </c>
      <c r="B1938" t="inlineStr">
        <is>
          <t>M1</t>
        </is>
      </c>
      <c r="C1938" t="inlineStr">
        <is>
          <t>Cali</t>
        </is>
      </c>
      <c r="D1938" t="inlineStr">
        <is>
          <t>3695</t>
        </is>
      </c>
      <c r="E1938" t="inlineStr">
        <is>
          <t>pagado</t>
        </is>
      </c>
      <c r="F1938" s="23" t="n">
        <v>46266</v>
      </c>
      <c r="G1938" s="24">
        <f>F1938-DATE(2026,8,31)</f>
        <v>1</v>
      </c>
      <c r="H1938" s="25" t="n">
        <v>152688268</v>
      </c>
      <c r="I1938" t="inlineStr">
        <is>
          <t>entidad-dia</t>
        </is>
      </c>
    </row>
    <row r="1939">
      <c r="A1939" t="inlineStr">
        <is>
          <t>PRAGMA</t>
        </is>
      </c>
      <c r="B1939" t="inlineStr">
        <is>
          <t>M1</t>
        </is>
      </c>
      <c r="C1939" t="inlineStr">
        <is>
          <t>Cali</t>
        </is>
      </c>
      <c r="D1939" t="inlineStr">
        <is>
          <t>3695</t>
        </is>
      </c>
      <c r="E1939" t="inlineStr">
        <is>
          <t>pagado</t>
        </is>
      </c>
      <c r="F1939" s="23" t="n">
        <v>46267</v>
      </c>
      <c r="G1939" s="24">
        <f>F1939-DATE(2026,8,31)</f>
        <v>2</v>
      </c>
      <c r="H1939" s="25" t="n">
        <v>113471227</v>
      </c>
      <c r="I1939" t="inlineStr">
        <is>
          <t>entidad-dia</t>
        </is>
      </c>
    </row>
    <row r="1940">
      <c r="A1940" t="inlineStr">
        <is>
          <t>PRAGMA</t>
        </is>
      </c>
      <c r="B1940" t="inlineStr">
        <is>
          <t>M1</t>
        </is>
      </c>
      <c r="C1940" t="inlineStr">
        <is>
          <t>Cali</t>
        </is>
      </c>
      <c r="D1940" t="inlineStr">
        <is>
          <t>3695</t>
        </is>
      </c>
      <c r="E1940" t="inlineStr">
        <is>
          <t>pagado</t>
        </is>
      </c>
      <c r="F1940" s="23" t="n">
        <v>46268</v>
      </c>
      <c r="G1940" s="24">
        <f>F1940-DATE(2026,8,31)</f>
        <v>3</v>
      </c>
      <c r="H1940" s="25" t="n">
        <v>99579380</v>
      </c>
      <c r="I1940" t="inlineStr">
        <is>
          <t>entidad-dia</t>
        </is>
      </c>
    </row>
    <row r="1941">
      <c r="A1941" t="inlineStr">
        <is>
          <t>PRAGMA</t>
        </is>
      </c>
      <c r="B1941" t="inlineStr">
        <is>
          <t>M1</t>
        </is>
      </c>
      <c r="C1941" t="inlineStr">
        <is>
          <t>Cali</t>
        </is>
      </c>
      <c r="D1941" t="inlineStr">
        <is>
          <t>3695</t>
        </is>
      </c>
      <c r="E1941" t="inlineStr">
        <is>
          <t>pagado</t>
        </is>
      </c>
      <c r="F1941" s="23" t="n">
        <v>46269</v>
      </c>
      <c r="G1941" s="24">
        <f>F1941-DATE(2026,8,31)</f>
        <v>4</v>
      </c>
      <c r="H1941" s="25" t="n">
        <v>97700473</v>
      </c>
      <c r="I1941" t="inlineStr">
        <is>
          <t>entidad-dia</t>
        </is>
      </c>
    </row>
    <row r="1942">
      <c r="A1942" t="inlineStr">
        <is>
          <t>PRAGMA</t>
        </is>
      </c>
      <c r="B1942" t="inlineStr">
        <is>
          <t>M1</t>
        </is>
      </c>
      <c r="C1942" t="inlineStr">
        <is>
          <t>Cali</t>
        </is>
      </c>
      <c r="D1942" t="inlineStr">
        <is>
          <t>3695</t>
        </is>
      </c>
      <c r="E1942" t="inlineStr">
        <is>
          <t>pagado</t>
        </is>
      </c>
      <c r="F1942" s="23" t="n">
        <v>46270</v>
      </c>
      <c r="G1942" s="24">
        <f>F1942-DATE(2026,8,31)</f>
        <v>5</v>
      </c>
      <c r="H1942" s="25" t="n">
        <v>113199937</v>
      </c>
      <c r="I1942" t="inlineStr">
        <is>
          <t>entidad-dia</t>
        </is>
      </c>
    </row>
    <row r="1943">
      <c r="A1943" t="inlineStr">
        <is>
          <t>PRAGMA</t>
        </is>
      </c>
      <c r="B1943" t="inlineStr">
        <is>
          <t>M1</t>
        </is>
      </c>
      <c r="C1943" t="inlineStr">
        <is>
          <t>Cali</t>
        </is>
      </c>
      <c r="D1943" t="inlineStr">
        <is>
          <t>3695</t>
        </is>
      </c>
      <c r="E1943" t="inlineStr">
        <is>
          <t>pagado</t>
        </is>
      </c>
      <c r="F1943" s="23" t="n">
        <v>46271</v>
      </c>
      <c r="G1943" s="24">
        <f>F1943-DATE(2026,8,31)</f>
        <v>6</v>
      </c>
      <c r="H1943" s="25" t="n">
        <v>71336257</v>
      </c>
      <c r="I1943" t="inlineStr">
        <is>
          <t>entidad-dia</t>
        </is>
      </c>
    </row>
    <row r="1944">
      <c r="A1944" t="inlineStr">
        <is>
          <t>PRAGMA</t>
        </is>
      </c>
      <c r="B1944" t="inlineStr">
        <is>
          <t>M1</t>
        </is>
      </c>
      <c r="C1944" t="inlineStr">
        <is>
          <t>Cali</t>
        </is>
      </c>
      <c r="D1944" t="inlineStr">
        <is>
          <t>3695</t>
        </is>
      </c>
      <c r="E1944" t="inlineStr">
        <is>
          <t>pagado</t>
        </is>
      </c>
      <c r="F1944" s="23" t="n">
        <v>46272</v>
      </c>
      <c r="G1944" s="24">
        <f>F1944-DATE(2026,8,31)</f>
        <v>7</v>
      </c>
      <c r="H1944" s="25" t="n">
        <v>73969692</v>
      </c>
      <c r="I1944" t="inlineStr">
        <is>
          <t>entidad-dia</t>
        </is>
      </c>
    </row>
    <row r="1945">
      <c r="A1945" t="inlineStr">
        <is>
          <t>PRAGMA</t>
        </is>
      </c>
      <c r="B1945" t="inlineStr">
        <is>
          <t>M1</t>
        </is>
      </c>
      <c r="C1945" t="inlineStr">
        <is>
          <t>Cali</t>
        </is>
      </c>
      <c r="D1945" t="inlineStr">
        <is>
          <t>3695</t>
        </is>
      </c>
      <c r="E1945" t="inlineStr">
        <is>
          <t>pagado</t>
        </is>
      </c>
      <c r="F1945" s="23" t="n">
        <v>46273</v>
      </c>
      <c r="G1945" s="24">
        <f>F1945-DATE(2026,8,31)</f>
        <v>8</v>
      </c>
      <c r="H1945" s="25" t="n">
        <v>66983470</v>
      </c>
      <c r="I1945" t="inlineStr">
        <is>
          <t>entidad-dia</t>
        </is>
      </c>
    </row>
    <row r="1946">
      <c r="A1946" t="inlineStr">
        <is>
          <t>PRAGMA</t>
        </is>
      </c>
      <c r="B1946" t="inlineStr">
        <is>
          <t>M1</t>
        </is>
      </c>
      <c r="C1946" t="inlineStr">
        <is>
          <t>Cali</t>
        </is>
      </c>
      <c r="D1946" t="inlineStr">
        <is>
          <t>3695</t>
        </is>
      </c>
      <c r="E1946" t="inlineStr">
        <is>
          <t>pagado</t>
        </is>
      </c>
      <c r="F1946" s="23" t="n">
        <v>46274</v>
      </c>
      <c r="G1946" s="24">
        <f>F1946-DATE(2026,8,31)</f>
        <v>9</v>
      </c>
      <c r="H1946" s="25" t="n">
        <v>65671316</v>
      </c>
      <c r="I1946" t="inlineStr">
        <is>
          <t>entidad-dia</t>
        </is>
      </c>
    </row>
    <row r="1947">
      <c r="A1947" t="inlineStr">
        <is>
          <t>PRAGMA</t>
        </is>
      </c>
      <c r="B1947" t="inlineStr">
        <is>
          <t>M1</t>
        </is>
      </c>
      <c r="C1947" t="inlineStr">
        <is>
          <t>Cali</t>
        </is>
      </c>
      <c r="D1947" t="inlineStr">
        <is>
          <t>3695</t>
        </is>
      </c>
      <c r="E1947" t="inlineStr">
        <is>
          <t>pagado</t>
        </is>
      </c>
      <c r="F1947" s="23" t="n">
        <v>46275</v>
      </c>
      <c r="G1947" s="24">
        <f>F1947-DATE(2026,8,31)</f>
        <v>10</v>
      </c>
      <c r="H1947" s="25" t="n">
        <v>65338805</v>
      </c>
      <c r="I1947" t="inlineStr">
        <is>
          <t>entidad-dia</t>
        </is>
      </c>
    </row>
    <row r="1948">
      <c r="A1948" t="inlineStr">
        <is>
          <t>PRAGMA</t>
        </is>
      </c>
      <c r="B1948" t="inlineStr">
        <is>
          <t>M1</t>
        </is>
      </c>
      <c r="C1948" t="inlineStr">
        <is>
          <t>Cali</t>
        </is>
      </c>
      <c r="D1948" t="inlineStr">
        <is>
          <t>3695</t>
        </is>
      </c>
      <c r="E1948" t="inlineStr">
        <is>
          <t>pagado</t>
        </is>
      </c>
      <c r="F1948" s="23" t="n">
        <v>46276</v>
      </c>
      <c r="G1948" s="24">
        <f>F1948-DATE(2026,8,31)</f>
        <v>11</v>
      </c>
      <c r="H1948" s="25" t="n">
        <v>63642485</v>
      </c>
      <c r="I1948" t="inlineStr">
        <is>
          <t>entidad-dia</t>
        </is>
      </c>
    </row>
    <row r="1949">
      <c r="A1949" t="inlineStr">
        <is>
          <t>PRAGMA</t>
        </is>
      </c>
      <c r="B1949" t="inlineStr">
        <is>
          <t>M1</t>
        </is>
      </c>
      <c r="C1949" t="inlineStr">
        <is>
          <t>Cali</t>
        </is>
      </c>
      <c r="D1949" t="inlineStr">
        <is>
          <t>3695</t>
        </is>
      </c>
      <c r="E1949" t="inlineStr">
        <is>
          <t>pagado</t>
        </is>
      </c>
      <c r="F1949" s="23" t="n">
        <v>46277</v>
      </c>
      <c r="G1949" s="24">
        <f>F1949-DATE(2026,8,31)</f>
        <v>12</v>
      </c>
      <c r="H1949" s="25" t="n">
        <v>72182053</v>
      </c>
      <c r="I1949" t="inlineStr">
        <is>
          <t>entidad-dia</t>
        </is>
      </c>
    </row>
    <row r="1950">
      <c r="A1950" t="inlineStr">
        <is>
          <t>PRAGMA</t>
        </is>
      </c>
      <c r="B1950" t="inlineStr">
        <is>
          <t>M1</t>
        </is>
      </c>
      <c r="C1950" t="inlineStr">
        <is>
          <t>Cali</t>
        </is>
      </c>
      <c r="D1950" t="inlineStr">
        <is>
          <t>3695</t>
        </is>
      </c>
      <c r="E1950" t="inlineStr">
        <is>
          <t>pagado</t>
        </is>
      </c>
      <c r="F1950" s="23" t="n">
        <v>46278</v>
      </c>
      <c r="G1950" s="24">
        <f>F1950-DATE(2026,8,31)</f>
        <v>13</v>
      </c>
      <c r="H1950" s="25" t="n">
        <v>57270192</v>
      </c>
      <c r="I1950" t="inlineStr">
        <is>
          <t>entidad-dia</t>
        </is>
      </c>
    </row>
    <row r="1951">
      <c r="A1951" t="inlineStr">
        <is>
          <t>PRAGMA</t>
        </is>
      </c>
      <c r="B1951" t="inlineStr">
        <is>
          <t>M1</t>
        </is>
      </c>
      <c r="C1951" t="inlineStr">
        <is>
          <t>Cali</t>
        </is>
      </c>
      <c r="D1951" t="inlineStr">
        <is>
          <t>3695</t>
        </is>
      </c>
      <c r="E1951" t="inlineStr">
        <is>
          <t>pagado</t>
        </is>
      </c>
      <c r="F1951" s="23" t="n">
        <v>46279</v>
      </c>
      <c r="G1951" s="24">
        <f>F1951-DATE(2026,8,31)</f>
        <v>14</v>
      </c>
      <c r="H1951" s="25" t="n">
        <v>72847034</v>
      </c>
      <c r="I1951" t="inlineStr">
        <is>
          <t>entidad-dia</t>
        </is>
      </c>
    </row>
    <row r="1952">
      <c r="A1952" t="inlineStr">
        <is>
          <t>PRAGMA</t>
        </is>
      </c>
      <c r="B1952" t="inlineStr">
        <is>
          <t>M1</t>
        </is>
      </c>
      <c r="C1952" t="inlineStr">
        <is>
          <t>Cali</t>
        </is>
      </c>
      <c r="D1952" t="inlineStr">
        <is>
          <t>3695</t>
        </is>
      </c>
      <c r="E1952" t="inlineStr">
        <is>
          <t>pagado</t>
        </is>
      </c>
      <c r="F1952" s="23" t="n">
        <v>46280</v>
      </c>
      <c r="G1952" s="24">
        <f>F1952-DATE(2026,8,31)</f>
        <v>15</v>
      </c>
      <c r="H1952" s="25" t="n">
        <v>123096711</v>
      </c>
      <c r="I1952" t="inlineStr">
        <is>
          <t>entidad-dia</t>
        </is>
      </c>
    </row>
    <row r="1953">
      <c r="A1953" t="inlineStr">
        <is>
          <t>PRAGMA</t>
        </is>
      </c>
      <c r="B1953" t="inlineStr">
        <is>
          <t>M1</t>
        </is>
      </c>
      <c r="C1953" t="inlineStr">
        <is>
          <t>Cali</t>
        </is>
      </c>
      <c r="D1953" t="inlineStr">
        <is>
          <t>3724</t>
        </is>
      </c>
      <c r="E1953" t="inlineStr">
        <is>
          <t>pagado</t>
        </is>
      </c>
      <c r="F1953" s="23" t="n">
        <v>46266</v>
      </c>
      <c r="G1953" s="24">
        <f>F1953-DATE(2026,8,31)</f>
        <v>1</v>
      </c>
      <c r="H1953" s="25" t="n">
        <v>11329678</v>
      </c>
      <c r="I1953" t="inlineStr">
        <is>
          <t>entidad-dia</t>
        </is>
      </c>
    </row>
    <row r="1954">
      <c r="A1954" t="inlineStr">
        <is>
          <t>PRAGMA</t>
        </is>
      </c>
      <c r="B1954" t="inlineStr">
        <is>
          <t>M1</t>
        </is>
      </c>
      <c r="C1954" t="inlineStr">
        <is>
          <t>Cali</t>
        </is>
      </c>
      <c r="D1954" t="inlineStr">
        <is>
          <t>3724</t>
        </is>
      </c>
      <c r="E1954" t="inlineStr">
        <is>
          <t>pagado</t>
        </is>
      </c>
      <c r="F1954" s="23" t="n">
        <v>46267</v>
      </c>
      <c r="G1954" s="24">
        <f>F1954-DATE(2026,8,31)</f>
        <v>2</v>
      </c>
      <c r="H1954" s="25" t="n">
        <v>8396543</v>
      </c>
      <c r="I1954" t="inlineStr">
        <is>
          <t>entidad-dia</t>
        </is>
      </c>
    </row>
    <row r="1955">
      <c r="A1955" t="inlineStr">
        <is>
          <t>PRAGMA</t>
        </is>
      </c>
      <c r="B1955" t="inlineStr">
        <is>
          <t>M1</t>
        </is>
      </c>
      <c r="C1955" t="inlineStr">
        <is>
          <t>Cali</t>
        </is>
      </c>
      <c r="D1955" t="inlineStr">
        <is>
          <t>3724</t>
        </is>
      </c>
      <c r="E1955" t="inlineStr">
        <is>
          <t>pagado</t>
        </is>
      </c>
      <c r="F1955" s="23" t="n">
        <v>46268</v>
      </c>
      <c r="G1955" s="24">
        <f>F1955-DATE(2026,8,31)</f>
        <v>3</v>
      </c>
      <c r="H1955" s="25" t="n">
        <v>8589244</v>
      </c>
      <c r="I1955" t="inlineStr">
        <is>
          <t>entidad-dia</t>
        </is>
      </c>
    </row>
    <row r="1956">
      <c r="A1956" t="inlineStr">
        <is>
          <t>PRAGMA</t>
        </is>
      </c>
      <c r="B1956" t="inlineStr">
        <is>
          <t>M1</t>
        </is>
      </c>
      <c r="C1956" t="inlineStr">
        <is>
          <t>Cali</t>
        </is>
      </c>
      <c r="D1956" t="inlineStr">
        <is>
          <t>3724</t>
        </is>
      </c>
      <c r="E1956" t="inlineStr">
        <is>
          <t>pagado</t>
        </is>
      </c>
      <c r="F1956" s="23" t="n">
        <v>46269</v>
      </c>
      <c r="G1956" s="24">
        <f>F1956-DATE(2026,8,31)</f>
        <v>4</v>
      </c>
      <c r="H1956" s="25" t="n">
        <v>8255486</v>
      </c>
      <c r="I1956" t="inlineStr">
        <is>
          <t>entidad-dia</t>
        </is>
      </c>
    </row>
    <row r="1957">
      <c r="A1957" t="inlineStr">
        <is>
          <t>PRAGMA</t>
        </is>
      </c>
      <c r="B1957" t="inlineStr">
        <is>
          <t>M1</t>
        </is>
      </c>
      <c r="C1957" t="inlineStr">
        <is>
          <t>Cali</t>
        </is>
      </c>
      <c r="D1957" t="inlineStr">
        <is>
          <t>3724</t>
        </is>
      </c>
      <c r="E1957" t="inlineStr">
        <is>
          <t>pagado</t>
        </is>
      </c>
      <c r="F1957" s="23" t="n">
        <v>46270</v>
      </c>
      <c r="G1957" s="24">
        <f>F1957-DATE(2026,8,31)</f>
        <v>5</v>
      </c>
      <c r="H1957" s="25" t="n">
        <v>1534731</v>
      </c>
      <c r="I1957" t="inlineStr">
        <is>
          <t>entidad-dia</t>
        </is>
      </c>
    </row>
    <row r="1958">
      <c r="A1958" t="inlineStr">
        <is>
          <t>PRAGMA</t>
        </is>
      </c>
      <c r="B1958" t="inlineStr">
        <is>
          <t>M1</t>
        </is>
      </c>
      <c r="C1958" t="inlineStr">
        <is>
          <t>Cali</t>
        </is>
      </c>
      <c r="D1958" t="inlineStr">
        <is>
          <t>3724</t>
        </is>
      </c>
      <c r="E1958" t="inlineStr">
        <is>
          <t>pagado</t>
        </is>
      </c>
      <c r="F1958" s="23" t="n">
        <v>46271</v>
      </c>
      <c r="G1958" s="24">
        <f>F1958-DATE(2026,8,31)</f>
        <v>6</v>
      </c>
      <c r="H1958" s="25" t="n">
        <v>3411080</v>
      </c>
      <c r="I1958" t="inlineStr">
        <is>
          <t>entidad-dia</t>
        </is>
      </c>
    </row>
    <row r="1959">
      <c r="A1959" t="inlineStr">
        <is>
          <t>PRAGMA</t>
        </is>
      </c>
      <c r="B1959" t="inlineStr">
        <is>
          <t>M1</t>
        </is>
      </c>
      <c r="C1959" t="inlineStr">
        <is>
          <t>Cali</t>
        </is>
      </c>
      <c r="D1959" t="inlineStr">
        <is>
          <t>3724</t>
        </is>
      </c>
      <c r="E1959" t="inlineStr">
        <is>
          <t>pagado</t>
        </is>
      </c>
      <c r="F1959" s="23" t="n">
        <v>46272</v>
      </c>
      <c r="G1959" s="24">
        <f>F1959-DATE(2026,8,31)</f>
        <v>7</v>
      </c>
      <c r="H1959" s="25" t="n">
        <v>6843982</v>
      </c>
      <c r="I1959" t="inlineStr">
        <is>
          <t>entidad-dia</t>
        </is>
      </c>
    </row>
    <row r="1960">
      <c r="A1960" t="inlineStr">
        <is>
          <t>PRAGMA</t>
        </is>
      </c>
      <c r="B1960" t="inlineStr">
        <is>
          <t>M1</t>
        </is>
      </c>
      <c r="C1960" t="inlineStr">
        <is>
          <t>Cali</t>
        </is>
      </c>
      <c r="D1960" t="inlineStr">
        <is>
          <t>3724</t>
        </is>
      </c>
      <c r="E1960" t="inlineStr">
        <is>
          <t>pagado</t>
        </is>
      </c>
      <c r="F1960" s="23" t="n">
        <v>46273</v>
      </c>
      <c r="G1960" s="24">
        <f>F1960-DATE(2026,8,31)</f>
        <v>8</v>
      </c>
      <c r="H1960" s="25" t="n">
        <v>6910310</v>
      </c>
      <c r="I1960" t="inlineStr">
        <is>
          <t>entidad-dia</t>
        </is>
      </c>
    </row>
    <row r="1961">
      <c r="A1961" t="inlineStr">
        <is>
          <t>PRAGMA</t>
        </is>
      </c>
      <c r="B1961" t="inlineStr">
        <is>
          <t>M1</t>
        </is>
      </c>
      <c r="C1961" t="inlineStr">
        <is>
          <t>Cali</t>
        </is>
      </c>
      <c r="D1961" t="inlineStr">
        <is>
          <t>3724</t>
        </is>
      </c>
      <c r="E1961" t="inlineStr">
        <is>
          <t>pagado</t>
        </is>
      </c>
      <c r="F1961" s="23" t="n">
        <v>46274</v>
      </c>
      <c r="G1961" s="24">
        <f>F1961-DATE(2026,8,31)</f>
        <v>9</v>
      </c>
      <c r="H1961" s="25" t="n">
        <v>8182652</v>
      </c>
      <c r="I1961" t="inlineStr">
        <is>
          <t>entidad-dia</t>
        </is>
      </c>
    </row>
    <row r="1962">
      <c r="A1962" t="inlineStr">
        <is>
          <t>PRAGMA</t>
        </is>
      </c>
      <c r="B1962" t="inlineStr">
        <is>
          <t>M1</t>
        </is>
      </c>
      <c r="C1962" t="inlineStr">
        <is>
          <t>Cali</t>
        </is>
      </c>
      <c r="D1962" t="inlineStr">
        <is>
          <t>3724</t>
        </is>
      </c>
      <c r="E1962" t="inlineStr">
        <is>
          <t>pagado</t>
        </is>
      </c>
      <c r="F1962" s="23" t="n">
        <v>46275</v>
      </c>
      <c r="G1962" s="24">
        <f>F1962-DATE(2026,8,31)</f>
        <v>10</v>
      </c>
      <c r="H1962" s="25" t="n">
        <v>6288598</v>
      </c>
      <c r="I1962" t="inlineStr">
        <is>
          <t>entidad-dia</t>
        </is>
      </c>
    </row>
    <row r="1963">
      <c r="A1963" t="inlineStr">
        <is>
          <t>PRAGMA</t>
        </is>
      </c>
      <c r="B1963" t="inlineStr">
        <is>
          <t>M1</t>
        </is>
      </c>
      <c r="C1963" t="inlineStr">
        <is>
          <t>Cali</t>
        </is>
      </c>
      <c r="D1963" t="inlineStr">
        <is>
          <t>3724</t>
        </is>
      </c>
      <c r="E1963" t="inlineStr">
        <is>
          <t>pagado</t>
        </is>
      </c>
      <c r="F1963" s="23" t="n">
        <v>46276</v>
      </c>
      <c r="G1963" s="24">
        <f>F1963-DATE(2026,8,31)</f>
        <v>11</v>
      </c>
      <c r="H1963" s="25" t="n">
        <v>7695467</v>
      </c>
      <c r="I1963" t="inlineStr">
        <is>
          <t>entidad-dia</t>
        </is>
      </c>
    </row>
    <row r="1964">
      <c r="A1964" t="inlineStr">
        <is>
          <t>PRAGMA</t>
        </is>
      </c>
      <c r="B1964" t="inlineStr">
        <is>
          <t>M1</t>
        </is>
      </c>
      <c r="C1964" t="inlineStr">
        <is>
          <t>Cali</t>
        </is>
      </c>
      <c r="D1964" t="inlineStr">
        <is>
          <t>3724</t>
        </is>
      </c>
      <c r="E1964" t="inlineStr">
        <is>
          <t>pagado</t>
        </is>
      </c>
      <c r="F1964" s="23" t="n">
        <v>46277</v>
      </c>
      <c r="G1964" s="24">
        <f>F1964-DATE(2026,8,31)</f>
        <v>12</v>
      </c>
      <c r="H1964" s="25" t="n">
        <v>1413818</v>
      </c>
      <c r="I1964" t="inlineStr">
        <is>
          <t>entidad-dia</t>
        </is>
      </c>
    </row>
    <row r="1965">
      <c r="A1965" t="inlineStr">
        <is>
          <t>PRAGMA</t>
        </is>
      </c>
      <c r="B1965" t="inlineStr">
        <is>
          <t>M1</t>
        </is>
      </c>
      <c r="C1965" t="inlineStr">
        <is>
          <t>Cali</t>
        </is>
      </c>
      <c r="D1965" t="inlineStr">
        <is>
          <t>3724</t>
        </is>
      </c>
      <c r="E1965" t="inlineStr">
        <is>
          <t>pagado</t>
        </is>
      </c>
      <c r="F1965" s="23" t="n">
        <v>46278</v>
      </c>
      <c r="G1965" s="24">
        <f>F1965-DATE(2026,8,31)</f>
        <v>13</v>
      </c>
      <c r="H1965" s="25" t="n">
        <v>2788306</v>
      </c>
      <c r="I1965" t="inlineStr">
        <is>
          <t>entidad-dia</t>
        </is>
      </c>
    </row>
    <row r="1966">
      <c r="A1966" t="inlineStr">
        <is>
          <t>PRAGMA</t>
        </is>
      </c>
      <c r="B1966" t="inlineStr">
        <is>
          <t>M1</t>
        </is>
      </c>
      <c r="C1966" t="inlineStr">
        <is>
          <t>Cali</t>
        </is>
      </c>
      <c r="D1966" t="inlineStr">
        <is>
          <t>3724</t>
        </is>
      </c>
      <c r="E1966" t="inlineStr">
        <is>
          <t>pagado</t>
        </is>
      </c>
      <c r="F1966" s="23" t="n">
        <v>46279</v>
      </c>
      <c r="G1966" s="24">
        <f>F1966-DATE(2026,8,31)</f>
        <v>14</v>
      </c>
      <c r="H1966" s="25" t="n">
        <v>7127777</v>
      </c>
      <c r="I1966" t="inlineStr">
        <is>
          <t>entidad-dia</t>
        </is>
      </c>
    </row>
    <row r="1967">
      <c r="A1967" t="inlineStr">
        <is>
          <t>PRAGMA</t>
        </is>
      </c>
      <c r="B1967" t="inlineStr">
        <is>
          <t>M1</t>
        </is>
      </c>
      <c r="C1967" t="inlineStr">
        <is>
          <t>Cali</t>
        </is>
      </c>
      <c r="D1967" t="inlineStr">
        <is>
          <t>3724</t>
        </is>
      </c>
      <c r="E1967" t="inlineStr">
        <is>
          <t>pagado</t>
        </is>
      </c>
      <c r="F1967" s="23" t="n">
        <v>46280</v>
      </c>
      <c r="G1967" s="24">
        <f>F1967-DATE(2026,8,31)</f>
        <v>15</v>
      </c>
      <c r="H1967" s="25" t="n">
        <v>13323644</v>
      </c>
      <c r="I1967" t="inlineStr">
        <is>
          <t>entidad-dia</t>
        </is>
      </c>
    </row>
    <row r="1968">
      <c r="A1968" t="inlineStr">
        <is>
          <t>PRAGMA</t>
        </is>
      </c>
      <c r="B1968" t="inlineStr">
        <is>
          <t>M1</t>
        </is>
      </c>
      <c r="C1968" t="inlineStr">
        <is>
          <t>Cali</t>
        </is>
      </c>
      <c r="D1968" t="inlineStr">
        <is>
          <t>3781</t>
        </is>
      </c>
      <c r="E1968" t="inlineStr">
        <is>
          <t>pagado</t>
        </is>
      </c>
      <c r="F1968" s="23" t="n">
        <v>46266</v>
      </c>
      <c r="G1968" s="24">
        <f>F1968-DATE(2026,8,31)</f>
        <v>1</v>
      </c>
      <c r="H1968" s="25" t="n">
        <v>192076088</v>
      </c>
      <c r="I1968" t="inlineStr">
        <is>
          <t>entidad-dia</t>
        </is>
      </c>
    </row>
    <row r="1969">
      <c r="A1969" t="inlineStr">
        <is>
          <t>PRAGMA</t>
        </is>
      </c>
      <c r="B1969" t="inlineStr">
        <is>
          <t>M1</t>
        </is>
      </c>
      <c r="C1969" t="inlineStr">
        <is>
          <t>Cali</t>
        </is>
      </c>
      <c r="D1969" t="inlineStr">
        <is>
          <t>3781</t>
        </is>
      </c>
      <c r="E1969" t="inlineStr">
        <is>
          <t>pagado</t>
        </is>
      </c>
      <c r="F1969" s="23" t="n">
        <v>46267</v>
      </c>
      <c r="G1969" s="24">
        <f>F1969-DATE(2026,8,31)</f>
        <v>2</v>
      </c>
      <c r="H1969" s="25" t="n">
        <v>151164708</v>
      </c>
      <c r="I1969" t="inlineStr">
        <is>
          <t>entidad-dia</t>
        </is>
      </c>
    </row>
    <row r="1970">
      <c r="A1970" t="inlineStr">
        <is>
          <t>PRAGMA</t>
        </is>
      </c>
      <c r="B1970" t="inlineStr">
        <is>
          <t>M1</t>
        </is>
      </c>
      <c r="C1970" t="inlineStr">
        <is>
          <t>Cali</t>
        </is>
      </c>
      <c r="D1970" t="inlineStr">
        <is>
          <t>3781</t>
        </is>
      </c>
      <c r="E1970" t="inlineStr">
        <is>
          <t>pagado</t>
        </is>
      </c>
      <c r="F1970" s="23" t="n">
        <v>46268</v>
      </c>
      <c r="G1970" s="24">
        <f>F1970-DATE(2026,8,31)</f>
        <v>3</v>
      </c>
      <c r="H1970" s="25" t="n">
        <v>134965020</v>
      </c>
      <c r="I1970" t="inlineStr">
        <is>
          <t>entidad-dia</t>
        </is>
      </c>
    </row>
    <row r="1971">
      <c r="A1971" t="inlineStr">
        <is>
          <t>PRAGMA</t>
        </is>
      </c>
      <c r="B1971" t="inlineStr">
        <is>
          <t>M1</t>
        </is>
      </c>
      <c r="C1971" t="inlineStr">
        <is>
          <t>Cali</t>
        </is>
      </c>
      <c r="D1971" t="inlineStr">
        <is>
          <t>3781</t>
        </is>
      </c>
      <c r="E1971" t="inlineStr">
        <is>
          <t>pagado</t>
        </is>
      </c>
      <c r="F1971" s="23" t="n">
        <v>46269</v>
      </c>
      <c r="G1971" s="24">
        <f>F1971-DATE(2026,8,31)</f>
        <v>4</v>
      </c>
      <c r="H1971" s="25" t="n">
        <v>133714451</v>
      </c>
      <c r="I1971" t="inlineStr">
        <is>
          <t>entidad-dia</t>
        </is>
      </c>
    </row>
    <row r="1972">
      <c r="A1972" t="inlineStr">
        <is>
          <t>PRAGMA</t>
        </is>
      </c>
      <c r="B1972" t="inlineStr">
        <is>
          <t>M1</t>
        </is>
      </c>
      <c r="C1972" t="inlineStr">
        <is>
          <t>Cali</t>
        </is>
      </c>
      <c r="D1972" t="inlineStr">
        <is>
          <t>3781</t>
        </is>
      </c>
      <c r="E1972" t="inlineStr">
        <is>
          <t>pagado</t>
        </is>
      </c>
      <c r="F1972" s="23" t="n">
        <v>46270</v>
      </c>
      <c r="G1972" s="24">
        <f>F1972-DATE(2026,8,31)</f>
        <v>5</v>
      </c>
      <c r="H1972" s="25" t="n">
        <v>137819053</v>
      </c>
      <c r="I1972" t="inlineStr">
        <is>
          <t>entidad-dia</t>
        </is>
      </c>
    </row>
    <row r="1973">
      <c r="A1973" t="inlineStr">
        <is>
          <t>PRAGMA</t>
        </is>
      </c>
      <c r="B1973" t="inlineStr">
        <is>
          <t>M1</t>
        </is>
      </c>
      <c r="C1973" t="inlineStr">
        <is>
          <t>Cali</t>
        </is>
      </c>
      <c r="D1973" t="inlineStr">
        <is>
          <t>3781</t>
        </is>
      </c>
      <c r="E1973" t="inlineStr">
        <is>
          <t>pagado</t>
        </is>
      </c>
      <c r="F1973" s="23" t="n">
        <v>46271</v>
      </c>
      <c r="G1973" s="24">
        <f>F1973-DATE(2026,8,31)</f>
        <v>6</v>
      </c>
      <c r="H1973" s="25" t="n">
        <v>110217258</v>
      </c>
      <c r="I1973" t="inlineStr">
        <is>
          <t>entidad-dia</t>
        </is>
      </c>
    </row>
    <row r="1974">
      <c r="A1974" t="inlineStr">
        <is>
          <t>PRAGMA</t>
        </is>
      </c>
      <c r="B1974" t="inlineStr">
        <is>
          <t>M1</t>
        </is>
      </c>
      <c r="C1974" t="inlineStr">
        <is>
          <t>Cali</t>
        </is>
      </c>
      <c r="D1974" t="inlineStr">
        <is>
          <t>3781</t>
        </is>
      </c>
      <c r="E1974" t="inlineStr">
        <is>
          <t>pagado</t>
        </is>
      </c>
      <c r="F1974" s="23" t="n">
        <v>46272</v>
      </c>
      <c r="G1974" s="24">
        <f>F1974-DATE(2026,8,31)</f>
        <v>7</v>
      </c>
      <c r="H1974" s="25" t="n">
        <v>106283688</v>
      </c>
      <c r="I1974" t="inlineStr">
        <is>
          <t>entidad-dia</t>
        </is>
      </c>
    </row>
    <row r="1975">
      <c r="A1975" t="inlineStr">
        <is>
          <t>PRAGMA</t>
        </is>
      </c>
      <c r="B1975" t="inlineStr">
        <is>
          <t>M1</t>
        </is>
      </c>
      <c r="C1975" t="inlineStr">
        <is>
          <t>Cali</t>
        </is>
      </c>
      <c r="D1975" t="inlineStr">
        <is>
          <t>3781</t>
        </is>
      </c>
      <c r="E1975" t="inlineStr">
        <is>
          <t>pagado</t>
        </is>
      </c>
      <c r="F1975" s="23" t="n">
        <v>46273</v>
      </c>
      <c r="G1975" s="24">
        <f>F1975-DATE(2026,8,31)</f>
        <v>8</v>
      </c>
      <c r="H1975" s="25" t="n">
        <v>104100846</v>
      </c>
      <c r="I1975" t="inlineStr">
        <is>
          <t>entidad-dia</t>
        </is>
      </c>
    </row>
    <row r="1976">
      <c r="A1976" t="inlineStr">
        <is>
          <t>PRAGMA</t>
        </is>
      </c>
      <c r="B1976" t="inlineStr">
        <is>
          <t>M1</t>
        </is>
      </c>
      <c r="C1976" t="inlineStr">
        <is>
          <t>Cali</t>
        </is>
      </c>
      <c r="D1976" t="inlineStr">
        <is>
          <t>3781</t>
        </is>
      </c>
      <c r="E1976" t="inlineStr">
        <is>
          <t>pagado</t>
        </is>
      </c>
      <c r="F1976" s="23" t="n">
        <v>46274</v>
      </c>
      <c r="G1976" s="24">
        <f>F1976-DATE(2026,8,31)</f>
        <v>9</v>
      </c>
      <c r="H1976" s="25" t="n">
        <v>101671209</v>
      </c>
      <c r="I1976" t="inlineStr">
        <is>
          <t>entidad-dia</t>
        </is>
      </c>
    </row>
    <row r="1977">
      <c r="A1977" t="inlineStr">
        <is>
          <t>PRAGMA</t>
        </is>
      </c>
      <c r="B1977" t="inlineStr">
        <is>
          <t>M1</t>
        </is>
      </c>
      <c r="C1977" t="inlineStr">
        <is>
          <t>Cali</t>
        </is>
      </c>
      <c r="D1977" t="inlineStr">
        <is>
          <t>3781</t>
        </is>
      </c>
      <c r="E1977" t="inlineStr">
        <is>
          <t>pagado</t>
        </is>
      </c>
      <c r="F1977" s="23" t="n">
        <v>46275</v>
      </c>
      <c r="G1977" s="24">
        <f>F1977-DATE(2026,8,31)</f>
        <v>10</v>
      </c>
      <c r="H1977" s="25" t="n">
        <v>95304736</v>
      </c>
      <c r="I1977" t="inlineStr">
        <is>
          <t>entidad-dia</t>
        </is>
      </c>
    </row>
    <row r="1978">
      <c r="A1978" t="inlineStr">
        <is>
          <t>PRAGMA</t>
        </is>
      </c>
      <c r="B1978" t="inlineStr">
        <is>
          <t>M1</t>
        </is>
      </c>
      <c r="C1978" t="inlineStr">
        <is>
          <t>Cali</t>
        </is>
      </c>
      <c r="D1978" t="inlineStr">
        <is>
          <t>3781</t>
        </is>
      </c>
      <c r="E1978" t="inlineStr">
        <is>
          <t>pagado</t>
        </is>
      </c>
      <c r="F1978" s="23" t="n">
        <v>46276</v>
      </c>
      <c r="G1978" s="24">
        <f>F1978-DATE(2026,8,31)</f>
        <v>11</v>
      </c>
      <c r="H1978" s="25" t="n">
        <v>91648199</v>
      </c>
      <c r="I1978" t="inlineStr">
        <is>
          <t>entidad-dia</t>
        </is>
      </c>
    </row>
    <row r="1979">
      <c r="A1979" t="inlineStr">
        <is>
          <t>PRAGMA</t>
        </is>
      </c>
      <c r="B1979" t="inlineStr">
        <is>
          <t>M1</t>
        </is>
      </c>
      <c r="C1979" t="inlineStr">
        <is>
          <t>Cali</t>
        </is>
      </c>
      <c r="D1979" t="inlineStr">
        <is>
          <t>3781</t>
        </is>
      </c>
      <c r="E1979" t="inlineStr">
        <is>
          <t>pagado</t>
        </is>
      </c>
      <c r="F1979" s="23" t="n">
        <v>46277</v>
      </c>
      <c r="G1979" s="24">
        <f>F1979-DATE(2026,8,31)</f>
        <v>12</v>
      </c>
      <c r="H1979" s="25" t="n">
        <v>113279769</v>
      </c>
      <c r="I1979" t="inlineStr">
        <is>
          <t>entidad-dia</t>
        </is>
      </c>
    </row>
    <row r="1980">
      <c r="A1980" t="inlineStr">
        <is>
          <t>PRAGMA</t>
        </is>
      </c>
      <c r="B1980" t="inlineStr">
        <is>
          <t>M1</t>
        </is>
      </c>
      <c r="C1980" t="inlineStr">
        <is>
          <t>Cali</t>
        </is>
      </c>
      <c r="D1980" t="inlineStr">
        <is>
          <t>3781</t>
        </is>
      </c>
      <c r="E1980" t="inlineStr">
        <is>
          <t>pagado</t>
        </is>
      </c>
      <c r="F1980" s="23" t="n">
        <v>46278</v>
      </c>
      <c r="G1980" s="24">
        <f>F1980-DATE(2026,8,31)</f>
        <v>13</v>
      </c>
      <c r="H1980" s="25" t="n">
        <v>83394647</v>
      </c>
      <c r="I1980" t="inlineStr">
        <is>
          <t>entidad-dia</t>
        </is>
      </c>
    </row>
    <row r="1981">
      <c r="A1981" t="inlineStr">
        <is>
          <t>PRAGMA</t>
        </is>
      </c>
      <c r="B1981" t="inlineStr">
        <is>
          <t>M1</t>
        </is>
      </c>
      <c r="C1981" t="inlineStr">
        <is>
          <t>Cali</t>
        </is>
      </c>
      <c r="D1981" t="inlineStr">
        <is>
          <t>3781</t>
        </is>
      </c>
      <c r="E1981" t="inlineStr">
        <is>
          <t>pagado</t>
        </is>
      </c>
      <c r="F1981" s="23" t="n">
        <v>46279</v>
      </c>
      <c r="G1981" s="24">
        <f>F1981-DATE(2026,8,31)</f>
        <v>14</v>
      </c>
      <c r="H1981" s="25" t="n">
        <v>98787331</v>
      </c>
      <c r="I1981" t="inlineStr">
        <is>
          <t>entidad-dia</t>
        </is>
      </c>
    </row>
    <row r="1982">
      <c r="A1982" t="inlineStr">
        <is>
          <t>PRAGMA</t>
        </is>
      </c>
      <c r="B1982" t="inlineStr">
        <is>
          <t>M1</t>
        </is>
      </c>
      <c r="C1982" t="inlineStr">
        <is>
          <t>Cali</t>
        </is>
      </c>
      <c r="D1982" t="inlineStr">
        <is>
          <t>3781</t>
        </is>
      </c>
      <c r="E1982" t="inlineStr">
        <is>
          <t>pagado</t>
        </is>
      </c>
      <c r="F1982" s="23" t="n">
        <v>46280</v>
      </c>
      <c r="G1982" s="24">
        <f>F1982-DATE(2026,8,31)</f>
        <v>15</v>
      </c>
      <c r="H1982" s="25" t="n">
        <v>150482607</v>
      </c>
      <c r="I1982" t="inlineStr">
        <is>
          <t>entidad-dia</t>
        </is>
      </c>
    </row>
    <row r="1983">
      <c r="A1983" t="inlineStr">
        <is>
          <t>PRAGMA</t>
        </is>
      </c>
      <c r="B1983" t="inlineStr">
        <is>
          <t>M1</t>
        </is>
      </c>
      <c r="C1983" t="inlineStr">
        <is>
          <t>Cali</t>
        </is>
      </c>
      <c r="D1983" t="inlineStr">
        <is>
          <t>3815</t>
        </is>
      </c>
      <c r="E1983" t="inlineStr">
        <is>
          <t>pagado</t>
        </is>
      </c>
      <c r="F1983" s="23" t="n">
        <v>46266</v>
      </c>
      <c r="G1983" s="24">
        <f>F1983-DATE(2026,8,31)</f>
        <v>1</v>
      </c>
      <c r="H1983" s="25" t="n">
        <v>50380735</v>
      </c>
      <c r="I1983" t="inlineStr">
        <is>
          <t>entidad-dia</t>
        </is>
      </c>
    </row>
    <row r="1984">
      <c r="A1984" t="inlineStr">
        <is>
          <t>PRAGMA</t>
        </is>
      </c>
      <c r="B1984" t="inlineStr">
        <is>
          <t>M1</t>
        </is>
      </c>
      <c r="C1984" t="inlineStr">
        <is>
          <t>Cali</t>
        </is>
      </c>
      <c r="D1984" t="inlineStr">
        <is>
          <t>3815</t>
        </is>
      </c>
      <c r="E1984" t="inlineStr">
        <is>
          <t>pagado</t>
        </is>
      </c>
      <c r="F1984" s="23" t="n">
        <v>46267</v>
      </c>
      <c r="G1984" s="24">
        <f>F1984-DATE(2026,8,31)</f>
        <v>2</v>
      </c>
      <c r="H1984" s="25" t="n">
        <v>39694033</v>
      </c>
      <c r="I1984" t="inlineStr">
        <is>
          <t>entidad-dia</t>
        </is>
      </c>
    </row>
    <row r="1985">
      <c r="A1985" t="inlineStr">
        <is>
          <t>PRAGMA</t>
        </is>
      </c>
      <c r="B1985" t="inlineStr">
        <is>
          <t>M1</t>
        </is>
      </c>
      <c r="C1985" t="inlineStr">
        <is>
          <t>Cali</t>
        </is>
      </c>
      <c r="D1985" t="inlineStr">
        <is>
          <t>3815</t>
        </is>
      </c>
      <c r="E1985" t="inlineStr">
        <is>
          <t>pagado</t>
        </is>
      </c>
      <c r="F1985" s="23" t="n">
        <v>46268</v>
      </c>
      <c r="G1985" s="24">
        <f>F1985-DATE(2026,8,31)</f>
        <v>3</v>
      </c>
      <c r="H1985" s="25" t="n">
        <v>32391129</v>
      </c>
      <c r="I1985" t="inlineStr">
        <is>
          <t>entidad-dia</t>
        </is>
      </c>
    </row>
    <row r="1986">
      <c r="A1986" t="inlineStr">
        <is>
          <t>PRAGMA</t>
        </is>
      </c>
      <c r="B1986" t="inlineStr">
        <is>
          <t>M1</t>
        </is>
      </c>
      <c r="C1986" t="inlineStr">
        <is>
          <t>Cali</t>
        </is>
      </c>
      <c r="D1986" t="inlineStr">
        <is>
          <t>3815</t>
        </is>
      </c>
      <c r="E1986" t="inlineStr">
        <is>
          <t>pagado</t>
        </is>
      </c>
      <c r="F1986" s="23" t="n">
        <v>46269</v>
      </c>
      <c r="G1986" s="24">
        <f>F1986-DATE(2026,8,31)</f>
        <v>4</v>
      </c>
      <c r="H1986" s="25" t="n">
        <v>32440638</v>
      </c>
      <c r="I1986" t="inlineStr">
        <is>
          <t>entidad-dia</t>
        </is>
      </c>
    </row>
    <row r="1987">
      <c r="A1987" t="inlineStr">
        <is>
          <t>PRAGMA</t>
        </is>
      </c>
      <c r="B1987" t="inlineStr">
        <is>
          <t>M1</t>
        </is>
      </c>
      <c r="C1987" t="inlineStr">
        <is>
          <t>Cali</t>
        </is>
      </c>
      <c r="D1987" t="inlineStr">
        <is>
          <t>3815</t>
        </is>
      </c>
      <c r="E1987" t="inlineStr">
        <is>
          <t>pagado</t>
        </is>
      </c>
      <c r="F1987" s="23" t="n">
        <v>46270</v>
      </c>
      <c r="G1987" s="24">
        <f>F1987-DATE(2026,8,31)</f>
        <v>5</v>
      </c>
      <c r="H1987" s="25" t="n">
        <v>27744113</v>
      </c>
      <c r="I1987" t="inlineStr">
        <is>
          <t>entidad-dia</t>
        </is>
      </c>
    </row>
    <row r="1988">
      <c r="A1988" t="inlineStr">
        <is>
          <t>PRAGMA</t>
        </is>
      </c>
      <c r="B1988" t="inlineStr">
        <is>
          <t>M1</t>
        </is>
      </c>
      <c r="C1988" t="inlineStr">
        <is>
          <t>Cali</t>
        </is>
      </c>
      <c r="D1988" t="inlineStr">
        <is>
          <t>3815</t>
        </is>
      </c>
      <c r="E1988" t="inlineStr">
        <is>
          <t>pagado</t>
        </is>
      </c>
      <c r="F1988" s="23" t="n">
        <v>46271</v>
      </c>
      <c r="G1988" s="24">
        <f>F1988-DATE(2026,8,31)</f>
        <v>6</v>
      </c>
      <c r="H1988" s="25" t="n">
        <v>17825626</v>
      </c>
      <c r="I1988" t="inlineStr">
        <is>
          <t>entidad-dia</t>
        </is>
      </c>
    </row>
    <row r="1989">
      <c r="A1989" t="inlineStr">
        <is>
          <t>PRAGMA</t>
        </is>
      </c>
      <c r="B1989" t="inlineStr">
        <is>
          <t>M1</t>
        </is>
      </c>
      <c r="C1989" t="inlineStr">
        <is>
          <t>Cali</t>
        </is>
      </c>
      <c r="D1989" t="inlineStr">
        <is>
          <t>3815</t>
        </is>
      </c>
      <c r="E1989" t="inlineStr">
        <is>
          <t>pagado</t>
        </is>
      </c>
      <c r="F1989" s="23" t="n">
        <v>46272</v>
      </c>
      <c r="G1989" s="24">
        <f>F1989-DATE(2026,8,31)</f>
        <v>7</v>
      </c>
      <c r="H1989" s="25" t="n">
        <v>25084522</v>
      </c>
      <c r="I1989" t="inlineStr">
        <is>
          <t>entidad-dia</t>
        </is>
      </c>
    </row>
    <row r="1990">
      <c r="A1990" t="inlineStr">
        <is>
          <t>PRAGMA</t>
        </is>
      </c>
      <c r="B1990" t="inlineStr">
        <is>
          <t>M1</t>
        </is>
      </c>
      <c r="C1990" t="inlineStr">
        <is>
          <t>Cali</t>
        </is>
      </c>
      <c r="D1990" t="inlineStr">
        <is>
          <t>3815</t>
        </is>
      </c>
      <c r="E1990" t="inlineStr">
        <is>
          <t>pagado</t>
        </is>
      </c>
      <c r="F1990" s="23" t="n">
        <v>46273</v>
      </c>
      <c r="G1990" s="24">
        <f>F1990-DATE(2026,8,31)</f>
        <v>8</v>
      </c>
      <c r="H1990" s="25" t="n">
        <v>26932406</v>
      </c>
      <c r="I1990" t="inlineStr">
        <is>
          <t>entidad-dia</t>
        </is>
      </c>
    </row>
    <row r="1991">
      <c r="A1991" t="inlineStr">
        <is>
          <t>PRAGMA</t>
        </is>
      </c>
      <c r="B1991" t="inlineStr">
        <is>
          <t>M1</t>
        </is>
      </c>
      <c r="C1991" t="inlineStr">
        <is>
          <t>Cali</t>
        </is>
      </c>
      <c r="D1991" t="inlineStr">
        <is>
          <t>3815</t>
        </is>
      </c>
      <c r="E1991" t="inlineStr">
        <is>
          <t>pagado</t>
        </is>
      </c>
      <c r="F1991" s="23" t="n">
        <v>46274</v>
      </c>
      <c r="G1991" s="24">
        <f>F1991-DATE(2026,8,31)</f>
        <v>9</v>
      </c>
      <c r="H1991" s="25" t="n">
        <v>28919878</v>
      </c>
      <c r="I1991" t="inlineStr">
        <is>
          <t>entidad-dia</t>
        </is>
      </c>
    </row>
    <row r="1992">
      <c r="A1992" t="inlineStr">
        <is>
          <t>PRAGMA</t>
        </is>
      </c>
      <c r="B1992" t="inlineStr">
        <is>
          <t>M1</t>
        </is>
      </c>
      <c r="C1992" t="inlineStr">
        <is>
          <t>Cali</t>
        </is>
      </c>
      <c r="D1992" t="inlineStr">
        <is>
          <t>3815</t>
        </is>
      </c>
      <c r="E1992" t="inlineStr">
        <is>
          <t>pagado</t>
        </is>
      </c>
      <c r="F1992" s="23" t="n">
        <v>46275</v>
      </c>
      <c r="G1992" s="24">
        <f>F1992-DATE(2026,8,31)</f>
        <v>10</v>
      </c>
      <c r="H1992" s="25" t="n">
        <v>24958834</v>
      </c>
      <c r="I1992" t="inlineStr">
        <is>
          <t>entidad-dia</t>
        </is>
      </c>
    </row>
    <row r="1993">
      <c r="A1993" t="inlineStr">
        <is>
          <t>PRAGMA</t>
        </is>
      </c>
      <c r="B1993" t="inlineStr">
        <is>
          <t>M1</t>
        </is>
      </c>
      <c r="C1993" t="inlineStr">
        <is>
          <t>Cali</t>
        </is>
      </c>
      <c r="D1993" t="inlineStr">
        <is>
          <t>3815</t>
        </is>
      </c>
      <c r="E1993" t="inlineStr">
        <is>
          <t>pagado</t>
        </is>
      </c>
      <c r="F1993" s="23" t="n">
        <v>46276</v>
      </c>
      <c r="G1993" s="24">
        <f>F1993-DATE(2026,8,31)</f>
        <v>11</v>
      </c>
      <c r="H1993" s="25" t="n">
        <v>24894966</v>
      </c>
      <c r="I1993" t="inlineStr">
        <is>
          <t>entidad-dia</t>
        </is>
      </c>
    </row>
    <row r="1994">
      <c r="A1994" t="inlineStr">
        <is>
          <t>PRAGMA</t>
        </is>
      </c>
      <c r="B1994" t="inlineStr">
        <is>
          <t>M1</t>
        </is>
      </c>
      <c r="C1994" t="inlineStr">
        <is>
          <t>Cali</t>
        </is>
      </c>
      <c r="D1994" t="inlineStr">
        <is>
          <t>3815</t>
        </is>
      </c>
      <c r="E1994" t="inlineStr">
        <is>
          <t>pagado</t>
        </is>
      </c>
      <c r="F1994" s="23" t="n">
        <v>46277</v>
      </c>
      <c r="G1994" s="24">
        <f>F1994-DATE(2026,8,31)</f>
        <v>12</v>
      </c>
      <c r="H1994" s="25" t="n">
        <v>21461753</v>
      </c>
      <c r="I1994" t="inlineStr">
        <is>
          <t>entidad-dia</t>
        </is>
      </c>
    </row>
    <row r="1995">
      <c r="A1995" t="inlineStr">
        <is>
          <t>PRAGMA</t>
        </is>
      </c>
      <c r="B1995" t="inlineStr">
        <is>
          <t>M1</t>
        </is>
      </c>
      <c r="C1995" t="inlineStr">
        <is>
          <t>Cali</t>
        </is>
      </c>
      <c r="D1995" t="inlineStr">
        <is>
          <t>3815</t>
        </is>
      </c>
      <c r="E1995" t="inlineStr">
        <is>
          <t>pagado</t>
        </is>
      </c>
      <c r="F1995" s="23" t="n">
        <v>46278</v>
      </c>
      <c r="G1995" s="24">
        <f>F1995-DATE(2026,8,31)</f>
        <v>13</v>
      </c>
      <c r="H1995" s="25" t="n">
        <v>14161043</v>
      </c>
      <c r="I1995" t="inlineStr">
        <is>
          <t>entidad-dia</t>
        </is>
      </c>
    </row>
    <row r="1996">
      <c r="A1996" t="inlineStr">
        <is>
          <t>PRAGMA</t>
        </is>
      </c>
      <c r="B1996" t="inlineStr">
        <is>
          <t>M1</t>
        </is>
      </c>
      <c r="C1996" t="inlineStr">
        <is>
          <t>Cali</t>
        </is>
      </c>
      <c r="D1996" t="inlineStr">
        <is>
          <t>3815</t>
        </is>
      </c>
      <c r="E1996" t="inlineStr">
        <is>
          <t>pagado</t>
        </is>
      </c>
      <c r="F1996" s="23" t="n">
        <v>46279</v>
      </c>
      <c r="G1996" s="24">
        <f>F1996-DATE(2026,8,31)</f>
        <v>14</v>
      </c>
      <c r="H1996" s="25" t="n">
        <v>25354228</v>
      </c>
      <c r="I1996" t="inlineStr">
        <is>
          <t>entidad-dia</t>
        </is>
      </c>
    </row>
    <row r="1997">
      <c r="A1997" t="inlineStr">
        <is>
          <t>PRAGMA</t>
        </is>
      </c>
      <c r="B1997" t="inlineStr">
        <is>
          <t>M1</t>
        </is>
      </c>
      <c r="C1997" t="inlineStr">
        <is>
          <t>Cali</t>
        </is>
      </c>
      <c r="D1997" t="inlineStr">
        <is>
          <t>3815</t>
        </is>
      </c>
      <c r="E1997" t="inlineStr">
        <is>
          <t>pagado</t>
        </is>
      </c>
      <c r="F1997" s="23" t="n">
        <v>46280</v>
      </c>
      <c r="G1997" s="24">
        <f>F1997-DATE(2026,8,31)</f>
        <v>15</v>
      </c>
      <c r="H1997" s="25" t="n">
        <v>43109112</v>
      </c>
      <c r="I1997" t="inlineStr">
        <is>
          <t>entidad-dia</t>
        </is>
      </c>
    </row>
    <row r="1998">
      <c r="A1998" t="inlineStr">
        <is>
          <t>PRAGMA</t>
        </is>
      </c>
      <c r="B1998" t="inlineStr">
        <is>
          <t>M1</t>
        </is>
      </c>
      <c r="C1998" t="inlineStr">
        <is>
          <t>Ipiales</t>
        </is>
      </c>
      <c r="D1998" t="inlineStr">
        <is>
          <t>3869</t>
        </is>
      </c>
      <c r="E1998" t="inlineStr">
        <is>
          <t>pagado</t>
        </is>
      </c>
      <c r="F1998" s="23" t="n">
        <v>46266</v>
      </c>
      <c r="G1998" s="24">
        <f>F1998-DATE(2026,8,31)</f>
        <v>1</v>
      </c>
      <c r="H1998" s="25" t="n">
        <v>117909714</v>
      </c>
      <c r="I1998" t="inlineStr">
        <is>
          <t>entidad-dia</t>
        </is>
      </c>
    </row>
    <row r="1999">
      <c r="A1999" t="inlineStr">
        <is>
          <t>PRAGMA</t>
        </is>
      </c>
      <c r="B1999" t="inlineStr">
        <is>
          <t>M1</t>
        </is>
      </c>
      <c r="C1999" t="inlineStr">
        <is>
          <t>Ipiales</t>
        </is>
      </c>
      <c r="D1999" t="inlineStr">
        <is>
          <t>3869</t>
        </is>
      </c>
      <c r="E1999" t="inlineStr">
        <is>
          <t>pagado</t>
        </is>
      </c>
      <c r="F1999" s="23" t="n">
        <v>46267</v>
      </c>
      <c r="G1999" s="24">
        <f>F1999-DATE(2026,8,31)</f>
        <v>2</v>
      </c>
      <c r="H1999" s="25" t="n">
        <v>100067646</v>
      </c>
      <c r="I1999" t="inlineStr">
        <is>
          <t>entidad-dia</t>
        </is>
      </c>
    </row>
    <row r="2000">
      <c r="A2000" t="inlineStr">
        <is>
          <t>PRAGMA</t>
        </is>
      </c>
      <c r="B2000" t="inlineStr">
        <is>
          <t>M1</t>
        </is>
      </c>
      <c r="C2000" t="inlineStr">
        <is>
          <t>Ipiales</t>
        </is>
      </c>
      <c r="D2000" t="inlineStr">
        <is>
          <t>3869</t>
        </is>
      </c>
      <c r="E2000" t="inlineStr">
        <is>
          <t>pagado</t>
        </is>
      </c>
      <c r="F2000" s="23" t="n">
        <v>46268</v>
      </c>
      <c r="G2000" s="24">
        <f>F2000-DATE(2026,8,31)</f>
        <v>3</v>
      </c>
      <c r="H2000" s="25" t="n">
        <v>89405717</v>
      </c>
      <c r="I2000" t="inlineStr">
        <is>
          <t>entidad-dia</t>
        </is>
      </c>
    </row>
    <row r="2001">
      <c r="A2001" t="inlineStr">
        <is>
          <t>PRAGMA</t>
        </is>
      </c>
      <c r="B2001" t="inlineStr">
        <is>
          <t>M1</t>
        </is>
      </c>
      <c r="C2001" t="inlineStr">
        <is>
          <t>Ipiales</t>
        </is>
      </c>
      <c r="D2001" t="inlineStr">
        <is>
          <t>3869</t>
        </is>
      </c>
      <c r="E2001" t="inlineStr">
        <is>
          <t>pagado</t>
        </is>
      </c>
      <c r="F2001" s="23" t="n">
        <v>46269</v>
      </c>
      <c r="G2001" s="24">
        <f>F2001-DATE(2026,8,31)</f>
        <v>4</v>
      </c>
      <c r="H2001" s="25" t="n">
        <v>91108854</v>
      </c>
      <c r="I2001" t="inlineStr">
        <is>
          <t>entidad-dia</t>
        </is>
      </c>
    </row>
    <row r="2002">
      <c r="A2002" t="inlineStr">
        <is>
          <t>PRAGMA</t>
        </is>
      </c>
      <c r="B2002" t="inlineStr">
        <is>
          <t>M1</t>
        </is>
      </c>
      <c r="C2002" t="inlineStr">
        <is>
          <t>Ipiales</t>
        </is>
      </c>
      <c r="D2002" t="inlineStr">
        <is>
          <t>3869</t>
        </is>
      </c>
      <c r="E2002" t="inlineStr">
        <is>
          <t>pagado</t>
        </is>
      </c>
      <c r="F2002" s="23" t="n">
        <v>46270</v>
      </c>
      <c r="G2002" s="24">
        <f>F2002-DATE(2026,8,31)</f>
        <v>5</v>
      </c>
      <c r="H2002" s="25" t="n">
        <v>98515524</v>
      </c>
      <c r="I2002" t="inlineStr">
        <is>
          <t>entidad-dia</t>
        </is>
      </c>
    </row>
    <row r="2003">
      <c r="A2003" t="inlineStr">
        <is>
          <t>PRAGMA</t>
        </is>
      </c>
      <c r="B2003" t="inlineStr">
        <is>
          <t>M1</t>
        </is>
      </c>
      <c r="C2003" t="inlineStr">
        <is>
          <t>Ipiales</t>
        </is>
      </c>
      <c r="D2003" t="inlineStr">
        <is>
          <t>3869</t>
        </is>
      </c>
      <c r="E2003" t="inlineStr">
        <is>
          <t>pagado</t>
        </is>
      </c>
      <c r="F2003" s="23" t="n">
        <v>46271</v>
      </c>
      <c r="G2003" s="24">
        <f>F2003-DATE(2026,8,31)</f>
        <v>6</v>
      </c>
      <c r="H2003" s="25" t="n">
        <v>52033537</v>
      </c>
      <c r="I2003" t="inlineStr">
        <is>
          <t>entidad-dia</t>
        </is>
      </c>
    </row>
    <row r="2004">
      <c r="A2004" t="inlineStr">
        <is>
          <t>PRAGMA</t>
        </is>
      </c>
      <c r="B2004" t="inlineStr">
        <is>
          <t>M1</t>
        </is>
      </c>
      <c r="C2004" t="inlineStr">
        <is>
          <t>Ipiales</t>
        </is>
      </c>
      <c r="D2004" t="inlineStr">
        <is>
          <t>3869</t>
        </is>
      </c>
      <c r="E2004" t="inlineStr">
        <is>
          <t>pagado</t>
        </is>
      </c>
      <c r="F2004" s="23" t="n">
        <v>46272</v>
      </c>
      <c r="G2004" s="24">
        <f>F2004-DATE(2026,8,31)</f>
        <v>7</v>
      </c>
      <c r="H2004" s="25" t="n">
        <v>74855561</v>
      </c>
      <c r="I2004" t="inlineStr">
        <is>
          <t>entidad-dia</t>
        </is>
      </c>
    </row>
    <row r="2005">
      <c r="A2005" t="inlineStr">
        <is>
          <t>PRAGMA</t>
        </is>
      </c>
      <c r="B2005" t="inlineStr">
        <is>
          <t>M1</t>
        </is>
      </c>
      <c r="C2005" t="inlineStr">
        <is>
          <t>Ipiales</t>
        </is>
      </c>
      <c r="D2005" t="inlineStr">
        <is>
          <t>3869</t>
        </is>
      </c>
      <c r="E2005" t="inlineStr">
        <is>
          <t>pagado</t>
        </is>
      </c>
      <c r="F2005" s="23" t="n">
        <v>46273</v>
      </c>
      <c r="G2005" s="24">
        <f>F2005-DATE(2026,8,31)</f>
        <v>8</v>
      </c>
      <c r="H2005" s="25" t="n">
        <v>69265771</v>
      </c>
      <c r="I2005" t="inlineStr">
        <is>
          <t>entidad-dia</t>
        </is>
      </c>
    </row>
    <row r="2006">
      <c r="A2006" t="inlineStr">
        <is>
          <t>PRAGMA</t>
        </is>
      </c>
      <c r="B2006" t="inlineStr">
        <is>
          <t>M1</t>
        </is>
      </c>
      <c r="C2006" t="inlineStr">
        <is>
          <t>Ipiales</t>
        </is>
      </c>
      <c r="D2006" t="inlineStr">
        <is>
          <t>3869</t>
        </is>
      </c>
      <c r="E2006" t="inlineStr">
        <is>
          <t>pagado</t>
        </is>
      </c>
      <c r="F2006" s="23" t="n">
        <v>46274</v>
      </c>
      <c r="G2006" s="24">
        <f>F2006-DATE(2026,8,31)</f>
        <v>9</v>
      </c>
      <c r="H2006" s="25" t="n">
        <v>68788733</v>
      </c>
      <c r="I2006" t="inlineStr">
        <is>
          <t>entidad-dia</t>
        </is>
      </c>
    </row>
    <row r="2007">
      <c r="A2007" t="inlineStr">
        <is>
          <t>PRAGMA</t>
        </is>
      </c>
      <c r="B2007" t="inlineStr">
        <is>
          <t>M1</t>
        </is>
      </c>
      <c r="C2007" t="inlineStr">
        <is>
          <t>Ipiales</t>
        </is>
      </c>
      <c r="D2007" t="inlineStr">
        <is>
          <t>3869</t>
        </is>
      </c>
      <c r="E2007" t="inlineStr">
        <is>
          <t>pagado</t>
        </is>
      </c>
      <c r="F2007" s="23" t="n">
        <v>46275</v>
      </c>
      <c r="G2007" s="24">
        <f>F2007-DATE(2026,8,31)</f>
        <v>10</v>
      </c>
      <c r="H2007" s="25" t="n">
        <v>65437904</v>
      </c>
      <c r="I2007" t="inlineStr">
        <is>
          <t>entidad-dia</t>
        </is>
      </c>
    </row>
    <row r="2008">
      <c r="A2008" t="inlineStr">
        <is>
          <t>PRAGMA</t>
        </is>
      </c>
      <c r="B2008" t="inlineStr">
        <is>
          <t>M1</t>
        </is>
      </c>
      <c r="C2008" t="inlineStr">
        <is>
          <t>Ipiales</t>
        </is>
      </c>
      <c r="D2008" t="inlineStr">
        <is>
          <t>3869</t>
        </is>
      </c>
      <c r="E2008" t="inlineStr">
        <is>
          <t>pagado</t>
        </is>
      </c>
      <c r="F2008" s="23" t="n">
        <v>46276</v>
      </c>
      <c r="G2008" s="24">
        <f>F2008-DATE(2026,8,31)</f>
        <v>11</v>
      </c>
      <c r="H2008" s="25" t="n">
        <v>74204795</v>
      </c>
      <c r="I2008" t="inlineStr">
        <is>
          <t>entidad-dia</t>
        </is>
      </c>
    </row>
    <row r="2009">
      <c r="A2009" t="inlineStr">
        <is>
          <t>PRAGMA</t>
        </is>
      </c>
      <c r="B2009" t="inlineStr">
        <is>
          <t>M1</t>
        </is>
      </c>
      <c r="C2009" t="inlineStr">
        <is>
          <t>Ipiales</t>
        </is>
      </c>
      <c r="D2009" t="inlineStr">
        <is>
          <t>3869</t>
        </is>
      </c>
      <c r="E2009" t="inlineStr">
        <is>
          <t>pagado</t>
        </is>
      </c>
      <c r="F2009" s="23" t="n">
        <v>46277</v>
      </c>
      <c r="G2009" s="24">
        <f>F2009-DATE(2026,8,31)</f>
        <v>12</v>
      </c>
      <c r="H2009" s="25" t="n">
        <v>84340102</v>
      </c>
      <c r="I2009" t="inlineStr">
        <is>
          <t>entidad-dia</t>
        </is>
      </c>
    </row>
    <row r="2010">
      <c r="A2010" t="inlineStr">
        <is>
          <t>PRAGMA</t>
        </is>
      </c>
      <c r="B2010" t="inlineStr">
        <is>
          <t>M1</t>
        </is>
      </c>
      <c r="C2010" t="inlineStr">
        <is>
          <t>Ipiales</t>
        </is>
      </c>
      <c r="D2010" t="inlineStr">
        <is>
          <t>3869</t>
        </is>
      </c>
      <c r="E2010" t="inlineStr">
        <is>
          <t>pagado</t>
        </is>
      </c>
      <c r="F2010" s="23" t="n">
        <v>46278</v>
      </c>
      <c r="G2010" s="24">
        <f>F2010-DATE(2026,8,31)</f>
        <v>13</v>
      </c>
      <c r="H2010" s="25" t="n">
        <v>46224986</v>
      </c>
      <c r="I2010" t="inlineStr">
        <is>
          <t>entidad-dia</t>
        </is>
      </c>
    </row>
    <row r="2011">
      <c r="A2011" t="inlineStr">
        <is>
          <t>PRAGMA</t>
        </is>
      </c>
      <c r="B2011" t="inlineStr">
        <is>
          <t>M1</t>
        </is>
      </c>
      <c r="C2011" t="inlineStr">
        <is>
          <t>Ipiales</t>
        </is>
      </c>
      <c r="D2011" t="inlineStr">
        <is>
          <t>3869</t>
        </is>
      </c>
      <c r="E2011" t="inlineStr">
        <is>
          <t>pagado</t>
        </is>
      </c>
      <c r="F2011" s="23" t="n">
        <v>46279</v>
      </c>
      <c r="G2011" s="24">
        <f>F2011-DATE(2026,8,31)</f>
        <v>14</v>
      </c>
      <c r="H2011" s="25" t="n">
        <v>75006451</v>
      </c>
      <c r="I2011" t="inlineStr">
        <is>
          <t>entidad-dia</t>
        </is>
      </c>
    </row>
    <row r="2012">
      <c r="A2012" t="inlineStr">
        <is>
          <t>PRAGMA</t>
        </is>
      </c>
      <c r="B2012" t="inlineStr">
        <is>
          <t>M1</t>
        </is>
      </c>
      <c r="C2012" t="inlineStr">
        <is>
          <t>Ipiales</t>
        </is>
      </c>
      <c r="D2012" t="inlineStr">
        <is>
          <t>3869</t>
        </is>
      </c>
      <c r="E2012" t="inlineStr">
        <is>
          <t>pagado</t>
        </is>
      </c>
      <c r="F2012" s="23" t="n">
        <v>46280</v>
      </c>
      <c r="G2012" s="24">
        <f>F2012-DATE(2026,8,31)</f>
        <v>15</v>
      </c>
      <c r="H2012" s="25" t="n">
        <v>86905639</v>
      </c>
      <c r="I2012" t="inlineStr">
        <is>
          <t>entidad-dia</t>
        </is>
      </c>
    </row>
    <row r="2013">
      <c r="A2013" t="inlineStr">
        <is>
          <t>PRAGMA</t>
        </is>
      </c>
      <c r="B2013" t="inlineStr">
        <is>
          <t>M1</t>
        </is>
      </c>
      <c r="C2013" t="inlineStr">
        <is>
          <t>Pasto</t>
        </is>
      </c>
      <c r="D2013" t="inlineStr">
        <is>
          <t>3917</t>
        </is>
      </c>
      <c r="E2013" t="inlineStr">
        <is>
          <t>pagado</t>
        </is>
      </c>
      <c r="F2013" s="23" t="n">
        <v>46266</v>
      </c>
      <c r="G2013" s="24">
        <f>F2013-DATE(2026,8,31)</f>
        <v>1</v>
      </c>
      <c r="H2013" s="25" t="n">
        <v>182998223</v>
      </c>
      <c r="I2013" t="inlineStr">
        <is>
          <t>entidad-dia</t>
        </is>
      </c>
    </row>
    <row r="2014">
      <c r="A2014" t="inlineStr">
        <is>
          <t>PRAGMA</t>
        </is>
      </c>
      <c r="B2014" t="inlineStr">
        <is>
          <t>M1</t>
        </is>
      </c>
      <c r="C2014" t="inlineStr">
        <is>
          <t>Pasto</t>
        </is>
      </c>
      <c r="D2014" t="inlineStr">
        <is>
          <t>3917</t>
        </is>
      </c>
      <c r="E2014" t="inlineStr">
        <is>
          <t>pagado</t>
        </is>
      </c>
      <c r="F2014" s="23" t="n">
        <v>46267</v>
      </c>
      <c r="G2014" s="24">
        <f>F2014-DATE(2026,8,31)</f>
        <v>2</v>
      </c>
      <c r="H2014" s="25" t="n">
        <v>145450250</v>
      </c>
      <c r="I2014" t="inlineStr">
        <is>
          <t>entidad-dia</t>
        </is>
      </c>
    </row>
    <row r="2015">
      <c r="A2015" t="inlineStr">
        <is>
          <t>PRAGMA</t>
        </is>
      </c>
      <c r="B2015" t="inlineStr">
        <is>
          <t>M1</t>
        </is>
      </c>
      <c r="C2015" t="inlineStr">
        <is>
          <t>Pasto</t>
        </is>
      </c>
      <c r="D2015" t="inlineStr">
        <is>
          <t>3917</t>
        </is>
      </c>
      <c r="E2015" t="inlineStr">
        <is>
          <t>pagado</t>
        </is>
      </c>
      <c r="F2015" s="23" t="n">
        <v>46268</v>
      </c>
      <c r="G2015" s="24">
        <f>F2015-DATE(2026,8,31)</f>
        <v>3</v>
      </c>
      <c r="H2015" s="25" t="n">
        <v>119086771</v>
      </c>
      <c r="I2015" t="inlineStr">
        <is>
          <t>entidad-dia</t>
        </is>
      </c>
    </row>
    <row r="2016">
      <c r="A2016" t="inlineStr">
        <is>
          <t>PRAGMA</t>
        </is>
      </c>
      <c r="B2016" t="inlineStr">
        <is>
          <t>M1</t>
        </is>
      </c>
      <c r="C2016" t="inlineStr">
        <is>
          <t>Pasto</t>
        </is>
      </c>
      <c r="D2016" t="inlineStr">
        <is>
          <t>3917</t>
        </is>
      </c>
      <c r="E2016" t="inlineStr">
        <is>
          <t>pagado</t>
        </is>
      </c>
      <c r="F2016" s="23" t="n">
        <v>46269</v>
      </c>
      <c r="G2016" s="24">
        <f>F2016-DATE(2026,8,31)</f>
        <v>4</v>
      </c>
      <c r="H2016" s="25" t="n">
        <v>136440398</v>
      </c>
      <c r="I2016" t="inlineStr">
        <is>
          <t>entidad-dia</t>
        </is>
      </c>
    </row>
    <row r="2017">
      <c r="A2017" t="inlineStr">
        <is>
          <t>PRAGMA</t>
        </is>
      </c>
      <c r="B2017" t="inlineStr">
        <is>
          <t>M1</t>
        </is>
      </c>
      <c r="C2017" t="inlineStr">
        <is>
          <t>Pasto</t>
        </is>
      </c>
      <c r="D2017" t="inlineStr">
        <is>
          <t>3917</t>
        </is>
      </c>
      <c r="E2017" t="inlineStr">
        <is>
          <t>pagado</t>
        </is>
      </c>
      <c r="F2017" s="23" t="n">
        <v>46270</v>
      </c>
      <c r="G2017" s="24">
        <f>F2017-DATE(2026,8,31)</f>
        <v>5</v>
      </c>
      <c r="H2017" s="25" t="n">
        <v>161878317</v>
      </c>
      <c r="I2017" t="inlineStr">
        <is>
          <t>entidad-dia</t>
        </is>
      </c>
    </row>
    <row r="2018">
      <c r="A2018" t="inlineStr">
        <is>
          <t>PRAGMA</t>
        </is>
      </c>
      <c r="B2018" t="inlineStr">
        <is>
          <t>M1</t>
        </is>
      </c>
      <c r="C2018" t="inlineStr">
        <is>
          <t>Pasto</t>
        </is>
      </c>
      <c r="D2018" t="inlineStr">
        <is>
          <t>3917</t>
        </is>
      </c>
      <c r="E2018" t="inlineStr">
        <is>
          <t>pagado</t>
        </is>
      </c>
      <c r="F2018" s="23" t="n">
        <v>46271</v>
      </c>
      <c r="G2018" s="24">
        <f>F2018-DATE(2026,8,31)</f>
        <v>6</v>
      </c>
      <c r="H2018" s="25" t="n">
        <v>128430694</v>
      </c>
      <c r="I2018" t="inlineStr">
        <is>
          <t>entidad-dia</t>
        </is>
      </c>
    </row>
    <row r="2019">
      <c r="A2019" t="inlineStr">
        <is>
          <t>PRAGMA</t>
        </is>
      </c>
      <c r="B2019" t="inlineStr">
        <is>
          <t>M1</t>
        </is>
      </c>
      <c r="C2019" t="inlineStr">
        <is>
          <t>Pasto</t>
        </is>
      </c>
      <c r="D2019" t="inlineStr">
        <is>
          <t>3917</t>
        </is>
      </c>
      <c r="E2019" t="inlineStr">
        <is>
          <t>pagado</t>
        </is>
      </c>
      <c r="F2019" s="23" t="n">
        <v>46272</v>
      </c>
      <c r="G2019" s="24">
        <f>F2019-DATE(2026,8,31)</f>
        <v>7</v>
      </c>
      <c r="H2019" s="25" t="n">
        <v>122924997</v>
      </c>
      <c r="I2019" t="inlineStr">
        <is>
          <t>entidad-dia</t>
        </is>
      </c>
    </row>
    <row r="2020">
      <c r="A2020" t="inlineStr">
        <is>
          <t>PRAGMA</t>
        </is>
      </c>
      <c r="B2020" t="inlineStr">
        <is>
          <t>M1</t>
        </is>
      </c>
      <c r="C2020" t="inlineStr">
        <is>
          <t>Pasto</t>
        </is>
      </c>
      <c r="D2020" t="inlineStr">
        <is>
          <t>3917</t>
        </is>
      </c>
      <c r="E2020" t="inlineStr">
        <is>
          <t>pagado</t>
        </is>
      </c>
      <c r="F2020" s="23" t="n">
        <v>46273</v>
      </c>
      <c r="G2020" s="24">
        <f>F2020-DATE(2026,8,31)</f>
        <v>8</v>
      </c>
      <c r="H2020" s="25" t="n">
        <v>105513978</v>
      </c>
      <c r="I2020" t="inlineStr">
        <is>
          <t>entidad-dia</t>
        </is>
      </c>
    </row>
    <row r="2021">
      <c r="A2021" t="inlineStr">
        <is>
          <t>PRAGMA</t>
        </is>
      </c>
      <c r="B2021" t="inlineStr">
        <is>
          <t>M1</t>
        </is>
      </c>
      <c r="C2021" t="inlineStr">
        <is>
          <t>Pasto</t>
        </is>
      </c>
      <c r="D2021" t="inlineStr">
        <is>
          <t>3917</t>
        </is>
      </c>
      <c r="E2021" t="inlineStr">
        <is>
          <t>pagado</t>
        </is>
      </c>
      <c r="F2021" s="23" t="n">
        <v>46274</v>
      </c>
      <c r="G2021" s="24">
        <f>F2021-DATE(2026,8,31)</f>
        <v>9</v>
      </c>
      <c r="H2021" s="25" t="n">
        <v>100910090</v>
      </c>
      <c r="I2021" t="inlineStr">
        <is>
          <t>entidad-dia</t>
        </is>
      </c>
    </row>
    <row r="2022">
      <c r="A2022" t="inlineStr">
        <is>
          <t>PRAGMA</t>
        </is>
      </c>
      <c r="B2022" t="inlineStr">
        <is>
          <t>M1</t>
        </is>
      </c>
      <c r="C2022" t="inlineStr">
        <is>
          <t>Pasto</t>
        </is>
      </c>
      <c r="D2022" t="inlineStr">
        <is>
          <t>3917</t>
        </is>
      </c>
      <c r="E2022" t="inlineStr">
        <is>
          <t>pagado</t>
        </is>
      </c>
      <c r="F2022" s="23" t="n">
        <v>46275</v>
      </c>
      <c r="G2022" s="24">
        <f>F2022-DATE(2026,8,31)</f>
        <v>10</v>
      </c>
      <c r="H2022" s="25" t="n">
        <v>85394425</v>
      </c>
      <c r="I2022" t="inlineStr">
        <is>
          <t>entidad-dia</t>
        </is>
      </c>
    </row>
    <row r="2023">
      <c r="A2023" t="inlineStr">
        <is>
          <t>PRAGMA</t>
        </is>
      </c>
      <c r="B2023" t="inlineStr">
        <is>
          <t>M1</t>
        </is>
      </c>
      <c r="C2023" t="inlineStr">
        <is>
          <t>Pasto</t>
        </is>
      </c>
      <c r="D2023" t="inlineStr">
        <is>
          <t>3917</t>
        </is>
      </c>
      <c r="E2023" t="inlineStr">
        <is>
          <t>pagado</t>
        </is>
      </c>
      <c r="F2023" s="23" t="n">
        <v>46276</v>
      </c>
      <c r="G2023" s="24">
        <f>F2023-DATE(2026,8,31)</f>
        <v>11</v>
      </c>
      <c r="H2023" s="25" t="n">
        <v>99423807</v>
      </c>
      <c r="I2023" t="inlineStr">
        <is>
          <t>entidad-dia</t>
        </is>
      </c>
    </row>
    <row r="2024">
      <c r="A2024" t="inlineStr">
        <is>
          <t>PRAGMA</t>
        </is>
      </c>
      <c r="B2024" t="inlineStr">
        <is>
          <t>M1</t>
        </is>
      </c>
      <c r="C2024" t="inlineStr">
        <is>
          <t>Pasto</t>
        </is>
      </c>
      <c r="D2024" t="inlineStr">
        <is>
          <t>3917</t>
        </is>
      </c>
      <c r="E2024" t="inlineStr">
        <is>
          <t>pagado</t>
        </is>
      </c>
      <c r="F2024" s="23" t="n">
        <v>46277</v>
      </c>
      <c r="G2024" s="24">
        <f>F2024-DATE(2026,8,31)</f>
        <v>12</v>
      </c>
      <c r="H2024" s="25" t="n">
        <v>129674352</v>
      </c>
      <c r="I2024" t="inlineStr">
        <is>
          <t>entidad-dia</t>
        </is>
      </c>
    </row>
    <row r="2025">
      <c r="A2025" t="inlineStr">
        <is>
          <t>PRAGMA</t>
        </is>
      </c>
      <c r="B2025" t="inlineStr">
        <is>
          <t>M1</t>
        </is>
      </c>
      <c r="C2025" t="inlineStr">
        <is>
          <t>Pasto</t>
        </is>
      </c>
      <c r="D2025" t="inlineStr">
        <is>
          <t>3917</t>
        </is>
      </c>
      <c r="E2025" t="inlineStr">
        <is>
          <t>pagado</t>
        </is>
      </c>
      <c r="F2025" s="23" t="n">
        <v>46278</v>
      </c>
      <c r="G2025" s="24">
        <f>F2025-DATE(2026,8,31)</f>
        <v>13</v>
      </c>
      <c r="H2025" s="25" t="n">
        <v>97617871</v>
      </c>
      <c r="I2025" t="inlineStr">
        <is>
          <t>entidad-dia</t>
        </is>
      </c>
    </row>
    <row r="2026">
      <c r="A2026" t="inlineStr">
        <is>
          <t>PRAGMA</t>
        </is>
      </c>
      <c r="B2026" t="inlineStr">
        <is>
          <t>M1</t>
        </is>
      </c>
      <c r="C2026" t="inlineStr">
        <is>
          <t>Pasto</t>
        </is>
      </c>
      <c r="D2026" t="inlineStr">
        <is>
          <t>3917</t>
        </is>
      </c>
      <c r="E2026" t="inlineStr">
        <is>
          <t>pagado</t>
        </is>
      </c>
      <c r="F2026" s="23" t="n">
        <v>46279</v>
      </c>
      <c r="G2026" s="24">
        <f>F2026-DATE(2026,8,31)</f>
        <v>14</v>
      </c>
      <c r="H2026" s="25" t="n">
        <v>97804724</v>
      </c>
      <c r="I2026" t="inlineStr">
        <is>
          <t>entidad-dia</t>
        </is>
      </c>
    </row>
    <row r="2027">
      <c r="A2027" t="inlineStr">
        <is>
          <t>PRAGMA</t>
        </is>
      </c>
      <c r="B2027" t="inlineStr">
        <is>
          <t>M1</t>
        </is>
      </c>
      <c r="C2027" t="inlineStr">
        <is>
          <t>Pasto</t>
        </is>
      </c>
      <c r="D2027" t="inlineStr">
        <is>
          <t>3917</t>
        </is>
      </c>
      <c r="E2027" t="inlineStr">
        <is>
          <t>pagado</t>
        </is>
      </c>
      <c r="F2027" s="23" t="n">
        <v>46280</v>
      </c>
      <c r="G2027" s="24">
        <f>F2027-DATE(2026,8,31)</f>
        <v>15</v>
      </c>
      <c r="H2027" s="25" t="n">
        <v>117341519</v>
      </c>
      <c r="I2027" t="inlineStr">
        <is>
          <t>entidad-dia</t>
        </is>
      </c>
    </row>
    <row r="2028">
      <c r="A2028" t="inlineStr">
        <is>
          <t>PRAGMA</t>
        </is>
      </c>
      <c r="B2028" t="inlineStr">
        <is>
          <t>M1</t>
        </is>
      </c>
      <c r="C2028" t="inlineStr">
        <is>
          <t>Pasto</t>
        </is>
      </c>
      <c r="D2028" t="inlineStr">
        <is>
          <t>3918</t>
        </is>
      </c>
      <c r="E2028" t="inlineStr">
        <is>
          <t>pagado</t>
        </is>
      </c>
      <c r="F2028" s="23" t="n">
        <v>46266</v>
      </c>
      <c r="G2028" s="24">
        <f>F2028-DATE(2026,8,31)</f>
        <v>1</v>
      </c>
      <c r="H2028" s="25" t="n">
        <v>174889741</v>
      </c>
      <c r="I2028" t="inlineStr">
        <is>
          <t>entidad-dia</t>
        </is>
      </c>
    </row>
    <row r="2029">
      <c r="A2029" t="inlineStr">
        <is>
          <t>PRAGMA</t>
        </is>
      </c>
      <c r="B2029" t="inlineStr">
        <is>
          <t>M1</t>
        </is>
      </c>
      <c r="C2029" t="inlineStr">
        <is>
          <t>Pasto</t>
        </is>
      </c>
      <c r="D2029" t="inlineStr">
        <is>
          <t>3918</t>
        </is>
      </c>
      <c r="E2029" t="inlineStr">
        <is>
          <t>pagado</t>
        </is>
      </c>
      <c r="F2029" s="23" t="n">
        <v>46267</v>
      </c>
      <c r="G2029" s="24">
        <f>F2029-DATE(2026,8,31)</f>
        <v>2</v>
      </c>
      <c r="H2029" s="25" t="n">
        <v>139095518</v>
      </c>
      <c r="I2029" t="inlineStr">
        <is>
          <t>entidad-dia</t>
        </is>
      </c>
    </row>
    <row r="2030">
      <c r="A2030" t="inlineStr">
        <is>
          <t>PRAGMA</t>
        </is>
      </c>
      <c r="B2030" t="inlineStr">
        <is>
          <t>M1</t>
        </is>
      </c>
      <c r="C2030" t="inlineStr">
        <is>
          <t>Pasto</t>
        </is>
      </c>
      <c r="D2030" t="inlineStr">
        <is>
          <t>3918</t>
        </is>
      </c>
      <c r="E2030" t="inlineStr">
        <is>
          <t>pagado</t>
        </is>
      </c>
      <c r="F2030" s="23" t="n">
        <v>46268</v>
      </c>
      <c r="G2030" s="24">
        <f>F2030-DATE(2026,8,31)</f>
        <v>3</v>
      </c>
      <c r="H2030" s="25" t="n">
        <v>122506711</v>
      </c>
      <c r="I2030" t="inlineStr">
        <is>
          <t>entidad-dia</t>
        </is>
      </c>
    </row>
    <row r="2031">
      <c r="A2031" t="inlineStr">
        <is>
          <t>PRAGMA</t>
        </is>
      </c>
      <c r="B2031" t="inlineStr">
        <is>
          <t>M1</t>
        </is>
      </c>
      <c r="C2031" t="inlineStr">
        <is>
          <t>Pasto</t>
        </is>
      </c>
      <c r="D2031" t="inlineStr">
        <is>
          <t>3918</t>
        </is>
      </c>
      <c r="E2031" t="inlineStr">
        <is>
          <t>pagado</t>
        </is>
      </c>
      <c r="F2031" s="23" t="n">
        <v>46269</v>
      </c>
      <c r="G2031" s="24">
        <f>F2031-DATE(2026,8,31)</f>
        <v>4</v>
      </c>
      <c r="H2031" s="25" t="n">
        <v>126765410</v>
      </c>
      <c r="I2031" t="inlineStr">
        <is>
          <t>entidad-dia</t>
        </is>
      </c>
    </row>
    <row r="2032">
      <c r="A2032" t="inlineStr">
        <is>
          <t>PRAGMA</t>
        </is>
      </c>
      <c r="B2032" t="inlineStr">
        <is>
          <t>M1</t>
        </is>
      </c>
      <c r="C2032" t="inlineStr">
        <is>
          <t>Pasto</t>
        </is>
      </c>
      <c r="D2032" t="inlineStr">
        <is>
          <t>3918</t>
        </is>
      </c>
      <c r="E2032" t="inlineStr">
        <is>
          <t>pagado</t>
        </is>
      </c>
      <c r="F2032" s="23" t="n">
        <v>46270</v>
      </c>
      <c r="G2032" s="24">
        <f>F2032-DATE(2026,8,31)</f>
        <v>5</v>
      </c>
      <c r="H2032" s="25" t="n">
        <v>149332831</v>
      </c>
      <c r="I2032" t="inlineStr">
        <is>
          <t>entidad-dia</t>
        </is>
      </c>
    </row>
    <row r="2033">
      <c r="A2033" t="inlineStr">
        <is>
          <t>PRAGMA</t>
        </is>
      </c>
      <c r="B2033" t="inlineStr">
        <is>
          <t>M1</t>
        </is>
      </c>
      <c r="C2033" t="inlineStr">
        <is>
          <t>Pasto</t>
        </is>
      </c>
      <c r="D2033" t="inlineStr">
        <is>
          <t>3918</t>
        </is>
      </c>
      <c r="E2033" t="inlineStr">
        <is>
          <t>pagado</t>
        </is>
      </c>
      <c r="F2033" s="23" t="n">
        <v>46271</v>
      </c>
      <c r="G2033" s="24">
        <f>F2033-DATE(2026,8,31)</f>
        <v>6</v>
      </c>
      <c r="H2033" s="25" t="n">
        <v>119236215</v>
      </c>
      <c r="I2033" t="inlineStr">
        <is>
          <t>entidad-dia</t>
        </is>
      </c>
    </row>
    <row r="2034">
      <c r="A2034" t="inlineStr">
        <is>
          <t>PRAGMA</t>
        </is>
      </c>
      <c r="B2034" t="inlineStr">
        <is>
          <t>M1</t>
        </is>
      </c>
      <c r="C2034" t="inlineStr">
        <is>
          <t>Pasto</t>
        </is>
      </c>
      <c r="D2034" t="inlineStr">
        <is>
          <t>3918</t>
        </is>
      </c>
      <c r="E2034" t="inlineStr">
        <is>
          <t>pagado</t>
        </is>
      </c>
      <c r="F2034" s="23" t="n">
        <v>46272</v>
      </c>
      <c r="G2034" s="24">
        <f>F2034-DATE(2026,8,31)</f>
        <v>7</v>
      </c>
      <c r="H2034" s="25" t="n">
        <v>123841236</v>
      </c>
      <c r="I2034" t="inlineStr">
        <is>
          <t>entidad-dia</t>
        </is>
      </c>
    </row>
    <row r="2035">
      <c r="A2035" t="inlineStr">
        <is>
          <t>PRAGMA</t>
        </is>
      </c>
      <c r="B2035" t="inlineStr">
        <is>
          <t>M1</t>
        </is>
      </c>
      <c r="C2035" t="inlineStr">
        <is>
          <t>Pasto</t>
        </is>
      </c>
      <c r="D2035" t="inlineStr">
        <is>
          <t>3918</t>
        </is>
      </c>
      <c r="E2035" t="inlineStr">
        <is>
          <t>pagado</t>
        </is>
      </c>
      <c r="F2035" s="23" t="n">
        <v>46273</v>
      </c>
      <c r="G2035" s="24">
        <f>F2035-DATE(2026,8,31)</f>
        <v>8</v>
      </c>
      <c r="H2035" s="25" t="n">
        <v>100340949</v>
      </c>
      <c r="I2035" t="inlineStr">
        <is>
          <t>entidad-dia</t>
        </is>
      </c>
    </row>
    <row r="2036">
      <c r="A2036" t="inlineStr">
        <is>
          <t>PRAGMA</t>
        </is>
      </c>
      <c r="B2036" t="inlineStr">
        <is>
          <t>M1</t>
        </is>
      </c>
      <c r="C2036" t="inlineStr">
        <is>
          <t>Pasto</t>
        </is>
      </c>
      <c r="D2036" t="inlineStr">
        <is>
          <t>3918</t>
        </is>
      </c>
      <c r="E2036" t="inlineStr">
        <is>
          <t>pagado</t>
        </is>
      </c>
      <c r="F2036" s="23" t="n">
        <v>46274</v>
      </c>
      <c r="G2036" s="24">
        <f>F2036-DATE(2026,8,31)</f>
        <v>9</v>
      </c>
      <c r="H2036" s="25" t="n">
        <v>93061417</v>
      </c>
      <c r="I2036" t="inlineStr">
        <is>
          <t>entidad-dia</t>
        </is>
      </c>
    </row>
    <row r="2037">
      <c r="A2037" t="inlineStr">
        <is>
          <t>PRAGMA</t>
        </is>
      </c>
      <c r="B2037" t="inlineStr">
        <is>
          <t>M1</t>
        </is>
      </c>
      <c r="C2037" t="inlineStr">
        <is>
          <t>Pasto</t>
        </is>
      </c>
      <c r="D2037" t="inlineStr">
        <is>
          <t>3918</t>
        </is>
      </c>
      <c r="E2037" t="inlineStr">
        <is>
          <t>pagado</t>
        </is>
      </c>
      <c r="F2037" s="23" t="n">
        <v>46275</v>
      </c>
      <c r="G2037" s="24">
        <f>F2037-DATE(2026,8,31)</f>
        <v>10</v>
      </c>
      <c r="H2037" s="25" t="n">
        <v>98175949</v>
      </c>
      <c r="I2037" t="inlineStr">
        <is>
          <t>entidad-dia</t>
        </is>
      </c>
    </row>
    <row r="2038">
      <c r="A2038" t="inlineStr">
        <is>
          <t>PRAGMA</t>
        </is>
      </c>
      <c r="B2038" t="inlineStr">
        <is>
          <t>M1</t>
        </is>
      </c>
      <c r="C2038" t="inlineStr">
        <is>
          <t>Pasto</t>
        </is>
      </c>
      <c r="D2038" t="inlineStr">
        <is>
          <t>3918</t>
        </is>
      </c>
      <c r="E2038" t="inlineStr">
        <is>
          <t>pagado</t>
        </is>
      </c>
      <c r="F2038" s="23" t="n">
        <v>46276</v>
      </c>
      <c r="G2038" s="24">
        <f>F2038-DATE(2026,8,31)</f>
        <v>11</v>
      </c>
      <c r="H2038" s="25" t="n">
        <v>93856162</v>
      </c>
      <c r="I2038" t="inlineStr">
        <is>
          <t>entidad-dia</t>
        </is>
      </c>
    </row>
    <row r="2039">
      <c r="A2039" t="inlineStr">
        <is>
          <t>PRAGMA</t>
        </is>
      </c>
      <c r="B2039" t="inlineStr">
        <is>
          <t>M1</t>
        </is>
      </c>
      <c r="C2039" t="inlineStr">
        <is>
          <t>Pasto</t>
        </is>
      </c>
      <c r="D2039" t="inlineStr">
        <is>
          <t>3918</t>
        </is>
      </c>
      <c r="E2039" t="inlineStr">
        <is>
          <t>pagado</t>
        </is>
      </c>
      <c r="F2039" s="23" t="n">
        <v>46277</v>
      </c>
      <c r="G2039" s="24">
        <f>F2039-DATE(2026,8,31)</f>
        <v>12</v>
      </c>
      <c r="H2039" s="25" t="n">
        <v>110216112</v>
      </c>
      <c r="I2039" t="inlineStr">
        <is>
          <t>entidad-dia</t>
        </is>
      </c>
    </row>
    <row r="2040">
      <c r="A2040" t="inlineStr">
        <is>
          <t>PRAGMA</t>
        </is>
      </c>
      <c r="B2040" t="inlineStr">
        <is>
          <t>M1</t>
        </is>
      </c>
      <c r="C2040" t="inlineStr">
        <is>
          <t>Pasto</t>
        </is>
      </c>
      <c r="D2040" t="inlineStr">
        <is>
          <t>3918</t>
        </is>
      </c>
      <c r="E2040" t="inlineStr">
        <is>
          <t>pagado</t>
        </is>
      </c>
      <c r="F2040" s="23" t="n">
        <v>46278</v>
      </c>
      <c r="G2040" s="24">
        <f>F2040-DATE(2026,8,31)</f>
        <v>13</v>
      </c>
      <c r="H2040" s="25" t="n">
        <v>86610970</v>
      </c>
      <c r="I2040" t="inlineStr">
        <is>
          <t>entidad-dia</t>
        </is>
      </c>
    </row>
    <row r="2041">
      <c r="A2041" t="inlineStr">
        <is>
          <t>PRAGMA</t>
        </is>
      </c>
      <c r="B2041" t="inlineStr">
        <is>
          <t>M1</t>
        </is>
      </c>
      <c r="C2041" t="inlineStr">
        <is>
          <t>Pasto</t>
        </is>
      </c>
      <c r="D2041" t="inlineStr">
        <is>
          <t>3918</t>
        </is>
      </c>
      <c r="E2041" t="inlineStr">
        <is>
          <t>pagado</t>
        </is>
      </c>
      <c r="F2041" s="23" t="n">
        <v>46279</v>
      </c>
      <c r="G2041" s="24">
        <f>F2041-DATE(2026,8,31)</f>
        <v>14</v>
      </c>
      <c r="H2041" s="25" t="n">
        <v>98565551</v>
      </c>
      <c r="I2041" t="inlineStr">
        <is>
          <t>entidad-dia</t>
        </is>
      </c>
    </row>
    <row r="2042">
      <c r="A2042" t="inlineStr">
        <is>
          <t>PRAGMA</t>
        </is>
      </c>
      <c r="B2042" t="inlineStr">
        <is>
          <t>M1</t>
        </is>
      </c>
      <c r="C2042" t="inlineStr">
        <is>
          <t>Pasto</t>
        </is>
      </c>
      <c r="D2042" t="inlineStr">
        <is>
          <t>3918</t>
        </is>
      </c>
      <c r="E2042" t="inlineStr">
        <is>
          <t>pagado</t>
        </is>
      </c>
      <c r="F2042" s="23" t="n">
        <v>46280</v>
      </c>
      <c r="G2042" s="24">
        <f>F2042-DATE(2026,8,31)</f>
        <v>15</v>
      </c>
      <c r="H2042" s="25" t="n">
        <v>112382642</v>
      </c>
      <c r="I2042" t="inlineStr">
        <is>
          <t>entidad-dia</t>
        </is>
      </c>
    </row>
    <row r="2043">
      <c r="A2043" t="inlineStr">
        <is>
          <t>PRAGMA</t>
        </is>
      </c>
      <c r="B2043" t="inlineStr">
        <is>
          <t>M1</t>
        </is>
      </c>
      <c r="C2043" t="inlineStr">
        <is>
          <t>Cali</t>
        </is>
      </c>
      <c r="D2043" t="inlineStr">
        <is>
          <t>3930</t>
        </is>
      </c>
      <c r="E2043" t="inlineStr">
        <is>
          <t>pagado</t>
        </is>
      </c>
      <c r="F2043" s="23" t="n">
        <v>46266</v>
      </c>
      <c r="G2043" s="24">
        <f>F2043-DATE(2026,8,31)</f>
        <v>1</v>
      </c>
      <c r="H2043" s="25" t="n">
        <v>30098541</v>
      </c>
      <c r="I2043" t="inlineStr">
        <is>
          <t>entidad-dia</t>
        </is>
      </c>
    </row>
    <row r="2044">
      <c r="A2044" t="inlineStr">
        <is>
          <t>PRAGMA</t>
        </is>
      </c>
      <c r="B2044" t="inlineStr">
        <is>
          <t>M1</t>
        </is>
      </c>
      <c r="C2044" t="inlineStr">
        <is>
          <t>Cali</t>
        </is>
      </c>
      <c r="D2044" t="inlineStr">
        <is>
          <t>3930</t>
        </is>
      </c>
      <c r="E2044" t="inlineStr">
        <is>
          <t>pagado</t>
        </is>
      </c>
      <c r="F2044" s="23" t="n">
        <v>46267</v>
      </c>
      <c r="G2044" s="24">
        <f>F2044-DATE(2026,8,31)</f>
        <v>2</v>
      </c>
      <c r="H2044" s="25" t="n">
        <v>24051906</v>
      </c>
      <c r="I2044" t="inlineStr">
        <is>
          <t>entidad-dia</t>
        </is>
      </c>
    </row>
    <row r="2045">
      <c r="A2045" t="inlineStr">
        <is>
          <t>PRAGMA</t>
        </is>
      </c>
      <c r="B2045" t="inlineStr">
        <is>
          <t>M1</t>
        </is>
      </c>
      <c r="C2045" t="inlineStr">
        <is>
          <t>Cali</t>
        </is>
      </c>
      <c r="D2045" t="inlineStr">
        <is>
          <t>3930</t>
        </is>
      </c>
      <c r="E2045" t="inlineStr">
        <is>
          <t>pagado</t>
        </is>
      </c>
      <c r="F2045" s="23" t="n">
        <v>46268</v>
      </c>
      <c r="G2045" s="24">
        <f>F2045-DATE(2026,8,31)</f>
        <v>3</v>
      </c>
      <c r="H2045" s="25" t="n">
        <v>23163600</v>
      </c>
      <c r="I2045" t="inlineStr">
        <is>
          <t>entidad-dia</t>
        </is>
      </c>
    </row>
    <row r="2046">
      <c r="A2046" t="inlineStr">
        <is>
          <t>PRAGMA</t>
        </is>
      </c>
      <c r="B2046" t="inlineStr">
        <is>
          <t>M1</t>
        </is>
      </c>
      <c r="C2046" t="inlineStr">
        <is>
          <t>Cali</t>
        </is>
      </c>
      <c r="D2046" t="inlineStr">
        <is>
          <t>3930</t>
        </is>
      </c>
      <c r="E2046" t="inlineStr">
        <is>
          <t>pagado</t>
        </is>
      </c>
      <c r="F2046" s="23" t="n">
        <v>46269</v>
      </c>
      <c r="G2046" s="24">
        <f>F2046-DATE(2026,8,31)</f>
        <v>4</v>
      </c>
      <c r="H2046" s="25" t="n">
        <v>24512916</v>
      </c>
      <c r="I2046" t="inlineStr">
        <is>
          <t>entidad-dia</t>
        </is>
      </c>
    </row>
    <row r="2047">
      <c r="A2047" t="inlineStr">
        <is>
          <t>PRAGMA</t>
        </is>
      </c>
      <c r="B2047" t="inlineStr">
        <is>
          <t>M1</t>
        </is>
      </c>
      <c r="C2047" t="inlineStr">
        <is>
          <t>Cali</t>
        </is>
      </c>
      <c r="D2047" t="inlineStr">
        <is>
          <t>3930</t>
        </is>
      </c>
      <c r="E2047" t="inlineStr">
        <is>
          <t>pagado</t>
        </is>
      </c>
      <c r="F2047" s="23" t="n">
        <v>46270</v>
      </c>
      <c r="G2047" s="24">
        <f>F2047-DATE(2026,8,31)</f>
        <v>5</v>
      </c>
      <c r="H2047" s="25" t="n">
        <v>28748656</v>
      </c>
      <c r="I2047" t="inlineStr">
        <is>
          <t>entidad-dia</t>
        </is>
      </c>
    </row>
    <row r="2048">
      <c r="A2048" t="inlineStr">
        <is>
          <t>PRAGMA</t>
        </is>
      </c>
      <c r="B2048" t="inlineStr">
        <is>
          <t>M1</t>
        </is>
      </c>
      <c r="C2048" t="inlineStr">
        <is>
          <t>Cali</t>
        </is>
      </c>
      <c r="D2048" t="inlineStr">
        <is>
          <t>3930</t>
        </is>
      </c>
      <c r="E2048" t="inlineStr">
        <is>
          <t>pagado</t>
        </is>
      </c>
      <c r="F2048" s="23" t="n">
        <v>46271</v>
      </c>
      <c r="G2048" s="24">
        <f>F2048-DATE(2026,8,31)</f>
        <v>6</v>
      </c>
      <c r="H2048" s="25" t="n">
        <v>26350710</v>
      </c>
      <c r="I2048" t="inlineStr">
        <is>
          <t>entidad-dia</t>
        </is>
      </c>
    </row>
    <row r="2049">
      <c r="A2049" t="inlineStr">
        <is>
          <t>PRAGMA</t>
        </is>
      </c>
      <c r="B2049" t="inlineStr">
        <is>
          <t>M1</t>
        </is>
      </c>
      <c r="C2049" t="inlineStr">
        <is>
          <t>Cali</t>
        </is>
      </c>
      <c r="D2049" t="inlineStr">
        <is>
          <t>3930</t>
        </is>
      </c>
      <c r="E2049" t="inlineStr">
        <is>
          <t>pagado</t>
        </is>
      </c>
      <c r="F2049" s="23" t="n">
        <v>46272</v>
      </c>
      <c r="G2049" s="24">
        <f>F2049-DATE(2026,8,31)</f>
        <v>7</v>
      </c>
      <c r="H2049" s="25" t="n">
        <v>22112714</v>
      </c>
      <c r="I2049" t="inlineStr">
        <is>
          <t>entidad-dia</t>
        </is>
      </c>
    </row>
    <row r="2050">
      <c r="A2050" t="inlineStr">
        <is>
          <t>PRAGMA</t>
        </is>
      </c>
      <c r="B2050" t="inlineStr">
        <is>
          <t>M1</t>
        </is>
      </c>
      <c r="C2050" t="inlineStr">
        <is>
          <t>Cali</t>
        </is>
      </c>
      <c r="D2050" t="inlineStr">
        <is>
          <t>3930</t>
        </is>
      </c>
      <c r="E2050" t="inlineStr">
        <is>
          <t>pagado</t>
        </is>
      </c>
      <c r="F2050" s="23" t="n">
        <v>46273</v>
      </c>
      <c r="G2050" s="24">
        <f>F2050-DATE(2026,8,31)</f>
        <v>8</v>
      </c>
      <c r="H2050" s="25" t="n">
        <v>19848690</v>
      </c>
      <c r="I2050" t="inlineStr">
        <is>
          <t>entidad-dia</t>
        </is>
      </c>
    </row>
    <row r="2051">
      <c r="A2051" t="inlineStr">
        <is>
          <t>PRAGMA</t>
        </is>
      </c>
      <c r="B2051" t="inlineStr">
        <is>
          <t>M1</t>
        </is>
      </c>
      <c r="C2051" t="inlineStr">
        <is>
          <t>Cali</t>
        </is>
      </c>
      <c r="D2051" t="inlineStr">
        <is>
          <t>3930</t>
        </is>
      </c>
      <c r="E2051" t="inlineStr">
        <is>
          <t>pagado</t>
        </is>
      </c>
      <c r="F2051" s="23" t="n">
        <v>46274</v>
      </c>
      <c r="G2051" s="24">
        <f>F2051-DATE(2026,8,31)</f>
        <v>9</v>
      </c>
      <c r="H2051" s="25" t="n">
        <v>21837677</v>
      </c>
      <c r="I2051" t="inlineStr">
        <is>
          <t>entidad-dia</t>
        </is>
      </c>
    </row>
    <row r="2052">
      <c r="A2052" t="inlineStr">
        <is>
          <t>PRAGMA</t>
        </is>
      </c>
      <c r="B2052" t="inlineStr">
        <is>
          <t>M1</t>
        </is>
      </c>
      <c r="C2052" t="inlineStr">
        <is>
          <t>Cali</t>
        </is>
      </c>
      <c r="D2052" t="inlineStr">
        <is>
          <t>3930</t>
        </is>
      </c>
      <c r="E2052" t="inlineStr">
        <is>
          <t>pagado</t>
        </is>
      </c>
      <c r="F2052" s="23" t="n">
        <v>46275</v>
      </c>
      <c r="G2052" s="24">
        <f>F2052-DATE(2026,8,31)</f>
        <v>10</v>
      </c>
      <c r="H2052" s="25" t="n">
        <v>22512682</v>
      </c>
      <c r="I2052" t="inlineStr">
        <is>
          <t>entidad-dia</t>
        </is>
      </c>
    </row>
    <row r="2053">
      <c r="A2053" t="inlineStr">
        <is>
          <t>PRAGMA</t>
        </is>
      </c>
      <c r="B2053" t="inlineStr">
        <is>
          <t>M1</t>
        </is>
      </c>
      <c r="C2053" t="inlineStr">
        <is>
          <t>Cali</t>
        </is>
      </c>
      <c r="D2053" t="inlineStr">
        <is>
          <t>3930</t>
        </is>
      </c>
      <c r="E2053" t="inlineStr">
        <is>
          <t>pagado</t>
        </is>
      </c>
      <c r="F2053" s="23" t="n">
        <v>46276</v>
      </c>
      <c r="G2053" s="24">
        <f>F2053-DATE(2026,8,31)</f>
        <v>11</v>
      </c>
      <c r="H2053" s="25" t="n">
        <v>22316737</v>
      </c>
      <c r="I2053" t="inlineStr">
        <is>
          <t>entidad-dia</t>
        </is>
      </c>
    </row>
    <row r="2054">
      <c r="A2054" t="inlineStr">
        <is>
          <t>PRAGMA</t>
        </is>
      </c>
      <c r="B2054" t="inlineStr">
        <is>
          <t>M1</t>
        </is>
      </c>
      <c r="C2054" t="inlineStr">
        <is>
          <t>Cali</t>
        </is>
      </c>
      <c r="D2054" t="inlineStr">
        <is>
          <t>3930</t>
        </is>
      </c>
      <c r="E2054" t="inlineStr">
        <is>
          <t>pagado</t>
        </is>
      </c>
      <c r="F2054" s="23" t="n">
        <v>46277</v>
      </c>
      <c r="G2054" s="24">
        <f>F2054-DATE(2026,8,31)</f>
        <v>12</v>
      </c>
      <c r="H2054" s="25" t="n">
        <v>30201441</v>
      </c>
      <c r="I2054" t="inlineStr">
        <is>
          <t>entidad-dia</t>
        </is>
      </c>
    </row>
    <row r="2055">
      <c r="A2055" t="inlineStr">
        <is>
          <t>PRAGMA</t>
        </is>
      </c>
      <c r="B2055" t="inlineStr">
        <is>
          <t>M1</t>
        </is>
      </c>
      <c r="C2055" t="inlineStr">
        <is>
          <t>Cali</t>
        </is>
      </c>
      <c r="D2055" t="inlineStr">
        <is>
          <t>3930</t>
        </is>
      </c>
      <c r="E2055" t="inlineStr">
        <is>
          <t>pagado</t>
        </is>
      </c>
      <c r="F2055" s="23" t="n">
        <v>46278</v>
      </c>
      <c r="G2055" s="24">
        <f>F2055-DATE(2026,8,31)</f>
        <v>13</v>
      </c>
      <c r="H2055" s="25" t="n">
        <v>23146476</v>
      </c>
      <c r="I2055" t="inlineStr">
        <is>
          <t>entidad-dia</t>
        </is>
      </c>
    </row>
    <row r="2056">
      <c r="A2056" t="inlineStr">
        <is>
          <t>PRAGMA</t>
        </is>
      </c>
      <c r="B2056" t="inlineStr">
        <is>
          <t>M1</t>
        </is>
      </c>
      <c r="C2056" t="inlineStr">
        <is>
          <t>Cali</t>
        </is>
      </c>
      <c r="D2056" t="inlineStr">
        <is>
          <t>3930</t>
        </is>
      </c>
      <c r="E2056" t="inlineStr">
        <is>
          <t>pagado</t>
        </is>
      </c>
      <c r="F2056" s="23" t="n">
        <v>46279</v>
      </c>
      <c r="G2056" s="24">
        <f>F2056-DATE(2026,8,31)</f>
        <v>14</v>
      </c>
      <c r="H2056" s="25" t="n">
        <v>23586328</v>
      </c>
      <c r="I2056" t="inlineStr">
        <is>
          <t>entidad-dia</t>
        </is>
      </c>
    </row>
    <row r="2057">
      <c r="A2057" t="inlineStr">
        <is>
          <t>PRAGMA</t>
        </is>
      </c>
      <c r="B2057" t="inlineStr">
        <is>
          <t>M1</t>
        </is>
      </c>
      <c r="C2057" t="inlineStr">
        <is>
          <t>Cali</t>
        </is>
      </c>
      <c r="D2057" t="inlineStr">
        <is>
          <t>3930</t>
        </is>
      </c>
      <c r="E2057" t="inlineStr">
        <is>
          <t>pagado</t>
        </is>
      </c>
      <c r="F2057" s="23" t="n">
        <v>46280</v>
      </c>
      <c r="G2057" s="24">
        <f>F2057-DATE(2026,8,31)</f>
        <v>15</v>
      </c>
      <c r="H2057" s="25" t="n">
        <v>32865959</v>
      </c>
      <c r="I2057" t="inlineStr">
        <is>
          <t>entidad-dia</t>
        </is>
      </c>
    </row>
    <row r="2058">
      <c r="A2058" t="inlineStr">
        <is>
          <t>PRAGMA</t>
        </is>
      </c>
      <c r="B2058" t="inlineStr">
        <is>
          <t>M1</t>
        </is>
      </c>
      <c r="C2058" t="inlineStr">
        <is>
          <t>Cali</t>
        </is>
      </c>
      <c r="D2058" t="inlineStr">
        <is>
          <t>3942</t>
        </is>
      </c>
      <c r="E2058" t="inlineStr">
        <is>
          <t>pagado</t>
        </is>
      </c>
      <c r="F2058" s="23" t="n">
        <v>46266</v>
      </c>
      <c r="G2058" s="24">
        <f>F2058-DATE(2026,8,31)</f>
        <v>1</v>
      </c>
      <c r="H2058" s="25" t="n">
        <v>149367861</v>
      </c>
      <c r="I2058" t="inlineStr">
        <is>
          <t>entidad-dia</t>
        </is>
      </c>
    </row>
    <row r="2059">
      <c r="A2059" t="inlineStr">
        <is>
          <t>PRAGMA</t>
        </is>
      </c>
      <c r="B2059" t="inlineStr">
        <is>
          <t>M1</t>
        </is>
      </c>
      <c r="C2059" t="inlineStr">
        <is>
          <t>Cali</t>
        </is>
      </c>
      <c r="D2059" t="inlineStr">
        <is>
          <t>3942</t>
        </is>
      </c>
      <c r="E2059" t="inlineStr">
        <is>
          <t>pagado</t>
        </is>
      </c>
      <c r="F2059" s="23" t="n">
        <v>46267</v>
      </c>
      <c r="G2059" s="24">
        <f>F2059-DATE(2026,8,31)</f>
        <v>2</v>
      </c>
      <c r="H2059" s="25" t="n">
        <v>113151974</v>
      </c>
      <c r="I2059" t="inlineStr">
        <is>
          <t>entidad-dia</t>
        </is>
      </c>
    </row>
    <row r="2060">
      <c r="A2060" t="inlineStr">
        <is>
          <t>PRAGMA</t>
        </is>
      </c>
      <c r="B2060" t="inlineStr">
        <is>
          <t>M1</t>
        </is>
      </c>
      <c r="C2060" t="inlineStr">
        <is>
          <t>Cali</t>
        </is>
      </c>
      <c r="D2060" t="inlineStr">
        <is>
          <t>3942</t>
        </is>
      </c>
      <c r="E2060" t="inlineStr">
        <is>
          <t>pagado</t>
        </is>
      </c>
      <c r="F2060" s="23" t="n">
        <v>46268</v>
      </c>
      <c r="G2060" s="24">
        <f>F2060-DATE(2026,8,31)</f>
        <v>3</v>
      </c>
      <c r="H2060" s="25" t="n">
        <v>104869296</v>
      </c>
      <c r="I2060" t="inlineStr">
        <is>
          <t>entidad-dia</t>
        </is>
      </c>
    </row>
    <row r="2061">
      <c r="A2061" t="inlineStr">
        <is>
          <t>PRAGMA</t>
        </is>
      </c>
      <c r="B2061" t="inlineStr">
        <is>
          <t>M1</t>
        </is>
      </c>
      <c r="C2061" t="inlineStr">
        <is>
          <t>Cali</t>
        </is>
      </c>
      <c r="D2061" t="inlineStr">
        <is>
          <t>3942</t>
        </is>
      </c>
      <c r="E2061" t="inlineStr">
        <is>
          <t>pagado</t>
        </is>
      </c>
      <c r="F2061" s="23" t="n">
        <v>46269</v>
      </c>
      <c r="G2061" s="24">
        <f>F2061-DATE(2026,8,31)</f>
        <v>4</v>
      </c>
      <c r="H2061" s="25" t="n">
        <v>109609624</v>
      </c>
      <c r="I2061" t="inlineStr">
        <is>
          <t>entidad-dia</t>
        </is>
      </c>
    </row>
    <row r="2062">
      <c r="A2062" t="inlineStr">
        <is>
          <t>PRAGMA</t>
        </is>
      </c>
      <c r="B2062" t="inlineStr">
        <is>
          <t>M1</t>
        </is>
      </c>
      <c r="C2062" t="inlineStr">
        <is>
          <t>Cali</t>
        </is>
      </c>
      <c r="D2062" t="inlineStr">
        <is>
          <t>3942</t>
        </is>
      </c>
      <c r="E2062" t="inlineStr">
        <is>
          <t>pagado</t>
        </is>
      </c>
      <c r="F2062" s="23" t="n">
        <v>46270</v>
      </c>
      <c r="G2062" s="24">
        <f>F2062-DATE(2026,8,31)</f>
        <v>5</v>
      </c>
      <c r="H2062" s="25" t="n">
        <v>111043090</v>
      </c>
      <c r="I2062" t="inlineStr">
        <is>
          <t>entidad-dia</t>
        </is>
      </c>
    </row>
    <row r="2063">
      <c r="A2063" t="inlineStr">
        <is>
          <t>PRAGMA</t>
        </is>
      </c>
      <c r="B2063" t="inlineStr">
        <is>
          <t>M1</t>
        </is>
      </c>
      <c r="C2063" t="inlineStr">
        <is>
          <t>Cali</t>
        </is>
      </c>
      <c r="D2063" t="inlineStr">
        <is>
          <t>3942</t>
        </is>
      </c>
      <c r="E2063" t="inlineStr">
        <is>
          <t>pagado</t>
        </is>
      </c>
      <c r="F2063" s="23" t="n">
        <v>46271</v>
      </c>
      <c r="G2063" s="24">
        <f>F2063-DATE(2026,8,31)</f>
        <v>6</v>
      </c>
      <c r="H2063" s="25" t="n">
        <v>84287276</v>
      </c>
      <c r="I2063" t="inlineStr">
        <is>
          <t>entidad-dia</t>
        </is>
      </c>
    </row>
    <row r="2064">
      <c r="A2064" t="inlineStr">
        <is>
          <t>PRAGMA</t>
        </is>
      </c>
      <c r="B2064" t="inlineStr">
        <is>
          <t>M1</t>
        </is>
      </c>
      <c r="C2064" t="inlineStr">
        <is>
          <t>Cali</t>
        </is>
      </c>
      <c r="D2064" t="inlineStr">
        <is>
          <t>3942</t>
        </is>
      </c>
      <c r="E2064" t="inlineStr">
        <is>
          <t>pagado</t>
        </is>
      </c>
      <c r="F2064" s="23" t="n">
        <v>46272</v>
      </c>
      <c r="G2064" s="24">
        <f>F2064-DATE(2026,8,31)</f>
        <v>7</v>
      </c>
      <c r="H2064" s="25" t="n">
        <v>76718685</v>
      </c>
      <c r="I2064" t="inlineStr">
        <is>
          <t>entidad-dia</t>
        </is>
      </c>
    </row>
    <row r="2065">
      <c r="A2065" t="inlineStr">
        <is>
          <t>PRAGMA</t>
        </is>
      </c>
      <c r="B2065" t="inlineStr">
        <is>
          <t>M1</t>
        </is>
      </c>
      <c r="C2065" t="inlineStr">
        <is>
          <t>Cali</t>
        </is>
      </c>
      <c r="D2065" t="inlineStr">
        <is>
          <t>3942</t>
        </is>
      </c>
      <c r="E2065" t="inlineStr">
        <is>
          <t>pagado</t>
        </is>
      </c>
      <c r="F2065" s="23" t="n">
        <v>46273</v>
      </c>
      <c r="G2065" s="24">
        <f>F2065-DATE(2026,8,31)</f>
        <v>8</v>
      </c>
      <c r="H2065" s="25" t="n">
        <v>81297346</v>
      </c>
      <c r="I2065" t="inlineStr">
        <is>
          <t>entidad-dia</t>
        </is>
      </c>
    </row>
    <row r="2066">
      <c r="A2066" t="inlineStr">
        <is>
          <t>PRAGMA</t>
        </is>
      </c>
      <c r="B2066" t="inlineStr">
        <is>
          <t>M1</t>
        </is>
      </c>
      <c r="C2066" t="inlineStr">
        <is>
          <t>Cali</t>
        </is>
      </c>
      <c r="D2066" t="inlineStr">
        <is>
          <t>3942</t>
        </is>
      </c>
      <c r="E2066" t="inlineStr">
        <is>
          <t>pagado</t>
        </is>
      </c>
      <c r="F2066" s="23" t="n">
        <v>46274</v>
      </c>
      <c r="G2066" s="24">
        <f>F2066-DATE(2026,8,31)</f>
        <v>9</v>
      </c>
      <c r="H2066" s="25" t="n">
        <v>79775389</v>
      </c>
      <c r="I2066" t="inlineStr">
        <is>
          <t>entidad-dia</t>
        </is>
      </c>
    </row>
    <row r="2067">
      <c r="A2067" t="inlineStr">
        <is>
          <t>PRAGMA</t>
        </is>
      </c>
      <c r="B2067" t="inlineStr">
        <is>
          <t>M1</t>
        </is>
      </c>
      <c r="C2067" t="inlineStr">
        <is>
          <t>Cali</t>
        </is>
      </c>
      <c r="D2067" t="inlineStr">
        <is>
          <t>3942</t>
        </is>
      </c>
      <c r="E2067" t="inlineStr">
        <is>
          <t>pagado</t>
        </is>
      </c>
      <c r="F2067" s="23" t="n">
        <v>46275</v>
      </c>
      <c r="G2067" s="24">
        <f>F2067-DATE(2026,8,31)</f>
        <v>10</v>
      </c>
      <c r="H2067" s="25" t="n">
        <v>79910917</v>
      </c>
      <c r="I2067" t="inlineStr">
        <is>
          <t>entidad-dia</t>
        </is>
      </c>
    </row>
    <row r="2068">
      <c r="A2068" t="inlineStr">
        <is>
          <t>PRAGMA</t>
        </is>
      </c>
      <c r="B2068" t="inlineStr">
        <is>
          <t>M1</t>
        </is>
      </c>
      <c r="C2068" t="inlineStr">
        <is>
          <t>Cali</t>
        </is>
      </c>
      <c r="D2068" t="inlineStr">
        <is>
          <t>3942</t>
        </is>
      </c>
      <c r="E2068" t="inlineStr">
        <is>
          <t>pagado</t>
        </is>
      </c>
      <c r="F2068" s="23" t="n">
        <v>46276</v>
      </c>
      <c r="G2068" s="24">
        <f>F2068-DATE(2026,8,31)</f>
        <v>11</v>
      </c>
      <c r="H2068" s="25" t="n">
        <v>91677641</v>
      </c>
      <c r="I2068" t="inlineStr">
        <is>
          <t>entidad-dia</t>
        </is>
      </c>
    </row>
    <row r="2069">
      <c r="A2069" t="inlineStr">
        <is>
          <t>PRAGMA</t>
        </is>
      </c>
      <c r="B2069" t="inlineStr">
        <is>
          <t>M1</t>
        </is>
      </c>
      <c r="C2069" t="inlineStr">
        <is>
          <t>Cali</t>
        </is>
      </c>
      <c r="D2069" t="inlineStr">
        <is>
          <t>3942</t>
        </is>
      </c>
      <c r="E2069" t="inlineStr">
        <is>
          <t>pagado</t>
        </is>
      </c>
      <c r="F2069" s="23" t="n">
        <v>46277</v>
      </c>
      <c r="G2069" s="24">
        <f>F2069-DATE(2026,8,31)</f>
        <v>12</v>
      </c>
      <c r="H2069" s="25" t="n">
        <v>89429984</v>
      </c>
      <c r="I2069" t="inlineStr">
        <is>
          <t>entidad-dia</t>
        </is>
      </c>
    </row>
    <row r="2070">
      <c r="A2070" t="inlineStr">
        <is>
          <t>PRAGMA</t>
        </is>
      </c>
      <c r="B2070" t="inlineStr">
        <is>
          <t>M1</t>
        </is>
      </c>
      <c r="C2070" t="inlineStr">
        <is>
          <t>Cali</t>
        </is>
      </c>
      <c r="D2070" t="inlineStr">
        <is>
          <t>3942</t>
        </is>
      </c>
      <c r="E2070" t="inlineStr">
        <is>
          <t>pagado</t>
        </is>
      </c>
      <c r="F2070" s="23" t="n">
        <v>46278</v>
      </c>
      <c r="G2070" s="24">
        <f>F2070-DATE(2026,8,31)</f>
        <v>13</v>
      </c>
      <c r="H2070" s="25" t="n">
        <v>65165400</v>
      </c>
      <c r="I2070" t="inlineStr">
        <is>
          <t>entidad-dia</t>
        </is>
      </c>
    </row>
    <row r="2071">
      <c r="A2071" t="inlineStr">
        <is>
          <t>PRAGMA</t>
        </is>
      </c>
      <c r="B2071" t="inlineStr">
        <is>
          <t>M1</t>
        </is>
      </c>
      <c r="C2071" t="inlineStr">
        <is>
          <t>Cali</t>
        </is>
      </c>
      <c r="D2071" t="inlineStr">
        <is>
          <t>3942</t>
        </is>
      </c>
      <c r="E2071" t="inlineStr">
        <is>
          <t>pagado</t>
        </is>
      </c>
      <c r="F2071" s="23" t="n">
        <v>46279</v>
      </c>
      <c r="G2071" s="24">
        <f>F2071-DATE(2026,8,31)</f>
        <v>14</v>
      </c>
      <c r="H2071" s="25" t="n">
        <v>75906297</v>
      </c>
      <c r="I2071" t="inlineStr">
        <is>
          <t>entidad-dia</t>
        </is>
      </c>
    </row>
    <row r="2072">
      <c r="A2072" t="inlineStr">
        <is>
          <t>PRAGMA</t>
        </is>
      </c>
      <c r="B2072" t="inlineStr">
        <is>
          <t>M1</t>
        </is>
      </c>
      <c r="C2072" t="inlineStr">
        <is>
          <t>Cali</t>
        </is>
      </c>
      <c r="D2072" t="inlineStr">
        <is>
          <t>3942</t>
        </is>
      </c>
      <c r="E2072" t="inlineStr">
        <is>
          <t>pagado</t>
        </is>
      </c>
      <c r="F2072" s="23" t="n">
        <v>46280</v>
      </c>
      <c r="G2072" s="24">
        <f>F2072-DATE(2026,8,31)</f>
        <v>15</v>
      </c>
      <c r="H2072" s="25" t="n">
        <v>111333383</v>
      </c>
      <c r="I2072" t="inlineStr">
        <is>
          <t>entidad-dia</t>
        </is>
      </c>
    </row>
    <row r="2073">
      <c r="A2073" t="inlineStr">
        <is>
          <t>PRAGMA</t>
        </is>
      </c>
      <c r="B2073" t="inlineStr">
        <is>
          <t>M1</t>
        </is>
      </c>
      <c r="C2073" t="inlineStr">
        <is>
          <t>Cali</t>
        </is>
      </c>
      <c r="D2073" t="inlineStr">
        <is>
          <t>3946</t>
        </is>
      </c>
      <c r="E2073" t="inlineStr">
        <is>
          <t>pagado</t>
        </is>
      </c>
      <c r="F2073" s="23" t="n">
        <v>46266</v>
      </c>
      <c r="G2073" s="24">
        <f>F2073-DATE(2026,8,31)</f>
        <v>1</v>
      </c>
      <c r="H2073" s="25" t="n">
        <v>181667725</v>
      </c>
      <c r="I2073" t="inlineStr">
        <is>
          <t>entidad-dia</t>
        </is>
      </c>
    </row>
    <row r="2074">
      <c r="A2074" t="inlineStr">
        <is>
          <t>PRAGMA</t>
        </is>
      </c>
      <c r="B2074" t="inlineStr">
        <is>
          <t>M1</t>
        </is>
      </c>
      <c r="C2074" t="inlineStr">
        <is>
          <t>Cali</t>
        </is>
      </c>
      <c r="D2074" t="inlineStr">
        <is>
          <t>3946</t>
        </is>
      </c>
      <c r="E2074" t="inlineStr">
        <is>
          <t>pagado</t>
        </is>
      </c>
      <c r="F2074" s="23" t="n">
        <v>46267</v>
      </c>
      <c r="G2074" s="24">
        <f>F2074-DATE(2026,8,31)</f>
        <v>2</v>
      </c>
      <c r="H2074" s="25" t="n">
        <v>151380612</v>
      </c>
      <c r="I2074" t="inlineStr">
        <is>
          <t>entidad-dia</t>
        </is>
      </c>
    </row>
    <row r="2075">
      <c r="A2075" t="inlineStr">
        <is>
          <t>PRAGMA</t>
        </is>
      </c>
      <c r="B2075" t="inlineStr">
        <is>
          <t>M1</t>
        </is>
      </c>
      <c r="C2075" t="inlineStr">
        <is>
          <t>Cali</t>
        </is>
      </c>
      <c r="D2075" t="inlineStr">
        <is>
          <t>3946</t>
        </is>
      </c>
      <c r="E2075" t="inlineStr">
        <is>
          <t>pagado</t>
        </is>
      </c>
      <c r="F2075" s="23" t="n">
        <v>46268</v>
      </c>
      <c r="G2075" s="24">
        <f>F2075-DATE(2026,8,31)</f>
        <v>3</v>
      </c>
      <c r="H2075" s="25" t="n">
        <v>134455177</v>
      </c>
      <c r="I2075" t="inlineStr">
        <is>
          <t>entidad-dia</t>
        </is>
      </c>
    </row>
    <row r="2076">
      <c r="A2076" t="inlineStr">
        <is>
          <t>PRAGMA</t>
        </is>
      </c>
      <c r="B2076" t="inlineStr">
        <is>
          <t>M1</t>
        </is>
      </c>
      <c r="C2076" t="inlineStr">
        <is>
          <t>Cali</t>
        </is>
      </c>
      <c r="D2076" t="inlineStr">
        <is>
          <t>3946</t>
        </is>
      </c>
      <c r="E2076" t="inlineStr">
        <is>
          <t>pagado</t>
        </is>
      </c>
      <c r="F2076" s="23" t="n">
        <v>46269</v>
      </c>
      <c r="G2076" s="24">
        <f>F2076-DATE(2026,8,31)</f>
        <v>4</v>
      </c>
      <c r="H2076" s="25" t="n">
        <v>136520495</v>
      </c>
      <c r="I2076" t="inlineStr">
        <is>
          <t>entidad-dia</t>
        </is>
      </c>
    </row>
    <row r="2077">
      <c r="A2077" t="inlineStr">
        <is>
          <t>PRAGMA</t>
        </is>
      </c>
      <c r="B2077" t="inlineStr">
        <is>
          <t>M1</t>
        </is>
      </c>
      <c r="C2077" t="inlineStr">
        <is>
          <t>Cali</t>
        </is>
      </c>
      <c r="D2077" t="inlineStr">
        <is>
          <t>3946</t>
        </is>
      </c>
      <c r="E2077" t="inlineStr">
        <is>
          <t>pagado</t>
        </is>
      </c>
      <c r="F2077" s="23" t="n">
        <v>46270</v>
      </c>
      <c r="G2077" s="24">
        <f>F2077-DATE(2026,8,31)</f>
        <v>5</v>
      </c>
      <c r="H2077" s="25" t="n">
        <v>148794646</v>
      </c>
      <c r="I2077" t="inlineStr">
        <is>
          <t>entidad-dia</t>
        </is>
      </c>
    </row>
    <row r="2078">
      <c r="A2078" t="inlineStr">
        <is>
          <t>PRAGMA</t>
        </is>
      </c>
      <c r="B2078" t="inlineStr">
        <is>
          <t>M1</t>
        </is>
      </c>
      <c r="C2078" t="inlineStr">
        <is>
          <t>Cali</t>
        </is>
      </c>
      <c r="D2078" t="inlineStr">
        <is>
          <t>3946</t>
        </is>
      </c>
      <c r="E2078" t="inlineStr">
        <is>
          <t>pagado</t>
        </is>
      </c>
      <c r="F2078" s="23" t="n">
        <v>46271</v>
      </c>
      <c r="G2078" s="24">
        <f>F2078-DATE(2026,8,31)</f>
        <v>6</v>
      </c>
      <c r="H2078" s="25" t="n">
        <v>103913968</v>
      </c>
      <c r="I2078" t="inlineStr">
        <is>
          <t>entidad-dia</t>
        </is>
      </c>
    </row>
    <row r="2079">
      <c r="A2079" t="inlineStr">
        <is>
          <t>PRAGMA</t>
        </is>
      </c>
      <c r="B2079" t="inlineStr">
        <is>
          <t>M1</t>
        </is>
      </c>
      <c r="C2079" t="inlineStr">
        <is>
          <t>Cali</t>
        </is>
      </c>
      <c r="D2079" t="inlineStr">
        <is>
          <t>3946</t>
        </is>
      </c>
      <c r="E2079" t="inlineStr">
        <is>
          <t>pagado</t>
        </is>
      </c>
      <c r="F2079" s="23" t="n">
        <v>46272</v>
      </c>
      <c r="G2079" s="24">
        <f>F2079-DATE(2026,8,31)</f>
        <v>7</v>
      </c>
      <c r="H2079" s="25" t="n">
        <v>97250642</v>
      </c>
      <c r="I2079" t="inlineStr">
        <is>
          <t>entidad-dia</t>
        </is>
      </c>
    </row>
    <row r="2080">
      <c r="A2080" t="inlineStr">
        <is>
          <t>PRAGMA</t>
        </is>
      </c>
      <c r="B2080" t="inlineStr">
        <is>
          <t>M1</t>
        </is>
      </c>
      <c r="C2080" t="inlineStr">
        <is>
          <t>Cali</t>
        </is>
      </c>
      <c r="D2080" t="inlineStr">
        <is>
          <t>3946</t>
        </is>
      </c>
      <c r="E2080" t="inlineStr">
        <is>
          <t>pagado</t>
        </is>
      </c>
      <c r="F2080" s="23" t="n">
        <v>46273</v>
      </c>
      <c r="G2080" s="24">
        <f>F2080-DATE(2026,8,31)</f>
        <v>8</v>
      </c>
      <c r="H2080" s="25" t="n">
        <v>103191182</v>
      </c>
      <c r="I2080" t="inlineStr">
        <is>
          <t>entidad-dia</t>
        </is>
      </c>
    </row>
    <row r="2081">
      <c r="A2081" t="inlineStr">
        <is>
          <t>PRAGMA</t>
        </is>
      </c>
      <c r="B2081" t="inlineStr">
        <is>
          <t>M1</t>
        </is>
      </c>
      <c r="C2081" t="inlineStr">
        <is>
          <t>Cali</t>
        </is>
      </c>
      <c r="D2081" t="inlineStr">
        <is>
          <t>3946</t>
        </is>
      </c>
      <c r="E2081" t="inlineStr">
        <is>
          <t>pagado</t>
        </is>
      </c>
      <c r="F2081" s="23" t="n">
        <v>46274</v>
      </c>
      <c r="G2081" s="24">
        <f>F2081-DATE(2026,8,31)</f>
        <v>9</v>
      </c>
      <c r="H2081" s="25" t="n">
        <v>98990570</v>
      </c>
      <c r="I2081" t="inlineStr">
        <is>
          <t>entidad-dia</t>
        </is>
      </c>
    </row>
    <row r="2082">
      <c r="A2082" t="inlineStr">
        <is>
          <t>PRAGMA</t>
        </is>
      </c>
      <c r="B2082" t="inlineStr">
        <is>
          <t>M1</t>
        </is>
      </c>
      <c r="C2082" t="inlineStr">
        <is>
          <t>Cali</t>
        </is>
      </c>
      <c r="D2082" t="inlineStr">
        <is>
          <t>3946</t>
        </is>
      </c>
      <c r="E2082" t="inlineStr">
        <is>
          <t>pagado</t>
        </is>
      </c>
      <c r="F2082" s="23" t="n">
        <v>46275</v>
      </c>
      <c r="G2082" s="24">
        <f>F2082-DATE(2026,8,31)</f>
        <v>10</v>
      </c>
      <c r="H2082" s="25" t="n">
        <v>92413261</v>
      </c>
      <c r="I2082" t="inlineStr">
        <is>
          <t>entidad-dia</t>
        </is>
      </c>
    </row>
    <row r="2083">
      <c r="A2083" t="inlineStr">
        <is>
          <t>PRAGMA</t>
        </is>
      </c>
      <c r="B2083" t="inlineStr">
        <is>
          <t>M1</t>
        </is>
      </c>
      <c r="C2083" t="inlineStr">
        <is>
          <t>Cali</t>
        </is>
      </c>
      <c r="D2083" t="inlineStr">
        <is>
          <t>3946</t>
        </is>
      </c>
      <c r="E2083" t="inlineStr">
        <is>
          <t>pagado</t>
        </is>
      </c>
      <c r="F2083" s="23" t="n">
        <v>46276</v>
      </c>
      <c r="G2083" s="24">
        <f>F2083-DATE(2026,8,31)</f>
        <v>11</v>
      </c>
      <c r="H2083" s="25" t="n">
        <v>102798000</v>
      </c>
      <c r="I2083" t="inlineStr">
        <is>
          <t>entidad-dia</t>
        </is>
      </c>
    </row>
    <row r="2084">
      <c r="A2084" t="inlineStr">
        <is>
          <t>PRAGMA</t>
        </is>
      </c>
      <c r="B2084" t="inlineStr">
        <is>
          <t>M1</t>
        </is>
      </c>
      <c r="C2084" t="inlineStr">
        <is>
          <t>Cali</t>
        </is>
      </c>
      <c r="D2084" t="inlineStr">
        <is>
          <t>3946</t>
        </is>
      </c>
      <c r="E2084" t="inlineStr">
        <is>
          <t>pagado</t>
        </is>
      </c>
      <c r="F2084" s="23" t="n">
        <v>46277</v>
      </c>
      <c r="G2084" s="24">
        <f>F2084-DATE(2026,8,31)</f>
        <v>12</v>
      </c>
      <c r="H2084" s="25" t="n">
        <v>103106404</v>
      </c>
      <c r="I2084" t="inlineStr">
        <is>
          <t>entidad-dia</t>
        </is>
      </c>
    </row>
    <row r="2085">
      <c r="A2085" t="inlineStr">
        <is>
          <t>PRAGMA</t>
        </is>
      </c>
      <c r="B2085" t="inlineStr">
        <is>
          <t>M1</t>
        </is>
      </c>
      <c r="C2085" t="inlineStr">
        <is>
          <t>Cali</t>
        </is>
      </c>
      <c r="D2085" t="inlineStr">
        <is>
          <t>3946</t>
        </is>
      </c>
      <c r="E2085" t="inlineStr">
        <is>
          <t>pagado</t>
        </is>
      </c>
      <c r="F2085" s="23" t="n">
        <v>46278</v>
      </c>
      <c r="G2085" s="24">
        <f>F2085-DATE(2026,8,31)</f>
        <v>13</v>
      </c>
      <c r="H2085" s="25" t="n">
        <v>82943800</v>
      </c>
      <c r="I2085" t="inlineStr">
        <is>
          <t>entidad-dia</t>
        </is>
      </c>
    </row>
    <row r="2086">
      <c r="A2086" t="inlineStr">
        <is>
          <t>PRAGMA</t>
        </is>
      </c>
      <c r="B2086" t="inlineStr">
        <is>
          <t>M1</t>
        </is>
      </c>
      <c r="C2086" t="inlineStr">
        <is>
          <t>Cali</t>
        </is>
      </c>
      <c r="D2086" t="inlineStr">
        <is>
          <t>3946</t>
        </is>
      </c>
      <c r="E2086" t="inlineStr">
        <is>
          <t>pagado</t>
        </is>
      </c>
      <c r="F2086" s="23" t="n">
        <v>46279</v>
      </c>
      <c r="G2086" s="24">
        <f>F2086-DATE(2026,8,31)</f>
        <v>14</v>
      </c>
      <c r="H2086" s="25" t="n">
        <v>97929360</v>
      </c>
      <c r="I2086" t="inlineStr">
        <is>
          <t>entidad-dia</t>
        </is>
      </c>
    </row>
    <row r="2087">
      <c r="A2087" t="inlineStr">
        <is>
          <t>PRAGMA</t>
        </is>
      </c>
      <c r="B2087" t="inlineStr">
        <is>
          <t>M1</t>
        </is>
      </c>
      <c r="C2087" t="inlineStr">
        <is>
          <t>Cali</t>
        </is>
      </c>
      <c r="D2087" t="inlineStr">
        <is>
          <t>3946</t>
        </is>
      </c>
      <c r="E2087" t="inlineStr">
        <is>
          <t>pagado</t>
        </is>
      </c>
      <c r="F2087" s="23" t="n">
        <v>46280</v>
      </c>
      <c r="G2087" s="24">
        <f>F2087-DATE(2026,8,31)</f>
        <v>15</v>
      </c>
      <c r="H2087" s="25" t="n">
        <v>144821238</v>
      </c>
      <c r="I2087" t="inlineStr">
        <is>
          <t>entidad-dia</t>
        </is>
      </c>
    </row>
    <row r="2088">
      <c r="A2088" t="inlineStr">
        <is>
          <t>PRAGMA</t>
        </is>
      </c>
      <c r="B2088" t="inlineStr">
        <is>
          <t>M1</t>
        </is>
      </c>
      <c r="C2088" t="inlineStr">
        <is>
          <t>Pasto</t>
        </is>
      </c>
      <c r="D2088" t="inlineStr">
        <is>
          <t>3952</t>
        </is>
      </c>
      <c r="E2088" t="inlineStr">
        <is>
          <t>pagado</t>
        </is>
      </c>
      <c r="F2088" s="23" t="n">
        <v>46266</v>
      </c>
      <c r="G2088" s="24">
        <f>F2088-DATE(2026,8,31)</f>
        <v>1</v>
      </c>
      <c r="H2088" s="25" t="n">
        <v>150407618</v>
      </c>
      <c r="I2088" t="inlineStr">
        <is>
          <t>entidad-dia</t>
        </is>
      </c>
    </row>
    <row r="2089">
      <c r="A2089" t="inlineStr">
        <is>
          <t>PRAGMA</t>
        </is>
      </c>
      <c r="B2089" t="inlineStr">
        <is>
          <t>M1</t>
        </is>
      </c>
      <c r="C2089" t="inlineStr">
        <is>
          <t>Pasto</t>
        </is>
      </c>
      <c r="D2089" t="inlineStr">
        <is>
          <t>3952</t>
        </is>
      </c>
      <c r="E2089" t="inlineStr">
        <is>
          <t>pagado</t>
        </is>
      </c>
      <c r="F2089" s="23" t="n">
        <v>46267</v>
      </c>
      <c r="G2089" s="24">
        <f>F2089-DATE(2026,8,31)</f>
        <v>2</v>
      </c>
      <c r="H2089" s="25" t="n">
        <v>109145827</v>
      </c>
      <c r="I2089" t="inlineStr">
        <is>
          <t>entidad-dia</t>
        </is>
      </c>
    </row>
    <row r="2090">
      <c r="A2090" t="inlineStr">
        <is>
          <t>PRAGMA</t>
        </is>
      </c>
      <c r="B2090" t="inlineStr">
        <is>
          <t>M1</t>
        </is>
      </c>
      <c r="C2090" t="inlineStr">
        <is>
          <t>Pasto</t>
        </is>
      </c>
      <c r="D2090" t="inlineStr">
        <is>
          <t>3952</t>
        </is>
      </c>
      <c r="E2090" t="inlineStr">
        <is>
          <t>pagado</t>
        </is>
      </c>
      <c r="F2090" s="23" t="n">
        <v>46268</v>
      </c>
      <c r="G2090" s="24">
        <f>F2090-DATE(2026,8,31)</f>
        <v>3</v>
      </c>
      <c r="H2090" s="25" t="n">
        <v>107567667</v>
      </c>
      <c r="I2090" t="inlineStr">
        <is>
          <t>entidad-dia</t>
        </is>
      </c>
    </row>
    <row r="2091">
      <c r="A2091" t="inlineStr">
        <is>
          <t>PRAGMA</t>
        </is>
      </c>
      <c r="B2091" t="inlineStr">
        <is>
          <t>M1</t>
        </is>
      </c>
      <c r="C2091" t="inlineStr">
        <is>
          <t>Pasto</t>
        </is>
      </c>
      <c r="D2091" t="inlineStr">
        <is>
          <t>3952</t>
        </is>
      </c>
      <c r="E2091" t="inlineStr">
        <is>
          <t>pagado</t>
        </is>
      </c>
      <c r="F2091" s="23" t="n">
        <v>46269</v>
      </c>
      <c r="G2091" s="24">
        <f>F2091-DATE(2026,8,31)</f>
        <v>4</v>
      </c>
      <c r="H2091" s="25" t="n">
        <v>109502373</v>
      </c>
      <c r="I2091" t="inlineStr">
        <is>
          <t>entidad-dia</t>
        </is>
      </c>
    </row>
    <row r="2092">
      <c r="A2092" t="inlineStr">
        <is>
          <t>PRAGMA</t>
        </is>
      </c>
      <c r="B2092" t="inlineStr">
        <is>
          <t>M1</t>
        </is>
      </c>
      <c r="C2092" t="inlineStr">
        <is>
          <t>Pasto</t>
        </is>
      </c>
      <c r="D2092" t="inlineStr">
        <is>
          <t>3952</t>
        </is>
      </c>
      <c r="E2092" t="inlineStr">
        <is>
          <t>pagado</t>
        </is>
      </c>
      <c r="F2092" s="23" t="n">
        <v>46270</v>
      </c>
      <c r="G2092" s="24">
        <f>F2092-DATE(2026,8,31)</f>
        <v>5</v>
      </c>
      <c r="H2092" s="25" t="n">
        <v>109832523</v>
      </c>
      <c r="I2092" t="inlineStr">
        <is>
          <t>entidad-dia</t>
        </is>
      </c>
    </row>
    <row r="2093">
      <c r="A2093" t="inlineStr">
        <is>
          <t>PRAGMA</t>
        </is>
      </c>
      <c r="B2093" t="inlineStr">
        <is>
          <t>M1</t>
        </is>
      </c>
      <c r="C2093" t="inlineStr">
        <is>
          <t>Pasto</t>
        </is>
      </c>
      <c r="D2093" t="inlineStr">
        <is>
          <t>3952</t>
        </is>
      </c>
      <c r="E2093" t="inlineStr">
        <is>
          <t>pagado</t>
        </is>
      </c>
      <c r="F2093" s="23" t="n">
        <v>46271</v>
      </c>
      <c r="G2093" s="24">
        <f>F2093-DATE(2026,8,31)</f>
        <v>6</v>
      </c>
      <c r="H2093" s="25" t="n">
        <v>20109759</v>
      </c>
      <c r="I2093" t="inlineStr">
        <is>
          <t>entidad-dia</t>
        </is>
      </c>
    </row>
    <row r="2094">
      <c r="A2094" t="inlineStr">
        <is>
          <t>PRAGMA</t>
        </is>
      </c>
      <c r="B2094" t="inlineStr">
        <is>
          <t>M1</t>
        </is>
      </c>
      <c r="C2094" t="inlineStr">
        <is>
          <t>Pasto</t>
        </is>
      </c>
      <c r="D2094" t="inlineStr">
        <is>
          <t>3952</t>
        </is>
      </c>
      <c r="E2094" t="inlineStr">
        <is>
          <t>pagado</t>
        </is>
      </c>
      <c r="F2094" s="23" t="n">
        <v>46272</v>
      </c>
      <c r="G2094" s="24">
        <f>F2094-DATE(2026,8,31)</f>
        <v>7</v>
      </c>
      <c r="H2094" s="25" t="n">
        <v>93654729</v>
      </c>
      <c r="I2094" t="inlineStr">
        <is>
          <t>entidad-dia</t>
        </is>
      </c>
    </row>
    <row r="2095">
      <c r="A2095" t="inlineStr">
        <is>
          <t>PRAGMA</t>
        </is>
      </c>
      <c r="B2095" t="inlineStr">
        <is>
          <t>M1</t>
        </is>
      </c>
      <c r="C2095" t="inlineStr">
        <is>
          <t>Pasto</t>
        </is>
      </c>
      <c r="D2095" t="inlineStr">
        <is>
          <t>3952</t>
        </is>
      </c>
      <c r="E2095" t="inlineStr">
        <is>
          <t>pagado</t>
        </is>
      </c>
      <c r="F2095" s="23" t="n">
        <v>46273</v>
      </c>
      <c r="G2095" s="24">
        <f>F2095-DATE(2026,8,31)</f>
        <v>8</v>
      </c>
      <c r="H2095" s="25" t="n">
        <v>92232692</v>
      </c>
      <c r="I2095" t="inlineStr">
        <is>
          <t>entidad-dia</t>
        </is>
      </c>
    </row>
    <row r="2096">
      <c r="A2096" t="inlineStr">
        <is>
          <t>PRAGMA</t>
        </is>
      </c>
      <c r="B2096" t="inlineStr">
        <is>
          <t>M1</t>
        </is>
      </c>
      <c r="C2096" t="inlineStr">
        <is>
          <t>Pasto</t>
        </is>
      </c>
      <c r="D2096" t="inlineStr">
        <is>
          <t>3952</t>
        </is>
      </c>
      <c r="E2096" t="inlineStr">
        <is>
          <t>pagado</t>
        </is>
      </c>
      <c r="F2096" s="23" t="n">
        <v>46274</v>
      </c>
      <c r="G2096" s="24">
        <f>F2096-DATE(2026,8,31)</f>
        <v>9</v>
      </c>
      <c r="H2096" s="25" t="n">
        <v>84806209</v>
      </c>
      <c r="I2096" t="inlineStr">
        <is>
          <t>entidad-dia</t>
        </is>
      </c>
    </row>
    <row r="2097">
      <c r="A2097" t="inlineStr">
        <is>
          <t>PRAGMA</t>
        </is>
      </c>
      <c r="B2097" t="inlineStr">
        <is>
          <t>M1</t>
        </is>
      </c>
      <c r="C2097" t="inlineStr">
        <is>
          <t>Pasto</t>
        </is>
      </c>
      <c r="D2097" t="inlineStr">
        <is>
          <t>3952</t>
        </is>
      </c>
      <c r="E2097" t="inlineStr">
        <is>
          <t>pagado</t>
        </is>
      </c>
      <c r="F2097" s="23" t="n">
        <v>46275</v>
      </c>
      <c r="G2097" s="24">
        <f>F2097-DATE(2026,8,31)</f>
        <v>10</v>
      </c>
      <c r="H2097" s="25" t="n">
        <v>75927073</v>
      </c>
      <c r="I2097" t="inlineStr">
        <is>
          <t>entidad-dia</t>
        </is>
      </c>
    </row>
    <row r="2098">
      <c r="A2098" t="inlineStr">
        <is>
          <t>PRAGMA</t>
        </is>
      </c>
      <c r="B2098" t="inlineStr">
        <is>
          <t>M1</t>
        </is>
      </c>
      <c r="C2098" t="inlineStr">
        <is>
          <t>Pasto</t>
        </is>
      </c>
      <c r="D2098" t="inlineStr">
        <is>
          <t>3952</t>
        </is>
      </c>
      <c r="E2098" t="inlineStr">
        <is>
          <t>pagado</t>
        </is>
      </c>
      <c r="F2098" s="23" t="n">
        <v>46276</v>
      </c>
      <c r="G2098" s="24">
        <f>F2098-DATE(2026,8,31)</f>
        <v>11</v>
      </c>
      <c r="H2098" s="25" t="n">
        <v>86321922</v>
      </c>
      <c r="I2098" t="inlineStr">
        <is>
          <t>entidad-dia</t>
        </is>
      </c>
    </row>
    <row r="2099">
      <c r="A2099" t="inlineStr">
        <is>
          <t>PRAGMA</t>
        </is>
      </c>
      <c r="B2099" t="inlineStr">
        <is>
          <t>M1</t>
        </is>
      </c>
      <c r="C2099" t="inlineStr">
        <is>
          <t>Pasto</t>
        </is>
      </c>
      <c r="D2099" t="inlineStr">
        <is>
          <t>3952</t>
        </is>
      </c>
      <c r="E2099" t="inlineStr">
        <is>
          <t>pagado</t>
        </is>
      </c>
      <c r="F2099" s="23" t="n">
        <v>46277</v>
      </c>
      <c r="G2099" s="24">
        <f>F2099-DATE(2026,8,31)</f>
        <v>12</v>
      </c>
      <c r="H2099" s="25" t="n">
        <v>87223873</v>
      </c>
      <c r="I2099" t="inlineStr">
        <is>
          <t>entidad-dia</t>
        </is>
      </c>
    </row>
    <row r="2100">
      <c r="A2100" t="inlineStr">
        <is>
          <t>PRAGMA</t>
        </is>
      </c>
      <c r="B2100" t="inlineStr">
        <is>
          <t>M1</t>
        </is>
      </c>
      <c r="C2100" t="inlineStr">
        <is>
          <t>Pasto</t>
        </is>
      </c>
      <c r="D2100" t="inlineStr">
        <is>
          <t>3952</t>
        </is>
      </c>
      <c r="E2100" t="inlineStr">
        <is>
          <t>pagado</t>
        </is>
      </c>
      <c r="F2100" s="23" t="n">
        <v>46278</v>
      </c>
      <c r="G2100" s="24">
        <f>F2100-DATE(2026,8,31)</f>
        <v>13</v>
      </c>
      <c r="H2100" s="25" t="n">
        <v>15872716</v>
      </c>
      <c r="I2100" t="inlineStr">
        <is>
          <t>entidad-dia</t>
        </is>
      </c>
    </row>
    <row r="2101">
      <c r="A2101" t="inlineStr">
        <is>
          <t>PRAGMA</t>
        </is>
      </c>
      <c r="B2101" t="inlineStr">
        <is>
          <t>M1</t>
        </is>
      </c>
      <c r="C2101" t="inlineStr">
        <is>
          <t>Pasto</t>
        </is>
      </c>
      <c r="D2101" t="inlineStr">
        <is>
          <t>3952</t>
        </is>
      </c>
      <c r="E2101" t="inlineStr">
        <is>
          <t>pagado</t>
        </is>
      </c>
      <c r="F2101" s="23" t="n">
        <v>46279</v>
      </c>
      <c r="G2101" s="24">
        <f>F2101-DATE(2026,8,31)</f>
        <v>14</v>
      </c>
      <c r="H2101" s="25" t="n">
        <v>77349682</v>
      </c>
      <c r="I2101" t="inlineStr">
        <is>
          <t>entidad-dia</t>
        </is>
      </c>
    </row>
    <row r="2102">
      <c r="A2102" t="inlineStr">
        <is>
          <t>PRAGMA</t>
        </is>
      </c>
      <c r="B2102" t="inlineStr">
        <is>
          <t>M1</t>
        </is>
      </c>
      <c r="C2102" t="inlineStr">
        <is>
          <t>Pasto</t>
        </is>
      </c>
      <c r="D2102" t="inlineStr">
        <is>
          <t>3952</t>
        </is>
      </c>
      <c r="E2102" t="inlineStr">
        <is>
          <t>pagado</t>
        </is>
      </c>
      <c r="F2102" s="23" t="n">
        <v>46280</v>
      </c>
      <c r="G2102" s="24">
        <f>F2102-DATE(2026,8,31)</f>
        <v>15</v>
      </c>
      <c r="H2102" s="25" t="n">
        <v>97581071</v>
      </c>
      <c r="I2102" t="inlineStr">
        <is>
          <t>entidad-dia</t>
        </is>
      </c>
    </row>
    <row r="2103">
      <c r="A2103" t="inlineStr">
        <is>
          <t>PRAGMA</t>
        </is>
      </c>
      <c r="B2103" t="inlineStr">
        <is>
          <t>M1</t>
        </is>
      </c>
      <c r="C2103" t="inlineStr">
        <is>
          <t>Cali</t>
        </is>
      </c>
      <c r="D2103" t="inlineStr">
        <is>
          <t>3962</t>
        </is>
      </c>
      <c r="E2103" t="inlineStr">
        <is>
          <t>pagado</t>
        </is>
      </c>
      <c r="F2103" s="23" t="n">
        <v>46266</v>
      </c>
      <c r="G2103" s="24">
        <f>F2103-DATE(2026,8,31)</f>
        <v>1</v>
      </c>
      <c r="H2103" s="25" t="n">
        <v>15580236</v>
      </c>
      <c r="I2103" t="inlineStr">
        <is>
          <t>entidad-dia</t>
        </is>
      </c>
    </row>
    <row r="2104">
      <c r="A2104" t="inlineStr">
        <is>
          <t>PRAGMA</t>
        </is>
      </c>
      <c r="B2104" t="inlineStr">
        <is>
          <t>M1</t>
        </is>
      </c>
      <c r="C2104" t="inlineStr">
        <is>
          <t>Cali</t>
        </is>
      </c>
      <c r="D2104" t="inlineStr">
        <is>
          <t>3962</t>
        </is>
      </c>
      <c r="E2104" t="inlineStr">
        <is>
          <t>pagado</t>
        </is>
      </c>
      <c r="F2104" s="23" t="n">
        <v>46267</v>
      </c>
      <c r="G2104" s="24">
        <f>F2104-DATE(2026,8,31)</f>
        <v>2</v>
      </c>
      <c r="H2104" s="25" t="n">
        <v>9267313</v>
      </c>
      <c r="I2104" t="inlineStr">
        <is>
          <t>entidad-dia</t>
        </is>
      </c>
    </row>
    <row r="2105">
      <c r="A2105" t="inlineStr">
        <is>
          <t>PRAGMA</t>
        </is>
      </c>
      <c r="B2105" t="inlineStr">
        <is>
          <t>M1</t>
        </is>
      </c>
      <c r="C2105" t="inlineStr">
        <is>
          <t>Cali</t>
        </is>
      </c>
      <c r="D2105" t="inlineStr">
        <is>
          <t>3962</t>
        </is>
      </c>
      <c r="E2105" t="inlineStr">
        <is>
          <t>pagado</t>
        </is>
      </c>
      <c r="F2105" s="23" t="n">
        <v>46268</v>
      </c>
      <c r="G2105" s="24">
        <f>F2105-DATE(2026,8,31)</f>
        <v>3</v>
      </c>
      <c r="H2105" s="25" t="n">
        <v>7491853</v>
      </c>
      <c r="I2105" t="inlineStr">
        <is>
          <t>entidad-dia</t>
        </is>
      </c>
    </row>
    <row r="2106">
      <c r="A2106" t="inlineStr">
        <is>
          <t>PRAGMA</t>
        </is>
      </c>
      <c r="B2106" t="inlineStr">
        <is>
          <t>M1</t>
        </is>
      </c>
      <c r="C2106" t="inlineStr">
        <is>
          <t>Cali</t>
        </is>
      </c>
      <c r="D2106" t="inlineStr">
        <is>
          <t>3962</t>
        </is>
      </c>
      <c r="E2106" t="inlineStr">
        <is>
          <t>pagado</t>
        </is>
      </c>
      <c r="F2106" s="23" t="n">
        <v>46269</v>
      </c>
      <c r="G2106" s="24">
        <f>F2106-DATE(2026,8,31)</f>
        <v>4</v>
      </c>
      <c r="H2106" s="25" t="n">
        <v>7901289</v>
      </c>
      <c r="I2106" t="inlineStr">
        <is>
          <t>entidad-dia</t>
        </is>
      </c>
    </row>
    <row r="2107">
      <c r="A2107" t="inlineStr">
        <is>
          <t>PRAGMA</t>
        </is>
      </c>
      <c r="B2107" t="inlineStr">
        <is>
          <t>M1</t>
        </is>
      </c>
      <c r="C2107" t="inlineStr">
        <is>
          <t>Cali</t>
        </is>
      </c>
      <c r="D2107" t="inlineStr">
        <is>
          <t>3962</t>
        </is>
      </c>
      <c r="E2107" t="inlineStr">
        <is>
          <t>pagado</t>
        </is>
      </c>
      <c r="F2107" s="23" t="n">
        <v>46270</v>
      </c>
      <c r="G2107" s="24">
        <f>F2107-DATE(2026,8,31)</f>
        <v>5</v>
      </c>
      <c r="H2107" s="25" t="n">
        <v>6722328</v>
      </c>
      <c r="I2107" t="inlineStr">
        <is>
          <t>entidad-dia</t>
        </is>
      </c>
    </row>
    <row r="2108">
      <c r="A2108" t="inlineStr">
        <is>
          <t>PRAGMA</t>
        </is>
      </c>
      <c r="B2108" t="inlineStr">
        <is>
          <t>M1</t>
        </is>
      </c>
      <c r="C2108" t="inlineStr">
        <is>
          <t>Cali</t>
        </is>
      </c>
      <c r="D2108" t="inlineStr">
        <is>
          <t>3962</t>
        </is>
      </c>
      <c r="E2108" t="inlineStr">
        <is>
          <t>pagado</t>
        </is>
      </c>
      <c r="F2108" s="23" t="n">
        <v>46271</v>
      </c>
      <c r="G2108" s="24">
        <f>F2108-DATE(2026,8,31)</f>
        <v>6</v>
      </c>
      <c r="H2108" s="25" t="n">
        <v>889695</v>
      </c>
      <c r="I2108" t="inlineStr">
        <is>
          <t>entidad-dia</t>
        </is>
      </c>
    </row>
    <row r="2109">
      <c r="A2109" t="inlineStr">
        <is>
          <t>PRAGMA</t>
        </is>
      </c>
      <c r="B2109" t="inlineStr">
        <is>
          <t>M1</t>
        </is>
      </c>
      <c r="C2109" t="inlineStr">
        <is>
          <t>Cali</t>
        </is>
      </c>
      <c r="D2109" t="inlineStr">
        <is>
          <t>3962</t>
        </is>
      </c>
      <c r="E2109" t="inlineStr">
        <is>
          <t>pagado</t>
        </is>
      </c>
      <c r="F2109" s="23" t="n">
        <v>46272</v>
      </c>
      <c r="G2109" s="24">
        <f>F2109-DATE(2026,8,31)</f>
        <v>7</v>
      </c>
      <c r="H2109" s="25" t="n">
        <v>6886192</v>
      </c>
      <c r="I2109" t="inlineStr">
        <is>
          <t>entidad-dia</t>
        </is>
      </c>
    </row>
    <row r="2110">
      <c r="A2110" t="inlineStr">
        <is>
          <t>PRAGMA</t>
        </is>
      </c>
      <c r="B2110" t="inlineStr">
        <is>
          <t>M1</t>
        </is>
      </c>
      <c r="C2110" t="inlineStr">
        <is>
          <t>Cali</t>
        </is>
      </c>
      <c r="D2110" t="inlineStr">
        <is>
          <t>3962</t>
        </is>
      </c>
      <c r="E2110" t="inlineStr">
        <is>
          <t>pagado</t>
        </is>
      </c>
      <c r="F2110" s="23" t="n">
        <v>46273</v>
      </c>
      <c r="G2110" s="24">
        <f>F2110-DATE(2026,8,31)</f>
        <v>8</v>
      </c>
      <c r="H2110" s="25" t="n">
        <v>8175623</v>
      </c>
      <c r="I2110" t="inlineStr">
        <is>
          <t>entidad-dia</t>
        </is>
      </c>
    </row>
    <row r="2111">
      <c r="A2111" t="inlineStr">
        <is>
          <t>PRAGMA</t>
        </is>
      </c>
      <c r="B2111" t="inlineStr">
        <is>
          <t>M1</t>
        </is>
      </c>
      <c r="C2111" t="inlineStr">
        <is>
          <t>Cali</t>
        </is>
      </c>
      <c r="D2111" t="inlineStr">
        <is>
          <t>3962</t>
        </is>
      </c>
      <c r="E2111" t="inlineStr">
        <is>
          <t>pagado</t>
        </is>
      </c>
      <c r="F2111" s="23" t="n">
        <v>46274</v>
      </c>
      <c r="G2111" s="24">
        <f>F2111-DATE(2026,8,31)</f>
        <v>9</v>
      </c>
      <c r="H2111" s="25" t="n">
        <v>7329604</v>
      </c>
      <c r="I2111" t="inlineStr">
        <is>
          <t>entidad-dia</t>
        </is>
      </c>
    </row>
    <row r="2112">
      <c r="A2112" t="inlineStr">
        <is>
          <t>PRAGMA</t>
        </is>
      </c>
      <c r="B2112" t="inlineStr">
        <is>
          <t>M1</t>
        </is>
      </c>
      <c r="C2112" t="inlineStr">
        <is>
          <t>Cali</t>
        </is>
      </c>
      <c r="D2112" t="inlineStr">
        <is>
          <t>3962</t>
        </is>
      </c>
      <c r="E2112" t="inlineStr">
        <is>
          <t>pagado</t>
        </is>
      </c>
      <c r="F2112" s="23" t="n">
        <v>46275</v>
      </c>
      <c r="G2112" s="24">
        <f>F2112-DATE(2026,8,31)</f>
        <v>10</v>
      </c>
      <c r="H2112" s="25" t="n">
        <v>4609574</v>
      </c>
      <c r="I2112" t="inlineStr">
        <is>
          <t>entidad-dia</t>
        </is>
      </c>
    </row>
    <row r="2113">
      <c r="A2113" t="inlineStr">
        <is>
          <t>PRAGMA</t>
        </is>
      </c>
      <c r="B2113" t="inlineStr">
        <is>
          <t>M1</t>
        </is>
      </c>
      <c r="C2113" t="inlineStr">
        <is>
          <t>Cali</t>
        </is>
      </c>
      <c r="D2113" t="inlineStr">
        <is>
          <t>3962</t>
        </is>
      </c>
      <c r="E2113" t="inlineStr">
        <is>
          <t>pagado</t>
        </is>
      </c>
      <c r="F2113" s="23" t="n">
        <v>46276</v>
      </c>
      <c r="G2113" s="24">
        <f>F2113-DATE(2026,8,31)</f>
        <v>11</v>
      </c>
      <c r="H2113" s="25" t="n">
        <v>5747304</v>
      </c>
      <c r="I2113" t="inlineStr">
        <is>
          <t>entidad-dia</t>
        </is>
      </c>
    </row>
    <row r="2114">
      <c r="A2114" t="inlineStr">
        <is>
          <t>PRAGMA</t>
        </is>
      </c>
      <c r="B2114" t="inlineStr">
        <is>
          <t>M1</t>
        </is>
      </c>
      <c r="C2114" t="inlineStr">
        <is>
          <t>Cali</t>
        </is>
      </c>
      <c r="D2114" t="inlineStr">
        <is>
          <t>3962</t>
        </is>
      </c>
      <c r="E2114" t="inlineStr">
        <is>
          <t>pagado</t>
        </is>
      </c>
      <c r="F2114" s="23" t="n">
        <v>46277</v>
      </c>
      <c r="G2114" s="24">
        <f>F2114-DATE(2026,8,31)</f>
        <v>12</v>
      </c>
      <c r="H2114" s="25" t="n">
        <v>7443577</v>
      </c>
      <c r="I2114" t="inlineStr">
        <is>
          <t>entidad-dia</t>
        </is>
      </c>
    </row>
    <row r="2115">
      <c r="A2115" t="inlineStr">
        <is>
          <t>PRAGMA</t>
        </is>
      </c>
      <c r="B2115" t="inlineStr">
        <is>
          <t>M1</t>
        </is>
      </c>
      <c r="C2115" t="inlineStr">
        <is>
          <t>Cali</t>
        </is>
      </c>
      <c r="D2115" t="inlineStr">
        <is>
          <t>3962</t>
        </is>
      </c>
      <c r="E2115" t="inlineStr">
        <is>
          <t>pagado</t>
        </is>
      </c>
      <c r="F2115" s="23" t="n">
        <v>46278</v>
      </c>
      <c r="G2115" s="24">
        <f>F2115-DATE(2026,8,31)</f>
        <v>13</v>
      </c>
      <c r="H2115" s="25" t="n">
        <v>489748</v>
      </c>
      <c r="I2115" t="inlineStr">
        <is>
          <t>entidad-dia</t>
        </is>
      </c>
    </row>
    <row r="2116">
      <c r="A2116" t="inlineStr">
        <is>
          <t>PRAGMA</t>
        </is>
      </c>
      <c r="B2116" t="inlineStr">
        <is>
          <t>M1</t>
        </is>
      </c>
      <c r="C2116" t="inlineStr">
        <is>
          <t>Cali</t>
        </is>
      </c>
      <c r="D2116" t="inlineStr">
        <is>
          <t>3962</t>
        </is>
      </c>
      <c r="E2116" t="inlineStr">
        <is>
          <t>pagado</t>
        </is>
      </c>
      <c r="F2116" s="23" t="n">
        <v>46279</v>
      </c>
      <c r="G2116" s="24">
        <f>F2116-DATE(2026,8,31)</f>
        <v>14</v>
      </c>
      <c r="H2116" s="25" t="n">
        <v>8775062</v>
      </c>
      <c r="I2116" t="inlineStr">
        <is>
          <t>entidad-dia</t>
        </is>
      </c>
    </row>
    <row r="2117">
      <c r="A2117" t="inlineStr">
        <is>
          <t>PRAGMA</t>
        </is>
      </c>
      <c r="B2117" t="inlineStr">
        <is>
          <t>M1</t>
        </is>
      </c>
      <c r="C2117" t="inlineStr">
        <is>
          <t>Cali</t>
        </is>
      </c>
      <c r="D2117" t="inlineStr">
        <is>
          <t>3962</t>
        </is>
      </c>
      <c r="E2117" t="inlineStr">
        <is>
          <t>pagado</t>
        </is>
      </c>
      <c r="F2117" s="23" t="n">
        <v>46280</v>
      </c>
      <c r="G2117" s="24">
        <f>F2117-DATE(2026,8,31)</f>
        <v>15</v>
      </c>
      <c r="H2117" s="25" t="n">
        <v>32030838</v>
      </c>
      <c r="I2117" t="inlineStr">
        <is>
          <t>entidad-dia</t>
        </is>
      </c>
    </row>
    <row r="2118">
      <c r="A2118" t="inlineStr">
        <is>
          <t>PRAGMA</t>
        </is>
      </c>
      <c r="B2118" t="inlineStr">
        <is>
          <t>M1</t>
        </is>
      </c>
      <c r="C2118" t="inlineStr">
        <is>
          <t>Cali</t>
        </is>
      </c>
      <c r="D2118" t="inlineStr">
        <is>
          <t>4005</t>
        </is>
      </c>
      <c r="E2118" t="inlineStr">
        <is>
          <t>pagado</t>
        </is>
      </c>
      <c r="F2118" s="23" t="n">
        <v>46266</v>
      </c>
      <c r="G2118" s="24">
        <f>F2118-DATE(2026,8,31)</f>
        <v>1</v>
      </c>
      <c r="H2118" s="25" t="n">
        <v>168177799</v>
      </c>
      <c r="I2118" t="inlineStr">
        <is>
          <t>entidad-dia</t>
        </is>
      </c>
    </row>
    <row r="2119">
      <c r="A2119" t="inlineStr">
        <is>
          <t>PRAGMA</t>
        </is>
      </c>
      <c r="B2119" t="inlineStr">
        <is>
          <t>M1</t>
        </is>
      </c>
      <c r="C2119" t="inlineStr">
        <is>
          <t>Cali</t>
        </is>
      </c>
      <c r="D2119" t="inlineStr">
        <is>
          <t>4005</t>
        </is>
      </c>
      <c r="E2119" t="inlineStr">
        <is>
          <t>pagado</t>
        </is>
      </c>
      <c r="F2119" s="23" t="n">
        <v>46267</v>
      </c>
      <c r="G2119" s="24">
        <f>F2119-DATE(2026,8,31)</f>
        <v>2</v>
      </c>
      <c r="H2119" s="25" t="n">
        <v>128777719</v>
      </c>
      <c r="I2119" t="inlineStr">
        <is>
          <t>entidad-dia</t>
        </is>
      </c>
    </row>
    <row r="2120">
      <c r="A2120" t="inlineStr">
        <is>
          <t>PRAGMA</t>
        </is>
      </c>
      <c r="B2120" t="inlineStr">
        <is>
          <t>M1</t>
        </is>
      </c>
      <c r="C2120" t="inlineStr">
        <is>
          <t>Cali</t>
        </is>
      </c>
      <c r="D2120" t="inlineStr">
        <is>
          <t>4005</t>
        </is>
      </c>
      <c r="E2120" t="inlineStr">
        <is>
          <t>pagado</t>
        </is>
      </c>
      <c r="F2120" s="23" t="n">
        <v>46268</v>
      </c>
      <c r="G2120" s="24">
        <f>F2120-DATE(2026,8,31)</f>
        <v>3</v>
      </c>
      <c r="H2120" s="25" t="n">
        <v>124177905</v>
      </c>
      <c r="I2120" t="inlineStr">
        <is>
          <t>entidad-dia</t>
        </is>
      </c>
    </row>
    <row r="2121">
      <c r="A2121" t="inlineStr">
        <is>
          <t>PRAGMA</t>
        </is>
      </c>
      <c r="B2121" t="inlineStr">
        <is>
          <t>M1</t>
        </is>
      </c>
      <c r="C2121" t="inlineStr">
        <is>
          <t>Cali</t>
        </is>
      </c>
      <c r="D2121" t="inlineStr">
        <is>
          <t>4005</t>
        </is>
      </c>
      <c r="E2121" t="inlineStr">
        <is>
          <t>pagado</t>
        </is>
      </c>
      <c r="F2121" s="23" t="n">
        <v>46269</v>
      </c>
      <c r="G2121" s="24">
        <f>F2121-DATE(2026,8,31)</f>
        <v>4</v>
      </c>
      <c r="H2121" s="25" t="n">
        <v>128879881</v>
      </c>
      <c r="I2121" t="inlineStr">
        <is>
          <t>entidad-dia</t>
        </is>
      </c>
    </row>
    <row r="2122">
      <c r="A2122" t="inlineStr">
        <is>
          <t>PRAGMA</t>
        </is>
      </c>
      <c r="B2122" t="inlineStr">
        <is>
          <t>M1</t>
        </is>
      </c>
      <c r="C2122" t="inlineStr">
        <is>
          <t>Cali</t>
        </is>
      </c>
      <c r="D2122" t="inlineStr">
        <is>
          <t>4005</t>
        </is>
      </c>
      <c r="E2122" t="inlineStr">
        <is>
          <t>pagado</t>
        </is>
      </c>
      <c r="F2122" s="23" t="n">
        <v>46270</v>
      </c>
      <c r="G2122" s="24">
        <f>F2122-DATE(2026,8,31)</f>
        <v>5</v>
      </c>
      <c r="H2122" s="25" t="n">
        <v>95215642</v>
      </c>
      <c r="I2122" t="inlineStr">
        <is>
          <t>entidad-dia</t>
        </is>
      </c>
    </row>
    <row r="2123">
      <c r="A2123" t="inlineStr">
        <is>
          <t>PRAGMA</t>
        </is>
      </c>
      <c r="B2123" t="inlineStr">
        <is>
          <t>M1</t>
        </is>
      </c>
      <c r="C2123" t="inlineStr">
        <is>
          <t>Cali</t>
        </is>
      </c>
      <c r="D2123" t="inlineStr">
        <is>
          <t>4005</t>
        </is>
      </c>
      <c r="E2123" t="inlineStr">
        <is>
          <t>pagado</t>
        </is>
      </c>
      <c r="F2123" s="23" t="n">
        <v>46271</v>
      </c>
      <c r="G2123" s="24">
        <f>F2123-DATE(2026,8,31)</f>
        <v>6</v>
      </c>
      <c r="H2123" s="25" t="n">
        <v>21370218</v>
      </c>
      <c r="I2123" t="inlineStr">
        <is>
          <t>entidad-dia</t>
        </is>
      </c>
    </row>
    <row r="2124">
      <c r="A2124" t="inlineStr">
        <is>
          <t>PRAGMA</t>
        </is>
      </c>
      <c r="B2124" t="inlineStr">
        <is>
          <t>M1</t>
        </is>
      </c>
      <c r="C2124" t="inlineStr">
        <is>
          <t>Cali</t>
        </is>
      </c>
      <c r="D2124" t="inlineStr">
        <is>
          <t>4005</t>
        </is>
      </c>
      <c r="E2124" t="inlineStr">
        <is>
          <t>pagado</t>
        </is>
      </c>
      <c r="F2124" s="23" t="n">
        <v>46272</v>
      </c>
      <c r="G2124" s="24">
        <f>F2124-DATE(2026,8,31)</f>
        <v>7</v>
      </c>
      <c r="H2124" s="25" t="n">
        <v>92991421</v>
      </c>
      <c r="I2124" t="inlineStr">
        <is>
          <t>entidad-dia</t>
        </is>
      </c>
    </row>
    <row r="2125">
      <c r="A2125" t="inlineStr">
        <is>
          <t>PRAGMA</t>
        </is>
      </c>
      <c r="B2125" t="inlineStr">
        <is>
          <t>M1</t>
        </is>
      </c>
      <c r="C2125" t="inlineStr">
        <is>
          <t>Cali</t>
        </is>
      </c>
      <c r="D2125" t="inlineStr">
        <is>
          <t>4005</t>
        </is>
      </c>
      <c r="E2125" t="inlineStr">
        <is>
          <t>pagado</t>
        </is>
      </c>
      <c r="F2125" s="23" t="n">
        <v>46273</v>
      </c>
      <c r="G2125" s="24">
        <f>F2125-DATE(2026,8,31)</f>
        <v>8</v>
      </c>
      <c r="H2125" s="25" t="n">
        <v>99772118</v>
      </c>
      <c r="I2125" t="inlineStr">
        <is>
          <t>entidad-dia</t>
        </is>
      </c>
    </row>
    <row r="2126">
      <c r="A2126" t="inlineStr">
        <is>
          <t>PRAGMA</t>
        </is>
      </c>
      <c r="B2126" t="inlineStr">
        <is>
          <t>M1</t>
        </is>
      </c>
      <c r="C2126" t="inlineStr">
        <is>
          <t>Cali</t>
        </is>
      </c>
      <c r="D2126" t="inlineStr">
        <is>
          <t>4005</t>
        </is>
      </c>
      <c r="E2126" t="inlineStr">
        <is>
          <t>pagado</t>
        </is>
      </c>
      <c r="F2126" s="23" t="n">
        <v>46274</v>
      </c>
      <c r="G2126" s="24">
        <f>F2126-DATE(2026,8,31)</f>
        <v>9</v>
      </c>
      <c r="H2126" s="25" t="n">
        <v>101772695</v>
      </c>
      <c r="I2126" t="inlineStr">
        <is>
          <t>entidad-dia</t>
        </is>
      </c>
    </row>
    <row r="2127">
      <c r="A2127" t="inlineStr">
        <is>
          <t>PRAGMA</t>
        </is>
      </c>
      <c r="B2127" t="inlineStr">
        <is>
          <t>M1</t>
        </is>
      </c>
      <c r="C2127" t="inlineStr">
        <is>
          <t>Cali</t>
        </is>
      </c>
      <c r="D2127" t="inlineStr">
        <is>
          <t>4005</t>
        </is>
      </c>
      <c r="E2127" t="inlineStr">
        <is>
          <t>pagado</t>
        </is>
      </c>
      <c r="F2127" s="23" t="n">
        <v>46275</v>
      </c>
      <c r="G2127" s="24">
        <f>F2127-DATE(2026,8,31)</f>
        <v>10</v>
      </c>
      <c r="H2127" s="25" t="n">
        <v>83173506</v>
      </c>
      <c r="I2127" t="inlineStr">
        <is>
          <t>entidad-dia</t>
        </is>
      </c>
    </row>
    <row r="2128">
      <c r="A2128" t="inlineStr">
        <is>
          <t>PRAGMA</t>
        </is>
      </c>
      <c r="B2128" t="inlineStr">
        <is>
          <t>M1</t>
        </is>
      </c>
      <c r="C2128" t="inlineStr">
        <is>
          <t>Cali</t>
        </is>
      </c>
      <c r="D2128" t="inlineStr">
        <is>
          <t>4005</t>
        </is>
      </c>
      <c r="E2128" t="inlineStr">
        <is>
          <t>pagado</t>
        </is>
      </c>
      <c r="F2128" s="23" t="n">
        <v>46276</v>
      </c>
      <c r="G2128" s="24">
        <f>F2128-DATE(2026,8,31)</f>
        <v>11</v>
      </c>
      <c r="H2128" s="25" t="n">
        <v>96028553</v>
      </c>
      <c r="I2128" t="inlineStr">
        <is>
          <t>entidad-dia</t>
        </is>
      </c>
    </row>
    <row r="2129">
      <c r="A2129" t="inlineStr">
        <is>
          <t>PRAGMA</t>
        </is>
      </c>
      <c r="B2129" t="inlineStr">
        <is>
          <t>M1</t>
        </is>
      </c>
      <c r="C2129" t="inlineStr">
        <is>
          <t>Cali</t>
        </is>
      </c>
      <c r="D2129" t="inlineStr">
        <is>
          <t>4005</t>
        </is>
      </c>
      <c r="E2129" t="inlineStr">
        <is>
          <t>pagado</t>
        </is>
      </c>
      <c r="F2129" s="23" t="n">
        <v>46277</v>
      </c>
      <c r="G2129" s="24">
        <f>F2129-DATE(2026,8,31)</f>
        <v>12</v>
      </c>
      <c r="H2129" s="25" t="n">
        <v>69372765</v>
      </c>
      <c r="I2129" t="inlineStr">
        <is>
          <t>entidad-dia</t>
        </is>
      </c>
    </row>
    <row r="2130">
      <c r="A2130" t="inlineStr">
        <is>
          <t>PRAGMA</t>
        </is>
      </c>
      <c r="B2130" t="inlineStr">
        <is>
          <t>M1</t>
        </is>
      </c>
      <c r="C2130" t="inlineStr">
        <is>
          <t>Cali</t>
        </is>
      </c>
      <c r="D2130" t="inlineStr">
        <is>
          <t>4005</t>
        </is>
      </c>
      <c r="E2130" t="inlineStr">
        <is>
          <t>pagado</t>
        </is>
      </c>
      <c r="F2130" s="23" t="n">
        <v>46278</v>
      </c>
      <c r="G2130" s="24">
        <f>F2130-DATE(2026,8,31)</f>
        <v>13</v>
      </c>
      <c r="H2130" s="25" t="n">
        <v>17251140</v>
      </c>
      <c r="I2130" t="inlineStr">
        <is>
          <t>entidad-dia</t>
        </is>
      </c>
    </row>
    <row r="2131">
      <c r="A2131" t="inlineStr">
        <is>
          <t>PRAGMA</t>
        </is>
      </c>
      <c r="B2131" t="inlineStr">
        <is>
          <t>M1</t>
        </is>
      </c>
      <c r="C2131" t="inlineStr">
        <is>
          <t>Cali</t>
        </is>
      </c>
      <c r="D2131" t="inlineStr">
        <is>
          <t>4005</t>
        </is>
      </c>
      <c r="E2131" t="inlineStr">
        <is>
          <t>pagado</t>
        </is>
      </c>
      <c r="F2131" s="23" t="n">
        <v>46279</v>
      </c>
      <c r="G2131" s="24">
        <f>F2131-DATE(2026,8,31)</f>
        <v>14</v>
      </c>
      <c r="H2131" s="25" t="n">
        <v>87419900</v>
      </c>
      <c r="I2131" t="inlineStr">
        <is>
          <t>entidad-dia</t>
        </is>
      </c>
    </row>
    <row r="2132">
      <c r="A2132" t="inlineStr">
        <is>
          <t>PRAGMA</t>
        </is>
      </c>
      <c r="B2132" t="inlineStr">
        <is>
          <t>M1</t>
        </is>
      </c>
      <c r="C2132" t="inlineStr">
        <is>
          <t>Cali</t>
        </is>
      </c>
      <c r="D2132" t="inlineStr">
        <is>
          <t>4005</t>
        </is>
      </c>
      <c r="E2132" t="inlineStr">
        <is>
          <t>pagado</t>
        </is>
      </c>
      <c r="F2132" s="23" t="n">
        <v>46280</v>
      </c>
      <c r="G2132" s="24">
        <f>F2132-DATE(2026,8,31)</f>
        <v>15</v>
      </c>
      <c r="H2132" s="25" t="n">
        <v>127178330</v>
      </c>
      <c r="I2132" t="inlineStr">
        <is>
          <t>entidad-dia</t>
        </is>
      </c>
    </row>
    <row r="2133">
      <c r="A2133" t="inlineStr">
        <is>
          <t>PRAGMA</t>
        </is>
      </c>
      <c r="B2133" t="inlineStr">
        <is>
          <t>M1</t>
        </is>
      </c>
      <c r="C2133" t="inlineStr">
        <is>
          <t>Cali</t>
        </is>
      </c>
      <c r="D2133" t="inlineStr">
        <is>
          <t>4013</t>
        </is>
      </c>
      <c r="E2133" t="inlineStr">
        <is>
          <t>pagado</t>
        </is>
      </c>
      <c r="F2133" s="23" t="n">
        <v>46266</v>
      </c>
      <c r="G2133" s="24">
        <f>F2133-DATE(2026,8,31)</f>
        <v>1</v>
      </c>
      <c r="H2133" s="25" t="n">
        <v>221237386</v>
      </c>
      <c r="I2133" t="inlineStr">
        <is>
          <t>entidad-dia</t>
        </is>
      </c>
    </row>
    <row r="2134">
      <c r="A2134" t="inlineStr">
        <is>
          <t>PRAGMA</t>
        </is>
      </c>
      <c r="B2134" t="inlineStr">
        <is>
          <t>M1</t>
        </is>
      </c>
      <c r="C2134" t="inlineStr">
        <is>
          <t>Cali</t>
        </is>
      </c>
      <c r="D2134" t="inlineStr">
        <is>
          <t>4013</t>
        </is>
      </c>
      <c r="E2134" t="inlineStr">
        <is>
          <t>pagado</t>
        </is>
      </c>
      <c r="F2134" s="23" t="n">
        <v>46267</v>
      </c>
      <c r="G2134" s="24">
        <f>F2134-DATE(2026,8,31)</f>
        <v>2</v>
      </c>
      <c r="H2134" s="25" t="n">
        <v>175844857</v>
      </c>
      <c r="I2134" t="inlineStr">
        <is>
          <t>entidad-dia</t>
        </is>
      </c>
    </row>
    <row r="2135">
      <c r="A2135" t="inlineStr">
        <is>
          <t>PRAGMA</t>
        </is>
      </c>
      <c r="B2135" t="inlineStr">
        <is>
          <t>M1</t>
        </is>
      </c>
      <c r="C2135" t="inlineStr">
        <is>
          <t>Cali</t>
        </is>
      </c>
      <c r="D2135" t="inlineStr">
        <is>
          <t>4013</t>
        </is>
      </c>
      <c r="E2135" t="inlineStr">
        <is>
          <t>pagado</t>
        </is>
      </c>
      <c r="F2135" s="23" t="n">
        <v>46268</v>
      </c>
      <c r="G2135" s="24">
        <f>F2135-DATE(2026,8,31)</f>
        <v>3</v>
      </c>
      <c r="H2135" s="25" t="n">
        <v>169614385</v>
      </c>
      <c r="I2135" t="inlineStr">
        <is>
          <t>entidad-dia</t>
        </is>
      </c>
    </row>
    <row r="2136">
      <c r="A2136" t="inlineStr">
        <is>
          <t>PRAGMA</t>
        </is>
      </c>
      <c r="B2136" t="inlineStr">
        <is>
          <t>M1</t>
        </is>
      </c>
      <c r="C2136" t="inlineStr">
        <is>
          <t>Cali</t>
        </is>
      </c>
      <c r="D2136" t="inlineStr">
        <is>
          <t>4013</t>
        </is>
      </c>
      <c r="E2136" t="inlineStr">
        <is>
          <t>pagado</t>
        </is>
      </c>
      <c r="F2136" s="23" t="n">
        <v>46269</v>
      </c>
      <c r="G2136" s="24">
        <f>F2136-DATE(2026,8,31)</f>
        <v>4</v>
      </c>
      <c r="H2136" s="25" t="n">
        <v>169743571</v>
      </c>
      <c r="I2136" t="inlineStr">
        <is>
          <t>entidad-dia</t>
        </is>
      </c>
    </row>
    <row r="2137">
      <c r="A2137" t="inlineStr">
        <is>
          <t>PRAGMA</t>
        </is>
      </c>
      <c r="B2137" t="inlineStr">
        <is>
          <t>M1</t>
        </is>
      </c>
      <c r="C2137" t="inlineStr">
        <is>
          <t>Cali</t>
        </is>
      </c>
      <c r="D2137" t="inlineStr">
        <is>
          <t>4013</t>
        </is>
      </c>
      <c r="E2137" t="inlineStr">
        <is>
          <t>pagado</t>
        </is>
      </c>
      <c r="F2137" s="23" t="n">
        <v>46270</v>
      </c>
      <c r="G2137" s="24">
        <f>F2137-DATE(2026,8,31)</f>
        <v>5</v>
      </c>
      <c r="H2137" s="25" t="n">
        <v>174815414</v>
      </c>
      <c r="I2137" t="inlineStr">
        <is>
          <t>entidad-dia</t>
        </is>
      </c>
    </row>
    <row r="2138">
      <c r="A2138" t="inlineStr">
        <is>
          <t>PRAGMA</t>
        </is>
      </c>
      <c r="B2138" t="inlineStr">
        <is>
          <t>M1</t>
        </is>
      </c>
      <c r="C2138" t="inlineStr">
        <is>
          <t>Cali</t>
        </is>
      </c>
      <c r="D2138" t="inlineStr">
        <is>
          <t>4013</t>
        </is>
      </c>
      <c r="E2138" t="inlineStr">
        <is>
          <t>pagado</t>
        </is>
      </c>
      <c r="F2138" s="23" t="n">
        <v>46271</v>
      </c>
      <c r="G2138" s="24">
        <f>F2138-DATE(2026,8,31)</f>
        <v>6</v>
      </c>
      <c r="H2138" s="25" t="n">
        <v>102712800</v>
      </c>
      <c r="I2138" t="inlineStr">
        <is>
          <t>entidad-dia</t>
        </is>
      </c>
    </row>
    <row r="2139">
      <c r="A2139" t="inlineStr">
        <is>
          <t>PRAGMA</t>
        </is>
      </c>
      <c r="B2139" t="inlineStr">
        <is>
          <t>M1</t>
        </is>
      </c>
      <c r="C2139" t="inlineStr">
        <is>
          <t>Cali</t>
        </is>
      </c>
      <c r="D2139" t="inlineStr">
        <is>
          <t>4013</t>
        </is>
      </c>
      <c r="E2139" t="inlineStr">
        <is>
          <t>pagado</t>
        </is>
      </c>
      <c r="F2139" s="23" t="n">
        <v>46272</v>
      </c>
      <c r="G2139" s="24">
        <f>F2139-DATE(2026,8,31)</f>
        <v>7</v>
      </c>
      <c r="H2139" s="25" t="n">
        <v>134464487</v>
      </c>
      <c r="I2139" t="inlineStr">
        <is>
          <t>entidad-dia</t>
        </is>
      </c>
    </row>
    <row r="2140">
      <c r="A2140" t="inlineStr">
        <is>
          <t>PRAGMA</t>
        </is>
      </c>
      <c r="B2140" t="inlineStr">
        <is>
          <t>M1</t>
        </is>
      </c>
      <c r="C2140" t="inlineStr">
        <is>
          <t>Cali</t>
        </is>
      </c>
      <c r="D2140" t="inlineStr">
        <is>
          <t>4013</t>
        </is>
      </c>
      <c r="E2140" t="inlineStr">
        <is>
          <t>pagado</t>
        </is>
      </c>
      <c r="F2140" s="23" t="n">
        <v>46273</v>
      </c>
      <c r="G2140" s="24">
        <f>F2140-DATE(2026,8,31)</f>
        <v>8</v>
      </c>
      <c r="H2140" s="25" t="n">
        <v>111702897</v>
      </c>
      <c r="I2140" t="inlineStr">
        <is>
          <t>entidad-dia</t>
        </is>
      </c>
    </row>
    <row r="2141">
      <c r="A2141" t="inlineStr">
        <is>
          <t>PRAGMA</t>
        </is>
      </c>
      <c r="B2141" t="inlineStr">
        <is>
          <t>M1</t>
        </is>
      </c>
      <c r="C2141" t="inlineStr">
        <is>
          <t>Cali</t>
        </is>
      </c>
      <c r="D2141" t="inlineStr">
        <is>
          <t>4013</t>
        </is>
      </c>
      <c r="E2141" t="inlineStr">
        <is>
          <t>pagado</t>
        </is>
      </c>
      <c r="F2141" s="23" t="n">
        <v>46274</v>
      </c>
      <c r="G2141" s="24">
        <f>F2141-DATE(2026,8,31)</f>
        <v>9</v>
      </c>
      <c r="H2141" s="25" t="n">
        <v>116086629</v>
      </c>
      <c r="I2141" t="inlineStr">
        <is>
          <t>entidad-dia</t>
        </is>
      </c>
    </row>
    <row r="2142">
      <c r="A2142" t="inlineStr">
        <is>
          <t>PRAGMA</t>
        </is>
      </c>
      <c r="B2142" t="inlineStr">
        <is>
          <t>M1</t>
        </is>
      </c>
      <c r="C2142" t="inlineStr">
        <is>
          <t>Cali</t>
        </is>
      </c>
      <c r="D2142" t="inlineStr">
        <is>
          <t>4013</t>
        </is>
      </c>
      <c r="E2142" t="inlineStr">
        <is>
          <t>pagado</t>
        </is>
      </c>
      <c r="F2142" s="23" t="n">
        <v>46275</v>
      </c>
      <c r="G2142" s="24">
        <f>F2142-DATE(2026,8,31)</f>
        <v>10</v>
      </c>
      <c r="H2142" s="25" t="n">
        <v>123154499</v>
      </c>
      <c r="I2142" t="inlineStr">
        <is>
          <t>entidad-dia</t>
        </is>
      </c>
    </row>
    <row r="2143">
      <c r="A2143" t="inlineStr">
        <is>
          <t>PRAGMA</t>
        </is>
      </c>
      <c r="B2143" t="inlineStr">
        <is>
          <t>M1</t>
        </is>
      </c>
      <c r="C2143" t="inlineStr">
        <is>
          <t>Cali</t>
        </is>
      </c>
      <c r="D2143" t="inlineStr">
        <is>
          <t>4013</t>
        </is>
      </c>
      <c r="E2143" t="inlineStr">
        <is>
          <t>pagado</t>
        </is>
      </c>
      <c r="F2143" s="23" t="n">
        <v>46276</v>
      </c>
      <c r="G2143" s="24">
        <f>F2143-DATE(2026,8,31)</f>
        <v>11</v>
      </c>
      <c r="H2143" s="25" t="n">
        <v>148769136</v>
      </c>
      <c r="I2143" t="inlineStr">
        <is>
          <t>entidad-dia</t>
        </is>
      </c>
    </row>
    <row r="2144">
      <c r="A2144" t="inlineStr">
        <is>
          <t>PRAGMA</t>
        </is>
      </c>
      <c r="B2144" t="inlineStr">
        <is>
          <t>M1</t>
        </is>
      </c>
      <c r="C2144" t="inlineStr">
        <is>
          <t>Cali</t>
        </is>
      </c>
      <c r="D2144" t="inlineStr">
        <is>
          <t>4013</t>
        </is>
      </c>
      <c r="E2144" t="inlineStr">
        <is>
          <t>pagado</t>
        </is>
      </c>
      <c r="F2144" s="23" t="n">
        <v>46277</v>
      </c>
      <c r="G2144" s="24">
        <f>F2144-DATE(2026,8,31)</f>
        <v>12</v>
      </c>
      <c r="H2144" s="25" t="n">
        <v>141993126</v>
      </c>
      <c r="I2144" t="inlineStr">
        <is>
          <t>entidad-dia</t>
        </is>
      </c>
    </row>
    <row r="2145">
      <c r="A2145" t="inlineStr">
        <is>
          <t>PRAGMA</t>
        </is>
      </c>
      <c r="B2145" t="inlineStr">
        <is>
          <t>M1</t>
        </is>
      </c>
      <c r="C2145" t="inlineStr">
        <is>
          <t>Cali</t>
        </is>
      </c>
      <c r="D2145" t="inlineStr">
        <is>
          <t>4013</t>
        </is>
      </c>
      <c r="E2145" t="inlineStr">
        <is>
          <t>pagado</t>
        </is>
      </c>
      <c r="F2145" s="23" t="n">
        <v>46278</v>
      </c>
      <c r="G2145" s="24">
        <f>F2145-DATE(2026,8,31)</f>
        <v>13</v>
      </c>
      <c r="H2145" s="25" t="n">
        <v>76691333</v>
      </c>
      <c r="I2145" t="inlineStr">
        <is>
          <t>entidad-dia</t>
        </is>
      </c>
    </row>
    <row r="2146">
      <c r="A2146" t="inlineStr">
        <is>
          <t>PRAGMA</t>
        </is>
      </c>
      <c r="B2146" t="inlineStr">
        <is>
          <t>M1</t>
        </is>
      </c>
      <c r="C2146" t="inlineStr">
        <is>
          <t>Cali</t>
        </is>
      </c>
      <c r="D2146" t="inlineStr">
        <is>
          <t>4013</t>
        </is>
      </c>
      <c r="E2146" t="inlineStr">
        <is>
          <t>pagado</t>
        </is>
      </c>
      <c r="F2146" s="23" t="n">
        <v>46279</v>
      </c>
      <c r="G2146" s="24">
        <f>F2146-DATE(2026,8,31)</f>
        <v>14</v>
      </c>
      <c r="H2146" s="25" t="n">
        <v>118132342</v>
      </c>
      <c r="I2146" t="inlineStr">
        <is>
          <t>entidad-dia</t>
        </is>
      </c>
    </row>
    <row r="2147">
      <c r="A2147" t="inlineStr">
        <is>
          <t>PRAGMA</t>
        </is>
      </c>
      <c r="B2147" t="inlineStr">
        <is>
          <t>M1</t>
        </is>
      </c>
      <c r="C2147" t="inlineStr">
        <is>
          <t>Cali</t>
        </is>
      </c>
      <c r="D2147" t="inlineStr">
        <is>
          <t>4013</t>
        </is>
      </c>
      <c r="E2147" t="inlineStr">
        <is>
          <t>pagado</t>
        </is>
      </c>
      <c r="F2147" s="23" t="n">
        <v>46280</v>
      </c>
      <c r="G2147" s="24">
        <f>F2147-DATE(2026,8,31)</f>
        <v>15</v>
      </c>
      <c r="H2147" s="25" t="n">
        <v>156572493</v>
      </c>
      <c r="I2147" t="inlineStr">
        <is>
          <t>entidad-dia</t>
        </is>
      </c>
    </row>
    <row r="2148">
      <c r="A2148" t="inlineStr">
        <is>
          <t>PRAGMA</t>
        </is>
      </c>
      <c r="B2148" t="inlineStr">
        <is>
          <t>M1</t>
        </is>
      </c>
      <c r="C2148" t="inlineStr">
        <is>
          <t>Cali</t>
        </is>
      </c>
      <c r="D2148" t="inlineStr">
        <is>
          <t>4014</t>
        </is>
      </c>
      <c r="E2148" t="inlineStr">
        <is>
          <t>pagado</t>
        </is>
      </c>
      <c r="F2148" s="23" t="n">
        <v>46266</v>
      </c>
      <c r="G2148" s="24">
        <f>F2148-DATE(2026,8,31)</f>
        <v>1</v>
      </c>
      <c r="H2148" s="25" t="n">
        <v>229882234</v>
      </c>
      <c r="I2148" t="inlineStr">
        <is>
          <t>entidad-dia</t>
        </is>
      </c>
    </row>
    <row r="2149">
      <c r="A2149" t="inlineStr">
        <is>
          <t>PRAGMA</t>
        </is>
      </c>
      <c r="B2149" t="inlineStr">
        <is>
          <t>M1</t>
        </is>
      </c>
      <c r="C2149" t="inlineStr">
        <is>
          <t>Cali</t>
        </is>
      </c>
      <c r="D2149" t="inlineStr">
        <is>
          <t>4014</t>
        </is>
      </c>
      <c r="E2149" t="inlineStr">
        <is>
          <t>pagado</t>
        </is>
      </c>
      <c r="F2149" s="23" t="n">
        <v>46267</v>
      </c>
      <c r="G2149" s="24">
        <f>F2149-DATE(2026,8,31)</f>
        <v>2</v>
      </c>
      <c r="H2149" s="25" t="n">
        <v>179310045</v>
      </c>
      <c r="I2149" t="inlineStr">
        <is>
          <t>entidad-dia</t>
        </is>
      </c>
    </row>
    <row r="2150">
      <c r="A2150" t="inlineStr">
        <is>
          <t>PRAGMA</t>
        </is>
      </c>
      <c r="B2150" t="inlineStr">
        <is>
          <t>M1</t>
        </is>
      </c>
      <c r="C2150" t="inlineStr">
        <is>
          <t>Cali</t>
        </is>
      </c>
      <c r="D2150" t="inlineStr">
        <is>
          <t>4014</t>
        </is>
      </c>
      <c r="E2150" t="inlineStr">
        <is>
          <t>pagado</t>
        </is>
      </c>
      <c r="F2150" s="23" t="n">
        <v>46268</v>
      </c>
      <c r="G2150" s="24">
        <f>F2150-DATE(2026,8,31)</f>
        <v>3</v>
      </c>
      <c r="H2150" s="25" t="n">
        <v>145863732</v>
      </c>
      <c r="I2150" t="inlineStr">
        <is>
          <t>entidad-dia</t>
        </is>
      </c>
    </row>
    <row r="2151">
      <c r="A2151" t="inlineStr">
        <is>
          <t>PRAGMA</t>
        </is>
      </c>
      <c r="B2151" t="inlineStr">
        <is>
          <t>M1</t>
        </is>
      </c>
      <c r="C2151" t="inlineStr">
        <is>
          <t>Cali</t>
        </is>
      </c>
      <c r="D2151" t="inlineStr">
        <is>
          <t>4014</t>
        </is>
      </c>
      <c r="E2151" t="inlineStr">
        <is>
          <t>pagado</t>
        </is>
      </c>
      <c r="F2151" s="23" t="n">
        <v>46269</v>
      </c>
      <c r="G2151" s="24">
        <f>F2151-DATE(2026,8,31)</f>
        <v>4</v>
      </c>
      <c r="H2151" s="25" t="n">
        <v>157389260</v>
      </c>
      <c r="I2151" t="inlineStr">
        <is>
          <t>entidad-dia</t>
        </is>
      </c>
    </row>
    <row r="2152">
      <c r="A2152" t="inlineStr">
        <is>
          <t>PRAGMA</t>
        </is>
      </c>
      <c r="B2152" t="inlineStr">
        <is>
          <t>M1</t>
        </is>
      </c>
      <c r="C2152" t="inlineStr">
        <is>
          <t>Cali</t>
        </is>
      </c>
      <c r="D2152" t="inlineStr">
        <is>
          <t>4014</t>
        </is>
      </c>
      <c r="E2152" t="inlineStr">
        <is>
          <t>pagado</t>
        </is>
      </c>
      <c r="F2152" s="23" t="n">
        <v>46270</v>
      </c>
      <c r="G2152" s="24">
        <f>F2152-DATE(2026,8,31)</f>
        <v>5</v>
      </c>
      <c r="H2152" s="25" t="n">
        <v>169753201</v>
      </c>
      <c r="I2152" t="inlineStr">
        <is>
          <t>entidad-dia</t>
        </is>
      </c>
    </row>
    <row r="2153">
      <c r="A2153" t="inlineStr">
        <is>
          <t>PRAGMA</t>
        </is>
      </c>
      <c r="B2153" t="inlineStr">
        <is>
          <t>M1</t>
        </is>
      </c>
      <c r="C2153" t="inlineStr">
        <is>
          <t>Cali</t>
        </is>
      </c>
      <c r="D2153" t="inlineStr">
        <is>
          <t>4014</t>
        </is>
      </c>
      <c r="E2153" t="inlineStr">
        <is>
          <t>pagado</t>
        </is>
      </c>
      <c r="F2153" s="23" t="n">
        <v>46271</v>
      </c>
      <c r="G2153" s="24">
        <f>F2153-DATE(2026,8,31)</f>
        <v>6</v>
      </c>
      <c r="H2153" s="25" t="n">
        <v>78115408</v>
      </c>
      <c r="I2153" t="inlineStr">
        <is>
          <t>entidad-dia</t>
        </is>
      </c>
    </row>
    <row r="2154">
      <c r="A2154" t="inlineStr">
        <is>
          <t>PRAGMA</t>
        </is>
      </c>
      <c r="B2154" t="inlineStr">
        <is>
          <t>M1</t>
        </is>
      </c>
      <c r="C2154" t="inlineStr">
        <is>
          <t>Cali</t>
        </is>
      </c>
      <c r="D2154" t="inlineStr">
        <is>
          <t>4014</t>
        </is>
      </c>
      <c r="E2154" t="inlineStr">
        <is>
          <t>pagado</t>
        </is>
      </c>
      <c r="F2154" s="23" t="n">
        <v>46272</v>
      </c>
      <c r="G2154" s="24">
        <f>F2154-DATE(2026,8,31)</f>
        <v>7</v>
      </c>
      <c r="H2154" s="25" t="n">
        <v>125459835</v>
      </c>
      <c r="I2154" t="inlineStr">
        <is>
          <t>entidad-dia</t>
        </is>
      </c>
    </row>
    <row r="2155">
      <c r="A2155" t="inlineStr">
        <is>
          <t>PRAGMA</t>
        </is>
      </c>
      <c r="B2155" t="inlineStr">
        <is>
          <t>M1</t>
        </is>
      </c>
      <c r="C2155" t="inlineStr">
        <is>
          <t>Cali</t>
        </is>
      </c>
      <c r="D2155" t="inlineStr">
        <is>
          <t>4014</t>
        </is>
      </c>
      <c r="E2155" t="inlineStr">
        <is>
          <t>pagado</t>
        </is>
      </c>
      <c r="F2155" s="23" t="n">
        <v>46273</v>
      </c>
      <c r="G2155" s="24">
        <f>F2155-DATE(2026,8,31)</f>
        <v>8</v>
      </c>
      <c r="H2155" s="25" t="n">
        <v>110887852</v>
      </c>
      <c r="I2155" t="inlineStr">
        <is>
          <t>entidad-dia</t>
        </is>
      </c>
    </row>
    <row r="2156">
      <c r="A2156" t="inlineStr">
        <is>
          <t>PRAGMA</t>
        </is>
      </c>
      <c r="B2156" t="inlineStr">
        <is>
          <t>M1</t>
        </is>
      </c>
      <c r="C2156" t="inlineStr">
        <is>
          <t>Cali</t>
        </is>
      </c>
      <c r="D2156" t="inlineStr">
        <is>
          <t>4014</t>
        </is>
      </c>
      <c r="E2156" t="inlineStr">
        <is>
          <t>pagado</t>
        </is>
      </c>
      <c r="F2156" s="23" t="n">
        <v>46274</v>
      </c>
      <c r="G2156" s="24">
        <f>F2156-DATE(2026,8,31)</f>
        <v>9</v>
      </c>
      <c r="H2156" s="25" t="n">
        <v>118744556</v>
      </c>
      <c r="I2156" t="inlineStr">
        <is>
          <t>entidad-dia</t>
        </is>
      </c>
    </row>
    <row r="2157">
      <c r="A2157" t="inlineStr">
        <is>
          <t>PRAGMA</t>
        </is>
      </c>
      <c r="B2157" t="inlineStr">
        <is>
          <t>M1</t>
        </is>
      </c>
      <c r="C2157" t="inlineStr">
        <is>
          <t>Cali</t>
        </is>
      </c>
      <c r="D2157" t="inlineStr">
        <is>
          <t>4014</t>
        </is>
      </c>
      <c r="E2157" t="inlineStr">
        <is>
          <t>pagado</t>
        </is>
      </c>
      <c r="F2157" s="23" t="n">
        <v>46275</v>
      </c>
      <c r="G2157" s="24">
        <f>F2157-DATE(2026,8,31)</f>
        <v>10</v>
      </c>
      <c r="H2157" s="25" t="n">
        <v>101074901</v>
      </c>
      <c r="I2157" t="inlineStr">
        <is>
          <t>entidad-dia</t>
        </is>
      </c>
    </row>
    <row r="2158">
      <c r="A2158" t="inlineStr">
        <is>
          <t>PRAGMA</t>
        </is>
      </c>
      <c r="B2158" t="inlineStr">
        <is>
          <t>M1</t>
        </is>
      </c>
      <c r="C2158" t="inlineStr">
        <is>
          <t>Cali</t>
        </is>
      </c>
      <c r="D2158" t="inlineStr">
        <is>
          <t>4014</t>
        </is>
      </c>
      <c r="E2158" t="inlineStr">
        <is>
          <t>pagado</t>
        </is>
      </c>
      <c r="F2158" s="23" t="n">
        <v>46276</v>
      </c>
      <c r="G2158" s="24">
        <f>F2158-DATE(2026,8,31)</f>
        <v>11</v>
      </c>
      <c r="H2158" s="25" t="n">
        <v>116943086</v>
      </c>
      <c r="I2158" t="inlineStr">
        <is>
          <t>entidad-dia</t>
        </is>
      </c>
    </row>
    <row r="2159">
      <c r="A2159" t="inlineStr">
        <is>
          <t>PRAGMA</t>
        </is>
      </c>
      <c r="B2159" t="inlineStr">
        <is>
          <t>M1</t>
        </is>
      </c>
      <c r="C2159" t="inlineStr">
        <is>
          <t>Cali</t>
        </is>
      </c>
      <c r="D2159" t="inlineStr">
        <is>
          <t>4014</t>
        </is>
      </c>
      <c r="E2159" t="inlineStr">
        <is>
          <t>pagado</t>
        </is>
      </c>
      <c r="F2159" s="23" t="n">
        <v>46277</v>
      </c>
      <c r="G2159" s="24">
        <f>F2159-DATE(2026,8,31)</f>
        <v>12</v>
      </c>
      <c r="H2159" s="25" t="n">
        <v>142553006</v>
      </c>
      <c r="I2159" t="inlineStr">
        <is>
          <t>entidad-dia</t>
        </is>
      </c>
    </row>
    <row r="2160">
      <c r="A2160" t="inlineStr">
        <is>
          <t>PRAGMA</t>
        </is>
      </c>
      <c r="B2160" t="inlineStr">
        <is>
          <t>M1</t>
        </is>
      </c>
      <c r="C2160" t="inlineStr">
        <is>
          <t>Cali</t>
        </is>
      </c>
      <c r="D2160" t="inlineStr">
        <is>
          <t>4014</t>
        </is>
      </c>
      <c r="E2160" t="inlineStr">
        <is>
          <t>pagado</t>
        </is>
      </c>
      <c r="F2160" s="23" t="n">
        <v>46278</v>
      </c>
      <c r="G2160" s="24">
        <f>F2160-DATE(2026,8,31)</f>
        <v>13</v>
      </c>
      <c r="H2160" s="25" t="n">
        <v>61840048</v>
      </c>
      <c r="I2160" t="inlineStr">
        <is>
          <t>entidad-dia</t>
        </is>
      </c>
    </row>
    <row r="2161">
      <c r="A2161" t="inlineStr">
        <is>
          <t>PRAGMA</t>
        </is>
      </c>
      <c r="B2161" t="inlineStr">
        <is>
          <t>M1</t>
        </is>
      </c>
      <c r="C2161" t="inlineStr">
        <is>
          <t>Cali</t>
        </is>
      </c>
      <c r="D2161" t="inlineStr">
        <is>
          <t>4014</t>
        </is>
      </c>
      <c r="E2161" t="inlineStr">
        <is>
          <t>pagado</t>
        </is>
      </c>
      <c r="F2161" s="23" t="n">
        <v>46279</v>
      </c>
      <c r="G2161" s="24">
        <f>F2161-DATE(2026,8,31)</f>
        <v>14</v>
      </c>
      <c r="H2161" s="25" t="n">
        <v>119327683</v>
      </c>
      <c r="I2161" t="inlineStr">
        <is>
          <t>entidad-dia</t>
        </is>
      </c>
    </row>
    <row r="2162">
      <c r="A2162" t="inlineStr">
        <is>
          <t>PRAGMA</t>
        </is>
      </c>
      <c r="B2162" t="inlineStr">
        <is>
          <t>M1</t>
        </is>
      </c>
      <c r="C2162" t="inlineStr">
        <is>
          <t>Cali</t>
        </is>
      </c>
      <c r="D2162" t="inlineStr">
        <is>
          <t>4014</t>
        </is>
      </c>
      <c r="E2162" t="inlineStr">
        <is>
          <t>pagado</t>
        </is>
      </c>
      <c r="F2162" s="23" t="n">
        <v>46280</v>
      </c>
      <c r="G2162" s="24">
        <f>F2162-DATE(2026,8,31)</f>
        <v>15</v>
      </c>
      <c r="H2162" s="25" t="n">
        <v>165059253</v>
      </c>
      <c r="I2162" t="inlineStr">
        <is>
          <t>entidad-dia</t>
        </is>
      </c>
    </row>
    <row r="2163">
      <c r="A2163" t="inlineStr">
        <is>
          <t>PRAGMA</t>
        </is>
      </c>
      <c r="B2163" t="inlineStr">
        <is>
          <t>M1</t>
        </is>
      </c>
      <c r="C2163" t="inlineStr">
        <is>
          <t>Cali</t>
        </is>
      </c>
      <c r="D2163" t="inlineStr">
        <is>
          <t>4041</t>
        </is>
      </c>
      <c r="E2163" t="inlineStr">
        <is>
          <t>pagado</t>
        </is>
      </c>
      <c r="F2163" s="23" t="n">
        <v>46266</v>
      </c>
      <c r="G2163" s="24">
        <f>F2163-DATE(2026,8,31)</f>
        <v>1</v>
      </c>
      <c r="H2163" s="25" t="n">
        <v>73393040</v>
      </c>
      <c r="I2163" t="inlineStr">
        <is>
          <t>entidad-dia</t>
        </is>
      </c>
    </row>
    <row r="2164">
      <c r="A2164" t="inlineStr">
        <is>
          <t>PRAGMA</t>
        </is>
      </c>
      <c r="B2164" t="inlineStr">
        <is>
          <t>M1</t>
        </is>
      </c>
      <c r="C2164" t="inlineStr">
        <is>
          <t>Cali</t>
        </is>
      </c>
      <c r="D2164" t="inlineStr">
        <is>
          <t>4041</t>
        </is>
      </c>
      <c r="E2164" t="inlineStr">
        <is>
          <t>pagado</t>
        </is>
      </c>
      <c r="F2164" s="23" t="n">
        <v>46267</v>
      </c>
      <c r="G2164" s="24">
        <f>F2164-DATE(2026,8,31)</f>
        <v>2</v>
      </c>
      <c r="H2164" s="25" t="n">
        <v>58166084</v>
      </c>
      <c r="I2164" t="inlineStr">
        <is>
          <t>entidad-dia</t>
        </is>
      </c>
    </row>
    <row r="2165">
      <c r="A2165" t="inlineStr">
        <is>
          <t>PRAGMA</t>
        </is>
      </c>
      <c r="B2165" t="inlineStr">
        <is>
          <t>M1</t>
        </is>
      </c>
      <c r="C2165" t="inlineStr">
        <is>
          <t>Cali</t>
        </is>
      </c>
      <c r="D2165" t="inlineStr">
        <is>
          <t>4041</t>
        </is>
      </c>
      <c r="E2165" t="inlineStr">
        <is>
          <t>pagado</t>
        </is>
      </c>
      <c r="F2165" s="23" t="n">
        <v>46268</v>
      </c>
      <c r="G2165" s="24">
        <f>F2165-DATE(2026,8,31)</f>
        <v>3</v>
      </c>
      <c r="H2165" s="25" t="n">
        <v>50379138</v>
      </c>
      <c r="I2165" t="inlineStr">
        <is>
          <t>entidad-dia</t>
        </is>
      </c>
    </row>
    <row r="2166">
      <c r="A2166" t="inlineStr">
        <is>
          <t>PRAGMA</t>
        </is>
      </c>
      <c r="B2166" t="inlineStr">
        <is>
          <t>M1</t>
        </is>
      </c>
      <c r="C2166" t="inlineStr">
        <is>
          <t>Cali</t>
        </is>
      </c>
      <c r="D2166" t="inlineStr">
        <is>
          <t>4041</t>
        </is>
      </c>
      <c r="E2166" t="inlineStr">
        <is>
          <t>pagado</t>
        </is>
      </c>
      <c r="F2166" s="23" t="n">
        <v>46269</v>
      </c>
      <c r="G2166" s="24">
        <f>F2166-DATE(2026,8,31)</f>
        <v>4</v>
      </c>
      <c r="H2166" s="25" t="n">
        <v>51457698</v>
      </c>
      <c r="I2166" t="inlineStr">
        <is>
          <t>entidad-dia</t>
        </is>
      </c>
    </row>
    <row r="2167">
      <c r="A2167" t="inlineStr">
        <is>
          <t>PRAGMA</t>
        </is>
      </c>
      <c r="B2167" t="inlineStr">
        <is>
          <t>M1</t>
        </is>
      </c>
      <c r="C2167" t="inlineStr">
        <is>
          <t>Cali</t>
        </is>
      </c>
      <c r="D2167" t="inlineStr">
        <is>
          <t>4041</t>
        </is>
      </c>
      <c r="E2167" t="inlineStr">
        <is>
          <t>pagado</t>
        </is>
      </c>
      <c r="F2167" s="23" t="n">
        <v>46270</v>
      </c>
      <c r="G2167" s="24">
        <f>F2167-DATE(2026,8,31)</f>
        <v>5</v>
      </c>
      <c r="H2167" s="25" t="n">
        <v>39785190</v>
      </c>
      <c r="I2167" t="inlineStr">
        <is>
          <t>entidad-dia</t>
        </is>
      </c>
    </row>
    <row r="2168">
      <c r="A2168" t="inlineStr">
        <is>
          <t>PRAGMA</t>
        </is>
      </c>
      <c r="B2168" t="inlineStr">
        <is>
          <t>M1</t>
        </is>
      </c>
      <c r="C2168" t="inlineStr">
        <is>
          <t>Cali</t>
        </is>
      </c>
      <c r="D2168" t="inlineStr">
        <is>
          <t>4041</t>
        </is>
      </c>
      <c r="E2168" t="inlineStr">
        <is>
          <t>pagado</t>
        </is>
      </c>
      <c r="F2168" s="23" t="n">
        <v>46271</v>
      </c>
      <c r="G2168" s="24">
        <f>F2168-DATE(2026,8,31)</f>
        <v>6</v>
      </c>
      <c r="H2168" s="25" t="n">
        <v>15123132</v>
      </c>
      <c r="I2168" t="inlineStr">
        <is>
          <t>entidad-dia</t>
        </is>
      </c>
    </row>
    <row r="2169">
      <c r="A2169" t="inlineStr">
        <is>
          <t>PRAGMA</t>
        </is>
      </c>
      <c r="B2169" t="inlineStr">
        <is>
          <t>M1</t>
        </is>
      </c>
      <c r="C2169" t="inlineStr">
        <is>
          <t>Cali</t>
        </is>
      </c>
      <c r="D2169" t="inlineStr">
        <is>
          <t>4041</t>
        </is>
      </c>
      <c r="E2169" t="inlineStr">
        <is>
          <t>pagado</t>
        </is>
      </c>
      <c r="F2169" s="23" t="n">
        <v>46272</v>
      </c>
      <c r="G2169" s="24">
        <f>F2169-DATE(2026,8,31)</f>
        <v>7</v>
      </c>
      <c r="H2169" s="25" t="n">
        <v>31658242</v>
      </c>
      <c r="I2169" t="inlineStr">
        <is>
          <t>entidad-dia</t>
        </is>
      </c>
    </row>
    <row r="2170">
      <c r="A2170" t="inlineStr">
        <is>
          <t>PRAGMA</t>
        </is>
      </c>
      <c r="B2170" t="inlineStr">
        <is>
          <t>M1</t>
        </is>
      </c>
      <c r="C2170" t="inlineStr">
        <is>
          <t>Cali</t>
        </is>
      </c>
      <c r="D2170" t="inlineStr">
        <is>
          <t>4041</t>
        </is>
      </c>
      <c r="E2170" t="inlineStr">
        <is>
          <t>pagado</t>
        </is>
      </c>
      <c r="F2170" s="23" t="n">
        <v>46273</v>
      </c>
      <c r="G2170" s="24">
        <f>F2170-DATE(2026,8,31)</f>
        <v>8</v>
      </c>
      <c r="H2170" s="25" t="n">
        <v>39104464</v>
      </c>
      <c r="I2170" t="inlineStr">
        <is>
          <t>entidad-dia</t>
        </is>
      </c>
    </row>
    <row r="2171">
      <c r="A2171" t="inlineStr">
        <is>
          <t>PRAGMA</t>
        </is>
      </c>
      <c r="B2171" t="inlineStr">
        <is>
          <t>M1</t>
        </is>
      </c>
      <c r="C2171" t="inlineStr">
        <is>
          <t>Cali</t>
        </is>
      </c>
      <c r="D2171" t="inlineStr">
        <is>
          <t>4041</t>
        </is>
      </c>
      <c r="E2171" t="inlineStr">
        <is>
          <t>pagado</t>
        </is>
      </c>
      <c r="F2171" s="23" t="n">
        <v>46274</v>
      </c>
      <c r="G2171" s="24">
        <f>F2171-DATE(2026,8,31)</f>
        <v>9</v>
      </c>
      <c r="H2171" s="25" t="n">
        <v>39496285</v>
      </c>
      <c r="I2171" t="inlineStr">
        <is>
          <t>entidad-dia</t>
        </is>
      </c>
    </row>
    <row r="2172">
      <c r="A2172" t="inlineStr">
        <is>
          <t>PRAGMA</t>
        </is>
      </c>
      <c r="B2172" t="inlineStr">
        <is>
          <t>M1</t>
        </is>
      </c>
      <c r="C2172" t="inlineStr">
        <is>
          <t>Cali</t>
        </is>
      </c>
      <c r="D2172" t="inlineStr">
        <is>
          <t>4041</t>
        </is>
      </c>
      <c r="E2172" t="inlineStr">
        <is>
          <t>pagado</t>
        </is>
      </c>
      <c r="F2172" s="23" t="n">
        <v>46275</v>
      </c>
      <c r="G2172" s="24">
        <f>F2172-DATE(2026,8,31)</f>
        <v>10</v>
      </c>
      <c r="H2172" s="25" t="n">
        <v>33822677</v>
      </c>
      <c r="I2172" t="inlineStr">
        <is>
          <t>entidad-dia</t>
        </is>
      </c>
    </row>
    <row r="2173">
      <c r="A2173" t="inlineStr">
        <is>
          <t>PRAGMA</t>
        </is>
      </c>
      <c r="B2173" t="inlineStr">
        <is>
          <t>M1</t>
        </is>
      </c>
      <c r="C2173" t="inlineStr">
        <is>
          <t>Cali</t>
        </is>
      </c>
      <c r="D2173" t="inlineStr">
        <is>
          <t>4041</t>
        </is>
      </c>
      <c r="E2173" t="inlineStr">
        <is>
          <t>pagado</t>
        </is>
      </c>
      <c r="F2173" s="23" t="n">
        <v>46276</v>
      </c>
      <c r="G2173" s="24">
        <f>F2173-DATE(2026,8,31)</f>
        <v>11</v>
      </c>
      <c r="H2173" s="25" t="n">
        <v>43648457</v>
      </c>
      <c r="I2173" t="inlineStr">
        <is>
          <t>entidad-dia</t>
        </is>
      </c>
    </row>
    <row r="2174">
      <c r="A2174" t="inlineStr">
        <is>
          <t>PRAGMA</t>
        </is>
      </c>
      <c r="B2174" t="inlineStr">
        <is>
          <t>M1</t>
        </is>
      </c>
      <c r="C2174" t="inlineStr">
        <is>
          <t>Cali</t>
        </is>
      </c>
      <c r="D2174" t="inlineStr">
        <is>
          <t>4041</t>
        </is>
      </c>
      <c r="E2174" t="inlineStr">
        <is>
          <t>pagado</t>
        </is>
      </c>
      <c r="F2174" s="23" t="n">
        <v>46277</v>
      </c>
      <c r="G2174" s="24">
        <f>F2174-DATE(2026,8,31)</f>
        <v>12</v>
      </c>
      <c r="H2174" s="25" t="n">
        <v>30585556</v>
      </c>
      <c r="I2174" t="inlineStr">
        <is>
          <t>entidad-dia</t>
        </is>
      </c>
    </row>
    <row r="2175">
      <c r="A2175" t="inlineStr">
        <is>
          <t>PRAGMA</t>
        </is>
      </c>
      <c r="B2175" t="inlineStr">
        <is>
          <t>M1</t>
        </is>
      </c>
      <c r="C2175" t="inlineStr">
        <is>
          <t>Cali</t>
        </is>
      </c>
      <c r="D2175" t="inlineStr">
        <is>
          <t>4041</t>
        </is>
      </c>
      <c r="E2175" t="inlineStr">
        <is>
          <t>pagado</t>
        </is>
      </c>
      <c r="F2175" s="23" t="n">
        <v>46278</v>
      </c>
      <c r="G2175" s="24">
        <f>F2175-DATE(2026,8,31)</f>
        <v>13</v>
      </c>
      <c r="H2175" s="25" t="n">
        <v>13118813</v>
      </c>
      <c r="I2175" t="inlineStr">
        <is>
          <t>entidad-dia</t>
        </is>
      </c>
    </row>
    <row r="2176">
      <c r="A2176" t="inlineStr">
        <is>
          <t>PRAGMA</t>
        </is>
      </c>
      <c r="B2176" t="inlineStr">
        <is>
          <t>M1</t>
        </is>
      </c>
      <c r="C2176" t="inlineStr">
        <is>
          <t>Cali</t>
        </is>
      </c>
      <c r="D2176" t="inlineStr">
        <is>
          <t>4041</t>
        </is>
      </c>
      <c r="E2176" t="inlineStr">
        <is>
          <t>pagado</t>
        </is>
      </c>
      <c r="F2176" s="23" t="n">
        <v>46279</v>
      </c>
      <c r="G2176" s="24">
        <f>F2176-DATE(2026,8,31)</f>
        <v>14</v>
      </c>
      <c r="H2176" s="25" t="n">
        <v>32186672</v>
      </c>
      <c r="I2176" t="inlineStr">
        <is>
          <t>entidad-dia</t>
        </is>
      </c>
    </row>
    <row r="2177">
      <c r="A2177" t="inlineStr">
        <is>
          <t>PRAGMA</t>
        </is>
      </c>
      <c r="B2177" t="inlineStr">
        <is>
          <t>M1</t>
        </is>
      </c>
      <c r="C2177" t="inlineStr">
        <is>
          <t>Cali</t>
        </is>
      </c>
      <c r="D2177" t="inlineStr">
        <is>
          <t>4041</t>
        </is>
      </c>
      <c r="E2177" t="inlineStr">
        <is>
          <t>pagado</t>
        </is>
      </c>
      <c r="F2177" s="23" t="n">
        <v>46280</v>
      </c>
      <c r="G2177" s="24">
        <f>F2177-DATE(2026,8,31)</f>
        <v>15</v>
      </c>
      <c r="H2177" s="25" t="n">
        <v>52636402</v>
      </c>
      <c r="I2177" t="inlineStr">
        <is>
          <t>entidad-dia</t>
        </is>
      </c>
    </row>
    <row r="2178">
      <c r="A2178" t="inlineStr">
        <is>
          <t>PRAGMA</t>
        </is>
      </c>
      <c r="B2178" t="inlineStr">
        <is>
          <t>M1</t>
        </is>
      </c>
      <c r="C2178" t="inlineStr">
        <is>
          <t>Cali</t>
        </is>
      </c>
      <c r="D2178" t="inlineStr">
        <is>
          <t>4069</t>
        </is>
      </c>
      <c r="E2178" t="inlineStr">
        <is>
          <t>pagado</t>
        </is>
      </c>
      <c r="F2178" s="23" t="n">
        <v>46266</v>
      </c>
      <c r="G2178" s="24">
        <f>F2178-DATE(2026,8,31)</f>
        <v>1</v>
      </c>
      <c r="H2178" s="25" t="n">
        <v>216640316</v>
      </c>
      <c r="I2178" t="inlineStr">
        <is>
          <t>entidad-dia</t>
        </is>
      </c>
    </row>
    <row r="2179">
      <c r="A2179" t="inlineStr">
        <is>
          <t>PRAGMA</t>
        </is>
      </c>
      <c r="B2179" t="inlineStr">
        <is>
          <t>M1</t>
        </is>
      </c>
      <c r="C2179" t="inlineStr">
        <is>
          <t>Cali</t>
        </is>
      </c>
      <c r="D2179" t="inlineStr">
        <is>
          <t>4069</t>
        </is>
      </c>
      <c r="E2179" t="inlineStr">
        <is>
          <t>pagado</t>
        </is>
      </c>
      <c r="F2179" s="23" t="n">
        <v>46267</v>
      </c>
      <c r="G2179" s="24">
        <f>F2179-DATE(2026,8,31)</f>
        <v>2</v>
      </c>
      <c r="H2179" s="25" t="n">
        <v>170962747</v>
      </c>
      <c r="I2179" t="inlineStr">
        <is>
          <t>entidad-dia</t>
        </is>
      </c>
    </row>
    <row r="2180">
      <c r="A2180" t="inlineStr">
        <is>
          <t>PRAGMA</t>
        </is>
      </c>
      <c r="B2180" t="inlineStr">
        <is>
          <t>M1</t>
        </is>
      </c>
      <c r="C2180" t="inlineStr">
        <is>
          <t>Cali</t>
        </is>
      </c>
      <c r="D2180" t="inlineStr">
        <is>
          <t>4069</t>
        </is>
      </c>
      <c r="E2180" t="inlineStr">
        <is>
          <t>pagado</t>
        </is>
      </c>
      <c r="F2180" s="23" t="n">
        <v>46268</v>
      </c>
      <c r="G2180" s="24">
        <f>F2180-DATE(2026,8,31)</f>
        <v>3</v>
      </c>
      <c r="H2180" s="25" t="n">
        <v>153947657</v>
      </c>
      <c r="I2180" t="inlineStr">
        <is>
          <t>entidad-dia</t>
        </is>
      </c>
    </row>
    <row r="2181">
      <c r="A2181" t="inlineStr">
        <is>
          <t>PRAGMA</t>
        </is>
      </c>
      <c r="B2181" t="inlineStr">
        <is>
          <t>M1</t>
        </is>
      </c>
      <c r="C2181" t="inlineStr">
        <is>
          <t>Cali</t>
        </is>
      </c>
      <c r="D2181" t="inlineStr">
        <is>
          <t>4069</t>
        </is>
      </c>
      <c r="E2181" t="inlineStr">
        <is>
          <t>pagado</t>
        </is>
      </c>
      <c r="F2181" s="23" t="n">
        <v>46269</v>
      </c>
      <c r="G2181" s="24">
        <f>F2181-DATE(2026,8,31)</f>
        <v>4</v>
      </c>
      <c r="H2181" s="25" t="n">
        <v>157449423</v>
      </c>
      <c r="I2181" t="inlineStr">
        <is>
          <t>entidad-dia</t>
        </is>
      </c>
    </row>
    <row r="2182">
      <c r="A2182" t="inlineStr">
        <is>
          <t>PRAGMA</t>
        </is>
      </c>
      <c r="B2182" t="inlineStr">
        <is>
          <t>M1</t>
        </is>
      </c>
      <c r="C2182" t="inlineStr">
        <is>
          <t>Cali</t>
        </is>
      </c>
      <c r="D2182" t="inlineStr">
        <is>
          <t>4069</t>
        </is>
      </c>
      <c r="E2182" t="inlineStr">
        <is>
          <t>pagado</t>
        </is>
      </c>
      <c r="F2182" s="23" t="n">
        <v>46270</v>
      </c>
      <c r="G2182" s="24">
        <f>F2182-DATE(2026,8,31)</f>
        <v>5</v>
      </c>
      <c r="H2182" s="25" t="n">
        <v>177044455</v>
      </c>
      <c r="I2182" t="inlineStr">
        <is>
          <t>entidad-dia</t>
        </is>
      </c>
    </row>
    <row r="2183">
      <c r="A2183" t="inlineStr">
        <is>
          <t>PRAGMA</t>
        </is>
      </c>
      <c r="B2183" t="inlineStr">
        <is>
          <t>M1</t>
        </is>
      </c>
      <c r="C2183" t="inlineStr">
        <is>
          <t>Cali</t>
        </is>
      </c>
      <c r="D2183" t="inlineStr">
        <is>
          <t>4069</t>
        </is>
      </c>
      <c r="E2183" t="inlineStr">
        <is>
          <t>pagado</t>
        </is>
      </c>
      <c r="F2183" s="23" t="n">
        <v>46271</v>
      </c>
      <c r="G2183" s="24">
        <f>F2183-DATE(2026,8,31)</f>
        <v>6</v>
      </c>
      <c r="H2183" s="25" t="n">
        <v>125502096</v>
      </c>
      <c r="I2183" t="inlineStr">
        <is>
          <t>entidad-dia</t>
        </is>
      </c>
    </row>
    <row r="2184">
      <c r="A2184" t="inlineStr">
        <is>
          <t>PRAGMA</t>
        </is>
      </c>
      <c r="B2184" t="inlineStr">
        <is>
          <t>M1</t>
        </is>
      </c>
      <c r="C2184" t="inlineStr">
        <is>
          <t>Cali</t>
        </is>
      </c>
      <c r="D2184" t="inlineStr">
        <is>
          <t>4069</t>
        </is>
      </c>
      <c r="E2184" t="inlineStr">
        <is>
          <t>pagado</t>
        </is>
      </c>
      <c r="F2184" s="23" t="n">
        <v>46272</v>
      </c>
      <c r="G2184" s="24">
        <f>F2184-DATE(2026,8,31)</f>
        <v>7</v>
      </c>
      <c r="H2184" s="25" t="n">
        <v>111842213</v>
      </c>
      <c r="I2184" t="inlineStr">
        <is>
          <t>entidad-dia</t>
        </is>
      </c>
    </row>
    <row r="2185">
      <c r="A2185" t="inlineStr">
        <is>
          <t>PRAGMA</t>
        </is>
      </c>
      <c r="B2185" t="inlineStr">
        <is>
          <t>M1</t>
        </is>
      </c>
      <c r="C2185" t="inlineStr">
        <is>
          <t>Cali</t>
        </is>
      </c>
      <c r="D2185" t="inlineStr">
        <is>
          <t>4069</t>
        </is>
      </c>
      <c r="E2185" t="inlineStr">
        <is>
          <t>pagado</t>
        </is>
      </c>
      <c r="F2185" s="23" t="n">
        <v>46273</v>
      </c>
      <c r="G2185" s="24">
        <f>F2185-DATE(2026,8,31)</f>
        <v>8</v>
      </c>
      <c r="H2185" s="25" t="n">
        <v>114277710</v>
      </c>
      <c r="I2185" t="inlineStr">
        <is>
          <t>entidad-dia</t>
        </is>
      </c>
    </row>
    <row r="2186">
      <c r="A2186" t="inlineStr">
        <is>
          <t>PRAGMA</t>
        </is>
      </c>
      <c r="B2186" t="inlineStr">
        <is>
          <t>M1</t>
        </is>
      </c>
      <c r="C2186" t="inlineStr">
        <is>
          <t>Cali</t>
        </is>
      </c>
      <c r="D2186" t="inlineStr">
        <is>
          <t>4069</t>
        </is>
      </c>
      <c r="E2186" t="inlineStr">
        <is>
          <t>pagado</t>
        </is>
      </c>
      <c r="F2186" s="23" t="n">
        <v>46274</v>
      </c>
      <c r="G2186" s="24">
        <f>F2186-DATE(2026,8,31)</f>
        <v>9</v>
      </c>
      <c r="H2186" s="25" t="n">
        <v>123539452</v>
      </c>
      <c r="I2186" t="inlineStr">
        <is>
          <t>entidad-dia</t>
        </is>
      </c>
    </row>
    <row r="2187">
      <c r="A2187" t="inlineStr">
        <is>
          <t>PRAGMA</t>
        </is>
      </c>
      <c r="B2187" t="inlineStr">
        <is>
          <t>M1</t>
        </is>
      </c>
      <c r="C2187" t="inlineStr">
        <is>
          <t>Cali</t>
        </is>
      </c>
      <c r="D2187" t="inlineStr">
        <is>
          <t>4069</t>
        </is>
      </c>
      <c r="E2187" t="inlineStr">
        <is>
          <t>pagado</t>
        </is>
      </c>
      <c r="F2187" s="23" t="n">
        <v>46275</v>
      </c>
      <c r="G2187" s="24">
        <f>F2187-DATE(2026,8,31)</f>
        <v>10</v>
      </c>
      <c r="H2187" s="25" t="n">
        <v>101902179</v>
      </c>
      <c r="I2187" t="inlineStr">
        <is>
          <t>entidad-dia</t>
        </is>
      </c>
    </row>
    <row r="2188">
      <c r="A2188" t="inlineStr">
        <is>
          <t>PRAGMA</t>
        </is>
      </c>
      <c r="B2188" t="inlineStr">
        <is>
          <t>M1</t>
        </is>
      </c>
      <c r="C2188" t="inlineStr">
        <is>
          <t>Cali</t>
        </is>
      </c>
      <c r="D2188" t="inlineStr">
        <is>
          <t>4069</t>
        </is>
      </c>
      <c r="E2188" t="inlineStr">
        <is>
          <t>pagado</t>
        </is>
      </c>
      <c r="F2188" s="23" t="n">
        <v>46276</v>
      </c>
      <c r="G2188" s="24">
        <f>F2188-DATE(2026,8,31)</f>
        <v>11</v>
      </c>
      <c r="H2188" s="25" t="n">
        <v>116529680</v>
      </c>
      <c r="I2188" t="inlineStr">
        <is>
          <t>entidad-dia</t>
        </is>
      </c>
    </row>
    <row r="2189">
      <c r="A2189" t="inlineStr">
        <is>
          <t>PRAGMA</t>
        </is>
      </c>
      <c r="B2189" t="inlineStr">
        <is>
          <t>M1</t>
        </is>
      </c>
      <c r="C2189" t="inlineStr">
        <is>
          <t>Cali</t>
        </is>
      </c>
      <c r="D2189" t="inlineStr">
        <is>
          <t>4069</t>
        </is>
      </c>
      <c r="E2189" t="inlineStr">
        <is>
          <t>pagado</t>
        </is>
      </c>
      <c r="F2189" s="23" t="n">
        <v>46277</v>
      </c>
      <c r="G2189" s="24">
        <f>F2189-DATE(2026,8,31)</f>
        <v>12</v>
      </c>
      <c r="H2189" s="25" t="n">
        <v>132981130</v>
      </c>
      <c r="I2189" t="inlineStr">
        <is>
          <t>entidad-dia</t>
        </is>
      </c>
    </row>
    <row r="2190">
      <c r="A2190" t="inlineStr">
        <is>
          <t>PRAGMA</t>
        </is>
      </c>
      <c r="B2190" t="inlineStr">
        <is>
          <t>M1</t>
        </is>
      </c>
      <c r="C2190" t="inlineStr">
        <is>
          <t>Cali</t>
        </is>
      </c>
      <c r="D2190" t="inlineStr">
        <is>
          <t>4069</t>
        </is>
      </c>
      <c r="E2190" t="inlineStr">
        <is>
          <t>pagado</t>
        </is>
      </c>
      <c r="F2190" s="23" t="n">
        <v>46278</v>
      </c>
      <c r="G2190" s="24">
        <f>F2190-DATE(2026,8,31)</f>
        <v>13</v>
      </c>
      <c r="H2190" s="25" t="n">
        <v>103419404</v>
      </c>
      <c r="I2190" t="inlineStr">
        <is>
          <t>entidad-dia</t>
        </is>
      </c>
    </row>
    <row r="2191">
      <c r="A2191" t="inlineStr">
        <is>
          <t>PRAGMA</t>
        </is>
      </c>
      <c r="B2191" t="inlineStr">
        <is>
          <t>M1</t>
        </is>
      </c>
      <c r="C2191" t="inlineStr">
        <is>
          <t>Cali</t>
        </is>
      </c>
      <c r="D2191" t="inlineStr">
        <is>
          <t>4069</t>
        </is>
      </c>
      <c r="E2191" t="inlineStr">
        <is>
          <t>pagado</t>
        </is>
      </c>
      <c r="F2191" s="23" t="n">
        <v>46279</v>
      </c>
      <c r="G2191" s="24">
        <f>F2191-DATE(2026,8,31)</f>
        <v>14</v>
      </c>
      <c r="H2191" s="25" t="n">
        <v>101908122</v>
      </c>
      <c r="I2191" t="inlineStr">
        <is>
          <t>entidad-dia</t>
        </is>
      </c>
    </row>
    <row r="2192">
      <c r="A2192" t="inlineStr">
        <is>
          <t>PRAGMA</t>
        </is>
      </c>
      <c r="B2192" t="inlineStr">
        <is>
          <t>M1</t>
        </is>
      </c>
      <c r="C2192" t="inlineStr">
        <is>
          <t>Cali</t>
        </is>
      </c>
      <c r="D2192" t="inlineStr">
        <is>
          <t>4069</t>
        </is>
      </c>
      <c r="E2192" t="inlineStr">
        <is>
          <t>pagado</t>
        </is>
      </c>
      <c r="F2192" s="23" t="n">
        <v>46280</v>
      </c>
      <c r="G2192" s="24">
        <f>F2192-DATE(2026,8,31)</f>
        <v>15</v>
      </c>
      <c r="H2192" s="25" t="n">
        <v>158258207</v>
      </c>
      <c r="I2192" t="inlineStr">
        <is>
          <t>entidad-dia</t>
        </is>
      </c>
    </row>
    <row r="2193">
      <c r="A2193" t="inlineStr">
        <is>
          <t>PRAGMA</t>
        </is>
      </c>
      <c r="B2193" t="inlineStr">
        <is>
          <t>M1</t>
        </is>
      </c>
      <c r="C2193" t="inlineStr">
        <is>
          <t>Cali</t>
        </is>
      </c>
      <c r="D2193" t="inlineStr">
        <is>
          <t>4089</t>
        </is>
      </c>
      <c r="E2193" t="inlineStr">
        <is>
          <t>pagado</t>
        </is>
      </c>
      <c r="F2193" s="23" t="n">
        <v>46266</v>
      </c>
      <c r="G2193" s="24">
        <f>F2193-DATE(2026,8,31)</f>
        <v>1</v>
      </c>
      <c r="H2193" s="25" t="n">
        <v>188089970</v>
      </c>
      <c r="I2193" t="inlineStr">
        <is>
          <t>entidad-dia</t>
        </is>
      </c>
    </row>
    <row r="2194">
      <c r="A2194" t="inlineStr">
        <is>
          <t>PRAGMA</t>
        </is>
      </c>
      <c r="B2194" t="inlineStr">
        <is>
          <t>M1</t>
        </is>
      </c>
      <c r="C2194" t="inlineStr">
        <is>
          <t>Cali</t>
        </is>
      </c>
      <c r="D2194" t="inlineStr">
        <is>
          <t>4089</t>
        </is>
      </c>
      <c r="E2194" t="inlineStr">
        <is>
          <t>pagado</t>
        </is>
      </c>
      <c r="F2194" s="23" t="n">
        <v>46267</v>
      </c>
      <c r="G2194" s="24">
        <f>F2194-DATE(2026,8,31)</f>
        <v>2</v>
      </c>
      <c r="H2194" s="25" t="n">
        <v>149652406</v>
      </c>
      <c r="I2194" t="inlineStr">
        <is>
          <t>entidad-dia</t>
        </is>
      </c>
    </row>
    <row r="2195">
      <c r="A2195" t="inlineStr">
        <is>
          <t>PRAGMA</t>
        </is>
      </c>
      <c r="B2195" t="inlineStr">
        <is>
          <t>M1</t>
        </is>
      </c>
      <c r="C2195" t="inlineStr">
        <is>
          <t>Cali</t>
        </is>
      </c>
      <c r="D2195" t="inlineStr">
        <is>
          <t>4089</t>
        </is>
      </c>
      <c r="E2195" t="inlineStr">
        <is>
          <t>pagado</t>
        </is>
      </c>
      <c r="F2195" s="23" t="n">
        <v>46268</v>
      </c>
      <c r="G2195" s="24">
        <f>F2195-DATE(2026,8,31)</f>
        <v>3</v>
      </c>
      <c r="H2195" s="25" t="n">
        <v>128995168</v>
      </c>
      <c r="I2195" t="inlineStr">
        <is>
          <t>entidad-dia</t>
        </is>
      </c>
    </row>
    <row r="2196">
      <c r="A2196" t="inlineStr">
        <is>
          <t>PRAGMA</t>
        </is>
      </c>
      <c r="B2196" t="inlineStr">
        <is>
          <t>M1</t>
        </is>
      </c>
      <c r="C2196" t="inlineStr">
        <is>
          <t>Cali</t>
        </is>
      </c>
      <c r="D2196" t="inlineStr">
        <is>
          <t>4089</t>
        </is>
      </c>
      <c r="E2196" t="inlineStr">
        <is>
          <t>pagado</t>
        </is>
      </c>
      <c r="F2196" s="23" t="n">
        <v>46269</v>
      </c>
      <c r="G2196" s="24">
        <f>F2196-DATE(2026,8,31)</f>
        <v>4</v>
      </c>
      <c r="H2196" s="25" t="n">
        <v>149653078</v>
      </c>
      <c r="I2196" t="inlineStr">
        <is>
          <t>entidad-dia</t>
        </is>
      </c>
    </row>
    <row r="2197">
      <c r="A2197" t="inlineStr">
        <is>
          <t>PRAGMA</t>
        </is>
      </c>
      <c r="B2197" t="inlineStr">
        <is>
          <t>M1</t>
        </is>
      </c>
      <c r="C2197" t="inlineStr">
        <is>
          <t>Cali</t>
        </is>
      </c>
      <c r="D2197" t="inlineStr">
        <is>
          <t>4089</t>
        </is>
      </c>
      <c r="E2197" t="inlineStr">
        <is>
          <t>pagado</t>
        </is>
      </c>
      <c r="F2197" s="23" t="n">
        <v>46270</v>
      </c>
      <c r="G2197" s="24">
        <f>F2197-DATE(2026,8,31)</f>
        <v>5</v>
      </c>
      <c r="H2197" s="25" t="n">
        <v>160867187</v>
      </c>
      <c r="I2197" t="inlineStr">
        <is>
          <t>entidad-dia</t>
        </is>
      </c>
    </row>
    <row r="2198">
      <c r="A2198" t="inlineStr">
        <is>
          <t>PRAGMA</t>
        </is>
      </c>
      <c r="B2198" t="inlineStr">
        <is>
          <t>M1</t>
        </is>
      </c>
      <c r="C2198" t="inlineStr">
        <is>
          <t>Cali</t>
        </is>
      </c>
      <c r="D2198" t="inlineStr">
        <is>
          <t>4089</t>
        </is>
      </c>
      <c r="E2198" t="inlineStr">
        <is>
          <t>pagado</t>
        </is>
      </c>
      <c r="F2198" s="23" t="n">
        <v>46271</v>
      </c>
      <c r="G2198" s="24">
        <f>F2198-DATE(2026,8,31)</f>
        <v>6</v>
      </c>
      <c r="H2198" s="25" t="n">
        <v>114874727</v>
      </c>
      <c r="I2198" t="inlineStr">
        <is>
          <t>entidad-dia</t>
        </is>
      </c>
    </row>
    <row r="2199">
      <c r="A2199" t="inlineStr">
        <is>
          <t>PRAGMA</t>
        </is>
      </c>
      <c r="B2199" t="inlineStr">
        <is>
          <t>M1</t>
        </is>
      </c>
      <c r="C2199" t="inlineStr">
        <is>
          <t>Cali</t>
        </is>
      </c>
      <c r="D2199" t="inlineStr">
        <is>
          <t>4089</t>
        </is>
      </c>
      <c r="E2199" t="inlineStr">
        <is>
          <t>pagado</t>
        </is>
      </c>
      <c r="F2199" s="23" t="n">
        <v>46272</v>
      </c>
      <c r="G2199" s="24">
        <f>F2199-DATE(2026,8,31)</f>
        <v>7</v>
      </c>
      <c r="H2199" s="25" t="n">
        <v>112609103</v>
      </c>
      <c r="I2199" t="inlineStr">
        <is>
          <t>entidad-dia</t>
        </is>
      </c>
    </row>
    <row r="2200">
      <c r="A2200" t="inlineStr">
        <is>
          <t>PRAGMA</t>
        </is>
      </c>
      <c r="B2200" t="inlineStr">
        <is>
          <t>M1</t>
        </is>
      </c>
      <c r="C2200" t="inlineStr">
        <is>
          <t>Cali</t>
        </is>
      </c>
      <c r="D2200" t="inlineStr">
        <is>
          <t>4089</t>
        </is>
      </c>
      <c r="E2200" t="inlineStr">
        <is>
          <t>pagado</t>
        </is>
      </c>
      <c r="F2200" s="23" t="n">
        <v>46273</v>
      </c>
      <c r="G2200" s="24">
        <f>F2200-DATE(2026,8,31)</f>
        <v>8</v>
      </c>
      <c r="H2200" s="25" t="n">
        <v>97477639</v>
      </c>
      <c r="I2200" t="inlineStr">
        <is>
          <t>entidad-dia</t>
        </is>
      </c>
    </row>
    <row r="2201">
      <c r="A2201" t="inlineStr">
        <is>
          <t>PRAGMA</t>
        </is>
      </c>
      <c r="B2201" t="inlineStr">
        <is>
          <t>M1</t>
        </is>
      </c>
      <c r="C2201" t="inlineStr">
        <is>
          <t>Cali</t>
        </is>
      </c>
      <c r="D2201" t="inlineStr">
        <is>
          <t>4089</t>
        </is>
      </c>
      <c r="E2201" t="inlineStr">
        <is>
          <t>pagado</t>
        </is>
      </c>
      <c r="F2201" s="23" t="n">
        <v>46274</v>
      </c>
      <c r="G2201" s="24">
        <f>F2201-DATE(2026,8,31)</f>
        <v>9</v>
      </c>
      <c r="H2201" s="25" t="n">
        <v>108663216</v>
      </c>
      <c r="I2201" t="inlineStr">
        <is>
          <t>entidad-dia</t>
        </is>
      </c>
    </row>
    <row r="2202">
      <c r="A2202" t="inlineStr">
        <is>
          <t>PRAGMA</t>
        </is>
      </c>
      <c r="B2202" t="inlineStr">
        <is>
          <t>M1</t>
        </is>
      </c>
      <c r="C2202" t="inlineStr">
        <is>
          <t>Cali</t>
        </is>
      </c>
      <c r="D2202" t="inlineStr">
        <is>
          <t>4089</t>
        </is>
      </c>
      <c r="E2202" t="inlineStr">
        <is>
          <t>pagado</t>
        </is>
      </c>
      <c r="F2202" s="23" t="n">
        <v>46275</v>
      </c>
      <c r="G2202" s="24">
        <f>F2202-DATE(2026,8,31)</f>
        <v>10</v>
      </c>
      <c r="H2202" s="25" t="n">
        <v>91135379</v>
      </c>
      <c r="I2202" t="inlineStr">
        <is>
          <t>entidad-dia</t>
        </is>
      </c>
    </row>
    <row r="2203">
      <c r="A2203" t="inlineStr">
        <is>
          <t>PRAGMA</t>
        </is>
      </c>
      <c r="B2203" t="inlineStr">
        <is>
          <t>M1</t>
        </is>
      </c>
      <c r="C2203" t="inlineStr">
        <is>
          <t>Cali</t>
        </is>
      </c>
      <c r="D2203" t="inlineStr">
        <is>
          <t>4089</t>
        </is>
      </c>
      <c r="E2203" t="inlineStr">
        <is>
          <t>pagado</t>
        </is>
      </c>
      <c r="F2203" s="23" t="n">
        <v>46276</v>
      </c>
      <c r="G2203" s="24">
        <f>F2203-DATE(2026,8,31)</f>
        <v>11</v>
      </c>
      <c r="H2203" s="25" t="n">
        <v>108879645</v>
      </c>
      <c r="I2203" t="inlineStr">
        <is>
          <t>entidad-dia</t>
        </is>
      </c>
    </row>
    <row r="2204">
      <c r="A2204" t="inlineStr">
        <is>
          <t>PRAGMA</t>
        </is>
      </c>
      <c r="B2204" t="inlineStr">
        <is>
          <t>M1</t>
        </is>
      </c>
      <c r="C2204" t="inlineStr">
        <is>
          <t>Cali</t>
        </is>
      </c>
      <c r="D2204" t="inlineStr">
        <is>
          <t>4089</t>
        </is>
      </c>
      <c r="E2204" t="inlineStr">
        <is>
          <t>pagado</t>
        </is>
      </c>
      <c r="F2204" s="23" t="n">
        <v>46277</v>
      </c>
      <c r="G2204" s="24">
        <f>F2204-DATE(2026,8,31)</f>
        <v>12</v>
      </c>
      <c r="H2204" s="25" t="n">
        <v>121543608</v>
      </c>
      <c r="I2204" t="inlineStr">
        <is>
          <t>entidad-dia</t>
        </is>
      </c>
    </row>
    <row r="2205">
      <c r="A2205" t="inlineStr">
        <is>
          <t>PRAGMA</t>
        </is>
      </c>
      <c r="B2205" t="inlineStr">
        <is>
          <t>M1</t>
        </is>
      </c>
      <c r="C2205" t="inlineStr">
        <is>
          <t>Cali</t>
        </is>
      </c>
      <c r="D2205" t="inlineStr">
        <is>
          <t>4089</t>
        </is>
      </c>
      <c r="E2205" t="inlineStr">
        <is>
          <t>pagado</t>
        </is>
      </c>
      <c r="F2205" s="23" t="n">
        <v>46278</v>
      </c>
      <c r="G2205" s="24">
        <f>F2205-DATE(2026,8,31)</f>
        <v>13</v>
      </c>
      <c r="H2205" s="25" t="n">
        <v>88405159</v>
      </c>
      <c r="I2205" t="inlineStr">
        <is>
          <t>entidad-dia</t>
        </is>
      </c>
    </row>
    <row r="2206">
      <c r="A2206" t="inlineStr">
        <is>
          <t>PRAGMA</t>
        </is>
      </c>
      <c r="B2206" t="inlineStr">
        <is>
          <t>M1</t>
        </is>
      </c>
      <c r="C2206" t="inlineStr">
        <is>
          <t>Cali</t>
        </is>
      </c>
      <c r="D2206" t="inlineStr">
        <is>
          <t>4089</t>
        </is>
      </c>
      <c r="E2206" t="inlineStr">
        <is>
          <t>pagado</t>
        </is>
      </c>
      <c r="F2206" s="23" t="n">
        <v>46279</v>
      </c>
      <c r="G2206" s="24">
        <f>F2206-DATE(2026,8,31)</f>
        <v>14</v>
      </c>
      <c r="H2206" s="25" t="n">
        <v>95823529</v>
      </c>
      <c r="I2206" t="inlineStr">
        <is>
          <t>entidad-dia</t>
        </is>
      </c>
    </row>
    <row r="2207">
      <c r="A2207" t="inlineStr">
        <is>
          <t>PRAGMA</t>
        </is>
      </c>
      <c r="B2207" t="inlineStr">
        <is>
          <t>M1</t>
        </is>
      </c>
      <c r="C2207" t="inlineStr">
        <is>
          <t>Cali</t>
        </is>
      </c>
      <c r="D2207" t="inlineStr">
        <is>
          <t>4089</t>
        </is>
      </c>
      <c r="E2207" t="inlineStr">
        <is>
          <t>pagado</t>
        </is>
      </c>
      <c r="F2207" s="23" t="n">
        <v>46280</v>
      </c>
      <c r="G2207" s="24">
        <f>F2207-DATE(2026,8,31)</f>
        <v>15</v>
      </c>
      <c r="H2207" s="25" t="n">
        <v>132959507</v>
      </c>
      <c r="I2207" t="inlineStr">
        <is>
          <t>entidad-dia</t>
        </is>
      </c>
    </row>
    <row r="2208">
      <c r="A2208" t="inlineStr">
        <is>
          <t>PRAGMA</t>
        </is>
      </c>
      <c r="B2208" t="inlineStr">
        <is>
          <t>M1</t>
        </is>
      </c>
      <c r="C2208" t="inlineStr">
        <is>
          <t>Cali</t>
        </is>
      </c>
      <c r="D2208" t="inlineStr">
        <is>
          <t>4092</t>
        </is>
      </c>
      <c r="E2208" t="inlineStr">
        <is>
          <t>pagado</t>
        </is>
      </c>
      <c r="F2208" s="23" t="n">
        <v>46266</v>
      </c>
      <c r="G2208" s="24">
        <f>F2208-DATE(2026,8,31)</f>
        <v>1</v>
      </c>
      <c r="H2208" s="25" t="n">
        <v>69080912</v>
      </c>
      <c r="I2208" t="inlineStr">
        <is>
          <t>entidad-dia</t>
        </is>
      </c>
    </row>
    <row r="2209">
      <c r="A2209" t="inlineStr">
        <is>
          <t>PRAGMA</t>
        </is>
      </c>
      <c r="B2209" t="inlineStr">
        <is>
          <t>M1</t>
        </is>
      </c>
      <c r="C2209" t="inlineStr">
        <is>
          <t>Cali</t>
        </is>
      </c>
      <c r="D2209" t="inlineStr">
        <is>
          <t>4092</t>
        </is>
      </c>
      <c r="E2209" t="inlineStr">
        <is>
          <t>pagado</t>
        </is>
      </c>
      <c r="F2209" s="23" t="n">
        <v>46267</v>
      </c>
      <c r="G2209" s="24">
        <f>F2209-DATE(2026,8,31)</f>
        <v>2</v>
      </c>
      <c r="H2209" s="25" t="n">
        <v>45343871</v>
      </c>
      <c r="I2209" t="inlineStr">
        <is>
          <t>entidad-dia</t>
        </is>
      </c>
    </row>
    <row r="2210">
      <c r="A2210" t="inlineStr">
        <is>
          <t>PRAGMA</t>
        </is>
      </c>
      <c r="B2210" t="inlineStr">
        <is>
          <t>M1</t>
        </is>
      </c>
      <c r="C2210" t="inlineStr">
        <is>
          <t>Cali</t>
        </is>
      </c>
      <c r="D2210" t="inlineStr">
        <is>
          <t>4092</t>
        </is>
      </c>
      <c r="E2210" t="inlineStr">
        <is>
          <t>pagado</t>
        </is>
      </c>
      <c r="F2210" s="23" t="n">
        <v>46268</v>
      </c>
      <c r="G2210" s="24">
        <f>F2210-DATE(2026,8,31)</f>
        <v>3</v>
      </c>
      <c r="H2210" s="25" t="n">
        <v>41439055</v>
      </c>
      <c r="I2210" t="inlineStr">
        <is>
          <t>entidad-dia</t>
        </is>
      </c>
    </row>
    <row r="2211">
      <c r="A2211" t="inlineStr">
        <is>
          <t>PRAGMA</t>
        </is>
      </c>
      <c r="B2211" t="inlineStr">
        <is>
          <t>M1</t>
        </is>
      </c>
      <c r="C2211" t="inlineStr">
        <is>
          <t>Cali</t>
        </is>
      </c>
      <c r="D2211" t="inlineStr">
        <is>
          <t>4092</t>
        </is>
      </c>
      <c r="E2211" t="inlineStr">
        <is>
          <t>pagado</t>
        </is>
      </c>
      <c r="F2211" s="23" t="n">
        <v>46269</v>
      </c>
      <c r="G2211" s="24">
        <f>F2211-DATE(2026,8,31)</f>
        <v>4</v>
      </c>
      <c r="H2211" s="25" t="n">
        <v>40786987</v>
      </c>
      <c r="I2211" t="inlineStr">
        <is>
          <t>entidad-dia</t>
        </is>
      </c>
    </row>
    <row r="2212">
      <c r="A2212" t="inlineStr">
        <is>
          <t>PRAGMA</t>
        </is>
      </c>
      <c r="B2212" t="inlineStr">
        <is>
          <t>M1</t>
        </is>
      </c>
      <c r="C2212" t="inlineStr">
        <is>
          <t>Cali</t>
        </is>
      </c>
      <c r="D2212" t="inlineStr">
        <is>
          <t>4092</t>
        </is>
      </c>
      <c r="E2212" t="inlineStr">
        <is>
          <t>pagado</t>
        </is>
      </c>
      <c r="F2212" s="23" t="n">
        <v>46270</v>
      </c>
      <c r="G2212" s="24">
        <f>F2212-DATE(2026,8,31)</f>
        <v>5</v>
      </c>
      <c r="H2212" s="25" t="n">
        <v>36426726</v>
      </c>
      <c r="I2212" t="inlineStr">
        <is>
          <t>entidad-dia</t>
        </is>
      </c>
    </row>
    <row r="2213">
      <c r="A2213" t="inlineStr">
        <is>
          <t>PRAGMA</t>
        </is>
      </c>
      <c r="B2213" t="inlineStr">
        <is>
          <t>M1</t>
        </is>
      </c>
      <c r="C2213" t="inlineStr">
        <is>
          <t>Cali</t>
        </is>
      </c>
      <c r="D2213" t="inlineStr">
        <is>
          <t>4092</t>
        </is>
      </c>
      <c r="E2213" t="inlineStr">
        <is>
          <t>pagado</t>
        </is>
      </c>
      <c r="F2213" s="23" t="n">
        <v>46271</v>
      </c>
      <c r="G2213" s="24">
        <f>F2213-DATE(2026,8,31)</f>
        <v>6</v>
      </c>
      <c r="H2213" s="25" t="n">
        <v>18377138</v>
      </c>
      <c r="I2213" t="inlineStr">
        <is>
          <t>entidad-dia</t>
        </is>
      </c>
    </row>
    <row r="2214">
      <c r="A2214" t="inlineStr">
        <is>
          <t>PRAGMA</t>
        </is>
      </c>
      <c r="B2214" t="inlineStr">
        <is>
          <t>M1</t>
        </is>
      </c>
      <c r="C2214" t="inlineStr">
        <is>
          <t>Cali</t>
        </is>
      </c>
      <c r="D2214" t="inlineStr">
        <is>
          <t>4092</t>
        </is>
      </c>
      <c r="E2214" t="inlineStr">
        <is>
          <t>pagado</t>
        </is>
      </c>
      <c r="F2214" s="23" t="n">
        <v>46272</v>
      </c>
      <c r="G2214" s="24">
        <f>F2214-DATE(2026,8,31)</f>
        <v>7</v>
      </c>
      <c r="H2214" s="25" t="n">
        <v>25988609</v>
      </c>
      <c r="I2214" t="inlineStr">
        <is>
          <t>entidad-dia</t>
        </is>
      </c>
    </row>
    <row r="2215">
      <c r="A2215" t="inlineStr">
        <is>
          <t>PRAGMA</t>
        </is>
      </c>
      <c r="B2215" t="inlineStr">
        <is>
          <t>M1</t>
        </is>
      </c>
      <c r="C2215" t="inlineStr">
        <is>
          <t>Cali</t>
        </is>
      </c>
      <c r="D2215" t="inlineStr">
        <is>
          <t>4092</t>
        </is>
      </c>
      <c r="E2215" t="inlineStr">
        <is>
          <t>pagado</t>
        </is>
      </c>
      <c r="F2215" s="23" t="n">
        <v>46273</v>
      </c>
      <c r="G2215" s="24">
        <f>F2215-DATE(2026,8,31)</f>
        <v>8</v>
      </c>
      <c r="H2215" s="25" t="n">
        <v>25698506</v>
      </c>
      <c r="I2215" t="inlineStr">
        <is>
          <t>entidad-dia</t>
        </is>
      </c>
    </row>
    <row r="2216">
      <c r="A2216" t="inlineStr">
        <is>
          <t>PRAGMA</t>
        </is>
      </c>
      <c r="B2216" t="inlineStr">
        <is>
          <t>M1</t>
        </is>
      </c>
      <c r="C2216" t="inlineStr">
        <is>
          <t>Cali</t>
        </is>
      </c>
      <c r="D2216" t="inlineStr">
        <is>
          <t>4092</t>
        </is>
      </c>
      <c r="E2216" t="inlineStr">
        <is>
          <t>pagado</t>
        </is>
      </c>
      <c r="F2216" s="23" t="n">
        <v>46274</v>
      </c>
      <c r="G2216" s="24">
        <f>F2216-DATE(2026,8,31)</f>
        <v>9</v>
      </c>
      <c r="H2216" s="25" t="n">
        <v>23105581</v>
      </c>
      <c r="I2216" t="inlineStr">
        <is>
          <t>entidad-dia</t>
        </is>
      </c>
    </row>
    <row r="2217">
      <c r="A2217" t="inlineStr">
        <is>
          <t>PRAGMA</t>
        </is>
      </c>
      <c r="B2217" t="inlineStr">
        <is>
          <t>M1</t>
        </is>
      </c>
      <c r="C2217" t="inlineStr">
        <is>
          <t>Cali</t>
        </is>
      </c>
      <c r="D2217" t="inlineStr">
        <is>
          <t>4092</t>
        </is>
      </c>
      <c r="E2217" t="inlineStr">
        <is>
          <t>pagado</t>
        </is>
      </c>
      <c r="F2217" s="23" t="n">
        <v>46275</v>
      </c>
      <c r="G2217" s="24">
        <f>F2217-DATE(2026,8,31)</f>
        <v>10</v>
      </c>
      <c r="H2217" s="25" t="n">
        <v>25481536</v>
      </c>
      <c r="I2217" t="inlineStr">
        <is>
          <t>entidad-dia</t>
        </is>
      </c>
    </row>
    <row r="2218">
      <c r="A2218" t="inlineStr">
        <is>
          <t>PRAGMA</t>
        </is>
      </c>
      <c r="B2218" t="inlineStr">
        <is>
          <t>M1</t>
        </is>
      </c>
      <c r="C2218" t="inlineStr">
        <is>
          <t>Cali</t>
        </is>
      </c>
      <c r="D2218" t="inlineStr">
        <is>
          <t>4092</t>
        </is>
      </c>
      <c r="E2218" t="inlineStr">
        <is>
          <t>pagado</t>
        </is>
      </c>
      <c r="F2218" s="23" t="n">
        <v>46276</v>
      </c>
      <c r="G2218" s="24">
        <f>F2218-DATE(2026,8,31)</f>
        <v>11</v>
      </c>
      <c r="H2218" s="25" t="n">
        <v>28544078</v>
      </c>
      <c r="I2218" t="inlineStr">
        <is>
          <t>entidad-dia</t>
        </is>
      </c>
    </row>
    <row r="2219">
      <c r="A2219" t="inlineStr">
        <is>
          <t>PRAGMA</t>
        </is>
      </c>
      <c r="B2219" t="inlineStr">
        <is>
          <t>M1</t>
        </is>
      </c>
      <c r="C2219" t="inlineStr">
        <is>
          <t>Cali</t>
        </is>
      </c>
      <c r="D2219" t="inlineStr">
        <is>
          <t>4092</t>
        </is>
      </c>
      <c r="E2219" t="inlineStr">
        <is>
          <t>pagado</t>
        </is>
      </c>
      <c r="F2219" s="23" t="n">
        <v>46277</v>
      </c>
      <c r="G2219" s="24">
        <f>F2219-DATE(2026,8,31)</f>
        <v>12</v>
      </c>
      <c r="H2219" s="25" t="n">
        <v>23027111</v>
      </c>
      <c r="I2219" t="inlineStr">
        <is>
          <t>entidad-dia</t>
        </is>
      </c>
    </row>
    <row r="2220">
      <c r="A2220" t="inlineStr">
        <is>
          <t>PRAGMA</t>
        </is>
      </c>
      <c r="B2220" t="inlineStr">
        <is>
          <t>M1</t>
        </is>
      </c>
      <c r="C2220" t="inlineStr">
        <is>
          <t>Cali</t>
        </is>
      </c>
      <c r="D2220" t="inlineStr">
        <is>
          <t>4092</t>
        </is>
      </c>
      <c r="E2220" t="inlineStr">
        <is>
          <t>pagado</t>
        </is>
      </c>
      <c r="F2220" s="23" t="n">
        <v>46278</v>
      </c>
      <c r="G2220" s="24">
        <f>F2220-DATE(2026,8,31)</f>
        <v>13</v>
      </c>
      <c r="H2220" s="25" t="n">
        <v>14239327</v>
      </c>
      <c r="I2220" t="inlineStr">
        <is>
          <t>entidad-dia</t>
        </is>
      </c>
    </row>
    <row r="2221">
      <c r="A2221" t="inlineStr">
        <is>
          <t>PRAGMA</t>
        </is>
      </c>
      <c r="B2221" t="inlineStr">
        <is>
          <t>M1</t>
        </is>
      </c>
      <c r="C2221" t="inlineStr">
        <is>
          <t>Cali</t>
        </is>
      </c>
      <c r="D2221" t="inlineStr">
        <is>
          <t>4092</t>
        </is>
      </c>
      <c r="E2221" t="inlineStr">
        <is>
          <t>pagado</t>
        </is>
      </c>
      <c r="F2221" s="23" t="n">
        <v>46279</v>
      </c>
      <c r="G2221" s="24">
        <f>F2221-DATE(2026,8,31)</f>
        <v>14</v>
      </c>
      <c r="H2221" s="25" t="n">
        <v>32729000</v>
      </c>
      <c r="I2221" t="inlineStr">
        <is>
          <t>entidad-dia</t>
        </is>
      </c>
    </row>
    <row r="2222">
      <c r="A2222" t="inlineStr">
        <is>
          <t>PRAGMA</t>
        </is>
      </c>
      <c r="B2222" t="inlineStr">
        <is>
          <t>M1</t>
        </is>
      </c>
      <c r="C2222" t="inlineStr">
        <is>
          <t>Cali</t>
        </is>
      </c>
      <c r="D2222" t="inlineStr">
        <is>
          <t>4092</t>
        </is>
      </c>
      <c r="E2222" t="inlineStr">
        <is>
          <t>pagado</t>
        </is>
      </c>
      <c r="F2222" s="23" t="n">
        <v>46280</v>
      </c>
      <c r="G2222" s="24">
        <f>F2222-DATE(2026,8,31)</f>
        <v>15</v>
      </c>
      <c r="H2222" s="25" t="n">
        <v>65518320</v>
      </c>
      <c r="I2222" t="inlineStr">
        <is>
          <t>entidad-dia</t>
        </is>
      </c>
    </row>
    <row r="2223">
      <c r="A2223" t="inlineStr">
        <is>
          <t>PRAGMA</t>
        </is>
      </c>
      <c r="B2223" t="inlineStr">
        <is>
          <t>M1</t>
        </is>
      </c>
      <c r="C2223" t="inlineStr">
        <is>
          <t>Cali</t>
        </is>
      </c>
      <c r="D2223" t="inlineStr">
        <is>
          <t>4094</t>
        </is>
      </c>
      <c r="E2223" t="inlineStr">
        <is>
          <t>pagado</t>
        </is>
      </c>
      <c r="F2223" s="23" t="n">
        <v>46266</v>
      </c>
      <c r="G2223" s="24">
        <f>F2223-DATE(2026,8,31)</f>
        <v>1</v>
      </c>
      <c r="H2223" s="25" t="n">
        <v>193764113</v>
      </c>
      <c r="I2223" t="inlineStr">
        <is>
          <t>entidad-dia</t>
        </is>
      </c>
    </row>
    <row r="2224">
      <c r="A2224" t="inlineStr">
        <is>
          <t>PRAGMA</t>
        </is>
      </c>
      <c r="B2224" t="inlineStr">
        <is>
          <t>M1</t>
        </is>
      </c>
      <c r="C2224" t="inlineStr">
        <is>
          <t>Cali</t>
        </is>
      </c>
      <c r="D2224" t="inlineStr">
        <is>
          <t>4094</t>
        </is>
      </c>
      <c r="E2224" t="inlineStr">
        <is>
          <t>pagado</t>
        </is>
      </c>
      <c r="F2224" s="23" t="n">
        <v>46267</v>
      </c>
      <c r="G2224" s="24">
        <f>F2224-DATE(2026,8,31)</f>
        <v>2</v>
      </c>
      <c r="H2224" s="25" t="n">
        <v>150118008</v>
      </c>
      <c r="I2224" t="inlineStr">
        <is>
          <t>entidad-dia</t>
        </is>
      </c>
    </row>
    <row r="2225">
      <c r="A2225" t="inlineStr">
        <is>
          <t>PRAGMA</t>
        </is>
      </c>
      <c r="B2225" t="inlineStr">
        <is>
          <t>M1</t>
        </is>
      </c>
      <c r="C2225" t="inlineStr">
        <is>
          <t>Cali</t>
        </is>
      </c>
      <c r="D2225" t="inlineStr">
        <is>
          <t>4094</t>
        </is>
      </c>
      <c r="E2225" t="inlineStr">
        <is>
          <t>pagado</t>
        </is>
      </c>
      <c r="F2225" s="23" t="n">
        <v>46268</v>
      </c>
      <c r="G2225" s="24">
        <f>F2225-DATE(2026,8,31)</f>
        <v>3</v>
      </c>
      <c r="H2225" s="25" t="n">
        <v>133873207</v>
      </c>
      <c r="I2225" t="inlineStr">
        <is>
          <t>entidad-dia</t>
        </is>
      </c>
    </row>
    <row r="2226">
      <c r="A2226" t="inlineStr">
        <is>
          <t>PRAGMA</t>
        </is>
      </c>
      <c r="B2226" t="inlineStr">
        <is>
          <t>M1</t>
        </is>
      </c>
      <c r="C2226" t="inlineStr">
        <is>
          <t>Cali</t>
        </is>
      </c>
      <c r="D2226" t="inlineStr">
        <is>
          <t>4094</t>
        </is>
      </c>
      <c r="E2226" t="inlineStr">
        <is>
          <t>pagado</t>
        </is>
      </c>
      <c r="F2226" s="23" t="n">
        <v>46269</v>
      </c>
      <c r="G2226" s="24">
        <f>F2226-DATE(2026,8,31)</f>
        <v>4</v>
      </c>
      <c r="H2226" s="25" t="n">
        <v>140742263</v>
      </c>
      <c r="I2226" t="inlineStr">
        <is>
          <t>entidad-dia</t>
        </is>
      </c>
    </row>
    <row r="2227">
      <c r="A2227" t="inlineStr">
        <is>
          <t>PRAGMA</t>
        </is>
      </c>
      <c r="B2227" t="inlineStr">
        <is>
          <t>M1</t>
        </is>
      </c>
      <c r="C2227" t="inlineStr">
        <is>
          <t>Cali</t>
        </is>
      </c>
      <c r="D2227" t="inlineStr">
        <is>
          <t>4094</t>
        </is>
      </c>
      <c r="E2227" t="inlineStr">
        <is>
          <t>pagado</t>
        </is>
      </c>
      <c r="F2227" s="23" t="n">
        <v>46270</v>
      </c>
      <c r="G2227" s="24">
        <f>F2227-DATE(2026,8,31)</f>
        <v>5</v>
      </c>
      <c r="H2227" s="25" t="n">
        <v>162101699</v>
      </c>
      <c r="I2227" t="inlineStr">
        <is>
          <t>entidad-dia</t>
        </is>
      </c>
    </row>
    <row r="2228">
      <c r="A2228" t="inlineStr">
        <is>
          <t>PRAGMA</t>
        </is>
      </c>
      <c r="B2228" t="inlineStr">
        <is>
          <t>M1</t>
        </is>
      </c>
      <c r="C2228" t="inlineStr">
        <is>
          <t>Cali</t>
        </is>
      </c>
      <c r="D2228" t="inlineStr">
        <is>
          <t>4094</t>
        </is>
      </c>
      <c r="E2228" t="inlineStr">
        <is>
          <t>pagado</t>
        </is>
      </c>
      <c r="F2228" s="23" t="n">
        <v>46271</v>
      </c>
      <c r="G2228" s="24">
        <f>F2228-DATE(2026,8,31)</f>
        <v>6</v>
      </c>
      <c r="H2228" s="25" t="n">
        <v>131421002</v>
      </c>
      <c r="I2228" t="inlineStr">
        <is>
          <t>entidad-dia</t>
        </is>
      </c>
    </row>
    <row r="2229">
      <c r="A2229" t="inlineStr">
        <is>
          <t>PRAGMA</t>
        </is>
      </c>
      <c r="B2229" t="inlineStr">
        <is>
          <t>M1</t>
        </is>
      </c>
      <c r="C2229" t="inlineStr">
        <is>
          <t>Cali</t>
        </is>
      </c>
      <c r="D2229" t="inlineStr">
        <is>
          <t>4094</t>
        </is>
      </c>
      <c r="E2229" t="inlineStr">
        <is>
          <t>pagado</t>
        </is>
      </c>
      <c r="F2229" s="23" t="n">
        <v>46272</v>
      </c>
      <c r="G2229" s="24">
        <f>F2229-DATE(2026,8,31)</f>
        <v>7</v>
      </c>
      <c r="H2229" s="25" t="n">
        <v>114270795</v>
      </c>
      <c r="I2229" t="inlineStr">
        <is>
          <t>entidad-dia</t>
        </is>
      </c>
    </row>
    <row r="2230">
      <c r="A2230" t="inlineStr">
        <is>
          <t>PRAGMA</t>
        </is>
      </c>
      <c r="B2230" t="inlineStr">
        <is>
          <t>M1</t>
        </is>
      </c>
      <c r="C2230" t="inlineStr">
        <is>
          <t>Cali</t>
        </is>
      </c>
      <c r="D2230" t="inlineStr">
        <is>
          <t>4094</t>
        </is>
      </c>
      <c r="E2230" t="inlineStr">
        <is>
          <t>pagado</t>
        </is>
      </c>
      <c r="F2230" s="23" t="n">
        <v>46273</v>
      </c>
      <c r="G2230" s="24">
        <f>F2230-DATE(2026,8,31)</f>
        <v>8</v>
      </c>
      <c r="H2230" s="25" t="n">
        <v>112922661</v>
      </c>
      <c r="I2230" t="inlineStr">
        <is>
          <t>entidad-dia</t>
        </is>
      </c>
    </row>
    <row r="2231">
      <c r="A2231" t="inlineStr">
        <is>
          <t>PRAGMA</t>
        </is>
      </c>
      <c r="B2231" t="inlineStr">
        <is>
          <t>M1</t>
        </is>
      </c>
      <c r="C2231" t="inlineStr">
        <is>
          <t>Cali</t>
        </is>
      </c>
      <c r="D2231" t="inlineStr">
        <is>
          <t>4094</t>
        </is>
      </c>
      <c r="E2231" t="inlineStr">
        <is>
          <t>pagado</t>
        </is>
      </c>
      <c r="F2231" s="23" t="n">
        <v>46274</v>
      </c>
      <c r="G2231" s="24">
        <f>F2231-DATE(2026,8,31)</f>
        <v>9</v>
      </c>
      <c r="H2231" s="25" t="n">
        <v>104211826</v>
      </c>
      <c r="I2231" t="inlineStr">
        <is>
          <t>entidad-dia</t>
        </is>
      </c>
    </row>
    <row r="2232">
      <c r="A2232" t="inlineStr">
        <is>
          <t>PRAGMA</t>
        </is>
      </c>
      <c r="B2232" t="inlineStr">
        <is>
          <t>M1</t>
        </is>
      </c>
      <c r="C2232" t="inlineStr">
        <is>
          <t>Cali</t>
        </is>
      </c>
      <c r="D2232" t="inlineStr">
        <is>
          <t>4094</t>
        </is>
      </c>
      <c r="E2232" t="inlineStr">
        <is>
          <t>pagado</t>
        </is>
      </c>
      <c r="F2232" s="23" t="n">
        <v>46275</v>
      </c>
      <c r="G2232" s="24">
        <f>F2232-DATE(2026,8,31)</f>
        <v>10</v>
      </c>
      <c r="H2232" s="25" t="n">
        <v>100180186</v>
      </c>
      <c r="I2232" t="inlineStr">
        <is>
          <t>entidad-dia</t>
        </is>
      </c>
    </row>
    <row r="2233">
      <c r="A2233" t="inlineStr">
        <is>
          <t>PRAGMA</t>
        </is>
      </c>
      <c r="B2233" t="inlineStr">
        <is>
          <t>M1</t>
        </is>
      </c>
      <c r="C2233" t="inlineStr">
        <is>
          <t>Cali</t>
        </is>
      </c>
      <c r="D2233" t="inlineStr">
        <is>
          <t>4094</t>
        </is>
      </c>
      <c r="E2233" t="inlineStr">
        <is>
          <t>pagado</t>
        </is>
      </c>
      <c r="F2233" s="23" t="n">
        <v>46276</v>
      </c>
      <c r="G2233" s="24">
        <f>F2233-DATE(2026,8,31)</f>
        <v>11</v>
      </c>
      <c r="H2233" s="25" t="n">
        <v>108621211</v>
      </c>
      <c r="I2233" t="inlineStr">
        <is>
          <t>entidad-dia</t>
        </is>
      </c>
    </row>
    <row r="2234">
      <c r="A2234" t="inlineStr">
        <is>
          <t>PRAGMA</t>
        </is>
      </c>
      <c r="B2234" t="inlineStr">
        <is>
          <t>M1</t>
        </is>
      </c>
      <c r="C2234" t="inlineStr">
        <is>
          <t>Cali</t>
        </is>
      </c>
      <c r="D2234" t="inlineStr">
        <is>
          <t>4094</t>
        </is>
      </c>
      <c r="E2234" t="inlineStr">
        <is>
          <t>pagado</t>
        </is>
      </c>
      <c r="F2234" s="23" t="n">
        <v>46277</v>
      </c>
      <c r="G2234" s="24">
        <f>F2234-DATE(2026,8,31)</f>
        <v>12</v>
      </c>
      <c r="H2234" s="25" t="n">
        <v>123316969</v>
      </c>
      <c r="I2234" t="inlineStr">
        <is>
          <t>entidad-dia</t>
        </is>
      </c>
    </row>
    <row r="2235">
      <c r="A2235" t="inlineStr">
        <is>
          <t>PRAGMA</t>
        </is>
      </c>
      <c r="B2235" t="inlineStr">
        <is>
          <t>M1</t>
        </is>
      </c>
      <c r="C2235" t="inlineStr">
        <is>
          <t>Cali</t>
        </is>
      </c>
      <c r="D2235" t="inlineStr">
        <is>
          <t>4094</t>
        </is>
      </c>
      <c r="E2235" t="inlineStr">
        <is>
          <t>pagado</t>
        </is>
      </c>
      <c r="F2235" s="23" t="n">
        <v>46278</v>
      </c>
      <c r="G2235" s="24">
        <f>F2235-DATE(2026,8,31)</f>
        <v>13</v>
      </c>
      <c r="H2235" s="25" t="n">
        <v>104600329</v>
      </c>
      <c r="I2235" t="inlineStr">
        <is>
          <t>entidad-dia</t>
        </is>
      </c>
    </row>
    <row r="2236">
      <c r="A2236" t="inlineStr">
        <is>
          <t>PRAGMA</t>
        </is>
      </c>
      <c r="B2236" t="inlineStr">
        <is>
          <t>M1</t>
        </is>
      </c>
      <c r="C2236" t="inlineStr">
        <is>
          <t>Cali</t>
        </is>
      </c>
      <c r="D2236" t="inlineStr">
        <is>
          <t>4094</t>
        </is>
      </c>
      <c r="E2236" t="inlineStr">
        <is>
          <t>pagado</t>
        </is>
      </c>
      <c r="F2236" s="23" t="n">
        <v>46279</v>
      </c>
      <c r="G2236" s="24">
        <f>F2236-DATE(2026,8,31)</f>
        <v>14</v>
      </c>
      <c r="H2236" s="25" t="n">
        <v>109676295</v>
      </c>
      <c r="I2236" t="inlineStr">
        <is>
          <t>entidad-dia</t>
        </is>
      </c>
    </row>
    <row r="2237">
      <c r="A2237" t="inlineStr">
        <is>
          <t>PRAGMA</t>
        </is>
      </c>
      <c r="B2237" t="inlineStr">
        <is>
          <t>M1</t>
        </is>
      </c>
      <c r="C2237" t="inlineStr">
        <is>
          <t>Cali</t>
        </is>
      </c>
      <c r="D2237" t="inlineStr">
        <is>
          <t>4094</t>
        </is>
      </c>
      <c r="E2237" t="inlineStr">
        <is>
          <t>pagado</t>
        </is>
      </c>
      <c r="F2237" s="23" t="n">
        <v>46280</v>
      </c>
      <c r="G2237" s="24">
        <f>F2237-DATE(2026,8,31)</f>
        <v>15</v>
      </c>
      <c r="H2237" s="25" t="n">
        <v>148117125</v>
      </c>
      <c r="I2237" t="inlineStr">
        <is>
          <t>entidad-dia</t>
        </is>
      </c>
    </row>
    <row r="2238">
      <c r="A2238" t="inlineStr">
        <is>
          <t>PRAGMA</t>
        </is>
      </c>
      <c r="B2238" t="inlineStr">
        <is>
          <t>M1</t>
        </is>
      </c>
      <c r="C2238" t="inlineStr">
        <is>
          <t>Cali</t>
        </is>
      </c>
      <c r="D2238" t="inlineStr">
        <is>
          <t>4095</t>
        </is>
      </c>
      <c r="E2238" t="inlineStr">
        <is>
          <t>pagado</t>
        </is>
      </c>
      <c r="F2238" s="23" t="n">
        <v>46266</v>
      </c>
      <c r="G2238" s="24">
        <f>F2238-DATE(2026,8,31)</f>
        <v>1</v>
      </c>
      <c r="H2238" s="25" t="n">
        <v>202085672</v>
      </c>
      <c r="I2238" t="inlineStr">
        <is>
          <t>entidad-dia</t>
        </is>
      </c>
    </row>
    <row r="2239">
      <c r="A2239" t="inlineStr">
        <is>
          <t>PRAGMA</t>
        </is>
      </c>
      <c r="B2239" t="inlineStr">
        <is>
          <t>M1</t>
        </is>
      </c>
      <c r="C2239" t="inlineStr">
        <is>
          <t>Cali</t>
        </is>
      </c>
      <c r="D2239" t="inlineStr">
        <is>
          <t>4095</t>
        </is>
      </c>
      <c r="E2239" t="inlineStr">
        <is>
          <t>pagado</t>
        </is>
      </c>
      <c r="F2239" s="23" t="n">
        <v>46267</v>
      </c>
      <c r="G2239" s="24">
        <f>F2239-DATE(2026,8,31)</f>
        <v>2</v>
      </c>
      <c r="H2239" s="25" t="n">
        <v>163733987</v>
      </c>
      <c r="I2239" t="inlineStr">
        <is>
          <t>entidad-dia</t>
        </is>
      </c>
    </row>
    <row r="2240">
      <c r="A2240" t="inlineStr">
        <is>
          <t>PRAGMA</t>
        </is>
      </c>
      <c r="B2240" t="inlineStr">
        <is>
          <t>M1</t>
        </is>
      </c>
      <c r="C2240" t="inlineStr">
        <is>
          <t>Cali</t>
        </is>
      </c>
      <c r="D2240" t="inlineStr">
        <is>
          <t>4095</t>
        </is>
      </c>
      <c r="E2240" t="inlineStr">
        <is>
          <t>pagado</t>
        </is>
      </c>
      <c r="F2240" s="23" t="n">
        <v>46268</v>
      </c>
      <c r="G2240" s="24">
        <f>F2240-DATE(2026,8,31)</f>
        <v>3</v>
      </c>
      <c r="H2240" s="25" t="n">
        <v>151040279</v>
      </c>
      <c r="I2240" t="inlineStr">
        <is>
          <t>entidad-dia</t>
        </is>
      </c>
    </row>
    <row r="2241">
      <c r="A2241" t="inlineStr">
        <is>
          <t>PRAGMA</t>
        </is>
      </c>
      <c r="B2241" t="inlineStr">
        <is>
          <t>M1</t>
        </is>
      </c>
      <c r="C2241" t="inlineStr">
        <is>
          <t>Cali</t>
        </is>
      </c>
      <c r="D2241" t="inlineStr">
        <is>
          <t>4095</t>
        </is>
      </c>
      <c r="E2241" t="inlineStr">
        <is>
          <t>pagado</t>
        </is>
      </c>
      <c r="F2241" s="23" t="n">
        <v>46269</v>
      </c>
      <c r="G2241" s="24">
        <f>F2241-DATE(2026,8,31)</f>
        <v>4</v>
      </c>
      <c r="H2241" s="25" t="n">
        <v>153326830</v>
      </c>
      <c r="I2241" t="inlineStr">
        <is>
          <t>entidad-dia</t>
        </is>
      </c>
    </row>
    <row r="2242">
      <c r="A2242" t="inlineStr">
        <is>
          <t>PRAGMA</t>
        </is>
      </c>
      <c r="B2242" t="inlineStr">
        <is>
          <t>M1</t>
        </is>
      </c>
      <c r="C2242" t="inlineStr">
        <is>
          <t>Cali</t>
        </is>
      </c>
      <c r="D2242" t="inlineStr">
        <is>
          <t>4095</t>
        </is>
      </c>
      <c r="E2242" t="inlineStr">
        <is>
          <t>pagado</t>
        </is>
      </c>
      <c r="F2242" s="23" t="n">
        <v>46270</v>
      </c>
      <c r="G2242" s="24">
        <f>F2242-DATE(2026,8,31)</f>
        <v>5</v>
      </c>
      <c r="H2242" s="25" t="n">
        <v>176711754</v>
      </c>
      <c r="I2242" t="inlineStr">
        <is>
          <t>entidad-dia</t>
        </is>
      </c>
    </row>
    <row r="2243">
      <c r="A2243" t="inlineStr">
        <is>
          <t>PRAGMA</t>
        </is>
      </c>
      <c r="B2243" t="inlineStr">
        <is>
          <t>M1</t>
        </is>
      </c>
      <c r="C2243" t="inlineStr">
        <is>
          <t>Cali</t>
        </is>
      </c>
      <c r="D2243" t="inlineStr">
        <is>
          <t>4095</t>
        </is>
      </c>
      <c r="E2243" t="inlineStr">
        <is>
          <t>pagado</t>
        </is>
      </c>
      <c r="F2243" s="23" t="n">
        <v>46271</v>
      </c>
      <c r="G2243" s="24">
        <f>F2243-DATE(2026,8,31)</f>
        <v>6</v>
      </c>
      <c r="H2243" s="25" t="n">
        <v>132034565</v>
      </c>
      <c r="I2243" t="inlineStr">
        <is>
          <t>entidad-dia</t>
        </is>
      </c>
    </row>
    <row r="2244">
      <c r="A2244" t="inlineStr">
        <is>
          <t>PRAGMA</t>
        </is>
      </c>
      <c r="B2244" t="inlineStr">
        <is>
          <t>M1</t>
        </is>
      </c>
      <c r="C2244" t="inlineStr">
        <is>
          <t>Cali</t>
        </is>
      </c>
      <c r="D2244" t="inlineStr">
        <is>
          <t>4095</t>
        </is>
      </c>
      <c r="E2244" t="inlineStr">
        <is>
          <t>pagado</t>
        </is>
      </c>
      <c r="F2244" s="23" t="n">
        <v>46272</v>
      </c>
      <c r="G2244" s="24">
        <f>F2244-DATE(2026,8,31)</f>
        <v>7</v>
      </c>
      <c r="H2244" s="25" t="n">
        <v>112546092</v>
      </c>
      <c r="I2244" t="inlineStr">
        <is>
          <t>entidad-dia</t>
        </is>
      </c>
    </row>
    <row r="2245">
      <c r="A2245" t="inlineStr">
        <is>
          <t>PRAGMA</t>
        </is>
      </c>
      <c r="B2245" t="inlineStr">
        <is>
          <t>M1</t>
        </is>
      </c>
      <c r="C2245" t="inlineStr">
        <is>
          <t>Cali</t>
        </is>
      </c>
      <c r="D2245" t="inlineStr">
        <is>
          <t>4095</t>
        </is>
      </c>
      <c r="E2245" t="inlineStr">
        <is>
          <t>pagado</t>
        </is>
      </c>
      <c r="F2245" s="23" t="n">
        <v>46273</v>
      </c>
      <c r="G2245" s="24">
        <f>F2245-DATE(2026,8,31)</f>
        <v>8</v>
      </c>
      <c r="H2245" s="25" t="n">
        <v>114921278</v>
      </c>
      <c r="I2245" t="inlineStr">
        <is>
          <t>entidad-dia</t>
        </is>
      </c>
    </row>
    <row r="2246">
      <c r="A2246" t="inlineStr">
        <is>
          <t>PRAGMA</t>
        </is>
      </c>
      <c r="B2246" t="inlineStr">
        <is>
          <t>M1</t>
        </is>
      </c>
      <c r="C2246" t="inlineStr">
        <is>
          <t>Cali</t>
        </is>
      </c>
      <c r="D2246" t="inlineStr">
        <is>
          <t>4095</t>
        </is>
      </c>
      <c r="E2246" t="inlineStr">
        <is>
          <t>pagado</t>
        </is>
      </c>
      <c r="F2246" s="23" t="n">
        <v>46274</v>
      </c>
      <c r="G2246" s="24">
        <f>F2246-DATE(2026,8,31)</f>
        <v>9</v>
      </c>
      <c r="H2246" s="25" t="n">
        <v>106548987</v>
      </c>
      <c r="I2246" t="inlineStr">
        <is>
          <t>entidad-dia</t>
        </is>
      </c>
    </row>
    <row r="2247">
      <c r="A2247" t="inlineStr">
        <is>
          <t>PRAGMA</t>
        </is>
      </c>
      <c r="B2247" t="inlineStr">
        <is>
          <t>M1</t>
        </is>
      </c>
      <c r="C2247" t="inlineStr">
        <is>
          <t>Cali</t>
        </is>
      </c>
      <c r="D2247" t="inlineStr">
        <is>
          <t>4095</t>
        </is>
      </c>
      <c r="E2247" t="inlineStr">
        <is>
          <t>pagado</t>
        </is>
      </c>
      <c r="F2247" s="23" t="n">
        <v>46275</v>
      </c>
      <c r="G2247" s="24">
        <f>F2247-DATE(2026,8,31)</f>
        <v>10</v>
      </c>
      <c r="H2247" s="25" t="n">
        <v>102772893</v>
      </c>
      <c r="I2247" t="inlineStr">
        <is>
          <t>entidad-dia</t>
        </is>
      </c>
    </row>
    <row r="2248">
      <c r="A2248" t="inlineStr">
        <is>
          <t>PRAGMA</t>
        </is>
      </c>
      <c r="B2248" t="inlineStr">
        <is>
          <t>M1</t>
        </is>
      </c>
      <c r="C2248" t="inlineStr">
        <is>
          <t>Cali</t>
        </is>
      </c>
      <c r="D2248" t="inlineStr">
        <is>
          <t>4095</t>
        </is>
      </c>
      <c r="E2248" t="inlineStr">
        <is>
          <t>pagado</t>
        </is>
      </c>
      <c r="F2248" s="23" t="n">
        <v>46276</v>
      </c>
      <c r="G2248" s="24">
        <f>F2248-DATE(2026,8,31)</f>
        <v>11</v>
      </c>
      <c r="H2248" s="25" t="n">
        <v>115460655</v>
      </c>
      <c r="I2248" t="inlineStr">
        <is>
          <t>entidad-dia</t>
        </is>
      </c>
    </row>
    <row r="2249">
      <c r="A2249" t="inlineStr">
        <is>
          <t>PRAGMA</t>
        </is>
      </c>
      <c r="B2249" t="inlineStr">
        <is>
          <t>M1</t>
        </is>
      </c>
      <c r="C2249" t="inlineStr">
        <is>
          <t>Cali</t>
        </is>
      </c>
      <c r="D2249" t="inlineStr">
        <is>
          <t>4095</t>
        </is>
      </c>
      <c r="E2249" t="inlineStr">
        <is>
          <t>pagado</t>
        </is>
      </c>
      <c r="F2249" s="23" t="n">
        <v>46277</v>
      </c>
      <c r="G2249" s="24">
        <f>F2249-DATE(2026,8,31)</f>
        <v>12</v>
      </c>
      <c r="H2249" s="25" t="n">
        <v>127732263</v>
      </c>
      <c r="I2249" t="inlineStr">
        <is>
          <t>entidad-dia</t>
        </is>
      </c>
    </row>
    <row r="2250">
      <c r="A2250" t="inlineStr">
        <is>
          <t>PRAGMA</t>
        </is>
      </c>
      <c r="B2250" t="inlineStr">
        <is>
          <t>M1</t>
        </is>
      </c>
      <c r="C2250" t="inlineStr">
        <is>
          <t>Cali</t>
        </is>
      </c>
      <c r="D2250" t="inlineStr">
        <is>
          <t>4095</t>
        </is>
      </c>
      <c r="E2250" t="inlineStr">
        <is>
          <t>pagado</t>
        </is>
      </c>
      <c r="F2250" s="23" t="n">
        <v>46278</v>
      </c>
      <c r="G2250" s="24">
        <f>F2250-DATE(2026,8,31)</f>
        <v>13</v>
      </c>
      <c r="H2250" s="25" t="n">
        <v>106338689</v>
      </c>
      <c r="I2250" t="inlineStr">
        <is>
          <t>entidad-dia</t>
        </is>
      </c>
    </row>
    <row r="2251">
      <c r="A2251" t="inlineStr">
        <is>
          <t>PRAGMA</t>
        </is>
      </c>
      <c r="B2251" t="inlineStr">
        <is>
          <t>M1</t>
        </is>
      </c>
      <c r="C2251" t="inlineStr">
        <is>
          <t>Cali</t>
        </is>
      </c>
      <c r="D2251" t="inlineStr">
        <is>
          <t>4095</t>
        </is>
      </c>
      <c r="E2251" t="inlineStr">
        <is>
          <t>pagado</t>
        </is>
      </c>
      <c r="F2251" s="23" t="n">
        <v>46279</v>
      </c>
      <c r="G2251" s="24">
        <f>F2251-DATE(2026,8,31)</f>
        <v>14</v>
      </c>
      <c r="H2251" s="25" t="n">
        <v>115539029</v>
      </c>
      <c r="I2251" t="inlineStr">
        <is>
          <t>entidad-dia</t>
        </is>
      </c>
    </row>
    <row r="2252">
      <c r="A2252" t="inlineStr">
        <is>
          <t>PRAGMA</t>
        </is>
      </c>
      <c r="B2252" t="inlineStr">
        <is>
          <t>M1</t>
        </is>
      </c>
      <c r="C2252" t="inlineStr">
        <is>
          <t>Cali</t>
        </is>
      </c>
      <c r="D2252" t="inlineStr">
        <is>
          <t>4095</t>
        </is>
      </c>
      <c r="E2252" t="inlineStr">
        <is>
          <t>pagado</t>
        </is>
      </c>
      <c r="F2252" s="23" t="n">
        <v>46280</v>
      </c>
      <c r="G2252" s="24">
        <f>F2252-DATE(2026,8,31)</f>
        <v>15</v>
      </c>
      <c r="H2252" s="25" t="n">
        <v>150721123</v>
      </c>
      <c r="I2252" t="inlineStr">
        <is>
          <t>entidad-dia</t>
        </is>
      </c>
    </row>
    <row r="2253">
      <c r="A2253" t="inlineStr">
        <is>
          <t>PRAGMA</t>
        </is>
      </c>
      <c r="B2253" t="inlineStr">
        <is>
          <t>M1</t>
        </is>
      </c>
      <c r="C2253" t="inlineStr">
        <is>
          <t>Cali</t>
        </is>
      </c>
      <c r="D2253" t="inlineStr">
        <is>
          <t>4096</t>
        </is>
      </c>
      <c r="E2253" t="inlineStr">
        <is>
          <t>pagado</t>
        </is>
      </c>
      <c r="F2253" s="23" t="n">
        <v>46266</v>
      </c>
      <c r="G2253" s="24">
        <f>F2253-DATE(2026,8,31)</f>
        <v>1</v>
      </c>
      <c r="H2253" s="25" t="n">
        <v>196428679</v>
      </c>
      <c r="I2253" t="inlineStr">
        <is>
          <t>entidad-dia</t>
        </is>
      </c>
    </row>
    <row r="2254">
      <c r="A2254" t="inlineStr">
        <is>
          <t>PRAGMA</t>
        </is>
      </c>
      <c r="B2254" t="inlineStr">
        <is>
          <t>M1</t>
        </is>
      </c>
      <c r="C2254" t="inlineStr">
        <is>
          <t>Cali</t>
        </is>
      </c>
      <c r="D2254" t="inlineStr">
        <is>
          <t>4096</t>
        </is>
      </c>
      <c r="E2254" t="inlineStr">
        <is>
          <t>pagado</t>
        </is>
      </c>
      <c r="F2254" s="23" t="n">
        <v>46267</v>
      </c>
      <c r="G2254" s="24">
        <f>F2254-DATE(2026,8,31)</f>
        <v>2</v>
      </c>
      <c r="H2254" s="25" t="n">
        <v>148786167</v>
      </c>
      <c r="I2254" t="inlineStr">
        <is>
          <t>entidad-dia</t>
        </is>
      </c>
    </row>
    <row r="2255">
      <c r="A2255" t="inlineStr">
        <is>
          <t>PRAGMA</t>
        </is>
      </c>
      <c r="B2255" t="inlineStr">
        <is>
          <t>M1</t>
        </is>
      </c>
      <c r="C2255" t="inlineStr">
        <is>
          <t>Cali</t>
        </is>
      </c>
      <c r="D2255" t="inlineStr">
        <is>
          <t>4096</t>
        </is>
      </c>
      <c r="E2255" t="inlineStr">
        <is>
          <t>pagado</t>
        </is>
      </c>
      <c r="F2255" s="23" t="n">
        <v>46268</v>
      </c>
      <c r="G2255" s="24">
        <f>F2255-DATE(2026,8,31)</f>
        <v>3</v>
      </c>
      <c r="H2255" s="25" t="n">
        <v>137113734</v>
      </c>
      <c r="I2255" t="inlineStr">
        <is>
          <t>entidad-dia</t>
        </is>
      </c>
    </row>
    <row r="2256">
      <c r="A2256" t="inlineStr">
        <is>
          <t>PRAGMA</t>
        </is>
      </c>
      <c r="B2256" t="inlineStr">
        <is>
          <t>M1</t>
        </is>
      </c>
      <c r="C2256" t="inlineStr">
        <is>
          <t>Cali</t>
        </is>
      </c>
      <c r="D2256" t="inlineStr">
        <is>
          <t>4096</t>
        </is>
      </c>
      <c r="E2256" t="inlineStr">
        <is>
          <t>pagado</t>
        </is>
      </c>
      <c r="F2256" s="23" t="n">
        <v>46269</v>
      </c>
      <c r="G2256" s="24">
        <f>F2256-DATE(2026,8,31)</f>
        <v>4</v>
      </c>
      <c r="H2256" s="25" t="n">
        <v>142588732</v>
      </c>
      <c r="I2256" t="inlineStr">
        <is>
          <t>entidad-dia</t>
        </is>
      </c>
    </row>
    <row r="2257">
      <c r="A2257" t="inlineStr">
        <is>
          <t>PRAGMA</t>
        </is>
      </c>
      <c r="B2257" t="inlineStr">
        <is>
          <t>M1</t>
        </is>
      </c>
      <c r="C2257" t="inlineStr">
        <is>
          <t>Cali</t>
        </is>
      </c>
      <c r="D2257" t="inlineStr">
        <is>
          <t>4096</t>
        </is>
      </c>
      <c r="E2257" t="inlineStr">
        <is>
          <t>pagado</t>
        </is>
      </c>
      <c r="F2257" s="23" t="n">
        <v>46270</v>
      </c>
      <c r="G2257" s="24">
        <f>F2257-DATE(2026,8,31)</f>
        <v>5</v>
      </c>
      <c r="H2257" s="25" t="n">
        <v>160518217</v>
      </c>
      <c r="I2257" t="inlineStr">
        <is>
          <t>entidad-dia</t>
        </is>
      </c>
    </row>
    <row r="2258">
      <c r="A2258" t="inlineStr">
        <is>
          <t>PRAGMA</t>
        </is>
      </c>
      <c r="B2258" t="inlineStr">
        <is>
          <t>M1</t>
        </is>
      </c>
      <c r="C2258" t="inlineStr">
        <is>
          <t>Cali</t>
        </is>
      </c>
      <c r="D2258" t="inlineStr">
        <is>
          <t>4096</t>
        </is>
      </c>
      <c r="E2258" t="inlineStr">
        <is>
          <t>pagado</t>
        </is>
      </c>
      <c r="F2258" s="23" t="n">
        <v>46271</v>
      </c>
      <c r="G2258" s="24">
        <f>F2258-DATE(2026,8,31)</f>
        <v>6</v>
      </c>
      <c r="H2258" s="25" t="n">
        <v>124053563</v>
      </c>
      <c r="I2258" t="inlineStr">
        <is>
          <t>entidad-dia</t>
        </is>
      </c>
    </row>
    <row r="2259">
      <c r="A2259" t="inlineStr">
        <is>
          <t>PRAGMA</t>
        </is>
      </c>
      <c r="B2259" t="inlineStr">
        <is>
          <t>M1</t>
        </is>
      </c>
      <c r="C2259" t="inlineStr">
        <is>
          <t>Cali</t>
        </is>
      </c>
      <c r="D2259" t="inlineStr">
        <is>
          <t>4096</t>
        </is>
      </c>
      <c r="E2259" t="inlineStr">
        <is>
          <t>pagado</t>
        </is>
      </c>
      <c r="F2259" s="23" t="n">
        <v>46272</v>
      </c>
      <c r="G2259" s="24">
        <f>F2259-DATE(2026,8,31)</f>
        <v>7</v>
      </c>
      <c r="H2259" s="25" t="n">
        <v>109331588</v>
      </c>
      <c r="I2259" t="inlineStr">
        <is>
          <t>entidad-dia</t>
        </is>
      </c>
    </row>
    <row r="2260">
      <c r="A2260" t="inlineStr">
        <is>
          <t>PRAGMA</t>
        </is>
      </c>
      <c r="B2260" t="inlineStr">
        <is>
          <t>M1</t>
        </is>
      </c>
      <c r="C2260" t="inlineStr">
        <is>
          <t>Cali</t>
        </is>
      </c>
      <c r="D2260" t="inlineStr">
        <is>
          <t>4096</t>
        </is>
      </c>
      <c r="E2260" t="inlineStr">
        <is>
          <t>pagado</t>
        </is>
      </c>
      <c r="F2260" s="23" t="n">
        <v>46273</v>
      </c>
      <c r="G2260" s="24">
        <f>F2260-DATE(2026,8,31)</f>
        <v>8</v>
      </c>
      <c r="H2260" s="25" t="n">
        <v>100661415</v>
      </c>
      <c r="I2260" t="inlineStr">
        <is>
          <t>entidad-dia</t>
        </is>
      </c>
    </row>
    <row r="2261">
      <c r="A2261" t="inlineStr">
        <is>
          <t>PRAGMA</t>
        </is>
      </c>
      <c r="B2261" t="inlineStr">
        <is>
          <t>M1</t>
        </is>
      </c>
      <c r="C2261" t="inlineStr">
        <is>
          <t>Cali</t>
        </is>
      </c>
      <c r="D2261" t="inlineStr">
        <is>
          <t>4096</t>
        </is>
      </c>
      <c r="E2261" t="inlineStr">
        <is>
          <t>pagado</t>
        </is>
      </c>
      <c r="F2261" s="23" t="n">
        <v>46274</v>
      </c>
      <c r="G2261" s="24">
        <f>F2261-DATE(2026,8,31)</f>
        <v>9</v>
      </c>
      <c r="H2261" s="25" t="n">
        <v>94626431</v>
      </c>
      <c r="I2261" t="inlineStr">
        <is>
          <t>entidad-dia</t>
        </is>
      </c>
    </row>
    <row r="2262">
      <c r="A2262" t="inlineStr">
        <is>
          <t>PRAGMA</t>
        </is>
      </c>
      <c r="B2262" t="inlineStr">
        <is>
          <t>M1</t>
        </is>
      </c>
      <c r="C2262" t="inlineStr">
        <is>
          <t>Cali</t>
        </is>
      </c>
      <c r="D2262" t="inlineStr">
        <is>
          <t>4096</t>
        </is>
      </c>
      <c r="E2262" t="inlineStr">
        <is>
          <t>pagado</t>
        </is>
      </c>
      <c r="F2262" s="23" t="n">
        <v>46275</v>
      </c>
      <c r="G2262" s="24">
        <f>F2262-DATE(2026,8,31)</f>
        <v>10</v>
      </c>
      <c r="H2262" s="25" t="n">
        <v>89688769</v>
      </c>
      <c r="I2262" t="inlineStr">
        <is>
          <t>entidad-dia</t>
        </is>
      </c>
    </row>
    <row r="2263">
      <c r="A2263" t="inlineStr">
        <is>
          <t>PRAGMA</t>
        </is>
      </c>
      <c r="B2263" t="inlineStr">
        <is>
          <t>M1</t>
        </is>
      </c>
      <c r="C2263" t="inlineStr">
        <is>
          <t>Cali</t>
        </is>
      </c>
      <c r="D2263" t="inlineStr">
        <is>
          <t>4096</t>
        </is>
      </c>
      <c r="E2263" t="inlineStr">
        <is>
          <t>pagado</t>
        </is>
      </c>
      <c r="F2263" s="23" t="n">
        <v>46276</v>
      </c>
      <c r="G2263" s="24">
        <f>F2263-DATE(2026,8,31)</f>
        <v>11</v>
      </c>
      <c r="H2263" s="25" t="n">
        <v>108090624</v>
      </c>
      <c r="I2263" t="inlineStr">
        <is>
          <t>entidad-dia</t>
        </is>
      </c>
    </row>
    <row r="2264">
      <c r="A2264" t="inlineStr">
        <is>
          <t>PRAGMA</t>
        </is>
      </c>
      <c r="B2264" t="inlineStr">
        <is>
          <t>M1</t>
        </is>
      </c>
      <c r="C2264" t="inlineStr">
        <is>
          <t>Cali</t>
        </is>
      </c>
      <c r="D2264" t="inlineStr">
        <is>
          <t>4096</t>
        </is>
      </c>
      <c r="E2264" t="inlineStr">
        <is>
          <t>pagado</t>
        </is>
      </c>
      <c r="F2264" s="23" t="n">
        <v>46277</v>
      </c>
      <c r="G2264" s="24">
        <f>F2264-DATE(2026,8,31)</f>
        <v>12</v>
      </c>
      <c r="H2264" s="25" t="n">
        <v>125060592</v>
      </c>
      <c r="I2264" t="inlineStr">
        <is>
          <t>entidad-dia</t>
        </is>
      </c>
    </row>
    <row r="2265">
      <c r="A2265" t="inlineStr">
        <is>
          <t>PRAGMA</t>
        </is>
      </c>
      <c r="B2265" t="inlineStr">
        <is>
          <t>M1</t>
        </is>
      </c>
      <c r="C2265" t="inlineStr">
        <is>
          <t>Cali</t>
        </is>
      </c>
      <c r="D2265" t="inlineStr">
        <is>
          <t>4096</t>
        </is>
      </c>
      <c r="E2265" t="inlineStr">
        <is>
          <t>pagado</t>
        </is>
      </c>
      <c r="F2265" s="23" t="n">
        <v>46278</v>
      </c>
      <c r="G2265" s="24">
        <f>F2265-DATE(2026,8,31)</f>
        <v>13</v>
      </c>
      <c r="H2265" s="25" t="n">
        <v>89374516</v>
      </c>
      <c r="I2265" t="inlineStr">
        <is>
          <t>entidad-dia</t>
        </is>
      </c>
    </row>
    <row r="2266">
      <c r="A2266" t="inlineStr">
        <is>
          <t>PRAGMA</t>
        </is>
      </c>
      <c r="B2266" t="inlineStr">
        <is>
          <t>M1</t>
        </is>
      </c>
      <c r="C2266" t="inlineStr">
        <is>
          <t>Cali</t>
        </is>
      </c>
      <c r="D2266" t="inlineStr">
        <is>
          <t>4096</t>
        </is>
      </c>
      <c r="E2266" t="inlineStr">
        <is>
          <t>pagado</t>
        </is>
      </c>
      <c r="F2266" s="23" t="n">
        <v>46279</v>
      </c>
      <c r="G2266" s="24">
        <f>F2266-DATE(2026,8,31)</f>
        <v>14</v>
      </c>
      <c r="H2266" s="25" t="n">
        <v>101682271</v>
      </c>
      <c r="I2266" t="inlineStr">
        <is>
          <t>entidad-dia</t>
        </is>
      </c>
    </row>
    <row r="2267">
      <c r="A2267" t="inlineStr">
        <is>
          <t>PRAGMA</t>
        </is>
      </c>
      <c r="B2267" t="inlineStr">
        <is>
          <t>M1</t>
        </is>
      </c>
      <c r="C2267" t="inlineStr">
        <is>
          <t>Cali</t>
        </is>
      </c>
      <c r="D2267" t="inlineStr">
        <is>
          <t>4096</t>
        </is>
      </c>
      <c r="E2267" t="inlineStr">
        <is>
          <t>pagado</t>
        </is>
      </c>
      <c r="F2267" s="23" t="n">
        <v>46280</v>
      </c>
      <c r="G2267" s="24">
        <f>F2267-DATE(2026,8,31)</f>
        <v>15</v>
      </c>
      <c r="H2267" s="25" t="n">
        <v>140844079</v>
      </c>
      <c r="I2267" t="inlineStr">
        <is>
          <t>entidad-dia</t>
        </is>
      </c>
    </row>
    <row r="2268">
      <c r="A2268" t="inlineStr">
        <is>
          <t>PRAGMA</t>
        </is>
      </c>
      <c r="B2268" t="inlineStr">
        <is>
          <t>M1</t>
        </is>
      </c>
      <c r="C2268" t="inlineStr">
        <is>
          <t>Cali</t>
        </is>
      </c>
      <c r="D2268" t="inlineStr">
        <is>
          <t>4098</t>
        </is>
      </c>
      <c r="E2268" t="inlineStr">
        <is>
          <t>pagado</t>
        </is>
      </c>
      <c r="F2268" s="23" t="n">
        <v>46266</v>
      </c>
      <c r="G2268" s="24">
        <f>F2268-DATE(2026,8,31)</f>
        <v>1</v>
      </c>
      <c r="H2268" s="25" t="n">
        <v>232233418</v>
      </c>
      <c r="I2268" t="inlineStr">
        <is>
          <t>entidad-dia</t>
        </is>
      </c>
    </row>
    <row r="2269">
      <c r="A2269" t="inlineStr">
        <is>
          <t>PRAGMA</t>
        </is>
      </c>
      <c r="B2269" t="inlineStr">
        <is>
          <t>M1</t>
        </is>
      </c>
      <c r="C2269" t="inlineStr">
        <is>
          <t>Cali</t>
        </is>
      </c>
      <c r="D2269" t="inlineStr">
        <is>
          <t>4098</t>
        </is>
      </c>
      <c r="E2269" t="inlineStr">
        <is>
          <t>pagado</t>
        </is>
      </c>
      <c r="F2269" s="23" t="n">
        <v>46267</v>
      </c>
      <c r="G2269" s="24">
        <f>F2269-DATE(2026,8,31)</f>
        <v>2</v>
      </c>
      <c r="H2269" s="25" t="n">
        <v>178373239</v>
      </c>
      <c r="I2269" t="inlineStr">
        <is>
          <t>entidad-dia</t>
        </is>
      </c>
    </row>
    <row r="2270">
      <c r="A2270" t="inlineStr">
        <is>
          <t>PRAGMA</t>
        </is>
      </c>
      <c r="B2270" t="inlineStr">
        <is>
          <t>M1</t>
        </is>
      </c>
      <c r="C2270" t="inlineStr">
        <is>
          <t>Cali</t>
        </is>
      </c>
      <c r="D2270" t="inlineStr">
        <is>
          <t>4098</t>
        </is>
      </c>
      <c r="E2270" t="inlineStr">
        <is>
          <t>pagado</t>
        </is>
      </c>
      <c r="F2270" s="23" t="n">
        <v>46268</v>
      </c>
      <c r="G2270" s="24">
        <f>F2270-DATE(2026,8,31)</f>
        <v>3</v>
      </c>
      <c r="H2270" s="25" t="n">
        <v>156564895</v>
      </c>
      <c r="I2270" t="inlineStr">
        <is>
          <t>entidad-dia</t>
        </is>
      </c>
    </row>
    <row r="2271">
      <c r="A2271" t="inlineStr">
        <is>
          <t>PRAGMA</t>
        </is>
      </c>
      <c r="B2271" t="inlineStr">
        <is>
          <t>M1</t>
        </is>
      </c>
      <c r="C2271" t="inlineStr">
        <is>
          <t>Cali</t>
        </is>
      </c>
      <c r="D2271" t="inlineStr">
        <is>
          <t>4098</t>
        </is>
      </c>
      <c r="E2271" t="inlineStr">
        <is>
          <t>pagado</t>
        </is>
      </c>
      <c r="F2271" s="23" t="n">
        <v>46269</v>
      </c>
      <c r="G2271" s="24">
        <f>F2271-DATE(2026,8,31)</f>
        <v>4</v>
      </c>
      <c r="H2271" s="25" t="n">
        <v>168071231</v>
      </c>
      <c r="I2271" t="inlineStr">
        <is>
          <t>entidad-dia</t>
        </is>
      </c>
    </row>
    <row r="2272">
      <c r="A2272" t="inlineStr">
        <is>
          <t>PRAGMA</t>
        </is>
      </c>
      <c r="B2272" t="inlineStr">
        <is>
          <t>M1</t>
        </is>
      </c>
      <c r="C2272" t="inlineStr">
        <is>
          <t>Cali</t>
        </is>
      </c>
      <c r="D2272" t="inlineStr">
        <is>
          <t>4098</t>
        </is>
      </c>
      <c r="E2272" t="inlineStr">
        <is>
          <t>pagado</t>
        </is>
      </c>
      <c r="F2272" s="23" t="n">
        <v>46270</v>
      </c>
      <c r="G2272" s="24">
        <f>F2272-DATE(2026,8,31)</f>
        <v>5</v>
      </c>
      <c r="H2272" s="25" t="n">
        <v>189860177</v>
      </c>
      <c r="I2272" t="inlineStr">
        <is>
          <t>entidad-dia</t>
        </is>
      </c>
    </row>
    <row r="2273">
      <c r="A2273" t="inlineStr">
        <is>
          <t>PRAGMA</t>
        </is>
      </c>
      <c r="B2273" t="inlineStr">
        <is>
          <t>M1</t>
        </is>
      </c>
      <c r="C2273" t="inlineStr">
        <is>
          <t>Cali</t>
        </is>
      </c>
      <c r="D2273" t="inlineStr">
        <is>
          <t>4098</t>
        </is>
      </c>
      <c r="E2273" t="inlineStr">
        <is>
          <t>pagado</t>
        </is>
      </c>
      <c r="F2273" s="23" t="n">
        <v>46271</v>
      </c>
      <c r="G2273" s="24">
        <f>F2273-DATE(2026,8,31)</f>
        <v>6</v>
      </c>
      <c r="H2273" s="25" t="n">
        <v>155905878</v>
      </c>
      <c r="I2273" t="inlineStr">
        <is>
          <t>entidad-dia</t>
        </is>
      </c>
    </row>
    <row r="2274">
      <c r="A2274" t="inlineStr">
        <is>
          <t>PRAGMA</t>
        </is>
      </c>
      <c r="B2274" t="inlineStr">
        <is>
          <t>M1</t>
        </is>
      </c>
      <c r="C2274" t="inlineStr">
        <is>
          <t>Cali</t>
        </is>
      </c>
      <c r="D2274" t="inlineStr">
        <is>
          <t>4098</t>
        </is>
      </c>
      <c r="E2274" t="inlineStr">
        <is>
          <t>pagado</t>
        </is>
      </c>
      <c r="F2274" s="23" t="n">
        <v>46272</v>
      </c>
      <c r="G2274" s="24">
        <f>F2274-DATE(2026,8,31)</f>
        <v>7</v>
      </c>
      <c r="H2274" s="25" t="n">
        <v>125606890</v>
      </c>
      <c r="I2274" t="inlineStr">
        <is>
          <t>entidad-dia</t>
        </is>
      </c>
    </row>
    <row r="2275">
      <c r="A2275" t="inlineStr">
        <is>
          <t>PRAGMA</t>
        </is>
      </c>
      <c r="B2275" t="inlineStr">
        <is>
          <t>M1</t>
        </is>
      </c>
      <c r="C2275" t="inlineStr">
        <is>
          <t>Cali</t>
        </is>
      </c>
      <c r="D2275" t="inlineStr">
        <is>
          <t>4098</t>
        </is>
      </c>
      <c r="E2275" t="inlineStr">
        <is>
          <t>pagado</t>
        </is>
      </c>
      <c r="F2275" s="23" t="n">
        <v>46273</v>
      </c>
      <c r="G2275" s="24">
        <f>F2275-DATE(2026,8,31)</f>
        <v>8</v>
      </c>
      <c r="H2275" s="25" t="n">
        <v>129399034</v>
      </c>
      <c r="I2275" t="inlineStr">
        <is>
          <t>entidad-dia</t>
        </is>
      </c>
    </row>
    <row r="2276">
      <c r="A2276" t="inlineStr">
        <is>
          <t>PRAGMA</t>
        </is>
      </c>
      <c r="B2276" t="inlineStr">
        <is>
          <t>M1</t>
        </is>
      </c>
      <c r="C2276" t="inlineStr">
        <is>
          <t>Cali</t>
        </is>
      </c>
      <c r="D2276" t="inlineStr">
        <is>
          <t>4098</t>
        </is>
      </c>
      <c r="E2276" t="inlineStr">
        <is>
          <t>pagado</t>
        </is>
      </c>
      <c r="F2276" s="23" t="n">
        <v>46274</v>
      </c>
      <c r="G2276" s="24">
        <f>F2276-DATE(2026,8,31)</f>
        <v>9</v>
      </c>
      <c r="H2276" s="25" t="n">
        <v>121436587</v>
      </c>
      <c r="I2276" t="inlineStr">
        <is>
          <t>entidad-dia</t>
        </is>
      </c>
    </row>
    <row r="2277">
      <c r="A2277" t="inlineStr">
        <is>
          <t>PRAGMA</t>
        </is>
      </c>
      <c r="B2277" t="inlineStr">
        <is>
          <t>M1</t>
        </is>
      </c>
      <c r="C2277" t="inlineStr">
        <is>
          <t>Cali</t>
        </is>
      </c>
      <c r="D2277" t="inlineStr">
        <is>
          <t>4098</t>
        </is>
      </c>
      <c r="E2277" t="inlineStr">
        <is>
          <t>pagado</t>
        </is>
      </c>
      <c r="F2277" s="23" t="n">
        <v>46275</v>
      </c>
      <c r="G2277" s="24">
        <f>F2277-DATE(2026,8,31)</f>
        <v>10</v>
      </c>
      <c r="H2277" s="25" t="n">
        <v>111092764</v>
      </c>
      <c r="I2277" t="inlineStr">
        <is>
          <t>entidad-dia</t>
        </is>
      </c>
    </row>
    <row r="2278">
      <c r="A2278" t="inlineStr">
        <is>
          <t>PRAGMA</t>
        </is>
      </c>
      <c r="B2278" t="inlineStr">
        <is>
          <t>M1</t>
        </is>
      </c>
      <c r="C2278" t="inlineStr">
        <is>
          <t>Cali</t>
        </is>
      </c>
      <c r="D2278" t="inlineStr">
        <is>
          <t>4098</t>
        </is>
      </c>
      <c r="E2278" t="inlineStr">
        <is>
          <t>pagado</t>
        </is>
      </c>
      <c r="F2278" s="23" t="n">
        <v>46276</v>
      </c>
      <c r="G2278" s="24">
        <f>F2278-DATE(2026,8,31)</f>
        <v>11</v>
      </c>
      <c r="H2278" s="25" t="n">
        <v>136340758</v>
      </c>
      <c r="I2278" t="inlineStr">
        <is>
          <t>entidad-dia</t>
        </is>
      </c>
    </row>
    <row r="2279">
      <c r="A2279" t="inlineStr">
        <is>
          <t>PRAGMA</t>
        </is>
      </c>
      <c r="B2279" t="inlineStr">
        <is>
          <t>M1</t>
        </is>
      </c>
      <c r="C2279" t="inlineStr">
        <is>
          <t>Cali</t>
        </is>
      </c>
      <c r="D2279" t="inlineStr">
        <is>
          <t>4098</t>
        </is>
      </c>
      <c r="E2279" t="inlineStr">
        <is>
          <t>pagado</t>
        </is>
      </c>
      <c r="F2279" s="23" t="n">
        <v>46277</v>
      </c>
      <c r="G2279" s="24">
        <f>F2279-DATE(2026,8,31)</f>
        <v>12</v>
      </c>
      <c r="H2279" s="25" t="n">
        <v>146370653</v>
      </c>
      <c r="I2279" t="inlineStr">
        <is>
          <t>entidad-dia</t>
        </is>
      </c>
    </row>
    <row r="2280">
      <c r="A2280" t="inlineStr">
        <is>
          <t>PRAGMA</t>
        </is>
      </c>
      <c r="B2280" t="inlineStr">
        <is>
          <t>M1</t>
        </is>
      </c>
      <c r="C2280" t="inlineStr">
        <is>
          <t>Cali</t>
        </is>
      </c>
      <c r="D2280" t="inlineStr">
        <is>
          <t>4098</t>
        </is>
      </c>
      <c r="E2280" t="inlineStr">
        <is>
          <t>pagado</t>
        </is>
      </c>
      <c r="F2280" s="23" t="n">
        <v>46278</v>
      </c>
      <c r="G2280" s="24">
        <f>F2280-DATE(2026,8,31)</f>
        <v>13</v>
      </c>
      <c r="H2280" s="25" t="n">
        <v>120269234</v>
      </c>
      <c r="I2280" t="inlineStr">
        <is>
          <t>entidad-dia</t>
        </is>
      </c>
    </row>
    <row r="2281">
      <c r="A2281" t="inlineStr">
        <is>
          <t>PRAGMA</t>
        </is>
      </c>
      <c r="B2281" t="inlineStr">
        <is>
          <t>M1</t>
        </is>
      </c>
      <c r="C2281" t="inlineStr">
        <is>
          <t>Cali</t>
        </is>
      </c>
      <c r="D2281" t="inlineStr">
        <is>
          <t>4098</t>
        </is>
      </c>
      <c r="E2281" t="inlineStr">
        <is>
          <t>pagado</t>
        </is>
      </c>
      <c r="F2281" s="23" t="n">
        <v>46279</v>
      </c>
      <c r="G2281" s="24">
        <f>F2281-DATE(2026,8,31)</f>
        <v>14</v>
      </c>
      <c r="H2281" s="25" t="n">
        <v>123749535</v>
      </c>
      <c r="I2281" t="inlineStr">
        <is>
          <t>entidad-dia</t>
        </is>
      </c>
    </row>
    <row r="2282">
      <c r="A2282" t="inlineStr">
        <is>
          <t>PRAGMA</t>
        </is>
      </c>
      <c r="B2282" t="inlineStr">
        <is>
          <t>M1</t>
        </is>
      </c>
      <c r="C2282" t="inlineStr">
        <is>
          <t>Cali</t>
        </is>
      </c>
      <c r="D2282" t="inlineStr">
        <is>
          <t>4098</t>
        </is>
      </c>
      <c r="E2282" t="inlineStr">
        <is>
          <t>pagado</t>
        </is>
      </c>
      <c r="F2282" s="23" t="n">
        <v>46280</v>
      </c>
      <c r="G2282" s="24">
        <f>F2282-DATE(2026,8,31)</f>
        <v>15</v>
      </c>
      <c r="H2282" s="25" t="n">
        <v>175625972</v>
      </c>
      <c r="I2282" t="inlineStr">
        <is>
          <t>entidad-dia</t>
        </is>
      </c>
    </row>
    <row r="2283">
      <c r="A2283" t="inlineStr">
        <is>
          <t>PRAGMA</t>
        </is>
      </c>
      <c r="B2283" t="inlineStr">
        <is>
          <t>M1</t>
        </is>
      </c>
      <c r="C2283" t="inlineStr">
        <is>
          <t>Cali</t>
        </is>
      </c>
      <c r="D2283" t="inlineStr">
        <is>
          <t>4099</t>
        </is>
      </c>
      <c r="E2283" t="inlineStr">
        <is>
          <t>pagado</t>
        </is>
      </c>
      <c r="F2283" s="23" t="n">
        <v>46266</v>
      </c>
      <c r="G2283" s="24">
        <f>F2283-DATE(2026,8,31)</f>
        <v>1</v>
      </c>
      <c r="H2283" s="25" t="n">
        <v>233609743</v>
      </c>
      <c r="I2283" t="inlineStr">
        <is>
          <t>entidad-dia</t>
        </is>
      </c>
    </row>
    <row r="2284">
      <c r="A2284" t="inlineStr">
        <is>
          <t>PRAGMA</t>
        </is>
      </c>
      <c r="B2284" t="inlineStr">
        <is>
          <t>M1</t>
        </is>
      </c>
      <c r="C2284" t="inlineStr">
        <is>
          <t>Cali</t>
        </is>
      </c>
      <c r="D2284" t="inlineStr">
        <is>
          <t>4099</t>
        </is>
      </c>
      <c r="E2284" t="inlineStr">
        <is>
          <t>pagado</t>
        </is>
      </c>
      <c r="F2284" s="23" t="n">
        <v>46267</v>
      </c>
      <c r="G2284" s="24">
        <f>F2284-DATE(2026,8,31)</f>
        <v>2</v>
      </c>
      <c r="H2284" s="25" t="n">
        <v>175703600</v>
      </c>
      <c r="I2284" t="inlineStr">
        <is>
          <t>entidad-dia</t>
        </is>
      </c>
    </row>
    <row r="2285">
      <c r="A2285" t="inlineStr">
        <is>
          <t>PRAGMA</t>
        </is>
      </c>
      <c r="B2285" t="inlineStr">
        <is>
          <t>M1</t>
        </is>
      </c>
      <c r="C2285" t="inlineStr">
        <is>
          <t>Cali</t>
        </is>
      </c>
      <c r="D2285" t="inlineStr">
        <is>
          <t>4099</t>
        </is>
      </c>
      <c r="E2285" t="inlineStr">
        <is>
          <t>pagado</t>
        </is>
      </c>
      <c r="F2285" s="23" t="n">
        <v>46268</v>
      </c>
      <c r="G2285" s="24">
        <f>F2285-DATE(2026,8,31)</f>
        <v>3</v>
      </c>
      <c r="H2285" s="25" t="n">
        <v>154875433</v>
      </c>
      <c r="I2285" t="inlineStr">
        <is>
          <t>entidad-dia</t>
        </is>
      </c>
    </row>
    <row r="2286">
      <c r="A2286" t="inlineStr">
        <is>
          <t>PRAGMA</t>
        </is>
      </c>
      <c r="B2286" t="inlineStr">
        <is>
          <t>M1</t>
        </is>
      </c>
      <c r="C2286" t="inlineStr">
        <is>
          <t>Cali</t>
        </is>
      </c>
      <c r="D2286" t="inlineStr">
        <is>
          <t>4099</t>
        </is>
      </c>
      <c r="E2286" t="inlineStr">
        <is>
          <t>pagado</t>
        </is>
      </c>
      <c r="F2286" s="23" t="n">
        <v>46269</v>
      </c>
      <c r="G2286" s="24">
        <f>F2286-DATE(2026,8,31)</f>
        <v>4</v>
      </c>
      <c r="H2286" s="25" t="n">
        <v>161632069</v>
      </c>
      <c r="I2286" t="inlineStr">
        <is>
          <t>entidad-dia</t>
        </is>
      </c>
    </row>
    <row r="2287">
      <c r="A2287" t="inlineStr">
        <is>
          <t>PRAGMA</t>
        </is>
      </c>
      <c r="B2287" t="inlineStr">
        <is>
          <t>M1</t>
        </is>
      </c>
      <c r="C2287" t="inlineStr">
        <is>
          <t>Cali</t>
        </is>
      </c>
      <c r="D2287" t="inlineStr">
        <is>
          <t>4099</t>
        </is>
      </c>
      <c r="E2287" t="inlineStr">
        <is>
          <t>pagado</t>
        </is>
      </c>
      <c r="F2287" s="23" t="n">
        <v>46270</v>
      </c>
      <c r="G2287" s="24">
        <f>F2287-DATE(2026,8,31)</f>
        <v>5</v>
      </c>
      <c r="H2287" s="25" t="n">
        <v>181609371</v>
      </c>
      <c r="I2287" t="inlineStr">
        <is>
          <t>entidad-dia</t>
        </is>
      </c>
    </row>
    <row r="2288">
      <c r="A2288" t="inlineStr">
        <is>
          <t>PRAGMA</t>
        </is>
      </c>
      <c r="B2288" t="inlineStr">
        <is>
          <t>M1</t>
        </is>
      </c>
      <c r="C2288" t="inlineStr">
        <is>
          <t>Cali</t>
        </is>
      </c>
      <c r="D2288" t="inlineStr">
        <is>
          <t>4099</t>
        </is>
      </c>
      <c r="E2288" t="inlineStr">
        <is>
          <t>pagado</t>
        </is>
      </c>
      <c r="F2288" s="23" t="n">
        <v>46271</v>
      </c>
      <c r="G2288" s="24">
        <f>F2288-DATE(2026,8,31)</f>
        <v>6</v>
      </c>
      <c r="H2288" s="25" t="n">
        <v>146032938</v>
      </c>
      <c r="I2288" t="inlineStr">
        <is>
          <t>entidad-dia</t>
        </is>
      </c>
    </row>
    <row r="2289">
      <c r="A2289" t="inlineStr">
        <is>
          <t>PRAGMA</t>
        </is>
      </c>
      <c r="B2289" t="inlineStr">
        <is>
          <t>M1</t>
        </is>
      </c>
      <c r="C2289" t="inlineStr">
        <is>
          <t>Cali</t>
        </is>
      </c>
      <c r="D2289" t="inlineStr">
        <is>
          <t>4099</t>
        </is>
      </c>
      <c r="E2289" t="inlineStr">
        <is>
          <t>pagado</t>
        </is>
      </c>
      <c r="F2289" s="23" t="n">
        <v>46272</v>
      </c>
      <c r="G2289" s="24">
        <f>F2289-DATE(2026,8,31)</f>
        <v>7</v>
      </c>
      <c r="H2289" s="25" t="n">
        <v>124996296</v>
      </c>
      <c r="I2289" t="inlineStr">
        <is>
          <t>entidad-dia</t>
        </is>
      </c>
    </row>
    <row r="2290">
      <c r="A2290" t="inlineStr">
        <is>
          <t>PRAGMA</t>
        </is>
      </c>
      <c r="B2290" t="inlineStr">
        <is>
          <t>M1</t>
        </is>
      </c>
      <c r="C2290" t="inlineStr">
        <is>
          <t>Cali</t>
        </is>
      </c>
      <c r="D2290" t="inlineStr">
        <is>
          <t>4099</t>
        </is>
      </c>
      <c r="E2290" t="inlineStr">
        <is>
          <t>pagado</t>
        </is>
      </c>
      <c r="F2290" s="23" t="n">
        <v>46273</v>
      </c>
      <c r="G2290" s="24">
        <f>F2290-DATE(2026,8,31)</f>
        <v>8</v>
      </c>
      <c r="H2290" s="25" t="n">
        <v>126818474</v>
      </c>
      <c r="I2290" t="inlineStr">
        <is>
          <t>entidad-dia</t>
        </is>
      </c>
    </row>
    <row r="2291">
      <c r="A2291" t="inlineStr">
        <is>
          <t>PRAGMA</t>
        </is>
      </c>
      <c r="B2291" t="inlineStr">
        <is>
          <t>M1</t>
        </is>
      </c>
      <c r="C2291" t="inlineStr">
        <is>
          <t>Cali</t>
        </is>
      </c>
      <c r="D2291" t="inlineStr">
        <is>
          <t>4099</t>
        </is>
      </c>
      <c r="E2291" t="inlineStr">
        <is>
          <t>pagado</t>
        </is>
      </c>
      <c r="F2291" s="23" t="n">
        <v>46274</v>
      </c>
      <c r="G2291" s="24">
        <f>F2291-DATE(2026,8,31)</f>
        <v>9</v>
      </c>
      <c r="H2291" s="25" t="n">
        <v>120431524</v>
      </c>
      <c r="I2291" t="inlineStr">
        <is>
          <t>entidad-dia</t>
        </is>
      </c>
    </row>
    <row r="2292">
      <c r="A2292" t="inlineStr">
        <is>
          <t>PRAGMA</t>
        </is>
      </c>
      <c r="B2292" t="inlineStr">
        <is>
          <t>M1</t>
        </is>
      </c>
      <c r="C2292" t="inlineStr">
        <is>
          <t>Cali</t>
        </is>
      </c>
      <c r="D2292" t="inlineStr">
        <is>
          <t>4099</t>
        </is>
      </c>
      <c r="E2292" t="inlineStr">
        <is>
          <t>pagado</t>
        </is>
      </c>
      <c r="F2292" s="23" t="n">
        <v>46275</v>
      </c>
      <c r="G2292" s="24">
        <f>F2292-DATE(2026,8,31)</f>
        <v>10</v>
      </c>
      <c r="H2292" s="25" t="n">
        <v>107477189</v>
      </c>
      <c r="I2292" t="inlineStr">
        <is>
          <t>entidad-dia</t>
        </is>
      </c>
    </row>
    <row r="2293">
      <c r="A2293" t="inlineStr">
        <is>
          <t>PRAGMA</t>
        </is>
      </c>
      <c r="B2293" t="inlineStr">
        <is>
          <t>M1</t>
        </is>
      </c>
      <c r="C2293" t="inlineStr">
        <is>
          <t>Cali</t>
        </is>
      </c>
      <c r="D2293" t="inlineStr">
        <is>
          <t>4099</t>
        </is>
      </c>
      <c r="E2293" t="inlineStr">
        <is>
          <t>pagado</t>
        </is>
      </c>
      <c r="F2293" s="23" t="n">
        <v>46276</v>
      </c>
      <c r="G2293" s="24">
        <f>F2293-DATE(2026,8,31)</f>
        <v>11</v>
      </c>
      <c r="H2293" s="25" t="n">
        <v>126639148</v>
      </c>
      <c r="I2293" t="inlineStr">
        <is>
          <t>entidad-dia</t>
        </is>
      </c>
    </row>
    <row r="2294">
      <c r="A2294" t="inlineStr">
        <is>
          <t>PRAGMA</t>
        </is>
      </c>
      <c r="B2294" t="inlineStr">
        <is>
          <t>M1</t>
        </is>
      </c>
      <c r="C2294" t="inlineStr">
        <is>
          <t>Cali</t>
        </is>
      </c>
      <c r="D2294" t="inlineStr">
        <is>
          <t>4099</t>
        </is>
      </c>
      <c r="E2294" t="inlineStr">
        <is>
          <t>pagado</t>
        </is>
      </c>
      <c r="F2294" s="23" t="n">
        <v>46277</v>
      </c>
      <c r="G2294" s="24">
        <f>F2294-DATE(2026,8,31)</f>
        <v>12</v>
      </c>
      <c r="H2294" s="25" t="n">
        <v>140550794</v>
      </c>
      <c r="I2294" t="inlineStr">
        <is>
          <t>entidad-dia</t>
        </is>
      </c>
    </row>
    <row r="2295">
      <c r="A2295" t="inlineStr">
        <is>
          <t>PRAGMA</t>
        </is>
      </c>
      <c r="B2295" t="inlineStr">
        <is>
          <t>M1</t>
        </is>
      </c>
      <c r="C2295" t="inlineStr">
        <is>
          <t>Cali</t>
        </is>
      </c>
      <c r="D2295" t="inlineStr">
        <is>
          <t>4099</t>
        </is>
      </c>
      <c r="E2295" t="inlineStr">
        <is>
          <t>pagado</t>
        </is>
      </c>
      <c r="F2295" s="23" t="n">
        <v>46278</v>
      </c>
      <c r="G2295" s="24">
        <f>F2295-DATE(2026,8,31)</f>
        <v>13</v>
      </c>
      <c r="H2295" s="25" t="n">
        <v>113164848</v>
      </c>
      <c r="I2295" t="inlineStr">
        <is>
          <t>entidad-dia</t>
        </is>
      </c>
    </row>
    <row r="2296">
      <c r="A2296" t="inlineStr">
        <is>
          <t>PRAGMA</t>
        </is>
      </c>
      <c r="B2296" t="inlineStr">
        <is>
          <t>M1</t>
        </is>
      </c>
      <c r="C2296" t="inlineStr">
        <is>
          <t>Cali</t>
        </is>
      </c>
      <c r="D2296" t="inlineStr">
        <is>
          <t>4099</t>
        </is>
      </c>
      <c r="E2296" t="inlineStr">
        <is>
          <t>pagado</t>
        </is>
      </c>
      <c r="F2296" s="23" t="n">
        <v>46279</v>
      </c>
      <c r="G2296" s="24">
        <f>F2296-DATE(2026,8,31)</f>
        <v>14</v>
      </c>
      <c r="H2296" s="25" t="n">
        <v>119957989</v>
      </c>
      <c r="I2296" t="inlineStr">
        <is>
          <t>entidad-dia</t>
        </is>
      </c>
    </row>
    <row r="2297">
      <c r="A2297" t="inlineStr">
        <is>
          <t>PRAGMA</t>
        </is>
      </c>
      <c r="B2297" t="inlineStr">
        <is>
          <t>M1</t>
        </is>
      </c>
      <c r="C2297" t="inlineStr">
        <is>
          <t>Cali</t>
        </is>
      </c>
      <c r="D2297" t="inlineStr">
        <is>
          <t>4099</t>
        </is>
      </c>
      <c r="E2297" t="inlineStr">
        <is>
          <t>pagado</t>
        </is>
      </c>
      <c r="F2297" s="23" t="n">
        <v>46280</v>
      </c>
      <c r="G2297" s="24">
        <f>F2297-DATE(2026,8,31)</f>
        <v>15</v>
      </c>
      <c r="H2297" s="25" t="n">
        <v>176083195</v>
      </c>
      <c r="I2297" t="inlineStr">
        <is>
          <t>entidad-dia</t>
        </is>
      </c>
    </row>
    <row r="2298">
      <c r="A2298" t="inlineStr">
        <is>
          <t>PRAGMA</t>
        </is>
      </c>
      <c r="B2298" t="inlineStr">
        <is>
          <t>M1</t>
        </is>
      </c>
      <c r="C2298" t="inlineStr">
        <is>
          <t>Cali</t>
        </is>
      </c>
      <c r="D2298" t="inlineStr">
        <is>
          <t>4140</t>
        </is>
      </c>
      <c r="E2298" t="inlineStr">
        <is>
          <t>pagado</t>
        </is>
      </c>
      <c r="F2298" s="23" t="n">
        <v>46266</v>
      </c>
      <c r="G2298" s="24">
        <f>F2298-DATE(2026,8,31)</f>
        <v>1</v>
      </c>
      <c r="H2298" s="25" t="n">
        <v>160772763</v>
      </c>
      <c r="I2298" t="inlineStr">
        <is>
          <t>entidad-dia</t>
        </is>
      </c>
    </row>
    <row r="2299">
      <c r="A2299" t="inlineStr">
        <is>
          <t>PRAGMA</t>
        </is>
      </c>
      <c r="B2299" t="inlineStr">
        <is>
          <t>M1</t>
        </is>
      </c>
      <c r="C2299" t="inlineStr">
        <is>
          <t>Cali</t>
        </is>
      </c>
      <c r="D2299" t="inlineStr">
        <is>
          <t>4140</t>
        </is>
      </c>
      <c r="E2299" t="inlineStr">
        <is>
          <t>pagado</t>
        </is>
      </c>
      <c r="F2299" s="23" t="n">
        <v>46267</v>
      </c>
      <c r="G2299" s="24">
        <f>F2299-DATE(2026,8,31)</f>
        <v>2</v>
      </c>
      <c r="H2299" s="25" t="n">
        <v>119620864</v>
      </c>
      <c r="I2299" t="inlineStr">
        <is>
          <t>entidad-dia</t>
        </is>
      </c>
    </row>
    <row r="2300">
      <c r="A2300" t="inlineStr">
        <is>
          <t>PRAGMA</t>
        </is>
      </c>
      <c r="B2300" t="inlineStr">
        <is>
          <t>M1</t>
        </is>
      </c>
      <c r="C2300" t="inlineStr">
        <is>
          <t>Cali</t>
        </is>
      </c>
      <c r="D2300" t="inlineStr">
        <is>
          <t>4140</t>
        </is>
      </c>
      <c r="E2300" t="inlineStr">
        <is>
          <t>pagado</t>
        </is>
      </c>
      <c r="F2300" s="23" t="n">
        <v>46268</v>
      </c>
      <c r="G2300" s="24">
        <f>F2300-DATE(2026,8,31)</f>
        <v>3</v>
      </c>
      <c r="H2300" s="25" t="n">
        <v>107542804</v>
      </c>
      <c r="I2300" t="inlineStr">
        <is>
          <t>entidad-dia</t>
        </is>
      </c>
    </row>
    <row r="2301">
      <c r="A2301" t="inlineStr">
        <is>
          <t>PRAGMA</t>
        </is>
      </c>
      <c r="B2301" t="inlineStr">
        <is>
          <t>M1</t>
        </is>
      </c>
      <c r="C2301" t="inlineStr">
        <is>
          <t>Cali</t>
        </is>
      </c>
      <c r="D2301" t="inlineStr">
        <is>
          <t>4140</t>
        </is>
      </c>
      <c r="E2301" t="inlineStr">
        <is>
          <t>pagado</t>
        </is>
      </c>
      <c r="F2301" s="23" t="n">
        <v>46269</v>
      </c>
      <c r="G2301" s="24">
        <f>F2301-DATE(2026,8,31)</f>
        <v>4</v>
      </c>
      <c r="H2301" s="25" t="n">
        <v>107150137</v>
      </c>
      <c r="I2301" t="inlineStr">
        <is>
          <t>entidad-dia</t>
        </is>
      </c>
    </row>
    <row r="2302">
      <c r="A2302" t="inlineStr">
        <is>
          <t>PRAGMA</t>
        </is>
      </c>
      <c r="B2302" t="inlineStr">
        <is>
          <t>M1</t>
        </is>
      </c>
      <c r="C2302" t="inlineStr">
        <is>
          <t>Cali</t>
        </is>
      </c>
      <c r="D2302" t="inlineStr">
        <is>
          <t>4140</t>
        </is>
      </c>
      <c r="E2302" t="inlineStr">
        <is>
          <t>pagado</t>
        </is>
      </c>
      <c r="F2302" s="23" t="n">
        <v>46270</v>
      </c>
      <c r="G2302" s="24">
        <f>F2302-DATE(2026,8,31)</f>
        <v>5</v>
      </c>
      <c r="H2302" s="25" t="n">
        <v>117250240</v>
      </c>
      <c r="I2302" t="inlineStr">
        <is>
          <t>entidad-dia</t>
        </is>
      </c>
    </row>
    <row r="2303">
      <c r="A2303" t="inlineStr">
        <is>
          <t>PRAGMA</t>
        </is>
      </c>
      <c r="B2303" t="inlineStr">
        <is>
          <t>M1</t>
        </is>
      </c>
      <c r="C2303" t="inlineStr">
        <is>
          <t>Cali</t>
        </is>
      </c>
      <c r="D2303" t="inlineStr">
        <is>
          <t>4140</t>
        </is>
      </c>
      <c r="E2303" t="inlineStr">
        <is>
          <t>pagado</t>
        </is>
      </c>
      <c r="F2303" s="23" t="n">
        <v>46271</v>
      </c>
      <c r="G2303" s="24">
        <f>F2303-DATE(2026,8,31)</f>
        <v>6</v>
      </c>
      <c r="H2303" s="25" t="n">
        <v>71382312</v>
      </c>
      <c r="I2303" t="inlineStr">
        <is>
          <t>entidad-dia</t>
        </is>
      </c>
    </row>
    <row r="2304">
      <c r="A2304" t="inlineStr">
        <is>
          <t>PRAGMA</t>
        </is>
      </c>
      <c r="B2304" t="inlineStr">
        <is>
          <t>M1</t>
        </is>
      </c>
      <c r="C2304" t="inlineStr">
        <is>
          <t>Cali</t>
        </is>
      </c>
      <c r="D2304" t="inlineStr">
        <is>
          <t>4140</t>
        </is>
      </c>
      <c r="E2304" t="inlineStr">
        <is>
          <t>pagado</t>
        </is>
      </c>
      <c r="F2304" s="23" t="n">
        <v>46272</v>
      </c>
      <c r="G2304" s="24">
        <f>F2304-DATE(2026,8,31)</f>
        <v>7</v>
      </c>
      <c r="H2304" s="25" t="n">
        <v>73501277</v>
      </c>
      <c r="I2304" t="inlineStr">
        <is>
          <t>entidad-dia</t>
        </is>
      </c>
    </row>
    <row r="2305">
      <c r="A2305" t="inlineStr">
        <is>
          <t>PRAGMA</t>
        </is>
      </c>
      <c r="B2305" t="inlineStr">
        <is>
          <t>M1</t>
        </is>
      </c>
      <c r="C2305" t="inlineStr">
        <is>
          <t>Cali</t>
        </is>
      </c>
      <c r="D2305" t="inlineStr">
        <is>
          <t>4140</t>
        </is>
      </c>
      <c r="E2305" t="inlineStr">
        <is>
          <t>pagado</t>
        </is>
      </c>
      <c r="F2305" s="23" t="n">
        <v>46273</v>
      </c>
      <c r="G2305" s="24">
        <f>F2305-DATE(2026,8,31)</f>
        <v>8</v>
      </c>
      <c r="H2305" s="25" t="n">
        <v>78661290</v>
      </c>
      <c r="I2305" t="inlineStr">
        <is>
          <t>entidad-dia</t>
        </is>
      </c>
    </row>
    <row r="2306">
      <c r="A2306" t="inlineStr">
        <is>
          <t>PRAGMA</t>
        </is>
      </c>
      <c r="B2306" t="inlineStr">
        <is>
          <t>M1</t>
        </is>
      </c>
      <c r="C2306" t="inlineStr">
        <is>
          <t>Cali</t>
        </is>
      </c>
      <c r="D2306" t="inlineStr">
        <is>
          <t>4140</t>
        </is>
      </c>
      <c r="E2306" t="inlineStr">
        <is>
          <t>pagado</t>
        </is>
      </c>
      <c r="F2306" s="23" t="n">
        <v>46274</v>
      </c>
      <c r="G2306" s="24">
        <f>F2306-DATE(2026,8,31)</f>
        <v>9</v>
      </c>
      <c r="H2306" s="25" t="n">
        <v>76185071</v>
      </c>
      <c r="I2306" t="inlineStr">
        <is>
          <t>entidad-dia</t>
        </is>
      </c>
    </row>
    <row r="2307">
      <c r="A2307" t="inlineStr">
        <is>
          <t>PRAGMA</t>
        </is>
      </c>
      <c r="B2307" t="inlineStr">
        <is>
          <t>M1</t>
        </is>
      </c>
      <c r="C2307" t="inlineStr">
        <is>
          <t>Cali</t>
        </is>
      </c>
      <c r="D2307" t="inlineStr">
        <is>
          <t>4140</t>
        </is>
      </c>
      <c r="E2307" t="inlineStr">
        <is>
          <t>pagado</t>
        </is>
      </c>
      <c r="F2307" s="23" t="n">
        <v>46275</v>
      </c>
      <c r="G2307" s="24">
        <f>F2307-DATE(2026,8,31)</f>
        <v>10</v>
      </c>
      <c r="H2307" s="25" t="n">
        <v>70867995</v>
      </c>
      <c r="I2307" t="inlineStr">
        <is>
          <t>entidad-dia</t>
        </is>
      </c>
    </row>
    <row r="2308">
      <c r="A2308" t="inlineStr">
        <is>
          <t>PRAGMA</t>
        </is>
      </c>
      <c r="B2308" t="inlineStr">
        <is>
          <t>M1</t>
        </is>
      </c>
      <c r="C2308" t="inlineStr">
        <is>
          <t>Cali</t>
        </is>
      </c>
      <c r="D2308" t="inlineStr">
        <is>
          <t>4140</t>
        </is>
      </c>
      <c r="E2308" t="inlineStr">
        <is>
          <t>pagado</t>
        </is>
      </c>
      <c r="F2308" s="23" t="n">
        <v>46276</v>
      </c>
      <c r="G2308" s="24">
        <f>F2308-DATE(2026,8,31)</f>
        <v>11</v>
      </c>
      <c r="H2308" s="25" t="n">
        <v>77900858</v>
      </c>
      <c r="I2308" t="inlineStr">
        <is>
          <t>entidad-dia</t>
        </is>
      </c>
    </row>
    <row r="2309">
      <c r="A2309" t="inlineStr">
        <is>
          <t>PRAGMA</t>
        </is>
      </c>
      <c r="B2309" t="inlineStr">
        <is>
          <t>M1</t>
        </is>
      </c>
      <c r="C2309" t="inlineStr">
        <is>
          <t>Cali</t>
        </is>
      </c>
      <c r="D2309" t="inlineStr">
        <is>
          <t>4140</t>
        </is>
      </c>
      <c r="E2309" t="inlineStr">
        <is>
          <t>pagado</t>
        </is>
      </c>
      <c r="F2309" s="23" t="n">
        <v>46277</v>
      </c>
      <c r="G2309" s="24">
        <f>F2309-DATE(2026,8,31)</f>
        <v>12</v>
      </c>
      <c r="H2309" s="25" t="n">
        <v>92539512</v>
      </c>
      <c r="I2309" t="inlineStr">
        <is>
          <t>entidad-dia</t>
        </is>
      </c>
    </row>
    <row r="2310">
      <c r="A2310" t="inlineStr">
        <is>
          <t>PRAGMA</t>
        </is>
      </c>
      <c r="B2310" t="inlineStr">
        <is>
          <t>M1</t>
        </is>
      </c>
      <c r="C2310" t="inlineStr">
        <is>
          <t>Cali</t>
        </is>
      </c>
      <c r="D2310" t="inlineStr">
        <is>
          <t>4140</t>
        </is>
      </c>
      <c r="E2310" t="inlineStr">
        <is>
          <t>pagado</t>
        </is>
      </c>
      <c r="F2310" s="23" t="n">
        <v>46278</v>
      </c>
      <c r="G2310" s="24">
        <f>F2310-DATE(2026,8,31)</f>
        <v>13</v>
      </c>
      <c r="H2310" s="25" t="n">
        <v>53329346</v>
      </c>
      <c r="I2310" t="inlineStr">
        <is>
          <t>entidad-dia</t>
        </is>
      </c>
    </row>
    <row r="2311">
      <c r="A2311" t="inlineStr">
        <is>
          <t>PRAGMA</t>
        </is>
      </c>
      <c r="B2311" t="inlineStr">
        <is>
          <t>M1</t>
        </is>
      </c>
      <c r="C2311" t="inlineStr">
        <is>
          <t>Cali</t>
        </is>
      </c>
      <c r="D2311" t="inlineStr">
        <is>
          <t>4140</t>
        </is>
      </c>
      <c r="E2311" t="inlineStr">
        <is>
          <t>pagado</t>
        </is>
      </c>
      <c r="F2311" s="23" t="n">
        <v>46279</v>
      </c>
      <c r="G2311" s="24">
        <f>F2311-DATE(2026,8,31)</f>
        <v>14</v>
      </c>
      <c r="H2311" s="25" t="n">
        <v>78471234</v>
      </c>
      <c r="I2311" t="inlineStr">
        <is>
          <t>entidad-dia</t>
        </is>
      </c>
    </row>
    <row r="2312">
      <c r="A2312" t="inlineStr">
        <is>
          <t>PRAGMA</t>
        </is>
      </c>
      <c r="B2312" t="inlineStr">
        <is>
          <t>M1</t>
        </is>
      </c>
      <c r="C2312" t="inlineStr">
        <is>
          <t>Cali</t>
        </is>
      </c>
      <c r="D2312" t="inlineStr">
        <is>
          <t>4140</t>
        </is>
      </c>
      <c r="E2312" t="inlineStr">
        <is>
          <t>pagado</t>
        </is>
      </c>
      <c r="F2312" s="23" t="n">
        <v>46280</v>
      </c>
      <c r="G2312" s="24">
        <f>F2312-DATE(2026,8,31)</f>
        <v>15</v>
      </c>
      <c r="H2312" s="25" t="n">
        <v>125557163</v>
      </c>
      <c r="I2312" t="inlineStr">
        <is>
          <t>entidad-dia</t>
        </is>
      </c>
    </row>
    <row r="2313">
      <c r="A2313" t="inlineStr">
        <is>
          <t>PRAGMA</t>
        </is>
      </c>
      <c r="B2313" t="inlineStr">
        <is>
          <t>M1</t>
        </is>
      </c>
      <c r="C2313" t="inlineStr">
        <is>
          <t>Cali</t>
        </is>
      </c>
      <c r="D2313" t="inlineStr">
        <is>
          <t>4183</t>
        </is>
      </c>
      <c r="E2313" t="inlineStr">
        <is>
          <t>pagado</t>
        </is>
      </c>
      <c r="F2313" s="23" t="n">
        <v>46266</v>
      </c>
      <c r="G2313" s="24">
        <f>F2313-DATE(2026,8,31)</f>
        <v>1</v>
      </c>
      <c r="H2313" s="25" t="n">
        <v>146180063</v>
      </c>
      <c r="I2313" t="inlineStr">
        <is>
          <t>entidad-dia</t>
        </is>
      </c>
    </row>
    <row r="2314">
      <c r="A2314" t="inlineStr">
        <is>
          <t>PRAGMA</t>
        </is>
      </c>
      <c r="B2314" t="inlineStr">
        <is>
          <t>M1</t>
        </is>
      </c>
      <c r="C2314" t="inlineStr">
        <is>
          <t>Cali</t>
        </is>
      </c>
      <c r="D2314" t="inlineStr">
        <is>
          <t>4183</t>
        </is>
      </c>
      <c r="E2314" t="inlineStr">
        <is>
          <t>pagado</t>
        </is>
      </c>
      <c r="F2314" s="23" t="n">
        <v>46267</v>
      </c>
      <c r="G2314" s="24">
        <f>F2314-DATE(2026,8,31)</f>
        <v>2</v>
      </c>
      <c r="H2314" s="25" t="n">
        <v>102140266</v>
      </c>
      <c r="I2314" t="inlineStr">
        <is>
          <t>entidad-dia</t>
        </is>
      </c>
    </row>
    <row r="2315">
      <c r="A2315" t="inlineStr">
        <is>
          <t>PRAGMA</t>
        </is>
      </c>
      <c r="B2315" t="inlineStr">
        <is>
          <t>M1</t>
        </is>
      </c>
      <c r="C2315" t="inlineStr">
        <is>
          <t>Cali</t>
        </is>
      </c>
      <c r="D2315" t="inlineStr">
        <is>
          <t>4183</t>
        </is>
      </c>
      <c r="E2315" t="inlineStr">
        <is>
          <t>pagado</t>
        </is>
      </c>
      <c r="F2315" s="23" t="n">
        <v>46268</v>
      </c>
      <c r="G2315" s="24">
        <f>F2315-DATE(2026,8,31)</f>
        <v>3</v>
      </c>
      <c r="H2315" s="25" t="n">
        <v>95200775</v>
      </c>
      <c r="I2315" t="inlineStr">
        <is>
          <t>entidad-dia</t>
        </is>
      </c>
    </row>
    <row r="2316">
      <c r="A2316" t="inlineStr">
        <is>
          <t>PRAGMA</t>
        </is>
      </c>
      <c r="B2316" t="inlineStr">
        <is>
          <t>M1</t>
        </is>
      </c>
      <c r="C2316" t="inlineStr">
        <is>
          <t>Cali</t>
        </is>
      </c>
      <c r="D2316" t="inlineStr">
        <is>
          <t>4183</t>
        </is>
      </c>
      <c r="E2316" t="inlineStr">
        <is>
          <t>pagado</t>
        </is>
      </c>
      <c r="F2316" s="23" t="n">
        <v>46269</v>
      </c>
      <c r="G2316" s="24">
        <f>F2316-DATE(2026,8,31)</f>
        <v>4</v>
      </c>
      <c r="H2316" s="25" t="n">
        <v>96368119</v>
      </c>
      <c r="I2316" t="inlineStr">
        <is>
          <t>entidad-dia</t>
        </is>
      </c>
    </row>
    <row r="2317">
      <c r="A2317" t="inlineStr">
        <is>
          <t>PRAGMA</t>
        </is>
      </c>
      <c r="B2317" t="inlineStr">
        <is>
          <t>M1</t>
        </is>
      </c>
      <c r="C2317" t="inlineStr">
        <is>
          <t>Cali</t>
        </is>
      </c>
      <c r="D2317" t="inlineStr">
        <is>
          <t>4183</t>
        </is>
      </c>
      <c r="E2317" t="inlineStr">
        <is>
          <t>pagado</t>
        </is>
      </c>
      <c r="F2317" s="23" t="n">
        <v>46270</v>
      </c>
      <c r="G2317" s="24">
        <f>F2317-DATE(2026,8,31)</f>
        <v>5</v>
      </c>
      <c r="H2317" s="25" t="n">
        <v>96407117</v>
      </c>
      <c r="I2317" t="inlineStr">
        <is>
          <t>entidad-dia</t>
        </is>
      </c>
    </row>
    <row r="2318">
      <c r="A2318" t="inlineStr">
        <is>
          <t>PRAGMA</t>
        </is>
      </c>
      <c r="B2318" t="inlineStr">
        <is>
          <t>M1</t>
        </is>
      </c>
      <c r="C2318" t="inlineStr">
        <is>
          <t>Cali</t>
        </is>
      </c>
      <c r="D2318" t="inlineStr">
        <is>
          <t>4183</t>
        </is>
      </c>
      <c r="E2318" t="inlineStr">
        <is>
          <t>pagado</t>
        </is>
      </c>
      <c r="F2318" s="23" t="n">
        <v>46271</v>
      </c>
      <c r="G2318" s="24">
        <f>F2318-DATE(2026,8,31)</f>
        <v>6</v>
      </c>
      <c r="H2318" s="25" t="n">
        <v>25640589</v>
      </c>
      <c r="I2318" t="inlineStr">
        <is>
          <t>entidad-dia</t>
        </is>
      </c>
    </row>
    <row r="2319">
      <c r="A2319" t="inlineStr">
        <is>
          <t>PRAGMA</t>
        </is>
      </c>
      <c r="B2319" t="inlineStr">
        <is>
          <t>M1</t>
        </is>
      </c>
      <c r="C2319" t="inlineStr">
        <is>
          <t>Cali</t>
        </is>
      </c>
      <c r="D2319" t="inlineStr">
        <is>
          <t>4183</t>
        </is>
      </c>
      <c r="E2319" t="inlineStr">
        <is>
          <t>pagado</t>
        </is>
      </c>
      <c r="F2319" s="23" t="n">
        <v>46272</v>
      </c>
      <c r="G2319" s="24">
        <f>F2319-DATE(2026,8,31)</f>
        <v>7</v>
      </c>
      <c r="H2319" s="25" t="n">
        <v>75219555</v>
      </c>
      <c r="I2319" t="inlineStr">
        <is>
          <t>entidad-dia</t>
        </is>
      </c>
    </row>
    <row r="2320">
      <c r="A2320" t="inlineStr">
        <is>
          <t>PRAGMA</t>
        </is>
      </c>
      <c r="B2320" t="inlineStr">
        <is>
          <t>M1</t>
        </is>
      </c>
      <c r="C2320" t="inlineStr">
        <is>
          <t>Cali</t>
        </is>
      </c>
      <c r="D2320" t="inlineStr">
        <is>
          <t>4183</t>
        </is>
      </c>
      <c r="E2320" t="inlineStr">
        <is>
          <t>pagado</t>
        </is>
      </c>
      <c r="F2320" s="23" t="n">
        <v>46273</v>
      </c>
      <c r="G2320" s="24">
        <f>F2320-DATE(2026,8,31)</f>
        <v>8</v>
      </c>
      <c r="H2320" s="25" t="n">
        <v>75774853</v>
      </c>
      <c r="I2320" t="inlineStr">
        <is>
          <t>entidad-dia</t>
        </is>
      </c>
    </row>
    <row r="2321">
      <c r="A2321" t="inlineStr">
        <is>
          <t>PRAGMA</t>
        </is>
      </c>
      <c r="B2321" t="inlineStr">
        <is>
          <t>M1</t>
        </is>
      </c>
      <c r="C2321" t="inlineStr">
        <is>
          <t>Cali</t>
        </is>
      </c>
      <c r="D2321" t="inlineStr">
        <is>
          <t>4183</t>
        </is>
      </c>
      <c r="E2321" t="inlineStr">
        <is>
          <t>pagado</t>
        </is>
      </c>
      <c r="F2321" s="23" t="n">
        <v>46274</v>
      </c>
      <c r="G2321" s="24">
        <f>F2321-DATE(2026,8,31)</f>
        <v>9</v>
      </c>
      <c r="H2321" s="25" t="n">
        <v>76681072</v>
      </c>
      <c r="I2321" t="inlineStr">
        <is>
          <t>entidad-dia</t>
        </is>
      </c>
    </row>
    <row r="2322">
      <c r="A2322" t="inlineStr">
        <is>
          <t>PRAGMA</t>
        </is>
      </c>
      <c r="B2322" t="inlineStr">
        <is>
          <t>M1</t>
        </is>
      </c>
      <c r="C2322" t="inlineStr">
        <is>
          <t>Cali</t>
        </is>
      </c>
      <c r="D2322" t="inlineStr">
        <is>
          <t>4183</t>
        </is>
      </c>
      <c r="E2322" t="inlineStr">
        <is>
          <t>pagado</t>
        </is>
      </c>
      <c r="F2322" s="23" t="n">
        <v>46275</v>
      </c>
      <c r="G2322" s="24">
        <f>F2322-DATE(2026,8,31)</f>
        <v>10</v>
      </c>
      <c r="H2322" s="25" t="n">
        <v>78070905</v>
      </c>
      <c r="I2322" t="inlineStr">
        <is>
          <t>entidad-dia</t>
        </is>
      </c>
    </row>
    <row r="2323">
      <c r="A2323" t="inlineStr">
        <is>
          <t>PRAGMA</t>
        </is>
      </c>
      <c r="B2323" t="inlineStr">
        <is>
          <t>M1</t>
        </is>
      </c>
      <c r="C2323" t="inlineStr">
        <is>
          <t>Cali</t>
        </is>
      </c>
      <c r="D2323" t="inlineStr">
        <is>
          <t>4183</t>
        </is>
      </c>
      <c r="E2323" t="inlineStr">
        <is>
          <t>pagado</t>
        </is>
      </c>
      <c r="F2323" s="23" t="n">
        <v>46276</v>
      </c>
      <c r="G2323" s="24">
        <f>F2323-DATE(2026,8,31)</f>
        <v>11</v>
      </c>
      <c r="H2323" s="25" t="n">
        <v>76103045</v>
      </c>
      <c r="I2323" t="inlineStr">
        <is>
          <t>entidad-dia</t>
        </is>
      </c>
    </row>
    <row r="2324">
      <c r="A2324" t="inlineStr">
        <is>
          <t>PRAGMA</t>
        </is>
      </c>
      <c r="B2324" t="inlineStr">
        <is>
          <t>M1</t>
        </is>
      </c>
      <c r="C2324" t="inlineStr">
        <is>
          <t>Cali</t>
        </is>
      </c>
      <c r="D2324" t="inlineStr">
        <is>
          <t>4183</t>
        </is>
      </c>
      <c r="E2324" t="inlineStr">
        <is>
          <t>pagado</t>
        </is>
      </c>
      <c r="F2324" s="23" t="n">
        <v>46277</v>
      </c>
      <c r="G2324" s="24">
        <f>F2324-DATE(2026,8,31)</f>
        <v>12</v>
      </c>
      <c r="H2324" s="25" t="n">
        <v>79471591</v>
      </c>
      <c r="I2324" t="inlineStr">
        <is>
          <t>entidad-dia</t>
        </is>
      </c>
    </row>
    <row r="2325">
      <c r="A2325" t="inlineStr">
        <is>
          <t>PRAGMA</t>
        </is>
      </c>
      <c r="B2325" t="inlineStr">
        <is>
          <t>M1</t>
        </is>
      </c>
      <c r="C2325" t="inlineStr">
        <is>
          <t>Cali</t>
        </is>
      </c>
      <c r="D2325" t="inlineStr">
        <is>
          <t>4183</t>
        </is>
      </c>
      <c r="E2325" t="inlineStr">
        <is>
          <t>pagado</t>
        </is>
      </c>
      <c r="F2325" s="23" t="n">
        <v>46278</v>
      </c>
      <c r="G2325" s="24">
        <f>F2325-DATE(2026,8,31)</f>
        <v>13</v>
      </c>
      <c r="H2325" s="25" t="n">
        <v>22939641</v>
      </c>
      <c r="I2325" t="inlineStr">
        <is>
          <t>entidad-dia</t>
        </is>
      </c>
    </row>
    <row r="2326">
      <c r="A2326" t="inlineStr">
        <is>
          <t>PRAGMA</t>
        </is>
      </c>
      <c r="B2326" t="inlineStr">
        <is>
          <t>M1</t>
        </is>
      </c>
      <c r="C2326" t="inlineStr">
        <is>
          <t>Cali</t>
        </is>
      </c>
      <c r="D2326" t="inlineStr">
        <is>
          <t>4183</t>
        </is>
      </c>
      <c r="E2326" t="inlineStr">
        <is>
          <t>pagado</t>
        </is>
      </c>
      <c r="F2326" s="23" t="n">
        <v>46279</v>
      </c>
      <c r="G2326" s="24">
        <f>F2326-DATE(2026,8,31)</f>
        <v>14</v>
      </c>
      <c r="H2326" s="25" t="n">
        <v>72835575</v>
      </c>
      <c r="I2326" t="inlineStr">
        <is>
          <t>entidad-dia</t>
        </is>
      </c>
    </row>
    <row r="2327">
      <c r="A2327" t="inlineStr">
        <is>
          <t>PRAGMA</t>
        </is>
      </c>
      <c r="B2327" t="inlineStr">
        <is>
          <t>M1</t>
        </is>
      </c>
      <c r="C2327" t="inlineStr">
        <is>
          <t>Cali</t>
        </is>
      </c>
      <c r="D2327" t="inlineStr">
        <is>
          <t>4183</t>
        </is>
      </c>
      <c r="E2327" t="inlineStr">
        <is>
          <t>pagado</t>
        </is>
      </c>
      <c r="F2327" s="23" t="n">
        <v>46280</v>
      </c>
      <c r="G2327" s="24">
        <f>F2327-DATE(2026,8,31)</f>
        <v>15</v>
      </c>
      <c r="H2327" s="25" t="n">
        <v>132586497</v>
      </c>
      <c r="I2327" t="inlineStr">
        <is>
          <t>entidad-dia</t>
        </is>
      </c>
    </row>
    <row r="2328">
      <c r="A2328" t="inlineStr">
        <is>
          <t>PRAGMA</t>
        </is>
      </c>
      <c r="B2328" t="inlineStr">
        <is>
          <t>M1</t>
        </is>
      </c>
      <c r="C2328" t="inlineStr">
        <is>
          <t>Cali</t>
        </is>
      </c>
      <c r="D2328" t="inlineStr">
        <is>
          <t>4184</t>
        </is>
      </c>
      <c r="E2328" t="inlineStr">
        <is>
          <t>pagado</t>
        </is>
      </c>
      <c r="F2328" s="23" t="n">
        <v>46266</v>
      </c>
      <c r="G2328" s="24">
        <f>F2328-DATE(2026,8,31)</f>
        <v>1</v>
      </c>
      <c r="H2328" s="25" t="n">
        <v>120078013</v>
      </c>
      <c r="I2328" t="inlineStr">
        <is>
          <t>entidad-dia</t>
        </is>
      </c>
    </row>
    <row r="2329">
      <c r="A2329" t="inlineStr">
        <is>
          <t>PRAGMA</t>
        </is>
      </c>
      <c r="B2329" t="inlineStr">
        <is>
          <t>M1</t>
        </is>
      </c>
      <c r="C2329" t="inlineStr">
        <is>
          <t>Cali</t>
        </is>
      </c>
      <c r="D2329" t="inlineStr">
        <is>
          <t>4184</t>
        </is>
      </c>
      <c r="E2329" t="inlineStr">
        <is>
          <t>pagado</t>
        </is>
      </c>
      <c r="F2329" s="23" t="n">
        <v>46267</v>
      </c>
      <c r="G2329" s="24">
        <f>F2329-DATE(2026,8,31)</f>
        <v>2</v>
      </c>
      <c r="H2329" s="25" t="n">
        <v>96445132</v>
      </c>
      <c r="I2329" t="inlineStr">
        <is>
          <t>entidad-dia</t>
        </is>
      </c>
    </row>
    <row r="2330">
      <c r="A2330" t="inlineStr">
        <is>
          <t>PRAGMA</t>
        </is>
      </c>
      <c r="B2330" t="inlineStr">
        <is>
          <t>M1</t>
        </is>
      </c>
      <c r="C2330" t="inlineStr">
        <is>
          <t>Cali</t>
        </is>
      </c>
      <c r="D2330" t="inlineStr">
        <is>
          <t>4184</t>
        </is>
      </c>
      <c r="E2330" t="inlineStr">
        <is>
          <t>pagado</t>
        </is>
      </c>
      <c r="F2330" s="23" t="n">
        <v>46268</v>
      </c>
      <c r="G2330" s="24">
        <f>F2330-DATE(2026,8,31)</f>
        <v>3</v>
      </c>
      <c r="H2330" s="25" t="n">
        <v>89321559</v>
      </c>
      <c r="I2330" t="inlineStr">
        <is>
          <t>entidad-dia</t>
        </is>
      </c>
    </row>
    <row r="2331">
      <c r="A2331" t="inlineStr">
        <is>
          <t>PRAGMA</t>
        </is>
      </c>
      <c r="B2331" t="inlineStr">
        <is>
          <t>M1</t>
        </is>
      </c>
      <c r="C2331" t="inlineStr">
        <is>
          <t>Cali</t>
        </is>
      </c>
      <c r="D2331" t="inlineStr">
        <is>
          <t>4184</t>
        </is>
      </c>
      <c r="E2331" t="inlineStr">
        <is>
          <t>pagado</t>
        </is>
      </c>
      <c r="F2331" s="23" t="n">
        <v>46269</v>
      </c>
      <c r="G2331" s="24">
        <f>F2331-DATE(2026,8,31)</f>
        <v>4</v>
      </c>
      <c r="H2331" s="25" t="n">
        <v>91368301</v>
      </c>
      <c r="I2331" t="inlineStr">
        <is>
          <t>entidad-dia</t>
        </is>
      </c>
    </row>
    <row r="2332">
      <c r="A2332" t="inlineStr">
        <is>
          <t>PRAGMA</t>
        </is>
      </c>
      <c r="B2332" t="inlineStr">
        <is>
          <t>M1</t>
        </is>
      </c>
      <c r="C2332" t="inlineStr">
        <is>
          <t>Cali</t>
        </is>
      </c>
      <c r="D2332" t="inlineStr">
        <is>
          <t>4184</t>
        </is>
      </c>
      <c r="E2332" t="inlineStr">
        <is>
          <t>pagado</t>
        </is>
      </c>
      <c r="F2332" s="23" t="n">
        <v>46270</v>
      </c>
      <c r="G2332" s="24">
        <f>F2332-DATE(2026,8,31)</f>
        <v>5</v>
      </c>
      <c r="H2332" s="25" t="n">
        <v>108756496</v>
      </c>
      <c r="I2332" t="inlineStr">
        <is>
          <t>entidad-dia</t>
        </is>
      </c>
    </row>
    <row r="2333">
      <c r="A2333" t="inlineStr">
        <is>
          <t>PRAGMA</t>
        </is>
      </c>
      <c r="B2333" t="inlineStr">
        <is>
          <t>M1</t>
        </is>
      </c>
      <c r="C2333" t="inlineStr">
        <is>
          <t>Cali</t>
        </is>
      </c>
      <c r="D2333" t="inlineStr">
        <is>
          <t>4184</t>
        </is>
      </c>
      <c r="E2333" t="inlineStr">
        <is>
          <t>pagado</t>
        </is>
      </c>
      <c r="F2333" s="23" t="n">
        <v>46271</v>
      </c>
      <c r="G2333" s="24">
        <f>F2333-DATE(2026,8,31)</f>
        <v>6</v>
      </c>
      <c r="H2333" s="25" t="n">
        <v>74736197</v>
      </c>
      <c r="I2333" t="inlineStr">
        <is>
          <t>entidad-dia</t>
        </is>
      </c>
    </row>
    <row r="2334">
      <c r="A2334" t="inlineStr">
        <is>
          <t>PRAGMA</t>
        </is>
      </c>
      <c r="B2334" t="inlineStr">
        <is>
          <t>M1</t>
        </is>
      </c>
      <c r="C2334" t="inlineStr">
        <is>
          <t>Cali</t>
        </is>
      </c>
      <c r="D2334" t="inlineStr">
        <is>
          <t>4184</t>
        </is>
      </c>
      <c r="E2334" t="inlineStr">
        <is>
          <t>pagado</t>
        </is>
      </c>
      <c r="F2334" s="23" t="n">
        <v>46272</v>
      </c>
      <c r="G2334" s="24">
        <f>F2334-DATE(2026,8,31)</f>
        <v>7</v>
      </c>
      <c r="H2334" s="25" t="n">
        <v>77716768</v>
      </c>
      <c r="I2334" t="inlineStr">
        <is>
          <t>entidad-dia</t>
        </is>
      </c>
    </row>
    <row r="2335">
      <c r="A2335" t="inlineStr">
        <is>
          <t>PRAGMA</t>
        </is>
      </c>
      <c r="B2335" t="inlineStr">
        <is>
          <t>M1</t>
        </is>
      </c>
      <c r="C2335" t="inlineStr">
        <is>
          <t>Cali</t>
        </is>
      </c>
      <c r="D2335" t="inlineStr">
        <is>
          <t>4184</t>
        </is>
      </c>
      <c r="E2335" t="inlineStr">
        <is>
          <t>pagado</t>
        </is>
      </c>
      <c r="F2335" s="23" t="n">
        <v>46273</v>
      </c>
      <c r="G2335" s="24">
        <f>F2335-DATE(2026,8,31)</f>
        <v>8</v>
      </c>
      <c r="H2335" s="25" t="n">
        <v>73759323</v>
      </c>
      <c r="I2335" t="inlineStr">
        <is>
          <t>entidad-dia</t>
        </is>
      </c>
    </row>
    <row r="2336">
      <c r="A2336" t="inlineStr">
        <is>
          <t>PRAGMA</t>
        </is>
      </c>
      <c r="B2336" t="inlineStr">
        <is>
          <t>M1</t>
        </is>
      </c>
      <c r="C2336" t="inlineStr">
        <is>
          <t>Cali</t>
        </is>
      </c>
      <c r="D2336" t="inlineStr">
        <is>
          <t>4184</t>
        </is>
      </c>
      <c r="E2336" t="inlineStr">
        <is>
          <t>pagado</t>
        </is>
      </c>
      <c r="F2336" s="23" t="n">
        <v>46274</v>
      </c>
      <c r="G2336" s="24">
        <f>F2336-DATE(2026,8,31)</f>
        <v>9</v>
      </c>
      <c r="H2336" s="25" t="n">
        <v>80439801</v>
      </c>
      <c r="I2336" t="inlineStr">
        <is>
          <t>entidad-dia</t>
        </is>
      </c>
    </row>
    <row r="2337">
      <c r="A2337" t="inlineStr">
        <is>
          <t>PRAGMA</t>
        </is>
      </c>
      <c r="B2337" t="inlineStr">
        <is>
          <t>M1</t>
        </is>
      </c>
      <c r="C2337" t="inlineStr">
        <is>
          <t>Cali</t>
        </is>
      </c>
      <c r="D2337" t="inlineStr">
        <is>
          <t>4184</t>
        </is>
      </c>
      <c r="E2337" t="inlineStr">
        <is>
          <t>pagado</t>
        </is>
      </c>
      <c r="F2337" s="23" t="n">
        <v>46275</v>
      </c>
      <c r="G2337" s="24">
        <f>F2337-DATE(2026,8,31)</f>
        <v>10</v>
      </c>
      <c r="H2337" s="25" t="n">
        <v>68987235</v>
      </c>
      <c r="I2337" t="inlineStr">
        <is>
          <t>entidad-dia</t>
        </is>
      </c>
    </row>
    <row r="2338">
      <c r="A2338" t="inlineStr">
        <is>
          <t>PRAGMA</t>
        </is>
      </c>
      <c r="B2338" t="inlineStr">
        <is>
          <t>M1</t>
        </is>
      </c>
      <c r="C2338" t="inlineStr">
        <is>
          <t>Cali</t>
        </is>
      </c>
      <c r="D2338" t="inlineStr">
        <is>
          <t>4184</t>
        </is>
      </c>
      <c r="E2338" t="inlineStr">
        <is>
          <t>pagado</t>
        </is>
      </c>
      <c r="F2338" s="23" t="n">
        <v>46276</v>
      </c>
      <c r="G2338" s="24">
        <f>F2338-DATE(2026,8,31)</f>
        <v>11</v>
      </c>
      <c r="H2338" s="25" t="n">
        <v>73964241</v>
      </c>
      <c r="I2338" t="inlineStr">
        <is>
          <t>entidad-dia</t>
        </is>
      </c>
    </row>
    <row r="2339">
      <c r="A2339" t="inlineStr">
        <is>
          <t>PRAGMA</t>
        </is>
      </c>
      <c r="B2339" t="inlineStr">
        <is>
          <t>M1</t>
        </is>
      </c>
      <c r="C2339" t="inlineStr">
        <is>
          <t>Cali</t>
        </is>
      </c>
      <c r="D2339" t="inlineStr">
        <is>
          <t>4184</t>
        </is>
      </c>
      <c r="E2339" t="inlineStr">
        <is>
          <t>pagado</t>
        </is>
      </c>
      <c r="F2339" s="23" t="n">
        <v>46277</v>
      </c>
      <c r="G2339" s="24">
        <f>F2339-DATE(2026,8,31)</f>
        <v>12</v>
      </c>
      <c r="H2339" s="25" t="n">
        <v>89171843</v>
      </c>
      <c r="I2339" t="inlineStr">
        <is>
          <t>entidad-dia</t>
        </is>
      </c>
    </row>
    <row r="2340">
      <c r="A2340" t="inlineStr">
        <is>
          <t>PRAGMA</t>
        </is>
      </c>
      <c r="B2340" t="inlineStr">
        <is>
          <t>M1</t>
        </is>
      </c>
      <c r="C2340" t="inlineStr">
        <is>
          <t>Cali</t>
        </is>
      </c>
      <c r="D2340" t="inlineStr">
        <is>
          <t>4184</t>
        </is>
      </c>
      <c r="E2340" t="inlineStr">
        <is>
          <t>pagado</t>
        </is>
      </c>
      <c r="F2340" s="23" t="n">
        <v>46278</v>
      </c>
      <c r="G2340" s="24">
        <f>F2340-DATE(2026,8,31)</f>
        <v>13</v>
      </c>
      <c r="H2340" s="25" t="n">
        <v>61249362</v>
      </c>
      <c r="I2340" t="inlineStr">
        <is>
          <t>entidad-dia</t>
        </is>
      </c>
    </row>
    <row r="2341">
      <c r="A2341" t="inlineStr">
        <is>
          <t>PRAGMA</t>
        </is>
      </c>
      <c r="B2341" t="inlineStr">
        <is>
          <t>M1</t>
        </is>
      </c>
      <c r="C2341" t="inlineStr">
        <is>
          <t>Cali</t>
        </is>
      </c>
      <c r="D2341" t="inlineStr">
        <is>
          <t>4184</t>
        </is>
      </c>
      <c r="E2341" t="inlineStr">
        <is>
          <t>pagado</t>
        </is>
      </c>
      <c r="F2341" s="23" t="n">
        <v>46279</v>
      </c>
      <c r="G2341" s="24">
        <f>F2341-DATE(2026,8,31)</f>
        <v>14</v>
      </c>
      <c r="H2341" s="25" t="n">
        <v>75813757</v>
      </c>
      <c r="I2341" t="inlineStr">
        <is>
          <t>entidad-dia</t>
        </is>
      </c>
    </row>
    <row r="2342">
      <c r="A2342" t="inlineStr">
        <is>
          <t>PRAGMA</t>
        </is>
      </c>
      <c r="B2342" t="inlineStr">
        <is>
          <t>M1</t>
        </is>
      </c>
      <c r="C2342" t="inlineStr">
        <is>
          <t>Cali</t>
        </is>
      </c>
      <c r="D2342" t="inlineStr">
        <is>
          <t>4184</t>
        </is>
      </c>
      <c r="E2342" t="inlineStr">
        <is>
          <t>pagado</t>
        </is>
      </c>
      <c r="F2342" s="23" t="n">
        <v>46280</v>
      </c>
      <c r="G2342" s="24">
        <f>F2342-DATE(2026,8,31)</f>
        <v>15</v>
      </c>
      <c r="H2342" s="25" t="n">
        <v>96056956</v>
      </c>
      <c r="I2342" t="inlineStr">
        <is>
          <t>entidad-dia</t>
        </is>
      </c>
    </row>
    <row r="2343">
      <c r="A2343" t="inlineStr">
        <is>
          <t>PRAGMA</t>
        </is>
      </c>
      <c r="B2343" t="inlineStr">
        <is>
          <t>M1</t>
        </is>
      </c>
      <c r="C2343" t="inlineStr">
        <is>
          <t>Cali</t>
        </is>
      </c>
      <c r="D2343" t="inlineStr">
        <is>
          <t>4197</t>
        </is>
      </c>
      <c r="E2343" t="inlineStr">
        <is>
          <t>pagado</t>
        </is>
      </c>
      <c r="F2343" s="23" t="n">
        <v>46266</v>
      </c>
      <c r="G2343" s="24">
        <f>F2343-DATE(2026,8,31)</f>
        <v>1</v>
      </c>
      <c r="H2343" s="25" t="n">
        <v>50589020</v>
      </c>
      <c r="I2343" t="inlineStr">
        <is>
          <t>entidad-dia</t>
        </is>
      </c>
    </row>
    <row r="2344">
      <c r="A2344" t="inlineStr">
        <is>
          <t>PRAGMA</t>
        </is>
      </c>
      <c r="B2344" t="inlineStr">
        <is>
          <t>M1</t>
        </is>
      </c>
      <c r="C2344" t="inlineStr">
        <is>
          <t>Cali</t>
        </is>
      </c>
      <c r="D2344" t="inlineStr">
        <is>
          <t>4197</t>
        </is>
      </c>
      <c r="E2344" t="inlineStr">
        <is>
          <t>pagado</t>
        </is>
      </c>
      <c r="F2344" s="23" t="n">
        <v>46267</v>
      </c>
      <c r="G2344" s="24">
        <f>F2344-DATE(2026,8,31)</f>
        <v>2</v>
      </c>
      <c r="H2344" s="25" t="n">
        <v>39010541</v>
      </c>
      <c r="I2344" t="inlineStr">
        <is>
          <t>entidad-dia</t>
        </is>
      </c>
    </row>
    <row r="2345">
      <c r="A2345" t="inlineStr">
        <is>
          <t>PRAGMA</t>
        </is>
      </c>
      <c r="B2345" t="inlineStr">
        <is>
          <t>M1</t>
        </is>
      </c>
      <c r="C2345" t="inlineStr">
        <is>
          <t>Cali</t>
        </is>
      </c>
      <c r="D2345" t="inlineStr">
        <is>
          <t>4197</t>
        </is>
      </c>
      <c r="E2345" t="inlineStr">
        <is>
          <t>pagado</t>
        </is>
      </c>
      <c r="F2345" s="23" t="n">
        <v>46268</v>
      </c>
      <c r="G2345" s="24">
        <f>F2345-DATE(2026,8,31)</f>
        <v>3</v>
      </c>
      <c r="H2345" s="25" t="n">
        <v>40726287</v>
      </c>
      <c r="I2345" t="inlineStr">
        <is>
          <t>entidad-dia</t>
        </is>
      </c>
    </row>
    <row r="2346">
      <c r="A2346" t="inlineStr">
        <is>
          <t>PRAGMA</t>
        </is>
      </c>
      <c r="B2346" t="inlineStr">
        <is>
          <t>M1</t>
        </is>
      </c>
      <c r="C2346" t="inlineStr">
        <is>
          <t>Cali</t>
        </is>
      </c>
      <c r="D2346" t="inlineStr">
        <is>
          <t>4197</t>
        </is>
      </c>
      <c r="E2346" t="inlineStr">
        <is>
          <t>pagado</t>
        </is>
      </c>
      <c r="F2346" s="23" t="n">
        <v>46269</v>
      </c>
      <c r="G2346" s="24">
        <f>F2346-DATE(2026,8,31)</f>
        <v>4</v>
      </c>
      <c r="H2346" s="25" t="n">
        <v>45936327</v>
      </c>
      <c r="I2346" t="inlineStr">
        <is>
          <t>entidad-dia</t>
        </is>
      </c>
    </row>
    <row r="2347">
      <c r="A2347" t="inlineStr">
        <is>
          <t>PRAGMA</t>
        </is>
      </c>
      <c r="B2347" t="inlineStr">
        <is>
          <t>M1</t>
        </is>
      </c>
      <c r="C2347" t="inlineStr">
        <is>
          <t>Cali</t>
        </is>
      </c>
      <c r="D2347" t="inlineStr">
        <is>
          <t>4197</t>
        </is>
      </c>
      <c r="E2347" t="inlineStr">
        <is>
          <t>pagado</t>
        </is>
      </c>
      <c r="F2347" s="23" t="n">
        <v>46270</v>
      </c>
      <c r="G2347" s="24">
        <f>F2347-DATE(2026,8,31)</f>
        <v>5</v>
      </c>
      <c r="H2347" s="25" t="n">
        <v>14183755</v>
      </c>
      <c r="I2347" t="inlineStr">
        <is>
          <t>entidad-dia</t>
        </is>
      </c>
    </row>
    <row r="2348">
      <c r="A2348" t="inlineStr">
        <is>
          <t>PRAGMA</t>
        </is>
      </c>
      <c r="B2348" t="inlineStr">
        <is>
          <t>M1</t>
        </is>
      </c>
      <c r="C2348" t="inlineStr">
        <is>
          <t>Cali</t>
        </is>
      </c>
      <c r="D2348" t="inlineStr">
        <is>
          <t>4197</t>
        </is>
      </c>
      <c r="E2348" t="inlineStr">
        <is>
          <t>pagado</t>
        </is>
      </c>
      <c r="F2348" s="23" t="n">
        <v>46271</v>
      </c>
      <c r="G2348" s="24">
        <f>F2348-DATE(2026,8,31)</f>
        <v>6</v>
      </c>
      <c r="H2348" s="25" t="n">
        <v>3425972</v>
      </c>
      <c r="I2348" t="inlineStr">
        <is>
          <t>entidad-dia</t>
        </is>
      </c>
    </row>
    <row r="2349">
      <c r="A2349" t="inlineStr">
        <is>
          <t>PRAGMA</t>
        </is>
      </c>
      <c r="B2349" t="inlineStr">
        <is>
          <t>M1</t>
        </is>
      </c>
      <c r="C2349" t="inlineStr">
        <is>
          <t>Cali</t>
        </is>
      </c>
      <c r="D2349" t="inlineStr">
        <is>
          <t>4197</t>
        </is>
      </c>
      <c r="E2349" t="inlineStr">
        <is>
          <t>pagado</t>
        </is>
      </c>
      <c r="F2349" s="23" t="n">
        <v>46272</v>
      </c>
      <c r="G2349" s="24">
        <f>F2349-DATE(2026,8,31)</f>
        <v>7</v>
      </c>
      <c r="H2349" s="25" t="n">
        <v>27315982</v>
      </c>
      <c r="I2349" t="inlineStr">
        <is>
          <t>entidad-dia</t>
        </is>
      </c>
    </row>
    <row r="2350">
      <c r="A2350" t="inlineStr">
        <is>
          <t>PRAGMA</t>
        </is>
      </c>
      <c r="B2350" t="inlineStr">
        <is>
          <t>M1</t>
        </is>
      </c>
      <c r="C2350" t="inlineStr">
        <is>
          <t>Cali</t>
        </is>
      </c>
      <c r="D2350" t="inlineStr">
        <is>
          <t>4197</t>
        </is>
      </c>
      <c r="E2350" t="inlineStr">
        <is>
          <t>pagado</t>
        </is>
      </c>
      <c r="F2350" s="23" t="n">
        <v>46273</v>
      </c>
      <c r="G2350" s="24">
        <f>F2350-DATE(2026,8,31)</f>
        <v>8</v>
      </c>
      <c r="H2350" s="25" t="n">
        <v>27045308</v>
      </c>
      <c r="I2350" t="inlineStr">
        <is>
          <t>entidad-dia</t>
        </is>
      </c>
    </row>
    <row r="2351">
      <c r="A2351" t="inlineStr">
        <is>
          <t>PRAGMA</t>
        </is>
      </c>
      <c r="B2351" t="inlineStr">
        <is>
          <t>M1</t>
        </is>
      </c>
      <c r="C2351" t="inlineStr">
        <is>
          <t>Cali</t>
        </is>
      </c>
      <c r="D2351" t="inlineStr">
        <is>
          <t>4197</t>
        </is>
      </c>
      <c r="E2351" t="inlineStr">
        <is>
          <t>pagado</t>
        </is>
      </c>
      <c r="F2351" s="23" t="n">
        <v>46274</v>
      </c>
      <c r="G2351" s="24">
        <f>F2351-DATE(2026,8,31)</f>
        <v>9</v>
      </c>
      <c r="H2351" s="25" t="n">
        <v>24676689</v>
      </c>
      <c r="I2351" t="inlineStr">
        <is>
          <t>entidad-dia</t>
        </is>
      </c>
    </row>
    <row r="2352">
      <c r="A2352" t="inlineStr">
        <is>
          <t>PRAGMA</t>
        </is>
      </c>
      <c r="B2352" t="inlineStr">
        <is>
          <t>M1</t>
        </is>
      </c>
      <c r="C2352" t="inlineStr">
        <is>
          <t>Cali</t>
        </is>
      </c>
      <c r="D2352" t="inlineStr">
        <is>
          <t>4197</t>
        </is>
      </c>
      <c r="E2352" t="inlineStr">
        <is>
          <t>pagado</t>
        </is>
      </c>
      <c r="F2352" s="23" t="n">
        <v>46275</v>
      </c>
      <c r="G2352" s="24">
        <f>F2352-DATE(2026,8,31)</f>
        <v>10</v>
      </c>
      <c r="H2352" s="25" t="n">
        <v>30560460</v>
      </c>
      <c r="I2352" t="inlineStr">
        <is>
          <t>entidad-dia</t>
        </is>
      </c>
    </row>
    <row r="2353">
      <c r="A2353" t="inlineStr">
        <is>
          <t>PRAGMA</t>
        </is>
      </c>
      <c r="B2353" t="inlineStr">
        <is>
          <t>M1</t>
        </is>
      </c>
      <c r="C2353" t="inlineStr">
        <is>
          <t>Cali</t>
        </is>
      </c>
      <c r="D2353" t="inlineStr">
        <is>
          <t>4197</t>
        </is>
      </c>
      <c r="E2353" t="inlineStr">
        <is>
          <t>pagado</t>
        </is>
      </c>
      <c r="F2353" s="23" t="n">
        <v>46276</v>
      </c>
      <c r="G2353" s="24">
        <f>F2353-DATE(2026,8,31)</f>
        <v>11</v>
      </c>
      <c r="H2353" s="25" t="n">
        <v>33355703</v>
      </c>
      <c r="I2353" t="inlineStr">
        <is>
          <t>entidad-dia</t>
        </is>
      </c>
    </row>
    <row r="2354">
      <c r="A2354" t="inlineStr">
        <is>
          <t>PRAGMA</t>
        </is>
      </c>
      <c r="B2354" t="inlineStr">
        <is>
          <t>M1</t>
        </is>
      </c>
      <c r="C2354" t="inlineStr">
        <is>
          <t>Cali</t>
        </is>
      </c>
      <c r="D2354" t="inlineStr">
        <is>
          <t>4197</t>
        </is>
      </c>
      <c r="E2354" t="inlineStr">
        <is>
          <t>pagado</t>
        </is>
      </c>
      <c r="F2354" s="23" t="n">
        <v>46277</v>
      </c>
      <c r="G2354" s="24">
        <f>F2354-DATE(2026,8,31)</f>
        <v>12</v>
      </c>
      <c r="H2354" s="25" t="n">
        <v>10723696</v>
      </c>
      <c r="I2354" t="inlineStr">
        <is>
          <t>entidad-dia</t>
        </is>
      </c>
    </row>
    <row r="2355">
      <c r="A2355" t="inlineStr">
        <is>
          <t>PRAGMA</t>
        </is>
      </c>
      <c r="B2355" t="inlineStr">
        <is>
          <t>M1</t>
        </is>
      </c>
      <c r="C2355" t="inlineStr">
        <is>
          <t>Cali</t>
        </is>
      </c>
      <c r="D2355" t="inlineStr">
        <is>
          <t>4197</t>
        </is>
      </c>
      <c r="E2355" t="inlineStr">
        <is>
          <t>pagado</t>
        </is>
      </c>
      <c r="F2355" s="23" t="n">
        <v>46278</v>
      </c>
      <c r="G2355" s="24">
        <f>F2355-DATE(2026,8,31)</f>
        <v>13</v>
      </c>
      <c r="H2355" s="25" t="n">
        <v>2982484</v>
      </c>
      <c r="I2355" t="inlineStr">
        <is>
          <t>entidad-dia</t>
        </is>
      </c>
    </row>
    <row r="2356">
      <c r="A2356" t="inlineStr">
        <is>
          <t>PRAGMA</t>
        </is>
      </c>
      <c r="B2356" t="inlineStr">
        <is>
          <t>M1</t>
        </is>
      </c>
      <c r="C2356" t="inlineStr">
        <is>
          <t>Cali</t>
        </is>
      </c>
      <c r="D2356" t="inlineStr">
        <is>
          <t>4197</t>
        </is>
      </c>
      <c r="E2356" t="inlineStr">
        <is>
          <t>pagado</t>
        </is>
      </c>
      <c r="F2356" s="23" t="n">
        <v>46279</v>
      </c>
      <c r="G2356" s="24">
        <f>F2356-DATE(2026,8,31)</f>
        <v>14</v>
      </c>
      <c r="H2356" s="25" t="n">
        <v>32197507</v>
      </c>
      <c r="I2356" t="inlineStr">
        <is>
          <t>entidad-dia</t>
        </is>
      </c>
    </row>
    <row r="2357">
      <c r="A2357" t="inlineStr">
        <is>
          <t>PRAGMA</t>
        </is>
      </c>
      <c r="B2357" t="inlineStr">
        <is>
          <t>M1</t>
        </is>
      </c>
      <c r="C2357" t="inlineStr">
        <is>
          <t>Cali</t>
        </is>
      </c>
      <c r="D2357" t="inlineStr">
        <is>
          <t>4197</t>
        </is>
      </c>
      <c r="E2357" t="inlineStr">
        <is>
          <t>pagado</t>
        </is>
      </c>
      <c r="F2357" s="23" t="n">
        <v>46280</v>
      </c>
      <c r="G2357" s="24">
        <f>F2357-DATE(2026,8,31)</f>
        <v>15</v>
      </c>
      <c r="H2357" s="25" t="n">
        <v>53837094</v>
      </c>
      <c r="I2357" t="inlineStr">
        <is>
          <t>entidad-dia</t>
        </is>
      </c>
    </row>
    <row r="2358">
      <c r="A2358" t="inlineStr">
        <is>
          <t>PRAGMA</t>
        </is>
      </c>
      <c r="B2358" t="inlineStr">
        <is>
          <t>M1</t>
        </is>
      </c>
      <c r="C2358" t="inlineStr">
        <is>
          <t>Cali</t>
        </is>
      </c>
      <c r="D2358" t="inlineStr">
        <is>
          <t>4257</t>
        </is>
      </c>
      <c r="E2358" t="inlineStr">
        <is>
          <t>pagado</t>
        </is>
      </c>
      <c r="F2358" s="23" t="n">
        <v>46266</v>
      </c>
      <c r="G2358" s="24">
        <f>F2358-DATE(2026,8,31)</f>
        <v>1</v>
      </c>
      <c r="H2358" s="25" t="n">
        <v>27041997</v>
      </c>
      <c r="I2358" t="inlineStr">
        <is>
          <t>entidad-dia</t>
        </is>
      </c>
    </row>
    <row r="2359">
      <c r="A2359" t="inlineStr">
        <is>
          <t>PRAGMA</t>
        </is>
      </c>
      <c r="B2359" t="inlineStr">
        <is>
          <t>M1</t>
        </is>
      </c>
      <c r="C2359" t="inlineStr">
        <is>
          <t>Cali</t>
        </is>
      </c>
      <c r="D2359" t="inlineStr">
        <is>
          <t>4257</t>
        </is>
      </c>
      <c r="E2359" t="inlineStr">
        <is>
          <t>pagado</t>
        </is>
      </c>
      <c r="F2359" s="23" t="n">
        <v>46267</v>
      </c>
      <c r="G2359" s="24">
        <f>F2359-DATE(2026,8,31)</f>
        <v>2</v>
      </c>
      <c r="H2359" s="25" t="n">
        <v>18462370</v>
      </c>
      <c r="I2359" t="inlineStr">
        <is>
          <t>entidad-dia</t>
        </is>
      </c>
    </row>
    <row r="2360">
      <c r="A2360" t="inlineStr">
        <is>
          <t>PRAGMA</t>
        </is>
      </c>
      <c r="B2360" t="inlineStr">
        <is>
          <t>M1</t>
        </is>
      </c>
      <c r="C2360" t="inlineStr">
        <is>
          <t>Cali</t>
        </is>
      </c>
      <c r="D2360" t="inlineStr">
        <is>
          <t>4257</t>
        </is>
      </c>
      <c r="E2360" t="inlineStr">
        <is>
          <t>pagado</t>
        </is>
      </c>
      <c r="F2360" s="23" t="n">
        <v>46268</v>
      </c>
      <c r="G2360" s="24">
        <f>F2360-DATE(2026,8,31)</f>
        <v>3</v>
      </c>
      <c r="H2360" s="25" t="n">
        <v>16441457</v>
      </c>
      <c r="I2360" t="inlineStr">
        <is>
          <t>entidad-dia</t>
        </is>
      </c>
    </row>
    <row r="2361">
      <c r="A2361" t="inlineStr">
        <is>
          <t>PRAGMA</t>
        </is>
      </c>
      <c r="B2361" t="inlineStr">
        <is>
          <t>M1</t>
        </is>
      </c>
      <c r="C2361" t="inlineStr">
        <is>
          <t>Cali</t>
        </is>
      </c>
      <c r="D2361" t="inlineStr">
        <is>
          <t>4257</t>
        </is>
      </c>
      <c r="E2361" t="inlineStr">
        <is>
          <t>pagado</t>
        </is>
      </c>
      <c r="F2361" s="23" t="n">
        <v>46269</v>
      </c>
      <c r="G2361" s="24">
        <f>F2361-DATE(2026,8,31)</f>
        <v>4</v>
      </c>
      <c r="H2361" s="25" t="n">
        <v>20807477</v>
      </c>
      <c r="I2361" t="inlineStr">
        <is>
          <t>entidad-dia</t>
        </is>
      </c>
    </row>
    <row r="2362">
      <c r="A2362" t="inlineStr">
        <is>
          <t>PRAGMA</t>
        </is>
      </c>
      <c r="B2362" t="inlineStr">
        <is>
          <t>M1</t>
        </is>
      </c>
      <c r="C2362" t="inlineStr">
        <is>
          <t>Cali</t>
        </is>
      </c>
      <c r="D2362" t="inlineStr">
        <is>
          <t>4257</t>
        </is>
      </c>
      <c r="E2362" t="inlineStr">
        <is>
          <t>pagado</t>
        </is>
      </c>
      <c r="F2362" s="23" t="n">
        <v>46270</v>
      </c>
      <c r="G2362" s="24">
        <f>F2362-DATE(2026,8,31)</f>
        <v>5</v>
      </c>
      <c r="H2362" s="25" t="n">
        <v>9989213</v>
      </c>
      <c r="I2362" t="inlineStr">
        <is>
          <t>entidad-dia</t>
        </is>
      </c>
    </row>
    <row r="2363">
      <c r="A2363" t="inlineStr">
        <is>
          <t>PRAGMA</t>
        </is>
      </c>
      <c r="B2363" t="inlineStr">
        <is>
          <t>M1</t>
        </is>
      </c>
      <c r="C2363" t="inlineStr">
        <is>
          <t>Cali</t>
        </is>
      </c>
      <c r="D2363" t="inlineStr">
        <is>
          <t>4257</t>
        </is>
      </c>
      <c r="E2363" t="inlineStr">
        <is>
          <t>pagado</t>
        </is>
      </c>
      <c r="F2363" s="23" t="n">
        <v>46271</v>
      </c>
      <c r="G2363" s="24">
        <f>F2363-DATE(2026,8,31)</f>
        <v>6</v>
      </c>
      <c r="H2363" s="25" t="n">
        <v>8315108</v>
      </c>
      <c r="I2363" t="inlineStr">
        <is>
          <t>entidad-dia</t>
        </is>
      </c>
    </row>
    <row r="2364">
      <c r="A2364" t="inlineStr">
        <is>
          <t>PRAGMA</t>
        </is>
      </c>
      <c r="B2364" t="inlineStr">
        <is>
          <t>M1</t>
        </is>
      </c>
      <c r="C2364" t="inlineStr">
        <is>
          <t>Cali</t>
        </is>
      </c>
      <c r="D2364" t="inlineStr">
        <is>
          <t>4257</t>
        </is>
      </c>
      <c r="E2364" t="inlineStr">
        <is>
          <t>pagado</t>
        </is>
      </c>
      <c r="F2364" s="23" t="n">
        <v>46272</v>
      </c>
      <c r="G2364" s="24">
        <f>F2364-DATE(2026,8,31)</f>
        <v>7</v>
      </c>
      <c r="H2364" s="25" t="n">
        <v>10989655</v>
      </c>
      <c r="I2364" t="inlineStr">
        <is>
          <t>entidad-dia</t>
        </is>
      </c>
    </row>
    <row r="2365">
      <c r="A2365" t="inlineStr">
        <is>
          <t>PRAGMA</t>
        </is>
      </c>
      <c r="B2365" t="inlineStr">
        <is>
          <t>M1</t>
        </is>
      </c>
      <c r="C2365" t="inlineStr">
        <is>
          <t>Cali</t>
        </is>
      </c>
      <c r="D2365" t="inlineStr">
        <is>
          <t>4257</t>
        </is>
      </c>
      <c r="E2365" t="inlineStr">
        <is>
          <t>pagado</t>
        </is>
      </c>
      <c r="F2365" s="23" t="n">
        <v>46273</v>
      </c>
      <c r="G2365" s="24">
        <f>F2365-DATE(2026,8,31)</f>
        <v>8</v>
      </c>
      <c r="H2365" s="25" t="n">
        <v>11127351</v>
      </c>
      <c r="I2365" t="inlineStr">
        <is>
          <t>entidad-dia</t>
        </is>
      </c>
    </row>
    <row r="2366">
      <c r="A2366" t="inlineStr">
        <is>
          <t>PRAGMA</t>
        </is>
      </c>
      <c r="B2366" t="inlineStr">
        <is>
          <t>M1</t>
        </is>
      </c>
      <c r="C2366" t="inlineStr">
        <is>
          <t>Cali</t>
        </is>
      </c>
      <c r="D2366" t="inlineStr">
        <is>
          <t>4257</t>
        </is>
      </c>
      <c r="E2366" t="inlineStr">
        <is>
          <t>pagado</t>
        </is>
      </c>
      <c r="F2366" s="23" t="n">
        <v>46274</v>
      </c>
      <c r="G2366" s="24">
        <f>F2366-DATE(2026,8,31)</f>
        <v>9</v>
      </c>
      <c r="H2366" s="25" t="n">
        <v>9865112</v>
      </c>
      <c r="I2366" t="inlineStr">
        <is>
          <t>entidad-dia</t>
        </is>
      </c>
    </row>
    <row r="2367">
      <c r="A2367" t="inlineStr">
        <is>
          <t>PRAGMA</t>
        </is>
      </c>
      <c r="B2367" t="inlineStr">
        <is>
          <t>M1</t>
        </is>
      </c>
      <c r="C2367" t="inlineStr">
        <is>
          <t>Cali</t>
        </is>
      </c>
      <c r="D2367" t="inlineStr">
        <is>
          <t>4257</t>
        </is>
      </c>
      <c r="E2367" t="inlineStr">
        <is>
          <t>pagado</t>
        </is>
      </c>
      <c r="F2367" s="23" t="n">
        <v>46275</v>
      </c>
      <c r="G2367" s="24">
        <f>F2367-DATE(2026,8,31)</f>
        <v>10</v>
      </c>
      <c r="H2367" s="25" t="n">
        <v>10427822</v>
      </c>
      <c r="I2367" t="inlineStr">
        <is>
          <t>entidad-dia</t>
        </is>
      </c>
    </row>
    <row r="2368">
      <c r="A2368" t="inlineStr">
        <is>
          <t>PRAGMA</t>
        </is>
      </c>
      <c r="B2368" t="inlineStr">
        <is>
          <t>M1</t>
        </is>
      </c>
      <c r="C2368" t="inlineStr">
        <is>
          <t>Cali</t>
        </is>
      </c>
      <c r="D2368" t="inlineStr">
        <is>
          <t>4257</t>
        </is>
      </c>
      <c r="E2368" t="inlineStr">
        <is>
          <t>pagado</t>
        </is>
      </c>
      <c r="F2368" s="23" t="n">
        <v>46276</v>
      </c>
      <c r="G2368" s="24">
        <f>F2368-DATE(2026,8,31)</f>
        <v>11</v>
      </c>
      <c r="H2368" s="25" t="n">
        <v>12075189</v>
      </c>
      <c r="I2368" t="inlineStr">
        <is>
          <t>entidad-dia</t>
        </is>
      </c>
    </row>
    <row r="2369">
      <c r="A2369" t="inlineStr">
        <is>
          <t>PRAGMA</t>
        </is>
      </c>
      <c r="B2369" t="inlineStr">
        <is>
          <t>M1</t>
        </is>
      </c>
      <c r="C2369" t="inlineStr">
        <is>
          <t>Cali</t>
        </is>
      </c>
      <c r="D2369" t="inlineStr">
        <is>
          <t>4257</t>
        </is>
      </c>
      <c r="E2369" t="inlineStr">
        <is>
          <t>pagado</t>
        </is>
      </c>
      <c r="F2369" s="23" t="n">
        <v>46277</v>
      </c>
      <c r="G2369" s="24">
        <f>F2369-DATE(2026,8,31)</f>
        <v>12</v>
      </c>
      <c r="H2369" s="25" t="n">
        <v>8314094</v>
      </c>
      <c r="I2369" t="inlineStr">
        <is>
          <t>entidad-dia</t>
        </is>
      </c>
    </row>
    <row r="2370">
      <c r="A2370" t="inlineStr">
        <is>
          <t>PRAGMA</t>
        </is>
      </c>
      <c r="B2370" t="inlineStr">
        <is>
          <t>M1</t>
        </is>
      </c>
      <c r="C2370" t="inlineStr">
        <is>
          <t>Cali</t>
        </is>
      </c>
      <c r="D2370" t="inlineStr">
        <is>
          <t>4257</t>
        </is>
      </c>
      <c r="E2370" t="inlineStr">
        <is>
          <t>pagado</t>
        </is>
      </c>
      <c r="F2370" s="23" t="n">
        <v>46278</v>
      </c>
      <c r="G2370" s="24">
        <f>F2370-DATE(2026,8,31)</f>
        <v>13</v>
      </c>
      <c r="H2370" s="25" t="n">
        <v>6901890</v>
      </c>
      <c r="I2370" t="inlineStr">
        <is>
          <t>entidad-dia</t>
        </is>
      </c>
    </row>
    <row r="2371">
      <c r="A2371" t="inlineStr">
        <is>
          <t>PRAGMA</t>
        </is>
      </c>
      <c r="B2371" t="inlineStr">
        <is>
          <t>M1</t>
        </is>
      </c>
      <c r="C2371" t="inlineStr">
        <is>
          <t>Cali</t>
        </is>
      </c>
      <c r="D2371" t="inlineStr">
        <is>
          <t>4257</t>
        </is>
      </c>
      <c r="E2371" t="inlineStr">
        <is>
          <t>pagado</t>
        </is>
      </c>
      <c r="F2371" s="23" t="n">
        <v>46279</v>
      </c>
      <c r="G2371" s="24">
        <f>F2371-DATE(2026,8,31)</f>
        <v>14</v>
      </c>
      <c r="H2371" s="25" t="n">
        <v>14459491</v>
      </c>
      <c r="I2371" t="inlineStr">
        <is>
          <t>entidad-dia</t>
        </is>
      </c>
    </row>
    <row r="2372">
      <c r="A2372" t="inlineStr">
        <is>
          <t>PRAGMA</t>
        </is>
      </c>
      <c r="B2372" t="inlineStr">
        <is>
          <t>M1</t>
        </is>
      </c>
      <c r="C2372" t="inlineStr">
        <is>
          <t>Cali</t>
        </is>
      </c>
      <c r="D2372" t="inlineStr">
        <is>
          <t>4257</t>
        </is>
      </c>
      <c r="E2372" t="inlineStr">
        <is>
          <t>pagado</t>
        </is>
      </c>
      <c r="F2372" s="23" t="n">
        <v>46280</v>
      </c>
      <c r="G2372" s="24">
        <f>F2372-DATE(2026,8,31)</f>
        <v>15</v>
      </c>
      <c r="H2372" s="25" t="n">
        <v>23573307</v>
      </c>
      <c r="I2372" t="inlineStr">
        <is>
          <t>entidad-dia</t>
        </is>
      </c>
    </row>
    <row r="2373">
      <c r="A2373" t="inlineStr">
        <is>
          <t>PRAGMA</t>
        </is>
      </c>
      <c r="B2373" t="inlineStr">
        <is>
          <t>M1</t>
        </is>
      </c>
      <c r="C2373" t="inlineStr">
        <is>
          <t>Cali</t>
        </is>
      </c>
      <c r="D2373" t="inlineStr">
        <is>
          <t>4260</t>
        </is>
      </c>
      <c r="E2373" t="inlineStr">
        <is>
          <t>pagado</t>
        </is>
      </c>
      <c r="F2373" s="23" t="n">
        <v>46266</v>
      </c>
      <c r="G2373" s="24">
        <f>F2373-DATE(2026,8,31)</f>
        <v>1</v>
      </c>
      <c r="H2373" s="25" t="n">
        <v>41652992</v>
      </c>
      <c r="I2373" t="inlineStr">
        <is>
          <t>entidad-dia</t>
        </is>
      </c>
    </row>
    <row r="2374">
      <c r="A2374" t="inlineStr">
        <is>
          <t>PRAGMA</t>
        </is>
      </c>
      <c r="B2374" t="inlineStr">
        <is>
          <t>M1</t>
        </is>
      </c>
      <c r="C2374" t="inlineStr">
        <is>
          <t>Cali</t>
        </is>
      </c>
      <c r="D2374" t="inlineStr">
        <is>
          <t>4260</t>
        </is>
      </c>
      <c r="E2374" t="inlineStr">
        <is>
          <t>pagado</t>
        </is>
      </c>
      <c r="F2374" s="23" t="n">
        <v>46267</v>
      </c>
      <c r="G2374" s="24">
        <f>F2374-DATE(2026,8,31)</f>
        <v>2</v>
      </c>
      <c r="H2374" s="25" t="n">
        <v>32822848</v>
      </c>
      <c r="I2374" t="inlineStr">
        <is>
          <t>entidad-dia</t>
        </is>
      </c>
    </row>
    <row r="2375">
      <c r="A2375" t="inlineStr">
        <is>
          <t>PRAGMA</t>
        </is>
      </c>
      <c r="B2375" t="inlineStr">
        <is>
          <t>M1</t>
        </is>
      </c>
      <c r="C2375" t="inlineStr">
        <is>
          <t>Cali</t>
        </is>
      </c>
      <c r="D2375" t="inlineStr">
        <is>
          <t>4260</t>
        </is>
      </c>
      <c r="E2375" t="inlineStr">
        <is>
          <t>pagado</t>
        </is>
      </c>
      <c r="F2375" s="23" t="n">
        <v>46268</v>
      </c>
      <c r="G2375" s="24">
        <f>F2375-DATE(2026,8,31)</f>
        <v>3</v>
      </c>
      <c r="H2375" s="25" t="n">
        <v>30493294</v>
      </c>
      <c r="I2375" t="inlineStr">
        <is>
          <t>entidad-dia</t>
        </is>
      </c>
    </row>
    <row r="2376">
      <c r="A2376" t="inlineStr">
        <is>
          <t>PRAGMA</t>
        </is>
      </c>
      <c r="B2376" t="inlineStr">
        <is>
          <t>M1</t>
        </is>
      </c>
      <c r="C2376" t="inlineStr">
        <is>
          <t>Cali</t>
        </is>
      </c>
      <c r="D2376" t="inlineStr">
        <is>
          <t>4260</t>
        </is>
      </c>
      <c r="E2376" t="inlineStr">
        <is>
          <t>pagado</t>
        </is>
      </c>
      <c r="F2376" s="23" t="n">
        <v>46269</v>
      </c>
      <c r="G2376" s="24">
        <f>F2376-DATE(2026,8,31)</f>
        <v>4</v>
      </c>
      <c r="H2376" s="25" t="n">
        <v>33923709</v>
      </c>
      <c r="I2376" t="inlineStr">
        <is>
          <t>entidad-dia</t>
        </is>
      </c>
    </row>
    <row r="2377">
      <c r="A2377" t="inlineStr">
        <is>
          <t>PRAGMA</t>
        </is>
      </c>
      <c r="B2377" t="inlineStr">
        <is>
          <t>M1</t>
        </is>
      </c>
      <c r="C2377" t="inlineStr">
        <is>
          <t>Cali</t>
        </is>
      </c>
      <c r="D2377" t="inlineStr">
        <is>
          <t>4260</t>
        </is>
      </c>
      <c r="E2377" t="inlineStr">
        <is>
          <t>pagado</t>
        </is>
      </c>
      <c r="F2377" s="23" t="n">
        <v>46270</v>
      </c>
      <c r="G2377" s="24">
        <f>F2377-DATE(2026,8,31)</f>
        <v>5</v>
      </c>
      <c r="H2377" s="25" t="n">
        <v>35861704</v>
      </c>
      <c r="I2377" t="inlineStr">
        <is>
          <t>entidad-dia</t>
        </is>
      </c>
    </row>
    <row r="2378">
      <c r="A2378" t="inlineStr">
        <is>
          <t>PRAGMA</t>
        </is>
      </c>
      <c r="B2378" t="inlineStr">
        <is>
          <t>M1</t>
        </is>
      </c>
      <c r="C2378" t="inlineStr">
        <is>
          <t>Cali</t>
        </is>
      </c>
      <c r="D2378" t="inlineStr">
        <is>
          <t>4260</t>
        </is>
      </c>
      <c r="E2378" t="inlineStr">
        <is>
          <t>pagado</t>
        </is>
      </c>
      <c r="F2378" s="23" t="n">
        <v>46271</v>
      </c>
      <c r="G2378" s="24">
        <f>F2378-DATE(2026,8,31)</f>
        <v>6</v>
      </c>
      <c r="H2378" s="25" t="n">
        <v>6677091</v>
      </c>
      <c r="I2378" t="inlineStr">
        <is>
          <t>entidad-dia</t>
        </is>
      </c>
    </row>
    <row r="2379">
      <c r="A2379" t="inlineStr">
        <is>
          <t>PRAGMA</t>
        </is>
      </c>
      <c r="B2379" t="inlineStr">
        <is>
          <t>M1</t>
        </is>
      </c>
      <c r="C2379" t="inlineStr">
        <is>
          <t>Cali</t>
        </is>
      </c>
      <c r="D2379" t="inlineStr">
        <is>
          <t>4260</t>
        </is>
      </c>
      <c r="E2379" t="inlineStr">
        <is>
          <t>pagado</t>
        </is>
      </c>
      <c r="F2379" s="23" t="n">
        <v>46272</v>
      </c>
      <c r="G2379" s="24">
        <f>F2379-DATE(2026,8,31)</f>
        <v>7</v>
      </c>
      <c r="H2379" s="25" t="n">
        <v>21179937</v>
      </c>
      <c r="I2379" t="inlineStr">
        <is>
          <t>entidad-dia</t>
        </is>
      </c>
    </row>
    <row r="2380">
      <c r="A2380" t="inlineStr">
        <is>
          <t>PRAGMA</t>
        </is>
      </c>
      <c r="B2380" t="inlineStr">
        <is>
          <t>M1</t>
        </is>
      </c>
      <c r="C2380" t="inlineStr">
        <is>
          <t>Cali</t>
        </is>
      </c>
      <c r="D2380" t="inlineStr">
        <is>
          <t>4260</t>
        </is>
      </c>
      <c r="E2380" t="inlineStr">
        <is>
          <t>pagado</t>
        </is>
      </c>
      <c r="F2380" s="23" t="n">
        <v>46273</v>
      </c>
      <c r="G2380" s="24">
        <f>F2380-DATE(2026,8,31)</f>
        <v>8</v>
      </c>
      <c r="H2380" s="25" t="n">
        <v>19692381</v>
      </c>
      <c r="I2380" t="inlineStr">
        <is>
          <t>entidad-dia</t>
        </is>
      </c>
    </row>
    <row r="2381">
      <c r="A2381" t="inlineStr">
        <is>
          <t>PRAGMA</t>
        </is>
      </c>
      <c r="B2381" t="inlineStr">
        <is>
          <t>M1</t>
        </is>
      </c>
      <c r="C2381" t="inlineStr">
        <is>
          <t>Cali</t>
        </is>
      </c>
      <c r="D2381" t="inlineStr">
        <is>
          <t>4260</t>
        </is>
      </c>
      <c r="E2381" t="inlineStr">
        <is>
          <t>pagado</t>
        </is>
      </c>
      <c r="F2381" s="23" t="n">
        <v>46274</v>
      </c>
      <c r="G2381" s="24">
        <f>F2381-DATE(2026,8,31)</f>
        <v>9</v>
      </c>
      <c r="H2381" s="25" t="n">
        <v>21614773</v>
      </c>
      <c r="I2381" t="inlineStr">
        <is>
          <t>entidad-dia</t>
        </is>
      </c>
    </row>
    <row r="2382">
      <c r="A2382" t="inlineStr">
        <is>
          <t>PRAGMA</t>
        </is>
      </c>
      <c r="B2382" t="inlineStr">
        <is>
          <t>M1</t>
        </is>
      </c>
      <c r="C2382" t="inlineStr">
        <is>
          <t>Cali</t>
        </is>
      </c>
      <c r="D2382" t="inlineStr">
        <is>
          <t>4260</t>
        </is>
      </c>
      <c r="E2382" t="inlineStr">
        <is>
          <t>pagado</t>
        </is>
      </c>
      <c r="F2382" s="23" t="n">
        <v>46275</v>
      </c>
      <c r="G2382" s="24">
        <f>F2382-DATE(2026,8,31)</f>
        <v>10</v>
      </c>
      <c r="H2382" s="25" t="n">
        <v>19839018</v>
      </c>
      <c r="I2382" t="inlineStr">
        <is>
          <t>entidad-dia</t>
        </is>
      </c>
    </row>
    <row r="2383">
      <c r="A2383" t="inlineStr">
        <is>
          <t>PRAGMA</t>
        </is>
      </c>
      <c r="B2383" t="inlineStr">
        <is>
          <t>M1</t>
        </is>
      </c>
      <c r="C2383" t="inlineStr">
        <is>
          <t>Cali</t>
        </is>
      </c>
      <c r="D2383" t="inlineStr">
        <is>
          <t>4260</t>
        </is>
      </c>
      <c r="E2383" t="inlineStr">
        <is>
          <t>pagado</t>
        </is>
      </c>
      <c r="F2383" s="23" t="n">
        <v>46276</v>
      </c>
      <c r="G2383" s="24">
        <f>F2383-DATE(2026,8,31)</f>
        <v>11</v>
      </c>
      <c r="H2383" s="25" t="n">
        <v>19898268</v>
      </c>
      <c r="I2383" t="inlineStr">
        <is>
          <t>entidad-dia</t>
        </is>
      </c>
    </row>
    <row r="2384">
      <c r="A2384" t="inlineStr">
        <is>
          <t>PRAGMA</t>
        </is>
      </c>
      <c r="B2384" t="inlineStr">
        <is>
          <t>M1</t>
        </is>
      </c>
      <c r="C2384" t="inlineStr">
        <is>
          <t>Cali</t>
        </is>
      </c>
      <c r="D2384" t="inlineStr">
        <is>
          <t>4260</t>
        </is>
      </c>
      <c r="E2384" t="inlineStr">
        <is>
          <t>pagado</t>
        </is>
      </c>
      <c r="F2384" s="23" t="n">
        <v>46277</v>
      </c>
      <c r="G2384" s="24">
        <f>F2384-DATE(2026,8,31)</f>
        <v>12</v>
      </c>
      <c r="H2384" s="25" t="n">
        <v>20134012</v>
      </c>
      <c r="I2384" t="inlineStr">
        <is>
          <t>entidad-dia</t>
        </is>
      </c>
    </row>
    <row r="2385">
      <c r="A2385" t="inlineStr">
        <is>
          <t>PRAGMA</t>
        </is>
      </c>
      <c r="B2385" t="inlineStr">
        <is>
          <t>M1</t>
        </is>
      </c>
      <c r="C2385" t="inlineStr">
        <is>
          <t>Cali</t>
        </is>
      </c>
      <c r="D2385" t="inlineStr">
        <is>
          <t>4260</t>
        </is>
      </c>
      <c r="E2385" t="inlineStr">
        <is>
          <t>pagado</t>
        </is>
      </c>
      <c r="F2385" s="23" t="n">
        <v>46278</v>
      </c>
      <c r="G2385" s="24">
        <f>F2385-DATE(2026,8,31)</f>
        <v>13</v>
      </c>
      <c r="H2385" s="25" t="n">
        <v>3718104</v>
      </c>
      <c r="I2385" t="inlineStr">
        <is>
          <t>entidad-dia</t>
        </is>
      </c>
    </row>
    <row r="2386">
      <c r="A2386" t="inlineStr">
        <is>
          <t>PRAGMA</t>
        </is>
      </c>
      <c r="B2386" t="inlineStr">
        <is>
          <t>M1</t>
        </is>
      </c>
      <c r="C2386" t="inlineStr">
        <is>
          <t>Cali</t>
        </is>
      </c>
      <c r="D2386" t="inlineStr">
        <is>
          <t>4260</t>
        </is>
      </c>
      <c r="E2386" t="inlineStr">
        <is>
          <t>pagado</t>
        </is>
      </c>
      <c r="F2386" s="23" t="n">
        <v>46279</v>
      </c>
      <c r="G2386" s="24">
        <f>F2386-DATE(2026,8,31)</f>
        <v>14</v>
      </c>
      <c r="H2386" s="25" t="n">
        <v>18621906</v>
      </c>
      <c r="I2386" t="inlineStr">
        <is>
          <t>entidad-dia</t>
        </is>
      </c>
    </row>
    <row r="2387">
      <c r="A2387" t="inlineStr">
        <is>
          <t>PRAGMA</t>
        </is>
      </c>
      <c r="B2387" t="inlineStr">
        <is>
          <t>M1</t>
        </is>
      </c>
      <c r="C2387" t="inlineStr">
        <is>
          <t>Cali</t>
        </is>
      </c>
      <c r="D2387" t="inlineStr">
        <is>
          <t>4260</t>
        </is>
      </c>
      <c r="E2387" t="inlineStr">
        <is>
          <t>pagado</t>
        </is>
      </c>
      <c r="F2387" s="23" t="n">
        <v>46280</v>
      </c>
      <c r="G2387" s="24">
        <f>F2387-DATE(2026,8,31)</f>
        <v>15</v>
      </c>
      <c r="H2387" s="25" t="n">
        <v>34062751</v>
      </c>
      <c r="I2387" t="inlineStr">
        <is>
          <t>entidad-dia</t>
        </is>
      </c>
    </row>
    <row r="2388">
      <c r="A2388" t="inlineStr">
        <is>
          <t>PRAGMA</t>
        </is>
      </c>
      <c r="B2388" t="inlineStr">
        <is>
          <t>M1</t>
        </is>
      </c>
      <c r="C2388" t="inlineStr">
        <is>
          <t>Cali</t>
        </is>
      </c>
      <c r="D2388" t="inlineStr">
        <is>
          <t>4264</t>
        </is>
      </c>
      <c r="E2388" t="inlineStr">
        <is>
          <t>pagado</t>
        </is>
      </c>
      <c r="F2388" s="23" t="n">
        <v>46266</v>
      </c>
      <c r="G2388" s="24">
        <f>F2388-DATE(2026,8,31)</f>
        <v>1</v>
      </c>
      <c r="H2388" s="25" t="n">
        <v>172011986</v>
      </c>
      <c r="I2388" t="inlineStr">
        <is>
          <t>entidad-dia</t>
        </is>
      </c>
    </row>
    <row r="2389">
      <c r="A2389" t="inlineStr">
        <is>
          <t>PRAGMA</t>
        </is>
      </c>
      <c r="B2389" t="inlineStr">
        <is>
          <t>M1</t>
        </is>
      </c>
      <c r="C2389" t="inlineStr">
        <is>
          <t>Cali</t>
        </is>
      </c>
      <c r="D2389" t="inlineStr">
        <is>
          <t>4264</t>
        </is>
      </c>
      <c r="E2389" t="inlineStr">
        <is>
          <t>pagado</t>
        </is>
      </c>
      <c r="F2389" s="23" t="n">
        <v>46267</v>
      </c>
      <c r="G2389" s="24">
        <f>F2389-DATE(2026,8,31)</f>
        <v>2</v>
      </c>
      <c r="H2389" s="25" t="n">
        <v>141094522</v>
      </c>
      <c r="I2389" t="inlineStr">
        <is>
          <t>entidad-dia</t>
        </is>
      </c>
    </row>
    <row r="2390">
      <c r="A2390" t="inlineStr">
        <is>
          <t>PRAGMA</t>
        </is>
      </c>
      <c r="B2390" t="inlineStr">
        <is>
          <t>M1</t>
        </is>
      </c>
      <c r="C2390" t="inlineStr">
        <is>
          <t>Cali</t>
        </is>
      </c>
      <c r="D2390" t="inlineStr">
        <is>
          <t>4264</t>
        </is>
      </c>
      <c r="E2390" t="inlineStr">
        <is>
          <t>pagado</t>
        </is>
      </c>
      <c r="F2390" s="23" t="n">
        <v>46268</v>
      </c>
      <c r="G2390" s="24">
        <f>F2390-DATE(2026,8,31)</f>
        <v>3</v>
      </c>
      <c r="H2390" s="25" t="n">
        <v>120981683</v>
      </c>
      <c r="I2390" t="inlineStr">
        <is>
          <t>entidad-dia</t>
        </is>
      </c>
    </row>
    <row r="2391">
      <c r="A2391" t="inlineStr">
        <is>
          <t>PRAGMA</t>
        </is>
      </c>
      <c r="B2391" t="inlineStr">
        <is>
          <t>M1</t>
        </is>
      </c>
      <c r="C2391" t="inlineStr">
        <is>
          <t>Cali</t>
        </is>
      </c>
      <c r="D2391" t="inlineStr">
        <is>
          <t>4264</t>
        </is>
      </c>
      <c r="E2391" t="inlineStr">
        <is>
          <t>pagado</t>
        </is>
      </c>
      <c r="F2391" s="23" t="n">
        <v>46269</v>
      </c>
      <c r="G2391" s="24">
        <f>F2391-DATE(2026,8,31)</f>
        <v>4</v>
      </c>
      <c r="H2391" s="25" t="n">
        <v>115205780</v>
      </c>
      <c r="I2391" t="inlineStr">
        <is>
          <t>entidad-dia</t>
        </is>
      </c>
    </row>
    <row r="2392">
      <c r="A2392" t="inlineStr">
        <is>
          <t>PRAGMA</t>
        </is>
      </c>
      <c r="B2392" t="inlineStr">
        <is>
          <t>M1</t>
        </is>
      </c>
      <c r="C2392" t="inlineStr">
        <is>
          <t>Cali</t>
        </is>
      </c>
      <c r="D2392" t="inlineStr">
        <is>
          <t>4264</t>
        </is>
      </c>
      <c r="E2392" t="inlineStr">
        <is>
          <t>pagado</t>
        </is>
      </c>
      <c r="F2392" s="23" t="n">
        <v>46270</v>
      </c>
      <c r="G2392" s="24">
        <f>F2392-DATE(2026,8,31)</f>
        <v>5</v>
      </c>
      <c r="H2392" s="25" t="n">
        <v>138363619</v>
      </c>
      <c r="I2392" t="inlineStr">
        <is>
          <t>entidad-dia</t>
        </is>
      </c>
    </row>
    <row r="2393">
      <c r="A2393" t="inlineStr">
        <is>
          <t>PRAGMA</t>
        </is>
      </c>
      <c r="B2393" t="inlineStr">
        <is>
          <t>M1</t>
        </is>
      </c>
      <c r="C2393" t="inlineStr">
        <is>
          <t>Cali</t>
        </is>
      </c>
      <c r="D2393" t="inlineStr">
        <is>
          <t>4264</t>
        </is>
      </c>
      <c r="E2393" t="inlineStr">
        <is>
          <t>pagado</t>
        </is>
      </c>
      <c r="F2393" s="23" t="n">
        <v>46271</v>
      </c>
      <c r="G2393" s="24">
        <f>F2393-DATE(2026,8,31)</f>
        <v>6</v>
      </c>
      <c r="H2393" s="25" t="n">
        <v>109481475</v>
      </c>
      <c r="I2393" t="inlineStr">
        <is>
          <t>entidad-dia</t>
        </is>
      </c>
    </row>
    <row r="2394">
      <c r="A2394" t="inlineStr">
        <is>
          <t>PRAGMA</t>
        </is>
      </c>
      <c r="B2394" t="inlineStr">
        <is>
          <t>M1</t>
        </is>
      </c>
      <c r="C2394" t="inlineStr">
        <is>
          <t>Cali</t>
        </is>
      </c>
      <c r="D2394" t="inlineStr">
        <is>
          <t>4264</t>
        </is>
      </c>
      <c r="E2394" t="inlineStr">
        <is>
          <t>pagado</t>
        </is>
      </c>
      <c r="F2394" s="23" t="n">
        <v>46272</v>
      </c>
      <c r="G2394" s="24">
        <f>F2394-DATE(2026,8,31)</f>
        <v>7</v>
      </c>
      <c r="H2394" s="25" t="n">
        <v>107975073</v>
      </c>
      <c r="I2394" t="inlineStr">
        <is>
          <t>entidad-dia</t>
        </is>
      </c>
    </row>
    <row r="2395">
      <c r="A2395" t="inlineStr">
        <is>
          <t>PRAGMA</t>
        </is>
      </c>
      <c r="B2395" t="inlineStr">
        <is>
          <t>M1</t>
        </is>
      </c>
      <c r="C2395" t="inlineStr">
        <is>
          <t>Cali</t>
        </is>
      </c>
      <c r="D2395" t="inlineStr">
        <is>
          <t>4264</t>
        </is>
      </c>
      <c r="E2395" t="inlineStr">
        <is>
          <t>pagado</t>
        </is>
      </c>
      <c r="F2395" s="23" t="n">
        <v>46273</v>
      </c>
      <c r="G2395" s="24">
        <f>F2395-DATE(2026,8,31)</f>
        <v>8</v>
      </c>
      <c r="H2395" s="25" t="n">
        <v>98171796</v>
      </c>
      <c r="I2395" t="inlineStr">
        <is>
          <t>entidad-dia</t>
        </is>
      </c>
    </row>
    <row r="2396">
      <c r="A2396" t="inlineStr">
        <is>
          <t>PRAGMA</t>
        </is>
      </c>
      <c r="B2396" t="inlineStr">
        <is>
          <t>M1</t>
        </is>
      </c>
      <c r="C2396" t="inlineStr">
        <is>
          <t>Cali</t>
        </is>
      </c>
      <c r="D2396" t="inlineStr">
        <is>
          <t>4264</t>
        </is>
      </c>
      <c r="E2396" t="inlineStr">
        <is>
          <t>pagado</t>
        </is>
      </c>
      <c r="F2396" s="23" t="n">
        <v>46274</v>
      </c>
      <c r="G2396" s="24">
        <f>F2396-DATE(2026,8,31)</f>
        <v>9</v>
      </c>
      <c r="H2396" s="25" t="n">
        <v>92990301</v>
      </c>
      <c r="I2396" t="inlineStr">
        <is>
          <t>entidad-dia</t>
        </is>
      </c>
    </row>
    <row r="2397">
      <c r="A2397" t="inlineStr">
        <is>
          <t>PRAGMA</t>
        </is>
      </c>
      <c r="B2397" t="inlineStr">
        <is>
          <t>M1</t>
        </is>
      </c>
      <c r="C2397" t="inlineStr">
        <is>
          <t>Cali</t>
        </is>
      </c>
      <c r="D2397" t="inlineStr">
        <is>
          <t>4264</t>
        </is>
      </c>
      <c r="E2397" t="inlineStr">
        <is>
          <t>pagado</t>
        </is>
      </c>
      <c r="F2397" s="23" t="n">
        <v>46275</v>
      </c>
      <c r="G2397" s="24">
        <f>F2397-DATE(2026,8,31)</f>
        <v>10</v>
      </c>
      <c r="H2397" s="25" t="n">
        <v>90815080</v>
      </c>
      <c r="I2397" t="inlineStr">
        <is>
          <t>entidad-dia</t>
        </is>
      </c>
    </row>
    <row r="2398">
      <c r="A2398" t="inlineStr">
        <is>
          <t>PRAGMA</t>
        </is>
      </c>
      <c r="B2398" t="inlineStr">
        <is>
          <t>M1</t>
        </is>
      </c>
      <c r="C2398" t="inlineStr">
        <is>
          <t>Cali</t>
        </is>
      </c>
      <c r="D2398" t="inlineStr">
        <is>
          <t>4264</t>
        </is>
      </c>
      <c r="E2398" t="inlineStr">
        <is>
          <t>pagado</t>
        </is>
      </c>
      <c r="F2398" s="23" t="n">
        <v>46276</v>
      </c>
      <c r="G2398" s="24">
        <f>F2398-DATE(2026,8,31)</f>
        <v>11</v>
      </c>
      <c r="H2398" s="25" t="n">
        <v>91136361</v>
      </c>
      <c r="I2398" t="inlineStr">
        <is>
          <t>entidad-dia</t>
        </is>
      </c>
    </row>
    <row r="2399">
      <c r="A2399" t="inlineStr">
        <is>
          <t>PRAGMA</t>
        </is>
      </c>
      <c r="B2399" t="inlineStr">
        <is>
          <t>M1</t>
        </is>
      </c>
      <c r="C2399" t="inlineStr">
        <is>
          <t>Cali</t>
        </is>
      </c>
      <c r="D2399" t="inlineStr">
        <is>
          <t>4264</t>
        </is>
      </c>
      <c r="E2399" t="inlineStr">
        <is>
          <t>pagado</t>
        </is>
      </c>
      <c r="F2399" s="23" t="n">
        <v>46277</v>
      </c>
      <c r="G2399" s="24">
        <f>F2399-DATE(2026,8,31)</f>
        <v>12</v>
      </c>
      <c r="H2399" s="25" t="n">
        <v>105082896</v>
      </c>
      <c r="I2399" t="inlineStr">
        <is>
          <t>entidad-dia</t>
        </is>
      </c>
    </row>
    <row r="2400">
      <c r="A2400" t="inlineStr">
        <is>
          <t>PRAGMA</t>
        </is>
      </c>
      <c r="B2400" t="inlineStr">
        <is>
          <t>M1</t>
        </is>
      </c>
      <c r="C2400" t="inlineStr">
        <is>
          <t>Cali</t>
        </is>
      </c>
      <c r="D2400" t="inlineStr">
        <is>
          <t>4264</t>
        </is>
      </c>
      <c r="E2400" t="inlineStr">
        <is>
          <t>pagado</t>
        </is>
      </c>
      <c r="F2400" s="23" t="n">
        <v>46278</v>
      </c>
      <c r="G2400" s="24">
        <f>F2400-DATE(2026,8,31)</f>
        <v>13</v>
      </c>
      <c r="H2400" s="25" t="n">
        <v>80193418</v>
      </c>
      <c r="I2400" t="inlineStr">
        <is>
          <t>entidad-dia</t>
        </is>
      </c>
    </row>
    <row r="2401">
      <c r="A2401" t="inlineStr">
        <is>
          <t>PRAGMA</t>
        </is>
      </c>
      <c r="B2401" t="inlineStr">
        <is>
          <t>M1</t>
        </is>
      </c>
      <c r="C2401" t="inlineStr">
        <is>
          <t>Cali</t>
        </is>
      </c>
      <c r="D2401" t="inlineStr">
        <is>
          <t>4264</t>
        </is>
      </c>
      <c r="E2401" t="inlineStr">
        <is>
          <t>pagado</t>
        </is>
      </c>
      <c r="F2401" s="23" t="n">
        <v>46279</v>
      </c>
      <c r="G2401" s="24">
        <f>F2401-DATE(2026,8,31)</f>
        <v>14</v>
      </c>
      <c r="H2401" s="25" t="n">
        <v>101414210</v>
      </c>
      <c r="I2401" t="inlineStr">
        <is>
          <t>entidad-dia</t>
        </is>
      </c>
    </row>
    <row r="2402">
      <c r="A2402" t="inlineStr">
        <is>
          <t>PRAGMA</t>
        </is>
      </c>
      <c r="B2402" t="inlineStr">
        <is>
          <t>M1</t>
        </is>
      </c>
      <c r="C2402" t="inlineStr">
        <is>
          <t>Cali</t>
        </is>
      </c>
      <c r="D2402" t="inlineStr">
        <is>
          <t>4264</t>
        </is>
      </c>
      <c r="E2402" t="inlineStr">
        <is>
          <t>pagado</t>
        </is>
      </c>
      <c r="F2402" s="23" t="n">
        <v>46280</v>
      </c>
      <c r="G2402" s="24">
        <f>F2402-DATE(2026,8,31)</f>
        <v>15</v>
      </c>
      <c r="H2402" s="25" t="n">
        <v>134819627</v>
      </c>
      <c r="I2402" t="inlineStr">
        <is>
          <t>entidad-dia</t>
        </is>
      </c>
    </row>
    <row r="2403">
      <c r="A2403" t="inlineStr">
        <is>
          <t>PRAGMA</t>
        </is>
      </c>
      <c r="B2403" t="inlineStr">
        <is>
          <t>M1</t>
        </is>
      </c>
      <c r="C2403" t="inlineStr">
        <is>
          <t>Cali</t>
        </is>
      </c>
      <c r="D2403" t="inlineStr">
        <is>
          <t>4270</t>
        </is>
      </c>
      <c r="E2403" t="inlineStr">
        <is>
          <t>pagado</t>
        </is>
      </c>
      <c r="F2403" s="23" t="n">
        <v>46266</v>
      </c>
      <c r="G2403" s="24">
        <f>F2403-DATE(2026,8,31)</f>
        <v>1</v>
      </c>
      <c r="H2403" s="25" t="n">
        <v>178316220</v>
      </c>
      <c r="I2403" t="inlineStr">
        <is>
          <t>entidad-dia</t>
        </is>
      </c>
    </row>
    <row r="2404">
      <c r="A2404" t="inlineStr">
        <is>
          <t>PRAGMA</t>
        </is>
      </c>
      <c r="B2404" t="inlineStr">
        <is>
          <t>M1</t>
        </is>
      </c>
      <c r="C2404" t="inlineStr">
        <is>
          <t>Cali</t>
        </is>
      </c>
      <c r="D2404" t="inlineStr">
        <is>
          <t>4270</t>
        </is>
      </c>
      <c r="E2404" t="inlineStr">
        <is>
          <t>pagado</t>
        </is>
      </c>
      <c r="F2404" s="23" t="n">
        <v>46267</v>
      </c>
      <c r="G2404" s="24">
        <f>F2404-DATE(2026,8,31)</f>
        <v>2</v>
      </c>
      <c r="H2404" s="25" t="n">
        <v>135430155</v>
      </c>
      <c r="I2404" t="inlineStr">
        <is>
          <t>entidad-dia</t>
        </is>
      </c>
    </row>
    <row r="2405">
      <c r="A2405" t="inlineStr">
        <is>
          <t>PRAGMA</t>
        </is>
      </c>
      <c r="B2405" t="inlineStr">
        <is>
          <t>M1</t>
        </is>
      </c>
      <c r="C2405" t="inlineStr">
        <is>
          <t>Cali</t>
        </is>
      </c>
      <c r="D2405" t="inlineStr">
        <is>
          <t>4270</t>
        </is>
      </c>
      <c r="E2405" t="inlineStr">
        <is>
          <t>pagado</t>
        </is>
      </c>
      <c r="F2405" s="23" t="n">
        <v>46268</v>
      </c>
      <c r="G2405" s="24">
        <f>F2405-DATE(2026,8,31)</f>
        <v>3</v>
      </c>
      <c r="H2405" s="25" t="n">
        <v>112199565</v>
      </c>
      <c r="I2405" t="inlineStr">
        <is>
          <t>entidad-dia</t>
        </is>
      </c>
    </row>
    <row r="2406">
      <c r="A2406" t="inlineStr">
        <is>
          <t>PRAGMA</t>
        </is>
      </c>
      <c r="B2406" t="inlineStr">
        <is>
          <t>M1</t>
        </is>
      </c>
      <c r="C2406" t="inlineStr">
        <is>
          <t>Cali</t>
        </is>
      </c>
      <c r="D2406" t="inlineStr">
        <is>
          <t>4270</t>
        </is>
      </c>
      <c r="E2406" t="inlineStr">
        <is>
          <t>pagado</t>
        </is>
      </c>
      <c r="F2406" s="23" t="n">
        <v>46269</v>
      </c>
      <c r="G2406" s="24">
        <f>F2406-DATE(2026,8,31)</f>
        <v>4</v>
      </c>
      <c r="H2406" s="25" t="n">
        <v>127588288</v>
      </c>
      <c r="I2406" t="inlineStr">
        <is>
          <t>entidad-dia</t>
        </is>
      </c>
    </row>
    <row r="2407">
      <c r="A2407" t="inlineStr">
        <is>
          <t>PRAGMA</t>
        </is>
      </c>
      <c r="B2407" t="inlineStr">
        <is>
          <t>M1</t>
        </is>
      </c>
      <c r="C2407" t="inlineStr">
        <is>
          <t>Cali</t>
        </is>
      </c>
      <c r="D2407" t="inlineStr">
        <is>
          <t>4270</t>
        </is>
      </c>
      <c r="E2407" t="inlineStr">
        <is>
          <t>pagado</t>
        </is>
      </c>
      <c r="F2407" s="23" t="n">
        <v>46270</v>
      </c>
      <c r="G2407" s="24">
        <f>F2407-DATE(2026,8,31)</f>
        <v>5</v>
      </c>
      <c r="H2407" s="25" t="n">
        <v>132587602</v>
      </c>
      <c r="I2407" t="inlineStr">
        <is>
          <t>entidad-dia</t>
        </is>
      </c>
    </row>
    <row r="2408">
      <c r="A2408" t="inlineStr">
        <is>
          <t>PRAGMA</t>
        </is>
      </c>
      <c r="B2408" t="inlineStr">
        <is>
          <t>M1</t>
        </is>
      </c>
      <c r="C2408" t="inlineStr">
        <is>
          <t>Cali</t>
        </is>
      </c>
      <c r="D2408" t="inlineStr">
        <is>
          <t>4270</t>
        </is>
      </c>
      <c r="E2408" t="inlineStr">
        <is>
          <t>pagado</t>
        </is>
      </c>
      <c r="F2408" s="23" t="n">
        <v>46271</v>
      </c>
      <c r="G2408" s="24">
        <f>F2408-DATE(2026,8,31)</f>
        <v>6</v>
      </c>
      <c r="H2408" s="25" t="n">
        <v>106405855</v>
      </c>
      <c r="I2408" t="inlineStr">
        <is>
          <t>entidad-dia</t>
        </is>
      </c>
    </row>
    <row r="2409">
      <c r="A2409" t="inlineStr">
        <is>
          <t>PRAGMA</t>
        </is>
      </c>
      <c r="B2409" t="inlineStr">
        <is>
          <t>M1</t>
        </is>
      </c>
      <c r="C2409" t="inlineStr">
        <is>
          <t>Cali</t>
        </is>
      </c>
      <c r="D2409" t="inlineStr">
        <is>
          <t>4270</t>
        </is>
      </c>
      <c r="E2409" t="inlineStr">
        <is>
          <t>pagado</t>
        </is>
      </c>
      <c r="F2409" s="23" t="n">
        <v>46272</v>
      </c>
      <c r="G2409" s="24">
        <f>F2409-DATE(2026,8,31)</f>
        <v>7</v>
      </c>
      <c r="H2409" s="25" t="n">
        <v>109361531</v>
      </c>
      <c r="I2409" t="inlineStr">
        <is>
          <t>entidad-dia</t>
        </is>
      </c>
    </row>
    <row r="2410">
      <c r="A2410" t="inlineStr">
        <is>
          <t>PRAGMA</t>
        </is>
      </c>
      <c r="B2410" t="inlineStr">
        <is>
          <t>M1</t>
        </is>
      </c>
      <c r="C2410" t="inlineStr">
        <is>
          <t>Cali</t>
        </is>
      </c>
      <c r="D2410" t="inlineStr">
        <is>
          <t>4270</t>
        </is>
      </c>
      <c r="E2410" t="inlineStr">
        <is>
          <t>pagado</t>
        </is>
      </c>
      <c r="F2410" s="23" t="n">
        <v>46273</v>
      </c>
      <c r="G2410" s="24">
        <f>F2410-DATE(2026,8,31)</f>
        <v>8</v>
      </c>
      <c r="H2410" s="25" t="n">
        <v>96856131</v>
      </c>
      <c r="I2410" t="inlineStr">
        <is>
          <t>entidad-dia</t>
        </is>
      </c>
    </row>
    <row r="2411">
      <c r="A2411" t="inlineStr">
        <is>
          <t>PRAGMA</t>
        </is>
      </c>
      <c r="B2411" t="inlineStr">
        <is>
          <t>M1</t>
        </is>
      </c>
      <c r="C2411" t="inlineStr">
        <is>
          <t>Cali</t>
        </is>
      </c>
      <c r="D2411" t="inlineStr">
        <is>
          <t>4270</t>
        </is>
      </c>
      <c r="E2411" t="inlineStr">
        <is>
          <t>pagado</t>
        </is>
      </c>
      <c r="F2411" s="23" t="n">
        <v>46274</v>
      </c>
      <c r="G2411" s="24">
        <f>F2411-DATE(2026,8,31)</f>
        <v>9</v>
      </c>
      <c r="H2411" s="25" t="n">
        <v>82510377</v>
      </c>
      <c r="I2411" t="inlineStr">
        <is>
          <t>entidad-dia</t>
        </is>
      </c>
    </row>
    <row r="2412">
      <c r="A2412" t="inlineStr">
        <is>
          <t>PRAGMA</t>
        </is>
      </c>
      <c r="B2412" t="inlineStr">
        <is>
          <t>M1</t>
        </is>
      </c>
      <c r="C2412" t="inlineStr">
        <is>
          <t>Cali</t>
        </is>
      </c>
      <c r="D2412" t="inlineStr">
        <is>
          <t>4270</t>
        </is>
      </c>
      <c r="E2412" t="inlineStr">
        <is>
          <t>pagado</t>
        </is>
      </c>
      <c r="F2412" s="23" t="n">
        <v>46275</v>
      </c>
      <c r="G2412" s="24">
        <f>F2412-DATE(2026,8,31)</f>
        <v>10</v>
      </c>
      <c r="H2412" s="25" t="n">
        <v>74435022</v>
      </c>
      <c r="I2412" t="inlineStr">
        <is>
          <t>entidad-dia</t>
        </is>
      </c>
    </row>
    <row r="2413">
      <c r="A2413" t="inlineStr">
        <is>
          <t>PRAGMA</t>
        </is>
      </c>
      <c r="B2413" t="inlineStr">
        <is>
          <t>M1</t>
        </is>
      </c>
      <c r="C2413" t="inlineStr">
        <is>
          <t>Cali</t>
        </is>
      </c>
      <c r="D2413" t="inlineStr">
        <is>
          <t>4270</t>
        </is>
      </c>
      <c r="E2413" t="inlineStr">
        <is>
          <t>pagado</t>
        </is>
      </c>
      <c r="F2413" s="23" t="n">
        <v>46276</v>
      </c>
      <c r="G2413" s="24">
        <f>F2413-DATE(2026,8,31)</f>
        <v>11</v>
      </c>
      <c r="H2413" s="25" t="n">
        <v>97213972</v>
      </c>
      <c r="I2413" t="inlineStr">
        <is>
          <t>entidad-dia</t>
        </is>
      </c>
    </row>
    <row r="2414">
      <c r="A2414" t="inlineStr">
        <is>
          <t>PRAGMA</t>
        </is>
      </c>
      <c r="B2414" t="inlineStr">
        <is>
          <t>M1</t>
        </is>
      </c>
      <c r="C2414" t="inlineStr">
        <is>
          <t>Cali</t>
        </is>
      </c>
      <c r="D2414" t="inlineStr">
        <is>
          <t>4270</t>
        </is>
      </c>
      <c r="E2414" t="inlineStr">
        <is>
          <t>pagado</t>
        </is>
      </c>
      <c r="F2414" s="23" t="n">
        <v>46277</v>
      </c>
      <c r="G2414" s="24">
        <f>F2414-DATE(2026,8,31)</f>
        <v>12</v>
      </c>
      <c r="H2414" s="25" t="n">
        <v>95947598</v>
      </c>
      <c r="I2414" t="inlineStr">
        <is>
          <t>entidad-dia</t>
        </is>
      </c>
    </row>
    <row r="2415">
      <c r="A2415" t="inlineStr">
        <is>
          <t>PRAGMA</t>
        </is>
      </c>
      <c r="B2415" t="inlineStr">
        <is>
          <t>M1</t>
        </is>
      </c>
      <c r="C2415" t="inlineStr">
        <is>
          <t>Cali</t>
        </is>
      </c>
      <c r="D2415" t="inlineStr">
        <is>
          <t>4270</t>
        </is>
      </c>
      <c r="E2415" t="inlineStr">
        <is>
          <t>pagado</t>
        </is>
      </c>
      <c r="F2415" s="23" t="n">
        <v>46278</v>
      </c>
      <c r="G2415" s="24">
        <f>F2415-DATE(2026,8,31)</f>
        <v>13</v>
      </c>
      <c r="H2415" s="25" t="n">
        <v>95181573</v>
      </c>
      <c r="I2415" t="inlineStr">
        <is>
          <t>entidad-dia</t>
        </is>
      </c>
    </row>
    <row r="2416">
      <c r="A2416" t="inlineStr">
        <is>
          <t>PRAGMA</t>
        </is>
      </c>
      <c r="B2416" t="inlineStr">
        <is>
          <t>M1</t>
        </is>
      </c>
      <c r="C2416" t="inlineStr">
        <is>
          <t>Cali</t>
        </is>
      </c>
      <c r="D2416" t="inlineStr">
        <is>
          <t>4270</t>
        </is>
      </c>
      <c r="E2416" t="inlineStr">
        <is>
          <t>pagado</t>
        </is>
      </c>
      <c r="F2416" s="23" t="n">
        <v>46279</v>
      </c>
      <c r="G2416" s="24">
        <f>F2416-DATE(2026,8,31)</f>
        <v>14</v>
      </c>
      <c r="H2416" s="25" t="n">
        <v>100929871</v>
      </c>
      <c r="I2416" t="inlineStr">
        <is>
          <t>entidad-dia</t>
        </is>
      </c>
    </row>
    <row r="2417">
      <c r="A2417" t="inlineStr">
        <is>
          <t>PRAGMA</t>
        </is>
      </c>
      <c r="B2417" t="inlineStr">
        <is>
          <t>M1</t>
        </is>
      </c>
      <c r="C2417" t="inlineStr">
        <is>
          <t>Cali</t>
        </is>
      </c>
      <c r="D2417" t="inlineStr">
        <is>
          <t>4270</t>
        </is>
      </c>
      <c r="E2417" t="inlineStr">
        <is>
          <t>pagado</t>
        </is>
      </c>
      <c r="F2417" s="23" t="n">
        <v>46280</v>
      </c>
      <c r="G2417" s="24">
        <f>F2417-DATE(2026,8,31)</f>
        <v>15</v>
      </c>
      <c r="H2417" s="25" t="n">
        <v>162395682</v>
      </c>
      <c r="I2417" t="inlineStr">
        <is>
          <t>entidad-dia</t>
        </is>
      </c>
    </row>
    <row r="2418">
      <c r="A2418" t="inlineStr">
        <is>
          <t>PRAGMA</t>
        </is>
      </c>
      <c r="B2418" t="inlineStr">
        <is>
          <t>M1</t>
        </is>
      </c>
      <c r="C2418" t="inlineStr">
        <is>
          <t>Cali</t>
        </is>
      </c>
      <c r="D2418" t="inlineStr">
        <is>
          <t>4271</t>
        </is>
      </c>
      <c r="E2418" t="inlineStr">
        <is>
          <t>pagado</t>
        </is>
      </c>
      <c r="F2418" s="23" t="n">
        <v>46266</v>
      </c>
      <c r="G2418" s="24">
        <f>F2418-DATE(2026,8,31)</f>
        <v>1</v>
      </c>
      <c r="H2418" s="25" t="n">
        <v>199640246</v>
      </c>
      <c r="I2418" t="inlineStr">
        <is>
          <t>entidad-dia</t>
        </is>
      </c>
    </row>
    <row r="2419">
      <c r="A2419" t="inlineStr">
        <is>
          <t>PRAGMA</t>
        </is>
      </c>
      <c r="B2419" t="inlineStr">
        <is>
          <t>M1</t>
        </is>
      </c>
      <c r="C2419" t="inlineStr">
        <is>
          <t>Cali</t>
        </is>
      </c>
      <c r="D2419" t="inlineStr">
        <is>
          <t>4271</t>
        </is>
      </c>
      <c r="E2419" t="inlineStr">
        <is>
          <t>pagado</t>
        </is>
      </c>
      <c r="F2419" s="23" t="n">
        <v>46267</v>
      </c>
      <c r="G2419" s="24">
        <f>F2419-DATE(2026,8,31)</f>
        <v>2</v>
      </c>
      <c r="H2419" s="25" t="n">
        <v>166032585</v>
      </c>
      <c r="I2419" t="inlineStr">
        <is>
          <t>entidad-dia</t>
        </is>
      </c>
    </row>
    <row r="2420">
      <c r="A2420" t="inlineStr">
        <is>
          <t>PRAGMA</t>
        </is>
      </c>
      <c r="B2420" t="inlineStr">
        <is>
          <t>M1</t>
        </is>
      </c>
      <c r="C2420" t="inlineStr">
        <is>
          <t>Cali</t>
        </is>
      </c>
      <c r="D2420" t="inlineStr">
        <is>
          <t>4271</t>
        </is>
      </c>
      <c r="E2420" t="inlineStr">
        <is>
          <t>pagado</t>
        </is>
      </c>
      <c r="F2420" s="23" t="n">
        <v>46268</v>
      </c>
      <c r="G2420" s="24">
        <f>F2420-DATE(2026,8,31)</f>
        <v>3</v>
      </c>
      <c r="H2420" s="25" t="n">
        <v>152886978</v>
      </c>
      <c r="I2420" t="inlineStr">
        <is>
          <t>entidad-dia</t>
        </is>
      </c>
    </row>
    <row r="2421">
      <c r="A2421" t="inlineStr">
        <is>
          <t>PRAGMA</t>
        </is>
      </c>
      <c r="B2421" t="inlineStr">
        <is>
          <t>M1</t>
        </is>
      </c>
      <c r="C2421" t="inlineStr">
        <is>
          <t>Cali</t>
        </is>
      </c>
      <c r="D2421" t="inlineStr">
        <is>
          <t>4271</t>
        </is>
      </c>
      <c r="E2421" t="inlineStr">
        <is>
          <t>pagado</t>
        </is>
      </c>
      <c r="F2421" s="23" t="n">
        <v>46269</v>
      </c>
      <c r="G2421" s="24">
        <f>F2421-DATE(2026,8,31)</f>
        <v>4</v>
      </c>
      <c r="H2421" s="25" t="n">
        <v>156299666</v>
      </c>
      <c r="I2421" t="inlineStr">
        <is>
          <t>entidad-dia</t>
        </is>
      </c>
    </row>
    <row r="2422">
      <c r="A2422" t="inlineStr">
        <is>
          <t>PRAGMA</t>
        </is>
      </c>
      <c r="B2422" t="inlineStr">
        <is>
          <t>M1</t>
        </is>
      </c>
      <c r="C2422" t="inlineStr">
        <is>
          <t>Cali</t>
        </is>
      </c>
      <c r="D2422" t="inlineStr">
        <is>
          <t>4271</t>
        </is>
      </c>
      <c r="E2422" t="inlineStr">
        <is>
          <t>pagado</t>
        </is>
      </c>
      <c r="F2422" s="23" t="n">
        <v>46270</v>
      </c>
      <c r="G2422" s="24">
        <f>F2422-DATE(2026,8,31)</f>
        <v>5</v>
      </c>
      <c r="H2422" s="25" t="n">
        <v>166457859</v>
      </c>
      <c r="I2422" t="inlineStr">
        <is>
          <t>entidad-dia</t>
        </is>
      </c>
    </row>
    <row r="2423">
      <c r="A2423" t="inlineStr">
        <is>
          <t>PRAGMA</t>
        </is>
      </c>
      <c r="B2423" t="inlineStr">
        <is>
          <t>M1</t>
        </is>
      </c>
      <c r="C2423" t="inlineStr">
        <is>
          <t>Cali</t>
        </is>
      </c>
      <c r="D2423" t="inlineStr">
        <is>
          <t>4271</t>
        </is>
      </c>
      <c r="E2423" t="inlineStr">
        <is>
          <t>pagado</t>
        </is>
      </c>
      <c r="F2423" s="23" t="n">
        <v>46271</v>
      </c>
      <c r="G2423" s="24">
        <f>F2423-DATE(2026,8,31)</f>
        <v>6</v>
      </c>
      <c r="H2423" s="25" t="n">
        <v>135628837</v>
      </c>
      <c r="I2423" t="inlineStr">
        <is>
          <t>entidad-dia</t>
        </is>
      </c>
    </row>
    <row r="2424">
      <c r="A2424" t="inlineStr">
        <is>
          <t>PRAGMA</t>
        </is>
      </c>
      <c r="B2424" t="inlineStr">
        <is>
          <t>M1</t>
        </is>
      </c>
      <c r="C2424" t="inlineStr">
        <is>
          <t>Cali</t>
        </is>
      </c>
      <c r="D2424" t="inlineStr">
        <is>
          <t>4271</t>
        </is>
      </c>
      <c r="E2424" t="inlineStr">
        <is>
          <t>pagado</t>
        </is>
      </c>
      <c r="F2424" s="23" t="n">
        <v>46272</v>
      </c>
      <c r="G2424" s="24">
        <f>F2424-DATE(2026,8,31)</f>
        <v>7</v>
      </c>
      <c r="H2424" s="25" t="n">
        <v>118519761</v>
      </c>
      <c r="I2424" t="inlineStr">
        <is>
          <t>entidad-dia</t>
        </is>
      </c>
    </row>
    <row r="2425">
      <c r="A2425" t="inlineStr">
        <is>
          <t>PRAGMA</t>
        </is>
      </c>
      <c r="B2425" t="inlineStr">
        <is>
          <t>M1</t>
        </is>
      </c>
      <c r="C2425" t="inlineStr">
        <is>
          <t>Cali</t>
        </is>
      </c>
      <c r="D2425" t="inlineStr">
        <is>
          <t>4271</t>
        </is>
      </c>
      <c r="E2425" t="inlineStr">
        <is>
          <t>pagado</t>
        </is>
      </c>
      <c r="F2425" s="23" t="n">
        <v>46273</v>
      </c>
      <c r="G2425" s="24">
        <f>F2425-DATE(2026,8,31)</f>
        <v>8</v>
      </c>
      <c r="H2425" s="25" t="n">
        <v>105588772</v>
      </c>
      <c r="I2425" t="inlineStr">
        <is>
          <t>entidad-dia</t>
        </is>
      </c>
    </row>
    <row r="2426">
      <c r="A2426" t="inlineStr">
        <is>
          <t>PRAGMA</t>
        </is>
      </c>
      <c r="B2426" t="inlineStr">
        <is>
          <t>M1</t>
        </is>
      </c>
      <c r="C2426" t="inlineStr">
        <is>
          <t>Cali</t>
        </is>
      </c>
      <c r="D2426" t="inlineStr">
        <is>
          <t>4271</t>
        </is>
      </c>
      <c r="E2426" t="inlineStr">
        <is>
          <t>pagado</t>
        </is>
      </c>
      <c r="F2426" s="23" t="n">
        <v>46274</v>
      </c>
      <c r="G2426" s="24">
        <f>F2426-DATE(2026,8,31)</f>
        <v>9</v>
      </c>
      <c r="H2426" s="25" t="n">
        <v>107276087</v>
      </c>
      <c r="I2426" t="inlineStr">
        <is>
          <t>entidad-dia</t>
        </is>
      </c>
    </row>
    <row r="2427">
      <c r="A2427" t="inlineStr">
        <is>
          <t>PRAGMA</t>
        </is>
      </c>
      <c r="B2427" t="inlineStr">
        <is>
          <t>M1</t>
        </is>
      </c>
      <c r="C2427" t="inlineStr">
        <is>
          <t>Cali</t>
        </is>
      </c>
      <c r="D2427" t="inlineStr">
        <is>
          <t>4271</t>
        </is>
      </c>
      <c r="E2427" t="inlineStr">
        <is>
          <t>pagado</t>
        </is>
      </c>
      <c r="F2427" s="23" t="n">
        <v>46275</v>
      </c>
      <c r="G2427" s="24">
        <f>F2427-DATE(2026,8,31)</f>
        <v>10</v>
      </c>
      <c r="H2427" s="25" t="n">
        <v>116492858</v>
      </c>
      <c r="I2427" t="inlineStr">
        <is>
          <t>entidad-dia</t>
        </is>
      </c>
    </row>
    <row r="2428">
      <c r="A2428" t="inlineStr">
        <is>
          <t>PRAGMA</t>
        </is>
      </c>
      <c r="B2428" t="inlineStr">
        <is>
          <t>M1</t>
        </is>
      </c>
      <c r="C2428" t="inlineStr">
        <is>
          <t>Cali</t>
        </is>
      </c>
      <c r="D2428" t="inlineStr">
        <is>
          <t>4271</t>
        </is>
      </c>
      <c r="E2428" t="inlineStr">
        <is>
          <t>pagado</t>
        </is>
      </c>
      <c r="F2428" s="23" t="n">
        <v>46276</v>
      </c>
      <c r="G2428" s="24">
        <f>F2428-DATE(2026,8,31)</f>
        <v>11</v>
      </c>
      <c r="H2428" s="25" t="n">
        <v>117725938</v>
      </c>
      <c r="I2428" t="inlineStr">
        <is>
          <t>entidad-dia</t>
        </is>
      </c>
    </row>
    <row r="2429">
      <c r="A2429" t="inlineStr">
        <is>
          <t>PRAGMA</t>
        </is>
      </c>
      <c r="B2429" t="inlineStr">
        <is>
          <t>M1</t>
        </is>
      </c>
      <c r="C2429" t="inlineStr">
        <is>
          <t>Cali</t>
        </is>
      </c>
      <c r="D2429" t="inlineStr">
        <is>
          <t>4271</t>
        </is>
      </c>
      <c r="E2429" t="inlineStr">
        <is>
          <t>pagado</t>
        </is>
      </c>
      <c r="F2429" s="23" t="n">
        <v>46277</v>
      </c>
      <c r="G2429" s="24">
        <f>F2429-DATE(2026,8,31)</f>
        <v>12</v>
      </c>
      <c r="H2429" s="25" t="n">
        <v>122416374</v>
      </c>
      <c r="I2429" t="inlineStr">
        <is>
          <t>entidad-dia</t>
        </is>
      </c>
    </row>
    <row r="2430">
      <c r="A2430" t="inlineStr">
        <is>
          <t>PRAGMA</t>
        </is>
      </c>
      <c r="B2430" t="inlineStr">
        <is>
          <t>M1</t>
        </is>
      </c>
      <c r="C2430" t="inlineStr">
        <is>
          <t>Cali</t>
        </is>
      </c>
      <c r="D2430" t="inlineStr">
        <is>
          <t>4271</t>
        </is>
      </c>
      <c r="E2430" t="inlineStr">
        <is>
          <t>pagado</t>
        </is>
      </c>
      <c r="F2430" s="23" t="n">
        <v>46278</v>
      </c>
      <c r="G2430" s="24">
        <f>F2430-DATE(2026,8,31)</f>
        <v>13</v>
      </c>
      <c r="H2430" s="25" t="n">
        <v>101005957</v>
      </c>
      <c r="I2430" t="inlineStr">
        <is>
          <t>entidad-dia</t>
        </is>
      </c>
    </row>
    <row r="2431">
      <c r="A2431" t="inlineStr">
        <is>
          <t>PRAGMA</t>
        </is>
      </c>
      <c r="B2431" t="inlineStr">
        <is>
          <t>M1</t>
        </is>
      </c>
      <c r="C2431" t="inlineStr">
        <is>
          <t>Cali</t>
        </is>
      </c>
      <c r="D2431" t="inlineStr">
        <is>
          <t>4271</t>
        </is>
      </c>
      <c r="E2431" t="inlineStr">
        <is>
          <t>pagado</t>
        </is>
      </c>
      <c r="F2431" s="23" t="n">
        <v>46279</v>
      </c>
      <c r="G2431" s="24">
        <f>F2431-DATE(2026,8,31)</f>
        <v>14</v>
      </c>
      <c r="H2431" s="25" t="n">
        <v>114041409</v>
      </c>
      <c r="I2431" t="inlineStr">
        <is>
          <t>entidad-dia</t>
        </is>
      </c>
    </row>
    <row r="2432">
      <c r="A2432" t="inlineStr">
        <is>
          <t>PRAGMA</t>
        </is>
      </c>
      <c r="B2432" t="inlineStr">
        <is>
          <t>M1</t>
        </is>
      </c>
      <c r="C2432" t="inlineStr">
        <is>
          <t>Cali</t>
        </is>
      </c>
      <c r="D2432" t="inlineStr">
        <is>
          <t>4271</t>
        </is>
      </c>
      <c r="E2432" t="inlineStr">
        <is>
          <t>pagado</t>
        </is>
      </c>
      <c r="F2432" s="23" t="n">
        <v>46280</v>
      </c>
      <c r="G2432" s="24">
        <f>F2432-DATE(2026,8,31)</f>
        <v>15</v>
      </c>
      <c r="H2432" s="25" t="n">
        <v>152048673</v>
      </c>
      <c r="I2432" t="inlineStr">
        <is>
          <t>entidad-dia</t>
        </is>
      </c>
    </row>
    <row r="2433">
      <c r="A2433" t="inlineStr">
        <is>
          <t>PRAGMA</t>
        </is>
      </c>
      <c r="B2433" t="inlineStr">
        <is>
          <t>M1</t>
        </is>
      </c>
      <c r="C2433" t="inlineStr">
        <is>
          <t>Cali</t>
        </is>
      </c>
      <c r="D2433" t="inlineStr">
        <is>
          <t>4272</t>
        </is>
      </c>
      <c r="E2433" t="inlineStr">
        <is>
          <t>pagado</t>
        </is>
      </c>
      <c r="F2433" s="23" t="n">
        <v>46266</v>
      </c>
      <c r="G2433" s="24">
        <f>F2433-DATE(2026,8,31)</f>
        <v>1</v>
      </c>
      <c r="H2433" s="25" t="n">
        <v>197870190</v>
      </c>
      <c r="I2433" t="inlineStr">
        <is>
          <t>entidad-dia</t>
        </is>
      </c>
    </row>
    <row r="2434">
      <c r="A2434" t="inlineStr">
        <is>
          <t>PRAGMA</t>
        </is>
      </c>
      <c r="B2434" t="inlineStr">
        <is>
          <t>M1</t>
        </is>
      </c>
      <c r="C2434" t="inlineStr">
        <is>
          <t>Cali</t>
        </is>
      </c>
      <c r="D2434" t="inlineStr">
        <is>
          <t>4272</t>
        </is>
      </c>
      <c r="E2434" t="inlineStr">
        <is>
          <t>pagado</t>
        </is>
      </c>
      <c r="F2434" s="23" t="n">
        <v>46267</v>
      </c>
      <c r="G2434" s="24">
        <f>F2434-DATE(2026,8,31)</f>
        <v>2</v>
      </c>
      <c r="H2434" s="25" t="n">
        <v>148258405</v>
      </c>
      <c r="I2434" t="inlineStr">
        <is>
          <t>entidad-dia</t>
        </is>
      </c>
    </row>
    <row r="2435">
      <c r="A2435" t="inlineStr">
        <is>
          <t>PRAGMA</t>
        </is>
      </c>
      <c r="B2435" t="inlineStr">
        <is>
          <t>M1</t>
        </is>
      </c>
      <c r="C2435" t="inlineStr">
        <is>
          <t>Cali</t>
        </is>
      </c>
      <c r="D2435" t="inlineStr">
        <is>
          <t>4272</t>
        </is>
      </c>
      <c r="E2435" t="inlineStr">
        <is>
          <t>pagado</t>
        </is>
      </c>
      <c r="F2435" s="23" t="n">
        <v>46268</v>
      </c>
      <c r="G2435" s="24">
        <f>F2435-DATE(2026,8,31)</f>
        <v>3</v>
      </c>
      <c r="H2435" s="25" t="n">
        <v>136867920</v>
      </c>
      <c r="I2435" t="inlineStr">
        <is>
          <t>entidad-dia</t>
        </is>
      </c>
    </row>
    <row r="2436">
      <c r="A2436" t="inlineStr">
        <is>
          <t>PRAGMA</t>
        </is>
      </c>
      <c r="B2436" t="inlineStr">
        <is>
          <t>M1</t>
        </is>
      </c>
      <c r="C2436" t="inlineStr">
        <is>
          <t>Cali</t>
        </is>
      </c>
      <c r="D2436" t="inlineStr">
        <is>
          <t>4272</t>
        </is>
      </c>
      <c r="E2436" t="inlineStr">
        <is>
          <t>pagado</t>
        </is>
      </c>
      <c r="F2436" s="23" t="n">
        <v>46269</v>
      </c>
      <c r="G2436" s="24">
        <f>F2436-DATE(2026,8,31)</f>
        <v>4</v>
      </c>
      <c r="H2436" s="25" t="n">
        <v>141441038</v>
      </c>
      <c r="I2436" t="inlineStr">
        <is>
          <t>entidad-dia</t>
        </is>
      </c>
    </row>
    <row r="2437">
      <c r="A2437" t="inlineStr">
        <is>
          <t>PRAGMA</t>
        </is>
      </c>
      <c r="B2437" t="inlineStr">
        <is>
          <t>M1</t>
        </is>
      </c>
      <c r="C2437" t="inlineStr">
        <is>
          <t>Cali</t>
        </is>
      </c>
      <c r="D2437" t="inlineStr">
        <is>
          <t>4272</t>
        </is>
      </c>
      <c r="E2437" t="inlineStr">
        <is>
          <t>pagado</t>
        </is>
      </c>
      <c r="F2437" s="23" t="n">
        <v>46270</v>
      </c>
      <c r="G2437" s="24">
        <f>F2437-DATE(2026,8,31)</f>
        <v>5</v>
      </c>
      <c r="H2437" s="25" t="n">
        <v>140272078</v>
      </c>
      <c r="I2437" t="inlineStr">
        <is>
          <t>entidad-dia</t>
        </is>
      </c>
    </row>
    <row r="2438">
      <c r="A2438" t="inlineStr">
        <is>
          <t>PRAGMA</t>
        </is>
      </c>
      <c r="B2438" t="inlineStr">
        <is>
          <t>M1</t>
        </is>
      </c>
      <c r="C2438" t="inlineStr">
        <is>
          <t>Cali</t>
        </is>
      </c>
      <c r="D2438" t="inlineStr">
        <is>
          <t>4272</t>
        </is>
      </c>
      <c r="E2438" t="inlineStr">
        <is>
          <t>pagado</t>
        </is>
      </c>
      <c r="F2438" s="23" t="n">
        <v>46271</v>
      </c>
      <c r="G2438" s="24">
        <f>F2438-DATE(2026,8,31)</f>
        <v>6</v>
      </c>
      <c r="H2438" s="25" t="n">
        <v>115254263</v>
      </c>
      <c r="I2438" t="inlineStr">
        <is>
          <t>entidad-dia</t>
        </is>
      </c>
    </row>
    <row r="2439">
      <c r="A2439" t="inlineStr">
        <is>
          <t>PRAGMA</t>
        </is>
      </c>
      <c r="B2439" t="inlineStr">
        <is>
          <t>M1</t>
        </is>
      </c>
      <c r="C2439" t="inlineStr">
        <is>
          <t>Cali</t>
        </is>
      </c>
      <c r="D2439" t="inlineStr">
        <is>
          <t>4272</t>
        </is>
      </c>
      <c r="E2439" t="inlineStr">
        <is>
          <t>pagado</t>
        </is>
      </c>
      <c r="F2439" s="23" t="n">
        <v>46272</v>
      </c>
      <c r="G2439" s="24">
        <f>F2439-DATE(2026,8,31)</f>
        <v>7</v>
      </c>
      <c r="H2439" s="25" t="n">
        <v>105748222</v>
      </c>
      <c r="I2439" t="inlineStr">
        <is>
          <t>entidad-dia</t>
        </is>
      </c>
    </row>
    <row r="2440">
      <c r="A2440" t="inlineStr">
        <is>
          <t>PRAGMA</t>
        </is>
      </c>
      <c r="B2440" t="inlineStr">
        <is>
          <t>M1</t>
        </is>
      </c>
      <c r="C2440" t="inlineStr">
        <is>
          <t>Cali</t>
        </is>
      </c>
      <c r="D2440" t="inlineStr">
        <is>
          <t>4272</t>
        </is>
      </c>
      <c r="E2440" t="inlineStr">
        <is>
          <t>pagado</t>
        </is>
      </c>
      <c r="F2440" s="23" t="n">
        <v>46273</v>
      </c>
      <c r="G2440" s="24">
        <f>F2440-DATE(2026,8,31)</f>
        <v>8</v>
      </c>
      <c r="H2440" s="25" t="n">
        <v>97902756</v>
      </c>
      <c r="I2440" t="inlineStr">
        <is>
          <t>entidad-dia</t>
        </is>
      </c>
    </row>
    <row r="2441">
      <c r="A2441" t="inlineStr">
        <is>
          <t>PRAGMA</t>
        </is>
      </c>
      <c r="B2441" t="inlineStr">
        <is>
          <t>M1</t>
        </is>
      </c>
      <c r="C2441" t="inlineStr">
        <is>
          <t>Cali</t>
        </is>
      </c>
      <c r="D2441" t="inlineStr">
        <is>
          <t>4272</t>
        </is>
      </c>
      <c r="E2441" t="inlineStr">
        <is>
          <t>pagado</t>
        </is>
      </c>
      <c r="F2441" s="23" t="n">
        <v>46274</v>
      </c>
      <c r="G2441" s="24">
        <f>F2441-DATE(2026,8,31)</f>
        <v>9</v>
      </c>
      <c r="H2441" s="25" t="n">
        <v>100101777</v>
      </c>
      <c r="I2441" t="inlineStr">
        <is>
          <t>entidad-dia</t>
        </is>
      </c>
    </row>
    <row r="2442">
      <c r="A2442" t="inlineStr">
        <is>
          <t>PRAGMA</t>
        </is>
      </c>
      <c r="B2442" t="inlineStr">
        <is>
          <t>M1</t>
        </is>
      </c>
      <c r="C2442" t="inlineStr">
        <is>
          <t>Cali</t>
        </is>
      </c>
      <c r="D2442" t="inlineStr">
        <is>
          <t>4272</t>
        </is>
      </c>
      <c r="E2442" t="inlineStr">
        <is>
          <t>pagado</t>
        </is>
      </c>
      <c r="F2442" s="23" t="n">
        <v>46275</v>
      </c>
      <c r="G2442" s="24">
        <f>F2442-DATE(2026,8,31)</f>
        <v>10</v>
      </c>
      <c r="H2442" s="25" t="n">
        <v>93229997</v>
      </c>
      <c r="I2442" t="inlineStr">
        <is>
          <t>entidad-dia</t>
        </is>
      </c>
    </row>
    <row r="2443">
      <c r="A2443" t="inlineStr">
        <is>
          <t>PRAGMA</t>
        </is>
      </c>
      <c r="B2443" t="inlineStr">
        <is>
          <t>M1</t>
        </is>
      </c>
      <c r="C2443" t="inlineStr">
        <is>
          <t>Cali</t>
        </is>
      </c>
      <c r="D2443" t="inlineStr">
        <is>
          <t>4272</t>
        </is>
      </c>
      <c r="E2443" t="inlineStr">
        <is>
          <t>pagado</t>
        </is>
      </c>
      <c r="F2443" s="23" t="n">
        <v>46276</v>
      </c>
      <c r="G2443" s="24">
        <f>F2443-DATE(2026,8,31)</f>
        <v>11</v>
      </c>
      <c r="H2443" s="25" t="n">
        <v>102574709</v>
      </c>
      <c r="I2443" t="inlineStr">
        <is>
          <t>entidad-dia</t>
        </is>
      </c>
    </row>
    <row r="2444">
      <c r="A2444" t="inlineStr">
        <is>
          <t>PRAGMA</t>
        </is>
      </c>
      <c r="B2444" t="inlineStr">
        <is>
          <t>M1</t>
        </is>
      </c>
      <c r="C2444" t="inlineStr">
        <is>
          <t>Cali</t>
        </is>
      </c>
      <c r="D2444" t="inlineStr">
        <is>
          <t>4272</t>
        </is>
      </c>
      <c r="E2444" t="inlineStr">
        <is>
          <t>pagado</t>
        </is>
      </c>
      <c r="F2444" s="23" t="n">
        <v>46277</v>
      </c>
      <c r="G2444" s="24">
        <f>F2444-DATE(2026,8,31)</f>
        <v>12</v>
      </c>
      <c r="H2444" s="25" t="n">
        <v>116749191</v>
      </c>
      <c r="I2444" t="inlineStr">
        <is>
          <t>entidad-dia</t>
        </is>
      </c>
    </row>
    <row r="2445">
      <c r="A2445" t="inlineStr">
        <is>
          <t>PRAGMA</t>
        </is>
      </c>
      <c r="B2445" t="inlineStr">
        <is>
          <t>M1</t>
        </is>
      </c>
      <c r="C2445" t="inlineStr">
        <is>
          <t>Cali</t>
        </is>
      </c>
      <c r="D2445" t="inlineStr">
        <is>
          <t>4272</t>
        </is>
      </c>
      <c r="E2445" t="inlineStr">
        <is>
          <t>pagado</t>
        </is>
      </c>
      <c r="F2445" s="23" t="n">
        <v>46278</v>
      </c>
      <c r="G2445" s="24">
        <f>F2445-DATE(2026,8,31)</f>
        <v>13</v>
      </c>
      <c r="H2445" s="25" t="n">
        <v>90212321</v>
      </c>
      <c r="I2445" t="inlineStr">
        <is>
          <t>entidad-dia</t>
        </is>
      </c>
    </row>
    <row r="2446">
      <c r="A2446" t="inlineStr">
        <is>
          <t>PRAGMA</t>
        </is>
      </c>
      <c r="B2446" t="inlineStr">
        <is>
          <t>M1</t>
        </is>
      </c>
      <c r="C2446" t="inlineStr">
        <is>
          <t>Cali</t>
        </is>
      </c>
      <c r="D2446" t="inlineStr">
        <is>
          <t>4272</t>
        </is>
      </c>
      <c r="E2446" t="inlineStr">
        <is>
          <t>pagado</t>
        </is>
      </c>
      <c r="F2446" s="23" t="n">
        <v>46279</v>
      </c>
      <c r="G2446" s="24">
        <f>F2446-DATE(2026,8,31)</f>
        <v>14</v>
      </c>
      <c r="H2446" s="25" t="n">
        <v>95275687</v>
      </c>
      <c r="I2446" t="inlineStr">
        <is>
          <t>entidad-dia</t>
        </is>
      </c>
    </row>
    <row r="2447">
      <c r="A2447" t="inlineStr">
        <is>
          <t>PRAGMA</t>
        </is>
      </c>
      <c r="B2447" t="inlineStr">
        <is>
          <t>M1</t>
        </is>
      </c>
      <c r="C2447" t="inlineStr">
        <is>
          <t>Cali</t>
        </is>
      </c>
      <c r="D2447" t="inlineStr">
        <is>
          <t>4272</t>
        </is>
      </c>
      <c r="E2447" t="inlineStr">
        <is>
          <t>pagado</t>
        </is>
      </c>
      <c r="F2447" s="23" t="n">
        <v>46280</v>
      </c>
      <c r="G2447" s="24">
        <f>F2447-DATE(2026,8,31)</f>
        <v>15</v>
      </c>
      <c r="H2447" s="25" t="n">
        <v>150773382</v>
      </c>
      <c r="I2447" t="inlineStr">
        <is>
          <t>entidad-dia</t>
        </is>
      </c>
    </row>
    <row r="2448">
      <c r="A2448" t="inlineStr">
        <is>
          <t>PRAGMA</t>
        </is>
      </c>
      <c r="B2448" t="inlineStr">
        <is>
          <t>M1</t>
        </is>
      </c>
      <c r="C2448" t="inlineStr">
        <is>
          <t>Cali</t>
        </is>
      </c>
      <c r="D2448" t="inlineStr">
        <is>
          <t>4297</t>
        </is>
      </c>
      <c r="E2448" t="inlineStr">
        <is>
          <t>pagado</t>
        </is>
      </c>
      <c r="F2448" s="23" t="n">
        <v>46266</v>
      </c>
      <c r="G2448" s="24">
        <f>F2448-DATE(2026,8,31)</f>
        <v>1</v>
      </c>
      <c r="H2448" s="25" t="n">
        <v>226296297</v>
      </c>
      <c r="I2448" t="inlineStr">
        <is>
          <t>entidad-dia</t>
        </is>
      </c>
    </row>
    <row r="2449">
      <c r="A2449" t="inlineStr">
        <is>
          <t>PRAGMA</t>
        </is>
      </c>
      <c r="B2449" t="inlineStr">
        <is>
          <t>M1</t>
        </is>
      </c>
      <c r="C2449" t="inlineStr">
        <is>
          <t>Cali</t>
        </is>
      </c>
      <c r="D2449" t="inlineStr">
        <is>
          <t>4297</t>
        </is>
      </c>
      <c r="E2449" t="inlineStr">
        <is>
          <t>pagado</t>
        </is>
      </c>
      <c r="F2449" s="23" t="n">
        <v>46267</v>
      </c>
      <c r="G2449" s="24">
        <f>F2449-DATE(2026,8,31)</f>
        <v>2</v>
      </c>
      <c r="H2449" s="25" t="n">
        <v>159654951</v>
      </c>
      <c r="I2449" t="inlineStr">
        <is>
          <t>entidad-dia</t>
        </is>
      </c>
    </row>
    <row r="2450">
      <c r="A2450" t="inlineStr">
        <is>
          <t>PRAGMA</t>
        </is>
      </c>
      <c r="B2450" t="inlineStr">
        <is>
          <t>M1</t>
        </is>
      </c>
      <c r="C2450" t="inlineStr">
        <is>
          <t>Cali</t>
        </is>
      </c>
      <c r="D2450" t="inlineStr">
        <is>
          <t>4297</t>
        </is>
      </c>
      <c r="E2450" t="inlineStr">
        <is>
          <t>pagado</t>
        </is>
      </c>
      <c r="F2450" s="23" t="n">
        <v>46268</v>
      </c>
      <c r="G2450" s="24">
        <f>F2450-DATE(2026,8,31)</f>
        <v>3</v>
      </c>
      <c r="H2450" s="25" t="n">
        <v>147943378</v>
      </c>
      <c r="I2450" t="inlineStr">
        <is>
          <t>entidad-dia</t>
        </is>
      </c>
    </row>
    <row r="2451">
      <c r="A2451" t="inlineStr">
        <is>
          <t>PRAGMA</t>
        </is>
      </c>
      <c r="B2451" t="inlineStr">
        <is>
          <t>M1</t>
        </is>
      </c>
      <c r="C2451" t="inlineStr">
        <is>
          <t>Cali</t>
        </is>
      </c>
      <c r="D2451" t="inlineStr">
        <is>
          <t>4297</t>
        </is>
      </c>
      <c r="E2451" t="inlineStr">
        <is>
          <t>pagado</t>
        </is>
      </c>
      <c r="F2451" s="23" t="n">
        <v>46269</v>
      </c>
      <c r="G2451" s="24">
        <f>F2451-DATE(2026,8,31)</f>
        <v>4</v>
      </c>
      <c r="H2451" s="25" t="n">
        <v>148380613</v>
      </c>
      <c r="I2451" t="inlineStr">
        <is>
          <t>entidad-dia</t>
        </is>
      </c>
    </row>
    <row r="2452">
      <c r="A2452" t="inlineStr">
        <is>
          <t>PRAGMA</t>
        </is>
      </c>
      <c r="B2452" t="inlineStr">
        <is>
          <t>M1</t>
        </is>
      </c>
      <c r="C2452" t="inlineStr">
        <is>
          <t>Cali</t>
        </is>
      </c>
      <c r="D2452" t="inlineStr">
        <is>
          <t>4297</t>
        </is>
      </c>
      <c r="E2452" t="inlineStr">
        <is>
          <t>pagado</t>
        </is>
      </c>
      <c r="F2452" s="23" t="n">
        <v>46270</v>
      </c>
      <c r="G2452" s="24">
        <f>F2452-DATE(2026,8,31)</f>
        <v>5</v>
      </c>
      <c r="H2452" s="25" t="n">
        <v>156328055</v>
      </c>
      <c r="I2452" t="inlineStr">
        <is>
          <t>entidad-dia</t>
        </is>
      </c>
    </row>
    <row r="2453">
      <c r="A2453" t="inlineStr">
        <is>
          <t>PRAGMA</t>
        </is>
      </c>
      <c r="B2453" t="inlineStr">
        <is>
          <t>M1</t>
        </is>
      </c>
      <c r="C2453" t="inlineStr">
        <is>
          <t>Cali</t>
        </is>
      </c>
      <c r="D2453" t="inlineStr">
        <is>
          <t>4297</t>
        </is>
      </c>
      <c r="E2453" t="inlineStr">
        <is>
          <t>pagado</t>
        </is>
      </c>
      <c r="F2453" s="23" t="n">
        <v>46271</v>
      </c>
      <c r="G2453" s="24">
        <f>F2453-DATE(2026,8,31)</f>
        <v>6</v>
      </c>
      <c r="H2453" s="25" t="n">
        <v>121172855</v>
      </c>
      <c r="I2453" t="inlineStr">
        <is>
          <t>entidad-dia</t>
        </is>
      </c>
    </row>
    <row r="2454">
      <c r="A2454" t="inlineStr">
        <is>
          <t>PRAGMA</t>
        </is>
      </c>
      <c r="B2454" t="inlineStr">
        <is>
          <t>M1</t>
        </is>
      </c>
      <c r="C2454" t="inlineStr">
        <is>
          <t>Cali</t>
        </is>
      </c>
      <c r="D2454" t="inlineStr">
        <is>
          <t>4297</t>
        </is>
      </c>
      <c r="E2454" t="inlineStr">
        <is>
          <t>pagado</t>
        </is>
      </c>
      <c r="F2454" s="23" t="n">
        <v>46272</v>
      </c>
      <c r="G2454" s="24">
        <f>F2454-DATE(2026,8,31)</f>
        <v>7</v>
      </c>
      <c r="H2454" s="25" t="n">
        <v>102315395</v>
      </c>
      <c r="I2454" t="inlineStr">
        <is>
          <t>entidad-dia</t>
        </is>
      </c>
    </row>
    <row r="2455">
      <c r="A2455" t="inlineStr">
        <is>
          <t>PRAGMA</t>
        </is>
      </c>
      <c r="B2455" t="inlineStr">
        <is>
          <t>M1</t>
        </is>
      </c>
      <c r="C2455" t="inlineStr">
        <is>
          <t>Cali</t>
        </is>
      </c>
      <c r="D2455" t="inlineStr">
        <is>
          <t>4297</t>
        </is>
      </c>
      <c r="E2455" t="inlineStr">
        <is>
          <t>pagado</t>
        </is>
      </c>
      <c r="F2455" s="23" t="n">
        <v>46273</v>
      </c>
      <c r="G2455" s="24">
        <f>F2455-DATE(2026,8,31)</f>
        <v>8</v>
      </c>
      <c r="H2455" s="25" t="n">
        <v>109310168</v>
      </c>
      <c r="I2455" t="inlineStr">
        <is>
          <t>entidad-dia</t>
        </is>
      </c>
    </row>
    <row r="2456">
      <c r="A2456" t="inlineStr">
        <is>
          <t>PRAGMA</t>
        </is>
      </c>
      <c r="B2456" t="inlineStr">
        <is>
          <t>M1</t>
        </is>
      </c>
      <c r="C2456" t="inlineStr">
        <is>
          <t>Cali</t>
        </is>
      </c>
      <c r="D2456" t="inlineStr">
        <is>
          <t>4297</t>
        </is>
      </c>
      <c r="E2456" t="inlineStr">
        <is>
          <t>pagado</t>
        </is>
      </c>
      <c r="F2456" s="23" t="n">
        <v>46274</v>
      </c>
      <c r="G2456" s="24">
        <f>F2456-DATE(2026,8,31)</f>
        <v>9</v>
      </c>
      <c r="H2456" s="25" t="n">
        <v>96309714</v>
      </c>
      <c r="I2456" t="inlineStr">
        <is>
          <t>entidad-dia</t>
        </is>
      </c>
    </row>
    <row r="2457">
      <c r="A2457" t="inlineStr">
        <is>
          <t>PRAGMA</t>
        </is>
      </c>
      <c r="B2457" t="inlineStr">
        <is>
          <t>M1</t>
        </is>
      </c>
      <c r="C2457" t="inlineStr">
        <is>
          <t>Cali</t>
        </is>
      </c>
      <c r="D2457" t="inlineStr">
        <is>
          <t>4297</t>
        </is>
      </c>
      <c r="E2457" t="inlineStr">
        <is>
          <t>pagado</t>
        </is>
      </c>
      <c r="F2457" s="23" t="n">
        <v>46275</v>
      </c>
      <c r="G2457" s="24">
        <f>F2457-DATE(2026,8,31)</f>
        <v>10</v>
      </c>
      <c r="H2457" s="25" t="n">
        <v>89822026</v>
      </c>
      <c r="I2457" t="inlineStr">
        <is>
          <t>entidad-dia</t>
        </is>
      </c>
    </row>
    <row r="2458">
      <c r="A2458" t="inlineStr">
        <is>
          <t>PRAGMA</t>
        </is>
      </c>
      <c r="B2458" t="inlineStr">
        <is>
          <t>M1</t>
        </is>
      </c>
      <c r="C2458" t="inlineStr">
        <is>
          <t>Cali</t>
        </is>
      </c>
      <c r="D2458" t="inlineStr">
        <is>
          <t>4297</t>
        </is>
      </c>
      <c r="E2458" t="inlineStr">
        <is>
          <t>pagado</t>
        </is>
      </c>
      <c r="F2458" s="23" t="n">
        <v>46276</v>
      </c>
      <c r="G2458" s="24">
        <f>F2458-DATE(2026,8,31)</f>
        <v>11</v>
      </c>
      <c r="H2458" s="25" t="n">
        <v>108526875</v>
      </c>
      <c r="I2458" t="inlineStr">
        <is>
          <t>entidad-dia</t>
        </is>
      </c>
    </row>
    <row r="2459">
      <c r="A2459" t="inlineStr">
        <is>
          <t>PRAGMA</t>
        </is>
      </c>
      <c r="B2459" t="inlineStr">
        <is>
          <t>M1</t>
        </is>
      </c>
      <c r="C2459" t="inlineStr">
        <is>
          <t>Cali</t>
        </is>
      </c>
      <c r="D2459" t="inlineStr">
        <is>
          <t>4297</t>
        </is>
      </c>
      <c r="E2459" t="inlineStr">
        <is>
          <t>pagado</t>
        </is>
      </c>
      <c r="F2459" s="23" t="n">
        <v>46277</v>
      </c>
      <c r="G2459" s="24">
        <f>F2459-DATE(2026,8,31)</f>
        <v>12</v>
      </c>
      <c r="H2459" s="25" t="n">
        <v>120607893</v>
      </c>
      <c r="I2459" t="inlineStr">
        <is>
          <t>entidad-dia</t>
        </is>
      </c>
    </row>
    <row r="2460">
      <c r="A2460" t="inlineStr">
        <is>
          <t>PRAGMA</t>
        </is>
      </c>
      <c r="B2460" t="inlineStr">
        <is>
          <t>M1</t>
        </is>
      </c>
      <c r="C2460" t="inlineStr">
        <is>
          <t>Cali</t>
        </is>
      </c>
      <c r="D2460" t="inlineStr">
        <is>
          <t>4297</t>
        </is>
      </c>
      <c r="E2460" t="inlineStr">
        <is>
          <t>pagado</t>
        </is>
      </c>
      <c r="F2460" s="23" t="n">
        <v>46278</v>
      </c>
      <c r="G2460" s="24">
        <f>F2460-DATE(2026,8,31)</f>
        <v>13</v>
      </c>
      <c r="H2460" s="25" t="n">
        <v>81829588</v>
      </c>
      <c r="I2460" t="inlineStr">
        <is>
          <t>entidad-dia</t>
        </is>
      </c>
    </row>
    <row r="2461">
      <c r="A2461" t="inlineStr">
        <is>
          <t>PRAGMA</t>
        </is>
      </c>
      <c r="B2461" t="inlineStr">
        <is>
          <t>M1</t>
        </is>
      </c>
      <c r="C2461" t="inlineStr">
        <is>
          <t>Cali</t>
        </is>
      </c>
      <c r="D2461" t="inlineStr">
        <is>
          <t>4297</t>
        </is>
      </c>
      <c r="E2461" t="inlineStr">
        <is>
          <t>pagado</t>
        </is>
      </c>
      <c r="F2461" s="23" t="n">
        <v>46279</v>
      </c>
      <c r="G2461" s="24">
        <f>F2461-DATE(2026,8,31)</f>
        <v>14</v>
      </c>
      <c r="H2461" s="25" t="n">
        <v>111128896</v>
      </c>
      <c r="I2461" t="inlineStr">
        <is>
          <t>entidad-dia</t>
        </is>
      </c>
    </row>
    <row r="2462">
      <c r="A2462" t="inlineStr">
        <is>
          <t>PRAGMA</t>
        </is>
      </c>
      <c r="B2462" t="inlineStr">
        <is>
          <t>M1</t>
        </is>
      </c>
      <c r="C2462" t="inlineStr">
        <is>
          <t>Cali</t>
        </is>
      </c>
      <c r="D2462" t="inlineStr">
        <is>
          <t>4297</t>
        </is>
      </c>
      <c r="E2462" t="inlineStr">
        <is>
          <t>pagado</t>
        </is>
      </c>
      <c r="F2462" s="23" t="n">
        <v>46280</v>
      </c>
      <c r="G2462" s="24">
        <f>F2462-DATE(2026,8,31)</f>
        <v>15</v>
      </c>
      <c r="H2462" s="25" t="n">
        <v>166495836</v>
      </c>
      <c r="I2462" t="inlineStr">
        <is>
          <t>entidad-dia</t>
        </is>
      </c>
    </row>
    <row r="2463">
      <c r="A2463" t="inlineStr">
        <is>
          <t>PRAGMA</t>
        </is>
      </c>
      <c r="B2463" t="inlineStr">
        <is>
          <t>M1</t>
        </is>
      </c>
      <c r="C2463" t="inlineStr">
        <is>
          <t>Cali</t>
        </is>
      </c>
      <c r="D2463" t="inlineStr">
        <is>
          <t>4312</t>
        </is>
      </c>
      <c r="E2463" t="inlineStr">
        <is>
          <t>pagado</t>
        </is>
      </c>
      <c r="F2463" s="23" t="n">
        <v>46266</v>
      </c>
      <c r="G2463" s="24">
        <f>F2463-DATE(2026,8,31)</f>
        <v>1</v>
      </c>
      <c r="H2463" s="25" t="n">
        <v>144555395</v>
      </c>
      <c r="I2463" t="inlineStr">
        <is>
          <t>entidad-dia</t>
        </is>
      </c>
    </row>
    <row r="2464">
      <c r="A2464" t="inlineStr">
        <is>
          <t>PRAGMA</t>
        </is>
      </c>
      <c r="B2464" t="inlineStr">
        <is>
          <t>M1</t>
        </is>
      </c>
      <c r="C2464" t="inlineStr">
        <is>
          <t>Cali</t>
        </is>
      </c>
      <c r="D2464" t="inlineStr">
        <is>
          <t>4312</t>
        </is>
      </c>
      <c r="E2464" t="inlineStr">
        <is>
          <t>pagado</t>
        </is>
      </c>
      <c r="F2464" s="23" t="n">
        <v>46267</v>
      </c>
      <c r="G2464" s="24">
        <f>F2464-DATE(2026,8,31)</f>
        <v>2</v>
      </c>
      <c r="H2464" s="25" t="n">
        <v>110171004</v>
      </c>
      <c r="I2464" t="inlineStr">
        <is>
          <t>entidad-dia</t>
        </is>
      </c>
    </row>
    <row r="2465">
      <c r="A2465" t="inlineStr">
        <is>
          <t>PRAGMA</t>
        </is>
      </c>
      <c r="B2465" t="inlineStr">
        <is>
          <t>M1</t>
        </is>
      </c>
      <c r="C2465" t="inlineStr">
        <is>
          <t>Cali</t>
        </is>
      </c>
      <c r="D2465" t="inlineStr">
        <is>
          <t>4312</t>
        </is>
      </c>
      <c r="E2465" t="inlineStr">
        <is>
          <t>pagado</t>
        </is>
      </c>
      <c r="F2465" s="23" t="n">
        <v>46268</v>
      </c>
      <c r="G2465" s="24">
        <f>F2465-DATE(2026,8,31)</f>
        <v>3</v>
      </c>
      <c r="H2465" s="25" t="n">
        <v>94539689</v>
      </c>
      <c r="I2465" t="inlineStr">
        <is>
          <t>entidad-dia</t>
        </is>
      </c>
    </row>
    <row r="2466">
      <c r="A2466" t="inlineStr">
        <is>
          <t>PRAGMA</t>
        </is>
      </c>
      <c r="B2466" t="inlineStr">
        <is>
          <t>M1</t>
        </is>
      </c>
      <c r="C2466" t="inlineStr">
        <is>
          <t>Cali</t>
        </is>
      </c>
      <c r="D2466" t="inlineStr">
        <is>
          <t>4312</t>
        </is>
      </c>
      <c r="E2466" t="inlineStr">
        <is>
          <t>pagado</t>
        </is>
      </c>
      <c r="F2466" s="23" t="n">
        <v>46269</v>
      </c>
      <c r="G2466" s="24">
        <f>F2466-DATE(2026,8,31)</f>
        <v>4</v>
      </c>
      <c r="H2466" s="25" t="n">
        <v>100260283</v>
      </c>
      <c r="I2466" t="inlineStr">
        <is>
          <t>entidad-dia</t>
        </is>
      </c>
    </row>
    <row r="2467">
      <c r="A2467" t="inlineStr">
        <is>
          <t>PRAGMA</t>
        </is>
      </c>
      <c r="B2467" t="inlineStr">
        <is>
          <t>M1</t>
        </is>
      </c>
      <c r="C2467" t="inlineStr">
        <is>
          <t>Cali</t>
        </is>
      </c>
      <c r="D2467" t="inlineStr">
        <is>
          <t>4312</t>
        </is>
      </c>
      <c r="E2467" t="inlineStr">
        <is>
          <t>pagado</t>
        </is>
      </c>
      <c r="F2467" s="23" t="n">
        <v>46270</v>
      </c>
      <c r="G2467" s="24">
        <f>F2467-DATE(2026,8,31)</f>
        <v>5</v>
      </c>
      <c r="H2467" s="25" t="n">
        <v>112413629</v>
      </c>
      <c r="I2467" t="inlineStr">
        <is>
          <t>entidad-dia</t>
        </is>
      </c>
    </row>
    <row r="2468">
      <c r="A2468" t="inlineStr">
        <is>
          <t>PRAGMA</t>
        </is>
      </c>
      <c r="B2468" t="inlineStr">
        <is>
          <t>M1</t>
        </is>
      </c>
      <c r="C2468" t="inlineStr">
        <is>
          <t>Cali</t>
        </is>
      </c>
      <c r="D2468" t="inlineStr">
        <is>
          <t>4312</t>
        </is>
      </c>
      <c r="E2468" t="inlineStr">
        <is>
          <t>pagado</t>
        </is>
      </c>
      <c r="F2468" s="23" t="n">
        <v>46271</v>
      </c>
      <c r="G2468" s="24">
        <f>F2468-DATE(2026,8,31)</f>
        <v>6</v>
      </c>
      <c r="H2468" s="25" t="n">
        <v>76676207</v>
      </c>
      <c r="I2468" t="inlineStr">
        <is>
          <t>entidad-dia</t>
        </is>
      </c>
    </row>
    <row r="2469">
      <c r="A2469" t="inlineStr">
        <is>
          <t>PRAGMA</t>
        </is>
      </c>
      <c r="B2469" t="inlineStr">
        <is>
          <t>M1</t>
        </is>
      </c>
      <c r="C2469" t="inlineStr">
        <is>
          <t>Cali</t>
        </is>
      </c>
      <c r="D2469" t="inlineStr">
        <is>
          <t>4312</t>
        </is>
      </c>
      <c r="E2469" t="inlineStr">
        <is>
          <t>pagado</t>
        </is>
      </c>
      <c r="F2469" s="23" t="n">
        <v>46272</v>
      </c>
      <c r="G2469" s="24">
        <f>F2469-DATE(2026,8,31)</f>
        <v>7</v>
      </c>
      <c r="H2469" s="25" t="n">
        <v>85710156</v>
      </c>
      <c r="I2469" t="inlineStr">
        <is>
          <t>entidad-dia</t>
        </is>
      </c>
    </row>
    <row r="2470">
      <c r="A2470" t="inlineStr">
        <is>
          <t>PRAGMA</t>
        </is>
      </c>
      <c r="B2470" t="inlineStr">
        <is>
          <t>M1</t>
        </is>
      </c>
      <c r="C2470" t="inlineStr">
        <is>
          <t>Cali</t>
        </is>
      </c>
      <c r="D2470" t="inlineStr">
        <is>
          <t>4312</t>
        </is>
      </c>
      <c r="E2470" t="inlineStr">
        <is>
          <t>pagado</t>
        </is>
      </c>
      <c r="F2470" s="23" t="n">
        <v>46273</v>
      </c>
      <c r="G2470" s="24">
        <f>F2470-DATE(2026,8,31)</f>
        <v>8</v>
      </c>
      <c r="H2470" s="25" t="n">
        <v>73384149</v>
      </c>
      <c r="I2470" t="inlineStr">
        <is>
          <t>entidad-dia</t>
        </is>
      </c>
    </row>
    <row r="2471">
      <c r="A2471" t="inlineStr">
        <is>
          <t>PRAGMA</t>
        </is>
      </c>
      <c r="B2471" t="inlineStr">
        <is>
          <t>M1</t>
        </is>
      </c>
      <c r="C2471" t="inlineStr">
        <is>
          <t>Cali</t>
        </is>
      </c>
      <c r="D2471" t="inlineStr">
        <is>
          <t>4312</t>
        </is>
      </c>
      <c r="E2471" t="inlineStr">
        <is>
          <t>pagado</t>
        </is>
      </c>
      <c r="F2471" s="23" t="n">
        <v>46274</v>
      </c>
      <c r="G2471" s="24">
        <f>F2471-DATE(2026,8,31)</f>
        <v>9</v>
      </c>
      <c r="H2471" s="25" t="n">
        <v>73802698</v>
      </c>
      <c r="I2471" t="inlineStr">
        <is>
          <t>entidad-dia</t>
        </is>
      </c>
    </row>
    <row r="2472">
      <c r="A2472" t="inlineStr">
        <is>
          <t>PRAGMA</t>
        </is>
      </c>
      <c r="B2472" t="inlineStr">
        <is>
          <t>M1</t>
        </is>
      </c>
      <c r="C2472" t="inlineStr">
        <is>
          <t>Cali</t>
        </is>
      </c>
      <c r="D2472" t="inlineStr">
        <is>
          <t>4312</t>
        </is>
      </c>
      <c r="E2472" t="inlineStr">
        <is>
          <t>pagado</t>
        </is>
      </c>
      <c r="F2472" s="23" t="n">
        <v>46275</v>
      </c>
      <c r="G2472" s="24">
        <f>F2472-DATE(2026,8,31)</f>
        <v>10</v>
      </c>
      <c r="H2472" s="25" t="n">
        <v>71702966</v>
      </c>
      <c r="I2472" t="inlineStr">
        <is>
          <t>entidad-dia</t>
        </is>
      </c>
    </row>
    <row r="2473">
      <c r="A2473" t="inlineStr">
        <is>
          <t>PRAGMA</t>
        </is>
      </c>
      <c r="B2473" t="inlineStr">
        <is>
          <t>M1</t>
        </is>
      </c>
      <c r="C2473" t="inlineStr">
        <is>
          <t>Cali</t>
        </is>
      </c>
      <c r="D2473" t="inlineStr">
        <is>
          <t>4312</t>
        </is>
      </c>
      <c r="E2473" t="inlineStr">
        <is>
          <t>pagado</t>
        </is>
      </c>
      <c r="F2473" s="23" t="n">
        <v>46276</v>
      </c>
      <c r="G2473" s="24">
        <f>F2473-DATE(2026,8,31)</f>
        <v>11</v>
      </c>
      <c r="H2473" s="25" t="n">
        <v>81906626</v>
      </c>
      <c r="I2473" t="inlineStr">
        <is>
          <t>entidad-dia</t>
        </is>
      </c>
    </row>
    <row r="2474">
      <c r="A2474" t="inlineStr">
        <is>
          <t>PRAGMA</t>
        </is>
      </c>
      <c r="B2474" t="inlineStr">
        <is>
          <t>M1</t>
        </is>
      </c>
      <c r="C2474" t="inlineStr">
        <is>
          <t>Cali</t>
        </is>
      </c>
      <c r="D2474" t="inlineStr">
        <is>
          <t>4312</t>
        </is>
      </c>
      <c r="E2474" t="inlineStr">
        <is>
          <t>pagado</t>
        </is>
      </c>
      <c r="F2474" s="23" t="n">
        <v>46277</v>
      </c>
      <c r="G2474" s="24">
        <f>F2474-DATE(2026,8,31)</f>
        <v>12</v>
      </c>
      <c r="H2474" s="25" t="n">
        <v>86669060</v>
      </c>
      <c r="I2474" t="inlineStr">
        <is>
          <t>entidad-dia</t>
        </is>
      </c>
    </row>
    <row r="2475">
      <c r="A2475" t="inlineStr">
        <is>
          <t>PRAGMA</t>
        </is>
      </c>
      <c r="B2475" t="inlineStr">
        <is>
          <t>M1</t>
        </is>
      </c>
      <c r="C2475" t="inlineStr">
        <is>
          <t>Cali</t>
        </is>
      </c>
      <c r="D2475" t="inlineStr">
        <is>
          <t>4312</t>
        </is>
      </c>
      <c r="E2475" t="inlineStr">
        <is>
          <t>pagado</t>
        </is>
      </c>
      <c r="F2475" s="23" t="n">
        <v>46278</v>
      </c>
      <c r="G2475" s="24">
        <f>F2475-DATE(2026,8,31)</f>
        <v>13</v>
      </c>
      <c r="H2475" s="25" t="n">
        <v>58837217</v>
      </c>
      <c r="I2475" t="inlineStr">
        <is>
          <t>entidad-dia</t>
        </is>
      </c>
    </row>
    <row r="2476">
      <c r="A2476" t="inlineStr">
        <is>
          <t>PRAGMA</t>
        </is>
      </c>
      <c r="B2476" t="inlineStr">
        <is>
          <t>M1</t>
        </is>
      </c>
      <c r="C2476" t="inlineStr">
        <is>
          <t>Cali</t>
        </is>
      </c>
      <c r="D2476" t="inlineStr">
        <is>
          <t>4312</t>
        </is>
      </c>
      <c r="E2476" t="inlineStr">
        <is>
          <t>pagado</t>
        </is>
      </c>
      <c r="F2476" s="23" t="n">
        <v>46279</v>
      </c>
      <c r="G2476" s="24">
        <f>F2476-DATE(2026,8,31)</f>
        <v>14</v>
      </c>
      <c r="H2476" s="25" t="n">
        <v>79278845</v>
      </c>
      <c r="I2476" t="inlineStr">
        <is>
          <t>entidad-dia</t>
        </is>
      </c>
    </row>
    <row r="2477">
      <c r="A2477" t="inlineStr">
        <is>
          <t>PRAGMA</t>
        </is>
      </c>
      <c r="B2477" t="inlineStr">
        <is>
          <t>M1</t>
        </is>
      </c>
      <c r="C2477" t="inlineStr">
        <is>
          <t>Cali</t>
        </is>
      </c>
      <c r="D2477" t="inlineStr">
        <is>
          <t>4312</t>
        </is>
      </c>
      <c r="E2477" t="inlineStr">
        <is>
          <t>pagado</t>
        </is>
      </c>
      <c r="F2477" s="23" t="n">
        <v>46280</v>
      </c>
      <c r="G2477" s="24">
        <f>F2477-DATE(2026,8,31)</f>
        <v>15</v>
      </c>
      <c r="H2477" s="25" t="n">
        <v>108147905</v>
      </c>
      <c r="I2477" t="inlineStr">
        <is>
          <t>entidad-dia</t>
        </is>
      </c>
    </row>
    <row r="2478">
      <c r="A2478" t="inlineStr">
        <is>
          <t>PRAGMA</t>
        </is>
      </c>
      <c r="B2478" t="inlineStr">
        <is>
          <t>M1</t>
        </is>
      </c>
      <c r="C2478" t="inlineStr">
        <is>
          <t>Cali</t>
        </is>
      </c>
      <c r="D2478" t="inlineStr">
        <is>
          <t>4317</t>
        </is>
      </c>
      <c r="E2478" t="inlineStr">
        <is>
          <t>pagado</t>
        </is>
      </c>
      <c r="F2478" s="23" t="n">
        <v>46266</v>
      </c>
      <c r="G2478" s="24">
        <f>F2478-DATE(2026,8,31)</f>
        <v>1</v>
      </c>
      <c r="H2478" s="25" t="n">
        <v>172597099</v>
      </c>
      <c r="I2478" t="inlineStr">
        <is>
          <t>entidad-dia</t>
        </is>
      </c>
    </row>
    <row r="2479">
      <c r="A2479" t="inlineStr">
        <is>
          <t>PRAGMA</t>
        </is>
      </c>
      <c r="B2479" t="inlineStr">
        <is>
          <t>M1</t>
        </is>
      </c>
      <c r="C2479" t="inlineStr">
        <is>
          <t>Cali</t>
        </is>
      </c>
      <c r="D2479" t="inlineStr">
        <is>
          <t>4317</t>
        </is>
      </c>
      <c r="E2479" t="inlineStr">
        <is>
          <t>pagado</t>
        </is>
      </c>
      <c r="F2479" s="23" t="n">
        <v>46267</v>
      </c>
      <c r="G2479" s="24">
        <f>F2479-DATE(2026,8,31)</f>
        <v>2</v>
      </c>
      <c r="H2479" s="25" t="n">
        <v>133447026</v>
      </c>
      <c r="I2479" t="inlineStr">
        <is>
          <t>entidad-dia</t>
        </is>
      </c>
    </row>
    <row r="2480">
      <c r="A2480" t="inlineStr">
        <is>
          <t>PRAGMA</t>
        </is>
      </c>
      <c r="B2480" t="inlineStr">
        <is>
          <t>M1</t>
        </is>
      </c>
      <c r="C2480" t="inlineStr">
        <is>
          <t>Cali</t>
        </is>
      </c>
      <c r="D2480" t="inlineStr">
        <is>
          <t>4317</t>
        </is>
      </c>
      <c r="E2480" t="inlineStr">
        <is>
          <t>pagado</t>
        </is>
      </c>
      <c r="F2480" s="23" t="n">
        <v>46268</v>
      </c>
      <c r="G2480" s="24">
        <f>F2480-DATE(2026,8,31)</f>
        <v>3</v>
      </c>
      <c r="H2480" s="25" t="n">
        <v>124401389</v>
      </c>
      <c r="I2480" t="inlineStr">
        <is>
          <t>entidad-dia</t>
        </is>
      </c>
    </row>
    <row r="2481">
      <c r="A2481" t="inlineStr">
        <is>
          <t>PRAGMA</t>
        </is>
      </c>
      <c r="B2481" t="inlineStr">
        <is>
          <t>M1</t>
        </is>
      </c>
      <c r="C2481" t="inlineStr">
        <is>
          <t>Cali</t>
        </is>
      </c>
      <c r="D2481" t="inlineStr">
        <is>
          <t>4317</t>
        </is>
      </c>
      <c r="E2481" t="inlineStr">
        <is>
          <t>pagado</t>
        </is>
      </c>
      <c r="F2481" s="23" t="n">
        <v>46269</v>
      </c>
      <c r="G2481" s="24">
        <f>F2481-DATE(2026,8,31)</f>
        <v>4</v>
      </c>
      <c r="H2481" s="25" t="n">
        <v>125934064</v>
      </c>
      <c r="I2481" t="inlineStr">
        <is>
          <t>entidad-dia</t>
        </is>
      </c>
    </row>
    <row r="2482">
      <c r="A2482" t="inlineStr">
        <is>
          <t>PRAGMA</t>
        </is>
      </c>
      <c r="B2482" t="inlineStr">
        <is>
          <t>M1</t>
        </is>
      </c>
      <c r="C2482" t="inlineStr">
        <is>
          <t>Cali</t>
        </is>
      </c>
      <c r="D2482" t="inlineStr">
        <is>
          <t>4317</t>
        </is>
      </c>
      <c r="E2482" t="inlineStr">
        <is>
          <t>pagado</t>
        </is>
      </c>
      <c r="F2482" s="23" t="n">
        <v>46270</v>
      </c>
      <c r="G2482" s="24">
        <f>F2482-DATE(2026,8,31)</f>
        <v>5</v>
      </c>
      <c r="H2482" s="25" t="n">
        <v>136288928</v>
      </c>
      <c r="I2482" t="inlineStr">
        <is>
          <t>entidad-dia</t>
        </is>
      </c>
    </row>
    <row r="2483">
      <c r="A2483" t="inlineStr">
        <is>
          <t>PRAGMA</t>
        </is>
      </c>
      <c r="B2483" t="inlineStr">
        <is>
          <t>M1</t>
        </is>
      </c>
      <c r="C2483" t="inlineStr">
        <is>
          <t>Cali</t>
        </is>
      </c>
      <c r="D2483" t="inlineStr">
        <is>
          <t>4317</t>
        </is>
      </c>
      <c r="E2483" t="inlineStr">
        <is>
          <t>pagado</t>
        </is>
      </c>
      <c r="F2483" s="23" t="n">
        <v>46271</v>
      </c>
      <c r="G2483" s="24">
        <f>F2483-DATE(2026,8,31)</f>
        <v>6</v>
      </c>
      <c r="H2483" s="25" t="n">
        <v>93199582</v>
      </c>
      <c r="I2483" t="inlineStr">
        <is>
          <t>entidad-dia</t>
        </is>
      </c>
    </row>
    <row r="2484">
      <c r="A2484" t="inlineStr">
        <is>
          <t>PRAGMA</t>
        </is>
      </c>
      <c r="B2484" t="inlineStr">
        <is>
          <t>M1</t>
        </is>
      </c>
      <c r="C2484" t="inlineStr">
        <is>
          <t>Cali</t>
        </is>
      </c>
      <c r="D2484" t="inlineStr">
        <is>
          <t>4317</t>
        </is>
      </c>
      <c r="E2484" t="inlineStr">
        <is>
          <t>pagado</t>
        </is>
      </c>
      <c r="F2484" s="23" t="n">
        <v>46272</v>
      </c>
      <c r="G2484" s="24">
        <f>F2484-DATE(2026,8,31)</f>
        <v>7</v>
      </c>
      <c r="H2484" s="25" t="n">
        <v>93936313</v>
      </c>
      <c r="I2484" t="inlineStr">
        <is>
          <t>entidad-dia</t>
        </is>
      </c>
    </row>
    <row r="2485">
      <c r="A2485" t="inlineStr">
        <is>
          <t>PRAGMA</t>
        </is>
      </c>
      <c r="B2485" t="inlineStr">
        <is>
          <t>M1</t>
        </is>
      </c>
      <c r="C2485" t="inlineStr">
        <is>
          <t>Cali</t>
        </is>
      </c>
      <c r="D2485" t="inlineStr">
        <is>
          <t>4317</t>
        </is>
      </c>
      <c r="E2485" t="inlineStr">
        <is>
          <t>pagado</t>
        </is>
      </c>
      <c r="F2485" s="23" t="n">
        <v>46273</v>
      </c>
      <c r="G2485" s="24">
        <f>F2485-DATE(2026,8,31)</f>
        <v>8</v>
      </c>
      <c r="H2485" s="25" t="n">
        <v>92453596</v>
      </c>
      <c r="I2485" t="inlineStr">
        <is>
          <t>entidad-dia</t>
        </is>
      </c>
    </row>
    <row r="2486">
      <c r="A2486" t="inlineStr">
        <is>
          <t>PRAGMA</t>
        </is>
      </c>
      <c r="B2486" t="inlineStr">
        <is>
          <t>M1</t>
        </is>
      </c>
      <c r="C2486" t="inlineStr">
        <is>
          <t>Cali</t>
        </is>
      </c>
      <c r="D2486" t="inlineStr">
        <is>
          <t>4317</t>
        </is>
      </c>
      <c r="E2486" t="inlineStr">
        <is>
          <t>pagado</t>
        </is>
      </c>
      <c r="F2486" s="23" t="n">
        <v>46274</v>
      </c>
      <c r="G2486" s="24">
        <f>F2486-DATE(2026,8,31)</f>
        <v>9</v>
      </c>
      <c r="H2486" s="25" t="n">
        <v>92814753</v>
      </c>
      <c r="I2486" t="inlineStr">
        <is>
          <t>entidad-dia</t>
        </is>
      </c>
    </row>
    <row r="2487">
      <c r="A2487" t="inlineStr">
        <is>
          <t>PRAGMA</t>
        </is>
      </c>
      <c r="B2487" t="inlineStr">
        <is>
          <t>M1</t>
        </is>
      </c>
      <c r="C2487" t="inlineStr">
        <is>
          <t>Cali</t>
        </is>
      </c>
      <c r="D2487" t="inlineStr">
        <is>
          <t>4317</t>
        </is>
      </c>
      <c r="E2487" t="inlineStr">
        <is>
          <t>pagado</t>
        </is>
      </c>
      <c r="F2487" s="23" t="n">
        <v>46275</v>
      </c>
      <c r="G2487" s="24">
        <f>F2487-DATE(2026,8,31)</f>
        <v>10</v>
      </c>
      <c r="H2487" s="25" t="n">
        <v>86551117</v>
      </c>
      <c r="I2487" t="inlineStr">
        <is>
          <t>entidad-dia</t>
        </is>
      </c>
    </row>
    <row r="2488">
      <c r="A2488" t="inlineStr">
        <is>
          <t>PRAGMA</t>
        </is>
      </c>
      <c r="B2488" t="inlineStr">
        <is>
          <t>M1</t>
        </is>
      </c>
      <c r="C2488" t="inlineStr">
        <is>
          <t>Cali</t>
        </is>
      </c>
      <c r="D2488" t="inlineStr">
        <is>
          <t>4317</t>
        </is>
      </c>
      <c r="E2488" t="inlineStr">
        <is>
          <t>pagado</t>
        </is>
      </c>
      <c r="F2488" s="23" t="n">
        <v>46276</v>
      </c>
      <c r="G2488" s="24">
        <f>F2488-DATE(2026,8,31)</f>
        <v>11</v>
      </c>
      <c r="H2488" s="25" t="n">
        <v>105217804</v>
      </c>
      <c r="I2488" t="inlineStr">
        <is>
          <t>entidad-dia</t>
        </is>
      </c>
    </row>
    <row r="2489">
      <c r="A2489" t="inlineStr">
        <is>
          <t>PRAGMA</t>
        </is>
      </c>
      <c r="B2489" t="inlineStr">
        <is>
          <t>M1</t>
        </is>
      </c>
      <c r="C2489" t="inlineStr">
        <is>
          <t>Cali</t>
        </is>
      </c>
      <c r="D2489" t="inlineStr">
        <is>
          <t>4317</t>
        </is>
      </c>
      <c r="E2489" t="inlineStr">
        <is>
          <t>pagado</t>
        </is>
      </c>
      <c r="F2489" s="23" t="n">
        <v>46277</v>
      </c>
      <c r="G2489" s="24">
        <f>F2489-DATE(2026,8,31)</f>
        <v>12</v>
      </c>
      <c r="H2489" s="25" t="n">
        <v>107317923</v>
      </c>
      <c r="I2489" t="inlineStr">
        <is>
          <t>entidad-dia</t>
        </is>
      </c>
    </row>
    <row r="2490">
      <c r="A2490" t="inlineStr">
        <is>
          <t>PRAGMA</t>
        </is>
      </c>
      <c r="B2490" t="inlineStr">
        <is>
          <t>M1</t>
        </is>
      </c>
      <c r="C2490" t="inlineStr">
        <is>
          <t>Cali</t>
        </is>
      </c>
      <c r="D2490" t="inlineStr">
        <is>
          <t>4317</t>
        </is>
      </c>
      <c r="E2490" t="inlineStr">
        <is>
          <t>pagado</t>
        </is>
      </c>
      <c r="F2490" s="23" t="n">
        <v>46278</v>
      </c>
      <c r="G2490" s="24">
        <f>F2490-DATE(2026,8,31)</f>
        <v>13</v>
      </c>
      <c r="H2490" s="25" t="n">
        <v>69364873</v>
      </c>
      <c r="I2490" t="inlineStr">
        <is>
          <t>entidad-dia</t>
        </is>
      </c>
    </row>
    <row r="2491">
      <c r="A2491" t="inlineStr">
        <is>
          <t>PRAGMA</t>
        </is>
      </c>
      <c r="B2491" t="inlineStr">
        <is>
          <t>M1</t>
        </is>
      </c>
      <c r="C2491" t="inlineStr">
        <is>
          <t>Cali</t>
        </is>
      </c>
      <c r="D2491" t="inlineStr">
        <is>
          <t>4317</t>
        </is>
      </c>
      <c r="E2491" t="inlineStr">
        <is>
          <t>pagado</t>
        </is>
      </c>
      <c r="F2491" s="23" t="n">
        <v>46279</v>
      </c>
      <c r="G2491" s="24">
        <f>F2491-DATE(2026,8,31)</f>
        <v>14</v>
      </c>
      <c r="H2491" s="25" t="n">
        <v>83540888</v>
      </c>
      <c r="I2491" t="inlineStr">
        <is>
          <t>entidad-dia</t>
        </is>
      </c>
    </row>
    <row r="2492">
      <c r="A2492" t="inlineStr">
        <is>
          <t>PRAGMA</t>
        </is>
      </c>
      <c r="B2492" t="inlineStr">
        <is>
          <t>M1</t>
        </is>
      </c>
      <c r="C2492" t="inlineStr">
        <is>
          <t>Cali</t>
        </is>
      </c>
      <c r="D2492" t="inlineStr">
        <is>
          <t>4317</t>
        </is>
      </c>
      <c r="E2492" t="inlineStr">
        <is>
          <t>pagado</t>
        </is>
      </c>
      <c r="F2492" s="23" t="n">
        <v>46280</v>
      </c>
      <c r="G2492" s="24">
        <f>F2492-DATE(2026,8,31)</f>
        <v>15</v>
      </c>
      <c r="H2492" s="25" t="n">
        <v>129975643</v>
      </c>
      <c r="I2492" t="inlineStr">
        <is>
          <t>entidad-dia</t>
        </is>
      </c>
    </row>
    <row r="2493">
      <c r="A2493" t="inlineStr">
        <is>
          <t>PRAGMA</t>
        </is>
      </c>
      <c r="B2493" t="inlineStr">
        <is>
          <t>M1</t>
        </is>
      </c>
      <c r="C2493" t="inlineStr">
        <is>
          <t>Cali</t>
        </is>
      </c>
      <c r="D2493" t="inlineStr">
        <is>
          <t>4322</t>
        </is>
      </c>
      <c r="E2493" t="inlineStr">
        <is>
          <t>pagado</t>
        </is>
      </c>
      <c r="F2493" s="23" t="n">
        <v>46266</v>
      </c>
      <c r="G2493" s="24">
        <f>F2493-DATE(2026,8,31)</f>
        <v>1</v>
      </c>
      <c r="H2493" s="25" t="n">
        <v>207326065</v>
      </c>
      <c r="I2493" t="inlineStr">
        <is>
          <t>entidad-dia</t>
        </is>
      </c>
    </row>
    <row r="2494">
      <c r="A2494" t="inlineStr">
        <is>
          <t>PRAGMA</t>
        </is>
      </c>
      <c r="B2494" t="inlineStr">
        <is>
          <t>M1</t>
        </is>
      </c>
      <c r="C2494" t="inlineStr">
        <is>
          <t>Cali</t>
        </is>
      </c>
      <c r="D2494" t="inlineStr">
        <is>
          <t>4322</t>
        </is>
      </c>
      <c r="E2494" t="inlineStr">
        <is>
          <t>pagado</t>
        </is>
      </c>
      <c r="F2494" s="23" t="n">
        <v>46267</v>
      </c>
      <c r="G2494" s="24">
        <f>F2494-DATE(2026,8,31)</f>
        <v>2</v>
      </c>
      <c r="H2494" s="25" t="n">
        <v>164932968</v>
      </c>
      <c r="I2494" t="inlineStr">
        <is>
          <t>entidad-dia</t>
        </is>
      </c>
    </row>
    <row r="2495">
      <c r="A2495" t="inlineStr">
        <is>
          <t>PRAGMA</t>
        </is>
      </c>
      <c r="B2495" t="inlineStr">
        <is>
          <t>M1</t>
        </is>
      </c>
      <c r="C2495" t="inlineStr">
        <is>
          <t>Cali</t>
        </is>
      </c>
      <c r="D2495" t="inlineStr">
        <is>
          <t>4322</t>
        </is>
      </c>
      <c r="E2495" t="inlineStr">
        <is>
          <t>pagado</t>
        </is>
      </c>
      <c r="F2495" s="23" t="n">
        <v>46268</v>
      </c>
      <c r="G2495" s="24">
        <f>F2495-DATE(2026,8,31)</f>
        <v>3</v>
      </c>
      <c r="H2495" s="25" t="n">
        <v>146941248</v>
      </c>
      <c r="I2495" t="inlineStr">
        <is>
          <t>entidad-dia</t>
        </is>
      </c>
    </row>
    <row r="2496">
      <c r="A2496" t="inlineStr">
        <is>
          <t>PRAGMA</t>
        </is>
      </c>
      <c r="B2496" t="inlineStr">
        <is>
          <t>M1</t>
        </is>
      </c>
      <c r="C2496" t="inlineStr">
        <is>
          <t>Cali</t>
        </is>
      </c>
      <c r="D2496" t="inlineStr">
        <is>
          <t>4322</t>
        </is>
      </c>
      <c r="E2496" t="inlineStr">
        <is>
          <t>pagado</t>
        </is>
      </c>
      <c r="F2496" s="23" t="n">
        <v>46269</v>
      </c>
      <c r="G2496" s="24">
        <f>F2496-DATE(2026,8,31)</f>
        <v>4</v>
      </c>
      <c r="H2496" s="25" t="n">
        <v>155743394</v>
      </c>
      <c r="I2496" t="inlineStr">
        <is>
          <t>entidad-dia</t>
        </is>
      </c>
    </row>
    <row r="2497">
      <c r="A2497" t="inlineStr">
        <is>
          <t>PRAGMA</t>
        </is>
      </c>
      <c r="B2497" t="inlineStr">
        <is>
          <t>M1</t>
        </is>
      </c>
      <c r="C2497" t="inlineStr">
        <is>
          <t>Cali</t>
        </is>
      </c>
      <c r="D2497" t="inlineStr">
        <is>
          <t>4322</t>
        </is>
      </c>
      <c r="E2497" t="inlineStr">
        <is>
          <t>pagado</t>
        </is>
      </c>
      <c r="F2497" s="23" t="n">
        <v>46270</v>
      </c>
      <c r="G2497" s="24">
        <f>F2497-DATE(2026,8,31)</f>
        <v>5</v>
      </c>
      <c r="H2497" s="25" t="n">
        <v>177790160</v>
      </c>
      <c r="I2497" t="inlineStr">
        <is>
          <t>entidad-dia</t>
        </is>
      </c>
    </row>
    <row r="2498">
      <c r="A2498" t="inlineStr">
        <is>
          <t>PRAGMA</t>
        </is>
      </c>
      <c r="B2498" t="inlineStr">
        <is>
          <t>M1</t>
        </is>
      </c>
      <c r="C2498" t="inlineStr">
        <is>
          <t>Cali</t>
        </is>
      </c>
      <c r="D2498" t="inlineStr">
        <is>
          <t>4322</t>
        </is>
      </c>
      <c r="E2498" t="inlineStr">
        <is>
          <t>pagado</t>
        </is>
      </c>
      <c r="F2498" s="23" t="n">
        <v>46271</v>
      </c>
      <c r="G2498" s="24">
        <f>F2498-DATE(2026,8,31)</f>
        <v>6</v>
      </c>
      <c r="H2498" s="25" t="n">
        <v>144790503</v>
      </c>
      <c r="I2498" t="inlineStr">
        <is>
          <t>entidad-dia</t>
        </is>
      </c>
    </row>
    <row r="2499">
      <c r="A2499" t="inlineStr">
        <is>
          <t>PRAGMA</t>
        </is>
      </c>
      <c r="B2499" t="inlineStr">
        <is>
          <t>M1</t>
        </is>
      </c>
      <c r="C2499" t="inlineStr">
        <is>
          <t>Cali</t>
        </is>
      </c>
      <c r="D2499" t="inlineStr">
        <is>
          <t>4322</t>
        </is>
      </c>
      <c r="E2499" t="inlineStr">
        <is>
          <t>pagado</t>
        </is>
      </c>
      <c r="F2499" s="23" t="n">
        <v>46272</v>
      </c>
      <c r="G2499" s="24">
        <f>F2499-DATE(2026,8,31)</f>
        <v>7</v>
      </c>
      <c r="H2499" s="25" t="n">
        <v>113546699</v>
      </c>
      <c r="I2499" t="inlineStr">
        <is>
          <t>entidad-dia</t>
        </is>
      </c>
    </row>
    <row r="2500">
      <c r="A2500" t="inlineStr">
        <is>
          <t>PRAGMA</t>
        </is>
      </c>
      <c r="B2500" t="inlineStr">
        <is>
          <t>M1</t>
        </is>
      </c>
      <c r="C2500" t="inlineStr">
        <is>
          <t>Cali</t>
        </is>
      </c>
      <c r="D2500" t="inlineStr">
        <is>
          <t>4322</t>
        </is>
      </c>
      <c r="E2500" t="inlineStr">
        <is>
          <t>pagado</t>
        </is>
      </c>
      <c r="F2500" s="23" t="n">
        <v>46273</v>
      </c>
      <c r="G2500" s="24">
        <f>F2500-DATE(2026,8,31)</f>
        <v>8</v>
      </c>
      <c r="H2500" s="25" t="n">
        <v>110742692</v>
      </c>
      <c r="I2500" t="inlineStr">
        <is>
          <t>entidad-dia</t>
        </is>
      </c>
    </row>
    <row r="2501">
      <c r="A2501" t="inlineStr">
        <is>
          <t>PRAGMA</t>
        </is>
      </c>
      <c r="B2501" t="inlineStr">
        <is>
          <t>M1</t>
        </is>
      </c>
      <c r="C2501" t="inlineStr">
        <is>
          <t>Cali</t>
        </is>
      </c>
      <c r="D2501" t="inlineStr">
        <is>
          <t>4322</t>
        </is>
      </c>
      <c r="E2501" t="inlineStr">
        <is>
          <t>pagado</t>
        </is>
      </c>
      <c r="F2501" s="23" t="n">
        <v>46274</v>
      </c>
      <c r="G2501" s="24">
        <f>F2501-DATE(2026,8,31)</f>
        <v>9</v>
      </c>
      <c r="H2501" s="25" t="n">
        <v>108782923</v>
      </c>
      <c r="I2501" t="inlineStr">
        <is>
          <t>entidad-dia</t>
        </is>
      </c>
    </row>
    <row r="2502">
      <c r="A2502" t="inlineStr">
        <is>
          <t>PRAGMA</t>
        </is>
      </c>
      <c r="B2502" t="inlineStr">
        <is>
          <t>M1</t>
        </is>
      </c>
      <c r="C2502" t="inlineStr">
        <is>
          <t>Cali</t>
        </is>
      </c>
      <c r="D2502" t="inlineStr">
        <is>
          <t>4322</t>
        </is>
      </c>
      <c r="E2502" t="inlineStr">
        <is>
          <t>pagado</t>
        </is>
      </c>
      <c r="F2502" s="23" t="n">
        <v>46275</v>
      </c>
      <c r="G2502" s="24">
        <f>F2502-DATE(2026,8,31)</f>
        <v>10</v>
      </c>
      <c r="H2502" s="25" t="n">
        <v>99612115</v>
      </c>
      <c r="I2502" t="inlineStr">
        <is>
          <t>entidad-dia</t>
        </is>
      </c>
    </row>
    <row r="2503">
      <c r="A2503" t="inlineStr">
        <is>
          <t>PRAGMA</t>
        </is>
      </c>
      <c r="B2503" t="inlineStr">
        <is>
          <t>M1</t>
        </is>
      </c>
      <c r="C2503" t="inlineStr">
        <is>
          <t>Cali</t>
        </is>
      </c>
      <c r="D2503" t="inlineStr">
        <is>
          <t>4322</t>
        </is>
      </c>
      <c r="E2503" t="inlineStr">
        <is>
          <t>pagado</t>
        </is>
      </c>
      <c r="F2503" s="23" t="n">
        <v>46276</v>
      </c>
      <c r="G2503" s="24">
        <f>F2503-DATE(2026,8,31)</f>
        <v>11</v>
      </c>
      <c r="H2503" s="25" t="n">
        <v>94258546</v>
      </c>
      <c r="I2503" t="inlineStr">
        <is>
          <t>entidad-dia</t>
        </is>
      </c>
    </row>
    <row r="2504">
      <c r="A2504" t="inlineStr">
        <is>
          <t>PRAGMA</t>
        </is>
      </c>
      <c r="B2504" t="inlineStr">
        <is>
          <t>M1</t>
        </is>
      </c>
      <c r="C2504" t="inlineStr">
        <is>
          <t>Cali</t>
        </is>
      </c>
      <c r="D2504" t="inlineStr">
        <is>
          <t>4322</t>
        </is>
      </c>
      <c r="E2504" t="inlineStr">
        <is>
          <t>pagado</t>
        </is>
      </c>
      <c r="F2504" s="23" t="n">
        <v>46277</v>
      </c>
      <c r="G2504" s="24">
        <f>F2504-DATE(2026,8,31)</f>
        <v>12</v>
      </c>
      <c r="H2504" s="25" t="n">
        <v>129220991</v>
      </c>
      <c r="I2504" t="inlineStr">
        <is>
          <t>entidad-dia</t>
        </is>
      </c>
    </row>
    <row r="2505">
      <c r="A2505" t="inlineStr">
        <is>
          <t>PRAGMA</t>
        </is>
      </c>
      <c r="B2505" t="inlineStr">
        <is>
          <t>M1</t>
        </is>
      </c>
      <c r="C2505" t="inlineStr">
        <is>
          <t>Cali</t>
        </is>
      </c>
      <c r="D2505" t="inlineStr">
        <is>
          <t>4322</t>
        </is>
      </c>
      <c r="E2505" t="inlineStr">
        <is>
          <t>pagado</t>
        </is>
      </c>
      <c r="F2505" s="23" t="n">
        <v>46278</v>
      </c>
      <c r="G2505" s="24">
        <f>F2505-DATE(2026,8,31)</f>
        <v>13</v>
      </c>
      <c r="H2505" s="25" t="n">
        <v>117771421</v>
      </c>
      <c r="I2505" t="inlineStr">
        <is>
          <t>entidad-dia</t>
        </is>
      </c>
    </row>
    <row r="2506">
      <c r="A2506" t="inlineStr">
        <is>
          <t>PRAGMA</t>
        </is>
      </c>
      <c r="B2506" t="inlineStr">
        <is>
          <t>M1</t>
        </is>
      </c>
      <c r="C2506" t="inlineStr">
        <is>
          <t>Cali</t>
        </is>
      </c>
      <c r="D2506" t="inlineStr">
        <is>
          <t>4322</t>
        </is>
      </c>
      <c r="E2506" t="inlineStr">
        <is>
          <t>pagado</t>
        </is>
      </c>
      <c r="F2506" s="23" t="n">
        <v>46279</v>
      </c>
      <c r="G2506" s="24">
        <f>F2506-DATE(2026,8,31)</f>
        <v>14</v>
      </c>
      <c r="H2506" s="25" t="n">
        <v>108955525</v>
      </c>
      <c r="I2506" t="inlineStr">
        <is>
          <t>entidad-dia</t>
        </is>
      </c>
    </row>
    <row r="2507">
      <c r="A2507" t="inlineStr">
        <is>
          <t>PRAGMA</t>
        </is>
      </c>
      <c r="B2507" t="inlineStr">
        <is>
          <t>M1</t>
        </is>
      </c>
      <c r="C2507" t="inlineStr">
        <is>
          <t>Cali</t>
        </is>
      </c>
      <c r="D2507" t="inlineStr">
        <is>
          <t>4322</t>
        </is>
      </c>
      <c r="E2507" t="inlineStr">
        <is>
          <t>pagado</t>
        </is>
      </c>
      <c r="F2507" s="23" t="n">
        <v>46280</v>
      </c>
      <c r="G2507" s="24">
        <f>F2507-DATE(2026,8,31)</f>
        <v>15</v>
      </c>
      <c r="H2507" s="25" t="n">
        <v>139803232</v>
      </c>
      <c r="I2507" t="inlineStr">
        <is>
          <t>entidad-dia</t>
        </is>
      </c>
    </row>
    <row r="2508">
      <c r="A2508" t="inlineStr">
        <is>
          <t>PRAGMA</t>
        </is>
      </c>
      <c r="B2508" t="inlineStr">
        <is>
          <t>M1</t>
        </is>
      </c>
      <c r="C2508" t="inlineStr">
        <is>
          <t>Cali</t>
        </is>
      </c>
      <c r="D2508" t="inlineStr">
        <is>
          <t>4350</t>
        </is>
      </c>
      <c r="E2508" t="inlineStr">
        <is>
          <t>pagado</t>
        </is>
      </c>
      <c r="F2508" s="23" t="n">
        <v>46266</v>
      </c>
      <c r="G2508" s="24">
        <f>F2508-DATE(2026,8,31)</f>
        <v>1</v>
      </c>
      <c r="H2508" s="25" t="n">
        <v>185162071</v>
      </c>
      <c r="I2508" t="inlineStr">
        <is>
          <t>entidad-dia</t>
        </is>
      </c>
    </row>
    <row r="2509">
      <c r="A2509" t="inlineStr">
        <is>
          <t>PRAGMA</t>
        </is>
      </c>
      <c r="B2509" t="inlineStr">
        <is>
          <t>M1</t>
        </is>
      </c>
      <c r="C2509" t="inlineStr">
        <is>
          <t>Cali</t>
        </is>
      </c>
      <c r="D2509" t="inlineStr">
        <is>
          <t>4350</t>
        </is>
      </c>
      <c r="E2509" t="inlineStr">
        <is>
          <t>pagado</t>
        </is>
      </c>
      <c r="F2509" s="23" t="n">
        <v>46267</v>
      </c>
      <c r="G2509" s="24">
        <f>F2509-DATE(2026,8,31)</f>
        <v>2</v>
      </c>
      <c r="H2509" s="25" t="n">
        <v>136592379</v>
      </c>
      <c r="I2509" t="inlineStr">
        <is>
          <t>entidad-dia</t>
        </is>
      </c>
    </row>
    <row r="2510">
      <c r="A2510" t="inlineStr">
        <is>
          <t>PRAGMA</t>
        </is>
      </c>
      <c r="B2510" t="inlineStr">
        <is>
          <t>M1</t>
        </is>
      </c>
      <c r="C2510" t="inlineStr">
        <is>
          <t>Cali</t>
        </is>
      </c>
      <c r="D2510" t="inlineStr">
        <is>
          <t>4350</t>
        </is>
      </c>
      <c r="E2510" t="inlineStr">
        <is>
          <t>pagado</t>
        </is>
      </c>
      <c r="F2510" s="23" t="n">
        <v>46268</v>
      </c>
      <c r="G2510" s="24">
        <f>F2510-DATE(2026,8,31)</f>
        <v>3</v>
      </c>
      <c r="H2510" s="25" t="n">
        <v>137016815</v>
      </c>
      <c r="I2510" t="inlineStr">
        <is>
          <t>entidad-dia</t>
        </is>
      </c>
    </row>
    <row r="2511">
      <c r="A2511" t="inlineStr">
        <is>
          <t>PRAGMA</t>
        </is>
      </c>
      <c r="B2511" t="inlineStr">
        <is>
          <t>M1</t>
        </is>
      </c>
      <c r="C2511" t="inlineStr">
        <is>
          <t>Cali</t>
        </is>
      </c>
      <c r="D2511" t="inlineStr">
        <is>
          <t>4350</t>
        </is>
      </c>
      <c r="E2511" t="inlineStr">
        <is>
          <t>pagado</t>
        </is>
      </c>
      <c r="F2511" s="23" t="n">
        <v>46269</v>
      </c>
      <c r="G2511" s="24">
        <f>F2511-DATE(2026,8,31)</f>
        <v>4</v>
      </c>
      <c r="H2511" s="25" t="n">
        <v>124393833</v>
      </c>
      <c r="I2511" t="inlineStr">
        <is>
          <t>entidad-dia</t>
        </is>
      </c>
    </row>
    <row r="2512">
      <c r="A2512" t="inlineStr">
        <is>
          <t>PRAGMA</t>
        </is>
      </c>
      <c r="B2512" t="inlineStr">
        <is>
          <t>M1</t>
        </is>
      </c>
      <c r="C2512" t="inlineStr">
        <is>
          <t>Cali</t>
        </is>
      </c>
      <c r="D2512" t="inlineStr">
        <is>
          <t>4350</t>
        </is>
      </c>
      <c r="E2512" t="inlineStr">
        <is>
          <t>pagado</t>
        </is>
      </c>
      <c r="F2512" s="23" t="n">
        <v>46270</v>
      </c>
      <c r="G2512" s="24">
        <f>F2512-DATE(2026,8,31)</f>
        <v>5</v>
      </c>
      <c r="H2512" s="25" t="n">
        <v>148363108</v>
      </c>
      <c r="I2512" t="inlineStr">
        <is>
          <t>entidad-dia</t>
        </is>
      </c>
    </row>
    <row r="2513">
      <c r="A2513" t="inlineStr">
        <is>
          <t>PRAGMA</t>
        </is>
      </c>
      <c r="B2513" t="inlineStr">
        <is>
          <t>M1</t>
        </is>
      </c>
      <c r="C2513" t="inlineStr">
        <is>
          <t>Cali</t>
        </is>
      </c>
      <c r="D2513" t="inlineStr">
        <is>
          <t>4350</t>
        </is>
      </c>
      <c r="E2513" t="inlineStr">
        <is>
          <t>pagado</t>
        </is>
      </c>
      <c r="F2513" s="23" t="n">
        <v>46271</v>
      </c>
      <c r="G2513" s="24">
        <f>F2513-DATE(2026,8,31)</f>
        <v>6</v>
      </c>
      <c r="H2513" s="25" t="n">
        <v>100778641</v>
      </c>
      <c r="I2513" t="inlineStr">
        <is>
          <t>entidad-dia</t>
        </is>
      </c>
    </row>
    <row r="2514">
      <c r="A2514" t="inlineStr">
        <is>
          <t>PRAGMA</t>
        </is>
      </c>
      <c r="B2514" t="inlineStr">
        <is>
          <t>M1</t>
        </is>
      </c>
      <c r="C2514" t="inlineStr">
        <is>
          <t>Cali</t>
        </is>
      </c>
      <c r="D2514" t="inlineStr">
        <is>
          <t>4350</t>
        </is>
      </c>
      <c r="E2514" t="inlineStr">
        <is>
          <t>pagado</t>
        </is>
      </c>
      <c r="F2514" s="23" t="n">
        <v>46272</v>
      </c>
      <c r="G2514" s="24">
        <f>F2514-DATE(2026,8,31)</f>
        <v>7</v>
      </c>
      <c r="H2514" s="25" t="n">
        <v>114758112</v>
      </c>
      <c r="I2514" t="inlineStr">
        <is>
          <t>entidad-dia</t>
        </is>
      </c>
    </row>
    <row r="2515">
      <c r="A2515" t="inlineStr">
        <is>
          <t>PRAGMA</t>
        </is>
      </c>
      <c r="B2515" t="inlineStr">
        <is>
          <t>M1</t>
        </is>
      </c>
      <c r="C2515" t="inlineStr">
        <is>
          <t>Cali</t>
        </is>
      </c>
      <c r="D2515" t="inlineStr">
        <is>
          <t>4350</t>
        </is>
      </c>
      <c r="E2515" t="inlineStr">
        <is>
          <t>pagado</t>
        </is>
      </c>
      <c r="F2515" s="23" t="n">
        <v>46273</v>
      </c>
      <c r="G2515" s="24">
        <f>F2515-DATE(2026,8,31)</f>
        <v>8</v>
      </c>
      <c r="H2515" s="25" t="n">
        <v>102355987</v>
      </c>
      <c r="I2515" t="inlineStr">
        <is>
          <t>entidad-dia</t>
        </is>
      </c>
    </row>
    <row r="2516">
      <c r="A2516" t="inlineStr">
        <is>
          <t>PRAGMA</t>
        </is>
      </c>
      <c r="B2516" t="inlineStr">
        <is>
          <t>M1</t>
        </is>
      </c>
      <c r="C2516" t="inlineStr">
        <is>
          <t>Cali</t>
        </is>
      </c>
      <c r="D2516" t="inlineStr">
        <is>
          <t>4350</t>
        </is>
      </c>
      <c r="E2516" t="inlineStr">
        <is>
          <t>pagado</t>
        </is>
      </c>
      <c r="F2516" s="23" t="n">
        <v>46274</v>
      </c>
      <c r="G2516" s="24">
        <f>F2516-DATE(2026,8,31)</f>
        <v>9</v>
      </c>
      <c r="H2516" s="25" t="n">
        <v>98187479</v>
      </c>
      <c r="I2516" t="inlineStr">
        <is>
          <t>entidad-dia</t>
        </is>
      </c>
    </row>
    <row r="2517">
      <c r="A2517" t="inlineStr">
        <is>
          <t>PRAGMA</t>
        </is>
      </c>
      <c r="B2517" t="inlineStr">
        <is>
          <t>M1</t>
        </is>
      </c>
      <c r="C2517" t="inlineStr">
        <is>
          <t>Cali</t>
        </is>
      </c>
      <c r="D2517" t="inlineStr">
        <is>
          <t>4350</t>
        </is>
      </c>
      <c r="E2517" t="inlineStr">
        <is>
          <t>pagado</t>
        </is>
      </c>
      <c r="F2517" s="23" t="n">
        <v>46275</v>
      </c>
      <c r="G2517" s="24">
        <f>F2517-DATE(2026,8,31)</f>
        <v>10</v>
      </c>
      <c r="H2517" s="25" t="n">
        <v>107064499</v>
      </c>
      <c r="I2517" t="inlineStr">
        <is>
          <t>entidad-dia</t>
        </is>
      </c>
    </row>
    <row r="2518">
      <c r="A2518" t="inlineStr">
        <is>
          <t>PRAGMA</t>
        </is>
      </c>
      <c r="B2518" t="inlineStr">
        <is>
          <t>M1</t>
        </is>
      </c>
      <c r="C2518" t="inlineStr">
        <is>
          <t>Cali</t>
        </is>
      </c>
      <c r="D2518" t="inlineStr">
        <is>
          <t>4350</t>
        </is>
      </c>
      <c r="E2518" t="inlineStr">
        <is>
          <t>pagado</t>
        </is>
      </c>
      <c r="F2518" s="23" t="n">
        <v>46276</v>
      </c>
      <c r="G2518" s="24">
        <f>F2518-DATE(2026,8,31)</f>
        <v>11</v>
      </c>
      <c r="H2518" s="25" t="n">
        <v>102627303</v>
      </c>
      <c r="I2518" t="inlineStr">
        <is>
          <t>entidad-dia</t>
        </is>
      </c>
    </row>
    <row r="2519">
      <c r="A2519" t="inlineStr">
        <is>
          <t>PRAGMA</t>
        </is>
      </c>
      <c r="B2519" t="inlineStr">
        <is>
          <t>M1</t>
        </is>
      </c>
      <c r="C2519" t="inlineStr">
        <is>
          <t>Cali</t>
        </is>
      </c>
      <c r="D2519" t="inlineStr">
        <is>
          <t>4350</t>
        </is>
      </c>
      <c r="E2519" t="inlineStr">
        <is>
          <t>pagado</t>
        </is>
      </c>
      <c r="F2519" s="23" t="n">
        <v>46277</v>
      </c>
      <c r="G2519" s="24">
        <f>F2519-DATE(2026,8,31)</f>
        <v>12</v>
      </c>
      <c r="H2519" s="25" t="n">
        <v>121496367</v>
      </c>
      <c r="I2519" t="inlineStr">
        <is>
          <t>entidad-dia</t>
        </is>
      </c>
    </row>
    <row r="2520">
      <c r="A2520" t="inlineStr">
        <is>
          <t>PRAGMA</t>
        </is>
      </c>
      <c r="B2520" t="inlineStr">
        <is>
          <t>M1</t>
        </is>
      </c>
      <c r="C2520" t="inlineStr">
        <is>
          <t>Cali</t>
        </is>
      </c>
      <c r="D2520" t="inlineStr">
        <is>
          <t>4350</t>
        </is>
      </c>
      <c r="E2520" t="inlineStr">
        <is>
          <t>pagado</t>
        </is>
      </c>
      <c r="F2520" s="23" t="n">
        <v>46278</v>
      </c>
      <c r="G2520" s="24">
        <f>F2520-DATE(2026,8,31)</f>
        <v>13</v>
      </c>
      <c r="H2520" s="25" t="n">
        <v>87433524</v>
      </c>
      <c r="I2520" t="inlineStr">
        <is>
          <t>entidad-dia</t>
        </is>
      </c>
    </row>
    <row r="2521">
      <c r="A2521" t="inlineStr">
        <is>
          <t>PRAGMA</t>
        </is>
      </c>
      <c r="B2521" t="inlineStr">
        <is>
          <t>M1</t>
        </is>
      </c>
      <c r="C2521" t="inlineStr">
        <is>
          <t>Cali</t>
        </is>
      </c>
      <c r="D2521" t="inlineStr">
        <is>
          <t>4350</t>
        </is>
      </c>
      <c r="E2521" t="inlineStr">
        <is>
          <t>pagado</t>
        </is>
      </c>
      <c r="F2521" s="23" t="n">
        <v>46279</v>
      </c>
      <c r="G2521" s="24">
        <f>F2521-DATE(2026,8,31)</f>
        <v>14</v>
      </c>
      <c r="H2521" s="25" t="n">
        <v>117550504</v>
      </c>
      <c r="I2521" t="inlineStr">
        <is>
          <t>entidad-dia</t>
        </is>
      </c>
    </row>
    <row r="2522">
      <c r="A2522" t="inlineStr">
        <is>
          <t>PRAGMA</t>
        </is>
      </c>
      <c r="B2522" t="inlineStr">
        <is>
          <t>M1</t>
        </is>
      </c>
      <c r="C2522" t="inlineStr">
        <is>
          <t>Cali</t>
        </is>
      </c>
      <c r="D2522" t="inlineStr">
        <is>
          <t>4350</t>
        </is>
      </c>
      <c r="E2522" t="inlineStr">
        <is>
          <t>pagado</t>
        </is>
      </c>
      <c r="F2522" s="23" t="n">
        <v>46280</v>
      </c>
      <c r="G2522" s="24">
        <f>F2522-DATE(2026,8,31)</f>
        <v>15</v>
      </c>
      <c r="H2522" s="25" t="n">
        <v>155330511</v>
      </c>
      <c r="I2522" t="inlineStr">
        <is>
          <t>entidad-dia</t>
        </is>
      </c>
    </row>
    <row r="2523">
      <c r="A2523" t="inlineStr">
        <is>
          <t>PRAGMA</t>
        </is>
      </c>
      <c r="B2523" t="inlineStr">
        <is>
          <t>M1</t>
        </is>
      </c>
      <c r="C2523" t="inlineStr">
        <is>
          <t>Cali</t>
        </is>
      </c>
      <c r="D2523" t="inlineStr">
        <is>
          <t>4446</t>
        </is>
      </c>
      <c r="E2523" t="inlineStr">
        <is>
          <t>pagado</t>
        </is>
      </c>
      <c r="F2523" s="23" t="n">
        <v>46266</v>
      </c>
      <c r="G2523" s="24">
        <f>F2523-DATE(2026,8,31)</f>
        <v>1</v>
      </c>
      <c r="H2523" s="25" t="n">
        <v>82751044</v>
      </c>
      <c r="I2523" t="inlineStr">
        <is>
          <t>entidad-dia</t>
        </is>
      </c>
    </row>
    <row r="2524">
      <c r="A2524" t="inlineStr">
        <is>
          <t>PRAGMA</t>
        </is>
      </c>
      <c r="B2524" t="inlineStr">
        <is>
          <t>M1</t>
        </is>
      </c>
      <c r="C2524" t="inlineStr">
        <is>
          <t>Cali</t>
        </is>
      </c>
      <c r="D2524" t="inlineStr">
        <is>
          <t>4446</t>
        </is>
      </c>
      <c r="E2524" t="inlineStr">
        <is>
          <t>pagado</t>
        </is>
      </c>
      <c r="F2524" s="23" t="n">
        <v>46267</v>
      </c>
      <c r="G2524" s="24">
        <f>F2524-DATE(2026,8,31)</f>
        <v>2</v>
      </c>
      <c r="H2524" s="25" t="n">
        <v>64301871</v>
      </c>
      <c r="I2524" t="inlineStr">
        <is>
          <t>entidad-dia</t>
        </is>
      </c>
    </row>
    <row r="2525">
      <c r="A2525" t="inlineStr">
        <is>
          <t>PRAGMA</t>
        </is>
      </c>
      <c r="B2525" t="inlineStr">
        <is>
          <t>M1</t>
        </is>
      </c>
      <c r="C2525" t="inlineStr">
        <is>
          <t>Cali</t>
        </is>
      </c>
      <c r="D2525" t="inlineStr">
        <is>
          <t>4446</t>
        </is>
      </c>
      <c r="E2525" t="inlineStr">
        <is>
          <t>pagado</t>
        </is>
      </c>
      <c r="F2525" s="23" t="n">
        <v>46268</v>
      </c>
      <c r="G2525" s="24">
        <f>F2525-DATE(2026,8,31)</f>
        <v>3</v>
      </c>
      <c r="H2525" s="25" t="n">
        <v>58533388</v>
      </c>
      <c r="I2525" t="inlineStr">
        <is>
          <t>entidad-dia</t>
        </is>
      </c>
    </row>
    <row r="2526">
      <c r="A2526" t="inlineStr">
        <is>
          <t>PRAGMA</t>
        </is>
      </c>
      <c r="B2526" t="inlineStr">
        <is>
          <t>M1</t>
        </is>
      </c>
      <c r="C2526" t="inlineStr">
        <is>
          <t>Cali</t>
        </is>
      </c>
      <c r="D2526" t="inlineStr">
        <is>
          <t>4446</t>
        </is>
      </c>
      <c r="E2526" t="inlineStr">
        <is>
          <t>pagado</t>
        </is>
      </c>
      <c r="F2526" s="23" t="n">
        <v>46269</v>
      </c>
      <c r="G2526" s="24">
        <f>F2526-DATE(2026,8,31)</f>
        <v>4</v>
      </c>
      <c r="H2526" s="25" t="n">
        <v>54383684</v>
      </c>
      <c r="I2526" t="inlineStr">
        <is>
          <t>entidad-dia</t>
        </is>
      </c>
    </row>
    <row r="2527">
      <c r="A2527" t="inlineStr">
        <is>
          <t>PRAGMA</t>
        </is>
      </c>
      <c r="B2527" t="inlineStr">
        <is>
          <t>M1</t>
        </is>
      </c>
      <c r="C2527" t="inlineStr">
        <is>
          <t>Cali</t>
        </is>
      </c>
      <c r="D2527" t="inlineStr">
        <is>
          <t>4446</t>
        </is>
      </c>
      <c r="E2527" t="inlineStr">
        <is>
          <t>pagado</t>
        </is>
      </c>
      <c r="F2527" s="23" t="n">
        <v>46270</v>
      </c>
      <c r="G2527" s="24">
        <f>F2527-DATE(2026,8,31)</f>
        <v>5</v>
      </c>
      <c r="H2527" s="25" t="n">
        <v>36136115</v>
      </c>
      <c r="I2527" t="inlineStr">
        <is>
          <t>entidad-dia</t>
        </is>
      </c>
    </row>
    <row r="2528">
      <c r="A2528" t="inlineStr">
        <is>
          <t>PRAGMA</t>
        </is>
      </c>
      <c r="B2528" t="inlineStr">
        <is>
          <t>M1</t>
        </is>
      </c>
      <c r="C2528" t="inlineStr">
        <is>
          <t>Cali</t>
        </is>
      </c>
      <c r="D2528" t="inlineStr">
        <is>
          <t>4446</t>
        </is>
      </c>
      <c r="E2528" t="inlineStr">
        <is>
          <t>pagado</t>
        </is>
      </c>
      <c r="F2528" s="23" t="n">
        <v>46271</v>
      </c>
      <c r="G2528" s="24">
        <f>F2528-DATE(2026,8,31)</f>
        <v>6</v>
      </c>
      <c r="H2528" s="25" t="n">
        <v>23050469</v>
      </c>
      <c r="I2528" t="inlineStr">
        <is>
          <t>entidad-dia</t>
        </is>
      </c>
    </row>
    <row r="2529">
      <c r="A2529" t="inlineStr">
        <is>
          <t>PRAGMA</t>
        </is>
      </c>
      <c r="B2529" t="inlineStr">
        <is>
          <t>M1</t>
        </is>
      </c>
      <c r="C2529" t="inlineStr">
        <is>
          <t>Cali</t>
        </is>
      </c>
      <c r="D2529" t="inlineStr">
        <is>
          <t>4446</t>
        </is>
      </c>
      <c r="E2529" t="inlineStr">
        <is>
          <t>pagado</t>
        </is>
      </c>
      <c r="F2529" s="23" t="n">
        <v>46272</v>
      </c>
      <c r="G2529" s="24">
        <f>F2529-DATE(2026,8,31)</f>
        <v>7</v>
      </c>
      <c r="H2529" s="25" t="n">
        <v>39638288</v>
      </c>
      <c r="I2529" t="inlineStr">
        <is>
          <t>entidad-dia</t>
        </is>
      </c>
    </row>
    <row r="2530">
      <c r="A2530" t="inlineStr">
        <is>
          <t>PRAGMA</t>
        </is>
      </c>
      <c r="B2530" t="inlineStr">
        <is>
          <t>M1</t>
        </is>
      </c>
      <c r="C2530" t="inlineStr">
        <is>
          <t>Cali</t>
        </is>
      </c>
      <c r="D2530" t="inlineStr">
        <is>
          <t>4446</t>
        </is>
      </c>
      <c r="E2530" t="inlineStr">
        <is>
          <t>pagado</t>
        </is>
      </c>
      <c r="F2530" s="23" t="n">
        <v>46273</v>
      </c>
      <c r="G2530" s="24">
        <f>F2530-DATE(2026,8,31)</f>
        <v>8</v>
      </c>
      <c r="H2530" s="25" t="n">
        <v>36499148</v>
      </c>
      <c r="I2530" t="inlineStr">
        <is>
          <t>entidad-dia</t>
        </is>
      </c>
    </row>
    <row r="2531">
      <c r="A2531" t="inlineStr">
        <is>
          <t>PRAGMA</t>
        </is>
      </c>
      <c r="B2531" t="inlineStr">
        <is>
          <t>M1</t>
        </is>
      </c>
      <c r="C2531" t="inlineStr">
        <is>
          <t>Cali</t>
        </is>
      </c>
      <c r="D2531" t="inlineStr">
        <is>
          <t>4446</t>
        </is>
      </c>
      <c r="E2531" t="inlineStr">
        <is>
          <t>pagado</t>
        </is>
      </c>
      <c r="F2531" s="23" t="n">
        <v>46274</v>
      </c>
      <c r="G2531" s="24">
        <f>F2531-DATE(2026,8,31)</f>
        <v>9</v>
      </c>
      <c r="H2531" s="25" t="n">
        <v>40203756</v>
      </c>
      <c r="I2531" t="inlineStr">
        <is>
          <t>entidad-dia</t>
        </is>
      </c>
    </row>
    <row r="2532">
      <c r="A2532" t="inlineStr">
        <is>
          <t>PRAGMA</t>
        </is>
      </c>
      <c r="B2532" t="inlineStr">
        <is>
          <t>M1</t>
        </is>
      </c>
      <c r="C2532" t="inlineStr">
        <is>
          <t>Cali</t>
        </is>
      </c>
      <c r="D2532" t="inlineStr">
        <is>
          <t>4446</t>
        </is>
      </c>
      <c r="E2532" t="inlineStr">
        <is>
          <t>pagado</t>
        </is>
      </c>
      <c r="F2532" s="23" t="n">
        <v>46275</v>
      </c>
      <c r="G2532" s="24">
        <f>F2532-DATE(2026,8,31)</f>
        <v>10</v>
      </c>
      <c r="H2532" s="25" t="n">
        <v>40036732</v>
      </c>
      <c r="I2532" t="inlineStr">
        <is>
          <t>entidad-dia</t>
        </is>
      </c>
    </row>
    <row r="2533">
      <c r="A2533" t="inlineStr">
        <is>
          <t>PRAGMA</t>
        </is>
      </c>
      <c r="B2533" t="inlineStr">
        <is>
          <t>M1</t>
        </is>
      </c>
      <c r="C2533" t="inlineStr">
        <is>
          <t>Cali</t>
        </is>
      </c>
      <c r="D2533" t="inlineStr">
        <is>
          <t>4446</t>
        </is>
      </c>
      <c r="E2533" t="inlineStr">
        <is>
          <t>pagado</t>
        </is>
      </c>
      <c r="F2533" s="23" t="n">
        <v>46276</v>
      </c>
      <c r="G2533" s="24">
        <f>F2533-DATE(2026,8,31)</f>
        <v>11</v>
      </c>
      <c r="H2533" s="25" t="n">
        <v>39463411</v>
      </c>
      <c r="I2533" t="inlineStr">
        <is>
          <t>entidad-dia</t>
        </is>
      </c>
    </row>
    <row r="2534">
      <c r="A2534" t="inlineStr">
        <is>
          <t>PRAGMA</t>
        </is>
      </c>
      <c r="B2534" t="inlineStr">
        <is>
          <t>M1</t>
        </is>
      </c>
      <c r="C2534" t="inlineStr">
        <is>
          <t>Cali</t>
        </is>
      </c>
      <c r="D2534" t="inlineStr">
        <is>
          <t>4446</t>
        </is>
      </c>
      <c r="E2534" t="inlineStr">
        <is>
          <t>pagado</t>
        </is>
      </c>
      <c r="F2534" s="23" t="n">
        <v>46277</v>
      </c>
      <c r="G2534" s="24">
        <f>F2534-DATE(2026,8,31)</f>
        <v>12</v>
      </c>
      <c r="H2534" s="25" t="n">
        <v>26131428</v>
      </c>
      <c r="I2534" t="inlineStr">
        <is>
          <t>entidad-dia</t>
        </is>
      </c>
    </row>
    <row r="2535">
      <c r="A2535" t="inlineStr">
        <is>
          <t>PRAGMA</t>
        </is>
      </c>
      <c r="B2535" t="inlineStr">
        <is>
          <t>M1</t>
        </is>
      </c>
      <c r="C2535" t="inlineStr">
        <is>
          <t>Cali</t>
        </is>
      </c>
      <c r="D2535" t="inlineStr">
        <is>
          <t>4446</t>
        </is>
      </c>
      <c r="E2535" t="inlineStr">
        <is>
          <t>pagado</t>
        </is>
      </c>
      <c r="F2535" s="23" t="n">
        <v>46278</v>
      </c>
      <c r="G2535" s="24">
        <f>F2535-DATE(2026,8,31)</f>
        <v>13</v>
      </c>
      <c r="H2535" s="25" t="n">
        <v>16103051</v>
      </c>
      <c r="I2535" t="inlineStr">
        <is>
          <t>entidad-dia</t>
        </is>
      </c>
    </row>
    <row r="2536">
      <c r="A2536" t="inlineStr">
        <is>
          <t>PRAGMA</t>
        </is>
      </c>
      <c r="B2536" t="inlineStr">
        <is>
          <t>M1</t>
        </is>
      </c>
      <c r="C2536" t="inlineStr">
        <is>
          <t>Cali</t>
        </is>
      </c>
      <c r="D2536" t="inlineStr">
        <is>
          <t>4446</t>
        </is>
      </c>
      <c r="E2536" t="inlineStr">
        <is>
          <t>pagado</t>
        </is>
      </c>
      <c r="F2536" s="23" t="n">
        <v>46279</v>
      </c>
      <c r="G2536" s="24">
        <f>F2536-DATE(2026,8,31)</f>
        <v>14</v>
      </c>
      <c r="H2536" s="25" t="n">
        <v>38928792</v>
      </c>
      <c r="I2536" t="inlineStr">
        <is>
          <t>entidad-dia</t>
        </is>
      </c>
    </row>
    <row r="2537">
      <c r="A2537" t="inlineStr">
        <is>
          <t>PRAGMA</t>
        </is>
      </c>
      <c r="B2537" t="inlineStr">
        <is>
          <t>M1</t>
        </is>
      </c>
      <c r="C2537" t="inlineStr">
        <is>
          <t>Cali</t>
        </is>
      </c>
      <c r="D2537" t="inlineStr">
        <is>
          <t>4446</t>
        </is>
      </c>
      <c r="E2537" t="inlineStr">
        <is>
          <t>pagado</t>
        </is>
      </c>
      <c r="F2537" s="23" t="n">
        <v>46280</v>
      </c>
      <c r="G2537" s="24">
        <f>F2537-DATE(2026,8,31)</f>
        <v>15</v>
      </c>
      <c r="H2537" s="25" t="n">
        <v>57019938</v>
      </c>
      <c r="I2537" t="inlineStr">
        <is>
          <t>entidad-dia</t>
        </is>
      </c>
    </row>
    <row r="2538">
      <c r="A2538" t="inlineStr">
        <is>
          <t>PRAGMA</t>
        </is>
      </c>
      <c r="B2538" t="inlineStr">
        <is>
          <t>M1</t>
        </is>
      </c>
      <c r="C2538" t="inlineStr">
        <is>
          <t>Cali</t>
        </is>
      </c>
      <c r="D2538" t="inlineStr">
        <is>
          <t>4458</t>
        </is>
      </c>
      <c r="E2538" t="inlineStr">
        <is>
          <t>pagado</t>
        </is>
      </c>
      <c r="F2538" s="23" t="n">
        <v>46266</v>
      </c>
      <c r="G2538" s="24">
        <f>F2538-DATE(2026,8,31)</f>
        <v>1</v>
      </c>
      <c r="H2538" s="25" t="n">
        <v>211802670</v>
      </c>
      <c r="I2538" t="inlineStr">
        <is>
          <t>entidad-dia</t>
        </is>
      </c>
    </row>
    <row r="2539">
      <c r="A2539" t="inlineStr">
        <is>
          <t>PRAGMA</t>
        </is>
      </c>
      <c r="B2539" t="inlineStr">
        <is>
          <t>M1</t>
        </is>
      </c>
      <c r="C2539" t="inlineStr">
        <is>
          <t>Cali</t>
        </is>
      </c>
      <c r="D2539" t="inlineStr">
        <is>
          <t>4458</t>
        </is>
      </c>
      <c r="E2539" t="inlineStr">
        <is>
          <t>pagado</t>
        </is>
      </c>
      <c r="F2539" s="23" t="n">
        <v>46267</v>
      </c>
      <c r="G2539" s="24">
        <f>F2539-DATE(2026,8,31)</f>
        <v>2</v>
      </c>
      <c r="H2539" s="25" t="n">
        <v>147265997</v>
      </c>
      <c r="I2539" t="inlineStr">
        <is>
          <t>entidad-dia</t>
        </is>
      </c>
    </row>
    <row r="2540">
      <c r="A2540" t="inlineStr">
        <is>
          <t>PRAGMA</t>
        </is>
      </c>
      <c r="B2540" t="inlineStr">
        <is>
          <t>M1</t>
        </is>
      </c>
      <c r="C2540" t="inlineStr">
        <is>
          <t>Cali</t>
        </is>
      </c>
      <c r="D2540" t="inlineStr">
        <is>
          <t>4458</t>
        </is>
      </c>
      <c r="E2540" t="inlineStr">
        <is>
          <t>pagado</t>
        </is>
      </c>
      <c r="F2540" s="23" t="n">
        <v>46268</v>
      </c>
      <c r="G2540" s="24">
        <f>F2540-DATE(2026,8,31)</f>
        <v>3</v>
      </c>
      <c r="H2540" s="25" t="n">
        <v>127213919</v>
      </c>
      <c r="I2540" t="inlineStr">
        <is>
          <t>entidad-dia</t>
        </is>
      </c>
    </row>
    <row r="2541">
      <c r="A2541" t="inlineStr">
        <is>
          <t>PRAGMA</t>
        </is>
      </c>
      <c r="B2541" t="inlineStr">
        <is>
          <t>M1</t>
        </is>
      </c>
      <c r="C2541" t="inlineStr">
        <is>
          <t>Cali</t>
        </is>
      </c>
      <c r="D2541" t="inlineStr">
        <is>
          <t>4458</t>
        </is>
      </c>
      <c r="E2541" t="inlineStr">
        <is>
          <t>pagado</t>
        </is>
      </c>
      <c r="F2541" s="23" t="n">
        <v>46269</v>
      </c>
      <c r="G2541" s="24">
        <f>F2541-DATE(2026,8,31)</f>
        <v>4</v>
      </c>
      <c r="H2541" s="25" t="n">
        <v>126048112</v>
      </c>
      <c r="I2541" t="inlineStr">
        <is>
          <t>entidad-dia</t>
        </is>
      </c>
    </row>
    <row r="2542">
      <c r="A2542" t="inlineStr">
        <is>
          <t>PRAGMA</t>
        </is>
      </c>
      <c r="B2542" t="inlineStr">
        <is>
          <t>M1</t>
        </is>
      </c>
      <c r="C2542" t="inlineStr">
        <is>
          <t>Cali</t>
        </is>
      </c>
      <c r="D2542" t="inlineStr">
        <is>
          <t>4458</t>
        </is>
      </c>
      <c r="E2542" t="inlineStr">
        <is>
          <t>pagado</t>
        </is>
      </c>
      <c r="F2542" s="23" t="n">
        <v>46270</v>
      </c>
      <c r="G2542" s="24">
        <f>F2542-DATE(2026,8,31)</f>
        <v>5</v>
      </c>
      <c r="H2542" s="25" t="n">
        <v>136108497</v>
      </c>
      <c r="I2542" t="inlineStr">
        <is>
          <t>entidad-dia</t>
        </is>
      </c>
    </row>
    <row r="2543">
      <c r="A2543" t="inlineStr">
        <is>
          <t>PRAGMA</t>
        </is>
      </c>
      <c r="B2543" t="inlineStr">
        <is>
          <t>M1</t>
        </is>
      </c>
      <c r="C2543" t="inlineStr">
        <is>
          <t>Cali</t>
        </is>
      </c>
      <c r="D2543" t="inlineStr">
        <is>
          <t>4458</t>
        </is>
      </c>
      <c r="E2543" t="inlineStr">
        <is>
          <t>pagado</t>
        </is>
      </c>
      <c r="F2543" s="23" t="n">
        <v>46271</v>
      </c>
      <c r="G2543" s="24">
        <f>F2543-DATE(2026,8,31)</f>
        <v>6</v>
      </c>
      <c r="H2543" s="25" t="n">
        <v>115633249</v>
      </c>
      <c r="I2543" t="inlineStr">
        <is>
          <t>entidad-dia</t>
        </is>
      </c>
    </row>
    <row r="2544">
      <c r="A2544" t="inlineStr">
        <is>
          <t>PRAGMA</t>
        </is>
      </c>
      <c r="B2544" t="inlineStr">
        <is>
          <t>M1</t>
        </is>
      </c>
      <c r="C2544" t="inlineStr">
        <is>
          <t>Cali</t>
        </is>
      </c>
      <c r="D2544" t="inlineStr">
        <is>
          <t>4458</t>
        </is>
      </c>
      <c r="E2544" t="inlineStr">
        <is>
          <t>pagado</t>
        </is>
      </c>
      <c r="F2544" s="23" t="n">
        <v>46272</v>
      </c>
      <c r="G2544" s="24">
        <f>F2544-DATE(2026,8,31)</f>
        <v>7</v>
      </c>
      <c r="H2544" s="25" t="n">
        <v>93805116</v>
      </c>
      <c r="I2544" t="inlineStr">
        <is>
          <t>entidad-dia</t>
        </is>
      </c>
    </row>
    <row r="2545">
      <c r="A2545" t="inlineStr">
        <is>
          <t>PRAGMA</t>
        </is>
      </c>
      <c r="B2545" t="inlineStr">
        <is>
          <t>M1</t>
        </is>
      </c>
      <c r="C2545" t="inlineStr">
        <is>
          <t>Cali</t>
        </is>
      </c>
      <c r="D2545" t="inlineStr">
        <is>
          <t>4458</t>
        </is>
      </c>
      <c r="E2545" t="inlineStr">
        <is>
          <t>pagado</t>
        </is>
      </c>
      <c r="F2545" s="23" t="n">
        <v>46273</v>
      </c>
      <c r="G2545" s="24">
        <f>F2545-DATE(2026,8,31)</f>
        <v>8</v>
      </c>
      <c r="H2545" s="25" t="n">
        <v>88824076</v>
      </c>
      <c r="I2545" t="inlineStr">
        <is>
          <t>entidad-dia</t>
        </is>
      </c>
    </row>
    <row r="2546">
      <c r="A2546" t="inlineStr">
        <is>
          <t>PRAGMA</t>
        </is>
      </c>
      <c r="B2546" t="inlineStr">
        <is>
          <t>M1</t>
        </is>
      </c>
      <c r="C2546" t="inlineStr">
        <is>
          <t>Cali</t>
        </is>
      </c>
      <c r="D2546" t="inlineStr">
        <is>
          <t>4458</t>
        </is>
      </c>
      <c r="E2546" t="inlineStr">
        <is>
          <t>pagado</t>
        </is>
      </c>
      <c r="F2546" s="23" t="n">
        <v>46274</v>
      </c>
      <c r="G2546" s="24">
        <f>F2546-DATE(2026,8,31)</f>
        <v>9</v>
      </c>
      <c r="H2546" s="25" t="n">
        <v>87971794</v>
      </c>
      <c r="I2546" t="inlineStr">
        <is>
          <t>entidad-dia</t>
        </is>
      </c>
    </row>
    <row r="2547">
      <c r="A2547" t="inlineStr">
        <is>
          <t>PRAGMA</t>
        </is>
      </c>
      <c r="B2547" t="inlineStr">
        <is>
          <t>M1</t>
        </is>
      </c>
      <c r="C2547" t="inlineStr">
        <is>
          <t>Cali</t>
        </is>
      </c>
      <c r="D2547" t="inlineStr">
        <is>
          <t>4458</t>
        </is>
      </c>
      <c r="E2547" t="inlineStr">
        <is>
          <t>pagado</t>
        </is>
      </c>
      <c r="F2547" s="23" t="n">
        <v>46275</v>
      </c>
      <c r="G2547" s="24">
        <f>F2547-DATE(2026,8,31)</f>
        <v>10</v>
      </c>
      <c r="H2547" s="25" t="n">
        <v>78758528</v>
      </c>
      <c r="I2547" t="inlineStr">
        <is>
          <t>entidad-dia</t>
        </is>
      </c>
    </row>
    <row r="2548">
      <c r="A2548" t="inlineStr">
        <is>
          <t>PRAGMA</t>
        </is>
      </c>
      <c r="B2548" t="inlineStr">
        <is>
          <t>M1</t>
        </is>
      </c>
      <c r="C2548" t="inlineStr">
        <is>
          <t>Cali</t>
        </is>
      </c>
      <c r="D2548" t="inlineStr">
        <is>
          <t>4458</t>
        </is>
      </c>
      <c r="E2548" t="inlineStr">
        <is>
          <t>pagado</t>
        </is>
      </c>
      <c r="F2548" s="23" t="n">
        <v>46276</v>
      </c>
      <c r="G2548" s="24">
        <f>F2548-DATE(2026,8,31)</f>
        <v>11</v>
      </c>
      <c r="H2548" s="25" t="n">
        <v>84038174</v>
      </c>
      <c r="I2548" t="inlineStr">
        <is>
          <t>entidad-dia</t>
        </is>
      </c>
    </row>
    <row r="2549">
      <c r="A2549" t="inlineStr">
        <is>
          <t>PRAGMA</t>
        </is>
      </c>
      <c r="B2549" t="inlineStr">
        <is>
          <t>M1</t>
        </is>
      </c>
      <c r="C2549" t="inlineStr">
        <is>
          <t>Cali</t>
        </is>
      </c>
      <c r="D2549" t="inlineStr">
        <is>
          <t>4458</t>
        </is>
      </c>
      <c r="E2549" t="inlineStr">
        <is>
          <t>pagado</t>
        </is>
      </c>
      <c r="F2549" s="23" t="n">
        <v>46277</v>
      </c>
      <c r="G2549" s="24">
        <f>F2549-DATE(2026,8,31)</f>
        <v>12</v>
      </c>
      <c r="H2549" s="25" t="n">
        <v>92094914</v>
      </c>
      <c r="I2549" t="inlineStr">
        <is>
          <t>entidad-dia</t>
        </is>
      </c>
    </row>
    <row r="2550">
      <c r="A2550" t="inlineStr">
        <is>
          <t>PRAGMA</t>
        </is>
      </c>
      <c r="B2550" t="inlineStr">
        <is>
          <t>M1</t>
        </is>
      </c>
      <c r="C2550" t="inlineStr">
        <is>
          <t>Cali</t>
        </is>
      </c>
      <c r="D2550" t="inlineStr">
        <is>
          <t>4458</t>
        </is>
      </c>
      <c r="E2550" t="inlineStr">
        <is>
          <t>pagado</t>
        </is>
      </c>
      <c r="F2550" s="23" t="n">
        <v>46278</v>
      </c>
      <c r="G2550" s="24">
        <f>F2550-DATE(2026,8,31)</f>
        <v>13</v>
      </c>
      <c r="H2550" s="25" t="n">
        <v>78534447</v>
      </c>
      <c r="I2550" t="inlineStr">
        <is>
          <t>entidad-dia</t>
        </is>
      </c>
    </row>
    <row r="2551">
      <c r="A2551" t="inlineStr">
        <is>
          <t>PRAGMA</t>
        </is>
      </c>
      <c r="B2551" t="inlineStr">
        <is>
          <t>M1</t>
        </is>
      </c>
      <c r="C2551" t="inlineStr">
        <is>
          <t>Cali</t>
        </is>
      </c>
      <c r="D2551" t="inlineStr">
        <is>
          <t>4458</t>
        </is>
      </c>
      <c r="E2551" t="inlineStr">
        <is>
          <t>pagado</t>
        </is>
      </c>
      <c r="F2551" s="23" t="n">
        <v>46279</v>
      </c>
      <c r="G2551" s="24">
        <f>F2551-DATE(2026,8,31)</f>
        <v>14</v>
      </c>
      <c r="H2551" s="25" t="n">
        <v>101890142</v>
      </c>
      <c r="I2551" t="inlineStr">
        <is>
          <t>entidad-dia</t>
        </is>
      </c>
    </row>
    <row r="2552">
      <c r="A2552" t="inlineStr">
        <is>
          <t>PRAGMA</t>
        </is>
      </c>
      <c r="B2552" t="inlineStr">
        <is>
          <t>M1</t>
        </is>
      </c>
      <c r="C2552" t="inlineStr">
        <is>
          <t>Cali</t>
        </is>
      </c>
      <c r="D2552" t="inlineStr">
        <is>
          <t>4458</t>
        </is>
      </c>
      <c r="E2552" t="inlineStr">
        <is>
          <t>pagado</t>
        </is>
      </c>
      <c r="F2552" s="23" t="n">
        <v>46280</v>
      </c>
      <c r="G2552" s="24">
        <f>F2552-DATE(2026,8,31)</f>
        <v>15</v>
      </c>
      <c r="H2552" s="25" t="n">
        <v>184186784</v>
      </c>
      <c r="I2552" t="inlineStr">
        <is>
          <t>entidad-dia</t>
        </is>
      </c>
    </row>
    <row r="2553">
      <c r="A2553" t="inlineStr">
        <is>
          <t>PRAGMA</t>
        </is>
      </c>
      <c r="B2553" t="inlineStr">
        <is>
          <t>M1</t>
        </is>
      </c>
      <c r="C2553" t="inlineStr">
        <is>
          <t>Cali</t>
        </is>
      </c>
      <c r="D2553" t="inlineStr">
        <is>
          <t>4469</t>
        </is>
      </c>
      <c r="E2553" t="inlineStr">
        <is>
          <t>pagado</t>
        </is>
      </c>
      <c r="F2553" s="23" t="n">
        <v>46266</v>
      </c>
      <c r="G2553" s="24">
        <f>F2553-DATE(2026,8,31)</f>
        <v>1</v>
      </c>
      <c r="H2553" s="25" t="n">
        <v>247755393</v>
      </c>
      <c r="I2553" t="inlineStr">
        <is>
          <t>entidad-dia</t>
        </is>
      </c>
    </row>
    <row r="2554">
      <c r="A2554" t="inlineStr">
        <is>
          <t>PRAGMA</t>
        </is>
      </c>
      <c r="B2554" t="inlineStr">
        <is>
          <t>M1</t>
        </is>
      </c>
      <c r="C2554" t="inlineStr">
        <is>
          <t>Cali</t>
        </is>
      </c>
      <c r="D2554" t="inlineStr">
        <is>
          <t>4469</t>
        </is>
      </c>
      <c r="E2554" t="inlineStr">
        <is>
          <t>pagado</t>
        </is>
      </c>
      <c r="F2554" s="23" t="n">
        <v>46267</v>
      </c>
      <c r="G2554" s="24">
        <f>F2554-DATE(2026,8,31)</f>
        <v>2</v>
      </c>
      <c r="H2554" s="25" t="n">
        <v>185676952</v>
      </c>
      <c r="I2554" t="inlineStr">
        <is>
          <t>entidad-dia</t>
        </is>
      </c>
    </row>
    <row r="2555">
      <c r="A2555" t="inlineStr">
        <is>
          <t>PRAGMA</t>
        </is>
      </c>
      <c r="B2555" t="inlineStr">
        <is>
          <t>M1</t>
        </is>
      </c>
      <c r="C2555" t="inlineStr">
        <is>
          <t>Cali</t>
        </is>
      </c>
      <c r="D2555" t="inlineStr">
        <is>
          <t>4469</t>
        </is>
      </c>
      <c r="E2555" t="inlineStr">
        <is>
          <t>pagado</t>
        </is>
      </c>
      <c r="F2555" s="23" t="n">
        <v>46268</v>
      </c>
      <c r="G2555" s="24">
        <f>F2555-DATE(2026,8,31)</f>
        <v>3</v>
      </c>
      <c r="H2555" s="25" t="n">
        <v>146353429</v>
      </c>
      <c r="I2555" t="inlineStr">
        <is>
          <t>entidad-dia</t>
        </is>
      </c>
    </row>
    <row r="2556">
      <c r="A2556" t="inlineStr">
        <is>
          <t>PRAGMA</t>
        </is>
      </c>
      <c r="B2556" t="inlineStr">
        <is>
          <t>M1</t>
        </is>
      </c>
      <c r="C2556" t="inlineStr">
        <is>
          <t>Cali</t>
        </is>
      </c>
      <c r="D2556" t="inlineStr">
        <is>
          <t>4469</t>
        </is>
      </c>
      <c r="E2556" t="inlineStr">
        <is>
          <t>pagado</t>
        </is>
      </c>
      <c r="F2556" s="23" t="n">
        <v>46269</v>
      </c>
      <c r="G2556" s="24">
        <f>F2556-DATE(2026,8,31)</f>
        <v>4</v>
      </c>
      <c r="H2556" s="25" t="n">
        <v>175697972</v>
      </c>
      <c r="I2556" t="inlineStr">
        <is>
          <t>entidad-dia</t>
        </is>
      </c>
    </row>
    <row r="2557">
      <c r="A2557" t="inlineStr">
        <is>
          <t>PRAGMA</t>
        </is>
      </c>
      <c r="B2557" t="inlineStr">
        <is>
          <t>M1</t>
        </is>
      </c>
      <c r="C2557" t="inlineStr">
        <is>
          <t>Cali</t>
        </is>
      </c>
      <c r="D2557" t="inlineStr">
        <is>
          <t>4469</t>
        </is>
      </c>
      <c r="E2557" t="inlineStr">
        <is>
          <t>pagado</t>
        </is>
      </c>
      <c r="F2557" s="23" t="n">
        <v>46270</v>
      </c>
      <c r="G2557" s="24">
        <f>F2557-DATE(2026,8,31)</f>
        <v>5</v>
      </c>
      <c r="H2557" s="25" t="n">
        <v>210248841</v>
      </c>
      <c r="I2557" t="inlineStr">
        <is>
          <t>entidad-dia</t>
        </is>
      </c>
    </row>
    <row r="2558">
      <c r="A2558" t="inlineStr">
        <is>
          <t>PRAGMA</t>
        </is>
      </c>
      <c r="B2558" t="inlineStr">
        <is>
          <t>M1</t>
        </is>
      </c>
      <c r="C2558" t="inlineStr">
        <is>
          <t>Cali</t>
        </is>
      </c>
      <c r="D2558" t="inlineStr">
        <is>
          <t>4469</t>
        </is>
      </c>
      <c r="E2558" t="inlineStr">
        <is>
          <t>pagado</t>
        </is>
      </c>
      <c r="F2558" s="23" t="n">
        <v>46271</v>
      </c>
      <c r="G2558" s="24">
        <f>F2558-DATE(2026,8,31)</f>
        <v>6</v>
      </c>
      <c r="H2558" s="25" t="n">
        <v>164760552</v>
      </c>
      <c r="I2558" t="inlineStr">
        <is>
          <t>entidad-dia</t>
        </is>
      </c>
    </row>
    <row r="2559">
      <c r="A2559" t="inlineStr">
        <is>
          <t>PRAGMA</t>
        </is>
      </c>
      <c r="B2559" t="inlineStr">
        <is>
          <t>M1</t>
        </is>
      </c>
      <c r="C2559" t="inlineStr">
        <is>
          <t>Cali</t>
        </is>
      </c>
      <c r="D2559" t="inlineStr">
        <is>
          <t>4469</t>
        </is>
      </c>
      <c r="E2559" t="inlineStr">
        <is>
          <t>pagado</t>
        </is>
      </c>
      <c r="F2559" s="23" t="n">
        <v>46272</v>
      </c>
      <c r="G2559" s="24">
        <f>F2559-DATE(2026,8,31)</f>
        <v>7</v>
      </c>
      <c r="H2559" s="25" t="n">
        <v>135079455</v>
      </c>
      <c r="I2559" t="inlineStr">
        <is>
          <t>entidad-dia</t>
        </is>
      </c>
    </row>
    <row r="2560">
      <c r="A2560" t="inlineStr">
        <is>
          <t>PRAGMA</t>
        </is>
      </c>
      <c r="B2560" t="inlineStr">
        <is>
          <t>M1</t>
        </is>
      </c>
      <c r="C2560" t="inlineStr">
        <is>
          <t>Cali</t>
        </is>
      </c>
      <c r="D2560" t="inlineStr">
        <is>
          <t>4469</t>
        </is>
      </c>
      <c r="E2560" t="inlineStr">
        <is>
          <t>pagado</t>
        </is>
      </c>
      <c r="F2560" s="23" t="n">
        <v>46273</v>
      </c>
      <c r="G2560" s="24">
        <f>F2560-DATE(2026,8,31)</f>
        <v>8</v>
      </c>
      <c r="H2560" s="25" t="n">
        <v>117278868</v>
      </c>
      <c r="I2560" t="inlineStr">
        <is>
          <t>entidad-dia</t>
        </is>
      </c>
    </row>
    <row r="2561">
      <c r="A2561" t="inlineStr">
        <is>
          <t>PRAGMA</t>
        </is>
      </c>
      <c r="B2561" t="inlineStr">
        <is>
          <t>M1</t>
        </is>
      </c>
      <c r="C2561" t="inlineStr">
        <is>
          <t>Cali</t>
        </is>
      </c>
      <c r="D2561" t="inlineStr">
        <is>
          <t>4469</t>
        </is>
      </c>
      <c r="E2561" t="inlineStr">
        <is>
          <t>pagado</t>
        </is>
      </c>
      <c r="F2561" s="23" t="n">
        <v>46274</v>
      </c>
      <c r="G2561" s="24">
        <f>F2561-DATE(2026,8,31)</f>
        <v>9</v>
      </c>
      <c r="H2561" s="25" t="n">
        <v>119831157</v>
      </c>
      <c r="I2561" t="inlineStr">
        <is>
          <t>entidad-dia</t>
        </is>
      </c>
    </row>
    <row r="2562">
      <c r="A2562" t="inlineStr">
        <is>
          <t>PRAGMA</t>
        </is>
      </c>
      <c r="B2562" t="inlineStr">
        <is>
          <t>M1</t>
        </is>
      </c>
      <c r="C2562" t="inlineStr">
        <is>
          <t>Cali</t>
        </is>
      </c>
      <c r="D2562" t="inlineStr">
        <is>
          <t>4469</t>
        </is>
      </c>
      <c r="E2562" t="inlineStr">
        <is>
          <t>pagado</t>
        </is>
      </c>
      <c r="F2562" s="23" t="n">
        <v>46275</v>
      </c>
      <c r="G2562" s="24">
        <f>F2562-DATE(2026,8,31)</f>
        <v>10</v>
      </c>
      <c r="H2562" s="25" t="n">
        <v>112802329</v>
      </c>
      <c r="I2562" t="inlineStr">
        <is>
          <t>entidad-dia</t>
        </is>
      </c>
    </row>
    <row r="2563">
      <c r="A2563" t="inlineStr">
        <is>
          <t>PRAGMA</t>
        </is>
      </c>
      <c r="B2563" t="inlineStr">
        <is>
          <t>M1</t>
        </is>
      </c>
      <c r="C2563" t="inlineStr">
        <is>
          <t>Cali</t>
        </is>
      </c>
      <c r="D2563" t="inlineStr">
        <is>
          <t>4469</t>
        </is>
      </c>
      <c r="E2563" t="inlineStr">
        <is>
          <t>pagado</t>
        </is>
      </c>
      <c r="F2563" s="23" t="n">
        <v>46276</v>
      </c>
      <c r="G2563" s="24">
        <f>F2563-DATE(2026,8,31)</f>
        <v>11</v>
      </c>
      <c r="H2563" s="25" t="n">
        <v>131124994</v>
      </c>
      <c r="I2563" t="inlineStr">
        <is>
          <t>entidad-dia</t>
        </is>
      </c>
    </row>
    <row r="2564">
      <c r="A2564" t="inlineStr">
        <is>
          <t>PRAGMA</t>
        </is>
      </c>
      <c r="B2564" t="inlineStr">
        <is>
          <t>M1</t>
        </is>
      </c>
      <c r="C2564" t="inlineStr">
        <is>
          <t>Cali</t>
        </is>
      </c>
      <c r="D2564" t="inlineStr">
        <is>
          <t>4469</t>
        </is>
      </c>
      <c r="E2564" t="inlineStr">
        <is>
          <t>pagado</t>
        </is>
      </c>
      <c r="F2564" s="23" t="n">
        <v>46277</v>
      </c>
      <c r="G2564" s="24">
        <f>F2564-DATE(2026,8,31)</f>
        <v>12</v>
      </c>
      <c r="H2564" s="25" t="n">
        <v>166296425</v>
      </c>
      <c r="I2564" t="inlineStr">
        <is>
          <t>entidad-dia</t>
        </is>
      </c>
    </row>
    <row r="2565">
      <c r="A2565" t="inlineStr">
        <is>
          <t>PRAGMA</t>
        </is>
      </c>
      <c r="B2565" t="inlineStr">
        <is>
          <t>M1</t>
        </is>
      </c>
      <c r="C2565" t="inlineStr">
        <is>
          <t>Cali</t>
        </is>
      </c>
      <c r="D2565" t="inlineStr">
        <is>
          <t>4469</t>
        </is>
      </c>
      <c r="E2565" t="inlineStr">
        <is>
          <t>pagado</t>
        </is>
      </c>
      <c r="F2565" s="23" t="n">
        <v>46278</v>
      </c>
      <c r="G2565" s="24">
        <f>F2565-DATE(2026,8,31)</f>
        <v>13</v>
      </c>
      <c r="H2565" s="25" t="n">
        <v>131406207</v>
      </c>
      <c r="I2565" t="inlineStr">
        <is>
          <t>entidad-dia</t>
        </is>
      </c>
    </row>
    <row r="2566">
      <c r="A2566" t="inlineStr">
        <is>
          <t>PRAGMA</t>
        </is>
      </c>
      <c r="B2566" t="inlineStr">
        <is>
          <t>M1</t>
        </is>
      </c>
      <c r="C2566" t="inlineStr">
        <is>
          <t>Cali</t>
        </is>
      </c>
      <c r="D2566" t="inlineStr">
        <is>
          <t>4469</t>
        </is>
      </c>
      <c r="E2566" t="inlineStr">
        <is>
          <t>pagado</t>
        </is>
      </c>
      <c r="F2566" s="23" t="n">
        <v>46279</v>
      </c>
      <c r="G2566" s="24">
        <f>F2566-DATE(2026,8,31)</f>
        <v>14</v>
      </c>
      <c r="H2566" s="25" t="n">
        <v>131296404</v>
      </c>
      <c r="I2566" t="inlineStr">
        <is>
          <t>entidad-dia</t>
        </is>
      </c>
    </row>
    <row r="2567">
      <c r="A2567" t="inlineStr">
        <is>
          <t>PRAGMA</t>
        </is>
      </c>
      <c r="B2567" t="inlineStr">
        <is>
          <t>M1</t>
        </is>
      </c>
      <c r="C2567" t="inlineStr">
        <is>
          <t>Cali</t>
        </is>
      </c>
      <c r="D2567" t="inlineStr">
        <is>
          <t>4469</t>
        </is>
      </c>
      <c r="E2567" t="inlineStr">
        <is>
          <t>pagado</t>
        </is>
      </c>
      <c r="F2567" s="23" t="n">
        <v>46280</v>
      </c>
      <c r="G2567" s="24">
        <f>F2567-DATE(2026,8,31)</f>
        <v>15</v>
      </c>
      <c r="H2567" s="25" t="n">
        <v>175749736</v>
      </c>
      <c r="I2567" t="inlineStr">
        <is>
          <t>entidad-dia</t>
        </is>
      </c>
    </row>
    <row r="2568">
      <c r="A2568" t="inlineStr">
        <is>
          <t>PRAGMA</t>
        </is>
      </c>
      <c r="B2568" t="inlineStr">
        <is>
          <t>M1</t>
        </is>
      </c>
      <c r="C2568" t="inlineStr">
        <is>
          <t>Cali</t>
        </is>
      </c>
      <c r="D2568" t="inlineStr">
        <is>
          <t>4568</t>
        </is>
      </c>
      <c r="E2568" t="inlineStr">
        <is>
          <t>pagado</t>
        </is>
      </c>
      <c r="F2568" s="23" t="n">
        <v>46266</v>
      </c>
      <c r="G2568" s="24">
        <f>F2568-DATE(2026,8,31)</f>
        <v>1</v>
      </c>
      <c r="H2568" s="25" t="n">
        <v>75283376</v>
      </c>
      <c r="I2568" t="inlineStr">
        <is>
          <t>entidad-dia</t>
        </is>
      </c>
    </row>
    <row r="2569">
      <c r="A2569" t="inlineStr">
        <is>
          <t>PRAGMA</t>
        </is>
      </c>
      <c r="B2569" t="inlineStr">
        <is>
          <t>M1</t>
        </is>
      </c>
      <c r="C2569" t="inlineStr">
        <is>
          <t>Cali</t>
        </is>
      </c>
      <c r="D2569" t="inlineStr">
        <is>
          <t>4568</t>
        </is>
      </c>
      <c r="E2569" t="inlineStr">
        <is>
          <t>pagado</t>
        </is>
      </c>
      <c r="F2569" s="23" t="n">
        <v>46267</v>
      </c>
      <c r="G2569" s="24">
        <f>F2569-DATE(2026,8,31)</f>
        <v>2</v>
      </c>
      <c r="H2569" s="25" t="n">
        <v>58136546</v>
      </c>
      <c r="I2569" t="inlineStr">
        <is>
          <t>entidad-dia</t>
        </is>
      </c>
    </row>
    <row r="2570">
      <c r="A2570" t="inlineStr">
        <is>
          <t>PRAGMA</t>
        </is>
      </c>
      <c r="B2570" t="inlineStr">
        <is>
          <t>M1</t>
        </is>
      </c>
      <c r="C2570" t="inlineStr">
        <is>
          <t>Cali</t>
        </is>
      </c>
      <c r="D2570" t="inlineStr">
        <is>
          <t>4568</t>
        </is>
      </c>
      <c r="E2570" t="inlineStr">
        <is>
          <t>pagado</t>
        </is>
      </c>
      <c r="F2570" s="23" t="n">
        <v>46268</v>
      </c>
      <c r="G2570" s="24">
        <f>F2570-DATE(2026,8,31)</f>
        <v>3</v>
      </c>
      <c r="H2570" s="25" t="n">
        <v>59593246</v>
      </c>
      <c r="I2570" t="inlineStr">
        <is>
          <t>entidad-dia</t>
        </is>
      </c>
    </row>
    <row r="2571">
      <c r="A2571" t="inlineStr">
        <is>
          <t>PRAGMA</t>
        </is>
      </c>
      <c r="B2571" t="inlineStr">
        <is>
          <t>M1</t>
        </is>
      </c>
      <c r="C2571" t="inlineStr">
        <is>
          <t>Cali</t>
        </is>
      </c>
      <c r="D2571" t="inlineStr">
        <is>
          <t>4568</t>
        </is>
      </c>
      <c r="E2571" t="inlineStr">
        <is>
          <t>pagado</t>
        </is>
      </c>
      <c r="F2571" s="23" t="n">
        <v>46269</v>
      </c>
      <c r="G2571" s="24">
        <f>F2571-DATE(2026,8,31)</f>
        <v>4</v>
      </c>
      <c r="H2571" s="25" t="n">
        <v>54535845</v>
      </c>
      <c r="I2571" t="inlineStr">
        <is>
          <t>entidad-dia</t>
        </is>
      </c>
    </row>
    <row r="2572">
      <c r="A2572" t="inlineStr">
        <is>
          <t>PRAGMA</t>
        </is>
      </c>
      <c r="B2572" t="inlineStr">
        <is>
          <t>M1</t>
        </is>
      </c>
      <c r="C2572" t="inlineStr">
        <is>
          <t>Cali</t>
        </is>
      </c>
      <c r="D2572" t="inlineStr">
        <is>
          <t>4568</t>
        </is>
      </c>
      <c r="E2572" t="inlineStr">
        <is>
          <t>pagado</t>
        </is>
      </c>
      <c r="F2572" s="23" t="n">
        <v>46270</v>
      </c>
      <c r="G2572" s="24">
        <f>F2572-DATE(2026,8,31)</f>
        <v>5</v>
      </c>
      <c r="H2572" s="25" t="n">
        <v>55422481</v>
      </c>
      <c r="I2572" t="inlineStr">
        <is>
          <t>entidad-dia</t>
        </is>
      </c>
    </row>
    <row r="2573">
      <c r="A2573" t="inlineStr">
        <is>
          <t>PRAGMA</t>
        </is>
      </c>
      <c r="B2573" t="inlineStr">
        <is>
          <t>M1</t>
        </is>
      </c>
      <c r="C2573" t="inlineStr">
        <is>
          <t>Cali</t>
        </is>
      </c>
      <c r="D2573" t="inlineStr">
        <is>
          <t>4568</t>
        </is>
      </c>
      <c r="E2573" t="inlineStr">
        <is>
          <t>pagado</t>
        </is>
      </c>
      <c r="F2573" s="23" t="n">
        <v>46271</v>
      </c>
      <c r="G2573" s="24">
        <f>F2573-DATE(2026,8,31)</f>
        <v>6</v>
      </c>
      <c r="H2573" s="25" t="n">
        <v>40837385</v>
      </c>
      <c r="I2573" t="inlineStr">
        <is>
          <t>entidad-dia</t>
        </is>
      </c>
    </row>
    <row r="2574">
      <c r="A2574" t="inlineStr">
        <is>
          <t>PRAGMA</t>
        </is>
      </c>
      <c r="B2574" t="inlineStr">
        <is>
          <t>M1</t>
        </is>
      </c>
      <c r="C2574" t="inlineStr">
        <is>
          <t>Cali</t>
        </is>
      </c>
      <c r="D2574" t="inlineStr">
        <is>
          <t>4568</t>
        </is>
      </c>
      <c r="E2574" t="inlineStr">
        <is>
          <t>pagado</t>
        </is>
      </c>
      <c r="F2574" s="23" t="n">
        <v>46272</v>
      </c>
      <c r="G2574" s="24">
        <f>F2574-DATE(2026,8,31)</f>
        <v>7</v>
      </c>
      <c r="H2574" s="25" t="n">
        <v>49742893</v>
      </c>
      <c r="I2574" t="inlineStr">
        <is>
          <t>entidad-dia</t>
        </is>
      </c>
    </row>
    <row r="2575">
      <c r="A2575" t="inlineStr">
        <is>
          <t>PRAGMA</t>
        </is>
      </c>
      <c r="B2575" t="inlineStr">
        <is>
          <t>M1</t>
        </is>
      </c>
      <c r="C2575" t="inlineStr">
        <is>
          <t>Cali</t>
        </is>
      </c>
      <c r="D2575" t="inlineStr">
        <is>
          <t>4568</t>
        </is>
      </c>
      <c r="E2575" t="inlineStr">
        <is>
          <t>pagado</t>
        </is>
      </c>
      <c r="F2575" s="23" t="n">
        <v>46273</v>
      </c>
      <c r="G2575" s="24">
        <f>F2575-DATE(2026,8,31)</f>
        <v>8</v>
      </c>
      <c r="H2575" s="25" t="n">
        <v>42073690</v>
      </c>
      <c r="I2575" t="inlineStr">
        <is>
          <t>entidad-dia</t>
        </is>
      </c>
    </row>
    <row r="2576">
      <c r="A2576" t="inlineStr">
        <is>
          <t>PRAGMA</t>
        </is>
      </c>
      <c r="B2576" t="inlineStr">
        <is>
          <t>M1</t>
        </is>
      </c>
      <c r="C2576" t="inlineStr">
        <is>
          <t>Cali</t>
        </is>
      </c>
      <c r="D2576" t="inlineStr">
        <is>
          <t>4568</t>
        </is>
      </c>
      <c r="E2576" t="inlineStr">
        <is>
          <t>pagado</t>
        </is>
      </c>
      <c r="F2576" s="23" t="n">
        <v>46274</v>
      </c>
      <c r="G2576" s="24">
        <f>F2576-DATE(2026,8,31)</f>
        <v>9</v>
      </c>
      <c r="H2576" s="25" t="n">
        <v>43782009</v>
      </c>
      <c r="I2576" t="inlineStr">
        <is>
          <t>entidad-dia</t>
        </is>
      </c>
    </row>
    <row r="2577">
      <c r="A2577" t="inlineStr">
        <is>
          <t>PRAGMA</t>
        </is>
      </c>
      <c r="B2577" t="inlineStr">
        <is>
          <t>M1</t>
        </is>
      </c>
      <c r="C2577" t="inlineStr">
        <is>
          <t>Cali</t>
        </is>
      </c>
      <c r="D2577" t="inlineStr">
        <is>
          <t>4568</t>
        </is>
      </c>
      <c r="E2577" t="inlineStr">
        <is>
          <t>pagado</t>
        </is>
      </c>
      <c r="F2577" s="23" t="n">
        <v>46275</v>
      </c>
      <c r="G2577" s="24">
        <f>F2577-DATE(2026,8,31)</f>
        <v>10</v>
      </c>
      <c r="H2577" s="25" t="n">
        <v>47934881</v>
      </c>
      <c r="I2577" t="inlineStr">
        <is>
          <t>entidad-dia</t>
        </is>
      </c>
    </row>
    <row r="2578">
      <c r="A2578" t="inlineStr">
        <is>
          <t>PRAGMA</t>
        </is>
      </c>
      <c r="B2578" t="inlineStr">
        <is>
          <t>M1</t>
        </is>
      </c>
      <c r="C2578" t="inlineStr">
        <is>
          <t>Cali</t>
        </is>
      </c>
      <c r="D2578" t="inlineStr">
        <is>
          <t>4568</t>
        </is>
      </c>
      <c r="E2578" t="inlineStr">
        <is>
          <t>pagado</t>
        </is>
      </c>
      <c r="F2578" s="23" t="n">
        <v>46276</v>
      </c>
      <c r="G2578" s="24">
        <f>F2578-DATE(2026,8,31)</f>
        <v>11</v>
      </c>
      <c r="H2578" s="25" t="n">
        <v>44869727</v>
      </c>
      <c r="I2578" t="inlineStr">
        <is>
          <t>entidad-dia</t>
        </is>
      </c>
    </row>
    <row r="2579">
      <c r="A2579" t="inlineStr">
        <is>
          <t>PRAGMA</t>
        </is>
      </c>
      <c r="B2579" t="inlineStr">
        <is>
          <t>M1</t>
        </is>
      </c>
      <c r="C2579" t="inlineStr">
        <is>
          <t>Cali</t>
        </is>
      </c>
      <c r="D2579" t="inlineStr">
        <is>
          <t>4568</t>
        </is>
      </c>
      <c r="E2579" t="inlineStr">
        <is>
          <t>pagado</t>
        </is>
      </c>
      <c r="F2579" s="23" t="n">
        <v>46277</v>
      </c>
      <c r="G2579" s="24">
        <f>F2579-DATE(2026,8,31)</f>
        <v>12</v>
      </c>
      <c r="H2579" s="25" t="n">
        <v>42492286</v>
      </c>
      <c r="I2579" t="inlineStr">
        <is>
          <t>entidad-dia</t>
        </is>
      </c>
    </row>
    <row r="2580">
      <c r="A2580" t="inlineStr">
        <is>
          <t>PRAGMA</t>
        </is>
      </c>
      <c r="B2580" t="inlineStr">
        <is>
          <t>M1</t>
        </is>
      </c>
      <c r="C2580" t="inlineStr">
        <is>
          <t>Cali</t>
        </is>
      </c>
      <c r="D2580" t="inlineStr">
        <is>
          <t>4568</t>
        </is>
      </c>
      <c r="E2580" t="inlineStr">
        <is>
          <t>pagado</t>
        </is>
      </c>
      <c r="F2580" s="23" t="n">
        <v>46278</v>
      </c>
      <c r="G2580" s="24">
        <f>F2580-DATE(2026,8,31)</f>
        <v>13</v>
      </c>
      <c r="H2580" s="25" t="n">
        <v>31922470</v>
      </c>
      <c r="I2580" t="inlineStr">
        <is>
          <t>entidad-dia</t>
        </is>
      </c>
    </row>
    <row r="2581">
      <c r="A2581" t="inlineStr">
        <is>
          <t>PRAGMA</t>
        </is>
      </c>
      <c r="B2581" t="inlineStr">
        <is>
          <t>M1</t>
        </is>
      </c>
      <c r="C2581" t="inlineStr">
        <is>
          <t>Cali</t>
        </is>
      </c>
      <c r="D2581" t="inlineStr">
        <is>
          <t>4568</t>
        </is>
      </c>
      <c r="E2581" t="inlineStr">
        <is>
          <t>pagado</t>
        </is>
      </c>
      <c r="F2581" s="23" t="n">
        <v>46279</v>
      </c>
      <c r="G2581" s="24">
        <f>F2581-DATE(2026,8,31)</f>
        <v>14</v>
      </c>
      <c r="H2581" s="25" t="n">
        <v>45708564</v>
      </c>
      <c r="I2581" t="inlineStr">
        <is>
          <t>entidad-dia</t>
        </is>
      </c>
    </row>
    <row r="2582">
      <c r="A2582" t="inlineStr">
        <is>
          <t>PRAGMA</t>
        </is>
      </c>
      <c r="B2582" t="inlineStr">
        <is>
          <t>M1</t>
        </is>
      </c>
      <c r="C2582" t="inlineStr">
        <is>
          <t>Cali</t>
        </is>
      </c>
      <c r="D2582" t="inlineStr">
        <is>
          <t>4568</t>
        </is>
      </c>
      <c r="E2582" t="inlineStr">
        <is>
          <t>pagado</t>
        </is>
      </c>
      <c r="F2582" s="23" t="n">
        <v>46280</v>
      </c>
      <c r="G2582" s="24">
        <f>F2582-DATE(2026,8,31)</f>
        <v>15</v>
      </c>
      <c r="H2582" s="25" t="n">
        <v>100928247</v>
      </c>
      <c r="I2582" t="inlineStr">
        <is>
          <t>entidad-dia</t>
        </is>
      </c>
    </row>
    <row r="2583">
      <c r="A2583" t="inlineStr">
        <is>
          <t>PRAGMA</t>
        </is>
      </c>
      <c r="B2583" t="inlineStr">
        <is>
          <t>M1</t>
        </is>
      </c>
      <c r="C2583" t="inlineStr">
        <is>
          <t>Cali</t>
        </is>
      </c>
      <c r="D2583" t="inlineStr">
        <is>
          <t>4599</t>
        </is>
      </c>
      <c r="E2583" t="inlineStr">
        <is>
          <t>pagado</t>
        </is>
      </c>
      <c r="F2583" s="23" t="n">
        <v>46266</v>
      </c>
      <c r="G2583" s="24">
        <f>F2583-DATE(2026,8,31)</f>
        <v>1</v>
      </c>
      <c r="H2583" s="25" t="n">
        <v>121839101</v>
      </c>
      <c r="I2583" t="inlineStr">
        <is>
          <t>entidad-dia</t>
        </is>
      </c>
    </row>
    <row r="2584">
      <c r="A2584" t="inlineStr">
        <is>
          <t>PRAGMA</t>
        </is>
      </c>
      <c r="B2584" t="inlineStr">
        <is>
          <t>M1</t>
        </is>
      </c>
      <c r="C2584" t="inlineStr">
        <is>
          <t>Cali</t>
        </is>
      </c>
      <c r="D2584" t="inlineStr">
        <is>
          <t>4599</t>
        </is>
      </c>
      <c r="E2584" t="inlineStr">
        <is>
          <t>pagado</t>
        </is>
      </c>
      <c r="F2584" s="23" t="n">
        <v>46267</v>
      </c>
      <c r="G2584" s="24">
        <f>F2584-DATE(2026,8,31)</f>
        <v>2</v>
      </c>
      <c r="H2584" s="25" t="n">
        <v>93927843</v>
      </c>
      <c r="I2584" t="inlineStr">
        <is>
          <t>entidad-dia</t>
        </is>
      </c>
    </row>
    <row r="2585">
      <c r="A2585" t="inlineStr">
        <is>
          <t>PRAGMA</t>
        </is>
      </c>
      <c r="B2585" t="inlineStr">
        <is>
          <t>M1</t>
        </is>
      </c>
      <c r="C2585" t="inlineStr">
        <is>
          <t>Cali</t>
        </is>
      </c>
      <c r="D2585" t="inlineStr">
        <is>
          <t>4599</t>
        </is>
      </c>
      <c r="E2585" t="inlineStr">
        <is>
          <t>pagado</t>
        </is>
      </c>
      <c r="F2585" s="23" t="n">
        <v>46268</v>
      </c>
      <c r="G2585" s="24">
        <f>F2585-DATE(2026,8,31)</f>
        <v>3</v>
      </c>
      <c r="H2585" s="25" t="n">
        <v>86240386</v>
      </c>
      <c r="I2585" t="inlineStr">
        <is>
          <t>entidad-dia</t>
        </is>
      </c>
    </row>
    <row r="2586">
      <c r="A2586" t="inlineStr">
        <is>
          <t>PRAGMA</t>
        </is>
      </c>
      <c r="B2586" t="inlineStr">
        <is>
          <t>M1</t>
        </is>
      </c>
      <c r="C2586" t="inlineStr">
        <is>
          <t>Cali</t>
        </is>
      </c>
      <c r="D2586" t="inlineStr">
        <is>
          <t>4599</t>
        </is>
      </c>
      <c r="E2586" t="inlineStr">
        <is>
          <t>pagado</t>
        </is>
      </c>
      <c r="F2586" s="23" t="n">
        <v>46269</v>
      </c>
      <c r="G2586" s="24">
        <f>F2586-DATE(2026,8,31)</f>
        <v>4</v>
      </c>
      <c r="H2586" s="25" t="n">
        <v>87161695</v>
      </c>
      <c r="I2586" t="inlineStr">
        <is>
          <t>entidad-dia</t>
        </is>
      </c>
    </row>
    <row r="2587">
      <c r="A2587" t="inlineStr">
        <is>
          <t>PRAGMA</t>
        </is>
      </c>
      <c r="B2587" t="inlineStr">
        <is>
          <t>M1</t>
        </is>
      </c>
      <c r="C2587" t="inlineStr">
        <is>
          <t>Cali</t>
        </is>
      </c>
      <c r="D2587" t="inlineStr">
        <is>
          <t>4599</t>
        </is>
      </c>
      <c r="E2587" t="inlineStr">
        <is>
          <t>pagado</t>
        </is>
      </c>
      <c r="F2587" s="23" t="n">
        <v>46270</v>
      </c>
      <c r="G2587" s="24">
        <f>F2587-DATE(2026,8,31)</f>
        <v>5</v>
      </c>
      <c r="H2587" s="25" t="n">
        <v>82795945</v>
      </c>
      <c r="I2587" t="inlineStr">
        <is>
          <t>entidad-dia</t>
        </is>
      </c>
    </row>
    <row r="2588">
      <c r="A2588" t="inlineStr">
        <is>
          <t>PRAGMA</t>
        </is>
      </c>
      <c r="B2588" t="inlineStr">
        <is>
          <t>M1</t>
        </is>
      </c>
      <c r="C2588" t="inlineStr">
        <is>
          <t>Cali</t>
        </is>
      </c>
      <c r="D2588" t="inlineStr">
        <is>
          <t>4599</t>
        </is>
      </c>
      <c r="E2588" t="inlineStr">
        <is>
          <t>pagado</t>
        </is>
      </c>
      <c r="F2588" s="23" t="n">
        <v>46271</v>
      </c>
      <c r="G2588" s="24">
        <f>F2588-DATE(2026,8,31)</f>
        <v>6</v>
      </c>
      <c r="H2588" s="25" t="n">
        <v>54926159</v>
      </c>
      <c r="I2588" t="inlineStr">
        <is>
          <t>entidad-dia</t>
        </is>
      </c>
    </row>
    <row r="2589">
      <c r="A2589" t="inlineStr">
        <is>
          <t>PRAGMA</t>
        </is>
      </c>
      <c r="B2589" t="inlineStr">
        <is>
          <t>M1</t>
        </is>
      </c>
      <c r="C2589" t="inlineStr">
        <is>
          <t>Cali</t>
        </is>
      </c>
      <c r="D2589" t="inlineStr">
        <is>
          <t>4599</t>
        </is>
      </c>
      <c r="E2589" t="inlineStr">
        <is>
          <t>pagado</t>
        </is>
      </c>
      <c r="F2589" s="23" t="n">
        <v>46272</v>
      </c>
      <c r="G2589" s="24">
        <f>F2589-DATE(2026,8,31)</f>
        <v>7</v>
      </c>
      <c r="H2589" s="25" t="n">
        <v>65698313</v>
      </c>
      <c r="I2589" t="inlineStr">
        <is>
          <t>entidad-dia</t>
        </is>
      </c>
    </row>
    <row r="2590">
      <c r="A2590" t="inlineStr">
        <is>
          <t>PRAGMA</t>
        </is>
      </c>
      <c r="B2590" t="inlineStr">
        <is>
          <t>M1</t>
        </is>
      </c>
      <c r="C2590" t="inlineStr">
        <is>
          <t>Cali</t>
        </is>
      </c>
      <c r="D2590" t="inlineStr">
        <is>
          <t>4599</t>
        </is>
      </c>
      <c r="E2590" t="inlineStr">
        <is>
          <t>pagado</t>
        </is>
      </c>
      <c r="F2590" s="23" t="n">
        <v>46273</v>
      </c>
      <c r="G2590" s="24">
        <f>F2590-DATE(2026,8,31)</f>
        <v>8</v>
      </c>
      <c r="H2590" s="25" t="n">
        <v>64732973</v>
      </c>
      <c r="I2590" t="inlineStr">
        <is>
          <t>entidad-dia</t>
        </is>
      </c>
    </row>
    <row r="2591">
      <c r="A2591" t="inlineStr">
        <is>
          <t>PRAGMA</t>
        </is>
      </c>
      <c r="B2591" t="inlineStr">
        <is>
          <t>M1</t>
        </is>
      </c>
      <c r="C2591" t="inlineStr">
        <is>
          <t>Cali</t>
        </is>
      </c>
      <c r="D2591" t="inlineStr">
        <is>
          <t>4599</t>
        </is>
      </c>
      <c r="E2591" t="inlineStr">
        <is>
          <t>pagado</t>
        </is>
      </c>
      <c r="F2591" s="23" t="n">
        <v>46274</v>
      </c>
      <c r="G2591" s="24">
        <f>F2591-DATE(2026,8,31)</f>
        <v>9</v>
      </c>
      <c r="H2591" s="25" t="n">
        <v>60022760</v>
      </c>
      <c r="I2591" t="inlineStr">
        <is>
          <t>entidad-dia</t>
        </is>
      </c>
    </row>
    <row r="2592">
      <c r="A2592" t="inlineStr">
        <is>
          <t>PRAGMA</t>
        </is>
      </c>
      <c r="B2592" t="inlineStr">
        <is>
          <t>M1</t>
        </is>
      </c>
      <c r="C2592" t="inlineStr">
        <is>
          <t>Cali</t>
        </is>
      </c>
      <c r="D2592" t="inlineStr">
        <is>
          <t>4599</t>
        </is>
      </c>
      <c r="E2592" t="inlineStr">
        <is>
          <t>pagado</t>
        </is>
      </c>
      <c r="F2592" s="23" t="n">
        <v>46275</v>
      </c>
      <c r="G2592" s="24">
        <f>F2592-DATE(2026,8,31)</f>
        <v>10</v>
      </c>
      <c r="H2592" s="25" t="n">
        <v>61060370</v>
      </c>
      <c r="I2592" t="inlineStr">
        <is>
          <t>entidad-dia</t>
        </is>
      </c>
    </row>
    <row r="2593">
      <c r="A2593" t="inlineStr">
        <is>
          <t>PRAGMA</t>
        </is>
      </c>
      <c r="B2593" t="inlineStr">
        <is>
          <t>M1</t>
        </is>
      </c>
      <c r="C2593" t="inlineStr">
        <is>
          <t>Cali</t>
        </is>
      </c>
      <c r="D2593" t="inlineStr">
        <is>
          <t>4599</t>
        </is>
      </c>
      <c r="E2593" t="inlineStr">
        <is>
          <t>pagado</t>
        </is>
      </c>
      <c r="F2593" s="23" t="n">
        <v>46276</v>
      </c>
      <c r="G2593" s="24">
        <f>F2593-DATE(2026,8,31)</f>
        <v>11</v>
      </c>
      <c r="H2593" s="25" t="n">
        <v>65760573</v>
      </c>
      <c r="I2593" t="inlineStr">
        <is>
          <t>entidad-dia</t>
        </is>
      </c>
    </row>
    <row r="2594">
      <c r="A2594" t="inlineStr">
        <is>
          <t>PRAGMA</t>
        </is>
      </c>
      <c r="B2594" t="inlineStr">
        <is>
          <t>M1</t>
        </is>
      </c>
      <c r="C2594" t="inlineStr">
        <is>
          <t>Cali</t>
        </is>
      </c>
      <c r="D2594" t="inlineStr">
        <is>
          <t>4599</t>
        </is>
      </c>
      <c r="E2594" t="inlineStr">
        <is>
          <t>pagado</t>
        </is>
      </c>
      <c r="F2594" s="23" t="n">
        <v>46277</v>
      </c>
      <c r="G2594" s="24">
        <f>F2594-DATE(2026,8,31)</f>
        <v>12</v>
      </c>
      <c r="H2594" s="25" t="n">
        <v>62348752</v>
      </c>
      <c r="I2594" t="inlineStr">
        <is>
          <t>entidad-dia</t>
        </is>
      </c>
    </row>
    <row r="2595">
      <c r="A2595" t="inlineStr">
        <is>
          <t>PRAGMA</t>
        </is>
      </c>
      <c r="B2595" t="inlineStr">
        <is>
          <t>M1</t>
        </is>
      </c>
      <c r="C2595" t="inlineStr">
        <is>
          <t>Cali</t>
        </is>
      </c>
      <c r="D2595" t="inlineStr">
        <is>
          <t>4599</t>
        </is>
      </c>
      <c r="E2595" t="inlineStr">
        <is>
          <t>pagado</t>
        </is>
      </c>
      <c r="F2595" s="23" t="n">
        <v>46278</v>
      </c>
      <c r="G2595" s="24">
        <f>F2595-DATE(2026,8,31)</f>
        <v>13</v>
      </c>
      <c r="H2595" s="25" t="n">
        <v>40489184</v>
      </c>
      <c r="I2595" t="inlineStr">
        <is>
          <t>entidad-dia</t>
        </is>
      </c>
    </row>
    <row r="2596">
      <c r="A2596" t="inlineStr">
        <is>
          <t>PRAGMA</t>
        </is>
      </c>
      <c r="B2596" t="inlineStr">
        <is>
          <t>M1</t>
        </is>
      </c>
      <c r="C2596" t="inlineStr">
        <is>
          <t>Cali</t>
        </is>
      </c>
      <c r="D2596" t="inlineStr">
        <is>
          <t>4599</t>
        </is>
      </c>
      <c r="E2596" t="inlineStr">
        <is>
          <t>pagado</t>
        </is>
      </c>
      <c r="F2596" s="23" t="n">
        <v>46279</v>
      </c>
      <c r="G2596" s="24">
        <f>F2596-DATE(2026,8,31)</f>
        <v>14</v>
      </c>
      <c r="H2596" s="25" t="n">
        <v>69509013</v>
      </c>
      <c r="I2596" t="inlineStr">
        <is>
          <t>entidad-dia</t>
        </is>
      </c>
    </row>
    <row r="2597">
      <c r="A2597" t="inlineStr">
        <is>
          <t>PRAGMA</t>
        </is>
      </c>
      <c r="B2597" t="inlineStr">
        <is>
          <t>M1</t>
        </is>
      </c>
      <c r="C2597" t="inlineStr">
        <is>
          <t>Cali</t>
        </is>
      </c>
      <c r="D2597" t="inlineStr">
        <is>
          <t>4599</t>
        </is>
      </c>
      <c r="E2597" t="inlineStr">
        <is>
          <t>pagado</t>
        </is>
      </c>
      <c r="F2597" s="23" t="n">
        <v>46280</v>
      </c>
      <c r="G2597" s="24">
        <f>F2597-DATE(2026,8,31)</f>
        <v>15</v>
      </c>
      <c r="H2597" s="25" t="n">
        <v>94481648</v>
      </c>
      <c r="I2597" t="inlineStr">
        <is>
          <t>entidad-dia</t>
        </is>
      </c>
    </row>
    <row r="2598">
      <c r="A2598" t="inlineStr">
        <is>
          <t>PRAGMA</t>
        </is>
      </c>
      <c r="B2598" t="inlineStr">
        <is>
          <t>M1</t>
        </is>
      </c>
      <c r="C2598" t="inlineStr">
        <is>
          <t>Cali</t>
        </is>
      </c>
      <c r="D2598" t="inlineStr">
        <is>
          <t>4602</t>
        </is>
      </c>
      <c r="E2598" t="inlineStr">
        <is>
          <t>pagado</t>
        </is>
      </c>
      <c r="F2598" s="23" t="n">
        <v>46266</v>
      </c>
      <c r="G2598" s="24">
        <f>F2598-DATE(2026,8,31)</f>
        <v>1</v>
      </c>
      <c r="H2598" s="25" t="n">
        <v>88981220</v>
      </c>
      <c r="I2598" t="inlineStr">
        <is>
          <t>entidad-dia</t>
        </is>
      </c>
    </row>
    <row r="2599">
      <c r="A2599" t="inlineStr">
        <is>
          <t>PRAGMA</t>
        </is>
      </c>
      <c r="B2599" t="inlineStr">
        <is>
          <t>M1</t>
        </is>
      </c>
      <c r="C2599" t="inlineStr">
        <is>
          <t>Cali</t>
        </is>
      </c>
      <c r="D2599" t="inlineStr">
        <is>
          <t>4602</t>
        </is>
      </c>
      <c r="E2599" t="inlineStr">
        <is>
          <t>pagado</t>
        </is>
      </c>
      <c r="F2599" s="23" t="n">
        <v>46267</v>
      </c>
      <c r="G2599" s="24">
        <f>F2599-DATE(2026,8,31)</f>
        <v>2</v>
      </c>
      <c r="H2599" s="25" t="n">
        <v>68440942</v>
      </c>
      <c r="I2599" t="inlineStr">
        <is>
          <t>entidad-dia</t>
        </is>
      </c>
    </row>
    <row r="2600">
      <c r="A2600" t="inlineStr">
        <is>
          <t>PRAGMA</t>
        </is>
      </c>
      <c r="B2600" t="inlineStr">
        <is>
          <t>M1</t>
        </is>
      </c>
      <c r="C2600" t="inlineStr">
        <is>
          <t>Cali</t>
        </is>
      </c>
      <c r="D2600" t="inlineStr">
        <is>
          <t>4602</t>
        </is>
      </c>
      <c r="E2600" t="inlineStr">
        <is>
          <t>pagado</t>
        </is>
      </c>
      <c r="F2600" s="23" t="n">
        <v>46268</v>
      </c>
      <c r="G2600" s="24">
        <f>F2600-DATE(2026,8,31)</f>
        <v>3</v>
      </c>
      <c r="H2600" s="25" t="n">
        <v>62268225</v>
      </c>
      <c r="I2600" t="inlineStr">
        <is>
          <t>entidad-dia</t>
        </is>
      </c>
    </row>
    <row r="2601">
      <c r="A2601" t="inlineStr">
        <is>
          <t>PRAGMA</t>
        </is>
      </c>
      <c r="B2601" t="inlineStr">
        <is>
          <t>M1</t>
        </is>
      </c>
      <c r="C2601" t="inlineStr">
        <is>
          <t>Cali</t>
        </is>
      </c>
      <c r="D2601" t="inlineStr">
        <is>
          <t>4602</t>
        </is>
      </c>
      <c r="E2601" t="inlineStr">
        <is>
          <t>pagado</t>
        </is>
      </c>
      <c r="F2601" s="23" t="n">
        <v>46269</v>
      </c>
      <c r="G2601" s="24">
        <f>F2601-DATE(2026,8,31)</f>
        <v>4</v>
      </c>
      <c r="H2601" s="25" t="n">
        <v>68691823</v>
      </c>
      <c r="I2601" t="inlineStr">
        <is>
          <t>entidad-dia</t>
        </is>
      </c>
    </row>
    <row r="2602">
      <c r="A2602" t="inlineStr">
        <is>
          <t>PRAGMA</t>
        </is>
      </c>
      <c r="B2602" t="inlineStr">
        <is>
          <t>M1</t>
        </is>
      </c>
      <c r="C2602" t="inlineStr">
        <is>
          <t>Cali</t>
        </is>
      </c>
      <c r="D2602" t="inlineStr">
        <is>
          <t>4602</t>
        </is>
      </c>
      <c r="E2602" t="inlineStr">
        <is>
          <t>pagado</t>
        </is>
      </c>
      <c r="F2602" s="23" t="n">
        <v>46270</v>
      </c>
      <c r="G2602" s="24">
        <f>F2602-DATE(2026,8,31)</f>
        <v>5</v>
      </c>
      <c r="H2602" s="25" t="n">
        <v>64100537</v>
      </c>
      <c r="I2602" t="inlineStr">
        <is>
          <t>entidad-dia</t>
        </is>
      </c>
    </row>
    <row r="2603">
      <c r="A2603" t="inlineStr">
        <is>
          <t>PRAGMA</t>
        </is>
      </c>
      <c r="B2603" t="inlineStr">
        <is>
          <t>M1</t>
        </is>
      </c>
      <c r="C2603" t="inlineStr">
        <is>
          <t>Cali</t>
        </is>
      </c>
      <c r="D2603" t="inlineStr">
        <is>
          <t>4602</t>
        </is>
      </c>
      <c r="E2603" t="inlineStr">
        <is>
          <t>pagado</t>
        </is>
      </c>
      <c r="F2603" s="23" t="n">
        <v>46271</v>
      </c>
      <c r="G2603" s="24">
        <f>F2603-DATE(2026,8,31)</f>
        <v>6</v>
      </c>
      <c r="H2603" s="25" t="n">
        <v>36164387</v>
      </c>
      <c r="I2603" t="inlineStr">
        <is>
          <t>entidad-dia</t>
        </is>
      </c>
    </row>
    <row r="2604">
      <c r="A2604" t="inlineStr">
        <is>
          <t>PRAGMA</t>
        </is>
      </c>
      <c r="B2604" t="inlineStr">
        <is>
          <t>M1</t>
        </is>
      </c>
      <c r="C2604" t="inlineStr">
        <is>
          <t>Cali</t>
        </is>
      </c>
      <c r="D2604" t="inlineStr">
        <is>
          <t>4602</t>
        </is>
      </c>
      <c r="E2604" t="inlineStr">
        <is>
          <t>pagado</t>
        </is>
      </c>
      <c r="F2604" s="23" t="n">
        <v>46272</v>
      </c>
      <c r="G2604" s="24">
        <f>F2604-DATE(2026,8,31)</f>
        <v>7</v>
      </c>
      <c r="H2604" s="25" t="n">
        <v>53016735</v>
      </c>
      <c r="I2604" t="inlineStr">
        <is>
          <t>entidad-dia</t>
        </is>
      </c>
    </row>
    <row r="2605">
      <c r="A2605" t="inlineStr">
        <is>
          <t>PRAGMA</t>
        </is>
      </c>
      <c r="B2605" t="inlineStr">
        <is>
          <t>M1</t>
        </is>
      </c>
      <c r="C2605" t="inlineStr">
        <is>
          <t>Cali</t>
        </is>
      </c>
      <c r="D2605" t="inlineStr">
        <is>
          <t>4602</t>
        </is>
      </c>
      <c r="E2605" t="inlineStr">
        <is>
          <t>pagado</t>
        </is>
      </c>
      <c r="F2605" s="23" t="n">
        <v>46273</v>
      </c>
      <c r="G2605" s="24">
        <f>F2605-DATE(2026,8,31)</f>
        <v>8</v>
      </c>
      <c r="H2605" s="25" t="n">
        <v>45686429</v>
      </c>
      <c r="I2605" t="inlineStr">
        <is>
          <t>entidad-dia</t>
        </is>
      </c>
    </row>
    <row r="2606">
      <c r="A2606" t="inlineStr">
        <is>
          <t>PRAGMA</t>
        </is>
      </c>
      <c r="B2606" t="inlineStr">
        <is>
          <t>M1</t>
        </is>
      </c>
      <c r="C2606" t="inlineStr">
        <is>
          <t>Cali</t>
        </is>
      </c>
      <c r="D2606" t="inlineStr">
        <is>
          <t>4602</t>
        </is>
      </c>
      <c r="E2606" t="inlineStr">
        <is>
          <t>pagado</t>
        </is>
      </c>
      <c r="F2606" s="23" t="n">
        <v>46274</v>
      </c>
      <c r="G2606" s="24">
        <f>F2606-DATE(2026,8,31)</f>
        <v>9</v>
      </c>
      <c r="H2606" s="25" t="n">
        <v>49449510</v>
      </c>
      <c r="I2606" t="inlineStr">
        <is>
          <t>entidad-dia</t>
        </is>
      </c>
    </row>
    <row r="2607">
      <c r="A2607" t="inlineStr">
        <is>
          <t>PRAGMA</t>
        </is>
      </c>
      <c r="B2607" t="inlineStr">
        <is>
          <t>M1</t>
        </is>
      </c>
      <c r="C2607" t="inlineStr">
        <is>
          <t>Cali</t>
        </is>
      </c>
      <c r="D2607" t="inlineStr">
        <is>
          <t>4602</t>
        </is>
      </c>
      <c r="E2607" t="inlineStr">
        <is>
          <t>pagado</t>
        </is>
      </c>
      <c r="F2607" s="23" t="n">
        <v>46275</v>
      </c>
      <c r="G2607" s="24">
        <f>F2607-DATE(2026,8,31)</f>
        <v>10</v>
      </c>
      <c r="H2607" s="25" t="n">
        <v>45427223</v>
      </c>
      <c r="I2607" t="inlineStr">
        <is>
          <t>entidad-dia</t>
        </is>
      </c>
    </row>
    <row r="2608">
      <c r="A2608" t="inlineStr">
        <is>
          <t>PRAGMA</t>
        </is>
      </c>
      <c r="B2608" t="inlineStr">
        <is>
          <t>M1</t>
        </is>
      </c>
      <c r="C2608" t="inlineStr">
        <is>
          <t>Cali</t>
        </is>
      </c>
      <c r="D2608" t="inlineStr">
        <is>
          <t>4602</t>
        </is>
      </c>
      <c r="E2608" t="inlineStr">
        <is>
          <t>pagado</t>
        </is>
      </c>
      <c r="F2608" s="23" t="n">
        <v>46276</v>
      </c>
      <c r="G2608" s="24">
        <f>F2608-DATE(2026,8,31)</f>
        <v>11</v>
      </c>
      <c r="H2608" s="25" t="n">
        <v>52542562</v>
      </c>
      <c r="I2608" t="inlineStr">
        <is>
          <t>entidad-dia</t>
        </is>
      </c>
    </row>
    <row r="2609">
      <c r="A2609" t="inlineStr">
        <is>
          <t>PRAGMA</t>
        </is>
      </c>
      <c r="B2609" t="inlineStr">
        <is>
          <t>M1</t>
        </is>
      </c>
      <c r="C2609" t="inlineStr">
        <is>
          <t>Cali</t>
        </is>
      </c>
      <c r="D2609" t="inlineStr">
        <is>
          <t>4602</t>
        </is>
      </c>
      <c r="E2609" t="inlineStr">
        <is>
          <t>pagado</t>
        </is>
      </c>
      <c r="F2609" s="23" t="n">
        <v>46277</v>
      </c>
      <c r="G2609" s="24">
        <f>F2609-DATE(2026,8,31)</f>
        <v>12</v>
      </c>
      <c r="H2609" s="25" t="n">
        <v>48387680</v>
      </c>
      <c r="I2609" t="inlineStr">
        <is>
          <t>entidad-dia</t>
        </is>
      </c>
    </row>
    <row r="2610">
      <c r="A2610" t="inlineStr">
        <is>
          <t>PRAGMA</t>
        </is>
      </c>
      <c r="B2610" t="inlineStr">
        <is>
          <t>M1</t>
        </is>
      </c>
      <c r="C2610" t="inlineStr">
        <is>
          <t>Cali</t>
        </is>
      </c>
      <c r="D2610" t="inlineStr">
        <is>
          <t>4602</t>
        </is>
      </c>
      <c r="E2610" t="inlineStr">
        <is>
          <t>pagado</t>
        </is>
      </c>
      <c r="F2610" s="23" t="n">
        <v>46278</v>
      </c>
      <c r="G2610" s="24">
        <f>F2610-DATE(2026,8,31)</f>
        <v>13</v>
      </c>
      <c r="H2610" s="25" t="n">
        <v>27269102</v>
      </c>
      <c r="I2610" t="inlineStr">
        <is>
          <t>entidad-dia</t>
        </is>
      </c>
    </row>
    <row r="2611">
      <c r="A2611" t="inlineStr">
        <is>
          <t>PRAGMA</t>
        </is>
      </c>
      <c r="B2611" t="inlineStr">
        <is>
          <t>M1</t>
        </is>
      </c>
      <c r="C2611" t="inlineStr">
        <is>
          <t>Cali</t>
        </is>
      </c>
      <c r="D2611" t="inlineStr">
        <is>
          <t>4602</t>
        </is>
      </c>
      <c r="E2611" t="inlineStr">
        <is>
          <t>pagado</t>
        </is>
      </c>
      <c r="F2611" s="23" t="n">
        <v>46279</v>
      </c>
      <c r="G2611" s="24">
        <f>F2611-DATE(2026,8,31)</f>
        <v>14</v>
      </c>
      <c r="H2611" s="25" t="n">
        <v>53315354</v>
      </c>
      <c r="I2611" t="inlineStr">
        <is>
          <t>entidad-dia</t>
        </is>
      </c>
    </row>
    <row r="2612">
      <c r="A2612" t="inlineStr">
        <is>
          <t>PRAGMA</t>
        </is>
      </c>
      <c r="B2612" t="inlineStr">
        <is>
          <t>M1</t>
        </is>
      </c>
      <c r="C2612" t="inlineStr">
        <is>
          <t>Cali</t>
        </is>
      </c>
      <c r="D2612" t="inlineStr">
        <is>
          <t>4602</t>
        </is>
      </c>
      <c r="E2612" t="inlineStr">
        <is>
          <t>pagado</t>
        </is>
      </c>
      <c r="F2612" s="23" t="n">
        <v>46280</v>
      </c>
      <c r="G2612" s="24">
        <f>F2612-DATE(2026,8,31)</f>
        <v>15</v>
      </c>
      <c r="H2612" s="25" t="n">
        <v>78663869</v>
      </c>
      <c r="I2612" t="inlineStr">
        <is>
          <t>entidad-dia</t>
        </is>
      </c>
    </row>
    <row r="2613">
      <c r="A2613" t="inlineStr">
        <is>
          <t>PRAGMA</t>
        </is>
      </c>
      <c r="B2613" t="inlineStr">
        <is>
          <t>M1</t>
        </is>
      </c>
      <c r="C2613" t="inlineStr">
        <is>
          <t>Cali</t>
        </is>
      </c>
      <c r="D2613" t="inlineStr">
        <is>
          <t>4663</t>
        </is>
      </c>
      <c r="E2613" t="inlineStr">
        <is>
          <t>pagado</t>
        </is>
      </c>
      <c r="F2613" s="23" t="n">
        <v>46266</v>
      </c>
      <c r="G2613" s="24">
        <f>F2613-DATE(2026,8,31)</f>
        <v>1</v>
      </c>
      <c r="H2613" s="25" t="n">
        <v>133145600</v>
      </c>
      <c r="I2613" t="inlineStr">
        <is>
          <t>entidad-dia</t>
        </is>
      </c>
    </row>
    <row r="2614">
      <c r="A2614" t="inlineStr">
        <is>
          <t>PRAGMA</t>
        </is>
      </c>
      <c r="B2614" t="inlineStr">
        <is>
          <t>M1</t>
        </is>
      </c>
      <c r="C2614" t="inlineStr">
        <is>
          <t>Cali</t>
        </is>
      </c>
      <c r="D2614" t="inlineStr">
        <is>
          <t>4663</t>
        </is>
      </c>
      <c r="E2614" t="inlineStr">
        <is>
          <t>pagado</t>
        </is>
      </c>
      <c r="F2614" s="23" t="n">
        <v>46267</v>
      </c>
      <c r="G2614" s="24">
        <f>F2614-DATE(2026,8,31)</f>
        <v>2</v>
      </c>
      <c r="H2614" s="25" t="n">
        <v>108682928</v>
      </c>
      <c r="I2614" t="inlineStr">
        <is>
          <t>entidad-dia</t>
        </is>
      </c>
    </row>
    <row r="2615">
      <c r="A2615" t="inlineStr">
        <is>
          <t>PRAGMA</t>
        </is>
      </c>
      <c r="B2615" t="inlineStr">
        <is>
          <t>M1</t>
        </is>
      </c>
      <c r="C2615" t="inlineStr">
        <is>
          <t>Cali</t>
        </is>
      </c>
      <c r="D2615" t="inlineStr">
        <is>
          <t>4663</t>
        </is>
      </c>
      <c r="E2615" t="inlineStr">
        <is>
          <t>pagado</t>
        </is>
      </c>
      <c r="F2615" s="23" t="n">
        <v>46268</v>
      </c>
      <c r="G2615" s="24">
        <f>F2615-DATE(2026,8,31)</f>
        <v>3</v>
      </c>
      <c r="H2615" s="25" t="n">
        <v>101822159</v>
      </c>
      <c r="I2615" t="inlineStr">
        <is>
          <t>entidad-dia</t>
        </is>
      </c>
    </row>
    <row r="2616">
      <c r="A2616" t="inlineStr">
        <is>
          <t>PRAGMA</t>
        </is>
      </c>
      <c r="B2616" t="inlineStr">
        <is>
          <t>M1</t>
        </is>
      </c>
      <c r="C2616" t="inlineStr">
        <is>
          <t>Cali</t>
        </is>
      </c>
      <c r="D2616" t="inlineStr">
        <is>
          <t>4663</t>
        </is>
      </c>
      <c r="E2616" t="inlineStr">
        <is>
          <t>pagado</t>
        </is>
      </c>
      <c r="F2616" s="23" t="n">
        <v>46269</v>
      </c>
      <c r="G2616" s="24">
        <f>F2616-DATE(2026,8,31)</f>
        <v>4</v>
      </c>
      <c r="H2616" s="25" t="n">
        <v>96427273</v>
      </c>
      <c r="I2616" t="inlineStr">
        <is>
          <t>entidad-dia</t>
        </is>
      </c>
    </row>
    <row r="2617">
      <c r="A2617" t="inlineStr">
        <is>
          <t>PRAGMA</t>
        </is>
      </c>
      <c r="B2617" t="inlineStr">
        <is>
          <t>M1</t>
        </is>
      </c>
      <c r="C2617" t="inlineStr">
        <is>
          <t>Cali</t>
        </is>
      </c>
      <c r="D2617" t="inlineStr">
        <is>
          <t>4663</t>
        </is>
      </c>
      <c r="E2617" t="inlineStr">
        <is>
          <t>pagado</t>
        </is>
      </c>
      <c r="F2617" s="23" t="n">
        <v>46270</v>
      </c>
      <c r="G2617" s="24">
        <f>F2617-DATE(2026,8,31)</f>
        <v>5</v>
      </c>
      <c r="H2617" s="25" t="n">
        <v>96367019</v>
      </c>
      <c r="I2617" t="inlineStr">
        <is>
          <t>entidad-dia</t>
        </is>
      </c>
    </row>
    <row r="2618">
      <c r="A2618" t="inlineStr">
        <is>
          <t>PRAGMA</t>
        </is>
      </c>
      <c r="B2618" t="inlineStr">
        <is>
          <t>M1</t>
        </is>
      </c>
      <c r="C2618" t="inlineStr">
        <is>
          <t>Cali</t>
        </is>
      </c>
      <c r="D2618" t="inlineStr">
        <is>
          <t>4663</t>
        </is>
      </c>
      <c r="E2618" t="inlineStr">
        <is>
          <t>pagado</t>
        </is>
      </c>
      <c r="F2618" s="23" t="n">
        <v>46271</v>
      </c>
      <c r="G2618" s="24">
        <f>F2618-DATE(2026,8,31)</f>
        <v>6</v>
      </c>
      <c r="H2618" s="25" t="n">
        <v>61940426</v>
      </c>
      <c r="I2618" t="inlineStr">
        <is>
          <t>entidad-dia</t>
        </is>
      </c>
    </row>
    <row r="2619">
      <c r="A2619" t="inlineStr">
        <is>
          <t>PRAGMA</t>
        </is>
      </c>
      <c r="B2619" t="inlineStr">
        <is>
          <t>M1</t>
        </is>
      </c>
      <c r="C2619" t="inlineStr">
        <is>
          <t>Cali</t>
        </is>
      </c>
      <c r="D2619" t="inlineStr">
        <is>
          <t>4663</t>
        </is>
      </c>
      <c r="E2619" t="inlineStr">
        <is>
          <t>pagado</t>
        </is>
      </c>
      <c r="F2619" s="23" t="n">
        <v>46272</v>
      </c>
      <c r="G2619" s="24">
        <f>F2619-DATE(2026,8,31)</f>
        <v>7</v>
      </c>
      <c r="H2619" s="25" t="n">
        <v>77400345</v>
      </c>
      <c r="I2619" t="inlineStr">
        <is>
          <t>entidad-dia</t>
        </is>
      </c>
    </row>
    <row r="2620">
      <c r="A2620" t="inlineStr">
        <is>
          <t>PRAGMA</t>
        </is>
      </c>
      <c r="B2620" t="inlineStr">
        <is>
          <t>M1</t>
        </is>
      </c>
      <c r="C2620" t="inlineStr">
        <is>
          <t>Cali</t>
        </is>
      </c>
      <c r="D2620" t="inlineStr">
        <is>
          <t>4663</t>
        </is>
      </c>
      <c r="E2620" t="inlineStr">
        <is>
          <t>pagado</t>
        </is>
      </c>
      <c r="F2620" s="23" t="n">
        <v>46273</v>
      </c>
      <c r="G2620" s="24">
        <f>F2620-DATE(2026,8,31)</f>
        <v>8</v>
      </c>
      <c r="H2620" s="25" t="n">
        <v>80746010</v>
      </c>
      <c r="I2620" t="inlineStr">
        <is>
          <t>entidad-dia</t>
        </is>
      </c>
    </row>
    <row r="2621">
      <c r="A2621" t="inlineStr">
        <is>
          <t>PRAGMA</t>
        </is>
      </c>
      <c r="B2621" t="inlineStr">
        <is>
          <t>M1</t>
        </is>
      </c>
      <c r="C2621" t="inlineStr">
        <is>
          <t>Cali</t>
        </is>
      </c>
      <c r="D2621" t="inlineStr">
        <is>
          <t>4663</t>
        </is>
      </c>
      <c r="E2621" t="inlineStr">
        <is>
          <t>pagado</t>
        </is>
      </c>
      <c r="F2621" s="23" t="n">
        <v>46274</v>
      </c>
      <c r="G2621" s="24">
        <f>F2621-DATE(2026,8,31)</f>
        <v>9</v>
      </c>
      <c r="H2621" s="25" t="n">
        <v>82935528</v>
      </c>
      <c r="I2621" t="inlineStr">
        <is>
          <t>entidad-dia</t>
        </is>
      </c>
    </row>
    <row r="2622">
      <c r="A2622" t="inlineStr">
        <is>
          <t>PRAGMA</t>
        </is>
      </c>
      <c r="B2622" t="inlineStr">
        <is>
          <t>M1</t>
        </is>
      </c>
      <c r="C2622" t="inlineStr">
        <is>
          <t>Cali</t>
        </is>
      </c>
      <c r="D2622" t="inlineStr">
        <is>
          <t>4663</t>
        </is>
      </c>
      <c r="E2622" t="inlineStr">
        <is>
          <t>pagado</t>
        </is>
      </c>
      <c r="F2622" s="23" t="n">
        <v>46275</v>
      </c>
      <c r="G2622" s="24">
        <f>F2622-DATE(2026,8,31)</f>
        <v>10</v>
      </c>
      <c r="H2622" s="25" t="n">
        <v>66801920</v>
      </c>
      <c r="I2622" t="inlineStr">
        <is>
          <t>entidad-dia</t>
        </is>
      </c>
    </row>
    <row r="2623">
      <c r="A2623" t="inlineStr">
        <is>
          <t>PRAGMA</t>
        </is>
      </c>
      <c r="B2623" t="inlineStr">
        <is>
          <t>M1</t>
        </is>
      </c>
      <c r="C2623" t="inlineStr">
        <is>
          <t>Cali</t>
        </is>
      </c>
      <c r="D2623" t="inlineStr">
        <is>
          <t>4663</t>
        </is>
      </c>
      <c r="E2623" t="inlineStr">
        <is>
          <t>pagado</t>
        </is>
      </c>
      <c r="F2623" s="23" t="n">
        <v>46276</v>
      </c>
      <c r="G2623" s="24">
        <f>F2623-DATE(2026,8,31)</f>
        <v>11</v>
      </c>
      <c r="H2623" s="25" t="n">
        <v>77080012</v>
      </c>
      <c r="I2623" t="inlineStr">
        <is>
          <t>entidad-dia</t>
        </is>
      </c>
    </row>
    <row r="2624">
      <c r="A2624" t="inlineStr">
        <is>
          <t>PRAGMA</t>
        </is>
      </c>
      <c r="B2624" t="inlineStr">
        <is>
          <t>M1</t>
        </is>
      </c>
      <c r="C2624" t="inlineStr">
        <is>
          <t>Cali</t>
        </is>
      </c>
      <c r="D2624" t="inlineStr">
        <is>
          <t>4663</t>
        </is>
      </c>
      <c r="E2624" t="inlineStr">
        <is>
          <t>pagado</t>
        </is>
      </c>
      <c r="F2624" s="23" t="n">
        <v>46277</v>
      </c>
      <c r="G2624" s="24">
        <f>F2624-DATE(2026,8,31)</f>
        <v>12</v>
      </c>
      <c r="H2624" s="25" t="n">
        <v>73681417</v>
      </c>
      <c r="I2624" t="inlineStr">
        <is>
          <t>entidad-dia</t>
        </is>
      </c>
    </row>
    <row r="2625">
      <c r="A2625" t="inlineStr">
        <is>
          <t>PRAGMA</t>
        </is>
      </c>
      <c r="B2625" t="inlineStr">
        <is>
          <t>M1</t>
        </is>
      </c>
      <c r="C2625" t="inlineStr">
        <is>
          <t>Cali</t>
        </is>
      </c>
      <c r="D2625" t="inlineStr">
        <is>
          <t>4663</t>
        </is>
      </c>
      <c r="E2625" t="inlineStr">
        <is>
          <t>pagado</t>
        </is>
      </c>
      <c r="F2625" s="23" t="n">
        <v>46278</v>
      </c>
      <c r="G2625" s="24">
        <f>F2625-DATE(2026,8,31)</f>
        <v>13</v>
      </c>
      <c r="H2625" s="25" t="n">
        <v>45932173</v>
      </c>
      <c r="I2625" t="inlineStr">
        <is>
          <t>entidad-dia</t>
        </is>
      </c>
    </row>
    <row r="2626">
      <c r="A2626" t="inlineStr">
        <is>
          <t>PRAGMA</t>
        </is>
      </c>
      <c r="B2626" t="inlineStr">
        <is>
          <t>M1</t>
        </is>
      </c>
      <c r="C2626" t="inlineStr">
        <is>
          <t>Cali</t>
        </is>
      </c>
      <c r="D2626" t="inlineStr">
        <is>
          <t>4663</t>
        </is>
      </c>
      <c r="E2626" t="inlineStr">
        <is>
          <t>pagado</t>
        </is>
      </c>
      <c r="F2626" s="23" t="n">
        <v>46279</v>
      </c>
      <c r="G2626" s="24">
        <f>F2626-DATE(2026,8,31)</f>
        <v>14</v>
      </c>
      <c r="H2626" s="25" t="n">
        <v>77093923</v>
      </c>
      <c r="I2626" t="inlineStr">
        <is>
          <t>entidad-dia</t>
        </is>
      </c>
    </row>
    <row r="2627">
      <c r="A2627" t="inlineStr">
        <is>
          <t>PRAGMA</t>
        </is>
      </c>
      <c r="B2627" t="inlineStr">
        <is>
          <t>M1</t>
        </is>
      </c>
      <c r="C2627" t="inlineStr">
        <is>
          <t>Cali</t>
        </is>
      </c>
      <c r="D2627" t="inlineStr">
        <is>
          <t>4663</t>
        </is>
      </c>
      <c r="E2627" t="inlineStr">
        <is>
          <t>pagado</t>
        </is>
      </c>
      <c r="F2627" s="23" t="n">
        <v>46280</v>
      </c>
      <c r="G2627" s="24">
        <f>F2627-DATE(2026,8,31)</f>
        <v>15</v>
      </c>
      <c r="H2627" s="25" t="n">
        <v>117789791</v>
      </c>
      <c r="I2627" t="inlineStr">
        <is>
          <t>entidad-dia</t>
        </is>
      </c>
    </row>
    <row r="2628">
      <c r="A2628" t="inlineStr">
        <is>
          <t>PRAGMA</t>
        </is>
      </c>
      <c r="B2628" t="inlineStr">
        <is>
          <t>M1</t>
        </is>
      </c>
      <c r="C2628" t="inlineStr">
        <is>
          <t>Cali</t>
        </is>
      </c>
      <c r="D2628" t="inlineStr">
        <is>
          <t>472</t>
        </is>
      </c>
      <c r="E2628" t="inlineStr">
        <is>
          <t>pagado</t>
        </is>
      </c>
      <c r="F2628" s="23" t="n">
        <v>46266</v>
      </c>
      <c r="G2628" s="24">
        <f>F2628-DATE(2026,8,31)</f>
        <v>1</v>
      </c>
      <c r="H2628" s="25" t="n">
        <v>224927975</v>
      </c>
      <c r="I2628" t="inlineStr">
        <is>
          <t>entidad-dia</t>
        </is>
      </c>
    </row>
    <row r="2629">
      <c r="A2629" t="inlineStr">
        <is>
          <t>PRAGMA</t>
        </is>
      </c>
      <c r="B2629" t="inlineStr">
        <is>
          <t>M1</t>
        </is>
      </c>
      <c r="C2629" t="inlineStr">
        <is>
          <t>Cali</t>
        </is>
      </c>
      <c r="D2629" t="inlineStr">
        <is>
          <t>472</t>
        </is>
      </c>
      <c r="E2629" t="inlineStr">
        <is>
          <t>pagado</t>
        </is>
      </c>
      <c r="F2629" s="23" t="n">
        <v>46267</v>
      </c>
      <c r="G2629" s="24">
        <f>F2629-DATE(2026,8,31)</f>
        <v>2</v>
      </c>
      <c r="H2629" s="25" t="n">
        <v>154887180</v>
      </c>
      <c r="I2629" t="inlineStr">
        <is>
          <t>entidad-dia</t>
        </is>
      </c>
    </row>
    <row r="2630">
      <c r="A2630" t="inlineStr">
        <is>
          <t>PRAGMA</t>
        </is>
      </c>
      <c r="B2630" t="inlineStr">
        <is>
          <t>M1</t>
        </is>
      </c>
      <c r="C2630" t="inlineStr">
        <is>
          <t>Cali</t>
        </is>
      </c>
      <c r="D2630" t="inlineStr">
        <is>
          <t>472</t>
        </is>
      </c>
      <c r="E2630" t="inlineStr">
        <is>
          <t>pagado</t>
        </is>
      </c>
      <c r="F2630" s="23" t="n">
        <v>46268</v>
      </c>
      <c r="G2630" s="24">
        <f>F2630-DATE(2026,8,31)</f>
        <v>3</v>
      </c>
      <c r="H2630" s="25" t="n">
        <v>149136008</v>
      </c>
      <c r="I2630" t="inlineStr">
        <is>
          <t>entidad-dia</t>
        </is>
      </c>
    </row>
    <row r="2631">
      <c r="A2631" t="inlineStr">
        <is>
          <t>PRAGMA</t>
        </is>
      </c>
      <c r="B2631" t="inlineStr">
        <is>
          <t>M1</t>
        </is>
      </c>
      <c r="C2631" t="inlineStr">
        <is>
          <t>Cali</t>
        </is>
      </c>
      <c r="D2631" t="inlineStr">
        <is>
          <t>472</t>
        </is>
      </c>
      <c r="E2631" t="inlineStr">
        <is>
          <t>pagado</t>
        </is>
      </c>
      <c r="F2631" s="23" t="n">
        <v>46269</v>
      </c>
      <c r="G2631" s="24">
        <f>F2631-DATE(2026,8,31)</f>
        <v>4</v>
      </c>
      <c r="H2631" s="25" t="n">
        <v>158432579</v>
      </c>
      <c r="I2631" t="inlineStr">
        <is>
          <t>entidad-dia</t>
        </is>
      </c>
    </row>
    <row r="2632">
      <c r="A2632" t="inlineStr">
        <is>
          <t>PRAGMA</t>
        </is>
      </c>
      <c r="B2632" t="inlineStr">
        <is>
          <t>M1</t>
        </is>
      </c>
      <c r="C2632" t="inlineStr">
        <is>
          <t>Cali</t>
        </is>
      </c>
      <c r="D2632" t="inlineStr">
        <is>
          <t>472</t>
        </is>
      </c>
      <c r="E2632" t="inlineStr">
        <is>
          <t>pagado</t>
        </is>
      </c>
      <c r="F2632" s="23" t="n">
        <v>46270</v>
      </c>
      <c r="G2632" s="24">
        <f>F2632-DATE(2026,8,31)</f>
        <v>5</v>
      </c>
      <c r="H2632" s="25" t="n">
        <v>150407984</v>
      </c>
      <c r="I2632" t="inlineStr">
        <is>
          <t>entidad-dia</t>
        </is>
      </c>
    </row>
    <row r="2633">
      <c r="A2633" t="inlineStr">
        <is>
          <t>PRAGMA</t>
        </is>
      </c>
      <c r="B2633" t="inlineStr">
        <is>
          <t>M1</t>
        </is>
      </c>
      <c r="C2633" t="inlineStr">
        <is>
          <t>Cali</t>
        </is>
      </c>
      <c r="D2633" t="inlineStr">
        <is>
          <t>472</t>
        </is>
      </c>
      <c r="E2633" t="inlineStr">
        <is>
          <t>pagado</t>
        </is>
      </c>
      <c r="F2633" s="23" t="n">
        <v>46271</v>
      </c>
      <c r="G2633" s="24">
        <f>F2633-DATE(2026,8,31)</f>
        <v>6</v>
      </c>
      <c r="H2633" s="25" t="n">
        <v>77876757</v>
      </c>
      <c r="I2633" t="inlineStr">
        <is>
          <t>entidad-dia</t>
        </is>
      </c>
    </row>
    <row r="2634">
      <c r="A2634" t="inlineStr">
        <is>
          <t>PRAGMA</t>
        </is>
      </c>
      <c r="B2634" t="inlineStr">
        <is>
          <t>M1</t>
        </is>
      </c>
      <c r="C2634" t="inlineStr">
        <is>
          <t>Cali</t>
        </is>
      </c>
      <c r="D2634" t="inlineStr">
        <is>
          <t>472</t>
        </is>
      </c>
      <c r="E2634" t="inlineStr">
        <is>
          <t>pagado</t>
        </is>
      </c>
      <c r="F2634" s="23" t="n">
        <v>46272</v>
      </c>
      <c r="G2634" s="24">
        <f>F2634-DATE(2026,8,31)</f>
        <v>7</v>
      </c>
      <c r="H2634" s="25" t="n">
        <v>113549767</v>
      </c>
      <c r="I2634" t="inlineStr">
        <is>
          <t>entidad-dia</t>
        </is>
      </c>
    </row>
    <row r="2635">
      <c r="A2635" t="inlineStr">
        <is>
          <t>PRAGMA</t>
        </is>
      </c>
      <c r="B2635" t="inlineStr">
        <is>
          <t>M1</t>
        </is>
      </c>
      <c r="C2635" t="inlineStr">
        <is>
          <t>Cali</t>
        </is>
      </c>
      <c r="D2635" t="inlineStr">
        <is>
          <t>472</t>
        </is>
      </c>
      <c r="E2635" t="inlineStr">
        <is>
          <t>pagado</t>
        </is>
      </c>
      <c r="F2635" s="23" t="n">
        <v>46273</v>
      </c>
      <c r="G2635" s="24">
        <f>F2635-DATE(2026,8,31)</f>
        <v>8</v>
      </c>
      <c r="H2635" s="25" t="n">
        <v>101738123</v>
      </c>
      <c r="I2635" t="inlineStr">
        <is>
          <t>entidad-dia</t>
        </is>
      </c>
    </row>
    <row r="2636">
      <c r="A2636" t="inlineStr">
        <is>
          <t>PRAGMA</t>
        </is>
      </c>
      <c r="B2636" t="inlineStr">
        <is>
          <t>M1</t>
        </is>
      </c>
      <c r="C2636" t="inlineStr">
        <is>
          <t>Cali</t>
        </is>
      </c>
      <c r="D2636" t="inlineStr">
        <is>
          <t>472</t>
        </is>
      </c>
      <c r="E2636" t="inlineStr">
        <is>
          <t>pagado</t>
        </is>
      </c>
      <c r="F2636" s="23" t="n">
        <v>46274</v>
      </c>
      <c r="G2636" s="24">
        <f>F2636-DATE(2026,8,31)</f>
        <v>9</v>
      </c>
      <c r="H2636" s="25" t="n">
        <v>95578791</v>
      </c>
      <c r="I2636" t="inlineStr">
        <is>
          <t>entidad-dia</t>
        </is>
      </c>
    </row>
    <row r="2637">
      <c r="A2637" t="inlineStr">
        <is>
          <t>PRAGMA</t>
        </is>
      </c>
      <c r="B2637" t="inlineStr">
        <is>
          <t>M1</t>
        </is>
      </c>
      <c r="C2637" t="inlineStr">
        <is>
          <t>Cali</t>
        </is>
      </c>
      <c r="D2637" t="inlineStr">
        <is>
          <t>472</t>
        </is>
      </c>
      <c r="E2637" t="inlineStr">
        <is>
          <t>pagado</t>
        </is>
      </c>
      <c r="F2637" s="23" t="n">
        <v>46275</v>
      </c>
      <c r="G2637" s="24">
        <f>F2637-DATE(2026,8,31)</f>
        <v>10</v>
      </c>
      <c r="H2637" s="25" t="n">
        <v>95697006</v>
      </c>
      <c r="I2637" t="inlineStr">
        <is>
          <t>entidad-dia</t>
        </is>
      </c>
    </row>
    <row r="2638">
      <c r="A2638" t="inlineStr">
        <is>
          <t>PRAGMA</t>
        </is>
      </c>
      <c r="B2638" t="inlineStr">
        <is>
          <t>M1</t>
        </is>
      </c>
      <c r="C2638" t="inlineStr">
        <is>
          <t>Cali</t>
        </is>
      </c>
      <c r="D2638" t="inlineStr">
        <is>
          <t>472</t>
        </is>
      </c>
      <c r="E2638" t="inlineStr">
        <is>
          <t>pagado</t>
        </is>
      </c>
      <c r="F2638" s="23" t="n">
        <v>46276</v>
      </c>
      <c r="G2638" s="24">
        <f>F2638-DATE(2026,8,31)</f>
        <v>11</v>
      </c>
      <c r="H2638" s="25" t="n">
        <v>103850330</v>
      </c>
      <c r="I2638" t="inlineStr">
        <is>
          <t>entidad-dia</t>
        </is>
      </c>
    </row>
    <row r="2639">
      <c r="A2639" t="inlineStr">
        <is>
          <t>PRAGMA</t>
        </is>
      </c>
      <c r="B2639" t="inlineStr">
        <is>
          <t>M1</t>
        </is>
      </c>
      <c r="C2639" t="inlineStr">
        <is>
          <t>Cali</t>
        </is>
      </c>
      <c r="D2639" t="inlineStr">
        <is>
          <t>472</t>
        </is>
      </c>
      <c r="E2639" t="inlineStr">
        <is>
          <t>pagado</t>
        </is>
      </c>
      <c r="F2639" s="23" t="n">
        <v>46277</v>
      </c>
      <c r="G2639" s="24">
        <f>F2639-DATE(2026,8,31)</f>
        <v>12</v>
      </c>
      <c r="H2639" s="25" t="n">
        <v>108610293</v>
      </c>
      <c r="I2639" t="inlineStr">
        <is>
          <t>entidad-dia</t>
        </is>
      </c>
    </row>
    <row r="2640">
      <c r="A2640" t="inlineStr">
        <is>
          <t>PRAGMA</t>
        </is>
      </c>
      <c r="B2640" t="inlineStr">
        <is>
          <t>M1</t>
        </is>
      </c>
      <c r="C2640" t="inlineStr">
        <is>
          <t>Cali</t>
        </is>
      </c>
      <c r="D2640" t="inlineStr">
        <is>
          <t>472</t>
        </is>
      </c>
      <c r="E2640" t="inlineStr">
        <is>
          <t>pagado</t>
        </is>
      </c>
      <c r="F2640" s="23" t="n">
        <v>46278</v>
      </c>
      <c r="G2640" s="24">
        <f>F2640-DATE(2026,8,31)</f>
        <v>13</v>
      </c>
      <c r="H2640" s="25" t="n">
        <v>63071793</v>
      </c>
      <c r="I2640" t="inlineStr">
        <is>
          <t>entidad-dia</t>
        </is>
      </c>
    </row>
    <row r="2641">
      <c r="A2641" t="inlineStr">
        <is>
          <t>PRAGMA</t>
        </is>
      </c>
      <c r="B2641" t="inlineStr">
        <is>
          <t>M1</t>
        </is>
      </c>
      <c r="C2641" t="inlineStr">
        <is>
          <t>Cali</t>
        </is>
      </c>
      <c r="D2641" t="inlineStr">
        <is>
          <t>472</t>
        </is>
      </c>
      <c r="E2641" t="inlineStr">
        <is>
          <t>pagado</t>
        </is>
      </c>
      <c r="F2641" s="23" t="n">
        <v>46279</v>
      </c>
      <c r="G2641" s="24">
        <f>F2641-DATE(2026,8,31)</f>
        <v>14</v>
      </c>
      <c r="H2641" s="25" t="n">
        <v>115135869</v>
      </c>
      <c r="I2641" t="inlineStr">
        <is>
          <t>entidad-dia</t>
        </is>
      </c>
    </row>
    <row r="2642">
      <c r="A2642" t="inlineStr">
        <is>
          <t>PRAGMA</t>
        </is>
      </c>
      <c r="B2642" t="inlineStr">
        <is>
          <t>M1</t>
        </is>
      </c>
      <c r="C2642" t="inlineStr">
        <is>
          <t>Cali</t>
        </is>
      </c>
      <c r="D2642" t="inlineStr">
        <is>
          <t>472</t>
        </is>
      </c>
      <c r="E2642" t="inlineStr">
        <is>
          <t>pagado</t>
        </is>
      </c>
      <c r="F2642" s="23" t="n">
        <v>46280</v>
      </c>
      <c r="G2642" s="24">
        <f>F2642-DATE(2026,8,31)</f>
        <v>15</v>
      </c>
      <c r="H2642" s="25" t="n">
        <v>166473363</v>
      </c>
      <c r="I2642" t="inlineStr">
        <is>
          <t>entidad-dia</t>
        </is>
      </c>
    </row>
    <row r="2643">
      <c r="A2643" t="inlineStr">
        <is>
          <t>PRAGMA</t>
        </is>
      </c>
      <c r="B2643" t="inlineStr">
        <is>
          <t>M1</t>
        </is>
      </c>
      <c r="C2643" t="inlineStr">
        <is>
          <t>Cali</t>
        </is>
      </c>
      <c r="D2643" t="inlineStr">
        <is>
          <t>4781</t>
        </is>
      </c>
      <c r="E2643" t="inlineStr">
        <is>
          <t>pagado</t>
        </is>
      </c>
      <c r="F2643" s="23" t="n">
        <v>46266</v>
      </c>
      <c r="G2643" s="24">
        <f>F2643-DATE(2026,8,31)</f>
        <v>1</v>
      </c>
      <c r="H2643" s="25" t="n">
        <v>303669729</v>
      </c>
      <c r="I2643" t="inlineStr">
        <is>
          <t>entidad-dia</t>
        </is>
      </c>
    </row>
    <row r="2644">
      <c r="A2644" t="inlineStr">
        <is>
          <t>PRAGMA</t>
        </is>
      </c>
      <c r="B2644" t="inlineStr">
        <is>
          <t>M1</t>
        </is>
      </c>
      <c r="C2644" t="inlineStr">
        <is>
          <t>Cali</t>
        </is>
      </c>
      <c r="D2644" t="inlineStr">
        <is>
          <t>4781</t>
        </is>
      </c>
      <c r="E2644" t="inlineStr">
        <is>
          <t>pagado</t>
        </is>
      </c>
      <c r="F2644" s="23" t="n">
        <v>46267</v>
      </c>
      <c r="G2644" s="24">
        <f>F2644-DATE(2026,8,31)</f>
        <v>2</v>
      </c>
      <c r="H2644" s="25" t="n">
        <v>238955131</v>
      </c>
      <c r="I2644" t="inlineStr">
        <is>
          <t>entidad-dia</t>
        </is>
      </c>
    </row>
    <row r="2645">
      <c r="A2645" t="inlineStr">
        <is>
          <t>PRAGMA</t>
        </is>
      </c>
      <c r="B2645" t="inlineStr">
        <is>
          <t>M1</t>
        </is>
      </c>
      <c r="C2645" t="inlineStr">
        <is>
          <t>Cali</t>
        </is>
      </c>
      <c r="D2645" t="inlineStr">
        <is>
          <t>4781</t>
        </is>
      </c>
      <c r="E2645" t="inlineStr">
        <is>
          <t>pagado</t>
        </is>
      </c>
      <c r="F2645" s="23" t="n">
        <v>46268</v>
      </c>
      <c r="G2645" s="24">
        <f>F2645-DATE(2026,8,31)</f>
        <v>3</v>
      </c>
      <c r="H2645" s="25" t="n">
        <v>228111217</v>
      </c>
      <c r="I2645" t="inlineStr">
        <is>
          <t>entidad-dia</t>
        </is>
      </c>
    </row>
    <row r="2646">
      <c r="A2646" t="inlineStr">
        <is>
          <t>PRAGMA</t>
        </is>
      </c>
      <c r="B2646" t="inlineStr">
        <is>
          <t>M1</t>
        </is>
      </c>
      <c r="C2646" t="inlineStr">
        <is>
          <t>Cali</t>
        </is>
      </c>
      <c r="D2646" t="inlineStr">
        <is>
          <t>4781</t>
        </is>
      </c>
      <c r="E2646" t="inlineStr">
        <is>
          <t>pagado</t>
        </is>
      </c>
      <c r="F2646" s="23" t="n">
        <v>46269</v>
      </c>
      <c r="G2646" s="24">
        <f>F2646-DATE(2026,8,31)</f>
        <v>4</v>
      </c>
      <c r="H2646" s="25" t="n">
        <v>239231815</v>
      </c>
      <c r="I2646" t="inlineStr">
        <is>
          <t>entidad-dia</t>
        </is>
      </c>
    </row>
    <row r="2647">
      <c r="A2647" t="inlineStr">
        <is>
          <t>PRAGMA</t>
        </is>
      </c>
      <c r="B2647" t="inlineStr">
        <is>
          <t>M1</t>
        </is>
      </c>
      <c r="C2647" t="inlineStr">
        <is>
          <t>Cali</t>
        </is>
      </c>
      <c r="D2647" t="inlineStr">
        <is>
          <t>4781</t>
        </is>
      </c>
      <c r="E2647" t="inlineStr">
        <is>
          <t>pagado</t>
        </is>
      </c>
      <c r="F2647" s="23" t="n">
        <v>46270</v>
      </c>
      <c r="G2647" s="24">
        <f>F2647-DATE(2026,8,31)</f>
        <v>5</v>
      </c>
      <c r="H2647" s="25" t="n">
        <v>255592712</v>
      </c>
      <c r="I2647" t="inlineStr">
        <is>
          <t>entidad-dia</t>
        </is>
      </c>
    </row>
    <row r="2648">
      <c r="A2648" t="inlineStr">
        <is>
          <t>PRAGMA</t>
        </is>
      </c>
      <c r="B2648" t="inlineStr">
        <is>
          <t>M1</t>
        </is>
      </c>
      <c r="C2648" t="inlineStr">
        <is>
          <t>Cali</t>
        </is>
      </c>
      <c r="D2648" t="inlineStr">
        <is>
          <t>4781</t>
        </is>
      </c>
      <c r="E2648" t="inlineStr">
        <is>
          <t>pagado</t>
        </is>
      </c>
      <c r="F2648" s="23" t="n">
        <v>46271</v>
      </c>
      <c r="G2648" s="24">
        <f>F2648-DATE(2026,8,31)</f>
        <v>6</v>
      </c>
      <c r="H2648" s="25" t="n">
        <v>199195952</v>
      </c>
      <c r="I2648" t="inlineStr">
        <is>
          <t>entidad-dia</t>
        </is>
      </c>
    </row>
    <row r="2649">
      <c r="A2649" t="inlineStr">
        <is>
          <t>PRAGMA</t>
        </is>
      </c>
      <c r="B2649" t="inlineStr">
        <is>
          <t>M1</t>
        </is>
      </c>
      <c r="C2649" t="inlineStr">
        <is>
          <t>Cali</t>
        </is>
      </c>
      <c r="D2649" t="inlineStr">
        <is>
          <t>4781</t>
        </is>
      </c>
      <c r="E2649" t="inlineStr">
        <is>
          <t>pagado</t>
        </is>
      </c>
      <c r="F2649" s="23" t="n">
        <v>46272</v>
      </c>
      <c r="G2649" s="24">
        <f>F2649-DATE(2026,8,31)</f>
        <v>7</v>
      </c>
      <c r="H2649" s="25" t="n">
        <v>178817495</v>
      </c>
      <c r="I2649" t="inlineStr">
        <is>
          <t>entidad-dia</t>
        </is>
      </c>
    </row>
    <row r="2650">
      <c r="A2650" t="inlineStr">
        <is>
          <t>PRAGMA</t>
        </is>
      </c>
      <c r="B2650" t="inlineStr">
        <is>
          <t>M1</t>
        </is>
      </c>
      <c r="C2650" t="inlineStr">
        <is>
          <t>Cali</t>
        </is>
      </c>
      <c r="D2650" t="inlineStr">
        <is>
          <t>4781</t>
        </is>
      </c>
      <c r="E2650" t="inlineStr">
        <is>
          <t>pagado</t>
        </is>
      </c>
      <c r="F2650" s="23" t="n">
        <v>46273</v>
      </c>
      <c r="G2650" s="24">
        <f>F2650-DATE(2026,8,31)</f>
        <v>8</v>
      </c>
      <c r="H2650" s="25" t="n">
        <v>189753752</v>
      </c>
      <c r="I2650" t="inlineStr">
        <is>
          <t>entidad-dia</t>
        </is>
      </c>
    </row>
    <row r="2651">
      <c r="A2651" t="inlineStr">
        <is>
          <t>PRAGMA</t>
        </is>
      </c>
      <c r="B2651" t="inlineStr">
        <is>
          <t>M1</t>
        </is>
      </c>
      <c r="C2651" t="inlineStr">
        <is>
          <t>Cali</t>
        </is>
      </c>
      <c r="D2651" t="inlineStr">
        <is>
          <t>4781</t>
        </is>
      </c>
      <c r="E2651" t="inlineStr">
        <is>
          <t>pagado</t>
        </is>
      </c>
      <c r="F2651" s="23" t="n">
        <v>46274</v>
      </c>
      <c r="G2651" s="24">
        <f>F2651-DATE(2026,8,31)</f>
        <v>9</v>
      </c>
      <c r="H2651" s="25" t="n">
        <v>176111267</v>
      </c>
      <c r="I2651" t="inlineStr">
        <is>
          <t>entidad-dia</t>
        </is>
      </c>
    </row>
    <row r="2652">
      <c r="A2652" t="inlineStr">
        <is>
          <t>PRAGMA</t>
        </is>
      </c>
      <c r="B2652" t="inlineStr">
        <is>
          <t>M1</t>
        </is>
      </c>
      <c r="C2652" t="inlineStr">
        <is>
          <t>Cali</t>
        </is>
      </c>
      <c r="D2652" t="inlineStr">
        <is>
          <t>4781</t>
        </is>
      </c>
      <c r="E2652" t="inlineStr">
        <is>
          <t>pagado</t>
        </is>
      </c>
      <c r="F2652" s="23" t="n">
        <v>46275</v>
      </c>
      <c r="G2652" s="24">
        <f>F2652-DATE(2026,8,31)</f>
        <v>10</v>
      </c>
      <c r="H2652" s="25" t="n">
        <v>174972674</v>
      </c>
      <c r="I2652" t="inlineStr">
        <is>
          <t>entidad-dia</t>
        </is>
      </c>
    </row>
    <row r="2653">
      <c r="A2653" t="inlineStr">
        <is>
          <t>PRAGMA</t>
        </is>
      </c>
      <c r="B2653" t="inlineStr">
        <is>
          <t>M1</t>
        </is>
      </c>
      <c r="C2653" t="inlineStr">
        <is>
          <t>Cali</t>
        </is>
      </c>
      <c r="D2653" t="inlineStr">
        <is>
          <t>4781</t>
        </is>
      </c>
      <c r="E2653" t="inlineStr">
        <is>
          <t>pagado</t>
        </is>
      </c>
      <c r="F2653" s="23" t="n">
        <v>46276</v>
      </c>
      <c r="G2653" s="24">
        <f>F2653-DATE(2026,8,31)</f>
        <v>11</v>
      </c>
      <c r="H2653" s="25" t="n">
        <v>191018282</v>
      </c>
      <c r="I2653" t="inlineStr">
        <is>
          <t>entidad-dia</t>
        </is>
      </c>
    </row>
    <row r="2654">
      <c r="A2654" t="inlineStr">
        <is>
          <t>PRAGMA</t>
        </is>
      </c>
      <c r="B2654" t="inlineStr">
        <is>
          <t>M1</t>
        </is>
      </c>
      <c r="C2654" t="inlineStr">
        <is>
          <t>Cali</t>
        </is>
      </c>
      <c r="D2654" t="inlineStr">
        <is>
          <t>4781</t>
        </is>
      </c>
      <c r="E2654" t="inlineStr">
        <is>
          <t>pagado</t>
        </is>
      </c>
      <c r="F2654" s="23" t="n">
        <v>46277</v>
      </c>
      <c r="G2654" s="24">
        <f>F2654-DATE(2026,8,31)</f>
        <v>12</v>
      </c>
      <c r="H2654" s="25" t="n">
        <v>214670381</v>
      </c>
      <c r="I2654" t="inlineStr">
        <is>
          <t>entidad-dia</t>
        </is>
      </c>
    </row>
    <row r="2655">
      <c r="A2655" t="inlineStr">
        <is>
          <t>PRAGMA</t>
        </is>
      </c>
      <c r="B2655" t="inlineStr">
        <is>
          <t>M1</t>
        </is>
      </c>
      <c r="C2655" t="inlineStr">
        <is>
          <t>Cali</t>
        </is>
      </c>
      <c r="D2655" t="inlineStr">
        <is>
          <t>4781</t>
        </is>
      </c>
      <c r="E2655" t="inlineStr">
        <is>
          <t>pagado</t>
        </is>
      </c>
      <c r="F2655" s="23" t="n">
        <v>46278</v>
      </c>
      <c r="G2655" s="24">
        <f>F2655-DATE(2026,8,31)</f>
        <v>13</v>
      </c>
      <c r="H2655" s="25" t="n">
        <v>146837376</v>
      </c>
      <c r="I2655" t="inlineStr">
        <is>
          <t>entidad-dia</t>
        </is>
      </c>
    </row>
    <row r="2656">
      <c r="A2656" t="inlineStr">
        <is>
          <t>PRAGMA</t>
        </is>
      </c>
      <c r="B2656" t="inlineStr">
        <is>
          <t>M1</t>
        </is>
      </c>
      <c r="C2656" t="inlineStr">
        <is>
          <t>Cali</t>
        </is>
      </c>
      <c r="D2656" t="inlineStr">
        <is>
          <t>4781</t>
        </is>
      </c>
      <c r="E2656" t="inlineStr">
        <is>
          <t>pagado</t>
        </is>
      </c>
      <c r="F2656" s="23" t="n">
        <v>46279</v>
      </c>
      <c r="G2656" s="24">
        <f>F2656-DATE(2026,8,31)</f>
        <v>14</v>
      </c>
      <c r="H2656" s="25" t="n">
        <v>169083513</v>
      </c>
      <c r="I2656" t="inlineStr">
        <is>
          <t>entidad-dia</t>
        </is>
      </c>
    </row>
    <row r="2657">
      <c r="A2657" t="inlineStr">
        <is>
          <t>PRAGMA</t>
        </is>
      </c>
      <c r="B2657" t="inlineStr">
        <is>
          <t>M1</t>
        </is>
      </c>
      <c r="C2657" t="inlineStr">
        <is>
          <t>Cali</t>
        </is>
      </c>
      <c r="D2657" t="inlineStr">
        <is>
          <t>4781</t>
        </is>
      </c>
      <c r="E2657" t="inlineStr">
        <is>
          <t>pagado</t>
        </is>
      </c>
      <c r="F2657" s="23" t="n">
        <v>46280</v>
      </c>
      <c r="G2657" s="24">
        <f>F2657-DATE(2026,8,31)</f>
        <v>15</v>
      </c>
      <c r="H2657" s="25" t="n">
        <v>234649251</v>
      </c>
      <c r="I2657" t="inlineStr">
        <is>
          <t>entidad-dia</t>
        </is>
      </c>
    </row>
    <row r="2658">
      <c r="A2658" t="inlineStr">
        <is>
          <t>PRAGMA</t>
        </is>
      </c>
      <c r="B2658" t="inlineStr">
        <is>
          <t>M1</t>
        </is>
      </c>
      <c r="C2658" t="inlineStr">
        <is>
          <t>Cali</t>
        </is>
      </c>
      <c r="D2658" t="inlineStr">
        <is>
          <t>4802</t>
        </is>
      </c>
      <c r="E2658" t="inlineStr">
        <is>
          <t>pagado</t>
        </is>
      </c>
      <c r="F2658" s="23" t="n">
        <v>46266</v>
      </c>
      <c r="G2658" s="24">
        <f>F2658-DATE(2026,8,31)</f>
        <v>1</v>
      </c>
      <c r="H2658" s="25" t="n">
        <v>76873390</v>
      </c>
      <c r="I2658" t="inlineStr">
        <is>
          <t>entidad-dia</t>
        </is>
      </c>
    </row>
    <row r="2659">
      <c r="A2659" t="inlineStr">
        <is>
          <t>PRAGMA</t>
        </is>
      </c>
      <c r="B2659" t="inlineStr">
        <is>
          <t>M1</t>
        </is>
      </c>
      <c r="C2659" t="inlineStr">
        <is>
          <t>Cali</t>
        </is>
      </c>
      <c r="D2659" t="inlineStr">
        <is>
          <t>4802</t>
        </is>
      </c>
      <c r="E2659" t="inlineStr">
        <is>
          <t>pagado</t>
        </is>
      </c>
      <c r="F2659" s="23" t="n">
        <v>46267</v>
      </c>
      <c r="G2659" s="24">
        <f>F2659-DATE(2026,8,31)</f>
        <v>2</v>
      </c>
      <c r="H2659" s="25" t="n">
        <v>50839252</v>
      </c>
      <c r="I2659" t="inlineStr">
        <is>
          <t>entidad-dia</t>
        </is>
      </c>
    </row>
    <row r="2660">
      <c r="A2660" t="inlineStr">
        <is>
          <t>PRAGMA</t>
        </is>
      </c>
      <c r="B2660" t="inlineStr">
        <is>
          <t>M1</t>
        </is>
      </c>
      <c r="C2660" t="inlineStr">
        <is>
          <t>Cali</t>
        </is>
      </c>
      <c r="D2660" t="inlineStr">
        <is>
          <t>4802</t>
        </is>
      </c>
      <c r="E2660" t="inlineStr">
        <is>
          <t>pagado</t>
        </is>
      </c>
      <c r="F2660" s="23" t="n">
        <v>46268</v>
      </c>
      <c r="G2660" s="24">
        <f>F2660-DATE(2026,8,31)</f>
        <v>3</v>
      </c>
      <c r="H2660" s="25" t="n">
        <v>47665697</v>
      </c>
      <c r="I2660" t="inlineStr">
        <is>
          <t>entidad-dia</t>
        </is>
      </c>
    </row>
    <row r="2661">
      <c r="A2661" t="inlineStr">
        <is>
          <t>PRAGMA</t>
        </is>
      </c>
      <c r="B2661" t="inlineStr">
        <is>
          <t>M1</t>
        </is>
      </c>
      <c r="C2661" t="inlineStr">
        <is>
          <t>Cali</t>
        </is>
      </c>
      <c r="D2661" t="inlineStr">
        <is>
          <t>4802</t>
        </is>
      </c>
      <c r="E2661" t="inlineStr">
        <is>
          <t>pagado</t>
        </is>
      </c>
      <c r="F2661" s="23" t="n">
        <v>46269</v>
      </c>
      <c r="G2661" s="24">
        <f>F2661-DATE(2026,8,31)</f>
        <v>4</v>
      </c>
      <c r="H2661" s="25" t="n">
        <v>47422528</v>
      </c>
      <c r="I2661" t="inlineStr">
        <is>
          <t>entidad-dia</t>
        </is>
      </c>
    </row>
    <row r="2662">
      <c r="A2662" t="inlineStr">
        <is>
          <t>PRAGMA</t>
        </is>
      </c>
      <c r="B2662" t="inlineStr">
        <is>
          <t>M1</t>
        </is>
      </c>
      <c r="C2662" t="inlineStr">
        <is>
          <t>Cali</t>
        </is>
      </c>
      <c r="D2662" t="inlineStr">
        <is>
          <t>4802</t>
        </is>
      </c>
      <c r="E2662" t="inlineStr">
        <is>
          <t>pagado</t>
        </is>
      </c>
      <c r="F2662" s="23" t="n">
        <v>46270</v>
      </c>
      <c r="G2662" s="24">
        <f>F2662-DATE(2026,8,31)</f>
        <v>5</v>
      </c>
      <c r="H2662" s="25" t="n">
        <v>12996688</v>
      </c>
      <c r="I2662" t="inlineStr">
        <is>
          <t>entidad-dia</t>
        </is>
      </c>
    </row>
    <row r="2663">
      <c r="A2663" t="inlineStr">
        <is>
          <t>PRAGMA</t>
        </is>
      </c>
      <c r="B2663" t="inlineStr">
        <is>
          <t>M1</t>
        </is>
      </c>
      <c r="C2663" t="inlineStr">
        <is>
          <t>Cali</t>
        </is>
      </c>
      <c r="D2663" t="inlineStr">
        <is>
          <t>4802</t>
        </is>
      </c>
      <c r="E2663" t="inlineStr">
        <is>
          <t>pagado</t>
        </is>
      </c>
      <c r="F2663" s="23" t="n">
        <v>46271</v>
      </c>
      <c r="G2663" s="24">
        <f>F2663-DATE(2026,8,31)</f>
        <v>6</v>
      </c>
      <c r="H2663" s="25" t="n">
        <v>1528694</v>
      </c>
      <c r="I2663" t="inlineStr">
        <is>
          <t>entidad-dia</t>
        </is>
      </c>
    </row>
    <row r="2664">
      <c r="A2664" t="inlineStr">
        <is>
          <t>PRAGMA</t>
        </is>
      </c>
      <c r="B2664" t="inlineStr">
        <is>
          <t>M1</t>
        </is>
      </c>
      <c r="C2664" t="inlineStr">
        <is>
          <t>Cali</t>
        </is>
      </c>
      <c r="D2664" t="inlineStr">
        <is>
          <t>4802</t>
        </is>
      </c>
      <c r="E2664" t="inlineStr">
        <is>
          <t>pagado</t>
        </is>
      </c>
      <c r="F2664" s="23" t="n">
        <v>46272</v>
      </c>
      <c r="G2664" s="24">
        <f>F2664-DATE(2026,8,31)</f>
        <v>7</v>
      </c>
      <c r="H2664" s="25" t="n">
        <v>29297841</v>
      </c>
      <c r="I2664" t="inlineStr">
        <is>
          <t>entidad-dia</t>
        </is>
      </c>
    </row>
    <row r="2665">
      <c r="A2665" t="inlineStr">
        <is>
          <t>PRAGMA</t>
        </is>
      </c>
      <c r="B2665" t="inlineStr">
        <is>
          <t>M1</t>
        </is>
      </c>
      <c r="C2665" t="inlineStr">
        <is>
          <t>Cali</t>
        </is>
      </c>
      <c r="D2665" t="inlineStr">
        <is>
          <t>4802</t>
        </is>
      </c>
      <c r="E2665" t="inlineStr">
        <is>
          <t>pagado</t>
        </is>
      </c>
      <c r="F2665" s="23" t="n">
        <v>46273</v>
      </c>
      <c r="G2665" s="24">
        <f>F2665-DATE(2026,8,31)</f>
        <v>8</v>
      </c>
      <c r="H2665" s="25" t="n">
        <v>29621467</v>
      </c>
      <c r="I2665" t="inlineStr">
        <is>
          <t>entidad-dia</t>
        </is>
      </c>
    </row>
    <row r="2666">
      <c r="A2666" t="inlineStr">
        <is>
          <t>PRAGMA</t>
        </is>
      </c>
      <c r="B2666" t="inlineStr">
        <is>
          <t>M1</t>
        </is>
      </c>
      <c r="C2666" t="inlineStr">
        <is>
          <t>Cali</t>
        </is>
      </c>
      <c r="D2666" t="inlineStr">
        <is>
          <t>4802</t>
        </is>
      </c>
      <c r="E2666" t="inlineStr">
        <is>
          <t>pagado</t>
        </is>
      </c>
      <c r="F2666" s="23" t="n">
        <v>46274</v>
      </c>
      <c r="G2666" s="24">
        <f>F2666-DATE(2026,8,31)</f>
        <v>9</v>
      </c>
      <c r="H2666" s="25" t="n">
        <v>35679241</v>
      </c>
      <c r="I2666" t="inlineStr">
        <is>
          <t>entidad-dia</t>
        </is>
      </c>
    </row>
    <row r="2667">
      <c r="A2667" t="inlineStr">
        <is>
          <t>PRAGMA</t>
        </is>
      </c>
      <c r="B2667" t="inlineStr">
        <is>
          <t>M1</t>
        </is>
      </c>
      <c r="C2667" t="inlineStr">
        <is>
          <t>Cali</t>
        </is>
      </c>
      <c r="D2667" t="inlineStr">
        <is>
          <t>4802</t>
        </is>
      </c>
      <c r="E2667" t="inlineStr">
        <is>
          <t>pagado</t>
        </is>
      </c>
      <c r="F2667" s="23" t="n">
        <v>46275</v>
      </c>
      <c r="G2667" s="24">
        <f>F2667-DATE(2026,8,31)</f>
        <v>10</v>
      </c>
      <c r="H2667" s="25" t="n">
        <v>29113513</v>
      </c>
      <c r="I2667" t="inlineStr">
        <is>
          <t>entidad-dia</t>
        </is>
      </c>
    </row>
    <row r="2668">
      <c r="A2668" t="inlineStr">
        <is>
          <t>PRAGMA</t>
        </is>
      </c>
      <c r="B2668" t="inlineStr">
        <is>
          <t>M1</t>
        </is>
      </c>
      <c r="C2668" t="inlineStr">
        <is>
          <t>Cali</t>
        </is>
      </c>
      <c r="D2668" t="inlineStr">
        <is>
          <t>4802</t>
        </is>
      </c>
      <c r="E2668" t="inlineStr">
        <is>
          <t>pagado</t>
        </is>
      </c>
      <c r="F2668" s="23" t="n">
        <v>46276</v>
      </c>
      <c r="G2668" s="24">
        <f>F2668-DATE(2026,8,31)</f>
        <v>11</v>
      </c>
      <c r="H2668" s="25" t="n">
        <v>35882414</v>
      </c>
      <c r="I2668" t="inlineStr">
        <is>
          <t>entidad-dia</t>
        </is>
      </c>
    </row>
    <row r="2669">
      <c r="A2669" t="inlineStr">
        <is>
          <t>PRAGMA</t>
        </is>
      </c>
      <c r="B2669" t="inlineStr">
        <is>
          <t>M1</t>
        </is>
      </c>
      <c r="C2669" t="inlineStr">
        <is>
          <t>Cali</t>
        </is>
      </c>
      <c r="D2669" t="inlineStr">
        <is>
          <t>4802</t>
        </is>
      </c>
      <c r="E2669" t="inlineStr">
        <is>
          <t>pagado</t>
        </is>
      </c>
      <c r="F2669" s="23" t="n">
        <v>46277</v>
      </c>
      <c r="G2669" s="24">
        <f>F2669-DATE(2026,8,31)</f>
        <v>12</v>
      </c>
      <c r="H2669" s="25" t="n">
        <v>8771473</v>
      </c>
      <c r="I2669" t="inlineStr">
        <is>
          <t>entidad-dia</t>
        </is>
      </c>
    </row>
    <row r="2670">
      <c r="A2670" t="inlineStr">
        <is>
          <t>PRAGMA</t>
        </is>
      </c>
      <c r="B2670" t="inlineStr">
        <is>
          <t>M1</t>
        </is>
      </c>
      <c r="C2670" t="inlineStr">
        <is>
          <t>Cali</t>
        </is>
      </c>
      <c r="D2670" t="inlineStr">
        <is>
          <t>4802</t>
        </is>
      </c>
      <c r="E2670" t="inlineStr">
        <is>
          <t>pagado</t>
        </is>
      </c>
      <c r="F2670" s="23" t="n">
        <v>46278</v>
      </c>
      <c r="G2670" s="24">
        <f>F2670-DATE(2026,8,31)</f>
        <v>13</v>
      </c>
      <c r="H2670" s="25" t="n">
        <v>992034</v>
      </c>
      <c r="I2670" t="inlineStr">
        <is>
          <t>entidad-dia</t>
        </is>
      </c>
    </row>
    <row r="2671">
      <c r="A2671" t="inlineStr">
        <is>
          <t>PRAGMA</t>
        </is>
      </c>
      <c r="B2671" t="inlineStr">
        <is>
          <t>M1</t>
        </is>
      </c>
      <c r="C2671" t="inlineStr">
        <is>
          <t>Cali</t>
        </is>
      </c>
      <c r="D2671" t="inlineStr">
        <is>
          <t>4802</t>
        </is>
      </c>
      <c r="E2671" t="inlineStr">
        <is>
          <t>pagado</t>
        </is>
      </c>
      <c r="F2671" s="23" t="n">
        <v>46279</v>
      </c>
      <c r="G2671" s="24">
        <f>F2671-DATE(2026,8,31)</f>
        <v>14</v>
      </c>
      <c r="H2671" s="25" t="n">
        <v>29996129</v>
      </c>
      <c r="I2671" t="inlineStr">
        <is>
          <t>entidad-dia</t>
        </is>
      </c>
    </row>
    <row r="2672">
      <c r="A2672" t="inlineStr">
        <is>
          <t>PRAGMA</t>
        </is>
      </c>
      <c r="B2672" t="inlineStr">
        <is>
          <t>M1</t>
        </is>
      </c>
      <c r="C2672" t="inlineStr">
        <is>
          <t>Cali</t>
        </is>
      </c>
      <c r="D2672" t="inlineStr">
        <is>
          <t>4802</t>
        </is>
      </c>
      <c r="E2672" t="inlineStr">
        <is>
          <t>pagado</t>
        </is>
      </c>
      <c r="F2672" s="23" t="n">
        <v>46280</v>
      </c>
      <c r="G2672" s="24">
        <f>F2672-DATE(2026,8,31)</f>
        <v>15</v>
      </c>
      <c r="H2672" s="25" t="n">
        <v>72384708</v>
      </c>
      <c r="I2672" t="inlineStr">
        <is>
          <t>entidad-dia</t>
        </is>
      </c>
    </row>
    <row r="2673">
      <c r="A2673" t="inlineStr">
        <is>
          <t>PRAGMA</t>
        </is>
      </c>
      <c r="B2673" t="inlineStr">
        <is>
          <t>M1</t>
        </is>
      </c>
      <c r="C2673" t="inlineStr">
        <is>
          <t>Cali</t>
        </is>
      </c>
      <c r="D2673" t="inlineStr">
        <is>
          <t>4814</t>
        </is>
      </c>
      <c r="E2673" t="inlineStr">
        <is>
          <t>pagado</t>
        </is>
      </c>
      <c r="F2673" s="23" t="n">
        <v>46266</v>
      </c>
      <c r="G2673" s="24">
        <f>F2673-DATE(2026,8,31)</f>
        <v>1</v>
      </c>
      <c r="H2673" s="25" t="n">
        <v>157539172</v>
      </c>
      <c r="I2673" t="inlineStr">
        <is>
          <t>entidad-dia</t>
        </is>
      </c>
    </row>
    <row r="2674">
      <c r="A2674" t="inlineStr">
        <is>
          <t>PRAGMA</t>
        </is>
      </c>
      <c r="B2674" t="inlineStr">
        <is>
          <t>M1</t>
        </is>
      </c>
      <c r="C2674" t="inlineStr">
        <is>
          <t>Cali</t>
        </is>
      </c>
      <c r="D2674" t="inlineStr">
        <is>
          <t>4814</t>
        </is>
      </c>
      <c r="E2674" t="inlineStr">
        <is>
          <t>pagado</t>
        </is>
      </c>
      <c r="F2674" s="23" t="n">
        <v>46267</v>
      </c>
      <c r="G2674" s="24">
        <f>F2674-DATE(2026,8,31)</f>
        <v>2</v>
      </c>
      <c r="H2674" s="25" t="n">
        <v>122139412</v>
      </c>
      <c r="I2674" t="inlineStr">
        <is>
          <t>entidad-dia</t>
        </is>
      </c>
    </row>
    <row r="2675">
      <c r="A2675" t="inlineStr">
        <is>
          <t>PRAGMA</t>
        </is>
      </c>
      <c r="B2675" t="inlineStr">
        <is>
          <t>M1</t>
        </is>
      </c>
      <c r="C2675" t="inlineStr">
        <is>
          <t>Cali</t>
        </is>
      </c>
      <c r="D2675" t="inlineStr">
        <is>
          <t>4814</t>
        </is>
      </c>
      <c r="E2675" t="inlineStr">
        <is>
          <t>pagado</t>
        </is>
      </c>
      <c r="F2675" s="23" t="n">
        <v>46268</v>
      </c>
      <c r="G2675" s="24">
        <f>F2675-DATE(2026,8,31)</f>
        <v>3</v>
      </c>
      <c r="H2675" s="25" t="n">
        <v>101898338</v>
      </c>
      <c r="I2675" t="inlineStr">
        <is>
          <t>entidad-dia</t>
        </is>
      </c>
    </row>
    <row r="2676">
      <c r="A2676" t="inlineStr">
        <is>
          <t>PRAGMA</t>
        </is>
      </c>
      <c r="B2676" t="inlineStr">
        <is>
          <t>M1</t>
        </is>
      </c>
      <c r="C2676" t="inlineStr">
        <is>
          <t>Cali</t>
        </is>
      </c>
      <c r="D2676" t="inlineStr">
        <is>
          <t>4814</t>
        </is>
      </c>
      <c r="E2676" t="inlineStr">
        <is>
          <t>pagado</t>
        </is>
      </c>
      <c r="F2676" s="23" t="n">
        <v>46269</v>
      </c>
      <c r="G2676" s="24">
        <f>F2676-DATE(2026,8,31)</f>
        <v>4</v>
      </c>
      <c r="H2676" s="25" t="n">
        <v>107010757</v>
      </c>
      <c r="I2676" t="inlineStr">
        <is>
          <t>entidad-dia</t>
        </is>
      </c>
    </row>
    <row r="2677">
      <c r="A2677" t="inlineStr">
        <is>
          <t>PRAGMA</t>
        </is>
      </c>
      <c r="B2677" t="inlineStr">
        <is>
          <t>M1</t>
        </is>
      </c>
      <c r="C2677" t="inlineStr">
        <is>
          <t>Cali</t>
        </is>
      </c>
      <c r="D2677" t="inlineStr">
        <is>
          <t>4814</t>
        </is>
      </c>
      <c r="E2677" t="inlineStr">
        <is>
          <t>pagado</t>
        </is>
      </c>
      <c r="F2677" s="23" t="n">
        <v>46270</v>
      </c>
      <c r="G2677" s="24">
        <f>F2677-DATE(2026,8,31)</f>
        <v>5</v>
      </c>
      <c r="H2677" s="25" t="n">
        <v>106415099</v>
      </c>
      <c r="I2677" t="inlineStr">
        <is>
          <t>entidad-dia</t>
        </is>
      </c>
    </row>
    <row r="2678">
      <c r="A2678" t="inlineStr">
        <is>
          <t>PRAGMA</t>
        </is>
      </c>
      <c r="B2678" t="inlineStr">
        <is>
          <t>M1</t>
        </is>
      </c>
      <c r="C2678" t="inlineStr">
        <is>
          <t>Cali</t>
        </is>
      </c>
      <c r="D2678" t="inlineStr">
        <is>
          <t>4814</t>
        </is>
      </c>
      <c r="E2678" t="inlineStr">
        <is>
          <t>pagado</t>
        </is>
      </c>
      <c r="F2678" s="23" t="n">
        <v>46271</v>
      </c>
      <c r="G2678" s="24">
        <f>F2678-DATE(2026,8,31)</f>
        <v>6</v>
      </c>
      <c r="H2678" s="25" t="n">
        <v>80844521</v>
      </c>
      <c r="I2678" t="inlineStr">
        <is>
          <t>entidad-dia</t>
        </is>
      </c>
    </row>
    <row r="2679">
      <c r="A2679" t="inlineStr">
        <is>
          <t>PRAGMA</t>
        </is>
      </c>
      <c r="B2679" t="inlineStr">
        <is>
          <t>M1</t>
        </is>
      </c>
      <c r="C2679" t="inlineStr">
        <is>
          <t>Cali</t>
        </is>
      </c>
      <c r="D2679" t="inlineStr">
        <is>
          <t>4814</t>
        </is>
      </c>
      <c r="E2679" t="inlineStr">
        <is>
          <t>pagado</t>
        </is>
      </c>
      <c r="F2679" s="23" t="n">
        <v>46272</v>
      </c>
      <c r="G2679" s="24">
        <f>F2679-DATE(2026,8,31)</f>
        <v>7</v>
      </c>
      <c r="H2679" s="25" t="n">
        <v>82137119</v>
      </c>
      <c r="I2679" t="inlineStr">
        <is>
          <t>entidad-dia</t>
        </is>
      </c>
    </row>
    <row r="2680">
      <c r="A2680" t="inlineStr">
        <is>
          <t>PRAGMA</t>
        </is>
      </c>
      <c r="B2680" t="inlineStr">
        <is>
          <t>M1</t>
        </is>
      </c>
      <c r="C2680" t="inlineStr">
        <is>
          <t>Cali</t>
        </is>
      </c>
      <c r="D2680" t="inlineStr">
        <is>
          <t>4814</t>
        </is>
      </c>
      <c r="E2680" t="inlineStr">
        <is>
          <t>pagado</t>
        </is>
      </c>
      <c r="F2680" s="23" t="n">
        <v>46273</v>
      </c>
      <c r="G2680" s="24">
        <f>F2680-DATE(2026,8,31)</f>
        <v>8</v>
      </c>
      <c r="H2680" s="25" t="n">
        <v>78352599</v>
      </c>
      <c r="I2680" t="inlineStr">
        <is>
          <t>entidad-dia</t>
        </is>
      </c>
    </row>
    <row r="2681">
      <c r="A2681" t="inlineStr">
        <is>
          <t>PRAGMA</t>
        </is>
      </c>
      <c r="B2681" t="inlineStr">
        <is>
          <t>M1</t>
        </is>
      </c>
      <c r="C2681" t="inlineStr">
        <is>
          <t>Cali</t>
        </is>
      </c>
      <c r="D2681" t="inlineStr">
        <is>
          <t>4814</t>
        </is>
      </c>
      <c r="E2681" t="inlineStr">
        <is>
          <t>pagado</t>
        </is>
      </c>
      <c r="F2681" s="23" t="n">
        <v>46274</v>
      </c>
      <c r="G2681" s="24">
        <f>F2681-DATE(2026,8,31)</f>
        <v>9</v>
      </c>
      <c r="H2681" s="25" t="n">
        <v>76860364</v>
      </c>
      <c r="I2681" t="inlineStr">
        <is>
          <t>entidad-dia</t>
        </is>
      </c>
    </row>
    <row r="2682">
      <c r="A2682" t="inlineStr">
        <is>
          <t>PRAGMA</t>
        </is>
      </c>
      <c r="B2682" t="inlineStr">
        <is>
          <t>M1</t>
        </is>
      </c>
      <c r="C2682" t="inlineStr">
        <is>
          <t>Cali</t>
        </is>
      </c>
      <c r="D2682" t="inlineStr">
        <is>
          <t>4814</t>
        </is>
      </c>
      <c r="E2682" t="inlineStr">
        <is>
          <t>pagado</t>
        </is>
      </c>
      <c r="F2682" s="23" t="n">
        <v>46275</v>
      </c>
      <c r="G2682" s="24">
        <f>F2682-DATE(2026,8,31)</f>
        <v>10</v>
      </c>
      <c r="H2682" s="25" t="n">
        <v>70854453</v>
      </c>
      <c r="I2682" t="inlineStr">
        <is>
          <t>entidad-dia</t>
        </is>
      </c>
    </row>
    <row r="2683">
      <c r="A2683" t="inlineStr">
        <is>
          <t>PRAGMA</t>
        </is>
      </c>
      <c r="B2683" t="inlineStr">
        <is>
          <t>M1</t>
        </is>
      </c>
      <c r="C2683" t="inlineStr">
        <is>
          <t>Cali</t>
        </is>
      </c>
      <c r="D2683" t="inlineStr">
        <is>
          <t>4814</t>
        </is>
      </c>
      <c r="E2683" t="inlineStr">
        <is>
          <t>pagado</t>
        </is>
      </c>
      <c r="F2683" s="23" t="n">
        <v>46276</v>
      </c>
      <c r="G2683" s="24">
        <f>F2683-DATE(2026,8,31)</f>
        <v>11</v>
      </c>
      <c r="H2683" s="25" t="n">
        <v>73831140</v>
      </c>
      <c r="I2683" t="inlineStr">
        <is>
          <t>entidad-dia</t>
        </is>
      </c>
    </row>
    <row r="2684">
      <c r="A2684" t="inlineStr">
        <is>
          <t>PRAGMA</t>
        </is>
      </c>
      <c r="B2684" t="inlineStr">
        <is>
          <t>M1</t>
        </is>
      </c>
      <c r="C2684" t="inlineStr">
        <is>
          <t>Cali</t>
        </is>
      </c>
      <c r="D2684" t="inlineStr">
        <is>
          <t>4814</t>
        </is>
      </c>
      <c r="E2684" t="inlineStr">
        <is>
          <t>pagado</t>
        </is>
      </c>
      <c r="F2684" s="23" t="n">
        <v>46277</v>
      </c>
      <c r="G2684" s="24">
        <f>F2684-DATE(2026,8,31)</f>
        <v>12</v>
      </c>
      <c r="H2684" s="25" t="n">
        <v>79712299</v>
      </c>
      <c r="I2684" t="inlineStr">
        <is>
          <t>entidad-dia</t>
        </is>
      </c>
    </row>
    <row r="2685">
      <c r="A2685" t="inlineStr">
        <is>
          <t>PRAGMA</t>
        </is>
      </c>
      <c r="B2685" t="inlineStr">
        <is>
          <t>M1</t>
        </is>
      </c>
      <c r="C2685" t="inlineStr">
        <is>
          <t>Cali</t>
        </is>
      </c>
      <c r="D2685" t="inlineStr">
        <is>
          <t>4814</t>
        </is>
      </c>
      <c r="E2685" t="inlineStr">
        <is>
          <t>pagado</t>
        </is>
      </c>
      <c r="F2685" s="23" t="n">
        <v>46278</v>
      </c>
      <c r="G2685" s="24">
        <f>F2685-DATE(2026,8,31)</f>
        <v>13</v>
      </c>
      <c r="H2685" s="25" t="n">
        <v>59325355</v>
      </c>
      <c r="I2685" t="inlineStr">
        <is>
          <t>entidad-dia</t>
        </is>
      </c>
    </row>
    <row r="2686">
      <c r="A2686" t="inlineStr">
        <is>
          <t>PRAGMA</t>
        </is>
      </c>
      <c r="B2686" t="inlineStr">
        <is>
          <t>M1</t>
        </is>
      </c>
      <c r="C2686" t="inlineStr">
        <is>
          <t>Cali</t>
        </is>
      </c>
      <c r="D2686" t="inlineStr">
        <is>
          <t>4814</t>
        </is>
      </c>
      <c r="E2686" t="inlineStr">
        <is>
          <t>pagado</t>
        </is>
      </c>
      <c r="F2686" s="23" t="n">
        <v>46279</v>
      </c>
      <c r="G2686" s="24">
        <f>F2686-DATE(2026,8,31)</f>
        <v>14</v>
      </c>
      <c r="H2686" s="25" t="n">
        <v>63184192</v>
      </c>
      <c r="I2686" t="inlineStr">
        <is>
          <t>entidad-dia</t>
        </is>
      </c>
    </row>
    <row r="2687">
      <c r="A2687" t="inlineStr">
        <is>
          <t>PRAGMA</t>
        </is>
      </c>
      <c r="B2687" t="inlineStr">
        <is>
          <t>M1</t>
        </is>
      </c>
      <c r="C2687" t="inlineStr">
        <is>
          <t>Cali</t>
        </is>
      </c>
      <c r="D2687" t="inlineStr">
        <is>
          <t>4814</t>
        </is>
      </c>
      <c r="E2687" t="inlineStr">
        <is>
          <t>pagado</t>
        </is>
      </c>
      <c r="F2687" s="23" t="n">
        <v>46280</v>
      </c>
      <c r="G2687" s="24">
        <f>F2687-DATE(2026,8,31)</f>
        <v>15</v>
      </c>
      <c r="H2687" s="25" t="n">
        <v>110192030</v>
      </c>
      <c r="I2687" t="inlineStr">
        <is>
          <t>entidad-dia</t>
        </is>
      </c>
    </row>
    <row r="2688">
      <c r="A2688" t="inlineStr">
        <is>
          <t>PRAGMA</t>
        </is>
      </c>
      <c r="B2688" t="inlineStr">
        <is>
          <t>M1</t>
        </is>
      </c>
      <c r="C2688" t="inlineStr">
        <is>
          <t>Cali</t>
        </is>
      </c>
      <c r="D2688" t="inlineStr">
        <is>
          <t>4815</t>
        </is>
      </c>
      <c r="E2688" t="inlineStr">
        <is>
          <t>pagado</t>
        </is>
      </c>
      <c r="F2688" s="23" t="n">
        <v>46266</v>
      </c>
      <c r="G2688" s="24">
        <f>F2688-DATE(2026,8,31)</f>
        <v>1</v>
      </c>
      <c r="H2688" s="25" t="n">
        <v>151746090</v>
      </c>
      <c r="I2688" t="inlineStr">
        <is>
          <t>entidad-dia</t>
        </is>
      </c>
    </row>
    <row r="2689">
      <c r="A2689" t="inlineStr">
        <is>
          <t>PRAGMA</t>
        </is>
      </c>
      <c r="B2689" t="inlineStr">
        <is>
          <t>M1</t>
        </is>
      </c>
      <c r="C2689" t="inlineStr">
        <is>
          <t>Cali</t>
        </is>
      </c>
      <c r="D2689" t="inlineStr">
        <is>
          <t>4815</t>
        </is>
      </c>
      <c r="E2689" t="inlineStr">
        <is>
          <t>pagado</t>
        </is>
      </c>
      <c r="F2689" s="23" t="n">
        <v>46267</v>
      </c>
      <c r="G2689" s="24">
        <f>F2689-DATE(2026,8,31)</f>
        <v>2</v>
      </c>
      <c r="H2689" s="25" t="n">
        <v>114247978</v>
      </c>
      <c r="I2689" t="inlineStr">
        <is>
          <t>entidad-dia</t>
        </is>
      </c>
    </row>
    <row r="2690">
      <c r="A2690" t="inlineStr">
        <is>
          <t>PRAGMA</t>
        </is>
      </c>
      <c r="B2690" t="inlineStr">
        <is>
          <t>M1</t>
        </is>
      </c>
      <c r="C2690" t="inlineStr">
        <is>
          <t>Cali</t>
        </is>
      </c>
      <c r="D2690" t="inlineStr">
        <is>
          <t>4815</t>
        </is>
      </c>
      <c r="E2690" t="inlineStr">
        <is>
          <t>pagado</t>
        </is>
      </c>
      <c r="F2690" s="23" t="n">
        <v>46268</v>
      </c>
      <c r="G2690" s="24">
        <f>F2690-DATE(2026,8,31)</f>
        <v>3</v>
      </c>
      <c r="H2690" s="25" t="n">
        <v>99640651</v>
      </c>
      <c r="I2690" t="inlineStr">
        <is>
          <t>entidad-dia</t>
        </is>
      </c>
    </row>
    <row r="2691">
      <c r="A2691" t="inlineStr">
        <is>
          <t>PRAGMA</t>
        </is>
      </c>
      <c r="B2691" t="inlineStr">
        <is>
          <t>M1</t>
        </is>
      </c>
      <c r="C2691" t="inlineStr">
        <is>
          <t>Cali</t>
        </is>
      </c>
      <c r="D2691" t="inlineStr">
        <is>
          <t>4815</t>
        </is>
      </c>
      <c r="E2691" t="inlineStr">
        <is>
          <t>pagado</t>
        </is>
      </c>
      <c r="F2691" s="23" t="n">
        <v>46269</v>
      </c>
      <c r="G2691" s="24">
        <f>F2691-DATE(2026,8,31)</f>
        <v>4</v>
      </c>
      <c r="H2691" s="25" t="n">
        <v>105801641</v>
      </c>
      <c r="I2691" t="inlineStr">
        <is>
          <t>entidad-dia</t>
        </is>
      </c>
    </row>
    <row r="2692">
      <c r="A2692" t="inlineStr">
        <is>
          <t>PRAGMA</t>
        </is>
      </c>
      <c r="B2692" t="inlineStr">
        <is>
          <t>M1</t>
        </is>
      </c>
      <c r="C2692" t="inlineStr">
        <is>
          <t>Cali</t>
        </is>
      </c>
      <c r="D2692" t="inlineStr">
        <is>
          <t>4815</t>
        </is>
      </c>
      <c r="E2692" t="inlineStr">
        <is>
          <t>pagado</t>
        </is>
      </c>
      <c r="F2692" s="23" t="n">
        <v>46270</v>
      </c>
      <c r="G2692" s="24">
        <f>F2692-DATE(2026,8,31)</f>
        <v>5</v>
      </c>
      <c r="H2692" s="25" t="n">
        <v>123790963</v>
      </c>
      <c r="I2692" t="inlineStr">
        <is>
          <t>entidad-dia</t>
        </is>
      </c>
    </row>
    <row r="2693">
      <c r="A2693" t="inlineStr">
        <is>
          <t>PRAGMA</t>
        </is>
      </c>
      <c r="B2693" t="inlineStr">
        <is>
          <t>M1</t>
        </is>
      </c>
      <c r="C2693" t="inlineStr">
        <is>
          <t>Cali</t>
        </is>
      </c>
      <c r="D2693" t="inlineStr">
        <is>
          <t>4815</t>
        </is>
      </c>
      <c r="E2693" t="inlineStr">
        <is>
          <t>pagado</t>
        </is>
      </c>
      <c r="F2693" s="23" t="n">
        <v>46271</v>
      </c>
      <c r="G2693" s="24">
        <f>F2693-DATE(2026,8,31)</f>
        <v>6</v>
      </c>
      <c r="H2693" s="25" t="n">
        <v>66770276</v>
      </c>
      <c r="I2693" t="inlineStr">
        <is>
          <t>entidad-dia</t>
        </is>
      </c>
    </row>
    <row r="2694">
      <c r="A2694" t="inlineStr">
        <is>
          <t>PRAGMA</t>
        </is>
      </c>
      <c r="B2694" t="inlineStr">
        <is>
          <t>M1</t>
        </is>
      </c>
      <c r="C2694" t="inlineStr">
        <is>
          <t>Cali</t>
        </is>
      </c>
      <c r="D2694" t="inlineStr">
        <is>
          <t>4815</t>
        </is>
      </c>
      <c r="E2694" t="inlineStr">
        <is>
          <t>pagado</t>
        </is>
      </c>
      <c r="F2694" s="23" t="n">
        <v>46272</v>
      </c>
      <c r="G2694" s="24">
        <f>F2694-DATE(2026,8,31)</f>
        <v>7</v>
      </c>
      <c r="H2694" s="25" t="n">
        <v>76888386</v>
      </c>
      <c r="I2694" t="inlineStr">
        <is>
          <t>entidad-dia</t>
        </is>
      </c>
    </row>
    <row r="2695">
      <c r="A2695" t="inlineStr">
        <is>
          <t>PRAGMA</t>
        </is>
      </c>
      <c r="B2695" t="inlineStr">
        <is>
          <t>M1</t>
        </is>
      </c>
      <c r="C2695" t="inlineStr">
        <is>
          <t>Cali</t>
        </is>
      </c>
      <c r="D2695" t="inlineStr">
        <is>
          <t>4815</t>
        </is>
      </c>
      <c r="E2695" t="inlineStr">
        <is>
          <t>pagado</t>
        </is>
      </c>
      <c r="F2695" s="23" t="n">
        <v>46273</v>
      </c>
      <c r="G2695" s="24">
        <f>F2695-DATE(2026,8,31)</f>
        <v>8</v>
      </c>
      <c r="H2695" s="25" t="n">
        <v>78987170</v>
      </c>
      <c r="I2695" t="inlineStr">
        <is>
          <t>entidad-dia</t>
        </is>
      </c>
    </row>
    <row r="2696">
      <c r="A2696" t="inlineStr">
        <is>
          <t>PRAGMA</t>
        </is>
      </c>
      <c r="B2696" t="inlineStr">
        <is>
          <t>M1</t>
        </is>
      </c>
      <c r="C2696" t="inlineStr">
        <is>
          <t>Cali</t>
        </is>
      </c>
      <c r="D2696" t="inlineStr">
        <is>
          <t>4815</t>
        </is>
      </c>
      <c r="E2696" t="inlineStr">
        <is>
          <t>pagado</t>
        </is>
      </c>
      <c r="F2696" s="23" t="n">
        <v>46274</v>
      </c>
      <c r="G2696" s="24">
        <f>F2696-DATE(2026,8,31)</f>
        <v>9</v>
      </c>
      <c r="H2696" s="25" t="n">
        <v>74376493</v>
      </c>
      <c r="I2696" t="inlineStr">
        <is>
          <t>entidad-dia</t>
        </is>
      </c>
    </row>
    <row r="2697">
      <c r="A2697" t="inlineStr">
        <is>
          <t>PRAGMA</t>
        </is>
      </c>
      <c r="B2697" t="inlineStr">
        <is>
          <t>M1</t>
        </is>
      </c>
      <c r="C2697" t="inlineStr">
        <is>
          <t>Cali</t>
        </is>
      </c>
      <c r="D2697" t="inlineStr">
        <is>
          <t>4815</t>
        </is>
      </c>
      <c r="E2697" t="inlineStr">
        <is>
          <t>pagado</t>
        </is>
      </c>
      <c r="F2697" s="23" t="n">
        <v>46275</v>
      </c>
      <c r="G2697" s="24">
        <f>F2697-DATE(2026,8,31)</f>
        <v>10</v>
      </c>
      <c r="H2697" s="25" t="n">
        <v>70041323</v>
      </c>
      <c r="I2697" t="inlineStr">
        <is>
          <t>entidad-dia</t>
        </is>
      </c>
    </row>
    <row r="2698">
      <c r="A2698" t="inlineStr">
        <is>
          <t>PRAGMA</t>
        </is>
      </c>
      <c r="B2698" t="inlineStr">
        <is>
          <t>M1</t>
        </is>
      </c>
      <c r="C2698" t="inlineStr">
        <is>
          <t>Cali</t>
        </is>
      </c>
      <c r="D2698" t="inlineStr">
        <is>
          <t>4815</t>
        </is>
      </c>
      <c r="E2698" t="inlineStr">
        <is>
          <t>pagado</t>
        </is>
      </c>
      <c r="F2698" s="23" t="n">
        <v>46276</v>
      </c>
      <c r="G2698" s="24">
        <f>F2698-DATE(2026,8,31)</f>
        <v>11</v>
      </c>
      <c r="H2698" s="25" t="n">
        <v>74575137</v>
      </c>
      <c r="I2698" t="inlineStr">
        <is>
          <t>entidad-dia</t>
        </is>
      </c>
    </row>
    <row r="2699">
      <c r="A2699" t="inlineStr">
        <is>
          <t>PRAGMA</t>
        </is>
      </c>
      <c r="B2699" t="inlineStr">
        <is>
          <t>M1</t>
        </is>
      </c>
      <c r="C2699" t="inlineStr">
        <is>
          <t>Cali</t>
        </is>
      </c>
      <c r="D2699" t="inlineStr">
        <is>
          <t>4815</t>
        </is>
      </c>
      <c r="E2699" t="inlineStr">
        <is>
          <t>pagado</t>
        </is>
      </c>
      <c r="F2699" s="23" t="n">
        <v>46277</v>
      </c>
      <c r="G2699" s="24">
        <f>F2699-DATE(2026,8,31)</f>
        <v>12</v>
      </c>
      <c r="H2699" s="25" t="n">
        <v>88394800</v>
      </c>
      <c r="I2699" t="inlineStr">
        <is>
          <t>entidad-dia</t>
        </is>
      </c>
    </row>
    <row r="2700">
      <c r="A2700" t="inlineStr">
        <is>
          <t>PRAGMA</t>
        </is>
      </c>
      <c r="B2700" t="inlineStr">
        <is>
          <t>M1</t>
        </is>
      </c>
      <c r="C2700" t="inlineStr">
        <is>
          <t>Cali</t>
        </is>
      </c>
      <c r="D2700" t="inlineStr">
        <is>
          <t>4815</t>
        </is>
      </c>
      <c r="E2700" t="inlineStr">
        <is>
          <t>pagado</t>
        </is>
      </c>
      <c r="F2700" s="23" t="n">
        <v>46278</v>
      </c>
      <c r="G2700" s="24">
        <f>F2700-DATE(2026,8,31)</f>
        <v>13</v>
      </c>
      <c r="H2700" s="25" t="n">
        <v>55388111</v>
      </c>
      <c r="I2700" t="inlineStr">
        <is>
          <t>entidad-dia</t>
        </is>
      </c>
    </row>
    <row r="2701">
      <c r="A2701" t="inlineStr">
        <is>
          <t>PRAGMA</t>
        </is>
      </c>
      <c r="B2701" t="inlineStr">
        <is>
          <t>M1</t>
        </is>
      </c>
      <c r="C2701" t="inlineStr">
        <is>
          <t>Cali</t>
        </is>
      </c>
      <c r="D2701" t="inlineStr">
        <is>
          <t>4815</t>
        </is>
      </c>
      <c r="E2701" t="inlineStr">
        <is>
          <t>pagado</t>
        </is>
      </c>
      <c r="F2701" s="23" t="n">
        <v>46279</v>
      </c>
      <c r="G2701" s="24">
        <f>F2701-DATE(2026,8,31)</f>
        <v>14</v>
      </c>
      <c r="H2701" s="25" t="n">
        <v>82624148</v>
      </c>
      <c r="I2701" t="inlineStr">
        <is>
          <t>entidad-dia</t>
        </is>
      </c>
    </row>
    <row r="2702">
      <c r="A2702" t="inlineStr">
        <is>
          <t>PRAGMA</t>
        </is>
      </c>
      <c r="B2702" t="inlineStr">
        <is>
          <t>M1</t>
        </is>
      </c>
      <c r="C2702" t="inlineStr">
        <is>
          <t>Cali</t>
        </is>
      </c>
      <c r="D2702" t="inlineStr">
        <is>
          <t>4815</t>
        </is>
      </c>
      <c r="E2702" t="inlineStr">
        <is>
          <t>pagado</t>
        </is>
      </c>
      <c r="F2702" s="23" t="n">
        <v>46280</v>
      </c>
      <c r="G2702" s="24">
        <f>F2702-DATE(2026,8,31)</f>
        <v>15</v>
      </c>
      <c r="H2702" s="25" t="n">
        <v>125978669</v>
      </c>
      <c r="I2702" t="inlineStr">
        <is>
          <t>entidad-dia</t>
        </is>
      </c>
    </row>
    <row r="2703">
      <c r="A2703" t="inlineStr">
        <is>
          <t>PRAGMA</t>
        </is>
      </c>
      <c r="B2703" t="inlineStr">
        <is>
          <t>M1</t>
        </is>
      </c>
      <c r="C2703" t="inlineStr">
        <is>
          <t>Cali</t>
        </is>
      </c>
      <c r="D2703" t="inlineStr">
        <is>
          <t>483</t>
        </is>
      </c>
      <c r="E2703" t="inlineStr">
        <is>
          <t>pagado</t>
        </is>
      </c>
      <c r="F2703" s="23" t="n">
        <v>46266</v>
      </c>
      <c r="G2703" s="24">
        <f>F2703-DATE(2026,8,31)</f>
        <v>1</v>
      </c>
      <c r="H2703" s="25" t="n">
        <v>17676136</v>
      </c>
      <c r="I2703" t="inlineStr">
        <is>
          <t>entidad-dia</t>
        </is>
      </c>
    </row>
    <row r="2704">
      <c r="A2704" t="inlineStr">
        <is>
          <t>PRAGMA</t>
        </is>
      </c>
      <c r="B2704" t="inlineStr">
        <is>
          <t>M1</t>
        </is>
      </c>
      <c r="C2704" t="inlineStr">
        <is>
          <t>Cali</t>
        </is>
      </c>
      <c r="D2704" t="inlineStr">
        <is>
          <t>483</t>
        </is>
      </c>
      <c r="E2704" t="inlineStr">
        <is>
          <t>pagado</t>
        </is>
      </c>
      <c r="F2704" s="23" t="n">
        <v>46267</v>
      </c>
      <c r="G2704" s="24">
        <f>F2704-DATE(2026,8,31)</f>
        <v>2</v>
      </c>
      <c r="H2704" s="25" t="n">
        <v>10124199</v>
      </c>
      <c r="I2704" t="inlineStr">
        <is>
          <t>entidad-dia</t>
        </is>
      </c>
    </row>
    <row r="2705">
      <c r="A2705" t="inlineStr">
        <is>
          <t>PRAGMA</t>
        </is>
      </c>
      <c r="B2705" t="inlineStr">
        <is>
          <t>M1</t>
        </is>
      </c>
      <c r="C2705" t="inlineStr">
        <is>
          <t>Cali</t>
        </is>
      </c>
      <c r="D2705" t="inlineStr">
        <is>
          <t>483</t>
        </is>
      </c>
      <c r="E2705" t="inlineStr">
        <is>
          <t>pagado</t>
        </is>
      </c>
      <c r="F2705" s="23" t="n">
        <v>46268</v>
      </c>
      <c r="G2705" s="24">
        <f>F2705-DATE(2026,8,31)</f>
        <v>3</v>
      </c>
      <c r="H2705" s="25" t="n">
        <v>7247661</v>
      </c>
      <c r="I2705" t="inlineStr">
        <is>
          <t>entidad-dia</t>
        </is>
      </c>
    </row>
    <row r="2706">
      <c r="A2706" t="inlineStr">
        <is>
          <t>PRAGMA</t>
        </is>
      </c>
      <c r="B2706" t="inlineStr">
        <is>
          <t>M1</t>
        </is>
      </c>
      <c r="C2706" t="inlineStr">
        <is>
          <t>Cali</t>
        </is>
      </c>
      <c r="D2706" t="inlineStr">
        <is>
          <t>483</t>
        </is>
      </c>
      <c r="E2706" t="inlineStr">
        <is>
          <t>pagado</t>
        </is>
      </c>
      <c r="F2706" s="23" t="n">
        <v>46269</v>
      </c>
      <c r="G2706" s="24">
        <f>F2706-DATE(2026,8,31)</f>
        <v>4</v>
      </c>
      <c r="H2706" s="25" t="n">
        <v>11309585</v>
      </c>
      <c r="I2706" t="inlineStr">
        <is>
          <t>entidad-dia</t>
        </is>
      </c>
    </row>
    <row r="2707">
      <c r="A2707" t="inlineStr">
        <is>
          <t>PRAGMA</t>
        </is>
      </c>
      <c r="B2707" t="inlineStr">
        <is>
          <t>M1</t>
        </is>
      </c>
      <c r="C2707" t="inlineStr">
        <is>
          <t>Cali</t>
        </is>
      </c>
      <c r="D2707" t="inlineStr">
        <is>
          <t>483</t>
        </is>
      </c>
      <c r="E2707" t="inlineStr">
        <is>
          <t>pagado</t>
        </is>
      </c>
      <c r="F2707" s="23" t="n">
        <v>46270</v>
      </c>
      <c r="G2707" s="24">
        <f>F2707-DATE(2026,8,31)</f>
        <v>5</v>
      </c>
      <c r="H2707" s="25" t="n">
        <v>4681628</v>
      </c>
      <c r="I2707" t="inlineStr">
        <is>
          <t>entidad-dia</t>
        </is>
      </c>
    </row>
    <row r="2708">
      <c r="A2708" t="inlineStr">
        <is>
          <t>PRAGMA</t>
        </is>
      </c>
      <c r="B2708" t="inlineStr">
        <is>
          <t>M1</t>
        </is>
      </c>
      <c r="C2708" t="inlineStr">
        <is>
          <t>Cali</t>
        </is>
      </c>
      <c r="D2708" t="inlineStr">
        <is>
          <t>483</t>
        </is>
      </c>
      <c r="E2708" t="inlineStr">
        <is>
          <t>pagado</t>
        </is>
      </c>
      <c r="F2708" s="23" t="n">
        <v>46271</v>
      </c>
      <c r="G2708" s="24">
        <f>F2708-DATE(2026,8,31)</f>
        <v>6</v>
      </c>
      <c r="H2708" s="25" t="n">
        <v>1387618</v>
      </c>
      <c r="I2708" t="inlineStr">
        <is>
          <t>entidad-dia</t>
        </is>
      </c>
    </row>
    <row r="2709">
      <c r="A2709" t="inlineStr">
        <is>
          <t>PRAGMA</t>
        </is>
      </c>
      <c r="B2709" t="inlineStr">
        <is>
          <t>M1</t>
        </is>
      </c>
      <c r="C2709" t="inlineStr">
        <is>
          <t>Cali</t>
        </is>
      </c>
      <c r="D2709" t="inlineStr">
        <is>
          <t>483</t>
        </is>
      </c>
      <c r="E2709" t="inlineStr">
        <is>
          <t>pagado</t>
        </is>
      </c>
      <c r="F2709" s="23" t="n">
        <v>46272</v>
      </c>
      <c r="G2709" s="24">
        <f>F2709-DATE(2026,8,31)</f>
        <v>7</v>
      </c>
      <c r="H2709" s="25" t="n">
        <v>5093021</v>
      </c>
      <c r="I2709" t="inlineStr">
        <is>
          <t>entidad-dia</t>
        </is>
      </c>
    </row>
    <row r="2710">
      <c r="A2710" t="inlineStr">
        <is>
          <t>PRAGMA</t>
        </is>
      </c>
      <c r="B2710" t="inlineStr">
        <is>
          <t>M1</t>
        </is>
      </c>
      <c r="C2710" t="inlineStr">
        <is>
          <t>Cali</t>
        </is>
      </c>
      <c r="D2710" t="inlineStr">
        <is>
          <t>483</t>
        </is>
      </c>
      <c r="E2710" t="inlineStr">
        <is>
          <t>pagado</t>
        </is>
      </c>
      <c r="F2710" s="23" t="n">
        <v>46273</v>
      </c>
      <c r="G2710" s="24">
        <f>F2710-DATE(2026,8,31)</f>
        <v>8</v>
      </c>
      <c r="H2710" s="25" t="n">
        <v>6374508</v>
      </c>
      <c r="I2710" t="inlineStr">
        <is>
          <t>entidad-dia</t>
        </is>
      </c>
    </row>
    <row r="2711">
      <c r="A2711" t="inlineStr">
        <is>
          <t>PRAGMA</t>
        </is>
      </c>
      <c r="B2711" t="inlineStr">
        <is>
          <t>M1</t>
        </is>
      </c>
      <c r="C2711" t="inlineStr">
        <is>
          <t>Cali</t>
        </is>
      </c>
      <c r="D2711" t="inlineStr">
        <is>
          <t>483</t>
        </is>
      </c>
      <c r="E2711" t="inlineStr">
        <is>
          <t>pagado</t>
        </is>
      </c>
      <c r="F2711" s="23" t="n">
        <v>46274</v>
      </c>
      <c r="G2711" s="24">
        <f>F2711-DATE(2026,8,31)</f>
        <v>9</v>
      </c>
      <c r="H2711" s="25" t="n">
        <v>6001565</v>
      </c>
      <c r="I2711" t="inlineStr">
        <is>
          <t>entidad-dia</t>
        </is>
      </c>
    </row>
    <row r="2712">
      <c r="A2712" t="inlineStr">
        <is>
          <t>PRAGMA</t>
        </is>
      </c>
      <c r="B2712" t="inlineStr">
        <is>
          <t>M1</t>
        </is>
      </c>
      <c r="C2712" t="inlineStr">
        <is>
          <t>Cali</t>
        </is>
      </c>
      <c r="D2712" t="inlineStr">
        <is>
          <t>483</t>
        </is>
      </c>
      <c r="E2712" t="inlineStr">
        <is>
          <t>pagado</t>
        </is>
      </c>
      <c r="F2712" s="23" t="n">
        <v>46275</v>
      </c>
      <c r="G2712" s="24">
        <f>F2712-DATE(2026,8,31)</f>
        <v>10</v>
      </c>
      <c r="H2712" s="25" t="n">
        <v>4939112</v>
      </c>
      <c r="I2712" t="inlineStr">
        <is>
          <t>entidad-dia</t>
        </is>
      </c>
    </row>
    <row r="2713">
      <c r="A2713" t="inlineStr">
        <is>
          <t>PRAGMA</t>
        </is>
      </c>
      <c r="B2713" t="inlineStr">
        <is>
          <t>M1</t>
        </is>
      </c>
      <c r="C2713" t="inlineStr">
        <is>
          <t>Cali</t>
        </is>
      </c>
      <c r="D2713" t="inlineStr">
        <is>
          <t>483</t>
        </is>
      </c>
      <c r="E2713" t="inlineStr">
        <is>
          <t>pagado</t>
        </is>
      </c>
      <c r="F2713" s="23" t="n">
        <v>46276</v>
      </c>
      <c r="G2713" s="24">
        <f>F2713-DATE(2026,8,31)</f>
        <v>11</v>
      </c>
      <c r="H2713" s="25" t="n">
        <v>12700399</v>
      </c>
      <c r="I2713" t="inlineStr">
        <is>
          <t>entidad-dia</t>
        </is>
      </c>
    </row>
    <row r="2714">
      <c r="A2714" t="inlineStr">
        <is>
          <t>PRAGMA</t>
        </is>
      </c>
      <c r="B2714" t="inlineStr">
        <is>
          <t>M1</t>
        </is>
      </c>
      <c r="C2714" t="inlineStr">
        <is>
          <t>Cali</t>
        </is>
      </c>
      <c r="D2714" t="inlineStr">
        <is>
          <t>483</t>
        </is>
      </c>
      <c r="E2714" t="inlineStr">
        <is>
          <t>pagado</t>
        </is>
      </c>
      <c r="F2714" s="23" t="n">
        <v>46277</v>
      </c>
      <c r="G2714" s="24">
        <f>F2714-DATE(2026,8,31)</f>
        <v>12</v>
      </c>
      <c r="H2714" s="25" t="n">
        <v>6868639</v>
      </c>
      <c r="I2714" t="inlineStr">
        <is>
          <t>entidad-dia</t>
        </is>
      </c>
    </row>
    <row r="2715">
      <c r="A2715" t="inlineStr">
        <is>
          <t>PRAGMA</t>
        </is>
      </c>
      <c r="B2715" t="inlineStr">
        <is>
          <t>M1</t>
        </is>
      </c>
      <c r="C2715" t="inlineStr">
        <is>
          <t>Cali</t>
        </is>
      </c>
      <c r="D2715" t="inlineStr">
        <is>
          <t>483</t>
        </is>
      </c>
      <c r="E2715" t="inlineStr">
        <is>
          <t>pagado</t>
        </is>
      </c>
      <c r="F2715" s="23" t="n">
        <v>46278</v>
      </c>
      <c r="G2715" s="24">
        <f>F2715-DATE(2026,8,31)</f>
        <v>13</v>
      </c>
      <c r="H2715" s="25" t="n">
        <v>1086572</v>
      </c>
      <c r="I2715" t="inlineStr">
        <is>
          <t>entidad-dia</t>
        </is>
      </c>
    </row>
    <row r="2716">
      <c r="A2716" t="inlineStr">
        <is>
          <t>PRAGMA</t>
        </is>
      </c>
      <c r="B2716" t="inlineStr">
        <is>
          <t>M1</t>
        </is>
      </c>
      <c r="C2716" t="inlineStr">
        <is>
          <t>Cali</t>
        </is>
      </c>
      <c r="D2716" t="inlineStr">
        <is>
          <t>483</t>
        </is>
      </c>
      <c r="E2716" t="inlineStr">
        <is>
          <t>pagado</t>
        </is>
      </c>
      <c r="F2716" s="23" t="n">
        <v>46279</v>
      </c>
      <c r="G2716" s="24">
        <f>F2716-DATE(2026,8,31)</f>
        <v>14</v>
      </c>
      <c r="H2716" s="25" t="n">
        <v>11619901</v>
      </c>
      <c r="I2716" t="inlineStr">
        <is>
          <t>entidad-dia</t>
        </is>
      </c>
    </row>
    <row r="2717">
      <c r="A2717" t="inlineStr">
        <is>
          <t>PRAGMA</t>
        </is>
      </c>
      <c r="B2717" t="inlineStr">
        <is>
          <t>M1</t>
        </is>
      </c>
      <c r="C2717" t="inlineStr">
        <is>
          <t>Cali</t>
        </is>
      </c>
      <c r="D2717" t="inlineStr">
        <is>
          <t>483</t>
        </is>
      </c>
      <c r="E2717" t="inlineStr">
        <is>
          <t>pagado</t>
        </is>
      </c>
      <c r="F2717" s="23" t="n">
        <v>46280</v>
      </c>
      <c r="G2717" s="24">
        <f>F2717-DATE(2026,8,31)</f>
        <v>15</v>
      </c>
      <c r="H2717" s="25" t="n">
        <v>16269044</v>
      </c>
      <c r="I2717" t="inlineStr">
        <is>
          <t>entidad-dia</t>
        </is>
      </c>
    </row>
    <row r="2718">
      <c r="A2718" t="inlineStr">
        <is>
          <t>PRAGMA</t>
        </is>
      </c>
      <c r="B2718" t="inlineStr">
        <is>
          <t>M1</t>
        </is>
      </c>
      <c r="C2718" t="inlineStr">
        <is>
          <t>Cali</t>
        </is>
      </c>
      <c r="D2718" t="inlineStr">
        <is>
          <t>4858</t>
        </is>
      </c>
      <c r="E2718" t="inlineStr">
        <is>
          <t>pagado</t>
        </is>
      </c>
      <c r="F2718" s="23" t="n">
        <v>46266</v>
      </c>
      <c r="G2718" s="24">
        <f>F2718-DATE(2026,8,31)</f>
        <v>1</v>
      </c>
      <c r="H2718" s="25" t="n">
        <v>0</v>
      </c>
      <c r="I2718" t="inlineStr">
        <is>
          <t>entidad-dia</t>
        </is>
      </c>
    </row>
    <row r="2719">
      <c r="A2719" t="inlineStr">
        <is>
          <t>PRAGMA</t>
        </is>
      </c>
      <c r="B2719" t="inlineStr">
        <is>
          <t>M1</t>
        </is>
      </c>
      <c r="C2719" t="inlineStr">
        <is>
          <t>Cali</t>
        </is>
      </c>
      <c r="D2719" t="inlineStr">
        <is>
          <t>4858</t>
        </is>
      </c>
      <c r="E2719" t="inlineStr">
        <is>
          <t>pagado</t>
        </is>
      </c>
      <c r="F2719" s="23" t="n">
        <v>46267</v>
      </c>
      <c r="G2719" s="24">
        <f>F2719-DATE(2026,8,31)</f>
        <v>2</v>
      </c>
      <c r="H2719" s="25" t="n">
        <v>0</v>
      </c>
      <c r="I2719" t="inlineStr">
        <is>
          <t>entidad-dia</t>
        </is>
      </c>
    </row>
    <row r="2720">
      <c r="A2720" t="inlineStr">
        <is>
          <t>PRAGMA</t>
        </is>
      </c>
      <c r="B2720" t="inlineStr">
        <is>
          <t>M1</t>
        </is>
      </c>
      <c r="C2720" t="inlineStr">
        <is>
          <t>Cali</t>
        </is>
      </c>
      <c r="D2720" t="inlineStr">
        <is>
          <t>4858</t>
        </is>
      </c>
      <c r="E2720" t="inlineStr">
        <is>
          <t>pagado</t>
        </is>
      </c>
      <c r="F2720" s="23" t="n">
        <v>46268</v>
      </c>
      <c r="G2720" s="24">
        <f>F2720-DATE(2026,8,31)</f>
        <v>3</v>
      </c>
      <c r="H2720" s="25" t="n">
        <v>0</v>
      </c>
      <c r="I2720" t="inlineStr">
        <is>
          <t>entidad-dia</t>
        </is>
      </c>
    </row>
    <row r="2721">
      <c r="A2721" t="inlineStr">
        <is>
          <t>PRAGMA</t>
        </is>
      </c>
      <c r="B2721" t="inlineStr">
        <is>
          <t>M1</t>
        </is>
      </c>
      <c r="C2721" t="inlineStr">
        <is>
          <t>Cali</t>
        </is>
      </c>
      <c r="D2721" t="inlineStr">
        <is>
          <t>4858</t>
        </is>
      </c>
      <c r="E2721" t="inlineStr">
        <is>
          <t>pagado</t>
        </is>
      </c>
      <c r="F2721" s="23" t="n">
        <v>46269</v>
      </c>
      <c r="G2721" s="24">
        <f>F2721-DATE(2026,8,31)</f>
        <v>4</v>
      </c>
      <c r="H2721" s="25" t="n">
        <v>0</v>
      </c>
      <c r="I2721" t="inlineStr">
        <is>
          <t>entidad-dia</t>
        </is>
      </c>
    </row>
    <row r="2722">
      <c r="A2722" t="inlineStr">
        <is>
          <t>PRAGMA</t>
        </is>
      </c>
      <c r="B2722" t="inlineStr">
        <is>
          <t>M1</t>
        </is>
      </c>
      <c r="C2722" t="inlineStr">
        <is>
          <t>Cali</t>
        </is>
      </c>
      <c r="D2722" t="inlineStr">
        <is>
          <t>4858</t>
        </is>
      </c>
      <c r="E2722" t="inlineStr">
        <is>
          <t>pagado</t>
        </is>
      </c>
      <c r="F2722" s="23" t="n">
        <v>46270</v>
      </c>
      <c r="G2722" s="24">
        <f>F2722-DATE(2026,8,31)</f>
        <v>5</v>
      </c>
      <c r="H2722" s="25" t="n">
        <v>0</v>
      </c>
      <c r="I2722" t="inlineStr">
        <is>
          <t>entidad-dia</t>
        </is>
      </c>
    </row>
    <row r="2723">
      <c r="A2723" t="inlineStr">
        <is>
          <t>PRAGMA</t>
        </is>
      </c>
      <c r="B2723" t="inlineStr">
        <is>
          <t>M1</t>
        </is>
      </c>
      <c r="C2723" t="inlineStr">
        <is>
          <t>Cali</t>
        </is>
      </c>
      <c r="D2723" t="inlineStr">
        <is>
          <t>4858</t>
        </is>
      </c>
      <c r="E2723" t="inlineStr">
        <is>
          <t>pagado</t>
        </is>
      </c>
      <c r="F2723" s="23" t="n">
        <v>46271</v>
      </c>
      <c r="G2723" s="24">
        <f>F2723-DATE(2026,8,31)</f>
        <v>6</v>
      </c>
      <c r="H2723" s="25" t="n">
        <v>0</v>
      </c>
      <c r="I2723" t="inlineStr">
        <is>
          <t>entidad-dia</t>
        </is>
      </c>
    </row>
    <row r="2724">
      <c r="A2724" t="inlineStr">
        <is>
          <t>PRAGMA</t>
        </is>
      </c>
      <c r="B2724" t="inlineStr">
        <is>
          <t>M1</t>
        </is>
      </c>
      <c r="C2724" t="inlineStr">
        <is>
          <t>Cali</t>
        </is>
      </c>
      <c r="D2724" t="inlineStr">
        <is>
          <t>4858</t>
        </is>
      </c>
      <c r="E2724" t="inlineStr">
        <is>
          <t>pagado</t>
        </is>
      </c>
      <c r="F2724" s="23" t="n">
        <v>46272</v>
      </c>
      <c r="G2724" s="24">
        <f>F2724-DATE(2026,8,31)</f>
        <v>7</v>
      </c>
      <c r="H2724" s="25" t="n">
        <v>0</v>
      </c>
      <c r="I2724" t="inlineStr">
        <is>
          <t>entidad-dia</t>
        </is>
      </c>
    </row>
    <row r="2725">
      <c r="A2725" t="inlineStr">
        <is>
          <t>PRAGMA</t>
        </is>
      </c>
      <c r="B2725" t="inlineStr">
        <is>
          <t>M1</t>
        </is>
      </c>
      <c r="C2725" t="inlineStr">
        <is>
          <t>Cali</t>
        </is>
      </c>
      <c r="D2725" t="inlineStr">
        <is>
          <t>4858</t>
        </is>
      </c>
      <c r="E2725" t="inlineStr">
        <is>
          <t>pagado</t>
        </is>
      </c>
      <c r="F2725" s="23" t="n">
        <v>46273</v>
      </c>
      <c r="G2725" s="24">
        <f>F2725-DATE(2026,8,31)</f>
        <v>8</v>
      </c>
      <c r="H2725" s="25" t="n">
        <v>0</v>
      </c>
      <c r="I2725" t="inlineStr">
        <is>
          <t>entidad-dia</t>
        </is>
      </c>
    </row>
    <row r="2726">
      <c r="A2726" t="inlineStr">
        <is>
          <t>PRAGMA</t>
        </is>
      </c>
      <c r="B2726" t="inlineStr">
        <is>
          <t>M1</t>
        </is>
      </c>
      <c r="C2726" t="inlineStr">
        <is>
          <t>Cali</t>
        </is>
      </c>
      <c r="D2726" t="inlineStr">
        <is>
          <t>4858</t>
        </is>
      </c>
      <c r="E2726" t="inlineStr">
        <is>
          <t>pagado</t>
        </is>
      </c>
      <c r="F2726" s="23" t="n">
        <v>46274</v>
      </c>
      <c r="G2726" s="24">
        <f>F2726-DATE(2026,8,31)</f>
        <v>9</v>
      </c>
      <c r="H2726" s="25" t="n">
        <v>0</v>
      </c>
      <c r="I2726" t="inlineStr">
        <is>
          <t>entidad-dia</t>
        </is>
      </c>
    </row>
    <row r="2727">
      <c r="A2727" t="inlineStr">
        <is>
          <t>PRAGMA</t>
        </is>
      </c>
      <c r="B2727" t="inlineStr">
        <is>
          <t>M1</t>
        </is>
      </c>
      <c r="C2727" t="inlineStr">
        <is>
          <t>Cali</t>
        </is>
      </c>
      <c r="D2727" t="inlineStr">
        <is>
          <t>4858</t>
        </is>
      </c>
      <c r="E2727" t="inlineStr">
        <is>
          <t>pagado</t>
        </is>
      </c>
      <c r="F2727" s="23" t="n">
        <v>46275</v>
      </c>
      <c r="G2727" s="24">
        <f>F2727-DATE(2026,8,31)</f>
        <v>10</v>
      </c>
      <c r="H2727" s="25" t="n">
        <v>0</v>
      </c>
      <c r="I2727" t="inlineStr">
        <is>
          <t>entidad-dia</t>
        </is>
      </c>
    </row>
    <row r="2728">
      <c r="A2728" t="inlineStr">
        <is>
          <t>PRAGMA</t>
        </is>
      </c>
      <c r="B2728" t="inlineStr">
        <is>
          <t>M1</t>
        </is>
      </c>
      <c r="C2728" t="inlineStr">
        <is>
          <t>Cali</t>
        </is>
      </c>
      <c r="D2728" t="inlineStr">
        <is>
          <t>4858</t>
        </is>
      </c>
      <c r="E2728" t="inlineStr">
        <is>
          <t>pagado</t>
        </is>
      </c>
      <c r="F2728" s="23" t="n">
        <v>46276</v>
      </c>
      <c r="G2728" s="24">
        <f>F2728-DATE(2026,8,31)</f>
        <v>11</v>
      </c>
      <c r="H2728" s="25" t="n">
        <v>0</v>
      </c>
      <c r="I2728" t="inlineStr">
        <is>
          <t>entidad-dia</t>
        </is>
      </c>
    </row>
    <row r="2729">
      <c r="A2729" t="inlineStr">
        <is>
          <t>PRAGMA</t>
        </is>
      </c>
      <c r="B2729" t="inlineStr">
        <is>
          <t>M1</t>
        </is>
      </c>
      <c r="C2729" t="inlineStr">
        <is>
          <t>Cali</t>
        </is>
      </c>
      <c r="D2729" t="inlineStr">
        <is>
          <t>4858</t>
        </is>
      </c>
      <c r="E2729" t="inlineStr">
        <is>
          <t>pagado</t>
        </is>
      </c>
      <c r="F2729" s="23" t="n">
        <v>46277</v>
      </c>
      <c r="G2729" s="24">
        <f>F2729-DATE(2026,8,31)</f>
        <v>12</v>
      </c>
      <c r="H2729" s="25" t="n">
        <v>0</v>
      </c>
      <c r="I2729" t="inlineStr">
        <is>
          <t>entidad-dia</t>
        </is>
      </c>
    </row>
    <row r="2730">
      <c r="A2730" t="inlineStr">
        <is>
          <t>PRAGMA</t>
        </is>
      </c>
      <c r="B2730" t="inlineStr">
        <is>
          <t>M1</t>
        </is>
      </c>
      <c r="C2730" t="inlineStr">
        <is>
          <t>Cali</t>
        </is>
      </c>
      <c r="D2730" t="inlineStr">
        <is>
          <t>4858</t>
        </is>
      </c>
      <c r="E2730" t="inlineStr">
        <is>
          <t>pagado</t>
        </is>
      </c>
      <c r="F2730" s="23" t="n">
        <v>46278</v>
      </c>
      <c r="G2730" s="24">
        <f>F2730-DATE(2026,8,31)</f>
        <v>13</v>
      </c>
      <c r="H2730" s="25" t="n">
        <v>0</v>
      </c>
      <c r="I2730" t="inlineStr">
        <is>
          <t>entidad-dia</t>
        </is>
      </c>
    </row>
    <row r="2731">
      <c r="A2731" t="inlineStr">
        <is>
          <t>PRAGMA</t>
        </is>
      </c>
      <c r="B2731" t="inlineStr">
        <is>
          <t>M1</t>
        </is>
      </c>
      <c r="C2731" t="inlineStr">
        <is>
          <t>Cali</t>
        </is>
      </c>
      <c r="D2731" t="inlineStr">
        <is>
          <t>4858</t>
        </is>
      </c>
      <c r="E2731" t="inlineStr">
        <is>
          <t>pagado</t>
        </is>
      </c>
      <c r="F2731" s="23" t="n">
        <v>46279</v>
      </c>
      <c r="G2731" s="24">
        <f>F2731-DATE(2026,8,31)</f>
        <v>14</v>
      </c>
      <c r="H2731" s="25" t="n">
        <v>0</v>
      </c>
      <c r="I2731" t="inlineStr">
        <is>
          <t>entidad-dia</t>
        </is>
      </c>
    </row>
    <row r="2732">
      <c r="A2732" t="inlineStr">
        <is>
          <t>PRAGMA</t>
        </is>
      </c>
      <c r="B2732" t="inlineStr">
        <is>
          <t>M1</t>
        </is>
      </c>
      <c r="C2732" t="inlineStr">
        <is>
          <t>Cali</t>
        </is>
      </c>
      <c r="D2732" t="inlineStr">
        <is>
          <t>4858</t>
        </is>
      </c>
      <c r="E2732" t="inlineStr">
        <is>
          <t>pagado</t>
        </is>
      </c>
      <c r="F2732" s="23" t="n">
        <v>46280</v>
      </c>
      <c r="G2732" s="24">
        <f>F2732-DATE(2026,8,31)</f>
        <v>15</v>
      </c>
      <c r="H2732" s="25" t="n">
        <v>0</v>
      </c>
      <c r="I2732" t="inlineStr">
        <is>
          <t>entidad-dia</t>
        </is>
      </c>
    </row>
    <row r="2733">
      <c r="A2733" t="inlineStr">
        <is>
          <t>PRAGMA</t>
        </is>
      </c>
      <c r="B2733" t="inlineStr">
        <is>
          <t>M1</t>
        </is>
      </c>
      <c r="C2733" t="inlineStr">
        <is>
          <t>Pasto</t>
        </is>
      </c>
      <c r="D2733" t="inlineStr">
        <is>
          <t>4883</t>
        </is>
      </c>
      <c r="E2733" t="inlineStr">
        <is>
          <t>pagado</t>
        </is>
      </c>
      <c r="F2733" s="23" t="n">
        <v>46266</v>
      </c>
      <c r="G2733" s="24">
        <f>F2733-DATE(2026,8,31)</f>
        <v>1</v>
      </c>
      <c r="H2733" s="25" t="n">
        <v>161743957</v>
      </c>
      <c r="I2733" t="inlineStr">
        <is>
          <t>entidad-dia</t>
        </is>
      </c>
    </row>
    <row r="2734">
      <c r="A2734" t="inlineStr">
        <is>
          <t>PRAGMA</t>
        </is>
      </c>
      <c r="B2734" t="inlineStr">
        <is>
          <t>M1</t>
        </is>
      </c>
      <c r="C2734" t="inlineStr">
        <is>
          <t>Pasto</t>
        </is>
      </c>
      <c r="D2734" t="inlineStr">
        <is>
          <t>4883</t>
        </is>
      </c>
      <c r="E2734" t="inlineStr">
        <is>
          <t>pagado</t>
        </is>
      </c>
      <c r="F2734" s="23" t="n">
        <v>46267</v>
      </c>
      <c r="G2734" s="24">
        <f>F2734-DATE(2026,8,31)</f>
        <v>2</v>
      </c>
      <c r="H2734" s="25" t="n">
        <v>131598187</v>
      </c>
      <c r="I2734" t="inlineStr">
        <is>
          <t>entidad-dia</t>
        </is>
      </c>
    </row>
    <row r="2735">
      <c r="A2735" t="inlineStr">
        <is>
          <t>PRAGMA</t>
        </is>
      </c>
      <c r="B2735" t="inlineStr">
        <is>
          <t>M1</t>
        </is>
      </c>
      <c r="C2735" t="inlineStr">
        <is>
          <t>Pasto</t>
        </is>
      </c>
      <c r="D2735" t="inlineStr">
        <is>
          <t>4883</t>
        </is>
      </c>
      <c r="E2735" t="inlineStr">
        <is>
          <t>pagado</t>
        </is>
      </c>
      <c r="F2735" s="23" t="n">
        <v>46268</v>
      </c>
      <c r="G2735" s="24">
        <f>F2735-DATE(2026,8,31)</f>
        <v>3</v>
      </c>
      <c r="H2735" s="25" t="n">
        <v>108338303</v>
      </c>
      <c r="I2735" t="inlineStr">
        <is>
          <t>entidad-dia</t>
        </is>
      </c>
    </row>
    <row r="2736">
      <c r="A2736" t="inlineStr">
        <is>
          <t>PRAGMA</t>
        </is>
      </c>
      <c r="B2736" t="inlineStr">
        <is>
          <t>M1</t>
        </is>
      </c>
      <c r="C2736" t="inlineStr">
        <is>
          <t>Pasto</t>
        </is>
      </c>
      <c r="D2736" t="inlineStr">
        <is>
          <t>4883</t>
        </is>
      </c>
      <c r="E2736" t="inlineStr">
        <is>
          <t>pagado</t>
        </is>
      </c>
      <c r="F2736" s="23" t="n">
        <v>46269</v>
      </c>
      <c r="G2736" s="24">
        <f>F2736-DATE(2026,8,31)</f>
        <v>4</v>
      </c>
      <c r="H2736" s="25" t="n">
        <v>107581656</v>
      </c>
      <c r="I2736" t="inlineStr">
        <is>
          <t>entidad-dia</t>
        </is>
      </c>
    </row>
    <row r="2737">
      <c r="A2737" t="inlineStr">
        <is>
          <t>PRAGMA</t>
        </is>
      </c>
      <c r="B2737" t="inlineStr">
        <is>
          <t>M1</t>
        </is>
      </c>
      <c r="C2737" t="inlineStr">
        <is>
          <t>Pasto</t>
        </is>
      </c>
      <c r="D2737" t="inlineStr">
        <is>
          <t>4883</t>
        </is>
      </c>
      <c r="E2737" t="inlineStr">
        <is>
          <t>pagado</t>
        </is>
      </c>
      <c r="F2737" s="23" t="n">
        <v>46270</v>
      </c>
      <c r="G2737" s="24">
        <f>F2737-DATE(2026,8,31)</f>
        <v>5</v>
      </c>
      <c r="H2737" s="25" t="n">
        <v>115328318</v>
      </c>
      <c r="I2737" t="inlineStr">
        <is>
          <t>entidad-dia</t>
        </is>
      </c>
    </row>
    <row r="2738">
      <c r="A2738" t="inlineStr">
        <is>
          <t>PRAGMA</t>
        </is>
      </c>
      <c r="B2738" t="inlineStr">
        <is>
          <t>M1</t>
        </is>
      </c>
      <c r="C2738" t="inlineStr">
        <is>
          <t>Pasto</t>
        </is>
      </c>
      <c r="D2738" t="inlineStr">
        <is>
          <t>4883</t>
        </is>
      </c>
      <c r="E2738" t="inlineStr">
        <is>
          <t>pagado</t>
        </is>
      </c>
      <c r="F2738" s="23" t="n">
        <v>46271</v>
      </c>
      <c r="G2738" s="24">
        <f>F2738-DATE(2026,8,31)</f>
        <v>6</v>
      </c>
      <c r="H2738" s="25" t="n">
        <v>60582277</v>
      </c>
      <c r="I2738" t="inlineStr">
        <is>
          <t>entidad-dia</t>
        </is>
      </c>
    </row>
    <row r="2739">
      <c r="A2739" t="inlineStr">
        <is>
          <t>PRAGMA</t>
        </is>
      </c>
      <c r="B2739" t="inlineStr">
        <is>
          <t>M1</t>
        </is>
      </c>
      <c r="C2739" t="inlineStr">
        <is>
          <t>Pasto</t>
        </is>
      </c>
      <c r="D2739" t="inlineStr">
        <is>
          <t>4883</t>
        </is>
      </c>
      <c r="E2739" t="inlineStr">
        <is>
          <t>pagado</t>
        </is>
      </c>
      <c r="F2739" s="23" t="n">
        <v>46272</v>
      </c>
      <c r="G2739" s="24">
        <f>F2739-DATE(2026,8,31)</f>
        <v>7</v>
      </c>
      <c r="H2739" s="25" t="n">
        <v>90770941</v>
      </c>
      <c r="I2739" t="inlineStr">
        <is>
          <t>entidad-dia</t>
        </is>
      </c>
    </row>
    <row r="2740">
      <c r="A2740" t="inlineStr">
        <is>
          <t>PRAGMA</t>
        </is>
      </c>
      <c r="B2740" t="inlineStr">
        <is>
          <t>M1</t>
        </is>
      </c>
      <c r="C2740" t="inlineStr">
        <is>
          <t>Pasto</t>
        </is>
      </c>
      <c r="D2740" t="inlineStr">
        <is>
          <t>4883</t>
        </is>
      </c>
      <c r="E2740" t="inlineStr">
        <is>
          <t>pagado</t>
        </is>
      </c>
      <c r="F2740" s="23" t="n">
        <v>46273</v>
      </c>
      <c r="G2740" s="24">
        <f>F2740-DATE(2026,8,31)</f>
        <v>8</v>
      </c>
      <c r="H2740" s="25" t="n">
        <v>89226067</v>
      </c>
      <c r="I2740" t="inlineStr">
        <is>
          <t>entidad-dia</t>
        </is>
      </c>
    </row>
    <row r="2741">
      <c r="A2741" t="inlineStr">
        <is>
          <t>PRAGMA</t>
        </is>
      </c>
      <c r="B2741" t="inlineStr">
        <is>
          <t>M1</t>
        </is>
      </c>
      <c r="C2741" t="inlineStr">
        <is>
          <t>Pasto</t>
        </is>
      </c>
      <c r="D2741" t="inlineStr">
        <is>
          <t>4883</t>
        </is>
      </c>
      <c r="E2741" t="inlineStr">
        <is>
          <t>pagado</t>
        </is>
      </c>
      <c r="F2741" s="23" t="n">
        <v>46274</v>
      </c>
      <c r="G2741" s="24">
        <f>F2741-DATE(2026,8,31)</f>
        <v>9</v>
      </c>
      <c r="H2741" s="25" t="n">
        <v>88159021</v>
      </c>
      <c r="I2741" t="inlineStr">
        <is>
          <t>entidad-dia</t>
        </is>
      </c>
    </row>
    <row r="2742">
      <c r="A2742" t="inlineStr">
        <is>
          <t>PRAGMA</t>
        </is>
      </c>
      <c r="B2742" t="inlineStr">
        <is>
          <t>M1</t>
        </is>
      </c>
      <c r="C2742" t="inlineStr">
        <is>
          <t>Pasto</t>
        </is>
      </c>
      <c r="D2742" t="inlineStr">
        <is>
          <t>4883</t>
        </is>
      </c>
      <c r="E2742" t="inlineStr">
        <is>
          <t>pagado</t>
        </is>
      </c>
      <c r="F2742" s="23" t="n">
        <v>46275</v>
      </c>
      <c r="G2742" s="24">
        <f>F2742-DATE(2026,8,31)</f>
        <v>10</v>
      </c>
      <c r="H2742" s="25" t="n">
        <v>83806157</v>
      </c>
      <c r="I2742" t="inlineStr">
        <is>
          <t>entidad-dia</t>
        </is>
      </c>
    </row>
    <row r="2743">
      <c r="A2743" t="inlineStr">
        <is>
          <t>PRAGMA</t>
        </is>
      </c>
      <c r="B2743" t="inlineStr">
        <is>
          <t>M1</t>
        </is>
      </c>
      <c r="C2743" t="inlineStr">
        <is>
          <t>Pasto</t>
        </is>
      </c>
      <c r="D2743" t="inlineStr">
        <is>
          <t>4883</t>
        </is>
      </c>
      <c r="E2743" t="inlineStr">
        <is>
          <t>pagado</t>
        </is>
      </c>
      <c r="F2743" s="23" t="n">
        <v>46276</v>
      </c>
      <c r="G2743" s="24">
        <f>F2743-DATE(2026,8,31)</f>
        <v>11</v>
      </c>
      <c r="H2743" s="25" t="n">
        <v>96865929</v>
      </c>
      <c r="I2743" t="inlineStr">
        <is>
          <t>entidad-dia</t>
        </is>
      </c>
    </row>
    <row r="2744">
      <c r="A2744" t="inlineStr">
        <is>
          <t>PRAGMA</t>
        </is>
      </c>
      <c r="B2744" t="inlineStr">
        <is>
          <t>M1</t>
        </is>
      </c>
      <c r="C2744" t="inlineStr">
        <is>
          <t>Pasto</t>
        </is>
      </c>
      <c r="D2744" t="inlineStr">
        <is>
          <t>4883</t>
        </is>
      </c>
      <c r="E2744" t="inlineStr">
        <is>
          <t>pagado</t>
        </is>
      </c>
      <c r="F2744" s="23" t="n">
        <v>46277</v>
      </c>
      <c r="G2744" s="24">
        <f>F2744-DATE(2026,8,31)</f>
        <v>12</v>
      </c>
      <c r="H2744" s="25" t="n">
        <v>80204086</v>
      </c>
      <c r="I2744" t="inlineStr">
        <is>
          <t>entidad-dia</t>
        </is>
      </c>
    </row>
    <row r="2745">
      <c r="A2745" t="inlineStr">
        <is>
          <t>PRAGMA</t>
        </is>
      </c>
      <c r="B2745" t="inlineStr">
        <is>
          <t>M1</t>
        </is>
      </c>
      <c r="C2745" t="inlineStr">
        <is>
          <t>Pasto</t>
        </is>
      </c>
      <c r="D2745" t="inlineStr">
        <is>
          <t>4883</t>
        </is>
      </c>
      <c r="E2745" t="inlineStr">
        <is>
          <t>pagado</t>
        </is>
      </c>
      <c r="F2745" s="23" t="n">
        <v>46278</v>
      </c>
      <c r="G2745" s="24">
        <f>F2745-DATE(2026,8,31)</f>
        <v>13</v>
      </c>
      <c r="H2745" s="25" t="n">
        <v>46209016</v>
      </c>
      <c r="I2745" t="inlineStr">
        <is>
          <t>entidad-dia</t>
        </is>
      </c>
    </row>
    <row r="2746">
      <c r="A2746" t="inlineStr">
        <is>
          <t>PRAGMA</t>
        </is>
      </c>
      <c r="B2746" t="inlineStr">
        <is>
          <t>M1</t>
        </is>
      </c>
      <c r="C2746" t="inlineStr">
        <is>
          <t>Pasto</t>
        </is>
      </c>
      <c r="D2746" t="inlineStr">
        <is>
          <t>4883</t>
        </is>
      </c>
      <c r="E2746" t="inlineStr">
        <is>
          <t>pagado</t>
        </is>
      </c>
      <c r="F2746" s="23" t="n">
        <v>46279</v>
      </c>
      <c r="G2746" s="24">
        <f>F2746-DATE(2026,8,31)</f>
        <v>14</v>
      </c>
      <c r="H2746" s="25" t="n">
        <v>85319724</v>
      </c>
      <c r="I2746" t="inlineStr">
        <is>
          <t>entidad-dia</t>
        </is>
      </c>
    </row>
    <row r="2747">
      <c r="A2747" t="inlineStr">
        <is>
          <t>PRAGMA</t>
        </is>
      </c>
      <c r="B2747" t="inlineStr">
        <is>
          <t>M1</t>
        </is>
      </c>
      <c r="C2747" t="inlineStr">
        <is>
          <t>Pasto</t>
        </is>
      </c>
      <c r="D2747" t="inlineStr">
        <is>
          <t>4883</t>
        </is>
      </c>
      <c r="E2747" t="inlineStr">
        <is>
          <t>pagado</t>
        </is>
      </c>
      <c r="F2747" s="23" t="n">
        <v>46280</v>
      </c>
      <c r="G2747" s="24">
        <f>F2747-DATE(2026,8,31)</f>
        <v>15</v>
      </c>
      <c r="H2747" s="25" t="n">
        <v>123488139</v>
      </c>
      <c r="I2747" t="inlineStr">
        <is>
          <t>entidad-dia</t>
        </is>
      </c>
    </row>
    <row r="2748">
      <c r="A2748" t="inlineStr">
        <is>
          <t>PRAGMA</t>
        </is>
      </c>
      <c r="B2748" t="inlineStr">
        <is>
          <t>M1</t>
        </is>
      </c>
      <c r="C2748" t="inlineStr">
        <is>
          <t>Cali</t>
        </is>
      </c>
      <c r="D2748" t="inlineStr">
        <is>
          <t>4900</t>
        </is>
      </c>
      <c r="E2748" t="inlineStr">
        <is>
          <t>pagado</t>
        </is>
      </c>
      <c r="F2748" s="23" t="n">
        <v>46266</v>
      </c>
      <c r="G2748" s="24">
        <f>F2748-DATE(2026,8,31)</f>
        <v>1</v>
      </c>
      <c r="H2748" s="25" t="n">
        <v>0</v>
      </c>
      <c r="I2748" t="inlineStr">
        <is>
          <t>entidad-dia</t>
        </is>
      </c>
    </row>
    <row r="2749">
      <c r="A2749" t="inlineStr">
        <is>
          <t>PRAGMA</t>
        </is>
      </c>
      <c r="B2749" t="inlineStr">
        <is>
          <t>M1</t>
        </is>
      </c>
      <c r="C2749" t="inlineStr">
        <is>
          <t>Cali</t>
        </is>
      </c>
      <c r="D2749" t="inlineStr">
        <is>
          <t>4900</t>
        </is>
      </c>
      <c r="E2749" t="inlineStr">
        <is>
          <t>pagado</t>
        </is>
      </c>
      <c r="F2749" s="23" t="n">
        <v>46267</v>
      </c>
      <c r="G2749" s="24">
        <f>F2749-DATE(2026,8,31)</f>
        <v>2</v>
      </c>
      <c r="H2749" s="25" t="n">
        <v>0</v>
      </c>
      <c r="I2749" t="inlineStr">
        <is>
          <t>entidad-dia</t>
        </is>
      </c>
    </row>
    <row r="2750">
      <c r="A2750" t="inlineStr">
        <is>
          <t>PRAGMA</t>
        </is>
      </c>
      <c r="B2750" t="inlineStr">
        <is>
          <t>M1</t>
        </is>
      </c>
      <c r="C2750" t="inlineStr">
        <is>
          <t>Cali</t>
        </is>
      </c>
      <c r="D2750" t="inlineStr">
        <is>
          <t>4900</t>
        </is>
      </c>
      <c r="E2750" t="inlineStr">
        <is>
          <t>pagado</t>
        </is>
      </c>
      <c r="F2750" s="23" t="n">
        <v>46268</v>
      </c>
      <c r="G2750" s="24">
        <f>F2750-DATE(2026,8,31)</f>
        <v>3</v>
      </c>
      <c r="H2750" s="25" t="n">
        <v>0</v>
      </c>
      <c r="I2750" t="inlineStr">
        <is>
          <t>entidad-dia</t>
        </is>
      </c>
    </row>
    <row r="2751">
      <c r="A2751" t="inlineStr">
        <is>
          <t>PRAGMA</t>
        </is>
      </c>
      <c r="B2751" t="inlineStr">
        <is>
          <t>M1</t>
        </is>
      </c>
      <c r="C2751" t="inlineStr">
        <is>
          <t>Cali</t>
        </is>
      </c>
      <c r="D2751" t="inlineStr">
        <is>
          <t>4900</t>
        </is>
      </c>
      <c r="E2751" t="inlineStr">
        <is>
          <t>pagado</t>
        </is>
      </c>
      <c r="F2751" s="23" t="n">
        <v>46269</v>
      </c>
      <c r="G2751" s="24">
        <f>F2751-DATE(2026,8,31)</f>
        <v>4</v>
      </c>
      <c r="H2751" s="25" t="n">
        <v>0</v>
      </c>
      <c r="I2751" t="inlineStr">
        <is>
          <t>entidad-dia</t>
        </is>
      </c>
    </row>
    <row r="2752">
      <c r="A2752" t="inlineStr">
        <is>
          <t>PRAGMA</t>
        </is>
      </c>
      <c r="B2752" t="inlineStr">
        <is>
          <t>M1</t>
        </is>
      </c>
      <c r="C2752" t="inlineStr">
        <is>
          <t>Cali</t>
        </is>
      </c>
      <c r="D2752" t="inlineStr">
        <is>
          <t>4900</t>
        </is>
      </c>
      <c r="E2752" t="inlineStr">
        <is>
          <t>pagado</t>
        </is>
      </c>
      <c r="F2752" s="23" t="n">
        <v>46270</v>
      </c>
      <c r="G2752" s="24">
        <f>F2752-DATE(2026,8,31)</f>
        <v>5</v>
      </c>
      <c r="H2752" s="25" t="n">
        <v>0</v>
      </c>
      <c r="I2752" t="inlineStr">
        <is>
          <t>entidad-dia</t>
        </is>
      </c>
    </row>
    <row r="2753">
      <c r="A2753" t="inlineStr">
        <is>
          <t>PRAGMA</t>
        </is>
      </c>
      <c r="B2753" t="inlineStr">
        <is>
          <t>M1</t>
        </is>
      </c>
      <c r="C2753" t="inlineStr">
        <is>
          <t>Cali</t>
        </is>
      </c>
      <c r="D2753" t="inlineStr">
        <is>
          <t>4900</t>
        </is>
      </c>
      <c r="E2753" t="inlineStr">
        <is>
          <t>pagado</t>
        </is>
      </c>
      <c r="F2753" s="23" t="n">
        <v>46271</v>
      </c>
      <c r="G2753" s="24">
        <f>F2753-DATE(2026,8,31)</f>
        <v>6</v>
      </c>
      <c r="H2753" s="25" t="n">
        <v>0</v>
      </c>
      <c r="I2753" t="inlineStr">
        <is>
          <t>entidad-dia</t>
        </is>
      </c>
    </row>
    <row r="2754">
      <c r="A2754" t="inlineStr">
        <is>
          <t>PRAGMA</t>
        </is>
      </c>
      <c r="B2754" t="inlineStr">
        <is>
          <t>M1</t>
        </is>
      </c>
      <c r="C2754" t="inlineStr">
        <is>
          <t>Cali</t>
        </is>
      </c>
      <c r="D2754" t="inlineStr">
        <is>
          <t>4900</t>
        </is>
      </c>
      <c r="E2754" t="inlineStr">
        <is>
          <t>pagado</t>
        </is>
      </c>
      <c r="F2754" s="23" t="n">
        <v>46272</v>
      </c>
      <c r="G2754" s="24">
        <f>F2754-DATE(2026,8,31)</f>
        <v>7</v>
      </c>
      <c r="H2754" s="25" t="n">
        <v>0</v>
      </c>
      <c r="I2754" t="inlineStr">
        <is>
          <t>entidad-dia</t>
        </is>
      </c>
    </row>
    <row r="2755">
      <c r="A2755" t="inlineStr">
        <is>
          <t>PRAGMA</t>
        </is>
      </c>
      <c r="B2755" t="inlineStr">
        <is>
          <t>M1</t>
        </is>
      </c>
      <c r="C2755" t="inlineStr">
        <is>
          <t>Cali</t>
        </is>
      </c>
      <c r="D2755" t="inlineStr">
        <is>
          <t>4900</t>
        </is>
      </c>
      <c r="E2755" t="inlineStr">
        <is>
          <t>pagado</t>
        </is>
      </c>
      <c r="F2755" s="23" t="n">
        <v>46273</v>
      </c>
      <c r="G2755" s="24">
        <f>F2755-DATE(2026,8,31)</f>
        <v>8</v>
      </c>
      <c r="H2755" s="25" t="n">
        <v>0</v>
      </c>
      <c r="I2755" t="inlineStr">
        <is>
          <t>entidad-dia</t>
        </is>
      </c>
    </row>
    <row r="2756">
      <c r="A2756" t="inlineStr">
        <is>
          <t>PRAGMA</t>
        </is>
      </c>
      <c r="B2756" t="inlineStr">
        <is>
          <t>M1</t>
        </is>
      </c>
      <c r="C2756" t="inlineStr">
        <is>
          <t>Cali</t>
        </is>
      </c>
      <c r="D2756" t="inlineStr">
        <is>
          <t>4900</t>
        </is>
      </c>
      <c r="E2756" t="inlineStr">
        <is>
          <t>pagado</t>
        </is>
      </c>
      <c r="F2756" s="23" t="n">
        <v>46274</v>
      </c>
      <c r="G2756" s="24">
        <f>F2756-DATE(2026,8,31)</f>
        <v>9</v>
      </c>
      <c r="H2756" s="25" t="n">
        <v>0</v>
      </c>
      <c r="I2756" t="inlineStr">
        <is>
          <t>entidad-dia</t>
        </is>
      </c>
    </row>
    <row r="2757">
      <c r="A2757" t="inlineStr">
        <is>
          <t>PRAGMA</t>
        </is>
      </c>
      <c r="B2757" t="inlineStr">
        <is>
          <t>M1</t>
        </is>
      </c>
      <c r="C2757" t="inlineStr">
        <is>
          <t>Cali</t>
        </is>
      </c>
      <c r="D2757" t="inlineStr">
        <is>
          <t>4900</t>
        </is>
      </c>
      <c r="E2757" t="inlineStr">
        <is>
          <t>pagado</t>
        </is>
      </c>
      <c r="F2757" s="23" t="n">
        <v>46275</v>
      </c>
      <c r="G2757" s="24">
        <f>F2757-DATE(2026,8,31)</f>
        <v>10</v>
      </c>
      <c r="H2757" s="25" t="n">
        <v>0</v>
      </c>
      <c r="I2757" t="inlineStr">
        <is>
          <t>entidad-dia</t>
        </is>
      </c>
    </row>
    <row r="2758">
      <c r="A2758" t="inlineStr">
        <is>
          <t>PRAGMA</t>
        </is>
      </c>
      <c r="B2758" t="inlineStr">
        <is>
          <t>M1</t>
        </is>
      </c>
      <c r="C2758" t="inlineStr">
        <is>
          <t>Cali</t>
        </is>
      </c>
      <c r="D2758" t="inlineStr">
        <is>
          <t>4900</t>
        </is>
      </c>
      <c r="E2758" t="inlineStr">
        <is>
          <t>pagado</t>
        </is>
      </c>
      <c r="F2758" s="23" t="n">
        <v>46276</v>
      </c>
      <c r="G2758" s="24">
        <f>F2758-DATE(2026,8,31)</f>
        <v>11</v>
      </c>
      <c r="H2758" s="25" t="n">
        <v>0</v>
      </c>
      <c r="I2758" t="inlineStr">
        <is>
          <t>entidad-dia</t>
        </is>
      </c>
    </row>
    <row r="2759">
      <c r="A2759" t="inlineStr">
        <is>
          <t>PRAGMA</t>
        </is>
      </c>
      <c r="B2759" t="inlineStr">
        <is>
          <t>M1</t>
        </is>
      </c>
      <c r="C2759" t="inlineStr">
        <is>
          <t>Cali</t>
        </is>
      </c>
      <c r="D2759" t="inlineStr">
        <is>
          <t>4900</t>
        </is>
      </c>
      <c r="E2759" t="inlineStr">
        <is>
          <t>pagado</t>
        </is>
      </c>
      <c r="F2759" s="23" t="n">
        <v>46277</v>
      </c>
      <c r="G2759" s="24">
        <f>F2759-DATE(2026,8,31)</f>
        <v>12</v>
      </c>
      <c r="H2759" s="25" t="n">
        <v>0</v>
      </c>
      <c r="I2759" t="inlineStr">
        <is>
          <t>entidad-dia</t>
        </is>
      </c>
    </row>
    <row r="2760">
      <c r="A2760" t="inlineStr">
        <is>
          <t>PRAGMA</t>
        </is>
      </c>
      <c r="B2760" t="inlineStr">
        <is>
          <t>M1</t>
        </is>
      </c>
      <c r="C2760" t="inlineStr">
        <is>
          <t>Cali</t>
        </is>
      </c>
      <c r="D2760" t="inlineStr">
        <is>
          <t>4900</t>
        </is>
      </c>
      <c r="E2760" t="inlineStr">
        <is>
          <t>pagado</t>
        </is>
      </c>
      <c r="F2760" s="23" t="n">
        <v>46278</v>
      </c>
      <c r="G2760" s="24">
        <f>F2760-DATE(2026,8,31)</f>
        <v>13</v>
      </c>
      <c r="H2760" s="25" t="n">
        <v>0</v>
      </c>
      <c r="I2760" t="inlineStr">
        <is>
          <t>entidad-dia</t>
        </is>
      </c>
    </row>
    <row r="2761">
      <c r="A2761" t="inlineStr">
        <is>
          <t>PRAGMA</t>
        </is>
      </c>
      <c r="B2761" t="inlineStr">
        <is>
          <t>M1</t>
        </is>
      </c>
      <c r="C2761" t="inlineStr">
        <is>
          <t>Cali</t>
        </is>
      </c>
      <c r="D2761" t="inlineStr">
        <is>
          <t>4900</t>
        </is>
      </c>
      <c r="E2761" t="inlineStr">
        <is>
          <t>pagado</t>
        </is>
      </c>
      <c r="F2761" s="23" t="n">
        <v>46279</v>
      </c>
      <c r="G2761" s="24">
        <f>F2761-DATE(2026,8,31)</f>
        <v>14</v>
      </c>
      <c r="H2761" s="25" t="n">
        <v>0</v>
      </c>
      <c r="I2761" t="inlineStr">
        <is>
          <t>entidad-dia</t>
        </is>
      </c>
    </row>
    <row r="2762">
      <c r="A2762" t="inlineStr">
        <is>
          <t>PRAGMA</t>
        </is>
      </c>
      <c r="B2762" t="inlineStr">
        <is>
          <t>M1</t>
        </is>
      </c>
      <c r="C2762" t="inlineStr">
        <is>
          <t>Cali</t>
        </is>
      </c>
      <c r="D2762" t="inlineStr">
        <is>
          <t>4900</t>
        </is>
      </c>
      <c r="E2762" t="inlineStr">
        <is>
          <t>pagado</t>
        </is>
      </c>
      <c r="F2762" s="23" t="n">
        <v>46280</v>
      </c>
      <c r="G2762" s="24">
        <f>F2762-DATE(2026,8,31)</f>
        <v>15</v>
      </c>
      <c r="H2762" s="25" t="n">
        <v>0</v>
      </c>
      <c r="I2762" t="inlineStr">
        <is>
          <t>entidad-dia</t>
        </is>
      </c>
    </row>
    <row r="2763">
      <c r="A2763" t="inlineStr">
        <is>
          <t>PRAGMA</t>
        </is>
      </c>
      <c r="B2763" t="inlineStr">
        <is>
          <t>M1</t>
        </is>
      </c>
      <c r="C2763" t="inlineStr">
        <is>
          <t>Cali</t>
        </is>
      </c>
      <c r="D2763" t="inlineStr">
        <is>
          <t>4914</t>
        </is>
      </c>
      <c r="E2763" t="inlineStr">
        <is>
          <t>pagado</t>
        </is>
      </c>
      <c r="F2763" s="23" t="n">
        <v>46266</v>
      </c>
      <c r="G2763" s="24">
        <f>F2763-DATE(2026,8,31)</f>
        <v>1</v>
      </c>
      <c r="H2763" s="25" t="n">
        <v>118876204</v>
      </c>
      <c r="I2763" t="inlineStr">
        <is>
          <t>entidad-dia</t>
        </is>
      </c>
    </row>
    <row r="2764">
      <c r="A2764" t="inlineStr">
        <is>
          <t>PRAGMA</t>
        </is>
      </c>
      <c r="B2764" t="inlineStr">
        <is>
          <t>M1</t>
        </is>
      </c>
      <c r="C2764" t="inlineStr">
        <is>
          <t>Cali</t>
        </is>
      </c>
      <c r="D2764" t="inlineStr">
        <is>
          <t>4914</t>
        </is>
      </c>
      <c r="E2764" t="inlineStr">
        <is>
          <t>pagado</t>
        </is>
      </c>
      <c r="F2764" s="23" t="n">
        <v>46267</v>
      </c>
      <c r="G2764" s="24">
        <f>F2764-DATE(2026,8,31)</f>
        <v>2</v>
      </c>
      <c r="H2764" s="25" t="n">
        <v>99637694</v>
      </c>
      <c r="I2764" t="inlineStr">
        <is>
          <t>entidad-dia</t>
        </is>
      </c>
    </row>
    <row r="2765">
      <c r="A2765" t="inlineStr">
        <is>
          <t>PRAGMA</t>
        </is>
      </c>
      <c r="B2765" t="inlineStr">
        <is>
          <t>M1</t>
        </is>
      </c>
      <c r="C2765" t="inlineStr">
        <is>
          <t>Cali</t>
        </is>
      </c>
      <c r="D2765" t="inlineStr">
        <is>
          <t>4914</t>
        </is>
      </c>
      <c r="E2765" t="inlineStr">
        <is>
          <t>pagado</t>
        </is>
      </c>
      <c r="F2765" s="23" t="n">
        <v>46268</v>
      </c>
      <c r="G2765" s="24">
        <f>F2765-DATE(2026,8,31)</f>
        <v>3</v>
      </c>
      <c r="H2765" s="25" t="n">
        <v>98323300</v>
      </c>
      <c r="I2765" t="inlineStr">
        <is>
          <t>entidad-dia</t>
        </is>
      </c>
    </row>
    <row r="2766">
      <c r="A2766" t="inlineStr">
        <is>
          <t>PRAGMA</t>
        </is>
      </c>
      <c r="B2766" t="inlineStr">
        <is>
          <t>M1</t>
        </is>
      </c>
      <c r="C2766" t="inlineStr">
        <is>
          <t>Cali</t>
        </is>
      </c>
      <c r="D2766" t="inlineStr">
        <is>
          <t>4914</t>
        </is>
      </c>
      <c r="E2766" t="inlineStr">
        <is>
          <t>pagado</t>
        </is>
      </c>
      <c r="F2766" s="23" t="n">
        <v>46269</v>
      </c>
      <c r="G2766" s="24">
        <f>F2766-DATE(2026,8,31)</f>
        <v>4</v>
      </c>
      <c r="H2766" s="25" t="n">
        <v>91680453</v>
      </c>
      <c r="I2766" t="inlineStr">
        <is>
          <t>entidad-dia</t>
        </is>
      </c>
    </row>
    <row r="2767">
      <c r="A2767" t="inlineStr">
        <is>
          <t>PRAGMA</t>
        </is>
      </c>
      <c r="B2767" t="inlineStr">
        <is>
          <t>M1</t>
        </is>
      </c>
      <c r="C2767" t="inlineStr">
        <is>
          <t>Cali</t>
        </is>
      </c>
      <c r="D2767" t="inlineStr">
        <is>
          <t>4914</t>
        </is>
      </c>
      <c r="E2767" t="inlineStr">
        <is>
          <t>pagado</t>
        </is>
      </c>
      <c r="F2767" s="23" t="n">
        <v>46270</v>
      </c>
      <c r="G2767" s="24">
        <f>F2767-DATE(2026,8,31)</f>
        <v>5</v>
      </c>
      <c r="H2767" s="25" t="n">
        <v>65807477</v>
      </c>
      <c r="I2767" t="inlineStr">
        <is>
          <t>entidad-dia</t>
        </is>
      </c>
    </row>
    <row r="2768">
      <c r="A2768" t="inlineStr">
        <is>
          <t>PRAGMA</t>
        </is>
      </c>
      <c r="B2768" t="inlineStr">
        <is>
          <t>M1</t>
        </is>
      </c>
      <c r="C2768" t="inlineStr">
        <is>
          <t>Cali</t>
        </is>
      </c>
      <c r="D2768" t="inlineStr">
        <is>
          <t>4914</t>
        </is>
      </c>
      <c r="E2768" t="inlineStr">
        <is>
          <t>pagado</t>
        </is>
      </c>
      <c r="F2768" s="23" t="n">
        <v>46271</v>
      </c>
      <c r="G2768" s="24">
        <f>F2768-DATE(2026,8,31)</f>
        <v>6</v>
      </c>
      <c r="H2768" s="25" t="n">
        <v>34571690</v>
      </c>
      <c r="I2768" t="inlineStr">
        <is>
          <t>entidad-dia</t>
        </is>
      </c>
    </row>
    <row r="2769">
      <c r="A2769" t="inlineStr">
        <is>
          <t>PRAGMA</t>
        </is>
      </c>
      <c r="B2769" t="inlineStr">
        <is>
          <t>M1</t>
        </is>
      </c>
      <c r="C2769" t="inlineStr">
        <is>
          <t>Cali</t>
        </is>
      </c>
      <c r="D2769" t="inlineStr">
        <is>
          <t>4914</t>
        </is>
      </c>
      <c r="E2769" t="inlineStr">
        <is>
          <t>pagado</t>
        </is>
      </c>
      <c r="F2769" s="23" t="n">
        <v>46272</v>
      </c>
      <c r="G2769" s="24">
        <f>F2769-DATE(2026,8,31)</f>
        <v>7</v>
      </c>
      <c r="H2769" s="25" t="n">
        <v>69201828</v>
      </c>
      <c r="I2769" t="inlineStr">
        <is>
          <t>entidad-dia</t>
        </is>
      </c>
    </row>
    <row r="2770">
      <c r="A2770" t="inlineStr">
        <is>
          <t>PRAGMA</t>
        </is>
      </c>
      <c r="B2770" t="inlineStr">
        <is>
          <t>M1</t>
        </is>
      </c>
      <c r="C2770" t="inlineStr">
        <is>
          <t>Cali</t>
        </is>
      </c>
      <c r="D2770" t="inlineStr">
        <is>
          <t>4914</t>
        </is>
      </c>
      <c r="E2770" t="inlineStr">
        <is>
          <t>pagado</t>
        </is>
      </c>
      <c r="F2770" s="23" t="n">
        <v>46273</v>
      </c>
      <c r="G2770" s="24">
        <f>F2770-DATE(2026,8,31)</f>
        <v>8</v>
      </c>
      <c r="H2770" s="25" t="n">
        <v>76595506</v>
      </c>
      <c r="I2770" t="inlineStr">
        <is>
          <t>entidad-dia</t>
        </is>
      </c>
    </row>
    <row r="2771">
      <c r="A2771" t="inlineStr">
        <is>
          <t>PRAGMA</t>
        </is>
      </c>
      <c r="B2771" t="inlineStr">
        <is>
          <t>M1</t>
        </is>
      </c>
      <c r="C2771" t="inlineStr">
        <is>
          <t>Cali</t>
        </is>
      </c>
      <c r="D2771" t="inlineStr">
        <is>
          <t>4914</t>
        </is>
      </c>
      <c r="E2771" t="inlineStr">
        <is>
          <t>pagado</t>
        </is>
      </c>
      <c r="F2771" s="23" t="n">
        <v>46274</v>
      </c>
      <c r="G2771" s="24">
        <f>F2771-DATE(2026,8,31)</f>
        <v>9</v>
      </c>
      <c r="H2771" s="25" t="n">
        <v>79986035</v>
      </c>
      <c r="I2771" t="inlineStr">
        <is>
          <t>entidad-dia</t>
        </is>
      </c>
    </row>
    <row r="2772">
      <c r="A2772" t="inlineStr">
        <is>
          <t>PRAGMA</t>
        </is>
      </c>
      <c r="B2772" t="inlineStr">
        <is>
          <t>M1</t>
        </is>
      </c>
      <c r="C2772" t="inlineStr">
        <is>
          <t>Cali</t>
        </is>
      </c>
      <c r="D2772" t="inlineStr">
        <is>
          <t>4914</t>
        </is>
      </c>
      <c r="E2772" t="inlineStr">
        <is>
          <t>pagado</t>
        </is>
      </c>
      <c r="F2772" s="23" t="n">
        <v>46275</v>
      </c>
      <c r="G2772" s="24">
        <f>F2772-DATE(2026,8,31)</f>
        <v>10</v>
      </c>
      <c r="H2772" s="25" t="n">
        <v>73361472</v>
      </c>
      <c r="I2772" t="inlineStr">
        <is>
          <t>entidad-dia</t>
        </is>
      </c>
    </row>
    <row r="2773">
      <c r="A2773" t="inlineStr">
        <is>
          <t>PRAGMA</t>
        </is>
      </c>
      <c r="B2773" t="inlineStr">
        <is>
          <t>M1</t>
        </is>
      </c>
      <c r="C2773" t="inlineStr">
        <is>
          <t>Cali</t>
        </is>
      </c>
      <c r="D2773" t="inlineStr">
        <is>
          <t>4914</t>
        </is>
      </c>
      <c r="E2773" t="inlineStr">
        <is>
          <t>pagado</t>
        </is>
      </c>
      <c r="F2773" s="23" t="n">
        <v>46276</v>
      </c>
      <c r="G2773" s="24">
        <f>F2773-DATE(2026,8,31)</f>
        <v>11</v>
      </c>
      <c r="H2773" s="25" t="n">
        <v>79688710</v>
      </c>
      <c r="I2773" t="inlineStr">
        <is>
          <t>entidad-dia</t>
        </is>
      </c>
    </row>
    <row r="2774">
      <c r="A2774" t="inlineStr">
        <is>
          <t>PRAGMA</t>
        </is>
      </c>
      <c r="B2774" t="inlineStr">
        <is>
          <t>M1</t>
        </is>
      </c>
      <c r="C2774" t="inlineStr">
        <is>
          <t>Cali</t>
        </is>
      </c>
      <c r="D2774" t="inlineStr">
        <is>
          <t>4914</t>
        </is>
      </c>
      <c r="E2774" t="inlineStr">
        <is>
          <t>pagado</t>
        </is>
      </c>
      <c r="F2774" s="23" t="n">
        <v>46277</v>
      </c>
      <c r="G2774" s="24">
        <f>F2774-DATE(2026,8,31)</f>
        <v>12</v>
      </c>
      <c r="H2774" s="25" t="n">
        <v>54048953</v>
      </c>
      <c r="I2774" t="inlineStr">
        <is>
          <t>entidad-dia</t>
        </is>
      </c>
    </row>
    <row r="2775">
      <c r="A2775" t="inlineStr">
        <is>
          <t>PRAGMA</t>
        </is>
      </c>
      <c r="B2775" t="inlineStr">
        <is>
          <t>M1</t>
        </is>
      </c>
      <c r="C2775" t="inlineStr">
        <is>
          <t>Cali</t>
        </is>
      </c>
      <c r="D2775" t="inlineStr">
        <is>
          <t>4914</t>
        </is>
      </c>
      <c r="E2775" t="inlineStr">
        <is>
          <t>pagado</t>
        </is>
      </c>
      <c r="F2775" s="23" t="n">
        <v>46278</v>
      </c>
      <c r="G2775" s="24">
        <f>F2775-DATE(2026,8,31)</f>
        <v>13</v>
      </c>
      <c r="H2775" s="25" t="n">
        <v>27981297</v>
      </c>
      <c r="I2775" t="inlineStr">
        <is>
          <t>entidad-dia</t>
        </is>
      </c>
    </row>
    <row r="2776">
      <c r="A2776" t="inlineStr">
        <is>
          <t>PRAGMA</t>
        </is>
      </c>
      <c r="B2776" t="inlineStr">
        <is>
          <t>M1</t>
        </is>
      </c>
      <c r="C2776" t="inlineStr">
        <is>
          <t>Cali</t>
        </is>
      </c>
      <c r="D2776" t="inlineStr">
        <is>
          <t>4914</t>
        </is>
      </c>
      <c r="E2776" t="inlineStr">
        <is>
          <t>pagado</t>
        </is>
      </c>
      <c r="F2776" s="23" t="n">
        <v>46279</v>
      </c>
      <c r="G2776" s="24">
        <f>F2776-DATE(2026,8,31)</f>
        <v>14</v>
      </c>
      <c r="H2776" s="25" t="n">
        <v>64866670</v>
      </c>
      <c r="I2776" t="inlineStr">
        <is>
          <t>entidad-dia</t>
        </is>
      </c>
    </row>
    <row r="2777">
      <c r="A2777" t="inlineStr">
        <is>
          <t>PRAGMA</t>
        </is>
      </c>
      <c r="B2777" t="inlineStr">
        <is>
          <t>M1</t>
        </is>
      </c>
      <c r="C2777" t="inlineStr">
        <is>
          <t>Cali</t>
        </is>
      </c>
      <c r="D2777" t="inlineStr">
        <is>
          <t>4914</t>
        </is>
      </c>
      <c r="E2777" t="inlineStr">
        <is>
          <t>pagado</t>
        </is>
      </c>
      <c r="F2777" s="23" t="n">
        <v>46280</v>
      </c>
      <c r="G2777" s="24">
        <f>F2777-DATE(2026,8,31)</f>
        <v>15</v>
      </c>
      <c r="H2777" s="25" t="n">
        <v>99136012</v>
      </c>
      <c r="I2777" t="inlineStr">
        <is>
          <t>entidad-dia</t>
        </is>
      </c>
    </row>
    <row r="2778">
      <c r="A2778" t="inlineStr">
        <is>
          <t>PRAGMA</t>
        </is>
      </c>
      <c r="B2778" t="inlineStr">
        <is>
          <t>M1</t>
        </is>
      </c>
      <c r="C2778" t="inlineStr">
        <is>
          <t>Pasto</t>
        </is>
      </c>
      <c r="D2778" t="inlineStr">
        <is>
          <t>4920</t>
        </is>
      </c>
      <c r="E2778" t="inlineStr">
        <is>
          <t>pagado</t>
        </is>
      </c>
      <c r="F2778" s="23" t="n">
        <v>46266</v>
      </c>
      <c r="G2778" s="24">
        <f>F2778-DATE(2026,8,31)</f>
        <v>1</v>
      </c>
      <c r="H2778" s="25" t="n">
        <v>171647287</v>
      </c>
      <c r="I2778" t="inlineStr">
        <is>
          <t>entidad-dia</t>
        </is>
      </c>
    </row>
    <row r="2779">
      <c r="A2779" t="inlineStr">
        <is>
          <t>PRAGMA</t>
        </is>
      </c>
      <c r="B2779" t="inlineStr">
        <is>
          <t>M1</t>
        </is>
      </c>
      <c r="C2779" t="inlineStr">
        <is>
          <t>Pasto</t>
        </is>
      </c>
      <c r="D2779" t="inlineStr">
        <is>
          <t>4920</t>
        </is>
      </c>
      <c r="E2779" t="inlineStr">
        <is>
          <t>pagado</t>
        </is>
      </c>
      <c r="F2779" s="23" t="n">
        <v>46267</v>
      </c>
      <c r="G2779" s="24">
        <f>F2779-DATE(2026,8,31)</f>
        <v>2</v>
      </c>
      <c r="H2779" s="25" t="n">
        <v>135897017</v>
      </c>
      <c r="I2779" t="inlineStr">
        <is>
          <t>entidad-dia</t>
        </is>
      </c>
    </row>
    <row r="2780">
      <c r="A2780" t="inlineStr">
        <is>
          <t>PRAGMA</t>
        </is>
      </c>
      <c r="B2780" t="inlineStr">
        <is>
          <t>M1</t>
        </is>
      </c>
      <c r="C2780" t="inlineStr">
        <is>
          <t>Pasto</t>
        </is>
      </c>
      <c r="D2780" t="inlineStr">
        <is>
          <t>4920</t>
        </is>
      </c>
      <c r="E2780" t="inlineStr">
        <is>
          <t>pagado</t>
        </is>
      </c>
      <c r="F2780" s="23" t="n">
        <v>46268</v>
      </c>
      <c r="G2780" s="24">
        <f>F2780-DATE(2026,8,31)</f>
        <v>3</v>
      </c>
      <c r="H2780" s="25" t="n">
        <v>115796973</v>
      </c>
      <c r="I2780" t="inlineStr">
        <is>
          <t>entidad-dia</t>
        </is>
      </c>
    </row>
    <row r="2781">
      <c r="A2781" t="inlineStr">
        <is>
          <t>PRAGMA</t>
        </is>
      </c>
      <c r="B2781" t="inlineStr">
        <is>
          <t>M1</t>
        </is>
      </c>
      <c r="C2781" t="inlineStr">
        <is>
          <t>Pasto</t>
        </is>
      </c>
      <c r="D2781" t="inlineStr">
        <is>
          <t>4920</t>
        </is>
      </c>
      <c r="E2781" t="inlineStr">
        <is>
          <t>pagado</t>
        </is>
      </c>
      <c r="F2781" s="23" t="n">
        <v>46269</v>
      </c>
      <c r="G2781" s="24">
        <f>F2781-DATE(2026,8,31)</f>
        <v>4</v>
      </c>
      <c r="H2781" s="25" t="n">
        <v>116833725</v>
      </c>
      <c r="I2781" t="inlineStr">
        <is>
          <t>entidad-dia</t>
        </is>
      </c>
    </row>
    <row r="2782">
      <c r="A2782" t="inlineStr">
        <is>
          <t>PRAGMA</t>
        </is>
      </c>
      <c r="B2782" t="inlineStr">
        <is>
          <t>M1</t>
        </is>
      </c>
      <c r="C2782" t="inlineStr">
        <is>
          <t>Pasto</t>
        </is>
      </c>
      <c r="D2782" t="inlineStr">
        <is>
          <t>4920</t>
        </is>
      </c>
      <c r="E2782" t="inlineStr">
        <is>
          <t>pagado</t>
        </is>
      </c>
      <c r="F2782" s="23" t="n">
        <v>46270</v>
      </c>
      <c r="G2782" s="24">
        <f>F2782-DATE(2026,8,31)</f>
        <v>5</v>
      </c>
      <c r="H2782" s="25" t="n">
        <v>121661967</v>
      </c>
      <c r="I2782" t="inlineStr">
        <is>
          <t>entidad-dia</t>
        </is>
      </c>
    </row>
    <row r="2783">
      <c r="A2783" t="inlineStr">
        <is>
          <t>PRAGMA</t>
        </is>
      </c>
      <c r="B2783" t="inlineStr">
        <is>
          <t>M1</t>
        </is>
      </c>
      <c r="C2783" t="inlineStr">
        <is>
          <t>Pasto</t>
        </is>
      </c>
      <c r="D2783" t="inlineStr">
        <is>
          <t>4920</t>
        </is>
      </c>
      <c r="E2783" t="inlineStr">
        <is>
          <t>pagado</t>
        </is>
      </c>
      <c r="F2783" s="23" t="n">
        <v>46271</v>
      </c>
      <c r="G2783" s="24">
        <f>F2783-DATE(2026,8,31)</f>
        <v>6</v>
      </c>
      <c r="H2783" s="25" t="n">
        <v>74060307</v>
      </c>
      <c r="I2783" t="inlineStr">
        <is>
          <t>entidad-dia</t>
        </is>
      </c>
    </row>
    <row r="2784">
      <c r="A2784" t="inlineStr">
        <is>
          <t>PRAGMA</t>
        </is>
      </c>
      <c r="B2784" t="inlineStr">
        <is>
          <t>M1</t>
        </is>
      </c>
      <c r="C2784" t="inlineStr">
        <is>
          <t>Pasto</t>
        </is>
      </c>
      <c r="D2784" t="inlineStr">
        <is>
          <t>4920</t>
        </is>
      </c>
      <c r="E2784" t="inlineStr">
        <is>
          <t>pagado</t>
        </is>
      </c>
      <c r="F2784" s="23" t="n">
        <v>46272</v>
      </c>
      <c r="G2784" s="24">
        <f>F2784-DATE(2026,8,31)</f>
        <v>7</v>
      </c>
      <c r="H2784" s="25" t="n">
        <v>100011427</v>
      </c>
      <c r="I2784" t="inlineStr">
        <is>
          <t>entidad-dia</t>
        </is>
      </c>
    </row>
    <row r="2785">
      <c r="A2785" t="inlineStr">
        <is>
          <t>PRAGMA</t>
        </is>
      </c>
      <c r="B2785" t="inlineStr">
        <is>
          <t>M1</t>
        </is>
      </c>
      <c r="C2785" t="inlineStr">
        <is>
          <t>Pasto</t>
        </is>
      </c>
      <c r="D2785" t="inlineStr">
        <is>
          <t>4920</t>
        </is>
      </c>
      <c r="E2785" t="inlineStr">
        <is>
          <t>pagado</t>
        </is>
      </c>
      <c r="F2785" s="23" t="n">
        <v>46273</v>
      </c>
      <c r="G2785" s="24">
        <f>F2785-DATE(2026,8,31)</f>
        <v>8</v>
      </c>
      <c r="H2785" s="25" t="n">
        <v>98440721</v>
      </c>
      <c r="I2785" t="inlineStr">
        <is>
          <t>entidad-dia</t>
        </is>
      </c>
    </row>
    <row r="2786">
      <c r="A2786" t="inlineStr">
        <is>
          <t>PRAGMA</t>
        </is>
      </c>
      <c r="B2786" t="inlineStr">
        <is>
          <t>M1</t>
        </is>
      </c>
      <c r="C2786" t="inlineStr">
        <is>
          <t>Pasto</t>
        </is>
      </c>
      <c r="D2786" t="inlineStr">
        <is>
          <t>4920</t>
        </is>
      </c>
      <c r="E2786" t="inlineStr">
        <is>
          <t>pagado</t>
        </is>
      </c>
      <c r="F2786" s="23" t="n">
        <v>46274</v>
      </c>
      <c r="G2786" s="24">
        <f>F2786-DATE(2026,8,31)</f>
        <v>9</v>
      </c>
      <c r="H2786" s="25" t="n">
        <v>95772904</v>
      </c>
      <c r="I2786" t="inlineStr">
        <is>
          <t>entidad-dia</t>
        </is>
      </c>
    </row>
    <row r="2787">
      <c r="A2787" t="inlineStr">
        <is>
          <t>PRAGMA</t>
        </is>
      </c>
      <c r="B2787" t="inlineStr">
        <is>
          <t>M1</t>
        </is>
      </c>
      <c r="C2787" t="inlineStr">
        <is>
          <t>Pasto</t>
        </is>
      </c>
      <c r="D2787" t="inlineStr">
        <is>
          <t>4920</t>
        </is>
      </c>
      <c r="E2787" t="inlineStr">
        <is>
          <t>pagado</t>
        </is>
      </c>
      <c r="F2787" s="23" t="n">
        <v>46275</v>
      </c>
      <c r="G2787" s="24">
        <f>F2787-DATE(2026,8,31)</f>
        <v>10</v>
      </c>
      <c r="H2787" s="25" t="n">
        <v>87116411</v>
      </c>
      <c r="I2787" t="inlineStr">
        <is>
          <t>entidad-dia</t>
        </is>
      </c>
    </row>
    <row r="2788">
      <c r="A2788" t="inlineStr">
        <is>
          <t>PRAGMA</t>
        </is>
      </c>
      <c r="B2788" t="inlineStr">
        <is>
          <t>M1</t>
        </is>
      </c>
      <c r="C2788" t="inlineStr">
        <is>
          <t>Pasto</t>
        </is>
      </c>
      <c r="D2788" t="inlineStr">
        <is>
          <t>4920</t>
        </is>
      </c>
      <c r="E2788" t="inlineStr">
        <is>
          <t>pagado</t>
        </is>
      </c>
      <c r="F2788" s="23" t="n">
        <v>46276</v>
      </c>
      <c r="G2788" s="24">
        <f>F2788-DATE(2026,8,31)</f>
        <v>11</v>
      </c>
      <c r="H2788" s="25" t="n">
        <v>86713809</v>
      </c>
      <c r="I2788" t="inlineStr">
        <is>
          <t>entidad-dia</t>
        </is>
      </c>
    </row>
    <row r="2789">
      <c r="A2789" t="inlineStr">
        <is>
          <t>PRAGMA</t>
        </is>
      </c>
      <c r="B2789" t="inlineStr">
        <is>
          <t>M1</t>
        </is>
      </c>
      <c r="C2789" t="inlineStr">
        <is>
          <t>Pasto</t>
        </is>
      </c>
      <c r="D2789" t="inlineStr">
        <is>
          <t>4920</t>
        </is>
      </c>
      <c r="E2789" t="inlineStr">
        <is>
          <t>pagado</t>
        </is>
      </c>
      <c r="F2789" s="23" t="n">
        <v>46277</v>
      </c>
      <c r="G2789" s="24">
        <f>F2789-DATE(2026,8,31)</f>
        <v>12</v>
      </c>
      <c r="H2789" s="25" t="n">
        <v>84606252</v>
      </c>
      <c r="I2789" t="inlineStr">
        <is>
          <t>entidad-dia</t>
        </is>
      </c>
    </row>
    <row r="2790">
      <c r="A2790" t="inlineStr">
        <is>
          <t>PRAGMA</t>
        </is>
      </c>
      <c r="B2790" t="inlineStr">
        <is>
          <t>M1</t>
        </is>
      </c>
      <c r="C2790" t="inlineStr">
        <is>
          <t>Pasto</t>
        </is>
      </c>
      <c r="D2790" t="inlineStr">
        <is>
          <t>4920</t>
        </is>
      </c>
      <c r="E2790" t="inlineStr">
        <is>
          <t>pagado</t>
        </is>
      </c>
      <c r="F2790" s="23" t="n">
        <v>46278</v>
      </c>
      <c r="G2790" s="24">
        <f>F2790-DATE(2026,8,31)</f>
        <v>13</v>
      </c>
      <c r="H2790" s="25" t="n">
        <v>55815436</v>
      </c>
      <c r="I2790" t="inlineStr">
        <is>
          <t>entidad-dia</t>
        </is>
      </c>
    </row>
    <row r="2791">
      <c r="A2791" t="inlineStr">
        <is>
          <t>PRAGMA</t>
        </is>
      </c>
      <c r="B2791" t="inlineStr">
        <is>
          <t>M1</t>
        </is>
      </c>
      <c r="C2791" t="inlineStr">
        <is>
          <t>Pasto</t>
        </is>
      </c>
      <c r="D2791" t="inlineStr">
        <is>
          <t>4920</t>
        </is>
      </c>
      <c r="E2791" t="inlineStr">
        <is>
          <t>pagado</t>
        </is>
      </c>
      <c r="F2791" s="23" t="n">
        <v>46279</v>
      </c>
      <c r="G2791" s="24">
        <f>F2791-DATE(2026,8,31)</f>
        <v>14</v>
      </c>
      <c r="H2791" s="25" t="n">
        <v>83038195</v>
      </c>
      <c r="I2791" t="inlineStr">
        <is>
          <t>entidad-dia</t>
        </is>
      </c>
    </row>
    <row r="2792">
      <c r="A2792" t="inlineStr">
        <is>
          <t>PRAGMA</t>
        </is>
      </c>
      <c r="B2792" t="inlineStr">
        <is>
          <t>M1</t>
        </is>
      </c>
      <c r="C2792" t="inlineStr">
        <is>
          <t>Pasto</t>
        </is>
      </c>
      <c r="D2792" t="inlineStr">
        <is>
          <t>4920</t>
        </is>
      </c>
      <c r="E2792" t="inlineStr">
        <is>
          <t>pagado</t>
        </is>
      </c>
      <c r="F2792" s="23" t="n">
        <v>46280</v>
      </c>
      <c r="G2792" s="24">
        <f>F2792-DATE(2026,8,31)</f>
        <v>15</v>
      </c>
      <c r="H2792" s="25" t="n">
        <v>106926830</v>
      </c>
      <c r="I2792" t="inlineStr">
        <is>
          <t>entidad-dia</t>
        </is>
      </c>
    </row>
    <row r="2793">
      <c r="A2793" t="inlineStr">
        <is>
          <t>PRAGMA</t>
        </is>
      </c>
      <c r="B2793" t="inlineStr">
        <is>
          <t>M1</t>
        </is>
      </c>
      <c r="C2793" t="inlineStr">
        <is>
          <t>Cali</t>
        </is>
      </c>
      <c r="D2793" t="inlineStr">
        <is>
          <t>4941</t>
        </is>
      </c>
      <c r="E2793" t="inlineStr">
        <is>
          <t>pagado</t>
        </is>
      </c>
      <c r="F2793" s="23" t="n">
        <v>46266</v>
      </c>
      <c r="G2793" s="24">
        <f>F2793-DATE(2026,8,31)</f>
        <v>1</v>
      </c>
      <c r="H2793" s="25" t="n">
        <v>69729031</v>
      </c>
      <c r="I2793" t="inlineStr">
        <is>
          <t>entidad-dia</t>
        </is>
      </c>
    </row>
    <row r="2794">
      <c r="A2794" t="inlineStr">
        <is>
          <t>PRAGMA</t>
        </is>
      </c>
      <c r="B2794" t="inlineStr">
        <is>
          <t>M1</t>
        </is>
      </c>
      <c r="C2794" t="inlineStr">
        <is>
          <t>Cali</t>
        </is>
      </c>
      <c r="D2794" t="inlineStr">
        <is>
          <t>4941</t>
        </is>
      </c>
      <c r="E2794" t="inlineStr">
        <is>
          <t>pagado</t>
        </is>
      </c>
      <c r="F2794" s="23" t="n">
        <v>46267</v>
      </c>
      <c r="G2794" s="24">
        <f>F2794-DATE(2026,8,31)</f>
        <v>2</v>
      </c>
      <c r="H2794" s="25" t="n">
        <v>54564326</v>
      </c>
      <c r="I2794" t="inlineStr">
        <is>
          <t>entidad-dia</t>
        </is>
      </c>
    </row>
    <row r="2795">
      <c r="A2795" t="inlineStr">
        <is>
          <t>PRAGMA</t>
        </is>
      </c>
      <c r="B2795" t="inlineStr">
        <is>
          <t>M1</t>
        </is>
      </c>
      <c r="C2795" t="inlineStr">
        <is>
          <t>Cali</t>
        </is>
      </c>
      <c r="D2795" t="inlineStr">
        <is>
          <t>4941</t>
        </is>
      </c>
      <c r="E2795" t="inlineStr">
        <is>
          <t>pagado</t>
        </is>
      </c>
      <c r="F2795" s="23" t="n">
        <v>46268</v>
      </c>
      <c r="G2795" s="24">
        <f>F2795-DATE(2026,8,31)</f>
        <v>3</v>
      </c>
      <c r="H2795" s="25" t="n">
        <v>48125965</v>
      </c>
      <c r="I2795" t="inlineStr">
        <is>
          <t>entidad-dia</t>
        </is>
      </c>
    </row>
    <row r="2796">
      <c r="A2796" t="inlineStr">
        <is>
          <t>PRAGMA</t>
        </is>
      </c>
      <c r="B2796" t="inlineStr">
        <is>
          <t>M1</t>
        </is>
      </c>
      <c r="C2796" t="inlineStr">
        <is>
          <t>Cali</t>
        </is>
      </c>
      <c r="D2796" t="inlineStr">
        <is>
          <t>4941</t>
        </is>
      </c>
      <c r="E2796" t="inlineStr">
        <is>
          <t>pagado</t>
        </is>
      </c>
      <c r="F2796" s="23" t="n">
        <v>46269</v>
      </c>
      <c r="G2796" s="24">
        <f>F2796-DATE(2026,8,31)</f>
        <v>4</v>
      </c>
      <c r="H2796" s="25" t="n">
        <v>54198665</v>
      </c>
      <c r="I2796" t="inlineStr">
        <is>
          <t>entidad-dia</t>
        </is>
      </c>
    </row>
    <row r="2797">
      <c r="A2797" t="inlineStr">
        <is>
          <t>PRAGMA</t>
        </is>
      </c>
      <c r="B2797" t="inlineStr">
        <is>
          <t>M1</t>
        </is>
      </c>
      <c r="C2797" t="inlineStr">
        <is>
          <t>Cali</t>
        </is>
      </c>
      <c r="D2797" t="inlineStr">
        <is>
          <t>4941</t>
        </is>
      </c>
      <c r="E2797" t="inlineStr">
        <is>
          <t>pagado</t>
        </is>
      </c>
      <c r="F2797" s="23" t="n">
        <v>46270</v>
      </c>
      <c r="G2797" s="24">
        <f>F2797-DATE(2026,8,31)</f>
        <v>5</v>
      </c>
      <c r="H2797" s="25" t="n">
        <v>44157626</v>
      </c>
      <c r="I2797" t="inlineStr">
        <is>
          <t>entidad-dia</t>
        </is>
      </c>
    </row>
    <row r="2798">
      <c r="A2798" t="inlineStr">
        <is>
          <t>PRAGMA</t>
        </is>
      </c>
      <c r="B2798" t="inlineStr">
        <is>
          <t>M1</t>
        </is>
      </c>
      <c r="C2798" t="inlineStr">
        <is>
          <t>Cali</t>
        </is>
      </c>
      <c r="D2798" t="inlineStr">
        <is>
          <t>4941</t>
        </is>
      </c>
      <c r="E2798" t="inlineStr">
        <is>
          <t>pagado</t>
        </is>
      </c>
      <c r="F2798" s="23" t="n">
        <v>46271</v>
      </c>
      <c r="G2798" s="24">
        <f>F2798-DATE(2026,8,31)</f>
        <v>6</v>
      </c>
      <c r="H2798" s="25" t="n">
        <v>25829507</v>
      </c>
      <c r="I2798" t="inlineStr">
        <is>
          <t>entidad-dia</t>
        </is>
      </c>
    </row>
    <row r="2799">
      <c r="A2799" t="inlineStr">
        <is>
          <t>PRAGMA</t>
        </is>
      </c>
      <c r="B2799" t="inlineStr">
        <is>
          <t>M1</t>
        </is>
      </c>
      <c r="C2799" t="inlineStr">
        <is>
          <t>Cali</t>
        </is>
      </c>
      <c r="D2799" t="inlineStr">
        <is>
          <t>4941</t>
        </is>
      </c>
      <c r="E2799" t="inlineStr">
        <is>
          <t>pagado</t>
        </is>
      </c>
      <c r="F2799" s="23" t="n">
        <v>46272</v>
      </c>
      <c r="G2799" s="24">
        <f>F2799-DATE(2026,8,31)</f>
        <v>7</v>
      </c>
      <c r="H2799" s="25" t="n">
        <v>35411493</v>
      </c>
      <c r="I2799" t="inlineStr">
        <is>
          <t>entidad-dia</t>
        </is>
      </c>
    </row>
    <row r="2800">
      <c r="A2800" t="inlineStr">
        <is>
          <t>PRAGMA</t>
        </is>
      </c>
      <c r="B2800" t="inlineStr">
        <is>
          <t>M1</t>
        </is>
      </c>
      <c r="C2800" t="inlineStr">
        <is>
          <t>Cali</t>
        </is>
      </c>
      <c r="D2800" t="inlineStr">
        <is>
          <t>4941</t>
        </is>
      </c>
      <c r="E2800" t="inlineStr">
        <is>
          <t>pagado</t>
        </is>
      </c>
      <c r="F2800" s="23" t="n">
        <v>46273</v>
      </c>
      <c r="G2800" s="24">
        <f>F2800-DATE(2026,8,31)</f>
        <v>8</v>
      </c>
      <c r="H2800" s="25" t="n">
        <v>39609107</v>
      </c>
      <c r="I2800" t="inlineStr">
        <is>
          <t>entidad-dia</t>
        </is>
      </c>
    </row>
    <row r="2801">
      <c r="A2801" t="inlineStr">
        <is>
          <t>PRAGMA</t>
        </is>
      </c>
      <c r="B2801" t="inlineStr">
        <is>
          <t>M1</t>
        </is>
      </c>
      <c r="C2801" t="inlineStr">
        <is>
          <t>Cali</t>
        </is>
      </c>
      <c r="D2801" t="inlineStr">
        <is>
          <t>4941</t>
        </is>
      </c>
      <c r="E2801" t="inlineStr">
        <is>
          <t>pagado</t>
        </is>
      </c>
      <c r="F2801" s="23" t="n">
        <v>46274</v>
      </c>
      <c r="G2801" s="24">
        <f>F2801-DATE(2026,8,31)</f>
        <v>9</v>
      </c>
      <c r="H2801" s="25" t="n">
        <v>32634696</v>
      </c>
      <c r="I2801" t="inlineStr">
        <is>
          <t>entidad-dia</t>
        </is>
      </c>
    </row>
    <row r="2802">
      <c r="A2802" t="inlineStr">
        <is>
          <t>PRAGMA</t>
        </is>
      </c>
      <c r="B2802" t="inlineStr">
        <is>
          <t>M1</t>
        </is>
      </c>
      <c r="C2802" t="inlineStr">
        <is>
          <t>Cali</t>
        </is>
      </c>
      <c r="D2802" t="inlineStr">
        <is>
          <t>4941</t>
        </is>
      </c>
      <c r="E2802" t="inlineStr">
        <is>
          <t>pagado</t>
        </is>
      </c>
      <c r="F2802" s="23" t="n">
        <v>46275</v>
      </c>
      <c r="G2802" s="24">
        <f>F2802-DATE(2026,8,31)</f>
        <v>10</v>
      </c>
      <c r="H2802" s="25" t="n">
        <v>32052451</v>
      </c>
      <c r="I2802" t="inlineStr">
        <is>
          <t>entidad-dia</t>
        </is>
      </c>
    </row>
    <row r="2803">
      <c r="A2803" t="inlineStr">
        <is>
          <t>PRAGMA</t>
        </is>
      </c>
      <c r="B2803" t="inlineStr">
        <is>
          <t>M1</t>
        </is>
      </c>
      <c r="C2803" t="inlineStr">
        <is>
          <t>Cali</t>
        </is>
      </c>
      <c r="D2803" t="inlineStr">
        <is>
          <t>4941</t>
        </is>
      </c>
      <c r="E2803" t="inlineStr">
        <is>
          <t>pagado</t>
        </is>
      </c>
      <c r="F2803" s="23" t="n">
        <v>46276</v>
      </c>
      <c r="G2803" s="24">
        <f>F2803-DATE(2026,8,31)</f>
        <v>11</v>
      </c>
      <c r="H2803" s="25" t="n">
        <v>39667231</v>
      </c>
      <c r="I2803" t="inlineStr">
        <is>
          <t>entidad-dia</t>
        </is>
      </c>
    </row>
    <row r="2804">
      <c r="A2804" t="inlineStr">
        <is>
          <t>PRAGMA</t>
        </is>
      </c>
      <c r="B2804" t="inlineStr">
        <is>
          <t>M1</t>
        </is>
      </c>
      <c r="C2804" t="inlineStr">
        <is>
          <t>Cali</t>
        </is>
      </c>
      <c r="D2804" t="inlineStr">
        <is>
          <t>4941</t>
        </is>
      </c>
      <c r="E2804" t="inlineStr">
        <is>
          <t>pagado</t>
        </is>
      </c>
      <c r="F2804" s="23" t="n">
        <v>46277</v>
      </c>
      <c r="G2804" s="24">
        <f>F2804-DATE(2026,8,31)</f>
        <v>12</v>
      </c>
      <c r="H2804" s="25" t="n">
        <v>32859925</v>
      </c>
      <c r="I2804" t="inlineStr">
        <is>
          <t>entidad-dia</t>
        </is>
      </c>
    </row>
    <row r="2805">
      <c r="A2805" t="inlineStr">
        <is>
          <t>PRAGMA</t>
        </is>
      </c>
      <c r="B2805" t="inlineStr">
        <is>
          <t>M1</t>
        </is>
      </c>
      <c r="C2805" t="inlineStr">
        <is>
          <t>Cali</t>
        </is>
      </c>
      <c r="D2805" t="inlineStr">
        <is>
          <t>4941</t>
        </is>
      </c>
      <c r="E2805" t="inlineStr">
        <is>
          <t>pagado</t>
        </is>
      </c>
      <c r="F2805" s="23" t="n">
        <v>46278</v>
      </c>
      <c r="G2805" s="24">
        <f>F2805-DATE(2026,8,31)</f>
        <v>13</v>
      </c>
      <c r="H2805" s="25" t="n">
        <v>19383586</v>
      </c>
      <c r="I2805" t="inlineStr">
        <is>
          <t>entidad-dia</t>
        </is>
      </c>
    </row>
    <row r="2806">
      <c r="A2806" t="inlineStr">
        <is>
          <t>PRAGMA</t>
        </is>
      </c>
      <c r="B2806" t="inlineStr">
        <is>
          <t>M1</t>
        </is>
      </c>
      <c r="C2806" t="inlineStr">
        <is>
          <t>Cali</t>
        </is>
      </c>
      <c r="D2806" t="inlineStr">
        <is>
          <t>4941</t>
        </is>
      </c>
      <c r="E2806" t="inlineStr">
        <is>
          <t>pagado</t>
        </is>
      </c>
      <c r="F2806" s="23" t="n">
        <v>46279</v>
      </c>
      <c r="G2806" s="24">
        <f>F2806-DATE(2026,8,31)</f>
        <v>14</v>
      </c>
      <c r="H2806" s="25" t="n">
        <v>36113207</v>
      </c>
      <c r="I2806" t="inlineStr">
        <is>
          <t>entidad-dia</t>
        </is>
      </c>
    </row>
    <row r="2807">
      <c r="A2807" t="inlineStr">
        <is>
          <t>PRAGMA</t>
        </is>
      </c>
      <c r="B2807" t="inlineStr">
        <is>
          <t>M1</t>
        </is>
      </c>
      <c r="C2807" t="inlineStr">
        <is>
          <t>Cali</t>
        </is>
      </c>
      <c r="D2807" t="inlineStr">
        <is>
          <t>4941</t>
        </is>
      </c>
      <c r="E2807" t="inlineStr">
        <is>
          <t>pagado</t>
        </is>
      </c>
      <c r="F2807" s="23" t="n">
        <v>46280</v>
      </c>
      <c r="G2807" s="24">
        <f>F2807-DATE(2026,8,31)</f>
        <v>15</v>
      </c>
      <c r="H2807" s="25" t="n">
        <v>50016561</v>
      </c>
      <c r="I2807" t="inlineStr">
        <is>
          <t>entidad-dia</t>
        </is>
      </c>
    </row>
    <row r="2808">
      <c r="A2808" t="inlineStr">
        <is>
          <t>PRAGMA</t>
        </is>
      </c>
      <c r="B2808" t="inlineStr">
        <is>
          <t>M1</t>
        </is>
      </c>
      <c r="C2808" t="inlineStr">
        <is>
          <t>Cali</t>
        </is>
      </c>
      <c r="D2808" t="inlineStr">
        <is>
          <t>4959</t>
        </is>
      </c>
      <c r="E2808" t="inlineStr">
        <is>
          <t>pagado</t>
        </is>
      </c>
      <c r="F2808" s="23" t="n">
        <v>46266</v>
      </c>
      <c r="G2808" s="24">
        <f>F2808-DATE(2026,8,31)</f>
        <v>1</v>
      </c>
      <c r="H2808" s="25" t="n">
        <v>175608953</v>
      </c>
      <c r="I2808" t="inlineStr">
        <is>
          <t>entidad-dia</t>
        </is>
      </c>
    </row>
    <row r="2809">
      <c r="A2809" t="inlineStr">
        <is>
          <t>PRAGMA</t>
        </is>
      </c>
      <c r="B2809" t="inlineStr">
        <is>
          <t>M1</t>
        </is>
      </c>
      <c r="C2809" t="inlineStr">
        <is>
          <t>Cali</t>
        </is>
      </c>
      <c r="D2809" t="inlineStr">
        <is>
          <t>4959</t>
        </is>
      </c>
      <c r="E2809" t="inlineStr">
        <is>
          <t>pagado</t>
        </is>
      </c>
      <c r="F2809" s="23" t="n">
        <v>46267</v>
      </c>
      <c r="G2809" s="24">
        <f>F2809-DATE(2026,8,31)</f>
        <v>2</v>
      </c>
      <c r="H2809" s="25" t="n">
        <v>130789929</v>
      </c>
      <c r="I2809" t="inlineStr">
        <is>
          <t>entidad-dia</t>
        </is>
      </c>
    </row>
    <row r="2810">
      <c r="A2810" t="inlineStr">
        <is>
          <t>PRAGMA</t>
        </is>
      </c>
      <c r="B2810" t="inlineStr">
        <is>
          <t>M1</t>
        </is>
      </c>
      <c r="C2810" t="inlineStr">
        <is>
          <t>Cali</t>
        </is>
      </c>
      <c r="D2810" t="inlineStr">
        <is>
          <t>4959</t>
        </is>
      </c>
      <c r="E2810" t="inlineStr">
        <is>
          <t>pagado</t>
        </is>
      </c>
      <c r="F2810" s="23" t="n">
        <v>46268</v>
      </c>
      <c r="G2810" s="24">
        <f>F2810-DATE(2026,8,31)</f>
        <v>3</v>
      </c>
      <c r="H2810" s="25" t="n">
        <v>116891432</v>
      </c>
      <c r="I2810" t="inlineStr">
        <is>
          <t>entidad-dia</t>
        </is>
      </c>
    </row>
    <row r="2811">
      <c r="A2811" t="inlineStr">
        <is>
          <t>PRAGMA</t>
        </is>
      </c>
      <c r="B2811" t="inlineStr">
        <is>
          <t>M1</t>
        </is>
      </c>
      <c r="C2811" t="inlineStr">
        <is>
          <t>Cali</t>
        </is>
      </c>
      <c r="D2811" t="inlineStr">
        <is>
          <t>4959</t>
        </is>
      </c>
      <c r="E2811" t="inlineStr">
        <is>
          <t>pagado</t>
        </is>
      </c>
      <c r="F2811" s="23" t="n">
        <v>46269</v>
      </c>
      <c r="G2811" s="24">
        <f>F2811-DATE(2026,8,31)</f>
        <v>4</v>
      </c>
      <c r="H2811" s="25" t="n">
        <v>123946153</v>
      </c>
      <c r="I2811" t="inlineStr">
        <is>
          <t>entidad-dia</t>
        </is>
      </c>
    </row>
    <row r="2812">
      <c r="A2812" t="inlineStr">
        <is>
          <t>PRAGMA</t>
        </is>
      </c>
      <c r="B2812" t="inlineStr">
        <is>
          <t>M1</t>
        </is>
      </c>
      <c r="C2812" t="inlineStr">
        <is>
          <t>Cali</t>
        </is>
      </c>
      <c r="D2812" t="inlineStr">
        <is>
          <t>4959</t>
        </is>
      </c>
      <c r="E2812" t="inlineStr">
        <is>
          <t>pagado</t>
        </is>
      </c>
      <c r="F2812" s="23" t="n">
        <v>46270</v>
      </c>
      <c r="G2812" s="24">
        <f>F2812-DATE(2026,8,31)</f>
        <v>5</v>
      </c>
      <c r="H2812" s="25" t="n">
        <v>137660640</v>
      </c>
      <c r="I2812" t="inlineStr">
        <is>
          <t>entidad-dia</t>
        </is>
      </c>
    </row>
    <row r="2813">
      <c r="A2813" t="inlineStr">
        <is>
          <t>PRAGMA</t>
        </is>
      </c>
      <c r="B2813" t="inlineStr">
        <is>
          <t>M1</t>
        </is>
      </c>
      <c r="C2813" t="inlineStr">
        <is>
          <t>Cali</t>
        </is>
      </c>
      <c r="D2813" t="inlineStr">
        <is>
          <t>4959</t>
        </is>
      </c>
      <c r="E2813" t="inlineStr">
        <is>
          <t>pagado</t>
        </is>
      </c>
      <c r="F2813" s="23" t="n">
        <v>46271</v>
      </c>
      <c r="G2813" s="24">
        <f>F2813-DATE(2026,8,31)</f>
        <v>6</v>
      </c>
      <c r="H2813" s="25" t="n">
        <v>86991207</v>
      </c>
      <c r="I2813" t="inlineStr">
        <is>
          <t>entidad-dia</t>
        </is>
      </c>
    </row>
    <row r="2814">
      <c r="A2814" t="inlineStr">
        <is>
          <t>PRAGMA</t>
        </is>
      </c>
      <c r="B2814" t="inlineStr">
        <is>
          <t>M1</t>
        </is>
      </c>
      <c r="C2814" t="inlineStr">
        <is>
          <t>Cali</t>
        </is>
      </c>
      <c r="D2814" t="inlineStr">
        <is>
          <t>4959</t>
        </is>
      </c>
      <c r="E2814" t="inlineStr">
        <is>
          <t>pagado</t>
        </is>
      </c>
      <c r="F2814" s="23" t="n">
        <v>46272</v>
      </c>
      <c r="G2814" s="24">
        <f>F2814-DATE(2026,8,31)</f>
        <v>7</v>
      </c>
      <c r="H2814" s="25" t="n">
        <v>91314589</v>
      </c>
      <c r="I2814" t="inlineStr">
        <is>
          <t>entidad-dia</t>
        </is>
      </c>
    </row>
    <row r="2815">
      <c r="A2815" t="inlineStr">
        <is>
          <t>PRAGMA</t>
        </is>
      </c>
      <c r="B2815" t="inlineStr">
        <is>
          <t>M1</t>
        </is>
      </c>
      <c r="C2815" t="inlineStr">
        <is>
          <t>Cali</t>
        </is>
      </c>
      <c r="D2815" t="inlineStr">
        <is>
          <t>4959</t>
        </is>
      </c>
      <c r="E2815" t="inlineStr">
        <is>
          <t>pagado</t>
        </is>
      </c>
      <c r="F2815" s="23" t="n">
        <v>46273</v>
      </c>
      <c r="G2815" s="24">
        <f>F2815-DATE(2026,8,31)</f>
        <v>8</v>
      </c>
      <c r="H2815" s="25" t="n">
        <v>84697733</v>
      </c>
      <c r="I2815" t="inlineStr">
        <is>
          <t>entidad-dia</t>
        </is>
      </c>
    </row>
    <row r="2816">
      <c r="A2816" t="inlineStr">
        <is>
          <t>PRAGMA</t>
        </is>
      </c>
      <c r="B2816" t="inlineStr">
        <is>
          <t>M1</t>
        </is>
      </c>
      <c r="C2816" t="inlineStr">
        <is>
          <t>Cali</t>
        </is>
      </c>
      <c r="D2816" t="inlineStr">
        <is>
          <t>4959</t>
        </is>
      </c>
      <c r="E2816" t="inlineStr">
        <is>
          <t>pagado</t>
        </is>
      </c>
      <c r="F2816" s="23" t="n">
        <v>46274</v>
      </c>
      <c r="G2816" s="24">
        <f>F2816-DATE(2026,8,31)</f>
        <v>9</v>
      </c>
      <c r="H2816" s="25" t="n">
        <v>90677028</v>
      </c>
      <c r="I2816" t="inlineStr">
        <is>
          <t>entidad-dia</t>
        </is>
      </c>
    </row>
    <row r="2817">
      <c r="A2817" t="inlineStr">
        <is>
          <t>PRAGMA</t>
        </is>
      </c>
      <c r="B2817" t="inlineStr">
        <is>
          <t>M1</t>
        </is>
      </c>
      <c r="C2817" t="inlineStr">
        <is>
          <t>Cali</t>
        </is>
      </c>
      <c r="D2817" t="inlineStr">
        <is>
          <t>4959</t>
        </is>
      </c>
      <c r="E2817" t="inlineStr">
        <is>
          <t>pagado</t>
        </is>
      </c>
      <c r="F2817" s="23" t="n">
        <v>46275</v>
      </c>
      <c r="G2817" s="24">
        <f>F2817-DATE(2026,8,31)</f>
        <v>10</v>
      </c>
      <c r="H2817" s="25" t="n">
        <v>81053354</v>
      </c>
      <c r="I2817" t="inlineStr">
        <is>
          <t>entidad-dia</t>
        </is>
      </c>
    </row>
    <row r="2818">
      <c r="A2818" t="inlineStr">
        <is>
          <t>PRAGMA</t>
        </is>
      </c>
      <c r="B2818" t="inlineStr">
        <is>
          <t>M1</t>
        </is>
      </c>
      <c r="C2818" t="inlineStr">
        <is>
          <t>Cali</t>
        </is>
      </c>
      <c r="D2818" t="inlineStr">
        <is>
          <t>4959</t>
        </is>
      </c>
      <c r="E2818" t="inlineStr">
        <is>
          <t>pagado</t>
        </is>
      </c>
      <c r="F2818" s="23" t="n">
        <v>46276</v>
      </c>
      <c r="G2818" s="24">
        <f>F2818-DATE(2026,8,31)</f>
        <v>11</v>
      </c>
      <c r="H2818" s="25" t="n">
        <v>85936314</v>
      </c>
      <c r="I2818" t="inlineStr">
        <is>
          <t>entidad-dia</t>
        </is>
      </c>
    </row>
    <row r="2819">
      <c r="A2819" t="inlineStr">
        <is>
          <t>PRAGMA</t>
        </is>
      </c>
      <c r="B2819" t="inlineStr">
        <is>
          <t>M1</t>
        </is>
      </c>
      <c r="C2819" t="inlineStr">
        <is>
          <t>Cali</t>
        </is>
      </c>
      <c r="D2819" t="inlineStr">
        <is>
          <t>4959</t>
        </is>
      </c>
      <c r="E2819" t="inlineStr">
        <is>
          <t>pagado</t>
        </is>
      </c>
      <c r="F2819" s="23" t="n">
        <v>46277</v>
      </c>
      <c r="G2819" s="24">
        <f>F2819-DATE(2026,8,31)</f>
        <v>12</v>
      </c>
      <c r="H2819" s="25" t="n">
        <v>93890276</v>
      </c>
      <c r="I2819" t="inlineStr">
        <is>
          <t>entidad-dia</t>
        </is>
      </c>
    </row>
    <row r="2820">
      <c r="A2820" t="inlineStr">
        <is>
          <t>PRAGMA</t>
        </is>
      </c>
      <c r="B2820" t="inlineStr">
        <is>
          <t>M1</t>
        </is>
      </c>
      <c r="C2820" t="inlineStr">
        <is>
          <t>Cali</t>
        </is>
      </c>
      <c r="D2820" t="inlineStr">
        <is>
          <t>4959</t>
        </is>
      </c>
      <c r="E2820" t="inlineStr">
        <is>
          <t>pagado</t>
        </is>
      </c>
      <c r="F2820" s="23" t="n">
        <v>46278</v>
      </c>
      <c r="G2820" s="24">
        <f>F2820-DATE(2026,8,31)</f>
        <v>13</v>
      </c>
      <c r="H2820" s="25" t="n">
        <v>65855507</v>
      </c>
      <c r="I2820" t="inlineStr">
        <is>
          <t>entidad-dia</t>
        </is>
      </c>
    </row>
    <row r="2821">
      <c r="A2821" t="inlineStr">
        <is>
          <t>PRAGMA</t>
        </is>
      </c>
      <c r="B2821" t="inlineStr">
        <is>
          <t>M1</t>
        </is>
      </c>
      <c r="C2821" t="inlineStr">
        <is>
          <t>Cali</t>
        </is>
      </c>
      <c r="D2821" t="inlineStr">
        <is>
          <t>4959</t>
        </is>
      </c>
      <c r="E2821" t="inlineStr">
        <is>
          <t>pagado</t>
        </is>
      </c>
      <c r="F2821" s="23" t="n">
        <v>46279</v>
      </c>
      <c r="G2821" s="24">
        <f>F2821-DATE(2026,8,31)</f>
        <v>14</v>
      </c>
      <c r="H2821" s="25" t="n">
        <v>74518190</v>
      </c>
      <c r="I2821" t="inlineStr">
        <is>
          <t>entidad-dia</t>
        </is>
      </c>
    </row>
    <row r="2822">
      <c r="A2822" t="inlineStr">
        <is>
          <t>PRAGMA</t>
        </is>
      </c>
      <c r="B2822" t="inlineStr">
        <is>
          <t>M1</t>
        </is>
      </c>
      <c r="C2822" t="inlineStr">
        <is>
          <t>Cali</t>
        </is>
      </c>
      <c r="D2822" t="inlineStr">
        <is>
          <t>4959</t>
        </is>
      </c>
      <c r="E2822" t="inlineStr">
        <is>
          <t>pagado</t>
        </is>
      </c>
      <c r="F2822" s="23" t="n">
        <v>46280</v>
      </c>
      <c r="G2822" s="24">
        <f>F2822-DATE(2026,8,31)</f>
        <v>15</v>
      </c>
      <c r="H2822" s="25" t="n">
        <v>116225786</v>
      </c>
      <c r="I2822" t="inlineStr">
        <is>
          <t>entidad-dia</t>
        </is>
      </c>
    </row>
    <row r="2823">
      <c r="A2823" t="inlineStr">
        <is>
          <t>PRAGMA</t>
        </is>
      </c>
      <c r="B2823" t="inlineStr">
        <is>
          <t>M1</t>
        </is>
      </c>
      <c r="C2823" t="inlineStr">
        <is>
          <t>Cali</t>
        </is>
      </c>
      <c r="D2823" t="inlineStr">
        <is>
          <t>4980</t>
        </is>
      </c>
      <c r="E2823" t="inlineStr">
        <is>
          <t>pagado</t>
        </is>
      </c>
      <c r="F2823" s="23" t="n">
        <v>46266</v>
      </c>
      <c r="G2823" s="24">
        <f>F2823-DATE(2026,8,31)</f>
        <v>1</v>
      </c>
      <c r="H2823" s="25" t="n">
        <v>161976876</v>
      </c>
      <c r="I2823" t="inlineStr">
        <is>
          <t>entidad-dia</t>
        </is>
      </c>
    </row>
    <row r="2824">
      <c r="A2824" t="inlineStr">
        <is>
          <t>PRAGMA</t>
        </is>
      </c>
      <c r="B2824" t="inlineStr">
        <is>
          <t>M1</t>
        </is>
      </c>
      <c r="C2824" t="inlineStr">
        <is>
          <t>Cali</t>
        </is>
      </c>
      <c r="D2824" t="inlineStr">
        <is>
          <t>4980</t>
        </is>
      </c>
      <c r="E2824" t="inlineStr">
        <is>
          <t>pagado</t>
        </is>
      </c>
      <c r="F2824" s="23" t="n">
        <v>46267</v>
      </c>
      <c r="G2824" s="24">
        <f>F2824-DATE(2026,8,31)</f>
        <v>2</v>
      </c>
      <c r="H2824" s="25" t="n">
        <v>103626826</v>
      </c>
      <c r="I2824" t="inlineStr">
        <is>
          <t>entidad-dia</t>
        </is>
      </c>
    </row>
    <row r="2825">
      <c r="A2825" t="inlineStr">
        <is>
          <t>PRAGMA</t>
        </is>
      </c>
      <c r="B2825" t="inlineStr">
        <is>
          <t>M1</t>
        </is>
      </c>
      <c r="C2825" t="inlineStr">
        <is>
          <t>Cali</t>
        </is>
      </c>
      <c r="D2825" t="inlineStr">
        <is>
          <t>4980</t>
        </is>
      </c>
      <c r="E2825" t="inlineStr">
        <is>
          <t>pagado</t>
        </is>
      </c>
      <c r="F2825" s="23" t="n">
        <v>46268</v>
      </c>
      <c r="G2825" s="24">
        <f>F2825-DATE(2026,8,31)</f>
        <v>3</v>
      </c>
      <c r="H2825" s="25" t="n">
        <v>83276335</v>
      </c>
      <c r="I2825" t="inlineStr">
        <is>
          <t>entidad-dia</t>
        </is>
      </c>
    </row>
    <row r="2826">
      <c r="A2826" t="inlineStr">
        <is>
          <t>PRAGMA</t>
        </is>
      </c>
      <c r="B2826" t="inlineStr">
        <is>
          <t>M1</t>
        </is>
      </c>
      <c r="C2826" t="inlineStr">
        <is>
          <t>Cali</t>
        </is>
      </c>
      <c r="D2826" t="inlineStr">
        <is>
          <t>4980</t>
        </is>
      </c>
      <c r="E2826" t="inlineStr">
        <is>
          <t>pagado</t>
        </is>
      </c>
      <c r="F2826" s="23" t="n">
        <v>46269</v>
      </c>
      <c r="G2826" s="24">
        <f>F2826-DATE(2026,8,31)</f>
        <v>4</v>
      </c>
      <c r="H2826" s="25" t="n">
        <v>102186839</v>
      </c>
      <c r="I2826" t="inlineStr">
        <is>
          <t>entidad-dia</t>
        </is>
      </c>
    </row>
    <row r="2827">
      <c r="A2827" t="inlineStr">
        <is>
          <t>PRAGMA</t>
        </is>
      </c>
      <c r="B2827" t="inlineStr">
        <is>
          <t>M1</t>
        </is>
      </c>
      <c r="C2827" t="inlineStr">
        <is>
          <t>Cali</t>
        </is>
      </c>
      <c r="D2827" t="inlineStr">
        <is>
          <t>4980</t>
        </is>
      </c>
      <c r="E2827" t="inlineStr">
        <is>
          <t>pagado</t>
        </is>
      </c>
      <c r="F2827" s="23" t="n">
        <v>46270</v>
      </c>
      <c r="G2827" s="24">
        <f>F2827-DATE(2026,8,31)</f>
        <v>5</v>
      </c>
      <c r="H2827" s="25" t="n">
        <v>104738898</v>
      </c>
      <c r="I2827" t="inlineStr">
        <is>
          <t>entidad-dia</t>
        </is>
      </c>
    </row>
    <row r="2828">
      <c r="A2828" t="inlineStr">
        <is>
          <t>PRAGMA</t>
        </is>
      </c>
      <c r="B2828" t="inlineStr">
        <is>
          <t>M1</t>
        </is>
      </c>
      <c r="C2828" t="inlineStr">
        <is>
          <t>Cali</t>
        </is>
      </c>
      <c r="D2828" t="inlineStr">
        <is>
          <t>4980</t>
        </is>
      </c>
      <c r="E2828" t="inlineStr">
        <is>
          <t>pagado</t>
        </is>
      </c>
      <c r="F2828" s="23" t="n">
        <v>46271</v>
      </c>
      <c r="G2828" s="24">
        <f>F2828-DATE(2026,8,31)</f>
        <v>6</v>
      </c>
      <c r="H2828" s="25" t="n">
        <v>59885710</v>
      </c>
      <c r="I2828" t="inlineStr">
        <is>
          <t>entidad-dia</t>
        </is>
      </c>
    </row>
    <row r="2829">
      <c r="A2829" t="inlineStr">
        <is>
          <t>PRAGMA</t>
        </is>
      </c>
      <c r="B2829" t="inlineStr">
        <is>
          <t>M1</t>
        </is>
      </c>
      <c r="C2829" t="inlineStr">
        <is>
          <t>Cali</t>
        </is>
      </c>
      <c r="D2829" t="inlineStr">
        <is>
          <t>4980</t>
        </is>
      </c>
      <c r="E2829" t="inlineStr">
        <is>
          <t>pagado</t>
        </is>
      </c>
      <c r="F2829" s="23" t="n">
        <v>46272</v>
      </c>
      <c r="G2829" s="24">
        <f>F2829-DATE(2026,8,31)</f>
        <v>7</v>
      </c>
      <c r="H2829" s="25" t="n">
        <v>70887875</v>
      </c>
      <c r="I2829" t="inlineStr">
        <is>
          <t>entidad-dia</t>
        </is>
      </c>
    </row>
    <row r="2830">
      <c r="A2830" t="inlineStr">
        <is>
          <t>PRAGMA</t>
        </is>
      </c>
      <c r="B2830" t="inlineStr">
        <is>
          <t>M1</t>
        </is>
      </c>
      <c r="C2830" t="inlineStr">
        <is>
          <t>Cali</t>
        </is>
      </c>
      <c r="D2830" t="inlineStr">
        <is>
          <t>4980</t>
        </is>
      </c>
      <c r="E2830" t="inlineStr">
        <is>
          <t>pagado</t>
        </is>
      </c>
      <c r="F2830" s="23" t="n">
        <v>46273</v>
      </c>
      <c r="G2830" s="24">
        <f>F2830-DATE(2026,8,31)</f>
        <v>8</v>
      </c>
      <c r="H2830" s="25" t="n">
        <v>62128453</v>
      </c>
      <c r="I2830" t="inlineStr">
        <is>
          <t>entidad-dia</t>
        </is>
      </c>
    </row>
    <row r="2831">
      <c r="A2831" t="inlineStr">
        <is>
          <t>PRAGMA</t>
        </is>
      </c>
      <c r="B2831" t="inlineStr">
        <is>
          <t>M1</t>
        </is>
      </c>
      <c r="C2831" t="inlineStr">
        <is>
          <t>Cali</t>
        </is>
      </c>
      <c r="D2831" t="inlineStr">
        <is>
          <t>4980</t>
        </is>
      </c>
      <c r="E2831" t="inlineStr">
        <is>
          <t>pagado</t>
        </is>
      </c>
      <c r="F2831" s="23" t="n">
        <v>46274</v>
      </c>
      <c r="G2831" s="24">
        <f>F2831-DATE(2026,8,31)</f>
        <v>9</v>
      </c>
      <c r="H2831" s="25" t="n">
        <v>61501061</v>
      </c>
      <c r="I2831" t="inlineStr">
        <is>
          <t>entidad-dia</t>
        </is>
      </c>
    </row>
    <row r="2832">
      <c r="A2832" t="inlineStr">
        <is>
          <t>PRAGMA</t>
        </is>
      </c>
      <c r="B2832" t="inlineStr">
        <is>
          <t>M1</t>
        </is>
      </c>
      <c r="C2832" t="inlineStr">
        <is>
          <t>Cali</t>
        </is>
      </c>
      <c r="D2832" t="inlineStr">
        <is>
          <t>4980</t>
        </is>
      </c>
      <c r="E2832" t="inlineStr">
        <is>
          <t>pagado</t>
        </is>
      </c>
      <c r="F2832" s="23" t="n">
        <v>46275</v>
      </c>
      <c r="G2832" s="24">
        <f>F2832-DATE(2026,8,31)</f>
        <v>10</v>
      </c>
      <c r="H2832" s="25" t="n">
        <v>54160351</v>
      </c>
      <c r="I2832" t="inlineStr">
        <is>
          <t>entidad-dia</t>
        </is>
      </c>
    </row>
    <row r="2833">
      <c r="A2833" t="inlineStr">
        <is>
          <t>PRAGMA</t>
        </is>
      </c>
      <c r="B2833" t="inlineStr">
        <is>
          <t>M1</t>
        </is>
      </c>
      <c r="C2833" t="inlineStr">
        <is>
          <t>Cali</t>
        </is>
      </c>
      <c r="D2833" t="inlineStr">
        <is>
          <t>4980</t>
        </is>
      </c>
      <c r="E2833" t="inlineStr">
        <is>
          <t>pagado</t>
        </is>
      </c>
      <c r="F2833" s="23" t="n">
        <v>46276</v>
      </c>
      <c r="G2833" s="24">
        <f>F2833-DATE(2026,8,31)</f>
        <v>11</v>
      </c>
      <c r="H2833" s="25" t="n">
        <v>65171073</v>
      </c>
      <c r="I2833" t="inlineStr">
        <is>
          <t>entidad-dia</t>
        </is>
      </c>
    </row>
    <row r="2834">
      <c r="A2834" t="inlineStr">
        <is>
          <t>PRAGMA</t>
        </is>
      </c>
      <c r="B2834" t="inlineStr">
        <is>
          <t>M1</t>
        </is>
      </c>
      <c r="C2834" t="inlineStr">
        <is>
          <t>Cali</t>
        </is>
      </c>
      <c r="D2834" t="inlineStr">
        <is>
          <t>4980</t>
        </is>
      </c>
      <c r="E2834" t="inlineStr">
        <is>
          <t>pagado</t>
        </is>
      </c>
      <c r="F2834" s="23" t="n">
        <v>46277</v>
      </c>
      <c r="G2834" s="24">
        <f>F2834-DATE(2026,8,31)</f>
        <v>12</v>
      </c>
      <c r="H2834" s="25" t="n">
        <v>77735511</v>
      </c>
      <c r="I2834" t="inlineStr">
        <is>
          <t>entidad-dia</t>
        </is>
      </c>
    </row>
    <row r="2835">
      <c r="A2835" t="inlineStr">
        <is>
          <t>PRAGMA</t>
        </is>
      </c>
      <c r="B2835" t="inlineStr">
        <is>
          <t>M1</t>
        </is>
      </c>
      <c r="C2835" t="inlineStr">
        <is>
          <t>Cali</t>
        </is>
      </c>
      <c r="D2835" t="inlineStr">
        <is>
          <t>4980</t>
        </is>
      </c>
      <c r="E2835" t="inlineStr">
        <is>
          <t>pagado</t>
        </is>
      </c>
      <c r="F2835" s="23" t="n">
        <v>46278</v>
      </c>
      <c r="G2835" s="24">
        <f>F2835-DATE(2026,8,31)</f>
        <v>13</v>
      </c>
      <c r="H2835" s="25" t="n">
        <v>50276299</v>
      </c>
      <c r="I2835" t="inlineStr">
        <is>
          <t>entidad-dia</t>
        </is>
      </c>
    </row>
    <row r="2836">
      <c r="A2836" t="inlineStr">
        <is>
          <t>PRAGMA</t>
        </is>
      </c>
      <c r="B2836" t="inlineStr">
        <is>
          <t>M1</t>
        </is>
      </c>
      <c r="C2836" t="inlineStr">
        <is>
          <t>Cali</t>
        </is>
      </c>
      <c r="D2836" t="inlineStr">
        <is>
          <t>4980</t>
        </is>
      </c>
      <c r="E2836" t="inlineStr">
        <is>
          <t>pagado</t>
        </is>
      </c>
      <c r="F2836" s="23" t="n">
        <v>46279</v>
      </c>
      <c r="G2836" s="24">
        <f>F2836-DATE(2026,8,31)</f>
        <v>14</v>
      </c>
      <c r="H2836" s="25" t="n">
        <v>76297565</v>
      </c>
      <c r="I2836" t="inlineStr">
        <is>
          <t>entidad-dia</t>
        </is>
      </c>
    </row>
    <row r="2837">
      <c r="A2837" t="inlineStr">
        <is>
          <t>PRAGMA</t>
        </is>
      </c>
      <c r="B2837" t="inlineStr">
        <is>
          <t>M1</t>
        </is>
      </c>
      <c r="C2837" t="inlineStr">
        <is>
          <t>Cali</t>
        </is>
      </c>
      <c r="D2837" t="inlineStr">
        <is>
          <t>4980</t>
        </is>
      </c>
      <c r="E2837" t="inlineStr">
        <is>
          <t>pagado</t>
        </is>
      </c>
      <c r="F2837" s="23" t="n">
        <v>46280</v>
      </c>
      <c r="G2837" s="24">
        <f>F2837-DATE(2026,8,31)</f>
        <v>15</v>
      </c>
      <c r="H2837" s="25" t="n">
        <v>117819746</v>
      </c>
      <c r="I2837" t="inlineStr">
        <is>
          <t>entidad-dia</t>
        </is>
      </c>
    </row>
    <row r="2838">
      <c r="A2838" t="inlineStr">
        <is>
          <t>PRAGMA</t>
        </is>
      </c>
      <c r="B2838" t="inlineStr">
        <is>
          <t>M1</t>
        </is>
      </c>
      <c r="C2838" t="inlineStr">
        <is>
          <t>Cali</t>
        </is>
      </c>
      <c r="D2838" t="inlineStr">
        <is>
          <t>4995</t>
        </is>
      </c>
      <c r="E2838" t="inlineStr">
        <is>
          <t>pagado</t>
        </is>
      </c>
      <c r="F2838" s="23" t="n">
        <v>46266</v>
      </c>
      <c r="G2838" s="24">
        <f>F2838-DATE(2026,8,31)</f>
        <v>1</v>
      </c>
      <c r="H2838" s="25" t="n">
        <v>178971270</v>
      </c>
      <c r="I2838" t="inlineStr">
        <is>
          <t>entidad-dia</t>
        </is>
      </c>
    </row>
    <row r="2839">
      <c r="A2839" t="inlineStr">
        <is>
          <t>PRAGMA</t>
        </is>
      </c>
      <c r="B2839" t="inlineStr">
        <is>
          <t>M1</t>
        </is>
      </c>
      <c r="C2839" t="inlineStr">
        <is>
          <t>Cali</t>
        </is>
      </c>
      <c r="D2839" t="inlineStr">
        <is>
          <t>4995</t>
        </is>
      </c>
      <c r="E2839" t="inlineStr">
        <is>
          <t>pagado</t>
        </is>
      </c>
      <c r="F2839" s="23" t="n">
        <v>46267</v>
      </c>
      <c r="G2839" s="24">
        <f>F2839-DATE(2026,8,31)</f>
        <v>2</v>
      </c>
      <c r="H2839" s="25" t="n">
        <v>132244622</v>
      </c>
      <c r="I2839" t="inlineStr">
        <is>
          <t>entidad-dia</t>
        </is>
      </c>
    </row>
    <row r="2840">
      <c r="A2840" t="inlineStr">
        <is>
          <t>PRAGMA</t>
        </is>
      </c>
      <c r="B2840" t="inlineStr">
        <is>
          <t>M1</t>
        </is>
      </c>
      <c r="C2840" t="inlineStr">
        <is>
          <t>Cali</t>
        </is>
      </c>
      <c r="D2840" t="inlineStr">
        <is>
          <t>4995</t>
        </is>
      </c>
      <c r="E2840" t="inlineStr">
        <is>
          <t>pagado</t>
        </is>
      </c>
      <c r="F2840" s="23" t="n">
        <v>46268</v>
      </c>
      <c r="G2840" s="24">
        <f>F2840-DATE(2026,8,31)</f>
        <v>3</v>
      </c>
      <c r="H2840" s="25" t="n">
        <v>123711369</v>
      </c>
      <c r="I2840" t="inlineStr">
        <is>
          <t>entidad-dia</t>
        </is>
      </c>
    </row>
    <row r="2841">
      <c r="A2841" t="inlineStr">
        <is>
          <t>PRAGMA</t>
        </is>
      </c>
      <c r="B2841" t="inlineStr">
        <is>
          <t>M1</t>
        </is>
      </c>
      <c r="C2841" t="inlineStr">
        <is>
          <t>Cali</t>
        </is>
      </c>
      <c r="D2841" t="inlineStr">
        <is>
          <t>4995</t>
        </is>
      </c>
      <c r="E2841" t="inlineStr">
        <is>
          <t>pagado</t>
        </is>
      </c>
      <c r="F2841" s="23" t="n">
        <v>46269</v>
      </c>
      <c r="G2841" s="24">
        <f>F2841-DATE(2026,8,31)</f>
        <v>4</v>
      </c>
      <c r="H2841" s="25" t="n">
        <v>128157508</v>
      </c>
      <c r="I2841" t="inlineStr">
        <is>
          <t>entidad-dia</t>
        </is>
      </c>
    </row>
    <row r="2842">
      <c r="A2842" t="inlineStr">
        <is>
          <t>PRAGMA</t>
        </is>
      </c>
      <c r="B2842" t="inlineStr">
        <is>
          <t>M1</t>
        </is>
      </c>
      <c r="C2842" t="inlineStr">
        <is>
          <t>Cali</t>
        </is>
      </c>
      <c r="D2842" t="inlineStr">
        <is>
          <t>4995</t>
        </is>
      </c>
      <c r="E2842" t="inlineStr">
        <is>
          <t>pagado</t>
        </is>
      </c>
      <c r="F2842" s="23" t="n">
        <v>46270</v>
      </c>
      <c r="G2842" s="24">
        <f>F2842-DATE(2026,8,31)</f>
        <v>5</v>
      </c>
      <c r="H2842" s="25" t="n">
        <v>137856953</v>
      </c>
      <c r="I2842" t="inlineStr">
        <is>
          <t>entidad-dia</t>
        </is>
      </c>
    </row>
    <row r="2843">
      <c r="A2843" t="inlineStr">
        <is>
          <t>PRAGMA</t>
        </is>
      </c>
      <c r="B2843" t="inlineStr">
        <is>
          <t>M1</t>
        </is>
      </c>
      <c r="C2843" t="inlineStr">
        <is>
          <t>Cali</t>
        </is>
      </c>
      <c r="D2843" t="inlineStr">
        <is>
          <t>4995</t>
        </is>
      </c>
      <c r="E2843" t="inlineStr">
        <is>
          <t>pagado</t>
        </is>
      </c>
      <c r="F2843" s="23" t="n">
        <v>46271</v>
      </c>
      <c r="G2843" s="24">
        <f>F2843-DATE(2026,8,31)</f>
        <v>6</v>
      </c>
      <c r="H2843" s="25" t="n">
        <v>87666214</v>
      </c>
      <c r="I2843" t="inlineStr">
        <is>
          <t>entidad-dia</t>
        </is>
      </c>
    </row>
    <row r="2844">
      <c r="A2844" t="inlineStr">
        <is>
          <t>PRAGMA</t>
        </is>
      </c>
      <c r="B2844" t="inlineStr">
        <is>
          <t>M1</t>
        </is>
      </c>
      <c r="C2844" t="inlineStr">
        <is>
          <t>Cali</t>
        </is>
      </c>
      <c r="D2844" t="inlineStr">
        <is>
          <t>4995</t>
        </is>
      </c>
      <c r="E2844" t="inlineStr">
        <is>
          <t>pagado</t>
        </is>
      </c>
      <c r="F2844" s="23" t="n">
        <v>46272</v>
      </c>
      <c r="G2844" s="24">
        <f>F2844-DATE(2026,8,31)</f>
        <v>7</v>
      </c>
      <c r="H2844" s="25" t="n">
        <v>94397656</v>
      </c>
      <c r="I2844" t="inlineStr">
        <is>
          <t>entidad-dia</t>
        </is>
      </c>
    </row>
    <row r="2845">
      <c r="A2845" t="inlineStr">
        <is>
          <t>PRAGMA</t>
        </is>
      </c>
      <c r="B2845" t="inlineStr">
        <is>
          <t>M1</t>
        </is>
      </c>
      <c r="C2845" t="inlineStr">
        <is>
          <t>Cali</t>
        </is>
      </c>
      <c r="D2845" t="inlineStr">
        <is>
          <t>4995</t>
        </is>
      </c>
      <c r="E2845" t="inlineStr">
        <is>
          <t>pagado</t>
        </is>
      </c>
      <c r="F2845" s="23" t="n">
        <v>46273</v>
      </c>
      <c r="G2845" s="24">
        <f>F2845-DATE(2026,8,31)</f>
        <v>8</v>
      </c>
      <c r="H2845" s="25" t="n">
        <v>89124564</v>
      </c>
      <c r="I2845" t="inlineStr">
        <is>
          <t>entidad-dia</t>
        </is>
      </c>
    </row>
    <row r="2846">
      <c r="A2846" t="inlineStr">
        <is>
          <t>PRAGMA</t>
        </is>
      </c>
      <c r="B2846" t="inlineStr">
        <is>
          <t>M1</t>
        </is>
      </c>
      <c r="C2846" t="inlineStr">
        <is>
          <t>Cali</t>
        </is>
      </c>
      <c r="D2846" t="inlineStr">
        <is>
          <t>4995</t>
        </is>
      </c>
      <c r="E2846" t="inlineStr">
        <is>
          <t>pagado</t>
        </is>
      </c>
      <c r="F2846" s="23" t="n">
        <v>46274</v>
      </c>
      <c r="G2846" s="24">
        <f>F2846-DATE(2026,8,31)</f>
        <v>9</v>
      </c>
      <c r="H2846" s="25" t="n">
        <v>91937426</v>
      </c>
      <c r="I2846" t="inlineStr">
        <is>
          <t>entidad-dia</t>
        </is>
      </c>
    </row>
    <row r="2847">
      <c r="A2847" t="inlineStr">
        <is>
          <t>PRAGMA</t>
        </is>
      </c>
      <c r="B2847" t="inlineStr">
        <is>
          <t>M1</t>
        </is>
      </c>
      <c r="C2847" t="inlineStr">
        <is>
          <t>Cali</t>
        </is>
      </c>
      <c r="D2847" t="inlineStr">
        <is>
          <t>4995</t>
        </is>
      </c>
      <c r="E2847" t="inlineStr">
        <is>
          <t>pagado</t>
        </is>
      </c>
      <c r="F2847" s="23" t="n">
        <v>46275</v>
      </c>
      <c r="G2847" s="24">
        <f>F2847-DATE(2026,8,31)</f>
        <v>10</v>
      </c>
      <c r="H2847" s="25" t="n">
        <v>83001609</v>
      </c>
      <c r="I2847" t="inlineStr">
        <is>
          <t>entidad-dia</t>
        </is>
      </c>
    </row>
    <row r="2848">
      <c r="A2848" t="inlineStr">
        <is>
          <t>PRAGMA</t>
        </is>
      </c>
      <c r="B2848" t="inlineStr">
        <is>
          <t>M1</t>
        </is>
      </c>
      <c r="C2848" t="inlineStr">
        <is>
          <t>Cali</t>
        </is>
      </c>
      <c r="D2848" t="inlineStr">
        <is>
          <t>4995</t>
        </is>
      </c>
      <c r="E2848" t="inlineStr">
        <is>
          <t>pagado</t>
        </is>
      </c>
      <c r="F2848" s="23" t="n">
        <v>46276</v>
      </c>
      <c r="G2848" s="24">
        <f>F2848-DATE(2026,8,31)</f>
        <v>11</v>
      </c>
      <c r="H2848" s="25" t="n">
        <v>99559127</v>
      </c>
      <c r="I2848" t="inlineStr">
        <is>
          <t>entidad-dia</t>
        </is>
      </c>
    </row>
    <row r="2849">
      <c r="A2849" t="inlineStr">
        <is>
          <t>PRAGMA</t>
        </is>
      </c>
      <c r="B2849" t="inlineStr">
        <is>
          <t>M1</t>
        </is>
      </c>
      <c r="C2849" t="inlineStr">
        <is>
          <t>Cali</t>
        </is>
      </c>
      <c r="D2849" t="inlineStr">
        <is>
          <t>4995</t>
        </is>
      </c>
      <c r="E2849" t="inlineStr">
        <is>
          <t>pagado</t>
        </is>
      </c>
      <c r="F2849" s="23" t="n">
        <v>46277</v>
      </c>
      <c r="G2849" s="24">
        <f>F2849-DATE(2026,8,31)</f>
        <v>12</v>
      </c>
      <c r="H2849" s="25" t="n">
        <v>110763415</v>
      </c>
      <c r="I2849" t="inlineStr">
        <is>
          <t>entidad-dia</t>
        </is>
      </c>
    </row>
    <row r="2850">
      <c r="A2850" t="inlineStr">
        <is>
          <t>PRAGMA</t>
        </is>
      </c>
      <c r="B2850" t="inlineStr">
        <is>
          <t>M1</t>
        </is>
      </c>
      <c r="C2850" t="inlineStr">
        <is>
          <t>Cali</t>
        </is>
      </c>
      <c r="D2850" t="inlineStr">
        <is>
          <t>4995</t>
        </is>
      </c>
      <c r="E2850" t="inlineStr">
        <is>
          <t>pagado</t>
        </is>
      </c>
      <c r="F2850" s="23" t="n">
        <v>46278</v>
      </c>
      <c r="G2850" s="24">
        <f>F2850-DATE(2026,8,31)</f>
        <v>13</v>
      </c>
      <c r="H2850" s="25" t="n">
        <v>67016944</v>
      </c>
      <c r="I2850" t="inlineStr">
        <is>
          <t>entidad-dia</t>
        </is>
      </c>
    </row>
    <row r="2851">
      <c r="A2851" t="inlineStr">
        <is>
          <t>PRAGMA</t>
        </is>
      </c>
      <c r="B2851" t="inlineStr">
        <is>
          <t>M1</t>
        </is>
      </c>
      <c r="C2851" t="inlineStr">
        <is>
          <t>Cali</t>
        </is>
      </c>
      <c r="D2851" t="inlineStr">
        <is>
          <t>4995</t>
        </is>
      </c>
      <c r="E2851" t="inlineStr">
        <is>
          <t>pagado</t>
        </is>
      </c>
      <c r="F2851" s="23" t="n">
        <v>46279</v>
      </c>
      <c r="G2851" s="24">
        <f>F2851-DATE(2026,8,31)</f>
        <v>14</v>
      </c>
      <c r="H2851" s="25" t="n">
        <v>84931817</v>
      </c>
      <c r="I2851" t="inlineStr">
        <is>
          <t>entidad-dia</t>
        </is>
      </c>
    </row>
    <row r="2852">
      <c r="A2852" t="inlineStr">
        <is>
          <t>PRAGMA</t>
        </is>
      </c>
      <c r="B2852" t="inlineStr">
        <is>
          <t>M1</t>
        </is>
      </c>
      <c r="C2852" t="inlineStr">
        <is>
          <t>Cali</t>
        </is>
      </c>
      <c r="D2852" t="inlineStr">
        <is>
          <t>4995</t>
        </is>
      </c>
      <c r="E2852" t="inlineStr">
        <is>
          <t>pagado</t>
        </is>
      </c>
      <c r="F2852" s="23" t="n">
        <v>46280</v>
      </c>
      <c r="G2852" s="24">
        <f>F2852-DATE(2026,8,31)</f>
        <v>15</v>
      </c>
      <c r="H2852" s="25" t="n">
        <v>128090722</v>
      </c>
      <c r="I2852" t="inlineStr">
        <is>
          <t>entidad-dia</t>
        </is>
      </c>
    </row>
    <row r="2853">
      <c r="A2853" t="inlineStr">
        <is>
          <t>PRAGMA</t>
        </is>
      </c>
      <c r="B2853" t="inlineStr">
        <is>
          <t>M1</t>
        </is>
      </c>
      <c r="C2853" t="inlineStr">
        <is>
          <t>Cali</t>
        </is>
      </c>
      <c r="D2853" t="inlineStr">
        <is>
          <t>5256</t>
        </is>
      </c>
      <c r="E2853" t="inlineStr">
        <is>
          <t>pagado</t>
        </is>
      </c>
      <c r="F2853" s="23" t="n">
        <v>46266</v>
      </c>
      <c r="G2853" s="24">
        <f>F2853-DATE(2026,8,31)</f>
        <v>1</v>
      </c>
      <c r="H2853" s="25" t="n">
        <v>17261723</v>
      </c>
      <c r="I2853" t="inlineStr">
        <is>
          <t>entidad-dia</t>
        </is>
      </c>
    </row>
    <row r="2854">
      <c r="A2854" t="inlineStr">
        <is>
          <t>PRAGMA</t>
        </is>
      </c>
      <c r="B2854" t="inlineStr">
        <is>
          <t>M1</t>
        </is>
      </c>
      <c r="C2854" t="inlineStr">
        <is>
          <t>Cali</t>
        </is>
      </c>
      <c r="D2854" t="inlineStr">
        <is>
          <t>5256</t>
        </is>
      </c>
      <c r="E2854" t="inlineStr">
        <is>
          <t>pagado</t>
        </is>
      </c>
      <c r="F2854" s="23" t="n">
        <v>46267</v>
      </c>
      <c r="G2854" s="24">
        <f>F2854-DATE(2026,8,31)</f>
        <v>2</v>
      </c>
      <c r="H2854" s="25" t="n">
        <v>15786164</v>
      </c>
      <c r="I2854" t="inlineStr">
        <is>
          <t>entidad-dia</t>
        </is>
      </c>
    </row>
    <row r="2855">
      <c r="A2855" t="inlineStr">
        <is>
          <t>PRAGMA</t>
        </is>
      </c>
      <c r="B2855" t="inlineStr">
        <is>
          <t>M1</t>
        </is>
      </c>
      <c r="C2855" t="inlineStr">
        <is>
          <t>Cali</t>
        </is>
      </c>
      <c r="D2855" t="inlineStr">
        <is>
          <t>5256</t>
        </is>
      </c>
      <c r="E2855" t="inlineStr">
        <is>
          <t>pagado</t>
        </is>
      </c>
      <c r="F2855" s="23" t="n">
        <v>46268</v>
      </c>
      <c r="G2855" s="24">
        <f>F2855-DATE(2026,8,31)</f>
        <v>3</v>
      </c>
      <c r="H2855" s="25" t="n">
        <v>14478830</v>
      </c>
      <c r="I2855" t="inlineStr">
        <is>
          <t>entidad-dia</t>
        </is>
      </c>
    </row>
    <row r="2856">
      <c r="A2856" t="inlineStr">
        <is>
          <t>PRAGMA</t>
        </is>
      </c>
      <c r="B2856" t="inlineStr">
        <is>
          <t>M1</t>
        </is>
      </c>
      <c r="C2856" t="inlineStr">
        <is>
          <t>Cali</t>
        </is>
      </c>
      <c r="D2856" t="inlineStr">
        <is>
          <t>5256</t>
        </is>
      </c>
      <c r="E2856" t="inlineStr">
        <is>
          <t>pagado</t>
        </is>
      </c>
      <c r="F2856" s="23" t="n">
        <v>46269</v>
      </c>
      <c r="G2856" s="24">
        <f>F2856-DATE(2026,8,31)</f>
        <v>4</v>
      </c>
      <c r="H2856" s="25" t="n">
        <v>17532722</v>
      </c>
      <c r="I2856" t="inlineStr">
        <is>
          <t>entidad-dia</t>
        </is>
      </c>
    </row>
    <row r="2857">
      <c r="A2857" t="inlineStr">
        <is>
          <t>PRAGMA</t>
        </is>
      </c>
      <c r="B2857" t="inlineStr">
        <is>
          <t>M1</t>
        </is>
      </c>
      <c r="C2857" t="inlineStr">
        <is>
          <t>Cali</t>
        </is>
      </c>
      <c r="D2857" t="inlineStr">
        <is>
          <t>5256</t>
        </is>
      </c>
      <c r="E2857" t="inlineStr">
        <is>
          <t>pagado</t>
        </is>
      </c>
      <c r="F2857" s="23" t="n">
        <v>46270</v>
      </c>
      <c r="G2857" s="24">
        <f>F2857-DATE(2026,8,31)</f>
        <v>5</v>
      </c>
      <c r="H2857" s="25" t="n">
        <v>13121452</v>
      </c>
      <c r="I2857" t="inlineStr">
        <is>
          <t>entidad-dia</t>
        </is>
      </c>
    </row>
    <row r="2858">
      <c r="A2858" t="inlineStr">
        <is>
          <t>PRAGMA</t>
        </is>
      </c>
      <c r="B2858" t="inlineStr">
        <is>
          <t>M1</t>
        </is>
      </c>
      <c r="C2858" t="inlineStr">
        <is>
          <t>Cali</t>
        </is>
      </c>
      <c r="D2858" t="inlineStr">
        <is>
          <t>5256</t>
        </is>
      </c>
      <c r="E2858" t="inlineStr">
        <is>
          <t>pagado</t>
        </is>
      </c>
      <c r="F2858" s="23" t="n">
        <v>46271</v>
      </c>
      <c r="G2858" s="24">
        <f>F2858-DATE(2026,8,31)</f>
        <v>6</v>
      </c>
      <c r="H2858" s="25" t="n">
        <v>5499866</v>
      </c>
      <c r="I2858" t="inlineStr">
        <is>
          <t>entidad-dia</t>
        </is>
      </c>
    </row>
    <row r="2859">
      <c r="A2859" t="inlineStr">
        <is>
          <t>PRAGMA</t>
        </is>
      </c>
      <c r="B2859" t="inlineStr">
        <is>
          <t>M1</t>
        </is>
      </c>
      <c r="C2859" t="inlineStr">
        <is>
          <t>Cali</t>
        </is>
      </c>
      <c r="D2859" t="inlineStr">
        <is>
          <t>5256</t>
        </is>
      </c>
      <c r="E2859" t="inlineStr">
        <is>
          <t>pagado</t>
        </is>
      </c>
      <c r="F2859" s="23" t="n">
        <v>46272</v>
      </c>
      <c r="G2859" s="24">
        <f>F2859-DATE(2026,8,31)</f>
        <v>7</v>
      </c>
      <c r="H2859" s="25" t="n">
        <v>10811562</v>
      </c>
      <c r="I2859" t="inlineStr">
        <is>
          <t>entidad-dia</t>
        </is>
      </c>
    </row>
    <row r="2860">
      <c r="A2860" t="inlineStr">
        <is>
          <t>PRAGMA</t>
        </is>
      </c>
      <c r="B2860" t="inlineStr">
        <is>
          <t>M1</t>
        </is>
      </c>
      <c r="C2860" t="inlineStr">
        <is>
          <t>Cali</t>
        </is>
      </c>
      <c r="D2860" t="inlineStr">
        <is>
          <t>5256</t>
        </is>
      </c>
      <c r="E2860" t="inlineStr">
        <is>
          <t>pagado</t>
        </is>
      </c>
      <c r="F2860" s="23" t="n">
        <v>46273</v>
      </c>
      <c r="G2860" s="24">
        <f>F2860-DATE(2026,8,31)</f>
        <v>8</v>
      </c>
      <c r="H2860" s="25" t="n">
        <v>11270412</v>
      </c>
      <c r="I2860" t="inlineStr">
        <is>
          <t>entidad-dia</t>
        </is>
      </c>
    </row>
    <row r="2861">
      <c r="A2861" t="inlineStr">
        <is>
          <t>PRAGMA</t>
        </is>
      </c>
      <c r="B2861" t="inlineStr">
        <is>
          <t>M1</t>
        </is>
      </c>
      <c r="C2861" t="inlineStr">
        <is>
          <t>Cali</t>
        </is>
      </c>
      <c r="D2861" t="inlineStr">
        <is>
          <t>5256</t>
        </is>
      </c>
      <c r="E2861" t="inlineStr">
        <is>
          <t>pagado</t>
        </is>
      </c>
      <c r="F2861" s="23" t="n">
        <v>46274</v>
      </c>
      <c r="G2861" s="24">
        <f>F2861-DATE(2026,8,31)</f>
        <v>9</v>
      </c>
      <c r="H2861" s="25" t="n">
        <v>10453262</v>
      </c>
      <c r="I2861" t="inlineStr">
        <is>
          <t>entidad-dia</t>
        </is>
      </c>
    </row>
    <row r="2862">
      <c r="A2862" t="inlineStr">
        <is>
          <t>PRAGMA</t>
        </is>
      </c>
      <c r="B2862" t="inlineStr">
        <is>
          <t>M1</t>
        </is>
      </c>
      <c r="C2862" t="inlineStr">
        <is>
          <t>Cali</t>
        </is>
      </c>
      <c r="D2862" t="inlineStr">
        <is>
          <t>5256</t>
        </is>
      </c>
      <c r="E2862" t="inlineStr">
        <is>
          <t>pagado</t>
        </is>
      </c>
      <c r="F2862" s="23" t="n">
        <v>46275</v>
      </c>
      <c r="G2862" s="24">
        <f>F2862-DATE(2026,8,31)</f>
        <v>10</v>
      </c>
      <c r="H2862" s="25" t="n">
        <v>13770603</v>
      </c>
      <c r="I2862" t="inlineStr">
        <is>
          <t>entidad-dia</t>
        </is>
      </c>
    </row>
    <row r="2863">
      <c r="A2863" t="inlineStr">
        <is>
          <t>PRAGMA</t>
        </is>
      </c>
      <c r="B2863" t="inlineStr">
        <is>
          <t>M1</t>
        </is>
      </c>
      <c r="C2863" t="inlineStr">
        <is>
          <t>Cali</t>
        </is>
      </c>
      <c r="D2863" t="inlineStr">
        <is>
          <t>5256</t>
        </is>
      </c>
      <c r="E2863" t="inlineStr">
        <is>
          <t>pagado</t>
        </is>
      </c>
      <c r="F2863" s="23" t="n">
        <v>46276</v>
      </c>
      <c r="G2863" s="24">
        <f>F2863-DATE(2026,8,31)</f>
        <v>11</v>
      </c>
      <c r="H2863" s="25" t="n">
        <v>14452634</v>
      </c>
      <c r="I2863" t="inlineStr">
        <is>
          <t>entidad-dia</t>
        </is>
      </c>
    </row>
    <row r="2864">
      <c r="A2864" t="inlineStr">
        <is>
          <t>PRAGMA</t>
        </is>
      </c>
      <c r="B2864" t="inlineStr">
        <is>
          <t>M1</t>
        </is>
      </c>
      <c r="C2864" t="inlineStr">
        <is>
          <t>Cali</t>
        </is>
      </c>
      <c r="D2864" t="inlineStr">
        <is>
          <t>5256</t>
        </is>
      </c>
      <c r="E2864" t="inlineStr">
        <is>
          <t>pagado</t>
        </is>
      </c>
      <c r="F2864" s="23" t="n">
        <v>46277</v>
      </c>
      <c r="G2864" s="24">
        <f>F2864-DATE(2026,8,31)</f>
        <v>12</v>
      </c>
      <c r="H2864" s="25" t="n">
        <v>15388928</v>
      </c>
      <c r="I2864" t="inlineStr">
        <is>
          <t>entidad-dia</t>
        </is>
      </c>
    </row>
    <row r="2865">
      <c r="A2865" t="inlineStr">
        <is>
          <t>PRAGMA</t>
        </is>
      </c>
      <c r="B2865" t="inlineStr">
        <is>
          <t>M1</t>
        </is>
      </c>
      <c r="C2865" t="inlineStr">
        <is>
          <t>Cali</t>
        </is>
      </c>
      <c r="D2865" t="inlineStr">
        <is>
          <t>5256</t>
        </is>
      </c>
      <c r="E2865" t="inlineStr">
        <is>
          <t>pagado</t>
        </is>
      </c>
      <c r="F2865" s="23" t="n">
        <v>46278</v>
      </c>
      <c r="G2865" s="24">
        <f>F2865-DATE(2026,8,31)</f>
        <v>13</v>
      </c>
      <c r="H2865" s="25" t="n">
        <v>4152895</v>
      </c>
      <c r="I2865" t="inlineStr">
        <is>
          <t>entidad-dia</t>
        </is>
      </c>
    </row>
    <row r="2866">
      <c r="A2866" t="inlineStr">
        <is>
          <t>PRAGMA</t>
        </is>
      </c>
      <c r="B2866" t="inlineStr">
        <is>
          <t>M1</t>
        </is>
      </c>
      <c r="C2866" t="inlineStr">
        <is>
          <t>Cali</t>
        </is>
      </c>
      <c r="D2866" t="inlineStr">
        <is>
          <t>5256</t>
        </is>
      </c>
      <c r="E2866" t="inlineStr">
        <is>
          <t>pagado</t>
        </is>
      </c>
      <c r="F2866" s="23" t="n">
        <v>46279</v>
      </c>
      <c r="G2866" s="24">
        <f>F2866-DATE(2026,8,31)</f>
        <v>14</v>
      </c>
      <c r="H2866" s="25" t="n">
        <v>9769983</v>
      </c>
      <c r="I2866" t="inlineStr">
        <is>
          <t>entidad-dia</t>
        </is>
      </c>
    </row>
    <row r="2867">
      <c r="A2867" t="inlineStr">
        <is>
          <t>PRAGMA</t>
        </is>
      </c>
      <c r="B2867" t="inlineStr">
        <is>
          <t>M1</t>
        </is>
      </c>
      <c r="C2867" t="inlineStr">
        <is>
          <t>Cali</t>
        </is>
      </c>
      <c r="D2867" t="inlineStr">
        <is>
          <t>5256</t>
        </is>
      </c>
      <c r="E2867" t="inlineStr">
        <is>
          <t>pagado</t>
        </is>
      </c>
      <c r="F2867" s="23" t="n">
        <v>46280</v>
      </c>
      <c r="G2867" s="24">
        <f>F2867-DATE(2026,8,31)</f>
        <v>15</v>
      </c>
      <c r="H2867" s="25" t="n">
        <v>19758118</v>
      </c>
      <c r="I2867" t="inlineStr">
        <is>
          <t>entidad-dia</t>
        </is>
      </c>
    </row>
    <row r="2868">
      <c r="A2868" t="inlineStr">
        <is>
          <t>PRAGMA</t>
        </is>
      </c>
      <c r="B2868" t="inlineStr">
        <is>
          <t>M1</t>
        </is>
      </c>
      <c r="C2868" t="inlineStr">
        <is>
          <t>Cali</t>
        </is>
      </c>
      <c r="D2868" t="inlineStr">
        <is>
          <t>5279</t>
        </is>
      </c>
      <c r="E2868" t="inlineStr">
        <is>
          <t>pagado</t>
        </is>
      </c>
      <c r="F2868" s="23" t="n">
        <v>46266</v>
      </c>
      <c r="G2868" s="24">
        <f>F2868-DATE(2026,8,31)</f>
        <v>1</v>
      </c>
      <c r="H2868" s="25" t="n">
        <v>107933582</v>
      </c>
      <c r="I2868" t="inlineStr">
        <is>
          <t>entidad-dia</t>
        </is>
      </c>
    </row>
    <row r="2869">
      <c r="A2869" t="inlineStr">
        <is>
          <t>PRAGMA</t>
        </is>
      </c>
      <c r="B2869" t="inlineStr">
        <is>
          <t>M1</t>
        </is>
      </c>
      <c r="C2869" t="inlineStr">
        <is>
          <t>Cali</t>
        </is>
      </c>
      <c r="D2869" t="inlineStr">
        <is>
          <t>5279</t>
        </is>
      </c>
      <c r="E2869" t="inlineStr">
        <is>
          <t>pagado</t>
        </is>
      </c>
      <c r="F2869" s="23" t="n">
        <v>46267</v>
      </c>
      <c r="G2869" s="24">
        <f>F2869-DATE(2026,8,31)</f>
        <v>2</v>
      </c>
      <c r="H2869" s="25" t="n">
        <v>83924932</v>
      </c>
      <c r="I2869" t="inlineStr">
        <is>
          <t>entidad-dia</t>
        </is>
      </c>
    </row>
    <row r="2870">
      <c r="A2870" t="inlineStr">
        <is>
          <t>PRAGMA</t>
        </is>
      </c>
      <c r="B2870" t="inlineStr">
        <is>
          <t>M1</t>
        </is>
      </c>
      <c r="C2870" t="inlineStr">
        <is>
          <t>Cali</t>
        </is>
      </c>
      <c r="D2870" t="inlineStr">
        <is>
          <t>5279</t>
        </is>
      </c>
      <c r="E2870" t="inlineStr">
        <is>
          <t>pagado</t>
        </is>
      </c>
      <c r="F2870" s="23" t="n">
        <v>46268</v>
      </c>
      <c r="G2870" s="24">
        <f>F2870-DATE(2026,8,31)</f>
        <v>3</v>
      </c>
      <c r="H2870" s="25" t="n">
        <v>77717161</v>
      </c>
      <c r="I2870" t="inlineStr">
        <is>
          <t>entidad-dia</t>
        </is>
      </c>
    </row>
    <row r="2871">
      <c r="A2871" t="inlineStr">
        <is>
          <t>PRAGMA</t>
        </is>
      </c>
      <c r="B2871" t="inlineStr">
        <is>
          <t>M1</t>
        </is>
      </c>
      <c r="C2871" t="inlineStr">
        <is>
          <t>Cali</t>
        </is>
      </c>
      <c r="D2871" t="inlineStr">
        <is>
          <t>5279</t>
        </is>
      </c>
      <c r="E2871" t="inlineStr">
        <is>
          <t>pagado</t>
        </is>
      </c>
      <c r="F2871" s="23" t="n">
        <v>46269</v>
      </c>
      <c r="G2871" s="24">
        <f>F2871-DATE(2026,8,31)</f>
        <v>4</v>
      </c>
      <c r="H2871" s="25" t="n">
        <v>82595562</v>
      </c>
      <c r="I2871" t="inlineStr">
        <is>
          <t>entidad-dia</t>
        </is>
      </c>
    </row>
    <row r="2872">
      <c r="A2872" t="inlineStr">
        <is>
          <t>PRAGMA</t>
        </is>
      </c>
      <c r="B2872" t="inlineStr">
        <is>
          <t>M1</t>
        </is>
      </c>
      <c r="C2872" t="inlineStr">
        <is>
          <t>Cali</t>
        </is>
      </c>
      <c r="D2872" t="inlineStr">
        <is>
          <t>5279</t>
        </is>
      </c>
      <c r="E2872" t="inlineStr">
        <is>
          <t>pagado</t>
        </is>
      </c>
      <c r="F2872" s="23" t="n">
        <v>46270</v>
      </c>
      <c r="G2872" s="24">
        <f>F2872-DATE(2026,8,31)</f>
        <v>5</v>
      </c>
      <c r="H2872" s="25" t="n">
        <v>78918946</v>
      </c>
      <c r="I2872" t="inlineStr">
        <is>
          <t>entidad-dia</t>
        </is>
      </c>
    </row>
    <row r="2873">
      <c r="A2873" t="inlineStr">
        <is>
          <t>PRAGMA</t>
        </is>
      </c>
      <c r="B2873" t="inlineStr">
        <is>
          <t>M1</t>
        </is>
      </c>
      <c r="C2873" t="inlineStr">
        <is>
          <t>Cali</t>
        </is>
      </c>
      <c r="D2873" t="inlineStr">
        <is>
          <t>5279</t>
        </is>
      </c>
      <c r="E2873" t="inlineStr">
        <is>
          <t>pagado</t>
        </is>
      </c>
      <c r="F2873" s="23" t="n">
        <v>46271</v>
      </c>
      <c r="G2873" s="24">
        <f>F2873-DATE(2026,8,31)</f>
        <v>6</v>
      </c>
      <c r="H2873" s="25" t="n">
        <v>62833816</v>
      </c>
      <c r="I2873" t="inlineStr">
        <is>
          <t>entidad-dia</t>
        </is>
      </c>
    </row>
    <row r="2874">
      <c r="A2874" t="inlineStr">
        <is>
          <t>PRAGMA</t>
        </is>
      </c>
      <c r="B2874" t="inlineStr">
        <is>
          <t>M1</t>
        </is>
      </c>
      <c r="C2874" t="inlineStr">
        <is>
          <t>Cali</t>
        </is>
      </c>
      <c r="D2874" t="inlineStr">
        <is>
          <t>5279</t>
        </is>
      </c>
      <c r="E2874" t="inlineStr">
        <is>
          <t>pagado</t>
        </is>
      </c>
      <c r="F2874" s="23" t="n">
        <v>46272</v>
      </c>
      <c r="G2874" s="24">
        <f>F2874-DATE(2026,8,31)</f>
        <v>7</v>
      </c>
      <c r="H2874" s="25" t="n">
        <v>64070222</v>
      </c>
      <c r="I2874" t="inlineStr">
        <is>
          <t>entidad-dia</t>
        </is>
      </c>
    </row>
    <row r="2875">
      <c r="A2875" t="inlineStr">
        <is>
          <t>PRAGMA</t>
        </is>
      </c>
      <c r="B2875" t="inlineStr">
        <is>
          <t>M1</t>
        </is>
      </c>
      <c r="C2875" t="inlineStr">
        <is>
          <t>Cali</t>
        </is>
      </c>
      <c r="D2875" t="inlineStr">
        <is>
          <t>5279</t>
        </is>
      </c>
      <c r="E2875" t="inlineStr">
        <is>
          <t>pagado</t>
        </is>
      </c>
      <c r="F2875" s="23" t="n">
        <v>46273</v>
      </c>
      <c r="G2875" s="24">
        <f>F2875-DATE(2026,8,31)</f>
        <v>8</v>
      </c>
      <c r="H2875" s="25" t="n">
        <v>57516143</v>
      </c>
      <c r="I2875" t="inlineStr">
        <is>
          <t>entidad-dia</t>
        </is>
      </c>
    </row>
    <row r="2876">
      <c r="A2876" t="inlineStr">
        <is>
          <t>PRAGMA</t>
        </is>
      </c>
      <c r="B2876" t="inlineStr">
        <is>
          <t>M1</t>
        </is>
      </c>
      <c r="C2876" t="inlineStr">
        <is>
          <t>Cali</t>
        </is>
      </c>
      <c r="D2876" t="inlineStr">
        <is>
          <t>5279</t>
        </is>
      </c>
      <c r="E2876" t="inlineStr">
        <is>
          <t>pagado</t>
        </is>
      </c>
      <c r="F2876" s="23" t="n">
        <v>46274</v>
      </c>
      <c r="G2876" s="24">
        <f>F2876-DATE(2026,8,31)</f>
        <v>9</v>
      </c>
      <c r="H2876" s="25" t="n">
        <v>62888340</v>
      </c>
      <c r="I2876" t="inlineStr">
        <is>
          <t>entidad-dia</t>
        </is>
      </c>
    </row>
    <row r="2877">
      <c r="A2877" t="inlineStr">
        <is>
          <t>PRAGMA</t>
        </is>
      </c>
      <c r="B2877" t="inlineStr">
        <is>
          <t>M1</t>
        </is>
      </c>
      <c r="C2877" t="inlineStr">
        <is>
          <t>Cali</t>
        </is>
      </c>
      <c r="D2877" t="inlineStr">
        <is>
          <t>5279</t>
        </is>
      </c>
      <c r="E2877" t="inlineStr">
        <is>
          <t>pagado</t>
        </is>
      </c>
      <c r="F2877" s="23" t="n">
        <v>46275</v>
      </c>
      <c r="G2877" s="24">
        <f>F2877-DATE(2026,8,31)</f>
        <v>10</v>
      </c>
      <c r="H2877" s="25" t="n">
        <v>61770735</v>
      </c>
      <c r="I2877" t="inlineStr">
        <is>
          <t>entidad-dia</t>
        </is>
      </c>
    </row>
    <row r="2878">
      <c r="A2878" t="inlineStr">
        <is>
          <t>PRAGMA</t>
        </is>
      </c>
      <c r="B2878" t="inlineStr">
        <is>
          <t>M1</t>
        </is>
      </c>
      <c r="C2878" t="inlineStr">
        <is>
          <t>Cali</t>
        </is>
      </c>
      <c r="D2878" t="inlineStr">
        <is>
          <t>5279</t>
        </is>
      </c>
      <c r="E2878" t="inlineStr">
        <is>
          <t>pagado</t>
        </is>
      </c>
      <c r="F2878" s="23" t="n">
        <v>46276</v>
      </c>
      <c r="G2878" s="24">
        <f>F2878-DATE(2026,8,31)</f>
        <v>11</v>
      </c>
      <c r="H2878" s="25" t="n">
        <v>73493827</v>
      </c>
      <c r="I2878" t="inlineStr">
        <is>
          <t>entidad-dia</t>
        </is>
      </c>
    </row>
    <row r="2879">
      <c r="A2879" t="inlineStr">
        <is>
          <t>PRAGMA</t>
        </is>
      </c>
      <c r="B2879" t="inlineStr">
        <is>
          <t>M1</t>
        </is>
      </c>
      <c r="C2879" t="inlineStr">
        <is>
          <t>Cali</t>
        </is>
      </c>
      <c r="D2879" t="inlineStr">
        <is>
          <t>5279</t>
        </is>
      </c>
      <c r="E2879" t="inlineStr">
        <is>
          <t>pagado</t>
        </is>
      </c>
      <c r="F2879" s="23" t="n">
        <v>46277</v>
      </c>
      <c r="G2879" s="24">
        <f>F2879-DATE(2026,8,31)</f>
        <v>12</v>
      </c>
      <c r="H2879" s="25" t="n">
        <v>62214296</v>
      </c>
      <c r="I2879" t="inlineStr">
        <is>
          <t>entidad-dia</t>
        </is>
      </c>
    </row>
    <row r="2880">
      <c r="A2880" t="inlineStr">
        <is>
          <t>PRAGMA</t>
        </is>
      </c>
      <c r="B2880" t="inlineStr">
        <is>
          <t>M1</t>
        </is>
      </c>
      <c r="C2880" t="inlineStr">
        <is>
          <t>Cali</t>
        </is>
      </c>
      <c r="D2880" t="inlineStr">
        <is>
          <t>5279</t>
        </is>
      </c>
      <c r="E2880" t="inlineStr">
        <is>
          <t>pagado</t>
        </is>
      </c>
      <c r="F2880" s="23" t="n">
        <v>46278</v>
      </c>
      <c r="G2880" s="24">
        <f>F2880-DATE(2026,8,31)</f>
        <v>13</v>
      </c>
      <c r="H2880" s="25" t="n">
        <v>43349676</v>
      </c>
      <c r="I2880" t="inlineStr">
        <is>
          <t>entidad-dia</t>
        </is>
      </c>
    </row>
    <row r="2881">
      <c r="A2881" t="inlineStr">
        <is>
          <t>PRAGMA</t>
        </is>
      </c>
      <c r="B2881" t="inlineStr">
        <is>
          <t>M1</t>
        </is>
      </c>
      <c r="C2881" t="inlineStr">
        <is>
          <t>Cali</t>
        </is>
      </c>
      <c r="D2881" t="inlineStr">
        <is>
          <t>5279</t>
        </is>
      </c>
      <c r="E2881" t="inlineStr">
        <is>
          <t>pagado</t>
        </is>
      </c>
      <c r="F2881" s="23" t="n">
        <v>46279</v>
      </c>
      <c r="G2881" s="24">
        <f>F2881-DATE(2026,8,31)</f>
        <v>14</v>
      </c>
      <c r="H2881" s="25" t="n">
        <v>61489201</v>
      </c>
      <c r="I2881" t="inlineStr">
        <is>
          <t>entidad-dia</t>
        </is>
      </c>
    </row>
    <row r="2882">
      <c r="A2882" t="inlineStr">
        <is>
          <t>PRAGMA</t>
        </is>
      </c>
      <c r="B2882" t="inlineStr">
        <is>
          <t>M1</t>
        </is>
      </c>
      <c r="C2882" t="inlineStr">
        <is>
          <t>Cali</t>
        </is>
      </c>
      <c r="D2882" t="inlineStr">
        <is>
          <t>5279</t>
        </is>
      </c>
      <c r="E2882" t="inlineStr">
        <is>
          <t>pagado</t>
        </is>
      </c>
      <c r="F2882" s="23" t="n">
        <v>46280</v>
      </c>
      <c r="G2882" s="24">
        <f>F2882-DATE(2026,8,31)</f>
        <v>15</v>
      </c>
      <c r="H2882" s="25" t="n">
        <v>85469410</v>
      </c>
      <c r="I2882" t="inlineStr">
        <is>
          <t>entidad-dia</t>
        </is>
      </c>
    </row>
    <row r="2883">
      <c r="A2883" t="inlineStr">
        <is>
          <t>PRAGMA</t>
        </is>
      </c>
      <c r="B2883" t="inlineStr">
        <is>
          <t>M1</t>
        </is>
      </c>
      <c r="C2883" t="inlineStr">
        <is>
          <t>Cali</t>
        </is>
      </c>
      <c r="D2883" t="inlineStr">
        <is>
          <t>53</t>
        </is>
      </c>
      <c r="E2883" t="inlineStr">
        <is>
          <t>pagado</t>
        </is>
      </c>
      <c r="F2883" s="23" t="n">
        <v>46266</v>
      </c>
      <c r="G2883" s="24">
        <f>F2883-DATE(2026,8,31)</f>
        <v>1</v>
      </c>
      <c r="H2883" s="25" t="n">
        <v>40209763</v>
      </c>
      <c r="I2883" t="inlineStr">
        <is>
          <t>entidad-dia</t>
        </is>
      </c>
    </row>
    <row r="2884">
      <c r="A2884" t="inlineStr">
        <is>
          <t>PRAGMA</t>
        </is>
      </c>
      <c r="B2884" t="inlineStr">
        <is>
          <t>M1</t>
        </is>
      </c>
      <c r="C2884" t="inlineStr">
        <is>
          <t>Cali</t>
        </is>
      </c>
      <c r="D2884" t="inlineStr">
        <is>
          <t>53</t>
        </is>
      </c>
      <c r="E2884" t="inlineStr">
        <is>
          <t>pagado</t>
        </is>
      </c>
      <c r="F2884" s="23" t="n">
        <v>46267</v>
      </c>
      <c r="G2884" s="24">
        <f>F2884-DATE(2026,8,31)</f>
        <v>2</v>
      </c>
      <c r="H2884" s="25" t="n">
        <v>34994049</v>
      </c>
      <c r="I2884" t="inlineStr">
        <is>
          <t>entidad-dia</t>
        </is>
      </c>
    </row>
    <row r="2885">
      <c r="A2885" t="inlineStr">
        <is>
          <t>PRAGMA</t>
        </is>
      </c>
      <c r="B2885" t="inlineStr">
        <is>
          <t>M1</t>
        </is>
      </c>
      <c r="C2885" t="inlineStr">
        <is>
          <t>Cali</t>
        </is>
      </c>
      <c r="D2885" t="inlineStr">
        <is>
          <t>53</t>
        </is>
      </c>
      <c r="E2885" t="inlineStr">
        <is>
          <t>pagado</t>
        </is>
      </c>
      <c r="F2885" s="23" t="n">
        <v>46268</v>
      </c>
      <c r="G2885" s="24">
        <f>F2885-DATE(2026,8,31)</f>
        <v>3</v>
      </c>
      <c r="H2885" s="25" t="n">
        <v>27060640</v>
      </c>
      <c r="I2885" t="inlineStr">
        <is>
          <t>entidad-dia</t>
        </is>
      </c>
    </row>
    <row r="2886">
      <c r="A2886" t="inlineStr">
        <is>
          <t>PRAGMA</t>
        </is>
      </c>
      <c r="B2886" t="inlineStr">
        <is>
          <t>M1</t>
        </is>
      </c>
      <c r="C2886" t="inlineStr">
        <is>
          <t>Cali</t>
        </is>
      </c>
      <c r="D2886" t="inlineStr">
        <is>
          <t>53</t>
        </is>
      </c>
      <c r="E2886" t="inlineStr">
        <is>
          <t>pagado</t>
        </is>
      </c>
      <c r="F2886" s="23" t="n">
        <v>46269</v>
      </c>
      <c r="G2886" s="24">
        <f>F2886-DATE(2026,8,31)</f>
        <v>4</v>
      </c>
      <c r="H2886" s="25" t="n">
        <v>26223063</v>
      </c>
      <c r="I2886" t="inlineStr">
        <is>
          <t>entidad-dia</t>
        </is>
      </c>
    </row>
    <row r="2887">
      <c r="A2887" t="inlineStr">
        <is>
          <t>PRAGMA</t>
        </is>
      </c>
      <c r="B2887" t="inlineStr">
        <is>
          <t>M1</t>
        </is>
      </c>
      <c r="C2887" t="inlineStr">
        <is>
          <t>Cali</t>
        </is>
      </c>
      <c r="D2887" t="inlineStr">
        <is>
          <t>53</t>
        </is>
      </c>
      <c r="E2887" t="inlineStr">
        <is>
          <t>pagado</t>
        </is>
      </c>
      <c r="F2887" s="23" t="n">
        <v>46270</v>
      </c>
      <c r="G2887" s="24">
        <f>F2887-DATE(2026,8,31)</f>
        <v>5</v>
      </c>
      <c r="H2887" s="25" t="n">
        <v>18890231</v>
      </c>
      <c r="I2887" t="inlineStr">
        <is>
          <t>entidad-dia</t>
        </is>
      </c>
    </row>
    <row r="2888">
      <c r="A2888" t="inlineStr">
        <is>
          <t>PRAGMA</t>
        </is>
      </c>
      <c r="B2888" t="inlineStr">
        <is>
          <t>M1</t>
        </is>
      </c>
      <c r="C2888" t="inlineStr">
        <is>
          <t>Cali</t>
        </is>
      </c>
      <c r="D2888" t="inlineStr">
        <is>
          <t>53</t>
        </is>
      </c>
      <c r="E2888" t="inlineStr">
        <is>
          <t>pagado</t>
        </is>
      </c>
      <c r="F2888" s="23" t="n">
        <v>46271</v>
      </c>
      <c r="G2888" s="24">
        <f>F2888-DATE(2026,8,31)</f>
        <v>6</v>
      </c>
      <c r="H2888" s="25" t="n">
        <v>2569564</v>
      </c>
      <c r="I2888" t="inlineStr">
        <is>
          <t>entidad-dia</t>
        </is>
      </c>
    </row>
    <row r="2889">
      <c r="A2889" t="inlineStr">
        <is>
          <t>PRAGMA</t>
        </is>
      </c>
      <c r="B2889" t="inlineStr">
        <is>
          <t>M1</t>
        </is>
      </c>
      <c r="C2889" t="inlineStr">
        <is>
          <t>Cali</t>
        </is>
      </c>
      <c r="D2889" t="inlineStr">
        <is>
          <t>53</t>
        </is>
      </c>
      <c r="E2889" t="inlineStr">
        <is>
          <t>pagado</t>
        </is>
      </c>
      <c r="F2889" s="23" t="n">
        <v>46272</v>
      </c>
      <c r="G2889" s="24">
        <f>F2889-DATE(2026,8,31)</f>
        <v>7</v>
      </c>
      <c r="H2889" s="25" t="n">
        <v>28822735</v>
      </c>
      <c r="I2889" t="inlineStr">
        <is>
          <t>entidad-dia</t>
        </is>
      </c>
    </row>
    <row r="2890">
      <c r="A2890" t="inlineStr">
        <is>
          <t>PRAGMA</t>
        </is>
      </c>
      <c r="B2890" t="inlineStr">
        <is>
          <t>M1</t>
        </is>
      </c>
      <c r="C2890" t="inlineStr">
        <is>
          <t>Cali</t>
        </is>
      </c>
      <c r="D2890" t="inlineStr">
        <is>
          <t>53</t>
        </is>
      </c>
      <c r="E2890" t="inlineStr">
        <is>
          <t>pagado</t>
        </is>
      </c>
      <c r="F2890" s="23" t="n">
        <v>46273</v>
      </c>
      <c r="G2890" s="24">
        <f>F2890-DATE(2026,8,31)</f>
        <v>8</v>
      </c>
      <c r="H2890" s="25" t="n">
        <v>23143667</v>
      </c>
      <c r="I2890" t="inlineStr">
        <is>
          <t>entidad-dia</t>
        </is>
      </c>
    </row>
    <row r="2891">
      <c r="A2891" t="inlineStr">
        <is>
          <t>PRAGMA</t>
        </is>
      </c>
      <c r="B2891" t="inlineStr">
        <is>
          <t>M1</t>
        </is>
      </c>
      <c r="C2891" t="inlineStr">
        <is>
          <t>Cali</t>
        </is>
      </c>
      <c r="D2891" t="inlineStr">
        <is>
          <t>53</t>
        </is>
      </c>
      <c r="E2891" t="inlineStr">
        <is>
          <t>pagado</t>
        </is>
      </c>
      <c r="F2891" s="23" t="n">
        <v>46274</v>
      </c>
      <c r="G2891" s="24">
        <f>F2891-DATE(2026,8,31)</f>
        <v>9</v>
      </c>
      <c r="H2891" s="25" t="n">
        <v>23279886</v>
      </c>
      <c r="I2891" t="inlineStr">
        <is>
          <t>entidad-dia</t>
        </is>
      </c>
    </row>
    <row r="2892">
      <c r="A2892" t="inlineStr">
        <is>
          <t>PRAGMA</t>
        </is>
      </c>
      <c r="B2892" t="inlineStr">
        <is>
          <t>M1</t>
        </is>
      </c>
      <c r="C2892" t="inlineStr">
        <is>
          <t>Cali</t>
        </is>
      </c>
      <c r="D2892" t="inlineStr">
        <is>
          <t>53</t>
        </is>
      </c>
      <c r="E2892" t="inlineStr">
        <is>
          <t>pagado</t>
        </is>
      </c>
      <c r="F2892" s="23" t="n">
        <v>46275</v>
      </c>
      <c r="G2892" s="24">
        <f>F2892-DATE(2026,8,31)</f>
        <v>10</v>
      </c>
      <c r="H2892" s="25" t="n">
        <v>15307501</v>
      </c>
      <c r="I2892" t="inlineStr">
        <is>
          <t>entidad-dia</t>
        </is>
      </c>
    </row>
    <row r="2893">
      <c r="A2893" t="inlineStr">
        <is>
          <t>PRAGMA</t>
        </is>
      </c>
      <c r="B2893" t="inlineStr">
        <is>
          <t>M1</t>
        </is>
      </c>
      <c r="C2893" t="inlineStr">
        <is>
          <t>Cali</t>
        </is>
      </c>
      <c r="D2893" t="inlineStr">
        <is>
          <t>53</t>
        </is>
      </c>
      <c r="E2893" t="inlineStr">
        <is>
          <t>pagado</t>
        </is>
      </c>
      <c r="F2893" s="23" t="n">
        <v>46276</v>
      </c>
      <c r="G2893" s="24">
        <f>F2893-DATE(2026,8,31)</f>
        <v>11</v>
      </c>
      <c r="H2893" s="25" t="n">
        <v>31476658</v>
      </c>
      <c r="I2893" t="inlineStr">
        <is>
          <t>entidad-dia</t>
        </is>
      </c>
    </row>
    <row r="2894">
      <c r="A2894" t="inlineStr">
        <is>
          <t>PRAGMA</t>
        </is>
      </c>
      <c r="B2894" t="inlineStr">
        <is>
          <t>M1</t>
        </is>
      </c>
      <c r="C2894" t="inlineStr">
        <is>
          <t>Cali</t>
        </is>
      </c>
      <c r="D2894" t="inlineStr">
        <is>
          <t>53</t>
        </is>
      </c>
      <c r="E2894" t="inlineStr">
        <is>
          <t>pagado</t>
        </is>
      </c>
      <c r="F2894" s="23" t="n">
        <v>46277</v>
      </c>
      <c r="G2894" s="24">
        <f>F2894-DATE(2026,8,31)</f>
        <v>12</v>
      </c>
      <c r="H2894" s="25" t="n">
        <v>23024407</v>
      </c>
      <c r="I2894" t="inlineStr">
        <is>
          <t>entidad-dia</t>
        </is>
      </c>
    </row>
    <row r="2895">
      <c r="A2895" t="inlineStr">
        <is>
          <t>PRAGMA</t>
        </is>
      </c>
      <c r="B2895" t="inlineStr">
        <is>
          <t>M1</t>
        </is>
      </c>
      <c r="C2895" t="inlineStr">
        <is>
          <t>Cali</t>
        </is>
      </c>
      <c r="D2895" t="inlineStr">
        <is>
          <t>53</t>
        </is>
      </c>
      <c r="E2895" t="inlineStr">
        <is>
          <t>pagado</t>
        </is>
      </c>
      <c r="F2895" s="23" t="n">
        <v>46278</v>
      </c>
      <c r="G2895" s="24">
        <f>F2895-DATE(2026,8,31)</f>
        <v>13</v>
      </c>
      <c r="H2895" s="25" t="n">
        <v>1346662</v>
      </c>
      <c r="I2895" t="inlineStr">
        <is>
          <t>entidad-dia</t>
        </is>
      </c>
    </row>
    <row r="2896">
      <c r="A2896" t="inlineStr">
        <is>
          <t>PRAGMA</t>
        </is>
      </c>
      <c r="B2896" t="inlineStr">
        <is>
          <t>M1</t>
        </is>
      </c>
      <c r="C2896" t="inlineStr">
        <is>
          <t>Cali</t>
        </is>
      </c>
      <c r="D2896" t="inlineStr">
        <is>
          <t>53</t>
        </is>
      </c>
      <c r="E2896" t="inlineStr">
        <is>
          <t>pagado</t>
        </is>
      </c>
      <c r="F2896" s="23" t="n">
        <v>46279</v>
      </c>
      <c r="G2896" s="24">
        <f>F2896-DATE(2026,8,31)</f>
        <v>14</v>
      </c>
      <c r="H2896" s="25" t="n">
        <v>21896042</v>
      </c>
      <c r="I2896" t="inlineStr">
        <is>
          <t>entidad-dia</t>
        </is>
      </c>
    </row>
    <row r="2897">
      <c r="A2897" t="inlineStr">
        <is>
          <t>PRAGMA</t>
        </is>
      </c>
      <c r="B2897" t="inlineStr">
        <is>
          <t>M1</t>
        </is>
      </c>
      <c r="C2897" t="inlineStr">
        <is>
          <t>Cali</t>
        </is>
      </c>
      <c r="D2897" t="inlineStr">
        <is>
          <t>53</t>
        </is>
      </c>
      <c r="E2897" t="inlineStr">
        <is>
          <t>pagado</t>
        </is>
      </c>
      <c r="F2897" s="23" t="n">
        <v>46280</v>
      </c>
      <c r="G2897" s="24">
        <f>F2897-DATE(2026,8,31)</f>
        <v>15</v>
      </c>
      <c r="H2897" s="25" t="n">
        <v>47570805</v>
      </c>
      <c r="I2897" t="inlineStr">
        <is>
          <t>entidad-dia</t>
        </is>
      </c>
    </row>
    <row r="2898">
      <c r="A2898" t="inlineStr">
        <is>
          <t>PRAGMA</t>
        </is>
      </c>
      <c r="B2898" t="inlineStr">
        <is>
          <t>M1</t>
        </is>
      </c>
      <c r="C2898" t="inlineStr">
        <is>
          <t>Cali</t>
        </is>
      </c>
      <c r="D2898" t="inlineStr">
        <is>
          <t>5306</t>
        </is>
      </c>
      <c r="E2898" t="inlineStr">
        <is>
          <t>pagado</t>
        </is>
      </c>
      <c r="F2898" s="23" t="n">
        <v>46266</v>
      </c>
      <c r="G2898" s="24">
        <f>F2898-DATE(2026,8,31)</f>
        <v>1</v>
      </c>
      <c r="H2898" s="25" t="n">
        <v>57730603</v>
      </c>
      <c r="I2898" t="inlineStr">
        <is>
          <t>entidad-dia</t>
        </is>
      </c>
    </row>
    <row r="2899">
      <c r="A2899" t="inlineStr">
        <is>
          <t>PRAGMA</t>
        </is>
      </c>
      <c r="B2899" t="inlineStr">
        <is>
          <t>M1</t>
        </is>
      </c>
      <c r="C2899" t="inlineStr">
        <is>
          <t>Cali</t>
        </is>
      </c>
      <c r="D2899" t="inlineStr">
        <is>
          <t>5306</t>
        </is>
      </c>
      <c r="E2899" t="inlineStr">
        <is>
          <t>pagado</t>
        </is>
      </c>
      <c r="F2899" s="23" t="n">
        <v>46267</v>
      </c>
      <c r="G2899" s="24">
        <f>F2899-DATE(2026,8,31)</f>
        <v>2</v>
      </c>
      <c r="H2899" s="25" t="n">
        <v>36667729</v>
      </c>
      <c r="I2899" t="inlineStr">
        <is>
          <t>entidad-dia</t>
        </is>
      </c>
    </row>
    <row r="2900">
      <c r="A2900" t="inlineStr">
        <is>
          <t>PRAGMA</t>
        </is>
      </c>
      <c r="B2900" t="inlineStr">
        <is>
          <t>M1</t>
        </is>
      </c>
      <c r="C2900" t="inlineStr">
        <is>
          <t>Cali</t>
        </is>
      </c>
      <c r="D2900" t="inlineStr">
        <is>
          <t>5306</t>
        </is>
      </c>
      <c r="E2900" t="inlineStr">
        <is>
          <t>pagado</t>
        </is>
      </c>
      <c r="F2900" s="23" t="n">
        <v>46268</v>
      </c>
      <c r="G2900" s="24">
        <f>F2900-DATE(2026,8,31)</f>
        <v>3</v>
      </c>
      <c r="H2900" s="25" t="n">
        <v>33768960</v>
      </c>
      <c r="I2900" t="inlineStr">
        <is>
          <t>entidad-dia</t>
        </is>
      </c>
    </row>
    <row r="2901">
      <c r="A2901" t="inlineStr">
        <is>
          <t>PRAGMA</t>
        </is>
      </c>
      <c r="B2901" t="inlineStr">
        <is>
          <t>M1</t>
        </is>
      </c>
      <c r="C2901" t="inlineStr">
        <is>
          <t>Cali</t>
        </is>
      </c>
      <c r="D2901" t="inlineStr">
        <is>
          <t>5306</t>
        </is>
      </c>
      <c r="E2901" t="inlineStr">
        <is>
          <t>pagado</t>
        </is>
      </c>
      <c r="F2901" s="23" t="n">
        <v>46269</v>
      </c>
      <c r="G2901" s="24">
        <f>F2901-DATE(2026,8,31)</f>
        <v>4</v>
      </c>
      <c r="H2901" s="25" t="n">
        <v>33651433</v>
      </c>
      <c r="I2901" t="inlineStr">
        <is>
          <t>entidad-dia</t>
        </is>
      </c>
    </row>
    <row r="2902">
      <c r="A2902" t="inlineStr">
        <is>
          <t>PRAGMA</t>
        </is>
      </c>
      <c r="B2902" t="inlineStr">
        <is>
          <t>M1</t>
        </is>
      </c>
      <c r="C2902" t="inlineStr">
        <is>
          <t>Cali</t>
        </is>
      </c>
      <c r="D2902" t="inlineStr">
        <is>
          <t>5306</t>
        </is>
      </c>
      <c r="E2902" t="inlineStr">
        <is>
          <t>pagado</t>
        </is>
      </c>
      <c r="F2902" s="23" t="n">
        <v>46270</v>
      </c>
      <c r="G2902" s="24">
        <f>F2902-DATE(2026,8,31)</f>
        <v>5</v>
      </c>
      <c r="H2902" s="25" t="n">
        <v>24759082</v>
      </c>
      <c r="I2902" t="inlineStr">
        <is>
          <t>entidad-dia</t>
        </is>
      </c>
    </row>
    <row r="2903">
      <c r="A2903" t="inlineStr">
        <is>
          <t>PRAGMA</t>
        </is>
      </c>
      <c r="B2903" t="inlineStr">
        <is>
          <t>M1</t>
        </is>
      </c>
      <c r="C2903" t="inlineStr">
        <is>
          <t>Cali</t>
        </is>
      </c>
      <c r="D2903" t="inlineStr">
        <is>
          <t>5306</t>
        </is>
      </c>
      <c r="E2903" t="inlineStr">
        <is>
          <t>pagado</t>
        </is>
      </c>
      <c r="F2903" s="23" t="n">
        <v>46271</v>
      </c>
      <c r="G2903" s="24">
        <f>F2903-DATE(2026,8,31)</f>
        <v>6</v>
      </c>
      <c r="H2903" s="25" t="n">
        <v>6558499</v>
      </c>
      <c r="I2903" t="inlineStr">
        <is>
          <t>entidad-dia</t>
        </is>
      </c>
    </row>
    <row r="2904">
      <c r="A2904" t="inlineStr">
        <is>
          <t>PRAGMA</t>
        </is>
      </c>
      <c r="B2904" t="inlineStr">
        <is>
          <t>M1</t>
        </is>
      </c>
      <c r="C2904" t="inlineStr">
        <is>
          <t>Cali</t>
        </is>
      </c>
      <c r="D2904" t="inlineStr">
        <is>
          <t>5306</t>
        </is>
      </c>
      <c r="E2904" t="inlineStr">
        <is>
          <t>pagado</t>
        </is>
      </c>
      <c r="F2904" s="23" t="n">
        <v>46272</v>
      </c>
      <c r="G2904" s="24">
        <f>F2904-DATE(2026,8,31)</f>
        <v>7</v>
      </c>
      <c r="H2904" s="25" t="n">
        <v>17400053</v>
      </c>
      <c r="I2904" t="inlineStr">
        <is>
          <t>entidad-dia</t>
        </is>
      </c>
    </row>
    <row r="2905">
      <c r="A2905" t="inlineStr">
        <is>
          <t>PRAGMA</t>
        </is>
      </c>
      <c r="B2905" t="inlineStr">
        <is>
          <t>M1</t>
        </is>
      </c>
      <c r="C2905" t="inlineStr">
        <is>
          <t>Cali</t>
        </is>
      </c>
      <c r="D2905" t="inlineStr">
        <is>
          <t>5306</t>
        </is>
      </c>
      <c r="E2905" t="inlineStr">
        <is>
          <t>pagado</t>
        </is>
      </c>
      <c r="F2905" s="23" t="n">
        <v>46273</v>
      </c>
      <c r="G2905" s="24">
        <f>F2905-DATE(2026,8,31)</f>
        <v>8</v>
      </c>
      <c r="H2905" s="25" t="n">
        <v>25413113</v>
      </c>
      <c r="I2905" t="inlineStr">
        <is>
          <t>entidad-dia</t>
        </is>
      </c>
    </row>
    <row r="2906">
      <c r="A2906" t="inlineStr">
        <is>
          <t>PRAGMA</t>
        </is>
      </c>
      <c r="B2906" t="inlineStr">
        <is>
          <t>M1</t>
        </is>
      </c>
      <c r="C2906" t="inlineStr">
        <is>
          <t>Cali</t>
        </is>
      </c>
      <c r="D2906" t="inlineStr">
        <is>
          <t>5306</t>
        </is>
      </c>
      <c r="E2906" t="inlineStr">
        <is>
          <t>pagado</t>
        </is>
      </c>
      <c r="F2906" s="23" t="n">
        <v>46274</v>
      </c>
      <c r="G2906" s="24">
        <f>F2906-DATE(2026,8,31)</f>
        <v>9</v>
      </c>
      <c r="H2906" s="25" t="n">
        <v>16786288</v>
      </c>
      <c r="I2906" t="inlineStr">
        <is>
          <t>entidad-dia</t>
        </is>
      </c>
    </row>
    <row r="2907">
      <c r="A2907" t="inlineStr">
        <is>
          <t>PRAGMA</t>
        </is>
      </c>
      <c r="B2907" t="inlineStr">
        <is>
          <t>M1</t>
        </is>
      </c>
      <c r="C2907" t="inlineStr">
        <is>
          <t>Cali</t>
        </is>
      </c>
      <c r="D2907" t="inlineStr">
        <is>
          <t>5306</t>
        </is>
      </c>
      <c r="E2907" t="inlineStr">
        <is>
          <t>pagado</t>
        </is>
      </c>
      <c r="F2907" s="23" t="n">
        <v>46275</v>
      </c>
      <c r="G2907" s="24">
        <f>F2907-DATE(2026,8,31)</f>
        <v>10</v>
      </c>
      <c r="H2907" s="25" t="n">
        <v>22712032</v>
      </c>
      <c r="I2907" t="inlineStr">
        <is>
          <t>entidad-dia</t>
        </is>
      </c>
    </row>
    <row r="2908">
      <c r="A2908" t="inlineStr">
        <is>
          <t>PRAGMA</t>
        </is>
      </c>
      <c r="B2908" t="inlineStr">
        <is>
          <t>M1</t>
        </is>
      </c>
      <c r="C2908" t="inlineStr">
        <is>
          <t>Cali</t>
        </is>
      </c>
      <c r="D2908" t="inlineStr">
        <is>
          <t>5306</t>
        </is>
      </c>
      <c r="E2908" t="inlineStr">
        <is>
          <t>pagado</t>
        </is>
      </c>
      <c r="F2908" s="23" t="n">
        <v>46276</v>
      </c>
      <c r="G2908" s="24">
        <f>F2908-DATE(2026,8,31)</f>
        <v>11</v>
      </c>
      <c r="H2908" s="25" t="n">
        <v>26998815</v>
      </c>
      <c r="I2908" t="inlineStr">
        <is>
          <t>entidad-dia</t>
        </is>
      </c>
    </row>
    <row r="2909">
      <c r="A2909" t="inlineStr">
        <is>
          <t>PRAGMA</t>
        </is>
      </c>
      <c r="B2909" t="inlineStr">
        <is>
          <t>M1</t>
        </is>
      </c>
      <c r="C2909" t="inlineStr">
        <is>
          <t>Cali</t>
        </is>
      </c>
      <c r="D2909" t="inlineStr">
        <is>
          <t>5306</t>
        </is>
      </c>
      <c r="E2909" t="inlineStr">
        <is>
          <t>pagado</t>
        </is>
      </c>
      <c r="F2909" s="23" t="n">
        <v>46277</v>
      </c>
      <c r="G2909" s="24">
        <f>F2909-DATE(2026,8,31)</f>
        <v>12</v>
      </c>
      <c r="H2909" s="25" t="n">
        <v>19470674</v>
      </c>
      <c r="I2909" t="inlineStr">
        <is>
          <t>entidad-dia</t>
        </is>
      </c>
    </row>
    <row r="2910">
      <c r="A2910" t="inlineStr">
        <is>
          <t>PRAGMA</t>
        </is>
      </c>
      <c r="B2910" t="inlineStr">
        <is>
          <t>M1</t>
        </is>
      </c>
      <c r="C2910" t="inlineStr">
        <is>
          <t>Cali</t>
        </is>
      </c>
      <c r="D2910" t="inlineStr">
        <is>
          <t>5306</t>
        </is>
      </c>
      <c r="E2910" t="inlineStr">
        <is>
          <t>pagado</t>
        </is>
      </c>
      <c r="F2910" s="23" t="n">
        <v>46278</v>
      </c>
      <c r="G2910" s="24">
        <f>F2910-DATE(2026,8,31)</f>
        <v>13</v>
      </c>
      <c r="H2910" s="25" t="n">
        <v>4934620</v>
      </c>
      <c r="I2910" t="inlineStr">
        <is>
          <t>entidad-dia</t>
        </is>
      </c>
    </row>
    <row r="2911">
      <c r="A2911" t="inlineStr">
        <is>
          <t>PRAGMA</t>
        </is>
      </c>
      <c r="B2911" t="inlineStr">
        <is>
          <t>M1</t>
        </is>
      </c>
      <c r="C2911" t="inlineStr">
        <is>
          <t>Cali</t>
        </is>
      </c>
      <c r="D2911" t="inlineStr">
        <is>
          <t>5306</t>
        </is>
      </c>
      <c r="E2911" t="inlineStr">
        <is>
          <t>pagado</t>
        </is>
      </c>
      <c r="F2911" s="23" t="n">
        <v>46279</v>
      </c>
      <c r="G2911" s="24">
        <f>F2911-DATE(2026,8,31)</f>
        <v>14</v>
      </c>
      <c r="H2911" s="25" t="n">
        <v>23398301</v>
      </c>
      <c r="I2911" t="inlineStr">
        <is>
          <t>entidad-dia</t>
        </is>
      </c>
    </row>
    <row r="2912">
      <c r="A2912" t="inlineStr">
        <is>
          <t>PRAGMA</t>
        </is>
      </c>
      <c r="B2912" t="inlineStr">
        <is>
          <t>M1</t>
        </is>
      </c>
      <c r="C2912" t="inlineStr">
        <is>
          <t>Cali</t>
        </is>
      </c>
      <c r="D2912" t="inlineStr">
        <is>
          <t>5306</t>
        </is>
      </c>
      <c r="E2912" t="inlineStr">
        <is>
          <t>pagado</t>
        </is>
      </c>
      <c r="F2912" s="23" t="n">
        <v>46280</v>
      </c>
      <c r="G2912" s="24">
        <f>F2912-DATE(2026,8,31)</f>
        <v>15</v>
      </c>
      <c r="H2912" s="25" t="n">
        <v>43136104</v>
      </c>
      <c r="I2912" t="inlineStr">
        <is>
          <t>entidad-dia</t>
        </is>
      </c>
    </row>
    <row r="2913">
      <c r="A2913" t="inlineStr">
        <is>
          <t>PRAGMA</t>
        </is>
      </c>
      <c r="B2913" t="inlineStr">
        <is>
          <t>M1</t>
        </is>
      </c>
      <c r="C2913" t="inlineStr">
        <is>
          <t>Cali</t>
        </is>
      </c>
      <c r="D2913" t="inlineStr">
        <is>
          <t>5336</t>
        </is>
      </c>
      <c r="E2913" t="inlineStr">
        <is>
          <t>pagado</t>
        </is>
      </c>
      <c r="F2913" s="23" t="n">
        <v>46266</v>
      </c>
      <c r="G2913" s="24">
        <f>F2913-DATE(2026,8,31)</f>
        <v>1</v>
      </c>
      <c r="H2913" s="25" t="n">
        <v>50836710</v>
      </c>
      <c r="I2913" t="inlineStr">
        <is>
          <t>entidad-dia</t>
        </is>
      </c>
    </row>
    <row r="2914">
      <c r="A2914" t="inlineStr">
        <is>
          <t>PRAGMA</t>
        </is>
      </c>
      <c r="B2914" t="inlineStr">
        <is>
          <t>M1</t>
        </is>
      </c>
      <c r="C2914" t="inlineStr">
        <is>
          <t>Cali</t>
        </is>
      </c>
      <c r="D2914" t="inlineStr">
        <is>
          <t>5336</t>
        </is>
      </c>
      <c r="E2914" t="inlineStr">
        <is>
          <t>pagado</t>
        </is>
      </c>
      <c r="F2914" s="23" t="n">
        <v>46267</v>
      </c>
      <c r="G2914" s="24">
        <f>F2914-DATE(2026,8,31)</f>
        <v>2</v>
      </c>
      <c r="H2914" s="25" t="n">
        <v>38563367</v>
      </c>
      <c r="I2914" t="inlineStr">
        <is>
          <t>entidad-dia</t>
        </is>
      </c>
    </row>
    <row r="2915">
      <c r="A2915" t="inlineStr">
        <is>
          <t>PRAGMA</t>
        </is>
      </c>
      <c r="B2915" t="inlineStr">
        <is>
          <t>M1</t>
        </is>
      </c>
      <c r="C2915" t="inlineStr">
        <is>
          <t>Cali</t>
        </is>
      </c>
      <c r="D2915" t="inlineStr">
        <is>
          <t>5336</t>
        </is>
      </c>
      <c r="E2915" t="inlineStr">
        <is>
          <t>pagado</t>
        </is>
      </c>
      <c r="F2915" s="23" t="n">
        <v>46268</v>
      </c>
      <c r="G2915" s="24">
        <f>F2915-DATE(2026,8,31)</f>
        <v>3</v>
      </c>
      <c r="H2915" s="25" t="n">
        <v>37935636</v>
      </c>
      <c r="I2915" t="inlineStr">
        <is>
          <t>entidad-dia</t>
        </is>
      </c>
    </row>
    <row r="2916">
      <c r="A2916" t="inlineStr">
        <is>
          <t>PRAGMA</t>
        </is>
      </c>
      <c r="B2916" t="inlineStr">
        <is>
          <t>M1</t>
        </is>
      </c>
      <c r="C2916" t="inlineStr">
        <is>
          <t>Cali</t>
        </is>
      </c>
      <c r="D2916" t="inlineStr">
        <is>
          <t>5336</t>
        </is>
      </c>
      <c r="E2916" t="inlineStr">
        <is>
          <t>pagado</t>
        </is>
      </c>
      <c r="F2916" s="23" t="n">
        <v>46269</v>
      </c>
      <c r="G2916" s="24">
        <f>F2916-DATE(2026,8,31)</f>
        <v>4</v>
      </c>
      <c r="H2916" s="25" t="n">
        <v>39392978</v>
      </c>
      <c r="I2916" t="inlineStr">
        <is>
          <t>entidad-dia</t>
        </is>
      </c>
    </row>
    <row r="2917">
      <c r="A2917" t="inlineStr">
        <is>
          <t>PRAGMA</t>
        </is>
      </c>
      <c r="B2917" t="inlineStr">
        <is>
          <t>M1</t>
        </is>
      </c>
      <c r="C2917" t="inlineStr">
        <is>
          <t>Cali</t>
        </is>
      </c>
      <c r="D2917" t="inlineStr">
        <is>
          <t>5336</t>
        </is>
      </c>
      <c r="E2917" t="inlineStr">
        <is>
          <t>pagado</t>
        </is>
      </c>
      <c r="F2917" s="23" t="n">
        <v>46270</v>
      </c>
      <c r="G2917" s="24">
        <f>F2917-DATE(2026,8,31)</f>
        <v>5</v>
      </c>
      <c r="H2917" s="25" t="n">
        <v>37106152</v>
      </c>
      <c r="I2917" t="inlineStr">
        <is>
          <t>entidad-dia</t>
        </is>
      </c>
    </row>
    <row r="2918">
      <c r="A2918" t="inlineStr">
        <is>
          <t>PRAGMA</t>
        </is>
      </c>
      <c r="B2918" t="inlineStr">
        <is>
          <t>M1</t>
        </is>
      </c>
      <c r="C2918" t="inlineStr">
        <is>
          <t>Cali</t>
        </is>
      </c>
      <c r="D2918" t="inlineStr">
        <is>
          <t>5336</t>
        </is>
      </c>
      <c r="E2918" t="inlineStr">
        <is>
          <t>pagado</t>
        </is>
      </c>
      <c r="F2918" s="23" t="n">
        <v>46271</v>
      </c>
      <c r="G2918" s="24">
        <f>F2918-DATE(2026,8,31)</f>
        <v>6</v>
      </c>
      <c r="H2918" s="25" t="n">
        <v>10286581</v>
      </c>
      <c r="I2918" t="inlineStr">
        <is>
          <t>entidad-dia</t>
        </is>
      </c>
    </row>
    <row r="2919">
      <c r="A2919" t="inlineStr">
        <is>
          <t>PRAGMA</t>
        </is>
      </c>
      <c r="B2919" t="inlineStr">
        <is>
          <t>M1</t>
        </is>
      </c>
      <c r="C2919" t="inlineStr">
        <is>
          <t>Cali</t>
        </is>
      </c>
      <c r="D2919" t="inlineStr">
        <is>
          <t>5336</t>
        </is>
      </c>
      <c r="E2919" t="inlineStr">
        <is>
          <t>pagado</t>
        </is>
      </c>
      <c r="F2919" s="23" t="n">
        <v>46272</v>
      </c>
      <c r="G2919" s="24">
        <f>F2919-DATE(2026,8,31)</f>
        <v>7</v>
      </c>
      <c r="H2919" s="25" t="n">
        <v>28420931</v>
      </c>
      <c r="I2919" t="inlineStr">
        <is>
          <t>entidad-dia</t>
        </is>
      </c>
    </row>
    <row r="2920">
      <c r="A2920" t="inlineStr">
        <is>
          <t>PRAGMA</t>
        </is>
      </c>
      <c r="B2920" t="inlineStr">
        <is>
          <t>M1</t>
        </is>
      </c>
      <c r="C2920" t="inlineStr">
        <is>
          <t>Cali</t>
        </is>
      </c>
      <c r="D2920" t="inlineStr">
        <is>
          <t>5336</t>
        </is>
      </c>
      <c r="E2920" t="inlineStr">
        <is>
          <t>pagado</t>
        </is>
      </c>
      <c r="F2920" s="23" t="n">
        <v>46273</v>
      </c>
      <c r="G2920" s="24">
        <f>F2920-DATE(2026,8,31)</f>
        <v>8</v>
      </c>
      <c r="H2920" s="25" t="n">
        <v>23799153</v>
      </c>
      <c r="I2920" t="inlineStr">
        <is>
          <t>entidad-dia</t>
        </is>
      </c>
    </row>
    <row r="2921">
      <c r="A2921" t="inlineStr">
        <is>
          <t>PRAGMA</t>
        </is>
      </c>
      <c r="B2921" t="inlineStr">
        <is>
          <t>M1</t>
        </is>
      </c>
      <c r="C2921" t="inlineStr">
        <is>
          <t>Cali</t>
        </is>
      </c>
      <c r="D2921" t="inlineStr">
        <is>
          <t>5336</t>
        </is>
      </c>
      <c r="E2921" t="inlineStr">
        <is>
          <t>pagado</t>
        </is>
      </c>
      <c r="F2921" s="23" t="n">
        <v>46274</v>
      </c>
      <c r="G2921" s="24">
        <f>F2921-DATE(2026,8,31)</f>
        <v>9</v>
      </c>
      <c r="H2921" s="25" t="n">
        <v>25091262</v>
      </c>
      <c r="I2921" t="inlineStr">
        <is>
          <t>entidad-dia</t>
        </is>
      </c>
    </row>
    <row r="2922">
      <c r="A2922" t="inlineStr">
        <is>
          <t>PRAGMA</t>
        </is>
      </c>
      <c r="B2922" t="inlineStr">
        <is>
          <t>M1</t>
        </is>
      </c>
      <c r="C2922" t="inlineStr">
        <is>
          <t>Cali</t>
        </is>
      </c>
      <c r="D2922" t="inlineStr">
        <is>
          <t>5336</t>
        </is>
      </c>
      <c r="E2922" t="inlineStr">
        <is>
          <t>pagado</t>
        </is>
      </c>
      <c r="F2922" s="23" t="n">
        <v>46275</v>
      </c>
      <c r="G2922" s="24">
        <f>F2922-DATE(2026,8,31)</f>
        <v>10</v>
      </c>
      <c r="H2922" s="25" t="n">
        <v>32811142</v>
      </c>
      <c r="I2922" t="inlineStr">
        <is>
          <t>entidad-dia</t>
        </is>
      </c>
    </row>
    <row r="2923">
      <c r="A2923" t="inlineStr">
        <is>
          <t>PRAGMA</t>
        </is>
      </c>
      <c r="B2923" t="inlineStr">
        <is>
          <t>M1</t>
        </is>
      </c>
      <c r="C2923" t="inlineStr">
        <is>
          <t>Cali</t>
        </is>
      </c>
      <c r="D2923" t="inlineStr">
        <is>
          <t>5336</t>
        </is>
      </c>
      <c r="E2923" t="inlineStr">
        <is>
          <t>pagado</t>
        </is>
      </c>
      <c r="F2923" s="23" t="n">
        <v>46276</v>
      </c>
      <c r="G2923" s="24">
        <f>F2923-DATE(2026,8,31)</f>
        <v>11</v>
      </c>
      <c r="H2923" s="25" t="n">
        <v>35000388</v>
      </c>
      <c r="I2923" t="inlineStr">
        <is>
          <t>entidad-dia</t>
        </is>
      </c>
    </row>
    <row r="2924">
      <c r="A2924" t="inlineStr">
        <is>
          <t>PRAGMA</t>
        </is>
      </c>
      <c r="B2924" t="inlineStr">
        <is>
          <t>M1</t>
        </is>
      </c>
      <c r="C2924" t="inlineStr">
        <is>
          <t>Cali</t>
        </is>
      </c>
      <c r="D2924" t="inlineStr">
        <is>
          <t>5336</t>
        </is>
      </c>
      <c r="E2924" t="inlineStr">
        <is>
          <t>pagado</t>
        </is>
      </c>
      <c r="F2924" s="23" t="n">
        <v>46277</v>
      </c>
      <c r="G2924" s="24">
        <f>F2924-DATE(2026,8,31)</f>
        <v>12</v>
      </c>
      <c r="H2924" s="25" t="n">
        <v>35007537</v>
      </c>
      <c r="I2924" t="inlineStr">
        <is>
          <t>entidad-dia</t>
        </is>
      </c>
    </row>
    <row r="2925">
      <c r="A2925" t="inlineStr">
        <is>
          <t>PRAGMA</t>
        </is>
      </c>
      <c r="B2925" t="inlineStr">
        <is>
          <t>M1</t>
        </is>
      </c>
      <c r="C2925" t="inlineStr">
        <is>
          <t>Cali</t>
        </is>
      </c>
      <c r="D2925" t="inlineStr">
        <is>
          <t>5336</t>
        </is>
      </c>
      <c r="E2925" t="inlineStr">
        <is>
          <t>pagado</t>
        </is>
      </c>
      <c r="F2925" s="23" t="n">
        <v>46278</v>
      </c>
      <c r="G2925" s="24">
        <f>F2925-DATE(2026,8,31)</f>
        <v>13</v>
      </c>
      <c r="H2925" s="25" t="n">
        <v>10767235</v>
      </c>
      <c r="I2925" t="inlineStr">
        <is>
          <t>entidad-dia</t>
        </is>
      </c>
    </row>
    <row r="2926">
      <c r="A2926" t="inlineStr">
        <is>
          <t>PRAGMA</t>
        </is>
      </c>
      <c r="B2926" t="inlineStr">
        <is>
          <t>M1</t>
        </is>
      </c>
      <c r="C2926" t="inlineStr">
        <is>
          <t>Cali</t>
        </is>
      </c>
      <c r="D2926" t="inlineStr">
        <is>
          <t>5336</t>
        </is>
      </c>
      <c r="E2926" t="inlineStr">
        <is>
          <t>pagado</t>
        </is>
      </c>
      <c r="F2926" s="23" t="n">
        <v>46279</v>
      </c>
      <c r="G2926" s="24">
        <f>F2926-DATE(2026,8,31)</f>
        <v>14</v>
      </c>
      <c r="H2926" s="25" t="n">
        <v>30769231</v>
      </c>
      <c r="I2926" t="inlineStr">
        <is>
          <t>entidad-dia</t>
        </is>
      </c>
    </row>
    <row r="2927">
      <c r="A2927" t="inlineStr">
        <is>
          <t>PRAGMA</t>
        </is>
      </c>
      <c r="B2927" t="inlineStr">
        <is>
          <t>M1</t>
        </is>
      </c>
      <c r="C2927" t="inlineStr">
        <is>
          <t>Cali</t>
        </is>
      </c>
      <c r="D2927" t="inlineStr">
        <is>
          <t>5336</t>
        </is>
      </c>
      <c r="E2927" t="inlineStr">
        <is>
          <t>pagado</t>
        </is>
      </c>
      <c r="F2927" s="23" t="n">
        <v>46280</v>
      </c>
      <c r="G2927" s="24">
        <f>F2927-DATE(2026,8,31)</f>
        <v>15</v>
      </c>
      <c r="H2927" s="25" t="n">
        <v>53664431</v>
      </c>
      <c r="I2927" t="inlineStr">
        <is>
          <t>entidad-dia</t>
        </is>
      </c>
    </row>
    <row r="2928">
      <c r="A2928" t="inlineStr">
        <is>
          <t>PRAGMA</t>
        </is>
      </c>
      <c r="B2928" t="inlineStr">
        <is>
          <t>M1</t>
        </is>
      </c>
      <c r="C2928" t="inlineStr">
        <is>
          <t>Cali</t>
        </is>
      </c>
      <c r="D2928" t="inlineStr">
        <is>
          <t>5382</t>
        </is>
      </c>
      <c r="E2928" t="inlineStr">
        <is>
          <t>pagado</t>
        </is>
      </c>
      <c r="F2928" s="23" t="n">
        <v>46266</v>
      </c>
      <c r="G2928" s="24">
        <f>F2928-DATE(2026,8,31)</f>
        <v>1</v>
      </c>
      <c r="H2928" s="25" t="n">
        <v>277813158</v>
      </c>
      <c r="I2928" t="inlineStr">
        <is>
          <t>entidad-dia</t>
        </is>
      </c>
    </row>
    <row r="2929">
      <c r="A2929" t="inlineStr">
        <is>
          <t>PRAGMA</t>
        </is>
      </c>
      <c r="B2929" t="inlineStr">
        <is>
          <t>M1</t>
        </is>
      </c>
      <c r="C2929" t="inlineStr">
        <is>
          <t>Cali</t>
        </is>
      </c>
      <c r="D2929" t="inlineStr">
        <is>
          <t>5382</t>
        </is>
      </c>
      <c r="E2929" t="inlineStr">
        <is>
          <t>pagado</t>
        </is>
      </c>
      <c r="F2929" s="23" t="n">
        <v>46267</v>
      </c>
      <c r="G2929" s="24">
        <f>F2929-DATE(2026,8,31)</f>
        <v>2</v>
      </c>
      <c r="H2929" s="25" t="n">
        <v>202708104</v>
      </c>
      <c r="I2929" t="inlineStr">
        <is>
          <t>entidad-dia</t>
        </is>
      </c>
    </row>
    <row r="2930">
      <c r="A2930" t="inlineStr">
        <is>
          <t>PRAGMA</t>
        </is>
      </c>
      <c r="B2930" t="inlineStr">
        <is>
          <t>M1</t>
        </is>
      </c>
      <c r="C2930" t="inlineStr">
        <is>
          <t>Cali</t>
        </is>
      </c>
      <c r="D2930" t="inlineStr">
        <is>
          <t>5382</t>
        </is>
      </c>
      <c r="E2930" t="inlineStr">
        <is>
          <t>pagado</t>
        </is>
      </c>
      <c r="F2930" s="23" t="n">
        <v>46268</v>
      </c>
      <c r="G2930" s="24">
        <f>F2930-DATE(2026,8,31)</f>
        <v>3</v>
      </c>
      <c r="H2930" s="25" t="n">
        <v>197578479</v>
      </c>
      <c r="I2930" t="inlineStr">
        <is>
          <t>entidad-dia</t>
        </is>
      </c>
    </row>
    <row r="2931">
      <c r="A2931" t="inlineStr">
        <is>
          <t>PRAGMA</t>
        </is>
      </c>
      <c r="B2931" t="inlineStr">
        <is>
          <t>M1</t>
        </is>
      </c>
      <c r="C2931" t="inlineStr">
        <is>
          <t>Cali</t>
        </is>
      </c>
      <c r="D2931" t="inlineStr">
        <is>
          <t>5382</t>
        </is>
      </c>
      <c r="E2931" t="inlineStr">
        <is>
          <t>pagado</t>
        </is>
      </c>
      <c r="F2931" s="23" t="n">
        <v>46269</v>
      </c>
      <c r="G2931" s="24">
        <f>F2931-DATE(2026,8,31)</f>
        <v>4</v>
      </c>
      <c r="H2931" s="25" t="n">
        <v>184330122</v>
      </c>
      <c r="I2931" t="inlineStr">
        <is>
          <t>entidad-dia</t>
        </is>
      </c>
    </row>
    <row r="2932">
      <c r="A2932" t="inlineStr">
        <is>
          <t>PRAGMA</t>
        </is>
      </c>
      <c r="B2932" t="inlineStr">
        <is>
          <t>M1</t>
        </is>
      </c>
      <c r="C2932" t="inlineStr">
        <is>
          <t>Cali</t>
        </is>
      </c>
      <c r="D2932" t="inlineStr">
        <is>
          <t>5382</t>
        </is>
      </c>
      <c r="E2932" t="inlineStr">
        <is>
          <t>pagado</t>
        </is>
      </c>
      <c r="F2932" s="23" t="n">
        <v>46270</v>
      </c>
      <c r="G2932" s="24">
        <f>F2932-DATE(2026,8,31)</f>
        <v>5</v>
      </c>
      <c r="H2932" s="25" t="n">
        <v>165477850</v>
      </c>
      <c r="I2932" t="inlineStr">
        <is>
          <t>entidad-dia</t>
        </is>
      </c>
    </row>
    <row r="2933">
      <c r="A2933" t="inlineStr">
        <is>
          <t>PRAGMA</t>
        </is>
      </c>
      <c r="B2933" t="inlineStr">
        <is>
          <t>M1</t>
        </is>
      </c>
      <c r="C2933" t="inlineStr">
        <is>
          <t>Cali</t>
        </is>
      </c>
      <c r="D2933" t="inlineStr">
        <is>
          <t>5382</t>
        </is>
      </c>
      <c r="E2933" t="inlineStr">
        <is>
          <t>pagado</t>
        </is>
      </c>
      <c r="F2933" s="23" t="n">
        <v>46271</v>
      </c>
      <c r="G2933" s="24">
        <f>F2933-DATE(2026,8,31)</f>
        <v>6</v>
      </c>
      <c r="H2933" s="25" t="n">
        <v>97398848</v>
      </c>
      <c r="I2933" t="inlineStr">
        <is>
          <t>entidad-dia</t>
        </is>
      </c>
    </row>
    <row r="2934">
      <c r="A2934" t="inlineStr">
        <is>
          <t>PRAGMA</t>
        </is>
      </c>
      <c r="B2934" t="inlineStr">
        <is>
          <t>M1</t>
        </is>
      </c>
      <c r="C2934" t="inlineStr">
        <is>
          <t>Cali</t>
        </is>
      </c>
      <c r="D2934" t="inlineStr">
        <is>
          <t>5382</t>
        </is>
      </c>
      <c r="E2934" t="inlineStr">
        <is>
          <t>pagado</t>
        </is>
      </c>
      <c r="F2934" s="23" t="n">
        <v>46272</v>
      </c>
      <c r="G2934" s="24">
        <f>F2934-DATE(2026,8,31)</f>
        <v>7</v>
      </c>
      <c r="H2934" s="25" t="n">
        <v>106973185</v>
      </c>
      <c r="I2934" t="inlineStr">
        <is>
          <t>entidad-dia</t>
        </is>
      </c>
    </row>
    <row r="2935">
      <c r="A2935" t="inlineStr">
        <is>
          <t>PRAGMA</t>
        </is>
      </c>
      <c r="B2935" t="inlineStr">
        <is>
          <t>M1</t>
        </is>
      </c>
      <c r="C2935" t="inlineStr">
        <is>
          <t>Cali</t>
        </is>
      </c>
      <c r="D2935" t="inlineStr">
        <is>
          <t>5382</t>
        </is>
      </c>
      <c r="E2935" t="inlineStr">
        <is>
          <t>pagado</t>
        </is>
      </c>
      <c r="F2935" s="23" t="n">
        <v>46273</v>
      </c>
      <c r="G2935" s="24">
        <f>F2935-DATE(2026,8,31)</f>
        <v>8</v>
      </c>
      <c r="H2935" s="25" t="n">
        <v>119150437</v>
      </c>
      <c r="I2935" t="inlineStr">
        <is>
          <t>entidad-dia</t>
        </is>
      </c>
    </row>
    <row r="2936">
      <c r="A2936" t="inlineStr">
        <is>
          <t>PRAGMA</t>
        </is>
      </c>
      <c r="B2936" t="inlineStr">
        <is>
          <t>M1</t>
        </is>
      </c>
      <c r="C2936" t="inlineStr">
        <is>
          <t>Cali</t>
        </is>
      </c>
      <c r="D2936" t="inlineStr">
        <is>
          <t>5382</t>
        </is>
      </c>
      <c r="E2936" t="inlineStr">
        <is>
          <t>pagado</t>
        </is>
      </c>
      <c r="F2936" s="23" t="n">
        <v>46274</v>
      </c>
      <c r="G2936" s="24">
        <f>F2936-DATE(2026,8,31)</f>
        <v>9</v>
      </c>
      <c r="H2936" s="25" t="n">
        <v>114419644</v>
      </c>
      <c r="I2936" t="inlineStr">
        <is>
          <t>entidad-dia</t>
        </is>
      </c>
    </row>
    <row r="2937">
      <c r="A2937" t="inlineStr">
        <is>
          <t>PRAGMA</t>
        </is>
      </c>
      <c r="B2937" t="inlineStr">
        <is>
          <t>M1</t>
        </is>
      </c>
      <c r="C2937" t="inlineStr">
        <is>
          <t>Cali</t>
        </is>
      </c>
      <c r="D2937" t="inlineStr">
        <is>
          <t>5382</t>
        </is>
      </c>
      <c r="E2937" t="inlineStr">
        <is>
          <t>pagado</t>
        </is>
      </c>
      <c r="F2937" s="23" t="n">
        <v>46275</v>
      </c>
      <c r="G2937" s="24">
        <f>F2937-DATE(2026,8,31)</f>
        <v>10</v>
      </c>
      <c r="H2937" s="25" t="n">
        <v>102911767</v>
      </c>
      <c r="I2937" t="inlineStr">
        <is>
          <t>entidad-dia</t>
        </is>
      </c>
    </row>
    <row r="2938">
      <c r="A2938" t="inlineStr">
        <is>
          <t>PRAGMA</t>
        </is>
      </c>
      <c r="B2938" t="inlineStr">
        <is>
          <t>M1</t>
        </is>
      </c>
      <c r="C2938" t="inlineStr">
        <is>
          <t>Cali</t>
        </is>
      </c>
      <c r="D2938" t="inlineStr">
        <is>
          <t>5382</t>
        </is>
      </c>
      <c r="E2938" t="inlineStr">
        <is>
          <t>pagado</t>
        </is>
      </c>
      <c r="F2938" s="23" t="n">
        <v>46276</v>
      </c>
      <c r="G2938" s="24">
        <f>F2938-DATE(2026,8,31)</f>
        <v>11</v>
      </c>
      <c r="H2938" s="25" t="n">
        <v>108414507</v>
      </c>
      <c r="I2938" t="inlineStr">
        <is>
          <t>entidad-dia</t>
        </is>
      </c>
    </row>
    <row r="2939">
      <c r="A2939" t="inlineStr">
        <is>
          <t>PRAGMA</t>
        </is>
      </c>
      <c r="B2939" t="inlineStr">
        <is>
          <t>M1</t>
        </is>
      </c>
      <c r="C2939" t="inlineStr">
        <is>
          <t>Cali</t>
        </is>
      </c>
      <c r="D2939" t="inlineStr">
        <is>
          <t>5382</t>
        </is>
      </c>
      <c r="E2939" t="inlineStr">
        <is>
          <t>pagado</t>
        </is>
      </c>
      <c r="F2939" s="23" t="n">
        <v>46277</v>
      </c>
      <c r="G2939" s="24">
        <f>F2939-DATE(2026,8,31)</f>
        <v>12</v>
      </c>
      <c r="H2939" s="25" t="n">
        <v>104981894</v>
      </c>
      <c r="I2939" t="inlineStr">
        <is>
          <t>entidad-dia</t>
        </is>
      </c>
    </row>
    <row r="2940">
      <c r="A2940" t="inlineStr">
        <is>
          <t>PRAGMA</t>
        </is>
      </c>
      <c r="B2940" t="inlineStr">
        <is>
          <t>M1</t>
        </is>
      </c>
      <c r="C2940" t="inlineStr">
        <is>
          <t>Cali</t>
        </is>
      </c>
      <c r="D2940" t="inlineStr">
        <is>
          <t>5382</t>
        </is>
      </c>
      <c r="E2940" t="inlineStr">
        <is>
          <t>pagado</t>
        </is>
      </c>
      <c r="F2940" s="23" t="n">
        <v>46278</v>
      </c>
      <c r="G2940" s="24">
        <f>F2940-DATE(2026,8,31)</f>
        <v>13</v>
      </c>
      <c r="H2940" s="25" t="n">
        <v>74126268</v>
      </c>
      <c r="I2940" t="inlineStr">
        <is>
          <t>entidad-dia</t>
        </is>
      </c>
    </row>
    <row r="2941">
      <c r="A2941" t="inlineStr">
        <is>
          <t>PRAGMA</t>
        </is>
      </c>
      <c r="B2941" t="inlineStr">
        <is>
          <t>M1</t>
        </is>
      </c>
      <c r="C2941" t="inlineStr">
        <is>
          <t>Cali</t>
        </is>
      </c>
      <c r="D2941" t="inlineStr">
        <is>
          <t>5382</t>
        </is>
      </c>
      <c r="E2941" t="inlineStr">
        <is>
          <t>pagado</t>
        </is>
      </c>
      <c r="F2941" s="23" t="n">
        <v>46279</v>
      </c>
      <c r="G2941" s="24">
        <f>F2941-DATE(2026,8,31)</f>
        <v>14</v>
      </c>
      <c r="H2941" s="25" t="n">
        <v>120425748</v>
      </c>
      <c r="I2941" t="inlineStr">
        <is>
          <t>entidad-dia</t>
        </is>
      </c>
    </row>
    <row r="2942">
      <c r="A2942" t="inlineStr">
        <is>
          <t>PRAGMA</t>
        </is>
      </c>
      <c r="B2942" t="inlineStr">
        <is>
          <t>M1</t>
        </is>
      </c>
      <c r="C2942" t="inlineStr">
        <is>
          <t>Cali</t>
        </is>
      </c>
      <c r="D2942" t="inlineStr">
        <is>
          <t>5382</t>
        </is>
      </c>
      <c r="E2942" t="inlineStr">
        <is>
          <t>pagado</t>
        </is>
      </c>
      <c r="F2942" s="23" t="n">
        <v>46280</v>
      </c>
      <c r="G2942" s="24">
        <f>F2942-DATE(2026,8,31)</f>
        <v>15</v>
      </c>
      <c r="H2942" s="25" t="n">
        <v>205048854</v>
      </c>
      <c r="I2942" t="inlineStr">
        <is>
          <t>entidad-dia</t>
        </is>
      </c>
    </row>
    <row r="2943">
      <c r="A2943" t="inlineStr">
        <is>
          <t>PRAGMA</t>
        </is>
      </c>
      <c r="B2943" t="inlineStr">
        <is>
          <t>M1</t>
        </is>
      </c>
      <c r="C2943" t="inlineStr">
        <is>
          <t>Cali</t>
        </is>
      </c>
      <c r="D2943" t="inlineStr">
        <is>
          <t>5397</t>
        </is>
      </c>
      <c r="E2943" t="inlineStr">
        <is>
          <t>pagado</t>
        </is>
      </c>
      <c r="F2943" s="23" t="n">
        <v>46266</v>
      </c>
      <c r="G2943" s="24">
        <f>F2943-DATE(2026,8,31)</f>
        <v>1</v>
      </c>
      <c r="H2943" s="25" t="n">
        <v>148395989</v>
      </c>
      <c r="I2943" t="inlineStr">
        <is>
          <t>entidad-dia</t>
        </is>
      </c>
    </row>
    <row r="2944">
      <c r="A2944" t="inlineStr">
        <is>
          <t>PRAGMA</t>
        </is>
      </c>
      <c r="B2944" t="inlineStr">
        <is>
          <t>M1</t>
        </is>
      </c>
      <c r="C2944" t="inlineStr">
        <is>
          <t>Cali</t>
        </is>
      </c>
      <c r="D2944" t="inlineStr">
        <is>
          <t>5397</t>
        </is>
      </c>
      <c r="E2944" t="inlineStr">
        <is>
          <t>pagado</t>
        </is>
      </c>
      <c r="F2944" s="23" t="n">
        <v>46267</v>
      </c>
      <c r="G2944" s="24">
        <f>F2944-DATE(2026,8,31)</f>
        <v>2</v>
      </c>
      <c r="H2944" s="25" t="n">
        <v>123342069</v>
      </c>
      <c r="I2944" t="inlineStr">
        <is>
          <t>entidad-dia</t>
        </is>
      </c>
    </row>
    <row r="2945">
      <c r="A2945" t="inlineStr">
        <is>
          <t>PRAGMA</t>
        </is>
      </c>
      <c r="B2945" t="inlineStr">
        <is>
          <t>M1</t>
        </is>
      </c>
      <c r="C2945" t="inlineStr">
        <is>
          <t>Cali</t>
        </is>
      </c>
      <c r="D2945" t="inlineStr">
        <is>
          <t>5397</t>
        </is>
      </c>
      <c r="E2945" t="inlineStr">
        <is>
          <t>pagado</t>
        </is>
      </c>
      <c r="F2945" s="23" t="n">
        <v>46268</v>
      </c>
      <c r="G2945" s="24">
        <f>F2945-DATE(2026,8,31)</f>
        <v>3</v>
      </c>
      <c r="H2945" s="25" t="n">
        <v>116416095</v>
      </c>
      <c r="I2945" t="inlineStr">
        <is>
          <t>entidad-dia</t>
        </is>
      </c>
    </row>
    <row r="2946">
      <c r="A2946" t="inlineStr">
        <is>
          <t>PRAGMA</t>
        </is>
      </c>
      <c r="B2946" t="inlineStr">
        <is>
          <t>M1</t>
        </is>
      </c>
      <c r="C2946" t="inlineStr">
        <is>
          <t>Cali</t>
        </is>
      </c>
      <c r="D2946" t="inlineStr">
        <is>
          <t>5397</t>
        </is>
      </c>
      <c r="E2946" t="inlineStr">
        <is>
          <t>pagado</t>
        </is>
      </c>
      <c r="F2946" s="23" t="n">
        <v>46269</v>
      </c>
      <c r="G2946" s="24">
        <f>F2946-DATE(2026,8,31)</f>
        <v>4</v>
      </c>
      <c r="H2946" s="25" t="n">
        <v>120963503</v>
      </c>
      <c r="I2946" t="inlineStr">
        <is>
          <t>entidad-dia</t>
        </is>
      </c>
    </row>
    <row r="2947">
      <c r="A2947" t="inlineStr">
        <is>
          <t>PRAGMA</t>
        </is>
      </c>
      <c r="B2947" t="inlineStr">
        <is>
          <t>M1</t>
        </is>
      </c>
      <c r="C2947" t="inlineStr">
        <is>
          <t>Cali</t>
        </is>
      </c>
      <c r="D2947" t="inlineStr">
        <is>
          <t>5397</t>
        </is>
      </c>
      <c r="E2947" t="inlineStr">
        <is>
          <t>pagado</t>
        </is>
      </c>
      <c r="F2947" s="23" t="n">
        <v>46270</v>
      </c>
      <c r="G2947" s="24">
        <f>F2947-DATE(2026,8,31)</f>
        <v>5</v>
      </c>
      <c r="H2947" s="25" t="n">
        <v>107118128</v>
      </c>
      <c r="I2947" t="inlineStr">
        <is>
          <t>entidad-dia</t>
        </is>
      </c>
    </row>
    <row r="2948">
      <c r="A2948" t="inlineStr">
        <is>
          <t>PRAGMA</t>
        </is>
      </c>
      <c r="B2948" t="inlineStr">
        <is>
          <t>M1</t>
        </is>
      </c>
      <c r="C2948" t="inlineStr">
        <is>
          <t>Cali</t>
        </is>
      </c>
      <c r="D2948" t="inlineStr">
        <is>
          <t>5397</t>
        </is>
      </c>
      <c r="E2948" t="inlineStr">
        <is>
          <t>pagado</t>
        </is>
      </c>
      <c r="F2948" s="23" t="n">
        <v>46271</v>
      </c>
      <c r="G2948" s="24">
        <f>F2948-DATE(2026,8,31)</f>
        <v>6</v>
      </c>
      <c r="H2948" s="25" t="n">
        <v>72903491</v>
      </c>
      <c r="I2948" t="inlineStr">
        <is>
          <t>entidad-dia</t>
        </is>
      </c>
    </row>
    <row r="2949">
      <c r="A2949" t="inlineStr">
        <is>
          <t>PRAGMA</t>
        </is>
      </c>
      <c r="B2949" t="inlineStr">
        <is>
          <t>M1</t>
        </is>
      </c>
      <c r="C2949" t="inlineStr">
        <is>
          <t>Cali</t>
        </is>
      </c>
      <c r="D2949" t="inlineStr">
        <is>
          <t>5397</t>
        </is>
      </c>
      <c r="E2949" t="inlineStr">
        <is>
          <t>pagado</t>
        </is>
      </c>
      <c r="F2949" s="23" t="n">
        <v>46272</v>
      </c>
      <c r="G2949" s="24">
        <f>F2949-DATE(2026,8,31)</f>
        <v>7</v>
      </c>
      <c r="H2949" s="25" t="n">
        <v>99130286</v>
      </c>
      <c r="I2949" t="inlineStr">
        <is>
          <t>entidad-dia</t>
        </is>
      </c>
    </row>
    <row r="2950">
      <c r="A2950" t="inlineStr">
        <is>
          <t>PRAGMA</t>
        </is>
      </c>
      <c r="B2950" t="inlineStr">
        <is>
          <t>M1</t>
        </is>
      </c>
      <c r="C2950" t="inlineStr">
        <is>
          <t>Cali</t>
        </is>
      </c>
      <c r="D2950" t="inlineStr">
        <is>
          <t>5397</t>
        </is>
      </c>
      <c r="E2950" t="inlineStr">
        <is>
          <t>pagado</t>
        </is>
      </c>
      <c r="F2950" s="23" t="n">
        <v>46273</v>
      </c>
      <c r="G2950" s="24">
        <f>F2950-DATE(2026,8,31)</f>
        <v>8</v>
      </c>
      <c r="H2950" s="25" t="n">
        <v>96372691</v>
      </c>
      <c r="I2950" t="inlineStr">
        <is>
          <t>entidad-dia</t>
        </is>
      </c>
    </row>
    <row r="2951">
      <c r="A2951" t="inlineStr">
        <is>
          <t>PRAGMA</t>
        </is>
      </c>
      <c r="B2951" t="inlineStr">
        <is>
          <t>M1</t>
        </is>
      </c>
      <c r="C2951" t="inlineStr">
        <is>
          <t>Cali</t>
        </is>
      </c>
      <c r="D2951" t="inlineStr">
        <is>
          <t>5397</t>
        </is>
      </c>
      <c r="E2951" t="inlineStr">
        <is>
          <t>pagado</t>
        </is>
      </c>
      <c r="F2951" s="23" t="n">
        <v>46274</v>
      </c>
      <c r="G2951" s="24">
        <f>F2951-DATE(2026,8,31)</f>
        <v>9</v>
      </c>
      <c r="H2951" s="25" t="n">
        <v>86778198</v>
      </c>
      <c r="I2951" t="inlineStr">
        <is>
          <t>entidad-dia</t>
        </is>
      </c>
    </row>
    <row r="2952">
      <c r="A2952" t="inlineStr">
        <is>
          <t>PRAGMA</t>
        </is>
      </c>
      <c r="B2952" t="inlineStr">
        <is>
          <t>M1</t>
        </is>
      </c>
      <c r="C2952" t="inlineStr">
        <is>
          <t>Cali</t>
        </is>
      </c>
      <c r="D2952" t="inlineStr">
        <is>
          <t>5397</t>
        </is>
      </c>
      <c r="E2952" t="inlineStr">
        <is>
          <t>pagado</t>
        </is>
      </c>
      <c r="F2952" s="23" t="n">
        <v>46275</v>
      </c>
      <c r="G2952" s="24">
        <f>F2952-DATE(2026,8,31)</f>
        <v>10</v>
      </c>
      <c r="H2952" s="25" t="n">
        <v>87763063</v>
      </c>
      <c r="I2952" t="inlineStr">
        <is>
          <t>entidad-dia</t>
        </is>
      </c>
    </row>
    <row r="2953">
      <c r="A2953" t="inlineStr">
        <is>
          <t>PRAGMA</t>
        </is>
      </c>
      <c r="B2953" t="inlineStr">
        <is>
          <t>M1</t>
        </is>
      </c>
      <c r="C2953" t="inlineStr">
        <is>
          <t>Cali</t>
        </is>
      </c>
      <c r="D2953" t="inlineStr">
        <is>
          <t>5397</t>
        </is>
      </c>
      <c r="E2953" t="inlineStr">
        <is>
          <t>pagado</t>
        </is>
      </c>
      <c r="F2953" s="23" t="n">
        <v>46276</v>
      </c>
      <c r="G2953" s="24">
        <f>F2953-DATE(2026,8,31)</f>
        <v>11</v>
      </c>
      <c r="H2953" s="25" t="n">
        <v>94477299</v>
      </c>
      <c r="I2953" t="inlineStr">
        <is>
          <t>entidad-dia</t>
        </is>
      </c>
    </row>
    <row r="2954">
      <c r="A2954" t="inlineStr">
        <is>
          <t>PRAGMA</t>
        </is>
      </c>
      <c r="B2954" t="inlineStr">
        <is>
          <t>M1</t>
        </is>
      </c>
      <c r="C2954" t="inlineStr">
        <is>
          <t>Cali</t>
        </is>
      </c>
      <c r="D2954" t="inlineStr">
        <is>
          <t>5397</t>
        </is>
      </c>
      <c r="E2954" t="inlineStr">
        <is>
          <t>pagado</t>
        </is>
      </c>
      <c r="F2954" s="23" t="n">
        <v>46277</v>
      </c>
      <c r="G2954" s="24">
        <f>F2954-DATE(2026,8,31)</f>
        <v>12</v>
      </c>
      <c r="H2954" s="25" t="n">
        <v>81784251</v>
      </c>
      <c r="I2954" t="inlineStr">
        <is>
          <t>entidad-dia</t>
        </is>
      </c>
    </row>
    <row r="2955">
      <c r="A2955" t="inlineStr">
        <is>
          <t>PRAGMA</t>
        </is>
      </c>
      <c r="B2955" t="inlineStr">
        <is>
          <t>M1</t>
        </is>
      </c>
      <c r="C2955" t="inlineStr">
        <is>
          <t>Cali</t>
        </is>
      </c>
      <c r="D2955" t="inlineStr">
        <is>
          <t>5397</t>
        </is>
      </c>
      <c r="E2955" t="inlineStr">
        <is>
          <t>pagado</t>
        </is>
      </c>
      <c r="F2955" s="23" t="n">
        <v>46278</v>
      </c>
      <c r="G2955" s="24">
        <f>F2955-DATE(2026,8,31)</f>
        <v>13</v>
      </c>
      <c r="H2955" s="25" t="n">
        <v>55581030</v>
      </c>
      <c r="I2955" t="inlineStr">
        <is>
          <t>entidad-dia</t>
        </is>
      </c>
    </row>
    <row r="2956">
      <c r="A2956" t="inlineStr">
        <is>
          <t>PRAGMA</t>
        </is>
      </c>
      <c r="B2956" t="inlineStr">
        <is>
          <t>M1</t>
        </is>
      </c>
      <c r="C2956" t="inlineStr">
        <is>
          <t>Cali</t>
        </is>
      </c>
      <c r="D2956" t="inlineStr">
        <is>
          <t>5397</t>
        </is>
      </c>
      <c r="E2956" t="inlineStr">
        <is>
          <t>pagado</t>
        </is>
      </c>
      <c r="F2956" s="23" t="n">
        <v>46279</v>
      </c>
      <c r="G2956" s="24">
        <f>F2956-DATE(2026,8,31)</f>
        <v>14</v>
      </c>
      <c r="H2956" s="25" t="n">
        <v>92327063</v>
      </c>
      <c r="I2956" t="inlineStr">
        <is>
          <t>entidad-dia</t>
        </is>
      </c>
    </row>
    <row r="2957">
      <c r="A2957" t="inlineStr">
        <is>
          <t>PRAGMA</t>
        </is>
      </c>
      <c r="B2957" t="inlineStr">
        <is>
          <t>M1</t>
        </is>
      </c>
      <c r="C2957" t="inlineStr">
        <is>
          <t>Cali</t>
        </is>
      </c>
      <c r="D2957" t="inlineStr">
        <is>
          <t>5397</t>
        </is>
      </c>
      <c r="E2957" t="inlineStr">
        <is>
          <t>pagado</t>
        </is>
      </c>
      <c r="F2957" s="23" t="n">
        <v>46280</v>
      </c>
      <c r="G2957" s="24">
        <f>F2957-DATE(2026,8,31)</f>
        <v>15</v>
      </c>
      <c r="H2957" s="25" t="n">
        <v>117476474</v>
      </c>
      <c r="I2957" t="inlineStr">
        <is>
          <t>entidad-dia</t>
        </is>
      </c>
    </row>
    <row r="2958">
      <c r="A2958" t="inlineStr">
        <is>
          <t>PRAGMA</t>
        </is>
      </c>
      <c r="B2958" t="inlineStr">
        <is>
          <t>M1</t>
        </is>
      </c>
      <c r="C2958" t="inlineStr">
        <is>
          <t>Cali</t>
        </is>
      </c>
      <c r="D2958" t="inlineStr">
        <is>
          <t>5406</t>
        </is>
      </c>
      <c r="E2958" t="inlineStr">
        <is>
          <t>pagado</t>
        </is>
      </c>
      <c r="F2958" s="23" t="n">
        <v>46266</v>
      </c>
      <c r="G2958" s="24">
        <f>F2958-DATE(2026,8,31)</f>
        <v>1</v>
      </c>
      <c r="H2958" s="25" t="n">
        <v>58830820</v>
      </c>
      <c r="I2958" t="inlineStr">
        <is>
          <t>entidad-dia</t>
        </is>
      </c>
    </row>
    <row r="2959">
      <c r="A2959" t="inlineStr">
        <is>
          <t>PRAGMA</t>
        </is>
      </c>
      <c r="B2959" t="inlineStr">
        <is>
          <t>M1</t>
        </is>
      </c>
      <c r="C2959" t="inlineStr">
        <is>
          <t>Cali</t>
        </is>
      </c>
      <c r="D2959" t="inlineStr">
        <is>
          <t>5406</t>
        </is>
      </c>
      <c r="E2959" t="inlineStr">
        <is>
          <t>pagado</t>
        </is>
      </c>
      <c r="F2959" s="23" t="n">
        <v>46267</v>
      </c>
      <c r="G2959" s="24">
        <f>F2959-DATE(2026,8,31)</f>
        <v>2</v>
      </c>
      <c r="H2959" s="25" t="n">
        <v>48061089</v>
      </c>
      <c r="I2959" t="inlineStr">
        <is>
          <t>entidad-dia</t>
        </is>
      </c>
    </row>
    <row r="2960">
      <c r="A2960" t="inlineStr">
        <is>
          <t>PRAGMA</t>
        </is>
      </c>
      <c r="B2960" t="inlineStr">
        <is>
          <t>M1</t>
        </is>
      </c>
      <c r="C2960" t="inlineStr">
        <is>
          <t>Cali</t>
        </is>
      </c>
      <c r="D2960" t="inlineStr">
        <is>
          <t>5406</t>
        </is>
      </c>
      <c r="E2960" t="inlineStr">
        <is>
          <t>pagado</t>
        </is>
      </c>
      <c r="F2960" s="23" t="n">
        <v>46268</v>
      </c>
      <c r="G2960" s="24">
        <f>F2960-DATE(2026,8,31)</f>
        <v>3</v>
      </c>
      <c r="H2960" s="25" t="n">
        <v>41858153</v>
      </c>
      <c r="I2960" t="inlineStr">
        <is>
          <t>entidad-dia</t>
        </is>
      </c>
    </row>
    <row r="2961">
      <c r="A2961" t="inlineStr">
        <is>
          <t>PRAGMA</t>
        </is>
      </c>
      <c r="B2961" t="inlineStr">
        <is>
          <t>M1</t>
        </is>
      </c>
      <c r="C2961" t="inlineStr">
        <is>
          <t>Cali</t>
        </is>
      </c>
      <c r="D2961" t="inlineStr">
        <is>
          <t>5406</t>
        </is>
      </c>
      <c r="E2961" t="inlineStr">
        <is>
          <t>pagado</t>
        </is>
      </c>
      <c r="F2961" s="23" t="n">
        <v>46269</v>
      </c>
      <c r="G2961" s="24">
        <f>F2961-DATE(2026,8,31)</f>
        <v>4</v>
      </c>
      <c r="H2961" s="25" t="n">
        <v>46589561</v>
      </c>
      <c r="I2961" t="inlineStr">
        <is>
          <t>entidad-dia</t>
        </is>
      </c>
    </row>
    <row r="2962">
      <c r="A2962" t="inlineStr">
        <is>
          <t>PRAGMA</t>
        </is>
      </c>
      <c r="B2962" t="inlineStr">
        <is>
          <t>M1</t>
        </is>
      </c>
      <c r="C2962" t="inlineStr">
        <is>
          <t>Cali</t>
        </is>
      </c>
      <c r="D2962" t="inlineStr">
        <is>
          <t>5406</t>
        </is>
      </c>
      <c r="E2962" t="inlineStr">
        <is>
          <t>pagado</t>
        </is>
      </c>
      <c r="F2962" s="23" t="n">
        <v>46270</v>
      </c>
      <c r="G2962" s="24">
        <f>F2962-DATE(2026,8,31)</f>
        <v>5</v>
      </c>
      <c r="H2962" s="25" t="n">
        <v>37937738</v>
      </c>
      <c r="I2962" t="inlineStr">
        <is>
          <t>entidad-dia</t>
        </is>
      </c>
    </row>
    <row r="2963">
      <c r="A2963" t="inlineStr">
        <is>
          <t>PRAGMA</t>
        </is>
      </c>
      <c r="B2963" t="inlineStr">
        <is>
          <t>M1</t>
        </is>
      </c>
      <c r="C2963" t="inlineStr">
        <is>
          <t>Cali</t>
        </is>
      </c>
      <c r="D2963" t="inlineStr">
        <is>
          <t>5406</t>
        </is>
      </c>
      <c r="E2963" t="inlineStr">
        <is>
          <t>pagado</t>
        </is>
      </c>
      <c r="F2963" s="23" t="n">
        <v>46271</v>
      </c>
      <c r="G2963" s="24">
        <f>F2963-DATE(2026,8,31)</f>
        <v>6</v>
      </c>
      <c r="H2963" s="25" t="n">
        <v>15356899</v>
      </c>
      <c r="I2963" t="inlineStr">
        <is>
          <t>entidad-dia</t>
        </is>
      </c>
    </row>
    <row r="2964">
      <c r="A2964" t="inlineStr">
        <is>
          <t>PRAGMA</t>
        </is>
      </c>
      <c r="B2964" t="inlineStr">
        <is>
          <t>M1</t>
        </is>
      </c>
      <c r="C2964" t="inlineStr">
        <is>
          <t>Cali</t>
        </is>
      </c>
      <c r="D2964" t="inlineStr">
        <is>
          <t>5406</t>
        </is>
      </c>
      <c r="E2964" t="inlineStr">
        <is>
          <t>pagado</t>
        </is>
      </c>
      <c r="F2964" s="23" t="n">
        <v>46272</v>
      </c>
      <c r="G2964" s="24">
        <f>F2964-DATE(2026,8,31)</f>
        <v>7</v>
      </c>
      <c r="H2964" s="25" t="n">
        <v>31774247</v>
      </c>
      <c r="I2964" t="inlineStr">
        <is>
          <t>entidad-dia</t>
        </is>
      </c>
    </row>
    <row r="2965">
      <c r="A2965" t="inlineStr">
        <is>
          <t>PRAGMA</t>
        </is>
      </c>
      <c r="B2965" t="inlineStr">
        <is>
          <t>M1</t>
        </is>
      </c>
      <c r="C2965" t="inlineStr">
        <is>
          <t>Cali</t>
        </is>
      </c>
      <c r="D2965" t="inlineStr">
        <is>
          <t>5406</t>
        </is>
      </c>
      <c r="E2965" t="inlineStr">
        <is>
          <t>pagado</t>
        </is>
      </c>
      <c r="F2965" s="23" t="n">
        <v>46273</v>
      </c>
      <c r="G2965" s="24">
        <f>F2965-DATE(2026,8,31)</f>
        <v>8</v>
      </c>
      <c r="H2965" s="25" t="n">
        <v>31823020</v>
      </c>
      <c r="I2965" t="inlineStr">
        <is>
          <t>entidad-dia</t>
        </is>
      </c>
    </row>
    <row r="2966">
      <c r="A2966" t="inlineStr">
        <is>
          <t>PRAGMA</t>
        </is>
      </c>
      <c r="B2966" t="inlineStr">
        <is>
          <t>M1</t>
        </is>
      </c>
      <c r="C2966" t="inlineStr">
        <is>
          <t>Cali</t>
        </is>
      </c>
      <c r="D2966" t="inlineStr">
        <is>
          <t>5406</t>
        </is>
      </c>
      <c r="E2966" t="inlineStr">
        <is>
          <t>pagado</t>
        </is>
      </c>
      <c r="F2966" s="23" t="n">
        <v>46274</v>
      </c>
      <c r="G2966" s="24">
        <f>F2966-DATE(2026,8,31)</f>
        <v>9</v>
      </c>
      <c r="H2966" s="25" t="n">
        <v>33199878</v>
      </c>
      <c r="I2966" t="inlineStr">
        <is>
          <t>entidad-dia</t>
        </is>
      </c>
    </row>
    <row r="2967">
      <c r="A2967" t="inlineStr">
        <is>
          <t>PRAGMA</t>
        </is>
      </c>
      <c r="B2967" t="inlineStr">
        <is>
          <t>M1</t>
        </is>
      </c>
      <c r="C2967" t="inlineStr">
        <is>
          <t>Cali</t>
        </is>
      </c>
      <c r="D2967" t="inlineStr">
        <is>
          <t>5406</t>
        </is>
      </c>
      <c r="E2967" t="inlineStr">
        <is>
          <t>pagado</t>
        </is>
      </c>
      <c r="F2967" s="23" t="n">
        <v>46275</v>
      </c>
      <c r="G2967" s="24">
        <f>F2967-DATE(2026,8,31)</f>
        <v>10</v>
      </c>
      <c r="H2967" s="25" t="n">
        <v>31340083</v>
      </c>
      <c r="I2967" t="inlineStr">
        <is>
          <t>entidad-dia</t>
        </is>
      </c>
    </row>
    <row r="2968">
      <c r="A2968" t="inlineStr">
        <is>
          <t>PRAGMA</t>
        </is>
      </c>
      <c r="B2968" t="inlineStr">
        <is>
          <t>M1</t>
        </is>
      </c>
      <c r="C2968" t="inlineStr">
        <is>
          <t>Cali</t>
        </is>
      </c>
      <c r="D2968" t="inlineStr">
        <is>
          <t>5406</t>
        </is>
      </c>
      <c r="E2968" t="inlineStr">
        <is>
          <t>pagado</t>
        </is>
      </c>
      <c r="F2968" s="23" t="n">
        <v>46276</v>
      </c>
      <c r="G2968" s="24">
        <f>F2968-DATE(2026,8,31)</f>
        <v>11</v>
      </c>
      <c r="H2968" s="25" t="n">
        <v>32970292</v>
      </c>
      <c r="I2968" t="inlineStr">
        <is>
          <t>entidad-dia</t>
        </is>
      </c>
    </row>
    <row r="2969">
      <c r="A2969" t="inlineStr">
        <is>
          <t>PRAGMA</t>
        </is>
      </c>
      <c r="B2969" t="inlineStr">
        <is>
          <t>M1</t>
        </is>
      </c>
      <c r="C2969" t="inlineStr">
        <is>
          <t>Cali</t>
        </is>
      </c>
      <c r="D2969" t="inlineStr">
        <is>
          <t>5406</t>
        </is>
      </c>
      <c r="E2969" t="inlineStr">
        <is>
          <t>pagado</t>
        </is>
      </c>
      <c r="F2969" s="23" t="n">
        <v>46277</v>
      </c>
      <c r="G2969" s="24">
        <f>F2969-DATE(2026,8,31)</f>
        <v>12</v>
      </c>
      <c r="H2969" s="25" t="n">
        <v>28268497</v>
      </c>
      <c r="I2969" t="inlineStr">
        <is>
          <t>entidad-dia</t>
        </is>
      </c>
    </row>
    <row r="2970">
      <c r="A2970" t="inlineStr">
        <is>
          <t>PRAGMA</t>
        </is>
      </c>
      <c r="B2970" t="inlineStr">
        <is>
          <t>M1</t>
        </is>
      </c>
      <c r="C2970" t="inlineStr">
        <is>
          <t>Cali</t>
        </is>
      </c>
      <c r="D2970" t="inlineStr">
        <is>
          <t>5406</t>
        </is>
      </c>
      <c r="E2970" t="inlineStr">
        <is>
          <t>pagado</t>
        </is>
      </c>
      <c r="F2970" s="23" t="n">
        <v>46278</v>
      </c>
      <c r="G2970" s="24">
        <f>F2970-DATE(2026,8,31)</f>
        <v>13</v>
      </c>
      <c r="H2970" s="25" t="n">
        <v>10897060</v>
      </c>
      <c r="I2970" t="inlineStr">
        <is>
          <t>entidad-dia</t>
        </is>
      </c>
    </row>
    <row r="2971">
      <c r="A2971" t="inlineStr">
        <is>
          <t>PRAGMA</t>
        </is>
      </c>
      <c r="B2971" t="inlineStr">
        <is>
          <t>M1</t>
        </is>
      </c>
      <c r="C2971" t="inlineStr">
        <is>
          <t>Cali</t>
        </is>
      </c>
      <c r="D2971" t="inlineStr">
        <is>
          <t>5406</t>
        </is>
      </c>
      <c r="E2971" t="inlineStr">
        <is>
          <t>pagado</t>
        </is>
      </c>
      <c r="F2971" s="23" t="n">
        <v>46279</v>
      </c>
      <c r="G2971" s="24">
        <f>F2971-DATE(2026,8,31)</f>
        <v>14</v>
      </c>
      <c r="H2971" s="25" t="n">
        <v>34811743</v>
      </c>
      <c r="I2971" t="inlineStr">
        <is>
          <t>entidad-dia</t>
        </is>
      </c>
    </row>
    <row r="2972">
      <c r="A2972" t="inlineStr">
        <is>
          <t>PRAGMA</t>
        </is>
      </c>
      <c r="B2972" t="inlineStr">
        <is>
          <t>M1</t>
        </is>
      </c>
      <c r="C2972" t="inlineStr">
        <is>
          <t>Cali</t>
        </is>
      </c>
      <c r="D2972" t="inlineStr">
        <is>
          <t>5406</t>
        </is>
      </c>
      <c r="E2972" t="inlineStr">
        <is>
          <t>pagado</t>
        </is>
      </c>
      <c r="F2972" s="23" t="n">
        <v>46280</v>
      </c>
      <c r="G2972" s="24">
        <f>F2972-DATE(2026,8,31)</f>
        <v>15</v>
      </c>
      <c r="H2972" s="25" t="n">
        <v>47747113</v>
      </c>
      <c r="I2972" t="inlineStr">
        <is>
          <t>entidad-dia</t>
        </is>
      </c>
    </row>
    <row r="2973">
      <c r="A2973" t="inlineStr">
        <is>
          <t>PRAGMA</t>
        </is>
      </c>
      <c r="B2973" t="inlineStr">
        <is>
          <t>M1</t>
        </is>
      </c>
      <c r="C2973" t="inlineStr">
        <is>
          <t>Cali</t>
        </is>
      </c>
      <c r="D2973" t="inlineStr">
        <is>
          <t>5426</t>
        </is>
      </c>
      <c r="E2973" t="inlineStr">
        <is>
          <t>pagado</t>
        </is>
      </c>
      <c r="F2973" s="23" t="n">
        <v>46266</v>
      </c>
      <c r="G2973" s="24">
        <f>F2973-DATE(2026,8,31)</f>
        <v>1</v>
      </c>
      <c r="H2973" s="25" t="n">
        <v>61943311</v>
      </c>
      <c r="I2973" t="inlineStr">
        <is>
          <t>entidad-dia</t>
        </is>
      </c>
    </row>
    <row r="2974">
      <c r="A2974" t="inlineStr">
        <is>
          <t>PRAGMA</t>
        </is>
      </c>
      <c r="B2974" t="inlineStr">
        <is>
          <t>M1</t>
        </is>
      </c>
      <c r="C2974" t="inlineStr">
        <is>
          <t>Cali</t>
        </is>
      </c>
      <c r="D2974" t="inlineStr">
        <is>
          <t>5426</t>
        </is>
      </c>
      <c r="E2974" t="inlineStr">
        <is>
          <t>pagado</t>
        </is>
      </c>
      <c r="F2974" s="23" t="n">
        <v>46267</v>
      </c>
      <c r="G2974" s="24">
        <f>F2974-DATE(2026,8,31)</f>
        <v>2</v>
      </c>
      <c r="H2974" s="25" t="n">
        <v>49599774</v>
      </c>
      <c r="I2974" t="inlineStr">
        <is>
          <t>entidad-dia</t>
        </is>
      </c>
    </row>
    <row r="2975">
      <c r="A2975" t="inlineStr">
        <is>
          <t>PRAGMA</t>
        </is>
      </c>
      <c r="B2975" t="inlineStr">
        <is>
          <t>M1</t>
        </is>
      </c>
      <c r="C2975" t="inlineStr">
        <is>
          <t>Cali</t>
        </is>
      </c>
      <c r="D2975" t="inlineStr">
        <is>
          <t>5426</t>
        </is>
      </c>
      <c r="E2975" t="inlineStr">
        <is>
          <t>pagado</t>
        </is>
      </c>
      <c r="F2975" s="23" t="n">
        <v>46268</v>
      </c>
      <c r="G2975" s="24">
        <f>F2975-DATE(2026,8,31)</f>
        <v>3</v>
      </c>
      <c r="H2975" s="25" t="n">
        <v>44326619</v>
      </c>
      <c r="I2975" t="inlineStr">
        <is>
          <t>entidad-dia</t>
        </is>
      </c>
    </row>
    <row r="2976">
      <c r="A2976" t="inlineStr">
        <is>
          <t>PRAGMA</t>
        </is>
      </c>
      <c r="B2976" t="inlineStr">
        <is>
          <t>M1</t>
        </is>
      </c>
      <c r="C2976" t="inlineStr">
        <is>
          <t>Cali</t>
        </is>
      </c>
      <c r="D2976" t="inlineStr">
        <is>
          <t>5426</t>
        </is>
      </c>
      <c r="E2976" t="inlineStr">
        <is>
          <t>pagado</t>
        </is>
      </c>
      <c r="F2976" s="23" t="n">
        <v>46269</v>
      </c>
      <c r="G2976" s="24">
        <f>F2976-DATE(2026,8,31)</f>
        <v>4</v>
      </c>
      <c r="H2976" s="25" t="n">
        <v>43313109</v>
      </c>
      <c r="I2976" t="inlineStr">
        <is>
          <t>entidad-dia</t>
        </is>
      </c>
    </row>
    <row r="2977">
      <c r="A2977" t="inlineStr">
        <is>
          <t>PRAGMA</t>
        </is>
      </c>
      <c r="B2977" t="inlineStr">
        <is>
          <t>M1</t>
        </is>
      </c>
      <c r="C2977" t="inlineStr">
        <is>
          <t>Cali</t>
        </is>
      </c>
      <c r="D2977" t="inlineStr">
        <is>
          <t>5426</t>
        </is>
      </c>
      <c r="E2977" t="inlineStr">
        <is>
          <t>pagado</t>
        </is>
      </c>
      <c r="F2977" s="23" t="n">
        <v>46270</v>
      </c>
      <c r="G2977" s="24">
        <f>F2977-DATE(2026,8,31)</f>
        <v>5</v>
      </c>
      <c r="H2977" s="25" t="n">
        <v>43892178</v>
      </c>
      <c r="I2977" t="inlineStr">
        <is>
          <t>entidad-dia</t>
        </is>
      </c>
    </row>
    <row r="2978">
      <c r="A2978" t="inlineStr">
        <is>
          <t>PRAGMA</t>
        </is>
      </c>
      <c r="B2978" t="inlineStr">
        <is>
          <t>M1</t>
        </is>
      </c>
      <c r="C2978" t="inlineStr">
        <is>
          <t>Cali</t>
        </is>
      </c>
      <c r="D2978" t="inlineStr">
        <is>
          <t>5426</t>
        </is>
      </c>
      <c r="E2978" t="inlineStr">
        <is>
          <t>pagado</t>
        </is>
      </c>
      <c r="F2978" s="23" t="n">
        <v>46271</v>
      </c>
      <c r="G2978" s="24">
        <f>F2978-DATE(2026,8,31)</f>
        <v>6</v>
      </c>
      <c r="H2978" s="25" t="n">
        <v>34553975</v>
      </c>
      <c r="I2978" t="inlineStr">
        <is>
          <t>entidad-dia</t>
        </is>
      </c>
    </row>
    <row r="2979">
      <c r="A2979" t="inlineStr">
        <is>
          <t>PRAGMA</t>
        </is>
      </c>
      <c r="B2979" t="inlineStr">
        <is>
          <t>M1</t>
        </is>
      </c>
      <c r="C2979" t="inlineStr">
        <is>
          <t>Cali</t>
        </is>
      </c>
      <c r="D2979" t="inlineStr">
        <is>
          <t>5426</t>
        </is>
      </c>
      <c r="E2979" t="inlineStr">
        <is>
          <t>pagado</t>
        </is>
      </c>
      <c r="F2979" s="23" t="n">
        <v>46272</v>
      </c>
      <c r="G2979" s="24">
        <f>F2979-DATE(2026,8,31)</f>
        <v>7</v>
      </c>
      <c r="H2979" s="25" t="n">
        <v>31139941</v>
      </c>
      <c r="I2979" t="inlineStr">
        <is>
          <t>entidad-dia</t>
        </is>
      </c>
    </row>
    <row r="2980">
      <c r="A2980" t="inlineStr">
        <is>
          <t>PRAGMA</t>
        </is>
      </c>
      <c r="B2980" t="inlineStr">
        <is>
          <t>M1</t>
        </is>
      </c>
      <c r="C2980" t="inlineStr">
        <is>
          <t>Cali</t>
        </is>
      </c>
      <c r="D2980" t="inlineStr">
        <is>
          <t>5426</t>
        </is>
      </c>
      <c r="E2980" t="inlineStr">
        <is>
          <t>pagado</t>
        </is>
      </c>
      <c r="F2980" s="23" t="n">
        <v>46273</v>
      </c>
      <c r="G2980" s="24">
        <f>F2980-DATE(2026,8,31)</f>
        <v>8</v>
      </c>
      <c r="H2980" s="25" t="n">
        <v>32193954</v>
      </c>
      <c r="I2980" t="inlineStr">
        <is>
          <t>entidad-dia</t>
        </is>
      </c>
    </row>
    <row r="2981">
      <c r="A2981" t="inlineStr">
        <is>
          <t>PRAGMA</t>
        </is>
      </c>
      <c r="B2981" t="inlineStr">
        <is>
          <t>M1</t>
        </is>
      </c>
      <c r="C2981" t="inlineStr">
        <is>
          <t>Cali</t>
        </is>
      </c>
      <c r="D2981" t="inlineStr">
        <is>
          <t>5426</t>
        </is>
      </c>
      <c r="E2981" t="inlineStr">
        <is>
          <t>pagado</t>
        </is>
      </c>
      <c r="F2981" s="23" t="n">
        <v>46274</v>
      </c>
      <c r="G2981" s="24">
        <f>F2981-DATE(2026,8,31)</f>
        <v>9</v>
      </c>
      <c r="H2981" s="25" t="n">
        <v>33661297</v>
      </c>
      <c r="I2981" t="inlineStr">
        <is>
          <t>entidad-dia</t>
        </is>
      </c>
    </row>
    <row r="2982">
      <c r="A2982" t="inlineStr">
        <is>
          <t>PRAGMA</t>
        </is>
      </c>
      <c r="B2982" t="inlineStr">
        <is>
          <t>M1</t>
        </is>
      </c>
      <c r="C2982" t="inlineStr">
        <is>
          <t>Cali</t>
        </is>
      </c>
      <c r="D2982" t="inlineStr">
        <is>
          <t>5426</t>
        </is>
      </c>
      <c r="E2982" t="inlineStr">
        <is>
          <t>pagado</t>
        </is>
      </c>
      <c r="F2982" s="23" t="n">
        <v>46275</v>
      </c>
      <c r="G2982" s="24">
        <f>F2982-DATE(2026,8,31)</f>
        <v>10</v>
      </c>
      <c r="H2982" s="25" t="n">
        <v>34247135</v>
      </c>
      <c r="I2982" t="inlineStr">
        <is>
          <t>entidad-dia</t>
        </is>
      </c>
    </row>
    <row r="2983">
      <c r="A2983" t="inlineStr">
        <is>
          <t>PRAGMA</t>
        </is>
      </c>
      <c r="B2983" t="inlineStr">
        <is>
          <t>M1</t>
        </is>
      </c>
      <c r="C2983" t="inlineStr">
        <is>
          <t>Cali</t>
        </is>
      </c>
      <c r="D2983" t="inlineStr">
        <is>
          <t>5426</t>
        </is>
      </c>
      <c r="E2983" t="inlineStr">
        <is>
          <t>pagado</t>
        </is>
      </c>
      <c r="F2983" s="23" t="n">
        <v>46276</v>
      </c>
      <c r="G2983" s="24">
        <f>F2983-DATE(2026,8,31)</f>
        <v>11</v>
      </c>
      <c r="H2983" s="25" t="n">
        <v>33229138</v>
      </c>
      <c r="I2983" t="inlineStr">
        <is>
          <t>entidad-dia</t>
        </is>
      </c>
    </row>
    <row r="2984">
      <c r="A2984" t="inlineStr">
        <is>
          <t>PRAGMA</t>
        </is>
      </c>
      <c r="B2984" t="inlineStr">
        <is>
          <t>M1</t>
        </is>
      </c>
      <c r="C2984" t="inlineStr">
        <is>
          <t>Cali</t>
        </is>
      </c>
      <c r="D2984" t="inlineStr">
        <is>
          <t>5426</t>
        </is>
      </c>
      <c r="E2984" t="inlineStr">
        <is>
          <t>pagado</t>
        </is>
      </c>
      <c r="F2984" s="23" t="n">
        <v>46277</v>
      </c>
      <c r="G2984" s="24">
        <f>F2984-DATE(2026,8,31)</f>
        <v>12</v>
      </c>
      <c r="H2984" s="25" t="n">
        <v>36305918</v>
      </c>
      <c r="I2984" t="inlineStr">
        <is>
          <t>entidad-dia</t>
        </is>
      </c>
    </row>
    <row r="2985">
      <c r="A2985" t="inlineStr">
        <is>
          <t>PRAGMA</t>
        </is>
      </c>
      <c r="B2985" t="inlineStr">
        <is>
          <t>M1</t>
        </is>
      </c>
      <c r="C2985" t="inlineStr">
        <is>
          <t>Cali</t>
        </is>
      </c>
      <c r="D2985" t="inlineStr">
        <is>
          <t>5426</t>
        </is>
      </c>
      <c r="E2985" t="inlineStr">
        <is>
          <t>pagado</t>
        </is>
      </c>
      <c r="F2985" s="23" t="n">
        <v>46278</v>
      </c>
      <c r="G2985" s="24">
        <f>F2985-DATE(2026,8,31)</f>
        <v>13</v>
      </c>
      <c r="H2985" s="25" t="n">
        <v>24055717</v>
      </c>
      <c r="I2985" t="inlineStr">
        <is>
          <t>entidad-dia</t>
        </is>
      </c>
    </row>
    <row r="2986">
      <c r="A2986" t="inlineStr">
        <is>
          <t>PRAGMA</t>
        </is>
      </c>
      <c r="B2986" t="inlineStr">
        <is>
          <t>M1</t>
        </is>
      </c>
      <c r="C2986" t="inlineStr">
        <is>
          <t>Cali</t>
        </is>
      </c>
      <c r="D2986" t="inlineStr">
        <is>
          <t>5426</t>
        </is>
      </c>
      <c r="E2986" t="inlineStr">
        <is>
          <t>pagado</t>
        </is>
      </c>
      <c r="F2986" s="23" t="n">
        <v>46279</v>
      </c>
      <c r="G2986" s="24">
        <f>F2986-DATE(2026,8,31)</f>
        <v>14</v>
      </c>
      <c r="H2986" s="25" t="n">
        <v>36674126</v>
      </c>
      <c r="I2986" t="inlineStr">
        <is>
          <t>entidad-dia</t>
        </is>
      </c>
    </row>
    <row r="2987">
      <c r="A2987" t="inlineStr">
        <is>
          <t>PRAGMA</t>
        </is>
      </c>
      <c r="B2987" t="inlineStr">
        <is>
          <t>M1</t>
        </is>
      </c>
      <c r="C2987" t="inlineStr">
        <is>
          <t>Cali</t>
        </is>
      </c>
      <c r="D2987" t="inlineStr">
        <is>
          <t>5426</t>
        </is>
      </c>
      <c r="E2987" t="inlineStr">
        <is>
          <t>pagado</t>
        </is>
      </c>
      <c r="F2987" s="23" t="n">
        <v>46280</v>
      </c>
      <c r="G2987" s="24">
        <f>F2987-DATE(2026,8,31)</f>
        <v>15</v>
      </c>
      <c r="H2987" s="25" t="n">
        <v>57267387</v>
      </c>
      <c r="I2987" t="inlineStr">
        <is>
          <t>entidad-dia</t>
        </is>
      </c>
    </row>
    <row r="2988">
      <c r="A2988" t="inlineStr">
        <is>
          <t>PRAGMA</t>
        </is>
      </c>
      <c r="B2988" t="inlineStr">
        <is>
          <t>M1</t>
        </is>
      </c>
      <c r="C2988" t="inlineStr">
        <is>
          <t>Cali</t>
        </is>
      </c>
      <c r="D2988" t="inlineStr">
        <is>
          <t>5437</t>
        </is>
      </c>
      <c r="E2988" t="inlineStr">
        <is>
          <t>pagado</t>
        </is>
      </c>
      <c r="F2988" s="23" t="n">
        <v>46266</v>
      </c>
      <c r="G2988" s="24">
        <f>F2988-DATE(2026,8,31)</f>
        <v>1</v>
      </c>
      <c r="H2988" s="25" t="n">
        <v>129849337</v>
      </c>
      <c r="I2988" t="inlineStr">
        <is>
          <t>entidad-dia</t>
        </is>
      </c>
    </row>
    <row r="2989">
      <c r="A2989" t="inlineStr">
        <is>
          <t>PRAGMA</t>
        </is>
      </c>
      <c r="B2989" t="inlineStr">
        <is>
          <t>M1</t>
        </is>
      </c>
      <c r="C2989" t="inlineStr">
        <is>
          <t>Cali</t>
        </is>
      </c>
      <c r="D2989" t="inlineStr">
        <is>
          <t>5437</t>
        </is>
      </c>
      <c r="E2989" t="inlineStr">
        <is>
          <t>pagado</t>
        </is>
      </c>
      <c r="F2989" s="23" t="n">
        <v>46267</v>
      </c>
      <c r="G2989" s="24">
        <f>F2989-DATE(2026,8,31)</f>
        <v>2</v>
      </c>
      <c r="H2989" s="25" t="n">
        <v>105233873</v>
      </c>
      <c r="I2989" t="inlineStr">
        <is>
          <t>entidad-dia</t>
        </is>
      </c>
    </row>
    <row r="2990">
      <c r="A2990" t="inlineStr">
        <is>
          <t>PRAGMA</t>
        </is>
      </c>
      <c r="B2990" t="inlineStr">
        <is>
          <t>M1</t>
        </is>
      </c>
      <c r="C2990" t="inlineStr">
        <is>
          <t>Cali</t>
        </is>
      </c>
      <c r="D2990" t="inlineStr">
        <is>
          <t>5437</t>
        </is>
      </c>
      <c r="E2990" t="inlineStr">
        <is>
          <t>pagado</t>
        </is>
      </c>
      <c r="F2990" s="23" t="n">
        <v>46268</v>
      </c>
      <c r="G2990" s="24">
        <f>F2990-DATE(2026,8,31)</f>
        <v>3</v>
      </c>
      <c r="H2990" s="25" t="n">
        <v>95390168</v>
      </c>
      <c r="I2990" t="inlineStr">
        <is>
          <t>entidad-dia</t>
        </is>
      </c>
    </row>
    <row r="2991">
      <c r="A2991" t="inlineStr">
        <is>
          <t>PRAGMA</t>
        </is>
      </c>
      <c r="B2991" t="inlineStr">
        <is>
          <t>M1</t>
        </is>
      </c>
      <c r="C2991" t="inlineStr">
        <is>
          <t>Cali</t>
        </is>
      </c>
      <c r="D2991" t="inlineStr">
        <is>
          <t>5437</t>
        </is>
      </c>
      <c r="E2991" t="inlineStr">
        <is>
          <t>pagado</t>
        </is>
      </c>
      <c r="F2991" s="23" t="n">
        <v>46269</v>
      </c>
      <c r="G2991" s="24">
        <f>F2991-DATE(2026,8,31)</f>
        <v>4</v>
      </c>
      <c r="H2991" s="25" t="n">
        <v>100406689</v>
      </c>
      <c r="I2991" t="inlineStr">
        <is>
          <t>entidad-dia</t>
        </is>
      </c>
    </row>
    <row r="2992">
      <c r="A2992" t="inlineStr">
        <is>
          <t>PRAGMA</t>
        </is>
      </c>
      <c r="B2992" t="inlineStr">
        <is>
          <t>M1</t>
        </is>
      </c>
      <c r="C2992" t="inlineStr">
        <is>
          <t>Cali</t>
        </is>
      </c>
      <c r="D2992" t="inlineStr">
        <is>
          <t>5437</t>
        </is>
      </c>
      <c r="E2992" t="inlineStr">
        <is>
          <t>pagado</t>
        </is>
      </c>
      <c r="F2992" s="23" t="n">
        <v>46270</v>
      </c>
      <c r="G2992" s="24">
        <f>F2992-DATE(2026,8,31)</f>
        <v>5</v>
      </c>
      <c r="H2992" s="25" t="n">
        <v>85777396</v>
      </c>
      <c r="I2992" t="inlineStr">
        <is>
          <t>entidad-dia</t>
        </is>
      </c>
    </row>
    <row r="2993">
      <c r="A2993" t="inlineStr">
        <is>
          <t>PRAGMA</t>
        </is>
      </c>
      <c r="B2993" t="inlineStr">
        <is>
          <t>M1</t>
        </is>
      </c>
      <c r="C2993" t="inlineStr">
        <is>
          <t>Cali</t>
        </is>
      </c>
      <c r="D2993" t="inlineStr">
        <is>
          <t>5437</t>
        </is>
      </c>
      <c r="E2993" t="inlineStr">
        <is>
          <t>pagado</t>
        </is>
      </c>
      <c r="F2993" s="23" t="n">
        <v>46271</v>
      </c>
      <c r="G2993" s="24">
        <f>F2993-DATE(2026,8,31)</f>
        <v>6</v>
      </c>
      <c r="H2993" s="25" t="n">
        <v>42967282</v>
      </c>
      <c r="I2993" t="inlineStr">
        <is>
          <t>entidad-dia</t>
        </is>
      </c>
    </row>
    <row r="2994">
      <c r="A2994" t="inlineStr">
        <is>
          <t>PRAGMA</t>
        </is>
      </c>
      <c r="B2994" t="inlineStr">
        <is>
          <t>M1</t>
        </is>
      </c>
      <c r="C2994" t="inlineStr">
        <is>
          <t>Cali</t>
        </is>
      </c>
      <c r="D2994" t="inlineStr">
        <is>
          <t>5437</t>
        </is>
      </c>
      <c r="E2994" t="inlineStr">
        <is>
          <t>pagado</t>
        </is>
      </c>
      <c r="F2994" s="23" t="n">
        <v>46272</v>
      </c>
      <c r="G2994" s="24">
        <f>F2994-DATE(2026,8,31)</f>
        <v>7</v>
      </c>
      <c r="H2994" s="25" t="n">
        <v>64827992</v>
      </c>
      <c r="I2994" t="inlineStr">
        <is>
          <t>entidad-dia</t>
        </is>
      </c>
    </row>
    <row r="2995">
      <c r="A2995" t="inlineStr">
        <is>
          <t>PRAGMA</t>
        </is>
      </c>
      <c r="B2995" t="inlineStr">
        <is>
          <t>M1</t>
        </is>
      </c>
      <c r="C2995" t="inlineStr">
        <is>
          <t>Cali</t>
        </is>
      </c>
      <c r="D2995" t="inlineStr">
        <is>
          <t>5437</t>
        </is>
      </c>
      <c r="E2995" t="inlineStr">
        <is>
          <t>pagado</t>
        </is>
      </c>
      <c r="F2995" s="23" t="n">
        <v>46273</v>
      </c>
      <c r="G2995" s="24">
        <f>F2995-DATE(2026,8,31)</f>
        <v>8</v>
      </c>
      <c r="H2995" s="25" t="n">
        <v>77763591</v>
      </c>
      <c r="I2995" t="inlineStr">
        <is>
          <t>entidad-dia</t>
        </is>
      </c>
    </row>
    <row r="2996">
      <c r="A2996" t="inlineStr">
        <is>
          <t>PRAGMA</t>
        </is>
      </c>
      <c r="B2996" t="inlineStr">
        <is>
          <t>M1</t>
        </is>
      </c>
      <c r="C2996" t="inlineStr">
        <is>
          <t>Cali</t>
        </is>
      </c>
      <c r="D2996" t="inlineStr">
        <is>
          <t>5437</t>
        </is>
      </c>
      <c r="E2996" t="inlineStr">
        <is>
          <t>pagado</t>
        </is>
      </c>
      <c r="F2996" s="23" t="n">
        <v>46274</v>
      </c>
      <c r="G2996" s="24">
        <f>F2996-DATE(2026,8,31)</f>
        <v>9</v>
      </c>
      <c r="H2996" s="25" t="n">
        <v>71689117</v>
      </c>
      <c r="I2996" t="inlineStr">
        <is>
          <t>entidad-dia</t>
        </is>
      </c>
    </row>
    <row r="2997">
      <c r="A2997" t="inlineStr">
        <is>
          <t>PRAGMA</t>
        </is>
      </c>
      <c r="B2997" t="inlineStr">
        <is>
          <t>M1</t>
        </is>
      </c>
      <c r="C2997" t="inlineStr">
        <is>
          <t>Cali</t>
        </is>
      </c>
      <c r="D2997" t="inlineStr">
        <is>
          <t>5437</t>
        </is>
      </c>
      <c r="E2997" t="inlineStr">
        <is>
          <t>pagado</t>
        </is>
      </c>
      <c r="F2997" s="23" t="n">
        <v>46275</v>
      </c>
      <c r="G2997" s="24">
        <f>F2997-DATE(2026,8,31)</f>
        <v>10</v>
      </c>
      <c r="H2997" s="25" t="n">
        <v>64491758</v>
      </c>
      <c r="I2997" t="inlineStr">
        <is>
          <t>entidad-dia</t>
        </is>
      </c>
    </row>
    <row r="2998">
      <c r="A2998" t="inlineStr">
        <is>
          <t>PRAGMA</t>
        </is>
      </c>
      <c r="B2998" t="inlineStr">
        <is>
          <t>M1</t>
        </is>
      </c>
      <c r="C2998" t="inlineStr">
        <is>
          <t>Cali</t>
        </is>
      </c>
      <c r="D2998" t="inlineStr">
        <is>
          <t>5437</t>
        </is>
      </c>
      <c r="E2998" t="inlineStr">
        <is>
          <t>pagado</t>
        </is>
      </c>
      <c r="F2998" s="23" t="n">
        <v>46276</v>
      </c>
      <c r="G2998" s="24">
        <f>F2998-DATE(2026,8,31)</f>
        <v>11</v>
      </c>
      <c r="H2998" s="25" t="n">
        <v>78910996</v>
      </c>
      <c r="I2998" t="inlineStr">
        <is>
          <t>entidad-dia</t>
        </is>
      </c>
    </row>
    <row r="2999">
      <c r="A2999" t="inlineStr">
        <is>
          <t>PRAGMA</t>
        </is>
      </c>
      <c r="B2999" t="inlineStr">
        <is>
          <t>M1</t>
        </is>
      </c>
      <c r="C2999" t="inlineStr">
        <is>
          <t>Cali</t>
        </is>
      </c>
      <c r="D2999" t="inlineStr">
        <is>
          <t>5437</t>
        </is>
      </c>
      <c r="E2999" t="inlineStr">
        <is>
          <t>pagado</t>
        </is>
      </c>
      <c r="F2999" s="23" t="n">
        <v>46277</v>
      </c>
      <c r="G2999" s="24">
        <f>F2999-DATE(2026,8,31)</f>
        <v>12</v>
      </c>
      <c r="H2999" s="25" t="n">
        <v>64677471</v>
      </c>
      <c r="I2999" t="inlineStr">
        <is>
          <t>entidad-dia</t>
        </is>
      </c>
    </row>
    <row r="3000">
      <c r="A3000" t="inlineStr">
        <is>
          <t>PRAGMA</t>
        </is>
      </c>
      <c r="B3000" t="inlineStr">
        <is>
          <t>M1</t>
        </is>
      </c>
      <c r="C3000" t="inlineStr">
        <is>
          <t>Cali</t>
        </is>
      </c>
      <c r="D3000" t="inlineStr">
        <is>
          <t>5437</t>
        </is>
      </c>
      <c r="E3000" t="inlineStr">
        <is>
          <t>pagado</t>
        </is>
      </c>
      <c r="F3000" s="23" t="n">
        <v>46278</v>
      </c>
      <c r="G3000" s="24">
        <f>F3000-DATE(2026,8,31)</f>
        <v>13</v>
      </c>
      <c r="H3000" s="25" t="n">
        <v>35396552</v>
      </c>
      <c r="I3000" t="inlineStr">
        <is>
          <t>entidad-dia</t>
        </is>
      </c>
    </row>
    <row r="3001">
      <c r="A3001" t="inlineStr">
        <is>
          <t>PRAGMA</t>
        </is>
      </c>
      <c r="B3001" t="inlineStr">
        <is>
          <t>M1</t>
        </is>
      </c>
      <c r="C3001" t="inlineStr">
        <is>
          <t>Cali</t>
        </is>
      </c>
      <c r="D3001" t="inlineStr">
        <is>
          <t>5437</t>
        </is>
      </c>
      <c r="E3001" t="inlineStr">
        <is>
          <t>pagado</t>
        </is>
      </c>
      <c r="F3001" s="23" t="n">
        <v>46279</v>
      </c>
      <c r="G3001" s="24">
        <f>F3001-DATE(2026,8,31)</f>
        <v>14</v>
      </c>
      <c r="H3001" s="25" t="n">
        <v>72279640</v>
      </c>
      <c r="I3001" t="inlineStr">
        <is>
          <t>entidad-dia</t>
        </is>
      </c>
    </row>
    <row r="3002">
      <c r="A3002" t="inlineStr">
        <is>
          <t>PRAGMA</t>
        </is>
      </c>
      <c r="B3002" t="inlineStr">
        <is>
          <t>M1</t>
        </is>
      </c>
      <c r="C3002" t="inlineStr">
        <is>
          <t>Cali</t>
        </is>
      </c>
      <c r="D3002" t="inlineStr">
        <is>
          <t>5437</t>
        </is>
      </c>
      <c r="E3002" t="inlineStr">
        <is>
          <t>pagado</t>
        </is>
      </c>
      <c r="F3002" s="23" t="n">
        <v>46280</v>
      </c>
      <c r="G3002" s="24">
        <f>F3002-DATE(2026,8,31)</f>
        <v>15</v>
      </c>
      <c r="H3002" s="25" t="n">
        <v>99163695</v>
      </c>
      <c r="I3002" t="inlineStr">
        <is>
          <t>entidad-dia</t>
        </is>
      </c>
    </row>
    <row r="3003">
      <c r="A3003" t="inlineStr">
        <is>
          <t>PRAGMA</t>
        </is>
      </c>
      <c r="B3003" t="inlineStr">
        <is>
          <t>M1</t>
        </is>
      </c>
      <c r="C3003" t="inlineStr">
        <is>
          <t>Cali</t>
        </is>
      </c>
      <c r="D3003" t="inlineStr">
        <is>
          <t>5456</t>
        </is>
      </c>
      <c r="E3003" t="inlineStr">
        <is>
          <t>pagado</t>
        </is>
      </c>
      <c r="F3003" s="23" t="n">
        <v>46266</v>
      </c>
      <c r="G3003" s="24">
        <f>F3003-DATE(2026,8,31)</f>
        <v>1</v>
      </c>
      <c r="H3003" s="25" t="n">
        <v>75120114</v>
      </c>
      <c r="I3003" t="inlineStr">
        <is>
          <t>entidad-dia</t>
        </is>
      </c>
    </row>
    <row r="3004">
      <c r="A3004" t="inlineStr">
        <is>
          <t>PRAGMA</t>
        </is>
      </c>
      <c r="B3004" t="inlineStr">
        <is>
          <t>M1</t>
        </is>
      </c>
      <c r="C3004" t="inlineStr">
        <is>
          <t>Cali</t>
        </is>
      </c>
      <c r="D3004" t="inlineStr">
        <is>
          <t>5456</t>
        </is>
      </c>
      <c r="E3004" t="inlineStr">
        <is>
          <t>pagado</t>
        </is>
      </c>
      <c r="F3004" s="23" t="n">
        <v>46267</v>
      </c>
      <c r="G3004" s="24">
        <f>F3004-DATE(2026,8,31)</f>
        <v>2</v>
      </c>
      <c r="H3004" s="25" t="n">
        <v>88785196</v>
      </c>
      <c r="I3004" t="inlineStr">
        <is>
          <t>entidad-dia</t>
        </is>
      </c>
    </row>
    <row r="3005">
      <c r="A3005" t="inlineStr">
        <is>
          <t>PRAGMA</t>
        </is>
      </c>
      <c r="B3005" t="inlineStr">
        <is>
          <t>M1</t>
        </is>
      </c>
      <c r="C3005" t="inlineStr">
        <is>
          <t>Cali</t>
        </is>
      </c>
      <c r="D3005" t="inlineStr">
        <is>
          <t>5456</t>
        </is>
      </c>
      <c r="E3005" t="inlineStr">
        <is>
          <t>pagado</t>
        </is>
      </c>
      <c r="F3005" s="23" t="n">
        <v>46268</v>
      </c>
      <c r="G3005" s="24">
        <f>F3005-DATE(2026,8,31)</f>
        <v>3</v>
      </c>
      <c r="H3005" s="25" t="n">
        <v>103207779</v>
      </c>
      <c r="I3005" t="inlineStr">
        <is>
          <t>entidad-dia</t>
        </is>
      </c>
    </row>
    <row r="3006">
      <c r="A3006" t="inlineStr">
        <is>
          <t>PRAGMA</t>
        </is>
      </c>
      <c r="B3006" t="inlineStr">
        <is>
          <t>M1</t>
        </is>
      </c>
      <c r="C3006" t="inlineStr">
        <is>
          <t>Cali</t>
        </is>
      </c>
      <c r="D3006" t="inlineStr">
        <is>
          <t>5456</t>
        </is>
      </c>
      <c r="E3006" t="inlineStr">
        <is>
          <t>pagado</t>
        </is>
      </c>
      <c r="F3006" s="23" t="n">
        <v>46269</v>
      </c>
      <c r="G3006" s="24">
        <f>F3006-DATE(2026,8,31)</f>
        <v>4</v>
      </c>
      <c r="H3006" s="25" t="n">
        <v>92388452</v>
      </c>
      <c r="I3006" t="inlineStr">
        <is>
          <t>entidad-dia</t>
        </is>
      </c>
    </row>
    <row r="3007">
      <c r="A3007" t="inlineStr">
        <is>
          <t>PRAGMA</t>
        </is>
      </c>
      <c r="B3007" t="inlineStr">
        <is>
          <t>M1</t>
        </is>
      </c>
      <c r="C3007" t="inlineStr">
        <is>
          <t>Cali</t>
        </is>
      </c>
      <c r="D3007" t="inlineStr">
        <is>
          <t>5456</t>
        </is>
      </c>
      <c r="E3007" t="inlineStr">
        <is>
          <t>pagado</t>
        </is>
      </c>
      <c r="F3007" s="23" t="n">
        <v>46270</v>
      </c>
      <c r="G3007" s="24">
        <f>F3007-DATE(2026,8,31)</f>
        <v>5</v>
      </c>
      <c r="H3007" s="25" t="n">
        <v>44305249</v>
      </c>
      <c r="I3007" t="inlineStr">
        <is>
          <t>entidad-dia</t>
        </is>
      </c>
    </row>
    <row r="3008">
      <c r="A3008" t="inlineStr">
        <is>
          <t>PRAGMA</t>
        </is>
      </c>
      <c r="B3008" t="inlineStr">
        <is>
          <t>M1</t>
        </is>
      </c>
      <c r="C3008" t="inlineStr">
        <is>
          <t>Cali</t>
        </is>
      </c>
      <c r="D3008" t="inlineStr">
        <is>
          <t>5456</t>
        </is>
      </c>
      <c r="E3008" t="inlineStr">
        <is>
          <t>pagado</t>
        </is>
      </c>
      <c r="F3008" s="23" t="n">
        <v>46271</v>
      </c>
      <c r="G3008" s="24">
        <f>F3008-DATE(2026,8,31)</f>
        <v>6</v>
      </c>
      <c r="H3008" s="25" t="n">
        <v>15551682</v>
      </c>
      <c r="I3008" t="inlineStr">
        <is>
          <t>entidad-dia</t>
        </is>
      </c>
    </row>
    <row r="3009">
      <c r="A3009" t="inlineStr">
        <is>
          <t>PRAGMA</t>
        </is>
      </c>
      <c r="B3009" t="inlineStr">
        <is>
          <t>M1</t>
        </is>
      </c>
      <c r="C3009" t="inlineStr">
        <is>
          <t>Cali</t>
        </is>
      </c>
      <c r="D3009" t="inlineStr">
        <is>
          <t>5456</t>
        </is>
      </c>
      <c r="E3009" t="inlineStr">
        <is>
          <t>pagado</t>
        </is>
      </c>
      <c r="F3009" s="23" t="n">
        <v>46272</v>
      </c>
      <c r="G3009" s="24">
        <f>F3009-DATE(2026,8,31)</f>
        <v>7</v>
      </c>
      <c r="H3009" s="25" t="n">
        <v>33303740</v>
      </c>
      <c r="I3009" t="inlineStr">
        <is>
          <t>entidad-dia</t>
        </is>
      </c>
    </row>
    <row r="3010">
      <c r="A3010" t="inlineStr">
        <is>
          <t>PRAGMA</t>
        </is>
      </c>
      <c r="B3010" t="inlineStr">
        <is>
          <t>M1</t>
        </is>
      </c>
      <c r="C3010" t="inlineStr">
        <is>
          <t>Cali</t>
        </is>
      </c>
      <c r="D3010" t="inlineStr">
        <is>
          <t>5456</t>
        </is>
      </c>
      <c r="E3010" t="inlineStr">
        <is>
          <t>pagado</t>
        </is>
      </c>
      <c r="F3010" s="23" t="n">
        <v>46273</v>
      </c>
      <c r="G3010" s="24">
        <f>F3010-DATE(2026,8,31)</f>
        <v>8</v>
      </c>
      <c r="H3010" s="25" t="n">
        <v>33375820</v>
      </c>
      <c r="I3010" t="inlineStr">
        <is>
          <t>entidad-dia</t>
        </is>
      </c>
    </row>
    <row r="3011">
      <c r="A3011" t="inlineStr">
        <is>
          <t>PRAGMA</t>
        </is>
      </c>
      <c r="B3011" t="inlineStr">
        <is>
          <t>M1</t>
        </is>
      </c>
      <c r="C3011" t="inlineStr">
        <is>
          <t>Cali</t>
        </is>
      </c>
      <c r="D3011" t="inlineStr">
        <is>
          <t>5456</t>
        </is>
      </c>
      <c r="E3011" t="inlineStr">
        <is>
          <t>pagado</t>
        </is>
      </c>
      <c r="F3011" s="23" t="n">
        <v>46274</v>
      </c>
      <c r="G3011" s="24">
        <f>F3011-DATE(2026,8,31)</f>
        <v>9</v>
      </c>
      <c r="H3011" s="25" t="n">
        <v>38732521</v>
      </c>
      <c r="I3011" t="inlineStr">
        <is>
          <t>entidad-dia</t>
        </is>
      </c>
    </row>
    <row r="3012">
      <c r="A3012" t="inlineStr">
        <is>
          <t>PRAGMA</t>
        </is>
      </c>
      <c r="B3012" t="inlineStr">
        <is>
          <t>M1</t>
        </is>
      </c>
      <c r="C3012" t="inlineStr">
        <is>
          <t>Cali</t>
        </is>
      </c>
      <c r="D3012" t="inlineStr">
        <is>
          <t>5456</t>
        </is>
      </c>
      <c r="E3012" t="inlineStr">
        <is>
          <t>pagado</t>
        </is>
      </c>
      <c r="F3012" s="23" t="n">
        <v>46275</v>
      </c>
      <c r="G3012" s="24">
        <f>F3012-DATE(2026,8,31)</f>
        <v>10</v>
      </c>
      <c r="H3012" s="25" t="n">
        <v>35850618</v>
      </c>
      <c r="I3012" t="inlineStr">
        <is>
          <t>entidad-dia</t>
        </is>
      </c>
    </row>
    <row r="3013">
      <c r="A3013" t="inlineStr">
        <is>
          <t>PRAGMA</t>
        </is>
      </c>
      <c r="B3013" t="inlineStr">
        <is>
          <t>M1</t>
        </is>
      </c>
      <c r="C3013" t="inlineStr">
        <is>
          <t>Cali</t>
        </is>
      </c>
      <c r="D3013" t="inlineStr">
        <is>
          <t>5456</t>
        </is>
      </c>
      <c r="E3013" t="inlineStr">
        <is>
          <t>pagado</t>
        </is>
      </c>
      <c r="F3013" s="23" t="n">
        <v>46276</v>
      </c>
      <c r="G3013" s="24">
        <f>F3013-DATE(2026,8,31)</f>
        <v>11</v>
      </c>
      <c r="H3013" s="25" t="n">
        <v>38615160</v>
      </c>
      <c r="I3013" t="inlineStr">
        <is>
          <t>entidad-dia</t>
        </is>
      </c>
    </row>
    <row r="3014">
      <c r="A3014" t="inlineStr">
        <is>
          <t>PRAGMA</t>
        </is>
      </c>
      <c r="B3014" t="inlineStr">
        <is>
          <t>M1</t>
        </is>
      </c>
      <c r="C3014" t="inlineStr">
        <is>
          <t>Cali</t>
        </is>
      </c>
      <c r="D3014" t="inlineStr">
        <is>
          <t>5456</t>
        </is>
      </c>
      <c r="E3014" t="inlineStr">
        <is>
          <t>pagado</t>
        </is>
      </c>
      <c r="F3014" s="23" t="n">
        <v>46277</v>
      </c>
      <c r="G3014" s="24">
        <f>F3014-DATE(2026,8,31)</f>
        <v>12</v>
      </c>
      <c r="H3014" s="25" t="n">
        <v>27075179</v>
      </c>
      <c r="I3014" t="inlineStr">
        <is>
          <t>entidad-dia</t>
        </is>
      </c>
    </row>
    <row r="3015">
      <c r="A3015" t="inlineStr">
        <is>
          <t>PRAGMA</t>
        </is>
      </c>
      <c r="B3015" t="inlineStr">
        <is>
          <t>M1</t>
        </is>
      </c>
      <c r="C3015" t="inlineStr">
        <is>
          <t>Cali</t>
        </is>
      </c>
      <c r="D3015" t="inlineStr">
        <is>
          <t>5456</t>
        </is>
      </c>
      <c r="E3015" t="inlineStr">
        <is>
          <t>pagado</t>
        </is>
      </c>
      <c r="F3015" s="23" t="n">
        <v>46278</v>
      </c>
      <c r="G3015" s="24">
        <f>F3015-DATE(2026,8,31)</f>
        <v>13</v>
      </c>
      <c r="H3015" s="25" t="n">
        <v>12591882</v>
      </c>
      <c r="I3015" t="inlineStr">
        <is>
          <t>entidad-dia</t>
        </is>
      </c>
    </row>
    <row r="3016">
      <c r="A3016" t="inlineStr">
        <is>
          <t>PRAGMA</t>
        </is>
      </c>
      <c r="B3016" t="inlineStr">
        <is>
          <t>M1</t>
        </is>
      </c>
      <c r="C3016" t="inlineStr">
        <is>
          <t>Cali</t>
        </is>
      </c>
      <c r="D3016" t="inlineStr">
        <is>
          <t>5456</t>
        </is>
      </c>
      <c r="E3016" t="inlineStr">
        <is>
          <t>pagado</t>
        </is>
      </c>
      <c r="F3016" s="23" t="n">
        <v>46279</v>
      </c>
      <c r="G3016" s="24">
        <f>F3016-DATE(2026,8,31)</f>
        <v>14</v>
      </c>
      <c r="H3016" s="25" t="n">
        <v>37416708</v>
      </c>
      <c r="I3016" t="inlineStr">
        <is>
          <t>entidad-dia</t>
        </is>
      </c>
    </row>
    <row r="3017">
      <c r="A3017" t="inlineStr">
        <is>
          <t>PRAGMA</t>
        </is>
      </c>
      <c r="B3017" t="inlineStr">
        <is>
          <t>M1</t>
        </is>
      </c>
      <c r="C3017" t="inlineStr">
        <is>
          <t>Cali</t>
        </is>
      </c>
      <c r="D3017" t="inlineStr">
        <is>
          <t>5456</t>
        </is>
      </c>
      <c r="E3017" t="inlineStr">
        <is>
          <t>pagado</t>
        </is>
      </c>
      <c r="F3017" s="23" t="n">
        <v>46280</v>
      </c>
      <c r="G3017" s="24">
        <f>F3017-DATE(2026,8,31)</f>
        <v>15</v>
      </c>
      <c r="H3017" s="25" t="n">
        <v>60422321</v>
      </c>
      <c r="I3017" t="inlineStr">
        <is>
          <t>entidad-dia</t>
        </is>
      </c>
    </row>
    <row r="3018">
      <c r="A3018" t="inlineStr">
        <is>
          <t>PRAGMA</t>
        </is>
      </c>
      <c r="B3018" t="inlineStr">
        <is>
          <t>M1</t>
        </is>
      </c>
      <c r="C3018" t="inlineStr">
        <is>
          <t>Cali</t>
        </is>
      </c>
      <c r="D3018" t="inlineStr">
        <is>
          <t>5467</t>
        </is>
      </c>
      <c r="E3018" t="inlineStr">
        <is>
          <t>pagado</t>
        </is>
      </c>
      <c r="F3018" s="23" t="n">
        <v>46266</v>
      </c>
      <c r="G3018" s="24">
        <f>F3018-DATE(2026,8,31)</f>
        <v>1</v>
      </c>
      <c r="H3018" s="25" t="n">
        <v>176336484</v>
      </c>
      <c r="I3018" t="inlineStr">
        <is>
          <t>entidad-dia</t>
        </is>
      </c>
    </row>
    <row r="3019">
      <c r="A3019" t="inlineStr">
        <is>
          <t>PRAGMA</t>
        </is>
      </c>
      <c r="B3019" t="inlineStr">
        <is>
          <t>M1</t>
        </is>
      </c>
      <c r="C3019" t="inlineStr">
        <is>
          <t>Cali</t>
        </is>
      </c>
      <c r="D3019" t="inlineStr">
        <is>
          <t>5467</t>
        </is>
      </c>
      <c r="E3019" t="inlineStr">
        <is>
          <t>pagado</t>
        </is>
      </c>
      <c r="F3019" s="23" t="n">
        <v>46267</v>
      </c>
      <c r="G3019" s="24">
        <f>F3019-DATE(2026,8,31)</f>
        <v>2</v>
      </c>
      <c r="H3019" s="25" t="n">
        <v>152244962</v>
      </c>
      <c r="I3019" t="inlineStr">
        <is>
          <t>entidad-dia</t>
        </is>
      </c>
    </row>
    <row r="3020">
      <c r="A3020" t="inlineStr">
        <is>
          <t>PRAGMA</t>
        </is>
      </c>
      <c r="B3020" t="inlineStr">
        <is>
          <t>M1</t>
        </is>
      </c>
      <c r="C3020" t="inlineStr">
        <is>
          <t>Cali</t>
        </is>
      </c>
      <c r="D3020" t="inlineStr">
        <is>
          <t>5467</t>
        </is>
      </c>
      <c r="E3020" t="inlineStr">
        <is>
          <t>pagado</t>
        </is>
      </c>
      <c r="F3020" s="23" t="n">
        <v>46268</v>
      </c>
      <c r="G3020" s="24">
        <f>F3020-DATE(2026,8,31)</f>
        <v>3</v>
      </c>
      <c r="H3020" s="25" t="n">
        <v>128655501</v>
      </c>
      <c r="I3020" t="inlineStr">
        <is>
          <t>entidad-dia</t>
        </is>
      </c>
    </row>
    <row r="3021">
      <c r="A3021" t="inlineStr">
        <is>
          <t>PRAGMA</t>
        </is>
      </c>
      <c r="B3021" t="inlineStr">
        <is>
          <t>M1</t>
        </is>
      </c>
      <c r="C3021" t="inlineStr">
        <is>
          <t>Cali</t>
        </is>
      </c>
      <c r="D3021" t="inlineStr">
        <is>
          <t>5467</t>
        </is>
      </c>
      <c r="E3021" t="inlineStr">
        <is>
          <t>pagado</t>
        </is>
      </c>
      <c r="F3021" s="23" t="n">
        <v>46269</v>
      </c>
      <c r="G3021" s="24">
        <f>F3021-DATE(2026,8,31)</f>
        <v>4</v>
      </c>
      <c r="H3021" s="25" t="n">
        <v>140827072</v>
      </c>
      <c r="I3021" t="inlineStr">
        <is>
          <t>entidad-dia</t>
        </is>
      </c>
    </row>
    <row r="3022">
      <c r="A3022" t="inlineStr">
        <is>
          <t>PRAGMA</t>
        </is>
      </c>
      <c r="B3022" t="inlineStr">
        <is>
          <t>M1</t>
        </is>
      </c>
      <c r="C3022" t="inlineStr">
        <is>
          <t>Cali</t>
        </is>
      </c>
      <c r="D3022" t="inlineStr">
        <is>
          <t>5467</t>
        </is>
      </c>
      <c r="E3022" t="inlineStr">
        <is>
          <t>pagado</t>
        </is>
      </c>
      <c r="F3022" s="23" t="n">
        <v>46270</v>
      </c>
      <c r="G3022" s="24">
        <f>F3022-DATE(2026,8,31)</f>
        <v>5</v>
      </c>
      <c r="H3022" s="25" t="n">
        <v>160850246</v>
      </c>
      <c r="I3022" t="inlineStr">
        <is>
          <t>entidad-dia</t>
        </is>
      </c>
    </row>
    <row r="3023">
      <c r="A3023" t="inlineStr">
        <is>
          <t>PRAGMA</t>
        </is>
      </c>
      <c r="B3023" t="inlineStr">
        <is>
          <t>M1</t>
        </is>
      </c>
      <c r="C3023" t="inlineStr">
        <is>
          <t>Cali</t>
        </is>
      </c>
      <c r="D3023" t="inlineStr">
        <is>
          <t>5467</t>
        </is>
      </c>
      <c r="E3023" t="inlineStr">
        <is>
          <t>pagado</t>
        </is>
      </c>
      <c r="F3023" s="23" t="n">
        <v>46271</v>
      </c>
      <c r="G3023" s="24">
        <f>F3023-DATE(2026,8,31)</f>
        <v>6</v>
      </c>
      <c r="H3023" s="25" t="n">
        <v>133391394</v>
      </c>
      <c r="I3023" t="inlineStr">
        <is>
          <t>entidad-dia</t>
        </is>
      </c>
    </row>
    <row r="3024">
      <c r="A3024" t="inlineStr">
        <is>
          <t>PRAGMA</t>
        </is>
      </c>
      <c r="B3024" t="inlineStr">
        <is>
          <t>M1</t>
        </is>
      </c>
      <c r="C3024" t="inlineStr">
        <is>
          <t>Cali</t>
        </is>
      </c>
      <c r="D3024" t="inlineStr">
        <is>
          <t>5467</t>
        </is>
      </c>
      <c r="E3024" t="inlineStr">
        <is>
          <t>pagado</t>
        </is>
      </c>
      <c r="F3024" s="23" t="n">
        <v>46272</v>
      </c>
      <c r="G3024" s="24">
        <f>F3024-DATE(2026,8,31)</f>
        <v>7</v>
      </c>
      <c r="H3024" s="25" t="n">
        <v>122960464</v>
      </c>
      <c r="I3024" t="inlineStr">
        <is>
          <t>entidad-dia</t>
        </is>
      </c>
    </row>
    <row r="3025">
      <c r="A3025" t="inlineStr">
        <is>
          <t>PRAGMA</t>
        </is>
      </c>
      <c r="B3025" t="inlineStr">
        <is>
          <t>M1</t>
        </is>
      </c>
      <c r="C3025" t="inlineStr">
        <is>
          <t>Cali</t>
        </is>
      </c>
      <c r="D3025" t="inlineStr">
        <is>
          <t>5467</t>
        </is>
      </c>
      <c r="E3025" t="inlineStr">
        <is>
          <t>pagado</t>
        </is>
      </c>
      <c r="F3025" s="23" t="n">
        <v>46273</v>
      </c>
      <c r="G3025" s="24">
        <f>F3025-DATE(2026,8,31)</f>
        <v>8</v>
      </c>
      <c r="H3025" s="25" t="n">
        <v>114282879</v>
      </c>
      <c r="I3025" t="inlineStr">
        <is>
          <t>entidad-dia</t>
        </is>
      </c>
    </row>
    <row r="3026">
      <c r="A3026" t="inlineStr">
        <is>
          <t>PRAGMA</t>
        </is>
      </c>
      <c r="B3026" t="inlineStr">
        <is>
          <t>M1</t>
        </is>
      </c>
      <c r="C3026" t="inlineStr">
        <is>
          <t>Cali</t>
        </is>
      </c>
      <c r="D3026" t="inlineStr">
        <is>
          <t>5467</t>
        </is>
      </c>
      <c r="E3026" t="inlineStr">
        <is>
          <t>pagado</t>
        </is>
      </c>
      <c r="F3026" s="23" t="n">
        <v>46274</v>
      </c>
      <c r="G3026" s="24">
        <f>F3026-DATE(2026,8,31)</f>
        <v>9</v>
      </c>
      <c r="H3026" s="25" t="n">
        <v>107973968</v>
      </c>
      <c r="I3026" t="inlineStr">
        <is>
          <t>entidad-dia</t>
        </is>
      </c>
    </row>
    <row r="3027">
      <c r="A3027" t="inlineStr">
        <is>
          <t>PRAGMA</t>
        </is>
      </c>
      <c r="B3027" t="inlineStr">
        <is>
          <t>M1</t>
        </is>
      </c>
      <c r="C3027" t="inlineStr">
        <is>
          <t>Cali</t>
        </is>
      </c>
      <c r="D3027" t="inlineStr">
        <is>
          <t>5467</t>
        </is>
      </c>
      <c r="E3027" t="inlineStr">
        <is>
          <t>pagado</t>
        </is>
      </c>
      <c r="F3027" s="23" t="n">
        <v>46275</v>
      </c>
      <c r="G3027" s="24">
        <f>F3027-DATE(2026,8,31)</f>
        <v>10</v>
      </c>
      <c r="H3027" s="25" t="n">
        <v>96224616</v>
      </c>
      <c r="I3027" t="inlineStr">
        <is>
          <t>entidad-dia</t>
        </is>
      </c>
    </row>
    <row r="3028">
      <c r="A3028" t="inlineStr">
        <is>
          <t>PRAGMA</t>
        </is>
      </c>
      <c r="B3028" t="inlineStr">
        <is>
          <t>M1</t>
        </is>
      </c>
      <c r="C3028" t="inlineStr">
        <is>
          <t>Cali</t>
        </is>
      </c>
      <c r="D3028" t="inlineStr">
        <is>
          <t>5467</t>
        </is>
      </c>
      <c r="E3028" t="inlineStr">
        <is>
          <t>pagado</t>
        </is>
      </c>
      <c r="F3028" s="23" t="n">
        <v>46276</v>
      </c>
      <c r="G3028" s="24">
        <f>F3028-DATE(2026,8,31)</f>
        <v>11</v>
      </c>
      <c r="H3028" s="25" t="n">
        <v>109941051</v>
      </c>
      <c r="I3028" t="inlineStr">
        <is>
          <t>entidad-dia</t>
        </is>
      </c>
    </row>
    <row r="3029">
      <c r="A3029" t="inlineStr">
        <is>
          <t>PRAGMA</t>
        </is>
      </c>
      <c r="B3029" t="inlineStr">
        <is>
          <t>M1</t>
        </is>
      </c>
      <c r="C3029" t="inlineStr">
        <is>
          <t>Cali</t>
        </is>
      </c>
      <c r="D3029" t="inlineStr">
        <is>
          <t>5467</t>
        </is>
      </c>
      <c r="E3029" t="inlineStr">
        <is>
          <t>pagado</t>
        </is>
      </c>
      <c r="F3029" s="23" t="n">
        <v>46277</v>
      </c>
      <c r="G3029" s="24">
        <f>F3029-DATE(2026,8,31)</f>
        <v>12</v>
      </c>
      <c r="H3029" s="25" t="n">
        <v>120141619</v>
      </c>
      <c r="I3029" t="inlineStr">
        <is>
          <t>entidad-dia</t>
        </is>
      </c>
    </row>
    <row r="3030">
      <c r="A3030" t="inlineStr">
        <is>
          <t>PRAGMA</t>
        </is>
      </c>
      <c r="B3030" t="inlineStr">
        <is>
          <t>M1</t>
        </is>
      </c>
      <c r="C3030" t="inlineStr">
        <is>
          <t>Cali</t>
        </is>
      </c>
      <c r="D3030" t="inlineStr">
        <is>
          <t>5467</t>
        </is>
      </c>
      <c r="E3030" t="inlineStr">
        <is>
          <t>pagado</t>
        </is>
      </c>
      <c r="F3030" s="23" t="n">
        <v>46278</v>
      </c>
      <c r="G3030" s="24">
        <f>F3030-DATE(2026,8,31)</f>
        <v>13</v>
      </c>
      <c r="H3030" s="25" t="n">
        <v>109807523</v>
      </c>
      <c r="I3030" t="inlineStr">
        <is>
          <t>entidad-dia</t>
        </is>
      </c>
    </row>
    <row r="3031">
      <c r="A3031" t="inlineStr">
        <is>
          <t>PRAGMA</t>
        </is>
      </c>
      <c r="B3031" t="inlineStr">
        <is>
          <t>M1</t>
        </is>
      </c>
      <c r="C3031" t="inlineStr">
        <is>
          <t>Cali</t>
        </is>
      </c>
      <c r="D3031" t="inlineStr">
        <is>
          <t>5467</t>
        </is>
      </c>
      <c r="E3031" t="inlineStr">
        <is>
          <t>pagado</t>
        </is>
      </c>
      <c r="F3031" s="23" t="n">
        <v>46279</v>
      </c>
      <c r="G3031" s="24">
        <f>F3031-DATE(2026,8,31)</f>
        <v>14</v>
      </c>
      <c r="H3031" s="25" t="n">
        <v>106510616</v>
      </c>
      <c r="I3031" t="inlineStr">
        <is>
          <t>entidad-dia</t>
        </is>
      </c>
    </row>
    <row r="3032">
      <c r="A3032" t="inlineStr">
        <is>
          <t>PRAGMA</t>
        </is>
      </c>
      <c r="B3032" t="inlineStr">
        <is>
          <t>M1</t>
        </is>
      </c>
      <c r="C3032" t="inlineStr">
        <is>
          <t>Cali</t>
        </is>
      </c>
      <c r="D3032" t="inlineStr">
        <is>
          <t>5467</t>
        </is>
      </c>
      <c r="E3032" t="inlineStr">
        <is>
          <t>pagado</t>
        </is>
      </c>
      <c r="F3032" s="23" t="n">
        <v>46280</v>
      </c>
      <c r="G3032" s="24">
        <f>F3032-DATE(2026,8,31)</f>
        <v>15</v>
      </c>
      <c r="H3032" s="25" t="n">
        <v>148578891</v>
      </c>
      <c r="I3032" t="inlineStr">
        <is>
          <t>entidad-dia</t>
        </is>
      </c>
    </row>
    <row r="3033">
      <c r="A3033" t="inlineStr">
        <is>
          <t>PRAGMA</t>
        </is>
      </c>
      <c r="B3033" t="inlineStr">
        <is>
          <t>M1</t>
        </is>
      </c>
      <c r="C3033" t="inlineStr">
        <is>
          <t>Cali</t>
        </is>
      </c>
      <c r="D3033" t="inlineStr">
        <is>
          <t>5524</t>
        </is>
      </c>
      <c r="E3033" t="inlineStr">
        <is>
          <t>pagado</t>
        </is>
      </c>
      <c r="F3033" s="23" t="n">
        <v>46266</v>
      </c>
      <c r="G3033" s="24">
        <f>F3033-DATE(2026,8,31)</f>
        <v>1</v>
      </c>
      <c r="H3033" s="25" t="n">
        <v>193952197</v>
      </c>
      <c r="I3033" t="inlineStr">
        <is>
          <t>entidad-dia</t>
        </is>
      </c>
    </row>
    <row r="3034">
      <c r="A3034" t="inlineStr">
        <is>
          <t>PRAGMA</t>
        </is>
      </c>
      <c r="B3034" t="inlineStr">
        <is>
          <t>M1</t>
        </is>
      </c>
      <c r="C3034" t="inlineStr">
        <is>
          <t>Cali</t>
        </is>
      </c>
      <c r="D3034" t="inlineStr">
        <is>
          <t>5524</t>
        </is>
      </c>
      <c r="E3034" t="inlineStr">
        <is>
          <t>pagado</t>
        </is>
      </c>
      <c r="F3034" s="23" t="n">
        <v>46267</v>
      </c>
      <c r="G3034" s="24">
        <f>F3034-DATE(2026,8,31)</f>
        <v>2</v>
      </c>
      <c r="H3034" s="25" t="n">
        <v>157580563</v>
      </c>
      <c r="I3034" t="inlineStr">
        <is>
          <t>entidad-dia</t>
        </is>
      </c>
    </row>
    <row r="3035">
      <c r="A3035" t="inlineStr">
        <is>
          <t>PRAGMA</t>
        </is>
      </c>
      <c r="B3035" t="inlineStr">
        <is>
          <t>M1</t>
        </is>
      </c>
      <c r="C3035" t="inlineStr">
        <is>
          <t>Cali</t>
        </is>
      </c>
      <c r="D3035" t="inlineStr">
        <is>
          <t>5524</t>
        </is>
      </c>
      <c r="E3035" t="inlineStr">
        <is>
          <t>pagado</t>
        </is>
      </c>
      <c r="F3035" s="23" t="n">
        <v>46268</v>
      </c>
      <c r="G3035" s="24">
        <f>F3035-DATE(2026,8,31)</f>
        <v>3</v>
      </c>
      <c r="H3035" s="25" t="n">
        <v>155574840</v>
      </c>
      <c r="I3035" t="inlineStr">
        <is>
          <t>entidad-dia</t>
        </is>
      </c>
    </row>
    <row r="3036">
      <c r="A3036" t="inlineStr">
        <is>
          <t>PRAGMA</t>
        </is>
      </c>
      <c r="B3036" t="inlineStr">
        <is>
          <t>M1</t>
        </is>
      </c>
      <c r="C3036" t="inlineStr">
        <is>
          <t>Cali</t>
        </is>
      </c>
      <c r="D3036" t="inlineStr">
        <is>
          <t>5524</t>
        </is>
      </c>
      <c r="E3036" t="inlineStr">
        <is>
          <t>pagado</t>
        </is>
      </c>
      <c r="F3036" s="23" t="n">
        <v>46269</v>
      </c>
      <c r="G3036" s="24">
        <f>F3036-DATE(2026,8,31)</f>
        <v>4</v>
      </c>
      <c r="H3036" s="25" t="n">
        <v>156448881</v>
      </c>
      <c r="I3036" t="inlineStr">
        <is>
          <t>entidad-dia</t>
        </is>
      </c>
    </row>
    <row r="3037">
      <c r="A3037" t="inlineStr">
        <is>
          <t>PRAGMA</t>
        </is>
      </c>
      <c r="B3037" t="inlineStr">
        <is>
          <t>M1</t>
        </is>
      </c>
      <c r="C3037" t="inlineStr">
        <is>
          <t>Cali</t>
        </is>
      </c>
      <c r="D3037" t="inlineStr">
        <is>
          <t>5524</t>
        </is>
      </c>
      <c r="E3037" t="inlineStr">
        <is>
          <t>pagado</t>
        </is>
      </c>
      <c r="F3037" s="23" t="n">
        <v>46270</v>
      </c>
      <c r="G3037" s="24">
        <f>F3037-DATE(2026,8,31)</f>
        <v>5</v>
      </c>
      <c r="H3037" s="25" t="n">
        <v>116205669</v>
      </c>
      <c r="I3037" t="inlineStr">
        <is>
          <t>entidad-dia</t>
        </is>
      </c>
    </row>
    <row r="3038">
      <c r="A3038" t="inlineStr">
        <is>
          <t>PRAGMA</t>
        </is>
      </c>
      <c r="B3038" t="inlineStr">
        <is>
          <t>M1</t>
        </is>
      </c>
      <c r="C3038" t="inlineStr">
        <is>
          <t>Cali</t>
        </is>
      </c>
      <c r="D3038" t="inlineStr">
        <is>
          <t>5524</t>
        </is>
      </c>
      <c r="E3038" t="inlineStr">
        <is>
          <t>pagado</t>
        </is>
      </c>
      <c r="F3038" s="23" t="n">
        <v>46271</v>
      </c>
      <c r="G3038" s="24">
        <f>F3038-DATE(2026,8,31)</f>
        <v>6</v>
      </c>
      <c r="H3038" s="25" t="n">
        <v>43199965</v>
      </c>
      <c r="I3038" t="inlineStr">
        <is>
          <t>entidad-dia</t>
        </is>
      </c>
    </row>
    <row r="3039">
      <c r="A3039" t="inlineStr">
        <is>
          <t>PRAGMA</t>
        </is>
      </c>
      <c r="B3039" t="inlineStr">
        <is>
          <t>M1</t>
        </is>
      </c>
      <c r="C3039" t="inlineStr">
        <is>
          <t>Cali</t>
        </is>
      </c>
      <c r="D3039" t="inlineStr">
        <is>
          <t>5524</t>
        </is>
      </c>
      <c r="E3039" t="inlineStr">
        <is>
          <t>pagado</t>
        </is>
      </c>
      <c r="F3039" s="23" t="n">
        <v>46272</v>
      </c>
      <c r="G3039" s="24">
        <f>F3039-DATE(2026,8,31)</f>
        <v>7</v>
      </c>
      <c r="H3039" s="25" t="n">
        <v>100880167</v>
      </c>
      <c r="I3039" t="inlineStr">
        <is>
          <t>entidad-dia</t>
        </is>
      </c>
    </row>
    <row r="3040">
      <c r="A3040" t="inlineStr">
        <is>
          <t>PRAGMA</t>
        </is>
      </c>
      <c r="B3040" t="inlineStr">
        <is>
          <t>M1</t>
        </is>
      </c>
      <c r="C3040" t="inlineStr">
        <is>
          <t>Cali</t>
        </is>
      </c>
      <c r="D3040" t="inlineStr">
        <is>
          <t>5524</t>
        </is>
      </c>
      <c r="E3040" t="inlineStr">
        <is>
          <t>pagado</t>
        </is>
      </c>
      <c r="F3040" s="23" t="n">
        <v>46273</v>
      </c>
      <c r="G3040" s="24">
        <f>F3040-DATE(2026,8,31)</f>
        <v>8</v>
      </c>
      <c r="H3040" s="25" t="n">
        <v>123031534</v>
      </c>
      <c r="I3040" t="inlineStr">
        <is>
          <t>entidad-dia</t>
        </is>
      </c>
    </row>
    <row r="3041">
      <c r="A3041" t="inlineStr">
        <is>
          <t>PRAGMA</t>
        </is>
      </c>
      <c r="B3041" t="inlineStr">
        <is>
          <t>M1</t>
        </is>
      </c>
      <c r="C3041" t="inlineStr">
        <is>
          <t>Cali</t>
        </is>
      </c>
      <c r="D3041" t="inlineStr">
        <is>
          <t>5524</t>
        </is>
      </c>
      <c r="E3041" t="inlineStr">
        <is>
          <t>pagado</t>
        </is>
      </c>
      <c r="F3041" s="23" t="n">
        <v>46274</v>
      </c>
      <c r="G3041" s="24">
        <f>F3041-DATE(2026,8,31)</f>
        <v>9</v>
      </c>
      <c r="H3041" s="25" t="n">
        <v>114456278</v>
      </c>
      <c r="I3041" t="inlineStr">
        <is>
          <t>entidad-dia</t>
        </is>
      </c>
    </row>
    <row r="3042">
      <c r="A3042" t="inlineStr">
        <is>
          <t>PRAGMA</t>
        </is>
      </c>
      <c r="B3042" t="inlineStr">
        <is>
          <t>M1</t>
        </is>
      </c>
      <c r="C3042" t="inlineStr">
        <is>
          <t>Cali</t>
        </is>
      </c>
      <c r="D3042" t="inlineStr">
        <is>
          <t>5524</t>
        </is>
      </c>
      <c r="E3042" t="inlineStr">
        <is>
          <t>pagado</t>
        </is>
      </c>
      <c r="F3042" s="23" t="n">
        <v>46275</v>
      </c>
      <c r="G3042" s="24">
        <f>F3042-DATE(2026,8,31)</f>
        <v>10</v>
      </c>
      <c r="H3042" s="25" t="n">
        <v>117591006</v>
      </c>
      <c r="I3042" t="inlineStr">
        <is>
          <t>entidad-dia</t>
        </is>
      </c>
    </row>
    <row r="3043">
      <c r="A3043" t="inlineStr">
        <is>
          <t>PRAGMA</t>
        </is>
      </c>
      <c r="B3043" t="inlineStr">
        <is>
          <t>M1</t>
        </is>
      </c>
      <c r="C3043" t="inlineStr">
        <is>
          <t>Cali</t>
        </is>
      </c>
      <c r="D3043" t="inlineStr">
        <is>
          <t>5524</t>
        </is>
      </c>
      <c r="E3043" t="inlineStr">
        <is>
          <t>pagado</t>
        </is>
      </c>
      <c r="F3043" s="23" t="n">
        <v>46276</v>
      </c>
      <c r="G3043" s="24">
        <f>F3043-DATE(2026,8,31)</f>
        <v>11</v>
      </c>
      <c r="H3043" s="25" t="n">
        <v>131588932</v>
      </c>
      <c r="I3043" t="inlineStr">
        <is>
          <t>entidad-dia</t>
        </is>
      </c>
    </row>
    <row r="3044">
      <c r="A3044" t="inlineStr">
        <is>
          <t>PRAGMA</t>
        </is>
      </c>
      <c r="B3044" t="inlineStr">
        <is>
          <t>M1</t>
        </is>
      </c>
      <c r="C3044" t="inlineStr">
        <is>
          <t>Cali</t>
        </is>
      </c>
      <c r="D3044" t="inlineStr">
        <is>
          <t>5524</t>
        </is>
      </c>
      <c r="E3044" t="inlineStr">
        <is>
          <t>pagado</t>
        </is>
      </c>
      <c r="F3044" s="23" t="n">
        <v>46277</v>
      </c>
      <c r="G3044" s="24">
        <f>F3044-DATE(2026,8,31)</f>
        <v>12</v>
      </c>
      <c r="H3044" s="25" t="n">
        <v>88079624</v>
      </c>
      <c r="I3044" t="inlineStr">
        <is>
          <t>entidad-dia</t>
        </is>
      </c>
    </row>
    <row r="3045">
      <c r="A3045" t="inlineStr">
        <is>
          <t>PRAGMA</t>
        </is>
      </c>
      <c r="B3045" t="inlineStr">
        <is>
          <t>M1</t>
        </is>
      </c>
      <c r="C3045" t="inlineStr">
        <is>
          <t>Cali</t>
        </is>
      </c>
      <c r="D3045" t="inlineStr">
        <is>
          <t>5524</t>
        </is>
      </c>
      <c r="E3045" t="inlineStr">
        <is>
          <t>pagado</t>
        </is>
      </c>
      <c r="F3045" s="23" t="n">
        <v>46278</v>
      </c>
      <c r="G3045" s="24">
        <f>F3045-DATE(2026,8,31)</f>
        <v>13</v>
      </c>
      <c r="H3045" s="25" t="n">
        <v>37036499</v>
      </c>
      <c r="I3045" t="inlineStr">
        <is>
          <t>entidad-dia</t>
        </is>
      </c>
    </row>
    <row r="3046">
      <c r="A3046" t="inlineStr">
        <is>
          <t>PRAGMA</t>
        </is>
      </c>
      <c r="B3046" t="inlineStr">
        <is>
          <t>M1</t>
        </is>
      </c>
      <c r="C3046" t="inlineStr">
        <is>
          <t>Cali</t>
        </is>
      </c>
      <c r="D3046" t="inlineStr">
        <is>
          <t>5524</t>
        </is>
      </c>
      <c r="E3046" t="inlineStr">
        <is>
          <t>pagado</t>
        </is>
      </c>
      <c r="F3046" s="23" t="n">
        <v>46279</v>
      </c>
      <c r="G3046" s="24">
        <f>F3046-DATE(2026,8,31)</f>
        <v>14</v>
      </c>
      <c r="H3046" s="25" t="n">
        <v>97445041</v>
      </c>
      <c r="I3046" t="inlineStr">
        <is>
          <t>entidad-dia</t>
        </is>
      </c>
    </row>
    <row r="3047">
      <c r="A3047" t="inlineStr">
        <is>
          <t>PRAGMA</t>
        </is>
      </c>
      <c r="B3047" t="inlineStr">
        <is>
          <t>M1</t>
        </is>
      </c>
      <c r="C3047" t="inlineStr">
        <is>
          <t>Cali</t>
        </is>
      </c>
      <c r="D3047" t="inlineStr">
        <is>
          <t>5524</t>
        </is>
      </c>
      <c r="E3047" t="inlineStr">
        <is>
          <t>pagado</t>
        </is>
      </c>
      <c r="F3047" s="23" t="n">
        <v>46280</v>
      </c>
      <c r="G3047" s="24">
        <f>F3047-DATE(2026,8,31)</f>
        <v>15</v>
      </c>
      <c r="H3047" s="25" t="n">
        <v>151586415</v>
      </c>
      <c r="I3047" t="inlineStr">
        <is>
          <t>entidad-dia</t>
        </is>
      </c>
    </row>
    <row r="3048">
      <c r="A3048" t="inlineStr">
        <is>
          <t>PRAGMA</t>
        </is>
      </c>
      <c r="B3048" t="inlineStr">
        <is>
          <t>M1</t>
        </is>
      </c>
      <c r="C3048" t="inlineStr">
        <is>
          <t>Cali</t>
        </is>
      </c>
      <c r="D3048" t="inlineStr">
        <is>
          <t>5542</t>
        </is>
      </c>
      <c r="E3048" t="inlineStr">
        <is>
          <t>pagado</t>
        </is>
      </c>
      <c r="F3048" s="23" t="n">
        <v>46266</v>
      </c>
      <c r="G3048" s="24">
        <f>F3048-DATE(2026,8,31)</f>
        <v>1</v>
      </c>
      <c r="H3048" s="25" t="n">
        <v>136410257</v>
      </c>
      <c r="I3048" t="inlineStr">
        <is>
          <t>entidad-dia</t>
        </is>
      </c>
    </row>
    <row r="3049">
      <c r="A3049" t="inlineStr">
        <is>
          <t>PRAGMA</t>
        </is>
      </c>
      <c r="B3049" t="inlineStr">
        <is>
          <t>M1</t>
        </is>
      </c>
      <c r="C3049" t="inlineStr">
        <is>
          <t>Cali</t>
        </is>
      </c>
      <c r="D3049" t="inlineStr">
        <is>
          <t>5542</t>
        </is>
      </c>
      <c r="E3049" t="inlineStr">
        <is>
          <t>pagado</t>
        </is>
      </c>
      <c r="F3049" s="23" t="n">
        <v>46267</v>
      </c>
      <c r="G3049" s="24">
        <f>F3049-DATE(2026,8,31)</f>
        <v>2</v>
      </c>
      <c r="H3049" s="25" t="n">
        <v>111775441</v>
      </c>
      <c r="I3049" t="inlineStr">
        <is>
          <t>entidad-dia</t>
        </is>
      </c>
    </row>
    <row r="3050">
      <c r="A3050" t="inlineStr">
        <is>
          <t>PRAGMA</t>
        </is>
      </c>
      <c r="B3050" t="inlineStr">
        <is>
          <t>M1</t>
        </is>
      </c>
      <c r="C3050" t="inlineStr">
        <is>
          <t>Cali</t>
        </is>
      </c>
      <c r="D3050" t="inlineStr">
        <is>
          <t>5542</t>
        </is>
      </c>
      <c r="E3050" t="inlineStr">
        <is>
          <t>pagado</t>
        </is>
      </c>
      <c r="F3050" s="23" t="n">
        <v>46268</v>
      </c>
      <c r="G3050" s="24">
        <f>F3050-DATE(2026,8,31)</f>
        <v>3</v>
      </c>
      <c r="H3050" s="25" t="n">
        <v>99008481</v>
      </c>
      <c r="I3050" t="inlineStr">
        <is>
          <t>entidad-dia</t>
        </is>
      </c>
    </row>
    <row r="3051">
      <c r="A3051" t="inlineStr">
        <is>
          <t>PRAGMA</t>
        </is>
      </c>
      <c r="B3051" t="inlineStr">
        <is>
          <t>M1</t>
        </is>
      </c>
      <c r="C3051" t="inlineStr">
        <is>
          <t>Cali</t>
        </is>
      </c>
      <c r="D3051" t="inlineStr">
        <is>
          <t>5542</t>
        </is>
      </c>
      <c r="E3051" t="inlineStr">
        <is>
          <t>pagado</t>
        </is>
      </c>
      <c r="F3051" s="23" t="n">
        <v>46269</v>
      </c>
      <c r="G3051" s="24">
        <f>F3051-DATE(2026,8,31)</f>
        <v>4</v>
      </c>
      <c r="H3051" s="25" t="n">
        <v>98631973</v>
      </c>
      <c r="I3051" t="inlineStr">
        <is>
          <t>entidad-dia</t>
        </is>
      </c>
    </row>
    <row r="3052">
      <c r="A3052" t="inlineStr">
        <is>
          <t>PRAGMA</t>
        </is>
      </c>
      <c r="B3052" t="inlineStr">
        <is>
          <t>M1</t>
        </is>
      </c>
      <c r="C3052" t="inlineStr">
        <is>
          <t>Cali</t>
        </is>
      </c>
      <c r="D3052" t="inlineStr">
        <is>
          <t>5542</t>
        </is>
      </c>
      <c r="E3052" t="inlineStr">
        <is>
          <t>pagado</t>
        </is>
      </c>
      <c r="F3052" s="23" t="n">
        <v>46270</v>
      </c>
      <c r="G3052" s="24">
        <f>F3052-DATE(2026,8,31)</f>
        <v>5</v>
      </c>
      <c r="H3052" s="25" t="n">
        <v>100183785</v>
      </c>
      <c r="I3052" t="inlineStr">
        <is>
          <t>entidad-dia</t>
        </is>
      </c>
    </row>
    <row r="3053">
      <c r="A3053" t="inlineStr">
        <is>
          <t>PRAGMA</t>
        </is>
      </c>
      <c r="B3053" t="inlineStr">
        <is>
          <t>M1</t>
        </is>
      </c>
      <c r="C3053" t="inlineStr">
        <is>
          <t>Cali</t>
        </is>
      </c>
      <c r="D3053" t="inlineStr">
        <is>
          <t>5542</t>
        </is>
      </c>
      <c r="E3053" t="inlineStr">
        <is>
          <t>pagado</t>
        </is>
      </c>
      <c r="F3053" s="23" t="n">
        <v>46271</v>
      </c>
      <c r="G3053" s="24">
        <f>F3053-DATE(2026,8,31)</f>
        <v>6</v>
      </c>
      <c r="H3053" s="25" t="n">
        <v>40377536</v>
      </c>
      <c r="I3053" t="inlineStr">
        <is>
          <t>entidad-dia</t>
        </is>
      </c>
    </row>
    <row r="3054">
      <c r="A3054" t="inlineStr">
        <is>
          <t>PRAGMA</t>
        </is>
      </c>
      <c r="B3054" t="inlineStr">
        <is>
          <t>M1</t>
        </is>
      </c>
      <c r="C3054" t="inlineStr">
        <is>
          <t>Cali</t>
        </is>
      </c>
      <c r="D3054" t="inlineStr">
        <is>
          <t>5542</t>
        </is>
      </c>
      <c r="E3054" t="inlineStr">
        <is>
          <t>pagado</t>
        </is>
      </c>
      <c r="F3054" s="23" t="n">
        <v>46272</v>
      </c>
      <c r="G3054" s="24">
        <f>F3054-DATE(2026,8,31)</f>
        <v>7</v>
      </c>
      <c r="H3054" s="25" t="n">
        <v>75078634</v>
      </c>
      <c r="I3054" t="inlineStr">
        <is>
          <t>entidad-dia</t>
        </is>
      </c>
    </row>
    <row r="3055">
      <c r="A3055" t="inlineStr">
        <is>
          <t>PRAGMA</t>
        </is>
      </c>
      <c r="B3055" t="inlineStr">
        <is>
          <t>M1</t>
        </is>
      </c>
      <c r="C3055" t="inlineStr">
        <is>
          <t>Cali</t>
        </is>
      </c>
      <c r="D3055" t="inlineStr">
        <is>
          <t>5542</t>
        </is>
      </c>
      <c r="E3055" t="inlineStr">
        <is>
          <t>pagado</t>
        </is>
      </c>
      <c r="F3055" s="23" t="n">
        <v>46273</v>
      </c>
      <c r="G3055" s="24">
        <f>F3055-DATE(2026,8,31)</f>
        <v>8</v>
      </c>
      <c r="H3055" s="25" t="n">
        <v>74407942</v>
      </c>
      <c r="I3055" t="inlineStr">
        <is>
          <t>entidad-dia</t>
        </is>
      </c>
    </row>
    <row r="3056">
      <c r="A3056" t="inlineStr">
        <is>
          <t>PRAGMA</t>
        </is>
      </c>
      <c r="B3056" t="inlineStr">
        <is>
          <t>M1</t>
        </is>
      </c>
      <c r="C3056" t="inlineStr">
        <is>
          <t>Cali</t>
        </is>
      </c>
      <c r="D3056" t="inlineStr">
        <is>
          <t>5542</t>
        </is>
      </c>
      <c r="E3056" t="inlineStr">
        <is>
          <t>pagado</t>
        </is>
      </c>
      <c r="F3056" s="23" t="n">
        <v>46274</v>
      </c>
      <c r="G3056" s="24">
        <f>F3056-DATE(2026,8,31)</f>
        <v>9</v>
      </c>
      <c r="H3056" s="25" t="n">
        <v>77213272</v>
      </c>
      <c r="I3056" t="inlineStr">
        <is>
          <t>entidad-dia</t>
        </is>
      </c>
    </row>
    <row r="3057">
      <c r="A3057" t="inlineStr">
        <is>
          <t>PRAGMA</t>
        </is>
      </c>
      <c r="B3057" t="inlineStr">
        <is>
          <t>M1</t>
        </is>
      </c>
      <c r="C3057" t="inlineStr">
        <is>
          <t>Cali</t>
        </is>
      </c>
      <c r="D3057" t="inlineStr">
        <is>
          <t>5542</t>
        </is>
      </c>
      <c r="E3057" t="inlineStr">
        <is>
          <t>pagado</t>
        </is>
      </c>
      <c r="F3057" s="23" t="n">
        <v>46275</v>
      </c>
      <c r="G3057" s="24">
        <f>F3057-DATE(2026,8,31)</f>
        <v>10</v>
      </c>
      <c r="H3057" s="25" t="n">
        <v>67763243</v>
      </c>
      <c r="I3057" t="inlineStr">
        <is>
          <t>entidad-dia</t>
        </is>
      </c>
    </row>
    <row r="3058">
      <c r="A3058" t="inlineStr">
        <is>
          <t>PRAGMA</t>
        </is>
      </c>
      <c r="B3058" t="inlineStr">
        <is>
          <t>M1</t>
        </is>
      </c>
      <c r="C3058" t="inlineStr">
        <is>
          <t>Cali</t>
        </is>
      </c>
      <c r="D3058" t="inlineStr">
        <is>
          <t>5542</t>
        </is>
      </c>
      <c r="E3058" t="inlineStr">
        <is>
          <t>pagado</t>
        </is>
      </c>
      <c r="F3058" s="23" t="n">
        <v>46276</v>
      </c>
      <c r="G3058" s="24">
        <f>F3058-DATE(2026,8,31)</f>
        <v>11</v>
      </c>
      <c r="H3058" s="25" t="n">
        <v>74366593</v>
      </c>
      <c r="I3058" t="inlineStr">
        <is>
          <t>entidad-dia</t>
        </is>
      </c>
    </row>
    <row r="3059">
      <c r="A3059" t="inlineStr">
        <is>
          <t>PRAGMA</t>
        </is>
      </c>
      <c r="B3059" t="inlineStr">
        <is>
          <t>M1</t>
        </is>
      </c>
      <c r="C3059" t="inlineStr">
        <is>
          <t>Cali</t>
        </is>
      </c>
      <c r="D3059" t="inlineStr">
        <is>
          <t>5542</t>
        </is>
      </c>
      <c r="E3059" t="inlineStr">
        <is>
          <t>pagado</t>
        </is>
      </c>
      <c r="F3059" s="23" t="n">
        <v>46277</v>
      </c>
      <c r="G3059" s="24">
        <f>F3059-DATE(2026,8,31)</f>
        <v>12</v>
      </c>
      <c r="H3059" s="25" t="n">
        <v>79864653</v>
      </c>
      <c r="I3059" t="inlineStr">
        <is>
          <t>entidad-dia</t>
        </is>
      </c>
    </row>
    <row r="3060">
      <c r="A3060" t="inlineStr">
        <is>
          <t>PRAGMA</t>
        </is>
      </c>
      <c r="B3060" t="inlineStr">
        <is>
          <t>M1</t>
        </is>
      </c>
      <c r="C3060" t="inlineStr">
        <is>
          <t>Cali</t>
        </is>
      </c>
      <c r="D3060" t="inlineStr">
        <is>
          <t>5542</t>
        </is>
      </c>
      <c r="E3060" t="inlineStr">
        <is>
          <t>pagado</t>
        </is>
      </c>
      <c r="F3060" s="23" t="n">
        <v>46278</v>
      </c>
      <c r="G3060" s="24">
        <f>F3060-DATE(2026,8,31)</f>
        <v>13</v>
      </c>
      <c r="H3060" s="25" t="n">
        <v>29818516</v>
      </c>
      <c r="I3060" t="inlineStr">
        <is>
          <t>entidad-dia</t>
        </is>
      </c>
    </row>
    <row r="3061">
      <c r="A3061" t="inlineStr">
        <is>
          <t>PRAGMA</t>
        </is>
      </c>
      <c r="B3061" t="inlineStr">
        <is>
          <t>M1</t>
        </is>
      </c>
      <c r="C3061" t="inlineStr">
        <is>
          <t>Cali</t>
        </is>
      </c>
      <c r="D3061" t="inlineStr">
        <is>
          <t>5542</t>
        </is>
      </c>
      <c r="E3061" t="inlineStr">
        <is>
          <t>pagado</t>
        </is>
      </c>
      <c r="F3061" s="23" t="n">
        <v>46279</v>
      </c>
      <c r="G3061" s="24">
        <f>F3061-DATE(2026,8,31)</f>
        <v>14</v>
      </c>
      <c r="H3061" s="25" t="n">
        <v>70990391</v>
      </c>
      <c r="I3061" t="inlineStr">
        <is>
          <t>entidad-dia</t>
        </is>
      </c>
    </row>
    <row r="3062">
      <c r="A3062" t="inlineStr">
        <is>
          <t>PRAGMA</t>
        </is>
      </c>
      <c r="B3062" t="inlineStr">
        <is>
          <t>M1</t>
        </is>
      </c>
      <c r="C3062" t="inlineStr">
        <is>
          <t>Cali</t>
        </is>
      </c>
      <c r="D3062" t="inlineStr">
        <is>
          <t>5542</t>
        </is>
      </c>
      <c r="E3062" t="inlineStr">
        <is>
          <t>pagado</t>
        </is>
      </c>
      <c r="F3062" s="23" t="n">
        <v>46280</v>
      </c>
      <c r="G3062" s="24">
        <f>F3062-DATE(2026,8,31)</f>
        <v>15</v>
      </c>
      <c r="H3062" s="25" t="n">
        <v>113515922</v>
      </c>
      <c r="I3062" t="inlineStr">
        <is>
          <t>entidad-dia</t>
        </is>
      </c>
    </row>
    <row r="3063">
      <c r="A3063" t="inlineStr">
        <is>
          <t>PRAGMA</t>
        </is>
      </c>
      <c r="B3063" t="inlineStr">
        <is>
          <t>M1</t>
        </is>
      </c>
      <c r="C3063" t="inlineStr">
        <is>
          <t>Cali</t>
        </is>
      </c>
      <c r="D3063" t="inlineStr">
        <is>
          <t>5543</t>
        </is>
      </c>
      <c r="E3063" t="inlineStr">
        <is>
          <t>pagado</t>
        </is>
      </c>
      <c r="F3063" s="23" t="n">
        <v>46266</v>
      </c>
      <c r="G3063" s="24">
        <f>F3063-DATE(2026,8,31)</f>
        <v>1</v>
      </c>
      <c r="H3063" s="25" t="n">
        <v>179139533</v>
      </c>
      <c r="I3063" t="inlineStr">
        <is>
          <t>entidad-dia</t>
        </is>
      </c>
    </row>
    <row r="3064">
      <c r="A3064" t="inlineStr">
        <is>
          <t>PRAGMA</t>
        </is>
      </c>
      <c r="B3064" t="inlineStr">
        <is>
          <t>M1</t>
        </is>
      </c>
      <c r="C3064" t="inlineStr">
        <is>
          <t>Cali</t>
        </is>
      </c>
      <c r="D3064" t="inlineStr">
        <is>
          <t>5543</t>
        </is>
      </c>
      <c r="E3064" t="inlineStr">
        <is>
          <t>pagado</t>
        </is>
      </c>
      <c r="F3064" s="23" t="n">
        <v>46267</v>
      </c>
      <c r="G3064" s="24">
        <f>F3064-DATE(2026,8,31)</f>
        <v>2</v>
      </c>
      <c r="H3064" s="25" t="n">
        <v>143055324</v>
      </c>
      <c r="I3064" t="inlineStr">
        <is>
          <t>entidad-dia</t>
        </is>
      </c>
    </row>
    <row r="3065">
      <c r="A3065" t="inlineStr">
        <is>
          <t>PRAGMA</t>
        </is>
      </c>
      <c r="B3065" t="inlineStr">
        <is>
          <t>M1</t>
        </is>
      </c>
      <c r="C3065" t="inlineStr">
        <is>
          <t>Cali</t>
        </is>
      </c>
      <c r="D3065" t="inlineStr">
        <is>
          <t>5543</t>
        </is>
      </c>
      <c r="E3065" t="inlineStr">
        <is>
          <t>pagado</t>
        </is>
      </c>
      <c r="F3065" s="23" t="n">
        <v>46268</v>
      </c>
      <c r="G3065" s="24">
        <f>F3065-DATE(2026,8,31)</f>
        <v>3</v>
      </c>
      <c r="H3065" s="25" t="n">
        <v>138296969</v>
      </c>
      <c r="I3065" t="inlineStr">
        <is>
          <t>entidad-dia</t>
        </is>
      </c>
    </row>
    <row r="3066">
      <c r="A3066" t="inlineStr">
        <is>
          <t>PRAGMA</t>
        </is>
      </c>
      <c r="B3066" t="inlineStr">
        <is>
          <t>M1</t>
        </is>
      </c>
      <c r="C3066" t="inlineStr">
        <is>
          <t>Cali</t>
        </is>
      </c>
      <c r="D3066" t="inlineStr">
        <is>
          <t>5543</t>
        </is>
      </c>
      <c r="E3066" t="inlineStr">
        <is>
          <t>pagado</t>
        </is>
      </c>
      <c r="F3066" s="23" t="n">
        <v>46269</v>
      </c>
      <c r="G3066" s="24">
        <f>F3066-DATE(2026,8,31)</f>
        <v>4</v>
      </c>
      <c r="H3066" s="25" t="n">
        <v>135733119</v>
      </c>
      <c r="I3066" t="inlineStr">
        <is>
          <t>entidad-dia</t>
        </is>
      </c>
    </row>
    <row r="3067">
      <c r="A3067" t="inlineStr">
        <is>
          <t>PRAGMA</t>
        </is>
      </c>
      <c r="B3067" t="inlineStr">
        <is>
          <t>M1</t>
        </is>
      </c>
      <c r="C3067" t="inlineStr">
        <is>
          <t>Cali</t>
        </is>
      </c>
      <c r="D3067" t="inlineStr">
        <is>
          <t>5543</t>
        </is>
      </c>
      <c r="E3067" t="inlineStr">
        <is>
          <t>pagado</t>
        </is>
      </c>
      <c r="F3067" s="23" t="n">
        <v>46270</v>
      </c>
      <c r="G3067" s="24">
        <f>F3067-DATE(2026,8,31)</f>
        <v>5</v>
      </c>
      <c r="H3067" s="25" t="n">
        <v>144694550</v>
      </c>
      <c r="I3067" t="inlineStr">
        <is>
          <t>entidad-dia</t>
        </is>
      </c>
    </row>
    <row r="3068">
      <c r="A3068" t="inlineStr">
        <is>
          <t>PRAGMA</t>
        </is>
      </c>
      <c r="B3068" t="inlineStr">
        <is>
          <t>M1</t>
        </is>
      </c>
      <c r="C3068" t="inlineStr">
        <is>
          <t>Cali</t>
        </is>
      </c>
      <c r="D3068" t="inlineStr">
        <is>
          <t>5543</t>
        </is>
      </c>
      <c r="E3068" t="inlineStr">
        <is>
          <t>pagado</t>
        </is>
      </c>
      <c r="F3068" s="23" t="n">
        <v>46271</v>
      </c>
      <c r="G3068" s="24">
        <f>F3068-DATE(2026,8,31)</f>
        <v>6</v>
      </c>
      <c r="H3068" s="25" t="n">
        <v>63140912</v>
      </c>
      <c r="I3068" t="inlineStr">
        <is>
          <t>entidad-dia</t>
        </is>
      </c>
    </row>
    <row r="3069">
      <c r="A3069" t="inlineStr">
        <is>
          <t>PRAGMA</t>
        </is>
      </c>
      <c r="B3069" t="inlineStr">
        <is>
          <t>M1</t>
        </is>
      </c>
      <c r="C3069" t="inlineStr">
        <is>
          <t>Cali</t>
        </is>
      </c>
      <c r="D3069" t="inlineStr">
        <is>
          <t>5543</t>
        </is>
      </c>
      <c r="E3069" t="inlineStr">
        <is>
          <t>pagado</t>
        </is>
      </c>
      <c r="F3069" s="23" t="n">
        <v>46272</v>
      </c>
      <c r="G3069" s="24">
        <f>F3069-DATE(2026,8,31)</f>
        <v>7</v>
      </c>
      <c r="H3069" s="25" t="n">
        <v>110722415</v>
      </c>
      <c r="I3069" t="inlineStr">
        <is>
          <t>entidad-dia</t>
        </is>
      </c>
    </row>
    <row r="3070">
      <c r="A3070" t="inlineStr">
        <is>
          <t>PRAGMA</t>
        </is>
      </c>
      <c r="B3070" t="inlineStr">
        <is>
          <t>M1</t>
        </is>
      </c>
      <c r="C3070" t="inlineStr">
        <is>
          <t>Cali</t>
        </is>
      </c>
      <c r="D3070" t="inlineStr">
        <is>
          <t>5543</t>
        </is>
      </c>
      <c r="E3070" t="inlineStr">
        <is>
          <t>pagado</t>
        </is>
      </c>
      <c r="F3070" s="23" t="n">
        <v>46273</v>
      </c>
      <c r="G3070" s="24">
        <f>F3070-DATE(2026,8,31)</f>
        <v>8</v>
      </c>
      <c r="H3070" s="25" t="n">
        <v>110962656</v>
      </c>
      <c r="I3070" t="inlineStr">
        <is>
          <t>entidad-dia</t>
        </is>
      </c>
    </row>
    <row r="3071">
      <c r="A3071" t="inlineStr">
        <is>
          <t>PRAGMA</t>
        </is>
      </c>
      <c r="B3071" t="inlineStr">
        <is>
          <t>M1</t>
        </is>
      </c>
      <c r="C3071" t="inlineStr">
        <is>
          <t>Cali</t>
        </is>
      </c>
      <c r="D3071" t="inlineStr">
        <is>
          <t>5543</t>
        </is>
      </c>
      <c r="E3071" t="inlineStr">
        <is>
          <t>pagado</t>
        </is>
      </c>
      <c r="F3071" s="23" t="n">
        <v>46274</v>
      </c>
      <c r="G3071" s="24">
        <f>F3071-DATE(2026,8,31)</f>
        <v>9</v>
      </c>
      <c r="H3071" s="25" t="n">
        <v>104987702</v>
      </c>
      <c r="I3071" t="inlineStr">
        <is>
          <t>entidad-dia</t>
        </is>
      </c>
    </row>
    <row r="3072">
      <c r="A3072" t="inlineStr">
        <is>
          <t>PRAGMA</t>
        </is>
      </c>
      <c r="B3072" t="inlineStr">
        <is>
          <t>M1</t>
        </is>
      </c>
      <c r="C3072" t="inlineStr">
        <is>
          <t>Cali</t>
        </is>
      </c>
      <c r="D3072" t="inlineStr">
        <is>
          <t>5543</t>
        </is>
      </c>
      <c r="E3072" t="inlineStr">
        <is>
          <t>pagado</t>
        </is>
      </c>
      <c r="F3072" s="23" t="n">
        <v>46275</v>
      </c>
      <c r="G3072" s="24">
        <f>F3072-DATE(2026,8,31)</f>
        <v>10</v>
      </c>
      <c r="H3072" s="25" t="n">
        <v>104316007</v>
      </c>
      <c r="I3072" t="inlineStr">
        <is>
          <t>entidad-dia</t>
        </is>
      </c>
    </row>
    <row r="3073">
      <c r="A3073" t="inlineStr">
        <is>
          <t>PRAGMA</t>
        </is>
      </c>
      <c r="B3073" t="inlineStr">
        <is>
          <t>M1</t>
        </is>
      </c>
      <c r="C3073" t="inlineStr">
        <is>
          <t>Cali</t>
        </is>
      </c>
      <c r="D3073" t="inlineStr">
        <is>
          <t>5543</t>
        </is>
      </c>
      <c r="E3073" t="inlineStr">
        <is>
          <t>pagado</t>
        </is>
      </c>
      <c r="F3073" s="23" t="n">
        <v>46276</v>
      </c>
      <c r="G3073" s="24">
        <f>F3073-DATE(2026,8,31)</f>
        <v>11</v>
      </c>
      <c r="H3073" s="25" t="n">
        <v>109478048</v>
      </c>
      <c r="I3073" t="inlineStr">
        <is>
          <t>entidad-dia</t>
        </is>
      </c>
    </row>
    <row r="3074">
      <c r="A3074" t="inlineStr">
        <is>
          <t>PRAGMA</t>
        </is>
      </c>
      <c r="B3074" t="inlineStr">
        <is>
          <t>M1</t>
        </is>
      </c>
      <c r="C3074" t="inlineStr">
        <is>
          <t>Cali</t>
        </is>
      </c>
      <c r="D3074" t="inlineStr">
        <is>
          <t>5543</t>
        </is>
      </c>
      <c r="E3074" t="inlineStr">
        <is>
          <t>pagado</t>
        </is>
      </c>
      <c r="F3074" s="23" t="n">
        <v>46277</v>
      </c>
      <c r="G3074" s="24">
        <f>F3074-DATE(2026,8,31)</f>
        <v>12</v>
      </c>
      <c r="H3074" s="25" t="n">
        <v>115088890</v>
      </c>
      <c r="I3074" t="inlineStr">
        <is>
          <t>entidad-dia</t>
        </is>
      </c>
    </row>
    <row r="3075">
      <c r="A3075" t="inlineStr">
        <is>
          <t>PRAGMA</t>
        </is>
      </c>
      <c r="B3075" t="inlineStr">
        <is>
          <t>M1</t>
        </is>
      </c>
      <c r="C3075" t="inlineStr">
        <is>
          <t>Cali</t>
        </is>
      </c>
      <c r="D3075" t="inlineStr">
        <is>
          <t>5543</t>
        </is>
      </c>
      <c r="E3075" t="inlineStr">
        <is>
          <t>pagado</t>
        </is>
      </c>
      <c r="F3075" s="23" t="n">
        <v>46278</v>
      </c>
      <c r="G3075" s="24">
        <f>F3075-DATE(2026,8,31)</f>
        <v>13</v>
      </c>
      <c r="H3075" s="25" t="n">
        <v>52367368</v>
      </c>
      <c r="I3075" t="inlineStr">
        <is>
          <t>entidad-dia</t>
        </is>
      </c>
    </row>
    <row r="3076">
      <c r="A3076" t="inlineStr">
        <is>
          <t>PRAGMA</t>
        </is>
      </c>
      <c r="B3076" t="inlineStr">
        <is>
          <t>M1</t>
        </is>
      </c>
      <c r="C3076" t="inlineStr">
        <is>
          <t>Cali</t>
        </is>
      </c>
      <c r="D3076" t="inlineStr">
        <is>
          <t>5543</t>
        </is>
      </c>
      <c r="E3076" t="inlineStr">
        <is>
          <t>pagado</t>
        </is>
      </c>
      <c r="F3076" s="23" t="n">
        <v>46279</v>
      </c>
      <c r="G3076" s="24">
        <f>F3076-DATE(2026,8,31)</f>
        <v>14</v>
      </c>
      <c r="H3076" s="25" t="n">
        <v>114417191</v>
      </c>
      <c r="I3076" t="inlineStr">
        <is>
          <t>entidad-dia</t>
        </is>
      </c>
    </row>
    <row r="3077">
      <c r="A3077" t="inlineStr">
        <is>
          <t>PRAGMA</t>
        </is>
      </c>
      <c r="B3077" t="inlineStr">
        <is>
          <t>M1</t>
        </is>
      </c>
      <c r="C3077" t="inlineStr">
        <is>
          <t>Cali</t>
        </is>
      </c>
      <c r="D3077" t="inlineStr">
        <is>
          <t>5543</t>
        </is>
      </c>
      <c r="E3077" t="inlineStr">
        <is>
          <t>pagado</t>
        </is>
      </c>
      <c r="F3077" s="23" t="n">
        <v>46280</v>
      </c>
      <c r="G3077" s="24">
        <f>F3077-DATE(2026,8,31)</f>
        <v>15</v>
      </c>
      <c r="H3077" s="25" t="n">
        <v>140682438</v>
      </c>
      <c r="I3077" t="inlineStr">
        <is>
          <t>entidad-dia</t>
        </is>
      </c>
    </row>
    <row r="3078">
      <c r="A3078" t="inlineStr">
        <is>
          <t>PRAGMA</t>
        </is>
      </c>
      <c r="B3078" t="inlineStr">
        <is>
          <t>M1</t>
        </is>
      </c>
      <c r="C3078" t="inlineStr">
        <is>
          <t>Pasto</t>
        </is>
      </c>
      <c r="D3078" t="inlineStr">
        <is>
          <t>5562</t>
        </is>
      </c>
      <c r="E3078" t="inlineStr">
        <is>
          <t>pagado</t>
        </is>
      </c>
      <c r="F3078" s="23" t="n">
        <v>46266</v>
      </c>
      <c r="G3078" s="24">
        <f>F3078-DATE(2026,8,31)</f>
        <v>1</v>
      </c>
      <c r="H3078" s="25" t="n">
        <v>158261389</v>
      </c>
      <c r="I3078" t="inlineStr">
        <is>
          <t>entidad-dia</t>
        </is>
      </c>
    </row>
    <row r="3079">
      <c r="A3079" t="inlineStr">
        <is>
          <t>PRAGMA</t>
        </is>
      </c>
      <c r="B3079" t="inlineStr">
        <is>
          <t>M1</t>
        </is>
      </c>
      <c r="C3079" t="inlineStr">
        <is>
          <t>Pasto</t>
        </is>
      </c>
      <c r="D3079" t="inlineStr">
        <is>
          <t>5562</t>
        </is>
      </c>
      <c r="E3079" t="inlineStr">
        <is>
          <t>pagado</t>
        </is>
      </c>
      <c r="F3079" s="23" t="n">
        <v>46267</v>
      </c>
      <c r="G3079" s="24">
        <f>F3079-DATE(2026,8,31)</f>
        <v>2</v>
      </c>
      <c r="H3079" s="25" t="n">
        <v>124805322</v>
      </c>
      <c r="I3079" t="inlineStr">
        <is>
          <t>entidad-dia</t>
        </is>
      </c>
    </row>
    <row r="3080">
      <c r="A3080" t="inlineStr">
        <is>
          <t>PRAGMA</t>
        </is>
      </c>
      <c r="B3080" t="inlineStr">
        <is>
          <t>M1</t>
        </is>
      </c>
      <c r="C3080" t="inlineStr">
        <is>
          <t>Pasto</t>
        </is>
      </c>
      <c r="D3080" t="inlineStr">
        <is>
          <t>5562</t>
        </is>
      </c>
      <c r="E3080" t="inlineStr">
        <is>
          <t>pagado</t>
        </is>
      </c>
      <c r="F3080" s="23" t="n">
        <v>46268</v>
      </c>
      <c r="G3080" s="24">
        <f>F3080-DATE(2026,8,31)</f>
        <v>3</v>
      </c>
      <c r="H3080" s="25" t="n">
        <v>115868922</v>
      </c>
      <c r="I3080" t="inlineStr">
        <is>
          <t>entidad-dia</t>
        </is>
      </c>
    </row>
    <row r="3081">
      <c r="A3081" t="inlineStr">
        <is>
          <t>PRAGMA</t>
        </is>
      </c>
      <c r="B3081" t="inlineStr">
        <is>
          <t>M1</t>
        </is>
      </c>
      <c r="C3081" t="inlineStr">
        <is>
          <t>Pasto</t>
        </is>
      </c>
      <c r="D3081" t="inlineStr">
        <is>
          <t>5562</t>
        </is>
      </c>
      <c r="E3081" t="inlineStr">
        <is>
          <t>pagado</t>
        </is>
      </c>
      <c r="F3081" s="23" t="n">
        <v>46269</v>
      </c>
      <c r="G3081" s="24">
        <f>F3081-DATE(2026,8,31)</f>
        <v>4</v>
      </c>
      <c r="H3081" s="25" t="n">
        <v>127213354</v>
      </c>
      <c r="I3081" t="inlineStr">
        <is>
          <t>entidad-dia</t>
        </is>
      </c>
    </row>
    <row r="3082">
      <c r="A3082" t="inlineStr">
        <is>
          <t>PRAGMA</t>
        </is>
      </c>
      <c r="B3082" t="inlineStr">
        <is>
          <t>M1</t>
        </is>
      </c>
      <c r="C3082" t="inlineStr">
        <is>
          <t>Pasto</t>
        </is>
      </c>
      <c r="D3082" t="inlineStr">
        <is>
          <t>5562</t>
        </is>
      </c>
      <c r="E3082" t="inlineStr">
        <is>
          <t>pagado</t>
        </is>
      </c>
      <c r="F3082" s="23" t="n">
        <v>46270</v>
      </c>
      <c r="G3082" s="24">
        <f>F3082-DATE(2026,8,31)</f>
        <v>5</v>
      </c>
      <c r="H3082" s="25" t="n">
        <v>144695161</v>
      </c>
      <c r="I3082" t="inlineStr">
        <is>
          <t>entidad-dia</t>
        </is>
      </c>
    </row>
    <row r="3083">
      <c r="A3083" t="inlineStr">
        <is>
          <t>PRAGMA</t>
        </is>
      </c>
      <c r="B3083" t="inlineStr">
        <is>
          <t>M1</t>
        </is>
      </c>
      <c r="C3083" t="inlineStr">
        <is>
          <t>Pasto</t>
        </is>
      </c>
      <c r="D3083" t="inlineStr">
        <is>
          <t>5562</t>
        </is>
      </c>
      <c r="E3083" t="inlineStr">
        <is>
          <t>pagado</t>
        </is>
      </c>
      <c r="F3083" s="23" t="n">
        <v>46271</v>
      </c>
      <c r="G3083" s="24">
        <f>F3083-DATE(2026,8,31)</f>
        <v>6</v>
      </c>
      <c r="H3083" s="25" t="n">
        <v>102819668</v>
      </c>
      <c r="I3083" t="inlineStr">
        <is>
          <t>entidad-dia</t>
        </is>
      </c>
    </row>
    <row r="3084">
      <c r="A3084" t="inlineStr">
        <is>
          <t>PRAGMA</t>
        </is>
      </c>
      <c r="B3084" t="inlineStr">
        <is>
          <t>M1</t>
        </is>
      </c>
      <c r="C3084" t="inlineStr">
        <is>
          <t>Pasto</t>
        </is>
      </c>
      <c r="D3084" t="inlineStr">
        <is>
          <t>5562</t>
        </is>
      </c>
      <c r="E3084" t="inlineStr">
        <is>
          <t>pagado</t>
        </is>
      </c>
      <c r="F3084" s="23" t="n">
        <v>46272</v>
      </c>
      <c r="G3084" s="24">
        <f>F3084-DATE(2026,8,31)</f>
        <v>7</v>
      </c>
      <c r="H3084" s="25" t="n">
        <v>107842701</v>
      </c>
      <c r="I3084" t="inlineStr">
        <is>
          <t>entidad-dia</t>
        </is>
      </c>
    </row>
    <row r="3085">
      <c r="A3085" t="inlineStr">
        <is>
          <t>PRAGMA</t>
        </is>
      </c>
      <c r="B3085" t="inlineStr">
        <is>
          <t>M1</t>
        </is>
      </c>
      <c r="C3085" t="inlineStr">
        <is>
          <t>Pasto</t>
        </is>
      </c>
      <c r="D3085" t="inlineStr">
        <is>
          <t>5562</t>
        </is>
      </c>
      <c r="E3085" t="inlineStr">
        <is>
          <t>pagado</t>
        </is>
      </c>
      <c r="F3085" s="23" t="n">
        <v>46273</v>
      </c>
      <c r="G3085" s="24">
        <f>F3085-DATE(2026,8,31)</f>
        <v>8</v>
      </c>
      <c r="H3085" s="25" t="n">
        <v>93354819</v>
      </c>
      <c r="I3085" t="inlineStr">
        <is>
          <t>entidad-dia</t>
        </is>
      </c>
    </row>
    <row r="3086">
      <c r="A3086" t="inlineStr">
        <is>
          <t>PRAGMA</t>
        </is>
      </c>
      <c r="B3086" t="inlineStr">
        <is>
          <t>M1</t>
        </is>
      </c>
      <c r="C3086" t="inlineStr">
        <is>
          <t>Pasto</t>
        </is>
      </c>
      <c r="D3086" t="inlineStr">
        <is>
          <t>5562</t>
        </is>
      </c>
      <c r="E3086" t="inlineStr">
        <is>
          <t>pagado</t>
        </is>
      </c>
      <c r="F3086" s="23" t="n">
        <v>46274</v>
      </c>
      <c r="G3086" s="24">
        <f>F3086-DATE(2026,8,31)</f>
        <v>9</v>
      </c>
      <c r="H3086" s="25" t="n">
        <v>93488062</v>
      </c>
      <c r="I3086" t="inlineStr">
        <is>
          <t>entidad-dia</t>
        </is>
      </c>
    </row>
    <row r="3087">
      <c r="A3087" t="inlineStr">
        <is>
          <t>PRAGMA</t>
        </is>
      </c>
      <c r="B3087" t="inlineStr">
        <is>
          <t>M1</t>
        </is>
      </c>
      <c r="C3087" t="inlineStr">
        <is>
          <t>Pasto</t>
        </is>
      </c>
      <c r="D3087" t="inlineStr">
        <is>
          <t>5562</t>
        </is>
      </c>
      <c r="E3087" t="inlineStr">
        <is>
          <t>pagado</t>
        </is>
      </c>
      <c r="F3087" s="23" t="n">
        <v>46275</v>
      </c>
      <c r="G3087" s="24">
        <f>F3087-DATE(2026,8,31)</f>
        <v>10</v>
      </c>
      <c r="H3087" s="25" t="n">
        <v>90044511</v>
      </c>
      <c r="I3087" t="inlineStr">
        <is>
          <t>entidad-dia</t>
        </is>
      </c>
    </row>
    <row r="3088">
      <c r="A3088" t="inlineStr">
        <is>
          <t>PRAGMA</t>
        </is>
      </c>
      <c r="B3088" t="inlineStr">
        <is>
          <t>M1</t>
        </is>
      </c>
      <c r="C3088" t="inlineStr">
        <is>
          <t>Pasto</t>
        </is>
      </c>
      <c r="D3088" t="inlineStr">
        <is>
          <t>5562</t>
        </is>
      </c>
      <c r="E3088" t="inlineStr">
        <is>
          <t>pagado</t>
        </is>
      </c>
      <c r="F3088" s="23" t="n">
        <v>46276</v>
      </c>
      <c r="G3088" s="24">
        <f>F3088-DATE(2026,8,31)</f>
        <v>11</v>
      </c>
      <c r="H3088" s="25" t="n">
        <v>104782971</v>
      </c>
      <c r="I3088" t="inlineStr">
        <is>
          <t>entidad-dia</t>
        </is>
      </c>
    </row>
    <row r="3089">
      <c r="A3089" t="inlineStr">
        <is>
          <t>PRAGMA</t>
        </is>
      </c>
      <c r="B3089" t="inlineStr">
        <is>
          <t>M1</t>
        </is>
      </c>
      <c r="C3089" t="inlineStr">
        <is>
          <t>Pasto</t>
        </is>
      </c>
      <c r="D3089" t="inlineStr">
        <is>
          <t>5562</t>
        </is>
      </c>
      <c r="E3089" t="inlineStr">
        <is>
          <t>pagado</t>
        </is>
      </c>
      <c r="F3089" s="23" t="n">
        <v>46277</v>
      </c>
      <c r="G3089" s="24">
        <f>F3089-DATE(2026,8,31)</f>
        <v>12</v>
      </c>
      <c r="H3089" s="25" t="n">
        <v>122598581</v>
      </c>
      <c r="I3089" t="inlineStr">
        <is>
          <t>entidad-dia</t>
        </is>
      </c>
    </row>
    <row r="3090">
      <c r="A3090" t="inlineStr">
        <is>
          <t>PRAGMA</t>
        </is>
      </c>
      <c r="B3090" t="inlineStr">
        <is>
          <t>M1</t>
        </is>
      </c>
      <c r="C3090" t="inlineStr">
        <is>
          <t>Pasto</t>
        </is>
      </c>
      <c r="D3090" t="inlineStr">
        <is>
          <t>5562</t>
        </is>
      </c>
      <c r="E3090" t="inlineStr">
        <is>
          <t>pagado</t>
        </is>
      </c>
      <c r="F3090" s="23" t="n">
        <v>46278</v>
      </c>
      <c r="G3090" s="24">
        <f>F3090-DATE(2026,8,31)</f>
        <v>13</v>
      </c>
      <c r="H3090" s="25" t="n">
        <v>81557745</v>
      </c>
      <c r="I3090" t="inlineStr">
        <is>
          <t>entidad-dia</t>
        </is>
      </c>
    </row>
    <row r="3091">
      <c r="A3091" t="inlineStr">
        <is>
          <t>PRAGMA</t>
        </is>
      </c>
      <c r="B3091" t="inlineStr">
        <is>
          <t>M1</t>
        </is>
      </c>
      <c r="C3091" t="inlineStr">
        <is>
          <t>Pasto</t>
        </is>
      </c>
      <c r="D3091" t="inlineStr">
        <is>
          <t>5562</t>
        </is>
      </c>
      <c r="E3091" t="inlineStr">
        <is>
          <t>pagado</t>
        </is>
      </c>
      <c r="F3091" s="23" t="n">
        <v>46279</v>
      </c>
      <c r="G3091" s="24">
        <f>F3091-DATE(2026,8,31)</f>
        <v>14</v>
      </c>
      <c r="H3091" s="25" t="n">
        <v>86403217</v>
      </c>
      <c r="I3091" t="inlineStr">
        <is>
          <t>entidad-dia</t>
        </is>
      </c>
    </row>
    <row r="3092">
      <c r="A3092" t="inlineStr">
        <is>
          <t>PRAGMA</t>
        </is>
      </c>
      <c r="B3092" t="inlineStr">
        <is>
          <t>M1</t>
        </is>
      </c>
      <c r="C3092" t="inlineStr">
        <is>
          <t>Pasto</t>
        </is>
      </c>
      <c r="D3092" t="inlineStr">
        <is>
          <t>5562</t>
        </is>
      </c>
      <c r="E3092" t="inlineStr">
        <is>
          <t>pagado</t>
        </is>
      </c>
      <c r="F3092" s="23" t="n">
        <v>46280</v>
      </c>
      <c r="G3092" s="24">
        <f>F3092-DATE(2026,8,31)</f>
        <v>15</v>
      </c>
      <c r="H3092" s="25" t="n">
        <v>105766354</v>
      </c>
      <c r="I3092" t="inlineStr">
        <is>
          <t>entidad-dia</t>
        </is>
      </c>
    </row>
    <row r="3093">
      <c r="A3093" t="inlineStr">
        <is>
          <t>PRAGMA</t>
        </is>
      </c>
      <c r="B3093" t="inlineStr">
        <is>
          <t>M1</t>
        </is>
      </c>
      <c r="C3093" t="inlineStr">
        <is>
          <t>Cali</t>
        </is>
      </c>
      <c r="D3093" t="inlineStr">
        <is>
          <t>5565</t>
        </is>
      </c>
      <c r="E3093" t="inlineStr">
        <is>
          <t>pagado</t>
        </is>
      </c>
      <c r="F3093" s="23" t="n">
        <v>46266</v>
      </c>
      <c r="G3093" s="24">
        <f>F3093-DATE(2026,8,31)</f>
        <v>1</v>
      </c>
      <c r="H3093" s="25" t="n">
        <v>162279535</v>
      </c>
      <c r="I3093" t="inlineStr">
        <is>
          <t>entidad-dia</t>
        </is>
      </c>
    </row>
    <row r="3094">
      <c r="A3094" t="inlineStr">
        <is>
          <t>PRAGMA</t>
        </is>
      </c>
      <c r="B3094" t="inlineStr">
        <is>
          <t>M1</t>
        </is>
      </c>
      <c r="C3094" t="inlineStr">
        <is>
          <t>Cali</t>
        </is>
      </c>
      <c r="D3094" t="inlineStr">
        <is>
          <t>5565</t>
        </is>
      </c>
      <c r="E3094" t="inlineStr">
        <is>
          <t>pagado</t>
        </is>
      </c>
      <c r="F3094" s="23" t="n">
        <v>46267</v>
      </c>
      <c r="G3094" s="24">
        <f>F3094-DATE(2026,8,31)</f>
        <v>2</v>
      </c>
      <c r="H3094" s="25" t="n">
        <v>131660653</v>
      </c>
      <c r="I3094" t="inlineStr">
        <is>
          <t>entidad-dia</t>
        </is>
      </c>
    </row>
    <row r="3095">
      <c r="A3095" t="inlineStr">
        <is>
          <t>PRAGMA</t>
        </is>
      </c>
      <c r="B3095" t="inlineStr">
        <is>
          <t>M1</t>
        </is>
      </c>
      <c r="C3095" t="inlineStr">
        <is>
          <t>Cali</t>
        </is>
      </c>
      <c r="D3095" t="inlineStr">
        <is>
          <t>5565</t>
        </is>
      </c>
      <c r="E3095" t="inlineStr">
        <is>
          <t>pagado</t>
        </is>
      </c>
      <c r="F3095" s="23" t="n">
        <v>46268</v>
      </c>
      <c r="G3095" s="24">
        <f>F3095-DATE(2026,8,31)</f>
        <v>3</v>
      </c>
      <c r="H3095" s="25" t="n">
        <v>130258597</v>
      </c>
      <c r="I3095" t="inlineStr">
        <is>
          <t>entidad-dia</t>
        </is>
      </c>
    </row>
    <row r="3096">
      <c r="A3096" t="inlineStr">
        <is>
          <t>PRAGMA</t>
        </is>
      </c>
      <c r="B3096" t="inlineStr">
        <is>
          <t>M1</t>
        </is>
      </c>
      <c r="C3096" t="inlineStr">
        <is>
          <t>Cali</t>
        </is>
      </c>
      <c r="D3096" t="inlineStr">
        <is>
          <t>5565</t>
        </is>
      </c>
      <c r="E3096" t="inlineStr">
        <is>
          <t>pagado</t>
        </is>
      </c>
      <c r="F3096" s="23" t="n">
        <v>46269</v>
      </c>
      <c r="G3096" s="24">
        <f>F3096-DATE(2026,8,31)</f>
        <v>4</v>
      </c>
      <c r="H3096" s="25" t="n">
        <v>132731705</v>
      </c>
      <c r="I3096" t="inlineStr">
        <is>
          <t>entidad-dia</t>
        </is>
      </c>
    </row>
    <row r="3097">
      <c r="A3097" t="inlineStr">
        <is>
          <t>PRAGMA</t>
        </is>
      </c>
      <c r="B3097" t="inlineStr">
        <is>
          <t>M1</t>
        </is>
      </c>
      <c r="C3097" t="inlineStr">
        <is>
          <t>Cali</t>
        </is>
      </c>
      <c r="D3097" t="inlineStr">
        <is>
          <t>5565</t>
        </is>
      </c>
      <c r="E3097" t="inlineStr">
        <is>
          <t>pagado</t>
        </is>
      </c>
      <c r="F3097" s="23" t="n">
        <v>46270</v>
      </c>
      <c r="G3097" s="24">
        <f>F3097-DATE(2026,8,31)</f>
        <v>5</v>
      </c>
      <c r="H3097" s="25" t="n">
        <v>116020406</v>
      </c>
      <c r="I3097" t="inlineStr">
        <is>
          <t>entidad-dia</t>
        </is>
      </c>
    </row>
    <row r="3098">
      <c r="A3098" t="inlineStr">
        <is>
          <t>PRAGMA</t>
        </is>
      </c>
      <c r="B3098" t="inlineStr">
        <is>
          <t>M1</t>
        </is>
      </c>
      <c r="C3098" t="inlineStr">
        <is>
          <t>Cali</t>
        </is>
      </c>
      <c r="D3098" t="inlineStr">
        <is>
          <t>5565</t>
        </is>
      </c>
      <c r="E3098" t="inlineStr">
        <is>
          <t>pagado</t>
        </is>
      </c>
      <c r="F3098" s="23" t="n">
        <v>46271</v>
      </c>
      <c r="G3098" s="24">
        <f>F3098-DATE(2026,8,31)</f>
        <v>6</v>
      </c>
      <c r="H3098" s="25" t="n">
        <v>61189770</v>
      </c>
      <c r="I3098" t="inlineStr">
        <is>
          <t>entidad-dia</t>
        </is>
      </c>
    </row>
    <row r="3099">
      <c r="A3099" t="inlineStr">
        <is>
          <t>PRAGMA</t>
        </is>
      </c>
      <c r="B3099" t="inlineStr">
        <is>
          <t>M1</t>
        </is>
      </c>
      <c r="C3099" t="inlineStr">
        <is>
          <t>Cali</t>
        </is>
      </c>
      <c r="D3099" t="inlineStr">
        <is>
          <t>5565</t>
        </is>
      </c>
      <c r="E3099" t="inlineStr">
        <is>
          <t>pagado</t>
        </is>
      </c>
      <c r="F3099" s="23" t="n">
        <v>46272</v>
      </c>
      <c r="G3099" s="24">
        <f>F3099-DATE(2026,8,31)</f>
        <v>7</v>
      </c>
      <c r="H3099" s="25" t="n">
        <v>106590474</v>
      </c>
      <c r="I3099" t="inlineStr">
        <is>
          <t>entidad-dia</t>
        </is>
      </c>
    </row>
    <row r="3100">
      <c r="A3100" t="inlineStr">
        <is>
          <t>PRAGMA</t>
        </is>
      </c>
      <c r="B3100" t="inlineStr">
        <is>
          <t>M1</t>
        </is>
      </c>
      <c r="C3100" t="inlineStr">
        <is>
          <t>Cali</t>
        </is>
      </c>
      <c r="D3100" t="inlineStr">
        <is>
          <t>5565</t>
        </is>
      </c>
      <c r="E3100" t="inlineStr">
        <is>
          <t>pagado</t>
        </is>
      </c>
      <c r="F3100" s="23" t="n">
        <v>46273</v>
      </c>
      <c r="G3100" s="24">
        <f>F3100-DATE(2026,8,31)</f>
        <v>8</v>
      </c>
      <c r="H3100" s="25" t="n">
        <v>102359374</v>
      </c>
      <c r="I3100" t="inlineStr">
        <is>
          <t>entidad-dia</t>
        </is>
      </c>
    </row>
    <row r="3101">
      <c r="A3101" t="inlineStr">
        <is>
          <t>PRAGMA</t>
        </is>
      </c>
      <c r="B3101" t="inlineStr">
        <is>
          <t>M1</t>
        </is>
      </c>
      <c r="C3101" t="inlineStr">
        <is>
          <t>Cali</t>
        </is>
      </c>
      <c r="D3101" t="inlineStr">
        <is>
          <t>5565</t>
        </is>
      </c>
      <c r="E3101" t="inlineStr">
        <is>
          <t>pagado</t>
        </is>
      </c>
      <c r="F3101" s="23" t="n">
        <v>46274</v>
      </c>
      <c r="G3101" s="24">
        <f>F3101-DATE(2026,8,31)</f>
        <v>9</v>
      </c>
      <c r="H3101" s="25" t="n">
        <v>77168554</v>
      </c>
      <c r="I3101" t="inlineStr">
        <is>
          <t>entidad-dia</t>
        </is>
      </c>
    </row>
    <row r="3102">
      <c r="A3102" t="inlineStr">
        <is>
          <t>PRAGMA</t>
        </is>
      </c>
      <c r="B3102" t="inlineStr">
        <is>
          <t>M1</t>
        </is>
      </c>
      <c r="C3102" t="inlineStr">
        <is>
          <t>Cali</t>
        </is>
      </c>
      <c r="D3102" t="inlineStr">
        <is>
          <t>5565</t>
        </is>
      </c>
      <c r="E3102" t="inlineStr">
        <is>
          <t>pagado</t>
        </is>
      </c>
      <c r="F3102" s="23" t="n">
        <v>46275</v>
      </c>
      <c r="G3102" s="24">
        <f>F3102-DATE(2026,8,31)</f>
        <v>10</v>
      </c>
      <c r="H3102" s="25" t="n">
        <v>78415433</v>
      </c>
      <c r="I3102" t="inlineStr">
        <is>
          <t>entidad-dia</t>
        </is>
      </c>
    </row>
    <row r="3103">
      <c r="A3103" t="inlineStr">
        <is>
          <t>PRAGMA</t>
        </is>
      </c>
      <c r="B3103" t="inlineStr">
        <is>
          <t>M1</t>
        </is>
      </c>
      <c r="C3103" t="inlineStr">
        <is>
          <t>Cali</t>
        </is>
      </c>
      <c r="D3103" t="inlineStr">
        <is>
          <t>5565</t>
        </is>
      </c>
      <c r="E3103" t="inlineStr">
        <is>
          <t>pagado</t>
        </is>
      </c>
      <c r="F3103" s="23" t="n">
        <v>46276</v>
      </c>
      <c r="G3103" s="24">
        <f>F3103-DATE(2026,8,31)</f>
        <v>11</v>
      </c>
      <c r="H3103" s="25" t="n">
        <v>90140228</v>
      </c>
      <c r="I3103" t="inlineStr">
        <is>
          <t>entidad-dia</t>
        </is>
      </c>
    </row>
    <row r="3104">
      <c r="A3104" t="inlineStr">
        <is>
          <t>PRAGMA</t>
        </is>
      </c>
      <c r="B3104" t="inlineStr">
        <is>
          <t>M1</t>
        </is>
      </c>
      <c r="C3104" t="inlineStr">
        <is>
          <t>Cali</t>
        </is>
      </c>
      <c r="D3104" t="inlineStr">
        <is>
          <t>5565</t>
        </is>
      </c>
      <c r="E3104" t="inlineStr">
        <is>
          <t>pagado</t>
        </is>
      </c>
      <c r="F3104" s="23" t="n">
        <v>46277</v>
      </c>
      <c r="G3104" s="24">
        <f>F3104-DATE(2026,8,31)</f>
        <v>12</v>
      </c>
      <c r="H3104" s="25" t="n">
        <v>76909885</v>
      </c>
      <c r="I3104" t="inlineStr">
        <is>
          <t>entidad-dia</t>
        </is>
      </c>
    </row>
    <row r="3105">
      <c r="A3105" t="inlineStr">
        <is>
          <t>PRAGMA</t>
        </is>
      </c>
      <c r="B3105" t="inlineStr">
        <is>
          <t>M1</t>
        </is>
      </c>
      <c r="C3105" t="inlineStr">
        <is>
          <t>Cali</t>
        </is>
      </c>
      <c r="D3105" t="inlineStr">
        <is>
          <t>5565</t>
        </is>
      </c>
      <c r="E3105" t="inlineStr">
        <is>
          <t>pagado</t>
        </is>
      </c>
      <c r="F3105" s="23" t="n">
        <v>46278</v>
      </c>
      <c r="G3105" s="24">
        <f>F3105-DATE(2026,8,31)</f>
        <v>13</v>
      </c>
      <c r="H3105" s="25" t="n">
        <v>36012430</v>
      </c>
      <c r="I3105" t="inlineStr">
        <is>
          <t>entidad-dia</t>
        </is>
      </c>
    </row>
    <row r="3106">
      <c r="A3106" t="inlineStr">
        <is>
          <t>PRAGMA</t>
        </is>
      </c>
      <c r="B3106" t="inlineStr">
        <is>
          <t>M1</t>
        </is>
      </c>
      <c r="C3106" t="inlineStr">
        <is>
          <t>Cali</t>
        </is>
      </c>
      <c r="D3106" t="inlineStr">
        <is>
          <t>5565</t>
        </is>
      </c>
      <c r="E3106" t="inlineStr">
        <is>
          <t>pagado</t>
        </is>
      </c>
      <c r="F3106" s="23" t="n">
        <v>46279</v>
      </c>
      <c r="G3106" s="24">
        <f>F3106-DATE(2026,8,31)</f>
        <v>14</v>
      </c>
      <c r="H3106" s="25" t="n">
        <v>82682240</v>
      </c>
      <c r="I3106" t="inlineStr">
        <is>
          <t>entidad-dia</t>
        </is>
      </c>
    </row>
    <row r="3107">
      <c r="A3107" t="inlineStr">
        <is>
          <t>PRAGMA</t>
        </is>
      </c>
      <c r="B3107" t="inlineStr">
        <is>
          <t>M1</t>
        </is>
      </c>
      <c r="C3107" t="inlineStr">
        <is>
          <t>Cali</t>
        </is>
      </c>
      <c r="D3107" t="inlineStr">
        <is>
          <t>5565</t>
        </is>
      </c>
      <c r="E3107" t="inlineStr">
        <is>
          <t>pagado</t>
        </is>
      </c>
      <c r="F3107" s="23" t="n">
        <v>46280</v>
      </c>
      <c r="G3107" s="24">
        <f>F3107-DATE(2026,8,31)</f>
        <v>15</v>
      </c>
      <c r="H3107" s="25" t="n">
        <v>119638547</v>
      </c>
      <c r="I3107" t="inlineStr">
        <is>
          <t>entidad-dia</t>
        </is>
      </c>
    </row>
    <row r="3108">
      <c r="A3108" t="inlineStr">
        <is>
          <t>PRAGMA</t>
        </is>
      </c>
      <c r="B3108" t="inlineStr">
        <is>
          <t>M1</t>
        </is>
      </c>
      <c r="C3108" t="inlineStr">
        <is>
          <t>Ipiales</t>
        </is>
      </c>
      <c r="D3108" t="inlineStr">
        <is>
          <t>5587</t>
        </is>
      </c>
      <c r="E3108" t="inlineStr">
        <is>
          <t>pagado</t>
        </is>
      </c>
      <c r="F3108" s="23" t="n">
        <v>46266</v>
      </c>
      <c r="G3108" s="24">
        <f>F3108-DATE(2026,8,31)</f>
        <v>1</v>
      </c>
      <c r="H3108" s="25" t="n">
        <v>130843005</v>
      </c>
      <c r="I3108" t="inlineStr">
        <is>
          <t>entidad-dia</t>
        </is>
      </c>
    </row>
    <row r="3109">
      <c r="A3109" t="inlineStr">
        <is>
          <t>PRAGMA</t>
        </is>
      </c>
      <c r="B3109" t="inlineStr">
        <is>
          <t>M1</t>
        </is>
      </c>
      <c r="C3109" t="inlineStr">
        <is>
          <t>Ipiales</t>
        </is>
      </c>
      <c r="D3109" t="inlineStr">
        <is>
          <t>5587</t>
        </is>
      </c>
      <c r="E3109" t="inlineStr">
        <is>
          <t>pagado</t>
        </is>
      </c>
      <c r="F3109" s="23" t="n">
        <v>46267</v>
      </c>
      <c r="G3109" s="24">
        <f>F3109-DATE(2026,8,31)</f>
        <v>2</v>
      </c>
      <c r="H3109" s="25" t="n">
        <v>112051823</v>
      </c>
      <c r="I3109" t="inlineStr">
        <is>
          <t>entidad-dia</t>
        </is>
      </c>
    </row>
    <row r="3110">
      <c r="A3110" t="inlineStr">
        <is>
          <t>PRAGMA</t>
        </is>
      </c>
      <c r="B3110" t="inlineStr">
        <is>
          <t>M1</t>
        </is>
      </c>
      <c r="C3110" t="inlineStr">
        <is>
          <t>Ipiales</t>
        </is>
      </c>
      <c r="D3110" t="inlineStr">
        <is>
          <t>5587</t>
        </is>
      </c>
      <c r="E3110" t="inlineStr">
        <is>
          <t>pagado</t>
        </is>
      </c>
      <c r="F3110" s="23" t="n">
        <v>46268</v>
      </c>
      <c r="G3110" s="24">
        <f>F3110-DATE(2026,8,31)</f>
        <v>3</v>
      </c>
      <c r="H3110" s="25" t="n">
        <v>105619437</v>
      </c>
      <c r="I3110" t="inlineStr">
        <is>
          <t>entidad-dia</t>
        </is>
      </c>
    </row>
    <row r="3111">
      <c r="A3111" t="inlineStr">
        <is>
          <t>PRAGMA</t>
        </is>
      </c>
      <c r="B3111" t="inlineStr">
        <is>
          <t>M1</t>
        </is>
      </c>
      <c r="C3111" t="inlineStr">
        <is>
          <t>Ipiales</t>
        </is>
      </c>
      <c r="D3111" t="inlineStr">
        <is>
          <t>5587</t>
        </is>
      </c>
      <c r="E3111" t="inlineStr">
        <is>
          <t>pagado</t>
        </is>
      </c>
      <c r="F3111" s="23" t="n">
        <v>46269</v>
      </c>
      <c r="G3111" s="24">
        <f>F3111-DATE(2026,8,31)</f>
        <v>4</v>
      </c>
      <c r="H3111" s="25" t="n">
        <v>109308371</v>
      </c>
      <c r="I3111" t="inlineStr">
        <is>
          <t>entidad-dia</t>
        </is>
      </c>
    </row>
    <row r="3112">
      <c r="A3112" t="inlineStr">
        <is>
          <t>PRAGMA</t>
        </is>
      </c>
      <c r="B3112" t="inlineStr">
        <is>
          <t>M1</t>
        </is>
      </c>
      <c r="C3112" t="inlineStr">
        <is>
          <t>Ipiales</t>
        </is>
      </c>
      <c r="D3112" t="inlineStr">
        <is>
          <t>5587</t>
        </is>
      </c>
      <c r="E3112" t="inlineStr">
        <is>
          <t>pagado</t>
        </is>
      </c>
      <c r="F3112" s="23" t="n">
        <v>46270</v>
      </c>
      <c r="G3112" s="24">
        <f>F3112-DATE(2026,8,31)</f>
        <v>5</v>
      </c>
      <c r="H3112" s="25" t="n">
        <v>116527577</v>
      </c>
      <c r="I3112" t="inlineStr">
        <is>
          <t>entidad-dia</t>
        </is>
      </c>
    </row>
    <row r="3113">
      <c r="A3113" t="inlineStr">
        <is>
          <t>PRAGMA</t>
        </is>
      </c>
      <c r="B3113" t="inlineStr">
        <is>
          <t>M1</t>
        </is>
      </c>
      <c r="C3113" t="inlineStr">
        <is>
          <t>Ipiales</t>
        </is>
      </c>
      <c r="D3113" t="inlineStr">
        <is>
          <t>5587</t>
        </is>
      </c>
      <c r="E3113" t="inlineStr">
        <is>
          <t>pagado</t>
        </is>
      </c>
      <c r="F3113" s="23" t="n">
        <v>46271</v>
      </c>
      <c r="G3113" s="24">
        <f>F3113-DATE(2026,8,31)</f>
        <v>6</v>
      </c>
      <c r="H3113" s="25" t="n">
        <v>77486952</v>
      </c>
      <c r="I3113" t="inlineStr">
        <is>
          <t>entidad-dia</t>
        </is>
      </c>
    </row>
    <row r="3114">
      <c r="A3114" t="inlineStr">
        <is>
          <t>PRAGMA</t>
        </is>
      </c>
      <c r="B3114" t="inlineStr">
        <is>
          <t>M1</t>
        </is>
      </c>
      <c r="C3114" t="inlineStr">
        <is>
          <t>Ipiales</t>
        </is>
      </c>
      <c r="D3114" t="inlineStr">
        <is>
          <t>5587</t>
        </is>
      </c>
      <c r="E3114" t="inlineStr">
        <is>
          <t>pagado</t>
        </is>
      </c>
      <c r="F3114" s="23" t="n">
        <v>46272</v>
      </c>
      <c r="G3114" s="24">
        <f>F3114-DATE(2026,8,31)</f>
        <v>7</v>
      </c>
      <c r="H3114" s="25" t="n">
        <v>97279868</v>
      </c>
      <c r="I3114" t="inlineStr">
        <is>
          <t>entidad-dia</t>
        </is>
      </c>
    </row>
    <row r="3115">
      <c r="A3115" t="inlineStr">
        <is>
          <t>PRAGMA</t>
        </is>
      </c>
      <c r="B3115" t="inlineStr">
        <is>
          <t>M1</t>
        </is>
      </c>
      <c r="C3115" t="inlineStr">
        <is>
          <t>Ipiales</t>
        </is>
      </c>
      <c r="D3115" t="inlineStr">
        <is>
          <t>5587</t>
        </is>
      </c>
      <c r="E3115" t="inlineStr">
        <is>
          <t>pagado</t>
        </is>
      </c>
      <c r="F3115" s="23" t="n">
        <v>46273</v>
      </c>
      <c r="G3115" s="24">
        <f>F3115-DATE(2026,8,31)</f>
        <v>8</v>
      </c>
      <c r="H3115" s="25" t="n">
        <v>87880525</v>
      </c>
      <c r="I3115" t="inlineStr">
        <is>
          <t>entidad-dia</t>
        </is>
      </c>
    </row>
    <row r="3116">
      <c r="A3116" t="inlineStr">
        <is>
          <t>PRAGMA</t>
        </is>
      </c>
      <c r="B3116" t="inlineStr">
        <is>
          <t>M1</t>
        </is>
      </c>
      <c r="C3116" t="inlineStr">
        <is>
          <t>Ipiales</t>
        </is>
      </c>
      <c r="D3116" t="inlineStr">
        <is>
          <t>5587</t>
        </is>
      </c>
      <c r="E3116" t="inlineStr">
        <is>
          <t>pagado</t>
        </is>
      </c>
      <c r="F3116" s="23" t="n">
        <v>46274</v>
      </c>
      <c r="G3116" s="24">
        <f>F3116-DATE(2026,8,31)</f>
        <v>9</v>
      </c>
      <c r="H3116" s="25" t="n">
        <v>86990787</v>
      </c>
      <c r="I3116" t="inlineStr">
        <is>
          <t>entidad-dia</t>
        </is>
      </c>
    </row>
    <row r="3117">
      <c r="A3117" t="inlineStr">
        <is>
          <t>PRAGMA</t>
        </is>
      </c>
      <c r="B3117" t="inlineStr">
        <is>
          <t>M1</t>
        </is>
      </c>
      <c r="C3117" t="inlineStr">
        <is>
          <t>Ipiales</t>
        </is>
      </c>
      <c r="D3117" t="inlineStr">
        <is>
          <t>5587</t>
        </is>
      </c>
      <c r="E3117" t="inlineStr">
        <is>
          <t>pagado</t>
        </is>
      </c>
      <c r="F3117" s="23" t="n">
        <v>46275</v>
      </c>
      <c r="G3117" s="24">
        <f>F3117-DATE(2026,8,31)</f>
        <v>10</v>
      </c>
      <c r="H3117" s="25" t="n">
        <v>83424434</v>
      </c>
      <c r="I3117" t="inlineStr">
        <is>
          <t>entidad-dia</t>
        </is>
      </c>
    </row>
    <row r="3118">
      <c r="A3118" t="inlineStr">
        <is>
          <t>PRAGMA</t>
        </is>
      </c>
      <c r="B3118" t="inlineStr">
        <is>
          <t>M1</t>
        </is>
      </c>
      <c r="C3118" t="inlineStr">
        <is>
          <t>Ipiales</t>
        </is>
      </c>
      <c r="D3118" t="inlineStr">
        <is>
          <t>5587</t>
        </is>
      </c>
      <c r="E3118" t="inlineStr">
        <is>
          <t>pagado</t>
        </is>
      </c>
      <c r="F3118" s="23" t="n">
        <v>46276</v>
      </c>
      <c r="G3118" s="24">
        <f>F3118-DATE(2026,8,31)</f>
        <v>11</v>
      </c>
      <c r="H3118" s="25" t="n">
        <v>94129599</v>
      </c>
      <c r="I3118" t="inlineStr">
        <is>
          <t>entidad-dia</t>
        </is>
      </c>
    </row>
    <row r="3119">
      <c r="A3119" t="inlineStr">
        <is>
          <t>PRAGMA</t>
        </is>
      </c>
      <c r="B3119" t="inlineStr">
        <is>
          <t>M1</t>
        </is>
      </c>
      <c r="C3119" t="inlineStr">
        <is>
          <t>Ipiales</t>
        </is>
      </c>
      <c r="D3119" t="inlineStr">
        <is>
          <t>5587</t>
        </is>
      </c>
      <c r="E3119" t="inlineStr">
        <is>
          <t>pagado</t>
        </is>
      </c>
      <c r="F3119" s="23" t="n">
        <v>46277</v>
      </c>
      <c r="G3119" s="24">
        <f>F3119-DATE(2026,8,31)</f>
        <v>12</v>
      </c>
      <c r="H3119" s="25" t="n">
        <v>93406657</v>
      </c>
      <c r="I3119" t="inlineStr">
        <is>
          <t>entidad-dia</t>
        </is>
      </c>
    </row>
    <row r="3120">
      <c r="A3120" t="inlineStr">
        <is>
          <t>PRAGMA</t>
        </is>
      </c>
      <c r="B3120" t="inlineStr">
        <is>
          <t>M1</t>
        </is>
      </c>
      <c r="C3120" t="inlineStr">
        <is>
          <t>Ipiales</t>
        </is>
      </c>
      <c r="D3120" t="inlineStr">
        <is>
          <t>5587</t>
        </is>
      </c>
      <c r="E3120" t="inlineStr">
        <is>
          <t>pagado</t>
        </is>
      </c>
      <c r="F3120" s="23" t="n">
        <v>46278</v>
      </c>
      <c r="G3120" s="24">
        <f>F3120-DATE(2026,8,31)</f>
        <v>13</v>
      </c>
      <c r="H3120" s="25" t="n">
        <v>58876460</v>
      </c>
      <c r="I3120" t="inlineStr">
        <is>
          <t>entidad-dia</t>
        </is>
      </c>
    </row>
    <row r="3121">
      <c r="A3121" t="inlineStr">
        <is>
          <t>PRAGMA</t>
        </is>
      </c>
      <c r="B3121" t="inlineStr">
        <is>
          <t>M1</t>
        </is>
      </c>
      <c r="C3121" t="inlineStr">
        <is>
          <t>Ipiales</t>
        </is>
      </c>
      <c r="D3121" t="inlineStr">
        <is>
          <t>5587</t>
        </is>
      </c>
      <c r="E3121" t="inlineStr">
        <is>
          <t>pagado</t>
        </is>
      </c>
      <c r="F3121" s="23" t="n">
        <v>46279</v>
      </c>
      <c r="G3121" s="24">
        <f>F3121-DATE(2026,8,31)</f>
        <v>14</v>
      </c>
      <c r="H3121" s="25" t="n">
        <v>83227671</v>
      </c>
      <c r="I3121" t="inlineStr">
        <is>
          <t>entidad-dia</t>
        </is>
      </c>
    </row>
    <row r="3122">
      <c r="A3122" t="inlineStr">
        <is>
          <t>PRAGMA</t>
        </is>
      </c>
      <c r="B3122" t="inlineStr">
        <is>
          <t>M1</t>
        </is>
      </c>
      <c r="C3122" t="inlineStr">
        <is>
          <t>Ipiales</t>
        </is>
      </c>
      <c r="D3122" t="inlineStr">
        <is>
          <t>5587</t>
        </is>
      </c>
      <c r="E3122" t="inlineStr">
        <is>
          <t>pagado</t>
        </is>
      </c>
      <c r="F3122" s="23" t="n">
        <v>46280</v>
      </c>
      <c r="G3122" s="24">
        <f>F3122-DATE(2026,8,31)</f>
        <v>15</v>
      </c>
      <c r="H3122" s="25" t="n">
        <v>102636794</v>
      </c>
      <c r="I3122" t="inlineStr">
        <is>
          <t>entidad-dia</t>
        </is>
      </c>
    </row>
    <row r="3123">
      <c r="A3123" t="inlineStr">
        <is>
          <t>PRAGMA</t>
        </is>
      </c>
      <c r="B3123" t="inlineStr">
        <is>
          <t>M1</t>
        </is>
      </c>
      <c r="C3123" t="inlineStr">
        <is>
          <t>Cali</t>
        </is>
      </c>
      <c r="D3123" t="inlineStr">
        <is>
          <t>5605</t>
        </is>
      </c>
      <c r="E3123" t="inlineStr">
        <is>
          <t>pagado</t>
        </is>
      </c>
      <c r="F3123" s="23" t="n">
        <v>46266</v>
      </c>
      <c r="G3123" s="24">
        <f>F3123-DATE(2026,8,31)</f>
        <v>1</v>
      </c>
      <c r="H3123" s="25" t="n">
        <v>66082666</v>
      </c>
      <c r="I3123" t="inlineStr">
        <is>
          <t>entidad-dia</t>
        </is>
      </c>
    </row>
    <row r="3124">
      <c r="A3124" t="inlineStr">
        <is>
          <t>PRAGMA</t>
        </is>
      </c>
      <c r="B3124" t="inlineStr">
        <is>
          <t>M1</t>
        </is>
      </c>
      <c r="C3124" t="inlineStr">
        <is>
          <t>Cali</t>
        </is>
      </c>
      <c r="D3124" t="inlineStr">
        <is>
          <t>5605</t>
        </is>
      </c>
      <c r="E3124" t="inlineStr">
        <is>
          <t>pagado</t>
        </is>
      </c>
      <c r="F3124" s="23" t="n">
        <v>46267</v>
      </c>
      <c r="G3124" s="24">
        <f>F3124-DATE(2026,8,31)</f>
        <v>2</v>
      </c>
      <c r="H3124" s="25" t="n">
        <v>48403966</v>
      </c>
      <c r="I3124" t="inlineStr">
        <is>
          <t>entidad-dia</t>
        </is>
      </c>
    </row>
    <row r="3125">
      <c r="A3125" t="inlineStr">
        <is>
          <t>PRAGMA</t>
        </is>
      </c>
      <c r="B3125" t="inlineStr">
        <is>
          <t>M1</t>
        </is>
      </c>
      <c r="C3125" t="inlineStr">
        <is>
          <t>Cali</t>
        </is>
      </c>
      <c r="D3125" t="inlineStr">
        <is>
          <t>5605</t>
        </is>
      </c>
      <c r="E3125" t="inlineStr">
        <is>
          <t>pagado</t>
        </is>
      </c>
      <c r="F3125" s="23" t="n">
        <v>46268</v>
      </c>
      <c r="G3125" s="24">
        <f>F3125-DATE(2026,8,31)</f>
        <v>3</v>
      </c>
      <c r="H3125" s="25" t="n">
        <v>43959799</v>
      </c>
      <c r="I3125" t="inlineStr">
        <is>
          <t>entidad-dia</t>
        </is>
      </c>
    </row>
    <row r="3126">
      <c r="A3126" t="inlineStr">
        <is>
          <t>PRAGMA</t>
        </is>
      </c>
      <c r="B3126" t="inlineStr">
        <is>
          <t>M1</t>
        </is>
      </c>
      <c r="C3126" t="inlineStr">
        <is>
          <t>Cali</t>
        </is>
      </c>
      <c r="D3126" t="inlineStr">
        <is>
          <t>5605</t>
        </is>
      </c>
      <c r="E3126" t="inlineStr">
        <is>
          <t>pagado</t>
        </is>
      </c>
      <c r="F3126" s="23" t="n">
        <v>46269</v>
      </c>
      <c r="G3126" s="24">
        <f>F3126-DATE(2026,8,31)</f>
        <v>4</v>
      </c>
      <c r="H3126" s="25" t="n">
        <v>42390697</v>
      </c>
      <c r="I3126" t="inlineStr">
        <is>
          <t>entidad-dia</t>
        </is>
      </c>
    </row>
    <row r="3127">
      <c r="A3127" t="inlineStr">
        <is>
          <t>PRAGMA</t>
        </is>
      </c>
      <c r="B3127" t="inlineStr">
        <is>
          <t>M1</t>
        </is>
      </c>
      <c r="C3127" t="inlineStr">
        <is>
          <t>Cali</t>
        </is>
      </c>
      <c r="D3127" t="inlineStr">
        <is>
          <t>5605</t>
        </is>
      </c>
      <c r="E3127" t="inlineStr">
        <is>
          <t>pagado</t>
        </is>
      </c>
      <c r="F3127" s="23" t="n">
        <v>46270</v>
      </c>
      <c r="G3127" s="24">
        <f>F3127-DATE(2026,8,31)</f>
        <v>5</v>
      </c>
      <c r="H3127" s="25" t="n">
        <v>31733591</v>
      </c>
      <c r="I3127" t="inlineStr">
        <is>
          <t>entidad-dia</t>
        </is>
      </c>
    </row>
    <row r="3128">
      <c r="A3128" t="inlineStr">
        <is>
          <t>PRAGMA</t>
        </is>
      </c>
      <c r="B3128" t="inlineStr">
        <is>
          <t>M1</t>
        </is>
      </c>
      <c r="C3128" t="inlineStr">
        <is>
          <t>Cali</t>
        </is>
      </c>
      <c r="D3128" t="inlineStr">
        <is>
          <t>5605</t>
        </is>
      </c>
      <c r="E3128" t="inlineStr">
        <is>
          <t>pagado</t>
        </is>
      </c>
      <c r="F3128" s="23" t="n">
        <v>46271</v>
      </c>
      <c r="G3128" s="24">
        <f>F3128-DATE(2026,8,31)</f>
        <v>6</v>
      </c>
      <c r="H3128" s="25" t="n">
        <v>16654690</v>
      </c>
      <c r="I3128" t="inlineStr">
        <is>
          <t>entidad-dia</t>
        </is>
      </c>
    </row>
    <row r="3129">
      <c r="A3129" t="inlineStr">
        <is>
          <t>PRAGMA</t>
        </is>
      </c>
      <c r="B3129" t="inlineStr">
        <is>
          <t>M1</t>
        </is>
      </c>
      <c r="C3129" t="inlineStr">
        <is>
          <t>Cali</t>
        </is>
      </c>
      <c r="D3129" t="inlineStr">
        <is>
          <t>5605</t>
        </is>
      </c>
      <c r="E3129" t="inlineStr">
        <is>
          <t>pagado</t>
        </is>
      </c>
      <c r="F3129" s="23" t="n">
        <v>46272</v>
      </c>
      <c r="G3129" s="24">
        <f>F3129-DATE(2026,8,31)</f>
        <v>7</v>
      </c>
      <c r="H3129" s="25" t="n">
        <v>29789368</v>
      </c>
      <c r="I3129" t="inlineStr">
        <is>
          <t>entidad-dia</t>
        </is>
      </c>
    </row>
    <row r="3130">
      <c r="A3130" t="inlineStr">
        <is>
          <t>PRAGMA</t>
        </is>
      </c>
      <c r="B3130" t="inlineStr">
        <is>
          <t>M1</t>
        </is>
      </c>
      <c r="C3130" t="inlineStr">
        <is>
          <t>Cali</t>
        </is>
      </c>
      <c r="D3130" t="inlineStr">
        <is>
          <t>5605</t>
        </is>
      </c>
      <c r="E3130" t="inlineStr">
        <is>
          <t>pagado</t>
        </is>
      </c>
      <c r="F3130" s="23" t="n">
        <v>46273</v>
      </c>
      <c r="G3130" s="24">
        <f>F3130-DATE(2026,8,31)</f>
        <v>8</v>
      </c>
      <c r="H3130" s="25" t="n">
        <v>34829917</v>
      </c>
      <c r="I3130" t="inlineStr">
        <is>
          <t>entidad-dia</t>
        </is>
      </c>
    </row>
    <row r="3131">
      <c r="A3131" t="inlineStr">
        <is>
          <t>PRAGMA</t>
        </is>
      </c>
      <c r="B3131" t="inlineStr">
        <is>
          <t>M1</t>
        </is>
      </c>
      <c r="C3131" t="inlineStr">
        <is>
          <t>Cali</t>
        </is>
      </c>
      <c r="D3131" t="inlineStr">
        <is>
          <t>5605</t>
        </is>
      </c>
      <c r="E3131" t="inlineStr">
        <is>
          <t>pagado</t>
        </is>
      </c>
      <c r="F3131" s="23" t="n">
        <v>46274</v>
      </c>
      <c r="G3131" s="24">
        <f>F3131-DATE(2026,8,31)</f>
        <v>9</v>
      </c>
      <c r="H3131" s="25" t="n">
        <v>32658343</v>
      </c>
      <c r="I3131" t="inlineStr">
        <is>
          <t>entidad-dia</t>
        </is>
      </c>
    </row>
    <row r="3132">
      <c r="A3132" t="inlineStr">
        <is>
          <t>PRAGMA</t>
        </is>
      </c>
      <c r="B3132" t="inlineStr">
        <is>
          <t>M1</t>
        </is>
      </c>
      <c r="C3132" t="inlineStr">
        <is>
          <t>Cali</t>
        </is>
      </c>
      <c r="D3132" t="inlineStr">
        <is>
          <t>5605</t>
        </is>
      </c>
      <c r="E3132" t="inlineStr">
        <is>
          <t>pagado</t>
        </is>
      </c>
      <c r="F3132" s="23" t="n">
        <v>46275</v>
      </c>
      <c r="G3132" s="24">
        <f>F3132-DATE(2026,8,31)</f>
        <v>10</v>
      </c>
      <c r="H3132" s="25" t="n">
        <v>29882360</v>
      </c>
      <c r="I3132" t="inlineStr">
        <is>
          <t>entidad-dia</t>
        </is>
      </c>
    </row>
    <row r="3133">
      <c r="A3133" t="inlineStr">
        <is>
          <t>PRAGMA</t>
        </is>
      </c>
      <c r="B3133" t="inlineStr">
        <is>
          <t>M1</t>
        </is>
      </c>
      <c r="C3133" t="inlineStr">
        <is>
          <t>Cali</t>
        </is>
      </c>
      <c r="D3133" t="inlineStr">
        <is>
          <t>5605</t>
        </is>
      </c>
      <c r="E3133" t="inlineStr">
        <is>
          <t>pagado</t>
        </is>
      </c>
      <c r="F3133" s="23" t="n">
        <v>46276</v>
      </c>
      <c r="G3133" s="24">
        <f>F3133-DATE(2026,8,31)</f>
        <v>11</v>
      </c>
      <c r="H3133" s="25" t="n">
        <v>33352131</v>
      </c>
      <c r="I3133" t="inlineStr">
        <is>
          <t>entidad-dia</t>
        </is>
      </c>
    </row>
    <row r="3134">
      <c r="A3134" t="inlineStr">
        <is>
          <t>PRAGMA</t>
        </is>
      </c>
      <c r="B3134" t="inlineStr">
        <is>
          <t>M1</t>
        </is>
      </c>
      <c r="C3134" t="inlineStr">
        <is>
          <t>Cali</t>
        </is>
      </c>
      <c r="D3134" t="inlineStr">
        <is>
          <t>5605</t>
        </is>
      </c>
      <c r="E3134" t="inlineStr">
        <is>
          <t>pagado</t>
        </is>
      </c>
      <c r="F3134" s="23" t="n">
        <v>46277</v>
      </c>
      <c r="G3134" s="24">
        <f>F3134-DATE(2026,8,31)</f>
        <v>12</v>
      </c>
      <c r="H3134" s="25" t="n">
        <v>25525732</v>
      </c>
      <c r="I3134" t="inlineStr">
        <is>
          <t>entidad-dia</t>
        </is>
      </c>
    </row>
    <row r="3135">
      <c r="A3135" t="inlineStr">
        <is>
          <t>PRAGMA</t>
        </is>
      </c>
      <c r="B3135" t="inlineStr">
        <is>
          <t>M1</t>
        </is>
      </c>
      <c r="C3135" t="inlineStr">
        <is>
          <t>Cali</t>
        </is>
      </c>
      <c r="D3135" t="inlineStr">
        <is>
          <t>5605</t>
        </is>
      </c>
      <c r="E3135" t="inlineStr">
        <is>
          <t>pagado</t>
        </is>
      </c>
      <c r="F3135" s="23" t="n">
        <v>46278</v>
      </c>
      <c r="G3135" s="24">
        <f>F3135-DATE(2026,8,31)</f>
        <v>13</v>
      </c>
      <c r="H3135" s="25" t="n">
        <v>13908912</v>
      </c>
      <c r="I3135" t="inlineStr">
        <is>
          <t>entidad-dia</t>
        </is>
      </c>
    </row>
    <row r="3136">
      <c r="A3136" t="inlineStr">
        <is>
          <t>PRAGMA</t>
        </is>
      </c>
      <c r="B3136" t="inlineStr">
        <is>
          <t>M1</t>
        </is>
      </c>
      <c r="C3136" t="inlineStr">
        <is>
          <t>Cali</t>
        </is>
      </c>
      <c r="D3136" t="inlineStr">
        <is>
          <t>5605</t>
        </is>
      </c>
      <c r="E3136" t="inlineStr">
        <is>
          <t>pagado</t>
        </is>
      </c>
      <c r="F3136" s="23" t="n">
        <v>46279</v>
      </c>
      <c r="G3136" s="24">
        <f>F3136-DATE(2026,8,31)</f>
        <v>14</v>
      </c>
      <c r="H3136" s="25" t="n">
        <v>28457350</v>
      </c>
      <c r="I3136" t="inlineStr">
        <is>
          <t>entidad-dia</t>
        </is>
      </c>
    </row>
    <row r="3137">
      <c r="A3137" t="inlineStr">
        <is>
          <t>PRAGMA</t>
        </is>
      </c>
      <c r="B3137" t="inlineStr">
        <is>
          <t>M1</t>
        </is>
      </c>
      <c r="C3137" t="inlineStr">
        <is>
          <t>Cali</t>
        </is>
      </c>
      <c r="D3137" t="inlineStr">
        <is>
          <t>5605</t>
        </is>
      </c>
      <c r="E3137" t="inlineStr">
        <is>
          <t>pagado</t>
        </is>
      </c>
      <c r="F3137" s="23" t="n">
        <v>46280</v>
      </c>
      <c r="G3137" s="24">
        <f>F3137-DATE(2026,8,31)</f>
        <v>15</v>
      </c>
      <c r="H3137" s="25" t="n">
        <v>49371495</v>
      </c>
      <c r="I3137" t="inlineStr">
        <is>
          <t>entidad-dia</t>
        </is>
      </c>
    </row>
    <row r="3138">
      <c r="A3138" t="inlineStr">
        <is>
          <t>PRAGMA</t>
        </is>
      </c>
      <c r="B3138" t="inlineStr">
        <is>
          <t>M1</t>
        </is>
      </c>
      <c r="C3138" t="inlineStr">
        <is>
          <t>Cali</t>
        </is>
      </c>
      <c r="D3138" t="inlineStr">
        <is>
          <t>5724</t>
        </is>
      </c>
      <c r="E3138" t="inlineStr">
        <is>
          <t>pagado</t>
        </is>
      </c>
      <c r="F3138" s="23" t="n">
        <v>46266</v>
      </c>
      <c r="G3138" s="24">
        <f>F3138-DATE(2026,8,31)</f>
        <v>1</v>
      </c>
      <c r="H3138" s="25" t="n">
        <v>71501022</v>
      </c>
      <c r="I3138" t="inlineStr">
        <is>
          <t>entidad-dia</t>
        </is>
      </c>
    </row>
    <row r="3139">
      <c r="A3139" t="inlineStr">
        <is>
          <t>PRAGMA</t>
        </is>
      </c>
      <c r="B3139" t="inlineStr">
        <is>
          <t>M1</t>
        </is>
      </c>
      <c r="C3139" t="inlineStr">
        <is>
          <t>Cali</t>
        </is>
      </c>
      <c r="D3139" t="inlineStr">
        <is>
          <t>5724</t>
        </is>
      </c>
      <c r="E3139" t="inlineStr">
        <is>
          <t>pagado</t>
        </is>
      </c>
      <c r="F3139" s="23" t="n">
        <v>46267</v>
      </c>
      <c r="G3139" s="24">
        <f>F3139-DATE(2026,8,31)</f>
        <v>2</v>
      </c>
      <c r="H3139" s="25" t="n">
        <v>53547082</v>
      </c>
      <c r="I3139" t="inlineStr">
        <is>
          <t>entidad-dia</t>
        </is>
      </c>
    </row>
    <row r="3140">
      <c r="A3140" t="inlineStr">
        <is>
          <t>PRAGMA</t>
        </is>
      </c>
      <c r="B3140" t="inlineStr">
        <is>
          <t>M1</t>
        </is>
      </c>
      <c r="C3140" t="inlineStr">
        <is>
          <t>Cali</t>
        </is>
      </c>
      <c r="D3140" t="inlineStr">
        <is>
          <t>5724</t>
        </is>
      </c>
      <c r="E3140" t="inlineStr">
        <is>
          <t>pagado</t>
        </is>
      </c>
      <c r="F3140" s="23" t="n">
        <v>46268</v>
      </c>
      <c r="G3140" s="24">
        <f>F3140-DATE(2026,8,31)</f>
        <v>3</v>
      </c>
      <c r="H3140" s="25" t="n">
        <v>52300209</v>
      </c>
      <c r="I3140" t="inlineStr">
        <is>
          <t>entidad-dia</t>
        </is>
      </c>
    </row>
    <row r="3141">
      <c r="A3141" t="inlineStr">
        <is>
          <t>PRAGMA</t>
        </is>
      </c>
      <c r="B3141" t="inlineStr">
        <is>
          <t>M1</t>
        </is>
      </c>
      <c r="C3141" t="inlineStr">
        <is>
          <t>Cali</t>
        </is>
      </c>
      <c r="D3141" t="inlineStr">
        <is>
          <t>5724</t>
        </is>
      </c>
      <c r="E3141" t="inlineStr">
        <is>
          <t>pagado</t>
        </is>
      </c>
      <c r="F3141" s="23" t="n">
        <v>46269</v>
      </c>
      <c r="G3141" s="24">
        <f>F3141-DATE(2026,8,31)</f>
        <v>4</v>
      </c>
      <c r="H3141" s="25" t="n">
        <v>52888099</v>
      </c>
      <c r="I3141" t="inlineStr">
        <is>
          <t>entidad-dia</t>
        </is>
      </c>
    </row>
    <row r="3142">
      <c r="A3142" t="inlineStr">
        <is>
          <t>PRAGMA</t>
        </is>
      </c>
      <c r="B3142" t="inlineStr">
        <is>
          <t>M1</t>
        </is>
      </c>
      <c r="C3142" t="inlineStr">
        <is>
          <t>Cali</t>
        </is>
      </c>
      <c r="D3142" t="inlineStr">
        <is>
          <t>5724</t>
        </is>
      </c>
      <c r="E3142" t="inlineStr">
        <is>
          <t>pagado</t>
        </is>
      </c>
      <c r="F3142" s="23" t="n">
        <v>46270</v>
      </c>
      <c r="G3142" s="24">
        <f>F3142-DATE(2026,8,31)</f>
        <v>5</v>
      </c>
      <c r="H3142" s="25" t="n">
        <v>15999638</v>
      </c>
      <c r="I3142" t="inlineStr">
        <is>
          <t>entidad-dia</t>
        </is>
      </c>
    </row>
    <row r="3143">
      <c r="A3143" t="inlineStr">
        <is>
          <t>PRAGMA</t>
        </is>
      </c>
      <c r="B3143" t="inlineStr">
        <is>
          <t>M1</t>
        </is>
      </c>
      <c r="C3143" t="inlineStr">
        <is>
          <t>Cali</t>
        </is>
      </c>
      <c r="D3143" t="inlineStr">
        <is>
          <t>5724</t>
        </is>
      </c>
      <c r="E3143" t="inlineStr">
        <is>
          <t>pagado</t>
        </is>
      </c>
      <c r="F3143" s="23" t="n">
        <v>46271</v>
      </c>
      <c r="G3143" s="24">
        <f>F3143-DATE(2026,8,31)</f>
        <v>6</v>
      </c>
      <c r="H3143" s="25" t="n">
        <v>1989060</v>
      </c>
      <c r="I3143" t="inlineStr">
        <is>
          <t>entidad-dia</t>
        </is>
      </c>
    </row>
    <row r="3144">
      <c r="A3144" t="inlineStr">
        <is>
          <t>PRAGMA</t>
        </is>
      </c>
      <c r="B3144" t="inlineStr">
        <is>
          <t>M1</t>
        </is>
      </c>
      <c r="C3144" t="inlineStr">
        <is>
          <t>Cali</t>
        </is>
      </c>
      <c r="D3144" t="inlineStr">
        <is>
          <t>5724</t>
        </is>
      </c>
      <c r="E3144" t="inlineStr">
        <is>
          <t>pagado</t>
        </is>
      </c>
      <c r="F3144" s="23" t="n">
        <v>46272</v>
      </c>
      <c r="G3144" s="24">
        <f>F3144-DATE(2026,8,31)</f>
        <v>7</v>
      </c>
      <c r="H3144" s="25" t="n">
        <v>54245491</v>
      </c>
      <c r="I3144" t="inlineStr">
        <is>
          <t>entidad-dia</t>
        </is>
      </c>
    </row>
    <row r="3145">
      <c r="A3145" t="inlineStr">
        <is>
          <t>PRAGMA</t>
        </is>
      </c>
      <c r="B3145" t="inlineStr">
        <is>
          <t>M1</t>
        </is>
      </c>
      <c r="C3145" t="inlineStr">
        <is>
          <t>Cali</t>
        </is>
      </c>
      <c r="D3145" t="inlineStr">
        <is>
          <t>5724</t>
        </is>
      </c>
      <c r="E3145" t="inlineStr">
        <is>
          <t>pagado</t>
        </is>
      </c>
      <c r="F3145" s="23" t="n">
        <v>46273</v>
      </c>
      <c r="G3145" s="24">
        <f>F3145-DATE(2026,8,31)</f>
        <v>8</v>
      </c>
      <c r="H3145" s="25" t="n">
        <v>57439669</v>
      </c>
      <c r="I3145" t="inlineStr">
        <is>
          <t>entidad-dia</t>
        </is>
      </c>
    </row>
    <row r="3146">
      <c r="A3146" t="inlineStr">
        <is>
          <t>PRAGMA</t>
        </is>
      </c>
      <c r="B3146" t="inlineStr">
        <is>
          <t>M1</t>
        </is>
      </c>
      <c r="C3146" t="inlineStr">
        <is>
          <t>Cali</t>
        </is>
      </c>
      <c r="D3146" t="inlineStr">
        <is>
          <t>5724</t>
        </is>
      </c>
      <c r="E3146" t="inlineStr">
        <is>
          <t>pagado</t>
        </is>
      </c>
      <c r="F3146" s="23" t="n">
        <v>46274</v>
      </c>
      <c r="G3146" s="24">
        <f>F3146-DATE(2026,8,31)</f>
        <v>9</v>
      </c>
      <c r="H3146" s="25" t="n">
        <v>51102874</v>
      </c>
      <c r="I3146" t="inlineStr">
        <is>
          <t>entidad-dia</t>
        </is>
      </c>
    </row>
    <row r="3147">
      <c r="A3147" t="inlineStr">
        <is>
          <t>PRAGMA</t>
        </is>
      </c>
      <c r="B3147" t="inlineStr">
        <is>
          <t>M1</t>
        </is>
      </c>
      <c r="C3147" t="inlineStr">
        <is>
          <t>Cali</t>
        </is>
      </c>
      <c r="D3147" t="inlineStr">
        <is>
          <t>5724</t>
        </is>
      </c>
      <c r="E3147" t="inlineStr">
        <is>
          <t>pagado</t>
        </is>
      </c>
      <c r="F3147" s="23" t="n">
        <v>46275</v>
      </c>
      <c r="G3147" s="24">
        <f>F3147-DATE(2026,8,31)</f>
        <v>10</v>
      </c>
      <c r="H3147" s="25" t="n">
        <v>53976505</v>
      </c>
      <c r="I3147" t="inlineStr">
        <is>
          <t>entidad-dia</t>
        </is>
      </c>
    </row>
    <row r="3148">
      <c r="A3148" t="inlineStr">
        <is>
          <t>PRAGMA</t>
        </is>
      </c>
      <c r="B3148" t="inlineStr">
        <is>
          <t>M1</t>
        </is>
      </c>
      <c r="C3148" t="inlineStr">
        <is>
          <t>Cali</t>
        </is>
      </c>
      <c r="D3148" t="inlineStr">
        <is>
          <t>5724</t>
        </is>
      </c>
      <c r="E3148" t="inlineStr">
        <is>
          <t>pagado</t>
        </is>
      </c>
      <c r="F3148" s="23" t="n">
        <v>46276</v>
      </c>
      <c r="G3148" s="24">
        <f>F3148-DATE(2026,8,31)</f>
        <v>11</v>
      </c>
      <c r="H3148" s="25" t="n">
        <v>44749865</v>
      </c>
      <c r="I3148" t="inlineStr">
        <is>
          <t>entidad-dia</t>
        </is>
      </c>
    </row>
    <row r="3149">
      <c r="A3149" t="inlineStr">
        <is>
          <t>PRAGMA</t>
        </is>
      </c>
      <c r="B3149" t="inlineStr">
        <is>
          <t>M1</t>
        </is>
      </c>
      <c r="C3149" t="inlineStr">
        <is>
          <t>Cali</t>
        </is>
      </c>
      <c r="D3149" t="inlineStr">
        <is>
          <t>5724</t>
        </is>
      </c>
      <c r="E3149" t="inlineStr">
        <is>
          <t>pagado</t>
        </is>
      </c>
      <c r="F3149" s="23" t="n">
        <v>46277</v>
      </c>
      <c r="G3149" s="24">
        <f>F3149-DATE(2026,8,31)</f>
        <v>12</v>
      </c>
      <c r="H3149" s="25" t="n">
        <v>8605017</v>
      </c>
      <c r="I3149" t="inlineStr">
        <is>
          <t>entidad-dia</t>
        </is>
      </c>
    </row>
    <row r="3150">
      <c r="A3150" t="inlineStr">
        <is>
          <t>PRAGMA</t>
        </is>
      </c>
      <c r="B3150" t="inlineStr">
        <is>
          <t>M1</t>
        </is>
      </c>
      <c r="C3150" t="inlineStr">
        <is>
          <t>Cali</t>
        </is>
      </c>
      <c r="D3150" t="inlineStr">
        <is>
          <t>5724</t>
        </is>
      </c>
      <c r="E3150" t="inlineStr">
        <is>
          <t>pagado</t>
        </is>
      </c>
      <c r="F3150" s="23" t="n">
        <v>46278</v>
      </c>
      <c r="G3150" s="24">
        <f>F3150-DATE(2026,8,31)</f>
        <v>13</v>
      </c>
      <c r="H3150" s="25" t="n">
        <v>1478100</v>
      </c>
      <c r="I3150" t="inlineStr">
        <is>
          <t>entidad-dia</t>
        </is>
      </c>
    </row>
    <row r="3151">
      <c r="A3151" t="inlineStr">
        <is>
          <t>PRAGMA</t>
        </is>
      </c>
      <c r="B3151" t="inlineStr">
        <is>
          <t>M1</t>
        </is>
      </c>
      <c r="C3151" t="inlineStr">
        <is>
          <t>Cali</t>
        </is>
      </c>
      <c r="D3151" t="inlineStr">
        <is>
          <t>5724</t>
        </is>
      </c>
      <c r="E3151" t="inlineStr">
        <is>
          <t>pagado</t>
        </is>
      </c>
      <c r="F3151" s="23" t="n">
        <v>46279</v>
      </c>
      <c r="G3151" s="24">
        <f>F3151-DATE(2026,8,31)</f>
        <v>14</v>
      </c>
      <c r="H3151" s="25" t="n">
        <v>46621057</v>
      </c>
      <c r="I3151" t="inlineStr">
        <is>
          <t>entidad-dia</t>
        </is>
      </c>
    </row>
    <row r="3152">
      <c r="A3152" t="inlineStr">
        <is>
          <t>PRAGMA</t>
        </is>
      </c>
      <c r="B3152" t="inlineStr">
        <is>
          <t>M1</t>
        </is>
      </c>
      <c r="C3152" t="inlineStr">
        <is>
          <t>Cali</t>
        </is>
      </c>
      <c r="D3152" t="inlineStr">
        <is>
          <t>5724</t>
        </is>
      </c>
      <c r="E3152" t="inlineStr">
        <is>
          <t>pagado</t>
        </is>
      </c>
      <c r="F3152" s="23" t="n">
        <v>46280</v>
      </c>
      <c r="G3152" s="24">
        <f>F3152-DATE(2026,8,31)</f>
        <v>15</v>
      </c>
      <c r="H3152" s="25" t="n">
        <v>70175612</v>
      </c>
      <c r="I3152" t="inlineStr">
        <is>
          <t>entidad-dia</t>
        </is>
      </c>
    </row>
    <row r="3153">
      <c r="A3153" t="inlineStr">
        <is>
          <t>PRAGMA</t>
        </is>
      </c>
      <c r="B3153" t="inlineStr">
        <is>
          <t>M1</t>
        </is>
      </c>
      <c r="C3153" t="inlineStr">
        <is>
          <t>Cali</t>
        </is>
      </c>
      <c r="D3153" t="inlineStr">
        <is>
          <t>5767</t>
        </is>
      </c>
      <c r="E3153" t="inlineStr">
        <is>
          <t>pagado</t>
        </is>
      </c>
      <c r="F3153" s="23" t="n">
        <v>46266</v>
      </c>
      <c r="G3153" s="24">
        <f>F3153-DATE(2026,8,31)</f>
        <v>1</v>
      </c>
      <c r="H3153" s="25" t="n">
        <v>225828082</v>
      </c>
      <c r="I3153" t="inlineStr">
        <is>
          <t>entidad-dia</t>
        </is>
      </c>
    </row>
    <row r="3154">
      <c r="A3154" t="inlineStr">
        <is>
          <t>PRAGMA</t>
        </is>
      </c>
      <c r="B3154" t="inlineStr">
        <is>
          <t>M1</t>
        </is>
      </c>
      <c r="C3154" t="inlineStr">
        <is>
          <t>Cali</t>
        </is>
      </c>
      <c r="D3154" t="inlineStr">
        <is>
          <t>5767</t>
        </is>
      </c>
      <c r="E3154" t="inlineStr">
        <is>
          <t>pagado</t>
        </is>
      </c>
      <c r="F3154" s="23" t="n">
        <v>46267</v>
      </c>
      <c r="G3154" s="24">
        <f>F3154-DATE(2026,8,31)</f>
        <v>2</v>
      </c>
      <c r="H3154" s="25" t="n">
        <v>186059760</v>
      </c>
      <c r="I3154" t="inlineStr">
        <is>
          <t>entidad-dia</t>
        </is>
      </c>
    </row>
    <row r="3155">
      <c r="A3155" t="inlineStr">
        <is>
          <t>PRAGMA</t>
        </is>
      </c>
      <c r="B3155" t="inlineStr">
        <is>
          <t>M1</t>
        </is>
      </c>
      <c r="C3155" t="inlineStr">
        <is>
          <t>Cali</t>
        </is>
      </c>
      <c r="D3155" t="inlineStr">
        <is>
          <t>5767</t>
        </is>
      </c>
      <c r="E3155" t="inlineStr">
        <is>
          <t>pagado</t>
        </is>
      </c>
      <c r="F3155" s="23" t="n">
        <v>46268</v>
      </c>
      <c r="G3155" s="24">
        <f>F3155-DATE(2026,8,31)</f>
        <v>3</v>
      </c>
      <c r="H3155" s="25" t="n">
        <v>178275006</v>
      </c>
      <c r="I3155" t="inlineStr">
        <is>
          <t>entidad-dia</t>
        </is>
      </c>
    </row>
    <row r="3156">
      <c r="A3156" t="inlineStr">
        <is>
          <t>PRAGMA</t>
        </is>
      </c>
      <c r="B3156" t="inlineStr">
        <is>
          <t>M1</t>
        </is>
      </c>
      <c r="C3156" t="inlineStr">
        <is>
          <t>Cali</t>
        </is>
      </c>
      <c r="D3156" t="inlineStr">
        <is>
          <t>5767</t>
        </is>
      </c>
      <c r="E3156" t="inlineStr">
        <is>
          <t>pagado</t>
        </is>
      </c>
      <c r="F3156" s="23" t="n">
        <v>46269</v>
      </c>
      <c r="G3156" s="24">
        <f>F3156-DATE(2026,8,31)</f>
        <v>4</v>
      </c>
      <c r="H3156" s="25" t="n">
        <v>180887530</v>
      </c>
      <c r="I3156" t="inlineStr">
        <is>
          <t>entidad-dia</t>
        </is>
      </c>
    </row>
    <row r="3157">
      <c r="A3157" t="inlineStr">
        <is>
          <t>PRAGMA</t>
        </is>
      </c>
      <c r="B3157" t="inlineStr">
        <is>
          <t>M1</t>
        </is>
      </c>
      <c r="C3157" t="inlineStr">
        <is>
          <t>Cali</t>
        </is>
      </c>
      <c r="D3157" t="inlineStr">
        <is>
          <t>5767</t>
        </is>
      </c>
      <c r="E3157" t="inlineStr">
        <is>
          <t>pagado</t>
        </is>
      </c>
      <c r="F3157" s="23" t="n">
        <v>46270</v>
      </c>
      <c r="G3157" s="24">
        <f>F3157-DATE(2026,8,31)</f>
        <v>5</v>
      </c>
      <c r="H3157" s="25" t="n">
        <v>156540006</v>
      </c>
      <c r="I3157" t="inlineStr">
        <is>
          <t>entidad-dia</t>
        </is>
      </c>
    </row>
    <row r="3158">
      <c r="A3158" t="inlineStr">
        <is>
          <t>PRAGMA</t>
        </is>
      </c>
      <c r="B3158" t="inlineStr">
        <is>
          <t>M1</t>
        </is>
      </c>
      <c r="C3158" t="inlineStr">
        <is>
          <t>Cali</t>
        </is>
      </c>
      <c r="D3158" t="inlineStr">
        <is>
          <t>5767</t>
        </is>
      </c>
      <c r="E3158" t="inlineStr">
        <is>
          <t>pagado</t>
        </is>
      </c>
      <c r="F3158" s="23" t="n">
        <v>46271</v>
      </c>
      <c r="G3158" s="24">
        <f>F3158-DATE(2026,8,31)</f>
        <v>6</v>
      </c>
      <c r="H3158" s="25" t="n">
        <v>66604977</v>
      </c>
      <c r="I3158" t="inlineStr">
        <is>
          <t>entidad-dia</t>
        </is>
      </c>
    </row>
    <row r="3159">
      <c r="A3159" t="inlineStr">
        <is>
          <t>PRAGMA</t>
        </is>
      </c>
      <c r="B3159" t="inlineStr">
        <is>
          <t>M1</t>
        </is>
      </c>
      <c r="C3159" t="inlineStr">
        <is>
          <t>Cali</t>
        </is>
      </c>
      <c r="D3159" t="inlineStr">
        <is>
          <t>5767</t>
        </is>
      </c>
      <c r="E3159" t="inlineStr">
        <is>
          <t>pagado</t>
        </is>
      </c>
      <c r="F3159" s="23" t="n">
        <v>46272</v>
      </c>
      <c r="G3159" s="24">
        <f>F3159-DATE(2026,8,31)</f>
        <v>7</v>
      </c>
      <c r="H3159" s="25" t="n">
        <v>119795409</v>
      </c>
      <c r="I3159" t="inlineStr">
        <is>
          <t>entidad-dia</t>
        </is>
      </c>
    </row>
    <row r="3160">
      <c r="A3160" t="inlineStr">
        <is>
          <t>PRAGMA</t>
        </is>
      </c>
      <c r="B3160" t="inlineStr">
        <is>
          <t>M1</t>
        </is>
      </c>
      <c r="C3160" t="inlineStr">
        <is>
          <t>Cali</t>
        </is>
      </c>
      <c r="D3160" t="inlineStr">
        <is>
          <t>5767</t>
        </is>
      </c>
      <c r="E3160" t="inlineStr">
        <is>
          <t>pagado</t>
        </is>
      </c>
      <c r="F3160" s="23" t="n">
        <v>46273</v>
      </c>
      <c r="G3160" s="24">
        <f>F3160-DATE(2026,8,31)</f>
        <v>8</v>
      </c>
      <c r="H3160" s="25" t="n">
        <v>142643787</v>
      </c>
      <c r="I3160" t="inlineStr">
        <is>
          <t>entidad-dia</t>
        </is>
      </c>
    </row>
    <row r="3161">
      <c r="A3161" t="inlineStr">
        <is>
          <t>PRAGMA</t>
        </is>
      </c>
      <c r="B3161" t="inlineStr">
        <is>
          <t>M1</t>
        </is>
      </c>
      <c r="C3161" t="inlineStr">
        <is>
          <t>Cali</t>
        </is>
      </c>
      <c r="D3161" t="inlineStr">
        <is>
          <t>5767</t>
        </is>
      </c>
      <c r="E3161" t="inlineStr">
        <is>
          <t>pagado</t>
        </is>
      </c>
      <c r="F3161" s="23" t="n">
        <v>46274</v>
      </c>
      <c r="G3161" s="24">
        <f>F3161-DATE(2026,8,31)</f>
        <v>9</v>
      </c>
      <c r="H3161" s="25" t="n">
        <v>125112769</v>
      </c>
      <c r="I3161" t="inlineStr">
        <is>
          <t>entidad-dia</t>
        </is>
      </c>
    </row>
    <row r="3162">
      <c r="A3162" t="inlineStr">
        <is>
          <t>PRAGMA</t>
        </is>
      </c>
      <c r="B3162" t="inlineStr">
        <is>
          <t>M1</t>
        </is>
      </c>
      <c r="C3162" t="inlineStr">
        <is>
          <t>Cali</t>
        </is>
      </c>
      <c r="D3162" t="inlineStr">
        <is>
          <t>5767</t>
        </is>
      </c>
      <c r="E3162" t="inlineStr">
        <is>
          <t>pagado</t>
        </is>
      </c>
      <c r="F3162" s="23" t="n">
        <v>46275</v>
      </c>
      <c r="G3162" s="24">
        <f>F3162-DATE(2026,8,31)</f>
        <v>10</v>
      </c>
      <c r="H3162" s="25" t="n">
        <v>139526356</v>
      </c>
      <c r="I3162" t="inlineStr">
        <is>
          <t>entidad-dia</t>
        </is>
      </c>
    </row>
    <row r="3163">
      <c r="A3163" t="inlineStr">
        <is>
          <t>PRAGMA</t>
        </is>
      </c>
      <c r="B3163" t="inlineStr">
        <is>
          <t>M1</t>
        </is>
      </c>
      <c r="C3163" t="inlineStr">
        <is>
          <t>Cali</t>
        </is>
      </c>
      <c r="D3163" t="inlineStr">
        <is>
          <t>5767</t>
        </is>
      </c>
      <c r="E3163" t="inlineStr">
        <is>
          <t>pagado</t>
        </is>
      </c>
      <c r="F3163" s="23" t="n">
        <v>46276</v>
      </c>
      <c r="G3163" s="24">
        <f>F3163-DATE(2026,8,31)</f>
        <v>11</v>
      </c>
      <c r="H3163" s="25" t="n">
        <v>146730813</v>
      </c>
      <c r="I3163" t="inlineStr">
        <is>
          <t>entidad-dia</t>
        </is>
      </c>
    </row>
    <row r="3164">
      <c r="A3164" t="inlineStr">
        <is>
          <t>PRAGMA</t>
        </is>
      </c>
      <c r="B3164" t="inlineStr">
        <is>
          <t>M1</t>
        </is>
      </c>
      <c r="C3164" t="inlineStr">
        <is>
          <t>Cali</t>
        </is>
      </c>
      <c r="D3164" t="inlineStr">
        <is>
          <t>5767</t>
        </is>
      </c>
      <c r="E3164" t="inlineStr">
        <is>
          <t>pagado</t>
        </is>
      </c>
      <c r="F3164" s="23" t="n">
        <v>46277</v>
      </c>
      <c r="G3164" s="24">
        <f>F3164-DATE(2026,8,31)</f>
        <v>12</v>
      </c>
      <c r="H3164" s="25" t="n">
        <v>121884623</v>
      </c>
      <c r="I3164" t="inlineStr">
        <is>
          <t>entidad-dia</t>
        </is>
      </c>
    </row>
    <row r="3165">
      <c r="A3165" t="inlineStr">
        <is>
          <t>PRAGMA</t>
        </is>
      </c>
      <c r="B3165" t="inlineStr">
        <is>
          <t>M1</t>
        </is>
      </c>
      <c r="C3165" t="inlineStr">
        <is>
          <t>Cali</t>
        </is>
      </c>
      <c r="D3165" t="inlineStr">
        <is>
          <t>5767</t>
        </is>
      </c>
      <c r="E3165" t="inlineStr">
        <is>
          <t>pagado</t>
        </is>
      </c>
      <c r="F3165" s="23" t="n">
        <v>46278</v>
      </c>
      <c r="G3165" s="24">
        <f>F3165-DATE(2026,8,31)</f>
        <v>13</v>
      </c>
      <c r="H3165" s="25" t="n">
        <v>62889451</v>
      </c>
      <c r="I3165" t="inlineStr">
        <is>
          <t>entidad-dia</t>
        </is>
      </c>
    </row>
    <row r="3166">
      <c r="A3166" t="inlineStr">
        <is>
          <t>PRAGMA</t>
        </is>
      </c>
      <c r="B3166" t="inlineStr">
        <is>
          <t>M1</t>
        </is>
      </c>
      <c r="C3166" t="inlineStr">
        <is>
          <t>Cali</t>
        </is>
      </c>
      <c r="D3166" t="inlineStr">
        <is>
          <t>5767</t>
        </is>
      </c>
      <c r="E3166" t="inlineStr">
        <is>
          <t>pagado</t>
        </is>
      </c>
      <c r="F3166" s="23" t="n">
        <v>46279</v>
      </c>
      <c r="G3166" s="24">
        <f>F3166-DATE(2026,8,31)</f>
        <v>14</v>
      </c>
      <c r="H3166" s="25" t="n">
        <v>130535394</v>
      </c>
      <c r="I3166" t="inlineStr">
        <is>
          <t>entidad-dia</t>
        </is>
      </c>
    </row>
    <row r="3167">
      <c r="A3167" t="inlineStr">
        <is>
          <t>PRAGMA</t>
        </is>
      </c>
      <c r="B3167" t="inlineStr">
        <is>
          <t>M1</t>
        </is>
      </c>
      <c r="C3167" t="inlineStr">
        <is>
          <t>Cali</t>
        </is>
      </c>
      <c r="D3167" t="inlineStr">
        <is>
          <t>5767</t>
        </is>
      </c>
      <c r="E3167" t="inlineStr">
        <is>
          <t>pagado</t>
        </is>
      </c>
      <c r="F3167" s="23" t="n">
        <v>46280</v>
      </c>
      <c r="G3167" s="24">
        <f>F3167-DATE(2026,8,31)</f>
        <v>15</v>
      </c>
      <c r="H3167" s="25" t="n">
        <v>163805937</v>
      </c>
      <c r="I3167" t="inlineStr">
        <is>
          <t>entidad-dia</t>
        </is>
      </c>
    </row>
    <row r="3168">
      <c r="A3168" t="inlineStr">
        <is>
          <t>PRAGMA</t>
        </is>
      </c>
      <c r="B3168" t="inlineStr">
        <is>
          <t>M1</t>
        </is>
      </c>
      <c r="C3168" t="inlineStr">
        <is>
          <t>Cali</t>
        </is>
      </c>
      <c r="D3168" t="inlineStr">
        <is>
          <t>5778</t>
        </is>
      </c>
      <c r="E3168" t="inlineStr">
        <is>
          <t>pagado</t>
        </is>
      </c>
      <c r="F3168" s="23" t="n">
        <v>46266</v>
      </c>
      <c r="G3168" s="24">
        <f>F3168-DATE(2026,8,31)</f>
        <v>1</v>
      </c>
      <c r="H3168" s="25" t="n">
        <v>0</v>
      </c>
      <c r="I3168" t="inlineStr">
        <is>
          <t>entidad-dia</t>
        </is>
      </c>
    </row>
    <row r="3169">
      <c r="A3169" t="inlineStr">
        <is>
          <t>PRAGMA</t>
        </is>
      </c>
      <c r="B3169" t="inlineStr">
        <is>
          <t>M1</t>
        </is>
      </c>
      <c r="C3169" t="inlineStr">
        <is>
          <t>Cali</t>
        </is>
      </c>
      <c r="D3169" t="inlineStr">
        <is>
          <t>5778</t>
        </is>
      </c>
      <c r="E3169" t="inlineStr">
        <is>
          <t>pagado</t>
        </is>
      </c>
      <c r="F3169" s="23" t="n">
        <v>46267</v>
      </c>
      <c r="G3169" s="24">
        <f>F3169-DATE(2026,8,31)</f>
        <v>2</v>
      </c>
      <c r="H3169" s="25" t="n">
        <v>0</v>
      </c>
      <c r="I3169" t="inlineStr">
        <is>
          <t>entidad-dia</t>
        </is>
      </c>
    </row>
    <row r="3170">
      <c r="A3170" t="inlineStr">
        <is>
          <t>PRAGMA</t>
        </is>
      </c>
      <c r="B3170" t="inlineStr">
        <is>
          <t>M1</t>
        </is>
      </c>
      <c r="C3170" t="inlineStr">
        <is>
          <t>Cali</t>
        </is>
      </c>
      <c r="D3170" t="inlineStr">
        <is>
          <t>5778</t>
        </is>
      </c>
      <c r="E3170" t="inlineStr">
        <is>
          <t>pagado</t>
        </is>
      </c>
      <c r="F3170" s="23" t="n">
        <v>46268</v>
      </c>
      <c r="G3170" s="24">
        <f>F3170-DATE(2026,8,31)</f>
        <v>3</v>
      </c>
      <c r="H3170" s="25" t="n">
        <v>0</v>
      </c>
      <c r="I3170" t="inlineStr">
        <is>
          <t>entidad-dia</t>
        </is>
      </c>
    </row>
    <row r="3171">
      <c r="A3171" t="inlineStr">
        <is>
          <t>PRAGMA</t>
        </is>
      </c>
      <c r="B3171" t="inlineStr">
        <is>
          <t>M1</t>
        </is>
      </c>
      <c r="C3171" t="inlineStr">
        <is>
          <t>Cali</t>
        </is>
      </c>
      <c r="D3171" t="inlineStr">
        <is>
          <t>5778</t>
        </is>
      </c>
      <c r="E3171" t="inlineStr">
        <is>
          <t>pagado</t>
        </is>
      </c>
      <c r="F3171" s="23" t="n">
        <v>46269</v>
      </c>
      <c r="G3171" s="24">
        <f>F3171-DATE(2026,8,31)</f>
        <v>4</v>
      </c>
      <c r="H3171" s="25" t="n">
        <v>0</v>
      </c>
      <c r="I3171" t="inlineStr">
        <is>
          <t>entidad-dia</t>
        </is>
      </c>
    </row>
    <row r="3172">
      <c r="A3172" t="inlineStr">
        <is>
          <t>PRAGMA</t>
        </is>
      </c>
      <c r="B3172" t="inlineStr">
        <is>
          <t>M1</t>
        </is>
      </c>
      <c r="C3172" t="inlineStr">
        <is>
          <t>Cali</t>
        </is>
      </c>
      <c r="D3172" t="inlineStr">
        <is>
          <t>5778</t>
        </is>
      </c>
      <c r="E3172" t="inlineStr">
        <is>
          <t>pagado</t>
        </is>
      </c>
      <c r="F3172" s="23" t="n">
        <v>46270</v>
      </c>
      <c r="G3172" s="24">
        <f>F3172-DATE(2026,8,31)</f>
        <v>5</v>
      </c>
      <c r="H3172" s="25" t="n">
        <v>0</v>
      </c>
      <c r="I3172" t="inlineStr">
        <is>
          <t>entidad-dia</t>
        </is>
      </c>
    </row>
    <row r="3173">
      <c r="A3173" t="inlineStr">
        <is>
          <t>PRAGMA</t>
        </is>
      </c>
      <c r="B3173" t="inlineStr">
        <is>
          <t>M1</t>
        </is>
      </c>
      <c r="C3173" t="inlineStr">
        <is>
          <t>Cali</t>
        </is>
      </c>
      <c r="D3173" t="inlineStr">
        <is>
          <t>5778</t>
        </is>
      </c>
      <c r="E3173" t="inlineStr">
        <is>
          <t>pagado</t>
        </is>
      </c>
      <c r="F3173" s="23" t="n">
        <v>46271</v>
      </c>
      <c r="G3173" s="24">
        <f>F3173-DATE(2026,8,31)</f>
        <v>6</v>
      </c>
      <c r="H3173" s="25" t="n">
        <v>0</v>
      </c>
      <c r="I3173" t="inlineStr">
        <is>
          <t>entidad-dia</t>
        </is>
      </c>
    </row>
    <row r="3174">
      <c r="A3174" t="inlineStr">
        <is>
          <t>PRAGMA</t>
        </is>
      </c>
      <c r="B3174" t="inlineStr">
        <is>
          <t>M1</t>
        </is>
      </c>
      <c r="C3174" t="inlineStr">
        <is>
          <t>Cali</t>
        </is>
      </c>
      <c r="D3174" t="inlineStr">
        <is>
          <t>5778</t>
        </is>
      </c>
      <c r="E3174" t="inlineStr">
        <is>
          <t>pagado</t>
        </is>
      </c>
      <c r="F3174" s="23" t="n">
        <v>46272</v>
      </c>
      <c r="G3174" s="24">
        <f>F3174-DATE(2026,8,31)</f>
        <v>7</v>
      </c>
      <c r="H3174" s="25" t="n">
        <v>0</v>
      </c>
      <c r="I3174" t="inlineStr">
        <is>
          <t>entidad-dia</t>
        </is>
      </c>
    </row>
    <row r="3175">
      <c r="A3175" t="inlineStr">
        <is>
          <t>PRAGMA</t>
        </is>
      </c>
      <c r="B3175" t="inlineStr">
        <is>
          <t>M1</t>
        </is>
      </c>
      <c r="C3175" t="inlineStr">
        <is>
          <t>Cali</t>
        </is>
      </c>
      <c r="D3175" t="inlineStr">
        <is>
          <t>5778</t>
        </is>
      </c>
      <c r="E3175" t="inlineStr">
        <is>
          <t>pagado</t>
        </is>
      </c>
      <c r="F3175" s="23" t="n">
        <v>46273</v>
      </c>
      <c r="G3175" s="24">
        <f>F3175-DATE(2026,8,31)</f>
        <v>8</v>
      </c>
      <c r="H3175" s="25" t="n">
        <v>0</v>
      </c>
      <c r="I3175" t="inlineStr">
        <is>
          <t>entidad-dia</t>
        </is>
      </c>
    </row>
    <row r="3176">
      <c r="A3176" t="inlineStr">
        <is>
          <t>PRAGMA</t>
        </is>
      </c>
      <c r="B3176" t="inlineStr">
        <is>
          <t>M1</t>
        </is>
      </c>
      <c r="C3176" t="inlineStr">
        <is>
          <t>Cali</t>
        </is>
      </c>
      <c r="D3176" t="inlineStr">
        <is>
          <t>5778</t>
        </is>
      </c>
      <c r="E3176" t="inlineStr">
        <is>
          <t>pagado</t>
        </is>
      </c>
      <c r="F3176" s="23" t="n">
        <v>46274</v>
      </c>
      <c r="G3176" s="24">
        <f>F3176-DATE(2026,8,31)</f>
        <v>9</v>
      </c>
      <c r="H3176" s="25" t="n">
        <v>0</v>
      </c>
      <c r="I3176" t="inlineStr">
        <is>
          <t>entidad-dia</t>
        </is>
      </c>
    </row>
    <row r="3177">
      <c r="A3177" t="inlineStr">
        <is>
          <t>PRAGMA</t>
        </is>
      </c>
      <c r="B3177" t="inlineStr">
        <is>
          <t>M1</t>
        </is>
      </c>
      <c r="C3177" t="inlineStr">
        <is>
          <t>Cali</t>
        </is>
      </c>
      <c r="D3177" t="inlineStr">
        <is>
          <t>5778</t>
        </is>
      </c>
      <c r="E3177" t="inlineStr">
        <is>
          <t>pagado</t>
        </is>
      </c>
      <c r="F3177" s="23" t="n">
        <v>46275</v>
      </c>
      <c r="G3177" s="24">
        <f>F3177-DATE(2026,8,31)</f>
        <v>10</v>
      </c>
      <c r="H3177" s="25" t="n">
        <v>0</v>
      </c>
      <c r="I3177" t="inlineStr">
        <is>
          <t>entidad-dia</t>
        </is>
      </c>
    </row>
    <row r="3178">
      <c r="A3178" t="inlineStr">
        <is>
          <t>PRAGMA</t>
        </is>
      </c>
      <c r="B3178" t="inlineStr">
        <is>
          <t>M1</t>
        </is>
      </c>
      <c r="C3178" t="inlineStr">
        <is>
          <t>Cali</t>
        </is>
      </c>
      <c r="D3178" t="inlineStr">
        <is>
          <t>5778</t>
        </is>
      </c>
      <c r="E3178" t="inlineStr">
        <is>
          <t>pagado</t>
        </is>
      </c>
      <c r="F3178" s="23" t="n">
        <v>46276</v>
      </c>
      <c r="G3178" s="24">
        <f>F3178-DATE(2026,8,31)</f>
        <v>11</v>
      </c>
      <c r="H3178" s="25" t="n">
        <v>0</v>
      </c>
      <c r="I3178" t="inlineStr">
        <is>
          <t>entidad-dia</t>
        </is>
      </c>
    </row>
    <row r="3179">
      <c r="A3179" t="inlineStr">
        <is>
          <t>PRAGMA</t>
        </is>
      </c>
      <c r="B3179" t="inlineStr">
        <is>
          <t>M1</t>
        </is>
      </c>
      <c r="C3179" t="inlineStr">
        <is>
          <t>Cali</t>
        </is>
      </c>
      <c r="D3179" t="inlineStr">
        <is>
          <t>5778</t>
        </is>
      </c>
      <c r="E3179" t="inlineStr">
        <is>
          <t>pagado</t>
        </is>
      </c>
      <c r="F3179" s="23" t="n">
        <v>46277</v>
      </c>
      <c r="G3179" s="24">
        <f>F3179-DATE(2026,8,31)</f>
        <v>12</v>
      </c>
      <c r="H3179" s="25" t="n">
        <v>0</v>
      </c>
      <c r="I3179" t="inlineStr">
        <is>
          <t>entidad-dia</t>
        </is>
      </c>
    </row>
    <row r="3180">
      <c r="A3180" t="inlineStr">
        <is>
          <t>PRAGMA</t>
        </is>
      </c>
      <c r="B3180" t="inlineStr">
        <is>
          <t>M1</t>
        </is>
      </c>
      <c r="C3180" t="inlineStr">
        <is>
          <t>Cali</t>
        </is>
      </c>
      <c r="D3180" t="inlineStr">
        <is>
          <t>5778</t>
        </is>
      </c>
      <c r="E3180" t="inlineStr">
        <is>
          <t>pagado</t>
        </is>
      </c>
      <c r="F3180" s="23" t="n">
        <v>46278</v>
      </c>
      <c r="G3180" s="24">
        <f>F3180-DATE(2026,8,31)</f>
        <v>13</v>
      </c>
      <c r="H3180" s="25" t="n">
        <v>0</v>
      </c>
      <c r="I3180" t="inlineStr">
        <is>
          <t>entidad-dia</t>
        </is>
      </c>
    </row>
    <row r="3181">
      <c r="A3181" t="inlineStr">
        <is>
          <t>PRAGMA</t>
        </is>
      </c>
      <c r="B3181" t="inlineStr">
        <is>
          <t>M1</t>
        </is>
      </c>
      <c r="C3181" t="inlineStr">
        <is>
          <t>Cali</t>
        </is>
      </c>
      <c r="D3181" t="inlineStr">
        <is>
          <t>5778</t>
        </is>
      </c>
      <c r="E3181" t="inlineStr">
        <is>
          <t>pagado</t>
        </is>
      </c>
      <c r="F3181" s="23" t="n">
        <v>46279</v>
      </c>
      <c r="G3181" s="24">
        <f>F3181-DATE(2026,8,31)</f>
        <v>14</v>
      </c>
      <c r="H3181" s="25" t="n">
        <v>0</v>
      </c>
      <c r="I3181" t="inlineStr">
        <is>
          <t>entidad-dia</t>
        </is>
      </c>
    </row>
    <row r="3182">
      <c r="A3182" t="inlineStr">
        <is>
          <t>PRAGMA</t>
        </is>
      </c>
      <c r="B3182" t="inlineStr">
        <is>
          <t>M1</t>
        </is>
      </c>
      <c r="C3182" t="inlineStr">
        <is>
          <t>Cali</t>
        </is>
      </c>
      <c r="D3182" t="inlineStr">
        <is>
          <t>5778</t>
        </is>
      </c>
      <c r="E3182" t="inlineStr">
        <is>
          <t>pagado</t>
        </is>
      </c>
      <c r="F3182" s="23" t="n">
        <v>46280</v>
      </c>
      <c r="G3182" s="24">
        <f>F3182-DATE(2026,8,31)</f>
        <v>15</v>
      </c>
      <c r="H3182" s="25" t="n">
        <v>0</v>
      </c>
      <c r="I3182" t="inlineStr">
        <is>
          <t>entidad-dia</t>
        </is>
      </c>
    </row>
    <row r="3183">
      <c r="A3183" t="inlineStr">
        <is>
          <t>PRAGMA</t>
        </is>
      </c>
      <c r="B3183" t="inlineStr">
        <is>
          <t>M1</t>
        </is>
      </c>
      <c r="C3183" t="inlineStr">
        <is>
          <t>Cali</t>
        </is>
      </c>
      <c r="D3183" t="inlineStr">
        <is>
          <t>5792</t>
        </is>
      </c>
      <c r="E3183" t="inlineStr">
        <is>
          <t>pagado</t>
        </is>
      </c>
      <c r="F3183" s="23" t="n">
        <v>46266</v>
      </c>
      <c r="G3183" s="24">
        <f>F3183-DATE(2026,8,31)</f>
        <v>1</v>
      </c>
      <c r="H3183" s="25" t="n">
        <v>136297353</v>
      </c>
      <c r="I3183" t="inlineStr">
        <is>
          <t>entidad-dia</t>
        </is>
      </c>
    </row>
    <row r="3184">
      <c r="A3184" t="inlineStr">
        <is>
          <t>PRAGMA</t>
        </is>
      </c>
      <c r="B3184" t="inlineStr">
        <is>
          <t>M1</t>
        </is>
      </c>
      <c r="C3184" t="inlineStr">
        <is>
          <t>Cali</t>
        </is>
      </c>
      <c r="D3184" t="inlineStr">
        <is>
          <t>5792</t>
        </is>
      </c>
      <c r="E3184" t="inlineStr">
        <is>
          <t>pagado</t>
        </is>
      </c>
      <c r="F3184" s="23" t="n">
        <v>46267</v>
      </c>
      <c r="G3184" s="24">
        <f>F3184-DATE(2026,8,31)</f>
        <v>2</v>
      </c>
      <c r="H3184" s="25" t="n">
        <v>96904754</v>
      </c>
      <c r="I3184" t="inlineStr">
        <is>
          <t>entidad-dia</t>
        </is>
      </c>
    </row>
    <row r="3185">
      <c r="A3185" t="inlineStr">
        <is>
          <t>PRAGMA</t>
        </is>
      </c>
      <c r="B3185" t="inlineStr">
        <is>
          <t>M1</t>
        </is>
      </c>
      <c r="C3185" t="inlineStr">
        <is>
          <t>Cali</t>
        </is>
      </c>
      <c r="D3185" t="inlineStr">
        <is>
          <t>5792</t>
        </is>
      </c>
      <c r="E3185" t="inlineStr">
        <is>
          <t>pagado</t>
        </is>
      </c>
      <c r="F3185" s="23" t="n">
        <v>46268</v>
      </c>
      <c r="G3185" s="24">
        <f>F3185-DATE(2026,8,31)</f>
        <v>3</v>
      </c>
      <c r="H3185" s="25" t="n">
        <v>88064583</v>
      </c>
      <c r="I3185" t="inlineStr">
        <is>
          <t>entidad-dia</t>
        </is>
      </c>
    </row>
    <row r="3186">
      <c r="A3186" t="inlineStr">
        <is>
          <t>PRAGMA</t>
        </is>
      </c>
      <c r="B3186" t="inlineStr">
        <is>
          <t>M1</t>
        </is>
      </c>
      <c r="C3186" t="inlineStr">
        <is>
          <t>Cali</t>
        </is>
      </c>
      <c r="D3186" t="inlineStr">
        <is>
          <t>5792</t>
        </is>
      </c>
      <c r="E3186" t="inlineStr">
        <is>
          <t>pagado</t>
        </is>
      </c>
      <c r="F3186" s="23" t="n">
        <v>46269</v>
      </c>
      <c r="G3186" s="24">
        <f>F3186-DATE(2026,8,31)</f>
        <v>4</v>
      </c>
      <c r="H3186" s="25" t="n">
        <v>89832651</v>
      </c>
      <c r="I3186" t="inlineStr">
        <is>
          <t>entidad-dia</t>
        </is>
      </c>
    </row>
    <row r="3187">
      <c r="A3187" t="inlineStr">
        <is>
          <t>PRAGMA</t>
        </is>
      </c>
      <c r="B3187" t="inlineStr">
        <is>
          <t>M1</t>
        </is>
      </c>
      <c r="C3187" t="inlineStr">
        <is>
          <t>Cali</t>
        </is>
      </c>
      <c r="D3187" t="inlineStr">
        <is>
          <t>5792</t>
        </is>
      </c>
      <c r="E3187" t="inlineStr">
        <is>
          <t>pagado</t>
        </is>
      </c>
      <c r="F3187" s="23" t="n">
        <v>46270</v>
      </c>
      <c r="G3187" s="24">
        <f>F3187-DATE(2026,8,31)</f>
        <v>5</v>
      </c>
      <c r="H3187" s="25" t="n">
        <v>94402437</v>
      </c>
      <c r="I3187" t="inlineStr">
        <is>
          <t>entidad-dia</t>
        </is>
      </c>
    </row>
    <row r="3188">
      <c r="A3188" t="inlineStr">
        <is>
          <t>PRAGMA</t>
        </is>
      </c>
      <c r="B3188" t="inlineStr">
        <is>
          <t>M1</t>
        </is>
      </c>
      <c r="C3188" t="inlineStr">
        <is>
          <t>Cali</t>
        </is>
      </c>
      <c r="D3188" t="inlineStr">
        <is>
          <t>5792</t>
        </is>
      </c>
      <c r="E3188" t="inlineStr">
        <is>
          <t>pagado</t>
        </is>
      </c>
      <c r="F3188" s="23" t="n">
        <v>46271</v>
      </c>
      <c r="G3188" s="24">
        <f>F3188-DATE(2026,8,31)</f>
        <v>6</v>
      </c>
      <c r="H3188" s="25" t="n">
        <v>70973331</v>
      </c>
      <c r="I3188" t="inlineStr">
        <is>
          <t>entidad-dia</t>
        </is>
      </c>
    </row>
    <row r="3189">
      <c r="A3189" t="inlineStr">
        <is>
          <t>PRAGMA</t>
        </is>
      </c>
      <c r="B3189" t="inlineStr">
        <is>
          <t>M1</t>
        </is>
      </c>
      <c r="C3189" t="inlineStr">
        <is>
          <t>Cali</t>
        </is>
      </c>
      <c r="D3189" t="inlineStr">
        <is>
          <t>5792</t>
        </is>
      </c>
      <c r="E3189" t="inlineStr">
        <is>
          <t>pagado</t>
        </is>
      </c>
      <c r="F3189" s="23" t="n">
        <v>46272</v>
      </c>
      <c r="G3189" s="24">
        <f>F3189-DATE(2026,8,31)</f>
        <v>7</v>
      </c>
      <c r="H3189" s="25" t="n">
        <v>70869660</v>
      </c>
      <c r="I3189" t="inlineStr">
        <is>
          <t>entidad-dia</t>
        </is>
      </c>
    </row>
    <row r="3190">
      <c r="A3190" t="inlineStr">
        <is>
          <t>PRAGMA</t>
        </is>
      </c>
      <c r="B3190" t="inlineStr">
        <is>
          <t>M1</t>
        </is>
      </c>
      <c r="C3190" t="inlineStr">
        <is>
          <t>Cali</t>
        </is>
      </c>
      <c r="D3190" t="inlineStr">
        <is>
          <t>5792</t>
        </is>
      </c>
      <c r="E3190" t="inlineStr">
        <is>
          <t>pagado</t>
        </is>
      </c>
      <c r="F3190" s="23" t="n">
        <v>46273</v>
      </c>
      <c r="G3190" s="24">
        <f>F3190-DATE(2026,8,31)</f>
        <v>8</v>
      </c>
      <c r="H3190" s="25" t="n">
        <v>66659629</v>
      </c>
      <c r="I3190" t="inlineStr">
        <is>
          <t>entidad-dia</t>
        </is>
      </c>
    </row>
    <row r="3191">
      <c r="A3191" t="inlineStr">
        <is>
          <t>PRAGMA</t>
        </is>
      </c>
      <c r="B3191" t="inlineStr">
        <is>
          <t>M1</t>
        </is>
      </c>
      <c r="C3191" t="inlineStr">
        <is>
          <t>Cali</t>
        </is>
      </c>
      <c r="D3191" t="inlineStr">
        <is>
          <t>5792</t>
        </is>
      </c>
      <c r="E3191" t="inlineStr">
        <is>
          <t>pagado</t>
        </is>
      </c>
      <c r="F3191" s="23" t="n">
        <v>46274</v>
      </c>
      <c r="G3191" s="24">
        <f>F3191-DATE(2026,8,31)</f>
        <v>9</v>
      </c>
      <c r="H3191" s="25" t="n">
        <v>66361312</v>
      </c>
      <c r="I3191" t="inlineStr">
        <is>
          <t>entidad-dia</t>
        </is>
      </c>
    </row>
    <row r="3192">
      <c r="A3192" t="inlineStr">
        <is>
          <t>PRAGMA</t>
        </is>
      </c>
      <c r="B3192" t="inlineStr">
        <is>
          <t>M1</t>
        </is>
      </c>
      <c r="C3192" t="inlineStr">
        <is>
          <t>Cali</t>
        </is>
      </c>
      <c r="D3192" t="inlineStr">
        <is>
          <t>5792</t>
        </is>
      </c>
      <c r="E3192" t="inlineStr">
        <is>
          <t>pagado</t>
        </is>
      </c>
      <c r="F3192" s="23" t="n">
        <v>46275</v>
      </c>
      <c r="G3192" s="24">
        <f>F3192-DATE(2026,8,31)</f>
        <v>10</v>
      </c>
      <c r="H3192" s="25" t="n">
        <v>55480910</v>
      </c>
      <c r="I3192" t="inlineStr">
        <is>
          <t>entidad-dia</t>
        </is>
      </c>
    </row>
    <row r="3193">
      <c r="A3193" t="inlineStr">
        <is>
          <t>PRAGMA</t>
        </is>
      </c>
      <c r="B3193" t="inlineStr">
        <is>
          <t>M1</t>
        </is>
      </c>
      <c r="C3193" t="inlineStr">
        <is>
          <t>Cali</t>
        </is>
      </c>
      <c r="D3193" t="inlineStr">
        <is>
          <t>5792</t>
        </is>
      </c>
      <c r="E3193" t="inlineStr">
        <is>
          <t>pagado</t>
        </is>
      </c>
      <c r="F3193" s="23" t="n">
        <v>46276</v>
      </c>
      <c r="G3193" s="24">
        <f>F3193-DATE(2026,8,31)</f>
        <v>11</v>
      </c>
      <c r="H3193" s="25" t="n">
        <v>50077105</v>
      </c>
      <c r="I3193" t="inlineStr">
        <is>
          <t>entidad-dia</t>
        </is>
      </c>
    </row>
    <row r="3194">
      <c r="A3194" t="inlineStr">
        <is>
          <t>PRAGMA</t>
        </is>
      </c>
      <c r="B3194" t="inlineStr">
        <is>
          <t>M1</t>
        </is>
      </c>
      <c r="C3194" t="inlineStr">
        <is>
          <t>Cali</t>
        </is>
      </c>
      <c r="D3194" t="inlineStr">
        <is>
          <t>5792</t>
        </is>
      </c>
      <c r="E3194" t="inlineStr">
        <is>
          <t>pagado</t>
        </is>
      </c>
      <c r="F3194" s="23" t="n">
        <v>46277</v>
      </c>
      <c r="G3194" s="24">
        <f>F3194-DATE(2026,8,31)</f>
        <v>12</v>
      </c>
      <c r="H3194" s="25" t="n">
        <v>64267266</v>
      </c>
      <c r="I3194" t="inlineStr">
        <is>
          <t>entidad-dia</t>
        </is>
      </c>
    </row>
    <row r="3195">
      <c r="A3195" t="inlineStr">
        <is>
          <t>PRAGMA</t>
        </is>
      </c>
      <c r="B3195" t="inlineStr">
        <is>
          <t>M1</t>
        </is>
      </c>
      <c r="C3195" t="inlineStr">
        <is>
          <t>Cali</t>
        </is>
      </c>
      <c r="D3195" t="inlineStr">
        <is>
          <t>5792</t>
        </is>
      </c>
      <c r="E3195" t="inlineStr">
        <is>
          <t>pagado</t>
        </is>
      </c>
      <c r="F3195" s="23" t="n">
        <v>46278</v>
      </c>
      <c r="G3195" s="24">
        <f>F3195-DATE(2026,8,31)</f>
        <v>13</v>
      </c>
      <c r="H3195" s="25" t="n">
        <v>47092514</v>
      </c>
      <c r="I3195" t="inlineStr">
        <is>
          <t>entidad-dia</t>
        </is>
      </c>
    </row>
    <row r="3196">
      <c r="A3196" t="inlineStr">
        <is>
          <t>PRAGMA</t>
        </is>
      </c>
      <c r="B3196" t="inlineStr">
        <is>
          <t>M1</t>
        </is>
      </c>
      <c r="C3196" t="inlineStr">
        <is>
          <t>Cali</t>
        </is>
      </c>
      <c r="D3196" t="inlineStr">
        <is>
          <t>5792</t>
        </is>
      </c>
      <c r="E3196" t="inlineStr">
        <is>
          <t>pagado</t>
        </is>
      </c>
      <c r="F3196" s="23" t="n">
        <v>46279</v>
      </c>
      <c r="G3196" s="24">
        <f>F3196-DATE(2026,8,31)</f>
        <v>14</v>
      </c>
      <c r="H3196" s="25" t="n">
        <v>67778325</v>
      </c>
      <c r="I3196" t="inlineStr">
        <is>
          <t>entidad-dia</t>
        </is>
      </c>
    </row>
    <row r="3197">
      <c r="A3197" t="inlineStr">
        <is>
          <t>PRAGMA</t>
        </is>
      </c>
      <c r="B3197" t="inlineStr">
        <is>
          <t>M1</t>
        </is>
      </c>
      <c r="C3197" t="inlineStr">
        <is>
          <t>Cali</t>
        </is>
      </c>
      <c r="D3197" t="inlineStr">
        <is>
          <t>5792</t>
        </is>
      </c>
      <c r="E3197" t="inlineStr">
        <is>
          <t>pagado</t>
        </is>
      </c>
      <c r="F3197" s="23" t="n">
        <v>46280</v>
      </c>
      <c r="G3197" s="24">
        <f>F3197-DATE(2026,8,31)</f>
        <v>15</v>
      </c>
      <c r="H3197" s="25" t="n">
        <v>112671196</v>
      </c>
      <c r="I3197" t="inlineStr">
        <is>
          <t>entidad-dia</t>
        </is>
      </c>
    </row>
    <row r="3198">
      <c r="A3198" t="inlineStr">
        <is>
          <t>PRAGMA</t>
        </is>
      </c>
      <c r="B3198" t="inlineStr">
        <is>
          <t>M1</t>
        </is>
      </c>
      <c r="C3198" t="inlineStr">
        <is>
          <t>Cali</t>
        </is>
      </c>
      <c r="D3198" t="inlineStr">
        <is>
          <t>5793</t>
        </is>
      </c>
      <c r="E3198" t="inlineStr">
        <is>
          <t>pagado</t>
        </is>
      </c>
      <c r="F3198" s="23" t="n">
        <v>46266</v>
      </c>
      <c r="G3198" s="24">
        <f>F3198-DATE(2026,8,31)</f>
        <v>1</v>
      </c>
      <c r="H3198" s="25" t="n">
        <v>232032458</v>
      </c>
      <c r="I3198" t="inlineStr">
        <is>
          <t>entidad-dia</t>
        </is>
      </c>
    </row>
    <row r="3199">
      <c r="A3199" t="inlineStr">
        <is>
          <t>PRAGMA</t>
        </is>
      </c>
      <c r="B3199" t="inlineStr">
        <is>
          <t>M1</t>
        </is>
      </c>
      <c r="C3199" t="inlineStr">
        <is>
          <t>Cali</t>
        </is>
      </c>
      <c r="D3199" t="inlineStr">
        <is>
          <t>5793</t>
        </is>
      </c>
      <c r="E3199" t="inlineStr">
        <is>
          <t>pagado</t>
        </is>
      </c>
      <c r="F3199" s="23" t="n">
        <v>46267</v>
      </c>
      <c r="G3199" s="24">
        <f>F3199-DATE(2026,8,31)</f>
        <v>2</v>
      </c>
      <c r="H3199" s="25" t="n">
        <v>181286577</v>
      </c>
      <c r="I3199" t="inlineStr">
        <is>
          <t>entidad-dia</t>
        </is>
      </c>
    </row>
    <row r="3200">
      <c r="A3200" t="inlineStr">
        <is>
          <t>PRAGMA</t>
        </is>
      </c>
      <c r="B3200" t="inlineStr">
        <is>
          <t>M1</t>
        </is>
      </c>
      <c r="C3200" t="inlineStr">
        <is>
          <t>Cali</t>
        </is>
      </c>
      <c r="D3200" t="inlineStr">
        <is>
          <t>5793</t>
        </is>
      </c>
      <c r="E3200" t="inlineStr">
        <is>
          <t>pagado</t>
        </is>
      </c>
      <c r="F3200" s="23" t="n">
        <v>46268</v>
      </c>
      <c r="G3200" s="24">
        <f>F3200-DATE(2026,8,31)</f>
        <v>3</v>
      </c>
      <c r="H3200" s="25" t="n">
        <v>165041230</v>
      </c>
      <c r="I3200" t="inlineStr">
        <is>
          <t>entidad-dia</t>
        </is>
      </c>
    </row>
    <row r="3201">
      <c r="A3201" t="inlineStr">
        <is>
          <t>PRAGMA</t>
        </is>
      </c>
      <c r="B3201" t="inlineStr">
        <is>
          <t>M1</t>
        </is>
      </c>
      <c r="C3201" t="inlineStr">
        <is>
          <t>Cali</t>
        </is>
      </c>
      <c r="D3201" t="inlineStr">
        <is>
          <t>5793</t>
        </is>
      </c>
      <c r="E3201" t="inlineStr">
        <is>
          <t>pagado</t>
        </is>
      </c>
      <c r="F3201" s="23" t="n">
        <v>46269</v>
      </c>
      <c r="G3201" s="24">
        <f>F3201-DATE(2026,8,31)</f>
        <v>4</v>
      </c>
      <c r="H3201" s="25" t="n">
        <v>184572229</v>
      </c>
      <c r="I3201" t="inlineStr">
        <is>
          <t>entidad-dia</t>
        </is>
      </c>
    </row>
    <row r="3202">
      <c r="A3202" t="inlineStr">
        <is>
          <t>PRAGMA</t>
        </is>
      </c>
      <c r="B3202" t="inlineStr">
        <is>
          <t>M1</t>
        </is>
      </c>
      <c r="C3202" t="inlineStr">
        <is>
          <t>Cali</t>
        </is>
      </c>
      <c r="D3202" t="inlineStr">
        <is>
          <t>5793</t>
        </is>
      </c>
      <c r="E3202" t="inlineStr">
        <is>
          <t>pagado</t>
        </is>
      </c>
      <c r="F3202" s="23" t="n">
        <v>46270</v>
      </c>
      <c r="G3202" s="24">
        <f>F3202-DATE(2026,8,31)</f>
        <v>5</v>
      </c>
      <c r="H3202" s="25" t="n">
        <v>171335283</v>
      </c>
      <c r="I3202" t="inlineStr">
        <is>
          <t>entidad-dia</t>
        </is>
      </c>
    </row>
    <row r="3203">
      <c r="A3203" t="inlineStr">
        <is>
          <t>PRAGMA</t>
        </is>
      </c>
      <c r="B3203" t="inlineStr">
        <is>
          <t>M1</t>
        </is>
      </c>
      <c r="C3203" t="inlineStr">
        <is>
          <t>Cali</t>
        </is>
      </c>
      <c r="D3203" t="inlineStr">
        <is>
          <t>5793</t>
        </is>
      </c>
      <c r="E3203" t="inlineStr">
        <is>
          <t>pagado</t>
        </is>
      </c>
      <c r="F3203" s="23" t="n">
        <v>46271</v>
      </c>
      <c r="G3203" s="24">
        <f>F3203-DATE(2026,8,31)</f>
        <v>6</v>
      </c>
      <c r="H3203" s="25" t="n">
        <v>122034308</v>
      </c>
      <c r="I3203" t="inlineStr">
        <is>
          <t>entidad-dia</t>
        </is>
      </c>
    </row>
    <row r="3204">
      <c r="A3204" t="inlineStr">
        <is>
          <t>PRAGMA</t>
        </is>
      </c>
      <c r="B3204" t="inlineStr">
        <is>
          <t>M1</t>
        </is>
      </c>
      <c r="C3204" t="inlineStr">
        <is>
          <t>Cali</t>
        </is>
      </c>
      <c r="D3204" t="inlineStr">
        <is>
          <t>5793</t>
        </is>
      </c>
      <c r="E3204" t="inlineStr">
        <is>
          <t>pagado</t>
        </is>
      </c>
      <c r="F3204" s="23" t="n">
        <v>46272</v>
      </c>
      <c r="G3204" s="24">
        <f>F3204-DATE(2026,8,31)</f>
        <v>7</v>
      </c>
      <c r="H3204" s="25" t="n">
        <v>120882043</v>
      </c>
      <c r="I3204" t="inlineStr">
        <is>
          <t>entidad-dia</t>
        </is>
      </c>
    </row>
    <row r="3205">
      <c r="A3205" t="inlineStr">
        <is>
          <t>PRAGMA</t>
        </is>
      </c>
      <c r="B3205" t="inlineStr">
        <is>
          <t>M1</t>
        </is>
      </c>
      <c r="C3205" t="inlineStr">
        <is>
          <t>Cali</t>
        </is>
      </c>
      <c r="D3205" t="inlineStr">
        <is>
          <t>5793</t>
        </is>
      </c>
      <c r="E3205" t="inlineStr">
        <is>
          <t>pagado</t>
        </is>
      </c>
      <c r="F3205" s="23" t="n">
        <v>46273</v>
      </c>
      <c r="G3205" s="24">
        <f>F3205-DATE(2026,8,31)</f>
        <v>8</v>
      </c>
      <c r="H3205" s="25" t="n">
        <v>137206921</v>
      </c>
      <c r="I3205" t="inlineStr">
        <is>
          <t>entidad-dia</t>
        </is>
      </c>
    </row>
    <row r="3206">
      <c r="A3206" t="inlineStr">
        <is>
          <t>PRAGMA</t>
        </is>
      </c>
      <c r="B3206" t="inlineStr">
        <is>
          <t>M1</t>
        </is>
      </c>
      <c r="C3206" t="inlineStr">
        <is>
          <t>Cali</t>
        </is>
      </c>
      <c r="D3206" t="inlineStr">
        <is>
          <t>5793</t>
        </is>
      </c>
      <c r="E3206" t="inlineStr">
        <is>
          <t>pagado</t>
        </is>
      </c>
      <c r="F3206" s="23" t="n">
        <v>46274</v>
      </c>
      <c r="G3206" s="24">
        <f>F3206-DATE(2026,8,31)</f>
        <v>9</v>
      </c>
      <c r="H3206" s="25" t="n">
        <v>129761811</v>
      </c>
      <c r="I3206" t="inlineStr">
        <is>
          <t>entidad-dia</t>
        </is>
      </c>
    </row>
    <row r="3207">
      <c r="A3207" t="inlineStr">
        <is>
          <t>PRAGMA</t>
        </is>
      </c>
      <c r="B3207" t="inlineStr">
        <is>
          <t>M1</t>
        </is>
      </c>
      <c r="C3207" t="inlineStr">
        <is>
          <t>Cali</t>
        </is>
      </c>
      <c r="D3207" t="inlineStr">
        <is>
          <t>5793</t>
        </is>
      </c>
      <c r="E3207" t="inlineStr">
        <is>
          <t>pagado</t>
        </is>
      </c>
      <c r="F3207" s="23" t="n">
        <v>46275</v>
      </c>
      <c r="G3207" s="24">
        <f>F3207-DATE(2026,8,31)</f>
        <v>10</v>
      </c>
      <c r="H3207" s="25" t="n">
        <v>114347205</v>
      </c>
      <c r="I3207" t="inlineStr">
        <is>
          <t>entidad-dia</t>
        </is>
      </c>
    </row>
    <row r="3208">
      <c r="A3208" t="inlineStr">
        <is>
          <t>PRAGMA</t>
        </is>
      </c>
      <c r="B3208" t="inlineStr">
        <is>
          <t>M1</t>
        </is>
      </c>
      <c r="C3208" t="inlineStr">
        <is>
          <t>Cali</t>
        </is>
      </c>
      <c r="D3208" t="inlineStr">
        <is>
          <t>5793</t>
        </is>
      </c>
      <c r="E3208" t="inlineStr">
        <is>
          <t>pagado</t>
        </is>
      </c>
      <c r="F3208" s="23" t="n">
        <v>46276</v>
      </c>
      <c r="G3208" s="24">
        <f>F3208-DATE(2026,8,31)</f>
        <v>11</v>
      </c>
      <c r="H3208" s="25" t="n">
        <v>137861518</v>
      </c>
      <c r="I3208" t="inlineStr">
        <is>
          <t>entidad-dia</t>
        </is>
      </c>
    </row>
    <row r="3209">
      <c r="A3209" t="inlineStr">
        <is>
          <t>PRAGMA</t>
        </is>
      </c>
      <c r="B3209" t="inlineStr">
        <is>
          <t>M1</t>
        </is>
      </c>
      <c r="C3209" t="inlineStr">
        <is>
          <t>Cali</t>
        </is>
      </c>
      <c r="D3209" t="inlineStr">
        <is>
          <t>5793</t>
        </is>
      </c>
      <c r="E3209" t="inlineStr">
        <is>
          <t>pagado</t>
        </is>
      </c>
      <c r="F3209" s="23" t="n">
        <v>46277</v>
      </c>
      <c r="G3209" s="24">
        <f>F3209-DATE(2026,8,31)</f>
        <v>12</v>
      </c>
      <c r="H3209" s="25" t="n">
        <v>140366571</v>
      </c>
      <c r="I3209" t="inlineStr">
        <is>
          <t>entidad-dia</t>
        </is>
      </c>
    </row>
    <row r="3210">
      <c r="A3210" t="inlineStr">
        <is>
          <t>PRAGMA</t>
        </is>
      </c>
      <c r="B3210" t="inlineStr">
        <is>
          <t>M1</t>
        </is>
      </c>
      <c r="C3210" t="inlineStr">
        <is>
          <t>Cali</t>
        </is>
      </c>
      <c r="D3210" t="inlineStr">
        <is>
          <t>5793</t>
        </is>
      </c>
      <c r="E3210" t="inlineStr">
        <is>
          <t>pagado</t>
        </is>
      </c>
      <c r="F3210" s="23" t="n">
        <v>46278</v>
      </c>
      <c r="G3210" s="24">
        <f>F3210-DATE(2026,8,31)</f>
        <v>13</v>
      </c>
      <c r="H3210" s="25" t="n">
        <v>92226980</v>
      </c>
      <c r="I3210" t="inlineStr">
        <is>
          <t>entidad-dia</t>
        </is>
      </c>
    </row>
    <row r="3211">
      <c r="A3211" t="inlineStr">
        <is>
          <t>PRAGMA</t>
        </is>
      </c>
      <c r="B3211" t="inlineStr">
        <is>
          <t>M1</t>
        </is>
      </c>
      <c r="C3211" t="inlineStr">
        <is>
          <t>Cali</t>
        </is>
      </c>
      <c r="D3211" t="inlineStr">
        <is>
          <t>5793</t>
        </is>
      </c>
      <c r="E3211" t="inlineStr">
        <is>
          <t>pagado</t>
        </is>
      </c>
      <c r="F3211" s="23" t="n">
        <v>46279</v>
      </c>
      <c r="G3211" s="24">
        <f>F3211-DATE(2026,8,31)</f>
        <v>14</v>
      </c>
      <c r="H3211" s="25" t="n">
        <v>127472531</v>
      </c>
      <c r="I3211" t="inlineStr">
        <is>
          <t>entidad-dia</t>
        </is>
      </c>
    </row>
    <row r="3212">
      <c r="A3212" t="inlineStr">
        <is>
          <t>PRAGMA</t>
        </is>
      </c>
      <c r="B3212" t="inlineStr">
        <is>
          <t>M1</t>
        </is>
      </c>
      <c r="C3212" t="inlineStr">
        <is>
          <t>Cali</t>
        </is>
      </c>
      <c r="D3212" t="inlineStr">
        <is>
          <t>5793</t>
        </is>
      </c>
      <c r="E3212" t="inlineStr">
        <is>
          <t>pagado</t>
        </is>
      </c>
      <c r="F3212" s="23" t="n">
        <v>46280</v>
      </c>
      <c r="G3212" s="24">
        <f>F3212-DATE(2026,8,31)</f>
        <v>15</v>
      </c>
      <c r="H3212" s="25" t="n">
        <v>171422612</v>
      </c>
      <c r="I3212" t="inlineStr">
        <is>
          <t>entidad-dia</t>
        </is>
      </c>
    </row>
    <row r="3213">
      <c r="A3213" t="inlineStr">
        <is>
          <t>PRAGMA</t>
        </is>
      </c>
      <c r="B3213" t="inlineStr">
        <is>
          <t>M1</t>
        </is>
      </c>
      <c r="C3213" t="inlineStr">
        <is>
          <t>Cali</t>
        </is>
      </c>
      <c r="D3213" t="inlineStr">
        <is>
          <t>5794</t>
        </is>
      </c>
      <c r="E3213" t="inlineStr">
        <is>
          <t>pagado</t>
        </is>
      </c>
      <c r="F3213" s="23" t="n">
        <v>46266</v>
      </c>
      <c r="G3213" s="24">
        <f>F3213-DATE(2026,8,31)</f>
        <v>1</v>
      </c>
      <c r="H3213" s="25" t="n">
        <v>185489239</v>
      </c>
      <c r="I3213" t="inlineStr">
        <is>
          <t>entidad-dia</t>
        </is>
      </c>
    </row>
    <row r="3214">
      <c r="A3214" t="inlineStr">
        <is>
          <t>PRAGMA</t>
        </is>
      </c>
      <c r="B3214" t="inlineStr">
        <is>
          <t>M1</t>
        </is>
      </c>
      <c r="C3214" t="inlineStr">
        <is>
          <t>Cali</t>
        </is>
      </c>
      <c r="D3214" t="inlineStr">
        <is>
          <t>5794</t>
        </is>
      </c>
      <c r="E3214" t="inlineStr">
        <is>
          <t>pagado</t>
        </is>
      </c>
      <c r="F3214" s="23" t="n">
        <v>46267</v>
      </c>
      <c r="G3214" s="24">
        <f>F3214-DATE(2026,8,31)</f>
        <v>2</v>
      </c>
      <c r="H3214" s="25" t="n">
        <v>148464527</v>
      </c>
      <c r="I3214" t="inlineStr">
        <is>
          <t>entidad-dia</t>
        </is>
      </c>
    </row>
    <row r="3215">
      <c r="A3215" t="inlineStr">
        <is>
          <t>PRAGMA</t>
        </is>
      </c>
      <c r="B3215" t="inlineStr">
        <is>
          <t>M1</t>
        </is>
      </c>
      <c r="C3215" t="inlineStr">
        <is>
          <t>Cali</t>
        </is>
      </c>
      <c r="D3215" t="inlineStr">
        <is>
          <t>5794</t>
        </is>
      </c>
      <c r="E3215" t="inlineStr">
        <is>
          <t>pagado</t>
        </is>
      </c>
      <c r="F3215" s="23" t="n">
        <v>46268</v>
      </c>
      <c r="G3215" s="24">
        <f>F3215-DATE(2026,8,31)</f>
        <v>3</v>
      </c>
      <c r="H3215" s="25" t="n">
        <v>128881386</v>
      </c>
      <c r="I3215" t="inlineStr">
        <is>
          <t>entidad-dia</t>
        </is>
      </c>
    </row>
    <row r="3216">
      <c r="A3216" t="inlineStr">
        <is>
          <t>PRAGMA</t>
        </is>
      </c>
      <c r="B3216" t="inlineStr">
        <is>
          <t>M1</t>
        </is>
      </c>
      <c r="C3216" t="inlineStr">
        <is>
          <t>Cali</t>
        </is>
      </c>
      <c r="D3216" t="inlineStr">
        <is>
          <t>5794</t>
        </is>
      </c>
      <c r="E3216" t="inlineStr">
        <is>
          <t>pagado</t>
        </is>
      </c>
      <c r="F3216" s="23" t="n">
        <v>46269</v>
      </c>
      <c r="G3216" s="24">
        <f>F3216-DATE(2026,8,31)</f>
        <v>4</v>
      </c>
      <c r="H3216" s="25" t="n">
        <v>135683869</v>
      </c>
      <c r="I3216" t="inlineStr">
        <is>
          <t>entidad-dia</t>
        </is>
      </c>
    </row>
    <row r="3217">
      <c r="A3217" t="inlineStr">
        <is>
          <t>PRAGMA</t>
        </is>
      </c>
      <c r="B3217" t="inlineStr">
        <is>
          <t>M1</t>
        </is>
      </c>
      <c r="C3217" t="inlineStr">
        <is>
          <t>Cali</t>
        </is>
      </c>
      <c r="D3217" t="inlineStr">
        <is>
          <t>5794</t>
        </is>
      </c>
      <c r="E3217" t="inlineStr">
        <is>
          <t>pagado</t>
        </is>
      </c>
      <c r="F3217" s="23" t="n">
        <v>46270</v>
      </c>
      <c r="G3217" s="24">
        <f>F3217-DATE(2026,8,31)</f>
        <v>5</v>
      </c>
      <c r="H3217" s="25" t="n">
        <v>148067257</v>
      </c>
      <c r="I3217" t="inlineStr">
        <is>
          <t>entidad-dia</t>
        </is>
      </c>
    </row>
    <row r="3218">
      <c r="A3218" t="inlineStr">
        <is>
          <t>PRAGMA</t>
        </is>
      </c>
      <c r="B3218" t="inlineStr">
        <is>
          <t>M1</t>
        </is>
      </c>
      <c r="C3218" t="inlineStr">
        <is>
          <t>Cali</t>
        </is>
      </c>
      <c r="D3218" t="inlineStr">
        <is>
          <t>5794</t>
        </is>
      </c>
      <c r="E3218" t="inlineStr">
        <is>
          <t>pagado</t>
        </is>
      </c>
      <c r="F3218" s="23" t="n">
        <v>46271</v>
      </c>
      <c r="G3218" s="24">
        <f>F3218-DATE(2026,8,31)</f>
        <v>6</v>
      </c>
      <c r="H3218" s="25" t="n">
        <v>82936561</v>
      </c>
      <c r="I3218" t="inlineStr">
        <is>
          <t>entidad-dia</t>
        </is>
      </c>
    </row>
    <row r="3219">
      <c r="A3219" t="inlineStr">
        <is>
          <t>PRAGMA</t>
        </is>
      </c>
      <c r="B3219" t="inlineStr">
        <is>
          <t>M1</t>
        </is>
      </c>
      <c r="C3219" t="inlineStr">
        <is>
          <t>Cali</t>
        </is>
      </c>
      <c r="D3219" t="inlineStr">
        <is>
          <t>5794</t>
        </is>
      </c>
      <c r="E3219" t="inlineStr">
        <is>
          <t>pagado</t>
        </is>
      </c>
      <c r="F3219" s="23" t="n">
        <v>46272</v>
      </c>
      <c r="G3219" s="24">
        <f>F3219-DATE(2026,8,31)</f>
        <v>7</v>
      </c>
      <c r="H3219" s="25" t="n">
        <v>103952910</v>
      </c>
      <c r="I3219" t="inlineStr">
        <is>
          <t>entidad-dia</t>
        </is>
      </c>
    </row>
    <row r="3220">
      <c r="A3220" t="inlineStr">
        <is>
          <t>PRAGMA</t>
        </is>
      </c>
      <c r="B3220" t="inlineStr">
        <is>
          <t>M1</t>
        </is>
      </c>
      <c r="C3220" t="inlineStr">
        <is>
          <t>Cali</t>
        </is>
      </c>
      <c r="D3220" t="inlineStr">
        <is>
          <t>5794</t>
        </is>
      </c>
      <c r="E3220" t="inlineStr">
        <is>
          <t>pagado</t>
        </is>
      </c>
      <c r="F3220" s="23" t="n">
        <v>46273</v>
      </c>
      <c r="G3220" s="24">
        <f>F3220-DATE(2026,8,31)</f>
        <v>8</v>
      </c>
      <c r="H3220" s="25" t="n">
        <v>101302560</v>
      </c>
      <c r="I3220" t="inlineStr">
        <is>
          <t>entidad-dia</t>
        </is>
      </c>
    </row>
    <row r="3221">
      <c r="A3221" t="inlineStr">
        <is>
          <t>PRAGMA</t>
        </is>
      </c>
      <c r="B3221" t="inlineStr">
        <is>
          <t>M1</t>
        </is>
      </c>
      <c r="C3221" t="inlineStr">
        <is>
          <t>Cali</t>
        </is>
      </c>
      <c r="D3221" t="inlineStr">
        <is>
          <t>5794</t>
        </is>
      </c>
      <c r="E3221" t="inlineStr">
        <is>
          <t>pagado</t>
        </is>
      </c>
      <c r="F3221" s="23" t="n">
        <v>46274</v>
      </c>
      <c r="G3221" s="24">
        <f>F3221-DATE(2026,8,31)</f>
        <v>9</v>
      </c>
      <c r="H3221" s="25" t="n">
        <v>104304579</v>
      </c>
      <c r="I3221" t="inlineStr">
        <is>
          <t>entidad-dia</t>
        </is>
      </c>
    </row>
    <row r="3222">
      <c r="A3222" t="inlineStr">
        <is>
          <t>PRAGMA</t>
        </is>
      </c>
      <c r="B3222" t="inlineStr">
        <is>
          <t>M1</t>
        </is>
      </c>
      <c r="C3222" t="inlineStr">
        <is>
          <t>Cali</t>
        </is>
      </c>
      <c r="D3222" t="inlineStr">
        <is>
          <t>5794</t>
        </is>
      </c>
      <c r="E3222" t="inlineStr">
        <is>
          <t>pagado</t>
        </is>
      </c>
      <c r="F3222" s="23" t="n">
        <v>46275</v>
      </c>
      <c r="G3222" s="24">
        <f>F3222-DATE(2026,8,31)</f>
        <v>10</v>
      </c>
      <c r="H3222" s="25" t="n">
        <v>91188128</v>
      </c>
      <c r="I3222" t="inlineStr">
        <is>
          <t>entidad-dia</t>
        </is>
      </c>
    </row>
    <row r="3223">
      <c r="A3223" t="inlineStr">
        <is>
          <t>PRAGMA</t>
        </is>
      </c>
      <c r="B3223" t="inlineStr">
        <is>
          <t>M1</t>
        </is>
      </c>
      <c r="C3223" t="inlineStr">
        <is>
          <t>Cali</t>
        </is>
      </c>
      <c r="D3223" t="inlineStr">
        <is>
          <t>5794</t>
        </is>
      </c>
      <c r="E3223" t="inlineStr">
        <is>
          <t>pagado</t>
        </is>
      </c>
      <c r="F3223" s="23" t="n">
        <v>46276</v>
      </c>
      <c r="G3223" s="24">
        <f>F3223-DATE(2026,8,31)</f>
        <v>11</v>
      </c>
      <c r="H3223" s="25" t="n">
        <v>101019508</v>
      </c>
      <c r="I3223" t="inlineStr">
        <is>
          <t>entidad-dia</t>
        </is>
      </c>
    </row>
    <row r="3224">
      <c r="A3224" t="inlineStr">
        <is>
          <t>PRAGMA</t>
        </is>
      </c>
      <c r="B3224" t="inlineStr">
        <is>
          <t>M1</t>
        </is>
      </c>
      <c r="C3224" t="inlineStr">
        <is>
          <t>Cali</t>
        </is>
      </c>
      <c r="D3224" t="inlineStr">
        <is>
          <t>5794</t>
        </is>
      </c>
      <c r="E3224" t="inlineStr">
        <is>
          <t>pagado</t>
        </is>
      </c>
      <c r="F3224" s="23" t="n">
        <v>46277</v>
      </c>
      <c r="G3224" s="24">
        <f>F3224-DATE(2026,8,31)</f>
        <v>12</v>
      </c>
      <c r="H3224" s="25" t="n">
        <v>119647162</v>
      </c>
      <c r="I3224" t="inlineStr">
        <is>
          <t>entidad-dia</t>
        </is>
      </c>
    </row>
    <row r="3225">
      <c r="A3225" t="inlineStr">
        <is>
          <t>PRAGMA</t>
        </is>
      </c>
      <c r="B3225" t="inlineStr">
        <is>
          <t>M1</t>
        </is>
      </c>
      <c r="C3225" t="inlineStr">
        <is>
          <t>Cali</t>
        </is>
      </c>
      <c r="D3225" t="inlineStr">
        <is>
          <t>5794</t>
        </is>
      </c>
      <c r="E3225" t="inlineStr">
        <is>
          <t>pagado</t>
        </is>
      </c>
      <c r="F3225" s="23" t="n">
        <v>46278</v>
      </c>
      <c r="G3225" s="24">
        <f>F3225-DATE(2026,8,31)</f>
        <v>13</v>
      </c>
      <c r="H3225" s="25" t="n">
        <v>63929311</v>
      </c>
      <c r="I3225" t="inlineStr">
        <is>
          <t>entidad-dia</t>
        </is>
      </c>
    </row>
    <row r="3226">
      <c r="A3226" t="inlineStr">
        <is>
          <t>PRAGMA</t>
        </is>
      </c>
      <c r="B3226" t="inlineStr">
        <is>
          <t>M1</t>
        </is>
      </c>
      <c r="C3226" t="inlineStr">
        <is>
          <t>Cali</t>
        </is>
      </c>
      <c r="D3226" t="inlineStr">
        <is>
          <t>5794</t>
        </is>
      </c>
      <c r="E3226" t="inlineStr">
        <is>
          <t>pagado</t>
        </is>
      </c>
      <c r="F3226" s="23" t="n">
        <v>46279</v>
      </c>
      <c r="G3226" s="24">
        <f>F3226-DATE(2026,8,31)</f>
        <v>14</v>
      </c>
      <c r="H3226" s="25" t="n">
        <v>100145366</v>
      </c>
      <c r="I3226" t="inlineStr">
        <is>
          <t>entidad-dia</t>
        </is>
      </c>
    </row>
    <row r="3227">
      <c r="A3227" t="inlineStr">
        <is>
          <t>PRAGMA</t>
        </is>
      </c>
      <c r="B3227" t="inlineStr">
        <is>
          <t>M1</t>
        </is>
      </c>
      <c r="C3227" t="inlineStr">
        <is>
          <t>Cali</t>
        </is>
      </c>
      <c r="D3227" t="inlineStr">
        <is>
          <t>5794</t>
        </is>
      </c>
      <c r="E3227" t="inlineStr">
        <is>
          <t>pagado</t>
        </is>
      </c>
      <c r="F3227" s="23" t="n">
        <v>46280</v>
      </c>
      <c r="G3227" s="24">
        <f>F3227-DATE(2026,8,31)</f>
        <v>15</v>
      </c>
      <c r="H3227" s="25" t="n">
        <v>142809599</v>
      </c>
      <c r="I3227" t="inlineStr">
        <is>
          <t>entidad-dia</t>
        </is>
      </c>
    </row>
    <row r="3228">
      <c r="A3228" t="inlineStr">
        <is>
          <t>PRAGMA</t>
        </is>
      </c>
      <c r="B3228" t="inlineStr">
        <is>
          <t>M1</t>
        </is>
      </c>
      <c r="C3228" t="inlineStr">
        <is>
          <t>Cali</t>
        </is>
      </c>
      <c r="D3228" t="inlineStr">
        <is>
          <t>5800</t>
        </is>
      </c>
      <c r="E3228" t="inlineStr">
        <is>
          <t>pagado</t>
        </is>
      </c>
      <c r="F3228" s="23" t="n">
        <v>46266</v>
      </c>
      <c r="G3228" s="24">
        <f>F3228-DATE(2026,8,31)</f>
        <v>1</v>
      </c>
      <c r="H3228" s="25" t="n">
        <v>327514854</v>
      </c>
      <c r="I3228" t="inlineStr">
        <is>
          <t>entidad-dia</t>
        </is>
      </c>
    </row>
    <row r="3229">
      <c r="A3229" t="inlineStr">
        <is>
          <t>PRAGMA</t>
        </is>
      </c>
      <c r="B3229" t="inlineStr">
        <is>
          <t>M1</t>
        </is>
      </c>
      <c r="C3229" t="inlineStr">
        <is>
          <t>Cali</t>
        </is>
      </c>
      <c r="D3229" t="inlineStr">
        <is>
          <t>5800</t>
        </is>
      </c>
      <c r="E3229" t="inlineStr">
        <is>
          <t>pagado</t>
        </is>
      </c>
      <c r="F3229" s="23" t="n">
        <v>46267</v>
      </c>
      <c r="G3229" s="24">
        <f>F3229-DATE(2026,8,31)</f>
        <v>2</v>
      </c>
      <c r="H3229" s="25" t="n">
        <v>199228498</v>
      </c>
      <c r="I3229" t="inlineStr">
        <is>
          <t>entidad-dia</t>
        </is>
      </c>
    </row>
    <row r="3230">
      <c r="A3230" t="inlineStr">
        <is>
          <t>PRAGMA</t>
        </is>
      </c>
      <c r="B3230" t="inlineStr">
        <is>
          <t>M1</t>
        </is>
      </c>
      <c r="C3230" t="inlineStr">
        <is>
          <t>Cali</t>
        </is>
      </c>
      <c r="D3230" t="inlineStr">
        <is>
          <t>5800</t>
        </is>
      </c>
      <c r="E3230" t="inlineStr">
        <is>
          <t>pagado</t>
        </is>
      </c>
      <c r="F3230" s="23" t="n">
        <v>46268</v>
      </c>
      <c r="G3230" s="24">
        <f>F3230-DATE(2026,8,31)</f>
        <v>3</v>
      </c>
      <c r="H3230" s="25" t="n">
        <v>180775683</v>
      </c>
      <c r="I3230" t="inlineStr">
        <is>
          <t>entidad-dia</t>
        </is>
      </c>
    </row>
    <row r="3231">
      <c r="A3231" t="inlineStr">
        <is>
          <t>PRAGMA</t>
        </is>
      </c>
      <c r="B3231" t="inlineStr">
        <is>
          <t>M1</t>
        </is>
      </c>
      <c r="C3231" t="inlineStr">
        <is>
          <t>Cali</t>
        </is>
      </c>
      <c r="D3231" t="inlineStr">
        <is>
          <t>5800</t>
        </is>
      </c>
      <c r="E3231" t="inlineStr">
        <is>
          <t>pagado</t>
        </is>
      </c>
      <c r="F3231" s="23" t="n">
        <v>46269</v>
      </c>
      <c r="G3231" s="24">
        <f>F3231-DATE(2026,8,31)</f>
        <v>4</v>
      </c>
      <c r="H3231" s="25" t="n">
        <v>199000432</v>
      </c>
      <c r="I3231" t="inlineStr">
        <is>
          <t>entidad-dia</t>
        </is>
      </c>
    </row>
    <row r="3232">
      <c r="A3232" t="inlineStr">
        <is>
          <t>PRAGMA</t>
        </is>
      </c>
      <c r="B3232" t="inlineStr">
        <is>
          <t>M1</t>
        </is>
      </c>
      <c r="C3232" t="inlineStr">
        <is>
          <t>Cali</t>
        </is>
      </c>
      <c r="D3232" t="inlineStr">
        <is>
          <t>5800</t>
        </is>
      </c>
      <c r="E3232" t="inlineStr">
        <is>
          <t>pagado</t>
        </is>
      </c>
      <c r="F3232" s="23" t="n">
        <v>46270</v>
      </c>
      <c r="G3232" s="24">
        <f>F3232-DATE(2026,8,31)</f>
        <v>5</v>
      </c>
      <c r="H3232" s="25" t="n">
        <v>194004499</v>
      </c>
      <c r="I3232" t="inlineStr">
        <is>
          <t>entidad-dia</t>
        </is>
      </c>
    </row>
    <row r="3233">
      <c r="A3233" t="inlineStr">
        <is>
          <t>PRAGMA</t>
        </is>
      </c>
      <c r="B3233" t="inlineStr">
        <is>
          <t>M1</t>
        </is>
      </c>
      <c r="C3233" t="inlineStr">
        <is>
          <t>Cali</t>
        </is>
      </c>
      <c r="D3233" t="inlineStr">
        <is>
          <t>5800</t>
        </is>
      </c>
      <c r="E3233" t="inlineStr">
        <is>
          <t>pagado</t>
        </is>
      </c>
      <c r="F3233" s="23" t="n">
        <v>46271</v>
      </c>
      <c r="G3233" s="24">
        <f>F3233-DATE(2026,8,31)</f>
        <v>6</v>
      </c>
      <c r="H3233" s="25" t="n">
        <v>89390061</v>
      </c>
      <c r="I3233" t="inlineStr">
        <is>
          <t>entidad-dia</t>
        </is>
      </c>
    </row>
    <row r="3234">
      <c r="A3234" t="inlineStr">
        <is>
          <t>PRAGMA</t>
        </is>
      </c>
      <c r="B3234" t="inlineStr">
        <is>
          <t>M1</t>
        </is>
      </c>
      <c r="C3234" t="inlineStr">
        <is>
          <t>Cali</t>
        </is>
      </c>
      <c r="D3234" t="inlineStr">
        <is>
          <t>5800</t>
        </is>
      </c>
      <c r="E3234" t="inlineStr">
        <is>
          <t>pagado</t>
        </is>
      </c>
      <c r="F3234" s="23" t="n">
        <v>46272</v>
      </c>
      <c r="G3234" s="24">
        <f>F3234-DATE(2026,8,31)</f>
        <v>7</v>
      </c>
      <c r="H3234" s="25" t="n">
        <v>122588455</v>
      </c>
      <c r="I3234" t="inlineStr">
        <is>
          <t>entidad-dia</t>
        </is>
      </c>
    </row>
    <row r="3235">
      <c r="A3235" t="inlineStr">
        <is>
          <t>PRAGMA</t>
        </is>
      </c>
      <c r="B3235" t="inlineStr">
        <is>
          <t>M1</t>
        </is>
      </c>
      <c r="C3235" t="inlineStr">
        <is>
          <t>Cali</t>
        </is>
      </c>
      <c r="D3235" t="inlineStr">
        <is>
          <t>5800</t>
        </is>
      </c>
      <c r="E3235" t="inlineStr">
        <is>
          <t>pagado</t>
        </is>
      </c>
      <c r="F3235" s="23" t="n">
        <v>46273</v>
      </c>
      <c r="G3235" s="24">
        <f>F3235-DATE(2026,8,31)</f>
        <v>8</v>
      </c>
      <c r="H3235" s="25" t="n">
        <v>91117628</v>
      </c>
      <c r="I3235" t="inlineStr">
        <is>
          <t>entidad-dia</t>
        </is>
      </c>
    </row>
    <row r="3236">
      <c r="A3236" t="inlineStr">
        <is>
          <t>PRAGMA</t>
        </is>
      </c>
      <c r="B3236" t="inlineStr">
        <is>
          <t>M1</t>
        </is>
      </c>
      <c r="C3236" t="inlineStr">
        <is>
          <t>Cali</t>
        </is>
      </c>
      <c r="D3236" t="inlineStr">
        <is>
          <t>5800</t>
        </is>
      </c>
      <c r="E3236" t="inlineStr">
        <is>
          <t>pagado</t>
        </is>
      </c>
      <c r="F3236" s="23" t="n">
        <v>46274</v>
      </c>
      <c r="G3236" s="24">
        <f>F3236-DATE(2026,8,31)</f>
        <v>9</v>
      </c>
      <c r="H3236" s="25" t="n">
        <v>94765443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F3237-DATE(2026,8,31)</f>
        <v>10</v>
      </c>
      <c r="H3237" s="25" t="n">
        <v>89720310</v>
      </c>
      <c r="I3237" t="inlineStr">
        <is>
          <t>entidad-dia</t>
        </is>
      </c>
    </row>
    <row r="3238">
      <c r="A3238" t="inlineStr">
        <is>
          <t>PRAGMA</t>
        </is>
      </c>
      <c r="B3238" t="inlineStr">
        <is>
          <t>M1</t>
        </is>
      </c>
      <c r="C3238" t="inlineStr">
        <is>
          <t>Cali</t>
        </is>
      </c>
      <c r="D3238" t="inlineStr">
        <is>
          <t>5800</t>
        </is>
      </c>
      <c r="E3238" t="inlineStr">
        <is>
          <t>pagado</t>
        </is>
      </c>
      <c r="F3238" s="23" t="n">
        <v>46276</v>
      </c>
      <c r="G3238" s="24">
        <f>F3238-DATE(2026,8,31)</f>
        <v>11</v>
      </c>
      <c r="H3238" s="25" t="n">
        <v>121279016</v>
      </c>
      <c r="I3238" t="inlineStr">
        <is>
          <t>entidad-dia</t>
        </is>
      </c>
    </row>
    <row r="3239">
      <c r="A3239" t="inlineStr">
        <is>
          <t>PRAGMA</t>
        </is>
      </c>
      <c r="B3239" t="inlineStr">
        <is>
          <t>M1</t>
        </is>
      </c>
      <c r="C3239" t="inlineStr">
        <is>
          <t>Cali</t>
        </is>
      </c>
      <c r="D3239" t="inlineStr">
        <is>
          <t>5800</t>
        </is>
      </c>
      <c r="E3239" t="inlineStr">
        <is>
          <t>pagado</t>
        </is>
      </c>
      <c r="F3239" s="23" t="n">
        <v>46277</v>
      </c>
      <c r="G3239" s="24">
        <f>F3239-DATE(2026,8,31)</f>
        <v>12</v>
      </c>
      <c r="H3239" s="25" t="n">
        <v>113013222</v>
      </c>
      <c r="I3239" t="inlineStr">
        <is>
          <t>entidad-dia</t>
        </is>
      </c>
    </row>
    <row r="3240">
      <c r="A3240" t="inlineStr">
        <is>
          <t>PRAGMA</t>
        </is>
      </c>
      <c r="B3240" t="inlineStr">
        <is>
          <t>M1</t>
        </is>
      </c>
      <c r="C3240" t="inlineStr">
        <is>
          <t>Cali</t>
        </is>
      </c>
      <c r="D3240" t="inlineStr">
        <is>
          <t>5800</t>
        </is>
      </c>
      <c r="E3240" t="inlineStr">
        <is>
          <t>pagado</t>
        </is>
      </c>
      <c r="F3240" s="23" t="n">
        <v>46278</v>
      </c>
      <c r="G3240" s="24">
        <f>F3240-DATE(2026,8,31)</f>
        <v>13</v>
      </c>
      <c r="H3240" s="25" t="n">
        <v>68290359</v>
      </c>
      <c r="I3240" t="inlineStr">
        <is>
          <t>entidad-dia</t>
        </is>
      </c>
    </row>
    <row r="3241">
      <c r="A3241" t="inlineStr">
        <is>
          <t>PRAGMA</t>
        </is>
      </c>
      <c r="B3241" t="inlineStr">
        <is>
          <t>M1</t>
        </is>
      </c>
      <c r="C3241" t="inlineStr">
        <is>
          <t>Cali</t>
        </is>
      </c>
      <c r="D3241" t="inlineStr">
        <is>
          <t>5800</t>
        </is>
      </c>
      <c r="E3241" t="inlineStr">
        <is>
          <t>pagado</t>
        </is>
      </c>
      <c r="F3241" s="23" t="n">
        <v>46279</v>
      </c>
      <c r="G3241" s="24">
        <f>F3241-DATE(2026,8,31)</f>
        <v>14</v>
      </c>
      <c r="H3241" s="25" t="n">
        <v>114310887</v>
      </c>
      <c r="I3241" t="inlineStr">
        <is>
          <t>entidad-dia</t>
        </is>
      </c>
    </row>
    <row r="3242">
      <c r="A3242" t="inlineStr">
        <is>
          <t>PRAGMA</t>
        </is>
      </c>
      <c r="B3242" t="inlineStr">
        <is>
          <t>M1</t>
        </is>
      </c>
      <c r="C3242" t="inlineStr">
        <is>
          <t>Cali</t>
        </is>
      </c>
      <c r="D3242" t="inlineStr">
        <is>
          <t>5800</t>
        </is>
      </c>
      <c r="E3242" t="inlineStr">
        <is>
          <t>pagado</t>
        </is>
      </c>
      <c r="F3242" s="23" t="n">
        <v>46280</v>
      </c>
      <c r="G3242" s="24">
        <f>F3242-DATE(2026,8,31)</f>
        <v>15</v>
      </c>
      <c r="H3242" s="25" t="n">
        <v>211803457</v>
      </c>
      <c r="I3242" t="inlineStr">
        <is>
          <t>entidad-dia</t>
        </is>
      </c>
    </row>
    <row r="3243">
      <c r="A3243" t="inlineStr">
        <is>
          <t>PRAGMA</t>
        </is>
      </c>
      <c r="B3243" t="inlineStr">
        <is>
          <t>M1</t>
        </is>
      </c>
      <c r="C3243" t="inlineStr">
        <is>
          <t>Cali</t>
        </is>
      </c>
      <c r="D3243" t="inlineStr">
        <is>
          <t>5829</t>
        </is>
      </c>
      <c r="E3243" t="inlineStr">
        <is>
          <t>pagado</t>
        </is>
      </c>
      <c r="F3243" s="23" t="n">
        <v>46266</v>
      </c>
      <c r="G3243" s="24">
        <f>F3243-DATE(2026,8,31)</f>
        <v>1</v>
      </c>
      <c r="H3243" s="25" t="n">
        <v>152807379</v>
      </c>
      <c r="I3243" t="inlineStr">
        <is>
          <t>entidad-dia</t>
        </is>
      </c>
    </row>
    <row r="3244">
      <c r="A3244" t="inlineStr">
        <is>
          <t>PRAGMA</t>
        </is>
      </c>
      <c r="B3244" t="inlineStr">
        <is>
          <t>M1</t>
        </is>
      </c>
      <c r="C3244" t="inlineStr">
        <is>
          <t>Cali</t>
        </is>
      </c>
      <c r="D3244" t="inlineStr">
        <is>
          <t>5829</t>
        </is>
      </c>
      <c r="E3244" t="inlineStr">
        <is>
          <t>pagado</t>
        </is>
      </c>
      <c r="F3244" s="23" t="n">
        <v>46267</v>
      </c>
      <c r="G3244" s="24">
        <f>F3244-DATE(2026,8,31)</f>
        <v>2</v>
      </c>
      <c r="H3244" s="25" t="n">
        <v>117100937</v>
      </c>
      <c r="I3244" t="inlineStr">
        <is>
          <t>entidad-dia</t>
        </is>
      </c>
    </row>
    <row r="3245">
      <c r="A3245" t="inlineStr">
        <is>
          <t>PRAGMA</t>
        </is>
      </c>
      <c r="B3245" t="inlineStr">
        <is>
          <t>M1</t>
        </is>
      </c>
      <c r="C3245" t="inlineStr">
        <is>
          <t>Cali</t>
        </is>
      </c>
      <c r="D3245" t="inlineStr">
        <is>
          <t>5829</t>
        </is>
      </c>
      <c r="E3245" t="inlineStr">
        <is>
          <t>pagado</t>
        </is>
      </c>
      <c r="F3245" s="23" t="n">
        <v>46268</v>
      </c>
      <c r="G3245" s="24">
        <f>F3245-DATE(2026,8,31)</f>
        <v>3</v>
      </c>
      <c r="H3245" s="25" t="n">
        <v>105716760</v>
      </c>
      <c r="I3245" t="inlineStr">
        <is>
          <t>entidad-dia</t>
        </is>
      </c>
    </row>
    <row r="3246">
      <c r="A3246" t="inlineStr">
        <is>
          <t>PRAGMA</t>
        </is>
      </c>
      <c r="B3246" t="inlineStr">
        <is>
          <t>M1</t>
        </is>
      </c>
      <c r="C3246" t="inlineStr">
        <is>
          <t>Cali</t>
        </is>
      </c>
      <c r="D3246" t="inlineStr">
        <is>
          <t>5829</t>
        </is>
      </c>
      <c r="E3246" t="inlineStr">
        <is>
          <t>pagado</t>
        </is>
      </c>
      <c r="F3246" s="23" t="n">
        <v>46269</v>
      </c>
      <c r="G3246" s="24">
        <f>F3246-DATE(2026,8,31)</f>
        <v>4</v>
      </c>
      <c r="H3246" s="25" t="n">
        <v>108480814</v>
      </c>
      <c r="I3246" t="inlineStr">
        <is>
          <t>entidad-dia</t>
        </is>
      </c>
    </row>
    <row r="3247">
      <c r="A3247" t="inlineStr">
        <is>
          <t>PRAGMA</t>
        </is>
      </c>
      <c r="B3247" t="inlineStr">
        <is>
          <t>M1</t>
        </is>
      </c>
      <c r="C3247" t="inlineStr">
        <is>
          <t>Cali</t>
        </is>
      </c>
      <c r="D3247" t="inlineStr">
        <is>
          <t>5829</t>
        </is>
      </c>
      <c r="E3247" t="inlineStr">
        <is>
          <t>pagado</t>
        </is>
      </c>
      <c r="F3247" s="23" t="n">
        <v>46270</v>
      </c>
      <c r="G3247" s="24">
        <f>F3247-DATE(2026,8,31)</f>
        <v>5</v>
      </c>
      <c r="H3247" s="25" t="n">
        <v>117577958</v>
      </c>
      <c r="I3247" t="inlineStr">
        <is>
          <t>entidad-dia</t>
        </is>
      </c>
    </row>
    <row r="3248">
      <c r="A3248" t="inlineStr">
        <is>
          <t>PRAGMA</t>
        </is>
      </c>
      <c r="B3248" t="inlineStr">
        <is>
          <t>M1</t>
        </is>
      </c>
      <c r="C3248" t="inlineStr">
        <is>
          <t>Cali</t>
        </is>
      </c>
      <c r="D3248" t="inlineStr">
        <is>
          <t>5829</t>
        </is>
      </c>
      <c r="E3248" t="inlineStr">
        <is>
          <t>pagado</t>
        </is>
      </c>
      <c r="F3248" s="23" t="n">
        <v>46271</v>
      </c>
      <c r="G3248" s="24">
        <f>F3248-DATE(2026,8,31)</f>
        <v>6</v>
      </c>
      <c r="H3248" s="25" t="n">
        <v>77452798</v>
      </c>
      <c r="I3248" t="inlineStr">
        <is>
          <t>entidad-dia</t>
        </is>
      </c>
    </row>
    <row r="3249">
      <c r="A3249" t="inlineStr">
        <is>
          <t>PRAGMA</t>
        </is>
      </c>
      <c r="B3249" t="inlineStr">
        <is>
          <t>M1</t>
        </is>
      </c>
      <c r="C3249" t="inlineStr">
        <is>
          <t>Cali</t>
        </is>
      </c>
      <c r="D3249" t="inlineStr">
        <is>
          <t>5829</t>
        </is>
      </c>
      <c r="E3249" t="inlineStr">
        <is>
          <t>pagado</t>
        </is>
      </c>
      <c r="F3249" s="23" t="n">
        <v>46272</v>
      </c>
      <c r="G3249" s="24">
        <f>F3249-DATE(2026,8,31)</f>
        <v>7</v>
      </c>
      <c r="H3249" s="25" t="n">
        <v>88997422</v>
      </c>
      <c r="I3249" t="inlineStr">
        <is>
          <t>entidad-dia</t>
        </is>
      </c>
    </row>
    <row r="3250">
      <c r="A3250" t="inlineStr">
        <is>
          <t>PRAGMA</t>
        </is>
      </c>
      <c r="B3250" t="inlineStr">
        <is>
          <t>M1</t>
        </is>
      </c>
      <c r="C3250" t="inlineStr">
        <is>
          <t>Cali</t>
        </is>
      </c>
      <c r="D3250" t="inlineStr">
        <is>
          <t>5829</t>
        </is>
      </c>
      <c r="E3250" t="inlineStr">
        <is>
          <t>pagado</t>
        </is>
      </c>
      <c r="F3250" s="23" t="n">
        <v>46273</v>
      </c>
      <c r="G3250" s="24">
        <f>F3250-DATE(2026,8,31)</f>
        <v>8</v>
      </c>
      <c r="H3250" s="25" t="n">
        <v>79676480</v>
      </c>
      <c r="I3250" t="inlineStr">
        <is>
          <t>entidad-dia</t>
        </is>
      </c>
    </row>
    <row r="3251">
      <c r="A3251" t="inlineStr">
        <is>
          <t>PRAGMA</t>
        </is>
      </c>
      <c r="B3251" t="inlineStr">
        <is>
          <t>M1</t>
        </is>
      </c>
      <c r="C3251" t="inlineStr">
        <is>
          <t>Cali</t>
        </is>
      </c>
      <c r="D3251" t="inlineStr">
        <is>
          <t>5829</t>
        </is>
      </c>
      <c r="E3251" t="inlineStr">
        <is>
          <t>pagado</t>
        </is>
      </c>
      <c r="F3251" s="23" t="n">
        <v>46274</v>
      </c>
      <c r="G3251" s="24">
        <f>F3251-DATE(2026,8,31)</f>
        <v>9</v>
      </c>
      <c r="H3251" s="25" t="n">
        <v>75772043</v>
      </c>
      <c r="I3251" t="inlineStr">
        <is>
          <t>entidad-dia</t>
        </is>
      </c>
    </row>
    <row r="3252">
      <c r="A3252" t="inlineStr">
        <is>
          <t>PRAGMA</t>
        </is>
      </c>
      <c r="B3252" t="inlineStr">
        <is>
          <t>M1</t>
        </is>
      </c>
      <c r="C3252" t="inlineStr">
        <is>
          <t>Cali</t>
        </is>
      </c>
      <c r="D3252" t="inlineStr">
        <is>
          <t>5829</t>
        </is>
      </c>
      <c r="E3252" t="inlineStr">
        <is>
          <t>pagado</t>
        </is>
      </c>
      <c r="F3252" s="23" t="n">
        <v>46275</v>
      </c>
      <c r="G3252" s="24">
        <f>F3252-DATE(2026,8,31)</f>
        <v>10</v>
      </c>
      <c r="H3252" s="25" t="n">
        <v>73878388</v>
      </c>
      <c r="I3252" t="inlineStr">
        <is>
          <t>entidad-dia</t>
        </is>
      </c>
    </row>
    <row r="3253">
      <c r="A3253" t="inlineStr">
        <is>
          <t>PRAGMA</t>
        </is>
      </c>
      <c r="B3253" t="inlineStr">
        <is>
          <t>M1</t>
        </is>
      </c>
      <c r="C3253" t="inlineStr">
        <is>
          <t>Cali</t>
        </is>
      </c>
      <c r="D3253" t="inlineStr">
        <is>
          <t>5829</t>
        </is>
      </c>
      <c r="E3253" t="inlineStr">
        <is>
          <t>pagado</t>
        </is>
      </c>
      <c r="F3253" s="23" t="n">
        <v>46276</v>
      </c>
      <c r="G3253" s="24">
        <f>F3253-DATE(2026,8,31)</f>
        <v>11</v>
      </c>
      <c r="H3253" s="25" t="n">
        <v>87003405</v>
      </c>
      <c r="I3253" t="inlineStr">
        <is>
          <t>entidad-dia</t>
        </is>
      </c>
    </row>
    <row r="3254">
      <c r="A3254" t="inlineStr">
        <is>
          <t>PRAGMA</t>
        </is>
      </c>
      <c r="B3254" t="inlineStr">
        <is>
          <t>M1</t>
        </is>
      </c>
      <c r="C3254" t="inlineStr">
        <is>
          <t>Cali</t>
        </is>
      </c>
      <c r="D3254" t="inlineStr">
        <is>
          <t>5829</t>
        </is>
      </c>
      <c r="E3254" t="inlineStr">
        <is>
          <t>pagado</t>
        </is>
      </c>
      <c r="F3254" s="23" t="n">
        <v>46277</v>
      </c>
      <c r="G3254" s="24">
        <f>F3254-DATE(2026,8,31)</f>
        <v>12</v>
      </c>
      <c r="H3254" s="25" t="n">
        <v>86801799</v>
      </c>
      <c r="I3254" t="inlineStr">
        <is>
          <t>entidad-dia</t>
        </is>
      </c>
    </row>
    <row r="3255">
      <c r="A3255" t="inlineStr">
        <is>
          <t>PRAGMA</t>
        </is>
      </c>
      <c r="B3255" t="inlineStr">
        <is>
          <t>M1</t>
        </is>
      </c>
      <c r="C3255" t="inlineStr">
        <is>
          <t>Cali</t>
        </is>
      </c>
      <c r="D3255" t="inlineStr">
        <is>
          <t>5829</t>
        </is>
      </c>
      <c r="E3255" t="inlineStr">
        <is>
          <t>pagado</t>
        </is>
      </c>
      <c r="F3255" s="23" t="n">
        <v>46278</v>
      </c>
      <c r="G3255" s="24">
        <f>F3255-DATE(2026,8,31)</f>
        <v>13</v>
      </c>
      <c r="H3255" s="25" t="n">
        <v>61375245</v>
      </c>
      <c r="I3255" t="inlineStr">
        <is>
          <t>entidad-dia</t>
        </is>
      </c>
    </row>
    <row r="3256">
      <c r="A3256" t="inlineStr">
        <is>
          <t>PRAGMA</t>
        </is>
      </c>
      <c r="B3256" t="inlineStr">
        <is>
          <t>M1</t>
        </is>
      </c>
      <c r="C3256" t="inlineStr">
        <is>
          <t>Cali</t>
        </is>
      </c>
      <c r="D3256" t="inlineStr">
        <is>
          <t>5829</t>
        </is>
      </c>
      <c r="E3256" t="inlineStr">
        <is>
          <t>pagado</t>
        </is>
      </c>
      <c r="F3256" s="23" t="n">
        <v>46279</v>
      </c>
      <c r="G3256" s="24">
        <f>F3256-DATE(2026,8,31)</f>
        <v>14</v>
      </c>
      <c r="H3256" s="25" t="n">
        <v>83687959</v>
      </c>
      <c r="I3256" t="inlineStr">
        <is>
          <t>entidad-dia</t>
        </is>
      </c>
    </row>
    <row r="3257">
      <c r="A3257" t="inlineStr">
        <is>
          <t>PRAGMA</t>
        </is>
      </c>
      <c r="B3257" t="inlineStr">
        <is>
          <t>M1</t>
        </is>
      </c>
      <c r="C3257" t="inlineStr">
        <is>
          <t>Cali</t>
        </is>
      </c>
      <c r="D3257" t="inlineStr">
        <is>
          <t>5829</t>
        </is>
      </c>
      <c r="E3257" t="inlineStr">
        <is>
          <t>pagado</t>
        </is>
      </c>
      <c r="F3257" s="23" t="n">
        <v>46280</v>
      </c>
      <c r="G3257" s="24">
        <f>F3257-DATE(2026,8,31)</f>
        <v>15</v>
      </c>
      <c r="H3257" s="25" t="n">
        <v>105019706</v>
      </c>
      <c r="I3257" t="inlineStr">
        <is>
          <t>entidad-dia</t>
        </is>
      </c>
    </row>
    <row r="3258">
      <c r="A3258" t="inlineStr">
        <is>
          <t>PRAGMA</t>
        </is>
      </c>
      <c r="B3258" t="inlineStr">
        <is>
          <t>M1</t>
        </is>
      </c>
      <c r="C3258" t="inlineStr">
        <is>
          <t>Cali</t>
        </is>
      </c>
      <c r="D3258" t="inlineStr">
        <is>
          <t>5830</t>
        </is>
      </c>
      <c r="E3258" t="inlineStr">
        <is>
          <t>pagado</t>
        </is>
      </c>
      <c r="F3258" s="23" t="n">
        <v>46266</v>
      </c>
      <c r="G3258" s="24">
        <f>F3258-DATE(2026,8,31)</f>
        <v>1</v>
      </c>
      <c r="H3258" s="25" t="n">
        <v>143397083</v>
      </c>
      <c r="I3258" t="inlineStr">
        <is>
          <t>entidad-dia</t>
        </is>
      </c>
    </row>
    <row r="3259">
      <c r="A3259" t="inlineStr">
        <is>
          <t>PRAGMA</t>
        </is>
      </c>
      <c r="B3259" t="inlineStr">
        <is>
          <t>M1</t>
        </is>
      </c>
      <c r="C3259" t="inlineStr">
        <is>
          <t>Cali</t>
        </is>
      </c>
      <c r="D3259" t="inlineStr">
        <is>
          <t>5830</t>
        </is>
      </c>
      <c r="E3259" t="inlineStr">
        <is>
          <t>pagado</t>
        </is>
      </c>
      <c r="F3259" s="23" t="n">
        <v>46267</v>
      </c>
      <c r="G3259" s="24">
        <f>F3259-DATE(2026,8,31)</f>
        <v>2</v>
      </c>
      <c r="H3259" s="25" t="n">
        <v>112026688</v>
      </c>
      <c r="I3259" t="inlineStr">
        <is>
          <t>entidad-dia</t>
        </is>
      </c>
    </row>
    <row r="3260">
      <c r="A3260" t="inlineStr">
        <is>
          <t>PRAGMA</t>
        </is>
      </c>
      <c r="B3260" t="inlineStr">
        <is>
          <t>M1</t>
        </is>
      </c>
      <c r="C3260" t="inlineStr">
        <is>
          <t>Cali</t>
        </is>
      </c>
      <c r="D3260" t="inlineStr">
        <is>
          <t>5830</t>
        </is>
      </c>
      <c r="E3260" t="inlineStr">
        <is>
          <t>pagado</t>
        </is>
      </c>
      <c r="F3260" s="23" t="n">
        <v>46268</v>
      </c>
      <c r="G3260" s="24">
        <f>F3260-DATE(2026,8,31)</f>
        <v>3</v>
      </c>
      <c r="H3260" s="25" t="n">
        <v>100705455</v>
      </c>
      <c r="I3260" t="inlineStr">
        <is>
          <t>entidad-dia</t>
        </is>
      </c>
    </row>
    <row r="3261">
      <c r="A3261" t="inlineStr">
        <is>
          <t>PRAGMA</t>
        </is>
      </c>
      <c r="B3261" t="inlineStr">
        <is>
          <t>M1</t>
        </is>
      </c>
      <c r="C3261" t="inlineStr">
        <is>
          <t>Cali</t>
        </is>
      </c>
      <c r="D3261" t="inlineStr">
        <is>
          <t>5830</t>
        </is>
      </c>
      <c r="E3261" t="inlineStr">
        <is>
          <t>pagado</t>
        </is>
      </c>
      <c r="F3261" s="23" t="n">
        <v>46269</v>
      </c>
      <c r="G3261" s="24">
        <f>F3261-DATE(2026,8,31)</f>
        <v>4</v>
      </c>
      <c r="H3261" s="25" t="n">
        <v>95640667</v>
      </c>
      <c r="I3261" t="inlineStr">
        <is>
          <t>entidad-dia</t>
        </is>
      </c>
    </row>
    <row r="3262">
      <c r="A3262" t="inlineStr">
        <is>
          <t>PRAGMA</t>
        </is>
      </c>
      <c r="B3262" t="inlineStr">
        <is>
          <t>M1</t>
        </is>
      </c>
      <c r="C3262" t="inlineStr">
        <is>
          <t>Cali</t>
        </is>
      </c>
      <c r="D3262" t="inlineStr">
        <is>
          <t>5830</t>
        </is>
      </c>
      <c r="E3262" t="inlineStr">
        <is>
          <t>pagado</t>
        </is>
      </c>
      <c r="F3262" s="23" t="n">
        <v>46270</v>
      </c>
      <c r="G3262" s="24">
        <f>F3262-DATE(2026,8,31)</f>
        <v>5</v>
      </c>
      <c r="H3262" s="25" t="n">
        <v>96890374</v>
      </c>
      <c r="I3262" t="inlineStr">
        <is>
          <t>entidad-dia</t>
        </is>
      </c>
    </row>
    <row r="3263">
      <c r="A3263" t="inlineStr">
        <is>
          <t>PRAGMA</t>
        </is>
      </c>
      <c r="B3263" t="inlineStr">
        <is>
          <t>M1</t>
        </is>
      </c>
      <c r="C3263" t="inlineStr">
        <is>
          <t>Cali</t>
        </is>
      </c>
      <c r="D3263" t="inlineStr">
        <is>
          <t>5830</t>
        </is>
      </c>
      <c r="E3263" t="inlineStr">
        <is>
          <t>pagado</t>
        </is>
      </c>
      <c r="F3263" s="23" t="n">
        <v>46271</v>
      </c>
      <c r="G3263" s="24">
        <f>F3263-DATE(2026,8,31)</f>
        <v>6</v>
      </c>
      <c r="H3263" s="25" t="n">
        <v>68729955</v>
      </c>
      <c r="I3263" t="inlineStr">
        <is>
          <t>entidad-dia</t>
        </is>
      </c>
    </row>
    <row r="3264">
      <c r="A3264" t="inlineStr">
        <is>
          <t>PRAGMA</t>
        </is>
      </c>
      <c r="B3264" t="inlineStr">
        <is>
          <t>M1</t>
        </is>
      </c>
      <c r="C3264" t="inlineStr">
        <is>
          <t>Cali</t>
        </is>
      </c>
      <c r="D3264" t="inlineStr">
        <is>
          <t>5830</t>
        </is>
      </c>
      <c r="E3264" t="inlineStr">
        <is>
          <t>pagado</t>
        </is>
      </c>
      <c r="F3264" s="23" t="n">
        <v>46272</v>
      </c>
      <c r="G3264" s="24">
        <f>F3264-DATE(2026,8,31)</f>
        <v>7</v>
      </c>
      <c r="H3264" s="25" t="n">
        <v>75137006</v>
      </c>
      <c r="I3264" t="inlineStr">
        <is>
          <t>entidad-dia</t>
        </is>
      </c>
    </row>
    <row r="3265">
      <c r="A3265" t="inlineStr">
        <is>
          <t>PRAGMA</t>
        </is>
      </c>
      <c r="B3265" t="inlineStr">
        <is>
          <t>M1</t>
        </is>
      </c>
      <c r="C3265" t="inlineStr">
        <is>
          <t>Cali</t>
        </is>
      </c>
      <c r="D3265" t="inlineStr">
        <is>
          <t>5830</t>
        </is>
      </c>
      <c r="E3265" t="inlineStr">
        <is>
          <t>pagado</t>
        </is>
      </c>
      <c r="F3265" s="23" t="n">
        <v>46273</v>
      </c>
      <c r="G3265" s="24">
        <f>F3265-DATE(2026,8,31)</f>
        <v>8</v>
      </c>
      <c r="H3265" s="25" t="n">
        <v>70614576</v>
      </c>
      <c r="I3265" t="inlineStr">
        <is>
          <t>entidad-dia</t>
        </is>
      </c>
    </row>
    <row r="3266">
      <c r="A3266" t="inlineStr">
        <is>
          <t>PRAGMA</t>
        </is>
      </c>
      <c r="B3266" t="inlineStr">
        <is>
          <t>M1</t>
        </is>
      </c>
      <c r="C3266" t="inlineStr">
        <is>
          <t>Cali</t>
        </is>
      </c>
      <c r="D3266" t="inlineStr">
        <is>
          <t>5830</t>
        </is>
      </c>
      <c r="E3266" t="inlineStr">
        <is>
          <t>pagado</t>
        </is>
      </c>
      <c r="F3266" s="23" t="n">
        <v>46274</v>
      </c>
      <c r="G3266" s="24">
        <f>F3266-DATE(2026,8,31)</f>
        <v>9</v>
      </c>
      <c r="H3266" s="25" t="n">
        <v>75605173</v>
      </c>
      <c r="I3266" t="inlineStr">
        <is>
          <t>entidad-dia</t>
        </is>
      </c>
    </row>
    <row r="3267">
      <c r="A3267" t="inlineStr">
        <is>
          <t>PRAGMA</t>
        </is>
      </c>
      <c r="B3267" t="inlineStr">
        <is>
          <t>M1</t>
        </is>
      </c>
      <c r="C3267" t="inlineStr">
        <is>
          <t>Cali</t>
        </is>
      </c>
      <c r="D3267" t="inlineStr">
        <is>
          <t>5830</t>
        </is>
      </c>
      <c r="E3267" t="inlineStr">
        <is>
          <t>pagado</t>
        </is>
      </c>
      <c r="F3267" s="23" t="n">
        <v>46275</v>
      </c>
      <c r="G3267" s="24">
        <f>F3267-DATE(2026,8,31)</f>
        <v>10</v>
      </c>
      <c r="H3267" s="25" t="n">
        <v>72544868</v>
      </c>
      <c r="I3267" t="inlineStr">
        <is>
          <t>entidad-dia</t>
        </is>
      </c>
    </row>
    <row r="3268">
      <c r="A3268" t="inlineStr">
        <is>
          <t>PRAGMA</t>
        </is>
      </c>
      <c r="B3268" t="inlineStr">
        <is>
          <t>M1</t>
        </is>
      </c>
      <c r="C3268" t="inlineStr">
        <is>
          <t>Cali</t>
        </is>
      </c>
      <c r="D3268" t="inlineStr">
        <is>
          <t>5830</t>
        </is>
      </c>
      <c r="E3268" t="inlineStr">
        <is>
          <t>pagado</t>
        </is>
      </c>
      <c r="F3268" s="23" t="n">
        <v>46276</v>
      </c>
      <c r="G3268" s="24">
        <f>F3268-DATE(2026,8,31)</f>
        <v>11</v>
      </c>
      <c r="H3268" s="25" t="n">
        <v>70114720</v>
      </c>
      <c r="I3268" t="inlineStr">
        <is>
          <t>entidad-dia</t>
        </is>
      </c>
    </row>
    <row r="3269">
      <c r="A3269" t="inlineStr">
        <is>
          <t>PRAGMA</t>
        </is>
      </c>
      <c r="B3269" t="inlineStr">
        <is>
          <t>M1</t>
        </is>
      </c>
      <c r="C3269" t="inlineStr">
        <is>
          <t>Cali</t>
        </is>
      </c>
      <c r="D3269" t="inlineStr">
        <is>
          <t>5830</t>
        </is>
      </c>
      <c r="E3269" t="inlineStr">
        <is>
          <t>pagado</t>
        </is>
      </c>
      <c r="F3269" s="23" t="n">
        <v>46277</v>
      </c>
      <c r="G3269" s="24">
        <f>F3269-DATE(2026,8,31)</f>
        <v>12</v>
      </c>
      <c r="H3269" s="25" t="n">
        <v>70659529</v>
      </c>
      <c r="I3269" t="inlineStr">
        <is>
          <t>entidad-dia</t>
        </is>
      </c>
    </row>
    <row r="3270">
      <c r="A3270" t="inlineStr">
        <is>
          <t>PRAGMA</t>
        </is>
      </c>
      <c r="B3270" t="inlineStr">
        <is>
          <t>M1</t>
        </is>
      </c>
      <c r="C3270" t="inlineStr">
        <is>
          <t>Cali</t>
        </is>
      </c>
      <c r="D3270" t="inlineStr">
        <is>
          <t>5830</t>
        </is>
      </c>
      <c r="E3270" t="inlineStr">
        <is>
          <t>pagado</t>
        </is>
      </c>
      <c r="F3270" s="23" t="n">
        <v>46278</v>
      </c>
      <c r="G3270" s="24">
        <f>F3270-DATE(2026,8,31)</f>
        <v>13</v>
      </c>
      <c r="H3270" s="25" t="n">
        <v>52303094</v>
      </c>
      <c r="I3270" t="inlineStr">
        <is>
          <t>entidad-dia</t>
        </is>
      </c>
    </row>
    <row r="3271">
      <c r="A3271" t="inlineStr">
        <is>
          <t>PRAGMA</t>
        </is>
      </c>
      <c r="B3271" t="inlineStr">
        <is>
          <t>M1</t>
        </is>
      </c>
      <c r="C3271" t="inlineStr">
        <is>
          <t>Cali</t>
        </is>
      </c>
      <c r="D3271" t="inlineStr">
        <is>
          <t>5830</t>
        </is>
      </c>
      <c r="E3271" t="inlineStr">
        <is>
          <t>pagado</t>
        </is>
      </c>
      <c r="F3271" s="23" t="n">
        <v>46279</v>
      </c>
      <c r="G3271" s="24">
        <f>F3271-DATE(2026,8,31)</f>
        <v>14</v>
      </c>
      <c r="H3271" s="25" t="n">
        <v>69202636</v>
      </c>
      <c r="I3271" t="inlineStr">
        <is>
          <t>entidad-dia</t>
        </is>
      </c>
    </row>
    <row r="3272">
      <c r="A3272" t="inlineStr">
        <is>
          <t>PRAGMA</t>
        </is>
      </c>
      <c r="B3272" t="inlineStr">
        <is>
          <t>M1</t>
        </is>
      </c>
      <c r="C3272" t="inlineStr">
        <is>
          <t>Cali</t>
        </is>
      </c>
      <c r="D3272" t="inlineStr">
        <is>
          <t>5830</t>
        </is>
      </c>
      <c r="E3272" t="inlineStr">
        <is>
          <t>pagado</t>
        </is>
      </c>
      <c r="F3272" s="23" t="n">
        <v>46280</v>
      </c>
      <c r="G3272" s="24">
        <f>F3272-DATE(2026,8,31)</f>
        <v>15</v>
      </c>
      <c r="H3272" s="25" t="n">
        <v>100974428</v>
      </c>
      <c r="I3272" t="inlineStr">
        <is>
          <t>entidad-dia</t>
        </is>
      </c>
    </row>
    <row r="3273">
      <c r="A3273" t="inlineStr">
        <is>
          <t>PRAGMA</t>
        </is>
      </c>
      <c r="B3273" t="inlineStr">
        <is>
          <t>M1</t>
        </is>
      </c>
      <c r="C3273" t="inlineStr">
        <is>
          <t>Cali</t>
        </is>
      </c>
      <c r="D3273" t="inlineStr">
        <is>
          <t>5831</t>
        </is>
      </c>
      <c r="E3273" t="inlineStr">
        <is>
          <t>pagado</t>
        </is>
      </c>
      <c r="F3273" s="23" t="n">
        <v>46266</v>
      </c>
      <c r="G3273" s="24">
        <f>F3273-DATE(2026,8,31)</f>
        <v>1</v>
      </c>
      <c r="H3273" s="25" t="n">
        <v>140598945</v>
      </c>
      <c r="I3273" t="inlineStr">
        <is>
          <t>entidad-dia</t>
        </is>
      </c>
    </row>
    <row r="3274">
      <c r="A3274" t="inlineStr">
        <is>
          <t>PRAGMA</t>
        </is>
      </c>
      <c r="B3274" t="inlineStr">
        <is>
          <t>M1</t>
        </is>
      </c>
      <c r="C3274" t="inlineStr">
        <is>
          <t>Cali</t>
        </is>
      </c>
      <c r="D3274" t="inlineStr">
        <is>
          <t>5831</t>
        </is>
      </c>
      <c r="E3274" t="inlineStr">
        <is>
          <t>pagado</t>
        </is>
      </c>
      <c r="F3274" s="23" t="n">
        <v>46267</v>
      </c>
      <c r="G3274" s="24">
        <f>F3274-DATE(2026,8,31)</f>
        <v>2</v>
      </c>
      <c r="H3274" s="25" t="n">
        <v>109836171</v>
      </c>
      <c r="I3274" t="inlineStr">
        <is>
          <t>entidad-dia</t>
        </is>
      </c>
    </row>
    <row r="3275">
      <c r="A3275" t="inlineStr">
        <is>
          <t>PRAGMA</t>
        </is>
      </c>
      <c r="B3275" t="inlineStr">
        <is>
          <t>M1</t>
        </is>
      </c>
      <c r="C3275" t="inlineStr">
        <is>
          <t>Cali</t>
        </is>
      </c>
      <c r="D3275" t="inlineStr">
        <is>
          <t>5831</t>
        </is>
      </c>
      <c r="E3275" t="inlineStr">
        <is>
          <t>pagado</t>
        </is>
      </c>
      <c r="F3275" s="23" t="n">
        <v>46268</v>
      </c>
      <c r="G3275" s="24">
        <f>F3275-DATE(2026,8,31)</f>
        <v>3</v>
      </c>
      <c r="H3275" s="25" t="n">
        <v>97680050</v>
      </c>
      <c r="I3275" t="inlineStr">
        <is>
          <t>entidad-dia</t>
        </is>
      </c>
    </row>
    <row r="3276">
      <c r="A3276" t="inlineStr">
        <is>
          <t>PRAGMA</t>
        </is>
      </c>
      <c r="B3276" t="inlineStr">
        <is>
          <t>M1</t>
        </is>
      </c>
      <c r="C3276" t="inlineStr">
        <is>
          <t>Cali</t>
        </is>
      </c>
      <c r="D3276" t="inlineStr">
        <is>
          <t>5831</t>
        </is>
      </c>
      <c r="E3276" t="inlineStr">
        <is>
          <t>pagado</t>
        </is>
      </c>
      <c r="F3276" s="23" t="n">
        <v>46269</v>
      </c>
      <c r="G3276" s="24">
        <f>F3276-DATE(2026,8,31)</f>
        <v>4</v>
      </c>
      <c r="H3276" s="25" t="n">
        <v>98078897</v>
      </c>
      <c r="I3276" t="inlineStr">
        <is>
          <t>entidad-dia</t>
        </is>
      </c>
    </row>
    <row r="3277">
      <c r="A3277" t="inlineStr">
        <is>
          <t>PRAGMA</t>
        </is>
      </c>
      <c r="B3277" t="inlineStr">
        <is>
          <t>M1</t>
        </is>
      </c>
      <c r="C3277" t="inlineStr">
        <is>
          <t>Cali</t>
        </is>
      </c>
      <c r="D3277" t="inlineStr">
        <is>
          <t>5831</t>
        </is>
      </c>
      <c r="E3277" t="inlineStr">
        <is>
          <t>pagado</t>
        </is>
      </c>
      <c r="F3277" s="23" t="n">
        <v>46270</v>
      </c>
      <c r="G3277" s="24">
        <f>F3277-DATE(2026,8,31)</f>
        <v>5</v>
      </c>
      <c r="H3277" s="25" t="n">
        <v>101666861</v>
      </c>
      <c r="I3277" t="inlineStr">
        <is>
          <t>entidad-dia</t>
        </is>
      </c>
    </row>
    <row r="3278">
      <c r="A3278" t="inlineStr">
        <is>
          <t>PRAGMA</t>
        </is>
      </c>
      <c r="B3278" t="inlineStr">
        <is>
          <t>M1</t>
        </is>
      </c>
      <c r="C3278" t="inlineStr">
        <is>
          <t>Cali</t>
        </is>
      </c>
      <c r="D3278" t="inlineStr">
        <is>
          <t>5831</t>
        </is>
      </c>
      <c r="E3278" t="inlineStr">
        <is>
          <t>pagado</t>
        </is>
      </c>
      <c r="F3278" s="23" t="n">
        <v>46271</v>
      </c>
      <c r="G3278" s="24">
        <f>F3278-DATE(2026,8,31)</f>
        <v>6</v>
      </c>
      <c r="H3278" s="25" t="n">
        <v>70824986</v>
      </c>
      <c r="I3278" t="inlineStr">
        <is>
          <t>entidad-dia</t>
        </is>
      </c>
    </row>
    <row r="3279">
      <c r="A3279" t="inlineStr">
        <is>
          <t>PRAGMA</t>
        </is>
      </c>
      <c r="B3279" t="inlineStr">
        <is>
          <t>M1</t>
        </is>
      </c>
      <c r="C3279" t="inlineStr">
        <is>
          <t>Cali</t>
        </is>
      </c>
      <c r="D3279" t="inlineStr">
        <is>
          <t>5831</t>
        </is>
      </c>
      <c r="E3279" t="inlineStr">
        <is>
          <t>pagado</t>
        </is>
      </c>
      <c r="F3279" s="23" t="n">
        <v>46272</v>
      </c>
      <c r="G3279" s="24">
        <f>F3279-DATE(2026,8,31)</f>
        <v>7</v>
      </c>
      <c r="H3279" s="25" t="n">
        <v>74280778</v>
      </c>
      <c r="I3279" t="inlineStr">
        <is>
          <t>entidad-dia</t>
        </is>
      </c>
    </row>
    <row r="3280">
      <c r="A3280" t="inlineStr">
        <is>
          <t>PRAGMA</t>
        </is>
      </c>
      <c r="B3280" t="inlineStr">
        <is>
          <t>M1</t>
        </is>
      </c>
      <c r="C3280" t="inlineStr">
        <is>
          <t>Cali</t>
        </is>
      </c>
      <c r="D3280" t="inlineStr">
        <is>
          <t>5831</t>
        </is>
      </c>
      <c r="E3280" t="inlineStr">
        <is>
          <t>pagado</t>
        </is>
      </c>
      <c r="F3280" s="23" t="n">
        <v>46273</v>
      </c>
      <c r="G3280" s="24">
        <f>F3280-DATE(2026,8,31)</f>
        <v>8</v>
      </c>
      <c r="H3280" s="25" t="n">
        <v>71445817</v>
      </c>
      <c r="I3280" t="inlineStr">
        <is>
          <t>entidad-dia</t>
        </is>
      </c>
    </row>
    <row r="3281">
      <c r="A3281" t="inlineStr">
        <is>
          <t>PRAGMA</t>
        </is>
      </c>
      <c r="B3281" t="inlineStr">
        <is>
          <t>M1</t>
        </is>
      </c>
      <c r="C3281" t="inlineStr">
        <is>
          <t>Cali</t>
        </is>
      </c>
      <c r="D3281" t="inlineStr">
        <is>
          <t>5831</t>
        </is>
      </c>
      <c r="E3281" t="inlineStr">
        <is>
          <t>pagado</t>
        </is>
      </c>
      <c r="F3281" s="23" t="n">
        <v>46274</v>
      </c>
      <c r="G3281" s="24">
        <f>F3281-DATE(2026,8,31)</f>
        <v>9</v>
      </c>
      <c r="H3281" s="25" t="n">
        <v>74782237</v>
      </c>
      <c r="I3281" t="inlineStr">
        <is>
          <t>entidad-dia</t>
        </is>
      </c>
    </row>
    <row r="3282">
      <c r="A3282" t="inlineStr">
        <is>
          <t>PRAGMA</t>
        </is>
      </c>
      <c r="B3282" t="inlineStr">
        <is>
          <t>M1</t>
        </is>
      </c>
      <c r="C3282" t="inlineStr">
        <is>
          <t>Cali</t>
        </is>
      </c>
      <c r="D3282" t="inlineStr">
        <is>
          <t>5831</t>
        </is>
      </c>
      <c r="E3282" t="inlineStr">
        <is>
          <t>pagado</t>
        </is>
      </c>
      <c r="F3282" s="23" t="n">
        <v>46275</v>
      </c>
      <c r="G3282" s="24">
        <f>F3282-DATE(2026,8,31)</f>
        <v>10</v>
      </c>
      <c r="H3282" s="25" t="n">
        <v>70055893</v>
      </c>
      <c r="I3282" t="inlineStr">
        <is>
          <t>entidad-dia</t>
        </is>
      </c>
    </row>
    <row r="3283">
      <c r="A3283" t="inlineStr">
        <is>
          <t>PRAGMA</t>
        </is>
      </c>
      <c r="B3283" t="inlineStr">
        <is>
          <t>M1</t>
        </is>
      </c>
      <c r="C3283" t="inlineStr">
        <is>
          <t>Cali</t>
        </is>
      </c>
      <c r="D3283" t="inlineStr">
        <is>
          <t>5831</t>
        </is>
      </c>
      <c r="E3283" t="inlineStr">
        <is>
          <t>pagado</t>
        </is>
      </c>
      <c r="F3283" s="23" t="n">
        <v>46276</v>
      </c>
      <c r="G3283" s="24">
        <f>F3283-DATE(2026,8,31)</f>
        <v>11</v>
      </c>
      <c r="H3283" s="25" t="n">
        <v>71242966</v>
      </c>
      <c r="I3283" t="inlineStr">
        <is>
          <t>entidad-dia</t>
        </is>
      </c>
    </row>
    <row r="3284">
      <c r="A3284" t="inlineStr">
        <is>
          <t>PRAGMA</t>
        </is>
      </c>
      <c r="B3284" t="inlineStr">
        <is>
          <t>M1</t>
        </is>
      </c>
      <c r="C3284" t="inlineStr">
        <is>
          <t>Cali</t>
        </is>
      </c>
      <c r="D3284" t="inlineStr">
        <is>
          <t>5831</t>
        </is>
      </c>
      <c r="E3284" t="inlineStr">
        <is>
          <t>pagado</t>
        </is>
      </c>
      <c r="F3284" s="23" t="n">
        <v>46277</v>
      </c>
      <c r="G3284" s="24">
        <f>F3284-DATE(2026,8,31)</f>
        <v>12</v>
      </c>
      <c r="H3284" s="25" t="n">
        <v>83211854</v>
      </c>
      <c r="I3284" t="inlineStr">
        <is>
          <t>entidad-dia</t>
        </is>
      </c>
    </row>
    <row r="3285">
      <c r="A3285" t="inlineStr">
        <is>
          <t>PRAGMA</t>
        </is>
      </c>
      <c r="B3285" t="inlineStr">
        <is>
          <t>M1</t>
        </is>
      </c>
      <c r="C3285" t="inlineStr">
        <is>
          <t>Cali</t>
        </is>
      </c>
      <c r="D3285" t="inlineStr">
        <is>
          <t>5831</t>
        </is>
      </c>
      <c r="E3285" t="inlineStr">
        <is>
          <t>pagado</t>
        </is>
      </c>
      <c r="F3285" s="23" t="n">
        <v>46278</v>
      </c>
      <c r="G3285" s="24">
        <f>F3285-DATE(2026,8,31)</f>
        <v>13</v>
      </c>
      <c r="H3285" s="25" t="n">
        <v>52730775</v>
      </c>
      <c r="I3285" t="inlineStr">
        <is>
          <t>entidad-dia</t>
        </is>
      </c>
    </row>
    <row r="3286">
      <c r="A3286" t="inlineStr">
        <is>
          <t>PRAGMA</t>
        </is>
      </c>
      <c r="B3286" t="inlineStr">
        <is>
          <t>M1</t>
        </is>
      </c>
      <c r="C3286" t="inlineStr">
        <is>
          <t>Cali</t>
        </is>
      </c>
      <c r="D3286" t="inlineStr">
        <is>
          <t>5831</t>
        </is>
      </c>
      <c r="E3286" t="inlineStr">
        <is>
          <t>pagado</t>
        </is>
      </c>
      <c r="F3286" s="23" t="n">
        <v>46279</v>
      </c>
      <c r="G3286" s="24">
        <f>F3286-DATE(2026,8,31)</f>
        <v>14</v>
      </c>
      <c r="H3286" s="25" t="n">
        <v>71389585</v>
      </c>
      <c r="I3286" t="inlineStr">
        <is>
          <t>entidad-dia</t>
        </is>
      </c>
    </row>
    <row r="3287">
      <c r="A3287" t="inlineStr">
        <is>
          <t>PRAGMA</t>
        </is>
      </c>
      <c r="B3287" t="inlineStr">
        <is>
          <t>M1</t>
        </is>
      </c>
      <c r="C3287" t="inlineStr">
        <is>
          <t>Cali</t>
        </is>
      </c>
      <c r="D3287" t="inlineStr">
        <is>
          <t>5831</t>
        </is>
      </c>
      <c r="E3287" t="inlineStr">
        <is>
          <t>pagado</t>
        </is>
      </c>
      <c r="F3287" s="23" t="n">
        <v>46280</v>
      </c>
      <c r="G3287" s="24">
        <f>F3287-DATE(2026,8,31)</f>
        <v>15</v>
      </c>
      <c r="H3287" s="25" t="n">
        <v>98810072</v>
      </c>
      <c r="I3287" t="inlineStr">
        <is>
          <t>entidad-dia</t>
        </is>
      </c>
    </row>
    <row r="3288">
      <c r="A3288" t="inlineStr">
        <is>
          <t>PRAGMA</t>
        </is>
      </c>
      <c r="B3288" t="inlineStr">
        <is>
          <t>M1</t>
        </is>
      </c>
      <c r="C3288" t="inlineStr">
        <is>
          <t>Cali</t>
        </is>
      </c>
      <c r="D3288" t="inlineStr">
        <is>
          <t>5832</t>
        </is>
      </c>
      <c r="E3288" t="inlineStr">
        <is>
          <t>pagado</t>
        </is>
      </c>
      <c r="F3288" s="23" t="n">
        <v>46266</v>
      </c>
      <c r="G3288" s="24">
        <f>F3288-DATE(2026,8,31)</f>
        <v>1</v>
      </c>
      <c r="H3288" s="25" t="n">
        <v>129057168</v>
      </c>
      <c r="I3288" t="inlineStr">
        <is>
          <t>entidad-dia</t>
        </is>
      </c>
    </row>
    <row r="3289">
      <c r="A3289" t="inlineStr">
        <is>
          <t>PRAGMA</t>
        </is>
      </c>
      <c r="B3289" t="inlineStr">
        <is>
          <t>M1</t>
        </is>
      </c>
      <c r="C3289" t="inlineStr">
        <is>
          <t>Cali</t>
        </is>
      </c>
      <c r="D3289" t="inlineStr">
        <is>
          <t>5832</t>
        </is>
      </c>
      <c r="E3289" t="inlineStr">
        <is>
          <t>pagado</t>
        </is>
      </c>
      <c r="F3289" s="23" t="n">
        <v>46267</v>
      </c>
      <c r="G3289" s="24">
        <f>F3289-DATE(2026,8,31)</f>
        <v>2</v>
      </c>
      <c r="H3289" s="25" t="n">
        <v>98284505</v>
      </c>
      <c r="I3289" t="inlineStr">
        <is>
          <t>entidad-dia</t>
        </is>
      </c>
    </row>
    <row r="3290">
      <c r="A3290" t="inlineStr">
        <is>
          <t>PRAGMA</t>
        </is>
      </c>
      <c r="B3290" t="inlineStr">
        <is>
          <t>M1</t>
        </is>
      </c>
      <c r="C3290" t="inlineStr">
        <is>
          <t>Cali</t>
        </is>
      </c>
      <c r="D3290" t="inlineStr">
        <is>
          <t>5832</t>
        </is>
      </c>
      <c r="E3290" t="inlineStr">
        <is>
          <t>pagado</t>
        </is>
      </c>
      <c r="F3290" s="23" t="n">
        <v>46268</v>
      </c>
      <c r="G3290" s="24">
        <f>F3290-DATE(2026,8,31)</f>
        <v>3</v>
      </c>
      <c r="H3290" s="25" t="n">
        <v>84615659</v>
      </c>
      <c r="I3290" t="inlineStr">
        <is>
          <t>entidad-dia</t>
        </is>
      </c>
    </row>
    <row r="3291">
      <c r="A3291" t="inlineStr">
        <is>
          <t>PRAGMA</t>
        </is>
      </c>
      <c r="B3291" t="inlineStr">
        <is>
          <t>M1</t>
        </is>
      </c>
      <c r="C3291" t="inlineStr">
        <is>
          <t>Cali</t>
        </is>
      </c>
      <c r="D3291" t="inlineStr">
        <is>
          <t>5832</t>
        </is>
      </c>
      <c r="E3291" t="inlineStr">
        <is>
          <t>pagado</t>
        </is>
      </c>
      <c r="F3291" s="23" t="n">
        <v>46269</v>
      </c>
      <c r="G3291" s="24">
        <f>F3291-DATE(2026,8,31)</f>
        <v>4</v>
      </c>
      <c r="H3291" s="25" t="n">
        <v>87759380</v>
      </c>
      <c r="I3291" t="inlineStr">
        <is>
          <t>entidad-dia</t>
        </is>
      </c>
    </row>
    <row r="3292">
      <c r="A3292" t="inlineStr">
        <is>
          <t>PRAGMA</t>
        </is>
      </c>
      <c r="B3292" t="inlineStr">
        <is>
          <t>M1</t>
        </is>
      </c>
      <c r="C3292" t="inlineStr">
        <is>
          <t>Cali</t>
        </is>
      </c>
      <c r="D3292" t="inlineStr">
        <is>
          <t>5832</t>
        </is>
      </c>
      <c r="E3292" t="inlineStr">
        <is>
          <t>pagado</t>
        </is>
      </c>
      <c r="F3292" s="23" t="n">
        <v>46270</v>
      </c>
      <c r="G3292" s="24">
        <f>F3292-DATE(2026,8,31)</f>
        <v>5</v>
      </c>
      <c r="H3292" s="25" t="n">
        <v>94919118</v>
      </c>
      <c r="I3292" t="inlineStr">
        <is>
          <t>entidad-dia</t>
        </is>
      </c>
    </row>
    <row r="3293">
      <c r="A3293" t="inlineStr">
        <is>
          <t>PRAGMA</t>
        </is>
      </c>
      <c r="B3293" t="inlineStr">
        <is>
          <t>M1</t>
        </is>
      </c>
      <c r="C3293" t="inlineStr">
        <is>
          <t>Cali</t>
        </is>
      </c>
      <c r="D3293" t="inlineStr">
        <is>
          <t>5832</t>
        </is>
      </c>
      <c r="E3293" t="inlineStr">
        <is>
          <t>pagado</t>
        </is>
      </c>
      <c r="F3293" s="23" t="n">
        <v>46271</v>
      </c>
      <c r="G3293" s="24">
        <f>F3293-DATE(2026,8,31)</f>
        <v>6</v>
      </c>
      <c r="H3293" s="25" t="n">
        <v>62656401</v>
      </c>
      <c r="I3293" t="inlineStr">
        <is>
          <t>entidad-dia</t>
        </is>
      </c>
    </row>
    <row r="3294">
      <c r="A3294" t="inlineStr">
        <is>
          <t>PRAGMA</t>
        </is>
      </c>
      <c r="B3294" t="inlineStr">
        <is>
          <t>M1</t>
        </is>
      </c>
      <c r="C3294" t="inlineStr">
        <is>
          <t>Cali</t>
        </is>
      </c>
      <c r="D3294" t="inlineStr">
        <is>
          <t>5832</t>
        </is>
      </c>
      <c r="E3294" t="inlineStr">
        <is>
          <t>pagado</t>
        </is>
      </c>
      <c r="F3294" s="23" t="n">
        <v>46272</v>
      </c>
      <c r="G3294" s="24">
        <f>F3294-DATE(2026,8,31)</f>
        <v>7</v>
      </c>
      <c r="H3294" s="25" t="n">
        <v>71940028</v>
      </c>
      <c r="I3294" t="inlineStr">
        <is>
          <t>entidad-dia</t>
        </is>
      </c>
    </row>
    <row r="3295">
      <c r="A3295" t="inlineStr">
        <is>
          <t>PRAGMA</t>
        </is>
      </c>
      <c r="B3295" t="inlineStr">
        <is>
          <t>M1</t>
        </is>
      </c>
      <c r="C3295" t="inlineStr">
        <is>
          <t>Cali</t>
        </is>
      </c>
      <c r="D3295" t="inlineStr">
        <is>
          <t>5832</t>
        </is>
      </c>
      <c r="E3295" t="inlineStr">
        <is>
          <t>pagado</t>
        </is>
      </c>
      <c r="F3295" s="23" t="n">
        <v>46273</v>
      </c>
      <c r="G3295" s="24">
        <f>F3295-DATE(2026,8,31)</f>
        <v>8</v>
      </c>
      <c r="H3295" s="25" t="n">
        <v>71097484</v>
      </c>
      <c r="I3295" t="inlineStr">
        <is>
          <t>entidad-dia</t>
        </is>
      </c>
    </row>
    <row r="3296">
      <c r="A3296" t="inlineStr">
        <is>
          <t>PRAGMA</t>
        </is>
      </c>
      <c r="B3296" t="inlineStr">
        <is>
          <t>M1</t>
        </is>
      </c>
      <c r="C3296" t="inlineStr">
        <is>
          <t>Cali</t>
        </is>
      </c>
      <c r="D3296" t="inlineStr">
        <is>
          <t>5832</t>
        </is>
      </c>
      <c r="E3296" t="inlineStr">
        <is>
          <t>pagado</t>
        </is>
      </c>
      <c r="F3296" s="23" t="n">
        <v>46274</v>
      </c>
      <c r="G3296" s="24">
        <f>F3296-DATE(2026,8,31)</f>
        <v>9</v>
      </c>
      <c r="H3296" s="25" t="n">
        <v>62298882</v>
      </c>
      <c r="I3296" t="inlineStr">
        <is>
          <t>entidad-dia</t>
        </is>
      </c>
    </row>
    <row r="3297">
      <c r="A3297" t="inlineStr">
        <is>
          <t>PRAGMA</t>
        </is>
      </c>
      <c r="B3297" t="inlineStr">
        <is>
          <t>M1</t>
        </is>
      </c>
      <c r="C3297" t="inlineStr">
        <is>
          <t>Cali</t>
        </is>
      </c>
      <c r="D3297" t="inlineStr">
        <is>
          <t>5832</t>
        </is>
      </c>
      <c r="E3297" t="inlineStr">
        <is>
          <t>pagado</t>
        </is>
      </c>
      <c r="F3297" s="23" t="n">
        <v>46275</v>
      </c>
      <c r="G3297" s="24">
        <f>F3297-DATE(2026,8,31)</f>
        <v>10</v>
      </c>
      <c r="H3297" s="25" t="n">
        <v>60364440</v>
      </c>
      <c r="I3297" t="inlineStr">
        <is>
          <t>entidad-dia</t>
        </is>
      </c>
    </row>
    <row r="3298">
      <c r="A3298" t="inlineStr">
        <is>
          <t>PRAGMA</t>
        </is>
      </c>
      <c r="B3298" t="inlineStr">
        <is>
          <t>M1</t>
        </is>
      </c>
      <c r="C3298" t="inlineStr">
        <is>
          <t>Cali</t>
        </is>
      </c>
      <c r="D3298" t="inlineStr">
        <is>
          <t>5832</t>
        </is>
      </c>
      <c r="E3298" t="inlineStr">
        <is>
          <t>pagado</t>
        </is>
      </c>
      <c r="F3298" s="23" t="n">
        <v>46276</v>
      </c>
      <c r="G3298" s="24">
        <f>F3298-DATE(2026,8,31)</f>
        <v>11</v>
      </c>
      <c r="H3298" s="25" t="n">
        <v>60074198</v>
      </c>
      <c r="I3298" t="inlineStr">
        <is>
          <t>entidad-dia</t>
        </is>
      </c>
    </row>
    <row r="3299">
      <c r="A3299" t="inlineStr">
        <is>
          <t>PRAGMA</t>
        </is>
      </c>
      <c r="B3299" t="inlineStr">
        <is>
          <t>M1</t>
        </is>
      </c>
      <c r="C3299" t="inlineStr">
        <is>
          <t>Cali</t>
        </is>
      </c>
      <c r="D3299" t="inlineStr">
        <is>
          <t>5832</t>
        </is>
      </c>
      <c r="E3299" t="inlineStr">
        <is>
          <t>pagado</t>
        </is>
      </c>
      <c r="F3299" s="23" t="n">
        <v>46277</v>
      </c>
      <c r="G3299" s="24">
        <f>F3299-DATE(2026,8,31)</f>
        <v>12</v>
      </c>
      <c r="H3299" s="25" t="n">
        <v>73095792</v>
      </c>
      <c r="I3299" t="inlineStr">
        <is>
          <t>entidad-dia</t>
        </is>
      </c>
    </row>
    <row r="3300">
      <c r="A3300" t="inlineStr">
        <is>
          <t>PRAGMA</t>
        </is>
      </c>
      <c r="B3300" t="inlineStr">
        <is>
          <t>M1</t>
        </is>
      </c>
      <c r="C3300" t="inlineStr">
        <is>
          <t>Cali</t>
        </is>
      </c>
      <c r="D3300" t="inlineStr">
        <is>
          <t>5832</t>
        </is>
      </c>
      <c r="E3300" t="inlineStr">
        <is>
          <t>pagado</t>
        </is>
      </c>
      <c r="F3300" s="23" t="n">
        <v>46278</v>
      </c>
      <c r="G3300" s="24">
        <f>F3300-DATE(2026,8,31)</f>
        <v>13</v>
      </c>
      <c r="H3300" s="25" t="n">
        <v>47519009</v>
      </c>
      <c r="I3300" t="inlineStr">
        <is>
          <t>entidad-dia</t>
        </is>
      </c>
    </row>
    <row r="3301">
      <c r="A3301" t="inlineStr">
        <is>
          <t>PRAGMA</t>
        </is>
      </c>
      <c r="B3301" t="inlineStr">
        <is>
          <t>M1</t>
        </is>
      </c>
      <c r="C3301" t="inlineStr">
        <is>
          <t>Cali</t>
        </is>
      </c>
      <c r="D3301" t="inlineStr">
        <is>
          <t>5832</t>
        </is>
      </c>
      <c r="E3301" t="inlineStr">
        <is>
          <t>pagado</t>
        </is>
      </c>
      <c r="F3301" s="23" t="n">
        <v>46279</v>
      </c>
      <c r="G3301" s="24">
        <f>F3301-DATE(2026,8,31)</f>
        <v>14</v>
      </c>
      <c r="H3301" s="25" t="n">
        <v>68453770</v>
      </c>
      <c r="I3301" t="inlineStr">
        <is>
          <t>entidad-dia</t>
        </is>
      </c>
    </row>
    <row r="3302">
      <c r="A3302" t="inlineStr">
        <is>
          <t>PRAGMA</t>
        </is>
      </c>
      <c r="B3302" t="inlineStr">
        <is>
          <t>M1</t>
        </is>
      </c>
      <c r="C3302" t="inlineStr">
        <is>
          <t>Cali</t>
        </is>
      </c>
      <c r="D3302" t="inlineStr">
        <is>
          <t>5832</t>
        </is>
      </c>
      <c r="E3302" t="inlineStr">
        <is>
          <t>pagado</t>
        </is>
      </c>
      <c r="F3302" s="23" t="n">
        <v>46280</v>
      </c>
      <c r="G3302" s="24">
        <f>F3302-DATE(2026,8,31)</f>
        <v>15</v>
      </c>
      <c r="H3302" s="25" t="n">
        <v>101414897</v>
      </c>
      <c r="I3302" t="inlineStr">
        <is>
          <t>entidad-dia</t>
        </is>
      </c>
    </row>
    <row r="3303">
      <c r="A3303" t="inlineStr">
        <is>
          <t>PRAGMA</t>
        </is>
      </c>
      <c r="B3303" t="inlineStr">
        <is>
          <t>M1</t>
        </is>
      </c>
      <c r="C3303" t="inlineStr">
        <is>
          <t>Cali</t>
        </is>
      </c>
      <c r="D3303" t="inlineStr">
        <is>
          <t>5882</t>
        </is>
      </c>
      <c r="E3303" t="inlineStr">
        <is>
          <t>pagado</t>
        </is>
      </c>
      <c r="F3303" s="23" t="n">
        <v>46266</v>
      </c>
      <c r="G3303" s="24">
        <f>F3303-DATE(2026,8,31)</f>
        <v>1</v>
      </c>
      <c r="H3303" s="25" t="n">
        <v>167062484</v>
      </c>
      <c r="I3303" t="inlineStr">
        <is>
          <t>entidad-dia</t>
        </is>
      </c>
    </row>
    <row r="3304">
      <c r="A3304" t="inlineStr">
        <is>
          <t>PRAGMA</t>
        </is>
      </c>
      <c r="B3304" t="inlineStr">
        <is>
          <t>M1</t>
        </is>
      </c>
      <c r="C3304" t="inlineStr">
        <is>
          <t>Cali</t>
        </is>
      </c>
      <c r="D3304" t="inlineStr">
        <is>
          <t>5882</t>
        </is>
      </c>
      <c r="E3304" t="inlineStr">
        <is>
          <t>pagado</t>
        </is>
      </c>
      <c r="F3304" s="23" t="n">
        <v>46267</v>
      </c>
      <c r="G3304" s="24">
        <f>F3304-DATE(2026,8,31)</f>
        <v>2</v>
      </c>
      <c r="H3304" s="25" t="n">
        <v>122141988</v>
      </c>
      <c r="I3304" t="inlineStr">
        <is>
          <t>entidad-dia</t>
        </is>
      </c>
    </row>
    <row r="3305">
      <c r="A3305" t="inlineStr">
        <is>
          <t>PRAGMA</t>
        </is>
      </c>
      <c r="B3305" t="inlineStr">
        <is>
          <t>M1</t>
        </is>
      </c>
      <c r="C3305" t="inlineStr">
        <is>
          <t>Cali</t>
        </is>
      </c>
      <c r="D3305" t="inlineStr">
        <is>
          <t>5882</t>
        </is>
      </c>
      <c r="E3305" t="inlineStr">
        <is>
          <t>pagado</t>
        </is>
      </c>
      <c r="F3305" s="23" t="n">
        <v>46268</v>
      </c>
      <c r="G3305" s="24">
        <f>F3305-DATE(2026,8,31)</f>
        <v>3</v>
      </c>
      <c r="H3305" s="25" t="n">
        <v>120004102</v>
      </c>
      <c r="I3305" t="inlineStr">
        <is>
          <t>entidad-dia</t>
        </is>
      </c>
    </row>
    <row r="3306">
      <c r="A3306" t="inlineStr">
        <is>
          <t>PRAGMA</t>
        </is>
      </c>
      <c r="B3306" t="inlineStr">
        <is>
          <t>M1</t>
        </is>
      </c>
      <c r="C3306" t="inlineStr">
        <is>
          <t>Cali</t>
        </is>
      </c>
      <c r="D3306" t="inlineStr">
        <is>
          <t>5882</t>
        </is>
      </c>
      <c r="E3306" t="inlineStr">
        <is>
          <t>pagado</t>
        </is>
      </c>
      <c r="F3306" s="23" t="n">
        <v>46269</v>
      </c>
      <c r="G3306" s="24">
        <f>F3306-DATE(2026,8,31)</f>
        <v>4</v>
      </c>
      <c r="H3306" s="25" t="n">
        <v>121654309</v>
      </c>
      <c r="I3306" t="inlineStr">
        <is>
          <t>entidad-dia</t>
        </is>
      </c>
    </row>
    <row r="3307">
      <c r="A3307" t="inlineStr">
        <is>
          <t>PRAGMA</t>
        </is>
      </c>
      <c r="B3307" t="inlineStr">
        <is>
          <t>M1</t>
        </is>
      </c>
      <c r="C3307" t="inlineStr">
        <is>
          <t>Cali</t>
        </is>
      </c>
      <c r="D3307" t="inlineStr">
        <is>
          <t>5882</t>
        </is>
      </c>
      <c r="E3307" t="inlineStr">
        <is>
          <t>pagado</t>
        </is>
      </c>
      <c r="F3307" s="23" t="n">
        <v>46270</v>
      </c>
      <c r="G3307" s="24">
        <f>F3307-DATE(2026,8,31)</f>
        <v>5</v>
      </c>
      <c r="H3307" s="25" t="n">
        <v>124143386</v>
      </c>
      <c r="I3307" t="inlineStr">
        <is>
          <t>entidad-dia</t>
        </is>
      </c>
    </row>
    <row r="3308">
      <c r="A3308" t="inlineStr">
        <is>
          <t>PRAGMA</t>
        </is>
      </c>
      <c r="B3308" t="inlineStr">
        <is>
          <t>M1</t>
        </is>
      </c>
      <c r="C3308" t="inlineStr">
        <is>
          <t>Cali</t>
        </is>
      </c>
      <c r="D3308" t="inlineStr">
        <is>
          <t>5882</t>
        </is>
      </c>
      <c r="E3308" t="inlineStr">
        <is>
          <t>pagado</t>
        </is>
      </c>
      <c r="F3308" s="23" t="n">
        <v>46271</v>
      </c>
      <c r="G3308" s="24">
        <f>F3308-DATE(2026,8,31)</f>
        <v>6</v>
      </c>
      <c r="H3308" s="25" t="n">
        <v>109182784</v>
      </c>
      <c r="I3308" t="inlineStr">
        <is>
          <t>entidad-dia</t>
        </is>
      </c>
    </row>
    <row r="3309">
      <c r="A3309" t="inlineStr">
        <is>
          <t>PRAGMA</t>
        </is>
      </c>
      <c r="B3309" t="inlineStr">
        <is>
          <t>M1</t>
        </is>
      </c>
      <c r="C3309" t="inlineStr">
        <is>
          <t>Cali</t>
        </is>
      </c>
      <c r="D3309" t="inlineStr">
        <is>
          <t>5882</t>
        </is>
      </c>
      <c r="E3309" t="inlineStr">
        <is>
          <t>pagado</t>
        </is>
      </c>
      <c r="F3309" s="23" t="n">
        <v>46272</v>
      </c>
      <c r="G3309" s="24">
        <f>F3309-DATE(2026,8,31)</f>
        <v>7</v>
      </c>
      <c r="H3309" s="25" t="n">
        <v>86984082</v>
      </c>
      <c r="I3309" t="inlineStr">
        <is>
          <t>entidad-dia</t>
        </is>
      </c>
    </row>
    <row r="3310">
      <c r="A3310" t="inlineStr">
        <is>
          <t>PRAGMA</t>
        </is>
      </c>
      <c r="B3310" t="inlineStr">
        <is>
          <t>M1</t>
        </is>
      </c>
      <c r="C3310" t="inlineStr">
        <is>
          <t>Cali</t>
        </is>
      </c>
      <c r="D3310" t="inlineStr">
        <is>
          <t>5882</t>
        </is>
      </c>
      <c r="E3310" t="inlineStr">
        <is>
          <t>pagado</t>
        </is>
      </c>
      <c r="F3310" s="23" t="n">
        <v>46273</v>
      </c>
      <c r="G3310" s="24">
        <f>F3310-DATE(2026,8,31)</f>
        <v>8</v>
      </c>
      <c r="H3310" s="25" t="n">
        <v>81396929</v>
      </c>
      <c r="I3310" t="inlineStr">
        <is>
          <t>entidad-dia</t>
        </is>
      </c>
    </row>
    <row r="3311">
      <c r="A3311" t="inlineStr">
        <is>
          <t>PRAGMA</t>
        </is>
      </c>
      <c r="B3311" t="inlineStr">
        <is>
          <t>M1</t>
        </is>
      </c>
      <c r="C3311" t="inlineStr">
        <is>
          <t>Cali</t>
        </is>
      </c>
      <c r="D3311" t="inlineStr">
        <is>
          <t>5882</t>
        </is>
      </c>
      <c r="E3311" t="inlineStr">
        <is>
          <t>pagado</t>
        </is>
      </c>
      <c r="F3311" s="23" t="n">
        <v>46274</v>
      </c>
      <c r="G3311" s="24">
        <f>F3311-DATE(2026,8,31)</f>
        <v>9</v>
      </c>
      <c r="H3311" s="25" t="n">
        <v>86157477</v>
      </c>
      <c r="I3311" t="inlineStr">
        <is>
          <t>entidad-dia</t>
        </is>
      </c>
    </row>
    <row r="3312">
      <c r="A3312" t="inlineStr">
        <is>
          <t>PRAGMA</t>
        </is>
      </c>
      <c r="B3312" t="inlineStr">
        <is>
          <t>M1</t>
        </is>
      </c>
      <c r="C3312" t="inlineStr">
        <is>
          <t>Cali</t>
        </is>
      </c>
      <c r="D3312" t="inlineStr">
        <is>
          <t>5882</t>
        </is>
      </c>
      <c r="E3312" t="inlineStr">
        <is>
          <t>pagado</t>
        </is>
      </c>
      <c r="F3312" s="23" t="n">
        <v>46275</v>
      </c>
      <c r="G3312" s="24">
        <f>F3312-DATE(2026,8,31)</f>
        <v>10</v>
      </c>
      <c r="H3312" s="25" t="n">
        <v>88164472</v>
      </c>
      <c r="I3312" t="inlineStr">
        <is>
          <t>entidad-dia</t>
        </is>
      </c>
    </row>
    <row r="3313">
      <c r="A3313" t="inlineStr">
        <is>
          <t>PRAGMA</t>
        </is>
      </c>
      <c r="B3313" t="inlineStr">
        <is>
          <t>M1</t>
        </is>
      </c>
      <c r="C3313" t="inlineStr">
        <is>
          <t>Cali</t>
        </is>
      </c>
      <c r="D3313" t="inlineStr">
        <is>
          <t>5882</t>
        </is>
      </c>
      <c r="E3313" t="inlineStr">
        <is>
          <t>pagado</t>
        </is>
      </c>
      <c r="F3313" s="23" t="n">
        <v>46276</v>
      </c>
      <c r="G3313" s="24">
        <f>F3313-DATE(2026,8,31)</f>
        <v>11</v>
      </c>
      <c r="H3313" s="25" t="n">
        <v>97374130</v>
      </c>
      <c r="I3313" t="inlineStr">
        <is>
          <t>entidad-dia</t>
        </is>
      </c>
    </row>
    <row r="3314">
      <c r="A3314" t="inlineStr">
        <is>
          <t>PRAGMA</t>
        </is>
      </c>
      <c r="B3314" t="inlineStr">
        <is>
          <t>M1</t>
        </is>
      </c>
      <c r="C3314" t="inlineStr">
        <is>
          <t>Cali</t>
        </is>
      </c>
      <c r="D3314" t="inlineStr">
        <is>
          <t>5882</t>
        </is>
      </c>
      <c r="E3314" t="inlineStr">
        <is>
          <t>pagado</t>
        </is>
      </c>
      <c r="F3314" s="23" t="n">
        <v>46277</v>
      </c>
      <c r="G3314" s="24">
        <f>F3314-DATE(2026,8,31)</f>
        <v>12</v>
      </c>
      <c r="H3314" s="25" t="n">
        <v>104228083</v>
      </c>
      <c r="I3314" t="inlineStr">
        <is>
          <t>entidad-dia</t>
        </is>
      </c>
    </row>
    <row r="3315">
      <c r="A3315" t="inlineStr">
        <is>
          <t>PRAGMA</t>
        </is>
      </c>
      <c r="B3315" t="inlineStr">
        <is>
          <t>M1</t>
        </is>
      </c>
      <c r="C3315" t="inlineStr">
        <is>
          <t>Cali</t>
        </is>
      </c>
      <c r="D3315" t="inlineStr">
        <is>
          <t>5882</t>
        </is>
      </c>
      <c r="E3315" t="inlineStr">
        <is>
          <t>pagado</t>
        </is>
      </c>
      <c r="F3315" s="23" t="n">
        <v>46278</v>
      </c>
      <c r="G3315" s="24">
        <f>F3315-DATE(2026,8,31)</f>
        <v>13</v>
      </c>
      <c r="H3315" s="25" t="n">
        <v>89012891</v>
      </c>
      <c r="I3315" t="inlineStr">
        <is>
          <t>entidad-dia</t>
        </is>
      </c>
    </row>
    <row r="3316">
      <c r="A3316" t="inlineStr">
        <is>
          <t>PRAGMA</t>
        </is>
      </c>
      <c r="B3316" t="inlineStr">
        <is>
          <t>M1</t>
        </is>
      </c>
      <c r="C3316" t="inlineStr">
        <is>
          <t>Cali</t>
        </is>
      </c>
      <c r="D3316" t="inlineStr">
        <is>
          <t>5882</t>
        </is>
      </c>
      <c r="E3316" t="inlineStr">
        <is>
          <t>pagado</t>
        </is>
      </c>
      <c r="F3316" s="23" t="n">
        <v>46279</v>
      </c>
      <c r="G3316" s="24">
        <f>F3316-DATE(2026,8,31)</f>
        <v>14</v>
      </c>
      <c r="H3316" s="25" t="n">
        <v>96876150</v>
      </c>
      <c r="I3316" t="inlineStr">
        <is>
          <t>entidad-dia</t>
        </is>
      </c>
    </row>
    <row r="3317">
      <c r="A3317" t="inlineStr">
        <is>
          <t>PRAGMA</t>
        </is>
      </c>
      <c r="B3317" t="inlineStr">
        <is>
          <t>M1</t>
        </is>
      </c>
      <c r="C3317" t="inlineStr">
        <is>
          <t>Cali</t>
        </is>
      </c>
      <c r="D3317" t="inlineStr">
        <is>
          <t>5882</t>
        </is>
      </c>
      <c r="E3317" t="inlineStr">
        <is>
          <t>pagado</t>
        </is>
      </c>
      <c r="F3317" s="23" t="n">
        <v>46280</v>
      </c>
      <c r="G3317" s="24">
        <f>F3317-DATE(2026,8,31)</f>
        <v>15</v>
      </c>
      <c r="H3317" s="25" t="n">
        <v>131987255</v>
      </c>
      <c r="I3317" t="inlineStr">
        <is>
          <t>entidad-dia</t>
        </is>
      </c>
    </row>
    <row r="3318">
      <c r="A3318" t="inlineStr">
        <is>
          <t>PRAGMA</t>
        </is>
      </c>
      <c r="B3318" t="inlineStr">
        <is>
          <t>M1</t>
        </is>
      </c>
      <c r="C3318" t="inlineStr">
        <is>
          <t>Cali</t>
        </is>
      </c>
      <c r="D3318" t="inlineStr">
        <is>
          <t>5886</t>
        </is>
      </c>
      <c r="E3318" t="inlineStr">
        <is>
          <t>pagado</t>
        </is>
      </c>
      <c r="F3318" s="23" t="n">
        <v>46266</v>
      </c>
      <c r="G3318" s="24">
        <f>F3318-DATE(2026,8,31)</f>
        <v>1</v>
      </c>
      <c r="H3318" s="25" t="n">
        <v>160638982</v>
      </c>
      <c r="I3318" t="inlineStr">
        <is>
          <t>entidad-dia</t>
        </is>
      </c>
    </row>
    <row r="3319">
      <c r="A3319" t="inlineStr">
        <is>
          <t>PRAGMA</t>
        </is>
      </c>
      <c r="B3319" t="inlineStr">
        <is>
          <t>M1</t>
        </is>
      </c>
      <c r="C3319" t="inlineStr">
        <is>
          <t>Cali</t>
        </is>
      </c>
      <c r="D3319" t="inlineStr">
        <is>
          <t>5886</t>
        </is>
      </c>
      <c r="E3319" t="inlineStr">
        <is>
          <t>pagado</t>
        </is>
      </c>
      <c r="F3319" s="23" t="n">
        <v>46267</v>
      </c>
      <c r="G3319" s="24">
        <f>F3319-DATE(2026,8,31)</f>
        <v>2</v>
      </c>
      <c r="H3319" s="25" t="n">
        <v>121216362</v>
      </c>
      <c r="I3319" t="inlineStr">
        <is>
          <t>entidad-dia</t>
        </is>
      </c>
    </row>
    <row r="3320">
      <c r="A3320" t="inlineStr">
        <is>
          <t>PRAGMA</t>
        </is>
      </c>
      <c r="B3320" t="inlineStr">
        <is>
          <t>M1</t>
        </is>
      </c>
      <c r="C3320" t="inlineStr">
        <is>
          <t>Cali</t>
        </is>
      </c>
      <c r="D3320" t="inlineStr">
        <is>
          <t>5886</t>
        </is>
      </c>
      <c r="E3320" t="inlineStr">
        <is>
          <t>pagado</t>
        </is>
      </c>
      <c r="F3320" s="23" t="n">
        <v>46268</v>
      </c>
      <c r="G3320" s="24">
        <f>F3320-DATE(2026,8,31)</f>
        <v>3</v>
      </c>
      <c r="H3320" s="25" t="n">
        <v>108518857</v>
      </c>
      <c r="I3320" t="inlineStr">
        <is>
          <t>entidad-dia</t>
        </is>
      </c>
    </row>
    <row r="3321">
      <c r="A3321" t="inlineStr">
        <is>
          <t>PRAGMA</t>
        </is>
      </c>
      <c r="B3321" t="inlineStr">
        <is>
          <t>M1</t>
        </is>
      </c>
      <c r="C3321" t="inlineStr">
        <is>
          <t>Cali</t>
        </is>
      </c>
      <c r="D3321" t="inlineStr">
        <is>
          <t>5886</t>
        </is>
      </c>
      <c r="E3321" t="inlineStr">
        <is>
          <t>pagado</t>
        </is>
      </c>
      <c r="F3321" s="23" t="n">
        <v>46269</v>
      </c>
      <c r="G3321" s="24">
        <f>F3321-DATE(2026,8,31)</f>
        <v>4</v>
      </c>
      <c r="H3321" s="25" t="n">
        <v>107585072</v>
      </c>
      <c r="I3321" t="inlineStr">
        <is>
          <t>entidad-dia</t>
        </is>
      </c>
    </row>
    <row r="3322">
      <c r="A3322" t="inlineStr">
        <is>
          <t>PRAGMA</t>
        </is>
      </c>
      <c r="B3322" t="inlineStr">
        <is>
          <t>M1</t>
        </is>
      </c>
      <c r="C3322" t="inlineStr">
        <is>
          <t>Cali</t>
        </is>
      </c>
      <c r="D3322" t="inlineStr">
        <is>
          <t>5886</t>
        </is>
      </c>
      <c r="E3322" t="inlineStr">
        <is>
          <t>pagado</t>
        </is>
      </c>
      <c r="F3322" s="23" t="n">
        <v>46270</v>
      </c>
      <c r="G3322" s="24">
        <f>F3322-DATE(2026,8,31)</f>
        <v>5</v>
      </c>
      <c r="H3322" s="25" t="n">
        <v>121159697</v>
      </c>
      <c r="I3322" t="inlineStr">
        <is>
          <t>entidad-dia</t>
        </is>
      </c>
    </row>
    <row r="3323">
      <c r="A3323" t="inlineStr">
        <is>
          <t>PRAGMA</t>
        </is>
      </c>
      <c r="B3323" t="inlineStr">
        <is>
          <t>M1</t>
        </is>
      </c>
      <c r="C3323" t="inlineStr">
        <is>
          <t>Cali</t>
        </is>
      </c>
      <c r="D3323" t="inlineStr">
        <is>
          <t>5886</t>
        </is>
      </c>
      <c r="E3323" t="inlineStr">
        <is>
          <t>pagado</t>
        </is>
      </c>
      <c r="F3323" s="23" t="n">
        <v>46271</v>
      </c>
      <c r="G3323" s="24">
        <f>F3323-DATE(2026,8,31)</f>
        <v>6</v>
      </c>
      <c r="H3323" s="25" t="n">
        <v>96614326</v>
      </c>
      <c r="I3323" t="inlineStr">
        <is>
          <t>entidad-dia</t>
        </is>
      </c>
    </row>
    <row r="3324">
      <c r="A3324" t="inlineStr">
        <is>
          <t>PRAGMA</t>
        </is>
      </c>
      <c r="B3324" t="inlineStr">
        <is>
          <t>M1</t>
        </is>
      </c>
      <c r="C3324" t="inlineStr">
        <is>
          <t>Cali</t>
        </is>
      </c>
      <c r="D3324" t="inlineStr">
        <is>
          <t>5886</t>
        </is>
      </c>
      <c r="E3324" t="inlineStr">
        <is>
          <t>pagado</t>
        </is>
      </c>
      <c r="F3324" s="23" t="n">
        <v>46272</v>
      </c>
      <c r="G3324" s="24">
        <f>F3324-DATE(2026,8,31)</f>
        <v>7</v>
      </c>
      <c r="H3324" s="25" t="n">
        <v>90767856</v>
      </c>
      <c r="I3324" t="inlineStr">
        <is>
          <t>entidad-dia</t>
        </is>
      </c>
    </row>
    <row r="3325">
      <c r="A3325" t="inlineStr">
        <is>
          <t>PRAGMA</t>
        </is>
      </c>
      <c r="B3325" t="inlineStr">
        <is>
          <t>M1</t>
        </is>
      </c>
      <c r="C3325" t="inlineStr">
        <is>
          <t>Cali</t>
        </is>
      </c>
      <c r="D3325" t="inlineStr">
        <is>
          <t>5886</t>
        </is>
      </c>
      <c r="E3325" t="inlineStr">
        <is>
          <t>pagado</t>
        </is>
      </c>
      <c r="F3325" s="23" t="n">
        <v>46273</v>
      </c>
      <c r="G3325" s="24">
        <f>F3325-DATE(2026,8,31)</f>
        <v>8</v>
      </c>
      <c r="H3325" s="25" t="n">
        <v>82601908</v>
      </c>
      <c r="I3325" t="inlineStr">
        <is>
          <t>entidad-dia</t>
        </is>
      </c>
    </row>
    <row r="3326">
      <c r="A3326" t="inlineStr">
        <is>
          <t>PRAGMA</t>
        </is>
      </c>
      <c r="B3326" t="inlineStr">
        <is>
          <t>M1</t>
        </is>
      </c>
      <c r="C3326" t="inlineStr">
        <is>
          <t>Cali</t>
        </is>
      </c>
      <c r="D3326" t="inlineStr">
        <is>
          <t>5886</t>
        </is>
      </c>
      <c r="E3326" t="inlineStr">
        <is>
          <t>pagado</t>
        </is>
      </c>
      <c r="F3326" s="23" t="n">
        <v>46274</v>
      </c>
      <c r="G3326" s="24">
        <f>F3326-DATE(2026,8,31)</f>
        <v>9</v>
      </c>
      <c r="H3326" s="25" t="n">
        <v>84016657</v>
      </c>
      <c r="I3326" t="inlineStr">
        <is>
          <t>entidad-dia</t>
        </is>
      </c>
    </row>
    <row r="3327">
      <c r="A3327" t="inlineStr">
        <is>
          <t>PRAGMA</t>
        </is>
      </c>
      <c r="B3327" t="inlineStr">
        <is>
          <t>M1</t>
        </is>
      </c>
      <c r="C3327" t="inlineStr">
        <is>
          <t>Cali</t>
        </is>
      </c>
      <c r="D3327" t="inlineStr">
        <is>
          <t>5886</t>
        </is>
      </c>
      <c r="E3327" t="inlineStr">
        <is>
          <t>pagado</t>
        </is>
      </c>
      <c r="F3327" s="23" t="n">
        <v>46275</v>
      </c>
      <c r="G3327" s="24">
        <f>F3327-DATE(2026,8,31)</f>
        <v>10</v>
      </c>
      <c r="H3327" s="25" t="n">
        <v>68307614</v>
      </c>
      <c r="I3327" t="inlineStr">
        <is>
          <t>entidad-dia</t>
        </is>
      </c>
    </row>
    <row r="3328">
      <c r="A3328" t="inlineStr">
        <is>
          <t>PRAGMA</t>
        </is>
      </c>
      <c r="B3328" t="inlineStr">
        <is>
          <t>M1</t>
        </is>
      </c>
      <c r="C3328" t="inlineStr">
        <is>
          <t>Cali</t>
        </is>
      </c>
      <c r="D3328" t="inlineStr">
        <is>
          <t>5886</t>
        </is>
      </c>
      <c r="E3328" t="inlineStr">
        <is>
          <t>pagado</t>
        </is>
      </c>
      <c r="F3328" s="23" t="n">
        <v>46276</v>
      </c>
      <c r="G3328" s="24">
        <f>F3328-DATE(2026,8,31)</f>
        <v>11</v>
      </c>
      <c r="H3328" s="25" t="n">
        <v>74918451</v>
      </c>
      <c r="I3328" t="inlineStr">
        <is>
          <t>entidad-dia</t>
        </is>
      </c>
    </row>
    <row r="3329">
      <c r="A3329" t="inlineStr">
        <is>
          <t>PRAGMA</t>
        </is>
      </c>
      <c r="B3329" t="inlineStr">
        <is>
          <t>M1</t>
        </is>
      </c>
      <c r="C3329" t="inlineStr">
        <is>
          <t>Cali</t>
        </is>
      </c>
      <c r="D3329" t="inlineStr">
        <is>
          <t>5886</t>
        </is>
      </c>
      <c r="E3329" t="inlineStr">
        <is>
          <t>pagado</t>
        </is>
      </c>
      <c r="F3329" s="23" t="n">
        <v>46277</v>
      </c>
      <c r="G3329" s="24">
        <f>F3329-DATE(2026,8,31)</f>
        <v>12</v>
      </c>
      <c r="H3329" s="25" t="n">
        <v>88960914</v>
      </c>
      <c r="I3329" t="inlineStr">
        <is>
          <t>entidad-dia</t>
        </is>
      </c>
    </row>
    <row r="3330">
      <c r="A3330" t="inlineStr">
        <is>
          <t>PRAGMA</t>
        </is>
      </c>
      <c r="B3330" t="inlineStr">
        <is>
          <t>M1</t>
        </is>
      </c>
      <c r="C3330" t="inlineStr">
        <is>
          <t>Cali</t>
        </is>
      </c>
      <c r="D3330" t="inlineStr">
        <is>
          <t>5886</t>
        </is>
      </c>
      <c r="E3330" t="inlineStr">
        <is>
          <t>pagado</t>
        </is>
      </c>
      <c r="F3330" s="23" t="n">
        <v>46278</v>
      </c>
      <c r="G3330" s="24">
        <f>F3330-DATE(2026,8,31)</f>
        <v>13</v>
      </c>
      <c r="H3330" s="25" t="n">
        <v>73134399</v>
      </c>
      <c r="I3330" t="inlineStr">
        <is>
          <t>entidad-dia</t>
        </is>
      </c>
    </row>
    <row r="3331">
      <c r="A3331" t="inlineStr">
        <is>
          <t>PRAGMA</t>
        </is>
      </c>
      <c r="B3331" t="inlineStr">
        <is>
          <t>M1</t>
        </is>
      </c>
      <c r="C3331" t="inlineStr">
        <is>
          <t>Cali</t>
        </is>
      </c>
      <c r="D3331" t="inlineStr">
        <is>
          <t>5886</t>
        </is>
      </c>
      <c r="E3331" t="inlineStr">
        <is>
          <t>pagado</t>
        </is>
      </c>
      <c r="F3331" s="23" t="n">
        <v>46279</v>
      </c>
      <c r="G3331" s="24">
        <f>F3331-DATE(2026,8,31)</f>
        <v>14</v>
      </c>
      <c r="H3331" s="25" t="n">
        <v>83239390</v>
      </c>
      <c r="I3331" t="inlineStr">
        <is>
          <t>entidad-dia</t>
        </is>
      </c>
    </row>
    <row r="3332">
      <c r="A3332" t="inlineStr">
        <is>
          <t>PRAGMA</t>
        </is>
      </c>
      <c r="B3332" t="inlineStr">
        <is>
          <t>M1</t>
        </is>
      </c>
      <c r="C3332" t="inlineStr">
        <is>
          <t>Cali</t>
        </is>
      </c>
      <c r="D3332" t="inlineStr">
        <is>
          <t>5886</t>
        </is>
      </c>
      <c r="E3332" t="inlineStr">
        <is>
          <t>pagado</t>
        </is>
      </c>
      <c r="F3332" s="23" t="n">
        <v>46280</v>
      </c>
      <c r="G3332" s="24">
        <f>F3332-DATE(2026,8,31)</f>
        <v>15</v>
      </c>
      <c r="H3332" s="25" t="n">
        <v>119911425</v>
      </c>
      <c r="I3332" t="inlineStr">
        <is>
          <t>entidad-dia</t>
        </is>
      </c>
    </row>
    <row r="3333">
      <c r="A3333" t="inlineStr">
        <is>
          <t>PRAGMA</t>
        </is>
      </c>
      <c r="B3333" t="inlineStr">
        <is>
          <t>M1</t>
        </is>
      </c>
      <c r="C3333" t="inlineStr">
        <is>
          <t>Cali</t>
        </is>
      </c>
      <c r="D3333" t="inlineStr">
        <is>
          <t>5887</t>
        </is>
      </c>
      <c r="E3333" t="inlineStr">
        <is>
          <t>pagado</t>
        </is>
      </c>
      <c r="F3333" s="23" t="n">
        <v>46266</v>
      </c>
      <c r="G3333" s="24">
        <f>F3333-DATE(2026,8,31)</f>
        <v>1</v>
      </c>
      <c r="H3333" s="25" t="n">
        <v>148402602</v>
      </c>
      <c r="I3333" t="inlineStr">
        <is>
          <t>entidad-dia</t>
        </is>
      </c>
    </row>
    <row r="3334">
      <c r="A3334" t="inlineStr">
        <is>
          <t>PRAGMA</t>
        </is>
      </c>
      <c r="B3334" t="inlineStr">
        <is>
          <t>M1</t>
        </is>
      </c>
      <c r="C3334" t="inlineStr">
        <is>
          <t>Cali</t>
        </is>
      </c>
      <c r="D3334" t="inlineStr">
        <is>
          <t>5887</t>
        </is>
      </c>
      <c r="E3334" t="inlineStr">
        <is>
          <t>pagado</t>
        </is>
      </c>
      <c r="F3334" s="23" t="n">
        <v>46267</v>
      </c>
      <c r="G3334" s="24">
        <f>F3334-DATE(2026,8,31)</f>
        <v>2</v>
      </c>
      <c r="H3334" s="25" t="n">
        <v>120439918</v>
      </c>
      <c r="I3334" t="inlineStr">
        <is>
          <t>entidad-dia</t>
        </is>
      </c>
    </row>
    <row r="3335">
      <c r="A3335" t="inlineStr">
        <is>
          <t>PRAGMA</t>
        </is>
      </c>
      <c r="B3335" t="inlineStr">
        <is>
          <t>M1</t>
        </is>
      </c>
      <c r="C3335" t="inlineStr">
        <is>
          <t>Cali</t>
        </is>
      </c>
      <c r="D3335" t="inlineStr">
        <is>
          <t>5887</t>
        </is>
      </c>
      <c r="E3335" t="inlineStr">
        <is>
          <t>pagado</t>
        </is>
      </c>
      <c r="F3335" s="23" t="n">
        <v>46268</v>
      </c>
      <c r="G3335" s="24">
        <f>F3335-DATE(2026,8,31)</f>
        <v>3</v>
      </c>
      <c r="H3335" s="25" t="n">
        <v>100569282</v>
      </c>
      <c r="I3335" t="inlineStr">
        <is>
          <t>entidad-dia</t>
        </is>
      </c>
    </row>
    <row r="3336">
      <c r="A3336" t="inlineStr">
        <is>
          <t>PRAGMA</t>
        </is>
      </c>
      <c r="B3336" t="inlineStr">
        <is>
          <t>M1</t>
        </is>
      </c>
      <c r="C3336" t="inlineStr">
        <is>
          <t>Cali</t>
        </is>
      </c>
      <c r="D3336" t="inlineStr">
        <is>
          <t>5887</t>
        </is>
      </c>
      <c r="E3336" t="inlineStr">
        <is>
          <t>pagado</t>
        </is>
      </c>
      <c r="F3336" s="23" t="n">
        <v>46269</v>
      </c>
      <c r="G3336" s="24">
        <f>F3336-DATE(2026,8,31)</f>
        <v>4</v>
      </c>
      <c r="H3336" s="25" t="n">
        <v>111548423</v>
      </c>
      <c r="I3336" t="inlineStr">
        <is>
          <t>entidad-dia</t>
        </is>
      </c>
    </row>
    <row r="3337">
      <c r="A3337" t="inlineStr">
        <is>
          <t>PRAGMA</t>
        </is>
      </c>
      <c r="B3337" t="inlineStr">
        <is>
          <t>M1</t>
        </is>
      </c>
      <c r="C3337" t="inlineStr">
        <is>
          <t>Cali</t>
        </is>
      </c>
      <c r="D3337" t="inlineStr">
        <is>
          <t>5887</t>
        </is>
      </c>
      <c r="E3337" t="inlineStr">
        <is>
          <t>pagado</t>
        </is>
      </c>
      <c r="F3337" s="23" t="n">
        <v>46270</v>
      </c>
      <c r="G3337" s="24">
        <f>F3337-DATE(2026,8,31)</f>
        <v>5</v>
      </c>
      <c r="H3337" s="25" t="n">
        <v>127044496</v>
      </c>
      <c r="I3337" t="inlineStr">
        <is>
          <t>entidad-dia</t>
        </is>
      </c>
    </row>
    <row r="3338">
      <c r="A3338" t="inlineStr">
        <is>
          <t>PRAGMA</t>
        </is>
      </c>
      <c r="B3338" t="inlineStr">
        <is>
          <t>M1</t>
        </is>
      </c>
      <c r="C3338" t="inlineStr">
        <is>
          <t>Cali</t>
        </is>
      </c>
      <c r="D3338" t="inlineStr">
        <is>
          <t>5887</t>
        </is>
      </c>
      <c r="E3338" t="inlineStr">
        <is>
          <t>pagado</t>
        </is>
      </c>
      <c r="F3338" s="23" t="n">
        <v>46271</v>
      </c>
      <c r="G3338" s="24">
        <f>F3338-DATE(2026,8,31)</f>
        <v>6</v>
      </c>
      <c r="H3338" s="25" t="n">
        <v>77757944</v>
      </c>
      <c r="I3338" t="inlineStr">
        <is>
          <t>entidad-dia</t>
        </is>
      </c>
    </row>
    <row r="3339">
      <c r="A3339" t="inlineStr">
        <is>
          <t>PRAGMA</t>
        </is>
      </c>
      <c r="B3339" t="inlineStr">
        <is>
          <t>M1</t>
        </is>
      </c>
      <c r="C3339" t="inlineStr">
        <is>
          <t>Cali</t>
        </is>
      </c>
      <c r="D3339" t="inlineStr">
        <is>
          <t>5887</t>
        </is>
      </c>
      <c r="E3339" t="inlineStr">
        <is>
          <t>pagado</t>
        </is>
      </c>
      <c r="F3339" s="23" t="n">
        <v>46272</v>
      </c>
      <c r="G3339" s="24">
        <f>F3339-DATE(2026,8,31)</f>
        <v>7</v>
      </c>
      <c r="H3339" s="25" t="n">
        <v>76403402</v>
      </c>
      <c r="I3339" t="inlineStr">
        <is>
          <t>entidad-dia</t>
        </is>
      </c>
    </row>
    <row r="3340">
      <c r="A3340" t="inlineStr">
        <is>
          <t>PRAGMA</t>
        </is>
      </c>
      <c r="B3340" t="inlineStr">
        <is>
          <t>M1</t>
        </is>
      </c>
      <c r="C3340" t="inlineStr">
        <is>
          <t>Cali</t>
        </is>
      </c>
      <c r="D3340" t="inlineStr">
        <is>
          <t>5887</t>
        </is>
      </c>
      <c r="E3340" t="inlineStr">
        <is>
          <t>pagado</t>
        </is>
      </c>
      <c r="F3340" s="23" t="n">
        <v>46273</v>
      </c>
      <c r="G3340" s="24">
        <f>F3340-DATE(2026,8,31)</f>
        <v>8</v>
      </c>
      <c r="H3340" s="25" t="n">
        <v>75052967</v>
      </c>
      <c r="I3340" t="inlineStr">
        <is>
          <t>entidad-dia</t>
        </is>
      </c>
    </row>
    <row r="3341">
      <c r="A3341" t="inlineStr">
        <is>
          <t>PRAGMA</t>
        </is>
      </c>
      <c r="B3341" t="inlineStr">
        <is>
          <t>M1</t>
        </is>
      </c>
      <c r="C3341" t="inlineStr">
        <is>
          <t>Cali</t>
        </is>
      </c>
      <c r="D3341" t="inlineStr">
        <is>
          <t>5887</t>
        </is>
      </c>
      <c r="E3341" t="inlineStr">
        <is>
          <t>pagado</t>
        </is>
      </c>
      <c r="F3341" s="23" t="n">
        <v>46274</v>
      </c>
      <c r="G3341" s="24">
        <f>F3341-DATE(2026,8,31)</f>
        <v>9</v>
      </c>
      <c r="H3341" s="25" t="n">
        <v>72513433</v>
      </c>
      <c r="I3341" t="inlineStr">
        <is>
          <t>entidad-dia</t>
        </is>
      </c>
    </row>
    <row r="3342">
      <c r="A3342" t="inlineStr">
        <is>
          <t>PRAGMA</t>
        </is>
      </c>
      <c r="B3342" t="inlineStr">
        <is>
          <t>M1</t>
        </is>
      </c>
      <c r="C3342" t="inlineStr">
        <is>
          <t>Cali</t>
        </is>
      </c>
      <c r="D3342" t="inlineStr">
        <is>
          <t>5887</t>
        </is>
      </c>
      <c r="E3342" t="inlineStr">
        <is>
          <t>pagado</t>
        </is>
      </c>
      <c r="F3342" s="23" t="n">
        <v>46275</v>
      </c>
      <c r="G3342" s="24">
        <f>F3342-DATE(2026,8,31)</f>
        <v>10</v>
      </c>
      <c r="H3342" s="25" t="n">
        <v>64450748</v>
      </c>
      <c r="I3342" t="inlineStr">
        <is>
          <t>entidad-dia</t>
        </is>
      </c>
    </row>
    <row r="3343">
      <c r="A3343" t="inlineStr">
        <is>
          <t>PRAGMA</t>
        </is>
      </c>
      <c r="B3343" t="inlineStr">
        <is>
          <t>M1</t>
        </is>
      </c>
      <c r="C3343" t="inlineStr">
        <is>
          <t>Cali</t>
        </is>
      </c>
      <c r="D3343" t="inlineStr">
        <is>
          <t>5887</t>
        </is>
      </c>
      <c r="E3343" t="inlineStr">
        <is>
          <t>pagado</t>
        </is>
      </c>
      <c r="F3343" s="23" t="n">
        <v>46276</v>
      </c>
      <c r="G3343" s="24">
        <f>F3343-DATE(2026,8,31)</f>
        <v>11</v>
      </c>
      <c r="H3343" s="25" t="n">
        <v>83523716</v>
      </c>
      <c r="I3343" t="inlineStr">
        <is>
          <t>entidad-dia</t>
        </is>
      </c>
    </row>
    <row r="3344">
      <c r="A3344" t="inlineStr">
        <is>
          <t>PRAGMA</t>
        </is>
      </c>
      <c r="B3344" t="inlineStr">
        <is>
          <t>M1</t>
        </is>
      </c>
      <c r="C3344" t="inlineStr">
        <is>
          <t>Cali</t>
        </is>
      </c>
      <c r="D3344" t="inlineStr">
        <is>
          <t>5887</t>
        </is>
      </c>
      <c r="E3344" t="inlineStr">
        <is>
          <t>pagado</t>
        </is>
      </c>
      <c r="F3344" s="23" t="n">
        <v>46277</v>
      </c>
      <c r="G3344" s="24">
        <f>F3344-DATE(2026,8,31)</f>
        <v>12</v>
      </c>
      <c r="H3344" s="25" t="n">
        <v>90895291</v>
      </c>
      <c r="I3344" t="inlineStr">
        <is>
          <t>entidad-dia</t>
        </is>
      </c>
    </row>
    <row r="3345">
      <c r="A3345" t="inlineStr">
        <is>
          <t>PRAGMA</t>
        </is>
      </c>
      <c r="B3345" t="inlineStr">
        <is>
          <t>M1</t>
        </is>
      </c>
      <c r="C3345" t="inlineStr">
        <is>
          <t>Cali</t>
        </is>
      </c>
      <c r="D3345" t="inlineStr">
        <is>
          <t>5887</t>
        </is>
      </c>
      <c r="E3345" t="inlineStr">
        <is>
          <t>pagado</t>
        </is>
      </c>
      <c r="F3345" s="23" t="n">
        <v>46278</v>
      </c>
      <c r="G3345" s="24">
        <f>F3345-DATE(2026,8,31)</f>
        <v>13</v>
      </c>
      <c r="H3345" s="25" t="n">
        <v>57969270</v>
      </c>
      <c r="I3345" t="inlineStr">
        <is>
          <t>entidad-dia</t>
        </is>
      </c>
    </row>
    <row r="3346">
      <c r="A3346" t="inlineStr">
        <is>
          <t>PRAGMA</t>
        </is>
      </c>
      <c r="B3346" t="inlineStr">
        <is>
          <t>M1</t>
        </is>
      </c>
      <c r="C3346" t="inlineStr">
        <is>
          <t>Cali</t>
        </is>
      </c>
      <c r="D3346" t="inlineStr">
        <is>
          <t>5887</t>
        </is>
      </c>
      <c r="E3346" t="inlineStr">
        <is>
          <t>pagado</t>
        </is>
      </c>
      <c r="F3346" s="23" t="n">
        <v>46279</v>
      </c>
      <c r="G3346" s="24">
        <f>F3346-DATE(2026,8,31)</f>
        <v>14</v>
      </c>
      <c r="H3346" s="25" t="n">
        <v>75569250</v>
      </c>
      <c r="I3346" t="inlineStr">
        <is>
          <t>entidad-dia</t>
        </is>
      </c>
    </row>
    <row r="3347">
      <c r="A3347" t="inlineStr">
        <is>
          <t>PRAGMA</t>
        </is>
      </c>
      <c r="B3347" t="inlineStr">
        <is>
          <t>M1</t>
        </is>
      </c>
      <c r="C3347" t="inlineStr">
        <is>
          <t>Cali</t>
        </is>
      </c>
      <c r="D3347" t="inlineStr">
        <is>
          <t>5887</t>
        </is>
      </c>
      <c r="E3347" t="inlineStr">
        <is>
          <t>pagado</t>
        </is>
      </c>
      <c r="F3347" s="23" t="n">
        <v>46280</v>
      </c>
      <c r="G3347" s="24">
        <f>F3347-DATE(2026,8,31)</f>
        <v>15</v>
      </c>
      <c r="H3347" s="25" t="n">
        <v>117621200</v>
      </c>
      <c r="I3347" t="inlineStr">
        <is>
          <t>entidad-dia</t>
        </is>
      </c>
    </row>
    <row r="3348">
      <c r="A3348" t="inlineStr">
        <is>
          <t>PRAGMA</t>
        </is>
      </c>
      <c r="B3348" t="inlineStr">
        <is>
          <t>M1</t>
        </is>
      </c>
      <c r="C3348" t="inlineStr">
        <is>
          <t>Cali</t>
        </is>
      </c>
      <c r="D3348" t="inlineStr">
        <is>
          <t>5889</t>
        </is>
      </c>
      <c r="E3348" t="inlineStr">
        <is>
          <t>pagado</t>
        </is>
      </c>
      <c r="F3348" s="23" t="n">
        <v>46266</v>
      </c>
      <c r="G3348" s="24">
        <f>F3348-DATE(2026,8,31)</f>
        <v>1</v>
      </c>
      <c r="H3348" s="25" t="n">
        <v>68268539</v>
      </c>
      <c r="I3348" t="inlineStr">
        <is>
          <t>entidad-dia</t>
        </is>
      </c>
    </row>
    <row r="3349">
      <c r="A3349" t="inlineStr">
        <is>
          <t>PRAGMA</t>
        </is>
      </c>
      <c r="B3349" t="inlineStr">
        <is>
          <t>M1</t>
        </is>
      </c>
      <c r="C3349" t="inlineStr">
        <is>
          <t>Cali</t>
        </is>
      </c>
      <c r="D3349" t="inlineStr">
        <is>
          <t>5889</t>
        </is>
      </c>
      <c r="E3349" t="inlineStr">
        <is>
          <t>pagado</t>
        </is>
      </c>
      <c r="F3349" s="23" t="n">
        <v>46267</v>
      </c>
      <c r="G3349" s="24">
        <f>F3349-DATE(2026,8,31)</f>
        <v>2</v>
      </c>
      <c r="H3349" s="25" t="n">
        <v>41002300</v>
      </c>
      <c r="I3349" t="inlineStr">
        <is>
          <t>entidad-dia</t>
        </is>
      </c>
    </row>
    <row r="3350">
      <c r="A3350" t="inlineStr">
        <is>
          <t>PRAGMA</t>
        </is>
      </c>
      <c r="B3350" t="inlineStr">
        <is>
          <t>M1</t>
        </is>
      </c>
      <c r="C3350" t="inlineStr">
        <is>
          <t>Cali</t>
        </is>
      </c>
      <c r="D3350" t="inlineStr">
        <is>
          <t>5889</t>
        </is>
      </c>
      <c r="E3350" t="inlineStr">
        <is>
          <t>pagado</t>
        </is>
      </c>
      <c r="F3350" s="23" t="n">
        <v>46268</v>
      </c>
      <c r="G3350" s="24">
        <f>F3350-DATE(2026,8,31)</f>
        <v>3</v>
      </c>
      <c r="H3350" s="25" t="n">
        <v>36254376</v>
      </c>
      <c r="I3350" t="inlineStr">
        <is>
          <t>entidad-dia</t>
        </is>
      </c>
    </row>
    <row r="3351">
      <c r="A3351" t="inlineStr">
        <is>
          <t>PRAGMA</t>
        </is>
      </c>
      <c r="B3351" t="inlineStr">
        <is>
          <t>M1</t>
        </is>
      </c>
      <c r="C3351" t="inlineStr">
        <is>
          <t>Cali</t>
        </is>
      </c>
      <c r="D3351" t="inlineStr">
        <is>
          <t>5889</t>
        </is>
      </c>
      <c r="E3351" t="inlineStr">
        <is>
          <t>pagado</t>
        </is>
      </c>
      <c r="F3351" s="23" t="n">
        <v>46269</v>
      </c>
      <c r="G3351" s="24">
        <f>F3351-DATE(2026,8,31)</f>
        <v>4</v>
      </c>
      <c r="H3351" s="25" t="n">
        <v>47564256</v>
      </c>
      <c r="I3351" t="inlineStr">
        <is>
          <t>entidad-dia</t>
        </is>
      </c>
    </row>
    <row r="3352">
      <c r="A3352" t="inlineStr">
        <is>
          <t>PRAGMA</t>
        </is>
      </c>
      <c r="B3352" t="inlineStr">
        <is>
          <t>M1</t>
        </is>
      </c>
      <c r="C3352" t="inlineStr">
        <is>
          <t>Cali</t>
        </is>
      </c>
      <c r="D3352" t="inlineStr">
        <is>
          <t>5889</t>
        </is>
      </c>
      <c r="E3352" t="inlineStr">
        <is>
          <t>pagado</t>
        </is>
      </c>
      <c r="F3352" s="23" t="n">
        <v>46270</v>
      </c>
      <c r="G3352" s="24">
        <f>F3352-DATE(2026,8,31)</f>
        <v>5</v>
      </c>
      <c r="H3352" s="25" t="n">
        <v>32647240</v>
      </c>
      <c r="I3352" t="inlineStr">
        <is>
          <t>entidad-dia</t>
        </is>
      </c>
    </row>
    <row r="3353">
      <c r="A3353" t="inlineStr">
        <is>
          <t>PRAGMA</t>
        </is>
      </c>
      <c r="B3353" t="inlineStr">
        <is>
          <t>M1</t>
        </is>
      </c>
      <c r="C3353" t="inlineStr">
        <is>
          <t>Cali</t>
        </is>
      </c>
      <c r="D3353" t="inlineStr">
        <is>
          <t>5889</t>
        </is>
      </c>
      <c r="E3353" t="inlineStr">
        <is>
          <t>pagado</t>
        </is>
      </c>
      <c r="F3353" s="23" t="n">
        <v>46271</v>
      </c>
      <c r="G3353" s="24">
        <f>F3353-DATE(2026,8,31)</f>
        <v>6</v>
      </c>
      <c r="H3353" s="25" t="n">
        <v>6649183</v>
      </c>
      <c r="I3353" t="inlineStr">
        <is>
          <t>entidad-dia</t>
        </is>
      </c>
    </row>
    <row r="3354">
      <c r="A3354" t="inlineStr">
        <is>
          <t>PRAGMA</t>
        </is>
      </c>
      <c r="B3354" t="inlineStr">
        <is>
          <t>M1</t>
        </is>
      </c>
      <c r="C3354" t="inlineStr">
        <is>
          <t>Cali</t>
        </is>
      </c>
      <c r="D3354" t="inlineStr">
        <is>
          <t>5889</t>
        </is>
      </c>
      <c r="E3354" t="inlineStr">
        <is>
          <t>pagado</t>
        </is>
      </c>
      <c r="F3354" s="23" t="n">
        <v>46272</v>
      </c>
      <c r="G3354" s="24">
        <f>F3354-DATE(2026,8,31)</f>
        <v>7</v>
      </c>
      <c r="H3354" s="25" t="n">
        <v>29051986</v>
      </c>
      <c r="I3354" t="inlineStr">
        <is>
          <t>entidad-dia</t>
        </is>
      </c>
    </row>
    <row r="3355">
      <c r="A3355" t="inlineStr">
        <is>
          <t>PRAGMA</t>
        </is>
      </c>
      <c r="B3355" t="inlineStr">
        <is>
          <t>M1</t>
        </is>
      </c>
      <c r="C3355" t="inlineStr">
        <is>
          <t>Cali</t>
        </is>
      </c>
      <c r="D3355" t="inlineStr">
        <is>
          <t>5889</t>
        </is>
      </c>
      <c r="E3355" t="inlineStr">
        <is>
          <t>pagado</t>
        </is>
      </c>
      <c r="F3355" s="23" t="n">
        <v>46273</v>
      </c>
      <c r="G3355" s="24">
        <f>F3355-DATE(2026,8,31)</f>
        <v>8</v>
      </c>
      <c r="H3355" s="25" t="n">
        <v>23913634</v>
      </c>
      <c r="I3355" t="inlineStr">
        <is>
          <t>entidad-dia</t>
        </is>
      </c>
    </row>
    <row r="3356">
      <c r="A3356" t="inlineStr">
        <is>
          <t>PRAGMA</t>
        </is>
      </c>
      <c r="B3356" t="inlineStr">
        <is>
          <t>M1</t>
        </is>
      </c>
      <c r="C3356" t="inlineStr">
        <is>
          <t>Cali</t>
        </is>
      </c>
      <c r="D3356" t="inlineStr">
        <is>
          <t>5889</t>
        </is>
      </c>
      <c r="E3356" t="inlineStr">
        <is>
          <t>pagado</t>
        </is>
      </c>
      <c r="F3356" s="23" t="n">
        <v>46274</v>
      </c>
      <c r="G3356" s="24">
        <f>F3356-DATE(2026,8,31)</f>
        <v>9</v>
      </c>
      <c r="H3356" s="25" t="n">
        <v>29257260</v>
      </c>
      <c r="I3356" t="inlineStr">
        <is>
          <t>entidad-dia</t>
        </is>
      </c>
    </row>
    <row r="3357">
      <c r="A3357" t="inlineStr">
        <is>
          <t>PRAGMA</t>
        </is>
      </c>
      <c r="B3357" t="inlineStr">
        <is>
          <t>M1</t>
        </is>
      </c>
      <c r="C3357" t="inlineStr">
        <is>
          <t>Cali</t>
        </is>
      </c>
      <c r="D3357" t="inlineStr">
        <is>
          <t>5889</t>
        </is>
      </c>
      <c r="E3357" t="inlineStr">
        <is>
          <t>pagado</t>
        </is>
      </c>
      <c r="F3357" s="23" t="n">
        <v>46275</v>
      </c>
      <c r="G3357" s="24">
        <f>F3357-DATE(2026,8,31)</f>
        <v>10</v>
      </c>
      <c r="H3357" s="25" t="n">
        <v>23593374</v>
      </c>
      <c r="I3357" t="inlineStr">
        <is>
          <t>entidad-dia</t>
        </is>
      </c>
    </row>
    <row r="3358">
      <c r="A3358" t="inlineStr">
        <is>
          <t>PRAGMA</t>
        </is>
      </c>
      <c r="B3358" t="inlineStr">
        <is>
          <t>M1</t>
        </is>
      </c>
      <c r="C3358" t="inlineStr">
        <is>
          <t>Cali</t>
        </is>
      </c>
      <c r="D3358" t="inlineStr">
        <is>
          <t>5889</t>
        </is>
      </c>
      <c r="E3358" t="inlineStr">
        <is>
          <t>pagado</t>
        </is>
      </c>
      <c r="F3358" s="23" t="n">
        <v>46276</v>
      </c>
      <c r="G3358" s="24">
        <f>F3358-DATE(2026,8,31)</f>
        <v>11</v>
      </c>
      <c r="H3358" s="25" t="n">
        <v>30848085</v>
      </c>
      <c r="I3358" t="inlineStr">
        <is>
          <t>entidad-dia</t>
        </is>
      </c>
    </row>
    <row r="3359">
      <c r="A3359" t="inlineStr">
        <is>
          <t>PRAGMA</t>
        </is>
      </c>
      <c r="B3359" t="inlineStr">
        <is>
          <t>M1</t>
        </is>
      </c>
      <c r="C3359" t="inlineStr">
        <is>
          <t>Cali</t>
        </is>
      </c>
      <c r="D3359" t="inlineStr">
        <is>
          <t>5889</t>
        </is>
      </c>
      <c r="E3359" t="inlineStr">
        <is>
          <t>pagado</t>
        </is>
      </c>
      <c r="F3359" s="23" t="n">
        <v>46277</v>
      </c>
      <c r="G3359" s="24">
        <f>F3359-DATE(2026,8,31)</f>
        <v>12</v>
      </c>
      <c r="H3359" s="25" t="n">
        <v>28824660</v>
      </c>
      <c r="I3359" t="inlineStr">
        <is>
          <t>entidad-dia</t>
        </is>
      </c>
    </row>
    <row r="3360">
      <c r="A3360" t="inlineStr">
        <is>
          <t>PRAGMA</t>
        </is>
      </c>
      <c r="B3360" t="inlineStr">
        <is>
          <t>M1</t>
        </is>
      </c>
      <c r="C3360" t="inlineStr">
        <is>
          <t>Cali</t>
        </is>
      </c>
      <c r="D3360" t="inlineStr">
        <is>
          <t>5889</t>
        </is>
      </c>
      <c r="E3360" t="inlineStr">
        <is>
          <t>pagado</t>
        </is>
      </c>
      <c r="F3360" s="23" t="n">
        <v>46278</v>
      </c>
      <c r="G3360" s="24">
        <f>F3360-DATE(2026,8,31)</f>
        <v>13</v>
      </c>
      <c r="H3360" s="25" t="n">
        <v>5303595</v>
      </c>
      <c r="I3360" t="inlineStr">
        <is>
          <t>entidad-dia</t>
        </is>
      </c>
    </row>
    <row r="3361">
      <c r="A3361" t="inlineStr">
        <is>
          <t>PRAGMA</t>
        </is>
      </c>
      <c r="B3361" t="inlineStr">
        <is>
          <t>M1</t>
        </is>
      </c>
      <c r="C3361" t="inlineStr">
        <is>
          <t>Cali</t>
        </is>
      </c>
      <c r="D3361" t="inlineStr">
        <is>
          <t>5889</t>
        </is>
      </c>
      <c r="E3361" t="inlineStr">
        <is>
          <t>pagado</t>
        </is>
      </c>
      <c r="F3361" s="23" t="n">
        <v>46279</v>
      </c>
      <c r="G3361" s="24">
        <f>F3361-DATE(2026,8,31)</f>
        <v>14</v>
      </c>
      <c r="H3361" s="25" t="n">
        <v>39592155</v>
      </c>
      <c r="I3361" t="inlineStr">
        <is>
          <t>entidad-dia</t>
        </is>
      </c>
    </row>
    <row r="3362">
      <c r="A3362" t="inlineStr">
        <is>
          <t>PRAGMA</t>
        </is>
      </c>
      <c r="B3362" t="inlineStr">
        <is>
          <t>M1</t>
        </is>
      </c>
      <c r="C3362" t="inlineStr">
        <is>
          <t>Cali</t>
        </is>
      </c>
      <c r="D3362" t="inlineStr">
        <is>
          <t>5889</t>
        </is>
      </c>
      <c r="E3362" t="inlineStr">
        <is>
          <t>pagado</t>
        </is>
      </c>
      <c r="F3362" s="23" t="n">
        <v>46280</v>
      </c>
      <c r="G3362" s="24">
        <f>F3362-DATE(2026,8,31)</f>
        <v>15</v>
      </c>
      <c r="H3362" s="25" t="n">
        <v>146966124</v>
      </c>
      <c r="I3362" t="inlineStr">
        <is>
          <t>entidad-dia</t>
        </is>
      </c>
    </row>
    <row r="3363">
      <c r="A3363" t="inlineStr">
        <is>
          <t>PRAGMA</t>
        </is>
      </c>
      <c r="B3363" t="inlineStr">
        <is>
          <t>M1</t>
        </is>
      </c>
      <c r="C3363" t="inlineStr">
        <is>
          <t>Cali</t>
        </is>
      </c>
      <c r="D3363" t="inlineStr">
        <is>
          <t>5923</t>
        </is>
      </c>
      <c r="E3363" t="inlineStr">
        <is>
          <t>pagado</t>
        </is>
      </c>
      <c r="F3363" s="23" t="n">
        <v>46266</v>
      </c>
      <c r="G3363" s="24">
        <f>F3363-DATE(2026,8,31)</f>
        <v>1</v>
      </c>
      <c r="H3363" s="25" t="n">
        <v>174638603</v>
      </c>
      <c r="I3363" t="inlineStr">
        <is>
          <t>entidad-dia</t>
        </is>
      </c>
    </row>
    <row r="3364">
      <c r="A3364" t="inlineStr">
        <is>
          <t>PRAGMA</t>
        </is>
      </c>
      <c r="B3364" t="inlineStr">
        <is>
          <t>M1</t>
        </is>
      </c>
      <c r="C3364" t="inlineStr">
        <is>
          <t>Cali</t>
        </is>
      </c>
      <c r="D3364" t="inlineStr">
        <is>
          <t>5923</t>
        </is>
      </c>
      <c r="E3364" t="inlineStr">
        <is>
          <t>pagado</t>
        </is>
      </c>
      <c r="F3364" s="23" t="n">
        <v>46267</v>
      </c>
      <c r="G3364" s="24">
        <f>F3364-DATE(2026,8,31)</f>
        <v>2</v>
      </c>
      <c r="H3364" s="25" t="n">
        <v>132138581</v>
      </c>
      <c r="I3364" t="inlineStr">
        <is>
          <t>entidad-dia</t>
        </is>
      </c>
    </row>
    <row r="3365">
      <c r="A3365" t="inlineStr">
        <is>
          <t>PRAGMA</t>
        </is>
      </c>
      <c r="B3365" t="inlineStr">
        <is>
          <t>M1</t>
        </is>
      </c>
      <c r="C3365" t="inlineStr">
        <is>
          <t>Cali</t>
        </is>
      </c>
      <c r="D3365" t="inlineStr">
        <is>
          <t>5923</t>
        </is>
      </c>
      <c r="E3365" t="inlineStr">
        <is>
          <t>pagado</t>
        </is>
      </c>
      <c r="F3365" s="23" t="n">
        <v>46268</v>
      </c>
      <c r="G3365" s="24">
        <f>F3365-DATE(2026,8,31)</f>
        <v>3</v>
      </c>
      <c r="H3365" s="25" t="n">
        <v>116988945</v>
      </c>
      <c r="I3365" t="inlineStr">
        <is>
          <t>entidad-dia</t>
        </is>
      </c>
    </row>
    <row r="3366">
      <c r="A3366" t="inlineStr">
        <is>
          <t>PRAGMA</t>
        </is>
      </c>
      <c r="B3366" t="inlineStr">
        <is>
          <t>M1</t>
        </is>
      </c>
      <c r="C3366" t="inlineStr">
        <is>
          <t>Cali</t>
        </is>
      </c>
      <c r="D3366" t="inlineStr">
        <is>
          <t>5923</t>
        </is>
      </c>
      <c r="E3366" t="inlineStr">
        <is>
          <t>pagado</t>
        </is>
      </c>
      <c r="F3366" s="23" t="n">
        <v>46269</v>
      </c>
      <c r="G3366" s="24">
        <f>F3366-DATE(2026,8,31)</f>
        <v>4</v>
      </c>
      <c r="H3366" s="25" t="n">
        <v>128276935</v>
      </c>
      <c r="I3366" t="inlineStr">
        <is>
          <t>entidad-dia</t>
        </is>
      </c>
    </row>
    <row r="3367">
      <c r="A3367" t="inlineStr">
        <is>
          <t>PRAGMA</t>
        </is>
      </c>
      <c r="B3367" t="inlineStr">
        <is>
          <t>M1</t>
        </is>
      </c>
      <c r="C3367" t="inlineStr">
        <is>
          <t>Cali</t>
        </is>
      </c>
      <c r="D3367" t="inlineStr">
        <is>
          <t>5923</t>
        </is>
      </c>
      <c r="E3367" t="inlineStr">
        <is>
          <t>pagado</t>
        </is>
      </c>
      <c r="F3367" s="23" t="n">
        <v>46270</v>
      </c>
      <c r="G3367" s="24">
        <f>F3367-DATE(2026,8,31)</f>
        <v>5</v>
      </c>
      <c r="H3367" s="25" t="n">
        <v>143848019</v>
      </c>
      <c r="I3367" t="inlineStr">
        <is>
          <t>entidad-dia</t>
        </is>
      </c>
    </row>
    <row r="3368">
      <c r="A3368" t="inlineStr">
        <is>
          <t>PRAGMA</t>
        </is>
      </c>
      <c r="B3368" t="inlineStr">
        <is>
          <t>M1</t>
        </is>
      </c>
      <c r="C3368" t="inlineStr">
        <is>
          <t>Cali</t>
        </is>
      </c>
      <c r="D3368" t="inlineStr">
        <is>
          <t>5923</t>
        </is>
      </c>
      <c r="E3368" t="inlineStr">
        <is>
          <t>pagado</t>
        </is>
      </c>
      <c r="F3368" s="23" t="n">
        <v>46271</v>
      </c>
      <c r="G3368" s="24">
        <f>F3368-DATE(2026,8,31)</f>
        <v>6</v>
      </c>
      <c r="H3368" s="25" t="n">
        <v>93584299</v>
      </c>
      <c r="I3368" t="inlineStr">
        <is>
          <t>entidad-dia</t>
        </is>
      </c>
    </row>
    <row r="3369">
      <c r="A3369" t="inlineStr">
        <is>
          <t>PRAGMA</t>
        </is>
      </c>
      <c r="B3369" t="inlineStr">
        <is>
          <t>M1</t>
        </is>
      </c>
      <c r="C3369" t="inlineStr">
        <is>
          <t>Cali</t>
        </is>
      </c>
      <c r="D3369" t="inlineStr">
        <is>
          <t>5923</t>
        </is>
      </c>
      <c r="E3369" t="inlineStr">
        <is>
          <t>pagado</t>
        </is>
      </c>
      <c r="F3369" s="23" t="n">
        <v>46272</v>
      </c>
      <c r="G3369" s="24">
        <f>F3369-DATE(2026,8,31)</f>
        <v>7</v>
      </c>
      <c r="H3369" s="25" t="n">
        <v>108784387</v>
      </c>
      <c r="I3369" t="inlineStr">
        <is>
          <t>entidad-dia</t>
        </is>
      </c>
    </row>
    <row r="3370">
      <c r="A3370" t="inlineStr">
        <is>
          <t>PRAGMA</t>
        </is>
      </c>
      <c r="B3370" t="inlineStr">
        <is>
          <t>M1</t>
        </is>
      </c>
      <c r="C3370" t="inlineStr">
        <is>
          <t>Cali</t>
        </is>
      </c>
      <c r="D3370" t="inlineStr">
        <is>
          <t>5923</t>
        </is>
      </c>
      <c r="E3370" t="inlineStr">
        <is>
          <t>pagado</t>
        </is>
      </c>
      <c r="F3370" s="23" t="n">
        <v>46273</v>
      </c>
      <c r="G3370" s="24">
        <f>F3370-DATE(2026,8,31)</f>
        <v>8</v>
      </c>
      <c r="H3370" s="25" t="n">
        <v>89488521</v>
      </c>
      <c r="I3370" t="inlineStr">
        <is>
          <t>entidad-dia</t>
        </is>
      </c>
    </row>
    <row r="3371">
      <c r="A3371" t="inlineStr">
        <is>
          <t>PRAGMA</t>
        </is>
      </c>
      <c r="B3371" t="inlineStr">
        <is>
          <t>M1</t>
        </is>
      </c>
      <c r="C3371" t="inlineStr">
        <is>
          <t>Cali</t>
        </is>
      </c>
      <c r="D3371" t="inlineStr">
        <is>
          <t>5923</t>
        </is>
      </c>
      <c r="E3371" t="inlineStr">
        <is>
          <t>pagado</t>
        </is>
      </c>
      <c r="F3371" s="23" t="n">
        <v>46274</v>
      </c>
      <c r="G3371" s="24">
        <f>F3371-DATE(2026,8,31)</f>
        <v>9</v>
      </c>
      <c r="H3371" s="25" t="n">
        <v>81315693</v>
      </c>
      <c r="I3371" t="inlineStr">
        <is>
          <t>entidad-dia</t>
        </is>
      </c>
    </row>
    <row r="3372">
      <c r="A3372" t="inlineStr">
        <is>
          <t>PRAGMA</t>
        </is>
      </c>
      <c r="B3372" t="inlineStr">
        <is>
          <t>M1</t>
        </is>
      </c>
      <c r="C3372" t="inlineStr">
        <is>
          <t>Cali</t>
        </is>
      </c>
      <c r="D3372" t="inlineStr">
        <is>
          <t>5923</t>
        </is>
      </c>
      <c r="E3372" t="inlineStr">
        <is>
          <t>pagado</t>
        </is>
      </c>
      <c r="F3372" s="23" t="n">
        <v>46275</v>
      </c>
      <c r="G3372" s="24">
        <f>F3372-DATE(2026,8,31)</f>
        <v>10</v>
      </c>
      <c r="H3372" s="25" t="n">
        <v>78630844</v>
      </c>
      <c r="I3372" t="inlineStr">
        <is>
          <t>entidad-dia</t>
        </is>
      </c>
    </row>
    <row r="3373">
      <c r="A3373" t="inlineStr">
        <is>
          <t>PRAGMA</t>
        </is>
      </c>
      <c r="B3373" t="inlineStr">
        <is>
          <t>M1</t>
        </is>
      </c>
      <c r="C3373" t="inlineStr">
        <is>
          <t>Cali</t>
        </is>
      </c>
      <c r="D3373" t="inlineStr">
        <is>
          <t>5923</t>
        </is>
      </c>
      <c r="E3373" t="inlineStr">
        <is>
          <t>pagado</t>
        </is>
      </c>
      <c r="F3373" s="23" t="n">
        <v>46276</v>
      </c>
      <c r="G3373" s="24">
        <f>F3373-DATE(2026,8,31)</f>
        <v>11</v>
      </c>
      <c r="H3373" s="25" t="n">
        <v>92751798</v>
      </c>
      <c r="I3373" t="inlineStr">
        <is>
          <t>entidad-dia</t>
        </is>
      </c>
    </row>
    <row r="3374">
      <c r="A3374" t="inlineStr">
        <is>
          <t>PRAGMA</t>
        </is>
      </c>
      <c r="B3374" t="inlineStr">
        <is>
          <t>M1</t>
        </is>
      </c>
      <c r="C3374" t="inlineStr">
        <is>
          <t>Cali</t>
        </is>
      </c>
      <c r="D3374" t="inlineStr">
        <is>
          <t>5923</t>
        </is>
      </c>
      <c r="E3374" t="inlineStr">
        <is>
          <t>pagado</t>
        </is>
      </c>
      <c r="F3374" s="23" t="n">
        <v>46277</v>
      </c>
      <c r="G3374" s="24">
        <f>F3374-DATE(2026,8,31)</f>
        <v>12</v>
      </c>
      <c r="H3374" s="25" t="n">
        <v>105244217</v>
      </c>
      <c r="I3374" t="inlineStr">
        <is>
          <t>entidad-dia</t>
        </is>
      </c>
    </row>
    <row r="3375">
      <c r="A3375" t="inlineStr">
        <is>
          <t>PRAGMA</t>
        </is>
      </c>
      <c r="B3375" t="inlineStr">
        <is>
          <t>M1</t>
        </is>
      </c>
      <c r="C3375" t="inlineStr">
        <is>
          <t>Cali</t>
        </is>
      </c>
      <c r="D3375" t="inlineStr">
        <is>
          <t>5923</t>
        </is>
      </c>
      <c r="E3375" t="inlineStr">
        <is>
          <t>pagado</t>
        </is>
      </c>
      <c r="F3375" s="23" t="n">
        <v>46278</v>
      </c>
      <c r="G3375" s="24">
        <f>F3375-DATE(2026,8,31)</f>
        <v>13</v>
      </c>
      <c r="H3375" s="25" t="n">
        <v>72047395</v>
      </c>
      <c r="I3375" t="inlineStr">
        <is>
          <t>entidad-dia</t>
        </is>
      </c>
    </row>
    <row r="3376">
      <c r="A3376" t="inlineStr">
        <is>
          <t>PRAGMA</t>
        </is>
      </c>
      <c r="B3376" t="inlineStr">
        <is>
          <t>M1</t>
        </is>
      </c>
      <c r="C3376" t="inlineStr">
        <is>
          <t>Cali</t>
        </is>
      </c>
      <c r="D3376" t="inlineStr">
        <is>
          <t>5923</t>
        </is>
      </c>
      <c r="E3376" t="inlineStr">
        <is>
          <t>pagado</t>
        </is>
      </c>
      <c r="F3376" s="23" t="n">
        <v>46279</v>
      </c>
      <c r="G3376" s="24">
        <f>F3376-DATE(2026,8,31)</f>
        <v>14</v>
      </c>
      <c r="H3376" s="25" t="n">
        <v>102236451</v>
      </c>
      <c r="I3376" t="inlineStr">
        <is>
          <t>entidad-dia</t>
        </is>
      </c>
    </row>
    <row r="3377">
      <c r="A3377" t="inlineStr">
        <is>
          <t>PRAGMA</t>
        </is>
      </c>
      <c r="B3377" t="inlineStr">
        <is>
          <t>M1</t>
        </is>
      </c>
      <c r="C3377" t="inlineStr">
        <is>
          <t>Cali</t>
        </is>
      </c>
      <c r="D3377" t="inlineStr">
        <is>
          <t>5923</t>
        </is>
      </c>
      <c r="E3377" t="inlineStr">
        <is>
          <t>pagado</t>
        </is>
      </c>
      <c r="F3377" s="23" t="n">
        <v>46280</v>
      </c>
      <c r="G3377" s="24">
        <f>F3377-DATE(2026,8,31)</f>
        <v>15</v>
      </c>
      <c r="H3377" s="25" t="n">
        <v>137858715</v>
      </c>
      <c r="I3377" t="inlineStr">
        <is>
          <t>entidad-dia</t>
        </is>
      </c>
    </row>
    <row r="3378">
      <c r="A3378" t="inlineStr">
        <is>
          <t>PRAGMA</t>
        </is>
      </c>
      <c r="B3378" t="inlineStr">
        <is>
          <t>M1</t>
        </is>
      </c>
      <c r="C3378" t="inlineStr">
        <is>
          <t>Cali</t>
        </is>
      </c>
      <c r="D3378" t="inlineStr">
        <is>
          <t>5932</t>
        </is>
      </c>
      <c r="E3378" t="inlineStr">
        <is>
          <t>pagado</t>
        </is>
      </c>
      <c r="F3378" s="23" t="n">
        <v>46266</v>
      </c>
      <c r="G3378" s="24">
        <f>F3378-DATE(2026,8,31)</f>
        <v>1</v>
      </c>
      <c r="H3378" s="25" t="n">
        <v>162026087</v>
      </c>
      <c r="I3378" t="inlineStr">
        <is>
          <t>entidad-dia</t>
        </is>
      </c>
    </row>
    <row r="3379">
      <c r="A3379" t="inlineStr">
        <is>
          <t>PRAGMA</t>
        </is>
      </c>
      <c r="B3379" t="inlineStr">
        <is>
          <t>M1</t>
        </is>
      </c>
      <c r="C3379" t="inlineStr">
        <is>
          <t>Cali</t>
        </is>
      </c>
      <c r="D3379" t="inlineStr">
        <is>
          <t>5932</t>
        </is>
      </c>
      <c r="E3379" t="inlineStr">
        <is>
          <t>pagado</t>
        </is>
      </c>
      <c r="F3379" s="23" t="n">
        <v>46267</v>
      </c>
      <c r="G3379" s="24">
        <f>F3379-DATE(2026,8,31)</f>
        <v>2</v>
      </c>
      <c r="H3379" s="25" t="n">
        <v>103810303</v>
      </c>
      <c r="I3379" t="inlineStr">
        <is>
          <t>entidad-dia</t>
        </is>
      </c>
    </row>
    <row r="3380">
      <c r="A3380" t="inlineStr">
        <is>
          <t>PRAGMA</t>
        </is>
      </c>
      <c r="B3380" t="inlineStr">
        <is>
          <t>M1</t>
        </is>
      </c>
      <c r="C3380" t="inlineStr">
        <is>
          <t>Cali</t>
        </is>
      </c>
      <c r="D3380" t="inlineStr">
        <is>
          <t>5932</t>
        </is>
      </c>
      <c r="E3380" t="inlineStr">
        <is>
          <t>pagado</t>
        </is>
      </c>
      <c r="F3380" s="23" t="n">
        <v>46268</v>
      </c>
      <c r="G3380" s="24">
        <f>F3380-DATE(2026,8,31)</f>
        <v>3</v>
      </c>
      <c r="H3380" s="25" t="n">
        <v>99804268</v>
      </c>
      <c r="I3380" t="inlineStr">
        <is>
          <t>entidad-dia</t>
        </is>
      </c>
    </row>
    <row r="3381">
      <c r="A3381" t="inlineStr">
        <is>
          <t>PRAGMA</t>
        </is>
      </c>
      <c r="B3381" t="inlineStr">
        <is>
          <t>M1</t>
        </is>
      </c>
      <c r="C3381" t="inlineStr">
        <is>
          <t>Cali</t>
        </is>
      </c>
      <c r="D3381" t="inlineStr">
        <is>
          <t>5932</t>
        </is>
      </c>
      <c r="E3381" t="inlineStr">
        <is>
          <t>pagado</t>
        </is>
      </c>
      <c r="F3381" s="23" t="n">
        <v>46269</v>
      </c>
      <c r="G3381" s="24">
        <f>F3381-DATE(2026,8,31)</f>
        <v>4</v>
      </c>
      <c r="H3381" s="25" t="n">
        <v>96132502</v>
      </c>
      <c r="I3381" t="inlineStr">
        <is>
          <t>entidad-dia</t>
        </is>
      </c>
    </row>
    <row r="3382">
      <c r="A3382" t="inlineStr">
        <is>
          <t>PRAGMA</t>
        </is>
      </c>
      <c r="B3382" t="inlineStr">
        <is>
          <t>M1</t>
        </is>
      </c>
      <c r="C3382" t="inlineStr">
        <is>
          <t>Cali</t>
        </is>
      </c>
      <c r="D3382" t="inlineStr">
        <is>
          <t>5932</t>
        </is>
      </c>
      <c r="E3382" t="inlineStr">
        <is>
          <t>pagado</t>
        </is>
      </c>
      <c r="F3382" s="23" t="n">
        <v>46270</v>
      </c>
      <c r="G3382" s="24">
        <f>F3382-DATE(2026,8,31)</f>
        <v>5</v>
      </c>
      <c r="H3382" s="25" t="n">
        <v>104091610</v>
      </c>
      <c r="I3382" t="inlineStr">
        <is>
          <t>entidad-dia</t>
        </is>
      </c>
    </row>
    <row r="3383">
      <c r="A3383" t="inlineStr">
        <is>
          <t>PRAGMA</t>
        </is>
      </c>
      <c r="B3383" t="inlineStr">
        <is>
          <t>M1</t>
        </is>
      </c>
      <c r="C3383" t="inlineStr">
        <is>
          <t>Cali</t>
        </is>
      </c>
      <c r="D3383" t="inlineStr">
        <is>
          <t>5932</t>
        </is>
      </c>
      <c r="E3383" t="inlineStr">
        <is>
          <t>pagado</t>
        </is>
      </c>
      <c r="F3383" s="23" t="n">
        <v>46271</v>
      </c>
      <c r="G3383" s="24">
        <f>F3383-DATE(2026,8,31)</f>
        <v>6</v>
      </c>
      <c r="H3383" s="25" t="n">
        <v>80098981</v>
      </c>
      <c r="I3383" t="inlineStr">
        <is>
          <t>entidad-dia</t>
        </is>
      </c>
    </row>
    <row r="3384">
      <c r="A3384" t="inlineStr">
        <is>
          <t>PRAGMA</t>
        </is>
      </c>
      <c r="B3384" t="inlineStr">
        <is>
          <t>M1</t>
        </is>
      </c>
      <c r="C3384" t="inlineStr">
        <is>
          <t>Cali</t>
        </is>
      </c>
      <c r="D3384" t="inlineStr">
        <is>
          <t>5932</t>
        </is>
      </c>
      <c r="E3384" t="inlineStr">
        <is>
          <t>pagado</t>
        </is>
      </c>
      <c r="F3384" s="23" t="n">
        <v>46272</v>
      </c>
      <c r="G3384" s="24">
        <f>F3384-DATE(2026,8,31)</f>
        <v>7</v>
      </c>
      <c r="H3384" s="25" t="n">
        <v>79746058</v>
      </c>
      <c r="I3384" t="inlineStr">
        <is>
          <t>entidad-dia</t>
        </is>
      </c>
    </row>
    <row r="3385">
      <c r="A3385" t="inlineStr">
        <is>
          <t>PRAGMA</t>
        </is>
      </c>
      <c r="B3385" t="inlineStr">
        <is>
          <t>M1</t>
        </is>
      </c>
      <c r="C3385" t="inlineStr">
        <is>
          <t>Cali</t>
        </is>
      </c>
      <c r="D3385" t="inlineStr">
        <is>
          <t>5932</t>
        </is>
      </c>
      <c r="E3385" t="inlineStr">
        <is>
          <t>pagado</t>
        </is>
      </c>
      <c r="F3385" s="23" t="n">
        <v>46273</v>
      </c>
      <c r="G3385" s="24">
        <f>F3385-DATE(2026,8,31)</f>
        <v>8</v>
      </c>
      <c r="H3385" s="25" t="n">
        <v>72332893</v>
      </c>
      <c r="I3385" t="inlineStr">
        <is>
          <t>entidad-dia</t>
        </is>
      </c>
    </row>
    <row r="3386">
      <c r="A3386" t="inlineStr">
        <is>
          <t>PRAGMA</t>
        </is>
      </c>
      <c r="B3386" t="inlineStr">
        <is>
          <t>M1</t>
        </is>
      </c>
      <c r="C3386" t="inlineStr">
        <is>
          <t>Cali</t>
        </is>
      </c>
      <c r="D3386" t="inlineStr">
        <is>
          <t>5932</t>
        </is>
      </c>
      <c r="E3386" t="inlineStr">
        <is>
          <t>pagado</t>
        </is>
      </c>
      <c r="F3386" s="23" t="n">
        <v>46274</v>
      </c>
      <c r="G3386" s="24">
        <f>F3386-DATE(2026,8,31)</f>
        <v>9</v>
      </c>
      <c r="H3386" s="25" t="n">
        <v>70281074</v>
      </c>
      <c r="I3386" t="inlineStr">
        <is>
          <t>entidad-dia</t>
        </is>
      </c>
    </row>
    <row r="3387">
      <c r="A3387" t="inlineStr">
        <is>
          <t>PRAGMA</t>
        </is>
      </c>
      <c r="B3387" t="inlineStr">
        <is>
          <t>M1</t>
        </is>
      </c>
      <c r="C3387" t="inlineStr">
        <is>
          <t>Cali</t>
        </is>
      </c>
      <c r="D3387" t="inlineStr">
        <is>
          <t>5932</t>
        </is>
      </c>
      <c r="E3387" t="inlineStr">
        <is>
          <t>pagado</t>
        </is>
      </c>
      <c r="F3387" s="23" t="n">
        <v>46275</v>
      </c>
      <c r="G3387" s="24">
        <f>F3387-DATE(2026,8,31)</f>
        <v>10</v>
      </c>
      <c r="H3387" s="25" t="n">
        <v>65859977</v>
      </c>
      <c r="I3387" t="inlineStr">
        <is>
          <t>entidad-dia</t>
        </is>
      </c>
    </row>
    <row r="3388">
      <c r="A3388" t="inlineStr">
        <is>
          <t>PRAGMA</t>
        </is>
      </c>
      <c r="B3388" t="inlineStr">
        <is>
          <t>M1</t>
        </is>
      </c>
      <c r="C3388" t="inlineStr">
        <is>
          <t>Cali</t>
        </is>
      </c>
      <c r="D3388" t="inlineStr">
        <is>
          <t>5932</t>
        </is>
      </c>
      <c r="E3388" t="inlineStr">
        <is>
          <t>pagado</t>
        </is>
      </c>
      <c r="F3388" s="23" t="n">
        <v>46276</v>
      </c>
      <c r="G3388" s="24">
        <f>F3388-DATE(2026,8,31)</f>
        <v>11</v>
      </c>
      <c r="H3388" s="25" t="n">
        <v>61657400</v>
      </c>
      <c r="I3388" t="inlineStr">
        <is>
          <t>entidad-dia</t>
        </is>
      </c>
    </row>
    <row r="3389">
      <c r="A3389" t="inlineStr">
        <is>
          <t>PRAGMA</t>
        </is>
      </c>
      <c r="B3389" t="inlineStr">
        <is>
          <t>M1</t>
        </is>
      </c>
      <c r="C3389" t="inlineStr">
        <is>
          <t>Cali</t>
        </is>
      </c>
      <c r="D3389" t="inlineStr">
        <is>
          <t>5932</t>
        </is>
      </c>
      <c r="E3389" t="inlineStr">
        <is>
          <t>pagado</t>
        </is>
      </c>
      <c r="F3389" s="23" t="n">
        <v>46277</v>
      </c>
      <c r="G3389" s="24">
        <f>F3389-DATE(2026,8,31)</f>
        <v>12</v>
      </c>
      <c r="H3389" s="25" t="n">
        <v>72481346</v>
      </c>
      <c r="I3389" t="inlineStr">
        <is>
          <t>entidad-dia</t>
        </is>
      </c>
    </row>
    <row r="3390">
      <c r="A3390" t="inlineStr">
        <is>
          <t>PRAGMA</t>
        </is>
      </c>
      <c r="B3390" t="inlineStr">
        <is>
          <t>M1</t>
        </is>
      </c>
      <c r="C3390" t="inlineStr">
        <is>
          <t>Cali</t>
        </is>
      </c>
      <c r="D3390" t="inlineStr">
        <is>
          <t>5932</t>
        </is>
      </c>
      <c r="E3390" t="inlineStr">
        <is>
          <t>pagado</t>
        </is>
      </c>
      <c r="F3390" s="23" t="n">
        <v>46278</v>
      </c>
      <c r="G3390" s="24">
        <f>F3390-DATE(2026,8,31)</f>
        <v>13</v>
      </c>
      <c r="H3390" s="25" t="n">
        <v>60224855</v>
      </c>
      <c r="I3390" t="inlineStr">
        <is>
          <t>entidad-dia</t>
        </is>
      </c>
    </row>
    <row r="3391">
      <c r="A3391" t="inlineStr">
        <is>
          <t>PRAGMA</t>
        </is>
      </c>
      <c r="B3391" t="inlineStr">
        <is>
          <t>M1</t>
        </is>
      </c>
      <c r="C3391" t="inlineStr">
        <is>
          <t>Cali</t>
        </is>
      </c>
      <c r="D3391" t="inlineStr">
        <is>
          <t>5932</t>
        </is>
      </c>
      <c r="E3391" t="inlineStr">
        <is>
          <t>pagado</t>
        </is>
      </c>
      <c r="F3391" s="23" t="n">
        <v>46279</v>
      </c>
      <c r="G3391" s="24">
        <f>F3391-DATE(2026,8,31)</f>
        <v>14</v>
      </c>
      <c r="H3391" s="25" t="n">
        <v>67299006</v>
      </c>
      <c r="I3391" t="inlineStr">
        <is>
          <t>entidad-dia</t>
        </is>
      </c>
    </row>
    <row r="3392">
      <c r="A3392" t="inlineStr">
        <is>
          <t>PRAGMA</t>
        </is>
      </c>
      <c r="B3392" t="inlineStr">
        <is>
          <t>M1</t>
        </is>
      </c>
      <c r="C3392" t="inlineStr">
        <is>
          <t>Cali</t>
        </is>
      </c>
      <c r="D3392" t="inlineStr">
        <is>
          <t>5932</t>
        </is>
      </c>
      <c r="E3392" t="inlineStr">
        <is>
          <t>pagado</t>
        </is>
      </c>
      <c r="F3392" s="23" t="n">
        <v>46280</v>
      </c>
      <c r="G3392" s="24">
        <f>F3392-DATE(2026,8,31)</f>
        <v>15</v>
      </c>
      <c r="H3392" s="25" t="n">
        <v>100869857</v>
      </c>
      <c r="I3392" t="inlineStr">
        <is>
          <t>entidad-dia</t>
        </is>
      </c>
    </row>
    <row r="3393">
      <c r="A3393" t="inlineStr">
        <is>
          <t>PRAGMA</t>
        </is>
      </c>
      <c r="B3393" t="inlineStr">
        <is>
          <t>M1</t>
        </is>
      </c>
      <c r="C3393" t="inlineStr">
        <is>
          <t>Cali</t>
        </is>
      </c>
      <c r="D3393" t="inlineStr">
        <is>
          <t>5995</t>
        </is>
      </c>
      <c r="E3393" t="inlineStr">
        <is>
          <t>pagado</t>
        </is>
      </c>
      <c r="F3393" s="23" t="n">
        <v>46266</v>
      </c>
      <c r="G3393" s="24">
        <f>F3393-DATE(2026,8,31)</f>
        <v>1</v>
      </c>
      <c r="H3393" s="25" t="n">
        <v>130235675</v>
      </c>
      <c r="I3393" t="inlineStr">
        <is>
          <t>entidad-dia</t>
        </is>
      </c>
    </row>
    <row r="3394">
      <c r="A3394" t="inlineStr">
        <is>
          <t>PRAGMA</t>
        </is>
      </c>
      <c r="B3394" t="inlineStr">
        <is>
          <t>M1</t>
        </is>
      </c>
      <c r="C3394" t="inlineStr">
        <is>
          <t>Cali</t>
        </is>
      </c>
      <c r="D3394" t="inlineStr">
        <is>
          <t>5995</t>
        </is>
      </c>
      <c r="E3394" t="inlineStr">
        <is>
          <t>pagado</t>
        </is>
      </c>
      <c r="F3394" s="23" t="n">
        <v>46267</v>
      </c>
      <c r="G3394" s="24">
        <f>F3394-DATE(2026,8,31)</f>
        <v>2</v>
      </c>
      <c r="H3394" s="25" t="n">
        <v>106000313</v>
      </c>
      <c r="I3394" t="inlineStr">
        <is>
          <t>entidad-dia</t>
        </is>
      </c>
    </row>
    <row r="3395">
      <c r="A3395" t="inlineStr">
        <is>
          <t>PRAGMA</t>
        </is>
      </c>
      <c r="B3395" t="inlineStr">
        <is>
          <t>M1</t>
        </is>
      </c>
      <c r="C3395" t="inlineStr">
        <is>
          <t>Cali</t>
        </is>
      </c>
      <c r="D3395" t="inlineStr">
        <is>
          <t>5995</t>
        </is>
      </c>
      <c r="E3395" t="inlineStr">
        <is>
          <t>pagado</t>
        </is>
      </c>
      <c r="F3395" s="23" t="n">
        <v>46268</v>
      </c>
      <c r="G3395" s="24">
        <f>F3395-DATE(2026,8,31)</f>
        <v>3</v>
      </c>
      <c r="H3395" s="25" t="n">
        <v>96733801</v>
      </c>
      <c r="I3395" t="inlineStr">
        <is>
          <t>entidad-dia</t>
        </is>
      </c>
    </row>
    <row r="3396">
      <c r="A3396" t="inlineStr">
        <is>
          <t>PRAGMA</t>
        </is>
      </c>
      <c r="B3396" t="inlineStr">
        <is>
          <t>M1</t>
        </is>
      </c>
      <c r="C3396" t="inlineStr">
        <is>
          <t>Cali</t>
        </is>
      </c>
      <c r="D3396" t="inlineStr">
        <is>
          <t>5995</t>
        </is>
      </c>
      <c r="E3396" t="inlineStr">
        <is>
          <t>pagado</t>
        </is>
      </c>
      <c r="F3396" s="23" t="n">
        <v>46269</v>
      </c>
      <c r="G3396" s="24">
        <f>F3396-DATE(2026,8,31)</f>
        <v>4</v>
      </c>
      <c r="H3396" s="25" t="n">
        <v>95552569</v>
      </c>
      <c r="I3396" t="inlineStr">
        <is>
          <t>entidad-dia</t>
        </is>
      </c>
    </row>
    <row r="3397">
      <c r="A3397" t="inlineStr">
        <is>
          <t>PRAGMA</t>
        </is>
      </c>
      <c r="B3397" t="inlineStr">
        <is>
          <t>M1</t>
        </is>
      </c>
      <c r="C3397" t="inlineStr">
        <is>
          <t>Cali</t>
        </is>
      </c>
      <c r="D3397" t="inlineStr">
        <is>
          <t>5995</t>
        </is>
      </c>
      <c r="E3397" t="inlineStr">
        <is>
          <t>pagado</t>
        </is>
      </c>
      <c r="F3397" s="23" t="n">
        <v>46270</v>
      </c>
      <c r="G3397" s="24">
        <f>F3397-DATE(2026,8,31)</f>
        <v>5</v>
      </c>
      <c r="H3397" s="25" t="n">
        <v>85384766</v>
      </c>
      <c r="I3397" t="inlineStr">
        <is>
          <t>entidad-dia</t>
        </is>
      </c>
    </row>
    <row r="3398">
      <c r="A3398" t="inlineStr">
        <is>
          <t>PRAGMA</t>
        </is>
      </c>
      <c r="B3398" t="inlineStr">
        <is>
          <t>M1</t>
        </is>
      </c>
      <c r="C3398" t="inlineStr">
        <is>
          <t>Cali</t>
        </is>
      </c>
      <c r="D3398" t="inlineStr">
        <is>
          <t>5995</t>
        </is>
      </c>
      <c r="E3398" t="inlineStr">
        <is>
          <t>pagado</t>
        </is>
      </c>
      <c r="F3398" s="23" t="n">
        <v>46271</v>
      </c>
      <c r="G3398" s="24">
        <f>F3398-DATE(2026,8,31)</f>
        <v>6</v>
      </c>
      <c r="H3398" s="25" t="n">
        <v>12236195</v>
      </c>
      <c r="I3398" t="inlineStr">
        <is>
          <t>entidad-dia</t>
        </is>
      </c>
    </row>
    <row r="3399">
      <c r="A3399" t="inlineStr">
        <is>
          <t>PRAGMA</t>
        </is>
      </c>
      <c r="B3399" t="inlineStr">
        <is>
          <t>M1</t>
        </is>
      </c>
      <c r="C3399" t="inlineStr">
        <is>
          <t>Cali</t>
        </is>
      </c>
      <c r="D3399" t="inlineStr">
        <is>
          <t>5995</t>
        </is>
      </c>
      <c r="E3399" t="inlineStr">
        <is>
          <t>pagado</t>
        </is>
      </c>
      <c r="F3399" s="23" t="n">
        <v>46272</v>
      </c>
      <c r="G3399" s="24">
        <f>F3399-DATE(2026,8,31)</f>
        <v>7</v>
      </c>
      <c r="H3399" s="25" t="n">
        <v>67970933</v>
      </c>
      <c r="I3399" t="inlineStr">
        <is>
          <t>entidad-dia</t>
        </is>
      </c>
    </row>
    <row r="3400">
      <c r="A3400" t="inlineStr">
        <is>
          <t>PRAGMA</t>
        </is>
      </c>
      <c r="B3400" t="inlineStr">
        <is>
          <t>M1</t>
        </is>
      </c>
      <c r="C3400" t="inlineStr">
        <is>
          <t>Cali</t>
        </is>
      </c>
      <c r="D3400" t="inlineStr">
        <is>
          <t>5995</t>
        </is>
      </c>
      <c r="E3400" t="inlineStr">
        <is>
          <t>pagado</t>
        </is>
      </c>
      <c r="F3400" s="23" t="n">
        <v>46273</v>
      </c>
      <c r="G3400" s="24">
        <f>F3400-DATE(2026,8,31)</f>
        <v>8</v>
      </c>
      <c r="H3400" s="25" t="n">
        <v>63127515</v>
      </c>
      <c r="I3400" t="inlineStr">
        <is>
          <t>entidad-dia</t>
        </is>
      </c>
    </row>
    <row r="3401">
      <c r="A3401" t="inlineStr">
        <is>
          <t>PRAGMA</t>
        </is>
      </c>
      <c r="B3401" t="inlineStr">
        <is>
          <t>M1</t>
        </is>
      </c>
      <c r="C3401" t="inlineStr">
        <is>
          <t>Cali</t>
        </is>
      </c>
      <c r="D3401" t="inlineStr">
        <is>
          <t>5995</t>
        </is>
      </c>
      <c r="E3401" t="inlineStr">
        <is>
          <t>pagado</t>
        </is>
      </c>
      <c r="F3401" s="23" t="n">
        <v>46274</v>
      </c>
      <c r="G3401" s="24">
        <f>F3401-DATE(2026,8,31)</f>
        <v>9</v>
      </c>
      <c r="H3401" s="25" t="n">
        <v>65803798</v>
      </c>
      <c r="I3401" t="inlineStr">
        <is>
          <t>entidad-dia</t>
        </is>
      </c>
    </row>
    <row r="3402">
      <c r="A3402" t="inlineStr">
        <is>
          <t>PRAGMA</t>
        </is>
      </c>
      <c r="B3402" t="inlineStr">
        <is>
          <t>M1</t>
        </is>
      </c>
      <c r="C3402" t="inlineStr">
        <is>
          <t>Cali</t>
        </is>
      </c>
      <c r="D3402" t="inlineStr">
        <is>
          <t>5995</t>
        </is>
      </c>
      <c r="E3402" t="inlineStr">
        <is>
          <t>pagado</t>
        </is>
      </c>
      <c r="F3402" s="23" t="n">
        <v>46275</v>
      </c>
      <c r="G3402" s="24">
        <f>F3402-DATE(2026,8,31)</f>
        <v>10</v>
      </c>
      <c r="H3402" s="25" t="n">
        <v>62022105</v>
      </c>
      <c r="I3402" t="inlineStr">
        <is>
          <t>entidad-dia</t>
        </is>
      </c>
    </row>
    <row r="3403">
      <c r="A3403" t="inlineStr">
        <is>
          <t>PRAGMA</t>
        </is>
      </c>
      <c r="B3403" t="inlineStr">
        <is>
          <t>M1</t>
        </is>
      </c>
      <c r="C3403" t="inlineStr">
        <is>
          <t>Cali</t>
        </is>
      </c>
      <c r="D3403" t="inlineStr">
        <is>
          <t>5995</t>
        </is>
      </c>
      <c r="E3403" t="inlineStr">
        <is>
          <t>pagado</t>
        </is>
      </c>
      <c r="F3403" s="23" t="n">
        <v>46276</v>
      </c>
      <c r="G3403" s="24">
        <f>F3403-DATE(2026,8,31)</f>
        <v>11</v>
      </c>
      <c r="H3403" s="25" t="n">
        <v>80990829</v>
      </c>
      <c r="I3403" t="inlineStr">
        <is>
          <t>entidad-dia</t>
        </is>
      </c>
    </row>
    <row r="3404">
      <c r="A3404" t="inlineStr">
        <is>
          <t>PRAGMA</t>
        </is>
      </c>
      <c r="B3404" t="inlineStr">
        <is>
          <t>M1</t>
        </is>
      </c>
      <c r="C3404" t="inlineStr">
        <is>
          <t>Cali</t>
        </is>
      </c>
      <c r="D3404" t="inlineStr">
        <is>
          <t>5995</t>
        </is>
      </c>
      <c r="E3404" t="inlineStr">
        <is>
          <t>pagado</t>
        </is>
      </c>
      <c r="F3404" s="23" t="n">
        <v>46277</v>
      </c>
      <c r="G3404" s="24">
        <f>F3404-DATE(2026,8,31)</f>
        <v>12</v>
      </c>
      <c r="H3404" s="25" t="n">
        <v>70727104</v>
      </c>
      <c r="I3404" t="inlineStr">
        <is>
          <t>entidad-dia</t>
        </is>
      </c>
    </row>
    <row r="3405">
      <c r="A3405" t="inlineStr">
        <is>
          <t>PRAGMA</t>
        </is>
      </c>
      <c r="B3405" t="inlineStr">
        <is>
          <t>M1</t>
        </is>
      </c>
      <c r="C3405" t="inlineStr">
        <is>
          <t>Cali</t>
        </is>
      </c>
      <c r="D3405" t="inlineStr">
        <is>
          <t>5995</t>
        </is>
      </c>
      <c r="E3405" t="inlineStr">
        <is>
          <t>pagado</t>
        </is>
      </c>
      <c r="F3405" s="23" t="n">
        <v>46278</v>
      </c>
      <c r="G3405" s="24">
        <f>F3405-DATE(2026,8,31)</f>
        <v>13</v>
      </c>
      <c r="H3405" s="25" t="n">
        <v>10739059</v>
      </c>
      <c r="I3405" t="inlineStr">
        <is>
          <t>entidad-dia</t>
        </is>
      </c>
    </row>
    <row r="3406">
      <c r="A3406" t="inlineStr">
        <is>
          <t>PRAGMA</t>
        </is>
      </c>
      <c r="B3406" t="inlineStr">
        <is>
          <t>M1</t>
        </is>
      </c>
      <c r="C3406" t="inlineStr">
        <is>
          <t>Cali</t>
        </is>
      </c>
      <c r="D3406" t="inlineStr">
        <is>
          <t>5995</t>
        </is>
      </c>
      <c r="E3406" t="inlineStr">
        <is>
          <t>pagado</t>
        </is>
      </c>
      <c r="F3406" s="23" t="n">
        <v>46279</v>
      </c>
      <c r="G3406" s="24">
        <f>F3406-DATE(2026,8,31)</f>
        <v>14</v>
      </c>
      <c r="H3406" s="25" t="n">
        <v>66885434</v>
      </c>
      <c r="I3406" t="inlineStr">
        <is>
          <t>entidad-dia</t>
        </is>
      </c>
    </row>
    <row r="3407">
      <c r="A3407" t="inlineStr">
        <is>
          <t>PRAGMA</t>
        </is>
      </c>
      <c r="B3407" t="inlineStr">
        <is>
          <t>M1</t>
        </is>
      </c>
      <c r="C3407" t="inlineStr">
        <is>
          <t>Cali</t>
        </is>
      </c>
      <c r="D3407" t="inlineStr">
        <is>
          <t>5995</t>
        </is>
      </c>
      <c r="E3407" t="inlineStr">
        <is>
          <t>pagado</t>
        </is>
      </c>
      <c r="F3407" s="23" t="n">
        <v>46280</v>
      </c>
      <c r="G3407" s="24">
        <f>F3407-DATE(2026,8,31)</f>
        <v>15</v>
      </c>
      <c r="H3407" s="25" t="n">
        <v>102804886</v>
      </c>
      <c r="I3407" t="inlineStr">
        <is>
          <t>entidad-dia</t>
        </is>
      </c>
    </row>
    <row r="3408">
      <c r="A3408" t="inlineStr">
        <is>
          <t>PRAGMA</t>
        </is>
      </c>
      <c r="B3408" t="inlineStr">
        <is>
          <t>M1</t>
        </is>
      </c>
      <c r="C3408" t="inlineStr">
        <is>
          <t>Cali</t>
        </is>
      </c>
      <c r="D3408" t="inlineStr">
        <is>
          <t>6001</t>
        </is>
      </c>
      <c r="E3408" t="inlineStr">
        <is>
          <t>pagado</t>
        </is>
      </c>
      <c r="F3408" s="23" t="n">
        <v>46266</v>
      </c>
      <c r="G3408" s="24">
        <f>F3408-DATE(2026,8,31)</f>
        <v>1</v>
      </c>
      <c r="H3408" s="25" t="n">
        <v>112330416</v>
      </c>
      <c r="I3408" t="inlineStr">
        <is>
          <t>entidad-dia</t>
        </is>
      </c>
    </row>
    <row r="3409">
      <c r="A3409" t="inlineStr">
        <is>
          <t>PRAGMA</t>
        </is>
      </c>
      <c r="B3409" t="inlineStr">
        <is>
          <t>M1</t>
        </is>
      </c>
      <c r="C3409" t="inlineStr">
        <is>
          <t>Cali</t>
        </is>
      </c>
      <c r="D3409" t="inlineStr">
        <is>
          <t>6001</t>
        </is>
      </c>
      <c r="E3409" t="inlineStr">
        <is>
          <t>pagado</t>
        </is>
      </c>
      <c r="F3409" s="23" t="n">
        <v>46267</v>
      </c>
      <c r="G3409" s="24">
        <f>F3409-DATE(2026,8,31)</f>
        <v>2</v>
      </c>
      <c r="H3409" s="25" t="n">
        <v>83644660</v>
      </c>
      <c r="I3409" t="inlineStr">
        <is>
          <t>entidad-dia</t>
        </is>
      </c>
    </row>
    <row r="3410">
      <c r="A3410" t="inlineStr">
        <is>
          <t>PRAGMA</t>
        </is>
      </c>
      <c r="B3410" t="inlineStr">
        <is>
          <t>M1</t>
        </is>
      </c>
      <c r="C3410" t="inlineStr">
        <is>
          <t>Cali</t>
        </is>
      </c>
      <c r="D3410" t="inlineStr">
        <is>
          <t>6001</t>
        </is>
      </c>
      <c r="E3410" t="inlineStr">
        <is>
          <t>pagado</t>
        </is>
      </c>
      <c r="F3410" s="23" t="n">
        <v>46268</v>
      </c>
      <c r="G3410" s="24">
        <f>F3410-DATE(2026,8,31)</f>
        <v>3</v>
      </c>
      <c r="H3410" s="25" t="n">
        <v>72836795</v>
      </c>
      <c r="I3410" t="inlineStr">
        <is>
          <t>entidad-dia</t>
        </is>
      </c>
    </row>
    <row r="3411">
      <c r="A3411" t="inlineStr">
        <is>
          <t>PRAGMA</t>
        </is>
      </c>
      <c r="B3411" t="inlineStr">
        <is>
          <t>M1</t>
        </is>
      </c>
      <c r="C3411" t="inlineStr">
        <is>
          <t>Cali</t>
        </is>
      </c>
      <c r="D3411" t="inlineStr">
        <is>
          <t>6001</t>
        </is>
      </c>
      <c r="E3411" t="inlineStr">
        <is>
          <t>pagado</t>
        </is>
      </c>
      <c r="F3411" s="23" t="n">
        <v>46269</v>
      </c>
      <c r="G3411" s="24">
        <f>F3411-DATE(2026,8,31)</f>
        <v>4</v>
      </c>
      <c r="H3411" s="25" t="n">
        <v>77235120</v>
      </c>
      <c r="I3411" t="inlineStr">
        <is>
          <t>entidad-dia</t>
        </is>
      </c>
    </row>
    <row r="3412">
      <c r="A3412" t="inlineStr">
        <is>
          <t>PRAGMA</t>
        </is>
      </c>
      <c r="B3412" t="inlineStr">
        <is>
          <t>M1</t>
        </is>
      </c>
      <c r="C3412" t="inlineStr">
        <is>
          <t>Cali</t>
        </is>
      </c>
      <c r="D3412" t="inlineStr">
        <is>
          <t>6001</t>
        </is>
      </c>
      <c r="E3412" t="inlineStr">
        <is>
          <t>pagado</t>
        </is>
      </c>
      <c r="F3412" s="23" t="n">
        <v>46270</v>
      </c>
      <c r="G3412" s="24">
        <f>F3412-DATE(2026,8,31)</f>
        <v>5</v>
      </c>
      <c r="H3412" s="25" t="n">
        <v>78913913</v>
      </c>
      <c r="I3412" t="inlineStr">
        <is>
          <t>entidad-dia</t>
        </is>
      </c>
    </row>
    <row r="3413">
      <c r="A3413" t="inlineStr">
        <is>
          <t>PRAGMA</t>
        </is>
      </c>
      <c r="B3413" t="inlineStr">
        <is>
          <t>M1</t>
        </is>
      </c>
      <c r="C3413" t="inlineStr">
        <is>
          <t>Cali</t>
        </is>
      </c>
      <c r="D3413" t="inlineStr">
        <is>
          <t>6001</t>
        </is>
      </c>
      <c r="E3413" t="inlineStr">
        <is>
          <t>pagado</t>
        </is>
      </c>
      <c r="F3413" s="23" t="n">
        <v>46271</v>
      </c>
      <c r="G3413" s="24">
        <f>F3413-DATE(2026,8,31)</f>
        <v>6</v>
      </c>
      <c r="H3413" s="25" t="n">
        <v>58575751</v>
      </c>
      <c r="I3413" t="inlineStr">
        <is>
          <t>entidad-dia</t>
        </is>
      </c>
    </row>
    <row r="3414">
      <c r="A3414" t="inlineStr">
        <is>
          <t>PRAGMA</t>
        </is>
      </c>
      <c r="B3414" t="inlineStr">
        <is>
          <t>M1</t>
        </is>
      </c>
      <c r="C3414" t="inlineStr">
        <is>
          <t>Cali</t>
        </is>
      </c>
      <c r="D3414" t="inlineStr">
        <is>
          <t>6001</t>
        </is>
      </c>
      <c r="E3414" t="inlineStr">
        <is>
          <t>pagado</t>
        </is>
      </c>
      <c r="F3414" s="23" t="n">
        <v>46272</v>
      </c>
      <c r="G3414" s="24">
        <f>F3414-DATE(2026,8,31)</f>
        <v>7</v>
      </c>
      <c r="H3414" s="25" t="n">
        <v>57981361</v>
      </c>
      <c r="I3414" t="inlineStr">
        <is>
          <t>entidad-dia</t>
        </is>
      </c>
    </row>
    <row r="3415">
      <c r="A3415" t="inlineStr">
        <is>
          <t>PRAGMA</t>
        </is>
      </c>
      <c r="B3415" t="inlineStr">
        <is>
          <t>M1</t>
        </is>
      </c>
      <c r="C3415" t="inlineStr">
        <is>
          <t>Cali</t>
        </is>
      </c>
      <c r="D3415" t="inlineStr">
        <is>
          <t>6001</t>
        </is>
      </c>
      <c r="E3415" t="inlineStr">
        <is>
          <t>pagado</t>
        </is>
      </c>
      <c r="F3415" s="23" t="n">
        <v>46273</v>
      </c>
      <c r="G3415" s="24">
        <f>F3415-DATE(2026,8,31)</f>
        <v>8</v>
      </c>
      <c r="H3415" s="25" t="n">
        <v>53485843</v>
      </c>
      <c r="I3415" t="inlineStr">
        <is>
          <t>entidad-dia</t>
        </is>
      </c>
    </row>
    <row r="3416">
      <c r="A3416" t="inlineStr">
        <is>
          <t>PRAGMA</t>
        </is>
      </c>
      <c r="B3416" t="inlineStr">
        <is>
          <t>M1</t>
        </is>
      </c>
      <c r="C3416" t="inlineStr">
        <is>
          <t>Cali</t>
        </is>
      </c>
      <c r="D3416" t="inlineStr">
        <is>
          <t>6001</t>
        </is>
      </c>
      <c r="E3416" t="inlineStr">
        <is>
          <t>pagado</t>
        </is>
      </c>
      <c r="F3416" s="23" t="n">
        <v>46274</v>
      </c>
      <c r="G3416" s="24">
        <f>F3416-DATE(2026,8,31)</f>
        <v>9</v>
      </c>
      <c r="H3416" s="25" t="n">
        <v>56096415</v>
      </c>
      <c r="I3416" t="inlineStr">
        <is>
          <t>entidad-dia</t>
        </is>
      </c>
    </row>
    <row r="3417">
      <c r="A3417" t="inlineStr">
        <is>
          <t>PRAGMA</t>
        </is>
      </c>
      <c r="B3417" t="inlineStr">
        <is>
          <t>M1</t>
        </is>
      </c>
      <c r="C3417" t="inlineStr">
        <is>
          <t>Cali</t>
        </is>
      </c>
      <c r="D3417" t="inlineStr">
        <is>
          <t>6001</t>
        </is>
      </c>
      <c r="E3417" t="inlineStr">
        <is>
          <t>pagado</t>
        </is>
      </c>
      <c r="F3417" s="23" t="n">
        <v>46275</v>
      </c>
      <c r="G3417" s="24">
        <f>F3417-DATE(2026,8,31)</f>
        <v>10</v>
      </c>
      <c r="H3417" s="25" t="n">
        <v>48610503</v>
      </c>
      <c r="I3417" t="inlineStr">
        <is>
          <t>entidad-dia</t>
        </is>
      </c>
    </row>
    <row r="3418">
      <c r="A3418" t="inlineStr">
        <is>
          <t>PRAGMA</t>
        </is>
      </c>
      <c r="B3418" t="inlineStr">
        <is>
          <t>M1</t>
        </is>
      </c>
      <c r="C3418" t="inlineStr">
        <is>
          <t>Cali</t>
        </is>
      </c>
      <c r="D3418" t="inlineStr">
        <is>
          <t>6001</t>
        </is>
      </c>
      <c r="E3418" t="inlineStr">
        <is>
          <t>pagado</t>
        </is>
      </c>
      <c r="F3418" s="23" t="n">
        <v>46276</v>
      </c>
      <c r="G3418" s="24">
        <f>F3418-DATE(2026,8,31)</f>
        <v>11</v>
      </c>
      <c r="H3418" s="25" t="n">
        <v>55300795</v>
      </c>
      <c r="I3418" t="inlineStr">
        <is>
          <t>entidad-dia</t>
        </is>
      </c>
    </row>
    <row r="3419">
      <c r="A3419" t="inlineStr">
        <is>
          <t>PRAGMA</t>
        </is>
      </c>
      <c r="B3419" t="inlineStr">
        <is>
          <t>M1</t>
        </is>
      </c>
      <c r="C3419" t="inlineStr">
        <is>
          <t>Cali</t>
        </is>
      </c>
      <c r="D3419" t="inlineStr">
        <is>
          <t>6001</t>
        </is>
      </c>
      <c r="E3419" t="inlineStr">
        <is>
          <t>pagado</t>
        </is>
      </c>
      <c r="F3419" s="23" t="n">
        <v>46277</v>
      </c>
      <c r="G3419" s="24">
        <f>F3419-DATE(2026,8,31)</f>
        <v>12</v>
      </c>
      <c r="H3419" s="25" t="n">
        <v>62890871</v>
      </c>
      <c r="I3419" t="inlineStr">
        <is>
          <t>entidad-dia</t>
        </is>
      </c>
    </row>
    <row r="3420">
      <c r="A3420" t="inlineStr">
        <is>
          <t>PRAGMA</t>
        </is>
      </c>
      <c r="B3420" t="inlineStr">
        <is>
          <t>M1</t>
        </is>
      </c>
      <c r="C3420" t="inlineStr">
        <is>
          <t>Cali</t>
        </is>
      </c>
      <c r="D3420" t="inlineStr">
        <is>
          <t>6001</t>
        </is>
      </c>
      <c r="E3420" t="inlineStr">
        <is>
          <t>pagado</t>
        </is>
      </c>
      <c r="F3420" s="23" t="n">
        <v>46278</v>
      </c>
      <c r="G3420" s="24">
        <f>F3420-DATE(2026,8,31)</f>
        <v>13</v>
      </c>
      <c r="H3420" s="25" t="n">
        <v>45288303</v>
      </c>
      <c r="I3420" t="inlineStr">
        <is>
          <t>entidad-dia</t>
        </is>
      </c>
    </row>
    <row r="3421">
      <c r="A3421" t="inlineStr">
        <is>
          <t>PRAGMA</t>
        </is>
      </c>
      <c r="B3421" t="inlineStr">
        <is>
          <t>M1</t>
        </is>
      </c>
      <c r="C3421" t="inlineStr">
        <is>
          <t>Cali</t>
        </is>
      </c>
      <c r="D3421" t="inlineStr">
        <is>
          <t>6001</t>
        </is>
      </c>
      <c r="E3421" t="inlineStr">
        <is>
          <t>pagado</t>
        </is>
      </c>
      <c r="F3421" s="23" t="n">
        <v>46279</v>
      </c>
      <c r="G3421" s="24">
        <f>F3421-DATE(2026,8,31)</f>
        <v>14</v>
      </c>
      <c r="H3421" s="25" t="n">
        <v>47636588</v>
      </c>
      <c r="I3421" t="inlineStr">
        <is>
          <t>entidad-dia</t>
        </is>
      </c>
    </row>
    <row r="3422">
      <c r="A3422" t="inlineStr">
        <is>
          <t>PRAGMA</t>
        </is>
      </c>
      <c r="B3422" t="inlineStr">
        <is>
          <t>M1</t>
        </is>
      </c>
      <c r="C3422" t="inlineStr">
        <is>
          <t>Cali</t>
        </is>
      </c>
      <c r="D3422" t="inlineStr">
        <is>
          <t>6001</t>
        </is>
      </c>
      <c r="E3422" t="inlineStr">
        <is>
          <t>pagado</t>
        </is>
      </c>
      <c r="F3422" s="23" t="n">
        <v>46280</v>
      </c>
      <c r="G3422" s="24">
        <f>F3422-DATE(2026,8,31)</f>
        <v>15</v>
      </c>
      <c r="H3422" s="25" t="n">
        <v>80798452</v>
      </c>
      <c r="I3422" t="inlineStr">
        <is>
          <t>entidad-dia</t>
        </is>
      </c>
    </row>
    <row r="3423">
      <c r="A3423" t="inlineStr">
        <is>
          <t>PRAGMA</t>
        </is>
      </c>
      <c r="B3423" t="inlineStr">
        <is>
          <t>M1</t>
        </is>
      </c>
      <c r="C3423" t="inlineStr">
        <is>
          <t>Cali</t>
        </is>
      </c>
      <c r="D3423" t="inlineStr">
        <is>
          <t>6042</t>
        </is>
      </c>
      <c r="E3423" t="inlineStr">
        <is>
          <t>pagado</t>
        </is>
      </c>
      <c r="F3423" s="23" t="n">
        <v>46266</v>
      </c>
      <c r="G3423" s="24">
        <f>F3423-DATE(2026,8,31)</f>
        <v>1</v>
      </c>
      <c r="H3423" s="25" t="n">
        <v>172802973</v>
      </c>
      <c r="I3423" t="inlineStr">
        <is>
          <t>entidad-dia</t>
        </is>
      </c>
    </row>
    <row r="3424">
      <c r="A3424" t="inlineStr">
        <is>
          <t>PRAGMA</t>
        </is>
      </c>
      <c r="B3424" t="inlineStr">
        <is>
          <t>M1</t>
        </is>
      </c>
      <c r="C3424" t="inlineStr">
        <is>
          <t>Cali</t>
        </is>
      </c>
      <c r="D3424" t="inlineStr">
        <is>
          <t>6042</t>
        </is>
      </c>
      <c r="E3424" t="inlineStr">
        <is>
          <t>pagado</t>
        </is>
      </c>
      <c r="F3424" s="23" t="n">
        <v>46267</v>
      </c>
      <c r="G3424" s="24">
        <f>F3424-DATE(2026,8,31)</f>
        <v>2</v>
      </c>
      <c r="H3424" s="25" t="n">
        <v>133030422</v>
      </c>
      <c r="I3424" t="inlineStr">
        <is>
          <t>entidad-dia</t>
        </is>
      </c>
    </row>
    <row r="3425">
      <c r="A3425" t="inlineStr">
        <is>
          <t>PRAGMA</t>
        </is>
      </c>
      <c r="B3425" t="inlineStr">
        <is>
          <t>M1</t>
        </is>
      </c>
      <c r="C3425" t="inlineStr">
        <is>
          <t>Cali</t>
        </is>
      </c>
      <c r="D3425" t="inlineStr">
        <is>
          <t>6042</t>
        </is>
      </c>
      <c r="E3425" t="inlineStr">
        <is>
          <t>pagado</t>
        </is>
      </c>
      <c r="F3425" s="23" t="n">
        <v>46268</v>
      </c>
      <c r="G3425" s="24">
        <f>F3425-DATE(2026,8,31)</f>
        <v>3</v>
      </c>
      <c r="H3425" s="25" t="n">
        <v>127040901</v>
      </c>
      <c r="I3425" t="inlineStr">
        <is>
          <t>entidad-dia</t>
        </is>
      </c>
    </row>
    <row r="3426">
      <c r="A3426" t="inlineStr">
        <is>
          <t>PRAGMA</t>
        </is>
      </c>
      <c r="B3426" t="inlineStr">
        <is>
          <t>M1</t>
        </is>
      </c>
      <c r="C3426" t="inlineStr">
        <is>
          <t>Cali</t>
        </is>
      </c>
      <c r="D3426" t="inlineStr">
        <is>
          <t>6042</t>
        </is>
      </c>
      <c r="E3426" t="inlineStr">
        <is>
          <t>pagado</t>
        </is>
      </c>
      <c r="F3426" s="23" t="n">
        <v>46269</v>
      </c>
      <c r="G3426" s="24">
        <f>F3426-DATE(2026,8,31)</f>
        <v>4</v>
      </c>
      <c r="H3426" s="25" t="n">
        <v>133269572</v>
      </c>
      <c r="I3426" t="inlineStr">
        <is>
          <t>entidad-dia</t>
        </is>
      </c>
    </row>
    <row r="3427">
      <c r="A3427" t="inlineStr">
        <is>
          <t>PRAGMA</t>
        </is>
      </c>
      <c r="B3427" t="inlineStr">
        <is>
          <t>M1</t>
        </is>
      </c>
      <c r="C3427" t="inlineStr">
        <is>
          <t>Cali</t>
        </is>
      </c>
      <c r="D3427" t="inlineStr">
        <is>
          <t>6042</t>
        </is>
      </c>
      <c r="E3427" t="inlineStr">
        <is>
          <t>pagado</t>
        </is>
      </c>
      <c r="F3427" s="23" t="n">
        <v>46270</v>
      </c>
      <c r="G3427" s="24">
        <f>F3427-DATE(2026,8,31)</f>
        <v>5</v>
      </c>
      <c r="H3427" s="25" t="n">
        <v>149226291</v>
      </c>
      <c r="I3427" t="inlineStr">
        <is>
          <t>entidad-dia</t>
        </is>
      </c>
    </row>
    <row r="3428">
      <c r="A3428" t="inlineStr">
        <is>
          <t>PRAGMA</t>
        </is>
      </c>
      <c r="B3428" t="inlineStr">
        <is>
          <t>M1</t>
        </is>
      </c>
      <c r="C3428" t="inlineStr">
        <is>
          <t>Cali</t>
        </is>
      </c>
      <c r="D3428" t="inlineStr">
        <is>
          <t>6042</t>
        </is>
      </c>
      <c r="E3428" t="inlineStr">
        <is>
          <t>pagado</t>
        </is>
      </c>
      <c r="F3428" s="23" t="n">
        <v>46271</v>
      </c>
      <c r="G3428" s="24">
        <f>F3428-DATE(2026,8,31)</f>
        <v>6</v>
      </c>
      <c r="H3428" s="25" t="n">
        <v>115610381</v>
      </c>
      <c r="I3428" t="inlineStr">
        <is>
          <t>entidad-dia</t>
        </is>
      </c>
    </row>
    <row r="3429">
      <c r="A3429" t="inlineStr">
        <is>
          <t>PRAGMA</t>
        </is>
      </c>
      <c r="B3429" t="inlineStr">
        <is>
          <t>M1</t>
        </is>
      </c>
      <c r="C3429" t="inlineStr">
        <is>
          <t>Cali</t>
        </is>
      </c>
      <c r="D3429" t="inlineStr">
        <is>
          <t>6042</t>
        </is>
      </c>
      <c r="E3429" t="inlineStr">
        <is>
          <t>pagado</t>
        </is>
      </c>
      <c r="F3429" s="23" t="n">
        <v>46272</v>
      </c>
      <c r="G3429" s="24">
        <f>F3429-DATE(2026,8,31)</f>
        <v>7</v>
      </c>
      <c r="H3429" s="25" t="n">
        <v>121588910</v>
      </c>
      <c r="I3429" t="inlineStr">
        <is>
          <t>entidad-dia</t>
        </is>
      </c>
    </row>
    <row r="3430">
      <c r="A3430" t="inlineStr">
        <is>
          <t>PRAGMA</t>
        </is>
      </c>
      <c r="B3430" t="inlineStr">
        <is>
          <t>M1</t>
        </is>
      </c>
      <c r="C3430" t="inlineStr">
        <is>
          <t>Cali</t>
        </is>
      </c>
      <c r="D3430" t="inlineStr">
        <is>
          <t>6042</t>
        </is>
      </c>
      <c r="E3430" t="inlineStr">
        <is>
          <t>pagado</t>
        </is>
      </c>
      <c r="F3430" s="23" t="n">
        <v>46273</v>
      </c>
      <c r="G3430" s="24">
        <f>F3430-DATE(2026,8,31)</f>
        <v>8</v>
      </c>
      <c r="H3430" s="25" t="n">
        <v>114807799</v>
      </c>
      <c r="I3430" t="inlineStr">
        <is>
          <t>entidad-dia</t>
        </is>
      </c>
    </row>
    <row r="3431">
      <c r="A3431" t="inlineStr">
        <is>
          <t>PRAGMA</t>
        </is>
      </c>
      <c r="B3431" t="inlineStr">
        <is>
          <t>M1</t>
        </is>
      </c>
      <c r="C3431" t="inlineStr">
        <is>
          <t>Cali</t>
        </is>
      </c>
      <c r="D3431" t="inlineStr">
        <is>
          <t>6042</t>
        </is>
      </c>
      <c r="E3431" t="inlineStr">
        <is>
          <t>pagado</t>
        </is>
      </c>
      <c r="F3431" s="23" t="n">
        <v>46274</v>
      </c>
      <c r="G3431" s="24">
        <f>F3431-DATE(2026,8,31)</f>
        <v>9</v>
      </c>
      <c r="H3431" s="25" t="n">
        <v>106130382</v>
      </c>
      <c r="I3431" t="inlineStr">
        <is>
          <t>entidad-dia</t>
        </is>
      </c>
    </row>
    <row r="3432">
      <c r="A3432" t="inlineStr">
        <is>
          <t>PRAGMA</t>
        </is>
      </c>
      <c r="B3432" t="inlineStr">
        <is>
          <t>M1</t>
        </is>
      </c>
      <c r="C3432" t="inlineStr">
        <is>
          <t>Cali</t>
        </is>
      </c>
      <c r="D3432" t="inlineStr">
        <is>
          <t>6042</t>
        </is>
      </c>
      <c r="E3432" t="inlineStr">
        <is>
          <t>pagado</t>
        </is>
      </c>
      <c r="F3432" s="23" t="n">
        <v>46275</v>
      </c>
      <c r="G3432" s="24">
        <f>F3432-DATE(2026,8,31)</f>
        <v>10</v>
      </c>
      <c r="H3432" s="25" t="n">
        <v>85906789</v>
      </c>
      <c r="I3432" t="inlineStr">
        <is>
          <t>entidad-dia</t>
        </is>
      </c>
    </row>
    <row r="3433">
      <c r="A3433" t="inlineStr">
        <is>
          <t>PRAGMA</t>
        </is>
      </c>
      <c r="B3433" t="inlineStr">
        <is>
          <t>M1</t>
        </is>
      </c>
      <c r="C3433" t="inlineStr">
        <is>
          <t>Cali</t>
        </is>
      </c>
      <c r="D3433" t="inlineStr">
        <is>
          <t>6042</t>
        </is>
      </c>
      <c r="E3433" t="inlineStr">
        <is>
          <t>pagado</t>
        </is>
      </c>
      <c r="F3433" s="23" t="n">
        <v>46276</v>
      </c>
      <c r="G3433" s="24">
        <f>F3433-DATE(2026,8,31)</f>
        <v>11</v>
      </c>
      <c r="H3433" s="25" t="n">
        <v>106137853</v>
      </c>
      <c r="I3433" t="inlineStr">
        <is>
          <t>entidad-dia</t>
        </is>
      </c>
    </row>
    <row r="3434">
      <c r="A3434" t="inlineStr">
        <is>
          <t>PRAGMA</t>
        </is>
      </c>
      <c r="B3434" t="inlineStr">
        <is>
          <t>M1</t>
        </is>
      </c>
      <c r="C3434" t="inlineStr">
        <is>
          <t>Cali</t>
        </is>
      </c>
      <c r="D3434" t="inlineStr">
        <is>
          <t>6042</t>
        </is>
      </c>
      <c r="E3434" t="inlineStr">
        <is>
          <t>pagado</t>
        </is>
      </c>
      <c r="F3434" s="23" t="n">
        <v>46277</v>
      </c>
      <c r="G3434" s="24">
        <f>F3434-DATE(2026,8,31)</f>
        <v>12</v>
      </c>
      <c r="H3434" s="25" t="n">
        <v>114646949</v>
      </c>
      <c r="I3434" t="inlineStr">
        <is>
          <t>entidad-dia</t>
        </is>
      </c>
    </row>
    <row r="3435">
      <c r="A3435" t="inlineStr">
        <is>
          <t>PRAGMA</t>
        </is>
      </c>
      <c r="B3435" t="inlineStr">
        <is>
          <t>M1</t>
        </is>
      </c>
      <c r="C3435" t="inlineStr">
        <is>
          <t>Cali</t>
        </is>
      </c>
      <c r="D3435" t="inlineStr">
        <is>
          <t>6042</t>
        </is>
      </c>
      <c r="E3435" t="inlineStr">
        <is>
          <t>pagado</t>
        </is>
      </c>
      <c r="F3435" s="23" t="n">
        <v>46278</v>
      </c>
      <c r="G3435" s="24">
        <f>F3435-DATE(2026,8,31)</f>
        <v>13</v>
      </c>
      <c r="H3435" s="25" t="n">
        <v>83760806</v>
      </c>
      <c r="I3435" t="inlineStr">
        <is>
          <t>entidad-dia</t>
        </is>
      </c>
    </row>
    <row r="3436">
      <c r="A3436" t="inlineStr">
        <is>
          <t>PRAGMA</t>
        </is>
      </c>
      <c r="B3436" t="inlineStr">
        <is>
          <t>M1</t>
        </is>
      </c>
      <c r="C3436" t="inlineStr">
        <is>
          <t>Cali</t>
        </is>
      </c>
      <c r="D3436" t="inlineStr">
        <is>
          <t>6042</t>
        </is>
      </c>
      <c r="E3436" t="inlineStr">
        <is>
          <t>pagado</t>
        </is>
      </c>
      <c r="F3436" s="23" t="n">
        <v>46279</v>
      </c>
      <c r="G3436" s="24">
        <f>F3436-DATE(2026,8,31)</f>
        <v>14</v>
      </c>
      <c r="H3436" s="25" t="n">
        <v>94585962</v>
      </c>
      <c r="I3436" t="inlineStr">
        <is>
          <t>entidad-dia</t>
        </is>
      </c>
    </row>
    <row r="3437">
      <c r="A3437" t="inlineStr">
        <is>
          <t>PRAGMA</t>
        </is>
      </c>
      <c r="B3437" t="inlineStr">
        <is>
          <t>M1</t>
        </is>
      </c>
      <c r="C3437" t="inlineStr">
        <is>
          <t>Cali</t>
        </is>
      </c>
      <c r="D3437" t="inlineStr">
        <is>
          <t>6042</t>
        </is>
      </c>
      <c r="E3437" t="inlineStr">
        <is>
          <t>pagado</t>
        </is>
      </c>
      <c r="F3437" s="23" t="n">
        <v>46280</v>
      </c>
      <c r="G3437" s="24">
        <f>F3437-DATE(2026,8,31)</f>
        <v>15</v>
      </c>
      <c r="H3437" s="25" t="n">
        <v>133071213</v>
      </c>
      <c r="I3437" t="inlineStr">
        <is>
          <t>entidad-dia</t>
        </is>
      </c>
    </row>
    <row r="3438">
      <c r="A3438" t="inlineStr">
        <is>
          <t>PRAGMA</t>
        </is>
      </c>
      <c r="B3438" t="inlineStr">
        <is>
          <t>M1</t>
        </is>
      </c>
      <c r="C3438" t="inlineStr">
        <is>
          <t>Cali</t>
        </is>
      </c>
      <c r="D3438" t="inlineStr">
        <is>
          <t>6054</t>
        </is>
      </c>
      <c r="E3438" t="inlineStr">
        <is>
          <t>pagado</t>
        </is>
      </c>
      <c r="F3438" s="23" t="n">
        <v>46266</v>
      </c>
      <c r="G3438" s="24">
        <f>F3438-DATE(2026,8,31)</f>
        <v>1</v>
      </c>
      <c r="H3438" s="25" t="n">
        <v>43088753</v>
      </c>
      <c r="I3438" t="inlineStr">
        <is>
          <t>entidad-dia</t>
        </is>
      </c>
    </row>
    <row r="3439">
      <c r="A3439" t="inlineStr">
        <is>
          <t>PRAGMA</t>
        </is>
      </c>
      <c r="B3439" t="inlineStr">
        <is>
          <t>M1</t>
        </is>
      </c>
      <c r="C3439" t="inlineStr">
        <is>
          <t>Cali</t>
        </is>
      </c>
      <c r="D3439" t="inlineStr">
        <is>
          <t>6054</t>
        </is>
      </c>
      <c r="E3439" t="inlineStr">
        <is>
          <t>pagado</t>
        </is>
      </c>
      <c r="F3439" s="23" t="n">
        <v>46267</v>
      </c>
      <c r="G3439" s="24">
        <f>F3439-DATE(2026,8,31)</f>
        <v>2</v>
      </c>
      <c r="H3439" s="25" t="n">
        <v>30481910</v>
      </c>
      <c r="I3439" t="inlineStr">
        <is>
          <t>entidad-dia</t>
        </is>
      </c>
    </row>
    <row r="3440">
      <c r="A3440" t="inlineStr">
        <is>
          <t>PRAGMA</t>
        </is>
      </c>
      <c r="B3440" t="inlineStr">
        <is>
          <t>M1</t>
        </is>
      </c>
      <c r="C3440" t="inlineStr">
        <is>
          <t>Cali</t>
        </is>
      </c>
      <c r="D3440" t="inlineStr">
        <is>
          <t>6054</t>
        </is>
      </c>
      <c r="E3440" t="inlineStr">
        <is>
          <t>pagado</t>
        </is>
      </c>
      <c r="F3440" s="23" t="n">
        <v>46268</v>
      </c>
      <c r="G3440" s="24">
        <f>F3440-DATE(2026,8,31)</f>
        <v>3</v>
      </c>
      <c r="H3440" s="25" t="n">
        <v>29296375</v>
      </c>
      <c r="I3440" t="inlineStr">
        <is>
          <t>entidad-dia</t>
        </is>
      </c>
    </row>
    <row r="3441">
      <c r="A3441" t="inlineStr">
        <is>
          <t>PRAGMA</t>
        </is>
      </c>
      <c r="B3441" t="inlineStr">
        <is>
          <t>M1</t>
        </is>
      </c>
      <c r="C3441" t="inlineStr">
        <is>
          <t>Cali</t>
        </is>
      </c>
      <c r="D3441" t="inlineStr">
        <is>
          <t>6054</t>
        </is>
      </c>
      <c r="E3441" t="inlineStr">
        <is>
          <t>pagado</t>
        </is>
      </c>
      <c r="F3441" s="23" t="n">
        <v>46269</v>
      </c>
      <c r="G3441" s="24">
        <f>F3441-DATE(2026,8,31)</f>
        <v>4</v>
      </c>
      <c r="H3441" s="25" t="n">
        <v>34537672</v>
      </c>
      <c r="I3441" t="inlineStr">
        <is>
          <t>entidad-dia</t>
        </is>
      </c>
    </row>
    <row r="3442">
      <c r="A3442" t="inlineStr">
        <is>
          <t>PRAGMA</t>
        </is>
      </c>
      <c r="B3442" t="inlineStr">
        <is>
          <t>M1</t>
        </is>
      </c>
      <c r="C3442" t="inlineStr">
        <is>
          <t>Cali</t>
        </is>
      </c>
      <c r="D3442" t="inlineStr">
        <is>
          <t>6054</t>
        </is>
      </c>
      <c r="E3442" t="inlineStr">
        <is>
          <t>pagado</t>
        </is>
      </c>
      <c r="F3442" s="23" t="n">
        <v>46270</v>
      </c>
      <c r="G3442" s="24">
        <f>F3442-DATE(2026,8,31)</f>
        <v>5</v>
      </c>
      <c r="H3442" s="25" t="n">
        <v>13656813</v>
      </c>
      <c r="I3442" t="inlineStr">
        <is>
          <t>entidad-dia</t>
        </is>
      </c>
    </row>
    <row r="3443">
      <c r="A3443" t="inlineStr">
        <is>
          <t>PRAGMA</t>
        </is>
      </c>
      <c r="B3443" t="inlineStr">
        <is>
          <t>M1</t>
        </is>
      </c>
      <c r="C3443" t="inlineStr">
        <is>
          <t>Cali</t>
        </is>
      </c>
      <c r="D3443" t="inlineStr">
        <is>
          <t>6054</t>
        </is>
      </c>
      <c r="E3443" t="inlineStr">
        <is>
          <t>pagado</t>
        </is>
      </c>
      <c r="F3443" s="23" t="n">
        <v>46271</v>
      </c>
      <c r="G3443" s="24">
        <f>F3443-DATE(2026,8,31)</f>
        <v>6</v>
      </c>
      <c r="H3443" s="25" t="n">
        <v>2595322</v>
      </c>
      <c r="I3443" t="inlineStr">
        <is>
          <t>entidad-dia</t>
        </is>
      </c>
    </row>
    <row r="3444">
      <c r="A3444" t="inlineStr">
        <is>
          <t>PRAGMA</t>
        </is>
      </c>
      <c r="B3444" t="inlineStr">
        <is>
          <t>M1</t>
        </is>
      </c>
      <c r="C3444" t="inlineStr">
        <is>
          <t>Cali</t>
        </is>
      </c>
      <c r="D3444" t="inlineStr">
        <is>
          <t>6054</t>
        </is>
      </c>
      <c r="E3444" t="inlineStr">
        <is>
          <t>pagado</t>
        </is>
      </c>
      <c r="F3444" s="23" t="n">
        <v>46272</v>
      </c>
      <c r="G3444" s="24">
        <f>F3444-DATE(2026,8,31)</f>
        <v>7</v>
      </c>
      <c r="H3444" s="25" t="n">
        <v>19457448</v>
      </c>
      <c r="I3444" t="inlineStr">
        <is>
          <t>entidad-dia</t>
        </is>
      </c>
    </row>
    <row r="3445">
      <c r="A3445" t="inlineStr">
        <is>
          <t>PRAGMA</t>
        </is>
      </c>
      <c r="B3445" t="inlineStr">
        <is>
          <t>M1</t>
        </is>
      </c>
      <c r="C3445" t="inlineStr">
        <is>
          <t>Cali</t>
        </is>
      </c>
      <c r="D3445" t="inlineStr">
        <is>
          <t>6054</t>
        </is>
      </c>
      <c r="E3445" t="inlineStr">
        <is>
          <t>pagado</t>
        </is>
      </c>
      <c r="F3445" s="23" t="n">
        <v>46273</v>
      </c>
      <c r="G3445" s="24">
        <f>F3445-DATE(2026,8,31)</f>
        <v>8</v>
      </c>
      <c r="H3445" s="25" t="n">
        <v>23973899</v>
      </c>
      <c r="I3445" t="inlineStr">
        <is>
          <t>entidad-dia</t>
        </is>
      </c>
    </row>
    <row r="3446">
      <c r="A3446" t="inlineStr">
        <is>
          <t>PRAGMA</t>
        </is>
      </c>
      <c r="B3446" t="inlineStr">
        <is>
          <t>M1</t>
        </is>
      </c>
      <c r="C3446" t="inlineStr">
        <is>
          <t>Cali</t>
        </is>
      </c>
      <c r="D3446" t="inlineStr">
        <is>
          <t>6054</t>
        </is>
      </c>
      <c r="E3446" t="inlineStr">
        <is>
          <t>pagado</t>
        </is>
      </c>
      <c r="F3446" s="23" t="n">
        <v>46274</v>
      </c>
      <c r="G3446" s="24">
        <f>F3446-DATE(2026,8,31)</f>
        <v>9</v>
      </c>
      <c r="H3446" s="25" t="n">
        <v>20790675</v>
      </c>
      <c r="I3446" t="inlineStr">
        <is>
          <t>entidad-dia</t>
        </is>
      </c>
    </row>
    <row r="3447">
      <c r="A3447" t="inlineStr">
        <is>
          <t>PRAGMA</t>
        </is>
      </c>
      <c r="B3447" t="inlineStr">
        <is>
          <t>M1</t>
        </is>
      </c>
      <c r="C3447" t="inlineStr">
        <is>
          <t>Cali</t>
        </is>
      </c>
      <c r="D3447" t="inlineStr">
        <is>
          <t>6054</t>
        </is>
      </c>
      <c r="E3447" t="inlineStr">
        <is>
          <t>pagado</t>
        </is>
      </c>
      <c r="F3447" s="23" t="n">
        <v>46275</v>
      </c>
      <c r="G3447" s="24">
        <f>F3447-DATE(2026,8,31)</f>
        <v>10</v>
      </c>
      <c r="H3447" s="25" t="n">
        <v>17713111</v>
      </c>
      <c r="I3447" t="inlineStr">
        <is>
          <t>entidad-dia</t>
        </is>
      </c>
    </row>
    <row r="3448">
      <c r="A3448" t="inlineStr">
        <is>
          <t>PRAGMA</t>
        </is>
      </c>
      <c r="B3448" t="inlineStr">
        <is>
          <t>M1</t>
        </is>
      </c>
      <c r="C3448" t="inlineStr">
        <is>
          <t>Cali</t>
        </is>
      </c>
      <c r="D3448" t="inlineStr">
        <is>
          <t>6054</t>
        </is>
      </c>
      <c r="E3448" t="inlineStr">
        <is>
          <t>pagado</t>
        </is>
      </c>
      <c r="F3448" s="23" t="n">
        <v>46276</v>
      </c>
      <c r="G3448" s="24">
        <f>F3448-DATE(2026,8,31)</f>
        <v>11</v>
      </c>
      <c r="H3448" s="25" t="n">
        <v>19135374</v>
      </c>
      <c r="I3448" t="inlineStr">
        <is>
          <t>entidad-dia</t>
        </is>
      </c>
    </row>
    <row r="3449">
      <c r="A3449" t="inlineStr">
        <is>
          <t>PRAGMA</t>
        </is>
      </c>
      <c r="B3449" t="inlineStr">
        <is>
          <t>M1</t>
        </is>
      </c>
      <c r="C3449" t="inlineStr">
        <is>
          <t>Cali</t>
        </is>
      </c>
      <c r="D3449" t="inlineStr">
        <is>
          <t>6054</t>
        </is>
      </c>
      <c r="E3449" t="inlineStr">
        <is>
          <t>pagado</t>
        </is>
      </c>
      <c r="F3449" s="23" t="n">
        <v>46277</v>
      </c>
      <c r="G3449" s="24">
        <f>F3449-DATE(2026,8,31)</f>
        <v>12</v>
      </c>
      <c r="H3449" s="25" t="n">
        <v>14569305</v>
      </c>
      <c r="I3449" t="inlineStr">
        <is>
          <t>entidad-dia</t>
        </is>
      </c>
    </row>
    <row r="3450">
      <c r="A3450" t="inlineStr">
        <is>
          <t>PRAGMA</t>
        </is>
      </c>
      <c r="B3450" t="inlineStr">
        <is>
          <t>M1</t>
        </is>
      </c>
      <c r="C3450" t="inlineStr">
        <is>
          <t>Cali</t>
        </is>
      </c>
      <c r="D3450" t="inlineStr">
        <is>
          <t>6054</t>
        </is>
      </c>
      <c r="E3450" t="inlineStr">
        <is>
          <t>pagado</t>
        </is>
      </c>
      <c r="F3450" s="23" t="n">
        <v>46278</v>
      </c>
      <c r="G3450" s="24">
        <f>F3450-DATE(2026,8,31)</f>
        <v>13</v>
      </c>
      <c r="H3450" s="25" t="n">
        <v>1582083</v>
      </c>
      <c r="I3450" t="inlineStr">
        <is>
          <t>entidad-dia</t>
        </is>
      </c>
    </row>
    <row r="3451">
      <c r="A3451" t="inlineStr">
        <is>
          <t>PRAGMA</t>
        </is>
      </c>
      <c r="B3451" t="inlineStr">
        <is>
          <t>M1</t>
        </is>
      </c>
      <c r="C3451" t="inlineStr">
        <is>
          <t>Cali</t>
        </is>
      </c>
      <c r="D3451" t="inlineStr">
        <is>
          <t>6054</t>
        </is>
      </c>
      <c r="E3451" t="inlineStr">
        <is>
          <t>pagado</t>
        </is>
      </c>
      <c r="F3451" s="23" t="n">
        <v>46279</v>
      </c>
      <c r="G3451" s="24">
        <f>F3451-DATE(2026,8,31)</f>
        <v>14</v>
      </c>
      <c r="H3451" s="25" t="n">
        <v>17016245</v>
      </c>
      <c r="I3451" t="inlineStr">
        <is>
          <t>entidad-dia</t>
        </is>
      </c>
    </row>
    <row r="3452">
      <c r="A3452" t="inlineStr">
        <is>
          <t>PRAGMA</t>
        </is>
      </c>
      <c r="B3452" t="inlineStr">
        <is>
          <t>M1</t>
        </is>
      </c>
      <c r="C3452" t="inlineStr">
        <is>
          <t>Cali</t>
        </is>
      </c>
      <c r="D3452" t="inlineStr">
        <is>
          <t>6054</t>
        </is>
      </c>
      <c r="E3452" t="inlineStr">
        <is>
          <t>pagado</t>
        </is>
      </c>
      <c r="F3452" s="23" t="n">
        <v>46280</v>
      </c>
      <c r="G3452" s="24">
        <f>F3452-DATE(2026,8,31)</f>
        <v>15</v>
      </c>
      <c r="H3452" s="25" t="n">
        <v>32895920</v>
      </c>
      <c r="I3452" t="inlineStr">
        <is>
          <t>entidad-dia</t>
        </is>
      </c>
    </row>
    <row r="3453">
      <c r="A3453" t="inlineStr">
        <is>
          <t>PRAGMA</t>
        </is>
      </c>
      <c r="B3453" t="inlineStr">
        <is>
          <t>M1</t>
        </is>
      </c>
      <c r="C3453" t="inlineStr">
        <is>
          <t>Cali</t>
        </is>
      </c>
      <c r="D3453" t="inlineStr">
        <is>
          <t>6057</t>
        </is>
      </c>
      <c r="E3453" t="inlineStr">
        <is>
          <t>pagado</t>
        </is>
      </c>
      <c r="F3453" s="23" t="n">
        <v>46266</v>
      </c>
      <c r="G3453" s="24">
        <f>F3453-DATE(2026,8,31)</f>
        <v>1</v>
      </c>
      <c r="H3453" s="25" t="n">
        <v>153946154</v>
      </c>
      <c r="I3453" t="inlineStr">
        <is>
          <t>entidad-dia</t>
        </is>
      </c>
    </row>
    <row r="3454">
      <c r="A3454" t="inlineStr">
        <is>
          <t>PRAGMA</t>
        </is>
      </c>
      <c r="B3454" t="inlineStr">
        <is>
          <t>M1</t>
        </is>
      </c>
      <c r="C3454" t="inlineStr">
        <is>
          <t>Cali</t>
        </is>
      </c>
      <c r="D3454" t="inlineStr">
        <is>
          <t>6057</t>
        </is>
      </c>
      <c r="E3454" t="inlineStr">
        <is>
          <t>pagado</t>
        </is>
      </c>
      <c r="F3454" s="23" t="n">
        <v>46267</v>
      </c>
      <c r="G3454" s="24">
        <f>F3454-DATE(2026,8,31)</f>
        <v>2</v>
      </c>
      <c r="H3454" s="25" t="n">
        <v>113764164</v>
      </c>
      <c r="I3454" t="inlineStr">
        <is>
          <t>entidad-dia</t>
        </is>
      </c>
    </row>
    <row r="3455">
      <c r="A3455" t="inlineStr">
        <is>
          <t>PRAGMA</t>
        </is>
      </c>
      <c r="B3455" t="inlineStr">
        <is>
          <t>M1</t>
        </is>
      </c>
      <c r="C3455" t="inlineStr">
        <is>
          <t>Cali</t>
        </is>
      </c>
      <c r="D3455" t="inlineStr">
        <is>
          <t>6057</t>
        </is>
      </c>
      <c r="E3455" t="inlineStr">
        <is>
          <t>pagado</t>
        </is>
      </c>
      <c r="F3455" s="23" t="n">
        <v>46268</v>
      </c>
      <c r="G3455" s="24">
        <f>F3455-DATE(2026,8,31)</f>
        <v>3</v>
      </c>
      <c r="H3455" s="25" t="n">
        <v>103152680</v>
      </c>
      <c r="I3455" t="inlineStr">
        <is>
          <t>entidad-dia</t>
        </is>
      </c>
    </row>
    <row r="3456">
      <c r="A3456" t="inlineStr">
        <is>
          <t>PRAGMA</t>
        </is>
      </c>
      <c r="B3456" t="inlineStr">
        <is>
          <t>M1</t>
        </is>
      </c>
      <c r="C3456" t="inlineStr">
        <is>
          <t>Cali</t>
        </is>
      </c>
      <c r="D3456" t="inlineStr">
        <is>
          <t>6057</t>
        </is>
      </c>
      <c r="E3456" t="inlineStr">
        <is>
          <t>pagado</t>
        </is>
      </c>
      <c r="F3456" s="23" t="n">
        <v>46269</v>
      </c>
      <c r="G3456" s="24">
        <f>F3456-DATE(2026,8,31)</f>
        <v>4</v>
      </c>
      <c r="H3456" s="25" t="n">
        <v>104994687</v>
      </c>
      <c r="I3456" t="inlineStr">
        <is>
          <t>entidad-dia</t>
        </is>
      </c>
    </row>
    <row r="3457">
      <c r="A3457" t="inlineStr">
        <is>
          <t>PRAGMA</t>
        </is>
      </c>
      <c r="B3457" t="inlineStr">
        <is>
          <t>M1</t>
        </is>
      </c>
      <c r="C3457" t="inlineStr">
        <is>
          <t>Cali</t>
        </is>
      </c>
      <c r="D3457" t="inlineStr">
        <is>
          <t>6057</t>
        </is>
      </c>
      <c r="E3457" t="inlineStr">
        <is>
          <t>pagado</t>
        </is>
      </c>
      <c r="F3457" s="23" t="n">
        <v>46270</v>
      </c>
      <c r="G3457" s="24">
        <f>F3457-DATE(2026,8,31)</f>
        <v>5</v>
      </c>
      <c r="H3457" s="25" t="n">
        <v>118664361</v>
      </c>
      <c r="I3457" t="inlineStr">
        <is>
          <t>entidad-dia</t>
        </is>
      </c>
    </row>
    <row r="3458">
      <c r="A3458" t="inlineStr">
        <is>
          <t>PRAGMA</t>
        </is>
      </c>
      <c r="B3458" t="inlineStr">
        <is>
          <t>M1</t>
        </is>
      </c>
      <c r="C3458" t="inlineStr">
        <is>
          <t>Cali</t>
        </is>
      </c>
      <c r="D3458" t="inlineStr">
        <is>
          <t>6057</t>
        </is>
      </c>
      <c r="E3458" t="inlineStr">
        <is>
          <t>pagado</t>
        </is>
      </c>
      <c r="F3458" s="23" t="n">
        <v>46271</v>
      </c>
      <c r="G3458" s="24">
        <f>F3458-DATE(2026,8,31)</f>
        <v>6</v>
      </c>
      <c r="H3458" s="25" t="n">
        <v>84415563</v>
      </c>
      <c r="I3458" t="inlineStr">
        <is>
          <t>entidad-dia</t>
        </is>
      </c>
    </row>
    <row r="3459">
      <c r="A3459" t="inlineStr">
        <is>
          <t>PRAGMA</t>
        </is>
      </c>
      <c r="B3459" t="inlineStr">
        <is>
          <t>M1</t>
        </is>
      </c>
      <c r="C3459" t="inlineStr">
        <is>
          <t>Cali</t>
        </is>
      </c>
      <c r="D3459" t="inlineStr">
        <is>
          <t>6057</t>
        </is>
      </c>
      <c r="E3459" t="inlineStr">
        <is>
          <t>pagado</t>
        </is>
      </c>
      <c r="F3459" s="23" t="n">
        <v>46272</v>
      </c>
      <c r="G3459" s="24">
        <f>F3459-DATE(2026,8,31)</f>
        <v>7</v>
      </c>
      <c r="H3459" s="25" t="n">
        <v>85615196</v>
      </c>
      <c r="I3459" t="inlineStr">
        <is>
          <t>entidad-dia</t>
        </is>
      </c>
    </row>
    <row r="3460">
      <c r="A3460" t="inlineStr">
        <is>
          <t>PRAGMA</t>
        </is>
      </c>
      <c r="B3460" t="inlineStr">
        <is>
          <t>M1</t>
        </is>
      </c>
      <c r="C3460" t="inlineStr">
        <is>
          <t>Cali</t>
        </is>
      </c>
      <c r="D3460" t="inlineStr">
        <is>
          <t>6057</t>
        </is>
      </c>
      <c r="E3460" t="inlineStr">
        <is>
          <t>pagado</t>
        </is>
      </c>
      <c r="F3460" s="23" t="n">
        <v>46273</v>
      </c>
      <c r="G3460" s="24">
        <f>F3460-DATE(2026,8,31)</f>
        <v>8</v>
      </c>
      <c r="H3460" s="25" t="n">
        <v>80657361</v>
      </c>
      <c r="I3460" t="inlineStr">
        <is>
          <t>entidad-dia</t>
        </is>
      </c>
    </row>
    <row r="3461">
      <c r="A3461" t="inlineStr">
        <is>
          <t>PRAGMA</t>
        </is>
      </c>
      <c r="B3461" t="inlineStr">
        <is>
          <t>M1</t>
        </is>
      </c>
      <c r="C3461" t="inlineStr">
        <is>
          <t>Cali</t>
        </is>
      </c>
      <c r="D3461" t="inlineStr">
        <is>
          <t>6057</t>
        </is>
      </c>
      <c r="E3461" t="inlineStr">
        <is>
          <t>pagado</t>
        </is>
      </c>
      <c r="F3461" s="23" t="n">
        <v>46274</v>
      </c>
      <c r="G3461" s="24">
        <f>F3461-DATE(2026,8,31)</f>
        <v>9</v>
      </c>
      <c r="H3461" s="25" t="n">
        <v>71616983</v>
      </c>
      <c r="I3461" t="inlineStr">
        <is>
          <t>entidad-dia</t>
        </is>
      </c>
    </row>
    <row r="3462">
      <c r="A3462" t="inlineStr">
        <is>
          <t>PRAGMA</t>
        </is>
      </c>
      <c r="B3462" t="inlineStr">
        <is>
          <t>M1</t>
        </is>
      </c>
      <c r="C3462" t="inlineStr">
        <is>
          <t>Cali</t>
        </is>
      </c>
      <c r="D3462" t="inlineStr">
        <is>
          <t>6057</t>
        </is>
      </c>
      <c r="E3462" t="inlineStr">
        <is>
          <t>pagado</t>
        </is>
      </c>
      <c r="F3462" s="23" t="n">
        <v>46275</v>
      </c>
      <c r="G3462" s="24">
        <f>F3462-DATE(2026,8,31)</f>
        <v>10</v>
      </c>
      <c r="H3462" s="25" t="n">
        <v>70810322</v>
      </c>
      <c r="I3462" t="inlineStr">
        <is>
          <t>entidad-dia</t>
        </is>
      </c>
    </row>
    <row r="3463">
      <c r="A3463" t="inlineStr">
        <is>
          <t>PRAGMA</t>
        </is>
      </c>
      <c r="B3463" t="inlineStr">
        <is>
          <t>M1</t>
        </is>
      </c>
      <c r="C3463" t="inlineStr">
        <is>
          <t>Cali</t>
        </is>
      </c>
      <c r="D3463" t="inlineStr">
        <is>
          <t>6057</t>
        </is>
      </c>
      <c r="E3463" t="inlineStr">
        <is>
          <t>pagado</t>
        </is>
      </c>
      <c r="F3463" s="23" t="n">
        <v>46276</v>
      </c>
      <c r="G3463" s="24">
        <f>F3463-DATE(2026,8,31)</f>
        <v>11</v>
      </c>
      <c r="H3463" s="25" t="n">
        <v>83150262</v>
      </c>
      <c r="I3463" t="inlineStr">
        <is>
          <t>entidad-dia</t>
        </is>
      </c>
    </row>
    <row r="3464">
      <c r="A3464" t="inlineStr">
        <is>
          <t>PRAGMA</t>
        </is>
      </c>
      <c r="B3464" t="inlineStr">
        <is>
          <t>M1</t>
        </is>
      </c>
      <c r="C3464" t="inlineStr">
        <is>
          <t>Cali</t>
        </is>
      </c>
      <c r="D3464" t="inlineStr">
        <is>
          <t>6057</t>
        </is>
      </c>
      <c r="E3464" t="inlineStr">
        <is>
          <t>pagado</t>
        </is>
      </c>
      <c r="F3464" s="23" t="n">
        <v>46277</v>
      </c>
      <c r="G3464" s="24">
        <f>F3464-DATE(2026,8,31)</f>
        <v>12</v>
      </c>
      <c r="H3464" s="25" t="n">
        <v>95843270</v>
      </c>
      <c r="I3464" t="inlineStr">
        <is>
          <t>entidad-dia</t>
        </is>
      </c>
    </row>
    <row r="3465">
      <c r="A3465" t="inlineStr">
        <is>
          <t>PRAGMA</t>
        </is>
      </c>
      <c r="B3465" t="inlineStr">
        <is>
          <t>M1</t>
        </is>
      </c>
      <c r="C3465" t="inlineStr">
        <is>
          <t>Cali</t>
        </is>
      </c>
      <c r="D3465" t="inlineStr">
        <is>
          <t>6057</t>
        </is>
      </c>
      <c r="E3465" t="inlineStr">
        <is>
          <t>pagado</t>
        </is>
      </c>
      <c r="F3465" s="23" t="n">
        <v>46278</v>
      </c>
      <c r="G3465" s="24">
        <f>F3465-DATE(2026,8,31)</f>
        <v>13</v>
      </c>
      <c r="H3465" s="25" t="n">
        <v>64956242</v>
      </c>
      <c r="I3465" t="inlineStr">
        <is>
          <t>entidad-dia</t>
        </is>
      </c>
    </row>
    <row r="3466">
      <c r="A3466" t="inlineStr">
        <is>
          <t>PRAGMA</t>
        </is>
      </c>
      <c r="B3466" t="inlineStr">
        <is>
          <t>M1</t>
        </is>
      </c>
      <c r="C3466" t="inlineStr">
        <is>
          <t>Cali</t>
        </is>
      </c>
      <c r="D3466" t="inlineStr">
        <is>
          <t>6057</t>
        </is>
      </c>
      <c r="E3466" t="inlineStr">
        <is>
          <t>pagado</t>
        </is>
      </c>
      <c r="F3466" s="23" t="n">
        <v>46279</v>
      </c>
      <c r="G3466" s="24">
        <f>F3466-DATE(2026,8,31)</f>
        <v>14</v>
      </c>
      <c r="H3466" s="25" t="n">
        <v>75270266</v>
      </c>
      <c r="I3466" t="inlineStr">
        <is>
          <t>entidad-dia</t>
        </is>
      </c>
    </row>
    <row r="3467">
      <c r="A3467" t="inlineStr">
        <is>
          <t>PRAGMA</t>
        </is>
      </c>
      <c r="B3467" t="inlineStr">
        <is>
          <t>M1</t>
        </is>
      </c>
      <c r="C3467" t="inlineStr">
        <is>
          <t>Cali</t>
        </is>
      </c>
      <c r="D3467" t="inlineStr">
        <is>
          <t>6057</t>
        </is>
      </c>
      <c r="E3467" t="inlineStr">
        <is>
          <t>pagado</t>
        </is>
      </c>
      <c r="F3467" s="23" t="n">
        <v>46280</v>
      </c>
      <c r="G3467" s="24">
        <f>F3467-DATE(2026,8,31)</f>
        <v>15</v>
      </c>
      <c r="H3467" s="25" t="n">
        <v>109526704</v>
      </c>
      <c r="I3467" t="inlineStr">
        <is>
          <t>entidad-dia</t>
        </is>
      </c>
    </row>
    <row r="3468">
      <c r="A3468" t="inlineStr">
        <is>
          <t>PRAGMA</t>
        </is>
      </c>
      <c r="B3468" t="inlineStr">
        <is>
          <t>M1</t>
        </is>
      </c>
      <c r="C3468" t="inlineStr">
        <is>
          <t>Cali</t>
        </is>
      </c>
      <c r="D3468" t="inlineStr">
        <is>
          <t>6062</t>
        </is>
      </c>
      <c r="E3468" t="inlineStr">
        <is>
          <t>pagado</t>
        </is>
      </c>
      <c r="F3468" s="23" t="n">
        <v>46266</v>
      </c>
      <c r="G3468" s="24">
        <f>F3468-DATE(2026,8,31)</f>
        <v>1</v>
      </c>
      <c r="H3468" s="25" t="n">
        <v>130146617</v>
      </c>
      <c r="I3468" t="inlineStr">
        <is>
          <t>entidad-dia</t>
        </is>
      </c>
    </row>
    <row r="3469">
      <c r="A3469" t="inlineStr">
        <is>
          <t>PRAGMA</t>
        </is>
      </c>
      <c r="B3469" t="inlineStr">
        <is>
          <t>M1</t>
        </is>
      </c>
      <c r="C3469" t="inlineStr">
        <is>
          <t>Cali</t>
        </is>
      </c>
      <c r="D3469" t="inlineStr">
        <is>
          <t>6062</t>
        </is>
      </c>
      <c r="E3469" t="inlineStr">
        <is>
          <t>pagado</t>
        </is>
      </c>
      <c r="F3469" s="23" t="n">
        <v>46267</v>
      </c>
      <c r="G3469" s="24">
        <f>F3469-DATE(2026,8,31)</f>
        <v>2</v>
      </c>
      <c r="H3469" s="25" t="n">
        <v>96157423</v>
      </c>
      <c r="I3469" t="inlineStr">
        <is>
          <t>entidad-dia</t>
        </is>
      </c>
    </row>
    <row r="3470">
      <c r="A3470" t="inlineStr">
        <is>
          <t>PRAGMA</t>
        </is>
      </c>
      <c r="B3470" t="inlineStr">
        <is>
          <t>M1</t>
        </is>
      </c>
      <c r="C3470" t="inlineStr">
        <is>
          <t>Cali</t>
        </is>
      </c>
      <c r="D3470" t="inlineStr">
        <is>
          <t>6062</t>
        </is>
      </c>
      <c r="E3470" t="inlineStr">
        <is>
          <t>pagado</t>
        </is>
      </c>
      <c r="F3470" s="23" t="n">
        <v>46268</v>
      </c>
      <c r="G3470" s="24">
        <f>F3470-DATE(2026,8,31)</f>
        <v>3</v>
      </c>
      <c r="H3470" s="25" t="n">
        <v>86667318</v>
      </c>
      <c r="I3470" t="inlineStr">
        <is>
          <t>entidad-dia</t>
        </is>
      </c>
    </row>
    <row r="3471">
      <c r="A3471" t="inlineStr">
        <is>
          <t>PRAGMA</t>
        </is>
      </c>
      <c r="B3471" t="inlineStr">
        <is>
          <t>M1</t>
        </is>
      </c>
      <c r="C3471" t="inlineStr">
        <is>
          <t>Cali</t>
        </is>
      </c>
      <c r="D3471" t="inlineStr">
        <is>
          <t>6062</t>
        </is>
      </c>
      <c r="E3471" t="inlineStr">
        <is>
          <t>pagado</t>
        </is>
      </c>
      <c r="F3471" s="23" t="n">
        <v>46269</v>
      </c>
      <c r="G3471" s="24">
        <f>F3471-DATE(2026,8,31)</f>
        <v>4</v>
      </c>
      <c r="H3471" s="25" t="n">
        <v>92205306</v>
      </c>
      <c r="I3471" t="inlineStr">
        <is>
          <t>entidad-dia</t>
        </is>
      </c>
    </row>
    <row r="3472">
      <c r="A3472" t="inlineStr">
        <is>
          <t>PRAGMA</t>
        </is>
      </c>
      <c r="B3472" t="inlineStr">
        <is>
          <t>M1</t>
        </is>
      </c>
      <c r="C3472" t="inlineStr">
        <is>
          <t>Cali</t>
        </is>
      </c>
      <c r="D3472" t="inlineStr">
        <is>
          <t>6062</t>
        </is>
      </c>
      <c r="E3472" t="inlineStr">
        <is>
          <t>pagado</t>
        </is>
      </c>
      <c r="F3472" s="23" t="n">
        <v>46270</v>
      </c>
      <c r="G3472" s="24">
        <f>F3472-DATE(2026,8,31)</f>
        <v>5</v>
      </c>
      <c r="H3472" s="25" t="n">
        <v>91575622</v>
      </c>
      <c r="I3472" t="inlineStr">
        <is>
          <t>entidad-dia</t>
        </is>
      </c>
    </row>
    <row r="3473">
      <c r="A3473" t="inlineStr">
        <is>
          <t>PRAGMA</t>
        </is>
      </c>
      <c r="B3473" t="inlineStr">
        <is>
          <t>M1</t>
        </is>
      </c>
      <c r="C3473" t="inlineStr">
        <is>
          <t>Cali</t>
        </is>
      </c>
      <c r="D3473" t="inlineStr">
        <is>
          <t>6062</t>
        </is>
      </c>
      <c r="E3473" t="inlineStr">
        <is>
          <t>pagado</t>
        </is>
      </c>
      <c r="F3473" s="23" t="n">
        <v>46271</v>
      </c>
      <c r="G3473" s="24">
        <f>F3473-DATE(2026,8,31)</f>
        <v>6</v>
      </c>
      <c r="H3473" s="25" t="n">
        <v>38043923</v>
      </c>
      <c r="I3473" t="inlineStr">
        <is>
          <t>entidad-dia</t>
        </is>
      </c>
    </row>
    <row r="3474">
      <c r="A3474" t="inlineStr">
        <is>
          <t>PRAGMA</t>
        </is>
      </c>
      <c r="B3474" t="inlineStr">
        <is>
          <t>M1</t>
        </is>
      </c>
      <c r="C3474" t="inlineStr">
        <is>
          <t>Cali</t>
        </is>
      </c>
      <c r="D3474" t="inlineStr">
        <is>
          <t>6062</t>
        </is>
      </c>
      <c r="E3474" t="inlineStr">
        <is>
          <t>pagado</t>
        </is>
      </c>
      <c r="F3474" s="23" t="n">
        <v>46272</v>
      </c>
      <c r="G3474" s="24">
        <f>F3474-DATE(2026,8,31)</f>
        <v>7</v>
      </c>
      <c r="H3474" s="25" t="n">
        <v>62935612</v>
      </c>
      <c r="I3474" t="inlineStr">
        <is>
          <t>entidad-dia</t>
        </is>
      </c>
    </row>
    <row r="3475">
      <c r="A3475" t="inlineStr">
        <is>
          <t>PRAGMA</t>
        </is>
      </c>
      <c r="B3475" t="inlineStr">
        <is>
          <t>M1</t>
        </is>
      </c>
      <c r="C3475" t="inlineStr">
        <is>
          <t>Cali</t>
        </is>
      </c>
      <c r="D3475" t="inlineStr">
        <is>
          <t>6062</t>
        </is>
      </c>
      <c r="E3475" t="inlineStr">
        <is>
          <t>pagado</t>
        </is>
      </c>
      <c r="F3475" s="23" t="n">
        <v>46273</v>
      </c>
      <c r="G3475" s="24">
        <f>F3475-DATE(2026,8,31)</f>
        <v>8</v>
      </c>
      <c r="H3475" s="25" t="n">
        <v>59983196</v>
      </c>
      <c r="I3475" t="inlineStr">
        <is>
          <t>entidad-dia</t>
        </is>
      </c>
    </row>
    <row r="3476">
      <c r="A3476" t="inlineStr">
        <is>
          <t>PRAGMA</t>
        </is>
      </c>
      <c r="B3476" t="inlineStr">
        <is>
          <t>M1</t>
        </is>
      </c>
      <c r="C3476" t="inlineStr">
        <is>
          <t>Cali</t>
        </is>
      </c>
      <c r="D3476" t="inlineStr">
        <is>
          <t>6062</t>
        </is>
      </c>
      <c r="E3476" t="inlineStr">
        <is>
          <t>pagado</t>
        </is>
      </c>
      <c r="F3476" s="23" t="n">
        <v>46274</v>
      </c>
      <c r="G3476" s="24">
        <f>F3476-DATE(2026,8,31)</f>
        <v>9</v>
      </c>
      <c r="H3476" s="25" t="n">
        <v>63123456</v>
      </c>
      <c r="I3476" t="inlineStr">
        <is>
          <t>entidad-dia</t>
        </is>
      </c>
    </row>
    <row r="3477">
      <c r="A3477" t="inlineStr">
        <is>
          <t>PRAGMA</t>
        </is>
      </c>
      <c r="B3477" t="inlineStr">
        <is>
          <t>M1</t>
        </is>
      </c>
      <c r="C3477" t="inlineStr">
        <is>
          <t>Cali</t>
        </is>
      </c>
      <c r="D3477" t="inlineStr">
        <is>
          <t>6062</t>
        </is>
      </c>
      <c r="E3477" t="inlineStr">
        <is>
          <t>pagado</t>
        </is>
      </c>
      <c r="F3477" s="23" t="n">
        <v>46275</v>
      </c>
      <c r="G3477" s="24">
        <f>F3477-DATE(2026,8,31)</f>
        <v>10</v>
      </c>
      <c r="H3477" s="25" t="n">
        <v>78410749</v>
      </c>
      <c r="I3477" t="inlineStr">
        <is>
          <t>entidad-dia</t>
        </is>
      </c>
    </row>
    <row r="3478">
      <c r="A3478" t="inlineStr">
        <is>
          <t>PRAGMA</t>
        </is>
      </c>
      <c r="B3478" t="inlineStr">
        <is>
          <t>M1</t>
        </is>
      </c>
      <c r="C3478" t="inlineStr">
        <is>
          <t>Cali</t>
        </is>
      </c>
      <c r="D3478" t="inlineStr">
        <is>
          <t>6062</t>
        </is>
      </c>
      <c r="E3478" t="inlineStr">
        <is>
          <t>pagado</t>
        </is>
      </c>
      <c r="F3478" s="23" t="n">
        <v>46276</v>
      </c>
      <c r="G3478" s="24">
        <f>F3478-DATE(2026,8,31)</f>
        <v>11</v>
      </c>
      <c r="H3478" s="25" t="n">
        <v>62693543</v>
      </c>
      <c r="I3478" t="inlineStr">
        <is>
          <t>entidad-dia</t>
        </is>
      </c>
    </row>
    <row r="3479">
      <c r="A3479" t="inlineStr">
        <is>
          <t>PRAGMA</t>
        </is>
      </c>
      <c r="B3479" t="inlineStr">
        <is>
          <t>M1</t>
        </is>
      </c>
      <c r="C3479" t="inlineStr">
        <is>
          <t>Cali</t>
        </is>
      </c>
      <c r="D3479" t="inlineStr">
        <is>
          <t>6062</t>
        </is>
      </c>
      <c r="E3479" t="inlineStr">
        <is>
          <t>pagado</t>
        </is>
      </c>
      <c r="F3479" s="23" t="n">
        <v>46277</v>
      </c>
      <c r="G3479" s="24">
        <f>F3479-DATE(2026,8,31)</f>
        <v>12</v>
      </c>
      <c r="H3479" s="25" t="n">
        <v>67840816</v>
      </c>
      <c r="I3479" t="inlineStr">
        <is>
          <t>entidad-dia</t>
        </is>
      </c>
    </row>
    <row r="3480">
      <c r="A3480" t="inlineStr">
        <is>
          <t>PRAGMA</t>
        </is>
      </c>
      <c r="B3480" t="inlineStr">
        <is>
          <t>M1</t>
        </is>
      </c>
      <c r="C3480" t="inlineStr">
        <is>
          <t>Cali</t>
        </is>
      </c>
      <c r="D3480" t="inlineStr">
        <is>
          <t>6062</t>
        </is>
      </c>
      <c r="E3480" t="inlineStr">
        <is>
          <t>pagado</t>
        </is>
      </c>
      <c r="F3480" s="23" t="n">
        <v>46278</v>
      </c>
      <c r="G3480" s="24">
        <f>F3480-DATE(2026,8,31)</f>
        <v>13</v>
      </c>
      <c r="H3480" s="25" t="n">
        <v>32673957</v>
      </c>
      <c r="I3480" t="inlineStr">
        <is>
          <t>entidad-dia</t>
        </is>
      </c>
    </row>
    <row r="3481">
      <c r="A3481" t="inlineStr">
        <is>
          <t>PRAGMA</t>
        </is>
      </c>
      <c r="B3481" t="inlineStr">
        <is>
          <t>M1</t>
        </is>
      </c>
      <c r="C3481" t="inlineStr">
        <is>
          <t>Cali</t>
        </is>
      </c>
      <c r="D3481" t="inlineStr">
        <is>
          <t>6062</t>
        </is>
      </c>
      <c r="E3481" t="inlineStr">
        <is>
          <t>pagado</t>
        </is>
      </c>
      <c r="F3481" s="23" t="n">
        <v>46279</v>
      </c>
      <c r="G3481" s="24">
        <f>F3481-DATE(2026,8,31)</f>
        <v>14</v>
      </c>
      <c r="H3481" s="25" t="n">
        <v>71652048</v>
      </c>
      <c r="I3481" t="inlineStr">
        <is>
          <t>entidad-dia</t>
        </is>
      </c>
    </row>
    <row r="3482">
      <c r="A3482" t="inlineStr">
        <is>
          <t>PRAGMA</t>
        </is>
      </c>
      <c r="B3482" t="inlineStr">
        <is>
          <t>M1</t>
        </is>
      </c>
      <c r="C3482" t="inlineStr">
        <is>
          <t>Cali</t>
        </is>
      </c>
      <c r="D3482" t="inlineStr">
        <is>
          <t>6062</t>
        </is>
      </c>
      <c r="E3482" t="inlineStr">
        <is>
          <t>pagado</t>
        </is>
      </c>
      <c r="F3482" s="23" t="n">
        <v>46280</v>
      </c>
      <c r="G3482" s="24">
        <f>F3482-DATE(2026,8,31)</f>
        <v>15</v>
      </c>
      <c r="H3482" s="25" t="n">
        <v>103319303</v>
      </c>
      <c r="I3482" t="inlineStr">
        <is>
          <t>entidad-dia</t>
        </is>
      </c>
    </row>
    <row r="3483">
      <c r="A3483" t="inlineStr">
        <is>
          <t>PRAGMA</t>
        </is>
      </c>
      <c r="B3483" t="inlineStr">
        <is>
          <t>M1</t>
        </is>
      </c>
      <c r="C3483" t="inlineStr">
        <is>
          <t>Cali</t>
        </is>
      </c>
      <c r="D3483" t="inlineStr">
        <is>
          <t>6063</t>
        </is>
      </c>
      <c r="E3483" t="inlineStr">
        <is>
          <t>pagado</t>
        </is>
      </c>
      <c r="F3483" s="23" t="n">
        <v>46266</v>
      </c>
      <c r="G3483" s="24">
        <f>F3483-DATE(2026,8,31)</f>
        <v>1</v>
      </c>
      <c r="H3483" s="25" t="n">
        <v>112561119</v>
      </c>
      <c r="I3483" t="inlineStr">
        <is>
          <t>entidad-dia</t>
        </is>
      </c>
    </row>
    <row r="3484">
      <c r="A3484" t="inlineStr">
        <is>
          <t>PRAGMA</t>
        </is>
      </c>
      <c r="B3484" t="inlineStr">
        <is>
          <t>M1</t>
        </is>
      </c>
      <c r="C3484" t="inlineStr">
        <is>
          <t>Cali</t>
        </is>
      </c>
      <c r="D3484" t="inlineStr">
        <is>
          <t>6063</t>
        </is>
      </c>
      <c r="E3484" t="inlineStr">
        <is>
          <t>pagado</t>
        </is>
      </c>
      <c r="F3484" s="23" t="n">
        <v>46267</v>
      </c>
      <c r="G3484" s="24">
        <f>F3484-DATE(2026,8,31)</f>
        <v>2</v>
      </c>
      <c r="H3484" s="25" t="n">
        <v>87871794</v>
      </c>
      <c r="I3484" t="inlineStr">
        <is>
          <t>entidad-dia</t>
        </is>
      </c>
    </row>
    <row r="3485">
      <c r="A3485" t="inlineStr">
        <is>
          <t>PRAGMA</t>
        </is>
      </c>
      <c r="B3485" t="inlineStr">
        <is>
          <t>M1</t>
        </is>
      </c>
      <c r="C3485" t="inlineStr">
        <is>
          <t>Cali</t>
        </is>
      </c>
      <c r="D3485" t="inlineStr">
        <is>
          <t>6063</t>
        </is>
      </c>
      <c r="E3485" t="inlineStr">
        <is>
          <t>pagado</t>
        </is>
      </c>
      <c r="F3485" s="23" t="n">
        <v>46268</v>
      </c>
      <c r="G3485" s="24">
        <f>F3485-DATE(2026,8,31)</f>
        <v>3</v>
      </c>
      <c r="H3485" s="25" t="n">
        <v>81885059</v>
      </c>
      <c r="I3485" t="inlineStr">
        <is>
          <t>entidad-dia</t>
        </is>
      </c>
    </row>
    <row r="3486">
      <c r="A3486" t="inlineStr">
        <is>
          <t>PRAGMA</t>
        </is>
      </c>
      <c r="B3486" t="inlineStr">
        <is>
          <t>M1</t>
        </is>
      </c>
      <c r="C3486" t="inlineStr">
        <is>
          <t>Cali</t>
        </is>
      </c>
      <c r="D3486" t="inlineStr">
        <is>
          <t>6063</t>
        </is>
      </c>
      <c r="E3486" t="inlineStr">
        <is>
          <t>pagado</t>
        </is>
      </c>
      <c r="F3486" s="23" t="n">
        <v>46269</v>
      </c>
      <c r="G3486" s="24">
        <f>F3486-DATE(2026,8,31)</f>
        <v>4</v>
      </c>
      <c r="H3486" s="25" t="n">
        <v>86228034</v>
      </c>
      <c r="I3486" t="inlineStr">
        <is>
          <t>entidad-dia</t>
        </is>
      </c>
    </row>
    <row r="3487">
      <c r="A3487" t="inlineStr">
        <is>
          <t>PRAGMA</t>
        </is>
      </c>
      <c r="B3487" t="inlineStr">
        <is>
          <t>M1</t>
        </is>
      </c>
      <c r="C3487" t="inlineStr">
        <is>
          <t>Cali</t>
        </is>
      </c>
      <c r="D3487" t="inlineStr">
        <is>
          <t>6063</t>
        </is>
      </c>
      <c r="E3487" t="inlineStr">
        <is>
          <t>pagado</t>
        </is>
      </c>
      <c r="F3487" s="23" t="n">
        <v>46270</v>
      </c>
      <c r="G3487" s="24">
        <f>F3487-DATE(2026,8,31)</f>
        <v>5</v>
      </c>
      <c r="H3487" s="25" t="n">
        <v>96286084</v>
      </c>
      <c r="I3487" t="inlineStr">
        <is>
          <t>entidad-dia</t>
        </is>
      </c>
    </row>
    <row r="3488">
      <c r="A3488" t="inlineStr">
        <is>
          <t>PRAGMA</t>
        </is>
      </c>
      <c r="B3488" t="inlineStr">
        <is>
          <t>M1</t>
        </is>
      </c>
      <c r="C3488" t="inlineStr">
        <is>
          <t>Cali</t>
        </is>
      </c>
      <c r="D3488" t="inlineStr">
        <is>
          <t>6063</t>
        </is>
      </c>
      <c r="E3488" t="inlineStr">
        <is>
          <t>pagado</t>
        </is>
      </c>
      <c r="F3488" s="23" t="n">
        <v>46271</v>
      </c>
      <c r="G3488" s="24">
        <f>F3488-DATE(2026,8,31)</f>
        <v>6</v>
      </c>
      <c r="H3488" s="25" t="n">
        <v>64952803</v>
      </c>
      <c r="I3488" t="inlineStr">
        <is>
          <t>entidad-dia</t>
        </is>
      </c>
    </row>
    <row r="3489">
      <c r="A3489" t="inlineStr">
        <is>
          <t>PRAGMA</t>
        </is>
      </c>
      <c r="B3489" t="inlineStr">
        <is>
          <t>M1</t>
        </is>
      </c>
      <c r="C3489" t="inlineStr">
        <is>
          <t>Cali</t>
        </is>
      </c>
      <c r="D3489" t="inlineStr">
        <is>
          <t>6063</t>
        </is>
      </c>
      <c r="E3489" t="inlineStr">
        <is>
          <t>pagado</t>
        </is>
      </c>
      <c r="F3489" s="23" t="n">
        <v>46272</v>
      </c>
      <c r="G3489" s="24">
        <f>F3489-DATE(2026,8,31)</f>
        <v>7</v>
      </c>
      <c r="H3489" s="25" t="n">
        <v>66804753</v>
      </c>
      <c r="I3489" t="inlineStr">
        <is>
          <t>entidad-dia</t>
        </is>
      </c>
    </row>
    <row r="3490">
      <c r="A3490" t="inlineStr">
        <is>
          <t>PRAGMA</t>
        </is>
      </c>
      <c r="B3490" t="inlineStr">
        <is>
          <t>M1</t>
        </is>
      </c>
      <c r="C3490" t="inlineStr">
        <is>
          <t>Cali</t>
        </is>
      </c>
      <c r="D3490" t="inlineStr">
        <is>
          <t>6063</t>
        </is>
      </c>
      <c r="E3490" t="inlineStr">
        <is>
          <t>pagado</t>
        </is>
      </c>
      <c r="F3490" s="23" t="n">
        <v>46273</v>
      </c>
      <c r="G3490" s="24">
        <f>F3490-DATE(2026,8,31)</f>
        <v>8</v>
      </c>
      <c r="H3490" s="25" t="n">
        <v>61892502</v>
      </c>
      <c r="I3490" t="inlineStr">
        <is>
          <t>entidad-dia</t>
        </is>
      </c>
    </row>
    <row r="3491">
      <c r="A3491" t="inlineStr">
        <is>
          <t>PRAGMA</t>
        </is>
      </c>
      <c r="B3491" t="inlineStr">
        <is>
          <t>M1</t>
        </is>
      </c>
      <c r="C3491" t="inlineStr">
        <is>
          <t>Cali</t>
        </is>
      </c>
      <c r="D3491" t="inlineStr">
        <is>
          <t>6063</t>
        </is>
      </c>
      <c r="E3491" t="inlineStr">
        <is>
          <t>pagado</t>
        </is>
      </c>
      <c r="F3491" s="23" t="n">
        <v>46274</v>
      </c>
      <c r="G3491" s="24">
        <f>F3491-DATE(2026,8,31)</f>
        <v>9</v>
      </c>
      <c r="H3491" s="25" t="n">
        <v>61697432</v>
      </c>
      <c r="I3491" t="inlineStr">
        <is>
          <t>entidad-dia</t>
        </is>
      </c>
    </row>
    <row r="3492">
      <c r="A3492" t="inlineStr">
        <is>
          <t>PRAGMA</t>
        </is>
      </c>
      <c r="B3492" t="inlineStr">
        <is>
          <t>M1</t>
        </is>
      </c>
      <c r="C3492" t="inlineStr">
        <is>
          <t>Cali</t>
        </is>
      </c>
      <c r="D3492" t="inlineStr">
        <is>
          <t>6063</t>
        </is>
      </c>
      <c r="E3492" t="inlineStr">
        <is>
          <t>pagado</t>
        </is>
      </c>
      <c r="F3492" s="23" t="n">
        <v>46275</v>
      </c>
      <c r="G3492" s="24">
        <f>F3492-DATE(2026,8,31)</f>
        <v>10</v>
      </c>
      <c r="H3492" s="25" t="n">
        <v>57247115</v>
      </c>
      <c r="I3492" t="inlineStr">
        <is>
          <t>entidad-dia</t>
        </is>
      </c>
    </row>
    <row r="3493">
      <c r="A3493" t="inlineStr">
        <is>
          <t>PRAGMA</t>
        </is>
      </c>
      <c r="B3493" t="inlineStr">
        <is>
          <t>M1</t>
        </is>
      </c>
      <c r="C3493" t="inlineStr">
        <is>
          <t>Cali</t>
        </is>
      </c>
      <c r="D3493" t="inlineStr">
        <is>
          <t>6063</t>
        </is>
      </c>
      <c r="E3493" t="inlineStr">
        <is>
          <t>pagado</t>
        </is>
      </c>
      <c r="F3493" s="23" t="n">
        <v>46276</v>
      </c>
      <c r="G3493" s="24">
        <f>F3493-DATE(2026,8,31)</f>
        <v>11</v>
      </c>
      <c r="H3493" s="25" t="n">
        <v>70319387</v>
      </c>
      <c r="I3493" t="inlineStr">
        <is>
          <t>entidad-dia</t>
        </is>
      </c>
    </row>
    <row r="3494">
      <c r="A3494" t="inlineStr">
        <is>
          <t>PRAGMA</t>
        </is>
      </c>
      <c r="B3494" t="inlineStr">
        <is>
          <t>M1</t>
        </is>
      </c>
      <c r="C3494" t="inlineStr">
        <is>
          <t>Cali</t>
        </is>
      </c>
      <c r="D3494" t="inlineStr">
        <is>
          <t>6063</t>
        </is>
      </c>
      <c r="E3494" t="inlineStr">
        <is>
          <t>pagado</t>
        </is>
      </c>
      <c r="F3494" s="23" t="n">
        <v>46277</v>
      </c>
      <c r="G3494" s="24">
        <f>F3494-DATE(2026,8,31)</f>
        <v>12</v>
      </c>
      <c r="H3494" s="25" t="n">
        <v>72724376</v>
      </c>
      <c r="I3494" t="inlineStr">
        <is>
          <t>entidad-dia</t>
        </is>
      </c>
    </row>
    <row r="3495">
      <c r="A3495" t="inlineStr">
        <is>
          <t>PRAGMA</t>
        </is>
      </c>
      <c r="B3495" t="inlineStr">
        <is>
          <t>M1</t>
        </is>
      </c>
      <c r="C3495" t="inlineStr">
        <is>
          <t>Cali</t>
        </is>
      </c>
      <c r="D3495" t="inlineStr">
        <is>
          <t>6063</t>
        </is>
      </c>
      <c r="E3495" t="inlineStr">
        <is>
          <t>pagado</t>
        </is>
      </c>
      <c r="F3495" s="23" t="n">
        <v>46278</v>
      </c>
      <c r="G3495" s="24">
        <f>F3495-DATE(2026,8,31)</f>
        <v>13</v>
      </c>
      <c r="H3495" s="25" t="n">
        <v>47211925</v>
      </c>
      <c r="I3495" t="inlineStr">
        <is>
          <t>entidad-dia</t>
        </is>
      </c>
    </row>
    <row r="3496">
      <c r="A3496" t="inlineStr">
        <is>
          <t>PRAGMA</t>
        </is>
      </c>
      <c r="B3496" t="inlineStr">
        <is>
          <t>M1</t>
        </is>
      </c>
      <c r="C3496" t="inlineStr">
        <is>
          <t>Cali</t>
        </is>
      </c>
      <c r="D3496" t="inlineStr">
        <is>
          <t>6063</t>
        </is>
      </c>
      <c r="E3496" t="inlineStr">
        <is>
          <t>pagado</t>
        </is>
      </c>
      <c r="F3496" s="23" t="n">
        <v>46279</v>
      </c>
      <c r="G3496" s="24">
        <f>F3496-DATE(2026,8,31)</f>
        <v>14</v>
      </c>
      <c r="H3496" s="25" t="n">
        <v>64738977</v>
      </c>
      <c r="I3496" t="inlineStr">
        <is>
          <t>entidad-dia</t>
        </is>
      </c>
    </row>
    <row r="3497">
      <c r="A3497" t="inlineStr">
        <is>
          <t>PRAGMA</t>
        </is>
      </c>
      <c r="B3497" t="inlineStr">
        <is>
          <t>M1</t>
        </is>
      </c>
      <c r="C3497" t="inlineStr">
        <is>
          <t>Cali</t>
        </is>
      </c>
      <c r="D3497" t="inlineStr">
        <is>
          <t>6063</t>
        </is>
      </c>
      <c r="E3497" t="inlineStr">
        <is>
          <t>pagado</t>
        </is>
      </c>
      <c r="F3497" s="23" t="n">
        <v>46280</v>
      </c>
      <c r="G3497" s="24">
        <f>F3497-DATE(2026,8,31)</f>
        <v>15</v>
      </c>
      <c r="H3497" s="25" t="n">
        <v>81592540</v>
      </c>
      <c r="I3497" t="inlineStr">
        <is>
          <t>entidad-dia</t>
        </is>
      </c>
    </row>
    <row r="3498">
      <c r="A3498" t="inlineStr">
        <is>
          <t>PRAGMA</t>
        </is>
      </c>
      <c r="B3498" t="inlineStr">
        <is>
          <t>M1</t>
        </is>
      </c>
      <c r="C3498" t="inlineStr">
        <is>
          <t>Cali</t>
        </is>
      </c>
      <c r="D3498" t="inlineStr">
        <is>
          <t>607</t>
        </is>
      </c>
      <c r="E3498" t="inlineStr">
        <is>
          <t>pagado</t>
        </is>
      </c>
      <c r="F3498" s="23" t="n">
        <v>46266</v>
      </c>
      <c r="G3498" s="24">
        <f>F3498-DATE(2026,8,31)</f>
        <v>1</v>
      </c>
      <c r="H3498" s="25" t="n">
        <v>84757321</v>
      </c>
      <c r="I3498" t="inlineStr">
        <is>
          <t>entidad-dia</t>
        </is>
      </c>
    </row>
    <row r="3499">
      <c r="A3499" t="inlineStr">
        <is>
          <t>PRAGMA</t>
        </is>
      </c>
      <c r="B3499" t="inlineStr">
        <is>
          <t>M1</t>
        </is>
      </c>
      <c r="C3499" t="inlineStr">
        <is>
          <t>Cali</t>
        </is>
      </c>
      <c r="D3499" t="inlineStr">
        <is>
          <t>607</t>
        </is>
      </c>
      <c r="E3499" t="inlineStr">
        <is>
          <t>pagado</t>
        </is>
      </c>
      <c r="F3499" s="23" t="n">
        <v>46267</v>
      </c>
      <c r="G3499" s="24">
        <f>F3499-DATE(2026,8,31)</f>
        <v>2</v>
      </c>
      <c r="H3499" s="25" t="n">
        <v>58383540</v>
      </c>
      <c r="I3499" t="inlineStr">
        <is>
          <t>entidad-dia</t>
        </is>
      </c>
    </row>
    <row r="3500">
      <c r="A3500" t="inlineStr">
        <is>
          <t>PRAGMA</t>
        </is>
      </c>
      <c r="B3500" t="inlineStr">
        <is>
          <t>M1</t>
        </is>
      </c>
      <c r="C3500" t="inlineStr">
        <is>
          <t>Cali</t>
        </is>
      </c>
      <c r="D3500" t="inlineStr">
        <is>
          <t>607</t>
        </is>
      </c>
      <c r="E3500" t="inlineStr">
        <is>
          <t>pagado</t>
        </is>
      </c>
      <c r="F3500" s="23" t="n">
        <v>46268</v>
      </c>
      <c r="G3500" s="24">
        <f>F3500-DATE(2026,8,31)</f>
        <v>3</v>
      </c>
      <c r="H3500" s="25" t="n">
        <v>49110249</v>
      </c>
      <c r="I3500" t="inlineStr">
        <is>
          <t>entidad-dia</t>
        </is>
      </c>
    </row>
    <row r="3501">
      <c r="A3501" t="inlineStr">
        <is>
          <t>PRAGMA</t>
        </is>
      </c>
      <c r="B3501" t="inlineStr">
        <is>
          <t>M1</t>
        </is>
      </c>
      <c r="C3501" t="inlineStr">
        <is>
          <t>Cali</t>
        </is>
      </c>
      <c r="D3501" t="inlineStr">
        <is>
          <t>607</t>
        </is>
      </c>
      <c r="E3501" t="inlineStr">
        <is>
          <t>pagado</t>
        </is>
      </c>
      <c r="F3501" s="23" t="n">
        <v>46269</v>
      </c>
      <c r="G3501" s="24">
        <f>F3501-DATE(2026,8,31)</f>
        <v>4</v>
      </c>
      <c r="H3501" s="25" t="n">
        <v>60230029</v>
      </c>
      <c r="I3501" t="inlineStr">
        <is>
          <t>entidad-dia</t>
        </is>
      </c>
    </row>
    <row r="3502">
      <c r="A3502" t="inlineStr">
        <is>
          <t>PRAGMA</t>
        </is>
      </c>
      <c r="B3502" t="inlineStr">
        <is>
          <t>M1</t>
        </is>
      </c>
      <c r="C3502" t="inlineStr">
        <is>
          <t>Cali</t>
        </is>
      </c>
      <c r="D3502" t="inlineStr">
        <is>
          <t>607</t>
        </is>
      </c>
      <c r="E3502" t="inlineStr">
        <is>
          <t>pagado</t>
        </is>
      </c>
      <c r="F3502" s="23" t="n">
        <v>46270</v>
      </c>
      <c r="G3502" s="24">
        <f>F3502-DATE(2026,8,31)</f>
        <v>5</v>
      </c>
      <c r="H3502" s="25" t="n">
        <v>50049571</v>
      </c>
      <c r="I3502" t="inlineStr">
        <is>
          <t>entidad-dia</t>
        </is>
      </c>
    </row>
    <row r="3503">
      <c r="A3503" t="inlineStr">
        <is>
          <t>PRAGMA</t>
        </is>
      </c>
      <c r="B3503" t="inlineStr">
        <is>
          <t>M1</t>
        </is>
      </c>
      <c r="C3503" t="inlineStr">
        <is>
          <t>Cali</t>
        </is>
      </c>
      <c r="D3503" t="inlineStr">
        <is>
          <t>607</t>
        </is>
      </c>
      <c r="E3503" t="inlineStr">
        <is>
          <t>pagado</t>
        </is>
      </c>
      <c r="F3503" s="23" t="n">
        <v>46271</v>
      </c>
      <c r="G3503" s="24">
        <f>F3503-DATE(2026,8,31)</f>
        <v>6</v>
      </c>
      <c r="H3503" s="25" t="n">
        <v>20744641</v>
      </c>
      <c r="I3503" t="inlineStr">
        <is>
          <t>entidad-dia</t>
        </is>
      </c>
    </row>
    <row r="3504">
      <c r="A3504" t="inlineStr">
        <is>
          <t>PRAGMA</t>
        </is>
      </c>
      <c r="B3504" t="inlineStr">
        <is>
          <t>M1</t>
        </is>
      </c>
      <c r="C3504" t="inlineStr">
        <is>
          <t>Cali</t>
        </is>
      </c>
      <c r="D3504" t="inlineStr">
        <is>
          <t>607</t>
        </is>
      </c>
      <c r="E3504" t="inlineStr">
        <is>
          <t>pagado</t>
        </is>
      </c>
      <c r="F3504" s="23" t="n">
        <v>46272</v>
      </c>
      <c r="G3504" s="24">
        <f>F3504-DATE(2026,8,31)</f>
        <v>7</v>
      </c>
      <c r="H3504" s="25" t="n">
        <v>34588696</v>
      </c>
      <c r="I3504" t="inlineStr">
        <is>
          <t>entidad-dia</t>
        </is>
      </c>
    </row>
    <row r="3505">
      <c r="A3505" t="inlineStr">
        <is>
          <t>PRAGMA</t>
        </is>
      </c>
      <c r="B3505" t="inlineStr">
        <is>
          <t>M1</t>
        </is>
      </c>
      <c r="C3505" t="inlineStr">
        <is>
          <t>Cali</t>
        </is>
      </c>
      <c r="D3505" t="inlineStr">
        <is>
          <t>607</t>
        </is>
      </c>
      <c r="E3505" t="inlineStr">
        <is>
          <t>pagado</t>
        </is>
      </c>
      <c r="F3505" s="23" t="n">
        <v>46273</v>
      </c>
      <c r="G3505" s="24">
        <f>F3505-DATE(2026,8,31)</f>
        <v>8</v>
      </c>
      <c r="H3505" s="25" t="n">
        <v>40145777</v>
      </c>
      <c r="I3505" t="inlineStr">
        <is>
          <t>entidad-dia</t>
        </is>
      </c>
    </row>
    <row r="3506">
      <c r="A3506" t="inlineStr">
        <is>
          <t>PRAGMA</t>
        </is>
      </c>
      <c r="B3506" t="inlineStr">
        <is>
          <t>M1</t>
        </is>
      </c>
      <c r="C3506" t="inlineStr">
        <is>
          <t>Cali</t>
        </is>
      </c>
      <c r="D3506" t="inlineStr">
        <is>
          <t>607</t>
        </is>
      </c>
      <c r="E3506" t="inlineStr">
        <is>
          <t>pagado</t>
        </is>
      </c>
      <c r="F3506" s="23" t="n">
        <v>46274</v>
      </c>
      <c r="G3506" s="24">
        <f>F3506-DATE(2026,8,31)</f>
        <v>9</v>
      </c>
      <c r="H3506" s="25" t="n">
        <v>41590730</v>
      </c>
      <c r="I3506" t="inlineStr">
        <is>
          <t>entidad-dia</t>
        </is>
      </c>
    </row>
    <row r="3507">
      <c r="A3507" t="inlineStr">
        <is>
          <t>PRAGMA</t>
        </is>
      </c>
      <c r="B3507" t="inlineStr">
        <is>
          <t>M1</t>
        </is>
      </c>
      <c r="C3507" t="inlineStr">
        <is>
          <t>Cali</t>
        </is>
      </c>
      <c r="D3507" t="inlineStr">
        <is>
          <t>607</t>
        </is>
      </c>
      <c r="E3507" t="inlineStr">
        <is>
          <t>pagado</t>
        </is>
      </c>
      <c r="F3507" s="23" t="n">
        <v>46275</v>
      </c>
      <c r="G3507" s="24">
        <f>F3507-DATE(2026,8,31)</f>
        <v>10</v>
      </c>
      <c r="H3507" s="25" t="n">
        <v>32054739</v>
      </c>
      <c r="I3507" t="inlineStr">
        <is>
          <t>entidad-dia</t>
        </is>
      </c>
    </row>
    <row r="3508">
      <c r="A3508" t="inlineStr">
        <is>
          <t>PRAGMA</t>
        </is>
      </c>
      <c r="B3508" t="inlineStr">
        <is>
          <t>M1</t>
        </is>
      </c>
      <c r="C3508" t="inlineStr">
        <is>
          <t>Cali</t>
        </is>
      </c>
      <c r="D3508" t="inlineStr">
        <is>
          <t>607</t>
        </is>
      </c>
      <c r="E3508" t="inlineStr">
        <is>
          <t>pagado</t>
        </is>
      </c>
      <c r="F3508" s="23" t="n">
        <v>46276</v>
      </c>
      <c r="G3508" s="24">
        <f>F3508-DATE(2026,8,31)</f>
        <v>11</v>
      </c>
      <c r="H3508" s="25" t="n">
        <v>51364457</v>
      </c>
      <c r="I3508" t="inlineStr">
        <is>
          <t>entidad-dia</t>
        </is>
      </c>
    </row>
    <row r="3509">
      <c r="A3509" t="inlineStr">
        <is>
          <t>PRAGMA</t>
        </is>
      </c>
      <c r="B3509" t="inlineStr">
        <is>
          <t>M1</t>
        </is>
      </c>
      <c r="C3509" t="inlineStr">
        <is>
          <t>Cali</t>
        </is>
      </c>
      <c r="D3509" t="inlineStr">
        <is>
          <t>607</t>
        </is>
      </c>
      <c r="E3509" t="inlineStr">
        <is>
          <t>pagado</t>
        </is>
      </c>
      <c r="F3509" s="23" t="n">
        <v>46277</v>
      </c>
      <c r="G3509" s="24">
        <f>F3509-DATE(2026,8,31)</f>
        <v>12</v>
      </c>
      <c r="H3509" s="25" t="n">
        <v>35885279</v>
      </c>
      <c r="I3509" t="inlineStr">
        <is>
          <t>entidad-dia</t>
        </is>
      </c>
    </row>
    <row r="3510">
      <c r="A3510" t="inlineStr">
        <is>
          <t>PRAGMA</t>
        </is>
      </c>
      <c r="B3510" t="inlineStr">
        <is>
          <t>M1</t>
        </is>
      </c>
      <c r="C3510" t="inlineStr">
        <is>
          <t>Cali</t>
        </is>
      </c>
      <c r="D3510" t="inlineStr">
        <is>
          <t>607</t>
        </is>
      </c>
      <c r="E3510" t="inlineStr">
        <is>
          <t>pagado</t>
        </is>
      </c>
      <c r="F3510" s="23" t="n">
        <v>46278</v>
      </c>
      <c r="G3510" s="24">
        <f>F3510-DATE(2026,8,31)</f>
        <v>13</v>
      </c>
      <c r="H3510" s="25" t="n">
        <v>19357663</v>
      </c>
      <c r="I3510" t="inlineStr">
        <is>
          <t>entidad-dia</t>
        </is>
      </c>
    </row>
    <row r="3511">
      <c r="A3511" t="inlineStr">
        <is>
          <t>PRAGMA</t>
        </is>
      </c>
      <c r="B3511" t="inlineStr">
        <is>
          <t>M1</t>
        </is>
      </c>
      <c r="C3511" t="inlineStr">
        <is>
          <t>Cali</t>
        </is>
      </c>
      <c r="D3511" t="inlineStr">
        <is>
          <t>607</t>
        </is>
      </c>
      <c r="E3511" t="inlineStr">
        <is>
          <t>pagado</t>
        </is>
      </c>
      <c r="F3511" s="23" t="n">
        <v>46279</v>
      </c>
      <c r="G3511" s="24">
        <f>F3511-DATE(2026,8,31)</f>
        <v>14</v>
      </c>
      <c r="H3511" s="25" t="n">
        <v>48683517</v>
      </c>
      <c r="I3511" t="inlineStr">
        <is>
          <t>entidad-dia</t>
        </is>
      </c>
    </row>
    <row r="3512">
      <c r="A3512" t="inlineStr">
        <is>
          <t>PRAGMA</t>
        </is>
      </c>
      <c r="B3512" t="inlineStr">
        <is>
          <t>M1</t>
        </is>
      </c>
      <c r="C3512" t="inlineStr">
        <is>
          <t>Cali</t>
        </is>
      </c>
      <c r="D3512" t="inlineStr">
        <is>
          <t>607</t>
        </is>
      </c>
      <c r="E3512" t="inlineStr">
        <is>
          <t>pagado</t>
        </is>
      </c>
      <c r="F3512" s="23" t="n">
        <v>46280</v>
      </c>
      <c r="G3512" s="24">
        <f>F3512-DATE(2026,8,31)</f>
        <v>15</v>
      </c>
      <c r="H3512" s="25" t="n">
        <v>83874003</v>
      </c>
      <c r="I3512" t="inlineStr">
        <is>
          <t>entidad-dia</t>
        </is>
      </c>
    </row>
    <row r="3513">
      <c r="A3513" t="inlineStr">
        <is>
          <t>PRAGMA</t>
        </is>
      </c>
      <c r="B3513" t="inlineStr">
        <is>
          <t>M1</t>
        </is>
      </c>
      <c r="C3513" t="inlineStr">
        <is>
          <t>Cali</t>
        </is>
      </c>
      <c r="D3513" t="inlineStr">
        <is>
          <t>6098</t>
        </is>
      </c>
      <c r="E3513" t="inlineStr">
        <is>
          <t>pagado</t>
        </is>
      </c>
      <c r="F3513" s="23" t="n">
        <v>46266</v>
      </c>
      <c r="G3513" s="24">
        <f>F3513-DATE(2026,8,31)</f>
        <v>1</v>
      </c>
      <c r="H3513" s="25" t="n">
        <v>47610745</v>
      </c>
      <c r="I3513" t="inlineStr">
        <is>
          <t>entidad-dia</t>
        </is>
      </c>
    </row>
    <row r="3514">
      <c r="A3514" t="inlineStr">
        <is>
          <t>PRAGMA</t>
        </is>
      </c>
      <c r="B3514" t="inlineStr">
        <is>
          <t>M1</t>
        </is>
      </c>
      <c r="C3514" t="inlineStr">
        <is>
          <t>Cali</t>
        </is>
      </c>
      <c r="D3514" t="inlineStr">
        <is>
          <t>6098</t>
        </is>
      </c>
      <c r="E3514" t="inlineStr">
        <is>
          <t>pagado</t>
        </is>
      </c>
      <c r="F3514" s="23" t="n">
        <v>46267</v>
      </c>
      <c r="G3514" s="24">
        <f>F3514-DATE(2026,8,31)</f>
        <v>2</v>
      </c>
      <c r="H3514" s="25" t="n">
        <v>31299954</v>
      </c>
      <c r="I3514" t="inlineStr">
        <is>
          <t>entidad-dia</t>
        </is>
      </c>
    </row>
    <row r="3515">
      <c r="A3515" t="inlineStr">
        <is>
          <t>PRAGMA</t>
        </is>
      </c>
      <c r="B3515" t="inlineStr">
        <is>
          <t>M1</t>
        </is>
      </c>
      <c r="C3515" t="inlineStr">
        <is>
          <t>Cali</t>
        </is>
      </c>
      <c r="D3515" t="inlineStr">
        <is>
          <t>6098</t>
        </is>
      </c>
      <c r="E3515" t="inlineStr">
        <is>
          <t>pagado</t>
        </is>
      </c>
      <c r="F3515" s="23" t="n">
        <v>46268</v>
      </c>
      <c r="G3515" s="24">
        <f>F3515-DATE(2026,8,31)</f>
        <v>3</v>
      </c>
      <c r="H3515" s="25" t="n">
        <v>20605479</v>
      </c>
      <c r="I3515" t="inlineStr">
        <is>
          <t>entidad-dia</t>
        </is>
      </c>
    </row>
    <row r="3516">
      <c r="A3516" t="inlineStr">
        <is>
          <t>PRAGMA</t>
        </is>
      </c>
      <c r="B3516" t="inlineStr">
        <is>
          <t>M1</t>
        </is>
      </c>
      <c r="C3516" t="inlineStr">
        <is>
          <t>Cali</t>
        </is>
      </c>
      <c r="D3516" t="inlineStr">
        <is>
          <t>6098</t>
        </is>
      </c>
      <c r="E3516" t="inlineStr">
        <is>
          <t>pagado</t>
        </is>
      </c>
      <c r="F3516" s="23" t="n">
        <v>46269</v>
      </c>
      <c r="G3516" s="24">
        <f>F3516-DATE(2026,8,31)</f>
        <v>4</v>
      </c>
      <c r="H3516" s="25" t="n">
        <v>19052816</v>
      </c>
      <c r="I3516" t="inlineStr">
        <is>
          <t>entidad-dia</t>
        </is>
      </c>
    </row>
    <row r="3517">
      <c r="A3517" t="inlineStr">
        <is>
          <t>PRAGMA</t>
        </is>
      </c>
      <c r="B3517" t="inlineStr">
        <is>
          <t>M1</t>
        </is>
      </c>
      <c r="C3517" t="inlineStr">
        <is>
          <t>Cali</t>
        </is>
      </c>
      <c r="D3517" t="inlineStr">
        <is>
          <t>6098</t>
        </is>
      </c>
      <c r="E3517" t="inlineStr">
        <is>
          <t>pagado</t>
        </is>
      </c>
      <c r="F3517" s="23" t="n">
        <v>46270</v>
      </c>
      <c r="G3517" s="24">
        <f>F3517-DATE(2026,8,31)</f>
        <v>5</v>
      </c>
      <c r="H3517" s="25" t="n">
        <v>8993776</v>
      </c>
      <c r="I3517" t="inlineStr">
        <is>
          <t>entidad-dia</t>
        </is>
      </c>
    </row>
    <row r="3518">
      <c r="A3518" t="inlineStr">
        <is>
          <t>PRAGMA</t>
        </is>
      </c>
      <c r="B3518" t="inlineStr">
        <is>
          <t>M1</t>
        </is>
      </c>
      <c r="C3518" t="inlineStr">
        <is>
          <t>Cali</t>
        </is>
      </c>
      <c r="D3518" t="inlineStr">
        <is>
          <t>6098</t>
        </is>
      </c>
      <c r="E3518" t="inlineStr">
        <is>
          <t>pagado</t>
        </is>
      </c>
      <c r="F3518" s="23" t="n">
        <v>46271</v>
      </c>
      <c r="G3518" s="24">
        <f>F3518-DATE(2026,8,31)</f>
        <v>6</v>
      </c>
      <c r="H3518" s="25" t="n">
        <v>3091346</v>
      </c>
      <c r="I3518" t="inlineStr">
        <is>
          <t>entidad-dia</t>
        </is>
      </c>
    </row>
    <row r="3519">
      <c r="A3519" t="inlineStr">
        <is>
          <t>PRAGMA</t>
        </is>
      </c>
      <c r="B3519" t="inlineStr">
        <is>
          <t>M1</t>
        </is>
      </c>
      <c r="C3519" t="inlineStr">
        <is>
          <t>Cali</t>
        </is>
      </c>
      <c r="D3519" t="inlineStr">
        <is>
          <t>6098</t>
        </is>
      </c>
      <c r="E3519" t="inlineStr">
        <is>
          <t>pagado</t>
        </is>
      </c>
      <c r="F3519" s="23" t="n">
        <v>46272</v>
      </c>
      <c r="G3519" s="24">
        <f>F3519-DATE(2026,8,31)</f>
        <v>7</v>
      </c>
      <c r="H3519" s="25" t="n">
        <v>11759891</v>
      </c>
      <c r="I3519" t="inlineStr">
        <is>
          <t>entidad-dia</t>
        </is>
      </c>
    </row>
    <row r="3520">
      <c r="A3520" t="inlineStr">
        <is>
          <t>PRAGMA</t>
        </is>
      </c>
      <c r="B3520" t="inlineStr">
        <is>
          <t>M1</t>
        </is>
      </c>
      <c r="C3520" t="inlineStr">
        <is>
          <t>Cali</t>
        </is>
      </c>
      <c r="D3520" t="inlineStr">
        <is>
          <t>6098</t>
        </is>
      </c>
      <c r="E3520" t="inlineStr">
        <is>
          <t>pagado</t>
        </is>
      </c>
      <c r="F3520" s="23" t="n">
        <v>46273</v>
      </c>
      <c r="G3520" s="24">
        <f>F3520-DATE(2026,8,31)</f>
        <v>8</v>
      </c>
      <c r="H3520" s="25" t="n">
        <v>10539877</v>
      </c>
      <c r="I3520" t="inlineStr">
        <is>
          <t>entidad-dia</t>
        </is>
      </c>
    </row>
    <row r="3521">
      <c r="A3521" t="inlineStr">
        <is>
          <t>PRAGMA</t>
        </is>
      </c>
      <c r="B3521" t="inlineStr">
        <is>
          <t>M1</t>
        </is>
      </c>
      <c r="C3521" t="inlineStr">
        <is>
          <t>Cali</t>
        </is>
      </c>
      <c r="D3521" t="inlineStr">
        <is>
          <t>6098</t>
        </is>
      </c>
      <c r="E3521" t="inlineStr">
        <is>
          <t>pagado</t>
        </is>
      </c>
      <c r="F3521" s="23" t="n">
        <v>46274</v>
      </c>
      <c r="G3521" s="24">
        <f>F3521-DATE(2026,8,31)</f>
        <v>9</v>
      </c>
      <c r="H3521" s="25" t="n">
        <v>13233026</v>
      </c>
      <c r="I3521" t="inlineStr">
        <is>
          <t>entidad-dia</t>
        </is>
      </c>
    </row>
    <row r="3522">
      <c r="A3522" t="inlineStr">
        <is>
          <t>PRAGMA</t>
        </is>
      </c>
      <c r="B3522" t="inlineStr">
        <is>
          <t>M1</t>
        </is>
      </c>
      <c r="C3522" t="inlineStr">
        <is>
          <t>Cali</t>
        </is>
      </c>
      <c r="D3522" t="inlineStr">
        <is>
          <t>6098</t>
        </is>
      </c>
      <c r="E3522" t="inlineStr">
        <is>
          <t>pagado</t>
        </is>
      </c>
      <c r="F3522" s="23" t="n">
        <v>46275</v>
      </c>
      <c r="G3522" s="24">
        <f>F3522-DATE(2026,8,31)</f>
        <v>10</v>
      </c>
      <c r="H3522" s="25" t="n">
        <v>10495913</v>
      </c>
      <c r="I3522" t="inlineStr">
        <is>
          <t>entidad-dia</t>
        </is>
      </c>
    </row>
    <row r="3523">
      <c r="A3523" t="inlineStr">
        <is>
          <t>PRAGMA</t>
        </is>
      </c>
      <c r="B3523" t="inlineStr">
        <is>
          <t>M1</t>
        </is>
      </c>
      <c r="C3523" t="inlineStr">
        <is>
          <t>Cali</t>
        </is>
      </c>
      <c r="D3523" t="inlineStr">
        <is>
          <t>6098</t>
        </is>
      </c>
      <c r="E3523" t="inlineStr">
        <is>
          <t>pagado</t>
        </is>
      </c>
      <c r="F3523" s="23" t="n">
        <v>46276</v>
      </c>
      <c r="G3523" s="24">
        <f>F3523-DATE(2026,8,31)</f>
        <v>11</v>
      </c>
      <c r="H3523" s="25" t="n">
        <v>10183816</v>
      </c>
      <c r="I3523" t="inlineStr">
        <is>
          <t>entidad-dia</t>
        </is>
      </c>
    </row>
    <row r="3524">
      <c r="A3524" t="inlineStr">
        <is>
          <t>PRAGMA</t>
        </is>
      </c>
      <c r="B3524" t="inlineStr">
        <is>
          <t>M1</t>
        </is>
      </c>
      <c r="C3524" t="inlineStr">
        <is>
          <t>Cali</t>
        </is>
      </c>
      <c r="D3524" t="inlineStr">
        <is>
          <t>6098</t>
        </is>
      </c>
      <c r="E3524" t="inlineStr">
        <is>
          <t>pagado</t>
        </is>
      </c>
      <c r="F3524" s="23" t="n">
        <v>46277</v>
      </c>
      <c r="G3524" s="24">
        <f>F3524-DATE(2026,8,31)</f>
        <v>12</v>
      </c>
      <c r="H3524" s="25" t="n">
        <v>5198529</v>
      </c>
      <c r="I3524" t="inlineStr">
        <is>
          <t>entidad-dia</t>
        </is>
      </c>
    </row>
    <row r="3525">
      <c r="A3525" t="inlineStr">
        <is>
          <t>PRAGMA</t>
        </is>
      </c>
      <c r="B3525" t="inlineStr">
        <is>
          <t>M1</t>
        </is>
      </c>
      <c r="C3525" t="inlineStr">
        <is>
          <t>Cali</t>
        </is>
      </c>
      <c r="D3525" t="inlineStr">
        <is>
          <t>6098</t>
        </is>
      </c>
      <c r="E3525" t="inlineStr">
        <is>
          <t>pagado</t>
        </is>
      </c>
      <c r="F3525" s="23" t="n">
        <v>46278</v>
      </c>
      <c r="G3525" s="24">
        <f>F3525-DATE(2026,8,31)</f>
        <v>13</v>
      </c>
      <c r="H3525" s="25" t="n">
        <v>1899962</v>
      </c>
      <c r="I3525" t="inlineStr">
        <is>
          <t>entidad-dia</t>
        </is>
      </c>
    </row>
    <row r="3526">
      <c r="A3526" t="inlineStr">
        <is>
          <t>PRAGMA</t>
        </is>
      </c>
      <c r="B3526" t="inlineStr">
        <is>
          <t>M1</t>
        </is>
      </c>
      <c r="C3526" t="inlineStr">
        <is>
          <t>Cali</t>
        </is>
      </c>
      <c r="D3526" t="inlineStr">
        <is>
          <t>6098</t>
        </is>
      </c>
      <c r="E3526" t="inlineStr">
        <is>
          <t>pagado</t>
        </is>
      </c>
      <c r="F3526" s="23" t="n">
        <v>46279</v>
      </c>
      <c r="G3526" s="24">
        <f>F3526-DATE(2026,8,31)</f>
        <v>14</v>
      </c>
      <c r="H3526" s="25" t="n">
        <v>10244724</v>
      </c>
      <c r="I3526" t="inlineStr">
        <is>
          <t>entidad-dia</t>
        </is>
      </c>
    </row>
    <row r="3527">
      <c r="A3527" t="inlineStr">
        <is>
          <t>PRAGMA</t>
        </is>
      </c>
      <c r="B3527" t="inlineStr">
        <is>
          <t>M1</t>
        </is>
      </c>
      <c r="C3527" t="inlineStr">
        <is>
          <t>Cali</t>
        </is>
      </c>
      <c r="D3527" t="inlineStr">
        <is>
          <t>6098</t>
        </is>
      </c>
      <c r="E3527" t="inlineStr">
        <is>
          <t>pagado</t>
        </is>
      </c>
      <c r="F3527" s="23" t="n">
        <v>46280</v>
      </c>
      <c r="G3527" s="24">
        <f>F3527-DATE(2026,8,31)</f>
        <v>15</v>
      </c>
      <c r="H3527" s="25" t="n">
        <v>27851569</v>
      </c>
      <c r="I3527" t="inlineStr">
        <is>
          <t>entidad-dia</t>
        </is>
      </c>
    </row>
    <row r="3528">
      <c r="A3528" t="inlineStr">
        <is>
          <t>PRAGMA</t>
        </is>
      </c>
      <c r="B3528" t="inlineStr">
        <is>
          <t>M1</t>
        </is>
      </c>
      <c r="C3528" t="inlineStr">
        <is>
          <t>Cali</t>
        </is>
      </c>
      <c r="D3528" t="inlineStr">
        <is>
          <t>6114</t>
        </is>
      </c>
      <c r="E3528" t="inlineStr">
        <is>
          <t>pagado</t>
        </is>
      </c>
      <c r="F3528" s="23" t="n">
        <v>46266</v>
      </c>
      <c r="G3528" s="24">
        <f>F3528-DATE(2026,8,31)</f>
        <v>1</v>
      </c>
      <c r="H3528" s="25" t="n">
        <v>41585573</v>
      </c>
      <c r="I3528" t="inlineStr">
        <is>
          <t>entidad-dia</t>
        </is>
      </c>
    </row>
    <row r="3529">
      <c r="A3529" t="inlineStr">
        <is>
          <t>PRAGMA</t>
        </is>
      </c>
      <c r="B3529" t="inlineStr">
        <is>
          <t>M1</t>
        </is>
      </c>
      <c r="C3529" t="inlineStr">
        <is>
          <t>Cali</t>
        </is>
      </c>
      <c r="D3529" t="inlineStr">
        <is>
          <t>6114</t>
        </is>
      </c>
      <c r="E3529" t="inlineStr">
        <is>
          <t>pagado</t>
        </is>
      </c>
      <c r="F3529" s="23" t="n">
        <v>46267</v>
      </c>
      <c r="G3529" s="24">
        <f>F3529-DATE(2026,8,31)</f>
        <v>2</v>
      </c>
      <c r="H3529" s="25" t="n">
        <v>32310775</v>
      </c>
      <c r="I3529" t="inlineStr">
        <is>
          <t>entidad-dia</t>
        </is>
      </c>
    </row>
    <row r="3530">
      <c r="A3530" t="inlineStr">
        <is>
          <t>PRAGMA</t>
        </is>
      </c>
      <c r="B3530" t="inlineStr">
        <is>
          <t>M1</t>
        </is>
      </c>
      <c r="C3530" t="inlineStr">
        <is>
          <t>Cali</t>
        </is>
      </c>
      <c r="D3530" t="inlineStr">
        <is>
          <t>6114</t>
        </is>
      </c>
      <c r="E3530" t="inlineStr">
        <is>
          <t>pagado</t>
        </is>
      </c>
      <c r="F3530" s="23" t="n">
        <v>46268</v>
      </c>
      <c r="G3530" s="24">
        <f>F3530-DATE(2026,8,31)</f>
        <v>3</v>
      </c>
      <c r="H3530" s="25" t="n">
        <v>31126450</v>
      </c>
      <c r="I3530" t="inlineStr">
        <is>
          <t>entidad-dia</t>
        </is>
      </c>
    </row>
    <row r="3531">
      <c r="A3531" t="inlineStr">
        <is>
          <t>PRAGMA</t>
        </is>
      </c>
      <c r="B3531" t="inlineStr">
        <is>
          <t>M1</t>
        </is>
      </c>
      <c r="C3531" t="inlineStr">
        <is>
          <t>Cali</t>
        </is>
      </c>
      <c r="D3531" t="inlineStr">
        <is>
          <t>6114</t>
        </is>
      </c>
      <c r="E3531" t="inlineStr">
        <is>
          <t>pagado</t>
        </is>
      </c>
      <c r="F3531" s="23" t="n">
        <v>46269</v>
      </c>
      <c r="G3531" s="24">
        <f>F3531-DATE(2026,8,31)</f>
        <v>4</v>
      </c>
      <c r="H3531" s="25" t="n">
        <v>31878006</v>
      </c>
      <c r="I3531" t="inlineStr">
        <is>
          <t>entidad-dia</t>
        </is>
      </c>
    </row>
    <row r="3532">
      <c r="A3532" t="inlineStr">
        <is>
          <t>PRAGMA</t>
        </is>
      </c>
      <c r="B3532" t="inlineStr">
        <is>
          <t>M1</t>
        </is>
      </c>
      <c r="C3532" t="inlineStr">
        <is>
          <t>Cali</t>
        </is>
      </c>
      <c r="D3532" t="inlineStr">
        <is>
          <t>6114</t>
        </is>
      </c>
      <c r="E3532" t="inlineStr">
        <is>
          <t>pagado</t>
        </is>
      </c>
      <c r="F3532" s="23" t="n">
        <v>46270</v>
      </c>
      <c r="G3532" s="24">
        <f>F3532-DATE(2026,8,31)</f>
        <v>5</v>
      </c>
      <c r="H3532" s="25" t="n">
        <v>32543171</v>
      </c>
      <c r="I3532" t="inlineStr">
        <is>
          <t>entidad-dia</t>
        </is>
      </c>
    </row>
    <row r="3533">
      <c r="A3533" t="inlineStr">
        <is>
          <t>PRAGMA</t>
        </is>
      </c>
      <c r="B3533" t="inlineStr">
        <is>
          <t>M1</t>
        </is>
      </c>
      <c r="C3533" t="inlineStr">
        <is>
          <t>Cali</t>
        </is>
      </c>
      <c r="D3533" t="inlineStr">
        <is>
          <t>6114</t>
        </is>
      </c>
      <c r="E3533" t="inlineStr">
        <is>
          <t>pagado</t>
        </is>
      </c>
      <c r="F3533" s="23" t="n">
        <v>46271</v>
      </c>
      <c r="G3533" s="24">
        <f>F3533-DATE(2026,8,31)</f>
        <v>6</v>
      </c>
      <c r="H3533" s="25" t="n">
        <v>12843222</v>
      </c>
      <c r="I3533" t="inlineStr">
        <is>
          <t>entidad-dia</t>
        </is>
      </c>
    </row>
    <row r="3534">
      <c r="A3534" t="inlineStr">
        <is>
          <t>PRAGMA</t>
        </is>
      </c>
      <c r="B3534" t="inlineStr">
        <is>
          <t>M1</t>
        </is>
      </c>
      <c r="C3534" t="inlineStr">
        <is>
          <t>Cali</t>
        </is>
      </c>
      <c r="D3534" t="inlineStr">
        <is>
          <t>6114</t>
        </is>
      </c>
      <c r="E3534" t="inlineStr">
        <is>
          <t>pagado</t>
        </is>
      </c>
      <c r="F3534" s="23" t="n">
        <v>46272</v>
      </c>
      <c r="G3534" s="24">
        <f>F3534-DATE(2026,8,31)</f>
        <v>7</v>
      </c>
      <c r="H3534" s="25" t="n">
        <v>20072657</v>
      </c>
      <c r="I3534" t="inlineStr">
        <is>
          <t>entidad-dia</t>
        </is>
      </c>
    </row>
    <row r="3535">
      <c r="A3535" t="inlineStr">
        <is>
          <t>PRAGMA</t>
        </is>
      </c>
      <c r="B3535" t="inlineStr">
        <is>
          <t>M1</t>
        </is>
      </c>
      <c r="C3535" t="inlineStr">
        <is>
          <t>Cali</t>
        </is>
      </c>
      <c r="D3535" t="inlineStr">
        <is>
          <t>6114</t>
        </is>
      </c>
      <c r="E3535" t="inlineStr">
        <is>
          <t>pagado</t>
        </is>
      </c>
      <c r="F3535" s="23" t="n">
        <v>46273</v>
      </c>
      <c r="G3535" s="24">
        <f>F3535-DATE(2026,8,31)</f>
        <v>8</v>
      </c>
      <c r="H3535" s="25" t="n">
        <v>19872018</v>
      </c>
      <c r="I3535" t="inlineStr">
        <is>
          <t>entidad-dia</t>
        </is>
      </c>
    </row>
    <row r="3536">
      <c r="A3536" t="inlineStr">
        <is>
          <t>PRAGMA</t>
        </is>
      </c>
      <c r="B3536" t="inlineStr">
        <is>
          <t>M1</t>
        </is>
      </c>
      <c r="C3536" t="inlineStr">
        <is>
          <t>Cali</t>
        </is>
      </c>
      <c r="D3536" t="inlineStr">
        <is>
          <t>6114</t>
        </is>
      </c>
      <c r="E3536" t="inlineStr">
        <is>
          <t>pagado</t>
        </is>
      </c>
      <c r="F3536" s="23" t="n">
        <v>46274</v>
      </c>
      <c r="G3536" s="24">
        <f>F3536-DATE(2026,8,31)</f>
        <v>9</v>
      </c>
      <c r="H3536" s="25" t="n">
        <v>18446709</v>
      </c>
      <c r="I3536" t="inlineStr">
        <is>
          <t>entidad-dia</t>
        </is>
      </c>
    </row>
    <row r="3537">
      <c r="A3537" t="inlineStr">
        <is>
          <t>PRAGMA</t>
        </is>
      </c>
      <c r="B3537" t="inlineStr">
        <is>
          <t>M1</t>
        </is>
      </c>
      <c r="C3537" t="inlineStr">
        <is>
          <t>Cali</t>
        </is>
      </c>
      <c r="D3537" t="inlineStr">
        <is>
          <t>6114</t>
        </is>
      </c>
      <c r="E3537" t="inlineStr">
        <is>
          <t>pagado</t>
        </is>
      </c>
      <c r="F3537" s="23" t="n">
        <v>46275</v>
      </c>
      <c r="G3537" s="24">
        <f>F3537-DATE(2026,8,31)</f>
        <v>10</v>
      </c>
      <c r="H3537" s="25" t="n">
        <v>21079986</v>
      </c>
      <c r="I3537" t="inlineStr">
        <is>
          <t>entidad-dia</t>
        </is>
      </c>
    </row>
    <row r="3538">
      <c r="A3538" t="inlineStr">
        <is>
          <t>PRAGMA</t>
        </is>
      </c>
      <c r="B3538" t="inlineStr">
        <is>
          <t>M1</t>
        </is>
      </c>
      <c r="C3538" t="inlineStr">
        <is>
          <t>Cali</t>
        </is>
      </c>
      <c r="D3538" t="inlineStr">
        <is>
          <t>6114</t>
        </is>
      </c>
      <c r="E3538" t="inlineStr">
        <is>
          <t>pagado</t>
        </is>
      </c>
      <c r="F3538" s="23" t="n">
        <v>46276</v>
      </c>
      <c r="G3538" s="24">
        <f>F3538-DATE(2026,8,31)</f>
        <v>11</v>
      </c>
      <c r="H3538" s="25" t="n">
        <v>26091719</v>
      </c>
      <c r="I3538" t="inlineStr">
        <is>
          <t>entidad-dia</t>
        </is>
      </c>
    </row>
    <row r="3539">
      <c r="A3539" t="inlineStr">
        <is>
          <t>PRAGMA</t>
        </is>
      </c>
      <c r="B3539" t="inlineStr">
        <is>
          <t>M1</t>
        </is>
      </c>
      <c r="C3539" t="inlineStr">
        <is>
          <t>Cali</t>
        </is>
      </c>
      <c r="D3539" t="inlineStr">
        <is>
          <t>6114</t>
        </is>
      </c>
      <c r="E3539" t="inlineStr">
        <is>
          <t>pagado</t>
        </is>
      </c>
      <c r="F3539" s="23" t="n">
        <v>46277</v>
      </c>
      <c r="G3539" s="24">
        <f>F3539-DATE(2026,8,31)</f>
        <v>12</v>
      </c>
      <c r="H3539" s="25" t="n">
        <v>23765097</v>
      </c>
      <c r="I3539" t="inlineStr">
        <is>
          <t>entidad-dia</t>
        </is>
      </c>
    </row>
    <row r="3540">
      <c r="A3540" t="inlineStr">
        <is>
          <t>PRAGMA</t>
        </is>
      </c>
      <c r="B3540" t="inlineStr">
        <is>
          <t>M1</t>
        </is>
      </c>
      <c r="C3540" t="inlineStr">
        <is>
          <t>Cali</t>
        </is>
      </c>
      <c r="D3540" t="inlineStr">
        <is>
          <t>6114</t>
        </is>
      </c>
      <c r="E3540" t="inlineStr">
        <is>
          <t>pagado</t>
        </is>
      </c>
      <c r="F3540" s="23" t="n">
        <v>46278</v>
      </c>
      <c r="G3540" s="24">
        <f>F3540-DATE(2026,8,31)</f>
        <v>13</v>
      </c>
      <c r="H3540" s="25" t="n">
        <v>9208946</v>
      </c>
      <c r="I3540" t="inlineStr">
        <is>
          <t>entidad-dia</t>
        </is>
      </c>
    </row>
    <row r="3541">
      <c r="A3541" t="inlineStr">
        <is>
          <t>PRAGMA</t>
        </is>
      </c>
      <c r="B3541" t="inlineStr">
        <is>
          <t>M1</t>
        </is>
      </c>
      <c r="C3541" t="inlineStr">
        <is>
          <t>Cali</t>
        </is>
      </c>
      <c r="D3541" t="inlineStr">
        <is>
          <t>6114</t>
        </is>
      </c>
      <c r="E3541" t="inlineStr">
        <is>
          <t>pagado</t>
        </is>
      </c>
      <c r="F3541" s="23" t="n">
        <v>46279</v>
      </c>
      <c r="G3541" s="24">
        <f>F3541-DATE(2026,8,31)</f>
        <v>14</v>
      </c>
      <c r="H3541" s="25" t="n">
        <v>25571943</v>
      </c>
      <c r="I3541" t="inlineStr">
        <is>
          <t>entidad-dia</t>
        </is>
      </c>
    </row>
    <row r="3542">
      <c r="A3542" t="inlineStr">
        <is>
          <t>PRAGMA</t>
        </is>
      </c>
      <c r="B3542" t="inlineStr">
        <is>
          <t>M1</t>
        </is>
      </c>
      <c r="C3542" t="inlineStr">
        <is>
          <t>Cali</t>
        </is>
      </c>
      <c r="D3542" t="inlineStr">
        <is>
          <t>6114</t>
        </is>
      </c>
      <c r="E3542" t="inlineStr">
        <is>
          <t>pagado</t>
        </is>
      </c>
      <c r="F3542" s="23" t="n">
        <v>46280</v>
      </c>
      <c r="G3542" s="24">
        <f>F3542-DATE(2026,8,31)</f>
        <v>15</v>
      </c>
      <c r="H3542" s="25" t="n">
        <v>33035687</v>
      </c>
      <c r="I3542" t="inlineStr">
        <is>
          <t>entidad-dia</t>
        </is>
      </c>
    </row>
    <row r="3543">
      <c r="A3543" t="inlineStr">
        <is>
          <t>PRAGMA</t>
        </is>
      </c>
      <c r="B3543" t="inlineStr">
        <is>
          <t>M1</t>
        </is>
      </c>
      <c r="C3543" t="inlineStr">
        <is>
          <t>Cali</t>
        </is>
      </c>
      <c r="D3543" t="inlineStr">
        <is>
          <t>6119</t>
        </is>
      </c>
      <c r="E3543" t="inlineStr">
        <is>
          <t>pagado</t>
        </is>
      </c>
      <c r="F3543" s="23" t="n">
        <v>46266</v>
      </c>
      <c r="G3543" s="24">
        <f>F3543-DATE(2026,8,31)</f>
        <v>1</v>
      </c>
      <c r="H3543" s="25" t="n">
        <v>259752880</v>
      </c>
      <c r="I3543" t="inlineStr">
        <is>
          <t>entidad-dia</t>
        </is>
      </c>
    </row>
    <row r="3544">
      <c r="A3544" t="inlineStr">
        <is>
          <t>PRAGMA</t>
        </is>
      </c>
      <c r="B3544" t="inlineStr">
        <is>
          <t>M1</t>
        </is>
      </c>
      <c r="C3544" t="inlineStr">
        <is>
          <t>Cali</t>
        </is>
      </c>
      <c r="D3544" t="inlineStr">
        <is>
          <t>6119</t>
        </is>
      </c>
      <c r="E3544" t="inlineStr">
        <is>
          <t>pagado</t>
        </is>
      </c>
      <c r="F3544" s="23" t="n">
        <v>46267</v>
      </c>
      <c r="G3544" s="24">
        <f>F3544-DATE(2026,8,31)</f>
        <v>2</v>
      </c>
      <c r="H3544" s="25" t="n">
        <v>198699988</v>
      </c>
      <c r="I3544" t="inlineStr">
        <is>
          <t>entidad-dia</t>
        </is>
      </c>
    </row>
    <row r="3545">
      <c r="A3545" t="inlineStr">
        <is>
          <t>PRAGMA</t>
        </is>
      </c>
      <c r="B3545" t="inlineStr">
        <is>
          <t>M1</t>
        </is>
      </c>
      <c r="C3545" t="inlineStr">
        <is>
          <t>Cali</t>
        </is>
      </c>
      <c r="D3545" t="inlineStr">
        <is>
          <t>6119</t>
        </is>
      </c>
      <c r="E3545" t="inlineStr">
        <is>
          <t>pagado</t>
        </is>
      </c>
      <c r="F3545" s="23" t="n">
        <v>46268</v>
      </c>
      <c r="G3545" s="24">
        <f>F3545-DATE(2026,8,31)</f>
        <v>3</v>
      </c>
      <c r="H3545" s="25" t="n">
        <v>183682674</v>
      </c>
      <c r="I3545" t="inlineStr">
        <is>
          <t>entidad-dia</t>
        </is>
      </c>
    </row>
    <row r="3546">
      <c r="A3546" t="inlineStr">
        <is>
          <t>PRAGMA</t>
        </is>
      </c>
      <c r="B3546" t="inlineStr">
        <is>
          <t>M1</t>
        </is>
      </c>
      <c r="C3546" t="inlineStr">
        <is>
          <t>Cali</t>
        </is>
      </c>
      <c r="D3546" t="inlineStr">
        <is>
          <t>6119</t>
        </is>
      </c>
      <c r="E3546" t="inlineStr">
        <is>
          <t>pagado</t>
        </is>
      </c>
      <c r="F3546" s="23" t="n">
        <v>46269</v>
      </c>
      <c r="G3546" s="24">
        <f>F3546-DATE(2026,8,31)</f>
        <v>4</v>
      </c>
      <c r="H3546" s="25" t="n">
        <v>193423059</v>
      </c>
      <c r="I3546" t="inlineStr">
        <is>
          <t>entidad-dia</t>
        </is>
      </c>
    </row>
    <row r="3547">
      <c r="A3547" t="inlineStr">
        <is>
          <t>PRAGMA</t>
        </is>
      </c>
      <c r="B3547" t="inlineStr">
        <is>
          <t>M1</t>
        </is>
      </c>
      <c r="C3547" t="inlineStr">
        <is>
          <t>Cali</t>
        </is>
      </c>
      <c r="D3547" t="inlineStr">
        <is>
          <t>6119</t>
        </is>
      </c>
      <c r="E3547" t="inlineStr">
        <is>
          <t>pagado</t>
        </is>
      </c>
      <c r="F3547" s="23" t="n">
        <v>46270</v>
      </c>
      <c r="G3547" s="24">
        <f>F3547-DATE(2026,8,31)</f>
        <v>5</v>
      </c>
      <c r="H3547" s="25" t="n">
        <v>204722737</v>
      </c>
      <c r="I3547" t="inlineStr">
        <is>
          <t>entidad-dia</t>
        </is>
      </c>
    </row>
    <row r="3548">
      <c r="A3548" t="inlineStr">
        <is>
          <t>PRAGMA</t>
        </is>
      </c>
      <c r="B3548" t="inlineStr">
        <is>
          <t>M1</t>
        </is>
      </c>
      <c r="C3548" t="inlineStr">
        <is>
          <t>Cali</t>
        </is>
      </c>
      <c r="D3548" t="inlineStr">
        <is>
          <t>6119</t>
        </is>
      </c>
      <c r="E3548" t="inlineStr">
        <is>
          <t>pagado</t>
        </is>
      </c>
      <c r="F3548" s="23" t="n">
        <v>46271</v>
      </c>
      <c r="G3548" s="24">
        <f>F3548-DATE(2026,8,31)</f>
        <v>6</v>
      </c>
      <c r="H3548" s="25" t="n">
        <v>138688440</v>
      </c>
      <c r="I3548" t="inlineStr">
        <is>
          <t>entidad-dia</t>
        </is>
      </c>
    </row>
    <row r="3549">
      <c r="A3549" t="inlineStr">
        <is>
          <t>PRAGMA</t>
        </is>
      </c>
      <c r="B3549" t="inlineStr">
        <is>
          <t>M1</t>
        </is>
      </c>
      <c r="C3549" t="inlineStr">
        <is>
          <t>Cali</t>
        </is>
      </c>
      <c r="D3549" t="inlineStr">
        <is>
          <t>6119</t>
        </is>
      </c>
      <c r="E3549" t="inlineStr">
        <is>
          <t>pagado</t>
        </is>
      </c>
      <c r="F3549" s="23" t="n">
        <v>46272</v>
      </c>
      <c r="G3549" s="24">
        <f>F3549-DATE(2026,8,31)</f>
        <v>7</v>
      </c>
      <c r="H3549" s="25" t="n">
        <v>135558542</v>
      </c>
      <c r="I3549" t="inlineStr">
        <is>
          <t>entidad-dia</t>
        </is>
      </c>
    </row>
    <row r="3550">
      <c r="A3550" t="inlineStr">
        <is>
          <t>PRAGMA</t>
        </is>
      </c>
      <c r="B3550" t="inlineStr">
        <is>
          <t>M1</t>
        </is>
      </c>
      <c r="C3550" t="inlineStr">
        <is>
          <t>Cali</t>
        </is>
      </c>
      <c r="D3550" t="inlineStr">
        <is>
          <t>6119</t>
        </is>
      </c>
      <c r="E3550" t="inlineStr">
        <is>
          <t>pagado</t>
        </is>
      </c>
      <c r="F3550" s="23" t="n">
        <v>46273</v>
      </c>
      <c r="G3550" s="24">
        <f>F3550-DATE(2026,8,31)</f>
        <v>8</v>
      </c>
      <c r="H3550" s="25" t="n">
        <v>132819243</v>
      </c>
      <c r="I3550" t="inlineStr">
        <is>
          <t>entidad-dia</t>
        </is>
      </c>
    </row>
    <row r="3551">
      <c r="A3551" t="inlineStr">
        <is>
          <t>PRAGMA</t>
        </is>
      </c>
      <c r="B3551" t="inlineStr">
        <is>
          <t>M1</t>
        </is>
      </c>
      <c r="C3551" t="inlineStr">
        <is>
          <t>Cali</t>
        </is>
      </c>
      <c r="D3551" t="inlineStr">
        <is>
          <t>6119</t>
        </is>
      </c>
      <c r="E3551" t="inlineStr">
        <is>
          <t>pagado</t>
        </is>
      </c>
      <c r="F3551" s="23" t="n">
        <v>46274</v>
      </c>
      <c r="G3551" s="24">
        <f>F3551-DATE(2026,8,31)</f>
        <v>9</v>
      </c>
      <c r="H3551" s="25" t="n">
        <v>128966709</v>
      </c>
      <c r="I3551" t="inlineStr">
        <is>
          <t>entidad-dia</t>
        </is>
      </c>
    </row>
    <row r="3552">
      <c r="A3552" t="inlineStr">
        <is>
          <t>PRAGMA</t>
        </is>
      </c>
      <c r="B3552" t="inlineStr">
        <is>
          <t>M1</t>
        </is>
      </c>
      <c r="C3552" t="inlineStr">
        <is>
          <t>Cali</t>
        </is>
      </c>
      <c r="D3552" t="inlineStr">
        <is>
          <t>6119</t>
        </is>
      </c>
      <c r="E3552" t="inlineStr">
        <is>
          <t>pagado</t>
        </is>
      </c>
      <c r="F3552" s="23" t="n">
        <v>46275</v>
      </c>
      <c r="G3552" s="24">
        <f>F3552-DATE(2026,8,31)</f>
        <v>10</v>
      </c>
      <c r="H3552" s="25" t="n">
        <v>127665519</v>
      </c>
      <c r="I3552" t="inlineStr">
        <is>
          <t>entidad-dia</t>
        </is>
      </c>
    </row>
    <row r="3553">
      <c r="A3553" t="inlineStr">
        <is>
          <t>PRAGMA</t>
        </is>
      </c>
      <c r="B3553" t="inlineStr">
        <is>
          <t>M1</t>
        </is>
      </c>
      <c r="C3553" t="inlineStr">
        <is>
          <t>Cali</t>
        </is>
      </c>
      <c r="D3553" t="inlineStr">
        <is>
          <t>6119</t>
        </is>
      </c>
      <c r="E3553" t="inlineStr">
        <is>
          <t>pagado</t>
        </is>
      </c>
      <c r="F3553" s="23" t="n">
        <v>46276</v>
      </c>
      <c r="G3553" s="24">
        <f>F3553-DATE(2026,8,31)</f>
        <v>11</v>
      </c>
      <c r="H3553" s="25" t="n">
        <v>144016616</v>
      </c>
      <c r="I3553" t="inlineStr">
        <is>
          <t>entidad-dia</t>
        </is>
      </c>
    </row>
    <row r="3554">
      <c r="A3554" t="inlineStr">
        <is>
          <t>PRAGMA</t>
        </is>
      </c>
      <c r="B3554" t="inlineStr">
        <is>
          <t>M1</t>
        </is>
      </c>
      <c r="C3554" t="inlineStr">
        <is>
          <t>Cali</t>
        </is>
      </c>
      <c r="D3554" t="inlineStr">
        <is>
          <t>6119</t>
        </is>
      </c>
      <c r="E3554" t="inlineStr">
        <is>
          <t>pagado</t>
        </is>
      </c>
      <c r="F3554" s="23" t="n">
        <v>46277</v>
      </c>
      <c r="G3554" s="24">
        <f>F3554-DATE(2026,8,31)</f>
        <v>12</v>
      </c>
      <c r="H3554" s="25" t="n">
        <v>157878821</v>
      </c>
      <c r="I3554" t="inlineStr">
        <is>
          <t>entidad-dia</t>
        </is>
      </c>
    </row>
    <row r="3555">
      <c r="A3555" t="inlineStr">
        <is>
          <t>PRAGMA</t>
        </is>
      </c>
      <c r="B3555" t="inlineStr">
        <is>
          <t>M1</t>
        </is>
      </c>
      <c r="C3555" t="inlineStr">
        <is>
          <t>Cali</t>
        </is>
      </c>
      <c r="D3555" t="inlineStr">
        <is>
          <t>6119</t>
        </is>
      </c>
      <c r="E3555" t="inlineStr">
        <is>
          <t>pagado</t>
        </is>
      </c>
      <c r="F3555" s="23" t="n">
        <v>46278</v>
      </c>
      <c r="G3555" s="24">
        <f>F3555-DATE(2026,8,31)</f>
        <v>13</v>
      </c>
      <c r="H3555" s="25" t="n">
        <v>104314100</v>
      </c>
      <c r="I3555" t="inlineStr">
        <is>
          <t>entidad-dia</t>
        </is>
      </c>
    </row>
    <row r="3556">
      <c r="A3556" t="inlineStr">
        <is>
          <t>PRAGMA</t>
        </is>
      </c>
      <c r="B3556" t="inlineStr">
        <is>
          <t>M1</t>
        </is>
      </c>
      <c r="C3556" t="inlineStr">
        <is>
          <t>Cali</t>
        </is>
      </c>
      <c r="D3556" t="inlineStr">
        <is>
          <t>6119</t>
        </is>
      </c>
      <c r="E3556" t="inlineStr">
        <is>
          <t>pagado</t>
        </is>
      </c>
      <c r="F3556" s="23" t="n">
        <v>46279</v>
      </c>
      <c r="G3556" s="24">
        <f>F3556-DATE(2026,8,31)</f>
        <v>14</v>
      </c>
      <c r="H3556" s="25" t="n">
        <v>141630910</v>
      </c>
      <c r="I3556" t="inlineStr">
        <is>
          <t>entidad-dia</t>
        </is>
      </c>
    </row>
    <row r="3557">
      <c r="A3557" t="inlineStr">
        <is>
          <t>PRAGMA</t>
        </is>
      </c>
      <c r="B3557" t="inlineStr">
        <is>
          <t>M1</t>
        </is>
      </c>
      <c r="C3557" t="inlineStr">
        <is>
          <t>Cali</t>
        </is>
      </c>
      <c r="D3557" t="inlineStr">
        <is>
          <t>6119</t>
        </is>
      </c>
      <c r="E3557" t="inlineStr">
        <is>
          <t>pagado</t>
        </is>
      </c>
      <c r="F3557" s="23" t="n">
        <v>46280</v>
      </c>
      <c r="G3557" s="24">
        <f>F3557-DATE(2026,8,31)</f>
        <v>15</v>
      </c>
      <c r="H3557" s="25" t="n">
        <v>202774366</v>
      </c>
      <c r="I3557" t="inlineStr">
        <is>
          <t>entidad-dia</t>
        </is>
      </c>
    </row>
    <row r="3558">
      <c r="A3558" t="inlineStr">
        <is>
          <t>PRAGMA</t>
        </is>
      </c>
      <c r="B3558" t="inlineStr">
        <is>
          <t>M1</t>
        </is>
      </c>
      <c r="C3558" t="inlineStr">
        <is>
          <t>Cali</t>
        </is>
      </c>
      <c r="D3558" t="inlineStr">
        <is>
          <t>6125</t>
        </is>
      </c>
      <c r="E3558" t="inlineStr">
        <is>
          <t>pagado</t>
        </is>
      </c>
      <c r="F3558" s="23" t="n">
        <v>46266</v>
      </c>
      <c r="G3558" s="24">
        <f>F3558-DATE(2026,8,31)</f>
        <v>1</v>
      </c>
      <c r="H3558" s="25" t="n">
        <v>118838135</v>
      </c>
      <c r="I3558" t="inlineStr">
        <is>
          <t>entidad-dia</t>
        </is>
      </c>
    </row>
    <row r="3559">
      <c r="A3559" t="inlineStr">
        <is>
          <t>PRAGMA</t>
        </is>
      </c>
      <c r="B3559" t="inlineStr">
        <is>
          <t>M1</t>
        </is>
      </c>
      <c r="C3559" t="inlineStr">
        <is>
          <t>Cali</t>
        </is>
      </c>
      <c r="D3559" t="inlineStr">
        <is>
          <t>6125</t>
        </is>
      </c>
      <c r="E3559" t="inlineStr">
        <is>
          <t>pagado</t>
        </is>
      </c>
      <c r="F3559" s="23" t="n">
        <v>46267</v>
      </c>
      <c r="G3559" s="24">
        <f>F3559-DATE(2026,8,31)</f>
        <v>2</v>
      </c>
      <c r="H3559" s="25" t="n">
        <v>81715503</v>
      </c>
      <c r="I3559" t="inlineStr">
        <is>
          <t>entidad-dia</t>
        </is>
      </c>
    </row>
    <row r="3560">
      <c r="A3560" t="inlineStr">
        <is>
          <t>PRAGMA</t>
        </is>
      </c>
      <c r="B3560" t="inlineStr">
        <is>
          <t>M1</t>
        </is>
      </c>
      <c r="C3560" t="inlineStr">
        <is>
          <t>Cali</t>
        </is>
      </c>
      <c r="D3560" t="inlineStr">
        <is>
          <t>6125</t>
        </is>
      </c>
      <c r="E3560" t="inlineStr">
        <is>
          <t>pagado</t>
        </is>
      </c>
      <c r="F3560" s="23" t="n">
        <v>46268</v>
      </c>
      <c r="G3560" s="24">
        <f>F3560-DATE(2026,8,31)</f>
        <v>3</v>
      </c>
      <c r="H3560" s="25" t="n">
        <v>74183524</v>
      </c>
      <c r="I3560" t="inlineStr">
        <is>
          <t>entidad-dia</t>
        </is>
      </c>
    </row>
    <row r="3561">
      <c r="A3561" t="inlineStr">
        <is>
          <t>PRAGMA</t>
        </is>
      </c>
      <c r="B3561" t="inlineStr">
        <is>
          <t>M1</t>
        </is>
      </c>
      <c r="C3561" t="inlineStr">
        <is>
          <t>Cali</t>
        </is>
      </c>
      <c r="D3561" t="inlineStr">
        <is>
          <t>6125</t>
        </is>
      </c>
      <c r="E3561" t="inlineStr">
        <is>
          <t>pagado</t>
        </is>
      </c>
      <c r="F3561" s="23" t="n">
        <v>46269</v>
      </c>
      <c r="G3561" s="24">
        <f>F3561-DATE(2026,8,31)</f>
        <v>4</v>
      </c>
      <c r="H3561" s="25" t="n">
        <v>76717210</v>
      </c>
      <c r="I3561" t="inlineStr">
        <is>
          <t>entidad-dia</t>
        </is>
      </c>
    </row>
    <row r="3562">
      <c r="A3562" t="inlineStr">
        <is>
          <t>PRAGMA</t>
        </is>
      </c>
      <c r="B3562" t="inlineStr">
        <is>
          <t>M1</t>
        </is>
      </c>
      <c r="C3562" t="inlineStr">
        <is>
          <t>Cali</t>
        </is>
      </c>
      <c r="D3562" t="inlineStr">
        <is>
          <t>6125</t>
        </is>
      </c>
      <c r="E3562" t="inlineStr">
        <is>
          <t>pagado</t>
        </is>
      </c>
      <c r="F3562" s="23" t="n">
        <v>46270</v>
      </c>
      <c r="G3562" s="24">
        <f>F3562-DATE(2026,8,31)</f>
        <v>5</v>
      </c>
      <c r="H3562" s="25" t="n">
        <v>80984068</v>
      </c>
      <c r="I3562" t="inlineStr">
        <is>
          <t>entidad-dia</t>
        </is>
      </c>
    </row>
    <row r="3563">
      <c r="A3563" t="inlineStr">
        <is>
          <t>PRAGMA</t>
        </is>
      </c>
      <c r="B3563" t="inlineStr">
        <is>
          <t>M1</t>
        </is>
      </c>
      <c r="C3563" t="inlineStr">
        <is>
          <t>Cali</t>
        </is>
      </c>
      <c r="D3563" t="inlineStr">
        <is>
          <t>6125</t>
        </is>
      </c>
      <c r="E3563" t="inlineStr">
        <is>
          <t>pagado</t>
        </is>
      </c>
      <c r="F3563" s="23" t="n">
        <v>46271</v>
      </c>
      <c r="G3563" s="24">
        <f>F3563-DATE(2026,8,31)</f>
        <v>6</v>
      </c>
      <c r="H3563" s="25" t="n">
        <v>52077680</v>
      </c>
      <c r="I3563" t="inlineStr">
        <is>
          <t>entidad-dia</t>
        </is>
      </c>
    </row>
    <row r="3564">
      <c r="A3564" t="inlineStr">
        <is>
          <t>PRAGMA</t>
        </is>
      </c>
      <c r="B3564" t="inlineStr">
        <is>
          <t>M1</t>
        </is>
      </c>
      <c r="C3564" t="inlineStr">
        <is>
          <t>Cali</t>
        </is>
      </c>
      <c r="D3564" t="inlineStr">
        <is>
          <t>6125</t>
        </is>
      </c>
      <c r="E3564" t="inlineStr">
        <is>
          <t>pagado</t>
        </is>
      </c>
      <c r="F3564" s="23" t="n">
        <v>46272</v>
      </c>
      <c r="G3564" s="24">
        <f>F3564-DATE(2026,8,31)</f>
        <v>7</v>
      </c>
      <c r="H3564" s="25" t="n">
        <v>56448038</v>
      </c>
      <c r="I3564" t="inlineStr">
        <is>
          <t>entidad-dia</t>
        </is>
      </c>
    </row>
    <row r="3565">
      <c r="A3565" t="inlineStr">
        <is>
          <t>PRAGMA</t>
        </is>
      </c>
      <c r="B3565" t="inlineStr">
        <is>
          <t>M1</t>
        </is>
      </c>
      <c r="C3565" t="inlineStr">
        <is>
          <t>Cali</t>
        </is>
      </c>
      <c r="D3565" t="inlineStr">
        <is>
          <t>6125</t>
        </is>
      </c>
      <c r="E3565" t="inlineStr">
        <is>
          <t>pagado</t>
        </is>
      </c>
      <c r="F3565" s="23" t="n">
        <v>46273</v>
      </c>
      <c r="G3565" s="24">
        <f>F3565-DATE(2026,8,31)</f>
        <v>8</v>
      </c>
      <c r="H3565" s="25" t="n">
        <v>51740341</v>
      </c>
      <c r="I3565" t="inlineStr">
        <is>
          <t>entidad-dia</t>
        </is>
      </c>
    </row>
    <row r="3566">
      <c r="A3566" t="inlineStr">
        <is>
          <t>PRAGMA</t>
        </is>
      </c>
      <c r="B3566" t="inlineStr">
        <is>
          <t>M1</t>
        </is>
      </c>
      <c r="C3566" t="inlineStr">
        <is>
          <t>Cali</t>
        </is>
      </c>
      <c r="D3566" t="inlineStr">
        <is>
          <t>6125</t>
        </is>
      </c>
      <c r="E3566" t="inlineStr">
        <is>
          <t>pagado</t>
        </is>
      </c>
      <c r="F3566" s="23" t="n">
        <v>46274</v>
      </c>
      <c r="G3566" s="24">
        <f>F3566-DATE(2026,8,31)</f>
        <v>9</v>
      </c>
      <c r="H3566" s="25" t="n">
        <v>56071853</v>
      </c>
      <c r="I3566" t="inlineStr">
        <is>
          <t>entidad-dia</t>
        </is>
      </c>
    </row>
    <row r="3567">
      <c r="A3567" t="inlineStr">
        <is>
          <t>PRAGMA</t>
        </is>
      </c>
      <c r="B3567" t="inlineStr">
        <is>
          <t>M1</t>
        </is>
      </c>
      <c r="C3567" t="inlineStr">
        <is>
          <t>Cali</t>
        </is>
      </c>
      <c r="D3567" t="inlineStr">
        <is>
          <t>6125</t>
        </is>
      </c>
      <c r="E3567" t="inlineStr">
        <is>
          <t>pagado</t>
        </is>
      </c>
      <c r="F3567" s="23" t="n">
        <v>46275</v>
      </c>
      <c r="G3567" s="24">
        <f>F3567-DATE(2026,8,31)</f>
        <v>10</v>
      </c>
      <c r="H3567" s="25" t="n">
        <v>54372384</v>
      </c>
      <c r="I3567" t="inlineStr">
        <is>
          <t>entidad-dia</t>
        </is>
      </c>
    </row>
    <row r="3568">
      <c r="A3568" t="inlineStr">
        <is>
          <t>PRAGMA</t>
        </is>
      </c>
      <c r="B3568" t="inlineStr">
        <is>
          <t>M1</t>
        </is>
      </c>
      <c r="C3568" t="inlineStr">
        <is>
          <t>Cali</t>
        </is>
      </c>
      <c r="D3568" t="inlineStr">
        <is>
          <t>6125</t>
        </is>
      </c>
      <c r="E3568" t="inlineStr">
        <is>
          <t>pagado</t>
        </is>
      </c>
      <c r="F3568" s="23" t="n">
        <v>46276</v>
      </c>
      <c r="G3568" s="24">
        <f>F3568-DATE(2026,8,31)</f>
        <v>11</v>
      </c>
      <c r="H3568" s="25" t="n">
        <v>65233012</v>
      </c>
      <c r="I3568" t="inlineStr">
        <is>
          <t>entidad-dia</t>
        </is>
      </c>
    </row>
    <row r="3569">
      <c r="A3569" t="inlineStr">
        <is>
          <t>PRAGMA</t>
        </is>
      </c>
      <c r="B3569" t="inlineStr">
        <is>
          <t>M1</t>
        </is>
      </c>
      <c r="C3569" t="inlineStr">
        <is>
          <t>Cali</t>
        </is>
      </c>
      <c r="D3569" t="inlineStr">
        <is>
          <t>6125</t>
        </is>
      </c>
      <c r="E3569" t="inlineStr">
        <is>
          <t>pagado</t>
        </is>
      </c>
      <c r="F3569" s="23" t="n">
        <v>46277</v>
      </c>
      <c r="G3569" s="24">
        <f>F3569-DATE(2026,8,31)</f>
        <v>12</v>
      </c>
      <c r="H3569" s="25" t="n">
        <v>66301984</v>
      </c>
      <c r="I3569" t="inlineStr">
        <is>
          <t>entidad-dia</t>
        </is>
      </c>
    </row>
    <row r="3570">
      <c r="A3570" t="inlineStr">
        <is>
          <t>PRAGMA</t>
        </is>
      </c>
      <c r="B3570" t="inlineStr">
        <is>
          <t>M1</t>
        </is>
      </c>
      <c r="C3570" t="inlineStr">
        <is>
          <t>Cali</t>
        </is>
      </c>
      <c r="D3570" t="inlineStr">
        <is>
          <t>6125</t>
        </is>
      </c>
      <c r="E3570" t="inlineStr">
        <is>
          <t>pagado</t>
        </is>
      </c>
      <c r="F3570" s="23" t="n">
        <v>46278</v>
      </c>
      <c r="G3570" s="24">
        <f>F3570-DATE(2026,8,31)</f>
        <v>13</v>
      </c>
      <c r="H3570" s="25" t="n">
        <v>37615343</v>
      </c>
      <c r="I3570" t="inlineStr">
        <is>
          <t>entidad-dia</t>
        </is>
      </c>
    </row>
    <row r="3571">
      <c r="A3571" t="inlineStr">
        <is>
          <t>PRAGMA</t>
        </is>
      </c>
      <c r="B3571" t="inlineStr">
        <is>
          <t>M1</t>
        </is>
      </c>
      <c r="C3571" t="inlineStr">
        <is>
          <t>Cali</t>
        </is>
      </c>
      <c r="D3571" t="inlineStr">
        <is>
          <t>6125</t>
        </is>
      </c>
      <c r="E3571" t="inlineStr">
        <is>
          <t>pagado</t>
        </is>
      </c>
      <c r="F3571" s="23" t="n">
        <v>46279</v>
      </c>
      <c r="G3571" s="24">
        <f>F3571-DATE(2026,8,31)</f>
        <v>14</v>
      </c>
      <c r="H3571" s="25" t="n">
        <v>54488737</v>
      </c>
      <c r="I3571" t="inlineStr">
        <is>
          <t>entidad-dia</t>
        </is>
      </c>
    </row>
    <row r="3572">
      <c r="A3572" t="inlineStr">
        <is>
          <t>PRAGMA</t>
        </is>
      </c>
      <c r="B3572" t="inlineStr">
        <is>
          <t>M1</t>
        </is>
      </c>
      <c r="C3572" t="inlineStr">
        <is>
          <t>Cali</t>
        </is>
      </c>
      <c r="D3572" t="inlineStr">
        <is>
          <t>6125</t>
        </is>
      </c>
      <c r="E3572" t="inlineStr">
        <is>
          <t>pagado</t>
        </is>
      </c>
      <c r="F3572" s="23" t="n">
        <v>46280</v>
      </c>
      <c r="G3572" s="24">
        <f>F3572-DATE(2026,8,31)</f>
        <v>15</v>
      </c>
      <c r="H3572" s="25" t="n">
        <v>88918160</v>
      </c>
      <c r="I3572" t="inlineStr">
        <is>
          <t>entidad-dia</t>
        </is>
      </c>
    </row>
    <row r="3573">
      <c r="A3573" t="inlineStr">
        <is>
          <t>PRAGMA</t>
        </is>
      </c>
      <c r="B3573" t="inlineStr">
        <is>
          <t>M1</t>
        </is>
      </c>
      <c r="C3573" t="inlineStr">
        <is>
          <t>Pasto</t>
        </is>
      </c>
      <c r="D3573" t="inlineStr">
        <is>
          <t>6127</t>
        </is>
      </c>
      <c r="E3573" t="inlineStr">
        <is>
          <t>pagado</t>
        </is>
      </c>
      <c r="F3573" s="23" t="n">
        <v>46266</v>
      </c>
      <c r="G3573" s="24">
        <f>F3573-DATE(2026,8,31)</f>
        <v>1</v>
      </c>
      <c r="H3573" s="25" t="n">
        <v>161057421</v>
      </c>
      <c r="I3573" t="inlineStr">
        <is>
          <t>entidad-dia</t>
        </is>
      </c>
    </row>
    <row r="3574">
      <c r="A3574" t="inlineStr">
        <is>
          <t>PRAGMA</t>
        </is>
      </c>
      <c r="B3574" t="inlineStr">
        <is>
          <t>M1</t>
        </is>
      </c>
      <c r="C3574" t="inlineStr">
        <is>
          <t>Pasto</t>
        </is>
      </c>
      <c r="D3574" t="inlineStr">
        <is>
          <t>6127</t>
        </is>
      </c>
      <c r="E3574" t="inlineStr">
        <is>
          <t>pagado</t>
        </is>
      </c>
      <c r="F3574" s="23" t="n">
        <v>46267</v>
      </c>
      <c r="G3574" s="24">
        <f>F3574-DATE(2026,8,31)</f>
        <v>2</v>
      </c>
      <c r="H3574" s="25" t="n">
        <v>122557618</v>
      </c>
      <c r="I3574" t="inlineStr">
        <is>
          <t>entidad-dia</t>
        </is>
      </c>
    </row>
    <row r="3575">
      <c r="A3575" t="inlineStr">
        <is>
          <t>PRAGMA</t>
        </is>
      </c>
      <c r="B3575" t="inlineStr">
        <is>
          <t>M1</t>
        </is>
      </c>
      <c r="C3575" t="inlineStr">
        <is>
          <t>Pasto</t>
        </is>
      </c>
      <c r="D3575" t="inlineStr">
        <is>
          <t>6127</t>
        </is>
      </c>
      <c r="E3575" t="inlineStr">
        <is>
          <t>pagado</t>
        </is>
      </c>
      <c r="F3575" s="23" t="n">
        <v>46268</v>
      </c>
      <c r="G3575" s="24">
        <f>F3575-DATE(2026,8,31)</f>
        <v>3</v>
      </c>
      <c r="H3575" s="25" t="n">
        <v>114987421</v>
      </c>
      <c r="I3575" t="inlineStr">
        <is>
          <t>entidad-dia</t>
        </is>
      </c>
    </row>
    <row r="3576">
      <c r="A3576" t="inlineStr">
        <is>
          <t>PRAGMA</t>
        </is>
      </c>
      <c r="B3576" t="inlineStr">
        <is>
          <t>M1</t>
        </is>
      </c>
      <c r="C3576" t="inlineStr">
        <is>
          <t>Pasto</t>
        </is>
      </c>
      <c r="D3576" t="inlineStr">
        <is>
          <t>6127</t>
        </is>
      </c>
      <c r="E3576" t="inlineStr">
        <is>
          <t>pagado</t>
        </is>
      </c>
      <c r="F3576" s="23" t="n">
        <v>46269</v>
      </c>
      <c r="G3576" s="24">
        <f>F3576-DATE(2026,8,31)</f>
        <v>4</v>
      </c>
      <c r="H3576" s="25" t="n">
        <v>114740357</v>
      </c>
      <c r="I3576" t="inlineStr">
        <is>
          <t>entidad-dia</t>
        </is>
      </c>
    </row>
    <row r="3577">
      <c r="A3577" t="inlineStr">
        <is>
          <t>PRAGMA</t>
        </is>
      </c>
      <c r="B3577" t="inlineStr">
        <is>
          <t>M1</t>
        </is>
      </c>
      <c r="C3577" t="inlineStr">
        <is>
          <t>Pasto</t>
        </is>
      </c>
      <c r="D3577" t="inlineStr">
        <is>
          <t>6127</t>
        </is>
      </c>
      <c r="E3577" t="inlineStr">
        <is>
          <t>pagado</t>
        </is>
      </c>
      <c r="F3577" s="23" t="n">
        <v>46270</v>
      </c>
      <c r="G3577" s="24">
        <f>F3577-DATE(2026,8,31)</f>
        <v>5</v>
      </c>
      <c r="H3577" s="25" t="n">
        <v>102351581</v>
      </c>
      <c r="I3577" t="inlineStr">
        <is>
          <t>entidad-dia</t>
        </is>
      </c>
    </row>
    <row r="3578">
      <c r="A3578" t="inlineStr">
        <is>
          <t>PRAGMA</t>
        </is>
      </c>
      <c r="B3578" t="inlineStr">
        <is>
          <t>M1</t>
        </is>
      </c>
      <c r="C3578" t="inlineStr">
        <is>
          <t>Pasto</t>
        </is>
      </c>
      <c r="D3578" t="inlineStr">
        <is>
          <t>6127</t>
        </is>
      </c>
      <c r="E3578" t="inlineStr">
        <is>
          <t>pagado</t>
        </is>
      </c>
      <c r="F3578" s="23" t="n">
        <v>46271</v>
      </c>
      <c r="G3578" s="24">
        <f>F3578-DATE(2026,8,31)</f>
        <v>6</v>
      </c>
      <c r="H3578" s="25" t="n">
        <v>56241827</v>
      </c>
      <c r="I3578" t="inlineStr">
        <is>
          <t>entidad-dia</t>
        </is>
      </c>
    </row>
    <row r="3579">
      <c r="A3579" t="inlineStr">
        <is>
          <t>PRAGMA</t>
        </is>
      </c>
      <c r="B3579" t="inlineStr">
        <is>
          <t>M1</t>
        </is>
      </c>
      <c r="C3579" t="inlineStr">
        <is>
          <t>Pasto</t>
        </is>
      </c>
      <c r="D3579" t="inlineStr">
        <is>
          <t>6127</t>
        </is>
      </c>
      <c r="E3579" t="inlineStr">
        <is>
          <t>pagado</t>
        </is>
      </c>
      <c r="F3579" s="23" t="n">
        <v>46272</v>
      </c>
      <c r="G3579" s="24">
        <f>F3579-DATE(2026,8,31)</f>
        <v>7</v>
      </c>
      <c r="H3579" s="25" t="n">
        <v>100583817</v>
      </c>
      <c r="I3579" t="inlineStr">
        <is>
          <t>entidad-dia</t>
        </is>
      </c>
    </row>
    <row r="3580">
      <c r="A3580" t="inlineStr">
        <is>
          <t>PRAGMA</t>
        </is>
      </c>
      <c r="B3580" t="inlineStr">
        <is>
          <t>M1</t>
        </is>
      </c>
      <c r="C3580" t="inlineStr">
        <is>
          <t>Pasto</t>
        </is>
      </c>
      <c r="D3580" t="inlineStr">
        <is>
          <t>6127</t>
        </is>
      </c>
      <c r="E3580" t="inlineStr">
        <is>
          <t>pagado</t>
        </is>
      </c>
      <c r="F3580" s="23" t="n">
        <v>46273</v>
      </c>
      <c r="G3580" s="24">
        <f>F3580-DATE(2026,8,31)</f>
        <v>8</v>
      </c>
      <c r="H3580" s="25" t="n">
        <v>96141777</v>
      </c>
      <c r="I3580" t="inlineStr">
        <is>
          <t>entidad-dia</t>
        </is>
      </c>
    </row>
    <row r="3581">
      <c r="A3581" t="inlineStr">
        <is>
          <t>PRAGMA</t>
        </is>
      </c>
      <c r="B3581" t="inlineStr">
        <is>
          <t>M1</t>
        </is>
      </c>
      <c r="C3581" t="inlineStr">
        <is>
          <t>Pasto</t>
        </is>
      </c>
      <c r="D3581" t="inlineStr">
        <is>
          <t>6127</t>
        </is>
      </c>
      <c r="E3581" t="inlineStr">
        <is>
          <t>pagado</t>
        </is>
      </c>
      <c r="F3581" s="23" t="n">
        <v>46274</v>
      </c>
      <c r="G3581" s="24">
        <f>F3581-DATE(2026,8,31)</f>
        <v>9</v>
      </c>
      <c r="H3581" s="25" t="n">
        <v>88724737</v>
      </c>
      <c r="I3581" t="inlineStr">
        <is>
          <t>entidad-dia</t>
        </is>
      </c>
    </row>
    <row r="3582">
      <c r="A3582" t="inlineStr">
        <is>
          <t>PRAGMA</t>
        </is>
      </c>
      <c r="B3582" t="inlineStr">
        <is>
          <t>M1</t>
        </is>
      </c>
      <c r="C3582" t="inlineStr">
        <is>
          <t>Pasto</t>
        </is>
      </c>
      <c r="D3582" t="inlineStr">
        <is>
          <t>6127</t>
        </is>
      </c>
      <c r="E3582" t="inlineStr">
        <is>
          <t>pagado</t>
        </is>
      </c>
      <c r="F3582" s="23" t="n">
        <v>46275</v>
      </c>
      <c r="G3582" s="24">
        <f>F3582-DATE(2026,8,31)</f>
        <v>10</v>
      </c>
      <c r="H3582" s="25" t="n">
        <v>87222167</v>
      </c>
      <c r="I3582" t="inlineStr">
        <is>
          <t>entidad-dia</t>
        </is>
      </c>
    </row>
    <row r="3583">
      <c r="A3583" t="inlineStr">
        <is>
          <t>PRAGMA</t>
        </is>
      </c>
      <c r="B3583" t="inlineStr">
        <is>
          <t>M1</t>
        </is>
      </c>
      <c r="C3583" t="inlineStr">
        <is>
          <t>Pasto</t>
        </is>
      </c>
      <c r="D3583" t="inlineStr">
        <is>
          <t>6127</t>
        </is>
      </c>
      <c r="E3583" t="inlineStr">
        <is>
          <t>pagado</t>
        </is>
      </c>
      <c r="F3583" s="23" t="n">
        <v>46276</v>
      </c>
      <c r="G3583" s="24">
        <f>F3583-DATE(2026,8,31)</f>
        <v>11</v>
      </c>
      <c r="H3583" s="25" t="n">
        <v>81201246</v>
      </c>
      <c r="I3583" t="inlineStr">
        <is>
          <t>entidad-dia</t>
        </is>
      </c>
    </row>
    <row r="3584">
      <c r="A3584" t="inlineStr">
        <is>
          <t>PRAGMA</t>
        </is>
      </c>
      <c r="B3584" t="inlineStr">
        <is>
          <t>M1</t>
        </is>
      </c>
      <c r="C3584" t="inlineStr">
        <is>
          <t>Pasto</t>
        </is>
      </c>
      <c r="D3584" t="inlineStr">
        <is>
          <t>6127</t>
        </is>
      </c>
      <c r="E3584" t="inlineStr">
        <is>
          <t>pagado</t>
        </is>
      </c>
      <c r="F3584" s="23" t="n">
        <v>46277</v>
      </c>
      <c r="G3584" s="24">
        <f>F3584-DATE(2026,8,31)</f>
        <v>12</v>
      </c>
      <c r="H3584" s="25" t="n">
        <v>77219878</v>
      </c>
      <c r="I3584" t="inlineStr">
        <is>
          <t>entidad-dia</t>
        </is>
      </c>
    </row>
    <row r="3585">
      <c r="A3585" t="inlineStr">
        <is>
          <t>PRAGMA</t>
        </is>
      </c>
      <c r="B3585" t="inlineStr">
        <is>
          <t>M1</t>
        </is>
      </c>
      <c r="C3585" t="inlineStr">
        <is>
          <t>Pasto</t>
        </is>
      </c>
      <c r="D3585" t="inlineStr">
        <is>
          <t>6127</t>
        </is>
      </c>
      <c r="E3585" t="inlineStr">
        <is>
          <t>pagado</t>
        </is>
      </c>
      <c r="F3585" s="23" t="n">
        <v>46278</v>
      </c>
      <c r="G3585" s="24">
        <f>F3585-DATE(2026,8,31)</f>
        <v>13</v>
      </c>
      <c r="H3585" s="25" t="n">
        <v>40755892</v>
      </c>
      <c r="I3585" t="inlineStr">
        <is>
          <t>entidad-dia</t>
        </is>
      </c>
    </row>
    <row r="3586">
      <c r="A3586" t="inlineStr">
        <is>
          <t>PRAGMA</t>
        </is>
      </c>
      <c r="B3586" t="inlineStr">
        <is>
          <t>M1</t>
        </is>
      </c>
      <c r="C3586" t="inlineStr">
        <is>
          <t>Pasto</t>
        </is>
      </c>
      <c r="D3586" t="inlineStr">
        <is>
          <t>6127</t>
        </is>
      </c>
      <c r="E3586" t="inlineStr">
        <is>
          <t>pagado</t>
        </is>
      </c>
      <c r="F3586" s="23" t="n">
        <v>46279</v>
      </c>
      <c r="G3586" s="24">
        <f>F3586-DATE(2026,8,31)</f>
        <v>14</v>
      </c>
      <c r="H3586" s="25" t="n">
        <v>85761449</v>
      </c>
      <c r="I3586" t="inlineStr">
        <is>
          <t>entidad-dia</t>
        </is>
      </c>
    </row>
    <row r="3587">
      <c r="A3587" t="inlineStr">
        <is>
          <t>PRAGMA</t>
        </is>
      </c>
      <c r="B3587" t="inlineStr">
        <is>
          <t>M1</t>
        </is>
      </c>
      <c r="C3587" t="inlineStr">
        <is>
          <t>Pasto</t>
        </is>
      </c>
      <c r="D3587" t="inlineStr">
        <is>
          <t>6127</t>
        </is>
      </c>
      <c r="E3587" t="inlineStr">
        <is>
          <t>pagado</t>
        </is>
      </c>
      <c r="F3587" s="23" t="n">
        <v>46280</v>
      </c>
      <c r="G3587" s="24">
        <f>F3587-DATE(2026,8,31)</f>
        <v>15</v>
      </c>
      <c r="H3587" s="25" t="n">
        <v>105151023</v>
      </c>
      <c r="I3587" t="inlineStr">
        <is>
          <t>entidad-dia</t>
        </is>
      </c>
    </row>
    <row r="3588">
      <c r="A3588" t="inlineStr">
        <is>
          <t>PRAGMA</t>
        </is>
      </c>
      <c r="B3588" t="inlineStr">
        <is>
          <t>M1</t>
        </is>
      </c>
      <c r="C3588" t="inlineStr">
        <is>
          <t>Cali</t>
        </is>
      </c>
      <c r="D3588" t="inlineStr">
        <is>
          <t>6156</t>
        </is>
      </c>
      <c r="E3588" t="inlineStr">
        <is>
          <t>pagado</t>
        </is>
      </c>
      <c r="F3588" s="23" t="n">
        <v>46266</v>
      </c>
      <c r="G3588" s="24">
        <f>F3588-DATE(2026,8,31)</f>
        <v>1</v>
      </c>
      <c r="H3588" s="25" t="n">
        <v>19496636</v>
      </c>
      <c r="I3588" t="inlineStr">
        <is>
          <t>entidad-dia</t>
        </is>
      </c>
    </row>
    <row r="3589">
      <c r="A3589" t="inlineStr">
        <is>
          <t>PRAGMA</t>
        </is>
      </c>
      <c r="B3589" t="inlineStr">
        <is>
          <t>M1</t>
        </is>
      </c>
      <c r="C3589" t="inlineStr">
        <is>
          <t>Cali</t>
        </is>
      </c>
      <c r="D3589" t="inlineStr">
        <is>
          <t>6156</t>
        </is>
      </c>
      <c r="E3589" t="inlineStr">
        <is>
          <t>pagado</t>
        </is>
      </c>
      <c r="F3589" s="23" t="n">
        <v>46267</v>
      </c>
      <c r="G3589" s="24">
        <f>F3589-DATE(2026,8,31)</f>
        <v>2</v>
      </c>
      <c r="H3589" s="25" t="n">
        <v>14794902</v>
      </c>
      <c r="I3589" t="inlineStr">
        <is>
          <t>entidad-dia</t>
        </is>
      </c>
    </row>
    <row r="3590">
      <c r="A3590" t="inlineStr">
        <is>
          <t>PRAGMA</t>
        </is>
      </c>
      <c r="B3590" t="inlineStr">
        <is>
          <t>M1</t>
        </is>
      </c>
      <c r="C3590" t="inlineStr">
        <is>
          <t>Cali</t>
        </is>
      </c>
      <c r="D3590" t="inlineStr">
        <is>
          <t>6156</t>
        </is>
      </c>
      <c r="E3590" t="inlineStr">
        <is>
          <t>pagado</t>
        </is>
      </c>
      <c r="F3590" s="23" t="n">
        <v>46268</v>
      </c>
      <c r="G3590" s="24">
        <f>F3590-DATE(2026,8,31)</f>
        <v>3</v>
      </c>
      <c r="H3590" s="25" t="n">
        <v>15036035</v>
      </c>
      <c r="I3590" t="inlineStr">
        <is>
          <t>entidad-dia</t>
        </is>
      </c>
    </row>
    <row r="3591">
      <c r="A3591" t="inlineStr">
        <is>
          <t>PRAGMA</t>
        </is>
      </c>
      <c r="B3591" t="inlineStr">
        <is>
          <t>M1</t>
        </is>
      </c>
      <c r="C3591" t="inlineStr">
        <is>
          <t>Cali</t>
        </is>
      </c>
      <c r="D3591" t="inlineStr">
        <is>
          <t>6156</t>
        </is>
      </c>
      <c r="E3591" t="inlineStr">
        <is>
          <t>pagado</t>
        </is>
      </c>
      <c r="F3591" s="23" t="n">
        <v>46269</v>
      </c>
      <c r="G3591" s="24">
        <f>F3591-DATE(2026,8,31)</f>
        <v>4</v>
      </c>
      <c r="H3591" s="25" t="n">
        <v>16127761</v>
      </c>
      <c r="I3591" t="inlineStr">
        <is>
          <t>entidad-dia</t>
        </is>
      </c>
    </row>
    <row r="3592">
      <c r="A3592" t="inlineStr">
        <is>
          <t>PRAGMA</t>
        </is>
      </c>
      <c r="B3592" t="inlineStr">
        <is>
          <t>M1</t>
        </is>
      </c>
      <c r="C3592" t="inlineStr">
        <is>
          <t>Cali</t>
        </is>
      </c>
      <c r="D3592" t="inlineStr">
        <is>
          <t>6156</t>
        </is>
      </c>
      <c r="E3592" t="inlineStr">
        <is>
          <t>pagado</t>
        </is>
      </c>
      <c r="F3592" s="23" t="n">
        <v>46270</v>
      </c>
      <c r="G3592" s="24">
        <f>F3592-DATE(2026,8,31)</f>
        <v>5</v>
      </c>
      <c r="H3592" s="25" t="n">
        <v>10231855</v>
      </c>
      <c r="I3592" t="inlineStr">
        <is>
          <t>entidad-dia</t>
        </is>
      </c>
    </row>
    <row r="3593">
      <c r="A3593" t="inlineStr">
        <is>
          <t>PRAGMA</t>
        </is>
      </c>
      <c r="B3593" t="inlineStr">
        <is>
          <t>M1</t>
        </is>
      </c>
      <c r="C3593" t="inlineStr">
        <is>
          <t>Cali</t>
        </is>
      </c>
      <c r="D3593" t="inlineStr">
        <is>
          <t>6156</t>
        </is>
      </c>
      <c r="E3593" t="inlineStr">
        <is>
          <t>pagado</t>
        </is>
      </c>
      <c r="F3593" s="23" t="n">
        <v>46271</v>
      </c>
      <c r="G3593" s="24">
        <f>F3593-DATE(2026,8,31)</f>
        <v>6</v>
      </c>
      <c r="H3593" s="25" t="n">
        <v>2449841</v>
      </c>
      <c r="I3593" t="inlineStr">
        <is>
          <t>entidad-dia</t>
        </is>
      </c>
    </row>
    <row r="3594">
      <c r="A3594" t="inlineStr">
        <is>
          <t>PRAGMA</t>
        </is>
      </c>
      <c r="B3594" t="inlineStr">
        <is>
          <t>M1</t>
        </is>
      </c>
      <c r="C3594" t="inlineStr">
        <is>
          <t>Cali</t>
        </is>
      </c>
      <c r="D3594" t="inlineStr">
        <is>
          <t>6156</t>
        </is>
      </c>
      <c r="E3594" t="inlineStr">
        <is>
          <t>pagado</t>
        </is>
      </c>
      <c r="F3594" s="23" t="n">
        <v>46272</v>
      </c>
      <c r="G3594" s="24">
        <f>F3594-DATE(2026,8,31)</f>
        <v>7</v>
      </c>
      <c r="H3594" s="25" t="n">
        <v>11220990</v>
      </c>
      <c r="I3594" t="inlineStr">
        <is>
          <t>entidad-dia</t>
        </is>
      </c>
    </row>
    <row r="3595">
      <c r="A3595" t="inlineStr">
        <is>
          <t>PRAGMA</t>
        </is>
      </c>
      <c r="B3595" t="inlineStr">
        <is>
          <t>M1</t>
        </is>
      </c>
      <c r="C3595" t="inlineStr">
        <is>
          <t>Cali</t>
        </is>
      </c>
      <c r="D3595" t="inlineStr">
        <is>
          <t>6156</t>
        </is>
      </c>
      <c r="E3595" t="inlineStr">
        <is>
          <t>pagado</t>
        </is>
      </c>
      <c r="F3595" s="23" t="n">
        <v>46273</v>
      </c>
      <c r="G3595" s="24">
        <f>F3595-DATE(2026,8,31)</f>
        <v>8</v>
      </c>
      <c r="H3595" s="25" t="n">
        <v>8599883</v>
      </c>
      <c r="I3595" t="inlineStr">
        <is>
          <t>entidad-dia</t>
        </is>
      </c>
    </row>
    <row r="3596">
      <c r="A3596" t="inlineStr">
        <is>
          <t>PRAGMA</t>
        </is>
      </c>
      <c r="B3596" t="inlineStr">
        <is>
          <t>M1</t>
        </is>
      </c>
      <c r="C3596" t="inlineStr">
        <is>
          <t>Cali</t>
        </is>
      </c>
      <c r="D3596" t="inlineStr">
        <is>
          <t>6156</t>
        </is>
      </c>
      <c r="E3596" t="inlineStr">
        <is>
          <t>pagado</t>
        </is>
      </c>
      <c r="F3596" s="23" t="n">
        <v>46274</v>
      </c>
      <c r="G3596" s="24">
        <f>F3596-DATE(2026,8,31)</f>
        <v>9</v>
      </c>
      <c r="H3596" s="25" t="n">
        <v>8835406</v>
      </c>
      <c r="I3596" t="inlineStr">
        <is>
          <t>entidad-dia</t>
        </is>
      </c>
    </row>
    <row r="3597">
      <c r="A3597" t="inlineStr">
        <is>
          <t>PRAGMA</t>
        </is>
      </c>
      <c r="B3597" t="inlineStr">
        <is>
          <t>M1</t>
        </is>
      </c>
      <c r="C3597" t="inlineStr">
        <is>
          <t>Cali</t>
        </is>
      </c>
      <c r="D3597" t="inlineStr">
        <is>
          <t>6156</t>
        </is>
      </c>
      <c r="E3597" t="inlineStr">
        <is>
          <t>pagado</t>
        </is>
      </c>
      <c r="F3597" s="23" t="n">
        <v>46275</v>
      </c>
      <c r="G3597" s="24">
        <f>F3597-DATE(2026,8,31)</f>
        <v>10</v>
      </c>
      <c r="H3597" s="25" t="n">
        <v>9115013</v>
      </c>
      <c r="I3597" t="inlineStr">
        <is>
          <t>entidad-dia</t>
        </is>
      </c>
    </row>
    <row r="3598">
      <c r="A3598" t="inlineStr">
        <is>
          <t>PRAGMA</t>
        </is>
      </c>
      <c r="B3598" t="inlineStr">
        <is>
          <t>M1</t>
        </is>
      </c>
      <c r="C3598" t="inlineStr">
        <is>
          <t>Cali</t>
        </is>
      </c>
      <c r="D3598" t="inlineStr">
        <is>
          <t>6156</t>
        </is>
      </c>
      <c r="E3598" t="inlineStr">
        <is>
          <t>pagado</t>
        </is>
      </c>
      <c r="F3598" s="23" t="n">
        <v>46276</v>
      </c>
      <c r="G3598" s="24">
        <f>F3598-DATE(2026,8,31)</f>
        <v>11</v>
      </c>
      <c r="H3598" s="25" t="n">
        <v>11887743</v>
      </c>
      <c r="I3598" t="inlineStr">
        <is>
          <t>entidad-dia</t>
        </is>
      </c>
    </row>
    <row r="3599">
      <c r="A3599" t="inlineStr">
        <is>
          <t>PRAGMA</t>
        </is>
      </c>
      <c r="B3599" t="inlineStr">
        <is>
          <t>M1</t>
        </is>
      </c>
      <c r="C3599" t="inlineStr">
        <is>
          <t>Cali</t>
        </is>
      </c>
      <c r="D3599" t="inlineStr">
        <is>
          <t>6156</t>
        </is>
      </c>
      <c r="E3599" t="inlineStr">
        <is>
          <t>pagado</t>
        </is>
      </c>
      <c r="F3599" s="23" t="n">
        <v>46277</v>
      </c>
      <c r="G3599" s="24">
        <f>F3599-DATE(2026,8,31)</f>
        <v>12</v>
      </c>
      <c r="H3599" s="25" t="n">
        <v>6545451</v>
      </c>
      <c r="I3599" t="inlineStr">
        <is>
          <t>entidad-dia</t>
        </is>
      </c>
    </row>
    <row r="3600">
      <c r="A3600" t="inlineStr">
        <is>
          <t>PRAGMA</t>
        </is>
      </c>
      <c r="B3600" t="inlineStr">
        <is>
          <t>M1</t>
        </is>
      </c>
      <c r="C3600" t="inlineStr">
        <is>
          <t>Cali</t>
        </is>
      </c>
      <c r="D3600" t="inlineStr">
        <is>
          <t>6156</t>
        </is>
      </c>
      <c r="E3600" t="inlineStr">
        <is>
          <t>pagado</t>
        </is>
      </c>
      <c r="F3600" s="23" t="n">
        <v>46278</v>
      </c>
      <c r="G3600" s="24">
        <f>F3600-DATE(2026,8,31)</f>
        <v>13</v>
      </c>
      <c r="H3600" s="25" t="n">
        <v>1888521</v>
      </c>
      <c r="I3600" t="inlineStr">
        <is>
          <t>entidad-dia</t>
        </is>
      </c>
    </row>
    <row r="3601">
      <c r="A3601" t="inlineStr">
        <is>
          <t>PRAGMA</t>
        </is>
      </c>
      <c r="B3601" t="inlineStr">
        <is>
          <t>M1</t>
        </is>
      </c>
      <c r="C3601" t="inlineStr">
        <is>
          <t>Cali</t>
        </is>
      </c>
      <c r="D3601" t="inlineStr">
        <is>
          <t>6156</t>
        </is>
      </c>
      <c r="E3601" t="inlineStr">
        <is>
          <t>pagado</t>
        </is>
      </c>
      <c r="F3601" s="23" t="n">
        <v>46279</v>
      </c>
      <c r="G3601" s="24">
        <f>F3601-DATE(2026,8,31)</f>
        <v>14</v>
      </c>
      <c r="H3601" s="25" t="n">
        <v>11932401</v>
      </c>
      <c r="I3601" t="inlineStr">
        <is>
          <t>entidad-dia</t>
        </is>
      </c>
    </row>
    <row r="3602">
      <c r="A3602" t="inlineStr">
        <is>
          <t>PRAGMA</t>
        </is>
      </c>
      <c r="B3602" t="inlineStr">
        <is>
          <t>M1</t>
        </is>
      </c>
      <c r="C3602" t="inlineStr">
        <is>
          <t>Cali</t>
        </is>
      </c>
      <c r="D3602" t="inlineStr">
        <is>
          <t>6156</t>
        </is>
      </c>
      <c r="E3602" t="inlineStr">
        <is>
          <t>pagado</t>
        </is>
      </c>
      <c r="F3602" s="23" t="n">
        <v>46280</v>
      </c>
      <c r="G3602" s="24">
        <f>F3602-DATE(2026,8,31)</f>
        <v>15</v>
      </c>
      <c r="H3602" s="25" t="n">
        <v>16573467</v>
      </c>
      <c r="I3602" t="inlineStr">
        <is>
          <t>entidad-dia</t>
        </is>
      </c>
    </row>
    <row r="3603">
      <c r="A3603" t="inlineStr">
        <is>
          <t>PRAGMA</t>
        </is>
      </c>
      <c r="B3603" t="inlineStr">
        <is>
          <t>M1</t>
        </is>
      </c>
      <c r="C3603" t="inlineStr">
        <is>
          <t>Cali</t>
        </is>
      </c>
      <c r="D3603" t="inlineStr">
        <is>
          <t>6206</t>
        </is>
      </c>
      <c r="E3603" t="inlineStr">
        <is>
          <t>pagado</t>
        </is>
      </c>
      <c r="F3603" s="23" t="n">
        <v>46266</v>
      </c>
      <c r="G3603" s="24">
        <f>F3603-DATE(2026,8,31)</f>
        <v>1</v>
      </c>
      <c r="H3603" s="25" t="n">
        <v>115681849</v>
      </c>
      <c r="I3603" t="inlineStr">
        <is>
          <t>entidad-dia</t>
        </is>
      </c>
    </row>
    <row r="3604">
      <c r="A3604" t="inlineStr">
        <is>
          <t>PRAGMA</t>
        </is>
      </c>
      <c r="B3604" t="inlineStr">
        <is>
          <t>M1</t>
        </is>
      </c>
      <c r="C3604" t="inlineStr">
        <is>
          <t>Cali</t>
        </is>
      </c>
      <c r="D3604" t="inlineStr">
        <is>
          <t>6206</t>
        </is>
      </c>
      <c r="E3604" t="inlineStr">
        <is>
          <t>pagado</t>
        </is>
      </c>
      <c r="F3604" s="23" t="n">
        <v>46267</v>
      </c>
      <c r="G3604" s="24">
        <f>F3604-DATE(2026,8,31)</f>
        <v>2</v>
      </c>
      <c r="H3604" s="25" t="n">
        <v>89442851</v>
      </c>
      <c r="I3604" t="inlineStr">
        <is>
          <t>entidad-dia</t>
        </is>
      </c>
    </row>
    <row r="3605">
      <c r="A3605" t="inlineStr">
        <is>
          <t>PRAGMA</t>
        </is>
      </c>
      <c r="B3605" t="inlineStr">
        <is>
          <t>M1</t>
        </is>
      </c>
      <c r="C3605" t="inlineStr">
        <is>
          <t>Cali</t>
        </is>
      </c>
      <c r="D3605" t="inlineStr">
        <is>
          <t>6206</t>
        </is>
      </c>
      <c r="E3605" t="inlineStr">
        <is>
          <t>pagado</t>
        </is>
      </c>
      <c r="F3605" s="23" t="n">
        <v>46268</v>
      </c>
      <c r="G3605" s="24">
        <f>F3605-DATE(2026,8,31)</f>
        <v>3</v>
      </c>
      <c r="H3605" s="25" t="n">
        <v>79008534</v>
      </c>
      <c r="I3605" t="inlineStr">
        <is>
          <t>entidad-dia</t>
        </is>
      </c>
    </row>
    <row r="3606">
      <c r="A3606" t="inlineStr">
        <is>
          <t>PRAGMA</t>
        </is>
      </c>
      <c r="B3606" t="inlineStr">
        <is>
          <t>M1</t>
        </is>
      </c>
      <c r="C3606" t="inlineStr">
        <is>
          <t>Cali</t>
        </is>
      </c>
      <c r="D3606" t="inlineStr">
        <is>
          <t>6206</t>
        </is>
      </c>
      <c r="E3606" t="inlineStr">
        <is>
          <t>pagado</t>
        </is>
      </c>
      <c r="F3606" s="23" t="n">
        <v>46269</v>
      </c>
      <c r="G3606" s="24">
        <f>F3606-DATE(2026,8,31)</f>
        <v>4</v>
      </c>
      <c r="H3606" s="25" t="n">
        <v>81627501</v>
      </c>
      <c r="I3606" t="inlineStr">
        <is>
          <t>entidad-dia</t>
        </is>
      </c>
    </row>
    <row r="3607">
      <c r="A3607" t="inlineStr">
        <is>
          <t>PRAGMA</t>
        </is>
      </c>
      <c r="B3607" t="inlineStr">
        <is>
          <t>M1</t>
        </is>
      </c>
      <c r="C3607" t="inlineStr">
        <is>
          <t>Cali</t>
        </is>
      </c>
      <c r="D3607" t="inlineStr">
        <is>
          <t>6206</t>
        </is>
      </c>
      <c r="E3607" t="inlineStr">
        <is>
          <t>pagado</t>
        </is>
      </c>
      <c r="F3607" s="23" t="n">
        <v>46270</v>
      </c>
      <c r="G3607" s="24">
        <f>F3607-DATE(2026,8,31)</f>
        <v>5</v>
      </c>
      <c r="H3607" s="25" t="n">
        <v>85970588</v>
      </c>
      <c r="I3607" t="inlineStr">
        <is>
          <t>entidad-dia</t>
        </is>
      </c>
    </row>
    <row r="3608">
      <c r="A3608" t="inlineStr">
        <is>
          <t>PRAGMA</t>
        </is>
      </c>
      <c r="B3608" t="inlineStr">
        <is>
          <t>M1</t>
        </is>
      </c>
      <c r="C3608" t="inlineStr">
        <is>
          <t>Cali</t>
        </is>
      </c>
      <c r="D3608" t="inlineStr">
        <is>
          <t>6206</t>
        </is>
      </c>
      <c r="E3608" t="inlineStr">
        <is>
          <t>pagado</t>
        </is>
      </c>
      <c r="F3608" s="23" t="n">
        <v>46271</v>
      </c>
      <c r="G3608" s="24">
        <f>F3608-DATE(2026,8,31)</f>
        <v>6</v>
      </c>
      <c r="H3608" s="25" t="n">
        <v>53771985</v>
      </c>
      <c r="I3608" t="inlineStr">
        <is>
          <t>entidad-dia</t>
        </is>
      </c>
    </row>
    <row r="3609">
      <c r="A3609" t="inlineStr">
        <is>
          <t>PRAGMA</t>
        </is>
      </c>
      <c r="B3609" t="inlineStr">
        <is>
          <t>M1</t>
        </is>
      </c>
      <c r="C3609" t="inlineStr">
        <is>
          <t>Cali</t>
        </is>
      </c>
      <c r="D3609" t="inlineStr">
        <is>
          <t>6206</t>
        </is>
      </c>
      <c r="E3609" t="inlineStr">
        <is>
          <t>pagado</t>
        </is>
      </c>
      <c r="F3609" s="23" t="n">
        <v>46272</v>
      </c>
      <c r="G3609" s="24">
        <f>F3609-DATE(2026,8,31)</f>
        <v>7</v>
      </c>
      <c r="H3609" s="25" t="n">
        <v>69533737</v>
      </c>
      <c r="I3609" t="inlineStr">
        <is>
          <t>entidad-dia</t>
        </is>
      </c>
    </row>
    <row r="3610">
      <c r="A3610" t="inlineStr">
        <is>
          <t>PRAGMA</t>
        </is>
      </c>
      <c r="B3610" t="inlineStr">
        <is>
          <t>M1</t>
        </is>
      </c>
      <c r="C3610" t="inlineStr">
        <is>
          <t>Cali</t>
        </is>
      </c>
      <c r="D3610" t="inlineStr">
        <is>
          <t>6206</t>
        </is>
      </c>
      <c r="E3610" t="inlineStr">
        <is>
          <t>pagado</t>
        </is>
      </c>
      <c r="F3610" s="23" t="n">
        <v>46273</v>
      </c>
      <c r="G3610" s="24">
        <f>F3610-DATE(2026,8,31)</f>
        <v>8</v>
      </c>
      <c r="H3610" s="25" t="n">
        <v>56550810</v>
      </c>
      <c r="I3610" t="inlineStr">
        <is>
          <t>entidad-dia</t>
        </is>
      </c>
    </row>
    <row r="3611">
      <c r="A3611" t="inlineStr">
        <is>
          <t>PRAGMA</t>
        </is>
      </c>
      <c r="B3611" t="inlineStr">
        <is>
          <t>M1</t>
        </is>
      </c>
      <c r="C3611" t="inlineStr">
        <is>
          <t>Cali</t>
        </is>
      </c>
      <c r="D3611" t="inlineStr">
        <is>
          <t>6206</t>
        </is>
      </c>
      <c r="E3611" t="inlineStr">
        <is>
          <t>pagado</t>
        </is>
      </c>
      <c r="F3611" s="23" t="n">
        <v>46274</v>
      </c>
      <c r="G3611" s="24">
        <f>F3611-DATE(2026,8,31)</f>
        <v>9</v>
      </c>
      <c r="H3611" s="25" t="n">
        <v>60960680</v>
      </c>
      <c r="I3611" t="inlineStr">
        <is>
          <t>entidad-dia</t>
        </is>
      </c>
    </row>
    <row r="3612">
      <c r="A3612" t="inlineStr">
        <is>
          <t>PRAGMA</t>
        </is>
      </c>
      <c r="B3612" t="inlineStr">
        <is>
          <t>M1</t>
        </is>
      </c>
      <c r="C3612" t="inlineStr">
        <is>
          <t>Cali</t>
        </is>
      </c>
      <c r="D3612" t="inlineStr">
        <is>
          <t>6206</t>
        </is>
      </c>
      <c r="E3612" t="inlineStr">
        <is>
          <t>pagado</t>
        </is>
      </c>
      <c r="F3612" s="23" t="n">
        <v>46275</v>
      </c>
      <c r="G3612" s="24">
        <f>F3612-DATE(2026,8,31)</f>
        <v>10</v>
      </c>
      <c r="H3612" s="25" t="n">
        <v>55966579</v>
      </c>
      <c r="I3612" t="inlineStr">
        <is>
          <t>entidad-dia</t>
        </is>
      </c>
    </row>
    <row r="3613">
      <c r="A3613" t="inlineStr">
        <is>
          <t>PRAGMA</t>
        </is>
      </c>
      <c r="B3613" t="inlineStr">
        <is>
          <t>M1</t>
        </is>
      </c>
      <c r="C3613" t="inlineStr">
        <is>
          <t>Cali</t>
        </is>
      </c>
      <c r="D3613" t="inlineStr">
        <is>
          <t>6206</t>
        </is>
      </c>
      <c r="E3613" t="inlineStr">
        <is>
          <t>pagado</t>
        </is>
      </c>
      <c r="F3613" s="23" t="n">
        <v>46276</v>
      </c>
      <c r="G3613" s="24">
        <f>F3613-DATE(2026,8,31)</f>
        <v>11</v>
      </c>
      <c r="H3613" s="25" t="n">
        <v>61999339</v>
      </c>
      <c r="I3613" t="inlineStr">
        <is>
          <t>entidad-dia</t>
        </is>
      </c>
    </row>
    <row r="3614">
      <c r="A3614" t="inlineStr">
        <is>
          <t>PRAGMA</t>
        </is>
      </c>
      <c r="B3614" t="inlineStr">
        <is>
          <t>M1</t>
        </is>
      </c>
      <c r="C3614" t="inlineStr">
        <is>
          <t>Cali</t>
        </is>
      </c>
      <c r="D3614" t="inlineStr">
        <is>
          <t>6206</t>
        </is>
      </c>
      <c r="E3614" t="inlineStr">
        <is>
          <t>pagado</t>
        </is>
      </c>
      <c r="F3614" s="23" t="n">
        <v>46277</v>
      </c>
      <c r="G3614" s="24">
        <f>F3614-DATE(2026,8,31)</f>
        <v>12</v>
      </c>
      <c r="H3614" s="25" t="n">
        <v>68236482</v>
      </c>
      <c r="I3614" t="inlineStr">
        <is>
          <t>entidad-dia</t>
        </is>
      </c>
    </row>
    <row r="3615">
      <c r="A3615" t="inlineStr">
        <is>
          <t>PRAGMA</t>
        </is>
      </c>
      <c r="B3615" t="inlineStr">
        <is>
          <t>M1</t>
        </is>
      </c>
      <c r="C3615" t="inlineStr">
        <is>
          <t>Cali</t>
        </is>
      </c>
      <c r="D3615" t="inlineStr">
        <is>
          <t>6206</t>
        </is>
      </c>
      <c r="E3615" t="inlineStr">
        <is>
          <t>pagado</t>
        </is>
      </c>
      <c r="F3615" s="23" t="n">
        <v>46278</v>
      </c>
      <c r="G3615" s="24">
        <f>F3615-DATE(2026,8,31)</f>
        <v>13</v>
      </c>
      <c r="H3615" s="25" t="n">
        <v>39083621</v>
      </c>
      <c r="I3615" t="inlineStr">
        <is>
          <t>entidad-dia</t>
        </is>
      </c>
    </row>
    <row r="3616">
      <c r="A3616" t="inlineStr">
        <is>
          <t>PRAGMA</t>
        </is>
      </c>
      <c r="B3616" t="inlineStr">
        <is>
          <t>M1</t>
        </is>
      </c>
      <c r="C3616" t="inlineStr">
        <is>
          <t>Cali</t>
        </is>
      </c>
      <c r="D3616" t="inlineStr">
        <is>
          <t>6206</t>
        </is>
      </c>
      <c r="E3616" t="inlineStr">
        <is>
          <t>pagado</t>
        </is>
      </c>
      <c r="F3616" s="23" t="n">
        <v>46279</v>
      </c>
      <c r="G3616" s="24">
        <f>F3616-DATE(2026,8,31)</f>
        <v>14</v>
      </c>
      <c r="H3616" s="25" t="n">
        <v>59855225</v>
      </c>
      <c r="I3616" t="inlineStr">
        <is>
          <t>entidad-dia</t>
        </is>
      </c>
    </row>
    <row r="3617">
      <c r="A3617" t="inlineStr">
        <is>
          <t>PRAGMA</t>
        </is>
      </c>
      <c r="B3617" t="inlineStr">
        <is>
          <t>M1</t>
        </is>
      </c>
      <c r="C3617" t="inlineStr">
        <is>
          <t>Cali</t>
        </is>
      </c>
      <c r="D3617" t="inlineStr">
        <is>
          <t>6206</t>
        </is>
      </c>
      <c r="E3617" t="inlineStr">
        <is>
          <t>pagado</t>
        </is>
      </c>
      <c r="F3617" s="23" t="n">
        <v>46280</v>
      </c>
      <c r="G3617" s="24">
        <f>F3617-DATE(2026,8,31)</f>
        <v>15</v>
      </c>
      <c r="H3617" s="25" t="n">
        <v>98926305</v>
      </c>
      <c r="I3617" t="inlineStr">
        <is>
          <t>entidad-dia</t>
        </is>
      </c>
    </row>
    <row r="3618">
      <c r="A3618" t="inlineStr">
        <is>
          <t>PRAGMA</t>
        </is>
      </c>
      <c r="B3618" t="inlineStr">
        <is>
          <t>M1</t>
        </is>
      </c>
      <c r="C3618" t="inlineStr">
        <is>
          <t>Cali</t>
        </is>
      </c>
      <c r="D3618" t="inlineStr">
        <is>
          <t>6265</t>
        </is>
      </c>
      <c r="E3618" t="inlineStr">
        <is>
          <t>pagado</t>
        </is>
      </c>
      <c r="F3618" s="23" t="n">
        <v>46266</v>
      </c>
      <c r="G3618" s="24">
        <f>F3618-DATE(2026,8,31)</f>
        <v>1</v>
      </c>
      <c r="H3618" s="25" t="n">
        <v>232489708</v>
      </c>
      <c r="I3618" t="inlineStr">
        <is>
          <t>entidad-dia</t>
        </is>
      </c>
    </row>
    <row r="3619">
      <c r="A3619" t="inlineStr">
        <is>
          <t>PRAGMA</t>
        </is>
      </c>
      <c r="B3619" t="inlineStr">
        <is>
          <t>M1</t>
        </is>
      </c>
      <c r="C3619" t="inlineStr">
        <is>
          <t>Cali</t>
        </is>
      </c>
      <c r="D3619" t="inlineStr">
        <is>
          <t>6265</t>
        </is>
      </c>
      <c r="E3619" t="inlineStr">
        <is>
          <t>pagado</t>
        </is>
      </c>
      <c r="F3619" s="23" t="n">
        <v>46267</v>
      </c>
      <c r="G3619" s="24">
        <f>F3619-DATE(2026,8,31)</f>
        <v>2</v>
      </c>
      <c r="H3619" s="25" t="n">
        <v>175273529</v>
      </c>
      <c r="I3619" t="inlineStr">
        <is>
          <t>entidad-dia</t>
        </is>
      </c>
    </row>
    <row r="3620">
      <c r="A3620" t="inlineStr">
        <is>
          <t>PRAGMA</t>
        </is>
      </c>
      <c r="B3620" t="inlineStr">
        <is>
          <t>M1</t>
        </is>
      </c>
      <c r="C3620" t="inlineStr">
        <is>
          <t>Cali</t>
        </is>
      </c>
      <c r="D3620" t="inlineStr">
        <is>
          <t>6265</t>
        </is>
      </c>
      <c r="E3620" t="inlineStr">
        <is>
          <t>pagado</t>
        </is>
      </c>
      <c r="F3620" s="23" t="n">
        <v>46268</v>
      </c>
      <c r="G3620" s="24">
        <f>F3620-DATE(2026,8,31)</f>
        <v>3</v>
      </c>
      <c r="H3620" s="25" t="n">
        <v>162104206</v>
      </c>
      <c r="I3620" t="inlineStr">
        <is>
          <t>entidad-dia</t>
        </is>
      </c>
    </row>
    <row r="3621">
      <c r="A3621" t="inlineStr">
        <is>
          <t>PRAGMA</t>
        </is>
      </c>
      <c r="B3621" t="inlineStr">
        <is>
          <t>M1</t>
        </is>
      </c>
      <c r="C3621" t="inlineStr">
        <is>
          <t>Cali</t>
        </is>
      </c>
      <c r="D3621" t="inlineStr">
        <is>
          <t>6265</t>
        </is>
      </c>
      <c r="E3621" t="inlineStr">
        <is>
          <t>pagado</t>
        </is>
      </c>
      <c r="F3621" s="23" t="n">
        <v>46269</v>
      </c>
      <c r="G3621" s="24">
        <f>F3621-DATE(2026,8,31)</f>
        <v>4</v>
      </c>
      <c r="H3621" s="25" t="n">
        <v>157956759</v>
      </c>
      <c r="I3621" t="inlineStr">
        <is>
          <t>entidad-dia</t>
        </is>
      </c>
    </row>
    <row r="3622">
      <c r="A3622" t="inlineStr">
        <is>
          <t>PRAGMA</t>
        </is>
      </c>
      <c r="B3622" t="inlineStr">
        <is>
          <t>M1</t>
        </is>
      </c>
      <c r="C3622" t="inlineStr">
        <is>
          <t>Cali</t>
        </is>
      </c>
      <c r="D3622" t="inlineStr">
        <is>
          <t>6265</t>
        </is>
      </c>
      <c r="E3622" t="inlineStr">
        <is>
          <t>pagado</t>
        </is>
      </c>
      <c r="F3622" s="23" t="n">
        <v>46270</v>
      </c>
      <c r="G3622" s="24">
        <f>F3622-DATE(2026,8,31)</f>
        <v>5</v>
      </c>
      <c r="H3622" s="25" t="n">
        <v>172505929</v>
      </c>
      <c r="I3622" t="inlineStr">
        <is>
          <t>entidad-dia</t>
        </is>
      </c>
    </row>
    <row r="3623">
      <c r="A3623" t="inlineStr">
        <is>
          <t>PRAGMA</t>
        </is>
      </c>
      <c r="B3623" t="inlineStr">
        <is>
          <t>M1</t>
        </is>
      </c>
      <c r="C3623" t="inlineStr">
        <is>
          <t>Cali</t>
        </is>
      </c>
      <c r="D3623" t="inlineStr">
        <is>
          <t>6265</t>
        </is>
      </c>
      <c r="E3623" t="inlineStr">
        <is>
          <t>pagado</t>
        </is>
      </c>
      <c r="F3623" s="23" t="n">
        <v>46271</v>
      </c>
      <c r="G3623" s="24">
        <f>F3623-DATE(2026,8,31)</f>
        <v>6</v>
      </c>
      <c r="H3623" s="25" t="n">
        <v>84534086</v>
      </c>
      <c r="I3623" t="inlineStr">
        <is>
          <t>entidad-dia</t>
        </is>
      </c>
    </row>
    <row r="3624">
      <c r="A3624" t="inlineStr">
        <is>
          <t>PRAGMA</t>
        </is>
      </c>
      <c r="B3624" t="inlineStr">
        <is>
          <t>M1</t>
        </is>
      </c>
      <c r="C3624" t="inlineStr">
        <is>
          <t>Cali</t>
        </is>
      </c>
      <c r="D3624" t="inlineStr">
        <is>
          <t>6265</t>
        </is>
      </c>
      <c r="E3624" t="inlineStr">
        <is>
          <t>pagado</t>
        </is>
      </c>
      <c r="F3624" s="23" t="n">
        <v>46272</v>
      </c>
      <c r="G3624" s="24">
        <f>F3624-DATE(2026,8,31)</f>
        <v>7</v>
      </c>
      <c r="H3624" s="25" t="n">
        <v>113590601</v>
      </c>
      <c r="I3624" t="inlineStr">
        <is>
          <t>entidad-dia</t>
        </is>
      </c>
    </row>
    <row r="3625">
      <c r="A3625" t="inlineStr">
        <is>
          <t>PRAGMA</t>
        </is>
      </c>
      <c r="B3625" t="inlineStr">
        <is>
          <t>M1</t>
        </is>
      </c>
      <c r="C3625" t="inlineStr">
        <is>
          <t>Cali</t>
        </is>
      </c>
      <c r="D3625" t="inlineStr">
        <is>
          <t>6265</t>
        </is>
      </c>
      <c r="E3625" t="inlineStr">
        <is>
          <t>pagado</t>
        </is>
      </c>
      <c r="F3625" s="23" t="n">
        <v>46273</v>
      </c>
      <c r="G3625" s="24">
        <f>F3625-DATE(2026,8,31)</f>
        <v>8</v>
      </c>
      <c r="H3625" s="25" t="n">
        <v>110136030</v>
      </c>
      <c r="I3625" t="inlineStr">
        <is>
          <t>entidad-dia</t>
        </is>
      </c>
    </row>
    <row r="3626">
      <c r="A3626" t="inlineStr">
        <is>
          <t>PRAGMA</t>
        </is>
      </c>
      <c r="B3626" t="inlineStr">
        <is>
          <t>M1</t>
        </is>
      </c>
      <c r="C3626" t="inlineStr">
        <is>
          <t>Cali</t>
        </is>
      </c>
      <c r="D3626" t="inlineStr">
        <is>
          <t>6265</t>
        </is>
      </c>
      <c r="E3626" t="inlineStr">
        <is>
          <t>pagado</t>
        </is>
      </c>
      <c r="F3626" s="23" t="n">
        <v>46274</v>
      </c>
      <c r="G3626" s="24">
        <f>F3626-DATE(2026,8,31)</f>
        <v>9</v>
      </c>
      <c r="H3626" s="25" t="n">
        <v>114781599</v>
      </c>
      <c r="I3626" t="inlineStr">
        <is>
          <t>entidad-dia</t>
        </is>
      </c>
    </row>
    <row r="3627">
      <c r="A3627" t="inlineStr">
        <is>
          <t>PRAGMA</t>
        </is>
      </c>
      <c r="B3627" t="inlineStr">
        <is>
          <t>M1</t>
        </is>
      </c>
      <c r="C3627" t="inlineStr">
        <is>
          <t>Cali</t>
        </is>
      </c>
      <c r="D3627" t="inlineStr">
        <is>
          <t>6265</t>
        </is>
      </c>
      <c r="E3627" t="inlineStr">
        <is>
          <t>pagado</t>
        </is>
      </c>
      <c r="F3627" s="23" t="n">
        <v>46275</v>
      </c>
      <c r="G3627" s="24">
        <f>F3627-DATE(2026,8,31)</f>
        <v>10</v>
      </c>
      <c r="H3627" s="25" t="n">
        <v>105748848</v>
      </c>
      <c r="I3627" t="inlineStr">
        <is>
          <t>entidad-dia</t>
        </is>
      </c>
    </row>
    <row r="3628">
      <c r="A3628" t="inlineStr">
        <is>
          <t>PRAGMA</t>
        </is>
      </c>
      <c r="B3628" t="inlineStr">
        <is>
          <t>M1</t>
        </is>
      </c>
      <c r="C3628" t="inlineStr">
        <is>
          <t>Cali</t>
        </is>
      </c>
      <c r="D3628" t="inlineStr">
        <is>
          <t>6265</t>
        </is>
      </c>
      <c r="E3628" t="inlineStr">
        <is>
          <t>pagado</t>
        </is>
      </c>
      <c r="F3628" s="23" t="n">
        <v>46276</v>
      </c>
      <c r="G3628" s="24">
        <f>F3628-DATE(2026,8,31)</f>
        <v>11</v>
      </c>
      <c r="H3628" s="25" t="n">
        <v>119413750</v>
      </c>
      <c r="I3628" t="inlineStr">
        <is>
          <t>entidad-dia</t>
        </is>
      </c>
    </row>
    <row r="3629">
      <c r="A3629" t="inlineStr">
        <is>
          <t>PRAGMA</t>
        </is>
      </c>
      <c r="B3629" t="inlineStr">
        <is>
          <t>M1</t>
        </is>
      </c>
      <c r="C3629" t="inlineStr">
        <is>
          <t>Cali</t>
        </is>
      </c>
      <c r="D3629" t="inlineStr">
        <is>
          <t>6265</t>
        </is>
      </c>
      <c r="E3629" t="inlineStr">
        <is>
          <t>pagado</t>
        </is>
      </c>
      <c r="F3629" s="23" t="n">
        <v>46277</v>
      </c>
      <c r="G3629" s="24">
        <f>F3629-DATE(2026,8,31)</f>
        <v>12</v>
      </c>
      <c r="H3629" s="25" t="n">
        <v>123940122</v>
      </c>
      <c r="I3629" t="inlineStr">
        <is>
          <t>entidad-dia</t>
        </is>
      </c>
    </row>
    <row r="3630">
      <c r="A3630" t="inlineStr">
        <is>
          <t>PRAGMA</t>
        </is>
      </c>
      <c r="B3630" t="inlineStr">
        <is>
          <t>M1</t>
        </is>
      </c>
      <c r="C3630" t="inlineStr">
        <is>
          <t>Cali</t>
        </is>
      </c>
      <c r="D3630" t="inlineStr">
        <is>
          <t>6265</t>
        </is>
      </c>
      <c r="E3630" t="inlineStr">
        <is>
          <t>pagado</t>
        </is>
      </c>
      <c r="F3630" s="23" t="n">
        <v>46278</v>
      </c>
      <c r="G3630" s="24">
        <f>F3630-DATE(2026,8,31)</f>
        <v>13</v>
      </c>
      <c r="H3630" s="25" t="n">
        <v>68937592</v>
      </c>
      <c r="I3630" t="inlineStr">
        <is>
          <t>entidad-dia</t>
        </is>
      </c>
    </row>
    <row r="3631">
      <c r="A3631" t="inlineStr">
        <is>
          <t>PRAGMA</t>
        </is>
      </c>
      <c r="B3631" t="inlineStr">
        <is>
          <t>M1</t>
        </is>
      </c>
      <c r="C3631" t="inlineStr">
        <is>
          <t>Cali</t>
        </is>
      </c>
      <c r="D3631" t="inlineStr">
        <is>
          <t>6265</t>
        </is>
      </c>
      <c r="E3631" t="inlineStr">
        <is>
          <t>pagado</t>
        </is>
      </c>
      <c r="F3631" s="23" t="n">
        <v>46279</v>
      </c>
      <c r="G3631" s="24">
        <f>F3631-DATE(2026,8,31)</f>
        <v>14</v>
      </c>
      <c r="H3631" s="25" t="n">
        <v>117083792</v>
      </c>
      <c r="I3631" t="inlineStr">
        <is>
          <t>entidad-dia</t>
        </is>
      </c>
    </row>
    <row r="3632">
      <c r="A3632" t="inlineStr">
        <is>
          <t>PRAGMA</t>
        </is>
      </c>
      <c r="B3632" t="inlineStr">
        <is>
          <t>M1</t>
        </is>
      </c>
      <c r="C3632" t="inlineStr">
        <is>
          <t>Cali</t>
        </is>
      </c>
      <c r="D3632" t="inlineStr">
        <is>
          <t>6265</t>
        </is>
      </c>
      <c r="E3632" t="inlineStr">
        <is>
          <t>pagado</t>
        </is>
      </c>
      <c r="F3632" s="23" t="n">
        <v>46280</v>
      </c>
      <c r="G3632" s="24">
        <f>F3632-DATE(2026,8,31)</f>
        <v>15</v>
      </c>
      <c r="H3632" s="25" t="n">
        <v>176985400</v>
      </c>
      <c r="I3632" t="inlineStr">
        <is>
          <t>entidad-dia</t>
        </is>
      </c>
    </row>
    <row r="3633">
      <c r="A3633" t="inlineStr">
        <is>
          <t>PRAGMA</t>
        </is>
      </c>
      <c r="B3633" t="inlineStr">
        <is>
          <t>M1</t>
        </is>
      </c>
      <c r="C3633" t="inlineStr">
        <is>
          <t>Cali</t>
        </is>
      </c>
      <c r="D3633" t="inlineStr">
        <is>
          <t>6285</t>
        </is>
      </c>
      <c r="E3633" t="inlineStr">
        <is>
          <t>pagado</t>
        </is>
      </c>
      <c r="F3633" s="23" t="n">
        <v>46266</v>
      </c>
      <c r="G3633" s="24">
        <f>F3633-DATE(2026,8,31)</f>
        <v>1</v>
      </c>
      <c r="H3633" s="25" t="n">
        <v>105240172</v>
      </c>
      <c r="I3633" t="inlineStr">
        <is>
          <t>entidad-dia</t>
        </is>
      </c>
    </row>
    <row r="3634">
      <c r="A3634" t="inlineStr">
        <is>
          <t>PRAGMA</t>
        </is>
      </c>
      <c r="B3634" t="inlineStr">
        <is>
          <t>M1</t>
        </is>
      </c>
      <c r="C3634" t="inlineStr">
        <is>
          <t>Cali</t>
        </is>
      </c>
      <c r="D3634" t="inlineStr">
        <is>
          <t>6285</t>
        </is>
      </c>
      <c r="E3634" t="inlineStr">
        <is>
          <t>pagado</t>
        </is>
      </c>
      <c r="F3634" s="23" t="n">
        <v>46267</v>
      </c>
      <c r="G3634" s="24">
        <f>F3634-DATE(2026,8,31)</f>
        <v>2</v>
      </c>
      <c r="H3634" s="25" t="n">
        <v>82495031</v>
      </c>
      <c r="I3634" t="inlineStr">
        <is>
          <t>entidad-dia</t>
        </is>
      </c>
    </row>
    <row r="3635">
      <c r="A3635" t="inlineStr">
        <is>
          <t>PRAGMA</t>
        </is>
      </c>
      <c r="B3635" t="inlineStr">
        <is>
          <t>M1</t>
        </is>
      </c>
      <c r="C3635" t="inlineStr">
        <is>
          <t>Cali</t>
        </is>
      </c>
      <c r="D3635" t="inlineStr">
        <is>
          <t>6285</t>
        </is>
      </c>
      <c r="E3635" t="inlineStr">
        <is>
          <t>pagado</t>
        </is>
      </c>
      <c r="F3635" s="23" t="n">
        <v>46268</v>
      </c>
      <c r="G3635" s="24">
        <f>F3635-DATE(2026,8,31)</f>
        <v>3</v>
      </c>
      <c r="H3635" s="25" t="n">
        <v>74229693</v>
      </c>
      <c r="I3635" t="inlineStr">
        <is>
          <t>entidad-dia</t>
        </is>
      </c>
    </row>
    <row r="3636">
      <c r="A3636" t="inlineStr">
        <is>
          <t>PRAGMA</t>
        </is>
      </c>
      <c r="B3636" t="inlineStr">
        <is>
          <t>M1</t>
        </is>
      </c>
      <c r="C3636" t="inlineStr">
        <is>
          <t>Cali</t>
        </is>
      </c>
      <c r="D3636" t="inlineStr">
        <is>
          <t>6285</t>
        </is>
      </c>
      <c r="E3636" t="inlineStr">
        <is>
          <t>pagado</t>
        </is>
      </c>
      <c r="F3636" s="23" t="n">
        <v>46269</v>
      </c>
      <c r="G3636" s="24">
        <f>F3636-DATE(2026,8,31)</f>
        <v>4</v>
      </c>
      <c r="H3636" s="25" t="n">
        <v>80058510</v>
      </c>
      <c r="I3636" t="inlineStr">
        <is>
          <t>entidad-dia</t>
        </is>
      </c>
    </row>
    <row r="3637">
      <c r="A3637" t="inlineStr">
        <is>
          <t>PRAGMA</t>
        </is>
      </c>
      <c r="B3637" t="inlineStr">
        <is>
          <t>M1</t>
        </is>
      </c>
      <c r="C3637" t="inlineStr">
        <is>
          <t>Cali</t>
        </is>
      </c>
      <c r="D3637" t="inlineStr">
        <is>
          <t>6285</t>
        </is>
      </c>
      <c r="E3637" t="inlineStr">
        <is>
          <t>pagado</t>
        </is>
      </c>
      <c r="F3637" s="23" t="n">
        <v>46270</v>
      </c>
      <c r="G3637" s="24">
        <f>F3637-DATE(2026,8,31)</f>
        <v>5</v>
      </c>
      <c r="H3637" s="25" t="n">
        <v>80592826</v>
      </c>
      <c r="I3637" t="inlineStr">
        <is>
          <t>entidad-dia</t>
        </is>
      </c>
    </row>
    <row r="3638">
      <c r="A3638" t="inlineStr">
        <is>
          <t>PRAGMA</t>
        </is>
      </c>
      <c r="B3638" t="inlineStr">
        <is>
          <t>M1</t>
        </is>
      </c>
      <c r="C3638" t="inlineStr">
        <is>
          <t>Cali</t>
        </is>
      </c>
      <c r="D3638" t="inlineStr">
        <is>
          <t>6285</t>
        </is>
      </c>
      <c r="E3638" t="inlineStr">
        <is>
          <t>pagado</t>
        </is>
      </c>
      <c r="F3638" s="23" t="n">
        <v>46271</v>
      </c>
      <c r="G3638" s="24">
        <f>F3638-DATE(2026,8,31)</f>
        <v>6</v>
      </c>
      <c r="H3638" s="25" t="n">
        <v>51976982</v>
      </c>
      <c r="I3638" t="inlineStr">
        <is>
          <t>entidad-dia</t>
        </is>
      </c>
    </row>
    <row r="3639">
      <c r="A3639" t="inlineStr">
        <is>
          <t>PRAGMA</t>
        </is>
      </c>
      <c r="B3639" t="inlineStr">
        <is>
          <t>M1</t>
        </is>
      </c>
      <c r="C3639" t="inlineStr">
        <is>
          <t>Cali</t>
        </is>
      </c>
      <c r="D3639" t="inlineStr">
        <is>
          <t>6285</t>
        </is>
      </c>
      <c r="E3639" t="inlineStr">
        <is>
          <t>pagado</t>
        </is>
      </c>
      <c r="F3639" s="23" t="n">
        <v>46272</v>
      </c>
      <c r="G3639" s="24">
        <f>F3639-DATE(2026,8,31)</f>
        <v>7</v>
      </c>
      <c r="H3639" s="25" t="n">
        <v>54264624</v>
      </c>
      <c r="I3639" t="inlineStr">
        <is>
          <t>entidad-dia</t>
        </is>
      </c>
    </row>
    <row r="3640">
      <c r="A3640" t="inlineStr">
        <is>
          <t>PRAGMA</t>
        </is>
      </c>
      <c r="B3640" t="inlineStr">
        <is>
          <t>M1</t>
        </is>
      </c>
      <c r="C3640" t="inlineStr">
        <is>
          <t>Cali</t>
        </is>
      </c>
      <c r="D3640" t="inlineStr">
        <is>
          <t>6285</t>
        </is>
      </c>
      <c r="E3640" t="inlineStr">
        <is>
          <t>pagado</t>
        </is>
      </c>
      <c r="F3640" s="23" t="n">
        <v>46273</v>
      </c>
      <c r="G3640" s="24">
        <f>F3640-DATE(2026,8,31)</f>
        <v>8</v>
      </c>
      <c r="H3640" s="25" t="n">
        <v>57889684</v>
      </c>
      <c r="I3640" t="inlineStr">
        <is>
          <t>entidad-dia</t>
        </is>
      </c>
    </row>
    <row r="3641">
      <c r="A3641" t="inlineStr">
        <is>
          <t>PRAGMA</t>
        </is>
      </c>
      <c r="B3641" t="inlineStr">
        <is>
          <t>M1</t>
        </is>
      </c>
      <c r="C3641" t="inlineStr">
        <is>
          <t>Cali</t>
        </is>
      </c>
      <c r="D3641" t="inlineStr">
        <is>
          <t>6285</t>
        </is>
      </c>
      <c r="E3641" t="inlineStr">
        <is>
          <t>pagado</t>
        </is>
      </c>
      <c r="F3641" s="23" t="n">
        <v>46274</v>
      </c>
      <c r="G3641" s="24">
        <f>F3641-DATE(2026,8,31)</f>
        <v>9</v>
      </c>
      <c r="H3641" s="25" t="n">
        <v>59070854</v>
      </c>
      <c r="I3641" t="inlineStr">
        <is>
          <t>entidad-dia</t>
        </is>
      </c>
    </row>
    <row r="3642">
      <c r="A3642" t="inlineStr">
        <is>
          <t>PRAGMA</t>
        </is>
      </c>
      <c r="B3642" t="inlineStr">
        <is>
          <t>M1</t>
        </is>
      </c>
      <c r="C3642" t="inlineStr">
        <is>
          <t>Cali</t>
        </is>
      </c>
      <c r="D3642" t="inlineStr">
        <is>
          <t>6285</t>
        </is>
      </c>
      <c r="E3642" t="inlineStr">
        <is>
          <t>pagado</t>
        </is>
      </c>
      <c r="F3642" s="23" t="n">
        <v>46275</v>
      </c>
      <c r="G3642" s="24">
        <f>F3642-DATE(2026,8,31)</f>
        <v>10</v>
      </c>
      <c r="H3642" s="25" t="n">
        <v>52926946</v>
      </c>
      <c r="I3642" t="inlineStr">
        <is>
          <t>entidad-dia</t>
        </is>
      </c>
    </row>
    <row r="3643">
      <c r="A3643" t="inlineStr">
        <is>
          <t>PRAGMA</t>
        </is>
      </c>
      <c r="B3643" t="inlineStr">
        <is>
          <t>M1</t>
        </is>
      </c>
      <c r="C3643" t="inlineStr">
        <is>
          <t>Cali</t>
        </is>
      </c>
      <c r="D3643" t="inlineStr">
        <is>
          <t>6285</t>
        </is>
      </c>
      <c r="E3643" t="inlineStr">
        <is>
          <t>pagado</t>
        </is>
      </c>
      <c r="F3643" s="23" t="n">
        <v>46276</v>
      </c>
      <c r="G3643" s="24">
        <f>F3643-DATE(2026,8,31)</f>
        <v>11</v>
      </c>
      <c r="H3643" s="25" t="n">
        <v>64761641</v>
      </c>
      <c r="I3643" t="inlineStr">
        <is>
          <t>entidad-dia</t>
        </is>
      </c>
    </row>
    <row r="3644">
      <c r="A3644" t="inlineStr">
        <is>
          <t>PRAGMA</t>
        </is>
      </c>
      <c r="B3644" t="inlineStr">
        <is>
          <t>M1</t>
        </is>
      </c>
      <c r="C3644" t="inlineStr">
        <is>
          <t>Cali</t>
        </is>
      </c>
      <c r="D3644" t="inlineStr">
        <is>
          <t>6285</t>
        </is>
      </c>
      <c r="E3644" t="inlineStr">
        <is>
          <t>pagado</t>
        </is>
      </c>
      <c r="F3644" s="23" t="n">
        <v>46277</v>
      </c>
      <c r="G3644" s="24">
        <f>F3644-DATE(2026,8,31)</f>
        <v>12</v>
      </c>
      <c r="H3644" s="25" t="n">
        <v>70131813</v>
      </c>
      <c r="I3644" t="inlineStr">
        <is>
          <t>entidad-dia</t>
        </is>
      </c>
    </row>
    <row r="3645">
      <c r="A3645" t="inlineStr">
        <is>
          <t>PRAGMA</t>
        </is>
      </c>
      <c r="B3645" t="inlineStr">
        <is>
          <t>M1</t>
        </is>
      </c>
      <c r="C3645" t="inlineStr">
        <is>
          <t>Cali</t>
        </is>
      </c>
      <c r="D3645" t="inlineStr">
        <is>
          <t>6285</t>
        </is>
      </c>
      <c r="E3645" t="inlineStr">
        <is>
          <t>pagado</t>
        </is>
      </c>
      <c r="F3645" s="23" t="n">
        <v>46278</v>
      </c>
      <c r="G3645" s="24">
        <f>F3645-DATE(2026,8,31)</f>
        <v>13</v>
      </c>
      <c r="H3645" s="25" t="n">
        <v>41212418</v>
      </c>
      <c r="I3645" t="inlineStr">
        <is>
          <t>entidad-dia</t>
        </is>
      </c>
    </row>
    <row r="3646">
      <c r="A3646" t="inlineStr">
        <is>
          <t>PRAGMA</t>
        </is>
      </c>
      <c r="B3646" t="inlineStr">
        <is>
          <t>M1</t>
        </is>
      </c>
      <c r="C3646" t="inlineStr">
        <is>
          <t>Cali</t>
        </is>
      </c>
      <c r="D3646" t="inlineStr">
        <is>
          <t>6285</t>
        </is>
      </c>
      <c r="E3646" t="inlineStr">
        <is>
          <t>pagado</t>
        </is>
      </c>
      <c r="F3646" s="23" t="n">
        <v>46279</v>
      </c>
      <c r="G3646" s="24">
        <f>F3646-DATE(2026,8,31)</f>
        <v>14</v>
      </c>
      <c r="H3646" s="25" t="n">
        <v>56377894</v>
      </c>
      <c r="I3646" t="inlineStr">
        <is>
          <t>entidad-dia</t>
        </is>
      </c>
    </row>
    <row r="3647">
      <c r="A3647" t="inlineStr">
        <is>
          <t>PRAGMA</t>
        </is>
      </c>
      <c r="B3647" t="inlineStr">
        <is>
          <t>M1</t>
        </is>
      </c>
      <c r="C3647" t="inlineStr">
        <is>
          <t>Cali</t>
        </is>
      </c>
      <c r="D3647" t="inlineStr">
        <is>
          <t>6285</t>
        </is>
      </c>
      <c r="E3647" t="inlineStr">
        <is>
          <t>pagado</t>
        </is>
      </c>
      <c r="F3647" s="23" t="n">
        <v>46280</v>
      </c>
      <c r="G3647" s="24">
        <f>F3647-DATE(2026,8,31)</f>
        <v>15</v>
      </c>
      <c r="H3647" s="25" t="n">
        <v>81892697</v>
      </c>
      <c r="I3647" t="inlineStr">
        <is>
          <t>entidad-dia</t>
        </is>
      </c>
    </row>
    <row r="3648">
      <c r="A3648" t="inlineStr">
        <is>
          <t>PRAGMA</t>
        </is>
      </c>
      <c r="B3648" t="inlineStr">
        <is>
          <t>M1</t>
        </is>
      </c>
      <c r="C3648" t="inlineStr">
        <is>
          <t>Cali</t>
        </is>
      </c>
      <c r="D3648" t="inlineStr">
        <is>
          <t>6290</t>
        </is>
      </c>
      <c r="E3648" t="inlineStr">
        <is>
          <t>pagado</t>
        </is>
      </c>
      <c r="F3648" s="23" t="n">
        <v>46266</v>
      </c>
      <c r="G3648" s="24">
        <f>F3648-DATE(2026,8,31)</f>
        <v>1</v>
      </c>
      <c r="H3648" s="25" t="n">
        <v>180683076</v>
      </c>
      <c r="I3648" t="inlineStr">
        <is>
          <t>entidad-dia</t>
        </is>
      </c>
    </row>
    <row r="3649">
      <c r="A3649" t="inlineStr">
        <is>
          <t>PRAGMA</t>
        </is>
      </c>
      <c r="B3649" t="inlineStr">
        <is>
          <t>M1</t>
        </is>
      </c>
      <c r="C3649" t="inlineStr">
        <is>
          <t>Cali</t>
        </is>
      </c>
      <c r="D3649" t="inlineStr">
        <is>
          <t>6290</t>
        </is>
      </c>
      <c r="E3649" t="inlineStr">
        <is>
          <t>pagado</t>
        </is>
      </c>
      <c r="F3649" s="23" t="n">
        <v>46267</v>
      </c>
      <c r="G3649" s="24">
        <f>F3649-DATE(2026,8,31)</f>
        <v>2</v>
      </c>
      <c r="H3649" s="25" t="n">
        <v>134725712</v>
      </c>
      <c r="I3649" t="inlineStr">
        <is>
          <t>entidad-dia</t>
        </is>
      </c>
    </row>
    <row r="3650">
      <c r="A3650" t="inlineStr">
        <is>
          <t>PRAGMA</t>
        </is>
      </c>
      <c r="B3650" t="inlineStr">
        <is>
          <t>M1</t>
        </is>
      </c>
      <c r="C3650" t="inlineStr">
        <is>
          <t>Cali</t>
        </is>
      </c>
      <c r="D3650" t="inlineStr">
        <is>
          <t>6290</t>
        </is>
      </c>
      <c r="E3650" t="inlineStr">
        <is>
          <t>pagado</t>
        </is>
      </c>
      <c r="F3650" s="23" t="n">
        <v>46268</v>
      </c>
      <c r="G3650" s="24">
        <f>F3650-DATE(2026,8,31)</f>
        <v>3</v>
      </c>
      <c r="H3650" s="25" t="n">
        <v>125101267</v>
      </c>
      <c r="I3650" t="inlineStr">
        <is>
          <t>entidad-dia</t>
        </is>
      </c>
    </row>
    <row r="3651">
      <c r="A3651" t="inlineStr">
        <is>
          <t>PRAGMA</t>
        </is>
      </c>
      <c r="B3651" t="inlineStr">
        <is>
          <t>M1</t>
        </is>
      </c>
      <c r="C3651" t="inlineStr">
        <is>
          <t>Cali</t>
        </is>
      </c>
      <c r="D3651" t="inlineStr">
        <is>
          <t>6290</t>
        </is>
      </c>
      <c r="E3651" t="inlineStr">
        <is>
          <t>pagado</t>
        </is>
      </c>
      <c r="F3651" s="23" t="n">
        <v>46269</v>
      </c>
      <c r="G3651" s="24">
        <f>F3651-DATE(2026,8,31)</f>
        <v>4</v>
      </c>
      <c r="H3651" s="25" t="n">
        <v>125750416</v>
      </c>
      <c r="I3651" t="inlineStr">
        <is>
          <t>entidad-dia</t>
        </is>
      </c>
    </row>
    <row r="3652">
      <c r="A3652" t="inlineStr">
        <is>
          <t>PRAGMA</t>
        </is>
      </c>
      <c r="B3652" t="inlineStr">
        <is>
          <t>M1</t>
        </is>
      </c>
      <c r="C3652" t="inlineStr">
        <is>
          <t>Cali</t>
        </is>
      </c>
      <c r="D3652" t="inlineStr">
        <is>
          <t>6290</t>
        </is>
      </c>
      <c r="E3652" t="inlineStr">
        <is>
          <t>pagado</t>
        </is>
      </c>
      <c r="F3652" s="23" t="n">
        <v>46270</v>
      </c>
      <c r="G3652" s="24">
        <f>F3652-DATE(2026,8,31)</f>
        <v>5</v>
      </c>
      <c r="H3652" s="25" t="n">
        <v>122885981</v>
      </c>
      <c r="I3652" t="inlineStr">
        <is>
          <t>entidad-dia</t>
        </is>
      </c>
    </row>
    <row r="3653">
      <c r="A3653" t="inlineStr">
        <is>
          <t>PRAGMA</t>
        </is>
      </c>
      <c r="B3653" t="inlineStr">
        <is>
          <t>M1</t>
        </is>
      </c>
      <c r="C3653" t="inlineStr">
        <is>
          <t>Cali</t>
        </is>
      </c>
      <c r="D3653" t="inlineStr">
        <is>
          <t>6290</t>
        </is>
      </c>
      <c r="E3653" t="inlineStr">
        <is>
          <t>pagado</t>
        </is>
      </c>
      <c r="F3653" s="23" t="n">
        <v>46271</v>
      </c>
      <c r="G3653" s="24">
        <f>F3653-DATE(2026,8,31)</f>
        <v>6</v>
      </c>
      <c r="H3653" s="25" t="n">
        <v>52381858</v>
      </c>
      <c r="I3653" t="inlineStr">
        <is>
          <t>entidad-dia</t>
        </is>
      </c>
    </row>
    <row r="3654">
      <c r="A3654" t="inlineStr">
        <is>
          <t>PRAGMA</t>
        </is>
      </c>
      <c r="B3654" t="inlineStr">
        <is>
          <t>M1</t>
        </is>
      </c>
      <c r="C3654" t="inlineStr">
        <is>
          <t>Cali</t>
        </is>
      </c>
      <c r="D3654" t="inlineStr">
        <is>
          <t>6290</t>
        </is>
      </c>
      <c r="E3654" t="inlineStr">
        <is>
          <t>pagado</t>
        </is>
      </c>
      <c r="F3654" s="23" t="n">
        <v>46272</v>
      </c>
      <c r="G3654" s="24">
        <f>F3654-DATE(2026,8,31)</f>
        <v>7</v>
      </c>
      <c r="H3654" s="25" t="n">
        <v>89589135</v>
      </c>
      <c r="I3654" t="inlineStr">
        <is>
          <t>entidad-dia</t>
        </is>
      </c>
    </row>
    <row r="3655">
      <c r="A3655" t="inlineStr">
        <is>
          <t>PRAGMA</t>
        </is>
      </c>
      <c r="B3655" t="inlineStr">
        <is>
          <t>M1</t>
        </is>
      </c>
      <c r="C3655" t="inlineStr">
        <is>
          <t>Cali</t>
        </is>
      </c>
      <c r="D3655" t="inlineStr">
        <is>
          <t>6290</t>
        </is>
      </c>
      <c r="E3655" t="inlineStr">
        <is>
          <t>pagado</t>
        </is>
      </c>
      <c r="F3655" s="23" t="n">
        <v>46273</v>
      </c>
      <c r="G3655" s="24">
        <f>F3655-DATE(2026,8,31)</f>
        <v>8</v>
      </c>
      <c r="H3655" s="25" t="n">
        <v>85571575</v>
      </c>
      <c r="I3655" t="inlineStr">
        <is>
          <t>entidad-dia</t>
        </is>
      </c>
    </row>
    <row r="3656">
      <c r="A3656" t="inlineStr">
        <is>
          <t>PRAGMA</t>
        </is>
      </c>
      <c r="B3656" t="inlineStr">
        <is>
          <t>M1</t>
        </is>
      </c>
      <c r="C3656" t="inlineStr">
        <is>
          <t>Cali</t>
        </is>
      </c>
      <c r="D3656" t="inlineStr">
        <is>
          <t>6290</t>
        </is>
      </c>
      <c r="E3656" t="inlineStr">
        <is>
          <t>pagado</t>
        </is>
      </c>
      <c r="F3656" s="23" t="n">
        <v>46274</v>
      </c>
      <c r="G3656" s="24">
        <f>F3656-DATE(2026,8,31)</f>
        <v>9</v>
      </c>
      <c r="H3656" s="25" t="n">
        <v>93111542</v>
      </c>
      <c r="I3656" t="inlineStr">
        <is>
          <t>entidad-dia</t>
        </is>
      </c>
    </row>
    <row r="3657">
      <c r="A3657" t="inlineStr">
        <is>
          <t>PRAGMA</t>
        </is>
      </c>
      <c r="B3657" t="inlineStr">
        <is>
          <t>M1</t>
        </is>
      </c>
      <c r="C3657" t="inlineStr">
        <is>
          <t>Cali</t>
        </is>
      </c>
      <c r="D3657" t="inlineStr">
        <is>
          <t>6290</t>
        </is>
      </c>
      <c r="E3657" t="inlineStr">
        <is>
          <t>pagado</t>
        </is>
      </c>
      <c r="F3657" s="23" t="n">
        <v>46275</v>
      </c>
      <c r="G3657" s="24">
        <f>F3657-DATE(2026,8,31)</f>
        <v>10</v>
      </c>
      <c r="H3657" s="25" t="n">
        <v>90833497</v>
      </c>
      <c r="I3657" t="inlineStr">
        <is>
          <t>entidad-dia</t>
        </is>
      </c>
    </row>
    <row r="3658">
      <c r="A3658" t="inlineStr">
        <is>
          <t>PRAGMA</t>
        </is>
      </c>
      <c r="B3658" t="inlineStr">
        <is>
          <t>M1</t>
        </is>
      </c>
      <c r="C3658" t="inlineStr">
        <is>
          <t>Cali</t>
        </is>
      </c>
      <c r="D3658" t="inlineStr">
        <is>
          <t>6290</t>
        </is>
      </c>
      <c r="E3658" t="inlineStr">
        <is>
          <t>pagado</t>
        </is>
      </c>
      <c r="F3658" s="23" t="n">
        <v>46276</v>
      </c>
      <c r="G3658" s="24">
        <f>F3658-DATE(2026,8,31)</f>
        <v>11</v>
      </c>
      <c r="H3658" s="25" t="n">
        <v>105825772</v>
      </c>
      <c r="I3658" t="inlineStr">
        <is>
          <t>entidad-dia</t>
        </is>
      </c>
    </row>
    <row r="3659">
      <c r="A3659" t="inlineStr">
        <is>
          <t>PRAGMA</t>
        </is>
      </c>
      <c r="B3659" t="inlineStr">
        <is>
          <t>M1</t>
        </is>
      </c>
      <c r="C3659" t="inlineStr">
        <is>
          <t>Cali</t>
        </is>
      </c>
      <c r="D3659" t="inlineStr">
        <is>
          <t>6290</t>
        </is>
      </c>
      <c r="E3659" t="inlineStr">
        <is>
          <t>pagado</t>
        </is>
      </c>
      <c r="F3659" s="23" t="n">
        <v>46277</v>
      </c>
      <c r="G3659" s="24">
        <f>F3659-DATE(2026,8,31)</f>
        <v>12</v>
      </c>
      <c r="H3659" s="25" t="n">
        <v>103202148</v>
      </c>
      <c r="I3659" t="inlineStr">
        <is>
          <t>entidad-dia</t>
        </is>
      </c>
    </row>
    <row r="3660">
      <c r="A3660" t="inlineStr">
        <is>
          <t>PRAGMA</t>
        </is>
      </c>
      <c r="B3660" t="inlineStr">
        <is>
          <t>M1</t>
        </is>
      </c>
      <c r="C3660" t="inlineStr">
        <is>
          <t>Cali</t>
        </is>
      </c>
      <c r="D3660" t="inlineStr">
        <is>
          <t>6290</t>
        </is>
      </c>
      <c r="E3660" t="inlineStr">
        <is>
          <t>pagado</t>
        </is>
      </c>
      <c r="F3660" s="23" t="n">
        <v>46278</v>
      </c>
      <c r="G3660" s="24">
        <f>F3660-DATE(2026,8,31)</f>
        <v>13</v>
      </c>
      <c r="H3660" s="25" t="n">
        <v>45328940</v>
      </c>
      <c r="I3660" t="inlineStr">
        <is>
          <t>entidad-dia</t>
        </is>
      </c>
    </row>
    <row r="3661">
      <c r="A3661" t="inlineStr">
        <is>
          <t>PRAGMA</t>
        </is>
      </c>
      <c r="B3661" t="inlineStr">
        <is>
          <t>M1</t>
        </is>
      </c>
      <c r="C3661" t="inlineStr">
        <is>
          <t>Cali</t>
        </is>
      </c>
      <c r="D3661" t="inlineStr">
        <is>
          <t>6290</t>
        </is>
      </c>
      <c r="E3661" t="inlineStr">
        <is>
          <t>pagado</t>
        </is>
      </c>
      <c r="F3661" s="23" t="n">
        <v>46279</v>
      </c>
      <c r="G3661" s="24">
        <f>F3661-DATE(2026,8,31)</f>
        <v>14</v>
      </c>
      <c r="H3661" s="25" t="n">
        <v>92966020</v>
      </c>
      <c r="I3661" t="inlineStr">
        <is>
          <t>entidad-dia</t>
        </is>
      </c>
    </row>
    <row r="3662">
      <c r="A3662" t="inlineStr">
        <is>
          <t>PRAGMA</t>
        </is>
      </c>
      <c r="B3662" t="inlineStr">
        <is>
          <t>M1</t>
        </is>
      </c>
      <c r="C3662" t="inlineStr">
        <is>
          <t>Cali</t>
        </is>
      </c>
      <c r="D3662" t="inlineStr">
        <is>
          <t>6290</t>
        </is>
      </c>
      <c r="E3662" t="inlineStr">
        <is>
          <t>pagado</t>
        </is>
      </c>
      <c r="F3662" s="23" t="n">
        <v>46280</v>
      </c>
      <c r="G3662" s="24">
        <f>F3662-DATE(2026,8,31)</f>
        <v>15</v>
      </c>
      <c r="H3662" s="25" t="n">
        <v>133299350</v>
      </c>
      <c r="I3662" t="inlineStr">
        <is>
          <t>entidad-dia</t>
        </is>
      </c>
    </row>
    <row r="3663">
      <c r="A3663" t="inlineStr">
        <is>
          <t>PRAGMA</t>
        </is>
      </c>
      <c r="B3663" t="inlineStr">
        <is>
          <t>M1</t>
        </is>
      </c>
      <c r="C3663" t="inlineStr">
        <is>
          <t>Cali</t>
        </is>
      </c>
      <c r="D3663" t="inlineStr">
        <is>
          <t>6303</t>
        </is>
      </c>
      <c r="E3663" t="inlineStr">
        <is>
          <t>pagado</t>
        </is>
      </c>
      <c r="F3663" s="23" t="n">
        <v>46266</v>
      </c>
      <c r="G3663" s="24">
        <f>F3663-DATE(2026,8,31)</f>
        <v>1</v>
      </c>
      <c r="H3663" s="25" t="n">
        <v>149960863</v>
      </c>
      <c r="I3663" t="inlineStr">
        <is>
          <t>entidad-dia</t>
        </is>
      </c>
    </row>
    <row r="3664">
      <c r="A3664" t="inlineStr">
        <is>
          <t>PRAGMA</t>
        </is>
      </c>
      <c r="B3664" t="inlineStr">
        <is>
          <t>M1</t>
        </is>
      </c>
      <c r="C3664" t="inlineStr">
        <is>
          <t>Cali</t>
        </is>
      </c>
      <c r="D3664" t="inlineStr">
        <is>
          <t>6303</t>
        </is>
      </c>
      <c r="E3664" t="inlineStr">
        <is>
          <t>pagado</t>
        </is>
      </c>
      <c r="F3664" s="23" t="n">
        <v>46267</v>
      </c>
      <c r="G3664" s="24">
        <f>F3664-DATE(2026,8,31)</f>
        <v>2</v>
      </c>
      <c r="H3664" s="25" t="n">
        <v>110017816</v>
      </c>
      <c r="I3664" t="inlineStr">
        <is>
          <t>entidad-dia</t>
        </is>
      </c>
    </row>
    <row r="3665">
      <c r="A3665" t="inlineStr">
        <is>
          <t>PRAGMA</t>
        </is>
      </c>
      <c r="B3665" t="inlineStr">
        <is>
          <t>M1</t>
        </is>
      </c>
      <c r="C3665" t="inlineStr">
        <is>
          <t>Cali</t>
        </is>
      </c>
      <c r="D3665" t="inlineStr">
        <is>
          <t>6303</t>
        </is>
      </c>
      <c r="E3665" t="inlineStr">
        <is>
          <t>pagado</t>
        </is>
      </c>
      <c r="F3665" s="23" t="n">
        <v>46268</v>
      </c>
      <c r="G3665" s="24">
        <f>F3665-DATE(2026,8,31)</f>
        <v>3</v>
      </c>
      <c r="H3665" s="25" t="n">
        <v>101593910</v>
      </c>
      <c r="I3665" t="inlineStr">
        <is>
          <t>entidad-dia</t>
        </is>
      </c>
    </row>
    <row r="3666">
      <c r="A3666" t="inlineStr">
        <is>
          <t>PRAGMA</t>
        </is>
      </c>
      <c r="B3666" t="inlineStr">
        <is>
          <t>M1</t>
        </is>
      </c>
      <c r="C3666" t="inlineStr">
        <is>
          <t>Cali</t>
        </is>
      </c>
      <c r="D3666" t="inlineStr">
        <is>
          <t>6303</t>
        </is>
      </c>
      <c r="E3666" t="inlineStr">
        <is>
          <t>pagado</t>
        </is>
      </c>
      <c r="F3666" s="23" t="n">
        <v>46269</v>
      </c>
      <c r="G3666" s="24">
        <f>F3666-DATE(2026,8,31)</f>
        <v>4</v>
      </c>
      <c r="H3666" s="25" t="n">
        <v>97857475</v>
      </c>
      <c r="I3666" t="inlineStr">
        <is>
          <t>entidad-dia</t>
        </is>
      </c>
    </row>
    <row r="3667">
      <c r="A3667" t="inlineStr">
        <is>
          <t>PRAGMA</t>
        </is>
      </c>
      <c r="B3667" t="inlineStr">
        <is>
          <t>M1</t>
        </is>
      </c>
      <c r="C3667" t="inlineStr">
        <is>
          <t>Cali</t>
        </is>
      </c>
      <c r="D3667" t="inlineStr">
        <is>
          <t>6303</t>
        </is>
      </c>
      <c r="E3667" t="inlineStr">
        <is>
          <t>pagado</t>
        </is>
      </c>
      <c r="F3667" s="23" t="n">
        <v>46270</v>
      </c>
      <c r="G3667" s="24">
        <f>F3667-DATE(2026,8,31)</f>
        <v>5</v>
      </c>
      <c r="H3667" s="25" t="n">
        <v>106376967</v>
      </c>
      <c r="I3667" t="inlineStr">
        <is>
          <t>entidad-dia</t>
        </is>
      </c>
    </row>
    <row r="3668">
      <c r="A3668" t="inlineStr">
        <is>
          <t>PRAGMA</t>
        </is>
      </c>
      <c r="B3668" t="inlineStr">
        <is>
          <t>M1</t>
        </is>
      </c>
      <c r="C3668" t="inlineStr">
        <is>
          <t>Cali</t>
        </is>
      </c>
      <c r="D3668" t="inlineStr">
        <is>
          <t>6303</t>
        </is>
      </c>
      <c r="E3668" t="inlineStr">
        <is>
          <t>pagado</t>
        </is>
      </c>
      <c r="F3668" s="23" t="n">
        <v>46271</v>
      </c>
      <c r="G3668" s="24">
        <f>F3668-DATE(2026,8,31)</f>
        <v>6</v>
      </c>
      <c r="H3668" s="25" t="n">
        <v>73609951</v>
      </c>
      <c r="I3668" t="inlineStr">
        <is>
          <t>entidad-dia</t>
        </is>
      </c>
    </row>
    <row r="3669">
      <c r="A3669" t="inlineStr">
        <is>
          <t>PRAGMA</t>
        </is>
      </c>
      <c r="B3669" t="inlineStr">
        <is>
          <t>M1</t>
        </is>
      </c>
      <c r="C3669" t="inlineStr">
        <is>
          <t>Cali</t>
        </is>
      </c>
      <c r="D3669" t="inlineStr">
        <is>
          <t>6303</t>
        </is>
      </c>
      <c r="E3669" t="inlineStr">
        <is>
          <t>pagado</t>
        </is>
      </c>
      <c r="F3669" s="23" t="n">
        <v>46272</v>
      </c>
      <c r="G3669" s="24">
        <f>F3669-DATE(2026,8,31)</f>
        <v>7</v>
      </c>
      <c r="H3669" s="25" t="n">
        <v>73367473</v>
      </c>
      <c r="I3669" t="inlineStr">
        <is>
          <t>entidad-dia</t>
        </is>
      </c>
    </row>
    <row r="3670">
      <c r="A3670" t="inlineStr">
        <is>
          <t>PRAGMA</t>
        </is>
      </c>
      <c r="B3670" t="inlineStr">
        <is>
          <t>M1</t>
        </is>
      </c>
      <c r="C3670" t="inlineStr">
        <is>
          <t>Cali</t>
        </is>
      </c>
      <c r="D3670" t="inlineStr">
        <is>
          <t>6303</t>
        </is>
      </c>
      <c r="E3670" t="inlineStr">
        <is>
          <t>pagado</t>
        </is>
      </c>
      <c r="F3670" s="23" t="n">
        <v>46273</v>
      </c>
      <c r="G3670" s="24">
        <f>F3670-DATE(2026,8,31)</f>
        <v>8</v>
      </c>
      <c r="H3670" s="25" t="n">
        <v>74608615</v>
      </c>
      <c r="I3670" t="inlineStr">
        <is>
          <t>entidad-dia</t>
        </is>
      </c>
    </row>
    <row r="3671">
      <c r="A3671" t="inlineStr">
        <is>
          <t>PRAGMA</t>
        </is>
      </c>
      <c r="B3671" t="inlineStr">
        <is>
          <t>M1</t>
        </is>
      </c>
      <c r="C3671" t="inlineStr">
        <is>
          <t>Cali</t>
        </is>
      </c>
      <c r="D3671" t="inlineStr">
        <is>
          <t>6303</t>
        </is>
      </c>
      <c r="E3671" t="inlineStr">
        <is>
          <t>pagado</t>
        </is>
      </c>
      <c r="F3671" s="23" t="n">
        <v>46274</v>
      </c>
      <c r="G3671" s="24">
        <f>F3671-DATE(2026,8,31)</f>
        <v>9</v>
      </c>
      <c r="H3671" s="25" t="n">
        <v>68039997</v>
      </c>
      <c r="I3671" t="inlineStr">
        <is>
          <t>entidad-dia</t>
        </is>
      </c>
    </row>
    <row r="3672">
      <c r="A3672" t="inlineStr">
        <is>
          <t>PRAGMA</t>
        </is>
      </c>
      <c r="B3672" t="inlineStr">
        <is>
          <t>M1</t>
        </is>
      </c>
      <c r="C3672" t="inlineStr">
        <is>
          <t>Cali</t>
        </is>
      </c>
      <c r="D3672" t="inlineStr">
        <is>
          <t>6303</t>
        </is>
      </c>
      <c r="E3672" t="inlineStr">
        <is>
          <t>pagado</t>
        </is>
      </c>
      <c r="F3672" s="23" t="n">
        <v>46275</v>
      </c>
      <c r="G3672" s="24">
        <f>F3672-DATE(2026,8,31)</f>
        <v>10</v>
      </c>
      <c r="H3672" s="25" t="n">
        <v>66924160</v>
      </c>
      <c r="I3672" t="inlineStr">
        <is>
          <t>entidad-dia</t>
        </is>
      </c>
    </row>
    <row r="3673">
      <c r="A3673" t="inlineStr">
        <is>
          <t>PRAGMA</t>
        </is>
      </c>
      <c r="B3673" t="inlineStr">
        <is>
          <t>M1</t>
        </is>
      </c>
      <c r="C3673" t="inlineStr">
        <is>
          <t>Cali</t>
        </is>
      </c>
      <c r="D3673" t="inlineStr">
        <is>
          <t>6303</t>
        </is>
      </c>
      <c r="E3673" t="inlineStr">
        <is>
          <t>pagado</t>
        </is>
      </c>
      <c r="F3673" s="23" t="n">
        <v>46276</v>
      </c>
      <c r="G3673" s="24">
        <f>F3673-DATE(2026,8,31)</f>
        <v>11</v>
      </c>
      <c r="H3673" s="25" t="n">
        <v>71230735</v>
      </c>
      <c r="I3673" t="inlineStr">
        <is>
          <t>entidad-dia</t>
        </is>
      </c>
    </row>
    <row r="3674">
      <c r="A3674" t="inlineStr">
        <is>
          <t>PRAGMA</t>
        </is>
      </c>
      <c r="B3674" t="inlineStr">
        <is>
          <t>M1</t>
        </is>
      </c>
      <c r="C3674" t="inlineStr">
        <is>
          <t>Cali</t>
        </is>
      </c>
      <c r="D3674" t="inlineStr">
        <is>
          <t>6303</t>
        </is>
      </c>
      <c r="E3674" t="inlineStr">
        <is>
          <t>pagado</t>
        </is>
      </c>
      <c r="F3674" s="23" t="n">
        <v>46277</v>
      </c>
      <c r="G3674" s="24">
        <f>F3674-DATE(2026,8,31)</f>
        <v>12</v>
      </c>
      <c r="H3674" s="25" t="n">
        <v>71824322</v>
      </c>
      <c r="I3674" t="inlineStr">
        <is>
          <t>entidad-dia</t>
        </is>
      </c>
    </row>
    <row r="3675">
      <c r="A3675" t="inlineStr">
        <is>
          <t>PRAGMA</t>
        </is>
      </c>
      <c r="B3675" t="inlineStr">
        <is>
          <t>M1</t>
        </is>
      </c>
      <c r="C3675" t="inlineStr">
        <is>
          <t>Cali</t>
        </is>
      </c>
      <c r="D3675" t="inlineStr">
        <is>
          <t>6303</t>
        </is>
      </c>
      <c r="E3675" t="inlineStr">
        <is>
          <t>pagado</t>
        </is>
      </c>
      <c r="F3675" s="23" t="n">
        <v>46278</v>
      </c>
      <c r="G3675" s="24">
        <f>F3675-DATE(2026,8,31)</f>
        <v>13</v>
      </c>
      <c r="H3675" s="25" t="n">
        <v>50010452</v>
      </c>
      <c r="I3675" t="inlineStr">
        <is>
          <t>entidad-dia</t>
        </is>
      </c>
    </row>
    <row r="3676">
      <c r="A3676" t="inlineStr">
        <is>
          <t>PRAGMA</t>
        </is>
      </c>
      <c r="B3676" t="inlineStr">
        <is>
          <t>M1</t>
        </is>
      </c>
      <c r="C3676" t="inlineStr">
        <is>
          <t>Cali</t>
        </is>
      </c>
      <c r="D3676" t="inlineStr">
        <is>
          <t>6303</t>
        </is>
      </c>
      <c r="E3676" t="inlineStr">
        <is>
          <t>pagado</t>
        </is>
      </c>
      <c r="F3676" s="23" t="n">
        <v>46279</v>
      </c>
      <c r="G3676" s="24">
        <f>F3676-DATE(2026,8,31)</f>
        <v>14</v>
      </c>
      <c r="H3676" s="25" t="n">
        <v>71481401</v>
      </c>
      <c r="I3676" t="inlineStr">
        <is>
          <t>entidad-dia</t>
        </is>
      </c>
    </row>
    <row r="3677">
      <c r="A3677" t="inlineStr">
        <is>
          <t>PRAGMA</t>
        </is>
      </c>
      <c r="B3677" t="inlineStr">
        <is>
          <t>M1</t>
        </is>
      </c>
      <c r="C3677" t="inlineStr">
        <is>
          <t>Cali</t>
        </is>
      </c>
      <c r="D3677" t="inlineStr">
        <is>
          <t>6303</t>
        </is>
      </c>
      <c r="E3677" t="inlineStr">
        <is>
          <t>pagado</t>
        </is>
      </c>
      <c r="F3677" s="23" t="n">
        <v>46280</v>
      </c>
      <c r="G3677" s="24">
        <f>F3677-DATE(2026,8,31)</f>
        <v>15</v>
      </c>
      <c r="H3677" s="25" t="n">
        <v>106012423</v>
      </c>
      <c r="I3677" t="inlineStr">
        <is>
          <t>entidad-dia</t>
        </is>
      </c>
    </row>
    <row r="3678">
      <c r="A3678" t="inlineStr">
        <is>
          <t>PRAGMA</t>
        </is>
      </c>
      <c r="B3678" t="inlineStr">
        <is>
          <t>M1</t>
        </is>
      </c>
      <c r="C3678" t="inlineStr">
        <is>
          <t>Pasto</t>
        </is>
      </c>
      <c r="D3678" t="inlineStr">
        <is>
          <t>6363</t>
        </is>
      </c>
      <c r="E3678" t="inlineStr">
        <is>
          <t>pagado</t>
        </is>
      </c>
      <c r="F3678" s="23" t="n">
        <v>46266</v>
      </c>
      <c r="G3678" s="24">
        <f>F3678-DATE(2026,8,31)</f>
        <v>1</v>
      </c>
      <c r="H3678" s="25" t="n">
        <v>200309928</v>
      </c>
      <c r="I3678" t="inlineStr">
        <is>
          <t>entidad-dia</t>
        </is>
      </c>
    </row>
    <row r="3679">
      <c r="A3679" t="inlineStr">
        <is>
          <t>PRAGMA</t>
        </is>
      </c>
      <c r="B3679" t="inlineStr">
        <is>
          <t>M1</t>
        </is>
      </c>
      <c r="C3679" t="inlineStr">
        <is>
          <t>Pasto</t>
        </is>
      </c>
      <c r="D3679" t="inlineStr">
        <is>
          <t>6363</t>
        </is>
      </c>
      <c r="E3679" t="inlineStr">
        <is>
          <t>pagado</t>
        </is>
      </c>
      <c r="F3679" s="23" t="n">
        <v>46267</v>
      </c>
      <c r="G3679" s="24">
        <f>F3679-DATE(2026,8,31)</f>
        <v>2</v>
      </c>
      <c r="H3679" s="25" t="n">
        <v>170313363</v>
      </c>
      <c r="I3679" t="inlineStr">
        <is>
          <t>entidad-dia</t>
        </is>
      </c>
    </row>
    <row r="3680">
      <c r="A3680" t="inlineStr">
        <is>
          <t>PRAGMA</t>
        </is>
      </c>
      <c r="B3680" t="inlineStr">
        <is>
          <t>M1</t>
        </is>
      </c>
      <c r="C3680" t="inlineStr">
        <is>
          <t>Pasto</t>
        </is>
      </c>
      <c r="D3680" t="inlineStr">
        <is>
          <t>6363</t>
        </is>
      </c>
      <c r="E3680" t="inlineStr">
        <is>
          <t>pagado</t>
        </is>
      </c>
      <c r="F3680" s="23" t="n">
        <v>46268</v>
      </c>
      <c r="G3680" s="24">
        <f>F3680-DATE(2026,8,31)</f>
        <v>3</v>
      </c>
      <c r="H3680" s="25" t="n">
        <v>164429062</v>
      </c>
      <c r="I3680" t="inlineStr">
        <is>
          <t>entidad-dia</t>
        </is>
      </c>
    </row>
    <row r="3681">
      <c r="A3681" t="inlineStr">
        <is>
          <t>PRAGMA</t>
        </is>
      </c>
      <c r="B3681" t="inlineStr">
        <is>
          <t>M1</t>
        </is>
      </c>
      <c r="C3681" t="inlineStr">
        <is>
          <t>Pasto</t>
        </is>
      </c>
      <c r="D3681" t="inlineStr">
        <is>
          <t>6363</t>
        </is>
      </c>
      <c r="E3681" t="inlineStr">
        <is>
          <t>pagado</t>
        </is>
      </c>
      <c r="F3681" s="23" t="n">
        <v>46269</v>
      </c>
      <c r="G3681" s="24">
        <f>F3681-DATE(2026,8,31)</f>
        <v>4</v>
      </c>
      <c r="H3681" s="25" t="n">
        <v>159584408</v>
      </c>
      <c r="I3681" t="inlineStr">
        <is>
          <t>entidad-dia</t>
        </is>
      </c>
    </row>
    <row r="3682">
      <c r="A3682" t="inlineStr">
        <is>
          <t>PRAGMA</t>
        </is>
      </c>
      <c r="B3682" t="inlineStr">
        <is>
          <t>M1</t>
        </is>
      </c>
      <c r="C3682" t="inlineStr">
        <is>
          <t>Pasto</t>
        </is>
      </c>
      <c r="D3682" t="inlineStr">
        <is>
          <t>6363</t>
        </is>
      </c>
      <c r="E3682" t="inlineStr">
        <is>
          <t>pagado</t>
        </is>
      </c>
      <c r="F3682" s="23" t="n">
        <v>46270</v>
      </c>
      <c r="G3682" s="24">
        <f>F3682-DATE(2026,8,31)</f>
        <v>5</v>
      </c>
      <c r="H3682" s="25" t="n">
        <v>134562813</v>
      </c>
      <c r="I3682" t="inlineStr">
        <is>
          <t>entidad-dia</t>
        </is>
      </c>
    </row>
    <row r="3683">
      <c r="A3683" t="inlineStr">
        <is>
          <t>PRAGMA</t>
        </is>
      </c>
      <c r="B3683" t="inlineStr">
        <is>
          <t>M1</t>
        </is>
      </c>
      <c r="C3683" t="inlineStr">
        <is>
          <t>Pasto</t>
        </is>
      </c>
      <c r="D3683" t="inlineStr">
        <is>
          <t>6363</t>
        </is>
      </c>
      <c r="E3683" t="inlineStr">
        <is>
          <t>pagado</t>
        </is>
      </c>
      <c r="F3683" s="23" t="n">
        <v>46271</v>
      </c>
      <c r="G3683" s="24">
        <f>F3683-DATE(2026,8,31)</f>
        <v>6</v>
      </c>
      <c r="H3683" s="25" t="n">
        <v>47196623</v>
      </c>
      <c r="I3683" t="inlineStr">
        <is>
          <t>entidad-dia</t>
        </is>
      </c>
    </row>
    <row r="3684">
      <c r="A3684" t="inlineStr">
        <is>
          <t>PRAGMA</t>
        </is>
      </c>
      <c r="B3684" t="inlineStr">
        <is>
          <t>M1</t>
        </is>
      </c>
      <c r="C3684" t="inlineStr">
        <is>
          <t>Pasto</t>
        </is>
      </c>
      <c r="D3684" t="inlineStr">
        <is>
          <t>6363</t>
        </is>
      </c>
      <c r="E3684" t="inlineStr">
        <is>
          <t>pagado</t>
        </is>
      </c>
      <c r="F3684" s="23" t="n">
        <v>46272</v>
      </c>
      <c r="G3684" s="24">
        <f>F3684-DATE(2026,8,31)</f>
        <v>7</v>
      </c>
      <c r="H3684" s="25" t="n">
        <v>144534073</v>
      </c>
      <c r="I3684" t="inlineStr">
        <is>
          <t>entidad-dia</t>
        </is>
      </c>
    </row>
    <row r="3685">
      <c r="A3685" t="inlineStr">
        <is>
          <t>PRAGMA</t>
        </is>
      </c>
      <c r="B3685" t="inlineStr">
        <is>
          <t>M1</t>
        </is>
      </c>
      <c r="C3685" t="inlineStr">
        <is>
          <t>Pasto</t>
        </is>
      </c>
      <c r="D3685" t="inlineStr">
        <is>
          <t>6363</t>
        </is>
      </c>
      <c r="E3685" t="inlineStr">
        <is>
          <t>pagado</t>
        </is>
      </c>
      <c r="F3685" s="23" t="n">
        <v>46273</v>
      </c>
      <c r="G3685" s="24">
        <f>F3685-DATE(2026,8,31)</f>
        <v>8</v>
      </c>
      <c r="H3685" s="25" t="n">
        <v>140159759</v>
      </c>
      <c r="I3685" t="inlineStr">
        <is>
          <t>entidad-dia</t>
        </is>
      </c>
    </row>
    <row r="3686">
      <c r="A3686" t="inlineStr">
        <is>
          <t>PRAGMA</t>
        </is>
      </c>
      <c r="B3686" t="inlineStr">
        <is>
          <t>M1</t>
        </is>
      </c>
      <c r="C3686" t="inlineStr">
        <is>
          <t>Pasto</t>
        </is>
      </c>
      <c r="D3686" t="inlineStr">
        <is>
          <t>6363</t>
        </is>
      </c>
      <c r="E3686" t="inlineStr">
        <is>
          <t>pagado</t>
        </is>
      </c>
      <c r="F3686" s="23" t="n">
        <v>46274</v>
      </c>
      <c r="G3686" s="24">
        <f>F3686-DATE(2026,8,31)</f>
        <v>9</v>
      </c>
      <c r="H3686" s="25" t="n">
        <v>135708763</v>
      </c>
      <c r="I3686" t="inlineStr">
        <is>
          <t>entidad-dia</t>
        </is>
      </c>
    </row>
    <row r="3687">
      <c r="A3687" t="inlineStr">
        <is>
          <t>PRAGMA</t>
        </is>
      </c>
      <c r="B3687" t="inlineStr">
        <is>
          <t>M1</t>
        </is>
      </c>
      <c r="C3687" t="inlineStr">
        <is>
          <t>Pasto</t>
        </is>
      </c>
      <c r="D3687" t="inlineStr">
        <is>
          <t>6363</t>
        </is>
      </c>
      <c r="E3687" t="inlineStr">
        <is>
          <t>pagado</t>
        </is>
      </c>
      <c r="F3687" s="23" t="n">
        <v>46275</v>
      </c>
      <c r="G3687" s="24">
        <f>F3687-DATE(2026,8,31)</f>
        <v>10</v>
      </c>
      <c r="H3687" s="25" t="n">
        <v>127303920</v>
      </c>
      <c r="I3687" t="inlineStr">
        <is>
          <t>entidad-dia</t>
        </is>
      </c>
    </row>
    <row r="3688">
      <c r="A3688" t="inlineStr">
        <is>
          <t>PRAGMA</t>
        </is>
      </c>
      <c r="B3688" t="inlineStr">
        <is>
          <t>M1</t>
        </is>
      </c>
      <c r="C3688" t="inlineStr">
        <is>
          <t>Pasto</t>
        </is>
      </c>
      <c r="D3688" t="inlineStr">
        <is>
          <t>6363</t>
        </is>
      </c>
      <c r="E3688" t="inlineStr">
        <is>
          <t>pagado</t>
        </is>
      </c>
      <c r="F3688" s="23" t="n">
        <v>46276</v>
      </c>
      <c r="G3688" s="24">
        <f>F3688-DATE(2026,8,31)</f>
        <v>11</v>
      </c>
      <c r="H3688" s="25" t="n">
        <v>122761957</v>
      </c>
      <c r="I3688" t="inlineStr">
        <is>
          <t>entidad-dia</t>
        </is>
      </c>
    </row>
    <row r="3689">
      <c r="A3689" t="inlineStr">
        <is>
          <t>PRAGMA</t>
        </is>
      </c>
      <c r="B3689" t="inlineStr">
        <is>
          <t>M1</t>
        </is>
      </c>
      <c r="C3689" t="inlineStr">
        <is>
          <t>Pasto</t>
        </is>
      </c>
      <c r="D3689" t="inlineStr">
        <is>
          <t>6363</t>
        </is>
      </c>
      <c r="E3689" t="inlineStr">
        <is>
          <t>pagado</t>
        </is>
      </c>
      <c r="F3689" s="23" t="n">
        <v>46277</v>
      </c>
      <c r="G3689" s="24">
        <f>F3689-DATE(2026,8,31)</f>
        <v>12</v>
      </c>
      <c r="H3689" s="25" t="n">
        <v>99008200</v>
      </c>
      <c r="I3689" t="inlineStr">
        <is>
          <t>entidad-dia</t>
        </is>
      </c>
    </row>
    <row r="3690">
      <c r="A3690" t="inlineStr">
        <is>
          <t>PRAGMA</t>
        </is>
      </c>
      <c r="B3690" t="inlineStr">
        <is>
          <t>M1</t>
        </is>
      </c>
      <c r="C3690" t="inlineStr">
        <is>
          <t>Pasto</t>
        </is>
      </c>
      <c r="D3690" t="inlineStr">
        <is>
          <t>6363</t>
        </is>
      </c>
      <c r="E3690" t="inlineStr">
        <is>
          <t>pagado</t>
        </is>
      </c>
      <c r="F3690" s="23" t="n">
        <v>46278</v>
      </c>
      <c r="G3690" s="24">
        <f>F3690-DATE(2026,8,31)</f>
        <v>13</v>
      </c>
      <c r="H3690" s="25" t="n">
        <v>40460749</v>
      </c>
      <c r="I3690" t="inlineStr">
        <is>
          <t>entidad-dia</t>
        </is>
      </c>
    </row>
    <row r="3691">
      <c r="A3691" t="inlineStr">
        <is>
          <t>PRAGMA</t>
        </is>
      </c>
      <c r="B3691" t="inlineStr">
        <is>
          <t>M1</t>
        </is>
      </c>
      <c r="C3691" t="inlineStr">
        <is>
          <t>Pasto</t>
        </is>
      </c>
      <c r="D3691" t="inlineStr">
        <is>
          <t>6363</t>
        </is>
      </c>
      <c r="E3691" t="inlineStr">
        <is>
          <t>pagado</t>
        </is>
      </c>
      <c r="F3691" s="23" t="n">
        <v>46279</v>
      </c>
      <c r="G3691" s="24">
        <f>F3691-DATE(2026,8,31)</f>
        <v>14</v>
      </c>
      <c r="H3691" s="25" t="n">
        <v>128879253</v>
      </c>
      <c r="I3691" t="inlineStr">
        <is>
          <t>entidad-dia</t>
        </is>
      </c>
    </row>
    <row r="3692">
      <c r="A3692" t="inlineStr">
        <is>
          <t>PRAGMA</t>
        </is>
      </c>
      <c r="B3692" t="inlineStr">
        <is>
          <t>M1</t>
        </is>
      </c>
      <c r="C3692" t="inlineStr">
        <is>
          <t>Pasto</t>
        </is>
      </c>
      <c r="D3692" t="inlineStr">
        <is>
          <t>6363</t>
        </is>
      </c>
      <c r="E3692" t="inlineStr">
        <is>
          <t>pagado</t>
        </is>
      </c>
      <c r="F3692" s="23" t="n">
        <v>46280</v>
      </c>
      <c r="G3692" s="24">
        <f>F3692-DATE(2026,8,31)</f>
        <v>15</v>
      </c>
      <c r="H3692" s="25" t="n">
        <v>142426091</v>
      </c>
      <c r="I3692" t="inlineStr">
        <is>
          <t>entidad-dia</t>
        </is>
      </c>
    </row>
    <row r="3693">
      <c r="A3693" t="inlineStr">
        <is>
          <t>PRAGMA</t>
        </is>
      </c>
      <c r="B3693" t="inlineStr">
        <is>
          <t>M1</t>
        </is>
      </c>
      <c r="C3693" t="inlineStr">
        <is>
          <t>Pasto</t>
        </is>
      </c>
      <c r="D3693" t="inlineStr">
        <is>
          <t>6364</t>
        </is>
      </c>
      <c r="E3693" t="inlineStr">
        <is>
          <t>pagado</t>
        </is>
      </c>
      <c r="F3693" s="23" t="n">
        <v>46266</v>
      </c>
      <c r="G3693" s="24">
        <f>F3693-DATE(2026,8,31)</f>
        <v>1</v>
      </c>
      <c r="H3693" s="25" t="n">
        <v>225327170</v>
      </c>
      <c r="I3693" t="inlineStr">
        <is>
          <t>entidad-dia</t>
        </is>
      </c>
    </row>
    <row r="3694">
      <c r="A3694" t="inlineStr">
        <is>
          <t>PRAGMA</t>
        </is>
      </c>
      <c r="B3694" t="inlineStr">
        <is>
          <t>M1</t>
        </is>
      </c>
      <c r="C3694" t="inlineStr">
        <is>
          <t>Pasto</t>
        </is>
      </c>
      <c r="D3694" t="inlineStr">
        <is>
          <t>6364</t>
        </is>
      </c>
      <c r="E3694" t="inlineStr">
        <is>
          <t>pagado</t>
        </is>
      </c>
      <c r="F3694" s="23" t="n">
        <v>46267</v>
      </c>
      <c r="G3694" s="24">
        <f>F3694-DATE(2026,8,31)</f>
        <v>2</v>
      </c>
      <c r="H3694" s="25" t="n">
        <v>184815155</v>
      </c>
      <c r="I3694" t="inlineStr">
        <is>
          <t>entidad-dia</t>
        </is>
      </c>
    </row>
    <row r="3695">
      <c r="A3695" t="inlineStr">
        <is>
          <t>PRAGMA</t>
        </is>
      </c>
      <c r="B3695" t="inlineStr">
        <is>
          <t>M1</t>
        </is>
      </c>
      <c r="C3695" t="inlineStr">
        <is>
          <t>Pasto</t>
        </is>
      </c>
      <c r="D3695" t="inlineStr">
        <is>
          <t>6364</t>
        </is>
      </c>
      <c r="E3695" t="inlineStr">
        <is>
          <t>pagado</t>
        </is>
      </c>
      <c r="F3695" s="23" t="n">
        <v>46268</v>
      </c>
      <c r="G3695" s="24">
        <f>F3695-DATE(2026,8,31)</f>
        <v>3</v>
      </c>
      <c r="H3695" s="25" t="n">
        <v>175392460</v>
      </c>
      <c r="I3695" t="inlineStr">
        <is>
          <t>entidad-dia</t>
        </is>
      </c>
    </row>
    <row r="3696">
      <c r="A3696" t="inlineStr">
        <is>
          <t>PRAGMA</t>
        </is>
      </c>
      <c r="B3696" t="inlineStr">
        <is>
          <t>M1</t>
        </is>
      </c>
      <c r="C3696" t="inlineStr">
        <is>
          <t>Pasto</t>
        </is>
      </c>
      <c r="D3696" t="inlineStr">
        <is>
          <t>6364</t>
        </is>
      </c>
      <c r="E3696" t="inlineStr">
        <is>
          <t>pagado</t>
        </is>
      </c>
      <c r="F3696" s="23" t="n">
        <v>46269</v>
      </c>
      <c r="G3696" s="24">
        <f>F3696-DATE(2026,8,31)</f>
        <v>4</v>
      </c>
      <c r="H3696" s="25" t="n">
        <v>180565567</v>
      </c>
      <c r="I3696" t="inlineStr">
        <is>
          <t>entidad-dia</t>
        </is>
      </c>
    </row>
    <row r="3697">
      <c r="A3697" t="inlineStr">
        <is>
          <t>PRAGMA</t>
        </is>
      </c>
      <c r="B3697" t="inlineStr">
        <is>
          <t>M1</t>
        </is>
      </c>
      <c r="C3697" t="inlineStr">
        <is>
          <t>Pasto</t>
        </is>
      </c>
      <c r="D3697" t="inlineStr">
        <is>
          <t>6364</t>
        </is>
      </c>
      <c r="E3697" t="inlineStr">
        <is>
          <t>pagado</t>
        </is>
      </c>
      <c r="F3697" s="23" t="n">
        <v>46270</v>
      </c>
      <c r="G3697" s="24">
        <f>F3697-DATE(2026,8,31)</f>
        <v>5</v>
      </c>
      <c r="H3697" s="25" t="n">
        <v>147377519</v>
      </c>
      <c r="I3697" t="inlineStr">
        <is>
          <t>entidad-dia</t>
        </is>
      </c>
    </row>
    <row r="3698">
      <c r="A3698" t="inlineStr">
        <is>
          <t>PRAGMA</t>
        </is>
      </c>
      <c r="B3698" t="inlineStr">
        <is>
          <t>M1</t>
        </is>
      </c>
      <c r="C3698" t="inlineStr">
        <is>
          <t>Pasto</t>
        </is>
      </c>
      <c r="D3698" t="inlineStr">
        <is>
          <t>6364</t>
        </is>
      </c>
      <c r="E3698" t="inlineStr">
        <is>
          <t>pagado</t>
        </is>
      </c>
      <c r="F3698" s="23" t="n">
        <v>46271</v>
      </c>
      <c r="G3698" s="24">
        <f>F3698-DATE(2026,8,31)</f>
        <v>6</v>
      </c>
      <c r="H3698" s="25" t="n">
        <v>61668784</v>
      </c>
      <c r="I3698" t="inlineStr">
        <is>
          <t>entidad-dia</t>
        </is>
      </c>
    </row>
    <row r="3699">
      <c r="A3699" t="inlineStr">
        <is>
          <t>PRAGMA</t>
        </is>
      </c>
      <c r="B3699" t="inlineStr">
        <is>
          <t>M1</t>
        </is>
      </c>
      <c r="C3699" t="inlineStr">
        <is>
          <t>Pasto</t>
        </is>
      </c>
      <c r="D3699" t="inlineStr">
        <is>
          <t>6364</t>
        </is>
      </c>
      <c r="E3699" t="inlineStr">
        <is>
          <t>pagado</t>
        </is>
      </c>
      <c r="F3699" s="23" t="n">
        <v>46272</v>
      </c>
      <c r="G3699" s="24">
        <f>F3699-DATE(2026,8,31)</f>
        <v>7</v>
      </c>
      <c r="H3699" s="25" t="n">
        <v>156639663</v>
      </c>
      <c r="I3699" t="inlineStr">
        <is>
          <t>entidad-dia</t>
        </is>
      </c>
    </row>
    <row r="3700">
      <c r="A3700" t="inlineStr">
        <is>
          <t>PRAGMA</t>
        </is>
      </c>
      <c r="B3700" t="inlineStr">
        <is>
          <t>M1</t>
        </is>
      </c>
      <c r="C3700" t="inlineStr">
        <is>
          <t>Pasto</t>
        </is>
      </c>
      <c r="D3700" t="inlineStr">
        <is>
          <t>6364</t>
        </is>
      </c>
      <c r="E3700" t="inlineStr">
        <is>
          <t>pagado</t>
        </is>
      </c>
      <c r="F3700" s="23" t="n">
        <v>46273</v>
      </c>
      <c r="G3700" s="24">
        <f>F3700-DATE(2026,8,31)</f>
        <v>8</v>
      </c>
      <c r="H3700" s="25" t="n">
        <v>139296751</v>
      </c>
      <c r="I3700" t="inlineStr">
        <is>
          <t>entidad-dia</t>
        </is>
      </c>
    </row>
    <row r="3701">
      <c r="A3701" t="inlineStr">
        <is>
          <t>PRAGMA</t>
        </is>
      </c>
      <c r="B3701" t="inlineStr">
        <is>
          <t>M1</t>
        </is>
      </c>
      <c r="C3701" t="inlineStr">
        <is>
          <t>Pasto</t>
        </is>
      </c>
      <c r="D3701" t="inlineStr">
        <is>
          <t>6364</t>
        </is>
      </c>
      <c r="E3701" t="inlineStr">
        <is>
          <t>pagado</t>
        </is>
      </c>
      <c r="F3701" s="23" t="n">
        <v>46274</v>
      </c>
      <c r="G3701" s="24">
        <f>F3701-DATE(2026,8,31)</f>
        <v>9</v>
      </c>
      <c r="H3701" s="25" t="n">
        <v>144323702</v>
      </c>
      <c r="I3701" t="inlineStr">
        <is>
          <t>entidad-dia</t>
        </is>
      </c>
    </row>
    <row r="3702">
      <c r="A3702" t="inlineStr">
        <is>
          <t>PRAGMA</t>
        </is>
      </c>
      <c r="B3702" t="inlineStr">
        <is>
          <t>M1</t>
        </is>
      </c>
      <c r="C3702" t="inlineStr">
        <is>
          <t>Pasto</t>
        </is>
      </c>
      <c r="D3702" t="inlineStr">
        <is>
          <t>6364</t>
        </is>
      </c>
      <c r="E3702" t="inlineStr">
        <is>
          <t>pagado</t>
        </is>
      </c>
      <c r="F3702" s="23" t="n">
        <v>46275</v>
      </c>
      <c r="G3702" s="24">
        <f>F3702-DATE(2026,8,31)</f>
        <v>10</v>
      </c>
      <c r="H3702" s="25" t="n">
        <v>133522977</v>
      </c>
      <c r="I3702" t="inlineStr">
        <is>
          <t>entidad-dia</t>
        </is>
      </c>
    </row>
    <row r="3703">
      <c r="A3703" t="inlineStr">
        <is>
          <t>PRAGMA</t>
        </is>
      </c>
      <c r="B3703" t="inlineStr">
        <is>
          <t>M1</t>
        </is>
      </c>
      <c r="C3703" t="inlineStr">
        <is>
          <t>Pasto</t>
        </is>
      </c>
      <c r="D3703" t="inlineStr">
        <is>
          <t>6364</t>
        </is>
      </c>
      <c r="E3703" t="inlineStr">
        <is>
          <t>pagado</t>
        </is>
      </c>
      <c r="F3703" s="23" t="n">
        <v>46276</v>
      </c>
      <c r="G3703" s="24">
        <f>F3703-DATE(2026,8,31)</f>
        <v>11</v>
      </c>
      <c r="H3703" s="25" t="n">
        <v>148626622</v>
      </c>
      <c r="I3703" t="inlineStr">
        <is>
          <t>entidad-dia</t>
        </is>
      </c>
    </row>
    <row r="3704">
      <c r="A3704" t="inlineStr">
        <is>
          <t>PRAGMA</t>
        </is>
      </c>
      <c r="B3704" t="inlineStr">
        <is>
          <t>M1</t>
        </is>
      </c>
      <c r="C3704" t="inlineStr">
        <is>
          <t>Pasto</t>
        </is>
      </c>
      <c r="D3704" t="inlineStr">
        <is>
          <t>6364</t>
        </is>
      </c>
      <c r="E3704" t="inlineStr">
        <is>
          <t>pagado</t>
        </is>
      </c>
      <c r="F3704" s="23" t="n">
        <v>46277</v>
      </c>
      <c r="G3704" s="24">
        <f>F3704-DATE(2026,8,31)</f>
        <v>12</v>
      </c>
      <c r="H3704" s="25" t="n">
        <v>113984639</v>
      </c>
      <c r="I3704" t="inlineStr">
        <is>
          <t>entidad-dia</t>
        </is>
      </c>
    </row>
    <row r="3705">
      <c r="A3705" t="inlineStr">
        <is>
          <t>PRAGMA</t>
        </is>
      </c>
      <c r="B3705" t="inlineStr">
        <is>
          <t>M1</t>
        </is>
      </c>
      <c r="C3705" t="inlineStr">
        <is>
          <t>Pasto</t>
        </is>
      </c>
      <c r="D3705" t="inlineStr">
        <is>
          <t>6364</t>
        </is>
      </c>
      <c r="E3705" t="inlineStr">
        <is>
          <t>pagado</t>
        </is>
      </c>
      <c r="F3705" s="23" t="n">
        <v>46278</v>
      </c>
      <c r="G3705" s="24">
        <f>F3705-DATE(2026,8,31)</f>
        <v>13</v>
      </c>
      <c r="H3705" s="25" t="n">
        <v>49633919</v>
      </c>
      <c r="I3705" t="inlineStr">
        <is>
          <t>entidad-dia</t>
        </is>
      </c>
    </row>
    <row r="3706">
      <c r="A3706" t="inlineStr">
        <is>
          <t>PRAGMA</t>
        </is>
      </c>
      <c r="B3706" t="inlineStr">
        <is>
          <t>M1</t>
        </is>
      </c>
      <c r="C3706" t="inlineStr">
        <is>
          <t>Pasto</t>
        </is>
      </c>
      <c r="D3706" t="inlineStr">
        <is>
          <t>6364</t>
        </is>
      </c>
      <c r="E3706" t="inlineStr">
        <is>
          <t>pagado</t>
        </is>
      </c>
      <c r="F3706" s="23" t="n">
        <v>46279</v>
      </c>
      <c r="G3706" s="24">
        <f>F3706-DATE(2026,8,31)</f>
        <v>14</v>
      </c>
      <c r="H3706" s="25" t="n">
        <v>136772572</v>
      </c>
      <c r="I3706" t="inlineStr">
        <is>
          <t>entidad-dia</t>
        </is>
      </c>
    </row>
    <row r="3707">
      <c r="A3707" t="inlineStr">
        <is>
          <t>PRAGMA</t>
        </is>
      </c>
      <c r="B3707" t="inlineStr">
        <is>
          <t>M1</t>
        </is>
      </c>
      <c r="C3707" t="inlineStr">
        <is>
          <t>Pasto</t>
        </is>
      </c>
      <c r="D3707" t="inlineStr">
        <is>
          <t>6364</t>
        </is>
      </c>
      <c r="E3707" t="inlineStr">
        <is>
          <t>pagado</t>
        </is>
      </c>
      <c r="F3707" s="23" t="n">
        <v>46280</v>
      </c>
      <c r="G3707" s="24">
        <f>F3707-DATE(2026,8,31)</f>
        <v>15</v>
      </c>
      <c r="H3707" s="25" t="n">
        <v>149454125</v>
      </c>
      <c r="I3707" t="inlineStr">
        <is>
          <t>entidad-dia</t>
        </is>
      </c>
    </row>
    <row r="3708">
      <c r="A3708" t="inlineStr">
        <is>
          <t>PRAGMA</t>
        </is>
      </c>
      <c r="B3708" t="inlineStr">
        <is>
          <t>M1</t>
        </is>
      </c>
      <c r="C3708" t="inlineStr">
        <is>
          <t>Pasto</t>
        </is>
      </c>
      <c r="D3708" t="inlineStr">
        <is>
          <t>6365</t>
        </is>
      </c>
      <c r="E3708" t="inlineStr">
        <is>
          <t>pagado</t>
        </is>
      </c>
      <c r="F3708" s="23" t="n">
        <v>46266</v>
      </c>
      <c r="G3708" s="24">
        <f>F3708-DATE(2026,8,31)</f>
        <v>1</v>
      </c>
      <c r="H3708" s="25" t="n">
        <v>176501653</v>
      </c>
      <c r="I3708" t="inlineStr">
        <is>
          <t>entidad-dia</t>
        </is>
      </c>
    </row>
    <row r="3709">
      <c r="A3709" t="inlineStr">
        <is>
          <t>PRAGMA</t>
        </is>
      </c>
      <c r="B3709" t="inlineStr">
        <is>
          <t>M1</t>
        </is>
      </c>
      <c r="C3709" t="inlineStr">
        <is>
          <t>Pasto</t>
        </is>
      </c>
      <c r="D3709" t="inlineStr">
        <is>
          <t>6365</t>
        </is>
      </c>
      <c r="E3709" t="inlineStr">
        <is>
          <t>pagado</t>
        </is>
      </c>
      <c r="F3709" s="23" t="n">
        <v>46267</v>
      </c>
      <c r="G3709" s="24">
        <f>F3709-DATE(2026,8,31)</f>
        <v>2</v>
      </c>
      <c r="H3709" s="25" t="n">
        <v>154543887</v>
      </c>
      <c r="I3709" t="inlineStr">
        <is>
          <t>entidad-dia</t>
        </is>
      </c>
    </row>
    <row r="3710">
      <c r="A3710" t="inlineStr">
        <is>
          <t>PRAGMA</t>
        </is>
      </c>
      <c r="B3710" t="inlineStr">
        <is>
          <t>M1</t>
        </is>
      </c>
      <c r="C3710" t="inlineStr">
        <is>
          <t>Pasto</t>
        </is>
      </c>
      <c r="D3710" t="inlineStr">
        <is>
          <t>6365</t>
        </is>
      </c>
      <c r="E3710" t="inlineStr">
        <is>
          <t>pagado</t>
        </is>
      </c>
      <c r="F3710" s="23" t="n">
        <v>46268</v>
      </c>
      <c r="G3710" s="24">
        <f>F3710-DATE(2026,8,31)</f>
        <v>3</v>
      </c>
      <c r="H3710" s="25" t="n">
        <v>146672953</v>
      </c>
      <c r="I3710" t="inlineStr">
        <is>
          <t>entidad-dia</t>
        </is>
      </c>
    </row>
    <row r="3711">
      <c r="A3711" t="inlineStr">
        <is>
          <t>PRAGMA</t>
        </is>
      </c>
      <c r="B3711" t="inlineStr">
        <is>
          <t>M1</t>
        </is>
      </c>
      <c r="C3711" t="inlineStr">
        <is>
          <t>Pasto</t>
        </is>
      </c>
      <c r="D3711" t="inlineStr">
        <is>
          <t>6365</t>
        </is>
      </c>
      <c r="E3711" t="inlineStr">
        <is>
          <t>pagado</t>
        </is>
      </c>
      <c r="F3711" s="23" t="n">
        <v>46269</v>
      </c>
      <c r="G3711" s="24">
        <f>F3711-DATE(2026,8,31)</f>
        <v>4</v>
      </c>
      <c r="H3711" s="25" t="n">
        <v>152450164</v>
      </c>
      <c r="I3711" t="inlineStr">
        <is>
          <t>entidad-dia</t>
        </is>
      </c>
    </row>
    <row r="3712">
      <c r="A3712" t="inlineStr">
        <is>
          <t>PRAGMA</t>
        </is>
      </c>
      <c r="B3712" t="inlineStr">
        <is>
          <t>M1</t>
        </is>
      </c>
      <c r="C3712" t="inlineStr">
        <is>
          <t>Pasto</t>
        </is>
      </c>
      <c r="D3712" t="inlineStr">
        <is>
          <t>6365</t>
        </is>
      </c>
      <c r="E3712" t="inlineStr">
        <is>
          <t>pagado</t>
        </is>
      </c>
      <c r="F3712" s="23" t="n">
        <v>46270</v>
      </c>
      <c r="G3712" s="24">
        <f>F3712-DATE(2026,8,31)</f>
        <v>5</v>
      </c>
      <c r="H3712" s="25" t="n">
        <v>135396973</v>
      </c>
      <c r="I3712" t="inlineStr">
        <is>
          <t>entidad-dia</t>
        </is>
      </c>
    </row>
    <row r="3713">
      <c r="A3713" t="inlineStr">
        <is>
          <t>PRAGMA</t>
        </is>
      </c>
      <c r="B3713" t="inlineStr">
        <is>
          <t>M1</t>
        </is>
      </c>
      <c r="C3713" t="inlineStr">
        <is>
          <t>Pasto</t>
        </is>
      </c>
      <c r="D3713" t="inlineStr">
        <is>
          <t>6365</t>
        </is>
      </c>
      <c r="E3713" t="inlineStr">
        <is>
          <t>pagado</t>
        </is>
      </c>
      <c r="F3713" s="23" t="n">
        <v>46271</v>
      </c>
      <c r="G3713" s="24">
        <f>F3713-DATE(2026,8,31)</f>
        <v>6</v>
      </c>
      <c r="H3713" s="25" t="n">
        <v>54051597</v>
      </c>
      <c r="I3713" t="inlineStr">
        <is>
          <t>entidad-dia</t>
        </is>
      </c>
    </row>
    <row r="3714">
      <c r="A3714" t="inlineStr">
        <is>
          <t>PRAGMA</t>
        </is>
      </c>
      <c r="B3714" t="inlineStr">
        <is>
          <t>M1</t>
        </is>
      </c>
      <c r="C3714" t="inlineStr">
        <is>
          <t>Pasto</t>
        </is>
      </c>
      <c r="D3714" t="inlineStr">
        <is>
          <t>6365</t>
        </is>
      </c>
      <c r="E3714" t="inlineStr">
        <is>
          <t>pagado</t>
        </is>
      </c>
      <c r="F3714" s="23" t="n">
        <v>46272</v>
      </c>
      <c r="G3714" s="24">
        <f>F3714-DATE(2026,8,31)</f>
        <v>7</v>
      </c>
      <c r="H3714" s="25" t="n">
        <v>127511504</v>
      </c>
      <c r="I3714" t="inlineStr">
        <is>
          <t>entidad-dia</t>
        </is>
      </c>
    </row>
    <row r="3715">
      <c r="A3715" t="inlineStr">
        <is>
          <t>PRAGMA</t>
        </is>
      </c>
      <c r="B3715" t="inlineStr">
        <is>
          <t>M1</t>
        </is>
      </c>
      <c r="C3715" t="inlineStr">
        <is>
          <t>Pasto</t>
        </is>
      </c>
      <c r="D3715" t="inlineStr">
        <is>
          <t>6365</t>
        </is>
      </c>
      <c r="E3715" t="inlineStr">
        <is>
          <t>pagado</t>
        </is>
      </c>
      <c r="F3715" s="23" t="n">
        <v>46273</v>
      </c>
      <c r="G3715" s="24">
        <f>F3715-DATE(2026,8,31)</f>
        <v>8</v>
      </c>
      <c r="H3715" s="25" t="n">
        <v>126542013</v>
      </c>
      <c r="I3715" t="inlineStr">
        <is>
          <t>entidad-dia</t>
        </is>
      </c>
    </row>
    <row r="3716">
      <c r="A3716" t="inlineStr">
        <is>
          <t>PRAGMA</t>
        </is>
      </c>
      <c r="B3716" t="inlineStr">
        <is>
          <t>M1</t>
        </is>
      </c>
      <c r="C3716" t="inlineStr">
        <is>
          <t>Pasto</t>
        </is>
      </c>
      <c r="D3716" t="inlineStr">
        <is>
          <t>6365</t>
        </is>
      </c>
      <c r="E3716" t="inlineStr">
        <is>
          <t>pagado</t>
        </is>
      </c>
      <c r="F3716" s="23" t="n">
        <v>46274</v>
      </c>
      <c r="G3716" s="24">
        <f>F3716-DATE(2026,8,31)</f>
        <v>9</v>
      </c>
      <c r="H3716" s="25" t="n">
        <v>118738739</v>
      </c>
      <c r="I3716" t="inlineStr">
        <is>
          <t>entidad-dia</t>
        </is>
      </c>
    </row>
    <row r="3717">
      <c r="A3717" t="inlineStr">
        <is>
          <t>PRAGMA</t>
        </is>
      </c>
      <c r="B3717" t="inlineStr">
        <is>
          <t>M1</t>
        </is>
      </c>
      <c r="C3717" t="inlineStr">
        <is>
          <t>Pasto</t>
        </is>
      </c>
      <c r="D3717" t="inlineStr">
        <is>
          <t>6365</t>
        </is>
      </c>
      <c r="E3717" t="inlineStr">
        <is>
          <t>pagado</t>
        </is>
      </c>
      <c r="F3717" s="23" t="n">
        <v>46275</v>
      </c>
      <c r="G3717" s="24">
        <f>F3717-DATE(2026,8,31)</f>
        <v>10</v>
      </c>
      <c r="H3717" s="25" t="n">
        <v>112445898</v>
      </c>
      <c r="I3717" t="inlineStr">
        <is>
          <t>entidad-dia</t>
        </is>
      </c>
    </row>
    <row r="3718">
      <c r="A3718" t="inlineStr">
        <is>
          <t>PRAGMA</t>
        </is>
      </c>
      <c r="B3718" t="inlineStr">
        <is>
          <t>M1</t>
        </is>
      </c>
      <c r="C3718" t="inlineStr">
        <is>
          <t>Pasto</t>
        </is>
      </c>
      <c r="D3718" t="inlineStr">
        <is>
          <t>6365</t>
        </is>
      </c>
      <c r="E3718" t="inlineStr">
        <is>
          <t>pagado</t>
        </is>
      </c>
      <c r="F3718" s="23" t="n">
        <v>46276</v>
      </c>
      <c r="G3718" s="24">
        <f>F3718-DATE(2026,8,31)</f>
        <v>11</v>
      </c>
      <c r="H3718" s="25" t="n">
        <v>125358432</v>
      </c>
      <c r="I3718" t="inlineStr">
        <is>
          <t>entidad-dia</t>
        </is>
      </c>
    </row>
    <row r="3719">
      <c r="A3719" t="inlineStr">
        <is>
          <t>PRAGMA</t>
        </is>
      </c>
      <c r="B3719" t="inlineStr">
        <is>
          <t>M1</t>
        </is>
      </c>
      <c r="C3719" t="inlineStr">
        <is>
          <t>Pasto</t>
        </is>
      </c>
      <c r="D3719" t="inlineStr">
        <is>
          <t>6365</t>
        </is>
      </c>
      <c r="E3719" t="inlineStr">
        <is>
          <t>pagado</t>
        </is>
      </c>
      <c r="F3719" s="23" t="n">
        <v>46277</v>
      </c>
      <c r="G3719" s="24">
        <f>F3719-DATE(2026,8,31)</f>
        <v>12</v>
      </c>
      <c r="H3719" s="25" t="n">
        <v>108798695</v>
      </c>
      <c r="I3719" t="inlineStr">
        <is>
          <t>entidad-dia</t>
        </is>
      </c>
    </row>
    <row r="3720">
      <c r="A3720" t="inlineStr">
        <is>
          <t>PRAGMA</t>
        </is>
      </c>
      <c r="B3720" t="inlineStr">
        <is>
          <t>M1</t>
        </is>
      </c>
      <c r="C3720" t="inlineStr">
        <is>
          <t>Pasto</t>
        </is>
      </c>
      <c r="D3720" t="inlineStr">
        <is>
          <t>6365</t>
        </is>
      </c>
      <c r="E3720" t="inlineStr">
        <is>
          <t>pagado</t>
        </is>
      </c>
      <c r="F3720" s="23" t="n">
        <v>46278</v>
      </c>
      <c r="G3720" s="24">
        <f>F3720-DATE(2026,8,31)</f>
        <v>13</v>
      </c>
      <c r="H3720" s="25" t="n">
        <v>43297436</v>
      </c>
      <c r="I3720" t="inlineStr">
        <is>
          <t>entidad-dia</t>
        </is>
      </c>
    </row>
    <row r="3721">
      <c r="A3721" t="inlineStr">
        <is>
          <t>PRAGMA</t>
        </is>
      </c>
      <c r="B3721" t="inlineStr">
        <is>
          <t>M1</t>
        </is>
      </c>
      <c r="C3721" t="inlineStr">
        <is>
          <t>Pasto</t>
        </is>
      </c>
      <c r="D3721" t="inlineStr">
        <is>
          <t>6365</t>
        </is>
      </c>
      <c r="E3721" t="inlineStr">
        <is>
          <t>pagado</t>
        </is>
      </c>
      <c r="F3721" s="23" t="n">
        <v>46279</v>
      </c>
      <c r="G3721" s="24">
        <f>F3721-DATE(2026,8,31)</f>
        <v>14</v>
      </c>
      <c r="H3721" s="25" t="n">
        <v>103637327</v>
      </c>
      <c r="I3721" t="inlineStr">
        <is>
          <t>entidad-dia</t>
        </is>
      </c>
    </row>
    <row r="3722">
      <c r="A3722" t="inlineStr">
        <is>
          <t>PRAGMA</t>
        </is>
      </c>
      <c r="B3722" t="inlineStr">
        <is>
          <t>M1</t>
        </is>
      </c>
      <c r="C3722" t="inlineStr">
        <is>
          <t>Pasto</t>
        </is>
      </c>
      <c r="D3722" t="inlineStr">
        <is>
          <t>6365</t>
        </is>
      </c>
      <c r="E3722" t="inlineStr">
        <is>
          <t>pagado</t>
        </is>
      </c>
      <c r="F3722" s="23" t="n">
        <v>46280</v>
      </c>
      <c r="G3722" s="24">
        <f>F3722-DATE(2026,8,31)</f>
        <v>15</v>
      </c>
      <c r="H3722" s="25" t="n">
        <v>133712042</v>
      </c>
      <c r="I3722" t="inlineStr">
        <is>
          <t>entidad-dia</t>
        </is>
      </c>
    </row>
    <row r="3723">
      <c r="A3723" t="inlineStr">
        <is>
          <t>PRAGMA</t>
        </is>
      </c>
      <c r="B3723" t="inlineStr">
        <is>
          <t>M1</t>
        </is>
      </c>
      <c r="C3723" t="inlineStr">
        <is>
          <t>Cali</t>
        </is>
      </c>
      <c r="D3723" t="inlineStr">
        <is>
          <t>6387</t>
        </is>
      </c>
      <c r="E3723" t="inlineStr">
        <is>
          <t>pagado</t>
        </is>
      </c>
      <c r="F3723" s="23" t="n">
        <v>46266</v>
      </c>
      <c r="G3723" s="24">
        <f>F3723-DATE(2026,8,31)</f>
        <v>1</v>
      </c>
      <c r="H3723" s="25" t="n">
        <v>112871342</v>
      </c>
      <c r="I3723" t="inlineStr">
        <is>
          <t>entidad-dia</t>
        </is>
      </c>
    </row>
    <row r="3724">
      <c r="A3724" t="inlineStr">
        <is>
          <t>PRAGMA</t>
        </is>
      </c>
      <c r="B3724" t="inlineStr">
        <is>
          <t>M1</t>
        </is>
      </c>
      <c r="C3724" t="inlineStr">
        <is>
          <t>Cali</t>
        </is>
      </c>
      <c r="D3724" t="inlineStr">
        <is>
          <t>6387</t>
        </is>
      </c>
      <c r="E3724" t="inlineStr">
        <is>
          <t>pagado</t>
        </is>
      </c>
      <c r="F3724" s="23" t="n">
        <v>46267</v>
      </c>
      <c r="G3724" s="24">
        <f>F3724-DATE(2026,8,31)</f>
        <v>2</v>
      </c>
      <c r="H3724" s="25" t="n">
        <v>88782476</v>
      </c>
      <c r="I3724" t="inlineStr">
        <is>
          <t>entidad-dia</t>
        </is>
      </c>
    </row>
    <row r="3725">
      <c r="A3725" t="inlineStr">
        <is>
          <t>PRAGMA</t>
        </is>
      </c>
      <c r="B3725" t="inlineStr">
        <is>
          <t>M1</t>
        </is>
      </c>
      <c r="C3725" t="inlineStr">
        <is>
          <t>Cali</t>
        </is>
      </c>
      <c r="D3725" t="inlineStr">
        <is>
          <t>6387</t>
        </is>
      </c>
      <c r="E3725" t="inlineStr">
        <is>
          <t>pagado</t>
        </is>
      </c>
      <c r="F3725" s="23" t="n">
        <v>46268</v>
      </c>
      <c r="G3725" s="24">
        <f>F3725-DATE(2026,8,31)</f>
        <v>3</v>
      </c>
      <c r="H3725" s="25" t="n">
        <v>82520268</v>
      </c>
      <c r="I3725" t="inlineStr">
        <is>
          <t>entidad-dia</t>
        </is>
      </c>
    </row>
    <row r="3726">
      <c r="A3726" t="inlineStr">
        <is>
          <t>PRAGMA</t>
        </is>
      </c>
      <c r="B3726" t="inlineStr">
        <is>
          <t>M1</t>
        </is>
      </c>
      <c r="C3726" t="inlineStr">
        <is>
          <t>Cali</t>
        </is>
      </c>
      <c r="D3726" t="inlineStr">
        <is>
          <t>6387</t>
        </is>
      </c>
      <c r="E3726" t="inlineStr">
        <is>
          <t>pagado</t>
        </is>
      </c>
      <c r="F3726" s="23" t="n">
        <v>46269</v>
      </c>
      <c r="G3726" s="24">
        <f>F3726-DATE(2026,8,31)</f>
        <v>4</v>
      </c>
      <c r="H3726" s="25" t="n">
        <v>78631186</v>
      </c>
      <c r="I3726" t="inlineStr">
        <is>
          <t>entidad-dia</t>
        </is>
      </c>
    </row>
    <row r="3727">
      <c r="A3727" t="inlineStr">
        <is>
          <t>PRAGMA</t>
        </is>
      </c>
      <c r="B3727" t="inlineStr">
        <is>
          <t>M1</t>
        </is>
      </c>
      <c r="C3727" t="inlineStr">
        <is>
          <t>Cali</t>
        </is>
      </c>
      <c r="D3727" t="inlineStr">
        <is>
          <t>6387</t>
        </is>
      </c>
      <c r="E3727" t="inlineStr">
        <is>
          <t>pagado</t>
        </is>
      </c>
      <c r="F3727" s="23" t="n">
        <v>46270</v>
      </c>
      <c r="G3727" s="24">
        <f>F3727-DATE(2026,8,31)</f>
        <v>5</v>
      </c>
      <c r="H3727" s="25" t="n">
        <v>79656777</v>
      </c>
      <c r="I3727" t="inlineStr">
        <is>
          <t>entidad-dia</t>
        </is>
      </c>
    </row>
    <row r="3728">
      <c r="A3728" t="inlineStr">
        <is>
          <t>PRAGMA</t>
        </is>
      </c>
      <c r="B3728" t="inlineStr">
        <is>
          <t>M1</t>
        </is>
      </c>
      <c r="C3728" t="inlineStr">
        <is>
          <t>Cali</t>
        </is>
      </c>
      <c r="D3728" t="inlineStr">
        <is>
          <t>6387</t>
        </is>
      </c>
      <c r="E3728" t="inlineStr">
        <is>
          <t>pagado</t>
        </is>
      </c>
      <c r="F3728" s="23" t="n">
        <v>46271</v>
      </c>
      <c r="G3728" s="24">
        <f>F3728-DATE(2026,8,31)</f>
        <v>6</v>
      </c>
      <c r="H3728" s="25" t="n">
        <v>65617997</v>
      </c>
      <c r="I3728" t="inlineStr">
        <is>
          <t>entidad-dia</t>
        </is>
      </c>
    </row>
    <row r="3729">
      <c r="A3729" t="inlineStr">
        <is>
          <t>PRAGMA</t>
        </is>
      </c>
      <c r="B3729" t="inlineStr">
        <is>
          <t>M1</t>
        </is>
      </c>
      <c r="C3729" t="inlineStr">
        <is>
          <t>Cali</t>
        </is>
      </c>
      <c r="D3729" t="inlineStr">
        <is>
          <t>6387</t>
        </is>
      </c>
      <c r="E3729" t="inlineStr">
        <is>
          <t>pagado</t>
        </is>
      </c>
      <c r="F3729" s="23" t="n">
        <v>46272</v>
      </c>
      <c r="G3729" s="24">
        <f>F3729-DATE(2026,8,31)</f>
        <v>7</v>
      </c>
      <c r="H3729" s="25" t="n">
        <v>58321866</v>
      </c>
      <c r="I3729" t="inlineStr">
        <is>
          <t>entidad-dia</t>
        </is>
      </c>
    </row>
    <row r="3730">
      <c r="A3730" t="inlineStr">
        <is>
          <t>PRAGMA</t>
        </is>
      </c>
      <c r="B3730" t="inlineStr">
        <is>
          <t>M1</t>
        </is>
      </c>
      <c r="C3730" t="inlineStr">
        <is>
          <t>Cali</t>
        </is>
      </c>
      <c r="D3730" t="inlineStr">
        <is>
          <t>6387</t>
        </is>
      </c>
      <c r="E3730" t="inlineStr">
        <is>
          <t>pagado</t>
        </is>
      </c>
      <c r="F3730" s="23" t="n">
        <v>46273</v>
      </c>
      <c r="G3730" s="24">
        <f>F3730-DATE(2026,8,31)</f>
        <v>8</v>
      </c>
      <c r="H3730" s="25" t="n">
        <v>59944572</v>
      </c>
      <c r="I3730" t="inlineStr">
        <is>
          <t>entidad-dia</t>
        </is>
      </c>
    </row>
    <row r="3731">
      <c r="A3731" t="inlineStr">
        <is>
          <t>PRAGMA</t>
        </is>
      </c>
      <c r="B3731" t="inlineStr">
        <is>
          <t>M1</t>
        </is>
      </c>
      <c r="C3731" t="inlineStr">
        <is>
          <t>Cali</t>
        </is>
      </c>
      <c r="D3731" t="inlineStr">
        <is>
          <t>6387</t>
        </is>
      </c>
      <c r="E3731" t="inlineStr">
        <is>
          <t>pagado</t>
        </is>
      </c>
      <c r="F3731" s="23" t="n">
        <v>46274</v>
      </c>
      <c r="G3731" s="24">
        <f>F3731-DATE(2026,8,31)</f>
        <v>9</v>
      </c>
      <c r="H3731" s="25" t="n">
        <v>63480040</v>
      </c>
      <c r="I3731" t="inlineStr">
        <is>
          <t>entidad-dia</t>
        </is>
      </c>
    </row>
    <row r="3732">
      <c r="A3732" t="inlineStr">
        <is>
          <t>PRAGMA</t>
        </is>
      </c>
      <c r="B3732" t="inlineStr">
        <is>
          <t>M1</t>
        </is>
      </c>
      <c r="C3732" t="inlineStr">
        <is>
          <t>Cali</t>
        </is>
      </c>
      <c r="D3732" t="inlineStr">
        <is>
          <t>6387</t>
        </is>
      </c>
      <c r="E3732" t="inlineStr">
        <is>
          <t>pagado</t>
        </is>
      </c>
      <c r="F3732" s="23" t="n">
        <v>46275</v>
      </c>
      <c r="G3732" s="24">
        <f>F3732-DATE(2026,8,31)</f>
        <v>10</v>
      </c>
      <c r="H3732" s="25" t="n">
        <v>52280194</v>
      </c>
      <c r="I3732" t="inlineStr">
        <is>
          <t>entidad-dia</t>
        </is>
      </c>
    </row>
    <row r="3733">
      <c r="A3733" t="inlineStr">
        <is>
          <t>PRAGMA</t>
        </is>
      </c>
      <c r="B3733" t="inlineStr">
        <is>
          <t>M1</t>
        </is>
      </c>
      <c r="C3733" t="inlineStr">
        <is>
          <t>Cali</t>
        </is>
      </c>
      <c r="D3733" t="inlineStr">
        <is>
          <t>6387</t>
        </is>
      </c>
      <c r="E3733" t="inlineStr">
        <is>
          <t>pagado</t>
        </is>
      </c>
      <c r="F3733" s="23" t="n">
        <v>46276</v>
      </c>
      <c r="G3733" s="24">
        <f>F3733-DATE(2026,8,31)</f>
        <v>11</v>
      </c>
      <c r="H3733" s="25" t="n">
        <v>62313298</v>
      </c>
      <c r="I3733" t="inlineStr">
        <is>
          <t>entidad-dia</t>
        </is>
      </c>
    </row>
    <row r="3734">
      <c r="A3734" t="inlineStr">
        <is>
          <t>PRAGMA</t>
        </is>
      </c>
      <c r="B3734" t="inlineStr">
        <is>
          <t>M1</t>
        </is>
      </c>
      <c r="C3734" t="inlineStr">
        <is>
          <t>Cali</t>
        </is>
      </c>
      <c r="D3734" t="inlineStr">
        <is>
          <t>6387</t>
        </is>
      </c>
      <c r="E3734" t="inlineStr">
        <is>
          <t>pagado</t>
        </is>
      </c>
      <c r="F3734" s="23" t="n">
        <v>46277</v>
      </c>
      <c r="G3734" s="24">
        <f>F3734-DATE(2026,8,31)</f>
        <v>12</v>
      </c>
      <c r="H3734" s="25" t="n">
        <v>66322176</v>
      </c>
      <c r="I3734" t="inlineStr">
        <is>
          <t>entidad-dia</t>
        </is>
      </c>
    </row>
    <row r="3735">
      <c r="A3735" t="inlineStr">
        <is>
          <t>PRAGMA</t>
        </is>
      </c>
      <c r="B3735" t="inlineStr">
        <is>
          <t>M1</t>
        </is>
      </c>
      <c r="C3735" t="inlineStr">
        <is>
          <t>Cali</t>
        </is>
      </c>
      <c r="D3735" t="inlineStr">
        <is>
          <t>6387</t>
        </is>
      </c>
      <c r="E3735" t="inlineStr">
        <is>
          <t>pagado</t>
        </is>
      </c>
      <c r="F3735" s="23" t="n">
        <v>46278</v>
      </c>
      <c r="G3735" s="24">
        <f>F3735-DATE(2026,8,31)</f>
        <v>13</v>
      </c>
      <c r="H3735" s="25" t="n">
        <v>46634380</v>
      </c>
      <c r="I3735" t="inlineStr">
        <is>
          <t>entidad-dia</t>
        </is>
      </c>
    </row>
    <row r="3736">
      <c r="A3736" t="inlineStr">
        <is>
          <t>PRAGMA</t>
        </is>
      </c>
      <c r="B3736" t="inlineStr">
        <is>
          <t>M1</t>
        </is>
      </c>
      <c r="C3736" t="inlineStr">
        <is>
          <t>Cali</t>
        </is>
      </c>
      <c r="D3736" t="inlineStr">
        <is>
          <t>6387</t>
        </is>
      </c>
      <c r="E3736" t="inlineStr">
        <is>
          <t>pagado</t>
        </is>
      </c>
      <c r="F3736" s="23" t="n">
        <v>46279</v>
      </c>
      <c r="G3736" s="24">
        <f>F3736-DATE(2026,8,31)</f>
        <v>14</v>
      </c>
      <c r="H3736" s="25" t="n">
        <v>58804331</v>
      </c>
      <c r="I3736" t="inlineStr">
        <is>
          <t>entidad-dia</t>
        </is>
      </c>
    </row>
    <row r="3737">
      <c r="A3737" t="inlineStr">
        <is>
          <t>PRAGMA</t>
        </is>
      </c>
      <c r="B3737" t="inlineStr">
        <is>
          <t>M1</t>
        </is>
      </c>
      <c r="C3737" t="inlineStr">
        <is>
          <t>Cali</t>
        </is>
      </c>
      <c r="D3737" t="inlineStr">
        <is>
          <t>6387</t>
        </is>
      </c>
      <c r="E3737" t="inlineStr">
        <is>
          <t>pagado</t>
        </is>
      </c>
      <c r="F3737" s="23" t="n">
        <v>46280</v>
      </c>
      <c r="G3737" s="24">
        <f>F3737-DATE(2026,8,31)</f>
        <v>15</v>
      </c>
      <c r="H3737" s="25" t="n">
        <v>83583344</v>
      </c>
      <c r="I3737" t="inlineStr">
        <is>
          <t>entidad-dia</t>
        </is>
      </c>
    </row>
    <row r="3738">
      <c r="A3738" t="inlineStr">
        <is>
          <t>PRAGMA</t>
        </is>
      </c>
      <c r="B3738" t="inlineStr">
        <is>
          <t>M1</t>
        </is>
      </c>
      <c r="C3738" t="inlineStr">
        <is>
          <t>Cali</t>
        </is>
      </c>
      <c r="D3738" t="inlineStr">
        <is>
          <t>6388</t>
        </is>
      </c>
      <c r="E3738" t="inlineStr">
        <is>
          <t>pagado</t>
        </is>
      </c>
      <c r="F3738" s="23" t="n">
        <v>46266</v>
      </c>
      <c r="G3738" s="24">
        <f>F3738-DATE(2026,8,31)</f>
        <v>1</v>
      </c>
      <c r="H3738" s="25" t="n">
        <v>182450104</v>
      </c>
      <c r="I3738" t="inlineStr">
        <is>
          <t>entidad-dia</t>
        </is>
      </c>
    </row>
    <row r="3739">
      <c r="A3739" t="inlineStr">
        <is>
          <t>PRAGMA</t>
        </is>
      </c>
      <c r="B3739" t="inlineStr">
        <is>
          <t>M1</t>
        </is>
      </c>
      <c r="C3739" t="inlineStr">
        <is>
          <t>Cali</t>
        </is>
      </c>
      <c r="D3739" t="inlineStr">
        <is>
          <t>6388</t>
        </is>
      </c>
      <c r="E3739" t="inlineStr">
        <is>
          <t>pagado</t>
        </is>
      </c>
      <c r="F3739" s="23" t="n">
        <v>46267</v>
      </c>
      <c r="G3739" s="24">
        <f>F3739-DATE(2026,8,31)</f>
        <v>2</v>
      </c>
      <c r="H3739" s="25" t="n">
        <v>141043288</v>
      </c>
      <c r="I3739" t="inlineStr">
        <is>
          <t>entidad-dia</t>
        </is>
      </c>
    </row>
    <row r="3740">
      <c r="A3740" t="inlineStr">
        <is>
          <t>PRAGMA</t>
        </is>
      </c>
      <c r="B3740" t="inlineStr">
        <is>
          <t>M1</t>
        </is>
      </c>
      <c r="C3740" t="inlineStr">
        <is>
          <t>Cali</t>
        </is>
      </c>
      <c r="D3740" t="inlineStr">
        <is>
          <t>6388</t>
        </is>
      </c>
      <c r="E3740" t="inlineStr">
        <is>
          <t>pagado</t>
        </is>
      </c>
      <c r="F3740" s="23" t="n">
        <v>46268</v>
      </c>
      <c r="G3740" s="24">
        <f>F3740-DATE(2026,8,31)</f>
        <v>3</v>
      </c>
      <c r="H3740" s="25" t="n">
        <v>122814960</v>
      </c>
      <c r="I3740" t="inlineStr">
        <is>
          <t>entidad-dia</t>
        </is>
      </c>
    </row>
    <row r="3741">
      <c r="A3741" t="inlineStr">
        <is>
          <t>PRAGMA</t>
        </is>
      </c>
      <c r="B3741" t="inlineStr">
        <is>
          <t>M1</t>
        </is>
      </c>
      <c r="C3741" t="inlineStr">
        <is>
          <t>Cali</t>
        </is>
      </c>
      <c r="D3741" t="inlineStr">
        <is>
          <t>6388</t>
        </is>
      </c>
      <c r="E3741" t="inlineStr">
        <is>
          <t>pagado</t>
        </is>
      </c>
      <c r="F3741" s="23" t="n">
        <v>46269</v>
      </c>
      <c r="G3741" s="24">
        <f>F3741-DATE(2026,8,31)</f>
        <v>4</v>
      </c>
      <c r="H3741" s="25" t="n">
        <v>121967092</v>
      </c>
      <c r="I3741" t="inlineStr">
        <is>
          <t>entidad-dia</t>
        </is>
      </c>
    </row>
    <row r="3742">
      <c r="A3742" t="inlineStr">
        <is>
          <t>PRAGMA</t>
        </is>
      </c>
      <c r="B3742" t="inlineStr">
        <is>
          <t>M1</t>
        </is>
      </c>
      <c r="C3742" t="inlineStr">
        <is>
          <t>Cali</t>
        </is>
      </c>
      <c r="D3742" t="inlineStr">
        <is>
          <t>6388</t>
        </is>
      </c>
      <c r="E3742" t="inlineStr">
        <is>
          <t>pagado</t>
        </is>
      </c>
      <c r="F3742" s="23" t="n">
        <v>46270</v>
      </c>
      <c r="G3742" s="24">
        <f>F3742-DATE(2026,8,31)</f>
        <v>5</v>
      </c>
      <c r="H3742" s="25" t="n">
        <v>136752829</v>
      </c>
      <c r="I3742" t="inlineStr">
        <is>
          <t>entidad-dia</t>
        </is>
      </c>
    </row>
    <row r="3743">
      <c r="A3743" t="inlineStr">
        <is>
          <t>PRAGMA</t>
        </is>
      </c>
      <c r="B3743" t="inlineStr">
        <is>
          <t>M1</t>
        </is>
      </c>
      <c r="C3743" t="inlineStr">
        <is>
          <t>Cali</t>
        </is>
      </c>
      <c r="D3743" t="inlineStr">
        <is>
          <t>6388</t>
        </is>
      </c>
      <c r="E3743" t="inlineStr">
        <is>
          <t>pagado</t>
        </is>
      </c>
      <c r="F3743" s="23" t="n">
        <v>46271</v>
      </c>
      <c r="G3743" s="24">
        <f>F3743-DATE(2026,8,31)</f>
        <v>6</v>
      </c>
      <c r="H3743" s="25" t="n">
        <v>100563983</v>
      </c>
      <c r="I3743" t="inlineStr">
        <is>
          <t>entidad-dia</t>
        </is>
      </c>
    </row>
    <row r="3744">
      <c r="A3744" t="inlineStr">
        <is>
          <t>PRAGMA</t>
        </is>
      </c>
      <c r="B3744" t="inlineStr">
        <is>
          <t>M1</t>
        </is>
      </c>
      <c r="C3744" t="inlineStr">
        <is>
          <t>Cali</t>
        </is>
      </c>
      <c r="D3744" t="inlineStr">
        <is>
          <t>6388</t>
        </is>
      </c>
      <c r="E3744" t="inlineStr">
        <is>
          <t>pagado</t>
        </is>
      </c>
      <c r="F3744" s="23" t="n">
        <v>46272</v>
      </c>
      <c r="G3744" s="24">
        <f>F3744-DATE(2026,8,31)</f>
        <v>7</v>
      </c>
      <c r="H3744" s="25" t="n">
        <v>91488895</v>
      </c>
      <c r="I3744" t="inlineStr">
        <is>
          <t>entidad-dia</t>
        </is>
      </c>
    </row>
    <row r="3745">
      <c r="A3745" t="inlineStr">
        <is>
          <t>PRAGMA</t>
        </is>
      </c>
      <c r="B3745" t="inlineStr">
        <is>
          <t>M1</t>
        </is>
      </c>
      <c r="C3745" t="inlineStr">
        <is>
          <t>Cali</t>
        </is>
      </c>
      <c r="D3745" t="inlineStr">
        <is>
          <t>6388</t>
        </is>
      </c>
      <c r="E3745" t="inlineStr">
        <is>
          <t>pagado</t>
        </is>
      </c>
      <c r="F3745" s="23" t="n">
        <v>46273</v>
      </c>
      <c r="G3745" s="24">
        <f>F3745-DATE(2026,8,31)</f>
        <v>8</v>
      </c>
      <c r="H3745" s="25" t="n">
        <v>89438560</v>
      </c>
      <c r="I3745" t="inlineStr">
        <is>
          <t>entidad-dia</t>
        </is>
      </c>
    </row>
    <row r="3746">
      <c r="A3746" t="inlineStr">
        <is>
          <t>PRAGMA</t>
        </is>
      </c>
      <c r="B3746" t="inlineStr">
        <is>
          <t>M1</t>
        </is>
      </c>
      <c r="C3746" t="inlineStr">
        <is>
          <t>Cali</t>
        </is>
      </c>
      <c r="D3746" t="inlineStr">
        <is>
          <t>6388</t>
        </is>
      </c>
      <c r="E3746" t="inlineStr">
        <is>
          <t>pagado</t>
        </is>
      </c>
      <c r="F3746" s="23" t="n">
        <v>46274</v>
      </c>
      <c r="G3746" s="24">
        <f>F3746-DATE(2026,8,31)</f>
        <v>9</v>
      </c>
      <c r="H3746" s="25" t="n">
        <v>87608307</v>
      </c>
      <c r="I3746" t="inlineStr">
        <is>
          <t>entidad-dia</t>
        </is>
      </c>
    </row>
    <row r="3747">
      <c r="A3747" t="inlineStr">
        <is>
          <t>PRAGMA</t>
        </is>
      </c>
      <c r="B3747" t="inlineStr">
        <is>
          <t>M1</t>
        </is>
      </c>
      <c r="C3747" t="inlineStr">
        <is>
          <t>Cali</t>
        </is>
      </c>
      <c r="D3747" t="inlineStr">
        <is>
          <t>6388</t>
        </is>
      </c>
      <c r="E3747" t="inlineStr">
        <is>
          <t>pagado</t>
        </is>
      </c>
      <c r="F3747" s="23" t="n">
        <v>46275</v>
      </c>
      <c r="G3747" s="24">
        <f>F3747-DATE(2026,8,31)</f>
        <v>10</v>
      </c>
      <c r="H3747" s="25" t="n">
        <v>85310514</v>
      </c>
      <c r="I3747" t="inlineStr">
        <is>
          <t>entidad-dia</t>
        </is>
      </c>
    </row>
    <row r="3748">
      <c r="A3748" t="inlineStr">
        <is>
          <t>PRAGMA</t>
        </is>
      </c>
      <c r="B3748" t="inlineStr">
        <is>
          <t>M1</t>
        </is>
      </c>
      <c r="C3748" t="inlineStr">
        <is>
          <t>Cali</t>
        </is>
      </c>
      <c r="D3748" t="inlineStr">
        <is>
          <t>6388</t>
        </is>
      </c>
      <c r="E3748" t="inlineStr">
        <is>
          <t>pagado</t>
        </is>
      </c>
      <c r="F3748" s="23" t="n">
        <v>46276</v>
      </c>
      <c r="G3748" s="24">
        <f>F3748-DATE(2026,8,31)</f>
        <v>11</v>
      </c>
      <c r="H3748" s="25" t="n">
        <v>85868405</v>
      </c>
      <c r="I3748" t="inlineStr">
        <is>
          <t>entidad-dia</t>
        </is>
      </c>
    </row>
    <row r="3749">
      <c r="A3749" t="inlineStr">
        <is>
          <t>PRAGMA</t>
        </is>
      </c>
      <c r="B3749" t="inlineStr">
        <is>
          <t>M1</t>
        </is>
      </c>
      <c r="C3749" t="inlineStr">
        <is>
          <t>Cali</t>
        </is>
      </c>
      <c r="D3749" t="inlineStr">
        <is>
          <t>6388</t>
        </is>
      </c>
      <c r="E3749" t="inlineStr">
        <is>
          <t>pagado</t>
        </is>
      </c>
      <c r="F3749" s="23" t="n">
        <v>46277</v>
      </c>
      <c r="G3749" s="24">
        <f>F3749-DATE(2026,8,31)</f>
        <v>12</v>
      </c>
      <c r="H3749" s="25" t="n">
        <v>98146142</v>
      </c>
      <c r="I3749" t="inlineStr">
        <is>
          <t>entidad-dia</t>
        </is>
      </c>
    </row>
    <row r="3750">
      <c r="A3750" t="inlineStr">
        <is>
          <t>PRAGMA</t>
        </is>
      </c>
      <c r="B3750" t="inlineStr">
        <is>
          <t>M1</t>
        </is>
      </c>
      <c r="C3750" t="inlineStr">
        <is>
          <t>Cali</t>
        </is>
      </c>
      <c r="D3750" t="inlineStr">
        <is>
          <t>6388</t>
        </is>
      </c>
      <c r="E3750" t="inlineStr">
        <is>
          <t>pagado</t>
        </is>
      </c>
      <c r="F3750" s="23" t="n">
        <v>46278</v>
      </c>
      <c r="G3750" s="24">
        <f>F3750-DATE(2026,8,31)</f>
        <v>13</v>
      </c>
      <c r="H3750" s="25" t="n">
        <v>78594114</v>
      </c>
      <c r="I3750" t="inlineStr">
        <is>
          <t>entidad-dia</t>
        </is>
      </c>
    </row>
    <row r="3751">
      <c r="A3751" t="inlineStr">
        <is>
          <t>PRAGMA</t>
        </is>
      </c>
      <c r="B3751" t="inlineStr">
        <is>
          <t>M1</t>
        </is>
      </c>
      <c r="C3751" t="inlineStr">
        <is>
          <t>Cali</t>
        </is>
      </c>
      <c r="D3751" t="inlineStr">
        <is>
          <t>6388</t>
        </is>
      </c>
      <c r="E3751" t="inlineStr">
        <is>
          <t>pagado</t>
        </is>
      </c>
      <c r="F3751" s="23" t="n">
        <v>46279</v>
      </c>
      <c r="G3751" s="24">
        <f>F3751-DATE(2026,8,31)</f>
        <v>14</v>
      </c>
      <c r="H3751" s="25" t="n">
        <v>92582869</v>
      </c>
      <c r="I3751" t="inlineStr">
        <is>
          <t>entidad-dia</t>
        </is>
      </c>
    </row>
    <row r="3752">
      <c r="A3752" t="inlineStr">
        <is>
          <t>PRAGMA</t>
        </is>
      </c>
      <c r="B3752" t="inlineStr">
        <is>
          <t>M1</t>
        </is>
      </c>
      <c r="C3752" t="inlineStr">
        <is>
          <t>Cali</t>
        </is>
      </c>
      <c r="D3752" t="inlineStr">
        <is>
          <t>6388</t>
        </is>
      </c>
      <c r="E3752" t="inlineStr">
        <is>
          <t>pagado</t>
        </is>
      </c>
      <c r="F3752" s="23" t="n">
        <v>46280</v>
      </c>
      <c r="G3752" s="24">
        <f>F3752-DATE(2026,8,31)</f>
        <v>15</v>
      </c>
      <c r="H3752" s="25" t="n">
        <v>138660972</v>
      </c>
      <c r="I3752" t="inlineStr">
        <is>
          <t>entidad-dia</t>
        </is>
      </c>
    </row>
    <row r="3753">
      <c r="A3753" t="inlineStr">
        <is>
          <t>PRAGMA</t>
        </is>
      </c>
      <c r="B3753" t="inlineStr">
        <is>
          <t>M1</t>
        </is>
      </c>
      <c r="C3753" t="inlineStr">
        <is>
          <t>Cali</t>
        </is>
      </c>
      <c r="D3753" t="inlineStr">
        <is>
          <t>6389</t>
        </is>
      </c>
      <c r="E3753" t="inlineStr">
        <is>
          <t>pagado</t>
        </is>
      </c>
      <c r="F3753" s="23" t="n">
        <v>46266</v>
      </c>
      <c r="G3753" s="24">
        <f>F3753-DATE(2026,8,31)</f>
        <v>1</v>
      </c>
      <c r="H3753" s="25" t="n">
        <v>178382384</v>
      </c>
      <c r="I3753" t="inlineStr">
        <is>
          <t>entidad-dia</t>
        </is>
      </c>
    </row>
    <row r="3754">
      <c r="A3754" t="inlineStr">
        <is>
          <t>PRAGMA</t>
        </is>
      </c>
      <c r="B3754" t="inlineStr">
        <is>
          <t>M1</t>
        </is>
      </c>
      <c r="C3754" t="inlineStr">
        <is>
          <t>Cali</t>
        </is>
      </c>
      <c r="D3754" t="inlineStr">
        <is>
          <t>6389</t>
        </is>
      </c>
      <c r="E3754" t="inlineStr">
        <is>
          <t>pagado</t>
        </is>
      </c>
      <c r="F3754" s="23" t="n">
        <v>46267</v>
      </c>
      <c r="G3754" s="24">
        <f>F3754-DATE(2026,8,31)</f>
        <v>2</v>
      </c>
      <c r="H3754" s="25" t="n">
        <v>143633215</v>
      </c>
      <c r="I3754" t="inlineStr">
        <is>
          <t>entidad-dia</t>
        </is>
      </c>
    </row>
    <row r="3755">
      <c r="A3755" t="inlineStr">
        <is>
          <t>PRAGMA</t>
        </is>
      </c>
      <c r="B3755" t="inlineStr">
        <is>
          <t>M1</t>
        </is>
      </c>
      <c r="C3755" t="inlineStr">
        <is>
          <t>Cali</t>
        </is>
      </c>
      <c r="D3755" t="inlineStr">
        <is>
          <t>6389</t>
        </is>
      </c>
      <c r="E3755" t="inlineStr">
        <is>
          <t>pagado</t>
        </is>
      </c>
      <c r="F3755" s="23" t="n">
        <v>46268</v>
      </c>
      <c r="G3755" s="24">
        <f>F3755-DATE(2026,8,31)</f>
        <v>3</v>
      </c>
      <c r="H3755" s="25" t="n">
        <v>134473436</v>
      </c>
      <c r="I3755" t="inlineStr">
        <is>
          <t>entidad-dia</t>
        </is>
      </c>
    </row>
    <row r="3756">
      <c r="A3756" t="inlineStr">
        <is>
          <t>PRAGMA</t>
        </is>
      </c>
      <c r="B3756" t="inlineStr">
        <is>
          <t>M1</t>
        </is>
      </c>
      <c r="C3756" t="inlineStr">
        <is>
          <t>Cali</t>
        </is>
      </c>
      <c r="D3756" t="inlineStr">
        <is>
          <t>6389</t>
        </is>
      </c>
      <c r="E3756" t="inlineStr">
        <is>
          <t>pagado</t>
        </is>
      </c>
      <c r="F3756" s="23" t="n">
        <v>46269</v>
      </c>
      <c r="G3756" s="24">
        <f>F3756-DATE(2026,8,31)</f>
        <v>4</v>
      </c>
      <c r="H3756" s="25" t="n">
        <v>132869501</v>
      </c>
      <c r="I3756" t="inlineStr">
        <is>
          <t>entidad-dia</t>
        </is>
      </c>
    </row>
    <row r="3757">
      <c r="A3757" t="inlineStr">
        <is>
          <t>PRAGMA</t>
        </is>
      </c>
      <c r="B3757" t="inlineStr">
        <is>
          <t>M1</t>
        </is>
      </c>
      <c r="C3757" t="inlineStr">
        <is>
          <t>Cali</t>
        </is>
      </c>
      <c r="D3757" t="inlineStr">
        <is>
          <t>6389</t>
        </is>
      </c>
      <c r="E3757" t="inlineStr">
        <is>
          <t>pagado</t>
        </is>
      </c>
      <c r="F3757" s="23" t="n">
        <v>46270</v>
      </c>
      <c r="G3757" s="24">
        <f>F3757-DATE(2026,8,31)</f>
        <v>5</v>
      </c>
      <c r="H3757" s="25" t="n">
        <v>127154448</v>
      </c>
      <c r="I3757" t="inlineStr">
        <is>
          <t>entidad-dia</t>
        </is>
      </c>
    </row>
    <row r="3758">
      <c r="A3758" t="inlineStr">
        <is>
          <t>PRAGMA</t>
        </is>
      </c>
      <c r="B3758" t="inlineStr">
        <is>
          <t>M1</t>
        </is>
      </c>
      <c r="C3758" t="inlineStr">
        <is>
          <t>Cali</t>
        </is>
      </c>
      <c r="D3758" t="inlineStr">
        <is>
          <t>6389</t>
        </is>
      </c>
      <c r="E3758" t="inlineStr">
        <is>
          <t>pagado</t>
        </is>
      </c>
      <c r="F3758" s="23" t="n">
        <v>46271</v>
      </c>
      <c r="G3758" s="24">
        <f>F3758-DATE(2026,8,31)</f>
        <v>6</v>
      </c>
      <c r="H3758" s="25" t="n">
        <v>62920456</v>
      </c>
      <c r="I3758" t="inlineStr">
        <is>
          <t>entidad-dia</t>
        </is>
      </c>
    </row>
    <row r="3759">
      <c r="A3759" t="inlineStr">
        <is>
          <t>PRAGMA</t>
        </is>
      </c>
      <c r="B3759" t="inlineStr">
        <is>
          <t>M1</t>
        </is>
      </c>
      <c r="C3759" t="inlineStr">
        <is>
          <t>Cali</t>
        </is>
      </c>
      <c r="D3759" t="inlineStr">
        <is>
          <t>6389</t>
        </is>
      </c>
      <c r="E3759" t="inlineStr">
        <is>
          <t>pagado</t>
        </is>
      </c>
      <c r="F3759" s="23" t="n">
        <v>46272</v>
      </c>
      <c r="G3759" s="24">
        <f>F3759-DATE(2026,8,31)</f>
        <v>7</v>
      </c>
      <c r="H3759" s="25" t="n">
        <v>98639782</v>
      </c>
      <c r="I3759" t="inlineStr">
        <is>
          <t>entidad-dia</t>
        </is>
      </c>
    </row>
    <row r="3760">
      <c r="A3760" t="inlineStr">
        <is>
          <t>PRAGMA</t>
        </is>
      </c>
      <c r="B3760" t="inlineStr">
        <is>
          <t>M1</t>
        </is>
      </c>
      <c r="C3760" t="inlineStr">
        <is>
          <t>Cali</t>
        </is>
      </c>
      <c r="D3760" t="inlineStr">
        <is>
          <t>6389</t>
        </is>
      </c>
      <c r="E3760" t="inlineStr">
        <is>
          <t>pagado</t>
        </is>
      </c>
      <c r="F3760" s="23" t="n">
        <v>46273</v>
      </c>
      <c r="G3760" s="24">
        <f>F3760-DATE(2026,8,31)</f>
        <v>8</v>
      </c>
      <c r="H3760" s="25" t="n">
        <v>109302358</v>
      </c>
      <c r="I3760" t="inlineStr">
        <is>
          <t>entidad-dia</t>
        </is>
      </c>
    </row>
    <row r="3761">
      <c r="A3761" t="inlineStr">
        <is>
          <t>PRAGMA</t>
        </is>
      </c>
      <c r="B3761" t="inlineStr">
        <is>
          <t>M1</t>
        </is>
      </c>
      <c r="C3761" t="inlineStr">
        <is>
          <t>Cali</t>
        </is>
      </c>
      <c r="D3761" t="inlineStr">
        <is>
          <t>6389</t>
        </is>
      </c>
      <c r="E3761" t="inlineStr">
        <is>
          <t>pagado</t>
        </is>
      </c>
      <c r="F3761" s="23" t="n">
        <v>46274</v>
      </c>
      <c r="G3761" s="24">
        <f>F3761-DATE(2026,8,31)</f>
        <v>9</v>
      </c>
      <c r="H3761" s="25" t="n">
        <v>113644238</v>
      </c>
      <c r="I3761" t="inlineStr">
        <is>
          <t>entidad-dia</t>
        </is>
      </c>
    </row>
    <row r="3762">
      <c r="A3762" t="inlineStr">
        <is>
          <t>PRAGMA</t>
        </is>
      </c>
      <c r="B3762" t="inlineStr">
        <is>
          <t>M1</t>
        </is>
      </c>
      <c r="C3762" t="inlineStr">
        <is>
          <t>Cali</t>
        </is>
      </c>
      <c r="D3762" t="inlineStr">
        <is>
          <t>6389</t>
        </is>
      </c>
      <c r="E3762" t="inlineStr">
        <is>
          <t>pagado</t>
        </is>
      </c>
      <c r="F3762" s="23" t="n">
        <v>46275</v>
      </c>
      <c r="G3762" s="24">
        <f>F3762-DATE(2026,8,31)</f>
        <v>10</v>
      </c>
      <c r="H3762" s="25" t="n">
        <v>93577968</v>
      </c>
      <c r="I3762" t="inlineStr">
        <is>
          <t>entidad-dia</t>
        </is>
      </c>
    </row>
    <row r="3763">
      <c r="A3763" t="inlineStr">
        <is>
          <t>PRAGMA</t>
        </is>
      </c>
      <c r="B3763" t="inlineStr">
        <is>
          <t>M1</t>
        </is>
      </c>
      <c r="C3763" t="inlineStr">
        <is>
          <t>Cali</t>
        </is>
      </c>
      <c r="D3763" t="inlineStr">
        <is>
          <t>6389</t>
        </is>
      </c>
      <c r="E3763" t="inlineStr">
        <is>
          <t>pagado</t>
        </is>
      </c>
      <c r="F3763" s="23" t="n">
        <v>46276</v>
      </c>
      <c r="G3763" s="24">
        <f>F3763-DATE(2026,8,31)</f>
        <v>11</v>
      </c>
      <c r="H3763" s="25" t="n">
        <v>106307677</v>
      </c>
      <c r="I3763" t="inlineStr">
        <is>
          <t>entidad-dia</t>
        </is>
      </c>
    </row>
    <row r="3764">
      <c r="A3764" t="inlineStr">
        <is>
          <t>PRAGMA</t>
        </is>
      </c>
      <c r="B3764" t="inlineStr">
        <is>
          <t>M1</t>
        </is>
      </c>
      <c r="C3764" t="inlineStr">
        <is>
          <t>Cali</t>
        </is>
      </c>
      <c r="D3764" t="inlineStr">
        <is>
          <t>6389</t>
        </is>
      </c>
      <c r="E3764" t="inlineStr">
        <is>
          <t>pagado</t>
        </is>
      </c>
      <c r="F3764" s="23" t="n">
        <v>46277</v>
      </c>
      <c r="G3764" s="24">
        <f>F3764-DATE(2026,8,31)</f>
        <v>12</v>
      </c>
      <c r="H3764" s="25" t="n">
        <v>99852406</v>
      </c>
      <c r="I3764" t="inlineStr">
        <is>
          <t>entidad-dia</t>
        </is>
      </c>
    </row>
    <row r="3765">
      <c r="A3765" t="inlineStr">
        <is>
          <t>PRAGMA</t>
        </is>
      </c>
      <c r="B3765" t="inlineStr">
        <is>
          <t>M1</t>
        </is>
      </c>
      <c r="C3765" t="inlineStr">
        <is>
          <t>Cali</t>
        </is>
      </c>
      <c r="D3765" t="inlineStr">
        <is>
          <t>6389</t>
        </is>
      </c>
      <c r="E3765" t="inlineStr">
        <is>
          <t>pagado</t>
        </is>
      </c>
      <c r="F3765" s="23" t="n">
        <v>46278</v>
      </c>
      <c r="G3765" s="24">
        <f>F3765-DATE(2026,8,31)</f>
        <v>13</v>
      </c>
      <c r="H3765" s="25" t="n">
        <v>48590953</v>
      </c>
      <c r="I3765" t="inlineStr">
        <is>
          <t>entidad-dia</t>
        </is>
      </c>
    </row>
    <row r="3766">
      <c r="A3766" t="inlineStr">
        <is>
          <t>PRAGMA</t>
        </is>
      </c>
      <c r="B3766" t="inlineStr">
        <is>
          <t>M1</t>
        </is>
      </c>
      <c r="C3766" t="inlineStr">
        <is>
          <t>Cali</t>
        </is>
      </c>
      <c r="D3766" t="inlineStr">
        <is>
          <t>6389</t>
        </is>
      </c>
      <c r="E3766" t="inlineStr">
        <is>
          <t>pagado</t>
        </is>
      </c>
      <c r="F3766" s="23" t="n">
        <v>46279</v>
      </c>
      <c r="G3766" s="24">
        <f>F3766-DATE(2026,8,31)</f>
        <v>14</v>
      </c>
      <c r="H3766" s="25" t="n">
        <v>89984783</v>
      </c>
      <c r="I3766" t="inlineStr">
        <is>
          <t>entidad-dia</t>
        </is>
      </c>
    </row>
    <row r="3767">
      <c r="A3767" t="inlineStr">
        <is>
          <t>PRAGMA</t>
        </is>
      </c>
      <c r="B3767" t="inlineStr">
        <is>
          <t>M1</t>
        </is>
      </c>
      <c r="C3767" t="inlineStr">
        <is>
          <t>Cali</t>
        </is>
      </c>
      <c r="D3767" t="inlineStr">
        <is>
          <t>6389</t>
        </is>
      </c>
      <c r="E3767" t="inlineStr">
        <is>
          <t>pagado</t>
        </is>
      </c>
      <c r="F3767" s="23" t="n">
        <v>46280</v>
      </c>
      <c r="G3767" s="24">
        <f>F3767-DATE(2026,8,31)</f>
        <v>15</v>
      </c>
      <c r="H3767" s="25" t="n">
        <v>134595549</v>
      </c>
      <c r="I3767" t="inlineStr">
        <is>
          <t>entidad-dia</t>
        </is>
      </c>
    </row>
    <row r="3768">
      <c r="A3768" t="inlineStr">
        <is>
          <t>PRAGMA</t>
        </is>
      </c>
      <c r="B3768" t="inlineStr">
        <is>
          <t>M1</t>
        </is>
      </c>
      <c r="C3768" t="inlineStr">
        <is>
          <t>Pasto</t>
        </is>
      </c>
      <c r="D3768" t="inlineStr">
        <is>
          <t>6397</t>
        </is>
      </c>
      <c r="E3768" t="inlineStr">
        <is>
          <t>pagado</t>
        </is>
      </c>
      <c r="F3768" s="23" t="n">
        <v>46266</v>
      </c>
      <c r="G3768" s="24">
        <f>F3768-DATE(2026,8,31)</f>
        <v>1</v>
      </c>
      <c r="H3768" s="25" t="n">
        <v>131028789</v>
      </c>
      <c r="I3768" t="inlineStr">
        <is>
          <t>entidad-dia</t>
        </is>
      </c>
    </row>
    <row r="3769">
      <c r="A3769" t="inlineStr">
        <is>
          <t>PRAGMA</t>
        </is>
      </c>
      <c r="B3769" t="inlineStr">
        <is>
          <t>M1</t>
        </is>
      </c>
      <c r="C3769" t="inlineStr">
        <is>
          <t>Pasto</t>
        </is>
      </c>
      <c r="D3769" t="inlineStr">
        <is>
          <t>6397</t>
        </is>
      </c>
      <c r="E3769" t="inlineStr">
        <is>
          <t>pagado</t>
        </is>
      </c>
      <c r="F3769" s="23" t="n">
        <v>46267</v>
      </c>
      <c r="G3769" s="24">
        <f>F3769-DATE(2026,8,31)</f>
        <v>2</v>
      </c>
      <c r="H3769" s="25" t="n">
        <v>114772296</v>
      </c>
      <c r="I3769" t="inlineStr">
        <is>
          <t>entidad-dia</t>
        </is>
      </c>
    </row>
    <row r="3770">
      <c r="A3770" t="inlineStr">
        <is>
          <t>PRAGMA</t>
        </is>
      </c>
      <c r="B3770" t="inlineStr">
        <is>
          <t>M1</t>
        </is>
      </c>
      <c r="C3770" t="inlineStr">
        <is>
          <t>Pasto</t>
        </is>
      </c>
      <c r="D3770" t="inlineStr">
        <is>
          <t>6397</t>
        </is>
      </c>
      <c r="E3770" t="inlineStr">
        <is>
          <t>pagado</t>
        </is>
      </c>
      <c r="F3770" s="23" t="n">
        <v>46268</v>
      </c>
      <c r="G3770" s="24">
        <f>F3770-DATE(2026,8,31)</f>
        <v>3</v>
      </c>
      <c r="H3770" s="25" t="n">
        <v>104076260</v>
      </c>
      <c r="I3770" t="inlineStr">
        <is>
          <t>entidad-dia</t>
        </is>
      </c>
    </row>
    <row r="3771">
      <c r="A3771" t="inlineStr">
        <is>
          <t>PRAGMA</t>
        </is>
      </c>
      <c r="B3771" t="inlineStr">
        <is>
          <t>M1</t>
        </is>
      </c>
      <c r="C3771" t="inlineStr">
        <is>
          <t>Pasto</t>
        </is>
      </c>
      <c r="D3771" t="inlineStr">
        <is>
          <t>6397</t>
        </is>
      </c>
      <c r="E3771" t="inlineStr">
        <is>
          <t>pagado</t>
        </is>
      </c>
      <c r="F3771" s="23" t="n">
        <v>46269</v>
      </c>
      <c r="G3771" s="24">
        <f>F3771-DATE(2026,8,31)</f>
        <v>4</v>
      </c>
      <c r="H3771" s="25" t="n">
        <v>105093471</v>
      </c>
      <c r="I3771" t="inlineStr">
        <is>
          <t>entidad-dia</t>
        </is>
      </c>
    </row>
    <row r="3772">
      <c r="A3772" t="inlineStr">
        <is>
          <t>PRAGMA</t>
        </is>
      </c>
      <c r="B3772" t="inlineStr">
        <is>
          <t>M1</t>
        </is>
      </c>
      <c r="C3772" t="inlineStr">
        <is>
          <t>Pasto</t>
        </is>
      </c>
      <c r="D3772" t="inlineStr">
        <is>
          <t>6397</t>
        </is>
      </c>
      <c r="E3772" t="inlineStr">
        <is>
          <t>pagado</t>
        </is>
      </c>
      <c r="F3772" s="23" t="n">
        <v>46270</v>
      </c>
      <c r="G3772" s="24">
        <f>F3772-DATE(2026,8,31)</f>
        <v>5</v>
      </c>
      <c r="H3772" s="25" t="n">
        <v>116997289</v>
      </c>
      <c r="I3772" t="inlineStr">
        <is>
          <t>entidad-dia</t>
        </is>
      </c>
    </row>
    <row r="3773">
      <c r="A3773" t="inlineStr">
        <is>
          <t>PRAGMA</t>
        </is>
      </c>
      <c r="B3773" t="inlineStr">
        <is>
          <t>M1</t>
        </is>
      </c>
      <c r="C3773" t="inlineStr">
        <is>
          <t>Pasto</t>
        </is>
      </c>
      <c r="D3773" t="inlineStr">
        <is>
          <t>6397</t>
        </is>
      </c>
      <c r="E3773" t="inlineStr">
        <is>
          <t>pagado</t>
        </is>
      </c>
      <c r="F3773" s="23" t="n">
        <v>46271</v>
      </c>
      <c r="G3773" s="24">
        <f>F3773-DATE(2026,8,31)</f>
        <v>6</v>
      </c>
      <c r="H3773" s="25" t="n">
        <v>74246666</v>
      </c>
      <c r="I3773" t="inlineStr">
        <is>
          <t>entidad-dia</t>
        </is>
      </c>
    </row>
    <row r="3774">
      <c r="A3774" t="inlineStr">
        <is>
          <t>PRAGMA</t>
        </is>
      </c>
      <c r="B3774" t="inlineStr">
        <is>
          <t>M1</t>
        </is>
      </c>
      <c r="C3774" t="inlineStr">
        <is>
          <t>Pasto</t>
        </is>
      </c>
      <c r="D3774" t="inlineStr">
        <is>
          <t>6397</t>
        </is>
      </c>
      <c r="E3774" t="inlineStr">
        <is>
          <t>pagado</t>
        </is>
      </c>
      <c r="F3774" s="23" t="n">
        <v>46272</v>
      </c>
      <c r="G3774" s="24">
        <f>F3774-DATE(2026,8,31)</f>
        <v>7</v>
      </c>
      <c r="H3774" s="25" t="n">
        <v>84269069</v>
      </c>
      <c r="I3774" t="inlineStr">
        <is>
          <t>entidad-dia</t>
        </is>
      </c>
    </row>
    <row r="3775">
      <c r="A3775" t="inlineStr">
        <is>
          <t>PRAGMA</t>
        </is>
      </c>
      <c r="B3775" t="inlineStr">
        <is>
          <t>M1</t>
        </is>
      </c>
      <c r="C3775" t="inlineStr">
        <is>
          <t>Pasto</t>
        </is>
      </c>
      <c r="D3775" t="inlineStr">
        <is>
          <t>6397</t>
        </is>
      </c>
      <c r="E3775" t="inlineStr">
        <is>
          <t>pagado</t>
        </is>
      </c>
      <c r="F3775" s="23" t="n">
        <v>46273</v>
      </c>
      <c r="G3775" s="24">
        <f>F3775-DATE(2026,8,31)</f>
        <v>8</v>
      </c>
      <c r="H3775" s="25" t="n">
        <v>89454379</v>
      </c>
      <c r="I3775" t="inlineStr">
        <is>
          <t>entidad-dia</t>
        </is>
      </c>
    </row>
    <row r="3776">
      <c r="A3776" t="inlineStr">
        <is>
          <t>PRAGMA</t>
        </is>
      </c>
      <c r="B3776" t="inlineStr">
        <is>
          <t>M1</t>
        </is>
      </c>
      <c r="C3776" t="inlineStr">
        <is>
          <t>Pasto</t>
        </is>
      </c>
      <c r="D3776" t="inlineStr">
        <is>
          <t>6397</t>
        </is>
      </c>
      <c r="E3776" t="inlineStr">
        <is>
          <t>pagado</t>
        </is>
      </c>
      <c r="F3776" s="23" t="n">
        <v>46274</v>
      </c>
      <c r="G3776" s="24">
        <f>F3776-DATE(2026,8,31)</f>
        <v>9</v>
      </c>
      <c r="H3776" s="25" t="n">
        <v>75453691</v>
      </c>
      <c r="I3776" t="inlineStr">
        <is>
          <t>entidad-dia</t>
        </is>
      </c>
    </row>
    <row r="3777">
      <c r="A3777" t="inlineStr">
        <is>
          <t>PRAGMA</t>
        </is>
      </c>
      <c r="B3777" t="inlineStr">
        <is>
          <t>M1</t>
        </is>
      </c>
      <c r="C3777" t="inlineStr">
        <is>
          <t>Pasto</t>
        </is>
      </c>
      <c r="D3777" t="inlineStr">
        <is>
          <t>6397</t>
        </is>
      </c>
      <c r="E3777" t="inlineStr">
        <is>
          <t>pagado</t>
        </is>
      </c>
      <c r="F3777" s="23" t="n">
        <v>46275</v>
      </c>
      <c r="G3777" s="24">
        <f>F3777-DATE(2026,8,31)</f>
        <v>10</v>
      </c>
      <c r="H3777" s="25" t="n">
        <v>66541708</v>
      </c>
      <c r="I3777" t="inlineStr">
        <is>
          <t>entidad-dia</t>
        </is>
      </c>
    </row>
    <row r="3778">
      <c r="A3778" t="inlineStr">
        <is>
          <t>PRAGMA</t>
        </is>
      </c>
      <c r="B3778" t="inlineStr">
        <is>
          <t>M1</t>
        </is>
      </c>
      <c r="C3778" t="inlineStr">
        <is>
          <t>Pasto</t>
        </is>
      </c>
      <c r="D3778" t="inlineStr">
        <is>
          <t>6397</t>
        </is>
      </c>
      <c r="E3778" t="inlineStr">
        <is>
          <t>pagado</t>
        </is>
      </c>
      <c r="F3778" s="23" t="n">
        <v>46276</v>
      </c>
      <c r="G3778" s="24">
        <f>F3778-DATE(2026,8,31)</f>
        <v>11</v>
      </c>
      <c r="H3778" s="25" t="n">
        <v>76438210</v>
      </c>
      <c r="I3778" t="inlineStr">
        <is>
          <t>entidad-dia</t>
        </is>
      </c>
    </row>
    <row r="3779">
      <c r="A3779" t="inlineStr">
        <is>
          <t>PRAGMA</t>
        </is>
      </c>
      <c r="B3779" t="inlineStr">
        <is>
          <t>M1</t>
        </is>
      </c>
      <c r="C3779" t="inlineStr">
        <is>
          <t>Pasto</t>
        </is>
      </c>
      <c r="D3779" t="inlineStr">
        <is>
          <t>6397</t>
        </is>
      </c>
      <c r="E3779" t="inlineStr">
        <is>
          <t>pagado</t>
        </is>
      </c>
      <c r="F3779" s="23" t="n">
        <v>46277</v>
      </c>
      <c r="G3779" s="24">
        <f>F3779-DATE(2026,8,31)</f>
        <v>12</v>
      </c>
      <c r="H3779" s="25" t="n">
        <v>93065624</v>
      </c>
      <c r="I3779" t="inlineStr">
        <is>
          <t>entidad-dia</t>
        </is>
      </c>
    </row>
    <row r="3780">
      <c r="A3780" t="inlineStr">
        <is>
          <t>PRAGMA</t>
        </is>
      </c>
      <c r="B3780" t="inlineStr">
        <is>
          <t>M1</t>
        </is>
      </c>
      <c r="C3780" t="inlineStr">
        <is>
          <t>Pasto</t>
        </is>
      </c>
      <c r="D3780" t="inlineStr">
        <is>
          <t>6397</t>
        </is>
      </c>
      <c r="E3780" t="inlineStr">
        <is>
          <t>pagado</t>
        </is>
      </c>
      <c r="F3780" s="23" t="n">
        <v>46278</v>
      </c>
      <c r="G3780" s="24">
        <f>F3780-DATE(2026,8,31)</f>
        <v>13</v>
      </c>
      <c r="H3780" s="25" t="n">
        <v>52852527</v>
      </c>
      <c r="I3780" t="inlineStr">
        <is>
          <t>entidad-dia</t>
        </is>
      </c>
    </row>
    <row r="3781">
      <c r="A3781" t="inlineStr">
        <is>
          <t>PRAGMA</t>
        </is>
      </c>
      <c r="B3781" t="inlineStr">
        <is>
          <t>M1</t>
        </is>
      </c>
      <c r="C3781" t="inlineStr">
        <is>
          <t>Pasto</t>
        </is>
      </c>
      <c r="D3781" t="inlineStr">
        <is>
          <t>6397</t>
        </is>
      </c>
      <c r="E3781" t="inlineStr">
        <is>
          <t>pagado</t>
        </is>
      </c>
      <c r="F3781" s="23" t="n">
        <v>46279</v>
      </c>
      <c r="G3781" s="24">
        <f>F3781-DATE(2026,8,31)</f>
        <v>14</v>
      </c>
      <c r="H3781" s="25" t="n">
        <v>70614253</v>
      </c>
      <c r="I3781" t="inlineStr">
        <is>
          <t>entidad-dia</t>
        </is>
      </c>
    </row>
    <row r="3782">
      <c r="A3782" t="inlineStr">
        <is>
          <t>PRAGMA</t>
        </is>
      </c>
      <c r="B3782" t="inlineStr">
        <is>
          <t>M1</t>
        </is>
      </c>
      <c r="C3782" t="inlineStr">
        <is>
          <t>Pasto</t>
        </is>
      </c>
      <c r="D3782" t="inlineStr">
        <is>
          <t>6397</t>
        </is>
      </c>
      <c r="E3782" t="inlineStr">
        <is>
          <t>pagado</t>
        </is>
      </c>
      <c r="F3782" s="23" t="n">
        <v>46280</v>
      </c>
      <c r="G3782" s="24">
        <f>F3782-DATE(2026,8,31)</f>
        <v>15</v>
      </c>
      <c r="H3782" s="25" t="n">
        <v>87513987</v>
      </c>
      <c r="I3782" t="inlineStr">
        <is>
          <t>entidad-dia</t>
        </is>
      </c>
    </row>
    <row r="3783">
      <c r="A3783" t="inlineStr">
        <is>
          <t>PRAGMA</t>
        </is>
      </c>
      <c r="B3783" t="inlineStr">
        <is>
          <t>M1</t>
        </is>
      </c>
      <c r="C3783" t="inlineStr">
        <is>
          <t>Cali</t>
        </is>
      </c>
      <c r="D3783" t="inlineStr">
        <is>
          <t>6405</t>
        </is>
      </c>
      <c r="E3783" t="inlineStr">
        <is>
          <t>pagado</t>
        </is>
      </c>
      <c r="F3783" s="23" t="n">
        <v>46266</v>
      </c>
      <c r="G3783" s="24">
        <f>F3783-DATE(2026,8,31)</f>
        <v>1</v>
      </c>
      <c r="H3783" s="25" t="n">
        <v>209595343</v>
      </c>
      <c r="I3783" t="inlineStr">
        <is>
          <t>entidad-dia</t>
        </is>
      </c>
    </row>
    <row r="3784">
      <c r="A3784" t="inlineStr">
        <is>
          <t>PRAGMA</t>
        </is>
      </c>
      <c r="B3784" t="inlineStr">
        <is>
          <t>M1</t>
        </is>
      </c>
      <c r="C3784" t="inlineStr">
        <is>
          <t>Cali</t>
        </is>
      </c>
      <c r="D3784" t="inlineStr">
        <is>
          <t>6405</t>
        </is>
      </c>
      <c r="E3784" t="inlineStr">
        <is>
          <t>pagado</t>
        </is>
      </c>
      <c r="F3784" s="23" t="n">
        <v>46267</v>
      </c>
      <c r="G3784" s="24">
        <f>F3784-DATE(2026,8,31)</f>
        <v>2</v>
      </c>
      <c r="H3784" s="25" t="n">
        <v>161963447</v>
      </c>
      <c r="I3784" t="inlineStr">
        <is>
          <t>entidad-dia</t>
        </is>
      </c>
    </row>
    <row r="3785">
      <c r="A3785" t="inlineStr">
        <is>
          <t>PRAGMA</t>
        </is>
      </c>
      <c r="B3785" t="inlineStr">
        <is>
          <t>M1</t>
        </is>
      </c>
      <c r="C3785" t="inlineStr">
        <is>
          <t>Cali</t>
        </is>
      </c>
      <c r="D3785" t="inlineStr">
        <is>
          <t>6405</t>
        </is>
      </c>
      <c r="E3785" t="inlineStr">
        <is>
          <t>pagado</t>
        </is>
      </c>
      <c r="F3785" s="23" t="n">
        <v>46268</v>
      </c>
      <c r="G3785" s="24">
        <f>F3785-DATE(2026,8,31)</f>
        <v>3</v>
      </c>
      <c r="H3785" s="25" t="n">
        <v>145638797</v>
      </c>
      <c r="I3785" t="inlineStr">
        <is>
          <t>entidad-dia</t>
        </is>
      </c>
    </row>
    <row r="3786">
      <c r="A3786" t="inlineStr">
        <is>
          <t>PRAGMA</t>
        </is>
      </c>
      <c r="B3786" t="inlineStr">
        <is>
          <t>M1</t>
        </is>
      </c>
      <c r="C3786" t="inlineStr">
        <is>
          <t>Cali</t>
        </is>
      </c>
      <c r="D3786" t="inlineStr">
        <is>
          <t>6405</t>
        </is>
      </c>
      <c r="E3786" t="inlineStr">
        <is>
          <t>pagado</t>
        </is>
      </c>
      <c r="F3786" s="23" t="n">
        <v>46269</v>
      </c>
      <c r="G3786" s="24">
        <f>F3786-DATE(2026,8,31)</f>
        <v>4</v>
      </c>
      <c r="H3786" s="25" t="n">
        <v>139183272</v>
      </c>
      <c r="I3786" t="inlineStr">
        <is>
          <t>entidad-dia</t>
        </is>
      </c>
    </row>
    <row r="3787">
      <c r="A3787" t="inlineStr">
        <is>
          <t>PRAGMA</t>
        </is>
      </c>
      <c r="B3787" t="inlineStr">
        <is>
          <t>M1</t>
        </is>
      </c>
      <c r="C3787" t="inlineStr">
        <is>
          <t>Cali</t>
        </is>
      </c>
      <c r="D3787" t="inlineStr">
        <is>
          <t>6405</t>
        </is>
      </c>
      <c r="E3787" t="inlineStr">
        <is>
          <t>pagado</t>
        </is>
      </c>
      <c r="F3787" s="23" t="n">
        <v>46270</v>
      </c>
      <c r="G3787" s="24">
        <f>F3787-DATE(2026,8,31)</f>
        <v>5</v>
      </c>
      <c r="H3787" s="25" t="n">
        <v>175291804</v>
      </c>
      <c r="I3787" t="inlineStr">
        <is>
          <t>entidad-dia</t>
        </is>
      </c>
    </row>
    <row r="3788">
      <c r="A3788" t="inlineStr">
        <is>
          <t>PRAGMA</t>
        </is>
      </c>
      <c r="B3788" t="inlineStr">
        <is>
          <t>M1</t>
        </is>
      </c>
      <c r="C3788" t="inlineStr">
        <is>
          <t>Cali</t>
        </is>
      </c>
      <c r="D3788" t="inlineStr">
        <is>
          <t>6405</t>
        </is>
      </c>
      <c r="E3788" t="inlineStr">
        <is>
          <t>pagado</t>
        </is>
      </c>
      <c r="F3788" s="23" t="n">
        <v>46271</v>
      </c>
      <c r="G3788" s="24">
        <f>F3788-DATE(2026,8,31)</f>
        <v>6</v>
      </c>
      <c r="H3788" s="25" t="n">
        <v>92328255</v>
      </c>
      <c r="I3788" t="inlineStr">
        <is>
          <t>entidad-dia</t>
        </is>
      </c>
    </row>
    <row r="3789">
      <c r="A3789" t="inlineStr">
        <is>
          <t>PRAGMA</t>
        </is>
      </c>
      <c r="B3789" t="inlineStr">
        <is>
          <t>M1</t>
        </is>
      </c>
      <c r="C3789" t="inlineStr">
        <is>
          <t>Cali</t>
        </is>
      </c>
      <c r="D3789" t="inlineStr">
        <is>
          <t>6405</t>
        </is>
      </c>
      <c r="E3789" t="inlineStr">
        <is>
          <t>pagado</t>
        </is>
      </c>
      <c r="F3789" s="23" t="n">
        <v>46272</v>
      </c>
      <c r="G3789" s="24">
        <f>F3789-DATE(2026,8,31)</f>
        <v>7</v>
      </c>
      <c r="H3789" s="25" t="n">
        <v>108812275</v>
      </c>
      <c r="I3789" t="inlineStr">
        <is>
          <t>entidad-dia</t>
        </is>
      </c>
    </row>
    <row r="3790">
      <c r="A3790" t="inlineStr">
        <is>
          <t>PRAGMA</t>
        </is>
      </c>
      <c r="B3790" t="inlineStr">
        <is>
          <t>M1</t>
        </is>
      </c>
      <c r="C3790" t="inlineStr">
        <is>
          <t>Cali</t>
        </is>
      </c>
      <c r="D3790" t="inlineStr">
        <is>
          <t>6405</t>
        </is>
      </c>
      <c r="E3790" t="inlineStr">
        <is>
          <t>pagado</t>
        </is>
      </c>
      <c r="F3790" s="23" t="n">
        <v>46273</v>
      </c>
      <c r="G3790" s="24">
        <f>F3790-DATE(2026,8,31)</f>
        <v>8</v>
      </c>
      <c r="H3790" s="25" t="n">
        <v>107402866</v>
      </c>
      <c r="I3790" t="inlineStr">
        <is>
          <t>entidad-dia</t>
        </is>
      </c>
    </row>
    <row r="3791">
      <c r="A3791" t="inlineStr">
        <is>
          <t>PRAGMA</t>
        </is>
      </c>
      <c r="B3791" t="inlineStr">
        <is>
          <t>M1</t>
        </is>
      </c>
      <c r="C3791" t="inlineStr">
        <is>
          <t>Cali</t>
        </is>
      </c>
      <c r="D3791" t="inlineStr">
        <is>
          <t>6405</t>
        </is>
      </c>
      <c r="E3791" t="inlineStr">
        <is>
          <t>pagado</t>
        </is>
      </c>
      <c r="F3791" s="23" t="n">
        <v>46274</v>
      </c>
      <c r="G3791" s="24">
        <f>F3791-DATE(2026,8,31)</f>
        <v>9</v>
      </c>
      <c r="H3791" s="25" t="n">
        <v>102271188</v>
      </c>
      <c r="I3791" t="inlineStr">
        <is>
          <t>entidad-dia</t>
        </is>
      </c>
    </row>
    <row r="3792">
      <c r="A3792" t="inlineStr">
        <is>
          <t>PRAGMA</t>
        </is>
      </c>
      <c r="B3792" t="inlineStr">
        <is>
          <t>M1</t>
        </is>
      </c>
      <c r="C3792" t="inlineStr">
        <is>
          <t>Cali</t>
        </is>
      </c>
      <c r="D3792" t="inlineStr">
        <is>
          <t>6405</t>
        </is>
      </c>
      <c r="E3792" t="inlineStr">
        <is>
          <t>pagado</t>
        </is>
      </c>
      <c r="F3792" s="23" t="n">
        <v>46275</v>
      </c>
      <c r="G3792" s="24">
        <f>F3792-DATE(2026,8,31)</f>
        <v>10</v>
      </c>
      <c r="H3792" s="25" t="n">
        <v>109302126</v>
      </c>
      <c r="I3792" t="inlineStr">
        <is>
          <t>entidad-dia</t>
        </is>
      </c>
    </row>
    <row r="3793">
      <c r="A3793" t="inlineStr">
        <is>
          <t>PRAGMA</t>
        </is>
      </c>
      <c r="B3793" t="inlineStr">
        <is>
          <t>M1</t>
        </is>
      </c>
      <c r="C3793" t="inlineStr">
        <is>
          <t>Cali</t>
        </is>
      </c>
      <c r="D3793" t="inlineStr">
        <is>
          <t>6405</t>
        </is>
      </c>
      <c r="E3793" t="inlineStr">
        <is>
          <t>pagado</t>
        </is>
      </c>
      <c r="F3793" s="23" t="n">
        <v>46276</v>
      </c>
      <c r="G3793" s="24">
        <f>F3793-DATE(2026,8,31)</f>
        <v>11</v>
      </c>
      <c r="H3793" s="25" t="n">
        <v>101862256</v>
      </c>
      <c r="I3793" t="inlineStr">
        <is>
          <t>entidad-dia</t>
        </is>
      </c>
    </row>
    <row r="3794">
      <c r="A3794" t="inlineStr">
        <is>
          <t>PRAGMA</t>
        </is>
      </c>
      <c r="B3794" t="inlineStr">
        <is>
          <t>M1</t>
        </is>
      </c>
      <c r="C3794" t="inlineStr">
        <is>
          <t>Cali</t>
        </is>
      </c>
      <c r="D3794" t="inlineStr">
        <is>
          <t>6405</t>
        </is>
      </c>
      <c r="E3794" t="inlineStr">
        <is>
          <t>pagado</t>
        </is>
      </c>
      <c r="F3794" s="23" t="n">
        <v>46277</v>
      </c>
      <c r="G3794" s="24">
        <f>F3794-DATE(2026,8,31)</f>
        <v>12</v>
      </c>
      <c r="H3794" s="25" t="n">
        <v>134157384</v>
      </c>
      <c r="I3794" t="inlineStr">
        <is>
          <t>entidad-dia</t>
        </is>
      </c>
    </row>
    <row r="3795">
      <c r="A3795" t="inlineStr">
        <is>
          <t>PRAGMA</t>
        </is>
      </c>
      <c r="B3795" t="inlineStr">
        <is>
          <t>M1</t>
        </is>
      </c>
      <c r="C3795" t="inlineStr">
        <is>
          <t>Cali</t>
        </is>
      </c>
      <c r="D3795" t="inlineStr">
        <is>
          <t>6405</t>
        </is>
      </c>
      <c r="E3795" t="inlineStr">
        <is>
          <t>pagado</t>
        </is>
      </c>
      <c r="F3795" s="23" t="n">
        <v>46278</v>
      </c>
      <c r="G3795" s="24">
        <f>F3795-DATE(2026,8,31)</f>
        <v>13</v>
      </c>
      <c r="H3795" s="25" t="n">
        <v>70879265</v>
      </c>
      <c r="I3795" t="inlineStr">
        <is>
          <t>entidad-dia</t>
        </is>
      </c>
    </row>
    <row r="3796">
      <c r="A3796" t="inlineStr">
        <is>
          <t>PRAGMA</t>
        </is>
      </c>
      <c r="B3796" t="inlineStr">
        <is>
          <t>M1</t>
        </is>
      </c>
      <c r="C3796" t="inlineStr">
        <is>
          <t>Cali</t>
        </is>
      </c>
      <c r="D3796" t="inlineStr">
        <is>
          <t>6405</t>
        </is>
      </c>
      <c r="E3796" t="inlineStr">
        <is>
          <t>pagado</t>
        </is>
      </c>
      <c r="F3796" s="23" t="n">
        <v>46279</v>
      </c>
      <c r="G3796" s="24">
        <f>F3796-DATE(2026,8,31)</f>
        <v>14</v>
      </c>
      <c r="H3796" s="25" t="n">
        <v>105178599</v>
      </c>
      <c r="I3796" t="inlineStr">
        <is>
          <t>entidad-dia</t>
        </is>
      </c>
    </row>
    <row r="3797">
      <c r="A3797" t="inlineStr">
        <is>
          <t>PRAGMA</t>
        </is>
      </c>
      <c r="B3797" t="inlineStr">
        <is>
          <t>M1</t>
        </is>
      </c>
      <c r="C3797" t="inlineStr">
        <is>
          <t>Cali</t>
        </is>
      </c>
      <c r="D3797" t="inlineStr">
        <is>
          <t>6405</t>
        </is>
      </c>
      <c r="E3797" t="inlineStr">
        <is>
          <t>pagado</t>
        </is>
      </c>
      <c r="F3797" s="23" t="n">
        <v>46280</v>
      </c>
      <c r="G3797" s="24">
        <f>F3797-DATE(2026,8,31)</f>
        <v>15</v>
      </c>
      <c r="H3797" s="25" t="n">
        <v>164546814</v>
      </c>
      <c r="I3797" t="inlineStr">
        <is>
          <t>entidad-dia</t>
        </is>
      </c>
    </row>
    <row r="3798">
      <c r="A3798" t="inlineStr">
        <is>
          <t>PRAGMA</t>
        </is>
      </c>
      <c r="B3798" t="inlineStr">
        <is>
          <t>M1</t>
        </is>
      </c>
      <c r="C3798" t="inlineStr">
        <is>
          <t>Cali</t>
        </is>
      </c>
      <c r="D3798" t="inlineStr">
        <is>
          <t>6409</t>
        </is>
      </c>
      <c r="E3798" t="inlineStr">
        <is>
          <t>pagado</t>
        </is>
      </c>
      <c r="F3798" s="23" t="n">
        <v>46266</v>
      </c>
      <c r="G3798" s="24">
        <f>F3798-DATE(2026,8,31)</f>
        <v>1</v>
      </c>
      <c r="H3798" s="25" t="n">
        <v>212690128</v>
      </c>
      <c r="I3798" t="inlineStr">
        <is>
          <t>entidad-dia</t>
        </is>
      </c>
    </row>
    <row r="3799">
      <c r="A3799" t="inlineStr">
        <is>
          <t>PRAGMA</t>
        </is>
      </c>
      <c r="B3799" t="inlineStr">
        <is>
          <t>M1</t>
        </is>
      </c>
      <c r="C3799" t="inlineStr">
        <is>
          <t>Cali</t>
        </is>
      </c>
      <c r="D3799" t="inlineStr">
        <is>
          <t>6409</t>
        </is>
      </c>
      <c r="E3799" t="inlineStr">
        <is>
          <t>pagado</t>
        </is>
      </c>
      <c r="F3799" s="23" t="n">
        <v>46267</v>
      </c>
      <c r="G3799" s="24">
        <f>F3799-DATE(2026,8,31)</f>
        <v>2</v>
      </c>
      <c r="H3799" s="25" t="n">
        <v>180592861</v>
      </c>
      <c r="I3799" t="inlineStr">
        <is>
          <t>entidad-dia</t>
        </is>
      </c>
    </row>
    <row r="3800">
      <c r="A3800" t="inlineStr">
        <is>
          <t>PRAGMA</t>
        </is>
      </c>
      <c r="B3800" t="inlineStr">
        <is>
          <t>M1</t>
        </is>
      </c>
      <c r="C3800" t="inlineStr">
        <is>
          <t>Cali</t>
        </is>
      </c>
      <c r="D3800" t="inlineStr">
        <is>
          <t>6409</t>
        </is>
      </c>
      <c r="E3800" t="inlineStr">
        <is>
          <t>pagado</t>
        </is>
      </c>
      <c r="F3800" s="23" t="n">
        <v>46268</v>
      </c>
      <c r="G3800" s="24">
        <f>F3800-DATE(2026,8,31)</f>
        <v>3</v>
      </c>
      <c r="H3800" s="25" t="n">
        <v>176618102</v>
      </c>
      <c r="I3800" t="inlineStr">
        <is>
          <t>entidad-dia</t>
        </is>
      </c>
    </row>
    <row r="3801">
      <c r="A3801" t="inlineStr">
        <is>
          <t>PRAGMA</t>
        </is>
      </c>
      <c r="B3801" t="inlineStr">
        <is>
          <t>M1</t>
        </is>
      </c>
      <c r="C3801" t="inlineStr">
        <is>
          <t>Cali</t>
        </is>
      </c>
      <c r="D3801" t="inlineStr">
        <is>
          <t>6409</t>
        </is>
      </c>
      <c r="E3801" t="inlineStr">
        <is>
          <t>pagado</t>
        </is>
      </c>
      <c r="F3801" s="23" t="n">
        <v>46269</v>
      </c>
      <c r="G3801" s="24">
        <f>F3801-DATE(2026,8,31)</f>
        <v>4</v>
      </c>
      <c r="H3801" s="25" t="n">
        <v>161103336</v>
      </c>
      <c r="I3801" t="inlineStr">
        <is>
          <t>entidad-dia</t>
        </is>
      </c>
    </row>
    <row r="3802">
      <c r="A3802" t="inlineStr">
        <is>
          <t>PRAGMA</t>
        </is>
      </c>
      <c r="B3802" t="inlineStr">
        <is>
          <t>M1</t>
        </is>
      </c>
      <c r="C3802" t="inlineStr">
        <is>
          <t>Cali</t>
        </is>
      </c>
      <c r="D3802" t="inlineStr">
        <is>
          <t>6409</t>
        </is>
      </c>
      <c r="E3802" t="inlineStr">
        <is>
          <t>pagado</t>
        </is>
      </c>
      <c r="F3802" s="23" t="n">
        <v>46270</v>
      </c>
      <c r="G3802" s="24">
        <f>F3802-DATE(2026,8,31)</f>
        <v>5</v>
      </c>
      <c r="H3802" s="25" t="n">
        <v>161613018</v>
      </c>
      <c r="I3802" t="inlineStr">
        <is>
          <t>entidad-dia</t>
        </is>
      </c>
    </row>
    <row r="3803">
      <c r="A3803" t="inlineStr">
        <is>
          <t>PRAGMA</t>
        </is>
      </c>
      <c r="B3803" t="inlineStr">
        <is>
          <t>M1</t>
        </is>
      </c>
      <c r="C3803" t="inlineStr">
        <is>
          <t>Cali</t>
        </is>
      </c>
      <c r="D3803" t="inlineStr">
        <is>
          <t>6409</t>
        </is>
      </c>
      <c r="E3803" t="inlineStr">
        <is>
          <t>pagado</t>
        </is>
      </c>
      <c r="F3803" s="23" t="n">
        <v>46271</v>
      </c>
      <c r="G3803" s="24">
        <f>F3803-DATE(2026,8,31)</f>
        <v>6</v>
      </c>
      <c r="H3803" s="25" t="n">
        <v>102194273</v>
      </c>
      <c r="I3803" t="inlineStr">
        <is>
          <t>entidad-dia</t>
        </is>
      </c>
    </row>
    <row r="3804">
      <c r="A3804" t="inlineStr">
        <is>
          <t>PRAGMA</t>
        </is>
      </c>
      <c r="B3804" t="inlineStr">
        <is>
          <t>M1</t>
        </is>
      </c>
      <c r="C3804" t="inlineStr">
        <is>
          <t>Cali</t>
        </is>
      </c>
      <c r="D3804" t="inlineStr">
        <is>
          <t>6409</t>
        </is>
      </c>
      <c r="E3804" t="inlineStr">
        <is>
          <t>pagado</t>
        </is>
      </c>
      <c r="F3804" s="23" t="n">
        <v>46272</v>
      </c>
      <c r="G3804" s="24">
        <f>F3804-DATE(2026,8,31)</f>
        <v>7</v>
      </c>
      <c r="H3804" s="25" t="n">
        <v>116146547</v>
      </c>
      <c r="I3804" t="inlineStr">
        <is>
          <t>entidad-dia</t>
        </is>
      </c>
    </row>
    <row r="3805">
      <c r="A3805" t="inlineStr">
        <is>
          <t>PRAGMA</t>
        </is>
      </c>
      <c r="B3805" t="inlineStr">
        <is>
          <t>M1</t>
        </is>
      </c>
      <c r="C3805" t="inlineStr">
        <is>
          <t>Cali</t>
        </is>
      </c>
      <c r="D3805" t="inlineStr">
        <is>
          <t>6409</t>
        </is>
      </c>
      <c r="E3805" t="inlineStr">
        <is>
          <t>pagado</t>
        </is>
      </c>
      <c r="F3805" s="23" t="n">
        <v>46273</v>
      </c>
      <c r="G3805" s="24">
        <f>F3805-DATE(2026,8,31)</f>
        <v>8</v>
      </c>
      <c r="H3805" s="25" t="n">
        <v>124356575</v>
      </c>
      <c r="I3805" t="inlineStr">
        <is>
          <t>entidad-dia</t>
        </is>
      </c>
    </row>
    <row r="3806">
      <c r="A3806" t="inlineStr">
        <is>
          <t>PRAGMA</t>
        </is>
      </c>
      <c r="B3806" t="inlineStr">
        <is>
          <t>M1</t>
        </is>
      </c>
      <c r="C3806" t="inlineStr">
        <is>
          <t>Cali</t>
        </is>
      </c>
      <c r="D3806" t="inlineStr">
        <is>
          <t>6409</t>
        </is>
      </c>
      <c r="E3806" t="inlineStr">
        <is>
          <t>pagado</t>
        </is>
      </c>
      <c r="F3806" s="23" t="n">
        <v>46274</v>
      </c>
      <c r="G3806" s="24">
        <f>F3806-DATE(2026,8,31)</f>
        <v>9</v>
      </c>
      <c r="H3806" s="25" t="n">
        <v>139667201</v>
      </c>
      <c r="I3806" t="inlineStr">
        <is>
          <t>entidad-dia</t>
        </is>
      </c>
    </row>
    <row r="3807">
      <c r="A3807" t="inlineStr">
        <is>
          <t>PRAGMA</t>
        </is>
      </c>
      <c r="B3807" t="inlineStr">
        <is>
          <t>M1</t>
        </is>
      </c>
      <c r="C3807" t="inlineStr">
        <is>
          <t>Cali</t>
        </is>
      </c>
      <c r="D3807" t="inlineStr">
        <is>
          <t>6409</t>
        </is>
      </c>
      <c r="E3807" t="inlineStr">
        <is>
          <t>pagado</t>
        </is>
      </c>
      <c r="F3807" s="23" t="n">
        <v>46275</v>
      </c>
      <c r="G3807" s="24">
        <f>F3807-DATE(2026,8,31)</f>
        <v>10</v>
      </c>
      <c r="H3807" s="25" t="n">
        <v>134920059</v>
      </c>
      <c r="I3807" t="inlineStr">
        <is>
          <t>entidad-dia</t>
        </is>
      </c>
    </row>
    <row r="3808">
      <c r="A3808" t="inlineStr">
        <is>
          <t>PRAGMA</t>
        </is>
      </c>
      <c r="B3808" t="inlineStr">
        <is>
          <t>M1</t>
        </is>
      </c>
      <c r="C3808" t="inlineStr">
        <is>
          <t>Cali</t>
        </is>
      </c>
      <c r="D3808" t="inlineStr">
        <is>
          <t>6409</t>
        </is>
      </c>
      <c r="E3808" t="inlineStr">
        <is>
          <t>pagado</t>
        </is>
      </c>
      <c r="F3808" s="23" t="n">
        <v>46276</v>
      </c>
      <c r="G3808" s="24">
        <f>F3808-DATE(2026,8,31)</f>
        <v>11</v>
      </c>
      <c r="H3808" s="25" t="n">
        <v>136488004</v>
      </c>
      <c r="I3808" t="inlineStr">
        <is>
          <t>entidad-dia</t>
        </is>
      </c>
    </row>
    <row r="3809">
      <c r="A3809" t="inlineStr">
        <is>
          <t>PRAGMA</t>
        </is>
      </c>
      <c r="B3809" t="inlineStr">
        <is>
          <t>M1</t>
        </is>
      </c>
      <c r="C3809" t="inlineStr">
        <is>
          <t>Cali</t>
        </is>
      </c>
      <c r="D3809" t="inlineStr">
        <is>
          <t>6409</t>
        </is>
      </c>
      <c r="E3809" t="inlineStr">
        <is>
          <t>pagado</t>
        </is>
      </c>
      <c r="F3809" s="23" t="n">
        <v>46277</v>
      </c>
      <c r="G3809" s="24">
        <f>F3809-DATE(2026,8,31)</f>
        <v>12</v>
      </c>
      <c r="H3809" s="25" t="n">
        <v>133840500</v>
      </c>
      <c r="I3809" t="inlineStr">
        <is>
          <t>entidad-dia</t>
        </is>
      </c>
    </row>
    <row r="3810">
      <c r="A3810" t="inlineStr">
        <is>
          <t>PRAGMA</t>
        </is>
      </c>
      <c r="B3810" t="inlineStr">
        <is>
          <t>M1</t>
        </is>
      </c>
      <c r="C3810" t="inlineStr">
        <is>
          <t>Cali</t>
        </is>
      </c>
      <c r="D3810" t="inlineStr">
        <is>
          <t>6409</t>
        </is>
      </c>
      <c r="E3810" t="inlineStr">
        <is>
          <t>pagado</t>
        </is>
      </c>
      <c r="F3810" s="23" t="n">
        <v>46278</v>
      </c>
      <c r="G3810" s="24">
        <f>F3810-DATE(2026,8,31)</f>
        <v>13</v>
      </c>
      <c r="H3810" s="25" t="n">
        <v>81249796</v>
      </c>
      <c r="I3810" t="inlineStr">
        <is>
          <t>entidad-dia</t>
        </is>
      </c>
    </row>
    <row r="3811">
      <c r="A3811" t="inlineStr">
        <is>
          <t>PRAGMA</t>
        </is>
      </c>
      <c r="B3811" t="inlineStr">
        <is>
          <t>M1</t>
        </is>
      </c>
      <c r="C3811" t="inlineStr">
        <is>
          <t>Cali</t>
        </is>
      </c>
      <c r="D3811" t="inlineStr">
        <is>
          <t>6409</t>
        </is>
      </c>
      <c r="E3811" t="inlineStr">
        <is>
          <t>pagado</t>
        </is>
      </c>
      <c r="F3811" s="23" t="n">
        <v>46279</v>
      </c>
      <c r="G3811" s="24">
        <f>F3811-DATE(2026,8,31)</f>
        <v>14</v>
      </c>
      <c r="H3811" s="25" t="n">
        <v>112932463</v>
      </c>
      <c r="I3811" t="inlineStr">
        <is>
          <t>entidad-dia</t>
        </is>
      </c>
    </row>
    <row r="3812">
      <c r="A3812" t="inlineStr">
        <is>
          <t>PRAGMA</t>
        </is>
      </c>
      <c r="B3812" t="inlineStr">
        <is>
          <t>M1</t>
        </is>
      </c>
      <c r="C3812" t="inlineStr">
        <is>
          <t>Cali</t>
        </is>
      </c>
      <c r="D3812" t="inlineStr">
        <is>
          <t>6409</t>
        </is>
      </c>
      <c r="E3812" t="inlineStr">
        <is>
          <t>pagado</t>
        </is>
      </c>
      <c r="F3812" s="23" t="n">
        <v>46280</v>
      </c>
      <c r="G3812" s="24">
        <f>F3812-DATE(2026,8,31)</f>
        <v>15</v>
      </c>
      <c r="H3812" s="25" t="n">
        <v>167616753</v>
      </c>
      <c r="I3812" t="inlineStr">
        <is>
          <t>entidad-dia</t>
        </is>
      </c>
    </row>
    <row r="3813">
      <c r="A3813" t="inlineStr">
        <is>
          <t>PRAGMA</t>
        </is>
      </c>
      <c r="B3813" t="inlineStr">
        <is>
          <t>M1</t>
        </is>
      </c>
      <c r="C3813" t="inlineStr">
        <is>
          <t>Cali</t>
        </is>
      </c>
      <c r="D3813" t="inlineStr">
        <is>
          <t>6447</t>
        </is>
      </c>
      <c r="E3813" t="inlineStr">
        <is>
          <t>pagado</t>
        </is>
      </c>
      <c r="F3813" s="23" t="n">
        <v>46266</v>
      </c>
      <c r="G3813" s="24">
        <f>F3813-DATE(2026,8,31)</f>
        <v>1</v>
      </c>
      <c r="H3813" s="25" t="n">
        <v>108245859</v>
      </c>
      <c r="I3813" t="inlineStr">
        <is>
          <t>entidad-dia</t>
        </is>
      </c>
    </row>
    <row r="3814">
      <c r="A3814" t="inlineStr">
        <is>
          <t>PRAGMA</t>
        </is>
      </c>
      <c r="B3814" t="inlineStr">
        <is>
          <t>M1</t>
        </is>
      </c>
      <c r="C3814" t="inlineStr">
        <is>
          <t>Cali</t>
        </is>
      </c>
      <c r="D3814" t="inlineStr">
        <is>
          <t>6447</t>
        </is>
      </c>
      <c r="E3814" t="inlineStr">
        <is>
          <t>pagado</t>
        </is>
      </c>
      <c r="F3814" s="23" t="n">
        <v>46267</v>
      </c>
      <c r="G3814" s="24">
        <f>F3814-DATE(2026,8,31)</f>
        <v>2</v>
      </c>
      <c r="H3814" s="25" t="n">
        <v>82571439</v>
      </c>
      <c r="I3814" t="inlineStr">
        <is>
          <t>entidad-dia</t>
        </is>
      </c>
    </row>
    <row r="3815">
      <c r="A3815" t="inlineStr">
        <is>
          <t>PRAGMA</t>
        </is>
      </c>
      <c r="B3815" t="inlineStr">
        <is>
          <t>M1</t>
        </is>
      </c>
      <c r="C3815" t="inlineStr">
        <is>
          <t>Cali</t>
        </is>
      </c>
      <c r="D3815" t="inlineStr">
        <is>
          <t>6447</t>
        </is>
      </c>
      <c r="E3815" t="inlineStr">
        <is>
          <t>pagado</t>
        </is>
      </c>
      <c r="F3815" s="23" t="n">
        <v>46268</v>
      </c>
      <c r="G3815" s="24">
        <f>F3815-DATE(2026,8,31)</f>
        <v>3</v>
      </c>
      <c r="H3815" s="25" t="n">
        <v>72622892</v>
      </c>
      <c r="I3815" t="inlineStr">
        <is>
          <t>entidad-dia</t>
        </is>
      </c>
    </row>
    <row r="3816">
      <c r="A3816" t="inlineStr">
        <is>
          <t>PRAGMA</t>
        </is>
      </c>
      <c r="B3816" t="inlineStr">
        <is>
          <t>M1</t>
        </is>
      </c>
      <c r="C3816" t="inlineStr">
        <is>
          <t>Cali</t>
        </is>
      </c>
      <c r="D3816" t="inlineStr">
        <is>
          <t>6447</t>
        </is>
      </c>
      <c r="E3816" t="inlineStr">
        <is>
          <t>pagado</t>
        </is>
      </c>
      <c r="F3816" s="23" t="n">
        <v>46269</v>
      </c>
      <c r="G3816" s="24">
        <f>F3816-DATE(2026,8,31)</f>
        <v>4</v>
      </c>
      <c r="H3816" s="25" t="n">
        <v>81308133</v>
      </c>
      <c r="I3816" t="inlineStr">
        <is>
          <t>entidad-dia</t>
        </is>
      </c>
    </row>
    <row r="3817">
      <c r="A3817" t="inlineStr">
        <is>
          <t>PRAGMA</t>
        </is>
      </c>
      <c r="B3817" t="inlineStr">
        <is>
          <t>M1</t>
        </is>
      </c>
      <c r="C3817" t="inlineStr">
        <is>
          <t>Cali</t>
        </is>
      </c>
      <c r="D3817" t="inlineStr">
        <is>
          <t>6447</t>
        </is>
      </c>
      <c r="E3817" t="inlineStr">
        <is>
          <t>pagado</t>
        </is>
      </c>
      <c r="F3817" s="23" t="n">
        <v>46270</v>
      </c>
      <c r="G3817" s="24">
        <f>F3817-DATE(2026,8,31)</f>
        <v>5</v>
      </c>
      <c r="H3817" s="25" t="n">
        <v>77437238</v>
      </c>
      <c r="I3817" t="inlineStr">
        <is>
          <t>entidad-dia</t>
        </is>
      </c>
    </row>
    <row r="3818">
      <c r="A3818" t="inlineStr">
        <is>
          <t>PRAGMA</t>
        </is>
      </c>
      <c r="B3818" t="inlineStr">
        <is>
          <t>M1</t>
        </is>
      </c>
      <c r="C3818" t="inlineStr">
        <is>
          <t>Cali</t>
        </is>
      </c>
      <c r="D3818" t="inlineStr">
        <is>
          <t>6447</t>
        </is>
      </c>
      <c r="E3818" t="inlineStr">
        <is>
          <t>pagado</t>
        </is>
      </c>
      <c r="F3818" s="23" t="n">
        <v>46271</v>
      </c>
      <c r="G3818" s="24">
        <f>F3818-DATE(2026,8,31)</f>
        <v>6</v>
      </c>
      <c r="H3818" s="25" t="n">
        <v>54287693</v>
      </c>
      <c r="I3818" t="inlineStr">
        <is>
          <t>entidad-dia</t>
        </is>
      </c>
    </row>
    <row r="3819">
      <c r="A3819" t="inlineStr">
        <is>
          <t>PRAGMA</t>
        </is>
      </c>
      <c r="B3819" t="inlineStr">
        <is>
          <t>M1</t>
        </is>
      </c>
      <c r="C3819" t="inlineStr">
        <is>
          <t>Cali</t>
        </is>
      </c>
      <c r="D3819" t="inlineStr">
        <is>
          <t>6447</t>
        </is>
      </c>
      <c r="E3819" t="inlineStr">
        <is>
          <t>pagado</t>
        </is>
      </c>
      <c r="F3819" s="23" t="n">
        <v>46272</v>
      </c>
      <c r="G3819" s="24">
        <f>F3819-DATE(2026,8,31)</f>
        <v>7</v>
      </c>
      <c r="H3819" s="25" t="n">
        <v>62295790</v>
      </c>
      <c r="I3819" t="inlineStr">
        <is>
          <t>entidad-dia</t>
        </is>
      </c>
    </row>
    <row r="3820">
      <c r="A3820" t="inlineStr">
        <is>
          <t>PRAGMA</t>
        </is>
      </c>
      <c r="B3820" t="inlineStr">
        <is>
          <t>M1</t>
        </is>
      </c>
      <c r="C3820" t="inlineStr">
        <is>
          <t>Cali</t>
        </is>
      </c>
      <c r="D3820" t="inlineStr">
        <is>
          <t>6447</t>
        </is>
      </c>
      <c r="E3820" t="inlineStr">
        <is>
          <t>pagado</t>
        </is>
      </c>
      <c r="F3820" s="23" t="n">
        <v>46273</v>
      </c>
      <c r="G3820" s="24">
        <f>F3820-DATE(2026,8,31)</f>
        <v>8</v>
      </c>
      <c r="H3820" s="25" t="n">
        <v>63470492</v>
      </c>
      <c r="I3820" t="inlineStr">
        <is>
          <t>entidad-dia</t>
        </is>
      </c>
    </row>
    <row r="3821">
      <c r="A3821" t="inlineStr">
        <is>
          <t>PRAGMA</t>
        </is>
      </c>
      <c r="B3821" t="inlineStr">
        <is>
          <t>M1</t>
        </is>
      </c>
      <c r="C3821" t="inlineStr">
        <is>
          <t>Cali</t>
        </is>
      </c>
      <c r="D3821" t="inlineStr">
        <is>
          <t>6447</t>
        </is>
      </c>
      <c r="E3821" t="inlineStr">
        <is>
          <t>pagado</t>
        </is>
      </c>
      <c r="F3821" s="23" t="n">
        <v>46274</v>
      </c>
      <c r="G3821" s="24">
        <f>F3821-DATE(2026,8,31)</f>
        <v>9</v>
      </c>
      <c r="H3821" s="25" t="n">
        <v>60125279</v>
      </c>
      <c r="I3821" t="inlineStr">
        <is>
          <t>entidad-dia</t>
        </is>
      </c>
    </row>
    <row r="3822">
      <c r="A3822" t="inlineStr">
        <is>
          <t>PRAGMA</t>
        </is>
      </c>
      <c r="B3822" t="inlineStr">
        <is>
          <t>M1</t>
        </is>
      </c>
      <c r="C3822" t="inlineStr">
        <is>
          <t>Cali</t>
        </is>
      </c>
      <c r="D3822" t="inlineStr">
        <is>
          <t>6447</t>
        </is>
      </c>
      <c r="E3822" t="inlineStr">
        <is>
          <t>pagado</t>
        </is>
      </c>
      <c r="F3822" s="23" t="n">
        <v>46275</v>
      </c>
      <c r="G3822" s="24">
        <f>F3822-DATE(2026,8,31)</f>
        <v>10</v>
      </c>
      <c r="H3822" s="25" t="n">
        <v>48108104</v>
      </c>
      <c r="I3822" t="inlineStr">
        <is>
          <t>entidad-dia</t>
        </is>
      </c>
    </row>
    <row r="3823">
      <c r="A3823" t="inlineStr">
        <is>
          <t>PRAGMA</t>
        </is>
      </c>
      <c r="B3823" t="inlineStr">
        <is>
          <t>M1</t>
        </is>
      </c>
      <c r="C3823" t="inlineStr">
        <is>
          <t>Cali</t>
        </is>
      </c>
      <c r="D3823" t="inlineStr">
        <is>
          <t>6447</t>
        </is>
      </c>
      <c r="E3823" t="inlineStr">
        <is>
          <t>pagado</t>
        </is>
      </c>
      <c r="F3823" s="23" t="n">
        <v>46276</v>
      </c>
      <c r="G3823" s="24">
        <f>F3823-DATE(2026,8,31)</f>
        <v>11</v>
      </c>
      <c r="H3823" s="25" t="n">
        <v>56937266</v>
      </c>
      <c r="I3823" t="inlineStr">
        <is>
          <t>entidad-dia</t>
        </is>
      </c>
    </row>
    <row r="3824">
      <c r="A3824" t="inlineStr">
        <is>
          <t>PRAGMA</t>
        </is>
      </c>
      <c r="B3824" t="inlineStr">
        <is>
          <t>M1</t>
        </is>
      </c>
      <c r="C3824" t="inlineStr">
        <is>
          <t>Cali</t>
        </is>
      </c>
      <c r="D3824" t="inlineStr">
        <is>
          <t>6447</t>
        </is>
      </c>
      <c r="E3824" t="inlineStr">
        <is>
          <t>pagado</t>
        </is>
      </c>
      <c r="F3824" s="23" t="n">
        <v>46277</v>
      </c>
      <c r="G3824" s="24">
        <f>F3824-DATE(2026,8,31)</f>
        <v>12</v>
      </c>
      <c r="H3824" s="25" t="n">
        <v>57128769</v>
      </c>
      <c r="I3824" t="inlineStr">
        <is>
          <t>entidad-dia</t>
        </is>
      </c>
    </row>
    <row r="3825">
      <c r="A3825" t="inlineStr">
        <is>
          <t>PRAGMA</t>
        </is>
      </c>
      <c r="B3825" t="inlineStr">
        <is>
          <t>M1</t>
        </is>
      </c>
      <c r="C3825" t="inlineStr">
        <is>
          <t>Cali</t>
        </is>
      </c>
      <c r="D3825" t="inlineStr">
        <is>
          <t>6447</t>
        </is>
      </c>
      <c r="E3825" t="inlineStr">
        <is>
          <t>pagado</t>
        </is>
      </c>
      <c r="F3825" s="23" t="n">
        <v>46278</v>
      </c>
      <c r="G3825" s="24">
        <f>F3825-DATE(2026,8,31)</f>
        <v>13</v>
      </c>
      <c r="H3825" s="25" t="n">
        <v>39786008</v>
      </c>
      <c r="I3825" t="inlineStr">
        <is>
          <t>entidad-dia</t>
        </is>
      </c>
    </row>
    <row r="3826">
      <c r="A3826" t="inlineStr">
        <is>
          <t>PRAGMA</t>
        </is>
      </c>
      <c r="B3826" t="inlineStr">
        <is>
          <t>M1</t>
        </is>
      </c>
      <c r="C3826" t="inlineStr">
        <is>
          <t>Cali</t>
        </is>
      </c>
      <c r="D3826" t="inlineStr">
        <is>
          <t>6447</t>
        </is>
      </c>
      <c r="E3826" t="inlineStr">
        <is>
          <t>pagado</t>
        </is>
      </c>
      <c r="F3826" s="23" t="n">
        <v>46279</v>
      </c>
      <c r="G3826" s="24">
        <f>F3826-DATE(2026,8,31)</f>
        <v>14</v>
      </c>
      <c r="H3826" s="25" t="n">
        <v>60087251</v>
      </c>
      <c r="I3826" t="inlineStr">
        <is>
          <t>entidad-dia</t>
        </is>
      </c>
    </row>
    <row r="3827">
      <c r="A3827" t="inlineStr">
        <is>
          <t>PRAGMA</t>
        </is>
      </c>
      <c r="B3827" t="inlineStr">
        <is>
          <t>M1</t>
        </is>
      </c>
      <c r="C3827" t="inlineStr">
        <is>
          <t>Cali</t>
        </is>
      </c>
      <c r="D3827" t="inlineStr">
        <is>
          <t>6447</t>
        </is>
      </c>
      <c r="E3827" t="inlineStr">
        <is>
          <t>pagado</t>
        </is>
      </c>
      <c r="F3827" s="23" t="n">
        <v>46280</v>
      </c>
      <c r="G3827" s="24">
        <f>F3827-DATE(2026,8,31)</f>
        <v>15</v>
      </c>
      <c r="H3827" s="25" t="n">
        <v>83532497</v>
      </c>
      <c r="I3827" t="inlineStr">
        <is>
          <t>entidad-dia</t>
        </is>
      </c>
    </row>
    <row r="3828">
      <c r="A3828" t="inlineStr">
        <is>
          <t>PRAGMA</t>
        </is>
      </c>
      <c r="B3828" t="inlineStr">
        <is>
          <t>M1</t>
        </is>
      </c>
      <c r="C3828" t="inlineStr">
        <is>
          <t>Cali</t>
        </is>
      </c>
      <c r="D3828" t="inlineStr">
        <is>
          <t>6452</t>
        </is>
      </c>
      <c r="E3828" t="inlineStr">
        <is>
          <t>pagado</t>
        </is>
      </c>
      <c r="F3828" s="23" t="n">
        <v>46266</v>
      </c>
      <c r="G3828" s="24">
        <f>F3828-DATE(2026,8,31)</f>
        <v>1</v>
      </c>
      <c r="H3828" s="25" t="n">
        <v>199042208</v>
      </c>
      <c r="I3828" t="inlineStr">
        <is>
          <t>entidad-dia</t>
        </is>
      </c>
    </row>
    <row r="3829">
      <c r="A3829" t="inlineStr">
        <is>
          <t>PRAGMA</t>
        </is>
      </c>
      <c r="B3829" t="inlineStr">
        <is>
          <t>M1</t>
        </is>
      </c>
      <c r="C3829" t="inlineStr">
        <is>
          <t>Cali</t>
        </is>
      </c>
      <c r="D3829" t="inlineStr">
        <is>
          <t>6452</t>
        </is>
      </c>
      <c r="E3829" t="inlineStr">
        <is>
          <t>pagado</t>
        </is>
      </c>
      <c r="F3829" s="23" t="n">
        <v>46267</v>
      </c>
      <c r="G3829" s="24">
        <f>F3829-DATE(2026,8,31)</f>
        <v>2</v>
      </c>
      <c r="H3829" s="25" t="n">
        <v>149375127</v>
      </c>
      <c r="I3829" t="inlineStr">
        <is>
          <t>entidad-dia</t>
        </is>
      </c>
    </row>
    <row r="3830">
      <c r="A3830" t="inlineStr">
        <is>
          <t>PRAGMA</t>
        </is>
      </c>
      <c r="B3830" t="inlineStr">
        <is>
          <t>M1</t>
        </is>
      </c>
      <c r="C3830" t="inlineStr">
        <is>
          <t>Cali</t>
        </is>
      </c>
      <c r="D3830" t="inlineStr">
        <is>
          <t>6452</t>
        </is>
      </c>
      <c r="E3830" t="inlineStr">
        <is>
          <t>pagado</t>
        </is>
      </c>
      <c r="F3830" s="23" t="n">
        <v>46268</v>
      </c>
      <c r="G3830" s="24">
        <f>F3830-DATE(2026,8,31)</f>
        <v>3</v>
      </c>
      <c r="H3830" s="25" t="n">
        <v>146808838</v>
      </c>
      <c r="I3830" t="inlineStr">
        <is>
          <t>entidad-dia</t>
        </is>
      </c>
    </row>
    <row r="3831">
      <c r="A3831" t="inlineStr">
        <is>
          <t>PRAGMA</t>
        </is>
      </c>
      <c r="B3831" t="inlineStr">
        <is>
          <t>M1</t>
        </is>
      </c>
      <c r="C3831" t="inlineStr">
        <is>
          <t>Cali</t>
        </is>
      </c>
      <c r="D3831" t="inlineStr">
        <is>
          <t>6452</t>
        </is>
      </c>
      <c r="E3831" t="inlineStr">
        <is>
          <t>pagado</t>
        </is>
      </c>
      <c r="F3831" s="23" t="n">
        <v>46269</v>
      </c>
      <c r="G3831" s="24">
        <f>F3831-DATE(2026,8,31)</f>
        <v>4</v>
      </c>
      <c r="H3831" s="25" t="n">
        <v>134479353</v>
      </c>
      <c r="I3831" t="inlineStr">
        <is>
          <t>entidad-dia</t>
        </is>
      </c>
    </row>
    <row r="3832">
      <c r="A3832" t="inlineStr">
        <is>
          <t>PRAGMA</t>
        </is>
      </c>
      <c r="B3832" t="inlineStr">
        <is>
          <t>M1</t>
        </is>
      </c>
      <c r="C3832" t="inlineStr">
        <is>
          <t>Cali</t>
        </is>
      </c>
      <c r="D3832" t="inlineStr">
        <is>
          <t>6452</t>
        </is>
      </c>
      <c r="E3832" t="inlineStr">
        <is>
          <t>pagado</t>
        </is>
      </c>
      <c r="F3832" s="23" t="n">
        <v>46270</v>
      </c>
      <c r="G3832" s="24">
        <f>F3832-DATE(2026,8,31)</f>
        <v>5</v>
      </c>
      <c r="H3832" s="25" t="n">
        <v>152888230</v>
      </c>
      <c r="I3832" t="inlineStr">
        <is>
          <t>entidad-dia</t>
        </is>
      </c>
    </row>
    <row r="3833">
      <c r="A3833" t="inlineStr">
        <is>
          <t>PRAGMA</t>
        </is>
      </c>
      <c r="B3833" t="inlineStr">
        <is>
          <t>M1</t>
        </is>
      </c>
      <c r="C3833" t="inlineStr">
        <is>
          <t>Cali</t>
        </is>
      </c>
      <c r="D3833" t="inlineStr">
        <is>
          <t>6452</t>
        </is>
      </c>
      <c r="E3833" t="inlineStr">
        <is>
          <t>pagado</t>
        </is>
      </c>
      <c r="F3833" s="23" t="n">
        <v>46271</v>
      </c>
      <c r="G3833" s="24">
        <f>F3833-DATE(2026,8,31)</f>
        <v>6</v>
      </c>
      <c r="H3833" s="25" t="n">
        <v>71773459</v>
      </c>
      <c r="I3833" t="inlineStr">
        <is>
          <t>entidad-dia</t>
        </is>
      </c>
    </row>
    <row r="3834">
      <c r="A3834" t="inlineStr">
        <is>
          <t>PRAGMA</t>
        </is>
      </c>
      <c r="B3834" t="inlineStr">
        <is>
          <t>M1</t>
        </is>
      </c>
      <c r="C3834" t="inlineStr">
        <is>
          <t>Cali</t>
        </is>
      </c>
      <c r="D3834" t="inlineStr">
        <is>
          <t>6452</t>
        </is>
      </c>
      <c r="E3834" t="inlineStr">
        <is>
          <t>pagado</t>
        </is>
      </c>
      <c r="F3834" s="23" t="n">
        <v>46272</v>
      </c>
      <c r="G3834" s="24">
        <f>F3834-DATE(2026,8,31)</f>
        <v>7</v>
      </c>
      <c r="H3834" s="25" t="n">
        <v>103709191</v>
      </c>
      <c r="I3834" t="inlineStr">
        <is>
          <t>entidad-dia</t>
        </is>
      </c>
    </row>
    <row r="3835">
      <c r="A3835" t="inlineStr">
        <is>
          <t>PRAGMA</t>
        </is>
      </c>
      <c r="B3835" t="inlineStr">
        <is>
          <t>M1</t>
        </is>
      </c>
      <c r="C3835" t="inlineStr">
        <is>
          <t>Cali</t>
        </is>
      </c>
      <c r="D3835" t="inlineStr">
        <is>
          <t>6452</t>
        </is>
      </c>
      <c r="E3835" t="inlineStr">
        <is>
          <t>pagado</t>
        </is>
      </c>
      <c r="F3835" s="23" t="n">
        <v>46273</v>
      </c>
      <c r="G3835" s="24">
        <f>F3835-DATE(2026,8,31)</f>
        <v>8</v>
      </c>
      <c r="H3835" s="25" t="n">
        <v>105066827</v>
      </c>
      <c r="I3835" t="inlineStr">
        <is>
          <t>entidad-dia</t>
        </is>
      </c>
    </row>
    <row r="3836">
      <c r="A3836" t="inlineStr">
        <is>
          <t>PRAGMA</t>
        </is>
      </c>
      <c r="B3836" t="inlineStr">
        <is>
          <t>M1</t>
        </is>
      </c>
      <c r="C3836" t="inlineStr">
        <is>
          <t>Cali</t>
        </is>
      </c>
      <c r="D3836" t="inlineStr">
        <is>
          <t>6452</t>
        </is>
      </c>
      <c r="E3836" t="inlineStr">
        <is>
          <t>pagado</t>
        </is>
      </c>
      <c r="F3836" s="23" t="n">
        <v>46274</v>
      </c>
      <c r="G3836" s="24">
        <f>F3836-DATE(2026,8,31)</f>
        <v>9</v>
      </c>
      <c r="H3836" s="25" t="n">
        <v>98772399</v>
      </c>
      <c r="I3836" t="inlineStr">
        <is>
          <t>entidad-dia</t>
        </is>
      </c>
    </row>
    <row r="3837">
      <c r="A3837" t="inlineStr">
        <is>
          <t>PRAGMA</t>
        </is>
      </c>
      <c r="B3837" t="inlineStr">
        <is>
          <t>M1</t>
        </is>
      </c>
      <c r="C3837" t="inlineStr">
        <is>
          <t>Cali</t>
        </is>
      </c>
      <c r="D3837" t="inlineStr">
        <is>
          <t>6452</t>
        </is>
      </c>
      <c r="E3837" t="inlineStr">
        <is>
          <t>pagado</t>
        </is>
      </c>
      <c r="F3837" s="23" t="n">
        <v>46275</v>
      </c>
      <c r="G3837" s="24">
        <f>F3837-DATE(2026,8,31)</f>
        <v>10</v>
      </c>
      <c r="H3837" s="25" t="n">
        <v>92926010</v>
      </c>
      <c r="I3837" t="inlineStr">
        <is>
          <t>entidad-dia</t>
        </is>
      </c>
    </row>
    <row r="3838">
      <c r="A3838" t="inlineStr">
        <is>
          <t>PRAGMA</t>
        </is>
      </c>
      <c r="B3838" t="inlineStr">
        <is>
          <t>M1</t>
        </is>
      </c>
      <c r="C3838" t="inlineStr">
        <is>
          <t>Cali</t>
        </is>
      </c>
      <c r="D3838" t="inlineStr">
        <is>
          <t>6452</t>
        </is>
      </c>
      <c r="E3838" t="inlineStr">
        <is>
          <t>pagado</t>
        </is>
      </c>
      <c r="F3838" s="23" t="n">
        <v>46276</v>
      </c>
      <c r="G3838" s="24">
        <f>F3838-DATE(2026,8,31)</f>
        <v>11</v>
      </c>
      <c r="H3838" s="25" t="n">
        <v>102069146</v>
      </c>
      <c r="I3838" t="inlineStr">
        <is>
          <t>entidad-dia</t>
        </is>
      </c>
    </row>
    <row r="3839">
      <c r="A3839" t="inlineStr">
        <is>
          <t>PRAGMA</t>
        </is>
      </c>
      <c r="B3839" t="inlineStr">
        <is>
          <t>M1</t>
        </is>
      </c>
      <c r="C3839" t="inlineStr">
        <is>
          <t>Cali</t>
        </is>
      </c>
      <c r="D3839" t="inlineStr">
        <is>
          <t>6452</t>
        </is>
      </c>
      <c r="E3839" t="inlineStr">
        <is>
          <t>pagado</t>
        </is>
      </c>
      <c r="F3839" s="23" t="n">
        <v>46277</v>
      </c>
      <c r="G3839" s="24">
        <f>F3839-DATE(2026,8,31)</f>
        <v>12</v>
      </c>
      <c r="H3839" s="25" t="n">
        <v>132403697</v>
      </c>
      <c r="I3839" t="inlineStr">
        <is>
          <t>entidad-dia</t>
        </is>
      </c>
    </row>
    <row r="3840">
      <c r="A3840" t="inlineStr">
        <is>
          <t>PRAGMA</t>
        </is>
      </c>
      <c r="B3840" t="inlineStr">
        <is>
          <t>M1</t>
        </is>
      </c>
      <c r="C3840" t="inlineStr">
        <is>
          <t>Cali</t>
        </is>
      </c>
      <c r="D3840" t="inlineStr">
        <is>
          <t>6452</t>
        </is>
      </c>
      <c r="E3840" t="inlineStr">
        <is>
          <t>pagado</t>
        </is>
      </c>
      <c r="F3840" s="23" t="n">
        <v>46278</v>
      </c>
      <c r="G3840" s="24">
        <f>F3840-DATE(2026,8,31)</f>
        <v>13</v>
      </c>
      <c r="H3840" s="25" t="n">
        <v>67180630</v>
      </c>
      <c r="I3840" t="inlineStr">
        <is>
          <t>entidad-dia</t>
        </is>
      </c>
    </row>
    <row r="3841">
      <c r="A3841" t="inlineStr">
        <is>
          <t>PRAGMA</t>
        </is>
      </c>
      <c r="B3841" t="inlineStr">
        <is>
          <t>M1</t>
        </is>
      </c>
      <c r="C3841" t="inlineStr">
        <is>
          <t>Cali</t>
        </is>
      </c>
      <c r="D3841" t="inlineStr">
        <is>
          <t>6452</t>
        </is>
      </c>
      <c r="E3841" t="inlineStr">
        <is>
          <t>pagado</t>
        </is>
      </c>
      <c r="F3841" s="23" t="n">
        <v>46279</v>
      </c>
      <c r="G3841" s="24">
        <f>F3841-DATE(2026,8,31)</f>
        <v>14</v>
      </c>
      <c r="H3841" s="25" t="n">
        <v>92480454</v>
      </c>
      <c r="I3841" t="inlineStr">
        <is>
          <t>entidad-dia</t>
        </is>
      </c>
    </row>
    <row r="3842">
      <c r="A3842" t="inlineStr">
        <is>
          <t>PRAGMA</t>
        </is>
      </c>
      <c r="B3842" t="inlineStr">
        <is>
          <t>M1</t>
        </is>
      </c>
      <c r="C3842" t="inlineStr">
        <is>
          <t>Cali</t>
        </is>
      </c>
      <c r="D3842" t="inlineStr">
        <is>
          <t>6452</t>
        </is>
      </c>
      <c r="E3842" t="inlineStr">
        <is>
          <t>pagado</t>
        </is>
      </c>
      <c r="F3842" s="23" t="n">
        <v>46280</v>
      </c>
      <c r="G3842" s="24">
        <f>F3842-DATE(2026,8,31)</f>
        <v>15</v>
      </c>
      <c r="H3842" s="25" t="n">
        <v>156290970</v>
      </c>
      <c r="I3842" t="inlineStr">
        <is>
          <t>entidad-dia</t>
        </is>
      </c>
    </row>
    <row r="3843">
      <c r="A3843" t="inlineStr">
        <is>
          <t>PRAGMA</t>
        </is>
      </c>
      <c r="B3843" t="inlineStr">
        <is>
          <t>M1</t>
        </is>
      </c>
      <c r="C3843" t="inlineStr">
        <is>
          <t>Cali</t>
        </is>
      </c>
      <c r="D3843" t="inlineStr">
        <is>
          <t>6493</t>
        </is>
      </c>
      <c r="E3843" t="inlineStr">
        <is>
          <t>pagado</t>
        </is>
      </c>
      <c r="F3843" s="23" t="n">
        <v>46266</v>
      </c>
      <c r="G3843" s="24">
        <f>F3843-DATE(2026,8,31)</f>
        <v>1</v>
      </c>
      <c r="H3843" s="25" t="n">
        <v>211089749</v>
      </c>
      <c r="I3843" t="inlineStr">
        <is>
          <t>entidad-dia</t>
        </is>
      </c>
    </row>
    <row r="3844">
      <c r="A3844" t="inlineStr">
        <is>
          <t>PRAGMA</t>
        </is>
      </c>
      <c r="B3844" t="inlineStr">
        <is>
          <t>M1</t>
        </is>
      </c>
      <c r="C3844" t="inlineStr">
        <is>
          <t>Cali</t>
        </is>
      </c>
      <c r="D3844" t="inlineStr">
        <is>
          <t>6493</t>
        </is>
      </c>
      <c r="E3844" t="inlineStr">
        <is>
          <t>pagado</t>
        </is>
      </c>
      <c r="F3844" s="23" t="n">
        <v>46267</v>
      </c>
      <c r="G3844" s="24">
        <f>F3844-DATE(2026,8,31)</f>
        <v>2</v>
      </c>
      <c r="H3844" s="25" t="n">
        <v>172100071</v>
      </c>
      <c r="I3844" t="inlineStr">
        <is>
          <t>entidad-dia</t>
        </is>
      </c>
    </row>
    <row r="3845">
      <c r="A3845" t="inlineStr">
        <is>
          <t>PRAGMA</t>
        </is>
      </c>
      <c r="B3845" t="inlineStr">
        <is>
          <t>M1</t>
        </is>
      </c>
      <c r="C3845" t="inlineStr">
        <is>
          <t>Cali</t>
        </is>
      </c>
      <c r="D3845" t="inlineStr">
        <is>
          <t>6493</t>
        </is>
      </c>
      <c r="E3845" t="inlineStr">
        <is>
          <t>pagado</t>
        </is>
      </c>
      <c r="F3845" s="23" t="n">
        <v>46268</v>
      </c>
      <c r="G3845" s="24">
        <f>F3845-DATE(2026,8,31)</f>
        <v>3</v>
      </c>
      <c r="H3845" s="25" t="n">
        <v>158298875</v>
      </c>
      <c r="I3845" t="inlineStr">
        <is>
          <t>entidad-dia</t>
        </is>
      </c>
    </row>
    <row r="3846">
      <c r="A3846" t="inlineStr">
        <is>
          <t>PRAGMA</t>
        </is>
      </c>
      <c r="B3846" t="inlineStr">
        <is>
          <t>M1</t>
        </is>
      </c>
      <c r="C3846" t="inlineStr">
        <is>
          <t>Cali</t>
        </is>
      </c>
      <c r="D3846" t="inlineStr">
        <is>
          <t>6493</t>
        </is>
      </c>
      <c r="E3846" t="inlineStr">
        <is>
          <t>pagado</t>
        </is>
      </c>
      <c r="F3846" s="23" t="n">
        <v>46269</v>
      </c>
      <c r="G3846" s="24">
        <f>F3846-DATE(2026,8,31)</f>
        <v>4</v>
      </c>
      <c r="H3846" s="25" t="n">
        <v>160706880</v>
      </c>
      <c r="I3846" t="inlineStr">
        <is>
          <t>entidad-dia</t>
        </is>
      </c>
    </row>
    <row r="3847">
      <c r="A3847" t="inlineStr">
        <is>
          <t>PRAGMA</t>
        </is>
      </c>
      <c r="B3847" t="inlineStr">
        <is>
          <t>M1</t>
        </is>
      </c>
      <c r="C3847" t="inlineStr">
        <is>
          <t>Cali</t>
        </is>
      </c>
      <c r="D3847" t="inlineStr">
        <is>
          <t>6493</t>
        </is>
      </c>
      <c r="E3847" t="inlineStr">
        <is>
          <t>pagado</t>
        </is>
      </c>
      <c r="F3847" s="23" t="n">
        <v>46270</v>
      </c>
      <c r="G3847" s="24">
        <f>F3847-DATE(2026,8,31)</f>
        <v>5</v>
      </c>
      <c r="H3847" s="25" t="n">
        <v>174129915</v>
      </c>
      <c r="I3847" t="inlineStr">
        <is>
          <t>entidad-dia</t>
        </is>
      </c>
    </row>
    <row r="3848">
      <c r="A3848" t="inlineStr">
        <is>
          <t>PRAGMA</t>
        </is>
      </c>
      <c r="B3848" t="inlineStr">
        <is>
          <t>M1</t>
        </is>
      </c>
      <c r="C3848" t="inlineStr">
        <is>
          <t>Cali</t>
        </is>
      </c>
      <c r="D3848" t="inlineStr">
        <is>
          <t>6493</t>
        </is>
      </c>
      <c r="E3848" t="inlineStr">
        <is>
          <t>pagado</t>
        </is>
      </c>
      <c r="F3848" s="23" t="n">
        <v>46271</v>
      </c>
      <c r="G3848" s="24">
        <f>F3848-DATE(2026,8,31)</f>
        <v>6</v>
      </c>
      <c r="H3848" s="25" t="n">
        <v>137981172</v>
      </c>
      <c r="I3848" t="inlineStr">
        <is>
          <t>entidad-dia</t>
        </is>
      </c>
    </row>
    <row r="3849">
      <c r="A3849" t="inlineStr">
        <is>
          <t>PRAGMA</t>
        </is>
      </c>
      <c r="B3849" t="inlineStr">
        <is>
          <t>M1</t>
        </is>
      </c>
      <c r="C3849" t="inlineStr">
        <is>
          <t>Cali</t>
        </is>
      </c>
      <c r="D3849" t="inlineStr">
        <is>
          <t>6493</t>
        </is>
      </c>
      <c r="E3849" t="inlineStr">
        <is>
          <t>pagado</t>
        </is>
      </c>
      <c r="F3849" s="23" t="n">
        <v>46272</v>
      </c>
      <c r="G3849" s="24">
        <f>F3849-DATE(2026,8,31)</f>
        <v>7</v>
      </c>
      <c r="H3849" s="25" t="n">
        <v>136109972</v>
      </c>
      <c r="I3849" t="inlineStr">
        <is>
          <t>entidad-dia</t>
        </is>
      </c>
    </row>
    <row r="3850">
      <c r="A3850" t="inlineStr">
        <is>
          <t>PRAGMA</t>
        </is>
      </c>
      <c r="B3850" t="inlineStr">
        <is>
          <t>M1</t>
        </is>
      </c>
      <c r="C3850" t="inlineStr">
        <is>
          <t>Cali</t>
        </is>
      </c>
      <c r="D3850" t="inlineStr">
        <is>
          <t>6493</t>
        </is>
      </c>
      <c r="E3850" t="inlineStr">
        <is>
          <t>pagado</t>
        </is>
      </c>
      <c r="F3850" s="23" t="n">
        <v>46273</v>
      </c>
      <c r="G3850" s="24">
        <f>F3850-DATE(2026,8,31)</f>
        <v>8</v>
      </c>
      <c r="H3850" s="25" t="n">
        <v>116668992</v>
      </c>
      <c r="I3850" t="inlineStr">
        <is>
          <t>entidad-dia</t>
        </is>
      </c>
    </row>
    <row r="3851">
      <c r="A3851" t="inlineStr">
        <is>
          <t>PRAGMA</t>
        </is>
      </c>
      <c r="B3851" t="inlineStr">
        <is>
          <t>M1</t>
        </is>
      </c>
      <c r="C3851" t="inlineStr">
        <is>
          <t>Cali</t>
        </is>
      </c>
      <c r="D3851" t="inlineStr">
        <is>
          <t>6493</t>
        </is>
      </c>
      <c r="E3851" t="inlineStr">
        <is>
          <t>pagado</t>
        </is>
      </c>
      <c r="F3851" s="23" t="n">
        <v>46274</v>
      </c>
      <c r="G3851" s="24">
        <f>F3851-DATE(2026,8,31)</f>
        <v>9</v>
      </c>
      <c r="H3851" s="25" t="n">
        <v>105786452</v>
      </c>
      <c r="I3851" t="inlineStr">
        <is>
          <t>entidad-dia</t>
        </is>
      </c>
    </row>
    <row r="3852">
      <c r="A3852" t="inlineStr">
        <is>
          <t>PRAGMA</t>
        </is>
      </c>
      <c r="B3852" t="inlineStr">
        <is>
          <t>M1</t>
        </is>
      </c>
      <c r="C3852" t="inlineStr">
        <is>
          <t>Cali</t>
        </is>
      </c>
      <c r="D3852" t="inlineStr">
        <is>
          <t>6493</t>
        </is>
      </c>
      <c r="E3852" t="inlineStr">
        <is>
          <t>pagado</t>
        </is>
      </c>
      <c r="F3852" s="23" t="n">
        <v>46275</v>
      </c>
      <c r="G3852" s="24">
        <f>F3852-DATE(2026,8,31)</f>
        <v>10</v>
      </c>
      <c r="H3852" s="25" t="n">
        <v>108116920</v>
      </c>
      <c r="I3852" t="inlineStr">
        <is>
          <t>entidad-dia</t>
        </is>
      </c>
    </row>
    <row r="3853">
      <c r="A3853" t="inlineStr">
        <is>
          <t>PRAGMA</t>
        </is>
      </c>
      <c r="B3853" t="inlineStr">
        <is>
          <t>M1</t>
        </is>
      </c>
      <c r="C3853" t="inlineStr">
        <is>
          <t>Cali</t>
        </is>
      </c>
      <c r="D3853" t="inlineStr">
        <is>
          <t>6493</t>
        </is>
      </c>
      <c r="E3853" t="inlineStr">
        <is>
          <t>pagado</t>
        </is>
      </c>
      <c r="F3853" s="23" t="n">
        <v>46276</v>
      </c>
      <c r="G3853" s="24">
        <f>F3853-DATE(2026,8,31)</f>
        <v>11</v>
      </c>
      <c r="H3853" s="25" t="n">
        <v>122511855</v>
      </c>
      <c r="I3853" t="inlineStr">
        <is>
          <t>entidad-dia</t>
        </is>
      </c>
    </row>
    <row r="3854">
      <c r="A3854" t="inlineStr">
        <is>
          <t>PRAGMA</t>
        </is>
      </c>
      <c r="B3854" t="inlineStr">
        <is>
          <t>M1</t>
        </is>
      </c>
      <c r="C3854" t="inlineStr">
        <is>
          <t>Cali</t>
        </is>
      </c>
      <c r="D3854" t="inlineStr">
        <is>
          <t>6493</t>
        </is>
      </c>
      <c r="E3854" t="inlineStr">
        <is>
          <t>pagado</t>
        </is>
      </c>
      <c r="F3854" s="23" t="n">
        <v>46277</v>
      </c>
      <c r="G3854" s="24">
        <f>F3854-DATE(2026,8,31)</f>
        <v>12</v>
      </c>
      <c r="H3854" s="25" t="n">
        <v>121137084</v>
      </c>
      <c r="I3854" t="inlineStr">
        <is>
          <t>entidad-dia</t>
        </is>
      </c>
    </row>
    <row r="3855">
      <c r="A3855" t="inlineStr">
        <is>
          <t>PRAGMA</t>
        </is>
      </c>
      <c r="B3855" t="inlineStr">
        <is>
          <t>M1</t>
        </is>
      </c>
      <c r="C3855" t="inlineStr">
        <is>
          <t>Cali</t>
        </is>
      </c>
      <c r="D3855" t="inlineStr">
        <is>
          <t>6493</t>
        </is>
      </c>
      <c r="E3855" t="inlineStr">
        <is>
          <t>pagado</t>
        </is>
      </c>
      <c r="F3855" s="23" t="n">
        <v>46278</v>
      </c>
      <c r="G3855" s="24">
        <f>F3855-DATE(2026,8,31)</f>
        <v>13</v>
      </c>
      <c r="H3855" s="25" t="n">
        <v>105495250</v>
      </c>
      <c r="I3855" t="inlineStr">
        <is>
          <t>entidad-dia</t>
        </is>
      </c>
    </row>
    <row r="3856">
      <c r="A3856" t="inlineStr">
        <is>
          <t>PRAGMA</t>
        </is>
      </c>
      <c r="B3856" t="inlineStr">
        <is>
          <t>M1</t>
        </is>
      </c>
      <c r="C3856" t="inlineStr">
        <is>
          <t>Cali</t>
        </is>
      </c>
      <c r="D3856" t="inlineStr">
        <is>
          <t>6493</t>
        </is>
      </c>
      <c r="E3856" t="inlineStr">
        <is>
          <t>pagado</t>
        </is>
      </c>
      <c r="F3856" s="23" t="n">
        <v>46279</v>
      </c>
      <c r="G3856" s="24">
        <f>F3856-DATE(2026,8,31)</f>
        <v>14</v>
      </c>
      <c r="H3856" s="25" t="n">
        <v>122705119</v>
      </c>
      <c r="I3856" t="inlineStr">
        <is>
          <t>entidad-dia</t>
        </is>
      </c>
    </row>
    <row r="3857">
      <c r="A3857" t="inlineStr">
        <is>
          <t>PRAGMA</t>
        </is>
      </c>
      <c r="B3857" t="inlineStr">
        <is>
          <t>M1</t>
        </is>
      </c>
      <c r="C3857" t="inlineStr">
        <is>
          <t>Cali</t>
        </is>
      </c>
      <c r="D3857" t="inlineStr">
        <is>
          <t>6493</t>
        </is>
      </c>
      <c r="E3857" t="inlineStr">
        <is>
          <t>pagado</t>
        </is>
      </c>
      <c r="F3857" s="23" t="n">
        <v>46280</v>
      </c>
      <c r="G3857" s="24">
        <f>F3857-DATE(2026,8,31)</f>
        <v>15</v>
      </c>
      <c r="H3857" s="25" t="n">
        <v>180746009</v>
      </c>
      <c r="I3857" t="inlineStr">
        <is>
          <t>entidad-dia</t>
        </is>
      </c>
    </row>
    <row r="3858">
      <c r="A3858" t="inlineStr">
        <is>
          <t>PRAGMA</t>
        </is>
      </c>
      <c r="B3858" t="inlineStr">
        <is>
          <t>M1</t>
        </is>
      </c>
      <c r="C3858" t="inlineStr">
        <is>
          <t>Cali</t>
        </is>
      </c>
      <c r="D3858" t="inlineStr">
        <is>
          <t>6524</t>
        </is>
      </c>
      <c r="E3858" t="inlineStr">
        <is>
          <t>pagado</t>
        </is>
      </c>
      <c r="F3858" s="23" t="n">
        <v>46266</v>
      </c>
      <c r="G3858" s="24">
        <f>F3858-DATE(2026,8,31)</f>
        <v>1</v>
      </c>
      <c r="H3858" s="25" t="n">
        <v>221003514</v>
      </c>
      <c r="I3858" t="inlineStr">
        <is>
          <t>entidad-dia</t>
        </is>
      </c>
    </row>
    <row r="3859">
      <c r="A3859" t="inlineStr">
        <is>
          <t>PRAGMA</t>
        </is>
      </c>
      <c r="B3859" t="inlineStr">
        <is>
          <t>M1</t>
        </is>
      </c>
      <c r="C3859" t="inlineStr">
        <is>
          <t>Cali</t>
        </is>
      </c>
      <c r="D3859" t="inlineStr">
        <is>
          <t>6524</t>
        </is>
      </c>
      <c r="E3859" t="inlineStr">
        <is>
          <t>pagado</t>
        </is>
      </c>
      <c r="F3859" s="23" t="n">
        <v>46267</v>
      </c>
      <c r="G3859" s="24">
        <f>F3859-DATE(2026,8,31)</f>
        <v>2</v>
      </c>
      <c r="H3859" s="25" t="n">
        <v>170266600</v>
      </c>
      <c r="I3859" t="inlineStr">
        <is>
          <t>entidad-dia</t>
        </is>
      </c>
    </row>
    <row r="3860">
      <c r="A3860" t="inlineStr">
        <is>
          <t>PRAGMA</t>
        </is>
      </c>
      <c r="B3860" t="inlineStr">
        <is>
          <t>M1</t>
        </is>
      </c>
      <c r="C3860" t="inlineStr">
        <is>
          <t>Cali</t>
        </is>
      </c>
      <c r="D3860" t="inlineStr">
        <is>
          <t>6524</t>
        </is>
      </c>
      <c r="E3860" t="inlineStr">
        <is>
          <t>pagado</t>
        </is>
      </c>
      <c r="F3860" s="23" t="n">
        <v>46268</v>
      </c>
      <c r="G3860" s="24">
        <f>F3860-DATE(2026,8,31)</f>
        <v>3</v>
      </c>
      <c r="H3860" s="25" t="n">
        <v>155407900</v>
      </c>
      <c r="I3860" t="inlineStr">
        <is>
          <t>entidad-dia</t>
        </is>
      </c>
    </row>
    <row r="3861">
      <c r="A3861" t="inlineStr">
        <is>
          <t>PRAGMA</t>
        </is>
      </c>
      <c r="B3861" t="inlineStr">
        <is>
          <t>M1</t>
        </is>
      </c>
      <c r="C3861" t="inlineStr">
        <is>
          <t>Cali</t>
        </is>
      </c>
      <c r="D3861" t="inlineStr">
        <is>
          <t>6524</t>
        </is>
      </c>
      <c r="E3861" t="inlineStr">
        <is>
          <t>pagado</t>
        </is>
      </c>
      <c r="F3861" s="23" t="n">
        <v>46269</v>
      </c>
      <c r="G3861" s="24">
        <f>F3861-DATE(2026,8,31)</f>
        <v>4</v>
      </c>
      <c r="H3861" s="25" t="n">
        <v>155594544</v>
      </c>
      <c r="I3861" t="inlineStr">
        <is>
          <t>entidad-dia</t>
        </is>
      </c>
    </row>
    <row r="3862">
      <c r="A3862" t="inlineStr">
        <is>
          <t>PRAGMA</t>
        </is>
      </c>
      <c r="B3862" t="inlineStr">
        <is>
          <t>M1</t>
        </is>
      </c>
      <c r="C3862" t="inlineStr">
        <is>
          <t>Cali</t>
        </is>
      </c>
      <c r="D3862" t="inlineStr">
        <is>
          <t>6524</t>
        </is>
      </c>
      <c r="E3862" t="inlineStr">
        <is>
          <t>pagado</t>
        </is>
      </c>
      <c r="F3862" s="23" t="n">
        <v>46270</v>
      </c>
      <c r="G3862" s="24">
        <f>F3862-DATE(2026,8,31)</f>
        <v>5</v>
      </c>
      <c r="H3862" s="25" t="n">
        <v>161794051</v>
      </c>
      <c r="I3862" t="inlineStr">
        <is>
          <t>entidad-dia</t>
        </is>
      </c>
    </row>
    <row r="3863">
      <c r="A3863" t="inlineStr">
        <is>
          <t>PRAGMA</t>
        </is>
      </c>
      <c r="B3863" t="inlineStr">
        <is>
          <t>M1</t>
        </is>
      </c>
      <c r="C3863" t="inlineStr">
        <is>
          <t>Cali</t>
        </is>
      </c>
      <c r="D3863" t="inlineStr">
        <is>
          <t>6524</t>
        </is>
      </c>
      <c r="E3863" t="inlineStr">
        <is>
          <t>pagado</t>
        </is>
      </c>
      <c r="F3863" s="23" t="n">
        <v>46271</v>
      </c>
      <c r="G3863" s="24">
        <f>F3863-DATE(2026,8,31)</f>
        <v>6</v>
      </c>
      <c r="H3863" s="25" t="n">
        <v>112319534</v>
      </c>
      <c r="I3863" t="inlineStr">
        <is>
          <t>entidad-dia</t>
        </is>
      </c>
    </row>
    <row r="3864">
      <c r="A3864" t="inlineStr">
        <is>
          <t>PRAGMA</t>
        </is>
      </c>
      <c r="B3864" t="inlineStr">
        <is>
          <t>M1</t>
        </is>
      </c>
      <c r="C3864" t="inlineStr">
        <is>
          <t>Cali</t>
        </is>
      </c>
      <c r="D3864" t="inlineStr">
        <is>
          <t>6524</t>
        </is>
      </c>
      <c r="E3864" t="inlineStr">
        <is>
          <t>pagado</t>
        </is>
      </c>
      <c r="F3864" s="23" t="n">
        <v>46272</v>
      </c>
      <c r="G3864" s="24">
        <f>F3864-DATE(2026,8,31)</f>
        <v>7</v>
      </c>
      <c r="H3864" s="25" t="n">
        <v>130517114</v>
      </c>
      <c r="I3864" t="inlineStr">
        <is>
          <t>entidad-dia</t>
        </is>
      </c>
    </row>
    <row r="3865">
      <c r="A3865" t="inlineStr">
        <is>
          <t>PRAGMA</t>
        </is>
      </c>
      <c r="B3865" t="inlineStr">
        <is>
          <t>M1</t>
        </is>
      </c>
      <c r="C3865" t="inlineStr">
        <is>
          <t>Cali</t>
        </is>
      </c>
      <c r="D3865" t="inlineStr">
        <is>
          <t>6524</t>
        </is>
      </c>
      <c r="E3865" t="inlineStr">
        <is>
          <t>pagado</t>
        </is>
      </c>
      <c r="F3865" s="23" t="n">
        <v>46273</v>
      </c>
      <c r="G3865" s="24">
        <f>F3865-DATE(2026,8,31)</f>
        <v>8</v>
      </c>
      <c r="H3865" s="25" t="n">
        <v>125711529</v>
      </c>
      <c r="I3865" t="inlineStr">
        <is>
          <t>entidad-dia</t>
        </is>
      </c>
    </row>
    <row r="3866">
      <c r="A3866" t="inlineStr">
        <is>
          <t>PRAGMA</t>
        </is>
      </c>
      <c r="B3866" t="inlineStr">
        <is>
          <t>M1</t>
        </is>
      </c>
      <c r="C3866" t="inlineStr">
        <is>
          <t>Cali</t>
        </is>
      </c>
      <c r="D3866" t="inlineStr">
        <is>
          <t>6524</t>
        </is>
      </c>
      <c r="E3866" t="inlineStr">
        <is>
          <t>pagado</t>
        </is>
      </c>
      <c r="F3866" s="23" t="n">
        <v>46274</v>
      </c>
      <c r="G3866" s="24">
        <f>F3866-DATE(2026,8,31)</f>
        <v>9</v>
      </c>
      <c r="H3866" s="25" t="n">
        <v>128642821</v>
      </c>
      <c r="I3866" t="inlineStr">
        <is>
          <t>entidad-dia</t>
        </is>
      </c>
    </row>
    <row r="3867">
      <c r="A3867" t="inlineStr">
        <is>
          <t>PRAGMA</t>
        </is>
      </c>
      <c r="B3867" t="inlineStr">
        <is>
          <t>M1</t>
        </is>
      </c>
      <c r="C3867" t="inlineStr">
        <is>
          <t>Cali</t>
        </is>
      </c>
      <c r="D3867" t="inlineStr">
        <is>
          <t>6524</t>
        </is>
      </c>
      <c r="E3867" t="inlineStr">
        <is>
          <t>pagado</t>
        </is>
      </c>
      <c r="F3867" s="23" t="n">
        <v>46275</v>
      </c>
      <c r="G3867" s="24">
        <f>F3867-DATE(2026,8,31)</f>
        <v>10</v>
      </c>
      <c r="H3867" s="25" t="n">
        <v>104005681</v>
      </c>
      <c r="I3867" t="inlineStr">
        <is>
          <t>entidad-dia</t>
        </is>
      </c>
    </row>
    <row r="3868">
      <c r="A3868" t="inlineStr">
        <is>
          <t>PRAGMA</t>
        </is>
      </c>
      <c r="B3868" t="inlineStr">
        <is>
          <t>M1</t>
        </is>
      </c>
      <c r="C3868" t="inlineStr">
        <is>
          <t>Cali</t>
        </is>
      </c>
      <c r="D3868" t="inlineStr">
        <is>
          <t>6524</t>
        </is>
      </c>
      <c r="E3868" t="inlineStr">
        <is>
          <t>pagado</t>
        </is>
      </c>
      <c r="F3868" s="23" t="n">
        <v>46276</v>
      </c>
      <c r="G3868" s="24">
        <f>F3868-DATE(2026,8,31)</f>
        <v>11</v>
      </c>
      <c r="H3868" s="25" t="n">
        <v>109975869</v>
      </c>
      <c r="I3868" t="inlineStr">
        <is>
          <t>entidad-dia</t>
        </is>
      </c>
    </row>
    <row r="3869">
      <c r="A3869" t="inlineStr">
        <is>
          <t>PRAGMA</t>
        </is>
      </c>
      <c r="B3869" t="inlineStr">
        <is>
          <t>M1</t>
        </is>
      </c>
      <c r="C3869" t="inlineStr">
        <is>
          <t>Cali</t>
        </is>
      </c>
      <c r="D3869" t="inlineStr">
        <is>
          <t>6524</t>
        </is>
      </c>
      <c r="E3869" t="inlineStr">
        <is>
          <t>pagado</t>
        </is>
      </c>
      <c r="F3869" s="23" t="n">
        <v>46277</v>
      </c>
      <c r="G3869" s="24">
        <f>F3869-DATE(2026,8,31)</f>
        <v>12</v>
      </c>
      <c r="H3869" s="25" t="n">
        <v>124442405</v>
      </c>
      <c r="I3869" t="inlineStr">
        <is>
          <t>entidad-dia</t>
        </is>
      </c>
    </row>
    <row r="3870">
      <c r="A3870" t="inlineStr">
        <is>
          <t>PRAGMA</t>
        </is>
      </c>
      <c r="B3870" t="inlineStr">
        <is>
          <t>M1</t>
        </is>
      </c>
      <c r="C3870" t="inlineStr">
        <is>
          <t>Cali</t>
        </is>
      </c>
      <c r="D3870" t="inlineStr">
        <is>
          <t>6524</t>
        </is>
      </c>
      <c r="E3870" t="inlineStr">
        <is>
          <t>pagado</t>
        </is>
      </c>
      <c r="F3870" s="23" t="n">
        <v>46278</v>
      </c>
      <c r="G3870" s="24">
        <f>F3870-DATE(2026,8,31)</f>
        <v>13</v>
      </c>
      <c r="H3870" s="25" t="n">
        <v>78723429</v>
      </c>
      <c r="I3870" t="inlineStr">
        <is>
          <t>entidad-dia</t>
        </is>
      </c>
    </row>
    <row r="3871">
      <c r="A3871" t="inlineStr">
        <is>
          <t>PRAGMA</t>
        </is>
      </c>
      <c r="B3871" t="inlineStr">
        <is>
          <t>M1</t>
        </is>
      </c>
      <c r="C3871" t="inlineStr">
        <is>
          <t>Cali</t>
        </is>
      </c>
      <c r="D3871" t="inlineStr">
        <is>
          <t>6524</t>
        </is>
      </c>
      <c r="E3871" t="inlineStr">
        <is>
          <t>pagado</t>
        </is>
      </c>
      <c r="F3871" s="23" t="n">
        <v>46279</v>
      </c>
      <c r="G3871" s="24">
        <f>F3871-DATE(2026,8,31)</f>
        <v>14</v>
      </c>
      <c r="H3871" s="25" t="n">
        <v>111014002</v>
      </c>
      <c r="I3871" t="inlineStr">
        <is>
          <t>entidad-dia</t>
        </is>
      </c>
    </row>
    <row r="3872">
      <c r="A3872" t="inlineStr">
        <is>
          <t>PRAGMA</t>
        </is>
      </c>
      <c r="B3872" t="inlineStr">
        <is>
          <t>M1</t>
        </is>
      </c>
      <c r="C3872" t="inlineStr">
        <is>
          <t>Cali</t>
        </is>
      </c>
      <c r="D3872" t="inlineStr">
        <is>
          <t>6524</t>
        </is>
      </c>
      <c r="E3872" t="inlineStr">
        <is>
          <t>pagado</t>
        </is>
      </c>
      <c r="F3872" s="23" t="n">
        <v>46280</v>
      </c>
      <c r="G3872" s="24">
        <f>F3872-DATE(2026,8,31)</f>
        <v>15</v>
      </c>
      <c r="H3872" s="25" t="n">
        <v>161590048</v>
      </c>
      <c r="I3872" t="inlineStr">
        <is>
          <t>entidad-dia</t>
        </is>
      </c>
    </row>
    <row r="3873">
      <c r="A3873" t="inlineStr">
        <is>
          <t>PRAGMA</t>
        </is>
      </c>
      <c r="B3873" t="inlineStr">
        <is>
          <t>M1</t>
        </is>
      </c>
      <c r="C3873" t="inlineStr">
        <is>
          <t>Cali</t>
        </is>
      </c>
      <c r="D3873" t="inlineStr">
        <is>
          <t>6554</t>
        </is>
      </c>
      <c r="E3873" t="inlineStr">
        <is>
          <t>pagado</t>
        </is>
      </c>
      <c r="F3873" s="23" t="n">
        <v>46266</v>
      </c>
      <c r="G3873" s="24">
        <f>F3873-DATE(2026,8,31)</f>
        <v>1</v>
      </c>
      <c r="H3873" s="25" t="n">
        <v>130930516</v>
      </c>
      <c r="I3873" t="inlineStr">
        <is>
          <t>entidad-dia</t>
        </is>
      </c>
    </row>
    <row r="3874">
      <c r="A3874" t="inlineStr">
        <is>
          <t>PRAGMA</t>
        </is>
      </c>
      <c r="B3874" t="inlineStr">
        <is>
          <t>M1</t>
        </is>
      </c>
      <c r="C3874" t="inlineStr">
        <is>
          <t>Cali</t>
        </is>
      </c>
      <c r="D3874" t="inlineStr">
        <is>
          <t>6554</t>
        </is>
      </c>
      <c r="E3874" t="inlineStr">
        <is>
          <t>pagado</t>
        </is>
      </c>
      <c r="F3874" s="23" t="n">
        <v>46267</v>
      </c>
      <c r="G3874" s="24">
        <f>F3874-DATE(2026,8,31)</f>
        <v>2</v>
      </c>
      <c r="H3874" s="25" t="n">
        <v>107368563</v>
      </c>
      <c r="I3874" t="inlineStr">
        <is>
          <t>entidad-dia</t>
        </is>
      </c>
    </row>
    <row r="3875">
      <c r="A3875" t="inlineStr">
        <is>
          <t>PRAGMA</t>
        </is>
      </c>
      <c r="B3875" t="inlineStr">
        <is>
          <t>M1</t>
        </is>
      </c>
      <c r="C3875" t="inlineStr">
        <is>
          <t>Cali</t>
        </is>
      </c>
      <c r="D3875" t="inlineStr">
        <is>
          <t>6554</t>
        </is>
      </c>
      <c r="E3875" t="inlineStr">
        <is>
          <t>pagado</t>
        </is>
      </c>
      <c r="F3875" s="23" t="n">
        <v>46268</v>
      </c>
      <c r="G3875" s="24">
        <f>F3875-DATE(2026,8,31)</f>
        <v>3</v>
      </c>
      <c r="H3875" s="25" t="n">
        <v>87852441</v>
      </c>
      <c r="I3875" t="inlineStr">
        <is>
          <t>entidad-dia</t>
        </is>
      </c>
    </row>
    <row r="3876">
      <c r="A3876" t="inlineStr">
        <is>
          <t>PRAGMA</t>
        </is>
      </c>
      <c r="B3876" t="inlineStr">
        <is>
          <t>M1</t>
        </is>
      </c>
      <c r="C3876" t="inlineStr">
        <is>
          <t>Cali</t>
        </is>
      </c>
      <c r="D3876" t="inlineStr">
        <is>
          <t>6554</t>
        </is>
      </c>
      <c r="E3876" t="inlineStr">
        <is>
          <t>pagado</t>
        </is>
      </c>
      <c r="F3876" s="23" t="n">
        <v>46269</v>
      </c>
      <c r="G3876" s="24">
        <f>F3876-DATE(2026,8,31)</f>
        <v>4</v>
      </c>
      <c r="H3876" s="25" t="n">
        <v>101195225</v>
      </c>
      <c r="I3876" t="inlineStr">
        <is>
          <t>entidad-dia</t>
        </is>
      </c>
    </row>
    <row r="3877">
      <c r="A3877" t="inlineStr">
        <is>
          <t>PRAGMA</t>
        </is>
      </c>
      <c r="B3877" t="inlineStr">
        <is>
          <t>M1</t>
        </is>
      </c>
      <c r="C3877" t="inlineStr">
        <is>
          <t>Cali</t>
        </is>
      </c>
      <c r="D3877" t="inlineStr">
        <is>
          <t>6554</t>
        </is>
      </c>
      <c r="E3877" t="inlineStr">
        <is>
          <t>pagado</t>
        </is>
      </c>
      <c r="F3877" s="23" t="n">
        <v>46270</v>
      </c>
      <c r="G3877" s="24">
        <f>F3877-DATE(2026,8,31)</f>
        <v>5</v>
      </c>
      <c r="H3877" s="25" t="n">
        <v>97370646</v>
      </c>
      <c r="I3877" t="inlineStr">
        <is>
          <t>entidad-dia</t>
        </is>
      </c>
    </row>
    <row r="3878">
      <c r="A3878" t="inlineStr">
        <is>
          <t>PRAGMA</t>
        </is>
      </c>
      <c r="B3878" t="inlineStr">
        <is>
          <t>M1</t>
        </is>
      </c>
      <c r="C3878" t="inlineStr">
        <is>
          <t>Cali</t>
        </is>
      </c>
      <c r="D3878" t="inlineStr">
        <is>
          <t>6554</t>
        </is>
      </c>
      <c r="E3878" t="inlineStr">
        <is>
          <t>pagado</t>
        </is>
      </c>
      <c r="F3878" s="23" t="n">
        <v>46271</v>
      </c>
      <c r="G3878" s="24">
        <f>F3878-DATE(2026,8,31)</f>
        <v>6</v>
      </c>
      <c r="H3878" s="25" t="n">
        <v>64209511</v>
      </c>
      <c r="I3878" t="inlineStr">
        <is>
          <t>entidad-dia</t>
        </is>
      </c>
    </row>
    <row r="3879">
      <c r="A3879" t="inlineStr">
        <is>
          <t>PRAGMA</t>
        </is>
      </c>
      <c r="B3879" t="inlineStr">
        <is>
          <t>M1</t>
        </is>
      </c>
      <c r="C3879" t="inlineStr">
        <is>
          <t>Cali</t>
        </is>
      </c>
      <c r="D3879" t="inlineStr">
        <is>
          <t>6554</t>
        </is>
      </c>
      <c r="E3879" t="inlineStr">
        <is>
          <t>pagado</t>
        </is>
      </c>
      <c r="F3879" s="23" t="n">
        <v>46272</v>
      </c>
      <c r="G3879" s="24">
        <f>F3879-DATE(2026,8,31)</f>
        <v>7</v>
      </c>
      <c r="H3879" s="25" t="n">
        <v>70733674</v>
      </c>
      <c r="I3879" t="inlineStr">
        <is>
          <t>entidad-dia</t>
        </is>
      </c>
    </row>
    <row r="3880">
      <c r="A3880" t="inlineStr">
        <is>
          <t>PRAGMA</t>
        </is>
      </c>
      <c r="B3880" t="inlineStr">
        <is>
          <t>M1</t>
        </is>
      </c>
      <c r="C3880" t="inlineStr">
        <is>
          <t>Cali</t>
        </is>
      </c>
      <c r="D3880" t="inlineStr">
        <is>
          <t>6554</t>
        </is>
      </c>
      <c r="E3880" t="inlineStr">
        <is>
          <t>pagado</t>
        </is>
      </c>
      <c r="F3880" s="23" t="n">
        <v>46273</v>
      </c>
      <c r="G3880" s="24">
        <f>F3880-DATE(2026,8,31)</f>
        <v>8</v>
      </c>
      <c r="H3880" s="25" t="n">
        <v>72351625</v>
      </c>
      <c r="I3880" t="inlineStr">
        <is>
          <t>entidad-dia</t>
        </is>
      </c>
    </row>
    <row r="3881">
      <c r="A3881" t="inlineStr">
        <is>
          <t>PRAGMA</t>
        </is>
      </c>
      <c r="B3881" t="inlineStr">
        <is>
          <t>M1</t>
        </is>
      </c>
      <c r="C3881" t="inlineStr">
        <is>
          <t>Cali</t>
        </is>
      </c>
      <c r="D3881" t="inlineStr">
        <is>
          <t>6554</t>
        </is>
      </c>
      <c r="E3881" t="inlineStr">
        <is>
          <t>pagado</t>
        </is>
      </c>
      <c r="F3881" s="23" t="n">
        <v>46274</v>
      </c>
      <c r="G3881" s="24">
        <f>F3881-DATE(2026,8,31)</f>
        <v>9</v>
      </c>
      <c r="H3881" s="25" t="n">
        <v>79520849</v>
      </c>
      <c r="I3881" t="inlineStr">
        <is>
          <t>entidad-dia</t>
        </is>
      </c>
    </row>
    <row r="3882">
      <c r="A3882" t="inlineStr">
        <is>
          <t>PRAGMA</t>
        </is>
      </c>
      <c r="B3882" t="inlineStr">
        <is>
          <t>M1</t>
        </is>
      </c>
      <c r="C3882" t="inlineStr">
        <is>
          <t>Cali</t>
        </is>
      </c>
      <c r="D3882" t="inlineStr">
        <is>
          <t>6554</t>
        </is>
      </c>
      <c r="E3882" t="inlineStr">
        <is>
          <t>pagado</t>
        </is>
      </c>
      <c r="F3882" s="23" t="n">
        <v>46275</v>
      </c>
      <c r="G3882" s="24">
        <f>F3882-DATE(2026,8,31)</f>
        <v>10</v>
      </c>
      <c r="H3882" s="25" t="n">
        <v>60657293</v>
      </c>
      <c r="I3882" t="inlineStr">
        <is>
          <t>entidad-dia</t>
        </is>
      </c>
    </row>
    <row r="3883">
      <c r="A3883" t="inlineStr">
        <is>
          <t>PRAGMA</t>
        </is>
      </c>
      <c r="B3883" t="inlineStr">
        <is>
          <t>M1</t>
        </is>
      </c>
      <c r="C3883" t="inlineStr">
        <is>
          <t>Cali</t>
        </is>
      </c>
      <c r="D3883" t="inlineStr">
        <is>
          <t>6554</t>
        </is>
      </c>
      <c r="E3883" t="inlineStr">
        <is>
          <t>pagado</t>
        </is>
      </c>
      <c r="F3883" s="23" t="n">
        <v>46276</v>
      </c>
      <c r="G3883" s="24">
        <f>F3883-DATE(2026,8,31)</f>
        <v>11</v>
      </c>
      <c r="H3883" s="25" t="n">
        <v>70034903</v>
      </c>
      <c r="I3883" t="inlineStr">
        <is>
          <t>entidad-dia</t>
        </is>
      </c>
    </row>
    <row r="3884">
      <c r="A3884" t="inlineStr">
        <is>
          <t>PRAGMA</t>
        </is>
      </c>
      <c r="B3884" t="inlineStr">
        <is>
          <t>M1</t>
        </is>
      </c>
      <c r="C3884" t="inlineStr">
        <is>
          <t>Cali</t>
        </is>
      </c>
      <c r="D3884" t="inlineStr">
        <is>
          <t>6554</t>
        </is>
      </c>
      <c r="E3884" t="inlineStr">
        <is>
          <t>pagado</t>
        </is>
      </c>
      <c r="F3884" s="23" t="n">
        <v>46277</v>
      </c>
      <c r="G3884" s="24">
        <f>F3884-DATE(2026,8,31)</f>
        <v>12</v>
      </c>
      <c r="H3884" s="25" t="n">
        <v>77088600</v>
      </c>
      <c r="I3884" t="inlineStr">
        <is>
          <t>entidad-dia</t>
        </is>
      </c>
    </row>
    <row r="3885">
      <c r="A3885" t="inlineStr">
        <is>
          <t>PRAGMA</t>
        </is>
      </c>
      <c r="B3885" t="inlineStr">
        <is>
          <t>M1</t>
        </is>
      </c>
      <c r="C3885" t="inlineStr">
        <is>
          <t>Cali</t>
        </is>
      </c>
      <c r="D3885" t="inlineStr">
        <is>
          <t>6554</t>
        </is>
      </c>
      <c r="E3885" t="inlineStr">
        <is>
          <t>pagado</t>
        </is>
      </c>
      <c r="F3885" s="23" t="n">
        <v>46278</v>
      </c>
      <c r="G3885" s="24">
        <f>F3885-DATE(2026,8,31)</f>
        <v>13</v>
      </c>
      <c r="H3885" s="25" t="n">
        <v>49365067</v>
      </c>
      <c r="I3885" t="inlineStr">
        <is>
          <t>entidad-dia</t>
        </is>
      </c>
    </row>
    <row r="3886">
      <c r="A3886" t="inlineStr">
        <is>
          <t>PRAGMA</t>
        </is>
      </c>
      <c r="B3886" t="inlineStr">
        <is>
          <t>M1</t>
        </is>
      </c>
      <c r="C3886" t="inlineStr">
        <is>
          <t>Cali</t>
        </is>
      </c>
      <c r="D3886" t="inlineStr">
        <is>
          <t>6554</t>
        </is>
      </c>
      <c r="E3886" t="inlineStr">
        <is>
          <t>pagado</t>
        </is>
      </c>
      <c r="F3886" s="23" t="n">
        <v>46279</v>
      </c>
      <c r="G3886" s="24">
        <f>F3886-DATE(2026,8,31)</f>
        <v>14</v>
      </c>
      <c r="H3886" s="25" t="n">
        <v>72434819</v>
      </c>
      <c r="I3886" t="inlineStr">
        <is>
          <t>entidad-dia</t>
        </is>
      </c>
    </row>
    <row r="3887">
      <c r="A3887" t="inlineStr">
        <is>
          <t>PRAGMA</t>
        </is>
      </c>
      <c r="B3887" t="inlineStr">
        <is>
          <t>M1</t>
        </is>
      </c>
      <c r="C3887" t="inlineStr">
        <is>
          <t>Cali</t>
        </is>
      </c>
      <c r="D3887" t="inlineStr">
        <is>
          <t>6554</t>
        </is>
      </c>
      <c r="E3887" t="inlineStr">
        <is>
          <t>pagado</t>
        </is>
      </c>
      <c r="F3887" s="23" t="n">
        <v>46280</v>
      </c>
      <c r="G3887" s="24">
        <f>F3887-DATE(2026,8,31)</f>
        <v>15</v>
      </c>
      <c r="H3887" s="25" t="n">
        <v>105407601</v>
      </c>
      <c r="I3887" t="inlineStr">
        <is>
          <t>entidad-dia</t>
        </is>
      </c>
    </row>
    <row r="3888">
      <c r="A3888" t="inlineStr">
        <is>
          <t>PRAGMA</t>
        </is>
      </c>
      <c r="B3888" t="inlineStr">
        <is>
          <t>M1</t>
        </is>
      </c>
      <c r="C3888" t="inlineStr">
        <is>
          <t>Cali</t>
        </is>
      </c>
      <c r="D3888" t="inlineStr">
        <is>
          <t>6555</t>
        </is>
      </c>
      <c r="E3888" t="inlineStr">
        <is>
          <t>pagado</t>
        </is>
      </c>
      <c r="F3888" s="23" t="n">
        <v>46266</v>
      </c>
      <c r="G3888" s="24">
        <f>F3888-DATE(2026,8,31)</f>
        <v>1</v>
      </c>
      <c r="H3888" s="25" t="n">
        <v>138998160</v>
      </c>
      <c r="I3888" t="inlineStr">
        <is>
          <t>entidad-dia</t>
        </is>
      </c>
    </row>
    <row r="3889">
      <c r="A3889" t="inlineStr">
        <is>
          <t>PRAGMA</t>
        </is>
      </c>
      <c r="B3889" t="inlineStr">
        <is>
          <t>M1</t>
        </is>
      </c>
      <c r="C3889" t="inlineStr">
        <is>
          <t>Cali</t>
        </is>
      </c>
      <c r="D3889" t="inlineStr">
        <is>
          <t>6555</t>
        </is>
      </c>
      <c r="E3889" t="inlineStr">
        <is>
          <t>pagado</t>
        </is>
      </c>
      <c r="F3889" s="23" t="n">
        <v>46267</v>
      </c>
      <c r="G3889" s="24">
        <f>F3889-DATE(2026,8,31)</f>
        <v>2</v>
      </c>
      <c r="H3889" s="25" t="n">
        <v>108286060</v>
      </c>
      <c r="I3889" t="inlineStr">
        <is>
          <t>entidad-dia</t>
        </is>
      </c>
    </row>
    <row r="3890">
      <c r="A3890" t="inlineStr">
        <is>
          <t>PRAGMA</t>
        </is>
      </c>
      <c r="B3890" t="inlineStr">
        <is>
          <t>M1</t>
        </is>
      </c>
      <c r="C3890" t="inlineStr">
        <is>
          <t>Cali</t>
        </is>
      </c>
      <c r="D3890" t="inlineStr">
        <is>
          <t>6555</t>
        </is>
      </c>
      <c r="E3890" t="inlineStr">
        <is>
          <t>pagado</t>
        </is>
      </c>
      <c r="F3890" s="23" t="n">
        <v>46268</v>
      </c>
      <c r="G3890" s="24">
        <f>F3890-DATE(2026,8,31)</f>
        <v>3</v>
      </c>
      <c r="H3890" s="25" t="n">
        <v>99191719</v>
      </c>
      <c r="I3890" t="inlineStr">
        <is>
          <t>entidad-dia</t>
        </is>
      </c>
    </row>
    <row r="3891">
      <c r="A3891" t="inlineStr">
        <is>
          <t>PRAGMA</t>
        </is>
      </c>
      <c r="B3891" t="inlineStr">
        <is>
          <t>M1</t>
        </is>
      </c>
      <c r="C3891" t="inlineStr">
        <is>
          <t>Cali</t>
        </is>
      </c>
      <c r="D3891" t="inlineStr">
        <is>
          <t>6555</t>
        </is>
      </c>
      <c r="E3891" t="inlineStr">
        <is>
          <t>pagado</t>
        </is>
      </c>
      <c r="F3891" s="23" t="n">
        <v>46269</v>
      </c>
      <c r="G3891" s="24">
        <f>F3891-DATE(2026,8,31)</f>
        <v>4</v>
      </c>
      <c r="H3891" s="25" t="n">
        <v>88254736</v>
      </c>
      <c r="I3891" t="inlineStr">
        <is>
          <t>entidad-dia</t>
        </is>
      </c>
    </row>
    <row r="3892">
      <c r="A3892" t="inlineStr">
        <is>
          <t>PRAGMA</t>
        </is>
      </c>
      <c r="B3892" t="inlineStr">
        <is>
          <t>M1</t>
        </is>
      </c>
      <c r="C3892" t="inlineStr">
        <is>
          <t>Cali</t>
        </is>
      </c>
      <c r="D3892" t="inlineStr">
        <is>
          <t>6555</t>
        </is>
      </c>
      <c r="E3892" t="inlineStr">
        <is>
          <t>pagado</t>
        </is>
      </c>
      <c r="F3892" s="23" t="n">
        <v>46270</v>
      </c>
      <c r="G3892" s="24">
        <f>F3892-DATE(2026,8,31)</f>
        <v>5</v>
      </c>
      <c r="H3892" s="25" t="n">
        <v>96782908</v>
      </c>
      <c r="I3892" t="inlineStr">
        <is>
          <t>entidad-dia</t>
        </is>
      </c>
    </row>
    <row r="3893">
      <c r="A3893" t="inlineStr">
        <is>
          <t>PRAGMA</t>
        </is>
      </c>
      <c r="B3893" t="inlineStr">
        <is>
          <t>M1</t>
        </is>
      </c>
      <c r="C3893" t="inlineStr">
        <is>
          <t>Cali</t>
        </is>
      </c>
      <c r="D3893" t="inlineStr">
        <is>
          <t>6555</t>
        </is>
      </c>
      <c r="E3893" t="inlineStr">
        <is>
          <t>pagado</t>
        </is>
      </c>
      <c r="F3893" s="23" t="n">
        <v>46271</v>
      </c>
      <c r="G3893" s="24">
        <f>F3893-DATE(2026,8,31)</f>
        <v>6</v>
      </c>
      <c r="H3893" s="25" t="n">
        <v>55263971</v>
      </c>
      <c r="I3893" t="inlineStr">
        <is>
          <t>entidad-dia</t>
        </is>
      </c>
    </row>
    <row r="3894">
      <c r="A3894" t="inlineStr">
        <is>
          <t>PRAGMA</t>
        </is>
      </c>
      <c r="B3894" t="inlineStr">
        <is>
          <t>M1</t>
        </is>
      </c>
      <c r="C3894" t="inlineStr">
        <is>
          <t>Cali</t>
        </is>
      </c>
      <c r="D3894" t="inlineStr">
        <is>
          <t>6555</t>
        </is>
      </c>
      <c r="E3894" t="inlineStr">
        <is>
          <t>pagado</t>
        </is>
      </c>
      <c r="F3894" s="23" t="n">
        <v>46272</v>
      </c>
      <c r="G3894" s="24">
        <f>F3894-DATE(2026,8,31)</f>
        <v>7</v>
      </c>
      <c r="H3894" s="25" t="n">
        <v>79542914</v>
      </c>
      <c r="I3894" t="inlineStr">
        <is>
          <t>entidad-dia</t>
        </is>
      </c>
    </row>
    <row r="3895">
      <c r="A3895" t="inlineStr">
        <is>
          <t>PRAGMA</t>
        </is>
      </c>
      <c r="B3895" t="inlineStr">
        <is>
          <t>M1</t>
        </is>
      </c>
      <c r="C3895" t="inlineStr">
        <is>
          <t>Cali</t>
        </is>
      </c>
      <c r="D3895" t="inlineStr">
        <is>
          <t>6555</t>
        </is>
      </c>
      <c r="E3895" t="inlineStr">
        <is>
          <t>pagado</t>
        </is>
      </c>
      <c r="F3895" s="23" t="n">
        <v>46273</v>
      </c>
      <c r="G3895" s="24">
        <f>F3895-DATE(2026,8,31)</f>
        <v>8</v>
      </c>
      <c r="H3895" s="25" t="n">
        <v>75101174</v>
      </c>
      <c r="I3895" t="inlineStr">
        <is>
          <t>entidad-dia</t>
        </is>
      </c>
    </row>
    <row r="3896">
      <c r="A3896" t="inlineStr">
        <is>
          <t>PRAGMA</t>
        </is>
      </c>
      <c r="B3896" t="inlineStr">
        <is>
          <t>M1</t>
        </is>
      </c>
      <c r="C3896" t="inlineStr">
        <is>
          <t>Cali</t>
        </is>
      </c>
      <c r="D3896" t="inlineStr">
        <is>
          <t>6555</t>
        </is>
      </c>
      <c r="E3896" t="inlineStr">
        <is>
          <t>pagado</t>
        </is>
      </c>
      <c r="F3896" s="23" t="n">
        <v>46274</v>
      </c>
      <c r="G3896" s="24">
        <f>F3896-DATE(2026,8,31)</f>
        <v>9</v>
      </c>
      <c r="H3896" s="25" t="n">
        <v>87746234</v>
      </c>
      <c r="I3896" t="inlineStr">
        <is>
          <t>entidad-dia</t>
        </is>
      </c>
    </row>
    <row r="3897">
      <c r="A3897" t="inlineStr">
        <is>
          <t>PRAGMA</t>
        </is>
      </c>
      <c r="B3897" t="inlineStr">
        <is>
          <t>M1</t>
        </is>
      </c>
      <c r="C3897" t="inlineStr">
        <is>
          <t>Cali</t>
        </is>
      </c>
      <c r="D3897" t="inlineStr">
        <is>
          <t>6555</t>
        </is>
      </c>
      <c r="E3897" t="inlineStr">
        <is>
          <t>pagado</t>
        </is>
      </c>
      <c r="F3897" s="23" t="n">
        <v>46275</v>
      </c>
      <c r="G3897" s="24">
        <f>F3897-DATE(2026,8,31)</f>
        <v>10</v>
      </c>
      <c r="H3897" s="25" t="n">
        <v>77200034</v>
      </c>
      <c r="I3897" t="inlineStr">
        <is>
          <t>entidad-dia</t>
        </is>
      </c>
    </row>
    <row r="3898">
      <c r="A3898" t="inlineStr">
        <is>
          <t>PRAGMA</t>
        </is>
      </c>
      <c r="B3898" t="inlineStr">
        <is>
          <t>M1</t>
        </is>
      </c>
      <c r="C3898" t="inlineStr">
        <is>
          <t>Cali</t>
        </is>
      </c>
      <c r="D3898" t="inlineStr">
        <is>
          <t>6555</t>
        </is>
      </c>
      <c r="E3898" t="inlineStr">
        <is>
          <t>pagado</t>
        </is>
      </c>
      <c r="F3898" s="23" t="n">
        <v>46276</v>
      </c>
      <c r="G3898" s="24">
        <f>F3898-DATE(2026,8,31)</f>
        <v>11</v>
      </c>
      <c r="H3898" s="25" t="n">
        <v>66099437</v>
      </c>
      <c r="I3898" t="inlineStr">
        <is>
          <t>entidad-dia</t>
        </is>
      </c>
    </row>
    <row r="3899">
      <c r="A3899" t="inlineStr">
        <is>
          <t>PRAGMA</t>
        </is>
      </c>
      <c r="B3899" t="inlineStr">
        <is>
          <t>M1</t>
        </is>
      </c>
      <c r="C3899" t="inlineStr">
        <is>
          <t>Cali</t>
        </is>
      </c>
      <c r="D3899" t="inlineStr">
        <is>
          <t>6555</t>
        </is>
      </c>
      <c r="E3899" t="inlineStr">
        <is>
          <t>pagado</t>
        </is>
      </c>
      <c r="F3899" s="23" t="n">
        <v>46277</v>
      </c>
      <c r="G3899" s="24">
        <f>F3899-DATE(2026,8,31)</f>
        <v>12</v>
      </c>
      <c r="H3899" s="25" t="n">
        <v>73842740</v>
      </c>
      <c r="I3899" t="inlineStr">
        <is>
          <t>entidad-dia</t>
        </is>
      </c>
    </row>
    <row r="3900">
      <c r="A3900" t="inlineStr">
        <is>
          <t>PRAGMA</t>
        </is>
      </c>
      <c r="B3900" t="inlineStr">
        <is>
          <t>M1</t>
        </is>
      </c>
      <c r="C3900" t="inlineStr">
        <is>
          <t>Cali</t>
        </is>
      </c>
      <c r="D3900" t="inlineStr">
        <is>
          <t>6555</t>
        </is>
      </c>
      <c r="E3900" t="inlineStr">
        <is>
          <t>pagado</t>
        </is>
      </c>
      <c r="F3900" s="23" t="n">
        <v>46278</v>
      </c>
      <c r="G3900" s="24">
        <f>F3900-DATE(2026,8,31)</f>
        <v>13</v>
      </c>
      <c r="H3900" s="25" t="n">
        <v>44180135</v>
      </c>
      <c r="I3900" t="inlineStr">
        <is>
          <t>entidad-dia</t>
        </is>
      </c>
    </row>
    <row r="3901">
      <c r="A3901" t="inlineStr">
        <is>
          <t>PRAGMA</t>
        </is>
      </c>
      <c r="B3901" t="inlineStr">
        <is>
          <t>M1</t>
        </is>
      </c>
      <c r="C3901" t="inlineStr">
        <is>
          <t>Cali</t>
        </is>
      </c>
      <c r="D3901" t="inlineStr">
        <is>
          <t>6555</t>
        </is>
      </c>
      <c r="E3901" t="inlineStr">
        <is>
          <t>pagado</t>
        </is>
      </c>
      <c r="F3901" s="23" t="n">
        <v>46279</v>
      </c>
      <c r="G3901" s="24">
        <f>F3901-DATE(2026,8,31)</f>
        <v>14</v>
      </c>
      <c r="H3901" s="25" t="n">
        <v>72304988</v>
      </c>
      <c r="I3901" t="inlineStr">
        <is>
          <t>entidad-dia</t>
        </is>
      </c>
    </row>
    <row r="3902">
      <c r="A3902" t="inlineStr">
        <is>
          <t>PRAGMA</t>
        </is>
      </c>
      <c r="B3902" t="inlineStr">
        <is>
          <t>M1</t>
        </is>
      </c>
      <c r="C3902" t="inlineStr">
        <is>
          <t>Cali</t>
        </is>
      </c>
      <c r="D3902" t="inlineStr">
        <is>
          <t>6555</t>
        </is>
      </c>
      <c r="E3902" t="inlineStr">
        <is>
          <t>pagado</t>
        </is>
      </c>
      <c r="F3902" s="23" t="n">
        <v>46280</v>
      </c>
      <c r="G3902" s="24">
        <f>F3902-DATE(2026,8,31)</f>
        <v>15</v>
      </c>
      <c r="H3902" s="25" t="n">
        <v>98586239</v>
      </c>
      <c r="I3902" t="inlineStr">
        <is>
          <t>entidad-dia</t>
        </is>
      </c>
    </row>
    <row r="3903">
      <c r="A3903" t="inlineStr">
        <is>
          <t>PRAGMA</t>
        </is>
      </c>
      <c r="B3903" t="inlineStr">
        <is>
          <t>M1</t>
        </is>
      </c>
      <c r="C3903" t="inlineStr">
        <is>
          <t>Cali</t>
        </is>
      </c>
      <c r="D3903" t="inlineStr">
        <is>
          <t>6557</t>
        </is>
      </c>
      <c r="E3903" t="inlineStr">
        <is>
          <t>pagado</t>
        </is>
      </c>
      <c r="F3903" s="23" t="n">
        <v>46266</v>
      </c>
      <c r="G3903" s="24">
        <f>F3903-DATE(2026,8,31)</f>
        <v>1</v>
      </c>
      <c r="H3903" s="25" t="n">
        <v>118856266</v>
      </c>
      <c r="I3903" t="inlineStr">
        <is>
          <t>entidad-dia</t>
        </is>
      </c>
    </row>
    <row r="3904">
      <c r="A3904" t="inlineStr">
        <is>
          <t>PRAGMA</t>
        </is>
      </c>
      <c r="B3904" t="inlineStr">
        <is>
          <t>M1</t>
        </is>
      </c>
      <c r="C3904" t="inlineStr">
        <is>
          <t>Cali</t>
        </is>
      </c>
      <c r="D3904" t="inlineStr">
        <is>
          <t>6557</t>
        </is>
      </c>
      <c r="E3904" t="inlineStr">
        <is>
          <t>pagado</t>
        </is>
      </c>
      <c r="F3904" s="23" t="n">
        <v>46267</v>
      </c>
      <c r="G3904" s="24">
        <f>F3904-DATE(2026,8,31)</f>
        <v>2</v>
      </c>
      <c r="H3904" s="25" t="n">
        <v>88824717</v>
      </c>
      <c r="I3904" t="inlineStr">
        <is>
          <t>entidad-dia</t>
        </is>
      </c>
    </row>
    <row r="3905">
      <c r="A3905" t="inlineStr">
        <is>
          <t>PRAGMA</t>
        </is>
      </c>
      <c r="B3905" t="inlineStr">
        <is>
          <t>M1</t>
        </is>
      </c>
      <c r="C3905" t="inlineStr">
        <is>
          <t>Cali</t>
        </is>
      </c>
      <c r="D3905" t="inlineStr">
        <is>
          <t>6557</t>
        </is>
      </c>
      <c r="E3905" t="inlineStr">
        <is>
          <t>pagado</t>
        </is>
      </c>
      <c r="F3905" s="23" t="n">
        <v>46268</v>
      </c>
      <c r="G3905" s="24">
        <f>F3905-DATE(2026,8,31)</f>
        <v>3</v>
      </c>
      <c r="H3905" s="25" t="n">
        <v>78460155</v>
      </c>
      <c r="I3905" t="inlineStr">
        <is>
          <t>entidad-dia</t>
        </is>
      </c>
    </row>
    <row r="3906">
      <c r="A3906" t="inlineStr">
        <is>
          <t>PRAGMA</t>
        </is>
      </c>
      <c r="B3906" t="inlineStr">
        <is>
          <t>M1</t>
        </is>
      </c>
      <c r="C3906" t="inlineStr">
        <is>
          <t>Cali</t>
        </is>
      </c>
      <c r="D3906" t="inlineStr">
        <is>
          <t>6557</t>
        </is>
      </c>
      <c r="E3906" t="inlineStr">
        <is>
          <t>pagado</t>
        </is>
      </c>
      <c r="F3906" s="23" t="n">
        <v>46269</v>
      </c>
      <c r="G3906" s="24">
        <f>F3906-DATE(2026,8,31)</f>
        <v>4</v>
      </c>
      <c r="H3906" s="25" t="n">
        <v>75579051</v>
      </c>
      <c r="I3906" t="inlineStr">
        <is>
          <t>entidad-dia</t>
        </is>
      </c>
    </row>
    <row r="3907">
      <c r="A3907" t="inlineStr">
        <is>
          <t>PRAGMA</t>
        </is>
      </c>
      <c r="B3907" t="inlineStr">
        <is>
          <t>M1</t>
        </is>
      </c>
      <c r="C3907" t="inlineStr">
        <is>
          <t>Cali</t>
        </is>
      </c>
      <c r="D3907" t="inlineStr">
        <is>
          <t>6557</t>
        </is>
      </c>
      <c r="E3907" t="inlineStr">
        <is>
          <t>pagado</t>
        </is>
      </c>
      <c r="F3907" s="23" t="n">
        <v>46270</v>
      </c>
      <c r="G3907" s="24">
        <f>F3907-DATE(2026,8,31)</f>
        <v>5</v>
      </c>
      <c r="H3907" s="25" t="n">
        <v>68619205</v>
      </c>
      <c r="I3907" t="inlineStr">
        <is>
          <t>entidad-dia</t>
        </is>
      </c>
    </row>
    <row r="3908">
      <c r="A3908" t="inlineStr">
        <is>
          <t>PRAGMA</t>
        </is>
      </c>
      <c r="B3908" t="inlineStr">
        <is>
          <t>M1</t>
        </is>
      </c>
      <c r="C3908" t="inlineStr">
        <is>
          <t>Cali</t>
        </is>
      </c>
      <c r="D3908" t="inlineStr">
        <is>
          <t>6557</t>
        </is>
      </c>
      <c r="E3908" t="inlineStr">
        <is>
          <t>pagado</t>
        </is>
      </c>
      <c r="F3908" s="23" t="n">
        <v>46271</v>
      </c>
      <c r="G3908" s="24">
        <f>F3908-DATE(2026,8,31)</f>
        <v>6</v>
      </c>
      <c r="H3908" s="25" t="n">
        <v>44336665</v>
      </c>
      <c r="I3908" t="inlineStr">
        <is>
          <t>entidad-dia</t>
        </is>
      </c>
    </row>
    <row r="3909">
      <c r="A3909" t="inlineStr">
        <is>
          <t>PRAGMA</t>
        </is>
      </c>
      <c r="B3909" t="inlineStr">
        <is>
          <t>M1</t>
        </is>
      </c>
      <c r="C3909" t="inlineStr">
        <is>
          <t>Cali</t>
        </is>
      </c>
      <c r="D3909" t="inlineStr">
        <is>
          <t>6557</t>
        </is>
      </c>
      <c r="E3909" t="inlineStr">
        <is>
          <t>pagado</t>
        </is>
      </c>
      <c r="F3909" s="23" t="n">
        <v>46272</v>
      </c>
      <c r="G3909" s="24">
        <f>F3909-DATE(2026,8,31)</f>
        <v>7</v>
      </c>
      <c r="H3909" s="25" t="n">
        <v>53268247</v>
      </c>
      <c r="I3909" t="inlineStr">
        <is>
          <t>entidad-dia</t>
        </is>
      </c>
    </row>
    <row r="3910">
      <c r="A3910" t="inlineStr">
        <is>
          <t>PRAGMA</t>
        </is>
      </c>
      <c r="B3910" t="inlineStr">
        <is>
          <t>M1</t>
        </is>
      </c>
      <c r="C3910" t="inlineStr">
        <is>
          <t>Cali</t>
        </is>
      </c>
      <c r="D3910" t="inlineStr">
        <is>
          <t>6557</t>
        </is>
      </c>
      <c r="E3910" t="inlineStr">
        <is>
          <t>pagado</t>
        </is>
      </c>
      <c r="F3910" s="23" t="n">
        <v>46273</v>
      </c>
      <c r="G3910" s="24">
        <f>F3910-DATE(2026,8,31)</f>
        <v>8</v>
      </c>
      <c r="H3910" s="25" t="n">
        <v>55751774</v>
      </c>
      <c r="I3910" t="inlineStr">
        <is>
          <t>entidad-dia</t>
        </is>
      </c>
    </row>
    <row r="3911">
      <c r="A3911" t="inlineStr">
        <is>
          <t>PRAGMA</t>
        </is>
      </c>
      <c r="B3911" t="inlineStr">
        <is>
          <t>M1</t>
        </is>
      </c>
      <c r="C3911" t="inlineStr">
        <is>
          <t>Cali</t>
        </is>
      </c>
      <c r="D3911" t="inlineStr">
        <is>
          <t>6557</t>
        </is>
      </c>
      <c r="E3911" t="inlineStr">
        <is>
          <t>pagado</t>
        </is>
      </c>
      <c r="F3911" s="23" t="n">
        <v>46274</v>
      </c>
      <c r="G3911" s="24">
        <f>F3911-DATE(2026,8,31)</f>
        <v>9</v>
      </c>
      <c r="H3911" s="25" t="n">
        <v>60030040</v>
      </c>
      <c r="I3911" t="inlineStr">
        <is>
          <t>entidad-dia</t>
        </is>
      </c>
    </row>
    <row r="3912">
      <c r="A3912" t="inlineStr">
        <is>
          <t>PRAGMA</t>
        </is>
      </c>
      <c r="B3912" t="inlineStr">
        <is>
          <t>M1</t>
        </is>
      </c>
      <c r="C3912" t="inlineStr">
        <is>
          <t>Cali</t>
        </is>
      </c>
      <c r="D3912" t="inlineStr">
        <is>
          <t>6557</t>
        </is>
      </c>
      <c r="E3912" t="inlineStr">
        <is>
          <t>pagado</t>
        </is>
      </c>
      <c r="F3912" s="23" t="n">
        <v>46275</v>
      </c>
      <c r="G3912" s="24">
        <f>F3912-DATE(2026,8,31)</f>
        <v>10</v>
      </c>
      <c r="H3912" s="25" t="n">
        <v>49131188</v>
      </c>
      <c r="I3912" t="inlineStr">
        <is>
          <t>entidad-dia</t>
        </is>
      </c>
    </row>
    <row r="3913">
      <c r="A3913" t="inlineStr">
        <is>
          <t>PRAGMA</t>
        </is>
      </c>
      <c r="B3913" t="inlineStr">
        <is>
          <t>M1</t>
        </is>
      </c>
      <c r="C3913" t="inlineStr">
        <is>
          <t>Cali</t>
        </is>
      </c>
      <c r="D3913" t="inlineStr">
        <is>
          <t>6557</t>
        </is>
      </c>
      <c r="E3913" t="inlineStr">
        <is>
          <t>pagado</t>
        </is>
      </c>
      <c r="F3913" s="23" t="n">
        <v>46276</v>
      </c>
      <c r="G3913" s="24">
        <f>F3913-DATE(2026,8,31)</f>
        <v>11</v>
      </c>
      <c r="H3913" s="25" t="n">
        <v>58803561</v>
      </c>
      <c r="I3913" t="inlineStr">
        <is>
          <t>entidad-dia</t>
        </is>
      </c>
    </row>
    <row r="3914">
      <c r="A3914" t="inlineStr">
        <is>
          <t>PRAGMA</t>
        </is>
      </c>
      <c r="B3914" t="inlineStr">
        <is>
          <t>M1</t>
        </is>
      </c>
      <c r="C3914" t="inlineStr">
        <is>
          <t>Cali</t>
        </is>
      </c>
      <c r="D3914" t="inlineStr">
        <is>
          <t>6557</t>
        </is>
      </c>
      <c r="E3914" t="inlineStr">
        <is>
          <t>pagado</t>
        </is>
      </c>
      <c r="F3914" s="23" t="n">
        <v>46277</v>
      </c>
      <c r="G3914" s="24">
        <f>F3914-DATE(2026,8,31)</f>
        <v>12</v>
      </c>
      <c r="H3914" s="25" t="n">
        <v>51806765</v>
      </c>
      <c r="I3914" t="inlineStr">
        <is>
          <t>entidad-dia</t>
        </is>
      </c>
    </row>
    <row r="3915">
      <c r="A3915" t="inlineStr">
        <is>
          <t>PRAGMA</t>
        </is>
      </c>
      <c r="B3915" t="inlineStr">
        <is>
          <t>M1</t>
        </is>
      </c>
      <c r="C3915" t="inlineStr">
        <is>
          <t>Cali</t>
        </is>
      </c>
      <c r="D3915" t="inlineStr">
        <is>
          <t>6557</t>
        </is>
      </c>
      <c r="E3915" t="inlineStr">
        <is>
          <t>pagado</t>
        </is>
      </c>
      <c r="F3915" s="23" t="n">
        <v>46278</v>
      </c>
      <c r="G3915" s="24">
        <f>F3915-DATE(2026,8,31)</f>
        <v>13</v>
      </c>
      <c r="H3915" s="25" t="n">
        <v>33795813</v>
      </c>
      <c r="I3915" t="inlineStr">
        <is>
          <t>entidad-dia</t>
        </is>
      </c>
    </row>
    <row r="3916">
      <c r="A3916" t="inlineStr">
        <is>
          <t>PRAGMA</t>
        </is>
      </c>
      <c r="B3916" t="inlineStr">
        <is>
          <t>M1</t>
        </is>
      </c>
      <c r="C3916" t="inlineStr">
        <is>
          <t>Cali</t>
        </is>
      </c>
      <c r="D3916" t="inlineStr">
        <is>
          <t>6557</t>
        </is>
      </c>
      <c r="E3916" t="inlineStr">
        <is>
          <t>pagado</t>
        </is>
      </c>
      <c r="F3916" s="23" t="n">
        <v>46279</v>
      </c>
      <c r="G3916" s="24">
        <f>F3916-DATE(2026,8,31)</f>
        <v>14</v>
      </c>
      <c r="H3916" s="25" t="n">
        <v>57716095</v>
      </c>
      <c r="I3916" t="inlineStr">
        <is>
          <t>entidad-dia</t>
        </is>
      </c>
    </row>
    <row r="3917">
      <c r="A3917" t="inlineStr">
        <is>
          <t>PRAGMA</t>
        </is>
      </c>
      <c r="B3917" t="inlineStr">
        <is>
          <t>M1</t>
        </is>
      </c>
      <c r="C3917" t="inlineStr">
        <is>
          <t>Cali</t>
        </is>
      </c>
      <c r="D3917" t="inlineStr">
        <is>
          <t>6557</t>
        </is>
      </c>
      <c r="E3917" t="inlineStr">
        <is>
          <t>pagado</t>
        </is>
      </c>
      <c r="F3917" s="23" t="n">
        <v>46280</v>
      </c>
      <c r="G3917" s="24">
        <f>F3917-DATE(2026,8,31)</f>
        <v>15</v>
      </c>
      <c r="H3917" s="25" t="n">
        <v>86812758</v>
      </c>
      <c r="I3917" t="inlineStr">
        <is>
          <t>entidad-dia</t>
        </is>
      </c>
    </row>
    <row r="3918">
      <c r="A3918" t="inlineStr">
        <is>
          <t>PRAGMA</t>
        </is>
      </c>
      <c r="B3918" t="inlineStr">
        <is>
          <t>M1</t>
        </is>
      </c>
      <c r="C3918" t="inlineStr">
        <is>
          <t>Cali</t>
        </is>
      </c>
      <c r="D3918" t="inlineStr">
        <is>
          <t>6610</t>
        </is>
      </c>
      <c r="E3918" t="inlineStr">
        <is>
          <t>pagado</t>
        </is>
      </c>
      <c r="F3918" s="23" t="n">
        <v>46266</v>
      </c>
      <c r="G3918" s="24">
        <f>F3918-DATE(2026,8,31)</f>
        <v>1</v>
      </c>
      <c r="H3918" s="25" t="n">
        <v>180529890</v>
      </c>
      <c r="I3918" t="inlineStr">
        <is>
          <t>entidad-dia</t>
        </is>
      </c>
    </row>
    <row r="3919">
      <c r="A3919" t="inlineStr">
        <is>
          <t>PRAGMA</t>
        </is>
      </c>
      <c r="B3919" t="inlineStr">
        <is>
          <t>M1</t>
        </is>
      </c>
      <c r="C3919" t="inlineStr">
        <is>
          <t>Cali</t>
        </is>
      </c>
      <c r="D3919" t="inlineStr">
        <is>
          <t>6610</t>
        </is>
      </c>
      <c r="E3919" t="inlineStr">
        <is>
          <t>pagado</t>
        </is>
      </c>
      <c r="F3919" s="23" t="n">
        <v>46267</v>
      </c>
      <c r="G3919" s="24">
        <f>F3919-DATE(2026,8,31)</f>
        <v>2</v>
      </c>
      <c r="H3919" s="25" t="n">
        <v>145109420</v>
      </c>
      <c r="I3919" t="inlineStr">
        <is>
          <t>entidad-dia</t>
        </is>
      </c>
    </row>
    <row r="3920">
      <c r="A3920" t="inlineStr">
        <is>
          <t>PRAGMA</t>
        </is>
      </c>
      <c r="B3920" t="inlineStr">
        <is>
          <t>M1</t>
        </is>
      </c>
      <c r="C3920" t="inlineStr">
        <is>
          <t>Cali</t>
        </is>
      </c>
      <c r="D3920" t="inlineStr">
        <is>
          <t>6610</t>
        </is>
      </c>
      <c r="E3920" t="inlineStr">
        <is>
          <t>pagado</t>
        </is>
      </c>
      <c r="F3920" s="23" t="n">
        <v>46268</v>
      </c>
      <c r="G3920" s="24">
        <f>F3920-DATE(2026,8,31)</f>
        <v>3</v>
      </c>
      <c r="H3920" s="25" t="n">
        <v>132373787</v>
      </c>
      <c r="I3920" t="inlineStr">
        <is>
          <t>entidad-dia</t>
        </is>
      </c>
    </row>
    <row r="3921">
      <c r="A3921" t="inlineStr">
        <is>
          <t>PRAGMA</t>
        </is>
      </c>
      <c r="B3921" t="inlineStr">
        <is>
          <t>M1</t>
        </is>
      </c>
      <c r="C3921" t="inlineStr">
        <is>
          <t>Cali</t>
        </is>
      </c>
      <c r="D3921" t="inlineStr">
        <is>
          <t>6610</t>
        </is>
      </c>
      <c r="E3921" t="inlineStr">
        <is>
          <t>pagado</t>
        </is>
      </c>
      <c r="F3921" s="23" t="n">
        <v>46269</v>
      </c>
      <c r="G3921" s="24">
        <f>F3921-DATE(2026,8,31)</f>
        <v>4</v>
      </c>
      <c r="H3921" s="25" t="n">
        <v>138663668</v>
      </c>
      <c r="I3921" t="inlineStr">
        <is>
          <t>entidad-dia</t>
        </is>
      </c>
    </row>
    <row r="3922">
      <c r="A3922" t="inlineStr">
        <is>
          <t>PRAGMA</t>
        </is>
      </c>
      <c r="B3922" t="inlineStr">
        <is>
          <t>M1</t>
        </is>
      </c>
      <c r="C3922" t="inlineStr">
        <is>
          <t>Cali</t>
        </is>
      </c>
      <c r="D3922" t="inlineStr">
        <is>
          <t>6610</t>
        </is>
      </c>
      <c r="E3922" t="inlineStr">
        <is>
          <t>pagado</t>
        </is>
      </c>
      <c r="F3922" s="23" t="n">
        <v>46270</v>
      </c>
      <c r="G3922" s="24">
        <f>F3922-DATE(2026,8,31)</f>
        <v>5</v>
      </c>
      <c r="H3922" s="25" t="n">
        <v>138666639</v>
      </c>
      <c r="I3922" t="inlineStr">
        <is>
          <t>entidad-dia</t>
        </is>
      </c>
    </row>
    <row r="3923">
      <c r="A3923" t="inlineStr">
        <is>
          <t>PRAGMA</t>
        </is>
      </c>
      <c r="B3923" t="inlineStr">
        <is>
          <t>M1</t>
        </is>
      </c>
      <c r="C3923" t="inlineStr">
        <is>
          <t>Cali</t>
        </is>
      </c>
      <c r="D3923" t="inlineStr">
        <is>
          <t>6610</t>
        </is>
      </c>
      <c r="E3923" t="inlineStr">
        <is>
          <t>pagado</t>
        </is>
      </c>
      <c r="F3923" s="23" t="n">
        <v>46271</v>
      </c>
      <c r="G3923" s="24">
        <f>F3923-DATE(2026,8,31)</f>
        <v>6</v>
      </c>
      <c r="H3923" s="25" t="n">
        <v>69941680</v>
      </c>
      <c r="I3923" t="inlineStr">
        <is>
          <t>entidad-dia</t>
        </is>
      </c>
    </row>
    <row r="3924">
      <c r="A3924" t="inlineStr">
        <is>
          <t>PRAGMA</t>
        </is>
      </c>
      <c r="B3924" t="inlineStr">
        <is>
          <t>M1</t>
        </is>
      </c>
      <c r="C3924" t="inlineStr">
        <is>
          <t>Cali</t>
        </is>
      </c>
      <c r="D3924" t="inlineStr">
        <is>
          <t>6610</t>
        </is>
      </c>
      <c r="E3924" t="inlineStr">
        <is>
          <t>pagado</t>
        </is>
      </c>
      <c r="F3924" s="23" t="n">
        <v>46272</v>
      </c>
      <c r="G3924" s="24">
        <f>F3924-DATE(2026,8,31)</f>
        <v>7</v>
      </c>
      <c r="H3924" s="25" t="n">
        <v>88840666</v>
      </c>
      <c r="I3924" t="inlineStr">
        <is>
          <t>entidad-dia</t>
        </is>
      </c>
    </row>
    <row r="3925">
      <c r="A3925" t="inlineStr">
        <is>
          <t>PRAGMA</t>
        </is>
      </c>
      <c r="B3925" t="inlineStr">
        <is>
          <t>M1</t>
        </is>
      </c>
      <c r="C3925" t="inlineStr">
        <is>
          <t>Cali</t>
        </is>
      </c>
      <c r="D3925" t="inlineStr">
        <is>
          <t>6610</t>
        </is>
      </c>
      <c r="E3925" t="inlineStr">
        <is>
          <t>pagado</t>
        </is>
      </c>
      <c r="F3925" s="23" t="n">
        <v>46273</v>
      </c>
      <c r="G3925" s="24">
        <f>F3925-DATE(2026,8,31)</f>
        <v>8</v>
      </c>
      <c r="H3925" s="25" t="n">
        <v>89663276</v>
      </c>
      <c r="I3925" t="inlineStr">
        <is>
          <t>entidad-dia</t>
        </is>
      </c>
    </row>
    <row r="3926">
      <c r="A3926" t="inlineStr">
        <is>
          <t>PRAGMA</t>
        </is>
      </c>
      <c r="B3926" t="inlineStr">
        <is>
          <t>M1</t>
        </is>
      </c>
      <c r="C3926" t="inlineStr">
        <is>
          <t>Cali</t>
        </is>
      </c>
      <c r="D3926" t="inlineStr">
        <is>
          <t>6610</t>
        </is>
      </c>
      <c r="E3926" t="inlineStr">
        <is>
          <t>pagado</t>
        </is>
      </c>
      <c r="F3926" s="23" t="n">
        <v>46274</v>
      </c>
      <c r="G3926" s="24">
        <f>F3926-DATE(2026,8,31)</f>
        <v>9</v>
      </c>
      <c r="H3926" s="25" t="n">
        <v>105203703</v>
      </c>
      <c r="I3926" t="inlineStr">
        <is>
          <t>entidad-dia</t>
        </is>
      </c>
    </row>
    <row r="3927">
      <c r="A3927" t="inlineStr">
        <is>
          <t>PRAGMA</t>
        </is>
      </c>
      <c r="B3927" t="inlineStr">
        <is>
          <t>M1</t>
        </is>
      </c>
      <c r="C3927" t="inlineStr">
        <is>
          <t>Cali</t>
        </is>
      </c>
      <c r="D3927" t="inlineStr">
        <is>
          <t>6610</t>
        </is>
      </c>
      <c r="E3927" t="inlineStr">
        <is>
          <t>pagado</t>
        </is>
      </c>
      <c r="F3927" s="23" t="n">
        <v>46275</v>
      </c>
      <c r="G3927" s="24">
        <f>F3927-DATE(2026,8,31)</f>
        <v>10</v>
      </c>
      <c r="H3927" s="25" t="n">
        <v>102330128</v>
      </c>
      <c r="I3927" t="inlineStr">
        <is>
          <t>entidad-dia</t>
        </is>
      </c>
    </row>
    <row r="3928">
      <c r="A3928" t="inlineStr">
        <is>
          <t>PRAGMA</t>
        </is>
      </c>
      <c r="B3928" t="inlineStr">
        <is>
          <t>M1</t>
        </is>
      </c>
      <c r="C3928" t="inlineStr">
        <is>
          <t>Cali</t>
        </is>
      </c>
      <c r="D3928" t="inlineStr">
        <is>
          <t>6610</t>
        </is>
      </c>
      <c r="E3928" t="inlineStr">
        <is>
          <t>pagado</t>
        </is>
      </c>
      <c r="F3928" s="23" t="n">
        <v>46276</v>
      </c>
      <c r="G3928" s="24">
        <f>F3928-DATE(2026,8,31)</f>
        <v>11</v>
      </c>
      <c r="H3928" s="25" t="n">
        <v>107969847</v>
      </c>
      <c r="I3928" t="inlineStr">
        <is>
          <t>entidad-dia</t>
        </is>
      </c>
    </row>
    <row r="3929">
      <c r="A3929" t="inlineStr">
        <is>
          <t>PRAGMA</t>
        </is>
      </c>
      <c r="B3929" t="inlineStr">
        <is>
          <t>M1</t>
        </is>
      </c>
      <c r="C3929" t="inlineStr">
        <is>
          <t>Cali</t>
        </is>
      </c>
      <c r="D3929" t="inlineStr">
        <is>
          <t>6610</t>
        </is>
      </c>
      <c r="E3929" t="inlineStr">
        <is>
          <t>pagado</t>
        </is>
      </c>
      <c r="F3929" s="23" t="n">
        <v>46277</v>
      </c>
      <c r="G3929" s="24">
        <f>F3929-DATE(2026,8,31)</f>
        <v>12</v>
      </c>
      <c r="H3929" s="25" t="n">
        <v>107073563</v>
      </c>
      <c r="I3929" t="inlineStr">
        <is>
          <t>entidad-dia</t>
        </is>
      </c>
    </row>
    <row r="3930">
      <c r="A3930" t="inlineStr">
        <is>
          <t>PRAGMA</t>
        </is>
      </c>
      <c r="B3930" t="inlineStr">
        <is>
          <t>M1</t>
        </is>
      </c>
      <c r="C3930" t="inlineStr">
        <is>
          <t>Cali</t>
        </is>
      </c>
      <c r="D3930" t="inlineStr">
        <is>
          <t>6610</t>
        </is>
      </c>
      <c r="E3930" t="inlineStr">
        <is>
          <t>pagado</t>
        </is>
      </c>
      <c r="F3930" s="23" t="n">
        <v>46278</v>
      </c>
      <c r="G3930" s="24">
        <f>F3930-DATE(2026,8,31)</f>
        <v>13</v>
      </c>
      <c r="H3930" s="25" t="n">
        <v>61287357</v>
      </c>
      <c r="I3930" t="inlineStr">
        <is>
          <t>entidad-dia</t>
        </is>
      </c>
    </row>
    <row r="3931">
      <c r="A3931" t="inlineStr">
        <is>
          <t>PRAGMA</t>
        </is>
      </c>
      <c r="B3931" t="inlineStr">
        <is>
          <t>M1</t>
        </is>
      </c>
      <c r="C3931" t="inlineStr">
        <is>
          <t>Cali</t>
        </is>
      </c>
      <c r="D3931" t="inlineStr">
        <is>
          <t>6610</t>
        </is>
      </c>
      <c r="E3931" t="inlineStr">
        <is>
          <t>pagado</t>
        </is>
      </c>
      <c r="F3931" s="23" t="n">
        <v>46279</v>
      </c>
      <c r="G3931" s="24">
        <f>F3931-DATE(2026,8,31)</f>
        <v>14</v>
      </c>
      <c r="H3931" s="25" t="n">
        <v>99642423</v>
      </c>
      <c r="I3931" t="inlineStr">
        <is>
          <t>entidad-dia</t>
        </is>
      </c>
    </row>
    <row r="3932">
      <c r="A3932" t="inlineStr">
        <is>
          <t>PRAGMA</t>
        </is>
      </c>
      <c r="B3932" t="inlineStr">
        <is>
          <t>M1</t>
        </is>
      </c>
      <c r="C3932" t="inlineStr">
        <is>
          <t>Cali</t>
        </is>
      </c>
      <c r="D3932" t="inlineStr">
        <is>
          <t>6610</t>
        </is>
      </c>
      <c r="E3932" t="inlineStr">
        <is>
          <t>pagado</t>
        </is>
      </c>
      <c r="F3932" s="23" t="n">
        <v>46280</v>
      </c>
      <c r="G3932" s="24">
        <f>F3932-DATE(2026,8,31)</f>
        <v>15</v>
      </c>
      <c r="H3932" s="25" t="n">
        <v>147982041</v>
      </c>
      <c r="I3932" t="inlineStr">
        <is>
          <t>entidad-dia</t>
        </is>
      </c>
    </row>
    <row r="3933">
      <c r="A3933" t="inlineStr">
        <is>
          <t>PRAGMA</t>
        </is>
      </c>
      <c r="B3933" t="inlineStr">
        <is>
          <t>M1</t>
        </is>
      </c>
      <c r="C3933" t="inlineStr">
        <is>
          <t>Cali</t>
        </is>
      </c>
      <c r="D3933" t="inlineStr">
        <is>
          <t>672</t>
        </is>
      </c>
      <c r="E3933" t="inlineStr">
        <is>
          <t>pagado</t>
        </is>
      </c>
      <c r="F3933" s="23" t="n">
        <v>46266</v>
      </c>
      <c r="G3933" s="24">
        <f>F3933-DATE(2026,8,31)</f>
        <v>1</v>
      </c>
      <c r="H3933" s="25" t="n">
        <v>31845859</v>
      </c>
      <c r="I3933" t="inlineStr">
        <is>
          <t>entidad-dia</t>
        </is>
      </c>
    </row>
    <row r="3934">
      <c r="A3934" t="inlineStr">
        <is>
          <t>PRAGMA</t>
        </is>
      </c>
      <c r="B3934" t="inlineStr">
        <is>
          <t>M1</t>
        </is>
      </c>
      <c r="C3934" t="inlineStr">
        <is>
          <t>Cali</t>
        </is>
      </c>
      <c r="D3934" t="inlineStr">
        <is>
          <t>672</t>
        </is>
      </c>
      <c r="E3934" t="inlineStr">
        <is>
          <t>pagado</t>
        </is>
      </c>
      <c r="F3934" s="23" t="n">
        <v>46267</v>
      </c>
      <c r="G3934" s="24">
        <f>F3934-DATE(2026,8,31)</f>
        <v>2</v>
      </c>
      <c r="H3934" s="25" t="n">
        <v>19779218</v>
      </c>
      <c r="I3934" t="inlineStr">
        <is>
          <t>entidad-dia</t>
        </is>
      </c>
    </row>
    <row r="3935">
      <c r="A3935" t="inlineStr">
        <is>
          <t>PRAGMA</t>
        </is>
      </c>
      <c r="B3935" t="inlineStr">
        <is>
          <t>M1</t>
        </is>
      </c>
      <c r="C3935" t="inlineStr">
        <is>
          <t>Cali</t>
        </is>
      </c>
      <c r="D3935" t="inlineStr">
        <is>
          <t>672</t>
        </is>
      </c>
      <c r="E3935" t="inlineStr">
        <is>
          <t>pagado</t>
        </is>
      </c>
      <c r="F3935" s="23" t="n">
        <v>46268</v>
      </c>
      <c r="G3935" s="24">
        <f>F3935-DATE(2026,8,31)</f>
        <v>3</v>
      </c>
      <c r="H3935" s="25" t="n">
        <v>20168100</v>
      </c>
      <c r="I3935" t="inlineStr">
        <is>
          <t>entidad-dia</t>
        </is>
      </c>
    </row>
    <row r="3936">
      <c r="A3936" t="inlineStr">
        <is>
          <t>PRAGMA</t>
        </is>
      </c>
      <c r="B3936" t="inlineStr">
        <is>
          <t>M1</t>
        </is>
      </c>
      <c r="C3936" t="inlineStr">
        <is>
          <t>Cali</t>
        </is>
      </c>
      <c r="D3936" t="inlineStr">
        <is>
          <t>672</t>
        </is>
      </c>
      <c r="E3936" t="inlineStr">
        <is>
          <t>pagado</t>
        </is>
      </c>
      <c r="F3936" s="23" t="n">
        <v>46269</v>
      </c>
      <c r="G3936" s="24">
        <f>F3936-DATE(2026,8,31)</f>
        <v>4</v>
      </c>
      <c r="H3936" s="25" t="n">
        <v>19960451</v>
      </c>
      <c r="I3936" t="inlineStr">
        <is>
          <t>entidad-dia</t>
        </is>
      </c>
    </row>
    <row r="3937">
      <c r="A3937" t="inlineStr">
        <is>
          <t>PRAGMA</t>
        </is>
      </c>
      <c r="B3937" t="inlineStr">
        <is>
          <t>M1</t>
        </is>
      </c>
      <c r="C3937" t="inlineStr">
        <is>
          <t>Cali</t>
        </is>
      </c>
      <c r="D3937" t="inlineStr">
        <is>
          <t>672</t>
        </is>
      </c>
      <c r="E3937" t="inlineStr">
        <is>
          <t>pagado</t>
        </is>
      </c>
      <c r="F3937" s="23" t="n">
        <v>46270</v>
      </c>
      <c r="G3937" s="24">
        <f>F3937-DATE(2026,8,31)</f>
        <v>5</v>
      </c>
      <c r="H3937" s="25" t="n">
        <v>4214735</v>
      </c>
      <c r="I3937" t="inlineStr">
        <is>
          <t>entidad-dia</t>
        </is>
      </c>
    </row>
    <row r="3938">
      <c r="A3938" t="inlineStr">
        <is>
          <t>PRAGMA</t>
        </is>
      </c>
      <c r="B3938" t="inlineStr">
        <is>
          <t>M1</t>
        </is>
      </c>
      <c r="C3938" t="inlineStr">
        <is>
          <t>Cali</t>
        </is>
      </c>
      <c r="D3938" t="inlineStr">
        <is>
          <t>672</t>
        </is>
      </c>
      <c r="E3938" t="inlineStr">
        <is>
          <t>pagado</t>
        </is>
      </c>
      <c r="F3938" s="23" t="n">
        <v>46271</v>
      </c>
      <c r="G3938" s="24">
        <f>F3938-DATE(2026,8,31)</f>
        <v>6</v>
      </c>
      <c r="H3938" s="25" t="n">
        <v>3004918</v>
      </c>
      <c r="I3938" t="inlineStr">
        <is>
          <t>entidad-dia</t>
        </is>
      </c>
    </row>
    <row r="3939">
      <c r="A3939" t="inlineStr">
        <is>
          <t>PRAGMA</t>
        </is>
      </c>
      <c r="B3939" t="inlineStr">
        <is>
          <t>M1</t>
        </is>
      </c>
      <c r="C3939" t="inlineStr">
        <is>
          <t>Cali</t>
        </is>
      </c>
      <c r="D3939" t="inlineStr">
        <is>
          <t>672</t>
        </is>
      </c>
      <c r="E3939" t="inlineStr">
        <is>
          <t>pagado</t>
        </is>
      </c>
      <c r="F3939" s="23" t="n">
        <v>46272</v>
      </c>
      <c r="G3939" s="24">
        <f>F3939-DATE(2026,8,31)</f>
        <v>7</v>
      </c>
      <c r="H3939" s="25" t="n">
        <v>10900117</v>
      </c>
      <c r="I3939" t="inlineStr">
        <is>
          <t>entidad-dia</t>
        </is>
      </c>
    </row>
    <row r="3940">
      <c r="A3940" t="inlineStr">
        <is>
          <t>PRAGMA</t>
        </is>
      </c>
      <c r="B3940" t="inlineStr">
        <is>
          <t>M1</t>
        </is>
      </c>
      <c r="C3940" t="inlineStr">
        <is>
          <t>Cali</t>
        </is>
      </c>
      <c r="D3940" t="inlineStr">
        <is>
          <t>672</t>
        </is>
      </c>
      <c r="E3940" t="inlineStr">
        <is>
          <t>pagado</t>
        </is>
      </c>
      <c r="F3940" s="23" t="n">
        <v>46273</v>
      </c>
      <c r="G3940" s="24">
        <f>F3940-DATE(2026,8,31)</f>
        <v>8</v>
      </c>
      <c r="H3940" s="25" t="n">
        <v>9828143</v>
      </c>
      <c r="I3940" t="inlineStr">
        <is>
          <t>entidad-dia</t>
        </is>
      </c>
    </row>
    <row r="3941">
      <c r="A3941" t="inlineStr">
        <is>
          <t>PRAGMA</t>
        </is>
      </c>
      <c r="B3941" t="inlineStr">
        <is>
          <t>M1</t>
        </is>
      </c>
      <c r="C3941" t="inlineStr">
        <is>
          <t>Cali</t>
        </is>
      </c>
      <c r="D3941" t="inlineStr">
        <is>
          <t>672</t>
        </is>
      </c>
      <c r="E3941" t="inlineStr">
        <is>
          <t>pagado</t>
        </is>
      </c>
      <c r="F3941" s="23" t="n">
        <v>46274</v>
      </c>
      <c r="G3941" s="24">
        <f>F3941-DATE(2026,8,31)</f>
        <v>9</v>
      </c>
      <c r="H3941" s="25" t="n">
        <v>11169870</v>
      </c>
      <c r="I3941" t="inlineStr">
        <is>
          <t>entidad-dia</t>
        </is>
      </c>
    </row>
    <row r="3942">
      <c r="A3942" t="inlineStr">
        <is>
          <t>PRAGMA</t>
        </is>
      </c>
      <c r="B3942" t="inlineStr">
        <is>
          <t>M1</t>
        </is>
      </c>
      <c r="C3942" t="inlineStr">
        <is>
          <t>Cali</t>
        </is>
      </c>
      <c r="D3942" t="inlineStr">
        <is>
          <t>672</t>
        </is>
      </c>
      <c r="E3942" t="inlineStr">
        <is>
          <t>pagado</t>
        </is>
      </c>
      <c r="F3942" s="23" t="n">
        <v>46275</v>
      </c>
      <c r="G3942" s="24">
        <f>F3942-DATE(2026,8,31)</f>
        <v>10</v>
      </c>
      <c r="H3942" s="25" t="n">
        <v>10559986</v>
      </c>
      <c r="I3942" t="inlineStr">
        <is>
          <t>entidad-dia</t>
        </is>
      </c>
    </row>
    <row r="3943">
      <c r="A3943" t="inlineStr">
        <is>
          <t>PRAGMA</t>
        </is>
      </c>
      <c r="B3943" t="inlineStr">
        <is>
          <t>M1</t>
        </is>
      </c>
      <c r="C3943" t="inlineStr">
        <is>
          <t>Cali</t>
        </is>
      </c>
      <c r="D3943" t="inlineStr">
        <is>
          <t>672</t>
        </is>
      </c>
      <c r="E3943" t="inlineStr">
        <is>
          <t>pagado</t>
        </is>
      </c>
      <c r="F3943" s="23" t="n">
        <v>46276</v>
      </c>
      <c r="G3943" s="24">
        <f>F3943-DATE(2026,8,31)</f>
        <v>11</v>
      </c>
      <c r="H3943" s="25" t="n">
        <v>13550514</v>
      </c>
      <c r="I3943" t="inlineStr">
        <is>
          <t>entidad-dia</t>
        </is>
      </c>
    </row>
    <row r="3944">
      <c r="A3944" t="inlineStr">
        <is>
          <t>PRAGMA</t>
        </is>
      </c>
      <c r="B3944" t="inlineStr">
        <is>
          <t>M1</t>
        </is>
      </c>
      <c r="C3944" t="inlineStr">
        <is>
          <t>Cali</t>
        </is>
      </c>
      <c r="D3944" t="inlineStr">
        <is>
          <t>672</t>
        </is>
      </c>
      <c r="E3944" t="inlineStr">
        <is>
          <t>pagado</t>
        </is>
      </c>
      <c r="F3944" s="23" t="n">
        <v>46277</v>
      </c>
      <c r="G3944" s="24">
        <f>F3944-DATE(2026,8,31)</f>
        <v>12</v>
      </c>
      <c r="H3944" s="25" t="n">
        <v>3909602</v>
      </c>
      <c r="I3944" t="inlineStr">
        <is>
          <t>entidad-dia</t>
        </is>
      </c>
    </row>
    <row r="3945">
      <c r="A3945" t="inlineStr">
        <is>
          <t>PRAGMA</t>
        </is>
      </c>
      <c r="B3945" t="inlineStr">
        <is>
          <t>M1</t>
        </is>
      </c>
      <c r="C3945" t="inlineStr">
        <is>
          <t>Cali</t>
        </is>
      </c>
      <c r="D3945" t="inlineStr">
        <is>
          <t>672</t>
        </is>
      </c>
      <c r="E3945" t="inlineStr">
        <is>
          <t>pagado</t>
        </is>
      </c>
      <c r="F3945" s="23" t="n">
        <v>46278</v>
      </c>
      <c r="G3945" s="24">
        <f>F3945-DATE(2026,8,31)</f>
        <v>13</v>
      </c>
      <c r="H3945" s="25" t="n">
        <v>2099824</v>
      </c>
      <c r="I3945" t="inlineStr">
        <is>
          <t>entidad-dia</t>
        </is>
      </c>
    </row>
    <row r="3946">
      <c r="A3946" t="inlineStr">
        <is>
          <t>PRAGMA</t>
        </is>
      </c>
      <c r="B3946" t="inlineStr">
        <is>
          <t>M1</t>
        </is>
      </c>
      <c r="C3946" t="inlineStr">
        <is>
          <t>Cali</t>
        </is>
      </c>
      <c r="D3946" t="inlineStr">
        <is>
          <t>672</t>
        </is>
      </c>
      <c r="E3946" t="inlineStr">
        <is>
          <t>pagado</t>
        </is>
      </c>
      <c r="F3946" s="23" t="n">
        <v>46279</v>
      </c>
      <c r="G3946" s="24">
        <f>F3946-DATE(2026,8,31)</f>
        <v>14</v>
      </c>
      <c r="H3946" s="25" t="n">
        <v>12408203</v>
      </c>
      <c r="I3946" t="inlineStr">
        <is>
          <t>entidad-dia</t>
        </is>
      </c>
    </row>
    <row r="3947">
      <c r="A3947" t="inlineStr">
        <is>
          <t>PRAGMA</t>
        </is>
      </c>
      <c r="B3947" t="inlineStr">
        <is>
          <t>M1</t>
        </is>
      </c>
      <c r="C3947" t="inlineStr">
        <is>
          <t>Cali</t>
        </is>
      </c>
      <c r="D3947" t="inlineStr">
        <is>
          <t>672</t>
        </is>
      </c>
      <c r="E3947" t="inlineStr">
        <is>
          <t>pagado</t>
        </is>
      </c>
      <c r="F3947" s="23" t="n">
        <v>46280</v>
      </c>
      <c r="G3947" s="24">
        <f>F3947-DATE(2026,8,31)</f>
        <v>15</v>
      </c>
      <c r="H3947" s="25" t="n">
        <v>34125426</v>
      </c>
      <c r="I3947" t="inlineStr">
        <is>
          <t>entidad-dia</t>
        </is>
      </c>
    </row>
    <row r="3948">
      <c r="A3948" t="inlineStr">
        <is>
          <t>PRAGMA</t>
        </is>
      </c>
      <c r="B3948" t="inlineStr">
        <is>
          <t>M1</t>
        </is>
      </c>
      <c r="C3948" t="inlineStr">
        <is>
          <t>Cali</t>
        </is>
      </c>
      <c r="D3948" t="inlineStr">
        <is>
          <t>6754</t>
        </is>
      </c>
      <c r="E3948" t="inlineStr">
        <is>
          <t>pagado</t>
        </is>
      </c>
      <c r="F3948" s="23" t="n">
        <v>46266</v>
      </c>
      <c r="G3948" s="24">
        <f>F3948-DATE(2026,8,31)</f>
        <v>1</v>
      </c>
      <c r="H3948" s="25" t="n">
        <v>92906034</v>
      </c>
      <c r="I3948" t="inlineStr">
        <is>
          <t>entidad-dia</t>
        </is>
      </c>
    </row>
    <row r="3949">
      <c r="A3949" t="inlineStr">
        <is>
          <t>PRAGMA</t>
        </is>
      </c>
      <c r="B3949" t="inlineStr">
        <is>
          <t>M1</t>
        </is>
      </c>
      <c r="C3949" t="inlineStr">
        <is>
          <t>Cali</t>
        </is>
      </c>
      <c r="D3949" t="inlineStr">
        <is>
          <t>6754</t>
        </is>
      </c>
      <c r="E3949" t="inlineStr">
        <is>
          <t>pagado</t>
        </is>
      </c>
      <c r="F3949" s="23" t="n">
        <v>46267</v>
      </c>
      <c r="G3949" s="24">
        <f>F3949-DATE(2026,8,31)</f>
        <v>2</v>
      </c>
      <c r="H3949" s="25" t="n">
        <v>74187874</v>
      </c>
      <c r="I3949" t="inlineStr">
        <is>
          <t>entidad-dia</t>
        </is>
      </c>
    </row>
    <row r="3950">
      <c r="A3950" t="inlineStr">
        <is>
          <t>PRAGMA</t>
        </is>
      </c>
      <c r="B3950" t="inlineStr">
        <is>
          <t>M1</t>
        </is>
      </c>
      <c r="C3950" t="inlineStr">
        <is>
          <t>Cali</t>
        </is>
      </c>
      <c r="D3950" t="inlineStr">
        <is>
          <t>6754</t>
        </is>
      </c>
      <c r="E3950" t="inlineStr">
        <is>
          <t>pagado</t>
        </is>
      </c>
      <c r="F3950" s="23" t="n">
        <v>46268</v>
      </c>
      <c r="G3950" s="24">
        <f>F3950-DATE(2026,8,31)</f>
        <v>3</v>
      </c>
      <c r="H3950" s="25" t="n">
        <v>66735898</v>
      </c>
      <c r="I3950" t="inlineStr">
        <is>
          <t>entidad-dia</t>
        </is>
      </c>
    </row>
    <row r="3951">
      <c r="A3951" t="inlineStr">
        <is>
          <t>PRAGMA</t>
        </is>
      </c>
      <c r="B3951" t="inlineStr">
        <is>
          <t>M1</t>
        </is>
      </c>
      <c r="C3951" t="inlineStr">
        <is>
          <t>Cali</t>
        </is>
      </c>
      <c r="D3951" t="inlineStr">
        <is>
          <t>6754</t>
        </is>
      </c>
      <c r="E3951" t="inlineStr">
        <is>
          <t>pagado</t>
        </is>
      </c>
      <c r="F3951" s="23" t="n">
        <v>46269</v>
      </c>
      <c r="G3951" s="24">
        <f>F3951-DATE(2026,8,31)</f>
        <v>4</v>
      </c>
      <c r="H3951" s="25" t="n">
        <v>64686190</v>
      </c>
      <c r="I3951" t="inlineStr">
        <is>
          <t>entidad-dia</t>
        </is>
      </c>
    </row>
    <row r="3952">
      <c r="A3952" t="inlineStr">
        <is>
          <t>PRAGMA</t>
        </is>
      </c>
      <c r="B3952" t="inlineStr">
        <is>
          <t>M1</t>
        </is>
      </c>
      <c r="C3952" t="inlineStr">
        <is>
          <t>Cali</t>
        </is>
      </c>
      <c r="D3952" t="inlineStr">
        <is>
          <t>6754</t>
        </is>
      </c>
      <c r="E3952" t="inlineStr">
        <is>
          <t>pagado</t>
        </is>
      </c>
      <c r="F3952" s="23" t="n">
        <v>46270</v>
      </c>
      <c r="G3952" s="24">
        <f>F3952-DATE(2026,8,31)</f>
        <v>5</v>
      </c>
      <c r="H3952" s="25" t="n">
        <v>53141918</v>
      </c>
      <c r="I3952" t="inlineStr">
        <is>
          <t>entidad-dia</t>
        </is>
      </c>
    </row>
    <row r="3953">
      <c r="A3953" t="inlineStr">
        <is>
          <t>PRAGMA</t>
        </is>
      </c>
      <c r="B3953" t="inlineStr">
        <is>
          <t>M1</t>
        </is>
      </c>
      <c r="C3953" t="inlineStr">
        <is>
          <t>Cali</t>
        </is>
      </c>
      <c r="D3953" t="inlineStr">
        <is>
          <t>6754</t>
        </is>
      </c>
      <c r="E3953" t="inlineStr">
        <is>
          <t>pagado</t>
        </is>
      </c>
      <c r="F3953" s="23" t="n">
        <v>46271</v>
      </c>
      <c r="G3953" s="24">
        <f>F3953-DATE(2026,8,31)</f>
        <v>6</v>
      </c>
      <c r="H3953" s="25" t="n">
        <v>20436774</v>
      </c>
      <c r="I3953" t="inlineStr">
        <is>
          <t>entidad-dia</t>
        </is>
      </c>
    </row>
    <row r="3954">
      <c r="A3954" t="inlineStr">
        <is>
          <t>PRAGMA</t>
        </is>
      </c>
      <c r="B3954" t="inlineStr">
        <is>
          <t>M1</t>
        </is>
      </c>
      <c r="C3954" t="inlineStr">
        <is>
          <t>Cali</t>
        </is>
      </c>
      <c r="D3954" t="inlineStr">
        <is>
          <t>6754</t>
        </is>
      </c>
      <c r="E3954" t="inlineStr">
        <is>
          <t>pagado</t>
        </is>
      </c>
      <c r="F3954" s="23" t="n">
        <v>46272</v>
      </c>
      <c r="G3954" s="24">
        <f>F3954-DATE(2026,8,31)</f>
        <v>7</v>
      </c>
      <c r="H3954" s="25" t="n">
        <v>41902687</v>
      </c>
      <c r="I3954" t="inlineStr">
        <is>
          <t>entidad-dia</t>
        </is>
      </c>
    </row>
    <row r="3955">
      <c r="A3955" t="inlineStr">
        <is>
          <t>PRAGMA</t>
        </is>
      </c>
      <c r="B3955" t="inlineStr">
        <is>
          <t>M1</t>
        </is>
      </c>
      <c r="C3955" t="inlineStr">
        <is>
          <t>Cali</t>
        </is>
      </c>
      <c r="D3955" t="inlineStr">
        <is>
          <t>6754</t>
        </is>
      </c>
      <c r="E3955" t="inlineStr">
        <is>
          <t>pagado</t>
        </is>
      </c>
      <c r="F3955" s="23" t="n">
        <v>46273</v>
      </c>
      <c r="G3955" s="24">
        <f>F3955-DATE(2026,8,31)</f>
        <v>8</v>
      </c>
      <c r="H3955" s="25" t="n">
        <v>49473510</v>
      </c>
      <c r="I3955" t="inlineStr">
        <is>
          <t>entidad-dia</t>
        </is>
      </c>
    </row>
    <row r="3956">
      <c r="A3956" t="inlineStr">
        <is>
          <t>PRAGMA</t>
        </is>
      </c>
      <c r="B3956" t="inlineStr">
        <is>
          <t>M1</t>
        </is>
      </c>
      <c r="C3956" t="inlineStr">
        <is>
          <t>Cali</t>
        </is>
      </c>
      <c r="D3956" t="inlineStr">
        <is>
          <t>6754</t>
        </is>
      </c>
      <c r="E3956" t="inlineStr">
        <is>
          <t>pagado</t>
        </is>
      </c>
      <c r="F3956" s="23" t="n">
        <v>46274</v>
      </c>
      <c r="G3956" s="24">
        <f>F3956-DATE(2026,8,31)</f>
        <v>9</v>
      </c>
      <c r="H3956" s="25" t="n">
        <v>44168275</v>
      </c>
      <c r="I3956" t="inlineStr">
        <is>
          <t>entidad-dia</t>
        </is>
      </c>
    </row>
    <row r="3957">
      <c r="A3957" t="inlineStr">
        <is>
          <t>PRAGMA</t>
        </is>
      </c>
      <c r="B3957" t="inlineStr">
        <is>
          <t>M1</t>
        </is>
      </c>
      <c r="C3957" t="inlineStr">
        <is>
          <t>Cali</t>
        </is>
      </c>
      <c r="D3957" t="inlineStr">
        <is>
          <t>6754</t>
        </is>
      </c>
      <c r="E3957" t="inlineStr">
        <is>
          <t>pagado</t>
        </is>
      </c>
      <c r="F3957" s="23" t="n">
        <v>46275</v>
      </c>
      <c r="G3957" s="24">
        <f>F3957-DATE(2026,8,31)</f>
        <v>10</v>
      </c>
      <c r="H3957" s="25" t="n">
        <v>54350509</v>
      </c>
      <c r="I3957" t="inlineStr">
        <is>
          <t>entidad-dia</t>
        </is>
      </c>
    </row>
    <row r="3958">
      <c r="A3958" t="inlineStr">
        <is>
          <t>PRAGMA</t>
        </is>
      </c>
      <c r="B3958" t="inlineStr">
        <is>
          <t>M1</t>
        </is>
      </c>
      <c r="C3958" t="inlineStr">
        <is>
          <t>Cali</t>
        </is>
      </c>
      <c r="D3958" t="inlineStr">
        <is>
          <t>6754</t>
        </is>
      </c>
      <c r="E3958" t="inlineStr">
        <is>
          <t>pagado</t>
        </is>
      </c>
      <c r="F3958" s="23" t="n">
        <v>46276</v>
      </c>
      <c r="G3958" s="24">
        <f>F3958-DATE(2026,8,31)</f>
        <v>11</v>
      </c>
      <c r="H3958" s="25" t="n">
        <v>54508543</v>
      </c>
      <c r="I3958" t="inlineStr">
        <is>
          <t>entidad-dia</t>
        </is>
      </c>
    </row>
    <row r="3959">
      <c r="A3959" t="inlineStr">
        <is>
          <t>PRAGMA</t>
        </is>
      </c>
      <c r="B3959" t="inlineStr">
        <is>
          <t>M1</t>
        </is>
      </c>
      <c r="C3959" t="inlineStr">
        <is>
          <t>Cali</t>
        </is>
      </c>
      <c r="D3959" t="inlineStr">
        <is>
          <t>6754</t>
        </is>
      </c>
      <c r="E3959" t="inlineStr">
        <is>
          <t>pagado</t>
        </is>
      </c>
      <c r="F3959" s="23" t="n">
        <v>46277</v>
      </c>
      <c r="G3959" s="24">
        <f>F3959-DATE(2026,8,31)</f>
        <v>12</v>
      </c>
      <c r="H3959" s="25" t="n">
        <v>37576905</v>
      </c>
      <c r="I3959" t="inlineStr">
        <is>
          <t>entidad-dia</t>
        </is>
      </c>
    </row>
    <row r="3960">
      <c r="A3960" t="inlineStr">
        <is>
          <t>PRAGMA</t>
        </is>
      </c>
      <c r="B3960" t="inlineStr">
        <is>
          <t>M1</t>
        </is>
      </c>
      <c r="C3960" t="inlineStr">
        <is>
          <t>Cali</t>
        </is>
      </c>
      <c r="D3960" t="inlineStr">
        <is>
          <t>6754</t>
        </is>
      </c>
      <c r="E3960" t="inlineStr">
        <is>
          <t>pagado</t>
        </is>
      </c>
      <c r="F3960" s="23" t="n">
        <v>46278</v>
      </c>
      <c r="G3960" s="24">
        <f>F3960-DATE(2026,8,31)</f>
        <v>13</v>
      </c>
      <c r="H3960" s="25" t="n">
        <v>15202122</v>
      </c>
      <c r="I3960" t="inlineStr">
        <is>
          <t>entidad-dia</t>
        </is>
      </c>
    </row>
    <row r="3961">
      <c r="A3961" t="inlineStr">
        <is>
          <t>PRAGMA</t>
        </is>
      </c>
      <c r="B3961" t="inlineStr">
        <is>
          <t>M1</t>
        </is>
      </c>
      <c r="C3961" t="inlineStr">
        <is>
          <t>Cali</t>
        </is>
      </c>
      <c r="D3961" t="inlineStr">
        <is>
          <t>6754</t>
        </is>
      </c>
      <c r="E3961" t="inlineStr">
        <is>
          <t>pagado</t>
        </is>
      </c>
      <c r="F3961" s="23" t="n">
        <v>46279</v>
      </c>
      <c r="G3961" s="24">
        <f>F3961-DATE(2026,8,31)</f>
        <v>14</v>
      </c>
      <c r="H3961" s="25" t="n">
        <v>41500838</v>
      </c>
      <c r="I3961" t="inlineStr">
        <is>
          <t>entidad-dia</t>
        </is>
      </c>
    </row>
    <row r="3962">
      <c r="A3962" t="inlineStr">
        <is>
          <t>PRAGMA</t>
        </is>
      </c>
      <c r="B3962" t="inlineStr">
        <is>
          <t>M1</t>
        </is>
      </c>
      <c r="C3962" t="inlineStr">
        <is>
          <t>Cali</t>
        </is>
      </c>
      <c r="D3962" t="inlineStr">
        <is>
          <t>6754</t>
        </is>
      </c>
      <c r="E3962" t="inlineStr">
        <is>
          <t>pagado</t>
        </is>
      </c>
      <c r="F3962" s="23" t="n">
        <v>46280</v>
      </c>
      <c r="G3962" s="24">
        <f>F3962-DATE(2026,8,31)</f>
        <v>15</v>
      </c>
      <c r="H3962" s="25" t="n">
        <v>61873163</v>
      </c>
      <c r="I3962" t="inlineStr">
        <is>
          <t>entidad-dia</t>
        </is>
      </c>
    </row>
    <row r="3963">
      <c r="A3963" t="inlineStr">
        <is>
          <t>PRAGMA</t>
        </is>
      </c>
      <c r="B3963" t="inlineStr">
        <is>
          <t>M1</t>
        </is>
      </c>
      <c r="C3963" t="inlineStr">
        <is>
          <t>Cali</t>
        </is>
      </c>
      <c r="D3963" t="inlineStr">
        <is>
          <t>683</t>
        </is>
      </c>
      <c r="E3963" t="inlineStr">
        <is>
          <t>pagado</t>
        </is>
      </c>
      <c r="F3963" s="23" t="n">
        <v>46266</v>
      </c>
      <c r="G3963" s="24">
        <f>F3963-DATE(2026,8,31)</f>
        <v>1</v>
      </c>
      <c r="H3963" s="25" t="n">
        <v>93076709</v>
      </c>
      <c r="I3963" t="inlineStr">
        <is>
          <t>entidad-dia</t>
        </is>
      </c>
    </row>
    <row r="3964">
      <c r="A3964" t="inlineStr">
        <is>
          <t>PRAGMA</t>
        </is>
      </c>
      <c r="B3964" t="inlineStr">
        <is>
          <t>M1</t>
        </is>
      </c>
      <c r="C3964" t="inlineStr">
        <is>
          <t>Cali</t>
        </is>
      </c>
      <c r="D3964" t="inlineStr">
        <is>
          <t>683</t>
        </is>
      </c>
      <c r="E3964" t="inlineStr">
        <is>
          <t>pagado</t>
        </is>
      </c>
      <c r="F3964" s="23" t="n">
        <v>46267</v>
      </c>
      <c r="G3964" s="24">
        <f>F3964-DATE(2026,8,31)</f>
        <v>2</v>
      </c>
      <c r="H3964" s="25" t="n">
        <v>65241085</v>
      </c>
      <c r="I3964" t="inlineStr">
        <is>
          <t>entidad-dia</t>
        </is>
      </c>
    </row>
    <row r="3965">
      <c r="A3965" t="inlineStr">
        <is>
          <t>PRAGMA</t>
        </is>
      </c>
      <c r="B3965" t="inlineStr">
        <is>
          <t>M1</t>
        </is>
      </c>
      <c r="C3965" t="inlineStr">
        <is>
          <t>Cali</t>
        </is>
      </c>
      <c r="D3965" t="inlineStr">
        <is>
          <t>683</t>
        </is>
      </c>
      <c r="E3965" t="inlineStr">
        <is>
          <t>pagado</t>
        </is>
      </c>
      <c r="F3965" s="23" t="n">
        <v>46268</v>
      </c>
      <c r="G3965" s="24">
        <f>F3965-DATE(2026,8,31)</f>
        <v>3</v>
      </c>
      <c r="H3965" s="25" t="n">
        <v>60650662</v>
      </c>
      <c r="I3965" t="inlineStr">
        <is>
          <t>entidad-dia</t>
        </is>
      </c>
    </row>
    <row r="3966">
      <c r="A3966" t="inlineStr">
        <is>
          <t>PRAGMA</t>
        </is>
      </c>
      <c r="B3966" t="inlineStr">
        <is>
          <t>M1</t>
        </is>
      </c>
      <c r="C3966" t="inlineStr">
        <is>
          <t>Cali</t>
        </is>
      </c>
      <c r="D3966" t="inlineStr">
        <is>
          <t>683</t>
        </is>
      </c>
      <c r="E3966" t="inlineStr">
        <is>
          <t>pagado</t>
        </is>
      </c>
      <c r="F3966" s="23" t="n">
        <v>46269</v>
      </c>
      <c r="G3966" s="24">
        <f>F3966-DATE(2026,8,31)</f>
        <v>4</v>
      </c>
      <c r="H3966" s="25" t="n">
        <v>66562112</v>
      </c>
      <c r="I3966" t="inlineStr">
        <is>
          <t>entidad-dia</t>
        </is>
      </c>
    </row>
    <row r="3967">
      <c r="A3967" t="inlineStr">
        <is>
          <t>PRAGMA</t>
        </is>
      </c>
      <c r="B3967" t="inlineStr">
        <is>
          <t>M1</t>
        </is>
      </c>
      <c r="C3967" t="inlineStr">
        <is>
          <t>Cali</t>
        </is>
      </c>
      <c r="D3967" t="inlineStr">
        <is>
          <t>683</t>
        </is>
      </c>
      <c r="E3967" t="inlineStr">
        <is>
          <t>pagado</t>
        </is>
      </c>
      <c r="F3967" s="23" t="n">
        <v>46270</v>
      </c>
      <c r="G3967" s="24">
        <f>F3967-DATE(2026,8,31)</f>
        <v>5</v>
      </c>
      <c r="H3967" s="25" t="n">
        <v>48611954</v>
      </c>
      <c r="I3967" t="inlineStr">
        <is>
          <t>entidad-dia</t>
        </is>
      </c>
    </row>
    <row r="3968">
      <c r="A3968" t="inlineStr">
        <is>
          <t>PRAGMA</t>
        </is>
      </c>
      <c r="B3968" t="inlineStr">
        <is>
          <t>M1</t>
        </is>
      </c>
      <c r="C3968" t="inlineStr">
        <is>
          <t>Cali</t>
        </is>
      </c>
      <c r="D3968" t="inlineStr">
        <is>
          <t>683</t>
        </is>
      </c>
      <c r="E3968" t="inlineStr">
        <is>
          <t>pagado</t>
        </is>
      </c>
      <c r="F3968" s="23" t="n">
        <v>46271</v>
      </c>
      <c r="G3968" s="24">
        <f>F3968-DATE(2026,8,31)</f>
        <v>6</v>
      </c>
      <c r="H3968" s="25" t="n">
        <v>7608289</v>
      </c>
      <c r="I3968" t="inlineStr">
        <is>
          <t>entidad-dia</t>
        </is>
      </c>
    </row>
    <row r="3969">
      <c r="A3969" t="inlineStr">
        <is>
          <t>PRAGMA</t>
        </is>
      </c>
      <c r="B3969" t="inlineStr">
        <is>
          <t>M1</t>
        </is>
      </c>
      <c r="C3969" t="inlineStr">
        <is>
          <t>Cali</t>
        </is>
      </c>
      <c r="D3969" t="inlineStr">
        <is>
          <t>683</t>
        </is>
      </c>
      <c r="E3969" t="inlineStr">
        <is>
          <t>pagado</t>
        </is>
      </c>
      <c r="F3969" s="23" t="n">
        <v>46272</v>
      </c>
      <c r="G3969" s="24">
        <f>F3969-DATE(2026,8,31)</f>
        <v>7</v>
      </c>
      <c r="H3969" s="25" t="n">
        <v>33386179</v>
      </c>
      <c r="I3969" t="inlineStr">
        <is>
          <t>entidad-dia</t>
        </is>
      </c>
    </row>
    <row r="3970">
      <c r="A3970" t="inlineStr">
        <is>
          <t>PRAGMA</t>
        </is>
      </c>
      <c r="B3970" t="inlineStr">
        <is>
          <t>M1</t>
        </is>
      </c>
      <c r="C3970" t="inlineStr">
        <is>
          <t>Cali</t>
        </is>
      </c>
      <c r="D3970" t="inlineStr">
        <is>
          <t>683</t>
        </is>
      </c>
      <c r="E3970" t="inlineStr">
        <is>
          <t>pagado</t>
        </is>
      </c>
      <c r="F3970" s="23" t="n">
        <v>46273</v>
      </c>
      <c r="G3970" s="24">
        <f>F3970-DATE(2026,8,31)</f>
        <v>8</v>
      </c>
      <c r="H3970" s="25" t="n">
        <v>30744597</v>
      </c>
      <c r="I3970" t="inlineStr">
        <is>
          <t>entidad-dia</t>
        </is>
      </c>
    </row>
    <row r="3971">
      <c r="A3971" t="inlineStr">
        <is>
          <t>PRAGMA</t>
        </is>
      </c>
      <c r="B3971" t="inlineStr">
        <is>
          <t>M1</t>
        </is>
      </c>
      <c r="C3971" t="inlineStr">
        <is>
          <t>Cali</t>
        </is>
      </c>
      <c r="D3971" t="inlineStr">
        <is>
          <t>683</t>
        </is>
      </c>
      <c r="E3971" t="inlineStr">
        <is>
          <t>pagado</t>
        </is>
      </c>
      <c r="F3971" s="23" t="n">
        <v>46274</v>
      </c>
      <c r="G3971" s="24">
        <f>F3971-DATE(2026,8,31)</f>
        <v>9</v>
      </c>
      <c r="H3971" s="25" t="n">
        <v>32875403</v>
      </c>
      <c r="I3971" t="inlineStr">
        <is>
          <t>entidad-dia</t>
        </is>
      </c>
    </row>
    <row r="3972">
      <c r="A3972" t="inlineStr">
        <is>
          <t>PRAGMA</t>
        </is>
      </c>
      <c r="B3972" t="inlineStr">
        <is>
          <t>M1</t>
        </is>
      </c>
      <c r="C3972" t="inlineStr">
        <is>
          <t>Cali</t>
        </is>
      </c>
      <c r="D3972" t="inlineStr">
        <is>
          <t>683</t>
        </is>
      </c>
      <c r="E3972" t="inlineStr">
        <is>
          <t>pagado</t>
        </is>
      </c>
      <c r="F3972" s="23" t="n">
        <v>46275</v>
      </c>
      <c r="G3972" s="24">
        <f>F3972-DATE(2026,8,31)</f>
        <v>10</v>
      </c>
      <c r="H3972" s="25" t="n">
        <v>34935639</v>
      </c>
      <c r="I3972" t="inlineStr">
        <is>
          <t>entidad-dia</t>
        </is>
      </c>
    </row>
    <row r="3973">
      <c r="A3973" t="inlineStr">
        <is>
          <t>PRAGMA</t>
        </is>
      </c>
      <c r="B3973" t="inlineStr">
        <is>
          <t>M1</t>
        </is>
      </c>
      <c r="C3973" t="inlineStr">
        <is>
          <t>Cali</t>
        </is>
      </c>
      <c r="D3973" t="inlineStr">
        <is>
          <t>683</t>
        </is>
      </c>
      <c r="E3973" t="inlineStr">
        <is>
          <t>pagado</t>
        </is>
      </c>
      <c r="F3973" s="23" t="n">
        <v>46276</v>
      </c>
      <c r="G3973" s="24">
        <f>F3973-DATE(2026,8,31)</f>
        <v>11</v>
      </c>
      <c r="H3973" s="25" t="n">
        <v>39395888</v>
      </c>
      <c r="I3973" t="inlineStr">
        <is>
          <t>entidad-dia</t>
        </is>
      </c>
    </row>
    <row r="3974">
      <c r="A3974" t="inlineStr">
        <is>
          <t>PRAGMA</t>
        </is>
      </c>
      <c r="B3974" t="inlineStr">
        <is>
          <t>M1</t>
        </is>
      </c>
      <c r="C3974" t="inlineStr">
        <is>
          <t>Cali</t>
        </is>
      </c>
      <c r="D3974" t="inlineStr">
        <is>
          <t>683</t>
        </is>
      </c>
      <c r="E3974" t="inlineStr">
        <is>
          <t>pagado</t>
        </is>
      </c>
      <c r="F3974" s="23" t="n">
        <v>46277</v>
      </c>
      <c r="G3974" s="24">
        <f>F3974-DATE(2026,8,31)</f>
        <v>12</v>
      </c>
      <c r="H3974" s="25" t="n">
        <v>38714642</v>
      </c>
      <c r="I3974" t="inlineStr">
        <is>
          <t>entidad-dia</t>
        </is>
      </c>
    </row>
    <row r="3975">
      <c r="A3975" t="inlineStr">
        <is>
          <t>PRAGMA</t>
        </is>
      </c>
      <c r="B3975" t="inlineStr">
        <is>
          <t>M1</t>
        </is>
      </c>
      <c r="C3975" t="inlineStr">
        <is>
          <t>Cali</t>
        </is>
      </c>
      <c r="D3975" t="inlineStr">
        <is>
          <t>683</t>
        </is>
      </c>
      <c r="E3975" t="inlineStr">
        <is>
          <t>pagado</t>
        </is>
      </c>
      <c r="F3975" s="23" t="n">
        <v>46278</v>
      </c>
      <c r="G3975" s="24">
        <f>F3975-DATE(2026,8,31)</f>
        <v>13</v>
      </c>
      <c r="H3975" s="25" t="n">
        <v>6101240</v>
      </c>
      <c r="I3975" t="inlineStr">
        <is>
          <t>entidad-dia</t>
        </is>
      </c>
    </row>
    <row r="3976">
      <c r="A3976" t="inlineStr">
        <is>
          <t>PRAGMA</t>
        </is>
      </c>
      <c r="B3976" t="inlineStr">
        <is>
          <t>M1</t>
        </is>
      </c>
      <c r="C3976" t="inlineStr">
        <is>
          <t>Cali</t>
        </is>
      </c>
      <c r="D3976" t="inlineStr">
        <is>
          <t>683</t>
        </is>
      </c>
      <c r="E3976" t="inlineStr">
        <is>
          <t>pagado</t>
        </is>
      </c>
      <c r="F3976" s="23" t="n">
        <v>46279</v>
      </c>
      <c r="G3976" s="24">
        <f>F3976-DATE(2026,8,31)</f>
        <v>14</v>
      </c>
      <c r="H3976" s="25" t="n">
        <v>49431233</v>
      </c>
      <c r="I3976" t="inlineStr">
        <is>
          <t>entidad-dia</t>
        </is>
      </c>
    </row>
    <row r="3977">
      <c r="A3977" t="inlineStr">
        <is>
          <t>PRAGMA</t>
        </is>
      </c>
      <c r="B3977" t="inlineStr">
        <is>
          <t>M1</t>
        </is>
      </c>
      <c r="C3977" t="inlineStr">
        <is>
          <t>Cali</t>
        </is>
      </c>
      <c r="D3977" t="inlineStr">
        <is>
          <t>683</t>
        </is>
      </c>
      <c r="E3977" t="inlineStr">
        <is>
          <t>pagado</t>
        </is>
      </c>
      <c r="F3977" s="23" t="n">
        <v>46280</v>
      </c>
      <c r="G3977" s="24">
        <f>F3977-DATE(2026,8,31)</f>
        <v>15</v>
      </c>
      <c r="H3977" s="25" t="n">
        <v>167858929</v>
      </c>
      <c r="I3977" t="inlineStr">
        <is>
          <t>entidad-dia</t>
        </is>
      </c>
    </row>
    <row r="3978">
      <c r="A3978" t="inlineStr">
        <is>
          <t>PRAGMA</t>
        </is>
      </c>
      <c r="B3978" t="inlineStr">
        <is>
          <t>M1</t>
        </is>
      </c>
      <c r="C3978" t="inlineStr">
        <is>
          <t>Cali</t>
        </is>
      </c>
      <c r="D3978" t="inlineStr">
        <is>
          <t>6846</t>
        </is>
      </c>
      <c r="E3978" t="inlineStr">
        <is>
          <t>pagado</t>
        </is>
      </c>
      <c r="F3978" s="23" t="n">
        <v>46266</v>
      </c>
      <c r="G3978" s="24">
        <f>F3978-DATE(2026,8,31)</f>
        <v>1</v>
      </c>
      <c r="H3978" s="25" t="n">
        <v>137243890</v>
      </c>
      <c r="I3978" t="inlineStr">
        <is>
          <t>entidad-dia</t>
        </is>
      </c>
    </row>
    <row r="3979">
      <c r="A3979" t="inlineStr">
        <is>
          <t>PRAGMA</t>
        </is>
      </c>
      <c r="B3979" t="inlineStr">
        <is>
          <t>M1</t>
        </is>
      </c>
      <c r="C3979" t="inlineStr">
        <is>
          <t>Cali</t>
        </is>
      </c>
      <c r="D3979" t="inlineStr">
        <is>
          <t>6846</t>
        </is>
      </c>
      <c r="E3979" t="inlineStr">
        <is>
          <t>pagado</t>
        </is>
      </c>
      <c r="F3979" s="23" t="n">
        <v>46267</v>
      </c>
      <c r="G3979" s="24">
        <f>F3979-DATE(2026,8,31)</f>
        <v>2</v>
      </c>
      <c r="H3979" s="25" t="n">
        <v>100789660</v>
      </c>
      <c r="I3979" t="inlineStr">
        <is>
          <t>entidad-dia</t>
        </is>
      </c>
    </row>
    <row r="3980">
      <c r="A3980" t="inlineStr">
        <is>
          <t>PRAGMA</t>
        </is>
      </c>
      <c r="B3980" t="inlineStr">
        <is>
          <t>M1</t>
        </is>
      </c>
      <c r="C3980" t="inlineStr">
        <is>
          <t>Cali</t>
        </is>
      </c>
      <c r="D3980" t="inlineStr">
        <is>
          <t>6846</t>
        </is>
      </c>
      <c r="E3980" t="inlineStr">
        <is>
          <t>pagado</t>
        </is>
      </c>
      <c r="F3980" s="23" t="n">
        <v>46268</v>
      </c>
      <c r="G3980" s="24">
        <f>F3980-DATE(2026,8,31)</f>
        <v>3</v>
      </c>
      <c r="H3980" s="25" t="n">
        <v>94450994</v>
      </c>
      <c r="I3980" t="inlineStr">
        <is>
          <t>entidad-dia</t>
        </is>
      </c>
    </row>
    <row r="3981">
      <c r="A3981" t="inlineStr">
        <is>
          <t>PRAGMA</t>
        </is>
      </c>
      <c r="B3981" t="inlineStr">
        <is>
          <t>M1</t>
        </is>
      </c>
      <c r="C3981" t="inlineStr">
        <is>
          <t>Cali</t>
        </is>
      </c>
      <c r="D3981" t="inlineStr">
        <is>
          <t>6846</t>
        </is>
      </c>
      <c r="E3981" t="inlineStr">
        <is>
          <t>pagado</t>
        </is>
      </c>
      <c r="F3981" s="23" t="n">
        <v>46269</v>
      </c>
      <c r="G3981" s="24">
        <f>F3981-DATE(2026,8,31)</f>
        <v>4</v>
      </c>
      <c r="H3981" s="25" t="n">
        <v>97181218</v>
      </c>
      <c r="I3981" t="inlineStr">
        <is>
          <t>entidad-dia</t>
        </is>
      </c>
    </row>
    <row r="3982">
      <c r="A3982" t="inlineStr">
        <is>
          <t>PRAGMA</t>
        </is>
      </c>
      <c r="B3982" t="inlineStr">
        <is>
          <t>M1</t>
        </is>
      </c>
      <c r="C3982" t="inlineStr">
        <is>
          <t>Cali</t>
        </is>
      </c>
      <c r="D3982" t="inlineStr">
        <is>
          <t>6846</t>
        </is>
      </c>
      <c r="E3982" t="inlineStr">
        <is>
          <t>pagado</t>
        </is>
      </c>
      <c r="F3982" s="23" t="n">
        <v>46270</v>
      </c>
      <c r="G3982" s="24">
        <f>F3982-DATE(2026,8,31)</f>
        <v>5</v>
      </c>
      <c r="H3982" s="25" t="n">
        <v>70456473</v>
      </c>
      <c r="I3982" t="inlineStr">
        <is>
          <t>entidad-dia</t>
        </is>
      </c>
    </row>
    <row r="3983">
      <c r="A3983" t="inlineStr">
        <is>
          <t>PRAGMA</t>
        </is>
      </c>
      <c r="B3983" t="inlineStr">
        <is>
          <t>M1</t>
        </is>
      </c>
      <c r="C3983" t="inlineStr">
        <is>
          <t>Cali</t>
        </is>
      </c>
      <c r="D3983" t="inlineStr">
        <is>
          <t>6846</t>
        </is>
      </c>
      <c r="E3983" t="inlineStr">
        <is>
          <t>pagado</t>
        </is>
      </c>
      <c r="F3983" s="23" t="n">
        <v>46271</v>
      </c>
      <c r="G3983" s="24">
        <f>F3983-DATE(2026,8,31)</f>
        <v>6</v>
      </c>
      <c r="H3983" s="25" t="n">
        <v>1814019</v>
      </c>
      <c r="I3983" t="inlineStr">
        <is>
          <t>entidad-dia</t>
        </is>
      </c>
    </row>
    <row r="3984">
      <c r="A3984" t="inlineStr">
        <is>
          <t>PRAGMA</t>
        </is>
      </c>
      <c r="B3984" t="inlineStr">
        <is>
          <t>M1</t>
        </is>
      </c>
      <c r="C3984" t="inlineStr">
        <is>
          <t>Cali</t>
        </is>
      </c>
      <c r="D3984" t="inlineStr">
        <is>
          <t>6846</t>
        </is>
      </c>
      <c r="E3984" t="inlineStr">
        <is>
          <t>pagado</t>
        </is>
      </c>
      <c r="F3984" s="23" t="n">
        <v>46272</v>
      </c>
      <c r="G3984" s="24">
        <f>F3984-DATE(2026,8,31)</f>
        <v>7</v>
      </c>
      <c r="H3984" s="25" t="n">
        <v>69537950</v>
      </c>
      <c r="I3984" t="inlineStr">
        <is>
          <t>entidad-dia</t>
        </is>
      </c>
    </row>
    <row r="3985">
      <c r="A3985" t="inlineStr">
        <is>
          <t>PRAGMA</t>
        </is>
      </c>
      <c r="B3985" t="inlineStr">
        <is>
          <t>M1</t>
        </is>
      </c>
      <c r="C3985" t="inlineStr">
        <is>
          <t>Cali</t>
        </is>
      </c>
      <c r="D3985" t="inlineStr">
        <is>
          <t>6846</t>
        </is>
      </c>
      <c r="E3985" t="inlineStr">
        <is>
          <t>pagado</t>
        </is>
      </c>
      <c r="F3985" s="23" t="n">
        <v>46273</v>
      </c>
      <c r="G3985" s="24">
        <f>F3985-DATE(2026,8,31)</f>
        <v>8</v>
      </c>
      <c r="H3985" s="25" t="n">
        <v>65238857</v>
      </c>
      <c r="I3985" t="inlineStr">
        <is>
          <t>entidad-dia</t>
        </is>
      </c>
    </row>
    <row r="3986">
      <c r="A3986" t="inlineStr">
        <is>
          <t>PRAGMA</t>
        </is>
      </c>
      <c r="B3986" t="inlineStr">
        <is>
          <t>M1</t>
        </is>
      </c>
      <c r="C3986" t="inlineStr">
        <is>
          <t>Cali</t>
        </is>
      </c>
      <c r="D3986" t="inlineStr">
        <is>
          <t>6846</t>
        </is>
      </c>
      <c r="E3986" t="inlineStr">
        <is>
          <t>pagado</t>
        </is>
      </c>
      <c r="F3986" s="23" t="n">
        <v>46274</v>
      </c>
      <c r="G3986" s="24">
        <f>F3986-DATE(2026,8,31)</f>
        <v>9</v>
      </c>
      <c r="H3986" s="25" t="n">
        <v>58293873</v>
      </c>
      <c r="I3986" t="inlineStr">
        <is>
          <t>entidad-dia</t>
        </is>
      </c>
    </row>
    <row r="3987">
      <c r="A3987" t="inlineStr">
        <is>
          <t>PRAGMA</t>
        </is>
      </c>
      <c r="B3987" t="inlineStr">
        <is>
          <t>M1</t>
        </is>
      </c>
      <c r="C3987" t="inlineStr">
        <is>
          <t>Cali</t>
        </is>
      </c>
      <c r="D3987" t="inlineStr">
        <is>
          <t>6846</t>
        </is>
      </c>
      <c r="E3987" t="inlineStr">
        <is>
          <t>pagado</t>
        </is>
      </c>
      <c r="F3987" s="23" t="n">
        <v>46275</v>
      </c>
      <c r="G3987" s="24">
        <f>F3987-DATE(2026,8,31)</f>
        <v>10</v>
      </c>
      <c r="H3987" s="25" t="n">
        <v>59125895</v>
      </c>
      <c r="I3987" t="inlineStr">
        <is>
          <t>entidad-dia</t>
        </is>
      </c>
    </row>
    <row r="3988">
      <c r="A3988" t="inlineStr">
        <is>
          <t>PRAGMA</t>
        </is>
      </c>
      <c r="B3988" t="inlineStr">
        <is>
          <t>M1</t>
        </is>
      </c>
      <c r="C3988" t="inlineStr">
        <is>
          <t>Cali</t>
        </is>
      </c>
      <c r="D3988" t="inlineStr">
        <is>
          <t>6846</t>
        </is>
      </c>
      <c r="E3988" t="inlineStr">
        <is>
          <t>pagado</t>
        </is>
      </c>
      <c r="F3988" s="23" t="n">
        <v>46276</v>
      </c>
      <c r="G3988" s="24">
        <f>F3988-DATE(2026,8,31)</f>
        <v>11</v>
      </c>
      <c r="H3988" s="25" t="n">
        <v>65731384</v>
      </c>
      <c r="I3988" t="inlineStr">
        <is>
          <t>entidad-dia</t>
        </is>
      </c>
    </row>
    <row r="3989">
      <c r="A3989" t="inlineStr">
        <is>
          <t>PRAGMA</t>
        </is>
      </c>
      <c r="B3989" t="inlineStr">
        <is>
          <t>M1</t>
        </is>
      </c>
      <c r="C3989" t="inlineStr">
        <is>
          <t>Cali</t>
        </is>
      </c>
      <c r="D3989" t="inlineStr">
        <is>
          <t>6846</t>
        </is>
      </c>
      <c r="E3989" t="inlineStr">
        <is>
          <t>pagado</t>
        </is>
      </c>
      <c r="F3989" s="23" t="n">
        <v>46277</v>
      </c>
      <c r="G3989" s="24">
        <f>F3989-DATE(2026,8,31)</f>
        <v>12</v>
      </c>
      <c r="H3989" s="25" t="n">
        <v>62085019</v>
      </c>
      <c r="I3989" t="inlineStr">
        <is>
          <t>entidad-dia</t>
        </is>
      </c>
    </row>
    <row r="3990">
      <c r="A3990" t="inlineStr">
        <is>
          <t>PRAGMA</t>
        </is>
      </c>
      <c r="B3990" t="inlineStr">
        <is>
          <t>M1</t>
        </is>
      </c>
      <c r="C3990" t="inlineStr">
        <is>
          <t>Cali</t>
        </is>
      </c>
      <c r="D3990" t="inlineStr">
        <is>
          <t>6846</t>
        </is>
      </c>
      <c r="E3990" t="inlineStr">
        <is>
          <t>pagado</t>
        </is>
      </c>
      <c r="F3990" s="23" t="n">
        <v>46278</v>
      </c>
      <c r="G3990" s="24">
        <f>F3990-DATE(2026,8,31)</f>
        <v>13</v>
      </c>
      <c r="H3990" s="25" t="n">
        <v>1710803</v>
      </c>
      <c r="I3990" t="inlineStr">
        <is>
          <t>entidad-dia</t>
        </is>
      </c>
    </row>
    <row r="3991">
      <c r="A3991" t="inlineStr">
        <is>
          <t>PRAGMA</t>
        </is>
      </c>
      <c r="B3991" t="inlineStr">
        <is>
          <t>M1</t>
        </is>
      </c>
      <c r="C3991" t="inlineStr">
        <is>
          <t>Cali</t>
        </is>
      </c>
      <c r="D3991" t="inlineStr">
        <is>
          <t>6846</t>
        </is>
      </c>
      <c r="E3991" t="inlineStr">
        <is>
          <t>pagado</t>
        </is>
      </c>
      <c r="F3991" s="23" t="n">
        <v>46279</v>
      </c>
      <c r="G3991" s="24">
        <f>F3991-DATE(2026,8,31)</f>
        <v>14</v>
      </c>
      <c r="H3991" s="25" t="n">
        <v>68014604</v>
      </c>
      <c r="I3991" t="inlineStr">
        <is>
          <t>entidad-dia</t>
        </is>
      </c>
    </row>
    <row r="3992">
      <c r="A3992" t="inlineStr">
        <is>
          <t>PRAGMA</t>
        </is>
      </c>
      <c r="B3992" t="inlineStr">
        <is>
          <t>M1</t>
        </is>
      </c>
      <c r="C3992" t="inlineStr">
        <is>
          <t>Cali</t>
        </is>
      </c>
      <c r="D3992" t="inlineStr">
        <is>
          <t>6846</t>
        </is>
      </c>
      <c r="E3992" t="inlineStr">
        <is>
          <t>pagado</t>
        </is>
      </c>
      <c r="F3992" s="23" t="n">
        <v>46280</v>
      </c>
      <c r="G3992" s="24">
        <f>F3992-DATE(2026,8,31)</f>
        <v>15</v>
      </c>
      <c r="H3992" s="25" t="n">
        <v>121867909</v>
      </c>
      <c r="I3992" t="inlineStr">
        <is>
          <t>entidad-dia</t>
        </is>
      </c>
    </row>
    <row r="3993">
      <c r="A3993" t="inlineStr">
        <is>
          <t>PRAGMA</t>
        </is>
      </c>
      <c r="B3993" t="inlineStr">
        <is>
          <t>M1</t>
        </is>
      </c>
      <c r="C3993" t="inlineStr">
        <is>
          <t>Cali</t>
        </is>
      </c>
      <c r="D3993" t="inlineStr">
        <is>
          <t>6847</t>
        </is>
      </c>
      <c r="E3993" t="inlineStr">
        <is>
          <t>pagado</t>
        </is>
      </c>
      <c r="F3993" s="23" t="n">
        <v>46266</v>
      </c>
      <c r="G3993" s="24">
        <f>F3993-DATE(2026,8,31)</f>
        <v>1</v>
      </c>
      <c r="H3993" s="25" t="n">
        <v>133733862</v>
      </c>
      <c r="I3993" t="inlineStr">
        <is>
          <t>entidad-dia</t>
        </is>
      </c>
    </row>
    <row r="3994">
      <c r="A3994" t="inlineStr">
        <is>
          <t>PRAGMA</t>
        </is>
      </c>
      <c r="B3994" t="inlineStr">
        <is>
          <t>M1</t>
        </is>
      </c>
      <c r="C3994" t="inlineStr">
        <is>
          <t>Cali</t>
        </is>
      </c>
      <c r="D3994" t="inlineStr">
        <is>
          <t>6847</t>
        </is>
      </c>
      <c r="E3994" t="inlineStr">
        <is>
          <t>pagado</t>
        </is>
      </c>
      <c r="F3994" s="23" t="n">
        <v>46267</v>
      </c>
      <c r="G3994" s="24">
        <f>F3994-DATE(2026,8,31)</f>
        <v>2</v>
      </c>
      <c r="H3994" s="25" t="n">
        <v>100007250</v>
      </c>
      <c r="I3994" t="inlineStr">
        <is>
          <t>entidad-dia</t>
        </is>
      </c>
    </row>
    <row r="3995">
      <c r="A3995" t="inlineStr">
        <is>
          <t>PRAGMA</t>
        </is>
      </c>
      <c r="B3995" t="inlineStr">
        <is>
          <t>M1</t>
        </is>
      </c>
      <c r="C3995" t="inlineStr">
        <is>
          <t>Cali</t>
        </is>
      </c>
      <c r="D3995" t="inlineStr">
        <is>
          <t>6847</t>
        </is>
      </c>
      <c r="E3995" t="inlineStr">
        <is>
          <t>pagado</t>
        </is>
      </c>
      <c r="F3995" s="23" t="n">
        <v>46268</v>
      </c>
      <c r="G3995" s="24">
        <f>F3995-DATE(2026,8,31)</f>
        <v>3</v>
      </c>
      <c r="H3995" s="25" t="n">
        <v>92652597</v>
      </c>
      <c r="I3995" t="inlineStr">
        <is>
          <t>entidad-dia</t>
        </is>
      </c>
    </row>
    <row r="3996">
      <c r="A3996" t="inlineStr">
        <is>
          <t>PRAGMA</t>
        </is>
      </c>
      <c r="B3996" t="inlineStr">
        <is>
          <t>M1</t>
        </is>
      </c>
      <c r="C3996" t="inlineStr">
        <is>
          <t>Cali</t>
        </is>
      </c>
      <c r="D3996" t="inlineStr">
        <is>
          <t>6847</t>
        </is>
      </c>
      <c r="E3996" t="inlineStr">
        <is>
          <t>pagado</t>
        </is>
      </c>
      <c r="F3996" s="23" t="n">
        <v>46269</v>
      </c>
      <c r="G3996" s="24">
        <f>F3996-DATE(2026,8,31)</f>
        <v>4</v>
      </c>
      <c r="H3996" s="25" t="n">
        <v>88257296</v>
      </c>
      <c r="I3996" t="inlineStr">
        <is>
          <t>entidad-dia</t>
        </is>
      </c>
    </row>
    <row r="3997">
      <c r="A3997" t="inlineStr">
        <is>
          <t>PRAGMA</t>
        </is>
      </c>
      <c r="B3997" t="inlineStr">
        <is>
          <t>M1</t>
        </is>
      </c>
      <c r="C3997" t="inlineStr">
        <is>
          <t>Cali</t>
        </is>
      </c>
      <c r="D3997" t="inlineStr">
        <is>
          <t>6847</t>
        </is>
      </c>
      <c r="E3997" t="inlineStr">
        <is>
          <t>pagado</t>
        </is>
      </c>
      <c r="F3997" s="23" t="n">
        <v>46270</v>
      </c>
      <c r="G3997" s="24">
        <f>F3997-DATE(2026,8,31)</f>
        <v>5</v>
      </c>
      <c r="H3997" s="25" t="n">
        <v>67668411</v>
      </c>
      <c r="I3997" t="inlineStr">
        <is>
          <t>entidad-dia</t>
        </is>
      </c>
    </row>
    <row r="3998">
      <c r="A3998" t="inlineStr">
        <is>
          <t>PRAGMA</t>
        </is>
      </c>
      <c r="B3998" t="inlineStr">
        <is>
          <t>M1</t>
        </is>
      </c>
      <c r="C3998" t="inlineStr">
        <is>
          <t>Cali</t>
        </is>
      </c>
      <c r="D3998" t="inlineStr">
        <is>
          <t>6847</t>
        </is>
      </c>
      <c r="E3998" t="inlineStr">
        <is>
          <t>pagado</t>
        </is>
      </c>
      <c r="F3998" s="23" t="n">
        <v>46271</v>
      </c>
      <c r="G3998" s="24">
        <f>F3998-DATE(2026,8,31)</f>
        <v>6</v>
      </c>
      <c r="H3998" s="25" t="n">
        <v>2415154</v>
      </c>
      <c r="I3998" t="inlineStr">
        <is>
          <t>entidad-dia</t>
        </is>
      </c>
    </row>
    <row r="3999">
      <c r="A3999" t="inlineStr">
        <is>
          <t>PRAGMA</t>
        </is>
      </c>
      <c r="B3999" t="inlineStr">
        <is>
          <t>M1</t>
        </is>
      </c>
      <c r="C3999" t="inlineStr">
        <is>
          <t>Cali</t>
        </is>
      </c>
      <c r="D3999" t="inlineStr">
        <is>
          <t>6847</t>
        </is>
      </c>
      <c r="E3999" t="inlineStr">
        <is>
          <t>pagado</t>
        </is>
      </c>
      <c r="F3999" s="23" t="n">
        <v>46272</v>
      </c>
      <c r="G3999" s="24">
        <f>F3999-DATE(2026,8,31)</f>
        <v>7</v>
      </c>
      <c r="H3999" s="25" t="n">
        <v>68377253</v>
      </c>
      <c r="I3999" t="inlineStr">
        <is>
          <t>entidad-dia</t>
        </is>
      </c>
    </row>
    <row r="4000">
      <c r="A4000" t="inlineStr">
        <is>
          <t>PRAGMA</t>
        </is>
      </c>
      <c r="B4000" t="inlineStr">
        <is>
          <t>M1</t>
        </is>
      </c>
      <c r="C4000" t="inlineStr">
        <is>
          <t>Cali</t>
        </is>
      </c>
      <c r="D4000" t="inlineStr">
        <is>
          <t>6847</t>
        </is>
      </c>
      <c r="E4000" t="inlineStr">
        <is>
          <t>pagado</t>
        </is>
      </c>
      <c r="F4000" s="23" t="n">
        <v>46273</v>
      </c>
      <c r="G4000" s="24">
        <f>F4000-DATE(2026,8,31)</f>
        <v>8</v>
      </c>
      <c r="H4000" s="25" t="n">
        <v>58567030</v>
      </c>
      <c r="I4000" t="inlineStr">
        <is>
          <t>entidad-dia</t>
        </is>
      </c>
    </row>
    <row r="4001">
      <c r="A4001" t="inlineStr">
        <is>
          <t>PRAGMA</t>
        </is>
      </c>
      <c r="B4001" t="inlineStr">
        <is>
          <t>M1</t>
        </is>
      </c>
      <c r="C4001" t="inlineStr">
        <is>
          <t>Cali</t>
        </is>
      </c>
      <c r="D4001" t="inlineStr">
        <is>
          <t>6847</t>
        </is>
      </c>
      <c r="E4001" t="inlineStr">
        <is>
          <t>pagado</t>
        </is>
      </c>
      <c r="F4001" s="23" t="n">
        <v>46274</v>
      </c>
      <c r="G4001" s="24">
        <f>F4001-DATE(2026,8,31)</f>
        <v>9</v>
      </c>
      <c r="H4001" s="25" t="n">
        <v>64066855</v>
      </c>
      <c r="I4001" t="inlineStr">
        <is>
          <t>entidad-dia</t>
        </is>
      </c>
    </row>
    <row r="4002">
      <c r="A4002" t="inlineStr">
        <is>
          <t>PRAGMA</t>
        </is>
      </c>
      <c r="B4002" t="inlineStr">
        <is>
          <t>M1</t>
        </is>
      </c>
      <c r="C4002" t="inlineStr">
        <is>
          <t>Cali</t>
        </is>
      </c>
      <c r="D4002" t="inlineStr">
        <is>
          <t>6847</t>
        </is>
      </c>
      <c r="E4002" t="inlineStr">
        <is>
          <t>pagado</t>
        </is>
      </c>
      <c r="F4002" s="23" t="n">
        <v>46275</v>
      </c>
      <c r="G4002" s="24">
        <f>F4002-DATE(2026,8,31)</f>
        <v>10</v>
      </c>
      <c r="H4002" s="25" t="n">
        <v>59861243</v>
      </c>
      <c r="I4002" t="inlineStr">
        <is>
          <t>entidad-dia</t>
        </is>
      </c>
    </row>
    <row r="4003">
      <c r="A4003" t="inlineStr">
        <is>
          <t>PRAGMA</t>
        </is>
      </c>
      <c r="B4003" t="inlineStr">
        <is>
          <t>M1</t>
        </is>
      </c>
      <c r="C4003" t="inlineStr">
        <is>
          <t>Cali</t>
        </is>
      </c>
      <c r="D4003" t="inlineStr">
        <is>
          <t>6847</t>
        </is>
      </c>
      <c r="E4003" t="inlineStr">
        <is>
          <t>pagado</t>
        </is>
      </c>
      <c r="F4003" s="23" t="n">
        <v>46276</v>
      </c>
      <c r="G4003" s="24">
        <f>F4003-DATE(2026,8,31)</f>
        <v>11</v>
      </c>
      <c r="H4003" s="25" t="n">
        <v>71521302</v>
      </c>
      <c r="I4003" t="inlineStr">
        <is>
          <t>entidad-dia</t>
        </is>
      </c>
    </row>
    <row r="4004">
      <c r="A4004" t="inlineStr">
        <is>
          <t>PRAGMA</t>
        </is>
      </c>
      <c r="B4004" t="inlineStr">
        <is>
          <t>M1</t>
        </is>
      </c>
      <c r="C4004" t="inlineStr">
        <is>
          <t>Cali</t>
        </is>
      </c>
      <c r="D4004" t="inlineStr">
        <is>
          <t>6847</t>
        </is>
      </c>
      <c r="E4004" t="inlineStr">
        <is>
          <t>pagado</t>
        </is>
      </c>
      <c r="F4004" s="23" t="n">
        <v>46277</v>
      </c>
      <c r="G4004" s="24">
        <f>F4004-DATE(2026,8,31)</f>
        <v>12</v>
      </c>
      <c r="H4004" s="25" t="n">
        <v>54284255</v>
      </c>
      <c r="I4004" t="inlineStr">
        <is>
          <t>entidad-dia</t>
        </is>
      </c>
    </row>
    <row r="4005">
      <c r="A4005" t="inlineStr">
        <is>
          <t>PRAGMA</t>
        </is>
      </c>
      <c r="B4005" t="inlineStr">
        <is>
          <t>M1</t>
        </is>
      </c>
      <c r="C4005" t="inlineStr">
        <is>
          <t>Cali</t>
        </is>
      </c>
      <c r="D4005" t="inlineStr">
        <is>
          <t>6847</t>
        </is>
      </c>
      <c r="E4005" t="inlineStr">
        <is>
          <t>pagado</t>
        </is>
      </c>
      <c r="F4005" s="23" t="n">
        <v>46278</v>
      </c>
      <c r="G4005" s="24">
        <f>F4005-DATE(2026,8,31)</f>
        <v>13</v>
      </c>
      <c r="H4005" s="25" t="n">
        <v>1949660</v>
      </c>
      <c r="I4005" t="inlineStr">
        <is>
          <t>entidad-dia</t>
        </is>
      </c>
    </row>
    <row r="4006">
      <c r="A4006" t="inlineStr">
        <is>
          <t>PRAGMA</t>
        </is>
      </c>
      <c r="B4006" t="inlineStr">
        <is>
          <t>M1</t>
        </is>
      </c>
      <c r="C4006" t="inlineStr">
        <is>
          <t>Cali</t>
        </is>
      </c>
      <c r="D4006" t="inlineStr">
        <is>
          <t>6847</t>
        </is>
      </c>
      <c r="E4006" t="inlineStr">
        <is>
          <t>pagado</t>
        </is>
      </c>
      <c r="F4006" s="23" t="n">
        <v>46279</v>
      </c>
      <c r="G4006" s="24">
        <f>F4006-DATE(2026,8,31)</f>
        <v>14</v>
      </c>
      <c r="H4006" s="25" t="n">
        <v>73558670</v>
      </c>
      <c r="I4006" t="inlineStr">
        <is>
          <t>entidad-dia</t>
        </is>
      </c>
    </row>
    <row r="4007">
      <c r="A4007" t="inlineStr">
        <is>
          <t>PRAGMA</t>
        </is>
      </c>
      <c r="B4007" t="inlineStr">
        <is>
          <t>M1</t>
        </is>
      </c>
      <c r="C4007" t="inlineStr">
        <is>
          <t>Cali</t>
        </is>
      </c>
      <c r="D4007" t="inlineStr">
        <is>
          <t>6847</t>
        </is>
      </c>
      <c r="E4007" t="inlineStr">
        <is>
          <t>pagado</t>
        </is>
      </c>
      <c r="F4007" s="23" t="n">
        <v>46280</v>
      </c>
      <c r="G4007" s="24">
        <f>F4007-DATE(2026,8,31)</f>
        <v>15</v>
      </c>
      <c r="H4007" s="25" t="n">
        <v>107371328</v>
      </c>
      <c r="I4007" t="inlineStr">
        <is>
          <t>entidad-dia</t>
        </is>
      </c>
    </row>
    <row r="4008">
      <c r="A4008" t="inlineStr">
        <is>
          <t>PRAGMA</t>
        </is>
      </c>
      <c r="B4008" t="inlineStr">
        <is>
          <t>M1</t>
        </is>
      </c>
      <c r="C4008" t="inlineStr">
        <is>
          <t>Pasto</t>
        </is>
      </c>
      <c r="D4008" t="inlineStr">
        <is>
          <t>6900</t>
        </is>
      </c>
      <c r="E4008" t="inlineStr">
        <is>
          <t>pagado</t>
        </is>
      </c>
      <c r="F4008" s="23" t="n">
        <v>46266</v>
      </c>
      <c r="G4008" s="24">
        <f>F4008-DATE(2026,8,31)</f>
        <v>1</v>
      </c>
      <c r="H4008" s="25" t="n">
        <v>216158242</v>
      </c>
      <c r="I4008" t="inlineStr">
        <is>
          <t>entidad-dia</t>
        </is>
      </c>
    </row>
    <row r="4009">
      <c r="A4009" t="inlineStr">
        <is>
          <t>PRAGMA</t>
        </is>
      </c>
      <c r="B4009" t="inlineStr">
        <is>
          <t>M1</t>
        </is>
      </c>
      <c r="C4009" t="inlineStr">
        <is>
          <t>Pasto</t>
        </is>
      </c>
      <c r="D4009" t="inlineStr">
        <is>
          <t>6900</t>
        </is>
      </c>
      <c r="E4009" t="inlineStr">
        <is>
          <t>pagado</t>
        </is>
      </c>
      <c r="F4009" s="23" t="n">
        <v>46267</v>
      </c>
      <c r="G4009" s="24">
        <f>F4009-DATE(2026,8,31)</f>
        <v>2</v>
      </c>
      <c r="H4009" s="25" t="n">
        <v>178910950</v>
      </c>
      <c r="I4009" t="inlineStr">
        <is>
          <t>entidad-dia</t>
        </is>
      </c>
    </row>
    <row r="4010">
      <c r="A4010" t="inlineStr">
        <is>
          <t>PRAGMA</t>
        </is>
      </c>
      <c r="B4010" t="inlineStr">
        <is>
          <t>M1</t>
        </is>
      </c>
      <c r="C4010" t="inlineStr">
        <is>
          <t>Pasto</t>
        </is>
      </c>
      <c r="D4010" t="inlineStr">
        <is>
          <t>6900</t>
        </is>
      </c>
      <c r="E4010" t="inlineStr">
        <is>
          <t>pagado</t>
        </is>
      </c>
      <c r="F4010" s="23" t="n">
        <v>46268</v>
      </c>
      <c r="G4010" s="24">
        <f>F4010-DATE(2026,8,31)</f>
        <v>3</v>
      </c>
      <c r="H4010" s="25" t="n">
        <v>156548057</v>
      </c>
      <c r="I4010" t="inlineStr">
        <is>
          <t>entidad-dia</t>
        </is>
      </c>
    </row>
    <row r="4011">
      <c r="A4011" t="inlineStr">
        <is>
          <t>PRAGMA</t>
        </is>
      </c>
      <c r="B4011" t="inlineStr">
        <is>
          <t>M1</t>
        </is>
      </c>
      <c r="C4011" t="inlineStr">
        <is>
          <t>Pasto</t>
        </is>
      </c>
      <c r="D4011" t="inlineStr">
        <is>
          <t>6900</t>
        </is>
      </c>
      <c r="E4011" t="inlineStr">
        <is>
          <t>pagado</t>
        </is>
      </c>
      <c r="F4011" s="23" t="n">
        <v>46269</v>
      </c>
      <c r="G4011" s="24">
        <f>F4011-DATE(2026,8,31)</f>
        <v>4</v>
      </c>
      <c r="H4011" s="25" t="n">
        <v>162918032</v>
      </c>
      <c r="I4011" t="inlineStr">
        <is>
          <t>entidad-dia</t>
        </is>
      </c>
    </row>
    <row r="4012">
      <c r="A4012" t="inlineStr">
        <is>
          <t>PRAGMA</t>
        </is>
      </c>
      <c r="B4012" t="inlineStr">
        <is>
          <t>M1</t>
        </is>
      </c>
      <c r="C4012" t="inlineStr">
        <is>
          <t>Pasto</t>
        </is>
      </c>
      <c r="D4012" t="inlineStr">
        <is>
          <t>6900</t>
        </is>
      </c>
      <c r="E4012" t="inlineStr">
        <is>
          <t>pagado</t>
        </is>
      </c>
      <c r="F4012" s="23" t="n">
        <v>46270</v>
      </c>
      <c r="G4012" s="24">
        <f>F4012-DATE(2026,8,31)</f>
        <v>5</v>
      </c>
      <c r="H4012" s="25" t="n">
        <v>162096133</v>
      </c>
      <c r="I4012" t="inlineStr">
        <is>
          <t>entidad-dia</t>
        </is>
      </c>
    </row>
    <row r="4013">
      <c r="A4013" t="inlineStr">
        <is>
          <t>PRAGMA</t>
        </is>
      </c>
      <c r="B4013" t="inlineStr">
        <is>
          <t>M1</t>
        </is>
      </c>
      <c r="C4013" t="inlineStr">
        <is>
          <t>Pasto</t>
        </is>
      </c>
      <c r="D4013" t="inlineStr">
        <is>
          <t>6900</t>
        </is>
      </c>
      <c r="E4013" t="inlineStr">
        <is>
          <t>pagado</t>
        </is>
      </c>
      <c r="F4013" s="23" t="n">
        <v>46271</v>
      </c>
      <c r="G4013" s="24">
        <f>F4013-DATE(2026,8,31)</f>
        <v>6</v>
      </c>
      <c r="H4013" s="25" t="n">
        <v>103205006</v>
      </c>
      <c r="I4013" t="inlineStr">
        <is>
          <t>entidad-dia</t>
        </is>
      </c>
    </row>
    <row r="4014">
      <c r="A4014" t="inlineStr">
        <is>
          <t>PRAGMA</t>
        </is>
      </c>
      <c r="B4014" t="inlineStr">
        <is>
          <t>M1</t>
        </is>
      </c>
      <c r="C4014" t="inlineStr">
        <is>
          <t>Pasto</t>
        </is>
      </c>
      <c r="D4014" t="inlineStr">
        <is>
          <t>6900</t>
        </is>
      </c>
      <c r="E4014" t="inlineStr">
        <is>
          <t>pagado</t>
        </is>
      </c>
      <c r="F4014" s="23" t="n">
        <v>46272</v>
      </c>
      <c r="G4014" s="24">
        <f>F4014-DATE(2026,8,31)</f>
        <v>7</v>
      </c>
      <c r="H4014" s="25" t="n">
        <v>132363235</v>
      </c>
      <c r="I4014" t="inlineStr">
        <is>
          <t>entidad-dia</t>
        </is>
      </c>
    </row>
    <row r="4015">
      <c r="A4015" t="inlineStr">
        <is>
          <t>PRAGMA</t>
        </is>
      </c>
      <c r="B4015" t="inlineStr">
        <is>
          <t>M1</t>
        </is>
      </c>
      <c r="C4015" t="inlineStr">
        <is>
          <t>Pasto</t>
        </is>
      </c>
      <c r="D4015" t="inlineStr">
        <is>
          <t>6900</t>
        </is>
      </c>
      <c r="E4015" t="inlineStr">
        <is>
          <t>pagado</t>
        </is>
      </c>
      <c r="F4015" s="23" t="n">
        <v>46273</v>
      </c>
      <c r="G4015" s="24">
        <f>F4015-DATE(2026,8,31)</f>
        <v>8</v>
      </c>
      <c r="H4015" s="25" t="n">
        <v>128804921</v>
      </c>
      <c r="I4015" t="inlineStr">
        <is>
          <t>entidad-dia</t>
        </is>
      </c>
    </row>
    <row r="4016">
      <c r="A4016" t="inlineStr">
        <is>
          <t>PRAGMA</t>
        </is>
      </c>
      <c r="B4016" t="inlineStr">
        <is>
          <t>M1</t>
        </is>
      </c>
      <c r="C4016" t="inlineStr">
        <is>
          <t>Pasto</t>
        </is>
      </c>
      <c r="D4016" t="inlineStr">
        <is>
          <t>6900</t>
        </is>
      </c>
      <c r="E4016" t="inlineStr">
        <is>
          <t>pagado</t>
        </is>
      </c>
      <c r="F4016" s="23" t="n">
        <v>46274</v>
      </c>
      <c r="G4016" s="24">
        <f>F4016-DATE(2026,8,31)</f>
        <v>9</v>
      </c>
      <c r="H4016" s="25" t="n">
        <v>125919526</v>
      </c>
      <c r="I4016" t="inlineStr">
        <is>
          <t>entidad-dia</t>
        </is>
      </c>
    </row>
    <row r="4017">
      <c r="A4017" t="inlineStr">
        <is>
          <t>PRAGMA</t>
        </is>
      </c>
      <c r="B4017" t="inlineStr">
        <is>
          <t>M1</t>
        </is>
      </c>
      <c r="C4017" t="inlineStr">
        <is>
          <t>Pasto</t>
        </is>
      </c>
      <c r="D4017" t="inlineStr">
        <is>
          <t>6900</t>
        </is>
      </c>
      <c r="E4017" t="inlineStr">
        <is>
          <t>pagado</t>
        </is>
      </c>
      <c r="F4017" s="23" t="n">
        <v>46275</v>
      </c>
      <c r="G4017" s="24">
        <f>F4017-DATE(2026,8,31)</f>
        <v>10</v>
      </c>
      <c r="H4017" s="25" t="n">
        <v>123253233</v>
      </c>
      <c r="I4017" t="inlineStr">
        <is>
          <t>entidad-dia</t>
        </is>
      </c>
    </row>
    <row r="4018">
      <c r="A4018" t="inlineStr">
        <is>
          <t>PRAGMA</t>
        </is>
      </c>
      <c r="B4018" t="inlineStr">
        <is>
          <t>M1</t>
        </is>
      </c>
      <c r="C4018" t="inlineStr">
        <is>
          <t>Pasto</t>
        </is>
      </c>
      <c r="D4018" t="inlineStr">
        <is>
          <t>6900</t>
        </is>
      </c>
      <c r="E4018" t="inlineStr">
        <is>
          <t>pagado</t>
        </is>
      </c>
      <c r="F4018" s="23" t="n">
        <v>46276</v>
      </c>
      <c r="G4018" s="24">
        <f>F4018-DATE(2026,8,31)</f>
        <v>11</v>
      </c>
      <c r="H4018" s="25" t="n">
        <v>118701766</v>
      </c>
      <c r="I4018" t="inlineStr">
        <is>
          <t>entidad-dia</t>
        </is>
      </c>
    </row>
    <row r="4019">
      <c r="A4019" t="inlineStr">
        <is>
          <t>PRAGMA</t>
        </is>
      </c>
      <c r="B4019" t="inlineStr">
        <is>
          <t>M1</t>
        </is>
      </c>
      <c r="C4019" t="inlineStr">
        <is>
          <t>Pasto</t>
        </is>
      </c>
      <c r="D4019" t="inlineStr">
        <is>
          <t>6900</t>
        </is>
      </c>
      <c r="E4019" t="inlineStr">
        <is>
          <t>pagado</t>
        </is>
      </c>
      <c r="F4019" s="23" t="n">
        <v>46277</v>
      </c>
      <c r="G4019" s="24">
        <f>F4019-DATE(2026,8,31)</f>
        <v>12</v>
      </c>
      <c r="H4019" s="25" t="n">
        <v>121965509</v>
      </c>
      <c r="I4019" t="inlineStr">
        <is>
          <t>entidad-dia</t>
        </is>
      </c>
    </row>
    <row r="4020">
      <c r="A4020" t="inlineStr">
        <is>
          <t>PRAGMA</t>
        </is>
      </c>
      <c r="B4020" t="inlineStr">
        <is>
          <t>M1</t>
        </is>
      </c>
      <c r="C4020" t="inlineStr">
        <is>
          <t>Pasto</t>
        </is>
      </c>
      <c r="D4020" t="inlineStr">
        <is>
          <t>6900</t>
        </is>
      </c>
      <c r="E4020" t="inlineStr">
        <is>
          <t>pagado</t>
        </is>
      </c>
      <c r="F4020" s="23" t="n">
        <v>46278</v>
      </c>
      <c r="G4020" s="24">
        <f>F4020-DATE(2026,8,31)</f>
        <v>13</v>
      </c>
      <c r="H4020" s="25" t="n">
        <v>71924486</v>
      </c>
      <c r="I4020" t="inlineStr">
        <is>
          <t>entidad-dia</t>
        </is>
      </c>
    </row>
    <row r="4021">
      <c r="A4021" t="inlineStr">
        <is>
          <t>PRAGMA</t>
        </is>
      </c>
      <c r="B4021" t="inlineStr">
        <is>
          <t>M1</t>
        </is>
      </c>
      <c r="C4021" t="inlineStr">
        <is>
          <t>Pasto</t>
        </is>
      </c>
      <c r="D4021" t="inlineStr">
        <is>
          <t>6900</t>
        </is>
      </c>
      <c r="E4021" t="inlineStr">
        <is>
          <t>pagado</t>
        </is>
      </c>
      <c r="F4021" s="23" t="n">
        <v>46279</v>
      </c>
      <c r="G4021" s="24">
        <f>F4021-DATE(2026,8,31)</f>
        <v>14</v>
      </c>
      <c r="H4021" s="25" t="n">
        <v>111520840</v>
      </c>
      <c r="I4021" t="inlineStr">
        <is>
          <t>entidad-dia</t>
        </is>
      </c>
    </row>
    <row r="4022">
      <c r="A4022" t="inlineStr">
        <is>
          <t>PRAGMA</t>
        </is>
      </c>
      <c r="B4022" t="inlineStr">
        <is>
          <t>M1</t>
        </is>
      </c>
      <c r="C4022" t="inlineStr">
        <is>
          <t>Pasto</t>
        </is>
      </c>
      <c r="D4022" t="inlineStr">
        <is>
          <t>6900</t>
        </is>
      </c>
      <c r="E4022" t="inlineStr">
        <is>
          <t>pagado</t>
        </is>
      </c>
      <c r="F4022" s="23" t="n">
        <v>46280</v>
      </c>
      <c r="G4022" s="24">
        <f>F4022-DATE(2026,8,31)</f>
        <v>15</v>
      </c>
      <c r="H4022" s="25" t="n">
        <v>141016838</v>
      </c>
      <c r="I4022" t="inlineStr">
        <is>
          <t>entidad-dia</t>
        </is>
      </c>
    </row>
    <row r="4023">
      <c r="A4023" t="inlineStr">
        <is>
          <t>PRAGMA</t>
        </is>
      </c>
      <c r="B4023" t="inlineStr">
        <is>
          <t>M1</t>
        </is>
      </c>
      <c r="C4023" t="inlineStr">
        <is>
          <t>Cali</t>
        </is>
      </c>
      <c r="D4023" t="inlineStr">
        <is>
          <t>6949</t>
        </is>
      </c>
      <c r="E4023" t="inlineStr">
        <is>
          <t>pagado</t>
        </is>
      </c>
      <c r="F4023" s="23" t="n">
        <v>46266</v>
      </c>
      <c r="G4023" s="24">
        <f>F4023-DATE(2026,8,31)</f>
        <v>1</v>
      </c>
      <c r="H4023" s="25" t="n">
        <v>111363835</v>
      </c>
      <c r="I4023" t="inlineStr">
        <is>
          <t>entidad-dia</t>
        </is>
      </c>
    </row>
    <row r="4024">
      <c r="A4024" t="inlineStr">
        <is>
          <t>PRAGMA</t>
        </is>
      </c>
      <c r="B4024" t="inlineStr">
        <is>
          <t>M1</t>
        </is>
      </c>
      <c r="C4024" t="inlineStr">
        <is>
          <t>Cali</t>
        </is>
      </c>
      <c r="D4024" t="inlineStr">
        <is>
          <t>6949</t>
        </is>
      </c>
      <c r="E4024" t="inlineStr">
        <is>
          <t>pagado</t>
        </is>
      </c>
      <c r="F4024" s="23" t="n">
        <v>46267</v>
      </c>
      <c r="G4024" s="24">
        <f>F4024-DATE(2026,8,31)</f>
        <v>2</v>
      </c>
      <c r="H4024" s="25" t="n">
        <v>91176257</v>
      </c>
      <c r="I4024" t="inlineStr">
        <is>
          <t>entidad-dia</t>
        </is>
      </c>
    </row>
    <row r="4025">
      <c r="A4025" t="inlineStr">
        <is>
          <t>PRAGMA</t>
        </is>
      </c>
      <c r="B4025" t="inlineStr">
        <is>
          <t>M1</t>
        </is>
      </c>
      <c r="C4025" t="inlineStr">
        <is>
          <t>Cali</t>
        </is>
      </c>
      <c r="D4025" t="inlineStr">
        <is>
          <t>6949</t>
        </is>
      </c>
      <c r="E4025" t="inlineStr">
        <is>
          <t>pagado</t>
        </is>
      </c>
      <c r="F4025" s="23" t="n">
        <v>46268</v>
      </c>
      <c r="G4025" s="24">
        <f>F4025-DATE(2026,8,31)</f>
        <v>3</v>
      </c>
      <c r="H4025" s="25" t="n">
        <v>80262453</v>
      </c>
      <c r="I4025" t="inlineStr">
        <is>
          <t>entidad-dia</t>
        </is>
      </c>
    </row>
    <row r="4026">
      <c r="A4026" t="inlineStr">
        <is>
          <t>PRAGMA</t>
        </is>
      </c>
      <c r="B4026" t="inlineStr">
        <is>
          <t>M1</t>
        </is>
      </c>
      <c r="C4026" t="inlineStr">
        <is>
          <t>Cali</t>
        </is>
      </c>
      <c r="D4026" t="inlineStr">
        <is>
          <t>6949</t>
        </is>
      </c>
      <c r="E4026" t="inlineStr">
        <is>
          <t>pagado</t>
        </is>
      </c>
      <c r="F4026" s="23" t="n">
        <v>46269</v>
      </c>
      <c r="G4026" s="24">
        <f>F4026-DATE(2026,8,31)</f>
        <v>4</v>
      </c>
      <c r="H4026" s="25" t="n">
        <v>82658022</v>
      </c>
      <c r="I4026" t="inlineStr">
        <is>
          <t>entidad-dia</t>
        </is>
      </c>
    </row>
    <row r="4027">
      <c r="A4027" t="inlineStr">
        <is>
          <t>PRAGMA</t>
        </is>
      </c>
      <c r="B4027" t="inlineStr">
        <is>
          <t>M1</t>
        </is>
      </c>
      <c r="C4027" t="inlineStr">
        <is>
          <t>Cali</t>
        </is>
      </c>
      <c r="D4027" t="inlineStr">
        <is>
          <t>6949</t>
        </is>
      </c>
      <c r="E4027" t="inlineStr">
        <is>
          <t>pagado</t>
        </is>
      </c>
      <c r="F4027" s="23" t="n">
        <v>46270</v>
      </c>
      <c r="G4027" s="24">
        <f>F4027-DATE(2026,8,31)</f>
        <v>5</v>
      </c>
      <c r="H4027" s="25" t="n">
        <v>70374655</v>
      </c>
      <c r="I4027" t="inlineStr">
        <is>
          <t>entidad-dia</t>
        </is>
      </c>
    </row>
    <row r="4028">
      <c r="A4028" t="inlineStr">
        <is>
          <t>PRAGMA</t>
        </is>
      </c>
      <c r="B4028" t="inlineStr">
        <is>
          <t>M1</t>
        </is>
      </c>
      <c r="C4028" t="inlineStr">
        <is>
          <t>Cali</t>
        </is>
      </c>
      <c r="D4028" t="inlineStr">
        <is>
          <t>6949</t>
        </is>
      </c>
      <c r="E4028" t="inlineStr">
        <is>
          <t>pagado</t>
        </is>
      </c>
      <c r="F4028" s="23" t="n">
        <v>46271</v>
      </c>
      <c r="G4028" s="24">
        <f>F4028-DATE(2026,8,31)</f>
        <v>6</v>
      </c>
      <c r="H4028" s="25" t="n">
        <v>30844891</v>
      </c>
      <c r="I4028" t="inlineStr">
        <is>
          <t>entidad-dia</t>
        </is>
      </c>
    </row>
    <row r="4029">
      <c r="A4029" t="inlineStr">
        <is>
          <t>PRAGMA</t>
        </is>
      </c>
      <c r="B4029" t="inlineStr">
        <is>
          <t>M1</t>
        </is>
      </c>
      <c r="C4029" t="inlineStr">
        <is>
          <t>Cali</t>
        </is>
      </c>
      <c r="D4029" t="inlineStr">
        <is>
          <t>6949</t>
        </is>
      </c>
      <c r="E4029" t="inlineStr">
        <is>
          <t>pagado</t>
        </is>
      </c>
      <c r="F4029" s="23" t="n">
        <v>46272</v>
      </c>
      <c r="G4029" s="24">
        <f>F4029-DATE(2026,8,31)</f>
        <v>7</v>
      </c>
      <c r="H4029" s="25" t="n">
        <v>54306237</v>
      </c>
      <c r="I4029" t="inlineStr">
        <is>
          <t>entidad-dia</t>
        </is>
      </c>
    </row>
    <row r="4030">
      <c r="A4030" t="inlineStr">
        <is>
          <t>PRAGMA</t>
        </is>
      </c>
      <c r="B4030" t="inlineStr">
        <is>
          <t>M1</t>
        </is>
      </c>
      <c r="C4030" t="inlineStr">
        <is>
          <t>Cali</t>
        </is>
      </c>
      <c r="D4030" t="inlineStr">
        <is>
          <t>6949</t>
        </is>
      </c>
      <c r="E4030" t="inlineStr">
        <is>
          <t>pagado</t>
        </is>
      </c>
      <c r="F4030" s="23" t="n">
        <v>46273</v>
      </c>
      <c r="G4030" s="24">
        <f>F4030-DATE(2026,8,31)</f>
        <v>8</v>
      </c>
      <c r="H4030" s="25" t="n">
        <v>60848392</v>
      </c>
      <c r="I4030" t="inlineStr">
        <is>
          <t>entidad-dia</t>
        </is>
      </c>
    </row>
    <row r="4031">
      <c r="A4031" t="inlineStr">
        <is>
          <t>PRAGMA</t>
        </is>
      </c>
      <c r="B4031" t="inlineStr">
        <is>
          <t>M1</t>
        </is>
      </c>
      <c r="C4031" t="inlineStr">
        <is>
          <t>Cali</t>
        </is>
      </c>
      <c r="D4031" t="inlineStr">
        <is>
          <t>6949</t>
        </is>
      </c>
      <c r="E4031" t="inlineStr">
        <is>
          <t>pagado</t>
        </is>
      </c>
      <c r="F4031" s="23" t="n">
        <v>46274</v>
      </c>
      <c r="G4031" s="24">
        <f>F4031-DATE(2026,8,31)</f>
        <v>9</v>
      </c>
      <c r="H4031" s="25" t="n">
        <v>68129578</v>
      </c>
      <c r="I4031" t="inlineStr">
        <is>
          <t>entidad-dia</t>
        </is>
      </c>
    </row>
    <row r="4032">
      <c r="A4032" t="inlineStr">
        <is>
          <t>PRAGMA</t>
        </is>
      </c>
      <c r="B4032" t="inlineStr">
        <is>
          <t>M1</t>
        </is>
      </c>
      <c r="C4032" t="inlineStr">
        <is>
          <t>Cali</t>
        </is>
      </c>
      <c r="D4032" t="inlineStr">
        <is>
          <t>6949</t>
        </is>
      </c>
      <c r="E4032" t="inlineStr">
        <is>
          <t>pagado</t>
        </is>
      </c>
      <c r="F4032" s="23" t="n">
        <v>46275</v>
      </c>
      <c r="G4032" s="24">
        <f>F4032-DATE(2026,8,31)</f>
        <v>10</v>
      </c>
      <c r="H4032" s="25" t="n">
        <v>56808253</v>
      </c>
      <c r="I4032" t="inlineStr">
        <is>
          <t>entidad-dia</t>
        </is>
      </c>
    </row>
    <row r="4033">
      <c r="A4033" t="inlineStr">
        <is>
          <t>PRAGMA</t>
        </is>
      </c>
      <c r="B4033" t="inlineStr">
        <is>
          <t>M1</t>
        </is>
      </c>
      <c r="C4033" t="inlineStr">
        <is>
          <t>Cali</t>
        </is>
      </c>
      <c r="D4033" t="inlineStr">
        <is>
          <t>6949</t>
        </is>
      </c>
      <c r="E4033" t="inlineStr">
        <is>
          <t>pagado</t>
        </is>
      </c>
      <c r="F4033" s="23" t="n">
        <v>46276</v>
      </c>
      <c r="G4033" s="24">
        <f>F4033-DATE(2026,8,31)</f>
        <v>11</v>
      </c>
      <c r="H4033" s="25" t="n">
        <v>68003755</v>
      </c>
      <c r="I4033" t="inlineStr">
        <is>
          <t>entidad-dia</t>
        </is>
      </c>
    </row>
    <row r="4034">
      <c r="A4034" t="inlineStr">
        <is>
          <t>PRAGMA</t>
        </is>
      </c>
      <c r="B4034" t="inlineStr">
        <is>
          <t>M1</t>
        </is>
      </c>
      <c r="C4034" t="inlineStr">
        <is>
          <t>Cali</t>
        </is>
      </c>
      <c r="D4034" t="inlineStr">
        <is>
          <t>6949</t>
        </is>
      </c>
      <c r="E4034" t="inlineStr">
        <is>
          <t>pagado</t>
        </is>
      </c>
      <c r="F4034" s="23" t="n">
        <v>46277</v>
      </c>
      <c r="G4034" s="24">
        <f>F4034-DATE(2026,8,31)</f>
        <v>12</v>
      </c>
      <c r="H4034" s="25" t="n">
        <v>54769402</v>
      </c>
      <c r="I4034" t="inlineStr">
        <is>
          <t>entidad-dia</t>
        </is>
      </c>
    </row>
    <row r="4035">
      <c r="A4035" t="inlineStr">
        <is>
          <t>PRAGMA</t>
        </is>
      </c>
      <c r="B4035" t="inlineStr">
        <is>
          <t>M1</t>
        </is>
      </c>
      <c r="C4035" t="inlineStr">
        <is>
          <t>Cali</t>
        </is>
      </c>
      <c r="D4035" t="inlineStr">
        <is>
          <t>6949</t>
        </is>
      </c>
      <c r="E4035" t="inlineStr">
        <is>
          <t>pagado</t>
        </is>
      </c>
      <c r="F4035" s="23" t="n">
        <v>46278</v>
      </c>
      <c r="G4035" s="24">
        <f>F4035-DATE(2026,8,31)</f>
        <v>13</v>
      </c>
      <c r="H4035" s="25" t="n">
        <v>25457724</v>
      </c>
      <c r="I4035" t="inlineStr">
        <is>
          <t>entidad-dia</t>
        </is>
      </c>
    </row>
    <row r="4036">
      <c r="A4036" t="inlineStr">
        <is>
          <t>PRAGMA</t>
        </is>
      </c>
      <c r="B4036" t="inlineStr">
        <is>
          <t>M1</t>
        </is>
      </c>
      <c r="C4036" t="inlineStr">
        <is>
          <t>Cali</t>
        </is>
      </c>
      <c r="D4036" t="inlineStr">
        <is>
          <t>6949</t>
        </is>
      </c>
      <c r="E4036" t="inlineStr">
        <is>
          <t>pagado</t>
        </is>
      </c>
      <c r="F4036" s="23" t="n">
        <v>46279</v>
      </c>
      <c r="G4036" s="24">
        <f>F4036-DATE(2026,8,31)</f>
        <v>14</v>
      </c>
      <c r="H4036" s="25" t="n">
        <v>58119689</v>
      </c>
      <c r="I4036" t="inlineStr">
        <is>
          <t>entidad-dia</t>
        </is>
      </c>
    </row>
    <row r="4037">
      <c r="A4037" t="inlineStr">
        <is>
          <t>PRAGMA</t>
        </is>
      </c>
      <c r="B4037" t="inlineStr">
        <is>
          <t>M1</t>
        </is>
      </c>
      <c r="C4037" t="inlineStr">
        <is>
          <t>Cali</t>
        </is>
      </c>
      <c r="D4037" t="inlineStr">
        <is>
          <t>6949</t>
        </is>
      </c>
      <c r="E4037" t="inlineStr">
        <is>
          <t>pagado</t>
        </is>
      </c>
      <c r="F4037" s="23" t="n">
        <v>46280</v>
      </c>
      <c r="G4037" s="24">
        <f>F4037-DATE(2026,8,31)</f>
        <v>15</v>
      </c>
      <c r="H4037" s="25" t="n">
        <v>86391934</v>
      </c>
      <c r="I4037" t="inlineStr">
        <is>
          <t>entidad-dia</t>
        </is>
      </c>
    </row>
    <row r="4038">
      <c r="A4038" t="inlineStr">
        <is>
          <t>PRAGMA</t>
        </is>
      </c>
      <c r="B4038" t="inlineStr">
        <is>
          <t>M1</t>
        </is>
      </c>
      <c r="C4038" t="inlineStr">
        <is>
          <t>Cali</t>
        </is>
      </c>
      <c r="D4038" t="inlineStr">
        <is>
          <t>6957</t>
        </is>
      </c>
      <c r="E4038" t="inlineStr">
        <is>
          <t>pagado</t>
        </is>
      </c>
      <c r="F4038" s="23" t="n">
        <v>46266</v>
      </c>
      <c r="G4038" s="24">
        <f>F4038-DATE(2026,8,31)</f>
        <v>1</v>
      </c>
      <c r="H4038" s="25" t="n">
        <v>169112015</v>
      </c>
      <c r="I4038" t="inlineStr">
        <is>
          <t>entidad-dia</t>
        </is>
      </c>
    </row>
    <row r="4039">
      <c r="A4039" t="inlineStr">
        <is>
          <t>PRAGMA</t>
        </is>
      </c>
      <c r="B4039" t="inlineStr">
        <is>
          <t>M1</t>
        </is>
      </c>
      <c r="C4039" t="inlineStr">
        <is>
          <t>Cali</t>
        </is>
      </c>
      <c r="D4039" t="inlineStr">
        <is>
          <t>6957</t>
        </is>
      </c>
      <c r="E4039" t="inlineStr">
        <is>
          <t>pagado</t>
        </is>
      </c>
      <c r="F4039" s="23" t="n">
        <v>46267</v>
      </c>
      <c r="G4039" s="24">
        <f>F4039-DATE(2026,8,31)</f>
        <v>2</v>
      </c>
      <c r="H4039" s="25" t="n">
        <v>144894843</v>
      </c>
      <c r="I4039" t="inlineStr">
        <is>
          <t>entidad-dia</t>
        </is>
      </c>
    </row>
    <row r="4040">
      <c r="A4040" t="inlineStr">
        <is>
          <t>PRAGMA</t>
        </is>
      </c>
      <c r="B4040" t="inlineStr">
        <is>
          <t>M1</t>
        </is>
      </c>
      <c r="C4040" t="inlineStr">
        <is>
          <t>Cali</t>
        </is>
      </c>
      <c r="D4040" t="inlineStr">
        <is>
          <t>6957</t>
        </is>
      </c>
      <c r="E4040" t="inlineStr">
        <is>
          <t>pagado</t>
        </is>
      </c>
      <c r="F4040" s="23" t="n">
        <v>46268</v>
      </c>
      <c r="G4040" s="24">
        <f>F4040-DATE(2026,8,31)</f>
        <v>3</v>
      </c>
      <c r="H4040" s="25" t="n">
        <v>120635771</v>
      </c>
      <c r="I4040" t="inlineStr">
        <is>
          <t>entidad-dia</t>
        </is>
      </c>
    </row>
    <row r="4041">
      <c r="A4041" t="inlineStr">
        <is>
          <t>PRAGMA</t>
        </is>
      </c>
      <c r="B4041" t="inlineStr">
        <is>
          <t>M1</t>
        </is>
      </c>
      <c r="C4041" t="inlineStr">
        <is>
          <t>Cali</t>
        </is>
      </c>
      <c r="D4041" t="inlineStr">
        <is>
          <t>6957</t>
        </is>
      </c>
      <c r="E4041" t="inlineStr">
        <is>
          <t>pagado</t>
        </is>
      </c>
      <c r="F4041" s="23" t="n">
        <v>46269</v>
      </c>
      <c r="G4041" s="24">
        <f>F4041-DATE(2026,8,31)</f>
        <v>4</v>
      </c>
      <c r="H4041" s="25" t="n">
        <v>125919882</v>
      </c>
      <c r="I4041" t="inlineStr">
        <is>
          <t>entidad-dia</t>
        </is>
      </c>
    </row>
    <row r="4042">
      <c r="A4042" t="inlineStr">
        <is>
          <t>PRAGMA</t>
        </is>
      </c>
      <c r="B4042" t="inlineStr">
        <is>
          <t>M1</t>
        </is>
      </c>
      <c r="C4042" t="inlineStr">
        <is>
          <t>Cali</t>
        </is>
      </c>
      <c r="D4042" t="inlineStr">
        <is>
          <t>6957</t>
        </is>
      </c>
      <c r="E4042" t="inlineStr">
        <is>
          <t>pagado</t>
        </is>
      </c>
      <c r="F4042" s="23" t="n">
        <v>46270</v>
      </c>
      <c r="G4042" s="24">
        <f>F4042-DATE(2026,8,31)</f>
        <v>5</v>
      </c>
      <c r="H4042" s="25" t="n">
        <v>122072834</v>
      </c>
      <c r="I4042" t="inlineStr">
        <is>
          <t>entidad-dia</t>
        </is>
      </c>
    </row>
    <row r="4043">
      <c r="A4043" t="inlineStr">
        <is>
          <t>PRAGMA</t>
        </is>
      </c>
      <c r="B4043" t="inlineStr">
        <is>
          <t>M1</t>
        </is>
      </c>
      <c r="C4043" t="inlineStr">
        <is>
          <t>Cali</t>
        </is>
      </c>
      <c r="D4043" t="inlineStr">
        <is>
          <t>6957</t>
        </is>
      </c>
      <c r="E4043" t="inlineStr">
        <is>
          <t>pagado</t>
        </is>
      </c>
      <c r="F4043" s="23" t="n">
        <v>46271</v>
      </c>
      <c r="G4043" s="24">
        <f>F4043-DATE(2026,8,31)</f>
        <v>6</v>
      </c>
      <c r="H4043" s="25" t="n">
        <v>77669794</v>
      </c>
      <c r="I4043" t="inlineStr">
        <is>
          <t>entidad-dia</t>
        </is>
      </c>
    </row>
    <row r="4044">
      <c r="A4044" t="inlineStr">
        <is>
          <t>PRAGMA</t>
        </is>
      </c>
      <c r="B4044" t="inlineStr">
        <is>
          <t>M1</t>
        </is>
      </c>
      <c r="C4044" t="inlineStr">
        <is>
          <t>Cali</t>
        </is>
      </c>
      <c r="D4044" t="inlineStr">
        <is>
          <t>6957</t>
        </is>
      </c>
      <c r="E4044" t="inlineStr">
        <is>
          <t>pagado</t>
        </is>
      </c>
      <c r="F4044" s="23" t="n">
        <v>46272</v>
      </c>
      <c r="G4044" s="24">
        <f>F4044-DATE(2026,8,31)</f>
        <v>7</v>
      </c>
      <c r="H4044" s="25" t="n">
        <v>105793942</v>
      </c>
      <c r="I4044" t="inlineStr">
        <is>
          <t>entidad-dia</t>
        </is>
      </c>
    </row>
    <row r="4045">
      <c r="A4045" t="inlineStr">
        <is>
          <t>PRAGMA</t>
        </is>
      </c>
      <c r="B4045" t="inlineStr">
        <is>
          <t>M1</t>
        </is>
      </c>
      <c r="C4045" t="inlineStr">
        <is>
          <t>Cali</t>
        </is>
      </c>
      <c r="D4045" t="inlineStr">
        <is>
          <t>6957</t>
        </is>
      </c>
      <c r="E4045" t="inlineStr">
        <is>
          <t>pagado</t>
        </is>
      </c>
      <c r="F4045" s="23" t="n">
        <v>46273</v>
      </c>
      <c r="G4045" s="24">
        <f>F4045-DATE(2026,8,31)</f>
        <v>8</v>
      </c>
      <c r="H4045" s="25" t="n">
        <v>90408201</v>
      </c>
      <c r="I4045" t="inlineStr">
        <is>
          <t>entidad-dia</t>
        </is>
      </c>
    </row>
    <row r="4046">
      <c r="A4046" t="inlineStr">
        <is>
          <t>PRAGMA</t>
        </is>
      </c>
      <c r="B4046" t="inlineStr">
        <is>
          <t>M1</t>
        </is>
      </c>
      <c r="C4046" t="inlineStr">
        <is>
          <t>Cali</t>
        </is>
      </c>
      <c r="D4046" t="inlineStr">
        <is>
          <t>6957</t>
        </is>
      </c>
      <c r="E4046" t="inlineStr">
        <is>
          <t>pagado</t>
        </is>
      </c>
      <c r="F4046" s="23" t="n">
        <v>46274</v>
      </c>
      <c r="G4046" s="24">
        <f>F4046-DATE(2026,8,31)</f>
        <v>9</v>
      </c>
      <c r="H4046" s="25" t="n">
        <v>78145013</v>
      </c>
      <c r="I4046" t="inlineStr">
        <is>
          <t>entidad-dia</t>
        </is>
      </c>
    </row>
    <row r="4047">
      <c r="A4047" t="inlineStr">
        <is>
          <t>PRAGMA</t>
        </is>
      </c>
      <c r="B4047" t="inlineStr">
        <is>
          <t>M1</t>
        </is>
      </c>
      <c r="C4047" t="inlineStr">
        <is>
          <t>Cali</t>
        </is>
      </c>
      <c r="D4047" t="inlineStr">
        <is>
          <t>6957</t>
        </is>
      </c>
      <c r="E4047" t="inlineStr">
        <is>
          <t>pagado</t>
        </is>
      </c>
      <c r="F4047" s="23" t="n">
        <v>46275</v>
      </c>
      <c r="G4047" s="24">
        <f>F4047-DATE(2026,8,31)</f>
        <v>10</v>
      </c>
      <c r="H4047" s="25" t="n">
        <v>96305891</v>
      </c>
      <c r="I4047" t="inlineStr">
        <is>
          <t>entidad-dia</t>
        </is>
      </c>
    </row>
    <row r="4048">
      <c r="A4048" t="inlineStr">
        <is>
          <t>PRAGMA</t>
        </is>
      </c>
      <c r="B4048" t="inlineStr">
        <is>
          <t>M1</t>
        </is>
      </c>
      <c r="C4048" t="inlineStr">
        <is>
          <t>Cali</t>
        </is>
      </c>
      <c r="D4048" t="inlineStr">
        <is>
          <t>6957</t>
        </is>
      </c>
      <c r="E4048" t="inlineStr">
        <is>
          <t>pagado</t>
        </is>
      </c>
      <c r="F4048" s="23" t="n">
        <v>46276</v>
      </c>
      <c r="G4048" s="24">
        <f>F4048-DATE(2026,8,31)</f>
        <v>11</v>
      </c>
      <c r="H4048" s="25" t="n">
        <v>93292516</v>
      </c>
      <c r="I4048" t="inlineStr">
        <is>
          <t>entidad-dia</t>
        </is>
      </c>
    </row>
    <row r="4049">
      <c r="A4049" t="inlineStr">
        <is>
          <t>PRAGMA</t>
        </is>
      </c>
      <c r="B4049" t="inlineStr">
        <is>
          <t>M1</t>
        </is>
      </c>
      <c r="C4049" t="inlineStr">
        <is>
          <t>Cali</t>
        </is>
      </c>
      <c r="D4049" t="inlineStr">
        <is>
          <t>6957</t>
        </is>
      </c>
      <c r="E4049" t="inlineStr">
        <is>
          <t>pagado</t>
        </is>
      </c>
      <c r="F4049" s="23" t="n">
        <v>46277</v>
      </c>
      <c r="G4049" s="24">
        <f>F4049-DATE(2026,8,31)</f>
        <v>12</v>
      </c>
      <c r="H4049" s="25" t="n">
        <v>84625469</v>
      </c>
      <c r="I4049" t="inlineStr">
        <is>
          <t>entidad-dia</t>
        </is>
      </c>
    </row>
    <row r="4050">
      <c r="A4050" t="inlineStr">
        <is>
          <t>PRAGMA</t>
        </is>
      </c>
      <c r="B4050" t="inlineStr">
        <is>
          <t>M1</t>
        </is>
      </c>
      <c r="C4050" t="inlineStr">
        <is>
          <t>Cali</t>
        </is>
      </c>
      <c r="D4050" t="inlineStr">
        <is>
          <t>6957</t>
        </is>
      </c>
      <c r="E4050" t="inlineStr">
        <is>
          <t>pagado</t>
        </is>
      </c>
      <c r="F4050" s="23" t="n">
        <v>46278</v>
      </c>
      <c r="G4050" s="24">
        <f>F4050-DATE(2026,8,31)</f>
        <v>13</v>
      </c>
      <c r="H4050" s="25" t="n">
        <v>61861495</v>
      </c>
      <c r="I4050" t="inlineStr">
        <is>
          <t>entidad-dia</t>
        </is>
      </c>
    </row>
    <row r="4051">
      <c r="A4051" t="inlineStr">
        <is>
          <t>PRAGMA</t>
        </is>
      </c>
      <c r="B4051" t="inlineStr">
        <is>
          <t>M1</t>
        </is>
      </c>
      <c r="C4051" t="inlineStr">
        <is>
          <t>Cali</t>
        </is>
      </c>
      <c r="D4051" t="inlineStr">
        <is>
          <t>6957</t>
        </is>
      </c>
      <c r="E4051" t="inlineStr">
        <is>
          <t>pagado</t>
        </is>
      </c>
      <c r="F4051" s="23" t="n">
        <v>46279</v>
      </c>
      <c r="G4051" s="24">
        <f>F4051-DATE(2026,8,31)</f>
        <v>14</v>
      </c>
      <c r="H4051" s="25" t="n">
        <v>98492450</v>
      </c>
      <c r="I4051" t="inlineStr">
        <is>
          <t>entidad-dia</t>
        </is>
      </c>
    </row>
    <row r="4052">
      <c r="A4052" t="inlineStr">
        <is>
          <t>PRAGMA</t>
        </is>
      </c>
      <c r="B4052" t="inlineStr">
        <is>
          <t>M1</t>
        </is>
      </c>
      <c r="C4052" t="inlineStr">
        <is>
          <t>Cali</t>
        </is>
      </c>
      <c r="D4052" t="inlineStr">
        <is>
          <t>6957</t>
        </is>
      </c>
      <c r="E4052" t="inlineStr">
        <is>
          <t>pagado</t>
        </is>
      </c>
      <c r="F4052" s="23" t="n">
        <v>46280</v>
      </c>
      <c r="G4052" s="24">
        <f>F4052-DATE(2026,8,31)</f>
        <v>15</v>
      </c>
      <c r="H4052" s="25" t="n">
        <v>130149592</v>
      </c>
      <c r="I4052" t="inlineStr">
        <is>
          <t>entidad-dia</t>
        </is>
      </c>
    </row>
    <row r="4053">
      <c r="A4053" t="inlineStr">
        <is>
          <t>PRAGMA</t>
        </is>
      </c>
      <c r="B4053" t="inlineStr">
        <is>
          <t>M1</t>
        </is>
      </c>
      <c r="C4053" t="inlineStr">
        <is>
          <t>Cali</t>
        </is>
      </c>
      <c r="D4053" t="inlineStr">
        <is>
          <t>6966</t>
        </is>
      </c>
      <c r="E4053" t="inlineStr">
        <is>
          <t>pagado</t>
        </is>
      </c>
      <c r="F4053" s="23" t="n">
        <v>46266</v>
      </c>
      <c r="G4053" s="24">
        <f>F4053-DATE(2026,8,31)</f>
        <v>1</v>
      </c>
      <c r="H4053" s="25" t="n">
        <v>61085496</v>
      </c>
      <c r="I4053" t="inlineStr">
        <is>
          <t>entidad-dia</t>
        </is>
      </c>
    </row>
    <row r="4054">
      <c r="A4054" t="inlineStr">
        <is>
          <t>PRAGMA</t>
        </is>
      </c>
      <c r="B4054" t="inlineStr">
        <is>
          <t>M1</t>
        </is>
      </c>
      <c r="C4054" t="inlineStr">
        <is>
          <t>Cali</t>
        </is>
      </c>
      <c r="D4054" t="inlineStr">
        <is>
          <t>6966</t>
        </is>
      </c>
      <c r="E4054" t="inlineStr">
        <is>
          <t>pagado</t>
        </is>
      </c>
      <c r="F4054" s="23" t="n">
        <v>46267</v>
      </c>
      <c r="G4054" s="24">
        <f>F4054-DATE(2026,8,31)</f>
        <v>2</v>
      </c>
      <c r="H4054" s="25" t="n">
        <v>38571393</v>
      </c>
      <c r="I4054" t="inlineStr">
        <is>
          <t>entidad-dia</t>
        </is>
      </c>
    </row>
    <row r="4055">
      <c r="A4055" t="inlineStr">
        <is>
          <t>PRAGMA</t>
        </is>
      </c>
      <c r="B4055" t="inlineStr">
        <is>
          <t>M1</t>
        </is>
      </c>
      <c r="C4055" t="inlineStr">
        <is>
          <t>Cali</t>
        </is>
      </c>
      <c r="D4055" t="inlineStr">
        <is>
          <t>6966</t>
        </is>
      </c>
      <c r="E4055" t="inlineStr">
        <is>
          <t>pagado</t>
        </is>
      </c>
      <c r="F4055" s="23" t="n">
        <v>46268</v>
      </c>
      <c r="G4055" s="24">
        <f>F4055-DATE(2026,8,31)</f>
        <v>3</v>
      </c>
      <c r="H4055" s="25" t="n">
        <v>27419273</v>
      </c>
      <c r="I4055" t="inlineStr">
        <is>
          <t>entidad-dia</t>
        </is>
      </c>
    </row>
    <row r="4056">
      <c r="A4056" t="inlineStr">
        <is>
          <t>PRAGMA</t>
        </is>
      </c>
      <c r="B4056" t="inlineStr">
        <is>
          <t>M1</t>
        </is>
      </c>
      <c r="C4056" t="inlineStr">
        <is>
          <t>Cali</t>
        </is>
      </c>
      <c r="D4056" t="inlineStr">
        <is>
          <t>6966</t>
        </is>
      </c>
      <c r="E4056" t="inlineStr">
        <is>
          <t>pagado</t>
        </is>
      </c>
      <c r="F4056" s="23" t="n">
        <v>46269</v>
      </c>
      <c r="G4056" s="24">
        <f>F4056-DATE(2026,8,31)</f>
        <v>4</v>
      </c>
      <c r="H4056" s="25" t="n">
        <v>39094955</v>
      </c>
      <c r="I4056" t="inlineStr">
        <is>
          <t>entidad-dia</t>
        </is>
      </c>
    </row>
    <row r="4057">
      <c r="A4057" t="inlineStr">
        <is>
          <t>PRAGMA</t>
        </is>
      </c>
      <c r="B4057" t="inlineStr">
        <is>
          <t>M1</t>
        </is>
      </c>
      <c r="C4057" t="inlineStr">
        <is>
          <t>Cali</t>
        </is>
      </c>
      <c r="D4057" t="inlineStr">
        <is>
          <t>6966</t>
        </is>
      </c>
      <c r="E4057" t="inlineStr">
        <is>
          <t>pagado</t>
        </is>
      </c>
      <c r="F4057" s="23" t="n">
        <v>46270</v>
      </c>
      <c r="G4057" s="24">
        <f>F4057-DATE(2026,8,31)</f>
        <v>5</v>
      </c>
      <c r="H4057" s="25" t="n">
        <v>32017812</v>
      </c>
      <c r="I4057" t="inlineStr">
        <is>
          <t>entidad-dia</t>
        </is>
      </c>
    </row>
    <row r="4058">
      <c r="A4058" t="inlineStr">
        <is>
          <t>PRAGMA</t>
        </is>
      </c>
      <c r="B4058" t="inlineStr">
        <is>
          <t>M1</t>
        </is>
      </c>
      <c r="C4058" t="inlineStr">
        <is>
          <t>Cali</t>
        </is>
      </c>
      <c r="D4058" t="inlineStr">
        <is>
          <t>6966</t>
        </is>
      </c>
      <c r="E4058" t="inlineStr">
        <is>
          <t>pagado</t>
        </is>
      </c>
      <c r="F4058" s="23" t="n">
        <v>46271</v>
      </c>
      <c r="G4058" s="24">
        <f>F4058-DATE(2026,8,31)</f>
        <v>6</v>
      </c>
      <c r="H4058" s="25" t="n">
        <v>32750983</v>
      </c>
      <c r="I4058" t="inlineStr">
        <is>
          <t>entidad-dia</t>
        </is>
      </c>
    </row>
    <row r="4059">
      <c r="A4059" t="inlineStr">
        <is>
          <t>PRAGMA</t>
        </is>
      </c>
      <c r="B4059" t="inlineStr">
        <is>
          <t>M1</t>
        </is>
      </c>
      <c r="C4059" t="inlineStr">
        <is>
          <t>Cali</t>
        </is>
      </c>
      <c r="D4059" t="inlineStr">
        <is>
          <t>6966</t>
        </is>
      </c>
      <c r="E4059" t="inlineStr">
        <is>
          <t>pagado</t>
        </is>
      </c>
      <c r="F4059" s="23" t="n">
        <v>46272</v>
      </c>
      <c r="G4059" s="24">
        <f>F4059-DATE(2026,8,31)</f>
        <v>7</v>
      </c>
      <c r="H4059" s="25" t="n">
        <v>30371688</v>
      </c>
      <c r="I4059" t="inlineStr">
        <is>
          <t>entidad-dia</t>
        </is>
      </c>
    </row>
    <row r="4060">
      <c r="A4060" t="inlineStr">
        <is>
          <t>PRAGMA</t>
        </is>
      </c>
      <c r="B4060" t="inlineStr">
        <is>
          <t>M1</t>
        </is>
      </c>
      <c r="C4060" t="inlineStr">
        <is>
          <t>Cali</t>
        </is>
      </c>
      <c r="D4060" t="inlineStr">
        <is>
          <t>6966</t>
        </is>
      </c>
      <c r="E4060" t="inlineStr">
        <is>
          <t>pagado</t>
        </is>
      </c>
      <c r="F4060" s="23" t="n">
        <v>46273</v>
      </c>
      <c r="G4060" s="24">
        <f>F4060-DATE(2026,8,31)</f>
        <v>8</v>
      </c>
      <c r="H4060" s="25" t="n">
        <v>28278704</v>
      </c>
      <c r="I4060" t="inlineStr">
        <is>
          <t>entidad-dia</t>
        </is>
      </c>
    </row>
    <row r="4061">
      <c r="A4061" t="inlineStr">
        <is>
          <t>PRAGMA</t>
        </is>
      </c>
      <c r="B4061" t="inlineStr">
        <is>
          <t>M1</t>
        </is>
      </c>
      <c r="C4061" t="inlineStr">
        <is>
          <t>Cali</t>
        </is>
      </c>
      <c r="D4061" t="inlineStr">
        <is>
          <t>6966</t>
        </is>
      </c>
      <c r="E4061" t="inlineStr">
        <is>
          <t>pagado</t>
        </is>
      </c>
      <c r="F4061" s="23" t="n">
        <v>46274</v>
      </c>
      <c r="G4061" s="24">
        <f>F4061-DATE(2026,8,31)</f>
        <v>9</v>
      </c>
      <c r="H4061" s="25" t="n">
        <v>29858700</v>
      </c>
      <c r="I4061" t="inlineStr">
        <is>
          <t>entidad-dia</t>
        </is>
      </c>
    </row>
    <row r="4062">
      <c r="A4062" t="inlineStr">
        <is>
          <t>PRAGMA</t>
        </is>
      </c>
      <c r="B4062" t="inlineStr">
        <is>
          <t>M1</t>
        </is>
      </c>
      <c r="C4062" t="inlineStr">
        <is>
          <t>Cali</t>
        </is>
      </c>
      <c r="D4062" t="inlineStr">
        <is>
          <t>6966</t>
        </is>
      </c>
      <c r="E4062" t="inlineStr">
        <is>
          <t>pagado</t>
        </is>
      </c>
      <c r="F4062" s="23" t="n">
        <v>46275</v>
      </c>
      <c r="G4062" s="24">
        <f>F4062-DATE(2026,8,31)</f>
        <v>10</v>
      </c>
      <c r="H4062" s="25" t="n">
        <v>26423515</v>
      </c>
      <c r="I4062" t="inlineStr">
        <is>
          <t>entidad-dia</t>
        </is>
      </c>
    </row>
    <row r="4063">
      <c r="A4063" t="inlineStr">
        <is>
          <t>PRAGMA</t>
        </is>
      </c>
      <c r="B4063" t="inlineStr">
        <is>
          <t>M1</t>
        </is>
      </c>
      <c r="C4063" t="inlineStr">
        <is>
          <t>Cali</t>
        </is>
      </c>
      <c r="D4063" t="inlineStr">
        <is>
          <t>6966</t>
        </is>
      </c>
      <c r="E4063" t="inlineStr">
        <is>
          <t>pagado</t>
        </is>
      </c>
      <c r="F4063" s="23" t="n">
        <v>46276</v>
      </c>
      <c r="G4063" s="24">
        <f>F4063-DATE(2026,8,31)</f>
        <v>11</v>
      </c>
      <c r="H4063" s="25" t="n">
        <v>27649336</v>
      </c>
      <c r="I4063" t="inlineStr">
        <is>
          <t>entidad-dia</t>
        </is>
      </c>
    </row>
    <row r="4064">
      <c r="A4064" t="inlineStr">
        <is>
          <t>PRAGMA</t>
        </is>
      </c>
      <c r="B4064" t="inlineStr">
        <is>
          <t>M1</t>
        </is>
      </c>
      <c r="C4064" t="inlineStr">
        <is>
          <t>Cali</t>
        </is>
      </c>
      <c r="D4064" t="inlineStr">
        <is>
          <t>6966</t>
        </is>
      </c>
      <c r="E4064" t="inlineStr">
        <is>
          <t>pagado</t>
        </is>
      </c>
      <c r="F4064" s="23" t="n">
        <v>46277</v>
      </c>
      <c r="G4064" s="24">
        <f>F4064-DATE(2026,8,31)</f>
        <v>12</v>
      </c>
      <c r="H4064" s="25" t="n">
        <v>40229691</v>
      </c>
      <c r="I4064" t="inlineStr">
        <is>
          <t>entidad-dia</t>
        </is>
      </c>
    </row>
    <row r="4065">
      <c r="A4065" t="inlineStr">
        <is>
          <t>PRAGMA</t>
        </is>
      </c>
      <c r="B4065" t="inlineStr">
        <is>
          <t>M1</t>
        </is>
      </c>
      <c r="C4065" t="inlineStr">
        <is>
          <t>Cali</t>
        </is>
      </c>
      <c r="D4065" t="inlineStr">
        <is>
          <t>6966</t>
        </is>
      </c>
      <c r="E4065" t="inlineStr">
        <is>
          <t>pagado</t>
        </is>
      </c>
      <c r="F4065" s="23" t="n">
        <v>46278</v>
      </c>
      <c r="G4065" s="24">
        <f>F4065-DATE(2026,8,31)</f>
        <v>13</v>
      </c>
      <c r="H4065" s="25" t="n">
        <v>31385998</v>
      </c>
      <c r="I4065" t="inlineStr">
        <is>
          <t>entidad-dia</t>
        </is>
      </c>
    </row>
    <row r="4066">
      <c r="A4066" t="inlineStr">
        <is>
          <t>PRAGMA</t>
        </is>
      </c>
      <c r="B4066" t="inlineStr">
        <is>
          <t>M1</t>
        </is>
      </c>
      <c r="C4066" t="inlineStr">
        <is>
          <t>Cali</t>
        </is>
      </c>
      <c r="D4066" t="inlineStr">
        <is>
          <t>6966</t>
        </is>
      </c>
      <c r="E4066" t="inlineStr">
        <is>
          <t>pagado</t>
        </is>
      </c>
      <c r="F4066" s="23" t="n">
        <v>46279</v>
      </c>
      <c r="G4066" s="24">
        <f>F4066-DATE(2026,8,31)</f>
        <v>14</v>
      </c>
      <c r="H4066" s="25" t="n">
        <v>33712919</v>
      </c>
      <c r="I4066" t="inlineStr">
        <is>
          <t>entidad-dia</t>
        </is>
      </c>
    </row>
    <row r="4067">
      <c r="A4067" t="inlineStr">
        <is>
          <t>PRAGMA</t>
        </is>
      </c>
      <c r="B4067" t="inlineStr">
        <is>
          <t>M1</t>
        </is>
      </c>
      <c r="C4067" t="inlineStr">
        <is>
          <t>Cali</t>
        </is>
      </c>
      <c r="D4067" t="inlineStr">
        <is>
          <t>6966</t>
        </is>
      </c>
      <c r="E4067" t="inlineStr">
        <is>
          <t>pagado</t>
        </is>
      </c>
      <c r="F4067" s="23" t="n">
        <v>46280</v>
      </c>
      <c r="G4067" s="24">
        <f>F4067-DATE(2026,8,31)</f>
        <v>15</v>
      </c>
      <c r="H4067" s="25" t="n">
        <v>63754732</v>
      </c>
      <c r="I4067" t="inlineStr">
        <is>
          <t>entidad-dia</t>
        </is>
      </c>
    </row>
    <row r="4068">
      <c r="A4068" t="inlineStr">
        <is>
          <t>PRAGMA</t>
        </is>
      </c>
      <c r="B4068" t="inlineStr">
        <is>
          <t>M1</t>
        </is>
      </c>
      <c r="C4068" t="inlineStr">
        <is>
          <t>Cali</t>
        </is>
      </c>
      <c r="D4068" t="inlineStr">
        <is>
          <t>7037</t>
        </is>
      </c>
      <c r="E4068" t="inlineStr">
        <is>
          <t>pagado</t>
        </is>
      </c>
      <c r="F4068" s="23" t="n">
        <v>46266</v>
      </c>
      <c r="G4068" s="24">
        <f>F4068-DATE(2026,8,31)</f>
        <v>1</v>
      </c>
      <c r="H4068" s="25" t="n">
        <v>54478866</v>
      </c>
      <c r="I4068" t="inlineStr">
        <is>
          <t>entidad-dia</t>
        </is>
      </c>
    </row>
    <row r="4069">
      <c r="A4069" t="inlineStr">
        <is>
          <t>PRAGMA</t>
        </is>
      </c>
      <c r="B4069" t="inlineStr">
        <is>
          <t>M1</t>
        </is>
      </c>
      <c r="C4069" t="inlineStr">
        <is>
          <t>Cali</t>
        </is>
      </c>
      <c r="D4069" t="inlineStr">
        <is>
          <t>7037</t>
        </is>
      </c>
      <c r="E4069" t="inlineStr">
        <is>
          <t>pagado</t>
        </is>
      </c>
      <c r="F4069" s="23" t="n">
        <v>46267</v>
      </c>
      <c r="G4069" s="24">
        <f>F4069-DATE(2026,8,31)</f>
        <v>2</v>
      </c>
      <c r="H4069" s="25" t="n">
        <v>44987450</v>
      </c>
      <c r="I4069" t="inlineStr">
        <is>
          <t>entidad-dia</t>
        </is>
      </c>
    </row>
    <row r="4070">
      <c r="A4070" t="inlineStr">
        <is>
          <t>PRAGMA</t>
        </is>
      </c>
      <c r="B4070" t="inlineStr">
        <is>
          <t>M1</t>
        </is>
      </c>
      <c r="C4070" t="inlineStr">
        <is>
          <t>Cali</t>
        </is>
      </c>
      <c r="D4070" t="inlineStr">
        <is>
          <t>7037</t>
        </is>
      </c>
      <c r="E4070" t="inlineStr">
        <is>
          <t>pagado</t>
        </is>
      </c>
      <c r="F4070" s="23" t="n">
        <v>46268</v>
      </c>
      <c r="G4070" s="24">
        <f>F4070-DATE(2026,8,31)</f>
        <v>3</v>
      </c>
      <c r="H4070" s="25" t="n">
        <v>30201590</v>
      </c>
      <c r="I4070" t="inlineStr">
        <is>
          <t>entidad-dia</t>
        </is>
      </c>
    </row>
    <row r="4071">
      <c r="A4071" t="inlineStr">
        <is>
          <t>PRAGMA</t>
        </is>
      </c>
      <c r="B4071" t="inlineStr">
        <is>
          <t>M1</t>
        </is>
      </c>
      <c r="C4071" t="inlineStr">
        <is>
          <t>Cali</t>
        </is>
      </c>
      <c r="D4071" t="inlineStr">
        <is>
          <t>7037</t>
        </is>
      </c>
      <c r="E4071" t="inlineStr">
        <is>
          <t>pagado</t>
        </is>
      </c>
      <c r="F4071" s="23" t="n">
        <v>46269</v>
      </c>
      <c r="G4071" s="24">
        <f>F4071-DATE(2026,8,31)</f>
        <v>4</v>
      </c>
      <c r="H4071" s="25" t="n">
        <v>33425520</v>
      </c>
      <c r="I4071" t="inlineStr">
        <is>
          <t>entidad-dia</t>
        </is>
      </c>
    </row>
    <row r="4072">
      <c r="A4072" t="inlineStr">
        <is>
          <t>PRAGMA</t>
        </is>
      </c>
      <c r="B4072" t="inlineStr">
        <is>
          <t>M1</t>
        </is>
      </c>
      <c r="C4072" t="inlineStr">
        <is>
          <t>Cali</t>
        </is>
      </c>
      <c r="D4072" t="inlineStr">
        <is>
          <t>7037</t>
        </is>
      </c>
      <c r="E4072" t="inlineStr">
        <is>
          <t>pagado</t>
        </is>
      </c>
      <c r="F4072" s="23" t="n">
        <v>46270</v>
      </c>
      <c r="G4072" s="24">
        <f>F4072-DATE(2026,8,31)</f>
        <v>5</v>
      </c>
      <c r="H4072" s="25" t="n">
        <v>40885242</v>
      </c>
      <c r="I4072" t="inlineStr">
        <is>
          <t>entidad-dia</t>
        </is>
      </c>
    </row>
    <row r="4073">
      <c r="A4073" t="inlineStr">
        <is>
          <t>PRAGMA</t>
        </is>
      </c>
      <c r="B4073" t="inlineStr">
        <is>
          <t>M1</t>
        </is>
      </c>
      <c r="C4073" t="inlineStr">
        <is>
          <t>Cali</t>
        </is>
      </c>
      <c r="D4073" t="inlineStr">
        <is>
          <t>7037</t>
        </is>
      </c>
      <c r="E4073" t="inlineStr">
        <is>
          <t>pagado</t>
        </is>
      </c>
      <c r="F4073" s="23" t="n">
        <v>46271</v>
      </c>
      <c r="G4073" s="24">
        <f>F4073-DATE(2026,8,31)</f>
        <v>6</v>
      </c>
      <c r="H4073" s="25" t="n">
        <v>33065481</v>
      </c>
      <c r="I4073" t="inlineStr">
        <is>
          <t>entidad-dia</t>
        </is>
      </c>
    </row>
    <row r="4074">
      <c r="A4074" t="inlineStr">
        <is>
          <t>PRAGMA</t>
        </is>
      </c>
      <c r="B4074" t="inlineStr">
        <is>
          <t>M1</t>
        </is>
      </c>
      <c r="C4074" t="inlineStr">
        <is>
          <t>Cali</t>
        </is>
      </c>
      <c r="D4074" t="inlineStr">
        <is>
          <t>7037</t>
        </is>
      </c>
      <c r="E4074" t="inlineStr">
        <is>
          <t>pagado</t>
        </is>
      </c>
      <c r="F4074" s="23" t="n">
        <v>46272</v>
      </c>
      <c r="G4074" s="24">
        <f>F4074-DATE(2026,8,31)</f>
        <v>7</v>
      </c>
      <c r="H4074" s="25" t="n">
        <v>29505010</v>
      </c>
      <c r="I4074" t="inlineStr">
        <is>
          <t>entidad-dia</t>
        </is>
      </c>
    </row>
    <row r="4075">
      <c r="A4075" t="inlineStr">
        <is>
          <t>PRAGMA</t>
        </is>
      </c>
      <c r="B4075" t="inlineStr">
        <is>
          <t>M1</t>
        </is>
      </c>
      <c r="C4075" t="inlineStr">
        <is>
          <t>Cali</t>
        </is>
      </c>
      <c r="D4075" t="inlineStr">
        <is>
          <t>7037</t>
        </is>
      </c>
      <c r="E4075" t="inlineStr">
        <is>
          <t>pagado</t>
        </is>
      </c>
      <c r="F4075" s="23" t="n">
        <v>46273</v>
      </c>
      <c r="G4075" s="24">
        <f>F4075-DATE(2026,8,31)</f>
        <v>8</v>
      </c>
      <c r="H4075" s="25" t="n">
        <v>30408312</v>
      </c>
      <c r="I4075" t="inlineStr">
        <is>
          <t>entidad-dia</t>
        </is>
      </c>
    </row>
    <row r="4076">
      <c r="A4076" t="inlineStr">
        <is>
          <t>PRAGMA</t>
        </is>
      </c>
      <c r="B4076" t="inlineStr">
        <is>
          <t>M1</t>
        </is>
      </c>
      <c r="C4076" t="inlineStr">
        <is>
          <t>Cali</t>
        </is>
      </c>
      <c r="D4076" t="inlineStr">
        <is>
          <t>7037</t>
        </is>
      </c>
      <c r="E4076" t="inlineStr">
        <is>
          <t>pagado</t>
        </is>
      </c>
      <c r="F4076" s="23" t="n">
        <v>46274</v>
      </c>
      <c r="G4076" s="24">
        <f>F4076-DATE(2026,8,31)</f>
        <v>9</v>
      </c>
      <c r="H4076" s="25" t="n">
        <v>27360592</v>
      </c>
      <c r="I4076" t="inlineStr">
        <is>
          <t>entidad-dia</t>
        </is>
      </c>
    </row>
    <row r="4077">
      <c r="A4077" t="inlineStr">
        <is>
          <t>PRAGMA</t>
        </is>
      </c>
      <c r="B4077" t="inlineStr">
        <is>
          <t>M1</t>
        </is>
      </c>
      <c r="C4077" t="inlineStr">
        <is>
          <t>Cali</t>
        </is>
      </c>
      <c r="D4077" t="inlineStr">
        <is>
          <t>7037</t>
        </is>
      </c>
      <c r="E4077" t="inlineStr">
        <is>
          <t>pagado</t>
        </is>
      </c>
      <c r="F4077" s="23" t="n">
        <v>46275</v>
      </c>
      <c r="G4077" s="24">
        <f>F4077-DATE(2026,8,31)</f>
        <v>10</v>
      </c>
      <c r="H4077" s="25" t="n">
        <v>31014583</v>
      </c>
      <c r="I4077" t="inlineStr">
        <is>
          <t>entidad-dia</t>
        </is>
      </c>
    </row>
    <row r="4078">
      <c r="A4078" t="inlineStr">
        <is>
          <t>PRAGMA</t>
        </is>
      </c>
      <c r="B4078" t="inlineStr">
        <is>
          <t>M1</t>
        </is>
      </c>
      <c r="C4078" t="inlineStr">
        <is>
          <t>Cali</t>
        </is>
      </c>
      <c r="D4078" t="inlineStr">
        <is>
          <t>7037</t>
        </is>
      </c>
      <c r="E4078" t="inlineStr">
        <is>
          <t>pagado</t>
        </is>
      </c>
      <c r="F4078" s="23" t="n">
        <v>46276</v>
      </c>
      <c r="G4078" s="24">
        <f>F4078-DATE(2026,8,31)</f>
        <v>11</v>
      </c>
      <c r="H4078" s="25" t="n">
        <v>25736310</v>
      </c>
      <c r="I4078" t="inlineStr">
        <is>
          <t>entidad-dia</t>
        </is>
      </c>
    </row>
    <row r="4079">
      <c r="A4079" t="inlineStr">
        <is>
          <t>PRAGMA</t>
        </is>
      </c>
      <c r="B4079" t="inlineStr">
        <is>
          <t>M1</t>
        </is>
      </c>
      <c r="C4079" t="inlineStr">
        <is>
          <t>Cali</t>
        </is>
      </c>
      <c r="D4079" t="inlineStr">
        <is>
          <t>7037</t>
        </is>
      </c>
      <c r="E4079" t="inlineStr">
        <is>
          <t>pagado</t>
        </is>
      </c>
      <c r="F4079" s="23" t="n">
        <v>46277</v>
      </c>
      <c r="G4079" s="24">
        <f>F4079-DATE(2026,8,31)</f>
        <v>12</v>
      </c>
      <c r="H4079" s="25" t="n">
        <v>31996214</v>
      </c>
      <c r="I4079" t="inlineStr">
        <is>
          <t>entidad-dia</t>
        </is>
      </c>
    </row>
    <row r="4080">
      <c r="A4080" t="inlineStr">
        <is>
          <t>PRAGMA</t>
        </is>
      </c>
      <c r="B4080" t="inlineStr">
        <is>
          <t>M1</t>
        </is>
      </c>
      <c r="C4080" t="inlineStr">
        <is>
          <t>Cali</t>
        </is>
      </c>
      <c r="D4080" t="inlineStr">
        <is>
          <t>7037</t>
        </is>
      </c>
      <c r="E4080" t="inlineStr">
        <is>
          <t>pagado</t>
        </is>
      </c>
      <c r="F4080" s="23" t="n">
        <v>46278</v>
      </c>
      <c r="G4080" s="24">
        <f>F4080-DATE(2026,8,31)</f>
        <v>13</v>
      </c>
      <c r="H4080" s="25" t="n">
        <v>31773604</v>
      </c>
      <c r="I4080" t="inlineStr">
        <is>
          <t>entidad-dia</t>
        </is>
      </c>
    </row>
    <row r="4081">
      <c r="A4081" t="inlineStr">
        <is>
          <t>PRAGMA</t>
        </is>
      </c>
      <c r="B4081" t="inlineStr">
        <is>
          <t>M1</t>
        </is>
      </c>
      <c r="C4081" t="inlineStr">
        <is>
          <t>Cali</t>
        </is>
      </c>
      <c r="D4081" t="inlineStr">
        <is>
          <t>7037</t>
        </is>
      </c>
      <c r="E4081" t="inlineStr">
        <is>
          <t>pagado</t>
        </is>
      </c>
      <c r="F4081" s="23" t="n">
        <v>46279</v>
      </c>
      <c r="G4081" s="24">
        <f>F4081-DATE(2026,8,31)</f>
        <v>14</v>
      </c>
      <c r="H4081" s="25" t="n">
        <v>29341498</v>
      </c>
      <c r="I4081" t="inlineStr">
        <is>
          <t>entidad-dia</t>
        </is>
      </c>
    </row>
    <row r="4082">
      <c r="A4082" t="inlineStr">
        <is>
          <t>PRAGMA</t>
        </is>
      </c>
      <c r="B4082" t="inlineStr">
        <is>
          <t>M1</t>
        </is>
      </c>
      <c r="C4082" t="inlineStr">
        <is>
          <t>Cali</t>
        </is>
      </c>
      <c r="D4082" t="inlineStr">
        <is>
          <t>7037</t>
        </is>
      </c>
      <c r="E4082" t="inlineStr">
        <is>
          <t>pagado</t>
        </is>
      </c>
      <c r="F4082" s="23" t="n">
        <v>46280</v>
      </c>
      <c r="G4082" s="24">
        <f>F4082-DATE(2026,8,31)</f>
        <v>15</v>
      </c>
      <c r="H4082" s="25" t="n">
        <v>57596504</v>
      </c>
      <c r="I4082" t="inlineStr">
        <is>
          <t>entidad-dia</t>
        </is>
      </c>
    </row>
    <row r="4083">
      <c r="A4083" t="inlineStr">
        <is>
          <t>PRAGMA</t>
        </is>
      </c>
      <c r="B4083" t="inlineStr">
        <is>
          <t>M1</t>
        </is>
      </c>
      <c r="C4083" t="inlineStr">
        <is>
          <t>Pasto</t>
        </is>
      </c>
      <c r="D4083" t="inlineStr">
        <is>
          <t>7047</t>
        </is>
      </c>
      <c r="E4083" t="inlineStr">
        <is>
          <t>pagado</t>
        </is>
      </c>
      <c r="F4083" s="23" t="n">
        <v>46266</v>
      </c>
      <c r="G4083" s="24">
        <f>F4083-DATE(2026,8,31)</f>
        <v>1</v>
      </c>
      <c r="H4083" s="25" t="n">
        <v>28203791</v>
      </c>
      <c r="I4083" t="inlineStr">
        <is>
          <t>entidad-dia</t>
        </is>
      </c>
    </row>
    <row r="4084">
      <c r="A4084" t="inlineStr">
        <is>
          <t>PRAGMA</t>
        </is>
      </c>
      <c r="B4084" t="inlineStr">
        <is>
          <t>M1</t>
        </is>
      </c>
      <c r="C4084" t="inlineStr">
        <is>
          <t>Pasto</t>
        </is>
      </c>
      <c r="D4084" t="inlineStr">
        <is>
          <t>7047</t>
        </is>
      </c>
      <c r="E4084" t="inlineStr">
        <is>
          <t>pagado</t>
        </is>
      </c>
      <c r="F4084" s="23" t="n">
        <v>46267</v>
      </c>
      <c r="G4084" s="24">
        <f>F4084-DATE(2026,8,31)</f>
        <v>2</v>
      </c>
      <c r="H4084" s="25" t="n">
        <v>23224132</v>
      </c>
      <c r="I4084" t="inlineStr">
        <is>
          <t>entidad-dia</t>
        </is>
      </c>
    </row>
    <row r="4085">
      <c r="A4085" t="inlineStr">
        <is>
          <t>PRAGMA</t>
        </is>
      </c>
      <c r="B4085" t="inlineStr">
        <is>
          <t>M1</t>
        </is>
      </c>
      <c r="C4085" t="inlineStr">
        <is>
          <t>Pasto</t>
        </is>
      </c>
      <c r="D4085" t="inlineStr">
        <is>
          <t>7047</t>
        </is>
      </c>
      <c r="E4085" t="inlineStr">
        <is>
          <t>pagado</t>
        </is>
      </c>
      <c r="F4085" s="23" t="n">
        <v>46268</v>
      </c>
      <c r="G4085" s="24">
        <f>F4085-DATE(2026,8,31)</f>
        <v>3</v>
      </c>
      <c r="H4085" s="25" t="n">
        <v>16844115</v>
      </c>
      <c r="I4085" t="inlineStr">
        <is>
          <t>entidad-dia</t>
        </is>
      </c>
    </row>
    <row r="4086">
      <c r="A4086" t="inlineStr">
        <is>
          <t>PRAGMA</t>
        </is>
      </c>
      <c r="B4086" t="inlineStr">
        <is>
          <t>M1</t>
        </is>
      </c>
      <c r="C4086" t="inlineStr">
        <is>
          <t>Pasto</t>
        </is>
      </c>
      <c r="D4086" t="inlineStr">
        <is>
          <t>7047</t>
        </is>
      </c>
      <c r="E4086" t="inlineStr">
        <is>
          <t>pagado</t>
        </is>
      </c>
      <c r="F4086" s="23" t="n">
        <v>46269</v>
      </c>
      <c r="G4086" s="24">
        <f>F4086-DATE(2026,8,31)</f>
        <v>4</v>
      </c>
      <c r="H4086" s="25" t="n">
        <v>19659833</v>
      </c>
      <c r="I4086" t="inlineStr">
        <is>
          <t>entidad-dia</t>
        </is>
      </c>
    </row>
    <row r="4087">
      <c r="A4087" t="inlineStr">
        <is>
          <t>PRAGMA</t>
        </is>
      </c>
      <c r="B4087" t="inlineStr">
        <is>
          <t>M1</t>
        </is>
      </c>
      <c r="C4087" t="inlineStr">
        <is>
          <t>Pasto</t>
        </is>
      </c>
      <c r="D4087" t="inlineStr">
        <is>
          <t>7047</t>
        </is>
      </c>
      <c r="E4087" t="inlineStr">
        <is>
          <t>pagado</t>
        </is>
      </c>
      <c r="F4087" s="23" t="n">
        <v>46270</v>
      </c>
      <c r="G4087" s="24">
        <f>F4087-DATE(2026,8,31)</f>
        <v>5</v>
      </c>
      <c r="H4087" s="25" t="n">
        <v>21278476</v>
      </c>
      <c r="I4087" t="inlineStr">
        <is>
          <t>entidad-dia</t>
        </is>
      </c>
    </row>
    <row r="4088">
      <c r="A4088" t="inlineStr">
        <is>
          <t>PRAGMA</t>
        </is>
      </c>
      <c r="B4088" t="inlineStr">
        <is>
          <t>M1</t>
        </is>
      </c>
      <c r="C4088" t="inlineStr">
        <is>
          <t>Pasto</t>
        </is>
      </c>
      <c r="D4088" t="inlineStr">
        <is>
          <t>7047</t>
        </is>
      </c>
      <c r="E4088" t="inlineStr">
        <is>
          <t>pagado</t>
        </is>
      </c>
      <c r="F4088" s="23" t="n">
        <v>46271</v>
      </c>
      <c r="G4088" s="24">
        <f>F4088-DATE(2026,8,31)</f>
        <v>6</v>
      </c>
      <c r="H4088" s="25" t="n">
        <v>16494557</v>
      </c>
      <c r="I4088" t="inlineStr">
        <is>
          <t>entidad-dia</t>
        </is>
      </c>
    </row>
    <row r="4089">
      <c r="A4089" t="inlineStr">
        <is>
          <t>PRAGMA</t>
        </is>
      </c>
      <c r="B4089" t="inlineStr">
        <is>
          <t>M1</t>
        </is>
      </c>
      <c r="C4089" t="inlineStr">
        <is>
          <t>Pasto</t>
        </is>
      </c>
      <c r="D4089" t="inlineStr">
        <is>
          <t>7047</t>
        </is>
      </c>
      <c r="E4089" t="inlineStr">
        <is>
          <t>pagado</t>
        </is>
      </c>
      <c r="F4089" s="23" t="n">
        <v>46272</v>
      </c>
      <c r="G4089" s="24">
        <f>F4089-DATE(2026,8,31)</f>
        <v>7</v>
      </c>
      <c r="H4089" s="25" t="n">
        <v>17241171</v>
      </c>
      <c r="I4089" t="inlineStr">
        <is>
          <t>entidad-dia</t>
        </is>
      </c>
    </row>
    <row r="4090">
      <c r="A4090" t="inlineStr">
        <is>
          <t>PRAGMA</t>
        </is>
      </c>
      <c r="B4090" t="inlineStr">
        <is>
          <t>M1</t>
        </is>
      </c>
      <c r="C4090" t="inlineStr">
        <is>
          <t>Pasto</t>
        </is>
      </c>
      <c r="D4090" t="inlineStr">
        <is>
          <t>7047</t>
        </is>
      </c>
      <c r="E4090" t="inlineStr">
        <is>
          <t>pagado</t>
        </is>
      </c>
      <c r="F4090" s="23" t="n">
        <v>46273</v>
      </c>
      <c r="G4090" s="24">
        <f>F4090-DATE(2026,8,31)</f>
        <v>8</v>
      </c>
      <c r="H4090" s="25" t="n">
        <v>13418375</v>
      </c>
      <c r="I4090" t="inlineStr">
        <is>
          <t>entidad-dia</t>
        </is>
      </c>
    </row>
    <row r="4091">
      <c r="A4091" t="inlineStr">
        <is>
          <t>PRAGMA</t>
        </is>
      </c>
      <c r="B4091" t="inlineStr">
        <is>
          <t>M1</t>
        </is>
      </c>
      <c r="C4091" t="inlineStr">
        <is>
          <t>Pasto</t>
        </is>
      </c>
      <c r="D4091" t="inlineStr">
        <is>
          <t>7047</t>
        </is>
      </c>
      <c r="E4091" t="inlineStr">
        <is>
          <t>pagado</t>
        </is>
      </c>
      <c r="F4091" s="23" t="n">
        <v>46274</v>
      </c>
      <c r="G4091" s="24">
        <f>F4091-DATE(2026,8,31)</f>
        <v>9</v>
      </c>
      <c r="H4091" s="25" t="n">
        <v>14118639</v>
      </c>
      <c r="I4091" t="inlineStr">
        <is>
          <t>entidad-dia</t>
        </is>
      </c>
    </row>
    <row r="4092">
      <c r="A4092" t="inlineStr">
        <is>
          <t>PRAGMA</t>
        </is>
      </c>
      <c r="B4092" t="inlineStr">
        <is>
          <t>M1</t>
        </is>
      </c>
      <c r="C4092" t="inlineStr">
        <is>
          <t>Pasto</t>
        </is>
      </c>
      <c r="D4092" t="inlineStr">
        <is>
          <t>7047</t>
        </is>
      </c>
      <c r="E4092" t="inlineStr">
        <is>
          <t>pagado</t>
        </is>
      </c>
      <c r="F4092" s="23" t="n">
        <v>46275</v>
      </c>
      <c r="G4092" s="24">
        <f>F4092-DATE(2026,8,31)</f>
        <v>10</v>
      </c>
      <c r="H4092" s="25" t="n">
        <v>14474373</v>
      </c>
      <c r="I4092" t="inlineStr">
        <is>
          <t>entidad-dia</t>
        </is>
      </c>
    </row>
    <row r="4093">
      <c r="A4093" t="inlineStr">
        <is>
          <t>PRAGMA</t>
        </is>
      </c>
      <c r="B4093" t="inlineStr">
        <is>
          <t>M1</t>
        </is>
      </c>
      <c r="C4093" t="inlineStr">
        <is>
          <t>Pasto</t>
        </is>
      </c>
      <c r="D4093" t="inlineStr">
        <is>
          <t>7047</t>
        </is>
      </c>
      <c r="E4093" t="inlineStr">
        <is>
          <t>pagado</t>
        </is>
      </c>
      <c r="F4093" s="23" t="n">
        <v>46276</v>
      </c>
      <c r="G4093" s="24">
        <f>F4093-DATE(2026,8,31)</f>
        <v>11</v>
      </c>
      <c r="H4093" s="25" t="n">
        <v>14168262</v>
      </c>
      <c r="I4093" t="inlineStr">
        <is>
          <t>entidad-dia</t>
        </is>
      </c>
    </row>
    <row r="4094">
      <c r="A4094" t="inlineStr">
        <is>
          <t>PRAGMA</t>
        </is>
      </c>
      <c r="B4094" t="inlineStr">
        <is>
          <t>M1</t>
        </is>
      </c>
      <c r="C4094" t="inlineStr">
        <is>
          <t>Pasto</t>
        </is>
      </c>
      <c r="D4094" t="inlineStr">
        <is>
          <t>7047</t>
        </is>
      </c>
      <c r="E4094" t="inlineStr">
        <is>
          <t>pagado</t>
        </is>
      </c>
      <c r="F4094" s="23" t="n">
        <v>46277</v>
      </c>
      <c r="G4094" s="24">
        <f>F4094-DATE(2026,8,31)</f>
        <v>12</v>
      </c>
      <c r="H4094" s="25" t="n">
        <v>15155859</v>
      </c>
      <c r="I4094" t="inlineStr">
        <is>
          <t>entidad-dia</t>
        </is>
      </c>
    </row>
    <row r="4095">
      <c r="A4095" t="inlineStr">
        <is>
          <t>PRAGMA</t>
        </is>
      </c>
      <c r="B4095" t="inlineStr">
        <is>
          <t>M1</t>
        </is>
      </c>
      <c r="C4095" t="inlineStr">
        <is>
          <t>Pasto</t>
        </is>
      </c>
      <c r="D4095" t="inlineStr">
        <is>
          <t>7047</t>
        </is>
      </c>
      <c r="E4095" t="inlineStr">
        <is>
          <t>pagado</t>
        </is>
      </c>
      <c r="F4095" s="23" t="n">
        <v>46278</v>
      </c>
      <c r="G4095" s="24">
        <f>F4095-DATE(2026,8,31)</f>
        <v>13</v>
      </c>
      <c r="H4095" s="25" t="n">
        <v>12470481</v>
      </c>
      <c r="I4095" t="inlineStr">
        <is>
          <t>entidad-dia</t>
        </is>
      </c>
    </row>
    <row r="4096">
      <c r="A4096" t="inlineStr">
        <is>
          <t>PRAGMA</t>
        </is>
      </c>
      <c r="B4096" t="inlineStr">
        <is>
          <t>M1</t>
        </is>
      </c>
      <c r="C4096" t="inlineStr">
        <is>
          <t>Pasto</t>
        </is>
      </c>
      <c r="D4096" t="inlineStr">
        <is>
          <t>7047</t>
        </is>
      </c>
      <c r="E4096" t="inlineStr">
        <is>
          <t>pagado</t>
        </is>
      </c>
      <c r="F4096" s="23" t="n">
        <v>46279</v>
      </c>
      <c r="G4096" s="24">
        <f>F4096-DATE(2026,8,31)</f>
        <v>14</v>
      </c>
      <c r="H4096" s="25" t="n">
        <v>13935316</v>
      </c>
      <c r="I4096" t="inlineStr">
        <is>
          <t>entidad-dia</t>
        </is>
      </c>
    </row>
    <row r="4097">
      <c r="A4097" t="inlineStr">
        <is>
          <t>PRAGMA</t>
        </is>
      </c>
      <c r="B4097" t="inlineStr">
        <is>
          <t>M1</t>
        </is>
      </c>
      <c r="C4097" t="inlineStr">
        <is>
          <t>Pasto</t>
        </is>
      </c>
      <c r="D4097" t="inlineStr">
        <is>
          <t>7047</t>
        </is>
      </c>
      <c r="E4097" t="inlineStr">
        <is>
          <t>pagado</t>
        </is>
      </c>
      <c r="F4097" s="23" t="n">
        <v>46280</v>
      </c>
      <c r="G4097" s="24">
        <f>F4097-DATE(2026,8,31)</f>
        <v>15</v>
      </c>
      <c r="H4097" s="25" t="n">
        <v>16706708</v>
      </c>
      <c r="I4097" t="inlineStr">
        <is>
          <t>entidad-dia</t>
        </is>
      </c>
    </row>
    <row r="4098">
      <c r="A4098" t="inlineStr">
        <is>
          <t>PRAGMA</t>
        </is>
      </c>
      <c r="B4098" t="inlineStr">
        <is>
          <t>M1</t>
        </is>
      </c>
      <c r="C4098" t="inlineStr">
        <is>
          <t>Cali</t>
        </is>
      </c>
      <c r="D4098" t="inlineStr">
        <is>
          <t>7049</t>
        </is>
      </c>
      <c r="E4098" t="inlineStr">
        <is>
          <t>pagado</t>
        </is>
      </c>
      <c r="F4098" s="23" t="n">
        <v>46266</v>
      </c>
      <c r="G4098" s="24">
        <f>F4098-DATE(2026,8,31)</f>
        <v>1</v>
      </c>
      <c r="H4098" s="25" t="n">
        <v>135401723</v>
      </c>
      <c r="I4098" t="inlineStr">
        <is>
          <t>entidad-dia</t>
        </is>
      </c>
    </row>
    <row r="4099">
      <c r="A4099" t="inlineStr">
        <is>
          <t>PRAGMA</t>
        </is>
      </c>
      <c r="B4099" t="inlineStr">
        <is>
          <t>M1</t>
        </is>
      </c>
      <c r="C4099" t="inlineStr">
        <is>
          <t>Cali</t>
        </is>
      </c>
      <c r="D4099" t="inlineStr">
        <is>
          <t>7049</t>
        </is>
      </c>
      <c r="E4099" t="inlineStr">
        <is>
          <t>pagado</t>
        </is>
      </c>
      <c r="F4099" s="23" t="n">
        <v>46267</v>
      </c>
      <c r="G4099" s="24">
        <f>F4099-DATE(2026,8,31)</f>
        <v>2</v>
      </c>
      <c r="H4099" s="25" t="n">
        <v>101875819</v>
      </c>
      <c r="I4099" t="inlineStr">
        <is>
          <t>entidad-dia</t>
        </is>
      </c>
    </row>
    <row r="4100">
      <c r="A4100" t="inlineStr">
        <is>
          <t>PRAGMA</t>
        </is>
      </c>
      <c r="B4100" t="inlineStr">
        <is>
          <t>M1</t>
        </is>
      </c>
      <c r="C4100" t="inlineStr">
        <is>
          <t>Cali</t>
        </is>
      </c>
      <c r="D4100" t="inlineStr">
        <is>
          <t>7049</t>
        </is>
      </c>
      <c r="E4100" t="inlineStr">
        <is>
          <t>pagado</t>
        </is>
      </c>
      <c r="F4100" s="23" t="n">
        <v>46268</v>
      </c>
      <c r="G4100" s="24">
        <f>F4100-DATE(2026,8,31)</f>
        <v>3</v>
      </c>
      <c r="H4100" s="25" t="n">
        <v>90560282</v>
      </c>
      <c r="I4100" t="inlineStr">
        <is>
          <t>entidad-dia</t>
        </is>
      </c>
    </row>
    <row r="4101">
      <c r="A4101" t="inlineStr">
        <is>
          <t>PRAGMA</t>
        </is>
      </c>
      <c r="B4101" t="inlineStr">
        <is>
          <t>M1</t>
        </is>
      </c>
      <c r="C4101" t="inlineStr">
        <is>
          <t>Cali</t>
        </is>
      </c>
      <c r="D4101" t="inlineStr">
        <is>
          <t>7049</t>
        </is>
      </c>
      <c r="E4101" t="inlineStr">
        <is>
          <t>pagado</t>
        </is>
      </c>
      <c r="F4101" s="23" t="n">
        <v>46269</v>
      </c>
      <c r="G4101" s="24">
        <f>F4101-DATE(2026,8,31)</f>
        <v>4</v>
      </c>
      <c r="H4101" s="25" t="n">
        <v>91710728</v>
      </c>
      <c r="I4101" t="inlineStr">
        <is>
          <t>entidad-dia</t>
        </is>
      </c>
    </row>
    <row r="4102">
      <c r="A4102" t="inlineStr">
        <is>
          <t>PRAGMA</t>
        </is>
      </c>
      <c r="B4102" t="inlineStr">
        <is>
          <t>M1</t>
        </is>
      </c>
      <c r="C4102" t="inlineStr">
        <is>
          <t>Cali</t>
        </is>
      </c>
      <c r="D4102" t="inlineStr">
        <is>
          <t>7049</t>
        </is>
      </c>
      <c r="E4102" t="inlineStr">
        <is>
          <t>pagado</t>
        </is>
      </c>
      <c r="F4102" s="23" t="n">
        <v>46270</v>
      </c>
      <c r="G4102" s="24">
        <f>F4102-DATE(2026,8,31)</f>
        <v>5</v>
      </c>
      <c r="H4102" s="25" t="n">
        <v>89773606</v>
      </c>
      <c r="I4102" t="inlineStr">
        <is>
          <t>entidad-dia</t>
        </is>
      </c>
    </row>
    <row r="4103">
      <c r="A4103" t="inlineStr">
        <is>
          <t>PRAGMA</t>
        </is>
      </c>
      <c r="B4103" t="inlineStr">
        <is>
          <t>M1</t>
        </is>
      </c>
      <c r="C4103" t="inlineStr">
        <is>
          <t>Cali</t>
        </is>
      </c>
      <c r="D4103" t="inlineStr">
        <is>
          <t>7049</t>
        </is>
      </c>
      <c r="E4103" t="inlineStr">
        <is>
          <t>pagado</t>
        </is>
      </c>
      <c r="F4103" s="23" t="n">
        <v>46271</v>
      </c>
      <c r="G4103" s="24">
        <f>F4103-DATE(2026,8,31)</f>
        <v>6</v>
      </c>
      <c r="H4103" s="25" t="n">
        <v>13007483</v>
      </c>
      <c r="I4103" t="inlineStr">
        <is>
          <t>entidad-dia</t>
        </is>
      </c>
    </row>
    <row r="4104">
      <c r="A4104" t="inlineStr">
        <is>
          <t>PRAGMA</t>
        </is>
      </c>
      <c r="B4104" t="inlineStr">
        <is>
          <t>M1</t>
        </is>
      </c>
      <c r="C4104" t="inlineStr">
        <is>
          <t>Cali</t>
        </is>
      </c>
      <c r="D4104" t="inlineStr">
        <is>
          <t>7049</t>
        </is>
      </c>
      <c r="E4104" t="inlineStr">
        <is>
          <t>pagado</t>
        </is>
      </c>
      <c r="F4104" s="23" t="n">
        <v>46272</v>
      </c>
      <c r="G4104" s="24">
        <f>F4104-DATE(2026,8,31)</f>
        <v>7</v>
      </c>
      <c r="H4104" s="25" t="n">
        <v>60524612</v>
      </c>
      <c r="I4104" t="inlineStr">
        <is>
          <t>entidad-dia</t>
        </is>
      </c>
    </row>
    <row r="4105">
      <c r="A4105" t="inlineStr">
        <is>
          <t>PRAGMA</t>
        </is>
      </c>
      <c r="B4105" t="inlineStr">
        <is>
          <t>M1</t>
        </is>
      </c>
      <c r="C4105" t="inlineStr">
        <is>
          <t>Cali</t>
        </is>
      </c>
      <c r="D4105" t="inlineStr">
        <is>
          <t>7049</t>
        </is>
      </c>
      <c r="E4105" t="inlineStr">
        <is>
          <t>pagado</t>
        </is>
      </c>
      <c r="F4105" s="23" t="n">
        <v>46273</v>
      </c>
      <c r="G4105" s="24">
        <f>F4105-DATE(2026,8,31)</f>
        <v>8</v>
      </c>
      <c r="H4105" s="25" t="n">
        <v>66571070</v>
      </c>
      <c r="I4105" t="inlineStr">
        <is>
          <t>entidad-dia</t>
        </is>
      </c>
    </row>
    <row r="4106">
      <c r="A4106" t="inlineStr">
        <is>
          <t>PRAGMA</t>
        </is>
      </c>
      <c r="B4106" t="inlineStr">
        <is>
          <t>M1</t>
        </is>
      </c>
      <c r="C4106" t="inlineStr">
        <is>
          <t>Cali</t>
        </is>
      </c>
      <c r="D4106" t="inlineStr">
        <is>
          <t>7049</t>
        </is>
      </c>
      <c r="E4106" t="inlineStr">
        <is>
          <t>pagado</t>
        </is>
      </c>
      <c r="F4106" s="23" t="n">
        <v>46274</v>
      </c>
      <c r="G4106" s="24">
        <f>F4106-DATE(2026,8,31)</f>
        <v>9</v>
      </c>
      <c r="H4106" s="25" t="n">
        <v>66462430</v>
      </c>
      <c r="I4106" t="inlineStr">
        <is>
          <t>entidad-dia</t>
        </is>
      </c>
    </row>
    <row r="4107">
      <c r="A4107" t="inlineStr">
        <is>
          <t>PRAGMA</t>
        </is>
      </c>
      <c r="B4107" t="inlineStr">
        <is>
          <t>M1</t>
        </is>
      </c>
      <c r="C4107" t="inlineStr">
        <is>
          <t>Cali</t>
        </is>
      </c>
      <c r="D4107" t="inlineStr">
        <is>
          <t>7049</t>
        </is>
      </c>
      <c r="E4107" t="inlineStr">
        <is>
          <t>pagado</t>
        </is>
      </c>
      <c r="F4107" s="23" t="n">
        <v>46275</v>
      </c>
      <c r="G4107" s="24">
        <f>F4107-DATE(2026,8,31)</f>
        <v>10</v>
      </c>
      <c r="H4107" s="25" t="n">
        <v>56206739</v>
      </c>
      <c r="I4107" t="inlineStr">
        <is>
          <t>entidad-dia</t>
        </is>
      </c>
    </row>
    <row r="4108">
      <c r="A4108" t="inlineStr">
        <is>
          <t>PRAGMA</t>
        </is>
      </c>
      <c r="B4108" t="inlineStr">
        <is>
          <t>M1</t>
        </is>
      </c>
      <c r="C4108" t="inlineStr">
        <is>
          <t>Cali</t>
        </is>
      </c>
      <c r="D4108" t="inlineStr">
        <is>
          <t>7049</t>
        </is>
      </c>
      <c r="E4108" t="inlineStr">
        <is>
          <t>pagado</t>
        </is>
      </c>
      <c r="F4108" s="23" t="n">
        <v>46276</v>
      </c>
      <c r="G4108" s="24">
        <f>F4108-DATE(2026,8,31)</f>
        <v>11</v>
      </c>
      <c r="H4108" s="25" t="n">
        <v>63006221</v>
      </c>
      <c r="I4108" t="inlineStr">
        <is>
          <t>entidad-dia</t>
        </is>
      </c>
    </row>
    <row r="4109">
      <c r="A4109" t="inlineStr">
        <is>
          <t>PRAGMA</t>
        </is>
      </c>
      <c r="B4109" t="inlineStr">
        <is>
          <t>M1</t>
        </is>
      </c>
      <c r="C4109" t="inlineStr">
        <is>
          <t>Cali</t>
        </is>
      </c>
      <c r="D4109" t="inlineStr">
        <is>
          <t>7049</t>
        </is>
      </c>
      <c r="E4109" t="inlineStr">
        <is>
          <t>pagado</t>
        </is>
      </c>
      <c r="F4109" s="23" t="n">
        <v>46277</v>
      </c>
      <c r="G4109" s="24">
        <f>F4109-DATE(2026,8,31)</f>
        <v>12</v>
      </c>
      <c r="H4109" s="25" t="n">
        <v>69440687</v>
      </c>
      <c r="I4109" t="inlineStr">
        <is>
          <t>entidad-dia</t>
        </is>
      </c>
    </row>
    <row r="4110">
      <c r="A4110" t="inlineStr">
        <is>
          <t>PRAGMA</t>
        </is>
      </c>
      <c r="B4110" t="inlineStr">
        <is>
          <t>M1</t>
        </is>
      </c>
      <c r="C4110" t="inlineStr">
        <is>
          <t>Cali</t>
        </is>
      </c>
      <c r="D4110" t="inlineStr">
        <is>
          <t>7049</t>
        </is>
      </c>
      <c r="E4110" t="inlineStr">
        <is>
          <t>pagado</t>
        </is>
      </c>
      <c r="F4110" s="23" t="n">
        <v>46278</v>
      </c>
      <c r="G4110" s="24">
        <f>F4110-DATE(2026,8,31)</f>
        <v>13</v>
      </c>
      <c r="H4110" s="25" t="n">
        <v>14873380</v>
      </c>
      <c r="I4110" t="inlineStr">
        <is>
          <t>entidad-dia</t>
        </is>
      </c>
    </row>
    <row r="4111">
      <c r="A4111" t="inlineStr">
        <is>
          <t>PRAGMA</t>
        </is>
      </c>
      <c r="B4111" t="inlineStr">
        <is>
          <t>M1</t>
        </is>
      </c>
      <c r="C4111" t="inlineStr">
        <is>
          <t>Cali</t>
        </is>
      </c>
      <c r="D4111" t="inlineStr">
        <is>
          <t>7049</t>
        </is>
      </c>
      <c r="E4111" t="inlineStr">
        <is>
          <t>pagado</t>
        </is>
      </c>
      <c r="F4111" s="23" t="n">
        <v>46279</v>
      </c>
      <c r="G4111" s="24">
        <f>F4111-DATE(2026,8,31)</f>
        <v>14</v>
      </c>
      <c r="H4111" s="25" t="n">
        <v>63115561</v>
      </c>
      <c r="I4111" t="inlineStr">
        <is>
          <t>entidad-dia</t>
        </is>
      </c>
    </row>
    <row r="4112">
      <c r="A4112" t="inlineStr">
        <is>
          <t>PRAGMA</t>
        </is>
      </c>
      <c r="B4112" t="inlineStr">
        <is>
          <t>M1</t>
        </is>
      </c>
      <c r="C4112" t="inlineStr">
        <is>
          <t>Cali</t>
        </is>
      </c>
      <c r="D4112" t="inlineStr">
        <is>
          <t>7049</t>
        </is>
      </c>
      <c r="E4112" t="inlineStr">
        <is>
          <t>pagado</t>
        </is>
      </c>
      <c r="F4112" s="23" t="n">
        <v>46280</v>
      </c>
      <c r="G4112" s="24">
        <f>F4112-DATE(2026,8,31)</f>
        <v>15</v>
      </c>
      <c r="H4112" s="25" t="n">
        <v>110660560</v>
      </c>
      <c r="I4112" t="inlineStr">
        <is>
          <t>entidad-dia</t>
        </is>
      </c>
    </row>
    <row r="4113">
      <c r="A4113" t="inlineStr">
        <is>
          <t>PRAGMA</t>
        </is>
      </c>
      <c r="B4113" t="inlineStr">
        <is>
          <t>M1</t>
        </is>
      </c>
      <c r="C4113" t="inlineStr">
        <is>
          <t>Cali</t>
        </is>
      </c>
      <c r="D4113" t="inlineStr">
        <is>
          <t>7148</t>
        </is>
      </c>
      <c r="E4113" t="inlineStr">
        <is>
          <t>pagado</t>
        </is>
      </c>
      <c r="F4113" s="23" t="n">
        <v>46266</v>
      </c>
      <c r="G4113" s="24">
        <f>F4113-DATE(2026,8,31)</f>
        <v>1</v>
      </c>
      <c r="H4113" s="25" t="n">
        <v>143555957</v>
      </c>
      <c r="I4113" t="inlineStr">
        <is>
          <t>entidad-dia</t>
        </is>
      </c>
    </row>
    <row r="4114">
      <c r="A4114" t="inlineStr">
        <is>
          <t>PRAGMA</t>
        </is>
      </c>
      <c r="B4114" t="inlineStr">
        <is>
          <t>M1</t>
        </is>
      </c>
      <c r="C4114" t="inlineStr">
        <is>
          <t>Cali</t>
        </is>
      </c>
      <c r="D4114" t="inlineStr">
        <is>
          <t>7148</t>
        </is>
      </c>
      <c r="E4114" t="inlineStr">
        <is>
          <t>pagado</t>
        </is>
      </c>
      <c r="F4114" s="23" t="n">
        <v>46267</v>
      </c>
      <c r="G4114" s="24">
        <f>F4114-DATE(2026,8,31)</f>
        <v>2</v>
      </c>
      <c r="H4114" s="25" t="n">
        <v>109751811</v>
      </c>
      <c r="I4114" t="inlineStr">
        <is>
          <t>entidad-dia</t>
        </is>
      </c>
    </row>
    <row r="4115">
      <c r="A4115" t="inlineStr">
        <is>
          <t>PRAGMA</t>
        </is>
      </c>
      <c r="B4115" t="inlineStr">
        <is>
          <t>M1</t>
        </is>
      </c>
      <c r="C4115" t="inlineStr">
        <is>
          <t>Cali</t>
        </is>
      </c>
      <c r="D4115" t="inlineStr">
        <is>
          <t>7148</t>
        </is>
      </c>
      <c r="E4115" t="inlineStr">
        <is>
          <t>pagado</t>
        </is>
      </c>
      <c r="F4115" s="23" t="n">
        <v>46268</v>
      </c>
      <c r="G4115" s="24">
        <f>F4115-DATE(2026,8,31)</f>
        <v>3</v>
      </c>
      <c r="H4115" s="25" t="n">
        <v>102252801</v>
      </c>
      <c r="I4115" t="inlineStr">
        <is>
          <t>entidad-dia</t>
        </is>
      </c>
    </row>
    <row r="4116">
      <c r="A4116" t="inlineStr">
        <is>
          <t>PRAGMA</t>
        </is>
      </c>
      <c r="B4116" t="inlineStr">
        <is>
          <t>M1</t>
        </is>
      </c>
      <c r="C4116" t="inlineStr">
        <is>
          <t>Cali</t>
        </is>
      </c>
      <c r="D4116" t="inlineStr">
        <is>
          <t>7148</t>
        </is>
      </c>
      <c r="E4116" t="inlineStr">
        <is>
          <t>pagado</t>
        </is>
      </c>
      <c r="F4116" s="23" t="n">
        <v>46269</v>
      </c>
      <c r="G4116" s="24">
        <f>F4116-DATE(2026,8,31)</f>
        <v>4</v>
      </c>
      <c r="H4116" s="25" t="n">
        <v>109189621</v>
      </c>
      <c r="I4116" t="inlineStr">
        <is>
          <t>entidad-dia</t>
        </is>
      </c>
    </row>
    <row r="4117">
      <c r="A4117" t="inlineStr">
        <is>
          <t>PRAGMA</t>
        </is>
      </c>
      <c r="B4117" t="inlineStr">
        <is>
          <t>M1</t>
        </is>
      </c>
      <c r="C4117" t="inlineStr">
        <is>
          <t>Cali</t>
        </is>
      </c>
      <c r="D4117" t="inlineStr">
        <is>
          <t>7148</t>
        </is>
      </c>
      <c r="E4117" t="inlineStr">
        <is>
          <t>pagado</t>
        </is>
      </c>
      <c r="F4117" s="23" t="n">
        <v>46270</v>
      </c>
      <c r="G4117" s="24">
        <f>F4117-DATE(2026,8,31)</f>
        <v>5</v>
      </c>
      <c r="H4117" s="25" t="n">
        <v>97677332</v>
      </c>
      <c r="I4117" t="inlineStr">
        <is>
          <t>entidad-dia</t>
        </is>
      </c>
    </row>
    <row r="4118">
      <c r="A4118" t="inlineStr">
        <is>
          <t>PRAGMA</t>
        </is>
      </c>
      <c r="B4118" t="inlineStr">
        <is>
          <t>M1</t>
        </is>
      </c>
      <c r="C4118" t="inlineStr">
        <is>
          <t>Cali</t>
        </is>
      </c>
      <c r="D4118" t="inlineStr">
        <is>
          <t>7148</t>
        </is>
      </c>
      <c r="E4118" t="inlineStr">
        <is>
          <t>pagado</t>
        </is>
      </c>
      <c r="F4118" s="23" t="n">
        <v>46271</v>
      </c>
      <c r="G4118" s="24">
        <f>F4118-DATE(2026,8,31)</f>
        <v>6</v>
      </c>
      <c r="H4118" s="25" t="n">
        <v>39342272</v>
      </c>
      <c r="I4118" t="inlineStr">
        <is>
          <t>entidad-dia</t>
        </is>
      </c>
    </row>
    <row r="4119">
      <c r="A4119" t="inlineStr">
        <is>
          <t>PRAGMA</t>
        </is>
      </c>
      <c r="B4119" t="inlineStr">
        <is>
          <t>M1</t>
        </is>
      </c>
      <c r="C4119" t="inlineStr">
        <is>
          <t>Cali</t>
        </is>
      </c>
      <c r="D4119" t="inlineStr">
        <is>
          <t>7148</t>
        </is>
      </c>
      <c r="E4119" t="inlineStr">
        <is>
          <t>pagado</t>
        </is>
      </c>
      <c r="F4119" s="23" t="n">
        <v>46272</v>
      </c>
      <c r="G4119" s="24">
        <f>F4119-DATE(2026,8,31)</f>
        <v>7</v>
      </c>
      <c r="H4119" s="25" t="n">
        <v>81185303</v>
      </c>
      <c r="I4119" t="inlineStr">
        <is>
          <t>entidad-dia</t>
        </is>
      </c>
    </row>
    <row r="4120">
      <c r="A4120" t="inlineStr">
        <is>
          <t>PRAGMA</t>
        </is>
      </c>
      <c r="B4120" t="inlineStr">
        <is>
          <t>M1</t>
        </is>
      </c>
      <c r="C4120" t="inlineStr">
        <is>
          <t>Cali</t>
        </is>
      </c>
      <c r="D4120" t="inlineStr">
        <is>
          <t>7148</t>
        </is>
      </c>
      <c r="E4120" t="inlineStr">
        <is>
          <t>pagado</t>
        </is>
      </c>
      <c r="F4120" s="23" t="n">
        <v>46273</v>
      </c>
      <c r="G4120" s="24">
        <f>F4120-DATE(2026,8,31)</f>
        <v>8</v>
      </c>
      <c r="H4120" s="25" t="n">
        <v>89078586</v>
      </c>
      <c r="I4120" t="inlineStr">
        <is>
          <t>entidad-dia</t>
        </is>
      </c>
    </row>
    <row r="4121">
      <c r="A4121" t="inlineStr">
        <is>
          <t>PRAGMA</t>
        </is>
      </c>
      <c r="B4121" t="inlineStr">
        <is>
          <t>M1</t>
        </is>
      </c>
      <c r="C4121" t="inlineStr">
        <is>
          <t>Cali</t>
        </is>
      </c>
      <c r="D4121" t="inlineStr">
        <is>
          <t>7148</t>
        </is>
      </c>
      <c r="E4121" t="inlineStr">
        <is>
          <t>pagado</t>
        </is>
      </c>
      <c r="F4121" s="23" t="n">
        <v>46274</v>
      </c>
      <c r="G4121" s="24">
        <f>F4121-DATE(2026,8,31)</f>
        <v>9</v>
      </c>
      <c r="H4121" s="25" t="n">
        <v>88797652</v>
      </c>
      <c r="I4121" t="inlineStr">
        <is>
          <t>entidad-dia</t>
        </is>
      </c>
    </row>
    <row r="4122">
      <c r="A4122" t="inlineStr">
        <is>
          <t>PRAGMA</t>
        </is>
      </c>
      <c r="B4122" t="inlineStr">
        <is>
          <t>M1</t>
        </is>
      </c>
      <c r="C4122" t="inlineStr">
        <is>
          <t>Cali</t>
        </is>
      </c>
      <c r="D4122" t="inlineStr">
        <is>
          <t>7148</t>
        </is>
      </c>
      <c r="E4122" t="inlineStr">
        <is>
          <t>pagado</t>
        </is>
      </c>
      <c r="F4122" s="23" t="n">
        <v>46275</v>
      </c>
      <c r="G4122" s="24">
        <f>F4122-DATE(2026,8,31)</f>
        <v>10</v>
      </c>
      <c r="H4122" s="25" t="n">
        <v>71411416</v>
      </c>
      <c r="I4122" t="inlineStr">
        <is>
          <t>entidad-dia</t>
        </is>
      </c>
    </row>
    <row r="4123">
      <c r="A4123" t="inlineStr">
        <is>
          <t>PRAGMA</t>
        </is>
      </c>
      <c r="B4123" t="inlineStr">
        <is>
          <t>M1</t>
        </is>
      </c>
      <c r="C4123" t="inlineStr">
        <is>
          <t>Cali</t>
        </is>
      </c>
      <c r="D4123" t="inlineStr">
        <is>
          <t>7148</t>
        </is>
      </c>
      <c r="E4123" t="inlineStr">
        <is>
          <t>pagado</t>
        </is>
      </c>
      <c r="F4123" s="23" t="n">
        <v>46276</v>
      </c>
      <c r="G4123" s="24">
        <f>F4123-DATE(2026,8,31)</f>
        <v>11</v>
      </c>
      <c r="H4123" s="25" t="n">
        <v>92428592</v>
      </c>
      <c r="I4123" t="inlineStr">
        <is>
          <t>entidad-dia</t>
        </is>
      </c>
    </row>
    <row r="4124">
      <c r="A4124" t="inlineStr">
        <is>
          <t>PRAGMA</t>
        </is>
      </c>
      <c r="B4124" t="inlineStr">
        <is>
          <t>M1</t>
        </is>
      </c>
      <c r="C4124" t="inlineStr">
        <is>
          <t>Cali</t>
        </is>
      </c>
      <c r="D4124" t="inlineStr">
        <is>
          <t>7148</t>
        </is>
      </c>
      <c r="E4124" t="inlineStr">
        <is>
          <t>pagado</t>
        </is>
      </c>
      <c r="F4124" s="23" t="n">
        <v>46277</v>
      </c>
      <c r="G4124" s="24">
        <f>F4124-DATE(2026,8,31)</f>
        <v>12</v>
      </c>
      <c r="H4124" s="25" t="n">
        <v>88079509</v>
      </c>
      <c r="I4124" t="inlineStr">
        <is>
          <t>entidad-dia</t>
        </is>
      </c>
    </row>
    <row r="4125">
      <c r="A4125" t="inlineStr">
        <is>
          <t>PRAGMA</t>
        </is>
      </c>
      <c r="B4125" t="inlineStr">
        <is>
          <t>M1</t>
        </is>
      </c>
      <c r="C4125" t="inlineStr">
        <is>
          <t>Cali</t>
        </is>
      </c>
      <c r="D4125" t="inlineStr">
        <is>
          <t>7148</t>
        </is>
      </c>
      <c r="E4125" t="inlineStr">
        <is>
          <t>pagado</t>
        </is>
      </c>
      <c r="F4125" s="23" t="n">
        <v>46278</v>
      </c>
      <c r="G4125" s="24">
        <f>F4125-DATE(2026,8,31)</f>
        <v>13</v>
      </c>
      <c r="H4125" s="25" t="n">
        <v>31082780</v>
      </c>
      <c r="I4125" t="inlineStr">
        <is>
          <t>entidad-dia</t>
        </is>
      </c>
    </row>
    <row r="4126">
      <c r="A4126" t="inlineStr">
        <is>
          <t>PRAGMA</t>
        </is>
      </c>
      <c r="B4126" t="inlineStr">
        <is>
          <t>M1</t>
        </is>
      </c>
      <c r="C4126" t="inlineStr">
        <is>
          <t>Cali</t>
        </is>
      </c>
      <c r="D4126" t="inlineStr">
        <is>
          <t>7148</t>
        </is>
      </c>
      <c r="E4126" t="inlineStr">
        <is>
          <t>pagado</t>
        </is>
      </c>
      <c r="F4126" s="23" t="n">
        <v>46279</v>
      </c>
      <c r="G4126" s="24">
        <f>F4126-DATE(2026,8,31)</f>
        <v>14</v>
      </c>
      <c r="H4126" s="25" t="n">
        <v>80893466</v>
      </c>
      <c r="I4126" t="inlineStr">
        <is>
          <t>entidad-dia</t>
        </is>
      </c>
    </row>
    <row r="4127">
      <c r="A4127" t="inlineStr">
        <is>
          <t>PRAGMA</t>
        </is>
      </c>
      <c r="B4127" t="inlineStr">
        <is>
          <t>M1</t>
        </is>
      </c>
      <c r="C4127" t="inlineStr">
        <is>
          <t>Cali</t>
        </is>
      </c>
      <c r="D4127" t="inlineStr">
        <is>
          <t>7148</t>
        </is>
      </c>
      <c r="E4127" t="inlineStr">
        <is>
          <t>pagado</t>
        </is>
      </c>
      <c r="F4127" s="23" t="n">
        <v>46280</v>
      </c>
      <c r="G4127" s="24">
        <f>F4127-DATE(2026,8,31)</f>
        <v>15</v>
      </c>
      <c r="H4127" s="25" t="n">
        <v>119530081</v>
      </c>
      <c r="I4127" t="inlineStr">
        <is>
          <t>entidad-dia</t>
        </is>
      </c>
    </row>
    <row r="4128">
      <c r="A4128" t="inlineStr">
        <is>
          <t>PRAGMA</t>
        </is>
      </c>
      <c r="B4128" t="inlineStr">
        <is>
          <t>M1</t>
        </is>
      </c>
      <c r="C4128" t="inlineStr">
        <is>
          <t>Cali</t>
        </is>
      </c>
      <c r="D4128" t="inlineStr">
        <is>
          <t>7158</t>
        </is>
      </c>
      <c r="E4128" t="inlineStr">
        <is>
          <t>pagado</t>
        </is>
      </c>
      <c r="F4128" s="23" t="n">
        <v>46266</v>
      </c>
      <c r="G4128" s="24">
        <f>F4128-DATE(2026,8,31)</f>
        <v>1</v>
      </c>
      <c r="H4128" s="25" t="n">
        <v>204852062</v>
      </c>
      <c r="I4128" t="inlineStr">
        <is>
          <t>entidad-dia</t>
        </is>
      </c>
    </row>
    <row r="4129">
      <c r="A4129" t="inlineStr">
        <is>
          <t>PRAGMA</t>
        </is>
      </c>
      <c r="B4129" t="inlineStr">
        <is>
          <t>M1</t>
        </is>
      </c>
      <c r="C4129" t="inlineStr">
        <is>
          <t>Cali</t>
        </is>
      </c>
      <c r="D4129" t="inlineStr">
        <is>
          <t>7158</t>
        </is>
      </c>
      <c r="E4129" t="inlineStr">
        <is>
          <t>pagado</t>
        </is>
      </c>
      <c r="F4129" s="23" t="n">
        <v>46267</v>
      </c>
      <c r="G4129" s="24">
        <f>F4129-DATE(2026,8,31)</f>
        <v>2</v>
      </c>
      <c r="H4129" s="25" t="n">
        <v>157212077</v>
      </c>
      <c r="I4129" t="inlineStr">
        <is>
          <t>entidad-dia</t>
        </is>
      </c>
    </row>
    <row r="4130">
      <c r="A4130" t="inlineStr">
        <is>
          <t>PRAGMA</t>
        </is>
      </c>
      <c r="B4130" t="inlineStr">
        <is>
          <t>M1</t>
        </is>
      </c>
      <c r="C4130" t="inlineStr">
        <is>
          <t>Cali</t>
        </is>
      </c>
      <c r="D4130" t="inlineStr">
        <is>
          <t>7158</t>
        </is>
      </c>
      <c r="E4130" t="inlineStr">
        <is>
          <t>pagado</t>
        </is>
      </c>
      <c r="F4130" s="23" t="n">
        <v>46268</v>
      </c>
      <c r="G4130" s="24">
        <f>F4130-DATE(2026,8,31)</f>
        <v>3</v>
      </c>
      <c r="H4130" s="25" t="n">
        <v>139394531</v>
      </c>
      <c r="I4130" t="inlineStr">
        <is>
          <t>entidad-dia</t>
        </is>
      </c>
    </row>
    <row r="4131">
      <c r="A4131" t="inlineStr">
        <is>
          <t>PRAGMA</t>
        </is>
      </c>
      <c r="B4131" t="inlineStr">
        <is>
          <t>M1</t>
        </is>
      </c>
      <c r="C4131" t="inlineStr">
        <is>
          <t>Cali</t>
        </is>
      </c>
      <c r="D4131" t="inlineStr">
        <is>
          <t>7158</t>
        </is>
      </c>
      <c r="E4131" t="inlineStr">
        <is>
          <t>pagado</t>
        </is>
      </c>
      <c r="F4131" s="23" t="n">
        <v>46269</v>
      </c>
      <c r="G4131" s="24">
        <f>F4131-DATE(2026,8,31)</f>
        <v>4</v>
      </c>
      <c r="H4131" s="25" t="n">
        <v>148705496</v>
      </c>
      <c r="I4131" t="inlineStr">
        <is>
          <t>entidad-dia</t>
        </is>
      </c>
    </row>
    <row r="4132">
      <c r="A4132" t="inlineStr">
        <is>
          <t>PRAGMA</t>
        </is>
      </c>
      <c r="B4132" t="inlineStr">
        <is>
          <t>M1</t>
        </is>
      </c>
      <c r="C4132" t="inlineStr">
        <is>
          <t>Cali</t>
        </is>
      </c>
      <c r="D4132" t="inlineStr">
        <is>
          <t>7158</t>
        </is>
      </c>
      <c r="E4132" t="inlineStr">
        <is>
          <t>pagado</t>
        </is>
      </c>
      <c r="F4132" s="23" t="n">
        <v>46270</v>
      </c>
      <c r="G4132" s="24">
        <f>F4132-DATE(2026,8,31)</f>
        <v>5</v>
      </c>
      <c r="H4132" s="25" t="n">
        <v>148601249</v>
      </c>
      <c r="I4132" t="inlineStr">
        <is>
          <t>entidad-dia</t>
        </is>
      </c>
    </row>
    <row r="4133">
      <c r="A4133" t="inlineStr">
        <is>
          <t>PRAGMA</t>
        </is>
      </c>
      <c r="B4133" t="inlineStr">
        <is>
          <t>M1</t>
        </is>
      </c>
      <c r="C4133" t="inlineStr">
        <is>
          <t>Cali</t>
        </is>
      </c>
      <c r="D4133" t="inlineStr">
        <is>
          <t>7158</t>
        </is>
      </c>
      <c r="E4133" t="inlineStr">
        <is>
          <t>pagado</t>
        </is>
      </c>
      <c r="F4133" s="23" t="n">
        <v>46271</v>
      </c>
      <c r="G4133" s="24">
        <f>F4133-DATE(2026,8,31)</f>
        <v>6</v>
      </c>
      <c r="H4133" s="25" t="n">
        <v>109157605</v>
      </c>
      <c r="I4133" t="inlineStr">
        <is>
          <t>entidad-dia</t>
        </is>
      </c>
    </row>
    <row r="4134">
      <c r="A4134" t="inlineStr">
        <is>
          <t>PRAGMA</t>
        </is>
      </c>
      <c r="B4134" t="inlineStr">
        <is>
          <t>M1</t>
        </is>
      </c>
      <c r="C4134" t="inlineStr">
        <is>
          <t>Cali</t>
        </is>
      </c>
      <c r="D4134" t="inlineStr">
        <is>
          <t>7158</t>
        </is>
      </c>
      <c r="E4134" t="inlineStr">
        <is>
          <t>pagado</t>
        </is>
      </c>
      <c r="F4134" s="23" t="n">
        <v>46272</v>
      </c>
      <c r="G4134" s="24">
        <f>F4134-DATE(2026,8,31)</f>
        <v>7</v>
      </c>
      <c r="H4134" s="25" t="n">
        <v>107445053</v>
      </c>
      <c r="I4134" t="inlineStr">
        <is>
          <t>entidad-dia</t>
        </is>
      </c>
    </row>
    <row r="4135">
      <c r="A4135" t="inlineStr">
        <is>
          <t>PRAGMA</t>
        </is>
      </c>
      <c r="B4135" t="inlineStr">
        <is>
          <t>M1</t>
        </is>
      </c>
      <c r="C4135" t="inlineStr">
        <is>
          <t>Cali</t>
        </is>
      </c>
      <c r="D4135" t="inlineStr">
        <is>
          <t>7158</t>
        </is>
      </c>
      <c r="E4135" t="inlineStr">
        <is>
          <t>pagado</t>
        </is>
      </c>
      <c r="F4135" s="23" t="n">
        <v>46273</v>
      </c>
      <c r="G4135" s="24">
        <f>F4135-DATE(2026,8,31)</f>
        <v>8</v>
      </c>
      <c r="H4135" s="25" t="n">
        <v>107829276</v>
      </c>
      <c r="I4135" t="inlineStr">
        <is>
          <t>entidad-dia</t>
        </is>
      </c>
    </row>
    <row r="4136">
      <c r="A4136" t="inlineStr">
        <is>
          <t>PRAGMA</t>
        </is>
      </c>
      <c r="B4136" t="inlineStr">
        <is>
          <t>M1</t>
        </is>
      </c>
      <c r="C4136" t="inlineStr">
        <is>
          <t>Cali</t>
        </is>
      </c>
      <c r="D4136" t="inlineStr">
        <is>
          <t>7158</t>
        </is>
      </c>
      <c r="E4136" t="inlineStr">
        <is>
          <t>pagado</t>
        </is>
      </c>
      <c r="F4136" s="23" t="n">
        <v>46274</v>
      </c>
      <c r="G4136" s="24">
        <f>F4136-DATE(2026,8,31)</f>
        <v>9</v>
      </c>
      <c r="H4136" s="25" t="n">
        <v>111252634</v>
      </c>
      <c r="I4136" t="inlineStr">
        <is>
          <t>entidad-dia</t>
        </is>
      </c>
    </row>
    <row r="4137">
      <c r="A4137" t="inlineStr">
        <is>
          <t>PRAGMA</t>
        </is>
      </c>
      <c r="B4137" t="inlineStr">
        <is>
          <t>M1</t>
        </is>
      </c>
      <c r="C4137" t="inlineStr">
        <is>
          <t>Cali</t>
        </is>
      </c>
      <c r="D4137" t="inlineStr">
        <is>
          <t>7158</t>
        </is>
      </c>
      <c r="E4137" t="inlineStr">
        <is>
          <t>pagado</t>
        </is>
      </c>
      <c r="F4137" s="23" t="n">
        <v>46275</v>
      </c>
      <c r="G4137" s="24">
        <f>F4137-DATE(2026,8,31)</f>
        <v>10</v>
      </c>
      <c r="H4137" s="25" t="n">
        <v>100653527</v>
      </c>
      <c r="I4137" t="inlineStr">
        <is>
          <t>entidad-dia</t>
        </is>
      </c>
    </row>
    <row r="4138">
      <c r="A4138" t="inlineStr">
        <is>
          <t>PRAGMA</t>
        </is>
      </c>
      <c r="B4138" t="inlineStr">
        <is>
          <t>M1</t>
        </is>
      </c>
      <c r="C4138" t="inlineStr">
        <is>
          <t>Cali</t>
        </is>
      </c>
      <c r="D4138" t="inlineStr">
        <is>
          <t>7158</t>
        </is>
      </c>
      <c r="E4138" t="inlineStr">
        <is>
          <t>pagado</t>
        </is>
      </c>
      <c r="F4138" s="23" t="n">
        <v>46276</v>
      </c>
      <c r="G4138" s="24">
        <f>F4138-DATE(2026,8,31)</f>
        <v>11</v>
      </c>
      <c r="H4138" s="25" t="n">
        <v>112330209</v>
      </c>
      <c r="I4138" t="inlineStr">
        <is>
          <t>entidad-dia</t>
        </is>
      </c>
    </row>
    <row r="4139">
      <c r="A4139" t="inlineStr">
        <is>
          <t>PRAGMA</t>
        </is>
      </c>
      <c r="B4139" t="inlineStr">
        <is>
          <t>M1</t>
        </is>
      </c>
      <c r="C4139" t="inlineStr">
        <is>
          <t>Cali</t>
        </is>
      </c>
      <c r="D4139" t="inlineStr">
        <is>
          <t>7158</t>
        </is>
      </c>
      <c r="E4139" t="inlineStr">
        <is>
          <t>pagado</t>
        </is>
      </c>
      <c r="F4139" s="23" t="n">
        <v>46277</v>
      </c>
      <c r="G4139" s="24">
        <f>F4139-DATE(2026,8,31)</f>
        <v>12</v>
      </c>
      <c r="H4139" s="25" t="n">
        <v>130332656</v>
      </c>
      <c r="I4139" t="inlineStr">
        <is>
          <t>entidad-dia</t>
        </is>
      </c>
    </row>
    <row r="4140">
      <c r="A4140" t="inlineStr">
        <is>
          <t>PRAGMA</t>
        </is>
      </c>
      <c r="B4140" t="inlineStr">
        <is>
          <t>M1</t>
        </is>
      </c>
      <c r="C4140" t="inlineStr">
        <is>
          <t>Cali</t>
        </is>
      </c>
      <c r="D4140" t="inlineStr">
        <is>
          <t>7158</t>
        </is>
      </c>
      <c r="E4140" t="inlineStr">
        <is>
          <t>pagado</t>
        </is>
      </c>
      <c r="F4140" s="23" t="n">
        <v>46278</v>
      </c>
      <c r="G4140" s="24">
        <f>F4140-DATE(2026,8,31)</f>
        <v>13</v>
      </c>
      <c r="H4140" s="25" t="n">
        <v>84101906</v>
      </c>
      <c r="I4140" t="inlineStr">
        <is>
          <t>entidad-dia</t>
        </is>
      </c>
    </row>
    <row r="4141">
      <c r="A4141" t="inlineStr">
        <is>
          <t>PRAGMA</t>
        </is>
      </c>
      <c r="B4141" t="inlineStr">
        <is>
          <t>M1</t>
        </is>
      </c>
      <c r="C4141" t="inlineStr">
        <is>
          <t>Cali</t>
        </is>
      </c>
      <c r="D4141" t="inlineStr">
        <is>
          <t>7158</t>
        </is>
      </c>
      <c r="E4141" t="inlineStr">
        <is>
          <t>pagado</t>
        </is>
      </c>
      <c r="F4141" s="23" t="n">
        <v>46279</v>
      </c>
      <c r="G4141" s="24">
        <f>F4141-DATE(2026,8,31)</f>
        <v>14</v>
      </c>
      <c r="H4141" s="25" t="n">
        <v>102420235</v>
      </c>
      <c r="I4141" t="inlineStr">
        <is>
          <t>entidad-dia</t>
        </is>
      </c>
    </row>
    <row r="4142">
      <c r="A4142" t="inlineStr">
        <is>
          <t>PRAGMA</t>
        </is>
      </c>
      <c r="B4142" t="inlineStr">
        <is>
          <t>M1</t>
        </is>
      </c>
      <c r="C4142" t="inlineStr">
        <is>
          <t>Cali</t>
        </is>
      </c>
      <c r="D4142" t="inlineStr">
        <is>
          <t>7158</t>
        </is>
      </c>
      <c r="E4142" t="inlineStr">
        <is>
          <t>pagado</t>
        </is>
      </c>
      <c r="F4142" s="23" t="n">
        <v>46280</v>
      </c>
      <c r="G4142" s="24">
        <f>F4142-DATE(2026,8,31)</f>
        <v>15</v>
      </c>
      <c r="H4142" s="25" t="n">
        <v>148967874</v>
      </c>
      <c r="I4142" t="inlineStr">
        <is>
          <t>entidad-dia</t>
        </is>
      </c>
    </row>
    <row r="4143">
      <c r="A4143" t="inlineStr">
        <is>
          <t>PRAGMA</t>
        </is>
      </c>
      <c r="B4143" t="inlineStr">
        <is>
          <t>M1</t>
        </is>
      </c>
      <c r="C4143" t="inlineStr">
        <is>
          <t>Cali</t>
        </is>
      </c>
      <c r="D4143" t="inlineStr">
        <is>
          <t>7163</t>
        </is>
      </c>
      <c r="E4143" t="inlineStr">
        <is>
          <t>pagado</t>
        </is>
      </c>
      <c r="F4143" s="23" t="n">
        <v>46266</v>
      </c>
      <c r="G4143" s="24">
        <f>F4143-DATE(2026,8,31)</f>
        <v>1</v>
      </c>
      <c r="H4143" s="25" t="n">
        <v>210580108</v>
      </c>
      <c r="I4143" t="inlineStr">
        <is>
          <t>entidad-dia</t>
        </is>
      </c>
    </row>
    <row r="4144">
      <c r="A4144" t="inlineStr">
        <is>
          <t>PRAGMA</t>
        </is>
      </c>
      <c r="B4144" t="inlineStr">
        <is>
          <t>M1</t>
        </is>
      </c>
      <c r="C4144" t="inlineStr">
        <is>
          <t>Cali</t>
        </is>
      </c>
      <c r="D4144" t="inlineStr">
        <is>
          <t>7163</t>
        </is>
      </c>
      <c r="E4144" t="inlineStr">
        <is>
          <t>pagado</t>
        </is>
      </c>
      <c r="F4144" s="23" t="n">
        <v>46267</v>
      </c>
      <c r="G4144" s="24">
        <f>F4144-DATE(2026,8,31)</f>
        <v>2</v>
      </c>
      <c r="H4144" s="25" t="n">
        <v>166135832</v>
      </c>
      <c r="I4144" t="inlineStr">
        <is>
          <t>entidad-dia</t>
        </is>
      </c>
    </row>
    <row r="4145">
      <c r="A4145" t="inlineStr">
        <is>
          <t>PRAGMA</t>
        </is>
      </c>
      <c r="B4145" t="inlineStr">
        <is>
          <t>M1</t>
        </is>
      </c>
      <c r="C4145" t="inlineStr">
        <is>
          <t>Cali</t>
        </is>
      </c>
      <c r="D4145" t="inlineStr">
        <is>
          <t>7163</t>
        </is>
      </c>
      <c r="E4145" t="inlineStr">
        <is>
          <t>pagado</t>
        </is>
      </c>
      <c r="F4145" s="23" t="n">
        <v>46268</v>
      </c>
      <c r="G4145" s="24">
        <f>F4145-DATE(2026,8,31)</f>
        <v>3</v>
      </c>
      <c r="H4145" s="25" t="n">
        <v>147175063</v>
      </c>
      <c r="I4145" t="inlineStr">
        <is>
          <t>entidad-dia</t>
        </is>
      </c>
    </row>
    <row r="4146">
      <c r="A4146" t="inlineStr">
        <is>
          <t>PRAGMA</t>
        </is>
      </c>
      <c r="B4146" t="inlineStr">
        <is>
          <t>M1</t>
        </is>
      </c>
      <c r="C4146" t="inlineStr">
        <is>
          <t>Cali</t>
        </is>
      </c>
      <c r="D4146" t="inlineStr">
        <is>
          <t>7163</t>
        </is>
      </c>
      <c r="E4146" t="inlineStr">
        <is>
          <t>pagado</t>
        </is>
      </c>
      <c r="F4146" s="23" t="n">
        <v>46269</v>
      </c>
      <c r="G4146" s="24">
        <f>F4146-DATE(2026,8,31)</f>
        <v>4</v>
      </c>
      <c r="H4146" s="25" t="n">
        <v>151610514</v>
      </c>
      <c r="I4146" t="inlineStr">
        <is>
          <t>entidad-dia</t>
        </is>
      </c>
    </row>
    <row r="4147">
      <c r="A4147" t="inlineStr">
        <is>
          <t>PRAGMA</t>
        </is>
      </c>
      <c r="B4147" t="inlineStr">
        <is>
          <t>M1</t>
        </is>
      </c>
      <c r="C4147" t="inlineStr">
        <is>
          <t>Cali</t>
        </is>
      </c>
      <c r="D4147" t="inlineStr">
        <is>
          <t>7163</t>
        </is>
      </c>
      <c r="E4147" t="inlineStr">
        <is>
          <t>pagado</t>
        </is>
      </c>
      <c r="F4147" s="23" t="n">
        <v>46270</v>
      </c>
      <c r="G4147" s="24">
        <f>F4147-DATE(2026,8,31)</f>
        <v>5</v>
      </c>
      <c r="H4147" s="25" t="n">
        <v>164580265</v>
      </c>
      <c r="I4147" t="inlineStr">
        <is>
          <t>entidad-dia</t>
        </is>
      </c>
    </row>
    <row r="4148">
      <c r="A4148" t="inlineStr">
        <is>
          <t>PRAGMA</t>
        </is>
      </c>
      <c r="B4148" t="inlineStr">
        <is>
          <t>M1</t>
        </is>
      </c>
      <c r="C4148" t="inlineStr">
        <is>
          <t>Cali</t>
        </is>
      </c>
      <c r="D4148" t="inlineStr">
        <is>
          <t>7163</t>
        </is>
      </c>
      <c r="E4148" t="inlineStr">
        <is>
          <t>pagado</t>
        </is>
      </c>
      <c r="F4148" s="23" t="n">
        <v>46271</v>
      </c>
      <c r="G4148" s="24">
        <f>F4148-DATE(2026,8,31)</f>
        <v>6</v>
      </c>
      <c r="H4148" s="25" t="n">
        <v>96545483</v>
      </c>
      <c r="I4148" t="inlineStr">
        <is>
          <t>entidad-dia</t>
        </is>
      </c>
    </row>
    <row r="4149">
      <c r="A4149" t="inlineStr">
        <is>
          <t>PRAGMA</t>
        </is>
      </c>
      <c r="B4149" t="inlineStr">
        <is>
          <t>M1</t>
        </is>
      </c>
      <c r="C4149" t="inlineStr">
        <is>
          <t>Cali</t>
        </is>
      </c>
      <c r="D4149" t="inlineStr">
        <is>
          <t>7163</t>
        </is>
      </c>
      <c r="E4149" t="inlineStr">
        <is>
          <t>pagado</t>
        </is>
      </c>
      <c r="F4149" s="23" t="n">
        <v>46272</v>
      </c>
      <c r="G4149" s="24">
        <f>F4149-DATE(2026,8,31)</f>
        <v>7</v>
      </c>
      <c r="H4149" s="25" t="n">
        <v>140581120</v>
      </c>
      <c r="I4149" t="inlineStr">
        <is>
          <t>entidad-dia</t>
        </is>
      </c>
    </row>
    <row r="4150">
      <c r="A4150" t="inlineStr">
        <is>
          <t>PRAGMA</t>
        </is>
      </c>
      <c r="B4150" t="inlineStr">
        <is>
          <t>M1</t>
        </is>
      </c>
      <c r="C4150" t="inlineStr">
        <is>
          <t>Cali</t>
        </is>
      </c>
      <c r="D4150" t="inlineStr">
        <is>
          <t>7163</t>
        </is>
      </c>
      <c r="E4150" t="inlineStr">
        <is>
          <t>pagado</t>
        </is>
      </c>
      <c r="F4150" s="23" t="n">
        <v>46273</v>
      </c>
      <c r="G4150" s="24">
        <f>F4150-DATE(2026,8,31)</f>
        <v>8</v>
      </c>
      <c r="H4150" s="25" t="n">
        <v>117225103</v>
      </c>
      <c r="I4150" t="inlineStr">
        <is>
          <t>entidad-dia</t>
        </is>
      </c>
    </row>
    <row r="4151">
      <c r="A4151" t="inlineStr">
        <is>
          <t>PRAGMA</t>
        </is>
      </c>
      <c r="B4151" t="inlineStr">
        <is>
          <t>M1</t>
        </is>
      </c>
      <c r="C4151" t="inlineStr">
        <is>
          <t>Cali</t>
        </is>
      </c>
      <c r="D4151" t="inlineStr">
        <is>
          <t>7163</t>
        </is>
      </c>
      <c r="E4151" t="inlineStr">
        <is>
          <t>pagado</t>
        </is>
      </c>
      <c r="F4151" s="23" t="n">
        <v>46274</v>
      </c>
      <c r="G4151" s="24">
        <f>F4151-DATE(2026,8,31)</f>
        <v>9</v>
      </c>
      <c r="H4151" s="25" t="n">
        <v>113845416</v>
      </c>
      <c r="I4151" t="inlineStr">
        <is>
          <t>entidad-dia</t>
        </is>
      </c>
    </row>
    <row r="4152">
      <c r="A4152" t="inlineStr">
        <is>
          <t>PRAGMA</t>
        </is>
      </c>
      <c r="B4152" t="inlineStr">
        <is>
          <t>M1</t>
        </is>
      </c>
      <c r="C4152" t="inlineStr">
        <is>
          <t>Cali</t>
        </is>
      </c>
      <c r="D4152" t="inlineStr">
        <is>
          <t>7163</t>
        </is>
      </c>
      <c r="E4152" t="inlineStr">
        <is>
          <t>pagado</t>
        </is>
      </c>
      <c r="F4152" s="23" t="n">
        <v>46275</v>
      </c>
      <c r="G4152" s="24">
        <f>F4152-DATE(2026,8,31)</f>
        <v>10</v>
      </c>
      <c r="H4152" s="25" t="n">
        <v>107241040</v>
      </c>
      <c r="I4152" t="inlineStr">
        <is>
          <t>entidad-dia</t>
        </is>
      </c>
    </row>
    <row r="4153">
      <c r="A4153" t="inlineStr">
        <is>
          <t>PRAGMA</t>
        </is>
      </c>
      <c r="B4153" t="inlineStr">
        <is>
          <t>M1</t>
        </is>
      </c>
      <c r="C4153" t="inlineStr">
        <is>
          <t>Cali</t>
        </is>
      </c>
      <c r="D4153" t="inlineStr">
        <is>
          <t>7163</t>
        </is>
      </c>
      <c r="E4153" t="inlineStr">
        <is>
          <t>pagado</t>
        </is>
      </c>
      <c r="F4153" s="23" t="n">
        <v>46276</v>
      </c>
      <c r="G4153" s="24">
        <f>F4153-DATE(2026,8,31)</f>
        <v>11</v>
      </c>
      <c r="H4153" s="25" t="n">
        <v>114859861</v>
      </c>
      <c r="I4153" t="inlineStr">
        <is>
          <t>entidad-dia</t>
        </is>
      </c>
    </row>
    <row r="4154">
      <c r="A4154" t="inlineStr">
        <is>
          <t>PRAGMA</t>
        </is>
      </c>
      <c r="B4154" t="inlineStr">
        <is>
          <t>M1</t>
        </is>
      </c>
      <c r="C4154" t="inlineStr">
        <is>
          <t>Cali</t>
        </is>
      </c>
      <c r="D4154" t="inlineStr">
        <is>
          <t>7163</t>
        </is>
      </c>
      <c r="E4154" t="inlineStr">
        <is>
          <t>pagado</t>
        </is>
      </c>
      <c r="F4154" s="23" t="n">
        <v>46277</v>
      </c>
      <c r="G4154" s="24">
        <f>F4154-DATE(2026,8,31)</f>
        <v>12</v>
      </c>
      <c r="H4154" s="25" t="n">
        <v>130400254</v>
      </c>
      <c r="I4154" t="inlineStr">
        <is>
          <t>entidad-dia</t>
        </is>
      </c>
    </row>
    <row r="4155">
      <c r="A4155" t="inlineStr">
        <is>
          <t>PRAGMA</t>
        </is>
      </c>
      <c r="B4155" t="inlineStr">
        <is>
          <t>M1</t>
        </is>
      </c>
      <c r="C4155" t="inlineStr">
        <is>
          <t>Cali</t>
        </is>
      </c>
      <c r="D4155" t="inlineStr">
        <is>
          <t>7163</t>
        </is>
      </c>
      <c r="E4155" t="inlineStr">
        <is>
          <t>pagado</t>
        </is>
      </c>
      <c r="F4155" s="23" t="n">
        <v>46278</v>
      </c>
      <c r="G4155" s="24">
        <f>F4155-DATE(2026,8,31)</f>
        <v>13</v>
      </c>
      <c r="H4155" s="25" t="n">
        <v>76920932</v>
      </c>
      <c r="I4155" t="inlineStr">
        <is>
          <t>entidad-dia</t>
        </is>
      </c>
    </row>
    <row r="4156">
      <c r="A4156" t="inlineStr">
        <is>
          <t>PRAGMA</t>
        </is>
      </c>
      <c r="B4156" t="inlineStr">
        <is>
          <t>M1</t>
        </is>
      </c>
      <c r="C4156" t="inlineStr">
        <is>
          <t>Cali</t>
        </is>
      </c>
      <c r="D4156" t="inlineStr">
        <is>
          <t>7163</t>
        </is>
      </c>
      <c r="E4156" t="inlineStr">
        <is>
          <t>pagado</t>
        </is>
      </c>
      <c r="F4156" s="23" t="n">
        <v>46279</v>
      </c>
      <c r="G4156" s="24">
        <f>F4156-DATE(2026,8,31)</f>
        <v>14</v>
      </c>
      <c r="H4156" s="25" t="n">
        <v>118385689</v>
      </c>
      <c r="I4156" t="inlineStr">
        <is>
          <t>entidad-dia</t>
        </is>
      </c>
    </row>
    <row r="4157">
      <c r="A4157" t="inlineStr">
        <is>
          <t>PRAGMA</t>
        </is>
      </c>
      <c r="B4157" t="inlineStr">
        <is>
          <t>M1</t>
        </is>
      </c>
      <c r="C4157" t="inlineStr">
        <is>
          <t>Cali</t>
        </is>
      </c>
      <c r="D4157" t="inlineStr">
        <is>
          <t>7163</t>
        </is>
      </c>
      <c r="E4157" t="inlineStr">
        <is>
          <t>pagado</t>
        </is>
      </c>
      <c r="F4157" s="23" t="n">
        <v>46280</v>
      </c>
      <c r="G4157" s="24">
        <f>F4157-DATE(2026,8,31)</f>
        <v>15</v>
      </c>
      <c r="H4157" s="25" t="n">
        <v>156722573</v>
      </c>
      <c r="I4157" t="inlineStr">
        <is>
          <t>entidad-dia</t>
        </is>
      </c>
    </row>
    <row r="4158">
      <c r="A4158" t="inlineStr">
        <is>
          <t>PRAGMA</t>
        </is>
      </c>
      <c r="B4158" t="inlineStr">
        <is>
          <t>M1</t>
        </is>
      </c>
      <c r="C4158" t="inlineStr">
        <is>
          <t>Cali</t>
        </is>
      </c>
      <c r="D4158" t="inlineStr">
        <is>
          <t>7220</t>
        </is>
      </c>
      <c r="E4158" t="inlineStr">
        <is>
          <t>pagado</t>
        </is>
      </c>
      <c r="F4158" s="23" t="n">
        <v>46266</v>
      </c>
      <c r="G4158" s="24">
        <f>F4158-DATE(2026,8,31)</f>
        <v>1</v>
      </c>
      <c r="H4158" s="25" t="n">
        <v>118732091</v>
      </c>
      <c r="I4158" t="inlineStr">
        <is>
          <t>entidad-dia</t>
        </is>
      </c>
    </row>
    <row r="4159">
      <c r="A4159" t="inlineStr">
        <is>
          <t>PRAGMA</t>
        </is>
      </c>
      <c r="B4159" t="inlineStr">
        <is>
          <t>M1</t>
        </is>
      </c>
      <c r="C4159" t="inlineStr">
        <is>
          <t>Cali</t>
        </is>
      </c>
      <c r="D4159" t="inlineStr">
        <is>
          <t>7220</t>
        </is>
      </c>
      <c r="E4159" t="inlineStr">
        <is>
          <t>pagado</t>
        </is>
      </c>
      <c r="F4159" s="23" t="n">
        <v>46267</v>
      </c>
      <c r="G4159" s="24">
        <f>F4159-DATE(2026,8,31)</f>
        <v>2</v>
      </c>
      <c r="H4159" s="25" t="n">
        <v>77840498</v>
      </c>
      <c r="I4159" t="inlineStr">
        <is>
          <t>entidad-dia</t>
        </is>
      </c>
    </row>
    <row r="4160">
      <c r="A4160" t="inlineStr">
        <is>
          <t>PRAGMA</t>
        </is>
      </c>
      <c r="B4160" t="inlineStr">
        <is>
          <t>M1</t>
        </is>
      </c>
      <c r="C4160" t="inlineStr">
        <is>
          <t>Cali</t>
        </is>
      </c>
      <c r="D4160" t="inlineStr">
        <is>
          <t>7220</t>
        </is>
      </c>
      <c r="E4160" t="inlineStr">
        <is>
          <t>pagado</t>
        </is>
      </c>
      <c r="F4160" s="23" t="n">
        <v>46268</v>
      </c>
      <c r="G4160" s="24">
        <f>F4160-DATE(2026,8,31)</f>
        <v>3</v>
      </c>
      <c r="H4160" s="25" t="n">
        <v>64489749</v>
      </c>
      <c r="I4160" t="inlineStr">
        <is>
          <t>entidad-dia</t>
        </is>
      </c>
    </row>
    <row r="4161">
      <c r="A4161" t="inlineStr">
        <is>
          <t>PRAGMA</t>
        </is>
      </c>
      <c r="B4161" t="inlineStr">
        <is>
          <t>M1</t>
        </is>
      </c>
      <c r="C4161" t="inlineStr">
        <is>
          <t>Cali</t>
        </is>
      </c>
      <c r="D4161" t="inlineStr">
        <is>
          <t>7220</t>
        </is>
      </c>
      <c r="E4161" t="inlineStr">
        <is>
          <t>pagado</t>
        </is>
      </c>
      <c r="F4161" s="23" t="n">
        <v>46269</v>
      </c>
      <c r="G4161" s="24">
        <f>F4161-DATE(2026,8,31)</f>
        <v>4</v>
      </c>
      <c r="H4161" s="25" t="n">
        <v>66052314</v>
      </c>
      <c r="I4161" t="inlineStr">
        <is>
          <t>entidad-dia</t>
        </is>
      </c>
    </row>
    <row r="4162">
      <c r="A4162" t="inlineStr">
        <is>
          <t>PRAGMA</t>
        </is>
      </c>
      <c r="B4162" t="inlineStr">
        <is>
          <t>M1</t>
        </is>
      </c>
      <c r="C4162" t="inlineStr">
        <is>
          <t>Cali</t>
        </is>
      </c>
      <c r="D4162" t="inlineStr">
        <is>
          <t>7220</t>
        </is>
      </c>
      <c r="E4162" t="inlineStr">
        <is>
          <t>pagado</t>
        </is>
      </c>
      <c r="F4162" s="23" t="n">
        <v>46270</v>
      </c>
      <c r="G4162" s="24">
        <f>F4162-DATE(2026,8,31)</f>
        <v>5</v>
      </c>
      <c r="H4162" s="25" t="n">
        <v>62427541</v>
      </c>
      <c r="I4162" t="inlineStr">
        <is>
          <t>entidad-dia</t>
        </is>
      </c>
    </row>
    <row r="4163">
      <c r="A4163" t="inlineStr">
        <is>
          <t>PRAGMA</t>
        </is>
      </c>
      <c r="B4163" t="inlineStr">
        <is>
          <t>M1</t>
        </is>
      </c>
      <c r="C4163" t="inlineStr">
        <is>
          <t>Cali</t>
        </is>
      </c>
      <c r="D4163" t="inlineStr">
        <is>
          <t>7220</t>
        </is>
      </c>
      <c r="E4163" t="inlineStr">
        <is>
          <t>pagado</t>
        </is>
      </c>
      <c r="F4163" s="23" t="n">
        <v>46271</v>
      </c>
      <c r="G4163" s="24">
        <f>F4163-DATE(2026,8,31)</f>
        <v>6</v>
      </c>
      <c r="H4163" s="25" t="n">
        <v>37860969</v>
      </c>
      <c r="I4163" t="inlineStr">
        <is>
          <t>entidad-dia</t>
        </is>
      </c>
    </row>
    <row r="4164">
      <c r="A4164" t="inlineStr">
        <is>
          <t>PRAGMA</t>
        </is>
      </c>
      <c r="B4164" t="inlineStr">
        <is>
          <t>M1</t>
        </is>
      </c>
      <c r="C4164" t="inlineStr">
        <is>
          <t>Cali</t>
        </is>
      </c>
      <c r="D4164" t="inlineStr">
        <is>
          <t>7220</t>
        </is>
      </c>
      <c r="E4164" t="inlineStr">
        <is>
          <t>pagado</t>
        </is>
      </c>
      <c r="F4164" s="23" t="n">
        <v>46272</v>
      </c>
      <c r="G4164" s="24">
        <f>F4164-DATE(2026,8,31)</f>
        <v>7</v>
      </c>
      <c r="H4164" s="25" t="n">
        <v>56460059</v>
      </c>
      <c r="I4164" t="inlineStr">
        <is>
          <t>entidad-dia</t>
        </is>
      </c>
    </row>
    <row r="4165">
      <c r="A4165" t="inlineStr">
        <is>
          <t>PRAGMA</t>
        </is>
      </c>
      <c r="B4165" t="inlineStr">
        <is>
          <t>M1</t>
        </is>
      </c>
      <c r="C4165" t="inlineStr">
        <is>
          <t>Cali</t>
        </is>
      </c>
      <c r="D4165" t="inlineStr">
        <is>
          <t>7220</t>
        </is>
      </c>
      <c r="E4165" t="inlineStr">
        <is>
          <t>pagado</t>
        </is>
      </c>
      <c r="F4165" s="23" t="n">
        <v>46273</v>
      </c>
      <c r="G4165" s="24">
        <f>F4165-DATE(2026,8,31)</f>
        <v>8</v>
      </c>
      <c r="H4165" s="25" t="n">
        <v>48950041</v>
      </c>
      <c r="I4165" t="inlineStr">
        <is>
          <t>entidad-dia</t>
        </is>
      </c>
    </row>
    <row r="4166">
      <c r="A4166" t="inlineStr">
        <is>
          <t>PRAGMA</t>
        </is>
      </c>
      <c r="B4166" t="inlineStr">
        <is>
          <t>M1</t>
        </is>
      </c>
      <c r="C4166" t="inlineStr">
        <is>
          <t>Cali</t>
        </is>
      </c>
      <c r="D4166" t="inlineStr">
        <is>
          <t>7220</t>
        </is>
      </c>
      <c r="E4166" t="inlineStr">
        <is>
          <t>pagado</t>
        </is>
      </c>
      <c r="F4166" s="23" t="n">
        <v>46274</v>
      </c>
      <c r="G4166" s="24">
        <f>F4166-DATE(2026,8,31)</f>
        <v>9</v>
      </c>
      <c r="H4166" s="25" t="n">
        <v>43804126</v>
      </c>
      <c r="I4166" t="inlineStr">
        <is>
          <t>entidad-dia</t>
        </is>
      </c>
    </row>
    <row r="4167">
      <c r="A4167" t="inlineStr">
        <is>
          <t>PRAGMA</t>
        </is>
      </c>
      <c r="B4167" t="inlineStr">
        <is>
          <t>M1</t>
        </is>
      </c>
      <c r="C4167" t="inlineStr">
        <is>
          <t>Cali</t>
        </is>
      </c>
      <c r="D4167" t="inlineStr">
        <is>
          <t>7220</t>
        </is>
      </c>
      <c r="E4167" t="inlineStr">
        <is>
          <t>pagado</t>
        </is>
      </c>
      <c r="F4167" s="23" t="n">
        <v>46275</v>
      </c>
      <c r="G4167" s="24">
        <f>F4167-DATE(2026,8,31)</f>
        <v>10</v>
      </c>
      <c r="H4167" s="25" t="n">
        <v>46493130</v>
      </c>
      <c r="I4167" t="inlineStr">
        <is>
          <t>entidad-dia</t>
        </is>
      </c>
    </row>
    <row r="4168">
      <c r="A4168" t="inlineStr">
        <is>
          <t>PRAGMA</t>
        </is>
      </c>
      <c r="B4168" t="inlineStr">
        <is>
          <t>M1</t>
        </is>
      </c>
      <c r="C4168" t="inlineStr">
        <is>
          <t>Cali</t>
        </is>
      </c>
      <c r="D4168" t="inlineStr">
        <is>
          <t>7220</t>
        </is>
      </c>
      <c r="E4168" t="inlineStr">
        <is>
          <t>pagado</t>
        </is>
      </c>
      <c r="F4168" s="23" t="n">
        <v>46276</v>
      </c>
      <c r="G4168" s="24">
        <f>F4168-DATE(2026,8,31)</f>
        <v>11</v>
      </c>
      <c r="H4168" s="25" t="n">
        <v>44203045</v>
      </c>
      <c r="I4168" t="inlineStr">
        <is>
          <t>entidad-dia</t>
        </is>
      </c>
    </row>
    <row r="4169">
      <c r="A4169" t="inlineStr">
        <is>
          <t>PRAGMA</t>
        </is>
      </c>
      <c r="B4169" t="inlineStr">
        <is>
          <t>M1</t>
        </is>
      </c>
      <c r="C4169" t="inlineStr">
        <is>
          <t>Cali</t>
        </is>
      </c>
      <c r="D4169" t="inlineStr">
        <is>
          <t>7220</t>
        </is>
      </c>
      <c r="E4169" t="inlineStr">
        <is>
          <t>pagado</t>
        </is>
      </c>
      <c r="F4169" s="23" t="n">
        <v>46277</v>
      </c>
      <c r="G4169" s="24">
        <f>F4169-DATE(2026,8,31)</f>
        <v>12</v>
      </c>
      <c r="H4169" s="25" t="n">
        <v>48427636</v>
      </c>
      <c r="I4169" t="inlineStr">
        <is>
          <t>entidad-dia</t>
        </is>
      </c>
    </row>
    <row r="4170">
      <c r="A4170" t="inlineStr">
        <is>
          <t>PRAGMA</t>
        </is>
      </c>
      <c r="B4170" t="inlineStr">
        <is>
          <t>M1</t>
        </is>
      </c>
      <c r="C4170" t="inlineStr">
        <is>
          <t>Cali</t>
        </is>
      </c>
      <c r="D4170" t="inlineStr">
        <is>
          <t>7220</t>
        </is>
      </c>
      <c r="E4170" t="inlineStr">
        <is>
          <t>pagado</t>
        </is>
      </c>
      <c r="F4170" s="23" t="n">
        <v>46278</v>
      </c>
      <c r="G4170" s="24">
        <f>F4170-DATE(2026,8,31)</f>
        <v>13</v>
      </c>
      <c r="H4170" s="25" t="n">
        <v>29733273</v>
      </c>
      <c r="I4170" t="inlineStr">
        <is>
          <t>entidad-dia</t>
        </is>
      </c>
    </row>
    <row r="4171">
      <c r="A4171" t="inlineStr">
        <is>
          <t>PRAGMA</t>
        </is>
      </c>
      <c r="B4171" t="inlineStr">
        <is>
          <t>M1</t>
        </is>
      </c>
      <c r="C4171" t="inlineStr">
        <is>
          <t>Cali</t>
        </is>
      </c>
      <c r="D4171" t="inlineStr">
        <is>
          <t>7220</t>
        </is>
      </c>
      <c r="E4171" t="inlineStr">
        <is>
          <t>pagado</t>
        </is>
      </c>
      <c r="F4171" s="23" t="n">
        <v>46279</v>
      </c>
      <c r="G4171" s="24">
        <f>F4171-DATE(2026,8,31)</f>
        <v>14</v>
      </c>
      <c r="H4171" s="25" t="n">
        <v>54854546</v>
      </c>
      <c r="I4171" t="inlineStr">
        <is>
          <t>entidad-dia</t>
        </is>
      </c>
    </row>
    <row r="4172">
      <c r="A4172" t="inlineStr">
        <is>
          <t>PRAGMA</t>
        </is>
      </c>
      <c r="B4172" t="inlineStr">
        <is>
          <t>M1</t>
        </is>
      </c>
      <c r="C4172" t="inlineStr">
        <is>
          <t>Cali</t>
        </is>
      </c>
      <c r="D4172" t="inlineStr">
        <is>
          <t>7220</t>
        </is>
      </c>
      <c r="E4172" t="inlineStr">
        <is>
          <t>pagado</t>
        </is>
      </c>
      <c r="F4172" s="23" t="n">
        <v>46280</v>
      </c>
      <c r="G4172" s="24">
        <f>F4172-DATE(2026,8,31)</f>
        <v>15</v>
      </c>
      <c r="H4172" s="25" t="n">
        <v>74151367</v>
      </c>
      <c r="I4172" t="inlineStr">
        <is>
          <t>entidad-dia</t>
        </is>
      </c>
    </row>
    <row r="4173">
      <c r="A4173" t="inlineStr">
        <is>
          <t>PRAGMA</t>
        </is>
      </c>
      <c r="B4173" t="inlineStr">
        <is>
          <t>M1</t>
        </is>
      </c>
      <c r="C4173" t="inlineStr">
        <is>
          <t>Cali</t>
        </is>
      </c>
      <c r="D4173" t="inlineStr">
        <is>
          <t>7238</t>
        </is>
      </c>
      <c r="E4173" t="inlineStr">
        <is>
          <t>pagado</t>
        </is>
      </c>
      <c r="F4173" s="23" t="n">
        <v>46266</v>
      </c>
      <c r="G4173" s="24">
        <f>F4173-DATE(2026,8,31)</f>
        <v>1</v>
      </c>
      <c r="H4173" s="25" t="n">
        <v>127544392</v>
      </c>
      <c r="I4173" t="inlineStr">
        <is>
          <t>entidad-dia</t>
        </is>
      </c>
    </row>
    <row r="4174">
      <c r="A4174" t="inlineStr">
        <is>
          <t>PRAGMA</t>
        </is>
      </c>
      <c r="B4174" t="inlineStr">
        <is>
          <t>M1</t>
        </is>
      </c>
      <c r="C4174" t="inlineStr">
        <is>
          <t>Cali</t>
        </is>
      </c>
      <c r="D4174" t="inlineStr">
        <is>
          <t>7238</t>
        </is>
      </c>
      <c r="E4174" t="inlineStr">
        <is>
          <t>pagado</t>
        </is>
      </c>
      <c r="F4174" s="23" t="n">
        <v>46267</v>
      </c>
      <c r="G4174" s="24">
        <f>F4174-DATE(2026,8,31)</f>
        <v>2</v>
      </c>
      <c r="H4174" s="25" t="n">
        <v>88297209</v>
      </c>
      <c r="I4174" t="inlineStr">
        <is>
          <t>entidad-dia</t>
        </is>
      </c>
    </row>
    <row r="4175">
      <c r="A4175" t="inlineStr">
        <is>
          <t>PRAGMA</t>
        </is>
      </c>
      <c r="B4175" t="inlineStr">
        <is>
          <t>M1</t>
        </is>
      </c>
      <c r="C4175" t="inlineStr">
        <is>
          <t>Cali</t>
        </is>
      </c>
      <c r="D4175" t="inlineStr">
        <is>
          <t>7238</t>
        </is>
      </c>
      <c r="E4175" t="inlineStr">
        <is>
          <t>pagado</t>
        </is>
      </c>
      <c r="F4175" s="23" t="n">
        <v>46268</v>
      </c>
      <c r="G4175" s="24">
        <f>F4175-DATE(2026,8,31)</f>
        <v>3</v>
      </c>
      <c r="H4175" s="25" t="n">
        <v>73669742</v>
      </c>
      <c r="I4175" t="inlineStr">
        <is>
          <t>entidad-dia</t>
        </is>
      </c>
    </row>
    <row r="4176">
      <c r="A4176" t="inlineStr">
        <is>
          <t>PRAGMA</t>
        </is>
      </c>
      <c r="B4176" t="inlineStr">
        <is>
          <t>M1</t>
        </is>
      </c>
      <c r="C4176" t="inlineStr">
        <is>
          <t>Cali</t>
        </is>
      </c>
      <c r="D4176" t="inlineStr">
        <is>
          <t>7238</t>
        </is>
      </c>
      <c r="E4176" t="inlineStr">
        <is>
          <t>pagado</t>
        </is>
      </c>
      <c r="F4176" s="23" t="n">
        <v>46269</v>
      </c>
      <c r="G4176" s="24">
        <f>F4176-DATE(2026,8,31)</f>
        <v>4</v>
      </c>
      <c r="H4176" s="25" t="n">
        <v>79288736</v>
      </c>
      <c r="I4176" t="inlineStr">
        <is>
          <t>entidad-dia</t>
        </is>
      </c>
    </row>
    <row r="4177">
      <c r="A4177" t="inlineStr">
        <is>
          <t>PRAGMA</t>
        </is>
      </c>
      <c r="B4177" t="inlineStr">
        <is>
          <t>M1</t>
        </is>
      </c>
      <c r="C4177" t="inlineStr">
        <is>
          <t>Cali</t>
        </is>
      </c>
      <c r="D4177" t="inlineStr">
        <is>
          <t>7238</t>
        </is>
      </c>
      <c r="E4177" t="inlineStr">
        <is>
          <t>pagado</t>
        </is>
      </c>
      <c r="F4177" s="23" t="n">
        <v>46270</v>
      </c>
      <c r="G4177" s="24">
        <f>F4177-DATE(2026,8,31)</f>
        <v>5</v>
      </c>
      <c r="H4177" s="25" t="n">
        <v>78292983</v>
      </c>
      <c r="I4177" t="inlineStr">
        <is>
          <t>entidad-dia</t>
        </is>
      </c>
    </row>
    <row r="4178">
      <c r="A4178" t="inlineStr">
        <is>
          <t>PRAGMA</t>
        </is>
      </c>
      <c r="B4178" t="inlineStr">
        <is>
          <t>M1</t>
        </is>
      </c>
      <c r="C4178" t="inlineStr">
        <is>
          <t>Cali</t>
        </is>
      </c>
      <c r="D4178" t="inlineStr">
        <is>
          <t>7238</t>
        </is>
      </c>
      <c r="E4178" t="inlineStr">
        <is>
          <t>pagado</t>
        </is>
      </c>
      <c r="F4178" s="23" t="n">
        <v>46271</v>
      </c>
      <c r="G4178" s="24">
        <f>F4178-DATE(2026,8,31)</f>
        <v>6</v>
      </c>
      <c r="H4178" s="25" t="n">
        <v>51672238</v>
      </c>
      <c r="I4178" t="inlineStr">
        <is>
          <t>entidad-dia</t>
        </is>
      </c>
    </row>
    <row r="4179">
      <c r="A4179" t="inlineStr">
        <is>
          <t>PRAGMA</t>
        </is>
      </c>
      <c r="B4179" t="inlineStr">
        <is>
          <t>M1</t>
        </is>
      </c>
      <c r="C4179" t="inlineStr">
        <is>
          <t>Cali</t>
        </is>
      </c>
      <c r="D4179" t="inlineStr">
        <is>
          <t>7238</t>
        </is>
      </c>
      <c r="E4179" t="inlineStr">
        <is>
          <t>pagado</t>
        </is>
      </c>
      <c r="F4179" s="23" t="n">
        <v>46272</v>
      </c>
      <c r="G4179" s="24">
        <f>F4179-DATE(2026,8,31)</f>
        <v>7</v>
      </c>
      <c r="H4179" s="25" t="n">
        <v>57219239</v>
      </c>
      <c r="I4179" t="inlineStr">
        <is>
          <t>entidad-dia</t>
        </is>
      </c>
    </row>
    <row r="4180">
      <c r="A4180" t="inlineStr">
        <is>
          <t>PRAGMA</t>
        </is>
      </c>
      <c r="B4180" t="inlineStr">
        <is>
          <t>M1</t>
        </is>
      </c>
      <c r="C4180" t="inlineStr">
        <is>
          <t>Cali</t>
        </is>
      </c>
      <c r="D4180" t="inlineStr">
        <is>
          <t>7238</t>
        </is>
      </c>
      <c r="E4180" t="inlineStr">
        <is>
          <t>pagado</t>
        </is>
      </c>
      <c r="F4180" s="23" t="n">
        <v>46273</v>
      </c>
      <c r="G4180" s="24">
        <f>F4180-DATE(2026,8,31)</f>
        <v>8</v>
      </c>
      <c r="H4180" s="25" t="n">
        <v>49641079</v>
      </c>
      <c r="I4180" t="inlineStr">
        <is>
          <t>entidad-dia</t>
        </is>
      </c>
    </row>
    <row r="4181">
      <c r="A4181" t="inlineStr">
        <is>
          <t>PRAGMA</t>
        </is>
      </c>
      <c r="B4181" t="inlineStr">
        <is>
          <t>M1</t>
        </is>
      </c>
      <c r="C4181" t="inlineStr">
        <is>
          <t>Cali</t>
        </is>
      </c>
      <c r="D4181" t="inlineStr">
        <is>
          <t>7238</t>
        </is>
      </c>
      <c r="E4181" t="inlineStr">
        <is>
          <t>pagado</t>
        </is>
      </c>
      <c r="F4181" s="23" t="n">
        <v>46274</v>
      </c>
      <c r="G4181" s="24">
        <f>F4181-DATE(2026,8,31)</f>
        <v>9</v>
      </c>
      <c r="H4181" s="25" t="n">
        <v>60020547</v>
      </c>
      <c r="I4181" t="inlineStr">
        <is>
          <t>entidad-dia</t>
        </is>
      </c>
    </row>
    <row r="4182">
      <c r="A4182" t="inlineStr">
        <is>
          <t>PRAGMA</t>
        </is>
      </c>
      <c r="B4182" t="inlineStr">
        <is>
          <t>M1</t>
        </is>
      </c>
      <c r="C4182" t="inlineStr">
        <is>
          <t>Cali</t>
        </is>
      </c>
      <c r="D4182" t="inlineStr">
        <is>
          <t>7238</t>
        </is>
      </c>
      <c r="E4182" t="inlineStr">
        <is>
          <t>pagado</t>
        </is>
      </c>
      <c r="F4182" s="23" t="n">
        <v>46275</v>
      </c>
      <c r="G4182" s="24">
        <f>F4182-DATE(2026,8,31)</f>
        <v>10</v>
      </c>
      <c r="H4182" s="25" t="n">
        <v>52477162</v>
      </c>
      <c r="I4182" t="inlineStr">
        <is>
          <t>entidad-dia</t>
        </is>
      </c>
    </row>
    <row r="4183">
      <c r="A4183" t="inlineStr">
        <is>
          <t>PRAGMA</t>
        </is>
      </c>
      <c r="B4183" t="inlineStr">
        <is>
          <t>M1</t>
        </is>
      </c>
      <c r="C4183" t="inlineStr">
        <is>
          <t>Cali</t>
        </is>
      </c>
      <c r="D4183" t="inlineStr">
        <is>
          <t>7238</t>
        </is>
      </c>
      <c r="E4183" t="inlineStr">
        <is>
          <t>pagado</t>
        </is>
      </c>
      <c r="F4183" s="23" t="n">
        <v>46276</v>
      </c>
      <c r="G4183" s="24">
        <f>F4183-DATE(2026,8,31)</f>
        <v>11</v>
      </c>
      <c r="H4183" s="25" t="n">
        <v>53033765</v>
      </c>
      <c r="I4183" t="inlineStr">
        <is>
          <t>entidad-dia</t>
        </is>
      </c>
    </row>
    <row r="4184">
      <c r="A4184" t="inlineStr">
        <is>
          <t>PRAGMA</t>
        </is>
      </c>
      <c r="B4184" t="inlineStr">
        <is>
          <t>M1</t>
        </is>
      </c>
      <c r="C4184" t="inlineStr">
        <is>
          <t>Cali</t>
        </is>
      </c>
      <c r="D4184" t="inlineStr">
        <is>
          <t>7238</t>
        </is>
      </c>
      <c r="E4184" t="inlineStr">
        <is>
          <t>pagado</t>
        </is>
      </c>
      <c r="F4184" s="23" t="n">
        <v>46277</v>
      </c>
      <c r="G4184" s="24">
        <f>F4184-DATE(2026,8,31)</f>
        <v>12</v>
      </c>
      <c r="H4184" s="25" t="n">
        <v>50897037</v>
      </c>
      <c r="I4184" t="inlineStr">
        <is>
          <t>entidad-dia</t>
        </is>
      </c>
    </row>
    <row r="4185">
      <c r="A4185" t="inlineStr">
        <is>
          <t>PRAGMA</t>
        </is>
      </c>
      <c r="B4185" t="inlineStr">
        <is>
          <t>M1</t>
        </is>
      </c>
      <c r="C4185" t="inlineStr">
        <is>
          <t>Cali</t>
        </is>
      </c>
      <c r="D4185" t="inlineStr">
        <is>
          <t>7238</t>
        </is>
      </c>
      <c r="E4185" t="inlineStr">
        <is>
          <t>pagado</t>
        </is>
      </c>
      <c r="F4185" s="23" t="n">
        <v>46278</v>
      </c>
      <c r="G4185" s="24">
        <f>F4185-DATE(2026,8,31)</f>
        <v>13</v>
      </c>
      <c r="H4185" s="25" t="n">
        <v>41438769</v>
      </c>
      <c r="I4185" t="inlineStr">
        <is>
          <t>entidad-dia</t>
        </is>
      </c>
    </row>
    <row r="4186">
      <c r="A4186" t="inlineStr">
        <is>
          <t>PRAGMA</t>
        </is>
      </c>
      <c r="B4186" t="inlineStr">
        <is>
          <t>M1</t>
        </is>
      </c>
      <c r="C4186" t="inlineStr">
        <is>
          <t>Cali</t>
        </is>
      </c>
      <c r="D4186" t="inlineStr">
        <is>
          <t>7238</t>
        </is>
      </c>
      <c r="E4186" t="inlineStr">
        <is>
          <t>pagado</t>
        </is>
      </c>
      <c r="F4186" s="23" t="n">
        <v>46279</v>
      </c>
      <c r="G4186" s="24">
        <f>F4186-DATE(2026,8,31)</f>
        <v>14</v>
      </c>
      <c r="H4186" s="25" t="n">
        <v>49680122</v>
      </c>
      <c r="I4186" t="inlineStr">
        <is>
          <t>entidad-dia</t>
        </is>
      </c>
    </row>
    <row r="4187">
      <c r="A4187" t="inlineStr">
        <is>
          <t>PRAGMA</t>
        </is>
      </c>
      <c r="B4187" t="inlineStr">
        <is>
          <t>M1</t>
        </is>
      </c>
      <c r="C4187" t="inlineStr">
        <is>
          <t>Cali</t>
        </is>
      </c>
      <c r="D4187" t="inlineStr">
        <is>
          <t>7238</t>
        </is>
      </c>
      <c r="E4187" t="inlineStr">
        <is>
          <t>pagado</t>
        </is>
      </c>
      <c r="F4187" s="23" t="n">
        <v>46280</v>
      </c>
      <c r="G4187" s="24">
        <f>F4187-DATE(2026,8,31)</f>
        <v>15</v>
      </c>
      <c r="H4187" s="25" t="n">
        <v>97362754</v>
      </c>
      <c r="I4187" t="inlineStr">
        <is>
          <t>entidad-dia</t>
        </is>
      </c>
    </row>
    <row r="4188">
      <c r="A4188" t="inlineStr">
        <is>
          <t>PRAGMA</t>
        </is>
      </c>
      <c r="B4188" t="inlineStr">
        <is>
          <t>M1</t>
        </is>
      </c>
      <c r="C4188" t="inlineStr">
        <is>
          <t>Cali</t>
        </is>
      </c>
      <c r="D4188" t="inlineStr">
        <is>
          <t>7243</t>
        </is>
      </c>
      <c r="E4188" t="inlineStr">
        <is>
          <t>pagado</t>
        </is>
      </c>
      <c r="F4188" s="23" t="n">
        <v>46266</v>
      </c>
      <c r="G4188" s="24">
        <f>F4188-DATE(2026,8,31)</f>
        <v>1</v>
      </c>
      <c r="H4188" s="25" t="n">
        <v>170918804</v>
      </c>
      <c r="I4188" t="inlineStr">
        <is>
          <t>entidad-dia</t>
        </is>
      </c>
    </row>
    <row r="4189">
      <c r="A4189" t="inlineStr">
        <is>
          <t>PRAGMA</t>
        </is>
      </c>
      <c r="B4189" t="inlineStr">
        <is>
          <t>M1</t>
        </is>
      </c>
      <c r="C4189" t="inlineStr">
        <is>
          <t>Cali</t>
        </is>
      </c>
      <c r="D4189" t="inlineStr">
        <is>
          <t>7243</t>
        </is>
      </c>
      <c r="E4189" t="inlineStr">
        <is>
          <t>pagado</t>
        </is>
      </c>
      <c r="F4189" s="23" t="n">
        <v>46267</v>
      </c>
      <c r="G4189" s="24">
        <f>F4189-DATE(2026,8,31)</f>
        <v>2</v>
      </c>
      <c r="H4189" s="25" t="n">
        <v>118772384</v>
      </c>
      <c r="I4189" t="inlineStr">
        <is>
          <t>entidad-dia</t>
        </is>
      </c>
    </row>
    <row r="4190">
      <c r="A4190" t="inlineStr">
        <is>
          <t>PRAGMA</t>
        </is>
      </c>
      <c r="B4190" t="inlineStr">
        <is>
          <t>M1</t>
        </is>
      </c>
      <c r="C4190" t="inlineStr">
        <is>
          <t>Cali</t>
        </is>
      </c>
      <c r="D4190" t="inlineStr">
        <is>
          <t>7243</t>
        </is>
      </c>
      <c r="E4190" t="inlineStr">
        <is>
          <t>pagado</t>
        </is>
      </c>
      <c r="F4190" s="23" t="n">
        <v>46268</v>
      </c>
      <c r="G4190" s="24">
        <f>F4190-DATE(2026,8,31)</f>
        <v>3</v>
      </c>
      <c r="H4190" s="25" t="n">
        <v>102933011</v>
      </c>
      <c r="I4190" t="inlineStr">
        <is>
          <t>entidad-dia</t>
        </is>
      </c>
    </row>
    <row r="4191">
      <c r="A4191" t="inlineStr">
        <is>
          <t>PRAGMA</t>
        </is>
      </c>
      <c r="B4191" t="inlineStr">
        <is>
          <t>M1</t>
        </is>
      </c>
      <c r="C4191" t="inlineStr">
        <is>
          <t>Cali</t>
        </is>
      </c>
      <c r="D4191" t="inlineStr">
        <is>
          <t>7243</t>
        </is>
      </c>
      <c r="E4191" t="inlineStr">
        <is>
          <t>pagado</t>
        </is>
      </c>
      <c r="F4191" s="23" t="n">
        <v>46269</v>
      </c>
      <c r="G4191" s="24">
        <f>F4191-DATE(2026,8,31)</f>
        <v>4</v>
      </c>
      <c r="H4191" s="25" t="n">
        <v>119404599</v>
      </c>
      <c r="I4191" t="inlineStr">
        <is>
          <t>entidad-dia</t>
        </is>
      </c>
    </row>
    <row r="4192">
      <c r="A4192" t="inlineStr">
        <is>
          <t>PRAGMA</t>
        </is>
      </c>
      <c r="B4192" t="inlineStr">
        <is>
          <t>M1</t>
        </is>
      </c>
      <c r="C4192" t="inlineStr">
        <is>
          <t>Cali</t>
        </is>
      </c>
      <c r="D4192" t="inlineStr">
        <is>
          <t>7243</t>
        </is>
      </c>
      <c r="E4192" t="inlineStr">
        <is>
          <t>pagado</t>
        </is>
      </c>
      <c r="F4192" s="23" t="n">
        <v>46270</v>
      </c>
      <c r="G4192" s="24">
        <f>F4192-DATE(2026,8,31)</f>
        <v>5</v>
      </c>
      <c r="H4192" s="25" t="n">
        <v>118573780</v>
      </c>
      <c r="I4192" t="inlineStr">
        <is>
          <t>entidad-dia</t>
        </is>
      </c>
    </row>
    <row r="4193">
      <c r="A4193" t="inlineStr">
        <is>
          <t>PRAGMA</t>
        </is>
      </c>
      <c r="B4193" t="inlineStr">
        <is>
          <t>M1</t>
        </is>
      </c>
      <c r="C4193" t="inlineStr">
        <is>
          <t>Cali</t>
        </is>
      </c>
      <c r="D4193" t="inlineStr">
        <is>
          <t>7243</t>
        </is>
      </c>
      <c r="E4193" t="inlineStr">
        <is>
          <t>pagado</t>
        </is>
      </c>
      <c r="F4193" s="23" t="n">
        <v>46271</v>
      </c>
      <c r="G4193" s="24">
        <f>F4193-DATE(2026,8,31)</f>
        <v>6</v>
      </c>
      <c r="H4193" s="25" t="n">
        <v>72965279</v>
      </c>
      <c r="I4193" t="inlineStr">
        <is>
          <t>entidad-dia</t>
        </is>
      </c>
    </row>
    <row r="4194">
      <c r="A4194" t="inlineStr">
        <is>
          <t>PRAGMA</t>
        </is>
      </c>
      <c r="B4194" t="inlineStr">
        <is>
          <t>M1</t>
        </is>
      </c>
      <c r="C4194" t="inlineStr">
        <is>
          <t>Cali</t>
        </is>
      </c>
      <c r="D4194" t="inlineStr">
        <is>
          <t>7243</t>
        </is>
      </c>
      <c r="E4194" t="inlineStr">
        <is>
          <t>pagado</t>
        </is>
      </c>
      <c r="F4194" s="23" t="n">
        <v>46272</v>
      </c>
      <c r="G4194" s="24">
        <f>F4194-DATE(2026,8,31)</f>
        <v>7</v>
      </c>
      <c r="H4194" s="25" t="n">
        <v>80721544</v>
      </c>
      <c r="I4194" t="inlineStr">
        <is>
          <t>entidad-dia</t>
        </is>
      </c>
    </row>
    <row r="4195">
      <c r="A4195" t="inlineStr">
        <is>
          <t>PRAGMA</t>
        </is>
      </c>
      <c r="B4195" t="inlineStr">
        <is>
          <t>M1</t>
        </is>
      </c>
      <c r="C4195" t="inlineStr">
        <is>
          <t>Cali</t>
        </is>
      </c>
      <c r="D4195" t="inlineStr">
        <is>
          <t>7243</t>
        </is>
      </c>
      <c r="E4195" t="inlineStr">
        <is>
          <t>pagado</t>
        </is>
      </c>
      <c r="F4195" s="23" t="n">
        <v>46273</v>
      </c>
      <c r="G4195" s="24">
        <f>F4195-DATE(2026,8,31)</f>
        <v>8</v>
      </c>
      <c r="H4195" s="25" t="n">
        <v>74031020</v>
      </c>
      <c r="I4195" t="inlineStr">
        <is>
          <t>entidad-dia</t>
        </is>
      </c>
    </row>
    <row r="4196">
      <c r="A4196" t="inlineStr">
        <is>
          <t>PRAGMA</t>
        </is>
      </c>
      <c r="B4196" t="inlineStr">
        <is>
          <t>M1</t>
        </is>
      </c>
      <c r="C4196" t="inlineStr">
        <is>
          <t>Cali</t>
        </is>
      </c>
      <c r="D4196" t="inlineStr">
        <is>
          <t>7243</t>
        </is>
      </c>
      <c r="E4196" t="inlineStr">
        <is>
          <t>pagado</t>
        </is>
      </c>
      <c r="F4196" s="23" t="n">
        <v>46274</v>
      </c>
      <c r="G4196" s="24">
        <f>F4196-DATE(2026,8,31)</f>
        <v>9</v>
      </c>
      <c r="H4196" s="25" t="n">
        <v>67169098</v>
      </c>
      <c r="I4196" t="inlineStr">
        <is>
          <t>entidad-dia</t>
        </is>
      </c>
    </row>
    <row r="4197">
      <c r="A4197" t="inlineStr">
        <is>
          <t>PRAGMA</t>
        </is>
      </c>
      <c r="B4197" t="inlineStr">
        <is>
          <t>M1</t>
        </is>
      </c>
      <c r="C4197" t="inlineStr">
        <is>
          <t>Cali</t>
        </is>
      </c>
      <c r="D4197" t="inlineStr">
        <is>
          <t>7243</t>
        </is>
      </c>
      <c r="E4197" t="inlineStr">
        <is>
          <t>pagado</t>
        </is>
      </c>
      <c r="F4197" s="23" t="n">
        <v>46275</v>
      </c>
      <c r="G4197" s="24">
        <f>F4197-DATE(2026,8,31)</f>
        <v>10</v>
      </c>
      <c r="H4197" s="25" t="n">
        <v>67801095</v>
      </c>
      <c r="I4197" t="inlineStr">
        <is>
          <t>entidad-dia</t>
        </is>
      </c>
    </row>
    <row r="4198">
      <c r="A4198" t="inlineStr">
        <is>
          <t>PRAGMA</t>
        </is>
      </c>
      <c r="B4198" t="inlineStr">
        <is>
          <t>M1</t>
        </is>
      </c>
      <c r="C4198" t="inlineStr">
        <is>
          <t>Cali</t>
        </is>
      </c>
      <c r="D4198" t="inlineStr">
        <is>
          <t>7243</t>
        </is>
      </c>
      <c r="E4198" t="inlineStr">
        <is>
          <t>pagado</t>
        </is>
      </c>
      <c r="F4198" s="23" t="n">
        <v>46276</v>
      </c>
      <c r="G4198" s="24">
        <f>F4198-DATE(2026,8,31)</f>
        <v>11</v>
      </c>
      <c r="H4198" s="25" t="n">
        <v>76619411</v>
      </c>
      <c r="I4198" t="inlineStr">
        <is>
          <t>entidad-dia</t>
        </is>
      </c>
    </row>
    <row r="4199">
      <c r="A4199" t="inlineStr">
        <is>
          <t>PRAGMA</t>
        </is>
      </c>
      <c r="B4199" t="inlineStr">
        <is>
          <t>M1</t>
        </is>
      </c>
      <c r="C4199" t="inlineStr">
        <is>
          <t>Cali</t>
        </is>
      </c>
      <c r="D4199" t="inlineStr">
        <is>
          <t>7243</t>
        </is>
      </c>
      <c r="E4199" t="inlineStr">
        <is>
          <t>pagado</t>
        </is>
      </c>
      <c r="F4199" s="23" t="n">
        <v>46277</v>
      </c>
      <c r="G4199" s="24">
        <f>F4199-DATE(2026,8,31)</f>
        <v>12</v>
      </c>
      <c r="H4199" s="25" t="n">
        <v>82426171</v>
      </c>
      <c r="I4199" t="inlineStr">
        <is>
          <t>entidad-dia</t>
        </is>
      </c>
    </row>
    <row r="4200">
      <c r="A4200" t="inlineStr">
        <is>
          <t>PRAGMA</t>
        </is>
      </c>
      <c r="B4200" t="inlineStr">
        <is>
          <t>M1</t>
        </is>
      </c>
      <c r="C4200" t="inlineStr">
        <is>
          <t>Cali</t>
        </is>
      </c>
      <c r="D4200" t="inlineStr">
        <is>
          <t>7243</t>
        </is>
      </c>
      <c r="E4200" t="inlineStr">
        <is>
          <t>pagado</t>
        </is>
      </c>
      <c r="F4200" s="23" t="n">
        <v>46278</v>
      </c>
      <c r="G4200" s="24">
        <f>F4200-DATE(2026,8,31)</f>
        <v>13</v>
      </c>
      <c r="H4200" s="25" t="n">
        <v>52116408</v>
      </c>
      <c r="I4200" t="inlineStr">
        <is>
          <t>entidad-dia</t>
        </is>
      </c>
    </row>
    <row r="4201">
      <c r="A4201" t="inlineStr">
        <is>
          <t>PRAGMA</t>
        </is>
      </c>
      <c r="B4201" t="inlineStr">
        <is>
          <t>M1</t>
        </is>
      </c>
      <c r="C4201" t="inlineStr">
        <is>
          <t>Cali</t>
        </is>
      </c>
      <c r="D4201" t="inlineStr">
        <is>
          <t>7243</t>
        </is>
      </c>
      <c r="E4201" t="inlineStr">
        <is>
          <t>pagado</t>
        </is>
      </c>
      <c r="F4201" s="23" t="n">
        <v>46279</v>
      </c>
      <c r="G4201" s="24">
        <f>F4201-DATE(2026,8,31)</f>
        <v>14</v>
      </c>
      <c r="H4201" s="25" t="n">
        <v>78788045</v>
      </c>
      <c r="I4201" t="inlineStr">
        <is>
          <t>entidad-dia</t>
        </is>
      </c>
    </row>
    <row r="4202">
      <c r="A4202" t="inlineStr">
        <is>
          <t>PRAGMA</t>
        </is>
      </c>
      <c r="B4202" t="inlineStr">
        <is>
          <t>M1</t>
        </is>
      </c>
      <c r="C4202" t="inlineStr">
        <is>
          <t>Cali</t>
        </is>
      </c>
      <c r="D4202" t="inlineStr">
        <is>
          <t>7243</t>
        </is>
      </c>
      <c r="E4202" t="inlineStr">
        <is>
          <t>pagado</t>
        </is>
      </c>
      <c r="F4202" s="23" t="n">
        <v>46280</v>
      </c>
      <c r="G4202" s="24">
        <f>F4202-DATE(2026,8,31)</f>
        <v>15</v>
      </c>
      <c r="H4202" s="25" t="n">
        <v>133465291</v>
      </c>
      <c r="I4202" t="inlineStr">
        <is>
          <t>entidad-dia</t>
        </is>
      </c>
    </row>
    <row r="4203">
      <c r="A4203" t="inlineStr">
        <is>
          <t>PRAGMA</t>
        </is>
      </c>
      <c r="B4203" t="inlineStr">
        <is>
          <t>M1</t>
        </is>
      </c>
      <c r="C4203" t="inlineStr">
        <is>
          <t>Cali</t>
        </is>
      </c>
      <c r="D4203" t="inlineStr">
        <is>
          <t>7245</t>
        </is>
      </c>
      <c r="E4203" t="inlineStr">
        <is>
          <t>pagado</t>
        </is>
      </c>
      <c r="F4203" s="23" t="n">
        <v>46266</v>
      </c>
      <c r="G4203" s="24">
        <f>F4203-DATE(2026,8,31)</f>
        <v>1</v>
      </c>
      <c r="H4203" s="25" t="n">
        <v>141256709</v>
      </c>
      <c r="I4203" t="inlineStr">
        <is>
          <t>entidad-dia</t>
        </is>
      </c>
    </row>
    <row r="4204">
      <c r="A4204" t="inlineStr">
        <is>
          <t>PRAGMA</t>
        </is>
      </c>
      <c r="B4204" t="inlineStr">
        <is>
          <t>M1</t>
        </is>
      </c>
      <c r="C4204" t="inlineStr">
        <is>
          <t>Cali</t>
        </is>
      </c>
      <c r="D4204" t="inlineStr">
        <is>
          <t>7245</t>
        </is>
      </c>
      <c r="E4204" t="inlineStr">
        <is>
          <t>pagado</t>
        </is>
      </c>
      <c r="F4204" s="23" t="n">
        <v>46267</v>
      </c>
      <c r="G4204" s="24">
        <f>F4204-DATE(2026,8,31)</f>
        <v>2</v>
      </c>
      <c r="H4204" s="25" t="n">
        <v>93006657</v>
      </c>
      <c r="I4204" t="inlineStr">
        <is>
          <t>entidad-dia</t>
        </is>
      </c>
    </row>
    <row r="4205">
      <c r="A4205" t="inlineStr">
        <is>
          <t>PRAGMA</t>
        </is>
      </c>
      <c r="B4205" t="inlineStr">
        <is>
          <t>M1</t>
        </is>
      </c>
      <c r="C4205" t="inlineStr">
        <is>
          <t>Cali</t>
        </is>
      </c>
      <c r="D4205" t="inlineStr">
        <is>
          <t>7245</t>
        </is>
      </c>
      <c r="E4205" t="inlineStr">
        <is>
          <t>pagado</t>
        </is>
      </c>
      <c r="F4205" s="23" t="n">
        <v>46268</v>
      </c>
      <c r="G4205" s="24">
        <f>F4205-DATE(2026,8,31)</f>
        <v>3</v>
      </c>
      <c r="H4205" s="25" t="n">
        <v>86793666</v>
      </c>
      <c r="I4205" t="inlineStr">
        <is>
          <t>entidad-dia</t>
        </is>
      </c>
    </row>
    <row r="4206">
      <c r="A4206" t="inlineStr">
        <is>
          <t>PRAGMA</t>
        </is>
      </c>
      <c r="B4206" t="inlineStr">
        <is>
          <t>M1</t>
        </is>
      </c>
      <c r="C4206" t="inlineStr">
        <is>
          <t>Cali</t>
        </is>
      </c>
      <c r="D4206" t="inlineStr">
        <is>
          <t>7245</t>
        </is>
      </c>
      <c r="E4206" t="inlineStr">
        <is>
          <t>pagado</t>
        </is>
      </c>
      <c r="F4206" s="23" t="n">
        <v>46269</v>
      </c>
      <c r="G4206" s="24">
        <f>F4206-DATE(2026,8,31)</f>
        <v>4</v>
      </c>
      <c r="H4206" s="25" t="n">
        <v>90649913</v>
      </c>
      <c r="I4206" t="inlineStr">
        <is>
          <t>entidad-dia</t>
        </is>
      </c>
    </row>
    <row r="4207">
      <c r="A4207" t="inlineStr">
        <is>
          <t>PRAGMA</t>
        </is>
      </c>
      <c r="B4207" t="inlineStr">
        <is>
          <t>M1</t>
        </is>
      </c>
      <c r="C4207" t="inlineStr">
        <is>
          <t>Cali</t>
        </is>
      </c>
      <c r="D4207" t="inlineStr">
        <is>
          <t>7245</t>
        </is>
      </c>
      <c r="E4207" t="inlineStr">
        <is>
          <t>pagado</t>
        </is>
      </c>
      <c r="F4207" s="23" t="n">
        <v>46270</v>
      </c>
      <c r="G4207" s="24">
        <f>F4207-DATE(2026,8,31)</f>
        <v>5</v>
      </c>
      <c r="H4207" s="25" t="n">
        <v>88485517</v>
      </c>
      <c r="I4207" t="inlineStr">
        <is>
          <t>entidad-dia</t>
        </is>
      </c>
    </row>
    <row r="4208">
      <c r="A4208" t="inlineStr">
        <is>
          <t>PRAGMA</t>
        </is>
      </c>
      <c r="B4208" t="inlineStr">
        <is>
          <t>M1</t>
        </is>
      </c>
      <c r="C4208" t="inlineStr">
        <is>
          <t>Cali</t>
        </is>
      </c>
      <c r="D4208" t="inlineStr">
        <is>
          <t>7245</t>
        </is>
      </c>
      <c r="E4208" t="inlineStr">
        <is>
          <t>pagado</t>
        </is>
      </c>
      <c r="F4208" s="23" t="n">
        <v>46271</v>
      </c>
      <c r="G4208" s="24">
        <f>F4208-DATE(2026,8,31)</f>
        <v>6</v>
      </c>
      <c r="H4208" s="25" t="n">
        <v>28459066</v>
      </c>
      <c r="I4208" t="inlineStr">
        <is>
          <t>entidad-dia</t>
        </is>
      </c>
    </row>
    <row r="4209">
      <c r="A4209" t="inlineStr">
        <is>
          <t>PRAGMA</t>
        </is>
      </c>
      <c r="B4209" t="inlineStr">
        <is>
          <t>M1</t>
        </is>
      </c>
      <c r="C4209" t="inlineStr">
        <is>
          <t>Cali</t>
        </is>
      </c>
      <c r="D4209" t="inlineStr">
        <is>
          <t>7245</t>
        </is>
      </c>
      <c r="E4209" t="inlineStr">
        <is>
          <t>pagado</t>
        </is>
      </c>
      <c r="F4209" s="23" t="n">
        <v>46272</v>
      </c>
      <c r="G4209" s="24">
        <f>F4209-DATE(2026,8,31)</f>
        <v>7</v>
      </c>
      <c r="H4209" s="25" t="n">
        <v>78875418</v>
      </c>
      <c r="I4209" t="inlineStr">
        <is>
          <t>entidad-dia</t>
        </is>
      </c>
    </row>
    <row r="4210">
      <c r="A4210" t="inlineStr">
        <is>
          <t>PRAGMA</t>
        </is>
      </c>
      <c r="B4210" t="inlineStr">
        <is>
          <t>M1</t>
        </is>
      </c>
      <c r="C4210" t="inlineStr">
        <is>
          <t>Cali</t>
        </is>
      </c>
      <c r="D4210" t="inlineStr">
        <is>
          <t>7245</t>
        </is>
      </c>
      <c r="E4210" t="inlineStr">
        <is>
          <t>pagado</t>
        </is>
      </c>
      <c r="F4210" s="23" t="n">
        <v>46273</v>
      </c>
      <c r="G4210" s="24">
        <f>F4210-DATE(2026,8,31)</f>
        <v>8</v>
      </c>
      <c r="H4210" s="25" t="n">
        <v>77676070</v>
      </c>
      <c r="I4210" t="inlineStr">
        <is>
          <t>entidad-dia</t>
        </is>
      </c>
    </row>
    <row r="4211">
      <c r="A4211" t="inlineStr">
        <is>
          <t>PRAGMA</t>
        </is>
      </c>
      <c r="B4211" t="inlineStr">
        <is>
          <t>M1</t>
        </is>
      </c>
      <c r="C4211" t="inlineStr">
        <is>
          <t>Cali</t>
        </is>
      </c>
      <c r="D4211" t="inlineStr">
        <is>
          <t>7245</t>
        </is>
      </c>
      <c r="E4211" t="inlineStr">
        <is>
          <t>pagado</t>
        </is>
      </c>
      <c r="F4211" s="23" t="n">
        <v>46274</v>
      </c>
      <c r="G4211" s="24">
        <f>F4211-DATE(2026,8,31)</f>
        <v>9</v>
      </c>
      <c r="H4211" s="25" t="n">
        <v>81677188</v>
      </c>
      <c r="I4211" t="inlineStr">
        <is>
          <t>entidad-dia</t>
        </is>
      </c>
    </row>
    <row r="4212">
      <c r="A4212" t="inlineStr">
        <is>
          <t>PRAGMA</t>
        </is>
      </c>
      <c r="B4212" t="inlineStr">
        <is>
          <t>M1</t>
        </is>
      </c>
      <c r="C4212" t="inlineStr">
        <is>
          <t>Cali</t>
        </is>
      </c>
      <c r="D4212" t="inlineStr">
        <is>
          <t>7245</t>
        </is>
      </c>
      <c r="E4212" t="inlineStr">
        <is>
          <t>pagado</t>
        </is>
      </c>
      <c r="F4212" s="23" t="n">
        <v>46275</v>
      </c>
      <c r="G4212" s="24">
        <f>F4212-DATE(2026,8,31)</f>
        <v>10</v>
      </c>
      <c r="H4212" s="25" t="n">
        <v>61510779</v>
      </c>
      <c r="I4212" t="inlineStr">
        <is>
          <t>entidad-dia</t>
        </is>
      </c>
    </row>
    <row r="4213">
      <c r="A4213" t="inlineStr">
        <is>
          <t>PRAGMA</t>
        </is>
      </c>
      <c r="B4213" t="inlineStr">
        <is>
          <t>M1</t>
        </is>
      </c>
      <c r="C4213" t="inlineStr">
        <is>
          <t>Cali</t>
        </is>
      </c>
      <c r="D4213" t="inlineStr">
        <is>
          <t>7245</t>
        </is>
      </c>
      <c r="E4213" t="inlineStr">
        <is>
          <t>pagado</t>
        </is>
      </c>
      <c r="F4213" s="23" t="n">
        <v>46276</v>
      </c>
      <c r="G4213" s="24">
        <f>F4213-DATE(2026,8,31)</f>
        <v>11</v>
      </c>
      <c r="H4213" s="25" t="n">
        <v>61604463</v>
      </c>
      <c r="I4213" t="inlineStr">
        <is>
          <t>entidad-dia</t>
        </is>
      </c>
    </row>
    <row r="4214">
      <c r="A4214" t="inlineStr">
        <is>
          <t>PRAGMA</t>
        </is>
      </c>
      <c r="B4214" t="inlineStr">
        <is>
          <t>M1</t>
        </is>
      </c>
      <c r="C4214" t="inlineStr">
        <is>
          <t>Cali</t>
        </is>
      </c>
      <c r="D4214" t="inlineStr">
        <is>
          <t>7245</t>
        </is>
      </c>
      <c r="E4214" t="inlineStr">
        <is>
          <t>pagado</t>
        </is>
      </c>
      <c r="F4214" s="23" t="n">
        <v>46277</v>
      </c>
      <c r="G4214" s="24">
        <f>F4214-DATE(2026,8,31)</f>
        <v>12</v>
      </c>
      <c r="H4214" s="25" t="n">
        <v>73796704</v>
      </c>
      <c r="I4214" t="inlineStr">
        <is>
          <t>entidad-dia</t>
        </is>
      </c>
    </row>
    <row r="4215">
      <c r="A4215" t="inlineStr">
        <is>
          <t>PRAGMA</t>
        </is>
      </c>
      <c r="B4215" t="inlineStr">
        <is>
          <t>M1</t>
        </is>
      </c>
      <c r="C4215" t="inlineStr">
        <is>
          <t>Cali</t>
        </is>
      </c>
      <c r="D4215" t="inlineStr">
        <is>
          <t>7245</t>
        </is>
      </c>
      <c r="E4215" t="inlineStr">
        <is>
          <t>pagado</t>
        </is>
      </c>
      <c r="F4215" s="23" t="n">
        <v>46278</v>
      </c>
      <c r="G4215" s="24">
        <f>F4215-DATE(2026,8,31)</f>
        <v>13</v>
      </c>
      <c r="H4215" s="25" t="n">
        <v>18188241</v>
      </c>
      <c r="I4215" t="inlineStr">
        <is>
          <t>entidad-dia</t>
        </is>
      </c>
    </row>
    <row r="4216">
      <c r="A4216" t="inlineStr">
        <is>
          <t>PRAGMA</t>
        </is>
      </c>
      <c r="B4216" t="inlineStr">
        <is>
          <t>M1</t>
        </is>
      </c>
      <c r="C4216" t="inlineStr">
        <is>
          <t>Cali</t>
        </is>
      </c>
      <c r="D4216" t="inlineStr">
        <is>
          <t>7245</t>
        </is>
      </c>
      <c r="E4216" t="inlineStr">
        <is>
          <t>pagado</t>
        </is>
      </c>
      <c r="F4216" s="23" t="n">
        <v>46279</v>
      </c>
      <c r="G4216" s="24">
        <f>F4216-DATE(2026,8,31)</f>
        <v>14</v>
      </c>
      <c r="H4216" s="25" t="n">
        <v>68216691</v>
      </c>
      <c r="I4216" t="inlineStr">
        <is>
          <t>entidad-dia</t>
        </is>
      </c>
    </row>
    <row r="4217">
      <c r="A4217" t="inlineStr">
        <is>
          <t>PRAGMA</t>
        </is>
      </c>
      <c r="B4217" t="inlineStr">
        <is>
          <t>M1</t>
        </is>
      </c>
      <c r="C4217" t="inlineStr">
        <is>
          <t>Cali</t>
        </is>
      </c>
      <c r="D4217" t="inlineStr">
        <is>
          <t>7245</t>
        </is>
      </c>
      <c r="E4217" t="inlineStr">
        <is>
          <t>pagado</t>
        </is>
      </c>
      <c r="F4217" s="23" t="n">
        <v>46280</v>
      </c>
      <c r="G4217" s="24">
        <f>F4217-DATE(2026,8,31)</f>
        <v>15</v>
      </c>
      <c r="H4217" s="25" t="n">
        <v>118186038</v>
      </c>
      <c r="I4217" t="inlineStr">
        <is>
          <t>entidad-dia</t>
        </is>
      </c>
    </row>
    <row r="4218">
      <c r="A4218" t="inlineStr">
        <is>
          <t>PRAGMA</t>
        </is>
      </c>
      <c r="B4218" t="inlineStr">
        <is>
          <t>M1</t>
        </is>
      </c>
      <c r="C4218" t="inlineStr">
        <is>
          <t>Cali</t>
        </is>
      </c>
      <c r="D4218" t="inlineStr">
        <is>
          <t>7354</t>
        </is>
      </c>
      <c r="E4218" t="inlineStr">
        <is>
          <t>pagado</t>
        </is>
      </c>
      <c r="F4218" s="23" t="n">
        <v>46266</v>
      </c>
      <c r="G4218" s="24">
        <f>F4218-DATE(2026,8,31)</f>
        <v>1</v>
      </c>
      <c r="H4218" s="25" t="n">
        <v>114924116</v>
      </c>
      <c r="I4218" t="inlineStr">
        <is>
          <t>entidad-dia</t>
        </is>
      </c>
    </row>
    <row r="4219">
      <c r="A4219" t="inlineStr">
        <is>
          <t>PRAGMA</t>
        </is>
      </c>
      <c r="B4219" t="inlineStr">
        <is>
          <t>M1</t>
        </is>
      </c>
      <c r="C4219" t="inlineStr">
        <is>
          <t>Cali</t>
        </is>
      </c>
      <c r="D4219" t="inlineStr">
        <is>
          <t>7354</t>
        </is>
      </c>
      <c r="E4219" t="inlineStr">
        <is>
          <t>pagado</t>
        </is>
      </c>
      <c r="F4219" s="23" t="n">
        <v>46267</v>
      </c>
      <c r="G4219" s="24">
        <f>F4219-DATE(2026,8,31)</f>
        <v>2</v>
      </c>
      <c r="H4219" s="25" t="n">
        <v>93390644</v>
      </c>
      <c r="I4219" t="inlineStr">
        <is>
          <t>entidad-dia</t>
        </is>
      </c>
    </row>
    <row r="4220">
      <c r="A4220" t="inlineStr">
        <is>
          <t>PRAGMA</t>
        </is>
      </c>
      <c r="B4220" t="inlineStr">
        <is>
          <t>M1</t>
        </is>
      </c>
      <c r="C4220" t="inlineStr">
        <is>
          <t>Cali</t>
        </is>
      </c>
      <c r="D4220" t="inlineStr">
        <is>
          <t>7354</t>
        </is>
      </c>
      <c r="E4220" t="inlineStr">
        <is>
          <t>pagado</t>
        </is>
      </c>
      <c r="F4220" s="23" t="n">
        <v>46268</v>
      </c>
      <c r="G4220" s="24">
        <f>F4220-DATE(2026,8,31)</f>
        <v>3</v>
      </c>
      <c r="H4220" s="25" t="n">
        <v>87207888</v>
      </c>
      <c r="I4220" t="inlineStr">
        <is>
          <t>entidad-dia</t>
        </is>
      </c>
    </row>
    <row r="4221">
      <c r="A4221" t="inlineStr">
        <is>
          <t>PRAGMA</t>
        </is>
      </c>
      <c r="B4221" t="inlineStr">
        <is>
          <t>M1</t>
        </is>
      </c>
      <c r="C4221" t="inlineStr">
        <is>
          <t>Cali</t>
        </is>
      </c>
      <c r="D4221" t="inlineStr">
        <is>
          <t>7354</t>
        </is>
      </c>
      <c r="E4221" t="inlineStr">
        <is>
          <t>pagado</t>
        </is>
      </c>
      <c r="F4221" s="23" t="n">
        <v>46269</v>
      </c>
      <c r="G4221" s="24">
        <f>F4221-DATE(2026,8,31)</f>
        <v>4</v>
      </c>
      <c r="H4221" s="25" t="n">
        <v>95666154</v>
      </c>
      <c r="I4221" t="inlineStr">
        <is>
          <t>entidad-dia</t>
        </is>
      </c>
    </row>
    <row r="4222">
      <c r="A4222" t="inlineStr">
        <is>
          <t>PRAGMA</t>
        </is>
      </c>
      <c r="B4222" t="inlineStr">
        <is>
          <t>M1</t>
        </is>
      </c>
      <c r="C4222" t="inlineStr">
        <is>
          <t>Cali</t>
        </is>
      </c>
      <c r="D4222" t="inlineStr">
        <is>
          <t>7354</t>
        </is>
      </c>
      <c r="E4222" t="inlineStr">
        <is>
          <t>pagado</t>
        </is>
      </c>
      <c r="F4222" s="23" t="n">
        <v>46270</v>
      </c>
      <c r="G4222" s="24">
        <f>F4222-DATE(2026,8,31)</f>
        <v>5</v>
      </c>
      <c r="H4222" s="25" t="n">
        <v>87582026</v>
      </c>
      <c r="I4222" t="inlineStr">
        <is>
          <t>entidad-dia</t>
        </is>
      </c>
    </row>
    <row r="4223">
      <c r="A4223" t="inlineStr">
        <is>
          <t>PRAGMA</t>
        </is>
      </c>
      <c r="B4223" t="inlineStr">
        <is>
          <t>M1</t>
        </is>
      </c>
      <c r="C4223" t="inlineStr">
        <is>
          <t>Cali</t>
        </is>
      </c>
      <c r="D4223" t="inlineStr">
        <is>
          <t>7354</t>
        </is>
      </c>
      <c r="E4223" t="inlineStr">
        <is>
          <t>pagado</t>
        </is>
      </c>
      <c r="F4223" s="23" t="n">
        <v>46271</v>
      </c>
      <c r="G4223" s="24">
        <f>F4223-DATE(2026,8,31)</f>
        <v>6</v>
      </c>
      <c r="H4223" s="25" t="n">
        <v>35630941</v>
      </c>
      <c r="I4223" t="inlineStr">
        <is>
          <t>entidad-dia</t>
        </is>
      </c>
    </row>
    <row r="4224">
      <c r="A4224" t="inlineStr">
        <is>
          <t>PRAGMA</t>
        </is>
      </c>
      <c r="B4224" t="inlineStr">
        <is>
          <t>M1</t>
        </is>
      </c>
      <c r="C4224" t="inlineStr">
        <is>
          <t>Cali</t>
        </is>
      </c>
      <c r="D4224" t="inlineStr">
        <is>
          <t>7354</t>
        </is>
      </c>
      <c r="E4224" t="inlineStr">
        <is>
          <t>pagado</t>
        </is>
      </c>
      <c r="F4224" s="23" t="n">
        <v>46272</v>
      </c>
      <c r="G4224" s="24">
        <f>F4224-DATE(2026,8,31)</f>
        <v>7</v>
      </c>
      <c r="H4224" s="25" t="n">
        <v>67173982</v>
      </c>
      <c r="I4224" t="inlineStr">
        <is>
          <t>entidad-dia</t>
        </is>
      </c>
    </row>
    <row r="4225">
      <c r="A4225" t="inlineStr">
        <is>
          <t>PRAGMA</t>
        </is>
      </c>
      <c r="B4225" t="inlineStr">
        <is>
          <t>M1</t>
        </is>
      </c>
      <c r="C4225" t="inlineStr">
        <is>
          <t>Cali</t>
        </is>
      </c>
      <c r="D4225" t="inlineStr">
        <is>
          <t>7354</t>
        </is>
      </c>
      <c r="E4225" t="inlineStr">
        <is>
          <t>pagado</t>
        </is>
      </c>
      <c r="F4225" s="23" t="n">
        <v>46273</v>
      </c>
      <c r="G4225" s="24">
        <f>F4225-DATE(2026,8,31)</f>
        <v>8</v>
      </c>
      <c r="H4225" s="25" t="n">
        <v>60159409</v>
      </c>
      <c r="I4225" t="inlineStr">
        <is>
          <t>entidad-dia</t>
        </is>
      </c>
    </row>
    <row r="4226">
      <c r="A4226" t="inlineStr">
        <is>
          <t>PRAGMA</t>
        </is>
      </c>
      <c r="B4226" t="inlineStr">
        <is>
          <t>M1</t>
        </is>
      </c>
      <c r="C4226" t="inlineStr">
        <is>
          <t>Cali</t>
        </is>
      </c>
      <c r="D4226" t="inlineStr">
        <is>
          <t>7354</t>
        </is>
      </c>
      <c r="E4226" t="inlineStr">
        <is>
          <t>pagado</t>
        </is>
      </c>
      <c r="F4226" s="23" t="n">
        <v>46274</v>
      </c>
      <c r="G4226" s="24">
        <f>F4226-DATE(2026,8,31)</f>
        <v>9</v>
      </c>
      <c r="H4226" s="25" t="n">
        <v>66819573</v>
      </c>
      <c r="I4226" t="inlineStr">
        <is>
          <t>entidad-dia</t>
        </is>
      </c>
    </row>
    <row r="4227">
      <c r="A4227" t="inlineStr">
        <is>
          <t>PRAGMA</t>
        </is>
      </c>
      <c r="B4227" t="inlineStr">
        <is>
          <t>M1</t>
        </is>
      </c>
      <c r="C4227" t="inlineStr">
        <is>
          <t>Cali</t>
        </is>
      </c>
      <c r="D4227" t="inlineStr">
        <is>
          <t>7354</t>
        </is>
      </c>
      <c r="E4227" t="inlineStr">
        <is>
          <t>pagado</t>
        </is>
      </c>
      <c r="F4227" s="23" t="n">
        <v>46275</v>
      </c>
      <c r="G4227" s="24">
        <f>F4227-DATE(2026,8,31)</f>
        <v>10</v>
      </c>
      <c r="H4227" s="25" t="n">
        <v>57099149</v>
      </c>
      <c r="I4227" t="inlineStr">
        <is>
          <t>entidad-dia</t>
        </is>
      </c>
    </row>
    <row r="4228">
      <c r="A4228" t="inlineStr">
        <is>
          <t>PRAGMA</t>
        </is>
      </c>
      <c r="B4228" t="inlineStr">
        <is>
          <t>M1</t>
        </is>
      </c>
      <c r="C4228" t="inlineStr">
        <is>
          <t>Cali</t>
        </is>
      </c>
      <c r="D4228" t="inlineStr">
        <is>
          <t>7354</t>
        </is>
      </c>
      <c r="E4228" t="inlineStr">
        <is>
          <t>pagado</t>
        </is>
      </c>
      <c r="F4228" s="23" t="n">
        <v>46276</v>
      </c>
      <c r="G4228" s="24">
        <f>F4228-DATE(2026,8,31)</f>
        <v>11</v>
      </c>
      <c r="H4228" s="25" t="n">
        <v>65281862</v>
      </c>
      <c r="I4228" t="inlineStr">
        <is>
          <t>entidad-dia</t>
        </is>
      </c>
    </row>
    <row r="4229">
      <c r="A4229" t="inlineStr">
        <is>
          <t>PRAGMA</t>
        </is>
      </c>
      <c r="B4229" t="inlineStr">
        <is>
          <t>M1</t>
        </is>
      </c>
      <c r="C4229" t="inlineStr">
        <is>
          <t>Cali</t>
        </is>
      </c>
      <c r="D4229" t="inlineStr">
        <is>
          <t>7354</t>
        </is>
      </c>
      <c r="E4229" t="inlineStr">
        <is>
          <t>pagado</t>
        </is>
      </c>
      <c r="F4229" s="23" t="n">
        <v>46277</v>
      </c>
      <c r="G4229" s="24">
        <f>F4229-DATE(2026,8,31)</f>
        <v>12</v>
      </c>
      <c r="H4229" s="25" t="n">
        <v>64139892</v>
      </c>
      <c r="I4229" t="inlineStr">
        <is>
          <t>entidad-dia</t>
        </is>
      </c>
    </row>
    <row r="4230">
      <c r="A4230" t="inlineStr">
        <is>
          <t>PRAGMA</t>
        </is>
      </c>
      <c r="B4230" t="inlineStr">
        <is>
          <t>M1</t>
        </is>
      </c>
      <c r="C4230" t="inlineStr">
        <is>
          <t>Cali</t>
        </is>
      </c>
      <c r="D4230" t="inlineStr">
        <is>
          <t>7354</t>
        </is>
      </c>
      <c r="E4230" t="inlineStr">
        <is>
          <t>pagado</t>
        </is>
      </c>
      <c r="F4230" s="23" t="n">
        <v>46278</v>
      </c>
      <c r="G4230" s="24">
        <f>F4230-DATE(2026,8,31)</f>
        <v>13</v>
      </c>
      <c r="H4230" s="25" t="n">
        <v>28374599</v>
      </c>
      <c r="I4230" t="inlineStr">
        <is>
          <t>entidad-dia</t>
        </is>
      </c>
    </row>
    <row r="4231">
      <c r="A4231" t="inlineStr">
        <is>
          <t>PRAGMA</t>
        </is>
      </c>
      <c r="B4231" t="inlineStr">
        <is>
          <t>M1</t>
        </is>
      </c>
      <c r="C4231" t="inlineStr">
        <is>
          <t>Cali</t>
        </is>
      </c>
      <c r="D4231" t="inlineStr">
        <is>
          <t>7354</t>
        </is>
      </c>
      <c r="E4231" t="inlineStr">
        <is>
          <t>pagado</t>
        </is>
      </c>
      <c r="F4231" s="23" t="n">
        <v>46279</v>
      </c>
      <c r="G4231" s="24">
        <f>F4231-DATE(2026,8,31)</f>
        <v>14</v>
      </c>
      <c r="H4231" s="25" t="n">
        <v>62952427</v>
      </c>
      <c r="I4231" t="inlineStr">
        <is>
          <t>entidad-dia</t>
        </is>
      </c>
    </row>
    <row r="4232">
      <c r="A4232" t="inlineStr">
        <is>
          <t>PRAGMA</t>
        </is>
      </c>
      <c r="B4232" t="inlineStr">
        <is>
          <t>M1</t>
        </is>
      </c>
      <c r="C4232" t="inlineStr">
        <is>
          <t>Cali</t>
        </is>
      </c>
      <c r="D4232" t="inlineStr">
        <is>
          <t>7354</t>
        </is>
      </c>
      <c r="E4232" t="inlineStr">
        <is>
          <t>pagado</t>
        </is>
      </c>
      <c r="F4232" s="23" t="n">
        <v>46280</v>
      </c>
      <c r="G4232" s="24">
        <f>F4232-DATE(2026,8,31)</f>
        <v>15</v>
      </c>
      <c r="H4232" s="25" t="n">
        <v>88036665</v>
      </c>
      <c r="I4232" t="inlineStr">
        <is>
          <t>entidad-dia</t>
        </is>
      </c>
    </row>
    <row r="4233">
      <c r="A4233" t="inlineStr">
        <is>
          <t>PRAGMA</t>
        </is>
      </c>
      <c r="B4233" t="inlineStr">
        <is>
          <t>M1</t>
        </is>
      </c>
      <c r="C4233" t="inlineStr">
        <is>
          <t>Cali</t>
        </is>
      </c>
      <c r="D4233" t="inlineStr">
        <is>
          <t>7355</t>
        </is>
      </c>
      <c r="E4233" t="inlineStr">
        <is>
          <t>pagado</t>
        </is>
      </c>
      <c r="F4233" s="23" t="n">
        <v>46266</v>
      </c>
      <c r="G4233" s="24">
        <f>F4233-DATE(2026,8,31)</f>
        <v>1</v>
      </c>
      <c r="H4233" s="25" t="n">
        <v>80222326</v>
      </c>
      <c r="I4233" t="inlineStr">
        <is>
          <t>entidad-dia</t>
        </is>
      </c>
    </row>
    <row r="4234">
      <c r="A4234" t="inlineStr">
        <is>
          <t>PRAGMA</t>
        </is>
      </c>
      <c r="B4234" t="inlineStr">
        <is>
          <t>M1</t>
        </is>
      </c>
      <c r="C4234" t="inlineStr">
        <is>
          <t>Cali</t>
        </is>
      </c>
      <c r="D4234" t="inlineStr">
        <is>
          <t>7355</t>
        </is>
      </c>
      <c r="E4234" t="inlineStr">
        <is>
          <t>pagado</t>
        </is>
      </c>
      <c r="F4234" s="23" t="n">
        <v>46267</v>
      </c>
      <c r="G4234" s="24">
        <f>F4234-DATE(2026,8,31)</f>
        <v>2</v>
      </c>
      <c r="H4234" s="25" t="n">
        <v>59459078</v>
      </c>
      <c r="I4234" t="inlineStr">
        <is>
          <t>entidad-dia</t>
        </is>
      </c>
    </row>
    <row r="4235">
      <c r="A4235" t="inlineStr">
        <is>
          <t>PRAGMA</t>
        </is>
      </c>
      <c r="B4235" t="inlineStr">
        <is>
          <t>M1</t>
        </is>
      </c>
      <c r="C4235" t="inlineStr">
        <is>
          <t>Cali</t>
        </is>
      </c>
      <c r="D4235" t="inlineStr">
        <is>
          <t>7355</t>
        </is>
      </c>
      <c r="E4235" t="inlineStr">
        <is>
          <t>pagado</t>
        </is>
      </c>
      <c r="F4235" s="23" t="n">
        <v>46268</v>
      </c>
      <c r="G4235" s="24">
        <f>F4235-DATE(2026,8,31)</f>
        <v>3</v>
      </c>
      <c r="H4235" s="25" t="n">
        <v>52225893</v>
      </c>
      <c r="I4235" t="inlineStr">
        <is>
          <t>entidad-dia</t>
        </is>
      </c>
    </row>
    <row r="4236">
      <c r="A4236" t="inlineStr">
        <is>
          <t>PRAGMA</t>
        </is>
      </c>
      <c r="B4236" t="inlineStr">
        <is>
          <t>M1</t>
        </is>
      </c>
      <c r="C4236" t="inlineStr">
        <is>
          <t>Cali</t>
        </is>
      </c>
      <c r="D4236" t="inlineStr">
        <is>
          <t>7355</t>
        </is>
      </c>
      <c r="E4236" t="inlineStr">
        <is>
          <t>pagado</t>
        </is>
      </c>
      <c r="F4236" s="23" t="n">
        <v>46269</v>
      </c>
      <c r="G4236" s="24">
        <f>F4236-DATE(2026,8,31)</f>
        <v>4</v>
      </c>
      <c r="H4236" s="25" t="n">
        <v>53851577</v>
      </c>
      <c r="I4236" t="inlineStr">
        <is>
          <t>entidad-dia</t>
        </is>
      </c>
    </row>
    <row r="4237">
      <c r="A4237" t="inlineStr">
        <is>
          <t>PRAGMA</t>
        </is>
      </c>
      <c r="B4237" t="inlineStr">
        <is>
          <t>M1</t>
        </is>
      </c>
      <c r="C4237" t="inlineStr">
        <is>
          <t>Cali</t>
        </is>
      </c>
      <c r="D4237" t="inlineStr">
        <is>
          <t>7355</t>
        </is>
      </c>
      <c r="E4237" t="inlineStr">
        <is>
          <t>pagado</t>
        </is>
      </c>
      <c r="F4237" s="23" t="n">
        <v>46270</v>
      </c>
      <c r="G4237" s="24">
        <f>F4237-DATE(2026,8,31)</f>
        <v>5</v>
      </c>
      <c r="H4237" s="25" t="n">
        <v>41377908</v>
      </c>
      <c r="I4237" t="inlineStr">
        <is>
          <t>entidad-dia</t>
        </is>
      </c>
    </row>
    <row r="4238">
      <c r="A4238" t="inlineStr">
        <is>
          <t>PRAGMA</t>
        </is>
      </c>
      <c r="B4238" t="inlineStr">
        <is>
          <t>M1</t>
        </is>
      </c>
      <c r="C4238" t="inlineStr">
        <is>
          <t>Cali</t>
        </is>
      </c>
      <c r="D4238" t="inlineStr">
        <is>
          <t>7355</t>
        </is>
      </c>
      <c r="E4238" t="inlineStr">
        <is>
          <t>pagado</t>
        </is>
      </c>
      <c r="F4238" s="23" t="n">
        <v>46271</v>
      </c>
      <c r="G4238" s="24">
        <f>F4238-DATE(2026,8,31)</f>
        <v>6</v>
      </c>
      <c r="H4238" s="25" t="n">
        <v>10099984</v>
      </c>
      <c r="I4238" t="inlineStr">
        <is>
          <t>entidad-dia</t>
        </is>
      </c>
    </row>
    <row r="4239">
      <c r="A4239" t="inlineStr">
        <is>
          <t>PRAGMA</t>
        </is>
      </c>
      <c r="B4239" t="inlineStr">
        <is>
          <t>M1</t>
        </is>
      </c>
      <c r="C4239" t="inlineStr">
        <is>
          <t>Cali</t>
        </is>
      </c>
      <c r="D4239" t="inlineStr">
        <is>
          <t>7355</t>
        </is>
      </c>
      <c r="E4239" t="inlineStr">
        <is>
          <t>pagado</t>
        </is>
      </c>
      <c r="F4239" s="23" t="n">
        <v>46272</v>
      </c>
      <c r="G4239" s="24">
        <f>F4239-DATE(2026,8,31)</f>
        <v>7</v>
      </c>
      <c r="H4239" s="25" t="n">
        <v>35359882</v>
      </c>
      <c r="I4239" t="inlineStr">
        <is>
          <t>entidad-dia</t>
        </is>
      </c>
    </row>
    <row r="4240">
      <c r="A4240" t="inlineStr">
        <is>
          <t>PRAGMA</t>
        </is>
      </c>
      <c r="B4240" t="inlineStr">
        <is>
          <t>M1</t>
        </is>
      </c>
      <c r="C4240" t="inlineStr">
        <is>
          <t>Cali</t>
        </is>
      </c>
      <c r="D4240" t="inlineStr">
        <is>
          <t>7355</t>
        </is>
      </c>
      <c r="E4240" t="inlineStr">
        <is>
          <t>pagado</t>
        </is>
      </c>
      <c r="F4240" s="23" t="n">
        <v>46273</v>
      </c>
      <c r="G4240" s="24">
        <f>F4240-DATE(2026,8,31)</f>
        <v>8</v>
      </c>
      <c r="H4240" s="25" t="n">
        <v>32527688</v>
      </c>
      <c r="I4240" t="inlineStr">
        <is>
          <t>entidad-dia</t>
        </is>
      </c>
    </row>
    <row r="4241">
      <c r="A4241" t="inlineStr">
        <is>
          <t>PRAGMA</t>
        </is>
      </c>
      <c r="B4241" t="inlineStr">
        <is>
          <t>M1</t>
        </is>
      </c>
      <c r="C4241" t="inlineStr">
        <is>
          <t>Cali</t>
        </is>
      </c>
      <c r="D4241" t="inlineStr">
        <is>
          <t>7355</t>
        </is>
      </c>
      <c r="E4241" t="inlineStr">
        <is>
          <t>pagado</t>
        </is>
      </c>
      <c r="F4241" s="23" t="n">
        <v>46274</v>
      </c>
      <c r="G4241" s="24">
        <f>F4241-DATE(2026,8,31)</f>
        <v>9</v>
      </c>
      <c r="H4241" s="25" t="n">
        <v>33685677</v>
      </c>
      <c r="I4241" t="inlineStr">
        <is>
          <t>entidad-dia</t>
        </is>
      </c>
    </row>
    <row r="4242">
      <c r="A4242" t="inlineStr">
        <is>
          <t>PRAGMA</t>
        </is>
      </c>
      <c r="B4242" t="inlineStr">
        <is>
          <t>M1</t>
        </is>
      </c>
      <c r="C4242" t="inlineStr">
        <is>
          <t>Cali</t>
        </is>
      </c>
      <c r="D4242" t="inlineStr">
        <is>
          <t>7355</t>
        </is>
      </c>
      <c r="E4242" t="inlineStr">
        <is>
          <t>pagado</t>
        </is>
      </c>
      <c r="F4242" s="23" t="n">
        <v>46275</v>
      </c>
      <c r="G4242" s="24">
        <f>F4242-DATE(2026,8,31)</f>
        <v>10</v>
      </c>
      <c r="H4242" s="25" t="n">
        <v>26807033</v>
      </c>
      <c r="I4242" t="inlineStr">
        <is>
          <t>entidad-dia</t>
        </is>
      </c>
    </row>
    <row r="4243">
      <c r="A4243" t="inlineStr">
        <is>
          <t>PRAGMA</t>
        </is>
      </c>
      <c r="B4243" t="inlineStr">
        <is>
          <t>M1</t>
        </is>
      </c>
      <c r="C4243" t="inlineStr">
        <is>
          <t>Cali</t>
        </is>
      </c>
      <c r="D4243" t="inlineStr">
        <is>
          <t>7355</t>
        </is>
      </c>
      <c r="E4243" t="inlineStr">
        <is>
          <t>pagado</t>
        </is>
      </c>
      <c r="F4243" s="23" t="n">
        <v>46276</v>
      </c>
      <c r="G4243" s="24">
        <f>F4243-DATE(2026,8,31)</f>
        <v>11</v>
      </c>
      <c r="H4243" s="25" t="n">
        <v>30677662</v>
      </c>
      <c r="I4243" t="inlineStr">
        <is>
          <t>entidad-dia</t>
        </is>
      </c>
    </row>
    <row r="4244">
      <c r="A4244" t="inlineStr">
        <is>
          <t>PRAGMA</t>
        </is>
      </c>
      <c r="B4244" t="inlineStr">
        <is>
          <t>M1</t>
        </is>
      </c>
      <c r="C4244" t="inlineStr">
        <is>
          <t>Cali</t>
        </is>
      </c>
      <c r="D4244" t="inlineStr">
        <is>
          <t>7355</t>
        </is>
      </c>
      <c r="E4244" t="inlineStr">
        <is>
          <t>pagado</t>
        </is>
      </c>
      <c r="F4244" s="23" t="n">
        <v>46277</v>
      </c>
      <c r="G4244" s="24">
        <f>F4244-DATE(2026,8,31)</f>
        <v>12</v>
      </c>
      <c r="H4244" s="25" t="n">
        <v>29825224</v>
      </c>
      <c r="I4244" t="inlineStr">
        <is>
          <t>entidad-dia</t>
        </is>
      </c>
    </row>
    <row r="4245">
      <c r="A4245" t="inlineStr">
        <is>
          <t>PRAGMA</t>
        </is>
      </c>
      <c r="B4245" t="inlineStr">
        <is>
          <t>M1</t>
        </is>
      </c>
      <c r="C4245" t="inlineStr">
        <is>
          <t>Cali</t>
        </is>
      </c>
      <c r="D4245" t="inlineStr">
        <is>
          <t>7355</t>
        </is>
      </c>
      <c r="E4245" t="inlineStr">
        <is>
          <t>pagado</t>
        </is>
      </c>
      <c r="F4245" s="23" t="n">
        <v>46278</v>
      </c>
      <c r="G4245" s="24">
        <f>F4245-DATE(2026,8,31)</f>
        <v>13</v>
      </c>
      <c r="H4245" s="25" t="n">
        <v>8204093</v>
      </c>
      <c r="I4245" t="inlineStr">
        <is>
          <t>entidad-dia</t>
        </is>
      </c>
    </row>
    <row r="4246">
      <c r="A4246" t="inlineStr">
        <is>
          <t>PRAGMA</t>
        </is>
      </c>
      <c r="B4246" t="inlineStr">
        <is>
          <t>M1</t>
        </is>
      </c>
      <c r="C4246" t="inlineStr">
        <is>
          <t>Cali</t>
        </is>
      </c>
      <c r="D4246" t="inlineStr">
        <is>
          <t>7355</t>
        </is>
      </c>
      <c r="E4246" t="inlineStr">
        <is>
          <t>pagado</t>
        </is>
      </c>
      <c r="F4246" s="23" t="n">
        <v>46279</v>
      </c>
      <c r="G4246" s="24">
        <f>F4246-DATE(2026,8,31)</f>
        <v>14</v>
      </c>
      <c r="H4246" s="25" t="n">
        <v>37382799</v>
      </c>
      <c r="I4246" t="inlineStr">
        <is>
          <t>entidad-dia</t>
        </is>
      </c>
    </row>
    <row r="4247">
      <c r="A4247" t="inlineStr">
        <is>
          <t>PRAGMA</t>
        </is>
      </c>
      <c r="B4247" t="inlineStr">
        <is>
          <t>M1</t>
        </is>
      </c>
      <c r="C4247" t="inlineStr">
        <is>
          <t>Cali</t>
        </is>
      </c>
      <c r="D4247" t="inlineStr">
        <is>
          <t>7355</t>
        </is>
      </c>
      <c r="E4247" t="inlineStr">
        <is>
          <t>pagado</t>
        </is>
      </c>
      <c r="F4247" s="23" t="n">
        <v>46280</v>
      </c>
      <c r="G4247" s="24">
        <f>F4247-DATE(2026,8,31)</f>
        <v>15</v>
      </c>
      <c r="H4247" s="25" t="n">
        <v>50400951</v>
      </c>
      <c r="I4247" t="inlineStr">
        <is>
          <t>entidad-dia</t>
        </is>
      </c>
    </row>
    <row r="4248">
      <c r="A4248" t="inlineStr">
        <is>
          <t>PRAGMA</t>
        </is>
      </c>
      <c r="B4248" t="inlineStr">
        <is>
          <t>M1</t>
        </is>
      </c>
      <c r="C4248" t="inlineStr">
        <is>
          <t>Cali</t>
        </is>
      </c>
      <c r="D4248" t="inlineStr">
        <is>
          <t>7414</t>
        </is>
      </c>
      <c r="E4248" t="inlineStr">
        <is>
          <t>pagado</t>
        </is>
      </c>
      <c r="F4248" s="23" t="n">
        <v>46266</v>
      </c>
      <c r="G4248" s="24">
        <f>F4248-DATE(2026,8,31)</f>
        <v>1</v>
      </c>
      <c r="H4248" s="25" t="n">
        <v>123716816</v>
      </c>
      <c r="I4248" t="inlineStr">
        <is>
          <t>entidad-dia</t>
        </is>
      </c>
    </row>
    <row r="4249">
      <c r="A4249" t="inlineStr">
        <is>
          <t>PRAGMA</t>
        </is>
      </c>
      <c r="B4249" t="inlineStr">
        <is>
          <t>M1</t>
        </is>
      </c>
      <c r="C4249" t="inlineStr">
        <is>
          <t>Cali</t>
        </is>
      </c>
      <c r="D4249" t="inlineStr">
        <is>
          <t>7414</t>
        </is>
      </c>
      <c r="E4249" t="inlineStr">
        <is>
          <t>pagado</t>
        </is>
      </c>
      <c r="F4249" s="23" t="n">
        <v>46267</v>
      </c>
      <c r="G4249" s="24">
        <f>F4249-DATE(2026,8,31)</f>
        <v>2</v>
      </c>
      <c r="H4249" s="25" t="n">
        <v>96686609</v>
      </c>
      <c r="I4249" t="inlineStr">
        <is>
          <t>entidad-dia</t>
        </is>
      </c>
    </row>
    <row r="4250">
      <c r="A4250" t="inlineStr">
        <is>
          <t>PRAGMA</t>
        </is>
      </c>
      <c r="B4250" t="inlineStr">
        <is>
          <t>M1</t>
        </is>
      </c>
      <c r="C4250" t="inlineStr">
        <is>
          <t>Cali</t>
        </is>
      </c>
      <c r="D4250" t="inlineStr">
        <is>
          <t>7414</t>
        </is>
      </c>
      <c r="E4250" t="inlineStr">
        <is>
          <t>pagado</t>
        </is>
      </c>
      <c r="F4250" s="23" t="n">
        <v>46268</v>
      </c>
      <c r="G4250" s="24">
        <f>F4250-DATE(2026,8,31)</f>
        <v>3</v>
      </c>
      <c r="H4250" s="25" t="n">
        <v>84858405</v>
      </c>
      <c r="I4250" t="inlineStr">
        <is>
          <t>entidad-dia</t>
        </is>
      </c>
    </row>
    <row r="4251">
      <c r="A4251" t="inlineStr">
        <is>
          <t>PRAGMA</t>
        </is>
      </c>
      <c r="B4251" t="inlineStr">
        <is>
          <t>M1</t>
        </is>
      </c>
      <c r="C4251" t="inlineStr">
        <is>
          <t>Cali</t>
        </is>
      </c>
      <c r="D4251" t="inlineStr">
        <is>
          <t>7414</t>
        </is>
      </c>
      <c r="E4251" t="inlineStr">
        <is>
          <t>pagado</t>
        </is>
      </c>
      <c r="F4251" s="23" t="n">
        <v>46269</v>
      </c>
      <c r="G4251" s="24">
        <f>F4251-DATE(2026,8,31)</f>
        <v>4</v>
      </c>
      <c r="H4251" s="25" t="n">
        <v>92041532</v>
      </c>
      <c r="I4251" t="inlineStr">
        <is>
          <t>entidad-dia</t>
        </is>
      </c>
    </row>
    <row r="4252">
      <c r="A4252" t="inlineStr">
        <is>
          <t>PRAGMA</t>
        </is>
      </c>
      <c r="B4252" t="inlineStr">
        <is>
          <t>M1</t>
        </is>
      </c>
      <c r="C4252" t="inlineStr">
        <is>
          <t>Cali</t>
        </is>
      </c>
      <c r="D4252" t="inlineStr">
        <is>
          <t>7414</t>
        </is>
      </c>
      <c r="E4252" t="inlineStr">
        <is>
          <t>pagado</t>
        </is>
      </c>
      <c r="F4252" s="23" t="n">
        <v>46270</v>
      </c>
      <c r="G4252" s="24">
        <f>F4252-DATE(2026,8,31)</f>
        <v>5</v>
      </c>
      <c r="H4252" s="25" t="n">
        <v>96721761</v>
      </c>
      <c r="I4252" t="inlineStr">
        <is>
          <t>entidad-dia</t>
        </is>
      </c>
    </row>
    <row r="4253">
      <c r="A4253" t="inlineStr">
        <is>
          <t>PRAGMA</t>
        </is>
      </c>
      <c r="B4253" t="inlineStr">
        <is>
          <t>M1</t>
        </is>
      </c>
      <c r="C4253" t="inlineStr">
        <is>
          <t>Cali</t>
        </is>
      </c>
      <c r="D4253" t="inlineStr">
        <is>
          <t>7414</t>
        </is>
      </c>
      <c r="E4253" t="inlineStr">
        <is>
          <t>pagado</t>
        </is>
      </c>
      <c r="F4253" s="23" t="n">
        <v>46271</v>
      </c>
      <c r="G4253" s="24">
        <f>F4253-DATE(2026,8,31)</f>
        <v>6</v>
      </c>
      <c r="H4253" s="25" t="n">
        <v>74395485</v>
      </c>
      <c r="I4253" t="inlineStr">
        <is>
          <t>entidad-dia</t>
        </is>
      </c>
    </row>
    <row r="4254">
      <c r="A4254" t="inlineStr">
        <is>
          <t>PRAGMA</t>
        </is>
      </c>
      <c r="B4254" t="inlineStr">
        <is>
          <t>M1</t>
        </is>
      </c>
      <c r="C4254" t="inlineStr">
        <is>
          <t>Cali</t>
        </is>
      </c>
      <c r="D4254" t="inlineStr">
        <is>
          <t>7414</t>
        </is>
      </c>
      <c r="E4254" t="inlineStr">
        <is>
          <t>pagado</t>
        </is>
      </c>
      <c r="F4254" s="23" t="n">
        <v>46272</v>
      </c>
      <c r="G4254" s="24">
        <f>F4254-DATE(2026,8,31)</f>
        <v>7</v>
      </c>
      <c r="H4254" s="25" t="n">
        <v>66386382</v>
      </c>
      <c r="I4254" t="inlineStr">
        <is>
          <t>entidad-dia</t>
        </is>
      </c>
    </row>
    <row r="4255">
      <c r="A4255" t="inlineStr">
        <is>
          <t>PRAGMA</t>
        </is>
      </c>
      <c r="B4255" t="inlineStr">
        <is>
          <t>M1</t>
        </is>
      </c>
      <c r="C4255" t="inlineStr">
        <is>
          <t>Cali</t>
        </is>
      </c>
      <c r="D4255" t="inlineStr">
        <is>
          <t>7414</t>
        </is>
      </c>
      <c r="E4255" t="inlineStr">
        <is>
          <t>pagado</t>
        </is>
      </c>
      <c r="F4255" s="23" t="n">
        <v>46273</v>
      </c>
      <c r="G4255" s="24">
        <f>F4255-DATE(2026,8,31)</f>
        <v>8</v>
      </c>
      <c r="H4255" s="25" t="n">
        <v>71074545</v>
      </c>
      <c r="I4255" t="inlineStr">
        <is>
          <t>entidad-dia</t>
        </is>
      </c>
    </row>
    <row r="4256">
      <c r="A4256" t="inlineStr">
        <is>
          <t>PRAGMA</t>
        </is>
      </c>
      <c r="B4256" t="inlineStr">
        <is>
          <t>M1</t>
        </is>
      </c>
      <c r="C4256" t="inlineStr">
        <is>
          <t>Cali</t>
        </is>
      </c>
      <c r="D4256" t="inlineStr">
        <is>
          <t>7414</t>
        </is>
      </c>
      <c r="E4256" t="inlineStr">
        <is>
          <t>pagado</t>
        </is>
      </c>
      <c r="F4256" s="23" t="n">
        <v>46274</v>
      </c>
      <c r="G4256" s="24">
        <f>F4256-DATE(2026,8,31)</f>
        <v>9</v>
      </c>
      <c r="H4256" s="25" t="n">
        <v>64704665</v>
      </c>
      <c r="I4256" t="inlineStr">
        <is>
          <t>entidad-dia</t>
        </is>
      </c>
    </row>
    <row r="4257">
      <c r="A4257" t="inlineStr">
        <is>
          <t>PRAGMA</t>
        </is>
      </c>
      <c r="B4257" t="inlineStr">
        <is>
          <t>M1</t>
        </is>
      </c>
      <c r="C4257" t="inlineStr">
        <is>
          <t>Cali</t>
        </is>
      </c>
      <c r="D4257" t="inlineStr">
        <is>
          <t>7414</t>
        </is>
      </c>
      <c r="E4257" t="inlineStr">
        <is>
          <t>pagado</t>
        </is>
      </c>
      <c r="F4257" s="23" t="n">
        <v>46275</v>
      </c>
      <c r="G4257" s="24">
        <f>F4257-DATE(2026,8,31)</f>
        <v>10</v>
      </c>
      <c r="H4257" s="25" t="n">
        <v>61279973</v>
      </c>
      <c r="I4257" t="inlineStr">
        <is>
          <t>entidad-dia</t>
        </is>
      </c>
    </row>
    <row r="4258">
      <c r="A4258" t="inlineStr">
        <is>
          <t>PRAGMA</t>
        </is>
      </c>
      <c r="B4258" t="inlineStr">
        <is>
          <t>M1</t>
        </is>
      </c>
      <c r="C4258" t="inlineStr">
        <is>
          <t>Cali</t>
        </is>
      </c>
      <c r="D4258" t="inlineStr">
        <is>
          <t>7414</t>
        </is>
      </c>
      <c r="E4258" t="inlineStr">
        <is>
          <t>pagado</t>
        </is>
      </c>
      <c r="F4258" s="23" t="n">
        <v>46276</v>
      </c>
      <c r="G4258" s="24">
        <f>F4258-DATE(2026,8,31)</f>
        <v>11</v>
      </c>
      <c r="H4258" s="25" t="n">
        <v>75065903</v>
      </c>
      <c r="I4258" t="inlineStr">
        <is>
          <t>entidad-dia</t>
        </is>
      </c>
    </row>
    <row r="4259">
      <c r="A4259" t="inlineStr">
        <is>
          <t>PRAGMA</t>
        </is>
      </c>
      <c r="B4259" t="inlineStr">
        <is>
          <t>M1</t>
        </is>
      </c>
      <c r="C4259" t="inlineStr">
        <is>
          <t>Cali</t>
        </is>
      </c>
      <c r="D4259" t="inlineStr">
        <is>
          <t>7414</t>
        </is>
      </c>
      <c r="E4259" t="inlineStr">
        <is>
          <t>pagado</t>
        </is>
      </c>
      <c r="F4259" s="23" t="n">
        <v>46277</v>
      </c>
      <c r="G4259" s="24">
        <f>F4259-DATE(2026,8,31)</f>
        <v>12</v>
      </c>
      <c r="H4259" s="25" t="n">
        <v>71463502</v>
      </c>
      <c r="I4259" t="inlineStr">
        <is>
          <t>entidad-dia</t>
        </is>
      </c>
    </row>
    <row r="4260">
      <c r="A4260" t="inlineStr">
        <is>
          <t>PRAGMA</t>
        </is>
      </c>
      <c r="B4260" t="inlineStr">
        <is>
          <t>M1</t>
        </is>
      </c>
      <c r="C4260" t="inlineStr">
        <is>
          <t>Cali</t>
        </is>
      </c>
      <c r="D4260" t="inlineStr">
        <is>
          <t>7414</t>
        </is>
      </c>
      <c r="E4260" t="inlineStr">
        <is>
          <t>pagado</t>
        </is>
      </c>
      <c r="F4260" s="23" t="n">
        <v>46278</v>
      </c>
      <c r="G4260" s="24">
        <f>F4260-DATE(2026,8,31)</f>
        <v>13</v>
      </c>
      <c r="H4260" s="25" t="n">
        <v>55606373</v>
      </c>
      <c r="I4260" t="inlineStr">
        <is>
          <t>entidad-dia</t>
        </is>
      </c>
    </row>
    <row r="4261">
      <c r="A4261" t="inlineStr">
        <is>
          <t>PRAGMA</t>
        </is>
      </c>
      <c r="B4261" t="inlineStr">
        <is>
          <t>M1</t>
        </is>
      </c>
      <c r="C4261" t="inlineStr">
        <is>
          <t>Cali</t>
        </is>
      </c>
      <c r="D4261" t="inlineStr">
        <is>
          <t>7414</t>
        </is>
      </c>
      <c r="E4261" t="inlineStr">
        <is>
          <t>pagado</t>
        </is>
      </c>
      <c r="F4261" s="23" t="n">
        <v>46279</v>
      </c>
      <c r="G4261" s="24">
        <f>F4261-DATE(2026,8,31)</f>
        <v>14</v>
      </c>
      <c r="H4261" s="25" t="n">
        <v>67397161</v>
      </c>
      <c r="I4261" t="inlineStr">
        <is>
          <t>entidad-dia</t>
        </is>
      </c>
    </row>
    <row r="4262">
      <c r="A4262" t="inlineStr">
        <is>
          <t>PRAGMA</t>
        </is>
      </c>
      <c r="B4262" t="inlineStr">
        <is>
          <t>M1</t>
        </is>
      </c>
      <c r="C4262" t="inlineStr">
        <is>
          <t>Cali</t>
        </is>
      </c>
      <c r="D4262" t="inlineStr">
        <is>
          <t>7414</t>
        </is>
      </c>
      <c r="E4262" t="inlineStr">
        <is>
          <t>pagado</t>
        </is>
      </c>
      <c r="F4262" s="23" t="n">
        <v>46280</v>
      </c>
      <c r="G4262" s="24">
        <f>F4262-DATE(2026,8,31)</f>
        <v>15</v>
      </c>
      <c r="H4262" s="25" t="n">
        <v>94718961</v>
      </c>
      <c r="I4262" t="inlineStr">
        <is>
          <t>entidad-dia</t>
        </is>
      </c>
    </row>
    <row r="4263">
      <c r="A4263" t="inlineStr">
        <is>
          <t>PRAGMA</t>
        </is>
      </c>
      <c r="B4263" t="inlineStr">
        <is>
          <t>M1</t>
        </is>
      </c>
      <c r="C4263" t="inlineStr">
        <is>
          <t>Cali</t>
        </is>
      </c>
      <c r="D4263" t="inlineStr">
        <is>
          <t>744</t>
        </is>
      </c>
      <c r="E4263" t="inlineStr">
        <is>
          <t>pagado</t>
        </is>
      </c>
      <c r="F4263" s="23" t="n">
        <v>46266</v>
      </c>
      <c r="G4263" s="24">
        <f>F4263-DATE(2026,8,31)</f>
        <v>1</v>
      </c>
      <c r="H4263" s="25" t="n">
        <v>103175797</v>
      </c>
      <c r="I4263" t="inlineStr">
        <is>
          <t>entidad-dia</t>
        </is>
      </c>
    </row>
    <row r="4264">
      <c r="A4264" t="inlineStr">
        <is>
          <t>PRAGMA</t>
        </is>
      </c>
      <c r="B4264" t="inlineStr">
        <is>
          <t>M1</t>
        </is>
      </c>
      <c r="C4264" t="inlineStr">
        <is>
          <t>Cali</t>
        </is>
      </c>
      <c r="D4264" t="inlineStr">
        <is>
          <t>744</t>
        </is>
      </c>
      <c r="E4264" t="inlineStr">
        <is>
          <t>pagado</t>
        </is>
      </c>
      <c r="F4264" s="23" t="n">
        <v>46267</v>
      </c>
      <c r="G4264" s="24">
        <f>F4264-DATE(2026,8,31)</f>
        <v>2</v>
      </c>
      <c r="H4264" s="25" t="n">
        <v>85227865</v>
      </c>
      <c r="I4264" t="inlineStr">
        <is>
          <t>entidad-dia</t>
        </is>
      </c>
    </row>
    <row r="4265">
      <c r="A4265" t="inlineStr">
        <is>
          <t>PRAGMA</t>
        </is>
      </c>
      <c r="B4265" t="inlineStr">
        <is>
          <t>M1</t>
        </is>
      </c>
      <c r="C4265" t="inlineStr">
        <is>
          <t>Cali</t>
        </is>
      </c>
      <c r="D4265" t="inlineStr">
        <is>
          <t>744</t>
        </is>
      </c>
      <c r="E4265" t="inlineStr">
        <is>
          <t>pagado</t>
        </is>
      </c>
      <c r="F4265" s="23" t="n">
        <v>46268</v>
      </c>
      <c r="G4265" s="24">
        <f>F4265-DATE(2026,8,31)</f>
        <v>3</v>
      </c>
      <c r="H4265" s="25" t="n">
        <v>71982092</v>
      </c>
      <c r="I4265" t="inlineStr">
        <is>
          <t>entidad-dia</t>
        </is>
      </c>
    </row>
    <row r="4266">
      <c r="A4266" t="inlineStr">
        <is>
          <t>PRAGMA</t>
        </is>
      </c>
      <c r="B4266" t="inlineStr">
        <is>
          <t>M1</t>
        </is>
      </c>
      <c r="C4266" t="inlineStr">
        <is>
          <t>Cali</t>
        </is>
      </c>
      <c r="D4266" t="inlineStr">
        <is>
          <t>744</t>
        </is>
      </c>
      <c r="E4266" t="inlineStr">
        <is>
          <t>pagado</t>
        </is>
      </c>
      <c r="F4266" s="23" t="n">
        <v>46269</v>
      </c>
      <c r="G4266" s="24">
        <f>F4266-DATE(2026,8,31)</f>
        <v>4</v>
      </c>
      <c r="H4266" s="25" t="n">
        <v>78418703</v>
      </c>
      <c r="I4266" t="inlineStr">
        <is>
          <t>entidad-dia</t>
        </is>
      </c>
    </row>
    <row r="4267">
      <c r="A4267" t="inlineStr">
        <is>
          <t>PRAGMA</t>
        </is>
      </c>
      <c r="B4267" t="inlineStr">
        <is>
          <t>M1</t>
        </is>
      </c>
      <c r="C4267" t="inlineStr">
        <is>
          <t>Cali</t>
        </is>
      </c>
      <c r="D4267" t="inlineStr">
        <is>
          <t>744</t>
        </is>
      </c>
      <c r="E4267" t="inlineStr">
        <is>
          <t>pagado</t>
        </is>
      </c>
      <c r="F4267" s="23" t="n">
        <v>46270</v>
      </c>
      <c r="G4267" s="24">
        <f>F4267-DATE(2026,8,31)</f>
        <v>5</v>
      </c>
      <c r="H4267" s="25" t="n">
        <v>80298598</v>
      </c>
      <c r="I4267" t="inlineStr">
        <is>
          <t>entidad-dia</t>
        </is>
      </c>
    </row>
    <row r="4268">
      <c r="A4268" t="inlineStr">
        <is>
          <t>PRAGMA</t>
        </is>
      </c>
      <c r="B4268" t="inlineStr">
        <is>
          <t>M1</t>
        </is>
      </c>
      <c r="C4268" t="inlineStr">
        <is>
          <t>Cali</t>
        </is>
      </c>
      <c r="D4268" t="inlineStr">
        <is>
          <t>744</t>
        </is>
      </c>
      <c r="E4268" t="inlineStr">
        <is>
          <t>pagado</t>
        </is>
      </c>
      <c r="F4268" s="23" t="n">
        <v>46271</v>
      </c>
      <c r="G4268" s="24">
        <f>F4268-DATE(2026,8,31)</f>
        <v>6</v>
      </c>
      <c r="H4268" s="25" t="n">
        <v>43562023</v>
      </c>
      <c r="I4268" t="inlineStr">
        <is>
          <t>entidad-dia</t>
        </is>
      </c>
    </row>
    <row r="4269">
      <c r="A4269" t="inlineStr">
        <is>
          <t>PRAGMA</t>
        </is>
      </c>
      <c r="B4269" t="inlineStr">
        <is>
          <t>M1</t>
        </is>
      </c>
      <c r="C4269" t="inlineStr">
        <is>
          <t>Cali</t>
        </is>
      </c>
      <c r="D4269" t="inlineStr">
        <is>
          <t>744</t>
        </is>
      </c>
      <c r="E4269" t="inlineStr">
        <is>
          <t>pagado</t>
        </is>
      </c>
      <c r="F4269" s="23" t="n">
        <v>46272</v>
      </c>
      <c r="G4269" s="24">
        <f>F4269-DATE(2026,8,31)</f>
        <v>7</v>
      </c>
      <c r="H4269" s="25" t="n">
        <v>62418016</v>
      </c>
      <c r="I4269" t="inlineStr">
        <is>
          <t>entidad-dia</t>
        </is>
      </c>
    </row>
    <row r="4270">
      <c r="A4270" t="inlineStr">
        <is>
          <t>PRAGMA</t>
        </is>
      </c>
      <c r="B4270" t="inlineStr">
        <is>
          <t>M1</t>
        </is>
      </c>
      <c r="C4270" t="inlineStr">
        <is>
          <t>Cali</t>
        </is>
      </c>
      <c r="D4270" t="inlineStr">
        <is>
          <t>744</t>
        </is>
      </c>
      <c r="E4270" t="inlineStr">
        <is>
          <t>pagado</t>
        </is>
      </c>
      <c r="F4270" s="23" t="n">
        <v>46273</v>
      </c>
      <c r="G4270" s="24">
        <f>F4270-DATE(2026,8,31)</f>
        <v>8</v>
      </c>
      <c r="H4270" s="25" t="n">
        <v>56109909</v>
      </c>
      <c r="I4270" t="inlineStr">
        <is>
          <t>entidad-dia</t>
        </is>
      </c>
    </row>
    <row r="4271">
      <c r="A4271" t="inlineStr">
        <is>
          <t>PRAGMA</t>
        </is>
      </c>
      <c r="B4271" t="inlineStr">
        <is>
          <t>M1</t>
        </is>
      </c>
      <c r="C4271" t="inlineStr">
        <is>
          <t>Cali</t>
        </is>
      </c>
      <c r="D4271" t="inlineStr">
        <is>
          <t>744</t>
        </is>
      </c>
      <c r="E4271" t="inlineStr">
        <is>
          <t>pagado</t>
        </is>
      </c>
      <c r="F4271" s="23" t="n">
        <v>46274</v>
      </c>
      <c r="G4271" s="24">
        <f>F4271-DATE(2026,8,31)</f>
        <v>9</v>
      </c>
      <c r="H4271" s="25" t="n">
        <v>54386455</v>
      </c>
      <c r="I4271" t="inlineStr">
        <is>
          <t>entidad-dia</t>
        </is>
      </c>
    </row>
    <row r="4272">
      <c r="A4272" t="inlineStr">
        <is>
          <t>PRAGMA</t>
        </is>
      </c>
      <c r="B4272" t="inlineStr">
        <is>
          <t>M1</t>
        </is>
      </c>
      <c r="C4272" t="inlineStr">
        <is>
          <t>Cali</t>
        </is>
      </c>
      <c r="D4272" t="inlineStr">
        <is>
          <t>744</t>
        </is>
      </c>
      <c r="E4272" t="inlineStr">
        <is>
          <t>pagado</t>
        </is>
      </c>
      <c r="F4272" s="23" t="n">
        <v>46275</v>
      </c>
      <c r="G4272" s="24">
        <f>F4272-DATE(2026,8,31)</f>
        <v>10</v>
      </c>
      <c r="H4272" s="25" t="n">
        <v>49736023</v>
      </c>
      <c r="I4272" t="inlineStr">
        <is>
          <t>entidad-dia</t>
        </is>
      </c>
    </row>
    <row r="4273">
      <c r="A4273" t="inlineStr">
        <is>
          <t>PRAGMA</t>
        </is>
      </c>
      <c r="B4273" t="inlineStr">
        <is>
          <t>M1</t>
        </is>
      </c>
      <c r="C4273" t="inlineStr">
        <is>
          <t>Cali</t>
        </is>
      </c>
      <c r="D4273" t="inlineStr">
        <is>
          <t>744</t>
        </is>
      </c>
      <c r="E4273" t="inlineStr">
        <is>
          <t>pagado</t>
        </is>
      </c>
      <c r="F4273" s="23" t="n">
        <v>46276</v>
      </c>
      <c r="G4273" s="24">
        <f>F4273-DATE(2026,8,31)</f>
        <v>11</v>
      </c>
      <c r="H4273" s="25" t="n">
        <v>56795090</v>
      </c>
      <c r="I4273" t="inlineStr">
        <is>
          <t>entidad-dia</t>
        </is>
      </c>
    </row>
    <row r="4274">
      <c r="A4274" t="inlineStr">
        <is>
          <t>PRAGMA</t>
        </is>
      </c>
      <c r="B4274" t="inlineStr">
        <is>
          <t>M1</t>
        </is>
      </c>
      <c r="C4274" t="inlineStr">
        <is>
          <t>Cali</t>
        </is>
      </c>
      <c r="D4274" t="inlineStr">
        <is>
          <t>744</t>
        </is>
      </c>
      <c r="E4274" t="inlineStr">
        <is>
          <t>pagado</t>
        </is>
      </c>
      <c r="F4274" s="23" t="n">
        <v>46277</v>
      </c>
      <c r="G4274" s="24">
        <f>F4274-DATE(2026,8,31)</f>
        <v>12</v>
      </c>
      <c r="H4274" s="25" t="n">
        <v>69082314</v>
      </c>
      <c r="I4274" t="inlineStr">
        <is>
          <t>entidad-dia</t>
        </is>
      </c>
    </row>
    <row r="4275">
      <c r="A4275" t="inlineStr">
        <is>
          <t>PRAGMA</t>
        </is>
      </c>
      <c r="B4275" t="inlineStr">
        <is>
          <t>M1</t>
        </is>
      </c>
      <c r="C4275" t="inlineStr">
        <is>
          <t>Cali</t>
        </is>
      </c>
      <c r="D4275" t="inlineStr">
        <is>
          <t>744</t>
        </is>
      </c>
      <c r="E4275" t="inlineStr">
        <is>
          <t>pagado</t>
        </is>
      </c>
      <c r="F4275" s="23" t="n">
        <v>46278</v>
      </c>
      <c r="G4275" s="24">
        <f>F4275-DATE(2026,8,31)</f>
        <v>13</v>
      </c>
      <c r="H4275" s="25" t="n">
        <v>35052598</v>
      </c>
      <c r="I4275" t="inlineStr">
        <is>
          <t>entidad-dia</t>
        </is>
      </c>
    </row>
    <row r="4276">
      <c r="A4276" t="inlineStr">
        <is>
          <t>PRAGMA</t>
        </is>
      </c>
      <c r="B4276" t="inlineStr">
        <is>
          <t>M1</t>
        </is>
      </c>
      <c r="C4276" t="inlineStr">
        <is>
          <t>Cali</t>
        </is>
      </c>
      <c r="D4276" t="inlineStr">
        <is>
          <t>744</t>
        </is>
      </c>
      <c r="E4276" t="inlineStr">
        <is>
          <t>pagado</t>
        </is>
      </c>
      <c r="F4276" s="23" t="n">
        <v>46279</v>
      </c>
      <c r="G4276" s="24">
        <f>F4276-DATE(2026,8,31)</f>
        <v>14</v>
      </c>
      <c r="H4276" s="25" t="n">
        <v>53504789</v>
      </c>
      <c r="I4276" t="inlineStr">
        <is>
          <t>entidad-dia</t>
        </is>
      </c>
    </row>
    <row r="4277">
      <c r="A4277" t="inlineStr">
        <is>
          <t>PRAGMA</t>
        </is>
      </c>
      <c r="B4277" t="inlineStr">
        <is>
          <t>M1</t>
        </is>
      </c>
      <c r="C4277" t="inlineStr">
        <is>
          <t>Cali</t>
        </is>
      </c>
      <c r="D4277" t="inlineStr">
        <is>
          <t>744</t>
        </is>
      </c>
      <c r="E4277" t="inlineStr">
        <is>
          <t>pagado</t>
        </is>
      </c>
      <c r="F4277" s="23" t="n">
        <v>46280</v>
      </c>
      <c r="G4277" s="24">
        <f>F4277-DATE(2026,8,31)</f>
        <v>15</v>
      </c>
      <c r="H4277" s="25" t="n">
        <v>82397334</v>
      </c>
      <c r="I4277" t="inlineStr">
        <is>
          <t>entidad-dia</t>
        </is>
      </c>
    </row>
    <row r="4278">
      <c r="A4278" t="inlineStr">
        <is>
          <t>PRAGMA</t>
        </is>
      </c>
      <c r="B4278" t="inlineStr">
        <is>
          <t>M1</t>
        </is>
      </c>
      <c r="C4278" t="inlineStr">
        <is>
          <t>Cali</t>
        </is>
      </c>
      <c r="D4278" t="inlineStr">
        <is>
          <t>7463</t>
        </is>
      </c>
      <c r="E4278" t="inlineStr">
        <is>
          <t>pagado</t>
        </is>
      </c>
      <c r="F4278" s="23" t="n">
        <v>46266</v>
      </c>
      <c r="G4278" s="24">
        <f>F4278-DATE(2026,8,31)</f>
        <v>1</v>
      </c>
      <c r="H4278" s="25" t="n">
        <v>129810213</v>
      </c>
      <c r="I4278" t="inlineStr">
        <is>
          <t>entidad-dia</t>
        </is>
      </c>
    </row>
    <row r="4279">
      <c r="A4279" t="inlineStr">
        <is>
          <t>PRAGMA</t>
        </is>
      </c>
      <c r="B4279" t="inlineStr">
        <is>
          <t>M1</t>
        </is>
      </c>
      <c r="C4279" t="inlineStr">
        <is>
          <t>Cali</t>
        </is>
      </c>
      <c r="D4279" t="inlineStr">
        <is>
          <t>7463</t>
        </is>
      </c>
      <c r="E4279" t="inlineStr">
        <is>
          <t>pagado</t>
        </is>
      </c>
      <c r="F4279" s="23" t="n">
        <v>46267</v>
      </c>
      <c r="G4279" s="24">
        <f>F4279-DATE(2026,8,31)</f>
        <v>2</v>
      </c>
      <c r="H4279" s="25" t="n">
        <v>100307607</v>
      </c>
      <c r="I4279" t="inlineStr">
        <is>
          <t>entidad-dia</t>
        </is>
      </c>
    </row>
    <row r="4280">
      <c r="A4280" t="inlineStr">
        <is>
          <t>PRAGMA</t>
        </is>
      </c>
      <c r="B4280" t="inlineStr">
        <is>
          <t>M1</t>
        </is>
      </c>
      <c r="C4280" t="inlineStr">
        <is>
          <t>Cali</t>
        </is>
      </c>
      <c r="D4280" t="inlineStr">
        <is>
          <t>7463</t>
        </is>
      </c>
      <c r="E4280" t="inlineStr">
        <is>
          <t>pagado</t>
        </is>
      </c>
      <c r="F4280" s="23" t="n">
        <v>46268</v>
      </c>
      <c r="G4280" s="24">
        <f>F4280-DATE(2026,8,31)</f>
        <v>3</v>
      </c>
      <c r="H4280" s="25" t="n">
        <v>89718077</v>
      </c>
      <c r="I4280" t="inlineStr">
        <is>
          <t>entidad-dia</t>
        </is>
      </c>
    </row>
    <row r="4281">
      <c r="A4281" t="inlineStr">
        <is>
          <t>PRAGMA</t>
        </is>
      </c>
      <c r="B4281" t="inlineStr">
        <is>
          <t>M1</t>
        </is>
      </c>
      <c r="C4281" t="inlineStr">
        <is>
          <t>Cali</t>
        </is>
      </c>
      <c r="D4281" t="inlineStr">
        <is>
          <t>7463</t>
        </is>
      </c>
      <c r="E4281" t="inlineStr">
        <is>
          <t>pagado</t>
        </is>
      </c>
      <c r="F4281" s="23" t="n">
        <v>46269</v>
      </c>
      <c r="G4281" s="24">
        <f>F4281-DATE(2026,8,31)</f>
        <v>4</v>
      </c>
      <c r="H4281" s="25" t="n">
        <v>93446021</v>
      </c>
      <c r="I4281" t="inlineStr">
        <is>
          <t>entidad-dia</t>
        </is>
      </c>
    </row>
    <row r="4282">
      <c r="A4282" t="inlineStr">
        <is>
          <t>PRAGMA</t>
        </is>
      </c>
      <c r="B4282" t="inlineStr">
        <is>
          <t>M1</t>
        </is>
      </c>
      <c r="C4282" t="inlineStr">
        <is>
          <t>Cali</t>
        </is>
      </c>
      <c r="D4282" t="inlineStr">
        <is>
          <t>7463</t>
        </is>
      </c>
      <c r="E4282" t="inlineStr">
        <is>
          <t>pagado</t>
        </is>
      </c>
      <c r="F4282" s="23" t="n">
        <v>46270</v>
      </c>
      <c r="G4282" s="24">
        <f>F4282-DATE(2026,8,31)</f>
        <v>5</v>
      </c>
      <c r="H4282" s="25" t="n">
        <v>97109304</v>
      </c>
      <c r="I4282" t="inlineStr">
        <is>
          <t>entidad-dia</t>
        </is>
      </c>
    </row>
    <row r="4283">
      <c r="A4283" t="inlineStr">
        <is>
          <t>PRAGMA</t>
        </is>
      </c>
      <c r="B4283" t="inlineStr">
        <is>
          <t>M1</t>
        </is>
      </c>
      <c r="C4283" t="inlineStr">
        <is>
          <t>Cali</t>
        </is>
      </c>
      <c r="D4283" t="inlineStr">
        <is>
          <t>7463</t>
        </is>
      </c>
      <c r="E4283" t="inlineStr">
        <is>
          <t>pagado</t>
        </is>
      </c>
      <c r="F4283" s="23" t="n">
        <v>46271</v>
      </c>
      <c r="G4283" s="24">
        <f>F4283-DATE(2026,8,31)</f>
        <v>6</v>
      </c>
      <c r="H4283" s="25" t="n">
        <v>64268490</v>
      </c>
      <c r="I4283" t="inlineStr">
        <is>
          <t>entidad-dia</t>
        </is>
      </c>
    </row>
    <row r="4284">
      <c r="A4284" t="inlineStr">
        <is>
          <t>PRAGMA</t>
        </is>
      </c>
      <c r="B4284" t="inlineStr">
        <is>
          <t>M1</t>
        </is>
      </c>
      <c r="C4284" t="inlineStr">
        <is>
          <t>Cali</t>
        </is>
      </c>
      <c r="D4284" t="inlineStr">
        <is>
          <t>7463</t>
        </is>
      </c>
      <c r="E4284" t="inlineStr">
        <is>
          <t>pagado</t>
        </is>
      </c>
      <c r="F4284" s="23" t="n">
        <v>46272</v>
      </c>
      <c r="G4284" s="24">
        <f>F4284-DATE(2026,8,31)</f>
        <v>7</v>
      </c>
      <c r="H4284" s="25" t="n">
        <v>67167939</v>
      </c>
      <c r="I4284" t="inlineStr">
        <is>
          <t>entidad-dia</t>
        </is>
      </c>
    </row>
    <row r="4285">
      <c r="A4285" t="inlineStr">
        <is>
          <t>PRAGMA</t>
        </is>
      </c>
      <c r="B4285" t="inlineStr">
        <is>
          <t>M1</t>
        </is>
      </c>
      <c r="C4285" t="inlineStr">
        <is>
          <t>Cali</t>
        </is>
      </c>
      <c r="D4285" t="inlineStr">
        <is>
          <t>7463</t>
        </is>
      </c>
      <c r="E4285" t="inlineStr">
        <is>
          <t>pagado</t>
        </is>
      </c>
      <c r="F4285" s="23" t="n">
        <v>46273</v>
      </c>
      <c r="G4285" s="24">
        <f>F4285-DATE(2026,8,31)</f>
        <v>8</v>
      </c>
      <c r="H4285" s="25" t="n">
        <v>67193209</v>
      </c>
      <c r="I4285" t="inlineStr">
        <is>
          <t>entidad-dia</t>
        </is>
      </c>
    </row>
    <row r="4286">
      <c r="A4286" t="inlineStr">
        <is>
          <t>PRAGMA</t>
        </is>
      </c>
      <c r="B4286" t="inlineStr">
        <is>
          <t>M1</t>
        </is>
      </c>
      <c r="C4286" t="inlineStr">
        <is>
          <t>Cali</t>
        </is>
      </c>
      <c r="D4286" t="inlineStr">
        <is>
          <t>7463</t>
        </is>
      </c>
      <c r="E4286" t="inlineStr">
        <is>
          <t>pagado</t>
        </is>
      </c>
      <c r="F4286" s="23" t="n">
        <v>46274</v>
      </c>
      <c r="G4286" s="24">
        <f>F4286-DATE(2026,8,31)</f>
        <v>9</v>
      </c>
      <c r="H4286" s="25" t="n">
        <v>66264514</v>
      </c>
      <c r="I4286" t="inlineStr">
        <is>
          <t>entidad-dia</t>
        </is>
      </c>
    </row>
    <row r="4287">
      <c r="A4287" t="inlineStr">
        <is>
          <t>PRAGMA</t>
        </is>
      </c>
      <c r="B4287" t="inlineStr">
        <is>
          <t>M1</t>
        </is>
      </c>
      <c r="C4287" t="inlineStr">
        <is>
          <t>Cali</t>
        </is>
      </c>
      <c r="D4287" t="inlineStr">
        <is>
          <t>7463</t>
        </is>
      </c>
      <c r="E4287" t="inlineStr">
        <is>
          <t>pagado</t>
        </is>
      </c>
      <c r="F4287" s="23" t="n">
        <v>46275</v>
      </c>
      <c r="G4287" s="24">
        <f>F4287-DATE(2026,8,31)</f>
        <v>10</v>
      </c>
      <c r="H4287" s="25" t="n">
        <v>58534513</v>
      </c>
      <c r="I4287" t="inlineStr">
        <is>
          <t>entidad-dia</t>
        </is>
      </c>
    </row>
    <row r="4288">
      <c r="A4288" t="inlineStr">
        <is>
          <t>PRAGMA</t>
        </is>
      </c>
      <c r="B4288" t="inlineStr">
        <is>
          <t>M1</t>
        </is>
      </c>
      <c r="C4288" t="inlineStr">
        <is>
          <t>Cali</t>
        </is>
      </c>
      <c r="D4288" t="inlineStr">
        <is>
          <t>7463</t>
        </is>
      </c>
      <c r="E4288" t="inlineStr">
        <is>
          <t>pagado</t>
        </is>
      </c>
      <c r="F4288" s="23" t="n">
        <v>46276</v>
      </c>
      <c r="G4288" s="24">
        <f>F4288-DATE(2026,8,31)</f>
        <v>11</v>
      </c>
      <c r="H4288" s="25" t="n">
        <v>75714986</v>
      </c>
      <c r="I4288" t="inlineStr">
        <is>
          <t>entidad-dia</t>
        </is>
      </c>
    </row>
    <row r="4289">
      <c r="A4289" t="inlineStr">
        <is>
          <t>PRAGMA</t>
        </is>
      </c>
      <c r="B4289" t="inlineStr">
        <is>
          <t>M1</t>
        </is>
      </c>
      <c r="C4289" t="inlineStr">
        <is>
          <t>Cali</t>
        </is>
      </c>
      <c r="D4289" t="inlineStr">
        <is>
          <t>7463</t>
        </is>
      </c>
      <c r="E4289" t="inlineStr">
        <is>
          <t>pagado</t>
        </is>
      </c>
      <c r="F4289" s="23" t="n">
        <v>46277</v>
      </c>
      <c r="G4289" s="24">
        <f>F4289-DATE(2026,8,31)</f>
        <v>12</v>
      </c>
      <c r="H4289" s="25" t="n">
        <v>71661128</v>
      </c>
      <c r="I4289" t="inlineStr">
        <is>
          <t>entidad-dia</t>
        </is>
      </c>
    </row>
    <row r="4290">
      <c r="A4290" t="inlineStr">
        <is>
          <t>PRAGMA</t>
        </is>
      </c>
      <c r="B4290" t="inlineStr">
        <is>
          <t>M1</t>
        </is>
      </c>
      <c r="C4290" t="inlineStr">
        <is>
          <t>Cali</t>
        </is>
      </c>
      <c r="D4290" t="inlineStr">
        <is>
          <t>7463</t>
        </is>
      </c>
      <c r="E4290" t="inlineStr">
        <is>
          <t>pagado</t>
        </is>
      </c>
      <c r="F4290" s="23" t="n">
        <v>46278</v>
      </c>
      <c r="G4290" s="24">
        <f>F4290-DATE(2026,8,31)</f>
        <v>13</v>
      </c>
      <c r="H4290" s="25" t="n">
        <v>50072819</v>
      </c>
      <c r="I4290" t="inlineStr">
        <is>
          <t>entidad-dia</t>
        </is>
      </c>
    </row>
    <row r="4291">
      <c r="A4291" t="inlineStr">
        <is>
          <t>PRAGMA</t>
        </is>
      </c>
      <c r="B4291" t="inlineStr">
        <is>
          <t>M1</t>
        </is>
      </c>
      <c r="C4291" t="inlineStr">
        <is>
          <t>Cali</t>
        </is>
      </c>
      <c r="D4291" t="inlineStr">
        <is>
          <t>7463</t>
        </is>
      </c>
      <c r="E4291" t="inlineStr">
        <is>
          <t>pagado</t>
        </is>
      </c>
      <c r="F4291" s="23" t="n">
        <v>46279</v>
      </c>
      <c r="G4291" s="24">
        <f>F4291-DATE(2026,8,31)</f>
        <v>14</v>
      </c>
      <c r="H4291" s="25" t="n">
        <v>63129657</v>
      </c>
      <c r="I4291" t="inlineStr">
        <is>
          <t>entidad-dia</t>
        </is>
      </c>
    </row>
    <row r="4292">
      <c r="A4292" t="inlineStr">
        <is>
          <t>PRAGMA</t>
        </is>
      </c>
      <c r="B4292" t="inlineStr">
        <is>
          <t>M1</t>
        </is>
      </c>
      <c r="C4292" t="inlineStr">
        <is>
          <t>Cali</t>
        </is>
      </c>
      <c r="D4292" t="inlineStr">
        <is>
          <t>7463</t>
        </is>
      </c>
      <c r="E4292" t="inlineStr">
        <is>
          <t>pagado</t>
        </is>
      </c>
      <c r="F4292" s="23" t="n">
        <v>46280</v>
      </c>
      <c r="G4292" s="24">
        <f>F4292-DATE(2026,8,31)</f>
        <v>15</v>
      </c>
      <c r="H4292" s="25" t="n">
        <v>89641995</v>
      </c>
      <c r="I4292" t="inlineStr">
        <is>
          <t>entidad-dia</t>
        </is>
      </c>
    </row>
    <row r="4293">
      <c r="A4293" t="inlineStr">
        <is>
          <t>PRAGMA</t>
        </is>
      </c>
      <c r="B4293" t="inlineStr">
        <is>
          <t>M1</t>
        </is>
      </c>
      <c r="C4293" t="inlineStr">
        <is>
          <t>Cali</t>
        </is>
      </c>
      <c r="D4293" t="inlineStr">
        <is>
          <t>7464</t>
        </is>
      </c>
      <c r="E4293" t="inlineStr">
        <is>
          <t>pagado</t>
        </is>
      </c>
      <c r="F4293" s="23" t="n">
        <v>46266</v>
      </c>
      <c r="G4293" s="24">
        <f>F4293-DATE(2026,8,31)</f>
        <v>1</v>
      </c>
      <c r="H4293" s="25" t="n">
        <v>152136721</v>
      </c>
      <c r="I4293" t="inlineStr">
        <is>
          <t>entidad-dia</t>
        </is>
      </c>
    </row>
    <row r="4294">
      <c r="A4294" t="inlineStr">
        <is>
          <t>PRAGMA</t>
        </is>
      </c>
      <c r="B4294" t="inlineStr">
        <is>
          <t>M1</t>
        </is>
      </c>
      <c r="C4294" t="inlineStr">
        <is>
          <t>Cali</t>
        </is>
      </c>
      <c r="D4294" t="inlineStr">
        <is>
          <t>7464</t>
        </is>
      </c>
      <c r="E4294" t="inlineStr">
        <is>
          <t>pagado</t>
        </is>
      </c>
      <c r="F4294" s="23" t="n">
        <v>46267</v>
      </c>
      <c r="G4294" s="24">
        <f>F4294-DATE(2026,8,31)</f>
        <v>2</v>
      </c>
      <c r="H4294" s="25" t="n">
        <v>117332498</v>
      </c>
      <c r="I4294" t="inlineStr">
        <is>
          <t>entidad-dia</t>
        </is>
      </c>
    </row>
    <row r="4295">
      <c r="A4295" t="inlineStr">
        <is>
          <t>PRAGMA</t>
        </is>
      </c>
      <c r="B4295" t="inlineStr">
        <is>
          <t>M1</t>
        </is>
      </c>
      <c r="C4295" t="inlineStr">
        <is>
          <t>Cali</t>
        </is>
      </c>
      <c r="D4295" t="inlineStr">
        <is>
          <t>7464</t>
        </is>
      </c>
      <c r="E4295" t="inlineStr">
        <is>
          <t>pagado</t>
        </is>
      </c>
      <c r="F4295" s="23" t="n">
        <v>46268</v>
      </c>
      <c r="G4295" s="24">
        <f>F4295-DATE(2026,8,31)</f>
        <v>3</v>
      </c>
      <c r="H4295" s="25" t="n">
        <v>103923977</v>
      </c>
      <c r="I4295" t="inlineStr">
        <is>
          <t>entidad-dia</t>
        </is>
      </c>
    </row>
    <row r="4296">
      <c r="A4296" t="inlineStr">
        <is>
          <t>PRAGMA</t>
        </is>
      </c>
      <c r="B4296" t="inlineStr">
        <is>
          <t>M1</t>
        </is>
      </c>
      <c r="C4296" t="inlineStr">
        <is>
          <t>Cali</t>
        </is>
      </c>
      <c r="D4296" t="inlineStr">
        <is>
          <t>7464</t>
        </is>
      </c>
      <c r="E4296" t="inlineStr">
        <is>
          <t>pagado</t>
        </is>
      </c>
      <c r="F4296" s="23" t="n">
        <v>46269</v>
      </c>
      <c r="G4296" s="24">
        <f>F4296-DATE(2026,8,31)</f>
        <v>4</v>
      </c>
      <c r="H4296" s="25" t="n">
        <v>105960139</v>
      </c>
      <c r="I4296" t="inlineStr">
        <is>
          <t>entidad-dia</t>
        </is>
      </c>
    </row>
    <row r="4297">
      <c r="A4297" t="inlineStr">
        <is>
          <t>PRAGMA</t>
        </is>
      </c>
      <c r="B4297" t="inlineStr">
        <is>
          <t>M1</t>
        </is>
      </c>
      <c r="C4297" t="inlineStr">
        <is>
          <t>Cali</t>
        </is>
      </c>
      <c r="D4297" t="inlineStr">
        <is>
          <t>7464</t>
        </is>
      </c>
      <c r="E4297" t="inlineStr">
        <is>
          <t>pagado</t>
        </is>
      </c>
      <c r="F4297" s="23" t="n">
        <v>46270</v>
      </c>
      <c r="G4297" s="24">
        <f>F4297-DATE(2026,8,31)</f>
        <v>5</v>
      </c>
      <c r="H4297" s="25" t="n">
        <v>114884324</v>
      </c>
      <c r="I4297" t="inlineStr">
        <is>
          <t>entidad-dia</t>
        </is>
      </c>
    </row>
    <row r="4298">
      <c r="A4298" t="inlineStr">
        <is>
          <t>PRAGMA</t>
        </is>
      </c>
      <c r="B4298" t="inlineStr">
        <is>
          <t>M1</t>
        </is>
      </c>
      <c r="C4298" t="inlineStr">
        <is>
          <t>Cali</t>
        </is>
      </c>
      <c r="D4298" t="inlineStr">
        <is>
          <t>7464</t>
        </is>
      </c>
      <c r="E4298" t="inlineStr">
        <is>
          <t>pagado</t>
        </is>
      </c>
      <c r="F4298" s="23" t="n">
        <v>46271</v>
      </c>
      <c r="G4298" s="24">
        <f>F4298-DATE(2026,8,31)</f>
        <v>6</v>
      </c>
      <c r="H4298" s="25" t="n">
        <v>76793433</v>
      </c>
      <c r="I4298" t="inlineStr">
        <is>
          <t>entidad-dia</t>
        </is>
      </c>
    </row>
    <row r="4299">
      <c r="A4299" t="inlineStr">
        <is>
          <t>PRAGMA</t>
        </is>
      </c>
      <c r="B4299" t="inlineStr">
        <is>
          <t>M1</t>
        </is>
      </c>
      <c r="C4299" t="inlineStr">
        <is>
          <t>Cali</t>
        </is>
      </c>
      <c r="D4299" t="inlineStr">
        <is>
          <t>7464</t>
        </is>
      </c>
      <c r="E4299" t="inlineStr">
        <is>
          <t>pagado</t>
        </is>
      </c>
      <c r="F4299" s="23" t="n">
        <v>46272</v>
      </c>
      <c r="G4299" s="24">
        <f>F4299-DATE(2026,8,31)</f>
        <v>7</v>
      </c>
      <c r="H4299" s="25" t="n">
        <v>80761183</v>
      </c>
      <c r="I4299" t="inlineStr">
        <is>
          <t>entidad-dia</t>
        </is>
      </c>
    </row>
    <row r="4300">
      <c r="A4300" t="inlineStr">
        <is>
          <t>PRAGMA</t>
        </is>
      </c>
      <c r="B4300" t="inlineStr">
        <is>
          <t>M1</t>
        </is>
      </c>
      <c r="C4300" t="inlineStr">
        <is>
          <t>Cali</t>
        </is>
      </c>
      <c r="D4300" t="inlineStr">
        <is>
          <t>7464</t>
        </is>
      </c>
      <c r="E4300" t="inlineStr">
        <is>
          <t>pagado</t>
        </is>
      </c>
      <c r="F4300" s="23" t="n">
        <v>46273</v>
      </c>
      <c r="G4300" s="24">
        <f>F4300-DATE(2026,8,31)</f>
        <v>8</v>
      </c>
      <c r="H4300" s="25" t="n">
        <v>81695338</v>
      </c>
      <c r="I4300" t="inlineStr">
        <is>
          <t>entidad-dia</t>
        </is>
      </c>
    </row>
    <row r="4301">
      <c r="A4301" t="inlineStr">
        <is>
          <t>PRAGMA</t>
        </is>
      </c>
      <c r="B4301" t="inlineStr">
        <is>
          <t>M1</t>
        </is>
      </c>
      <c r="C4301" t="inlineStr">
        <is>
          <t>Cali</t>
        </is>
      </c>
      <c r="D4301" t="inlineStr">
        <is>
          <t>7464</t>
        </is>
      </c>
      <c r="E4301" t="inlineStr">
        <is>
          <t>pagado</t>
        </is>
      </c>
      <c r="F4301" s="23" t="n">
        <v>46274</v>
      </c>
      <c r="G4301" s="24">
        <f>F4301-DATE(2026,8,31)</f>
        <v>9</v>
      </c>
      <c r="H4301" s="25" t="n">
        <v>78274282</v>
      </c>
      <c r="I4301" t="inlineStr">
        <is>
          <t>entidad-dia</t>
        </is>
      </c>
    </row>
    <row r="4302">
      <c r="A4302" t="inlineStr">
        <is>
          <t>PRAGMA</t>
        </is>
      </c>
      <c r="B4302" t="inlineStr">
        <is>
          <t>M1</t>
        </is>
      </c>
      <c r="C4302" t="inlineStr">
        <is>
          <t>Cali</t>
        </is>
      </c>
      <c r="D4302" t="inlineStr">
        <is>
          <t>7464</t>
        </is>
      </c>
      <c r="E4302" t="inlineStr">
        <is>
          <t>pagado</t>
        </is>
      </c>
      <c r="F4302" s="23" t="n">
        <v>46275</v>
      </c>
      <c r="G4302" s="24">
        <f>F4302-DATE(2026,8,31)</f>
        <v>10</v>
      </c>
      <c r="H4302" s="25" t="n">
        <v>71327303</v>
      </c>
      <c r="I4302" t="inlineStr">
        <is>
          <t>entidad-dia</t>
        </is>
      </c>
    </row>
    <row r="4303">
      <c r="A4303" t="inlineStr">
        <is>
          <t>PRAGMA</t>
        </is>
      </c>
      <c r="B4303" t="inlineStr">
        <is>
          <t>M1</t>
        </is>
      </c>
      <c r="C4303" t="inlineStr">
        <is>
          <t>Cali</t>
        </is>
      </c>
      <c r="D4303" t="inlineStr">
        <is>
          <t>7464</t>
        </is>
      </c>
      <c r="E4303" t="inlineStr">
        <is>
          <t>pagado</t>
        </is>
      </c>
      <c r="F4303" s="23" t="n">
        <v>46276</v>
      </c>
      <c r="G4303" s="24">
        <f>F4303-DATE(2026,8,31)</f>
        <v>11</v>
      </c>
      <c r="H4303" s="25" t="n">
        <v>80156818</v>
      </c>
      <c r="I4303" t="inlineStr">
        <is>
          <t>entidad-dia</t>
        </is>
      </c>
    </row>
    <row r="4304">
      <c r="A4304" t="inlineStr">
        <is>
          <t>PRAGMA</t>
        </is>
      </c>
      <c r="B4304" t="inlineStr">
        <is>
          <t>M1</t>
        </is>
      </c>
      <c r="C4304" t="inlineStr">
        <is>
          <t>Cali</t>
        </is>
      </c>
      <c r="D4304" t="inlineStr">
        <is>
          <t>7464</t>
        </is>
      </c>
      <c r="E4304" t="inlineStr">
        <is>
          <t>pagado</t>
        </is>
      </c>
      <c r="F4304" s="23" t="n">
        <v>46277</v>
      </c>
      <c r="G4304" s="24">
        <f>F4304-DATE(2026,8,31)</f>
        <v>12</v>
      </c>
      <c r="H4304" s="25" t="n">
        <v>91105167</v>
      </c>
      <c r="I4304" t="inlineStr">
        <is>
          <t>entidad-dia</t>
        </is>
      </c>
    </row>
    <row r="4305">
      <c r="A4305" t="inlineStr">
        <is>
          <t>PRAGMA</t>
        </is>
      </c>
      <c r="B4305" t="inlineStr">
        <is>
          <t>M1</t>
        </is>
      </c>
      <c r="C4305" t="inlineStr">
        <is>
          <t>Cali</t>
        </is>
      </c>
      <c r="D4305" t="inlineStr">
        <is>
          <t>7464</t>
        </is>
      </c>
      <c r="E4305" t="inlineStr">
        <is>
          <t>pagado</t>
        </is>
      </c>
      <c r="F4305" s="23" t="n">
        <v>46278</v>
      </c>
      <c r="G4305" s="24">
        <f>F4305-DATE(2026,8,31)</f>
        <v>13</v>
      </c>
      <c r="H4305" s="25" t="n">
        <v>57969158</v>
      </c>
      <c r="I4305" t="inlineStr">
        <is>
          <t>entidad-dia</t>
        </is>
      </c>
    </row>
    <row r="4306">
      <c r="A4306" t="inlineStr">
        <is>
          <t>PRAGMA</t>
        </is>
      </c>
      <c r="B4306" t="inlineStr">
        <is>
          <t>M1</t>
        </is>
      </c>
      <c r="C4306" t="inlineStr">
        <is>
          <t>Cali</t>
        </is>
      </c>
      <c r="D4306" t="inlineStr">
        <is>
          <t>7464</t>
        </is>
      </c>
      <c r="E4306" t="inlineStr">
        <is>
          <t>pagado</t>
        </is>
      </c>
      <c r="F4306" s="23" t="n">
        <v>46279</v>
      </c>
      <c r="G4306" s="24">
        <f>F4306-DATE(2026,8,31)</f>
        <v>14</v>
      </c>
      <c r="H4306" s="25" t="n">
        <v>74288594</v>
      </c>
      <c r="I4306" t="inlineStr">
        <is>
          <t>entidad-dia</t>
        </is>
      </c>
    </row>
    <row r="4307">
      <c r="A4307" t="inlineStr">
        <is>
          <t>PRAGMA</t>
        </is>
      </c>
      <c r="B4307" t="inlineStr">
        <is>
          <t>M1</t>
        </is>
      </c>
      <c r="C4307" t="inlineStr">
        <is>
          <t>Cali</t>
        </is>
      </c>
      <c r="D4307" t="inlineStr">
        <is>
          <t>7464</t>
        </is>
      </c>
      <c r="E4307" t="inlineStr">
        <is>
          <t>pagado</t>
        </is>
      </c>
      <c r="F4307" s="23" t="n">
        <v>46280</v>
      </c>
      <c r="G4307" s="24">
        <f>F4307-DATE(2026,8,31)</f>
        <v>15</v>
      </c>
      <c r="H4307" s="25" t="n">
        <v>109392746</v>
      </c>
      <c r="I4307" t="inlineStr">
        <is>
          <t>entidad-dia</t>
        </is>
      </c>
    </row>
    <row r="4308">
      <c r="A4308" t="inlineStr">
        <is>
          <t>PRAGMA</t>
        </is>
      </c>
      <c r="B4308" t="inlineStr">
        <is>
          <t>M1</t>
        </is>
      </c>
      <c r="C4308" t="inlineStr">
        <is>
          <t>Pasto</t>
        </is>
      </c>
      <c r="D4308" t="inlineStr">
        <is>
          <t>748</t>
        </is>
      </c>
      <c r="E4308" t="inlineStr">
        <is>
          <t>pagado</t>
        </is>
      </c>
      <c r="F4308" s="23" t="n">
        <v>46266</v>
      </c>
      <c r="G4308" s="24">
        <f>F4308-DATE(2026,8,31)</f>
        <v>1</v>
      </c>
      <c r="H4308" s="25" t="n">
        <v>193244299</v>
      </c>
      <c r="I4308" t="inlineStr">
        <is>
          <t>entidad-dia</t>
        </is>
      </c>
    </row>
    <row r="4309">
      <c r="A4309" t="inlineStr">
        <is>
          <t>PRAGMA</t>
        </is>
      </c>
      <c r="B4309" t="inlineStr">
        <is>
          <t>M1</t>
        </is>
      </c>
      <c r="C4309" t="inlineStr">
        <is>
          <t>Pasto</t>
        </is>
      </c>
      <c r="D4309" t="inlineStr">
        <is>
          <t>748</t>
        </is>
      </c>
      <c r="E4309" t="inlineStr">
        <is>
          <t>pagado</t>
        </is>
      </c>
      <c r="F4309" s="23" t="n">
        <v>46267</v>
      </c>
      <c r="G4309" s="24">
        <f>F4309-DATE(2026,8,31)</f>
        <v>2</v>
      </c>
      <c r="H4309" s="25" t="n">
        <v>148436638</v>
      </c>
      <c r="I4309" t="inlineStr">
        <is>
          <t>entidad-dia</t>
        </is>
      </c>
    </row>
    <row r="4310">
      <c r="A4310" t="inlineStr">
        <is>
          <t>PRAGMA</t>
        </is>
      </c>
      <c r="B4310" t="inlineStr">
        <is>
          <t>M1</t>
        </is>
      </c>
      <c r="C4310" t="inlineStr">
        <is>
          <t>Pasto</t>
        </is>
      </c>
      <c r="D4310" t="inlineStr">
        <is>
          <t>748</t>
        </is>
      </c>
      <c r="E4310" t="inlineStr">
        <is>
          <t>pagado</t>
        </is>
      </c>
      <c r="F4310" s="23" t="n">
        <v>46268</v>
      </c>
      <c r="G4310" s="24">
        <f>F4310-DATE(2026,8,31)</f>
        <v>3</v>
      </c>
      <c r="H4310" s="25" t="n">
        <v>143292009</v>
      </c>
      <c r="I4310" t="inlineStr">
        <is>
          <t>entidad-dia</t>
        </is>
      </c>
    </row>
    <row r="4311">
      <c r="A4311" t="inlineStr">
        <is>
          <t>PRAGMA</t>
        </is>
      </c>
      <c r="B4311" t="inlineStr">
        <is>
          <t>M1</t>
        </is>
      </c>
      <c r="C4311" t="inlineStr">
        <is>
          <t>Pasto</t>
        </is>
      </c>
      <c r="D4311" t="inlineStr">
        <is>
          <t>748</t>
        </is>
      </c>
      <c r="E4311" t="inlineStr">
        <is>
          <t>pagado</t>
        </is>
      </c>
      <c r="F4311" s="23" t="n">
        <v>46269</v>
      </c>
      <c r="G4311" s="24">
        <f>F4311-DATE(2026,8,31)</f>
        <v>4</v>
      </c>
      <c r="H4311" s="25" t="n">
        <v>148729807</v>
      </c>
      <c r="I4311" t="inlineStr">
        <is>
          <t>entidad-dia</t>
        </is>
      </c>
    </row>
    <row r="4312">
      <c r="A4312" t="inlineStr">
        <is>
          <t>PRAGMA</t>
        </is>
      </c>
      <c r="B4312" t="inlineStr">
        <is>
          <t>M1</t>
        </is>
      </c>
      <c r="C4312" t="inlineStr">
        <is>
          <t>Pasto</t>
        </is>
      </c>
      <c r="D4312" t="inlineStr">
        <is>
          <t>748</t>
        </is>
      </c>
      <c r="E4312" t="inlineStr">
        <is>
          <t>pagado</t>
        </is>
      </c>
      <c r="F4312" s="23" t="n">
        <v>46270</v>
      </c>
      <c r="G4312" s="24">
        <f>F4312-DATE(2026,8,31)</f>
        <v>5</v>
      </c>
      <c r="H4312" s="25" t="n">
        <v>138852178</v>
      </c>
      <c r="I4312" t="inlineStr">
        <is>
          <t>entidad-dia</t>
        </is>
      </c>
    </row>
    <row r="4313">
      <c r="A4313" t="inlineStr">
        <is>
          <t>PRAGMA</t>
        </is>
      </c>
      <c r="B4313" t="inlineStr">
        <is>
          <t>M1</t>
        </is>
      </c>
      <c r="C4313" t="inlineStr">
        <is>
          <t>Pasto</t>
        </is>
      </c>
      <c r="D4313" t="inlineStr">
        <is>
          <t>748</t>
        </is>
      </c>
      <c r="E4313" t="inlineStr">
        <is>
          <t>pagado</t>
        </is>
      </c>
      <c r="F4313" s="23" t="n">
        <v>46271</v>
      </c>
      <c r="G4313" s="24">
        <f>F4313-DATE(2026,8,31)</f>
        <v>6</v>
      </c>
      <c r="H4313" s="25" t="n">
        <v>77298847</v>
      </c>
      <c r="I4313" t="inlineStr">
        <is>
          <t>entidad-dia</t>
        </is>
      </c>
    </row>
    <row r="4314">
      <c r="A4314" t="inlineStr">
        <is>
          <t>PRAGMA</t>
        </is>
      </c>
      <c r="B4314" t="inlineStr">
        <is>
          <t>M1</t>
        </is>
      </c>
      <c r="C4314" t="inlineStr">
        <is>
          <t>Pasto</t>
        </is>
      </c>
      <c r="D4314" t="inlineStr">
        <is>
          <t>748</t>
        </is>
      </c>
      <c r="E4314" t="inlineStr">
        <is>
          <t>pagado</t>
        </is>
      </c>
      <c r="F4314" s="23" t="n">
        <v>46272</v>
      </c>
      <c r="G4314" s="24">
        <f>F4314-DATE(2026,8,31)</f>
        <v>7</v>
      </c>
      <c r="H4314" s="25" t="n">
        <v>117533249</v>
      </c>
      <c r="I4314" t="inlineStr">
        <is>
          <t>entidad-dia</t>
        </is>
      </c>
    </row>
    <row r="4315">
      <c r="A4315" t="inlineStr">
        <is>
          <t>PRAGMA</t>
        </is>
      </c>
      <c r="B4315" t="inlineStr">
        <is>
          <t>M1</t>
        </is>
      </c>
      <c r="C4315" t="inlineStr">
        <is>
          <t>Pasto</t>
        </is>
      </c>
      <c r="D4315" t="inlineStr">
        <is>
          <t>748</t>
        </is>
      </c>
      <c r="E4315" t="inlineStr">
        <is>
          <t>pagado</t>
        </is>
      </c>
      <c r="F4315" s="23" t="n">
        <v>46273</v>
      </c>
      <c r="G4315" s="24">
        <f>F4315-DATE(2026,8,31)</f>
        <v>8</v>
      </c>
      <c r="H4315" s="25" t="n">
        <v>114076711</v>
      </c>
      <c r="I4315" t="inlineStr">
        <is>
          <t>entidad-dia</t>
        </is>
      </c>
    </row>
    <row r="4316">
      <c r="A4316" t="inlineStr">
        <is>
          <t>PRAGMA</t>
        </is>
      </c>
      <c r="B4316" t="inlineStr">
        <is>
          <t>M1</t>
        </is>
      </c>
      <c r="C4316" t="inlineStr">
        <is>
          <t>Pasto</t>
        </is>
      </c>
      <c r="D4316" t="inlineStr">
        <is>
          <t>748</t>
        </is>
      </c>
      <c r="E4316" t="inlineStr">
        <is>
          <t>pagado</t>
        </is>
      </c>
      <c r="F4316" s="23" t="n">
        <v>46274</v>
      </c>
      <c r="G4316" s="24">
        <f>F4316-DATE(2026,8,31)</f>
        <v>9</v>
      </c>
      <c r="H4316" s="25" t="n">
        <v>106634132</v>
      </c>
      <c r="I4316" t="inlineStr">
        <is>
          <t>entidad-dia</t>
        </is>
      </c>
    </row>
    <row r="4317">
      <c r="A4317" t="inlineStr">
        <is>
          <t>PRAGMA</t>
        </is>
      </c>
      <c r="B4317" t="inlineStr">
        <is>
          <t>M1</t>
        </is>
      </c>
      <c r="C4317" t="inlineStr">
        <is>
          <t>Pasto</t>
        </is>
      </c>
      <c r="D4317" t="inlineStr">
        <is>
          <t>748</t>
        </is>
      </c>
      <c r="E4317" t="inlineStr">
        <is>
          <t>pagado</t>
        </is>
      </c>
      <c r="F4317" s="23" t="n">
        <v>46275</v>
      </c>
      <c r="G4317" s="24">
        <f>F4317-DATE(2026,8,31)</f>
        <v>10</v>
      </c>
      <c r="H4317" s="25" t="n">
        <v>115149549</v>
      </c>
      <c r="I4317" t="inlineStr">
        <is>
          <t>entidad-dia</t>
        </is>
      </c>
    </row>
    <row r="4318">
      <c r="A4318" t="inlineStr">
        <is>
          <t>PRAGMA</t>
        </is>
      </c>
      <c r="B4318" t="inlineStr">
        <is>
          <t>M1</t>
        </is>
      </c>
      <c r="C4318" t="inlineStr">
        <is>
          <t>Pasto</t>
        </is>
      </c>
      <c r="D4318" t="inlineStr">
        <is>
          <t>748</t>
        </is>
      </c>
      <c r="E4318" t="inlineStr">
        <is>
          <t>pagado</t>
        </is>
      </c>
      <c r="F4318" s="23" t="n">
        <v>46276</v>
      </c>
      <c r="G4318" s="24">
        <f>F4318-DATE(2026,8,31)</f>
        <v>11</v>
      </c>
      <c r="H4318" s="25" t="n">
        <v>122625503</v>
      </c>
      <c r="I4318" t="inlineStr">
        <is>
          <t>entidad-dia</t>
        </is>
      </c>
    </row>
    <row r="4319">
      <c r="A4319" t="inlineStr">
        <is>
          <t>PRAGMA</t>
        </is>
      </c>
      <c r="B4319" t="inlineStr">
        <is>
          <t>M1</t>
        </is>
      </c>
      <c r="C4319" t="inlineStr">
        <is>
          <t>Pasto</t>
        </is>
      </c>
      <c r="D4319" t="inlineStr">
        <is>
          <t>748</t>
        </is>
      </c>
      <c r="E4319" t="inlineStr">
        <is>
          <t>pagado</t>
        </is>
      </c>
      <c r="F4319" s="23" t="n">
        <v>46277</v>
      </c>
      <c r="G4319" s="24">
        <f>F4319-DATE(2026,8,31)</f>
        <v>12</v>
      </c>
      <c r="H4319" s="25" t="n">
        <v>104161188</v>
      </c>
      <c r="I4319" t="inlineStr">
        <is>
          <t>entidad-dia</t>
        </is>
      </c>
    </row>
    <row r="4320">
      <c r="A4320" t="inlineStr">
        <is>
          <t>PRAGMA</t>
        </is>
      </c>
      <c r="B4320" t="inlineStr">
        <is>
          <t>M1</t>
        </is>
      </c>
      <c r="C4320" t="inlineStr">
        <is>
          <t>Pasto</t>
        </is>
      </c>
      <c r="D4320" t="inlineStr">
        <is>
          <t>748</t>
        </is>
      </c>
      <c r="E4320" t="inlineStr">
        <is>
          <t>pagado</t>
        </is>
      </c>
      <c r="F4320" s="23" t="n">
        <v>46278</v>
      </c>
      <c r="G4320" s="24">
        <f>F4320-DATE(2026,8,31)</f>
        <v>13</v>
      </c>
      <c r="H4320" s="25" t="n">
        <v>59608494</v>
      </c>
      <c r="I4320" t="inlineStr">
        <is>
          <t>entidad-dia</t>
        </is>
      </c>
    </row>
    <row r="4321">
      <c r="A4321" t="inlineStr">
        <is>
          <t>PRAGMA</t>
        </is>
      </c>
      <c r="B4321" t="inlineStr">
        <is>
          <t>M1</t>
        </is>
      </c>
      <c r="C4321" t="inlineStr">
        <is>
          <t>Pasto</t>
        </is>
      </c>
      <c r="D4321" t="inlineStr">
        <is>
          <t>748</t>
        </is>
      </c>
      <c r="E4321" t="inlineStr">
        <is>
          <t>pagado</t>
        </is>
      </c>
      <c r="F4321" s="23" t="n">
        <v>46279</v>
      </c>
      <c r="G4321" s="24">
        <f>F4321-DATE(2026,8,31)</f>
        <v>14</v>
      </c>
      <c r="H4321" s="25" t="n">
        <v>105396816</v>
      </c>
      <c r="I4321" t="inlineStr">
        <is>
          <t>entidad-dia</t>
        </is>
      </c>
    </row>
    <row r="4322">
      <c r="A4322" t="inlineStr">
        <is>
          <t>PRAGMA</t>
        </is>
      </c>
      <c r="B4322" t="inlineStr">
        <is>
          <t>M1</t>
        </is>
      </c>
      <c r="C4322" t="inlineStr">
        <is>
          <t>Pasto</t>
        </is>
      </c>
      <c r="D4322" t="inlineStr">
        <is>
          <t>748</t>
        </is>
      </c>
      <c r="E4322" t="inlineStr">
        <is>
          <t>pagado</t>
        </is>
      </c>
      <c r="F4322" s="23" t="n">
        <v>46280</v>
      </c>
      <c r="G4322" s="24">
        <f>F4322-DATE(2026,8,31)</f>
        <v>15</v>
      </c>
      <c r="H4322" s="25" t="n">
        <v>123545828</v>
      </c>
      <c r="I4322" t="inlineStr">
        <is>
          <t>entidad-dia</t>
        </is>
      </c>
    </row>
    <row r="4323">
      <c r="A4323" t="inlineStr">
        <is>
          <t>PRAGMA</t>
        </is>
      </c>
      <c r="B4323" t="inlineStr">
        <is>
          <t>M1</t>
        </is>
      </c>
      <c r="C4323" t="inlineStr">
        <is>
          <t>Ipiales</t>
        </is>
      </c>
      <c r="D4323" t="inlineStr">
        <is>
          <t>7484</t>
        </is>
      </c>
      <c r="E4323" t="inlineStr">
        <is>
          <t>pagado</t>
        </is>
      </c>
      <c r="F4323" s="23" t="n">
        <v>46266</v>
      </c>
      <c r="G4323" s="24">
        <f>F4323-DATE(2026,8,31)</f>
        <v>1</v>
      </c>
      <c r="H4323" s="25" t="n">
        <v>98747612</v>
      </c>
      <c r="I4323" t="inlineStr">
        <is>
          <t>entidad-dia</t>
        </is>
      </c>
    </row>
    <row r="4324">
      <c r="A4324" t="inlineStr">
        <is>
          <t>PRAGMA</t>
        </is>
      </c>
      <c r="B4324" t="inlineStr">
        <is>
          <t>M1</t>
        </is>
      </c>
      <c r="C4324" t="inlineStr">
        <is>
          <t>Ipiales</t>
        </is>
      </c>
      <c r="D4324" t="inlineStr">
        <is>
          <t>7484</t>
        </is>
      </c>
      <c r="E4324" t="inlineStr">
        <is>
          <t>pagado</t>
        </is>
      </c>
      <c r="F4324" s="23" t="n">
        <v>46267</v>
      </c>
      <c r="G4324" s="24">
        <f>F4324-DATE(2026,8,31)</f>
        <v>2</v>
      </c>
      <c r="H4324" s="25" t="n">
        <v>77226165</v>
      </c>
      <c r="I4324" t="inlineStr">
        <is>
          <t>entidad-dia</t>
        </is>
      </c>
    </row>
    <row r="4325">
      <c r="A4325" t="inlineStr">
        <is>
          <t>PRAGMA</t>
        </is>
      </c>
      <c r="B4325" t="inlineStr">
        <is>
          <t>M1</t>
        </is>
      </c>
      <c r="C4325" t="inlineStr">
        <is>
          <t>Ipiales</t>
        </is>
      </c>
      <c r="D4325" t="inlineStr">
        <is>
          <t>7484</t>
        </is>
      </c>
      <c r="E4325" t="inlineStr">
        <is>
          <t>pagado</t>
        </is>
      </c>
      <c r="F4325" s="23" t="n">
        <v>46268</v>
      </c>
      <c r="G4325" s="24">
        <f>F4325-DATE(2026,8,31)</f>
        <v>3</v>
      </c>
      <c r="H4325" s="25" t="n">
        <v>73752502</v>
      </c>
      <c r="I4325" t="inlineStr">
        <is>
          <t>entidad-dia</t>
        </is>
      </c>
    </row>
    <row r="4326">
      <c r="A4326" t="inlineStr">
        <is>
          <t>PRAGMA</t>
        </is>
      </c>
      <c r="B4326" t="inlineStr">
        <is>
          <t>M1</t>
        </is>
      </c>
      <c r="C4326" t="inlineStr">
        <is>
          <t>Ipiales</t>
        </is>
      </c>
      <c r="D4326" t="inlineStr">
        <is>
          <t>7484</t>
        </is>
      </c>
      <c r="E4326" t="inlineStr">
        <is>
          <t>pagado</t>
        </is>
      </c>
      <c r="F4326" s="23" t="n">
        <v>46269</v>
      </c>
      <c r="G4326" s="24">
        <f>F4326-DATE(2026,8,31)</f>
        <v>4</v>
      </c>
      <c r="H4326" s="25" t="n">
        <v>73724808</v>
      </c>
      <c r="I4326" t="inlineStr">
        <is>
          <t>entidad-dia</t>
        </is>
      </c>
    </row>
    <row r="4327">
      <c r="A4327" t="inlineStr">
        <is>
          <t>PRAGMA</t>
        </is>
      </c>
      <c r="B4327" t="inlineStr">
        <is>
          <t>M1</t>
        </is>
      </c>
      <c r="C4327" t="inlineStr">
        <is>
          <t>Ipiales</t>
        </is>
      </c>
      <c r="D4327" t="inlineStr">
        <is>
          <t>7484</t>
        </is>
      </c>
      <c r="E4327" t="inlineStr">
        <is>
          <t>pagado</t>
        </is>
      </c>
      <c r="F4327" s="23" t="n">
        <v>46270</v>
      </c>
      <c r="G4327" s="24">
        <f>F4327-DATE(2026,8,31)</f>
        <v>5</v>
      </c>
      <c r="H4327" s="25" t="n">
        <v>89848226</v>
      </c>
      <c r="I4327" t="inlineStr">
        <is>
          <t>entidad-dia</t>
        </is>
      </c>
    </row>
    <row r="4328">
      <c r="A4328" t="inlineStr">
        <is>
          <t>PRAGMA</t>
        </is>
      </c>
      <c r="B4328" t="inlineStr">
        <is>
          <t>M1</t>
        </is>
      </c>
      <c r="C4328" t="inlineStr">
        <is>
          <t>Ipiales</t>
        </is>
      </c>
      <c r="D4328" t="inlineStr">
        <is>
          <t>7484</t>
        </is>
      </c>
      <c r="E4328" t="inlineStr">
        <is>
          <t>pagado</t>
        </is>
      </c>
      <c r="F4328" s="23" t="n">
        <v>46271</v>
      </c>
      <c r="G4328" s="24">
        <f>F4328-DATE(2026,8,31)</f>
        <v>6</v>
      </c>
      <c r="H4328" s="25" t="n">
        <v>65780084</v>
      </c>
      <c r="I4328" t="inlineStr">
        <is>
          <t>entidad-dia</t>
        </is>
      </c>
    </row>
    <row r="4329">
      <c r="A4329" t="inlineStr">
        <is>
          <t>PRAGMA</t>
        </is>
      </c>
      <c r="B4329" t="inlineStr">
        <is>
          <t>M1</t>
        </is>
      </c>
      <c r="C4329" t="inlineStr">
        <is>
          <t>Ipiales</t>
        </is>
      </c>
      <c r="D4329" t="inlineStr">
        <is>
          <t>7484</t>
        </is>
      </c>
      <c r="E4329" t="inlineStr">
        <is>
          <t>pagado</t>
        </is>
      </c>
      <c r="F4329" s="23" t="n">
        <v>46272</v>
      </c>
      <c r="G4329" s="24">
        <f>F4329-DATE(2026,8,31)</f>
        <v>7</v>
      </c>
      <c r="H4329" s="25" t="n">
        <v>71075296</v>
      </c>
      <c r="I4329" t="inlineStr">
        <is>
          <t>entidad-dia</t>
        </is>
      </c>
    </row>
    <row r="4330">
      <c r="A4330" t="inlineStr">
        <is>
          <t>PRAGMA</t>
        </is>
      </c>
      <c r="B4330" t="inlineStr">
        <is>
          <t>M1</t>
        </is>
      </c>
      <c r="C4330" t="inlineStr">
        <is>
          <t>Ipiales</t>
        </is>
      </c>
      <c r="D4330" t="inlineStr">
        <is>
          <t>7484</t>
        </is>
      </c>
      <c r="E4330" t="inlineStr">
        <is>
          <t>pagado</t>
        </is>
      </c>
      <c r="F4330" s="23" t="n">
        <v>46273</v>
      </c>
      <c r="G4330" s="24">
        <f>F4330-DATE(2026,8,31)</f>
        <v>8</v>
      </c>
      <c r="H4330" s="25" t="n">
        <v>62594838</v>
      </c>
      <c r="I4330" t="inlineStr">
        <is>
          <t>entidad-dia</t>
        </is>
      </c>
    </row>
    <row r="4331">
      <c r="A4331" t="inlineStr">
        <is>
          <t>PRAGMA</t>
        </is>
      </c>
      <c r="B4331" t="inlineStr">
        <is>
          <t>M1</t>
        </is>
      </c>
      <c r="C4331" t="inlineStr">
        <is>
          <t>Ipiales</t>
        </is>
      </c>
      <c r="D4331" t="inlineStr">
        <is>
          <t>7484</t>
        </is>
      </c>
      <c r="E4331" t="inlineStr">
        <is>
          <t>pagado</t>
        </is>
      </c>
      <c r="F4331" s="23" t="n">
        <v>46274</v>
      </c>
      <c r="G4331" s="24">
        <f>F4331-DATE(2026,8,31)</f>
        <v>9</v>
      </c>
      <c r="H4331" s="25" t="n">
        <v>60664998</v>
      </c>
      <c r="I4331" t="inlineStr">
        <is>
          <t>entidad-dia</t>
        </is>
      </c>
    </row>
    <row r="4332">
      <c r="A4332" t="inlineStr">
        <is>
          <t>PRAGMA</t>
        </is>
      </c>
      <c r="B4332" t="inlineStr">
        <is>
          <t>M1</t>
        </is>
      </c>
      <c r="C4332" t="inlineStr">
        <is>
          <t>Ipiales</t>
        </is>
      </c>
      <c r="D4332" t="inlineStr">
        <is>
          <t>7484</t>
        </is>
      </c>
      <c r="E4332" t="inlineStr">
        <is>
          <t>pagado</t>
        </is>
      </c>
      <c r="F4332" s="23" t="n">
        <v>46275</v>
      </c>
      <c r="G4332" s="24">
        <f>F4332-DATE(2026,8,31)</f>
        <v>10</v>
      </c>
      <c r="H4332" s="25" t="n">
        <v>50578845</v>
      </c>
      <c r="I4332" t="inlineStr">
        <is>
          <t>entidad-dia</t>
        </is>
      </c>
    </row>
    <row r="4333">
      <c r="A4333" t="inlineStr">
        <is>
          <t>PRAGMA</t>
        </is>
      </c>
      <c r="B4333" t="inlineStr">
        <is>
          <t>M1</t>
        </is>
      </c>
      <c r="C4333" t="inlineStr">
        <is>
          <t>Ipiales</t>
        </is>
      </c>
      <c r="D4333" t="inlineStr">
        <is>
          <t>7484</t>
        </is>
      </c>
      <c r="E4333" t="inlineStr">
        <is>
          <t>pagado</t>
        </is>
      </c>
      <c r="F4333" s="23" t="n">
        <v>46276</v>
      </c>
      <c r="G4333" s="24">
        <f>F4333-DATE(2026,8,31)</f>
        <v>11</v>
      </c>
      <c r="H4333" s="25" t="n">
        <v>59620323</v>
      </c>
      <c r="I4333" t="inlineStr">
        <is>
          <t>entidad-dia</t>
        </is>
      </c>
    </row>
    <row r="4334">
      <c r="A4334" t="inlineStr">
        <is>
          <t>PRAGMA</t>
        </is>
      </c>
      <c r="B4334" t="inlineStr">
        <is>
          <t>M1</t>
        </is>
      </c>
      <c r="C4334" t="inlineStr">
        <is>
          <t>Ipiales</t>
        </is>
      </c>
      <c r="D4334" t="inlineStr">
        <is>
          <t>7484</t>
        </is>
      </c>
      <c r="E4334" t="inlineStr">
        <is>
          <t>pagado</t>
        </is>
      </c>
      <c r="F4334" s="23" t="n">
        <v>46277</v>
      </c>
      <c r="G4334" s="24">
        <f>F4334-DATE(2026,8,31)</f>
        <v>12</v>
      </c>
      <c r="H4334" s="25" t="n">
        <v>70816674</v>
      </c>
      <c r="I4334" t="inlineStr">
        <is>
          <t>entidad-dia</t>
        </is>
      </c>
    </row>
    <row r="4335">
      <c r="A4335" t="inlineStr">
        <is>
          <t>PRAGMA</t>
        </is>
      </c>
      <c r="B4335" t="inlineStr">
        <is>
          <t>M1</t>
        </is>
      </c>
      <c r="C4335" t="inlineStr">
        <is>
          <t>Ipiales</t>
        </is>
      </c>
      <c r="D4335" t="inlineStr">
        <is>
          <t>7484</t>
        </is>
      </c>
      <c r="E4335" t="inlineStr">
        <is>
          <t>pagado</t>
        </is>
      </c>
      <c r="F4335" s="23" t="n">
        <v>46278</v>
      </c>
      <c r="G4335" s="24">
        <f>F4335-DATE(2026,8,31)</f>
        <v>13</v>
      </c>
      <c r="H4335" s="25" t="n">
        <v>51378830</v>
      </c>
      <c r="I4335" t="inlineStr">
        <is>
          <t>entidad-dia</t>
        </is>
      </c>
    </row>
    <row r="4336">
      <c r="A4336" t="inlineStr">
        <is>
          <t>PRAGMA</t>
        </is>
      </c>
      <c r="B4336" t="inlineStr">
        <is>
          <t>M1</t>
        </is>
      </c>
      <c r="C4336" t="inlineStr">
        <is>
          <t>Ipiales</t>
        </is>
      </c>
      <c r="D4336" t="inlineStr">
        <is>
          <t>7484</t>
        </is>
      </c>
      <c r="E4336" t="inlineStr">
        <is>
          <t>pagado</t>
        </is>
      </c>
      <c r="F4336" s="23" t="n">
        <v>46279</v>
      </c>
      <c r="G4336" s="24">
        <f>F4336-DATE(2026,8,31)</f>
        <v>14</v>
      </c>
      <c r="H4336" s="25" t="n">
        <v>60168046</v>
      </c>
      <c r="I4336" t="inlineStr">
        <is>
          <t>entidad-dia</t>
        </is>
      </c>
    </row>
    <row r="4337">
      <c r="A4337" t="inlineStr">
        <is>
          <t>PRAGMA</t>
        </is>
      </c>
      <c r="B4337" t="inlineStr">
        <is>
          <t>M1</t>
        </is>
      </c>
      <c r="C4337" t="inlineStr">
        <is>
          <t>Ipiales</t>
        </is>
      </c>
      <c r="D4337" t="inlineStr">
        <is>
          <t>7484</t>
        </is>
      </c>
      <c r="E4337" t="inlineStr">
        <is>
          <t>pagado</t>
        </is>
      </c>
      <c r="F4337" s="23" t="n">
        <v>46280</v>
      </c>
      <c r="G4337" s="24">
        <f>F4337-DATE(2026,8,31)</f>
        <v>15</v>
      </c>
      <c r="H4337" s="25" t="n">
        <v>67856260</v>
      </c>
      <c r="I4337" t="inlineStr">
        <is>
          <t>entidad-dia</t>
        </is>
      </c>
    </row>
    <row r="4338">
      <c r="A4338" t="inlineStr">
        <is>
          <t>PRAGMA</t>
        </is>
      </c>
      <c r="B4338" t="inlineStr">
        <is>
          <t>M1</t>
        </is>
      </c>
      <c r="C4338" t="inlineStr">
        <is>
          <t>Ipiales</t>
        </is>
      </c>
      <c r="D4338" t="inlineStr">
        <is>
          <t>7485</t>
        </is>
      </c>
      <c r="E4338" t="inlineStr">
        <is>
          <t>pagado</t>
        </is>
      </c>
      <c r="F4338" s="23" t="n">
        <v>46266</v>
      </c>
      <c r="G4338" s="24">
        <f>F4338-DATE(2026,8,31)</f>
        <v>1</v>
      </c>
      <c r="H4338" s="25" t="n">
        <v>112161439</v>
      </c>
      <c r="I4338" t="inlineStr">
        <is>
          <t>entidad-dia</t>
        </is>
      </c>
    </row>
    <row r="4339">
      <c r="A4339" t="inlineStr">
        <is>
          <t>PRAGMA</t>
        </is>
      </c>
      <c r="B4339" t="inlineStr">
        <is>
          <t>M1</t>
        </is>
      </c>
      <c r="C4339" t="inlineStr">
        <is>
          <t>Ipiales</t>
        </is>
      </c>
      <c r="D4339" t="inlineStr">
        <is>
          <t>7485</t>
        </is>
      </c>
      <c r="E4339" t="inlineStr">
        <is>
          <t>pagado</t>
        </is>
      </c>
      <c r="F4339" s="23" t="n">
        <v>46267</v>
      </c>
      <c r="G4339" s="24">
        <f>F4339-DATE(2026,8,31)</f>
        <v>2</v>
      </c>
      <c r="H4339" s="25" t="n">
        <v>94030972</v>
      </c>
      <c r="I4339" t="inlineStr">
        <is>
          <t>entidad-dia</t>
        </is>
      </c>
    </row>
    <row r="4340">
      <c r="A4340" t="inlineStr">
        <is>
          <t>PRAGMA</t>
        </is>
      </c>
      <c r="B4340" t="inlineStr">
        <is>
          <t>M1</t>
        </is>
      </c>
      <c r="C4340" t="inlineStr">
        <is>
          <t>Ipiales</t>
        </is>
      </c>
      <c r="D4340" t="inlineStr">
        <is>
          <t>7485</t>
        </is>
      </c>
      <c r="E4340" t="inlineStr">
        <is>
          <t>pagado</t>
        </is>
      </c>
      <c r="F4340" s="23" t="n">
        <v>46268</v>
      </c>
      <c r="G4340" s="24">
        <f>F4340-DATE(2026,8,31)</f>
        <v>3</v>
      </c>
      <c r="H4340" s="25" t="n">
        <v>80858838</v>
      </c>
      <c r="I4340" t="inlineStr">
        <is>
          <t>entidad-dia</t>
        </is>
      </c>
    </row>
    <row r="4341">
      <c r="A4341" t="inlineStr">
        <is>
          <t>PRAGMA</t>
        </is>
      </c>
      <c r="B4341" t="inlineStr">
        <is>
          <t>M1</t>
        </is>
      </c>
      <c r="C4341" t="inlineStr">
        <is>
          <t>Ipiales</t>
        </is>
      </c>
      <c r="D4341" t="inlineStr">
        <is>
          <t>7485</t>
        </is>
      </c>
      <c r="E4341" t="inlineStr">
        <is>
          <t>pagado</t>
        </is>
      </c>
      <c r="F4341" s="23" t="n">
        <v>46269</v>
      </c>
      <c r="G4341" s="24">
        <f>F4341-DATE(2026,8,31)</f>
        <v>4</v>
      </c>
      <c r="H4341" s="25" t="n">
        <v>84288470</v>
      </c>
      <c r="I4341" t="inlineStr">
        <is>
          <t>entidad-dia</t>
        </is>
      </c>
    </row>
    <row r="4342">
      <c r="A4342" t="inlineStr">
        <is>
          <t>PRAGMA</t>
        </is>
      </c>
      <c r="B4342" t="inlineStr">
        <is>
          <t>M1</t>
        </is>
      </c>
      <c r="C4342" t="inlineStr">
        <is>
          <t>Ipiales</t>
        </is>
      </c>
      <c r="D4342" t="inlineStr">
        <is>
          <t>7485</t>
        </is>
      </c>
      <c r="E4342" t="inlineStr">
        <is>
          <t>pagado</t>
        </is>
      </c>
      <c r="F4342" s="23" t="n">
        <v>46270</v>
      </c>
      <c r="G4342" s="24">
        <f>F4342-DATE(2026,8,31)</f>
        <v>5</v>
      </c>
      <c r="H4342" s="25" t="n">
        <v>100232472</v>
      </c>
      <c r="I4342" t="inlineStr">
        <is>
          <t>entidad-dia</t>
        </is>
      </c>
    </row>
    <row r="4343">
      <c r="A4343" t="inlineStr">
        <is>
          <t>PRAGMA</t>
        </is>
      </c>
      <c r="B4343" t="inlineStr">
        <is>
          <t>M1</t>
        </is>
      </c>
      <c r="C4343" t="inlineStr">
        <is>
          <t>Ipiales</t>
        </is>
      </c>
      <c r="D4343" t="inlineStr">
        <is>
          <t>7485</t>
        </is>
      </c>
      <c r="E4343" t="inlineStr">
        <is>
          <t>pagado</t>
        </is>
      </c>
      <c r="F4343" s="23" t="n">
        <v>46271</v>
      </c>
      <c r="G4343" s="24">
        <f>F4343-DATE(2026,8,31)</f>
        <v>6</v>
      </c>
      <c r="H4343" s="25" t="n">
        <v>80988507</v>
      </c>
      <c r="I4343" t="inlineStr">
        <is>
          <t>entidad-dia</t>
        </is>
      </c>
    </row>
    <row r="4344">
      <c r="A4344" t="inlineStr">
        <is>
          <t>PRAGMA</t>
        </is>
      </c>
      <c r="B4344" t="inlineStr">
        <is>
          <t>M1</t>
        </is>
      </c>
      <c r="C4344" t="inlineStr">
        <is>
          <t>Ipiales</t>
        </is>
      </c>
      <c r="D4344" t="inlineStr">
        <is>
          <t>7485</t>
        </is>
      </c>
      <c r="E4344" t="inlineStr">
        <is>
          <t>pagado</t>
        </is>
      </c>
      <c r="F4344" s="23" t="n">
        <v>46272</v>
      </c>
      <c r="G4344" s="24">
        <f>F4344-DATE(2026,8,31)</f>
        <v>7</v>
      </c>
      <c r="H4344" s="25" t="n">
        <v>79943710</v>
      </c>
      <c r="I4344" t="inlineStr">
        <is>
          <t>entidad-dia</t>
        </is>
      </c>
    </row>
    <row r="4345">
      <c r="A4345" t="inlineStr">
        <is>
          <t>PRAGMA</t>
        </is>
      </c>
      <c r="B4345" t="inlineStr">
        <is>
          <t>M1</t>
        </is>
      </c>
      <c r="C4345" t="inlineStr">
        <is>
          <t>Ipiales</t>
        </is>
      </c>
      <c r="D4345" t="inlineStr">
        <is>
          <t>7485</t>
        </is>
      </c>
      <c r="E4345" t="inlineStr">
        <is>
          <t>pagado</t>
        </is>
      </c>
      <c r="F4345" s="23" t="n">
        <v>46273</v>
      </c>
      <c r="G4345" s="24">
        <f>F4345-DATE(2026,8,31)</f>
        <v>8</v>
      </c>
      <c r="H4345" s="25" t="n">
        <v>75048447</v>
      </c>
      <c r="I4345" t="inlineStr">
        <is>
          <t>entidad-dia</t>
        </is>
      </c>
    </row>
    <row r="4346">
      <c r="A4346" t="inlineStr">
        <is>
          <t>PRAGMA</t>
        </is>
      </c>
      <c r="B4346" t="inlineStr">
        <is>
          <t>M1</t>
        </is>
      </c>
      <c r="C4346" t="inlineStr">
        <is>
          <t>Ipiales</t>
        </is>
      </c>
      <c r="D4346" t="inlineStr">
        <is>
          <t>7485</t>
        </is>
      </c>
      <c r="E4346" t="inlineStr">
        <is>
          <t>pagado</t>
        </is>
      </c>
      <c r="F4346" s="23" t="n">
        <v>46274</v>
      </c>
      <c r="G4346" s="24">
        <f>F4346-DATE(2026,8,31)</f>
        <v>9</v>
      </c>
      <c r="H4346" s="25" t="n">
        <v>64528880</v>
      </c>
      <c r="I4346" t="inlineStr">
        <is>
          <t>entidad-dia</t>
        </is>
      </c>
    </row>
    <row r="4347">
      <c r="A4347" t="inlineStr">
        <is>
          <t>PRAGMA</t>
        </is>
      </c>
      <c r="B4347" t="inlineStr">
        <is>
          <t>M1</t>
        </is>
      </c>
      <c r="C4347" t="inlineStr">
        <is>
          <t>Ipiales</t>
        </is>
      </c>
      <c r="D4347" t="inlineStr">
        <is>
          <t>7485</t>
        </is>
      </c>
      <c r="E4347" t="inlineStr">
        <is>
          <t>pagado</t>
        </is>
      </c>
      <c r="F4347" s="23" t="n">
        <v>46275</v>
      </c>
      <c r="G4347" s="24">
        <f>F4347-DATE(2026,8,31)</f>
        <v>10</v>
      </c>
      <c r="H4347" s="25" t="n">
        <v>58547403</v>
      </c>
      <c r="I4347" t="inlineStr">
        <is>
          <t>entidad-dia</t>
        </is>
      </c>
    </row>
    <row r="4348">
      <c r="A4348" t="inlineStr">
        <is>
          <t>PRAGMA</t>
        </is>
      </c>
      <c r="B4348" t="inlineStr">
        <is>
          <t>M1</t>
        </is>
      </c>
      <c r="C4348" t="inlineStr">
        <is>
          <t>Ipiales</t>
        </is>
      </c>
      <c r="D4348" t="inlineStr">
        <is>
          <t>7485</t>
        </is>
      </c>
      <c r="E4348" t="inlineStr">
        <is>
          <t>pagado</t>
        </is>
      </c>
      <c r="F4348" s="23" t="n">
        <v>46276</v>
      </c>
      <c r="G4348" s="24">
        <f>F4348-DATE(2026,8,31)</f>
        <v>11</v>
      </c>
      <c r="H4348" s="25" t="n">
        <v>63926074</v>
      </c>
      <c r="I4348" t="inlineStr">
        <is>
          <t>entidad-dia</t>
        </is>
      </c>
    </row>
    <row r="4349">
      <c r="A4349" t="inlineStr">
        <is>
          <t>PRAGMA</t>
        </is>
      </c>
      <c r="B4349" t="inlineStr">
        <is>
          <t>M1</t>
        </is>
      </c>
      <c r="C4349" t="inlineStr">
        <is>
          <t>Ipiales</t>
        </is>
      </c>
      <c r="D4349" t="inlineStr">
        <is>
          <t>7485</t>
        </is>
      </c>
      <c r="E4349" t="inlineStr">
        <is>
          <t>pagado</t>
        </is>
      </c>
      <c r="F4349" s="23" t="n">
        <v>46277</v>
      </c>
      <c r="G4349" s="24">
        <f>F4349-DATE(2026,8,31)</f>
        <v>12</v>
      </c>
      <c r="H4349" s="25" t="n">
        <v>80558448</v>
      </c>
      <c r="I4349" t="inlineStr">
        <is>
          <t>entidad-dia</t>
        </is>
      </c>
    </row>
    <row r="4350">
      <c r="A4350" t="inlineStr">
        <is>
          <t>PRAGMA</t>
        </is>
      </c>
      <c r="B4350" t="inlineStr">
        <is>
          <t>M1</t>
        </is>
      </c>
      <c r="C4350" t="inlineStr">
        <is>
          <t>Ipiales</t>
        </is>
      </c>
      <c r="D4350" t="inlineStr">
        <is>
          <t>7485</t>
        </is>
      </c>
      <c r="E4350" t="inlineStr">
        <is>
          <t>pagado</t>
        </is>
      </c>
      <c r="F4350" s="23" t="n">
        <v>46278</v>
      </c>
      <c r="G4350" s="24">
        <f>F4350-DATE(2026,8,31)</f>
        <v>13</v>
      </c>
      <c r="H4350" s="25" t="n">
        <v>61668234</v>
      </c>
      <c r="I4350" t="inlineStr">
        <is>
          <t>entidad-dia</t>
        </is>
      </c>
    </row>
    <row r="4351">
      <c r="A4351" t="inlineStr">
        <is>
          <t>PRAGMA</t>
        </is>
      </c>
      <c r="B4351" t="inlineStr">
        <is>
          <t>M1</t>
        </is>
      </c>
      <c r="C4351" t="inlineStr">
        <is>
          <t>Ipiales</t>
        </is>
      </c>
      <c r="D4351" t="inlineStr">
        <is>
          <t>7485</t>
        </is>
      </c>
      <c r="E4351" t="inlineStr">
        <is>
          <t>pagado</t>
        </is>
      </c>
      <c r="F4351" s="23" t="n">
        <v>46279</v>
      </c>
      <c r="G4351" s="24">
        <f>F4351-DATE(2026,8,31)</f>
        <v>14</v>
      </c>
      <c r="H4351" s="25" t="n">
        <v>63113296</v>
      </c>
      <c r="I4351" t="inlineStr">
        <is>
          <t>entidad-dia</t>
        </is>
      </c>
    </row>
    <row r="4352">
      <c r="A4352" t="inlineStr">
        <is>
          <t>PRAGMA</t>
        </is>
      </c>
      <c r="B4352" t="inlineStr">
        <is>
          <t>M1</t>
        </is>
      </c>
      <c r="C4352" t="inlineStr">
        <is>
          <t>Ipiales</t>
        </is>
      </c>
      <c r="D4352" t="inlineStr">
        <is>
          <t>7485</t>
        </is>
      </c>
      <c r="E4352" t="inlineStr">
        <is>
          <t>pagado</t>
        </is>
      </c>
      <c r="F4352" s="23" t="n">
        <v>46280</v>
      </c>
      <c r="G4352" s="24">
        <f>F4352-DATE(2026,8,31)</f>
        <v>15</v>
      </c>
      <c r="H4352" s="25" t="n">
        <v>83644987</v>
      </c>
      <c r="I4352" t="inlineStr">
        <is>
          <t>entidad-dia</t>
        </is>
      </c>
    </row>
    <row r="4353">
      <c r="A4353" t="inlineStr">
        <is>
          <t>PRAGMA</t>
        </is>
      </c>
      <c r="B4353" t="inlineStr">
        <is>
          <t>M1</t>
        </is>
      </c>
      <c r="C4353" t="inlineStr">
        <is>
          <t>Ipiales</t>
        </is>
      </c>
      <c r="D4353" t="inlineStr">
        <is>
          <t>7486</t>
        </is>
      </c>
      <c r="E4353" t="inlineStr">
        <is>
          <t>pagado</t>
        </is>
      </c>
      <c r="F4353" s="23" t="n">
        <v>46266</v>
      </c>
      <c r="G4353" s="24">
        <f>F4353-DATE(2026,8,31)</f>
        <v>1</v>
      </c>
      <c r="H4353" s="25" t="n">
        <v>121099605</v>
      </c>
      <c r="I4353" t="inlineStr">
        <is>
          <t>entidad-dia</t>
        </is>
      </c>
    </row>
    <row r="4354">
      <c r="A4354" t="inlineStr">
        <is>
          <t>PRAGMA</t>
        </is>
      </c>
      <c r="B4354" t="inlineStr">
        <is>
          <t>M1</t>
        </is>
      </c>
      <c r="C4354" t="inlineStr">
        <is>
          <t>Ipiales</t>
        </is>
      </c>
      <c r="D4354" t="inlineStr">
        <is>
          <t>7486</t>
        </is>
      </c>
      <c r="E4354" t="inlineStr">
        <is>
          <t>pagado</t>
        </is>
      </c>
      <c r="F4354" s="23" t="n">
        <v>46267</v>
      </c>
      <c r="G4354" s="24">
        <f>F4354-DATE(2026,8,31)</f>
        <v>2</v>
      </c>
      <c r="H4354" s="25" t="n">
        <v>96147995</v>
      </c>
      <c r="I4354" t="inlineStr">
        <is>
          <t>entidad-dia</t>
        </is>
      </c>
    </row>
    <row r="4355">
      <c r="A4355" t="inlineStr">
        <is>
          <t>PRAGMA</t>
        </is>
      </c>
      <c r="B4355" t="inlineStr">
        <is>
          <t>M1</t>
        </is>
      </c>
      <c r="C4355" t="inlineStr">
        <is>
          <t>Ipiales</t>
        </is>
      </c>
      <c r="D4355" t="inlineStr">
        <is>
          <t>7486</t>
        </is>
      </c>
      <c r="E4355" t="inlineStr">
        <is>
          <t>pagado</t>
        </is>
      </c>
      <c r="F4355" s="23" t="n">
        <v>46268</v>
      </c>
      <c r="G4355" s="24">
        <f>F4355-DATE(2026,8,31)</f>
        <v>3</v>
      </c>
      <c r="H4355" s="25" t="n">
        <v>91139818</v>
      </c>
      <c r="I4355" t="inlineStr">
        <is>
          <t>entidad-dia</t>
        </is>
      </c>
    </row>
    <row r="4356">
      <c r="A4356" t="inlineStr">
        <is>
          <t>PRAGMA</t>
        </is>
      </c>
      <c r="B4356" t="inlineStr">
        <is>
          <t>M1</t>
        </is>
      </c>
      <c r="C4356" t="inlineStr">
        <is>
          <t>Ipiales</t>
        </is>
      </c>
      <c r="D4356" t="inlineStr">
        <is>
          <t>7486</t>
        </is>
      </c>
      <c r="E4356" t="inlineStr">
        <is>
          <t>pagado</t>
        </is>
      </c>
      <c r="F4356" s="23" t="n">
        <v>46269</v>
      </c>
      <c r="G4356" s="24">
        <f>F4356-DATE(2026,8,31)</f>
        <v>4</v>
      </c>
      <c r="H4356" s="25" t="n">
        <v>94728125</v>
      </c>
      <c r="I4356" t="inlineStr">
        <is>
          <t>entidad-dia</t>
        </is>
      </c>
    </row>
    <row r="4357">
      <c r="A4357" t="inlineStr">
        <is>
          <t>PRAGMA</t>
        </is>
      </c>
      <c r="B4357" t="inlineStr">
        <is>
          <t>M1</t>
        </is>
      </c>
      <c r="C4357" t="inlineStr">
        <is>
          <t>Ipiales</t>
        </is>
      </c>
      <c r="D4357" t="inlineStr">
        <is>
          <t>7486</t>
        </is>
      </c>
      <c r="E4357" t="inlineStr">
        <is>
          <t>pagado</t>
        </is>
      </c>
      <c r="F4357" s="23" t="n">
        <v>46270</v>
      </c>
      <c r="G4357" s="24">
        <f>F4357-DATE(2026,8,31)</f>
        <v>5</v>
      </c>
      <c r="H4357" s="25" t="n">
        <v>104881447</v>
      </c>
      <c r="I4357" t="inlineStr">
        <is>
          <t>entidad-dia</t>
        </is>
      </c>
    </row>
    <row r="4358">
      <c r="A4358" t="inlineStr">
        <is>
          <t>PRAGMA</t>
        </is>
      </c>
      <c r="B4358" t="inlineStr">
        <is>
          <t>M1</t>
        </is>
      </c>
      <c r="C4358" t="inlineStr">
        <is>
          <t>Ipiales</t>
        </is>
      </c>
      <c r="D4358" t="inlineStr">
        <is>
          <t>7486</t>
        </is>
      </c>
      <c r="E4358" t="inlineStr">
        <is>
          <t>pagado</t>
        </is>
      </c>
      <c r="F4358" s="23" t="n">
        <v>46271</v>
      </c>
      <c r="G4358" s="24">
        <f>F4358-DATE(2026,8,31)</f>
        <v>6</v>
      </c>
      <c r="H4358" s="25" t="n">
        <v>88796657</v>
      </c>
      <c r="I4358" t="inlineStr">
        <is>
          <t>entidad-dia</t>
        </is>
      </c>
    </row>
    <row r="4359">
      <c r="A4359" t="inlineStr">
        <is>
          <t>PRAGMA</t>
        </is>
      </c>
      <c r="B4359" t="inlineStr">
        <is>
          <t>M1</t>
        </is>
      </c>
      <c r="C4359" t="inlineStr">
        <is>
          <t>Ipiales</t>
        </is>
      </c>
      <c r="D4359" t="inlineStr">
        <is>
          <t>7486</t>
        </is>
      </c>
      <c r="E4359" t="inlineStr">
        <is>
          <t>pagado</t>
        </is>
      </c>
      <c r="F4359" s="23" t="n">
        <v>46272</v>
      </c>
      <c r="G4359" s="24">
        <f>F4359-DATE(2026,8,31)</f>
        <v>7</v>
      </c>
      <c r="H4359" s="25" t="n">
        <v>82480185</v>
      </c>
      <c r="I4359" t="inlineStr">
        <is>
          <t>entidad-dia</t>
        </is>
      </c>
    </row>
    <row r="4360">
      <c r="A4360" t="inlineStr">
        <is>
          <t>PRAGMA</t>
        </is>
      </c>
      <c r="B4360" t="inlineStr">
        <is>
          <t>M1</t>
        </is>
      </c>
      <c r="C4360" t="inlineStr">
        <is>
          <t>Ipiales</t>
        </is>
      </c>
      <c r="D4360" t="inlineStr">
        <is>
          <t>7486</t>
        </is>
      </c>
      <c r="E4360" t="inlineStr">
        <is>
          <t>pagado</t>
        </is>
      </c>
      <c r="F4360" s="23" t="n">
        <v>46273</v>
      </c>
      <c r="G4360" s="24">
        <f>F4360-DATE(2026,8,31)</f>
        <v>8</v>
      </c>
      <c r="H4360" s="25" t="n">
        <v>67929756</v>
      </c>
      <c r="I4360" t="inlineStr">
        <is>
          <t>entidad-dia</t>
        </is>
      </c>
    </row>
    <row r="4361">
      <c r="A4361" t="inlineStr">
        <is>
          <t>PRAGMA</t>
        </is>
      </c>
      <c r="B4361" t="inlineStr">
        <is>
          <t>M1</t>
        </is>
      </c>
      <c r="C4361" t="inlineStr">
        <is>
          <t>Ipiales</t>
        </is>
      </c>
      <c r="D4361" t="inlineStr">
        <is>
          <t>7486</t>
        </is>
      </c>
      <c r="E4361" t="inlineStr">
        <is>
          <t>pagado</t>
        </is>
      </c>
      <c r="F4361" s="23" t="n">
        <v>46274</v>
      </c>
      <c r="G4361" s="24">
        <f>F4361-DATE(2026,8,31)</f>
        <v>9</v>
      </c>
      <c r="H4361" s="25" t="n">
        <v>66626558</v>
      </c>
      <c r="I4361" t="inlineStr">
        <is>
          <t>entidad-dia</t>
        </is>
      </c>
    </row>
    <row r="4362">
      <c r="A4362" t="inlineStr">
        <is>
          <t>PRAGMA</t>
        </is>
      </c>
      <c r="B4362" t="inlineStr">
        <is>
          <t>M1</t>
        </is>
      </c>
      <c r="C4362" t="inlineStr">
        <is>
          <t>Ipiales</t>
        </is>
      </c>
      <c r="D4362" t="inlineStr">
        <is>
          <t>7486</t>
        </is>
      </c>
      <c r="E4362" t="inlineStr">
        <is>
          <t>pagado</t>
        </is>
      </c>
      <c r="F4362" s="23" t="n">
        <v>46275</v>
      </c>
      <c r="G4362" s="24">
        <f>F4362-DATE(2026,8,31)</f>
        <v>10</v>
      </c>
      <c r="H4362" s="25" t="n">
        <v>65363453</v>
      </c>
      <c r="I4362" t="inlineStr">
        <is>
          <t>entidad-dia</t>
        </is>
      </c>
    </row>
    <row r="4363">
      <c r="A4363" t="inlineStr">
        <is>
          <t>PRAGMA</t>
        </is>
      </c>
      <c r="B4363" t="inlineStr">
        <is>
          <t>M1</t>
        </is>
      </c>
      <c r="C4363" t="inlineStr">
        <is>
          <t>Ipiales</t>
        </is>
      </c>
      <c r="D4363" t="inlineStr">
        <is>
          <t>7486</t>
        </is>
      </c>
      <c r="E4363" t="inlineStr">
        <is>
          <t>pagado</t>
        </is>
      </c>
      <c r="F4363" s="23" t="n">
        <v>46276</v>
      </c>
      <c r="G4363" s="24">
        <f>F4363-DATE(2026,8,31)</f>
        <v>11</v>
      </c>
      <c r="H4363" s="25" t="n">
        <v>68719847</v>
      </c>
      <c r="I4363" t="inlineStr">
        <is>
          <t>entidad-dia</t>
        </is>
      </c>
    </row>
    <row r="4364">
      <c r="A4364" t="inlineStr">
        <is>
          <t>PRAGMA</t>
        </is>
      </c>
      <c r="B4364" t="inlineStr">
        <is>
          <t>M1</t>
        </is>
      </c>
      <c r="C4364" t="inlineStr">
        <is>
          <t>Ipiales</t>
        </is>
      </c>
      <c r="D4364" t="inlineStr">
        <is>
          <t>7486</t>
        </is>
      </c>
      <c r="E4364" t="inlineStr">
        <is>
          <t>pagado</t>
        </is>
      </c>
      <c r="F4364" s="23" t="n">
        <v>46277</v>
      </c>
      <c r="G4364" s="24">
        <f>F4364-DATE(2026,8,31)</f>
        <v>12</v>
      </c>
      <c r="H4364" s="25" t="n">
        <v>78388277</v>
      </c>
      <c r="I4364" t="inlineStr">
        <is>
          <t>entidad-dia</t>
        </is>
      </c>
    </row>
    <row r="4365">
      <c r="A4365" t="inlineStr">
        <is>
          <t>PRAGMA</t>
        </is>
      </c>
      <c r="B4365" t="inlineStr">
        <is>
          <t>M1</t>
        </is>
      </c>
      <c r="C4365" t="inlineStr">
        <is>
          <t>Ipiales</t>
        </is>
      </c>
      <c r="D4365" t="inlineStr">
        <is>
          <t>7486</t>
        </is>
      </c>
      <c r="E4365" t="inlineStr">
        <is>
          <t>pagado</t>
        </is>
      </c>
      <c r="F4365" s="23" t="n">
        <v>46278</v>
      </c>
      <c r="G4365" s="24">
        <f>F4365-DATE(2026,8,31)</f>
        <v>13</v>
      </c>
      <c r="H4365" s="25" t="n">
        <v>70604664</v>
      </c>
      <c r="I4365" t="inlineStr">
        <is>
          <t>entidad-dia</t>
        </is>
      </c>
    </row>
    <row r="4366">
      <c r="A4366" t="inlineStr">
        <is>
          <t>PRAGMA</t>
        </is>
      </c>
      <c r="B4366" t="inlineStr">
        <is>
          <t>M1</t>
        </is>
      </c>
      <c r="C4366" t="inlineStr">
        <is>
          <t>Ipiales</t>
        </is>
      </c>
      <c r="D4366" t="inlineStr">
        <is>
          <t>7486</t>
        </is>
      </c>
      <c r="E4366" t="inlineStr">
        <is>
          <t>pagado</t>
        </is>
      </c>
      <c r="F4366" s="23" t="n">
        <v>46279</v>
      </c>
      <c r="G4366" s="24">
        <f>F4366-DATE(2026,8,31)</f>
        <v>14</v>
      </c>
      <c r="H4366" s="25" t="n">
        <v>74234157</v>
      </c>
      <c r="I4366" t="inlineStr">
        <is>
          <t>entidad-dia</t>
        </is>
      </c>
    </row>
    <row r="4367">
      <c r="A4367" t="inlineStr">
        <is>
          <t>PRAGMA</t>
        </is>
      </c>
      <c r="B4367" t="inlineStr">
        <is>
          <t>M1</t>
        </is>
      </c>
      <c r="C4367" t="inlineStr">
        <is>
          <t>Ipiales</t>
        </is>
      </c>
      <c r="D4367" t="inlineStr">
        <is>
          <t>7486</t>
        </is>
      </c>
      <c r="E4367" t="inlineStr">
        <is>
          <t>pagado</t>
        </is>
      </c>
      <c r="F4367" s="23" t="n">
        <v>46280</v>
      </c>
      <c r="G4367" s="24">
        <f>F4367-DATE(2026,8,31)</f>
        <v>15</v>
      </c>
      <c r="H4367" s="25" t="n">
        <v>89653961</v>
      </c>
      <c r="I4367" t="inlineStr">
        <is>
          <t>entidad-dia</t>
        </is>
      </c>
    </row>
    <row r="4368">
      <c r="A4368" t="inlineStr">
        <is>
          <t>PRAGMA</t>
        </is>
      </c>
      <c r="B4368" t="inlineStr">
        <is>
          <t>M1</t>
        </is>
      </c>
      <c r="C4368" t="inlineStr">
        <is>
          <t>Cali</t>
        </is>
      </c>
      <c r="D4368" t="inlineStr">
        <is>
          <t>7488</t>
        </is>
      </c>
      <c r="E4368" t="inlineStr">
        <is>
          <t>pagado</t>
        </is>
      </c>
      <c r="F4368" s="23" t="n">
        <v>46266</v>
      </c>
      <c r="G4368" s="24">
        <f>F4368-DATE(2026,8,31)</f>
        <v>1</v>
      </c>
      <c r="H4368" s="25" t="n">
        <v>186675345</v>
      </c>
      <c r="I4368" t="inlineStr">
        <is>
          <t>entidad-dia</t>
        </is>
      </c>
    </row>
    <row r="4369">
      <c r="A4369" t="inlineStr">
        <is>
          <t>PRAGMA</t>
        </is>
      </c>
      <c r="B4369" t="inlineStr">
        <is>
          <t>M1</t>
        </is>
      </c>
      <c r="C4369" t="inlineStr">
        <is>
          <t>Cali</t>
        </is>
      </c>
      <c r="D4369" t="inlineStr">
        <is>
          <t>7488</t>
        </is>
      </c>
      <c r="E4369" t="inlineStr">
        <is>
          <t>pagado</t>
        </is>
      </c>
      <c r="F4369" s="23" t="n">
        <v>46267</v>
      </c>
      <c r="G4369" s="24">
        <f>F4369-DATE(2026,8,31)</f>
        <v>2</v>
      </c>
      <c r="H4369" s="25" t="n">
        <v>149347659</v>
      </c>
      <c r="I4369" t="inlineStr">
        <is>
          <t>entidad-dia</t>
        </is>
      </c>
    </row>
    <row r="4370">
      <c r="A4370" t="inlineStr">
        <is>
          <t>PRAGMA</t>
        </is>
      </c>
      <c r="B4370" t="inlineStr">
        <is>
          <t>M1</t>
        </is>
      </c>
      <c r="C4370" t="inlineStr">
        <is>
          <t>Cali</t>
        </is>
      </c>
      <c r="D4370" t="inlineStr">
        <is>
          <t>7488</t>
        </is>
      </c>
      <c r="E4370" t="inlineStr">
        <is>
          <t>pagado</t>
        </is>
      </c>
      <c r="F4370" s="23" t="n">
        <v>46268</v>
      </c>
      <c r="G4370" s="24">
        <f>F4370-DATE(2026,8,31)</f>
        <v>3</v>
      </c>
      <c r="H4370" s="25" t="n">
        <v>133201784</v>
      </c>
      <c r="I4370" t="inlineStr">
        <is>
          <t>entidad-dia</t>
        </is>
      </c>
    </row>
    <row r="4371">
      <c r="A4371" t="inlineStr">
        <is>
          <t>PRAGMA</t>
        </is>
      </c>
      <c r="B4371" t="inlineStr">
        <is>
          <t>M1</t>
        </is>
      </c>
      <c r="C4371" t="inlineStr">
        <is>
          <t>Cali</t>
        </is>
      </c>
      <c r="D4371" t="inlineStr">
        <is>
          <t>7488</t>
        </is>
      </c>
      <c r="E4371" t="inlineStr">
        <is>
          <t>pagado</t>
        </is>
      </c>
      <c r="F4371" s="23" t="n">
        <v>46269</v>
      </c>
      <c r="G4371" s="24">
        <f>F4371-DATE(2026,8,31)</f>
        <v>4</v>
      </c>
      <c r="H4371" s="25" t="n">
        <v>124179980</v>
      </c>
      <c r="I4371" t="inlineStr">
        <is>
          <t>entidad-dia</t>
        </is>
      </c>
    </row>
    <row r="4372">
      <c r="A4372" t="inlineStr">
        <is>
          <t>PRAGMA</t>
        </is>
      </c>
      <c r="B4372" t="inlineStr">
        <is>
          <t>M1</t>
        </is>
      </c>
      <c r="C4372" t="inlineStr">
        <is>
          <t>Cali</t>
        </is>
      </c>
      <c r="D4372" t="inlineStr">
        <is>
          <t>7488</t>
        </is>
      </c>
      <c r="E4372" t="inlineStr">
        <is>
          <t>pagado</t>
        </is>
      </c>
      <c r="F4372" s="23" t="n">
        <v>46270</v>
      </c>
      <c r="G4372" s="24">
        <f>F4372-DATE(2026,8,31)</f>
        <v>5</v>
      </c>
      <c r="H4372" s="25" t="n">
        <v>120588614</v>
      </c>
      <c r="I4372" t="inlineStr">
        <is>
          <t>entidad-dia</t>
        </is>
      </c>
    </row>
    <row r="4373">
      <c r="A4373" t="inlineStr">
        <is>
          <t>PRAGMA</t>
        </is>
      </c>
      <c r="B4373" t="inlineStr">
        <is>
          <t>M1</t>
        </is>
      </c>
      <c r="C4373" t="inlineStr">
        <is>
          <t>Cali</t>
        </is>
      </c>
      <c r="D4373" t="inlineStr">
        <is>
          <t>7488</t>
        </is>
      </c>
      <c r="E4373" t="inlineStr">
        <is>
          <t>pagado</t>
        </is>
      </c>
      <c r="F4373" s="23" t="n">
        <v>46271</v>
      </c>
      <c r="G4373" s="24">
        <f>F4373-DATE(2026,8,31)</f>
        <v>6</v>
      </c>
      <c r="H4373" s="25" t="n">
        <v>43156188</v>
      </c>
      <c r="I4373" t="inlineStr">
        <is>
          <t>entidad-dia</t>
        </is>
      </c>
    </row>
    <row r="4374">
      <c r="A4374" t="inlineStr">
        <is>
          <t>PRAGMA</t>
        </is>
      </c>
      <c r="B4374" t="inlineStr">
        <is>
          <t>M1</t>
        </is>
      </c>
      <c r="C4374" t="inlineStr">
        <is>
          <t>Cali</t>
        </is>
      </c>
      <c r="D4374" t="inlineStr">
        <is>
          <t>7488</t>
        </is>
      </c>
      <c r="E4374" t="inlineStr">
        <is>
          <t>pagado</t>
        </is>
      </c>
      <c r="F4374" s="23" t="n">
        <v>46272</v>
      </c>
      <c r="G4374" s="24">
        <f>F4374-DATE(2026,8,31)</f>
        <v>7</v>
      </c>
      <c r="H4374" s="25" t="n">
        <v>102890639</v>
      </c>
      <c r="I4374" t="inlineStr">
        <is>
          <t>entidad-dia</t>
        </is>
      </c>
    </row>
    <row r="4375">
      <c r="A4375" t="inlineStr">
        <is>
          <t>PRAGMA</t>
        </is>
      </c>
      <c r="B4375" t="inlineStr">
        <is>
          <t>M1</t>
        </is>
      </c>
      <c r="C4375" t="inlineStr">
        <is>
          <t>Cali</t>
        </is>
      </c>
      <c r="D4375" t="inlineStr">
        <is>
          <t>7488</t>
        </is>
      </c>
      <c r="E4375" t="inlineStr">
        <is>
          <t>pagado</t>
        </is>
      </c>
      <c r="F4375" s="23" t="n">
        <v>46273</v>
      </c>
      <c r="G4375" s="24">
        <f>F4375-DATE(2026,8,31)</f>
        <v>8</v>
      </c>
      <c r="H4375" s="25" t="n">
        <v>101403670</v>
      </c>
      <c r="I4375" t="inlineStr">
        <is>
          <t>entidad-dia</t>
        </is>
      </c>
    </row>
    <row r="4376">
      <c r="A4376" t="inlineStr">
        <is>
          <t>PRAGMA</t>
        </is>
      </c>
      <c r="B4376" t="inlineStr">
        <is>
          <t>M1</t>
        </is>
      </c>
      <c r="C4376" t="inlineStr">
        <is>
          <t>Cali</t>
        </is>
      </c>
      <c r="D4376" t="inlineStr">
        <is>
          <t>7488</t>
        </is>
      </c>
      <c r="E4376" t="inlineStr">
        <is>
          <t>pagado</t>
        </is>
      </c>
      <c r="F4376" s="23" t="n">
        <v>46274</v>
      </c>
      <c r="G4376" s="24">
        <f>F4376-DATE(2026,8,31)</f>
        <v>9</v>
      </c>
      <c r="H4376" s="25" t="n">
        <v>102411521</v>
      </c>
      <c r="I4376" t="inlineStr">
        <is>
          <t>entidad-dia</t>
        </is>
      </c>
    </row>
    <row r="4377">
      <c r="A4377" t="inlineStr">
        <is>
          <t>PRAGMA</t>
        </is>
      </c>
      <c r="B4377" t="inlineStr">
        <is>
          <t>M1</t>
        </is>
      </c>
      <c r="C4377" t="inlineStr">
        <is>
          <t>Cali</t>
        </is>
      </c>
      <c r="D4377" t="inlineStr">
        <is>
          <t>7488</t>
        </is>
      </c>
      <c r="E4377" t="inlineStr">
        <is>
          <t>pagado</t>
        </is>
      </c>
      <c r="F4377" s="23" t="n">
        <v>46275</v>
      </c>
      <c r="G4377" s="24">
        <f>F4377-DATE(2026,8,31)</f>
        <v>10</v>
      </c>
      <c r="H4377" s="25" t="n">
        <v>97577137</v>
      </c>
      <c r="I4377" t="inlineStr">
        <is>
          <t>entidad-dia</t>
        </is>
      </c>
    </row>
    <row r="4378">
      <c r="A4378" t="inlineStr">
        <is>
          <t>PRAGMA</t>
        </is>
      </c>
      <c r="B4378" t="inlineStr">
        <is>
          <t>M1</t>
        </is>
      </c>
      <c r="C4378" t="inlineStr">
        <is>
          <t>Cali</t>
        </is>
      </c>
      <c r="D4378" t="inlineStr">
        <is>
          <t>7488</t>
        </is>
      </c>
      <c r="E4378" t="inlineStr">
        <is>
          <t>pagado</t>
        </is>
      </c>
      <c r="F4378" s="23" t="n">
        <v>46276</v>
      </c>
      <c r="G4378" s="24">
        <f>F4378-DATE(2026,8,31)</f>
        <v>11</v>
      </c>
      <c r="H4378" s="25" t="n">
        <v>106253665</v>
      </c>
      <c r="I4378" t="inlineStr">
        <is>
          <t>entidad-dia</t>
        </is>
      </c>
    </row>
    <row r="4379">
      <c r="A4379" t="inlineStr">
        <is>
          <t>PRAGMA</t>
        </is>
      </c>
      <c r="B4379" t="inlineStr">
        <is>
          <t>M1</t>
        </is>
      </c>
      <c r="C4379" t="inlineStr">
        <is>
          <t>Cali</t>
        </is>
      </c>
      <c r="D4379" t="inlineStr">
        <is>
          <t>7488</t>
        </is>
      </c>
      <c r="E4379" t="inlineStr">
        <is>
          <t>pagado</t>
        </is>
      </c>
      <c r="F4379" s="23" t="n">
        <v>46277</v>
      </c>
      <c r="G4379" s="24">
        <f>F4379-DATE(2026,8,31)</f>
        <v>12</v>
      </c>
      <c r="H4379" s="25" t="n">
        <v>108097102</v>
      </c>
      <c r="I4379" t="inlineStr">
        <is>
          <t>entidad-dia</t>
        </is>
      </c>
    </row>
    <row r="4380">
      <c r="A4380" t="inlineStr">
        <is>
          <t>PRAGMA</t>
        </is>
      </c>
      <c r="B4380" t="inlineStr">
        <is>
          <t>M1</t>
        </is>
      </c>
      <c r="C4380" t="inlineStr">
        <is>
          <t>Cali</t>
        </is>
      </c>
      <c r="D4380" t="inlineStr">
        <is>
          <t>7488</t>
        </is>
      </c>
      <c r="E4380" t="inlineStr">
        <is>
          <t>pagado</t>
        </is>
      </c>
      <c r="F4380" s="23" t="n">
        <v>46278</v>
      </c>
      <c r="G4380" s="24">
        <f>F4380-DATE(2026,8,31)</f>
        <v>13</v>
      </c>
      <c r="H4380" s="25" t="n">
        <v>44389723</v>
      </c>
      <c r="I4380" t="inlineStr">
        <is>
          <t>entidad-dia</t>
        </is>
      </c>
    </row>
    <row r="4381">
      <c r="A4381" t="inlineStr">
        <is>
          <t>PRAGMA</t>
        </is>
      </c>
      <c r="B4381" t="inlineStr">
        <is>
          <t>M1</t>
        </is>
      </c>
      <c r="C4381" t="inlineStr">
        <is>
          <t>Cali</t>
        </is>
      </c>
      <c r="D4381" t="inlineStr">
        <is>
          <t>7488</t>
        </is>
      </c>
      <c r="E4381" t="inlineStr">
        <is>
          <t>pagado</t>
        </is>
      </c>
      <c r="F4381" s="23" t="n">
        <v>46279</v>
      </c>
      <c r="G4381" s="24">
        <f>F4381-DATE(2026,8,31)</f>
        <v>14</v>
      </c>
      <c r="H4381" s="25" t="n">
        <v>106158149</v>
      </c>
      <c r="I4381" t="inlineStr">
        <is>
          <t>entidad-dia</t>
        </is>
      </c>
    </row>
    <row r="4382">
      <c r="A4382" t="inlineStr">
        <is>
          <t>PRAGMA</t>
        </is>
      </c>
      <c r="B4382" t="inlineStr">
        <is>
          <t>M1</t>
        </is>
      </c>
      <c r="C4382" t="inlineStr">
        <is>
          <t>Cali</t>
        </is>
      </c>
      <c r="D4382" t="inlineStr">
        <is>
          <t>7488</t>
        </is>
      </c>
      <c r="E4382" t="inlineStr">
        <is>
          <t>pagado</t>
        </is>
      </c>
      <c r="F4382" s="23" t="n">
        <v>46280</v>
      </c>
      <c r="G4382" s="24">
        <f>F4382-DATE(2026,8,31)</f>
        <v>15</v>
      </c>
      <c r="H4382" s="25" t="n">
        <v>141612618</v>
      </c>
      <c r="I4382" t="inlineStr">
        <is>
          <t>entidad-dia</t>
        </is>
      </c>
    </row>
    <row r="4383">
      <c r="A4383" t="inlineStr">
        <is>
          <t>PRAGMA</t>
        </is>
      </c>
      <c r="B4383" t="inlineStr">
        <is>
          <t>M1</t>
        </is>
      </c>
      <c r="C4383" t="inlineStr">
        <is>
          <t>Pasto</t>
        </is>
      </c>
      <c r="D4383" t="inlineStr">
        <is>
          <t>7682</t>
        </is>
      </c>
      <c r="E4383" t="inlineStr">
        <is>
          <t>pagado</t>
        </is>
      </c>
      <c r="F4383" s="23" t="n">
        <v>46266</v>
      </c>
      <c r="G4383" s="24">
        <f>F4383-DATE(2026,8,31)</f>
        <v>1</v>
      </c>
      <c r="H4383" s="25" t="n">
        <v>194874028</v>
      </c>
      <c r="I4383" t="inlineStr">
        <is>
          <t>entidad-dia</t>
        </is>
      </c>
    </row>
    <row r="4384">
      <c r="A4384" t="inlineStr">
        <is>
          <t>PRAGMA</t>
        </is>
      </c>
      <c r="B4384" t="inlineStr">
        <is>
          <t>M1</t>
        </is>
      </c>
      <c r="C4384" t="inlineStr">
        <is>
          <t>Pasto</t>
        </is>
      </c>
      <c r="D4384" t="inlineStr">
        <is>
          <t>7682</t>
        </is>
      </c>
      <c r="E4384" t="inlineStr">
        <is>
          <t>pagado</t>
        </is>
      </c>
      <c r="F4384" s="23" t="n">
        <v>46267</v>
      </c>
      <c r="G4384" s="24">
        <f>F4384-DATE(2026,8,31)</f>
        <v>2</v>
      </c>
      <c r="H4384" s="25" t="n">
        <v>158112373</v>
      </c>
      <c r="I4384" t="inlineStr">
        <is>
          <t>entidad-dia</t>
        </is>
      </c>
    </row>
    <row r="4385">
      <c r="A4385" t="inlineStr">
        <is>
          <t>PRAGMA</t>
        </is>
      </c>
      <c r="B4385" t="inlineStr">
        <is>
          <t>M1</t>
        </is>
      </c>
      <c r="C4385" t="inlineStr">
        <is>
          <t>Pasto</t>
        </is>
      </c>
      <c r="D4385" t="inlineStr">
        <is>
          <t>7682</t>
        </is>
      </c>
      <c r="E4385" t="inlineStr">
        <is>
          <t>pagado</t>
        </is>
      </c>
      <c r="F4385" s="23" t="n">
        <v>46268</v>
      </c>
      <c r="G4385" s="24">
        <f>F4385-DATE(2026,8,31)</f>
        <v>3</v>
      </c>
      <c r="H4385" s="25" t="n">
        <v>135087154</v>
      </c>
      <c r="I4385" t="inlineStr">
        <is>
          <t>entidad-dia</t>
        </is>
      </c>
    </row>
    <row r="4386">
      <c r="A4386" t="inlineStr">
        <is>
          <t>PRAGMA</t>
        </is>
      </c>
      <c r="B4386" t="inlineStr">
        <is>
          <t>M1</t>
        </is>
      </c>
      <c r="C4386" t="inlineStr">
        <is>
          <t>Pasto</t>
        </is>
      </c>
      <c r="D4386" t="inlineStr">
        <is>
          <t>7682</t>
        </is>
      </c>
      <c r="E4386" t="inlineStr">
        <is>
          <t>pagado</t>
        </is>
      </c>
      <c r="F4386" s="23" t="n">
        <v>46269</v>
      </c>
      <c r="G4386" s="24">
        <f>F4386-DATE(2026,8,31)</f>
        <v>4</v>
      </c>
      <c r="H4386" s="25" t="n">
        <v>138941937</v>
      </c>
      <c r="I4386" t="inlineStr">
        <is>
          <t>entidad-dia</t>
        </is>
      </c>
    </row>
    <row r="4387">
      <c r="A4387" t="inlineStr">
        <is>
          <t>PRAGMA</t>
        </is>
      </c>
      <c r="B4387" t="inlineStr">
        <is>
          <t>M1</t>
        </is>
      </c>
      <c r="C4387" t="inlineStr">
        <is>
          <t>Pasto</t>
        </is>
      </c>
      <c r="D4387" t="inlineStr">
        <is>
          <t>7682</t>
        </is>
      </c>
      <c r="E4387" t="inlineStr">
        <is>
          <t>pagado</t>
        </is>
      </c>
      <c r="F4387" s="23" t="n">
        <v>46270</v>
      </c>
      <c r="G4387" s="24">
        <f>F4387-DATE(2026,8,31)</f>
        <v>5</v>
      </c>
      <c r="H4387" s="25" t="n">
        <v>138340655</v>
      </c>
      <c r="I4387" t="inlineStr">
        <is>
          <t>entidad-dia</t>
        </is>
      </c>
    </row>
    <row r="4388">
      <c r="A4388" t="inlineStr">
        <is>
          <t>PRAGMA</t>
        </is>
      </c>
      <c r="B4388" t="inlineStr">
        <is>
          <t>M1</t>
        </is>
      </c>
      <c r="C4388" t="inlineStr">
        <is>
          <t>Pasto</t>
        </is>
      </c>
      <c r="D4388" t="inlineStr">
        <is>
          <t>7682</t>
        </is>
      </c>
      <c r="E4388" t="inlineStr">
        <is>
          <t>pagado</t>
        </is>
      </c>
      <c r="F4388" s="23" t="n">
        <v>46271</v>
      </c>
      <c r="G4388" s="24">
        <f>F4388-DATE(2026,8,31)</f>
        <v>6</v>
      </c>
      <c r="H4388" s="25" t="n">
        <v>81328502</v>
      </c>
      <c r="I4388" t="inlineStr">
        <is>
          <t>entidad-dia</t>
        </is>
      </c>
    </row>
    <row r="4389">
      <c r="A4389" t="inlineStr">
        <is>
          <t>PRAGMA</t>
        </is>
      </c>
      <c r="B4389" t="inlineStr">
        <is>
          <t>M1</t>
        </is>
      </c>
      <c r="C4389" t="inlineStr">
        <is>
          <t>Pasto</t>
        </is>
      </c>
      <c r="D4389" t="inlineStr">
        <is>
          <t>7682</t>
        </is>
      </c>
      <c r="E4389" t="inlineStr">
        <is>
          <t>pagado</t>
        </is>
      </c>
      <c r="F4389" s="23" t="n">
        <v>46272</v>
      </c>
      <c r="G4389" s="24">
        <f>F4389-DATE(2026,8,31)</f>
        <v>7</v>
      </c>
      <c r="H4389" s="25" t="n">
        <v>118428645</v>
      </c>
      <c r="I4389" t="inlineStr">
        <is>
          <t>entidad-dia</t>
        </is>
      </c>
    </row>
    <row r="4390">
      <c r="A4390" t="inlineStr">
        <is>
          <t>PRAGMA</t>
        </is>
      </c>
      <c r="B4390" t="inlineStr">
        <is>
          <t>M1</t>
        </is>
      </c>
      <c r="C4390" t="inlineStr">
        <is>
          <t>Pasto</t>
        </is>
      </c>
      <c r="D4390" t="inlineStr">
        <is>
          <t>7682</t>
        </is>
      </c>
      <c r="E4390" t="inlineStr">
        <is>
          <t>pagado</t>
        </is>
      </c>
      <c r="F4390" s="23" t="n">
        <v>46273</v>
      </c>
      <c r="G4390" s="24">
        <f>F4390-DATE(2026,8,31)</f>
        <v>8</v>
      </c>
      <c r="H4390" s="25" t="n">
        <v>113067950</v>
      </c>
      <c r="I4390" t="inlineStr">
        <is>
          <t>entidad-dia</t>
        </is>
      </c>
    </row>
    <row r="4391">
      <c r="A4391" t="inlineStr">
        <is>
          <t>PRAGMA</t>
        </is>
      </c>
      <c r="B4391" t="inlineStr">
        <is>
          <t>M1</t>
        </is>
      </c>
      <c r="C4391" t="inlineStr">
        <is>
          <t>Pasto</t>
        </is>
      </c>
      <c r="D4391" t="inlineStr">
        <is>
          <t>7682</t>
        </is>
      </c>
      <c r="E4391" t="inlineStr">
        <is>
          <t>pagado</t>
        </is>
      </c>
      <c r="F4391" s="23" t="n">
        <v>46274</v>
      </c>
      <c r="G4391" s="24">
        <f>F4391-DATE(2026,8,31)</f>
        <v>9</v>
      </c>
      <c r="H4391" s="25" t="n">
        <v>117305934</v>
      </c>
      <c r="I4391" t="inlineStr">
        <is>
          <t>entidad-dia</t>
        </is>
      </c>
    </row>
    <row r="4392">
      <c r="A4392" t="inlineStr">
        <is>
          <t>PRAGMA</t>
        </is>
      </c>
      <c r="B4392" t="inlineStr">
        <is>
          <t>M1</t>
        </is>
      </c>
      <c r="C4392" t="inlineStr">
        <is>
          <t>Pasto</t>
        </is>
      </c>
      <c r="D4392" t="inlineStr">
        <is>
          <t>7682</t>
        </is>
      </c>
      <c r="E4392" t="inlineStr">
        <is>
          <t>pagado</t>
        </is>
      </c>
      <c r="F4392" s="23" t="n">
        <v>46275</v>
      </c>
      <c r="G4392" s="24">
        <f>F4392-DATE(2026,8,31)</f>
        <v>10</v>
      </c>
      <c r="H4392" s="25" t="n">
        <v>103193535</v>
      </c>
      <c r="I4392" t="inlineStr">
        <is>
          <t>entidad-dia</t>
        </is>
      </c>
    </row>
    <row r="4393">
      <c r="A4393" t="inlineStr">
        <is>
          <t>PRAGMA</t>
        </is>
      </c>
      <c r="B4393" t="inlineStr">
        <is>
          <t>M1</t>
        </is>
      </c>
      <c r="C4393" t="inlineStr">
        <is>
          <t>Pasto</t>
        </is>
      </c>
      <c r="D4393" t="inlineStr">
        <is>
          <t>7682</t>
        </is>
      </c>
      <c r="E4393" t="inlineStr">
        <is>
          <t>pagado</t>
        </is>
      </c>
      <c r="F4393" s="23" t="n">
        <v>46276</v>
      </c>
      <c r="G4393" s="24">
        <f>F4393-DATE(2026,8,31)</f>
        <v>11</v>
      </c>
      <c r="H4393" s="25" t="n">
        <v>108280080</v>
      </c>
      <c r="I4393" t="inlineStr">
        <is>
          <t>entidad-dia</t>
        </is>
      </c>
    </row>
    <row r="4394">
      <c r="A4394" t="inlineStr">
        <is>
          <t>PRAGMA</t>
        </is>
      </c>
      <c r="B4394" t="inlineStr">
        <is>
          <t>M1</t>
        </is>
      </c>
      <c r="C4394" t="inlineStr">
        <is>
          <t>Pasto</t>
        </is>
      </c>
      <c r="D4394" t="inlineStr">
        <is>
          <t>7682</t>
        </is>
      </c>
      <c r="E4394" t="inlineStr">
        <is>
          <t>pagado</t>
        </is>
      </c>
      <c r="F4394" s="23" t="n">
        <v>46277</v>
      </c>
      <c r="G4394" s="24">
        <f>F4394-DATE(2026,8,31)</f>
        <v>12</v>
      </c>
      <c r="H4394" s="25" t="n">
        <v>100886125</v>
      </c>
      <c r="I4394" t="inlineStr">
        <is>
          <t>entidad-dia</t>
        </is>
      </c>
    </row>
    <row r="4395">
      <c r="A4395" t="inlineStr">
        <is>
          <t>PRAGMA</t>
        </is>
      </c>
      <c r="B4395" t="inlineStr">
        <is>
          <t>M1</t>
        </is>
      </c>
      <c r="C4395" t="inlineStr">
        <is>
          <t>Pasto</t>
        </is>
      </c>
      <c r="D4395" t="inlineStr">
        <is>
          <t>7682</t>
        </is>
      </c>
      <c r="E4395" t="inlineStr">
        <is>
          <t>pagado</t>
        </is>
      </c>
      <c r="F4395" s="23" t="n">
        <v>46278</v>
      </c>
      <c r="G4395" s="24">
        <f>F4395-DATE(2026,8,31)</f>
        <v>13</v>
      </c>
      <c r="H4395" s="25" t="n">
        <v>61911325</v>
      </c>
      <c r="I4395" t="inlineStr">
        <is>
          <t>entidad-dia</t>
        </is>
      </c>
    </row>
    <row r="4396">
      <c r="A4396" t="inlineStr">
        <is>
          <t>PRAGMA</t>
        </is>
      </c>
      <c r="B4396" t="inlineStr">
        <is>
          <t>M1</t>
        </is>
      </c>
      <c r="C4396" t="inlineStr">
        <is>
          <t>Pasto</t>
        </is>
      </c>
      <c r="D4396" t="inlineStr">
        <is>
          <t>7682</t>
        </is>
      </c>
      <c r="E4396" t="inlineStr">
        <is>
          <t>pagado</t>
        </is>
      </c>
      <c r="F4396" s="23" t="n">
        <v>46279</v>
      </c>
      <c r="G4396" s="24">
        <f>F4396-DATE(2026,8,31)</f>
        <v>14</v>
      </c>
      <c r="H4396" s="25" t="n">
        <v>96453328</v>
      </c>
      <c r="I4396" t="inlineStr">
        <is>
          <t>entidad-dia</t>
        </is>
      </c>
    </row>
    <row r="4397">
      <c r="A4397" t="inlineStr">
        <is>
          <t>PRAGMA</t>
        </is>
      </c>
      <c r="B4397" t="inlineStr">
        <is>
          <t>M1</t>
        </is>
      </c>
      <c r="C4397" t="inlineStr">
        <is>
          <t>Pasto</t>
        </is>
      </c>
      <c r="D4397" t="inlineStr">
        <is>
          <t>7682</t>
        </is>
      </c>
      <c r="E4397" t="inlineStr">
        <is>
          <t>pagado</t>
        </is>
      </c>
      <c r="F4397" s="23" t="n">
        <v>46280</v>
      </c>
      <c r="G4397" s="24">
        <f>F4397-DATE(2026,8,31)</f>
        <v>15</v>
      </c>
      <c r="H4397" s="25" t="n">
        <v>121811400</v>
      </c>
      <c r="I4397" t="inlineStr">
        <is>
          <t>entidad-dia</t>
        </is>
      </c>
    </row>
    <row r="4398">
      <c r="A4398" t="inlineStr">
        <is>
          <t>PRAGMA</t>
        </is>
      </c>
      <c r="B4398" t="inlineStr">
        <is>
          <t>M1</t>
        </is>
      </c>
      <c r="C4398" t="inlineStr">
        <is>
          <t>Cali</t>
        </is>
      </c>
      <c r="D4398" t="inlineStr">
        <is>
          <t>7720</t>
        </is>
      </c>
      <c r="E4398" t="inlineStr">
        <is>
          <t>pagado</t>
        </is>
      </c>
      <c r="F4398" s="23" t="n">
        <v>46266</v>
      </c>
      <c r="G4398" s="24">
        <f>F4398-DATE(2026,8,31)</f>
        <v>1</v>
      </c>
      <c r="H4398" s="25" t="n">
        <v>105350419</v>
      </c>
      <c r="I4398" t="inlineStr">
        <is>
          <t>entidad-dia</t>
        </is>
      </c>
    </row>
    <row r="4399">
      <c r="A4399" t="inlineStr">
        <is>
          <t>PRAGMA</t>
        </is>
      </c>
      <c r="B4399" t="inlineStr">
        <is>
          <t>M1</t>
        </is>
      </c>
      <c r="C4399" t="inlineStr">
        <is>
          <t>Cali</t>
        </is>
      </c>
      <c r="D4399" t="inlineStr">
        <is>
          <t>7720</t>
        </is>
      </c>
      <c r="E4399" t="inlineStr">
        <is>
          <t>pagado</t>
        </is>
      </c>
      <c r="F4399" s="23" t="n">
        <v>46267</v>
      </c>
      <c r="G4399" s="24">
        <f>F4399-DATE(2026,8,31)</f>
        <v>2</v>
      </c>
      <c r="H4399" s="25" t="n">
        <v>66369757</v>
      </c>
      <c r="I4399" t="inlineStr">
        <is>
          <t>entidad-dia</t>
        </is>
      </c>
    </row>
    <row r="4400">
      <c r="A4400" t="inlineStr">
        <is>
          <t>PRAGMA</t>
        </is>
      </c>
      <c r="B4400" t="inlineStr">
        <is>
          <t>M1</t>
        </is>
      </c>
      <c r="C4400" t="inlineStr">
        <is>
          <t>Cali</t>
        </is>
      </c>
      <c r="D4400" t="inlineStr">
        <is>
          <t>7720</t>
        </is>
      </c>
      <c r="E4400" t="inlineStr">
        <is>
          <t>pagado</t>
        </is>
      </c>
      <c r="F4400" s="23" t="n">
        <v>46268</v>
      </c>
      <c r="G4400" s="24">
        <f>F4400-DATE(2026,8,31)</f>
        <v>3</v>
      </c>
      <c r="H4400" s="25" t="n">
        <v>79724144</v>
      </c>
      <c r="I4400" t="inlineStr">
        <is>
          <t>entidad-dia</t>
        </is>
      </c>
    </row>
    <row r="4401">
      <c r="A4401" t="inlineStr">
        <is>
          <t>PRAGMA</t>
        </is>
      </c>
      <c r="B4401" t="inlineStr">
        <is>
          <t>M1</t>
        </is>
      </c>
      <c r="C4401" t="inlineStr">
        <is>
          <t>Cali</t>
        </is>
      </c>
      <c r="D4401" t="inlineStr">
        <is>
          <t>7720</t>
        </is>
      </c>
      <c r="E4401" t="inlineStr">
        <is>
          <t>pagado</t>
        </is>
      </c>
      <c r="F4401" s="23" t="n">
        <v>46269</v>
      </c>
      <c r="G4401" s="24">
        <f>F4401-DATE(2026,8,31)</f>
        <v>4</v>
      </c>
      <c r="H4401" s="25" t="n">
        <v>60448355</v>
      </c>
      <c r="I4401" t="inlineStr">
        <is>
          <t>entidad-dia</t>
        </is>
      </c>
    </row>
    <row r="4402">
      <c r="A4402" t="inlineStr">
        <is>
          <t>PRAGMA</t>
        </is>
      </c>
      <c r="B4402" t="inlineStr">
        <is>
          <t>M1</t>
        </is>
      </c>
      <c r="C4402" t="inlineStr">
        <is>
          <t>Cali</t>
        </is>
      </c>
      <c r="D4402" t="inlineStr">
        <is>
          <t>7720</t>
        </is>
      </c>
      <c r="E4402" t="inlineStr">
        <is>
          <t>pagado</t>
        </is>
      </c>
      <c r="F4402" s="23" t="n">
        <v>46270</v>
      </c>
      <c r="G4402" s="24">
        <f>F4402-DATE(2026,8,31)</f>
        <v>5</v>
      </c>
      <c r="H4402" s="25" t="n">
        <v>18022420</v>
      </c>
      <c r="I4402" t="inlineStr">
        <is>
          <t>entidad-dia</t>
        </is>
      </c>
    </row>
    <row r="4403">
      <c r="A4403" t="inlineStr">
        <is>
          <t>PRAGMA</t>
        </is>
      </c>
      <c r="B4403" t="inlineStr">
        <is>
          <t>M1</t>
        </is>
      </c>
      <c r="C4403" t="inlineStr">
        <is>
          <t>Cali</t>
        </is>
      </c>
      <c r="D4403" t="inlineStr">
        <is>
          <t>7720</t>
        </is>
      </c>
      <c r="E4403" t="inlineStr">
        <is>
          <t>pagado</t>
        </is>
      </c>
      <c r="F4403" s="23" t="n">
        <v>46271</v>
      </c>
      <c r="G4403" s="24">
        <f>F4403-DATE(2026,8,31)</f>
        <v>6</v>
      </c>
      <c r="H4403" s="25" t="n">
        <v>993465</v>
      </c>
      <c r="I4403" t="inlineStr">
        <is>
          <t>entidad-dia</t>
        </is>
      </c>
    </row>
    <row r="4404">
      <c r="A4404" t="inlineStr">
        <is>
          <t>PRAGMA</t>
        </is>
      </c>
      <c r="B4404" t="inlineStr">
        <is>
          <t>M1</t>
        </is>
      </c>
      <c r="C4404" t="inlineStr">
        <is>
          <t>Cali</t>
        </is>
      </c>
      <c r="D4404" t="inlineStr">
        <is>
          <t>7720</t>
        </is>
      </c>
      <c r="E4404" t="inlineStr">
        <is>
          <t>pagado</t>
        </is>
      </c>
      <c r="F4404" s="23" t="n">
        <v>46272</v>
      </c>
      <c r="G4404" s="24">
        <f>F4404-DATE(2026,8,31)</f>
        <v>7</v>
      </c>
      <c r="H4404" s="25" t="n">
        <v>53941312</v>
      </c>
      <c r="I4404" t="inlineStr">
        <is>
          <t>entidad-dia</t>
        </is>
      </c>
    </row>
    <row r="4405">
      <c r="A4405" t="inlineStr">
        <is>
          <t>PRAGMA</t>
        </is>
      </c>
      <c r="B4405" t="inlineStr">
        <is>
          <t>M1</t>
        </is>
      </c>
      <c r="C4405" t="inlineStr">
        <is>
          <t>Cali</t>
        </is>
      </c>
      <c r="D4405" t="inlineStr">
        <is>
          <t>7720</t>
        </is>
      </c>
      <c r="E4405" t="inlineStr">
        <is>
          <t>pagado</t>
        </is>
      </c>
      <c r="F4405" s="23" t="n">
        <v>46273</v>
      </c>
      <c r="G4405" s="24">
        <f>F4405-DATE(2026,8,31)</f>
        <v>8</v>
      </c>
      <c r="H4405" s="25" t="n">
        <v>53124739</v>
      </c>
      <c r="I4405" t="inlineStr">
        <is>
          <t>entidad-dia</t>
        </is>
      </c>
    </row>
    <row r="4406">
      <c r="A4406" t="inlineStr">
        <is>
          <t>PRAGMA</t>
        </is>
      </c>
      <c r="B4406" t="inlineStr">
        <is>
          <t>M1</t>
        </is>
      </c>
      <c r="C4406" t="inlineStr">
        <is>
          <t>Cali</t>
        </is>
      </c>
      <c r="D4406" t="inlineStr">
        <is>
          <t>7720</t>
        </is>
      </c>
      <c r="E4406" t="inlineStr">
        <is>
          <t>pagado</t>
        </is>
      </c>
      <c r="F4406" s="23" t="n">
        <v>46274</v>
      </c>
      <c r="G4406" s="24">
        <f>F4406-DATE(2026,8,31)</f>
        <v>9</v>
      </c>
      <c r="H4406" s="25" t="n">
        <v>52445691</v>
      </c>
      <c r="I4406" t="inlineStr">
        <is>
          <t>entidad-dia</t>
        </is>
      </c>
    </row>
    <row r="4407">
      <c r="A4407" t="inlineStr">
        <is>
          <t>PRAGMA</t>
        </is>
      </c>
      <c r="B4407" t="inlineStr">
        <is>
          <t>M1</t>
        </is>
      </c>
      <c r="C4407" t="inlineStr">
        <is>
          <t>Cali</t>
        </is>
      </c>
      <c r="D4407" t="inlineStr">
        <is>
          <t>7720</t>
        </is>
      </c>
      <c r="E4407" t="inlineStr">
        <is>
          <t>pagado</t>
        </is>
      </c>
      <c r="F4407" s="23" t="n">
        <v>46275</v>
      </c>
      <c r="G4407" s="24">
        <f>F4407-DATE(2026,8,31)</f>
        <v>10</v>
      </c>
      <c r="H4407" s="25" t="n">
        <v>41887003</v>
      </c>
      <c r="I4407" t="inlineStr">
        <is>
          <t>entidad-dia</t>
        </is>
      </c>
    </row>
    <row r="4408">
      <c r="A4408" t="inlineStr">
        <is>
          <t>PRAGMA</t>
        </is>
      </c>
      <c r="B4408" t="inlineStr">
        <is>
          <t>M1</t>
        </is>
      </c>
      <c r="C4408" t="inlineStr">
        <is>
          <t>Cali</t>
        </is>
      </c>
      <c r="D4408" t="inlineStr">
        <is>
          <t>7720</t>
        </is>
      </c>
      <c r="E4408" t="inlineStr">
        <is>
          <t>pagado</t>
        </is>
      </c>
      <c r="F4408" s="23" t="n">
        <v>46276</v>
      </c>
      <c r="G4408" s="24">
        <f>F4408-DATE(2026,8,31)</f>
        <v>11</v>
      </c>
      <c r="H4408" s="25" t="n">
        <v>48523475</v>
      </c>
      <c r="I4408" t="inlineStr">
        <is>
          <t>entidad-dia</t>
        </is>
      </c>
    </row>
    <row r="4409">
      <c r="A4409" t="inlineStr">
        <is>
          <t>PRAGMA</t>
        </is>
      </c>
      <c r="B4409" t="inlineStr">
        <is>
          <t>M1</t>
        </is>
      </c>
      <c r="C4409" t="inlineStr">
        <is>
          <t>Cali</t>
        </is>
      </c>
      <c r="D4409" t="inlineStr">
        <is>
          <t>7720</t>
        </is>
      </c>
      <c r="E4409" t="inlineStr">
        <is>
          <t>pagado</t>
        </is>
      </c>
      <c r="F4409" s="23" t="n">
        <v>46277</v>
      </c>
      <c r="G4409" s="24">
        <f>F4409-DATE(2026,8,31)</f>
        <v>12</v>
      </c>
      <c r="H4409" s="25" t="n">
        <v>13344160</v>
      </c>
      <c r="I4409" t="inlineStr">
        <is>
          <t>entidad-dia</t>
        </is>
      </c>
    </row>
    <row r="4410">
      <c r="A4410" t="inlineStr">
        <is>
          <t>PRAGMA</t>
        </is>
      </c>
      <c r="B4410" t="inlineStr">
        <is>
          <t>M1</t>
        </is>
      </c>
      <c r="C4410" t="inlineStr">
        <is>
          <t>Cali</t>
        </is>
      </c>
      <c r="D4410" t="inlineStr">
        <is>
          <t>7720</t>
        </is>
      </c>
      <c r="E4410" t="inlineStr">
        <is>
          <t>pagado</t>
        </is>
      </c>
      <c r="F4410" s="23" t="n">
        <v>46278</v>
      </c>
      <c r="G4410" s="24">
        <f>F4410-DATE(2026,8,31)</f>
        <v>13</v>
      </c>
      <c r="H4410" s="25" t="n">
        <v>835126</v>
      </c>
      <c r="I4410" t="inlineStr">
        <is>
          <t>entidad-dia</t>
        </is>
      </c>
    </row>
    <row r="4411">
      <c r="A4411" t="inlineStr">
        <is>
          <t>PRAGMA</t>
        </is>
      </c>
      <c r="B4411" t="inlineStr">
        <is>
          <t>M1</t>
        </is>
      </c>
      <c r="C4411" t="inlineStr">
        <is>
          <t>Cali</t>
        </is>
      </c>
      <c r="D4411" t="inlineStr">
        <is>
          <t>7720</t>
        </is>
      </c>
      <c r="E4411" t="inlineStr">
        <is>
          <t>pagado</t>
        </is>
      </c>
      <c r="F4411" s="23" t="n">
        <v>46279</v>
      </c>
      <c r="G4411" s="24">
        <f>F4411-DATE(2026,8,31)</f>
        <v>14</v>
      </c>
      <c r="H4411" s="25" t="n">
        <v>49700677</v>
      </c>
      <c r="I4411" t="inlineStr">
        <is>
          <t>entidad-dia</t>
        </is>
      </c>
    </row>
    <row r="4412">
      <c r="A4412" t="inlineStr">
        <is>
          <t>PRAGMA</t>
        </is>
      </c>
      <c r="B4412" t="inlineStr">
        <is>
          <t>M1</t>
        </is>
      </c>
      <c r="C4412" t="inlineStr">
        <is>
          <t>Cali</t>
        </is>
      </c>
      <c r="D4412" t="inlineStr">
        <is>
          <t>7720</t>
        </is>
      </c>
      <c r="E4412" t="inlineStr">
        <is>
          <t>pagado</t>
        </is>
      </c>
      <c r="F4412" s="23" t="n">
        <v>46280</v>
      </c>
      <c r="G4412" s="24">
        <f>F4412-DATE(2026,8,31)</f>
        <v>15</v>
      </c>
      <c r="H4412" s="25" t="n">
        <v>76975895</v>
      </c>
      <c r="I4412" t="inlineStr">
        <is>
          <t>entidad-dia</t>
        </is>
      </c>
    </row>
    <row r="4413">
      <c r="A4413" t="inlineStr">
        <is>
          <t>PRAGMA</t>
        </is>
      </c>
      <c r="B4413" t="inlineStr">
        <is>
          <t>M1</t>
        </is>
      </c>
      <c r="C4413" t="inlineStr">
        <is>
          <t>Cali</t>
        </is>
      </c>
      <c r="D4413" t="inlineStr">
        <is>
          <t>7757</t>
        </is>
      </c>
      <c r="E4413" t="inlineStr">
        <is>
          <t>pagado</t>
        </is>
      </c>
      <c r="F4413" s="23" t="n">
        <v>46266</v>
      </c>
      <c r="G4413" s="24">
        <f>F4413-DATE(2026,8,31)</f>
        <v>1</v>
      </c>
      <c r="H4413" s="25" t="n">
        <v>47740958</v>
      </c>
      <c r="I4413" t="inlineStr">
        <is>
          <t>entidad-dia</t>
        </is>
      </c>
    </row>
    <row r="4414">
      <c r="A4414" t="inlineStr">
        <is>
          <t>PRAGMA</t>
        </is>
      </c>
      <c r="B4414" t="inlineStr">
        <is>
          <t>M1</t>
        </is>
      </c>
      <c r="C4414" t="inlineStr">
        <is>
          <t>Cali</t>
        </is>
      </c>
      <c r="D4414" t="inlineStr">
        <is>
          <t>7757</t>
        </is>
      </c>
      <c r="E4414" t="inlineStr">
        <is>
          <t>pagado</t>
        </is>
      </c>
      <c r="F4414" s="23" t="n">
        <v>46267</v>
      </c>
      <c r="G4414" s="24">
        <f>F4414-DATE(2026,8,31)</f>
        <v>2</v>
      </c>
      <c r="H4414" s="25" t="n">
        <v>25745214</v>
      </c>
      <c r="I4414" t="inlineStr">
        <is>
          <t>entidad-dia</t>
        </is>
      </c>
    </row>
    <row r="4415">
      <c r="A4415" t="inlineStr">
        <is>
          <t>PRAGMA</t>
        </is>
      </c>
      <c r="B4415" t="inlineStr">
        <is>
          <t>M1</t>
        </is>
      </c>
      <c r="C4415" t="inlineStr">
        <is>
          <t>Cali</t>
        </is>
      </c>
      <c r="D4415" t="inlineStr">
        <is>
          <t>7757</t>
        </is>
      </c>
      <c r="E4415" t="inlineStr">
        <is>
          <t>pagado</t>
        </is>
      </c>
      <c r="F4415" s="23" t="n">
        <v>46268</v>
      </c>
      <c r="G4415" s="24">
        <f>F4415-DATE(2026,8,31)</f>
        <v>3</v>
      </c>
      <c r="H4415" s="25" t="n">
        <v>33558590</v>
      </c>
      <c r="I4415" t="inlineStr">
        <is>
          <t>entidad-dia</t>
        </is>
      </c>
    </row>
    <row r="4416">
      <c r="A4416" t="inlineStr">
        <is>
          <t>PRAGMA</t>
        </is>
      </c>
      <c r="B4416" t="inlineStr">
        <is>
          <t>M1</t>
        </is>
      </c>
      <c r="C4416" t="inlineStr">
        <is>
          <t>Cali</t>
        </is>
      </c>
      <c r="D4416" t="inlineStr">
        <is>
          <t>7757</t>
        </is>
      </c>
      <c r="E4416" t="inlineStr">
        <is>
          <t>pagado</t>
        </is>
      </c>
      <c r="F4416" s="23" t="n">
        <v>46269</v>
      </c>
      <c r="G4416" s="24">
        <f>F4416-DATE(2026,8,31)</f>
        <v>4</v>
      </c>
      <c r="H4416" s="25" t="n">
        <v>26553383</v>
      </c>
      <c r="I4416" t="inlineStr">
        <is>
          <t>entidad-dia</t>
        </is>
      </c>
    </row>
    <row r="4417">
      <c r="A4417" t="inlineStr">
        <is>
          <t>PRAGMA</t>
        </is>
      </c>
      <c r="B4417" t="inlineStr">
        <is>
          <t>M1</t>
        </is>
      </c>
      <c r="C4417" t="inlineStr">
        <is>
          <t>Cali</t>
        </is>
      </c>
      <c r="D4417" t="inlineStr">
        <is>
          <t>7757</t>
        </is>
      </c>
      <c r="E4417" t="inlineStr">
        <is>
          <t>pagado</t>
        </is>
      </c>
      <c r="F4417" s="23" t="n">
        <v>46270</v>
      </c>
      <c r="G4417" s="24">
        <f>F4417-DATE(2026,8,31)</f>
        <v>5</v>
      </c>
      <c r="H4417" s="25" t="n">
        <v>31446960</v>
      </c>
      <c r="I4417" t="inlineStr">
        <is>
          <t>entidad-dia</t>
        </is>
      </c>
    </row>
    <row r="4418">
      <c r="A4418" t="inlineStr">
        <is>
          <t>PRAGMA</t>
        </is>
      </c>
      <c r="B4418" t="inlineStr">
        <is>
          <t>M1</t>
        </is>
      </c>
      <c r="C4418" t="inlineStr">
        <is>
          <t>Cali</t>
        </is>
      </c>
      <c r="D4418" t="inlineStr">
        <is>
          <t>7757</t>
        </is>
      </c>
      <c r="E4418" t="inlineStr">
        <is>
          <t>pagado</t>
        </is>
      </c>
      <c r="F4418" s="23" t="n">
        <v>46271</v>
      </c>
      <c r="G4418" s="24">
        <f>F4418-DATE(2026,8,31)</f>
        <v>6</v>
      </c>
      <c r="H4418" s="25" t="n">
        <v>27269002</v>
      </c>
      <c r="I4418" t="inlineStr">
        <is>
          <t>entidad-dia</t>
        </is>
      </c>
    </row>
    <row r="4419">
      <c r="A4419" t="inlineStr">
        <is>
          <t>PRAGMA</t>
        </is>
      </c>
      <c r="B4419" t="inlineStr">
        <is>
          <t>M1</t>
        </is>
      </c>
      <c r="C4419" t="inlineStr">
        <is>
          <t>Cali</t>
        </is>
      </c>
      <c r="D4419" t="inlineStr">
        <is>
          <t>7757</t>
        </is>
      </c>
      <c r="E4419" t="inlineStr">
        <is>
          <t>pagado</t>
        </is>
      </c>
      <c r="F4419" s="23" t="n">
        <v>46272</v>
      </c>
      <c r="G4419" s="24">
        <f>F4419-DATE(2026,8,31)</f>
        <v>7</v>
      </c>
      <c r="H4419" s="25" t="n">
        <v>27856559</v>
      </c>
      <c r="I4419" t="inlineStr">
        <is>
          <t>entidad-dia</t>
        </is>
      </c>
    </row>
    <row r="4420">
      <c r="A4420" t="inlineStr">
        <is>
          <t>PRAGMA</t>
        </is>
      </c>
      <c r="B4420" t="inlineStr">
        <is>
          <t>M1</t>
        </is>
      </c>
      <c r="C4420" t="inlineStr">
        <is>
          <t>Cali</t>
        </is>
      </c>
      <c r="D4420" t="inlineStr">
        <is>
          <t>7757</t>
        </is>
      </c>
      <c r="E4420" t="inlineStr">
        <is>
          <t>pagado</t>
        </is>
      </c>
      <c r="F4420" s="23" t="n">
        <v>46273</v>
      </c>
      <c r="G4420" s="24">
        <f>F4420-DATE(2026,8,31)</f>
        <v>8</v>
      </c>
      <c r="H4420" s="25" t="n">
        <v>31026630</v>
      </c>
      <c r="I4420" t="inlineStr">
        <is>
          <t>entidad-dia</t>
        </is>
      </c>
    </row>
    <row r="4421">
      <c r="A4421" t="inlineStr">
        <is>
          <t>PRAGMA</t>
        </is>
      </c>
      <c r="B4421" t="inlineStr">
        <is>
          <t>M1</t>
        </is>
      </c>
      <c r="C4421" t="inlineStr">
        <is>
          <t>Cali</t>
        </is>
      </c>
      <c r="D4421" t="inlineStr">
        <is>
          <t>7757</t>
        </is>
      </c>
      <c r="E4421" t="inlineStr">
        <is>
          <t>pagado</t>
        </is>
      </c>
      <c r="F4421" s="23" t="n">
        <v>46274</v>
      </c>
      <c r="G4421" s="24">
        <f>F4421-DATE(2026,8,31)</f>
        <v>9</v>
      </c>
      <c r="H4421" s="25" t="n">
        <v>23071427</v>
      </c>
      <c r="I4421" t="inlineStr">
        <is>
          <t>entidad-dia</t>
        </is>
      </c>
    </row>
    <row r="4422">
      <c r="A4422" t="inlineStr">
        <is>
          <t>PRAGMA</t>
        </is>
      </c>
      <c r="B4422" t="inlineStr">
        <is>
          <t>M1</t>
        </is>
      </c>
      <c r="C4422" t="inlineStr">
        <is>
          <t>Cali</t>
        </is>
      </c>
      <c r="D4422" t="inlineStr">
        <is>
          <t>7757</t>
        </is>
      </c>
      <c r="E4422" t="inlineStr">
        <is>
          <t>pagado</t>
        </is>
      </c>
      <c r="F4422" s="23" t="n">
        <v>46275</v>
      </c>
      <c r="G4422" s="24">
        <f>F4422-DATE(2026,8,31)</f>
        <v>10</v>
      </c>
      <c r="H4422" s="25" t="n">
        <v>29960695</v>
      </c>
      <c r="I4422" t="inlineStr">
        <is>
          <t>entidad-dia</t>
        </is>
      </c>
    </row>
    <row r="4423">
      <c r="A4423" t="inlineStr">
        <is>
          <t>PRAGMA</t>
        </is>
      </c>
      <c r="B4423" t="inlineStr">
        <is>
          <t>M1</t>
        </is>
      </c>
      <c r="C4423" t="inlineStr">
        <is>
          <t>Cali</t>
        </is>
      </c>
      <c r="D4423" t="inlineStr">
        <is>
          <t>7757</t>
        </is>
      </c>
      <c r="E4423" t="inlineStr">
        <is>
          <t>pagado</t>
        </is>
      </c>
      <c r="F4423" s="23" t="n">
        <v>46276</v>
      </c>
      <c r="G4423" s="24">
        <f>F4423-DATE(2026,8,31)</f>
        <v>11</v>
      </c>
      <c r="H4423" s="25" t="n">
        <v>25069194</v>
      </c>
      <c r="I4423" t="inlineStr">
        <is>
          <t>entidad-dia</t>
        </is>
      </c>
    </row>
    <row r="4424">
      <c r="A4424" t="inlineStr">
        <is>
          <t>PRAGMA</t>
        </is>
      </c>
      <c r="B4424" t="inlineStr">
        <is>
          <t>M1</t>
        </is>
      </c>
      <c r="C4424" t="inlineStr">
        <is>
          <t>Cali</t>
        </is>
      </c>
      <c r="D4424" t="inlineStr">
        <is>
          <t>7757</t>
        </is>
      </c>
      <c r="E4424" t="inlineStr">
        <is>
          <t>pagado</t>
        </is>
      </c>
      <c r="F4424" s="23" t="n">
        <v>46277</v>
      </c>
      <c r="G4424" s="24">
        <f>F4424-DATE(2026,8,31)</f>
        <v>12</v>
      </c>
      <c r="H4424" s="25" t="n">
        <v>24898444</v>
      </c>
      <c r="I4424" t="inlineStr">
        <is>
          <t>entidad-dia</t>
        </is>
      </c>
    </row>
    <row r="4425">
      <c r="A4425" t="inlineStr">
        <is>
          <t>PRAGMA</t>
        </is>
      </c>
      <c r="B4425" t="inlineStr">
        <is>
          <t>M1</t>
        </is>
      </c>
      <c r="C4425" t="inlineStr">
        <is>
          <t>Cali</t>
        </is>
      </c>
      <c r="D4425" t="inlineStr">
        <is>
          <t>7757</t>
        </is>
      </c>
      <c r="E4425" t="inlineStr">
        <is>
          <t>pagado</t>
        </is>
      </c>
      <c r="F4425" s="23" t="n">
        <v>46278</v>
      </c>
      <c r="G4425" s="24">
        <f>F4425-DATE(2026,8,31)</f>
        <v>13</v>
      </c>
      <c r="H4425" s="25" t="n">
        <v>20048525</v>
      </c>
      <c r="I4425" t="inlineStr">
        <is>
          <t>entidad-dia</t>
        </is>
      </c>
    </row>
    <row r="4426">
      <c r="A4426" t="inlineStr">
        <is>
          <t>PRAGMA</t>
        </is>
      </c>
      <c r="B4426" t="inlineStr">
        <is>
          <t>M1</t>
        </is>
      </c>
      <c r="C4426" t="inlineStr">
        <is>
          <t>Cali</t>
        </is>
      </c>
      <c r="D4426" t="inlineStr">
        <is>
          <t>7757</t>
        </is>
      </c>
      <c r="E4426" t="inlineStr">
        <is>
          <t>pagado</t>
        </is>
      </c>
      <c r="F4426" s="23" t="n">
        <v>46279</v>
      </c>
      <c r="G4426" s="24">
        <f>F4426-DATE(2026,8,31)</f>
        <v>14</v>
      </c>
      <c r="H4426" s="25" t="n">
        <v>24255161</v>
      </c>
      <c r="I4426" t="inlineStr">
        <is>
          <t>entidad-dia</t>
        </is>
      </c>
    </row>
    <row r="4427">
      <c r="A4427" t="inlineStr">
        <is>
          <t>PRAGMA</t>
        </is>
      </c>
      <c r="B4427" t="inlineStr">
        <is>
          <t>M1</t>
        </is>
      </c>
      <c r="C4427" t="inlineStr">
        <is>
          <t>Cali</t>
        </is>
      </c>
      <c r="D4427" t="inlineStr">
        <is>
          <t>7757</t>
        </is>
      </c>
      <c r="E4427" t="inlineStr">
        <is>
          <t>pagado</t>
        </is>
      </c>
      <c r="F4427" s="23" t="n">
        <v>46280</v>
      </c>
      <c r="G4427" s="24">
        <f>F4427-DATE(2026,8,31)</f>
        <v>15</v>
      </c>
      <c r="H4427" s="25" t="n">
        <v>36062846</v>
      </c>
      <c r="I4427" t="inlineStr">
        <is>
          <t>entidad-dia</t>
        </is>
      </c>
    </row>
    <row r="4428">
      <c r="A4428" t="inlineStr">
        <is>
          <t>PRAGMA</t>
        </is>
      </c>
      <c r="B4428" t="inlineStr">
        <is>
          <t>M1</t>
        </is>
      </c>
      <c r="C4428" t="inlineStr">
        <is>
          <t>Cali</t>
        </is>
      </c>
      <c r="D4428" t="inlineStr">
        <is>
          <t>7758</t>
        </is>
      </c>
      <c r="E4428" t="inlineStr">
        <is>
          <t>pagado</t>
        </is>
      </c>
      <c r="F4428" s="23" t="n">
        <v>46266</v>
      </c>
      <c r="G4428" s="24">
        <f>F4428-DATE(2026,8,31)</f>
        <v>1</v>
      </c>
      <c r="H4428" s="25" t="n">
        <v>29536594</v>
      </c>
      <c r="I4428" t="inlineStr">
        <is>
          <t>entidad-dia</t>
        </is>
      </c>
    </row>
    <row r="4429">
      <c r="A4429" t="inlineStr">
        <is>
          <t>PRAGMA</t>
        </is>
      </c>
      <c r="B4429" t="inlineStr">
        <is>
          <t>M1</t>
        </is>
      </c>
      <c r="C4429" t="inlineStr">
        <is>
          <t>Cali</t>
        </is>
      </c>
      <c r="D4429" t="inlineStr">
        <is>
          <t>7758</t>
        </is>
      </c>
      <c r="E4429" t="inlineStr">
        <is>
          <t>pagado</t>
        </is>
      </c>
      <c r="F4429" s="23" t="n">
        <v>46267</v>
      </c>
      <c r="G4429" s="24">
        <f>F4429-DATE(2026,8,31)</f>
        <v>2</v>
      </c>
      <c r="H4429" s="25" t="n">
        <v>24470261</v>
      </c>
      <c r="I4429" t="inlineStr">
        <is>
          <t>entidad-dia</t>
        </is>
      </c>
    </row>
    <row r="4430">
      <c r="A4430" t="inlineStr">
        <is>
          <t>PRAGMA</t>
        </is>
      </c>
      <c r="B4430" t="inlineStr">
        <is>
          <t>M1</t>
        </is>
      </c>
      <c r="C4430" t="inlineStr">
        <is>
          <t>Cali</t>
        </is>
      </c>
      <c r="D4430" t="inlineStr">
        <is>
          <t>7758</t>
        </is>
      </c>
      <c r="E4430" t="inlineStr">
        <is>
          <t>pagado</t>
        </is>
      </c>
      <c r="F4430" s="23" t="n">
        <v>46268</v>
      </c>
      <c r="G4430" s="24">
        <f>F4430-DATE(2026,8,31)</f>
        <v>3</v>
      </c>
      <c r="H4430" s="25" t="n">
        <v>15891654</v>
      </c>
      <c r="I4430" t="inlineStr">
        <is>
          <t>entidad-dia</t>
        </is>
      </c>
    </row>
    <row r="4431">
      <c r="A4431" t="inlineStr">
        <is>
          <t>PRAGMA</t>
        </is>
      </c>
      <c r="B4431" t="inlineStr">
        <is>
          <t>M1</t>
        </is>
      </c>
      <c r="C4431" t="inlineStr">
        <is>
          <t>Cali</t>
        </is>
      </c>
      <c r="D4431" t="inlineStr">
        <is>
          <t>7758</t>
        </is>
      </c>
      <c r="E4431" t="inlineStr">
        <is>
          <t>pagado</t>
        </is>
      </c>
      <c r="F4431" s="23" t="n">
        <v>46269</v>
      </c>
      <c r="G4431" s="24">
        <f>F4431-DATE(2026,8,31)</f>
        <v>4</v>
      </c>
      <c r="H4431" s="25" t="n">
        <v>16317092</v>
      </c>
      <c r="I4431" t="inlineStr">
        <is>
          <t>entidad-dia</t>
        </is>
      </c>
    </row>
    <row r="4432">
      <c r="A4432" t="inlineStr">
        <is>
          <t>PRAGMA</t>
        </is>
      </c>
      <c r="B4432" t="inlineStr">
        <is>
          <t>M1</t>
        </is>
      </c>
      <c r="C4432" t="inlineStr">
        <is>
          <t>Cali</t>
        </is>
      </c>
      <c r="D4432" t="inlineStr">
        <is>
          <t>7758</t>
        </is>
      </c>
      <c r="E4432" t="inlineStr">
        <is>
          <t>pagado</t>
        </is>
      </c>
      <c r="F4432" s="23" t="n">
        <v>46270</v>
      </c>
      <c r="G4432" s="24">
        <f>F4432-DATE(2026,8,31)</f>
        <v>5</v>
      </c>
      <c r="H4432" s="25" t="n">
        <v>6836661</v>
      </c>
      <c r="I4432" t="inlineStr">
        <is>
          <t>entidad-dia</t>
        </is>
      </c>
    </row>
    <row r="4433">
      <c r="A4433" t="inlineStr">
        <is>
          <t>PRAGMA</t>
        </is>
      </c>
      <c r="B4433" t="inlineStr">
        <is>
          <t>M1</t>
        </is>
      </c>
      <c r="C4433" t="inlineStr">
        <is>
          <t>Cali</t>
        </is>
      </c>
      <c r="D4433" t="inlineStr">
        <is>
          <t>7758</t>
        </is>
      </c>
      <c r="E4433" t="inlineStr">
        <is>
          <t>pagado</t>
        </is>
      </c>
      <c r="F4433" s="23" t="n">
        <v>46271</v>
      </c>
      <c r="G4433" s="24">
        <f>F4433-DATE(2026,8,31)</f>
        <v>6</v>
      </c>
      <c r="H4433" s="25" t="n">
        <v>9060632</v>
      </c>
      <c r="I4433" t="inlineStr">
        <is>
          <t>entidad-dia</t>
        </is>
      </c>
    </row>
    <row r="4434">
      <c r="A4434" t="inlineStr">
        <is>
          <t>PRAGMA</t>
        </is>
      </c>
      <c r="B4434" t="inlineStr">
        <is>
          <t>M1</t>
        </is>
      </c>
      <c r="C4434" t="inlineStr">
        <is>
          <t>Cali</t>
        </is>
      </c>
      <c r="D4434" t="inlineStr">
        <is>
          <t>7758</t>
        </is>
      </c>
      <c r="E4434" t="inlineStr">
        <is>
          <t>pagado</t>
        </is>
      </c>
      <c r="F4434" s="23" t="n">
        <v>46272</v>
      </c>
      <c r="G4434" s="24">
        <f>F4434-DATE(2026,8,31)</f>
        <v>7</v>
      </c>
      <c r="H4434" s="25" t="n">
        <v>20889266</v>
      </c>
      <c r="I4434" t="inlineStr">
        <is>
          <t>entidad-dia</t>
        </is>
      </c>
    </row>
    <row r="4435">
      <c r="A4435" t="inlineStr">
        <is>
          <t>PRAGMA</t>
        </is>
      </c>
      <c r="B4435" t="inlineStr">
        <is>
          <t>M1</t>
        </is>
      </c>
      <c r="C4435" t="inlineStr">
        <is>
          <t>Cali</t>
        </is>
      </c>
      <c r="D4435" t="inlineStr">
        <is>
          <t>7758</t>
        </is>
      </c>
      <c r="E4435" t="inlineStr">
        <is>
          <t>pagado</t>
        </is>
      </c>
      <c r="F4435" s="23" t="n">
        <v>46273</v>
      </c>
      <c r="G4435" s="24">
        <f>F4435-DATE(2026,8,31)</f>
        <v>8</v>
      </c>
      <c r="H4435" s="25" t="n">
        <v>18914812</v>
      </c>
      <c r="I4435" t="inlineStr">
        <is>
          <t>entidad-dia</t>
        </is>
      </c>
    </row>
    <row r="4436">
      <c r="A4436" t="inlineStr">
        <is>
          <t>PRAGMA</t>
        </is>
      </c>
      <c r="B4436" t="inlineStr">
        <is>
          <t>M1</t>
        </is>
      </c>
      <c r="C4436" t="inlineStr">
        <is>
          <t>Cali</t>
        </is>
      </c>
      <c r="D4436" t="inlineStr">
        <is>
          <t>7758</t>
        </is>
      </c>
      <c r="E4436" t="inlineStr">
        <is>
          <t>pagado</t>
        </is>
      </c>
      <c r="F4436" s="23" t="n">
        <v>46274</v>
      </c>
      <c r="G4436" s="24">
        <f>F4436-DATE(2026,8,31)</f>
        <v>9</v>
      </c>
      <c r="H4436" s="25" t="n">
        <v>14861645</v>
      </c>
      <c r="I4436" t="inlineStr">
        <is>
          <t>entidad-dia</t>
        </is>
      </c>
    </row>
    <row r="4437">
      <c r="A4437" t="inlineStr">
        <is>
          <t>PRAGMA</t>
        </is>
      </c>
      <c r="B4437" t="inlineStr">
        <is>
          <t>M1</t>
        </is>
      </c>
      <c r="C4437" t="inlineStr">
        <is>
          <t>Cali</t>
        </is>
      </c>
      <c r="D4437" t="inlineStr">
        <is>
          <t>7758</t>
        </is>
      </c>
      <c r="E4437" t="inlineStr">
        <is>
          <t>pagado</t>
        </is>
      </c>
      <c r="F4437" s="23" t="n">
        <v>46275</v>
      </c>
      <c r="G4437" s="24">
        <f>F4437-DATE(2026,8,31)</f>
        <v>10</v>
      </c>
      <c r="H4437" s="25" t="n">
        <v>11405049</v>
      </c>
      <c r="I4437" t="inlineStr">
        <is>
          <t>entidad-dia</t>
        </is>
      </c>
    </row>
    <row r="4438">
      <c r="A4438" t="inlineStr">
        <is>
          <t>PRAGMA</t>
        </is>
      </c>
      <c r="B4438" t="inlineStr">
        <is>
          <t>M1</t>
        </is>
      </c>
      <c r="C4438" t="inlineStr">
        <is>
          <t>Cali</t>
        </is>
      </c>
      <c r="D4438" t="inlineStr">
        <is>
          <t>7758</t>
        </is>
      </c>
      <c r="E4438" t="inlineStr">
        <is>
          <t>pagado</t>
        </is>
      </c>
      <c r="F4438" s="23" t="n">
        <v>46276</v>
      </c>
      <c r="G4438" s="24">
        <f>F4438-DATE(2026,8,31)</f>
        <v>11</v>
      </c>
      <c r="H4438" s="25" t="n">
        <v>8160523</v>
      </c>
      <c r="I4438" t="inlineStr">
        <is>
          <t>entidad-dia</t>
        </is>
      </c>
    </row>
    <row r="4439">
      <c r="A4439" t="inlineStr">
        <is>
          <t>PRAGMA</t>
        </is>
      </c>
      <c r="B4439" t="inlineStr">
        <is>
          <t>M1</t>
        </is>
      </c>
      <c r="C4439" t="inlineStr">
        <is>
          <t>Cali</t>
        </is>
      </c>
      <c r="D4439" t="inlineStr">
        <is>
          <t>7758</t>
        </is>
      </c>
      <c r="E4439" t="inlineStr">
        <is>
          <t>pagado</t>
        </is>
      </c>
      <c r="F4439" s="23" t="n">
        <v>46277</v>
      </c>
      <c r="G4439" s="24">
        <f>F4439-DATE(2026,8,31)</f>
        <v>12</v>
      </c>
      <c r="H4439" s="25" t="n">
        <v>5861210</v>
      </c>
      <c r="I4439" t="inlineStr">
        <is>
          <t>entidad-dia</t>
        </is>
      </c>
    </row>
    <row r="4440">
      <c r="A4440" t="inlineStr">
        <is>
          <t>PRAGMA</t>
        </is>
      </c>
      <c r="B4440" t="inlineStr">
        <is>
          <t>M1</t>
        </is>
      </c>
      <c r="C4440" t="inlineStr">
        <is>
          <t>Cali</t>
        </is>
      </c>
      <c r="D4440" t="inlineStr">
        <is>
          <t>7758</t>
        </is>
      </c>
      <c r="E4440" t="inlineStr">
        <is>
          <t>pagado</t>
        </is>
      </c>
      <c r="F4440" s="23" t="n">
        <v>46278</v>
      </c>
      <c r="G4440" s="24">
        <f>F4440-DATE(2026,8,31)</f>
        <v>13</v>
      </c>
      <c r="H4440" s="25" t="n">
        <v>7225082</v>
      </c>
      <c r="I4440" t="inlineStr">
        <is>
          <t>entidad-dia</t>
        </is>
      </c>
    </row>
    <row r="4441">
      <c r="A4441" t="inlineStr">
        <is>
          <t>PRAGMA</t>
        </is>
      </c>
      <c r="B4441" t="inlineStr">
        <is>
          <t>M1</t>
        </is>
      </c>
      <c r="C4441" t="inlineStr">
        <is>
          <t>Cali</t>
        </is>
      </c>
      <c r="D4441" t="inlineStr">
        <is>
          <t>7758</t>
        </is>
      </c>
      <c r="E4441" t="inlineStr">
        <is>
          <t>pagado</t>
        </is>
      </c>
      <c r="F4441" s="23" t="n">
        <v>46279</v>
      </c>
      <c r="G4441" s="24">
        <f>F4441-DATE(2026,8,31)</f>
        <v>14</v>
      </c>
      <c r="H4441" s="25" t="n">
        <v>17350180</v>
      </c>
      <c r="I4441" t="inlineStr">
        <is>
          <t>entidad-dia</t>
        </is>
      </c>
    </row>
    <row r="4442">
      <c r="A4442" t="inlineStr">
        <is>
          <t>PRAGMA</t>
        </is>
      </c>
      <c r="B4442" t="inlineStr">
        <is>
          <t>M1</t>
        </is>
      </c>
      <c r="C4442" t="inlineStr">
        <is>
          <t>Cali</t>
        </is>
      </c>
      <c r="D4442" t="inlineStr">
        <is>
          <t>7758</t>
        </is>
      </c>
      <c r="E4442" t="inlineStr">
        <is>
          <t>pagado</t>
        </is>
      </c>
      <c r="F4442" s="23" t="n">
        <v>46280</v>
      </c>
      <c r="G4442" s="24">
        <f>F4442-DATE(2026,8,31)</f>
        <v>15</v>
      </c>
      <c r="H4442" s="25" t="n">
        <v>33824393</v>
      </c>
      <c r="I4442" t="inlineStr">
        <is>
          <t>entidad-dia</t>
        </is>
      </c>
    </row>
    <row r="4443">
      <c r="A4443" t="inlineStr">
        <is>
          <t>PRAGMA</t>
        </is>
      </c>
      <c r="B4443" t="inlineStr">
        <is>
          <t>M1</t>
        </is>
      </c>
      <c r="C4443" t="inlineStr">
        <is>
          <t>Cali</t>
        </is>
      </c>
      <c r="D4443" t="inlineStr">
        <is>
          <t>7759</t>
        </is>
      </c>
      <c r="E4443" t="inlineStr">
        <is>
          <t>pagado</t>
        </is>
      </c>
      <c r="F4443" s="23" t="n">
        <v>46266</v>
      </c>
      <c r="G4443" s="24">
        <f>F4443-DATE(2026,8,31)</f>
        <v>1</v>
      </c>
      <c r="H4443" s="25" t="n">
        <v>50884946</v>
      </c>
      <c r="I4443" t="inlineStr">
        <is>
          <t>entidad-dia</t>
        </is>
      </c>
    </row>
    <row r="4444">
      <c r="A4444" t="inlineStr">
        <is>
          <t>PRAGMA</t>
        </is>
      </c>
      <c r="B4444" t="inlineStr">
        <is>
          <t>M1</t>
        </is>
      </c>
      <c r="C4444" t="inlineStr">
        <is>
          <t>Cali</t>
        </is>
      </c>
      <c r="D4444" t="inlineStr">
        <is>
          <t>7759</t>
        </is>
      </c>
      <c r="E4444" t="inlineStr">
        <is>
          <t>pagado</t>
        </is>
      </c>
      <c r="F4444" s="23" t="n">
        <v>46267</v>
      </c>
      <c r="G4444" s="24">
        <f>F4444-DATE(2026,8,31)</f>
        <v>2</v>
      </c>
      <c r="H4444" s="25" t="n">
        <v>33496045</v>
      </c>
      <c r="I4444" t="inlineStr">
        <is>
          <t>entidad-dia</t>
        </is>
      </c>
    </row>
    <row r="4445">
      <c r="A4445" t="inlineStr">
        <is>
          <t>PRAGMA</t>
        </is>
      </c>
      <c r="B4445" t="inlineStr">
        <is>
          <t>M1</t>
        </is>
      </c>
      <c r="C4445" t="inlineStr">
        <is>
          <t>Cali</t>
        </is>
      </c>
      <c r="D4445" t="inlineStr">
        <is>
          <t>7759</t>
        </is>
      </c>
      <c r="E4445" t="inlineStr">
        <is>
          <t>pagado</t>
        </is>
      </c>
      <c r="F4445" s="23" t="n">
        <v>46268</v>
      </c>
      <c r="G4445" s="24">
        <f>F4445-DATE(2026,8,31)</f>
        <v>3</v>
      </c>
      <c r="H4445" s="25" t="n">
        <v>25984480</v>
      </c>
      <c r="I4445" t="inlineStr">
        <is>
          <t>entidad-dia</t>
        </is>
      </c>
    </row>
    <row r="4446">
      <c r="A4446" t="inlineStr">
        <is>
          <t>PRAGMA</t>
        </is>
      </c>
      <c r="B4446" t="inlineStr">
        <is>
          <t>M1</t>
        </is>
      </c>
      <c r="C4446" t="inlineStr">
        <is>
          <t>Cali</t>
        </is>
      </c>
      <c r="D4446" t="inlineStr">
        <is>
          <t>7759</t>
        </is>
      </c>
      <c r="E4446" t="inlineStr">
        <is>
          <t>pagado</t>
        </is>
      </c>
      <c r="F4446" s="23" t="n">
        <v>46269</v>
      </c>
      <c r="G4446" s="24">
        <f>F4446-DATE(2026,8,31)</f>
        <v>4</v>
      </c>
      <c r="H4446" s="25" t="n">
        <v>27494110</v>
      </c>
      <c r="I4446" t="inlineStr">
        <is>
          <t>entidad-dia</t>
        </is>
      </c>
    </row>
    <row r="4447">
      <c r="A4447" t="inlineStr">
        <is>
          <t>PRAGMA</t>
        </is>
      </c>
      <c r="B4447" t="inlineStr">
        <is>
          <t>M1</t>
        </is>
      </c>
      <c r="C4447" t="inlineStr">
        <is>
          <t>Cali</t>
        </is>
      </c>
      <c r="D4447" t="inlineStr">
        <is>
          <t>7759</t>
        </is>
      </c>
      <c r="E4447" t="inlineStr">
        <is>
          <t>pagado</t>
        </is>
      </c>
      <c r="F4447" s="23" t="n">
        <v>46270</v>
      </c>
      <c r="G4447" s="24">
        <f>F4447-DATE(2026,8,31)</f>
        <v>5</v>
      </c>
      <c r="H4447" s="25" t="n">
        <v>27084076</v>
      </c>
      <c r="I4447" t="inlineStr">
        <is>
          <t>entidad-dia</t>
        </is>
      </c>
    </row>
    <row r="4448">
      <c r="A4448" t="inlineStr">
        <is>
          <t>PRAGMA</t>
        </is>
      </c>
      <c r="B4448" t="inlineStr">
        <is>
          <t>M1</t>
        </is>
      </c>
      <c r="C4448" t="inlineStr">
        <is>
          <t>Cali</t>
        </is>
      </c>
      <c r="D4448" t="inlineStr">
        <is>
          <t>7759</t>
        </is>
      </c>
      <c r="E4448" t="inlineStr">
        <is>
          <t>pagado</t>
        </is>
      </c>
      <c r="F4448" s="23" t="n">
        <v>46271</v>
      </c>
      <c r="G4448" s="24">
        <f>F4448-DATE(2026,8,31)</f>
        <v>6</v>
      </c>
      <c r="H4448" s="25" t="n">
        <v>22142438</v>
      </c>
      <c r="I4448" t="inlineStr">
        <is>
          <t>entidad-dia</t>
        </is>
      </c>
    </row>
    <row r="4449">
      <c r="A4449" t="inlineStr">
        <is>
          <t>PRAGMA</t>
        </is>
      </c>
      <c r="B4449" t="inlineStr">
        <is>
          <t>M1</t>
        </is>
      </c>
      <c r="C4449" t="inlineStr">
        <is>
          <t>Cali</t>
        </is>
      </c>
      <c r="D4449" t="inlineStr">
        <is>
          <t>7759</t>
        </is>
      </c>
      <c r="E4449" t="inlineStr">
        <is>
          <t>pagado</t>
        </is>
      </c>
      <c r="F4449" s="23" t="n">
        <v>46272</v>
      </c>
      <c r="G4449" s="24">
        <f>F4449-DATE(2026,8,31)</f>
        <v>7</v>
      </c>
      <c r="H4449" s="25" t="n">
        <v>23696543</v>
      </c>
      <c r="I4449" t="inlineStr">
        <is>
          <t>entidad-dia</t>
        </is>
      </c>
    </row>
    <row r="4450">
      <c r="A4450" t="inlineStr">
        <is>
          <t>PRAGMA</t>
        </is>
      </c>
      <c r="B4450" t="inlineStr">
        <is>
          <t>M1</t>
        </is>
      </c>
      <c r="C4450" t="inlineStr">
        <is>
          <t>Cali</t>
        </is>
      </c>
      <c r="D4450" t="inlineStr">
        <is>
          <t>7759</t>
        </is>
      </c>
      <c r="E4450" t="inlineStr">
        <is>
          <t>pagado</t>
        </is>
      </c>
      <c r="F4450" s="23" t="n">
        <v>46273</v>
      </c>
      <c r="G4450" s="24">
        <f>F4450-DATE(2026,8,31)</f>
        <v>8</v>
      </c>
      <c r="H4450" s="25" t="n">
        <v>25793459</v>
      </c>
      <c r="I4450" t="inlineStr">
        <is>
          <t>entidad-dia</t>
        </is>
      </c>
    </row>
    <row r="4451">
      <c r="A4451" t="inlineStr">
        <is>
          <t>PRAGMA</t>
        </is>
      </c>
      <c r="B4451" t="inlineStr">
        <is>
          <t>M1</t>
        </is>
      </c>
      <c r="C4451" t="inlineStr">
        <is>
          <t>Cali</t>
        </is>
      </c>
      <c r="D4451" t="inlineStr">
        <is>
          <t>7759</t>
        </is>
      </c>
      <c r="E4451" t="inlineStr">
        <is>
          <t>pagado</t>
        </is>
      </c>
      <c r="F4451" s="23" t="n">
        <v>46274</v>
      </c>
      <c r="G4451" s="24">
        <f>F4451-DATE(2026,8,31)</f>
        <v>9</v>
      </c>
      <c r="H4451" s="25" t="n">
        <v>24172873</v>
      </c>
      <c r="I4451" t="inlineStr">
        <is>
          <t>entidad-dia</t>
        </is>
      </c>
    </row>
    <row r="4452">
      <c r="A4452" t="inlineStr">
        <is>
          <t>PRAGMA</t>
        </is>
      </c>
      <c r="B4452" t="inlineStr">
        <is>
          <t>M1</t>
        </is>
      </c>
      <c r="C4452" t="inlineStr">
        <is>
          <t>Cali</t>
        </is>
      </c>
      <c r="D4452" t="inlineStr">
        <is>
          <t>7759</t>
        </is>
      </c>
      <c r="E4452" t="inlineStr">
        <is>
          <t>pagado</t>
        </is>
      </c>
      <c r="F4452" s="23" t="n">
        <v>46275</v>
      </c>
      <c r="G4452" s="24">
        <f>F4452-DATE(2026,8,31)</f>
        <v>10</v>
      </c>
      <c r="H4452" s="25" t="n">
        <v>24387462</v>
      </c>
      <c r="I4452" t="inlineStr">
        <is>
          <t>entidad-dia</t>
        </is>
      </c>
    </row>
    <row r="4453">
      <c r="A4453" t="inlineStr">
        <is>
          <t>PRAGMA</t>
        </is>
      </c>
      <c r="B4453" t="inlineStr">
        <is>
          <t>M1</t>
        </is>
      </c>
      <c r="C4453" t="inlineStr">
        <is>
          <t>Cali</t>
        </is>
      </c>
      <c r="D4453" t="inlineStr">
        <is>
          <t>7759</t>
        </is>
      </c>
      <c r="E4453" t="inlineStr">
        <is>
          <t>pagado</t>
        </is>
      </c>
      <c r="F4453" s="23" t="n">
        <v>46276</v>
      </c>
      <c r="G4453" s="24">
        <f>F4453-DATE(2026,8,31)</f>
        <v>11</v>
      </c>
      <c r="H4453" s="25" t="n">
        <v>21854112</v>
      </c>
      <c r="I4453" t="inlineStr">
        <is>
          <t>entidad-dia</t>
        </is>
      </c>
    </row>
    <row r="4454">
      <c r="A4454" t="inlineStr">
        <is>
          <t>PRAGMA</t>
        </is>
      </c>
      <c r="B4454" t="inlineStr">
        <is>
          <t>M1</t>
        </is>
      </c>
      <c r="C4454" t="inlineStr">
        <is>
          <t>Cali</t>
        </is>
      </c>
      <c r="D4454" t="inlineStr">
        <is>
          <t>7759</t>
        </is>
      </c>
      <c r="E4454" t="inlineStr">
        <is>
          <t>pagado</t>
        </is>
      </c>
      <c r="F4454" s="23" t="n">
        <v>46277</v>
      </c>
      <c r="G4454" s="24">
        <f>F4454-DATE(2026,8,31)</f>
        <v>12</v>
      </c>
      <c r="H4454" s="25" t="n">
        <v>26638395</v>
      </c>
      <c r="I4454" t="inlineStr">
        <is>
          <t>entidad-dia</t>
        </is>
      </c>
    </row>
    <row r="4455">
      <c r="A4455" t="inlineStr">
        <is>
          <t>PRAGMA</t>
        </is>
      </c>
      <c r="B4455" t="inlineStr">
        <is>
          <t>M1</t>
        </is>
      </c>
      <c r="C4455" t="inlineStr">
        <is>
          <t>Cali</t>
        </is>
      </c>
      <c r="D4455" t="inlineStr">
        <is>
          <t>7759</t>
        </is>
      </c>
      <c r="E4455" t="inlineStr">
        <is>
          <t>pagado</t>
        </is>
      </c>
      <c r="F4455" s="23" t="n">
        <v>46278</v>
      </c>
      <c r="G4455" s="24">
        <f>F4455-DATE(2026,8,31)</f>
        <v>13</v>
      </c>
      <c r="H4455" s="25" t="n">
        <v>19314053</v>
      </c>
      <c r="I4455" t="inlineStr">
        <is>
          <t>entidad-dia</t>
        </is>
      </c>
    </row>
    <row r="4456">
      <c r="A4456" t="inlineStr">
        <is>
          <t>PRAGMA</t>
        </is>
      </c>
      <c r="B4456" t="inlineStr">
        <is>
          <t>M1</t>
        </is>
      </c>
      <c r="C4456" t="inlineStr">
        <is>
          <t>Cali</t>
        </is>
      </c>
      <c r="D4456" t="inlineStr">
        <is>
          <t>7759</t>
        </is>
      </c>
      <c r="E4456" t="inlineStr">
        <is>
          <t>pagado</t>
        </is>
      </c>
      <c r="F4456" s="23" t="n">
        <v>46279</v>
      </c>
      <c r="G4456" s="24">
        <f>F4456-DATE(2026,8,31)</f>
        <v>14</v>
      </c>
      <c r="H4456" s="25" t="n">
        <v>26837700</v>
      </c>
      <c r="I4456" t="inlineStr">
        <is>
          <t>entidad-dia</t>
        </is>
      </c>
    </row>
    <row r="4457">
      <c r="A4457" t="inlineStr">
        <is>
          <t>PRAGMA</t>
        </is>
      </c>
      <c r="B4457" t="inlineStr">
        <is>
          <t>M1</t>
        </is>
      </c>
      <c r="C4457" t="inlineStr">
        <is>
          <t>Cali</t>
        </is>
      </c>
      <c r="D4457" t="inlineStr">
        <is>
          <t>7759</t>
        </is>
      </c>
      <c r="E4457" t="inlineStr">
        <is>
          <t>pagado</t>
        </is>
      </c>
      <c r="F4457" s="23" t="n">
        <v>46280</v>
      </c>
      <c r="G4457" s="24">
        <f>F4457-DATE(2026,8,31)</f>
        <v>15</v>
      </c>
      <c r="H4457" s="25" t="n">
        <v>39883005</v>
      </c>
      <c r="I4457" t="inlineStr">
        <is>
          <t>entidad-dia</t>
        </is>
      </c>
    </row>
    <row r="4458">
      <c r="A4458" t="inlineStr">
        <is>
          <t>PRAGMA</t>
        </is>
      </c>
      <c r="B4458" t="inlineStr">
        <is>
          <t>M1</t>
        </is>
      </c>
      <c r="C4458" t="inlineStr">
        <is>
          <t>Cali</t>
        </is>
      </c>
      <c r="D4458" t="inlineStr">
        <is>
          <t>7784</t>
        </is>
      </c>
      <c r="E4458" t="inlineStr">
        <is>
          <t>pagado</t>
        </is>
      </c>
      <c r="F4458" s="23" t="n">
        <v>46266</v>
      </c>
      <c r="G4458" s="24">
        <f>F4458-DATE(2026,8,31)</f>
        <v>1</v>
      </c>
      <c r="H4458" s="25" t="n">
        <v>26836660</v>
      </c>
      <c r="I4458" t="inlineStr">
        <is>
          <t>entidad-dia</t>
        </is>
      </c>
    </row>
    <row r="4459">
      <c r="A4459" t="inlineStr">
        <is>
          <t>PRAGMA</t>
        </is>
      </c>
      <c r="B4459" t="inlineStr">
        <is>
          <t>M1</t>
        </is>
      </c>
      <c r="C4459" t="inlineStr">
        <is>
          <t>Cali</t>
        </is>
      </c>
      <c r="D4459" t="inlineStr">
        <is>
          <t>7784</t>
        </is>
      </c>
      <c r="E4459" t="inlineStr">
        <is>
          <t>pagado</t>
        </is>
      </c>
      <c r="F4459" s="23" t="n">
        <v>46267</v>
      </c>
      <c r="G4459" s="24">
        <f>F4459-DATE(2026,8,31)</f>
        <v>2</v>
      </c>
      <c r="H4459" s="25" t="n">
        <v>15780797</v>
      </c>
      <c r="I4459" t="inlineStr">
        <is>
          <t>entidad-dia</t>
        </is>
      </c>
    </row>
    <row r="4460">
      <c r="A4460" t="inlineStr">
        <is>
          <t>PRAGMA</t>
        </is>
      </c>
      <c r="B4460" t="inlineStr">
        <is>
          <t>M1</t>
        </is>
      </c>
      <c r="C4460" t="inlineStr">
        <is>
          <t>Cali</t>
        </is>
      </c>
      <c r="D4460" t="inlineStr">
        <is>
          <t>7784</t>
        </is>
      </c>
      <c r="E4460" t="inlineStr">
        <is>
          <t>pagado</t>
        </is>
      </c>
      <c r="F4460" s="23" t="n">
        <v>46268</v>
      </c>
      <c r="G4460" s="24">
        <f>F4460-DATE(2026,8,31)</f>
        <v>3</v>
      </c>
      <c r="H4460" s="25" t="n">
        <v>18033297</v>
      </c>
      <c r="I4460" t="inlineStr">
        <is>
          <t>entidad-dia</t>
        </is>
      </c>
    </row>
    <row r="4461">
      <c r="A4461" t="inlineStr">
        <is>
          <t>PRAGMA</t>
        </is>
      </c>
      <c r="B4461" t="inlineStr">
        <is>
          <t>M1</t>
        </is>
      </c>
      <c r="C4461" t="inlineStr">
        <is>
          <t>Cali</t>
        </is>
      </c>
      <c r="D4461" t="inlineStr">
        <is>
          <t>7784</t>
        </is>
      </c>
      <c r="E4461" t="inlineStr">
        <is>
          <t>pagado</t>
        </is>
      </c>
      <c r="F4461" s="23" t="n">
        <v>46269</v>
      </c>
      <c r="G4461" s="24">
        <f>F4461-DATE(2026,8,31)</f>
        <v>4</v>
      </c>
      <c r="H4461" s="25" t="n">
        <v>13587911</v>
      </c>
      <c r="I4461" t="inlineStr">
        <is>
          <t>entidad-dia</t>
        </is>
      </c>
    </row>
    <row r="4462">
      <c r="A4462" t="inlineStr">
        <is>
          <t>PRAGMA</t>
        </is>
      </c>
      <c r="B4462" t="inlineStr">
        <is>
          <t>M1</t>
        </is>
      </c>
      <c r="C4462" t="inlineStr">
        <is>
          <t>Cali</t>
        </is>
      </c>
      <c r="D4462" t="inlineStr">
        <is>
          <t>7784</t>
        </is>
      </c>
      <c r="E4462" t="inlineStr">
        <is>
          <t>pagado</t>
        </is>
      </c>
      <c r="F4462" s="23" t="n">
        <v>46270</v>
      </c>
      <c r="G4462" s="24">
        <f>F4462-DATE(2026,8,31)</f>
        <v>5</v>
      </c>
      <c r="H4462" s="25" t="n">
        <v>4751629</v>
      </c>
      <c r="I4462" t="inlineStr">
        <is>
          <t>entidad-dia</t>
        </is>
      </c>
    </row>
    <row r="4463">
      <c r="A4463" t="inlineStr">
        <is>
          <t>PRAGMA</t>
        </is>
      </c>
      <c r="B4463" t="inlineStr">
        <is>
          <t>M1</t>
        </is>
      </c>
      <c r="C4463" t="inlineStr">
        <is>
          <t>Cali</t>
        </is>
      </c>
      <c r="D4463" t="inlineStr">
        <is>
          <t>7784</t>
        </is>
      </c>
      <c r="E4463" t="inlineStr">
        <is>
          <t>pagado</t>
        </is>
      </c>
      <c r="F4463" s="23" t="n">
        <v>46271</v>
      </c>
      <c r="G4463" s="24">
        <f>F4463-DATE(2026,8,31)</f>
        <v>6</v>
      </c>
      <c r="H4463" s="25" t="n">
        <v>2300165</v>
      </c>
      <c r="I4463" t="inlineStr">
        <is>
          <t>entidad-dia</t>
        </is>
      </c>
    </row>
    <row r="4464">
      <c r="A4464" t="inlineStr">
        <is>
          <t>PRAGMA</t>
        </is>
      </c>
      <c r="B4464" t="inlineStr">
        <is>
          <t>M1</t>
        </is>
      </c>
      <c r="C4464" t="inlineStr">
        <is>
          <t>Cali</t>
        </is>
      </c>
      <c r="D4464" t="inlineStr">
        <is>
          <t>7784</t>
        </is>
      </c>
      <c r="E4464" t="inlineStr">
        <is>
          <t>pagado</t>
        </is>
      </c>
      <c r="F4464" s="23" t="n">
        <v>46272</v>
      </c>
      <c r="G4464" s="24">
        <f>F4464-DATE(2026,8,31)</f>
        <v>7</v>
      </c>
      <c r="H4464" s="25" t="n">
        <v>8967292</v>
      </c>
      <c r="I4464" t="inlineStr">
        <is>
          <t>entidad-dia</t>
        </is>
      </c>
    </row>
    <row r="4465">
      <c r="A4465" t="inlineStr">
        <is>
          <t>PRAGMA</t>
        </is>
      </c>
      <c r="B4465" t="inlineStr">
        <is>
          <t>M1</t>
        </is>
      </c>
      <c r="C4465" t="inlineStr">
        <is>
          <t>Cali</t>
        </is>
      </c>
      <c r="D4465" t="inlineStr">
        <is>
          <t>7784</t>
        </is>
      </c>
      <c r="E4465" t="inlineStr">
        <is>
          <t>pagado</t>
        </is>
      </c>
      <c r="F4465" s="23" t="n">
        <v>46273</v>
      </c>
      <c r="G4465" s="24">
        <f>F4465-DATE(2026,8,31)</f>
        <v>8</v>
      </c>
      <c r="H4465" s="25" t="n">
        <v>11461993</v>
      </c>
      <c r="I4465" t="inlineStr">
        <is>
          <t>entidad-dia</t>
        </is>
      </c>
    </row>
    <row r="4466">
      <c r="A4466" t="inlineStr">
        <is>
          <t>PRAGMA</t>
        </is>
      </c>
      <c r="B4466" t="inlineStr">
        <is>
          <t>M1</t>
        </is>
      </c>
      <c r="C4466" t="inlineStr">
        <is>
          <t>Cali</t>
        </is>
      </c>
      <c r="D4466" t="inlineStr">
        <is>
          <t>7784</t>
        </is>
      </c>
      <c r="E4466" t="inlineStr">
        <is>
          <t>pagado</t>
        </is>
      </c>
      <c r="F4466" s="23" t="n">
        <v>46274</v>
      </c>
      <c r="G4466" s="24">
        <f>F4466-DATE(2026,8,31)</f>
        <v>9</v>
      </c>
      <c r="H4466" s="25" t="n">
        <v>11068667</v>
      </c>
      <c r="I4466" t="inlineStr">
        <is>
          <t>entidad-dia</t>
        </is>
      </c>
    </row>
    <row r="4467">
      <c r="A4467" t="inlineStr">
        <is>
          <t>PRAGMA</t>
        </is>
      </c>
      <c r="B4467" t="inlineStr">
        <is>
          <t>M1</t>
        </is>
      </c>
      <c r="C4467" t="inlineStr">
        <is>
          <t>Cali</t>
        </is>
      </c>
      <c r="D4467" t="inlineStr">
        <is>
          <t>7784</t>
        </is>
      </c>
      <c r="E4467" t="inlineStr">
        <is>
          <t>pagado</t>
        </is>
      </c>
      <c r="F4467" s="23" t="n">
        <v>46275</v>
      </c>
      <c r="G4467" s="24">
        <f>F4467-DATE(2026,8,31)</f>
        <v>10</v>
      </c>
      <c r="H4467" s="25" t="n">
        <v>12559169</v>
      </c>
      <c r="I4467" t="inlineStr">
        <is>
          <t>entidad-dia</t>
        </is>
      </c>
    </row>
    <row r="4468">
      <c r="A4468" t="inlineStr">
        <is>
          <t>PRAGMA</t>
        </is>
      </c>
      <c r="B4468" t="inlineStr">
        <is>
          <t>M1</t>
        </is>
      </c>
      <c r="C4468" t="inlineStr">
        <is>
          <t>Cali</t>
        </is>
      </c>
      <c r="D4468" t="inlineStr">
        <is>
          <t>7784</t>
        </is>
      </c>
      <c r="E4468" t="inlineStr">
        <is>
          <t>pagado</t>
        </is>
      </c>
      <c r="F4468" s="23" t="n">
        <v>46276</v>
      </c>
      <c r="G4468" s="24">
        <f>F4468-DATE(2026,8,31)</f>
        <v>11</v>
      </c>
      <c r="H4468" s="25" t="n">
        <v>11765727</v>
      </c>
      <c r="I4468" t="inlineStr">
        <is>
          <t>entidad-dia</t>
        </is>
      </c>
    </row>
    <row r="4469">
      <c r="A4469" t="inlineStr">
        <is>
          <t>PRAGMA</t>
        </is>
      </c>
      <c r="B4469" t="inlineStr">
        <is>
          <t>M1</t>
        </is>
      </c>
      <c r="C4469" t="inlineStr">
        <is>
          <t>Cali</t>
        </is>
      </c>
      <c r="D4469" t="inlineStr">
        <is>
          <t>7784</t>
        </is>
      </c>
      <c r="E4469" t="inlineStr">
        <is>
          <t>pagado</t>
        </is>
      </c>
      <c r="F4469" s="23" t="n">
        <v>46277</v>
      </c>
      <c r="G4469" s="24">
        <f>F4469-DATE(2026,8,31)</f>
        <v>12</v>
      </c>
      <c r="H4469" s="25" t="n">
        <v>3875699</v>
      </c>
      <c r="I4469" t="inlineStr">
        <is>
          <t>entidad-dia</t>
        </is>
      </c>
    </row>
    <row r="4470">
      <c r="A4470" t="inlineStr">
        <is>
          <t>PRAGMA</t>
        </is>
      </c>
      <c r="B4470" t="inlineStr">
        <is>
          <t>M1</t>
        </is>
      </c>
      <c r="C4470" t="inlineStr">
        <is>
          <t>Cali</t>
        </is>
      </c>
      <c r="D4470" t="inlineStr">
        <is>
          <t>7784</t>
        </is>
      </c>
      <c r="E4470" t="inlineStr">
        <is>
          <t>pagado</t>
        </is>
      </c>
      <c r="F4470" s="23" t="n">
        <v>46278</v>
      </c>
      <c r="G4470" s="24">
        <f>F4470-DATE(2026,8,31)</f>
        <v>13</v>
      </c>
      <c r="H4470" s="25" t="n">
        <v>1629304</v>
      </c>
      <c r="I4470" t="inlineStr">
        <is>
          <t>entidad-dia</t>
        </is>
      </c>
    </row>
    <row r="4471">
      <c r="A4471" t="inlineStr">
        <is>
          <t>PRAGMA</t>
        </is>
      </c>
      <c r="B4471" t="inlineStr">
        <is>
          <t>M1</t>
        </is>
      </c>
      <c r="C4471" t="inlineStr">
        <is>
          <t>Cali</t>
        </is>
      </c>
      <c r="D4471" t="inlineStr">
        <is>
          <t>7784</t>
        </is>
      </c>
      <c r="E4471" t="inlineStr">
        <is>
          <t>pagado</t>
        </is>
      </c>
      <c r="F4471" s="23" t="n">
        <v>46279</v>
      </c>
      <c r="G4471" s="24">
        <f>F4471-DATE(2026,8,31)</f>
        <v>14</v>
      </c>
      <c r="H4471" s="25" t="n">
        <v>12659632</v>
      </c>
      <c r="I4471" t="inlineStr">
        <is>
          <t>entidad-dia</t>
        </is>
      </c>
    </row>
    <row r="4472">
      <c r="A4472" t="inlineStr">
        <is>
          <t>PRAGMA</t>
        </is>
      </c>
      <c r="B4472" t="inlineStr">
        <is>
          <t>M1</t>
        </is>
      </c>
      <c r="C4472" t="inlineStr">
        <is>
          <t>Cali</t>
        </is>
      </c>
      <c r="D4472" t="inlineStr">
        <is>
          <t>7784</t>
        </is>
      </c>
      <c r="E4472" t="inlineStr">
        <is>
          <t>pagado</t>
        </is>
      </c>
      <c r="F4472" s="23" t="n">
        <v>46280</v>
      </c>
      <c r="G4472" s="24">
        <f>F4472-DATE(2026,8,31)</f>
        <v>15</v>
      </c>
      <c r="H4472" s="25" t="n">
        <v>20881852</v>
      </c>
      <c r="I4472" t="inlineStr">
        <is>
          <t>entidad-dia</t>
        </is>
      </c>
    </row>
    <row r="4473">
      <c r="A4473" t="inlineStr">
        <is>
          <t>PRAGMA</t>
        </is>
      </c>
      <c r="B4473" t="inlineStr">
        <is>
          <t>M1</t>
        </is>
      </c>
      <c r="C4473" t="inlineStr">
        <is>
          <t>Cali</t>
        </is>
      </c>
      <c r="D4473" t="inlineStr">
        <is>
          <t>7833</t>
        </is>
      </c>
      <c r="E4473" t="inlineStr">
        <is>
          <t>pagado</t>
        </is>
      </c>
      <c r="F4473" s="23" t="n">
        <v>46266</v>
      </c>
      <c r="G4473" s="24">
        <f>F4473-DATE(2026,8,31)</f>
        <v>1</v>
      </c>
      <c r="H4473" s="25" t="n">
        <v>146585191</v>
      </c>
      <c r="I4473" t="inlineStr">
        <is>
          <t>entidad-dia</t>
        </is>
      </c>
    </row>
    <row r="4474">
      <c r="A4474" t="inlineStr">
        <is>
          <t>PRAGMA</t>
        </is>
      </c>
      <c r="B4474" t="inlineStr">
        <is>
          <t>M1</t>
        </is>
      </c>
      <c r="C4474" t="inlineStr">
        <is>
          <t>Cali</t>
        </is>
      </c>
      <c r="D4474" t="inlineStr">
        <is>
          <t>7833</t>
        </is>
      </c>
      <c r="E4474" t="inlineStr">
        <is>
          <t>pagado</t>
        </is>
      </c>
      <c r="F4474" s="23" t="n">
        <v>46267</v>
      </c>
      <c r="G4474" s="24">
        <f>F4474-DATE(2026,8,31)</f>
        <v>2</v>
      </c>
      <c r="H4474" s="25" t="n">
        <v>116327853</v>
      </c>
      <c r="I4474" t="inlineStr">
        <is>
          <t>entidad-dia</t>
        </is>
      </c>
    </row>
    <row r="4475">
      <c r="A4475" t="inlineStr">
        <is>
          <t>PRAGMA</t>
        </is>
      </c>
      <c r="B4475" t="inlineStr">
        <is>
          <t>M1</t>
        </is>
      </c>
      <c r="C4475" t="inlineStr">
        <is>
          <t>Cali</t>
        </is>
      </c>
      <c r="D4475" t="inlineStr">
        <is>
          <t>7833</t>
        </is>
      </c>
      <c r="E4475" t="inlineStr">
        <is>
          <t>pagado</t>
        </is>
      </c>
      <c r="F4475" s="23" t="n">
        <v>46268</v>
      </c>
      <c r="G4475" s="24">
        <f>F4475-DATE(2026,8,31)</f>
        <v>3</v>
      </c>
      <c r="H4475" s="25" t="n">
        <v>107373193</v>
      </c>
      <c r="I4475" t="inlineStr">
        <is>
          <t>entidad-dia</t>
        </is>
      </c>
    </row>
    <row r="4476">
      <c r="A4476" t="inlineStr">
        <is>
          <t>PRAGMA</t>
        </is>
      </c>
      <c r="B4476" t="inlineStr">
        <is>
          <t>M1</t>
        </is>
      </c>
      <c r="C4476" t="inlineStr">
        <is>
          <t>Cali</t>
        </is>
      </c>
      <c r="D4476" t="inlineStr">
        <is>
          <t>7833</t>
        </is>
      </c>
      <c r="E4476" t="inlineStr">
        <is>
          <t>pagado</t>
        </is>
      </c>
      <c r="F4476" s="23" t="n">
        <v>46269</v>
      </c>
      <c r="G4476" s="24">
        <f>F4476-DATE(2026,8,31)</f>
        <v>4</v>
      </c>
      <c r="H4476" s="25" t="n">
        <v>106236945</v>
      </c>
      <c r="I4476" t="inlineStr">
        <is>
          <t>entidad-dia</t>
        </is>
      </c>
    </row>
    <row r="4477">
      <c r="A4477" t="inlineStr">
        <is>
          <t>PRAGMA</t>
        </is>
      </c>
      <c r="B4477" t="inlineStr">
        <is>
          <t>M1</t>
        </is>
      </c>
      <c r="C4477" t="inlineStr">
        <is>
          <t>Cali</t>
        </is>
      </c>
      <c r="D4477" t="inlineStr">
        <is>
          <t>7833</t>
        </is>
      </c>
      <c r="E4477" t="inlineStr">
        <is>
          <t>pagado</t>
        </is>
      </c>
      <c r="F4477" s="23" t="n">
        <v>46270</v>
      </c>
      <c r="G4477" s="24">
        <f>F4477-DATE(2026,8,31)</f>
        <v>5</v>
      </c>
      <c r="H4477" s="25" t="n">
        <v>106738016</v>
      </c>
      <c r="I4477" t="inlineStr">
        <is>
          <t>entidad-dia</t>
        </is>
      </c>
    </row>
    <row r="4478">
      <c r="A4478" t="inlineStr">
        <is>
          <t>PRAGMA</t>
        </is>
      </c>
      <c r="B4478" t="inlineStr">
        <is>
          <t>M1</t>
        </is>
      </c>
      <c r="C4478" t="inlineStr">
        <is>
          <t>Cali</t>
        </is>
      </c>
      <c r="D4478" t="inlineStr">
        <is>
          <t>7833</t>
        </is>
      </c>
      <c r="E4478" t="inlineStr">
        <is>
          <t>pagado</t>
        </is>
      </c>
      <c r="F4478" s="23" t="n">
        <v>46271</v>
      </c>
      <c r="G4478" s="24">
        <f>F4478-DATE(2026,8,31)</f>
        <v>6</v>
      </c>
      <c r="H4478" s="25" t="n">
        <v>78048023</v>
      </c>
      <c r="I4478" t="inlineStr">
        <is>
          <t>entidad-dia</t>
        </is>
      </c>
    </row>
    <row r="4479">
      <c r="A4479" t="inlineStr">
        <is>
          <t>PRAGMA</t>
        </is>
      </c>
      <c r="B4479" t="inlineStr">
        <is>
          <t>M1</t>
        </is>
      </c>
      <c r="C4479" t="inlineStr">
        <is>
          <t>Cali</t>
        </is>
      </c>
      <c r="D4479" t="inlineStr">
        <is>
          <t>7833</t>
        </is>
      </c>
      <c r="E4479" t="inlineStr">
        <is>
          <t>pagado</t>
        </is>
      </c>
      <c r="F4479" s="23" t="n">
        <v>46272</v>
      </c>
      <c r="G4479" s="24">
        <f>F4479-DATE(2026,8,31)</f>
        <v>7</v>
      </c>
      <c r="H4479" s="25" t="n">
        <v>91194427</v>
      </c>
      <c r="I4479" t="inlineStr">
        <is>
          <t>entidad-dia</t>
        </is>
      </c>
    </row>
    <row r="4480">
      <c r="A4480" t="inlineStr">
        <is>
          <t>PRAGMA</t>
        </is>
      </c>
      <c r="B4480" t="inlineStr">
        <is>
          <t>M1</t>
        </is>
      </c>
      <c r="C4480" t="inlineStr">
        <is>
          <t>Cali</t>
        </is>
      </c>
      <c r="D4480" t="inlineStr">
        <is>
          <t>7833</t>
        </is>
      </c>
      <c r="E4480" t="inlineStr">
        <is>
          <t>pagado</t>
        </is>
      </c>
      <c r="F4480" s="23" t="n">
        <v>46273</v>
      </c>
      <c r="G4480" s="24">
        <f>F4480-DATE(2026,8,31)</f>
        <v>8</v>
      </c>
      <c r="H4480" s="25" t="n">
        <v>82310870</v>
      </c>
      <c r="I4480" t="inlineStr">
        <is>
          <t>entidad-dia</t>
        </is>
      </c>
    </row>
    <row r="4481">
      <c r="A4481" t="inlineStr">
        <is>
          <t>PRAGMA</t>
        </is>
      </c>
      <c r="B4481" t="inlineStr">
        <is>
          <t>M1</t>
        </is>
      </c>
      <c r="C4481" t="inlineStr">
        <is>
          <t>Cali</t>
        </is>
      </c>
      <c r="D4481" t="inlineStr">
        <is>
          <t>7833</t>
        </is>
      </c>
      <c r="E4481" t="inlineStr">
        <is>
          <t>pagado</t>
        </is>
      </c>
      <c r="F4481" s="23" t="n">
        <v>46274</v>
      </c>
      <c r="G4481" s="24">
        <f>F4481-DATE(2026,8,31)</f>
        <v>9</v>
      </c>
      <c r="H4481" s="25" t="n">
        <v>91692038</v>
      </c>
      <c r="I4481" t="inlineStr">
        <is>
          <t>entidad-dia</t>
        </is>
      </c>
    </row>
    <row r="4482">
      <c r="A4482" t="inlineStr">
        <is>
          <t>PRAGMA</t>
        </is>
      </c>
      <c r="B4482" t="inlineStr">
        <is>
          <t>M1</t>
        </is>
      </c>
      <c r="C4482" t="inlineStr">
        <is>
          <t>Cali</t>
        </is>
      </c>
      <c r="D4482" t="inlineStr">
        <is>
          <t>7833</t>
        </is>
      </c>
      <c r="E4482" t="inlineStr">
        <is>
          <t>pagado</t>
        </is>
      </c>
      <c r="F4482" s="23" t="n">
        <v>46275</v>
      </c>
      <c r="G4482" s="24">
        <f>F4482-DATE(2026,8,31)</f>
        <v>10</v>
      </c>
      <c r="H4482" s="25" t="n">
        <v>74264848</v>
      </c>
      <c r="I4482" t="inlineStr">
        <is>
          <t>entidad-dia</t>
        </is>
      </c>
    </row>
    <row r="4483">
      <c r="A4483" t="inlineStr">
        <is>
          <t>PRAGMA</t>
        </is>
      </c>
      <c r="B4483" t="inlineStr">
        <is>
          <t>M1</t>
        </is>
      </c>
      <c r="C4483" t="inlineStr">
        <is>
          <t>Cali</t>
        </is>
      </c>
      <c r="D4483" t="inlineStr">
        <is>
          <t>7833</t>
        </is>
      </c>
      <c r="E4483" t="inlineStr">
        <is>
          <t>pagado</t>
        </is>
      </c>
      <c r="F4483" s="23" t="n">
        <v>46276</v>
      </c>
      <c r="G4483" s="24">
        <f>F4483-DATE(2026,8,31)</f>
        <v>11</v>
      </c>
      <c r="H4483" s="25" t="n">
        <v>69531919</v>
      </c>
      <c r="I4483" t="inlineStr">
        <is>
          <t>entidad-dia</t>
        </is>
      </c>
    </row>
    <row r="4484">
      <c r="A4484" t="inlineStr">
        <is>
          <t>PRAGMA</t>
        </is>
      </c>
      <c r="B4484" t="inlineStr">
        <is>
          <t>M1</t>
        </is>
      </c>
      <c r="C4484" t="inlineStr">
        <is>
          <t>Cali</t>
        </is>
      </c>
      <c r="D4484" t="inlineStr">
        <is>
          <t>7833</t>
        </is>
      </c>
      <c r="E4484" t="inlineStr">
        <is>
          <t>pagado</t>
        </is>
      </c>
      <c r="F4484" s="23" t="n">
        <v>46277</v>
      </c>
      <c r="G4484" s="24">
        <f>F4484-DATE(2026,8,31)</f>
        <v>12</v>
      </c>
      <c r="H4484" s="25" t="n">
        <v>81022503</v>
      </c>
      <c r="I4484" t="inlineStr">
        <is>
          <t>entidad-dia</t>
        </is>
      </c>
    </row>
    <row r="4485">
      <c r="A4485" t="inlineStr">
        <is>
          <t>PRAGMA</t>
        </is>
      </c>
      <c r="B4485" t="inlineStr">
        <is>
          <t>M1</t>
        </is>
      </c>
      <c r="C4485" t="inlineStr">
        <is>
          <t>Cali</t>
        </is>
      </c>
      <c r="D4485" t="inlineStr">
        <is>
          <t>7833</t>
        </is>
      </c>
      <c r="E4485" t="inlineStr">
        <is>
          <t>pagado</t>
        </is>
      </c>
      <c r="F4485" s="23" t="n">
        <v>46278</v>
      </c>
      <c r="G4485" s="24">
        <f>F4485-DATE(2026,8,31)</f>
        <v>13</v>
      </c>
      <c r="H4485" s="25" t="n">
        <v>51160796</v>
      </c>
      <c r="I4485" t="inlineStr">
        <is>
          <t>entidad-dia</t>
        </is>
      </c>
    </row>
    <row r="4486">
      <c r="A4486" t="inlineStr">
        <is>
          <t>PRAGMA</t>
        </is>
      </c>
      <c r="B4486" t="inlineStr">
        <is>
          <t>M1</t>
        </is>
      </c>
      <c r="C4486" t="inlineStr">
        <is>
          <t>Cali</t>
        </is>
      </c>
      <c r="D4486" t="inlineStr">
        <is>
          <t>7833</t>
        </is>
      </c>
      <c r="E4486" t="inlineStr">
        <is>
          <t>pagado</t>
        </is>
      </c>
      <c r="F4486" s="23" t="n">
        <v>46279</v>
      </c>
      <c r="G4486" s="24">
        <f>F4486-DATE(2026,8,31)</f>
        <v>14</v>
      </c>
      <c r="H4486" s="25" t="n">
        <v>73679497</v>
      </c>
      <c r="I4486" t="inlineStr">
        <is>
          <t>entidad-dia</t>
        </is>
      </c>
    </row>
    <row r="4487">
      <c r="A4487" t="inlineStr">
        <is>
          <t>PRAGMA</t>
        </is>
      </c>
      <c r="B4487" t="inlineStr">
        <is>
          <t>M1</t>
        </is>
      </c>
      <c r="C4487" t="inlineStr">
        <is>
          <t>Cali</t>
        </is>
      </c>
      <c r="D4487" t="inlineStr">
        <is>
          <t>7833</t>
        </is>
      </c>
      <c r="E4487" t="inlineStr">
        <is>
          <t>pagado</t>
        </is>
      </c>
      <c r="F4487" s="23" t="n">
        <v>46280</v>
      </c>
      <c r="G4487" s="24">
        <f>F4487-DATE(2026,8,31)</f>
        <v>15</v>
      </c>
      <c r="H4487" s="25" t="n">
        <v>112216775</v>
      </c>
      <c r="I4487" t="inlineStr">
        <is>
          <t>entidad-dia</t>
        </is>
      </c>
    </row>
    <row r="4488">
      <c r="A4488" t="inlineStr">
        <is>
          <t>PRAGMA</t>
        </is>
      </c>
      <c r="B4488" t="inlineStr">
        <is>
          <t>M1</t>
        </is>
      </c>
      <c r="C4488" t="inlineStr">
        <is>
          <t>Cali</t>
        </is>
      </c>
      <c r="D4488" t="inlineStr">
        <is>
          <t>786</t>
        </is>
      </c>
      <c r="E4488" t="inlineStr">
        <is>
          <t>pagado</t>
        </is>
      </c>
      <c r="F4488" s="23" t="n">
        <v>46266</v>
      </c>
      <c r="G4488" s="24">
        <f>F4488-DATE(2026,8,31)</f>
        <v>1</v>
      </c>
      <c r="H4488" s="25" t="n">
        <v>131951497</v>
      </c>
      <c r="I4488" t="inlineStr">
        <is>
          <t>entidad-dia</t>
        </is>
      </c>
    </row>
    <row r="4489">
      <c r="A4489" t="inlineStr">
        <is>
          <t>PRAGMA</t>
        </is>
      </c>
      <c r="B4489" t="inlineStr">
        <is>
          <t>M1</t>
        </is>
      </c>
      <c r="C4489" t="inlineStr">
        <is>
          <t>Cali</t>
        </is>
      </c>
      <c r="D4489" t="inlineStr">
        <is>
          <t>786</t>
        </is>
      </c>
      <c r="E4489" t="inlineStr">
        <is>
          <t>pagado</t>
        </is>
      </c>
      <c r="F4489" s="23" t="n">
        <v>46267</v>
      </c>
      <c r="G4489" s="24">
        <f>F4489-DATE(2026,8,31)</f>
        <v>2</v>
      </c>
      <c r="H4489" s="25" t="n">
        <v>99003542</v>
      </c>
      <c r="I4489" t="inlineStr">
        <is>
          <t>entidad-dia</t>
        </is>
      </c>
    </row>
    <row r="4490">
      <c r="A4490" t="inlineStr">
        <is>
          <t>PRAGMA</t>
        </is>
      </c>
      <c r="B4490" t="inlineStr">
        <is>
          <t>M1</t>
        </is>
      </c>
      <c r="C4490" t="inlineStr">
        <is>
          <t>Cali</t>
        </is>
      </c>
      <c r="D4490" t="inlineStr">
        <is>
          <t>786</t>
        </is>
      </c>
      <c r="E4490" t="inlineStr">
        <is>
          <t>pagado</t>
        </is>
      </c>
      <c r="F4490" s="23" t="n">
        <v>46268</v>
      </c>
      <c r="G4490" s="24">
        <f>F4490-DATE(2026,8,31)</f>
        <v>3</v>
      </c>
      <c r="H4490" s="25" t="n">
        <v>91647874</v>
      </c>
      <c r="I4490" t="inlineStr">
        <is>
          <t>entidad-dia</t>
        </is>
      </c>
    </row>
    <row r="4491">
      <c r="A4491" t="inlineStr">
        <is>
          <t>PRAGMA</t>
        </is>
      </c>
      <c r="B4491" t="inlineStr">
        <is>
          <t>M1</t>
        </is>
      </c>
      <c r="C4491" t="inlineStr">
        <is>
          <t>Cali</t>
        </is>
      </c>
      <c r="D4491" t="inlineStr">
        <is>
          <t>786</t>
        </is>
      </c>
      <c r="E4491" t="inlineStr">
        <is>
          <t>pagado</t>
        </is>
      </c>
      <c r="F4491" s="23" t="n">
        <v>46269</v>
      </c>
      <c r="G4491" s="24">
        <f>F4491-DATE(2026,8,31)</f>
        <v>4</v>
      </c>
      <c r="H4491" s="25" t="n">
        <v>91302554</v>
      </c>
      <c r="I4491" t="inlineStr">
        <is>
          <t>entidad-dia</t>
        </is>
      </c>
    </row>
    <row r="4492">
      <c r="A4492" t="inlineStr">
        <is>
          <t>PRAGMA</t>
        </is>
      </c>
      <c r="B4492" t="inlineStr">
        <is>
          <t>M1</t>
        </is>
      </c>
      <c r="C4492" t="inlineStr">
        <is>
          <t>Cali</t>
        </is>
      </c>
      <c r="D4492" t="inlineStr">
        <is>
          <t>786</t>
        </is>
      </c>
      <c r="E4492" t="inlineStr">
        <is>
          <t>pagado</t>
        </is>
      </c>
      <c r="F4492" s="23" t="n">
        <v>46270</v>
      </c>
      <c r="G4492" s="24">
        <f>F4492-DATE(2026,8,31)</f>
        <v>5</v>
      </c>
      <c r="H4492" s="25" t="n">
        <v>76154657</v>
      </c>
      <c r="I4492" t="inlineStr">
        <is>
          <t>entidad-dia</t>
        </is>
      </c>
    </row>
    <row r="4493">
      <c r="A4493" t="inlineStr">
        <is>
          <t>PRAGMA</t>
        </is>
      </c>
      <c r="B4493" t="inlineStr">
        <is>
          <t>M1</t>
        </is>
      </c>
      <c r="C4493" t="inlineStr">
        <is>
          <t>Cali</t>
        </is>
      </c>
      <c r="D4493" t="inlineStr">
        <is>
          <t>786</t>
        </is>
      </c>
      <c r="E4493" t="inlineStr">
        <is>
          <t>pagado</t>
        </is>
      </c>
      <c r="F4493" s="23" t="n">
        <v>46271</v>
      </c>
      <c r="G4493" s="24">
        <f>F4493-DATE(2026,8,31)</f>
        <v>6</v>
      </c>
      <c r="H4493" s="25" t="n">
        <v>36457427</v>
      </c>
      <c r="I4493" t="inlineStr">
        <is>
          <t>entidad-dia</t>
        </is>
      </c>
    </row>
    <row r="4494">
      <c r="A4494" t="inlineStr">
        <is>
          <t>PRAGMA</t>
        </is>
      </c>
      <c r="B4494" t="inlineStr">
        <is>
          <t>M1</t>
        </is>
      </c>
      <c r="C4494" t="inlineStr">
        <is>
          <t>Cali</t>
        </is>
      </c>
      <c r="D4494" t="inlineStr">
        <is>
          <t>786</t>
        </is>
      </c>
      <c r="E4494" t="inlineStr">
        <is>
          <t>pagado</t>
        </is>
      </c>
      <c r="F4494" s="23" t="n">
        <v>46272</v>
      </c>
      <c r="G4494" s="24">
        <f>F4494-DATE(2026,8,31)</f>
        <v>7</v>
      </c>
      <c r="H4494" s="25" t="n">
        <v>57567394</v>
      </c>
      <c r="I4494" t="inlineStr">
        <is>
          <t>entidad-dia</t>
        </is>
      </c>
    </row>
    <row r="4495">
      <c r="A4495" t="inlineStr">
        <is>
          <t>PRAGMA</t>
        </is>
      </c>
      <c r="B4495" t="inlineStr">
        <is>
          <t>M1</t>
        </is>
      </c>
      <c r="C4495" t="inlineStr">
        <is>
          <t>Cali</t>
        </is>
      </c>
      <c r="D4495" t="inlineStr">
        <is>
          <t>786</t>
        </is>
      </c>
      <c r="E4495" t="inlineStr">
        <is>
          <t>pagado</t>
        </is>
      </c>
      <c r="F4495" s="23" t="n">
        <v>46273</v>
      </c>
      <c r="G4495" s="24">
        <f>F4495-DATE(2026,8,31)</f>
        <v>8</v>
      </c>
      <c r="H4495" s="25" t="n">
        <v>67550327</v>
      </c>
      <c r="I4495" t="inlineStr">
        <is>
          <t>entidad-dia</t>
        </is>
      </c>
    </row>
    <row r="4496">
      <c r="A4496" t="inlineStr">
        <is>
          <t>PRAGMA</t>
        </is>
      </c>
      <c r="B4496" t="inlineStr">
        <is>
          <t>M1</t>
        </is>
      </c>
      <c r="C4496" t="inlineStr">
        <is>
          <t>Cali</t>
        </is>
      </c>
      <c r="D4496" t="inlineStr">
        <is>
          <t>786</t>
        </is>
      </c>
      <c r="E4496" t="inlineStr">
        <is>
          <t>pagado</t>
        </is>
      </c>
      <c r="F4496" s="23" t="n">
        <v>46274</v>
      </c>
      <c r="G4496" s="24">
        <f>F4496-DATE(2026,8,31)</f>
        <v>9</v>
      </c>
      <c r="H4496" s="25" t="n">
        <v>68131698</v>
      </c>
      <c r="I4496" t="inlineStr">
        <is>
          <t>entidad-dia</t>
        </is>
      </c>
    </row>
    <row r="4497">
      <c r="A4497" t="inlineStr">
        <is>
          <t>PRAGMA</t>
        </is>
      </c>
      <c r="B4497" t="inlineStr">
        <is>
          <t>M1</t>
        </is>
      </c>
      <c r="C4497" t="inlineStr">
        <is>
          <t>Cali</t>
        </is>
      </c>
      <c r="D4497" t="inlineStr">
        <is>
          <t>786</t>
        </is>
      </c>
      <c r="E4497" t="inlineStr">
        <is>
          <t>pagado</t>
        </is>
      </c>
      <c r="F4497" s="23" t="n">
        <v>46275</v>
      </c>
      <c r="G4497" s="24">
        <f>F4497-DATE(2026,8,31)</f>
        <v>10</v>
      </c>
      <c r="H4497" s="25" t="n">
        <v>63720663</v>
      </c>
      <c r="I4497" t="inlineStr">
        <is>
          <t>entidad-dia</t>
        </is>
      </c>
    </row>
    <row r="4498">
      <c r="A4498" t="inlineStr">
        <is>
          <t>PRAGMA</t>
        </is>
      </c>
      <c r="B4498" t="inlineStr">
        <is>
          <t>M1</t>
        </is>
      </c>
      <c r="C4498" t="inlineStr">
        <is>
          <t>Cali</t>
        </is>
      </c>
      <c r="D4498" t="inlineStr">
        <is>
          <t>786</t>
        </is>
      </c>
      <c r="E4498" t="inlineStr">
        <is>
          <t>pagado</t>
        </is>
      </c>
      <c r="F4498" s="23" t="n">
        <v>46276</v>
      </c>
      <c r="G4498" s="24">
        <f>F4498-DATE(2026,8,31)</f>
        <v>11</v>
      </c>
      <c r="H4498" s="25" t="n">
        <v>67814737</v>
      </c>
      <c r="I4498" t="inlineStr">
        <is>
          <t>entidad-dia</t>
        </is>
      </c>
    </row>
    <row r="4499">
      <c r="A4499" t="inlineStr">
        <is>
          <t>PRAGMA</t>
        </is>
      </c>
      <c r="B4499" t="inlineStr">
        <is>
          <t>M1</t>
        </is>
      </c>
      <c r="C4499" t="inlineStr">
        <is>
          <t>Cali</t>
        </is>
      </c>
      <c r="D4499" t="inlineStr">
        <is>
          <t>786</t>
        </is>
      </c>
      <c r="E4499" t="inlineStr">
        <is>
          <t>pagado</t>
        </is>
      </c>
      <c r="F4499" s="23" t="n">
        <v>46277</v>
      </c>
      <c r="G4499" s="24">
        <f>F4499-DATE(2026,8,31)</f>
        <v>12</v>
      </c>
      <c r="H4499" s="25" t="n">
        <v>56287693</v>
      </c>
      <c r="I4499" t="inlineStr">
        <is>
          <t>entidad-dia</t>
        </is>
      </c>
    </row>
    <row r="4500">
      <c r="A4500" t="inlineStr">
        <is>
          <t>PRAGMA</t>
        </is>
      </c>
      <c r="B4500" t="inlineStr">
        <is>
          <t>M1</t>
        </is>
      </c>
      <c r="C4500" t="inlineStr">
        <is>
          <t>Cali</t>
        </is>
      </c>
      <c r="D4500" t="inlineStr">
        <is>
          <t>786</t>
        </is>
      </c>
      <c r="E4500" t="inlineStr">
        <is>
          <t>pagado</t>
        </is>
      </c>
      <c r="F4500" s="23" t="n">
        <v>46278</v>
      </c>
      <c r="G4500" s="24">
        <f>F4500-DATE(2026,8,31)</f>
        <v>13</v>
      </c>
      <c r="H4500" s="25" t="n">
        <v>28534179</v>
      </c>
      <c r="I4500" t="inlineStr">
        <is>
          <t>entidad-dia</t>
        </is>
      </c>
    </row>
    <row r="4501">
      <c r="A4501" t="inlineStr">
        <is>
          <t>PRAGMA</t>
        </is>
      </c>
      <c r="B4501" t="inlineStr">
        <is>
          <t>M1</t>
        </is>
      </c>
      <c r="C4501" t="inlineStr">
        <is>
          <t>Cali</t>
        </is>
      </c>
      <c r="D4501" t="inlineStr">
        <is>
          <t>786</t>
        </is>
      </c>
      <c r="E4501" t="inlineStr">
        <is>
          <t>pagado</t>
        </is>
      </c>
      <c r="F4501" s="23" t="n">
        <v>46279</v>
      </c>
      <c r="G4501" s="24">
        <f>F4501-DATE(2026,8,31)</f>
        <v>14</v>
      </c>
      <c r="H4501" s="25" t="n">
        <v>70254759</v>
      </c>
      <c r="I4501" t="inlineStr">
        <is>
          <t>entidad-dia</t>
        </is>
      </c>
    </row>
    <row r="4502">
      <c r="A4502" t="inlineStr">
        <is>
          <t>PRAGMA</t>
        </is>
      </c>
      <c r="B4502" t="inlineStr">
        <is>
          <t>M1</t>
        </is>
      </c>
      <c r="C4502" t="inlineStr">
        <is>
          <t>Cali</t>
        </is>
      </c>
      <c r="D4502" t="inlineStr">
        <is>
          <t>786</t>
        </is>
      </c>
      <c r="E4502" t="inlineStr">
        <is>
          <t>pagado</t>
        </is>
      </c>
      <c r="F4502" s="23" t="n">
        <v>46280</v>
      </c>
      <c r="G4502" s="24">
        <f>F4502-DATE(2026,8,31)</f>
        <v>15</v>
      </c>
      <c r="H4502" s="25" t="n">
        <v>108378874</v>
      </c>
      <c r="I4502" t="inlineStr">
        <is>
          <t>entidad-dia</t>
        </is>
      </c>
    </row>
    <row r="4503">
      <c r="A4503" t="inlineStr">
        <is>
          <t>PRAGMA</t>
        </is>
      </c>
      <c r="B4503" t="inlineStr">
        <is>
          <t>M1</t>
        </is>
      </c>
      <c r="C4503" t="inlineStr">
        <is>
          <t>Cali</t>
        </is>
      </c>
      <c r="D4503" t="inlineStr">
        <is>
          <t>7860</t>
        </is>
      </c>
      <c r="E4503" t="inlineStr">
        <is>
          <t>pagado</t>
        </is>
      </c>
      <c r="F4503" s="23" t="n">
        <v>46266</v>
      </c>
      <c r="G4503" s="24">
        <f>F4503-DATE(2026,8,31)</f>
        <v>1</v>
      </c>
      <c r="H4503" s="25" t="n">
        <v>139010429</v>
      </c>
      <c r="I4503" t="inlineStr">
        <is>
          <t>entidad-dia</t>
        </is>
      </c>
    </row>
    <row r="4504">
      <c r="A4504" t="inlineStr">
        <is>
          <t>PRAGMA</t>
        </is>
      </c>
      <c r="B4504" t="inlineStr">
        <is>
          <t>M1</t>
        </is>
      </c>
      <c r="C4504" t="inlineStr">
        <is>
          <t>Cali</t>
        </is>
      </c>
      <c r="D4504" t="inlineStr">
        <is>
          <t>7860</t>
        </is>
      </c>
      <c r="E4504" t="inlineStr">
        <is>
          <t>pagado</t>
        </is>
      </c>
      <c r="F4504" s="23" t="n">
        <v>46267</v>
      </c>
      <c r="G4504" s="24">
        <f>F4504-DATE(2026,8,31)</f>
        <v>2</v>
      </c>
      <c r="H4504" s="25" t="n">
        <v>109131354</v>
      </c>
      <c r="I4504" t="inlineStr">
        <is>
          <t>entidad-dia</t>
        </is>
      </c>
    </row>
    <row r="4505">
      <c r="A4505" t="inlineStr">
        <is>
          <t>PRAGMA</t>
        </is>
      </c>
      <c r="B4505" t="inlineStr">
        <is>
          <t>M1</t>
        </is>
      </c>
      <c r="C4505" t="inlineStr">
        <is>
          <t>Cali</t>
        </is>
      </c>
      <c r="D4505" t="inlineStr">
        <is>
          <t>7860</t>
        </is>
      </c>
      <c r="E4505" t="inlineStr">
        <is>
          <t>pagado</t>
        </is>
      </c>
      <c r="F4505" s="23" t="n">
        <v>46268</v>
      </c>
      <c r="G4505" s="24">
        <f>F4505-DATE(2026,8,31)</f>
        <v>3</v>
      </c>
      <c r="H4505" s="25" t="n">
        <v>101462028</v>
      </c>
      <c r="I4505" t="inlineStr">
        <is>
          <t>entidad-dia</t>
        </is>
      </c>
    </row>
    <row r="4506">
      <c r="A4506" t="inlineStr">
        <is>
          <t>PRAGMA</t>
        </is>
      </c>
      <c r="B4506" t="inlineStr">
        <is>
          <t>M1</t>
        </is>
      </c>
      <c r="C4506" t="inlineStr">
        <is>
          <t>Cali</t>
        </is>
      </c>
      <c r="D4506" t="inlineStr">
        <is>
          <t>7860</t>
        </is>
      </c>
      <c r="E4506" t="inlineStr">
        <is>
          <t>pagado</t>
        </is>
      </c>
      <c r="F4506" s="23" t="n">
        <v>46269</v>
      </c>
      <c r="G4506" s="24">
        <f>F4506-DATE(2026,8,31)</f>
        <v>4</v>
      </c>
      <c r="H4506" s="25" t="n">
        <v>95270895</v>
      </c>
      <c r="I4506" t="inlineStr">
        <is>
          <t>entidad-dia</t>
        </is>
      </c>
    </row>
    <row r="4507">
      <c r="A4507" t="inlineStr">
        <is>
          <t>PRAGMA</t>
        </is>
      </c>
      <c r="B4507" t="inlineStr">
        <is>
          <t>M1</t>
        </is>
      </c>
      <c r="C4507" t="inlineStr">
        <is>
          <t>Cali</t>
        </is>
      </c>
      <c r="D4507" t="inlineStr">
        <is>
          <t>7860</t>
        </is>
      </c>
      <c r="E4507" t="inlineStr">
        <is>
          <t>pagado</t>
        </is>
      </c>
      <c r="F4507" s="23" t="n">
        <v>46270</v>
      </c>
      <c r="G4507" s="24">
        <f>F4507-DATE(2026,8,31)</f>
        <v>5</v>
      </c>
      <c r="H4507" s="25" t="n">
        <v>66182027</v>
      </c>
      <c r="I4507" t="inlineStr">
        <is>
          <t>entidad-dia</t>
        </is>
      </c>
    </row>
    <row r="4508">
      <c r="A4508" t="inlineStr">
        <is>
          <t>PRAGMA</t>
        </is>
      </c>
      <c r="B4508" t="inlineStr">
        <is>
          <t>M1</t>
        </is>
      </c>
      <c r="C4508" t="inlineStr">
        <is>
          <t>Cali</t>
        </is>
      </c>
      <c r="D4508" t="inlineStr">
        <is>
          <t>7860</t>
        </is>
      </c>
      <c r="E4508" t="inlineStr">
        <is>
          <t>pagado</t>
        </is>
      </c>
      <c r="F4508" s="23" t="n">
        <v>46271</v>
      </c>
      <c r="G4508" s="24">
        <f>F4508-DATE(2026,8,31)</f>
        <v>6</v>
      </c>
      <c r="H4508" s="25" t="n">
        <v>24208595</v>
      </c>
      <c r="I4508" t="inlineStr">
        <is>
          <t>entidad-dia</t>
        </is>
      </c>
    </row>
    <row r="4509">
      <c r="A4509" t="inlineStr">
        <is>
          <t>PRAGMA</t>
        </is>
      </c>
      <c r="B4509" t="inlineStr">
        <is>
          <t>M1</t>
        </is>
      </c>
      <c r="C4509" t="inlineStr">
        <is>
          <t>Cali</t>
        </is>
      </c>
      <c r="D4509" t="inlineStr">
        <is>
          <t>7860</t>
        </is>
      </c>
      <c r="E4509" t="inlineStr">
        <is>
          <t>pagado</t>
        </is>
      </c>
      <c r="F4509" s="23" t="n">
        <v>46272</v>
      </c>
      <c r="G4509" s="24">
        <f>F4509-DATE(2026,8,31)</f>
        <v>7</v>
      </c>
      <c r="H4509" s="25" t="n">
        <v>66047262</v>
      </c>
      <c r="I4509" t="inlineStr">
        <is>
          <t>entidad-dia</t>
        </is>
      </c>
    </row>
    <row r="4510">
      <c r="A4510" t="inlineStr">
        <is>
          <t>PRAGMA</t>
        </is>
      </c>
      <c r="B4510" t="inlineStr">
        <is>
          <t>M1</t>
        </is>
      </c>
      <c r="C4510" t="inlineStr">
        <is>
          <t>Cali</t>
        </is>
      </c>
      <c r="D4510" t="inlineStr">
        <is>
          <t>7860</t>
        </is>
      </c>
      <c r="E4510" t="inlineStr">
        <is>
          <t>pagado</t>
        </is>
      </c>
      <c r="F4510" s="23" t="n">
        <v>46273</v>
      </c>
      <c r="G4510" s="24">
        <f>F4510-DATE(2026,8,31)</f>
        <v>8</v>
      </c>
      <c r="H4510" s="25" t="n">
        <v>75209796</v>
      </c>
      <c r="I4510" t="inlineStr">
        <is>
          <t>entidad-dia</t>
        </is>
      </c>
    </row>
    <row r="4511">
      <c r="A4511" t="inlineStr">
        <is>
          <t>PRAGMA</t>
        </is>
      </c>
      <c r="B4511" t="inlineStr">
        <is>
          <t>M1</t>
        </is>
      </c>
      <c r="C4511" t="inlineStr">
        <is>
          <t>Cali</t>
        </is>
      </c>
      <c r="D4511" t="inlineStr">
        <is>
          <t>7860</t>
        </is>
      </c>
      <c r="E4511" t="inlineStr">
        <is>
          <t>pagado</t>
        </is>
      </c>
      <c r="F4511" s="23" t="n">
        <v>46274</v>
      </c>
      <c r="G4511" s="24">
        <f>F4511-DATE(2026,8,31)</f>
        <v>9</v>
      </c>
      <c r="H4511" s="25" t="n">
        <v>79630756</v>
      </c>
      <c r="I4511" t="inlineStr">
        <is>
          <t>entidad-dia</t>
        </is>
      </c>
    </row>
    <row r="4512">
      <c r="A4512" t="inlineStr">
        <is>
          <t>PRAGMA</t>
        </is>
      </c>
      <c r="B4512" t="inlineStr">
        <is>
          <t>M1</t>
        </is>
      </c>
      <c r="C4512" t="inlineStr">
        <is>
          <t>Cali</t>
        </is>
      </c>
      <c r="D4512" t="inlineStr">
        <is>
          <t>7860</t>
        </is>
      </c>
      <c r="E4512" t="inlineStr">
        <is>
          <t>pagado</t>
        </is>
      </c>
      <c r="F4512" s="23" t="n">
        <v>46275</v>
      </c>
      <c r="G4512" s="24">
        <f>F4512-DATE(2026,8,31)</f>
        <v>10</v>
      </c>
      <c r="H4512" s="25" t="n">
        <v>72576211</v>
      </c>
      <c r="I4512" t="inlineStr">
        <is>
          <t>entidad-dia</t>
        </is>
      </c>
    </row>
    <row r="4513">
      <c r="A4513" t="inlineStr">
        <is>
          <t>PRAGMA</t>
        </is>
      </c>
      <c r="B4513" t="inlineStr">
        <is>
          <t>M1</t>
        </is>
      </c>
      <c r="C4513" t="inlineStr">
        <is>
          <t>Cali</t>
        </is>
      </c>
      <c r="D4513" t="inlineStr">
        <is>
          <t>7860</t>
        </is>
      </c>
      <c r="E4513" t="inlineStr">
        <is>
          <t>pagado</t>
        </is>
      </c>
      <c r="F4513" s="23" t="n">
        <v>46276</v>
      </c>
      <c r="G4513" s="24">
        <f>F4513-DATE(2026,8,31)</f>
        <v>11</v>
      </c>
      <c r="H4513" s="25" t="n">
        <v>76420282</v>
      </c>
      <c r="I4513" t="inlineStr">
        <is>
          <t>entidad-dia</t>
        </is>
      </c>
    </row>
    <row r="4514">
      <c r="A4514" t="inlineStr">
        <is>
          <t>PRAGMA</t>
        </is>
      </c>
      <c r="B4514" t="inlineStr">
        <is>
          <t>M1</t>
        </is>
      </c>
      <c r="C4514" t="inlineStr">
        <is>
          <t>Cali</t>
        </is>
      </c>
      <c r="D4514" t="inlineStr">
        <is>
          <t>7860</t>
        </is>
      </c>
      <c r="E4514" t="inlineStr">
        <is>
          <t>pagado</t>
        </is>
      </c>
      <c r="F4514" s="23" t="n">
        <v>46277</v>
      </c>
      <c r="G4514" s="24">
        <f>F4514-DATE(2026,8,31)</f>
        <v>12</v>
      </c>
      <c r="H4514" s="25" t="n">
        <v>45557897</v>
      </c>
      <c r="I4514" t="inlineStr">
        <is>
          <t>entidad-dia</t>
        </is>
      </c>
    </row>
    <row r="4515">
      <c r="A4515" t="inlineStr">
        <is>
          <t>PRAGMA</t>
        </is>
      </c>
      <c r="B4515" t="inlineStr">
        <is>
          <t>M1</t>
        </is>
      </c>
      <c r="C4515" t="inlineStr">
        <is>
          <t>Cali</t>
        </is>
      </c>
      <c r="D4515" t="inlineStr">
        <is>
          <t>7860</t>
        </is>
      </c>
      <c r="E4515" t="inlineStr">
        <is>
          <t>pagado</t>
        </is>
      </c>
      <c r="F4515" s="23" t="n">
        <v>46278</v>
      </c>
      <c r="G4515" s="24">
        <f>F4515-DATE(2026,8,31)</f>
        <v>13</v>
      </c>
      <c r="H4515" s="25" t="n">
        <v>18151176</v>
      </c>
      <c r="I4515" t="inlineStr">
        <is>
          <t>entidad-dia</t>
        </is>
      </c>
    </row>
    <row r="4516">
      <c r="A4516" t="inlineStr">
        <is>
          <t>PRAGMA</t>
        </is>
      </c>
      <c r="B4516" t="inlineStr">
        <is>
          <t>M1</t>
        </is>
      </c>
      <c r="C4516" t="inlineStr">
        <is>
          <t>Cali</t>
        </is>
      </c>
      <c r="D4516" t="inlineStr">
        <is>
          <t>7860</t>
        </is>
      </c>
      <c r="E4516" t="inlineStr">
        <is>
          <t>pagado</t>
        </is>
      </c>
      <c r="F4516" s="23" t="n">
        <v>46279</v>
      </c>
      <c r="G4516" s="24">
        <f>F4516-DATE(2026,8,31)</f>
        <v>14</v>
      </c>
      <c r="H4516" s="25" t="n">
        <v>71933549</v>
      </c>
      <c r="I4516" t="inlineStr">
        <is>
          <t>entidad-dia</t>
        </is>
      </c>
    </row>
    <row r="4517">
      <c r="A4517" t="inlineStr">
        <is>
          <t>PRAGMA</t>
        </is>
      </c>
      <c r="B4517" t="inlineStr">
        <is>
          <t>M1</t>
        </is>
      </c>
      <c r="C4517" t="inlineStr">
        <is>
          <t>Cali</t>
        </is>
      </c>
      <c r="D4517" t="inlineStr">
        <is>
          <t>7860</t>
        </is>
      </c>
      <c r="E4517" t="inlineStr">
        <is>
          <t>pagado</t>
        </is>
      </c>
      <c r="F4517" s="23" t="n">
        <v>46280</v>
      </c>
      <c r="G4517" s="24">
        <f>F4517-DATE(2026,8,31)</f>
        <v>15</v>
      </c>
      <c r="H4517" s="25" t="n">
        <v>103811656</v>
      </c>
      <c r="I4517" t="inlineStr">
        <is>
          <t>entidad-dia</t>
        </is>
      </c>
    </row>
    <row r="4518">
      <c r="A4518" t="inlineStr">
        <is>
          <t>PRAGMA</t>
        </is>
      </c>
      <c r="B4518" t="inlineStr">
        <is>
          <t>M1</t>
        </is>
      </c>
      <c r="C4518" t="inlineStr">
        <is>
          <t>Cali</t>
        </is>
      </c>
      <c r="D4518" t="inlineStr">
        <is>
          <t>787</t>
        </is>
      </c>
      <c r="E4518" t="inlineStr">
        <is>
          <t>pagado</t>
        </is>
      </c>
      <c r="F4518" s="23" t="n">
        <v>46266</v>
      </c>
      <c r="G4518" s="24">
        <f>F4518-DATE(2026,8,31)</f>
        <v>1</v>
      </c>
      <c r="H4518" s="25" t="n">
        <v>135638021</v>
      </c>
      <c r="I4518" t="inlineStr">
        <is>
          <t>entidad-dia</t>
        </is>
      </c>
    </row>
    <row r="4519">
      <c r="A4519" t="inlineStr">
        <is>
          <t>PRAGMA</t>
        </is>
      </c>
      <c r="B4519" t="inlineStr">
        <is>
          <t>M1</t>
        </is>
      </c>
      <c r="C4519" t="inlineStr">
        <is>
          <t>Cali</t>
        </is>
      </c>
      <c r="D4519" t="inlineStr">
        <is>
          <t>787</t>
        </is>
      </c>
      <c r="E4519" t="inlineStr">
        <is>
          <t>pagado</t>
        </is>
      </c>
      <c r="F4519" s="23" t="n">
        <v>46267</v>
      </c>
      <c r="G4519" s="24">
        <f>F4519-DATE(2026,8,31)</f>
        <v>2</v>
      </c>
      <c r="H4519" s="25" t="n">
        <v>110138631</v>
      </c>
      <c r="I4519" t="inlineStr">
        <is>
          <t>entidad-dia</t>
        </is>
      </c>
    </row>
    <row r="4520">
      <c r="A4520" t="inlineStr">
        <is>
          <t>PRAGMA</t>
        </is>
      </c>
      <c r="B4520" t="inlineStr">
        <is>
          <t>M1</t>
        </is>
      </c>
      <c r="C4520" t="inlineStr">
        <is>
          <t>Cali</t>
        </is>
      </c>
      <c r="D4520" t="inlineStr">
        <is>
          <t>787</t>
        </is>
      </c>
      <c r="E4520" t="inlineStr">
        <is>
          <t>pagado</t>
        </is>
      </c>
      <c r="F4520" s="23" t="n">
        <v>46268</v>
      </c>
      <c r="G4520" s="24">
        <f>F4520-DATE(2026,8,31)</f>
        <v>3</v>
      </c>
      <c r="H4520" s="25" t="n">
        <v>95550465</v>
      </c>
      <c r="I4520" t="inlineStr">
        <is>
          <t>entidad-dia</t>
        </is>
      </c>
    </row>
    <row r="4521">
      <c r="A4521" t="inlineStr">
        <is>
          <t>PRAGMA</t>
        </is>
      </c>
      <c r="B4521" t="inlineStr">
        <is>
          <t>M1</t>
        </is>
      </c>
      <c r="C4521" t="inlineStr">
        <is>
          <t>Cali</t>
        </is>
      </c>
      <c r="D4521" t="inlineStr">
        <is>
          <t>787</t>
        </is>
      </c>
      <c r="E4521" t="inlineStr">
        <is>
          <t>pagado</t>
        </is>
      </c>
      <c r="F4521" s="23" t="n">
        <v>46269</v>
      </c>
      <c r="G4521" s="24">
        <f>F4521-DATE(2026,8,31)</f>
        <v>4</v>
      </c>
      <c r="H4521" s="25" t="n">
        <v>96266044</v>
      </c>
      <c r="I4521" t="inlineStr">
        <is>
          <t>entidad-dia</t>
        </is>
      </c>
    </row>
    <row r="4522">
      <c r="A4522" t="inlineStr">
        <is>
          <t>PRAGMA</t>
        </is>
      </c>
      <c r="B4522" t="inlineStr">
        <is>
          <t>M1</t>
        </is>
      </c>
      <c r="C4522" t="inlineStr">
        <is>
          <t>Cali</t>
        </is>
      </c>
      <c r="D4522" t="inlineStr">
        <is>
          <t>787</t>
        </is>
      </c>
      <c r="E4522" t="inlineStr">
        <is>
          <t>pagado</t>
        </is>
      </c>
      <c r="F4522" s="23" t="n">
        <v>46270</v>
      </c>
      <c r="G4522" s="24">
        <f>F4522-DATE(2026,8,31)</f>
        <v>5</v>
      </c>
      <c r="H4522" s="25" t="n">
        <v>80301215</v>
      </c>
      <c r="I4522" t="inlineStr">
        <is>
          <t>entidad-dia</t>
        </is>
      </c>
    </row>
    <row r="4523">
      <c r="A4523" t="inlineStr">
        <is>
          <t>PRAGMA</t>
        </is>
      </c>
      <c r="B4523" t="inlineStr">
        <is>
          <t>M1</t>
        </is>
      </c>
      <c r="C4523" t="inlineStr">
        <is>
          <t>Cali</t>
        </is>
      </c>
      <c r="D4523" t="inlineStr">
        <is>
          <t>787</t>
        </is>
      </c>
      <c r="E4523" t="inlineStr">
        <is>
          <t>pagado</t>
        </is>
      </c>
      <c r="F4523" s="23" t="n">
        <v>46271</v>
      </c>
      <c r="G4523" s="24">
        <f>F4523-DATE(2026,8,31)</f>
        <v>6</v>
      </c>
      <c r="H4523" s="25" t="n">
        <v>37082986</v>
      </c>
      <c r="I4523" t="inlineStr">
        <is>
          <t>entidad-dia</t>
        </is>
      </c>
    </row>
    <row r="4524">
      <c r="A4524" t="inlineStr">
        <is>
          <t>PRAGMA</t>
        </is>
      </c>
      <c r="B4524" t="inlineStr">
        <is>
          <t>M1</t>
        </is>
      </c>
      <c r="C4524" t="inlineStr">
        <is>
          <t>Cali</t>
        </is>
      </c>
      <c r="D4524" t="inlineStr">
        <is>
          <t>787</t>
        </is>
      </c>
      <c r="E4524" t="inlineStr">
        <is>
          <t>pagado</t>
        </is>
      </c>
      <c r="F4524" s="23" t="n">
        <v>46272</v>
      </c>
      <c r="G4524" s="24">
        <f>F4524-DATE(2026,8,31)</f>
        <v>7</v>
      </c>
      <c r="H4524" s="25" t="n">
        <v>73342141</v>
      </c>
      <c r="I4524" t="inlineStr">
        <is>
          <t>entidad-dia</t>
        </is>
      </c>
    </row>
    <row r="4525">
      <c r="A4525" t="inlineStr">
        <is>
          <t>PRAGMA</t>
        </is>
      </c>
      <c r="B4525" t="inlineStr">
        <is>
          <t>M1</t>
        </is>
      </c>
      <c r="C4525" t="inlineStr">
        <is>
          <t>Cali</t>
        </is>
      </c>
      <c r="D4525" t="inlineStr">
        <is>
          <t>787</t>
        </is>
      </c>
      <c r="E4525" t="inlineStr">
        <is>
          <t>pagado</t>
        </is>
      </c>
      <c r="F4525" s="23" t="n">
        <v>46273</v>
      </c>
      <c r="G4525" s="24">
        <f>F4525-DATE(2026,8,31)</f>
        <v>8</v>
      </c>
      <c r="H4525" s="25" t="n">
        <v>67326383</v>
      </c>
      <c r="I4525" t="inlineStr">
        <is>
          <t>entidad-dia</t>
        </is>
      </c>
    </row>
    <row r="4526">
      <c r="A4526" t="inlineStr">
        <is>
          <t>PRAGMA</t>
        </is>
      </c>
      <c r="B4526" t="inlineStr">
        <is>
          <t>M1</t>
        </is>
      </c>
      <c r="C4526" t="inlineStr">
        <is>
          <t>Cali</t>
        </is>
      </c>
      <c r="D4526" t="inlineStr">
        <is>
          <t>787</t>
        </is>
      </c>
      <c r="E4526" t="inlineStr">
        <is>
          <t>pagado</t>
        </is>
      </c>
      <c r="F4526" s="23" t="n">
        <v>46274</v>
      </c>
      <c r="G4526" s="24">
        <f>F4526-DATE(2026,8,31)</f>
        <v>9</v>
      </c>
      <c r="H4526" s="25" t="n">
        <v>72264161</v>
      </c>
      <c r="I4526" t="inlineStr">
        <is>
          <t>entidad-dia</t>
        </is>
      </c>
    </row>
    <row r="4527">
      <c r="A4527" t="inlineStr">
        <is>
          <t>PRAGMA</t>
        </is>
      </c>
      <c r="B4527" t="inlineStr">
        <is>
          <t>M1</t>
        </is>
      </c>
      <c r="C4527" t="inlineStr">
        <is>
          <t>Cali</t>
        </is>
      </c>
      <c r="D4527" t="inlineStr">
        <is>
          <t>787</t>
        </is>
      </c>
      <c r="E4527" t="inlineStr">
        <is>
          <t>pagado</t>
        </is>
      </c>
      <c r="F4527" s="23" t="n">
        <v>46275</v>
      </c>
      <c r="G4527" s="24">
        <f>F4527-DATE(2026,8,31)</f>
        <v>10</v>
      </c>
      <c r="H4527" s="25" t="n">
        <v>68419850</v>
      </c>
      <c r="I4527" t="inlineStr">
        <is>
          <t>entidad-dia</t>
        </is>
      </c>
    </row>
    <row r="4528">
      <c r="A4528" t="inlineStr">
        <is>
          <t>PRAGMA</t>
        </is>
      </c>
      <c r="B4528" t="inlineStr">
        <is>
          <t>M1</t>
        </is>
      </c>
      <c r="C4528" t="inlineStr">
        <is>
          <t>Cali</t>
        </is>
      </c>
      <c r="D4528" t="inlineStr">
        <is>
          <t>787</t>
        </is>
      </c>
      <c r="E4528" t="inlineStr">
        <is>
          <t>pagado</t>
        </is>
      </c>
      <c r="F4528" s="23" t="n">
        <v>46276</v>
      </c>
      <c r="G4528" s="24">
        <f>F4528-DATE(2026,8,31)</f>
        <v>11</v>
      </c>
      <c r="H4528" s="25" t="n">
        <v>64043204</v>
      </c>
      <c r="I4528" t="inlineStr">
        <is>
          <t>entidad-dia</t>
        </is>
      </c>
    </row>
    <row r="4529">
      <c r="A4529" t="inlineStr">
        <is>
          <t>PRAGMA</t>
        </is>
      </c>
      <c r="B4529" t="inlineStr">
        <is>
          <t>M1</t>
        </is>
      </c>
      <c r="C4529" t="inlineStr">
        <is>
          <t>Cali</t>
        </is>
      </c>
      <c r="D4529" t="inlineStr">
        <is>
          <t>787</t>
        </is>
      </c>
      <c r="E4529" t="inlineStr">
        <is>
          <t>pagado</t>
        </is>
      </c>
      <c r="F4529" s="23" t="n">
        <v>46277</v>
      </c>
      <c r="G4529" s="24">
        <f>F4529-DATE(2026,8,31)</f>
        <v>12</v>
      </c>
      <c r="H4529" s="25" t="n">
        <v>50455138</v>
      </c>
      <c r="I4529" t="inlineStr">
        <is>
          <t>entidad-dia</t>
        </is>
      </c>
    </row>
    <row r="4530">
      <c r="A4530" t="inlineStr">
        <is>
          <t>PRAGMA</t>
        </is>
      </c>
      <c r="B4530" t="inlineStr">
        <is>
          <t>M1</t>
        </is>
      </c>
      <c r="C4530" t="inlineStr">
        <is>
          <t>Cali</t>
        </is>
      </c>
      <c r="D4530" t="inlineStr">
        <is>
          <t>787</t>
        </is>
      </c>
      <c r="E4530" t="inlineStr">
        <is>
          <t>pagado</t>
        </is>
      </c>
      <c r="F4530" s="23" t="n">
        <v>46278</v>
      </c>
      <c r="G4530" s="24">
        <f>F4530-DATE(2026,8,31)</f>
        <v>13</v>
      </c>
      <c r="H4530" s="25" t="n">
        <v>25939648</v>
      </c>
      <c r="I4530" t="inlineStr">
        <is>
          <t>entidad-dia</t>
        </is>
      </c>
    </row>
    <row r="4531">
      <c r="A4531" t="inlineStr">
        <is>
          <t>PRAGMA</t>
        </is>
      </c>
      <c r="B4531" t="inlineStr">
        <is>
          <t>M1</t>
        </is>
      </c>
      <c r="C4531" t="inlineStr">
        <is>
          <t>Cali</t>
        </is>
      </c>
      <c r="D4531" t="inlineStr">
        <is>
          <t>787</t>
        </is>
      </c>
      <c r="E4531" t="inlineStr">
        <is>
          <t>pagado</t>
        </is>
      </c>
      <c r="F4531" s="23" t="n">
        <v>46279</v>
      </c>
      <c r="G4531" s="24">
        <f>F4531-DATE(2026,8,31)</f>
        <v>14</v>
      </c>
      <c r="H4531" s="25" t="n">
        <v>67868464</v>
      </c>
      <c r="I4531" t="inlineStr">
        <is>
          <t>entidad-dia</t>
        </is>
      </c>
    </row>
    <row r="4532">
      <c r="A4532" t="inlineStr">
        <is>
          <t>PRAGMA</t>
        </is>
      </c>
      <c r="B4532" t="inlineStr">
        <is>
          <t>M1</t>
        </is>
      </c>
      <c r="C4532" t="inlineStr">
        <is>
          <t>Cali</t>
        </is>
      </c>
      <c r="D4532" t="inlineStr">
        <is>
          <t>787</t>
        </is>
      </c>
      <c r="E4532" t="inlineStr">
        <is>
          <t>pagado</t>
        </is>
      </c>
      <c r="F4532" s="23" t="n">
        <v>46280</v>
      </c>
      <c r="G4532" s="24">
        <f>F4532-DATE(2026,8,31)</f>
        <v>15</v>
      </c>
      <c r="H4532" s="25" t="n">
        <v>99121439</v>
      </c>
      <c r="I4532" t="inlineStr">
        <is>
          <t>entidad-dia</t>
        </is>
      </c>
    </row>
    <row r="4533">
      <c r="A4533" t="inlineStr">
        <is>
          <t>PRAGMA</t>
        </is>
      </c>
      <c r="B4533" t="inlineStr">
        <is>
          <t>M1</t>
        </is>
      </c>
      <c r="C4533" t="inlineStr">
        <is>
          <t>Cali</t>
        </is>
      </c>
      <c r="D4533" t="inlineStr">
        <is>
          <t>788</t>
        </is>
      </c>
      <c r="E4533" t="inlineStr">
        <is>
          <t>pagado</t>
        </is>
      </c>
      <c r="F4533" s="23" t="n">
        <v>46266</v>
      </c>
      <c r="G4533" s="24">
        <f>F4533-DATE(2026,8,31)</f>
        <v>1</v>
      </c>
      <c r="H4533" s="25" t="n">
        <v>128961727</v>
      </c>
      <c r="I4533" t="inlineStr">
        <is>
          <t>entidad-dia</t>
        </is>
      </c>
    </row>
    <row r="4534">
      <c r="A4534" t="inlineStr">
        <is>
          <t>PRAGMA</t>
        </is>
      </c>
      <c r="B4534" t="inlineStr">
        <is>
          <t>M1</t>
        </is>
      </c>
      <c r="C4534" t="inlineStr">
        <is>
          <t>Cali</t>
        </is>
      </c>
      <c r="D4534" t="inlineStr">
        <is>
          <t>788</t>
        </is>
      </c>
      <c r="E4534" t="inlineStr">
        <is>
          <t>pagado</t>
        </is>
      </c>
      <c r="F4534" s="23" t="n">
        <v>46267</v>
      </c>
      <c r="G4534" s="24">
        <f>F4534-DATE(2026,8,31)</f>
        <v>2</v>
      </c>
      <c r="H4534" s="25" t="n">
        <v>92386743</v>
      </c>
      <c r="I4534" t="inlineStr">
        <is>
          <t>entidad-dia</t>
        </is>
      </c>
    </row>
    <row r="4535">
      <c r="A4535" t="inlineStr">
        <is>
          <t>PRAGMA</t>
        </is>
      </c>
      <c r="B4535" t="inlineStr">
        <is>
          <t>M1</t>
        </is>
      </c>
      <c r="C4535" t="inlineStr">
        <is>
          <t>Cali</t>
        </is>
      </c>
      <c r="D4535" t="inlineStr">
        <is>
          <t>788</t>
        </is>
      </c>
      <c r="E4535" t="inlineStr">
        <is>
          <t>pagado</t>
        </is>
      </c>
      <c r="F4535" s="23" t="n">
        <v>46268</v>
      </c>
      <c r="G4535" s="24">
        <f>F4535-DATE(2026,8,31)</f>
        <v>3</v>
      </c>
      <c r="H4535" s="25" t="n">
        <v>79779558</v>
      </c>
      <c r="I4535" t="inlineStr">
        <is>
          <t>entidad-dia</t>
        </is>
      </c>
    </row>
    <row r="4536">
      <c r="A4536" t="inlineStr">
        <is>
          <t>PRAGMA</t>
        </is>
      </c>
      <c r="B4536" t="inlineStr">
        <is>
          <t>M1</t>
        </is>
      </c>
      <c r="C4536" t="inlineStr">
        <is>
          <t>Cali</t>
        </is>
      </c>
      <c r="D4536" t="inlineStr">
        <is>
          <t>788</t>
        </is>
      </c>
      <c r="E4536" t="inlineStr">
        <is>
          <t>pagado</t>
        </is>
      </c>
      <c r="F4536" s="23" t="n">
        <v>46269</v>
      </c>
      <c r="G4536" s="24">
        <f>F4536-DATE(2026,8,31)</f>
        <v>4</v>
      </c>
      <c r="H4536" s="25" t="n">
        <v>88948509</v>
      </c>
      <c r="I4536" t="inlineStr">
        <is>
          <t>entidad-dia</t>
        </is>
      </c>
    </row>
    <row r="4537">
      <c r="A4537" t="inlineStr">
        <is>
          <t>PRAGMA</t>
        </is>
      </c>
      <c r="B4537" t="inlineStr">
        <is>
          <t>M1</t>
        </is>
      </c>
      <c r="C4537" t="inlineStr">
        <is>
          <t>Cali</t>
        </is>
      </c>
      <c r="D4537" t="inlineStr">
        <is>
          <t>788</t>
        </is>
      </c>
      <c r="E4537" t="inlineStr">
        <is>
          <t>pagado</t>
        </is>
      </c>
      <c r="F4537" s="23" t="n">
        <v>46270</v>
      </c>
      <c r="G4537" s="24">
        <f>F4537-DATE(2026,8,31)</f>
        <v>5</v>
      </c>
      <c r="H4537" s="25" t="n">
        <v>72384054</v>
      </c>
      <c r="I4537" t="inlineStr">
        <is>
          <t>entidad-dia</t>
        </is>
      </c>
    </row>
    <row r="4538">
      <c r="A4538" t="inlineStr">
        <is>
          <t>PRAGMA</t>
        </is>
      </c>
      <c r="B4538" t="inlineStr">
        <is>
          <t>M1</t>
        </is>
      </c>
      <c r="C4538" t="inlineStr">
        <is>
          <t>Cali</t>
        </is>
      </c>
      <c r="D4538" t="inlineStr">
        <is>
          <t>788</t>
        </is>
      </c>
      <c r="E4538" t="inlineStr">
        <is>
          <t>pagado</t>
        </is>
      </c>
      <c r="F4538" s="23" t="n">
        <v>46271</v>
      </c>
      <c r="G4538" s="24">
        <f>F4538-DATE(2026,8,31)</f>
        <v>6</v>
      </c>
      <c r="H4538" s="25" t="n">
        <v>32102010</v>
      </c>
      <c r="I4538" t="inlineStr">
        <is>
          <t>entidad-dia</t>
        </is>
      </c>
    </row>
    <row r="4539">
      <c r="A4539" t="inlineStr">
        <is>
          <t>PRAGMA</t>
        </is>
      </c>
      <c r="B4539" t="inlineStr">
        <is>
          <t>M1</t>
        </is>
      </c>
      <c r="C4539" t="inlineStr">
        <is>
          <t>Cali</t>
        </is>
      </c>
      <c r="D4539" t="inlineStr">
        <is>
          <t>788</t>
        </is>
      </c>
      <c r="E4539" t="inlineStr">
        <is>
          <t>pagado</t>
        </is>
      </c>
      <c r="F4539" s="23" t="n">
        <v>46272</v>
      </c>
      <c r="G4539" s="24">
        <f>F4539-DATE(2026,8,31)</f>
        <v>7</v>
      </c>
      <c r="H4539" s="25" t="n">
        <v>60006802</v>
      </c>
      <c r="I4539" t="inlineStr">
        <is>
          <t>entidad-dia</t>
        </is>
      </c>
    </row>
    <row r="4540">
      <c r="A4540" t="inlineStr">
        <is>
          <t>PRAGMA</t>
        </is>
      </c>
      <c r="B4540" t="inlineStr">
        <is>
          <t>M1</t>
        </is>
      </c>
      <c r="C4540" t="inlineStr">
        <is>
          <t>Cali</t>
        </is>
      </c>
      <c r="D4540" t="inlineStr">
        <is>
          <t>788</t>
        </is>
      </c>
      <c r="E4540" t="inlineStr">
        <is>
          <t>pagado</t>
        </is>
      </c>
      <c r="F4540" s="23" t="n">
        <v>46273</v>
      </c>
      <c r="G4540" s="24">
        <f>F4540-DATE(2026,8,31)</f>
        <v>8</v>
      </c>
      <c r="H4540" s="25" t="n">
        <v>62202703</v>
      </c>
      <c r="I4540" t="inlineStr">
        <is>
          <t>entidad-dia</t>
        </is>
      </c>
    </row>
    <row r="4541">
      <c r="A4541" t="inlineStr">
        <is>
          <t>PRAGMA</t>
        </is>
      </c>
      <c r="B4541" t="inlineStr">
        <is>
          <t>M1</t>
        </is>
      </c>
      <c r="C4541" t="inlineStr">
        <is>
          <t>Cali</t>
        </is>
      </c>
      <c r="D4541" t="inlineStr">
        <is>
          <t>788</t>
        </is>
      </c>
      <c r="E4541" t="inlineStr">
        <is>
          <t>pagado</t>
        </is>
      </c>
      <c r="F4541" s="23" t="n">
        <v>46274</v>
      </c>
      <c r="G4541" s="24">
        <f>F4541-DATE(2026,8,31)</f>
        <v>9</v>
      </c>
      <c r="H4541" s="25" t="n">
        <v>62997352</v>
      </c>
      <c r="I4541" t="inlineStr">
        <is>
          <t>entidad-dia</t>
        </is>
      </c>
    </row>
    <row r="4542">
      <c r="A4542" t="inlineStr">
        <is>
          <t>PRAGMA</t>
        </is>
      </c>
      <c r="B4542" t="inlineStr">
        <is>
          <t>M1</t>
        </is>
      </c>
      <c r="C4542" t="inlineStr">
        <is>
          <t>Cali</t>
        </is>
      </c>
      <c r="D4542" t="inlineStr">
        <is>
          <t>788</t>
        </is>
      </c>
      <c r="E4542" t="inlineStr">
        <is>
          <t>pagado</t>
        </is>
      </c>
      <c r="F4542" s="23" t="n">
        <v>46275</v>
      </c>
      <c r="G4542" s="24">
        <f>F4542-DATE(2026,8,31)</f>
        <v>10</v>
      </c>
      <c r="H4542" s="25" t="n">
        <v>51041324</v>
      </c>
      <c r="I4542" t="inlineStr">
        <is>
          <t>entidad-dia</t>
        </is>
      </c>
    </row>
    <row r="4543">
      <c r="A4543" t="inlineStr">
        <is>
          <t>PRAGMA</t>
        </is>
      </c>
      <c r="B4543" t="inlineStr">
        <is>
          <t>M1</t>
        </is>
      </c>
      <c r="C4543" t="inlineStr">
        <is>
          <t>Cali</t>
        </is>
      </c>
      <c r="D4543" t="inlineStr">
        <is>
          <t>788</t>
        </is>
      </c>
      <c r="E4543" t="inlineStr">
        <is>
          <t>pagado</t>
        </is>
      </c>
      <c r="F4543" s="23" t="n">
        <v>46276</v>
      </c>
      <c r="G4543" s="24">
        <f>F4543-DATE(2026,8,31)</f>
        <v>11</v>
      </c>
      <c r="H4543" s="25" t="n">
        <v>65411286</v>
      </c>
      <c r="I4543" t="inlineStr">
        <is>
          <t>entidad-dia</t>
        </is>
      </c>
    </row>
    <row r="4544">
      <c r="A4544" t="inlineStr">
        <is>
          <t>PRAGMA</t>
        </is>
      </c>
      <c r="B4544" t="inlineStr">
        <is>
          <t>M1</t>
        </is>
      </c>
      <c r="C4544" t="inlineStr">
        <is>
          <t>Cali</t>
        </is>
      </c>
      <c r="D4544" t="inlineStr">
        <is>
          <t>788</t>
        </is>
      </c>
      <c r="E4544" t="inlineStr">
        <is>
          <t>pagado</t>
        </is>
      </c>
      <c r="F4544" s="23" t="n">
        <v>46277</v>
      </c>
      <c r="G4544" s="24">
        <f>F4544-DATE(2026,8,31)</f>
        <v>12</v>
      </c>
      <c r="H4544" s="25" t="n">
        <v>48868200</v>
      </c>
      <c r="I4544" t="inlineStr">
        <is>
          <t>entidad-dia</t>
        </is>
      </c>
    </row>
    <row r="4545">
      <c r="A4545" t="inlineStr">
        <is>
          <t>PRAGMA</t>
        </is>
      </c>
      <c r="B4545" t="inlineStr">
        <is>
          <t>M1</t>
        </is>
      </c>
      <c r="C4545" t="inlineStr">
        <is>
          <t>Cali</t>
        </is>
      </c>
      <c r="D4545" t="inlineStr">
        <is>
          <t>788</t>
        </is>
      </c>
      <c r="E4545" t="inlineStr">
        <is>
          <t>pagado</t>
        </is>
      </c>
      <c r="F4545" s="23" t="n">
        <v>46278</v>
      </c>
      <c r="G4545" s="24">
        <f>F4545-DATE(2026,8,31)</f>
        <v>13</v>
      </c>
      <c r="H4545" s="25" t="n">
        <v>24913799</v>
      </c>
      <c r="I4545" t="inlineStr">
        <is>
          <t>entidad-dia</t>
        </is>
      </c>
    </row>
    <row r="4546">
      <c r="A4546" t="inlineStr">
        <is>
          <t>PRAGMA</t>
        </is>
      </c>
      <c r="B4546" t="inlineStr">
        <is>
          <t>M1</t>
        </is>
      </c>
      <c r="C4546" t="inlineStr">
        <is>
          <t>Cali</t>
        </is>
      </c>
      <c r="D4546" t="inlineStr">
        <is>
          <t>788</t>
        </is>
      </c>
      <c r="E4546" t="inlineStr">
        <is>
          <t>pagado</t>
        </is>
      </c>
      <c r="F4546" s="23" t="n">
        <v>46279</v>
      </c>
      <c r="G4546" s="24">
        <f>F4546-DATE(2026,8,31)</f>
        <v>14</v>
      </c>
      <c r="H4546" s="25" t="n">
        <v>60709683</v>
      </c>
      <c r="I4546" t="inlineStr">
        <is>
          <t>entidad-dia</t>
        </is>
      </c>
    </row>
    <row r="4547">
      <c r="A4547" t="inlineStr">
        <is>
          <t>PRAGMA</t>
        </is>
      </c>
      <c r="B4547" t="inlineStr">
        <is>
          <t>M1</t>
        </is>
      </c>
      <c r="C4547" t="inlineStr">
        <is>
          <t>Cali</t>
        </is>
      </c>
      <c r="D4547" t="inlineStr">
        <is>
          <t>788</t>
        </is>
      </c>
      <c r="E4547" t="inlineStr">
        <is>
          <t>pagado</t>
        </is>
      </c>
      <c r="F4547" s="23" t="n">
        <v>46280</v>
      </c>
      <c r="G4547" s="24">
        <f>F4547-DATE(2026,8,31)</f>
        <v>15</v>
      </c>
      <c r="H4547" s="25" t="n">
        <v>102055438</v>
      </c>
      <c r="I4547" t="inlineStr">
        <is>
          <t>entidad-dia</t>
        </is>
      </c>
    </row>
    <row r="4548">
      <c r="A4548" t="inlineStr">
        <is>
          <t>PRAGMA</t>
        </is>
      </c>
      <c r="B4548" t="inlineStr">
        <is>
          <t>M1</t>
        </is>
      </c>
      <c r="C4548" t="inlineStr">
        <is>
          <t>Cali</t>
        </is>
      </c>
      <c r="D4548" t="inlineStr">
        <is>
          <t>7901</t>
        </is>
      </c>
      <c r="E4548" t="inlineStr">
        <is>
          <t>pagado</t>
        </is>
      </c>
      <c r="F4548" s="23" t="n">
        <v>46266</v>
      </c>
      <c r="G4548" s="24">
        <f>F4548-DATE(2026,8,31)</f>
        <v>1</v>
      </c>
      <c r="H4548" s="25" t="n">
        <v>0</v>
      </c>
      <c r="I4548" t="inlineStr">
        <is>
          <t>entidad-dia</t>
        </is>
      </c>
    </row>
    <row r="4549">
      <c r="A4549" t="inlineStr">
        <is>
          <t>PRAGMA</t>
        </is>
      </c>
      <c r="B4549" t="inlineStr">
        <is>
          <t>M1</t>
        </is>
      </c>
      <c r="C4549" t="inlineStr">
        <is>
          <t>Cali</t>
        </is>
      </c>
      <c r="D4549" t="inlineStr">
        <is>
          <t>7901</t>
        </is>
      </c>
      <c r="E4549" t="inlineStr">
        <is>
          <t>pagado</t>
        </is>
      </c>
      <c r="F4549" s="23" t="n">
        <v>46267</v>
      </c>
      <c r="G4549" s="24">
        <f>F4549-DATE(2026,8,31)</f>
        <v>2</v>
      </c>
      <c r="H4549" s="25" t="n">
        <v>0</v>
      </c>
      <c r="I4549" t="inlineStr">
        <is>
          <t>entidad-dia</t>
        </is>
      </c>
    </row>
    <row r="4550">
      <c r="A4550" t="inlineStr">
        <is>
          <t>PRAGMA</t>
        </is>
      </c>
      <c r="B4550" t="inlineStr">
        <is>
          <t>M1</t>
        </is>
      </c>
      <c r="C4550" t="inlineStr">
        <is>
          <t>Cali</t>
        </is>
      </c>
      <c r="D4550" t="inlineStr">
        <is>
          <t>7901</t>
        </is>
      </c>
      <c r="E4550" t="inlineStr">
        <is>
          <t>pagado</t>
        </is>
      </c>
      <c r="F4550" s="23" t="n">
        <v>46268</v>
      </c>
      <c r="G4550" s="24">
        <f>F4550-DATE(2026,8,31)</f>
        <v>3</v>
      </c>
      <c r="H4550" s="25" t="n">
        <v>0</v>
      </c>
      <c r="I4550" t="inlineStr">
        <is>
          <t>entidad-dia</t>
        </is>
      </c>
    </row>
    <row r="4551">
      <c r="A4551" t="inlineStr">
        <is>
          <t>PRAGMA</t>
        </is>
      </c>
      <c r="B4551" t="inlineStr">
        <is>
          <t>M1</t>
        </is>
      </c>
      <c r="C4551" t="inlineStr">
        <is>
          <t>Cali</t>
        </is>
      </c>
      <c r="D4551" t="inlineStr">
        <is>
          <t>7901</t>
        </is>
      </c>
      <c r="E4551" t="inlineStr">
        <is>
          <t>pagado</t>
        </is>
      </c>
      <c r="F4551" s="23" t="n">
        <v>46269</v>
      </c>
      <c r="G4551" s="24">
        <f>F4551-DATE(2026,8,31)</f>
        <v>4</v>
      </c>
      <c r="H4551" s="25" t="n">
        <v>0</v>
      </c>
      <c r="I4551" t="inlineStr">
        <is>
          <t>entidad-dia</t>
        </is>
      </c>
    </row>
    <row r="4552">
      <c r="A4552" t="inlineStr">
        <is>
          <t>PRAGMA</t>
        </is>
      </c>
      <c r="B4552" t="inlineStr">
        <is>
          <t>M1</t>
        </is>
      </c>
      <c r="C4552" t="inlineStr">
        <is>
          <t>Cali</t>
        </is>
      </c>
      <c r="D4552" t="inlineStr">
        <is>
          <t>7901</t>
        </is>
      </c>
      <c r="E4552" t="inlineStr">
        <is>
          <t>pagado</t>
        </is>
      </c>
      <c r="F4552" s="23" t="n">
        <v>46270</v>
      </c>
      <c r="G4552" s="24">
        <f>F4552-DATE(2026,8,31)</f>
        <v>5</v>
      </c>
      <c r="H4552" s="25" t="n">
        <v>0</v>
      </c>
      <c r="I4552" t="inlineStr">
        <is>
          <t>entidad-dia</t>
        </is>
      </c>
    </row>
    <row r="4553">
      <c r="A4553" t="inlineStr">
        <is>
          <t>PRAGMA</t>
        </is>
      </c>
      <c r="B4553" t="inlineStr">
        <is>
          <t>M1</t>
        </is>
      </c>
      <c r="C4553" t="inlineStr">
        <is>
          <t>Cali</t>
        </is>
      </c>
      <c r="D4553" t="inlineStr">
        <is>
          <t>7901</t>
        </is>
      </c>
      <c r="E4553" t="inlineStr">
        <is>
          <t>pagado</t>
        </is>
      </c>
      <c r="F4553" s="23" t="n">
        <v>46271</v>
      </c>
      <c r="G4553" s="24">
        <f>F4553-DATE(2026,8,31)</f>
        <v>6</v>
      </c>
      <c r="H4553" s="25" t="n">
        <v>0</v>
      </c>
      <c r="I4553" t="inlineStr">
        <is>
          <t>entidad-dia</t>
        </is>
      </c>
    </row>
    <row r="4554">
      <c r="A4554" t="inlineStr">
        <is>
          <t>PRAGMA</t>
        </is>
      </c>
      <c r="B4554" t="inlineStr">
        <is>
          <t>M1</t>
        </is>
      </c>
      <c r="C4554" t="inlineStr">
        <is>
          <t>Cali</t>
        </is>
      </c>
      <c r="D4554" t="inlineStr">
        <is>
          <t>7901</t>
        </is>
      </c>
      <c r="E4554" t="inlineStr">
        <is>
          <t>pagado</t>
        </is>
      </c>
      <c r="F4554" s="23" t="n">
        <v>46272</v>
      </c>
      <c r="G4554" s="24">
        <f>F4554-DATE(2026,8,31)</f>
        <v>7</v>
      </c>
      <c r="H4554" s="25" t="n">
        <v>0</v>
      </c>
      <c r="I4554" t="inlineStr">
        <is>
          <t>entidad-dia</t>
        </is>
      </c>
    </row>
    <row r="4555">
      <c r="A4555" t="inlineStr">
        <is>
          <t>PRAGMA</t>
        </is>
      </c>
      <c r="B4555" t="inlineStr">
        <is>
          <t>M1</t>
        </is>
      </c>
      <c r="C4555" t="inlineStr">
        <is>
          <t>Cali</t>
        </is>
      </c>
      <c r="D4555" t="inlineStr">
        <is>
          <t>7901</t>
        </is>
      </c>
      <c r="E4555" t="inlineStr">
        <is>
          <t>pagado</t>
        </is>
      </c>
      <c r="F4555" s="23" t="n">
        <v>46273</v>
      </c>
      <c r="G4555" s="24">
        <f>F4555-DATE(2026,8,31)</f>
        <v>8</v>
      </c>
      <c r="H4555" s="25" t="n">
        <v>0</v>
      </c>
      <c r="I4555" t="inlineStr">
        <is>
          <t>entidad-dia</t>
        </is>
      </c>
    </row>
    <row r="4556">
      <c r="A4556" t="inlineStr">
        <is>
          <t>PRAGMA</t>
        </is>
      </c>
      <c r="B4556" t="inlineStr">
        <is>
          <t>M1</t>
        </is>
      </c>
      <c r="C4556" t="inlineStr">
        <is>
          <t>Cali</t>
        </is>
      </c>
      <c r="D4556" t="inlineStr">
        <is>
          <t>7901</t>
        </is>
      </c>
      <c r="E4556" t="inlineStr">
        <is>
          <t>pagado</t>
        </is>
      </c>
      <c r="F4556" s="23" t="n">
        <v>46274</v>
      </c>
      <c r="G4556" s="24">
        <f>F4556-DATE(2026,8,31)</f>
        <v>9</v>
      </c>
      <c r="H4556" s="25" t="n">
        <v>0</v>
      </c>
      <c r="I4556" t="inlineStr">
        <is>
          <t>entidad-dia</t>
        </is>
      </c>
    </row>
    <row r="4557">
      <c r="A4557" t="inlineStr">
        <is>
          <t>PRAGMA</t>
        </is>
      </c>
      <c r="B4557" t="inlineStr">
        <is>
          <t>M1</t>
        </is>
      </c>
      <c r="C4557" t="inlineStr">
        <is>
          <t>Cali</t>
        </is>
      </c>
      <c r="D4557" t="inlineStr">
        <is>
          <t>7901</t>
        </is>
      </c>
      <c r="E4557" t="inlineStr">
        <is>
          <t>pagado</t>
        </is>
      </c>
      <c r="F4557" s="23" t="n">
        <v>46275</v>
      </c>
      <c r="G4557" s="24">
        <f>F4557-DATE(2026,8,31)</f>
        <v>10</v>
      </c>
      <c r="H4557" s="25" t="n">
        <v>0</v>
      </c>
      <c r="I4557" t="inlineStr">
        <is>
          <t>entidad-dia</t>
        </is>
      </c>
    </row>
    <row r="4558">
      <c r="A4558" t="inlineStr">
        <is>
          <t>PRAGMA</t>
        </is>
      </c>
      <c r="B4558" t="inlineStr">
        <is>
          <t>M1</t>
        </is>
      </c>
      <c r="C4558" t="inlineStr">
        <is>
          <t>Cali</t>
        </is>
      </c>
      <c r="D4558" t="inlineStr">
        <is>
          <t>7901</t>
        </is>
      </c>
      <c r="E4558" t="inlineStr">
        <is>
          <t>pagado</t>
        </is>
      </c>
      <c r="F4558" s="23" t="n">
        <v>46276</v>
      </c>
      <c r="G4558" s="24">
        <f>F4558-DATE(2026,8,31)</f>
        <v>11</v>
      </c>
      <c r="H4558" s="25" t="n">
        <v>0</v>
      </c>
      <c r="I4558" t="inlineStr">
        <is>
          <t>entidad-dia</t>
        </is>
      </c>
    </row>
    <row r="4559">
      <c r="A4559" t="inlineStr">
        <is>
          <t>PRAGMA</t>
        </is>
      </c>
      <c r="B4559" t="inlineStr">
        <is>
          <t>M1</t>
        </is>
      </c>
      <c r="C4559" t="inlineStr">
        <is>
          <t>Cali</t>
        </is>
      </c>
      <c r="D4559" t="inlineStr">
        <is>
          <t>7901</t>
        </is>
      </c>
      <c r="E4559" t="inlineStr">
        <is>
          <t>pagado</t>
        </is>
      </c>
      <c r="F4559" s="23" t="n">
        <v>46277</v>
      </c>
      <c r="G4559" s="24">
        <f>F4559-DATE(2026,8,31)</f>
        <v>12</v>
      </c>
      <c r="H4559" s="25" t="n">
        <v>0</v>
      </c>
      <c r="I4559" t="inlineStr">
        <is>
          <t>entidad-dia</t>
        </is>
      </c>
    </row>
    <row r="4560">
      <c r="A4560" t="inlineStr">
        <is>
          <t>PRAGMA</t>
        </is>
      </c>
      <c r="B4560" t="inlineStr">
        <is>
          <t>M1</t>
        </is>
      </c>
      <c r="C4560" t="inlineStr">
        <is>
          <t>Cali</t>
        </is>
      </c>
      <c r="D4560" t="inlineStr">
        <is>
          <t>7901</t>
        </is>
      </c>
      <c r="E4560" t="inlineStr">
        <is>
          <t>pagado</t>
        </is>
      </c>
      <c r="F4560" s="23" t="n">
        <v>46278</v>
      </c>
      <c r="G4560" s="24">
        <f>F4560-DATE(2026,8,31)</f>
        <v>13</v>
      </c>
      <c r="H4560" s="25" t="n">
        <v>0</v>
      </c>
      <c r="I4560" t="inlineStr">
        <is>
          <t>entidad-dia</t>
        </is>
      </c>
    </row>
    <row r="4561">
      <c r="A4561" t="inlineStr">
        <is>
          <t>PRAGMA</t>
        </is>
      </c>
      <c r="B4561" t="inlineStr">
        <is>
          <t>M1</t>
        </is>
      </c>
      <c r="C4561" t="inlineStr">
        <is>
          <t>Cali</t>
        </is>
      </c>
      <c r="D4561" t="inlineStr">
        <is>
          <t>7901</t>
        </is>
      </c>
      <c r="E4561" t="inlineStr">
        <is>
          <t>pagado</t>
        </is>
      </c>
      <c r="F4561" s="23" t="n">
        <v>46279</v>
      </c>
      <c r="G4561" s="24">
        <f>F4561-DATE(2026,8,31)</f>
        <v>14</v>
      </c>
      <c r="H4561" s="25" t="n">
        <v>0</v>
      </c>
      <c r="I4561" t="inlineStr">
        <is>
          <t>entidad-dia</t>
        </is>
      </c>
    </row>
    <row r="4562">
      <c r="A4562" t="inlineStr">
        <is>
          <t>PRAGMA</t>
        </is>
      </c>
      <c r="B4562" t="inlineStr">
        <is>
          <t>M1</t>
        </is>
      </c>
      <c r="C4562" t="inlineStr">
        <is>
          <t>Cali</t>
        </is>
      </c>
      <c r="D4562" t="inlineStr">
        <is>
          <t>7901</t>
        </is>
      </c>
      <c r="E4562" t="inlineStr">
        <is>
          <t>pagado</t>
        </is>
      </c>
      <c r="F4562" s="23" t="n">
        <v>46280</v>
      </c>
      <c r="G4562" s="24">
        <f>F4562-DATE(2026,8,31)</f>
        <v>15</v>
      </c>
      <c r="H4562" s="25" t="n">
        <v>0</v>
      </c>
      <c r="I4562" t="inlineStr">
        <is>
          <t>entidad-dia</t>
        </is>
      </c>
    </row>
    <row r="4563">
      <c r="A4563" t="inlineStr">
        <is>
          <t>PRAGMA</t>
        </is>
      </c>
      <c r="B4563" t="inlineStr">
        <is>
          <t>M1</t>
        </is>
      </c>
      <c r="C4563" t="inlineStr">
        <is>
          <t>Cali</t>
        </is>
      </c>
      <c r="D4563" t="inlineStr">
        <is>
          <t>7902</t>
        </is>
      </c>
      <c r="E4563" t="inlineStr">
        <is>
          <t>pagado</t>
        </is>
      </c>
      <c r="F4563" s="23" t="n">
        <v>46266</v>
      </c>
      <c r="G4563" s="24">
        <f>F4563-DATE(2026,8,31)</f>
        <v>1</v>
      </c>
      <c r="H4563" s="25" t="n">
        <v>97687585</v>
      </c>
      <c r="I4563" t="inlineStr">
        <is>
          <t>entidad-dia</t>
        </is>
      </c>
    </row>
    <row r="4564">
      <c r="A4564" t="inlineStr">
        <is>
          <t>PRAGMA</t>
        </is>
      </c>
      <c r="B4564" t="inlineStr">
        <is>
          <t>M1</t>
        </is>
      </c>
      <c r="C4564" t="inlineStr">
        <is>
          <t>Cali</t>
        </is>
      </c>
      <c r="D4564" t="inlineStr">
        <is>
          <t>7902</t>
        </is>
      </c>
      <c r="E4564" t="inlineStr">
        <is>
          <t>pagado</t>
        </is>
      </c>
      <c r="F4564" s="23" t="n">
        <v>46267</v>
      </c>
      <c r="G4564" s="24">
        <f>F4564-DATE(2026,8,31)</f>
        <v>2</v>
      </c>
      <c r="H4564" s="25" t="n">
        <v>69308247</v>
      </c>
      <c r="I4564" t="inlineStr">
        <is>
          <t>entidad-dia</t>
        </is>
      </c>
    </row>
    <row r="4565">
      <c r="A4565" t="inlineStr">
        <is>
          <t>PRAGMA</t>
        </is>
      </c>
      <c r="B4565" t="inlineStr">
        <is>
          <t>M1</t>
        </is>
      </c>
      <c r="C4565" t="inlineStr">
        <is>
          <t>Cali</t>
        </is>
      </c>
      <c r="D4565" t="inlineStr">
        <is>
          <t>7902</t>
        </is>
      </c>
      <c r="E4565" t="inlineStr">
        <is>
          <t>pagado</t>
        </is>
      </c>
      <c r="F4565" s="23" t="n">
        <v>46268</v>
      </c>
      <c r="G4565" s="24">
        <f>F4565-DATE(2026,8,31)</f>
        <v>3</v>
      </c>
      <c r="H4565" s="25" t="n">
        <v>64926140</v>
      </c>
      <c r="I4565" t="inlineStr">
        <is>
          <t>entidad-dia</t>
        </is>
      </c>
    </row>
    <row r="4566">
      <c r="A4566" t="inlineStr">
        <is>
          <t>PRAGMA</t>
        </is>
      </c>
      <c r="B4566" t="inlineStr">
        <is>
          <t>M1</t>
        </is>
      </c>
      <c r="C4566" t="inlineStr">
        <is>
          <t>Cali</t>
        </is>
      </c>
      <c r="D4566" t="inlineStr">
        <is>
          <t>7902</t>
        </is>
      </c>
      <c r="E4566" t="inlineStr">
        <is>
          <t>pagado</t>
        </is>
      </c>
      <c r="F4566" s="23" t="n">
        <v>46269</v>
      </c>
      <c r="G4566" s="24">
        <f>F4566-DATE(2026,8,31)</f>
        <v>4</v>
      </c>
      <c r="H4566" s="25" t="n">
        <v>67322066</v>
      </c>
      <c r="I4566" t="inlineStr">
        <is>
          <t>entidad-dia</t>
        </is>
      </c>
    </row>
    <row r="4567">
      <c r="A4567" t="inlineStr">
        <is>
          <t>PRAGMA</t>
        </is>
      </c>
      <c r="B4567" t="inlineStr">
        <is>
          <t>M1</t>
        </is>
      </c>
      <c r="C4567" t="inlineStr">
        <is>
          <t>Cali</t>
        </is>
      </c>
      <c r="D4567" t="inlineStr">
        <is>
          <t>7902</t>
        </is>
      </c>
      <c r="E4567" t="inlineStr">
        <is>
          <t>pagado</t>
        </is>
      </c>
      <c r="F4567" s="23" t="n">
        <v>46270</v>
      </c>
      <c r="G4567" s="24">
        <f>F4567-DATE(2026,8,31)</f>
        <v>5</v>
      </c>
      <c r="H4567" s="25" t="n">
        <v>64873246</v>
      </c>
      <c r="I4567" t="inlineStr">
        <is>
          <t>entidad-dia</t>
        </is>
      </c>
    </row>
    <row r="4568">
      <c r="A4568" t="inlineStr">
        <is>
          <t>PRAGMA</t>
        </is>
      </c>
      <c r="B4568" t="inlineStr">
        <is>
          <t>M1</t>
        </is>
      </c>
      <c r="C4568" t="inlineStr">
        <is>
          <t>Cali</t>
        </is>
      </c>
      <c r="D4568" t="inlineStr">
        <is>
          <t>7902</t>
        </is>
      </c>
      <c r="E4568" t="inlineStr">
        <is>
          <t>pagado</t>
        </is>
      </c>
      <c r="F4568" s="23" t="n">
        <v>46271</v>
      </c>
      <c r="G4568" s="24">
        <f>F4568-DATE(2026,8,31)</f>
        <v>6</v>
      </c>
      <c r="H4568" s="25" t="n">
        <v>33106139</v>
      </c>
      <c r="I4568" t="inlineStr">
        <is>
          <t>entidad-dia</t>
        </is>
      </c>
    </row>
    <row r="4569">
      <c r="A4569" t="inlineStr">
        <is>
          <t>PRAGMA</t>
        </is>
      </c>
      <c r="B4569" t="inlineStr">
        <is>
          <t>M1</t>
        </is>
      </c>
      <c r="C4569" t="inlineStr">
        <is>
          <t>Cali</t>
        </is>
      </c>
      <c r="D4569" t="inlineStr">
        <is>
          <t>7902</t>
        </is>
      </c>
      <c r="E4569" t="inlineStr">
        <is>
          <t>pagado</t>
        </is>
      </c>
      <c r="F4569" s="23" t="n">
        <v>46272</v>
      </c>
      <c r="G4569" s="24">
        <f>F4569-DATE(2026,8,31)</f>
        <v>7</v>
      </c>
      <c r="H4569" s="25" t="n">
        <v>45037292</v>
      </c>
      <c r="I4569" t="inlineStr">
        <is>
          <t>entidad-dia</t>
        </is>
      </c>
    </row>
    <row r="4570">
      <c r="A4570" t="inlineStr">
        <is>
          <t>PRAGMA</t>
        </is>
      </c>
      <c r="B4570" t="inlineStr">
        <is>
          <t>M1</t>
        </is>
      </c>
      <c r="C4570" t="inlineStr">
        <is>
          <t>Cali</t>
        </is>
      </c>
      <c r="D4570" t="inlineStr">
        <is>
          <t>7902</t>
        </is>
      </c>
      <c r="E4570" t="inlineStr">
        <is>
          <t>pagado</t>
        </is>
      </c>
      <c r="F4570" s="23" t="n">
        <v>46273</v>
      </c>
      <c r="G4570" s="24">
        <f>F4570-DATE(2026,8,31)</f>
        <v>8</v>
      </c>
      <c r="H4570" s="25" t="n">
        <v>44987393</v>
      </c>
      <c r="I4570" t="inlineStr">
        <is>
          <t>entidad-dia</t>
        </is>
      </c>
    </row>
    <row r="4571">
      <c r="A4571" t="inlineStr">
        <is>
          <t>PRAGMA</t>
        </is>
      </c>
      <c r="B4571" t="inlineStr">
        <is>
          <t>M1</t>
        </is>
      </c>
      <c r="C4571" t="inlineStr">
        <is>
          <t>Cali</t>
        </is>
      </c>
      <c r="D4571" t="inlineStr">
        <is>
          <t>7902</t>
        </is>
      </c>
      <c r="E4571" t="inlineStr">
        <is>
          <t>pagado</t>
        </is>
      </c>
      <c r="F4571" s="23" t="n">
        <v>46274</v>
      </c>
      <c r="G4571" s="24">
        <f>F4571-DATE(2026,8,31)</f>
        <v>9</v>
      </c>
      <c r="H4571" s="25" t="n">
        <v>51285544</v>
      </c>
      <c r="I4571" t="inlineStr">
        <is>
          <t>entidad-dia</t>
        </is>
      </c>
    </row>
    <row r="4572">
      <c r="A4572" t="inlineStr">
        <is>
          <t>PRAGMA</t>
        </is>
      </c>
      <c r="B4572" t="inlineStr">
        <is>
          <t>M1</t>
        </is>
      </c>
      <c r="C4572" t="inlineStr">
        <is>
          <t>Cali</t>
        </is>
      </c>
      <c r="D4572" t="inlineStr">
        <is>
          <t>7902</t>
        </is>
      </c>
      <c r="E4572" t="inlineStr">
        <is>
          <t>pagado</t>
        </is>
      </c>
      <c r="F4572" s="23" t="n">
        <v>46275</v>
      </c>
      <c r="G4572" s="24">
        <f>F4572-DATE(2026,8,31)</f>
        <v>10</v>
      </c>
      <c r="H4572" s="25" t="n">
        <v>44488816</v>
      </c>
      <c r="I4572" t="inlineStr">
        <is>
          <t>entidad-dia</t>
        </is>
      </c>
    </row>
    <row r="4573">
      <c r="A4573" t="inlineStr">
        <is>
          <t>PRAGMA</t>
        </is>
      </c>
      <c r="B4573" t="inlineStr">
        <is>
          <t>M1</t>
        </is>
      </c>
      <c r="C4573" t="inlineStr">
        <is>
          <t>Cali</t>
        </is>
      </c>
      <c r="D4573" t="inlineStr">
        <is>
          <t>7902</t>
        </is>
      </c>
      <c r="E4573" t="inlineStr">
        <is>
          <t>pagado</t>
        </is>
      </c>
      <c r="F4573" s="23" t="n">
        <v>46276</v>
      </c>
      <c r="G4573" s="24">
        <f>F4573-DATE(2026,8,31)</f>
        <v>11</v>
      </c>
      <c r="H4573" s="25" t="n">
        <v>51871118</v>
      </c>
      <c r="I4573" t="inlineStr">
        <is>
          <t>entidad-dia</t>
        </is>
      </c>
    </row>
    <row r="4574">
      <c r="A4574" t="inlineStr">
        <is>
          <t>PRAGMA</t>
        </is>
      </c>
      <c r="B4574" t="inlineStr">
        <is>
          <t>M1</t>
        </is>
      </c>
      <c r="C4574" t="inlineStr">
        <is>
          <t>Cali</t>
        </is>
      </c>
      <c r="D4574" t="inlineStr">
        <is>
          <t>7902</t>
        </is>
      </c>
      <c r="E4574" t="inlineStr">
        <is>
          <t>pagado</t>
        </is>
      </c>
      <c r="F4574" s="23" t="n">
        <v>46277</v>
      </c>
      <c r="G4574" s="24">
        <f>F4574-DATE(2026,8,31)</f>
        <v>12</v>
      </c>
      <c r="H4574" s="25" t="n">
        <v>50751975</v>
      </c>
      <c r="I4574" t="inlineStr">
        <is>
          <t>entidad-dia</t>
        </is>
      </c>
    </row>
    <row r="4575">
      <c r="A4575" t="inlineStr">
        <is>
          <t>PRAGMA</t>
        </is>
      </c>
      <c r="B4575" t="inlineStr">
        <is>
          <t>M1</t>
        </is>
      </c>
      <c r="C4575" t="inlineStr">
        <is>
          <t>Cali</t>
        </is>
      </c>
      <c r="D4575" t="inlineStr">
        <is>
          <t>7902</t>
        </is>
      </c>
      <c r="E4575" t="inlineStr">
        <is>
          <t>pagado</t>
        </is>
      </c>
      <c r="F4575" s="23" t="n">
        <v>46278</v>
      </c>
      <c r="G4575" s="24">
        <f>F4575-DATE(2026,8,31)</f>
        <v>13</v>
      </c>
      <c r="H4575" s="25" t="n">
        <v>27052516</v>
      </c>
      <c r="I4575" t="inlineStr">
        <is>
          <t>entidad-dia</t>
        </is>
      </c>
    </row>
    <row r="4576">
      <c r="A4576" t="inlineStr">
        <is>
          <t>PRAGMA</t>
        </is>
      </c>
      <c r="B4576" t="inlineStr">
        <is>
          <t>M1</t>
        </is>
      </c>
      <c r="C4576" t="inlineStr">
        <is>
          <t>Cali</t>
        </is>
      </c>
      <c r="D4576" t="inlineStr">
        <is>
          <t>7902</t>
        </is>
      </c>
      <c r="E4576" t="inlineStr">
        <is>
          <t>pagado</t>
        </is>
      </c>
      <c r="F4576" s="23" t="n">
        <v>46279</v>
      </c>
      <c r="G4576" s="24">
        <f>F4576-DATE(2026,8,31)</f>
        <v>14</v>
      </c>
      <c r="H4576" s="25" t="n">
        <v>53669101</v>
      </c>
      <c r="I4576" t="inlineStr">
        <is>
          <t>entidad-dia</t>
        </is>
      </c>
    </row>
    <row r="4577">
      <c r="A4577" t="inlineStr">
        <is>
          <t>PRAGMA</t>
        </is>
      </c>
      <c r="B4577" t="inlineStr">
        <is>
          <t>M1</t>
        </is>
      </c>
      <c r="C4577" t="inlineStr">
        <is>
          <t>Cali</t>
        </is>
      </c>
      <c r="D4577" t="inlineStr">
        <is>
          <t>7902</t>
        </is>
      </c>
      <c r="E4577" t="inlineStr">
        <is>
          <t>pagado</t>
        </is>
      </c>
      <c r="F4577" s="23" t="n">
        <v>46280</v>
      </c>
      <c r="G4577" s="24">
        <f>F4577-DATE(2026,8,31)</f>
        <v>15</v>
      </c>
      <c r="H4577" s="25" t="n">
        <v>91897902</v>
      </c>
      <c r="I4577" t="inlineStr">
        <is>
          <t>entidad-dia</t>
        </is>
      </c>
    </row>
    <row r="4578">
      <c r="A4578" t="inlineStr">
        <is>
          <t>PRAGMA</t>
        </is>
      </c>
      <c r="B4578" t="inlineStr">
        <is>
          <t>M1</t>
        </is>
      </c>
      <c r="C4578" t="inlineStr">
        <is>
          <t>Cali</t>
        </is>
      </c>
      <c r="D4578" t="inlineStr">
        <is>
          <t>791</t>
        </is>
      </c>
      <c r="E4578" t="inlineStr">
        <is>
          <t>pagado</t>
        </is>
      </c>
      <c r="F4578" s="23" t="n">
        <v>46266</v>
      </c>
      <c r="G4578" s="24">
        <f>F4578-DATE(2026,8,31)</f>
        <v>1</v>
      </c>
      <c r="H4578" s="25" t="n">
        <v>134425943</v>
      </c>
      <c r="I4578" t="inlineStr">
        <is>
          <t>entidad-dia</t>
        </is>
      </c>
    </row>
    <row r="4579">
      <c r="A4579" t="inlineStr">
        <is>
          <t>PRAGMA</t>
        </is>
      </c>
      <c r="B4579" t="inlineStr">
        <is>
          <t>M1</t>
        </is>
      </c>
      <c r="C4579" t="inlineStr">
        <is>
          <t>Cali</t>
        </is>
      </c>
      <c r="D4579" t="inlineStr">
        <is>
          <t>791</t>
        </is>
      </c>
      <c r="E4579" t="inlineStr">
        <is>
          <t>pagado</t>
        </is>
      </c>
      <c r="F4579" s="23" t="n">
        <v>46267</v>
      </c>
      <c r="G4579" s="24">
        <f>F4579-DATE(2026,8,31)</f>
        <v>2</v>
      </c>
      <c r="H4579" s="25" t="n">
        <v>95104970</v>
      </c>
      <c r="I4579" t="inlineStr">
        <is>
          <t>entidad-dia</t>
        </is>
      </c>
    </row>
    <row r="4580">
      <c r="A4580" t="inlineStr">
        <is>
          <t>PRAGMA</t>
        </is>
      </c>
      <c r="B4580" t="inlineStr">
        <is>
          <t>M1</t>
        </is>
      </c>
      <c r="C4580" t="inlineStr">
        <is>
          <t>Cali</t>
        </is>
      </c>
      <c r="D4580" t="inlineStr">
        <is>
          <t>791</t>
        </is>
      </c>
      <c r="E4580" t="inlineStr">
        <is>
          <t>pagado</t>
        </is>
      </c>
      <c r="F4580" s="23" t="n">
        <v>46268</v>
      </c>
      <c r="G4580" s="24">
        <f>F4580-DATE(2026,8,31)</f>
        <v>3</v>
      </c>
      <c r="H4580" s="25" t="n">
        <v>88480364</v>
      </c>
      <c r="I4580" t="inlineStr">
        <is>
          <t>entidad-dia</t>
        </is>
      </c>
    </row>
    <row r="4581">
      <c r="A4581" t="inlineStr">
        <is>
          <t>PRAGMA</t>
        </is>
      </c>
      <c r="B4581" t="inlineStr">
        <is>
          <t>M1</t>
        </is>
      </c>
      <c r="C4581" t="inlineStr">
        <is>
          <t>Cali</t>
        </is>
      </c>
      <c r="D4581" t="inlineStr">
        <is>
          <t>791</t>
        </is>
      </c>
      <c r="E4581" t="inlineStr">
        <is>
          <t>pagado</t>
        </is>
      </c>
      <c r="F4581" s="23" t="n">
        <v>46269</v>
      </c>
      <c r="G4581" s="24">
        <f>F4581-DATE(2026,8,31)</f>
        <v>4</v>
      </c>
      <c r="H4581" s="25" t="n">
        <v>89030600</v>
      </c>
      <c r="I4581" t="inlineStr">
        <is>
          <t>entidad-dia</t>
        </is>
      </c>
    </row>
    <row r="4582">
      <c r="A4582" t="inlineStr">
        <is>
          <t>PRAGMA</t>
        </is>
      </c>
      <c r="B4582" t="inlineStr">
        <is>
          <t>M1</t>
        </is>
      </c>
      <c r="C4582" t="inlineStr">
        <is>
          <t>Cali</t>
        </is>
      </c>
      <c r="D4582" t="inlineStr">
        <is>
          <t>791</t>
        </is>
      </c>
      <c r="E4582" t="inlineStr">
        <is>
          <t>pagado</t>
        </is>
      </c>
      <c r="F4582" s="23" t="n">
        <v>46270</v>
      </c>
      <c r="G4582" s="24">
        <f>F4582-DATE(2026,8,31)</f>
        <v>5</v>
      </c>
      <c r="H4582" s="25" t="n">
        <v>58807718</v>
      </c>
      <c r="I4582" t="inlineStr">
        <is>
          <t>entidad-dia</t>
        </is>
      </c>
    </row>
    <row r="4583">
      <c r="A4583" t="inlineStr">
        <is>
          <t>PRAGMA</t>
        </is>
      </c>
      <c r="B4583" t="inlineStr">
        <is>
          <t>M1</t>
        </is>
      </c>
      <c r="C4583" t="inlineStr">
        <is>
          <t>Cali</t>
        </is>
      </c>
      <c r="D4583" t="inlineStr">
        <is>
          <t>791</t>
        </is>
      </c>
      <c r="E4583" t="inlineStr">
        <is>
          <t>pagado</t>
        </is>
      </c>
      <c r="F4583" s="23" t="n">
        <v>46271</v>
      </c>
      <c r="G4583" s="24">
        <f>F4583-DATE(2026,8,31)</f>
        <v>6</v>
      </c>
      <c r="H4583" s="25" t="n">
        <v>25121702</v>
      </c>
      <c r="I4583" t="inlineStr">
        <is>
          <t>entidad-dia</t>
        </is>
      </c>
    </row>
    <row r="4584">
      <c r="A4584" t="inlineStr">
        <is>
          <t>PRAGMA</t>
        </is>
      </c>
      <c r="B4584" t="inlineStr">
        <is>
          <t>M1</t>
        </is>
      </c>
      <c r="C4584" t="inlineStr">
        <is>
          <t>Cali</t>
        </is>
      </c>
      <c r="D4584" t="inlineStr">
        <is>
          <t>791</t>
        </is>
      </c>
      <c r="E4584" t="inlineStr">
        <is>
          <t>pagado</t>
        </is>
      </c>
      <c r="F4584" s="23" t="n">
        <v>46272</v>
      </c>
      <c r="G4584" s="24">
        <f>F4584-DATE(2026,8,31)</f>
        <v>7</v>
      </c>
      <c r="H4584" s="25" t="n">
        <v>57660144</v>
      </c>
      <c r="I4584" t="inlineStr">
        <is>
          <t>entidad-dia</t>
        </is>
      </c>
    </row>
    <row r="4585">
      <c r="A4585" t="inlineStr">
        <is>
          <t>PRAGMA</t>
        </is>
      </c>
      <c r="B4585" t="inlineStr">
        <is>
          <t>M1</t>
        </is>
      </c>
      <c r="C4585" t="inlineStr">
        <is>
          <t>Cali</t>
        </is>
      </c>
      <c r="D4585" t="inlineStr">
        <is>
          <t>791</t>
        </is>
      </c>
      <c r="E4585" t="inlineStr">
        <is>
          <t>pagado</t>
        </is>
      </c>
      <c r="F4585" s="23" t="n">
        <v>46273</v>
      </c>
      <c r="G4585" s="24">
        <f>F4585-DATE(2026,8,31)</f>
        <v>8</v>
      </c>
      <c r="H4585" s="25" t="n">
        <v>62730632</v>
      </c>
      <c r="I4585" t="inlineStr">
        <is>
          <t>entidad-dia</t>
        </is>
      </c>
    </row>
    <row r="4586">
      <c r="A4586" t="inlineStr">
        <is>
          <t>PRAGMA</t>
        </is>
      </c>
      <c r="B4586" t="inlineStr">
        <is>
          <t>M1</t>
        </is>
      </c>
      <c r="C4586" t="inlineStr">
        <is>
          <t>Cali</t>
        </is>
      </c>
      <c r="D4586" t="inlineStr">
        <is>
          <t>791</t>
        </is>
      </c>
      <c r="E4586" t="inlineStr">
        <is>
          <t>pagado</t>
        </is>
      </c>
      <c r="F4586" s="23" t="n">
        <v>46274</v>
      </c>
      <c r="G4586" s="24">
        <f>F4586-DATE(2026,8,31)</f>
        <v>9</v>
      </c>
      <c r="H4586" s="25" t="n">
        <v>62760244</v>
      </c>
      <c r="I4586" t="inlineStr">
        <is>
          <t>entidad-dia</t>
        </is>
      </c>
    </row>
    <row r="4587">
      <c r="A4587" t="inlineStr">
        <is>
          <t>PRAGMA</t>
        </is>
      </c>
      <c r="B4587" t="inlineStr">
        <is>
          <t>M1</t>
        </is>
      </c>
      <c r="C4587" t="inlineStr">
        <is>
          <t>Cali</t>
        </is>
      </c>
      <c r="D4587" t="inlineStr">
        <is>
          <t>791</t>
        </is>
      </c>
      <c r="E4587" t="inlineStr">
        <is>
          <t>pagado</t>
        </is>
      </c>
      <c r="F4587" s="23" t="n">
        <v>46275</v>
      </c>
      <c r="G4587" s="24">
        <f>F4587-DATE(2026,8,31)</f>
        <v>10</v>
      </c>
      <c r="H4587" s="25" t="n">
        <v>61805183</v>
      </c>
      <c r="I4587" t="inlineStr">
        <is>
          <t>entidad-dia</t>
        </is>
      </c>
    </row>
    <row r="4588">
      <c r="A4588" t="inlineStr">
        <is>
          <t>PRAGMA</t>
        </is>
      </c>
      <c r="B4588" t="inlineStr">
        <is>
          <t>M1</t>
        </is>
      </c>
      <c r="C4588" t="inlineStr">
        <is>
          <t>Cali</t>
        </is>
      </c>
      <c r="D4588" t="inlineStr">
        <is>
          <t>791</t>
        </is>
      </c>
      <c r="E4588" t="inlineStr">
        <is>
          <t>pagado</t>
        </is>
      </c>
      <c r="F4588" s="23" t="n">
        <v>46276</v>
      </c>
      <c r="G4588" s="24">
        <f>F4588-DATE(2026,8,31)</f>
        <v>11</v>
      </c>
      <c r="H4588" s="25" t="n">
        <v>62144258</v>
      </c>
      <c r="I4588" t="inlineStr">
        <is>
          <t>entidad-dia</t>
        </is>
      </c>
    </row>
    <row r="4589">
      <c r="A4589" t="inlineStr">
        <is>
          <t>PRAGMA</t>
        </is>
      </c>
      <c r="B4589" t="inlineStr">
        <is>
          <t>M1</t>
        </is>
      </c>
      <c r="C4589" t="inlineStr">
        <is>
          <t>Cali</t>
        </is>
      </c>
      <c r="D4589" t="inlineStr">
        <is>
          <t>791</t>
        </is>
      </c>
      <c r="E4589" t="inlineStr">
        <is>
          <t>pagado</t>
        </is>
      </c>
      <c r="F4589" s="23" t="n">
        <v>46277</v>
      </c>
      <c r="G4589" s="24">
        <f>F4589-DATE(2026,8,31)</f>
        <v>12</v>
      </c>
      <c r="H4589" s="25" t="n">
        <v>37998966</v>
      </c>
      <c r="I4589" t="inlineStr">
        <is>
          <t>entidad-dia</t>
        </is>
      </c>
    </row>
    <row r="4590">
      <c r="A4590" t="inlineStr">
        <is>
          <t>PRAGMA</t>
        </is>
      </c>
      <c r="B4590" t="inlineStr">
        <is>
          <t>M1</t>
        </is>
      </c>
      <c r="C4590" t="inlineStr">
        <is>
          <t>Cali</t>
        </is>
      </c>
      <c r="D4590" t="inlineStr">
        <is>
          <t>791</t>
        </is>
      </c>
      <c r="E4590" t="inlineStr">
        <is>
          <t>pagado</t>
        </is>
      </c>
      <c r="F4590" s="23" t="n">
        <v>46278</v>
      </c>
      <c r="G4590" s="24">
        <f>F4590-DATE(2026,8,31)</f>
        <v>13</v>
      </c>
      <c r="H4590" s="25" t="n">
        <v>21102416</v>
      </c>
      <c r="I4590" t="inlineStr">
        <is>
          <t>entidad-dia</t>
        </is>
      </c>
    </row>
    <row r="4591">
      <c r="A4591" t="inlineStr">
        <is>
          <t>PRAGMA</t>
        </is>
      </c>
      <c r="B4591" t="inlineStr">
        <is>
          <t>M1</t>
        </is>
      </c>
      <c r="C4591" t="inlineStr">
        <is>
          <t>Cali</t>
        </is>
      </c>
      <c r="D4591" t="inlineStr">
        <is>
          <t>791</t>
        </is>
      </c>
      <c r="E4591" t="inlineStr">
        <is>
          <t>pagado</t>
        </is>
      </c>
      <c r="F4591" s="23" t="n">
        <v>46279</v>
      </c>
      <c r="G4591" s="24">
        <f>F4591-DATE(2026,8,31)</f>
        <v>14</v>
      </c>
      <c r="H4591" s="25" t="n">
        <v>62302095</v>
      </c>
      <c r="I4591" t="inlineStr">
        <is>
          <t>entidad-dia</t>
        </is>
      </c>
    </row>
    <row r="4592">
      <c r="A4592" t="inlineStr">
        <is>
          <t>PRAGMA</t>
        </is>
      </c>
      <c r="B4592" t="inlineStr">
        <is>
          <t>M1</t>
        </is>
      </c>
      <c r="C4592" t="inlineStr">
        <is>
          <t>Cali</t>
        </is>
      </c>
      <c r="D4592" t="inlineStr">
        <is>
          <t>791</t>
        </is>
      </c>
      <c r="E4592" t="inlineStr">
        <is>
          <t>pagado</t>
        </is>
      </c>
      <c r="F4592" s="23" t="n">
        <v>46280</v>
      </c>
      <c r="G4592" s="24">
        <f>F4592-DATE(2026,8,31)</f>
        <v>15</v>
      </c>
      <c r="H4592" s="25" t="n">
        <v>102239931</v>
      </c>
      <c r="I4592" t="inlineStr">
        <is>
          <t>entidad-dia</t>
        </is>
      </c>
    </row>
    <row r="4593">
      <c r="A4593" t="inlineStr">
        <is>
          <t>PRAGMA</t>
        </is>
      </c>
      <c r="B4593" t="inlineStr">
        <is>
          <t>M1</t>
        </is>
      </c>
      <c r="C4593" t="inlineStr">
        <is>
          <t>Pasto</t>
        </is>
      </c>
      <c r="D4593" t="inlineStr">
        <is>
          <t>7980</t>
        </is>
      </c>
      <c r="E4593" t="inlineStr">
        <is>
          <t>pagado</t>
        </is>
      </c>
      <c r="F4593" s="23" t="n">
        <v>46266</v>
      </c>
      <c r="G4593" s="24">
        <f>F4593-DATE(2026,8,31)</f>
        <v>1</v>
      </c>
      <c r="H4593" s="25" t="n">
        <v>227648040</v>
      </c>
      <c r="I4593" t="inlineStr">
        <is>
          <t>entidad-dia</t>
        </is>
      </c>
    </row>
    <row r="4594">
      <c r="A4594" t="inlineStr">
        <is>
          <t>PRAGMA</t>
        </is>
      </c>
      <c r="B4594" t="inlineStr">
        <is>
          <t>M1</t>
        </is>
      </c>
      <c r="C4594" t="inlineStr">
        <is>
          <t>Pasto</t>
        </is>
      </c>
      <c r="D4594" t="inlineStr">
        <is>
          <t>7980</t>
        </is>
      </c>
      <c r="E4594" t="inlineStr">
        <is>
          <t>pagado</t>
        </is>
      </c>
      <c r="F4594" s="23" t="n">
        <v>46267</v>
      </c>
      <c r="G4594" s="24">
        <f>F4594-DATE(2026,8,31)</f>
        <v>2</v>
      </c>
      <c r="H4594" s="25" t="n">
        <v>194729522</v>
      </c>
      <c r="I4594" t="inlineStr">
        <is>
          <t>entidad-dia</t>
        </is>
      </c>
    </row>
    <row r="4595">
      <c r="A4595" t="inlineStr">
        <is>
          <t>PRAGMA</t>
        </is>
      </c>
      <c r="B4595" t="inlineStr">
        <is>
          <t>M1</t>
        </is>
      </c>
      <c r="C4595" t="inlineStr">
        <is>
          <t>Pasto</t>
        </is>
      </c>
      <c r="D4595" t="inlineStr">
        <is>
          <t>7980</t>
        </is>
      </c>
      <c r="E4595" t="inlineStr">
        <is>
          <t>pagado</t>
        </is>
      </c>
      <c r="F4595" s="23" t="n">
        <v>46268</v>
      </c>
      <c r="G4595" s="24">
        <f>F4595-DATE(2026,8,31)</f>
        <v>3</v>
      </c>
      <c r="H4595" s="25" t="n">
        <v>178847229</v>
      </c>
      <c r="I4595" t="inlineStr">
        <is>
          <t>entidad-dia</t>
        </is>
      </c>
    </row>
    <row r="4596">
      <c r="A4596" t="inlineStr">
        <is>
          <t>PRAGMA</t>
        </is>
      </c>
      <c r="B4596" t="inlineStr">
        <is>
          <t>M1</t>
        </is>
      </c>
      <c r="C4596" t="inlineStr">
        <is>
          <t>Pasto</t>
        </is>
      </c>
      <c r="D4596" t="inlineStr">
        <is>
          <t>7980</t>
        </is>
      </c>
      <c r="E4596" t="inlineStr">
        <is>
          <t>pagado</t>
        </is>
      </c>
      <c r="F4596" s="23" t="n">
        <v>46269</v>
      </c>
      <c r="G4596" s="24">
        <f>F4596-DATE(2026,8,31)</f>
        <v>4</v>
      </c>
      <c r="H4596" s="25" t="n">
        <v>186989526</v>
      </c>
      <c r="I4596" t="inlineStr">
        <is>
          <t>entidad-dia</t>
        </is>
      </c>
    </row>
    <row r="4597">
      <c r="A4597" t="inlineStr">
        <is>
          <t>PRAGMA</t>
        </is>
      </c>
      <c r="B4597" t="inlineStr">
        <is>
          <t>M1</t>
        </is>
      </c>
      <c r="C4597" t="inlineStr">
        <is>
          <t>Pasto</t>
        </is>
      </c>
      <c r="D4597" t="inlineStr">
        <is>
          <t>7980</t>
        </is>
      </c>
      <c r="E4597" t="inlineStr">
        <is>
          <t>pagado</t>
        </is>
      </c>
      <c r="F4597" s="23" t="n">
        <v>46270</v>
      </c>
      <c r="G4597" s="24">
        <f>F4597-DATE(2026,8,31)</f>
        <v>5</v>
      </c>
      <c r="H4597" s="25" t="n">
        <v>207253486</v>
      </c>
      <c r="I4597" t="inlineStr">
        <is>
          <t>entidad-dia</t>
        </is>
      </c>
    </row>
    <row r="4598">
      <c r="A4598" t="inlineStr">
        <is>
          <t>PRAGMA</t>
        </is>
      </c>
      <c r="B4598" t="inlineStr">
        <is>
          <t>M1</t>
        </is>
      </c>
      <c r="C4598" t="inlineStr">
        <is>
          <t>Pasto</t>
        </is>
      </c>
      <c r="D4598" t="inlineStr">
        <is>
          <t>7980</t>
        </is>
      </c>
      <c r="E4598" t="inlineStr">
        <is>
          <t>pagado</t>
        </is>
      </c>
      <c r="F4598" s="23" t="n">
        <v>46271</v>
      </c>
      <c r="G4598" s="24">
        <f>F4598-DATE(2026,8,31)</f>
        <v>6</v>
      </c>
      <c r="H4598" s="25" t="n">
        <v>154351283</v>
      </c>
      <c r="I4598" t="inlineStr">
        <is>
          <t>entidad-dia</t>
        </is>
      </c>
    </row>
    <row r="4599">
      <c r="A4599" t="inlineStr">
        <is>
          <t>PRAGMA</t>
        </is>
      </c>
      <c r="B4599" t="inlineStr">
        <is>
          <t>M1</t>
        </is>
      </c>
      <c r="C4599" t="inlineStr">
        <is>
          <t>Pasto</t>
        </is>
      </c>
      <c r="D4599" t="inlineStr">
        <is>
          <t>7980</t>
        </is>
      </c>
      <c r="E4599" t="inlineStr">
        <is>
          <t>pagado</t>
        </is>
      </c>
      <c r="F4599" s="23" t="n">
        <v>46272</v>
      </c>
      <c r="G4599" s="24">
        <f>F4599-DATE(2026,8,31)</f>
        <v>7</v>
      </c>
      <c r="H4599" s="25" t="n">
        <v>175001246</v>
      </c>
      <c r="I4599" t="inlineStr">
        <is>
          <t>entidad-dia</t>
        </is>
      </c>
    </row>
    <row r="4600">
      <c r="A4600" t="inlineStr">
        <is>
          <t>PRAGMA</t>
        </is>
      </c>
      <c r="B4600" t="inlineStr">
        <is>
          <t>M1</t>
        </is>
      </c>
      <c r="C4600" t="inlineStr">
        <is>
          <t>Pasto</t>
        </is>
      </c>
      <c r="D4600" t="inlineStr">
        <is>
          <t>7980</t>
        </is>
      </c>
      <c r="E4600" t="inlineStr">
        <is>
          <t>pagado</t>
        </is>
      </c>
      <c r="F4600" s="23" t="n">
        <v>46273</v>
      </c>
      <c r="G4600" s="24">
        <f>F4600-DATE(2026,8,31)</f>
        <v>8</v>
      </c>
      <c r="H4600" s="25" t="n">
        <v>155515743</v>
      </c>
      <c r="I4600" t="inlineStr">
        <is>
          <t>entidad-dia</t>
        </is>
      </c>
    </row>
    <row r="4601">
      <c r="A4601" t="inlineStr">
        <is>
          <t>PRAGMA</t>
        </is>
      </c>
      <c r="B4601" t="inlineStr">
        <is>
          <t>M1</t>
        </is>
      </c>
      <c r="C4601" t="inlineStr">
        <is>
          <t>Pasto</t>
        </is>
      </c>
      <c r="D4601" t="inlineStr">
        <is>
          <t>7980</t>
        </is>
      </c>
      <c r="E4601" t="inlineStr">
        <is>
          <t>pagado</t>
        </is>
      </c>
      <c r="F4601" s="23" t="n">
        <v>46274</v>
      </c>
      <c r="G4601" s="24">
        <f>F4601-DATE(2026,8,31)</f>
        <v>9</v>
      </c>
      <c r="H4601" s="25" t="n">
        <v>145348428</v>
      </c>
      <c r="I4601" t="inlineStr">
        <is>
          <t>entidad-dia</t>
        </is>
      </c>
    </row>
    <row r="4602">
      <c r="A4602" t="inlineStr">
        <is>
          <t>PRAGMA</t>
        </is>
      </c>
      <c r="B4602" t="inlineStr">
        <is>
          <t>M1</t>
        </is>
      </c>
      <c r="C4602" t="inlineStr">
        <is>
          <t>Pasto</t>
        </is>
      </c>
      <c r="D4602" t="inlineStr">
        <is>
          <t>7980</t>
        </is>
      </c>
      <c r="E4602" t="inlineStr">
        <is>
          <t>pagado</t>
        </is>
      </c>
      <c r="F4602" s="23" t="n">
        <v>46275</v>
      </c>
      <c r="G4602" s="24">
        <f>F4602-DATE(2026,8,31)</f>
        <v>10</v>
      </c>
      <c r="H4602" s="25" t="n">
        <v>135483681</v>
      </c>
      <c r="I4602" t="inlineStr">
        <is>
          <t>entidad-dia</t>
        </is>
      </c>
    </row>
    <row r="4603">
      <c r="A4603" t="inlineStr">
        <is>
          <t>PRAGMA</t>
        </is>
      </c>
      <c r="B4603" t="inlineStr">
        <is>
          <t>M1</t>
        </is>
      </c>
      <c r="C4603" t="inlineStr">
        <is>
          <t>Pasto</t>
        </is>
      </c>
      <c r="D4603" t="inlineStr">
        <is>
          <t>7980</t>
        </is>
      </c>
      <c r="E4603" t="inlineStr">
        <is>
          <t>pagado</t>
        </is>
      </c>
      <c r="F4603" s="23" t="n">
        <v>46276</v>
      </c>
      <c r="G4603" s="24">
        <f>F4603-DATE(2026,8,31)</f>
        <v>11</v>
      </c>
      <c r="H4603" s="25" t="n">
        <v>145106550</v>
      </c>
      <c r="I4603" t="inlineStr">
        <is>
          <t>entidad-dia</t>
        </is>
      </c>
    </row>
    <row r="4604">
      <c r="A4604" t="inlineStr">
        <is>
          <t>PRAGMA</t>
        </is>
      </c>
      <c r="B4604" t="inlineStr">
        <is>
          <t>M1</t>
        </is>
      </c>
      <c r="C4604" t="inlineStr">
        <is>
          <t>Pasto</t>
        </is>
      </c>
      <c r="D4604" t="inlineStr">
        <is>
          <t>7980</t>
        </is>
      </c>
      <c r="E4604" t="inlineStr">
        <is>
          <t>pagado</t>
        </is>
      </c>
      <c r="F4604" s="23" t="n">
        <v>46277</v>
      </c>
      <c r="G4604" s="24">
        <f>F4604-DATE(2026,8,31)</f>
        <v>12</v>
      </c>
      <c r="H4604" s="25" t="n">
        <v>163417611</v>
      </c>
      <c r="I4604" t="inlineStr">
        <is>
          <t>entidad-dia</t>
        </is>
      </c>
    </row>
    <row r="4605">
      <c r="A4605" t="inlineStr">
        <is>
          <t>PRAGMA</t>
        </is>
      </c>
      <c r="B4605" t="inlineStr">
        <is>
          <t>M1</t>
        </is>
      </c>
      <c r="C4605" t="inlineStr">
        <is>
          <t>Pasto</t>
        </is>
      </c>
      <c r="D4605" t="inlineStr">
        <is>
          <t>7980</t>
        </is>
      </c>
      <c r="E4605" t="inlineStr">
        <is>
          <t>pagado</t>
        </is>
      </c>
      <c r="F4605" s="23" t="n">
        <v>46278</v>
      </c>
      <c r="G4605" s="24">
        <f>F4605-DATE(2026,8,31)</f>
        <v>13</v>
      </c>
      <c r="H4605" s="25" t="n">
        <v>114110257</v>
      </c>
      <c r="I4605" t="inlineStr">
        <is>
          <t>entidad-dia</t>
        </is>
      </c>
    </row>
    <row r="4606">
      <c r="A4606" t="inlineStr">
        <is>
          <t>PRAGMA</t>
        </is>
      </c>
      <c r="B4606" t="inlineStr">
        <is>
          <t>M1</t>
        </is>
      </c>
      <c r="C4606" t="inlineStr">
        <is>
          <t>Pasto</t>
        </is>
      </c>
      <c r="D4606" t="inlineStr">
        <is>
          <t>7980</t>
        </is>
      </c>
      <c r="E4606" t="inlineStr">
        <is>
          <t>pagado</t>
        </is>
      </c>
      <c r="F4606" s="23" t="n">
        <v>46279</v>
      </c>
      <c r="G4606" s="24">
        <f>F4606-DATE(2026,8,31)</f>
        <v>14</v>
      </c>
      <c r="H4606" s="25" t="n">
        <v>145721352</v>
      </c>
      <c r="I4606" t="inlineStr">
        <is>
          <t>entidad-dia</t>
        </is>
      </c>
    </row>
    <row r="4607">
      <c r="A4607" t="inlineStr">
        <is>
          <t>PRAGMA</t>
        </is>
      </c>
      <c r="B4607" t="inlineStr">
        <is>
          <t>M1</t>
        </is>
      </c>
      <c r="C4607" t="inlineStr">
        <is>
          <t>Pasto</t>
        </is>
      </c>
      <c r="D4607" t="inlineStr">
        <is>
          <t>7980</t>
        </is>
      </c>
      <c r="E4607" t="inlineStr">
        <is>
          <t>pagado</t>
        </is>
      </c>
      <c r="F4607" s="23" t="n">
        <v>46280</v>
      </c>
      <c r="G4607" s="24">
        <f>F4607-DATE(2026,8,31)</f>
        <v>15</v>
      </c>
      <c r="H4607" s="25" t="n">
        <v>167753709</v>
      </c>
      <c r="I4607" t="inlineStr">
        <is>
          <t>entidad-dia</t>
        </is>
      </c>
    </row>
    <row r="4608">
      <c r="A4608" t="inlineStr">
        <is>
          <t>PRAGMA</t>
        </is>
      </c>
      <c r="B4608" t="inlineStr">
        <is>
          <t>M1</t>
        </is>
      </c>
      <c r="C4608" t="inlineStr">
        <is>
          <t>Pasto</t>
        </is>
      </c>
      <c r="D4608" t="inlineStr">
        <is>
          <t>7983</t>
        </is>
      </c>
      <c r="E4608" t="inlineStr">
        <is>
          <t>pagado</t>
        </is>
      </c>
      <c r="F4608" s="23" t="n">
        <v>46266</v>
      </c>
      <c r="G4608" s="24">
        <f>F4608-DATE(2026,8,31)</f>
        <v>1</v>
      </c>
      <c r="H4608" s="25" t="n">
        <v>196292487</v>
      </c>
      <c r="I4608" t="inlineStr">
        <is>
          <t>entidad-dia</t>
        </is>
      </c>
    </row>
    <row r="4609">
      <c r="A4609" t="inlineStr">
        <is>
          <t>PRAGMA</t>
        </is>
      </c>
      <c r="B4609" t="inlineStr">
        <is>
          <t>M1</t>
        </is>
      </c>
      <c r="C4609" t="inlineStr">
        <is>
          <t>Pasto</t>
        </is>
      </c>
      <c r="D4609" t="inlineStr">
        <is>
          <t>7983</t>
        </is>
      </c>
      <c r="E4609" t="inlineStr">
        <is>
          <t>pagado</t>
        </is>
      </c>
      <c r="F4609" s="23" t="n">
        <v>46267</v>
      </c>
      <c r="G4609" s="24">
        <f>F4609-DATE(2026,8,31)</f>
        <v>2</v>
      </c>
      <c r="H4609" s="25" t="n">
        <v>159639000</v>
      </c>
      <c r="I4609" t="inlineStr">
        <is>
          <t>entidad-dia</t>
        </is>
      </c>
    </row>
    <row r="4610">
      <c r="A4610" t="inlineStr">
        <is>
          <t>PRAGMA</t>
        </is>
      </c>
      <c r="B4610" t="inlineStr">
        <is>
          <t>M1</t>
        </is>
      </c>
      <c r="C4610" t="inlineStr">
        <is>
          <t>Pasto</t>
        </is>
      </c>
      <c r="D4610" t="inlineStr">
        <is>
          <t>7983</t>
        </is>
      </c>
      <c r="E4610" t="inlineStr">
        <is>
          <t>pagado</t>
        </is>
      </c>
      <c r="F4610" s="23" t="n">
        <v>46268</v>
      </c>
      <c r="G4610" s="24">
        <f>F4610-DATE(2026,8,31)</f>
        <v>3</v>
      </c>
      <c r="H4610" s="25" t="n">
        <v>145788435</v>
      </c>
      <c r="I4610" t="inlineStr">
        <is>
          <t>entidad-dia</t>
        </is>
      </c>
    </row>
    <row r="4611">
      <c r="A4611" t="inlineStr">
        <is>
          <t>PRAGMA</t>
        </is>
      </c>
      <c r="B4611" t="inlineStr">
        <is>
          <t>M1</t>
        </is>
      </c>
      <c r="C4611" t="inlineStr">
        <is>
          <t>Pasto</t>
        </is>
      </c>
      <c r="D4611" t="inlineStr">
        <is>
          <t>7983</t>
        </is>
      </c>
      <c r="E4611" t="inlineStr">
        <is>
          <t>pagado</t>
        </is>
      </c>
      <c r="F4611" s="23" t="n">
        <v>46269</v>
      </c>
      <c r="G4611" s="24">
        <f>F4611-DATE(2026,8,31)</f>
        <v>4</v>
      </c>
      <c r="H4611" s="25" t="n">
        <v>148799655</v>
      </c>
      <c r="I4611" t="inlineStr">
        <is>
          <t>entidad-dia</t>
        </is>
      </c>
    </row>
    <row r="4612">
      <c r="A4612" t="inlineStr">
        <is>
          <t>PRAGMA</t>
        </is>
      </c>
      <c r="B4612" t="inlineStr">
        <is>
          <t>M1</t>
        </is>
      </c>
      <c r="C4612" t="inlineStr">
        <is>
          <t>Pasto</t>
        </is>
      </c>
      <c r="D4612" t="inlineStr">
        <is>
          <t>7983</t>
        </is>
      </c>
      <c r="E4612" t="inlineStr">
        <is>
          <t>pagado</t>
        </is>
      </c>
      <c r="F4612" s="23" t="n">
        <v>46270</v>
      </c>
      <c r="G4612" s="24">
        <f>F4612-DATE(2026,8,31)</f>
        <v>5</v>
      </c>
      <c r="H4612" s="25" t="n">
        <v>154559664</v>
      </c>
      <c r="I4612" t="inlineStr">
        <is>
          <t>entidad-dia</t>
        </is>
      </c>
    </row>
    <row r="4613">
      <c r="A4613" t="inlineStr">
        <is>
          <t>PRAGMA</t>
        </is>
      </c>
      <c r="B4613" t="inlineStr">
        <is>
          <t>M1</t>
        </is>
      </c>
      <c r="C4613" t="inlineStr">
        <is>
          <t>Pasto</t>
        </is>
      </c>
      <c r="D4613" t="inlineStr">
        <is>
          <t>7983</t>
        </is>
      </c>
      <c r="E4613" t="inlineStr">
        <is>
          <t>pagado</t>
        </is>
      </c>
      <c r="F4613" s="23" t="n">
        <v>46271</v>
      </c>
      <c r="G4613" s="24">
        <f>F4613-DATE(2026,8,31)</f>
        <v>6</v>
      </c>
      <c r="H4613" s="25" t="n">
        <v>80990734</v>
      </c>
      <c r="I4613" t="inlineStr">
        <is>
          <t>entidad-dia</t>
        </is>
      </c>
    </row>
    <row r="4614">
      <c r="A4614" t="inlineStr">
        <is>
          <t>PRAGMA</t>
        </is>
      </c>
      <c r="B4614" t="inlineStr">
        <is>
          <t>M1</t>
        </is>
      </c>
      <c r="C4614" t="inlineStr">
        <is>
          <t>Pasto</t>
        </is>
      </c>
      <c r="D4614" t="inlineStr">
        <is>
          <t>7983</t>
        </is>
      </c>
      <c r="E4614" t="inlineStr">
        <is>
          <t>pagado</t>
        </is>
      </c>
      <c r="F4614" s="23" t="n">
        <v>46272</v>
      </c>
      <c r="G4614" s="24">
        <f>F4614-DATE(2026,8,31)</f>
        <v>7</v>
      </c>
      <c r="H4614" s="25" t="n">
        <v>127038029</v>
      </c>
      <c r="I4614" t="inlineStr">
        <is>
          <t>entidad-dia</t>
        </is>
      </c>
    </row>
    <row r="4615">
      <c r="A4615" t="inlineStr">
        <is>
          <t>PRAGMA</t>
        </is>
      </c>
      <c r="B4615" t="inlineStr">
        <is>
          <t>M1</t>
        </is>
      </c>
      <c r="C4615" t="inlineStr">
        <is>
          <t>Pasto</t>
        </is>
      </c>
      <c r="D4615" t="inlineStr">
        <is>
          <t>7983</t>
        </is>
      </c>
      <c r="E4615" t="inlineStr">
        <is>
          <t>pagado</t>
        </is>
      </c>
      <c r="F4615" s="23" t="n">
        <v>46273</v>
      </c>
      <c r="G4615" s="24">
        <f>F4615-DATE(2026,8,31)</f>
        <v>8</v>
      </c>
      <c r="H4615" s="25" t="n">
        <v>118187775</v>
      </c>
      <c r="I4615" t="inlineStr">
        <is>
          <t>entidad-dia</t>
        </is>
      </c>
    </row>
    <row r="4616">
      <c r="A4616" t="inlineStr">
        <is>
          <t>PRAGMA</t>
        </is>
      </c>
      <c r="B4616" t="inlineStr">
        <is>
          <t>M1</t>
        </is>
      </c>
      <c r="C4616" t="inlineStr">
        <is>
          <t>Pasto</t>
        </is>
      </c>
      <c r="D4616" t="inlineStr">
        <is>
          <t>7983</t>
        </is>
      </c>
      <c r="E4616" t="inlineStr">
        <is>
          <t>pagado</t>
        </is>
      </c>
      <c r="F4616" s="23" t="n">
        <v>46274</v>
      </c>
      <c r="G4616" s="24">
        <f>F4616-DATE(2026,8,31)</f>
        <v>9</v>
      </c>
      <c r="H4616" s="25" t="n">
        <v>116660676</v>
      </c>
      <c r="I4616" t="inlineStr">
        <is>
          <t>entidad-dia</t>
        </is>
      </c>
    </row>
    <row r="4617">
      <c r="A4617" t="inlineStr">
        <is>
          <t>PRAGMA</t>
        </is>
      </c>
      <c r="B4617" t="inlineStr">
        <is>
          <t>M1</t>
        </is>
      </c>
      <c r="C4617" t="inlineStr">
        <is>
          <t>Pasto</t>
        </is>
      </c>
      <c r="D4617" t="inlineStr">
        <is>
          <t>7983</t>
        </is>
      </c>
      <c r="E4617" t="inlineStr">
        <is>
          <t>pagado</t>
        </is>
      </c>
      <c r="F4617" s="23" t="n">
        <v>46275</v>
      </c>
      <c r="G4617" s="24">
        <f>F4617-DATE(2026,8,31)</f>
        <v>10</v>
      </c>
      <c r="H4617" s="25" t="n">
        <v>105941821</v>
      </c>
      <c r="I4617" t="inlineStr">
        <is>
          <t>entidad-dia</t>
        </is>
      </c>
    </row>
    <row r="4618">
      <c r="A4618" t="inlineStr">
        <is>
          <t>PRAGMA</t>
        </is>
      </c>
      <c r="B4618" t="inlineStr">
        <is>
          <t>M1</t>
        </is>
      </c>
      <c r="C4618" t="inlineStr">
        <is>
          <t>Pasto</t>
        </is>
      </c>
      <c r="D4618" t="inlineStr">
        <is>
          <t>7983</t>
        </is>
      </c>
      <c r="E4618" t="inlineStr">
        <is>
          <t>pagado</t>
        </is>
      </c>
      <c r="F4618" s="23" t="n">
        <v>46276</v>
      </c>
      <c r="G4618" s="24">
        <f>F4618-DATE(2026,8,31)</f>
        <v>11</v>
      </c>
      <c r="H4618" s="25" t="n">
        <v>119869280</v>
      </c>
      <c r="I4618" t="inlineStr">
        <is>
          <t>entidad-dia</t>
        </is>
      </c>
    </row>
    <row r="4619">
      <c r="A4619" t="inlineStr">
        <is>
          <t>PRAGMA</t>
        </is>
      </c>
      <c r="B4619" t="inlineStr">
        <is>
          <t>M1</t>
        </is>
      </c>
      <c r="C4619" t="inlineStr">
        <is>
          <t>Pasto</t>
        </is>
      </c>
      <c r="D4619" t="inlineStr">
        <is>
          <t>7983</t>
        </is>
      </c>
      <c r="E4619" t="inlineStr">
        <is>
          <t>pagado</t>
        </is>
      </c>
      <c r="F4619" s="23" t="n">
        <v>46277</v>
      </c>
      <c r="G4619" s="24">
        <f>F4619-DATE(2026,8,31)</f>
        <v>12</v>
      </c>
      <c r="H4619" s="25" t="n">
        <v>121913059</v>
      </c>
      <c r="I4619" t="inlineStr">
        <is>
          <t>entidad-dia</t>
        </is>
      </c>
    </row>
    <row r="4620">
      <c r="A4620" t="inlineStr">
        <is>
          <t>PRAGMA</t>
        </is>
      </c>
      <c r="B4620" t="inlineStr">
        <is>
          <t>M1</t>
        </is>
      </c>
      <c r="C4620" t="inlineStr">
        <is>
          <t>Pasto</t>
        </is>
      </c>
      <c r="D4620" t="inlineStr">
        <is>
          <t>7983</t>
        </is>
      </c>
      <c r="E4620" t="inlineStr">
        <is>
          <t>pagado</t>
        </is>
      </c>
      <c r="F4620" s="23" t="n">
        <v>46278</v>
      </c>
      <c r="G4620" s="24">
        <f>F4620-DATE(2026,8,31)</f>
        <v>13</v>
      </c>
      <c r="H4620" s="25" t="n">
        <v>62558997</v>
      </c>
      <c r="I4620" t="inlineStr">
        <is>
          <t>entidad-dia</t>
        </is>
      </c>
    </row>
    <row r="4621">
      <c r="A4621" t="inlineStr">
        <is>
          <t>PRAGMA</t>
        </is>
      </c>
      <c r="B4621" t="inlineStr">
        <is>
          <t>M1</t>
        </is>
      </c>
      <c r="C4621" t="inlineStr">
        <is>
          <t>Pasto</t>
        </is>
      </c>
      <c r="D4621" t="inlineStr">
        <is>
          <t>7983</t>
        </is>
      </c>
      <c r="E4621" t="inlineStr">
        <is>
          <t>pagado</t>
        </is>
      </c>
      <c r="F4621" s="23" t="n">
        <v>46279</v>
      </c>
      <c r="G4621" s="24">
        <f>F4621-DATE(2026,8,31)</f>
        <v>14</v>
      </c>
      <c r="H4621" s="25" t="n">
        <v>100404986</v>
      </c>
      <c r="I4621" t="inlineStr">
        <is>
          <t>entidad-dia</t>
        </is>
      </c>
    </row>
    <row r="4622">
      <c r="A4622" t="inlineStr">
        <is>
          <t>PRAGMA</t>
        </is>
      </c>
      <c r="B4622" t="inlineStr">
        <is>
          <t>M1</t>
        </is>
      </c>
      <c r="C4622" t="inlineStr">
        <is>
          <t>Pasto</t>
        </is>
      </c>
      <c r="D4622" t="inlineStr">
        <is>
          <t>7983</t>
        </is>
      </c>
      <c r="E4622" t="inlineStr">
        <is>
          <t>pagado</t>
        </is>
      </c>
      <c r="F4622" s="23" t="n">
        <v>46280</v>
      </c>
      <c r="G4622" s="24">
        <f>F4622-DATE(2026,8,31)</f>
        <v>15</v>
      </c>
      <c r="H4622" s="25" t="n">
        <v>129056357</v>
      </c>
      <c r="I4622" t="inlineStr">
        <is>
          <t>entidad-dia</t>
        </is>
      </c>
    </row>
    <row r="4623">
      <c r="A4623" t="inlineStr">
        <is>
          <t>PRAGMA</t>
        </is>
      </c>
      <c r="B4623" t="inlineStr">
        <is>
          <t>M1</t>
        </is>
      </c>
      <c r="C4623" t="inlineStr">
        <is>
          <t>Cali</t>
        </is>
      </c>
      <c r="D4623" t="inlineStr">
        <is>
          <t>7987</t>
        </is>
      </c>
      <c r="E4623" t="inlineStr">
        <is>
          <t>pagado</t>
        </is>
      </c>
      <c r="F4623" s="23" t="n">
        <v>46266</v>
      </c>
      <c r="G4623" s="24">
        <f>F4623-DATE(2026,8,31)</f>
        <v>1</v>
      </c>
      <c r="H4623" s="25" t="n">
        <v>124907031</v>
      </c>
      <c r="I4623" t="inlineStr">
        <is>
          <t>entidad-dia</t>
        </is>
      </c>
    </row>
    <row r="4624">
      <c r="A4624" t="inlineStr">
        <is>
          <t>PRAGMA</t>
        </is>
      </c>
      <c r="B4624" t="inlineStr">
        <is>
          <t>M1</t>
        </is>
      </c>
      <c r="C4624" t="inlineStr">
        <is>
          <t>Cali</t>
        </is>
      </c>
      <c r="D4624" t="inlineStr">
        <is>
          <t>7987</t>
        </is>
      </c>
      <c r="E4624" t="inlineStr">
        <is>
          <t>pagado</t>
        </is>
      </c>
      <c r="F4624" s="23" t="n">
        <v>46267</v>
      </c>
      <c r="G4624" s="24">
        <f>F4624-DATE(2026,8,31)</f>
        <v>2</v>
      </c>
      <c r="H4624" s="25" t="n">
        <v>97305518</v>
      </c>
      <c r="I4624" t="inlineStr">
        <is>
          <t>entidad-dia</t>
        </is>
      </c>
    </row>
    <row r="4625">
      <c r="A4625" t="inlineStr">
        <is>
          <t>PRAGMA</t>
        </is>
      </c>
      <c r="B4625" t="inlineStr">
        <is>
          <t>M1</t>
        </is>
      </c>
      <c r="C4625" t="inlineStr">
        <is>
          <t>Cali</t>
        </is>
      </c>
      <c r="D4625" t="inlineStr">
        <is>
          <t>7987</t>
        </is>
      </c>
      <c r="E4625" t="inlineStr">
        <is>
          <t>pagado</t>
        </is>
      </c>
      <c r="F4625" s="23" t="n">
        <v>46268</v>
      </c>
      <c r="G4625" s="24">
        <f>F4625-DATE(2026,8,31)</f>
        <v>3</v>
      </c>
      <c r="H4625" s="25" t="n">
        <v>88873530</v>
      </c>
      <c r="I4625" t="inlineStr">
        <is>
          <t>entidad-dia</t>
        </is>
      </c>
    </row>
    <row r="4626">
      <c r="A4626" t="inlineStr">
        <is>
          <t>PRAGMA</t>
        </is>
      </c>
      <c r="B4626" t="inlineStr">
        <is>
          <t>M1</t>
        </is>
      </c>
      <c r="C4626" t="inlineStr">
        <is>
          <t>Cali</t>
        </is>
      </c>
      <c r="D4626" t="inlineStr">
        <is>
          <t>7987</t>
        </is>
      </c>
      <c r="E4626" t="inlineStr">
        <is>
          <t>pagado</t>
        </is>
      </c>
      <c r="F4626" s="23" t="n">
        <v>46269</v>
      </c>
      <c r="G4626" s="24">
        <f>F4626-DATE(2026,8,31)</f>
        <v>4</v>
      </c>
      <c r="H4626" s="25" t="n">
        <v>88325396</v>
      </c>
      <c r="I4626" t="inlineStr">
        <is>
          <t>entidad-dia</t>
        </is>
      </c>
    </row>
    <row r="4627">
      <c r="A4627" t="inlineStr">
        <is>
          <t>PRAGMA</t>
        </is>
      </c>
      <c r="B4627" t="inlineStr">
        <is>
          <t>M1</t>
        </is>
      </c>
      <c r="C4627" t="inlineStr">
        <is>
          <t>Cali</t>
        </is>
      </c>
      <c r="D4627" t="inlineStr">
        <is>
          <t>7987</t>
        </is>
      </c>
      <c r="E4627" t="inlineStr">
        <is>
          <t>pagado</t>
        </is>
      </c>
      <c r="F4627" s="23" t="n">
        <v>46270</v>
      </c>
      <c r="G4627" s="24">
        <f>F4627-DATE(2026,8,31)</f>
        <v>5</v>
      </c>
      <c r="H4627" s="25" t="n">
        <v>94885338</v>
      </c>
      <c r="I4627" t="inlineStr">
        <is>
          <t>entidad-dia</t>
        </is>
      </c>
    </row>
    <row r="4628">
      <c r="A4628" t="inlineStr">
        <is>
          <t>PRAGMA</t>
        </is>
      </c>
      <c r="B4628" t="inlineStr">
        <is>
          <t>M1</t>
        </is>
      </c>
      <c r="C4628" t="inlineStr">
        <is>
          <t>Cali</t>
        </is>
      </c>
      <c r="D4628" t="inlineStr">
        <is>
          <t>7987</t>
        </is>
      </c>
      <c r="E4628" t="inlineStr">
        <is>
          <t>pagado</t>
        </is>
      </c>
      <c r="F4628" s="23" t="n">
        <v>46271</v>
      </c>
      <c r="G4628" s="24">
        <f>F4628-DATE(2026,8,31)</f>
        <v>6</v>
      </c>
      <c r="H4628" s="25" t="n">
        <v>61627222</v>
      </c>
      <c r="I4628" t="inlineStr">
        <is>
          <t>entidad-dia</t>
        </is>
      </c>
    </row>
    <row r="4629">
      <c r="A4629" t="inlineStr">
        <is>
          <t>PRAGMA</t>
        </is>
      </c>
      <c r="B4629" t="inlineStr">
        <is>
          <t>M1</t>
        </is>
      </c>
      <c r="C4629" t="inlineStr">
        <is>
          <t>Cali</t>
        </is>
      </c>
      <c r="D4629" t="inlineStr">
        <is>
          <t>7987</t>
        </is>
      </c>
      <c r="E4629" t="inlineStr">
        <is>
          <t>pagado</t>
        </is>
      </c>
      <c r="F4629" s="23" t="n">
        <v>46272</v>
      </c>
      <c r="G4629" s="24">
        <f>F4629-DATE(2026,8,31)</f>
        <v>7</v>
      </c>
      <c r="H4629" s="25" t="n">
        <v>67234230</v>
      </c>
      <c r="I4629" t="inlineStr">
        <is>
          <t>entidad-dia</t>
        </is>
      </c>
    </row>
    <row r="4630">
      <c r="A4630" t="inlineStr">
        <is>
          <t>PRAGMA</t>
        </is>
      </c>
      <c r="B4630" t="inlineStr">
        <is>
          <t>M1</t>
        </is>
      </c>
      <c r="C4630" t="inlineStr">
        <is>
          <t>Cali</t>
        </is>
      </c>
      <c r="D4630" t="inlineStr">
        <is>
          <t>7987</t>
        </is>
      </c>
      <c r="E4630" t="inlineStr">
        <is>
          <t>pagado</t>
        </is>
      </c>
      <c r="F4630" s="23" t="n">
        <v>46273</v>
      </c>
      <c r="G4630" s="24">
        <f>F4630-DATE(2026,8,31)</f>
        <v>8</v>
      </c>
      <c r="H4630" s="25" t="n">
        <v>65321045</v>
      </c>
      <c r="I4630" t="inlineStr">
        <is>
          <t>entidad-dia</t>
        </is>
      </c>
    </row>
    <row r="4631">
      <c r="A4631" t="inlineStr">
        <is>
          <t>PRAGMA</t>
        </is>
      </c>
      <c r="B4631" t="inlineStr">
        <is>
          <t>M1</t>
        </is>
      </c>
      <c r="C4631" t="inlineStr">
        <is>
          <t>Cali</t>
        </is>
      </c>
      <c r="D4631" t="inlineStr">
        <is>
          <t>7987</t>
        </is>
      </c>
      <c r="E4631" t="inlineStr">
        <is>
          <t>pagado</t>
        </is>
      </c>
      <c r="F4631" s="23" t="n">
        <v>46274</v>
      </c>
      <c r="G4631" s="24">
        <f>F4631-DATE(2026,8,31)</f>
        <v>9</v>
      </c>
      <c r="H4631" s="25" t="n">
        <v>64414984</v>
      </c>
      <c r="I4631" t="inlineStr">
        <is>
          <t>entidad-dia</t>
        </is>
      </c>
    </row>
    <row r="4632">
      <c r="A4632" t="inlineStr">
        <is>
          <t>PRAGMA</t>
        </is>
      </c>
      <c r="B4632" t="inlineStr">
        <is>
          <t>M1</t>
        </is>
      </c>
      <c r="C4632" t="inlineStr">
        <is>
          <t>Cali</t>
        </is>
      </c>
      <c r="D4632" t="inlineStr">
        <is>
          <t>7987</t>
        </is>
      </c>
      <c r="E4632" t="inlineStr">
        <is>
          <t>pagado</t>
        </is>
      </c>
      <c r="F4632" s="23" t="n">
        <v>46275</v>
      </c>
      <c r="G4632" s="24">
        <f>F4632-DATE(2026,8,31)</f>
        <v>10</v>
      </c>
      <c r="H4632" s="25" t="n">
        <v>59089224</v>
      </c>
      <c r="I4632" t="inlineStr">
        <is>
          <t>entidad-dia</t>
        </is>
      </c>
    </row>
    <row r="4633">
      <c r="A4633" t="inlineStr">
        <is>
          <t>PRAGMA</t>
        </is>
      </c>
      <c r="B4633" t="inlineStr">
        <is>
          <t>M1</t>
        </is>
      </c>
      <c r="C4633" t="inlineStr">
        <is>
          <t>Cali</t>
        </is>
      </c>
      <c r="D4633" t="inlineStr">
        <is>
          <t>7987</t>
        </is>
      </c>
      <c r="E4633" t="inlineStr">
        <is>
          <t>pagado</t>
        </is>
      </c>
      <c r="F4633" s="23" t="n">
        <v>46276</v>
      </c>
      <c r="G4633" s="24">
        <f>F4633-DATE(2026,8,31)</f>
        <v>11</v>
      </c>
      <c r="H4633" s="25" t="n">
        <v>63724125</v>
      </c>
      <c r="I4633" t="inlineStr">
        <is>
          <t>entidad-dia</t>
        </is>
      </c>
    </row>
    <row r="4634">
      <c r="A4634" t="inlineStr">
        <is>
          <t>PRAGMA</t>
        </is>
      </c>
      <c r="B4634" t="inlineStr">
        <is>
          <t>M1</t>
        </is>
      </c>
      <c r="C4634" t="inlineStr">
        <is>
          <t>Cali</t>
        </is>
      </c>
      <c r="D4634" t="inlineStr">
        <is>
          <t>7987</t>
        </is>
      </c>
      <c r="E4634" t="inlineStr">
        <is>
          <t>pagado</t>
        </is>
      </c>
      <c r="F4634" s="23" t="n">
        <v>46277</v>
      </c>
      <c r="G4634" s="24">
        <f>F4634-DATE(2026,8,31)</f>
        <v>12</v>
      </c>
      <c r="H4634" s="25" t="n">
        <v>67562334</v>
      </c>
      <c r="I4634" t="inlineStr">
        <is>
          <t>entidad-dia</t>
        </is>
      </c>
    </row>
    <row r="4635">
      <c r="A4635" t="inlineStr">
        <is>
          <t>PRAGMA</t>
        </is>
      </c>
      <c r="B4635" t="inlineStr">
        <is>
          <t>M1</t>
        </is>
      </c>
      <c r="C4635" t="inlineStr">
        <is>
          <t>Cali</t>
        </is>
      </c>
      <c r="D4635" t="inlineStr">
        <is>
          <t>7987</t>
        </is>
      </c>
      <c r="E4635" t="inlineStr">
        <is>
          <t>pagado</t>
        </is>
      </c>
      <c r="F4635" s="23" t="n">
        <v>46278</v>
      </c>
      <c r="G4635" s="24">
        <f>F4635-DATE(2026,8,31)</f>
        <v>13</v>
      </c>
      <c r="H4635" s="25" t="n">
        <v>46589169</v>
      </c>
      <c r="I4635" t="inlineStr">
        <is>
          <t>entidad-dia</t>
        </is>
      </c>
    </row>
    <row r="4636">
      <c r="A4636" t="inlineStr">
        <is>
          <t>PRAGMA</t>
        </is>
      </c>
      <c r="B4636" t="inlineStr">
        <is>
          <t>M1</t>
        </is>
      </c>
      <c r="C4636" t="inlineStr">
        <is>
          <t>Cali</t>
        </is>
      </c>
      <c r="D4636" t="inlineStr">
        <is>
          <t>7987</t>
        </is>
      </c>
      <c r="E4636" t="inlineStr">
        <is>
          <t>pagado</t>
        </is>
      </c>
      <c r="F4636" s="23" t="n">
        <v>46279</v>
      </c>
      <c r="G4636" s="24">
        <f>F4636-DATE(2026,8,31)</f>
        <v>14</v>
      </c>
      <c r="H4636" s="25" t="n">
        <v>59586633</v>
      </c>
      <c r="I4636" t="inlineStr">
        <is>
          <t>entidad-dia</t>
        </is>
      </c>
    </row>
    <row r="4637">
      <c r="A4637" t="inlineStr">
        <is>
          <t>PRAGMA</t>
        </is>
      </c>
      <c r="B4637" t="inlineStr">
        <is>
          <t>M1</t>
        </is>
      </c>
      <c r="C4637" t="inlineStr">
        <is>
          <t>Cali</t>
        </is>
      </c>
      <c r="D4637" t="inlineStr">
        <is>
          <t>7987</t>
        </is>
      </c>
      <c r="E4637" t="inlineStr">
        <is>
          <t>pagado</t>
        </is>
      </c>
      <c r="F4637" s="23" t="n">
        <v>46280</v>
      </c>
      <c r="G4637" s="24">
        <f>F4637-DATE(2026,8,31)</f>
        <v>15</v>
      </c>
      <c r="H4637" s="25" t="n">
        <v>87617880</v>
      </c>
      <c r="I4637" t="inlineStr">
        <is>
          <t>entidad-dia</t>
        </is>
      </c>
    </row>
    <row r="4638">
      <c r="A4638" t="inlineStr">
        <is>
          <t>PRAGMA</t>
        </is>
      </c>
      <c r="B4638" t="inlineStr">
        <is>
          <t>M1</t>
        </is>
      </c>
      <c r="C4638" t="inlineStr">
        <is>
          <t>Cali</t>
        </is>
      </c>
      <c r="D4638" t="inlineStr">
        <is>
          <t>7988</t>
        </is>
      </c>
      <c r="E4638" t="inlineStr">
        <is>
          <t>pagado</t>
        </is>
      </c>
      <c r="F4638" s="23" t="n">
        <v>46266</v>
      </c>
      <c r="G4638" s="24">
        <f>F4638-DATE(2026,8,31)</f>
        <v>1</v>
      </c>
      <c r="H4638" s="25" t="n">
        <v>134349791</v>
      </c>
      <c r="I4638" t="inlineStr">
        <is>
          <t>entidad-dia</t>
        </is>
      </c>
    </row>
    <row r="4639">
      <c r="A4639" t="inlineStr">
        <is>
          <t>PRAGMA</t>
        </is>
      </c>
      <c r="B4639" t="inlineStr">
        <is>
          <t>M1</t>
        </is>
      </c>
      <c r="C4639" t="inlineStr">
        <is>
          <t>Cali</t>
        </is>
      </c>
      <c r="D4639" t="inlineStr">
        <is>
          <t>7988</t>
        </is>
      </c>
      <c r="E4639" t="inlineStr">
        <is>
          <t>pagado</t>
        </is>
      </c>
      <c r="F4639" s="23" t="n">
        <v>46267</v>
      </c>
      <c r="G4639" s="24">
        <f>F4639-DATE(2026,8,31)</f>
        <v>2</v>
      </c>
      <c r="H4639" s="25" t="n">
        <v>113085141</v>
      </c>
      <c r="I4639" t="inlineStr">
        <is>
          <t>entidad-dia</t>
        </is>
      </c>
    </row>
    <row r="4640">
      <c r="A4640" t="inlineStr">
        <is>
          <t>PRAGMA</t>
        </is>
      </c>
      <c r="B4640" t="inlineStr">
        <is>
          <t>M1</t>
        </is>
      </c>
      <c r="C4640" t="inlineStr">
        <is>
          <t>Cali</t>
        </is>
      </c>
      <c r="D4640" t="inlineStr">
        <is>
          <t>7988</t>
        </is>
      </c>
      <c r="E4640" t="inlineStr">
        <is>
          <t>pagado</t>
        </is>
      </c>
      <c r="F4640" s="23" t="n">
        <v>46268</v>
      </c>
      <c r="G4640" s="24">
        <f>F4640-DATE(2026,8,31)</f>
        <v>3</v>
      </c>
      <c r="H4640" s="25" t="n">
        <v>108913055</v>
      </c>
      <c r="I4640" t="inlineStr">
        <is>
          <t>entidad-dia</t>
        </is>
      </c>
    </row>
    <row r="4641">
      <c r="A4641" t="inlineStr">
        <is>
          <t>PRAGMA</t>
        </is>
      </c>
      <c r="B4641" t="inlineStr">
        <is>
          <t>M1</t>
        </is>
      </c>
      <c r="C4641" t="inlineStr">
        <is>
          <t>Cali</t>
        </is>
      </c>
      <c r="D4641" t="inlineStr">
        <is>
          <t>7988</t>
        </is>
      </c>
      <c r="E4641" t="inlineStr">
        <is>
          <t>pagado</t>
        </is>
      </c>
      <c r="F4641" s="23" t="n">
        <v>46269</v>
      </c>
      <c r="G4641" s="24">
        <f>F4641-DATE(2026,8,31)</f>
        <v>4</v>
      </c>
      <c r="H4641" s="25" t="n">
        <v>103675155</v>
      </c>
      <c r="I4641" t="inlineStr">
        <is>
          <t>entidad-dia</t>
        </is>
      </c>
    </row>
    <row r="4642">
      <c r="A4642" t="inlineStr">
        <is>
          <t>PRAGMA</t>
        </is>
      </c>
      <c r="B4642" t="inlineStr">
        <is>
          <t>M1</t>
        </is>
      </c>
      <c r="C4642" t="inlineStr">
        <is>
          <t>Cali</t>
        </is>
      </c>
      <c r="D4642" t="inlineStr">
        <is>
          <t>7988</t>
        </is>
      </c>
      <c r="E4642" t="inlineStr">
        <is>
          <t>pagado</t>
        </is>
      </c>
      <c r="F4642" s="23" t="n">
        <v>46270</v>
      </c>
      <c r="G4642" s="24">
        <f>F4642-DATE(2026,8,31)</f>
        <v>5</v>
      </c>
      <c r="H4642" s="25" t="n">
        <v>86172038</v>
      </c>
      <c r="I4642" t="inlineStr">
        <is>
          <t>entidad-dia</t>
        </is>
      </c>
    </row>
    <row r="4643">
      <c r="A4643" t="inlineStr">
        <is>
          <t>PRAGMA</t>
        </is>
      </c>
      <c r="B4643" t="inlineStr">
        <is>
          <t>M1</t>
        </is>
      </c>
      <c r="C4643" t="inlineStr">
        <is>
          <t>Cali</t>
        </is>
      </c>
      <c r="D4643" t="inlineStr">
        <is>
          <t>7988</t>
        </is>
      </c>
      <c r="E4643" t="inlineStr">
        <is>
          <t>pagado</t>
        </is>
      </c>
      <c r="F4643" s="23" t="n">
        <v>46271</v>
      </c>
      <c r="G4643" s="24">
        <f>F4643-DATE(2026,8,31)</f>
        <v>6</v>
      </c>
      <c r="H4643" s="25" t="n">
        <v>21018597</v>
      </c>
      <c r="I4643" t="inlineStr">
        <is>
          <t>entidad-dia</t>
        </is>
      </c>
    </row>
    <row r="4644">
      <c r="A4644" t="inlineStr">
        <is>
          <t>PRAGMA</t>
        </is>
      </c>
      <c r="B4644" t="inlineStr">
        <is>
          <t>M1</t>
        </is>
      </c>
      <c r="C4644" t="inlineStr">
        <is>
          <t>Cali</t>
        </is>
      </c>
      <c r="D4644" t="inlineStr">
        <is>
          <t>7988</t>
        </is>
      </c>
      <c r="E4644" t="inlineStr">
        <is>
          <t>pagado</t>
        </is>
      </c>
      <c r="F4644" s="23" t="n">
        <v>46272</v>
      </c>
      <c r="G4644" s="24">
        <f>F4644-DATE(2026,8,31)</f>
        <v>7</v>
      </c>
      <c r="H4644" s="25" t="n">
        <v>71684837</v>
      </c>
      <c r="I4644" t="inlineStr">
        <is>
          <t>entidad-dia</t>
        </is>
      </c>
    </row>
    <row r="4645">
      <c r="A4645" t="inlineStr">
        <is>
          <t>PRAGMA</t>
        </is>
      </c>
      <c r="B4645" t="inlineStr">
        <is>
          <t>M1</t>
        </is>
      </c>
      <c r="C4645" t="inlineStr">
        <is>
          <t>Cali</t>
        </is>
      </c>
      <c r="D4645" t="inlineStr">
        <is>
          <t>7988</t>
        </is>
      </c>
      <c r="E4645" t="inlineStr">
        <is>
          <t>pagado</t>
        </is>
      </c>
      <c r="F4645" s="23" t="n">
        <v>46273</v>
      </c>
      <c r="G4645" s="24">
        <f>F4645-DATE(2026,8,31)</f>
        <v>8</v>
      </c>
      <c r="H4645" s="25" t="n">
        <v>76163152</v>
      </c>
      <c r="I4645" t="inlineStr">
        <is>
          <t>entidad-dia</t>
        </is>
      </c>
    </row>
    <row r="4646">
      <c r="A4646" t="inlineStr">
        <is>
          <t>PRAGMA</t>
        </is>
      </c>
      <c r="B4646" t="inlineStr">
        <is>
          <t>M1</t>
        </is>
      </c>
      <c r="C4646" t="inlineStr">
        <is>
          <t>Cali</t>
        </is>
      </c>
      <c r="D4646" t="inlineStr">
        <is>
          <t>7988</t>
        </is>
      </c>
      <c r="E4646" t="inlineStr">
        <is>
          <t>pagado</t>
        </is>
      </c>
      <c r="F4646" s="23" t="n">
        <v>46274</v>
      </c>
      <c r="G4646" s="24">
        <f>F4646-DATE(2026,8,31)</f>
        <v>9</v>
      </c>
      <c r="H4646" s="25" t="n">
        <v>67338409</v>
      </c>
      <c r="I4646" t="inlineStr">
        <is>
          <t>entidad-dia</t>
        </is>
      </c>
    </row>
    <row r="4647">
      <c r="A4647" t="inlineStr">
        <is>
          <t>PRAGMA</t>
        </is>
      </c>
      <c r="B4647" t="inlineStr">
        <is>
          <t>M1</t>
        </is>
      </c>
      <c r="C4647" t="inlineStr">
        <is>
          <t>Cali</t>
        </is>
      </c>
      <c r="D4647" t="inlineStr">
        <is>
          <t>7988</t>
        </is>
      </c>
      <c r="E4647" t="inlineStr">
        <is>
          <t>pagado</t>
        </is>
      </c>
      <c r="F4647" s="23" t="n">
        <v>46275</v>
      </c>
      <c r="G4647" s="24">
        <f>F4647-DATE(2026,8,31)</f>
        <v>10</v>
      </c>
      <c r="H4647" s="25" t="n">
        <v>81194858</v>
      </c>
      <c r="I4647" t="inlineStr">
        <is>
          <t>entidad-dia</t>
        </is>
      </c>
    </row>
    <row r="4648">
      <c r="A4648" t="inlineStr">
        <is>
          <t>PRAGMA</t>
        </is>
      </c>
      <c r="B4648" t="inlineStr">
        <is>
          <t>M1</t>
        </is>
      </c>
      <c r="C4648" t="inlineStr">
        <is>
          <t>Cali</t>
        </is>
      </c>
      <c r="D4648" t="inlineStr">
        <is>
          <t>7988</t>
        </is>
      </c>
      <c r="E4648" t="inlineStr">
        <is>
          <t>pagado</t>
        </is>
      </c>
      <c r="F4648" s="23" t="n">
        <v>46276</v>
      </c>
      <c r="G4648" s="24">
        <f>F4648-DATE(2026,8,31)</f>
        <v>11</v>
      </c>
      <c r="H4648" s="25" t="n">
        <v>78521383</v>
      </c>
      <c r="I4648" t="inlineStr">
        <is>
          <t>entidad-dia</t>
        </is>
      </c>
    </row>
    <row r="4649">
      <c r="A4649" t="inlineStr">
        <is>
          <t>PRAGMA</t>
        </is>
      </c>
      <c r="B4649" t="inlineStr">
        <is>
          <t>M1</t>
        </is>
      </c>
      <c r="C4649" t="inlineStr">
        <is>
          <t>Cali</t>
        </is>
      </c>
      <c r="D4649" t="inlineStr">
        <is>
          <t>7988</t>
        </is>
      </c>
      <c r="E4649" t="inlineStr">
        <is>
          <t>pagado</t>
        </is>
      </c>
      <c r="F4649" s="23" t="n">
        <v>46277</v>
      </c>
      <c r="G4649" s="24">
        <f>F4649-DATE(2026,8,31)</f>
        <v>12</v>
      </c>
      <c r="H4649" s="25" t="n">
        <v>69288338</v>
      </c>
      <c r="I4649" t="inlineStr">
        <is>
          <t>entidad-dia</t>
        </is>
      </c>
    </row>
    <row r="4650">
      <c r="A4650" t="inlineStr">
        <is>
          <t>PRAGMA</t>
        </is>
      </c>
      <c r="B4650" t="inlineStr">
        <is>
          <t>M1</t>
        </is>
      </c>
      <c r="C4650" t="inlineStr">
        <is>
          <t>Cali</t>
        </is>
      </c>
      <c r="D4650" t="inlineStr">
        <is>
          <t>7988</t>
        </is>
      </c>
      <c r="E4650" t="inlineStr">
        <is>
          <t>pagado</t>
        </is>
      </c>
      <c r="F4650" s="23" t="n">
        <v>46278</v>
      </c>
      <c r="G4650" s="24">
        <f>F4650-DATE(2026,8,31)</f>
        <v>13</v>
      </c>
      <c r="H4650" s="25" t="n">
        <v>18899384</v>
      </c>
      <c r="I4650" t="inlineStr">
        <is>
          <t>entidad-dia</t>
        </is>
      </c>
    </row>
    <row r="4651">
      <c r="A4651" t="inlineStr">
        <is>
          <t>PRAGMA</t>
        </is>
      </c>
      <c r="B4651" t="inlineStr">
        <is>
          <t>M1</t>
        </is>
      </c>
      <c r="C4651" t="inlineStr">
        <is>
          <t>Cali</t>
        </is>
      </c>
      <c r="D4651" t="inlineStr">
        <is>
          <t>7988</t>
        </is>
      </c>
      <c r="E4651" t="inlineStr">
        <is>
          <t>pagado</t>
        </is>
      </c>
      <c r="F4651" s="23" t="n">
        <v>46279</v>
      </c>
      <c r="G4651" s="24">
        <f>F4651-DATE(2026,8,31)</f>
        <v>14</v>
      </c>
      <c r="H4651" s="25" t="n">
        <v>63574155</v>
      </c>
      <c r="I4651" t="inlineStr">
        <is>
          <t>entidad-dia</t>
        </is>
      </c>
    </row>
    <row r="4652">
      <c r="A4652" t="inlineStr">
        <is>
          <t>PRAGMA</t>
        </is>
      </c>
      <c r="B4652" t="inlineStr">
        <is>
          <t>M1</t>
        </is>
      </c>
      <c r="C4652" t="inlineStr">
        <is>
          <t>Cali</t>
        </is>
      </c>
      <c r="D4652" t="inlineStr">
        <is>
          <t>7988</t>
        </is>
      </c>
      <c r="E4652" t="inlineStr">
        <is>
          <t>pagado</t>
        </is>
      </c>
      <c r="F4652" s="23" t="n">
        <v>46280</v>
      </c>
      <c r="G4652" s="24">
        <f>F4652-DATE(2026,8,31)</f>
        <v>15</v>
      </c>
      <c r="H4652" s="25" t="n">
        <v>112637554</v>
      </c>
      <c r="I4652" t="inlineStr">
        <is>
          <t>entidad-dia</t>
        </is>
      </c>
    </row>
    <row r="4653">
      <c r="A4653" t="inlineStr">
        <is>
          <t>PRAGMA</t>
        </is>
      </c>
      <c r="B4653" t="inlineStr">
        <is>
          <t>M1</t>
        </is>
      </c>
      <c r="C4653" t="inlineStr">
        <is>
          <t>Cali</t>
        </is>
      </c>
      <c r="D4653" t="inlineStr">
        <is>
          <t>8025</t>
        </is>
      </c>
      <c r="E4653" t="inlineStr">
        <is>
          <t>pagado</t>
        </is>
      </c>
      <c r="F4653" s="23" t="n">
        <v>46266</v>
      </c>
      <c r="G4653" s="24">
        <f>F4653-DATE(2026,8,31)</f>
        <v>1</v>
      </c>
      <c r="H4653" s="25" t="n">
        <v>32787262</v>
      </c>
      <c r="I4653" t="inlineStr">
        <is>
          <t>entidad-dia</t>
        </is>
      </c>
    </row>
    <row r="4654">
      <c r="A4654" t="inlineStr">
        <is>
          <t>PRAGMA</t>
        </is>
      </c>
      <c r="B4654" t="inlineStr">
        <is>
          <t>M1</t>
        </is>
      </c>
      <c r="C4654" t="inlineStr">
        <is>
          <t>Cali</t>
        </is>
      </c>
      <c r="D4654" t="inlineStr">
        <is>
          <t>8025</t>
        </is>
      </c>
      <c r="E4654" t="inlineStr">
        <is>
          <t>pagado</t>
        </is>
      </c>
      <c r="F4654" s="23" t="n">
        <v>46267</v>
      </c>
      <c r="G4654" s="24">
        <f>F4654-DATE(2026,8,31)</f>
        <v>2</v>
      </c>
      <c r="H4654" s="25" t="n">
        <v>19680072</v>
      </c>
      <c r="I4654" t="inlineStr">
        <is>
          <t>entidad-dia</t>
        </is>
      </c>
    </row>
    <row r="4655">
      <c r="A4655" t="inlineStr">
        <is>
          <t>PRAGMA</t>
        </is>
      </c>
      <c r="B4655" t="inlineStr">
        <is>
          <t>M1</t>
        </is>
      </c>
      <c r="C4655" t="inlineStr">
        <is>
          <t>Cali</t>
        </is>
      </c>
      <c r="D4655" t="inlineStr">
        <is>
          <t>8025</t>
        </is>
      </c>
      <c r="E4655" t="inlineStr">
        <is>
          <t>pagado</t>
        </is>
      </c>
      <c r="F4655" s="23" t="n">
        <v>46268</v>
      </c>
      <c r="G4655" s="24">
        <f>F4655-DATE(2026,8,31)</f>
        <v>3</v>
      </c>
      <c r="H4655" s="25" t="n">
        <v>19626550</v>
      </c>
      <c r="I4655" t="inlineStr">
        <is>
          <t>entidad-dia</t>
        </is>
      </c>
    </row>
    <row r="4656">
      <c r="A4656" t="inlineStr">
        <is>
          <t>PRAGMA</t>
        </is>
      </c>
      <c r="B4656" t="inlineStr">
        <is>
          <t>M1</t>
        </is>
      </c>
      <c r="C4656" t="inlineStr">
        <is>
          <t>Cali</t>
        </is>
      </c>
      <c r="D4656" t="inlineStr">
        <is>
          <t>8025</t>
        </is>
      </c>
      <c r="E4656" t="inlineStr">
        <is>
          <t>pagado</t>
        </is>
      </c>
      <c r="F4656" s="23" t="n">
        <v>46269</v>
      </c>
      <c r="G4656" s="24">
        <f>F4656-DATE(2026,8,31)</f>
        <v>4</v>
      </c>
      <c r="H4656" s="25" t="n">
        <v>23988184</v>
      </c>
      <c r="I4656" t="inlineStr">
        <is>
          <t>entidad-dia</t>
        </is>
      </c>
    </row>
    <row r="4657">
      <c r="A4657" t="inlineStr">
        <is>
          <t>PRAGMA</t>
        </is>
      </c>
      <c r="B4657" t="inlineStr">
        <is>
          <t>M1</t>
        </is>
      </c>
      <c r="C4657" t="inlineStr">
        <is>
          <t>Cali</t>
        </is>
      </c>
      <c r="D4657" t="inlineStr">
        <is>
          <t>8025</t>
        </is>
      </c>
      <c r="E4657" t="inlineStr">
        <is>
          <t>pagado</t>
        </is>
      </c>
      <c r="F4657" s="23" t="n">
        <v>46270</v>
      </c>
      <c r="G4657" s="24">
        <f>F4657-DATE(2026,8,31)</f>
        <v>5</v>
      </c>
      <c r="H4657" s="25" t="n">
        <v>17283145</v>
      </c>
      <c r="I4657" t="inlineStr">
        <is>
          <t>entidad-dia</t>
        </is>
      </c>
    </row>
    <row r="4658">
      <c r="A4658" t="inlineStr">
        <is>
          <t>PRAGMA</t>
        </is>
      </c>
      <c r="B4658" t="inlineStr">
        <is>
          <t>M1</t>
        </is>
      </c>
      <c r="C4658" t="inlineStr">
        <is>
          <t>Cali</t>
        </is>
      </c>
      <c r="D4658" t="inlineStr">
        <is>
          <t>8025</t>
        </is>
      </c>
      <c r="E4658" t="inlineStr">
        <is>
          <t>pagado</t>
        </is>
      </c>
      <c r="F4658" s="23" t="n">
        <v>46271</v>
      </c>
      <c r="G4658" s="24">
        <f>F4658-DATE(2026,8,31)</f>
        <v>6</v>
      </c>
      <c r="H4658" s="25" t="n">
        <v>5414654</v>
      </c>
      <c r="I4658" t="inlineStr">
        <is>
          <t>entidad-dia</t>
        </is>
      </c>
    </row>
    <row r="4659">
      <c r="A4659" t="inlineStr">
        <is>
          <t>PRAGMA</t>
        </is>
      </c>
      <c r="B4659" t="inlineStr">
        <is>
          <t>M1</t>
        </is>
      </c>
      <c r="C4659" t="inlineStr">
        <is>
          <t>Cali</t>
        </is>
      </c>
      <c r="D4659" t="inlineStr">
        <is>
          <t>8025</t>
        </is>
      </c>
      <c r="E4659" t="inlineStr">
        <is>
          <t>pagado</t>
        </is>
      </c>
      <c r="F4659" s="23" t="n">
        <v>46272</v>
      </c>
      <c r="G4659" s="24">
        <f>F4659-DATE(2026,8,31)</f>
        <v>7</v>
      </c>
      <c r="H4659" s="25" t="n">
        <v>12469755</v>
      </c>
      <c r="I4659" t="inlineStr">
        <is>
          <t>entidad-dia</t>
        </is>
      </c>
    </row>
    <row r="4660">
      <c r="A4660" t="inlineStr">
        <is>
          <t>PRAGMA</t>
        </is>
      </c>
      <c r="B4660" t="inlineStr">
        <is>
          <t>M1</t>
        </is>
      </c>
      <c r="C4660" t="inlineStr">
        <is>
          <t>Cali</t>
        </is>
      </c>
      <c r="D4660" t="inlineStr">
        <is>
          <t>8025</t>
        </is>
      </c>
      <c r="E4660" t="inlineStr">
        <is>
          <t>pagado</t>
        </is>
      </c>
      <c r="F4660" s="23" t="n">
        <v>46273</v>
      </c>
      <c r="G4660" s="24">
        <f>F4660-DATE(2026,8,31)</f>
        <v>8</v>
      </c>
      <c r="H4660" s="25" t="n">
        <v>14539548</v>
      </c>
      <c r="I4660" t="inlineStr">
        <is>
          <t>entidad-dia</t>
        </is>
      </c>
    </row>
    <row r="4661">
      <c r="A4661" t="inlineStr">
        <is>
          <t>PRAGMA</t>
        </is>
      </c>
      <c r="B4661" t="inlineStr">
        <is>
          <t>M1</t>
        </is>
      </c>
      <c r="C4661" t="inlineStr">
        <is>
          <t>Cali</t>
        </is>
      </c>
      <c r="D4661" t="inlineStr">
        <is>
          <t>8025</t>
        </is>
      </c>
      <c r="E4661" t="inlineStr">
        <is>
          <t>pagado</t>
        </is>
      </c>
      <c r="F4661" s="23" t="n">
        <v>46274</v>
      </c>
      <c r="G4661" s="24">
        <f>F4661-DATE(2026,8,31)</f>
        <v>9</v>
      </c>
      <c r="H4661" s="25" t="n">
        <v>15651470</v>
      </c>
      <c r="I4661" t="inlineStr">
        <is>
          <t>entidad-dia</t>
        </is>
      </c>
    </row>
    <row r="4662">
      <c r="A4662" t="inlineStr">
        <is>
          <t>PRAGMA</t>
        </is>
      </c>
      <c r="B4662" t="inlineStr">
        <is>
          <t>M1</t>
        </is>
      </c>
      <c r="C4662" t="inlineStr">
        <is>
          <t>Cali</t>
        </is>
      </c>
      <c r="D4662" t="inlineStr">
        <is>
          <t>8025</t>
        </is>
      </c>
      <c r="E4662" t="inlineStr">
        <is>
          <t>pagado</t>
        </is>
      </c>
      <c r="F4662" s="23" t="n">
        <v>46275</v>
      </c>
      <c r="G4662" s="24">
        <f>F4662-DATE(2026,8,31)</f>
        <v>10</v>
      </c>
      <c r="H4662" s="25" t="n">
        <v>14838453</v>
      </c>
      <c r="I4662" t="inlineStr">
        <is>
          <t>entidad-dia</t>
        </is>
      </c>
    </row>
    <row r="4663">
      <c r="A4663" t="inlineStr">
        <is>
          <t>PRAGMA</t>
        </is>
      </c>
      <c r="B4663" t="inlineStr">
        <is>
          <t>M1</t>
        </is>
      </c>
      <c r="C4663" t="inlineStr">
        <is>
          <t>Cali</t>
        </is>
      </c>
      <c r="D4663" t="inlineStr">
        <is>
          <t>8025</t>
        </is>
      </c>
      <c r="E4663" t="inlineStr">
        <is>
          <t>pagado</t>
        </is>
      </c>
      <c r="F4663" s="23" t="n">
        <v>46276</v>
      </c>
      <c r="G4663" s="24">
        <f>F4663-DATE(2026,8,31)</f>
        <v>11</v>
      </c>
      <c r="H4663" s="25" t="n">
        <v>21080178</v>
      </c>
      <c r="I4663" t="inlineStr">
        <is>
          <t>entidad-dia</t>
        </is>
      </c>
    </row>
    <row r="4664">
      <c r="A4664" t="inlineStr">
        <is>
          <t>PRAGMA</t>
        </is>
      </c>
      <c r="B4664" t="inlineStr">
        <is>
          <t>M1</t>
        </is>
      </c>
      <c r="C4664" t="inlineStr">
        <is>
          <t>Cali</t>
        </is>
      </c>
      <c r="D4664" t="inlineStr">
        <is>
          <t>8025</t>
        </is>
      </c>
      <c r="E4664" t="inlineStr">
        <is>
          <t>pagado</t>
        </is>
      </c>
      <c r="F4664" s="23" t="n">
        <v>46277</v>
      </c>
      <c r="G4664" s="24">
        <f>F4664-DATE(2026,8,31)</f>
        <v>12</v>
      </c>
      <c r="H4664" s="25" t="n">
        <v>18279062</v>
      </c>
      <c r="I4664" t="inlineStr">
        <is>
          <t>entidad-dia</t>
        </is>
      </c>
    </row>
    <row r="4665">
      <c r="A4665" t="inlineStr">
        <is>
          <t>PRAGMA</t>
        </is>
      </c>
      <c r="B4665" t="inlineStr">
        <is>
          <t>M1</t>
        </is>
      </c>
      <c r="C4665" t="inlineStr">
        <is>
          <t>Cali</t>
        </is>
      </c>
      <c r="D4665" t="inlineStr">
        <is>
          <t>8025</t>
        </is>
      </c>
      <c r="E4665" t="inlineStr">
        <is>
          <t>pagado</t>
        </is>
      </c>
      <c r="F4665" s="23" t="n">
        <v>46278</v>
      </c>
      <c r="G4665" s="24">
        <f>F4665-DATE(2026,8,31)</f>
        <v>13</v>
      </c>
      <c r="H4665" s="25" t="n">
        <v>5003671</v>
      </c>
      <c r="I4665" t="inlineStr">
        <is>
          <t>entidad-dia</t>
        </is>
      </c>
    </row>
    <row r="4666">
      <c r="A4666" t="inlineStr">
        <is>
          <t>PRAGMA</t>
        </is>
      </c>
      <c r="B4666" t="inlineStr">
        <is>
          <t>M1</t>
        </is>
      </c>
      <c r="C4666" t="inlineStr">
        <is>
          <t>Cali</t>
        </is>
      </c>
      <c r="D4666" t="inlineStr">
        <is>
          <t>8025</t>
        </is>
      </c>
      <c r="E4666" t="inlineStr">
        <is>
          <t>pagado</t>
        </is>
      </c>
      <c r="F4666" s="23" t="n">
        <v>46279</v>
      </c>
      <c r="G4666" s="24">
        <f>F4666-DATE(2026,8,31)</f>
        <v>14</v>
      </c>
      <c r="H4666" s="25" t="n">
        <v>15331929</v>
      </c>
      <c r="I4666" t="inlineStr">
        <is>
          <t>entidad-dia</t>
        </is>
      </c>
    </row>
    <row r="4667">
      <c r="A4667" t="inlineStr">
        <is>
          <t>PRAGMA</t>
        </is>
      </c>
      <c r="B4667" t="inlineStr">
        <is>
          <t>M1</t>
        </is>
      </c>
      <c r="C4667" t="inlineStr">
        <is>
          <t>Cali</t>
        </is>
      </c>
      <c r="D4667" t="inlineStr">
        <is>
          <t>8025</t>
        </is>
      </c>
      <c r="E4667" t="inlineStr">
        <is>
          <t>pagado</t>
        </is>
      </c>
      <c r="F4667" s="23" t="n">
        <v>46280</v>
      </c>
      <c r="G4667" s="24">
        <f>F4667-DATE(2026,8,31)</f>
        <v>15</v>
      </c>
      <c r="H4667" s="25" t="n">
        <v>29885435</v>
      </c>
      <c r="I4667" t="inlineStr">
        <is>
          <t>entidad-dia</t>
        </is>
      </c>
    </row>
    <row r="4668">
      <c r="A4668" t="inlineStr">
        <is>
          <t>PRAGMA</t>
        </is>
      </c>
      <c r="B4668" t="inlineStr">
        <is>
          <t>M1</t>
        </is>
      </c>
      <c r="C4668" t="inlineStr">
        <is>
          <t>Pasto</t>
        </is>
      </c>
      <c r="D4668" t="inlineStr">
        <is>
          <t>8054</t>
        </is>
      </c>
      <c r="E4668" t="inlineStr">
        <is>
          <t>pagado</t>
        </is>
      </c>
      <c r="F4668" s="23" t="n">
        <v>46266</v>
      </c>
      <c r="G4668" s="24">
        <f>F4668-DATE(2026,8,31)</f>
        <v>1</v>
      </c>
      <c r="H4668" s="25" t="n">
        <v>159535551</v>
      </c>
      <c r="I4668" t="inlineStr">
        <is>
          <t>entidad-dia</t>
        </is>
      </c>
    </row>
    <row r="4669">
      <c r="A4669" t="inlineStr">
        <is>
          <t>PRAGMA</t>
        </is>
      </c>
      <c r="B4669" t="inlineStr">
        <is>
          <t>M1</t>
        </is>
      </c>
      <c r="C4669" t="inlineStr">
        <is>
          <t>Pasto</t>
        </is>
      </c>
      <c r="D4669" t="inlineStr">
        <is>
          <t>8054</t>
        </is>
      </c>
      <c r="E4669" t="inlineStr">
        <is>
          <t>pagado</t>
        </is>
      </c>
      <c r="F4669" s="23" t="n">
        <v>46267</v>
      </c>
      <c r="G4669" s="24">
        <f>F4669-DATE(2026,8,31)</f>
        <v>2</v>
      </c>
      <c r="H4669" s="25" t="n">
        <v>131961240</v>
      </c>
      <c r="I4669" t="inlineStr">
        <is>
          <t>entidad-dia</t>
        </is>
      </c>
    </row>
    <row r="4670">
      <c r="A4670" t="inlineStr">
        <is>
          <t>PRAGMA</t>
        </is>
      </c>
      <c r="B4670" t="inlineStr">
        <is>
          <t>M1</t>
        </is>
      </c>
      <c r="C4670" t="inlineStr">
        <is>
          <t>Pasto</t>
        </is>
      </c>
      <c r="D4670" t="inlineStr">
        <is>
          <t>8054</t>
        </is>
      </c>
      <c r="E4670" t="inlineStr">
        <is>
          <t>pagado</t>
        </is>
      </c>
      <c r="F4670" s="23" t="n">
        <v>46268</v>
      </c>
      <c r="G4670" s="24">
        <f>F4670-DATE(2026,8,31)</f>
        <v>3</v>
      </c>
      <c r="H4670" s="25" t="n">
        <v>119603425</v>
      </c>
      <c r="I4670" t="inlineStr">
        <is>
          <t>entidad-dia</t>
        </is>
      </c>
    </row>
    <row r="4671">
      <c r="A4671" t="inlineStr">
        <is>
          <t>PRAGMA</t>
        </is>
      </c>
      <c r="B4671" t="inlineStr">
        <is>
          <t>M1</t>
        </is>
      </c>
      <c r="C4671" t="inlineStr">
        <is>
          <t>Pasto</t>
        </is>
      </c>
      <c r="D4671" t="inlineStr">
        <is>
          <t>8054</t>
        </is>
      </c>
      <c r="E4671" t="inlineStr">
        <is>
          <t>pagado</t>
        </is>
      </c>
      <c r="F4671" s="23" t="n">
        <v>46269</v>
      </c>
      <c r="G4671" s="24">
        <f>F4671-DATE(2026,8,31)</f>
        <v>4</v>
      </c>
      <c r="H4671" s="25" t="n">
        <v>122774118</v>
      </c>
      <c r="I4671" t="inlineStr">
        <is>
          <t>entidad-dia</t>
        </is>
      </c>
    </row>
    <row r="4672">
      <c r="A4672" t="inlineStr">
        <is>
          <t>PRAGMA</t>
        </is>
      </c>
      <c r="B4672" t="inlineStr">
        <is>
          <t>M1</t>
        </is>
      </c>
      <c r="C4672" t="inlineStr">
        <is>
          <t>Pasto</t>
        </is>
      </c>
      <c r="D4672" t="inlineStr">
        <is>
          <t>8054</t>
        </is>
      </c>
      <c r="E4672" t="inlineStr">
        <is>
          <t>pagado</t>
        </is>
      </c>
      <c r="F4672" s="23" t="n">
        <v>46270</v>
      </c>
      <c r="G4672" s="24">
        <f>F4672-DATE(2026,8,31)</f>
        <v>5</v>
      </c>
      <c r="H4672" s="25" t="n">
        <v>138093970</v>
      </c>
      <c r="I4672" t="inlineStr">
        <is>
          <t>entidad-dia</t>
        </is>
      </c>
    </row>
    <row r="4673">
      <c r="A4673" t="inlineStr">
        <is>
          <t>PRAGMA</t>
        </is>
      </c>
      <c r="B4673" t="inlineStr">
        <is>
          <t>M1</t>
        </is>
      </c>
      <c r="C4673" t="inlineStr">
        <is>
          <t>Pasto</t>
        </is>
      </c>
      <c r="D4673" t="inlineStr">
        <is>
          <t>8054</t>
        </is>
      </c>
      <c r="E4673" t="inlineStr">
        <is>
          <t>pagado</t>
        </is>
      </c>
      <c r="F4673" s="23" t="n">
        <v>46271</v>
      </c>
      <c r="G4673" s="24">
        <f>F4673-DATE(2026,8,31)</f>
        <v>6</v>
      </c>
      <c r="H4673" s="25" t="n">
        <v>105845068</v>
      </c>
      <c r="I4673" t="inlineStr">
        <is>
          <t>entidad-dia</t>
        </is>
      </c>
    </row>
    <row r="4674">
      <c r="A4674" t="inlineStr">
        <is>
          <t>PRAGMA</t>
        </is>
      </c>
      <c r="B4674" t="inlineStr">
        <is>
          <t>M1</t>
        </is>
      </c>
      <c r="C4674" t="inlineStr">
        <is>
          <t>Pasto</t>
        </is>
      </c>
      <c r="D4674" t="inlineStr">
        <is>
          <t>8054</t>
        </is>
      </c>
      <c r="E4674" t="inlineStr">
        <is>
          <t>pagado</t>
        </is>
      </c>
      <c r="F4674" s="23" t="n">
        <v>46272</v>
      </c>
      <c r="G4674" s="24">
        <f>F4674-DATE(2026,8,31)</f>
        <v>7</v>
      </c>
      <c r="H4674" s="25" t="n">
        <v>113434267</v>
      </c>
      <c r="I4674" t="inlineStr">
        <is>
          <t>entidad-dia</t>
        </is>
      </c>
    </row>
    <row r="4675">
      <c r="A4675" t="inlineStr">
        <is>
          <t>PRAGMA</t>
        </is>
      </c>
      <c r="B4675" t="inlineStr">
        <is>
          <t>M1</t>
        </is>
      </c>
      <c r="C4675" t="inlineStr">
        <is>
          <t>Pasto</t>
        </is>
      </c>
      <c r="D4675" t="inlineStr">
        <is>
          <t>8054</t>
        </is>
      </c>
      <c r="E4675" t="inlineStr">
        <is>
          <t>pagado</t>
        </is>
      </c>
      <c r="F4675" s="23" t="n">
        <v>46273</v>
      </c>
      <c r="G4675" s="24">
        <f>F4675-DATE(2026,8,31)</f>
        <v>8</v>
      </c>
      <c r="H4675" s="25" t="n">
        <v>97996778</v>
      </c>
      <c r="I4675" t="inlineStr">
        <is>
          <t>entidad-dia</t>
        </is>
      </c>
    </row>
    <row r="4676">
      <c r="A4676" t="inlineStr">
        <is>
          <t>PRAGMA</t>
        </is>
      </c>
      <c r="B4676" t="inlineStr">
        <is>
          <t>M1</t>
        </is>
      </c>
      <c r="C4676" t="inlineStr">
        <is>
          <t>Pasto</t>
        </is>
      </c>
      <c r="D4676" t="inlineStr">
        <is>
          <t>8054</t>
        </is>
      </c>
      <c r="E4676" t="inlineStr">
        <is>
          <t>pagado</t>
        </is>
      </c>
      <c r="F4676" s="23" t="n">
        <v>46274</v>
      </c>
      <c r="G4676" s="24">
        <f>F4676-DATE(2026,8,31)</f>
        <v>9</v>
      </c>
      <c r="H4676" s="25" t="n">
        <v>102316888</v>
      </c>
      <c r="I4676" t="inlineStr">
        <is>
          <t>entidad-dia</t>
        </is>
      </c>
    </row>
    <row r="4677">
      <c r="A4677" t="inlineStr">
        <is>
          <t>PRAGMA</t>
        </is>
      </c>
      <c r="B4677" t="inlineStr">
        <is>
          <t>M1</t>
        </is>
      </c>
      <c r="C4677" t="inlineStr">
        <is>
          <t>Pasto</t>
        </is>
      </c>
      <c r="D4677" t="inlineStr">
        <is>
          <t>8054</t>
        </is>
      </c>
      <c r="E4677" t="inlineStr">
        <is>
          <t>pagado</t>
        </is>
      </c>
      <c r="F4677" s="23" t="n">
        <v>46275</v>
      </c>
      <c r="G4677" s="24">
        <f>F4677-DATE(2026,8,31)</f>
        <v>10</v>
      </c>
      <c r="H4677" s="25" t="n">
        <v>93217897</v>
      </c>
      <c r="I4677" t="inlineStr">
        <is>
          <t>entidad-dia</t>
        </is>
      </c>
    </row>
    <row r="4678">
      <c r="A4678" t="inlineStr">
        <is>
          <t>PRAGMA</t>
        </is>
      </c>
      <c r="B4678" t="inlineStr">
        <is>
          <t>M1</t>
        </is>
      </c>
      <c r="C4678" t="inlineStr">
        <is>
          <t>Pasto</t>
        </is>
      </c>
      <c r="D4678" t="inlineStr">
        <is>
          <t>8054</t>
        </is>
      </c>
      <c r="E4678" t="inlineStr">
        <is>
          <t>pagado</t>
        </is>
      </c>
      <c r="F4678" s="23" t="n">
        <v>46276</v>
      </c>
      <c r="G4678" s="24">
        <f>F4678-DATE(2026,8,31)</f>
        <v>11</v>
      </c>
      <c r="H4678" s="25" t="n">
        <v>94652440</v>
      </c>
      <c r="I4678" t="inlineStr">
        <is>
          <t>entidad-dia</t>
        </is>
      </c>
    </row>
    <row r="4679">
      <c r="A4679" t="inlineStr">
        <is>
          <t>PRAGMA</t>
        </is>
      </c>
      <c r="B4679" t="inlineStr">
        <is>
          <t>M1</t>
        </is>
      </c>
      <c r="C4679" t="inlineStr">
        <is>
          <t>Pasto</t>
        </is>
      </c>
      <c r="D4679" t="inlineStr">
        <is>
          <t>8054</t>
        </is>
      </c>
      <c r="E4679" t="inlineStr">
        <is>
          <t>pagado</t>
        </is>
      </c>
      <c r="F4679" s="23" t="n">
        <v>46277</v>
      </c>
      <c r="G4679" s="24">
        <f>F4679-DATE(2026,8,31)</f>
        <v>12</v>
      </c>
      <c r="H4679" s="25" t="n">
        <v>104833748</v>
      </c>
      <c r="I4679" t="inlineStr">
        <is>
          <t>entidad-dia</t>
        </is>
      </c>
    </row>
    <row r="4680">
      <c r="A4680" t="inlineStr">
        <is>
          <t>PRAGMA</t>
        </is>
      </c>
      <c r="B4680" t="inlineStr">
        <is>
          <t>M1</t>
        </is>
      </c>
      <c r="C4680" t="inlineStr">
        <is>
          <t>Pasto</t>
        </is>
      </c>
      <c r="D4680" t="inlineStr">
        <is>
          <t>8054</t>
        </is>
      </c>
      <c r="E4680" t="inlineStr">
        <is>
          <t>pagado</t>
        </is>
      </c>
      <c r="F4680" s="23" t="n">
        <v>46278</v>
      </c>
      <c r="G4680" s="24">
        <f>F4680-DATE(2026,8,31)</f>
        <v>13</v>
      </c>
      <c r="H4680" s="25" t="n">
        <v>78098245</v>
      </c>
      <c r="I4680" t="inlineStr">
        <is>
          <t>entidad-dia</t>
        </is>
      </c>
    </row>
    <row r="4681">
      <c r="A4681" t="inlineStr">
        <is>
          <t>PRAGMA</t>
        </is>
      </c>
      <c r="B4681" t="inlineStr">
        <is>
          <t>M1</t>
        </is>
      </c>
      <c r="C4681" t="inlineStr">
        <is>
          <t>Pasto</t>
        </is>
      </c>
      <c r="D4681" t="inlineStr">
        <is>
          <t>8054</t>
        </is>
      </c>
      <c r="E4681" t="inlineStr">
        <is>
          <t>pagado</t>
        </is>
      </c>
      <c r="F4681" s="23" t="n">
        <v>46279</v>
      </c>
      <c r="G4681" s="24">
        <f>F4681-DATE(2026,8,31)</f>
        <v>14</v>
      </c>
      <c r="H4681" s="25" t="n">
        <v>92237843</v>
      </c>
      <c r="I4681" t="inlineStr">
        <is>
          <t>entidad-dia</t>
        </is>
      </c>
    </row>
    <row r="4682">
      <c r="A4682" t="inlineStr">
        <is>
          <t>PRAGMA</t>
        </is>
      </c>
      <c r="B4682" t="inlineStr">
        <is>
          <t>M1</t>
        </is>
      </c>
      <c r="C4682" t="inlineStr">
        <is>
          <t>Pasto</t>
        </is>
      </c>
      <c r="D4682" t="inlineStr">
        <is>
          <t>8054</t>
        </is>
      </c>
      <c r="E4682" t="inlineStr">
        <is>
          <t>pagado</t>
        </is>
      </c>
      <c r="F4682" s="23" t="n">
        <v>46280</v>
      </c>
      <c r="G4682" s="24">
        <f>F4682-DATE(2026,8,31)</f>
        <v>15</v>
      </c>
      <c r="H4682" s="25" t="n">
        <v>112536421</v>
      </c>
      <c r="I4682" t="inlineStr">
        <is>
          <t>entidad-dia</t>
        </is>
      </c>
    </row>
    <row r="4683">
      <c r="A4683" t="inlineStr">
        <is>
          <t>PRAGMA</t>
        </is>
      </c>
      <c r="B4683" t="inlineStr">
        <is>
          <t>M1</t>
        </is>
      </c>
      <c r="C4683" t="inlineStr">
        <is>
          <t>Cali</t>
        </is>
      </c>
      <c r="D4683" t="inlineStr">
        <is>
          <t>8064</t>
        </is>
      </c>
      <c r="E4683" t="inlineStr">
        <is>
          <t>pagado</t>
        </is>
      </c>
      <c r="F4683" s="23" t="n">
        <v>46266</v>
      </c>
      <c r="G4683" s="24">
        <f>F4683-DATE(2026,8,31)</f>
        <v>1</v>
      </c>
      <c r="H4683" s="25" t="n">
        <v>115171321</v>
      </c>
      <c r="I4683" t="inlineStr">
        <is>
          <t>entidad-dia</t>
        </is>
      </c>
    </row>
    <row r="4684">
      <c r="A4684" t="inlineStr">
        <is>
          <t>PRAGMA</t>
        </is>
      </c>
      <c r="B4684" t="inlineStr">
        <is>
          <t>M1</t>
        </is>
      </c>
      <c r="C4684" t="inlineStr">
        <is>
          <t>Cali</t>
        </is>
      </c>
      <c r="D4684" t="inlineStr">
        <is>
          <t>8064</t>
        </is>
      </c>
      <c r="E4684" t="inlineStr">
        <is>
          <t>pagado</t>
        </is>
      </c>
      <c r="F4684" s="23" t="n">
        <v>46267</v>
      </c>
      <c r="G4684" s="24">
        <f>F4684-DATE(2026,8,31)</f>
        <v>2</v>
      </c>
      <c r="H4684" s="25" t="n">
        <v>83995998</v>
      </c>
      <c r="I4684" t="inlineStr">
        <is>
          <t>entidad-dia</t>
        </is>
      </c>
    </row>
    <row r="4685">
      <c r="A4685" t="inlineStr">
        <is>
          <t>PRAGMA</t>
        </is>
      </c>
      <c r="B4685" t="inlineStr">
        <is>
          <t>M1</t>
        </is>
      </c>
      <c r="C4685" t="inlineStr">
        <is>
          <t>Cali</t>
        </is>
      </c>
      <c r="D4685" t="inlineStr">
        <is>
          <t>8064</t>
        </is>
      </c>
      <c r="E4685" t="inlineStr">
        <is>
          <t>pagado</t>
        </is>
      </c>
      <c r="F4685" s="23" t="n">
        <v>46268</v>
      </c>
      <c r="G4685" s="24">
        <f>F4685-DATE(2026,8,31)</f>
        <v>3</v>
      </c>
      <c r="H4685" s="25" t="n">
        <v>70317015</v>
      </c>
      <c r="I4685" t="inlineStr">
        <is>
          <t>entidad-dia</t>
        </is>
      </c>
    </row>
    <row r="4686">
      <c r="A4686" t="inlineStr">
        <is>
          <t>PRAGMA</t>
        </is>
      </c>
      <c r="B4686" t="inlineStr">
        <is>
          <t>M1</t>
        </is>
      </c>
      <c r="C4686" t="inlineStr">
        <is>
          <t>Cali</t>
        </is>
      </c>
      <c r="D4686" t="inlineStr">
        <is>
          <t>8064</t>
        </is>
      </c>
      <c r="E4686" t="inlineStr">
        <is>
          <t>pagado</t>
        </is>
      </c>
      <c r="F4686" s="23" t="n">
        <v>46269</v>
      </c>
      <c r="G4686" s="24">
        <f>F4686-DATE(2026,8,31)</f>
        <v>4</v>
      </c>
      <c r="H4686" s="25" t="n">
        <v>76662853</v>
      </c>
      <c r="I4686" t="inlineStr">
        <is>
          <t>entidad-dia</t>
        </is>
      </c>
    </row>
    <row r="4687">
      <c r="A4687" t="inlineStr">
        <is>
          <t>PRAGMA</t>
        </is>
      </c>
      <c r="B4687" t="inlineStr">
        <is>
          <t>M1</t>
        </is>
      </c>
      <c r="C4687" t="inlineStr">
        <is>
          <t>Cali</t>
        </is>
      </c>
      <c r="D4687" t="inlineStr">
        <is>
          <t>8064</t>
        </is>
      </c>
      <c r="E4687" t="inlineStr">
        <is>
          <t>pagado</t>
        </is>
      </c>
      <c r="F4687" s="23" t="n">
        <v>46270</v>
      </c>
      <c r="G4687" s="24">
        <f>F4687-DATE(2026,8,31)</f>
        <v>5</v>
      </c>
      <c r="H4687" s="25" t="n">
        <v>84649065</v>
      </c>
      <c r="I4687" t="inlineStr">
        <is>
          <t>entidad-dia</t>
        </is>
      </c>
    </row>
    <row r="4688">
      <c r="A4688" t="inlineStr">
        <is>
          <t>PRAGMA</t>
        </is>
      </c>
      <c r="B4688" t="inlineStr">
        <is>
          <t>M1</t>
        </is>
      </c>
      <c r="C4688" t="inlineStr">
        <is>
          <t>Cali</t>
        </is>
      </c>
      <c r="D4688" t="inlineStr">
        <is>
          <t>8064</t>
        </is>
      </c>
      <c r="E4688" t="inlineStr">
        <is>
          <t>pagado</t>
        </is>
      </c>
      <c r="F4688" s="23" t="n">
        <v>46271</v>
      </c>
      <c r="G4688" s="24">
        <f>F4688-DATE(2026,8,31)</f>
        <v>6</v>
      </c>
      <c r="H4688" s="25" t="n">
        <v>48976231</v>
      </c>
      <c r="I4688" t="inlineStr">
        <is>
          <t>entidad-dia</t>
        </is>
      </c>
    </row>
    <row r="4689">
      <c r="A4689" t="inlineStr">
        <is>
          <t>PRAGMA</t>
        </is>
      </c>
      <c r="B4689" t="inlineStr">
        <is>
          <t>M1</t>
        </is>
      </c>
      <c r="C4689" t="inlineStr">
        <is>
          <t>Cali</t>
        </is>
      </c>
      <c r="D4689" t="inlineStr">
        <is>
          <t>8064</t>
        </is>
      </c>
      <c r="E4689" t="inlineStr">
        <is>
          <t>pagado</t>
        </is>
      </c>
      <c r="F4689" s="23" t="n">
        <v>46272</v>
      </c>
      <c r="G4689" s="24">
        <f>F4689-DATE(2026,8,31)</f>
        <v>7</v>
      </c>
      <c r="H4689" s="25" t="n">
        <v>51319670</v>
      </c>
      <c r="I4689" t="inlineStr">
        <is>
          <t>entidad-dia</t>
        </is>
      </c>
    </row>
    <row r="4690">
      <c r="A4690" t="inlineStr">
        <is>
          <t>PRAGMA</t>
        </is>
      </c>
      <c r="B4690" t="inlineStr">
        <is>
          <t>M1</t>
        </is>
      </c>
      <c r="C4690" t="inlineStr">
        <is>
          <t>Cali</t>
        </is>
      </c>
      <c r="D4690" t="inlineStr">
        <is>
          <t>8064</t>
        </is>
      </c>
      <c r="E4690" t="inlineStr">
        <is>
          <t>pagado</t>
        </is>
      </c>
      <c r="F4690" s="23" t="n">
        <v>46273</v>
      </c>
      <c r="G4690" s="24">
        <f>F4690-DATE(2026,8,31)</f>
        <v>8</v>
      </c>
      <c r="H4690" s="25" t="n">
        <v>47346379</v>
      </c>
      <c r="I4690" t="inlineStr">
        <is>
          <t>entidad-dia</t>
        </is>
      </c>
    </row>
    <row r="4691">
      <c r="A4691" t="inlineStr">
        <is>
          <t>PRAGMA</t>
        </is>
      </c>
      <c r="B4691" t="inlineStr">
        <is>
          <t>M1</t>
        </is>
      </c>
      <c r="C4691" t="inlineStr">
        <is>
          <t>Cali</t>
        </is>
      </c>
      <c r="D4691" t="inlineStr">
        <is>
          <t>8064</t>
        </is>
      </c>
      <c r="E4691" t="inlineStr">
        <is>
          <t>pagado</t>
        </is>
      </c>
      <c r="F4691" s="23" t="n">
        <v>46274</v>
      </c>
      <c r="G4691" s="24">
        <f>F4691-DATE(2026,8,31)</f>
        <v>9</v>
      </c>
      <c r="H4691" s="25" t="n">
        <v>49735135</v>
      </c>
      <c r="I4691" t="inlineStr">
        <is>
          <t>entidad-dia</t>
        </is>
      </c>
    </row>
    <row r="4692">
      <c r="A4692" t="inlineStr">
        <is>
          <t>PRAGMA</t>
        </is>
      </c>
      <c r="B4692" t="inlineStr">
        <is>
          <t>M1</t>
        </is>
      </c>
      <c r="C4692" t="inlineStr">
        <is>
          <t>Cali</t>
        </is>
      </c>
      <c r="D4692" t="inlineStr">
        <is>
          <t>8064</t>
        </is>
      </c>
      <c r="E4692" t="inlineStr">
        <is>
          <t>pagado</t>
        </is>
      </c>
      <c r="F4692" s="23" t="n">
        <v>46275</v>
      </c>
      <c r="G4692" s="24">
        <f>F4692-DATE(2026,8,31)</f>
        <v>10</v>
      </c>
      <c r="H4692" s="25" t="n">
        <v>43320523</v>
      </c>
      <c r="I4692" t="inlineStr">
        <is>
          <t>entidad-dia</t>
        </is>
      </c>
    </row>
    <row r="4693">
      <c r="A4693" t="inlineStr">
        <is>
          <t>PRAGMA</t>
        </is>
      </c>
      <c r="B4693" t="inlineStr">
        <is>
          <t>M1</t>
        </is>
      </c>
      <c r="C4693" t="inlineStr">
        <is>
          <t>Cali</t>
        </is>
      </c>
      <c r="D4693" t="inlineStr">
        <is>
          <t>8064</t>
        </is>
      </c>
      <c r="E4693" t="inlineStr">
        <is>
          <t>pagado</t>
        </is>
      </c>
      <c r="F4693" s="23" t="n">
        <v>46276</v>
      </c>
      <c r="G4693" s="24">
        <f>F4693-DATE(2026,8,31)</f>
        <v>11</v>
      </c>
      <c r="H4693" s="25" t="n">
        <v>51321047</v>
      </c>
      <c r="I4693" t="inlineStr">
        <is>
          <t>entidad-dia</t>
        </is>
      </c>
    </row>
    <row r="4694">
      <c r="A4694" t="inlineStr">
        <is>
          <t>PRAGMA</t>
        </is>
      </c>
      <c r="B4694" t="inlineStr">
        <is>
          <t>M1</t>
        </is>
      </c>
      <c r="C4694" t="inlineStr">
        <is>
          <t>Cali</t>
        </is>
      </c>
      <c r="D4694" t="inlineStr">
        <is>
          <t>8064</t>
        </is>
      </c>
      <c r="E4694" t="inlineStr">
        <is>
          <t>pagado</t>
        </is>
      </c>
      <c r="F4694" s="23" t="n">
        <v>46277</v>
      </c>
      <c r="G4694" s="24">
        <f>F4694-DATE(2026,8,31)</f>
        <v>12</v>
      </c>
      <c r="H4694" s="25" t="n">
        <v>61707302</v>
      </c>
      <c r="I4694" t="inlineStr">
        <is>
          <t>entidad-dia</t>
        </is>
      </c>
    </row>
    <row r="4695">
      <c r="A4695" t="inlineStr">
        <is>
          <t>PRAGMA</t>
        </is>
      </c>
      <c r="B4695" t="inlineStr">
        <is>
          <t>M1</t>
        </is>
      </c>
      <c r="C4695" t="inlineStr">
        <is>
          <t>Cali</t>
        </is>
      </c>
      <c r="D4695" t="inlineStr">
        <is>
          <t>8064</t>
        </is>
      </c>
      <c r="E4695" t="inlineStr">
        <is>
          <t>pagado</t>
        </is>
      </c>
      <c r="F4695" s="23" t="n">
        <v>46278</v>
      </c>
      <c r="G4695" s="24">
        <f>F4695-DATE(2026,8,31)</f>
        <v>13</v>
      </c>
      <c r="H4695" s="25" t="n">
        <v>36558149</v>
      </c>
      <c r="I4695" t="inlineStr">
        <is>
          <t>entidad-dia</t>
        </is>
      </c>
    </row>
    <row r="4696">
      <c r="A4696" t="inlineStr">
        <is>
          <t>PRAGMA</t>
        </is>
      </c>
      <c r="B4696" t="inlineStr">
        <is>
          <t>M1</t>
        </is>
      </c>
      <c r="C4696" t="inlineStr">
        <is>
          <t>Cali</t>
        </is>
      </c>
      <c r="D4696" t="inlineStr">
        <is>
          <t>8064</t>
        </is>
      </c>
      <c r="E4696" t="inlineStr">
        <is>
          <t>pagado</t>
        </is>
      </c>
      <c r="F4696" s="23" t="n">
        <v>46279</v>
      </c>
      <c r="G4696" s="24">
        <f>F4696-DATE(2026,8,31)</f>
        <v>14</v>
      </c>
      <c r="H4696" s="25" t="n">
        <v>55103115</v>
      </c>
      <c r="I4696" t="inlineStr">
        <is>
          <t>entidad-dia</t>
        </is>
      </c>
    </row>
    <row r="4697">
      <c r="A4697" t="inlineStr">
        <is>
          <t>PRAGMA</t>
        </is>
      </c>
      <c r="B4697" t="inlineStr">
        <is>
          <t>M1</t>
        </is>
      </c>
      <c r="C4697" t="inlineStr">
        <is>
          <t>Cali</t>
        </is>
      </c>
      <c r="D4697" t="inlineStr">
        <is>
          <t>8064</t>
        </is>
      </c>
      <c r="E4697" t="inlineStr">
        <is>
          <t>pagado</t>
        </is>
      </c>
      <c r="F4697" s="23" t="n">
        <v>46280</v>
      </c>
      <c r="G4697" s="24">
        <f>F4697-DATE(2026,8,31)</f>
        <v>15</v>
      </c>
      <c r="H4697" s="25" t="n">
        <v>80597751</v>
      </c>
      <c r="I4697" t="inlineStr">
        <is>
          <t>entidad-dia</t>
        </is>
      </c>
    </row>
    <row r="4698">
      <c r="A4698" t="inlineStr">
        <is>
          <t>PRAGMA</t>
        </is>
      </c>
      <c r="B4698" t="inlineStr">
        <is>
          <t>M1</t>
        </is>
      </c>
      <c r="C4698" t="inlineStr">
        <is>
          <t>Cali</t>
        </is>
      </c>
      <c r="D4698" t="inlineStr">
        <is>
          <t>8076</t>
        </is>
      </c>
      <c r="E4698" t="inlineStr">
        <is>
          <t>pagado</t>
        </is>
      </c>
      <c r="F4698" s="23" t="n">
        <v>46266</v>
      </c>
      <c r="G4698" s="24">
        <f>F4698-DATE(2026,8,31)</f>
        <v>1</v>
      </c>
      <c r="H4698" s="25" t="n">
        <v>117885135</v>
      </c>
      <c r="I4698" t="inlineStr">
        <is>
          <t>entidad-dia</t>
        </is>
      </c>
    </row>
    <row r="4699">
      <c r="A4699" t="inlineStr">
        <is>
          <t>PRAGMA</t>
        </is>
      </c>
      <c r="B4699" t="inlineStr">
        <is>
          <t>M1</t>
        </is>
      </c>
      <c r="C4699" t="inlineStr">
        <is>
          <t>Cali</t>
        </is>
      </c>
      <c r="D4699" t="inlineStr">
        <is>
          <t>8076</t>
        </is>
      </c>
      <c r="E4699" t="inlineStr">
        <is>
          <t>pagado</t>
        </is>
      </c>
      <c r="F4699" s="23" t="n">
        <v>46267</v>
      </c>
      <c r="G4699" s="24">
        <f>F4699-DATE(2026,8,31)</f>
        <v>2</v>
      </c>
      <c r="H4699" s="25" t="n">
        <v>84462991</v>
      </c>
      <c r="I4699" t="inlineStr">
        <is>
          <t>entidad-dia</t>
        </is>
      </c>
    </row>
    <row r="4700">
      <c r="A4700" t="inlineStr">
        <is>
          <t>PRAGMA</t>
        </is>
      </c>
      <c r="B4700" t="inlineStr">
        <is>
          <t>M1</t>
        </is>
      </c>
      <c r="C4700" t="inlineStr">
        <is>
          <t>Cali</t>
        </is>
      </c>
      <c r="D4700" t="inlineStr">
        <is>
          <t>8076</t>
        </is>
      </c>
      <c r="E4700" t="inlineStr">
        <is>
          <t>pagado</t>
        </is>
      </c>
      <c r="F4700" s="23" t="n">
        <v>46268</v>
      </c>
      <c r="G4700" s="24">
        <f>F4700-DATE(2026,8,31)</f>
        <v>3</v>
      </c>
      <c r="H4700" s="25" t="n">
        <v>72730680</v>
      </c>
      <c r="I4700" t="inlineStr">
        <is>
          <t>entidad-dia</t>
        </is>
      </c>
    </row>
    <row r="4701">
      <c r="A4701" t="inlineStr">
        <is>
          <t>PRAGMA</t>
        </is>
      </c>
      <c r="B4701" t="inlineStr">
        <is>
          <t>M1</t>
        </is>
      </c>
      <c r="C4701" t="inlineStr">
        <is>
          <t>Cali</t>
        </is>
      </c>
      <c r="D4701" t="inlineStr">
        <is>
          <t>8076</t>
        </is>
      </c>
      <c r="E4701" t="inlineStr">
        <is>
          <t>pagado</t>
        </is>
      </c>
      <c r="F4701" s="23" t="n">
        <v>46269</v>
      </c>
      <c r="G4701" s="24">
        <f>F4701-DATE(2026,8,31)</f>
        <v>4</v>
      </c>
      <c r="H4701" s="25" t="n">
        <v>75293793</v>
      </c>
      <c r="I4701" t="inlineStr">
        <is>
          <t>entidad-dia</t>
        </is>
      </c>
    </row>
    <row r="4702">
      <c r="A4702" t="inlineStr">
        <is>
          <t>PRAGMA</t>
        </is>
      </c>
      <c r="B4702" t="inlineStr">
        <is>
          <t>M1</t>
        </is>
      </c>
      <c r="C4702" t="inlineStr">
        <is>
          <t>Cali</t>
        </is>
      </c>
      <c r="D4702" t="inlineStr">
        <is>
          <t>8076</t>
        </is>
      </c>
      <c r="E4702" t="inlineStr">
        <is>
          <t>pagado</t>
        </is>
      </c>
      <c r="F4702" s="23" t="n">
        <v>46270</v>
      </c>
      <c r="G4702" s="24">
        <f>F4702-DATE(2026,8,31)</f>
        <v>5</v>
      </c>
      <c r="H4702" s="25" t="n">
        <v>87597733</v>
      </c>
      <c r="I4702" t="inlineStr">
        <is>
          <t>entidad-dia</t>
        </is>
      </c>
    </row>
    <row r="4703">
      <c r="A4703" t="inlineStr">
        <is>
          <t>PRAGMA</t>
        </is>
      </c>
      <c r="B4703" t="inlineStr">
        <is>
          <t>M1</t>
        </is>
      </c>
      <c r="C4703" t="inlineStr">
        <is>
          <t>Cali</t>
        </is>
      </c>
      <c r="D4703" t="inlineStr">
        <is>
          <t>8076</t>
        </is>
      </c>
      <c r="E4703" t="inlineStr">
        <is>
          <t>pagado</t>
        </is>
      </c>
      <c r="F4703" s="23" t="n">
        <v>46271</v>
      </c>
      <c r="G4703" s="24">
        <f>F4703-DATE(2026,8,31)</f>
        <v>6</v>
      </c>
      <c r="H4703" s="25" t="n">
        <v>38946767</v>
      </c>
      <c r="I4703" t="inlineStr">
        <is>
          <t>entidad-dia</t>
        </is>
      </c>
    </row>
    <row r="4704">
      <c r="A4704" t="inlineStr">
        <is>
          <t>PRAGMA</t>
        </is>
      </c>
      <c r="B4704" t="inlineStr">
        <is>
          <t>M1</t>
        </is>
      </c>
      <c r="C4704" t="inlineStr">
        <is>
          <t>Cali</t>
        </is>
      </c>
      <c r="D4704" t="inlineStr">
        <is>
          <t>8076</t>
        </is>
      </c>
      <c r="E4704" t="inlineStr">
        <is>
          <t>pagado</t>
        </is>
      </c>
      <c r="F4704" s="23" t="n">
        <v>46272</v>
      </c>
      <c r="G4704" s="24">
        <f>F4704-DATE(2026,8,31)</f>
        <v>7</v>
      </c>
      <c r="H4704" s="25" t="n">
        <v>55613887</v>
      </c>
      <c r="I4704" t="inlineStr">
        <is>
          <t>entidad-dia</t>
        </is>
      </c>
    </row>
    <row r="4705">
      <c r="A4705" t="inlineStr">
        <is>
          <t>PRAGMA</t>
        </is>
      </c>
      <c r="B4705" t="inlineStr">
        <is>
          <t>M1</t>
        </is>
      </c>
      <c r="C4705" t="inlineStr">
        <is>
          <t>Cali</t>
        </is>
      </c>
      <c r="D4705" t="inlineStr">
        <is>
          <t>8076</t>
        </is>
      </c>
      <c r="E4705" t="inlineStr">
        <is>
          <t>pagado</t>
        </is>
      </c>
      <c r="F4705" s="23" t="n">
        <v>46273</v>
      </c>
      <c r="G4705" s="24">
        <f>F4705-DATE(2026,8,31)</f>
        <v>8</v>
      </c>
      <c r="H4705" s="25" t="n">
        <v>62067289</v>
      </c>
      <c r="I4705" t="inlineStr">
        <is>
          <t>entidad-dia</t>
        </is>
      </c>
    </row>
    <row r="4706">
      <c r="A4706" t="inlineStr">
        <is>
          <t>PRAGMA</t>
        </is>
      </c>
      <c r="B4706" t="inlineStr">
        <is>
          <t>M1</t>
        </is>
      </c>
      <c r="C4706" t="inlineStr">
        <is>
          <t>Cali</t>
        </is>
      </c>
      <c r="D4706" t="inlineStr">
        <is>
          <t>8076</t>
        </is>
      </c>
      <c r="E4706" t="inlineStr">
        <is>
          <t>pagado</t>
        </is>
      </c>
      <c r="F4706" s="23" t="n">
        <v>46274</v>
      </c>
      <c r="G4706" s="24">
        <f>F4706-DATE(2026,8,31)</f>
        <v>9</v>
      </c>
      <c r="H4706" s="25" t="n">
        <v>53107934</v>
      </c>
      <c r="I4706" t="inlineStr">
        <is>
          <t>entidad-dia</t>
        </is>
      </c>
    </row>
    <row r="4707">
      <c r="A4707" t="inlineStr">
        <is>
          <t>PRAGMA</t>
        </is>
      </c>
      <c r="B4707" t="inlineStr">
        <is>
          <t>M1</t>
        </is>
      </c>
      <c r="C4707" t="inlineStr">
        <is>
          <t>Cali</t>
        </is>
      </c>
      <c r="D4707" t="inlineStr">
        <is>
          <t>8076</t>
        </is>
      </c>
      <c r="E4707" t="inlineStr">
        <is>
          <t>pagado</t>
        </is>
      </c>
      <c r="F4707" s="23" t="n">
        <v>46275</v>
      </c>
      <c r="G4707" s="24">
        <f>F4707-DATE(2026,8,31)</f>
        <v>10</v>
      </c>
      <c r="H4707" s="25" t="n">
        <v>46596251</v>
      </c>
      <c r="I4707" t="inlineStr">
        <is>
          <t>entidad-dia</t>
        </is>
      </c>
    </row>
    <row r="4708">
      <c r="A4708" t="inlineStr">
        <is>
          <t>PRAGMA</t>
        </is>
      </c>
      <c r="B4708" t="inlineStr">
        <is>
          <t>M1</t>
        </is>
      </c>
      <c r="C4708" t="inlineStr">
        <is>
          <t>Cali</t>
        </is>
      </c>
      <c r="D4708" t="inlineStr">
        <is>
          <t>8076</t>
        </is>
      </c>
      <c r="E4708" t="inlineStr">
        <is>
          <t>pagado</t>
        </is>
      </c>
      <c r="F4708" s="23" t="n">
        <v>46276</v>
      </c>
      <c r="G4708" s="24">
        <f>F4708-DATE(2026,8,31)</f>
        <v>11</v>
      </c>
      <c r="H4708" s="25" t="n">
        <v>55497221</v>
      </c>
      <c r="I4708" t="inlineStr">
        <is>
          <t>entidad-dia</t>
        </is>
      </c>
    </row>
    <row r="4709">
      <c r="A4709" t="inlineStr">
        <is>
          <t>PRAGMA</t>
        </is>
      </c>
      <c r="B4709" t="inlineStr">
        <is>
          <t>M1</t>
        </is>
      </c>
      <c r="C4709" t="inlineStr">
        <is>
          <t>Cali</t>
        </is>
      </c>
      <c r="D4709" t="inlineStr">
        <is>
          <t>8076</t>
        </is>
      </c>
      <c r="E4709" t="inlineStr">
        <is>
          <t>pagado</t>
        </is>
      </c>
      <c r="F4709" s="23" t="n">
        <v>46277</v>
      </c>
      <c r="G4709" s="24">
        <f>F4709-DATE(2026,8,31)</f>
        <v>12</v>
      </c>
      <c r="H4709" s="25" t="n">
        <v>62971578</v>
      </c>
      <c r="I4709" t="inlineStr">
        <is>
          <t>entidad-dia</t>
        </is>
      </c>
    </row>
    <row r="4710">
      <c r="A4710" t="inlineStr">
        <is>
          <t>PRAGMA</t>
        </is>
      </c>
      <c r="B4710" t="inlineStr">
        <is>
          <t>M1</t>
        </is>
      </c>
      <c r="C4710" t="inlineStr">
        <is>
          <t>Cali</t>
        </is>
      </c>
      <c r="D4710" t="inlineStr">
        <is>
          <t>8076</t>
        </is>
      </c>
      <c r="E4710" t="inlineStr">
        <is>
          <t>pagado</t>
        </is>
      </c>
      <c r="F4710" s="23" t="n">
        <v>46278</v>
      </c>
      <c r="G4710" s="24">
        <f>F4710-DATE(2026,8,31)</f>
        <v>13</v>
      </c>
      <c r="H4710" s="25" t="n">
        <v>30573276</v>
      </c>
      <c r="I4710" t="inlineStr">
        <is>
          <t>entidad-dia</t>
        </is>
      </c>
    </row>
    <row r="4711">
      <c r="A4711" t="inlineStr">
        <is>
          <t>PRAGMA</t>
        </is>
      </c>
      <c r="B4711" t="inlineStr">
        <is>
          <t>M1</t>
        </is>
      </c>
      <c r="C4711" t="inlineStr">
        <is>
          <t>Cali</t>
        </is>
      </c>
      <c r="D4711" t="inlineStr">
        <is>
          <t>8076</t>
        </is>
      </c>
      <c r="E4711" t="inlineStr">
        <is>
          <t>pagado</t>
        </is>
      </c>
      <c r="F4711" s="23" t="n">
        <v>46279</v>
      </c>
      <c r="G4711" s="24">
        <f>F4711-DATE(2026,8,31)</f>
        <v>14</v>
      </c>
      <c r="H4711" s="25" t="n">
        <v>60259084</v>
      </c>
      <c r="I4711" t="inlineStr">
        <is>
          <t>entidad-dia</t>
        </is>
      </c>
    </row>
    <row r="4712">
      <c r="A4712" t="inlineStr">
        <is>
          <t>PRAGMA</t>
        </is>
      </c>
      <c r="B4712" t="inlineStr">
        <is>
          <t>M1</t>
        </is>
      </c>
      <c r="C4712" t="inlineStr">
        <is>
          <t>Cali</t>
        </is>
      </c>
      <c r="D4712" t="inlineStr">
        <is>
          <t>8076</t>
        </is>
      </c>
      <c r="E4712" t="inlineStr">
        <is>
          <t>pagado</t>
        </is>
      </c>
      <c r="F4712" s="23" t="n">
        <v>46280</v>
      </c>
      <c r="G4712" s="24">
        <f>F4712-DATE(2026,8,31)</f>
        <v>15</v>
      </c>
      <c r="H4712" s="25" t="n">
        <v>99300557</v>
      </c>
      <c r="I4712" t="inlineStr">
        <is>
          <t>entidad-dia</t>
        </is>
      </c>
    </row>
    <row r="4713">
      <c r="A4713" t="inlineStr">
        <is>
          <t>PRAGMA</t>
        </is>
      </c>
      <c r="B4713" t="inlineStr">
        <is>
          <t>M1</t>
        </is>
      </c>
      <c r="C4713" t="inlineStr">
        <is>
          <t>Cali</t>
        </is>
      </c>
      <c r="D4713" t="inlineStr">
        <is>
          <t>8084</t>
        </is>
      </c>
      <c r="E4713" t="inlineStr">
        <is>
          <t>pagado</t>
        </is>
      </c>
      <c r="F4713" s="23" t="n">
        <v>46266</v>
      </c>
      <c r="G4713" s="24">
        <f>F4713-DATE(2026,8,31)</f>
        <v>1</v>
      </c>
      <c r="H4713" s="25" t="n">
        <v>124576216</v>
      </c>
      <c r="I4713" t="inlineStr">
        <is>
          <t>entidad-dia</t>
        </is>
      </c>
    </row>
    <row r="4714">
      <c r="A4714" t="inlineStr">
        <is>
          <t>PRAGMA</t>
        </is>
      </c>
      <c r="B4714" t="inlineStr">
        <is>
          <t>M1</t>
        </is>
      </c>
      <c r="C4714" t="inlineStr">
        <is>
          <t>Cali</t>
        </is>
      </c>
      <c r="D4714" t="inlineStr">
        <is>
          <t>8084</t>
        </is>
      </c>
      <c r="E4714" t="inlineStr">
        <is>
          <t>pagado</t>
        </is>
      </c>
      <c r="F4714" s="23" t="n">
        <v>46267</v>
      </c>
      <c r="G4714" s="24">
        <f>F4714-DATE(2026,8,31)</f>
        <v>2</v>
      </c>
      <c r="H4714" s="25" t="n">
        <v>88095042</v>
      </c>
      <c r="I4714" t="inlineStr">
        <is>
          <t>entidad-dia</t>
        </is>
      </c>
    </row>
    <row r="4715">
      <c r="A4715" t="inlineStr">
        <is>
          <t>PRAGMA</t>
        </is>
      </c>
      <c r="B4715" t="inlineStr">
        <is>
          <t>M1</t>
        </is>
      </c>
      <c r="C4715" t="inlineStr">
        <is>
          <t>Cali</t>
        </is>
      </c>
      <c r="D4715" t="inlineStr">
        <is>
          <t>8084</t>
        </is>
      </c>
      <c r="E4715" t="inlineStr">
        <is>
          <t>pagado</t>
        </is>
      </c>
      <c r="F4715" s="23" t="n">
        <v>46268</v>
      </c>
      <c r="G4715" s="24">
        <f>F4715-DATE(2026,8,31)</f>
        <v>3</v>
      </c>
      <c r="H4715" s="25" t="n">
        <v>81359772</v>
      </c>
      <c r="I4715" t="inlineStr">
        <is>
          <t>entidad-dia</t>
        </is>
      </c>
    </row>
    <row r="4716">
      <c r="A4716" t="inlineStr">
        <is>
          <t>PRAGMA</t>
        </is>
      </c>
      <c r="B4716" t="inlineStr">
        <is>
          <t>M1</t>
        </is>
      </c>
      <c r="C4716" t="inlineStr">
        <is>
          <t>Cali</t>
        </is>
      </c>
      <c r="D4716" t="inlineStr">
        <is>
          <t>8084</t>
        </is>
      </c>
      <c r="E4716" t="inlineStr">
        <is>
          <t>pagado</t>
        </is>
      </c>
      <c r="F4716" s="23" t="n">
        <v>46269</v>
      </c>
      <c r="G4716" s="24">
        <f>F4716-DATE(2026,8,31)</f>
        <v>4</v>
      </c>
      <c r="H4716" s="25" t="n">
        <v>82414714</v>
      </c>
      <c r="I4716" t="inlineStr">
        <is>
          <t>entidad-dia</t>
        </is>
      </c>
    </row>
    <row r="4717">
      <c r="A4717" t="inlineStr">
        <is>
          <t>PRAGMA</t>
        </is>
      </c>
      <c r="B4717" t="inlineStr">
        <is>
          <t>M1</t>
        </is>
      </c>
      <c r="C4717" t="inlineStr">
        <is>
          <t>Cali</t>
        </is>
      </c>
      <c r="D4717" t="inlineStr">
        <is>
          <t>8084</t>
        </is>
      </c>
      <c r="E4717" t="inlineStr">
        <is>
          <t>pagado</t>
        </is>
      </c>
      <c r="F4717" s="23" t="n">
        <v>46270</v>
      </c>
      <c r="G4717" s="24">
        <f>F4717-DATE(2026,8,31)</f>
        <v>5</v>
      </c>
      <c r="H4717" s="25" t="n">
        <v>86832138</v>
      </c>
      <c r="I4717" t="inlineStr">
        <is>
          <t>entidad-dia</t>
        </is>
      </c>
    </row>
    <row r="4718">
      <c r="A4718" t="inlineStr">
        <is>
          <t>PRAGMA</t>
        </is>
      </c>
      <c r="B4718" t="inlineStr">
        <is>
          <t>M1</t>
        </is>
      </c>
      <c r="C4718" t="inlineStr">
        <is>
          <t>Cali</t>
        </is>
      </c>
      <c r="D4718" t="inlineStr">
        <is>
          <t>8084</t>
        </is>
      </c>
      <c r="E4718" t="inlineStr">
        <is>
          <t>pagado</t>
        </is>
      </c>
      <c r="F4718" s="23" t="n">
        <v>46271</v>
      </c>
      <c r="G4718" s="24">
        <f>F4718-DATE(2026,8,31)</f>
        <v>6</v>
      </c>
      <c r="H4718" s="25" t="n">
        <v>42083535</v>
      </c>
      <c r="I4718" t="inlineStr">
        <is>
          <t>entidad-dia</t>
        </is>
      </c>
    </row>
    <row r="4719">
      <c r="A4719" t="inlineStr">
        <is>
          <t>PRAGMA</t>
        </is>
      </c>
      <c r="B4719" t="inlineStr">
        <is>
          <t>M1</t>
        </is>
      </c>
      <c r="C4719" t="inlineStr">
        <is>
          <t>Cali</t>
        </is>
      </c>
      <c r="D4719" t="inlineStr">
        <is>
          <t>8084</t>
        </is>
      </c>
      <c r="E4719" t="inlineStr">
        <is>
          <t>pagado</t>
        </is>
      </c>
      <c r="F4719" s="23" t="n">
        <v>46272</v>
      </c>
      <c r="G4719" s="24">
        <f>F4719-DATE(2026,8,31)</f>
        <v>7</v>
      </c>
      <c r="H4719" s="25" t="n">
        <v>57117543</v>
      </c>
      <c r="I4719" t="inlineStr">
        <is>
          <t>entidad-dia</t>
        </is>
      </c>
    </row>
    <row r="4720">
      <c r="A4720" t="inlineStr">
        <is>
          <t>PRAGMA</t>
        </is>
      </c>
      <c r="B4720" t="inlineStr">
        <is>
          <t>M1</t>
        </is>
      </c>
      <c r="C4720" t="inlineStr">
        <is>
          <t>Cali</t>
        </is>
      </c>
      <c r="D4720" t="inlineStr">
        <is>
          <t>8084</t>
        </is>
      </c>
      <c r="E4720" t="inlineStr">
        <is>
          <t>pagado</t>
        </is>
      </c>
      <c r="F4720" s="23" t="n">
        <v>46273</v>
      </c>
      <c r="G4720" s="24">
        <f>F4720-DATE(2026,8,31)</f>
        <v>8</v>
      </c>
      <c r="H4720" s="25" t="n">
        <v>51506866</v>
      </c>
      <c r="I4720" t="inlineStr">
        <is>
          <t>entidad-dia</t>
        </is>
      </c>
    </row>
    <row r="4721">
      <c r="A4721" t="inlineStr">
        <is>
          <t>PRAGMA</t>
        </is>
      </c>
      <c r="B4721" t="inlineStr">
        <is>
          <t>M1</t>
        </is>
      </c>
      <c r="C4721" t="inlineStr">
        <is>
          <t>Cali</t>
        </is>
      </c>
      <c r="D4721" t="inlineStr">
        <is>
          <t>8084</t>
        </is>
      </c>
      <c r="E4721" t="inlineStr">
        <is>
          <t>pagado</t>
        </is>
      </c>
      <c r="F4721" s="23" t="n">
        <v>46274</v>
      </c>
      <c r="G4721" s="24">
        <f>F4721-DATE(2026,8,31)</f>
        <v>9</v>
      </c>
      <c r="H4721" s="25" t="n">
        <v>60034410</v>
      </c>
      <c r="I4721" t="inlineStr">
        <is>
          <t>entidad-dia</t>
        </is>
      </c>
    </row>
    <row r="4722">
      <c r="A4722" t="inlineStr">
        <is>
          <t>PRAGMA</t>
        </is>
      </c>
      <c r="B4722" t="inlineStr">
        <is>
          <t>M1</t>
        </is>
      </c>
      <c r="C4722" t="inlineStr">
        <is>
          <t>Cali</t>
        </is>
      </c>
      <c r="D4722" t="inlineStr">
        <is>
          <t>8084</t>
        </is>
      </c>
      <c r="E4722" t="inlineStr">
        <is>
          <t>pagado</t>
        </is>
      </c>
      <c r="F4722" s="23" t="n">
        <v>46275</v>
      </c>
      <c r="G4722" s="24">
        <f>F4722-DATE(2026,8,31)</f>
        <v>10</v>
      </c>
      <c r="H4722" s="25" t="n">
        <v>52932125</v>
      </c>
      <c r="I4722" t="inlineStr">
        <is>
          <t>entidad-dia</t>
        </is>
      </c>
    </row>
    <row r="4723">
      <c r="A4723" t="inlineStr">
        <is>
          <t>PRAGMA</t>
        </is>
      </c>
      <c r="B4723" t="inlineStr">
        <is>
          <t>M1</t>
        </is>
      </c>
      <c r="C4723" t="inlineStr">
        <is>
          <t>Cali</t>
        </is>
      </c>
      <c r="D4723" t="inlineStr">
        <is>
          <t>8084</t>
        </is>
      </c>
      <c r="E4723" t="inlineStr">
        <is>
          <t>pagado</t>
        </is>
      </c>
      <c r="F4723" s="23" t="n">
        <v>46276</v>
      </c>
      <c r="G4723" s="24">
        <f>F4723-DATE(2026,8,31)</f>
        <v>11</v>
      </c>
      <c r="H4723" s="25" t="n">
        <v>55436939</v>
      </c>
      <c r="I4723" t="inlineStr">
        <is>
          <t>entidad-dia</t>
        </is>
      </c>
    </row>
    <row r="4724">
      <c r="A4724" t="inlineStr">
        <is>
          <t>PRAGMA</t>
        </is>
      </c>
      <c r="B4724" t="inlineStr">
        <is>
          <t>M1</t>
        </is>
      </c>
      <c r="C4724" t="inlineStr">
        <is>
          <t>Cali</t>
        </is>
      </c>
      <c r="D4724" t="inlineStr">
        <is>
          <t>8084</t>
        </is>
      </c>
      <c r="E4724" t="inlineStr">
        <is>
          <t>pagado</t>
        </is>
      </c>
      <c r="F4724" s="23" t="n">
        <v>46277</v>
      </c>
      <c r="G4724" s="24">
        <f>F4724-DATE(2026,8,31)</f>
        <v>12</v>
      </c>
      <c r="H4724" s="25" t="n">
        <v>66065019</v>
      </c>
      <c r="I4724" t="inlineStr">
        <is>
          <t>entidad-dia</t>
        </is>
      </c>
    </row>
    <row r="4725">
      <c r="A4725" t="inlineStr">
        <is>
          <t>PRAGMA</t>
        </is>
      </c>
      <c r="B4725" t="inlineStr">
        <is>
          <t>M1</t>
        </is>
      </c>
      <c r="C4725" t="inlineStr">
        <is>
          <t>Cali</t>
        </is>
      </c>
      <c r="D4725" t="inlineStr">
        <is>
          <t>8084</t>
        </is>
      </c>
      <c r="E4725" t="inlineStr">
        <is>
          <t>pagado</t>
        </is>
      </c>
      <c r="F4725" s="23" t="n">
        <v>46278</v>
      </c>
      <c r="G4725" s="24">
        <f>F4725-DATE(2026,8,31)</f>
        <v>13</v>
      </c>
      <c r="H4725" s="25" t="n">
        <v>34986829</v>
      </c>
      <c r="I4725" t="inlineStr">
        <is>
          <t>entidad-dia</t>
        </is>
      </c>
    </row>
    <row r="4726">
      <c r="A4726" t="inlineStr">
        <is>
          <t>PRAGMA</t>
        </is>
      </c>
      <c r="B4726" t="inlineStr">
        <is>
          <t>M1</t>
        </is>
      </c>
      <c r="C4726" t="inlineStr">
        <is>
          <t>Cali</t>
        </is>
      </c>
      <c r="D4726" t="inlineStr">
        <is>
          <t>8084</t>
        </is>
      </c>
      <c r="E4726" t="inlineStr">
        <is>
          <t>pagado</t>
        </is>
      </c>
      <c r="F4726" s="23" t="n">
        <v>46279</v>
      </c>
      <c r="G4726" s="24">
        <f>F4726-DATE(2026,8,31)</f>
        <v>14</v>
      </c>
      <c r="H4726" s="25" t="n">
        <v>59782747</v>
      </c>
      <c r="I4726" t="inlineStr">
        <is>
          <t>entidad-dia</t>
        </is>
      </c>
    </row>
    <row r="4727">
      <c r="A4727" t="inlineStr">
        <is>
          <t>PRAGMA</t>
        </is>
      </c>
      <c r="B4727" t="inlineStr">
        <is>
          <t>M1</t>
        </is>
      </c>
      <c r="C4727" t="inlineStr">
        <is>
          <t>Cali</t>
        </is>
      </c>
      <c r="D4727" t="inlineStr">
        <is>
          <t>8084</t>
        </is>
      </c>
      <c r="E4727" t="inlineStr">
        <is>
          <t>pagado</t>
        </is>
      </c>
      <c r="F4727" s="23" t="n">
        <v>46280</v>
      </c>
      <c r="G4727" s="24">
        <f>F4727-DATE(2026,8,31)</f>
        <v>15</v>
      </c>
      <c r="H4727" s="25" t="n">
        <v>94922881</v>
      </c>
      <c r="I4727" t="inlineStr">
        <is>
          <t>entidad-dia</t>
        </is>
      </c>
    </row>
    <row r="4728">
      <c r="A4728" t="inlineStr">
        <is>
          <t>PRAGMA</t>
        </is>
      </c>
      <c r="B4728" t="inlineStr">
        <is>
          <t>M1</t>
        </is>
      </c>
      <c r="C4728" t="inlineStr">
        <is>
          <t>Cali</t>
        </is>
      </c>
      <c r="D4728" t="inlineStr">
        <is>
          <t>8085</t>
        </is>
      </c>
      <c r="E4728" t="inlineStr">
        <is>
          <t>pagado</t>
        </is>
      </c>
      <c r="F4728" s="23" t="n">
        <v>46266</v>
      </c>
      <c r="G4728" s="24">
        <f>F4728-DATE(2026,8,31)</f>
        <v>1</v>
      </c>
      <c r="H4728" s="25" t="n">
        <v>133027146</v>
      </c>
      <c r="I4728" t="inlineStr">
        <is>
          <t>entidad-dia</t>
        </is>
      </c>
    </row>
    <row r="4729">
      <c r="A4729" t="inlineStr">
        <is>
          <t>PRAGMA</t>
        </is>
      </c>
      <c r="B4729" t="inlineStr">
        <is>
          <t>M1</t>
        </is>
      </c>
      <c r="C4729" t="inlineStr">
        <is>
          <t>Cali</t>
        </is>
      </c>
      <c r="D4729" t="inlineStr">
        <is>
          <t>8085</t>
        </is>
      </c>
      <c r="E4729" t="inlineStr">
        <is>
          <t>pagado</t>
        </is>
      </c>
      <c r="F4729" s="23" t="n">
        <v>46267</v>
      </c>
      <c r="G4729" s="24">
        <f>F4729-DATE(2026,8,31)</f>
        <v>2</v>
      </c>
      <c r="H4729" s="25" t="n">
        <v>98758216</v>
      </c>
      <c r="I4729" t="inlineStr">
        <is>
          <t>entidad-dia</t>
        </is>
      </c>
    </row>
    <row r="4730">
      <c r="A4730" t="inlineStr">
        <is>
          <t>PRAGMA</t>
        </is>
      </c>
      <c r="B4730" t="inlineStr">
        <is>
          <t>M1</t>
        </is>
      </c>
      <c r="C4730" t="inlineStr">
        <is>
          <t>Cali</t>
        </is>
      </c>
      <c r="D4730" t="inlineStr">
        <is>
          <t>8085</t>
        </is>
      </c>
      <c r="E4730" t="inlineStr">
        <is>
          <t>pagado</t>
        </is>
      </c>
      <c r="F4730" s="23" t="n">
        <v>46268</v>
      </c>
      <c r="G4730" s="24">
        <f>F4730-DATE(2026,8,31)</f>
        <v>3</v>
      </c>
      <c r="H4730" s="25" t="n">
        <v>88410026</v>
      </c>
      <c r="I4730" t="inlineStr">
        <is>
          <t>entidad-dia</t>
        </is>
      </c>
    </row>
    <row r="4731">
      <c r="A4731" t="inlineStr">
        <is>
          <t>PRAGMA</t>
        </is>
      </c>
      <c r="B4731" t="inlineStr">
        <is>
          <t>M1</t>
        </is>
      </c>
      <c r="C4731" t="inlineStr">
        <is>
          <t>Cali</t>
        </is>
      </c>
      <c r="D4731" t="inlineStr">
        <is>
          <t>8085</t>
        </is>
      </c>
      <c r="E4731" t="inlineStr">
        <is>
          <t>pagado</t>
        </is>
      </c>
      <c r="F4731" s="23" t="n">
        <v>46269</v>
      </c>
      <c r="G4731" s="24">
        <f>F4731-DATE(2026,8,31)</f>
        <v>4</v>
      </c>
      <c r="H4731" s="25" t="n">
        <v>93308424</v>
      </c>
      <c r="I4731" t="inlineStr">
        <is>
          <t>entidad-dia</t>
        </is>
      </c>
    </row>
    <row r="4732">
      <c r="A4732" t="inlineStr">
        <is>
          <t>PRAGMA</t>
        </is>
      </c>
      <c r="B4732" t="inlineStr">
        <is>
          <t>M1</t>
        </is>
      </c>
      <c r="C4732" t="inlineStr">
        <is>
          <t>Cali</t>
        </is>
      </c>
      <c r="D4732" t="inlineStr">
        <is>
          <t>8085</t>
        </is>
      </c>
      <c r="E4732" t="inlineStr">
        <is>
          <t>pagado</t>
        </is>
      </c>
      <c r="F4732" s="23" t="n">
        <v>46270</v>
      </c>
      <c r="G4732" s="24">
        <f>F4732-DATE(2026,8,31)</f>
        <v>5</v>
      </c>
      <c r="H4732" s="25" t="n">
        <v>98604581</v>
      </c>
      <c r="I4732" t="inlineStr">
        <is>
          <t>entidad-dia</t>
        </is>
      </c>
    </row>
    <row r="4733">
      <c r="A4733" t="inlineStr">
        <is>
          <t>PRAGMA</t>
        </is>
      </c>
      <c r="B4733" t="inlineStr">
        <is>
          <t>M1</t>
        </is>
      </c>
      <c r="C4733" t="inlineStr">
        <is>
          <t>Cali</t>
        </is>
      </c>
      <c r="D4733" t="inlineStr">
        <is>
          <t>8085</t>
        </is>
      </c>
      <c r="E4733" t="inlineStr">
        <is>
          <t>pagado</t>
        </is>
      </c>
      <c r="F4733" s="23" t="n">
        <v>46271</v>
      </c>
      <c r="G4733" s="24">
        <f>F4733-DATE(2026,8,31)</f>
        <v>6</v>
      </c>
      <c r="H4733" s="25" t="n">
        <v>41345803</v>
      </c>
      <c r="I4733" t="inlineStr">
        <is>
          <t>entidad-dia</t>
        </is>
      </c>
    </row>
    <row r="4734">
      <c r="A4734" t="inlineStr">
        <is>
          <t>PRAGMA</t>
        </is>
      </c>
      <c r="B4734" t="inlineStr">
        <is>
          <t>M1</t>
        </is>
      </c>
      <c r="C4734" t="inlineStr">
        <is>
          <t>Cali</t>
        </is>
      </c>
      <c r="D4734" t="inlineStr">
        <is>
          <t>8085</t>
        </is>
      </c>
      <c r="E4734" t="inlineStr">
        <is>
          <t>pagado</t>
        </is>
      </c>
      <c r="F4734" s="23" t="n">
        <v>46272</v>
      </c>
      <c r="G4734" s="24">
        <f>F4734-DATE(2026,8,31)</f>
        <v>7</v>
      </c>
      <c r="H4734" s="25" t="n">
        <v>69151406</v>
      </c>
      <c r="I4734" t="inlineStr">
        <is>
          <t>entidad-dia</t>
        </is>
      </c>
    </row>
    <row r="4735">
      <c r="A4735" t="inlineStr">
        <is>
          <t>PRAGMA</t>
        </is>
      </c>
      <c r="B4735" t="inlineStr">
        <is>
          <t>M1</t>
        </is>
      </c>
      <c r="C4735" t="inlineStr">
        <is>
          <t>Cali</t>
        </is>
      </c>
      <c r="D4735" t="inlineStr">
        <is>
          <t>8085</t>
        </is>
      </c>
      <c r="E4735" t="inlineStr">
        <is>
          <t>pagado</t>
        </is>
      </c>
      <c r="F4735" s="23" t="n">
        <v>46273</v>
      </c>
      <c r="G4735" s="24">
        <f>F4735-DATE(2026,8,31)</f>
        <v>8</v>
      </c>
      <c r="H4735" s="25" t="n">
        <v>70452968</v>
      </c>
      <c r="I4735" t="inlineStr">
        <is>
          <t>entidad-dia</t>
        </is>
      </c>
    </row>
    <row r="4736">
      <c r="A4736" t="inlineStr">
        <is>
          <t>PRAGMA</t>
        </is>
      </c>
      <c r="B4736" t="inlineStr">
        <is>
          <t>M1</t>
        </is>
      </c>
      <c r="C4736" t="inlineStr">
        <is>
          <t>Cali</t>
        </is>
      </c>
      <c r="D4736" t="inlineStr">
        <is>
          <t>8085</t>
        </is>
      </c>
      <c r="E4736" t="inlineStr">
        <is>
          <t>pagado</t>
        </is>
      </c>
      <c r="F4736" s="23" t="n">
        <v>46274</v>
      </c>
      <c r="G4736" s="24">
        <f>F4736-DATE(2026,8,31)</f>
        <v>9</v>
      </c>
      <c r="H4736" s="25" t="n">
        <v>67954928</v>
      </c>
      <c r="I4736" t="inlineStr">
        <is>
          <t>entidad-dia</t>
        </is>
      </c>
    </row>
    <row r="4737">
      <c r="A4737" t="inlineStr">
        <is>
          <t>PRAGMA</t>
        </is>
      </c>
      <c r="B4737" t="inlineStr">
        <is>
          <t>M1</t>
        </is>
      </c>
      <c r="C4737" t="inlineStr">
        <is>
          <t>Cali</t>
        </is>
      </c>
      <c r="D4737" t="inlineStr">
        <is>
          <t>8085</t>
        </is>
      </c>
      <c r="E4737" t="inlineStr">
        <is>
          <t>pagado</t>
        </is>
      </c>
      <c r="F4737" s="23" t="n">
        <v>46275</v>
      </c>
      <c r="G4737" s="24">
        <f>F4737-DATE(2026,8,31)</f>
        <v>10</v>
      </c>
      <c r="H4737" s="25" t="n">
        <v>54542532</v>
      </c>
      <c r="I4737" t="inlineStr">
        <is>
          <t>entidad-dia</t>
        </is>
      </c>
    </row>
    <row r="4738">
      <c r="A4738" t="inlineStr">
        <is>
          <t>PRAGMA</t>
        </is>
      </c>
      <c r="B4738" t="inlineStr">
        <is>
          <t>M1</t>
        </is>
      </c>
      <c r="C4738" t="inlineStr">
        <is>
          <t>Cali</t>
        </is>
      </c>
      <c r="D4738" t="inlineStr">
        <is>
          <t>8085</t>
        </is>
      </c>
      <c r="E4738" t="inlineStr">
        <is>
          <t>pagado</t>
        </is>
      </c>
      <c r="F4738" s="23" t="n">
        <v>46276</v>
      </c>
      <c r="G4738" s="24">
        <f>F4738-DATE(2026,8,31)</f>
        <v>11</v>
      </c>
      <c r="H4738" s="25" t="n">
        <v>68568032</v>
      </c>
      <c r="I4738" t="inlineStr">
        <is>
          <t>entidad-dia</t>
        </is>
      </c>
    </row>
    <row r="4739">
      <c r="A4739" t="inlineStr">
        <is>
          <t>PRAGMA</t>
        </is>
      </c>
      <c r="B4739" t="inlineStr">
        <is>
          <t>M1</t>
        </is>
      </c>
      <c r="C4739" t="inlineStr">
        <is>
          <t>Cali</t>
        </is>
      </c>
      <c r="D4739" t="inlineStr">
        <is>
          <t>8085</t>
        </is>
      </c>
      <c r="E4739" t="inlineStr">
        <is>
          <t>pagado</t>
        </is>
      </c>
      <c r="F4739" s="23" t="n">
        <v>46277</v>
      </c>
      <c r="G4739" s="24">
        <f>F4739-DATE(2026,8,31)</f>
        <v>12</v>
      </c>
      <c r="H4739" s="25" t="n">
        <v>70128629</v>
      </c>
      <c r="I4739" t="inlineStr">
        <is>
          <t>entidad-dia</t>
        </is>
      </c>
    </row>
    <row r="4740">
      <c r="A4740" t="inlineStr">
        <is>
          <t>PRAGMA</t>
        </is>
      </c>
      <c r="B4740" t="inlineStr">
        <is>
          <t>M1</t>
        </is>
      </c>
      <c r="C4740" t="inlineStr">
        <is>
          <t>Cali</t>
        </is>
      </c>
      <c r="D4740" t="inlineStr">
        <is>
          <t>8085</t>
        </is>
      </c>
      <c r="E4740" t="inlineStr">
        <is>
          <t>pagado</t>
        </is>
      </c>
      <c r="F4740" s="23" t="n">
        <v>46278</v>
      </c>
      <c r="G4740" s="24">
        <f>F4740-DATE(2026,8,31)</f>
        <v>13</v>
      </c>
      <c r="H4740" s="25" t="n">
        <v>35582768</v>
      </c>
      <c r="I4740" t="inlineStr">
        <is>
          <t>entidad-dia</t>
        </is>
      </c>
    </row>
    <row r="4741">
      <c r="A4741" t="inlineStr">
        <is>
          <t>PRAGMA</t>
        </is>
      </c>
      <c r="B4741" t="inlineStr">
        <is>
          <t>M1</t>
        </is>
      </c>
      <c r="C4741" t="inlineStr">
        <is>
          <t>Cali</t>
        </is>
      </c>
      <c r="D4741" t="inlineStr">
        <is>
          <t>8085</t>
        </is>
      </c>
      <c r="E4741" t="inlineStr">
        <is>
          <t>pagado</t>
        </is>
      </c>
      <c r="F4741" s="23" t="n">
        <v>46279</v>
      </c>
      <c r="G4741" s="24">
        <f>F4741-DATE(2026,8,31)</f>
        <v>14</v>
      </c>
      <c r="H4741" s="25" t="n">
        <v>67619765</v>
      </c>
      <c r="I4741" t="inlineStr">
        <is>
          <t>entidad-dia</t>
        </is>
      </c>
    </row>
    <row r="4742">
      <c r="A4742" t="inlineStr">
        <is>
          <t>PRAGMA</t>
        </is>
      </c>
      <c r="B4742" t="inlineStr">
        <is>
          <t>M1</t>
        </is>
      </c>
      <c r="C4742" t="inlineStr">
        <is>
          <t>Cali</t>
        </is>
      </c>
      <c r="D4742" t="inlineStr">
        <is>
          <t>8085</t>
        </is>
      </c>
      <c r="E4742" t="inlineStr">
        <is>
          <t>pagado</t>
        </is>
      </c>
      <c r="F4742" s="23" t="n">
        <v>46280</v>
      </c>
      <c r="G4742" s="24">
        <f>F4742-DATE(2026,8,31)</f>
        <v>15</v>
      </c>
      <c r="H4742" s="25" t="n">
        <v>96065522</v>
      </c>
      <c r="I4742" t="inlineStr">
        <is>
          <t>entidad-dia</t>
        </is>
      </c>
    </row>
    <row r="4743">
      <c r="A4743" t="inlineStr">
        <is>
          <t>PRAGMA</t>
        </is>
      </c>
      <c r="B4743" t="inlineStr">
        <is>
          <t>M1</t>
        </is>
      </c>
      <c r="C4743" t="inlineStr">
        <is>
          <t>Cali</t>
        </is>
      </c>
      <c r="D4743" t="inlineStr">
        <is>
          <t>8090</t>
        </is>
      </c>
      <c r="E4743" t="inlineStr">
        <is>
          <t>pagado</t>
        </is>
      </c>
      <c r="F4743" s="23" t="n">
        <v>46266</v>
      </c>
      <c r="G4743" s="24">
        <f>F4743-DATE(2026,8,31)</f>
        <v>1</v>
      </c>
      <c r="H4743" s="25" t="n">
        <v>148399412</v>
      </c>
      <c r="I4743" t="inlineStr">
        <is>
          <t>entidad-dia</t>
        </is>
      </c>
    </row>
    <row r="4744">
      <c r="A4744" t="inlineStr">
        <is>
          <t>PRAGMA</t>
        </is>
      </c>
      <c r="B4744" t="inlineStr">
        <is>
          <t>M1</t>
        </is>
      </c>
      <c r="C4744" t="inlineStr">
        <is>
          <t>Cali</t>
        </is>
      </c>
      <c r="D4744" t="inlineStr">
        <is>
          <t>8090</t>
        </is>
      </c>
      <c r="E4744" t="inlineStr">
        <is>
          <t>pagado</t>
        </is>
      </c>
      <c r="F4744" s="23" t="n">
        <v>46267</v>
      </c>
      <c r="G4744" s="24">
        <f>F4744-DATE(2026,8,31)</f>
        <v>2</v>
      </c>
      <c r="H4744" s="25" t="n">
        <v>109194551</v>
      </c>
      <c r="I4744" t="inlineStr">
        <is>
          <t>entidad-dia</t>
        </is>
      </c>
    </row>
    <row r="4745">
      <c r="A4745" t="inlineStr">
        <is>
          <t>PRAGMA</t>
        </is>
      </c>
      <c r="B4745" t="inlineStr">
        <is>
          <t>M1</t>
        </is>
      </c>
      <c r="C4745" t="inlineStr">
        <is>
          <t>Cali</t>
        </is>
      </c>
      <c r="D4745" t="inlineStr">
        <is>
          <t>8090</t>
        </is>
      </c>
      <c r="E4745" t="inlineStr">
        <is>
          <t>pagado</t>
        </is>
      </c>
      <c r="F4745" s="23" t="n">
        <v>46268</v>
      </c>
      <c r="G4745" s="24">
        <f>F4745-DATE(2026,8,31)</f>
        <v>3</v>
      </c>
      <c r="H4745" s="25" t="n">
        <v>100766087</v>
      </c>
      <c r="I4745" t="inlineStr">
        <is>
          <t>entidad-dia</t>
        </is>
      </c>
    </row>
    <row r="4746">
      <c r="A4746" t="inlineStr">
        <is>
          <t>PRAGMA</t>
        </is>
      </c>
      <c r="B4746" t="inlineStr">
        <is>
          <t>M1</t>
        </is>
      </c>
      <c r="C4746" t="inlineStr">
        <is>
          <t>Cali</t>
        </is>
      </c>
      <c r="D4746" t="inlineStr">
        <is>
          <t>8090</t>
        </is>
      </c>
      <c r="E4746" t="inlineStr">
        <is>
          <t>pagado</t>
        </is>
      </c>
      <c r="F4746" s="23" t="n">
        <v>46269</v>
      </c>
      <c r="G4746" s="24">
        <f>F4746-DATE(2026,8,31)</f>
        <v>4</v>
      </c>
      <c r="H4746" s="25" t="n">
        <v>105460298</v>
      </c>
      <c r="I4746" t="inlineStr">
        <is>
          <t>entidad-dia</t>
        </is>
      </c>
    </row>
    <row r="4747">
      <c r="A4747" t="inlineStr">
        <is>
          <t>PRAGMA</t>
        </is>
      </c>
      <c r="B4747" t="inlineStr">
        <is>
          <t>M1</t>
        </is>
      </c>
      <c r="C4747" t="inlineStr">
        <is>
          <t>Cali</t>
        </is>
      </c>
      <c r="D4747" t="inlineStr">
        <is>
          <t>8090</t>
        </is>
      </c>
      <c r="E4747" t="inlineStr">
        <is>
          <t>pagado</t>
        </is>
      </c>
      <c r="F4747" s="23" t="n">
        <v>46270</v>
      </c>
      <c r="G4747" s="24">
        <f>F4747-DATE(2026,8,31)</f>
        <v>5</v>
      </c>
      <c r="H4747" s="25" t="n">
        <v>107995284</v>
      </c>
      <c r="I4747" t="inlineStr">
        <is>
          <t>entidad-dia</t>
        </is>
      </c>
    </row>
    <row r="4748">
      <c r="A4748" t="inlineStr">
        <is>
          <t>PRAGMA</t>
        </is>
      </c>
      <c r="B4748" t="inlineStr">
        <is>
          <t>M1</t>
        </is>
      </c>
      <c r="C4748" t="inlineStr">
        <is>
          <t>Cali</t>
        </is>
      </c>
      <c r="D4748" t="inlineStr">
        <is>
          <t>8090</t>
        </is>
      </c>
      <c r="E4748" t="inlineStr">
        <is>
          <t>pagado</t>
        </is>
      </c>
      <c r="F4748" s="23" t="n">
        <v>46271</v>
      </c>
      <c r="G4748" s="24">
        <f>F4748-DATE(2026,8,31)</f>
        <v>6</v>
      </c>
      <c r="H4748" s="25" t="n">
        <v>70896234</v>
      </c>
      <c r="I4748" t="inlineStr">
        <is>
          <t>entidad-dia</t>
        </is>
      </c>
    </row>
    <row r="4749">
      <c r="A4749" t="inlineStr">
        <is>
          <t>PRAGMA</t>
        </is>
      </c>
      <c r="B4749" t="inlineStr">
        <is>
          <t>M1</t>
        </is>
      </c>
      <c r="C4749" t="inlineStr">
        <is>
          <t>Cali</t>
        </is>
      </c>
      <c r="D4749" t="inlineStr">
        <is>
          <t>8090</t>
        </is>
      </c>
      <c r="E4749" t="inlineStr">
        <is>
          <t>pagado</t>
        </is>
      </c>
      <c r="F4749" s="23" t="n">
        <v>46272</v>
      </c>
      <c r="G4749" s="24">
        <f>F4749-DATE(2026,8,31)</f>
        <v>7</v>
      </c>
      <c r="H4749" s="25" t="n">
        <v>82359941</v>
      </c>
      <c r="I4749" t="inlineStr">
        <is>
          <t>entidad-dia</t>
        </is>
      </c>
    </row>
    <row r="4750">
      <c r="A4750" t="inlineStr">
        <is>
          <t>PRAGMA</t>
        </is>
      </c>
      <c r="B4750" t="inlineStr">
        <is>
          <t>M1</t>
        </is>
      </c>
      <c r="C4750" t="inlineStr">
        <is>
          <t>Cali</t>
        </is>
      </c>
      <c r="D4750" t="inlineStr">
        <is>
          <t>8090</t>
        </is>
      </c>
      <c r="E4750" t="inlineStr">
        <is>
          <t>pagado</t>
        </is>
      </c>
      <c r="F4750" s="23" t="n">
        <v>46273</v>
      </c>
      <c r="G4750" s="24">
        <f>F4750-DATE(2026,8,31)</f>
        <v>8</v>
      </c>
      <c r="H4750" s="25" t="n">
        <v>74213102</v>
      </c>
      <c r="I4750" t="inlineStr">
        <is>
          <t>entidad-dia</t>
        </is>
      </c>
    </row>
    <row r="4751">
      <c r="A4751" t="inlineStr">
        <is>
          <t>PRAGMA</t>
        </is>
      </c>
      <c r="B4751" t="inlineStr">
        <is>
          <t>M1</t>
        </is>
      </c>
      <c r="C4751" t="inlineStr">
        <is>
          <t>Cali</t>
        </is>
      </c>
      <c r="D4751" t="inlineStr">
        <is>
          <t>8090</t>
        </is>
      </c>
      <c r="E4751" t="inlineStr">
        <is>
          <t>pagado</t>
        </is>
      </c>
      <c r="F4751" s="23" t="n">
        <v>46274</v>
      </c>
      <c r="G4751" s="24">
        <f>F4751-DATE(2026,8,31)</f>
        <v>9</v>
      </c>
      <c r="H4751" s="25" t="n">
        <v>80046311</v>
      </c>
      <c r="I4751" t="inlineStr">
        <is>
          <t>entidad-dia</t>
        </is>
      </c>
    </row>
    <row r="4752">
      <c r="A4752" t="inlineStr">
        <is>
          <t>PRAGMA</t>
        </is>
      </c>
      <c r="B4752" t="inlineStr">
        <is>
          <t>M1</t>
        </is>
      </c>
      <c r="C4752" t="inlineStr">
        <is>
          <t>Cali</t>
        </is>
      </c>
      <c r="D4752" t="inlineStr">
        <is>
          <t>8090</t>
        </is>
      </c>
      <c r="E4752" t="inlineStr">
        <is>
          <t>pagado</t>
        </is>
      </c>
      <c r="F4752" s="23" t="n">
        <v>46275</v>
      </c>
      <c r="G4752" s="24">
        <f>F4752-DATE(2026,8,31)</f>
        <v>10</v>
      </c>
      <c r="H4752" s="25" t="n">
        <v>73466958</v>
      </c>
      <c r="I4752" t="inlineStr">
        <is>
          <t>entidad-dia</t>
        </is>
      </c>
    </row>
    <row r="4753">
      <c r="A4753" t="inlineStr">
        <is>
          <t>PRAGMA</t>
        </is>
      </c>
      <c r="B4753" t="inlineStr">
        <is>
          <t>M1</t>
        </is>
      </c>
      <c r="C4753" t="inlineStr">
        <is>
          <t>Cali</t>
        </is>
      </c>
      <c r="D4753" t="inlineStr">
        <is>
          <t>8090</t>
        </is>
      </c>
      <c r="E4753" t="inlineStr">
        <is>
          <t>pagado</t>
        </is>
      </c>
      <c r="F4753" s="23" t="n">
        <v>46276</v>
      </c>
      <c r="G4753" s="24">
        <f>F4753-DATE(2026,8,31)</f>
        <v>11</v>
      </c>
      <c r="H4753" s="25" t="n">
        <v>86224511</v>
      </c>
      <c r="I4753" t="inlineStr">
        <is>
          <t>entidad-dia</t>
        </is>
      </c>
    </row>
    <row r="4754">
      <c r="A4754" t="inlineStr">
        <is>
          <t>PRAGMA</t>
        </is>
      </c>
      <c r="B4754" t="inlineStr">
        <is>
          <t>M1</t>
        </is>
      </c>
      <c r="C4754" t="inlineStr">
        <is>
          <t>Cali</t>
        </is>
      </c>
      <c r="D4754" t="inlineStr">
        <is>
          <t>8090</t>
        </is>
      </c>
      <c r="E4754" t="inlineStr">
        <is>
          <t>pagado</t>
        </is>
      </c>
      <c r="F4754" s="23" t="n">
        <v>46277</v>
      </c>
      <c r="G4754" s="24">
        <f>F4754-DATE(2026,8,31)</f>
        <v>12</v>
      </c>
      <c r="H4754" s="25" t="n">
        <v>89617695</v>
      </c>
      <c r="I4754" t="inlineStr">
        <is>
          <t>entidad-dia</t>
        </is>
      </c>
    </row>
    <row r="4755">
      <c r="A4755" t="inlineStr">
        <is>
          <t>PRAGMA</t>
        </is>
      </c>
      <c r="B4755" t="inlineStr">
        <is>
          <t>M1</t>
        </is>
      </c>
      <c r="C4755" t="inlineStr">
        <is>
          <t>Cali</t>
        </is>
      </c>
      <c r="D4755" t="inlineStr">
        <is>
          <t>8090</t>
        </is>
      </c>
      <c r="E4755" t="inlineStr">
        <is>
          <t>pagado</t>
        </is>
      </c>
      <c r="F4755" s="23" t="n">
        <v>46278</v>
      </c>
      <c r="G4755" s="24">
        <f>F4755-DATE(2026,8,31)</f>
        <v>13</v>
      </c>
      <c r="H4755" s="25" t="n">
        <v>54376854</v>
      </c>
      <c r="I4755" t="inlineStr">
        <is>
          <t>entidad-dia</t>
        </is>
      </c>
    </row>
    <row r="4756">
      <c r="A4756" t="inlineStr">
        <is>
          <t>PRAGMA</t>
        </is>
      </c>
      <c r="B4756" t="inlineStr">
        <is>
          <t>M1</t>
        </is>
      </c>
      <c r="C4756" t="inlineStr">
        <is>
          <t>Cali</t>
        </is>
      </c>
      <c r="D4756" t="inlineStr">
        <is>
          <t>8090</t>
        </is>
      </c>
      <c r="E4756" t="inlineStr">
        <is>
          <t>pagado</t>
        </is>
      </c>
      <c r="F4756" s="23" t="n">
        <v>46279</v>
      </c>
      <c r="G4756" s="24">
        <f>F4756-DATE(2026,8,31)</f>
        <v>14</v>
      </c>
      <c r="H4756" s="25" t="n">
        <v>79317996</v>
      </c>
      <c r="I4756" t="inlineStr">
        <is>
          <t>entidad-dia</t>
        </is>
      </c>
    </row>
    <row r="4757">
      <c r="A4757" t="inlineStr">
        <is>
          <t>PRAGMA</t>
        </is>
      </c>
      <c r="B4757" t="inlineStr">
        <is>
          <t>M1</t>
        </is>
      </c>
      <c r="C4757" t="inlineStr">
        <is>
          <t>Cali</t>
        </is>
      </c>
      <c r="D4757" t="inlineStr">
        <is>
          <t>8090</t>
        </is>
      </c>
      <c r="E4757" t="inlineStr">
        <is>
          <t>pagado</t>
        </is>
      </c>
      <c r="F4757" s="23" t="n">
        <v>46280</v>
      </c>
      <c r="G4757" s="24">
        <f>F4757-DATE(2026,8,31)</f>
        <v>15</v>
      </c>
      <c r="H4757" s="25" t="n">
        <v>106433006</v>
      </c>
      <c r="I4757" t="inlineStr">
        <is>
          <t>entidad-dia</t>
        </is>
      </c>
    </row>
    <row r="4758">
      <c r="A4758" t="inlineStr">
        <is>
          <t>PRAGMA</t>
        </is>
      </c>
      <c r="B4758" t="inlineStr">
        <is>
          <t>M1</t>
        </is>
      </c>
      <c r="C4758" t="inlineStr">
        <is>
          <t>Cali</t>
        </is>
      </c>
      <c r="D4758" t="inlineStr">
        <is>
          <t>8127</t>
        </is>
      </c>
      <c r="E4758" t="inlineStr">
        <is>
          <t>pagado</t>
        </is>
      </c>
      <c r="F4758" s="23" t="n">
        <v>46266</v>
      </c>
      <c r="G4758" s="24">
        <f>F4758-DATE(2026,8,31)</f>
        <v>1</v>
      </c>
      <c r="H4758" s="25" t="n">
        <v>169505109</v>
      </c>
      <c r="I4758" t="inlineStr">
        <is>
          <t>entidad-dia</t>
        </is>
      </c>
    </row>
    <row r="4759">
      <c r="A4759" t="inlineStr">
        <is>
          <t>PRAGMA</t>
        </is>
      </c>
      <c r="B4759" t="inlineStr">
        <is>
          <t>M1</t>
        </is>
      </c>
      <c r="C4759" t="inlineStr">
        <is>
          <t>Cali</t>
        </is>
      </c>
      <c r="D4759" t="inlineStr">
        <is>
          <t>8127</t>
        </is>
      </c>
      <c r="E4759" t="inlineStr">
        <is>
          <t>pagado</t>
        </is>
      </c>
      <c r="F4759" s="23" t="n">
        <v>46267</v>
      </c>
      <c r="G4759" s="24">
        <f>F4759-DATE(2026,8,31)</f>
        <v>2</v>
      </c>
      <c r="H4759" s="25" t="n">
        <v>129995924</v>
      </c>
      <c r="I4759" t="inlineStr">
        <is>
          <t>entidad-dia</t>
        </is>
      </c>
    </row>
    <row r="4760">
      <c r="A4760" t="inlineStr">
        <is>
          <t>PRAGMA</t>
        </is>
      </c>
      <c r="B4760" t="inlineStr">
        <is>
          <t>M1</t>
        </is>
      </c>
      <c r="C4760" t="inlineStr">
        <is>
          <t>Cali</t>
        </is>
      </c>
      <c r="D4760" t="inlineStr">
        <is>
          <t>8127</t>
        </is>
      </c>
      <c r="E4760" t="inlineStr">
        <is>
          <t>pagado</t>
        </is>
      </c>
      <c r="F4760" s="23" t="n">
        <v>46268</v>
      </c>
      <c r="G4760" s="24">
        <f>F4760-DATE(2026,8,31)</f>
        <v>3</v>
      </c>
      <c r="H4760" s="25" t="n">
        <v>123813345</v>
      </c>
      <c r="I4760" t="inlineStr">
        <is>
          <t>entidad-dia</t>
        </is>
      </c>
    </row>
    <row r="4761">
      <c r="A4761" t="inlineStr">
        <is>
          <t>PRAGMA</t>
        </is>
      </c>
      <c r="B4761" t="inlineStr">
        <is>
          <t>M1</t>
        </is>
      </c>
      <c r="C4761" t="inlineStr">
        <is>
          <t>Cali</t>
        </is>
      </c>
      <c r="D4761" t="inlineStr">
        <is>
          <t>8127</t>
        </is>
      </c>
      <c r="E4761" t="inlineStr">
        <is>
          <t>pagado</t>
        </is>
      </c>
      <c r="F4761" s="23" t="n">
        <v>46269</v>
      </c>
      <c r="G4761" s="24">
        <f>F4761-DATE(2026,8,31)</f>
        <v>4</v>
      </c>
      <c r="H4761" s="25" t="n">
        <v>119594427</v>
      </c>
      <c r="I4761" t="inlineStr">
        <is>
          <t>entidad-dia</t>
        </is>
      </c>
    </row>
    <row r="4762">
      <c r="A4762" t="inlineStr">
        <is>
          <t>PRAGMA</t>
        </is>
      </c>
      <c r="B4762" t="inlineStr">
        <is>
          <t>M1</t>
        </is>
      </c>
      <c r="C4762" t="inlineStr">
        <is>
          <t>Cali</t>
        </is>
      </c>
      <c r="D4762" t="inlineStr">
        <is>
          <t>8127</t>
        </is>
      </c>
      <c r="E4762" t="inlineStr">
        <is>
          <t>pagado</t>
        </is>
      </c>
      <c r="F4762" s="23" t="n">
        <v>46270</v>
      </c>
      <c r="G4762" s="24">
        <f>F4762-DATE(2026,8,31)</f>
        <v>5</v>
      </c>
      <c r="H4762" s="25" t="n">
        <v>125048205</v>
      </c>
      <c r="I4762" t="inlineStr">
        <is>
          <t>entidad-dia</t>
        </is>
      </c>
    </row>
    <row r="4763">
      <c r="A4763" t="inlineStr">
        <is>
          <t>PRAGMA</t>
        </is>
      </c>
      <c r="B4763" t="inlineStr">
        <is>
          <t>M1</t>
        </is>
      </c>
      <c r="C4763" t="inlineStr">
        <is>
          <t>Cali</t>
        </is>
      </c>
      <c r="D4763" t="inlineStr">
        <is>
          <t>8127</t>
        </is>
      </c>
      <c r="E4763" t="inlineStr">
        <is>
          <t>pagado</t>
        </is>
      </c>
      <c r="F4763" s="23" t="n">
        <v>46271</v>
      </c>
      <c r="G4763" s="24">
        <f>F4763-DATE(2026,8,31)</f>
        <v>6</v>
      </c>
      <c r="H4763" s="25" t="n">
        <v>69439532</v>
      </c>
      <c r="I4763" t="inlineStr">
        <is>
          <t>entidad-dia</t>
        </is>
      </c>
    </row>
    <row r="4764">
      <c r="A4764" t="inlineStr">
        <is>
          <t>PRAGMA</t>
        </is>
      </c>
      <c r="B4764" t="inlineStr">
        <is>
          <t>M1</t>
        </is>
      </c>
      <c r="C4764" t="inlineStr">
        <is>
          <t>Cali</t>
        </is>
      </c>
      <c r="D4764" t="inlineStr">
        <is>
          <t>8127</t>
        </is>
      </c>
      <c r="E4764" t="inlineStr">
        <is>
          <t>pagado</t>
        </is>
      </c>
      <c r="F4764" s="23" t="n">
        <v>46272</v>
      </c>
      <c r="G4764" s="24">
        <f>F4764-DATE(2026,8,31)</f>
        <v>7</v>
      </c>
      <c r="H4764" s="25" t="n">
        <v>78220550</v>
      </c>
      <c r="I4764" t="inlineStr">
        <is>
          <t>entidad-dia</t>
        </is>
      </c>
    </row>
    <row r="4765">
      <c r="A4765" t="inlineStr">
        <is>
          <t>PRAGMA</t>
        </is>
      </c>
      <c r="B4765" t="inlineStr">
        <is>
          <t>M1</t>
        </is>
      </c>
      <c r="C4765" t="inlineStr">
        <is>
          <t>Cali</t>
        </is>
      </c>
      <c r="D4765" t="inlineStr">
        <is>
          <t>8127</t>
        </is>
      </c>
      <c r="E4765" t="inlineStr">
        <is>
          <t>pagado</t>
        </is>
      </c>
      <c r="F4765" s="23" t="n">
        <v>46273</v>
      </c>
      <c r="G4765" s="24">
        <f>F4765-DATE(2026,8,31)</f>
        <v>8</v>
      </c>
      <c r="H4765" s="25" t="n">
        <v>93067087</v>
      </c>
      <c r="I4765" t="inlineStr">
        <is>
          <t>entidad-dia</t>
        </is>
      </c>
    </row>
    <row r="4766">
      <c r="A4766" t="inlineStr">
        <is>
          <t>PRAGMA</t>
        </is>
      </c>
      <c r="B4766" t="inlineStr">
        <is>
          <t>M1</t>
        </is>
      </c>
      <c r="C4766" t="inlineStr">
        <is>
          <t>Cali</t>
        </is>
      </c>
      <c r="D4766" t="inlineStr">
        <is>
          <t>8127</t>
        </is>
      </c>
      <c r="E4766" t="inlineStr">
        <is>
          <t>pagado</t>
        </is>
      </c>
      <c r="F4766" s="23" t="n">
        <v>46274</v>
      </c>
      <c r="G4766" s="24">
        <f>F4766-DATE(2026,8,31)</f>
        <v>9</v>
      </c>
      <c r="H4766" s="25" t="n">
        <v>86528852</v>
      </c>
      <c r="I4766" t="inlineStr">
        <is>
          <t>entidad-dia</t>
        </is>
      </c>
    </row>
    <row r="4767">
      <c r="A4767" t="inlineStr">
        <is>
          <t>PRAGMA</t>
        </is>
      </c>
      <c r="B4767" t="inlineStr">
        <is>
          <t>M1</t>
        </is>
      </c>
      <c r="C4767" t="inlineStr">
        <is>
          <t>Cali</t>
        </is>
      </c>
      <c r="D4767" t="inlineStr">
        <is>
          <t>8127</t>
        </is>
      </c>
      <c r="E4767" t="inlineStr">
        <is>
          <t>pagado</t>
        </is>
      </c>
      <c r="F4767" s="23" t="n">
        <v>46275</v>
      </c>
      <c r="G4767" s="24">
        <f>F4767-DATE(2026,8,31)</f>
        <v>10</v>
      </c>
      <c r="H4767" s="25" t="n">
        <v>91159571</v>
      </c>
      <c r="I4767" t="inlineStr">
        <is>
          <t>entidad-dia</t>
        </is>
      </c>
    </row>
    <row r="4768">
      <c r="A4768" t="inlineStr">
        <is>
          <t>PRAGMA</t>
        </is>
      </c>
      <c r="B4768" t="inlineStr">
        <is>
          <t>M1</t>
        </is>
      </c>
      <c r="C4768" t="inlineStr">
        <is>
          <t>Cali</t>
        </is>
      </c>
      <c r="D4768" t="inlineStr">
        <is>
          <t>8127</t>
        </is>
      </c>
      <c r="E4768" t="inlineStr">
        <is>
          <t>pagado</t>
        </is>
      </c>
      <c r="F4768" s="23" t="n">
        <v>46276</v>
      </c>
      <c r="G4768" s="24">
        <f>F4768-DATE(2026,8,31)</f>
        <v>11</v>
      </c>
      <c r="H4768" s="25" t="n">
        <v>86894292</v>
      </c>
      <c r="I4768" t="inlineStr">
        <is>
          <t>entidad-dia</t>
        </is>
      </c>
    </row>
    <row r="4769">
      <c r="A4769" t="inlineStr">
        <is>
          <t>PRAGMA</t>
        </is>
      </c>
      <c r="B4769" t="inlineStr">
        <is>
          <t>M1</t>
        </is>
      </c>
      <c r="C4769" t="inlineStr">
        <is>
          <t>Cali</t>
        </is>
      </c>
      <c r="D4769" t="inlineStr">
        <is>
          <t>8127</t>
        </is>
      </c>
      <c r="E4769" t="inlineStr">
        <is>
          <t>pagado</t>
        </is>
      </c>
      <c r="F4769" s="23" t="n">
        <v>46277</v>
      </c>
      <c r="G4769" s="24">
        <f>F4769-DATE(2026,8,31)</f>
        <v>12</v>
      </c>
      <c r="H4769" s="25" t="n">
        <v>95097328</v>
      </c>
      <c r="I4769" t="inlineStr">
        <is>
          <t>entidad-dia</t>
        </is>
      </c>
    </row>
    <row r="4770">
      <c r="A4770" t="inlineStr">
        <is>
          <t>PRAGMA</t>
        </is>
      </c>
      <c r="B4770" t="inlineStr">
        <is>
          <t>M1</t>
        </is>
      </c>
      <c r="C4770" t="inlineStr">
        <is>
          <t>Cali</t>
        </is>
      </c>
      <c r="D4770" t="inlineStr">
        <is>
          <t>8127</t>
        </is>
      </c>
      <c r="E4770" t="inlineStr">
        <is>
          <t>pagado</t>
        </is>
      </c>
      <c r="F4770" s="23" t="n">
        <v>46278</v>
      </c>
      <c r="G4770" s="24">
        <f>F4770-DATE(2026,8,31)</f>
        <v>13</v>
      </c>
      <c r="H4770" s="25" t="n">
        <v>51144124</v>
      </c>
      <c r="I4770" t="inlineStr">
        <is>
          <t>entidad-dia</t>
        </is>
      </c>
    </row>
    <row r="4771">
      <c r="A4771" t="inlineStr">
        <is>
          <t>PRAGMA</t>
        </is>
      </c>
      <c r="B4771" t="inlineStr">
        <is>
          <t>M1</t>
        </is>
      </c>
      <c r="C4771" t="inlineStr">
        <is>
          <t>Cali</t>
        </is>
      </c>
      <c r="D4771" t="inlineStr">
        <is>
          <t>8127</t>
        </is>
      </c>
      <c r="E4771" t="inlineStr">
        <is>
          <t>pagado</t>
        </is>
      </c>
      <c r="F4771" s="23" t="n">
        <v>46279</v>
      </c>
      <c r="G4771" s="24">
        <f>F4771-DATE(2026,8,31)</f>
        <v>14</v>
      </c>
      <c r="H4771" s="25" t="n">
        <v>74325659</v>
      </c>
      <c r="I4771" t="inlineStr">
        <is>
          <t>entidad-dia</t>
        </is>
      </c>
    </row>
    <row r="4772">
      <c r="A4772" t="inlineStr">
        <is>
          <t>PRAGMA</t>
        </is>
      </c>
      <c r="B4772" t="inlineStr">
        <is>
          <t>M1</t>
        </is>
      </c>
      <c r="C4772" t="inlineStr">
        <is>
          <t>Cali</t>
        </is>
      </c>
      <c r="D4772" t="inlineStr">
        <is>
          <t>8127</t>
        </is>
      </c>
      <c r="E4772" t="inlineStr">
        <is>
          <t>pagado</t>
        </is>
      </c>
      <c r="F4772" s="23" t="n">
        <v>46280</v>
      </c>
      <c r="G4772" s="24">
        <f>F4772-DATE(2026,8,31)</f>
        <v>15</v>
      </c>
      <c r="H4772" s="25" t="n">
        <v>127872350</v>
      </c>
      <c r="I4772" t="inlineStr">
        <is>
          <t>entidad-dia</t>
        </is>
      </c>
    </row>
    <row r="4773">
      <c r="A4773" t="inlineStr">
        <is>
          <t>PRAGMA</t>
        </is>
      </c>
      <c r="B4773" t="inlineStr">
        <is>
          <t>M1</t>
        </is>
      </c>
      <c r="C4773" t="inlineStr">
        <is>
          <t>Cali</t>
        </is>
      </c>
      <c r="D4773" t="inlineStr">
        <is>
          <t>8131</t>
        </is>
      </c>
      <c r="E4773" t="inlineStr">
        <is>
          <t>pagado</t>
        </is>
      </c>
      <c r="F4773" s="23" t="n">
        <v>46266</v>
      </c>
      <c r="G4773" s="24">
        <f>F4773-DATE(2026,8,31)</f>
        <v>1</v>
      </c>
      <c r="H4773" s="25" t="n">
        <v>226370076</v>
      </c>
      <c r="I4773" t="inlineStr">
        <is>
          <t>entidad-dia</t>
        </is>
      </c>
    </row>
    <row r="4774">
      <c r="A4774" t="inlineStr">
        <is>
          <t>PRAGMA</t>
        </is>
      </c>
      <c r="B4774" t="inlineStr">
        <is>
          <t>M1</t>
        </is>
      </c>
      <c r="C4774" t="inlineStr">
        <is>
          <t>Cali</t>
        </is>
      </c>
      <c r="D4774" t="inlineStr">
        <is>
          <t>8131</t>
        </is>
      </c>
      <c r="E4774" t="inlineStr">
        <is>
          <t>pagado</t>
        </is>
      </c>
      <c r="F4774" s="23" t="n">
        <v>46267</v>
      </c>
      <c r="G4774" s="24">
        <f>F4774-DATE(2026,8,31)</f>
        <v>2</v>
      </c>
      <c r="H4774" s="25" t="n">
        <v>180926874</v>
      </c>
      <c r="I4774" t="inlineStr">
        <is>
          <t>entidad-dia</t>
        </is>
      </c>
    </row>
    <row r="4775">
      <c r="A4775" t="inlineStr">
        <is>
          <t>PRAGMA</t>
        </is>
      </c>
      <c r="B4775" t="inlineStr">
        <is>
          <t>M1</t>
        </is>
      </c>
      <c r="C4775" t="inlineStr">
        <is>
          <t>Cali</t>
        </is>
      </c>
      <c r="D4775" t="inlineStr">
        <is>
          <t>8131</t>
        </is>
      </c>
      <c r="E4775" t="inlineStr">
        <is>
          <t>pagado</t>
        </is>
      </c>
      <c r="F4775" s="23" t="n">
        <v>46268</v>
      </c>
      <c r="G4775" s="24">
        <f>F4775-DATE(2026,8,31)</f>
        <v>3</v>
      </c>
      <c r="H4775" s="25" t="n">
        <v>167016033</v>
      </c>
      <c r="I4775" t="inlineStr">
        <is>
          <t>entidad-dia</t>
        </is>
      </c>
    </row>
    <row r="4776">
      <c r="A4776" t="inlineStr">
        <is>
          <t>PRAGMA</t>
        </is>
      </c>
      <c r="B4776" t="inlineStr">
        <is>
          <t>M1</t>
        </is>
      </c>
      <c r="C4776" t="inlineStr">
        <is>
          <t>Cali</t>
        </is>
      </c>
      <c r="D4776" t="inlineStr">
        <is>
          <t>8131</t>
        </is>
      </c>
      <c r="E4776" t="inlineStr">
        <is>
          <t>pagado</t>
        </is>
      </c>
      <c r="F4776" s="23" t="n">
        <v>46269</v>
      </c>
      <c r="G4776" s="24">
        <f>F4776-DATE(2026,8,31)</f>
        <v>4</v>
      </c>
      <c r="H4776" s="25" t="n">
        <v>165523991</v>
      </c>
      <c r="I4776" t="inlineStr">
        <is>
          <t>entidad-dia</t>
        </is>
      </c>
    </row>
    <row r="4777">
      <c r="A4777" t="inlineStr">
        <is>
          <t>PRAGMA</t>
        </is>
      </c>
      <c r="B4777" t="inlineStr">
        <is>
          <t>M1</t>
        </is>
      </c>
      <c r="C4777" t="inlineStr">
        <is>
          <t>Cali</t>
        </is>
      </c>
      <c r="D4777" t="inlineStr">
        <is>
          <t>8131</t>
        </is>
      </c>
      <c r="E4777" t="inlineStr">
        <is>
          <t>pagado</t>
        </is>
      </c>
      <c r="F4777" s="23" t="n">
        <v>46270</v>
      </c>
      <c r="G4777" s="24">
        <f>F4777-DATE(2026,8,31)</f>
        <v>5</v>
      </c>
      <c r="H4777" s="25" t="n">
        <v>172346038</v>
      </c>
      <c r="I4777" t="inlineStr">
        <is>
          <t>entidad-dia</t>
        </is>
      </c>
    </row>
    <row r="4778">
      <c r="A4778" t="inlineStr">
        <is>
          <t>PRAGMA</t>
        </is>
      </c>
      <c r="B4778" t="inlineStr">
        <is>
          <t>M1</t>
        </is>
      </c>
      <c r="C4778" t="inlineStr">
        <is>
          <t>Cali</t>
        </is>
      </c>
      <c r="D4778" t="inlineStr">
        <is>
          <t>8131</t>
        </is>
      </c>
      <c r="E4778" t="inlineStr">
        <is>
          <t>pagado</t>
        </is>
      </c>
      <c r="F4778" s="23" t="n">
        <v>46271</v>
      </c>
      <c r="G4778" s="24">
        <f>F4778-DATE(2026,8,31)</f>
        <v>6</v>
      </c>
      <c r="H4778" s="25" t="n">
        <v>125361375</v>
      </c>
      <c r="I4778" t="inlineStr">
        <is>
          <t>entidad-dia</t>
        </is>
      </c>
    </row>
    <row r="4779">
      <c r="A4779" t="inlineStr">
        <is>
          <t>PRAGMA</t>
        </is>
      </c>
      <c r="B4779" t="inlineStr">
        <is>
          <t>M1</t>
        </is>
      </c>
      <c r="C4779" t="inlineStr">
        <is>
          <t>Cali</t>
        </is>
      </c>
      <c r="D4779" t="inlineStr">
        <is>
          <t>8131</t>
        </is>
      </c>
      <c r="E4779" t="inlineStr">
        <is>
          <t>pagado</t>
        </is>
      </c>
      <c r="F4779" s="23" t="n">
        <v>46272</v>
      </c>
      <c r="G4779" s="24">
        <f>F4779-DATE(2026,8,31)</f>
        <v>7</v>
      </c>
      <c r="H4779" s="25" t="n">
        <v>123647642</v>
      </c>
      <c r="I4779" t="inlineStr">
        <is>
          <t>entidad-dia</t>
        </is>
      </c>
    </row>
    <row r="4780">
      <c r="A4780" t="inlineStr">
        <is>
          <t>PRAGMA</t>
        </is>
      </c>
      <c r="B4780" t="inlineStr">
        <is>
          <t>M1</t>
        </is>
      </c>
      <c r="C4780" t="inlineStr">
        <is>
          <t>Cali</t>
        </is>
      </c>
      <c r="D4780" t="inlineStr">
        <is>
          <t>8131</t>
        </is>
      </c>
      <c r="E4780" t="inlineStr">
        <is>
          <t>pagado</t>
        </is>
      </c>
      <c r="F4780" s="23" t="n">
        <v>46273</v>
      </c>
      <c r="G4780" s="24">
        <f>F4780-DATE(2026,8,31)</f>
        <v>8</v>
      </c>
      <c r="H4780" s="25" t="n">
        <v>135269396</v>
      </c>
      <c r="I4780" t="inlineStr">
        <is>
          <t>entidad-dia</t>
        </is>
      </c>
    </row>
    <row r="4781">
      <c r="A4781" t="inlineStr">
        <is>
          <t>PRAGMA</t>
        </is>
      </c>
      <c r="B4781" t="inlineStr">
        <is>
          <t>M1</t>
        </is>
      </c>
      <c r="C4781" t="inlineStr">
        <is>
          <t>Cali</t>
        </is>
      </c>
      <c r="D4781" t="inlineStr">
        <is>
          <t>8131</t>
        </is>
      </c>
      <c r="E4781" t="inlineStr">
        <is>
          <t>pagado</t>
        </is>
      </c>
      <c r="F4781" s="23" t="n">
        <v>46274</v>
      </c>
      <c r="G4781" s="24">
        <f>F4781-DATE(2026,8,31)</f>
        <v>9</v>
      </c>
      <c r="H4781" s="25" t="n">
        <v>122263842</v>
      </c>
      <c r="I4781" t="inlineStr">
        <is>
          <t>entidad-dia</t>
        </is>
      </c>
    </row>
    <row r="4782">
      <c r="A4782" t="inlineStr">
        <is>
          <t>PRAGMA</t>
        </is>
      </c>
      <c r="B4782" t="inlineStr">
        <is>
          <t>M1</t>
        </is>
      </c>
      <c r="C4782" t="inlineStr">
        <is>
          <t>Cali</t>
        </is>
      </c>
      <c r="D4782" t="inlineStr">
        <is>
          <t>8131</t>
        </is>
      </c>
      <c r="E4782" t="inlineStr">
        <is>
          <t>pagado</t>
        </is>
      </c>
      <c r="F4782" s="23" t="n">
        <v>46275</v>
      </c>
      <c r="G4782" s="24">
        <f>F4782-DATE(2026,8,31)</f>
        <v>10</v>
      </c>
      <c r="H4782" s="25" t="n">
        <v>114303069</v>
      </c>
      <c r="I4782" t="inlineStr">
        <is>
          <t>entidad-dia</t>
        </is>
      </c>
    </row>
    <row r="4783">
      <c r="A4783" t="inlineStr">
        <is>
          <t>PRAGMA</t>
        </is>
      </c>
      <c r="B4783" t="inlineStr">
        <is>
          <t>M1</t>
        </is>
      </c>
      <c r="C4783" t="inlineStr">
        <is>
          <t>Cali</t>
        </is>
      </c>
      <c r="D4783" t="inlineStr">
        <is>
          <t>8131</t>
        </is>
      </c>
      <c r="E4783" t="inlineStr">
        <is>
          <t>pagado</t>
        </is>
      </c>
      <c r="F4783" s="23" t="n">
        <v>46276</v>
      </c>
      <c r="G4783" s="24">
        <f>F4783-DATE(2026,8,31)</f>
        <v>11</v>
      </c>
      <c r="H4783" s="25" t="n">
        <v>123349384</v>
      </c>
      <c r="I4783" t="inlineStr">
        <is>
          <t>entidad-dia</t>
        </is>
      </c>
    </row>
    <row r="4784">
      <c r="A4784" t="inlineStr">
        <is>
          <t>PRAGMA</t>
        </is>
      </c>
      <c r="B4784" t="inlineStr">
        <is>
          <t>M1</t>
        </is>
      </c>
      <c r="C4784" t="inlineStr">
        <is>
          <t>Cali</t>
        </is>
      </c>
      <c r="D4784" t="inlineStr">
        <is>
          <t>8131</t>
        </is>
      </c>
      <c r="E4784" t="inlineStr">
        <is>
          <t>pagado</t>
        </is>
      </c>
      <c r="F4784" s="23" t="n">
        <v>46277</v>
      </c>
      <c r="G4784" s="24">
        <f>F4784-DATE(2026,8,31)</f>
        <v>12</v>
      </c>
      <c r="H4784" s="25" t="n">
        <v>134944092</v>
      </c>
      <c r="I4784" t="inlineStr">
        <is>
          <t>entidad-dia</t>
        </is>
      </c>
    </row>
    <row r="4785">
      <c r="A4785" t="inlineStr">
        <is>
          <t>PRAGMA</t>
        </is>
      </c>
      <c r="B4785" t="inlineStr">
        <is>
          <t>M1</t>
        </is>
      </c>
      <c r="C4785" t="inlineStr">
        <is>
          <t>Cali</t>
        </is>
      </c>
      <c r="D4785" t="inlineStr">
        <is>
          <t>8131</t>
        </is>
      </c>
      <c r="E4785" t="inlineStr">
        <is>
          <t>pagado</t>
        </is>
      </c>
      <c r="F4785" s="23" t="n">
        <v>46278</v>
      </c>
      <c r="G4785" s="24">
        <f>F4785-DATE(2026,8,31)</f>
        <v>13</v>
      </c>
      <c r="H4785" s="25" t="n">
        <v>93993716</v>
      </c>
      <c r="I4785" t="inlineStr">
        <is>
          <t>entidad-dia</t>
        </is>
      </c>
    </row>
    <row r="4786">
      <c r="A4786" t="inlineStr">
        <is>
          <t>PRAGMA</t>
        </is>
      </c>
      <c r="B4786" t="inlineStr">
        <is>
          <t>M1</t>
        </is>
      </c>
      <c r="C4786" t="inlineStr">
        <is>
          <t>Cali</t>
        </is>
      </c>
      <c r="D4786" t="inlineStr">
        <is>
          <t>8131</t>
        </is>
      </c>
      <c r="E4786" t="inlineStr">
        <is>
          <t>pagado</t>
        </is>
      </c>
      <c r="F4786" s="23" t="n">
        <v>46279</v>
      </c>
      <c r="G4786" s="24">
        <f>F4786-DATE(2026,8,31)</f>
        <v>14</v>
      </c>
      <c r="H4786" s="25" t="n">
        <v>113600248</v>
      </c>
      <c r="I4786" t="inlineStr">
        <is>
          <t>entidad-dia</t>
        </is>
      </c>
    </row>
    <row r="4787">
      <c r="A4787" t="inlineStr">
        <is>
          <t>PRAGMA</t>
        </is>
      </c>
      <c r="B4787" t="inlineStr">
        <is>
          <t>M1</t>
        </is>
      </c>
      <c r="C4787" t="inlineStr">
        <is>
          <t>Cali</t>
        </is>
      </c>
      <c r="D4787" t="inlineStr">
        <is>
          <t>8131</t>
        </is>
      </c>
      <c r="E4787" t="inlineStr">
        <is>
          <t>pagado</t>
        </is>
      </c>
      <c r="F4787" s="23" t="n">
        <v>46280</v>
      </c>
      <c r="G4787" s="24">
        <f>F4787-DATE(2026,8,31)</f>
        <v>15</v>
      </c>
      <c r="H4787" s="25" t="n">
        <v>167495563</v>
      </c>
      <c r="I4787" t="inlineStr">
        <is>
          <t>entidad-dia</t>
        </is>
      </c>
    </row>
    <row r="4788">
      <c r="A4788" t="inlineStr">
        <is>
          <t>PRAGMA</t>
        </is>
      </c>
      <c r="B4788" t="inlineStr">
        <is>
          <t>M1</t>
        </is>
      </c>
      <c r="C4788" t="inlineStr">
        <is>
          <t>Cali</t>
        </is>
      </c>
      <c r="D4788" t="inlineStr">
        <is>
          <t>8151</t>
        </is>
      </c>
      <c r="E4788" t="inlineStr">
        <is>
          <t>pagado</t>
        </is>
      </c>
      <c r="F4788" s="23" t="n">
        <v>46266</v>
      </c>
      <c r="G4788" s="24">
        <f>F4788-DATE(2026,8,31)</f>
        <v>1</v>
      </c>
      <c r="H4788" s="25" t="n">
        <v>136087739</v>
      </c>
      <c r="I4788" t="inlineStr">
        <is>
          <t>entidad-dia</t>
        </is>
      </c>
    </row>
    <row r="4789">
      <c r="A4789" t="inlineStr">
        <is>
          <t>PRAGMA</t>
        </is>
      </c>
      <c r="B4789" t="inlineStr">
        <is>
          <t>M1</t>
        </is>
      </c>
      <c r="C4789" t="inlineStr">
        <is>
          <t>Cali</t>
        </is>
      </c>
      <c r="D4789" t="inlineStr">
        <is>
          <t>8151</t>
        </is>
      </c>
      <c r="E4789" t="inlineStr">
        <is>
          <t>pagado</t>
        </is>
      </c>
      <c r="F4789" s="23" t="n">
        <v>46267</v>
      </c>
      <c r="G4789" s="24">
        <f>F4789-DATE(2026,8,31)</f>
        <v>2</v>
      </c>
      <c r="H4789" s="25" t="n">
        <v>106218384</v>
      </c>
      <c r="I4789" t="inlineStr">
        <is>
          <t>entidad-dia</t>
        </is>
      </c>
    </row>
    <row r="4790">
      <c r="A4790" t="inlineStr">
        <is>
          <t>PRAGMA</t>
        </is>
      </c>
      <c r="B4790" t="inlineStr">
        <is>
          <t>M1</t>
        </is>
      </c>
      <c r="C4790" t="inlineStr">
        <is>
          <t>Cali</t>
        </is>
      </c>
      <c r="D4790" t="inlineStr">
        <is>
          <t>8151</t>
        </is>
      </c>
      <c r="E4790" t="inlineStr">
        <is>
          <t>pagado</t>
        </is>
      </c>
      <c r="F4790" s="23" t="n">
        <v>46268</v>
      </c>
      <c r="G4790" s="24">
        <f>F4790-DATE(2026,8,31)</f>
        <v>3</v>
      </c>
      <c r="H4790" s="25" t="n">
        <v>98143975</v>
      </c>
      <c r="I4790" t="inlineStr">
        <is>
          <t>entidad-dia</t>
        </is>
      </c>
    </row>
    <row r="4791">
      <c r="A4791" t="inlineStr">
        <is>
          <t>PRAGMA</t>
        </is>
      </c>
      <c r="B4791" t="inlineStr">
        <is>
          <t>M1</t>
        </is>
      </c>
      <c r="C4791" t="inlineStr">
        <is>
          <t>Cali</t>
        </is>
      </c>
      <c r="D4791" t="inlineStr">
        <is>
          <t>8151</t>
        </is>
      </c>
      <c r="E4791" t="inlineStr">
        <is>
          <t>pagado</t>
        </is>
      </c>
      <c r="F4791" s="23" t="n">
        <v>46269</v>
      </c>
      <c r="G4791" s="24">
        <f>F4791-DATE(2026,8,31)</f>
        <v>4</v>
      </c>
      <c r="H4791" s="25" t="n">
        <v>104128958</v>
      </c>
      <c r="I4791" t="inlineStr">
        <is>
          <t>entidad-dia</t>
        </is>
      </c>
    </row>
    <row r="4792">
      <c r="A4792" t="inlineStr">
        <is>
          <t>PRAGMA</t>
        </is>
      </c>
      <c r="B4792" t="inlineStr">
        <is>
          <t>M1</t>
        </is>
      </c>
      <c r="C4792" t="inlineStr">
        <is>
          <t>Cali</t>
        </is>
      </c>
      <c r="D4792" t="inlineStr">
        <is>
          <t>8151</t>
        </is>
      </c>
      <c r="E4792" t="inlineStr">
        <is>
          <t>pagado</t>
        </is>
      </c>
      <c r="F4792" s="23" t="n">
        <v>46270</v>
      </c>
      <c r="G4792" s="24">
        <f>F4792-DATE(2026,8,31)</f>
        <v>5</v>
      </c>
      <c r="H4792" s="25" t="n">
        <v>109202563</v>
      </c>
      <c r="I4792" t="inlineStr">
        <is>
          <t>entidad-dia</t>
        </is>
      </c>
    </row>
    <row r="4793">
      <c r="A4793" t="inlineStr">
        <is>
          <t>PRAGMA</t>
        </is>
      </c>
      <c r="B4793" t="inlineStr">
        <is>
          <t>M1</t>
        </is>
      </c>
      <c r="C4793" t="inlineStr">
        <is>
          <t>Cali</t>
        </is>
      </c>
      <c r="D4793" t="inlineStr">
        <is>
          <t>8151</t>
        </is>
      </c>
      <c r="E4793" t="inlineStr">
        <is>
          <t>pagado</t>
        </is>
      </c>
      <c r="F4793" s="23" t="n">
        <v>46271</v>
      </c>
      <c r="G4793" s="24">
        <f>F4793-DATE(2026,8,31)</f>
        <v>6</v>
      </c>
      <c r="H4793" s="25" t="n">
        <v>60221354</v>
      </c>
      <c r="I4793" t="inlineStr">
        <is>
          <t>entidad-dia</t>
        </is>
      </c>
    </row>
    <row r="4794">
      <c r="A4794" t="inlineStr">
        <is>
          <t>PRAGMA</t>
        </is>
      </c>
      <c r="B4794" t="inlineStr">
        <is>
          <t>M1</t>
        </is>
      </c>
      <c r="C4794" t="inlineStr">
        <is>
          <t>Cali</t>
        </is>
      </c>
      <c r="D4794" t="inlineStr">
        <is>
          <t>8151</t>
        </is>
      </c>
      <c r="E4794" t="inlineStr">
        <is>
          <t>pagado</t>
        </is>
      </c>
      <c r="F4794" s="23" t="n">
        <v>46272</v>
      </c>
      <c r="G4794" s="24">
        <f>F4794-DATE(2026,8,31)</f>
        <v>7</v>
      </c>
      <c r="H4794" s="25" t="n">
        <v>87296090</v>
      </c>
      <c r="I4794" t="inlineStr">
        <is>
          <t>entidad-dia</t>
        </is>
      </c>
    </row>
    <row r="4795">
      <c r="A4795" t="inlineStr">
        <is>
          <t>PRAGMA</t>
        </is>
      </c>
      <c r="B4795" t="inlineStr">
        <is>
          <t>M1</t>
        </is>
      </c>
      <c r="C4795" t="inlineStr">
        <is>
          <t>Cali</t>
        </is>
      </c>
      <c r="D4795" t="inlineStr">
        <is>
          <t>8151</t>
        </is>
      </c>
      <c r="E4795" t="inlineStr">
        <is>
          <t>pagado</t>
        </is>
      </c>
      <c r="F4795" s="23" t="n">
        <v>46273</v>
      </c>
      <c r="G4795" s="24">
        <f>F4795-DATE(2026,8,31)</f>
        <v>8</v>
      </c>
      <c r="H4795" s="25" t="n">
        <v>84979209</v>
      </c>
      <c r="I4795" t="inlineStr">
        <is>
          <t>entidad-dia</t>
        </is>
      </c>
    </row>
    <row r="4796">
      <c r="A4796" t="inlineStr">
        <is>
          <t>PRAGMA</t>
        </is>
      </c>
      <c r="B4796" t="inlineStr">
        <is>
          <t>M1</t>
        </is>
      </c>
      <c r="C4796" t="inlineStr">
        <is>
          <t>Cali</t>
        </is>
      </c>
      <c r="D4796" t="inlineStr">
        <is>
          <t>8151</t>
        </is>
      </c>
      <c r="E4796" t="inlineStr">
        <is>
          <t>pagado</t>
        </is>
      </c>
      <c r="F4796" s="23" t="n">
        <v>46274</v>
      </c>
      <c r="G4796" s="24">
        <f>F4796-DATE(2026,8,31)</f>
        <v>9</v>
      </c>
      <c r="H4796" s="25" t="n">
        <v>75626917</v>
      </c>
      <c r="I4796" t="inlineStr">
        <is>
          <t>entidad-dia</t>
        </is>
      </c>
    </row>
    <row r="4797">
      <c r="A4797" t="inlineStr">
        <is>
          <t>PRAGMA</t>
        </is>
      </c>
      <c r="B4797" t="inlineStr">
        <is>
          <t>M1</t>
        </is>
      </c>
      <c r="C4797" t="inlineStr">
        <is>
          <t>Cali</t>
        </is>
      </c>
      <c r="D4797" t="inlineStr">
        <is>
          <t>8151</t>
        </is>
      </c>
      <c r="E4797" t="inlineStr">
        <is>
          <t>pagado</t>
        </is>
      </c>
      <c r="F4797" s="23" t="n">
        <v>46275</v>
      </c>
      <c r="G4797" s="24">
        <f>F4797-DATE(2026,8,31)</f>
        <v>10</v>
      </c>
      <c r="H4797" s="25" t="n">
        <v>66947834</v>
      </c>
      <c r="I4797" t="inlineStr">
        <is>
          <t>entidad-dia</t>
        </is>
      </c>
    </row>
    <row r="4798">
      <c r="A4798" t="inlineStr">
        <is>
          <t>PRAGMA</t>
        </is>
      </c>
      <c r="B4798" t="inlineStr">
        <is>
          <t>M1</t>
        </is>
      </c>
      <c r="C4798" t="inlineStr">
        <is>
          <t>Cali</t>
        </is>
      </c>
      <c r="D4798" t="inlineStr">
        <is>
          <t>8151</t>
        </is>
      </c>
      <c r="E4798" t="inlineStr">
        <is>
          <t>pagado</t>
        </is>
      </c>
      <c r="F4798" s="23" t="n">
        <v>46276</v>
      </c>
      <c r="G4798" s="24">
        <f>F4798-DATE(2026,8,31)</f>
        <v>11</v>
      </c>
      <c r="H4798" s="25" t="n">
        <v>68949414</v>
      </c>
      <c r="I4798" t="inlineStr">
        <is>
          <t>entidad-dia</t>
        </is>
      </c>
    </row>
    <row r="4799">
      <c r="A4799" t="inlineStr">
        <is>
          <t>PRAGMA</t>
        </is>
      </c>
      <c r="B4799" t="inlineStr">
        <is>
          <t>M1</t>
        </is>
      </c>
      <c r="C4799" t="inlineStr">
        <is>
          <t>Cali</t>
        </is>
      </c>
      <c r="D4799" t="inlineStr">
        <is>
          <t>8151</t>
        </is>
      </c>
      <c r="E4799" t="inlineStr">
        <is>
          <t>pagado</t>
        </is>
      </c>
      <c r="F4799" s="23" t="n">
        <v>46277</v>
      </c>
      <c r="G4799" s="24">
        <f>F4799-DATE(2026,8,31)</f>
        <v>12</v>
      </c>
      <c r="H4799" s="25" t="n">
        <v>75993785</v>
      </c>
      <c r="I4799" t="inlineStr">
        <is>
          <t>entidad-dia</t>
        </is>
      </c>
    </row>
    <row r="4800">
      <c r="A4800" t="inlineStr">
        <is>
          <t>PRAGMA</t>
        </is>
      </c>
      <c r="B4800" t="inlineStr">
        <is>
          <t>M1</t>
        </is>
      </c>
      <c r="C4800" t="inlineStr">
        <is>
          <t>Cali</t>
        </is>
      </c>
      <c r="D4800" t="inlineStr">
        <is>
          <t>8151</t>
        </is>
      </c>
      <c r="E4800" t="inlineStr">
        <is>
          <t>pagado</t>
        </is>
      </c>
      <c r="F4800" s="23" t="n">
        <v>46278</v>
      </c>
      <c r="G4800" s="24">
        <f>F4800-DATE(2026,8,31)</f>
        <v>13</v>
      </c>
      <c r="H4800" s="25" t="n">
        <v>43846238</v>
      </c>
      <c r="I4800" t="inlineStr">
        <is>
          <t>entidad-dia</t>
        </is>
      </c>
    </row>
    <row r="4801">
      <c r="A4801" t="inlineStr">
        <is>
          <t>PRAGMA</t>
        </is>
      </c>
      <c r="B4801" t="inlineStr">
        <is>
          <t>M1</t>
        </is>
      </c>
      <c r="C4801" t="inlineStr">
        <is>
          <t>Cali</t>
        </is>
      </c>
      <c r="D4801" t="inlineStr">
        <is>
          <t>8151</t>
        </is>
      </c>
      <c r="E4801" t="inlineStr">
        <is>
          <t>pagado</t>
        </is>
      </c>
      <c r="F4801" s="23" t="n">
        <v>46279</v>
      </c>
      <c r="G4801" s="24">
        <f>F4801-DATE(2026,8,31)</f>
        <v>14</v>
      </c>
      <c r="H4801" s="25" t="n">
        <v>66644672</v>
      </c>
      <c r="I4801" t="inlineStr">
        <is>
          <t>entidad-dia</t>
        </is>
      </c>
    </row>
    <row r="4802">
      <c r="A4802" t="inlineStr">
        <is>
          <t>PRAGMA</t>
        </is>
      </c>
      <c r="B4802" t="inlineStr">
        <is>
          <t>M1</t>
        </is>
      </c>
      <c r="C4802" t="inlineStr">
        <is>
          <t>Cali</t>
        </is>
      </c>
      <c r="D4802" t="inlineStr">
        <is>
          <t>8151</t>
        </is>
      </c>
      <c r="E4802" t="inlineStr">
        <is>
          <t>pagado</t>
        </is>
      </c>
      <c r="F4802" s="23" t="n">
        <v>46280</v>
      </c>
      <c r="G4802" s="24">
        <f>F4802-DATE(2026,8,31)</f>
        <v>15</v>
      </c>
      <c r="H4802" s="25" t="n">
        <v>98287077</v>
      </c>
      <c r="I4802" t="inlineStr">
        <is>
          <t>entidad-dia</t>
        </is>
      </c>
    </row>
    <row r="4803">
      <c r="A4803" t="inlineStr">
        <is>
          <t>PRAGMA</t>
        </is>
      </c>
      <c r="B4803" t="inlineStr">
        <is>
          <t>M1</t>
        </is>
      </c>
      <c r="C4803" t="inlineStr">
        <is>
          <t>Pasto</t>
        </is>
      </c>
      <c r="D4803" t="inlineStr">
        <is>
          <t>8171</t>
        </is>
      </c>
      <c r="E4803" t="inlineStr">
        <is>
          <t>pagado</t>
        </is>
      </c>
      <c r="F4803" s="23" t="n">
        <v>46266</v>
      </c>
      <c r="G4803" s="24">
        <f>F4803-DATE(2026,8,31)</f>
        <v>1</v>
      </c>
      <c r="H4803" s="25" t="n">
        <v>132932521</v>
      </c>
      <c r="I4803" t="inlineStr">
        <is>
          <t>entidad-dia</t>
        </is>
      </c>
    </row>
    <row r="4804">
      <c r="A4804" t="inlineStr">
        <is>
          <t>PRAGMA</t>
        </is>
      </c>
      <c r="B4804" t="inlineStr">
        <is>
          <t>M1</t>
        </is>
      </c>
      <c r="C4804" t="inlineStr">
        <is>
          <t>Pasto</t>
        </is>
      </c>
      <c r="D4804" t="inlineStr">
        <is>
          <t>8171</t>
        </is>
      </c>
      <c r="E4804" t="inlineStr">
        <is>
          <t>pagado</t>
        </is>
      </c>
      <c r="F4804" s="23" t="n">
        <v>46267</v>
      </c>
      <c r="G4804" s="24">
        <f>F4804-DATE(2026,8,31)</f>
        <v>2</v>
      </c>
      <c r="H4804" s="25" t="n">
        <v>103509926</v>
      </c>
      <c r="I4804" t="inlineStr">
        <is>
          <t>entidad-dia</t>
        </is>
      </c>
    </row>
    <row r="4805">
      <c r="A4805" t="inlineStr">
        <is>
          <t>PRAGMA</t>
        </is>
      </c>
      <c r="B4805" t="inlineStr">
        <is>
          <t>M1</t>
        </is>
      </c>
      <c r="C4805" t="inlineStr">
        <is>
          <t>Pasto</t>
        </is>
      </c>
      <c r="D4805" t="inlineStr">
        <is>
          <t>8171</t>
        </is>
      </c>
      <c r="E4805" t="inlineStr">
        <is>
          <t>pagado</t>
        </is>
      </c>
      <c r="F4805" s="23" t="n">
        <v>46268</v>
      </c>
      <c r="G4805" s="24">
        <f>F4805-DATE(2026,8,31)</f>
        <v>3</v>
      </c>
      <c r="H4805" s="25" t="n">
        <v>89610290</v>
      </c>
      <c r="I4805" t="inlineStr">
        <is>
          <t>entidad-dia</t>
        </is>
      </c>
    </row>
    <row r="4806">
      <c r="A4806" t="inlineStr">
        <is>
          <t>PRAGMA</t>
        </is>
      </c>
      <c r="B4806" t="inlineStr">
        <is>
          <t>M1</t>
        </is>
      </c>
      <c r="C4806" t="inlineStr">
        <is>
          <t>Pasto</t>
        </is>
      </c>
      <c r="D4806" t="inlineStr">
        <is>
          <t>8171</t>
        </is>
      </c>
      <c r="E4806" t="inlineStr">
        <is>
          <t>pagado</t>
        </is>
      </c>
      <c r="F4806" s="23" t="n">
        <v>46269</v>
      </c>
      <c r="G4806" s="24">
        <f>F4806-DATE(2026,8,31)</f>
        <v>4</v>
      </c>
      <c r="H4806" s="25" t="n">
        <v>91288439</v>
      </c>
      <c r="I4806" t="inlineStr">
        <is>
          <t>entidad-dia</t>
        </is>
      </c>
    </row>
    <row r="4807">
      <c r="A4807" t="inlineStr">
        <is>
          <t>PRAGMA</t>
        </is>
      </c>
      <c r="B4807" t="inlineStr">
        <is>
          <t>M1</t>
        </is>
      </c>
      <c r="C4807" t="inlineStr">
        <is>
          <t>Pasto</t>
        </is>
      </c>
      <c r="D4807" t="inlineStr">
        <is>
          <t>8171</t>
        </is>
      </c>
      <c r="E4807" t="inlineStr">
        <is>
          <t>pagado</t>
        </is>
      </c>
      <c r="F4807" s="23" t="n">
        <v>46270</v>
      </c>
      <c r="G4807" s="24">
        <f>F4807-DATE(2026,8,31)</f>
        <v>5</v>
      </c>
      <c r="H4807" s="25" t="n">
        <v>106141315</v>
      </c>
      <c r="I4807" t="inlineStr">
        <is>
          <t>entidad-dia</t>
        </is>
      </c>
    </row>
    <row r="4808">
      <c r="A4808" t="inlineStr">
        <is>
          <t>PRAGMA</t>
        </is>
      </c>
      <c r="B4808" t="inlineStr">
        <is>
          <t>M1</t>
        </is>
      </c>
      <c r="C4808" t="inlineStr">
        <is>
          <t>Pasto</t>
        </is>
      </c>
      <c r="D4808" t="inlineStr">
        <is>
          <t>8171</t>
        </is>
      </c>
      <c r="E4808" t="inlineStr">
        <is>
          <t>pagado</t>
        </is>
      </c>
      <c r="F4808" s="23" t="n">
        <v>46271</v>
      </c>
      <c r="G4808" s="24">
        <f>F4808-DATE(2026,8,31)</f>
        <v>6</v>
      </c>
      <c r="H4808" s="25" t="n">
        <v>78185763</v>
      </c>
      <c r="I4808" t="inlineStr">
        <is>
          <t>entidad-dia</t>
        </is>
      </c>
    </row>
    <row r="4809">
      <c r="A4809" t="inlineStr">
        <is>
          <t>PRAGMA</t>
        </is>
      </c>
      <c r="B4809" t="inlineStr">
        <is>
          <t>M1</t>
        </is>
      </c>
      <c r="C4809" t="inlineStr">
        <is>
          <t>Pasto</t>
        </is>
      </c>
      <c r="D4809" t="inlineStr">
        <is>
          <t>8171</t>
        </is>
      </c>
      <c r="E4809" t="inlineStr">
        <is>
          <t>pagado</t>
        </is>
      </c>
      <c r="F4809" s="23" t="n">
        <v>46272</v>
      </c>
      <c r="G4809" s="24">
        <f>F4809-DATE(2026,8,31)</f>
        <v>7</v>
      </c>
      <c r="H4809" s="25" t="n">
        <v>76444390</v>
      </c>
      <c r="I4809" t="inlineStr">
        <is>
          <t>entidad-dia</t>
        </is>
      </c>
    </row>
    <row r="4810">
      <c r="A4810" t="inlineStr">
        <is>
          <t>PRAGMA</t>
        </is>
      </c>
      <c r="B4810" t="inlineStr">
        <is>
          <t>M1</t>
        </is>
      </c>
      <c r="C4810" t="inlineStr">
        <is>
          <t>Pasto</t>
        </is>
      </c>
      <c r="D4810" t="inlineStr">
        <is>
          <t>8171</t>
        </is>
      </c>
      <c r="E4810" t="inlineStr">
        <is>
          <t>pagado</t>
        </is>
      </c>
      <c r="F4810" s="23" t="n">
        <v>46273</v>
      </c>
      <c r="G4810" s="24">
        <f>F4810-DATE(2026,8,31)</f>
        <v>8</v>
      </c>
      <c r="H4810" s="25" t="n">
        <v>68374834</v>
      </c>
      <c r="I4810" t="inlineStr">
        <is>
          <t>entidad-dia</t>
        </is>
      </c>
    </row>
    <row r="4811">
      <c r="A4811" t="inlineStr">
        <is>
          <t>PRAGMA</t>
        </is>
      </c>
      <c r="B4811" t="inlineStr">
        <is>
          <t>M1</t>
        </is>
      </c>
      <c r="C4811" t="inlineStr">
        <is>
          <t>Pasto</t>
        </is>
      </c>
      <c r="D4811" t="inlineStr">
        <is>
          <t>8171</t>
        </is>
      </c>
      <c r="E4811" t="inlineStr">
        <is>
          <t>pagado</t>
        </is>
      </c>
      <c r="F4811" s="23" t="n">
        <v>46274</v>
      </c>
      <c r="G4811" s="24">
        <f>F4811-DATE(2026,8,31)</f>
        <v>9</v>
      </c>
      <c r="H4811" s="25" t="n">
        <v>68173665</v>
      </c>
      <c r="I4811" t="inlineStr">
        <is>
          <t>entidad-dia</t>
        </is>
      </c>
    </row>
    <row r="4812">
      <c r="A4812" t="inlineStr">
        <is>
          <t>PRAGMA</t>
        </is>
      </c>
      <c r="B4812" t="inlineStr">
        <is>
          <t>M1</t>
        </is>
      </c>
      <c r="C4812" t="inlineStr">
        <is>
          <t>Pasto</t>
        </is>
      </c>
      <c r="D4812" t="inlineStr">
        <is>
          <t>8171</t>
        </is>
      </c>
      <c r="E4812" t="inlineStr">
        <is>
          <t>pagado</t>
        </is>
      </c>
      <c r="F4812" s="23" t="n">
        <v>46275</v>
      </c>
      <c r="G4812" s="24">
        <f>F4812-DATE(2026,8,31)</f>
        <v>10</v>
      </c>
      <c r="H4812" s="25" t="n">
        <v>56711339</v>
      </c>
      <c r="I4812" t="inlineStr">
        <is>
          <t>entidad-dia</t>
        </is>
      </c>
    </row>
    <row r="4813">
      <c r="A4813" t="inlineStr">
        <is>
          <t>PRAGMA</t>
        </is>
      </c>
      <c r="B4813" t="inlineStr">
        <is>
          <t>M1</t>
        </is>
      </c>
      <c r="C4813" t="inlineStr">
        <is>
          <t>Pasto</t>
        </is>
      </c>
      <c r="D4813" t="inlineStr">
        <is>
          <t>8171</t>
        </is>
      </c>
      <c r="E4813" t="inlineStr">
        <is>
          <t>pagado</t>
        </is>
      </c>
      <c r="F4813" s="23" t="n">
        <v>46276</v>
      </c>
      <c r="G4813" s="24">
        <f>F4813-DATE(2026,8,31)</f>
        <v>11</v>
      </c>
      <c r="H4813" s="25" t="n">
        <v>64345354</v>
      </c>
      <c r="I4813" t="inlineStr">
        <is>
          <t>entidad-dia</t>
        </is>
      </c>
    </row>
    <row r="4814">
      <c r="A4814" t="inlineStr">
        <is>
          <t>PRAGMA</t>
        </is>
      </c>
      <c r="B4814" t="inlineStr">
        <is>
          <t>M1</t>
        </is>
      </c>
      <c r="C4814" t="inlineStr">
        <is>
          <t>Pasto</t>
        </is>
      </c>
      <c r="D4814" t="inlineStr">
        <is>
          <t>8171</t>
        </is>
      </c>
      <c r="E4814" t="inlineStr">
        <is>
          <t>pagado</t>
        </is>
      </c>
      <c r="F4814" s="23" t="n">
        <v>46277</v>
      </c>
      <c r="G4814" s="24">
        <f>F4814-DATE(2026,8,31)</f>
        <v>12</v>
      </c>
      <c r="H4814" s="25" t="n">
        <v>74404331</v>
      </c>
      <c r="I4814" t="inlineStr">
        <is>
          <t>entidad-dia</t>
        </is>
      </c>
    </row>
    <row r="4815">
      <c r="A4815" t="inlineStr">
        <is>
          <t>PRAGMA</t>
        </is>
      </c>
      <c r="B4815" t="inlineStr">
        <is>
          <t>M1</t>
        </is>
      </c>
      <c r="C4815" t="inlineStr">
        <is>
          <t>Pasto</t>
        </is>
      </c>
      <c r="D4815" t="inlineStr">
        <is>
          <t>8171</t>
        </is>
      </c>
      <c r="E4815" t="inlineStr">
        <is>
          <t>pagado</t>
        </is>
      </c>
      <c r="F4815" s="23" t="n">
        <v>46278</v>
      </c>
      <c r="G4815" s="24">
        <f>F4815-DATE(2026,8,31)</f>
        <v>13</v>
      </c>
      <c r="H4815" s="25" t="n">
        <v>59384990</v>
      </c>
      <c r="I4815" t="inlineStr">
        <is>
          <t>entidad-dia</t>
        </is>
      </c>
    </row>
    <row r="4816">
      <c r="A4816" t="inlineStr">
        <is>
          <t>PRAGMA</t>
        </is>
      </c>
      <c r="B4816" t="inlineStr">
        <is>
          <t>M1</t>
        </is>
      </c>
      <c r="C4816" t="inlineStr">
        <is>
          <t>Pasto</t>
        </is>
      </c>
      <c r="D4816" t="inlineStr">
        <is>
          <t>8171</t>
        </is>
      </c>
      <c r="E4816" t="inlineStr">
        <is>
          <t>pagado</t>
        </is>
      </c>
      <c r="F4816" s="23" t="n">
        <v>46279</v>
      </c>
      <c r="G4816" s="24">
        <f>F4816-DATE(2026,8,31)</f>
        <v>14</v>
      </c>
      <c r="H4816" s="25" t="n">
        <v>63359306</v>
      </c>
      <c r="I4816" t="inlineStr">
        <is>
          <t>entidad-dia</t>
        </is>
      </c>
    </row>
    <row r="4817">
      <c r="A4817" t="inlineStr">
        <is>
          <t>PRAGMA</t>
        </is>
      </c>
      <c r="B4817" t="inlineStr">
        <is>
          <t>M1</t>
        </is>
      </c>
      <c r="C4817" t="inlineStr">
        <is>
          <t>Pasto</t>
        </is>
      </c>
      <c r="D4817" t="inlineStr">
        <is>
          <t>8171</t>
        </is>
      </c>
      <c r="E4817" t="inlineStr">
        <is>
          <t>pagado</t>
        </is>
      </c>
      <c r="F4817" s="23" t="n">
        <v>46280</v>
      </c>
      <c r="G4817" s="24">
        <f>F4817-DATE(2026,8,31)</f>
        <v>15</v>
      </c>
      <c r="H4817" s="25" t="n">
        <v>81077211</v>
      </c>
      <c r="I4817" t="inlineStr">
        <is>
          <t>entidad-dia</t>
        </is>
      </c>
    </row>
    <row r="4818">
      <c r="A4818" t="inlineStr">
        <is>
          <t>PRAGMA</t>
        </is>
      </c>
      <c r="B4818" t="inlineStr">
        <is>
          <t>M1</t>
        </is>
      </c>
      <c r="C4818" t="inlineStr">
        <is>
          <t>Pasto</t>
        </is>
      </c>
      <c r="D4818" t="inlineStr">
        <is>
          <t>8172</t>
        </is>
      </c>
      <c r="E4818" t="inlineStr">
        <is>
          <t>pagado</t>
        </is>
      </c>
      <c r="F4818" s="23" t="n">
        <v>46266</v>
      </c>
      <c r="G4818" s="24">
        <f>F4818-DATE(2026,8,31)</f>
        <v>1</v>
      </c>
      <c r="H4818" s="25" t="n">
        <v>164515721</v>
      </c>
      <c r="I4818" t="inlineStr">
        <is>
          <t>entidad-dia</t>
        </is>
      </c>
    </row>
    <row r="4819">
      <c r="A4819" t="inlineStr">
        <is>
          <t>PRAGMA</t>
        </is>
      </c>
      <c r="B4819" t="inlineStr">
        <is>
          <t>M1</t>
        </is>
      </c>
      <c r="C4819" t="inlineStr">
        <is>
          <t>Pasto</t>
        </is>
      </c>
      <c r="D4819" t="inlineStr">
        <is>
          <t>8172</t>
        </is>
      </c>
      <c r="E4819" t="inlineStr">
        <is>
          <t>pagado</t>
        </is>
      </c>
      <c r="F4819" s="23" t="n">
        <v>46267</v>
      </c>
      <c r="G4819" s="24">
        <f>F4819-DATE(2026,8,31)</f>
        <v>2</v>
      </c>
      <c r="H4819" s="25" t="n">
        <v>127712895</v>
      </c>
      <c r="I4819" t="inlineStr">
        <is>
          <t>entidad-dia</t>
        </is>
      </c>
    </row>
    <row r="4820">
      <c r="A4820" t="inlineStr">
        <is>
          <t>PRAGMA</t>
        </is>
      </c>
      <c r="B4820" t="inlineStr">
        <is>
          <t>M1</t>
        </is>
      </c>
      <c r="C4820" t="inlineStr">
        <is>
          <t>Pasto</t>
        </is>
      </c>
      <c r="D4820" t="inlineStr">
        <is>
          <t>8172</t>
        </is>
      </c>
      <c r="E4820" t="inlineStr">
        <is>
          <t>pagado</t>
        </is>
      </c>
      <c r="F4820" s="23" t="n">
        <v>46268</v>
      </c>
      <c r="G4820" s="24">
        <f>F4820-DATE(2026,8,31)</f>
        <v>3</v>
      </c>
      <c r="H4820" s="25" t="n">
        <v>106083065</v>
      </c>
      <c r="I4820" t="inlineStr">
        <is>
          <t>entidad-dia</t>
        </is>
      </c>
    </row>
    <row r="4821">
      <c r="A4821" t="inlineStr">
        <is>
          <t>PRAGMA</t>
        </is>
      </c>
      <c r="B4821" t="inlineStr">
        <is>
          <t>M1</t>
        </is>
      </c>
      <c r="C4821" t="inlineStr">
        <is>
          <t>Pasto</t>
        </is>
      </c>
      <c r="D4821" t="inlineStr">
        <is>
          <t>8172</t>
        </is>
      </c>
      <c r="E4821" t="inlineStr">
        <is>
          <t>pagado</t>
        </is>
      </c>
      <c r="F4821" s="23" t="n">
        <v>46269</v>
      </c>
      <c r="G4821" s="24">
        <f>F4821-DATE(2026,8,31)</f>
        <v>4</v>
      </c>
      <c r="H4821" s="25" t="n">
        <v>113017506</v>
      </c>
      <c r="I4821" t="inlineStr">
        <is>
          <t>entidad-dia</t>
        </is>
      </c>
    </row>
    <row r="4822">
      <c r="A4822" t="inlineStr">
        <is>
          <t>PRAGMA</t>
        </is>
      </c>
      <c r="B4822" t="inlineStr">
        <is>
          <t>M1</t>
        </is>
      </c>
      <c r="C4822" t="inlineStr">
        <is>
          <t>Pasto</t>
        </is>
      </c>
      <c r="D4822" t="inlineStr">
        <is>
          <t>8172</t>
        </is>
      </c>
      <c r="E4822" t="inlineStr">
        <is>
          <t>pagado</t>
        </is>
      </c>
      <c r="F4822" s="23" t="n">
        <v>46270</v>
      </c>
      <c r="G4822" s="24">
        <f>F4822-DATE(2026,8,31)</f>
        <v>5</v>
      </c>
      <c r="H4822" s="25" t="n">
        <v>133277871</v>
      </c>
      <c r="I4822" t="inlineStr">
        <is>
          <t>entidad-dia</t>
        </is>
      </c>
    </row>
    <row r="4823">
      <c r="A4823" t="inlineStr">
        <is>
          <t>PRAGMA</t>
        </is>
      </c>
      <c r="B4823" t="inlineStr">
        <is>
          <t>M1</t>
        </is>
      </c>
      <c r="C4823" t="inlineStr">
        <is>
          <t>Pasto</t>
        </is>
      </c>
      <c r="D4823" t="inlineStr">
        <is>
          <t>8172</t>
        </is>
      </c>
      <c r="E4823" t="inlineStr">
        <is>
          <t>pagado</t>
        </is>
      </c>
      <c r="F4823" s="23" t="n">
        <v>46271</v>
      </c>
      <c r="G4823" s="24">
        <f>F4823-DATE(2026,8,31)</f>
        <v>6</v>
      </c>
      <c r="H4823" s="25" t="n">
        <v>103022417</v>
      </c>
      <c r="I4823" t="inlineStr">
        <is>
          <t>entidad-dia</t>
        </is>
      </c>
    </row>
    <row r="4824">
      <c r="A4824" t="inlineStr">
        <is>
          <t>PRAGMA</t>
        </is>
      </c>
      <c r="B4824" t="inlineStr">
        <is>
          <t>M1</t>
        </is>
      </c>
      <c r="C4824" t="inlineStr">
        <is>
          <t>Pasto</t>
        </is>
      </c>
      <c r="D4824" t="inlineStr">
        <is>
          <t>8172</t>
        </is>
      </c>
      <c r="E4824" t="inlineStr">
        <is>
          <t>pagado</t>
        </is>
      </c>
      <c r="F4824" s="23" t="n">
        <v>46272</v>
      </c>
      <c r="G4824" s="24">
        <f>F4824-DATE(2026,8,31)</f>
        <v>7</v>
      </c>
      <c r="H4824" s="25" t="n">
        <v>100133255</v>
      </c>
      <c r="I4824" t="inlineStr">
        <is>
          <t>entidad-dia</t>
        </is>
      </c>
    </row>
    <row r="4825">
      <c r="A4825" t="inlineStr">
        <is>
          <t>PRAGMA</t>
        </is>
      </c>
      <c r="B4825" t="inlineStr">
        <is>
          <t>M1</t>
        </is>
      </c>
      <c r="C4825" t="inlineStr">
        <is>
          <t>Pasto</t>
        </is>
      </c>
      <c r="D4825" t="inlineStr">
        <is>
          <t>8172</t>
        </is>
      </c>
      <c r="E4825" t="inlineStr">
        <is>
          <t>pagado</t>
        </is>
      </c>
      <c r="F4825" s="23" t="n">
        <v>46273</v>
      </c>
      <c r="G4825" s="24">
        <f>F4825-DATE(2026,8,31)</f>
        <v>8</v>
      </c>
      <c r="H4825" s="25" t="n">
        <v>90751494</v>
      </c>
      <c r="I4825" t="inlineStr">
        <is>
          <t>entidad-dia</t>
        </is>
      </c>
    </row>
    <row r="4826">
      <c r="A4826" t="inlineStr">
        <is>
          <t>PRAGMA</t>
        </is>
      </c>
      <c r="B4826" t="inlineStr">
        <is>
          <t>M1</t>
        </is>
      </c>
      <c r="C4826" t="inlineStr">
        <is>
          <t>Pasto</t>
        </is>
      </c>
      <c r="D4826" t="inlineStr">
        <is>
          <t>8172</t>
        </is>
      </c>
      <c r="E4826" t="inlineStr">
        <is>
          <t>pagado</t>
        </is>
      </c>
      <c r="F4826" s="23" t="n">
        <v>46274</v>
      </c>
      <c r="G4826" s="24">
        <f>F4826-DATE(2026,8,31)</f>
        <v>9</v>
      </c>
      <c r="H4826" s="25" t="n">
        <v>89663323</v>
      </c>
      <c r="I4826" t="inlineStr">
        <is>
          <t>entidad-dia</t>
        </is>
      </c>
    </row>
    <row r="4827">
      <c r="A4827" t="inlineStr">
        <is>
          <t>PRAGMA</t>
        </is>
      </c>
      <c r="B4827" t="inlineStr">
        <is>
          <t>M1</t>
        </is>
      </c>
      <c r="C4827" t="inlineStr">
        <is>
          <t>Pasto</t>
        </is>
      </c>
      <c r="D4827" t="inlineStr">
        <is>
          <t>8172</t>
        </is>
      </c>
      <c r="E4827" t="inlineStr">
        <is>
          <t>pagado</t>
        </is>
      </c>
      <c r="F4827" s="23" t="n">
        <v>46275</v>
      </c>
      <c r="G4827" s="24">
        <f>F4827-DATE(2026,8,31)</f>
        <v>10</v>
      </c>
      <c r="H4827" s="25" t="n">
        <v>69355062</v>
      </c>
      <c r="I4827" t="inlineStr">
        <is>
          <t>entidad-dia</t>
        </is>
      </c>
    </row>
    <row r="4828">
      <c r="A4828" t="inlineStr">
        <is>
          <t>PRAGMA</t>
        </is>
      </c>
      <c r="B4828" t="inlineStr">
        <is>
          <t>M1</t>
        </is>
      </c>
      <c r="C4828" t="inlineStr">
        <is>
          <t>Pasto</t>
        </is>
      </c>
      <c r="D4828" t="inlineStr">
        <is>
          <t>8172</t>
        </is>
      </c>
      <c r="E4828" t="inlineStr">
        <is>
          <t>pagado</t>
        </is>
      </c>
      <c r="F4828" s="23" t="n">
        <v>46276</v>
      </c>
      <c r="G4828" s="24">
        <f>F4828-DATE(2026,8,31)</f>
        <v>11</v>
      </c>
      <c r="H4828" s="25" t="n">
        <v>81644375</v>
      </c>
      <c r="I4828" t="inlineStr">
        <is>
          <t>entidad-dia</t>
        </is>
      </c>
    </row>
    <row r="4829">
      <c r="A4829" t="inlineStr">
        <is>
          <t>PRAGMA</t>
        </is>
      </c>
      <c r="B4829" t="inlineStr">
        <is>
          <t>M1</t>
        </is>
      </c>
      <c r="C4829" t="inlineStr">
        <is>
          <t>Pasto</t>
        </is>
      </c>
      <c r="D4829" t="inlineStr">
        <is>
          <t>8172</t>
        </is>
      </c>
      <c r="E4829" t="inlineStr">
        <is>
          <t>pagado</t>
        </is>
      </c>
      <c r="F4829" s="23" t="n">
        <v>46277</v>
      </c>
      <c r="G4829" s="24">
        <f>F4829-DATE(2026,8,31)</f>
        <v>12</v>
      </c>
      <c r="H4829" s="25" t="n">
        <v>99589192</v>
      </c>
      <c r="I4829" t="inlineStr">
        <is>
          <t>entidad-dia</t>
        </is>
      </c>
    </row>
    <row r="4830">
      <c r="A4830" t="inlineStr">
        <is>
          <t>PRAGMA</t>
        </is>
      </c>
      <c r="B4830" t="inlineStr">
        <is>
          <t>M1</t>
        </is>
      </c>
      <c r="C4830" t="inlineStr">
        <is>
          <t>Pasto</t>
        </is>
      </c>
      <c r="D4830" t="inlineStr">
        <is>
          <t>8172</t>
        </is>
      </c>
      <c r="E4830" t="inlineStr">
        <is>
          <t>pagado</t>
        </is>
      </c>
      <c r="F4830" s="23" t="n">
        <v>46278</v>
      </c>
      <c r="G4830" s="24">
        <f>F4830-DATE(2026,8,31)</f>
        <v>13</v>
      </c>
      <c r="H4830" s="25" t="n">
        <v>71985439</v>
      </c>
      <c r="I4830" t="inlineStr">
        <is>
          <t>entidad-dia</t>
        </is>
      </c>
    </row>
    <row r="4831">
      <c r="A4831" t="inlineStr">
        <is>
          <t>PRAGMA</t>
        </is>
      </c>
      <c r="B4831" t="inlineStr">
        <is>
          <t>M1</t>
        </is>
      </c>
      <c r="C4831" t="inlineStr">
        <is>
          <t>Pasto</t>
        </is>
      </c>
      <c r="D4831" t="inlineStr">
        <is>
          <t>8172</t>
        </is>
      </c>
      <c r="E4831" t="inlineStr">
        <is>
          <t>pagado</t>
        </is>
      </c>
      <c r="F4831" s="23" t="n">
        <v>46279</v>
      </c>
      <c r="G4831" s="24">
        <f>F4831-DATE(2026,8,31)</f>
        <v>14</v>
      </c>
      <c r="H4831" s="25" t="n">
        <v>90026192</v>
      </c>
      <c r="I4831" t="inlineStr">
        <is>
          <t>entidad-dia</t>
        </is>
      </c>
    </row>
    <row r="4832">
      <c r="A4832" t="inlineStr">
        <is>
          <t>PRAGMA</t>
        </is>
      </c>
      <c r="B4832" t="inlineStr">
        <is>
          <t>M1</t>
        </is>
      </c>
      <c r="C4832" t="inlineStr">
        <is>
          <t>Pasto</t>
        </is>
      </c>
      <c r="D4832" t="inlineStr">
        <is>
          <t>8172</t>
        </is>
      </c>
      <c r="E4832" t="inlineStr">
        <is>
          <t>pagado</t>
        </is>
      </c>
      <c r="F4832" s="23" t="n">
        <v>46280</v>
      </c>
      <c r="G4832" s="24">
        <f>F4832-DATE(2026,8,31)</f>
        <v>15</v>
      </c>
      <c r="H4832" s="25" t="n">
        <v>107185930</v>
      </c>
      <c r="I4832" t="inlineStr">
        <is>
          <t>entidad-dia</t>
        </is>
      </c>
    </row>
    <row r="4833">
      <c r="A4833" t="inlineStr">
        <is>
          <t>PRAGMA</t>
        </is>
      </c>
      <c r="B4833" t="inlineStr">
        <is>
          <t>M1</t>
        </is>
      </c>
      <c r="C4833" t="inlineStr">
        <is>
          <t>Pasto</t>
        </is>
      </c>
      <c r="D4833" t="inlineStr">
        <is>
          <t>8173</t>
        </is>
      </c>
      <c r="E4833" t="inlineStr">
        <is>
          <t>pagado</t>
        </is>
      </c>
      <c r="F4833" s="23" t="n">
        <v>46266</v>
      </c>
      <c r="G4833" s="24">
        <f>F4833-DATE(2026,8,31)</f>
        <v>1</v>
      </c>
      <c r="H4833" s="25" t="n">
        <v>150811984</v>
      </c>
      <c r="I4833" t="inlineStr">
        <is>
          <t>entidad-dia</t>
        </is>
      </c>
    </row>
    <row r="4834">
      <c r="A4834" t="inlineStr">
        <is>
          <t>PRAGMA</t>
        </is>
      </c>
      <c r="B4834" t="inlineStr">
        <is>
          <t>M1</t>
        </is>
      </c>
      <c r="C4834" t="inlineStr">
        <is>
          <t>Pasto</t>
        </is>
      </c>
      <c r="D4834" t="inlineStr">
        <is>
          <t>8173</t>
        </is>
      </c>
      <c r="E4834" t="inlineStr">
        <is>
          <t>pagado</t>
        </is>
      </c>
      <c r="F4834" s="23" t="n">
        <v>46267</v>
      </c>
      <c r="G4834" s="24">
        <f>F4834-DATE(2026,8,31)</f>
        <v>2</v>
      </c>
      <c r="H4834" s="25" t="n">
        <v>112784854</v>
      </c>
      <c r="I4834" t="inlineStr">
        <is>
          <t>entidad-dia</t>
        </is>
      </c>
    </row>
    <row r="4835">
      <c r="A4835" t="inlineStr">
        <is>
          <t>PRAGMA</t>
        </is>
      </c>
      <c r="B4835" t="inlineStr">
        <is>
          <t>M1</t>
        </is>
      </c>
      <c r="C4835" t="inlineStr">
        <is>
          <t>Pasto</t>
        </is>
      </c>
      <c r="D4835" t="inlineStr">
        <is>
          <t>8173</t>
        </is>
      </c>
      <c r="E4835" t="inlineStr">
        <is>
          <t>pagado</t>
        </is>
      </c>
      <c r="F4835" s="23" t="n">
        <v>46268</v>
      </c>
      <c r="G4835" s="24">
        <f>F4835-DATE(2026,8,31)</f>
        <v>3</v>
      </c>
      <c r="H4835" s="25" t="n">
        <v>100100290</v>
      </c>
      <c r="I4835" t="inlineStr">
        <is>
          <t>entidad-dia</t>
        </is>
      </c>
    </row>
    <row r="4836">
      <c r="A4836" t="inlineStr">
        <is>
          <t>PRAGMA</t>
        </is>
      </c>
      <c r="B4836" t="inlineStr">
        <is>
          <t>M1</t>
        </is>
      </c>
      <c r="C4836" t="inlineStr">
        <is>
          <t>Pasto</t>
        </is>
      </c>
      <c r="D4836" t="inlineStr">
        <is>
          <t>8173</t>
        </is>
      </c>
      <c r="E4836" t="inlineStr">
        <is>
          <t>pagado</t>
        </is>
      </c>
      <c r="F4836" s="23" t="n">
        <v>46269</v>
      </c>
      <c r="G4836" s="24">
        <f>F4836-DATE(2026,8,31)</f>
        <v>4</v>
      </c>
      <c r="H4836" s="25" t="n">
        <v>104794694</v>
      </c>
      <c r="I4836" t="inlineStr">
        <is>
          <t>entidad-dia</t>
        </is>
      </c>
    </row>
    <row r="4837">
      <c r="A4837" t="inlineStr">
        <is>
          <t>PRAGMA</t>
        </is>
      </c>
      <c r="B4837" t="inlineStr">
        <is>
          <t>M1</t>
        </is>
      </c>
      <c r="C4837" t="inlineStr">
        <is>
          <t>Pasto</t>
        </is>
      </c>
      <c r="D4837" t="inlineStr">
        <is>
          <t>8173</t>
        </is>
      </c>
      <c r="E4837" t="inlineStr">
        <is>
          <t>pagado</t>
        </is>
      </c>
      <c r="F4837" s="23" t="n">
        <v>46270</v>
      </c>
      <c r="G4837" s="24">
        <f>F4837-DATE(2026,8,31)</f>
        <v>5</v>
      </c>
      <c r="H4837" s="25" t="n">
        <v>121273549</v>
      </c>
      <c r="I4837" t="inlineStr">
        <is>
          <t>entidad-dia</t>
        </is>
      </c>
    </row>
    <row r="4838">
      <c r="A4838" t="inlineStr">
        <is>
          <t>PRAGMA</t>
        </is>
      </c>
      <c r="B4838" t="inlineStr">
        <is>
          <t>M1</t>
        </is>
      </c>
      <c r="C4838" t="inlineStr">
        <is>
          <t>Pasto</t>
        </is>
      </c>
      <c r="D4838" t="inlineStr">
        <is>
          <t>8173</t>
        </is>
      </c>
      <c r="E4838" t="inlineStr">
        <is>
          <t>pagado</t>
        </is>
      </c>
      <c r="F4838" s="23" t="n">
        <v>46271</v>
      </c>
      <c r="G4838" s="24">
        <f>F4838-DATE(2026,8,31)</f>
        <v>6</v>
      </c>
      <c r="H4838" s="25" t="n">
        <v>94856924</v>
      </c>
      <c r="I4838" t="inlineStr">
        <is>
          <t>entidad-dia</t>
        </is>
      </c>
    </row>
    <row r="4839">
      <c r="A4839" t="inlineStr">
        <is>
          <t>PRAGMA</t>
        </is>
      </c>
      <c r="B4839" t="inlineStr">
        <is>
          <t>M1</t>
        </is>
      </c>
      <c r="C4839" t="inlineStr">
        <is>
          <t>Pasto</t>
        </is>
      </c>
      <c r="D4839" t="inlineStr">
        <is>
          <t>8173</t>
        </is>
      </c>
      <c r="E4839" t="inlineStr">
        <is>
          <t>pagado</t>
        </is>
      </c>
      <c r="F4839" s="23" t="n">
        <v>46272</v>
      </c>
      <c r="G4839" s="24">
        <f>F4839-DATE(2026,8,31)</f>
        <v>7</v>
      </c>
      <c r="H4839" s="25" t="n">
        <v>97132975</v>
      </c>
      <c r="I4839" t="inlineStr">
        <is>
          <t>entidad-dia</t>
        </is>
      </c>
    </row>
    <row r="4840">
      <c r="A4840" t="inlineStr">
        <is>
          <t>PRAGMA</t>
        </is>
      </c>
      <c r="B4840" t="inlineStr">
        <is>
          <t>M1</t>
        </is>
      </c>
      <c r="C4840" t="inlineStr">
        <is>
          <t>Pasto</t>
        </is>
      </c>
      <c r="D4840" t="inlineStr">
        <is>
          <t>8173</t>
        </is>
      </c>
      <c r="E4840" t="inlineStr">
        <is>
          <t>pagado</t>
        </is>
      </c>
      <c r="F4840" s="23" t="n">
        <v>46273</v>
      </c>
      <c r="G4840" s="24">
        <f>F4840-DATE(2026,8,31)</f>
        <v>8</v>
      </c>
      <c r="H4840" s="25" t="n">
        <v>82809880</v>
      </c>
      <c r="I4840" t="inlineStr">
        <is>
          <t>entidad-dia</t>
        </is>
      </c>
    </row>
    <row r="4841">
      <c r="A4841" t="inlineStr">
        <is>
          <t>PRAGMA</t>
        </is>
      </c>
      <c r="B4841" t="inlineStr">
        <is>
          <t>M1</t>
        </is>
      </c>
      <c r="C4841" t="inlineStr">
        <is>
          <t>Pasto</t>
        </is>
      </c>
      <c r="D4841" t="inlineStr">
        <is>
          <t>8173</t>
        </is>
      </c>
      <c r="E4841" t="inlineStr">
        <is>
          <t>pagado</t>
        </is>
      </c>
      <c r="F4841" s="23" t="n">
        <v>46274</v>
      </c>
      <c r="G4841" s="24">
        <f>F4841-DATE(2026,8,31)</f>
        <v>9</v>
      </c>
      <c r="H4841" s="25" t="n">
        <v>79792895</v>
      </c>
      <c r="I4841" t="inlineStr">
        <is>
          <t>entidad-dia</t>
        </is>
      </c>
    </row>
    <row r="4842">
      <c r="A4842" t="inlineStr">
        <is>
          <t>PRAGMA</t>
        </is>
      </c>
      <c r="B4842" t="inlineStr">
        <is>
          <t>M1</t>
        </is>
      </c>
      <c r="C4842" t="inlineStr">
        <is>
          <t>Pasto</t>
        </is>
      </c>
      <c r="D4842" t="inlineStr">
        <is>
          <t>8173</t>
        </is>
      </c>
      <c r="E4842" t="inlineStr">
        <is>
          <t>pagado</t>
        </is>
      </c>
      <c r="F4842" s="23" t="n">
        <v>46275</v>
      </c>
      <c r="G4842" s="24">
        <f>F4842-DATE(2026,8,31)</f>
        <v>10</v>
      </c>
      <c r="H4842" s="25" t="n">
        <v>62997917</v>
      </c>
      <c r="I4842" t="inlineStr">
        <is>
          <t>entidad-dia</t>
        </is>
      </c>
    </row>
    <row r="4843">
      <c r="A4843" t="inlineStr">
        <is>
          <t>PRAGMA</t>
        </is>
      </c>
      <c r="B4843" t="inlineStr">
        <is>
          <t>M1</t>
        </is>
      </c>
      <c r="C4843" t="inlineStr">
        <is>
          <t>Pasto</t>
        </is>
      </c>
      <c r="D4843" t="inlineStr">
        <is>
          <t>8173</t>
        </is>
      </c>
      <c r="E4843" t="inlineStr">
        <is>
          <t>pagado</t>
        </is>
      </c>
      <c r="F4843" s="23" t="n">
        <v>46276</v>
      </c>
      <c r="G4843" s="24">
        <f>F4843-DATE(2026,8,31)</f>
        <v>11</v>
      </c>
      <c r="H4843" s="25" t="n">
        <v>75194308</v>
      </c>
      <c r="I4843" t="inlineStr">
        <is>
          <t>entidad-dia</t>
        </is>
      </c>
    </row>
    <row r="4844">
      <c r="A4844" t="inlineStr">
        <is>
          <t>PRAGMA</t>
        </is>
      </c>
      <c r="B4844" t="inlineStr">
        <is>
          <t>M1</t>
        </is>
      </c>
      <c r="C4844" t="inlineStr">
        <is>
          <t>Pasto</t>
        </is>
      </c>
      <c r="D4844" t="inlineStr">
        <is>
          <t>8173</t>
        </is>
      </c>
      <c r="E4844" t="inlineStr">
        <is>
          <t>pagado</t>
        </is>
      </c>
      <c r="F4844" s="23" t="n">
        <v>46277</v>
      </c>
      <c r="G4844" s="24">
        <f>F4844-DATE(2026,8,31)</f>
        <v>12</v>
      </c>
      <c r="H4844" s="25" t="n">
        <v>84967826</v>
      </c>
      <c r="I4844" t="inlineStr">
        <is>
          <t>entidad-dia</t>
        </is>
      </c>
    </row>
    <row r="4845">
      <c r="A4845" t="inlineStr">
        <is>
          <t>PRAGMA</t>
        </is>
      </c>
      <c r="B4845" t="inlineStr">
        <is>
          <t>M1</t>
        </is>
      </c>
      <c r="C4845" t="inlineStr">
        <is>
          <t>Pasto</t>
        </is>
      </c>
      <c r="D4845" t="inlineStr">
        <is>
          <t>8173</t>
        </is>
      </c>
      <c r="E4845" t="inlineStr">
        <is>
          <t>pagado</t>
        </is>
      </c>
      <c r="F4845" s="23" t="n">
        <v>46278</v>
      </c>
      <c r="G4845" s="24">
        <f>F4845-DATE(2026,8,31)</f>
        <v>13</v>
      </c>
      <c r="H4845" s="25" t="n">
        <v>71284908</v>
      </c>
      <c r="I4845" t="inlineStr">
        <is>
          <t>entidad-dia</t>
        </is>
      </c>
    </row>
    <row r="4846">
      <c r="A4846" t="inlineStr">
        <is>
          <t>PRAGMA</t>
        </is>
      </c>
      <c r="B4846" t="inlineStr">
        <is>
          <t>M1</t>
        </is>
      </c>
      <c r="C4846" t="inlineStr">
        <is>
          <t>Pasto</t>
        </is>
      </c>
      <c r="D4846" t="inlineStr">
        <is>
          <t>8173</t>
        </is>
      </c>
      <c r="E4846" t="inlineStr">
        <is>
          <t>pagado</t>
        </is>
      </c>
      <c r="F4846" s="23" t="n">
        <v>46279</v>
      </c>
      <c r="G4846" s="24">
        <f>F4846-DATE(2026,8,31)</f>
        <v>14</v>
      </c>
      <c r="H4846" s="25" t="n">
        <v>82867885</v>
      </c>
      <c r="I4846" t="inlineStr">
        <is>
          <t>entidad-dia</t>
        </is>
      </c>
    </row>
    <row r="4847">
      <c r="A4847" t="inlineStr">
        <is>
          <t>PRAGMA</t>
        </is>
      </c>
      <c r="B4847" t="inlineStr">
        <is>
          <t>M1</t>
        </is>
      </c>
      <c r="C4847" t="inlineStr">
        <is>
          <t>Pasto</t>
        </is>
      </c>
      <c r="D4847" t="inlineStr">
        <is>
          <t>8173</t>
        </is>
      </c>
      <c r="E4847" t="inlineStr">
        <is>
          <t>pagado</t>
        </is>
      </c>
      <c r="F4847" s="23" t="n">
        <v>46280</v>
      </c>
      <c r="G4847" s="24">
        <f>F4847-DATE(2026,8,31)</f>
        <v>15</v>
      </c>
      <c r="H4847" s="25" t="n">
        <v>91382977</v>
      </c>
      <c r="I4847" t="inlineStr">
        <is>
          <t>entidad-dia</t>
        </is>
      </c>
    </row>
    <row r="4848">
      <c r="A4848" t="inlineStr">
        <is>
          <t>PRAGMA</t>
        </is>
      </c>
      <c r="B4848" t="inlineStr">
        <is>
          <t>M1</t>
        </is>
      </c>
      <c r="C4848" t="inlineStr">
        <is>
          <t>Cali</t>
        </is>
      </c>
      <c r="D4848" t="inlineStr">
        <is>
          <t>8185</t>
        </is>
      </c>
      <c r="E4848" t="inlineStr">
        <is>
          <t>pagado</t>
        </is>
      </c>
      <c r="F4848" s="23" t="n">
        <v>46266</v>
      </c>
      <c r="G4848" s="24">
        <f>F4848-DATE(2026,8,31)</f>
        <v>1</v>
      </c>
      <c r="H4848" s="25" t="n">
        <v>124489170</v>
      </c>
      <c r="I4848" t="inlineStr">
        <is>
          <t>entidad-dia</t>
        </is>
      </c>
    </row>
    <row r="4849">
      <c r="A4849" t="inlineStr">
        <is>
          <t>PRAGMA</t>
        </is>
      </c>
      <c r="B4849" t="inlineStr">
        <is>
          <t>M1</t>
        </is>
      </c>
      <c r="C4849" t="inlineStr">
        <is>
          <t>Cali</t>
        </is>
      </c>
      <c r="D4849" t="inlineStr">
        <is>
          <t>8185</t>
        </is>
      </c>
      <c r="E4849" t="inlineStr">
        <is>
          <t>pagado</t>
        </is>
      </c>
      <c r="F4849" s="23" t="n">
        <v>46267</v>
      </c>
      <c r="G4849" s="24">
        <f>F4849-DATE(2026,8,31)</f>
        <v>2</v>
      </c>
      <c r="H4849" s="25" t="n">
        <v>91202966</v>
      </c>
      <c r="I4849" t="inlineStr">
        <is>
          <t>entidad-dia</t>
        </is>
      </c>
    </row>
    <row r="4850">
      <c r="A4850" t="inlineStr">
        <is>
          <t>PRAGMA</t>
        </is>
      </c>
      <c r="B4850" t="inlineStr">
        <is>
          <t>M1</t>
        </is>
      </c>
      <c r="C4850" t="inlineStr">
        <is>
          <t>Cali</t>
        </is>
      </c>
      <c r="D4850" t="inlineStr">
        <is>
          <t>8185</t>
        </is>
      </c>
      <c r="E4850" t="inlineStr">
        <is>
          <t>pagado</t>
        </is>
      </c>
      <c r="F4850" s="23" t="n">
        <v>46268</v>
      </c>
      <c r="G4850" s="24">
        <f>F4850-DATE(2026,8,31)</f>
        <v>3</v>
      </c>
      <c r="H4850" s="25" t="n">
        <v>80320827</v>
      </c>
      <c r="I4850" t="inlineStr">
        <is>
          <t>entidad-dia</t>
        </is>
      </c>
    </row>
    <row r="4851">
      <c r="A4851" t="inlineStr">
        <is>
          <t>PRAGMA</t>
        </is>
      </c>
      <c r="B4851" t="inlineStr">
        <is>
          <t>M1</t>
        </is>
      </c>
      <c r="C4851" t="inlineStr">
        <is>
          <t>Cali</t>
        </is>
      </c>
      <c r="D4851" t="inlineStr">
        <is>
          <t>8185</t>
        </is>
      </c>
      <c r="E4851" t="inlineStr">
        <is>
          <t>pagado</t>
        </is>
      </c>
      <c r="F4851" s="23" t="n">
        <v>46269</v>
      </c>
      <c r="G4851" s="24">
        <f>F4851-DATE(2026,8,31)</f>
        <v>4</v>
      </c>
      <c r="H4851" s="25" t="n">
        <v>82081566</v>
      </c>
      <c r="I4851" t="inlineStr">
        <is>
          <t>entidad-dia</t>
        </is>
      </c>
    </row>
    <row r="4852">
      <c r="A4852" t="inlineStr">
        <is>
          <t>PRAGMA</t>
        </is>
      </c>
      <c r="B4852" t="inlineStr">
        <is>
          <t>M1</t>
        </is>
      </c>
      <c r="C4852" t="inlineStr">
        <is>
          <t>Cali</t>
        </is>
      </c>
      <c r="D4852" t="inlineStr">
        <is>
          <t>8185</t>
        </is>
      </c>
      <c r="E4852" t="inlineStr">
        <is>
          <t>pagado</t>
        </is>
      </c>
      <c r="F4852" s="23" t="n">
        <v>46270</v>
      </c>
      <c r="G4852" s="24">
        <f>F4852-DATE(2026,8,31)</f>
        <v>5</v>
      </c>
      <c r="H4852" s="25" t="n">
        <v>94017825</v>
      </c>
      <c r="I4852" t="inlineStr">
        <is>
          <t>entidad-dia</t>
        </is>
      </c>
    </row>
    <row r="4853">
      <c r="A4853" t="inlineStr">
        <is>
          <t>PRAGMA</t>
        </is>
      </c>
      <c r="B4853" t="inlineStr">
        <is>
          <t>M1</t>
        </is>
      </c>
      <c r="C4853" t="inlineStr">
        <is>
          <t>Cali</t>
        </is>
      </c>
      <c r="D4853" t="inlineStr">
        <is>
          <t>8185</t>
        </is>
      </c>
      <c r="E4853" t="inlineStr">
        <is>
          <t>pagado</t>
        </is>
      </c>
      <c r="F4853" s="23" t="n">
        <v>46271</v>
      </c>
      <c r="G4853" s="24">
        <f>F4853-DATE(2026,8,31)</f>
        <v>6</v>
      </c>
      <c r="H4853" s="25" t="n">
        <v>77662661</v>
      </c>
      <c r="I4853" t="inlineStr">
        <is>
          <t>entidad-dia</t>
        </is>
      </c>
    </row>
    <row r="4854">
      <c r="A4854" t="inlineStr">
        <is>
          <t>PRAGMA</t>
        </is>
      </c>
      <c r="B4854" t="inlineStr">
        <is>
          <t>M1</t>
        </is>
      </c>
      <c r="C4854" t="inlineStr">
        <is>
          <t>Cali</t>
        </is>
      </c>
      <c r="D4854" t="inlineStr">
        <is>
          <t>8185</t>
        </is>
      </c>
      <c r="E4854" t="inlineStr">
        <is>
          <t>pagado</t>
        </is>
      </c>
      <c r="F4854" s="23" t="n">
        <v>46272</v>
      </c>
      <c r="G4854" s="24">
        <f>F4854-DATE(2026,8,31)</f>
        <v>7</v>
      </c>
      <c r="H4854" s="25" t="n">
        <v>68448538</v>
      </c>
      <c r="I4854" t="inlineStr">
        <is>
          <t>entidad-dia</t>
        </is>
      </c>
    </row>
    <row r="4855">
      <c r="A4855" t="inlineStr">
        <is>
          <t>PRAGMA</t>
        </is>
      </c>
      <c r="B4855" t="inlineStr">
        <is>
          <t>M1</t>
        </is>
      </c>
      <c r="C4855" t="inlineStr">
        <is>
          <t>Cali</t>
        </is>
      </c>
      <c r="D4855" t="inlineStr">
        <is>
          <t>8185</t>
        </is>
      </c>
      <c r="E4855" t="inlineStr">
        <is>
          <t>pagado</t>
        </is>
      </c>
      <c r="F4855" s="23" t="n">
        <v>46273</v>
      </c>
      <c r="G4855" s="24">
        <f>F4855-DATE(2026,8,31)</f>
        <v>8</v>
      </c>
      <c r="H4855" s="25" t="n">
        <v>62557827</v>
      </c>
      <c r="I4855" t="inlineStr">
        <is>
          <t>entidad-dia</t>
        </is>
      </c>
    </row>
    <row r="4856">
      <c r="A4856" t="inlineStr">
        <is>
          <t>PRAGMA</t>
        </is>
      </c>
      <c r="B4856" t="inlineStr">
        <is>
          <t>M1</t>
        </is>
      </c>
      <c r="C4856" t="inlineStr">
        <is>
          <t>Cali</t>
        </is>
      </c>
      <c r="D4856" t="inlineStr">
        <is>
          <t>8185</t>
        </is>
      </c>
      <c r="E4856" t="inlineStr">
        <is>
          <t>pagado</t>
        </is>
      </c>
      <c r="F4856" s="23" t="n">
        <v>46274</v>
      </c>
      <c r="G4856" s="24">
        <f>F4856-DATE(2026,8,31)</f>
        <v>9</v>
      </c>
      <c r="H4856" s="25" t="n">
        <v>61569515</v>
      </c>
      <c r="I4856" t="inlineStr">
        <is>
          <t>entidad-dia</t>
        </is>
      </c>
    </row>
    <row r="4857">
      <c r="A4857" t="inlineStr">
        <is>
          <t>PRAGMA</t>
        </is>
      </c>
      <c r="B4857" t="inlineStr">
        <is>
          <t>M1</t>
        </is>
      </c>
      <c r="C4857" t="inlineStr">
        <is>
          <t>Cali</t>
        </is>
      </c>
      <c r="D4857" t="inlineStr">
        <is>
          <t>8185</t>
        </is>
      </c>
      <c r="E4857" t="inlineStr">
        <is>
          <t>pagado</t>
        </is>
      </c>
      <c r="F4857" s="23" t="n">
        <v>46275</v>
      </c>
      <c r="G4857" s="24">
        <f>F4857-DATE(2026,8,31)</f>
        <v>10</v>
      </c>
      <c r="H4857" s="25" t="n">
        <v>52723230</v>
      </c>
      <c r="I4857" t="inlineStr">
        <is>
          <t>entidad-dia</t>
        </is>
      </c>
    </row>
    <row r="4858">
      <c r="A4858" t="inlineStr">
        <is>
          <t>PRAGMA</t>
        </is>
      </c>
      <c r="B4858" t="inlineStr">
        <is>
          <t>M1</t>
        </is>
      </c>
      <c r="C4858" t="inlineStr">
        <is>
          <t>Cali</t>
        </is>
      </c>
      <c r="D4858" t="inlineStr">
        <is>
          <t>8185</t>
        </is>
      </c>
      <c r="E4858" t="inlineStr">
        <is>
          <t>pagado</t>
        </is>
      </c>
      <c r="F4858" s="23" t="n">
        <v>46276</v>
      </c>
      <c r="G4858" s="24">
        <f>F4858-DATE(2026,8,31)</f>
        <v>11</v>
      </c>
      <c r="H4858" s="25" t="n">
        <v>59056769</v>
      </c>
      <c r="I4858" t="inlineStr">
        <is>
          <t>entidad-dia</t>
        </is>
      </c>
    </row>
    <row r="4859">
      <c r="A4859" t="inlineStr">
        <is>
          <t>PRAGMA</t>
        </is>
      </c>
      <c r="B4859" t="inlineStr">
        <is>
          <t>M1</t>
        </is>
      </c>
      <c r="C4859" t="inlineStr">
        <is>
          <t>Cali</t>
        </is>
      </c>
      <c r="D4859" t="inlineStr">
        <is>
          <t>8185</t>
        </is>
      </c>
      <c r="E4859" t="inlineStr">
        <is>
          <t>pagado</t>
        </is>
      </c>
      <c r="F4859" s="23" t="n">
        <v>46277</v>
      </c>
      <c r="G4859" s="24">
        <f>F4859-DATE(2026,8,31)</f>
        <v>12</v>
      </c>
      <c r="H4859" s="25" t="n">
        <v>64500178</v>
      </c>
      <c r="I4859" t="inlineStr">
        <is>
          <t>entidad-dia</t>
        </is>
      </c>
    </row>
    <row r="4860">
      <c r="A4860" t="inlineStr">
        <is>
          <t>PRAGMA</t>
        </is>
      </c>
      <c r="B4860" t="inlineStr">
        <is>
          <t>M1</t>
        </is>
      </c>
      <c r="C4860" t="inlineStr">
        <is>
          <t>Cali</t>
        </is>
      </c>
      <c r="D4860" t="inlineStr">
        <is>
          <t>8185</t>
        </is>
      </c>
      <c r="E4860" t="inlineStr">
        <is>
          <t>pagado</t>
        </is>
      </c>
      <c r="F4860" s="23" t="n">
        <v>46278</v>
      </c>
      <c r="G4860" s="24">
        <f>F4860-DATE(2026,8,31)</f>
        <v>13</v>
      </c>
      <c r="H4860" s="25" t="n">
        <v>59779456</v>
      </c>
      <c r="I4860" t="inlineStr">
        <is>
          <t>entidad-dia</t>
        </is>
      </c>
    </row>
    <row r="4861">
      <c r="A4861" t="inlineStr">
        <is>
          <t>PRAGMA</t>
        </is>
      </c>
      <c r="B4861" t="inlineStr">
        <is>
          <t>M1</t>
        </is>
      </c>
      <c r="C4861" t="inlineStr">
        <is>
          <t>Cali</t>
        </is>
      </c>
      <c r="D4861" t="inlineStr">
        <is>
          <t>8185</t>
        </is>
      </c>
      <c r="E4861" t="inlineStr">
        <is>
          <t>pagado</t>
        </is>
      </c>
      <c r="F4861" s="23" t="n">
        <v>46279</v>
      </c>
      <c r="G4861" s="24">
        <f>F4861-DATE(2026,8,31)</f>
        <v>14</v>
      </c>
      <c r="H4861" s="25" t="n">
        <v>66329368</v>
      </c>
      <c r="I4861" t="inlineStr">
        <is>
          <t>entidad-dia</t>
        </is>
      </c>
    </row>
    <row r="4862">
      <c r="A4862" t="inlineStr">
        <is>
          <t>PRAGMA</t>
        </is>
      </c>
      <c r="B4862" t="inlineStr">
        <is>
          <t>M1</t>
        </is>
      </c>
      <c r="C4862" t="inlineStr">
        <is>
          <t>Cali</t>
        </is>
      </c>
      <c r="D4862" t="inlineStr">
        <is>
          <t>8185</t>
        </is>
      </c>
      <c r="E4862" t="inlineStr">
        <is>
          <t>pagado</t>
        </is>
      </c>
      <c r="F4862" s="23" t="n">
        <v>46280</v>
      </c>
      <c r="G4862" s="24">
        <f>F4862-DATE(2026,8,31)</f>
        <v>15</v>
      </c>
      <c r="H4862" s="25" t="n">
        <v>87053291</v>
      </c>
      <c r="I4862" t="inlineStr">
        <is>
          <t>entidad-dia</t>
        </is>
      </c>
    </row>
    <row r="4863">
      <c r="A4863" t="inlineStr">
        <is>
          <t>PRAGMA</t>
        </is>
      </c>
      <c r="B4863" t="inlineStr">
        <is>
          <t>M1</t>
        </is>
      </c>
      <c r="C4863" t="inlineStr">
        <is>
          <t>Cali</t>
        </is>
      </c>
      <c r="D4863" t="inlineStr">
        <is>
          <t>8186</t>
        </is>
      </c>
      <c r="E4863" t="inlineStr">
        <is>
          <t>pagado</t>
        </is>
      </c>
      <c r="F4863" s="23" t="n">
        <v>46266</v>
      </c>
      <c r="G4863" s="24">
        <f>F4863-DATE(2026,8,31)</f>
        <v>1</v>
      </c>
      <c r="H4863" s="25" t="n">
        <v>137929356</v>
      </c>
      <c r="I4863" t="inlineStr">
        <is>
          <t>entidad-dia</t>
        </is>
      </c>
    </row>
    <row r="4864">
      <c r="A4864" t="inlineStr">
        <is>
          <t>PRAGMA</t>
        </is>
      </c>
      <c r="B4864" t="inlineStr">
        <is>
          <t>M1</t>
        </is>
      </c>
      <c r="C4864" t="inlineStr">
        <is>
          <t>Cali</t>
        </is>
      </c>
      <c r="D4864" t="inlineStr">
        <is>
          <t>8186</t>
        </is>
      </c>
      <c r="E4864" t="inlineStr">
        <is>
          <t>pagado</t>
        </is>
      </c>
      <c r="F4864" s="23" t="n">
        <v>46267</v>
      </c>
      <c r="G4864" s="24">
        <f>F4864-DATE(2026,8,31)</f>
        <v>2</v>
      </c>
      <c r="H4864" s="25" t="n">
        <v>95755844</v>
      </c>
      <c r="I4864" t="inlineStr">
        <is>
          <t>entidad-dia</t>
        </is>
      </c>
    </row>
    <row r="4865">
      <c r="A4865" t="inlineStr">
        <is>
          <t>PRAGMA</t>
        </is>
      </c>
      <c r="B4865" t="inlineStr">
        <is>
          <t>M1</t>
        </is>
      </c>
      <c r="C4865" t="inlineStr">
        <is>
          <t>Cali</t>
        </is>
      </c>
      <c r="D4865" t="inlineStr">
        <is>
          <t>8186</t>
        </is>
      </c>
      <c r="E4865" t="inlineStr">
        <is>
          <t>pagado</t>
        </is>
      </c>
      <c r="F4865" s="23" t="n">
        <v>46268</v>
      </c>
      <c r="G4865" s="24">
        <f>F4865-DATE(2026,8,31)</f>
        <v>3</v>
      </c>
      <c r="H4865" s="25" t="n">
        <v>83517179</v>
      </c>
      <c r="I4865" t="inlineStr">
        <is>
          <t>entidad-dia</t>
        </is>
      </c>
    </row>
    <row r="4866">
      <c r="A4866" t="inlineStr">
        <is>
          <t>PRAGMA</t>
        </is>
      </c>
      <c r="B4866" t="inlineStr">
        <is>
          <t>M1</t>
        </is>
      </c>
      <c r="C4866" t="inlineStr">
        <is>
          <t>Cali</t>
        </is>
      </c>
      <c r="D4866" t="inlineStr">
        <is>
          <t>8186</t>
        </is>
      </c>
      <c r="E4866" t="inlineStr">
        <is>
          <t>pagado</t>
        </is>
      </c>
      <c r="F4866" s="23" t="n">
        <v>46269</v>
      </c>
      <c r="G4866" s="24">
        <f>F4866-DATE(2026,8,31)</f>
        <v>4</v>
      </c>
      <c r="H4866" s="25" t="n">
        <v>85067819</v>
      </c>
      <c r="I4866" t="inlineStr">
        <is>
          <t>entidad-dia</t>
        </is>
      </c>
    </row>
    <row r="4867">
      <c r="A4867" t="inlineStr">
        <is>
          <t>PRAGMA</t>
        </is>
      </c>
      <c r="B4867" t="inlineStr">
        <is>
          <t>M1</t>
        </is>
      </c>
      <c r="C4867" t="inlineStr">
        <is>
          <t>Cali</t>
        </is>
      </c>
      <c r="D4867" t="inlineStr">
        <is>
          <t>8186</t>
        </is>
      </c>
      <c r="E4867" t="inlineStr">
        <is>
          <t>pagado</t>
        </is>
      </c>
      <c r="F4867" s="23" t="n">
        <v>46270</v>
      </c>
      <c r="G4867" s="24">
        <f>F4867-DATE(2026,8,31)</f>
        <v>5</v>
      </c>
      <c r="H4867" s="25" t="n">
        <v>98549423</v>
      </c>
      <c r="I4867" t="inlineStr">
        <is>
          <t>entidad-dia</t>
        </is>
      </c>
    </row>
    <row r="4868">
      <c r="A4868" t="inlineStr">
        <is>
          <t>PRAGMA</t>
        </is>
      </c>
      <c r="B4868" t="inlineStr">
        <is>
          <t>M1</t>
        </is>
      </c>
      <c r="C4868" t="inlineStr">
        <is>
          <t>Cali</t>
        </is>
      </c>
      <c r="D4868" t="inlineStr">
        <is>
          <t>8186</t>
        </is>
      </c>
      <c r="E4868" t="inlineStr">
        <is>
          <t>pagado</t>
        </is>
      </c>
      <c r="F4868" s="23" t="n">
        <v>46271</v>
      </c>
      <c r="G4868" s="24">
        <f>F4868-DATE(2026,8,31)</f>
        <v>6</v>
      </c>
      <c r="H4868" s="25" t="n">
        <v>79483448</v>
      </c>
      <c r="I4868" t="inlineStr">
        <is>
          <t>entidad-dia</t>
        </is>
      </c>
    </row>
    <row r="4869">
      <c r="A4869" t="inlineStr">
        <is>
          <t>PRAGMA</t>
        </is>
      </c>
      <c r="B4869" t="inlineStr">
        <is>
          <t>M1</t>
        </is>
      </c>
      <c r="C4869" t="inlineStr">
        <is>
          <t>Cali</t>
        </is>
      </c>
      <c r="D4869" t="inlineStr">
        <is>
          <t>8186</t>
        </is>
      </c>
      <c r="E4869" t="inlineStr">
        <is>
          <t>pagado</t>
        </is>
      </c>
      <c r="F4869" s="23" t="n">
        <v>46272</v>
      </c>
      <c r="G4869" s="24">
        <f>F4869-DATE(2026,8,31)</f>
        <v>7</v>
      </c>
      <c r="H4869" s="25" t="n">
        <v>68360913</v>
      </c>
      <c r="I4869" t="inlineStr">
        <is>
          <t>entidad-dia</t>
        </is>
      </c>
    </row>
    <row r="4870">
      <c r="A4870" t="inlineStr">
        <is>
          <t>PRAGMA</t>
        </is>
      </c>
      <c r="B4870" t="inlineStr">
        <is>
          <t>M1</t>
        </is>
      </c>
      <c r="C4870" t="inlineStr">
        <is>
          <t>Cali</t>
        </is>
      </c>
      <c r="D4870" t="inlineStr">
        <is>
          <t>8186</t>
        </is>
      </c>
      <c r="E4870" t="inlineStr">
        <is>
          <t>pagado</t>
        </is>
      </c>
      <c r="F4870" s="23" t="n">
        <v>46273</v>
      </c>
      <c r="G4870" s="24">
        <f>F4870-DATE(2026,8,31)</f>
        <v>8</v>
      </c>
      <c r="H4870" s="25" t="n">
        <v>66731640</v>
      </c>
      <c r="I4870" t="inlineStr">
        <is>
          <t>entidad-dia</t>
        </is>
      </c>
    </row>
    <row r="4871">
      <c r="A4871" t="inlineStr">
        <is>
          <t>PRAGMA</t>
        </is>
      </c>
      <c r="B4871" t="inlineStr">
        <is>
          <t>M1</t>
        </is>
      </c>
      <c r="C4871" t="inlineStr">
        <is>
          <t>Cali</t>
        </is>
      </c>
      <c r="D4871" t="inlineStr">
        <is>
          <t>8186</t>
        </is>
      </c>
      <c r="E4871" t="inlineStr">
        <is>
          <t>pagado</t>
        </is>
      </c>
      <c r="F4871" s="23" t="n">
        <v>46274</v>
      </c>
      <c r="G4871" s="24">
        <f>F4871-DATE(2026,8,31)</f>
        <v>9</v>
      </c>
      <c r="H4871" s="25" t="n">
        <v>63303104</v>
      </c>
      <c r="I4871" t="inlineStr">
        <is>
          <t>entidad-dia</t>
        </is>
      </c>
    </row>
    <row r="4872">
      <c r="A4872" t="inlineStr">
        <is>
          <t>PRAGMA</t>
        </is>
      </c>
      <c r="B4872" t="inlineStr">
        <is>
          <t>M1</t>
        </is>
      </c>
      <c r="C4872" t="inlineStr">
        <is>
          <t>Cali</t>
        </is>
      </c>
      <c r="D4872" t="inlineStr">
        <is>
          <t>8186</t>
        </is>
      </c>
      <c r="E4872" t="inlineStr">
        <is>
          <t>pagado</t>
        </is>
      </c>
      <c r="F4872" s="23" t="n">
        <v>46275</v>
      </c>
      <c r="G4872" s="24">
        <f>F4872-DATE(2026,8,31)</f>
        <v>10</v>
      </c>
      <c r="H4872" s="25" t="n">
        <v>55157964</v>
      </c>
      <c r="I4872" t="inlineStr">
        <is>
          <t>entidad-dia</t>
        </is>
      </c>
    </row>
    <row r="4873">
      <c r="A4873" t="inlineStr">
        <is>
          <t>PRAGMA</t>
        </is>
      </c>
      <c r="B4873" t="inlineStr">
        <is>
          <t>M1</t>
        </is>
      </c>
      <c r="C4873" t="inlineStr">
        <is>
          <t>Cali</t>
        </is>
      </c>
      <c r="D4873" t="inlineStr">
        <is>
          <t>8186</t>
        </is>
      </c>
      <c r="E4873" t="inlineStr">
        <is>
          <t>pagado</t>
        </is>
      </c>
      <c r="F4873" s="23" t="n">
        <v>46276</v>
      </c>
      <c r="G4873" s="24">
        <f>F4873-DATE(2026,8,31)</f>
        <v>11</v>
      </c>
      <c r="H4873" s="25" t="n">
        <v>61361339</v>
      </c>
      <c r="I4873" t="inlineStr">
        <is>
          <t>entidad-dia</t>
        </is>
      </c>
    </row>
    <row r="4874">
      <c r="A4874" t="inlineStr">
        <is>
          <t>PRAGMA</t>
        </is>
      </c>
      <c r="B4874" t="inlineStr">
        <is>
          <t>M1</t>
        </is>
      </c>
      <c r="C4874" t="inlineStr">
        <is>
          <t>Cali</t>
        </is>
      </c>
      <c r="D4874" t="inlineStr">
        <is>
          <t>8186</t>
        </is>
      </c>
      <c r="E4874" t="inlineStr">
        <is>
          <t>pagado</t>
        </is>
      </c>
      <c r="F4874" s="23" t="n">
        <v>46277</v>
      </c>
      <c r="G4874" s="24">
        <f>F4874-DATE(2026,8,31)</f>
        <v>12</v>
      </c>
      <c r="H4874" s="25" t="n">
        <v>73674375</v>
      </c>
      <c r="I4874" t="inlineStr">
        <is>
          <t>entidad-dia</t>
        </is>
      </c>
    </row>
    <row r="4875">
      <c r="A4875" t="inlineStr">
        <is>
          <t>PRAGMA</t>
        </is>
      </c>
      <c r="B4875" t="inlineStr">
        <is>
          <t>M1</t>
        </is>
      </c>
      <c r="C4875" t="inlineStr">
        <is>
          <t>Cali</t>
        </is>
      </c>
      <c r="D4875" t="inlineStr">
        <is>
          <t>8186</t>
        </is>
      </c>
      <c r="E4875" t="inlineStr">
        <is>
          <t>pagado</t>
        </is>
      </c>
      <c r="F4875" s="23" t="n">
        <v>46278</v>
      </c>
      <c r="G4875" s="24">
        <f>F4875-DATE(2026,8,31)</f>
        <v>13</v>
      </c>
      <c r="H4875" s="25" t="n">
        <v>59046803</v>
      </c>
      <c r="I4875" t="inlineStr">
        <is>
          <t>entidad-dia</t>
        </is>
      </c>
    </row>
    <row r="4876">
      <c r="A4876" t="inlineStr">
        <is>
          <t>PRAGMA</t>
        </is>
      </c>
      <c r="B4876" t="inlineStr">
        <is>
          <t>M1</t>
        </is>
      </c>
      <c r="C4876" t="inlineStr">
        <is>
          <t>Cali</t>
        </is>
      </c>
      <c r="D4876" t="inlineStr">
        <is>
          <t>8186</t>
        </is>
      </c>
      <c r="E4876" t="inlineStr">
        <is>
          <t>pagado</t>
        </is>
      </c>
      <c r="F4876" s="23" t="n">
        <v>46279</v>
      </c>
      <c r="G4876" s="24">
        <f>F4876-DATE(2026,8,31)</f>
        <v>14</v>
      </c>
      <c r="H4876" s="25" t="n">
        <v>66270083</v>
      </c>
      <c r="I4876" t="inlineStr">
        <is>
          <t>entidad-dia</t>
        </is>
      </c>
    </row>
    <row r="4877">
      <c r="A4877" t="inlineStr">
        <is>
          <t>PRAGMA</t>
        </is>
      </c>
      <c r="B4877" t="inlineStr">
        <is>
          <t>M1</t>
        </is>
      </c>
      <c r="C4877" t="inlineStr">
        <is>
          <t>Cali</t>
        </is>
      </c>
      <c r="D4877" t="inlineStr">
        <is>
          <t>8186</t>
        </is>
      </c>
      <c r="E4877" t="inlineStr">
        <is>
          <t>pagado</t>
        </is>
      </c>
      <c r="F4877" s="23" t="n">
        <v>46280</v>
      </c>
      <c r="G4877" s="24">
        <f>F4877-DATE(2026,8,31)</f>
        <v>15</v>
      </c>
      <c r="H4877" s="25" t="n">
        <v>105348013</v>
      </c>
      <c r="I4877" t="inlineStr">
        <is>
          <t>entidad-dia</t>
        </is>
      </c>
    </row>
    <row r="4878">
      <c r="A4878" t="inlineStr">
        <is>
          <t>PRAGMA</t>
        </is>
      </c>
      <c r="B4878" t="inlineStr">
        <is>
          <t>M1</t>
        </is>
      </c>
      <c r="C4878" t="inlineStr">
        <is>
          <t>Cali</t>
        </is>
      </c>
      <c r="D4878" t="inlineStr">
        <is>
          <t>8187</t>
        </is>
      </c>
      <c r="E4878" t="inlineStr">
        <is>
          <t>pagado</t>
        </is>
      </c>
      <c r="F4878" s="23" t="n">
        <v>46266</v>
      </c>
      <c r="G4878" s="24">
        <f>F4878-DATE(2026,8,31)</f>
        <v>1</v>
      </c>
      <c r="H4878" s="25" t="n">
        <v>106906678</v>
      </c>
      <c r="I4878" t="inlineStr">
        <is>
          <t>entidad-dia</t>
        </is>
      </c>
    </row>
    <row r="4879">
      <c r="A4879" t="inlineStr">
        <is>
          <t>PRAGMA</t>
        </is>
      </c>
      <c r="B4879" t="inlineStr">
        <is>
          <t>M1</t>
        </is>
      </c>
      <c r="C4879" t="inlineStr">
        <is>
          <t>Cali</t>
        </is>
      </c>
      <c r="D4879" t="inlineStr">
        <is>
          <t>8187</t>
        </is>
      </c>
      <c r="E4879" t="inlineStr">
        <is>
          <t>pagado</t>
        </is>
      </c>
      <c r="F4879" s="23" t="n">
        <v>46267</v>
      </c>
      <c r="G4879" s="24">
        <f>F4879-DATE(2026,8,31)</f>
        <v>2</v>
      </c>
      <c r="H4879" s="25" t="n">
        <v>77260841</v>
      </c>
      <c r="I4879" t="inlineStr">
        <is>
          <t>entidad-dia</t>
        </is>
      </c>
    </row>
    <row r="4880">
      <c r="A4880" t="inlineStr">
        <is>
          <t>PRAGMA</t>
        </is>
      </c>
      <c r="B4880" t="inlineStr">
        <is>
          <t>M1</t>
        </is>
      </c>
      <c r="C4880" t="inlineStr">
        <is>
          <t>Cali</t>
        </is>
      </c>
      <c r="D4880" t="inlineStr">
        <is>
          <t>8187</t>
        </is>
      </c>
      <c r="E4880" t="inlineStr">
        <is>
          <t>pagado</t>
        </is>
      </c>
      <c r="F4880" s="23" t="n">
        <v>46268</v>
      </c>
      <c r="G4880" s="24">
        <f>F4880-DATE(2026,8,31)</f>
        <v>3</v>
      </c>
      <c r="H4880" s="25" t="n">
        <v>67535031</v>
      </c>
      <c r="I4880" t="inlineStr">
        <is>
          <t>entidad-dia</t>
        </is>
      </c>
    </row>
    <row r="4881">
      <c r="A4881" t="inlineStr">
        <is>
          <t>PRAGMA</t>
        </is>
      </c>
      <c r="B4881" t="inlineStr">
        <is>
          <t>M1</t>
        </is>
      </c>
      <c r="C4881" t="inlineStr">
        <is>
          <t>Cali</t>
        </is>
      </c>
      <c r="D4881" t="inlineStr">
        <is>
          <t>8187</t>
        </is>
      </c>
      <c r="E4881" t="inlineStr">
        <is>
          <t>pagado</t>
        </is>
      </c>
      <c r="F4881" s="23" t="n">
        <v>46269</v>
      </c>
      <c r="G4881" s="24">
        <f>F4881-DATE(2026,8,31)</f>
        <v>4</v>
      </c>
      <c r="H4881" s="25" t="n">
        <v>68807850</v>
      </c>
      <c r="I4881" t="inlineStr">
        <is>
          <t>entidad-dia</t>
        </is>
      </c>
    </row>
    <row r="4882">
      <c r="A4882" t="inlineStr">
        <is>
          <t>PRAGMA</t>
        </is>
      </c>
      <c r="B4882" t="inlineStr">
        <is>
          <t>M1</t>
        </is>
      </c>
      <c r="C4882" t="inlineStr">
        <is>
          <t>Cali</t>
        </is>
      </c>
      <c r="D4882" t="inlineStr">
        <is>
          <t>8187</t>
        </is>
      </c>
      <c r="E4882" t="inlineStr">
        <is>
          <t>pagado</t>
        </is>
      </c>
      <c r="F4882" s="23" t="n">
        <v>46270</v>
      </c>
      <c r="G4882" s="24">
        <f>F4882-DATE(2026,8,31)</f>
        <v>5</v>
      </c>
      <c r="H4882" s="25" t="n">
        <v>75727728</v>
      </c>
      <c r="I4882" t="inlineStr">
        <is>
          <t>entidad-dia</t>
        </is>
      </c>
    </row>
    <row r="4883">
      <c r="A4883" t="inlineStr">
        <is>
          <t>PRAGMA</t>
        </is>
      </c>
      <c r="B4883" t="inlineStr">
        <is>
          <t>M1</t>
        </is>
      </c>
      <c r="C4883" t="inlineStr">
        <is>
          <t>Cali</t>
        </is>
      </c>
      <c r="D4883" t="inlineStr">
        <is>
          <t>8187</t>
        </is>
      </c>
      <c r="E4883" t="inlineStr">
        <is>
          <t>pagado</t>
        </is>
      </c>
      <c r="F4883" s="23" t="n">
        <v>46271</v>
      </c>
      <c r="G4883" s="24">
        <f>F4883-DATE(2026,8,31)</f>
        <v>6</v>
      </c>
      <c r="H4883" s="25" t="n">
        <v>60578584</v>
      </c>
      <c r="I4883" t="inlineStr">
        <is>
          <t>entidad-dia</t>
        </is>
      </c>
    </row>
    <row r="4884">
      <c r="A4884" t="inlineStr">
        <is>
          <t>PRAGMA</t>
        </is>
      </c>
      <c r="B4884" t="inlineStr">
        <is>
          <t>M1</t>
        </is>
      </c>
      <c r="C4884" t="inlineStr">
        <is>
          <t>Cali</t>
        </is>
      </c>
      <c r="D4884" t="inlineStr">
        <is>
          <t>8187</t>
        </is>
      </c>
      <c r="E4884" t="inlineStr">
        <is>
          <t>pagado</t>
        </is>
      </c>
      <c r="F4884" s="23" t="n">
        <v>46272</v>
      </c>
      <c r="G4884" s="24">
        <f>F4884-DATE(2026,8,31)</f>
        <v>7</v>
      </c>
      <c r="H4884" s="25" t="n">
        <v>51670553</v>
      </c>
      <c r="I4884" t="inlineStr">
        <is>
          <t>entidad-dia</t>
        </is>
      </c>
    </row>
    <row r="4885">
      <c r="A4885" t="inlineStr">
        <is>
          <t>PRAGMA</t>
        </is>
      </c>
      <c r="B4885" t="inlineStr">
        <is>
          <t>M1</t>
        </is>
      </c>
      <c r="C4885" t="inlineStr">
        <is>
          <t>Cali</t>
        </is>
      </c>
      <c r="D4885" t="inlineStr">
        <is>
          <t>8187</t>
        </is>
      </c>
      <c r="E4885" t="inlineStr">
        <is>
          <t>pagado</t>
        </is>
      </c>
      <c r="F4885" s="23" t="n">
        <v>46273</v>
      </c>
      <c r="G4885" s="24">
        <f>F4885-DATE(2026,8,31)</f>
        <v>8</v>
      </c>
      <c r="H4885" s="25" t="n">
        <v>46514105</v>
      </c>
      <c r="I4885" t="inlineStr">
        <is>
          <t>entidad-dia</t>
        </is>
      </c>
    </row>
    <row r="4886">
      <c r="A4886" t="inlineStr">
        <is>
          <t>PRAGMA</t>
        </is>
      </c>
      <c r="B4886" t="inlineStr">
        <is>
          <t>M1</t>
        </is>
      </c>
      <c r="C4886" t="inlineStr">
        <is>
          <t>Cali</t>
        </is>
      </c>
      <c r="D4886" t="inlineStr">
        <is>
          <t>8187</t>
        </is>
      </c>
      <c r="E4886" t="inlineStr">
        <is>
          <t>pagado</t>
        </is>
      </c>
      <c r="F4886" s="23" t="n">
        <v>46274</v>
      </c>
      <c r="G4886" s="24">
        <f>F4886-DATE(2026,8,31)</f>
        <v>9</v>
      </c>
      <c r="H4886" s="25" t="n">
        <v>44251782</v>
      </c>
      <c r="I4886" t="inlineStr">
        <is>
          <t>entidad-dia</t>
        </is>
      </c>
    </row>
    <row r="4887">
      <c r="A4887" t="inlineStr">
        <is>
          <t>PRAGMA</t>
        </is>
      </c>
      <c r="B4887" t="inlineStr">
        <is>
          <t>M1</t>
        </is>
      </c>
      <c r="C4887" t="inlineStr">
        <is>
          <t>Cali</t>
        </is>
      </c>
      <c r="D4887" t="inlineStr">
        <is>
          <t>8187</t>
        </is>
      </c>
      <c r="E4887" t="inlineStr">
        <is>
          <t>pagado</t>
        </is>
      </c>
      <c r="F4887" s="23" t="n">
        <v>46275</v>
      </c>
      <c r="G4887" s="24">
        <f>F4887-DATE(2026,8,31)</f>
        <v>10</v>
      </c>
      <c r="H4887" s="25" t="n">
        <v>43377435</v>
      </c>
      <c r="I4887" t="inlineStr">
        <is>
          <t>entidad-dia</t>
        </is>
      </c>
    </row>
    <row r="4888">
      <c r="A4888" t="inlineStr">
        <is>
          <t>PRAGMA</t>
        </is>
      </c>
      <c r="B4888" t="inlineStr">
        <is>
          <t>M1</t>
        </is>
      </c>
      <c r="C4888" t="inlineStr">
        <is>
          <t>Cali</t>
        </is>
      </c>
      <c r="D4888" t="inlineStr">
        <is>
          <t>8187</t>
        </is>
      </c>
      <c r="E4888" t="inlineStr">
        <is>
          <t>pagado</t>
        </is>
      </c>
      <c r="F4888" s="23" t="n">
        <v>46276</v>
      </c>
      <c r="G4888" s="24">
        <f>F4888-DATE(2026,8,31)</f>
        <v>11</v>
      </c>
      <c r="H4888" s="25" t="n">
        <v>46546626</v>
      </c>
      <c r="I4888" t="inlineStr">
        <is>
          <t>entidad-dia</t>
        </is>
      </c>
    </row>
    <row r="4889">
      <c r="A4889" t="inlineStr">
        <is>
          <t>PRAGMA</t>
        </is>
      </c>
      <c r="B4889" t="inlineStr">
        <is>
          <t>M1</t>
        </is>
      </c>
      <c r="C4889" t="inlineStr">
        <is>
          <t>Cali</t>
        </is>
      </c>
      <c r="D4889" t="inlineStr">
        <is>
          <t>8187</t>
        </is>
      </c>
      <c r="E4889" t="inlineStr">
        <is>
          <t>pagado</t>
        </is>
      </c>
      <c r="F4889" s="23" t="n">
        <v>46277</v>
      </c>
      <c r="G4889" s="24">
        <f>F4889-DATE(2026,8,31)</f>
        <v>12</v>
      </c>
      <c r="H4889" s="25" t="n">
        <v>56928318</v>
      </c>
      <c r="I4889" t="inlineStr">
        <is>
          <t>entidad-dia</t>
        </is>
      </c>
    </row>
    <row r="4890">
      <c r="A4890" t="inlineStr">
        <is>
          <t>PRAGMA</t>
        </is>
      </c>
      <c r="B4890" t="inlineStr">
        <is>
          <t>M1</t>
        </is>
      </c>
      <c r="C4890" t="inlineStr">
        <is>
          <t>Cali</t>
        </is>
      </c>
      <c r="D4890" t="inlineStr">
        <is>
          <t>8187</t>
        </is>
      </c>
      <c r="E4890" t="inlineStr">
        <is>
          <t>pagado</t>
        </is>
      </c>
      <c r="F4890" s="23" t="n">
        <v>46278</v>
      </c>
      <c r="G4890" s="24">
        <f>F4890-DATE(2026,8,31)</f>
        <v>13</v>
      </c>
      <c r="H4890" s="25" t="n">
        <v>46717155</v>
      </c>
      <c r="I4890" t="inlineStr">
        <is>
          <t>entidad-dia</t>
        </is>
      </c>
    </row>
    <row r="4891">
      <c r="A4891" t="inlineStr">
        <is>
          <t>PRAGMA</t>
        </is>
      </c>
      <c r="B4891" t="inlineStr">
        <is>
          <t>M1</t>
        </is>
      </c>
      <c r="C4891" t="inlineStr">
        <is>
          <t>Cali</t>
        </is>
      </c>
      <c r="D4891" t="inlineStr">
        <is>
          <t>8187</t>
        </is>
      </c>
      <c r="E4891" t="inlineStr">
        <is>
          <t>pagado</t>
        </is>
      </c>
      <c r="F4891" s="23" t="n">
        <v>46279</v>
      </c>
      <c r="G4891" s="24">
        <f>F4891-DATE(2026,8,31)</f>
        <v>14</v>
      </c>
      <c r="H4891" s="25" t="n">
        <v>52965131</v>
      </c>
      <c r="I4891" t="inlineStr">
        <is>
          <t>entidad-dia</t>
        </is>
      </c>
    </row>
    <row r="4892">
      <c r="A4892" t="inlineStr">
        <is>
          <t>PRAGMA</t>
        </is>
      </c>
      <c r="B4892" t="inlineStr">
        <is>
          <t>M1</t>
        </is>
      </c>
      <c r="C4892" t="inlineStr">
        <is>
          <t>Cali</t>
        </is>
      </c>
      <c r="D4892" t="inlineStr">
        <is>
          <t>8187</t>
        </is>
      </c>
      <c r="E4892" t="inlineStr">
        <is>
          <t>pagado</t>
        </is>
      </c>
      <c r="F4892" s="23" t="n">
        <v>46280</v>
      </c>
      <c r="G4892" s="24">
        <f>F4892-DATE(2026,8,31)</f>
        <v>15</v>
      </c>
      <c r="H4892" s="25" t="n">
        <v>72129496</v>
      </c>
      <c r="I4892" t="inlineStr">
        <is>
          <t>entidad-dia</t>
        </is>
      </c>
    </row>
    <row r="4893">
      <c r="A4893" t="inlineStr">
        <is>
          <t>PRAGMA</t>
        </is>
      </c>
      <c r="B4893" t="inlineStr">
        <is>
          <t>M1</t>
        </is>
      </c>
      <c r="C4893" t="inlineStr">
        <is>
          <t>Cali</t>
        </is>
      </c>
      <c r="D4893" t="inlineStr">
        <is>
          <t>8188</t>
        </is>
      </c>
      <c r="E4893" t="inlineStr">
        <is>
          <t>pagado</t>
        </is>
      </c>
      <c r="F4893" s="23" t="n">
        <v>46266</v>
      </c>
      <c r="G4893" s="24">
        <f>F4893-DATE(2026,8,31)</f>
        <v>1</v>
      </c>
      <c r="H4893" s="25" t="n">
        <v>139229103</v>
      </c>
      <c r="I4893" t="inlineStr">
        <is>
          <t>entidad-dia</t>
        </is>
      </c>
    </row>
    <row r="4894">
      <c r="A4894" t="inlineStr">
        <is>
          <t>PRAGMA</t>
        </is>
      </c>
      <c r="B4894" t="inlineStr">
        <is>
          <t>M1</t>
        </is>
      </c>
      <c r="C4894" t="inlineStr">
        <is>
          <t>Cali</t>
        </is>
      </c>
      <c r="D4894" t="inlineStr">
        <is>
          <t>8188</t>
        </is>
      </c>
      <c r="E4894" t="inlineStr">
        <is>
          <t>pagado</t>
        </is>
      </c>
      <c r="F4894" s="23" t="n">
        <v>46267</v>
      </c>
      <c r="G4894" s="24">
        <f>F4894-DATE(2026,8,31)</f>
        <v>2</v>
      </c>
      <c r="H4894" s="25" t="n">
        <v>95687076</v>
      </c>
      <c r="I4894" t="inlineStr">
        <is>
          <t>entidad-dia</t>
        </is>
      </c>
    </row>
    <row r="4895">
      <c r="A4895" t="inlineStr">
        <is>
          <t>PRAGMA</t>
        </is>
      </c>
      <c r="B4895" t="inlineStr">
        <is>
          <t>M1</t>
        </is>
      </c>
      <c r="C4895" t="inlineStr">
        <is>
          <t>Cali</t>
        </is>
      </c>
      <c r="D4895" t="inlineStr">
        <is>
          <t>8188</t>
        </is>
      </c>
      <c r="E4895" t="inlineStr">
        <is>
          <t>pagado</t>
        </is>
      </c>
      <c r="F4895" s="23" t="n">
        <v>46268</v>
      </c>
      <c r="G4895" s="24">
        <f>F4895-DATE(2026,8,31)</f>
        <v>3</v>
      </c>
      <c r="H4895" s="25" t="n">
        <v>81242620</v>
      </c>
      <c r="I4895" t="inlineStr">
        <is>
          <t>entidad-dia</t>
        </is>
      </c>
    </row>
    <row r="4896">
      <c r="A4896" t="inlineStr">
        <is>
          <t>PRAGMA</t>
        </is>
      </c>
      <c r="B4896" t="inlineStr">
        <is>
          <t>M1</t>
        </is>
      </c>
      <c r="C4896" t="inlineStr">
        <is>
          <t>Cali</t>
        </is>
      </c>
      <c r="D4896" t="inlineStr">
        <is>
          <t>8188</t>
        </is>
      </c>
      <c r="E4896" t="inlineStr">
        <is>
          <t>pagado</t>
        </is>
      </c>
      <c r="F4896" s="23" t="n">
        <v>46269</v>
      </c>
      <c r="G4896" s="24">
        <f>F4896-DATE(2026,8,31)</f>
        <v>4</v>
      </c>
      <c r="H4896" s="25" t="n">
        <v>83751990</v>
      </c>
      <c r="I4896" t="inlineStr">
        <is>
          <t>entidad-dia</t>
        </is>
      </c>
    </row>
    <row r="4897">
      <c r="A4897" t="inlineStr">
        <is>
          <t>PRAGMA</t>
        </is>
      </c>
      <c r="B4897" t="inlineStr">
        <is>
          <t>M1</t>
        </is>
      </c>
      <c r="C4897" t="inlineStr">
        <is>
          <t>Cali</t>
        </is>
      </c>
      <c r="D4897" t="inlineStr">
        <is>
          <t>8188</t>
        </is>
      </c>
      <c r="E4897" t="inlineStr">
        <is>
          <t>pagado</t>
        </is>
      </c>
      <c r="F4897" s="23" t="n">
        <v>46270</v>
      </c>
      <c r="G4897" s="24">
        <f>F4897-DATE(2026,8,31)</f>
        <v>5</v>
      </c>
      <c r="H4897" s="25" t="n">
        <v>94756497</v>
      </c>
      <c r="I4897" t="inlineStr">
        <is>
          <t>entidad-dia</t>
        </is>
      </c>
    </row>
    <row r="4898">
      <c r="A4898" t="inlineStr">
        <is>
          <t>PRAGMA</t>
        </is>
      </c>
      <c r="B4898" t="inlineStr">
        <is>
          <t>M1</t>
        </is>
      </c>
      <c r="C4898" t="inlineStr">
        <is>
          <t>Cali</t>
        </is>
      </c>
      <c r="D4898" t="inlineStr">
        <is>
          <t>8188</t>
        </is>
      </c>
      <c r="E4898" t="inlineStr">
        <is>
          <t>pagado</t>
        </is>
      </c>
      <c r="F4898" s="23" t="n">
        <v>46271</v>
      </c>
      <c r="G4898" s="24">
        <f>F4898-DATE(2026,8,31)</f>
        <v>6</v>
      </c>
      <c r="H4898" s="25" t="n">
        <v>78719208</v>
      </c>
      <c r="I4898" t="inlineStr">
        <is>
          <t>entidad-dia</t>
        </is>
      </c>
    </row>
    <row r="4899">
      <c r="A4899" t="inlineStr">
        <is>
          <t>PRAGMA</t>
        </is>
      </c>
      <c r="B4899" t="inlineStr">
        <is>
          <t>M1</t>
        </is>
      </c>
      <c r="C4899" t="inlineStr">
        <is>
          <t>Cali</t>
        </is>
      </c>
      <c r="D4899" t="inlineStr">
        <is>
          <t>8188</t>
        </is>
      </c>
      <c r="E4899" t="inlineStr">
        <is>
          <t>pagado</t>
        </is>
      </c>
      <c r="F4899" s="23" t="n">
        <v>46272</v>
      </c>
      <c r="G4899" s="24">
        <f>F4899-DATE(2026,8,31)</f>
        <v>7</v>
      </c>
      <c r="H4899" s="25" t="n">
        <v>68229193</v>
      </c>
      <c r="I4899" t="inlineStr">
        <is>
          <t>entidad-dia</t>
        </is>
      </c>
    </row>
    <row r="4900">
      <c r="A4900" t="inlineStr">
        <is>
          <t>PRAGMA</t>
        </is>
      </c>
      <c r="B4900" t="inlineStr">
        <is>
          <t>M1</t>
        </is>
      </c>
      <c r="C4900" t="inlineStr">
        <is>
          <t>Cali</t>
        </is>
      </c>
      <c r="D4900" t="inlineStr">
        <is>
          <t>8188</t>
        </is>
      </c>
      <c r="E4900" t="inlineStr">
        <is>
          <t>pagado</t>
        </is>
      </c>
      <c r="F4900" s="23" t="n">
        <v>46273</v>
      </c>
      <c r="G4900" s="24">
        <f>F4900-DATE(2026,8,31)</f>
        <v>8</v>
      </c>
      <c r="H4900" s="25" t="n">
        <v>65144976</v>
      </c>
      <c r="I4900" t="inlineStr">
        <is>
          <t>entidad-dia</t>
        </is>
      </c>
    </row>
    <row r="4901">
      <c r="A4901" t="inlineStr">
        <is>
          <t>PRAGMA</t>
        </is>
      </c>
      <c r="B4901" t="inlineStr">
        <is>
          <t>M1</t>
        </is>
      </c>
      <c r="C4901" t="inlineStr">
        <is>
          <t>Cali</t>
        </is>
      </c>
      <c r="D4901" t="inlineStr">
        <is>
          <t>8188</t>
        </is>
      </c>
      <c r="E4901" t="inlineStr">
        <is>
          <t>pagado</t>
        </is>
      </c>
      <c r="F4901" s="23" t="n">
        <v>46274</v>
      </c>
      <c r="G4901" s="24">
        <f>F4901-DATE(2026,8,31)</f>
        <v>9</v>
      </c>
      <c r="H4901" s="25" t="n">
        <v>62489773</v>
      </c>
      <c r="I4901" t="inlineStr">
        <is>
          <t>entidad-dia</t>
        </is>
      </c>
    </row>
    <row r="4902">
      <c r="A4902" t="inlineStr">
        <is>
          <t>PRAGMA</t>
        </is>
      </c>
      <c r="B4902" t="inlineStr">
        <is>
          <t>M1</t>
        </is>
      </c>
      <c r="C4902" t="inlineStr">
        <is>
          <t>Cali</t>
        </is>
      </c>
      <c r="D4902" t="inlineStr">
        <is>
          <t>8188</t>
        </is>
      </c>
      <c r="E4902" t="inlineStr">
        <is>
          <t>pagado</t>
        </is>
      </c>
      <c r="F4902" s="23" t="n">
        <v>46275</v>
      </c>
      <c r="G4902" s="24">
        <f>F4902-DATE(2026,8,31)</f>
        <v>10</v>
      </c>
      <c r="H4902" s="25" t="n">
        <v>55784193</v>
      </c>
      <c r="I4902" t="inlineStr">
        <is>
          <t>entidad-dia</t>
        </is>
      </c>
    </row>
    <row r="4903">
      <c r="A4903" t="inlineStr">
        <is>
          <t>PRAGMA</t>
        </is>
      </c>
      <c r="B4903" t="inlineStr">
        <is>
          <t>M1</t>
        </is>
      </c>
      <c r="C4903" t="inlineStr">
        <is>
          <t>Cali</t>
        </is>
      </c>
      <c r="D4903" t="inlineStr">
        <is>
          <t>8188</t>
        </is>
      </c>
      <c r="E4903" t="inlineStr">
        <is>
          <t>pagado</t>
        </is>
      </c>
      <c r="F4903" s="23" t="n">
        <v>46276</v>
      </c>
      <c r="G4903" s="24">
        <f>F4903-DATE(2026,8,31)</f>
        <v>11</v>
      </c>
      <c r="H4903" s="25" t="n">
        <v>58940230</v>
      </c>
      <c r="I4903" t="inlineStr">
        <is>
          <t>entidad-dia</t>
        </is>
      </c>
    </row>
    <row r="4904">
      <c r="A4904" t="inlineStr">
        <is>
          <t>PRAGMA</t>
        </is>
      </c>
      <c r="B4904" t="inlineStr">
        <is>
          <t>M1</t>
        </is>
      </c>
      <c r="C4904" t="inlineStr">
        <is>
          <t>Cali</t>
        </is>
      </c>
      <c r="D4904" t="inlineStr">
        <is>
          <t>8188</t>
        </is>
      </c>
      <c r="E4904" t="inlineStr">
        <is>
          <t>pagado</t>
        </is>
      </c>
      <c r="F4904" s="23" t="n">
        <v>46277</v>
      </c>
      <c r="G4904" s="24">
        <f>F4904-DATE(2026,8,31)</f>
        <v>12</v>
      </c>
      <c r="H4904" s="25" t="n">
        <v>75390945</v>
      </c>
      <c r="I4904" t="inlineStr">
        <is>
          <t>entidad-dia</t>
        </is>
      </c>
    </row>
    <row r="4905">
      <c r="A4905" t="inlineStr">
        <is>
          <t>PRAGMA</t>
        </is>
      </c>
      <c r="B4905" t="inlineStr">
        <is>
          <t>M1</t>
        </is>
      </c>
      <c r="C4905" t="inlineStr">
        <is>
          <t>Cali</t>
        </is>
      </c>
      <c r="D4905" t="inlineStr">
        <is>
          <t>8188</t>
        </is>
      </c>
      <c r="E4905" t="inlineStr">
        <is>
          <t>pagado</t>
        </is>
      </c>
      <c r="F4905" s="23" t="n">
        <v>46278</v>
      </c>
      <c r="G4905" s="24">
        <f>F4905-DATE(2026,8,31)</f>
        <v>13</v>
      </c>
      <c r="H4905" s="25" t="n">
        <v>61158820</v>
      </c>
      <c r="I4905" t="inlineStr">
        <is>
          <t>entidad-dia</t>
        </is>
      </c>
    </row>
    <row r="4906">
      <c r="A4906" t="inlineStr">
        <is>
          <t>PRAGMA</t>
        </is>
      </c>
      <c r="B4906" t="inlineStr">
        <is>
          <t>M1</t>
        </is>
      </c>
      <c r="C4906" t="inlineStr">
        <is>
          <t>Cali</t>
        </is>
      </c>
      <c r="D4906" t="inlineStr">
        <is>
          <t>8188</t>
        </is>
      </c>
      <c r="E4906" t="inlineStr">
        <is>
          <t>pagado</t>
        </is>
      </c>
      <c r="F4906" s="23" t="n">
        <v>46279</v>
      </c>
      <c r="G4906" s="24">
        <f>F4906-DATE(2026,8,31)</f>
        <v>14</v>
      </c>
      <c r="H4906" s="25" t="n">
        <v>68395032</v>
      </c>
      <c r="I4906" t="inlineStr">
        <is>
          <t>entidad-dia</t>
        </is>
      </c>
    </row>
    <row r="4907">
      <c r="A4907" t="inlineStr">
        <is>
          <t>PRAGMA</t>
        </is>
      </c>
      <c r="B4907" t="inlineStr">
        <is>
          <t>M1</t>
        </is>
      </c>
      <c r="C4907" t="inlineStr">
        <is>
          <t>Cali</t>
        </is>
      </c>
      <c r="D4907" t="inlineStr">
        <is>
          <t>8188</t>
        </is>
      </c>
      <c r="E4907" t="inlineStr">
        <is>
          <t>pagado</t>
        </is>
      </c>
      <c r="F4907" s="23" t="n">
        <v>46280</v>
      </c>
      <c r="G4907" s="24">
        <f>F4907-DATE(2026,8,31)</f>
        <v>15</v>
      </c>
      <c r="H4907" s="25" t="n">
        <v>104845905</v>
      </c>
      <c r="I4907" t="inlineStr">
        <is>
          <t>entidad-dia</t>
        </is>
      </c>
    </row>
    <row r="4908">
      <c r="A4908" t="inlineStr">
        <is>
          <t>PRAGMA</t>
        </is>
      </c>
      <c r="B4908" t="inlineStr">
        <is>
          <t>M1</t>
        </is>
      </c>
      <c r="C4908" t="inlineStr">
        <is>
          <t>Cali</t>
        </is>
      </c>
      <c r="D4908" t="inlineStr">
        <is>
          <t>820</t>
        </is>
      </c>
      <c r="E4908" t="inlineStr">
        <is>
          <t>pagado</t>
        </is>
      </c>
      <c r="F4908" s="23" t="n">
        <v>46266</v>
      </c>
      <c r="G4908" s="24">
        <f>F4908-DATE(2026,8,31)</f>
        <v>1</v>
      </c>
      <c r="H4908" s="25" t="n">
        <v>199868445</v>
      </c>
      <c r="I4908" t="inlineStr">
        <is>
          <t>entidad-dia</t>
        </is>
      </c>
    </row>
    <row r="4909">
      <c r="A4909" t="inlineStr">
        <is>
          <t>PRAGMA</t>
        </is>
      </c>
      <c r="B4909" t="inlineStr">
        <is>
          <t>M1</t>
        </is>
      </c>
      <c r="C4909" t="inlineStr">
        <is>
          <t>Cali</t>
        </is>
      </c>
      <c r="D4909" t="inlineStr">
        <is>
          <t>820</t>
        </is>
      </c>
      <c r="E4909" t="inlineStr">
        <is>
          <t>pagado</t>
        </is>
      </c>
      <c r="F4909" s="23" t="n">
        <v>46267</v>
      </c>
      <c r="G4909" s="24">
        <f>F4909-DATE(2026,8,31)</f>
        <v>2</v>
      </c>
      <c r="H4909" s="25" t="n">
        <v>146022480</v>
      </c>
      <c r="I4909" t="inlineStr">
        <is>
          <t>entidad-dia</t>
        </is>
      </c>
    </row>
    <row r="4910">
      <c r="A4910" t="inlineStr">
        <is>
          <t>PRAGMA</t>
        </is>
      </c>
      <c r="B4910" t="inlineStr">
        <is>
          <t>M1</t>
        </is>
      </c>
      <c r="C4910" t="inlineStr">
        <is>
          <t>Cali</t>
        </is>
      </c>
      <c r="D4910" t="inlineStr">
        <is>
          <t>820</t>
        </is>
      </c>
      <c r="E4910" t="inlineStr">
        <is>
          <t>pagado</t>
        </is>
      </c>
      <c r="F4910" s="23" t="n">
        <v>46268</v>
      </c>
      <c r="G4910" s="24">
        <f>F4910-DATE(2026,8,31)</f>
        <v>3</v>
      </c>
      <c r="H4910" s="25" t="n">
        <v>140728274</v>
      </c>
      <c r="I4910" t="inlineStr">
        <is>
          <t>entidad-dia</t>
        </is>
      </c>
    </row>
    <row r="4911">
      <c r="A4911" t="inlineStr">
        <is>
          <t>PRAGMA</t>
        </is>
      </c>
      <c r="B4911" t="inlineStr">
        <is>
          <t>M1</t>
        </is>
      </c>
      <c r="C4911" t="inlineStr">
        <is>
          <t>Cali</t>
        </is>
      </c>
      <c r="D4911" t="inlineStr">
        <is>
          <t>820</t>
        </is>
      </c>
      <c r="E4911" t="inlineStr">
        <is>
          <t>pagado</t>
        </is>
      </c>
      <c r="F4911" s="23" t="n">
        <v>46269</v>
      </c>
      <c r="G4911" s="24">
        <f>F4911-DATE(2026,8,31)</f>
        <v>4</v>
      </c>
      <c r="H4911" s="25" t="n">
        <v>143642623</v>
      </c>
      <c r="I4911" t="inlineStr">
        <is>
          <t>entidad-dia</t>
        </is>
      </c>
    </row>
    <row r="4912">
      <c r="A4912" t="inlineStr">
        <is>
          <t>PRAGMA</t>
        </is>
      </c>
      <c r="B4912" t="inlineStr">
        <is>
          <t>M1</t>
        </is>
      </c>
      <c r="C4912" t="inlineStr">
        <is>
          <t>Cali</t>
        </is>
      </c>
      <c r="D4912" t="inlineStr">
        <is>
          <t>820</t>
        </is>
      </c>
      <c r="E4912" t="inlineStr">
        <is>
          <t>pagado</t>
        </is>
      </c>
      <c r="F4912" s="23" t="n">
        <v>46270</v>
      </c>
      <c r="G4912" s="24">
        <f>F4912-DATE(2026,8,31)</f>
        <v>5</v>
      </c>
      <c r="H4912" s="25" t="n">
        <v>158527328</v>
      </c>
      <c r="I4912" t="inlineStr">
        <is>
          <t>entidad-dia</t>
        </is>
      </c>
    </row>
    <row r="4913">
      <c r="A4913" t="inlineStr">
        <is>
          <t>PRAGMA</t>
        </is>
      </c>
      <c r="B4913" t="inlineStr">
        <is>
          <t>M1</t>
        </is>
      </c>
      <c r="C4913" t="inlineStr">
        <is>
          <t>Cali</t>
        </is>
      </c>
      <c r="D4913" t="inlineStr">
        <is>
          <t>820</t>
        </is>
      </c>
      <c r="E4913" t="inlineStr">
        <is>
          <t>pagado</t>
        </is>
      </c>
      <c r="F4913" s="23" t="n">
        <v>46271</v>
      </c>
      <c r="G4913" s="24">
        <f>F4913-DATE(2026,8,31)</f>
        <v>6</v>
      </c>
      <c r="H4913" s="25" t="n">
        <v>111294132</v>
      </c>
      <c r="I4913" t="inlineStr">
        <is>
          <t>entidad-dia</t>
        </is>
      </c>
    </row>
    <row r="4914">
      <c r="A4914" t="inlineStr">
        <is>
          <t>PRAGMA</t>
        </is>
      </c>
      <c r="B4914" t="inlineStr">
        <is>
          <t>M1</t>
        </is>
      </c>
      <c r="C4914" t="inlineStr">
        <is>
          <t>Cali</t>
        </is>
      </c>
      <c r="D4914" t="inlineStr">
        <is>
          <t>820</t>
        </is>
      </c>
      <c r="E4914" t="inlineStr">
        <is>
          <t>pagado</t>
        </is>
      </c>
      <c r="F4914" s="23" t="n">
        <v>46272</v>
      </c>
      <c r="G4914" s="24">
        <f>F4914-DATE(2026,8,31)</f>
        <v>7</v>
      </c>
      <c r="H4914" s="25" t="n">
        <v>109529406</v>
      </c>
      <c r="I4914" t="inlineStr">
        <is>
          <t>entidad-dia</t>
        </is>
      </c>
    </row>
    <row r="4915">
      <c r="A4915" t="inlineStr">
        <is>
          <t>PRAGMA</t>
        </is>
      </c>
      <c r="B4915" t="inlineStr">
        <is>
          <t>M1</t>
        </is>
      </c>
      <c r="C4915" t="inlineStr">
        <is>
          <t>Cali</t>
        </is>
      </c>
      <c r="D4915" t="inlineStr">
        <is>
          <t>820</t>
        </is>
      </c>
      <c r="E4915" t="inlineStr">
        <is>
          <t>pagado</t>
        </is>
      </c>
      <c r="F4915" s="23" t="n">
        <v>46273</v>
      </c>
      <c r="G4915" s="24">
        <f>F4915-DATE(2026,8,31)</f>
        <v>8</v>
      </c>
      <c r="H4915" s="25" t="n">
        <v>106715634</v>
      </c>
      <c r="I4915" t="inlineStr">
        <is>
          <t>entidad-dia</t>
        </is>
      </c>
    </row>
    <row r="4916">
      <c r="A4916" t="inlineStr">
        <is>
          <t>PRAGMA</t>
        </is>
      </c>
      <c r="B4916" t="inlineStr">
        <is>
          <t>M1</t>
        </is>
      </c>
      <c r="C4916" t="inlineStr">
        <is>
          <t>Cali</t>
        </is>
      </c>
      <c r="D4916" t="inlineStr">
        <is>
          <t>820</t>
        </is>
      </c>
      <c r="E4916" t="inlineStr">
        <is>
          <t>pagado</t>
        </is>
      </c>
      <c r="F4916" s="23" t="n">
        <v>46274</v>
      </c>
      <c r="G4916" s="24">
        <f>F4916-DATE(2026,8,31)</f>
        <v>9</v>
      </c>
      <c r="H4916" s="25" t="n">
        <v>105892374</v>
      </c>
      <c r="I4916" t="inlineStr">
        <is>
          <t>entidad-dia</t>
        </is>
      </c>
    </row>
    <row r="4917">
      <c r="A4917" t="inlineStr">
        <is>
          <t>PRAGMA</t>
        </is>
      </c>
      <c r="B4917" t="inlineStr">
        <is>
          <t>M1</t>
        </is>
      </c>
      <c r="C4917" t="inlineStr">
        <is>
          <t>Cali</t>
        </is>
      </c>
      <c r="D4917" t="inlineStr">
        <is>
          <t>820</t>
        </is>
      </c>
      <c r="E4917" t="inlineStr">
        <is>
          <t>pagado</t>
        </is>
      </c>
      <c r="F4917" s="23" t="n">
        <v>46275</v>
      </c>
      <c r="G4917" s="24">
        <f>F4917-DATE(2026,8,31)</f>
        <v>10</v>
      </c>
      <c r="H4917" s="25" t="n">
        <v>95794440</v>
      </c>
      <c r="I4917" t="inlineStr">
        <is>
          <t>entidad-dia</t>
        </is>
      </c>
    </row>
    <row r="4918">
      <c r="A4918" t="inlineStr">
        <is>
          <t>PRAGMA</t>
        </is>
      </c>
      <c r="B4918" t="inlineStr">
        <is>
          <t>M1</t>
        </is>
      </c>
      <c r="C4918" t="inlineStr">
        <is>
          <t>Cali</t>
        </is>
      </c>
      <c r="D4918" t="inlineStr">
        <is>
          <t>820</t>
        </is>
      </c>
      <c r="E4918" t="inlineStr">
        <is>
          <t>pagado</t>
        </is>
      </c>
      <c r="F4918" s="23" t="n">
        <v>46276</v>
      </c>
      <c r="G4918" s="24">
        <f>F4918-DATE(2026,8,31)</f>
        <v>11</v>
      </c>
      <c r="H4918" s="25" t="n">
        <v>99868616</v>
      </c>
      <c r="I4918" t="inlineStr">
        <is>
          <t>entidad-dia</t>
        </is>
      </c>
    </row>
    <row r="4919">
      <c r="A4919" t="inlineStr">
        <is>
          <t>PRAGMA</t>
        </is>
      </c>
      <c r="B4919" t="inlineStr">
        <is>
          <t>M1</t>
        </is>
      </c>
      <c r="C4919" t="inlineStr">
        <is>
          <t>Cali</t>
        </is>
      </c>
      <c r="D4919" t="inlineStr">
        <is>
          <t>820</t>
        </is>
      </c>
      <c r="E4919" t="inlineStr">
        <is>
          <t>pagado</t>
        </is>
      </c>
      <c r="F4919" s="23" t="n">
        <v>46277</v>
      </c>
      <c r="G4919" s="24">
        <f>F4919-DATE(2026,8,31)</f>
        <v>12</v>
      </c>
      <c r="H4919" s="25" t="n">
        <v>126927479</v>
      </c>
      <c r="I4919" t="inlineStr">
        <is>
          <t>entidad-dia</t>
        </is>
      </c>
    </row>
    <row r="4920">
      <c r="A4920" t="inlineStr">
        <is>
          <t>PRAGMA</t>
        </is>
      </c>
      <c r="B4920" t="inlineStr">
        <is>
          <t>M1</t>
        </is>
      </c>
      <c r="C4920" t="inlineStr">
        <is>
          <t>Cali</t>
        </is>
      </c>
      <c r="D4920" t="inlineStr">
        <is>
          <t>820</t>
        </is>
      </c>
      <c r="E4920" t="inlineStr">
        <is>
          <t>pagado</t>
        </is>
      </c>
      <c r="F4920" s="23" t="n">
        <v>46278</v>
      </c>
      <c r="G4920" s="24">
        <f>F4920-DATE(2026,8,31)</f>
        <v>13</v>
      </c>
      <c r="H4920" s="25" t="n">
        <v>88849524</v>
      </c>
      <c r="I4920" t="inlineStr">
        <is>
          <t>entidad-dia</t>
        </is>
      </c>
    </row>
    <row r="4921">
      <c r="A4921" t="inlineStr">
        <is>
          <t>PRAGMA</t>
        </is>
      </c>
      <c r="B4921" t="inlineStr">
        <is>
          <t>M1</t>
        </is>
      </c>
      <c r="C4921" t="inlineStr">
        <is>
          <t>Cali</t>
        </is>
      </c>
      <c r="D4921" t="inlineStr">
        <is>
          <t>820</t>
        </is>
      </c>
      <c r="E4921" t="inlineStr">
        <is>
          <t>pagado</t>
        </is>
      </c>
      <c r="F4921" s="23" t="n">
        <v>46279</v>
      </c>
      <c r="G4921" s="24">
        <f>F4921-DATE(2026,8,31)</f>
        <v>14</v>
      </c>
      <c r="H4921" s="25" t="n">
        <v>112297774</v>
      </c>
      <c r="I4921" t="inlineStr">
        <is>
          <t>entidad-dia</t>
        </is>
      </c>
    </row>
    <row r="4922">
      <c r="A4922" t="inlineStr">
        <is>
          <t>PRAGMA</t>
        </is>
      </c>
      <c r="B4922" t="inlineStr">
        <is>
          <t>M1</t>
        </is>
      </c>
      <c r="C4922" t="inlineStr">
        <is>
          <t>Cali</t>
        </is>
      </c>
      <c r="D4922" t="inlineStr">
        <is>
          <t>820</t>
        </is>
      </c>
      <c r="E4922" t="inlineStr">
        <is>
          <t>pagado</t>
        </is>
      </c>
      <c r="F4922" s="23" t="n">
        <v>46280</v>
      </c>
      <c r="G4922" s="24">
        <f>F4922-DATE(2026,8,31)</f>
        <v>15</v>
      </c>
      <c r="H4922" s="25" t="n">
        <v>149382384</v>
      </c>
      <c r="I4922" t="inlineStr">
        <is>
          <t>entidad-dia</t>
        </is>
      </c>
    </row>
    <row r="4923">
      <c r="A4923" t="inlineStr">
        <is>
          <t>PRAGMA</t>
        </is>
      </c>
      <c r="B4923" t="inlineStr">
        <is>
          <t>M1</t>
        </is>
      </c>
      <c r="C4923" t="inlineStr">
        <is>
          <t>Cali</t>
        </is>
      </c>
      <c r="D4923" t="inlineStr">
        <is>
          <t>821</t>
        </is>
      </c>
      <c r="E4923" t="inlineStr">
        <is>
          <t>pagado</t>
        </is>
      </c>
      <c r="F4923" s="23" t="n">
        <v>46266</v>
      </c>
      <c r="G4923" s="24">
        <f>F4923-DATE(2026,8,31)</f>
        <v>1</v>
      </c>
      <c r="H4923" s="25" t="n">
        <v>92524607</v>
      </c>
      <c r="I4923" t="inlineStr">
        <is>
          <t>entidad-dia</t>
        </is>
      </c>
    </row>
    <row r="4924">
      <c r="A4924" t="inlineStr">
        <is>
          <t>PRAGMA</t>
        </is>
      </c>
      <c r="B4924" t="inlineStr">
        <is>
          <t>M1</t>
        </is>
      </c>
      <c r="C4924" t="inlineStr">
        <is>
          <t>Cali</t>
        </is>
      </c>
      <c r="D4924" t="inlineStr">
        <is>
          <t>821</t>
        </is>
      </c>
      <c r="E4924" t="inlineStr">
        <is>
          <t>pagado</t>
        </is>
      </c>
      <c r="F4924" s="23" t="n">
        <v>46267</v>
      </c>
      <c r="G4924" s="24">
        <f>F4924-DATE(2026,8,31)</f>
        <v>2</v>
      </c>
      <c r="H4924" s="25" t="n">
        <v>76528125</v>
      </c>
      <c r="I4924" t="inlineStr">
        <is>
          <t>entidad-dia</t>
        </is>
      </c>
    </row>
    <row r="4925">
      <c r="A4925" t="inlineStr">
        <is>
          <t>PRAGMA</t>
        </is>
      </c>
      <c r="B4925" t="inlineStr">
        <is>
          <t>M1</t>
        </is>
      </c>
      <c r="C4925" t="inlineStr">
        <is>
          <t>Cali</t>
        </is>
      </c>
      <c r="D4925" t="inlineStr">
        <is>
          <t>821</t>
        </is>
      </c>
      <c r="E4925" t="inlineStr">
        <is>
          <t>pagado</t>
        </is>
      </c>
      <c r="F4925" s="23" t="n">
        <v>46268</v>
      </c>
      <c r="G4925" s="24">
        <f>F4925-DATE(2026,8,31)</f>
        <v>3</v>
      </c>
      <c r="H4925" s="25" t="n">
        <v>67208145</v>
      </c>
      <c r="I4925" t="inlineStr">
        <is>
          <t>entidad-dia</t>
        </is>
      </c>
    </row>
    <row r="4926">
      <c r="A4926" t="inlineStr">
        <is>
          <t>PRAGMA</t>
        </is>
      </c>
      <c r="B4926" t="inlineStr">
        <is>
          <t>M1</t>
        </is>
      </c>
      <c r="C4926" t="inlineStr">
        <is>
          <t>Cali</t>
        </is>
      </c>
      <c r="D4926" t="inlineStr">
        <is>
          <t>821</t>
        </is>
      </c>
      <c r="E4926" t="inlineStr">
        <is>
          <t>pagado</t>
        </is>
      </c>
      <c r="F4926" s="23" t="n">
        <v>46269</v>
      </c>
      <c r="G4926" s="24">
        <f>F4926-DATE(2026,8,31)</f>
        <v>4</v>
      </c>
      <c r="H4926" s="25" t="n">
        <v>64735395</v>
      </c>
      <c r="I4926" t="inlineStr">
        <is>
          <t>entidad-dia</t>
        </is>
      </c>
    </row>
    <row r="4927">
      <c r="A4927" t="inlineStr">
        <is>
          <t>PRAGMA</t>
        </is>
      </c>
      <c r="B4927" t="inlineStr">
        <is>
          <t>M1</t>
        </is>
      </c>
      <c r="C4927" t="inlineStr">
        <is>
          <t>Cali</t>
        </is>
      </c>
      <c r="D4927" t="inlineStr">
        <is>
          <t>821</t>
        </is>
      </c>
      <c r="E4927" t="inlineStr">
        <is>
          <t>pagado</t>
        </is>
      </c>
      <c r="F4927" s="23" t="n">
        <v>46270</v>
      </c>
      <c r="G4927" s="24">
        <f>F4927-DATE(2026,8,31)</f>
        <v>5</v>
      </c>
      <c r="H4927" s="25" t="n">
        <v>87376850</v>
      </c>
      <c r="I4927" t="inlineStr">
        <is>
          <t>entidad-dia</t>
        </is>
      </c>
    </row>
    <row r="4928">
      <c r="A4928" t="inlineStr">
        <is>
          <t>PRAGMA</t>
        </is>
      </c>
      <c r="B4928" t="inlineStr">
        <is>
          <t>M1</t>
        </is>
      </c>
      <c r="C4928" t="inlineStr">
        <is>
          <t>Cali</t>
        </is>
      </c>
      <c r="D4928" t="inlineStr">
        <is>
          <t>821</t>
        </is>
      </c>
      <c r="E4928" t="inlineStr">
        <is>
          <t>pagado</t>
        </is>
      </c>
      <c r="F4928" s="23" t="n">
        <v>46271</v>
      </c>
      <c r="G4928" s="24">
        <f>F4928-DATE(2026,8,31)</f>
        <v>6</v>
      </c>
      <c r="H4928" s="25" t="n">
        <v>64115485</v>
      </c>
      <c r="I4928" t="inlineStr">
        <is>
          <t>entidad-dia</t>
        </is>
      </c>
    </row>
    <row r="4929">
      <c r="A4929" t="inlineStr">
        <is>
          <t>PRAGMA</t>
        </is>
      </c>
      <c r="B4929" t="inlineStr">
        <is>
          <t>M1</t>
        </is>
      </c>
      <c r="C4929" t="inlineStr">
        <is>
          <t>Cali</t>
        </is>
      </c>
      <c r="D4929" t="inlineStr">
        <is>
          <t>821</t>
        </is>
      </c>
      <c r="E4929" t="inlineStr">
        <is>
          <t>pagado</t>
        </is>
      </c>
      <c r="F4929" s="23" t="n">
        <v>46272</v>
      </c>
      <c r="G4929" s="24">
        <f>F4929-DATE(2026,8,31)</f>
        <v>7</v>
      </c>
      <c r="H4929" s="25" t="n">
        <v>57521405</v>
      </c>
      <c r="I4929" t="inlineStr">
        <is>
          <t>entidad-dia</t>
        </is>
      </c>
    </row>
    <row r="4930">
      <c r="A4930" t="inlineStr">
        <is>
          <t>PRAGMA</t>
        </is>
      </c>
      <c r="B4930" t="inlineStr">
        <is>
          <t>M1</t>
        </is>
      </c>
      <c r="C4930" t="inlineStr">
        <is>
          <t>Cali</t>
        </is>
      </c>
      <c r="D4930" t="inlineStr">
        <is>
          <t>821</t>
        </is>
      </c>
      <c r="E4930" t="inlineStr">
        <is>
          <t>pagado</t>
        </is>
      </c>
      <c r="F4930" s="23" t="n">
        <v>46273</v>
      </c>
      <c r="G4930" s="24">
        <f>F4930-DATE(2026,8,31)</f>
        <v>8</v>
      </c>
      <c r="H4930" s="25" t="n">
        <v>57000690</v>
      </c>
      <c r="I4930" t="inlineStr">
        <is>
          <t>entidad-dia</t>
        </is>
      </c>
    </row>
    <row r="4931">
      <c r="A4931" t="inlineStr">
        <is>
          <t>PRAGMA</t>
        </is>
      </c>
      <c r="B4931" t="inlineStr">
        <is>
          <t>M1</t>
        </is>
      </c>
      <c r="C4931" t="inlineStr">
        <is>
          <t>Cali</t>
        </is>
      </c>
      <c r="D4931" t="inlineStr">
        <is>
          <t>821</t>
        </is>
      </c>
      <c r="E4931" t="inlineStr">
        <is>
          <t>pagado</t>
        </is>
      </c>
      <c r="F4931" s="23" t="n">
        <v>46274</v>
      </c>
      <c r="G4931" s="24">
        <f>F4931-DATE(2026,8,31)</f>
        <v>9</v>
      </c>
      <c r="H4931" s="25" t="n">
        <v>52920568</v>
      </c>
      <c r="I4931" t="inlineStr">
        <is>
          <t>entidad-dia</t>
        </is>
      </c>
    </row>
    <row r="4932">
      <c r="A4932" t="inlineStr">
        <is>
          <t>PRAGMA</t>
        </is>
      </c>
      <c r="B4932" t="inlineStr">
        <is>
          <t>M1</t>
        </is>
      </c>
      <c r="C4932" t="inlineStr">
        <is>
          <t>Cali</t>
        </is>
      </c>
      <c r="D4932" t="inlineStr">
        <is>
          <t>821</t>
        </is>
      </c>
      <c r="E4932" t="inlineStr">
        <is>
          <t>pagado</t>
        </is>
      </c>
      <c r="F4932" s="23" t="n">
        <v>46275</v>
      </c>
      <c r="G4932" s="24">
        <f>F4932-DATE(2026,8,31)</f>
        <v>10</v>
      </c>
      <c r="H4932" s="25" t="n">
        <v>45956548</v>
      </c>
      <c r="I4932" t="inlineStr">
        <is>
          <t>entidad-dia</t>
        </is>
      </c>
    </row>
    <row r="4933">
      <c r="A4933" t="inlineStr">
        <is>
          <t>PRAGMA</t>
        </is>
      </c>
      <c r="B4933" t="inlineStr">
        <is>
          <t>M1</t>
        </is>
      </c>
      <c r="C4933" t="inlineStr">
        <is>
          <t>Cali</t>
        </is>
      </c>
      <c r="D4933" t="inlineStr">
        <is>
          <t>821</t>
        </is>
      </c>
      <c r="E4933" t="inlineStr">
        <is>
          <t>pagado</t>
        </is>
      </c>
      <c r="F4933" s="23" t="n">
        <v>46276</v>
      </c>
      <c r="G4933" s="24">
        <f>F4933-DATE(2026,8,31)</f>
        <v>11</v>
      </c>
      <c r="H4933" s="25" t="n">
        <v>48488938</v>
      </c>
      <c r="I4933" t="inlineStr">
        <is>
          <t>entidad-dia</t>
        </is>
      </c>
    </row>
    <row r="4934">
      <c r="A4934" t="inlineStr">
        <is>
          <t>PRAGMA</t>
        </is>
      </c>
      <c r="B4934" t="inlineStr">
        <is>
          <t>M1</t>
        </is>
      </c>
      <c r="C4934" t="inlineStr">
        <is>
          <t>Cali</t>
        </is>
      </c>
      <c r="D4934" t="inlineStr">
        <is>
          <t>821</t>
        </is>
      </c>
      <c r="E4934" t="inlineStr">
        <is>
          <t>pagado</t>
        </is>
      </c>
      <c r="F4934" s="23" t="n">
        <v>46277</v>
      </c>
      <c r="G4934" s="24">
        <f>F4934-DATE(2026,8,31)</f>
        <v>12</v>
      </c>
      <c r="H4934" s="25" t="n">
        <v>61374682</v>
      </c>
      <c r="I4934" t="inlineStr">
        <is>
          <t>entidad-dia</t>
        </is>
      </c>
    </row>
    <row r="4935">
      <c r="A4935" t="inlineStr">
        <is>
          <t>PRAGMA</t>
        </is>
      </c>
      <c r="B4935" t="inlineStr">
        <is>
          <t>M1</t>
        </is>
      </c>
      <c r="C4935" t="inlineStr">
        <is>
          <t>Cali</t>
        </is>
      </c>
      <c r="D4935" t="inlineStr">
        <is>
          <t>821</t>
        </is>
      </c>
      <c r="E4935" t="inlineStr">
        <is>
          <t>pagado</t>
        </is>
      </c>
      <c r="F4935" s="23" t="n">
        <v>46278</v>
      </c>
      <c r="G4935" s="24">
        <f>F4935-DATE(2026,8,31)</f>
        <v>13</v>
      </c>
      <c r="H4935" s="25" t="n">
        <v>48516861</v>
      </c>
      <c r="I4935" t="inlineStr">
        <is>
          <t>entidad-dia</t>
        </is>
      </c>
    </row>
    <row r="4936">
      <c r="A4936" t="inlineStr">
        <is>
          <t>PRAGMA</t>
        </is>
      </c>
      <c r="B4936" t="inlineStr">
        <is>
          <t>M1</t>
        </is>
      </c>
      <c r="C4936" t="inlineStr">
        <is>
          <t>Cali</t>
        </is>
      </c>
      <c r="D4936" t="inlineStr">
        <is>
          <t>821</t>
        </is>
      </c>
      <c r="E4936" t="inlineStr">
        <is>
          <t>pagado</t>
        </is>
      </c>
      <c r="F4936" s="23" t="n">
        <v>46279</v>
      </c>
      <c r="G4936" s="24">
        <f>F4936-DATE(2026,8,31)</f>
        <v>14</v>
      </c>
      <c r="H4936" s="25" t="n">
        <v>49609734</v>
      </c>
      <c r="I4936" t="inlineStr">
        <is>
          <t>entidad-dia</t>
        </is>
      </c>
    </row>
    <row r="4937">
      <c r="A4937" t="inlineStr">
        <is>
          <t>PRAGMA</t>
        </is>
      </c>
      <c r="B4937" t="inlineStr">
        <is>
          <t>M1</t>
        </is>
      </c>
      <c r="C4937" t="inlineStr">
        <is>
          <t>Cali</t>
        </is>
      </c>
      <c r="D4937" t="inlineStr">
        <is>
          <t>821</t>
        </is>
      </c>
      <c r="E4937" t="inlineStr">
        <is>
          <t>pagado</t>
        </is>
      </c>
      <c r="F4937" s="23" t="n">
        <v>46280</v>
      </c>
      <c r="G4937" s="24">
        <f>F4937-DATE(2026,8,31)</f>
        <v>15</v>
      </c>
      <c r="H4937" s="25" t="n">
        <v>72808721</v>
      </c>
      <c r="I4937" t="inlineStr">
        <is>
          <t>entidad-dia</t>
        </is>
      </c>
    </row>
    <row r="4938">
      <c r="A4938" t="inlineStr">
        <is>
          <t>PRAGMA</t>
        </is>
      </c>
      <c r="B4938" t="inlineStr">
        <is>
          <t>M1</t>
        </is>
      </c>
      <c r="C4938" t="inlineStr">
        <is>
          <t>Cali</t>
        </is>
      </c>
      <c r="D4938" t="inlineStr">
        <is>
          <t>8229</t>
        </is>
      </c>
      <c r="E4938" t="inlineStr">
        <is>
          <t>pagado</t>
        </is>
      </c>
      <c r="F4938" s="23" t="n">
        <v>46266</v>
      </c>
      <c r="G4938" s="24">
        <f>F4938-DATE(2026,8,31)</f>
        <v>1</v>
      </c>
      <c r="H4938" s="25" t="n">
        <v>80871880</v>
      </c>
      <c r="I4938" t="inlineStr">
        <is>
          <t>entidad-dia</t>
        </is>
      </c>
    </row>
    <row r="4939">
      <c r="A4939" t="inlineStr">
        <is>
          <t>PRAGMA</t>
        </is>
      </c>
      <c r="B4939" t="inlineStr">
        <is>
          <t>M1</t>
        </is>
      </c>
      <c r="C4939" t="inlineStr">
        <is>
          <t>Cali</t>
        </is>
      </c>
      <c r="D4939" t="inlineStr">
        <is>
          <t>8229</t>
        </is>
      </c>
      <c r="E4939" t="inlineStr">
        <is>
          <t>pagado</t>
        </is>
      </c>
      <c r="F4939" s="23" t="n">
        <v>46267</v>
      </c>
      <c r="G4939" s="24">
        <f>F4939-DATE(2026,8,31)</f>
        <v>2</v>
      </c>
      <c r="H4939" s="25" t="n">
        <v>64301291</v>
      </c>
      <c r="I4939" t="inlineStr">
        <is>
          <t>entidad-dia</t>
        </is>
      </c>
    </row>
    <row r="4940">
      <c r="A4940" t="inlineStr">
        <is>
          <t>PRAGMA</t>
        </is>
      </c>
      <c r="B4940" t="inlineStr">
        <is>
          <t>M1</t>
        </is>
      </c>
      <c r="C4940" t="inlineStr">
        <is>
          <t>Cali</t>
        </is>
      </c>
      <c r="D4940" t="inlineStr">
        <is>
          <t>8229</t>
        </is>
      </c>
      <c r="E4940" t="inlineStr">
        <is>
          <t>pagado</t>
        </is>
      </c>
      <c r="F4940" s="23" t="n">
        <v>46268</v>
      </c>
      <c r="G4940" s="24">
        <f>F4940-DATE(2026,8,31)</f>
        <v>3</v>
      </c>
      <c r="H4940" s="25" t="n">
        <v>60125548</v>
      </c>
      <c r="I4940" t="inlineStr">
        <is>
          <t>entidad-dia</t>
        </is>
      </c>
    </row>
    <row r="4941">
      <c r="A4941" t="inlineStr">
        <is>
          <t>PRAGMA</t>
        </is>
      </c>
      <c r="B4941" t="inlineStr">
        <is>
          <t>M1</t>
        </is>
      </c>
      <c r="C4941" t="inlineStr">
        <is>
          <t>Cali</t>
        </is>
      </c>
      <c r="D4941" t="inlineStr">
        <is>
          <t>8229</t>
        </is>
      </c>
      <c r="E4941" t="inlineStr">
        <is>
          <t>pagado</t>
        </is>
      </c>
      <c r="F4941" s="23" t="n">
        <v>46269</v>
      </c>
      <c r="G4941" s="24">
        <f>F4941-DATE(2026,8,31)</f>
        <v>4</v>
      </c>
      <c r="H4941" s="25" t="n">
        <v>60288156</v>
      </c>
      <c r="I4941" t="inlineStr">
        <is>
          <t>entidad-dia</t>
        </is>
      </c>
    </row>
    <row r="4942">
      <c r="A4942" t="inlineStr">
        <is>
          <t>PRAGMA</t>
        </is>
      </c>
      <c r="B4942" t="inlineStr">
        <is>
          <t>M1</t>
        </is>
      </c>
      <c r="C4942" t="inlineStr">
        <is>
          <t>Cali</t>
        </is>
      </c>
      <c r="D4942" t="inlineStr">
        <is>
          <t>8229</t>
        </is>
      </c>
      <c r="E4942" t="inlineStr">
        <is>
          <t>pagado</t>
        </is>
      </c>
      <c r="F4942" s="23" t="n">
        <v>46270</v>
      </c>
      <c r="G4942" s="24">
        <f>F4942-DATE(2026,8,31)</f>
        <v>5</v>
      </c>
      <c r="H4942" s="25" t="n">
        <v>63000073</v>
      </c>
      <c r="I4942" t="inlineStr">
        <is>
          <t>entidad-dia</t>
        </is>
      </c>
    </row>
    <row r="4943">
      <c r="A4943" t="inlineStr">
        <is>
          <t>PRAGMA</t>
        </is>
      </c>
      <c r="B4943" t="inlineStr">
        <is>
          <t>M1</t>
        </is>
      </c>
      <c r="C4943" t="inlineStr">
        <is>
          <t>Cali</t>
        </is>
      </c>
      <c r="D4943" t="inlineStr">
        <is>
          <t>8229</t>
        </is>
      </c>
      <c r="E4943" t="inlineStr">
        <is>
          <t>pagado</t>
        </is>
      </c>
      <c r="F4943" s="23" t="n">
        <v>46271</v>
      </c>
      <c r="G4943" s="24">
        <f>F4943-DATE(2026,8,31)</f>
        <v>6</v>
      </c>
      <c r="H4943" s="25" t="n">
        <v>50312884</v>
      </c>
      <c r="I4943" t="inlineStr">
        <is>
          <t>entidad-dia</t>
        </is>
      </c>
    </row>
    <row r="4944">
      <c r="A4944" t="inlineStr">
        <is>
          <t>PRAGMA</t>
        </is>
      </c>
      <c r="B4944" t="inlineStr">
        <is>
          <t>M1</t>
        </is>
      </c>
      <c r="C4944" t="inlineStr">
        <is>
          <t>Cali</t>
        </is>
      </c>
      <c r="D4944" t="inlineStr">
        <is>
          <t>8229</t>
        </is>
      </c>
      <c r="E4944" t="inlineStr">
        <is>
          <t>pagado</t>
        </is>
      </c>
      <c r="F4944" s="23" t="n">
        <v>46272</v>
      </c>
      <c r="G4944" s="24">
        <f>F4944-DATE(2026,8,31)</f>
        <v>7</v>
      </c>
      <c r="H4944" s="25" t="n">
        <v>48732703</v>
      </c>
      <c r="I4944" t="inlineStr">
        <is>
          <t>entidad-dia</t>
        </is>
      </c>
    </row>
    <row r="4945">
      <c r="A4945" t="inlineStr">
        <is>
          <t>PRAGMA</t>
        </is>
      </c>
      <c r="B4945" t="inlineStr">
        <is>
          <t>M1</t>
        </is>
      </c>
      <c r="C4945" t="inlineStr">
        <is>
          <t>Cali</t>
        </is>
      </c>
      <c r="D4945" t="inlineStr">
        <is>
          <t>8229</t>
        </is>
      </c>
      <c r="E4945" t="inlineStr">
        <is>
          <t>pagado</t>
        </is>
      </c>
      <c r="F4945" s="23" t="n">
        <v>46273</v>
      </c>
      <c r="G4945" s="24">
        <f>F4945-DATE(2026,8,31)</f>
        <v>8</v>
      </c>
      <c r="H4945" s="25" t="n">
        <v>44990998</v>
      </c>
      <c r="I4945" t="inlineStr">
        <is>
          <t>entidad-dia</t>
        </is>
      </c>
    </row>
    <row r="4946">
      <c r="A4946" t="inlineStr">
        <is>
          <t>PRAGMA</t>
        </is>
      </c>
      <c r="B4946" t="inlineStr">
        <is>
          <t>M1</t>
        </is>
      </c>
      <c r="C4946" t="inlineStr">
        <is>
          <t>Cali</t>
        </is>
      </c>
      <c r="D4946" t="inlineStr">
        <is>
          <t>8229</t>
        </is>
      </c>
      <c r="E4946" t="inlineStr">
        <is>
          <t>pagado</t>
        </is>
      </c>
      <c r="F4946" s="23" t="n">
        <v>46274</v>
      </c>
      <c r="G4946" s="24">
        <f>F4946-DATE(2026,8,31)</f>
        <v>9</v>
      </c>
      <c r="H4946" s="25" t="n">
        <v>43823975</v>
      </c>
      <c r="I4946" t="inlineStr">
        <is>
          <t>entidad-dia</t>
        </is>
      </c>
    </row>
    <row r="4947">
      <c r="A4947" t="inlineStr">
        <is>
          <t>PRAGMA</t>
        </is>
      </c>
      <c r="B4947" t="inlineStr">
        <is>
          <t>M1</t>
        </is>
      </c>
      <c r="C4947" t="inlineStr">
        <is>
          <t>Cali</t>
        </is>
      </c>
      <c r="D4947" t="inlineStr">
        <is>
          <t>8229</t>
        </is>
      </c>
      <c r="E4947" t="inlineStr">
        <is>
          <t>pagado</t>
        </is>
      </c>
      <c r="F4947" s="23" t="n">
        <v>46275</v>
      </c>
      <c r="G4947" s="24">
        <f>F4947-DATE(2026,8,31)</f>
        <v>10</v>
      </c>
      <c r="H4947" s="25" t="n">
        <v>46772014</v>
      </c>
      <c r="I4947" t="inlineStr">
        <is>
          <t>entidad-dia</t>
        </is>
      </c>
    </row>
    <row r="4948">
      <c r="A4948" t="inlineStr">
        <is>
          <t>PRAGMA</t>
        </is>
      </c>
      <c r="B4948" t="inlineStr">
        <is>
          <t>M1</t>
        </is>
      </c>
      <c r="C4948" t="inlineStr">
        <is>
          <t>Cali</t>
        </is>
      </c>
      <c r="D4948" t="inlineStr">
        <is>
          <t>8229</t>
        </is>
      </c>
      <c r="E4948" t="inlineStr">
        <is>
          <t>pagado</t>
        </is>
      </c>
      <c r="F4948" s="23" t="n">
        <v>46276</v>
      </c>
      <c r="G4948" s="24">
        <f>F4948-DATE(2026,8,31)</f>
        <v>11</v>
      </c>
      <c r="H4948" s="25" t="n">
        <v>51485160</v>
      </c>
      <c r="I4948" t="inlineStr">
        <is>
          <t>entidad-dia</t>
        </is>
      </c>
    </row>
    <row r="4949">
      <c r="A4949" t="inlineStr">
        <is>
          <t>PRAGMA</t>
        </is>
      </c>
      <c r="B4949" t="inlineStr">
        <is>
          <t>M1</t>
        </is>
      </c>
      <c r="C4949" t="inlineStr">
        <is>
          <t>Cali</t>
        </is>
      </c>
      <c r="D4949" t="inlineStr">
        <is>
          <t>8229</t>
        </is>
      </c>
      <c r="E4949" t="inlineStr">
        <is>
          <t>pagado</t>
        </is>
      </c>
      <c r="F4949" s="23" t="n">
        <v>46277</v>
      </c>
      <c r="G4949" s="24">
        <f>F4949-DATE(2026,8,31)</f>
        <v>12</v>
      </c>
      <c r="H4949" s="25" t="n">
        <v>53444784</v>
      </c>
      <c r="I4949" t="inlineStr">
        <is>
          <t>entidad-dia</t>
        </is>
      </c>
    </row>
    <row r="4950">
      <c r="A4950" t="inlineStr">
        <is>
          <t>PRAGMA</t>
        </is>
      </c>
      <c r="B4950" t="inlineStr">
        <is>
          <t>M1</t>
        </is>
      </c>
      <c r="C4950" t="inlineStr">
        <is>
          <t>Cali</t>
        </is>
      </c>
      <c r="D4950" t="inlineStr">
        <is>
          <t>8229</t>
        </is>
      </c>
      <c r="E4950" t="inlineStr">
        <is>
          <t>pagado</t>
        </is>
      </c>
      <c r="F4950" s="23" t="n">
        <v>46278</v>
      </c>
      <c r="G4950" s="24">
        <f>F4950-DATE(2026,8,31)</f>
        <v>13</v>
      </c>
      <c r="H4950" s="25" t="n">
        <v>39477416</v>
      </c>
      <c r="I4950" t="inlineStr">
        <is>
          <t>entidad-dia</t>
        </is>
      </c>
    </row>
    <row r="4951">
      <c r="A4951" t="inlineStr">
        <is>
          <t>PRAGMA</t>
        </is>
      </c>
      <c r="B4951" t="inlineStr">
        <is>
          <t>M1</t>
        </is>
      </c>
      <c r="C4951" t="inlineStr">
        <is>
          <t>Cali</t>
        </is>
      </c>
      <c r="D4951" t="inlineStr">
        <is>
          <t>8229</t>
        </is>
      </c>
      <c r="E4951" t="inlineStr">
        <is>
          <t>pagado</t>
        </is>
      </c>
      <c r="F4951" s="23" t="n">
        <v>46279</v>
      </c>
      <c r="G4951" s="24">
        <f>F4951-DATE(2026,8,31)</f>
        <v>14</v>
      </c>
      <c r="H4951" s="25" t="n">
        <v>50699054</v>
      </c>
      <c r="I4951" t="inlineStr">
        <is>
          <t>entidad-dia</t>
        </is>
      </c>
    </row>
    <row r="4952">
      <c r="A4952" t="inlineStr">
        <is>
          <t>PRAGMA</t>
        </is>
      </c>
      <c r="B4952" t="inlineStr">
        <is>
          <t>M1</t>
        </is>
      </c>
      <c r="C4952" t="inlineStr">
        <is>
          <t>Cali</t>
        </is>
      </c>
      <c r="D4952" t="inlineStr">
        <is>
          <t>8229</t>
        </is>
      </c>
      <c r="E4952" t="inlineStr">
        <is>
          <t>pagado</t>
        </is>
      </c>
      <c r="F4952" s="23" t="n">
        <v>46280</v>
      </c>
      <c r="G4952" s="24">
        <f>F4952-DATE(2026,8,31)</f>
        <v>15</v>
      </c>
      <c r="H4952" s="25" t="n">
        <v>63236835</v>
      </c>
      <c r="I4952" t="inlineStr">
        <is>
          <t>entidad-dia</t>
        </is>
      </c>
    </row>
    <row r="4953">
      <c r="A4953" t="inlineStr">
        <is>
          <t>PRAGMA</t>
        </is>
      </c>
      <c r="B4953" t="inlineStr">
        <is>
          <t>M1</t>
        </is>
      </c>
      <c r="C4953" t="inlineStr">
        <is>
          <t>Pasto</t>
        </is>
      </c>
      <c r="D4953" t="inlineStr">
        <is>
          <t>8245</t>
        </is>
      </c>
      <c r="E4953" t="inlineStr">
        <is>
          <t>pagado</t>
        </is>
      </c>
      <c r="F4953" s="23" t="n">
        <v>46266</v>
      </c>
      <c r="G4953" s="24">
        <f>F4953-DATE(2026,8,31)</f>
        <v>1</v>
      </c>
      <c r="H4953" s="25" t="n">
        <v>136518147</v>
      </c>
      <c r="I4953" t="inlineStr">
        <is>
          <t>entidad-dia</t>
        </is>
      </c>
    </row>
    <row r="4954">
      <c r="A4954" t="inlineStr">
        <is>
          <t>PRAGMA</t>
        </is>
      </c>
      <c r="B4954" t="inlineStr">
        <is>
          <t>M1</t>
        </is>
      </c>
      <c r="C4954" t="inlineStr">
        <is>
          <t>Pasto</t>
        </is>
      </c>
      <c r="D4954" t="inlineStr">
        <is>
          <t>8245</t>
        </is>
      </c>
      <c r="E4954" t="inlineStr">
        <is>
          <t>pagado</t>
        </is>
      </c>
      <c r="F4954" s="23" t="n">
        <v>46267</v>
      </c>
      <c r="G4954" s="24">
        <f>F4954-DATE(2026,8,31)</f>
        <v>2</v>
      </c>
      <c r="H4954" s="25" t="n">
        <v>106393060</v>
      </c>
      <c r="I4954" t="inlineStr">
        <is>
          <t>entidad-dia</t>
        </is>
      </c>
    </row>
    <row r="4955">
      <c r="A4955" t="inlineStr">
        <is>
          <t>PRAGMA</t>
        </is>
      </c>
      <c r="B4955" t="inlineStr">
        <is>
          <t>M1</t>
        </is>
      </c>
      <c r="C4955" t="inlineStr">
        <is>
          <t>Pasto</t>
        </is>
      </c>
      <c r="D4955" t="inlineStr">
        <is>
          <t>8245</t>
        </is>
      </c>
      <c r="E4955" t="inlineStr">
        <is>
          <t>pagado</t>
        </is>
      </c>
      <c r="F4955" s="23" t="n">
        <v>46268</v>
      </c>
      <c r="G4955" s="24">
        <f>F4955-DATE(2026,8,31)</f>
        <v>3</v>
      </c>
      <c r="H4955" s="25" t="n">
        <v>98442604</v>
      </c>
      <c r="I4955" t="inlineStr">
        <is>
          <t>entidad-dia</t>
        </is>
      </c>
    </row>
    <row r="4956">
      <c r="A4956" t="inlineStr">
        <is>
          <t>PRAGMA</t>
        </is>
      </c>
      <c r="B4956" t="inlineStr">
        <is>
          <t>M1</t>
        </is>
      </c>
      <c r="C4956" t="inlineStr">
        <is>
          <t>Pasto</t>
        </is>
      </c>
      <c r="D4956" t="inlineStr">
        <is>
          <t>8245</t>
        </is>
      </c>
      <c r="E4956" t="inlineStr">
        <is>
          <t>pagado</t>
        </is>
      </c>
      <c r="F4956" s="23" t="n">
        <v>46269</v>
      </c>
      <c r="G4956" s="24">
        <f>F4956-DATE(2026,8,31)</f>
        <v>4</v>
      </c>
      <c r="H4956" s="25" t="n">
        <v>98150982</v>
      </c>
      <c r="I4956" t="inlineStr">
        <is>
          <t>entidad-dia</t>
        </is>
      </c>
    </row>
    <row r="4957">
      <c r="A4957" t="inlineStr">
        <is>
          <t>PRAGMA</t>
        </is>
      </c>
      <c r="B4957" t="inlineStr">
        <is>
          <t>M1</t>
        </is>
      </c>
      <c r="C4957" t="inlineStr">
        <is>
          <t>Pasto</t>
        </is>
      </c>
      <c r="D4957" t="inlineStr">
        <is>
          <t>8245</t>
        </is>
      </c>
      <c r="E4957" t="inlineStr">
        <is>
          <t>pagado</t>
        </is>
      </c>
      <c r="F4957" s="23" t="n">
        <v>46270</v>
      </c>
      <c r="G4957" s="24">
        <f>F4957-DATE(2026,8,31)</f>
        <v>5</v>
      </c>
      <c r="H4957" s="25" t="n">
        <v>80242646</v>
      </c>
      <c r="I4957" t="inlineStr">
        <is>
          <t>entidad-dia</t>
        </is>
      </c>
    </row>
    <row r="4958">
      <c r="A4958" t="inlineStr">
        <is>
          <t>PRAGMA</t>
        </is>
      </c>
      <c r="B4958" t="inlineStr">
        <is>
          <t>M1</t>
        </is>
      </c>
      <c r="C4958" t="inlineStr">
        <is>
          <t>Pasto</t>
        </is>
      </c>
      <c r="D4958" t="inlineStr">
        <is>
          <t>8245</t>
        </is>
      </c>
      <c r="E4958" t="inlineStr">
        <is>
          <t>pagado</t>
        </is>
      </c>
      <c r="F4958" s="23" t="n">
        <v>46271</v>
      </c>
      <c r="G4958" s="24">
        <f>F4958-DATE(2026,8,31)</f>
        <v>6</v>
      </c>
      <c r="H4958" s="25" t="n">
        <v>19746548</v>
      </c>
      <c r="I4958" t="inlineStr">
        <is>
          <t>entidad-dia</t>
        </is>
      </c>
    </row>
    <row r="4959">
      <c r="A4959" t="inlineStr">
        <is>
          <t>PRAGMA</t>
        </is>
      </c>
      <c r="B4959" t="inlineStr">
        <is>
          <t>M1</t>
        </is>
      </c>
      <c r="C4959" t="inlineStr">
        <is>
          <t>Pasto</t>
        </is>
      </c>
      <c r="D4959" t="inlineStr">
        <is>
          <t>8245</t>
        </is>
      </c>
      <c r="E4959" t="inlineStr">
        <is>
          <t>pagado</t>
        </is>
      </c>
      <c r="F4959" s="23" t="n">
        <v>46272</v>
      </c>
      <c r="G4959" s="24">
        <f>F4959-DATE(2026,8,31)</f>
        <v>7</v>
      </c>
      <c r="H4959" s="25" t="n">
        <v>79333188</v>
      </c>
      <c r="I4959" t="inlineStr">
        <is>
          <t>entidad-dia</t>
        </is>
      </c>
    </row>
    <row r="4960">
      <c r="A4960" t="inlineStr">
        <is>
          <t>PRAGMA</t>
        </is>
      </c>
      <c r="B4960" t="inlineStr">
        <is>
          <t>M1</t>
        </is>
      </c>
      <c r="C4960" t="inlineStr">
        <is>
          <t>Pasto</t>
        </is>
      </c>
      <c r="D4960" t="inlineStr">
        <is>
          <t>8245</t>
        </is>
      </c>
      <c r="E4960" t="inlineStr">
        <is>
          <t>pagado</t>
        </is>
      </c>
      <c r="F4960" s="23" t="n">
        <v>46273</v>
      </c>
      <c r="G4960" s="24">
        <f>F4960-DATE(2026,8,31)</f>
        <v>8</v>
      </c>
      <c r="H4960" s="25" t="n">
        <v>82187702</v>
      </c>
      <c r="I4960" t="inlineStr">
        <is>
          <t>entidad-dia</t>
        </is>
      </c>
    </row>
    <row r="4961">
      <c r="A4961" t="inlineStr">
        <is>
          <t>PRAGMA</t>
        </is>
      </c>
      <c r="B4961" t="inlineStr">
        <is>
          <t>M1</t>
        </is>
      </c>
      <c r="C4961" t="inlineStr">
        <is>
          <t>Pasto</t>
        </is>
      </c>
      <c r="D4961" t="inlineStr">
        <is>
          <t>8245</t>
        </is>
      </c>
      <c r="E4961" t="inlineStr">
        <is>
          <t>pagado</t>
        </is>
      </c>
      <c r="F4961" s="23" t="n">
        <v>46274</v>
      </c>
      <c r="G4961" s="24">
        <f>F4961-DATE(2026,8,31)</f>
        <v>9</v>
      </c>
      <c r="H4961" s="25" t="n">
        <v>81989157</v>
      </c>
      <c r="I4961" t="inlineStr">
        <is>
          <t>entidad-dia</t>
        </is>
      </c>
    </row>
    <row r="4962">
      <c r="A4962" t="inlineStr">
        <is>
          <t>PRAGMA</t>
        </is>
      </c>
      <c r="B4962" t="inlineStr">
        <is>
          <t>M1</t>
        </is>
      </c>
      <c r="C4962" t="inlineStr">
        <is>
          <t>Pasto</t>
        </is>
      </c>
      <c r="D4962" t="inlineStr">
        <is>
          <t>8245</t>
        </is>
      </c>
      <c r="E4962" t="inlineStr">
        <is>
          <t>pagado</t>
        </is>
      </c>
      <c r="F4962" s="23" t="n">
        <v>46275</v>
      </c>
      <c r="G4962" s="24">
        <f>F4962-DATE(2026,8,31)</f>
        <v>10</v>
      </c>
      <c r="H4962" s="25" t="n">
        <v>65129363</v>
      </c>
      <c r="I4962" t="inlineStr">
        <is>
          <t>entidad-dia</t>
        </is>
      </c>
    </row>
    <row r="4963">
      <c r="A4963" t="inlineStr">
        <is>
          <t>PRAGMA</t>
        </is>
      </c>
      <c r="B4963" t="inlineStr">
        <is>
          <t>M1</t>
        </is>
      </c>
      <c r="C4963" t="inlineStr">
        <is>
          <t>Pasto</t>
        </is>
      </c>
      <c r="D4963" t="inlineStr">
        <is>
          <t>8245</t>
        </is>
      </c>
      <c r="E4963" t="inlineStr">
        <is>
          <t>pagado</t>
        </is>
      </c>
      <c r="F4963" s="23" t="n">
        <v>46276</v>
      </c>
      <c r="G4963" s="24">
        <f>F4963-DATE(2026,8,31)</f>
        <v>11</v>
      </c>
      <c r="H4963" s="25" t="n">
        <v>73183153</v>
      </c>
      <c r="I4963" t="inlineStr">
        <is>
          <t>entidad-dia</t>
        </is>
      </c>
    </row>
    <row r="4964">
      <c r="A4964" t="inlineStr">
        <is>
          <t>PRAGMA</t>
        </is>
      </c>
      <c r="B4964" t="inlineStr">
        <is>
          <t>M1</t>
        </is>
      </c>
      <c r="C4964" t="inlineStr">
        <is>
          <t>Pasto</t>
        </is>
      </c>
      <c r="D4964" t="inlineStr">
        <is>
          <t>8245</t>
        </is>
      </c>
      <c r="E4964" t="inlineStr">
        <is>
          <t>pagado</t>
        </is>
      </c>
      <c r="F4964" s="23" t="n">
        <v>46277</v>
      </c>
      <c r="G4964" s="24">
        <f>F4964-DATE(2026,8,31)</f>
        <v>12</v>
      </c>
      <c r="H4964" s="25" t="n">
        <v>50780576</v>
      </c>
      <c r="I4964" t="inlineStr">
        <is>
          <t>entidad-dia</t>
        </is>
      </c>
    </row>
    <row r="4965">
      <c r="A4965" t="inlineStr">
        <is>
          <t>PRAGMA</t>
        </is>
      </c>
      <c r="B4965" t="inlineStr">
        <is>
          <t>M1</t>
        </is>
      </c>
      <c r="C4965" t="inlineStr">
        <is>
          <t>Pasto</t>
        </is>
      </c>
      <c r="D4965" t="inlineStr">
        <is>
          <t>8245</t>
        </is>
      </c>
      <c r="E4965" t="inlineStr">
        <is>
          <t>pagado</t>
        </is>
      </c>
      <c r="F4965" s="23" t="n">
        <v>46278</v>
      </c>
      <c r="G4965" s="24">
        <f>F4965-DATE(2026,8,31)</f>
        <v>13</v>
      </c>
      <c r="H4965" s="25" t="n">
        <v>13029419</v>
      </c>
      <c r="I4965" t="inlineStr">
        <is>
          <t>entidad-dia</t>
        </is>
      </c>
    </row>
    <row r="4966">
      <c r="A4966" t="inlineStr">
        <is>
          <t>PRAGMA</t>
        </is>
      </c>
      <c r="B4966" t="inlineStr">
        <is>
          <t>M1</t>
        </is>
      </c>
      <c r="C4966" t="inlineStr">
        <is>
          <t>Pasto</t>
        </is>
      </c>
      <c r="D4966" t="inlineStr">
        <is>
          <t>8245</t>
        </is>
      </c>
      <c r="E4966" t="inlineStr">
        <is>
          <t>pagado</t>
        </is>
      </c>
      <c r="F4966" s="23" t="n">
        <v>46279</v>
      </c>
      <c r="G4966" s="24">
        <f>F4966-DATE(2026,8,31)</f>
        <v>14</v>
      </c>
      <c r="H4966" s="25" t="n">
        <v>67725251</v>
      </c>
      <c r="I4966" t="inlineStr">
        <is>
          <t>entidad-dia</t>
        </is>
      </c>
    </row>
    <row r="4967">
      <c r="A4967" t="inlineStr">
        <is>
          <t>PRAGMA</t>
        </is>
      </c>
      <c r="B4967" t="inlineStr">
        <is>
          <t>M1</t>
        </is>
      </c>
      <c r="C4967" t="inlineStr">
        <is>
          <t>Pasto</t>
        </is>
      </c>
      <c r="D4967" t="inlineStr">
        <is>
          <t>8245</t>
        </is>
      </c>
      <c r="E4967" t="inlineStr">
        <is>
          <t>pagado</t>
        </is>
      </c>
      <c r="F4967" s="23" t="n">
        <v>46280</v>
      </c>
      <c r="G4967" s="24">
        <f>F4967-DATE(2026,8,31)</f>
        <v>15</v>
      </c>
      <c r="H4967" s="25" t="n">
        <v>89905119</v>
      </c>
      <c r="I4967" t="inlineStr">
        <is>
          <t>entidad-dia</t>
        </is>
      </c>
    </row>
    <row r="4968">
      <c r="A4968" t="inlineStr">
        <is>
          <t>PRAGMA</t>
        </is>
      </c>
      <c r="B4968" t="inlineStr">
        <is>
          <t>M1</t>
        </is>
      </c>
      <c r="C4968" t="inlineStr">
        <is>
          <t>Pasto</t>
        </is>
      </c>
      <c r="D4968" t="inlineStr">
        <is>
          <t>8246</t>
        </is>
      </c>
      <c r="E4968" t="inlineStr">
        <is>
          <t>pagado</t>
        </is>
      </c>
      <c r="F4968" s="23" t="n">
        <v>46266</v>
      </c>
      <c r="G4968" s="24">
        <f>F4968-DATE(2026,8,31)</f>
        <v>1</v>
      </c>
      <c r="H4968" s="25" t="n">
        <v>137181879</v>
      </c>
      <c r="I4968" t="inlineStr">
        <is>
          <t>entidad-dia</t>
        </is>
      </c>
    </row>
    <row r="4969">
      <c r="A4969" t="inlineStr">
        <is>
          <t>PRAGMA</t>
        </is>
      </c>
      <c r="B4969" t="inlineStr">
        <is>
          <t>M1</t>
        </is>
      </c>
      <c r="C4969" t="inlineStr">
        <is>
          <t>Pasto</t>
        </is>
      </c>
      <c r="D4969" t="inlineStr">
        <is>
          <t>8246</t>
        </is>
      </c>
      <c r="E4969" t="inlineStr">
        <is>
          <t>pagado</t>
        </is>
      </c>
      <c r="F4969" s="23" t="n">
        <v>46267</v>
      </c>
      <c r="G4969" s="24">
        <f>F4969-DATE(2026,8,31)</f>
        <v>2</v>
      </c>
      <c r="H4969" s="25" t="n">
        <v>104464938</v>
      </c>
      <c r="I4969" t="inlineStr">
        <is>
          <t>entidad-dia</t>
        </is>
      </c>
    </row>
    <row r="4970">
      <c r="A4970" t="inlineStr">
        <is>
          <t>PRAGMA</t>
        </is>
      </c>
      <c r="B4970" t="inlineStr">
        <is>
          <t>M1</t>
        </is>
      </c>
      <c r="C4970" t="inlineStr">
        <is>
          <t>Pasto</t>
        </is>
      </c>
      <c r="D4970" t="inlineStr">
        <is>
          <t>8246</t>
        </is>
      </c>
      <c r="E4970" t="inlineStr">
        <is>
          <t>pagado</t>
        </is>
      </c>
      <c r="F4970" s="23" t="n">
        <v>46268</v>
      </c>
      <c r="G4970" s="24">
        <f>F4970-DATE(2026,8,31)</f>
        <v>3</v>
      </c>
      <c r="H4970" s="25" t="n">
        <v>96259687</v>
      </c>
      <c r="I4970" t="inlineStr">
        <is>
          <t>entidad-dia</t>
        </is>
      </c>
    </row>
    <row r="4971">
      <c r="A4971" t="inlineStr">
        <is>
          <t>PRAGMA</t>
        </is>
      </c>
      <c r="B4971" t="inlineStr">
        <is>
          <t>M1</t>
        </is>
      </c>
      <c r="C4971" t="inlineStr">
        <is>
          <t>Pasto</t>
        </is>
      </c>
      <c r="D4971" t="inlineStr">
        <is>
          <t>8246</t>
        </is>
      </c>
      <c r="E4971" t="inlineStr">
        <is>
          <t>pagado</t>
        </is>
      </c>
      <c r="F4971" s="23" t="n">
        <v>46269</v>
      </c>
      <c r="G4971" s="24">
        <f>F4971-DATE(2026,8,31)</f>
        <v>4</v>
      </c>
      <c r="H4971" s="25" t="n">
        <v>95575865</v>
      </c>
      <c r="I4971" t="inlineStr">
        <is>
          <t>entidad-dia</t>
        </is>
      </c>
    </row>
    <row r="4972">
      <c r="A4972" t="inlineStr">
        <is>
          <t>PRAGMA</t>
        </is>
      </c>
      <c r="B4972" t="inlineStr">
        <is>
          <t>M1</t>
        </is>
      </c>
      <c r="C4972" t="inlineStr">
        <is>
          <t>Pasto</t>
        </is>
      </c>
      <c r="D4972" t="inlineStr">
        <is>
          <t>8246</t>
        </is>
      </c>
      <c r="E4972" t="inlineStr">
        <is>
          <t>pagado</t>
        </is>
      </c>
      <c r="F4972" s="23" t="n">
        <v>46270</v>
      </c>
      <c r="G4972" s="24">
        <f>F4972-DATE(2026,8,31)</f>
        <v>5</v>
      </c>
      <c r="H4972" s="25" t="n">
        <v>78757662</v>
      </c>
      <c r="I4972" t="inlineStr">
        <is>
          <t>entidad-dia</t>
        </is>
      </c>
    </row>
    <row r="4973">
      <c r="A4973" t="inlineStr">
        <is>
          <t>PRAGMA</t>
        </is>
      </c>
      <c r="B4973" t="inlineStr">
        <is>
          <t>M1</t>
        </is>
      </c>
      <c r="C4973" t="inlineStr">
        <is>
          <t>Pasto</t>
        </is>
      </c>
      <c r="D4973" t="inlineStr">
        <is>
          <t>8246</t>
        </is>
      </c>
      <c r="E4973" t="inlineStr">
        <is>
          <t>pagado</t>
        </is>
      </c>
      <c r="F4973" s="23" t="n">
        <v>46271</v>
      </c>
      <c r="G4973" s="24">
        <f>F4973-DATE(2026,8,31)</f>
        <v>6</v>
      </c>
      <c r="H4973" s="25" t="n">
        <v>17925657</v>
      </c>
      <c r="I4973" t="inlineStr">
        <is>
          <t>entidad-dia</t>
        </is>
      </c>
    </row>
    <row r="4974">
      <c r="A4974" t="inlineStr">
        <is>
          <t>PRAGMA</t>
        </is>
      </c>
      <c r="B4974" t="inlineStr">
        <is>
          <t>M1</t>
        </is>
      </c>
      <c r="C4974" t="inlineStr">
        <is>
          <t>Pasto</t>
        </is>
      </c>
      <c r="D4974" t="inlineStr">
        <is>
          <t>8246</t>
        </is>
      </c>
      <c r="E4974" t="inlineStr">
        <is>
          <t>pagado</t>
        </is>
      </c>
      <c r="F4974" s="23" t="n">
        <v>46272</v>
      </c>
      <c r="G4974" s="24">
        <f>F4974-DATE(2026,8,31)</f>
        <v>7</v>
      </c>
      <c r="H4974" s="25" t="n">
        <v>83405606</v>
      </c>
      <c r="I4974" t="inlineStr">
        <is>
          <t>entidad-dia</t>
        </is>
      </c>
    </row>
    <row r="4975">
      <c r="A4975" t="inlineStr">
        <is>
          <t>PRAGMA</t>
        </is>
      </c>
      <c r="B4975" t="inlineStr">
        <is>
          <t>M1</t>
        </is>
      </c>
      <c r="C4975" t="inlineStr">
        <is>
          <t>Pasto</t>
        </is>
      </c>
      <c r="D4975" t="inlineStr">
        <is>
          <t>8246</t>
        </is>
      </c>
      <c r="E4975" t="inlineStr">
        <is>
          <t>pagado</t>
        </is>
      </c>
      <c r="F4975" s="23" t="n">
        <v>46273</v>
      </c>
      <c r="G4975" s="24">
        <f>F4975-DATE(2026,8,31)</f>
        <v>8</v>
      </c>
      <c r="H4975" s="25" t="n">
        <v>78310243</v>
      </c>
      <c r="I4975" t="inlineStr">
        <is>
          <t>entidad-dia</t>
        </is>
      </c>
    </row>
    <row r="4976">
      <c r="A4976" t="inlineStr">
        <is>
          <t>PRAGMA</t>
        </is>
      </c>
      <c r="B4976" t="inlineStr">
        <is>
          <t>M1</t>
        </is>
      </c>
      <c r="C4976" t="inlineStr">
        <is>
          <t>Pasto</t>
        </is>
      </c>
      <c r="D4976" t="inlineStr">
        <is>
          <t>8246</t>
        </is>
      </c>
      <c r="E4976" t="inlineStr">
        <is>
          <t>pagado</t>
        </is>
      </c>
      <c r="F4976" s="23" t="n">
        <v>46274</v>
      </c>
      <c r="G4976" s="24">
        <f>F4976-DATE(2026,8,31)</f>
        <v>9</v>
      </c>
      <c r="H4976" s="25" t="n">
        <v>76837258</v>
      </c>
      <c r="I4976" t="inlineStr">
        <is>
          <t>entidad-dia</t>
        </is>
      </c>
    </row>
    <row r="4977">
      <c r="A4977" t="inlineStr">
        <is>
          <t>PRAGMA</t>
        </is>
      </c>
      <c r="B4977" t="inlineStr">
        <is>
          <t>M1</t>
        </is>
      </c>
      <c r="C4977" t="inlineStr">
        <is>
          <t>Pasto</t>
        </is>
      </c>
      <c r="D4977" t="inlineStr">
        <is>
          <t>8246</t>
        </is>
      </c>
      <c r="E4977" t="inlineStr">
        <is>
          <t>pagado</t>
        </is>
      </c>
      <c r="F4977" s="23" t="n">
        <v>46275</v>
      </c>
      <c r="G4977" s="24">
        <f>F4977-DATE(2026,8,31)</f>
        <v>10</v>
      </c>
      <c r="H4977" s="25" t="n">
        <v>63985384</v>
      </c>
      <c r="I4977" t="inlineStr">
        <is>
          <t>entidad-dia</t>
        </is>
      </c>
    </row>
    <row r="4978">
      <c r="A4978" t="inlineStr">
        <is>
          <t>PRAGMA</t>
        </is>
      </c>
      <c r="B4978" t="inlineStr">
        <is>
          <t>M1</t>
        </is>
      </c>
      <c r="C4978" t="inlineStr">
        <is>
          <t>Pasto</t>
        </is>
      </c>
      <c r="D4978" t="inlineStr">
        <is>
          <t>8246</t>
        </is>
      </c>
      <c r="E4978" t="inlineStr">
        <is>
          <t>pagado</t>
        </is>
      </c>
      <c r="F4978" s="23" t="n">
        <v>46276</v>
      </c>
      <c r="G4978" s="24">
        <f>F4978-DATE(2026,8,31)</f>
        <v>11</v>
      </c>
      <c r="H4978" s="25" t="n">
        <v>69034615</v>
      </c>
      <c r="I4978" t="inlineStr">
        <is>
          <t>entidad-dia</t>
        </is>
      </c>
    </row>
    <row r="4979">
      <c r="A4979" t="inlineStr">
        <is>
          <t>PRAGMA</t>
        </is>
      </c>
      <c r="B4979" t="inlineStr">
        <is>
          <t>M1</t>
        </is>
      </c>
      <c r="C4979" t="inlineStr">
        <is>
          <t>Pasto</t>
        </is>
      </c>
      <c r="D4979" t="inlineStr">
        <is>
          <t>8246</t>
        </is>
      </c>
      <c r="E4979" t="inlineStr">
        <is>
          <t>pagado</t>
        </is>
      </c>
      <c r="F4979" s="23" t="n">
        <v>46277</v>
      </c>
      <c r="G4979" s="24">
        <f>F4979-DATE(2026,8,31)</f>
        <v>12</v>
      </c>
      <c r="H4979" s="25" t="n">
        <v>55921443</v>
      </c>
      <c r="I4979" t="inlineStr">
        <is>
          <t>entidad-dia</t>
        </is>
      </c>
    </row>
    <row r="4980">
      <c r="A4980" t="inlineStr">
        <is>
          <t>PRAGMA</t>
        </is>
      </c>
      <c r="B4980" t="inlineStr">
        <is>
          <t>M1</t>
        </is>
      </c>
      <c r="C4980" t="inlineStr">
        <is>
          <t>Pasto</t>
        </is>
      </c>
      <c r="D4980" t="inlineStr">
        <is>
          <t>8246</t>
        </is>
      </c>
      <c r="E4980" t="inlineStr">
        <is>
          <t>pagado</t>
        </is>
      </c>
      <c r="F4980" s="23" t="n">
        <v>46278</v>
      </c>
      <c r="G4980" s="24">
        <f>F4980-DATE(2026,8,31)</f>
        <v>13</v>
      </c>
      <c r="H4980" s="25" t="n">
        <v>12851498</v>
      </c>
      <c r="I4980" t="inlineStr">
        <is>
          <t>entidad-dia</t>
        </is>
      </c>
    </row>
    <row r="4981">
      <c r="A4981" t="inlineStr">
        <is>
          <t>PRAGMA</t>
        </is>
      </c>
      <c r="B4981" t="inlineStr">
        <is>
          <t>M1</t>
        </is>
      </c>
      <c r="C4981" t="inlineStr">
        <is>
          <t>Pasto</t>
        </is>
      </c>
      <c r="D4981" t="inlineStr">
        <is>
          <t>8246</t>
        </is>
      </c>
      <c r="E4981" t="inlineStr">
        <is>
          <t>pagado</t>
        </is>
      </c>
      <c r="F4981" s="23" t="n">
        <v>46279</v>
      </c>
      <c r="G4981" s="24">
        <f>F4981-DATE(2026,8,31)</f>
        <v>14</v>
      </c>
      <c r="H4981" s="25" t="n">
        <v>65534813</v>
      </c>
      <c r="I4981" t="inlineStr">
        <is>
          <t>entidad-dia</t>
        </is>
      </c>
    </row>
    <row r="4982">
      <c r="A4982" t="inlineStr">
        <is>
          <t>PRAGMA</t>
        </is>
      </c>
      <c r="B4982" t="inlineStr">
        <is>
          <t>M1</t>
        </is>
      </c>
      <c r="C4982" t="inlineStr">
        <is>
          <t>Pasto</t>
        </is>
      </c>
      <c r="D4982" t="inlineStr">
        <is>
          <t>8246</t>
        </is>
      </c>
      <c r="E4982" t="inlineStr">
        <is>
          <t>pagado</t>
        </is>
      </c>
      <c r="F4982" s="23" t="n">
        <v>46280</v>
      </c>
      <c r="G4982" s="24">
        <f>F4982-DATE(2026,8,31)</f>
        <v>15</v>
      </c>
      <c r="H4982" s="25" t="n">
        <v>87971207</v>
      </c>
      <c r="I4982" t="inlineStr">
        <is>
          <t>entidad-dia</t>
        </is>
      </c>
    </row>
    <row r="4983">
      <c r="A4983" t="inlineStr">
        <is>
          <t>PRAGMA</t>
        </is>
      </c>
      <c r="B4983" t="inlineStr">
        <is>
          <t>M1</t>
        </is>
      </c>
      <c r="C4983" t="inlineStr">
        <is>
          <t>Cali</t>
        </is>
      </c>
      <c r="D4983" t="inlineStr">
        <is>
          <t>8256</t>
        </is>
      </c>
      <c r="E4983" t="inlineStr">
        <is>
          <t>pagado</t>
        </is>
      </c>
      <c r="F4983" s="23" t="n">
        <v>46266</v>
      </c>
      <c r="G4983" s="24">
        <f>F4983-DATE(2026,8,31)</f>
        <v>1</v>
      </c>
      <c r="H4983" s="25" t="n">
        <v>153355569</v>
      </c>
      <c r="I4983" t="inlineStr">
        <is>
          <t>entidad-dia</t>
        </is>
      </c>
    </row>
    <row r="4984">
      <c r="A4984" t="inlineStr">
        <is>
          <t>PRAGMA</t>
        </is>
      </c>
      <c r="B4984" t="inlineStr">
        <is>
          <t>M1</t>
        </is>
      </c>
      <c r="C4984" t="inlineStr">
        <is>
          <t>Cali</t>
        </is>
      </c>
      <c r="D4984" t="inlineStr">
        <is>
          <t>8256</t>
        </is>
      </c>
      <c r="E4984" t="inlineStr">
        <is>
          <t>pagado</t>
        </is>
      </c>
      <c r="F4984" s="23" t="n">
        <v>46267</v>
      </c>
      <c r="G4984" s="24">
        <f>F4984-DATE(2026,8,31)</f>
        <v>2</v>
      </c>
      <c r="H4984" s="25" t="n">
        <v>125919728</v>
      </c>
      <c r="I4984" t="inlineStr">
        <is>
          <t>entidad-dia</t>
        </is>
      </c>
    </row>
    <row r="4985">
      <c r="A4985" t="inlineStr">
        <is>
          <t>PRAGMA</t>
        </is>
      </c>
      <c r="B4985" t="inlineStr">
        <is>
          <t>M1</t>
        </is>
      </c>
      <c r="C4985" t="inlineStr">
        <is>
          <t>Cali</t>
        </is>
      </c>
      <c r="D4985" t="inlineStr">
        <is>
          <t>8256</t>
        </is>
      </c>
      <c r="E4985" t="inlineStr">
        <is>
          <t>pagado</t>
        </is>
      </c>
      <c r="F4985" s="23" t="n">
        <v>46268</v>
      </c>
      <c r="G4985" s="24">
        <f>F4985-DATE(2026,8,31)</f>
        <v>3</v>
      </c>
      <c r="H4985" s="25" t="n">
        <v>119763775</v>
      </c>
      <c r="I4985" t="inlineStr">
        <is>
          <t>entidad-dia</t>
        </is>
      </c>
    </row>
    <row r="4986">
      <c r="A4986" t="inlineStr">
        <is>
          <t>PRAGMA</t>
        </is>
      </c>
      <c r="B4986" t="inlineStr">
        <is>
          <t>M1</t>
        </is>
      </c>
      <c r="C4986" t="inlineStr">
        <is>
          <t>Cali</t>
        </is>
      </c>
      <c r="D4986" t="inlineStr">
        <is>
          <t>8256</t>
        </is>
      </c>
      <c r="E4986" t="inlineStr">
        <is>
          <t>pagado</t>
        </is>
      </c>
      <c r="F4986" s="23" t="n">
        <v>46269</v>
      </c>
      <c r="G4986" s="24">
        <f>F4986-DATE(2026,8,31)</f>
        <v>4</v>
      </c>
      <c r="H4986" s="25" t="n">
        <v>121091537</v>
      </c>
      <c r="I4986" t="inlineStr">
        <is>
          <t>entidad-dia</t>
        </is>
      </c>
    </row>
    <row r="4987">
      <c r="A4987" t="inlineStr">
        <is>
          <t>PRAGMA</t>
        </is>
      </c>
      <c r="B4987" t="inlineStr">
        <is>
          <t>M1</t>
        </is>
      </c>
      <c r="C4987" t="inlineStr">
        <is>
          <t>Cali</t>
        </is>
      </c>
      <c r="D4987" t="inlineStr">
        <is>
          <t>8256</t>
        </is>
      </c>
      <c r="E4987" t="inlineStr">
        <is>
          <t>pagado</t>
        </is>
      </c>
      <c r="F4987" s="23" t="n">
        <v>46270</v>
      </c>
      <c r="G4987" s="24">
        <f>F4987-DATE(2026,8,31)</f>
        <v>5</v>
      </c>
      <c r="H4987" s="25" t="n">
        <v>86514435</v>
      </c>
      <c r="I4987" t="inlineStr">
        <is>
          <t>entidad-dia</t>
        </is>
      </c>
    </row>
    <row r="4988">
      <c r="A4988" t="inlineStr">
        <is>
          <t>PRAGMA</t>
        </is>
      </c>
      <c r="B4988" t="inlineStr">
        <is>
          <t>M1</t>
        </is>
      </c>
      <c r="C4988" t="inlineStr">
        <is>
          <t>Cali</t>
        </is>
      </c>
      <c r="D4988" t="inlineStr">
        <is>
          <t>8256</t>
        </is>
      </c>
      <c r="E4988" t="inlineStr">
        <is>
          <t>pagado</t>
        </is>
      </c>
      <c r="F4988" s="23" t="n">
        <v>46271</v>
      </c>
      <c r="G4988" s="24">
        <f>F4988-DATE(2026,8,31)</f>
        <v>6</v>
      </c>
      <c r="H4988" s="25" t="n">
        <v>17648142</v>
      </c>
      <c r="I4988" t="inlineStr">
        <is>
          <t>entidad-dia</t>
        </is>
      </c>
    </row>
    <row r="4989">
      <c r="A4989" t="inlineStr">
        <is>
          <t>PRAGMA</t>
        </is>
      </c>
      <c r="B4989" t="inlineStr">
        <is>
          <t>M1</t>
        </is>
      </c>
      <c r="C4989" t="inlineStr">
        <is>
          <t>Cali</t>
        </is>
      </c>
      <c r="D4989" t="inlineStr">
        <is>
          <t>8256</t>
        </is>
      </c>
      <c r="E4989" t="inlineStr">
        <is>
          <t>pagado</t>
        </is>
      </c>
      <c r="F4989" s="23" t="n">
        <v>46272</v>
      </c>
      <c r="G4989" s="24">
        <f>F4989-DATE(2026,8,31)</f>
        <v>7</v>
      </c>
      <c r="H4989" s="25" t="n">
        <v>84546877</v>
      </c>
      <c r="I4989" t="inlineStr">
        <is>
          <t>entidad-dia</t>
        </is>
      </c>
    </row>
    <row r="4990">
      <c r="A4990" t="inlineStr">
        <is>
          <t>PRAGMA</t>
        </is>
      </c>
      <c r="B4990" t="inlineStr">
        <is>
          <t>M1</t>
        </is>
      </c>
      <c r="C4990" t="inlineStr">
        <is>
          <t>Cali</t>
        </is>
      </c>
      <c r="D4990" t="inlineStr">
        <is>
          <t>8256</t>
        </is>
      </c>
      <c r="E4990" t="inlineStr">
        <is>
          <t>pagado</t>
        </is>
      </c>
      <c r="F4990" s="23" t="n">
        <v>46273</v>
      </c>
      <c r="G4990" s="24">
        <f>F4990-DATE(2026,8,31)</f>
        <v>8</v>
      </c>
      <c r="H4990" s="25" t="n">
        <v>79570049</v>
      </c>
      <c r="I4990" t="inlineStr">
        <is>
          <t>entidad-dia</t>
        </is>
      </c>
    </row>
    <row r="4991">
      <c r="A4991" t="inlineStr">
        <is>
          <t>PRAGMA</t>
        </is>
      </c>
      <c r="B4991" t="inlineStr">
        <is>
          <t>M1</t>
        </is>
      </c>
      <c r="C4991" t="inlineStr">
        <is>
          <t>Cali</t>
        </is>
      </c>
      <c r="D4991" t="inlineStr">
        <is>
          <t>8256</t>
        </is>
      </c>
      <c r="E4991" t="inlineStr">
        <is>
          <t>pagado</t>
        </is>
      </c>
      <c r="F4991" s="23" t="n">
        <v>46274</v>
      </c>
      <c r="G4991" s="24">
        <f>F4991-DATE(2026,8,31)</f>
        <v>9</v>
      </c>
      <c r="H4991" s="25" t="n">
        <v>88761507</v>
      </c>
      <c r="I4991" t="inlineStr">
        <is>
          <t>entidad-dia</t>
        </is>
      </c>
    </row>
    <row r="4992">
      <c r="A4992" t="inlineStr">
        <is>
          <t>PRAGMA</t>
        </is>
      </c>
      <c r="B4992" t="inlineStr">
        <is>
          <t>M1</t>
        </is>
      </c>
      <c r="C4992" t="inlineStr">
        <is>
          <t>Cali</t>
        </is>
      </c>
      <c r="D4992" t="inlineStr">
        <is>
          <t>8256</t>
        </is>
      </c>
      <c r="E4992" t="inlineStr">
        <is>
          <t>pagado</t>
        </is>
      </c>
      <c r="F4992" s="23" t="n">
        <v>46275</v>
      </c>
      <c r="G4992" s="24">
        <f>F4992-DATE(2026,8,31)</f>
        <v>10</v>
      </c>
      <c r="H4992" s="25" t="n">
        <v>73134341</v>
      </c>
      <c r="I4992" t="inlineStr">
        <is>
          <t>entidad-dia</t>
        </is>
      </c>
    </row>
    <row r="4993">
      <c r="A4993" t="inlineStr">
        <is>
          <t>PRAGMA</t>
        </is>
      </c>
      <c r="B4993" t="inlineStr">
        <is>
          <t>M1</t>
        </is>
      </c>
      <c r="C4993" t="inlineStr">
        <is>
          <t>Cali</t>
        </is>
      </c>
      <c r="D4993" t="inlineStr">
        <is>
          <t>8256</t>
        </is>
      </c>
      <c r="E4993" t="inlineStr">
        <is>
          <t>pagado</t>
        </is>
      </c>
      <c r="F4993" s="23" t="n">
        <v>46276</v>
      </c>
      <c r="G4993" s="24">
        <f>F4993-DATE(2026,8,31)</f>
        <v>11</v>
      </c>
      <c r="H4993" s="25" t="n">
        <v>81846966</v>
      </c>
      <c r="I4993" t="inlineStr">
        <is>
          <t>entidad-dia</t>
        </is>
      </c>
    </row>
    <row r="4994">
      <c r="A4994" t="inlineStr">
        <is>
          <t>PRAGMA</t>
        </is>
      </c>
      <c r="B4994" t="inlineStr">
        <is>
          <t>M1</t>
        </is>
      </c>
      <c r="C4994" t="inlineStr">
        <is>
          <t>Cali</t>
        </is>
      </c>
      <c r="D4994" t="inlineStr">
        <is>
          <t>8256</t>
        </is>
      </c>
      <c r="E4994" t="inlineStr">
        <is>
          <t>pagado</t>
        </is>
      </c>
      <c r="F4994" s="23" t="n">
        <v>46277</v>
      </c>
      <c r="G4994" s="24">
        <f>F4994-DATE(2026,8,31)</f>
        <v>12</v>
      </c>
      <c r="H4994" s="25" t="n">
        <v>63781123</v>
      </c>
      <c r="I4994" t="inlineStr">
        <is>
          <t>entidad-dia</t>
        </is>
      </c>
    </row>
    <row r="4995">
      <c r="A4995" t="inlineStr">
        <is>
          <t>PRAGMA</t>
        </is>
      </c>
      <c r="B4995" t="inlineStr">
        <is>
          <t>M1</t>
        </is>
      </c>
      <c r="C4995" t="inlineStr">
        <is>
          <t>Cali</t>
        </is>
      </c>
      <c r="D4995" t="inlineStr">
        <is>
          <t>8256</t>
        </is>
      </c>
      <c r="E4995" t="inlineStr">
        <is>
          <t>pagado</t>
        </is>
      </c>
      <c r="F4995" s="23" t="n">
        <v>46278</v>
      </c>
      <c r="G4995" s="24">
        <f>F4995-DATE(2026,8,31)</f>
        <v>13</v>
      </c>
      <c r="H4995" s="25" t="n">
        <v>16087737</v>
      </c>
      <c r="I4995" t="inlineStr">
        <is>
          <t>entidad-dia</t>
        </is>
      </c>
    </row>
    <row r="4996">
      <c r="A4996" t="inlineStr">
        <is>
          <t>PRAGMA</t>
        </is>
      </c>
      <c r="B4996" t="inlineStr">
        <is>
          <t>M1</t>
        </is>
      </c>
      <c r="C4996" t="inlineStr">
        <is>
          <t>Cali</t>
        </is>
      </c>
      <c r="D4996" t="inlineStr">
        <is>
          <t>8256</t>
        </is>
      </c>
      <c r="E4996" t="inlineStr">
        <is>
          <t>pagado</t>
        </is>
      </c>
      <c r="F4996" s="23" t="n">
        <v>46279</v>
      </c>
      <c r="G4996" s="24">
        <f>F4996-DATE(2026,8,31)</f>
        <v>14</v>
      </c>
      <c r="H4996" s="25" t="n">
        <v>79139535</v>
      </c>
      <c r="I4996" t="inlineStr">
        <is>
          <t>entidad-dia</t>
        </is>
      </c>
    </row>
    <row r="4997">
      <c r="A4997" t="inlineStr">
        <is>
          <t>PRAGMA</t>
        </is>
      </c>
      <c r="B4997" t="inlineStr">
        <is>
          <t>M1</t>
        </is>
      </c>
      <c r="C4997" t="inlineStr">
        <is>
          <t>Cali</t>
        </is>
      </c>
      <c r="D4997" t="inlineStr">
        <is>
          <t>8256</t>
        </is>
      </c>
      <c r="E4997" t="inlineStr">
        <is>
          <t>pagado</t>
        </is>
      </c>
      <c r="F4997" s="23" t="n">
        <v>46280</v>
      </c>
      <c r="G4997" s="24">
        <f>F4997-DATE(2026,8,31)</f>
        <v>15</v>
      </c>
      <c r="H4997" s="25" t="n">
        <v>123568612</v>
      </c>
      <c r="I4997" t="inlineStr">
        <is>
          <t>entidad-dia</t>
        </is>
      </c>
    </row>
    <row r="4998">
      <c r="A4998" t="inlineStr">
        <is>
          <t>PRAGMA</t>
        </is>
      </c>
      <c r="B4998" t="inlineStr">
        <is>
          <t>M1</t>
        </is>
      </c>
      <c r="C4998" t="inlineStr">
        <is>
          <t>Pasto</t>
        </is>
      </c>
      <c r="D4998" t="inlineStr">
        <is>
          <t>8278</t>
        </is>
      </c>
      <c r="E4998" t="inlineStr">
        <is>
          <t>pagado</t>
        </is>
      </c>
      <c r="F4998" s="23" t="n">
        <v>46266</v>
      </c>
      <c r="G4998" s="24">
        <f>F4998-DATE(2026,8,31)</f>
        <v>1</v>
      </c>
      <c r="H4998" s="25" t="n">
        <v>152188755</v>
      </c>
      <c r="I4998" t="inlineStr">
        <is>
          <t>entidad-dia</t>
        </is>
      </c>
    </row>
    <row r="4999">
      <c r="A4999" t="inlineStr">
        <is>
          <t>PRAGMA</t>
        </is>
      </c>
      <c r="B4999" t="inlineStr">
        <is>
          <t>M1</t>
        </is>
      </c>
      <c r="C4999" t="inlineStr">
        <is>
          <t>Pasto</t>
        </is>
      </c>
      <c r="D4999" t="inlineStr">
        <is>
          <t>8278</t>
        </is>
      </c>
      <c r="E4999" t="inlineStr">
        <is>
          <t>pagado</t>
        </is>
      </c>
      <c r="F4999" s="23" t="n">
        <v>46267</v>
      </c>
      <c r="G4999" s="24">
        <f>F4999-DATE(2026,8,31)</f>
        <v>2</v>
      </c>
      <c r="H4999" s="25" t="n">
        <v>121448754</v>
      </c>
      <c r="I4999" t="inlineStr">
        <is>
          <t>entidad-dia</t>
        </is>
      </c>
    </row>
    <row r="5000">
      <c r="A5000" t="inlineStr">
        <is>
          <t>PRAGMA</t>
        </is>
      </c>
      <c r="B5000" t="inlineStr">
        <is>
          <t>M1</t>
        </is>
      </c>
      <c r="C5000" t="inlineStr">
        <is>
          <t>Pasto</t>
        </is>
      </c>
      <c r="D5000" t="inlineStr">
        <is>
          <t>8278</t>
        </is>
      </c>
      <c r="E5000" t="inlineStr">
        <is>
          <t>pagado</t>
        </is>
      </c>
      <c r="F5000" s="23" t="n">
        <v>46268</v>
      </c>
      <c r="G5000" s="24">
        <f>F5000-DATE(2026,8,31)</f>
        <v>3</v>
      </c>
      <c r="H5000" s="25" t="n">
        <v>103600425</v>
      </c>
      <c r="I5000" t="inlineStr">
        <is>
          <t>entidad-dia</t>
        </is>
      </c>
    </row>
    <row r="5001">
      <c r="A5001" t="inlineStr">
        <is>
          <t>PRAGMA</t>
        </is>
      </c>
      <c r="B5001" t="inlineStr">
        <is>
          <t>M1</t>
        </is>
      </c>
      <c r="C5001" t="inlineStr">
        <is>
          <t>Pasto</t>
        </is>
      </c>
      <c r="D5001" t="inlineStr">
        <is>
          <t>8278</t>
        </is>
      </c>
      <c r="E5001" t="inlineStr">
        <is>
          <t>pagado</t>
        </is>
      </c>
      <c r="F5001" s="23" t="n">
        <v>46269</v>
      </c>
      <c r="G5001" s="24">
        <f>F5001-DATE(2026,8,31)</f>
        <v>4</v>
      </c>
      <c r="H5001" s="25" t="n">
        <v>107225425</v>
      </c>
      <c r="I5001" t="inlineStr">
        <is>
          <t>entidad-dia</t>
        </is>
      </c>
    </row>
    <row r="5002">
      <c r="A5002" t="inlineStr">
        <is>
          <t>PRAGMA</t>
        </is>
      </c>
      <c r="B5002" t="inlineStr">
        <is>
          <t>M1</t>
        </is>
      </c>
      <c r="C5002" t="inlineStr">
        <is>
          <t>Pasto</t>
        </is>
      </c>
      <c r="D5002" t="inlineStr">
        <is>
          <t>8278</t>
        </is>
      </c>
      <c r="E5002" t="inlineStr">
        <is>
          <t>pagado</t>
        </is>
      </c>
      <c r="F5002" s="23" t="n">
        <v>46270</v>
      </c>
      <c r="G5002" s="24">
        <f>F5002-DATE(2026,8,31)</f>
        <v>5</v>
      </c>
      <c r="H5002" s="25" t="n">
        <v>89413550</v>
      </c>
      <c r="I5002" t="inlineStr">
        <is>
          <t>entidad-dia</t>
        </is>
      </c>
    </row>
    <row r="5003">
      <c r="A5003" t="inlineStr">
        <is>
          <t>PRAGMA</t>
        </is>
      </c>
      <c r="B5003" t="inlineStr">
        <is>
          <t>M1</t>
        </is>
      </c>
      <c r="C5003" t="inlineStr">
        <is>
          <t>Pasto</t>
        </is>
      </c>
      <c r="D5003" t="inlineStr">
        <is>
          <t>8278</t>
        </is>
      </c>
      <c r="E5003" t="inlineStr">
        <is>
          <t>pagado</t>
        </is>
      </c>
      <c r="F5003" s="23" t="n">
        <v>46271</v>
      </c>
      <c r="G5003" s="24">
        <f>F5003-DATE(2026,8,31)</f>
        <v>6</v>
      </c>
      <c r="H5003" s="25" t="n">
        <v>27931747</v>
      </c>
      <c r="I5003" t="inlineStr">
        <is>
          <t>entidad-dia</t>
        </is>
      </c>
    </row>
    <row r="5004">
      <c r="A5004" t="inlineStr">
        <is>
          <t>PRAGMA</t>
        </is>
      </c>
      <c r="B5004" t="inlineStr">
        <is>
          <t>M1</t>
        </is>
      </c>
      <c r="C5004" t="inlineStr">
        <is>
          <t>Pasto</t>
        </is>
      </c>
      <c r="D5004" t="inlineStr">
        <is>
          <t>8278</t>
        </is>
      </c>
      <c r="E5004" t="inlineStr">
        <is>
          <t>pagado</t>
        </is>
      </c>
      <c r="F5004" s="23" t="n">
        <v>46272</v>
      </c>
      <c r="G5004" s="24">
        <f>F5004-DATE(2026,8,31)</f>
        <v>7</v>
      </c>
      <c r="H5004" s="25" t="n">
        <v>90419047</v>
      </c>
      <c r="I5004" t="inlineStr">
        <is>
          <t>entidad-dia</t>
        </is>
      </c>
    </row>
    <row r="5005">
      <c r="A5005" t="inlineStr">
        <is>
          <t>PRAGMA</t>
        </is>
      </c>
      <c r="B5005" t="inlineStr">
        <is>
          <t>M1</t>
        </is>
      </c>
      <c r="C5005" t="inlineStr">
        <is>
          <t>Pasto</t>
        </is>
      </c>
      <c r="D5005" t="inlineStr">
        <is>
          <t>8278</t>
        </is>
      </c>
      <c r="E5005" t="inlineStr">
        <is>
          <t>pagado</t>
        </is>
      </c>
      <c r="F5005" s="23" t="n">
        <v>46273</v>
      </c>
      <c r="G5005" s="24">
        <f>F5005-DATE(2026,8,31)</f>
        <v>8</v>
      </c>
      <c r="H5005" s="25" t="n">
        <v>88897284</v>
      </c>
      <c r="I5005" t="inlineStr">
        <is>
          <t>entidad-dia</t>
        </is>
      </c>
    </row>
    <row r="5006">
      <c r="A5006" t="inlineStr">
        <is>
          <t>PRAGMA</t>
        </is>
      </c>
      <c r="B5006" t="inlineStr">
        <is>
          <t>M1</t>
        </is>
      </c>
      <c r="C5006" t="inlineStr">
        <is>
          <t>Pasto</t>
        </is>
      </c>
      <c r="D5006" t="inlineStr">
        <is>
          <t>8278</t>
        </is>
      </c>
      <c r="E5006" t="inlineStr">
        <is>
          <t>pagado</t>
        </is>
      </c>
      <c r="F5006" s="23" t="n">
        <v>46274</v>
      </c>
      <c r="G5006" s="24">
        <f>F5006-DATE(2026,8,31)</f>
        <v>9</v>
      </c>
      <c r="H5006" s="25" t="n">
        <v>86744003</v>
      </c>
      <c r="I5006" t="inlineStr">
        <is>
          <t>entidad-dia</t>
        </is>
      </c>
    </row>
    <row r="5007">
      <c r="A5007" t="inlineStr">
        <is>
          <t>PRAGMA</t>
        </is>
      </c>
      <c r="B5007" t="inlineStr">
        <is>
          <t>M1</t>
        </is>
      </c>
      <c r="C5007" t="inlineStr">
        <is>
          <t>Pasto</t>
        </is>
      </c>
      <c r="D5007" t="inlineStr">
        <is>
          <t>8278</t>
        </is>
      </c>
      <c r="E5007" t="inlineStr">
        <is>
          <t>pagado</t>
        </is>
      </c>
      <c r="F5007" s="23" t="n">
        <v>46275</v>
      </c>
      <c r="G5007" s="24">
        <f>F5007-DATE(2026,8,31)</f>
        <v>10</v>
      </c>
      <c r="H5007" s="25" t="n">
        <v>77930090</v>
      </c>
      <c r="I5007" t="inlineStr">
        <is>
          <t>entidad-dia</t>
        </is>
      </c>
    </row>
    <row r="5008">
      <c r="A5008" t="inlineStr">
        <is>
          <t>PRAGMA</t>
        </is>
      </c>
      <c r="B5008" t="inlineStr">
        <is>
          <t>M1</t>
        </is>
      </c>
      <c r="C5008" t="inlineStr">
        <is>
          <t>Pasto</t>
        </is>
      </c>
      <c r="D5008" t="inlineStr">
        <is>
          <t>8278</t>
        </is>
      </c>
      <c r="E5008" t="inlineStr">
        <is>
          <t>pagado</t>
        </is>
      </c>
      <c r="F5008" s="23" t="n">
        <v>46276</v>
      </c>
      <c r="G5008" s="24">
        <f>F5008-DATE(2026,8,31)</f>
        <v>11</v>
      </c>
      <c r="H5008" s="25" t="n">
        <v>77009332</v>
      </c>
      <c r="I5008" t="inlineStr">
        <is>
          <t>entidad-dia</t>
        </is>
      </c>
    </row>
    <row r="5009">
      <c r="A5009" t="inlineStr">
        <is>
          <t>PRAGMA</t>
        </is>
      </c>
      <c r="B5009" t="inlineStr">
        <is>
          <t>M1</t>
        </is>
      </c>
      <c r="C5009" t="inlineStr">
        <is>
          <t>Pasto</t>
        </is>
      </c>
      <c r="D5009" t="inlineStr">
        <is>
          <t>8278</t>
        </is>
      </c>
      <c r="E5009" t="inlineStr">
        <is>
          <t>pagado</t>
        </is>
      </c>
      <c r="F5009" s="23" t="n">
        <v>46277</v>
      </c>
      <c r="G5009" s="24">
        <f>F5009-DATE(2026,8,31)</f>
        <v>12</v>
      </c>
      <c r="H5009" s="25" t="n">
        <v>58510764</v>
      </c>
      <c r="I5009" t="inlineStr">
        <is>
          <t>entidad-dia</t>
        </is>
      </c>
    </row>
    <row r="5010">
      <c r="A5010" t="inlineStr">
        <is>
          <t>PRAGMA</t>
        </is>
      </c>
      <c r="B5010" t="inlineStr">
        <is>
          <t>M1</t>
        </is>
      </c>
      <c r="C5010" t="inlineStr">
        <is>
          <t>Pasto</t>
        </is>
      </c>
      <c r="D5010" t="inlineStr">
        <is>
          <t>8278</t>
        </is>
      </c>
      <c r="E5010" t="inlineStr">
        <is>
          <t>pagado</t>
        </is>
      </c>
      <c r="F5010" s="23" t="n">
        <v>46278</v>
      </c>
      <c r="G5010" s="24">
        <f>F5010-DATE(2026,8,31)</f>
        <v>13</v>
      </c>
      <c r="H5010" s="25" t="n">
        <v>23895956</v>
      </c>
      <c r="I5010" t="inlineStr">
        <is>
          <t>entidad-dia</t>
        </is>
      </c>
    </row>
    <row r="5011">
      <c r="A5011" t="inlineStr">
        <is>
          <t>PRAGMA</t>
        </is>
      </c>
      <c r="B5011" t="inlineStr">
        <is>
          <t>M1</t>
        </is>
      </c>
      <c r="C5011" t="inlineStr">
        <is>
          <t>Pasto</t>
        </is>
      </c>
      <c r="D5011" t="inlineStr">
        <is>
          <t>8278</t>
        </is>
      </c>
      <c r="E5011" t="inlineStr">
        <is>
          <t>pagado</t>
        </is>
      </c>
      <c r="F5011" s="23" t="n">
        <v>46279</v>
      </c>
      <c r="G5011" s="24">
        <f>F5011-DATE(2026,8,31)</f>
        <v>14</v>
      </c>
      <c r="H5011" s="25" t="n">
        <v>79930442</v>
      </c>
      <c r="I5011" t="inlineStr">
        <is>
          <t>entidad-dia</t>
        </is>
      </c>
    </row>
    <row r="5012">
      <c r="A5012" t="inlineStr">
        <is>
          <t>PRAGMA</t>
        </is>
      </c>
      <c r="B5012" t="inlineStr">
        <is>
          <t>M1</t>
        </is>
      </c>
      <c r="C5012" t="inlineStr">
        <is>
          <t>Pasto</t>
        </is>
      </c>
      <c r="D5012" t="inlineStr">
        <is>
          <t>8278</t>
        </is>
      </c>
      <c r="E5012" t="inlineStr">
        <is>
          <t>pagado</t>
        </is>
      </c>
      <c r="F5012" s="23" t="n">
        <v>46280</v>
      </c>
      <c r="G5012" s="24">
        <f>F5012-DATE(2026,8,31)</f>
        <v>15</v>
      </c>
      <c r="H5012" s="25" t="n">
        <v>106451908</v>
      </c>
      <c r="I5012" t="inlineStr">
        <is>
          <t>entidad-dia</t>
        </is>
      </c>
    </row>
    <row r="5013">
      <c r="A5013" t="inlineStr">
        <is>
          <t>PRAGMA</t>
        </is>
      </c>
      <c r="B5013" t="inlineStr">
        <is>
          <t>M1</t>
        </is>
      </c>
      <c r="C5013" t="inlineStr">
        <is>
          <t>Cali</t>
        </is>
      </c>
      <c r="D5013" t="inlineStr">
        <is>
          <t>8283</t>
        </is>
      </c>
      <c r="E5013" t="inlineStr">
        <is>
          <t>pagado</t>
        </is>
      </c>
      <c r="F5013" s="23" t="n">
        <v>46266</v>
      </c>
      <c r="G5013" s="24">
        <f>F5013-DATE(2026,8,31)</f>
        <v>1</v>
      </c>
      <c r="H5013" s="25" t="n">
        <v>125535521</v>
      </c>
      <c r="I5013" t="inlineStr">
        <is>
          <t>entidad-dia</t>
        </is>
      </c>
    </row>
    <row r="5014">
      <c r="A5014" t="inlineStr">
        <is>
          <t>PRAGMA</t>
        </is>
      </c>
      <c r="B5014" t="inlineStr">
        <is>
          <t>M1</t>
        </is>
      </c>
      <c r="C5014" t="inlineStr">
        <is>
          <t>Cali</t>
        </is>
      </c>
      <c r="D5014" t="inlineStr">
        <is>
          <t>8283</t>
        </is>
      </c>
      <c r="E5014" t="inlineStr">
        <is>
          <t>pagado</t>
        </is>
      </c>
      <c r="F5014" s="23" t="n">
        <v>46267</v>
      </c>
      <c r="G5014" s="24">
        <f>F5014-DATE(2026,8,31)</f>
        <v>2</v>
      </c>
      <c r="H5014" s="25" t="n">
        <v>99016557</v>
      </c>
      <c r="I5014" t="inlineStr">
        <is>
          <t>entidad-dia</t>
        </is>
      </c>
    </row>
    <row r="5015">
      <c r="A5015" t="inlineStr">
        <is>
          <t>PRAGMA</t>
        </is>
      </c>
      <c r="B5015" t="inlineStr">
        <is>
          <t>M1</t>
        </is>
      </c>
      <c r="C5015" t="inlineStr">
        <is>
          <t>Cali</t>
        </is>
      </c>
      <c r="D5015" t="inlineStr">
        <is>
          <t>8283</t>
        </is>
      </c>
      <c r="E5015" t="inlineStr">
        <is>
          <t>pagado</t>
        </is>
      </c>
      <c r="F5015" s="23" t="n">
        <v>46268</v>
      </c>
      <c r="G5015" s="24">
        <f>F5015-DATE(2026,8,31)</f>
        <v>3</v>
      </c>
      <c r="H5015" s="25" t="n">
        <v>86066669</v>
      </c>
      <c r="I5015" t="inlineStr">
        <is>
          <t>entidad-dia</t>
        </is>
      </c>
    </row>
    <row r="5016">
      <c r="A5016" t="inlineStr">
        <is>
          <t>PRAGMA</t>
        </is>
      </c>
      <c r="B5016" t="inlineStr">
        <is>
          <t>M1</t>
        </is>
      </c>
      <c r="C5016" t="inlineStr">
        <is>
          <t>Cali</t>
        </is>
      </c>
      <c r="D5016" t="inlineStr">
        <is>
          <t>8283</t>
        </is>
      </c>
      <c r="E5016" t="inlineStr">
        <is>
          <t>pagado</t>
        </is>
      </c>
      <c r="F5016" s="23" t="n">
        <v>46269</v>
      </c>
      <c r="G5016" s="24">
        <f>F5016-DATE(2026,8,31)</f>
        <v>4</v>
      </c>
      <c r="H5016" s="25" t="n">
        <v>85695475</v>
      </c>
      <c r="I5016" t="inlineStr">
        <is>
          <t>entidad-dia</t>
        </is>
      </c>
    </row>
    <row r="5017">
      <c r="A5017" t="inlineStr">
        <is>
          <t>PRAGMA</t>
        </is>
      </c>
      <c r="B5017" t="inlineStr">
        <is>
          <t>M1</t>
        </is>
      </c>
      <c r="C5017" t="inlineStr">
        <is>
          <t>Cali</t>
        </is>
      </c>
      <c r="D5017" t="inlineStr">
        <is>
          <t>8283</t>
        </is>
      </c>
      <c r="E5017" t="inlineStr">
        <is>
          <t>pagado</t>
        </is>
      </c>
      <c r="F5017" s="23" t="n">
        <v>46270</v>
      </c>
      <c r="G5017" s="24">
        <f>F5017-DATE(2026,8,31)</f>
        <v>5</v>
      </c>
      <c r="H5017" s="25" t="n">
        <v>93000215</v>
      </c>
      <c r="I5017" t="inlineStr">
        <is>
          <t>entidad-dia</t>
        </is>
      </c>
    </row>
    <row r="5018">
      <c r="A5018" t="inlineStr">
        <is>
          <t>PRAGMA</t>
        </is>
      </c>
      <c r="B5018" t="inlineStr">
        <is>
          <t>M1</t>
        </is>
      </c>
      <c r="C5018" t="inlineStr">
        <is>
          <t>Cali</t>
        </is>
      </c>
      <c r="D5018" t="inlineStr">
        <is>
          <t>8283</t>
        </is>
      </c>
      <c r="E5018" t="inlineStr">
        <is>
          <t>pagado</t>
        </is>
      </c>
      <c r="F5018" s="23" t="n">
        <v>46271</v>
      </c>
      <c r="G5018" s="24">
        <f>F5018-DATE(2026,8,31)</f>
        <v>6</v>
      </c>
      <c r="H5018" s="25" t="n">
        <v>63957929</v>
      </c>
      <c r="I5018" t="inlineStr">
        <is>
          <t>entidad-dia</t>
        </is>
      </c>
    </row>
    <row r="5019">
      <c r="A5019" t="inlineStr">
        <is>
          <t>PRAGMA</t>
        </is>
      </c>
      <c r="B5019" t="inlineStr">
        <is>
          <t>M1</t>
        </is>
      </c>
      <c r="C5019" t="inlineStr">
        <is>
          <t>Cali</t>
        </is>
      </c>
      <c r="D5019" t="inlineStr">
        <is>
          <t>8283</t>
        </is>
      </c>
      <c r="E5019" t="inlineStr">
        <is>
          <t>pagado</t>
        </is>
      </c>
      <c r="F5019" s="23" t="n">
        <v>46272</v>
      </c>
      <c r="G5019" s="24">
        <f>F5019-DATE(2026,8,31)</f>
        <v>7</v>
      </c>
      <c r="H5019" s="25" t="n">
        <v>73646935</v>
      </c>
      <c r="I5019" t="inlineStr">
        <is>
          <t>entidad-dia</t>
        </is>
      </c>
    </row>
    <row r="5020">
      <c r="A5020" t="inlineStr">
        <is>
          <t>PRAGMA</t>
        </is>
      </c>
      <c r="B5020" t="inlineStr">
        <is>
          <t>M1</t>
        </is>
      </c>
      <c r="C5020" t="inlineStr">
        <is>
          <t>Cali</t>
        </is>
      </c>
      <c r="D5020" t="inlineStr">
        <is>
          <t>8283</t>
        </is>
      </c>
      <c r="E5020" t="inlineStr">
        <is>
          <t>pagado</t>
        </is>
      </c>
      <c r="F5020" s="23" t="n">
        <v>46273</v>
      </c>
      <c r="G5020" s="24">
        <f>F5020-DATE(2026,8,31)</f>
        <v>8</v>
      </c>
      <c r="H5020" s="25" t="n">
        <v>66917880</v>
      </c>
      <c r="I5020" t="inlineStr">
        <is>
          <t>entidad-dia</t>
        </is>
      </c>
    </row>
    <row r="5021">
      <c r="A5021" t="inlineStr">
        <is>
          <t>PRAGMA</t>
        </is>
      </c>
      <c r="B5021" t="inlineStr">
        <is>
          <t>M1</t>
        </is>
      </c>
      <c r="C5021" t="inlineStr">
        <is>
          <t>Cali</t>
        </is>
      </c>
      <c r="D5021" t="inlineStr">
        <is>
          <t>8283</t>
        </is>
      </c>
      <c r="E5021" t="inlineStr">
        <is>
          <t>pagado</t>
        </is>
      </c>
      <c r="F5021" s="23" t="n">
        <v>46274</v>
      </c>
      <c r="G5021" s="24">
        <f>F5021-DATE(2026,8,31)</f>
        <v>9</v>
      </c>
      <c r="H5021" s="25" t="n">
        <v>71675531</v>
      </c>
      <c r="I5021" t="inlineStr">
        <is>
          <t>entidad-dia</t>
        </is>
      </c>
    </row>
    <row r="5022">
      <c r="A5022" t="inlineStr">
        <is>
          <t>PRAGMA</t>
        </is>
      </c>
      <c r="B5022" t="inlineStr">
        <is>
          <t>M1</t>
        </is>
      </c>
      <c r="C5022" t="inlineStr">
        <is>
          <t>Cali</t>
        </is>
      </c>
      <c r="D5022" t="inlineStr">
        <is>
          <t>8283</t>
        </is>
      </c>
      <c r="E5022" t="inlineStr">
        <is>
          <t>pagado</t>
        </is>
      </c>
      <c r="F5022" s="23" t="n">
        <v>46275</v>
      </c>
      <c r="G5022" s="24">
        <f>F5022-DATE(2026,8,31)</f>
        <v>10</v>
      </c>
      <c r="H5022" s="25" t="n">
        <v>61293178</v>
      </c>
      <c r="I5022" t="inlineStr">
        <is>
          <t>entidad-dia</t>
        </is>
      </c>
    </row>
    <row r="5023">
      <c r="A5023" t="inlineStr">
        <is>
          <t>PRAGMA</t>
        </is>
      </c>
      <c r="B5023" t="inlineStr">
        <is>
          <t>M1</t>
        </is>
      </c>
      <c r="C5023" t="inlineStr">
        <is>
          <t>Cali</t>
        </is>
      </c>
      <c r="D5023" t="inlineStr">
        <is>
          <t>8283</t>
        </is>
      </c>
      <c r="E5023" t="inlineStr">
        <is>
          <t>pagado</t>
        </is>
      </c>
      <c r="F5023" s="23" t="n">
        <v>46276</v>
      </c>
      <c r="G5023" s="24">
        <f>F5023-DATE(2026,8,31)</f>
        <v>11</v>
      </c>
      <c r="H5023" s="25" t="n">
        <v>63279394</v>
      </c>
      <c r="I5023" t="inlineStr">
        <is>
          <t>entidad-dia</t>
        </is>
      </c>
    </row>
    <row r="5024">
      <c r="A5024" t="inlineStr">
        <is>
          <t>PRAGMA</t>
        </is>
      </c>
      <c r="B5024" t="inlineStr">
        <is>
          <t>M1</t>
        </is>
      </c>
      <c r="C5024" t="inlineStr">
        <is>
          <t>Cali</t>
        </is>
      </c>
      <c r="D5024" t="inlineStr">
        <is>
          <t>8283</t>
        </is>
      </c>
      <c r="E5024" t="inlineStr">
        <is>
          <t>pagado</t>
        </is>
      </c>
      <c r="F5024" s="23" t="n">
        <v>46277</v>
      </c>
      <c r="G5024" s="24">
        <f>F5024-DATE(2026,8,31)</f>
        <v>12</v>
      </c>
      <c r="H5024" s="25" t="n">
        <v>60280740</v>
      </c>
      <c r="I5024" t="inlineStr">
        <is>
          <t>entidad-dia</t>
        </is>
      </c>
    </row>
    <row r="5025">
      <c r="A5025" t="inlineStr">
        <is>
          <t>PRAGMA</t>
        </is>
      </c>
      <c r="B5025" t="inlineStr">
        <is>
          <t>M1</t>
        </is>
      </c>
      <c r="C5025" t="inlineStr">
        <is>
          <t>Cali</t>
        </is>
      </c>
      <c r="D5025" t="inlineStr">
        <is>
          <t>8283</t>
        </is>
      </c>
      <c r="E5025" t="inlineStr">
        <is>
          <t>pagado</t>
        </is>
      </c>
      <c r="F5025" s="23" t="n">
        <v>46278</v>
      </c>
      <c r="G5025" s="24">
        <f>F5025-DATE(2026,8,31)</f>
        <v>13</v>
      </c>
      <c r="H5025" s="25" t="n">
        <v>46073165</v>
      </c>
      <c r="I5025" t="inlineStr">
        <is>
          <t>entidad-dia</t>
        </is>
      </c>
    </row>
    <row r="5026">
      <c r="A5026" t="inlineStr">
        <is>
          <t>PRAGMA</t>
        </is>
      </c>
      <c r="B5026" t="inlineStr">
        <is>
          <t>M1</t>
        </is>
      </c>
      <c r="C5026" t="inlineStr">
        <is>
          <t>Cali</t>
        </is>
      </c>
      <c r="D5026" t="inlineStr">
        <is>
          <t>8283</t>
        </is>
      </c>
      <c r="E5026" t="inlineStr">
        <is>
          <t>pagado</t>
        </is>
      </c>
      <c r="F5026" s="23" t="n">
        <v>46279</v>
      </c>
      <c r="G5026" s="24">
        <f>F5026-DATE(2026,8,31)</f>
        <v>14</v>
      </c>
      <c r="H5026" s="25" t="n">
        <v>64442428</v>
      </c>
      <c r="I5026" t="inlineStr">
        <is>
          <t>entidad-dia</t>
        </is>
      </c>
    </row>
    <row r="5027">
      <c r="A5027" t="inlineStr">
        <is>
          <t>PRAGMA</t>
        </is>
      </c>
      <c r="B5027" t="inlineStr">
        <is>
          <t>M1</t>
        </is>
      </c>
      <c r="C5027" t="inlineStr">
        <is>
          <t>Cali</t>
        </is>
      </c>
      <c r="D5027" t="inlineStr">
        <is>
          <t>8283</t>
        </is>
      </c>
      <c r="E5027" t="inlineStr">
        <is>
          <t>pagado</t>
        </is>
      </c>
      <c r="F5027" s="23" t="n">
        <v>46280</v>
      </c>
      <c r="G5027" s="24">
        <f>F5027-DATE(2026,8,31)</f>
        <v>15</v>
      </c>
      <c r="H5027" s="25" t="n">
        <v>98190411</v>
      </c>
      <c r="I5027" t="inlineStr">
        <is>
          <t>entidad-dia</t>
        </is>
      </c>
    </row>
    <row r="5028">
      <c r="A5028" t="inlineStr">
        <is>
          <t>PRAGMA</t>
        </is>
      </c>
      <c r="B5028" t="inlineStr">
        <is>
          <t>M1</t>
        </is>
      </c>
      <c r="C5028" t="inlineStr">
        <is>
          <t>Cali</t>
        </is>
      </c>
      <c r="D5028" t="inlineStr">
        <is>
          <t>8293</t>
        </is>
      </c>
      <c r="E5028" t="inlineStr">
        <is>
          <t>pagado</t>
        </is>
      </c>
      <c r="F5028" s="23" t="n">
        <v>46266</v>
      </c>
      <c r="G5028" s="24">
        <f>F5028-DATE(2026,8,31)</f>
        <v>1</v>
      </c>
      <c r="H5028" s="25" t="n">
        <v>152114903</v>
      </c>
      <c r="I5028" t="inlineStr">
        <is>
          <t>entidad-dia</t>
        </is>
      </c>
    </row>
    <row r="5029">
      <c r="A5029" t="inlineStr">
        <is>
          <t>PRAGMA</t>
        </is>
      </c>
      <c r="B5029" t="inlineStr">
        <is>
          <t>M1</t>
        </is>
      </c>
      <c r="C5029" t="inlineStr">
        <is>
          <t>Cali</t>
        </is>
      </c>
      <c r="D5029" t="inlineStr">
        <is>
          <t>8293</t>
        </is>
      </c>
      <c r="E5029" t="inlineStr">
        <is>
          <t>pagado</t>
        </is>
      </c>
      <c r="F5029" s="23" t="n">
        <v>46267</v>
      </c>
      <c r="G5029" s="24">
        <f>F5029-DATE(2026,8,31)</f>
        <v>2</v>
      </c>
      <c r="H5029" s="25" t="n">
        <v>117241044</v>
      </c>
      <c r="I5029" t="inlineStr">
        <is>
          <t>entidad-dia</t>
        </is>
      </c>
    </row>
    <row r="5030">
      <c r="A5030" t="inlineStr">
        <is>
          <t>PRAGMA</t>
        </is>
      </c>
      <c r="B5030" t="inlineStr">
        <is>
          <t>M1</t>
        </is>
      </c>
      <c r="C5030" t="inlineStr">
        <is>
          <t>Cali</t>
        </is>
      </c>
      <c r="D5030" t="inlineStr">
        <is>
          <t>8293</t>
        </is>
      </c>
      <c r="E5030" t="inlineStr">
        <is>
          <t>pagado</t>
        </is>
      </c>
      <c r="F5030" s="23" t="n">
        <v>46268</v>
      </c>
      <c r="G5030" s="24">
        <f>F5030-DATE(2026,8,31)</f>
        <v>3</v>
      </c>
      <c r="H5030" s="25" t="n">
        <v>104120966</v>
      </c>
      <c r="I5030" t="inlineStr">
        <is>
          <t>entidad-dia</t>
        </is>
      </c>
    </row>
    <row r="5031">
      <c r="A5031" t="inlineStr">
        <is>
          <t>PRAGMA</t>
        </is>
      </c>
      <c r="B5031" t="inlineStr">
        <is>
          <t>M1</t>
        </is>
      </c>
      <c r="C5031" t="inlineStr">
        <is>
          <t>Cali</t>
        </is>
      </c>
      <c r="D5031" t="inlineStr">
        <is>
          <t>8293</t>
        </is>
      </c>
      <c r="E5031" t="inlineStr">
        <is>
          <t>pagado</t>
        </is>
      </c>
      <c r="F5031" s="23" t="n">
        <v>46269</v>
      </c>
      <c r="G5031" s="24">
        <f>F5031-DATE(2026,8,31)</f>
        <v>4</v>
      </c>
      <c r="H5031" s="25" t="n">
        <v>105416622</v>
      </c>
      <c r="I5031" t="inlineStr">
        <is>
          <t>entidad-dia</t>
        </is>
      </c>
    </row>
    <row r="5032">
      <c r="A5032" t="inlineStr">
        <is>
          <t>PRAGMA</t>
        </is>
      </c>
      <c r="B5032" t="inlineStr">
        <is>
          <t>M1</t>
        </is>
      </c>
      <c r="C5032" t="inlineStr">
        <is>
          <t>Cali</t>
        </is>
      </c>
      <c r="D5032" t="inlineStr">
        <is>
          <t>8293</t>
        </is>
      </c>
      <c r="E5032" t="inlineStr">
        <is>
          <t>pagado</t>
        </is>
      </c>
      <c r="F5032" s="23" t="n">
        <v>46270</v>
      </c>
      <c r="G5032" s="24">
        <f>F5032-DATE(2026,8,31)</f>
        <v>5</v>
      </c>
      <c r="H5032" s="25" t="n">
        <v>111440723</v>
      </c>
      <c r="I5032" t="inlineStr">
        <is>
          <t>entidad-dia</t>
        </is>
      </c>
    </row>
    <row r="5033">
      <c r="A5033" t="inlineStr">
        <is>
          <t>PRAGMA</t>
        </is>
      </c>
      <c r="B5033" t="inlineStr">
        <is>
          <t>M1</t>
        </is>
      </c>
      <c r="C5033" t="inlineStr">
        <is>
          <t>Cali</t>
        </is>
      </c>
      <c r="D5033" t="inlineStr">
        <is>
          <t>8293</t>
        </is>
      </c>
      <c r="E5033" t="inlineStr">
        <is>
          <t>pagado</t>
        </is>
      </c>
      <c r="F5033" s="23" t="n">
        <v>46271</v>
      </c>
      <c r="G5033" s="24">
        <f>F5033-DATE(2026,8,31)</f>
        <v>6</v>
      </c>
      <c r="H5033" s="25" t="n">
        <v>58986371</v>
      </c>
      <c r="I5033" t="inlineStr">
        <is>
          <t>entidad-dia</t>
        </is>
      </c>
    </row>
    <row r="5034">
      <c r="A5034" t="inlineStr">
        <is>
          <t>PRAGMA</t>
        </is>
      </c>
      <c r="B5034" t="inlineStr">
        <is>
          <t>M1</t>
        </is>
      </c>
      <c r="C5034" t="inlineStr">
        <is>
          <t>Cali</t>
        </is>
      </c>
      <c r="D5034" t="inlineStr">
        <is>
          <t>8293</t>
        </is>
      </c>
      <c r="E5034" t="inlineStr">
        <is>
          <t>pagado</t>
        </is>
      </c>
      <c r="F5034" s="23" t="n">
        <v>46272</v>
      </c>
      <c r="G5034" s="24">
        <f>F5034-DATE(2026,8,31)</f>
        <v>7</v>
      </c>
      <c r="H5034" s="25" t="n">
        <v>74418554</v>
      </c>
      <c r="I5034" t="inlineStr">
        <is>
          <t>entidad-dia</t>
        </is>
      </c>
    </row>
    <row r="5035">
      <c r="A5035" t="inlineStr">
        <is>
          <t>PRAGMA</t>
        </is>
      </c>
      <c r="B5035" t="inlineStr">
        <is>
          <t>M1</t>
        </is>
      </c>
      <c r="C5035" t="inlineStr">
        <is>
          <t>Cali</t>
        </is>
      </c>
      <c r="D5035" t="inlineStr">
        <is>
          <t>8293</t>
        </is>
      </c>
      <c r="E5035" t="inlineStr">
        <is>
          <t>pagado</t>
        </is>
      </c>
      <c r="F5035" s="23" t="n">
        <v>46273</v>
      </c>
      <c r="G5035" s="24">
        <f>F5035-DATE(2026,8,31)</f>
        <v>8</v>
      </c>
      <c r="H5035" s="25" t="n">
        <v>72544713</v>
      </c>
      <c r="I5035" t="inlineStr">
        <is>
          <t>entidad-dia</t>
        </is>
      </c>
    </row>
    <row r="5036">
      <c r="A5036" t="inlineStr">
        <is>
          <t>PRAGMA</t>
        </is>
      </c>
      <c r="B5036" t="inlineStr">
        <is>
          <t>M1</t>
        </is>
      </c>
      <c r="C5036" t="inlineStr">
        <is>
          <t>Cali</t>
        </is>
      </c>
      <c r="D5036" t="inlineStr">
        <is>
          <t>8293</t>
        </is>
      </c>
      <c r="E5036" t="inlineStr">
        <is>
          <t>pagado</t>
        </is>
      </c>
      <c r="F5036" s="23" t="n">
        <v>46274</v>
      </c>
      <c r="G5036" s="24">
        <f>F5036-DATE(2026,8,31)</f>
        <v>9</v>
      </c>
      <c r="H5036" s="25" t="n">
        <v>69205216</v>
      </c>
      <c r="I5036" t="inlineStr">
        <is>
          <t>entidad-dia</t>
        </is>
      </c>
    </row>
    <row r="5037">
      <c r="A5037" t="inlineStr">
        <is>
          <t>PRAGMA</t>
        </is>
      </c>
      <c r="B5037" t="inlineStr">
        <is>
          <t>M1</t>
        </is>
      </c>
      <c r="C5037" t="inlineStr">
        <is>
          <t>Cali</t>
        </is>
      </c>
      <c r="D5037" t="inlineStr">
        <is>
          <t>8293</t>
        </is>
      </c>
      <c r="E5037" t="inlineStr">
        <is>
          <t>pagado</t>
        </is>
      </c>
      <c r="F5037" s="23" t="n">
        <v>46275</v>
      </c>
      <c r="G5037" s="24">
        <f>F5037-DATE(2026,8,31)</f>
        <v>10</v>
      </c>
      <c r="H5037" s="25" t="n">
        <v>69151688</v>
      </c>
      <c r="I5037" t="inlineStr">
        <is>
          <t>entidad-dia</t>
        </is>
      </c>
    </row>
    <row r="5038">
      <c r="A5038" t="inlineStr">
        <is>
          <t>PRAGMA</t>
        </is>
      </c>
      <c r="B5038" t="inlineStr">
        <is>
          <t>M1</t>
        </is>
      </c>
      <c r="C5038" t="inlineStr">
        <is>
          <t>Cali</t>
        </is>
      </c>
      <c r="D5038" t="inlineStr">
        <is>
          <t>8293</t>
        </is>
      </c>
      <c r="E5038" t="inlineStr">
        <is>
          <t>pagado</t>
        </is>
      </c>
      <c r="F5038" s="23" t="n">
        <v>46276</v>
      </c>
      <c r="G5038" s="24">
        <f>F5038-DATE(2026,8,31)</f>
        <v>11</v>
      </c>
      <c r="H5038" s="25" t="n">
        <v>73399779</v>
      </c>
      <c r="I5038" t="inlineStr">
        <is>
          <t>entidad-dia</t>
        </is>
      </c>
    </row>
    <row r="5039">
      <c r="A5039" t="inlineStr">
        <is>
          <t>PRAGMA</t>
        </is>
      </c>
      <c r="B5039" t="inlineStr">
        <is>
          <t>M1</t>
        </is>
      </c>
      <c r="C5039" t="inlineStr">
        <is>
          <t>Cali</t>
        </is>
      </c>
      <c r="D5039" t="inlineStr">
        <is>
          <t>8293</t>
        </is>
      </c>
      <c r="E5039" t="inlineStr">
        <is>
          <t>pagado</t>
        </is>
      </c>
      <c r="F5039" s="23" t="n">
        <v>46277</v>
      </c>
      <c r="G5039" s="24">
        <f>F5039-DATE(2026,8,31)</f>
        <v>12</v>
      </c>
      <c r="H5039" s="25" t="n">
        <v>83799570</v>
      </c>
      <c r="I5039" t="inlineStr">
        <is>
          <t>entidad-dia</t>
        </is>
      </c>
    </row>
    <row r="5040">
      <c r="A5040" t="inlineStr">
        <is>
          <t>PRAGMA</t>
        </is>
      </c>
      <c r="B5040" t="inlineStr">
        <is>
          <t>M1</t>
        </is>
      </c>
      <c r="C5040" t="inlineStr">
        <is>
          <t>Cali</t>
        </is>
      </c>
      <c r="D5040" t="inlineStr">
        <is>
          <t>8293</t>
        </is>
      </c>
      <c r="E5040" t="inlineStr">
        <is>
          <t>pagado</t>
        </is>
      </c>
      <c r="F5040" s="23" t="n">
        <v>46278</v>
      </c>
      <c r="G5040" s="24">
        <f>F5040-DATE(2026,8,31)</f>
        <v>13</v>
      </c>
      <c r="H5040" s="25" t="n">
        <v>47165233</v>
      </c>
      <c r="I5040" t="inlineStr">
        <is>
          <t>entidad-dia</t>
        </is>
      </c>
    </row>
    <row r="5041">
      <c r="A5041" t="inlineStr">
        <is>
          <t>PRAGMA</t>
        </is>
      </c>
      <c r="B5041" t="inlineStr">
        <is>
          <t>M1</t>
        </is>
      </c>
      <c r="C5041" t="inlineStr">
        <is>
          <t>Cali</t>
        </is>
      </c>
      <c r="D5041" t="inlineStr">
        <is>
          <t>8293</t>
        </is>
      </c>
      <c r="E5041" t="inlineStr">
        <is>
          <t>pagado</t>
        </is>
      </c>
      <c r="F5041" s="23" t="n">
        <v>46279</v>
      </c>
      <c r="G5041" s="24">
        <f>F5041-DATE(2026,8,31)</f>
        <v>14</v>
      </c>
      <c r="H5041" s="25" t="n">
        <v>71225014</v>
      </c>
      <c r="I5041" t="inlineStr">
        <is>
          <t>entidad-dia</t>
        </is>
      </c>
    </row>
    <row r="5042">
      <c r="A5042" t="inlineStr">
        <is>
          <t>PRAGMA</t>
        </is>
      </c>
      <c r="B5042" t="inlineStr">
        <is>
          <t>M1</t>
        </is>
      </c>
      <c r="C5042" t="inlineStr">
        <is>
          <t>Cali</t>
        </is>
      </c>
      <c r="D5042" t="inlineStr">
        <is>
          <t>8293</t>
        </is>
      </c>
      <c r="E5042" t="inlineStr">
        <is>
          <t>pagado</t>
        </is>
      </c>
      <c r="F5042" s="23" t="n">
        <v>46280</v>
      </c>
      <c r="G5042" s="24">
        <f>F5042-DATE(2026,8,31)</f>
        <v>15</v>
      </c>
      <c r="H5042" s="25" t="n">
        <v>104201787</v>
      </c>
      <c r="I5042" t="inlineStr">
        <is>
          <t>entidad-dia</t>
        </is>
      </c>
    </row>
    <row r="5043">
      <c r="A5043" t="inlineStr">
        <is>
          <t>PRAGMA</t>
        </is>
      </c>
      <c r="B5043" t="inlineStr">
        <is>
          <t>M1</t>
        </is>
      </c>
      <c r="C5043" t="inlineStr">
        <is>
          <t>Pasto</t>
        </is>
      </c>
      <c r="D5043" t="inlineStr">
        <is>
          <t>8305</t>
        </is>
      </c>
      <c r="E5043" t="inlineStr">
        <is>
          <t>pagado</t>
        </is>
      </c>
      <c r="F5043" s="23" t="n">
        <v>46266</v>
      </c>
      <c r="G5043" s="24">
        <f>F5043-DATE(2026,8,31)</f>
        <v>1</v>
      </c>
      <c r="H5043" s="25" t="n">
        <v>194774097</v>
      </c>
      <c r="I5043" t="inlineStr">
        <is>
          <t>entidad-dia</t>
        </is>
      </c>
    </row>
    <row r="5044">
      <c r="A5044" t="inlineStr">
        <is>
          <t>PRAGMA</t>
        </is>
      </c>
      <c r="B5044" t="inlineStr">
        <is>
          <t>M1</t>
        </is>
      </c>
      <c r="C5044" t="inlineStr">
        <is>
          <t>Pasto</t>
        </is>
      </c>
      <c r="D5044" t="inlineStr">
        <is>
          <t>8305</t>
        </is>
      </c>
      <c r="E5044" t="inlineStr">
        <is>
          <t>pagado</t>
        </is>
      </c>
      <c r="F5044" s="23" t="n">
        <v>46267</v>
      </c>
      <c r="G5044" s="24">
        <f>F5044-DATE(2026,8,31)</f>
        <v>2</v>
      </c>
      <c r="H5044" s="25" t="n">
        <v>151231097</v>
      </c>
      <c r="I5044" t="inlineStr">
        <is>
          <t>entidad-dia</t>
        </is>
      </c>
    </row>
    <row r="5045">
      <c r="A5045" t="inlineStr">
        <is>
          <t>PRAGMA</t>
        </is>
      </c>
      <c r="B5045" t="inlineStr">
        <is>
          <t>M1</t>
        </is>
      </c>
      <c r="C5045" t="inlineStr">
        <is>
          <t>Pasto</t>
        </is>
      </c>
      <c r="D5045" t="inlineStr">
        <is>
          <t>8305</t>
        </is>
      </c>
      <c r="E5045" t="inlineStr">
        <is>
          <t>pagado</t>
        </is>
      </c>
      <c r="F5045" s="23" t="n">
        <v>46268</v>
      </c>
      <c r="G5045" s="24">
        <f>F5045-DATE(2026,8,31)</f>
        <v>3</v>
      </c>
      <c r="H5045" s="25" t="n">
        <v>138381948</v>
      </c>
      <c r="I5045" t="inlineStr">
        <is>
          <t>entidad-dia</t>
        </is>
      </c>
    </row>
    <row r="5046">
      <c r="A5046" t="inlineStr">
        <is>
          <t>PRAGMA</t>
        </is>
      </c>
      <c r="B5046" t="inlineStr">
        <is>
          <t>M1</t>
        </is>
      </c>
      <c r="C5046" t="inlineStr">
        <is>
          <t>Pasto</t>
        </is>
      </c>
      <c r="D5046" t="inlineStr">
        <is>
          <t>8305</t>
        </is>
      </c>
      <c r="E5046" t="inlineStr">
        <is>
          <t>pagado</t>
        </is>
      </c>
      <c r="F5046" s="23" t="n">
        <v>46269</v>
      </c>
      <c r="G5046" s="24">
        <f>F5046-DATE(2026,8,31)</f>
        <v>4</v>
      </c>
      <c r="H5046" s="25" t="n">
        <v>145503663</v>
      </c>
      <c r="I5046" t="inlineStr">
        <is>
          <t>entidad-dia</t>
        </is>
      </c>
    </row>
    <row r="5047">
      <c r="A5047" t="inlineStr">
        <is>
          <t>PRAGMA</t>
        </is>
      </c>
      <c r="B5047" t="inlineStr">
        <is>
          <t>M1</t>
        </is>
      </c>
      <c r="C5047" t="inlineStr">
        <is>
          <t>Pasto</t>
        </is>
      </c>
      <c r="D5047" t="inlineStr">
        <is>
          <t>8305</t>
        </is>
      </c>
      <c r="E5047" t="inlineStr">
        <is>
          <t>pagado</t>
        </is>
      </c>
      <c r="F5047" s="23" t="n">
        <v>46270</v>
      </c>
      <c r="G5047" s="24">
        <f>F5047-DATE(2026,8,31)</f>
        <v>5</v>
      </c>
      <c r="H5047" s="25" t="n">
        <v>153507118</v>
      </c>
      <c r="I5047" t="inlineStr">
        <is>
          <t>entidad-dia</t>
        </is>
      </c>
    </row>
    <row r="5048">
      <c r="A5048" t="inlineStr">
        <is>
          <t>PRAGMA</t>
        </is>
      </c>
      <c r="B5048" t="inlineStr">
        <is>
          <t>M1</t>
        </is>
      </c>
      <c r="C5048" t="inlineStr">
        <is>
          <t>Pasto</t>
        </is>
      </c>
      <c r="D5048" t="inlineStr">
        <is>
          <t>8305</t>
        </is>
      </c>
      <c r="E5048" t="inlineStr">
        <is>
          <t>pagado</t>
        </is>
      </c>
      <c r="F5048" s="23" t="n">
        <v>46271</v>
      </c>
      <c r="G5048" s="24">
        <f>F5048-DATE(2026,8,31)</f>
        <v>6</v>
      </c>
      <c r="H5048" s="25" t="n">
        <v>109584888</v>
      </c>
      <c r="I5048" t="inlineStr">
        <is>
          <t>entidad-dia</t>
        </is>
      </c>
    </row>
    <row r="5049">
      <c r="A5049" t="inlineStr">
        <is>
          <t>PRAGMA</t>
        </is>
      </c>
      <c r="B5049" t="inlineStr">
        <is>
          <t>M1</t>
        </is>
      </c>
      <c r="C5049" t="inlineStr">
        <is>
          <t>Pasto</t>
        </is>
      </c>
      <c r="D5049" t="inlineStr">
        <is>
          <t>8305</t>
        </is>
      </c>
      <c r="E5049" t="inlineStr">
        <is>
          <t>pagado</t>
        </is>
      </c>
      <c r="F5049" s="23" t="n">
        <v>46272</v>
      </c>
      <c r="G5049" s="24">
        <f>F5049-DATE(2026,8,31)</f>
        <v>7</v>
      </c>
      <c r="H5049" s="25" t="n">
        <v>120007641</v>
      </c>
      <c r="I5049" t="inlineStr">
        <is>
          <t>entidad-dia</t>
        </is>
      </c>
    </row>
    <row r="5050">
      <c r="A5050" t="inlineStr">
        <is>
          <t>PRAGMA</t>
        </is>
      </c>
      <c r="B5050" t="inlineStr">
        <is>
          <t>M1</t>
        </is>
      </c>
      <c r="C5050" t="inlineStr">
        <is>
          <t>Pasto</t>
        </is>
      </c>
      <c r="D5050" t="inlineStr">
        <is>
          <t>8305</t>
        </is>
      </c>
      <c r="E5050" t="inlineStr">
        <is>
          <t>pagado</t>
        </is>
      </c>
      <c r="F5050" s="23" t="n">
        <v>46273</v>
      </c>
      <c r="G5050" s="24">
        <f>F5050-DATE(2026,8,31)</f>
        <v>8</v>
      </c>
      <c r="H5050" s="25" t="n">
        <v>114212359</v>
      </c>
      <c r="I5050" t="inlineStr">
        <is>
          <t>entidad-dia</t>
        </is>
      </c>
    </row>
    <row r="5051">
      <c r="A5051" t="inlineStr">
        <is>
          <t>PRAGMA</t>
        </is>
      </c>
      <c r="B5051" t="inlineStr">
        <is>
          <t>M1</t>
        </is>
      </c>
      <c r="C5051" t="inlineStr">
        <is>
          <t>Pasto</t>
        </is>
      </c>
      <c r="D5051" t="inlineStr">
        <is>
          <t>8305</t>
        </is>
      </c>
      <c r="E5051" t="inlineStr">
        <is>
          <t>pagado</t>
        </is>
      </c>
      <c r="F5051" s="23" t="n">
        <v>46274</v>
      </c>
      <c r="G5051" s="24">
        <f>F5051-DATE(2026,8,31)</f>
        <v>9</v>
      </c>
      <c r="H5051" s="25" t="n">
        <v>105805002</v>
      </c>
      <c r="I5051" t="inlineStr">
        <is>
          <t>entidad-dia</t>
        </is>
      </c>
    </row>
    <row r="5052">
      <c r="A5052" t="inlineStr">
        <is>
          <t>PRAGMA</t>
        </is>
      </c>
      <c r="B5052" t="inlineStr">
        <is>
          <t>M1</t>
        </is>
      </c>
      <c r="C5052" t="inlineStr">
        <is>
          <t>Pasto</t>
        </is>
      </c>
      <c r="D5052" t="inlineStr">
        <is>
          <t>8305</t>
        </is>
      </c>
      <c r="E5052" t="inlineStr">
        <is>
          <t>pagado</t>
        </is>
      </c>
      <c r="F5052" s="23" t="n">
        <v>46275</v>
      </c>
      <c r="G5052" s="24">
        <f>F5052-DATE(2026,8,31)</f>
        <v>10</v>
      </c>
      <c r="H5052" s="25" t="n">
        <v>95262663</v>
      </c>
      <c r="I5052" t="inlineStr">
        <is>
          <t>entidad-dia</t>
        </is>
      </c>
    </row>
    <row r="5053">
      <c r="A5053" t="inlineStr">
        <is>
          <t>PRAGMA</t>
        </is>
      </c>
      <c r="B5053" t="inlineStr">
        <is>
          <t>M1</t>
        </is>
      </c>
      <c r="C5053" t="inlineStr">
        <is>
          <t>Pasto</t>
        </is>
      </c>
      <c r="D5053" t="inlineStr">
        <is>
          <t>8305</t>
        </is>
      </c>
      <c r="E5053" t="inlineStr">
        <is>
          <t>pagado</t>
        </is>
      </c>
      <c r="F5053" s="23" t="n">
        <v>46276</v>
      </c>
      <c r="G5053" s="24">
        <f>F5053-DATE(2026,8,31)</f>
        <v>11</v>
      </c>
      <c r="H5053" s="25" t="n">
        <v>110761618</v>
      </c>
      <c r="I5053" t="inlineStr">
        <is>
          <t>entidad-dia</t>
        </is>
      </c>
    </row>
    <row r="5054">
      <c r="A5054" t="inlineStr">
        <is>
          <t>PRAGMA</t>
        </is>
      </c>
      <c r="B5054" t="inlineStr">
        <is>
          <t>M1</t>
        </is>
      </c>
      <c r="C5054" t="inlineStr">
        <is>
          <t>Pasto</t>
        </is>
      </c>
      <c r="D5054" t="inlineStr">
        <is>
          <t>8305</t>
        </is>
      </c>
      <c r="E5054" t="inlineStr">
        <is>
          <t>pagado</t>
        </is>
      </c>
      <c r="F5054" s="23" t="n">
        <v>46277</v>
      </c>
      <c r="G5054" s="24">
        <f>F5054-DATE(2026,8,31)</f>
        <v>12</v>
      </c>
      <c r="H5054" s="25" t="n">
        <v>110738170</v>
      </c>
      <c r="I5054" t="inlineStr">
        <is>
          <t>entidad-dia</t>
        </is>
      </c>
    </row>
    <row r="5055">
      <c r="A5055" t="inlineStr">
        <is>
          <t>PRAGMA</t>
        </is>
      </c>
      <c r="B5055" t="inlineStr">
        <is>
          <t>M1</t>
        </is>
      </c>
      <c r="C5055" t="inlineStr">
        <is>
          <t>Pasto</t>
        </is>
      </c>
      <c r="D5055" t="inlineStr">
        <is>
          <t>8305</t>
        </is>
      </c>
      <c r="E5055" t="inlineStr">
        <is>
          <t>pagado</t>
        </is>
      </c>
      <c r="F5055" s="23" t="n">
        <v>46278</v>
      </c>
      <c r="G5055" s="24">
        <f>F5055-DATE(2026,8,31)</f>
        <v>13</v>
      </c>
      <c r="H5055" s="25" t="n">
        <v>83784232</v>
      </c>
      <c r="I5055" t="inlineStr">
        <is>
          <t>entidad-dia</t>
        </is>
      </c>
    </row>
    <row r="5056">
      <c r="A5056" t="inlineStr">
        <is>
          <t>PRAGMA</t>
        </is>
      </c>
      <c r="B5056" t="inlineStr">
        <is>
          <t>M1</t>
        </is>
      </c>
      <c r="C5056" t="inlineStr">
        <is>
          <t>Pasto</t>
        </is>
      </c>
      <c r="D5056" t="inlineStr">
        <is>
          <t>8305</t>
        </is>
      </c>
      <c r="E5056" t="inlineStr">
        <is>
          <t>pagado</t>
        </is>
      </c>
      <c r="F5056" s="23" t="n">
        <v>46279</v>
      </c>
      <c r="G5056" s="24">
        <f>F5056-DATE(2026,8,31)</f>
        <v>14</v>
      </c>
      <c r="H5056" s="25" t="n">
        <v>99265853</v>
      </c>
      <c r="I5056" t="inlineStr">
        <is>
          <t>entidad-dia</t>
        </is>
      </c>
    </row>
    <row r="5057">
      <c r="A5057" t="inlineStr">
        <is>
          <t>PRAGMA</t>
        </is>
      </c>
      <c r="B5057" t="inlineStr">
        <is>
          <t>M1</t>
        </is>
      </c>
      <c r="C5057" t="inlineStr">
        <is>
          <t>Pasto</t>
        </is>
      </c>
      <c r="D5057" t="inlineStr">
        <is>
          <t>8305</t>
        </is>
      </c>
      <c r="E5057" t="inlineStr">
        <is>
          <t>pagado</t>
        </is>
      </c>
      <c r="F5057" s="23" t="n">
        <v>46280</v>
      </c>
      <c r="G5057" s="24">
        <f>F5057-DATE(2026,8,31)</f>
        <v>15</v>
      </c>
      <c r="H5057" s="25" t="n">
        <v>127130721</v>
      </c>
      <c r="I5057" t="inlineStr">
        <is>
          <t>entidad-dia</t>
        </is>
      </c>
    </row>
    <row r="5058">
      <c r="A5058" t="inlineStr">
        <is>
          <t>PRAGMA</t>
        </is>
      </c>
      <c r="B5058" t="inlineStr">
        <is>
          <t>M1</t>
        </is>
      </c>
      <c r="C5058" t="inlineStr">
        <is>
          <t>Pasto</t>
        </is>
      </c>
      <c r="D5058" t="inlineStr">
        <is>
          <t>8306</t>
        </is>
      </c>
      <c r="E5058" t="inlineStr">
        <is>
          <t>pagado</t>
        </is>
      </c>
      <c r="F5058" s="23" t="n">
        <v>46266</v>
      </c>
      <c r="G5058" s="24">
        <f>F5058-DATE(2026,8,31)</f>
        <v>1</v>
      </c>
      <c r="H5058" s="25" t="n">
        <v>153088735</v>
      </c>
      <c r="I5058" t="inlineStr">
        <is>
          <t>entidad-dia</t>
        </is>
      </c>
    </row>
    <row r="5059">
      <c r="A5059" t="inlineStr">
        <is>
          <t>PRAGMA</t>
        </is>
      </c>
      <c r="B5059" t="inlineStr">
        <is>
          <t>M1</t>
        </is>
      </c>
      <c r="C5059" t="inlineStr">
        <is>
          <t>Pasto</t>
        </is>
      </c>
      <c r="D5059" t="inlineStr">
        <is>
          <t>8306</t>
        </is>
      </c>
      <c r="E5059" t="inlineStr">
        <is>
          <t>pagado</t>
        </is>
      </c>
      <c r="F5059" s="23" t="n">
        <v>46267</v>
      </c>
      <c r="G5059" s="24">
        <f>F5059-DATE(2026,8,31)</f>
        <v>2</v>
      </c>
      <c r="H5059" s="25" t="n">
        <v>120617035</v>
      </c>
      <c r="I5059" t="inlineStr">
        <is>
          <t>entidad-dia</t>
        </is>
      </c>
    </row>
    <row r="5060">
      <c r="A5060" t="inlineStr">
        <is>
          <t>PRAGMA</t>
        </is>
      </c>
      <c r="B5060" t="inlineStr">
        <is>
          <t>M1</t>
        </is>
      </c>
      <c r="C5060" t="inlineStr">
        <is>
          <t>Pasto</t>
        </is>
      </c>
      <c r="D5060" t="inlineStr">
        <is>
          <t>8306</t>
        </is>
      </c>
      <c r="E5060" t="inlineStr">
        <is>
          <t>pagado</t>
        </is>
      </c>
      <c r="F5060" s="23" t="n">
        <v>46268</v>
      </c>
      <c r="G5060" s="24">
        <f>F5060-DATE(2026,8,31)</f>
        <v>3</v>
      </c>
      <c r="H5060" s="25" t="n">
        <v>105120175</v>
      </c>
      <c r="I5060" t="inlineStr">
        <is>
          <t>entidad-dia</t>
        </is>
      </c>
    </row>
    <row r="5061">
      <c r="A5061" t="inlineStr">
        <is>
          <t>PRAGMA</t>
        </is>
      </c>
      <c r="B5061" t="inlineStr">
        <is>
          <t>M1</t>
        </is>
      </c>
      <c r="C5061" t="inlineStr">
        <is>
          <t>Pasto</t>
        </is>
      </c>
      <c r="D5061" t="inlineStr">
        <is>
          <t>8306</t>
        </is>
      </c>
      <c r="E5061" t="inlineStr">
        <is>
          <t>pagado</t>
        </is>
      </c>
      <c r="F5061" s="23" t="n">
        <v>46269</v>
      </c>
      <c r="G5061" s="24">
        <f>F5061-DATE(2026,8,31)</f>
        <v>4</v>
      </c>
      <c r="H5061" s="25" t="n">
        <v>112036141</v>
      </c>
      <c r="I5061" t="inlineStr">
        <is>
          <t>entidad-dia</t>
        </is>
      </c>
    </row>
    <row r="5062">
      <c r="A5062" t="inlineStr">
        <is>
          <t>PRAGMA</t>
        </is>
      </c>
      <c r="B5062" t="inlineStr">
        <is>
          <t>M1</t>
        </is>
      </c>
      <c r="C5062" t="inlineStr">
        <is>
          <t>Pasto</t>
        </is>
      </c>
      <c r="D5062" t="inlineStr">
        <is>
          <t>8306</t>
        </is>
      </c>
      <c r="E5062" t="inlineStr">
        <is>
          <t>pagado</t>
        </is>
      </c>
      <c r="F5062" s="23" t="n">
        <v>46270</v>
      </c>
      <c r="G5062" s="24">
        <f>F5062-DATE(2026,8,31)</f>
        <v>5</v>
      </c>
      <c r="H5062" s="25" t="n">
        <v>120345443</v>
      </c>
      <c r="I5062" t="inlineStr">
        <is>
          <t>entidad-dia</t>
        </is>
      </c>
    </row>
    <row r="5063">
      <c r="A5063" t="inlineStr">
        <is>
          <t>PRAGMA</t>
        </is>
      </c>
      <c r="B5063" t="inlineStr">
        <is>
          <t>M1</t>
        </is>
      </c>
      <c r="C5063" t="inlineStr">
        <is>
          <t>Pasto</t>
        </is>
      </c>
      <c r="D5063" t="inlineStr">
        <is>
          <t>8306</t>
        </is>
      </c>
      <c r="E5063" t="inlineStr">
        <is>
          <t>pagado</t>
        </is>
      </c>
      <c r="F5063" s="23" t="n">
        <v>46271</v>
      </c>
      <c r="G5063" s="24">
        <f>F5063-DATE(2026,8,31)</f>
        <v>6</v>
      </c>
      <c r="H5063" s="25" t="n">
        <v>85673296</v>
      </c>
      <c r="I5063" t="inlineStr">
        <is>
          <t>entidad-dia</t>
        </is>
      </c>
    </row>
    <row r="5064">
      <c r="A5064" t="inlineStr">
        <is>
          <t>PRAGMA</t>
        </is>
      </c>
      <c r="B5064" t="inlineStr">
        <is>
          <t>M1</t>
        </is>
      </c>
      <c r="C5064" t="inlineStr">
        <is>
          <t>Pasto</t>
        </is>
      </c>
      <c r="D5064" t="inlineStr">
        <is>
          <t>8306</t>
        </is>
      </c>
      <c r="E5064" t="inlineStr">
        <is>
          <t>pagado</t>
        </is>
      </c>
      <c r="F5064" s="23" t="n">
        <v>46272</v>
      </c>
      <c r="G5064" s="24">
        <f>F5064-DATE(2026,8,31)</f>
        <v>7</v>
      </c>
      <c r="H5064" s="25" t="n">
        <v>90029444</v>
      </c>
      <c r="I5064" t="inlineStr">
        <is>
          <t>entidad-dia</t>
        </is>
      </c>
    </row>
    <row r="5065">
      <c r="A5065" t="inlineStr">
        <is>
          <t>PRAGMA</t>
        </is>
      </c>
      <c r="B5065" t="inlineStr">
        <is>
          <t>M1</t>
        </is>
      </c>
      <c r="C5065" t="inlineStr">
        <is>
          <t>Pasto</t>
        </is>
      </c>
      <c r="D5065" t="inlineStr">
        <is>
          <t>8306</t>
        </is>
      </c>
      <c r="E5065" t="inlineStr">
        <is>
          <t>pagado</t>
        </is>
      </c>
      <c r="F5065" s="23" t="n">
        <v>46273</v>
      </c>
      <c r="G5065" s="24">
        <f>F5065-DATE(2026,8,31)</f>
        <v>8</v>
      </c>
      <c r="H5065" s="25" t="n">
        <v>84922869</v>
      </c>
      <c r="I5065" t="inlineStr">
        <is>
          <t>entidad-dia</t>
        </is>
      </c>
    </row>
    <row r="5066">
      <c r="A5066" t="inlineStr">
        <is>
          <t>PRAGMA</t>
        </is>
      </c>
      <c r="B5066" t="inlineStr">
        <is>
          <t>M1</t>
        </is>
      </c>
      <c r="C5066" t="inlineStr">
        <is>
          <t>Pasto</t>
        </is>
      </c>
      <c r="D5066" t="inlineStr">
        <is>
          <t>8306</t>
        </is>
      </c>
      <c r="E5066" t="inlineStr">
        <is>
          <t>pagado</t>
        </is>
      </c>
      <c r="F5066" s="23" t="n">
        <v>46274</v>
      </c>
      <c r="G5066" s="24">
        <f>F5066-DATE(2026,8,31)</f>
        <v>9</v>
      </c>
      <c r="H5066" s="25" t="n">
        <v>85252439</v>
      </c>
      <c r="I5066" t="inlineStr">
        <is>
          <t>entidad-dia</t>
        </is>
      </c>
    </row>
    <row r="5067">
      <c r="A5067" t="inlineStr">
        <is>
          <t>PRAGMA</t>
        </is>
      </c>
      <c r="B5067" t="inlineStr">
        <is>
          <t>M1</t>
        </is>
      </c>
      <c r="C5067" t="inlineStr">
        <is>
          <t>Pasto</t>
        </is>
      </c>
      <c r="D5067" t="inlineStr">
        <is>
          <t>8306</t>
        </is>
      </c>
      <c r="E5067" t="inlineStr">
        <is>
          <t>pagado</t>
        </is>
      </c>
      <c r="F5067" s="23" t="n">
        <v>46275</v>
      </c>
      <c r="G5067" s="24">
        <f>F5067-DATE(2026,8,31)</f>
        <v>10</v>
      </c>
      <c r="H5067" s="25" t="n">
        <v>73220725</v>
      </c>
      <c r="I5067" t="inlineStr">
        <is>
          <t>entidad-dia</t>
        </is>
      </c>
    </row>
    <row r="5068">
      <c r="A5068" t="inlineStr">
        <is>
          <t>PRAGMA</t>
        </is>
      </c>
      <c r="B5068" t="inlineStr">
        <is>
          <t>M1</t>
        </is>
      </c>
      <c r="C5068" t="inlineStr">
        <is>
          <t>Pasto</t>
        </is>
      </c>
      <c r="D5068" t="inlineStr">
        <is>
          <t>8306</t>
        </is>
      </c>
      <c r="E5068" t="inlineStr">
        <is>
          <t>pagado</t>
        </is>
      </c>
      <c r="F5068" s="23" t="n">
        <v>46276</v>
      </c>
      <c r="G5068" s="24">
        <f>F5068-DATE(2026,8,31)</f>
        <v>11</v>
      </c>
      <c r="H5068" s="25" t="n">
        <v>88603674</v>
      </c>
      <c r="I5068" t="inlineStr">
        <is>
          <t>entidad-dia</t>
        </is>
      </c>
    </row>
    <row r="5069">
      <c r="A5069" t="inlineStr">
        <is>
          <t>PRAGMA</t>
        </is>
      </c>
      <c r="B5069" t="inlineStr">
        <is>
          <t>M1</t>
        </is>
      </c>
      <c r="C5069" t="inlineStr">
        <is>
          <t>Pasto</t>
        </is>
      </c>
      <c r="D5069" t="inlineStr">
        <is>
          <t>8306</t>
        </is>
      </c>
      <c r="E5069" t="inlineStr">
        <is>
          <t>pagado</t>
        </is>
      </c>
      <c r="F5069" s="23" t="n">
        <v>46277</v>
      </c>
      <c r="G5069" s="24">
        <f>F5069-DATE(2026,8,31)</f>
        <v>12</v>
      </c>
      <c r="H5069" s="25" t="n">
        <v>86937148</v>
      </c>
      <c r="I5069" t="inlineStr">
        <is>
          <t>entidad-dia</t>
        </is>
      </c>
    </row>
    <row r="5070">
      <c r="A5070" t="inlineStr">
        <is>
          <t>PRAGMA</t>
        </is>
      </c>
      <c r="B5070" t="inlineStr">
        <is>
          <t>M1</t>
        </is>
      </c>
      <c r="C5070" t="inlineStr">
        <is>
          <t>Pasto</t>
        </is>
      </c>
      <c r="D5070" t="inlineStr">
        <is>
          <t>8306</t>
        </is>
      </c>
      <c r="E5070" t="inlineStr">
        <is>
          <t>pagado</t>
        </is>
      </c>
      <c r="F5070" s="23" t="n">
        <v>46278</v>
      </c>
      <c r="G5070" s="24">
        <f>F5070-DATE(2026,8,31)</f>
        <v>13</v>
      </c>
      <c r="H5070" s="25" t="n">
        <v>64418468</v>
      </c>
      <c r="I5070" t="inlineStr">
        <is>
          <t>entidad-dia</t>
        </is>
      </c>
    </row>
    <row r="5071">
      <c r="A5071" t="inlineStr">
        <is>
          <t>PRAGMA</t>
        </is>
      </c>
      <c r="B5071" t="inlineStr">
        <is>
          <t>M1</t>
        </is>
      </c>
      <c r="C5071" t="inlineStr">
        <is>
          <t>Pasto</t>
        </is>
      </c>
      <c r="D5071" t="inlineStr">
        <is>
          <t>8306</t>
        </is>
      </c>
      <c r="E5071" t="inlineStr">
        <is>
          <t>pagado</t>
        </is>
      </c>
      <c r="F5071" s="23" t="n">
        <v>46279</v>
      </c>
      <c r="G5071" s="24">
        <f>F5071-DATE(2026,8,31)</f>
        <v>14</v>
      </c>
      <c r="H5071" s="25" t="n">
        <v>75795443</v>
      </c>
      <c r="I5071" t="inlineStr">
        <is>
          <t>entidad-dia</t>
        </is>
      </c>
    </row>
    <row r="5072">
      <c r="A5072" t="inlineStr">
        <is>
          <t>PRAGMA</t>
        </is>
      </c>
      <c r="B5072" t="inlineStr">
        <is>
          <t>M1</t>
        </is>
      </c>
      <c r="C5072" t="inlineStr">
        <is>
          <t>Pasto</t>
        </is>
      </c>
      <c r="D5072" t="inlineStr">
        <is>
          <t>8306</t>
        </is>
      </c>
      <c r="E5072" t="inlineStr">
        <is>
          <t>pagado</t>
        </is>
      </c>
      <c r="F5072" s="23" t="n">
        <v>46280</v>
      </c>
      <c r="G5072" s="24">
        <f>F5072-DATE(2026,8,31)</f>
        <v>15</v>
      </c>
      <c r="H5072" s="25" t="n">
        <v>93821678</v>
      </c>
      <c r="I5072" t="inlineStr">
        <is>
          <t>entidad-dia</t>
        </is>
      </c>
    </row>
    <row r="5073">
      <c r="A5073" t="inlineStr">
        <is>
          <t>PRAGMA</t>
        </is>
      </c>
      <c r="B5073" t="inlineStr">
        <is>
          <t>M1</t>
        </is>
      </c>
      <c r="C5073" t="inlineStr">
        <is>
          <t>Pasto</t>
        </is>
      </c>
      <c r="D5073" t="inlineStr">
        <is>
          <t>8307</t>
        </is>
      </c>
      <c r="E5073" t="inlineStr">
        <is>
          <t>pagado</t>
        </is>
      </c>
      <c r="F5073" s="23" t="n">
        <v>46266</v>
      </c>
      <c r="G5073" s="24">
        <f>F5073-DATE(2026,8,31)</f>
        <v>1</v>
      </c>
      <c r="H5073" s="25" t="n">
        <v>168885287</v>
      </c>
      <c r="I5073" t="inlineStr">
        <is>
          <t>entidad-dia</t>
        </is>
      </c>
    </row>
    <row r="5074">
      <c r="A5074" t="inlineStr">
        <is>
          <t>PRAGMA</t>
        </is>
      </c>
      <c r="B5074" t="inlineStr">
        <is>
          <t>M1</t>
        </is>
      </c>
      <c r="C5074" t="inlineStr">
        <is>
          <t>Pasto</t>
        </is>
      </c>
      <c r="D5074" t="inlineStr">
        <is>
          <t>8307</t>
        </is>
      </c>
      <c r="E5074" t="inlineStr">
        <is>
          <t>pagado</t>
        </is>
      </c>
      <c r="F5074" s="23" t="n">
        <v>46267</v>
      </c>
      <c r="G5074" s="24">
        <f>F5074-DATE(2026,8,31)</f>
        <v>2</v>
      </c>
      <c r="H5074" s="25" t="n">
        <v>122913134</v>
      </c>
      <c r="I5074" t="inlineStr">
        <is>
          <t>entidad-dia</t>
        </is>
      </c>
    </row>
    <row r="5075">
      <c r="A5075" t="inlineStr">
        <is>
          <t>PRAGMA</t>
        </is>
      </c>
      <c r="B5075" t="inlineStr">
        <is>
          <t>M1</t>
        </is>
      </c>
      <c r="C5075" t="inlineStr">
        <is>
          <t>Pasto</t>
        </is>
      </c>
      <c r="D5075" t="inlineStr">
        <is>
          <t>8307</t>
        </is>
      </c>
      <c r="E5075" t="inlineStr">
        <is>
          <t>pagado</t>
        </is>
      </c>
      <c r="F5075" s="23" t="n">
        <v>46268</v>
      </c>
      <c r="G5075" s="24">
        <f>F5075-DATE(2026,8,31)</f>
        <v>3</v>
      </c>
      <c r="H5075" s="25" t="n">
        <v>103802893</v>
      </c>
      <c r="I5075" t="inlineStr">
        <is>
          <t>entidad-dia</t>
        </is>
      </c>
    </row>
    <row r="5076">
      <c r="A5076" t="inlineStr">
        <is>
          <t>PRAGMA</t>
        </is>
      </c>
      <c r="B5076" t="inlineStr">
        <is>
          <t>M1</t>
        </is>
      </c>
      <c r="C5076" t="inlineStr">
        <is>
          <t>Pasto</t>
        </is>
      </c>
      <c r="D5076" t="inlineStr">
        <is>
          <t>8307</t>
        </is>
      </c>
      <c r="E5076" t="inlineStr">
        <is>
          <t>pagado</t>
        </is>
      </c>
      <c r="F5076" s="23" t="n">
        <v>46269</v>
      </c>
      <c r="G5076" s="24">
        <f>F5076-DATE(2026,8,31)</f>
        <v>4</v>
      </c>
      <c r="H5076" s="25" t="n">
        <v>124500602</v>
      </c>
      <c r="I5076" t="inlineStr">
        <is>
          <t>entidad-dia</t>
        </is>
      </c>
    </row>
    <row r="5077">
      <c r="A5077" t="inlineStr">
        <is>
          <t>PRAGMA</t>
        </is>
      </c>
      <c r="B5077" t="inlineStr">
        <is>
          <t>M1</t>
        </is>
      </c>
      <c r="C5077" t="inlineStr">
        <is>
          <t>Pasto</t>
        </is>
      </c>
      <c r="D5077" t="inlineStr">
        <is>
          <t>8307</t>
        </is>
      </c>
      <c r="E5077" t="inlineStr">
        <is>
          <t>pagado</t>
        </is>
      </c>
      <c r="F5077" s="23" t="n">
        <v>46270</v>
      </c>
      <c r="G5077" s="24">
        <f>F5077-DATE(2026,8,31)</f>
        <v>5</v>
      </c>
      <c r="H5077" s="25" t="n">
        <v>126865501</v>
      </c>
      <c r="I5077" t="inlineStr">
        <is>
          <t>entidad-dia</t>
        </is>
      </c>
    </row>
    <row r="5078">
      <c r="A5078" t="inlineStr">
        <is>
          <t>PRAGMA</t>
        </is>
      </c>
      <c r="B5078" t="inlineStr">
        <is>
          <t>M1</t>
        </is>
      </c>
      <c r="C5078" t="inlineStr">
        <is>
          <t>Pasto</t>
        </is>
      </c>
      <c r="D5078" t="inlineStr">
        <is>
          <t>8307</t>
        </is>
      </c>
      <c r="E5078" t="inlineStr">
        <is>
          <t>pagado</t>
        </is>
      </c>
      <c r="F5078" s="23" t="n">
        <v>46271</v>
      </c>
      <c r="G5078" s="24">
        <f>F5078-DATE(2026,8,31)</f>
        <v>6</v>
      </c>
      <c r="H5078" s="25" t="n">
        <v>87757583</v>
      </c>
      <c r="I5078" t="inlineStr">
        <is>
          <t>entidad-dia</t>
        </is>
      </c>
    </row>
    <row r="5079">
      <c r="A5079" t="inlineStr">
        <is>
          <t>PRAGMA</t>
        </is>
      </c>
      <c r="B5079" t="inlineStr">
        <is>
          <t>M1</t>
        </is>
      </c>
      <c r="C5079" t="inlineStr">
        <is>
          <t>Pasto</t>
        </is>
      </c>
      <c r="D5079" t="inlineStr">
        <is>
          <t>8307</t>
        </is>
      </c>
      <c r="E5079" t="inlineStr">
        <is>
          <t>pagado</t>
        </is>
      </c>
      <c r="F5079" s="23" t="n">
        <v>46272</v>
      </c>
      <c r="G5079" s="24">
        <f>F5079-DATE(2026,8,31)</f>
        <v>7</v>
      </c>
      <c r="H5079" s="25" t="n">
        <v>103355144</v>
      </c>
      <c r="I5079" t="inlineStr">
        <is>
          <t>entidad-dia</t>
        </is>
      </c>
    </row>
    <row r="5080">
      <c r="A5080" t="inlineStr">
        <is>
          <t>PRAGMA</t>
        </is>
      </c>
      <c r="B5080" t="inlineStr">
        <is>
          <t>M1</t>
        </is>
      </c>
      <c r="C5080" t="inlineStr">
        <is>
          <t>Pasto</t>
        </is>
      </c>
      <c r="D5080" t="inlineStr">
        <is>
          <t>8307</t>
        </is>
      </c>
      <c r="E5080" t="inlineStr">
        <is>
          <t>pagado</t>
        </is>
      </c>
      <c r="F5080" s="23" t="n">
        <v>46273</v>
      </c>
      <c r="G5080" s="24">
        <f>F5080-DATE(2026,8,31)</f>
        <v>8</v>
      </c>
      <c r="H5080" s="25" t="n">
        <v>88197665</v>
      </c>
      <c r="I5080" t="inlineStr">
        <is>
          <t>entidad-dia</t>
        </is>
      </c>
    </row>
    <row r="5081">
      <c r="A5081" t="inlineStr">
        <is>
          <t>PRAGMA</t>
        </is>
      </c>
      <c r="B5081" t="inlineStr">
        <is>
          <t>M1</t>
        </is>
      </c>
      <c r="C5081" t="inlineStr">
        <is>
          <t>Pasto</t>
        </is>
      </c>
      <c r="D5081" t="inlineStr">
        <is>
          <t>8307</t>
        </is>
      </c>
      <c r="E5081" t="inlineStr">
        <is>
          <t>pagado</t>
        </is>
      </c>
      <c r="F5081" s="23" t="n">
        <v>46274</v>
      </c>
      <c r="G5081" s="24">
        <f>F5081-DATE(2026,8,31)</f>
        <v>9</v>
      </c>
      <c r="H5081" s="25" t="n">
        <v>79756053</v>
      </c>
      <c r="I5081" t="inlineStr">
        <is>
          <t>entidad-dia</t>
        </is>
      </c>
    </row>
    <row r="5082">
      <c r="A5082" t="inlineStr">
        <is>
          <t>PRAGMA</t>
        </is>
      </c>
      <c r="B5082" t="inlineStr">
        <is>
          <t>M1</t>
        </is>
      </c>
      <c r="C5082" t="inlineStr">
        <is>
          <t>Pasto</t>
        </is>
      </c>
      <c r="D5082" t="inlineStr">
        <is>
          <t>8307</t>
        </is>
      </c>
      <c r="E5082" t="inlineStr">
        <is>
          <t>pagado</t>
        </is>
      </c>
      <c r="F5082" s="23" t="n">
        <v>46275</v>
      </c>
      <c r="G5082" s="24">
        <f>F5082-DATE(2026,8,31)</f>
        <v>10</v>
      </c>
      <c r="H5082" s="25" t="n">
        <v>71822248</v>
      </c>
      <c r="I5082" t="inlineStr">
        <is>
          <t>entidad-dia</t>
        </is>
      </c>
    </row>
    <row r="5083">
      <c r="A5083" t="inlineStr">
        <is>
          <t>PRAGMA</t>
        </is>
      </c>
      <c r="B5083" t="inlineStr">
        <is>
          <t>M1</t>
        </is>
      </c>
      <c r="C5083" t="inlineStr">
        <is>
          <t>Pasto</t>
        </is>
      </c>
      <c r="D5083" t="inlineStr">
        <is>
          <t>8307</t>
        </is>
      </c>
      <c r="E5083" t="inlineStr">
        <is>
          <t>pagado</t>
        </is>
      </c>
      <c r="F5083" s="23" t="n">
        <v>46276</v>
      </c>
      <c r="G5083" s="24">
        <f>F5083-DATE(2026,8,31)</f>
        <v>11</v>
      </c>
      <c r="H5083" s="25" t="n">
        <v>98213769</v>
      </c>
      <c r="I5083" t="inlineStr">
        <is>
          <t>entidad-dia</t>
        </is>
      </c>
    </row>
    <row r="5084">
      <c r="A5084" t="inlineStr">
        <is>
          <t>PRAGMA</t>
        </is>
      </c>
      <c r="B5084" t="inlineStr">
        <is>
          <t>M1</t>
        </is>
      </c>
      <c r="C5084" t="inlineStr">
        <is>
          <t>Pasto</t>
        </is>
      </c>
      <c r="D5084" t="inlineStr">
        <is>
          <t>8307</t>
        </is>
      </c>
      <c r="E5084" t="inlineStr">
        <is>
          <t>pagado</t>
        </is>
      </c>
      <c r="F5084" s="23" t="n">
        <v>46277</v>
      </c>
      <c r="G5084" s="24">
        <f>F5084-DATE(2026,8,31)</f>
        <v>12</v>
      </c>
      <c r="H5084" s="25" t="n">
        <v>92491164</v>
      </c>
      <c r="I5084" t="inlineStr">
        <is>
          <t>entidad-dia</t>
        </is>
      </c>
    </row>
    <row r="5085">
      <c r="A5085" t="inlineStr">
        <is>
          <t>PRAGMA</t>
        </is>
      </c>
      <c r="B5085" t="inlineStr">
        <is>
          <t>M1</t>
        </is>
      </c>
      <c r="C5085" t="inlineStr">
        <is>
          <t>Pasto</t>
        </is>
      </c>
      <c r="D5085" t="inlineStr">
        <is>
          <t>8307</t>
        </is>
      </c>
      <c r="E5085" t="inlineStr">
        <is>
          <t>pagado</t>
        </is>
      </c>
      <c r="F5085" s="23" t="n">
        <v>46278</v>
      </c>
      <c r="G5085" s="24">
        <f>F5085-DATE(2026,8,31)</f>
        <v>13</v>
      </c>
      <c r="H5085" s="25" t="n">
        <v>67080756</v>
      </c>
      <c r="I5085" t="inlineStr">
        <is>
          <t>entidad-dia</t>
        </is>
      </c>
    </row>
    <row r="5086">
      <c r="A5086" t="inlineStr">
        <is>
          <t>PRAGMA</t>
        </is>
      </c>
      <c r="B5086" t="inlineStr">
        <is>
          <t>M1</t>
        </is>
      </c>
      <c r="C5086" t="inlineStr">
        <is>
          <t>Pasto</t>
        </is>
      </c>
      <c r="D5086" t="inlineStr">
        <is>
          <t>8307</t>
        </is>
      </c>
      <c r="E5086" t="inlineStr">
        <is>
          <t>pagado</t>
        </is>
      </c>
      <c r="F5086" s="23" t="n">
        <v>46279</v>
      </c>
      <c r="G5086" s="24">
        <f>F5086-DATE(2026,8,31)</f>
        <v>14</v>
      </c>
      <c r="H5086" s="25" t="n">
        <v>81352016</v>
      </c>
      <c r="I5086" t="inlineStr">
        <is>
          <t>entidad-dia</t>
        </is>
      </c>
    </row>
    <row r="5087">
      <c r="A5087" t="inlineStr">
        <is>
          <t>PRAGMA</t>
        </is>
      </c>
      <c r="B5087" t="inlineStr">
        <is>
          <t>M1</t>
        </is>
      </c>
      <c r="C5087" t="inlineStr">
        <is>
          <t>Pasto</t>
        </is>
      </c>
      <c r="D5087" t="inlineStr">
        <is>
          <t>8307</t>
        </is>
      </c>
      <c r="E5087" t="inlineStr">
        <is>
          <t>pagado</t>
        </is>
      </c>
      <c r="F5087" s="23" t="n">
        <v>46280</v>
      </c>
      <c r="G5087" s="24">
        <f>F5087-DATE(2026,8,31)</f>
        <v>15</v>
      </c>
      <c r="H5087" s="25" t="n">
        <v>100596511</v>
      </c>
      <c r="I5087" t="inlineStr">
        <is>
          <t>entidad-dia</t>
        </is>
      </c>
    </row>
    <row r="5088">
      <c r="A5088" t="inlineStr">
        <is>
          <t>PRAGMA</t>
        </is>
      </c>
      <c r="B5088" t="inlineStr">
        <is>
          <t>M1</t>
        </is>
      </c>
      <c r="C5088" t="inlineStr">
        <is>
          <t>Cali</t>
        </is>
      </c>
      <c r="D5088" t="inlineStr">
        <is>
          <t>8383</t>
        </is>
      </c>
      <c r="E5088" t="inlineStr">
        <is>
          <t>pagado</t>
        </is>
      </c>
      <c r="F5088" s="23" t="n">
        <v>46266</v>
      </c>
      <c r="G5088" s="24">
        <f>F5088-DATE(2026,8,31)</f>
        <v>1</v>
      </c>
      <c r="H5088" s="25" t="n">
        <v>0</v>
      </c>
      <c r="I5088" t="inlineStr">
        <is>
          <t>entidad-dia</t>
        </is>
      </c>
    </row>
    <row r="5089">
      <c r="A5089" t="inlineStr">
        <is>
          <t>PRAGMA</t>
        </is>
      </c>
      <c r="B5089" t="inlineStr">
        <is>
          <t>M1</t>
        </is>
      </c>
      <c r="C5089" t="inlineStr">
        <is>
          <t>Cali</t>
        </is>
      </c>
      <c r="D5089" t="inlineStr">
        <is>
          <t>8383</t>
        </is>
      </c>
      <c r="E5089" t="inlineStr">
        <is>
          <t>pagado</t>
        </is>
      </c>
      <c r="F5089" s="23" t="n">
        <v>46267</v>
      </c>
      <c r="G5089" s="24">
        <f>F5089-DATE(2026,8,31)</f>
        <v>2</v>
      </c>
      <c r="H5089" s="25" t="n">
        <v>0</v>
      </c>
      <c r="I5089" t="inlineStr">
        <is>
          <t>entidad-dia</t>
        </is>
      </c>
    </row>
    <row r="5090">
      <c r="A5090" t="inlineStr">
        <is>
          <t>PRAGMA</t>
        </is>
      </c>
      <c r="B5090" t="inlineStr">
        <is>
          <t>M1</t>
        </is>
      </c>
      <c r="C5090" t="inlineStr">
        <is>
          <t>Cali</t>
        </is>
      </c>
      <c r="D5090" t="inlineStr">
        <is>
          <t>8383</t>
        </is>
      </c>
      <c r="E5090" t="inlineStr">
        <is>
          <t>pagado</t>
        </is>
      </c>
      <c r="F5090" s="23" t="n">
        <v>46268</v>
      </c>
      <c r="G5090" s="24">
        <f>F5090-DATE(2026,8,31)</f>
        <v>3</v>
      </c>
      <c r="H5090" s="25" t="n">
        <v>0</v>
      </c>
      <c r="I5090" t="inlineStr">
        <is>
          <t>entidad-dia</t>
        </is>
      </c>
    </row>
    <row r="5091">
      <c r="A5091" t="inlineStr">
        <is>
          <t>PRAGMA</t>
        </is>
      </c>
      <c r="B5091" t="inlineStr">
        <is>
          <t>M1</t>
        </is>
      </c>
      <c r="C5091" t="inlineStr">
        <is>
          <t>Cali</t>
        </is>
      </c>
      <c r="D5091" t="inlineStr">
        <is>
          <t>8383</t>
        </is>
      </c>
      <c r="E5091" t="inlineStr">
        <is>
          <t>pagado</t>
        </is>
      </c>
      <c r="F5091" s="23" t="n">
        <v>46269</v>
      </c>
      <c r="G5091" s="24">
        <f>F5091-DATE(2026,8,31)</f>
        <v>4</v>
      </c>
      <c r="H5091" s="25" t="n">
        <v>0</v>
      </c>
      <c r="I5091" t="inlineStr">
        <is>
          <t>entidad-dia</t>
        </is>
      </c>
    </row>
    <row r="5092">
      <c r="A5092" t="inlineStr">
        <is>
          <t>PRAGMA</t>
        </is>
      </c>
      <c r="B5092" t="inlineStr">
        <is>
          <t>M1</t>
        </is>
      </c>
      <c r="C5092" t="inlineStr">
        <is>
          <t>Cali</t>
        </is>
      </c>
      <c r="D5092" t="inlineStr">
        <is>
          <t>8383</t>
        </is>
      </c>
      <c r="E5092" t="inlineStr">
        <is>
          <t>pagado</t>
        </is>
      </c>
      <c r="F5092" s="23" t="n">
        <v>46270</v>
      </c>
      <c r="G5092" s="24">
        <f>F5092-DATE(2026,8,31)</f>
        <v>5</v>
      </c>
      <c r="H5092" s="25" t="n">
        <v>0</v>
      </c>
      <c r="I5092" t="inlineStr">
        <is>
          <t>entidad-dia</t>
        </is>
      </c>
    </row>
    <row r="5093">
      <c r="A5093" t="inlineStr">
        <is>
          <t>PRAGMA</t>
        </is>
      </c>
      <c r="B5093" t="inlineStr">
        <is>
          <t>M1</t>
        </is>
      </c>
      <c r="C5093" t="inlineStr">
        <is>
          <t>Cali</t>
        </is>
      </c>
      <c r="D5093" t="inlineStr">
        <is>
          <t>8383</t>
        </is>
      </c>
      <c r="E5093" t="inlineStr">
        <is>
          <t>pagado</t>
        </is>
      </c>
      <c r="F5093" s="23" t="n">
        <v>46271</v>
      </c>
      <c r="G5093" s="24">
        <f>F5093-DATE(2026,8,31)</f>
        <v>6</v>
      </c>
      <c r="H5093" s="25" t="n">
        <v>0</v>
      </c>
      <c r="I5093" t="inlineStr">
        <is>
          <t>entidad-dia</t>
        </is>
      </c>
    </row>
    <row r="5094">
      <c r="A5094" t="inlineStr">
        <is>
          <t>PRAGMA</t>
        </is>
      </c>
      <c r="B5094" t="inlineStr">
        <is>
          <t>M1</t>
        </is>
      </c>
      <c r="C5094" t="inlineStr">
        <is>
          <t>Cali</t>
        </is>
      </c>
      <c r="D5094" t="inlineStr">
        <is>
          <t>8383</t>
        </is>
      </c>
      <c r="E5094" t="inlineStr">
        <is>
          <t>pagado</t>
        </is>
      </c>
      <c r="F5094" s="23" t="n">
        <v>46272</v>
      </c>
      <c r="G5094" s="24">
        <f>F5094-DATE(2026,8,31)</f>
        <v>7</v>
      </c>
      <c r="H5094" s="25" t="n">
        <v>0</v>
      </c>
      <c r="I5094" t="inlineStr">
        <is>
          <t>entidad-dia</t>
        </is>
      </c>
    </row>
    <row r="5095">
      <c r="A5095" t="inlineStr">
        <is>
          <t>PRAGMA</t>
        </is>
      </c>
      <c r="B5095" t="inlineStr">
        <is>
          <t>M1</t>
        </is>
      </c>
      <c r="C5095" t="inlineStr">
        <is>
          <t>Cali</t>
        </is>
      </c>
      <c r="D5095" t="inlineStr">
        <is>
          <t>8383</t>
        </is>
      </c>
      <c r="E5095" t="inlineStr">
        <is>
          <t>pagado</t>
        </is>
      </c>
      <c r="F5095" s="23" t="n">
        <v>46273</v>
      </c>
      <c r="G5095" s="24">
        <f>F5095-DATE(2026,8,31)</f>
        <v>8</v>
      </c>
      <c r="H5095" s="25" t="n">
        <v>0</v>
      </c>
      <c r="I5095" t="inlineStr">
        <is>
          <t>entidad-dia</t>
        </is>
      </c>
    </row>
    <row r="5096">
      <c r="A5096" t="inlineStr">
        <is>
          <t>PRAGMA</t>
        </is>
      </c>
      <c r="B5096" t="inlineStr">
        <is>
          <t>M1</t>
        </is>
      </c>
      <c r="C5096" t="inlineStr">
        <is>
          <t>Cali</t>
        </is>
      </c>
      <c r="D5096" t="inlineStr">
        <is>
          <t>8383</t>
        </is>
      </c>
      <c r="E5096" t="inlineStr">
        <is>
          <t>pagado</t>
        </is>
      </c>
      <c r="F5096" s="23" t="n">
        <v>46274</v>
      </c>
      <c r="G5096" s="24">
        <f>F5096-DATE(2026,8,31)</f>
        <v>9</v>
      </c>
      <c r="H5096" s="25" t="n">
        <v>0</v>
      </c>
      <c r="I5096" t="inlineStr">
        <is>
          <t>entidad-dia</t>
        </is>
      </c>
    </row>
    <row r="5097">
      <c r="A5097" t="inlineStr">
        <is>
          <t>PRAGMA</t>
        </is>
      </c>
      <c r="B5097" t="inlineStr">
        <is>
          <t>M1</t>
        </is>
      </c>
      <c r="C5097" t="inlineStr">
        <is>
          <t>Cali</t>
        </is>
      </c>
      <c r="D5097" t="inlineStr">
        <is>
          <t>8383</t>
        </is>
      </c>
      <c r="E5097" t="inlineStr">
        <is>
          <t>pagado</t>
        </is>
      </c>
      <c r="F5097" s="23" t="n">
        <v>46275</v>
      </c>
      <c r="G5097" s="24">
        <f>F5097-DATE(2026,8,31)</f>
        <v>10</v>
      </c>
      <c r="H5097" s="25" t="n">
        <v>0</v>
      </c>
      <c r="I5097" t="inlineStr">
        <is>
          <t>entidad-dia</t>
        </is>
      </c>
    </row>
    <row r="5098">
      <c r="A5098" t="inlineStr">
        <is>
          <t>PRAGMA</t>
        </is>
      </c>
      <c r="B5098" t="inlineStr">
        <is>
          <t>M1</t>
        </is>
      </c>
      <c r="C5098" t="inlineStr">
        <is>
          <t>Cali</t>
        </is>
      </c>
      <c r="D5098" t="inlineStr">
        <is>
          <t>8383</t>
        </is>
      </c>
      <c r="E5098" t="inlineStr">
        <is>
          <t>pagado</t>
        </is>
      </c>
      <c r="F5098" s="23" t="n">
        <v>46276</v>
      </c>
      <c r="G5098" s="24">
        <f>F5098-DATE(2026,8,31)</f>
        <v>11</v>
      </c>
      <c r="H5098" s="25" t="n">
        <v>0</v>
      </c>
      <c r="I5098" t="inlineStr">
        <is>
          <t>entidad-dia</t>
        </is>
      </c>
    </row>
    <row r="5099">
      <c r="A5099" t="inlineStr">
        <is>
          <t>PRAGMA</t>
        </is>
      </c>
      <c r="B5099" t="inlineStr">
        <is>
          <t>M1</t>
        </is>
      </c>
      <c r="C5099" t="inlineStr">
        <is>
          <t>Cali</t>
        </is>
      </c>
      <c r="D5099" t="inlineStr">
        <is>
          <t>8383</t>
        </is>
      </c>
      <c r="E5099" t="inlineStr">
        <is>
          <t>pagado</t>
        </is>
      </c>
      <c r="F5099" s="23" t="n">
        <v>46277</v>
      </c>
      <c r="G5099" s="24">
        <f>F5099-DATE(2026,8,31)</f>
        <v>12</v>
      </c>
      <c r="H5099" s="25" t="n">
        <v>0</v>
      </c>
      <c r="I5099" t="inlineStr">
        <is>
          <t>entidad-dia</t>
        </is>
      </c>
    </row>
    <row r="5100">
      <c r="A5100" t="inlineStr">
        <is>
          <t>PRAGMA</t>
        </is>
      </c>
      <c r="B5100" t="inlineStr">
        <is>
          <t>M1</t>
        </is>
      </c>
      <c r="C5100" t="inlineStr">
        <is>
          <t>Cali</t>
        </is>
      </c>
      <c r="D5100" t="inlineStr">
        <is>
          <t>8383</t>
        </is>
      </c>
      <c r="E5100" t="inlineStr">
        <is>
          <t>pagado</t>
        </is>
      </c>
      <c r="F5100" s="23" t="n">
        <v>46278</v>
      </c>
      <c r="G5100" s="24">
        <f>F5100-DATE(2026,8,31)</f>
        <v>13</v>
      </c>
      <c r="H5100" s="25" t="n">
        <v>0</v>
      </c>
      <c r="I5100" t="inlineStr">
        <is>
          <t>entidad-dia</t>
        </is>
      </c>
    </row>
    <row r="5101">
      <c r="A5101" t="inlineStr">
        <is>
          <t>PRAGMA</t>
        </is>
      </c>
      <c r="B5101" t="inlineStr">
        <is>
          <t>M1</t>
        </is>
      </c>
      <c r="C5101" t="inlineStr">
        <is>
          <t>Cali</t>
        </is>
      </c>
      <c r="D5101" t="inlineStr">
        <is>
          <t>8383</t>
        </is>
      </c>
      <c r="E5101" t="inlineStr">
        <is>
          <t>pagado</t>
        </is>
      </c>
      <c r="F5101" s="23" t="n">
        <v>46279</v>
      </c>
      <c r="G5101" s="24">
        <f>F5101-DATE(2026,8,31)</f>
        <v>14</v>
      </c>
      <c r="H5101" s="25" t="n">
        <v>0</v>
      </c>
      <c r="I5101" t="inlineStr">
        <is>
          <t>entidad-dia</t>
        </is>
      </c>
    </row>
    <row r="5102">
      <c r="A5102" t="inlineStr">
        <is>
          <t>PRAGMA</t>
        </is>
      </c>
      <c r="B5102" t="inlineStr">
        <is>
          <t>M1</t>
        </is>
      </c>
      <c r="C5102" t="inlineStr">
        <is>
          <t>Cali</t>
        </is>
      </c>
      <c r="D5102" t="inlineStr">
        <is>
          <t>8383</t>
        </is>
      </c>
      <c r="E5102" t="inlineStr">
        <is>
          <t>pagado</t>
        </is>
      </c>
      <c r="F5102" s="23" t="n">
        <v>46280</v>
      </c>
      <c r="G5102" s="24">
        <f>F5102-DATE(2026,8,31)</f>
        <v>15</v>
      </c>
      <c r="H5102" s="25" t="n">
        <v>0</v>
      </c>
      <c r="I5102" t="inlineStr">
        <is>
          <t>entidad-dia</t>
        </is>
      </c>
    </row>
    <row r="5103">
      <c r="A5103" t="inlineStr">
        <is>
          <t>PRAGMA</t>
        </is>
      </c>
      <c r="B5103" t="inlineStr">
        <is>
          <t>M1</t>
        </is>
      </c>
      <c r="C5103" t="inlineStr">
        <is>
          <t>Cali</t>
        </is>
      </c>
      <c r="D5103" t="inlineStr">
        <is>
          <t>8387</t>
        </is>
      </c>
      <c r="E5103" t="inlineStr">
        <is>
          <t>pagado</t>
        </is>
      </c>
      <c r="F5103" s="23" t="n">
        <v>46266</v>
      </c>
      <c r="G5103" s="24">
        <f>F5103-DATE(2026,8,31)</f>
        <v>1</v>
      </c>
      <c r="H5103" s="25" t="n">
        <v>217598219</v>
      </c>
      <c r="I5103" t="inlineStr">
        <is>
          <t>entidad-dia</t>
        </is>
      </c>
    </row>
    <row r="5104">
      <c r="A5104" t="inlineStr">
        <is>
          <t>PRAGMA</t>
        </is>
      </c>
      <c r="B5104" t="inlineStr">
        <is>
          <t>M1</t>
        </is>
      </c>
      <c r="C5104" t="inlineStr">
        <is>
          <t>Cali</t>
        </is>
      </c>
      <c r="D5104" t="inlineStr">
        <is>
          <t>8387</t>
        </is>
      </c>
      <c r="E5104" t="inlineStr">
        <is>
          <t>pagado</t>
        </is>
      </c>
      <c r="F5104" s="23" t="n">
        <v>46267</v>
      </c>
      <c r="G5104" s="24">
        <f>F5104-DATE(2026,8,31)</f>
        <v>2</v>
      </c>
      <c r="H5104" s="25" t="n">
        <v>167134851</v>
      </c>
      <c r="I5104" t="inlineStr">
        <is>
          <t>entidad-dia</t>
        </is>
      </c>
    </row>
    <row r="5105">
      <c r="A5105" t="inlineStr">
        <is>
          <t>PRAGMA</t>
        </is>
      </c>
      <c r="B5105" t="inlineStr">
        <is>
          <t>M1</t>
        </is>
      </c>
      <c r="C5105" t="inlineStr">
        <is>
          <t>Cali</t>
        </is>
      </c>
      <c r="D5105" t="inlineStr">
        <is>
          <t>8387</t>
        </is>
      </c>
      <c r="E5105" t="inlineStr">
        <is>
          <t>pagado</t>
        </is>
      </c>
      <c r="F5105" s="23" t="n">
        <v>46268</v>
      </c>
      <c r="G5105" s="24">
        <f>F5105-DATE(2026,8,31)</f>
        <v>3</v>
      </c>
      <c r="H5105" s="25" t="n">
        <v>152526416</v>
      </c>
      <c r="I5105" t="inlineStr">
        <is>
          <t>entidad-dia</t>
        </is>
      </c>
    </row>
    <row r="5106">
      <c r="A5106" t="inlineStr">
        <is>
          <t>PRAGMA</t>
        </is>
      </c>
      <c r="B5106" t="inlineStr">
        <is>
          <t>M1</t>
        </is>
      </c>
      <c r="C5106" t="inlineStr">
        <is>
          <t>Cali</t>
        </is>
      </c>
      <c r="D5106" t="inlineStr">
        <is>
          <t>8387</t>
        </is>
      </c>
      <c r="E5106" t="inlineStr">
        <is>
          <t>pagado</t>
        </is>
      </c>
      <c r="F5106" s="23" t="n">
        <v>46269</v>
      </c>
      <c r="G5106" s="24">
        <f>F5106-DATE(2026,8,31)</f>
        <v>4</v>
      </c>
      <c r="H5106" s="25" t="n">
        <v>154492167</v>
      </c>
      <c r="I5106" t="inlineStr">
        <is>
          <t>entidad-dia</t>
        </is>
      </c>
    </row>
    <row r="5107">
      <c r="A5107" t="inlineStr">
        <is>
          <t>PRAGMA</t>
        </is>
      </c>
      <c r="B5107" t="inlineStr">
        <is>
          <t>M1</t>
        </is>
      </c>
      <c r="C5107" t="inlineStr">
        <is>
          <t>Cali</t>
        </is>
      </c>
      <c r="D5107" t="inlineStr">
        <is>
          <t>8387</t>
        </is>
      </c>
      <c r="E5107" t="inlineStr">
        <is>
          <t>pagado</t>
        </is>
      </c>
      <c r="F5107" s="23" t="n">
        <v>46270</v>
      </c>
      <c r="G5107" s="24">
        <f>F5107-DATE(2026,8,31)</f>
        <v>5</v>
      </c>
      <c r="H5107" s="25" t="n">
        <v>182771552</v>
      </c>
      <c r="I5107" t="inlineStr">
        <is>
          <t>entidad-dia</t>
        </is>
      </c>
    </row>
    <row r="5108">
      <c r="A5108" t="inlineStr">
        <is>
          <t>PRAGMA</t>
        </is>
      </c>
      <c r="B5108" t="inlineStr">
        <is>
          <t>M1</t>
        </is>
      </c>
      <c r="C5108" t="inlineStr">
        <is>
          <t>Cali</t>
        </is>
      </c>
      <c r="D5108" t="inlineStr">
        <is>
          <t>8387</t>
        </is>
      </c>
      <c r="E5108" t="inlineStr">
        <is>
          <t>pagado</t>
        </is>
      </c>
      <c r="F5108" s="23" t="n">
        <v>46271</v>
      </c>
      <c r="G5108" s="24">
        <f>F5108-DATE(2026,8,31)</f>
        <v>6</v>
      </c>
      <c r="H5108" s="25" t="n">
        <v>100743085</v>
      </c>
      <c r="I5108" t="inlineStr">
        <is>
          <t>entidad-dia</t>
        </is>
      </c>
    </row>
    <row r="5109">
      <c r="A5109" t="inlineStr">
        <is>
          <t>PRAGMA</t>
        </is>
      </c>
      <c r="B5109" t="inlineStr">
        <is>
          <t>M1</t>
        </is>
      </c>
      <c r="C5109" t="inlineStr">
        <is>
          <t>Cali</t>
        </is>
      </c>
      <c r="D5109" t="inlineStr">
        <is>
          <t>8387</t>
        </is>
      </c>
      <c r="E5109" t="inlineStr">
        <is>
          <t>pagado</t>
        </is>
      </c>
      <c r="F5109" s="23" t="n">
        <v>46272</v>
      </c>
      <c r="G5109" s="24">
        <f>F5109-DATE(2026,8,31)</f>
        <v>7</v>
      </c>
      <c r="H5109" s="25" t="n">
        <v>130073031</v>
      </c>
      <c r="I5109" t="inlineStr">
        <is>
          <t>entidad-dia</t>
        </is>
      </c>
    </row>
    <row r="5110">
      <c r="A5110" t="inlineStr">
        <is>
          <t>PRAGMA</t>
        </is>
      </c>
      <c r="B5110" t="inlineStr">
        <is>
          <t>M1</t>
        </is>
      </c>
      <c r="C5110" t="inlineStr">
        <is>
          <t>Cali</t>
        </is>
      </c>
      <c r="D5110" t="inlineStr">
        <is>
          <t>8387</t>
        </is>
      </c>
      <c r="E5110" t="inlineStr">
        <is>
          <t>pagado</t>
        </is>
      </c>
      <c r="F5110" s="23" t="n">
        <v>46273</v>
      </c>
      <c r="G5110" s="24">
        <f>F5110-DATE(2026,8,31)</f>
        <v>8</v>
      </c>
      <c r="H5110" s="25" t="n">
        <v>114395356</v>
      </c>
      <c r="I5110" t="inlineStr">
        <is>
          <t>entidad-dia</t>
        </is>
      </c>
    </row>
    <row r="5111">
      <c r="A5111" t="inlineStr">
        <is>
          <t>PRAGMA</t>
        </is>
      </c>
      <c r="B5111" t="inlineStr">
        <is>
          <t>M1</t>
        </is>
      </c>
      <c r="C5111" t="inlineStr">
        <is>
          <t>Cali</t>
        </is>
      </c>
      <c r="D5111" t="inlineStr">
        <is>
          <t>8387</t>
        </is>
      </c>
      <c r="E5111" t="inlineStr">
        <is>
          <t>pagado</t>
        </is>
      </c>
      <c r="F5111" s="23" t="n">
        <v>46274</v>
      </c>
      <c r="G5111" s="24">
        <f>F5111-DATE(2026,8,31)</f>
        <v>9</v>
      </c>
      <c r="H5111" s="25" t="n">
        <v>110190826</v>
      </c>
      <c r="I5111" t="inlineStr">
        <is>
          <t>entidad-dia</t>
        </is>
      </c>
    </row>
    <row r="5112">
      <c r="A5112" t="inlineStr">
        <is>
          <t>PRAGMA</t>
        </is>
      </c>
      <c r="B5112" t="inlineStr">
        <is>
          <t>M1</t>
        </is>
      </c>
      <c r="C5112" t="inlineStr">
        <is>
          <t>Cali</t>
        </is>
      </c>
      <c r="D5112" t="inlineStr">
        <is>
          <t>8387</t>
        </is>
      </c>
      <c r="E5112" t="inlineStr">
        <is>
          <t>pagado</t>
        </is>
      </c>
      <c r="F5112" s="23" t="n">
        <v>46275</v>
      </c>
      <c r="G5112" s="24">
        <f>F5112-DATE(2026,8,31)</f>
        <v>10</v>
      </c>
      <c r="H5112" s="25" t="n">
        <v>98434742</v>
      </c>
      <c r="I5112" t="inlineStr">
        <is>
          <t>entidad-dia</t>
        </is>
      </c>
    </row>
    <row r="5113">
      <c r="A5113" t="inlineStr">
        <is>
          <t>PRAGMA</t>
        </is>
      </c>
      <c r="B5113" t="inlineStr">
        <is>
          <t>M1</t>
        </is>
      </c>
      <c r="C5113" t="inlineStr">
        <is>
          <t>Cali</t>
        </is>
      </c>
      <c r="D5113" t="inlineStr">
        <is>
          <t>8387</t>
        </is>
      </c>
      <c r="E5113" t="inlineStr">
        <is>
          <t>pagado</t>
        </is>
      </c>
      <c r="F5113" s="23" t="n">
        <v>46276</v>
      </c>
      <c r="G5113" s="24">
        <f>F5113-DATE(2026,8,31)</f>
        <v>11</v>
      </c>
      <c r="H5113" s="25" t="n">
        <v>108127890</v>
      </c>
      <c r="I5113" t="inlineStr">
        <is>
          <t>entidad-dia</t>
        </is>
      </c>
    </row>
    <row r="5114">
      <c r="A5114" t="inlineStr">
        <is>
          <t>PRAGMA</t>
        </is>
      </c>
      <c r="B5114" t="inlineStr">
        <is>
          <t>M1</t>
        </is>
      </c>
      <c r="C5114" t="inlineStr">
        <is>
          <t>Cali</t>
        </is>
      </c>
      <c r="D5114" t="inlineStr">
        <is>
          <t>8387</t>
        </is>
      </c>
      <c r="E5114" t="inlineStr">
        <is>
          <t>pagado</t>
        </is>
      </c>
      <c r="F5114" s="23" t="n">
        <v>46277</v>
      </c>
      <c r="G5114" s="24">
        <f>F5114-DATE(2026,8,31)</f>
        <v>12</v>
      </c>
      <c r="H5114" s="25" t="n">
        <v>141760495</v>
      </c>
      <c r="I5114" t="inlineStr">
        <is>
          <t>entidad-dia</t>
        </is>
      </c>
    </row>
    <row r="5115">
      <c r="A5115" t="inlineStr">
        <is>
          <t>PRAGMA</t>
        </is>
      </c>
      <c r="B5115" t="inlineStr">
        <is>
          <t>M1</t>
        </is>
      </c>
      <c r="C5115" t="inlineStr">
        <is>
          <t>Cali</t>
        </is>
      </c>
      <c r="D5115" t="inlineStr">
        <is>
          <t>8387</t>
        </is>
      </c>
      <c r="E5115" t="inlineStr">
        <is>
          <t>pagado</t>
        </is>
      </c>
      <c r="F5115" s="23" t="n">
        <v>46278</v>
      </c>
      <c r="G5115" s="24">
        <f>F5115-DATE(2026,8,31)</f>
        <v>13</v>
      </c>
      <c r="H5115" s="25" t="n">
        <v>75806134</v>
      </c>
      <c r="I5115" t="inlineStr">
        <is>
          <t>entidad-dia</t>
        </is>
      </c>
    </row>
    <row r="5116">
      <c r="A5116" t="inlineStr">
        <is>
          <t>PRAGMA</t>
        </is>
      </c>
      <c r="B5116" t="inlineStr">
        <is>
          <t>M1</t>
        </is>
      </c>
      <c r="C5116" t="inlineStr">
        <is>
          <t>Cali</t>
        </is>
      </c>
      <c r="D5116" t="inlineStr">
        <is>
          <t>8387</t>
        </is>
      </c>
      <c r="E5116" t="inlineStr">
        <is>
          <t>pagado</t>
        </is>
      </c>
      <c r="F5116" s="23" t="n">
        <v>46279</v>
      </c>
      <c r="G5116" s="24">
        <f>F5116-DATE(2026,8,31)</f>
        <v>14</v>
      </c>
      <c r="H5116" s="25" t="n">
        <v>116468161</v>
      </c>
      <c r="I5116" t="inlineStr">
        <is>
          <t>entidad-dia</t>
        </is>
      </c>
    </row>
    <row r="5117">
      <c r="A5117" t="inlineStr">
        <is>
          <t>PRAGMA</t>
        </is>
      </c>
      <c r="B5117" t="inlineStr">
        <is>
          <t>M1</t>
        </is>
      </c>
      <c r="C5117" t="inlineStr">
        <is>
          <t>Cali</t>
        </is>
      </c>
      <c r="D5117" t="inlineStr">
        <is>
          <t>8387</t>
        </is>
      </c>
      <c r="E5117" t="inlineStr">
        <is>
          <t>pagado</t>
        </is>
      </c>
      <c r="F5117" s="23" t="n">
        <v>46280</v>
      </c>
      <c r="G5117" s="24">
        <f>F5117-DATE(2026,8,31)</f>
        <v>15</v>
      </c>
      <c r="H5117" s="25" t="n">
        <v>155730004</v>
      </c>
      <c r="I5117" t="inlineStr">
        <is>
          <t>entidad-dia</t>
        </is>
      </c>
    </row>
    <row r="5118">
      <c r="A5118" t="inlineStr">
        <is>
          <t>PRAGMA</t>
        </is>
      </c>
      <c r="B5118" t="inlineStr">
        <is>
          <t>M1</t>
        </is>
      </c>
      <c r="C5118" t="inlineStr">
        <is>
          <t>Cali</t>
        </is>
      </c>
      <c r="D5118" t="inlineStr">
        <is>
          <t>8388</t>
        </is>
      </c>
      <c r="E5118" t="inlineStr">
        <is>
          <t>pagado</t>
        </is>
      </c>
      <c r="F5118" s="23" t="n">
        <v>46266</v>
      </c>
      <c r="G5118" s="24">
        <f>F5118-DATE(2026,8,31)</f>
        <v>1</v>
      </c>
      <c r="H5118" s="25" t="n">
        <v>202685396</v>
      </c>
      <c r="I5118" t="inlineStr">
        <is>
          <t>entidad-dia</t>
        </is>
      </c>
    </row>
    <row r="5119">
      <c r="A5119" t="inlineStr">
        <is>
          <t>PRAGMA</t>
        </is>
      </c>
      <c r="B5119" t="inlineStr">
        <is>
          <t>M1</t>
        </is>
      </c>
      <c r="C5119" t="inlineStr">
        <is>
          <t>Cali</t>
        </is>
      </c>
      <c r="D5119" t="inlineStr">
        <is>
          <t>8388</t>
        </is>
      </c>
      <c r="E5119" t="inlineStr">
        <is>
          <t>pagado</t>
        </is>
      </c>
      <c r="F5119" s="23" t="n">
        <v>46267</v>
      </c>
      <c r="G5119" s="24">
        <f>F5119-DATE(2026,8,31)</f>
        <v>2</v>
      </c>
      <c r="H5119" s="25" t="n">
        <v>146828141</v>
      </c>
      <c r="I5119" t="inlineStr">
        <is>
          <t>entidad-dia</t>
        </is>
      </c>
    </row>
    <row r="5120">
      <c r="A5120" t="inlineStr">
        <is>
          <t>PRAGMA</t>
        </is>
      </c>
      <c r="B5120" t="inlineStr">
        <is>
          <t>M1</t>
        </is>
      </c>
      <c r="C5120" t="inlineStr">
        <is>
          <t>Cali</t>
        </is>
      </c>
      <c r="D5120" t="inlineStr">
        <is>
          <t>8388</t>
        </is>
      </c>
      <c r="E5120" t="inlineStr">
        <is>
          <t>pagado</t>
        </is>
      </c>
      <c r="F5120" s="23" t="n">
        <v>46268</v>
      </c>
      <c r="G5120" s="24">
        <f>F5120-DATE(2026,8,31)</f>
        <v>3</v>
      </c>
      <c r="H5120" s="25" t="n">
        <v>128483900</v>
      </c>
      <c r="I5120" t="inlineStr">
        <is>
          <t>entidad-dia</t>
        </is>
      </c>
    </row>
    <row r="5121">
      <c r="A5121" t="inlineStr">
        <is>
          <t>PRAGMA</t>
        </is>
      </c>
      <c r="B5121" t="inlineStr">
        <is>
          <t>M1</t>
        </is>
      </c>
      <c r="C5121" t="inlineStr">
        <is>
          <t>Cali</t>
        </is>
      </c>
      <c r="D5121" t="inlineStr">
        <is>
          <t>8388</t>
        </is>
      </c>
      <c r="E5121" t="inlineStr">
        <is>
          <t>pagado</t>
        </is>
      </c>
      <c r="F5121" s="23" t="n">
        <v>46269</v>
      </c>
      <c r="G5121" s="24">
        <f>F5121-DATE(2026,8,31)</f>
        <v>4</v>
      </c>
      <c r="H5121" s="25" t="n">
        <v>145246510</v>
      </c>
      <c r="I5121" t="inlineStr">
        <is>
          <t>entidad-dia</t>
        </is>
      </c>
    </row>
    <row r="5122">
      <c r="A5122" t="inlineStr">
        <is>
          <t>PRAGMA</t>
        </is>
      </c>
      <c r="B5122" t="inlineStr">
        <is>
          <t>M1</t>
        </is>
      </c>
      <c r="C5122" t="inlineStr">
        <is>
          <t>Cali</t>
        </is>
      </c>
      <c r="D5122" t="inlineStr">
        <is>
          <t>8388</t>
        </is>
      </c>
      <c r="E5122" t="inlineStr">
        <is>
          <t>pagado</t>
        </is>
      </c>
      <c r="F5122" s="23" t="n">
        <v>46270</v>
      </c>
      <c r="G5122" s="24">
        <f>F5122-DATE(2026,8,31)</f>
        <v>5</v>
      </c>
      <c r="H5122" s="25" t="n">
        <v>153326823</v>
      </c>
      <c r="I5122" t="inlineStr">
        <is>
          <t>entidad-dia</t>
        </is>
      </c>
    </row>
    <row r="5123">
      <c r="A5123" t="inlineStr">
        <is>
          <t>PRAGMA</t>
        </is>
      </c>
      <c r="B5123" t="inlineStr">
        <is>
          <t>M1</t>
        </is>
      </c>
      <c r="C5123" t="inlineStr">
        <is>
          <t>Cali</t>
        </is>
      </c>
      <c r="D5123" t="inlineStr">
        <is>
          <t>8388</t>
        </is>
      </c>
      <c r="E5123" t="inlineStr">
        <is>
          <t>pagado</t>
        </is>
      </c>
      <c r="F5123" s="23" t="n">
        <v>46271</v>
      </c>
      <c r="G5123" s="24">
        <f>F5123-DATE(2026,8,31)</f>
        <v>6</v>
      </c>
      <c r="H5123" s="25" t="n">
        <v>83330931</v>
      </c>
      <c r="I5123" t="inlineStr">
        <is>
          <t>entidad-dia</t>
        </is>
      </c>
    </row>
    <row r="5124">
      <c r="A5124" t="inlineStr">
        <is>
          <t>PRAGMA</t>
        </is>
      </c>
      <c r="B5124" t="inlineStr">
        <is>
          <t>M1</t>
        </is>
      </c>
      <c r="C5124" t="inlineStr">
        <is>
          <t>Cali</t>
        </is>
      </c>
      <c r="D5124" t="inlineStr">
        <is>
          <t>8388</t>
        </is>
      </c>
      <c r="E5124" t="inlineStr">
        <is>
          <t>pagado</t>
        </is>
      </c>
      <c r="F5124" s="23" t="n">
        <v>46272</v>
      </c>
      <c r="G5124" s="24">
        <f>F5124-DATE(2026,8,31)</f>
        <v>7</v>
      </c>
      <c r="H5124" s="25" t="n">
        <v>118977975</v>
      </c>
      <c r="I5124" t="inlineStr">
        <is>
          <t>entidad-dia</t>
        </is>
      </c>
    </row>
    <row r="5125">
      <c r="A5125" t="inlineStr">
        <is>
          <t>PRAGMA</t>
        </is>
      </c>
      <c r="B5125" t="inlineStr">
        <is>
          <t>M1</t>
        </is>
      </c>
      <c r="C5125" t="inlineStr">
        <is>
          <t>Cali</t>
        </is>
      </c>
      <c r="D5125" t="inlineStr">
        <is>
          <t>8388</t>
        </is>
      </c>
      <c r="E5125" t="inlineStr">
        <is>
          <t>pagado</t>
        </is>
      </c>
      <c r="F5125" s="23" t="n">
        <v>46273</v>
      </c>
      <c r="G5125" s="24">
        <f>F5125-DATE(2026,8,31)</f>
        <v>8</v>
      </c>
      <c r="H5125" s="25" t="n">
        <v>98723939</v>
      </c>
      <c r="I5125" t="inlineStr">
        <is>
          <t>entidad-dia</t>
        </is>
      </c>
    </row>
    <row r="5126">
      <c r="A5126" t="inlineStr">
        <is>
          <t>PRAGMA</t>
        </is>
      </c>
      <c r="B5126" t="inlineStr">
        <is>
          <t>M1</t>
        </is>
      </c>
      <c r="C5126" t="inlineStr">
        <is>
          <t>Cali</t>
        </is>
      </c>
      <c r="D5126" t="inlineStr">
        <is>
          <t>8388</t>
        </is>
      </c>
      <c r="E5126" t="inlineStr">
        <is>
          <t>pagado</t>
        </is>
      </c>
      <c r="F5126" s="23" t="n">
        <v>46274</v>
      </c>
      <c r="G5126" s="24">
        <f>F5126-DATE(2026,8,31)</f>
        <v>9</v>
      </c>
      <c r="H5126" s="25" t="n">
        <v>103260914</v>
      </c>
      <c r="I5126" t="inlineStr">
        <is>
          <t>entidad-dia</t>
        </is>
      </c>
    </row>
    <row r="5127">
      <c r="A5127" t="inlineStr">
        <is>
          <t>PRAGMA</t>
        </is>
      </c>
      <c r="B5127" t="inlineStr">
        <is>
          <t>M1</t>
        </is>
      </c>
      <c r="C5127" t="inlineStr">
        <is>
          <t>Cali</t>
        </is>
      </c>
      <c r="D5127" t="inlineStr">
        <is>
          <t>8388</t>
        </is>
      </c>
      <c r="E5127" t="inlineStr">
        <is>
          <t>pagado</t>
        </is>
      </c>
      <c r="F5127" s="23" t="n">
        <v>46275</v>
      </c>
      <c r="G5127" s="24">
        <f>F5127-DATE(2026,8,31)</f>
        <v>10</v>
      </c>
      <c r="H5127" s="25" t="n">
        <v>91355986</v>
      </c>
      <c r="I5127" t="inlineStr">
        <is>
          <t>entidad-dia</t>
        </is>
      </c>
    </row>
    <row r="5128">
      <c r="A5128" t="inlineStr">
        <is>
          <t>PRAGMA</t>
        </is>
      </c>
      <c r="B5128" t="inlineStr">
        <is>
          <t>M1</t>
        </is>
      </c>
      <c r="C5128" t="inlineStr">
        <is>
          <t>Cali</t>
        </is>
      </c>
      <c r="D5128" t="inlineStr">
        <is>
          <t>8388</t>
        </is>
      </c>
      <c r="E5128" t="inlineStr">
        <is>
          <t>pagado</t>
        </is>
      </c>
      <c r="F5128" s="23" t="n">
        <v>46276</v>
      </c>
      <c r="G5128" s="24">
        <f>F5128-DATE(2026,8,31)</f>
        <v>11</v>
      </c>
      <c r="H5128" s="25" t="n">
        <v>100771480</v>
      </c>
      <c r="I5128" t="inlineStr">
        <is>
          <t>entidad-dia</t>
        </is>
      </c>
    </row>
    <row r="5129">
      <c r="A5129" t="inlineStr">
        <is>
          <t>PRAGMA</t>
        </is>
      </c>
      <c r="B5129" t="inlineStr">
        <is>
          <t>M1</t>
        </is>
      </c>
      <c r="C5129" t="inlineStr">
        <is>
          <t>Cali</t>
        </is>
      </c>
      <c r="D5129" t="inlineStr">
        <is>
          <t>8388</t>
        </is>
      </c>
      <c r="E5129" t="inlineStr">
        <is>
          <t>pagado</t>
        </is>
      </c>
      <c r="F5129" s="23" t="n">
        <v>46277</v>
      </c>
      <c r="G5129" s="24">
        <f>F5129-DATE(2026,8,31)</f>
        <v>12</v>
      </c>
      <c r="H5129" s="25" t="n">
        <v>114751824</v>
      </c>
      <c r="I5129" t="inlineStr">
        <is>
          <t>entidad-dia</t>
        </is>
      </c>
    </row>
    <row r="5130">
      <c r="A5130" t="inlineStr">
        <is>
          <t>PRAGMA</t>
        </is>
      </c>
      <c r="B5130" t="inlineStr">
        <is>
          <t>M1</t>
        </is>
      </c>
      <c r="C5130" t="inlineStr">
        <is>
          <t>Cali</t>
        </is>
      </c>
      <c r="D5130" t="inlineStr">
        <is>
          <t>8388</t>
        </is>
      </c>
      <c r="E5130" t="inlineStr">
        <is>
          <t>pagado</t>
        </is>
      </c>
      <c r="F5130" s="23" t="n">
        <v>46278</v>
      </c>
      <c r="G5130" s="24">
        <f>F5130-DATE(2026,8,31)</f>
        <v>13</v>
      </c>
      <c r="H5130" s="25" t="n">
        <v>64981105</v>
      </c>
      <c r="I5130" t="inlineStr">
        <is>
          <t>entidad-dia</t>
        </is>
      </c>
    </row>
    <row r="5131">
      <c r="A5131" t="inlineStr">
        <is>
          <t>PRAGMA</t>
        </is>
      </c>
      <c r="B5131" t="inlineStr">
        <is>
          <t>M1</t>
        </is>
      </c>
      <c r="C5131" t="inlineStr">
        <is>
          <t>Cali</t>
        </is>
      </c>
      <c r="D5131" t="inlineStr">
        <is>
          <t>8388</t>
        </is>
      </c>
      <c r="E5131" t="inlineStr">
        <is>
          <t>pagado</t>
        </is>
      </c>
      <c r="F5131" s="23" t="n">
        <v>46279</v>
      </c>
      <c r="G5131" s="24">
        <f>F5131-DATE(2026,8,31)</f>
        <v>14</v>
      </c>
      <c r="H5131" s="25" t="n">
        <v>98142860</v>
      </c>
      <c r="I5131" t="inlineStr">
        <is>
          <t>entidad-dia</t>
        </is>
      </c>
    </row>
    <row r="5132">
      <c r="A5132" t="inlineStr">
        <is>
          <t>PRAGMA</t>
        </is>
      </c>
      <c r="B5132" t="inlineStr">
        <is>
          <t>M1</t>
        </is>
      </c>
      <c r="C5132" t="inlineStr">
        <is>
          <t>Cali</t>
        </is>
      </c>
      <c r="D5132" t="inlineStr">
        <is>
          <t>8388</t>
        </is>
      </c>
      <c r="E5132" t="inlineStr">
        <is>
          <t>pagado</t>
        </is>
      </c>
      <c r="F5132" s="23" t="n">
        <v>46280</v>
      </c>
      <c r="G5132" s="24">
        <f>F5132-DATE(2026,8,31)</f>
        <v>15</v>
      </c>
      <c r="H5132" s="25" t="n">
        <v>136828232</v>
      </c>
      <c r="I5132" t="inlineStr">
        <is>
          <t>entidad-dia</t>
        </is>
      </c>
    </row>
    <row r="5133">
      <c r="A5133" t="inlineStr">
        <is>
          <t>PRAGMA</t>
        </is>
      </c>
      <c r="B5133" t="inlineStr">
        <is>
          <t>M1</t>
        </is>
      </c>
      <c r="C5133" t="inlineStr">
        <is>
          <t>Cali</t>
        </is>
      </c>
      <c r="D5133" t="inlineStr">
        <is>
          <t>8391</t>
        </is>
      </c>
      <c r="E5133" t="inlineStr">
        <is>
          <t>pagado</t>
        </is>
      </c>
      <c r="F5133" s="23" t="n">
        <v>46266</v>
      </c>
      <c r="G5133" s="24">
        <f>F5133-DATE(2026,8,31)</f>
        <v>1</v>
      </c>
      <c r="H5133" s="25" t="n">
        <v>113167183</v>
      </c>
      <c r="I5133" t="inlineStr">
        <is>
          <t>entidad-dia</t>
        </is>
      </c>
    </row>
    <row r="5134">
      <c r="A5134" t="inlineStr">
        <is>
          <t>PRAGMA</t>
        </is>
      </c>
      <c r="B5134" t="inlineStr">
        <is>
          <t>M1</t>
        </is>
      </c>
      <c r="C5134" t="inlineStr">
        <is>
          <t>Cali</t>
        </is>
      </c>
      <c r="D5134" t="inlineStr">
        <is>
          <t>8391</t>
        </is>
      </c>
      <c r="E5134" t="inlineStr">
        <is>
          <t>pagado</t>
        </is>
      </c>
      <c r="F5134" s="23" t="n">
        <v>46267</v>
      </c>
      <c r="G5134" s="24">
        <f>F5134-DATE(2026,8,31)</f>
        <v>2</v>
      </c>
      <c r="H5134" s="25" t="n">
        <v>90151011</v>
      </c>
      <c r="I5134" t="inlineStr">
        <is>
          <t>entidad-dia</t>
        </is>
      </c>
    </row>
    <row r="5135">
      <c r="A5135" t="inlineStr">
        <is>
          <t>PRAGMA</t>
        </is>
      </c>
      <c r="B5135" t="inlineStr">
        <is>
          <t>M1</t>
        </is>
      </c>
      <c r="C5135" t="inlineStr">
        <is>
          <t>Cali</t>
        </is>
      </c>
      <c r="D5135" t="inlineStr">
        <is>
          <t>8391</t>
        </is>
      </c>
      <c r="E5135" t="inlineStr">
        <is>
          <t>pagado</t>
        </is>
      </c>
      <c r="F5135" s="23" t="n">
        <v>46268</v>
      </c>
      <c r="G5135" s="24">
        <f>F5135-DATE(2026,8,31)</f>
        <v>3</v>
      </c>
      <c r="H5135" s="25" t="n">
        <v>84894080</v>
      </c>
      <c r="I5135" t="inlineStr">
        <is>
          <t>entidad-dia</t>
        </is>
      </c>
    </row>
    <row r="5136">
      <c r="A5136" t="inlineStr">
        <is>
          <t>PRAGMA</t>
        </is>
      </c>
      <c r="B5136" t="inlineStr">
        <is>
          <t>M1</t>
        </is>
      </c>
      <c r="C5136" t="inlineStr">
        <is>
          <t>Cali</t>
        </is>
      </c>
      <c r="D5136" t="inlineStr">
        <is>
          <t>8391</t>
        </is>
      </c>
      <c r="E5136" t="inlineStr">
        <is>
          <t>pagado</t>
        </is>
      </c>
      <c r="F5136" s="23" t="n">
        <v>46269</v>
      </c>
      <c r="G5136" s="24">
        <f>F5136-DATE(2026,8,31)</f>
        <v>4</v>
      </c>
      <c r="H5136" s="25" t="n">
        <v>93718744</v>
      </c>
      <c r="I5136" t="inlineStr">
        <is>
          <t>entidad-dia</t>
        </is>
      </c>
    </row>
    <row r="5137">
      <c r="A5137" t="inlineStr">
        <is>
          <t>PRAGMA</t>
        </is>
      </c>
      <c r="B5137" t="inlineStr">
        <is>
          <t>M1</t>
        </is>
      </c>
      <c r="C5137" t="inlineStr">
        <is>
          <t>Cali</t>
        </is>
      </c>
      <c r="D5137" t="inlineStr">
        <is>
          <t>8391</t>
        </is>
      </c>
      <c r="E5137" t="inlineStr">
        <is>
          <t>pagado</t>
        </is>
      </c>
      <c r="F5137" s="23" t="n">
        <v>46270</v>
      </c>
      <c r="G5137" s="24">
        <f>F5137-DATE(2026,8,31)</f>
        <v>5</v>
      </c>
      <c r="H5137" s="25" t="n">
        <v>77108297</v>
      </c>
      <c r="I5137" t="inlineStr">
        <is>
          <t>entidad-dia</t>
        </is>
      </c>
    </row>
    <row r="5138">
      <c r="A5138" t="inlineStr">
        <is>
          <t>PRAGMA</t>
        </is>
      </c>
      <c r="B5138" t="inlineStr">
        <is>
          <t>M1</t>
        </is>
      </c>
      <c r="C5138" t="inlineStr">
        <is>
          <t>Cali</t>
        </is>
      </c>
      <c r="D5138" t="inlineStr">
        <is>
          <t>8391</t>
        </is>
      </c>
      <c r="E5138" t="inlineStr">
        <is>
          <t>pagado</t>
        </is>
      </c>
      <c r="F5138" s="23" t="n">
        <v>46271</v>
      </c>
      <c r="G5138" s="24">
        <f>F5138-DATE(2026,8,31)</f>
        <v>6</v>
      </c>
      <c r="H5138" s="25" t="n">
        <v>30705720</v>
      </c>
      <c r="I5138" t="inlineStr">
        <is>
          <t>entidad-dia</t>
        </is>
      </c>
    </row>
    <row r="5139">
      <c r="A5139" t="inlineStr">
        <is>
          <t>PRAGMA</t>
        </is>
      </c>
      <c r="B5139" t="inlineStr">
        <is>
          <t>M1</t>
        </is>
      </c>
      <c r="C5139" t="inlineStr">
        <is>
          <t>Cali</t>
        </is>
      </c>
      <c r="D5139" t="inlineStr">
        <is>
          <t>8391</t>
        </is>
      </c>
      <c r="E5139" t="inlineStr">
        <is>
          <t>pagado</t>
        </is>
      </c>
      <c r="F5139" s="23" t="n">
        <v>46272</v>
      </c>
      <c r="G5139" s="24">
        <f>F5139-DATE(2026,8,31)</f>
        <v>7</v>
      </c>
      <c r="H5139" s="25" t="n">
        <v>55502705</v>
      </c>
      <c r="I5139" t="inlineStr">
        <is>
          <t>entidad-dia</t>
        </is>
      </c>
    </row>
    <row r="5140">
      <c r="A5140" t="inlineStr">
        <is>
          <t>PRAGMA</t>
        </is>
      </c>
      <c r="B5140" t="inlineStr">
        <is>
          <t>M1</t>
        </is>
      </c>
      <c r="C5140" t="inlineStr">
        <is>
          <t>Cali</t>
        </is>
      </c>
      <c r="D5140" t="inlineStr">
        <is>
          <t>8391</t>
        </is>
      </c>
      <c r="E5140" t="inlineStr">
        <is>
          <t>pagado</t>
        </is>
      </c>
      <c r="F5140" s="23" t="n">
        <v>46273</v>
      </c>
      <c r="G5140" s="24">
        <f>F5140-DATE(2026,8,31)</f>
        <v>8</v>
      </c>
      <c r="H5140" s="25" t="n">
        <v>57218540</v>
      </c>
      <c r="I5140" t="inlineStr">
        <is>
          <t>entidad-dia</t>
        </is>
      </c>
    </row>
    <row r="5141">
      <c r="A5141" t="inlineStr">
        <is>
          <t>PRAGMA</t>
        </is>
      </c>
      <c r="B5141" t="inlineStr">
        <is>
          <t>M1</t>
        </is>
      </c>
      <c r="C5141" t="inlineStr">
        <is>
          <t>Cali</t>
        </is>
      </c>
      <c r="D5141" t="inlineStr">
        <is>
          <t>8391</t>
        </is>
      </c>
      <c r="E5141" t="inlineStr">
        <is>
          <t>pagado</t>
        </is>
      </c>
      <c r="F5141" s="23" t="n">
        <v>46274</v>
      </c>
      <c r="G5141" s="24">
        <f>F5141-DATE(2026,8,31)</f>
        <v>9</v>
      </c>
      <c r="H5141" s="25" t="n">
        <v>63119151</v>
      </c>
      <c r="I5141" t="inlineStr">
        <is>
          <t>entidad-dia</t>
        </is>
      </c>
    </row>
    <row r="5142">
      <c r="A5142" t="inlineStr">
        <is>
          <t>PRAGMA</t>
        </is>
      </c>
      <c r="B5142" t="inlineStr">
        <is>
          <t>M1</t>
        </is>
      </c>
      <c r="C5142" t="inlineStr">
        <is>
          <t>Cali</t>
        </is>
      </c>
      <c r="D5142" t="inlineStr">
        <is>
          <t>8391</t>
        </is>
      </c>
      <c r="E5142" t="inlineStr">
        <is>
          <t>pagado</t>
        </is>
      </c>
      <c r="F5142" s="23" t="n">
        <v>46275</v>
      </c>
      <c r="G5142" s="24">
        <f>F5142-DATE(2026,8,31)</f>
        <v>10</v>
      </c>
      <c r="H5142" s="25" t="n">
        <v>54681228</v>
      </c>
      <c r="I5142" t="inlineStr">
        <is>
          <t>entidad-dia</t>
        </is>
      </c>
    </row>
    <row r="5143">
      <c r="A5143" t="inlineStr">
        <is>
          <t>PRAGMA</t>
        </is>
      </c>
      <c r="B5143" t="inlineStr">
        <is>
          <t>M1</t>
        </is>
      </c>
      <c r="C5143" t="inlineStr">
        <is>
          <t>Cali</t>
        </is>
      </c>
      <c r="D5143" t="inlineStr">
        <is>
          <t>8391</t>
        </is>
      </c>
      <c r="E5143" t="inlineStr">
        <is>
          <t>pagado</t>
        </is>
      </c>
      <c r="F5143" s="23" t="n">
        <v>46276</v>
      </c>
      <c r="G5143" s="24">
        <f>F5143-DATE(2026,8,31)</f>
        <v>11</v>
      </c>
      <c r="H5143" s="25" t="n">
        <v>70886191</v>
      </c>
      <c r="I5143" t="inlineStr">
        <is>
          <t>entidad-dia</t>
        </is>
      </c>
    </row>
    <row r="5144">
      <c r="A5144" t="inlineStr">
        <is>
          <t>PRAGMA</t>
        </is>
      </c>
      <c r="B5144" t="inlineStr">
        <is>
          <t>M1</t>
        </is>
      </c>
      <c r="C5144" t="inlineStr">
        <is>
          <t>Cali</t>
        </is>
      </c>
      <c r="D5144" t="inlineStr">
        <is>
          <t>8391</t>
        </is>
      </c>
      <c r="E5144" t="inlineStr">
        <is>
          <t>pagado</t>
        </is>
      </c>
      <c r="F5144" s="23" t="n">
        <v>46277</v>
      </c>
      <c r="G5144" s="24">
        <f>F5144-DATE(2026,8,31)</f>
        <v>12</v>
      </c>
      <c r="H5144" s="25" t="n">
        <v>54714880</v>
      </c>
      <c r="I5144" t="inlineStr">
        <is>
          <t>entidad-dia</t>
        </is>
      </c>
    </row>
    <row r="5145">
      <c r="A5145" t="inlineStr">
        <is>
          <t>PRAGMA</t>
        </is>
      </c>
      <c r="B5145" t="inlineStr">
        <is>
          <t>M1</t>
        </is>
      </c>
      <c r="C5145" t="inlineStr">
        <is>
          <t>Cali</t>
        </is>
      </c>
      <c r="D5145" t="inlineStr">
        <is>
          <t>8391</t>
        </is>
      </c>
      <c r="E5145" t="inlineStr">
        <is>
          <t>pagado</t>
        </is>
      </c>
      <c r="F5145" s="23" t="n">
        <v>46278</v>
      </c>
      <c r="G5145" s="24">
        <f>F5145-DATE(2026,8,31)</f>
        <v>13</v>
      </c>
      <c r="H5145" s="25" t="n">
        <v>24377768</v>
      </c>
      <c r="I5145" t="inlineStr">
        <is>
          <t>entidad-dia</t>
        </is>
      </c>
    </row>
    <row r="5146">
      <c r="A5146" t="inlineStr">
        <is>
          <t>PRAGMA</t>
        </is>
      </c>
      <c r="B5146" t="inlineStr">
        <is>
          <t>M1</t>
        </is>
      </c>
      <c r="C5146" t="inlineStr">
        <is>
          <t>Cali</t>
        </is>
      </c>
      <c r="D5146" t="inlineStr">
        <is>
          <t>8391</t>
        </is>
      </c>
      <c r="E5146" t="inlineStr">
        <is>
          <t>pagado</t>
        </is>
      </c>
      <c r="F5146" s="23" t="n">
        <v>46279</v>
      </c>
      <c r="G5146" s="24">
        <f>F5146-DATE(2026,8,31)</f>
        <v>14</v>
      </c>
      <c r="H5146" s="25" t="n">
        <v>62625556</v>
      </c>
      <c r="I5146" t="inlineStr">
        <is>
          <t>entidad-dia</t>
        </is>
      </c>
    </row>
    <row r="5147">
      <c r="A5147" t="inlineStr">
        <is>
          <t>PRAGMA</t>
        </is>
      </c>
      <c r="B5147" t="inlineStr">
        <is>
          <t>M1</t>
        </is>
      </c>
      <c r="C5147" t="inlineStr">
        <is>
          <t>Cali</t>
        </is>
      </c>
      <c r="D5147" t="inlineStr">
        <is>
          <t>8391</t>
        </is>
      </c>
      <c r="E5147" t="inlineStr">
        <is>
          <t>pagado</t>
        </is>
      </c>
      <c r="F5147" s="23" t="n">
        <v>46280</v>
      </c>
      <c r="G5147" s="24">
        <f>F5147-DATE(2026,8,31)</f>
        <v>15</v>
      </c>
      <c r="H5147" s="25" t="n">
        <v>102118035</v>
      </c>
      <c r="I5147" t="inlineStr">
        <is>
          <t>entidad-dia</t>
        </is>
      </c>
    </row>
    <row r="5148">
      <c r="A5148" t="inlineStr">
        <is>
          <t>PRAGMA</t>
        </is>
      </c>
      <c r="B5148" t="inlineStr">
        <is>
          <t>M1</t>
        </is>
      </c>
      <c r="C5148" t="inlineStr">
        <is>
          <t>Cali</t>
        </is>
      </c>
      <c r="D5148" t="inlineStr">
        <is>
          <t>8392</t>
        </is>
      </c>
      <c r="E5148" t="inlineStr">
        <is>
          <t>pagado</t>
        </is>
      </c>
      <c r="F5148" s="23" t="n">
        <v>46266</v>
      </c>
      <c r="G5148" s="24">
        <f>F5148-DATE(2026,8,31)</f>
        <v>1</v>
      </c>
      <c r="H5148" s="25" t="n">
        <v>99901221</v>
      </c>
      <c r="I5148" t="inlineStr">
        <is>
          <t>entidad-dia</t>
        </is>
      </c>
    </row>
    <row r="5149">
      <c r="A5149" t="inlineStr">
        <is>
          <t>PRAGMA</t>
        </is>
      </c>
      <c r="B5149" t="inlineStr">
        <is>
          <t>M1</t>
        </is>
      </c>
      <c r="C5149" t="inlineStr">
        <is>
          <t>Cali</t>
        </is>
      </c>
      <c r="D5149" t="inlineStr">
        <is>
          <t>8392</t>
        </is>
      </c>
      <c r="E5149" t="inlineStr">
        <is>
          <t>pagado</t>
        </is>
      </c>
      <c r="F5149" s="23" t="n">
        <v>46267</v>
      </c>
      <c r="G5149" s="24">
        <f>F5149-DATE(2026,8,31)</f>
        <v>2</v>
      </c>
      <c r="H5149" s="25" t="n">
        <v>75244300</v>
      </c>
      <c r="I5149" t="inlineStr">
        <is>
          <t>entidad-dia</t>
        </is>
      </c>
    </row>
    <row r="5150">
      <c r="A5150" t="inlineStr">
        <is>
          <t>PRAGMA</t>
        </is>
      </c>
      <c r="B5150" t="inlineStr">
        <is>
          <t>M1</t>
        </is>
      </c>
      <c r="C5150" t="inlineStr">
        <is>
          <t>Cali</t>
        </is>
      </c>
      <c r="D5150" t="inlineStr">
        <is>
          <t>8392</t>
        </is>
      </c>
      <c r="E5150" t="inlineStr">
        <is>
          <t>pagado</t>
        </is>
      </c>
      <c r="F5150" s="23" t="n">
        <v>46268</v>
      </c>
      <c r="G5150" s="24">
        <f>F5150-DATE(2026,8,31)</f>
        <v>3</v>
      </c>
      <c r="H5150" s="25" t="n">
        <v>71826647</v>
      </c>
      <c r="I5150" t="inlineStr">
        <is>
          <t>entidad-dia</t>
        </is>
      </c>
    </row>
    <row r="5151">
      <c r="A5151" t="inlineStr">
        <is>
          <t>PRAGMA</t>
        </is>
      </c>
      <c r="B5151" t="inlineStr">
        <is>
          <t>M1</t>
        </is>
      </c>
      <c r="C5151" t="inlineStr">
        <is>
          <t>Cali</t>
        </is>
      </c>
      <c r="D5151" t="inlineStr">
        <is>
          <t>8392</t>
        </is>
      </c>
      <c r="E5151" t="inlineStr">
        <is>
          <t>pagado</t>
        </is>
      </c>
      <c r="F5151" s="23" t="n">
        <v>46269</v>
      </c>
      <c r="G5151" s="24">
        <f>F5151-DATE(2026,8,31)</f>
        <v>4</v>
      </c>
      <c r="H5151" s="25" t="n">
        <v>73565843</v>
      </c>
      <c r="I5151" t="inlineStr">
        <is>
          <t>entidad-dia</t>
        </is>
      </c>
    </row>
    <row r="5152">
      <c r="A5152" t="inlineStr">
        <is>
          <t>PRAGMA</t>
        </is>
      </c>
      <c r="B5152" t="inlineStr">
        <is>
          <t>M1</t>
        </is>
      </c>
      <c r="C5152" t="inlineStr">
        <is>
          <t>Cali</t>
        </is>
      </c>
      <c r="D5152" t="inlineStr">
        <is>
          <t>8392</t>
        </is>
      </c>
      <c r="E5152" t="inlineStr">
        <is>
          <t>pagado</t>
        </is>
      </c>
      <c r="F5152" s="23" t="n">
        <v>46270</v>
      </c>
      <c r="G5152" s="24">
        <f>F5152-DATE(2026,8,31)</f>
        <v>5</v>
      </c>
      <c r="H5152" s="25" t="n">
        <v>59793699</v>
      </c>
      <c r="I5152" t="inlineStr">
        <is>
          <t>entidad-dia</t>
        </is>
      </c>
    </row>
    <row r="5153">
      <c r="A5153" t="inlineStr">
        <is>
          <t>PRAGMA</t>
        </is>
      </c>
      <c r="B5153" t="inlineStr">
        <is>
          <t>M1</t>
        </is>
      </c>
      <c r="C5153" t="inlineStr">
        <is>
          <t>Cali</t>
        </is>
      </c>
      <c r="D5153" t="inlineStr">
        <is>
          <t>8392</t>
        </is>
      </c>
      <c r="E5153" t="inlineStr">
        <is>
          <t>pagado</t>
        </is>
      </c>
      <c r="F5153" s="23" t="n">
        <v>46271</v>
      </c>
      <c r="G5153" s="24">
        <f>F5153-DATE(2026,8,31)</f>
        <v>6</v>
      </c>
      <c r="H5153" s="25" t="n">
        <v>23526418</v>
      </c>
      <c r="I5153" t="inlineStr">
        <is>
          <t>entidad-dia</t>
        </is>
      </c>
    </row>
    <row r="5154">
      <c r="A5154" t="inlineStr">
        <is>
          <t>PRAGMA</t>
        </is>
      </c>
      <c r="B5154" t="inlineStr">
        <is>
          <t>M1</t>
        </is>
      </c>
      <c r="C5154" t="inlineStr">
        <is>
          <t>Cali</t>
        </is>
      </c>
      <c r="D5154" t="inlineStr">
        <is>
          <t>8392</t>
        </is>
      </c>
      <c r="E5154" t="inlineStr">
        <is>
          <t>pagado</t>
        </is>
      </c>
      <c r="F5154" s="23" t="n">
        <v>46272</v>
      </c>
      <c r="G5154" s="24">
        <f>F5154-DATE(2026,8,31)</f>
        <v>7</v>
      </c>
      <c r="H5154" s="25" t="n">
        <v>49456755</v>
      </c>
      <c r="I5154" t="inlineStr">
        <is>
          <t>entidad-dia</t>
        </is>
      </c>
    </row>
    <row r="5155">
      <c r="A5155" t="inlineStr">
        <is>
          <t>PRAGMA</t>
        </is>
      </c>
      <c r="B5155" t="inlineStr">
        <is>
          <t>M1</t>
        </is>
      </c>
      <c r="C5155" t="inlineStr">
        <is>
          <t>Cali</t>
        </is>
      </c>
      <c r="D5155" t="inlineStr">
        <is>
          <t>8392</t>
        </is>
      </c>
      <c r="E5155" t="inlineStr">
        <is>
          <t>pagado</t>
        </is>
      </c>
      <c r="F5155" s="23" t="n">
        <v>46273</v>
      </c>
      <c r="G5155" s="24">
        <f>F5155-DATE(2026,8,31)</f>
        <v>8</v>
      </c>
      <c r="H5155" s="25" t="n">
        <v>46830862</v>
      </c>
      <c r="I5155" t="inlineStr">
        <is>
          <t>entidad-dia</t>
        </is>
      </c>
    </row>
    <row r="5156">
      <c r="A5156" t="inlineStr">
        <is>
          <t>PRAGMA</t>
        </is>
      </c>
      <c r="B5156" t="inlineStr">
        <is>
          <t>M1</t>
        </is>
      </c>
      <c r="C5156" t="inlineStr">
        <is>
          <t>Cali</t>
        </is>
      </c>
      <c r="D5156" t="inlineStr">
        <is>
          <t>8392</t>
        </is>
      </c>
      <c r="E5156" t="inlineStr">
        <is>
          <t>pagado</t>
        </is>
      </c>
      <c r="F5156" s="23" t="n">
        <v>46274</v>
      </c>
      <c r="G5156" s="24">
        <f>F5156-DATE(2026,8,31)</f>
        <v>9</v>
      </c>
      <c r="H5156" s="25" t="n">
        <v>49454289</v>
      </c>
      <c r="I5156" t="inlineStr">
        <is>
          <t>entidad-dia</t>
        </is>
      </c>
    </row>
    <row r="5157">
      <c r="A5157" t="inlineStr">
        <is>
          <t>PRAGMA</t>
        </is>
      </c>
      <c r="B5157" t="inlineStr">
        <is>
          <t>M1</t>
        </is>
      </c>
      <c r="C5157" t="inlineStr">
        <is>
          <t>Cali</t>
        </is>
      </c>
      <c r="D5157" t="inlineStr">
        <is>
          <t>8392</t>
        </is>
      </c>
      <c r="E5157" t="inlineStr">
        <is>
          <t>pagado</t>
        </is>
      </c>
      <c r="F5157" s="23" t="n">
        <v>46275</v>
      </c>
      <c r="G5157" s="24">
        <f>F5157-DATE(2026,8,31)</f>
        <v>10</v>
      </c>
      <c r="H5157" s="25" t="n">
        <v>54623796</v>
      </c>
      <c r="I5157" t="inlineStr">
        <is>
          <t>entidad-dia</t>
        </is>
      </c>
    </row>
    <row r="5158">
      <c r="A5158" t="inlineStr">
        <is>
          <t>PRAGMA</t>
        </is>
      </c>
      <c r="B5158" t="inlineStr">
        <is>
          <t>M1</t>
        </is>
      </c>
      <c r="C5158" t="inlineStr">
        <is>
          <t>Cali</t>
        </is>
      </c>
      <c r="D5158" t="inlineStr">
        <is>
          <t>8392</t>
        </is>
      </c>
      <c r="E5158" t="inlineStr">
        <is>
          <t>pagado</t>
        </is>
      </c>
      <c r="F5158" s="23" t="n">
        <v>46276</v>
      </c>
      <c r="G5158" s="24">
        <f>F5158-DATE(2026,8,31)</f>
        <v>11</v>
      </c>
      <c r="H5158" s="25" t="n">
        <v>55009474</v>
      </c>
      <c r="I5158" t="inlineStr">
        <is>
          <t>entidad-dia</t>
        </is>
      </c>
    </row>
    <row r="5159">
      <c r="A5159" t="inlineStr">
        <is>
          <t>PRAGMA</t>
        </is>
      </c>
      <c r="B5159" t="inlineStr">
        <is>
          <t>M1</t>
        </is>
      </c>
      <c r="C5159" t="inlineStr">
        <is>
          <t>Cali</t>
        </is>
      </c>
      <c r="D5159" t="inlineStr">
        <is>
          <t>8392</t>
        </is>
      </c>
      <c r="E5159" t="inlineStr">
        <is>
          <t>pagado</t>
        </is>
      </c>
      <c r="F5159" s="23" t="n">
        <v>46277</v>
      </c>
      <c r="G5159" s="24">
        <f>F5159-DATE(2026,8,31)</f>
        <v>12</v>
      </c>
      <c r="H5159" s="25" t="n">
        <v>48101026</v>
      </c>
      <c r="I5159" t="inlineStr">
        <is>
          <t>entidad-dia</t>
        </is>
      </c>
    </row>
    <row r="5160">
      <c r="A5160" t="inlineStr">
        <is>
          <t>PRAGMA</t>
        </is>
      </c>
      <c r="B5160" t="inlineStr">
        <is>
          <t>M1</t>
        </is>
      </c>
      <c r="C5160" t="inlineStr">
        <is>
          <t>Cali</t>
        </is>
      </c>
      <c r="D5160" t="inlineStr">
        <is>
          <t>8392</t>
        </is>
      </c>
      <c r="E5160" t="inlineStr">
        <is>
          <t>pagado</t>
        </is>
      </c>
      <c r="F5160" s="23" t="n">
        <v>46278</v>
      </c>
      <c r="G5160" s="24">
        <f>F5160-DATE(2026,8,31)</f>
        <v>13</v>
      </c>
      <c r="H5160" s="25" t="n">
        <v>19190951</v>
      </c>
      <c r="I5160" t="inlineStr">
        <is>
          <t>entidad-dia</t>
        </is>
      </c>
    </row>
    <row r="5161">
      <c r="A5161" t="inlineStr">
        <is>
          <t>PRAGMA</t>
        </is>
      </c>
      <c r="B5161" t="inlineStr">
        <is>
          <t>M1</t>
        </is>
      </c>
      <c r="C5161" t="inlineStr">
        <is>
          <t>Cali</t>
        </is>
      </c>
      <c r="D5161" t="inlineStr">
        <is>
          <t>8392</t>
        </is>
      </c>
      <c r="E5161" t="inlineStr">
        <is>
          <t>pagado</t>
        </is>
      </c>
      <c r="F5161" s="23" t="n">
        <v>46279</v>
      </c>
      <c r="G5161" s="24">
        <f>F5161-DATE(2026,8,31)</f>
        <v>14</v>
      </c>
      <c r="H5161" s="25" t="n">
        <v>48741643</v>
      </c>
      <c r="I5161" t="inlineStr">
        <is>
          <t>entidad-dia</t>
        </is>
      </c>
    </row>
    <row r="5162">
      <c r="A5162" t="inlineStr">
        <is>
          <t>PRAGMA</t>
        </is>
      </c>
      <c r="B5162" t="inlineStr">
        <is>
          <t>M1</t>
        </is>
      </c>
      <c r="C5162" t="inlineStr">
        <is>
          <t>Cali</t>
        </is>
      </c>
      <c r="D5162" t="inlineStr">
        <is>
          <t>8392</t>
        </is>
      </c>
      <c r="E5162" t="inlineStr">
        <is>
          <t>pagado</t>
        </is>
      </c>
      <c r="F5162" s="23" t="n">
        <v>46280</v>
      </c>
      <c r="G5162" s="24">
        <f>F5162-DATE(2026,8,31)</f>
        <v>15</v>
      </c>
      <c r="H5162" s="25" t="n">
        <v>82936491</v>
      </c>
      <c r="I5162" t="inlineStr">
        <is>
          <t>entidad-dia</t>
        </is>
      </c>
    </row>
    <row r="5163">
      <c r="A5163" t="inlineStr">
        <is>
          <t>PRAGMA</t>
        </is>
      </c>
      <c r="B5163" t="inlineStr">
        <is>
          <t>M1</t>
        </is>
      </c>
      <c r="C5163" t="inlineStr">
        <is>
          <t>Cali</t>
        </is>
      </c>
      <c r="D5163" t="inlineStr">
        <is>
          <t>8393</t>
        </is>
      </c>
      <c r="E5163" t="inlineStr">
        <is>
          <t>pagado</t>
        </is>
      </c>
      <c r="F5163" s="23" t="n">
        <v>46266</v>
      </c>
      <c r="G5163" s="24">
        <f>F5163-DATE(2026,8,31)</f>
        <v>1</v>
      </c>
      <c r="H5163" s="25" t="n">
        <v>119608043</v>
      </c>
      <c r="I5163" t="inlineStr">
        <is>
          <t>entidad-dia</t>
        </is>
      </c>
    </row>
    <row r="5164">
      <c r="A5164" t="inlineStr">
        <is>
          <t>PRAGMA</t>
        </is>
      </c>
      <c r="B5164" t="inlineStr">
        <is>
          <t>M1</t>
        </is>
      </c>
      <c r="C5164" t="inlineStr">
        <is>
          <t>Cali</t>
        </is>
      </c>
      <c r="D5164" t="inlineStr">
        <is>
          <t>8393</t>
        </is>
      </c>
      <c r="E5164" t="inlineStr">
        <is>
          <t>pagado</t>
        </is>
      </c>
      <c r="F5164" s="23" t="n">
        <v>46267</v>
      </c>
      <c r="G5164" s="24">
        <f>F5164-DATE(2026,8,31)</f>
        <v>2</v>
      </c>
      <c r="H5164" s="25" t="n">
        <v>95530972</v>
      </c>
      <c r="I5164" t="inlineStr">
        <is>
          <t>entidad-dia</t>
        </is>
      </c>
    </row>
    <row r="5165">
      <c r="A5165" t="inlineStr">
        <is>
          <t>PRAGMA</t>
        </is>
      </c>
      <c r="B5165" t="inlineStr">
        <is>
          <t>M1</t>
        </is>
      </c>
      <c r="C5165" t="inlineStr">
        <is>
          <t>Cali</t>
        </is>
      </c>
      <c r="D5165" t="inlineStr">
        <is>
          <t>8393</t>
        </is>
      </c>
      <c r="E5165" t="inlineStr">
        <is>
          <t>pagado</t>
        </is>
      </c>
      <c r="F5165" s="23" t="n">
        <v>46268</v>
      </c>
      <c r="G5165" s="24">
        <f>F5165-DATE(2026,8,31)</f>
        <v>3</v>
      </c>
      <c r="H5165" s="25" t="n">
        <v>81408139</v>
      </c>
      <c r="I5165" t="inlineStr">
        <is>
          <t>entidad-dia</t>
        </is>
      </c>
    </row>
    <row r="5166">
      <c r="A5166" t="inlineStr">
        <is>
          <t>PRAGMA</t>
        </is>
      </c>
      <c r="B5166" t="inlineStr">
        <is>
          <t>M1</t>
        </is>
      </c>
      <c r="C5166" t="inlineStr">
        <is>
          <t>Cali</t>
        </is>
      </c>
      <c r="D5166" t="inlineStr">
        <is>
          <t>8393</t>
        </is>
      </c>
      <c r="E5166" t="inlineStr">
        <is>
          <t>pagado</t>
        </is>
      </c>
      <c r="F5166" s="23" t="n">
        <v>46269</v>
      </c>
      <c r="G5166" s="24">
        <f>F5166-DATE(2026,8,31)</f>
        <v>4</v>
      </c>
      <c r="H5166" s="25" t="n">
        <v>85415427</v>
      </c>
      <c r="I5166" t="inlineStr">
        <is>
          <t>entidad-dia</t>
        </is>
      </c>
    </row>
    <row r="5167">
      <c r="A5167" t="inlineStr">
        <is>
          <t>PRAGMA</t>
        </is>
      </c>
      <c r="B5167" t="inlineStr">
        <is>
          <t>M1</t>
        </is>
      </c>
      <c r="C5167" t="inlineStr">
        <is>
          <t>Cali</t>
        </is>
      </c>
      <c r="D5167" t="inlineStr">
        <is>
          <t>8393</t>
        </is>
      </c>
      <c r="E5167" t="inlineStr">
        <is>
          <t>pagado</t>
        </is>
      </c>
      <c r="F5167" s="23" t="n">
        <v>46270</v>
      </c>
      <c r="G5167" s="24">
        <f>F5167-DATE(2026,8,31)</f>
        <v>5</v>
      </c>
      <c r="H5167" s="25" t="n">
        <v>77094075</v>
      </c>
      <c r="I5167" t="inlineStr">
        <is>
          <t>entidad-dia</t>
        </is>
      </c>
    </row>
    <row r="5168">
      <c r="A5168" t="inlineStr">
        <is>
          <t>PRAGMA</t>
        </is>
      </c>
      <c r="B5168" t="inlineStr">
        <is>
          <t>M1</t>
        </is>
      </c>
      <c r="C5168" t="inlineStr">
        <is>
          <t>Cali</t>
        </is>
      </c>
      <c r="D5168" t="inlineStr">
        <is>
          <t>8393</t>
        </is>
      </c>
      <c r="E5168" t="inlineStr">
        <is>
          <t>pagado</t>
        </is>
      </c>
      <c r="F5168" s="23" t="n">
        <v>46271</v>
      </c>
      <c r="G5168" s="24">
        <f>F5168-DATE(2026,8,31)</f>
        <v>6</v>
      </c>
      <c r="H5168" s="25" t="n">
        <v>39278747</v>
      </c>
      <c r="I5168" t="inlineStr">
        <is>
          <t>entidad-dia</t>
        </is>
      </c>
    </row>
    <row r="5169">
      <c r="A5169" t="inlineStr">
        <is>
          <t>PRAGMA</t>
        </is>
      </c>
      <c r="B5169" t="inlineStr">
        <is>
          <t>M1</t>
        </is>
      </c>
      <c r="C5169" t="inlineStr">
        <is>
          <t>Cali</t>
        </is>
      </c>
      <c r="D5169" t="inlineStr">
        <is>
          <t>8393</t>
        </is>
      </c>
      <c r="E5169" t="inlineStr">
        <is>
          <t>pagado</t>
        </is>
      </c>
      <c r="F5169" s="23" t="n">
        <v>46272</v>
      </c>
      <c r="G5169" s="24">
        <f>F5169-DATE(2026,8,31)</f>
        <v>7</v>
      </c>
      <c r="H5169" s="25" t="n">
        <v>59482284</v>
      </c>
      <c r="I5169" t="inlineStr">
        <is>
          <t>entidad-dia</t>
        </is>
      </c>
    </row>
    <row r="5170">
      <c r="A5170" t="inlineStr">
        <is>
          <t>PRAGMA</t>
        </is>
      </c>
      <c r="B5170" t="inlineStr">
        <is>
          <t>M1</t>
        </is>
      </c>
      <c r="C5170" t="inlineStr">
        <is>
          <t>Cali</t>
        </is>
      </c>
      <c r="D5170" t="inlineStr">
        <is>
          <t>8393</t>
        </is>
      </c>
      <c r="E5170" t="inlineStr">
        <is>
          <t>pagado</t>
        </is>
      </c>
      <c r="F5170" s="23" t="n">
        <v>46273</v>
      </c>
      <c r="G5170" s="24">
        <f>F5170-DATE(2026,8,31)</f>
        <v>8</v>
      </c>
      <c r="H5170" s="25" t="n">
        <v>57563003</v>
      </c>
      <c r="I5170" t="inlineStr">
        <is>
          <t>entidad-dia</t>
        </is>
      </c>
    </row>
    <row r="5171">
      <c r="A5171" t="inlineStr">
        <is>
          <t>PRAGMA</t>
        </is>
      </c>
      <c r="B5171" t="inlineStr">
        <is>
          <t>M1</t>
        </is>
      </c>
      <c r="C5171" t="inlineStr">
        <is>
          <t>Cali</t>
        </is>
      </c>
      <c r="D5171" t="inlineStr">
        <is>
          <t>8393</t>
        </is>
      </c>
      <c r="E5171" t="inlineStr">
        <is>
          <t>pagado</t>
        </is>
      </c>
      <c r="F5171" s="23" t="n">
        <v>46274</v>
      </c>
      <c r="G5171" s="24">
        <f>F5171-DATE(2026,8,31)</f>
        <v>9</v>
      </c>
      <c r="H5171" s="25" t="n">
        <v>62034354</v>
      </c>
      <c r="I5171" t="inlineStr">
        <is>
          <t>entidad-dia</t>
        </is>
      </c>
    </row>
    <row r="5172">
      <c r="A5172" t="inlineStr">
        <is>
          <t>PRAGMA</t>
        </is>
      </c>
      <c r="B5172" t="inlineStr">
        <is>
          <t>M1</t>
        </is>
      </c>
      <c r="C5172" t="inlineStr">
        <is>
          <t>Cali</t>
        </is>
      </c>
      <c r="D5172" t="inlineStr">
        <is>
          <t>8393</t>
        </is>
      </c>
      <c r="E5172" t="inlineStr">
        <is>
          <t>pagado</t>
        </is>
      </c>
      <c r="F5172" s="23" t="n">
        <v>46275</v>
      </c>
      <c r="G5172" s="24">
        <f>F5172-DATE(2026,8,31)</f>
        <v>10</v>
      </c>
      <c r="H5172" s="25" t="n">
        <v>64931268</v>
      </c>
      <c r="I5172" t="inlineStr">
        <is>
          <t>entidad-dia</t>
        </is>
      </c>
    </row>
    <row r="5173">
      <c r="A5173" t="inlineStr">
        <is>
          <t>PRAGMA</t>
        </is>
      </c>
      <c r="B5173" t="inlineStr">
        <is>
          <t>M1</t>
        </is>
      </c>
      <c r="C5173" t="inlineStr">
        <is>
          <t>Cali</t>
        </is>
      </c>
      <c r="D5173" t="inlineStr">
        <is>
          <t>8393</t>
        </is>
      </c>
      <c r="E5173" t="inlineStr">
        <is>
          <t>pagado</t>
        </is>
      </c>
      <c r="F5173" s="23" t="n">
        <v>46276</v>
      </c>
      <c r="G5173" s="24">
        <f>F5173-DATE(2026,8,31)</f>
        <v>11</v>
      </c>
      <c r="H5173" s="25" t="n">
        <v>62391793</v>
      </c>
      <c r="I5173" t="inlineStr">
        <is>
          <t>entidad-dia</t>
        </is>
      </c>
    </row>
    <row r="5174">
      <c r="A5174" t="inlineStr">
        <is>
          <t>PRAGMA</t>
        </is>
      </c>
      <c r="B5174" t="inlineStr">
        <is>
          <t>M1</t>
        </is>
      </c>
      <c r="C5174" t="inlineStr">
        <is>
          <t>Cali</t>
        </is>
      </c>
      <c r="D5174" t="inlineStr">
        <is>
          <t>8393</t>
        </is>
      </c>
      <c r="E5174" t="inlineStr">
        <is>
          <t>pagado</t>
        </is>
      </c>
      <c r="F5174" s="23" t="n">
        <v>46277</v>
      </c>
      <c r="G5174" s="24">
        <f>F5174-DATE(2026,8,31)</f>
        <v>12</v>
      </c>
      <c r="H5174" s="25" t="n">
        <v>59559751</v>
      </c>
      <c r="I5174" t="inlineStr">
        <is>
          <t>entidad-dia</t>
        </is>
      </c>
    </row>
    <row r="5175">
      <c r="A5175" t="inlineStr">
        <is>
          <t>PRAGMA</t>
        </is>
      </c>
      <c r="B5175" t="inlineStr">
        <is>
          <t>M1</t>
        </is>
      </c>
      <c r="C5175" t="inlineStr">
        <is>
          <t>Cali</t>
        </is>
      </c>
      <c r="D5175" t="inlineStr">
        <is>
          <t>8393</t>
        </is>
      </c>
      <c r="E5175" t="inlineStr">
        <is>
          <t>pagado</t>
        </is>
      </c>
      <c r="F5175" s="23" t="n">
        <v>46278</v>
      </c>
      <c r="G5175" s="24">
        <f>F5175-DATE(2026,8,31)</f>
        <v>13</v>
      </c>
      <c r="H5175" s="25" t="n">
        <v>31525619</v>
      </c>
      <c r="I5175" t="inlineStr">
        <is>
          <t>entidad-dia</t>
        </is>
      </c>
    </row>
    <row r="5176">
      <c r="A5176" t="inlineStr">
        <is>
          <t>PRAGMA</t>
        </is>
      </c>
      <c r="B5176" t="inlineStr">
        <is>
          <t>M1</t>
        </is>
      </c>
      <c r="C5176" t="inlineStr">
        <is>
          <t>Cali</t>
        </is>
      </c>
      <c r="D5176" t="inlineStr">
        <is>
          <t>8393</t>
        </is>
      </c>
      <c r="E5176" t="inlineStr">
        <is>
          <t>pagado</t>
        </is>
      </c>
      <c r="F5176" s="23" t="n">
        <v>46279</v>
      </c>
      <c r="G5176" s="24">
        <f>F5176-DATE(2026,8,31)</f>
        <v>14</v>
      </c>
      <c r="H5176" s="25" t="n">
        <v>71625094</v>
      </c>
      <c r="I5176" t="inlineStr">
        <is>
          <t>entidad-dia</t>
        </is>
      </c>
    </row>
    <row r="5177">
      <c r="A5177" t="inlineStr">
        <is>
          <t>PRAGMA</t>
        </is>
      </c>
      <c r="B5177" t="inlineStr">
        <is>
          <t>M1</t>
        </is>
      </c>
      <c r="C5177" t="inlineStr">
        <is>
          <t>Cali</t>
        </is>
      </c>
      <c r="D5177" t="inlineStr">
        <is>
          <t>8393</t>
        </is>
      </c>
      <c r="E5177" t="inlineStr">
        <is>
          <t>pagado</t>
        </is>
      </c>
      <c r="F5177" s="23" t="n">
        <v>46280</v>
      </c>
      <c r="G5177" s="24">
        <f>F5177-DATE(2026,8,31)</f>
        <v>15</v>
      </c>
      <c r="H5177" s="25" t="n">
        <v>98219213</v>
      </c>
      <c r="I5177" t="inlineStr">
        <is>
          <t>entidad-dia</t>
        </is>
      </c>
    </row>
    <row r="5178">
      <c r="A5178" t="inlineStr">
        <is>
          <t>PRAGMA</t>
        </is>
      </c>
      <c r="B5178" t="inlineStr">
        <is>
          <t>M1</t>
        </is>
      </c>
      <c r="C5178" t="inlineStr">
        <is>
          <t>Cali</t>
        </is>
      </c>
      <c r="D5178" t="inlineStr">
        <is>
          <t>8396</t>
        </is>
      </c>
      <c r="E5178" t="inlineStr">
        <is>
          <t>pagado</t>
        </is>
      </c>
      <c r="F5178" s="23" t="n">
        <v>46266</v>
      </c>
      <c r="G5178" s="24">
        <f>F5178-DATE(2026,8,31)</f>
        <v>1</v>
      </c>
      <c r="H5178" s="25" t="n">
        <v>145944495</v>
      </c>
      <c r="I5178" t="inlineStr">
        <is>
          <t>entidad-dia</t>
        </is>
      </c>
    </row>
    <row r="5179">
      <c r="A5179" t="inlineStr">
        <is>
          <t>PRAGMA</t>
        </is>
      </c>
      <c r="B5179" t="inlineStr">
        <is>
          <t>M1</t>
        </is>
      </c>
      <c r="C5179" t="inlineStr">
        <is>
          <t>Cali</t>
        </is>
      </c>
      <c r="D5179" t="inlineStr">
        <is>
          <t>8396</t>
        </is>
      </c>
      <c r="E5179" t="inlineStr">
        <is>
          <t>pagado</t>
        </is>
      </c>
      <c r="F5179" s="23" t="n">
        <v>46267</v>
      </c>
      <c r="G5179" s="24">
        <f>F5179-DATE(2026,8,31)</f>
        <v>2</v>
      </c>
      <c r="H5179" s="25" t="n">
        <v>107373390</v>
      </c>
      <c r="I5179" t="inlineStr">
        <is>
          <t>entidad-dia</t>
        </is>
      </c>
    </row>
    <row r="5180">
      <c r="A5180" t="inlineStr">
        <is>
          <t>PRAGMA</t>
        </is>
      </c>
      <c r="B5180" t="inlineStr">
        <is>
          <t>M1</t>
        </is>
      </c>
      <c r="C5180" t="inlineStr">
        <is>
          <t>Cali</t>
        </is>
      </c>
      <c r="D5180" t="inlineStr">
        <is>
          <t>8396</t>
        </is>
      </c>
      <c r="E5180" t="inlineStr">
        <is>
          <t>pagado</t>
        </is>
      </c>
      <c r="F5180" s="23" t="n">
        <v>46268</v>
      </c>
      <c r="G5180" s="24">
        <f>F5180-DATE(2026,8,31)</f>
        <v>3</v>
      </c>
      <c r="H5180" s="25" t="n">
        <v>94598608</v>
      </c>
      <c r="I5180" t="inlineStr">
        <is>
          <t>entidad-dia</t>
        </is>
      </c>
    </row>
    <row r="5181">
      <c r="A5181" t="inlineStr">
        <is>
          <t>PRAGMA</t>
        </is>
      </c>
      <c r="B5181" t="inlineStr">
        <is>
          <t>M1</t>
        </is>
      </c>
      <c r="C5181" t="inlineStr">
        <is>
          <t>Cali</t>
        </is>
      </c>
      <c r="D5181" t="inlineStr">
        <is>
          <t>8396</t>
        </is>
      </c>
      <c r="E5181" t="inlineStr">
        <is>
          <t>pagado</t>
        </is>
      </c>
      <c r="F5181" s="23" t="n">
        <v>46269</v>
      </c>
      <c r="G5181" s="24">
        <f>F5181-DATE(2026,8,31)</f>
        <v>4</v>
      </c>
      <c r="H5181" s="25" t="n">
        <v>94797221</v>
      </c>
      <c r="I5181" t="inlineStr">
        <is>
          <t>entidad-dia</t>
        </is>
      </c>
    </row>
    <row r="5182">
      <c r="A5182" t="inlineStr">
        <is>
          <t>PRAGMA</t>
        </is>
      </c>
      <c r="B5182" t="inlineStr">
        <is>
          <t>M1</t>
        </is>
      </c>
      <c r="C5182" t="inlineStr">
        <is>
          <t>Cali</t>
        </is>
      </c>
      <c r="D5182" t="inlineStr">
        <is>
          <t>8396</t>
        </is>
      </c>
      <c r="E5182" t="inlineStr">
        <is>
          <t>pagado</t>
        </is>
      </c>
      <c r="F5182" s="23" t="n">
        <v>46270</v>
      </c>
      <c r="G5182" s="24">
        <f>F5182-DATE(2026,8,31)</f>
        <v>5</v>
      </c>
      <c r="H5182" s="25" t="n">
        <v>97771388</v>
      </c>
      <c r="I5182" t="inlineStr">
        <is>
          <t>entidad-dia</t>
        </is>
      </c>
    </row>
    <row r="5183">
      <c r="A5183" t="inlineStr">
        <is>
          <t>PRAGMA</t>
        </is>
      </c>
      <c r="B5183" t="inlineStr">
        <is>
          <t>M1</t>
        </is>
      </c>
      <c r="C5183" t="inlineStr">
        <is>
          <t>Cali</t>
        </is>
      </c>
      <c r="D5183" t="inlineStr">
        <is>
          <t>8396</t>
        </is>
      </c>
      <c r="E5183" t="inlineStr">
        <is>
          <t>pagado</t>
        </is>
      </c>
      <c r="F5183" s="23" t="n">
        <v>46271</v>
      </c>
      <c r="G5183" s="24">
        <f>F5183-DATE(2026,8,31)</f>
        <v>6</v>
      </c>
      <c r="H5183" s="25" t="n">
        <v>53562926</v>
      </c>
      <c r="I5183" t="inlineStr">
        <is>
          <t>entidad-dia</t>
        </is>
      </c>
    </row>
    <row r="5184">
      <c r="A5184" t="inlineStr">
        <is>
          <t>PRAGMA</t>
        </is>
      </c>
      <c r="B5184" t="inlineStr">
        <is>
          <t>M1</t>
        </is>
      </c>
      <c r="C5184" t="inlineStr">
        <is>
          <t>Cali</t>
        </is>
      </c>
      <c r="D5184" t="inlineStr">
        <is>
          <t>8396</t>
        </is>
      </c>
      <c r="E5184" t="inlineStr">
        <is>
          <t>pagado</t>
        </is>
      </c>
      <c r="F5184" s="23" t="n">
        <v>46272</v>
      </c>
      <c r="G5184" s="24">
        <f>F5184-DATE(2026,8,31)</f>
        <v>7</v>
      </c>
      <c r="H5184" s="25" t="n">
        <v>65150110</v>
      </c>
      <c r="I5184" t="inlineStr">
        <is>
          <t>entidad-dia</t>
        </is>
      </c>
    </row>
    <row r="5185">
      <c r="A5185" t="inlineStr">
        <is>
          <t>PRAGMA</t>
        </is>
      </c>
      <c r="B5185" t="inlineStr">
        <is>
          <t>M1</t>
        </is>
      </c>
      <c r="C5185" t="inlineStr">
        <is>
          <t>Cali</t>
        </is>
      </c>
      <c r="D5185" t="inlineStr">
        <is>
          <t>8396</t>
        </is>
      </c>
      <c r="E5185" t="inlineStr">
        <is>
          <t>pagado</t>
        </is>
      </c>
      <c r="F5185" s="23" t="n">
        <v>46273</v>
      </c>
      <c r="G5185" s="24">
        <f>F5185-DATE(2026,8,31)</f>
        <v>8</v>
      </c>
      <c r="H5185" s="25" t="n">
        <v>63637131</v>
      </c>
      <c r="I5185" t="inlineStr">
        <is>
          <t>entidad-dia</t>
        </is>
      </c>
    </row>
    <row r="5186">
      <c r="A5186" t="inlineStr">
        <is>
          <t>PRAGMA</t>
        </is>
      </c>
      <c r="B5186" t="inlineStr">
        <is>
          <t>M1</t>
        </is>
      </c>
      <c r="C5186" t="inlineStr">
        <is>
          <t>Cali</t>
        </is>
      </c>
      <c r="D5186" t="inlineStr">
        <is>
          <t>8396</t>
        </is>
      </c>
      <c r="E5186" t="inlineStr">
        <is>
          <t>pagado</t>
        </is>
      </c>
      <c r="F5186" s="23" t="n">
        <v>46274</v>
      </c>
      <c r="G5186" s="24">
        <f>F5186-DATE(2026,8,31)</f>
        <v>9</v>
      </c>
      <c r="H5186" s="25" t="n">
        <v>65938875</v>
      </c>
      <c r="I5186" t="inlineStr">
        <is>
          <t>entidad-dia</t>
        </is>
      </c>
    </row>
    <row r="5187">
      <c r="A5187" t="inlineStr">
        <is>
          <t>PRAGMA</t>
        </is>
      </c>
      <c r="B5187" t="inlineStr">
        <is>
          <t>M1</t>
        </is>
      </c>
      <c r="C5187" t="inlineStr">
        <is>
          <t>Cali</t>
        </is>
      </c>
      <c r="D5187" t="inlineStr">
        <is>
          <t>8396</t>
        </is>
      </c>
      <c r="E5187" t="inlineStr">
        <is>
          <t>pagado</t>
        </is>
      </c>
      <c r="F5187" s="23" t="n">
        <v>46275</v>
      </c>
      <c r="G5187" s="24">
        <f>F5187-DATE(2026,8,31)</f>
        <v>10</v>
      </c>
      <c r="H5187" s="25" t="n">
        <v>69498638</v>
      </c>
      <c r="I5187" t="inlineStr">
        <is>
          <t>entidad-dia</t>
        </is>
      </c>
    </row>
    <row r="5188">
      <c r="A5188" t="inlineStr">
        <is>
          <t>PRAGMA</t>
        </is>
      </c>
      <c r="B5188" t="inlineStr">
        <is>
          <t>M1</t>
        </is>
      </c>
      <c r="C5188" t="inlineStr">
        <is>
          <t>Cali</t>
        </is>
      </c>
      <c r="D5188" t="inlineStr">
        <is>
          <t>8396</t>
        </is>
      </c>
      <c r="E5188" t="inlineStr">
        <is>
          <t>pagado</t>
        </is>
      </c>
      <c r="F5188" s="23" t="n">
        <v>46276</v>
      </c>
      <c r="G5188" s="24">
        <f>F5188-DATE(2026,8,31)</f>
        <v>11</v>
      </c>
      <c r="H5188" s="25" t="n">
        <v>80434018</v>
      </c>
      <c r="I5188" t="inlineStr">
        <is>
          <t>entidad-dia</t>
        </is>
      </c>
    </row>
    <row r="5189">
      <c r="A5189" t="inlineStr">
        <is>
          <t>PRAGMA</t>
        </is>
      </c>
      <c r="B5189" t="inlineStr">
        <is>
          <t>M1</t>
        </is>
      </c>
      <c r="C5189" t="inlineStr">
        <is>
          <t>Cali</t>
        </is>
      </c>
      <c r="D5189" t="inlineStr">
        <is>
          <t>8396</t>
        </is>
      </c>
      <c r="E5189" t="inlineStr">
        <is>
          <t>pagado</t>
        </is>
      </c>
      <c r="F5189" s="23" t="n">
        <v>46277</v>
      </c>
      <c r="G5189" s="24">
        <f>F5189-DATE(2026,8,31)</f>
        <v>12</v>
      </c>
      <c r="H5189" s="25" t="n">
        <v>88538526</v>
      </c>
      <c r="I5189" t="inlineStr">
        <is>
          <t>entidad-dia</t>
        </is>
      </c>
    </row>
    <row r="5190">
      <c r="A5190" t="inlineStr">
        <is>
          <t>PRAGMA</t>
        </is>
      </c>
      <c r="B5190" t="inlineStr">
        <is>
          <t>M1</t>
        </is>
      </c>
      <c r="C5190" t="inlineStr">
        <is>
          <t>Cali</t>
        </is>
      </c>
      <c r="D5190" t="inlineStr">
        <is>
          <t>8396</t>
        </is>
      </c>
      <c r="E5190" t="inlineStr">
        <is>
          <t>pagado</t>
        </is>
      </c>
      <c r="F5190" s="23" t="n">
        <v>46278</v>
      </c>
      <c r="G5190" s="24">
        <f>F5190-DATE(2026,8,31)</f>
        <v>13</v>
      </c>
      <c r="H5190" s="25" t="n">
        <v>45158047</v>
      </c>
      <c r="I5190" t="inlineStr">
        <is>
          <t>entidad-dia</t>
        </is>
      </c>
    </row>
    <row r="5191">
      <c r="A5191" t="inlineStr">
        <is>
          <t>PRAGMA</t>
        </is>
      </c>
      <c r="B5191" t="inlineStr">
        <is>
          <t>M1</t>
        </is>
      </c>
      <c r="C5191" t="inlineStr">
        <is>
          <t>Cali</t>
        </is>
      </c>
      <c r="D5191" t="inlineStr">
        <is>
          <t>8396</t>
        </is>
      </c>
      <c r="E5191" t="inlineStr">
        <is>
          <t>pagado</t>
        </is>
      </c>
      <c r="F5191" s="23" t="n">
        <v>46279</v>
      </c>
      <c r="G5191" s="24">
        <f>F5191-DATE(2026,8,31)</f>
        <v>14</v>
      </c>
      <c r="H5191" s="25" t="n">
        <v>75703107</v>
      </c>
      <c r="I5191" t="inlineStr">
        <is>
          <t>entidad-dia</t>
        </is>
      </c>
    </row>
    <row r="5192">
      <c r="A5192" t="inlineStr">
        <is>
          <t>PRAGMA</t>
        </is>
      </c>
      <c r="B5192" t="inlineStr">
        <is>
          <t>M1</t>
        </is>
      </c>
      <c r="C5192" t="inlineStr">
        <is>
          <t>Cali</t>
        </is>
      </c>
      <c r="D5192" t="inlineStr">
        <is>
          <t>8396</t>
        </is>
      </c>
      <c r="E5192" t="inlineStr">
        <is>
          <t>pagado</t>
        </is>
      </c>
      <c r="F5192" s="23" t="n">
        <v>46280</v>
      </c>
      <c r="G5192" s="24">
        <f>F5192-DATE(2026,8,31)</f>
        <v>15</v>
      </c>
      <c r="H5192" s="25" t="n">
        <v>116317398</v>
      </c>
      <c r="I5192" t="inlineStr">
        <is>
          <t>entidad-dia</t>
        </is>
      </c>
    </row>
    <row r="5193">
      <c r="A5193" t="inlineStr">
        <is>
          <t>PRAGMA</t>
        </is>
      </c>
      <c r="B5193" t="inlineStr">
        <is>
          <t>M1</t>
        </is>
      </c>
      <c r="C5193" t="inlineStr">
        <is>
          <t>Cali</t>
        </is>
      </c>
      <c r="D5193" t="inlineStr">
        <is>
          <t>8405</t>
        </is>
      </c>
      <c r="E5193" t="inlineStr">
        <is>
          <t>pagado</t>
        </is>
      </c>
      <c r="F5193" s="23" t="n">
        <v>46266</v>
      </c>
      <c r="G5193" s="24">
        <f>F5193-DATE(2026,8,31)</f>
        <v>1</v>
      </c>
      <c r="H5193" s="25" t="n">
        <v>91573124</v>
      </c>
      <c r="I5193" t="inlineStr">
        <is>
          <t>entidad-dia</t>
        </is>
      </c>
    </row>
    <row r="5194">
      <c r="A5194" t="inlineStr">
        <is>
          <t>PRAGMA</t>
        </is>
      </c>
      <c r="B5194" t="inlineStr">
        <is>
          <t>M1</t>
        </is>
      </c>
      <c r="C5194" t="inlineStr">
        <is>
          <t>Cali</t>
        </is>
      </c>
      <c r="D5194" t="inlineStr">
        <is>
          <t>8405</t>
        </is>
      </c>
      <c r="E5194" t="inlineStr">
        <is>
          <t>pagado</t>
        </is>
      </c>
      <c r="F5194" s="23" t="n">
        <v>46267</v>
      </c>
      <c r="G5194" s="24">
        <f>F5194-DATE(2026,8,31)</f>
        <v>2</v>
      </c>
      <c r="H5194" s="25" t="n">
        <v>68102009</v>
      </c>
      <c r="I5194" t="inlineStr">
        <is>
          <t>entidad-dia</t>
        </is>
      </c>
    </row>
    <row r="5195">
      <c r="A5195" t="inlineStr">
        <is>
          <t>PRAGMA</t>
        </is>
      </c>
      <c r="B5195" t="inlineStr">
        <is>
          <t>M1</t>
        </is>
      </c>
      <c r="C5195" t="inlineStr">
        <is>
          <t>Cali</t>
        </is>
      </c>
      <c r="D5195" t="inlineStr">
        <is>
          <t>8405</t>
        </is>
      </c>
      <c r="E5195" t="inlineStr">
        <is>
          <t>pagado</t>
        </is>
      </c>
      <c r="F5195" s="23" t="n">
        <v>46268</v>
      </c>
      <c r="G5195" s="24">
        <f>F5195-DATE(2026,8,31)</f>
        <v>3</v>
      </c>
      <c r="H5195" s="25" t="n">
        <v>57223345</v>
      </c>
      <c r="I5195" t="inlineStr">
        <is>
          <t>entidad-dia</t>
        </is>
      </c>
    </row>
    <row r="5196">
      <c r="A5196" t="inlineStr">
        <is>
          <t>PRAGMA</t>
        </is>
      </c>
      <c r="B5196" t="inlineStr">
        <is>
          <t>M1</t>
        </is>
      </c>
      <c r="C5196" t="inlineStr">
        <is>
          <t>Cali</t>
        </is>
      </c>
      <c r="D5196" t="inlineStr">
        <is>
          <t>8405</t>
        </is>
      </c>
      <c r="E5196" t="inlineStr">
        <is>
          <t>pagado</t>
        </is>
      </c>
      <c r="F5196" s="23" t="n">
        <v>46269</v>
      </c>
      <c r="G5196" s="24">
        <f>F5196-DATE(2026,8,31)</f>
        <v>4</v>
      </c>
      <c r="H5196" s="25" t="n">
        <v>61471324</v>
      </c>
      <c r="I5196" t="inlineStr">
        <is>
          <t>entidad-dia</t>
        </is>
      </c>
    </row>
    <row r="5197">
      <c r="A5197" t="inlineStr">
        <is>
          <t>PRAGMA</t>
        </is>
      </c>
      <c r="B5197" t="inlineStr">
        <is>
          <t>M1</t>
        </is>
      </c>
      <c r="C5197" t="inlineStr">
        <is>
          <t>Cali</t>
        </is>
      </c>
      <c r="D5197" t="inlineStr">
        <is>
          <t>8405</t>
        </is>
      </c>
      <c r="E5197" t="inlineStr">
        <is>
          <t>pagado</t>
        </is>
      </c>
      <c r="F5197" s="23" t="n">
        <v>46270</v>
      </c>
      <c r="G5197" s="24">
        <f>F5197-DATE(2026,8,31)</f>
        <v>5</v>
      </c>
      <c r="H5197" s="25" t="n">
        <v>61440132</v>
      </c>
      <c r="I5197" t="inlineStr">
        <is>
          <t>entidad-dia</t>
        </is>
      </c>
    </row>
    <row r="5198">
      <c r="A5198" t="inlineStr">
        <is>
          <t>PRAGMA</t>
        </is>
      </c>
      <c r="B5198" t="inlineStr">
        <is>
          <t>M1</t>
        </is>
      </c>
      <c r="C5198" t="inlineStr">
        <is>
          <t>Cali</t>
        </is>
      </c>
      <c r="D5198" t="inlineStr">
        <is>
          <t>8405</t>
        </is>
      </c>
      <c r="E5198" t="inlineStr">
        <is>
          <t>pagado</t>
        </is>
      </c>
      <c r="F5198" s="23" t="n">
        <v>46271</v>
      </c>
      <c r="G5198" s="24">
        <f>F5198-DATE(2026,8,31)</f>
        <v>6</v>
      </c>
      <c r="H5198" s="25" t="n">
        <v>40240101</v>
      </c>
      <c r="I5198" t="inlineStr">
        <is>
          <t>entidad-dia</t>
        </is>
      </c>
    </row>
    <row r="5199">
      <c r="A5199" t="inlineStr">
        <is>
          <t>PRAGMA</t>
        </is>
      </c>
      <c r="B5199" t="inlineStr">
        <is>
          <t>M1</t>
        </is>
      </c>
      <c r="C5199" t="inlineStr">
        <is>
          <t>Cali</t>
        </is>
      </c>
      <c r="D5199" t="inlineStr">
        <is>
          <t>8405</t>
        </is>
      </c>
      <c r="E5199" t="inlineStr">
        <is>
          <t>pagado</t>
        </is>
      </c>
      <c r="F5199" s="23" t="n">
        <v>46272</v>
      </c>
      <c r="G5199" s="24">
        <f>F5199-DATE(2026,8,31)</f>
        <v>7</v>
      </c>
      <c r="H5199" s="25" t="n">
        <v>47920763</v>
      </c>
      <c r="I5199" t="inlineStr">
        <is>
          <t>entidad-dia</t>
        </is>
      </c>
    </row>
    <row r="5200">
      <c r="A5200" t="inlineStr">
        <is>
          <t>PRAGMA</t>
        </is>
      </c>
      <c r="B5200" t="inlineStr">
        <is>
          <t>M1</t>
        </is>
      </c>
      <c r="C5200" t="inlineStr">
        <is>
          <t>Cali</t>
        </is>
      </c>
      <c r="D5200" t="inlineStr">
        <is>
          <t>8405</t>
        </is>
      </c>
      <c r="E5200" t="inlineStr">
        <is>
          <t>pagado</t>
        </is>
      </c>
      <c r="F5200" s="23" t="n">
        <v>46273</v>
      </c>
      <c r="G5200" s="24">
        <f>F5200-DATE(2026,8,31)</f>
        <v>8</v>
      </c>
      <c r="H5200" s="25" t="n">
        <v>46260737</v>
      </c>
      <c r="I5200" t="inlineStr">
        <is>
          <t>entidad-dia</t>
        </is>
      </c>
    </row>
    <row r="5201">
      <c r="A5201" t="inlineStr">
        <is>
          <t>PRAGMA</t>
        </is>
      </c>
      <c r="B5201" t="inlineStr">
        <is>
          <t>M1</t>
        </is>
      </c>
      <c r="C5201" t="inlineStr">
        <is>
          <t>Cali</t>
        </is>
      </c>
      <c r="D5201" t="inlineStr">
        <is>
          <t>8405</t>
        </is>
      </c>
      <c r="E5201" t="inlineStr">
        <is>
          <t>pagado</t>
        </is>
      </c>
      <c r="F5201" s="23" t="n">
        <v>46274</v>
      </c>
      <c r="G5201" s="24">
        <f>F5201-DATE(2026,8,31)</f>
        <v>9</v>
      </c>
      <c r="H5201" s="25" t="n">
        <v>40613458</v>
      </c>
      <c r="I5201" t="inlineStr">
        <is>
          <t>entidad-dia</t>
        </is>
      </c>
    </row>
    <row r="5202">
      <c r="A5202" t="inlineStr">
        <is>
          <t>PRAGMA</t>
        </is>
      </c>
      <c r="B5202" t="inlineStr">
        <is>
          <t>M1</t>
        </is>
      </c>
      <c r="C5202" t="inlineStr">
        <is>
          <t>Cali</t>
        </is>
      </c>
      <c r="D5202" t="inlineStr">
        <is>
          <t>8405</t>
        </is>
      </c>
      <c r="E5202" t="inlineStr">
        <is>
          <t>pagado</t>
        </is>
      </c>
      <c r="F5202" s="23" t="n">
        <v>46275</v>
      </c>
      <c r="G5202" s="24">
        <f>F5202-DATE(2026,8,31)</f>
        <v>10</v>
      </c>
      <c r="H5202" s="25" t="n">
        <v>43739322</v>
      </c>
      <c r="I5202" t="inlineStr">
        <is>
          <t>entidad-dia</t>
        </is>
      </c>
    </row>
    <row r="5203">
      <c r="A5203" t="inlineStr">
        <is>
          <t>PRAGMA</t>
        </is>
      </c>
      <c r="B5203" t="inlineStr">
        <is>
          <t>M1</t>
        </is>
      </c>
      <c r="C5203" t="inlineStr">
        <is>
          <t>Cali</t>
        </is>
      </c>
      <c r="D5203" t="inlineStr">
        <is>
          <t>8405</t>
        </is>
      </c>
      <c r="E5203" t="inlineStr">
        <is>
          <t>pagado</t>
        </is>
      </c>
      <c r="F5203" s="23" t="n">
        <v>46276</v>
      </c>
      <c r="G5203" s="24">
        <f>F5203-DATE(2026,8,31)</f>
        <v>11</v>
      </c>
      <c r="H5203" s="25" t="n">
        <v>43420488</v>
      </c>
      <c r="I5203" t="inlineStr">
        <is>
          <t>entidad-dia</t>
        </is>
      </c>
    </row>
    <row r="5204">
      <c r="A5204" t="inlineStr">
        <is>
          <t>PRAGMA</t>
        </is>
      </c>
      <c r="B5204" t="inlineStr">
        <is>
          <t>M1</t>
        </is>
      </c>
      <c r="C5204" t="inlineStr">
        <is>
          <t>Cali</t>
        </is>
      </c>
      <c r="D5204" t="inlineStr">
        <is>
          <t>8405</t>
        </is>
      </c>
      <c r="E5204" t="inlineStr">
        <is>
          <t>pagado</t>
        </is>
      </c>
      <c r="F5204" s="23" t="n">
        <v>46277</v>
      </c>
      <c r="G5204" s="24">
        <f>F5204-DATE(2026,8,31)</f>
        <v>12</v>
      </c>
      <c r="H5204" s="25" t="n">
        <v>45596435</v>
      </c>
      <c r="I5204" t="inlineStr">
        <is>
          <t>entidad-dia</t>
        </is>
      </c>
    </row>
    <row r="5205">
      <c r="A5205" t="inlineStr">
        <is>
          <t>PRAGMA</t>
        </is>
      </c>
      <c r="B5205" t="inlineStr">
        <is>
          <t>M1</t>
        </is>
      </c>
      <c r="C5205" t="inlineStr">
        <is>
          <t>Cali</t>
        </is>
      </c>
      <c r="D5205" t="inlineStr">
        <is>
          <t>8405</t>
        </is>
      </c>
      <c r="E5205" t="inlineStr">
        <is>
          <t>pagado</t>
        </is>
      </c>
      <c r="F5205" s="23" t="n">
        <v>46278</v>
      </c>
      <c r="G5205" s="24">
        <f>F5205-DATE(2026,8,31)</f>
        <v>13</v>
      </c>
      <c r="H5205" s="25" t="n">
        <v>25357479</v>
      </c>
      <c r="I5205" t="inlineStr">
        <is>
          <t>entidad-dia</t>
        </is>
      </c>
    </row>
    <row r="5206">
      <c r="A5206" t="inlineStr">
        <is>
          <t>PRAGMA</t>
        </is>
      </c>
      <c r="B5206" t="inlineStr">
        <is>
          <t>M1</t>
        </is>
      </c>
      <c r="C5206" t="inlineStr">
        <is>
          <t>Cali</t>
        </is>
      </c>
      <c r="D5206" t="inlineStr">
        <is>
          <t>8405</t>
        </is>
      </c>
      <c r="E5206" t="inlineStr">
        <is>
          <t>pagado</t>
        </is>
      </c>
      <c r="F5206" s="23" t="n">
        <v>46279</v>
      </c>
      <c r="G5206" s="24">
        <f>F5206-DATE(2026,8,31)</f>
        <v>14</v>
      </c>
      <c r="H5206" s="25" t="n">
        <v>38182328</v>
      </c>
      <c r="I5206" t="inlineStr">
        <is>
          <t>entidad-dia</t>
        </is>
      </c>
    </row>
    <row r="5207">
      <c r="A5207" t="inlineStr">
        <is>
          <t>PRAGMA</t>
        </is>
      </c>
      <c r="B5207" t="inlineStr">
        <is>
          <t>M1</t>
        </is>
      </c>
      <c r="C5207" t="inlineStr">
        <is>
          <t>Cali</t>
        </is>
      </c>
      <c r="D5207" t="inlineStr">
        <is>
          <t>8405</t>
        </is>
      </c>
      <c r="E5207" t="inlineStr">
        <is>
          <t>pagado</t>
        </is>
      </c>
      <c r="F5207" s="23" t="n">
        <v>46280</v>
      </c>
      <c r="G5207" s="24">
        <f>F5207-DATE(2026,8,31)</f>
        <v>15</v>
      </c>
      <c r="H5207" s="25" t="n">
        <v>64108935</v>
      </c>
      <c r="I5207" t="inlineStr">
        <is>
          <t>entidad-dia</t>
        </is>
      </c>
    </row>
    <row r="5208">
      <c r="A5208" t="inlineStr">
        <is>
          <t>PRAGMA</t>
        </is>
      </c>
      <c r="B5208" t="inlineStr">
        <is>
          <t>M1</t>
        </is>
      </c>
      <c r="C5208" t="inlineStr">
        <is>
          <t>Cali</t>
        </is>
      </c>
      <c r="D5208" t="inlineStr">
        <is>
          <t>8406</t>
        </is>
      </c>
      <c r="E5208" t="inlineStr">
        <is>
          <t>pagado</t>
        </is>
      </c>
      <c r="F5208" s="23" t="n">
        <v>46266</v>
      </c>
      <c r="G5208" s="24">
        <f>F5208-DATE(2026,8,31)</f>
        <v>1</v>
      </c>
      <c r="H5208" s="25" t="n">
        <v>102086992</v>
      </c>
      <c r="I5208" t="inlineStr">
        <is>
          <t>entidad-dia</t>
        </is>
      </c>
    </row>
    <row r="5209">
      <c r="A5209" t="inlineStr">
        <is>
          <t>PRAGMA</t>
        </is>
      </c>
      <c r="B5209" t="inlineStr">
        <is>
          <t>M1</t>
        </is>
      </c>
      <c r="C5209" t="inlineStr">
        <is>
          <t>Cali</t>
        </is>
      </c>
      <c r="D5209" t="inlineStr">
        <is>
          <t>8406</t>
        </is>
      </c>
      <c r="E5209" t="inlineStr">
        <is>
          <t>pagado</t>
        </is>
      </c>
      <c r="F5209" s="23" t="n">
        <v>46267</v>
      </c>
      <c r="G5209" s="24">
        <f>F5209-DATE(2026,8,31)</f>
        <v>2</v>
      </c>
      <c r="H5209" s="25" t="n">
        <v>77903144</v>
      </c>
      <c r="I5209" t="inlineStr">
        <is>
          <t>entidad-dia</t>
        </is>
      </c>
    </row>
    <row r="5210">
      <c r="A5210" t="inlineStr">
        <is>
          <t>PRAGMA</t>
        </is>
      </c>
      <c r="B5210" t="inlineStr">
        <is>
          <t>M1</t>
        </is>
      </c>
      <c r="C5210" t="inlineStr">
        <is>
          <t>Cali</t>
        </is>
      </c>
      <c r="D5210" t="inlineStr">
        <is>
          <t>8406</t>
        </is>
      </c>
      <c r="E5210" t="inlineStr">
        <is>
          <t>pagado</t>
        </is>
      </c>
      <c r="F5210" s="23" t="n">
        <v>46268</v>
      </c>
      <c r="G5210" s="24">
        <f>F5210-DATE(2026,8,31)</f>
        <v>3</v>
      </c>
      <c r="H5210" s="25" t="n">
        <v>69367306</v>
      </c>
      <c r="I5210" t="inlineStr">
        <is>
          <t>entidad-dia</t>
        </is>
      </c>
    </row>
    <row r="5211">
      <c r="A5211" t="inlineStr">
        <is>
          <t>PRAGMA</t>
        </is>
      </c>
      <c r="B5211" t="inlineStr">
        <is>
          <t>M1</t>
        </is>
      </c>
      <c r="C5211" t="inlineStr">
        <is>
          <t>Cali</t>
        </is>
      </c>
      <c r="D5211" t="inlineStr">
        <is>
          <t>8406</t>
        </is>
      </c>
      <c r="E5211" t="inlineStr">
        <is>
          <t>pagado</t>
        </is>
      </c>
      <c r="F5211" s="23" t="n">
        <v>46269</v>
      </c>
      <c r="G5211" s="24">
        <f>F5211-DATE(2026,8,31)</f>
        <v>4</v>
      </c>
      <c r="H5211" s="25" t="n">
        <v>75667434</v>
      </c>
      <c r="I5211" t="inlineStr">
        <is>
          <t>entidad-dia</t>
        </is>
      </c>
    </row>
    <row r="5212">
      <c r="A5212" t="inlineStr">
        <is>
          <t>PRAGMA</t>
        </is>
      </c>
      <c r="B5212" t="inlineStr">
        <is>
          <t>M1</t>
        </is>
      </c>
      <c r="C5212" t="inlineStr">
        <is>
          <t>Cali</t>
        </is>
      </c>
      <c r="D5212" t="inlineStr">
        <is>
          <t>8406</t>
        </is>
      </c>
      <c r="E5212" t="inlineStr">
        <is>
          <t>pagado</t>
        </is>
      </c>
      <c r="F5212" s="23" t="n">
        <v>46270</v>
      </c>
      <c r="G5212" s="24">
        <f>F5212-DATE(2026,8,31)</f>
        <v>5</v>
      </c>
      <c r="H5212" s="25" t="n">
        <v>67213911</v>
      </c>
      <c r="I5212" t="inlineStr">
        <is>
          <t>entidad-dia</t>
        </is>
      </c>
    </row>
    <row r="5213">
      <c r="A5213" t="inlineStr">
        <is>
          <t>PRAGMA</t>
        </is>
      </c>
      <c r="B5213" t="inlineStr">
        <is>
          <t>M1</t>
        </is>
      </c>
      <c r="C5213" t="inlineStr">
        <is>
          <t>Cali</t>
        </is>
      </c>
      <c r="D5213" t="inlineStr">
        <is>
          <t>8406</t>
        </is>
      </c>
      <c r="E5213" t="inlineStr">
        <is>
          <t>pagado</t>
        </is>
      </c>
      <c r="F5213" s="23" t="n">
        <v>46271</v>
      </c>
      <c r="G5213" s="24">
        <f>F5213-DATE(2026,8,31)</f>
        <v>6</v>
      </c>
      <c r="H5213" s="25" t="n">
        <v>22065011</v>
      </c>
      <c r="I5213" t="inlineStr">
        <is>
          <t>entidad-dia</t>
        </is>
      </c>
    </row>
    <row r="5214">
      <c r="A5214" t="inlineStr">
        <is>
          <t>PRAGMA</t>
        </is>
      </c>
      <c r="B5214" t="inlineStr">
        <is>
          <t>M1</t>
        </is>
      </c>
      <c r="C5214" t="inlineStr">
        <is>
          <t>Cali</t>
        </is>
      </c>
      <c r="D5214" t="inlineStr">
        <is>
          <t>8406</t>
        </is>
      </c>
      <c r="E5214" t="inlineStr">
        <is>
          <t>pagado</t>
        </is>
      </c>
      <c r="F5214" s="23" t="n">
        <v>46272</v>
      </c>
      <c r="G5214" s="24">
        <f>F5214-DATE(2026,8,31)</f>
        <v>7</v>
      </c>
      <c r="H5214" s="25" t="n">
        <v>53295971</v>
      </c>
      <c r="I5214" t="inlineStr">
        <is>
          <t>entidad-dia</t>
        </is>
      </c>
    </row>
    <row r="5215">
      <c r="A5215" t="inlineStr">
        <is>
          <t>PRAGMA</t>
        </is>
      </c>
      <c r="B5215" t="inlineStr">
        <is>
          <t>M1</t>
        </is>
      </c>
      <c r="C5215" t="inlineStr">
        <is>
          <t>Cali</t>
        </is>
      </c>
      <c r="D5215" t="inlineStr">
        <is>
          <t>8406</t>
        </is>
      </c>
      <c r="E5215" t="inlineStr">
        <is>
          <t>pagado</t>
        </is>
      </c>
      <c r="F5215" s="23" t="n">
        <v>46273</v>
      </c>
      <c r="G5215" s="24">
        <f>F5215-DATE(2026,8,31)</f>
        <v>8</v>
      </c>
      <c r="H5215" s="25" t="n">
        <v>39423266</v>
      </c>
      <c r="I5215" t="inlineStr">
        <is>
          <t>entidad-dia</t>
        </is>
      </c>
    </row>
    <row r="5216">
      <c r="A5216" t="inlineStr">
        <is>
          <t>PRAGMA</t>
        </is>
      </c>
      <c r="B5216" t="inlineStr">
        <is>
          <t>M1</t>
        </is>
      </c>
      <c r="C5216" t="inlineStr">
        <is>
          <t>Cali</t>
        </is>
      </c>
      <c r="D5216" t="inlineStr">
        <is>
          <t>8406</t>
        </is>
      </c>
      <c r="E5216" t="inlineStr">
        <is>
          <t>pagado</t>
        </is>
      </c>
      <c r="F5216" s="23" t="n">
        <v>46274</v>
      </c>
      <c r="G5216" s="24">
        <f>F5216-DATE(2026,8,31)</f>
        <v>9</v>
      </c>
      <c r="H5216" s="25" t="n">
        <v>46131203</v>
      </c>
      <c r="I5216" t="inlineStr">
        <is>
          <t>entidad-dia</t>
        </is>
      </c>
    </row>
    <row r="5217">
      <c r="A5217" t="inlineStr">
        <is>
          <t>PRAGMA</t>
        </is>
      </c>
      <c r="B5217" t="inlineStr">
        <is>
          <t>M1</t>
        </is>
      </c>
      <c r="C5217" t="inlineStr">
        <is>
          <t>Cali</t>
        </is>
      </c>
      <c r="D5217" t="inlineStr">
        <is>
          <t>8406</t>
        </is>
      </c>
      <c r="E5217" t="inlineStr">
        <is>
          <t>pagado</t>
        </is>
      </c>
      <c r="F5217" s="23" t="n">
        <v>46275</v>
      </c>
      <c r="G5217" s="24">
        <f>F5217-DATE(2026,8,31)</f>
        <v>10</v>
      </c>
      <c r="H5217" s="25" t="n">
        <v>45142168</v>
      </c>
      <c r="I5217" t="inlineStr">
        <is>
          <t>entidad-dia</t>
        </is>
      </c>
    </row>
    <row r="5218">
      <c r="A5218" t="inlineStr">
        <is>
          <t>PRAGMA</t>
        </is>
      </c>
      <c r="B5218" t="inlineStr">
        <is>
          <t>M1</t>
        </is>
      </c>
      <c r="C5218" t="inlineStr">
        <is>
          <t>Cali</t>
        </is>
      </c>
      <c r="D5218" t="inlineStr">
        <is>
          <t>8406</t>
        </is>
      </c>
      <c r="E5218" t="inlineStr">
        <is>
          <t>pagado</t>
        </is>
      </c>
      <c r="F5218" s="23" t="n">
        <v>46276</v>
      </c>
      <c r="G5218" s="24">
        <f>F5218-DATE(2026,8,31)</f>
        <v>11</v>
      </c>
      <c r="H5218" s="25" t="n">
        <v>50919486</v>
      </c>
      <c r="I5218" t="inlineStr">
        <is>
          <t>entidad-dia</t>
        </is>
      </c>
    </row>
    <row r="5219">
      <c r="A5219" t="inlineStr">
        <is>
          <t>PRAGMA</t>
        </is>
      </c>
      <c r="B5219" t="inlineStr">
        <is>
          <t>M1</t>
        </is>
      </c>
      <c r="C5219" t="inlineStr">
        <is>
          <t>Cali</t>
        </is>
      </c>
      <c r="D5219" t="inlineStr">
        <is>
          <t>8406</t>
        </is>
      </c>
      <c r="E5219" t="inlineStr">
        <is>
          <t>pagado</t>
        </is>
      </c>
      <c r="F5219" s="23" t="n">
        <v>46277</v>
      </c>
      <c r="G5219" s="24">
        <f>F5219-DATE(2026,8,31)</f>
        <v>12</v>
      </c>
      <c r="H5219" s="25" t="n">
        <v>47671793</v>
      </c>
      <c r="I5219" t="inlineStr">
        <is>
          <t>entidad-dia</t>
        </is>
      </c>
    </row>
    <row r="5220">
      <c r="A5220" t="inlineStr">
        <is>
          <t>PRAGMA</t>
        </is>
      </c>
      <c r="B5220" t="inlineStr">
        <is>
          <t>M1</t>
        </is>
      </c>
      <c r="C5220" t="inlineStr">
        <is>
          <t>Cali</t>
        </is>
      </c>
      <c r="D5220" t="inlineStr">
        <is>
          <t>8406</t>
        </is>
      </c>
      <c r="E5220" t="inlineStr">
        <is>
          <t>pagado</t>
        </is>
      </c>
      <c r="F5220" s="23" t="n">
        <v>46278</v>
      </c>
      <c r="G5220" s="24">
        <f>F5220-DATE(2026,8,31)</f>
        <v>13</v>
      </c>
      <c r="H5220" s="25" t="n">
        <v>17099786</v>
      </c>
      <c r="I5220" t="inlineStr">
        <is>
          <t>entidad-dia</t>
        </is>
      </c>
    </row>
    <row r="5221">
      <c r="A5221" t="inlineStr">
        <is>
          <t>PRAGMA</t>
        </is>
      </c>
      <c r="B5221" t="inlineStr">
        <is>
          <t>M1</t>
        </is>
      </c>
      <c r="C5221" t="inlineStr">
        <is>
          <t>Cali</t>
        </is>
      </c>
      <c r="D5221" t="inlineStr">
        <is>
          <t>8406</t>
        </is>
      </c>
      <c r="E5221" t="inlineStr">
        <is>
          <t>pagado</t>
        </is>
      </c>
      <c r="F5221" s="23" t="n">
        <v>46279</v>
      </c>
      <c r="G5221" s="24">
        <f>F5221-DATE(2026,8,31)</f>
        <v>14</v>
      </c>
      <c r="H5221" s="25" t="n">
        <v>45326437</v>
      </c>
      <c r="I5221" t="inlineStr">
        <is>
          <t>entidad-dia</t>
        </is>
      </c>
    </row>
    <row r="5222">
      <c r="A5222" t="inlineStr">
        <is>
          <t>PRAGMA</t>
        </is>
      </c>
      <c r="B5222" t="inlineStr">
        <is>
          <t>M1</t>
        </is>
      </c>
      <c r="C5222" t="inlineStr">
        <is>
          <t>Cali</t>
        </is>
      </c>
      <c r="D5222" t="inlineStr">
        <is>
          <t>8406</t>
        </is>
      </c>
      <c r="E5222" t="inlineStr">
        <is>
          <t>pagado</t>
        </is>
      </c>
      <c r="F5222" s="23" t="n">
        <v>46280</v>
      </c>
      <c r="G5222" s="24">
        <f>F5222-DATE(2026,8,31)</f>
        <v>15</v>
      </c>
      <c r="H5222" s="25" t="n">
        <v>70581376</v>
      </c>
      <c r="I5222" t="inlineStr">
        <is>
          <t>entidad-dia</t>
        </is>
      </c>
    </row>
    <row r="5223">
      <c r="A5223" t="inlineStr">
        <is>
          <t>PRAGMA</t>
        </is>
      </c>
      <c r="B5223" t="inlineStr">
        <is>
          <t>M1</t>
        </is>
      </c>
      <c r="C5223" t="inlineStr">
        <is>
          <t>Cali</t>
        </is>
      </c>
      <c r="D5223" t="inlineStr">
        <is>
          <t>8414</t>
        </is>
      </c>
      <c r="E5223" t="inlineStr">
        <is>
          <t>pagado</t>
        </is>
      </c>
      <c r="F5223" s="23" t="n">
        <v>46266</v>
      </c>
      <c r="G5223" s="24">
        <f>F5223-DATE(2026,8,31)</f>
        <v>1</v>
      </c>
      <c r="H5223" s="25" t="n">
        <v>215708902</v>
      </c>
      <c r="I5223" t="inlineStr">
        <is>
          <t>entidad-dia</t>
        </is>
      </c>
    </row>
    <row r="5224">
      <c r="A5224" t="inlineStr">
        <is>
          <t>PRAGMA</t>
        </is>
      </c>
      <c r="B5224" t="inlineStr">
        <is>
          <t>M1</t>
        </is>
      </c>
      <c r="C5224" t="inlineStr">
        <is>
          <t>Cali</t>
        </is>
      </c>
      <c r="D5224" t="inlineStr">
        <is>
          <t>8414</t>
        </is>
      </c>
      <c r="E5224" t="inlineStr">
        <is>
          <t>pagado</t>
        </is>
      </c>
      <c r="F5224" s="23" t="n">
        <v>46267</v>
      </c>
      <c r="G5224" s="24">
        <f>F5224-DATE(2026,8,31)</f>
        <v>2</v>
      </c>
      <c r="H5224" s="25" t="n">
        <v>162465463</v>
      </c>
      <c r="I5224" t="inlineStr">
        <is>
          <t>entidad-dia</t>
        </is>
      </c>
    </row>
    <row r="5225">
      <c r="A5225" t="inlineStr">
        <is>
          <t>PRAGMA</t>
        </is>
      </c>
      <c r="B5225" t="inlineStr">
        <is>
          <t>M1</t>
        </is>
      </c>
      <c r="C5225" t="inlineStr">
        <is>
          <t>Cali</t>
        </is>
      </c>
      <c r="D5225" t="inlineStr">
        <is>
          <t>8414</t>
        </is>
      </c>
      <c r="E5225" t="inlineStr">
        <is>
          <t>pagado</t>
        </is>
      </c>
      <c r="F5225" s="23" t="n">
        <v>46268</v>
      </c>
      <c r="G5225" s="24">
        <f>F5225-DATE(2026,8,31)</f>
        <v>3</v>
      </c>
      <c r="H5225" s="25" t="n">
        <v>141362318</v>
      </c>
      <c r="I5225" t="inlineStr">
        <is>
          <t>entidad-dia</t>
        </is>
      </c>
    </row>
    <row r="5226">
      <c r="A5226" t="inlineStr">
        <is>
          <t>PRAGMA</t>
        </is>
      </c>
      <c r="B5226" t="inlineStr">
        <is>
          <t>M1</t>
        </is>
      </c>
      <c r="C5226" t="inlineStr">
        <is>
          <t>Cali</t>
        </is>
      </c>
      <c r="D5226" t="inlineStr">
        <is>
          <t>8414</t>
        </is>
      </c>
      <c r="E5226" t="inlineStr">
        <is>
          <t>pagado</t>
        </is>
      </c>
      <c r="F5226" s="23" t="n">
        <v>46269</v>
      </c>
      <c r="G5226" s="24">
        <f>F5226-DATE(2026,8,31)</f>
        <v>4</v>
      </c>
      <c r="H5226" s="25" t="n">
        <v>160391216</v>
      </c>
      <c r="I5226" t="inlineStr">
        <is>
          <t>entidad-dia</t>
        </is>
      </c>
    </row>
    <row r="5227">
      <c r="A5227" t="inlineStr">
        <is>
          <t>PRAGMA</t>
        </is>
      </c>
      <c r="B5227" t="inlineStr">
        <is>
          <t>M1</t>
        </is>
      </c>
      <c r="C5227" t="inlineStr">
        <is>
          <t>Cali</t>
        </is>
      </c>
      <c r="D5227" t="inlineStr">
        <is>
          <t>8414</t>
        </is>
      </c>
      <c r="E5227" t="inlineStr">
        <is>
          <t>pagado</t>
        </is>
      </c>
      <c r="F5227" s="23" t="n">
        <v>46270</v>
      </c>
      <c r="G5227" s="24">
        <f>F5227-DATE(2026,8,31)</f>
        <v>5</v>
      </c>
      <c r="H5227" s="25" t="n">
        <v>174249670</v>
      </c>
      <c r="I5227" t="inlineStr">
        <is>
          <t>entidad-dia</t>
        </is>
      </c>
    </row>
    <row r="5228">
      <c r="A5228" t="inlineStr">
        <is>
          <t>PRAGMA</t>
        </is>
      </c>
      <c r="B5228" t="inlineStr">
        <is>
          <t>M1</t>
        </is>
      </c>
      <c r="C5228" t="inlineStr">
        <is>
          <t>Cali</t>
        </is>
      </c>
      <c r="D5228" t="inlineStr">
        <is>
          <t>8414</t>
        </is>
      </c>
      <c r="E5228" t="inlineStr">
        <is>
          <t>pagado</t>
        </is>
      </c>
      <c r="F5228" s="23" t="n">
        <v>46271</v>
      </c>
      <c r="G5228" s="24">
        <f>F5228-DATE(2026,8,31)</f>
        <v>6</v>
      </c>
      <c r="H5228" s="25" t="n">
        <v>110366019</v>
      </c>
      <c r="I5228" t="inlineStr">
        <is>
          <t>entidad-dia</t>
        </is>
      </c>
    </row>
    <row r="5229">
      <c r="A5229" t="inlineStr">
        <is>
          <t>PRAGMA</t>
        </is>
      </c>
      <c r="B5229" t="inlineStr">
        <is>
          <t>M1</t>
        </is>
      </c>
      <c r="C5229" t="inlineStr">
        <is>
          <t>Cali</t>
        </is>
      </c>
      <c r="D5229" t="inlineStr">
        <is>
          <t>8414</t>
        </is>
      </c>
      <c r="E5229" t="inlineStr">
        <is>
          <t>pagado</t>
        </is>
      </c>
      <c r="F5229" s="23" t="n">
        <v>46272</v>
      </c>
      <c r="G5229" s="24">
        <f>F5229-DATE(2026,8,31)</f>
        <v>7</v>
      </c>
      <c r="H5229" s="25" t="n">
        <v>105236070</v>
      </c>
      <c r="I5229" t="inlineStr">
        <is>
          <t>entidad-dia</t>
        </is>
      </c>
    </row>
    <row r="5230">
      <c r="A5230" t="inlineStr">
        <is>
          <t>PRAGMA</t>
        </is>
      </c>
      <c r="B5230" t="inlineStr">
        <is>
          <t>M1</t>
        </is>
      </c>
      <c r="C5230" t="inlineStr">
        <is>
          <t>Cali</t>
        </is>
      </c>
      <c r="D5230" t="inlineStr">
        <is>
          <t>8414</t>
        </is>
      </c>
      <c r="E5230" t="inlineStr">
        <is>
          <t>pagado</t>
        </is>
      </c>
      <c r="F5230" s="23" t="n">
        <v>46273</v>
      </c>
      <c r="G5230" s="24">
        <f>F5230-DATE(2026,8,31)</f>
        <v>8</v>
      </c>
      <c r="H5230" s="25" t="n">
        <v>104661421</v>
      </c>
      <c r="I5230" t="inlineStr">
        <is>
          <t>entidad-dia</t>
        </is>
      </c>
    </row>
    <row r="5231">
      <c r="A5231" t="inlineStr">
        <is>
          <t>PRAGMA</t>
        </is>
      </c>
      <c r="B5231" t="inlineStr">
        <is>
          <t>M1</t>
        </is>
      </c>
      <c r="C5231" t="inlineStr">
        <is>
          <t>Cali</t>
        </is>
      </c>
      <c r="D5231" t="inlineStr">
        <is>
          <t>8414</t>
        </is>
      </c>
      <c r="E5231" t="inlineStr">
        <is>
          <t>pagado</t>
        </is>
      </c>
      <c r="F5231" s="23" t="n">
        <v>46274</v>
      </c>
      <c r="G5231" s="24">
        <f>F5231-DATE(2026,8,31)</f>
        <v>9</v>
      </c>
      <c r="H5231" s="25" t="n">
        <v>105999325</v>
      </c>
      <c r="I5231" t="inlineStr">
        <is>
          <t>entidad-dia</t>
        </is>
      </c>
    </row>
    <row r="5232">
      <c r="A5232" t="inlineStr">
        <is>
          <t>PRAGMA</t>
        </is>
      </c>
      <c r="B5232" t="inlineStr">
        <is>
          <t>M1</t>
        </is>
      </c>
      <c r="C5232" t="inlineStr">
        <is>
          <t>Cali</t>
        </is>
      </c>
      <c r="D5232" t="inlineStr">
        <is>
          <t>8414</t>
        </is>
      </c>
      <c r="E5232" t="inlineStr">
        <is>
          <t>pagado</t>
        </is>
      </c>
      <c r="F5232" s="23" t="n">
        <v>46275</v>
      </c>
      <c r="G5232" s="24">
        <f>F5232-DATE(2026,8,31)</f>
        <v>10</v>
      </c>
      <c r="H5232" s="25" t="n">
        <v>89292590</v>
      </c>
      <c r="I5232" t="inlineStr">
        <is>
          <t>entidad-dia</t>
        </is>
      </c>
    </row>
    <row r="5233">
      <c r="A5233" t="inlineStr">
        <is>
          <t>PRAGMA</t>
        </is>
      </c>
      <c r="B5233" t="inlineStr">
        <is>
          <t>M1</t>
        </is>
      </c>
      <c r="C5233" t="inlineStr">
        <is>
          <t>Cali</t>
        </is>
      </c>
      <c r="D5233" t="inlineStr">
        <is>
          <t>8414</t>
        </is>
      </c>
      <c r="E5233" t="inlineStr">
        <is>
          <t>pagado</t>
        </is>
      </c>
      <c r="F5233" s="23" t="n">
        <v>46276</v>
      </c>
      <c r="G5233" s="24">
        <f>F5233-DATE(2026,8,31)</f>
        <v>11</v>
      </c>
      <c r="H5233" s="25" t="n">
        <v>116650012</v>
      </c>
      <c r="I5233" t="inlineStr">
        <is>
          <t>entidad-dia</t>
        </is>
      </c>
    </row>
    <row r="5234">
      <c r="A5234" t="inlineStr">
        <is>
          <t>PRAGMA</t>
        </is>
      </c>
      <c r="B5234" t="inlineStr">
        <is>
          <t>M1</t>
        </is>
      </c>
      <c r="C5234" t="inlineStr">
        <is>
          <t>Cali</t>
        </is>
      </c>
      <c r="D5234" t="inlineStr">
        <is>
          <t>8414</t>
        </is>
      </c>
      <c r="E5234" t="inlineStr">
        <is>
          <t>pagado</t>
        </is>
      </c>
      <c r="F5234" s="23" t="n">
        <v>46277</v>
      </c>
      <c r="G5234" s="24">
        <f>F5234-DATE(2026,8,31)</f>
        <v>12</v>
      </c>
      <c r="H5234" s="25" t="n">
        <v>129528118</v>
      </c>
      <c r="I5234" t="inlineStr">
        <is>
          <t>entidad-dia</t>
        </is>
      </c>
    </row>
    <row r="5235">
      <c r="A5235" t="inlineStr">
        <is>
          <t>PRAGMA</t>
        </is>
      </c>
      <c r="B5235" t="inlineStr">
        <is>
          <t>M1</t>
        </is>
      </c>
      <c r="C5235" t="inlineStr">
        <is>
          <t>Cali</t>
        </is>
      </c>
      <c r="D5235" t="inlineStr">
        <is>
          <t>8414</t>
        </is>
      </c>
      <c r="E5235" t="inlineStr">
        <is>
          <t>pagado</t>
        </is>
      </c>
      <c r="F5235" s="23" t="n">
        <v>46278</v>
      </c>
      <c r="G5235" s="24">
        <f>F5235-DATE(2026,8,31)</f>
        <v>13</v>
      </c>
      <c r="H5235" s="25" t="n">
        <v>77829116</v>
      </c>
      <c r="I5235" t="inlineStr">
        <is>
          <t>entidad-dia</t>
        </is>
      </c>
    </row>
    <row r="5236">
      <c r="A5236" t="inlineStr">
        <is>
          <t>PRAGMA</t>
        </is>
      </c>
      <c r="B5236" t="inlineStr">
        <is>
          <t>M1</t>
        </is>
      </c>
      <c r="C5236" t="inlineStr">
        <is>
          <t>Cali</t>
        </is>
      </c>
      <c r="D5236" t="inlineStr">
        <is>
          <t>8414</t>
        </is>
      </c>
      <c r="E5236" t="inlineStr">
        <is>
          <t>pagado</t>
        </is>
      </c>
      <c r="F5236" s="23" t="n">
        <v>46279</v>
      </c>
      <c r="G5236" s="24">
        <f>F5236-DATE(2026,8,31)</f>
        <v>14</v>
      </c>
      <c r="H5236" s="25" t="n">
        <v>99436401</v>
      </c>
      <c r="I5236" t="inlineStr">
        <is>
          <t>entidad-dia</t>
        </is>
      </c>
    </row>
    <row r="5237">
      <c r="A5237" t="inlineStr">
        <is>
          <t>PRAGMA</t>
        </is>
      </c>
      <c r="B5237" t="inlineStr">
        <is>
          <t>M1</t>
        </is>
      </c>
      <c r="C5237" t="inlineStr">
        <is>
          <t>Cali</t>
        </is>
      </c>
      <c r="D5237" t="inlineStr">
        <is>
          <t>8414</t>
        </is>
      </c>
      <c r="E5237" t="inlineStr">
        <is>
          <t>pagado</t>
        </is>
      </c>
      <c r="F5237" s="23" t="n">
        <v>46280</v>
      </c>
      <c r="G5237" s="24">
        <f>F5237-DATE(2026,8,31)</f>
        <v>15</v>
      </c>
      <c r="H5237" s="25" t="n">
        <v>148445502</v>
      </c>
      <c r="I5237" t="inlineStr">
        <is>
          <t>entidad-dia</t>
        </is>
      </c>
    </row>
    <row r="5238">
      <c r="A5238" t="inlineStr">
        <is>
          <t>PRAGMA</t>
        </is>
      </c>
      <c r="B5238" t="inlineStr">
        <is>
          <t>M1</t>
        </is>
      </c>
      <c r="C5238" t="inlineStr">
        <is>
          <t>Cali</t>
        </is>
      </c>
      <c r="D5238" t="inlineStr">
        <is>
          <t>8415</t>
        </is>
      </c>
      <c r="E5238" t="inlineStr">
        <is>
          <t>pagado</t>
        </is>
      </c>
      <c r="F5238" s="23" t="n">
        <v>46266</v>
      </c>
      <c r="G5238" s="24">
        <f>F5238-DATE(2026,8,31)</f>
        <v>1</v>
      </c>
      <c r="H5238" s="25" t="n">
        <v>232238759</v>
      </c>
      <c r="I5238" t="inlineStr">
        <is>
          <t>entidad-dia</t>
        </is>
      </c>
    </row>
    <row r="5239">
      <c r="A5239" t="inlineStr">
        <is>
          <t>PRAGMA</t>
        </is>
      </c>
      <c r="B5239" t="inlineStr">
        <is>
          <t>M1</t>
        </is>
      </c>
      <c r="C5239" t="inlineStr">
        <is>
          <t>Cali</t>
        </is>
      </c>
      <c r="D5239" t="inlineStr">
        <is>
          <t>8415</t>
        </is>
      </c>
      <c r="E5239" t="inlineStr">
        <is>
          <t>pagado</t>
        </is>
      </c>
      <c r="F5239" s="23" t="n">
        <v>46267</v>
      </c>
      <c r="G5239" s="24">
        <f>F5239-DATE(2026,8,31)</f>
        <v>2</v>
      </c>
      <c r="H5239" s="25" t="n">
        <v>200957195</v>
      </c>
      <c r="I5239" t="inlineStr">
        <is>
          <t>entidad-dia</t>
        </is>
      </c>
    </row>
    <row r="5240">
      <c r="A5240" t="inlineStr">
        <is>
          <t>PRAGMA</t>
        </is>
      </c>
      <c r="B5240" t="inlineStr">
        <is>
          <t>M1</t>
        </is>
      </c>
      <c r="C5240" t="inlineStr">
        <is>
          <t>Cali</t>
        </is>
      </c>
      <c r="D5240" t="inlineStr">
        <is>
          <t>8415</t>
        </is>
      </c>
      <c r="E5240" t="inlineStr">
        <is>
          <t>pagado</t>
        </is>
      </c>
      <c r="F5240" s="23" t="n">
        <v>46268</v>
      </c>
      <c r="G5240" s="24">
        <f>F5240-DATE(2026,8,31)</f>
        <v>3</v>
      </c>
      <c r="H5240" s="25" t="n">
        <v>195614743</v>
      </c>
      <c r="I5240" t="inlineStr">
        <is>
          <t>entidad-dia</t>
        </is>
      </c>
    </row>
    <row r="5241">
      <c r="A5241" t="inlineStr">
        <is>
          <t>PRAGMA</t>
        </is>
      </c>
      <c r="B5241" t="inlineStr">
        <is>
          <t>M1</t>
        </is>
      </c>
      <c r="C5241" t="inlineStr">
        <is>
          <t>Cali</t>
        </is>
      </c>
      <c r="D5241" t="inlineStr">
        <is>
          <t>8415</t>
        </is>
      </c>
      <c r="E5241" t="inlineStr">
        <is>
          <t>pagado</t>
        </is>
      </c>
      <c r="F5241" s="23" t="n">
        <v>46269</v>
      </c>
      <c r="G5241" s="24">
        <f>F5241-DATE(2026,8,31)</f>
        <v>4</v>
      </c>
      <c r="H5241" s="25" t="n">
        <v>198085933</v>
      </c>
      <c r="I5241" t="inlineStr">
        <is>
          <t>entidad-dia</t>
        </is>
      </c>
    </row>
    <row r="5242">
      <c r="A5242" t="inlineStr">
        <is>
          <t>PRAGMA</t>
        </is>
      </c>
      <c r="B5242" t="inlineStr">
        <is>
          <t>M1</t>
        </is>
      </c>
      <c r="C5242" t="inlineStr">
        <is>
          <t>Cali</t>
        </is>
      </c>
      <c r="D5242" t="inlineStr">
        <is>
          <t>8415</t>
        </is>
      </c>
      <c r="E5242" t="inlineStr">
        <is>
          <t>pagado</t>
        </is>
      </c>
      <c r="F5242" s="23" t="n">
        <v>46270</v>
      </c>
      <c r="G5242" s="24">
        <f>F5242-DATE(2026,8,31)</f>
        <v>5</v>
      </c>
      <c r="H5242" s="25" t="n">
        <v>177732230</v>
      </c>
      <c r="I5242" t="inlineStr">
        <is>
          <t>entidad-dia</t>
        </is>
      </c>
    </row>
    <row r="5243">
      <c r="A5243" t="inlineStr">
        <is>
          <t>PRAGMA</t>
        </is>
      </c>
      <c r="B5243" t="inlineStr">
        <is>
          <t>M1</t>
        </is>
      </c>
      <c r="C5243" t="inlineStr">
        <is>
          <t>Cali</t>
        </is>
      </c>
      <c r="D5243" t="inlineStr">
        <is>
          <t>8415</t>
        </is>
      </c>
      <c r="E5243" t="inlineStr">
        <is>
          <t>pagado</t>
        </is>
      </c>
      <c r="F5243" s="23" t="n">
        <v>46271</v>
      </c>
      <c r="G5243" s="24">
        <f>F5243-DATE(2026,8,31)</f>
        <v>6</v>
      </c>
      <c r="H5243" s="25" t="n">
        <v>26953522</v>
      </c>
      <c r="I5243" t="inlineStr">
        <is>
          <t>entidad-dia</t>
        </is>
      </c>
    </row>
    <row r="5244">
      <c r="A5244" t="inlineStr">
        <is>
          <t>PRAGMA</t>
        </is>
      </c>
      <c r="B5244" t="inlineStr">
        <is>
          <t>M1</t>
        </is>
      </c>
      <c r="C5244" t="inlineStr">
        <is>
          <t>Cali</t>
        </is>
      </c>
      <c r="D5244" t="inlineStr">
        <is>
          <t>8415</t>
        </is>
      </c>
      <c r="E5244" t="inlineStr">
        <is>
          <t>pagado</t>
        </is>
      </c>
      <c r="F5244" s="23" t="n">
        <v>46272</v>
      </c>
      <c r="G5244" s="24">
        <f>F5244-DATE(2026,8,31)</f>
        <v>7</v>
      </c>
      <c r="H5244" s="25" t="n">
        <v>185028218</v>
      </c>
      <c r="I5244" t="inlineStr">
        <is>
          <t>entidad-dia</t>
        </is>
      </c>
    </row>
    <row r="5245">
      <c r="A5245" t="inlineStr">
        <is>
          <t>PRAGMA</t>
        </is>
      </c>
      <c r="B5245" t="inlineStr">
        <is>
          <t>M1</t>
        </is>
      </c>
      <c r="C5245" t="inlineStr">
        <is>
          <t>Cali</t>
        </is>
      </c>
      <c r="D5245" t="inlineStr">
        <is>
          <t>8415</t>
        </is>
      </c>
      <c r="E5245" t="inlineStr">
        <is>
          <t>pagado</t>
        </is>
      </c>
      <c r="F5245" s="23" t="n">
        <v>46273</v>
      </c>
      <c r="G5245" s="24">
        <f>F5245-DATE(2026,8,31)</f>
        <v>8</v>
      </c>
      <c r="H5245" s="25" t="n">
        <v>150472451</v>
      </c>
      <c r="I5245" t="inlineStr">
        <is>
          <t>entidad-dia</t>
        </is>
      </c>
    </row>
    <row r="5246">
      <c r="A5246" t="inlineStr">
        <is>
          <t>PRAGMA</t>
        </is>
      </c>
      <c r="B5246" t="inlineStr">
        <is>
          <t>M1</t>
        </is>
      </c>
      <c r="C5246" t="inlineStr">
        <is>
          <t>Cali</t>
        </is>
      </c>
      <c r="D5246" t="inlineStr">
        <is>
          <t>8415</t>
        </is>
      </c>
      <c r="E5246" t="inlineStr">
        <is>
          <t>pagado</t>
        </is>
      </c>
      <c r="F5246" s="23" t="n">
        <v>46274</v>
      </c>
      <c r="G5246" s="24">
        <f>F5246-DATE(2026,8,31)</f>
        <v>9</v>
      </c>
      <c r="H5246" s="25" t="n">
        <v>181362210</v>
      </c>
      <c r="I5246" t="inlineStr">
        <is>
          <t>entidad-dia</t>
        </is>
      </c>
    </row>
    <row r="5247">
      <c r="A5247" t="inlineStr">
        <is>
          <t>PRAGMA</t>
        </is>
      </c>
      <c r="B5247" t="inlineStr">
        <is>
          <t>M1</t>
        </is>
      </c>
      <c r="C5247" t="inlineStr">
        <is>
          <t>Cali</t>
        </is>
      </c>
      <c r="D5247" t="inlineStr">
        <is>
          <t>8415</t>
        </is>
      </c>
      <c r="E5247" t="inlineStr">
        <is>
          <t>pagado</t>
        </is>
      </c>
      <c r="F5247" s="23" t="n">
        <v>46275</v>
      </c>
      <c r="G5247" s="24">
        <f>F5247-DATE(2026,8,31)</f>
        <v>10</v>
      </c>
      <c r="H5247" s="25" t="n">
        <v>165801144</v>
      </c>
      <c r="I5247" t="inlineStr">
        <is>
          <t>entidad-dia</t>
        </is>
      </c>
    </row>
    <row r="5248">
      <c r="A5248" t="inlineStr">
        <is>
          <t>PRAGMA</t>
        </is>
      </c>
      <c r="B5248" t="inlineStr">
        <is>
          <t>M1</t>
        </is>
      </c>
      <c r="C5248" t="inlineStr">
        <is>
          <t>Cali</t>
        </is>
      </c>
      <c r="D5248" t="inlineStr">
        <is>
          <t>8415</t>
        </is>
      </c>
      <c r="E5248" t="inlineStr">
        <is>
          <t>pagado</t>
        </is>
      </c>
      <c r="F5248" s="23" t="n">
        <v>46276</v>
      </c>
      <c r="G5248" s="24">
        <f>F5248-DATE(2026,8,31)</f>
        <v>11</v>
      </c>
      <c r="H5248" s="25" t="n">
        <v>180202408</v>
      </c>
      <c r="I5248" t="inlineStr">
        <is>
          <t>entidad-dia</t>
        </is>
      </c>
    </row>
    <row r="5249">
      <c r="A5249" t="inlineStr">
        <is>
          <t>PRAGMA</t>
        </is>
      </c>
      <c r="B5249" t="inlineStr">
        <is>
          <t>M1</t>
        </is>
      </c>
      <c r="C5249" t="inlineStr">
        <is>
          <t>Cali</t>
        </is>
      </c>
      <c r="D5249" t="inlineStr">
        <is>
          <t>8415</t>
        </is>
      </c>
      <c r="E5249" t="inlineStr">
        <is>
          <t>pagado</t>
        </is>
      </c>
      <c r="F5249" s="23" t="n">
        <v>46277</v>
      </c>
      <c r="G5249" s="24">
        <f>F5249-DATE(2026,8,31)</f>
        <v>12</v>
      </c>
      <c r="H5249" s="25" t="n">
        <v>172906657</v>
      </c>
      <c r="I5249" t="inlineStr">
        <is>
          <t>entidad-dia</t>
        </is>
      </c>
    </row>
    <row r="5250">
      <c r="A5250" t="inlineStr">
        <is>
          <t>PRAGMA</t>
        </is>
      </c>
      <c r="B5250" t="inlineStr">
        <is>
          <t>M1</t>
        </is>
      </c>
      <c r="C5250" t="inlineStr">
        <is>
          <t>Cali</t>
        </is>
      </c>
      <c r="D5250" t="inlineStr">
        <is>
          <t>8415</t>
        </is>
      </c>
      <c r="E5250" t="inlineStr">
        <is>
          <t>pagado</t>
        </is>
      </c>
      <c r="F5250" s="23" t="n">
        <v>46278</v>
      </c>
      <c r="G5250" s="24">
        <f>F5250-DATE(2026,8,31)</f>
        <v>13</v>
      </c>
      <c r="H5250" s="25" t="n">
        <v>25366507</v>
      </c>
      <c r="I5250" t="inlineStr">
        <is>
          <t>entidad-dia</t>
        </is>
      </c>
    </row>
    <row r="5251">
      <c r="A5251" t="inlineStr">
        <is>
          <t>PRAGMA</t>
        </is>
      </c>
      <c r="B5251" t="inlineStr">
        <is>
          <t>M1</t>
        </is>
      </c>
      <c r="C5251" t="inlineStr">
        <is>
          <t>Cali</t>
        </is>
      </c>
      <c r="D5251" t="inlineStr">
        <is>
          <t>8415</t>
        </is>
      </c>
      <c r="E5251" t="inlineStr">
        <is>
          <t>pagado</t>
        </is>
      </c>
      <c r="F5251" s="23" t="n">
        <v>46279</v>
      </c>
      <c r="G5251" s="24">
        <f>F5251-DATE(2026,8,31)</f>
        <v>14</v>
      </c>
      <c r="H5251" s="25" t="n">
        <v>188088499</v>
      </c>
      <c r="I5251" t="inlineStr">
        <is>
          <t>entidad-dia</t>
        </is>
      </c>
    </row>
    <row r="5252">
      <c r="A5252" t="inlineStr">
        <is>
          <t>PRAGMA</t>
        </is>
      </c>
      <c r="B5252" t="inlineStr">
        <is>
          <t>M1</t>
        </is>
      </c>
      <c r="C5252" t="inlineStr">
        <is>
          <t>Cali</t>
        </is>
      </c>
      <c r="D5252" t="inlineStr">
        <is>
          <t>8415</t>
        </is>
      </c>
      <c r="E5252" t="inlineStr">
        <is>
          <t>pagado</t>
        </is>
      </c>
      <c r="F5252" s="23" t="n">
        <v>46280</v>
      </c>
      <c r="G5252" s="24">
        <f>F5252-DATE(2026,8,31)</f>
        <v>15</v>
      </c>
      <c r="H5252" s="25" t="n">
        <v>184571881</v>
      </c>
      <c r="I5252" t="inlineStr">
        <is>
          <t>entidad-dia</t>
        </is>
      </c>
    </row>
    <row r="5253">
      <c r="A5253" t="inlineStr">
        <is>
          <t>PRAGMA</t>
        </is>
      </c>
      <c r="B5253" t="inlineStr">
        <is>
          <t>M1</t>
        </is>
      </c>
      <c r="C5253" t="inlineStr">
        <is>
          <t>Pasto</t>
        </is>
      </c>
      <c r="D5253" t="inlineStr">
        <is>
          <t>8416</t>
        </is>
      </c>
      <c r="E5253" t="inlineStr">
        <is>
          <t>pagado</t>
        </is>
      </c>
      <c r="F5253" s="23" t="n">
        <v>46266</v>
      </c>
      <c r="G5253" s="24">
        <f>F5253-DATE(2026,8,31)</f>
        <v>1</v>
      </c>
      <c r="H5253" s="25" t="n">
        <v>50333272</v>
      </c>
      <c r="I5253" t="inlineStr">
        <is>
          <t>entidad-dia</t>
        </is>
      </c>
    </row>
    <row r="5254">
      <c r="A5254" t="inlineStr">
        <is>
          <t>PRAGMA</t>
        </is>
      </c>
      <c r="B5254" t="inlineStr">
        <is>
          <t>M1</t>
        </is>
      </c>
      <c r="C5254" t="inlineStr">
        <is>
          <t>Pasto</t>
        </is>
      </c>
      <c r="D5254" t="inlineStr">
        <is>
          <t>8416</t>
        </is>
      </c>
      <c r="E5254" t="inlineStr">
        <is>
          <t>pagado</t>
        </is>
      </c>
      <c r="F5254" s="23" t="n">
        <v>46267</v>
      </c>
      <c r="G5254" s="24">
        <f>F5254-DATE(2026,8,31)</f>
        <v>2</v>
      </c>
      <c r="H5254" s="25" t="n">
        <v>37275485</v>
      </c>
      <c r="I5254" t="inlineStr">
        <is>
          <t>entidad-dia</t>
        </is>
      </c>
    </row>
    <row r="5255">
      <c r="A5255" t="inlineStr">
        <is>
          <t>PRAGMA</t>
        </is>
      </c>
      <c r="B5255" t="inlineStr">
        <is>
          <t>M1</t>
        </is>
      </c>
      <c r="C5255" t="inlineStr">
        <is>
          <t>Pasto</t>
        </is>
      </c>
      <c r="D5255" t="inlineStr">
        <is>
          <t>8416</t>
        </is>
      </c>
      <c r="E5255" t="inlineStr">
        <is>
          <t>pagado</t>
        </is>
      </c>
      <c r="F5255" s="23" t="n">
        <v>46268</v>
      </c>
      <c r="G5255" s="24">
        <f>F5255-DATE(2026,8,31)</f>
        <v>3</v>
      </c>
      <c r="H5255" s="25" t="n">
        <v>34464138</v>
      </c>
      <c r="I5255" t="inlineStr">
        <is>
          <t>entidad-dia</t>
        </is>
      </c>
    </row>
    <row r="5256">
      <c r="A5256" t="inlineStr">
        <is>
          <t>PRAGMA</t>
        </is>
      </c>
      <c r="B5256" t="inlineStr">
        <is>
          <t>M1</t>
        </is>
      </c>
      <c r="C5256" t="inlineStr">
        <is>
          <t>Pasto</t>
        </is>
      </c>
      <c r="D5256" t="inlineStr">
        <is>
          <t>8416</t>
        </is>
      </c>
      <c r="E5256" t="inlineStr">
        <is>
          <t>pagado</t>
        </is>
      </c>
      <c r="F5256" s="23" t="n">
        <v>46269</v>
      </c>
      <c r="G5256" s="24">
        <f>F5256-DATE(2026,8,31)</f>
        <v>4</v>
      </c>
      <c r="H5256" s="25" t="n">
        <v>42108572</v>
      </c>
      <c r="I5256" t="inlineStr">
        <is>
          <t>entidad-dia</t>
        </is>
      </c>
    </row>
    <row r="5257">
      <c r="A5257" t="inlineStr">
        <is>
          <t>PRAGMA</t>
        </is>
      </c>
      <c r="B5257" t="inlineStr">
        <is>
          <t>M1</t>
        </is>
      </c>
      <c r="C5257" t="inlineStr">
        <is>
          <t>Pasto</t>
        </is>
      </c>
      <c r="D5257" t="inlineStr">
        <is>
          <t>8416</t>
        </is>
      </c>
      <c r="E5257" t="inlineStr">
        <is>
          <t>pagado</t>
        </is>
      </c>
      <c r="F5257" s="23" t="n">
        <v>46270</v>
      </c>
      <c r="G5257" s="24">
        <f>F5257-DATE(2026,8,31)</f>
        <v>5</v>
      </c>
      <c r="H5257" s="25" t="n">
        <v>43803120</v>
      </c>
      <c r="I5257" t="inlineStr">
        <is>
          <t>entidad-dia</t>
        </is>
      </c>
    </row>
    <row r="5258">
      <c r="A5258" t="inlineStr">
        <is>
          <t>PRAGMA</t>
        </is>
      </c>
      <c r="B5258" t="inlineStr">
        <is>
          <t>M1</t>
        </is>
      </c>
      <c r="C5258" t="inlineStr">
        <is>
          <t>Pasto</t>
        </is>
      </c>
      <c r="D5258" t="inlineStr">
        <is>
          <t>8416</t>
        </is>
      </c>
      <c r="E5258" t="inlineStr">
        <is>
          <t>pagado</t>
        </is>
      </c>
      <c r="F5258" s="23" t="n">
        <v>46271</v>
      </c>
      <c r="G5258" s="24">
        <f>F5258-DATE(2026,8,31)</f>
        <v>6</v>
      </c>
      <c r="H5258" s="25" t="n">
        <v>35020028</v>
      </c>
      <c r="I5258" t="inlineStr">
        <is>
          <t>entidad-dia</t>
        </is>
      </c>
    </row>
    <row r="5259">
      <c r="A5259" t="inlineStr">
        <is>
          <t>PRAGMA</t>
        </is>
      </c>
      <c r="B5259" t="inlineStr">
        <is>
          <t>M1</t>
        </is>
      </c>
      <c r="C5259" t="inlineStr">
        <is>
          <t>Pasto</t>
        </is>
      </c>
      <c r="D5259" t="inlineStr">
        <is>
          <t>8416</t>
        </is>
      </c>
      <c r="E5259" t="inlineStr">
        <is>
          <t>pagado</t>
        </is>
      </c>
      <c r="F5259" s="23" t="n">
        <v>46272</v>
      </c>
      <c r="G5259" s="24">
        <f>F5259-DATE(2026,8,31)</f>
        <v>7</v>
      </c>
      <c r="H5259" s="25" t="n">
        <v>34910419</v>
      </c>
      <c r="I5259" t="inlineStr">
        <is>
          <t>entidad-dia</t>
        </is>
      </c>
    </row>
    <row r="5260">
      <c r="A5260" t="inlineStr">
        <is>
          <t>PRAGMA</t>
        </is>
      </c>
      <c r="B5260" t="inlineStr">
        <is>
          <t>M1</t>
        </is>
      </c>
      <c r="C5260" t="inlineStr">
        <is>
          <t>Pasto</t>
        </is>
      </c>
      <c r="D5260" t="inlineStr">
        <is>
          <t>8416</t>
        </is>
      </c>
      <c r="E5260" t="inlineStr">
        <is>
          <t>pagado</t>
        </is>
      </c>
      <c r="F5260" s="23" t="n">
        <v>46273</v>
      </c>
      <c r="G5260" s="24">
        <f>F5260-DATE(2026,8,31)</f>
        <v>8</v>
      </c>
      <c r="H5260" s="25" t="n">
        <v>28330115</v>
      </c>
      <c r="I5260" t="inlineStr">
        <is>
          <t>entidad-dia</t>
        </is>
      </c>
    </row>
    <row r="5261">
      <c r="A5261" t="inlineStr">
        <is>
          <t>PRAGMA</t>
        </is>
      </c>
      <c r="B5261" t="inlineStr">
        <is>
          <t>M1</t>
        </is>
      </c>
      <c r="C5261" t="inlineStr">
        <is>
          <t>Pasto</t>
        </is>
      </c>
      <c r="D5261" t="inlineStr">
        <is>
          <t>8416</t>
        </is>
      </c>
      <c r="E5261" t="inlineStr">
        <is>
          <t>pagado</t>
        </is>
      </c>
      <c r="F5261" s="23" t="n">
        <v>46274</v>
      </c>
      <c r="G5261" s="24">
        <f>F5261-DATE(2026,8,31)</f>
        <v>9</v>
      </c>
      <c r="H5261" s="25" t="n">
        <v>28606711</v>
      </c>
      <c r="I5261" t="inlineStr">
        <is>
          <t>entidad-dia</t>
        </is>
      </c>
    </row>
    <row r="5262">
      <c r="A5262" t="inlineStr">
        <is>
          <t>PRAGMA</t>
        </is>
      </c>
      <c r="B5262" t="inlineStr">
        <is>
          <t>M1</t>
        </is>
      </c>
      <c r="C5262" t="inlineStr">
        <is>
          <t>Pasto</t>
        </is>
      </c>
      <c r="D5262" t="inlineStr">
        <is>
          <t>8416</t>
        </is>
      </c>
      <c r="E5262" t="inlineStr">
        <is>
          <t>pagado</t>
        </is>
      </c>
      <c r="F5262" s="23" t="n">
        <v>46275</v>
      </c>
      <c r="G5262" s="24">
        <f>F5262-DATE(2026,8,31)</f>
        <v>10</v>
      </c>
      <c r="H5262" s="25" t="n">
        <v>26376105</v>
      </c>
      <c r="I5262" t="inlineStr">
        <is>
          <t>entidad-dia</t>
        </is>
      </c>
    </row>
    <row r="5263">
      <c r="A5263" t="inlineStr">
        <is>
          <t>PRAGMA</t>
        </is>
      </c>
      <c r="B5263" t="inlineStr">
        <is>
          <t>M1</t>
        </is>
      </c>
      <c r="C5263" t="inlineStr">
        <is>
          <t>Pasto</t>
        </is>
      </c>
      <c r="D5263" t="inlineStr">
        <is>
          <t>8416</t>
        </is>
      </c>
      <c r="E5263" t="inlineStr">
        <is>
          <t>pagado</t>
        </is>
      </c>
      <c r="F5263" s="23" t="n">
        <v>46276</v>
      </c>
      <c r="G5263" s="24">
        <f>F5263-DATE(2026,8,31)</f>
        <v>11</v>
      </c>
      <c r="H5263" s="25" t="n">
        <v>34451096</v>
      </c>
      <c r="I5263" t="inlineStr">
        <is>
          <t>entidad-dia</t>
        </is>
      </c>
    </row>
    <row r="5264">
      <c r="A5264" t="inlineStr">
        <is>
          <t>PRAGMA</t>
        </is>
      </c>
      <c r="B5264" t="inlineStr">
        <is>
          <t>M1</t>
        </is>
      </c>
      <c r="C5264" t="inlineStr">
        <is>
          <t>Pasto</t>
        </is>
      </c>
      <c r="D5264" t="inlineStr">
        <is>
          <t>8416</t>
        </is>
      </c>
      <c r="E5264" t="inlineStr">
        <is>
          <t>pagado</t>
        </is>
      </c>
      <c r="F5264" s="23" t="n">
        <v>46277</v>
      </c>
      <c r="G5264" s="24">
        <f>F5264-DATE(2026,8,31)</f>
        <v>12</v>
      </c>
      <c r="H5264" s="25" t="n">
        <v>32439449</v>
      </c>
      <c r="I5264" t="inlineStr">
        <is>
          <t>entidad-dia</t>
        </is>
      </c>
    </row>
    <row r="5265">
      <c r="A5265" t="inlineStr">
        <is>
          <t>PRAGMA</t>
        </is>
      </c>
      <c r="B5265" t="inlineStr">
        <is>
          <t>M1</t>
        </is>
      </c>
      <c r="C5265" t="inlineStr">
        <is>
          <t>Pasto</t>
        </is>
      </c>
      <c r="D5265" t="inlineStr">
        <is>
          <t>8416</t>
        </is>
      </c>
      <c r="E5265" t="inlineStr">
        <is>
          <t>pagado</t>
        </is>
      </c>
      <c r="F5265" s="23" t="n">
        <v>46278</v>
      </c>
      <c r="G5265" s="24">
        <f>F5265-DATE(2026,8,31)</f>
        <v>13</v>
      </c>
      <c r="H5265" s="25" t="n">
        <v>25241551</v>
      </c>
      <c r="I5265" t="inlineStr">
        <is>
          <t>entidad-dia</t>
        </is>
      </c>
    </row>
    <row r="5266">
      <c r="A5266" t="inlineStr">
        <is>
          <t>PRAGMA</t>
        </is>
      </c>
      <c r="B5266" t="inlineStr">
        <is>
          <t>M1</t>
        </is>
      </c>
      <c r="C5266" t="inlineStr">
        <is>
          <t>Pasto</t>
        </is>
      </c>
      <c r="D5266" t="inlineStr">
        <is>
          <t>8416</t>
        </is>
      </c>
      <c r="E5266" t="inlineStr">
        <is>
          <t>pagado</t>
        </is>
      </c>
      <c r="F5266" s="23" t="n">
        <v>46279</v>
      </c>
      <c r="G5266" s="24">
        <f>F5266-DATE(2026,8,31)</f>
        <v>14</v>
      </c>
      <c r="H5266" s="25" t="n">
        <v>27102528</v>
      </c>
      <c r="I5266" t="inlineStr">
        <is>
          <t>entidad-dia</t>
        </is>
      </c>
    </row>
    <row r="5267">
      <c r="A5267" t="inlineStr">
        <is>
          <t>PRAGMA</t>
        </is>
      </c>
      <c r="B5267" t="inlineStr">
        <is>
          <t>M1</t>
        </is>
      </c>
      <c r="C5267" t="inlineStr">
        <is>
          <t>Pasto</t>
        </is>
      </c>
      <c r="D5267" t="inlineStr">
        <is>
          <t>8416</t>
        </is>
      </c>
      <c r="E5267" t="inlineStr">
        <is>
          <t>pagado</t>
        </is>
      </c>
      <c r="F5267" s="23" t="n">
        <v>46280</v>
      </c>
      <c r="G5267" s="24">
        <f>F5267-DATE(2026,8,31)</f>
        <v>15</v>
      </c>
      <c r="H5267" s="25" t="n">
        <v>34545395</v>
      </c>
      <c r="I5267" t="inlineStr">
        <is>
          <t>entidad-dia</t>
        </is>
      </c>
    </row>
    <row r="5268">
      <c r="A5268" t="inlineStr">
        <is>
          <t>PRAGMA</t>
        </is>
      </c>
      <c r="B5268" t="inlineStr">
        <is>
          <t>M1</t>
        </is>
      </c>
      <c r="C5268" t="inlineStr">
        <is>
          <t>Cali</t>
        </is>
      </c>
      <c r="D5268" t="inlineStr">
        <is>
          <t>8450</t>
        </is>
      </c>
      <c r="E5268" t="inlineStr">
        <is>
          <t>pagado</t>
        </is>
      </c>
      <c r="F5268" s="23" t="n">
        <v>46266</v>
      </c>
      <c r="G5268" s="24">
        <f>F5268-DATE(2026,8,31)</f>
        <v>1</v>
      </c>
      <c r="H5268" s="25" t="n">
        <v>182974322</v>
      </c>
      <c r="I5268" t="inlineStr">
        <is>
          <t>entidad-dia</t>
        </is>
      </c>
    </row>
    <row r="5269">
      <c r="A5269" t="inlineStr">
        <is>
          <t>PRAGMA</t>
        </is>
      </c>
      <c r="B5269" t="inlineStr">
        <is>
          <t>M1</t>
        </is>
      </c>
      <c r="C5269" t="inlineStr">
        <is>
          <t>Cali</t>
        </is>
      </c>
      <c r="D5269" t="inlineStr">
        <is>
          <t>8450</t>
        </is>
      </c>
      <c r="E5269" t="inlineStr">
        <is>
          <t>pagado</t>
        </is>
      </c>
      <c r="F5269" s="23" t="n">
        <v>46267</v>
      </c>
      <c r="G5269" s="24">
        <f>F5269-DATE(2026,8,31)</f>
        <v>2</v>
      </c>
      <c r="H5269" s="25" t="n">
        <v>134482298</v>
      </c>
      <c r="I5269" t="inlineStr">
        <is>
          <t>entidad-dia</t>
        </is>
      </c>
    </row>
    <row r="5270">
      <c r="A5270" t="inlineStr">
        <is>
          <t>PRAGMA</t>
        </is>
      </c>
      <c r="B5270" t="inlineStr">
        <is>
          <t>M1</t>
        </is>
      </c>
      <c r="C5270" t="inlineStr">
        <is>
          <t>Cali</t>
        </is>
      </c>
      <c r="D5270" t="inlineStr">
        <is>
          <t>8450</t>
        </is>
      </c>
      <c r="E5270" t="inlineStr">
        <is>
          <t>pagado</t>
        </is>
      </c>
      <c r="F5270" s="23" t="n">
        <v>46268</v>
      </c>
      <c r="G5270" s="24">
        <f>F5270-DATE(2026,8,31)</f>
        <v>3</v>
      </c>
      <c r="H5270" s="25" t="n">
        <v>126108769</v>
      </c>
      <c r="I5270" t="inlineStr">
        <is>
          <t>entidad-dia</t>
        </is>
      </c>
    </row>
    <row r="5271">
      <c r="A5271" t="inlineStr">
        <is>
          <t>PRAGMA</t>
        </is>
      </c>
      <c r="B5271" t="inlineStr">
        <is>
          <t>M1</t>
        </is>
      </c>
      <c r="C5271" t="inlineStr">
        <is>
          <t>Cali</t>
        </is>
      </c>
      <c r="D5271" t="inlineStr">
        <is>
          <t>8450</t>
        </is>
      </c>
      <c r="E5271" t="inlineStr">
        <is>
          <t>pagado</t>
        </is>
      </c>
      <c r="F5271" s="23" t="n">
        <v>46269</v>
      </c>
      <c r="G5271" s="24">
        <f>F5271-DATE(2026,8,31)</f>
        <v>4</v>
      </c>
      <c r="H5271" s="25" t="n">
        <v>136070021</v>
      </c>
      <c r="I5271" t="inlineStr">
        <is>
          <t>entidad-dia</t>
        </is>
      </c>
    </row>
    <row r="5272">
      <c r="A5272" t="inlineStr">
        <is>
          <t>PRAGMA</t>
        </is>
      </c>
      <c r="B5272" t="inlineStr">
        <is>
          <t>M1</t>
        </is>
      </c>
      <c r="C5272" t="inlineStr">
        <is>
          <t>Cali</t>
        </is>
      </c>
      <c r="D5272" t="inlineStr">
        <is>
          <t>8450</t>
        </is>
      </c>
      <c r="E5272" t="inlineStr">
        <is>
          <t>pagado</t>
        </is>
      </c>
      <c r="F5272" s="23" t="n">
        <v>46270</v>
      </c>
      <c r="G5272" s="24">
        <f>F5272-DATE(2026,8,31)</f>
        <v>5</v>
      </c>
      <c r="H5272" s="25" t="n">
        <v>118185506</v>
      </c>
      <c r="I5272" t="inlineStr">
        <is>
          <t>entidad-dia</t>
        </is>
      </c>
    </row>
    <row r="5273">
      <c r="A5273" t="inlineStr">
        <is>
          <t>PRAGMA</t>
        </is>
      </c>
      <c r="B5273" t="inlineStr">
        <is>
          <t>M1</t>
        </is>
      </c>
      <c r="C5273" t="inlineStr">
        <is>
          <t>Cali</t>
        </is>
      </c>
      <c r="D5273" t="inlineStr">
        <is>
          <t>8450</t>
        </is>
      </c>
      <c r="E5273" t="inlineStr">
        <is>
          <t>pagado</t>
        </is>
      </c>
      <c r="F5273" s="23" t="n">
        <v>46271</v>
      </c>
      <c r="G5273" s="24">
        <f>F5273-DATE(2026,8,31)</f>
        <v>6</v>
      </c>
      <c r="H5273" s="25" t="n">
        <v>70682533</v>
      </c>
      <c r="I5273" t="inlineStr">
        <is>
          <t>entidad-dia</t>
        </is>
      </c>
    </row>
    <row r="5274">
      <c r="A5274" t="inlineStr">
        <is>
          <t>PRAGMA</t>
        </is>
      </c>
      <c r="B5274" t="inlineStr">
        <is>
          <t>M1</t>
        </is>
      </c>
      <c r="C5274" t="inlineStr">
        <is>
          <t>Cali</t>
        </is>
      </c>
      <c r="D5274" t="inlineStr">
        <is>
          <t>8450</t>
        </is>
      </c>
      <c r="E5274" t="inlineStr">
        <is>
          <t>pagado</t>
        </is>
      </c>
      <c r="F5274" s="23" t="n">
        <v>46272</v>
      </c>
      <c r="G5274" s="24">
        <f>F5274-DATE(2026,8,31)</f>
        <v>7</v>
      </c>
      <c r="H5274" s="25" t="n">
        <v>106569031</v>
      </c>
      <c r="I5274" t="inlineStr">
        <is>
          <t>entidad-dia</t>
        </is>
      </c>
    </row>
    <row r="5275">
      <c r="A5275" t="inlineStr">
        <is>
          <t>PRAGMA</t>
        </is>
      </c>
      <c r="B5275" t="inlineStr">
        <is>
          <t>M1</t>
        </is>
      </c>
      <c r="C5275" t="inlineStr">
        <is>
          <t>Cali</t>
        </is>
      </c>
      <c r="D5275" t="inlineStr">
        <is>
          <t>8450</t>
        </is>
      </c>
      <c r="E5275" t="inlineStr">
        <is>
          <t>pagado</t>
        </is>
      </c>
      <c r="F5275" s="23" t="n">
        <v>46273</v>
      </c>
      <c r="G5275" s="24">
        <f>F5275-DATE(2026,8,31)</f>
        <v>8</v>
      </c>
      <c r="H5275" s="25" t="n">
        <v>116440264</v>
      </c>
      <c r="I5275" t="inlineStr">
        <is>
          <t>entidad-dia</t>
        </is>
      </c>
    </row>
    <row r="5276">
      <c r="A5276" t="inlineStr">
        <is>
          <t>PRAGMA</t>
        </is>
      </c>
      <c r="B5276" t="inlineStr">
        <is>
          <t>M1</t>
        </is>
      </c>
      <c r="C5276" t="inlineStr">
        <is>
          <t>Cali</t>
        </is>
      </c>
      <c r="D5276" t="inlineStr">
        <is>
          <t>8450</t>
        </is>
      </c>
      <c r="E5276" t="inlineStr">
        <is>
          <t>pagado</t>
        </is>
      </c>
      <c r="F5276" s="23" t="n">
        <v>46274</v>
      </c>
      <c r="G5276" s="24">
        <f>F5276-DATE(2026,8,31)</f>
        <v>9</v>
      </c>
      <c r="H5276" s="25" t="n">
        <v>116666247</v>
      </c>
      <c r="I5276" t="inlineStr">
        <is>
          <t>entidad-dia</t>
        </is>
      </c>
    </row>
    <row r="5277">
      <c r="A5277" t="inlineStr">
        <is>
          <t>PRAGMA</t>
        </is>
      </c>
      <c r="B5277" t="inlineStr">
        <is>
          <t>M1</t>
        </is>
      </c>
      <c r="C5277" t="inlineStr">
        <is>
          <t>Cali</t>
        </is>
      </c>
      <c r="D5277" t="inlineStr">
        <is>
          <t>8450</t>
        </is>
      </c>
      <c r="E5277" t="inlineStr">
        <is>
          <t>pagado</t>
        </is>
      </c>
      <c r="F5277" s="23" t="n">
        <v>46275</v>
      </c>
      <c r="G5277" s="24">
        <f>F5277-DATE(2026,8,31)</f>
        <v>10</v>
      </c>
      <c r="H5277" s="25" t="n">
        <v>94110204</v>
      </c>
      <c r="I5277" t="inlineStr">
        <is>
          <t>entidad-dia</t>
        </is>
      </c>
    </row>
    <row r="5278">
      <c r="A5278" t="inlineStr">
        <is>
          <t>PRAGMA</t>
        </is>
      </c>
      <c r="B5278" t="inlineStr">
        <is>
          <t>M1</t>
        </is>
      </c>
      <c r="C5278" t="inlineStr">
        <is>
          <t>Cali</t>
        </is>
      </c>
      <c r="D5278" t="inlineStr">
        <is>
          <t>8450</t>
        </is>
      </c>
      <c r="E5278" t="inlineStr">
        <is>
          <t>pagado</t>
        </is>
      </c>
      <c r="F5278" s="23" t="n">
        <v>46276</v>
      </c>
      <c r="G5278" s="24">
        <f>F5278-DATE(2026,8,31)</f>
        <v>11</v>
      </c>
      <c r="H5278" s="25" t="n">
        <v>97740305</v>
      </c>
      <c r="I5278" t="inlineStr">
        <is>
          <t>entidad-dia</t>
        </is>
      </c>
    </row>
    <row r="5279">
      <c r="A5279" t="inlineStr">
        <is>
          <t>PRAGMA</t>
        </is>
      </c>
      <c r="B5279" t="inlineStr">
        <is>
          <t>M1</t>
        </is>
      </c>
      <c r="C5279" t="inlineStr">
        <is>
          <t>Cali</t>
        </is>
      </c>
      <c r="D5279" t="inlineStr">
        <is>
          <t>8450</t>
        </is>
      </c>
      <c r="E5279" t="inlineStr">
        <is>
          <t>pagado</t>
        </is>
      </c>
      <c r="F5279" s="23" t="n">
        <v>46277</v>
      </c>
      <c r="G5279" s="24">
        <f>F5279-DATE(2026,8,31)</f>
        <v>12</v>
      </c>
      <c r="H5279" s="25" t="n">
        <v>89353293</v>
      </c>
      <c r="I5279" t="inlineStr">
        <is>
          <t>entidad-dia</t>
        </is>
      </c>
    </row>
    <row r="5280">
      <c r="A5280" t="inlineStr">
        <is>
          <t>PRAGMA</t>
        </is>
      </c>
      <c r="B5280" t="inlineStr">
        <is>
          <t>M1</t>
        </is>
      </c>
      <c r="C5280" t="inlineStr">
        <is>
          <t>Cali</t>
        </is>
      </c>
      <c r="D5280" t="inlineStr">
        <is>
          <t>8450</t>
        </is>
      </c>
      <c r="E5280" t="inlineStr">
        <is>
          <t>pagado</t>
        </is>
      </c>
      <c r="F5280" s="23" t="n">
        <v>46278</v>
      </c>
      <c r="G5280" s="24">
        <f>F5280-DATE(2026,8,31)</f>
        <v>13</v>
      </c>
      <c r="H5280" s="25" t="n">
        <v>53873477</v>
      </c>
      <c r="I5280" t="inlineStr">
        <is>
          <t>entidad-dia</t>
        </is>
      </c>
    </row>
    <row r="5281">
      <c r="A5281" t="inlineStr">
        <is>
          <t>PRAGMA</t>
        </is>
      </c>
      <c r="B5281" t="inlineStr">
        <is>
          <t>M1</t>
        </is>
      </c>
      <c r="C5281" t="inlineStr">
        <is>
          <t>Cali</t>
        </is>
      </c>
      <c r="D5281" t="inlineStr">
        <is>
          <t>8450</t>
        </is>
      </c>
      <c r="E5281" t="inlineStr">
        <is>
          <t>pagado</t>
        </is>
      </c>
      <c r="F5281" s="23" t="n">
        <v>46279</v>
      </c>
      <c r="G5281" s="24">
        <f>F5281-DATE(2026,8,31)</f>
        <v>14</v>
      </c>
      <c r="H5281" s="25" t="n">
        <v>91402650</v>
      </c>
      <c r="I5281" t="inlineStr">
        <is>
          <t>entidad-dia</t>
        </is>
      </c>
    </row>
    <row r="5282">
      <c r="A5282" t="inlineStr">
        <is>
          <t>PRAGMA</t>
        </is>
      </c>
      <c r="B5282" t="inlineStr">
        <is>
          <t>M1</t>
        </is>
      </c>
      <c r="C5282" t="inlineStr">
        <is>
          <t>Cali</t>
        </is>
      </c>
      <c r="D5282" t="inlineStr">
        <is>
          <t>8450</t>
        </is>
      </c>
      <c r="E5282" t="inlineStr">
        <is>
          <t>pagado</t>
        </is>
      </c>
      <c r="F5282" s="23" t="n">
        <v>46280</v>
      </c>
      <c r="G5282" s="24">
        <f>F5282-DATE(2026,8,31)</f>
        <v>15</v>
      </c>
      <c r="H5282" s="25" t="n">
        <v>131398774</v>
      </c>
      <c r="I5282" t="inlineStr">
        <is>
          <t>entidad-dia</t>
        </is>
      </c>
    </row>
    <row r="5283">
      <c r="A5283" t="inlineStr">
        <is>
          <t>PRAGMA</t>
        </is>
      </c>
      <c r="B5283" t="inlineStr">
        <is>
          <t>M1</t>
        </is>
      </c>
      <c r="C5283" t="inlineStr">
        <is>
          <t>Cali</t>
        </is>
      </c>
      <c r="D5283" t="inlineStr">
        <is>
          <t>8465</t>
        </is>
      </c>
      <c r="E5283" t="inlineStr">
        <is>
          <t>pagado</t>
        </is>
      </c>
      <c r="F5283" s="23" t="n">
        <v>46266</v>
      </c>
      <c r="G5283" s="24">
        <f>F5283-DATE(2026,8,31)</f>
        <v>1</v>
      </c>
      <c r="H5283" s="25" t="n">
        <v>30742543</v>
      </c>
      <c r="I5283" t="inlineStr">
        <is>
          <t>entidad-dia</t>
        </is>
      </c>
    </row>
    <row r="5284">
      <c r="A5284" t="inlineStr">
        <is>
          <t>PRAGMA</t>
        </is>
      </c>
      <c r="B5284" t="inlineStr">
        <is>
          <t>M1</t>
        </is>
      </c>
      <c r="C5284" t="inlineStr">
        <is>
          <t>Cali</t>
        </is>
      </c>
      <c r="D5284" t="inlineStr">
        <is>
          <t>8465</t>
        </is>
      </c>
      <c r="E5284" t="inlineStr">
        <is>
          <t>pagado</t>
        </is>
      </c>
      <c r="F5284" s="23" t="n">
        <v>46267</v>
      </c>
      <c r="G5284" s="24">
        <f>F5284-DATE(2026,8,31)</f>
        <v>2</v>
      </c>
      <c r="H5284" s="25" t="n">
        <v>19829554</v>
      </c>
      <c r="I5284" t="inlineStr">
        <is>
          <t>entidad-dia</t>
        </is>
      </c>
    </row>
    <row r="5285">
      <c r="A5285" t="inlineStr">
        <is>
          <t>PRAGMA</t>
        </is>
      </c>
      <c r="B5285" t="inlineStr">
        <is>
          <t>M1</t>
        </is>
      </c>
      <c r="C5285" t="inlineStr">
        <is>
          <t>Cali</t>
        </is>
      </c>
      <c r="D5285" t="inlineStr">
        <is>
          <t>8465</t>
        </is>
      </c>
      <c r="E5285" t="inlineStr">
        <is>
          <t>pagado</t>
        </is>
      </c>
      <c r="F5285" s="23" t="n">
        <v>46268</v>
      </c>
      <c r="G5285" s="24">
        <f>F5285-DATE(2026,8,31)</f>
        <v>3</v>
      </c>
      <c r="H5285" s="25" t="n">
        <v>19410676</v>
      </c>
      <c r="I5285" t="inlineStr">
        <is>
          <t>entidad-dia</t>
        </is>
      </c>
    </row>
    <row r="5286">
      <c r="A5286" t="inlineStr">
        <is>
          <t>PRAGMA</t>
        </is>
      </c>
      <c r="B5286" t="inlineStr">
        <is>
          <t>M1</t>
        </is>
      </c>
      <c r="C5286" t="inlineStr">
        <is>
          <t>Cali</t>
        </is>
      </c>
      <c r="D5286" t="inlineStr">
        <is>
          <t>8465</t>
        </is>
      </c>
      <c r="E5286" t="inlineStr">
        <is>
          <t>pagado</t>
        </is>
      </c>
      <c r="F5286" s="23" t="n">
        <v>46269</v>
      </c>
      <c r="G5286" s="24">
        <f>F5286-DATE(2026,8,31)</f>
        <v>4</v>
      </c>
      <c r="H5286" s="25" t="n">
        <v>20303177</v>
      </c>
      <c r="I5286" t="inlineStr">
        <is>
          <t>entidad-dia</t>
        </is>
      </c>
    </row>
    <row r="5287">
      <c r="A5287" t="inlineStr">
        <is>
          <t>PRAGMA</t>
        </is>
      </c>
      <c r="B5287" t="inlineStr">
        <is>
          <t>M1</t>
        </is>
      </c>
      <c r="C5287" t="inlineStr">
        <is>
          <t>Cali</t>
        </is>
      </c>
      <c r="D5287" t="inlineStr">
        <is>
          <t>8465</t>
        </is>
      </c>
      <c r="E5287" t="inlineStr">
        <is>
          <t>pagado</t>
        </is>
      </c>
      <c r="F5287" s="23" t="n">
        <v>46270</v>
      </c>
      <c r="G5287" s="24">
        <f>F5287-DATE(2026,8,31)</f>
        <v>5</v>
      </c>
      <c r="H5287" s="25" t="n">
        <v>13473093</v>
      </c>
      <c r="I5287" t="inlineStr">
        <is>
          <t>entidad-dia</t>
        </is>
      </c>
    </row>
    <row r="5288">
      <c r="A5288" t="inlineStr">
        <is>
          <t>PRAGMA</t>
        </is>
      </c>
      <c r="B5288" t="inlineStr">
        <is>
          <t>M1</t>
        </is>
      </c>
      <c r="C5288" t="inlineStr">
        <is>
          <t>Cali</t>
        </is>
      </c>
      <c r="D5288" t="inlineStr">
        <is>
          <t>8465</t>
        </is>
      </c>
      <c r="E5288" t="inlineStr">
        <is>
          <t>pagado</t>
        </is>
      </c>
      <c r="F5288" s="23" t="n">
        <v>46271</v>
      </c>
      <c r="G5288" s="24">
        <f>F5288-DATE(2026,8,31)</f>
        <v>6</v>
      </c>
      <c r="H5288" s="25" t="n">
        <v>2129086</v>
      </c>
      <c r="I5288" t="inlineStr">
        <is>
          <t>entidad-dia</t>
        </is>
      </c>
    </row>
    <row r="5289">
      <c r="A5289" t="inlineStr">
        <is>
          <t>PRAGMA</t>
        </is>
      </c>
      <c r="B5289" t="inlineStr">
        <is>
          <t>M1</t>
        </is>
      </c>
      <c r="C5289" t="inlineStr">
        <is>
          <t>Cali</t>
        </is>
      </c>
      <c r="D5289" t="inlineStr">
        <is>
          <t>8465</t>
        </is>
      </c>
      <c r="E5289" t="inlineStr">
        <is>
          <t>pagado</t>
        </is>
      </c>
      <c r="F5289" s="23" t="n">
        <v>46272</v>
      </c>
      <c r="G5289" s="24">
        <f>F5289-DATE(2026,8,31)</f>
        <v>7</v>
      </c>
      <c r="H5289" s="25" t="n">
        <v>11845974</v>
      </c>
      <c r="I5289" t="inlineStr">
        <is>
          <t>entidad-dia</t>
        </is>
      </c>
    </row>
    <row r="5290">
      <c r="A5290" t="inlineStr">
        <is>
          <t>PRAGMA</t>
        </is>
      </c>
      <c r="B5290" t="inlineStr">
        <is>
          <t>M1</t>
        </is>
      </c>
      <c r="C5290" t="inlineStr">
        <is>
          <t>Cali</t>
        </is>
      </c>
      <c r="D5290" t="inlineStr">
        <is>
          <t>8465</t>
        </is>
      </c>
      <c r="E5290" t="inlineStr">
        <is>
          <t>pagado</t>
        </is>
      </c>
      <c r="F5290" s="23" t="n">
        <v>46273</v>
      </c>
      <c r="G5290" s="24">
        <f>F5290-DATE(2026,8,31)</f>
        <v>8</v>
      </c>
      <c r="H5290" s="25" t="n">
        <v>10937208</v>
      </c>
      <c r="I5290" t="inlineStr">
        <is>
          <t>entidad-dia</t>
        </is>
      </c>
    </row>
    <row r="5291">
      <c r="A5291" t="inlineStr">
        <is>
          <t>PRAGMA</t>
        </is>
      </c>
      <c r="B5291" t="inlineStr">
        <is>
          <t>M1</t>
        </is>
      </c>
      <c r="C5291" t="inlineStr">
        <is>
          <t>Cali</t>
        </is>
      </c>
      <c r="D5291" t="inlineStr">
        <is>
          <t>8465</t>
        </is>
      </c>
      <c r="E5291" t="inlineStr">
        <is>
          <t>pagado</t>
        </is>
      </c>
      <c r="F5291" s="23" t="n">
        <v>46274</v>
      </c>
      <c r="G5291" s="24">
        <f>F5291-DATE(2026,8,31)</f>
        <v>9</v>
      </c>
      <c r="H5291" s="25" t="n">
        <v>11518197</v>
      </c>
      <c r="I5291" t="inlineStr">
        <is>
          <t>entidad-dia</t>
        </is>
      </c>
    </row>
    <row r="5292">
      <c r="A5292" t="inlineStr">
        <is>
          <t>PRAGMA</t>
        </is>
      </c>
      <c r="B5292" t="inlineStr">
        <is>
          <t>M1</t>
        </is>
      </c>
      <c r="C5292" t="inlineStr">
        <is>
          <t>Cali</t>
        </is>
      </c>
      <c r="D5292" t="inlineStr">
        <is>
          <t>8465</t>
        </is>
      </c>
      <c r="E5292" t="inlineStr">
        <is>
          <t>pagado</t>
        </is>
      </c>
      <c r="F5292" s="23" t="n">
        <v>46275</v>
      </c>
      <c r="G5292" s="24">
        <f>F5292-DATE(2026,8,31)</f>
        <v>10</v>
      </c>
      <c r="H5292" s="25" t="n">
        <v>10875806</v>
      </c>
      <c r="I5292" t="inlineStr">
        <is>
          <t>entidad-dia</t>
        </is>
      </c>
    </row>
    <row r="5293">
      <c r="A5293" t="inlineStr">
        <is>
          <t>PRAGMA</t>
        </is>
      </c>
      <c r="B5293" t="inlineStr">
        <is>
          <t>M1</t>
        </is>
      </c>
      <c r="C5293" t="inlineStr">
        <is>
          <t>Cali</t>
        </is>
      </c>
      <c r="D5293" t="inlineStr">
        <is>
          <t>8465</t>
        </is>
      </c>
      <c r="E5293" t="inlineStr">
        <is>
          <t>pagado</t>
        </is>
      </c>
      <c r="F5293" s="23" t="n">
        <v>46276</v>
      </c>
      <c r="G5293" s="24">
        <f>F5293-DATE(2026,8,31)</f>
        <v>11</v>
      </c>
      <c r="H5293" s="25" t="n">
        <v>15717215</v>
      </c>
      <c r="I5293" t="inlineStr">
        <is>
          <t>entidad-dia</t>
        </is>
      </c>
    </row>
    <row r="5294">
      <c r="A5294" t="inlineStr">
        <is>
          <t>PRAGMA</t>
        </is>
      </c>
      <c r="B5294" t="inlineStr">
        <is>
          <t>M1</t>
        </is>
      </c>
      <c r="C5294" t="inlineStr">
        <is>
          <t>Cali</t>
        </is>
      </c>
      <c r="D5294" t="inlineStr">
        <is>
          <t>8465</t>
        </is>
      </c>
      <c r="E5294" t="inlineStr">
        <is>
          <t>pagado</t>
        </is>
      </c>
      <c r="F5294" s="23" t="n">
        <v>46277</v>
      </c>
      <c r="G5294" s="24">
        <f>F5294-DATE(2026,8,31)</f>
        <v>12</v>
      </c>
      <c r="H5294" s="25" t="n">
        <v>23013549</v>
      </c>
      <c r="I5294" t="inlineStr">
        <is>
          <t>entidad-dia</t>
        </is>
      </c>
    </row>
    <row r="5295">
      <c r="A5295" t="inlineStr">
        <is>
          <t>PRAGMA</t>
        </is>
      </c>
      <c r="B5295" t="inlineStr">
        <is>
          <t>M1</t>
        </is>
      </c>
      <c r="C5295" t="inlineStr">
        <is>
          <t>Cali</t>
        </is>
      </c>
      <c r="D5295" t="inlineStr">
        <is>
          <t>8465</t>
        </is>
      </c>
      <c r="E5295" t="inlineStr">
        <is>
          <t>pagado</t>
        </is>
      </c>
      <c r="F5295" s="23" t="n">
        <v>46278</v>
      </c>
      <c r="G5295" s="24">
        <f>F5295-DATE(2026,8,31)</f>
        <v>13</v>
      </c>
      <c r="H5295" s="25" t="n">
        <v>2242255</v>
      </c>
      <c r="I5295" t="inlineStr">
        <is>
          <t>entidad-dia</t>
        </is>
      </c>
    </row>
    <row r="5296">
      <c r="A5296" t="inlineStr">
        <is>
          <t>PRAGMA</t>
        </is>
      </c>
      <c r="B5296" t="inlineStr">
        <is>
          <t>M1</t>
        </is>
      </c>
      <c r="C5296" t="inlineStr">
        <is>
          <t>Cali</t>
        </is>
      </c>
      <c r="D5296" t="inlineStr">
        <is>
          <t>8465</t>
        </is>
      </c>
      <c r="E5296" t="inlineStr">
        <is>
          <t>pagado</t>
        </is>
      </c>
      <c r="F5296" s="23" t="n">
        <v>46279</v>
      </c>
      <c r="G5296" s="24">
        <f>F5296-DATE(2026,8,31)</f>
        <v>14</v>
      </c>
      <c r="H5296" s="25" t="n">
        <v>32701895</v>
      </c>
      <c r="I5296" t="inlineStr">
        <is>
          <t>entidad-dia</t>
        </is>
      </c>
    </row>
    <row r="5297">
      <c r="A5297" t="inlineStr">
        <is>
          <t>PRAGMA</t>
        </is>
      </c>
      <c r="B5297" t="inlineStr">
        <is>
          <t>M1</t>
        </is>
      </c>
      <c r="C5297" t="inlineStr">
        <is>
          <t>Cali</t>
        </is>
      </c>
      <c r="D5297" t="inlineStr">
        <is>
          <t>8465</t>
        </is>
      </c>
      <c r="E5297" t="inlineStr">
        <is>
          <t>pagado</t>
        </is>
      </c>
      <c r="F5297" s="23" t="n">
        <v>46280</v>
      </c>
      <c r="G5297" s="24">
        <f>F5297-DATE(2026,8,31)</f>
        <v>15</v>
      </c>
      <c r="H5297" s="25" t="n">
        <v>76765827</v>
      </c>
      <c r="I5297" t="inlineStr">
        <is>
          <t>entidad-dia</t>
        </is>
      </c>
    </row>
    <row r="5298">
      <c r="A5298" t="inlineStr">
        <is>
          <t>PRAGMA</t>
        </is>
      </c>
      <c r="B5298" t="inlineStr">
        <is>
          <t>M1</t>
        </is>
      </c>
      <c r="C5298" t="inlineStr">
        <is>
          <t>Cali</t>
        </is>
      </c>
      <c r="D5298" t="inlineStr">
        <is>
          <t>8467</t>
        </is>
      </c>
      <c r="E5298" t="inlineStr">
        <is>
          <t>pagado</t>
        </is>
      </c>
      <c r="F5298" s="23" t="n">
        <v>46266</v>
      </c>
      <c r="G5298" s="24">
        <f>F5298-DATE(2026,8,31)</f>
        <v>1</v>
      </c>
      <c r="H5298" s="25" t="n">
        <v>66981130</v>
      </c>
      <c r="I5298" t="inlineStr">
        <is>
          <t>entidad-dia</t>
        </is>
      </c>
    </row>
    <row r="5299">
      <c r="A5299" t="inlineStr">
        <is>
          <t>PRAGMA</t>
        </is>
      </c>
      <c r="B5299" t="inlineStr">
        <is>
          <t>M1</t>
        </is>
      </c>
      <c r="C5299" t="inlineStr">
        <is>
          <t>Cali</t>
        </is>
      </c>
      <c r="D5299" t="inlineStr">
        <is>
          <t>8467</t>
        </is>
      </c>
      <c r="E5299" t="inlineStr">
        <is>
          <t>pagado</t>
        </is>
      </c>
      <c r="F5299" s="23" t="n">
        <v>46267</v>
      </c>
      <c r="G5299" s="24">
        <f>F5299-DATE(2026,8,31)</f>
        <v>2</v>
      </c>
      <c r="H5299" s="25" t="n">
        <v>46575117</v>
      </c>
      <c r="I5299" t="inlineStr">
        <is>
          <t>entidad-dia</t>
        </is>
      </c>
    </row>
    <row r="5300">
      <c r="A5300" t="inlineStr">
        <is>
          <t>PRAGMA</t>
        </is>
      </c>
      <c r="B5300" t="inlineStr">
        <is>
          <t>M1</t>
        </is>
      </c>
      <c r="C5300" t="inlineStr">
        <is>
          <t>Cali</t>
        </is>
      </c>
      <c r="D5300" t="inlineStr">
        <is>
          <t>8467</t>
        </is>
      </c>
      <c r="E5300" t="inlineStr">
        <is>
          <t>pagado</t>
        </is>
      </c>
      <c r="F5300" s="23" t="n">
        <v>46268</v>
      </c>
      <c r="G5300" s="24">
        <f>F5300-DATE(2026,8,31)</f>
        <v>3</v>
      </c>
      <c r="H5300" s="25" t="n">
        <v>42027852</v>
      </c>
      <c r="I5300" t="inlineStr">
        <is>
          <t>entidad-dia</t>
        </is>
      </c>
    </row>
    <row r="5301">
      <c r="A5301" t="inlineStr">
        <is>
          <t>PRAGMA</t>
        </is>
      </c>
      <c r="B5301" t="inlineStr">
        <is>
          <t>M1</t>
        </is>
      </c>
      <c r="C5301" t="inlineStr">
        <is>
          <t>Cali</t>
        </is>
      </c>
      <c r="D5301" t="inlineStr">
        <is>
          <t>8467</t>
        </is>
      </c>
      <c r="E5301" t="inlineStr">
        <is>
          <t>pagado</t>
        </is>
      </c>
      <c r="F5301" s="23" t="n">
        <v>46269</v>
      </c>
      <c r="G5301" s="24">
        <f>F5301-DATE(2026,8,31)</f>
        <v>4</v>
      </c>
      <c r="H5301" s="25" t="n">
        <v>41754473</v>
      </c>
      <c r="I5301" t="inlineStr">
        <is>
          <t>entidad-dia</t>
        </is>
      </c>
    </row>
    <row r="5302">
      <c r="A5302" t="inlineStr">
        <is>
          <t>PRAGMA</t>
        </is>
      </c>
      <c r="B5302" t="inlineStr">
        <is>
          <t>M1</t>
        </is>
      </c>
      <c r="C5302" t="inlineStr">
        <is>
          <t>Cali</t>
        </is>
      </c>
      <c r="D5302" t="inlineStr">
        <is>
          <t>8467</t>
        </is>
      </c>
      <c r="E5302" t="inlineStr">
        <is>
          <t>pagado</t>
        </is>
      </c>
      <c r="F5302" s="23" t="n">
        <v>46270</v>
      </c>
      <c r="G5302" s="24">
        <f>F5302-DATE(2026,8,31)</f>
        <v>5</v>
      </c>
      <c r="H5302" s="25" t="n">
        <v>38709043</v>
      </c>
      <c r="I5302" t="inlineStr">
        <is>
          <t>entidad-dia</t>
        </is>
      </c>
    </row>
    <row r="5303">
      <c r="A5303" t="inlineStr">
        <is>
          <t>PRAGMA</t>
        </is>
      </c>
      <c r="B5303" t="inlineStr">
        <is>
          <t>M1</t>
        </is>
      </c>
      <c r="C5303" t="inlineStr">
        <is>
          <t>Cali</t>
        </is>
      </c>
      <c r="D5303" t="inlineStr">
        <is>
          <t>8467</t>
        </is>
      </c>
      <c r="E5303" t="inlineStr">
        <is>
          <t>pagado</t>
        </is>
      </c>
      <c r="F5303" s="23" t="n">
        <v>46271</v>
      </c>
      <c r="G5303" s="24">
        <f>F5303-DATE(2026,8,31)</f>
        <v>6</v>
      </c>
      <c r="H5303" s="25" t="n">
        <v>16900479</v>
      </c>
      <c r="I5303" t="inlineStr">
        <is>
          <t>entidad-dia</t>
        </is>
      </c>
    </row>
    <row r="5304">
      <c r="A5304" t="inlineStr">
        <is>
          <t>PRAGMA</t>
        </is>
      </c>
      <c r="B5304" t="inlineStr">
        <is>
          <t>M1</t>
        </is>
      </c>
      <c r="C5304" t="inlineStr">
        <is>
          <t>Cali</t>
        </is>
      </c>
      <c r="D5304" t="inlineStr">
        <is>
          <t>8467</t>
        </is>
      </c>
      <c r="E5304" t="inlineStr">
        <is>
          <t>pagado</t>
        </is>
      </c>
      <c r="F5304" s="23" t="n">
        <v>46272</v>
      </c>
      <c r="G5304" s="24">
        <f>F5304-DATE(2026,8,31)</f>
        <v>7</v>
      </c>
      <c r="H5304" s="25" t="n">
        <v>26750828</v>
      </c>
      <c r="I5304" t="inlineStr">
        <is>
          <t>entidad-dia</t>
        </is>
      </c>
    </row>
    <row r="5305">
      <c r="A5305" t="inlineStr">
        <is>
          <t>PRAGMA</t>
        </is>
      </c>
      <c r="B5305" t="inlineStr">
        <is>
          <t>M1</t>
        </is>
      </c>
      <c r="C5305" t="inlineStr">
        <is>
          <t>Cali</t>
        </is>
      </c>
      <c r="D5305" t="inlineStr">
        <is>
          <t>8467</t>
        </is>
      </c>
      <c r="E5305" t="inlineStr">
        <is>
          <t>pagado</t>
        </is>
      </c>
      <c r="F5305" s="23" t="n">
        <v>46273</v>
      </c>
      <c r="G5305" s="24">
        <f>F5305-DATE(2026,8,31)</f>
        <v>8</v>
      </c>
      <c r="H5305" s="25" t="n">
        <v>28533711</v>
      </c>
      <c r="I5305" t="inlineStr">
        <is>
          <t>entidad-dia</t>
        </is>
      </c>
    </row>
    <row r="5306">
      <c r="A5306" t="inlineStr">
        <is>
          <t>PRAGMA</t>
        </is>
      </c>
      <c r="B5306" t="inlineStr">
        <is>
          <t>M1</t>
        </is>
      </c>
      <c r="C5306" t="inlineStr">
        <is>
          <t>Cali</t>
        </is>
      </c>
      <c r="D5306" t="inlineStr">
        <is>
          <t>8467</t>
        </is>
      </c>
      <c r="E5306" t="inlineStr">
        <is>
          <t>pagado</t>
        </is>
      </c>
      <c r="F5306" s="23" t="n">
        <v>46274</v>
      </c>
      <c r="G5306" s="24">
        <f>F5306-DATE(2026,8,31)</f>
        <v>9</v>
      </c>
      <c r="H5306" s="25" t="n">
        <v>27208893</v>
      </c>
      <c r="I5306" t="inlineStr">
        <is>
          <t>entidad-dia</t>
        </is>
      </c>
    </row>
    <row r="5307">
      <c r="A5307" t="inlineStr">
        <is>
          <t>PRAGMA</t>
        </is>
      </c>
      <c r="B5307" t="inlineStr">
        <is>
          <t>M1</t>
        </is>
      </c>
      <c r="C5307" t="inlineStr">
        <is>
          <t>Cali</t>
        </is>
      </c>
      <c r="D5307" t="inlineStr">
        <is>
          <t>8467</t>
        </is>
      </c>
      <c r="E5307" t="inlineStr">
        <is>
          <t>pagado</t>
        </is>
      </c>
      <c r="F5307" s="23" t="n">
        <v>46275</v>
      </c>
      <c r="G5307" s="24">
        <f>F5307-DATE(2026,8,31)</f>
        <v>10</v>
      </c>
      <c r="H5307" s="25" t="n">
        <v>28846355</v>
      </c>
      <c r="I5307" t="inlineStr">
        <is>
          <t>entidad-dia</t>
        </is>
      </c>
    </row>
    <row r="5308">
      <c r="A5308" t="inlineStr">
        <is>
          <t>PRAGMA</t>
        </is>
      </c>
      <c r="B5308" t="inlineStr">
        <is>
          <t>M1</t>
        </is>
      </c>
      <c r="C5308" t="inlineStr">
        <is>
          <t>Cali</t>
        </is>
      </c>
      <c r="D5308" t="inlineStr">
        <is>
          <t>8467</t>
        </is>
      </c>
      <c r="E5308" t="inlineStr">
        <is>
          <t>pagado</t>
        </is>
      </c>
      <c r="F5308" s="23" t="n">
        <v>46276</v>
      </c>
      <c r="G5308" s="24">
        <f>F5308-DATE(2026,8,31)</f>
        <v>11</v>
      </c>
      <c r="H5308" s="25" t="n">
        <v>29949672</v>
      </c>
      <c r="I5308" t="inlineStr">
        <is>
          <t>entidad-dia</t>
        </is>
      </c>
    </row>
    <row r="5309">
      <c r="A5309" t="inlineStr">
        <is>
          <t>PRAGMA</t>
        </is>
      </c>
      <c r="B5309" t="inlineStr">
        <is>
          <t>M1</t>
        </is>
      </c>
      <c r="C5309" t="inlineStr">
        <is>
          <t>Cali</t>
        </is>
      </c>
      <c r="D5309" t="inlineStr">
        <is>
          <t>8467</t>
        </is>
      </c>
      <c r="E5309" t="inlineStr">
        <is>
          <t>pagado</t>
        </is>
      </c>
      <c r="F5309" s="23" t="n">
        <v>46277</v>
      </c>
      <c r="G5309" s="24">
        <f>F5309-DATE(2026,8,31)</f>
        <v>12</v>
      </c>
      <c r="H5309" s="25" t="n">
        <v>28759102</v>
      </c>
      <c r="I5309" t="inlineStr">
        <is>
          <t>entidad-dia</t>
        </is>
      </c>
    </row>
    <row r="5310">
      <c r="A5310" t="inlineStr">
        <is>
          <t>PRAGMA</t>
        </is>
      </c>
      <c r="B5310" t="inlineStr">
        <is>
          <t>M1</t>
        </is>
      </c>
      <c r="C5310" t="inlineStr">
        <is>
          <t>Cali</t>
        </is>
      </c>
      <c r="D5310" t="inlineStr">
        <is>
          <t>8467</t>
        </is>
      </c>
      <c r="E5310" t="inlineStr">
        <is>
          <t>pagado</t>
        </is>
      </c>
      <c r="F5310" s="23" t="n">
        <v>46278</v>
      </c>
      <c r="G5310" s="24">
        <f>F5310-DATE(2026,8,31)</f>
        <v>13</v>
      </c>
      <c r="H5310" s="25" t="n">
        <v>13224337</v>
      </c>
      <c r="I5310" t="inlineStr">
        <is>
          <t>entidad-dia</t>
        </is>
      </c>
    </row>
    <row r="5311">
      <c r="A5311" t="inlineStr">
        <is>
          <t>PRAGMA</t>
        </is>
      </c>
      <c r="B5311" t="inlineStr">
        <is>
          <t>M1</t>
        </is>
      </c>
      <c r="C5311" t="inlineStr">
        <is>
          <t>Cali</t>
        </is>
      </c>
      <c r="D5311" t="inlineStr">
        <is>
          <t>8467</t>
        </is>
      </c>
      <c r="E5311" t="inlineStr">
        <is>
          <t>pagado</t>
        </is>
      </c>
      <c r="F5311" s="23" t="n">
        <v>46279</v>
      </c>
      <c r="G5311" s="24">
        <f>F5311-DATE(2026,8,31)</f>
        <v>14</v>
      </c>
      <c r="H5311" s="25" t="n">
        <v>32502353</v>
      </c>
      <c r="I5311" t="inlineStr">
        <is>
          <t>entidad-dia</t>
        </is>
      </c>
    </row>
    <row r="5312">
      <c r="A5312" t="inlineStr">
        <is>
          <t>PRAGMA</t>
        </is>
      </c>
      <c r="B5312" t="inlineStr">
        <is>
          <t>M1</t>
        </is>
      </c>
      <c r="C5312" t="inlineStr">
        <is>
          <t>Cali</t>
        </is>
      </c>
      <c r="D5312" t="inlineStr">
        <is>
          <t>8467</t>
        </is>
      </c>
      <c r="E5312" t="inlineStr">
        <is>
          <t>pagado</t>
        </is>
      </c>
      <c r="F5312" s="23" t="n">
        <v>46280</v>
      </c>
      <c r="G5312" s="24">
        <f>F5312-DATE(2026,8,31)</f>
        <v>15</v>
      </c>
      <c r="H5312" s="25" t="n">
        <v>61824757</v>
      </c>
      <c r="I5312" t="inlineStr">
        <is>
          <t>entidad-dia</t>
        </is>
      </c>
    </row>
    <row r="5313">
      <c r="A5313" t="inlineStr">
        <is>
          <t>PRAGMA</t>
        </is>
      </c>
      <c r="B5313" t="inlineStr">
        <is>
          <t>M1</t>
        </is>
      </c>
      <c r="C5313" t="inlineStr">
        <is>
          <t>Pasto</t>
        </is>
      </c>
      <c r="D5313" t="inlineStr">
        <is>
          <t>8496</t>
        </is>
      </c>
      <c r="E5313" t="inlineStr">
        <is>
          <t>pagado</t>
        </is>
      </c>
      <c r="F5313" s="23" t="n">
        <v>46266</v>
      </c>
      <c r="G5313" s="24">
        <f>F5313-DATE(2026,8,31)</f>
        <v>1</v>
      </c>
      <c r="H5313" s="25" t="n">
        <v>146489456</v>
      </c>
      <c r="I5313" t="inlineStr">
        <is>
          <t>entidad-dia</t>
        </is>
      </c>
    </row>
    <row r="5314">
      <c r="A5314" t="inlineStr">
        <is>
          <t>PRAGMA</t>
        </is>
      </c>
      <c r="B5314" t="inlineStr">
        <is>
          <t>M1</t>
        </is>
      </c>
      <c r="C5314" t="inlineStr">
        <is>
          <t>Pasto</t>
        </is>
      </c>
      <c r="D5314" t="inlineStr">
        <is>
          <t>8496</t>
        </is>
      </c>
      <c r="E5314" t="inlineStr">
        <is>
          <t>pagado</t>
        </is>
      </c>
      <c r="F5314" s="23" t="n">
        <v>46267</v>
      </c>
      <c r="G5314" s="24">
        <f>F5314-DATE(2026,8,31)</f>
        <v>2</v>
      </c>
      <c r="H5314" s="25" t="n">
        <v>105486403</v>
      </c>
      <c r="I5314" t="inlineStr">
        <is>
          <t>entidad-dia</t>
        </is>
      </c>
    </row>
    <row r="5315">
      <c r="A5315" t="inlineStr">
        <is>
          <t>PRAGMA</t>
        </is>
      </c>
      <c r="B5315" t="inlineStr">
        <is>
          <t>M1</t>
        </is>
      </c>
      <c r="C5315" t="inlineStr">
        <is>
          <t>Pasto</t>
        </is>
      </c>
      <c r="D5315" t="inlineStr">
        <is>
          <t>8496</t>
        </is>
      </c>
      <c r="E5315" t="inlineStr">
        <is>
          <t>pagado</t>
        </is>
      </c>
      <c r="F5315" s="23" t="n">
        <v>46268</v>
      </c>
      <c r="G5315" s="24">
        <f>F5315-DATE(2026,8,31)</f>
        <v>3</v>
      </c>
      <c r="H5315" s="25" t="n">
        <v>103100922</v>
      </c>
      <c r="I5315" t="inlineStr">
        <is>
          <t>entidad-dia</t>
        </is>
      </c>
    </row>
    <row r="5316">
      <c r="A5316" t="inlineStr">
        <is>
          <t>PRAGMA</t>
        </is>
      </c>
      <c r="B5316" t="inlineStr">
        <is>
          <t>M1</t>
        </is>
      </c>
      <c r="C5316" t="inlineStr">
        <is>
          <t>Pasto</t>
        </is>
      </c>
      <c r="D5316" t="inlineStr">
        <is>
          <t>8496</t>
        </is>
      </c>
      <c r="E5316" t="inlineStr">
        <is>
          <t>pagado</t>
        </is>
      </c>
      <c r="F5316" s="23" t="n">
        <v>46269</v>
      </c>
      <c r="G5316" s="24">
        <f>F5316-DATE(2026,8,31)</f>
        <v>4</v>
      </c>
      <c r="H5316" s="25" t="n">
        <v>104644695</v>
      </c>
      <c r="I5316" t="inlineStr">
        <is>
          <t>entidad-dia</t>
        </is>
      </c>
    </row>
    <row r="5317">
      <c r="A5317" t="inlineStr">
        <is>
          <t>PRAGMA</t>
        </is>
      </c>
      <c r="B5317" t="inlineStr">
        <is>
          <t>M1</t>
        </is>
      </c>
      <c r="C5317" t="inlineStr">
        <is>
          <t>Pasto</t>
        </is>
      </c>
      <c r="D5317" t="inlineStr">
        <is>
          <t>8496</t>
        </is>
      </c>
      <c r="E5317" t="inlineStr">
        <is>
          <t>pagado</t>
        </is>
      </c>
      <c r="F5317" s="23" t="n">
        <v>46270</v>
      </c>
      <c r="G5317" s="24">
        <f>F5317-DATE(2026,8,31)</f>
        <v>5</v>
      </c>
      <c r="H5317" s="25" t="n">
        <v>109285783</v>
      </c>
      <c r="I5317" t="inlineStr">
        <is>
          <t>entidad-dia</t>
        </is>
      </c>
    </row>
    <row r="5318">
      <c r="A5318" t="inlineStr">
        <is>
          <t>PRAGMA</t>
        </is>
      </c>
      <c r="B5318" t="inlineStr">
        <is>
          <t>M1</t>
        </is>
      </c>
      <c r="C5318" t="inlineStr">
        <is>
          <t>Pasto</t>
        </is>
      </c>
      <c r="D5318" t="inlineStr">
        <is>
          <t>8496</t>
        </is>
      </c>
      <c r="E5318" t="inlineStr">
        <is>
          <t>pagado</t>
        </is>
      </c>
      <c r="F5318" s="23" t="n">
        <v>46271</v>
      </c>
      <c r="G5318" s="24">
        <f>F5318-DATE(2026,8,31)</f>
        <v>6</v>
      </c>
      <c r="H5318" s="25" t="n">
        <v>55968336</v>
      </c>
      <c r="I5318" t="inlineStr">
        <is>
          <t>entidad-dia</t>
        </is>
      </c>
    </row>
    <row r="5319">
      <c r="A5319" t="inlineStr">
        <is>
          <t>PRAGMA</t>
        </is>
      </c>
      <c r="B5319" t="inlineStr">
        <is>
          <t>M1</t>
        </is>
      </c>
      <c r="C5319" t="inlineStr">
        <is>
          <t>Pasto</t>
        </is>
      </c>
      <c r="D5319" t="inlineStr">
        <is>
          <t>8496</t>
        </is>
      </c>
      <c r="E5319" t="inlineStr">
        <is>
          <t>pagado</t>
        </is>
      </c>
      <c r="F5319" s="23" t="n">
        <v>46272</v>
      </c>
      <c r="G5319" s="24">
        <f>F5319-DATE(2026,8,31)</f>
        <v>7</v>
      </c>
      <c r="H5319" s="25" t="n">
        <v>79127785</v>
      </c>
      <c r="I5319" t="inlineStr">
        <is>
          <t>entidad-dia</t>
        </is>
      </c>
    </row>
    <row r="5320">
      <c r="A5320" t="inlineStr">
        <is>
          <t>PRAGMA</t>
        </is>
      </c>
      <c r="B5320" t="inlineStr">
        <is>
          <t>M1</t>
        </is>
      </c>
      <c r="C5320" t="inlineStr">
        <is>
          <t>Pasto</t>
        </is>
      </c>
      <c r="D5320" t="inlineStr">
        <is>
          <t>8496</t>
        </is>
      </c>
      <c r="E5320" t="inlineStr">
        <is>
          <t>pagado</t>
        </is>
      </c>
      <c r="F5320" s="23" t="n">
        <v>46273</v>
      </c>
      <c r="G5320" s="24">
        <f>F5320-DATE(2026,8,31)</f>
        <v>8</v>
      </c>
      <c r="H5320" s="25" t="n">
        <v>87176418</v>
      </c>
      <c r="I5320" t="inlineStr">
        <is>
          <t>entidad-dia</t>
        </is>
      </c>
    </row>
    <row r="5321">
      <c r="A5321" t="inlineStr">
        <is>
          <t>PRAGMA</t>
        </is>
      </c>
      <c r="B5321" t="inlineStr">
        <is>
          <t>M1</t>
        </is>
      </c>
      <c r="C5321" t="inlineStr">
        <is>
          <t>Pasto</t>
        </is>
      </c>
      <c r="D5321" t="inlineStr">
        <is>
          <t>8496</t>
        </is>
      </c>
      <c r="E5321" t="inlineStr">
        <is>
          <t>pagado</t>
        </is>
      </c>
      <c r="F5321" s="23" t="n">
        <v>46274</v>
      </c>
      <c r="G5321" s="24">
        <f>F5321-DATE(2026,8,31)</f>
        <v>9</v>
      </c>
      <c r="H5321" s="25" t="n">
        <v>74320392</v>
      </c>
      <c r="I5321" t="inlineStr">
        <is>
          <t>entidad-dia</t>
        </is>
      </c>
    </row>
    <row r="5322">
      <c r="A5322" t="inlineStr">
        <is>
          <t>PRAGMA</t>
        </is>
      </c>
      <c r="B5322" t="inlineStr">
        <is>
          <t>M1</t>
        </is>
      </c>
      <c r="C5322" t="inlineStr">
        <is>
          <t>Pasto</t>
        </is>
      </c>
      <c r="D5322" t="inlineStr">
        <is>
          <t>8496</t>
        </is>
      </c>
      <c r="E5322" t="inlineStr">
        <is>
          <t>pagado</t>
        </is>
      </c>
      <c r="F5322" s="23" t="n">
        <v>46275</v>
      </c>
      <c r="G5322" s="24">
        <f>F5322-DATE(2026,8,31)</f>
        <v>10</v>
      </c>
      <c r="H5322" s="25" t="n">
        <v>68678914</v>
      </c>
      <c r="I5322" t="inlineStr">
        <is>
          <t>entidad-dia</t>
        </is>
      </c>
    </row>
    <row r="5323">
      <c r="A5323" t="inlineStr">
        <is>
          <t>PRAGMA</t>
        </is>
      </c>
      <c r="B5323" t="inlineStr">
        <is>
          <t>M1</t>
        </is>
      </c>
      <c r="C5323" t="inlineStr">
        <is>
          <t>Pasto</t>
        </is>
      </c>
      <c r="D5323" t="inlineStr">
        <is>
          <t>8496</t>
        </is>
      </c>
      <c r="E5323" t="inlineStr">
        <is>
          <t>pagado</t>
        </is>
      </c>
      <c r="F5323" s="23" t="n">
        <v>46276</v>
      </c>
      <c r="G5323" s="24">
        <f>F5323-DATE(2026,8,31)</f>
        <v>11</v>
      </c>
      <c r="H5323" s="25" t="n">
        <v>75322255</v>
      </c>
      <c r="I5323" t="inlineStr">
        <is>
          <t>entidad-dia</t>
        </is>
      </c>
    </row>
    <row r="5324">
      <c r="A5324" t="inlineStr">
        <is>
          <t>PRAGMA</t>
        </is>
      </c>
      <c r="B5324" t="inlineStr">
        <is>
          <t>M1</t>
        </is>
      </c>
      <c r="C5324" t="inlineStr">
        <is>
          <t>Pasto</t>
        </is>
      </c>
      <c r="D5324" t="inlineStr">
        <is>
          <t>8496</t>
        </is>
      </c>
      <c r="E5324" t="inlineStr">
        <is>
          <t>pagado</t>
        </is>
      </c>
      <c r="F5324" s="23" t="n">
        <v>46277</v>
      </c>
      <c r="G5324" s="24">
        <f>F5324-DATE(2026,8,31)</f>
        <v>12</v>
      </c>
      <c r="H5324" s="25" t="n">
        <v>76611473</v>
      </c>
      <c r="I5324" t="inlineStr">
        <is>
          <t>entidad-dia</t>
        </is>
      </c>
    </row>
    <row r="5325">
      <c r="A5325" t="inlineStr">
        <is>
          <t>PRAGMA</t>
        </is>
      </c>
      <c r="B5325" t="inlineStr">
        <is>
          <t>M1</t>
        </is>
      </c>
      <c r="C5325" t="inlineStr">
        <is>
          <t>Pasto</t>
        </is>
      </c>
      <c r="D5325" t="inlineStr">
        <is>
          <t>8496</t>
        </is>
      </c>
      <c r="E5325" t="inlineStr">
        <is>
          <t>pagado</t>
        </is>
      </c>
      <c r="F5325" s="23" t="n">
        <v>46278</v>
      </c>
      <c r="G5325" s="24">
        <f>F5325-DATE(2026,8,31)</f>
        <v>13</v>
      </c>
      <c r="H5325" s="25" t="n">
        <v>41079819</v>
      </c>
      <c r="I5325" t="inlineStr">
        <is>
          <t>entidad-dia</t>
        </is>
      </c>
    </row>
    <row r="5326">
      <c r="A5326" t="inlineStr">
        <is>
          <t>PRAGMA</t>
        </is>
      </c>
      <c r="B5326" t="inlineStr">
        <is>
          <t>M1</t>
        </is>
      </c>
      <c r="C5326" t="inlineStr">
        <is>
          <t>Pasto</t>
        </is>
      </c>
      <c r="D5326" t="inlineStr">
        <is>
          <t>8496</t>
        </is>
      </c>
      <c r="E5326" t="inlineStr">
        <is>
          <t>pagado</t>
        </is>
      </c>
      <c r="F5326" s="23" t="n">
        <v>46279</v>
      </c>
      <c r="G5326" s="24">
        <f>F5326-DATE(2026,8,31)</f>
        <v>14</v>
      </c>
      <c r="H5326" s="25" t="n">
        <v>70920352</v>
      </c>
      <c r="I5326" t="inlineStr">
        <is>
          <t>entidad-dia</t>
        </is>
      </c>
    </row>
    <row r="5327">
      <c r="A5327" t="inlineStr">
        <is>
          <t>PRAGMA</t>
        </is>
      </c>
      <c r="B5327" t="inlineStr">
        <is>
          <t>M1</t>
        </is>
      </c>
      <c r="C5327" t="inlineStr">
        <is>
          <t>Pasto</t>
        </is>
      </c>
      <c r="D5327" t="inlineStr">
        <is>
          <t>8496</t>
        </is>
      </c>
      <c r="E5327" t="inlineStr">
        <is>
          <t>pagado</t>
        </is>
      </c>
      <c r="F5327" s="23" t="n">
        <v>46280</v>
      </c>
      <c r="G5327" s="24">
        <f>F5327-DATE(2026,8,31)</f>
        <v>15</v>
      </c>
      <c r="H5327" s="25" t="n">
        <v>90284792</v>
      </c>
      <c r="I5327" t="inlineStr">
        <is>
          <t>entidad-dia</t>
        </is>
      </c>
    </row>
    <row r="5328">
      <c r="A5328" t="inlineStr">
        <is>
          <t>PRAGMA</t>
        </is>
      </c>
      <c r="B5328" t="inlineStr">
        <is>
          <t>M1</t>
        </is>
      </c>
      <c r="C5328" t="inlineStr">
        <is>
          <t>Pasto</t>
        </is>
      </c>
      <c r="D5328" t="inlineStr">
        <is>
          <t>8497</t>
        </is>
      </c>
      <c r="E5328" t="inlineStr">
        <is>
          <t>pagado</t>
        </is>
      </c>
      <c r="F5328" s="23" t="n">
        <v>46266</v>
      </c>
      <c r="G5328" s="24">
        <f>F5328-DATE(2026,8,31)</f>
        <v>1</v>
      </c>
      <c r="H5328" s="25" t="n">
        <v>197547193</v>
      </c>
      <c r="I5328" t="inlineStr">
        <is>
          <t>entidad-dia</t>
        </is>
      </c>
    </row>
    <row r="5329">
      <c r="A5329" t="inlineStr">
        <is>
          <t>PRAGMA</t>
        </is>
      </c>
      <c r="B5329" t="inlineStr">
        <is>
          <t>M1</t>
        </is>
      </c>
      <c r="C5329" t="inlineStr">
        <is>
          <t>Pasto</t>
        </is>
      </c>
      <c r="D5329" t="inlineStr">
        <is>
          <t>8497</t>
        </is>
      </c>
      <c r="E5329" t="inlineStr">
        <is>
          <t>pagado</t>
        </is>
      </c>
      <c r="F5329" s="23" t="n">
        <v>46267</v>
      </c>
      <c r="G5329" s="24">
        <f>F5329-DATE(2026,8,31)</f>
        <v>2</v>
      </c>
      <c r="H5329" s="25" t="n">
        <v>166136866</v>
      </c>
      <c r="I5329" t="inlineStr">
        <is>
          <t>entidad-dia</t>
        </is>
      </c>
    </row>
    <row r="5330">
      <c r="A5330" t="inlineStr">
        <is>
          <t>PRAGMA</t>
        </is>
      </c>
      <c r="B5330" t="inlineStr">
        <is>
          <t>M1</t>
        </is>
      </c>
      <c r="C5330" t="inlineStr">
        <is>
          <t>Pasto</t>
        </is>
      </c>
      <c r="D5330" t="inlineStr">
        <is>
          <t>8497</t>
        </is>
      </c>
      <c r="E5330" t="inlineStr">
        <is>
          <t>pagado</t>
        </is>
      </c>
      <c r="F5330" s="23" t="n">
        <v>46268</v>
      </c>
      <c r="G5330" s="24">
        <f>F5330-DATE(2026,8,31)</f>
        <v>3</v>
      </c>
      <c r="H5330" s="25" t="n">
        <v>146526612</v>
      </c>
      <c r="I5330" t="inlineStr">
        <is>
          <t>entidad-dia</t>
        </is>
      </c>
    </row>
    <row r="5331">
      <c r="A5331" t="inlineStr">
        <is>
          <t>PRAGMA</t>
        </is>
      </c>
      <c r="B5331" t="inlineStr">
        <is>
          <t>M1</t>
        </is>
      </c>
      <c r="C5331" t="inlineStr">
        <is>
          <t>Pasto</t>
        </is>
      </c>
      <c r="D5331" t="inlineStr">
        <is>
          <t>8497</t>
        </is>
      </c>
      <c r="E5331" t="inlineStr">
        <is>
          <t>pagado</t>
        </is>
      </c>
      <c r="F5331" s="23" t="n">
        <v>46269</v>
      </c>
      <c r="G5331" s="24">
        <f>F5331-DATE(2026,8,31)</f>
        <v>4</v>
      </c>
      <c r="H5331" s="25" t="n">
        <v>150407901</v>
      </c>
      <c r="I5331" t="inlineStr">
        <is>
          <t>entidad-dia</t>
        </is>
      </c>
    </row>
    <row r="5332">
      <c r="A5332" t="inlineStr">
        <is>
          <t>PRAGMA</t>
        </is>
      </c>
      <c r="B5332" t="inlineStr">
        <is>
          <t>M1</t>
        </is>
      </c>
      <c r="C5332" t="inlineStr">
        <is>
          <t>Pasto</t>
        </is>
      </c>
      <c r="D5332" t="inlineStr">
        <is>
          <t>8497</t>
        </is>
      </c>
      <c r="E5332" t="inlineStr">
        <is>
          <t>pagado</t>
        </is>
      </c>
      <c r="F5332" s="23" t="n">
        <v>46270</v>
      </c>
      <c r="G5332" s="24">
        <f>F5332-DATE(2026,8,31)</f>
        <v>5</v>
      </c>
      <c r="H5332" s="25" t="n">
        <v>147495084</v>
      </c>
      <c r="I5332" t="inlineStr">
        <is>
          <t>entidad-dia</t>
        </is>
      </c>
    </row>
    <row r="5333">
      <c r="A5333" t="inlineStr">
        <is>
          <t>PRAGMA</t>
        </is>
      </c>
      <c r="B5333" t="inlineStr">
        <is>
          <t>M1</t>
        </is>
      </c>
      <c r="C5333" t="inlineStr">
        <is>
          <t>Pasto</t>
        </is>
      </c>
      <c r="D5333" t="inlineStr">
        <is>
          <t>8497</t>
        </is>
      </c>
      <c r="E5333" t="inlineStr">
        <is>
          <t>pagado</t>
        </is>
      </c>
      <c r="F5333" s="23" t="n">
        <v>46271</v>
      </c>
      <c r="G5333" s="24">
        <f>F5333-DATE(2026,8,31)</f>
        <v>6</v>
      </c>
      <c r="H5333" s="25" t="n">
        <v>91723373</v>
      </c>
      <c r="I5333" t="inlineStr">
        <is>
          <t>entidad-dia</t>
        </is>
      </c>
    </row>
    <row r="5334">
      <c r="A5334" t="inlineStr">
        <is>
          <t>PRAGMA</t>
        </is>
      </c>
      <c r="B5334" t="inlineStr">
        <is>
          <t>M1</t>
        </is>
      </c>
      <c r="C5334" t="inlineStr">
        <is>
          <t>Pasto</t>
        </is>
      </c>
      <c r="D5334" t="inlineStr">
        <is>
          <t>8497</t>
        </is>
      </c>
      <c r="E5334" t="inlineStr">
        <is>
          <t>pagado</t>
        </is>
      </c>
      <c r="F5334" s="23" t="n">
        <v>46272</v>
      </c>
      <c r="G5334" s="24">
        <f>F5334-DATE(2026,8,31)</f>
        <v>7</v>
      </c>
      <c r="H5334" s="25" t="n">
        <v>134739526</v>
      </c>
      <c r="I5334" t="inlineStr">
        <is>
          <t>entidad-dia</t>
        </is>
      </c>
    </row>
    <row r="5335">
      <c r="A5335" t="inlineStr">
        <is>
          <t>PRAGMA</t>
        </is>
      </c>
      <c r="B5335" t="inlineStr">
        <is>
          <t>M1</t>
        </is>
      </c>
      <c r="C5335" t="inlineStr">
        <is>
          <t>Pasto</t>
        </is>
      </c>
      <c r="D5335" t="inlineStr">
        <is>
          <t>8497</t>
        </is>
      </c>
      <c r="E5335" t="inlineStr">
        <is>
          <t>pagado</t>
        </is>
      </c>
      <c r="F5335" s="23" t="n">
        <v>46273</v>
      </c>
      <c r="G5335" s="24">
        <f>F5335-DATE(2026,8,31)</f>
        <v>8</v>
      </c>
      <c r="H5335" s="25" t="n">
        <v>128154642</v>
      </c>
      <c r="I5335" t="inlineStr">
        <is>
          <t>entidad-dia</t>
        </is>
      </c>
    </row>
    <row r="5336">
      <c r="A5336" t="inlineStr">
        <is>
          <t>PRAGMA</t>
        </is>
      </c>
      <c r="B5336" t="inlineStr">
        <is>
          <t>M1</t>
        </is>
      </c>
      <c r="C5336" t="inlineStr">
        <is>
          <t>Pasto</t>
        </is>
      </c>
      <c r="D5336" t="inlineStr">
        <is>
          <t>8497</t>
        </is>
      </c>
      <c r="E5336" t="inlineStr">
        <is>
          <t>pagado</t>
        </is>
      </c>
      <c r="F5336" s="23" t="n">
        <v>46274</v>
      </c>
      <c r="G5336" s="24">
        <f>F5336-DATE(2026,8,31)</f>
        <v>9</v>
      </c>
      <c r="H5336" s="25" t="n">
        <v>121414032</v>
      </c>
      <c r="I5336" t="inlineStr">
        <is>
          <t>entidad-dia</t>
        </is>
      </c>
    </row>
    <row r="5337">
      <c r="A5337" t="inlineStr">
        <is>
          <t>PRAGMA</t>
        </is>
      </c>
      <c r="B5337" t="inlineStr">
        <is>
          <t>M1</t>
        </is>
      </c>
      <c r="C5337" t="inlineStr">
        <is>
          <t>Pasto</t>
        </is>
      </c>
      <c r="D5337" t="inlineStr">
        <is>
          <t>8497</t>
        </is>
      </c>
      <c r="E5337" t="inlineStr">
        <is>
          <t>pagado</t>
        </is>
      </c>
      <c r="F5337" s="23" t="n">
        <v>46275</v>
      </c>
      <c r="G5337" s="24">
        <f>F5337-DATE(2026,8,31)</f>
        <v>10</v>
      </c>
      <c r="H5337" s="25" t="n">
        <v>116471164</v>
      </c>
      <c r="I5337" t="inlineStr">
        <is>
          <t>entidad-dia</t>
        </is>
      </c>
    </row>
    <row r="5338">
      <c r="A5338" t="inlineStr">
        <is>
          <t>PRAGMA</t>
        </is>
      </c>
      <c r="B5338" t="inlineStr">
        <is>
          <t>M1</t>
        </is>
      </c>
      <c r="C5338" t="inlineStr">
        <is>
          <t>Pasto</t>
        </is>
      </c>
      <c r="D5338" t="inlineStr">
        <is>
          <t>8497</t>
        </is>
      </c>
      <c r="E5338" t="inlineStr">
        <is>
          <t>pagado</t>
        </is>
      </c>
      <c r="F5338" s="23" t="n">
        <v>46276</v>
      </c>
      <c r="G5338" s="24">
        <f>F5338-DATE(2026,8,31)</f>
        <v>11</v>
      </c>
      <c r="H5338" s="25" t="n">
        <v>109451317</v>
      </c>
      <c r="I5338" t="inlineStr">
        <is>
          <t>entidad-dia</t>
        </is>
      </c>
    </row>
    <row r="5339">
      <c r="A5339" t="inlineStr">
        <is>
          <t>PRAGMA</t>
        </is>
      </c>
      <c r="B5339" t="inlineStr">
        <is>
          <t>M1</t>
        </is>
      </c>
      <c r="C5339" t="inlineStr">
        <is>
          <t>Pasto</t>
        </is>
      </c>
      <c r="D5339" t="inlineStr">
        <is>
          <t>8497</t>
        </is>
      </c>
      <c r="E5339" t="inlineStr">
        <is>
          <t>pagado</t>
        </is>
      </c>
      <c r="F5339" s="23" t="n">
        <v>46277</v>
      </c>
      <c r="G5339" s="24">
        <f>F5339-DATE(2026,8,31)</f>
        <v>12</v>
      </c>
      <c r="H5339" s="25" t="n">
        <v>113103864</v>
      </c>
      <c r="I5339" t="inlineStr">
        <is>
          <t>entidad-dia</t>
        </is>
      </c>
    </row>
    <row r="5340">
      <c r="A5340" t="inlineStr">
        <is>
          <t>PRAGMA</t>
        </is>
      </c>
      <c r="B5340" t="inlineStr">
        <is>
          <t>M1</t>
        </is>
      </c>
      <c r="C5340" t="inlineStr">
        <is>
          <t>Pasto</t>
        </is>
      </c>
      <c r="D5340" t="inlineStr">
        <is>
          <t>8497</t>
        </is>
      </c>
      <c r="E5340" t="inlineStr">
        <is>
          <t>pagado</t>
        </is>
      </c>
      <c r="F5340" s="23" t="n">
        <v>46278</v>
      </c>
      <c r="G5340" s="24">
        <f>F5340-DATE(2026,8,31)</f>
        <v>13</v>
      </c>
      <c r="H5340" s="25" t="n">
        <v>70181855</v>
      </c>
      <c r="I5340" t="inlineStr">
        <is>
          <t>entidad-dia</t>
        </is>
      </c>
    </row>
    <row r="5341">
      <c r="A5341" t="inlineStr">
        <is>
          <t>PRAGMA</t>
        </is>
      </c>
      <c r="B5341" t="inlineStr">
        <is>
          <t>M1</t>
        </is>
      </c>
      <c r="C5341" t="inlineStr">
        <is>
          <t>Pasto</t>
        </is>
      </c>
      <c r="D5341" t="inlineStr">
        <is>
          <t>8497</t>
        </is>
      </c>
      <c r="E5341" t="inlineStr">
        <is>
          <t>pagado</t>
        </is>
      </c>
      <c r="F5341" s="23" t="n">
        <v>46279</v>
      </c>
      <c r="G5341" s="24">
        <f>F5341-DATE(2026,8,31)</f>
        <v>14</v>
      </c>
      <c r="H5341" s="25" t="n">
        <v>108305125</v>
      </c>
      <c r="I5341" t="inlineStr">
        <is>
          <t>entidad-dia</t>
        </is>
      </c>
    </row>
    <row r="5342">
      <c r="A5342" t="inlineStr">
        <is>
          <t>PRAGMA</t>
        </is>
      </c>
      <c r="B5342" t="inlineStr">
        <is>
          <t>M1</t>
        </is>
      </c>
      <c r="C5342" t="inlineStr">
        <is>
          <t>Pasto</t>
        </is>
      </c>
      <c r="D5342" t="inlineStr">
        <is>
          <t>8497</t>
        </is>
      </c>
      <c r="E5342" t="inlineStr">
        <is>
          <t>pagado</t>
        </is>
      </c>
      <c r="F5342" s="23" t="n">
        <v>46280</v>
      </c>
      <c r="G5342" s="24">
        <f>F5342-DATE(2026,8,31)</f>
        <v>15</v>
      </c>
      <c r="H5342" s="25" t="n">
        <v>129661401</v>
      </c>
      <c r="I5342" t="inlineStr">
        <is>
          <t>entidad-dia</t>
        </is>
      </c>
    </row>
    <row r="5343">
      <c r="A5343" t="inlineStr">
        <is>
          <t>PRAGMA</t>
        </is>
      </c>
      <c r="B5343" t="inlineStr">
        <is>
          <t>M1</t>
        </is>
      </c>
      <c r="C5343" t="inlineStr">
        <is>
          <t>Pasto</t>
        </is>
      </c>
      <c r="D5343" t="inlineStr">
        <is>
          <t>8498</t>
        </is>
      </c>
      <c r="E5343" t="inlineStr">
        <is>
          <t>pagado</t>
        </is>
      </c>
      <c r="F5343" s="23" t="n">
        <v>46266</v>
      </c>
      <c r="G5343" s="24">
        <f>F5343-DATE(2026,8,31)</f>
        <v>1</v>
      </c>
      <c r="H5343" s="25" t="n">
        <v>216595169</v>
      </c>
      <c r="I5343" t="inlineStr">
        <is>
          <t>entidad-dia</t>
        </is>
      </c>
    </row>
    <row r="5344">
      <c r="A5344" t="inlineStr">
        <is>
          <t>PRAGMA</t>
        </is>
      </c>
      <c r="B5344" t="inlineStr">
        <is>
          <t>M1</t>
        </is>
      </c>
      <c r="C5344" t="inlineStr">
        <is>
          <t>Pasto</t>
        </is>
      </c>
      <c r="D5344" t="inlineStr">
        <is>
          <t>8498</t>
        </is>
      </c>
      <c r="E5344" t="inlineStr">
        <is>
          <t>pagado</t>
        </is>
      </c>
      <c r="F5344" s="23" t="n">
        <v>46267</v>
      </c>
      <c r="G5344" s="24">
        <f>F5344-DATE(2026,8,31)</f>
        <v>2</v>
      </c>
      <c r="H5344" s="25" t="n">
        <v>173346401</v>
      </c>
      <c r="I5344" t="inlineStr">
        <is>
          <t>entidad-dia</t>
        </is>
      </c>
    </row>
    <row r="5345">
      <c r="A5345" t="inlineStr">
        <is>
          <t>PRAGMA</t>
        </is>
      </c>
      <c r="B5345" t="inlineStr">
        <is>
          <t>M1</t>
        </is>
      </c>
      <c r="C5345" t="inlineStr">
        <is>
          <t>Pasto</t>
        </is>
      </c>
      <c r="D5345" t="inlineStr">
        <is>
          <t>8498</t>
        </is>
      </c>
      <c r="E5345" t="inlineStr">
        <is>
          <t>pagado</t>
        </is>
      </c>
      <c r="F5345" s="23" t="n">
        <v>46268</v>
      </c>
      <c r="G5345" s="24">
        <f>F5345-DATE(2026,8,31)</f>
        <v>3</v>
      </c>
      <c r="H5345" s="25" t="n">
        <v>151694661</v>
      </c>
      <c r="I5345" t="inlineStr">
        <is>
          <t>entidad-dia</t>
        </is>
      </c>
    </row>
    <row r="5346">
      <c r="A5346" t="inlineStr">
        <is>
          <t>PRAGMA</t>
        </is>
      </c>
      <c r="B5346" t="inlineStr">
        <is>
          <t>M1</t>
        </is>
      </c>
      <c r="C5346" t="inlineStr">
        <is>
          <t>Pasto</t>
        </is>
      </c>
      <c r="D5346" t="inlineStr">
        <is>
          <t>8498</t>
        </is>
      </c>
      <c r="E5346" t="inlineStr">
        <is>
          <t>pagado</t>
        </is>
      </c>
      <c r="F5346" s="23" t="n">
        <v>46269</v>
      </c>
      <c r="G5346" s="24">
        <f>F5346-DATE(2026,8,31)</f>
        <v>4</v>
      </c>
      <c r="H5346" s="25" t="n">
        <v>158805059</v>
      </c>
      <c r="I5346" t="inlineStr">
        <is>
          <t>entidad-dia</t>
        </is>
      </c>
    </row>
    <row r="5347">
      <c r="A5347" t="inlineStr">
        <is>
          <t>PRAGMA</t>
        </is>
      </c>
      <c r="B5347" t="inlineStr">
        <is>
          <t>M1</t>
        </is>
      </c>
      <c r="C5347" t="inlineStr">
        <is>
          <t>Pasto</t>
        </is>
      </c>
      <c r="D5347" t="inlineStr">
        <is>
          <t>8498</t>
        </is>
      </c>
      <c r="E5347" t="inlineStr">
        <is>
          <t>pagado</t>
        </is>
      </c>
      <c r="F5347" s="23" t="n">
        <v>46270</v>
      </c>
      <c r="G5347" s="24">
        <f>F5347-DATE(2026,8,31)</f>
        <v>5</v>
      </c>
      <c r="H5347" s="25" t="n">
        <v>155411560</v>
      </c>
      <c r="I5347" t="inlineStr">
        <is>
          <t>entidad-dia</t>
        </is>
      </c>
    </row>
    <row r="5348">
      <c r="A5348" t="inlineStr">
        <is>
          <t>PRAGMA</t>
        </is>
      </c>
      <c r="B5348" t="inlineStr">
        <is>
          <t>M1</t>
        </is>
      </c>
      <c r="C5348" t="inlineStr">
        <is>
          <t>Pasto</t>
        </is>
      </c>
      <c r="D5348" t="inlineStr">
        <is>
          <t>8498</t>
        </is>
      </c>
      <c r="E5348" t="inlineStr">
        <is>
          <t>pagado</t>
        </is>
      </c>
      <c r="F5348" s="23" t="n">
        <v>46271</v>
      </c>
      <c r="G5348" s="24">
        <f>F5348-DATE(2026,8,31)</f>
        <v>6</v>
      </c>
      <c r="H5348" s="25" t="n">
        <v>92487509</v>
      </c>
      <c r="I5348" t="inlineStr">
        <is>
          <t>entidad-dia</t>
        </is>
      </c>
    </row>
    <row r="5349">
      <c r="A5349" t="inlineStr">
        <is>
          <t>PRAGMA</t>
        </is>
      </c>
      <c r="B5349" t="inlineStr">
        <is>
          <t>M1</t>
        </is>
      </c>
      <c r="C5349" t="inlineStr">
        <is>
          <t>Pasto</t>
        </is>
      </c>
      <c r="D5349" t="inlineStr">
        <is>
          <t>8498</t>
        </is>
      </c>
      <c r="E5349" t="inlineStr">
        <is>
          <t>pagado</t>
        </is>
      </c>
      <c r="F5349" s="23" t="n">
        <v>46272</v>
      </c>
      <c r="G5349" s="24">
        <f>F5349-DATE(2026,8,31)</f>
        <v>7</v>
      </c>
      <c r="H5349" s="25" t="n">
        <v>137364462</v>
      </c>
      <c r="I5349" t="inlineStr">
        <is>
          <t>entidad-dia</t>
        </is>
      </c>
    </row>
    <row r="5350">
      <c r="A5350" t="inlineStr">
        <is>
          <t>PRAGMA</t>
        </is>
      </c>
      <c r="B5350" t="inlineStr">
        <is>
          <t>M1</t>
        </is>
      </c>
      <c r="C5350" t="inlineStr">
        <is>
          <t>Pasto</t>
        </is>
      </c>
      <c r="D5350" t="inlineStr">
        <is>
          <t>8498</t>
        </is>
      </c>
      <c r="E5350" t="inlineStr">
        <is>
          <t>pagado</t>
        </is>
      </c>
      <c r="F5350" s="23" t="n">
        <v>46273</v>
      </c>
      <c r="G5350" s="24">
        <f>F5350-DATE(2026,8,31)</f>
        <v>8</v>
      </c>
      <c r="H5350" s="25" t="n">
        <v>120824430</v>
      </c>
      <c r="I5350" t="inlineStr">
        <is>
          <t>entidad-dia</t>
        </is>
      </c>
    </row>
    <row r="5351">
      <c r="A5351" t="inlineStr">
        <is>
          <t>PRAGMA</t>
        </is>
      </c>
      <c r="B5351" t="inlineStr">
        <is>
          <t>M1</t>
        </is>
      </c>
      <c r="C5351" t="inlineStr">
        <is>
          <t>Pasto</t>
        </is>
      </c>
      <c r="D5351" t="inlineStr">
        <is>
          <t>8498</t>
        </is>
      </c>
      <c r="E5351" t="inlineStr">
        <is>
          <t>pagado</t>
        </is>
      </c>
      <c r="F5351" s="23" t="n">
        <v>46274</v>
      </c>
      <c r="G5351" s="24">
        <f>F5351-DATE(2026,8,31)</f>
        <v>9</v>
      </c>
      <c r="H5351" s="25" t="n">
        <v>124493848</v>
      </c>
      <c r="I5351" t="inlineStr">
        <is>
          <t>entidad-dia</t>
        </is>
      </c>
    </row>
    <row r="5352">
      <c r="A5352" t="inlineStr">
        <is>
          <t>PRAGMA</t>
        </is>
      </c>
      <c r="B5352" t="inlineStr">
        <is>
          <t>M1</t>
        </is>
      </c>
      <c r="C5352" t="inlineStr">
        <is>
          <t>Pasto</t>
        </is>
      </c>
      <c r="D5352" t="inlineStr">
        <is>
          <t>8498</t>
        </is>
      </c>
      <c r="E5352" t="inlineStr">
        <is>
          <t>pagado</t>
        </is>
      </c>
      <c r="F5352" s="23" t="n">
        <v>46275</v>
      </c>
      <c r="G5352" s="24">
        <f>F5352-DATE(2026,8,31)</f>
        <v>10</v>
      </c>
      <c r="H5352" s="25" t="n">
        <v>113988559</v>
      </c>
      <c r="I5352" t="inlineStr">
        <is>
          <t>entidad-dia</t>
        </is>
      </c>
    </row>
    <row r="5353">
      <c r="A5353" t="inlineStr">
        <is>
          <t>PRAGMA</t>
        </is>
      </c>
      <c r="B5353" t="inlineStr">
        <is>
          <t>M1</t>
        </is>
      </c>
      <c r="C5353" t="inlineStr">
        <is>
          <t>Pasto</t>
        </is>
      </c>
      <c r="D5353" t="inlineStr">
        <is>
          <t>8498</t>
        </is>
      </c>
      <c r="E5353" t="inlineStr">
        <is>
          <t>pagado</t>
        </is>
      </c>
      <c r="F5353" s="23" t="n">
        <v>46276</v>
      </c>
      <c r="G5353" s="24">
        <f>F5353-DATE(2026,8,31)</f>
        <v>11</v>
      </c>
      <c r="H5353" s="25" t="n">
        <v>117443110</v>
      </c>
      <c r="I5353" t="inlineStr">
        <is>
          <t>entidad-dia</t>
        </is>
      </c>
    </row>
    <row r="5354">
      <c r="A5354" t="inlineStr">
        <is>
          <t>PRAGMA</t>
        </is>
      </c>
      <c r="B5354" t="inlineStr">
        <is>
          <t>M1</t>
        </is>
      </c>
      <c r="C5354" t="inlineStr">
        <is>
          <t>Pasto</t>
        </is>
      </c>
      <c r="D5354" t="inlineStr">
        <is>
          <t>8498</t>
        </is>
      </c>
      <c r="E5354" t="inlineStr">
        <is>
          <t>pagado</t>
        </is>
      </c>
      <c r="F5354" s="23" t="n">
        <v>46277</v>
      </c>
      <c r="G5354" s="24">
        <f>F5354-DATE(2026,8,31)</f>
        <v>12</v>
      </c>
      <c r="H5354" s="25" t="n">
        <v>106542794</v>
      </c>
      <c r="I5354" t="inlineStr">
        <is>
          <t>entidad-dia</t>
        </is>
      </c>
    </row>
    <row r="5355">
      <c r="A5355" t="inlineStr">
        <is>
          <t>PRAGMA</t>
        </is>
      </c>
      <c r="B5355" t="inlineStr">
        <is>
          <t>M1</t>
        </is>
      </c>
      <c r="C5355" t="inlineStr">
        <is>
          <t>Pasto</t>
        </is>
      </c>
      <c r="D5355" t="inlineStr">
        <is>
          <t>8498</t>
        </is>
      </c>
      <c r="E5355" t="inlineStr">
        <is>
          <t>pagado</t>
        </is>
      </c>
      <c r="F5355" s="23" t="n">
        <v>46278</v>
      </c>
      <c r="G5355" s="24">
        <f>F5355-DATE(2026,8,31)</f>
        <v>13</v>
      </c>
      <c r="H5355" s="25" t="n">
        <v>70112202</v>
      </c>
      <c r="I5355" t="inlineStr">
        <is>
          <t>entidad-dia</t>
        </is>
      </c>
    </row>
    <row r="5356">
      <c r="A5356" t="inlineStr">
        <is>
          <t>PRAGMA</t>
        </is>
      </c>
      <c r="B5356" t="inlineStr">
        <is>
          <t>M1</t>
        </is>
      </c>
      <c r="C5356" t="inlineStr">
        <is>
          <t>Pasto</t>
        </is>
      </c>
      <c r="D5356" t="inlineStr">
        <is>
          <t>8498</t>
        </is>
      </c>
      <c r="E5356" t="inlineStr">
        <is>
          <t>pagado</t>
        </is>
      </c>
      <c r="F5356" s="23" t="n">
        <v>46279</v>
      </c>
      <c r="G5356" s="24">
        <f>F5356-DATE(2026,8,31)</f>
        <v>14</v>
      </c>
      <c r="H5356" s="25" t="n">
        <v>110443914</v>
      </c>
      <c r="I5356" t="inlineStr">
        <is>
          <t>entidad-dia</t>
        </is>
      </c>
    </row>
    <row r="5357">
      <c r="A5357" t="inlineStr">
        <is>
          <t>PRAGMA</t>
        </is>
      </c>
      <c r="B5357" t="inlineStr">
        <is>
          <t>M1</t>
        </is>
      </c>
      <c r="C5357" t="inlineStr">
        <is>
          <t>Pasto</t>
        </is>
      </c>
      <c r="D5357" t="inlineStr">
        <is>
          <t>8498</t>
        </is>
      </c>
      <c r="E5357" t="inlineStr">
        <is>
          <t>pagado</t>
        </is>
      </c>
      <c r="F5357" s="23" t="n">
        <v>46280</v>
      </c>
      <c r="G5357" s="24">
        <f>F5357-DATE(2026,8,31)</f>
        <v>15</v>
      </c>
      <c r="H5357" s="25" t="n">
        <v>133573508</v>
      </c>
      <c r="I5357" t="inlineStr">
        <is>
          <t>entidad-dia</t>
        </is>
      </c>
    </row>
    <row r="5358">
      <c r="A5358" t="inlineStr">
        <is>
          <t>PRAGMA</t>
        </is>
      </c>
      <c r="B5358" t="inlineStr">
        <is>
          <t>M1</t>
        </is>
      </c>
      <c r="C5358" t="inlineStr">
        <is>
          <t>Cali</t>
        </is>
      </c>
      <c r="D5358" t="inlineStr">
        <is>
          <t>8547</t>
        </is>
      </c>
      <c r="E5358" t="inlineStr">
        <is>
          <t>pagado</t>
        </is>
      </c>
      <c r="F5358" s="23" t="n">
        <v>46266</v>
      </c>
      <c r="G5358" s="24">
        <f>F5358-DATE(2026,8,31)</f>
        <v>1</v>
      </c>
      <c r="H5358" s="25" t="n">
        <v>119494321</v>
      </c>
      <c r="I5358" t="inlineStr">
        <is>
          <t>entidad-dia</t>
        </is>
      </c>
    </row>
    <row r="5359">
      <c r="A5359" t="inlineStr">
        <is>
          <t>PRAGMA</t>
        </is>
      </c>
      <c r="B5359" t="inlineStr">
        <is>
          <t>M1</t>
        </is>
      </c>
      <c r="C5359" t="inlineStr">
        <is>
          <t>Cali</t>
        </is>
      </c>
      <c r="D5359" t="inlineStr">
        <is>
          <t>8547</t>
        </is>
      </c>
      <c r="E5359" t="inlineStr">
        <is>
          <t>pagado</t>
        </is>
      </c>
      <c r="F5359" s="23" t="n">
        <v>46267</v>
      </c>
      <c r="G5359" s="24">
        <f>F5359-DATE(2026,8,31)</f>
        <v>2</v>
      </c>
      <c r="H5359" s="25" t="n">
        <v>84069196</v>
      </c>
      <c r="I5359" t="inlineStr">
        <is>
          <t>entidad-dia</t>
        </is>
      </c>
    </row>
    <row r="5360">
      <c r="A5360" t="inlineStr">
        <is>
          <t>PRAGMA</t>
        </is>
      </c>
      <c r="B5360" t="inlineStr">
        <is>
          <t>M1</t>
        </is>
      </c>
      <c r="C5360" t="inlineStr">
        <is>
          <t>Cali</t>
        </is>
      </c>
      <c r="D5360" t="inlineStr">
        <is>
          <t>8547</t>
        </is>
      </c>
      <c r="E5360" t="inlineStr">
        <is>
          <t>pagado</t>
        </is>
      </c>
      <c r="F5360" s="23" t="n">
        <v>46268</v>
      </c>
      <c r="G5360" s="24">
        <f>F5360-DATE(2026,8,31)</f>
        <v>3</v>
      </c>
      <c r="H5360" s="25" t="n">
        <v>72403856</v>
      </c>
      <c r="I5360" t="inlineStr">
        <is>
          <t>entidad-dia</t>
        </is>
      </c>
    </row>
    <row r="5361">
      <c r="A5361" t="inlineStr">
        <is>
          <t>PRAGMA</t>
        </is>
      </c>
      <c r="B5361" t="inlineStr">
        <is>
          <t>M1</t>
        </is>
      </c>
      <c r="C5361" t="inlineStr">
        <is>
          <t>Cali</t>
        </is>
      </c>
      <c r="D5361" t="inlineStr">
        <is>
          <t>8547</t>
        </is>
      </c>
      <c r="E5361" t="inlineStr">
        <is>
          <t>pagado</t>
        </is>
      </c>
      <c r="F5361" s="23" t="n">
        <v>46269</v>
      </c>
      <c r="G5361" s="24">
        <f>F5361-DATE(2026,8,31)</f>
        <v>4</v>
      </c>
      <c r="H5361" s="25" t="n">
        <v>75425296</v>
      </c>
      <c r="I5361" t="inlineStr">
        <is>
          <t>entidad-dia</t>
        </is>
      </c>
    </row>
    <row r="5362">
      <c r="A5362" t="inlineStr">
        <is>
          <t>PRAGMA</t>
        </is>
      </c>
      <c r="B5362" t="inlineStr">
        <is>
          <t>M1</t>
        </is>
      </c>
      <c r="C5362" t="inlineStr">
        <is>
          <t>Cali</t>
        </is>
      </c>
      <c r="D5362" t="inlineStr">
        <is>
          <t>8547</t>
        </is>
      </c>
      <c r="E5362" t="inlineStr">
        <is>
          <t>pagado</t>
        </is>
      </c>
      <c r="F5362" s="23" t="n">
        <v>46270</v>
      </c>
      <c r="G5362" s="24">
        <f>F5362-DATE(2026,8,31)</f>
        <v>5</v>
      </c>
      <c r="H5362" s="25" t="n">
        <v>73956869</v>
      </c>
      <c r="I5362" t="inlineStr">
        <is>
          <t>entidad-dia</t>
        </is>
      </c>
    </row>
    <row r="5363">
      <c r="A5363" t="inlineStr">
        <is>
          <t>PRAGMA</t>
        </is>
      </c>
      <c r="B5363" t="inlineStr">
        <is>
          <t>M1</t>
        </is>
      </c>
      <c r="C5363" t="inlineStr">
        <is>
          <t>Cali</t>
        </is>
      </c>
      <c r="D5363" t="inlineStr">
        <is>
          <t>8547</t>
        </is>
      </c>
      <c r="E5363" t="inlineStr">
        <is>
          <t>pagado</t>
        </is>
      </c>
      <c r="F5363" s="23" t="n">
        <v>46271</v>
      </c>
      <c r="G5363" s="24">
        <f>F5363-DATE(2026,8,31)</f>
        <v>6</v>
      </c>
      <c r="H5363" s="25" t="n">
        <v>54866477</v>
      </c>
      <c r="I5363" t="inlineStr">
        <is>
          <t>entidad-dia</t>
        </is>
      </c>
    </row>
    <row r="5364">
      <c r="A5364" t="inlineStr">
        <is>
          <t>PRAGMA</t>
        </is>
      </c>
      <c r="B5364" t="inlineStr">
        <is>
          <t>M1</t>
        </is>
      </c>
      <c r="C5364" t="inlineStr">
        <is>
          <t>Cali</t>
        </is>
      </c>
      <c r="D5364" t="inlineStr">
        <is>
          <t>8547</t>
        </is>
      </c>
      <c r="E5364" t="inlineStr">
        <is>
          <t>pagado</t>
        </is>
      </c>
      <c r="F5364" s="23" t="n">
        <v>46272</v>
      </c>
      <c r="G5364" s="24">
        <f>F5364-DATE(2026,8,31)</f>
        <v>7</v>
      </c>
      <c r="H5364" s="25" t="n">
        <v>52846623</v>
      </c>
      <c r="I5364" t="inlineStr">
        <is>
          <t>entidad-dia</t>
        </is>
      </c>
    </row>
    <row r="5365">
      <c r="A5365" t="inlineStr">
        <is>
          <t>PRAGMA</t>
        </is>
      </c>
      <c r="B5365" t="inlineStr">
        <is>
          <t>M1</t>
        </is>
      </c>
      <c r="C5365" t="inlineStr">
        <is>
          <t>Cali</t>
        </is>
      </c>
      <c r="D5365" t="inlineStr">
        <is>
          <t>8547</t>
        </is>
      </c>
      <c r="E5365" t="inlineStr">
        <is>
          <t>pagado</t>
        </is>
      </c>
      <c r="F5365" s="23" t="n">
        <v>46273</v>
      </c>
      <c r="G5365" s="24">
        <f>F5365-DATE(2026,8,31)</f>
        <v>8</v>
      </c>
      <c r="H5365" s="25" t="n">
        <v>50286704</v>
      </c>
      <c r="I5365" t="inlineStr">
        <is>
          <t>entidad-dia</t>
        </is>
      </c>
    </row>
    <row r="5366">
      <c r="A5366" t="inlineStr">
        <is>
          <t>PRAGMA</t>
        </is>
      </c>
      <c r="B5366" t="inlineStr">
        <is>
          <t>M1</t>
        </is>
      </c>
      <c r="C5366" t="inlineStr">
        <is>
          <t>Cali</t>
        </is>
      </c>
      <c r="D5366" t="inlineStr">
        <is>
          <t>8547</t>
        </is>
      </c>
      <c r="E5366" t="inlineStr">
        <is>
          <t>pagado</t>
        </is>
      </c>
      <c r="F5366" s="23" t="n">
        <v>46274</v>
      </c>
      <c r="G5366" s="24">
        <f>F5366-DATE(2026,8,31)</f>
        <v>9</v>
      </c>
      <c r="H5366" s="25" t="n">
        <v>61456828</v>
      </c>
      <c r="I5366" t="inlineStr">
        <is>
          <t>entidad-dia</t>
        </is>
      </c>
    </row>
    <row r="5367">
      <c r="A5367" t="inlineStr">
        <is>
          <t>PRAGMA</t>
        </is>
      </c>
      <c r="B5367" t="inlineStr">
        <is>
          <t>M1</t>
        </is>
      </c>
      <c r="C5367" t="inlineStr">
        <is>
          <t>Cali</t>
        </is>
      </c>
      <c r="D5367" t="inlineStr">
        <is>
          <t>8547</t>
        </is>
      </c>
      <c r="E5367" t="inlineStr">
        <is>
          <t>pagado</t>
        </is>
      </c>
      <c r="F5367" s="23" t="n">
        <v>46275</v>
      </c>
      <c r="G5367" s="24">
        <f>F5367-DATE(2026,8,31)</f>
        <v>10</v>
      </c>
      <c r="H5367" s="25" t="n">
        <v>57678811</v>
      </c>
      <c r="I5367" t="inlineStr">
        <is>
          <t>entidad-dia</t>
        </is>
      </c>
    </row>
    <row r="5368">
      <c r="A5368" t="inlineStr">
        <is>
          <t>PRAGMA</t>
        </is>
      </c>
      <c r="B5368" t="inlineStr">
        <is>
          <t>M1</t>
        </is>
      </c>
      <c r="C5368" t="inlineStr">
        <is>
          <t>Cali</t>
        </is>
      </c>
      <c r="D5368" t="inlineStr">
        <is>
          <t>8547</t>
        </is>
      </c>
      <c r="E5368" t="inlineStr">
        <is>
          <t>pagado</t>
        </is>
      </c>
      <c r="F5368" s="23" t="n">
        <v>46276</v>
      </c>
      <c r="G5368" s="24">
        <f>F5368-DATE(2026,8,31)</f>
        <v>11</v>
      </c>
      <c r="H5368" s="25" t="n">
        <v>54124188</v>
      </c>
      <c r="I5368" t="inlineStr">
        <is>
          <t>entidad-dia</t>
        </is>
      </c>
    </row>
    <row r="5369">
      <c r="A5369" t="inlineStr">
        <is>
          <t>PRAGMA</t>
        </is>
      </c>
      <c r="B5369" t="inlineStr">
        <is>
          <t>M1</t>
        </is>
      </c>
      <c r="C5369" t="inlineStr">
        <is>
          <t>Cali</t>
        </is>
      </c>
      <c r="D5369" t="inlineStr">
        <is>
          <t>8547</t>
        </is>
      </c>
      <c r="E5369" t="inlineStr">
        <is>
          <t>pagado</t>
        </is>
      </c>
      <c r="F5369" s="23" t="n">
        <v>46277</v>
      </c>
      <c r="G5369" s="24">
        <f>F5369-DATE(2026,8,31)</f>
        <v>12</v>
      </c>
      <c r="H5369" s="25" t="n">
        <v>55991373</v>
      </c>
      <c r="I5369" t="inlineStr">
        <is>
          <t>entidad-dia</t>
        </is>
      </c>
    </row>
    <row r="5370">
      <c r="A5370" t="inlineStr">
        <is>
          <t>PRAGMA</t>
        </is>
      </c>
      <c r="B5370" t="inlineStr">
        <is>
          <t>M1</t>
        </is>
      </c>
      <c r="C5370" t="inlineStr">
        <is>
          <t>Cali</t>
        </is>
      </c>
      <c r="D5370" t="inlineStr">
        <is>
          <t>8547</t>
        </is>
      </c>
      <c r="E5370" t="inlineStr">
        <is>
          <t>pagado</t>
        </is>
      </c>
      <c r="F5370" s="23" t="n">
        <v>46278</v>
      </c>
      <c r="G5370" s="24">
        <f>F5370-DATE(2026,8,31)</f>
        <v>13</v>
      </c>
      <c r="H5370" s="25" t="n">
        <v>44871863</v>
      </c>
      <c r="I5370" t="inlineStr">
        <is>
          <t>entidad-dia</t>
        </is>
      </c>
    </row>
    <row r="5371">
      <c r="A5371" t="inlineStr">
        <is>
          <t>PRAGMA</t>
        </is>
      </c>
      <c r="B5371" t="inlineStr">
        <is>
          <t>M1</t>
        </is>
      </c>
      <c r="C5371" t="inlineStr">
        <is>
          <t>Cali</t>
        </is>
      </c>
      <c r="D5371" t="inlineStr">
        <is>
          <t>8547</t>
        </is>
      </c>
      <c r="E5371" t="inlineStr">
        <is>
          <t>pagado</t>
        </is>
      </c>
      <c r="F5371" s="23" t="n">
        <v>46279</v>
      </c>
      <c r="G5371" s="24">
        <f>F5371-DATE(2026,8,31)</f>
        <v>14</v>
      </c>
      <c r="H5371" s="25" t="n">
        <v>56428298</v>
      </c>
      <c r="I5371" t="inlineStr">
        <is>
          <t>entidad-dia</t>
        </is>
      </c>
    </row>
    <row r="5372">
      <c r="A5372" t="inlineStr">
        <is>
          <t>PRAGMA</t>
        </is>
      </c>
      <c r="B5372" t="inlineStr">
        <is>
          <t>M1</t>
        </is>
      </c>
      <c r="C5372" t="inlineStr">
        <is>
          <t>Cali</t>
        </is>
      </c>
      <c r="D5372" t="inlineStr">
        <is>
          <t>8547</t>
        </is>
      </c>
      <c r="E5372" t="inlineStr">
        <is>
          <t>pagado</t>
        </is>
      </c>
      <c r="F5372" s="23" t="n">
        <v>46280</v>
      </c>
      <c r="G5372" s="24">
        <f>F5372-DATE(2026,8,31)</f>
        <v>15</v>
      </c>
      <c r="H5372" s="25" t="n">
        <v>100806912</v>
      </c>
      <c r="I5372" t="inlineStr">
        <is>
          <t>entidad-dia</t>
        </is>
      </c>
    </row>
    <row r="5373">
      <c r="A5373" t="inlineStr">
        <is>
          <t>PRAGMA</t>
        </is>
      </c>
      <c r="B5373" t="inlineStr">
        <is>
          <t>M1</t>
        </is>
      </c>
      <c r="C5373" t="inlineStr">
        <is>
          <t>Cali</t>
        </is>
      </c>
      <c r="D5373" t="inlineStr">
        <is>
          <t>8637</t>
        </is>
      </c>
      <c r="E5373" t="inlineStr">
        <is>
          <t>pagado</t>
        </is>
      </c>
      <c r="F5373" s="23" t="n">
        <v>46266</v>
      </c>
      <c r="G5373" s="24">
        <f>F5373-DATE(2026,8,31)</f>
        <v>1</v>
      </c>
      <c r="H5373" s="25" t="n">
        <v>164744973</v>
      </c>
      <c r="I5373" t="inlineStr">
        <is>
          <t>entidad-dia</t>
        </is>
      </c>
    </row>
    <row r="5374">
      <c r="A5374" t="inlineStr">
        <is>
          <t>PRAGMA</t>
        </is>
      </c>
      <c r="B5374" t="inlineStr">
        <is>
          <t>M1</t>
        </is>
      </c>
      <c r="C5374" t="inlineStr">
        <is>
          <t>Cali</t>
        </is>
      </c>
      <c r="D5374" t="inlineStr">
        <is>
          <t>8637</t>
        </is>
      </c>
      <c r="E5374" t="inlineStr">
        <is>
          <t>pagado</t>
        </is>
      </c>
      <c r="F5374" s="23" t="n">
        <v>46267</v>
      </c>
      <c r="G5374" s="24">
        <f>F5374-DATE(2026,8,31)</f>
        <v>2</v>
      </c>
      <c r="H5374" s="25" t="n">
        <v>136913440</v>
      </c>
      <c r="I5374" t="inlineStr">
        <is>
          <t>entidad-dia</t>
        </is>
      </c>
    </row>
    <row r="5375">
      <c r="A5375" t="inlineStr">
        <is>
          <t>PRAGMA</t>
        </is>
      </c>
      <c r="B5375" t="inlineStr">
        <is>
          <t>M1</t>
        </is>
      </c>
      <c r="C5375" t="inlineStr">
        <is>
          <t>Cali</t>
        </is>
      </c>
      <c r="D5375" t="inlineStr">
        <is>
          <t>8637</t>
        </is>
      </c>
      <c r="E5375" t="inlineStr">
        <is>
          <t>pagado</t>
        </is>
      </c>
      <c r="F5375" s="23" t="n">
        <v>46268</v>
      </c>
      <c r="G5375" s="24">
        <f>F5375-DATE(2026,8,31)</f>
        <v>3</v>
      </c>
      <c r="H5375" s="25" t="n">
        <v>113684786</v>
      </c>
      <c r="I5375" t="inlineStr">
        <is>
          <t>entidad-dia</t>
        </is>
      </c>
    </row>
    <row r="5376">
      <c r="A5376" t="inlineStr">
        <is>
          <t>PRAGMA</t>
        </is>
      </c>
      <c r="B5376" t="inlineStr">
        <is>
          <t>M1</t>
        </is>
      </c>
      <c r="C5376" t="inlineStr">
        <is>
          <t>Cali</t>
        </is>
      </c>
      <c r="D5376" t="inlineStr">
        <is>
          <t>8637</t>
        </is>
      </c>
      <c r="E5376" t="inlineStr">
        <is>
          <t>pagado</t>
        </is>
      </c>
      <c r="F5376" s="23" t="n">
        <v>46269</v>
      </c>
      <c r="G5376" s="24">
        <f>F5376-DATE(2026,8,31)</f>
        <v>4</v>
      </c>
      <c r="H5376" s="25" t="n">
        <v>113213856</v>
      </c>
      <c r="I5376" t="inlineStr">
        <is>
          <t>entidad-dia</t>
        </is>
      </c>
    </row>
    <row r="5377">
      <c r="A5377" t="inlineStr">
        <is>
          <t>PRAGMA</t>
        </is>
      </c>
      <c r="B5377" t="inlineStr">
        <is>
          <t>M1</t>
        </is>
      </c>
      <c r="C5377" t="inlineStr">
        <is>
          <t>Cali</t>
        </is>
      </c>
      <c r="D5377" t="inlineStr">
        <is>
          <t>8637</t>
        </is>
      </c>
      <c r="E5377" t="inlineStr">
        <is>
          <t>pagado</t>
        </is>
      </c>
      <c r="F5377" s="23" t="n">
        <v>46270</v>
      </c>
      <c r="G5377" s="24">
        <f>F5377-DATE(2026,8,31)</f>
        <v>5</v>
      </c>
      <c r="H5377" s="25" t="n">
        <v>117312120</v>
      </c>
      <c r="I5377" t="inlineStr">
        <is>
          <t>entidad-dia</t>
        </is>
      </c>
    </row>
    <row r="5378">
      <c r="A5378" t="inlineStr">
        <is>
          <t>PRAGMA</t>
        </is>
      </c>
      <c r="B5378" t="inlineStr">
        <is>
          <t>M1</t>
        </is>
      </c>
      <c r="C5378" t="inlineStr">
        <is>
          <t>Cali</t>
        </is>
      </c>
      <c r="D5378" t="inlineStr">
        <is>
          <t>8637</t>
        </is>
      </c>
      <c r="E5378" t="inlineStr">
        <is>
          <t>pagado</t>
        </is>
      </c>
      <c r="F5378" s="23" t="n">
        <v>46271</v>
      </c>
      <c r="G5378" s="24">
        <f>F5378-DATE(2026,8,31)</f>
        <v>6</v>
      </c>
      <c r="H5378" s="25" t="n">
        <v>67618955</v>
      </c>
      <c r="I5378" t="inlineStr">
        <is>
          <t>entidad-dia</t>
        </is>
      </c>
    </row>
    <row r="5379">
      <c r="A5379" t="inlineStr">
        <is>
          <t>PRAGMA</t>
        </is>
      </c>
      <c r="B5379" t="inlineStr">
        <is>
          <t>M1</t>
        </is>
      </c>
      <c r="C5379" t="inlineStr">
        <is>
          <t>Cali</t>
        </is>
      </c>
      <c r="D5379" t="inlineStr">
        <is>
          <t>8637</t>
        </is>
      </c>
      <c r="E5379" t="inlineStr">
        <is>
          <t>pagado</t>
        </is>
      </c>
      <c r="F5379" s="23" t="n">
        <v>46272</v>
      </c>
      <c r="G5379" s="24">
        <f>F5379-DATE(2026,8,31)</f>
        <v>7</v>
      </c>
      <c r="H5379" s="25" t="n">
        <v>75317686</v>
      </c>
      <c r="I5379" t="inlineStr">
        <is>
          <t>entidad-dia</t>
        </is>
      </c>
    </row>
    <row r="5380">
      <c r="A5380" t="inlineStr">
        <is>
          <t>PRAGMA</t>
        </is>
      </c>
      <c r="B5380" t="inlineStr">
        <is>
          <t>M1</t>
        </is>
      </c>
      <c r="C5380" t="inlineStr">
        <is>
          <t>Cali</t>
        </is>
      </c>
      <c r="D5380" t="inlineStr">
        <is>
          <t>8637</t>
        </is>
      </c>
      <c r="E5380" t="inlineStr">
        <is>
          <t>pagado</t>
        </is>
      </c>
      <c r="F5380" s="23" t="n">
        <v>46273</v>
      </c>
      <c r="G5380" s="24">
        <f>F5380-DATE(2026,8,31)</f>
        <v>8</v>
      </c>
      <c r="H5380" s="25" t="n">
        <v>77685770</v>
      </c>
      <c r="I5380" t="inlineStr">
        <is>
          <t>entidad-dia</t>
        </is>
      </c>
    </row>
    <row r="5381">
      <c r="A5381" t="inlineStr">
        <is>
          <t>PRAGMA</t>
        </is>
      </c>
      <c r="B5381" t="inlineStr">
        <is>
          <t>M1</t>
        </is>
      </c>
      <c r="C5381" t="inlineStr">
        <is>
          <t>Cali</t>
        </is>
      </c>
      <c r="D5381" t="inlineStr">
        <is>
          <t>8637</t>
        </is>
      </c>
      <c r="E5381" t="inlineStr">
        <is>
          <t>pagado</t>
        </is>
      </c>
      <c r="F5381" s="23" t="n">
        <v>46274</v>
      </c>
      <c r="G5381" s="24">
        <f>F5381-DATE(2026,8,31)</f>
        <v>9</v>
      </c>
      <c r="H5381" s="25" t="n">
        <v>81217803</v>
      </c>
      <c r="I5381" t="inlineStr">
        <is>
          <t>entidad-dia</t>
        </is>
      </c>
    </row>
    <row r="5382">
      <c r="A5382" t="inlineStr">
        <is>
          <t>PRAGMA</t>
        </is>
      </c>
      <c r="B5382" t="inlineStr">
        <is>
          <t>M1</t>
        </is>
      </c>
      <c r="C5382" t="inlineStr">
        <is>
          <t>Cali</t>
        </is>
      </c>
      <c r="D5382" t="inlineStr">
        <is>
          <t>8637</t>
        </is>
      </c>
      <c r="E5382" t="inlineStr">
        <is>
          <t>pagado</t>
        </is>
      </c>
      <c r="F5382" s="23" t="n">
        <v>46275</v>
      </c>
      <c r="G5382" s="24">
        <f>F5382-DATE(2026,8,31)</f>
        <v>10</v>
      </c>
      <c r="H5382" s="25" t="n">
        <v>71370723</v>
      </c>
      <c r="I5382" t="inlineStr">
        <is>
          <t>entidad-dia</t>
        </is>
      </c>
    </row>
    <row r="5383">
      <c r="A5383" t="inlineStr">
        <is>
          <t>PRAGMA</t>
        </is>
      </c>
      <c r="B5383" t="inlineStr">
        <is>
          <t>M1</t>
        </is>
      </c>
      <c r="C5383" t="inlineStr">
        <is>
          <t>Cali</t>
        </is>
      </c>
      <c r="D5383" t="inlineStr">
        <is>
          <t>8637</t>
        </is>
      </c>
      <c r="E5383" t="inlineStr">
        <is>
          <t>pagado</t>
        </is>
      </c>
      <c r="F5383" s="23" t="n">
        <v>46276</v>
      </c>
      <c r="G5383" s="24">
        <f>F5383-DATE(2026,8,31)</f>
        <v>11</v>
      </c>
      <c r="H5383" s="25" t="n">
        <v>77566930</v>
      </c>
      <c r="I5383" t="inlineStr">
        <is>
          <t>entidad-dia</t>
        </is>
      </c>
    </row>
    <row r="5384">
      <c r="A5384" t="inlineStr">
        <is>
          <t>PRAGMA</t>
        </is>
      </c>
      <c r="B5384" t="inlineStr">
        <is>
          <t>M1</t>
        </is>
      </c>
      <c r="C5384" t="inlineStr">
        <is>
          <t>Cali</t>
        </is>
      </c>
      <c r="D5384" t="inlineStr">
        <is>
          <t>8637</t>
        </is>
      </c>
      <c r="E5384" t="inlineStr">
        <is>
          <t>pagado</t>
        </is>
      </c>
      <c r="F5384" s="23" t="n">
        <v>46277</v>
      </c>
      <c r="G5384" s="24">
        <f>F5384-DATE(2026,8,31)</f>
        <v>12</v>
      </c>
      <c r="H5384" s="25" t="n">
        <v>79766515</v>
      </c>
      <c r="I5384" t="inlineStr">
        <is>
          <t>entidad-dia</t>
        </is>
      </c>
    </row>
    <row r="5385">
      <c r="A5385" t="inlineStr">
        <is>
          <t>PRAGMA</t>
        </is>
      </c>
      <c r="B5385" t="inlineStr">
        <is>
          <t>M1</t>
        </is>
      </c>
      <c r="C5385" t="inlineStr">
        <is>
          <t>Cali</t>
        </is>
      </c>
      <c r="D5385" t="inlineStr">
        <is>
          <t>8637</t>
        </is>
      </c>
      <c r="E5385" t="inlineStr">
        <is>
          <t>pagado</t>
        </is>
      </c>
      <c r="F5385" s="23" t="n">
        <v>46278</v>
      </c>
      <c r="G5385" s="24">
        <f>F5385-DATE(2026,8,31)</f>
        <v>13</v>
      </c>
      <c r="H5385" s="25" t="n">
        <v>49718407</v>
      </c>
      <c r="I5385" t="inlineStr">
        <is>
          <t>entidad-dia</t>
        </is>
      </c>
    </row>
    <row r="5386">
      <c r="A5386" t="inlineStr">
        <is>
          <t>PRAGMA</t>
        </is>
      </c>
      <c r="B5386" t="inlineStr">
        <is>
          <t>M1</t>
        </is>
      </c>
      <c r="C5386" t="inlineStr">
        <is>
          <t>Cali</t>
        </is>
      </c>
      <c r="D5386" t="inlineStr">
        <is>
          <t>8637</t>
        </is>
      </c>
      <c r="E5386" t="inlineStr">
        <is>
          <t>pagado</t>
        </is>
      </c>
      <c r="F5386" s="23" t="n">
        <v>46279</v>
      </c>
      <c r="G5386" s="24">
        <f>F5386-DATE(2026,8,31)</f>
        <v>14</v>
      </c>
      <c r="H5386" s="25" t="n">
        <v>69888759</v>
      </c>
      <c r="I5386" t="inlineStr">
        <is>
          <t>entidad-dia</t>
        </is>
      </c>
    </row>
    <row r="5387">
      <c r="A5387" t="inlineStr">
        <is>
          <t>PRAGMA</t>
        </is>
      </c>
      <c r="B5387" t="inlineStr">
        <is>
          <t>M1</t>
        </is>
      </c>
      <c r="C5387" t="inlineStr">
        <is>
          <t>Cali</t>
        </is>
      </c>
      <c r="D5387" t="inlineStr">
        <is>
          <t>8637</t>
        </is>
      </c>
      <c r="E5387" t="inlineStr">
        <is>
          <t>pagado</t>
        </is>
      </c>
      <c r="F5387" s="23" t="n">
        <v>46280</v>
      </c>
      <c r="G5387" s="24">
        <f>F5387-DATE(2026,8,31)</f>
        <v>15</v>
      </c>
      <c r="H5387" s="25" t="n">
        <v>112542792</v>
      </c>
      <c r="I5387" t="inlineStr">
        <is>
          <t>entidad-dia</t>
        </is>
      </c>
    </row>
    <row r="5388">
      <c r="A5388" t="inlineStr">
        <is>
          <t>PRAGMA</t>
        </is>
      </c>
      <c r="B5388" t="inlineStr">
        <is>
          <t>M1</t>
        </is>
      </c>
      <c r="C5388" t="inlineStr">
        <is>
          <t>Cali</t>
        </is>
      </c>
      <c r="D5388" t="inlineStr">
        <is>
          <t>8666</t>
        </is>
      </c>
      <c r="E5388" t="inlineStr">
        <is>
          <t>pagado</t>
        </is>
      </c>
      <c r="F5388" s="23" t="n">
        <v>46266</v>
      </c>
      <c r="G5388" s="24">
        <f>F5388-DATE(2026,8,31)</f>
        <v>1</v>
      </c>
      <c r="H5388" s="25" t="n">
        <v>178186550</v>
      </c>
      <c r="I5388" t="inlineStr">
        <is>
          <t>entidad-dia</t>
        </is>
      </c>
    </row>
    <row r="5389">
      <c r="A5389" t="inlineStr">
        <is>
          <t>PRAGMA</t>
        </is>
      </c>
      <c r="B5389" t="inlineStr">
        <is>
          <t>M1</t>
        </is>
      </c>
      <c r="C5389" t="inlineStr">
        <is>
          <t>Cali</t>
        </is>
      </c>
      <c r="D5389" t="inlineStr">
        <is>
          <t>8666</t>
        </is>
      </c>
      <c r="E5389" t="inlineStr">
        <is>
          <t>pagado</t>
        </is>
      </c>
      <c r="F5389" s="23" t="n">
        <v>46267</v>
      </c>
      <c r="G5389" s="24">
        <f>F5389-DATE(2026,8,31)</f>
        <v>2</v>
      </c>
      <c r="H5389" s="25" t="n">
        <v>117605134</v>
      </c>
      <c r="I5389" t="inlineStr">
        <is>
          <t>entidad-dia</t>
        </is>
      </c>
    </row>
    <row r="5390">
      <c r="A5390" t="inlineStr">
        <is>
          <t>PRAGMA</t>
        </is>
      </c>
      <c r="B5390" t="inlineStr">
        <is>
          <t>M1</t>
        </is>
      </c>
      <c r="C5390" t="inlineStr">
        <is>
          <t>Cali</t>
        </is>
      </c>
      <c r="D5390" t="inlineStr">
        <is>
          <t>8666</t>
        </is>
      </c>
      <c r="E5390" t="inlineStr">
        <is>
          <t>pagado</t>
        </is>
      </c>
      <c r="F5390" s="23" t="n">
        <v>46268</v>
      </c>
      <c r="G5390" s="24">
        <f>F5390-DATE(2026,8,31)</f>
        <v>3</v>
      </c>
      <c r="H5390" s="25" t="n">
        <v>108912396</v>
      </c>
      <c r="I5390" t="inlineStr">
        <is>
          <t>entidad-dia</t>
        </is>
      </c>
    </row>
    <row r="5391">
      <c r="A5391" t="inlineStr">
        <is>
          <t>PRAGMA</t>
        </is>
      </c>
      <c r="B5391" t="inlineStr">
        <is>
          <t>M1</t>
        </is>
      </c>
      <c r="C5391" t="inlineStr">
        <is>
          <t>Cali</t>
        </is>
      </c>
      <c r="D5391" t="inlineStr">
        <is>
          <t>8666</t>
        </is>
      </c>
      <c r="E5391" t="inlineStr">
        <is>
          <t>pagado</t>
        </is>
      </c>
      <c r="F5391" s="23" t="n">
        <v>46269</v>
      </c>
      <c r="G5391" s="24">
        <f>F5391-DATE(2026,8,31)</f>
        <v>4</v>
      </c>
      <c r="H5391" s="25" t="n">
        <v>124781685</v>
      </c>
      <c r="I5391" t="inlineStr">
        <is>
          <t>entidad-dia</t>
        </is>
      </c>
    </row>
    <row r="5392">
      <c r="A5392" t="inlineStr">
        <is>
          <t>PRAGMA</t>
        </is>
      </c>
      <c r="B5392" t="inlineStr">
        <is>
          <t>M1</t>
        </is>
      </c>
      <c r="C5392" t="inlineStr">
        <is>
          <t>Cali</t>
        </is>
      </c>
      <c r="D5392" t="inlineStr">
        <is>
          <t>8666</t>
        </is>
      </c>
      <c r="E5392" t="inlineStr">
        <is>
          <t>pagado</t>
        </is>
      </c>
      <c r="F5392" s="23" t="n">
        <v>46270</v>
      </c>
      <c r="G5392" s="24">
        <f>F5392-DATE(2026,8,31)</f>
        <v>5</v>
      </c>
      <c r="H5392" s="25" t="n">
        <v>124937945</v>
      </c>
      <c r="I5392" t="inlineStr">
        <is>
          <t>entidad-dia</t>
        </is>
      </c>
    </row>
    <row r="5393">
      <c r="A5393" t="inlineStr">
        <is>
          <t>PRAGMA</t>
        </is>
      </c>
      <c r="B5393" t="inlineStr">
        <is>
          <t>M1</t>
        </is>
      </c>
      <c r="C5393" t="inlineStr">
        <is>
          <t>Cali</t>
        </is>
      </c>
      <c r="D5393" t="inlineStr">
        <is>
          <t>8666</t>
        </is>
      </c>
      <c r="E5393" t="inlineStr">
        <is>
          <t>pagado</t>
        </is>
      </c>
      <c r="F5393" s="23" t="n">
        <v>46271</v>
      </c>
      <c r="G5393" s="24">
        <f>F5393-DATE(2026,8,31)</f>
        <v>6</v>
      </c>
      <c r="H5393" s="25" t="n">
        <v>80444646</v>
      </c>
      <c r="I5393" t="inlineStr">
        <is>
          <t>entidad-dia</t>
        </is>
      </c>
    </row>
    <row r="5394">
      <c r="A5394" t="inlineStr">
        <is>
          <t>PRAGMA</t>
        </is>
      </c>
      <c r="B5394" t="inlineStr">
        <is>
          <t>M1</t>
        </is>
      </c>
      <c r="C5394" t="inlineStr">
        <is>
          <t>Cali</t>
        </is>
      </c>
      <c r="D5394" t="inlineStr">
        <is>
          <t>8666</t>
        </is>
      </c>
      <c r="E5394" t="inlineStr">
        <is>
          <t>pagado</t>
        </is>
      </c>
      <c r="F5394" s="23" t="n">
        <v>46272</v>
      </c>
      <c r="G5394" s="24">
        <f>F5394-DATE(2026,8,31)</f>
        <v>7</v>
      </c>
      <c r="H5394" s="25" t="n">
        <v>92245040</v>
      </c>
      <c r="I5394" t="inlineStr">
        <is>
          <t>entidad-dia</t>
        </is>
      </c>
    </row>
    <row r="5395">
      <c r="A5395" t="inlineStr">
        <is>
          <t>PRAGMA</t>
        </is>
      </c>
      <c r="B5395" t="inlineStr">
        <is>
          <t>M1</t>
        </is>
      </c>
      <c r="C5395" t="inlineStr">
        <is>
          <t>Cali</t>
        </is>
      </c>
      <c r="D5395" t="inlineStr">
        <is>
          <t>8666</t>
        </is>
      </c>
      <c r="E5395" t="inlineStr">
        <is>
          <t>pagado</t>
        </is>
      </c>
      <c r="F5395" s="23" t="n">
        <v>46273</v>
      </c>
      <c r="G5395" s="24">
        <f>F5395-DATE(2026,8,31)</f>
        <v>8</v>
      </c>
      <c r="H5395" s="25" t="n">
        <v>87203933</v>
      </c>
      <c r="I5395" t="inlineStr">
        <is>
          <t>entidad-dia</t>
        </is>
      </c>
    </row>
    <row r="5396">
      <c r="A5396" t="inlineStr">
        <is>
          <t>PRAGMA</t>
        </is>
      </c>
      <c r="B5396" t="inlineStr">
        <is>
          <t>M1</t>
        </is>
      </c>
      <c r="C5396" t="inlineStr">
        <is>
          <t>Cali</t>
        </is>
      </c>
      <c r="D5396" t="inlineStr">
        <is>
          <t>8666</t>
        </is>
      </c>
      <c r="E5396" t="inlineStr">
        <is>
          <t>pagado</t>
        </is>
      </c>
      <c r="F5396" s="23" t="n">
        <v>46274</v>
      </c>
      <c r="G5396" s="24">
        <f>F5396-DATE(2026,8,31)</f>
        <v>9</v>
      </c>
      <c r="H5396" s="25" t="n">
        <v>74349231</v>
      </c>
      <c r="I5396" t="inlineStr">
        <is>
          <t>entidad-dia</t>
        </is>
      </c>
    </row>
    <row r="5397">
      <c r="A5397" t="inlineStr">
        <is>
          <t>PRAGMA</t>
        </is>
      </c>
      <c r="B5397" t="inlineStr">
        <is>
          <t>M1</t>
        </is>
      </c>
      <c r="C5397" t="inlineStr">
        <is>
          <t>Cali</t>
        </is>
      </c>
      <c r="D5397" t="inlineStr">
        <is>
          <t>8666</t>
        </is>
      </c>
      <c r="E5397" t="inlineStr">
        <is>
          <t>pagado</t>
        </is>
      </c>
      <c r="F5397" s="23" t="n">
        <v>46275</v>
      </c>
      <c r="G5397" s="24">
        <f>F5397-DATE(2026,8,31)</f>
        <v>10</v>
      </c>
      <c r="H5397" s="25" t="n">
        <v>79081675</v>
      </c>
      <c r="I5397" t="inlineStr">
        <is>
          <t>entidad-dia</t>
        </is>
      </c>
    </row>
    <row r="5398">
      <c r="A5398" t="inlineStr">
        <is>
          <t>PRAGMA</t>
        </is>
      </c>
      <c r="B5398" t="inlineStr">
        <is>
          <t>M1</t>
        </is>
      </c>
      <c r="C5398" t="inlineStr">
        <is>
          <t>Cali</t>
        </is>
      </c>
      <c r="D5398" t="inlineStr">
        <is>
          <t>8666</t>
        </is>
      </c>
      <c r="E5398" t="inlineStr">
        <is>
          <t>pagado</t>
        </is>
      </c>
      <c r="F5398" s="23" t="n">
        <v>46276</v>
      </c>
      <c r="G5398" s="24">
        <f>F5398-DATE(2026,8,31)</f>
        <v>11</v>
      </c>
      <c r="H5398" s="25" t="n">
        <v>87154758</v>
      </c>
      <c r="I5398" t="inlineStr">
        <is>
          <t>entidad-dia</t>
        </is>
      </c>
    </row>
    <row r="5399">
      <c r="A5399" t="inlineStr">
        <is>
          <t>PRAGMA</t>
        </is>
      </c>
      <c r="B5399" t="inlineStr">
        <is>
          <t>M1</t>
        </is>
      </c>
      <c r="C5399" t="inlineStr">
        <is>
          <t>Cali</t>
        </is>
      </c>
      <c r="D5399" t="inlineStr">
        <is>
          <t>8666</t>
        </is>
      </c>
      <c r="E5399" t="inlineStr">
        <is>
          <t>pagado</t>
        </is>
      </c>
      <c r="F5399" s="23" t="n">
        <v>46277</v>
      </c>
      <c r="G5399" s="24">
        <f>F5399-DATE(2026,8,31)</f>
        <v>12</v>
      </c>
      <c r="H5399" s="25" t="n">
        <v>99036507</v>
      </c>
      <c r="I5399" t="inlineStr">
        <is>
          <t>entidad-dia</t>
        </is>
      </c>
    </row>
    <row r="5400">
      <c r="A5400" t="inlineStr">
        <is>
          <t>PRAGMA</t>
        </is>
      </c>
      <c r="B5400" t="inlineStr">
        <is>
          <t>M1</t>
        </is>
      </c>
      <c r="C5400" t="inlineStr">
        <is>
          <t>Cali</t>
        </is>
      </c>
      <c r="D5400" t="inlineStr">
        <is>
          <t>8666</t>
        </is>
      </c>
      <c r="E5400" t="inlineStr">
        <is>
          <t>pagado</t>
        </is>
      </c>
      <c r="F5400" s="23" t="n">
        <v>46278</v>
      </c>
      <c r="G5400" s="24">
        <f>F5400-DATE(2026,8,31)</f>
        <v>13</v>
      </c>
      <c r="H5400" s="25" t="n">
        <v>58490942</v>
      </c>
      <c r="I5400" t="inlineStr">
        <is>
          <t>entidad-dia</t>
        </is>
      </c>
    </row>
    <row r="5401">
      <c r="A5401" t="inlineStr">
        <is>
          <t>PRAGMA</t>
        </is>
      </c>
      <c r="B5401" t="inlineStr">
        <is>
          <t>M1</t>
        </is>
      </c>
      <c r="C5401" t="inlineStr">
        <is>
          <t>Cali</t>
        </is>
      </c>
      <c r="D5401" t="inlineStr">
        <is>
          <t>8666</t>
        </is>
      </c>
      <c r="E5401" t="inlineStr">
        <is>
          <t>pagado</t>
        </is>
      </c>
      <c r="F5401" s="23" t="n">
        <v>46279</v>
      </c>
      <c r="G5401" s="24">
        <f>F5401-DATE(2026,8,31)</f>
        <v>14</v>
      </c>
      <c r="H5401" s="25" t="n">
        <v>88856258</v>
      </c>
      <c r="I5401" t="inlineStr">
        <is>
          <t>entidad-dia</t>
        </is>
      </c>
    </row>
    <row r="5402">
      <c r="A5402" t="inlineStr">
        <is>
          <t>PRAGMA</t>
        </is>
      </c>
      <c r="B5402" t="inlineStr">
        <is>
          <t>M1</t>
        </is>
      </c>
      <c r="C5402" t="inlineStr">
        <is>
          <t>Cali</t>
        </is>
      </c>
      <c r="D5402" t="inlineStr">
        <is>
          <t>8666</t>
        </is>
      </c>
      <c r="E5402" t="inlineStr">
        <is>
          <t>pagado</t>
        </is>
      </c>
      <c r="F5402" s="23" t="n">
        <v>46280</v>
      </c>
      <c r="G5402" s="24">
        <f>F5402-DATE(2026,8,31)</f>
        <v>15</v>
      </c>
      <c r="H5402" s="25" t="n">
        <v>142332735</v>
      </c>
      <c r="I5402" t="inlineStr">
        <is>
          <t>entidad-dia</t>
        </is>
      </c>
    </row>
    <row r="5403">
      <c r="A5403" t="inlineStr">
        <is>
          <t>PRAGMA</t>
        </is>
      </c>
      <c r="B5403" t="inlineStr">
        <is>
          <t>M1</t>
        </is>
      </c>
      <c r="C5403" t="inlineStr">
        <is>
          <t>Cali</t>
        </is>
      </c>
      <c r="D5403" t="inlineStr">
        <is>
          <t>8673</t>
        </is>
      </c>
      <c r="E5403" t="inlineStr">
        <is>
          <t>pagado</t>
        </is>
      </c>
      <c r="F5403" s="23" t="n">
        <v>46266</v>
      </c>
      <c r="G5403" s="24">
        <f>F5403-DATE(2026,8,31)</f>
        <v>1</v>
      </c>
      <c r="H5403" s="25" t="n">
        <v>10444578</v>
      </c>
      <c r="I5403" t="inlineStr">
        <is>
          <t>entidad-dia</t>
        </is>
      </c>
    </row>
    <row r="5404">
      <c r="A5404" t="inlineStr">
        <is>
          <t>PRAGMA</t>
        </is>
      </c>
      <c r="B5404" t="inlineStr">
        <is>
          <t>M1</t>
        </is>
      </c>
      <c r="C5404" t="inlineStr">
        <is>
          <t>Cali</t>
        </is>
      </c>
      <c r="D5404" t="inlineStr">
        <is>
          <t>8673</t>
        </is>
      </c>
      <c r="E5404" t="inlineStr">
        <is>
          <t>pagado</t>
        </is>
      </c>
      <c r="F5404" s="23" t="n">
        <v>46267</v>
      </c>
      <c r="G5404" s="24">
        <f>F5404-DATE(2026,8,31)</f>
        <v>2</v>
      </c>
      <c r="H5404" s="25" t="n">
        <v>7529692</v>
      </c>
      <c r="I5404" t="inlineStr">
        <is>
          <t>entidad-dia</t>
        </is>
      </c>
    </row>
    <row r="5405">
      <c r="A5405" t="inlineStr">
        <is>
          <t>PRAGMA</t>
        </is>
      </c>
      <c r="B5405" t="inlineStr">
        <is>
          <t>M1</t>
        </is>
      </c>
      <c r="C5405" t="inlineStr">
        <is>
          <t>Cali</t>
        </is>
      </c>
      <c r="D5405" t="inlineStr">
        <is>
          <t>8673</t>
        </is>
      </c>
      <c r="E5405" t="inlineStr">
        <is>
          <t>pagado</t>
        </is>
      </c>
      <c r="F5405" s="23" t="n">
        <v>46268</v>
      </c>
      <c r="G5405" s="24">
        <f>F5405-DATE(2026,8,31)</f>
        <v>3</v>
      </c>
      <c r="H5405" s="25" t="n">
        <v>8042335</v>
      </c>
      <c r="I5405" t="inlineStr">
        <is>
          <t>entidad-dia</t>
        </is>
      </c>
    </row>
    <row r="5406">
      <c r="A5406" t="inlineStr">
        <is>
          <t>PRAGMA</t>
        </is>
      </c>
      <c r="B5406" t="inlineStr">
        <is>
          <t>M1</t>
        </is>
      </c>
      <c r="C5406" t="inlineStr">
        <is>
          <t>Cali</t>
        </is>
      </c>
      <c r="D5406" t="inlineStr">
        <is>
          <t>8673</t>
        </is>
      </c>
      <c r="E5406" t="inlineStr">
        <is>
          <t>pagado</t>
        </is>
      </c>
      <c r="F5406" s="23" t="n">
        <v>46269</v>
      </c>
      <c r="G5406" s="24">
        <f>F5406-DATE(2026,8,31)</f>
        <v>4</v>
      </c>
      <c r="H5406" s="25" t="n">
        <v>8344827</v>
      </c>
      <c r="I5406" t="inlineStr">
        <is>
          <t>entidad-dia</t>
        </is>
      </c>
    </row>
    <row r="5407">
      <c r="A5407" t="inlineStr">
        <is>
          <t>PRAGMA</t>
        </is>
      </c>
      <c r="B5407" t="inlineStr">
        <is>
          <t>M1</t>
        </is>
      </c>
      <c r="C5407" t="inlineStr">
        <is>
          <t>Cali</t>
        </is>
      </c>
      <c r="D5407" t="inlineStr">
        <is>
          <t>8673</t>
        </is>
      </c>
      <c r="E5407" t="inlineStr">
        <is>
          <t>pagado</t>
        </is>
      </c>
      <c r="F5407" s="23" t="n">
        <v>46270</v>
      </c>
      <c r="G5407" s="24">
        <f>F5407-DATE(2026,8,31)</f>
        <v>5</v>
      </c>
      <c r="H5407" s="25" t="n">
        <v>6145546</v>
      </c>
      <c r="I5407" t="inlineStr">
        <is>
          <t>entidad-dia</t>
        </is>
      </c>
    </row>
    <row r="5408">
      <c r="A5408" t="inlineStr">
        <is>
          <t>PRAGMA</t>
        </is>
      </c>
      <c r="B5408" t="inlineStr">
        <is>
          <t>M1</t>
        </is>
      </c>
      <c r="C5408" t="inlineStr">
        <is>
          <t>Cali</t>
        </is>
      </c>
      <c r="D5408" t="inlineStr">
        <is>
          <t>8673</t>
        </is>
      </c>
      <c r="E5408" t="inlineStr">
        <is>
          <t>pagado</t>
        </is>
      </c>
      <c r="F5408" s="23" t="n">
        <v>46271</v>
      </c>
      <c r="G5408" s="24">
        <f>F5408-DATE(2026,8,31)</f>
        <v>6</v>
      </c>
      <c r="H5408" s="25" t="n">
        <v>738808</v>
      </c>
      <c r="I5408" t="inlineStr">
        <is>
          <t>entidad-dia</t>
        </is>
      </c>
    </row>
    <row r="5409">
      <c r="A5409" t="inlineStr">
        <is>
          <t>PRAGMA</t>
        </is>
      </c>
      <c r="B5409" t="inlineStr">
        <is>
          <t>M1</t>
        </is>
      </c>
      <c r="C5409" t="inlineStr">
        <is>
          <t>Cali</t>
        </is>
      </c>
      <c r="D5409" t="inlineStr">
        <is>
          <t>8673</t>
        </is>
      </c>
      <c r="E5409" t="inlineStr">
        <is>
          <t>pagado</t>
        </is>
      </c>
      <c r="F5409" s="23" t="n">
        <v>46272</v>
      </c>
      <c r="G5409" s="24">
        <f>F5409-DATE(2026,8,31)</f>
        <v>7</v>
      </c>
      <c r="H5409" s="25" t="n">
        <v>4962025</v>
      </c>
      <c r="I5409" t="inlineStr">
        <is>
          <t>entidad-dia</t>
        </is>
      </c>
    </row>
    <row r="5410">
      <c r="A5410" t="inlineStr">
        <is>
          <t>PRAGMA</t>
        </is>
      </c>
      <c r="B5410" t="inlineStr">
        <is>
          <t>M1</t>
        </is>
      </c>
      <c r="C5410" t="inlineStr">
        <is>
          <t>Cali</t>
        </is>
      </c>
      <c r="D5410" t="inlineStr">
        <is>
          <t>8673</t>
        </is>
      </c>
      <c r="E5410" t="inlineStr">
        <is>
          <t>pagado</t>
        </is>
      </c>
      <c r="F5410" s="23" t="n">
        <v>46273</v>
      </c>
      <c r="G5410" s="24">
        <f>F5410-DATE(2026,8,31)</f>
        <v>8</v>
      </c>
      <c r="H5410" s="25" t="n">
        <v>6840715</v>
      </c>
      <c r="I5410" t="inlineStr">
        <is>
          <t>entidad-dia</t>
        </is>
      </c>
    </row>
    <row r="5411">
      <c r="A5411" t="inlineStr">
        <is>
          <t>PRAGMA</t>
        </is>
      </c>
      <c r="B5411" t="inlineStr">
        <is>
          <t>M1</t>
        </is>
      </c>
      <c r="C5411" t="inlineStr">
        <is>
          <t>Cali</t>
        </is>
      </c>
      <c r="D5411" t="inlineStr">
        <is>
          <t>8673</t>
        </is>
      </c>
      <c r="E5411" t="inlineStr">
        <is>
          <t>pagado</t>
        </is>
      </c>
      <c r="F5411" s="23" t="n">
        <v>46274</v>
      </c>
      <c r="G5411" s="24">
        <f>F5411-DATE(2026,8,31)</f>
        <v>9</v>
      </c>
      <c r="H5411" s="25" t="n">
        <v>6855895</v>
      </c>
      <c r="I5411" t="inlineStr">
        <is>
          <t>entidad-dia</t>
        </is>
      </c>
    </row>
    <row r="5412">
      <c r="A5412" t="inlineStr">
        <is>
          <t>PRAGMA</t>
        </is>
      </c>
      <c r="B5412" t="inlineStr">
        <is>
          <t>M1</t>
        </is>
      </c>
      <c r="C5412" t="inlineStr">
        <is>
          <t>Cali</t>
        </is>
      </c>
      <c r="D5412" t="inlineStr">
        <is>
          <t>8673</t>
        </is>
      </c>
      <c r="E5412" t="inlineStr">
        <is>
          <t>pagado</t>
        </is>
      </c>
      <c r="F5412" s="23" t="n">
        <v>46275</v>
      </c>
      <c r="G5412" s="24">
        <f>F5412-DATE(2026,8,31)</f>
        <v>10</v>
      </c>
      <c r="H5412" s="25" t="n">
        <v>21531803</v>
      </c>
      <c r="I5412" t="inlineStr">
        <is>
          <t>entidad-dia</t>
        </is>
      </c>
    </row>
    <row r="5413">
      <c r="A5413" t="inlineStr">
        <is>
          <t>PRAGMA</t>
        </is>
      </c>
      <c r="B5413" t="inlineStr">
        <is>
          <t>M1</t>
        </is>
      </c>
      <c r="C5413" t="inlineStr">
        <is>
          <t>Cali</t>
        </is>
      </c>
      <c r="D5413" t="inlineStr">
        <is>
          <t>8673</t>
        </is>
      </c>
      <c r="E5413" t="inlineStr">
        <is>
          <t>pagado</t>
        </is>
      </c>
      <c r="F5413" s="23" t="n">
        <v>46276</v>
      </c>
      <c r="G5413" s="24">
        <f>F5413-DATE(2026,8,31)</f>
        <v>11</v>
      </c>
      <c r="H5413" s="25" t="n">
        <v>9711061</v>
      </c>
      <c r="I5413" t="inlineStr">
        <is>
          <t>entidad-dia</t>
        </is>
      </c>
    </row>
    <row r="5414">
      <c r="A5414" t="inlineStr">
        <is>
          <t>PRAGMA</t>
        </is>
      </c>
      <c r="B5414" t="inlineStr">
        <is>
          <t>M1</t>
        </is>
      </c>
      <c r="C5414" t="inlineStr">
        <is>
          <t>Cali</t>
        </is>
      </c>
      <c r="D5414" t="inlineStr">
        <is>
          <t>8673</t>
        </is>
      </c>
      <c r="E5414" t="inlineStr">
        <is>
          <t>pagado</t>
        </is>
      </c>
      <c r="F5414" s="23" t="n">
        <v>46277</v>
      </c>
      <c r="G5414" s="24">
        <f>F5414-DATE(2026,8,31)</f>
        <v>12</v>
      </c>
      <c r="H5414" s="25" t="n">
        <v>5208966</v>
      </c>
      <c r="I5414" t="inlineStr">
        <is>
          <t>entidad-dia</t>
        </is>
      </c>
    </row>
    <row r="5415">
      <c r="A5415" t="inlineStr">
        <is>
          <t>PRAGMA</t>
        </is>
      </c>
      <c r="B5415" t="inlineStr">
        <is>
          <t>M1</t>
        </is>
      </c>
      <c r="C5415" t="inlineStr">
        <is>
          <t>Cali</t>
        </is>
      </c>
      <c r="D5415" t="inlineStr">
        <is>
          <t>8673</t>
        </is>
      </c>
      <c r="E5415" t="inlineStr">
        <is>
          <t>pagado</t>
        </is>
      </c>
      <c r="F5415" s="23" t="n">
        <v>46278</v>
      </c>
      <c r="G5415" s="24">
        <f>F5415-DATE(2026,8,31)</f>
        <v>13</v>
      </c>
      <c r="H5415" s="25" t="n">
        <v>546878</v>
      </c>
      <c r="I5415" t="inlineStr">
        <is>
          <t>entidad-dia</t>
        </is>
      </c>
    </row>
    <row r="5416">
      <c r="A5416" t="inlineStr">
        <is>
          <t>PRAGMA</t>
        </is>
      </c>
      <c r="B5416" t="inlineStr">
        <is>
          <t>M1</t>
        </is>
      </c>
      <c r="C5416" t="inlineStr">
        <is>
          <t>Cali</t>
        </is>
      </c>
      <c r="D5416" t="inlineStr">
        <is>
          <t>8673</t>
        </is>
      </c>
      <c r="E5416" t="inlineStr">
        <is>
          <t>pagado</t>
        </is>
      </c>
      <c r="F5416" s="23" t="n">
        <v>46279</v>
      </c>
      <c r="G5416" s="24">
        <f>F5416-DATE(2026,8,31)</f>
        <v>14</v>
      </c>
      <c r="H5416" s="25" t="n">
        <v>5298516</v>
      </c>
      <c r="I5416" t="inlineStr">
        <is>
          <t>entidad-dia</t>
        </is>
      </c>
    </row>
    <row r="5417">
      <c r="A5417" t="inlineStr">
        <is>
          <t>PRAGMA</t>
        </is>
      </c>
      <c r="B5417" t="inlineStr">
        <is>
          <t>M1</t>
        </is>
      </c>
      <c r="C5417" t="inlineStr">
        <is>
          <t>Cali</t>
        </is>
      </c>
      <c r="D5417" t="inlineStr">
        <is>
          <t>8673</t>
        </is>
      </c>
      <c r="E5417" t="inlineStr">
        <is>
          <t>pagado</t>
        </is>
      </c>
      <c r="F5417" s="23" t="n">
        <v>46280</v>
      </c>
      <c r="G5417" s="24">
        <f>F5417-DATE(2026,8,31)</f>
        <v>15</v>
      </c>
      <c r="H5417" s="25" t="n">
        <v>8225893</v>
      </c>
      <c r="I5417" t="inlineStr">
        <is>
          <t>entidad-dia</t>
        </is>
      </c>
    </row>
    <row r="5418">
      <c r="A5418" t="inlineStr">
        <is>
          <t>PRAGMA</t>
        </is>
      </c>
      <c r="B5418" t="inlineStr">
        <is>
          <t>M1</t>
        </is>
      </c>
      <c r="C5418" t="inlineStr">
        <is>
          <t>Cali</t>
        </is>
      </c>
      <c r="D5418" t="inlineStr">
        <is>
          <t>8688</t>
        </is>
      </c>
      <c r="E5418" t="inlineStr">
        <is>
          <t>pagado</t>
        </is>
      </c>
      <c r="F5418" s="23" t="n">
        <v>46266</v>
      </c>
      <c r="G5418" s="24">
        <f>F5418-DATE(2026,8,31)</f>
        <v>1</v>
      </c>
      <c r="H5418" s="25" t="n">
        <v>210972332</v>
      </c>
      <c r="I5418" t="inlineStr">
        <is>
          <t>entidad-dia</t>
        </is>
      </c>
    </row>
    <row r="5419">
      <c r="A5419" t="inlineStr">
        <is>
          <t>PRAGMA</t>
        </is>
      </c>
      <c r="B5419" t="inlineStr">
        <is>
          <t>M1</t>
        </is>
      </c>
      <c r="C5419" t="inlineStr">
        <is>
          <t>Cali</t>
        </is>
      </c>
      <c r="D5419" t="inlineStr">
        <is>
          <t>8688</t>
        </is>
      </c>
      <c r="E5419" t="inlineStr">
        <is>
          <t>pagado</t>
        </is>
      </c>
      <c r="F5419" s="23" t="n">
        <v>46267</v>
      </c>
      <c r="G5419" s="24">
        <f>F5419-DATE(2026,8,31)</f>
        <v>2</v>
      </c>
      <c r="H5419" s="25" t="n">
        <v>172537905</v>
      </c>
      <c r="I5419" t="inlineStr">
        <is>
          <t>entidad-dia</t>
        </is>
      </c>
    </row>
    <row r="5420">
      <c r="A5420" t="inlineStr">
        <is>
          <t>PRAGMA</t>
        </is>
      </c>
      <c r="B5420" t="inlineStr">
        <is>
          <t>M1</t>
        </is>
      </c>
      <c r="C5420" t="inlineStr">
        <is>
          <t>Cali</t>
        </is>
      </c>
      <c r="D5420" t="inlineStr">
        <is>
          <t>8688</t>
        </is>
      </c>
      <c r="E5420" t="inlineStr">
        <is>
          <t>pagado</t>
        </is>
      </c>
      <c r="F5420" s="23" t="n">
        <v>46268</v>
      </c>
      <c r="G5420" s="24">
        <f>F5420-DATE(2026,8,31)</f>
        <v>3</v>
      </c>
      <c r="H5420" s="25" t="n">
        <v>152058437</v>
      </c>
      <c r="I5420" t="inlineStr">
        <is>
          <t>entidad-dia</t>
        </is>
      </c>
    </row>
    <row r="5421">
      <c r="A5421" t="inlineStr">
        <is>
          <t>PRAGMA</t>
        </is>
      </c>
      <c r="B5421" t="inlineStr">
        <is>
          <t>M1</t>
        </is>
      </c>
      <c r="C5421" t="inlineStr">
        <is>
          <t>Cali</t>
        </is>
      </c>
      <c r="D5421" t="inlineStr">
        <is>
          <t>8688</t>
        </is>
      </c>
      <c r="E5421" t="inlineStr">
        <is>
          <t>pagado</t>
        </is>
      </c>
      <c r="F5421" s="23" t="n">
        <v>46269</v>
      </c>
      <c r="G5421" s="24">
        <f>F5421-DATE(2026,8,31)</f>
        <v>4</v>
      </c>
      <c r="H5421" s="25" t="n">
        <v>158453262</v>
      </c>
      <c r="I5421" t="inlineStr">
        <is>
          <t>entidad-dia</t>
        </is>
      </c>
    </row>
    <row r="5422">
      <c r="A5422" t="inlineStr">
        <is>
          <t>PRAGMA</t>
        </is>
      </c>
      <c r="B5422" t="inlineStr">
        <is>
          <t>M1</t>
        </is>
      </c>
      <c r="C5422" t="inlineStr">
        <is>
          <t>Cali</t>
        </is>
      </c>
      <c r="D5422" t="inlineStr">
        <is>
          <t>8688</t>
        </is>
      </c>
      <c r="E5422" t="inlineStr">
        <is>
          <t>pagado</t>
        </is>
      </c>
      <c r="F5422" s="23" t="n">
        <v>46270</v>
      </c>
      <c r="G5422" s="24">
        <f>F5422-DATE(2026,8,31)</f>
        <v>5</v>
      </c>
      <c r="H5422" s="25" t="n">
        <v>166094532</v>
      </c>
      <c r="I5422" t="inlineStr">
        <is>
          <t>entidad-dia</t>
        </is>
      </c>
    </row>
    <row r="5423">
      <c r="A5423" t="inlineStr">
        <is>
          <t>PRAGMA</t>
        </is>
      </c>
      <c r="B5423" t="inlineStr">
        <is>
          <t>M1</t>
        </is>
      </c>
      <c r="C5423" t="inlineStr">
        <is>
          <t>Cali</t>
        </is>
      </c>
      <c r="D5423" t="inlineStr">
        <is>
          <t>8688</t>
        </is>
      </c>
      <c r="E5423" t="inlineStr">
        <is>
          <t>pagado</t>
        </is>
      </c>
      <c r="F5423" s="23" t="n">
        <v>46271</v>
      </c>
      <c r="G5423" s="24">
        <f>F5423-DATE(2026,8,31)</f>
        <v>6</v>
      </c>
      <c r="H5423" s="25" t="n">
        <v>99915271</v>
      </c>
      <c r="I5423" t="inlineStr">
        <is>
          <t>entidad-dia</t>
        </is>
      </c>
    </row>
    <row r="5424">
      <c r="A5424" t="inlineStr">
        <is>
          <t>PRAGMA</t>
        </is>
      </c>
      <c r="B5424" t="inlineStr">
        <is>
          <t>M1</t>
        </is>
      </c>
      <c r="C5424" t="inlineStr">
        <is>
          <t>Cali</t>
        </is>
      </c>
      <c r="D5424" t="inlineStr">
        <is>
          <t>8688</t>
        </is>
      </c>
      <c r="E5424" t="inlineStr">
        <is>
          <t>pagado</t>
        </is>
      </c>
      <c r="F5424" s="23" t="n">
        <v>46272</v>
      </c>
      <c r="G5424" s="24">
        <f>F5424-DATE(2026,8,31)</f>
        <v>7</v>
      </c>
      <c r="H5424" s="25" t="n">
        <v>113638460</v>
      </c>
      <c r="I5424" t="inlineStr">
        <is>
          <t>entidad-dia</t>
        </is>
      </c>
    </row>
    <row r="5425">
      <c r="A5425" t="inlineStr">
        <is>
          <t>PRAGMA</t>
        </is>
      </c>
      <c r="B5425" t="inlineStr">
        <is>
          <t>M1</t>
        </is>
      </c>
      <c r="C5425" t="inlineStr">
        <is>
          <t>Cali</t>
        </is>
      </c>
      <c r="D5425" t="inlineStr">
        <is>
          <t>8688</t>
        </is>
      </c>
      <c r="E5425" t="inlineStr">
        <is>
          <t>pagado</t>
        </is>
      </c>
      <c r="F5425" s="23" t="n">
        <v>46273</v>
      </c>
      <c r="G5425" s="24">
        <f>F5425-DATE(2026,8,31)</f>
        <v>8</v>
      </c>
      <c r="H5425" s="25" t="n">
        <v>114860830</v>
      </c>
      <c r="I5425" t="inlineStr">
        <is>
          <t>entidad-dia</t>
        </is>
      </c>
    </row>
    <row r="5426">
      <c r="A5426" t="inlineStr">
        <is>
          <t>PRAGMA</t>
        </is>
      </c>
      <c r="B5426" t="inlineStr">
        <is>
          <t>M1</t>
        </is>
      </c>
      <c r="C5426" t="inlineStr">
        <is>
          <t>Cali</t>
        </is>
      </c>
      <c r="D5426" t="inlineStr">
        <is>
          <t>8688</t>
        </is>
      </c>
      <c r="E5426" t="inlineStr">
        <is>
          <t>pagado</t>
        </is>
      </c>
      <c r="F5426" s="23" t="n">
        <v>46274</v>
      </c>
      <c r="G5426" s="24">
        <f>F5426-DATE(2026,8,31)</f>
        <v>9</v>
      </c>
      <c r="H5426" s="25" t="n">
        <v>115626688</v>
      </c>
      <c r="I5426" t="inlineStr">
        <is>
          <t>entidad-dia</t>
        </is>
      </c>
    </row>
    <row r="5427">
      <c r="A5427" t="inlineStr">
        <is>
          <t>PRAGMA</t>
        </is>
      </c>
      <c r="B5427" t="inlineStr">
        <is>
          <t>M1</t>
        </is>
      </c>
      <c r="C5427" t="inlineStr">
        <is>
          <t>Cali</t>
        </is>
      </c>
      <c r="D5427" t="inlineStr">
        <is>
          <t>8688</t>
        </is>
      </c>
      <c r="E5427" t="inlineStr">
        <is>
          <t>pagado</t>
        </is>
      </c>
      <c r="F5427" s="23" t="n">
        <v>46275</v>
      </c>
      <c r="G5427" s="24">
        <f>F5427-DATE(2026,8,31)</f>
        <v>10</v>
      </c>
      <c r="H5427" s="25" t="n">
        <v>112855732</v>
      </c>
      <c r="I5427" t="inlineStr">
        <is>
          <t>entidad-dia</t>
        </is>
      </c>
    </row>
    <row r="5428">
      <c r="A5428" t="inlineStr">
        <is>
          <t>PRAGMA</t>
        </is>
      </c>
      <c r="B5428" t="inlineStr">
        <is>
          <t>M1</t>
        </is>
      </c>
      <c r="C5428" t="inlineStr">
        <is>
          <t>Cali</t>
        </is>
      </c>
      <c r="D5428" t="inlineStr">
        <is>
          <t>8688</t>
        </is>
      </c>
      <c r="E5428" t="inlineStr">
        <is>
          <t>pagado</t>
        </is>
      </c>
      <c r="F5428" s="23" t="n">
        <v>46276</v>
      </c>
      <c r="G5428" s="24">
        <f>F5428-DATE(2026,8,31)</f>
        <v>11</v>
      </c>
      <c r="H5428" s="25" t="n">
        <v>130695535</v>
      </c>
      <c r="I5428" t="inlineStr">
        <is>
          <t>entidad-dia</t>
        </is>
      </c>
    </row>
    <row r="5429">
      <c r="A5429" t="inlineStr">
        <is>
          <t>PRAGMA</t>
        </is>
      </c>
      <c r="B5429" t="inlineStr">
        <is>
          <t>M1</t>
        </is>
      </c>
      <c r="C5429" t="inlineStr">
        <is>
          <t>Cali</t>
        </is>
      </c>
      <c r="D5429" t="inlineStr">
        <is>
          <t>8688</t>
        </is>
      </c>
      <c r="E5429" t="inlineStr">
        <is>
          <t>pagado</t>
        </is>
      </c>
      <c r="F5429" s="23" t="n">
        <v>46277</v>
      </c>
      <c r="G5429" s="24">
        <f>F5429-DATE(2026,8,31)</f>
        <v>12</v>
      </c>
      <c r="H5429" s="25" t="n">
        <v>136647913</v>
      </c>
      <c r="I5429" t="inlineStr">
        <is>
          <t>entidad-dia</t>
        </is>
      </c>
    </row>
    <row r="5430">
      <c r="A5430" t="inlineStr">
        <is>
          <t>PRAGMA</t>
        </is>
      </c>
      <c r="B5430" t="inlineStr">
        <is>
          <t>M1</t>
        </is>
      </c>
      <c r="C5430" t="inlineStr">
        <is>
          <t>Cali</t>
        </is>
      </c>
      <c r="D5430" t="inlineStr">
        <is>
          <t>8688</t>
        </is>
      </c>
      <c r="E5430" t="inlineStr">
        <is>
          <t>pagado</t>
        </is>
      </c>
      <c r="F5430" s="23" t="n">
        <v>46278</v>
      </c>
      <c r="G5430" s="24">
        <f>F5430-DATE(2026,8,31)</f>
        <v>13</v>
      </c>
      <c r="H5430" s="25" t="n">
        <v>82487143</v>
      </c>
      <c r="I5430" t="inlineStr">
        <is>
          <t>entidad-dia</t>
        </is>
      </c>
    </row>
    <row r="5431">
      <c r="A5431" t="inlineStr">
        <is>
          <t>PRAGMA</t>
        </is>
      </c>
      <c r="B5431" t="inlineStr">
        <is>
          <t>M1</t>
        </is>
      </c>
      <c r="C5431" t="inlineStr">
        <is>
          <t>Cali</t>
        </is>
      </c>
      <c r="D5431" t="inlineStr">
        <is>
          <t>8688</t>
        </is>
      </c>
      <c r="E5431" t="inlineStr">
        <is>
          <t>pagado</t>
        </is>
      </c>
      <c r="F5431" s="23" t="n">
        <v>46279</v>
      </c>
      <c r="G5431" s="24">
        <f>F5431-DATE(2026,8,31)</f>
        <v>14</v>
      </c>
      <c r="H5431" s="25" t="n">
        <v>115742448</v>
      </c>
      <c r="I5431" t="inlineStr">
        <is>
          <t>entidad-dia</t>
        </is>
      </c>
    </row>
    <row r="5432">
      <c r="A5432" t="inlineStr">
        <is>
          <t>PRAGMA</t>
        </is>
      </c>
      <c r="B5432" t="inlineStr">
        <is>
          <t>M1</t>
        </is>
      </c>
      <c r="C5432" t="inlineStr">
        <is>
          <t>Cali</t>
        </is>
      </c>
      <c r="D5432" t="inlineStr">
        <is>
          <t>8688</t>
        </is>
      </c>
      <c r="E5432" t="inlineStr">
        <is>
          <t>pagado</t>
        </is>
      </c>
      <c r="F5432" s="23" t="n">
        <v>46280</v>
      </c>
      <c r="G5432" s="24">
        <f>F5432-DATE(2026,8,31)</f>
        <v>15</v>
      </c>
      <c r="H5432" s="25" t="n">
        <v>171217978</v>
      </c>
      <c r="I5432" t="inlineStr">
        <is>
          <t>entidad-dia</t>
        </is>
      </c>
    </row>
    <row r="5433">
      <c r="A5433" t="inlineStr">
        <is>
          <t>PRAGMA</t>
        </is>
      </c>
      <c r="B5433" t="inlineStr">
        <is>
          <t>M1</t>
        </is>
      </c>
      <c r="C5433" t="inlineStr">
        <is>
          <t>Cali</t>
        </is>
      </c>
      <c r="D5433" t="inlineStr">
        <is>
          <t>8712</t>
        </is>
      </c>
      <c r="E5433" t="inlineStr">
        <is>
          <t>pagado</t>
        </is>
      </c>
      <c r="F5433" s="23" t="n">
        <v>46266</v>
      </c>
      <c r="G5433" s="24">
        <f>F5433-DATE(2026,8,31)</f>
        <v>1</v>
      </c>
      <c r="H5433" s="25" t="n">
        <v>150569951</v>
      </c>
      <c r="I5433" t="inlineStr">
        <is>
          <t>entidad-dia</t>
        </is>
      </c>
    </row>
    <row r="5434">
      <c r="A5434" t="inlineStr">
        <is>
          <t>PRAGMA</t>
        </is>
      </c>
      <c r="B5434" t="inlineStr">
        <is>
          <t>M1</t>
        </is>
      </c>
      <c r="C5434" t="inlineStr">
        <is>
          <t>Cali</t>
        </is>
      </c>
      <c r="D5434" t="inlineStr">
        <is>
          <t>8712</t>
        </is>
      </c>
      <c r="E5434" t="inlineStr">
        <is>
          <t>pagado</t>
        </is>
      </c>
      <c r="F5434" s="23" t="n">
        <v>46267</v>
      </c>
      <c r="G5434" s="24">
        <f>F5434-DATE(2026,8,31)</f>
        <v>2</v>
      </c>
      <c r="H5434" s="25" t="n">
        <v>111650565</v>
      </c>
      <c r="I5434" t="inlineStr">
        <is>
          <t>entidad-dia</t>
        </is>
      </c>
    </row>
    <row r="5435">
      <c r="A5435" t="inlineStr">
        <is>
          <t>PRAGMA</t>
        </is>
      </c>
      <c r="B5435" t="inlineStr">
        <is>
          <t>M1</t>
        </is>
      </c>
      <c r="C5435" t="inlineStr">
        <is>
          <t>Cali</t>
        </is>
      </c>
      <c r="D5435" t="inlineStr">
        <is>
          <t>8712</t>
        </is>
      </c>
      <c r="E5435" t="inlineStr">
        <is>
          <t>pagado</t>
        </is>
      </c>
      <c r="F5435" s="23" t="n">
        <v>46268</v>
      </c>
      <c r="G5435" s="24">
        <f>F5435-DATE(2026,8,31)</f>
        <v>3</v>
      </c>
      <c r="H5435" s="25" t="n">
        <v>100103563</v>
      </c>
      <c r="I5435" t="inlineStr">
        <is>
          <t>entidad-dia</t>
        </is>
      </c>
    </row>
    <row r="5436">
      <c r="A5436" t="inlineStr">
        <is>
          <t>PRAGMA</t>
        </is>
      </c>
      <c r="B5436" t="inlineStr">
        <is>
          <t>M1</t>
        </is>
      </c>
      <c r="C5436" t="inlineStr">
        <is>
          <t>Cali</t>
        </is>
      </c>
      <c r="D5436" t="inlineStr">
        <is>
          <t>8712</t>
        </is>
      </c>
      <c r="E5436" t="inlineStr">
        <is>
          <t>pagado</t>
        </is>
      </c>
      <c r="F5436" s="23" t="n">
        <v>46269</v>
      </c>
      <c r="G5436" s="24">
        <f>F5436-DATE(2026,8,31)</f>
        <v>4</v>
      </c>
      <c r="H5436" s="25" t="n">
        <v>105500699</v>
      </c>
      <c r="I5436" t="inlineStr">
        <is>
          <t>entidad-dia</t>
        </is>
      </c>
    </row>
    <row r="5437">
      <c r="A5437" t="inlineStr">
        <is>
          <t>PRAGMA</t>
        </is>
      </c>
      <c r="B5437" t="inlineStr">
        <is>
          <t>M1</t>
        </is>
      </c>
      <c r="C5437" t="inlineStr">
        <is>
          <t>Cali</t>
        </is>
      </c>
      <c r="D5437" t="inlineStr">
        <is>
          <t>8712</t>
        </is>
      </c>
      <c r="E5437" t="inlineStr">
        <is>
          <t>pagado</t>
        </is>
      </c>
      <c r="F5437" s="23" t="n">
        <v>46270</v>
      </c>
      <c r="G5437" s="24">
        <f>F5437-DATE(2026,8,31)</f>
        <v>5</v>
      </c>
      <c r="H5437" s="25" t="n">
        <v>119389331</v>
      </c>
      <c r="I5437" t="inlineStr">
        <is>
          <t>entidad-dia</t>
        </is>
      </c>
    </row>
    <row r="5438">
      <c r="A5438" t="inlineStr">
        <is>
          <t>PRAGMA</t>
        </is>
      </c>
      <c r="B5438" t="inlineStr">
        <is>
          <t>M1</t>
        </is>
      </c>
      <c r="C5438" t="inlineStr">
        <is>
          <t>Cali</t>
        </is>
      </c>
      <c r="D5438" t="inlineStr">
        <is>
          <t>8712</t>
        </is>
      </c>
      <c r="E5438" t="inlineStr">
        <is>
          <t>pagado</t>
        </is>
      </c>
      <c r="F5438" s="23" t="n">
        <v>46271</v>
      </c>
      <c r="G5438" s="24">
        <f>F5438-DATE(2026,8,31)</f>
        <v>6</v>
      </c>
      <c r="H5438" s="25" t="n">
        <v>78068520</v>
      </c>
      <c r="I5438" t="inlineStr">
        <is>
          <t>entidad-dia</t>
        </is>
      </c>
    </row>
    <row r="5439">
      <c r="A5439" t="inlineStr">
        <is>
          <t>PRAGMA</t>
        </is>
      </c>
      <c r="B5439" t="inlineStr">
        <is>
          <t>M1</t>
        </is>
      </c>
      <c r="C5439" t="inlineStr">
        <is>
          <t>Cali</t>
        </is>
      </c>
      <c r="D5439" t="inlineStr">
        <is>
          <t>8712</t>
        </is>
      </c>
      <c r="E5439" t="inlineStr">
        <is>
          <t>pagado</t>
        </is>
      </c>
      <c r="F5439" s="23" t="n">
        <v>46272</v>
      </c>
      <c r="G5439" s="24">
        <f>F5439-DATE(2026,8,31)</f>
        <v>7</v>
      </c>
      <c r="H5439" s="25" t="n">
        <v>80929278</v>
      </c>
      <c r="I5439" t="inlineStr">
        <is>
          <t>entidad-dia</t>
        </is>
      </c>
    </row>
    <row r="5440">
      <c r="A5440" t="inlineStr">
        <is>
          <t>PRAGMA</t>
        </is>
      </c>
      <c r="B5440" t="inlineStr">
        <is>
          <t>M1</t>
        </is>
      </c>
      <c r="C5440" t="inlineStr">
        <is>
          <t>Cali</t>
        </is>
      </c>
      <c r="D5440" t="inlineStr">
        <is>
          <t>8712</t>
        </is>
      </c>
      <c r="E5440" t="inlineStr">
        <is>
          <t>pagado</t>
        </is>
      </c>
      <c r="F5440" s="23" t="n">
        <v>46273</v>
      </c>
      <c r="G5440" s="24">
        <f>F5440-DATE(2026,8,31)</f>
        <v>8</v>
      </c>
      <c r="H5440" s="25" t="n">
        <v>83266860</v>
      </c>
      <c r="I5440" t="inlineStr">
        <is>
          <t>entidad-dia</t>
        </is>
      </c>
    </row>
    <row r="5441">
      <c r="A5441" t="inlineStr">
        <is>
          <t>PRAGMA</t>
        </is>
      </c>
      <c r="B5441" t="inlineStr">
        <is>
          <t>M1</t>
        </is>
      </c>
      <c r="C5441" t="inlineStr">
        <is>
          <t>Cali</t>
        </is>
      </c>
      <c r="D5441" t="inlineStr">
        <is>
          <t>8712</t>
        </is>
      </c>
      <c r="E5441" t="inlineStr">
        <is>
          <t>pagado</t>
        </is>
      </c>
      <c r="F5441" s="23" t="n">
        <v>46274</v>
      </c>
      <c r="G5441" s="24">
        <f>F5441-DATE(2026,8,31)</f>
        <v>9</v>
      </c>
      <c r="H5441" s="25" t="n">
        <v>72739814</v>
      </c>
      <c r="I5441" t="inlineStr">
        <is>
          <t>entidad-dia</t>
        </is>
      </c>
    </row>
    <row r="5442">
      <c r="A5442" t="inlineStr">
        <is>
          <t>PRAGMA</t>
        </is>
      </c>
      <c r="B5442" t="inlineStr">
        <is>
          <t>M1</t>
        </is>
      </c>
      <c r="C5442" t="inlineStr">
        <is>
          <t>Cali</t>
        </is>
      </c>
      <c r="D5442" t="inlineStr">
        <is>
          <t>8712</t>
        </is>
      </c>
      <c r="E5442" t="inlineStr">
        <is>
          <t>pagado</t>
        </is>
      </c>
      <c r="F5442" s="23" t="n">
        <v>46275</v>
      </c>
      <c r="G5442" s="24">
        <f>F5442-DATE(2026,8,31)</f>
        <v>10</v>
      </c>
      <c r="H5442" s="25" t="n">
        <v>71280685</v>
      </c>
      <c r="I5442" t="inlineStr">
        <is>
          <t>entidad-dia</t>
        </is>
      </c>
    </row>
    <row r="5443">
      <c r="A5443" t="inlineStr">
        <is>
          <t>PRAGMA</t>
        </is>
      </c>
      <c r="B5443" t="inlineStr">
        <is>
          <t>M1</t>
        </is>
      </c>
      <c r="C5443" t="inlineStr">
        <is>
          <t>Cali</t>
        </is>
      </c>
      <c r="D5443" t="inlineStr">
        <is>
          <t>8712</t>
        </is>
      </c>
      <c r="E5443" t="inlineStr">
        <is>
          <t>pagado</t>
        </is>
      </c>
      <c r="F5443" s="23" t="n">
        <v>46276</v>
      </c>
      <c r="G5443" s="24">
        <f>F5443-DATE(2026,8,31)</f>
        <v>11</v>
      </c>
      <c r="H5443" s="25" t="n">
        <v>82614586</v>
      </c>
      <c r="I5443" t="inlineStr">
        <is>
          <t>entidad-dia</t>
        </is>
      </c>
    </row>
    <row r="5444">
      <c r="A5444" t="inlineStr">
        <is>
          <t>PRAGMA</t>
        </is>
      </c>
      <c r="B5444" t="inlineStr">
        <is>
          <t>M1</t>
        </is>
      </c>
      <c r="C5444" t="inlineStr">
        <is>
          <t>Cali</t>
        </is>
      </c>
      <c r="D5444" t="inlineStr">
        <is>
          <t>8712</t>
        </is>
      </c>
      <c r="E5444" t="inlineStr">
        <is>
          <t>pagado</t>
        </is>
      </c>
      <c r="F5444" s="23" t="n">
        <v>46277</v>
      </c>
      <c r="G5444" s="24">
        <f>F5444-DATE(2026,8,31)</f>
        <v>12</v>
      </c>
      <c r="H5444" s="25" t="n">
        <v>91785619</v>
      </c>
      <c r="I5444" t="inlineStr">
        <is>
          <t>entidad-dia</t>
        </is>
      </c>
    </row>
    <row r="5445">
      <c r="A5445" t="inlineStr">
        <is>
          <t>PRAGMA</t>
        </is>
      </c>
      <c r="B5445" t="inlineStr">
        <is>
          <t>M1</t>
        </is>
      </c>
      <c r="C5445" t="inlineStr">
        <is>
          <t>Cali</t>
        </is>
      </c>
      <c r="D5445" t="inlineStr">
        <is>
          <t>8712</t>
        </is>
      </c>
      <c r="E5445" t="inlineStr">
        <is>
          <t>pagado</t>
        </is>
      </c>
      <c r="F5445" s="23" t="n">
        <v>46278</v>
      </c>
      <c r="G5445" s="24">
        <f>F5445-DATE(2026,8,31)</f>
        <v>13</v>
      </c>
      <c r="H5445" s="25" t="n">
        <v>59102685</v>
      </c>
      <c r="I5445" t="inlineStr">
        <is>
          <t>entidad-dia</t>
        </is>
      </c>
    </row>
    <row r="5446">
      <c r="A5446" t="inlineStr">
        <is>
          <t>PRAGMA</t>
        </is>
      </c>
      <c r="B5446" t="inlineStr">
        <is>
          <t>M1</t>
        </is>
      </c>
      <c r="C5446" t="inlineStr">
        <is>
          <t>Cali</t>
        </is>
      </c>
      <c r="D5446" t="inlineStr">
        <is>
          <t>8712</t>
        </is>
      </c>
      <c r="E5446" t="inlineStr">
        <is>
          <t>pagado</t>
        </is>
      </c>
      <c r="F5446" s="23" t="n">
        <v>46279</v>
      </c>
      <c r="G5446" s="24">
        <f>F5446-DATE(2026,8,31)</f>
        <v>14</v>
      </c>
      <c r="H5446" s="25" t="n">
        <v>80539575</v>
      </c>
      <c r="I5446" t="inlineStr">
        <is>
          <t>entidad-dia</t>
        </is>
      </c>
    </row>
    <row r="5447">
      <c r="A5447" t="inlineStr">
        <is>
          <t>PRAGMA</t>
        </is>
      </c>
      <c r="B5447" t="inlineStr">
        <is>
          <t>M1</t>
        </is>
      </c>
      <c r="C5447" t="inlineStr">
        <is>
          <t>Cali</t>
        </is>
      </c>
      <c r="D5447" t="inlineStr">
        <is>
          <t>8712</t>
        </is>
      </c>
      <c r="E5447" t="inlineStr">
        <is>
          <t>pagado</t>
        </is>
      </c>
      <c r="F5447" s="23" t="n">
        <v>46280</v>
      </c>
      <c r="G5447" s="24">
        <f>F5447-DATE(2026,8,31)</f>
        <v>15</v>
      </c>
      <c r="H5447" s="25" t="n">
        <v>106121256</v>
      </c>
      <c r="I5447" t="inlineStr">
        <is>
          <t>entidad-dia</t>
        </is>
      </c>
    </row>
    <row r="5448">
      <c r="A5448" t="inlineStr">
        <is>
          <t>PRAGMA</t>
        </is>
      </c>
      <c r="B5448" t="inlineStr">
        <is>
          <t>M1</t>
        </is>
      </c>
      <c r="C5448" t="inlineStr">
        <is>
          <t>Cali</t>
        </is>
      </c>
      <c r="D5448" t="inlineStr">
        <is>
          <t>8718</t>
        </is>
      </c>
      <c r="E5448" t="inlineStr">
        <is>
          <t>pagado</t>
        </is>
      </c>
      <c r="F5448" s="23" t="n">
        <v>46266</v>
      </c>
      <c r="G5448" s="24">
        <f>F5448-DATE(2026,8,31)</f>
        <v>1</v>
      </c>
      <c r="H5448" s="25" t="n">
        <v>186296941</v>
      </c>
      <c r="I5448" t="inlineStr">
        <is>
          <t>entidad-dia</t>
        </is>
      </c>
    </row>
    <row r="5449">
      <c r="A5449" t="inlineStr">
        <is>
          <t>PRAGMA</t>
        </is>
      </c>
      <c r="B5449" t="inlineStr">
        <is>
          <t>M1</t>
        </is>
      </c>
      <c r="C5449" t="inlineStr">
        <is>
          <t>Cali</t>
        </is>
      </c>
      <c r="D5449" t="inlineStr">
        <is>
          <t>8718</t>
        </is>
      </c>
      <c r="E5449" t="inlineStr">
        <is>
          <t>pagado</t>
        </is>
      </c>
      <c r="F5449" s="23" t="n">
        <v>46267</v>
      </c>
      <c r="G5449" s="24">
        <f>F5449-DATE(2026,8,31)</f>
        <v>2</v>
      </c>
      <c r="H5449" s="25" t="n">
        <v>145823087</v>
      </c>
      <c r="I5449" t="inlineStr">
        <is>
          <t>entidad-dia</t>
        </is>
      </c>
    </row>
    <row r="5450">
      <c r="A5450" t="inlineStr">
        <is>
          <t>PRAGMA</t>
        </is>
      </c>
      <c r="B5450" t="inlineStr">
        <is>
          <t>M1</t>
        </is>
      </c>
      <c r="C5450" t="inlineStr">
        <is>
          <t>Cali</t>
        </is>
      </c>
      <c r="D5450" t="inlineStr">
        <is>
          <t>8718</t>
        </is>
      </c>
      <c r="E5450" t="inlineStr">
        <is>
          <t>pagado</t>
        </is>
      </c>
      <c r="F5450" s="23" t="n">
        <v>46268</v>
      </c>
      <c r="G5450" s="24">
        <f>F5450-DATE(2026,8,31)</f>
        <v>3</v>
      </c>
      <c r="H5450" s="25" t="n">
        <v>132303002</v>
      </c>
      <c r="I5450" t="inlineStr">
        <is>
          <t>entidad-dia</t>
        </is>
      </c>
    </row>
    <row r="5451">
      <c r="A5451" t="inlineStr">
        <is>
          <t>PRAGMA</t>
        </is>
      </c>
      <c r="B5451" t="inlineStr">
        <is>
          <t>M1</t>
        </is>
      </c>
      <c r="C5451" t="inlineStr">
        <is>
          <t>Cali</t>
        </is>
      </c>
      <c r="D5451" t="inlineStr">
        <is>
          <t>8718</t>
        </is>
      </c>
      <c r="E5451" t="inlineStr">
        <is>
          <t>pagado</t>
        </is>
      </c>
      <c r="F5451" s="23" t="n">
        <v>46269</v>
      </c>
      <c r="G5451" s="24">
        <f>F5451-DATE(2026,8,31)</f>
        <v>4</v>
      </c>
      <c r="H5451" s="25" t="n">
        <v>141296124</v>
      </c>
      <c r="I5451" t="inlineStr">
        <is>
          <t>entidad-dia</t>
        </is>
      </c>
    </row>
    <row r="5452">
      <c r="A5452" t="inlineStr">
        <is>
          <t>PRAGMA</t>
        </is>
      </c>
      <c r="B5452" t="inlineStr">
        <is>
          <t>M1</t>
        </is>
      </c>
      <c r="C5452" t="inlineStr">
        <is>
          <t>Cali</t>
        </is>
      </c>
      <c r="D5452" t="inlineStr">
        <is>
          <t>8718</t>
        </is>
      </c>
      <c r="E5452" t="inlineStr">
        <is>
          <t>pagado</t>
        </is>
      </c>
      <c r="F5452" s="23" t="n">
        <v>46270</v>
      </c>
      <c r="G5452" s="24">
        <f>F5452-DATE(2026,8,31)</f>
        <v>5</v>
      </c>
      <c r="H5452" s="25" t="n">
        <v>132965955</v>
      </c>
      <c r="I5452" t="inlineStr">
        <is>
          <t>entidad-dia</t>
        </is>
      </c>
    </row>
    <row r="5453">
      <c r="A5453" t="inlineStr">
        <is>
          <t>PRAGMA</t>
        </is>
      </c>
      <c r="B5453" t="inlineStr">
        <is>
          <t>M1</t>
        </is>
      </c>
      <c r="C5453" t="inlineStr">
        <is>
          <t>Cali</t>
        </is>
      </c>
      <c r="D5453" t="inlineStr">
        <is>
          <t>8718</t>
        </is>
      </c>
      <c r="E5453" t="inlineStr">
        <is>
          <t>pagado</t>
        </is>
      </c>
      <c r="F5453" s="23" t="n">
        <v>46271</v>
      </c>
      <c r="G5453" s="24">
        <f>F5453-DATE(2026,8,31)</f>
        <v>6</v>
      </c>
      <c r="H5453" s="25" t="n">
        <v>24724276</v>
      </c>
      <c r="I5453" t="inlineStr">
        <is>
          <t>entidad-dia</t>
        </is>
      </c>
    </row>
    <row r="5454">
      <c r="A5454" t="inlineStr">
        <is>
          <t>PRAGMA</t>
        </is>
      </c>
      <c r="B5454" t="inlineStr">
        <is>
          <t>M1</t>
        </is>
      </c>
      <c r="C5454" t="inlineStr">
        <is>
          <t>Cali</t>
        </is>
      </c>
      <c r="D5454" t="inlineStr">
        <is>
          <t>8718</t>
        </is>
      </c>
      <c r="E5454" t="inlineStr">
        <is>
          <t>pagado</t>
        </is>
      </c>
      <c r="F5454" s="23" t="n">
        <v>46272</v>
      </c>
      <c r="G5454" s="24">
        <f>F5454-DATE(2026,8,31)</f>
        <v>7</v>
      </c>
      <c r="H5454" s="25" t="n">
        <v>103591583</v>
      </c>
      <c r="I5454" t="inlineStr">
        <is>
          <t>entidad-dia</t>
        </is>
      </c>
    </row>
    <row r="5455">
      <c r="A5455" t="inlineStr">
        <is>
          <t>PRAGMA</t>
        </is>
      </c>
      <c r="B5455" t="inlineStr">
        <is>
          <t>M1</t>
        </is>
      </c>
      <c r="C5455" t="inlineStr">
        <is>
          <t>Cali</t>
        </is>
      </c>
      <c r="D5455" t="inlineStr">
        <is>
          <t>8718</t>
        </is>
      </c>
      <c r="E5455" t="inlineStr">
        <is>
          <t>pagado</t>
        </is>
      </c>
      <c r="F5455" s="23" t="n">
        <v>46273</v>
      </c>
      <c r="G5455" s="24">
        <f>F5455-DATE(2026,8,31)</f>
        <v>8</v>
      </c>
      <c r="H5455" s="25" t="n">
        <v>104090470</v>
      </c>
      <c r="I5455" t="inlineStr">
        <is>
          <t>entidad-dia</t>
        </is>
      </c>
    </row>
    <row r="5456">
      <c r="A5456" t="inlineStr">
        <is>
          <t>PRAGMA</t>
        </is>
      </c>
      <c r="B5456" t="inlineStr">
        <is>
          <t>M1</t>
        </is>
      </c>
      <c r="C5456" t="inlineStr">
        <is>
          <t>Cali</t>
        </is>
      </c>
      <c r="D5456" t="inlineStr">
        <is>
          <t>8718</t>
        </is>
      </c>
      <c r="E5456" t="inlineStr">
        <is>
          <t>pagado</t>
        </is>
      </c>
      <c r="F5456" s="23" t="n">
        <v>46274</v>
      </c>
      <c r="G5456" s="24">
        <f>F5456-DATE(2026,8,31)</f>
        <v>9</v>
      </c>
      <c r="H5456" s="25" t="n">
        <v>113944556</v>
      </c>
      <c r="I5456" t="inlineStr">
        <is>
          <t>entidad-dia</t>
        </is>
      </c>
    </row>
    <row r="5457">
      <c r="A5457" t="inlineStr">
        <is>
          <t>PRAGMA</t>
        </is>
      </c>
      <c r="B5457" t="inlineStr">
        <is>
          <t>M1</t>
        </is>
      </c>
      <c r="C5457" t="inlineStr">
        <is>
          <t>Cali</t>
        </is>
      </c>
      <c r="D5457" t="inlineStr">
        <is>
          <t>8718</t>
        </is>
      </c>
      <c r="E5457" t="inlineStr">
        <is>
          <t>pagado</t>
        </is>
      </c>
      <c r="F5457" s="23" t="n">
        <v>46275</v>
      </c>
      <c r="G5457" s="24">
        <f>F5457-DATE(2026,8,31)</f>
        <v>10</v>
      </c>
      <c r="H5457" s="25" t="n">
        <v>95920204</v>
      </c>
      <c r="I5457" t="inlineStr">
        <is>
          <t>entidad-dia</t>
        </is>
      </c>
    </row>
    <row r="5458">
      <c r="A5458" t="inlineStr">
        <is>
          <t>PRAGMA</t>
        </is>
      </c>
      <c r="B5458" t="inlineStr">
        <is>
          <t>M1</t>
        </is>
      </c>
      <c r="C5458" t="inlineStr">
        <is>
          <t>Cali</t>
        </is>
      </c>
      <c r="D5458" t="inlineStr">
        <is>
          <t>8718</t>
        </is>
      </c>
      <c r="E5458" t="inlineStr">
        <is>
          <t>pagado</t>
        </is>
      </c>
      <c r="F5458" s="23" t="n">
        <v>46276</v>
      </c>
      <c r="G5458" s="24">
        <f>F5458-DATE(2026,8,31)</f>
        <v>11</v>
      </c>
      <c r="H5458" s="25" t="n">
        <v>122296185</v>
      </c>
      <c r="I5458" t="inlineStr">
        <is>
          <t>entidad-dia</t>
        </is>
      </c>
    </row>
    <row r="5459">
      <c r="A5459" t="inlineStr">
        <is>
          <t>PRAGMA</t>
        </is>
      </c>
      <c r="B5459" t="inlineStr">
        <is>
          <t>M1</t>
        </is>
      </c>
      <c r="C5459" t="inlineStr">
        <is>
          <t>Cali</t>
        </is>
      </c>
      <c r="D5459" t="inlineStr">
        <is>
          <t>8718</t>
        </is>
      </c>
      <c r="E5459" t="inlineStr">
        <is>
          <t>pagado</t>
        </is>
      </c>
      <c r="F5459" s="23" t="n">
        <v>46277</v>
      </c>
      <c r="G5459" s="24">
        <f>F5459-DATE(2026,8,31)</f>
        <v>12</v>
      </c>
      <c r="H5459" s="25" t="n">
        <v>116361025</v>
      </c>
      <c r="I5459" t="inlineStr">
        <is>
          <t>entidad-dia</t>
        </is>
      </c>
    </row>
    <row r="5460">
      <c r="A5460" t="inlineStr">
        <is>
          <t>PRAGMA</t>
        </is>
      </c>
      <c r="B5460" t="inlineStr">
        <is>
          <t>M1</t>
        </is>
      </c>
      <c r="C5460" t="inlineStr">
        <is>
          <t>Cali</t>
        </is>
      </c>
      <c r="D5460" t="inlineStr">
        <is>
          <t>8718</t>
        </is>
      </c>
      <c r="E5460" t="inlineStr">
        <is>
          <t>pagado</t>
        </is>
      </c>
      <c r="F5460" s="23" t="n">
        <v>46278</v>
      </c>
      <c r="G5460" s="24">
        <f>F5460-DATE(2026,8,31)</f>
        <v>13</v>
      </c>
      <c r="H5460" s="25" t="n">
        <v>22179431</v>
      </c>
      <c r="I5460" t="inlineStr">
        <is>
          <t>entidad-dia</t>
        </is>
      </c>
    </row>
    <row r="5461">
      <c r="A5461" t="inlineStr">
        <is>
          <t>PRAGMA</t>
        </is>
      </c>
      <c r="B5461" t="inlineStr">
        <is>
          <t>M1</t>
        </is>
      </c>
      <c r="C5461" t="inlineStr">
        <is>
          <t>Cali</t>
        </is>
      </c>
      <c r="D5461" t="inlineStr">
        <is>
          <t>8718</t>
        </is>
      </c>
      <c r="E5461" t="inlineStr">
        <is>
          <t>pagado</t>
        </is>
      </c>
      <c r="F5461" s="23" t="n">
        <v>46279</v>
      </c>
      <c r="G5461" s="24">
        <f>F5461-DATE(2026,8,31)</f>
        <v>14</v>
      </c>
      <c r="H5461" s="25" t="n">
        <v>97560319</v>
      </c>
      <c r="I5461" t="inlineStr">
        <is>
          <t>entidad-dia</t>
        </is>
      </c>
    </row>
    <row r="5462">
      <c r="A5462" t="inlineStr">
        <is>
          <t>PRAGMA</t>
        </is>
      </c>
      <c r="B5462" t="inlineStr">
        <is>
          <t>M1</t>
        </is>
      </c>
      <c r="C5462" t="inlineStr">
        <is>
          <t>Cali</t>
        </is>
      </c>
      <c r="D5462" t="inlineStr">
        <is>
          <t>8718</t>
        </is>
      </c>
      <c r="E5462" t="inlineStr">
        <is>
          <t>pagado</t>
        </is>
      </c>
      <c r="F5462" s="23" t="n">
        <v>46280</v>
      </c>
      <c r="G5462" s="24">
        <f>F5462-DATE(2026,8,31)</f>
        <v>15</v>
      </c>
      <c r="H5462" s="25" t="n">
        <v>160028295</v>
      </c>
      <c r="I5462" t="inlineStr">
        <is>
          <t>entidad-dia</t>
        </is>
      </c>
    </row>
    <row r="5463">
      <c r="A5463" t="inlineStr">
        <is>
          <t>PRAGMA</t>
        </is>
      </c>
      <c r="B5463" t="inlineStr">
        <is>
          <t>M1</t>
        </is>
      </c>
      <c r="C5463" t="inlineStr">
        <is>
          <t>Cali</t>
        </is>
      </c>
      <c r="D5463" t="inlineStr">
        <is>
          <t>8719</t>
        </is>
      </c>
      <c r="E5463" t="inlineStr">
        <is>
          <t>pagado</t>
        </is>
      </c>
      <c r="F5463" s="23" t="n">
        <v>46266</v>
      </c>
      <c r="G5463" s="24">
        <f>F5463-DATE(2026,8,31)</f>
        <v>1</v>
      </c>
      <c r="H5463" s="25" t="n">
        <v>167033194</v>
      </c>
      <c r="I5463" t="inlineStr">
        <is>
          <t>entidad-dia</t>
        </is>
      </c>
    </row>
    <row r="5464">
      <c r="A5464" t="inlineStr">
        <is>
          <t>PRAGMA</t>
        </is>
      </c>
      <c r="B5464" t="inlineStr">
        <is>
          <t>M1</t>
        </is>
      </c>
      <c r="C5464" t="inlineStr">
        <is>
          <t>Cali</t>
        </is>
      </c>
      <c r="D5464" t="inlineStr">
        <is>
          <t>8719</t>
        </is>
      </c>
      <c r="E5464" t="inlineStr">
        <is>
          <t>pagado</t>
        </is>
      </c>
      <c r="F5464" s="23" t="n">
        <v>46267</v>
      </c>
      <c r="G5464" s="24">
        <f>F5464-DATE(2026,8,31)</f>
        <v>2</v>
      </c>
      <c r="H5464" s="25" t="n">
        <v>137446008</v>
      </c>
      <c r="I5464" t="inlineStr">
        <is>
          <t>entidad-dia</t>
        </is>
      </c>
    </row>
    <row r="5465">
      <c r="A5465" t="inlineStr">
        <is>
          <t>PRAGMA</t>
        </is>
      </c>
      <c r="B5465" t="inlineStr">
        <is>
          <t>M1</t>
        </is>
      </c>
      <c r="C5465" t="inlineStr">
        <is>
          <t>Cali</t>
        </is>
      </c>
      <c r="D5465" t="inlineStr">
        <is>
          <t>8719</t>
        </is>
      </c>
      <c r="E5465" t="inlineStr">
        <is>
          <t>pagado</t>
        </is>
      </c>
      <c r="F5465" s="23" t="n">
        <v>46268</v>
      </c>
      <c r="G5465" s="24">
        <f>F5465-DATE(2026,8,31)</f>
        <v>3</v>
      </c>
      <c r="H5465" s="25" t="n">
        <v>125207323</v>
      </c>
      <c r="I5465" t="inlineStr">
        <is>
          <t>entidad-dia</t>
        </is>
      </c>
    </row>
    <row r="5466">
      <c r="A5466" t="inlineStr">
        <is>
          <t>PRAGMA</t>
        </is>
      </c>
      <c r="B5466" t="inlineStr">
        <is>
          <t>M1</t>
        </is>
      </c>
      <c r="C5466" t="inlineStr">
        <is>
          <t>Cali</t>
        </is>
      </c>
      <c r="D5466" t="inlineStr">
        <is>
          <t>8719</t>
        </is>
      </c>
      <c r="E5466" t="inlineStr">
        <is>
          <t>pagado</t>
        </is>
      </c>
      <c r="F5466" s="23" t="n">
        <v>46269</v>
      </c>
      <c r="G5466" s="24">
        <f>F5466-DATE(2026,8,31)</f>
        <v>4</v>
      </c>
      <c r="H5466" s="25" t="n">
        <v>135495601</v>
      </c>
      <c r="I5466" t="inlineStr">
        <is>
          <t>entidad-dia</t>
        </is>
      </c>
    </row>
    <row r="5467">
      <c r="A5467" t="inlineStr">
        <is>
          <t>PRAGMA</t>
        </is>
      </c>
      <c r="B5467" t="inlineStr">
        <is>
          <t>M1</t>
        </is>
      </c>
      <c r="C5467" t="inlineStr">
        <is>
          <t>Cali</t>
        </is>
      </c>
      <c r="D5467" t="inlineStr">
        <is>
          <t>8719</t>
        </is>
      </c>
      <c r="E5467" t="inlineStr">
        <is>
          <t>pagado</t>
        </is>
      </c>
      <c r="F5467" s="23" t="n">
        <v>46270</v>
      </c>
      <c r="G5467" s="24">
        <f>F5467-DATE(2026,8,31)</f>
        <v>5</v>
      </c>
      <c r="H5467" s="25" t="n">
        <v>129833768</v>
      </c>
      <c r="I5467" t="inlineStr">
        <is>
          <t>entidad-dia</t>
        </is>
      </c>
    </row>
    <row r="5468">
      <c r="A5468" t="inlineStr">
        <is>
          <t>PRAGMA</t>
        </is>
      </c>
      <c r="B5468" t="inlineStr">
        <is>
          <t>M1</t>
        </is>
      </c>
      <c r="C5468" t="inlineStr">
        <is>
          <t>Cali</t>
        </is>
      </c>
      <c r="D5468" t="inlineStr">
        <is>
          <t>8719</t>
        </is>
      </c>
      <c r="E5468" t="inlineStr">
        <is>
          <t>pagado</t>
        </is>
      </c>
      <c r="F5468" s="23" t="n">
        <v>46271</v>
      </c>
      <c r="G5468" s="24">
        <f>F5468-DATE(2026,8,31)</f>
        <v>6</v>
      </c>
      <c r="H5468" s="25" t="n">
        <v>23988819</v>
      </c>
      <c r="I5468" t="inlineStr">
        <is>
          <t>entidad-dia</t>
        </is>
      </c>
    </row>
    <row r="5469">
      <c r="A5469" t="inlineStr">
        <is>
          <t>PRAGMA</t>
        </is>
      </c>
      <c r="B5469" t="inlineStr">
        <is>
          <t>M1</t>
        </is>
      </c>
      <c r="C5469" t="inlineStr">
        <is>
          <t>Cali</t>
        </is>
      </c>
      <c r="D5469" t="inlineStr">
        <is>
          <t>8719</t>
        </is>
      </c>
      <c r="E5469" t="inlineStr">
        <is>
          <t>pagado</t>
        </is>
      </c>
      <c r="F5469" s="23" t="n">
        <v>46272</v>
      </c>
      <c r="G5469" s="24">
        <f>F5469-DATE(2026,8,31)</f>
        <v>7</v>
      </c>
      <c r="H5469" s="25" t="n">
        <v>96558718</v>
      </c>
      <c r="I5469" t="inlineStr">
        <is>
          <t>entidad-dia</t>
        </is>
      </c>
    </row>
    <row r="5470">
      <c r="A5470" t="inlineStr">
        <is>
          <t>PRAGMA</t>
        </is>
      </c>
      <c r="B5470" t="inlineStr">
        <is>
          <t>M1</t>
        </is>
      </c>
      <c r="C5470" t="inlineStr">
        <is>
          <t>Cali</t>
        </is>
      </c>
      <c r="D5470" t="inlineStr">
        <is>
          <t>8719</t>
        </is>
      </c>
      <c r="E5470" t="inlineStr">
        <is>
          <t>pagado</t>
        </is>
      </c>
      <c r="F5470" s="23" t="n">
        <v>46273</v>
      </c>
      <c r="G5470" s="24">
        <f>F5470-DATE(2026,8,31)</f>
        <v>8</v>
      </c>
      <c r="H5470" s="25" t="n">
        <v>97586127</v>
      </c>
      <c r="I5470" t="inlineStr">
        <is>
          <t>entidad-dia</t>
        </is>
      </c>
    </row>
    <row r="5471">
      <c r="A5471" t="inlineStr">
        <is>
          <t>PRAGMA</t>
        </is>
      </c>
      <c r="B5471" t="inlineStr">
        <is>
          <t>M1</t>
        </is>
      </c>
      <c r="C5471" t="inlineStr">
        <is>
          <t>Cali</t>
        </is>
      </c>
      <c r="D5471" t="inlineStr">
        <is>
          <t>8719</t>
        </is>
      </c>
      <c r="E5471" t="inlineStr">
        <is>
          <t>pagado</t>
        </is>
      </c>
      <c r="F5471" s="23" t="n">
        <v>46274</v>
      </c>
      <c r="G5471" s="24">
        <f>F5471-DATE(2026,8,31)</f>
        <v>9</v>
      </c>
      <c r="H5471" s="25" t="n">
        <v>113790161</v>
      </c>
      <c r="I5471" t="inlineStr">
        <is>
          <t>entidad-dia</t>
        </is>
      </c>
    </row>
    <row r="5472">
      <c r="A5472" t="inlineStr">
        <is>
          <t>PRAGMA</t>
        </is>
      </c>
      <c r="B5472" t="inlineStr">
        <is>
          <t>M1</t>
        </is>
      </c>
      <c r="C5472" t="inlineStr">
        <is>
          <t>Cali</t>
        </is>
      </c>
      <c r="D5472" t="inlineStr">
        <is>
          <t>8719</t>
        </is>
      </c>
      <c r="E5472" t="inlineStr">
        <is>
          <t>pagado</t>
        </is>
      </c>
      <c r="F5472" s="23" t="n">
        <v>46275</v>
      </c>
      <c r="G5472" s="24">
        <f>F5472-DATE(2026,8,31)</f>
        <v>10</v>
      </c>
      <c r="H5472" s="25" t="n">
        <v>86343486</v>
      </c>
      <c r="I5472" t="inlineStr">
        <is>
          <t>entidad-dia</t>
        </is>
      </c>
    </row>
    <row r="5473">
      <c r="A5473" t="inlineStr">
        <is>
          <t>PRAGMA</t>
        </is>
      </c>
      <c r="B5473" t="inlineStr">
        <is>
          <t>M1</t>
        </is>
      </c>
      <c r="C5473" t="inlineStr">
        <is>
          <t>Cali</t>
        </is>
      </c>
      <c r="D5473" t="inlineStr">
        <is>
          <t>8719</t>
        </is>
      </c>
      <c r="E5473" t="inlineStr">
        <is>
          <t>pagado</t>
        </is>
      </c>
      <c r="F5473" s="23" t="n">
        <v>46276</v>
      </c>
      <c r="G5473" s="24">
        <f>F5473-DATE(2026,8,31)</f>
        <v>11</v>
      </c>
      <c r="H5473" s="25" t="n">
        <v>114566127</v>
      </c>
      <c r="I5473" t="inlineStr">
        <is>
          <t>entidad-dia</t>
        </is>
      </c>
    </row>
    <row r="5474">
      <c r="A5474" t="inlineStr">
        <is>
          <t>PRAGMA</t>
        </is>
      </c>
      <c r="B5474" t="inlineStr">
        <is>
          <t>M1</t>
        </is>
      </c>
      <c r="C5474" t="inlineStr">
        <is>
          <t>Cali</t>
        </is>
      </c>
      <c r="D5474" t="inlineStr">
        <is>
          <t>8719</t>
        </is>
      </c>
      <c r="E5474" t="inlineStr">
        <is>
          <t>pagado</t>
        </is>
      </c>
      <c r="F5474" s="23" t="n">
        <v>46277</v>
      </c>
      <c r="G5474" s="24">
        <f>F5474-DATE(2026,8,31)</f>
        <v>12</v>
      </c>
      <c r="H5474" s="25" t="n">
        <v>104192087</v>
      </c>
      <c r="I5474" t="inlineStr">
        <is>
          <t>entidad-dia</t>
        </is>
      </c>
    </row>
    <row r="5475">
      <c r="A5475" t="inlineStr">
        <is>
          <t>PRAGMA</t>
        </is>
      </c>
      <c r="B5475" t="inlineStr">
        <is>
          <t>M1</t>
        </is>
      </c>
      <c r="C5475" t="inlineStr">
        <is>
          <t>Cali</t>
        </is>
      </c>
      <c r="D5475" t="inlineStr">
        <is>
          <t>8719</t>
        </is>
      </c>
      <c r="E5475" t="inlineStr">
        <is>
          <t>pagado</t>
        </is>
      </c>
      <c r="F5475" s="23" t="n">
        <v>46278</v>
      </c>
      <c r="G5475" s="24">
        <f>F5475-DATE(2026,8,31)</f>
        <v>13</v>
      </c>
      <c r="H5475" s="25" t="n">
        <v>18488416</v>
      </c>
      <c r="I5475" t="inlineStr">
        <is>
          <t>entidad-dia</t>
        </is>
      </c>
    </row>
    <row r="5476">
      <c r="A5476" t="inlineStr">
        <is>
          <t>PRAGMA</t>
        </is>
      </c>
      <c r="B5476" t="inlineStr">
        <is>
          <t>M1</t>
        </is>
      </c>
      <c r="C5476" t="inlineStr">
        <is>
          <t>Cali</t>
        </is>
      </c>
      <c r="D5476" t="inlineStr">
        <is>
          <t>8719</t>
        </is>
      </c>
      <c r="E5476" t="inlineStr">
        <is>
          <t>pagado</t>
        </is>
      </c>
      <c r="F5476" s="23" t="n">
        <v>46279</v>
      </c>
      <c r="G5476" s="24">
        <f>F5476-DATE(2026,8,31)</f>
        <v>14</v>
      </c>
      <c r="H5476" s="25" t="n">
        <v>92378974</v>
      </c>
      <c r="I5476" t="inlineStr">
        <is>
          <t>entidad-dia</t>
        </is>
      </c>
    </row>
    <row r="5477">
      <c r="A5477" t="inlineStr">
        <is>
          <t>PRAGMA</t>
        </is>
      </c>
      <c r="B5477" t="inlineStr">
        <is>
          <t>M1</t>
        </is>
      </c>
      <c r="C5477" t="inlineStr">
        <is>
          <t>Cali</t>
        </is>
      </c>
      <c r="D5477" t="inlineStr">
        <is>
          <t>8719</t>
        </is>
      </c>
      <c r="E5477" t="inlineStr">
        <is>
          <t>pagado</t>
        </is>
      </c>
      <c r="F5477" s="23" t="n">
        <v>46280</v>
      </c>
      <c r="G5477" s="24">
        <f>F5477-DATE(2026,8,31)</f>
        <v>15</v>
      </c>
      <c r="H5477" s="25" t="n">
        <v>128667999</v>
      </c>
      <c r="I5477" t="inlineStr">
        <is>
          <t>entidad-dia</t>
        </is>
      </c>
    </row>
    <row r="5478">
      <c r="A5478" t="inlineStr">
        <is>
          <t>PRAGMA</t>
        </is>
      </c>
      <c r="B5478" t="inlineStr">
        <is>
          <t>M1</t>
        </is>
      </c>
      <c r="C5478" t="inlineStr">
        <is>
          <t>Cali</t>
        </is>
      </c>
      <c r="D5478" t="inlineStr">
        <is>
          <t>8724</t>
        </is>
      </c>
      <c r="E5478" t="inlineStr">
        <is>
          <t>pagado</t>
        </is>
      </c>
      <c r="F5478" s="23" t="n">
        <v>46266</v>
      </c>
      <c r="G5478" s="24">
        <f>F5478-DATE(2026,8,31)</f>
        <v>1</v>
      </c>
      <c r="H5478" s="25" t="n">
        <v>297645152</v>
      </c>
      <c r="I5478" t="inlineStr">
        <is>
          <t>entidad-dia</t>
        </is>
      </c>
    </row>
    <row r="5479">
      <c r="A5479" t="inlineStr">
        <is>
          <t>PRAGMA</t>
        </is>
      </c>
      <c r="B5479" t="inlineStr">
        <is>
          <t>M1</t>
        </is>
      </c>
      <c r="C5479" t="inlineStr">
        <is>
          <t>Cali</t>
        </is>
      </c>
      <c r="D5479" t="inlineStr">
        <is>
          <t>8724</t>
        </is>
      </c>
      <c r="E5479" t="inlineStr">
        <is>
          <t>pagado</t>
        </is>
      </c>
      <c r="F5479" s="23" t="n">
        <v>46267</v>
      </c>
      <c r="G5479" s="24">
        <f>F5479-DATE(2026,8,31)</f>
        <v>2</v>
      </c>
      <c r="H5479" s="25" t="n">
        <v>230281016</v>
      </c>
      <c r="I5479" t="inlineStr">
        <is>
          <t>entidad-dia</t>
        </is>
      </c>
    </row>
    <row r="5480">
      <c r="A5480" t="inlineStr">
        <is>
          <t>PRAGMA</t>
        </is>
      </c>
      <c r="B5480" t="inlineStr">
        <is>
          <t>M1</t>
        </is>
      </c>
      <c r="C5480" t="inlineStr">
        <is>
          <t>Cali</t>
        </is>
      </c>
      <c r="D5480" t="inlineStr">
        <is>
          <t>8724</t>
        </is>
      </c>
      <c r="E5480" t="inlineStr">
        <is>
          <t>pagado</t>
        </is>
      </c>
      <c r="F5480" s="23" t="n">
        <v>46268</v>
      </c>
      <c r="G5480" s="24">
        <f>F5480-DATE(2026,8,31)</f>
        <v>3</v>
      </c>
      <c r="H5480" s="25" t="n">
        <v>208886549</v>
      </c>
      <c r="I5480" t="inlineStr">
        <is>
          <t>entidad-dia</t>
        </is>
      </c>
    </row>
    <row r="5481">
      <c r="A5481" t="inlineStr">
        <is>
          <t>PRAGMA</t>
        </is>
      </c>
      <c r="B5481" t="inlineStr">
        <is>
          <t>M1</t>
        </is>
      </c>
      <c r="C5481" t="inlineStr">
        <is>
          <t>Cali</t>
        </is>
      </c>
      <c r="D5481" t="inlineStr">
        <is>
          <t>8724</t>
        </is>
      </c>
      <c r="E5481" t="inlineStr">
        <is>
          <t>pagado</t>
        </is>
      </c>
      <c r="F5481" s="23" t="n">
        <v>46269</v>
      </c>
      <c r="G5481" s="24">
        <f>F5481-DATE(2026,8,31)</f>
        <v>4</v>
      </c>
      <c r="H5481" s="25" t="n">
        <v>206583786</v>
      </c>
      <c r="I5481" t="inlineStr">
        <is>
          <t>entidad-dia</t>
        </is>
      </c>
    </row>
    <row r="5482">
      <c r="A5482" t="inlineStr">
        <is>
          <t>PRAGMA</t>
        </is>
      </c>
      <c r="B5482" t="inlineStr">
        <is>
          <t>M1</t>
        </is>
      </c>
      <c r="C5482" t="inlineStr">
        <is>
          <t>Cali</t>
        </is>
      </c>
      <c r="D5482" t="inlineStr">
        <is>
          <t>8724</t>
        </is>
      </c>
      <c r="E5482" t="inlineStr">
        <is>
          <t>pagado</t>
        </is>
      </c>
      <c r="F5482" s="23" t="n">
        <v>46270</v>
      </c>
      <c r="G5482" s="24">
        <f>F5482-DATE(2026,8,31)</f>
        <v>5</v>
      </c>
      <c r="H5482" s="25" t="n">
        <v>177943875</v>
      </c>
      <c r="I5482" t="inlineStr">
        <is>
          <t>entidad-dia</t>
        </is>
      </c>
    </row>
    <row r="5483">
      <c r="A5483" t="inlineStr">
        <is>
          <t>PRAGMA</t>
        </is>
      </c>
      <c r="B5483" t="inlineStr">
        <is>
          <t>M1</t>
        </is>
      </c>
      <c r="C5483" t="inlineStr">
        <is>
          <t>Cali</t>
        </is>
      </c>
      <c r="D5483" t="inlineStr">
        <is>
          <t>8724</t>
        </is>
      </c>
      <c r="E5483" t="inlineStr">
        <is>
          <t>pagado</t>
        </is>
      </c>
      <c r="F5483" s="23" t="n">
        <v>46271</v>
      </c>
      <c r="G5483" s="24">
        <f>F5483-DATE(2026,8,31)</f>
        <v>6</v>
      </c>
      <c r="H5483" s="25" t="n">
        <v>5914571</v>
      </c>
      <c r="I5483" t="inlineStr">
        <is>
          <t>entidad-dia</t>
        </is>
      </c>
    </row>
    <row r="5484">
      <c r="A5484" t="inlineStr">
        <is>
          <t>PRAGMA</t>
        </is>
      </c>
      <c r="B5484" t="inlineStr">
        <is>
          <t>M1</t>
        </is>
      </c>
      <c r="C5484" t="inlineStr">
        <is>
          <t>Cali</t>
        </is>
      </c>
      <c r="D5484" t="inlineStr">
        <is>
          <t>8724</t>
        </is>
      </c>
      <c r="E5484" t="inlineStr">
        <is>
          <t>pagado</t>
        </is>
      </c>
      <c r="F5484" s="23" t="n">
        <v>46272</v>
      </c>
      <c r="G5484" s="24">
        <f>F5484-DATE(2026,8,31)</f>
        <v>7</v>
      </c>
      <c r="H5484" s="25" t="n">
        <v>155942222</v>
      </c>
      <c r="I5484" t="inlineStr">
        <is>
          <t>entidad-dia</t>
        </is>
      </c>
    </row>
    <row r="5485">
      <c r="A5485" t="inlineStr">
        <is>
          <t>PRAGMA</t>
        </is>
      </c>
      <c r="B5485" t="inlineStr">
        <is>
          <t>M1</t>
        </is>
      </c>
      <c r="C5485" t="inlineStr">
        <is>
          <t>Cali</t>
        </is>
      </c>
      <c r="D5485" t="inlineStr">
        <is>
          <t>8724</t>
        </is>
      </c>
      <c r="E5485" t="inlineStr">
        <is>
          <t>pagado</t>
        </is>
      </c>
      <c r="F5485" s="23" t="n">
        <v>46273</v>
      </c>
      <c r="G5485" s="24">
        <f>F5485-DATE(2026,8,31)</f>
        <v>8</v>
      </c>
      <c r="H5485" s="25" t="n">
        <v>184207381</v>
      </c>
      <c r="I5485" t="inlineStr">
        <is>
          <t>entidad-dia</t>
        </is>
      </c>
    </row>
    <row r="5486">
      <c r="A5486" t="inlineStr">
        <is>
          <t>PRAGMA</t>
        </is>
      </c>
      <c r="B5486" t="inlineStr">
        <is>
          <t>M1</t>
        </is>
      </c>
      <c r="C5486" t="inlineStr">
        <is>
          <t>Cali</t>
        </is>
      </c>
      <c r="D5486" t="inlineStr">
        <is>
          <t>8724</t>
        </is>
      </c>
      <c r="E5486" t="inlineStr">
        <is>
          <t>pagado</t>
        </is>
      </c>
      <c r="F5486" s="23" t="n">
        <v>46274</v>
      </c>
      <c r="G5486" s="24">
        <f>F5486-DATE(2026,8,31)</f>
        <v>9</v>
      </c>
      <c r="H5486" s="25" t="n">
        <v>184194286</v>
      </c>
      <c r="I5486" t="inlineStr">
        <is>
          <t>entidad-dia</t>
        </is>
      </c>
    </row>
    <row r="5487">
      <c r="A5487" t="inlineStr">
        <is>
          <t>PRAGMA</t>
        </is>
      </c>
      <c r="B5487" t="inlineStr">
        <is>
          <t>M1</t>
        </is>
      </c>
      <c r="C5487" t="inlineStr">
        <is>
          <t>Cali</t>
        </is>
      </c>
      <c r="D5487" t="inlineStr">
        <is>
          <t>8724</t>
        </is>
      </c>
      <c r="E5487" t="inlineStr">
        <is>
          <t>pagado</t>
        </is>
      </c>
      <c r="F5487" s="23" t="n">
        <v>46275</v>
      </c>
      <c r="G5487" s="24">
        <f>F5487-DATE(2026,8,31)</f>
        <v>10</v>
      </c>
      <c r="H5487" s="25" t="n">
        <v>159189598</v>
      </c>
      <c r="I5487" t="inlineStr">
        <is>
          <t>entidad-dia</t>
        </is>
      </c>
    </row>
    <row r="5488">
      <c r="A5488" t="inlineStr">
        <is>
          <t>PRAGMA</t>
        </is>
      </c>
      <c r="B5488" t="inlineStr">
        <is>
          <t>M1</t>
        </is>
      </c>
      <c r="C5488" t="inlineStr">
        <is>
          <t>Cali</t>
        </is>
      </c>
      <c r="D5488" t="inlineStr">
        <is>
          <t>8724</t>
        </is>
      </c>
      <c r="E5488" t="inlineStr">
        <is>
          <t>pagado</t>
        </is>
      </c>
      <c r="F5488" s="23" t="n">
        <v>46276</v>
      </c>
      <c r="G5488" s="24">
        <f>F5488-DATE(2026,8,31)</f>
        <v>11</v>
      </c>
      <c r="H5488" s="25" t="n">
        <v>170143472</v>
      </c>
      <c r="I5488" t="inlineStr">
        <is>
          <t>entidad-dia</t>
        </is>
      </c>
    </row>
    <row r="5489">
      <c r="A5489" t="inlineStr">
        <is>
          <t>PRAGMA</t>
        </is>
      </c>
      <c r="B5489" t="inlineStr">
        <is>
          <t>M1</t>
        </is>
      </c>
      <c r="C5489" t="inlineStr">
        <is>
          <t>Cali</t>
        </is>
      </c>
      <c r="D5489" t="inlineStr">
        <is>
          <t>8724</t>
        </is>
      </c>
      <c r="E5489" t="inlineStr">
        <is>
          <t>pagado</t>
        </is>
      </c>
      <c r="F5489" s="23" t="n">
        <v>46277</v>
      </c>
      <c r="G5489" s="24">
        <f>F5489-DATE(2026,8,31)</f>
        <v>12</v>
      </c>
      <c r="H5489" s="25" t="n">
        <v>136682168</v>
      </c>
      <c r="I5489" t="inlineStr">
        <is>
          <t>entidad-dia</t>
        </is>
      </c>
    </row>
    <row r="5490">
      <c r="A5490" t="inlineStr">
        <is>
          <t>PRAGMA</t>
        </is>
      </c>
      <c r="B5490" t="inlineStr">
        <is>
          <t>M1</t>
        </is>
      </c>
      <c r="C5490" t="inlineStr">
        <is>
          <t>Cali</t>
        </is>
      </c>
      <c r="D5490" t="inlineStr">
        <is>
          <t>8724</t>
        </is>
      </c>
      <c r="E5490" t="inlineStr">
        <is>
          <t>pagado</t>
        </is>
      </c>
      <c r="F5490" s="23" t="n">
        <v>46278</v>
      </c>
      <c r="G5490" s="24">
        <f>F5490-DATE(2026,8,31)</f>
        <v>13</v>
      </c>
      <c r="H5490" s="25" t="n">
        <v>3797805</v>
      </c>
      <c r="I5490" t="inlineStr">
        <is>
          <t>entidad-dia</t>
        </is>
      </c>
    </row>
    <row r="5491">
      <c r="A5491" t="inlineStr">
        <is>
          <t>PRAGMA</t>
        </is>
      </c>
      <c r="B5491" t="inlineStr">
        <is>
          <t>M1</t>
        </is>
      </c>
      <c r="C5491" t="inlineStr">
        <is>
          <t>Cali</t>
        </is>
      </c>
      <c r="D5491" t="inlineStr">
        <is>
          <t>8724</t>
        </is>
      </c>
      <c r="E5491" t="inlineStr">
        <is>
          <t>pagado</t>
        </is>
      </c>
      <c r="F5491" s="23" t="n">
        <v>46279</v>
      </c>
      <c r="G5491" s="24">
        <f>F5491-DATE(2026,8,31)</f>
        <v>14</v>
      </c>
      <c r="H5491" s="25" t="n">
        <v>135815948</v>
      </c>
      <c r="I5491" t="inlineStr">
        <is>
          <t>entidad-dia</t>
        </is>
      </c>
    </row>
    <row r="5492">
      <c r="A5492" t="inlineStr">
        <is>
          <t>PRAGMA</t>
        </is>
      </c>
      <c r="B5492" t="inlineStr">
        <is>
          <t>M1</t>
        </is>
      </c>
      <c r="C5492" t="inlineStr">
        <is>
          <t>Cali</t>
        </is>
      </c>
      <c r="D5492" t="inlineStr">
        <is>
          <t>8724</t>
        </is>
      </c>
      <c r="E5492" t="inlineStr">
        <is>
          <t>pagado</t>
        </is>
      </c>
      <c r="F5492" s="23" t="n">
        <v>46280</v>
      </c>
      <c r="G5492" s="24">
        <f>F5492-DATE(2026,8,31)</f>
        <v>15</v>
      </c>
      <c r="H5492" s="25" t="n">
        <v>251050191</v>
      </c>
      <c r="I5492" t="inlineStr">
        <is>
          <t>entidad-dia</t>
        </is>
      </c>
    </row>
    <row r="5493">
      <c r="A5493" t="inlineStr">
        <is>
          <t>PRAGMA</t>
        </is>
      </c>
      <c r="B5493" t="inlineStr">
        <is>
          <t>M1</t>
        </is>
      </c>
      <c r="C5493" t="inlineStr">
        <is>
          <t>Cali</t>
        </is>
      </c>
      <c r="D5493" t="inlineStr">
        <is>
          <t>8725</t>
        </is>
      </c>
      <c r="E5493" t="inlineStr">
        <is>
          <t>pagado</t>
        </is>
      </c>
      <c r="F5493" s="23" t="n">
        <v>46266</v>
      </c>
      <c r="G5493" s="24">
        <f>F5493-DATE(2026,8,31)</f>
        <v>1</v>
      </c>
      <c r="H5493" s="25" t="n">
        <v>221898009</v>
      </c>
      <c r="I5493" t="inlineStr">
        <is>
          <t>entidad-dia</t>
        </is>
      </c>
    </row>
    <row r="5494">
      <c r="A5494" t="inlineStr">
        <is>
          <t>PRAGMA</t>
        </is>
      </c>
      <c r="B5494" t="inlineStr">
        <is>
          <t>M1</t>
        </is>
      </c>
      <c r="C5494" t="inlineStr">
        <is>
          <t>Cali</t>
        </is>
      </c>
      <c r="D5494" t="inlineStr">
        <is>
          <t>8725</t>
        </is>
      </c>
      <c r="E5494" t="inlineStr">
        <is>
          <t>pagado</t>
        </is>
      </c>
      <c r="F5494" s="23" t="n">
        <v>46267</v>
      </c>
      <c r="G5494" s="24">
        <f>F5494-DATE(2026,8,31)</f>
        <v>2</v>
      </c>
      <c r="H5494" s="25" t="n">
        <v>165741733</v>
      </c>
      <c r="I5494" t="inlineStr">
        <is>
          <t>entidad-dia</t>
        </is>
      </c>
    </row>
    <row r="5495">
      <c r="A5495" t="inlineStr">
        <is>
          <t>PRAGMA</t>
        </is>
      </c>
      <c r="B5495" t="inlineStr">
        <is>
          <t>M1</t>
        </is>
      </c>
      <c r="C5495" t="inlineStr">
        <is>
          <t>Cali</t>
        </is>
      </c>
      <c r="D5495" t="inlineStr">
        <is>
          <t>8725</t>
        </is>
      </c>
      <c r="E5495" t="inlineStr">
        <is>
          <t>pagado</t>
        </is>
      </c>
      <c r="F5495" s="23" t="n">
        <v>46268</v>
      </c>
      <c r="G5495" s="24">
        <f>F5495-DATE(2026,8,31)</f>
        <v>3</v>
      </c>
      <c r="H5495" s="25" t="n">
        <v>158539506</v>
      </c>
      <c r="I5495" t="inlineStr">
        <is>
          <t>entidad-dia</t>
        </is>
      </c>
    </row>
    <row r="5496">
      <c r="A5496" t="inlineStr">
        <is>
          <t>PRAGMA</t>
        </is>
      </c>
      <c r="B5496" t="inlineStr">
        <is>
          <t>M1</t>
        </is>
      </c>
      <c r="C5496" t="inlineStr">
        <is>
          <t>Cali</t>
        </is>
      </c>
      <c r="D5496" t="inlineStr">
        <is>
          <t>8725</t>
        </is>
      </c>
      <c r="E5496" t="inlineStr">
        <is>
          <t>pagado</t>
        </is>
      </c>
      <c r="F5496" s="23" t="n">
        <v>46269</v>
      </c>
      <c r="G5496" s="24">
        <f>F5496-DATE(2026,8,31)</f>
        <v>4</v>
      </c>
      <c r="H5496" s="25" t="n">
        <v>149280141</v>
      </c>
      <c r="I5496" t="inlineStr">
        <is>
          <t>entidad-dia</t>
        </is>
      </c>
    </row>
    <row r="5497">
      <c r="A5497" t="inlineStr">
        <is>
          <t>PRAGMA</t>
        </is>
      </c>
      <c r="B5497" t="inlineStr">
        <is>
          <t>M1</t>
        </is>
      </c>
      <c r="C5497" t="inlineStr">
        <is>
          <t>Cali</t>
        </is>
      </c>
      <c r="D5497" t="inlineStr">
        <is>
          <t>8725</t>
        </is>
      </c>
      <c r="E5497" t="inlineStr">
        <is>
          <t>pagado</t>
        </is>
      </c>
      <c r="F5497" s="23" t="n">
        <v>46270</v>
      </c>
      <c r="G5497" s="24">
        <f>F5497-DATE(2026,8,31)</f>
        <v>5</v>
      </c>
      <c r="H5497" s="25" t="n">
        <v>127679605</v>
      </c>
      <c r="I5497" t="inlineStr">
        <is>
          <t>entidad-dia</t>
        </is>
      </c>
    </row>
    <row r="5498">
      <c r="A5498" t="inlineStr">
        <is>
          <t>PRAGMA</t>
        </is>
      </c>
      <c r="B5498" t="inlineStr">
        <is>
          <t>M1</t>
        </is>
      </c>
      <c r="C5498" t="inlineStr">
        <is>
          <t>Cali</t>
        </is>
      </c>
      <c r="D5498" t="inlineStr">
        <is>
          <t>8725</t>
        </is>
      </c>
      <c r="E5498" t="inlineStr">
        <is>
          <t>pagado</t>
        </is>
      </c>
      <c r="F5498" s="23" t="n">
        <v>46271</v>
      </c>
      <c r="G5498" s="24">
        <f>F5498-DATE(2026,8,31)</f>
        <v>6</v>
      </c>
      <c r="H5498" s="25" t="n">
        <v>7115457</v>
      </c>
      <c r="I5498" t="inlineStr">
        <is>
          <t>entidad-dia</t>
        </is>
      </c>
    </row>
    <row r="5499">
      <c r="A5499" t="inlineStr">
        <is>
          <t>PRAGMA</t>
        </is>
      </c>
      <c r="B5499" t="inlineStr">
        <is>
          <t>M1</t>
        </is>
      </c>
      <c r="C5499" t="inlineStr">
        <is>
          <t>Cali</t>
        </is>
      </c>
      <c r="D5499" t="inlineStr">
        <is>
          <t>8725</t>
        </is>
      </c>
      <c r="E5499" t="inlineStr">
        <is>
          <t>pagado</t>
        </is>
      </c>
      <c r="F5499" s="23" t="n">
        <v>46272</v>
      </c>
      <c r="G5499" s="24">
        <f>F5499-DATE(2026,8,31)</f>
        <v>7</v>
      </c>
      <c r="H5499" s="25" t="n">
        <v>113097788</v>
      </c>
      <c r="I5499" t="inlineStr">
        <is>
          <t>entidad-dia</t>
        </is>
      </c>
    </row>
    <row r="5500">
      <c r="A5500" t="inlineStr">
        <is>
          <t>PRAGMA</t>
        </is>
      </c>
      <c r="B5500" t="inlineStr">
        <is>
          <t>M1</t>
        </is>
      </c>
      <c r="C5500" t="inlineStr">
        <is>
          <t>Cali</t>
        </is>
      </c>
      <c r="D5500" t="inlineStr">
        <is>
          <t>8725</t>
        </is>
      </c>
      <c r="E5500" t="inlineStr">
        <is>
          <t>pagado</t>
        </is>
      </c>
      <c r="F5500" s="23" t="n">
        <v>46273</v>
      </c>
      <c r="G5500" s="24">
        <f>F5500-DATE(2026,8,31)</f>
        <v>8</v>
      </c>
      <c r="H5500" s="25" t="n">
        <v>136912501</v>
      </c>
      <c r="I5500" t="inlineStr">
        <is>
          <t>entidad-dia</t>
        </is>
      </c>
    </row>
    <row r="5501">
      <c r="A5501" t="inlineStr">
        <is>
          <t>PRAGMA</t>
        </is>
      </c>
      <c r="B5501" t="inlineStr">
        <is>
          <t>M1</t>
        </is>
      </c>
      <c r="C5501" t="inlineStr">
        <is>
          <t>Cali</t>
        </is>
      </c>
      <c r="D5501" t="inlineStr">
        <is>
          <t>8725</t>
        </is>
      </c>
      <c r="E5501" t="inlineStr">
        <is>
          <t>pagado</t>
        </is>
      </c>
      <c r="F5501" s="23" t="n">
        <v>46274</v>
      </c>
      <c r="G5501" s="24">
        <f>F5501-DATE(2026,8,31)</f>
        <v>9</v>
      </c>
      <c r="H5501" s="25" t="n">
        <v>138296119</v>
      </c>
      <c r="I5501" t="inlineStr">
        <is>
          <t>entidad-dia</t>
        </is>
      </c>
    </row>
    <row r="5502">
      <c r="A5502" t="inlineStr">
        <is>
          <t>PRAGMA</t>
        </is>
      </c>
      <c r="B5502" t="inlineStr">
        <is>
          <t>M1</t>
        </is>
      </c>
      <c r="C5502" t="inlineStr">
        <is>
          <t>Cali</t>
        </is>
      </c>
      <c r="D5502" t="inlineStr">
        <is>
          <t>8725</t>
        </is>
      </c>
      <c r="E5502" t="inlineStr">
        <is>
          <t>pagado</t>
        </is>
      </c>
      <c r="F5502" s="23" t="n">
        <v>46275</v>
      </c>
      <c r="G5502" s="24">
        <f>F5502-DATE(2026,8,31)</f>
        <v>10</v>
      </c>
      <c r="H5502" s="25" t="n">
        <v>116586931</v>
      </c>
      <c r="I5502" t="inlineStr">
        <is>
          <t>entidad-dia</t>
        </is>
      </c>
    </row>
    <row r="5503">
      <c r="A5503" t="inlineStr">
        <is>
          <t>PRAGMA</t>
        </is>
      </c>
      <c r="B5503" t="inlineStr">
        <is>
          <t>M1</t>
        </is>
      </c>
      <c r="C5503" t="inlineStr">
        <is>
          <t>Cali</t>
        </is>
      </c>
      <c r="D5503" t="inlineStr">
        <is>
          <t>8725</t>
        </is>
      </c>
      <c r="E5503" t="inlineStr">
        <is>
          <t>pagado</t>
        </is>
      </c>
      <c r="F5503" s="23" t="n">
        <v>46276</v>
      </c>
      <c r="G5503" s="24">
        <f>F5503-DATE(2026,8,31)</f>
        <v>11</v>
      </c>
      <c r="H5503" s="25" t="n">
        <v>119828953</v>
      </c>
      <c r="I5503" t="inlineStr">
        <is>
          <t>entidad-dia</t>
        </is>
      </c>
    </row>
    <row r="5504">
      <c r="A5504" t="inlineStr">
        <is>
          <t>PRAGMA</t>
        </is>
      </c>
      <c r="B5504" t="inlineStr">
        <is>
          <t>M1</t>
        </is>
      </c>
      <c r="C5504" t="inlineStr">
        <is>
          <t>Cali</t>
        </is>
      </c>
      <c r="D5504" t="inlineStr">
        <is>
          <t>8725</t>
        </is>
      </c>
      <c r="E5504" t="inlineStr">
        <is>
          <t>pagado</t>
        </is>
      </c>
      <c r="F5504" s="23" t="n">
        <v>46277</v>
      </c>
      <c r="G5504" s="24">
        <f>F5504-DATE(2026,8,31)</f>
        <v>12</v>
      </c>
      <c r="H5504" s="25" t="n">
        <v>109017418</v>
      </c>
      <c r="I5504" t="inlineStr">
        <is>
          <t>entidad-dia</t>
        </is>
      </c>
    </row>
    <row r="5505">
      <c r="A5505" t="inlineStr">
        <is>
          <t>PRAGMA</t>
        </is>
      </c>
      <c r="B5505" t="inlineStr">
        <is>
          <t>M1</t>
        </is>
      </c>
      <c r="C5505" t="inlineStr">
        <is>
          <t>Cali</t>
        </is>
      </c>
      <c r="D5505" t="inlineStr">
        <is>
          <t>8725</t>
        </is>
      </c>
      <c r="E5505" t="inlineStr">
        <is>
          <t>pagado</t>
        </is>
      </c>
      <c r="F5505" s="23" t="n">
        <v>46278</v>
      </c>
      <c r="G5505" s="24">
        <f>F5505-DATE(2026,8,31)</f>
        <v>13</v>
      </c>
      <c r="H5505" s="25" t="n">
        <v>5412042</v>
      </c>
      <c r="I5505" t="inlineStr">
        <is>
          <t>entidad-dia</t>
        </is>
      </c>
    </row>
    <row r="5506">
      <c r="A5506" t="inlineStr">
        <is>
          <t>PRAGMA</t>
        </is>
      </c>
      <c r="B5506" t="inlineStr">
        <is>
          <t>M1</t>
        </is>
      </c>
      <c r="C5506" t="inlineStr">
        <is>
          <t>Cali</t>
        </is>
      </c>
      <c r="D5506" t="inlineStr">
        <is>
          <t>8725</t>
        </is>
      </c>
      <c r="E5506" t="inlineStr">
        <is>
          <t>pagado</t>
        </is>
      </c>
      <c r="F5506" s="23" t="n">
        <v>46279</v>
      </c>
      <c r="G5506" s="24">
        <f>F5506-DATE(2026,8,31)</f>
        <v>14</v>
      </c>
      <c r="H5506" s="25" t="n">
        <v>110995575</v>
      </c>
      <c r="I5506" t="inlineStr">
        <is>
          <t>entidad-dia</t>
        </is>
      </c>
    </row>
    <row r="5507">
      <c r="A5507" t="inlineStr">
        <is>
          <t>PRAGMA</t>
        </is>
      </c>
      <c r="B5507" t="inlineStr">
        <is>
          <t>M1</t>
        </is>
      </c>
      <c r="C5507" t="inlineStr">
        <is>
          <t>Cali</t>
        </is>
      </c>
      <c r="D5507" t="inlineStr">
        <is>
          <t>8725</t>
        </is>
      </c>
      <c r="E5507" t="inlineStr">
        <is>
          <t>pagado</t>
        </is>
      </c>
      <c r="F5507" s="23" t="n">
        <v>46280</v>
      </c>
      <c r="G5507" s="24">
        <f>F5507-DATE(2026,8,31)</f>
        <v>15</v>
      </c>
      <c r="H5507" s="25" t="n">
        <v>180861372</v>
      </c>
      <c r="I5507" t="inlineStr">
        <is>
          <t>entidad-dia</t>
        </is>
      </c>
    </row>
    <row r="5508">
      <c r="A5508" t="inlineStr">
        <is>
          <t>PRAGMA</t>
        </is>
      </c>
      <c r="B5508" t="inlineStr">
        <is>
          <t>M1</t>
        </is>
      </c>
      <c r="C5508" t="inlineStr">
        <is>
          <t>Cali</t>
        </is>
      </c>
      <c r="D5508" t="inlineStr">
        <is>
          <t>8726</t>
        </is>
      </c>
      <c r="E5508" t="inlineStr">
        <is>
          <t>pagado</t>
        </is>
      </c>
      <c r="F5508" s="23" t="n">
        <v>46266</v>
      </c>
      <c r="G5508" s="24">
        <f>F5508-DATE(2026,8,31)</f>
        <v>1</v>
      </c>
      <c r="H5508" s="25" t="n">
        <v>245368960</v>
      </c>
      <c r="I5508" t="inlineStr">
        <is>
          <t>entidad-dia</t>
        </is>
      </c>
    </row>
    <row r="5509">
      <c r="A5509" t="inlineStr">
        <is>
          <t>PRAGMA</t>
        </is>
      </c>
      <c r="B5509" t="inlineStr">
        <is>
          <t>M1</t>
        </is>
      </c>
      <c r="C5509" t="inlineStr">
        <is>
          <t>Cali</t>
        </is>
      </c>
      <c r="D5509" t="inlineStr">
        <is>
          <t>8726</t>
        </is>
      </c>
      <c r="E5509" t="inlineStr">
        <is>
          <t>pagado</t>
        </is>
      </c>
      <c r="F5509" s="23" t="n">
        <v>46267</v>
      </c>
      <c r="G5509" s="24">
        <f>F5509-DATE(2026,8,31)</f>
        <v>2</v>
      </c>
      <c r="H5509" s="25" t="n">
        <v>192779922</v>
      </c>
      <c r="I5509" t="inlineStr">
        <is>
          <t>entidad-dia</t>
        </is>
      </c>
    </row>
    <row r="5510">
      <c r="A5510" t="inlineStr">
        <is>
          <t>PRAGMA</t>
        </is>
      </c>
      <c r="B5510" t="inlineStr">
        <is>
          <t>M1</t>
        </is>
      </c>
      <c r="C5510" t="inlineStr">
        <is>
          <t>Cali</t>
        </is>
      </c>
      <c r="D5510" t="inlineStr">
        <is>
          <t>8726</t>
        </is>
      </c>
      <c r="E5510" t="inlineStr">
        <is>
          <t>pagado</t>
        </is>
      </c>
      <c r="F5510" s="23" t="n">
        <v>46268</v>
      </c>
      <c r="G5510" s="24">
        <f>F5510-DATE(2026,8,31)</f>
        <v>3</v>
      </c>
      <c r="H5510" s="25" t="n">
        <v>179395905</v>
      </c>
      <c r="I5510" t="inlineStr">
        <is>
          <t>entidad-dia</t>
        </is>
      </c>
    </row>
    <row r="5511">
      <c r="A5511" t="inlineStr">
        <is>
          <t>PRAGMA</t>
        </is>
      </c>
      <c r="B5511" t="inlineStr">
        <is>
          <t>M1</t>
        </is>
      </c>
      <c r="C5511" t="inlineStr">
        <is>
          <t>Cali</t>
        </is>
      </c>
      <c r="D5511" t="inlineStr">
        <is>
          <t>8726</t>
        </is>
      </c>
      <c r="E5511" t="inlineStr">
        <is>
          <t>pagado</t>
        </is>
      </c>
      <c r="F5511" s="23" t="n">
        <v>46269</v>
      </c>
      <c r="G5511" s="24">
        <f>F5511-DATE(2026,8,31)</f>
        <v>4</v>
      </c>
      <c r="H5511" s="25" t="n">
        <v>175541117</v>
      </c>
      <c r="I5511" t="inlineStr">
        <is>
          <t>entidad-dia</t>
        </is>
      </c>
    </row>
    <row r="5512">
      <c r="A5512" t="inlineStr">
        <is>
          <t>PRAGMA</t>
        </is>
      </c>
      <c r="B5512" t="inlineStr">
        <is>
          <t>M1</t>
        </is>
      </c>
      <c r="C5512" t="inlineStr">
        <is>
          <t>Cali</t>
        </is>
      </c>
      <c r="D5512" t="inlineStr">
        <is>
          <t>8726</t>
        </is>
      </c>
      <c r="E5512" t="inlineStr">
        <is>
          <t>pagado</t>
        </is>
      </c>
      <c r="F5512" s="23" t="n">
        <v>46270</v>
      </c>
      <c r="G5512" s="24">
        <f>F5512-DATE(2026,8,31)</f>
        <v>5</v>
      </c>
      <c r="H5512" s="25" t="n">
        <v>158120693</v>
      </c>
      <c r="I5512" t="inlineStr">
        <is>
          <t>entidad-dia</t>
        </is>
      </c>
    </row>
    <row r="5513">
      <c r="A5513" t="inlineStr">
        <is>
          <t>PRAGMA</t>
        </is>
      </c>
      <c r="B5513" t="inlineStr">
        <is>
          <t>M1</t>
        </is>
      </c>
      <c r="C5513" t="inlineStr">
        <is>
          <t>Cali</t>
        </is>
      </c>
      <c r="D5513" t="inlineStr">
        <is>
          <t>8726</t>
        </is>
      </c>
      <c r="E5513" t="inlineStr">
        <is>
          <t>pagado</t>
        </is>
      </c>
      <c r="F5513" s="23" t="n">
        <v>46271</v>
      </c>
      <c r="G5513" s="24">
        <f>F5513-DATE(2026,8,31)</f>
        <v>6</v>
      </c>
      <c r="H5513" s="25" t="n">
        <v>10078015</v>
      </c>
      <c r="I5513" t="inlineStr">
        <is>
          <t>entidad-dia</t>
        </is>
      </c>
    </row>
    <row r="5514">
      <c r="A5514" t="inlineStr">
        <is>
          <t>PRAGMA</t>
        </is>
      </c>
      <c r="B5514" t="inlineStr">
        <is>
          <t>M1</t>
        </is>
      </c>
      <c r="C5514" t="inlineStr">
        <is>
          <t>Cali</t>
        </is>
      </c>
      <c r="D5514" t="inlineStr">
        <is>
          <t>8726</t>
        </is>
      </c>
      <c r="E5514" t="inlineStr">
        <is>
          <t>pagado</t>
        </is>
      </c>
      <c r="F5514" s="23" t="n">
        <v>46272</v>
      </c>
      <c r="G5514" s="24">
        <f>F5514-DATE(2026,8,31)</f>
        <v>7</v>
      </c>
      <c r="H5514" s="25" t="n">
        <v>133560745</v>
      </c>
      <c r="I5514" t="inlineStr">
        <is>
          <t>entidad-dia</t>
        </is>
      </c>
    </row>
    <row r="5515">
      <c r="A5515" t="inlineStr">
        <is>
          <t>PRAGMA</t>
        </is>
      </c>
      <c r="B5515" t="inlineStr">
        <is>
          <t>M1</t>
        </is>
      </c>
      <c r="C5515" t="inlineStr">
        <is>
          <t>Cali</t>
        </is>
      </c>
      <c r="D5515" t="inlineStr">
        <is>
          <t>8726</t>
        </is>
      </c>
      <c r="E5515" t="inlineStr">
        <is>
          <t>pagado</t>
        </is>
      </c>
      <c r="F5515" s="23" t="n">
        <v>46273</v>
      </c>
      <c r="G5515" s="24">
        <f>F5515-DATE(2026,8,31)</f>
        <v>8</v>
      </c>
      <c r="H5515" s="25" t="n">
        <v>164158920</v>
      </c>
      <c r="I5515" t="inlineStr">
        <is>
          <t>entidad-dia</t>
        </is>
      </c>
    </row>
    <row r="5516">
      <c r="A5516" t="inlineStr">
        <is>
          <t>PRAGMA</t>
        </is>
      </c>
      <c r="B5516" t="inlineStr">
        <is>
          <t>M1</t>
        </is>
      </c>
      <c r="C5516" t="inlineStr">
        <is>
          <t>Cali</t>
        </is>
      </c>
      <c r="D5516" t="inlineStr">
        <is>
          <t>8726</t>
        </is>
      </c>
      <c r="E5516" t="inlineStr">
        <is>
          <t>pagado</t>
        </is>
      </c>
      <c r="F5516" s="23" t="n">
        <v>46274</v>
      </c>
      <c r="G5516" s="24">
        <f>F5516-DATE(2026,8,31)</f>
        <v>9</v>
      </c>
      <c r="H5516" s="25" t="n">
        <v>165308983</v>
      </c>
      <c r="I5516" t="inlineStr">
        <is>
          <t>entidad-dia</t>
        </is>
      </c>
    </row>
    <row r="5517">
      <c r="A5517" t="inlineStr">
        <is>
          <t>PRAGMA</t>
        </is>
      </c>
      <c r="B5517" t="inlineStr">
        <is>
          <t>M1</t>
        </is>
      </c>
      <c r="C5517" t="inlineStr">
        <is>
          <t>Cali</t>
        </is>
      </c>
      <c r="D5517" t="inlineStr">
        <is>
          <t>8726</t>
        </is>
      </c>
      <c r="E5517" t="inlineStr">
        <is>
          <t>pagado</t>
        </is>
      </c>
      <c r="F5517" s="23" t="n">
        <v>46275</v>
      </c>
      <c r="G5517" s="24">
        <f>F5517-DATE(2026,8,31)</f>
        <v>10</v>
      </c>
      <c r="H5517" s="25" t="n">
        <v>125712097</v>
      </c>
      <c r="I5517" t="inlineStr">
        <is>
          <t>entidad-dia</t>
        </is>
      </c>
    </row>
    <row r="5518">
      <c r="A5518" t="inlineStr">
        <is>
          <t>PRAGMA</t>
        </is>
      </c>
      <c r="B5518" t="inlineStr">
        <is>
          <t>M1</t>
        </is>
      </c>
      <c r="C5518" t="inlineStr">
        <is>
          <t>Cali</t>
        </is>
      </c>
      <c r="D5518" t="inlineStr">
        <is>
          <t>8726</t>
        </is>
      </c>
      <c r="E5518" t="inlineStr">
        <is>
          <t>pagado</t>
        </is>
      </c>
      <c r="F5518" s="23" t="n">
        <v>46276</v>
      </c>
      <c r="G5518" s="24">
        <f>F5518-DATE(2026,8,31)</f>
        <v>11</v>
      </c>
      <c r="H5518" s="25" t="n">
        <v>147322959</v>
      </c>
      <c r="I5518" t="inlineStr">
        <is>
          <t>entidad-dia</t>
        </is>
      </c>
    </row>
    <row r="5519">
      <c r="A5519" t="inlineStr">
        <is>
          <t>PRAGMA</t>
        </is>
      </c>
      <c r="B5519" t="inlineStr">
        <is>
          <t>M1</t>
        </is>
      </c>
      <c r="C5519" t="inlineStr">
        <is>
          <t>Cali</t>
        </is>
      </c>
      <c r="D5519" t="inlineStr">
        <is>
          <t>8726</t>
        </is>
      </c>
      <c r="E5519" t="inlineStr">
        <is>
          <t>pagado</t>
        </is>
      </c>
      <c r="F5519" s="23" t="n">
        <v>46277</v>
      </c>
      <c r="G5519" s="24">
        <f>F5519-DATE(2026,8,31)</f>
        <v>12</v>
      </c>
      <c r="H5519" s="25" t="n">
        <v>123339746</v>
      </c>
      <c r="I5519" t="inlineStr">
        <is>
          <t>entidad-dia</t>
        </is>
      </c>
    </row>
    <row r="5520">
      <c r="A5520" t="inlineStr">
        <is>
          <t>PRAGMA</t>
        </is>
      </c>
      <c r="B5520" t="inlineStr">
        <is>
          <t>M1</t>
        </is>
      </c>
      <c r="C5520" t="inlineStr">
        <is>
          <t>Cali</t>
        </is>
      </c>
      <c r="D5520" t="inlineStr">
        <is>
          <t>8726</t>
        </is>
      </c>
      <c r="E5520" t="inlineStr">
        <is>
          <t>pagado</t>
        </is>
      </c>
      <c r="F5520" s="23" t="n">
        <v>46278</v>
      </c>
      <c r="G5520" s="24">
        <f>F5520-DATE(2026,8,31)</f>
        <v>13</v>
      </c>
      <c r="H5520" s="25" t="n">
        <v>8144280</v>
      </c>
      <c r="I5520" t="inlineStr">
        <is>
          <t>entidad-dia</t>
        </is>
      </c>
    </row>
    <row r="5521">
      <c r="A5521" t="inlineStr">
        <is>
          <t>PRAGMA</t>
        </is>
      </c>
      <c r="B5521" t="inlineStr">
        <is>
          <t>M1</t>
        </is>
      </c>
      <c r="C5521" t="inlineStr">
        <is>
          <t>Cali</t>
        </is>
      </c>
      <c r="D5521" t="inlineStr">
        <is>
          <t>8726</t>
        </is>
      </c>
      <c r="E5521" t="inlineStr">
        <is>
          <t>pagado</t>
        </is>
      </c>
      <c r="F5521" s="23" t="n">
        <v>46279</v>
      </c>
      <c r="G5521" s="24">
        <f>F5521-DATE(2026,8,31)</f>
        <v>14</v>
      </c>
      <c r="H5521" s="25" t="n">
        <v>120923671</v>
      </c>
      <c r="I5521" t="inlineStr">
        <is>
          <t>entidad-dia</t>
        </is>
      </c>
    </row>
    <row r="5522">
      <c r="A5522" t="inlineStr">
        <is>
          <t>PRAGMA</t>
        </is>
      </c>
      <c r="B5522" t="inlineStr">
        <is>
          <t>M1</t>
        </is>
      </c>
      <c r="C5522" t="inlineStr">
        <is>
          <t>Cali</t>
        </is>
      </c>
      <c r="D5522" t="inlineStr">
        <is>
          <t>8726</t>
        </is>
      </c>
      <c r="E5522" t="inlineStr">
        <is>
          <t>pagado</t>
        </is>
      </c>
      <c r="F5522" s="23" t="n">
        <v>46280</v>
      </c>
      <c r="G5522" s="24">
        <f>F5522-DATE(2026,8,31)</f>
        <v>15</v>
      </c>
      <c r="H5522" s="25" t="n">
        <v>187171608</v>
      </c>
      <c r="I5522" t="inlineStr">
        <is>
          <t>entidad-dia</t>
        </is>
      </c>
    </row>
    <row r="5523">
      <c r="A5523" t="inlineStr">
        <is>
          <t>PRAGMA</t>
        </is>
      </c>
      <c r="B5523" t="inlineStr">
        <is>
          <t>M1</t>
        </is>
      </c>
      <c r="C5523" t="inlineStr">
        <is>
          <t>Cali</t>
        </is>
      </c>
      <c r="D5523" t="inlineStr">
        <is>
          <t>8727</t>
        </is>
      </c>
      <c r="E5523" t="inlineStr">
        <is>
          <t>pagado</t>
        </is>
      </c>
      <c r="F5523" s="23" t="n">
        <v>46266</v>
      </c>
      <c r="G5523" s="24">
        <f>F5523-DATE(2026,8,31)</f>
        <v>1</v>
      </c>
      <c r="H5523" s="25" t="n">
        <v>262034543</v>
      </c>
      <c r="I5523" t="inlineStr">
        <is>
          <t>entidad-dia</t>
        </is>
      </c>
    </row>
    <row r="5524">
      <c r="A5524" t="inlineStr">
        <is>
          <t>PRAGMA</t>
        </is>
      </c>
      <c r="B5524" t="inlineStr">
        <is>
          <t>M1</t>
        </is>
      </c>
      <c r="C5524" t="inlineStr">
        <is>
          <t>Cali</t>
        </is>
      </c>
      <c r="D5524" t="inlineStr">
        <is>
          <t>8727</t>
        </is>
      </c>
      <c r="E5524" t="inlineStr">
        <is>
          <t>pagado</t>
        </is>
      </c>
      <c r="F5524" s="23" t="n">
        <v>46267</v>
      </c>
      <c r="G5524" s="24">
        <f>F5524-DATE(2026,8,31)</f>
        <v>2</v>
      </c>
      <c r="H5524" s="25" t="n">
        <v>214658588</v>
      </c>
      <c r="I5524" t="inlineStr">
        <is>
          <t>entidad-dia</t>
        </is>
      </c>
    </row>
    <row r="5525">
      <c r="A5525" t="inlineStr">
        <is>
          <t>PRAGMA</t>
        </is>
      </c>
      <c r="B5525" t="inlineStr">
        <is>
          <t>M1</t>
        </is>
      </c>
      <c r="C5525" t="inlineStr">
        <is>
          <t>Cali</t>
        </is>
      </c>
      <c r="D5525" t="inlineStr">
        <is>
          <t>8727</t>
        </is>
      </c>
      <c r="E5525" t="inlineStr">
        <is>
          <t>pagado</t>
        </is>
      </c>
      <c r="F5525" s="23" t="n">
        <v>46268</v>
      </c>
      <c r="G5525" s="24">
        <f>F5525-DATE(2026,8,31)</f>
        <v>3</v>
      </c>
      <c r="H5525" s="25" t="n">
        <v>198286413</v>
      </c>
      <c r="I5525" t="inlineStr">
        <is>
          <t>entidad-dia</t>
        </is>
      </c>
    </row>
    <row r="5526">
      <c r="A5526" t="inlineStr">
        <is>
          <t>PRAGMA</t>
        </is>
      </c>
      <c r="B5526" t="inlineStr">
        <is>
          <t>M1</t>
        </is>
      </c>
      <c r="C5526" t="inlineStr">
        <is>
          <t>Cali</t>
        </is>
      </c>
      <c r="D5526" t="inlineStr">
        <is>
          <t>8727</t>
        </is>
      </c>
      <c r="E5526" t="inlineStr">
        <is>
          <t>pagado</t>
        </is>
      </c>
      <c r="F5526" s="23" t="n">
        <v>46269</v>
      </c>
      <c r="G5526" s="24">
        <f>F5526-DATE(2026,8,31)</f>
        <v>4</v>
      </c>
      <c r="H5526" s="25" t="n">
        <v>196516796</v>
      </c>
      <c r="I5526" t="inlineStr">
        <is>
          <t>entidad-dia</t>
        </is>
      </c>
    </row>
    <row r="5527">
      <c r="A5527" t="inlineStr">
        <is>
          <t>PRAGMA</t>
        </is>
      </c>
      <c r="B5527" t="inlineStr">
        <is>
          <t>M1</t>
        </is>
      </c>
      <c r="C5527" t="inlineStr">
        <is>
          <t>Cali</t>
        </is>
      </c>
      <c r="D5527" t="inlineStr">
        <is>
          <t>8727</t>
        </is>
      </c>
      <c r="E5527" t="inlineStr">
        <is>
          <t>pagado</t>
        </is>
      </c>
      <c r="F5527" s="23" t="n">
        <v>46270</v>
      </c>
      <c r="G5527" s="24">
        <f>F5527-DATE(2026,8,31)</f>
        <v>5</v>
      </c>
      <c r="H5527" s="25" t="n">
        <v>170443501</v>
      </c>
      <c r="I5527" t="inlineStr">
        <is>
          <t>entidad-dia</t>
        </is>
      </c>
    </row>
    <row r="5528">
      <c r="A5528" t="inlineStr">
        <is>
          <t>PRAGMA</t>
        </is>
      </c>
      <c r="B5528" t="inlineStr">
        <is>
          <t>M1</t>
        </is>
      </c>
      <c r="C5528" t="inlineStr">
        <is>
          <t>Cali</t>
        </is>
      </c>
      <c r="D5528" t="inlineStr">
        <is>
          <t>8727</t>
        </is>
      </c>
      <c r="E5528" t="inlineStr">
        <is>
          <t>pagado</t>
        </is>
      </c>
      <c r="F5528" s="23" t="n">
        <v>46271</v>
      </c>
      <c r="G5528" s="24">
        <f>F5528-DATE(2026,8,31)</f>
        <v>6</v>
      </c>
      <c r="H5528" s="25" t="n">
        <v>9249734</v>
      </c>
      <c r="I5528" t="inlineStr">
        <is>
          <t>entidad-dia</t>
        </is>
      </c>
    </row>
    <row r="5529">
      <c r="A5529" t="inlineStr">
        <is>
          <t>PRAGMA</t>
        </is>
      </c>
      <c r="B5529" t="inlineStr">
        <is>
          <t>M1</t>
        </is>
      </c>
      <c r="C5529" t="inlineStr">
        <is>
          <t>Cali</t>
        </is>
      </c>
      <c r="D5529" t="inlineStr">
        <is>
          <t>8727</t>
        </is>
      </c>
      <c r="E5529" t="inlineStr">
        <is>
          <t>pagado</t>
        </is>
      </c>
      <c r="F5529" s="23" t="n">
        <v>46272</v>
      </c>
      <c r="G5529" s="24">
        <f>F5529-DATE(2026,8,31)</f>
        <v>7</v>
      </c>
      <c r="H5529" s="25" t="n">
        <v>151891417</v>
      </c>
      <c r="I5529" t="inlineStr">
        <is>
          <t>entidad-dia</t>
        </is>
      </c>
    </row>
    <row r="5530">
      <c r="A5530" t="inlineStr">
        <is>
          <t>PRAGMA</t>
        </is>
      </c>
      <c r="B5530" t="inlineStr">
        <is>
          <t>M1</t>
        </is>
      </c>
      <c r="C5530" t="inlineStr">
        <is>
          <t>Cali</t>
        </is>
      </c>
      <c r="D5530" t="inlineStr">
        <is>
          <t>8727</t>
        </is>
      </c>
      <c r="E5530" t="inlineStr">
        <is>
          <t>pagado</t>
        </is>
      </c>
      <c r="F5530" s="23" t="n">
        <v>46273</v>
      </c>
      <c r="G5530" s="24">
        <f>F5530-DATE(2026,8,31)</f>
        <v>8</v>
      </c>
      <c r="H5530" s="25" t="n">
        <v>178683372</v>
      </c>
      <c r="I5530" t="inlineStr">
        <is>
          <t>entidad-dia</t>
        </is>
      </c>
    </row>
    <row r="5531">
      <c r="A5531" t="inlineStr">
        <is>
          <t>PRAGMA</t>
        </is>
      </c>
      <c r="B5531" t="inlineStr">
        <is>
          <t>M1</t>
        </is>
      </c>
      <c r="C5531" t="inlineStr">
        <is>
          <t>Cali</t>
        </is>
      </c>
      <c r="D5531" t="inlineStr">
        <is>
          <t>8727</t>
        </is>
      </c>
      <c r="E5531" t="inlineStr">
        <is>
          <t>pagado</t>
        </is>
      </c>
      <c r="F5531" s="23" t="n">
        <v>46274</v>
      </c>
      <c r="G5531" s="24">
        <f>F5531-DATE(2026,8,31)</f>
        <v>9</v>
      </c>
      <c r="H5531" s="25" t="n">
        <v>180559032</v>
      </c>
      <c r="I5531" t="inlineStr">
        <is>
          <t>entidad-dia</t>
        </is>
      </c>
    </row>
    <row r="5532">
      <c r="A5532" t="inlineStr">
        <is>
          <t>PRAGMA</t>
        </is>
      </c>
      <c r="B5532" t="inlineStr">
        <is>
          <t>M1</t>
        </is>
      </c>
      <c r="C5532" t="inlineStr">
        <is>
          <t>Cali</t>
        </is>
      </c>
      <c r="D5532" t="inlineStr">
        <is>
          <t>8727</t>
        </is>
      </c>
      <c r="E5532" t="inlineStr">
        <is>
          <t>pagado</t>
        </is>
      </c>
      <c r="F5532" s="23" t="n">
        <v>46275</v>
      </c>
      <c r="G5532" s="24">
        <f>F5532-DATE(2026,8,31)</f>
        <v>10</v>
      </c>
      <c r="H5532" s="25" t="n">
        <v>154141904</v>
      </c>
      <c r="I5532" t="inlineStr">
        <is>
          <t>entidad-dia</t>
        </is>
      </c>
    </row>
    <row r="5533">
      <c r="A5533" t="inlineStr">
        <is>
          <t>PRAGMA</t>
        </is>
      </c>
      <c r="B5533" t="inlineStr">
        <is>
          <t>M1</t>
        </is>
      </c>
      <c r="C5533" t="inlineStr">
        <is>
          <t>Cali</t>
        </is>
      </c>
      <c r="D5533" t="inlineStr">
        <is>
          <t>8727</t>
        </is>
      </c>
      <c r="E5533" t="inlineStr">
        <is>
          <t>pagado</t>
        </is>
      </c>
      <c r="F5533" s="23" t="n">
        <v>46276</v>
      </c>
      <c r="G5533" s="24">
        <f>F5533-DATE(2026,8,31)</f>
        <v>11</v>
      </c>
      <c r="H5533" s="25" t="n">
        <v>164342575</v>
      </c>
      <c r="I5533" t="inlineStr">
        <is>
          <t>entidad-dia</t>
        </is>
      </c>
    </row>
    <row r="5534">
      <c r="A5534" t="inlineStr">
        <is>
          <t>PRAGMA</t>
        </is>
      </c>
      <c r="B5534" t="inlineStr">
        <is>
          <t>M1</t>
        </is>
      </c>
      <c r="C5534" t="inlineStr">
        <is>
          <t>Cali</t>
        </is>
      </c>
      <c r="D5534" t="inlineStr">
        <is>
          <t>8727</t>
        </is>
      </c>
      <c r="E5534" t="inlineStr">
        <is>
          <t>pagado</t>
        </is>
      </c>
      <c r="F5534" s="23" t="n">
        <v>46277</v>
      </c>
      <c r="G5534" s="24">
        <f>F5534-DATE(2026,8,31)</f>
        <v>12</v>
      </c>
      <c r="H5534" s="25" t="n">
        <v>147232494</v>
      </c>
      <c r="I5534" t="inlineStr">
        <is>
          <t>entidad-dia</t>
        </is>
      </c>
    </row>
    <row r="5535">
      <c r="A5535" t="inlineStr">
        <is>
          <t>PRAGMA</t>
        </is>
      </c>
      <c r="B5535" t="inlineStr">
        <is>
          <t>M1</t>
        </is>
      </c>
      <c r="C5535" t="inlineStr">
        <is>
          <t>Cali</t>
        </is>
      </c>
      <c r="D5535" t="inlineStr">
        <is>
          <t>8727</t>
        </is>
      </c>
      <c r="E5535" t="inlineStr">
        <is>
          <t>pagado</t>
        </is>
      </c>
      <c r="F5535" s="23" t="n">
        <v>46278</v>
      </c>
      <c r="G5535" s="24">
        <f>F5535-DATE(2026,8,31)</f>
        <v>13</v>
      </c>
      <c r="H5535" s="25" t="n">
        <v>7534554</v>
      </c>
      <c r="I5535" t="inlineStr">
        <is>
          <t>entidad-dia</t>
        </is>
      </c>
    </row>
    <row r="5536">
      <c r="A5536" t="inlineStr">
        <is>
          <t>PRAGMA</t>
        </is>
      </c>
      <c r="B5536" t="inlineStr">
        <is>
          <t>M1</t>
        </is>
      </c>
      <c r="C5536" t="inlineStr">
        <is>
          <t>Cali</t>
        </is>
      </c>
      <c r="D5536" t="inlineStr">
        <is>
          <t>8727</t>
        </is>
      </c>
      <c r="E5536" t="inlineStr">
        <is>
          <t>pagado</t>
        </is>
      </c>
      <c r="F5536" s="23" t="n">
        <v>46279</v>
      </c>
      <c r="G5536" s="24">
        <f>F5536-DATE(2026,8,31)</f>
        <v>14</v>
      </c>
      <c r="H5536" s="25" t="n">
        <v>134633360</v>
      </c>
      <c r="I5536" t="inlineStr">
        <is>
          <t>entidad-dia</t>
        </is>
      </c>
    </row>
    <row r="5537">
      <c r="A5537" t="inlineStr">
        <is>
          <t>PRAGMA</t>
        </is>
      </c>
      <c r="B5537" t="inlineStr">
        <is>
          <t>M1</t>
        </is>
      </c>
      <c r="C5537" t="inlineStr">
        <is>
          <t>Cali</t>
        </is>
      </c>
      <c r="D5537" t="inlineStr">
        <is>
          <t>8727</t>
        </is>
      </c>
      <c r="E5537" t="inlineStr">
        <is>
          <t>pagado</t>
        </is>
      </c>
      <c r="F5537" s="23" t="n">
        <v>46280</v>
      </c>
      <c r="G5537" s="24">
        <f>F5537-DATE(2026,8,31)</f>
        <v>15</v>
      </c>
      <c r="H5537" s="25" t="n">
        <v>208763612</v>
      </c>
      <c r="I5537" t="inlineStr">
        <is>
          <t>entidad-dia</t>
        </is>
      </c>
    </row>
    <row r="5538">
      <c r="A5538" t="inlineStr">
        <is>
          <t>PRAGMA</t>
        </is>
      </c>
      <c r="B5538" t="inlineStr">
        <is>
          <t>M1</t>
        </is>
      </c>
      <c r="C5538" t="inlineStr">
        <is>
          <t>Cali</t>
        </is>
      </c>
      <c r="D5538" t="inlineStr">
        <is>
          <t>8728</t>
        </is>
      </c>
      <c r="E5538" t="inlineStr">
        <is>
          <t>pagado</t>
        </is>
      </c>
      <c r="F5538" s="23" t="n">
        <v>46266</v>
      </c>
      <c r="G5538" s="24">
        <f>F5538-DATE(2026,8,31)</f>
        <v>1</v>
      </c>
      <c r="H5538" s="25" t="n">
        <v>273678282</v>
      </c>
      <c r="I5538" t="inlineStr">
        <is>
          <t>entidad-dia</t>
        </is>
      </c>
    </row>
    <row r="5539">
      <c r="A5539" t="inlineStr">
        <is>
          <t>PRAGMA</t>
        </is>
      </c>
      <c r="B5539" t="inlineStr">
        <is>
          <t>M1</t>
        </is>
      </c>
      <c r="C5539" t="inlineStr">
        <is>
          <t>Cali</t>
        </is>
      </c>
      <c r="D5539" t="inlineStr">
        <is>
          <t>8728</t>
        </is>
      </c>
      <c r="E5539" t="inlineStr">
        <is>
          <t>pagado</t>
        </is>
      </c>
      <c r="F5539" s="23" t="n">
        <v>46267</v>
      </c>
      <c r="G5539" s="24">
        <f>F5539-DATE(2026,8,31)</f>
        <v>2</v>
      </c>
      <c r="H5539" s="25" t="n">
        <v>212627021</v>
      </c>
      <c r="I5539" t="inlineStr">
        <is>
          <t>entidad-dia</t>
        </is>
      </c>
    </row>
    <row r="5540">
      <c r="A5540" t="inlineStr">
        <is>
          <t>PRAGMA</t>
        </is>
      </c>
      <c r="B5540" t="inlineStr">
        <is>
          <t>M1</t>
        </is>
      </c>
      <c r="C5540" t="inlineStr">
        <is>
          <t>Cali</t>
        </is>
      </c>
      <c r="D5540" t="inlineStr">
        <is>
          <t>8728</t>
        </is>
      </c>
      <c r="E5540" t="inlineStr">
        <is>
          <t>pagado</t>
        </is>
      </c>
      <c r="F5540" s="23" t="n">
        <v>46268</v>
      </c>
      <c r="G5540" s="24">
        <f>F5540-DATE(2026,8,31)</f>
        <v>3</v>
      </c>
      <c r="H5540" s="25" t="n">
        <v>212364857</v>
      </c>
      <c r="I5540" t="inlineStr">
        <is>
          <t>entidad-dia</t>
        </is>
      </c>
    </row>
    <row r="5541">
      <c r="A5541" t="inlineStr">
        <is>
          <t>PRAGMA</t>
        </is>
      </c>
      <c r="B5541" t="inlineStr">
        <is>
          <t>M1</t>
        </is>
      </c>
      <c r="C5541" t="inlineStr">
        <is>
          <t>Cali</t>
        </is>
      </c>
      <c r="D5541" t="inlineStr">
        <is>
          <t>8728</t>
        </is>
      </c>
      <c r="E5541" t="inlineStr">
        <is>
          <t>pagado</t>
        </is>
      </c>
      <c r="F5541" s="23" t="n">
        <v>46269</v>
      </c>
      <c r="G5541" s="24">
        <f>F5541-DATE(2026,8,31)</f>
        <v>4</v>
      </c>
      <c r="H5541" s="25" t="n">
        <v>207285634</v>
      </c>
      <c r="I5541" t="inlineStr">
        <is>
          <t>entidad-dia</t>
        </is>
      </c>
    </row>
    <row r="5542">
      <c r="A5542" t="inlineStr">
        <is>
          <t>PRAGMA</t>
        </is>
      </c>
      <c r="B5542" t="inlineStr">
        <is>
          <t>M1</t>
        </is>
      </c>
      <c r="C5542" t="inlineStr">
        <is>
          <t>Cali</t>
        </is>
      </c>
      <c r="D5542" t="inlineStr">
        <is>
          <t>8728</t>
        </is>
      </c>
      <c r="E5542" t="inlineStr">
        <is>
          <t>pagado</t>
        </is>
      </c>
      <c r="F5542" s="23" t="n">
        <v>46270</v>
      </c>
      <c r="G5542" s="24">
        <f>F5542-DATE(2026,8,31)</f>
        <v>5</v>
      </c>
      <c r="H5542" s="25" t="n">
        <v>181066872</v>
      </c>
      <c r="I5542" t="inlineStr">
        <is>
          <t>entidad-dia</t>
        </is>
      </c>
    </row>
    <row r="5543">
      <c r="A5543" t="inlineStr">
        <is>
          <t>PRAGMA</t>
        </is>
      </c>
      <c r="B5543" t="inlineStr">
        <is>
          <t>M1</t>
        </is>
      </c>
      <c r="C5543" t="inlineStr">
        <is>
          <t>Cali</t>
        </is>
      </c>
      <c r="D5543" t="inlineStr">
        <is>
          <t>8728</t>
        </is>
      </c>
      <c r="E5543" t="inlineStr">
        <is>
          <t>pagado</t>
        </is>
      </c>
      <c r="F5543" s="23" t="n">
        <v>46271</v>
      </c>
      <c r="G5543" s="24">
        <f>F5543-DATE(2026,8,31)</f>
        <v>6</v>
      </c>
      <c r="H5543" s="25" t="n">
        <v>13849716</v>
      </c>
      <c r="I5543" t="inlineStr">
        <is>
          <t>entidad-dia</t>
        </is>
      </c>
    </row>
    <row r="5544">
      <c r="A5544" t="inlineStr">
        <is>
          <t>PRAGMA</t>
        </is>
      </c>
      <c r="B5544" t="inlineStr">
        <is>
          <t>M1</t>
        </is>
      </c>
      <c r="C5544" t="inlineStr">
        <is>
          <t>Cali</t>
        </is>
      </c>
      <c r="D5544" t="inlineStr">
        <is>
          <t>8728</t>
        </is>
      </c>
      <c r="E5544" t="inlineStr">
        <is>
          <t>pagado</t>
        </is>
      </c>
      <c r="F5544" s="23" t="n">
        <v>46272</v>
      </c>
      <c r="G5544" s="24">
        <f>F5544-DATE(2026,8,31)</f>
        <v>7</v>
      </c>
      <c r="H5544" s="25" t="n">
        <v>160204562</v>
      </c>
      <c r="I5544" t="inlineStr">
        <is>
          <t>entidad-dia</t>
        </is>
      </c>
    </row>
    <row r="5545">
      <c r="A5545" t="inlineStr">
        <is>
          <t>PRAGMA</t>
        </is>
      </c>
      <c r="B5545" t="inlineStr">
        <is>
          <t>M1</t>
        </is>
      </c>
      <c r="C5545" t="inlineStr">
        <is>
          <t>Cali</t>
        </is>
      </c>
      <c r="D5545" t="inlineStr">
        <is>
          <t>8728</t>
        </is>
      </c>
      <c r="E5545" t="inlineStr">
        <is>
          <t>pagado</t>
        </is>
      </c>
      <c r="F5545" s="23" t="n">
        <v>46273</v>
      </c>
      <c r="G5545" s="24">
        <f>F5545-DATE(2026,8,31)</f>
        <v>8</v>
      </c>
      <c r="H5545" s="25" t="n">
        <v>189912260</v>
      </c>
      <c r="I5545" t="inlineStr">
        <is>
          <t>entidad-dia</t>
        </is>
      </c>
    </row>
    <row r="5546">
      <c r="A5546" t="inlineStr">
        <is>
          <t>PRAGMA</t>
        </is>
      </c>
      <c r="B5546" t="inlineStr">
        <is>
          <t>M1</t>
        </is>
      </c>
      <c r="C5546" t="inlineStr">
        <is>
          <t>Cali</t>
        </is>
      </c>
      <c r="D5546" t="inlineStr">
        <is>
          <t>8728</t>
        </is>
      </c>
      <c r="E5546" t="inlineStr">
        <is>
          <t>pagado</t>
        </is>
      </c>
      <c r="F5546" s="23" t="n">
        <v>46274</v>
      </c>
      <c r="G5546" s="24">
        <f>F5546-DATE(2026,8,31)</f>
        <v>9</v>
      </c>
      <c r="H5546" s="25" t="n">
        <v>182851189</v>
      </c>
      <c r="I5546" t="inlineStr">
        <is>
          <t>entidad-dia</t>
        </is>
      </c>
    </row>
    <row r="5547">
      <c r="A5547" t="inlineStr">
        <is>
          <t>PRAGMA</t>
        </is>
      </c>
      <c r="B5547" t="inlineStr">
        <is>
          <t>M1</t>
        </is>
      </c>
      <c r="C5547" t="inlineStr">
        <is>
          <t>Cali</t>
        </is>
      </c>
      <c r="D5547" t="inlineStr">
        <is>
          <t>8728</t>
        </is>
      </c>
      <c r="E5547" t="inlineStr">
        <is>
          <t>pagado</t>
        </is>
      </c>
      <c r="F5547" s="23" t="n">
        <v>46275</v>
      </c>
      <c r="G5547" s="24">
        <f>F5547-DATE(2026,8,31)</f>
        <v>10</v>
      </c>
      <c r="H5547" s="25" t="n">
        <v>158973774</v>
      </c>
      <c r="I5547" t="inlineStr">
        <is>
          <t>entidad-dia</t>
        </is>
      </c>
    </row>
    <row r="5548">
      <c r="A5548" t="inlineStr">
        <is>
          <t>PRAGMA</t>
        </is>
      </c>
      <c r="B5548" t="inlineStr">
        <is>
          <t>M1</t>
        </is>
      </c>
      <c r="C5548" t="inlineStr">
        <is>
          <t>Cali</t>
        </is>
      </c>
      <c r="D5548" t="inlineStr">
        <is>
          <t>8728</t>
        </is>
      </c>
      <c r="E5548" t="inlineStr">
        <is>
          <t>pagado</t>
        </is>
      </c>
      <c r="F5548" s="23" t="n">
        <v>46276</v>
      </c>
      <c r="G5548" s="24">
        <f>F5548-DATE(2026,8,31)</f>
        <v>11</v>
      </c>
      <c r="H5548" s="25" t="n">
        <v>169644280</v>
      </c>
      <c r="I5548" t="inlineStr">
        <is>
          <t>entidad-dia</t>
        </is>
      </c>
    </row>
    <row r="5549">
      <c r="A5549" t="inlineStr">
        <is>
          <t>PRAGMA</t>
        </is>
      </c>
      <c r="B5549" t="inlineStr">
        <is>
          <t>M1</t>
        </is>
      </c>
      <c r="C5549" t="inlineStr">
        <is>
          <t>Cali</t>
        </is>
      </c>
      <c r="D5549" t="inlineStr">
        <is>
          <t>8728</t>
        </is>
      </c>
      <c r="E5549" t="inlineStr">
        <is>
          <t>pagado</t>
        </is>
      </c>
      <c r="F5549" s="23" t="n">
        <v>46277</v>
      </c>
      <c r="G5549" s="24">
        <f>F5549-DATE(2026,8,31)</f>
        <v>12</v>
      </c>
      <c r="H5549" s="25" t="n">
        <v>153365761</v>
      </c>
      <c r="I5549" t="inlineStr">
        <is>
          <t>entidad-dia</t>
        </is>
      </c>
    </row>
    <row r="5550">
      <c r="A5550" t="inlineStr">
        <is>
          <t>PRAGMA</t>
        </is>
      </c>
      <c r="B5550" t="inlineStr">
        <is>
          <t>M1</t>
        </is>
      </c>
      <c r="C5550" t="inlineStr">
        <is>
          <t>Cali</t>
        </is>
      </c>
      <c r="D5550" t="inlineStr">
        <is>
          <t>8728</t>
        </is>
      </c>
      <c r="E5550" t="inlineStr">
        <is>
          <t>pagado</t>
        </is>
      </c>
      <c r="F5550" s="23" t="n">
        <v>46278</v>
      </c>
      <c r="G5550" s="24">
        <f>F5550-DATE(2026,8,31)</f>
        <v>13</v>
      </c>
      <c r="H5550" s="25" t="n">
        <v>9763396</v>
      </c>
      <c r="I5550" t="inlineStr">
        <is>
          <t>entidad-dia</t>
        </is>
      </c>
    </row>
    <row r="5551">
      <c r="A5551" t="inlineStr">
        <is>
          <t>PRAGMA</t>
        </is>
      </c>
      <c r="B5551" t="inlineStr">
        <is>
          <t>M1</t>
        </is>
      </c>
      <c r="C5551" t="inlineStr">
        <is>
          <t>Cali</t>
        </is>
      </c>
      <c r="D5551" t="inlineStr">
        <is>
          <t>8728</t>
        </is>
      </c>
      <c r="E5551" t="inlineStr">
        <is>
          <t>pagado</t>
        </is>
      </c>
      <c r="F5551" s="23" t="n">
        <v>46279</v>
      </c>
      <c r="G5551" s="24">
        <f>F5551-DATE(2026,8,31)</f>
        <v>14</v>
      </c>
      <c r="H5551" s="25" t="n">
        <v>152053590</v>
      </c>
      <c r="I5551" t="inlineStr">
        <is>
          <t>entidad-dia</t>
        </is>
      </c>
    </row>
    <row r="5552">
      <c r="A5552" t="inlineStr">
        <is>
          <t>PRAGMA</t>
        </is>
      </c>
      <c r="B5552" t="inlineStr">
        <is>
          <t>M1</t>
        </is>
      </c>
      <c r="C5552" t="inlineStr">
        <is>
          <t>Cali</t>
        </is>
      </c>
      <c r="D5552" t="inlineStr">
        <is>
          <t>8728</t>
        </is>
      </c>
      <c r="E5552" t="inlineStr">
        <is>
          <t>pagado</t>
        </is>
      </c>
      <c r="F5552" s="23" t="n">
        <v>46280</v>
      </c>
      <c r="G5552" s="24">
        <f>F5552-DATE(2026,8,31)</f>
        <v>15</v>
      </c>
      <c r="H5552" s="25" t="n">
        <v>223970855</v>
      </c>
      <c r="I5552" t="inlineStr">
        <is>
          <t>entidad-dia</t>
        </is>
      </c>
    </row>
    <row r="5553">
      <c r="A5553" t="inlineStr">
        <is>
          <t>PRAGMA</t>
        </is>
      </c>
      <c r="B5553" t="inlineStr">
        <is>
          <t>M1</t>
        </is>
      </c>
      <c r="C5553" t="inlineStr">
        <is>
          <t>Cali</t>
        </is>
      </c>
      <c r="D5553" t="inlineStr">
        <is>
          <t>8729</t>
        </is>
      </c>
      <c r="E5553" t="inlineStr">
        <is>
          <t>pagado</t>
        </is>
      </c>
      <c r="F5553" s="23" t="n">
        <v>46266</v>
      </c>
      <c r="G5553" s="24">
        <f>F5553-DATE(2026,8,31)</f>
        <v>1</v>
      </c>
      <c r="H5553" s="25" t="n">
        <v>298754962</v>
      </c>
      <c r="I5553" t="inlineStr">
        <is>
          <t>entidad-dia</t>
        </is>
      </c>
    </row>
    <row r="5554">
      <c r="A5554" t="inlineStr">
        <is>
          <t>PRAGMA</t>
        </is>
      </c>
      <c r="B5554" t="inlineStr">
        <is>
          <t>M1</t>
        </is>
      </c>
      <c r="C5554" t="inlineStr">
        <is>
          <t>Cali</t>
        </is>
      </c>
      <c r="D5554" t="inlineStr">
        <is>
          <t>8729</t>
        </is>
      </c>
      <c r="E5554" t="inlineStr">
        <is>
          <t>pagado</t>
        </is>
      </c>
      <c r="F5554" s="23" t="n">
        <v>46267</v>
      </c>
      <c r="G5554" s="24">
        <f>F5554-DATE(2026,8,31)</f>
        <v>2</v>
      </c>
      <c r="H5554" s="25" t="n">
        <v>244564982</v>
      </c>
      <c r="I5554" t="inlineStr">
        <is>
          <t>entidad-dia</t>
        </is>
      </c>
    </row>
    <row r="5555">
      <c r="A5555" t="inlineStr">
        <is>
          <t>PRAGMA</t>
        </is>
      </c>
      <c r="B5555" t="inlineStr">
        <is>
          <t>M1</t>
        </is>
      </c>
      <c r="C5555" t="inlineStr">
        <is>
          <t>Cali</t>
        </is>
      </c>
      <c r="D5555" t="inlineStr">
        <is>
          <t>8729</t>
        </is>
      </c>
      <c r="E5555" t="inlineStr">
        <is>
          <t>pagado</t>
        </is>
      </c>
      <c r="F5555" s="23" t="n">
        <v>46268</v>
      </c>
      <c r="G5555" s="24">
        <f>F5555-DATE(2026,8,31)</f>
        <v>3</v>
      </c>
      <c r="H5555" s="25" t="n">
        <v>217744802</v>
      </c>
      <c r="I5555" t="inlineStr">
        <is>
          <t>entidad-dia</t>
        </is>
      </c>
    </row>
    <row r="5556">
      <c r="A5556" t="inlineStr">
        <is>
          <t>PRAGMA</t>
        </is>
      </c>
      <c r="B5556" t="inlineStr">
        <is>
          <t>M1</t>
        </is>
      </c>
      <c r="C5556" t="inlineStr">
        <is>
          <t>Cali</t>
        </is>
      </c>
      <c r="D5556" t="inlineStr">
        <is>
          <t>8729</t>
        </is>
      </c>
      <c r="E5556" t="inlineStr">
        <is>
          <t>pagado</t>
        </is>
      </c>
      <c r="F5556" s="23" t="n">
        <v>46269</v>
      </c>
      <c r="G5556" s="24">
        <f>F5556-DATE(2026,8,31)</f>
        <v>4</v>
      </c>
      <c r="H5556" s="25" t="n">
        <v>227632845</v>
      </c>
      <c r="I5556" t="inlineStr">
        <is>
          <t>entidad-dia</t>
        </is>
      </c>
    </row>
    <row r="5557">
      <c r="A5557" t="inlineStr">
        <is>
          <t>PRAGMA</t>
        </is>
      </c>
      <c r="B5557" t="inlineStr">
        <is>
          <t>M1</t>
        </is>
      </c>
      <c r="C5557" t="inlineStr">
        <is>
          <t>Cali</t>
        </is>
      </c>
      <c r="D5557" t="inlineStr">
        <is>
          <t>8729</t>
        </is>
      </c>
      <c r="E5557" t="inlineStr">
        <is>
          <t>pagado</t>
        </is>
      </c>
      <c r="F5557" s="23" t="n">
        <v>46270</v>
      </c>
      <c r="G5557" s="24">
        <f>F5557-DATE(2026,8,31)</f>
        <v>5</v>
      </c>
      <c r="H5557" s="25" t="n">
        <v>191569830</v>
      </c>
      <c r="I5557" t="inlineStr">
        <is>
          <t>entidad-dia</t>
        </is>
      </c>
    </row>
    <row r="5558">
      <c r="A5558" t="inlineStr">
        <is>
          <t>PRAGMA</t>
        </is>
      </c>
      <c r="B5558" t="inlineStr">
        <is>
          <t>M1</t>
        </is>
      </c>
      <c r="C5558" t="inlineStr">
        <is>
          <t>Cali</t>
        </is>
      </c>
      <c r="D5558" t="inlineStr">
        <is>
          <t>8729</t>
        </is>
      </c>
      <c r="E5558" t="inlineStr">
        <is>
          <t>pagado</t>
        </is>
      </c>
      <c r="F5558" s="23" t="n">
        <v>46271</v>
      </c>
      <c r="G5558" s="24">
        <f>F5558-DATE(2026,8,31)</f>
        <v>6</v>
      </c>
      <c r="H5558" s="25" t="n">
        <v>9993850</v>
      </c>
      <c r="I5558" t="inlineStr">
        <is>
          <t>entidad-dia</t>
        </is>
      </c>
    </row>
    <row r="5559">
      <c r="A5559" t="inlineStr">
        <is>
          <t>PRAGMA</t>
        </is>
      </c>
      <c r="B5559" t="inlineStr">
        <is>
          <t>M1</t>
        </is>
      </c>
      <c r="C5559" t="inlineStr">
        <is>
          <t>Cali</t>
        </is>
      </c>
      <c r="D5559" t="inlineStr">
        <is>
          <t>8729</t>
        </is>
      </c>
      <c r="E5559" t="inlineStr">
        <is>
          <t>pagado</t>
        </is>
      </c>
      <c r="F5559" s="23" t="n">
        <v>46272</v>
      </c>
      <c r="G5559" s="24">
        <f>F5559-DATE(2026,8,31)</f>
        <v>7</v>
      </c>
      <c r="H5559" s="25" t="n">
        <v>171755599</v>
      </c>
      <c r="I5559" t="inlineStr">
        <is>
          <t>entidad-dia</t>
        </is>
      </c>
    </row>
    <row r="5560">
      <c r="A5560" t="inlineStr">
        <is>
          <t>PRAGMA</t>
        </is>
      </c>
      <c r="B5560" t="inlineStr">
        <is>
          <t>M1</t>
        </is>
      </c>
      <c r="C5560" t="inlineStr">
        <is>
          <t>Cali</t>
        </is>
      </c>
      <c r="D5560" t="inlineStr">
        <is>
          <t>8729</t>
        </is>
      </c>
      <c r="E5560" t="inlineStr">
        <is>
          <t>pagado</t>
        </is>
      </c>
      <c r="F5560" s="23" t="n">
        <v>46273</v>
      </c>
      <c r="G5560" s="24">
        <f>F5560-DATE(2026,8,31)</f>
        <v>8</v>
      </c>
      <c r="H5560" s="25" t="n">
        <v>197226446</v>
      </c>
      <c r="I5560" t="inlineStr">
        <is>
          <t>entidad-dia</t>
        </is>
      </c>
    </row>
    <row r="5561">
      <c r="A5561" t="inlineStr">
        <is>
          <t>PRAGMA</t>
        </is>
      </c>
      <c r="B5561" t="inlineStr">
        <is>
          <t>M1</t>
        </is>
      </c>
      <c r="C5561" t="inlineStr">
        <is>
          <t>Cali</t>
        </is>
      </c>
      <c r="D5561" t="inlineStr">
        <is>
          <t>8729</t>
        </is>
      </c>
      <c r="E5561" t="inlineStr">
        <is>
          <t>pagado</t>
        </is>
      </c>
      <c r="F5561" s="23" t="n">
        <v>46274</v>
      </c>
      <c r="G5561" s="24">
        <f>F5561-DATE(2026,8,31)</f>
        <v>9</v>
      </c>
      <c r="H5561" s="25" t="n">
        <v>199555866</v>
      </c>
      <c r="I5561" t="inlineStr">
        <is>
          <t>entidad-dia</t>
        </is>
      </c>
    </row>
    <row r="5562">
      <c r="A5562" t="inlineStr">
        <is>
          <t>PRAGMA</t>
        </is>
      </c>
      <c r="B5562" t="inlineStr">
        <is>
          <t>M1</t>
        </is>
      </c>
      <c r="C5562" t="inlineStr">
        <is>
          <t>Cali</t>
        </is>
      </c>
      <c r="D5562" t="inlineStr">
        <is>
          <t>8729</t>
        </is>
      </c>
      <c r="E5562" t="inlineStr">
        <is>
          <t>pagado</t>
        </is>
      </c>
      <c r="F5562" s="23" t="n">
        <v>46275</v>
      </c>
      <c r="G5562" s="24">
        <f>F5562-DATE(2026,8,31)</f>
        <v>10</v>
      </c>
      <c r="H5562" s="25" t="n">
        <v>172078158</v>
      </c>
      <c r="I5562" t="inlineStr">
        <is>
          <t>entidad-dia</t>
        </is>
      </c>
    </row>
    <row r="5563">
      <c r="A5563" t="inlineStr">
        <is>
          <t>PRAGMA</t>
        </is>
      </c>
      <c r="B5563" t="inlineStr">
        <is>
          <t>M1</t>
        </is>
      </c>
      <c r="C5563" t="inlineStr">
        <is>
          <t>Cali</t>
        </is>
      </c>
      <c r="D5563" t="inlineStr">
        <is>
          <t>8729</t>
        </is>
      </c>
      <c r="E5563" t="inlineStr">
        <is>
          <t>pagado</t>
        </is>
      </c>
      <c r="F5563" s="23" t="n">
        <v>46276</v>
      </c>
      <c r="G5563" s="24">
        <f>F5563-DATE(2026,8,31)</f>
        <v>11</v>
      </c>
      <c r="H5563" s="25" t="n">
        <v>182859299</v>
      </c>
      <c r="I5563" t="inlineStr">
        <is>
          <t>entidad-dia</t>
        </is>
      </c>
    </row>
    <row r="5564">
      <c r="A5564" t="inlineStr">
        <is>
          <t>PRAGMA</t>
        </is>
      </c>
      <c r="B5564" t="inlineStr">
        <is>
          <t>M1</t>
        </is>
      </c>
      <c r="C5564" t="inlineStr">
        <is>
          <t>Cali</t>
        </is>
      </c>
      <c r="D5564" t="inlineStr">
        <is>
          <t>8729</t>
        </is>
      </c>
      <c r="E5564" t="inlineStr">
        <is>
          <t>pagado</t>
        </is>
      </c>
      <c r="F5564" s="23" t="n">
        <v>46277</v>
      </c>
      <c r="G5564" s="24">
        <f>F5564-DATE(2026,8,31)</f>
        <v>12</v>
      </c>
      <c r="H5564" s="25" t="n">
        <v>156330005</v>
      </c>
      <c r="I5564" t="inlineStr">
        <is>
          <t>entidad-dia</t>
        </is>
      </c>
    </row>
    <row r="5565">
      <c r="A5565" t="inlineStr">
        <is>
          <t>PRAGMA</t>
        </is>
      </c>
      <c r="B5565" t="inlineStr">
        <is>
          <t>M1</t>
        </is>
      </c>
      <c r="C5565" t="inlineStr">
        <is>
          <t>Cali</t>
        </is>
      </c>
      <c r="D5565" t="inlineStr">
        <is>
          <t>8729</t>
        </is>
      </c>
      <c r="E5565" t="inlineStr">
        <is>
          <t>pagado</t>
        </is>
      </c>
      <c r="F5565" s="23" t="n">
        <v>46278</v>
      </c>
      <c r="G5565" s="24">
        <f>F5565-DATE(2026,8,31)</f>
        <v>13</v>
      </c>
      <c r="H5565" s="25" t="n">
        <v>8450879</v>
      </c>
      <c r="I5565" t="inlineStr">
        <is>
          <t>entidad-dia</t>
        </is>
      </c>
    </row>
    <row r="5566">
      <c r="A5566" t="inlineStr">
        <is>
          <t>PRAGMA</t>
        </is>
      </c>
      <c r="B5566" t="inlineStr">
        <is>
          <t>M1</t>
        </is>
      </c>
      <c r="C5566" t="inlineStr">
        <is>
          <t>Cali</t>
        </is>
      </c>
      <c r="D5566" t="inlineStr">
        <is>
          <t>8729</t>
        </is>
      </c>
      <c r="E5566" t="inlineStr">
        <is>
          <t>pagado</t>
        </is>
      </c>
      <c r="F5566" s="23" t="n">
        <v>46279</v>
      </c>
      <c r="G5566" s="24">
        <f>F5566-DATE(2026,8,31)</f>
        <v>14</v>
      </c>
      <c r="H5566" s="25" t="n">
        <v>157040243</v>
      </c>
      <c r="I5566" t="inlineStr">
        <is>
          <t>entidad-dia</t>
        </is>
      </c>
    </row>
    <row r="5567">
      <c r="A5567" t="inlineStr">
        <is>
          <t>PRAGMA</t>
        </is>
      </c>
      <c r="B5567" t="inlineStr">
        <is>
          <t>M1</t>
        </is>
      </c>
      <c r="C5567" t="inlineStr">
        <is>
          <t>Cali</t>
        </is>
      </c>
      <c r="D5567" t="inlineStr">
        <is>
          <t>8729</t>
        </is>
      </c>
      <c r="E5567" t="inlineStr">
        <is>
          <t>pagado</t>
        </is>
      </c>
      <c r="F5567" s="23" t="n">
        <v>46280</v>
      </c>
      <c r="G5567" s="24">
        <f>F5567-DATE(2026,8,31)</f>
        <v>15</v>
      </c>
      <c r="H5567" s="25" t="n">
        <v>239445875</v>
      </c>
      <c r="I5567" t="inlineStr">
        <is>
          <t>entidad-dia</t>
        </is>
      </c>
    </row>
    <row r="5568">
      <c r="A5568" t="inlineStr">
        <is>
          <t>PRAGMA</t>
        </is>
      </c>
      <c r="B5568" t="inlineStr">
        <is>
          <t>M1</t>
        </is>
      </c>
      <c r="C5568" t="inlineStr">
        <is>
          <t>Cali</t>
        </is>
      </c>
      <c r="D5568" t="inlineStr">
        <is>
          <t>8730</t>
        </is>
      </c>
      <c r="E5568" t="inlineStr">
        <is>
          <t>pagado</t>
        </is>
      </c>
      <c r="F5568" s="23" t="n">
        <v>46266</v>
      </c>
      <c r="G5568" s="24">
        <f>F5568-DATE(2026,8,31)</f>
        <v>1</v>
      </c>
      <c r="H5568" s="25" t="n">
        <v>297863368</v>
      </c>
      <c r="I5568" t="inlineStr">
        <is>
          <t>entidad-dia</t>
        </is>
      </c>
    </row>
    <row r="5569">
      <c r="A5569" t="inlineStr">
        <is>
          <t>PRAGMA</t>
        </is>
      </c>
      <c r="B5569" t="inlineStr">
        <is>
          <t>M1</t>
        </is>
      </c>
      <c r="C5569" t="inlineStr">
        <is>
          <t>Cali</t>
        </is>
      </c>
      <c r="D5569" t="inlineStr">
        <is>
          <t>8730</t>
        </is>
      </c>
      <c r="E5569" t="inlineStr">
        <is>
          <t>pagado</t>
        </is>
      </c>
      <c r="F5569" s="23" t="n">
        <v>46267</v>
      </c>
      <c r="G5569" s="24">
        <f>F5569-DATE(2026,8,31)</f>
        <v>2</v>
      </c>
      <c r="H5569" s="25" t="n">
        <v>229661819</v>
      </c>
      <c r="I5569" t="inlineStr">
        <is>
          <t>entidad-dia</t>
        </is>
      </c>
    </row>
    <row r="5570">
      <c r="A5570" t="inlineStr">
        <is>
          <t>PRAGMA</t>
        </is>
      </c>
      <c r="B5570" t="inlineStr">
        <is>
          <t>M1</t>
        </is>
      </c>
      <c r="C5570" t="inlineStr">
        <is>
          <t>Cali</t>
        </is>
      </c>
      <c r="D5570" t="inlineStr">
        <is>
          <t>8730</t>
        </is>
      </c>
      <c r="E5570" t="inlineStr">
        <is>
          <t>pagado</t>
        </is>
      </c>
      <c r="F5570" s="23" t="n">
        <v>46268</v>
      </c>
      <c r="G5570" s="24">
        <f>F5570-DATE(2026,8,31)</f>
        <v>3</v>
      </c>
      <c r="H5570" s="25" t="n">
        <v>217395714</v>
      </c>
      <c r="I5570" t="inlineStr">
        <is>
          <t>entidad-dia</t>
        </is>
      </c>
    </row>
    <row r="5571">
      <c r="A5571" t="inlineStr">
        <is>
          <t>PRAGMA</t>
        </is>
      </c>
      <c r="B5571" t="inlineStr">
        <is>
          <t>M1</t>
        </is>
      </c>
      <c r="C5571" t="inlineStr">
        <is>
          <t>Cali</t>
        </is>
      </c>
      <c r="D5571" t="inlineStr">
        <is>
          <t>8730</t>
        </is>
      </c>
      <c r="E5571" t="inlineStr">
        <is>
          <t>pagado</t>
        </is>
      </c>
      <c r="F5571" s="23" t="n">
        <v>46269</v>
      </c>
      <c r="G5571" s="24">
        <f>F5571-DATE(2026,8,31)</f>
        <v>4</v>
      </c>
      <c r="H5571" s="25" t="n">
        <v>215143480</v>
      </c>
      <c r="I5571" t="inlineStr">
        <is>
          <t>entidad-dia</t>
        </is>
      </c>
    </row>
    <row r="5572">
      <c r="A5572" t="inlineStr">
        <is>
          <t>PRAGMA</t>
        </is>
      </c>
      <c r="B5572" t="inlineStr">
        <is>
          <t>M1</t>
        </is>
      </c>
      <c r="C5572" t="inlineStr">
        <is>
          <t>Cali</t>
        </is>
      </c>
      <c r="D5572" t="inlineStr">
        <is>
          <t>8730</t>
        </is>
      </c>
      <c r="E5572" t="inlineStr">
        <is>
          <t>pagado</t>
        </is>
      </c>
      <c r="F5572" s="23" t="n">
        <v>46270</v>
      </c>
      <c r="G5572" s="24">
        <f>F5572-DATE(2026,8,31)</f>
        <v>5</v>
      </c>
      <c r="H5572" s="25" t="n">
        <v>183913133</v>
      </c>
      <c r="I5572" t="inlineStr">
        <is>
          <t>entidad-dia</t>
        </is>
      </c>
    </row>
    <row r="5573">
      <c r="A5573" t="inlineStr">
        <is>
          <t>PRAGMA</t>
        </is>
      </c>
      <c r="B5573" t="inlineStr">
        <is>
          <t>M1</t>
        </is>
      </c>
      <c r="C5573" t="inlineStr">
        <is>
          <t>Cali</t>
        </is>
      </c>
      <c r="D5573" t="inlineStr">
        <is>
          <t>8730</t>
        </is>
      </c>
      <c r="E5573" t="inlineStr">
        <is>
          <t>pagado</t>
        </is>
      </c>
      <c r="F5573" s="23" t="n">
        <v>46271</v>
      </c>
      <c r="G5573" s="24">
        <f>F5573-DATE(2026,8,31)</f>
        <v>6</v>
      </c>
      <c r="H5573" s="25" t="n">
        <v>9723846</v>
      </c>
      <c r="I5573" t="inlineStr">
        <is>
          <t>entidad-dia</t>
        </is>
      </c>
    </row>
    <row r="5574">
      <c r="A5574" t="inlineStr">
        <is>
          <t>PRAGMA</t>
        </is>
      </c>
      <c r="B5574" t="inlineStr">
        <is>
          <t>M1</t>
        </is>
      </c>
      <c r="C5574" t="inlineStr">
        <is>
          <t>Cali</t>
        </is>
      </c>
      <c r="D5574" t="inlineStr">
        <is>
          <t>8730</t>
        </is>
      </c>
      <c r="E5574" t="inlineStr">
        <is>
          <t>pagado</t>
        </is>
      </c>
      <c r="F5574" s="23" t="n">
        <v>46272</v>
      </c>
      <c r="G5574" s="24">
        <f>F5574-DATE(2026,8,31)</f>
        <v>7</v>
      </c>
      <c r="H5574" s="25" t="n">
        <v>182235663</v>
      </c>
      <c r="I5574" t="inlineStr">
        <is>
          <t>entidad-dia</t>
        </is>
      </c>
    </row>
    <row r="5575">
      <c r="A5575" t="inlineStr">
        <is>
          <t>PRAGMA</t>
        </is>
      </c>
      <c r="B5575" t="inlineStr">
        <is>
          <t>M1</t>
        </is>
      </c>
      <c r="C5575" t="inlineStr">
        <is>
          <t>Cali</t>
        </is>
      </c>
      <c r="D5575" t="inlineStr">
        <is>
          <t>8730</t>
        </is>
      </c>
      <c r="E5575" t="inlineStr">
        <is>
          <t>pagado</t>
        </is>
      </c>
      <c r="F5575" s="23" t="n">
        <v>46273</v>
      </c>
      <c r="G5575" s="24">
        <f>F5575-DATE(2026,8,31)</f>
        <v>8</v>
      </c>
      <c r="H5575" s="25" t="n">
        <v>190119045</v>
      </c>
      <c r="I5575" t="inlineStr">
        <is>
          <t>entidad-dia</t>
        </is>
      </c>
    </row>
    <row r="5576">
      <c r="A5576" t="inlineStr">
        <is>
          <t>PRAGMA</t>
        </is>
      </c>
      <c r="B5576" t="inlineStr">
        <is>
          <t>M1</t>
        </is>
      </c>
      <c r="C5576" t="inlineStr">
        <is>
          <t>Cali</t>
        </is>
      </c>
      <c r="D5576" t="inlineStr">
        <is>
          <t>8730</t>
        </is>
      </c>
      <c r="E5576" t="inlineStr">
        <is>
          <t>pagado</t>
        </is>
      </c>
      <c r="F5576" s="23" t="n">
        <v>46274</v>
      </c>
      <c r="G5576" s="24">
        <f>F5576-DATE(2026,8,31)</f>
        <v>9</v>
      </c>
      <c r="H5576" s="25" t="n">
        <v>185323450</v>
      </c>
      <c r="I5576" t="inlineStr">
        <is>
          <t>entidad-dia</t>
        </is>
      </c>
    </row>
    <row r="5577">
      <c r="A5577" t="inlineStr">
        <is>
          <t>PRAGMA</t>
        </is>
      </c>
      <c r="B5577" t="inlineStr">
        <is>
          <t>M1</t>
        </is>
      </c>
      <c r="C5577" t="inlineStr">
        <is>
          <t>Cali</t>
        </is>
      </c>
      <c r="D5577" t="inlineStr">
        <is>
          <t>8730</t>
        </is>
      </c>
      <c r="E5577" t="inlineStr">
        <is>
          <t>pagado</t>
        </is>
      </c>
      <c r="F5577" s="23" t="n">
        <v>46275</v>
      </c>
      <c r="G5577" s="24">
        <f>F5577-DATE(2026,8,31)</f>
        <v>10</v>
      </c>
      <c r="H5577" s="25" t="n">
        <v>168925615</v>
      </c>
      <c r="I5577" t="inlineStr">
        <is>
          <t>entidad-dia</t>
        </is>
      </c>
    </row>
    <row r="5578">
      <c r="A5578" t="inlineStr">
        <is>
          <t>PRAGMA</t>
        </is>
      </c>
      <c r="B5578" t="inlineStr">
        <is>
          <t>M1</t>
        </is>
      </c>
      <c r="C5578" t="inlineStr">
        <is>
          <t>Cali</t>
        </is>
      </c>
      <c r="D5578" t="inlineStr">
        <is>
          <t>8730</t>
        </is>
      </c>
      <c r="E5578" t="inlineStr">
        <is>
          <t>pagado</t>
        </is>
      </c>
      <c r="F5578" s="23" t="n">
        <v>46276</v>
      </c>
      <c r="G5578" s="24">
        <f>F5578-DATE(2026,8,31)</f>
        <v>11</v>
      </c>
      <c r="H5578" s="25" t="n">
        <v>174351681</v>
      </c>
      <c r="I5578" t="inlineStr">
        <is>
          <t>entidad-dia</t>
        </is>
      </c>
    </row>
    <row r="5579">
      <c r="A5579" t="inlineStr">
        <is>
          <t>PRAGMA</t>
        </is>
      </c>
      <c r="B5579" t="inlineStr">
        <is>
          <t>M1</t>
        </is>
      </c>
      <c r="C5579" t="inlineStr">
        <is>
          <t>Cali</t>
        </is>
      </c>
      <c r="D5579" t="inlineStr">
        <is>
          <t>8730</t>
        </is>
      </c>
      <c r="E5579" t="inlineStr">
        <is>
          <t>pagado</t>
        </is>
      </c>
      <c r="F5579" s="23" t="n">
        <v>46277</v>
      </c>
      <c r="G5579" s="24">
        <f>F5579-DATE(2026,8,31)</f>
        <v>12</v>
      </c>
      <c r="H5579" s="25" t="n">
        <v>156142819</v>
      </c>
      <c r="I5579" t="inlineStr">
        <is>
          <t>entidad-dia</t>
        </is>
      </c>
    </row>
    <row r="5580">
      <c r="A5580" t="inlineStr">
        <is>
          <t>PRAGMA</t>
        </is>
      </c>
      <c r="B5580" t="inlineStr">
        <is>
          <t>M1</t>
        </is>
      </c>
      <c r="C5580" t="inlineStr">
        <is>
          <t>Cali</t>
        </is>
      </c>
      <c r="D5580" t="inlineStr">
        <is>
          <t>8730</t>
        </is>
      </c>
      <c r="E5580" t="inlineStr">
        <is>
          <t>pagado</t>
        </is>
      </c>
      <c r="F5580" s="23" t="n">
        <v>46278</v>
      </c>
      <c r="G5580" s="24">
        <f>F5580-DATE(2026,8,31)</f>
        <v>13</v>
      </c>
      <c r="H5580" s="25" t="n">
        <v>7663801</v>
      </c>
      <c r="I5580" t="inlineStr">
        <is>
          <t>entidad-dia</t>
        </is>
      </c>
    </row>
    <row r="5581">
      <c r="A5581" t="inlineStr">
        <is>
          <t>PRAGMA</t>
        </is>
      </c>
      <c r="B5581" t="inlineStr">
        <is>
          <t>M1</t>
        </is>
      </c>
      <c r="C5581" t="inlineStr">
        <is>
          <t>Cali</t>
        </is>
      </c>
      <c r="D5581" t="inlineStr">
        <is>
          <t>8730</t>
        </is>
      </c>
      <c r="E5581" t="inlineStr">
        <is>
          <t>pagado</t>
        </is>
      </c>
      <c r="F5581" s="23" t="n">
        <v>46279</v>
      </c>
      <c r="G5581" s="24">
        <f>F5581-DATE(2026,8,31)</f>
        <v>14</v>
      </c>
      <c r="H5581" s="25" t="n">
        <v>171788361</v>
      </c>
      <c r="I5581" t="inlineStr">
        <is>
          <t>entidad-dia</t>
        </is>
      </c>
    </row>
    <row r="5582">
      <c r="A5582" t="inlineStr">
        <is>
          <t>PRAGMA</t>
        </is>
      </c>
      <c r="B5582" t="inlineStr">
        <is>
          <t>M1</t>
        </is>
      </c>
      <c r="C5582" t="inlineStr">
        <is>
          <t>Cali</t>
        </is>
      </c>
      <c r="D5582" t="inlineStr">
        <is>
          <t>8730</t>
        </is>
      </c>
      <c r="E5582" t="inlineStr">
        <is>
          <t>pagado</t>
        </is>
      </c>
      <c r="F5582" s="23" t="n">
        <v>46280</v>
      </c>
      <c r="G5582" s="24">
        <f>F5582-DATE(2026,8,31)</f>
        <v>15</v>
      </c>
      <c r="H5582" s="25" t="n">
        <v>246214813</v>
      </c>
      <c r="I5582" t="inlineStr">
        <is>
          <t>entidad-dia</t>
        </is>
      </c>
    </row>
    <row r="5583">
      <c r="A5583" t="inlineStr">
        <is>
          <t>PRAGMA</t>
        </is>
      </c>
      <c r="B5583" t="inlineStr">
        <is>
          <t>M1</t>
        </is>
      </c>
      <c r="C5583" t="inlineStr">
        <is>
          <t>Cali</t>
        </is>
      </c>
      <c r="D5583" t="inlineStr">
        <is>
          <t>8731</t>
        </is>
      </c>
      <c r="E5583" t="inlineStr">
        <is>
          <t>pagado</t>
        </is>
      </c>
      <c r="F5583" s="23" t="n">
        <v>46266</v>
      </c>
      <c r="G5583" s="24">
        <f>F5583-DATE(2026,8,31)</f>
        <v>1</v>
      </c>
      <c r="H5583" s="25" t="n">
        <v>296196212</v>
      </c>
      <c r="I5583" t="inlineStr">
        <is>
          <t>entidad-dia</t>
        </is>
      </c>
    </row>
    <row r="5584">
      <c r="A5584" t="inlineStr">
        <is>
          <t>PRAGMA</t>
        </is>
      </c>
      <c r="B5584" t="inlineStr">
        <is>
          <t>M1</t>
        </is>
      </c>
      <c r="C5584" t="inlineStr">
        <is>
          <t>Cali</t>
        </is>
      </c>
      <c r="D5584" t="inlineStr">
        <is>
          <t>8731</t>
        </is>
      </c>
      <c r="E5584" t="inlineStr">
        <is>
          <t>pagado</t>
        </is>
      </c>
      <c r="F5584" s="23" t="n">
        <v>46267</v>
      </c>
      <c r="G5584" s="24">
        <f>F5584-DATE(2026,8,31)</f>
        <v>2</v>
      </c>
      <c r="H5584" s="25" t="n">
        <v>227596113</v>
      </c>
      <c r="I5584" t="inlineStr">
        <is>
          <t>entidad-dia</t>
        </is>
      </c>
    </row>
    <row r="5585">
      <c r="A5585" t="inlineStr">
        <is>
          <t>PRAGMA</t>
        </is>
      </c>
      <c r="B5585" t="inlineStr">
        <is>
          <t>M1</t>
        </is>
      </c>
      <c r="C5585" t="inlineStr">
        <is>
          <t>Cali</t>
        </is>
      </c>
      <c r="D5585" t="inlineStr">
        <is>
          <t>8731</t>
        </is>
      </c>
      <c r="E5585" t="inlineStr">
        <is>
          <t>pagado</t>
        </is>
      </c>
      <c r="F5585" s="23" t="n">
        <v>46268</v>
      </c>
      <c r="G5585" s="24">
        <f>F5585-DATE(2026,8,31)</f>
        <v>3</v>
      </c>
      <c r="H5585" s="25" t="n">
        <v>216789459</v>
      </c>
      <c r="I5585" t="inlineStr">
        <is>
          <t>entidad-dia</t>
        </is>
      </c>
    </row>
    <row r="5586">
      <c r="A5586" t="inlineStr">
        <is>
          <t>PRAGMA</t>
        </is>
      </c>
      <c r="B5586" t="inlineStr">
        <is>
          <t>M1</t>
        </is>
      </c>
      <c r="C5586" t="inlineStr">
        <is>
          <t>Cali</t>
        </is>
      </c>
      <c r="D5586" t="inlineStr">
        <is>
          <t>8731</t>
        </is>
      </c>
      <c r="E5586" t="inlineStr">
        <is>
          <t>pagado</t>
        </is>
      </c>
      <c r="F5586" s="23" t="n">
        <v>46269</v>
      </c>
      <c r="G5586" s="24">
        <f>F5586-DATE(2026,8,31)</f>
        <v>4</v>
      </c>
      <c r="H5586" s="25" t="n">
        <v>213066075</v>
      </c>
      <c r="I5586" t="inlineStr">
        <is>
          <t>entidad-dia</t>
        </is>
      </c>
    </row>
    <row r="5587">
      <c r="A5587" t="inlineStr">
        <is>
          <t>PRAGMA</t>
        </is>
      </c>
      <c r="B5587" t="inlineStr">
        <is>
          <t>M1</t>
        </is>
      </c>
      <c r="C5587" t="inlineStr">
        <is>
          <t>Cali</t>
        </is>
      </c>
      <c r="D5587" t="inlineStr">
        <is>
          <t>8731</t>
        </is>
      </c>
      <c r="E5587" t="inlineStr">
        <is>
          <t>pagado</t>
        </is>
      </c>
      <c r="F5587" s="23" t="n">
        <v>46270</v>
      </c>
      <c r="G5587" s="24">
        <f>F5587-DATE(2026,8,31)</f>
        <v>5</v>
      </c>
      <c r="H5587" s="25" t="n">
        <v>181627096</v>
      </c>
      <c r="I5587" t="inlineStr">
        <is>
          <t>entidad-dia</t>
        </is>
      </c>
    </row>
    <row r="5588">
      <c r="A5588" t="inlineStr">
        <is>
          <t>PRAGMA</t>
        </is>
      </c>
      <c r="B5588" t="inlineStr">
        <is>
          <t>M1</t>
        </is>
      </c>
      <c r="C5588" t="inlineStr">
        <is>
          <t>Cali</t>
        </is>
      </c>
      <c r="D5588" t="inlineStr">
        <is>
          <t>8731</t>
        </is>
      </c>
      <c r="E5588" t="inlineStr">
        <is>
          <t>pagado</t>
        </is>
      </c>
      <c r="F5588" s="23" t="n">
        <v>46271</v>
      </c>
      <c r="G5588" s="24">
        <f>F5588-DATE(2026,8,31)</f>
        <v>6</v>
      </c>
      <c r="H5588" s="25" t="n">
        <v>10837789</v>
      </c>
      <c r="I5588" t="inlineStr">
        <is>
          <t>entidad-dia</t>
        </is>
      </c>
    </row>
    <row r="5589">
      <c r="A5589" t="inlineStr">
        <is>
          <t>PRAGMA</t>
        </is>
      </c>
      <c r="B5589" t="inlineStr">
        <is>
          <t>M1</t>
        </is>
      </c>
      <c r="C5589" t="inlineStr">
        <is>
          <t>Cali</t>
        </is>
      </c>
      <c r="D5589" t="inlineStr">
        <is>
          <t>8731</t>
        </is>
      </c>
      <c r="E5589" t="inlineStr">
        <is>
          <t>pagado</t>
        </is>
      </c>
      <c r="F5589" s="23" t="n">
        <v>46272</v>
      </c>
      <c r="G5589" s="24">
        <f>F5589-DATE(2026,8,31)</f>
        <v>7</v>
      </c>
      <c r="H5589" s="25" t="n">
        <v>150513907</v>
      </c>
      <c r="I5589" t="inlineStr">
        <is>
          <t>entidad-dia</t>
        </is>
      </c>
    </row>
    <row r="5590">
      <c r="A5590" t="inlineStr">
        <is>
          <t>PRAGMA</t>
        </is>
      </c>
      <c r="B5590" t="inlineStr">
        <is>
          <t>M1</t>
        </is>
      </c>
      <c r="C5590" t="inlineStr">
        <is>
          <t>Cali</t>
        </is>
      </c>
      <c r="D5590" t="inlineStr">
        <is>
          <t>8731</t>
        </is>
      </c>
      <c r="E5590" t="inlineStr">
        <is>
          <t>pagado</t>
        </is>
      </c>
      <c r="F5590" s="23" t="n">
        <v>46273</v>
      </c>
      <c r="G5590" s="24">
        <f>F5590-DATE(2026,8,31)</f>
        <v>8</v>
      </c>
      <c r="H5590" s="25" t="n">
        <v>186622582</v>
      </c>
      <c r="I5590" t="inlineStr">
        <is>
          <t>entidad-dia</t>
        </is>
      </c>
    </row>
    <row r="5591">
      <c r="A5591" t="inlineStr">
        <is>
          <t>PRAGMA</t>
        </is>
      </c>
      <c r="B5591" t="inlineStr">
        <is>
          <t>M1</t>
        </is>
      </c>
      <c r="C5591" t="inlineStr">
        <is>
          <t>Cali</t>
        </is>
      </c>
      <c r="D5591" t="inlineStr">
        <is>
          <t>8731</t>
        </is>
      </c>
      <c r="E5591" t="inlineStr">
        <is>
          <t>pagado</t>
        </is>
      </c>
      <c r="F5591" s="23" t="n">
        <v>46274</v>
      </c>
      <c r="G5591" s="24">
        <f>F5591-DATE(2026,8,31)</f>
        <v>9</v>
      </c>
      <c r="H5591" s="25" t="n">
        <v>186589914</v>
      </c>
      <c r="I5591" t="inlineStr">
        <is>
          <t>entidad-dia</t>
        </is>
      </c>
    </row>
    <row r="5592">
      <c r="A5592" t="inlineStr">
        <is>
          <t>PRAGMA</t>
        </is>
      </c>
      <c r="B5592" t="inlineStr">
        <is>
          <t>M1</t>
        </is>
      </c>
      <c r="C5592" t="inlineStr">
        <is>
          <t>Cali</t>
        </is>
      </c>
      <c r="D5592" t="inlineStr">
        <is>
          <t>8731</t>
        </is>
      </c>
      <c r="E5592" t="inlineStr">
        <is>
          <t>pagado</t>
        </is>
      </c>
      <c r="F5592" s="23" t="n">
        <v>46275</v>
      </c>
      <c r="G5592" s="24">
        <f>F5592-DATE(2026,8,31)</f>
        <v>10</v>
      </c>
      <c r="H5592" s="25" t="n">
        <v>162477849</v>
      </c>
      <c r="I5592" t="inlineStr">
        <is>
          <t>entidad-dia</t>
        </is>
      </c>
    </row>
    <row r="5593">
      <c r="A5593" t="inlineStr">
        <is>
          <t>PRAGMA</t>
        </is>
      </c>
      <c r="B5593" t="inlineStr">
        <is>
          <t>M1</t>
        </is>
      </c>
      <c r="C5593" t="inlineStr">
        <is>
          <t>Cali</t>
        </is>
      </c>
      <c r="D5593" t="inlineStr">
        <is>
          <t>8731</t>
        </is>
      </c>
      <c r="E5593" t="inlineStr">
        <is>
          <t>pagado</t>
        </is>
      </c>
      <c r="F5593" s="23" t="n">
        <v>46276</v>
      </c>
      <c r="G5593" s="24">
        <f>F5593-DATE(2026,8,31)</f>
        <v>11</v>
      </c>
      <c r="H5593" s="25" t="n">
        <v>171967125</v>
      </c>
      <c r="I5593" t="inlineStr">
        <is>
          <t>entidad-dia</t>
        </is>
      </c>
    </row>
    <row r="5594">
      <c r="A5594" t="inlineStr">
        <is>
          <t>PRAGMA</t>
        </is>
      </c>
      <c r="B5594" t="inlineStr">
        <is>
          <t>M1</t>
        </is>
      </c>
      <c r="C5594" t="inlineStr">
        <is>
          <t>Cali</t>
        </is>
      </c>
      <c r="D5594" t="inlineStr">
        <is>
          <t>8731</t>
        </is>
      </c>
      <c r="E5594" t="inlineStr">
        <is>
          <t>pagado</t>
        </is>
      </c>
      <c r="F5594" s="23" t="n">
        <v>46277</v>
      </c>
      <c r="G5594" s="24">
        <f>F5594-DATE(2026,8,31)</f>
        <v>12</v>
      </c>
      <c r="H5594" s="25" t="n">
        <v>142201777</v>
      </c>
      <c r="I5594" t="inlineStr">
        <is>
          <t>entidad-dia</t>
        </is>
      </c>
    </row>
    <row r="5595">
      <c r="A5595" t="inlineStr">
        <is>
          <t>PRAGMA</t>
        </is>
      </c>
      <c r="B5595" t="inlineStr">
        <is>
          <t>M1</t>
        </is>
      </c>
      <c r="C5595" t="inlineStr">
        <is>
          <t>Cali</t>
        </is>
      </c>
      <c r="D5595" t="inlineStr">
        <is>
          <t>8731</t>
        </is>
      </c>
      <c r="E5595" t="inlineStr">
        <is>
          <t>pagado</t>
        </is>
      </c>
      <c r="F5595" s="23" t="n">
        <v>46278</v>
      </c>
      <c r="G5595" s="24">
        <f>F5595-DATE(2026,8,31)</f>
        <v>13</v>
      </c>
      <c r="H5595" s="25" t="n">
        <v>7383446</v>
      </c>
      <c r="I5595" t="inlineStr">
        <is>
          <t>entidad-dia</t>
        </is>
      </c>
    </row>
    <row r="5596">
      <c r="A5596" t="inlineStr">
        <is>
          <t>PRAGMA</t>
        </is>
      </c>
      <c r="B5596" t="inlineStr">
        <is>
          <t>M1</t>
        </is>
      </c>
      <c r="C5596" t="inlineStr">
        <is>
          <t>Cali</t>
        </is>
      </c>
      <c r="D5596" t="inlineStr">
        <is>
          <t>8731</t>
        </is>
      </c>
      <c r="E5596" t="inlineStr">
        <is>
          <t>pagado</t>
        </is>
      </c>
      <c r="F5596" s="23" t="n">
        <v>46279</v>
      </c>
      <c r="G5596" s="24">
        <f>F5596-DATE(2026,8,31)</f>
        <v>14</v>
      </c>
      <c r="H5596" s="25" t="n">
        <v>151014990</v>
      </c>
      <c r="I5596" t="inlineStr">
        <is>
          <t>entidad-dia</t>
        </is>
      </c>
    </row>
    <row r="5597">
      <c r="A5597" t="inlineStr">
        <is>
          <t>PRAGMA</t>
        </is>
      </c>
      <c r="B5597" t="inlineStr">
        <is>
          <t>M1</t>
        </is>
      </c>
      <c r="C5597" t="inlineStr">
        <is>
          <t>Cali</t>
        </is>
      </c>
      <c r="D5597" t="inlineStr">
        <is>
          <t>8731</t>
        </is>
      </c>
      <c r="E5597" t="inlineStr">
        <is>
          <t>pagado</t>
        </is>
      </c>
      <c r="F5597" s="23" t="n">
        <v>46280</v>
      </c>
      <c r="G5597" s="24">
        <f>F5597-DATE(2026,8,31)</f>
        <v>15</v>
      </c>
      <c r="H5597" s="25" t="n">
        <v>245247761</v>
      </c>
      <c r="I5597" t="inlineStr">
        <is>
          <t>entidad-dia</t>
        </is>
      </c>
    </row>
    <row r="5598">
      <c r="A5598" t="inlineStr">
        <is>
          <t>PRAGMA</t>
        </is>
      </c>
      <c r="B5598" t="inlineStr">
        <is>
          <t>M1</t>
        </is>
      </c>
      <c r="C5598" t="inlineStr">
        <is>
          <t>Cali</t>
        </is>
      </c>
      <c r="D5598" t="inlineStr">
        <is>
          <t>8746</t>
        </is>
      </c>
      <c r="E5598" t="inlineStr">
        <is>
          <t>pagado</t>
        </is>
      </c>
      <c r="F5598" s="23" t="n">
        <v>46266</v>
      </c>
      <c r="G5598" s="24">
        <f>F5598-DATE(2026,8,31)</f>
        <v>1</v>
      </c>
      <c r="H5598" s="25" t="n">
        <v>235183179</v>
      </c>
      <c r="I5598" t="inlineStr">
        <is>
          <t>entidad-dia</t>
        </is>
      </c>
    </row>
    <row r="5599">
      <c r="A5599" t="inlineStr">
        <is>
          <t>PRAGMA</t>
        </is>
      </c>
      <c r="B5599" t="inlineStr">
        <is>
          <t>M1</t>
        </is>
      </c>
      <c r="C5599" t="inlineStr">
        <is>
          <t>Cali</t>
        </is>
      </c>
      <c r="D5599" t="inlineStr">
        <is>
          <t>8746</t>
        </is>
      </c>
      <c r="E5599" t="inlineStr">
        <is>
          <t>pagado</t>
        </is>
      </c>
      <c r="F5599" s="23" t="n">
        <v>46267</v>
      </c>
      <c r="G5599" s="24">
        <f>F5599-DATE(2026,8,31)</f>
        <v>2</v>
      </c>
      <c r="H5599" s="25" t="n">
        <v>183951732</v>
      </c>
      <c r="I5599" t="inlineStr">
        <is>
          <t>entidad-dia</t>
        </is>
      </c>
    </row>
    <row r="5600">
      <c r="A5600" t="inlineStr">
        <is>
          <t>PRAGMA</t>
        </is>
      </c>
      <c r="B5600" t="inlineStr">
        <is>
          <t>M1</t>
        </is>
      </c>
      <c r="C5600" t="inlineStr">
        <is>
          <t>Cali</t>
        </is>
      </c>
      <c r="D5600" t="inlineStr">
        <is>
          <t>8746</t>
        </is>
      </c>
      <c r="E5600" t="inlineStr">
        <is>
          <t>pagado</t>
        </is>
      </c>
      <c r="F5600" s="23" t="n">
        <v>46268</v>
      </c>
      <c r="G5600" s="24">
        <f>F5600-DATE(2026,8,31)</f>
        <v>3</v>
      </c>
      <c r="H5600" s="25" t="n">
        <v>173474444</v>
      </c>
      <c r="I5600" t="inlineStr">
        <is>
          <t>entidad-dia</t>
        </is>
      </c>
    </row>
    <row r="5601">
      <c r="A5601" t="inlineStr">
        <is>
          <t>PRAGMA</t>
        </is>
      </c>
      <c r="B5601" t="inlineStr">
        <is>
          <t>M1</t>
        </is>
      </c>
      <c r="C5601" t="inlineStr">
        <is>
          <t>Cali</t>
        </is>
      </c>
      <c r="D5601" t="inlineStr">
        <is>
          <t>8746</t>
        </is>
      </c>
      <c r="E5601" t="inlineStr">
        <is>
          <t>pagado</t>
        </is>
      </c>
      <c r="F5601" s="23" t="n">
        <v>46269</v>
      </c>
      <c r="G5601" s="24">
        <f>F5601-DATE(2026,8,31)</f>
        <v>4</v>
      </c>
      <c r="H5601" s="25" t="n">
        <v>181356738</v>
      </c>
      <c r="I5601" t="inlineStr">
        <is>
          <t>entidad-dia</t>
        </is>
      </c>
    </row>
    <row r="5602">
      <c r="A5602" t="inlineStr">
        <is>
          <t>PRAGMA</t>
        </is>
      </c>
      <c r="B5602" t="inlineStr">
        <is>
          <t>M1</t>
        </is>
      </c>
      <c r="C5602" t="inlineStr">
        <is>
          <t>Cali</t>
        </is>
      </c>
      <c r="D5602" t="inlineStr">
        <is>
          <t>8746</t>
        </is>
      </c>
      <c r="E5602" t="inlineStr">
        <is>
          <t>pagado</t>
        </is>
      </c>
      <c r="F5602" s="23" t="n">
        <v>46270</v>
      </c>
      <c r="G5602" s="24">
        <f>F5602-DATE(2026,8,31)</f>
        <v>5</v>
      </c>
      <c r="H5602" s="25" t="n">
        <v>191286767</v>
      </c>
      <c r="I5602" t="inlineStr">
        <is>
          <t>entidad-dia</t>
        </is>
      </c>
    </row>
    <row r="5603">
      <c r="A5603" t="inlineStr">
        <is>
          <t>PRAGMA</t>
        </is>
      </c>
      <c r="B5603" t="inlineStr">
        <is>
          <t>M1</t>
        </is>
      </c>
      <c r="C5603" t="inlineStr">
        <is>
          <t>Cali</t>
        </is>
      </c>
      <c r="D5603" t="inlineStr">
        <is>
          <t>8746</t>
        </is>
      </c>
      <c r="E5603" t="inlineStr">
        <is>
          <t>pagado</t>
        </is>
      </c>
      <c r="F5603" s="23" t="n">
        <v>46271</v>
      </c>
      <c r="G5603" s="24">
        <f>F5603-DATE(2026,8,31)</f>
        <v>6</v>
      </c>
      <c r="H5603" s="25" t="n">
        <v>142724505</v>
      </c>
      <c r="I5603" t="inlineStr">
        <is>
          <t>entidad-dia</t>
        </is>
      </c>
    </row>
    <row r="5604">
      <c r="A5604" t="inlineStr">
        <is>
          <t>PRAGMA</t>
        </is>
      </c>
      <c r="B5604" t="inlineStr">
        <is>
          <t>M1</t>
        </is>
      </c>
      <c r="C5604" t="inlineStr">
        <is>
          <t>Cali</t>
        </is>
      </c>
      <c r="D5604" t="inlineStr">
        <is>
          <t>8746</t>
        </is>
      </c>
      <c r="E5604" t="inlineStr">
        <is>
          <t>pagado</t>
        </is>
      </c>
      <c r="F5604" s="23" t="n">
        <v>46272</v>
      </c>
      <c r="G5604" s="24">
        <f>F5604-DATE(2026,8,31)</f>
        <v>7</v>
      </c>
      <c r="H5604" s="25" t="n">
        <v>140949564</v>
      </c>
      <c r="I5604" t="inlineStr">
        <is>
          <t>entidad-dia</t>
        </is>
      </c>
    </row>
    <row r="5605">
      <c r="A5605" t="inlineStr">
        <is>
          <t>PRAGMA</t>
        </is>
      </c>
      <c r="B5605" t="inlineStr">
        <is>
          <t>M1</t>
        </is>
      </c>
      <c r="C5605" t="inlineStr">
        <is>
          <t>Cali</t>
        </is>
      </c>
      <c r="D5605" t="inlineStr">
        <is>
          <t>8746</t>
        </is>
      </c>
      <c r="E5605" t="inlineStr">
        <is>
          <t>pagado</t>
        </is>
      </c>
      <c r="F5605" s="23" t="n">
        <v>46273</v>
      </c>
      <c r="G5605" s="24">
        <f>F5605-DATE(2026,8,31)</f>
        <v>8</v>
      </c>
      <c r="H5605" s="25" t="n">
        <v>144664213</v>
      </c>
      <c r="I5605" t="inlineStr">
        <is>
          <t>entidad-dia</t>
        </is>
      </c>
    </row>
    <row r="5606">
      <c r="A5606" t="inlineStr">
        <is>
          <t>PRAGMA</t>
        </is>
      </c>
      <c r="B5606" t="inlineStr">
        <is>
          <t>M1</t>
        </is>
      </c>
      <c r="C5606" t="inlineStr">
        <is>
          <t>Cali</t>
        </is>
      </c>
      <c r="D5606" t="inlineStr">
        <is>
          <t>8746</t>
        </is>
      </c>
      <c r="E5606" t="inlineStr">
        <is>
          <t>pagado</t>
        </is>
      </c>
      <c r="F5606" s="23" t="n">
        <v>46274</v>
      </c>
      <c r="G5606" s="24">
        <f>F5606-DATE(2026,8,31)</f>
        <v>9</v>
      </c>
      <c r="H5606" s="25" t="n">
        <v>135941721</v>
      </c>
      <c r="I5606" t="inlineStr">
        <is>
          <t>entidad-dia</t>
        </is>
      </c>
    </row>
    <row r="5607">
      <c r="A5607" t="inlineStr">
        <is>
          <t>PRAGMA</t>
        </is>
      </c>
      <c r="B5607" t="inlineStr">
        <is>
          <t>M1</t>
        </is>
      </c>
      <c r="C5607" t="inlineStr">
        <is>
          <t>Cali</t>
        </is>
      </c>
      <c r="D5607" t="inlineStr">
        <is>
          <t>8746</t>
        </is>
      </c>
      <c r="E5607" t="inlineStr">
        <is>
          <t>pagado</t>
        </is>
      </c>
      <c r="F5607" s="23" t="n">
        <v>46275</v>
      </c>
      <c r="G5607" s="24">
        <f>F5607-DATE(2026,8,31)</f>
        <v>10</v>
      </c>
      <c r="H5607" s="25" t="n">
        <v>134555461</v>
      </c>
      <c r="I5607" t="inlineStr">
        <is>
          <t>entidad-dia</t>
        </is>
      </c>
    </row>
    <row r="5608">
      <c r="A5608" t="inlineStr">
        <is>
          <t>PRAGMA</t>
        </is>
      </c>
      <c r="B5608" t="inlineStr">
        <is>
          <t>M1</t>
        </is>
      </c>
      <c r="C5608" t="inlineStr">
        <is>
          <t>Cali</t>
        </is>
      </c>
      <c r="D5608" t="inlineStr">
        <is>
          <t>8746</t>
        </is>
      </c>
      <c r="E5608" t="inlineStr">
        <is>
          <t>pagado</t>
        </is>
      </c>
      <c r="F5608" s="23" t="n">
        <v>46276</v>
      </c>
      <c r="G5608" s="24">
        <f>F5608-DATE(2026,8,31)</f>
        <v>11</v>
      </c>
      <c r="H5608" s="25" t="n">
        <v>160103988</v>
      </c>
      <c r="I5608" t="inlineStr">
        <is>
          <t>entidad-dia</t>
        </is>
      </c>
    </row>
    <row r="5609">
      <c r="A5609" t="inlineStr">
        <is>
          <t>PRAGMA</t>
        </is>
      </c>
      <c r="B5609" t="inlineStr">
        <is>
          <t>M1</t>
        </is>
      </c>
      <c r="C5609" t="inlineStr">
        <is>
          <t>Cali</t>
        </is>
      </c>
      <c r="D5609" t="inlineStr">
        <is>
          <t>8746</t>
        </is>
      </c>
      <c r="E5609" t="inlineStr">
        <is>
          <t>pagado</t>
        </is>
      </c>
      <c r="F5609" s="23" t="n">
        <v>46277</v>
      </c>
      <c r="G5609" s="24">
        <f>F5609-DATE(2026,8,31)</f>
        <v>12</v>
      </c>
      <c r="H5609" s="25" t="n">
        <v>150563411</v>
      </c>
      <c r="I5609" t="inlineStr">
        <is>
          <t>entidad-dia</t>
        </is>
      </c>
    </row>
    <row r="5610">
      <c r="A5610" t="inlineStr">
        <is>
          <t>PRAGMA</t>
        </is>
      </c>
      <c r="B5610" t="inlineStr">
        <is>
          <t>M1</t>
        </is>
      </c>
      <c r="C5610" t="inlineStr">
        <is>
          <t>Cali</t>
        </is>
      </c>
      <c r="D5610" t="inlineStr">
        <is>
          <t>8746</t>
        </is>
      </c>
      <c r="E5610" t="inlineStr">
        <is>
          <t>pagado</t>
        </is>
      </c>
      <c r="F5610" s="23" t="n">
        <v>46278</v>
      </c>
      <c r="G5610" s="24">
        <f>F5610-DATE(2026,8,31)</f>
        <v>13</v>
      </c>
      <c r="H5610" s="25" t="n">
        <v>105728111</v>
      </c>
      <c r="I5610" t="inlineStr">
        <is>
          <t>entidad-dia</t>
        </is>
      </c>
    </row>
    <row r="5611">
      <c r="A5611" t="inlineStr">
        <is>
          <t>PRAGMA</t>
        </is>
      </c>
      <c r="B5611" t="inlineStr">
        <is>
          <t>M1</t>
        </is>
      </c>
      <c r="C5611" t="inlineStr">
        <is>
          <t>Cali</t>
        </is>
      </c>
      <c r="D5611" t="inlineStr">
        <is>
          <t>8746</t>
        </is>
      </c>
      <c r="E5611" t="inlineStr">
        <is>
          <t>pagado</t>
        </is>
      </c>
      <c r="F5611" s="23" t="n">
        <v>46279</v>
      </c>
      <c r="G5611" s="24">
        <f>F5611-DATE(2026,8,31)</f>
        <v>14</v>
      </c>
      <c r="H5611" s="25" t="n">
        <v>131004519</v>
      </c>
      <c r="I5611" t="inlineStr">
        <is>
          <t>entidad-dia</t>
        </is>
      </c>
    </row>
    <row r="5612">
      <c r="A5612" t="inlineStr">
        <is>
          <t>PRAGMA</t>
        </is>
      </c>
      <c r="B5612" t="inlineStr">
        <is>
          <t>M1</t>
        </is>
      </c>
      <c r="C5612" t="inlineStr">
        <is>
          <t>Cali</t>
        </is>
      </c>
      <c r="D5612" t="inlineStr">
        <is>
          <t>8746</t>
        </is>
      </c>
      <c r="E5612" t="inlineStr">
        <is>
          <t>pagado</t>
        </is>
      </c>
      <c r="F5612" s="23" t="n">
        <v>46280</v>
      </c>
      <c r="G5612" s="24">
        <f>F5612-DATE(2026,8,31)</f>
        <v>15</v>
      </c>
      <c r="H5612" s="25" t="n">
        <v>185473867</v>
      </c>
      <c r="I5612" t="inlineStr">
        <is>
          <t>entidad-dia</t>
        </is>
      </c>
    </row>
    <row r="5613">
      <c r="A5613" t="inlineStr">
        <is>
          <t>PRAGMA</t>
        </is>
      </c>
      <c r="B5613" t="inlineStr">
        <is>
          <t>M1</t>
        </is>
      </c>
      <c r="C5613" t="inlineStr">
        <is>
          <t>Cali</t>
        </is>
      </c>
      <c r="D5613" t="inlineStr">
        <is>
          <t>8757</t>
        </is>
      </c>
      <c r="E5613" t="inlineStr">
        <is>
          <t>pagado</t>
        </is>
      </c>
      <c r="F5613" s="23" t="n">
        <v>46266</v>
      </c>
      <c r="G5613" s="24">
        <f>F5613-DATE(2026,8,31)</f>
        <v>1</v>
      </c>
      <c r="H5613" s="25" t="n">
        <v>123491336</v>
      </c>
      <c r="I5613" t="inlineStr">
        <is>
          <t>entidad-dia</t>
        </is>
      </c>
    </row>
    <row r="5614">
      <c r="A5614" t="inlineStr">
        <is>
          <t>PRAGMA</t>
        </is>
      </c>
      <c r="B5614" t="inlineStr">
        <is>
          <t>M1</t>
        </is>
      </c>
      <c r="C5614" t="inlineStr">
        <is>
          <t>Cali</t>
        </is>
      </c>
      <c r="D5614" t="inlineStr">
        <is>
          <t>8757</t>
        </is>
      </c>
      <c r="E5614" t="inlineStr">
        <is>
          <t>pagado</t>
        </is>
      </c>
      <c r="F5614" s="23" t="n">
        <v>46267</v>
      </c>
      <c r="G5614" s="24">
        <f>F5614-DATE(2026,8,31)</f>
        <v>2</v>
      </c>
      <c r="H5614" s="25" t="n">
        <v>90182198</v>
      </c>
      <c r="I5614" t="inlineStr">
        <is>
          <t>entidad-dia</t>
        </is>
      </c>
    </row>
    <row r="5615">
      <c r="A5615" t="inlineStr">
        <is>
          <t>PRAGMA</t>
        </is>
      </c>
      <c r="B5615" t="inlineStr">
        <is>
          <t>M1</t>
        </is>
      </c>
      <c r="C5615" t="inlineStr">
        <is>
          <t>Cali</t>
        </is>
      </c>
      <c r="D5615" t="inlineStr">
        <is>
          <t>8757</t>
        </is>
      </c>
      <c r="E5615" t="inlineStr">
        <is>
          <t>pagado</t>
        </is>
      </c>
      <c r="F5615" s="23" t="n">
        <v>46268</v>
      </c>
      <c r="G5615" s="24">
        <f>F5615-DATE(2026,8,31)</f>
        <v>3</v>
      </c>
      <c r="H5615" s="25" t="n">
        <v>89545540</v>
      </c>
      <c r="I5615" t="inlineStr">
        <is>
          <t>entidad-dia</t>
        </is>
      </c>
    </row>
    <row r="5616">
      <c r="A5616" t="inlineStr">
        <is>
          <t>PRAGMA</t>
        </is>
      </c>
      <c r="B5616" t="inlineStr">
        <is>
          <t>M1</t>
        </is>
      </c>
      <c r="C5616" t="inlineStr">
        <is>
          <t>Cali</t>
        </is>
      </c>
      <c r="D5616" t="inlineStr">
        <is>
          <t>8757</t>
        </is>
      </c>
      <c r="E5616" t="inlineStr">
        <is>
          <t>pagado</t>
        </is>
      </c>
      <c r="F5616" s="23" t="n">
        <v>46269</v>
      </c>
      <c r="G5616" s="24">
        <f>F5616-DATE(2026,8,31)</f>
        <v>4</v>
      </c>
      <c r="H5616" s="25" t="n">
        <v>93378291</v>
      </c>
      <c r="I5616" t="inlineStr">
        <is>
          <t>entidad-dia</t>
        </is>
      </c>
    </row>
    <row r="5617">
      <c r="A5617" t="inlineStr">
        <is>
          <t>PRAGMA</t>
        </is>
      </c>
      <c r="B5617" t="inlineStr">
        <is>
          <t>M1</t>
        </is>
      </c>
      <c r="C5617" t="inlineStr">
        <is>
          <t>Cali</t>
        </is>
      </c>
      <c r="D5617" t="inlineStr">
        <is>
          <t>8757</t>
        </is>
      </c>
      <c r="E5617" t="inlineStr">
        <is>
          <t>pagado</t>
        </is>
      </c>
      <c r="F5617" s="23" t="n">
        <v>46270</v>
      </c>
      <c r="G5617" s="24">
        <f>F5617-DATE(2026,8,31)</f>
        <v>5</v>
      </c>
      <c r="H5617" s="25" t="n">
        <v>94004005</v>
      </c>
      <c r="I5617" t="inlineStr">
        <is>
          <t>entidad-dia</t>
        </is>
      </c>
    </row>
    <row r="5618">
      <c r="A5618" t="inlineStr">
        <is>
          <t>PRAGMA</t>
        </is>
      </c>
      <c r="B5618" t="inlineStr">
        <is>
          <t>M1</t>
        </is>
      </c>
      <c r="C5618" t="inlineStr">
        <is>
          <t>Cali</t>
        </is>
      </c>
      <c r="D5618" t="inlineStr">
        <is>
          <t>8757</t>
        </is>
      </c>
      <c r="E5618" t="inlineStr">
        <is>
          <t>pagado</t>
        </is>
      </c>
      <c r="F5618" s="23" t="n">
        <v>46271</v>
      </c>
      <c r="G5618" s="24">
        <f>F5618-DATE(2026,8,31)</f>
        <v>6</v>
      </c>
      <c r="H5618" s="25" t="n">
        <v>56027770</v>
      </c>
      <c r="I5618" t="inlineStr">
        <is>
          <t>entidad-dia</t>
        </is>
      </c>
    </row>
    <row r="5619">
      <c r="A5619" t="inlineStr">
        <is>
          <t>PRAGMA</t>
        </is>
      </c>
      <c r="B5619" t="inlineStr">
        <is>
          <t>M1</t>
        </is>
      </c>
      <c r="C5619" t="inlineStr">
        <is>
          <t>Cali</t>
        </is>
      </c>
      <c r="D5619" t="inlineStr">
        <is>
          <t>8757</t>
        </is>
      </c>
      <c r="E5619" t="inlineStr">
        <is>
          <t>pagado</t>
        </is>
      </c>
      <c r="F5619" s="23" t="n">
        <v>46272</v>
      </c>
      <c r="G5619" s="24">
        <f>F5619-DATE(2026,8,31)</f>
        <v>7</v>
      </c>
      <c r="H5619" s="25" t="n">
        <v>71049090</v>
      </c>
      <c r="I5619" t="inlineStr">
        <is>
          <t>entidad-dia</t>
        </is>
      </c>
    </row>
    <row r="5620">
      <c r="A5620" t="inlineStr">
        <is>
          <t>PRAGMA</t>
        </is>
      </c>
      <c r="B5620" t="inlineStr">
        <is>
          <t>M1</t>
        </is>
      </c>
      <c r="C5620" t="inlineStr">
        <is>
          <t>Cali</t>
        </is>
      </c>
      <c r="D5620" t="inlineStr">
        <is>
          <t>8757</t>
        </is>
      </c>
      <c r="E5620" t="inlineStr">
        <is>
          <t>pagado</t>
        </is>
      </c>
      <c r="F5620" s="23" t="n">
        <v>46273</v>
      </c>
      <c r="G5620" s="24">
        <f>F5620-DATE(2026,8,31)</f>
        <v>8</v>
      </c>
      <c r="H5620" s="25" t="n">
        <v>70768652</v>
      </c>
      <c r="I5620" t="inlineStr">
        <is>
          <t>entidad-dia</t>
        </is>
      </c>
    </row>
    <row r="5621">
      <c r="A5621" t="inlineStr">
        <is>
          <t>PRAGMA</t>
        </is>
      </c>
      <c r="B5621" t="inlineStr">
        <is>
          <t>M1</t>
        </is>
      </c>
      <c r="C5621" t="inlineStr">
        <is>
          <t>Cali</t>
        </is>
      </c>
      <c r="D5621" t="inlineStr">
        <is>
          <t>8757</t>
        </is>
      </c>
      <c r="E5621" t="inlineStr">
        <is>
          <t>pagado</t>
        </is>
      </c>
      <c r="F5621" s="23" t="n">
        <v>46274</v>
      </c>
      <c r="G5621" s="24">
        <f>F5621-DATE(2026,8,31)</f>
        <v>9</v>
      </c>
      <c r="H5621" s="25" t="n">
        <v>64826125</v>
      </c>
      <c r="I5621" t="inlineStr">
        <is>
          <t>entidad-dia</t>
        </is>
      </c>
    </row>
    <row r="5622">
      <c r="A5622" t="inlineStr">
        <is>
          <t>PRAGMA</t>
        </is>
      </c>
      <c r="B5622" t="inlineStr">
        <is>
          <t>M1</t>
        </is>
      </c>
      <c r="C5622" t="inlineStr">
        <is>
          <t>Cali</t>
        </is>
      </c>
      <c r="D5622" t="inlineStr">
        <is>
          <t>8757</t>
        </is>
      </c>
      <c r="E5622" t="inlineStr">
        <is>
          <t>pagado</t>
        </is>
      </c>
      <c r="F5622" s="23" t="n">
        <v>46275</v>
      </c>
      <c r="G5622" s="24">
        <f>F5622-DATE(2026,8,31)</f>
        <v>10</v>
      </c>
      <c r="H5622" s="25" t="n">
        <v>64459773</v>
      </c>
      <c r="I5622" t="inlineStr">
        <is>
          <t>entidad-dia</t>
        </is>
      </c>
    </row>
    <row r="5623">
      <c r="A5623" t="inlineStr">
        <is>
          <t>PRAGMA</t>
        </is>
      </c>
      <c r="B5623" t="inlineStr">
        <is>
          <t>M1</t>
        </is>
      </c>
      <c r="C5623" t="inlineStr">
        <is>
          <t>Cali</t>
        </is>
      </c>
      <c r="D5623" t="inlineStr">
        <is>
          <t>8757</t>
        </is>
      </c>
      <c r="E5623" t="inlineStr">
        <is>
          <t>pagado</t>
        </is>
      </c>
      <c r="F5623" s="23" t="n">
        <v>46276</v>
      </c>
      <c r="G5623" s="24">
        <f>F5623-DATE(2026,8,31)</f>
        <v>11</v>
      </c>
      <c r="H5623" s="25" t="n">
        <v>72339535</v>
      </c>
      <c r="I5623" t="inlineStr">
        <is>
          <t>entidad-dia</t>
        </is>
      </c>
    </row>
    <row r="5624">
      <c r="A5624" t="inlineStr">
        <is>
          <t>PRAGMA</t>
        </is>
      </c>
      <c r="B5624" t="inlineStr">
        <is>
          <t>M1</t>
        </is>
      </c>
      <c r="C5624" t="inlineStr">
        <is>
          <t>Cali</t>
        </is>
      </c>
      <c r="D5624" t="inlineStr">
        <is>
          <t>8757</t>
        </is>
      </c>
      <c r="E5624" t="inlineStr">
        <is>
          <t>pagado</t>
        </is>
      </c>
      <c r="F5624" s="23" t="n">
        <v>46277</v>
      </c>
      <c r="G5624" s="24">
        <f>F5624-DATE(2026,8,31)</f>
        <v>12</v>
      </c>
      <c r="H5624" s="25" t="n">
        <v>69087727</v>
      </c>
      <c r="I5624" t="inlineStr">
        <is>
          <t>entidad-dia</t>
        </is>
      </c>
    </row>
    <row r="5625">
      <c r="A5625" t="inlineStr">
        <is>
          <t>PRAGMA</t>
        </is>
      </c>
      <c r="B5625" t="inlineStr">
        <is>
          <t>M1</t>
        </is>
      </c>
      <c r="C5625" t="inlineStr">
        <is>
          <t>Cali</t>
        </is>
      </c>
      <c r="D5625" t="inlineStr">
        <is>
          <t>8757</t>
        </is>
      </c>
      <c r="E5625" t="inlineStr">
        <is>
          <t>pagado</t>
        </is>
      </c>
      <c r="F5625" s="23" t="n">
        <v>46278</v>
      </c>
      <c r="G5625" s="24">
        <f>F5625-DATE(2026,8,31)</f>
        <v>13</v>
      </c>
      <c r="H5625" s="25" t="n">
        <v>43945458</v>
      </c>
      <c r="I5625" t="inlineStr">
        <is>
          <t>entidad-dia</t>
        </is>
      </c>
    </row>
    <row r="5626">
      <c r="A5626" t="inlineStr">
        <is>
          <t>PRAGMA</t>
        </is>
      </c>
      <c r="B5626" t="inlineStr">
        <is>
          <t>M1</t>
        </is>
      </c>
      <c r="C5626" t="inlineStr">
        <is>
          <t>Cali</t>
        </is>
      </c>
      <c r="D5626" t="inlineStr">
        <is>
          <t>8757</t>
        </is>
      </c>
      <c r="E5626" t="inlineStr">
        <is>
          <t>pagado</t>
        </is>
      </c>
      <c r="F5626" s="23" t="n">
        <v>46279</v>
      </c>
      <c r="G5626" s="24">
        <f>F5626-DATE(2026,8,31)</f>
        <v>14</v>
      </c>
      <c r="H5626" s="25" t="n">
        <v>65018399</v>
      </c>
      <c r="I5626" t="inlineStr">
        <is>
          <t>entidad-dia</t>
        </is>
      </c>
    </row>
    <row r="5627">
      <c r="A5627" t="inlineStr">
        <is>
          <t>PRAGMA</t>
        </is>
      </c>
      <c r="B5627" t="inlineStr">
        <is>
          <t>M1</t>
        </is>
      </c>
      <c r="C5627" t="inlineStr">
        <is>
          <t>Cali</t>
        </is>
      </c>
      <c r="D5627" t="inlineStr">
        <is>
          <t>8757</t>
        </is>
      </c>
      <c r="E5627" t="inlineStr">
        <is>
          <t>pagado</t>
        </is>
      </c>
      <c r="F5627" s="23" t="n">
        <v>46280</v>
      </c>
      <c r="G5627" s="24">
        <f>F5627-DATE(2026,8,31)</f>
        <v>15</v>
      </c>
      <c r="H5627" s="25" t="n">
        <v>86726738</v>
      </c>
      <c r="I5627" t="inlineStr">
        <is>
          <t>entidad-dia</t>
        </is>
      </c>
    </row>
    <row r="5628">
      <c r="A5628" t="inlineStr">
        <is>
          <t>PRAGMA</t>
        </is>
      </c>
      <c r="B5628" t="inlineStr">
        <is>
          <t>M1</t>
        </is>
      </c>
      <c r="C5628" t="inlineStr">
        <is>
          <t>Cali</t>
        </is>
      </c>
      <c r="D5628" t="inlineStr">
        <is>
          <t>8758</t>
        </is>
      </c>
      <c r="E5628" t="inlineStr">
        <is>
          <t>pagado</t>
        </is>
      </c>
      <c r="F5628" s="23" t="n">
        <v>46266</v>
      </c>
      <c r="G5628" s="24">
        <f>F5628-DATE(2026,8,31)</f>
        <v>1</v>
      </c>
      <c r="H5628" s="25" t="n">
        <v>145131361</v>
      </c>
      <c r="I5628" t="inlineStr">
        <is>
          <t>entidad-dia</t>
        </is>
      </c>
    </row>
    <row r="5629">
      <c r="A5629" t="inlineStr">
        <is>
          <t>PRAGMA</t>
        </is>
      </c>
      <c r="B5629" t="inlineStr">
        <is>
          <t>M1</t>
        </is>
      </c>
      <c r="C5629" t="inlineStr">
        <is>
          <t>Cali</t>
        </is>
      </c>
      <c r="D5629" t="inlineStr">
        <is>
          <t>8758</t>
        </is>
      </c>
      <c r="E5629" t="inlineStr">
        <is>
          <t>pagado</t>
        </is>
      </c>
      <c r="F5629" s="23" t="n">
        <v>46267</v>
      </c>
      <c r="G5629" s="24">
        <f>F5629-DATE(2026,8,31)</f>
        <v>2</v>
      </c>
      <c r="H5629" s="25" t="n">
        <v>109857647</v>
      </c>
      <c r="I5629" t="inlineStr">
        <is>
          <t>entidad-dia</t>
        </is>
      </c>
    </row>
    <row r="5630">
      <c r="A5630" t="inlineStr">
        <is>
          <t>PRAGMA</t>
        </is>
      </c>
      <c r="B5630" t="inlineStr">
        <is>
          <t>M1</t>
        </is>
      </c>
      <c r="C5630" t="inlineStr">
        <is>
          <t>Cali</t>
        </is>
      </c>
      <c r="D5630" t="inlineStr">
        <is>
          <t>8758</t>
        </is>
      </c>
      <c r="E5630" t="inlineStr">
        <is>
          <t>pagado</t>
        </is>
      </c>
      <c r="F5630" s="23" t="n">
        <v>46268</v>
      </c>
      <c r="G5630" s="24">
        <f>F5630-DATE(2026,8,31)</f>
        <v>3</v>
      </c>
      <c r="H5630" s="25" t="n">
        <v>98676166</v>
      </c>
      <c r="I5630" t="inlineStr">
        <is>
          <t>entidad-dia</t>
        </is>
      </c>
    </row>
    <row r="5631">
      <c r="A5631" t="inlineStr">
        <is>
          <t>PRAGMA</t>
        </is>
      </c>
      <c r="B5631" t="inlineStr">
        <is>
          <t>M1</t>
        </is>
      </c>
      <c r="C5631" t="inlineStr">
        <is>
          <t>Cali</t>
        </is>
      </c>
      <c r="D5631" t="inlineStr">
        <is>
          <t>8758</t>
        </is>
      </c>
      <c r="E5631" t="inlineStr">
        <is>
          <t>pagado</t>
        </is>
      </c>
      <c r="F5631" s="23" t="n">
        <v>46269</v>
      </c>
      <c r="G5631" s="24">
        <f>F5631-DATE(2026,8,31)</f>
        <v>4</v>
      </c>
      <c r="H5631" s="25" t="n">
        <v>104179545</v>
      </c>
      <c r="I5631" t="inlineStr">
        <is>
          <t>entidad-dia</t>
        </is>
      </c>
    </row>
    <row r="5632">
      <c r="A5632" t="inlineStr">
        <is>
          <t>PRAGMA</t>
        </is>
      </c>
      <c r="B5632" t="inlineStr">
        <is>
          <t>M1</t>
        </is>
      </c>
      <c r="C5632" t="inlineStr">
        <is>
          <t>Cali</t>
        </is>
      </c>
      <c r="D5632" t="inlineStr">
        <is>
          <t>8758</t>
        </is>
      </c>
      <c r="E5632" t="inlineStr">
        <is>
          <t>pagado</t>
        </is>
      </c>
      <c r="F5632" s="23" t="n">
        <v>46270</v>
      </c>
      <c r="G5632" s="24">
        <f>F5632-DATE(2026,8,31)</f>
        <v>5</v>
      </c>
      <c r="H5632" s="25" t="n">
        <v>105848425</v>
      </c>
      <c r="I5632" t="inlineStr">
        <is>
          <t>entidad-dia</t>
        </is>
      </c>
    </row>
    <row r="5633">
      <c r="A5633" t="inlineStr">
        <is>
          <t>PRAGMA</t>
        </is>
      </c>
      <c r="B5633" t="inlineStr">
        <is>
          <t>M1</t>
        </is>
      </c>
      <c r="C5633" t="inlineStr">
        <is>
          <t>Cali</t>
        </is>
      </c>
      <c r="D5633" t="inlineStr">
        <is>
          <t>8758</t>
        </is>
      </c>
      <c r="E5633" t="inlineStr">
        <is>
          <t>pagado</t>
        </is>
      </c>
      <c r="F5633" s="23" t="n">
        <v>46271</v>
      </c>
      <c r="G5633" s="24">
        <f>F5633-DATE(2026,8,31)</f>
        <v>6</v>
      </c>
      <c r="H5633" s="25" t="n">
        <v>79687004</v>
      </c>
      <c r="I5633" t="inlineStr">
        <is>
          <t>entidad-dia</t>
        </is>
      </c>
    </row>
    <row r="5634">
      <c r="A5634" t="inlineStr">
        <is>
          <t>PRAGMA</t>
        </is>
      </c>
      <c r="B5634" t="inlineStr">
        <is>
          <t>M1</t>
        </is>
      </c>
      <c r="C5634" t="inlineStr">
        <is>
          <t>Cali</t>
        </is>
      </c>
      <c r="D5634" t="inlineStr">
        <is>
          <t>8758</t>
        </is>
      </c>
      <c r="E5634" t="inlineStr">
        <is>
          <t>pagado</t>
        </is>
      </c>
      <c r="F5634" s="23" t="n">
        <v>46272</v>
      </c>
      <c r="G5634" s="24">
        <f>F5634-DATE(2026,8,31)</f>
        <v>7</v>
      </c>
      <c r="H5634" s="25" t="n">
        <v>90025178</v>
      </c>
      <c r="I5634" t="inlineStr">
        <is>
          <t>entidad-dia</t>
        </is>
      </c>
    </row>
    <row r="5635">
      <c r="A5635" t="inlineStr">
        <is>
          <t>PRAGMA</t>
        </is>
      </c>
      <c r="B5635" t="inlineStr">
        <is>
          <t>M1</t>
        </is>
      </c>
      <c r="C5635" t="inlineStr">
        <is>
          <t>Cali</t>
        </is>
      </c>
      <c r="D5635" t="inlineStr">
        <is>
          <t>8758</t>
        </is>
      </c>
      <c r="E5635" t="inlineStr">
        <is>
          <t>pagado</t>
        </is>
      </c>
      <c r="F5635" s="23" t="n">
        <v>46273</v>
      </c>
      <c r="G5635" s="24">
        <f>F5635-DATE(2026,8,31)</f>
        <v>8</v>
      </c>
      <c r="H5635" s="25" t="n">
        <v>71438542</v>
      </c>
      <c r="I5635" t="inlineStr">
        <is>
          <t>entidad-dia</t>
        </is>
      </c>
    </row>
    <row r="5636">
      <c r="A5636" t="inlineStr">
        <is>
          <t>PRAGMA</t>
        </is>
      </c>
      <c r="B5636" t="inlineStr">
        <is>
          <t>M1</t>
        </is>
      </c>
      <c r="C5636" t="inlineStr">
        <is>
          <t>Cali</t>
        </is>
      </c>
      <c r="D5636" t="inlineStr">
        <is>
          <t>8758</t>
        </is>
      </c>
      <c r="E5636" t="inlineStr">
        <is>
          <t>pagado</t>
        </is>
      </c>
      <c r="F5636" s="23" t="n">
        <v>46274</v>
      </c>
      <c r="G5636" s="24">
        <f>F5636-DATE(2026,8,31)</f>
        <v>9</v>
      </c>
      <c r="H5636" s="25" t="n">
        <v>68478993</v>
      </c>
      <c r="I5636" t="inlineStr">
        <is>
          <t>entidad-dia</t>
        </is>
      </c>
    </row>
    <row r="5637">
      <c r="A5637" t="inlineStr">
        <is>
          <t>PRAGMA</t>
        </is>
      </c>
      <c r="B5637" t="inlineStr">
        <is>
          <t>M1</t>
        </is>
      </c>
      <c r="C5637" t="inlineStr">
        <is>
          <t>Cali</t>
        </is>
      </c>
      <c r="D5637" t="inlineStr">
        <is>
          <t>8758</t>
        </is>
      </c>
      <c r="E5637" t="inlineStr">
        <is>
          <t>pagado</t>
        </is>
      </c>
      <c r="F5637" s="23" t="n">
        <v>46275</v>
      </c>
      <c r="G5637" s="24">
        <f>F5637-DATE(2026,8,31)</f>
        <v>10</v>
      </c>
      <c r="H5637" s="25" t="n">
        <v>69723827</v>
      </c>
      <c r="I5637" t="inlineStr">
        <is>
          <t>entidad-dia</t>
        </is>
      </c>
    </row>
    <row r="5638">
      <c r="A5638" t="inlineStr">
        <is>
          <t>PRAGMA</t>
        </is>
      </c>
      <c r="B5638" t="inlineStr">
        <is>
          <t>M1</t>
        </is>
      </c>
      <c r="C5638" t="inlineStr">
        <is>
          <t>Cali</t>
        </is>
      </c>
      <c r="D5638" t="inlineStr">
        <is>
          <t>8758</t>
        </is>
      </c>
      <c r="E5638" t="inlineStr">
        <is>
          <t>pagado</t>
        </is>
      </c>
      <c r="F5638" s="23" t="n">
        <v>46276</v>
      </c>
      <c r="G5638" s="24">
        <f>F5638-DATE(2026,8,31)</f>
        <v>11</v>
      </c>
      <c r="H5638" s="25" t="n">
        <v>76291702</v>
      </c>
      <c r="I5638" t="inlineStr">
        <is>
          <t>entidad-dia</t>
        </is>
      </c>
    </row>
    <row r="5639">
      <c r="A5639" t="inlineStr">
        <is>
          <t>PRAGMA</t>
        </is>
      </c>
      <c r="B5639" t="inlineStr">
        <is>
          <t>M1</t>
        </is>
      </c>
      <c r="C5639" t="inlineStr">
        <is>
          <t>Cali</t>
        </is>
      </c>
      <c r="D5639" t="inlineStr">
        <is>
          <t>8758</t>
        </is>
      </c>
      <c r="E5639" t="inlineStr">
        <is>
          <t>pagado</t>
        </is>
      </c>
      <c r="F5639" s="23" t="n">
        <v>46277</v>
      </c>
      <c r="G5639" s="24">
        <f>F5639-DATE(2026,8,31)</f>
        <v>12</v>
      </c>
      <c r="H5639" s="25" t="n">
        <v>77217158</v>
      </c>
      <c r="I5639" t="inlineStr">
        <is>
          <t>entidad-dia</t>
        </is>
      </c>
    </row>
    <row r="5640">
      <c r="A5640" t="inlineStr">
        <is>
          <t>PRAGMA</t>
        </is>
      </c>
      <c r="B5640" t="inlineStr">
        <is>
          <t>M1</t>
        </is>
      </c>
      <c r="C5640" t="inlineStr">
        <is>
          <t>Cali</t>
        </is>
      </c>
      <c r="D5640" t="inlineStr">
        <is>
          <t>8758</t>
        </is>
      </c>
      <c r="E5640" t="inlineStr">
        <is>
          <t>pagado</t>
        </is>
      </c>
      <c r="F5640" s="23" t="n">
        <v>46278</v>
      </c>
      <c r="G5640" s="24">
        <f>F5640-DATE(2026,8,31)</f>
        <v>13</v>
      </c>
      <c r="H5640" s="25" t="n">
        <v>68882431</v>
      </c>
      <c r="I5640" t="inlineStr">
        <is>
          <t>entidad-dia</t>
        </is>
      </c>
    </row>
    <row r="5641">
      <c r="A5641" t="inlineStr">
        <is>
          <t>PRAGMA</t>
        </is>
      </c>
      <c r="B5641" t="inlineStr">
        <is>
          <t>M1</t>
        </is>
      </c>
      <c r="C5641" t="inlineStr">
        <is>
          <t>Cali</t>
        </is>
      </c>
      <c r="D5641" t="inlineStr">
        <is>
          <t>8758</t>
        </is>
      </c>
      <c r="E5641" t="inlineStr">
        <is>
          <t>pagado</t>
        </is>
      </c>
      <c r="F5641" s="23" t="n">
        <v>46279</v>
      </c>
      <c r="G5641" s="24">
        <f>F5641-DATE(2026,8,31)</f>
        <v>14</v>
      </c>
      <c r="H5641" s="25" t="n">
        <v>79729037</v>
      </c>
      <c r="I5641" t="inlineStr">
        <is>
          <t>entidad-dia</t>
        </is>
      </c>
    </row>
    <row r="5642">
      <c r="A5642" t="inlineStr">
        <is>
          <t>PRAGMA</t>
        </is>
      </c>
      <c r="B5642" t="inlineStr">
        <is>
          <t>M1</t>
        </is>
      </c>
      <c r="C5642" t="inlineStr">
        <is>
          <t>Cali</t>
        </is>
      </c>
      <c r="D5642" t="inlineStr">
        <is>
          <t>8758</t>
        </is>
      </c>
      <c r="E5642" t="inlineStr">
        <is>
          <t>pagado</t>
        </is>
      </c>
      <c r="F5642" s="23" t="n">
        <v>46280</v>
      </c>
      <c r="G5642" s="24">
        <f>F5642-DATE(2026,8,31)</f>
        <v>15</v>
      </c>
      <c r="H5642" s="25" t="n">
        <v>103914930</v>
      </c>
      <c r="I5642" t="inlineStr">
        <is>
          <t>entidad-dia</t>
        </is>
      </c>
    </row>
    <row r="5643">
      <c r="A5643" t="inlineStr">
        <is>
          <t>PRAGMA</t>
        </is>
      </c>
      <c r="B5643" t="inlineStr">
        <is>
          <t>M1</t>
        </is>
      </c>
      <c r="C5643" t="inlineStr">
        <is>
          <t>Cali</t>
        </is>
      </c>
      <c r="D5643" t="inlineStr">
        <is>
          <t>8759</t>
        </is>
      </c>
      <c r="E5643" t="inlineStr">
        <is>
          <t>pagado</t>
        </is>
      </c>
      <c r="F5643" s="23" t="n">
        <v>46266</v>
      </c>
      <c r="G5643" s="24">
        <f>F5643-DATE(2026,8,31)</f>
        <v>1</v>
      </c>
      <c r="H5643" s="25" t="n">
        <v>120210705</v>
      </c>
      <c r="I5643" t="inlineStr">
        <is>
          <t>entidad-dia</t>
        </is>
      </c>
    </row>
    <row r="5644">
      <c r="A5644" t="inlineStr">
        <is>
          <t>PRAGMA</t>
        </is>
      </c>
      <c r="B5644" t="inlineStr">
        <is>
          <t>M1</t>
        </is>
      </c>
      <c r="C5644" t="inlineStr">
        <is>
          <t>Cali</t>
        </is>
      </c>
      <c r="D5644" t="inlineStr">
        <is>
          <t>8759</t>
        </is>
      </c>
      <c r="E5644" t="inlineStr">
        <is>
          <t>pagado</t>
        </is>
      </c>
      <c r="F5644" s="23" t="n">
        <v>46267</v>
      </c>
      <c r="G5644" s="24">
        <f>F5644-DATE(2026,8,31)</f>
        <v>2</v>
      </c>
      <c r="H5644" s="25" t="n">
        <v>91051230</v>
      </c>
      <c r="I5644" t="inlineStr">
        <is>
          <t>entidad-dia</t>
        </is>
      </c>
    </row>
    <row r="5645">
      <c r="A5645" t="inlineStr">
        <is>
          <t>PRAGMA</t>
        </is>
      </c>
      <c r="B5645" t="inlineStr">
        <is>
          <t>M1</t>
        </is>
      </c>
      <c r="C5645" t="inlineStr">
        <is>
          <t>Cali</t>
        </is>
      </c>
      <c r="D5645" t="inlineStr">
        <is>
          <t>8759</t>
        </is>
      </c>
      <c r="E5645" t="inlineStr">
        <is>
          <t>pagado</t>
        </is>
      </c>
      <c r="F5645" s="23" t="n">
        <v>46268</v>
      </c>
      <c r="G5645" s="24">
        <f>F5645-DATE(2026,8,31)</f>
        <v>3</v>
      </c>
      <c r="H5645" s="25" t="n">
        <v>84114402</v>
      </c>
      <c r="I5645" t="inlineStr">
        <is>
          <t>entidad-dia</t>
        </is>
      </c>
    </row>
    <row r="5646">
      <c r="A5646" t="inlineStr">
        <is>
          <t>PRAGMA</t>
        </is>
      </c>
      <c r="B5646" t="inlineStr">
        <is>
          <t>M1</t>
        </is>
      </c>
      <c r="C5646" t="inlineStr">
        <is>
          <t>Cali</t>
        </is>
      </c>
      <c r="D5646" t="inlineStr">
        <is>
          <t>8759</t>
        </is>
      </c>
      <c r="E5646" t="inlineStr">
        <is>
          <t>pagado</t>
        </is>
      </c>
      <c r="F5646" s="23" t="n">
        <v>46269</v>
      </c>
      <c r="G5646" s="24">
        <f>F5646-DATE(2026,8,31)</f>
        <v>4</v>
      </c>
      <c r="H5646" s="25" t="n">
        <v>86761091</v>
      </c>
      <c r="I5646" t="inlineStr">
        <is>
          <t>entidad-dia</t>
        </is>
      </c>
    </row>
    <row r="5647">
      <c r="A5647" t="inlineStr">
        <is>
          <t>PRAGMA</t>
        </is>
      </c>
      <c r="B5647" t="inlineStr">
        <is>
          <t>M1</t>
        </is>
      </c>
      <c r="C5647" t="inlineStr">
        <is>
          <t>Cali</t>
        </is>
      </c>
      <c r="D5647" t="inlineStr">
        <is>
          <t>8759</t>
        </is>
      </c>
      <c r="E5647" t="inlineStr">
        <is>
          <t>pagado</t>
        </is>
      </c>
      <c r="F5647" s="23" t="n">
        <v>46270</v>
      </c>
      <c r="G5647" s="24">
        <f>F5647-DATE(2026,8,31)</f>
        <v>5</v>
      </c>
      <c r="H5647" s="25" t="n">
        <v>97833788</v>
      </c>
      <c r="I5647" t="inlineStr">
        <is>
          <t>entidad-dia</t>
        </is>
      </c>
    </row>
    <row r="5648">
      <c r="A5648" t="inlineStr">
        <is>
          <t>PRAGMA</t>
        </is>
      </c>
      <c r="B5648" t="inlineStr">
        <is>
          <t>M1</t>
        </is>
      </c>
      <c r="C5648" t="inlineStr">
        <is>
          <t>Cali</t>
        </is>
      </c>
      <c r="D5648" t="inlineStr">
        <is>
          <t>8759</t>
        </is>
      </c>
      <c r="E5648" t="inlineStr">
        <is>
          <t>pagado</t>
        </is>
      </c>
      <c r="F5648" s="23" t="n">
        <v>46271</v>
      </c>
      <c r="G5648" s="24">
        <f>F5648-DATE(2026,8,31)</f>
        <v>6</v>
      </c>
      <c r="H5648" s="25" t="n">
        <v>71864319</v>
      </c>
      <c r="I5648" t="inlineStr">
        <is>
          <t>entidad-dia</t>
        </is>
      </c>
    </row>
    <row r="5649">
      <c r="A5649" t="inlineStr">
        <is>
          <t>PRAGMA</t>
        </is>
      </c>
      <c r="B5649" t="inlineStr">
        <is>
          <t>M1</t>
        </is>
      </c>
      <c r="C5649" t="inlineStr">
        <is>
          <t>Cali</t>
        </is>
      </c>
      <c r="D5649" t="inlineStr">
        <is>
          <t>8759</t>
        </is>
      </c>
      <c r="E5649" t="inlineStr">
        <is>
          <t>pagado</t>
        </is>
      </c>
      <c r="F5649" s="23" t="n">
        <v>46272</v>
      </c>
      <c r="G5649" s="24">
        <f>F5649-DATE(2026,8,31)</f>
        <v>7</v>
      </c>
      <c r="H5649" s="25" t="n">
        <v>65395625</v>
      </c>
      <c r="I5649" t="inlineStr">
        <is>
          <t>entidad-dia</t>
        </is>
      </c>
    </row>
    <row r="5650">
      <c r="A5650" t="inlineStr">
        <is>
          <t>PRAGMA</t>
        </is>
      </c>
      <c r="B5650" t="inlineStr">
        <is>
          <t>M1</t>
        </is>
      </c>
      <c r="C5650" t="inlineStr">
        <is>
          <t>Cali</t>
        </is>
      </c>
      <c r="D5650" t="inlineStr">
        <is>
          <t>8759</t>
        </is>
      </c>
      <c r="E5650" t="inlineStr">
        <is>
          <t>pagado</t>
        </is>
      </c>
      <c r="F5650" s="23" t="n">
        <v>46273</v>
      </c>
      <c r="G5650" s="24">
        <f>F5650-DATE(2026,8,31)</f>
        <v>8</v>
      </c>
      <c r="H5650" s="25" t="n">
        <v>71988411</v>
      </c>
      <c r="I5650" t="inlineStr">
        <is>
          <t>entidad-dia</t>
        </is>
      </c>
    </row>
    <row r="5651">
      <c r="A5651" t="inlineStr">
        <is>
          <t>PRAGMA</t>
        </is>
      </c>
      <c r="B5651" t="inlineStr">
        <is>
          <t>M1</t>
        </is>
      </c>
      <c r="C5651" t="inlineStr">
        <is>
          <t>Cali</t>
        </is>
      </c>
      <c r="D5651" t="inlineStr">
        <is>
          <t>8759</t>
        </is>
      </c>
      <c r="E5651" t="inlineStr">
        <is>
          <t>pagado</t>
        </is>
      </c>
      <c r="F5651" s="23" t="n">
        <v>46274</v>
      </c>
      <c r="G5651" s="24">
        <f>F5651-DATE(2026,8,31)</f>
        <v>9</v>
      </c>
      <c r="H5651" s="25" t="n">
        <v>65507898</v>
      </c>
      <c r="I5651" t="inlineStr">
        <is>
          <t>entidad-dia</t>
        </is>
      </c>
    </row>
    <row r="5652">
      <c r="A5652" t="inlineStr">
        <is>
          <t>PRAGMA</t>
        </is>
      </c>
      <c r="B5652" t="inlineStr">
        <is>
          <t>M1</t>
        </is>
      </c>
      <c r="C5652" t="inlineStr">
        <is>
          <t>Cali</t>
        </is>
      </c>
      <c r="D5652" t="inlineStr">
        <is>
          <t>8759</t>
        </is>
      </c>
      <c r="E5652" t="inlineStr">
        <is>
          <t>pagado</t>
        </is>
      </c>
      <c r="F5652" s="23" t="n">
        <v>46275</v>
      </c>
      <c r="G5652" s="24">
        <f>F5652-DATE(2026,8,31)</f>
        <v>10</v>
      </c>
      <c r="H5652" s="25" t="n">
        <v>66084044</v>
      </c>
      <c r="I5652" t="inlineStr">
        <is>
          <t>entidad-dia</t>
        </is>
      </c>
    </row>
    <row r="5653">
      <c r="A5653" t="inlineStr">
        <is>
          <t>PRAGMA</t>
        </is>
      </c>
      <c r="B5653" t="inlineStr">
        <is>
          <t>M1</t>
        </is>
      </c>
      <c r="C5653" t="inlineStr">
        <is>
          <t>Cali</t>
        </is>
      </c>
      <c r="D5653" t="inlineStr">
        <is>
          <t>8759</t>
        </is>
      </c>
      <c r="E5653" t="inlineStr">
        <is>
          <t>pagado</t>
        </is>
      </c>
      <c r="F5653" s="23" t="n">
        <v>46276</v>
      </c>
      <c r="G5653" s="24">
        <f>F5653-DATE(2026,8,31)</f>
        <v>11</v>
      </c>
      <c r="H5653" s="25" t="n">
        <v>60329454</v>
      </c>
      <c r="I5653" t="inlineStr">
        <is>
          <t>entidad-dia</t>
        </is>
      </c>
    </row>
    <row r="5654">
      <c r="A5654" t="inlineStr">
        <is>
          <t>PRAGMA</t>
        </is>
      </c>
      <c r="B5654" t="inlineStr">
        <is>
          <t>M1</t>
        </is>
      </c>
      <c r="C5654" t="inlineStr">
        <is>
          <t>Cali</t>
        </is>
      </c>
      <c r="D5654" t="inlineStr">
        <is>
          <t>8759</t>
        </is>
      </c>
      <c r="E5654" t="inlineStr">
        <is>
          <t>pagado</t>
        </is>
      </c>
      <c r="F5654" s="23" t="n">
        <v>46277</v>
      </c>
      <c r="G5654" s="24">
        <f>F5654-DATE(2026,8,31)</f>
        <v>12</v>
      </c>
      <c r="H5654" s="25" t="n">
        <v>74547549</v>
      </c>
      <c r="I5654" t="inlineStr">
        <is>
          <t>entidad-dia</t>
        </is>
      </c>
    </row>
    <row r="5655">
      <c r="A5655" t="inlineStr">
        <is>
          <t>PRAGMA</t>
        </is>
      </c>
      <c r="B5655" t="inlineStr">
        <is>
          <t>M1</t>
        </is>
      </c>
      <c r="C5655" t="inlineStr">
        <is>
          <t>Cali</t>
        </is>
      </c>
      <c r="D5655" t="inlineStr">
        <is>
          <t>8759</t>
        </is>
      </c>
      <c r="E5655" t="inlineStr">
        <is>
          <t>pagado</t>
        </is>
      </c>
      <c r="F5655" s="23" t="n">
        <v>46278</v>
      </c>
      <c r="G5655" s="24">
        <f>F5655-DATE(2026,8,31)</f>
        <v>13</v>
      </c>
      <c r="H5655" s="25" t="n">
        <v>56406747</v>
      </c>
      <c r="I5655" t="inlineStr">
        <is>
          <t>entidad-dia</t>
        </is>
      </c>
    </row>
    <row r="5656">
      <c r="A5656" t="inlineStr">
        <is>
          <t>PRAGMA</t>
        </is>
      </c>
      <c r="B5656" t="inlineStr">
        <is>
          <t>M1</t>
        </is>
      </c>
      <c r="C5656" t="inlineStr">
        <is>
          <t>Cali</t>
        </is>
      </c>
      <c r="D5656" t="inlineStr">
        <is>
          <t>8759</t>
        </is>
      </c>
      <c r="E5656" t="inlineStr">
        <is>
          <t>pagado</t>
        </is>
      </c>
      <c r="F5656" s="23" t="n">
        <v>46279</v>
      </c>
      <c r="G5656" s="24">
        <f>F5656-DATE(2026,8,31)</f>
        <v>14</v>
      </c>
      <c r="H5656" s="25" t="n">
        <v>60210683</v>
      </c>
      <c r="I5656" t="inlineStr">
        <is>
          <t>entidad-dia</t>
        </is>
      </c>
    </row>
    <row r="5657">
      <c r="A5657" t="inlineStr">
        <is>
          <t>PRAGMA</t>
        </is>
      </c>
      <c r="B5657" t="inlineStr">
        <is>
          <t>M1</t>
        </is>
      </c>
      <c r="C5657" t="inlineStr">
        <is>
          <t>Cali</t>
        </is>
      </c>
      <c r="D5657" t="inlineStr">
        <is>
          <t>8759</t>
        </is>
      </c>
      <c r="E5657" t="inlineStr">
        <is>
          <t>pagado</t>
        </is>
      </c>
      <c r="F5657" s="23" t="n">
        <v>46280</v>
      </c>
      <c r="G5657" s="24">
        <f>F5657-DATE(2026,8,31)</f>
        <v>15</v>
      </c>
      <c r="H5657" s="25" t="n">
        <v>100347180</v>
      </c>
      <c r="I5657" t="inlineStr">
        <is>
          <t>entidad-dia</t>
        </is>
      </c>
    </row>
    <row r="5658">
      <c r="A5658" t="inlineStr">
        <is>
          <t>PRAGMA</t>
        </is>
      </c>
      <c r="B5658" t="inlineStr">
        <is>
          <t>M1</t>
        </is>
      </c>
      <c r="C5658" t="inlineStr">
        <is>
          <t>Cali</t>
        </is>
      </c>
      <c r="D5658" t="inlineStr">
        <is>
          <t>8760</t>
        </is>
      </c>
      <c r="E5658" t="inlineStr">
        <is>
          <t>pagado</t>
        </is>
      </c>
      <c r="F5658" s="23" t="n">
        <v>46266</v>
      </c>
      <c r="G5658" s="24">
        <f>F5658-DATE(2026,8,31)</f>
        <v>1</v>
      </c>
      <c r="H5658" s="25" t="n">
        <v>143784149</v>
      </c>
      <c r="I5658" t="inlineStr">
        <is>
          <t>entidad-dia</t>
        </is>
      </c>
    </row>
    <row r="5659">
      <c r="A5659" t="inlineStr">
        <is>
          <t>PRAGMA</t>
        </is>
      </c>
      <c r="B5659" t="inlineStr">
        <is>
          <t>M1</t>
        </is>
      </c>
      <c r="C5659" t="inlineStr">
        <is>
          <t>Cali</t>
        </is>
      </c>
      <c r="D5659" t="inlineStr">
        <is>
          <t>8760</t>
        </is>
      </c>
      <c r="E5659" t="inlineStr">
        <is>
          <t>pagado</t>
        </is>
      </c>
      <c r="F5659" s="23" t="n">
        <v>46267</v>
      </c>
      <c r="G5659" s="24">
        <f>F5659-DATE(2026,8,31)</f>
        <v>2</v>
      </c>
      <c r="H5659" s="25" t="n">
        <v>111595275</v>
      </c>
      <c r="I5659" t="inlineStr">
        <is>
          <t>entidad-dia</t>
        </is>
      </c>
    </row>
    <row r="5660">
      <c r="A5660" t="inlineStr">
        <is>
          <t>PRAGMA</t>
        </is>
      </c>
      <c r="B5660" t="inlineStr">
        <is>
          <t>M1</t>
        </is>
      </c>
      <c r="C5660" t="inlineStr">
        <is>
          <t>Cali</t>
        </is>
      </c>
      <c r="D5660" t="inlineStr">
        <is>
          <t>8760</t>
        </is>
      </c>
      <c r="E5660" t="inlineStr">
        <is>
          <t>pagado</t>
        </is>
      </c>
      <c r="F5660" s="23" t="n">
        <v>46268</v>
      </c>
      <c r="G5660" s="24">
        <f>F5660-DATE(2026,8,31)</f>
        <v>3</v>
      </c>
      <c r="H5660" s="25" t="n">
        <v>97473184</v>
      </c>
      <c r="I5660" t="inlineStr">
        <is>
          <t>entidad-dia</t>
        </is>
      </c>
    </row>
    <row r="5661">
      <c r="A5661" t="inlineStr">
        <is>
          <t>PRAGMA</t>
        </is>
      </c>
      <c r="B5661" t="inlineStr">
        <is>
          <t>M1</t>
        </is>
      </c>
      <c r="C5661" t="inlineStr">
        <is>
          <t>Cali</t>
        </is>
      </c>
      <c r="D5661" t="inlineStr">
        <is>
          <t>8760</t>
        </is>
      </c>
      <c r="E5661" t="inlineStr">
        <is>
          <t>pagado</t>
        </is>
      </c>
      <c r="F5661" s="23" t="n">
        <v>46269</v>
      </c>
      <c r="G5661" s="24">
        <f>F5661-DATE(2026,8,31)</f>
        <v>4</v>
      </c>
      <c r="H5661" s="25" t="n">
        <v>103930297</v>
      </c>
      <c r="I5661" t="inlineStr">
        <is>
          <t>entidad-dia</t>
        </is>
      </c>
    </row>
    <row r="5662">
      <c r="A5662" t="inlineStr">
        <is>
          <t>PRAGMA</t>
        </is>
      </c>
      <c r="B5662" t="inlineStr">
        <is>
          <t>M1</t>
        </is>
      </c>
      <c r="C5662" t="inlineStr">
        <is>
          <t>Cali</t>
        </is>
      </c>
      <c r="D5662" t="inlineStr">
        <is>
          <t>8760</t>
        </is>
      </c>
      <c r="E5662" t="inlineStr">
        <is>
          <t>pagado</t>
        </is>
      </c>
      <c r="F5662" s="23" t="n">
        <v>46270</v>
      </c>
      <c r="G5662" s="24">
        <f>F5662-DATE(2026,8,31)</f>
        <v>5</v>
      </c>
      <c r="H5662" s="25" t="n">
        <v>104796971</v>
      </c>
      <c r="I5662" t="inlineStr">
        <is>
          <t>entidad-dia</t>
        </is>
      </c>
    </row>
    <row r="5663">
      <c r="A5663" t="inlineStr">
        <is>
          <t>PRAGMA</t>
        </is>
      </c>
      <c r="B5663" t="inlineStr">
        <is>
          <t>M1</t>
        </is>
      </c>
      <c r="C5663" t="inlineStr">
        <is>
          <t>Cali</t>
        </is>
      </c>
      <c r="D5663" t="inlineStr">
        <is>
          <t>8760</t>
        </is>
      </c>
      <c r="E5663" t="inlineStr">
        <is>
          <t>pagado</t>
        </is>
      </c>
      <c r="F5663" s="23" t="n">
        <v>46271</v>
      </c>
      <c r="G5663" s="24">
        <f>F5663-DATE(2026,8,31)</f>
        <v>6</v>
      </c>
      <c r="H5663" s="25" t="n">
        <v>81633153</v>
      </c>
      <c r="I5663" t="inlineStr">
        <is>
          <t>entidad-dia</t>
        </is>
      </c>
    </row>
    <row r="5664">
      <c r="A5664" t="inlineStr">
        <is>
          <t>PRAGMA</t>
        </is>
      </c>
      <c r="B5664" t="inlineStr">
        <is>
          <t>M1</t>
        </is>
      </c>
      <c r="C5664" t="inlineStr">
        <is>
          <t>Cali</t>
        </is>
      </c>
      <c r="D5664" t="inlineStr">
        <is>
          <t>8760</t>
        </is>
      </c>
      <c r="E5664" t="inlineStr">
        <is>
          <t>pagado</t>
        </is>
      </c>
      <c r="F5664" s="23" t="n">
        <v>46272</v>
      </c>
      <c r="G5664" s="24">
        <f>F5664-DATE(2026,8,31)</f>
        <v>7</v>
      </c>
      <c r="H5664" s="25" t="n">
        <v>73724862</v>
      </c>
      <c r="I5664" t="inlineStr">
        <is>
          <t>entidad-dia</t>
        </is>
      </c>
    </row>
    <row r="5665">
      <c r="A5665" t="inlineStr">
        <is>
          <t>PRAGMA</t>
        </is>
      </c>
      <c r="B5665" t="inlineStr">
        <is>
          <t>M1</t>
        </is>
      </c>
      <c r="C5665" t="inlineStr">
        <is>
          <t>Cali</t>
        </is>
      </c>
      <c r="D5665" t="inlineStr">
        <is>
          <t>8760</t>
        </is>
      </c>
      <c r="E5665" t="inlineStr">
        <is>
          <t>pagado</t>
        </is>
      </c>
      <c r="F5665" s="23" t="n">
        <v>46273</v>
      </c>
      <c r="G5665" s="24">
        <f>F5665-DATE(2026,8,31)</f>
        <v>8</v>
      </c>
      <c r="H5665" s="25" t="n">
        <v>78653289</v>
      </c>
      <c r="I5665" t="inlineStr">
        <is>
          <t>entidad-dia</t>
        </is>
      </c>
    </row>
    <row r="5666">
      <c r="A5666" t="inlineStr">
        <is>
          <t>PRAGMA</t>
        </is>
      </c>
      <c r="B5666" t="inlineStr">
        <is>
          <t>M1</t>
        </is>
      </c>
      <c r="C5666" t="inlineStr">
        <is>
          <t>Cali</t>
        </is>
      </c>
      <c r="D5666" t="inlineStr">
        <is>
          <t>8760</t>
        </is>
      </c>
      <c r="E5666" t="inlineStr">
        <is>
          <t>pagado</t>
        </is>
      </c>
      <c r="F5666" s="23" t="n">
        <v>46274</v>
      </c>
      <c r="G5666" s="24">
        <f>F5666-DATE(2026,8,31)</f>
        <v>9</v>
      </c>
      <c r="H5666" s="25" t="n">
        <v>72617368</v>
      </c>
      <c r="I5666" t="inlineStr">
        <is>
          <t>entidad-dia</t>
        </is>
      </c>
    </row>
    <row r="5667">
      <c r="A5667" t="inlineStr">
        <is>
          <t>PRAGMA</t>
        </is>
      </c>
      <c r="B5667" t="inlineStr">
        <is>
          <t>M1</t>
        </is>
      </c>
      <c r="C5667" t="inlineStr">
        <is>
          <t>Cali</t>
        </is>
      </c>
      <c r="D5667" t="inlineStr">
        <is>
          <t>8760</t>
        </is>
      </c>
      <c r="E5667" t="inlineStr">
        <is>
          <t>pagado</t>
        </is>
      </c>
      <c r="F5667" s="23" t="n">
        <v>46275</v>
      </c>
      <c r="G5667" s="24">
        <f>F5667-DATE(2026,8,31)</f>
        <v>10</v>
      </c>
      <c r="H5667" s="25" t="n">
        <v>65253644</v>
      </c>
      <c r="I5667" t="inlineStr">
        <is>
          <t>entidad-dia</t>
        </is>
      </c>
    </row>
    <row r="5668">
      <c r="A5668" t="inlineStr">
        <is>
          <t>PRAGMA</t>
        </is>
      </c>
      <c r="B5668" t="inlineStr">
        <is>
          <t>M1</t>
        </is>
      </c>
      <c r="C5668" t="inlineStr">
        <is>
          <t>Cali</t>
        </is>
      </c>
      <c r="D5668" t="inlineStr">
        <is>
          <t>8760</t>
        </is>
      </c>
      <c r="E5668" t="inlineStr">
        <is>
          <t>pagado</t>
        </is>
      </c>
      <c r="F5668" s="23" t="n">
        <v>46276</v>
      </c>
      <c r="G5668" s="24">
        <f>F5668-DATE(2026,8,31)</f>
        <v>11</v>
      </c>
      <c r="H5668" s="25" t="n">
        <v>73195380</v>
      </c>
      <c r="I5668" t="inlineStr">
        <is>
          <t>entidad-dia</t>
        </is>
      </c>
    </row>
    <row r="5669">
      <c r="A5669" t="inlineStr">
        <is>
          <t>PRAGMA</t>
        </is>
      </c>
      <c r="B5669" t="inlineStr">
        <is>
          <t>M1</t>
        </is>
      </c>
      <c r="C5669" t="inlineStr">
        <is>
          <t>Cali</t>
        </is>
      </c>
      <c r="D5669" t="inlineStr">
        <is>
          <t>8760</t>
        </is>
      </c>
      <c r="E5669" t="inlineStr">
        <is>
          <t>pagado</t>
        </is>
      </c>
      <c r="F5669" s="23" t="n">
        <v>46277</v>
      </c>
      <c r="G5669" s="24">
        <f>F5669-DATE(2026,8,31)</f>
        <v>12</v>
      </c>
      <c r="H5669" s="25" t="n">
        <v>79070282</v>
      </c>
      <c r="I5669" t="inlineStr">
        <is>
          <t>entidad-dia</t>
        </is>
      </c>
    </row>
    <row r="5670">
      <c r="A5670" t="inlineStr">
        <is>
          <t>PRAGMA</t>
        </is>
      </c>
      <c r="B5670" t="inlineStr">
        <is>
          <t>M1</t>
        </is>
      </c>
      <c r="C5670" t="inlineStr">
        <is>
          <t>Cali</t>
        </is>
      </c>
      <c r="D5670" t="inlineStr">
        <is>
          <t>8760</t>
        </is>
      </c>
      <c r="E5670" t="inlineStr">
        <is>
          <t>pagado</t>
        </is>
      </c>
      <c r="F5670" s="23" t="n">
        <v>46278</v>
      </c>
      <c r="G5670" s="24">
        <f>F5670-DATE(2026,8,31)</f>
        <v>13</v>
      </c>
      <c r="H5670" s="25" t="n">
        <v>58513158</v>
      </c>
      <c r="I5670" t="inlineStr">
        <is>
          <t>entidad-dia</t>
        </is>
      </c>
    </row>
    <row r="5671">
      <c r="A5671" t="inlineStr">
        <is>
          <t>PRAGMA</t>
        </is>
      </c>
      <c r="B5671" t="inlineStr">
        <is>
          <t>M1</t>
        </is>
      </c>
      <c r="C5671" t="inlineStr">
        <is>
          <t>Cali</t>
        </is>
      </c>
      <c r="D5671" t="inlineStr">
        <is>
          <t>8760</t>
        </is>
      </c>
      <c r="E5671" t="inlineStr">
        <is>
          <t>pagado</t>
        </is>
      </c>
      <c r="F5671" s="23" t="n">
        <v>46279</v>
      </c>
      <c r="G5671" s="24">
        <f>F5671-DATE(2026,8,31)</f>
        <v>14</v>
      </c>
      <c r="H5671" s="25" t="n">
        <v>63126190</v>
      </c>
      <c r="I5671" t="inlineStr">
        <is>
          <t>entidad-dia</t>
        </is>
      </c>
    </row>
    <row r="5672">
      <c r="A5672" t="inlineStr">
        <is>
          <t>PRAGMA</t>
        </is>
      </c>
      <c r="B5672" t="inlineStr">
        <is>
          <t>M1</t>
        </is>
      </c>
      <c r="C5672" t="inlineStr">
        <is>
          <t>Cali</t>
        </is>
      </c>
      <c r="D5672" t="inlineStr">
        <is>
          <t>8760</t>
        </is>
      </c>
      <c r="E5672" t="inlineStr">
        <is>
          <t>pagado</t>
        </is>
      </c>
      <c r="F5672" s="23" t="n">
        <v>46280</v>
      </c>
      <c r="G5672" s="24">
        <f>F5672-DATE(2026,8,31)</f>
        <v>15</v>
      </c>
      <c r="H5672" s="25" t="n">
        <v>103928875</v>
      </c>
      <c r="I5672" t="inlineStr">
        <is>
          <t>entidad-dia</t>
        </is>
      </c>
    </row>
    <row r="5673">
      <c r="A5673" t="inlineStr">
        <is>
          <t>PRAGMA</t>
        </is>
      </c>
      <c r="B5673" t="inlineStr">
        <is>
          <t>M1</t>
        </is>
      </c>
      <c r="C5673" t="inlineStr">
        <is>
          <t>Cali</t>
        </is>
      </c>
      <c r="D5673" t="inlineStr">
        <is>
          <t>8761</t>
        </is>
      </c>
      <c r="E5673" t="inlineStr">
        <is>
          <t>pagado</t>
        </is>
      </c>
      <c r="F5673" s="23" t="n">
        <v>46266</v>
      </c>
      <c r="G5673" s="24">
        <f>F5673-DATE(2026,8,31)</f>
        <v>1</v>
      </c>
      <c r="H5673" s="25" t="n">
        <v>129088760</v>
      </c>
      <c r="I5673" t="inlineStr">
        <is>
          <t>entidad-dia</t>
        </is>
      </c>
    </row>
    <row r="5674">
      <c r="A5674" t="inlineStr">
        <is>
          <t>PRAGMA</t>
        </is>
      </c>
      <c r="B5674" t="inlineStr">
        <is>
          <t>M1</t>
        </is>
      </c>
      <c r="C5674" t="inlineStr">
        <is>
          <t>Cali</t>
        </is>
      </c>
      <c r="D5674" t="inlineStr">
        <is>
          <t>8761</t>
        </is>
      </c>
      <c r="E5674" t="inlineStr">
        <is>
          <t>pagado</t>
        </is>
      </c>
      <c r="F5674" s="23" t="n">
        <v>46267</v>
      </c>
      <c r="G5674" s="24">
        <f>F5674-DATE(2026,8,31)</f>
        <v>2</v>
      </c>
      <c r="H5674" s="25" t="n">
        <v>95455045</v>
      </c>
      <c r="I5674" t="inlineStr">
        <is>
          <t>entidad-dia</t>
        </is>
      </c>
    </row>
    <row r="5675">
      <c r="A5675" t="inlineStr">
        <is>
          <t>PRAGMA</t>
        </is>
      </c>
      <c r="B5675" t="inlineStr">
        <is>
          <t>M1</t>
        </is>
      </c>
      <c r="C5675" t="inlineStr">
        <is>
          <t>Cali</t>
        </is>
      </c>
      <c r="D5675" t="inlineStr">
        <is>
          <t>8761</t>
        </is>
      </c>
      <c r="E5675" t="inlineStr">
        <is>
          <t>pagado</t>
        </is>
      </c>
      <c r="F5675" s="23" t="n">
        <v>46268</v>
      </c>
      <c r="G5675" s="24">
        <f>F5675-DATE(2026,8,31)</f>
        <v>3</v>
      </c>
      <c r="H5675" s="25" t="n">
        <v>78456500</v>
      </c>
      <c r="I5675" t="inlineStr">
        <is>
          <t>entidad-dia</t>
        </is>
      </c>
    </row>
    <row r="5676">
      <c r="A5676" t="inlineStr">
        <is>
          <t>PRAGMA</t>
        </is>
      </c>
      <c r="B5676" t="inlineStr">
        <is>
          <t>M1</t>
        </is>
      </c>
      <c r="C5676" t="inlineStr">
        <is>
          <t>Cali</t>
        </is>
      </c>
      <c r="D5676" t="inlineStr">
        <is>
          <t>8761</t>
        </is>
      </c>
      <c r="E5676" t="inlineStr">
        <is>
          <t>pagado</t>
        </is>
      </c>
      <c r="F5676" s="23" t="n">
        <v>46269</v>
      </c>
      <c r="G5676" s="24">
        <f>F5676-DATE(2026,8,31)</f>
        <v>4</v>
      </c>
      <c r="H5676" s="25" t="n">
        <v>91691214</v>
      </c>
      <c r="I5676" t="inlineStr">
        <is>
          <t>entidad-dia</t>
        </is>
      </c>
    </row>
    <row r="5677">
      <c r="A5677" t="inlineStr">
        <is>
          <t>PRAGMA</t>
        </is>
      </c>
      <c r="B5677" t="inlineStr">
        <is>
          <t>M1</t>
        </is>
      </c>
      <c r="C5677" t="inlineStr">
        <is>
          <t>Cali</t>
        </is>
      </c>
      <c r="D5677" t="inlineStr">
        <is>
          <t>8761</t>
        </is>
      </c>
      <c r="E5677" t="inlineStr">
        <is>
          <t>pagado</t>
        </is>
      </c>
      <c r="F5677" s="23" t="n">
        <v>46270</v>
      </c>
      <c r="G5677" s="24">
        <f>F5677-DATE(2026,8,31)</f>
        <v>5</v>
      </c>
      <c r="H5677" s="25" t="n">
        <v>97087133</v>
      </c>
      <c r="I5677" t="inlineStr">
        <is>
          <t>entidad-dia</t>
        </is>
      </c>
    </row>
    <row r="5678">
      <c r="A5678" t="inlineStr">
        <is>
          <t>PRAGMA</t>
        </is>
      </c>
      <c r="B5678" t="inlineStr">
        <is>
          <t>M1</t>
        </is>
      </c>
      <c r="C5678" t="inlineStr">
        <is>
          <t>Cali</t>
        </is>
      </c>
      <c r="D5678" t="inlineStr">
        <is>
          <t>8761</t>
        </is>
      </c>
      <c r="E5678" t="inlineStr">
        <is>
          <t>pagado</t>
        </is>
      </c>
      <c r="F5678" s="23" t="n">
        <v>46271</v>
      </c>
      <c r="G5678" s="24">
        <f>F5678-DATE(2026,8,31)</f>
        <v>6</v>
      </c>
      <c r="H5678" s="25" t="n">
        <v>67306925</v>
      </c>
      <c r="I5678" t="inlineStr">
        <is>
          <t>entidad-dia</t>
        </is>
      </c>
    </row>
    <row r="5679">
      <c r="A5679" t="inlineStr">
        <is>
          <t>PRAGMA</t>
        </is>
      </c>
      <c r="B5679" t="inlineStr">
        <is>
          <t>M1</t>
        </is>
      </c>
      <c r="C5679" t="inlineStr">
        <is>
          <t>Cali</t>
        </is>
      </c>
      <c r="D5679" t="inlineStr">
        <is>
          <t>8761</t>
        </is>
      </c>
      <c r="E5679" t="inlineStr">
        <is>
          <t>pagado</t>
        </is>
      </c>
      <c r="F5679" s="23" t="n">
        <v>46272</v>
      </c>
      <c r="G5679" s="24">
        <f>F5679-DATE(2026,8,31)</f>
        <v>7</v>
      </c>
      <c r="H5679" s="25" t="n">
        <v>71369417</v>
      </c>
      <c r="I5679" t="inlineStr">
        <is>
          <t>entidad-dia</t>
        </is>
      </c>
    </row>
    <row r="5680">
      <c r="A5680" t="inlineStr">
        <is>
          <t>PRAGMA</t>
        </is>
      </c>
      <c r="B5680" t="inlineStr">
        <is>
          <t>M1</t>
        </is>
      </c>
      <c r="C5680" t="inlineStr">
        <is>
          <t>Cali</t>
        </is>
      </c>
      <c r="D5680" t="inlineStr">
        <is>
          <t>8761</t>
        </is>
      </c>
      <c r="E5680" t="inlineStr">
        <is>
          <t>pagado</t>
        </is>
      </c>
      <c r="F5680" s="23" t="n">
        <v>46273</v>
      </c>
      <c r="G5680" s="24">
        <f>F5680-DATE(2026,8,31)</f>
        <v>8</v>
      </c>
      <c r="H5680" s="25" t="n">
        <v>66436818</v>
      </c>
      <c r="I5680" t="inlineStr">
        <is>
          <t>entidad-dia</t>
        </is>
      </c>
    </row>
    <row r="5681">
      <c r="A5681" t="inlineStr">
        <is>
          <t>PRAGMA</t>
        </is>
      </c>
      <c r="B5681" t="inlineStr">
        <is>
          <t>M1</t>
        </is>
      </c>
      <c r="C5681" t="inlineStr">
        <is>
          <t>Cali</t>
        </is>
      </c>
      <c r="D5681" t="inlineStr">
        <is>
          <t>8761</t>
        </is>
      </c>
      <c r="E5681" t="inlineStr">
        <is>
          <t>pagado</t>
        </is>
      </c>
      <c r="F5681" s="23" t="n">
        <v>46274</v>
      </c>
      <c r="G5681" s="24">
        <f>F5681-DATE(2026,8,31)</f>
        <v>9</v>
      </c>
      <c r="H5681" s="25" t="n">
        <v>62020420</v>
      </c>
      <c r="I5681" t="inlineStr">
        <is>
          <t>entidad-dia</t>
        </is>
      </c>
    </row>
    <row r="5682">
      <c r="A5682" t="inlineStr">
        <is>
          <t>PRAGMA</t>
        </is>
      </c>
      <c r="B5682" t="inlineStr">
        <is>
          <t>M1</t>
        </is>
      </c>
      <c r="C5682" t="inlineStr">
        <is>
          <t>Cali</t>
        </is>
      </c>
      <c r="D5682" t="inlineStr">
        <is>
          <t>8761</t>
        </is>
      </c>
      <c r="E5682" t="inlineStr">
        <is>
          <t>pagado</t>
        </is>
      </c>
      <c r="F5682" s="23" t="n">
        <v>46275</v>
      </c>
      <c r="G5682" s="24">
        <f>F5682-DATE(2026,8,31)</f>
        <v>10</v>
      </c>
      <c r="H5682" s="25" t="n">
        <v>49632980</v>
      </c>
      <c r="I5682" t="inlineStr">
        <is>
          <t>entidad-dia</t>
        </is>
      </c>
    </row>
    <row r="5683">
      <c r="A5683" t="inlineStr">
        <is>
          <t>PRAGMA</t>
        </is>
      </c>
      <c r="B5683" t="inlineStr">
        <is>
          <t>M1</t>
        </is>
      </c>
      <c r="C5683" t="inlineStr">
        <is>
          <t>Cali</t>
        </is>
      </c>
      <c r="D5683" t="inlineStr">
        <is>
          <t>8761</t>
        </is>
      </c>
      <c r="E5683" t="inlineStr">
        <is>
          <t>pagado</t>
        </is>
      </c>
      <c r="F5683" s="23" t="n">
        <v>46276</v>
      </c>
      <c r="G5683" s="24">
        <f>F5683-DATE(2026,8,31)</f>
        <v>11</v>
      </c>
      <c r="H5683" s="25" t="n">
        <v>59256541</v>
      </c>
      <c r="I5683" t="inlineStr">
        <is>
          <t>entidad-dia</t>
        </is>
      </c>
    </row>
    <row r="5684">
      <c r="A5684" t="inlineStr">
        <is>
          <t>PRAGMA</t>
        </is>
      </c>
      <c r="B5684" t="inlineStr">
        <is>
          <t>M1</t>
        </is>
      </c>
      <c r="C5684" t="inlineStr">
        <is>
          <t>Cali</t>
        </is>
      </c>
      <c r="D5684" t="inlineStr">
        <is>
          <t>8761</t>
        </is>
      </c>
      <c r="E5684" t="inlineStr">
        <is>
          <t>pagado</t>
        </is>
      </c>
      <c r="F5684" s="23" t="n">
        <v>46277</v>
      </c>
      <c r="G5684" s="24">
        <f>F5684-DATE(2026,8,31)</f>
        <v>12</v>
      </c>
      <c r="H5684" s="25" t="n">
        <v>69343970</v>
      </c>
      <c r="I5684" t="inlineStr">
        <is>
          <t>entidad-dia</t>
        </is>
      </c>
    </row>
    <row r="5685">
      <c r="A5685" t="inlineStr">
        <is>
          <t>PRAGMA</t>
        </is>
      </c>
      <c r="B5685" t="inlineStr">
        <is>
          <t>M1</t>
        </is>
      </c>
      <c r="C5685" t="inlineStr">
        <is>
          <t>Cali</t>
        </is>
      </c>
      <c r="D5685" t="inlineStr">
        <is>
          <t>8761</t>
        </is>
      </c>
      <c r="E5685" t="inlineStr">
        <is>
          <t>pagado</t>
        </is>
      </c>
      <c r="F5685" s="23" t="n">
        <v>46278</v>
      </c>
      <c r="G5685" s="24">
        <f>F5685-DATE(2026,8,31)</f>
        <v>13</v>
      </c>
      <c r="H5685" s="25" t="n">
        <v>51468217</v>
      </c>
      <c r="I5685" t="inlineStr">
        <is>
          <t>entidad-dia</t>
        </is>
      </c>
    </row>
    <row r="5686">
      <c r="A5686" t="inlineStr">
        <is>
          <t>PRAGMA</t>
        </is>
      </c>
      <c r="B5686" t="inlineStr">
        <is>
          <t>M1</t>
        </is>
      </c>
      <c r="C5686" t="inlineStr">
        <is>
          <t>Cali</t>
        </is>
      </c>
      <c r="D5686" t="inlineStr">
        <is>
          <t>8761</t>
        </is>
      </c>
      <c r="E5686" t="inlineStr">
        <is>
          <t>pagado</t>
        </is>
      </c>
      <c r="F5686" s="23" t="n">
        <v>46279</v>
      </c>
      <c r="G5686" s="24">
        <f>F5686-DATE(2026,8,31)</f>
        <v>14</v>
      </c>
      <c r="H5686" s="25" t="n">
        <v>63619347</v>
      </c>
      <c r="I5686" t="inlineStr">
        <is>
          <t>entidad-dia</t>
        </is>
      </c>
    </row>
    <row r="5687">
      <c r="A5687" t="inlineStr">
        <is>
          <t>PRAGMA</t>
        </is>
      </c>
      <c r="B5687" t="inlineStr">
        <is>
          <t>M1</t>
        </is>
      </c>
      <c r="C5687" t="inlineStr">
        <is>
          <t>Cali</t>
        </is>
      </c>
      <c r="D5687" t="inlineStr">
        <is>
          <t>8761</t>
        </is>
      </c>
      <c r="E5687" t="inlineStr">
        <is>
          <t>pagado</t>
        </is>
      </c>
      <c r="F5687" s="23" t="n">
        <v>46280</v>
      </c>
      <c r="G5687" s="24">
        <f>F5687-DATE(2026,8,31)</f>
        <v>15</v>
      </c>
      <c r="H5687" s="25" t="n">
        <v>89822207</v>
      </c>
      <c r="I5687" t="inlineStr">
        <is>
          <t>entidad-dia</t>
        </is>
      </c>
    </row>
    <row r="5688">
      <c r="A5688" t="inlineStr">
        <is>
          <t>PRAGMA</t>
        </is>
      </c>
      <c r="B5688" t="inlineStr">
        <is>
          <t>M1</t>
        </is>
      </c>
      <c r="C5688" t="inlineStr">
        <is>
          <t>Cali</t>
        </is>
      </c>
      <c r="D5688" t="inlineStr">
        <is>
          <t>8816</t>
        </is>
      </c>
      <c r="E5688" t="inlineStr">
        <is>
          <t>pagado</t>
        </is>
      </c>
      <c r="F5688" s="23" t="n">
        <v>46266</v>
      </c>
      <c r="G5688" s="24">
        <f>F5688-DATE(2026,8,31)</f>
        <v>1</v>
      </c>
      <c r="H5688" s="25" t="n">
        <v>157643914</v>
      </c>
      <c r="I5688" t="inlineStr">
        <is>
          <t>entidad-dia</t>
        </is>
      </c>
    </row>
    <row r="5689">
      <c r="A5689" t="inlineStr">
        <is>
          <t>PRAGMA</t>
        </is>
      </c>
      <c r="B5689" t="inlineStr">
        <is>
          <t>M1</t>
        </is>
      </c>
      <c r="C5689" t="inlineStr">
        <is>
          <t>Cali</t>
        </is>
      </c>
      <c r="D5689" t="inlineStr">
        <is>
          <t>8816</t>
        </is>
      </c>
      <c r="E5689" t="inlineStr">
        <is>
          <t>pagado</t>
        </is>
      </c>
      <c r="F5689" s="23" t="n">
        <v>46267</v>
      </c>
      <c r="G5689" s="24">
        <f>F5689-DATE(2026,8,31)</f>
        <v>2</v>
      </c>
      <c r="H5689" s="25" t="n">
        <v>132014562</v>
      </c>
      <c r="I5689" t="inlineStr">
        <is>
          <t>entidad-dia</t>
        </is>
      </c>
    </row>
    <row r="5690">
      <c r="A5690" t="inlineStr">
        <is>
          <t>PRAGMA</t>
        </is>
      </c>
      <c r="B5690" t="inlineStr">
        <is>
          <t>M1</t>
        </is>
      </c>
      <c r="C5690" t="inlineStr">
        <is>
          <t>Cali</t>
        </is>
      </c>
      <c r="D5690" t="inlineStr">
        <is>
          <t>8816</t>
        </is>
      </c>
      <c r="E5690" t="inlineStr">
        <is>
          <t>pagado</t>
        </is>
      </c>
      <c r="F5690" s="23" t="n">
        <v>46268</v>
      </c>
      <c r="G5690" s="24">
        <f>F5690-DATE(2026,8,31)</f>
        <v>3</v>
      </c>
      <c r="H5690" s="25" t="n">
        <v>123911685</v>
      </c>
      <c r="I5690" t="inlineStr">
        <is>
          <t>entidad-dia</t>
        </is>
      </c>
    </row>
    <row r="5691">
      <c r="A5691" t="inlineStr">
        <is>
          <t>PRAGMA</t>
        </is>
      </c>
      <c r="B5691" t="inlineStr">
        <is>
          <t>M1</t>
        </is>
      </c>
      <c r="C5691" t="inlineStr">
        <is>
          <t>Cali</t>
        </is>
      </c>
      <c r="D5691" t="inlineStr">
        <is>
          <t>8816</t>
        </is>
      </c>
      <c r="E5691" t="inlineStr">
        <is>
          <t>pagado</t>
        </is>
      </c>
      <c r="F5691" s="23" t="n">
        <v>46269</v>
      </c>
      <c r="G5691" s="24">
        <f>F5691-DATE(2026,8,31)</f>
        <v>4</v>
      </c>
      <c r="H5691" s="25" t="n">
        <v>123592818</v>
      </c>
      <c r="I5691" t="inlineStr">
        <is>
          <t>entidad-dia</t>
        </is>
      </c>
    </row>
    <row r="5692">
      <c r="A5692" t="inlineStr">
        <is>
          <t>PRAGMA</t>
        </is>
      </c>
      <c r="B5692" t="inlineStr">
        <is>
          <t>M1</t>
        </is>
      </c>
      <c r="C5692" t="inlineStr">
        <is>
          <t>Cali</t>
        </is>
      </c>
      <c r="D5692" t="inlineStr">
        <is>
          <t>8816</t>
        </is>
      </c>
      <c r="E5692" t="inlineStr">
        <is>
          <t>pagado</t>
        </is>
      </c>
      <c r="F5692" s="23" t="n">
        <v>46270</v>
      </c>
      <c r="G5692" s="24">
        <f>F5692-DATE(2026,8,31)</f>
        <v>5</v>
      </c>
      <c r="H5692" s="25" t="n">
        <v>108242476</v>
      </c>
      <c r="I5692" t="inlineStr">
        <is>
          <t>entidad-dia</t>
        </is>
      </c>
    </row>
    <row r="5693">
      <c r="A5693" t="inlineStr">
        <is>
          <t>PRAGMA</t>
        </is>
      </c>
      <c r="B5693" t="inlineStr">
        <is>
          <t>M1</t>
        </is>
      </c>
      <c r="C5693" t="inlineStr">
        <is>
          <t>Cali</t>
        </is>
      </c>
      <c r="D5693" t="inlineStr">
        <is>
          <t>8816</t>
        </is>
      </c>
      <c r="E5693" t="inlineStr">
        <is>
          <t>pagado</t>
        </is>
      </c>
      <c r="F5693" s="23" t="n">
        <v>46271</v>
      </c>
      <c r="G5693" s="24">
        <f>F5693-DATE(2026,8,31)</f>
        <v>6</v>
      </c>
      <c r="H5693" s="25" t="n">
        <v>32562682</v>
      </c>
      <c r="I5693" t="inlineStr">
        <is>
          <t>entidad-dia</t>
        </is>
      </c>
    </row>
    <row r="5694">
      <c r="A5694" t="inlineStr">
        <is>
          <t>PRAGMA</t>
        </is>
      </c>
      <c r="B5694" t="inlineStr">
        <is>
          <t>M1</t>
        </is>
      </c>
      <c r="C5694" t="inlineStr">
        <is>
          <t>Cali</t>
        </is>
      </c>
      <c r="D5694" t="inlineStr">
        <is>
          <t>8816</t>
        </is>
      </c>
      <c r="E5694" t="inlineStr">
        <is>
          <t>pagado</t>
        </is>
      </c>
      <c r="F5694" s="23" t="n">
        <v>46272</v>
      </c>
      <c r="G5694" s="24">
        <f>F5694-DATE(2026,8,31)</f>
        <v>7</v>
      </c>
      <c r="H5694" s="25" t="n">
        <v>82123380</v>
      </c>
      <c r="I5694" t="inlineStr">
        <is>
          <t>entidad-dia</t>
        </is>
      </c>
    </row>
    <row r="5695">
      <c r="A5695" t="inlineStr">
        <is>
          <t>PRAGMA</t>
        </is>
      </c>
      <c r="B5695" t="inlineStr">
        <is>
          <t>M1</t>
        </is>
      </c>
      <c r="C5695" t="inlineStr">
        <is>
          <t>Cali</t>
        </is>
      </c>
      <c r="D5695" t="inlineStr">
        <is>
          <t>8816</t>
        </is>
      </c>
      <c r="E5695" t="inlineStr">
        <is>
          <t>pagado</t>
        </is>
      </c>
      <c r="F5695" s="23" t="n">
        <v>46273</v>
      </c>
      <c r="G5695" s="24">
        <f>F5695-DATE(2026,8,31)</f>
        <v>8</v>
      </c>
      <c r="H5695" s="25" t="n">
        <v>85507262</v>
      </c>
      <c r="I5695" t="inlineStr">
        <is>
          <t>entidad-dia</t>
        </is>
      </c>
    </row>
    <row r="5696">
      <c r="A5696" t="inlineStr">
        <is>
          <t>PRAGMA</t>
        </is>
      </c>
      <c r="B5696" t="inlineStr">
        <is>
          <t>M1</t>
        </is>
      </c>
      <c r="C5696" t="inlineStr">
        <is>
          <t>Cali</t>
        </is>
      </c>
      <c r="D5696" t="inlineStr">
        <is>
          <t>8816</t>
        </is>
      </c>
      <c r="E5696" t="inlineStr">
        <is>
          <t>pagado</t>
        </is>
      </c>
      <c r="F5696" s="23" t="n">
        <v>46274</v>
      </c>
      <c r="G5696" s="24">
        <f>F5696-DATE(2026,8,31)</f>
        <v>9</v>
      </c>
      <c r="H5696" s="25" t="n">
        <v>98130036</v>
      </c>
      <c r="I5696" t="inlineStr">
        <is>
          <t>entidad-dia</t>
        </is>
      </c>
    </row>
    <row r="5697">
      <c r="A5697" t="inlineStr">
        <is>
          <t>PRAGMA</t>
        </is>
      </c>
      <c r="B5697" t="inlineStr">
        <is>
          <t>M1</t>
        </is>
      </c>
      <c r="C5697" t="inlineStr">
        <is>
          <t>Cali</t>
        </is>
      </c>
      <c r="D5697" t="inlineStr">
        <is>
          <t>8816</t>
        </is>
      </c>
      <c r="E5697" t="inlineStr">
        <is>
          <t>pagado</t>
        </is>
      </c>
      <c r="F5697" s="23" t="n">
        <v>46275</v>
      </c>
      <c r="G5697" s="24">
        <f>F5697-DATE(2026,8,31)</f>
        <v>10</v>
      </c>
      <c r="H5697" s="25" t="n">
        <v>88569015</v>
      </c>
      <c r="I5697" t="inlineStr">
        <is>
          <t>entidad-dia</t>
        </is>
      </c>
    </row>
    <row r="5698">
      <c r="A5698" t="inlineStr">
        <is>
          <t>PRAGMA</t>
        </is>
      </c>
      <c r="B5698" t="inlineStr">
        <is>
          <t>M1</t>
        </is>
      </c>
      <c r="C5698" t="inlineStr">
        <is>
          <t>Cali</t>
        </is>
      </c>
      <c r="D5698" t="inlineStr">
        <is>
          <t>8816</t>
        </is>
      </c>
      <c r="E5698" t="inlineStr">
        <is>
          <t>pagado</t>
        </is>
      </c>
      <c r="F5698" s="23" t="n">
        <v>46276</v>
      </c>
      <c r="G5698" s="24">
        <f>F5698-DATE(2026,8,31)</f>
        <v>11</v>
      </c>
      <c r="H5698" s="25" t="n">
        <v>102342618</v>
      </c>
      <c r="I5698" t="inlineStr">
        <is>
          <t>entidad-dia</t>
        </is>
      </c>
    </row>
    <row r="5699">
      <c r="A5699" t="inlineStr">
        <is>
          <t>PRAGMA</t>
        </is>
      </c>
      <c r="B5699" t="inlineStr">
        <is>
          <t>M1</t>
        </is>
      </c>
      <c r="C5699" t="inlineStr">
        <is>
          <t>Cali</t>
        </is>
      </c>
      <c r="D5699" t="inlineStr">
        <is>
          <t>8816</t>
        </is>
      </c>
      <c r="E5699" t="inlineStr">
        <is>
          <t>pagado</t>
        </is>
      </c>
      <c r="F5699" s="23" t="n">
        <v>46277</v>
      </c>
      <c r="G5699" s="24">
        <f>F5699-DATE(2026,8,31)</f>
        <v>12</v>
      </c>
      <c r="H5699" s="25" t="n">
        <v>89833958</v>
      </c>
      <c r="I5699" t="inlineStr">
        <is>
          <t>entidad-dia</t>
        </is>
      </c>
    </row>
    <row r="5700">
      <c r="A5700" t="inlineStr">
        <is>
          <t>PRAGMA</t>
        </is>
      </c>
      <c r="B5700" t="inlineStr">
        <is>
          <t>M1</t>
        </is>
      </c>
      <c r="C5700" t="inlineStr">
        <is>
          <t>Cali</t>
        </is>
      </c>
      <c r="D5700" t="inlineStr">
        <is>
          <t>8816</t>
        </is>
      </c>
      <c r="E5700" t="inlineStr">
        <is>
          <t>pagado</t>
        </is>
      </c>
      <c r="F5700" s="23" t="n">
        <v>46278</v>
      </c>
      <c r="G5700" s="24">
        <f>F5700-DATE(2026,8,31)</f>
        <v>13</v>
      </c>
      <c r="H5700" s="25" t="n">
        <v>27726430</v>
      </c>
      <c r="I5700" t="inlineStr">
        <is>
          <t>entidad-dia</t>
        </is>
      </c>
    </row>
    <row r="5701">
      <c r="A5701" t="inlineStr">
        <is>
          <t>PRAGMA</t>
        </is>
      </c>
      <c r="B5701" t="inlineStr">
        <is>
          <t>M1</t>
        </is>
      </c>
      <c r="C5701" t="inlineStr">
        <is>
          <t>Cali</t>
        </is>
      </c>
      <c r="D5701" t="inlineStr">
        <is>
          <t>8816</t>
        </is>
      </c>
      <c r="E5701" t="inlineStr">
        <is>
          <t>pagado</t>
        </is>
      </c>
      <c r="F5701" s="23" t="n">
        <v>46279</v>
      </c>
      <c r="G5701" s="24">
        <f>F5701-DATE(2026,8,31)</f>
        <v>14</v>
      </c>
      <c r="H5701" s="25" t="n">
        <v>89707596</v>
      </c>
      <c r="I5701" t="inlineStr">
        <is>
          <t>entidad-dia</t>
        </is>
      </c>
    </row>
    <row r="5702">
      <c r="A5702" t="inlineStr">
        <is>
          <t>PRAGMA</t>
        </is>
      </c>
      <c r="B5702" t="inlineStr">
        <is>
          <t>M1</t>
        </is>
      </c>
      <c r="C5702" t="inlineStr">
        <is>
          <t>Cali</t>
        </is>
      </c>
      <c r="D5702" t="inlineStr">
        <is>
          <t>8816</t>
        </is>
      </c>
      <c r="E5702" t="inlineStr">
        <is>
          <t>pagado</t>
        </is>
      </c>
      <c r="F5702" s="23" t="n">
        <v>46280</v>
      </c>
      <c r="G5702" s="24">
        <f>F5702-DATE(2026,8,31)</f>
        <v>15</v>
      </c>
      <c r="H5702" s="25" t="n">
        <v>153790401</v>
      </c>
      <c r="I5702" t="inlineStr">
        <is>
          <t>entidad-dia</t>
        </is>
      </c>
    </row>
    <row r="5703">
      <c r="A5703" t="inlineStr">
        <is>
          <t>PRAGMA</t>
        </is>
      </c>
      <c r="B5703" t="inlineStr">
        <is>
          <t>M1</t>
        </is>
      </c>
      <c r="C5703" t="inlineStr">
        <is>
          <t>Cali</t>
        </is>
      </c>
      <c r="D5703" t="inlineStr">
        <is>
          <t>8819</t>
        </is>
      </c>
      <c r="E5703" t="inlineStr">
        <is>
          <t>pagado</t>
        </is>
      </c>
      <c r="F5703" s="23" t="n">
        <v>46266</v>
      </c>
      <c r="G5703" s="24">
        <f>F5703-DATE(2026,8,31)</f>
        <v>1</v>
      </c>
      <c r="H5703" s="25" t="n">
        <v>169988202</v>
      </c>
      <c r="I5703" t="inlineStr">
        <is>
          <t>entidad-dia</t>
        </is>
      </c>
    </row>
    <row r="5704">
      <c r="A5704" t="inlineStr">
        <is>
          <t>PRAGMA</t>
        </is>
      </c>
      <c r="B5704" t="inlineStr">
        <is>
          <t>M1</t>
        </is>
      </c>
      <c r="C5704" t="inlineStr">
        <is>
          <t>Cali</t>
        </is>
      </c>
      <c r="D5704" t="inlineStr">
        <is>
          <t>8819</t>
        </is>
      </c>
      <c r="E5704" t="inlineStr">
        <is>
          <t>pagado</t>
        </is>
      </c>
      <c r="F5704" s="23" t="n">
        <v>46267</v>
      </c>
      <c r="G5704" s="24">
        <f>F5704-DATE(2026,8,31)</f>
        <v>2</v>
      </c>
      <c r="H5704" s="25" t="n">
        <v>126968018</v>
      </c>
      <c r="I5704" t="inlineStr">
        <is>
          <t>entidad-dia</t>
        </is>
      </c>
    </row>
    <row r="5705">
      <c r="A5705" t="inlineStr">
        <is>
          <t>PRAGMA</t>
        </is>
      </c>
      <c r="B5705" t="inlineStr">
        <is>
          <t>M1</t>
        </is>
      </c>
      <c r="C5705" t="inlineStr">
        <is>
          <t>Cali</t>
        </is>
      </c>
      <c r="D5705" t="inlineStr">
        <is>
          <t>8819</t>
        </is>
      </c>
      <c r="E5705" t="inlineStr">
        <is>
          <t>pagado</t>
        </is>
      </c>
      <c r="F5705" s="23" t="n">
        <v>46268</v>
      </c>
      <c r="G5705" s="24">
        <f>F5705-DATE(2026,8,31)</f>
        <v>3</v>
      </c>
      <c r="H5705" s="25" t="n">
        <v>113262590</v>
      </c>
      <c r="I5705" t="inlineStr">
        <is>
          <t>entidad-dia</t>
        </is>
      </c>
    </row>
    <row r="5706">
      <c r="A5706" t="inlineStr">
        <is>
          <t>PRAGMA</t>
        </is>
      </c>
      <c r="B5706" t="inlineStr">
        <is>
          <t>M1</t>
        </is>
      </c>
      <c r="C5706" t="inlineStr">
        <is>
          <t>Cali</t>
        </is>
      </c>
      <c r="D5706" t="inlineStr">
        <is>
          <t>8819</t>
        </is>
      </c>
      <c r="E5706" t="inlineStr">
        <is>
          <t>pagado</t>
        </is>
      </c>
      <c r="F5706" s="23" t="n">
        <v>46269</v>
      </c>
      <c r="G5706" s="24">
        <f>F5706-DATE(2026,8,31)</f>
        <v>4</v>
      </c>
      <c r="H5706" s="25" t="n">
        <v>125367184</v>
      </c>
      <c r="I5706" t="inlineStr">
        <is>
          <t>entidad-dia</t>
        </is>
      </c>
    </row>
    <row r="5707">
      <c r="A5707" t="inlineStr">
        <is>
          <t>PRAGMA</t>
        </is>
      </c>
      <c r="B5707" t="inlineStr">
        <is>
          <t>M1</t>
        </is>
      </c>
      <c r="C5707" t="inlineStr">
        <is>
          <t>Cali</t>
        </is>
      </c>
      <c r="D5707" t="inlineStr">
        <is>
          <t>8819</t>
        </is>
      </c>
      <c r="E5707" t="inlineStr">
        <is>
          <t>pagado</t>
        </is>
      </c>
      <c r="F5707" s="23" t="n">
        <v>46270</v>
      </c>
      <c r="G5707" s="24">
        <f>F5707-DATE(2026,8,31)</f>
        <v>5</v>
      </c>
      <c r="H5707" s="25" t="n">
        <v>136750490</v>
      </c>
      <c r="I5707" t="inlineStr">
        <is>
          <t>entidad-dia</t>
        </is>
      </c>
    </row>
    <row r="5708">
      <c r="A5708" t="inlineStr">
        <is>
          <t>PRAGMA</t>
        </is>
      </c>
      <c r="B5708" t="inlineStr">
        <is>
          <t>M1</t>
        </is>
      </c>
      <c r="C5708" t="inlineStr">
        <is>
          <t>Cali</t>
        </is>
      </c>
      <c r="D5708" t="inlineStr">
        <is>
          <t>8819</t>
        </is>
      </c>
      <c r="E5708" t="inlineStr">
        <is>
          <t>pagado</t>
        </is>
      </c>
      <c r="F5708" s="23" t="n">
        <v>46271</v>
      </c>
      <c r="G5708" s="24">
        <f>F5708-DATE(2026,8,31)</f>
        <v>6</v>
      </c>
      <c r="H5708" s="25" t="n">
        <v>92138468</v>
      </c>
      <c r="I5708" t="inlineStr">
        <is>
          <t>entidad-dia</t>
        </is>
      </c>
    </row>
    <row r="5709">
      <c r="A5709" t="inlineStr">
        <is>
          <t>PRAGMA</t>
        </is>
      </c>
      <c r="B5709" t="inlineStr">
        <is>
          <t>M1</t>
        </is>
      </c>
      <c r="C5709" t="inlineStr">
        <is>
          <t>Cali</t>
        </is>
      </c>
      <c r="D5709" t="inlineStr">
        <is>
          <t>8819</t>
        </is>
      </c>
      <c r="E5709" t="inlineStr">
        <is>
          <t>pagado</t>
        </is>
      </c>
      <c r="F5709" s="23" t="n">
        <v>46272</v>
      </c>
      <c r="G5709" s="24">
        <f>F5709-DATE(2026,8,31)</f>
        <v>7</v>
      </c>
      <c r="H5709" s="25" t="n">
        <v>89961929</v>
      </c>
      <c r="I5709" t="inlineStr">
        <is>
          <t>entidad-dia</t>
        </is>
      </c>
    </row>
    <row r="5710">
      <c r="A5710" t="inlineStr">
        <is>
          <t>PRAGMA</t>
        </is>
      </c>
      <c r="B5710" t="inlineStr">
        <is>
          <t>M1</t>
        </is>
      </c>
      <c r="C5710" t="inlineStr">
        <is>
          <t>Cali</t>
        </is>
      </c>
      <c r="D5710" t="inlineStr">
        <is>
          <t>8819</t>
        </is>
      </c>
      <c r="E5710" t="inlineStr">
        <is>
          <t>pagado</t>
        </is>
      </c>
      <c r="F5710" s="23" t="n">
        <v>46273</v>
      </c>
      <c r="G5710" s="24">
        <f>F5710-DATE(2026,8,31)</f>
        <v>8</v>
      </c>
      <c r="H5710" s="25" t="n">
        <v>102557492</v>
      </c>
      <c r="I5710" t="inlineStr">
        <is>
          <t>entidad-dia</t>
        </is>
      </c>
    </row>
    <row r="5711">
      <c r="A5711" t="inlineStr">
        <is>
          <t>PRAGMA</t>
        </is>
      </c>
      <c r="B5711" t="inlineStr">
        <is>
          <t>M1</t>
        </is>
      </c>
      <c r="C5711" t="inlineStr">
        <is>
          <t>Cali</t>
        </is>
      </c>
      <c r="D5711" t="inlineStr">
        <is>
          <t>8819</t>
        </is>
      </c>
      <c r="E5711" t="inlineStr">
        <is>
          <t>pagado</t>
        </is>
      </c>
      <c r="F5711" s="23" t="n">
        <v>46274</v>
      </c>
      <c r="G5711" s="24">
        <f>F5711-DATE(2026,8,31)</f>
        <v>9</v>
      </c>
      <c r="H5711" s="25" t="n">
        <v>85900950</v>
      </c>
      <c r="I5711" t="inlineStr">
        <is>
          <t>entidad-dia</t>
        </is>
      </c>
    </row>
    <row r="5712">
      <c r="A5712" t="inlineStr">
        <is>
          <t>PRAGMA</t>
        </is>
      </c>
      <c r="B5712" t="inlineStr">
        <is>
          <t>M1</t>
        </is>
      </c>
      <c r="C5712" t="inlineStr">
        <is>
          <t>Cali</t>
        </is>
      </c>
      <c r="D5712" t="inlineStr">
        <is>
          <t>8819</t>
        </is>
      </c>
      <c r="E5712" t="inlineStr">
        <is>
          <t>pagado</t>
        </is>
      </c>
      <c r="F5712" s="23" t="n">
        <v>46275</v>
      </c>
      <c r="G5712" s="24">
        <f>F5712-DATE(2026,8,31)</f>
        <v>10</v>
      </c>
      <c r="H5712" s="25" t="n">
        <v>80338219</v>
      </c>
      <c r="I5712" t="inlineStr">
        <is>
          <t>entidad-dia</t>
        </is>
      </c>
    </row>
    <row r="5713">
      <c r="A5713" t="inlineStr">
        <is>
          <t>PRAGMA</t>
        </is>
      </c>
      <c r="B5713" t="inlineStr">
        <is>
          <t>M1</t>
        </is>
      </c>
      <c r="C5713" t="inlineStr">
        <is>
          <t>Cali</t>
        </is>
      </c>
      <c r="D5713" t="inlineStr">
        <is>
          <t>8819</t>
        </is>
      </c>
      <c r="E5713" t="inlineStr">
        <is>
          <t>pagado</t>
        </is>
      </c>
      <c r="F5713" s="23" t="n">
        <v>46276</v>
      </c>
      <c r="G5713" s="24">
        <f>F5713-DATE(2026,8,31)</f>
        <v>11</v>
      </c>
      <c r="H5713" s="25" t="n">
        <v>98559672</v>
      </c>
      <c r="I5713" t="inlineStr">
        <is>
          <t>entidad-dia</t>
        </is>
      </c>
    </row>
    <row r="5714">
      <c r="A5714" t="inlineStr">
        <is>
          <t>PRAGMA</t>
        </is>
      </c>
      <c r="B5714" t="inlineStr">
        <is>
          <t>M1</t>
        </is>
      </c>
      <c r="C5714" t="inlineStr">
        <is>
          <t>Cali</t>
        </is>
      </c>
      <c r="D5714" t="inlineStr">
        <is>
          <t>8819</t>
        </is>
      </c>
      <c r="E5714" t="inlineStr">
        <is>
          <t>pagado</t>
        </is>
      </c>
      <c r="F5714" s="23" t="n">
        <v>46277</v>
      </c>
      <c r="G5714" s="24">
        <f>F5714-DATE(2026,8,31)</f>
        <v>12</v>
      </c>
      <c r="H5714" s="25" t="n">
        <v>107669366</v>
      </c>
      <c r="I5714" t="inlineStr">
        <is>
          <t>entidad-dia</t>
        </is>
      </c>
    </row>
    <row r="5715">
      <c r="A5715" t="inlineStr">
        <is>
          <t>PRAGMA</t>
        </is>
      </c>
      <c r="B5715" t="inlineStr">
        <is>
          <t>M1</t>
        </is>
      </c>
      <c r="C5715" t="inlineStr">
        <is>
          <t>Cali</t>
        </is>
      </c>
      <c r="D5715" t="inlineStr">
        <is>
          <t>8819</t>
        </is>
      </c>
      <c r="E5715" t="inlineStr">
        <is>
          <t>pagado</t>
        </is>
      </c>
      <c r="F5715" s="23" t="n">
        <v>46278</v>
      </c>
      <c r="G5715" s="24">
        <f>F5715-DATE(2026,8,31)</f>
        <v>13</v>
      </c>
      <c r="H5715" s="25" t="n">
        <v>72019121</v>
      </c>
      <c r="I5715" t="inlineStr">
        <is>
          <t>entidad-dia</t>
        </is>
      </c>
    </row>
    <row r="5716">
      <c r="A5716" t="inlineStr">
        <is>
          <t>PRAGMA</t>
        </is>
      </c>
      <c r="B5716" t="inlineStr">
        <is>
          <t>M1</t>
        </is>
      </c>
      <c r="C5716" t="inlineStr">
        <is>
          <t>Cali</t>
        </is>
      </c>
      <c r="D5716" t="inlineStr">
        <is>
          <t>8819</t>
        </is>
      </c>
      <c r="E5716" t="inlineStr">
        <is>
          <t>pagado</t>
        </is>
      </c>
      <c r="F5716" s="23" t="n">
        <v>46279</v>
      </c>
      <c r="G5716" s="24">
        <f>F5716-DATE(2026,8,31)</f>
        <v>14</v>
      </c>
      <c r="H5716" s="25" t="n">
        <v>84442634</v>
      </c>
      <c r="I5716" t="inlineStr">
        <is>
          <t>entidad-dia</t>
        </is>
      </c>
    </row>
    <row r="5717">
      <c r="A5717" t="inlineStr">
        <is>
          <t>PRAGMA</t>
        </is>
      </c>
      <c r="B5717" t="inlineStr">
        <is>
          <t>M1</t>
        </is>
      </c>
      <c r="C5717" t="inlineStr">
        <is>
          <t>Cali</t>
        </is>
      </c>
      <c r="D5717" t="inlineStr">
        <is>
          <t>8819</t>
        </is>
      </c>
      <c r="E5717" t="inlineStr">
        <is>
          <t>pagado</t>
        </is>
      </c>
      <c r="F5717" s="23" t="n">
        <v>46280</v>
      </c>
      <c r="G5717" s="24">
        <f>F5717-DATE(2026,8,31)</f>
        <v>15</v>
      </c>
      <c r="H5717" s="25" t="n">
        <v>124765127</v>
      </c>
      <c r="I5717" t="inlineStr">
        <is>
          <t>entidad-dia</t>
        </is>
      </c>
    </row>
    <row r="5718">
      <c r="A5718" t="inlineStr">
        <is>
          <t>PRAGMA</t>
        </is>
      </c>
      <c r="B5718" t="inlineStr">
        <is>
          <t>M1</t>
        </is>
      </c>
      <c r="C5718" t="inlineStr">
        <is>
          <t>Cali</t>
        </is>
      </c>
      <c r="D5718" t="inlineStr">
        <is>
          <t>8822</t>
        </is>
      </c>
      <c r="E5718" t="inlineStr">
        <is>
          <t>pagado</t>
        </is>
      </c>
      <c r="F5718" s="23" t="n">
        <v>46266</v>
      </c>
      <c r="G5718" s="24">
        <f>F5718-DATE(2026,8,31)</f>
        <v>1</v>
      </c>
      <c r="H5718" s="25" t="n">
        <v>134720263</v>
      </c>
      <c r="I5718" t="inlineStr">
        <is>
          <t>entidad-dia</t>
        </is>
      </c>
    </row>
    <row r="5719">
      <c r="A5719" t="inlineStr">
        <is>
          <t>PRAGMA</t>
        </is>
      </c>
      <c r="B5719" t="inlineStr">
        <is>
          <t>M1</t>
        </is>
      </c>
      <c r="C5719" t="inlineStr">
        <is>
          <t>Cali</t>
        </is>
      </c>
      <c r="D5719" t="inlineStr">
        <is>
          <t>8822</t>
        </is>
      </c>
      <c r="E5719" t="inlineStr">
        <is>
          <t>pagado</t>
        </is>
      </c>
      <c r="F5719" s="23" t="n">
        <v>46267</v>
      </c>
      <c r="G5719" s="24">
        <f>F5719-DATE(2026,8,31)</f>
        <v>2</v>
      </c>
      <c r="H5719" s="25" t="n">
        <v>100988598</v>
      </c>
      <c r="I5719" t="inlineStr">
        <is>
          <t>entidad-dia</t>
        </is>
      </c>
    </row>
    <row r="5720">
      <c r="A5720" t="inlineStr">
        <is>
          <t>PRAGMA</t>
        </is>
      </c>
      <c r="B5720" t="inlineStr">
        <is>
          <t>M1</t>
        </is>
      </c>
      <c r="C5720" t="inlineStr">
        <is>
          <t>Cali</t>
        </is>
      </c>
      <c r="D5720" t="inlineStr">
        <is>
          <t>8822</t>
        </is>
      </c>
      <c r="E5720" t="inlineStr">
        <is>
          <t>pagado</t>
        </is>
      </c>
      <c r="F5720" s="23" t="n">
        <v>46268</v>
      </c>
      <c r="G5720" s="24">
        <f>F5720-DATE(2026,8,31)</f>
        <v>3</v>
      </c>
      <c r="H5720" s="25" t="n">
        <v>95092681</v>
      </c>
      <c r="I5720" t="inlineStr">
        <is>
          <t>entidad-dia</t>
        </is>
      </c>
    </row>
    <row r="5721">
      <c r="A5721" t="inlineStr">
        <is>
          <t>PRAGMA</t>
        </is>
      </c>
      <c r="B5721" t="inlineStr">
        <is>
          <t>M1</t>
        </is>
      </c>
      <c r="C5721" t="inlineStr">
        <is>
          <t>Cali</t>
        </is>
      </c>
      <c r="D5721" t="inlineStr">
        <is>
          <t>8822</t>
        </is>
      </c>
      <c r="E5721" t="inlineStr">
        <is>
          <t>pagado</t>
        </is>
      </c>
      <c r="F5721" s="23" t="n">
        <v>46269</v>
      </c>
      <c r="G5721" s="24">
        <f>F5721-DATE(2026,8,31)</f>
        <v>4</v>
      </c>
      <c r="H5721" s="25" t="n">
        <v>91326812</v>
      </c>
      <c r="I5721" t="inlineStr">
        <is>
          <t>entidad-dia</t>
        </is>
      </c>
    </row>
    <row r="5722">
      <c r="A5722" t="inlineStr">
        <is>
          <t>PRAGMA</t>
        </is>
      </c>
      <c r="B5722" t="inlineStr">
        <is>
          <t>M1</t>
        </is>
      </c>
      <c r="C5722" t="inlineStr">
        <is>
          <t>Cali</t>
        </is>
      </c>
      <c r="D5722" t="inlineStr">
        <is>
          <t>8822</t>
        </is>
      </c>
      <c r="E5722" t="inlineStr">
        <is>
          <t>pagado</t>
        </is>
      </c>
      <c r="F5722" s="23" t="n">
        <v>46270</v>
      </c>
      <c r="G5722" s="24">
        <f>F5722-DATE(2026,8,31)</f>
        <v>5</v>
      </c>
      <c r="H5722" s="25" t="n">
        <v>97342275</v>
      </c>
      <c r="I5722" t="inlineStr">
        <is>
          <t>entidad-dia</t>
        </is>
      </c>
    </row>
    <row r="5723">
      <c r="A5723" t="inlineStr">
        <is>
          <t>PRAGMA</t>
        </is>
      </c>
      <c r="B5723" t="inlineStr">
        <is>
          <t>M1</t>
        </is>
      </c>
      <c r="C5723" t="inlineStr">
        <is>
          <t>Cali</t>
        </is>
      </c>
      <c r="D5723" t="inlineStr">
        <is>
          <t>8822</t>
        </is>
      </c>
      <c r="E5723" t="inlineStr">
        <is>
          <t>pagado</t>
        </is>
      </c>
      <c r="F5723" s="23" t="n">
        <v>46271</v>
      </c>
      <c r="G5723" s="24">
        <f>F5723-DATE(2026,8,31)</f>
        <v>6</v>
      </c>
      <c r="H5723" s="25" t="n">
        <v>68663142</v>
      </c>
      <c r="I5723" t="inlineStr">
        <is>
          <t>entidad-dia</t>
        </is>
      </c>
    </row>
    <row r="5724">
      <c r="A5724" t="inlineStr">
        <is>
          <t>PRAGMA</t>
        </is>
      </c>
      <c r="B5724" t="inlineStr">
        <is>
          <t>M1</t>
        </is>
      </c>
      <c r="C5724" t="inlineStr">
        <is>
          <t>Cali</t>
        </is>
      </c>
      <c r="D5724" t="inlineStr">
        <is>
          <t>8822</t>
        </is>
      </c>
      <c r="E5724" t="inlineStr">
        <is>
          <t>pagado</t>
        </is>
      </c>
      <c r="F5724" s="23" t="n">
        <v>46272</v>
      </c>
      <c r="G5724" s="24">
        <f>F5724-DATE(2026,8,31)</f>
        <v>7</v>
      </c>
      <c r="H5724" s="25" t="n">
        <v>67084121</v>
      </c>
      <c r="I5724" t="inlineStr">
        <is>
          <t>entidad-dia</t>
        </is>
      </c>
    </row>
    <row r="5725">
      <c r="A5725" t="inlineStr">
        <is>
          <t>PRAGMA</t>
        </is>
      </c>
      <c r="B5725" t="inlineStr">
        <is>
          <t>M1</t>
        </is>
      </c>
      <c r="C5725" t="inlineStr">
        <is>
          <t>Cali</t>
        </is>
      </c>
      <c r="D5725" t="inlineStr">
        <is>
          <t>8822</t>
        </is>
      </c>
      <c r="E5725" t="inlineStr">
        <is>
          <t>pagado</t>
        </is>
      </c>
      <c r="F5725" s="23" t="n">
        <v>46273</v>
      </c>
      <c r="G5725" s="24">
        <f>F5725-DATE(2026,8,31)</f>
        <v>8</v>
      </c>
      <c r="H5725" s="25" t="n">
        <v>72228531</v>
      </c>
      <c r="I5725" t="inlineStr">
        <is>
          <t>entidad-dia</t>
        </is>
      </c>
    </row>
    <row r="5726">
      <c r="A5726" t="inlineStr">
        <is>
          <t>PRAGMA</t>
        </is>
      </c>
      <c r="B5726" t="inlineStr">
        <is>
          <t>M1</t>
        </is>
      </c>
      <c r="C5726" t="inlineStr">
        <is>
          <t>Cali</t>
        </is>
      </c>
      <c r="D5726" t="inlineStr">
        <is>
          <t>8822</t>
        </is>
      </c>
      <c r="E5726" t="inlineStr">
        <is>
          <t>pagado</t>
        </is>
      </c>
      <c r="F5726" s="23" t="n">
        <v>46274</v>
      </c>
      <c r="G5726" s="24">
        <f>F5726-DATE(2026,8,31)</f>
        <v>9</v>
      </c>
      <c r="H5726" s="25" t="n">
        <v>66681430</v>
      </c>
      <c r="I5726" t="inlineStr">
        <is>
          <t>entidad-dia</t>
        </is>
      </c>
    </row>
    <row r="5727">
      <c r="A5727" t="inlineStr">
        <is>
          <t>PRAGMA</t>
        </is>
      </c>
      <c r="B5727" t="inlineStr">
        <is>
          <t>M1</t>
        </is>
      </c>
      <c r="C5727" t="inlineStr">
        <is>
          <t>Cali</t>
        </is>
      </c>
      <c r="D5727" t="inlineStr">
        <is>
          <t>8822</t>
        </is>
      </c>
      <c r="E5727" t="inlineStr">
        <is>
          <t>pagado</t>
        </is>
      </c>
      <c r="F5727" s="23" t="n">
        <v>46275</v>
      </c>
      <c r="G5727" s="24">
        <f>F5727-DATE(2026,8,31)</f>
        <v>10</v>
      </c>
      <c r="H5727" s="25" t="n">
        <v>68140494</v>
      </c>
      <c r="I5727" t="inlineStr">
        <is>
          <t>entidad-dia</t>
        </is>
      </c>
    </row>
    <row r="5728">
      <c r="A5728" t="inlineStr">
        <is>
          <t>PRAGMA</t>
        </is>
      </c>
      <c r="B5728" t="inlineStr">
        <is>
          <t>M1</t>
        </is>
      </c>
      <c r="C5728" t="inlineStr">
        <is>
          <t>Cali</t>
        </is>
      </c>
      <c r="D5728" t="inlineStr">
        <is>
          <t>8822</t>
        </is>
      </c>
      <c r="E5728" t="inlineStr">
        <is>
          <t>pagado</t>
        </is>
      </c>
      <c r="F5728" s="23" t="n">
        <v>46276</v>
      </c>
      <c r="G5728" s="24">
        <f>F5728-DATE(2026,8,31)</f>
        <v>11</v>
      </c>
      <c r="H5728" s="25" t="n">
        <v>68273922</v>
      </c>
      <c r="I5728" t="inlineStr">
        <is>
          <t>entidad-dia</t>
        </is>
      </c>
    </row>
    <row r="5729">
      <c r="A5729" t="inlineStr">
        <is>
          <t>PRAGMA</t>
        </is>
      </c>
      <c r="B5729" t="inlineStr">
        <is>
          <t>M1</t>
        </is>
      </c>
      <c r="C5729" t="inlineStr">
        <is>
          <t>Cali</t>
        </is>
      </c>
      <c r="D5729" t="inlineStr">
        <is>
          <t>8822</t>
        </is>
      </c>
      <c r="E5729" t="inlineStr">
        <is>
          <t>pagado</t>
        </is>
      </c>
      <c r="F5729" s="23" t="n">
        <v>46277</v>
      </c>
      <c r="G5729" s="24">
        <f>F5729-DATE(2026,8,31)</f>
        <v>12</v>
      </c>
      <c r="H5729" s="25" t="n">
        <v>77350694</v>
      </c>
      <c r="I5729" t="inlineStr">
        <is>
          <t>entidad-dia</t>
        </is>
      </c>
    </row>
    <row r="5730">
      <c r="A5730" t="inlineStr">
        <is>
          <t>PRAGMA</t>
        </is>
      </c>
      <c r="B5730" t="inlineStr">
        <is>
          <t>M1</t>
        </is>
      </c>
      <c r="C5730" t="inlineStr">
        <is>
          <t>Cali</t>
        </is>
      </c>
      <c r="D5730" t="inlineStr">
        <is>
          <t>8822</t>
        </is>
      </c>
      <c r="E5730" t="inlineStr">
        <is>
          <t>pagado</t>
        </is>
      </c>
      <c r="F5730" s="23" t="n">
        <v>46278</v>
      </c>
      <c r="G5730" s="24">
        <f>F5730-DATE(2026,8,31)</f>
        <v>13</v>
      </c>
      <c r="H5730" s="25" t="n">
        <v>54548911</v>
      </c>
      <c r="I5730" t="inlineStr">
        <is>
          <t>entidad-dia</t>
        </is>
      </c>
    </row>
    <row r="5731">
      <c r="A5731" t="inlineStr">
        <is>
          <t>PRAGMA</t>
        </is>
      </c>
      <c r="B5731" t="inlineStr">
        <is>
          <t>M1</t>
        </is>
      </c>
      <c r="C5731" t="inlineStr">
        <is>
          <t>Cali</t>
        </is>
      </c>
      <c r="D5731" t="inlineStr">
        <is>
          <t>8822</t>
        </is>
      </c>
      <c r="E5731" t="inlineStr">
        <is>
          <t>pagado</t>
        </is>
      </c>
      <c r="F5731" s="23" t="n">
        <v>46279</v>
      </c>
      <c r="G5731" s="24">
        <f>F5731-DATE(2026,8,31)</f>
        <v>14</v>
      </c>
      <c r="H5731" s="25" t="n">
        <v>68898695</v>
      </c>
      <c r="I5731" t="inlineStr">
        <is>
          <t>entidad-dia</t>
        </is>
      </c>
    </row>
    <row r="5732">
      <c r="A5732" t="inlineStr">
        <is>
          <t>PRAGMA</t>
        </is>
      </c>
      <c r="B5732" t="inlineStr">
        <is>
          <t>M1</t>
        </is>
      </c>
      <c r="C5732" t="inlineStr">
        <is>
          <t>Cali</t>
        </is>
      </c>
      <c r="D5732" t="inlineStr">
        <is>
          <t>8822</t>
        </is>
      </c>
      <c r="E5732" t="inlineStr">
        <is>
          <t>pagado</t>
        </is>
      </c>
      <c r="F5732" s="23" t="n">
        <v>46280</v>
      </c>
      <c r="G5732" s="24">
        <f>F5732-DATE(2026,8,31)</f>
        <v>15</v>
      </c>
      <c r="H5732" s="25" t="n">
        <v>106697253</v>
      </c>
      <c r="I5732" t="inlineStr">
        <is>
          <t>entidad-dia</t>
        </is>
      </c>
    </row>
    <row r="5733">
      <c r="A5733" t="inlineStr">
        <is>
          <t>PRAGMA</t>
        </is>
      </c>
      <c r="B5733" t="inlineStr">
        <is>
          <t>M1</t>
        </is>
      </c>
      <c r="C5733" t="inlineStr">
        <is>
          <t>Cali</t>
        </is>
      </c>
      <c r="D5733" t="inlineStr">
        <is>
          <t>8823</t>
        </is>
      </c>
      <c r="E5733" t="inlineStr">
        <is>
          <t>pagado</t>
        </is>
      </c>
      <c r="F5733" s="23" t="n">
        <v>46266</v>
      </c>
      <c r="G5733" s="24">
        <f>F5733-DATE(2026,8,31)</f>
        <v>1</v>
      </c>
      <c r="H5733" s="25" t="n">
        <v>222770712</v>
      </c>
      <c r="I5733" t="inlineStr">
        <is>
          <t>entidad-dia</t>
        </is>
      </c>
    </row>
    <row r="5734">
      <c r="A5734" t="inlineStr">
        <is>
          <t>PRAGMA</t>
        </is>
      </c>
      <c r="B5734" t="inlineStr">
        <is>
          <t>M1</t>
        </is>
      </c>
      <c r="C5734" t="inlineStr">
        <is>
          <t>Cali</t>
        </is>
      </c>
      <c r="D5734" t="inlineStr">
        <is>
          <t>8823</t>
        </is>
      </c>
      <c r="E5734" t="inlineStr">
        <is>
          <t>pagado</t>
        </is>
      </c>
      <c r="F5734" s="23" t="n">
        <v>46267</v>
      </c>
      <c r="G5734" s="24">
        <f>F5734-DATE(2026,8,31)</f>
        <v>2</v>
      </c>
      <c r="H5734" s="25" t="n">
        <v>181402467</v>
      </c>
      <c r="I5734" t="inlineStr">
        <is>
          <t>entidad-dia</t>
        </is>
      </c>
    </row>
    <row r="5735">
      <c r="A5735" t="inlineStr">
        <is>
          <t>PRAGMA</t>
        </is>
      </c>
      <c r="B5735" t="inlineStr">
        <is>
          <t>M1</t>
        </is>
      </c>
      <c r="C5735" t="inlineStr">
        <is>
          <t>Cali</t>
        </is>
      </c>
      <c r="D5735" t="inlineStr">
        <is>
          <t>8823</t>
        </is>
      </c>
      <c r="E5735" t="inlineStr">
        <is>
          <t>pagado</t>
        </is>
      </c>
      <c r="F5735" s="23" t="n">
        <v>46268</v>
      </c>
      <c r="G5735" s="24">
        <f>F5735-DATE(2026,8,31)</f>
        <v>3</v>
      </c>
      <c r="H5735" s="25" t="n">
        <v>129594774</v>
      </c>
      <c r="I5735" t="inlineStr">
        <is>
          <t>entidad-dia</t>
        </is>
      </c>
    </row>
    <row r="5736">
      <c r="A5736" t="inlineStr">
        <is>
          <t>PRAGMA</t>
        </is>
      </c>
      <c r="B5736" t="inlineStr">
        <is>
          <t>M1</t>
        </is>
      </c>
      <c r="C5736" t="inlineStr">
        <is>
          <t>Cali</t>
        </is>
      </c>
      <c r="D5736" t="inlineStr">
        <is>
          <t>8823</t>
        </is>
      </c>
      <c r="E5736" t="inlineStr">
        <is>
          <t>pagado</t>
        </is>
      </c>
      <c r="F5736" s="23" t="n">
        <v>46269</v>
      </c>
      <c r="G5736" s="24">
        <f>F5736-DATE(2026,8,31)</f>
        <v>4</v>
      </c>
      <c r="H5736" s="25" t="n">
        <v>164284652</v>
      </c>
      <c r="I5736" t="inlineStr">
        <is>
          <t>entidad-dia</t>
        </is>
      </c>
    </row>
    <row r="5737">
      <c r="A5737" t="inlineStr">
        <is>
          <t>PRAGMA</t>
        </is>
      </c>
      <c r="B5737" t="inlineStr">
        <is>
          <t>M1</t>
        </is>
      </c>
      <c r="C5737" t="inlineStr">
        <is>
          <t>Cali</t>
        </is>
      </c>
      <c r="D5737" t="inlineStr">
        <is>
          <t>8823</t>
        </is>
      </c>
      <c r="E5737" t="inlineStr">
        <is>
          <t>pagado</t>
        </is>
      </c>
      <c r="F5737" s="23" t="n">
        <v>46270</v>
      </c>
      <c r="G5737" s="24">
        <f>F5737-DATE(2026,8,31)</f>
        <v>5</v>
      </c>
      <c r="H5737" s="25" t="n">
        <v>199609380</v>
      </c>
      <c r="I5737" t="inlineStr">
        <is>
          <t>entidad-dia</t>
        </is>
      </c>
    </row>
    <row r="5738">
      <c r="A5738" t="inlineStr">
        <is>
          <t>PRAGMA</t>
        </is>
      </c>
      <c r="B5738" t="inlineStr">
        <is>
          <t>M1</t>
        </is>
      </c>
      <c r="C5738" t="inlineStr">
        <is>
          <t>Cali</t>
        </is>
      </c>
      <c r="D5738" t="inlineStr">
        <is>
          <t>8823</t>
        </is>
      </c>
      <c r="E5738" t="inlineStr">
        <is>
          <t>pagado</t>
        </is>
      </c>
      <c r="F5738" s="23" t="n">
        <v>46271</v>
      </c>
      <c r="G5738" s="24">
        <f>F5738-DATE(2026,8,31)</f>
        <v>6</v>
      </c>
      <c r="H5738" s="25" t="n">
        <v>141399280</v>
      </c>
      <c r="I5738" t="inlineStr">
        <is>
          <t>entidad-dia</t>
        </is>
      </c>
    </row>
    <row r="5739">
      <c r="A5739" t="inlineStr">
        <is>
          <t>PRAGMA</t>
        </is>
      </c>
      <c r="B5739" t="inlineStr">
        <is>
          <t>M1</t>
        </is>
      </c>
      <c r="C5739" t="inlineStr">
        <is>
          <t>Cali</t>
        </is>
      </c>
      <c r="D5739" t="inlineStr">
        <is>
          <t>8823</t>
        </is>
      </c>
      <c r="E5739" t="inlineStr">
        <is>
          <t>pagado</t>
        </is>
      </c>
      <c r="F5739" s="23" t="n">
        <v>46272</v>
      </c>
      <c r="G5739" s="24">
        <f>F5739-DATE(2026,8,31)</f>
        <v>7</v>
      </c>
      <c r="H5739" s="25" t="n">
        <v>130603379</v>
      </c>
      <c r="I5739" t="inlineStr">
        <is>
          <t>entidad-dia</t>
        </is>
      </c>
    </row>
    <row r="5740">
      <c r="A5740" t="inlineStr">
        <is>
          <t>PRAGMA</t>
        </is>
      </c>
      <c r="B5740" t="inlineStr">
        <is>
          <t>M1</t>
        </is>
      </c>
      <c r="C5740" t="inlineStr">
        <is>
          <t>Cali</t>
        </is>
      </c>
      <c r="D5740" t="inlineStr">
        <is>
          <t>8823</t>
        </is>
      </c>
      <c r="E5740" t="inlineStr">
        <is>
          <t>pagado</t>
        </is>
      </c>
      <c r="F5740" s="23" t="n">
        <v>46273</v>
      </c>
      <c r="G5740" s="24">
        <f>F5740-DATE(2026,8,31)</f>
        <v>8</v>
      </c>
      <c r="H5740" s="25" t="n">
        <v>131457424</v>
      </c>
      <c r="I5740" t="inlineStr">
        <is>
          <t>entidad-dia</t>
        </is>
      </c>
    </row>
    <row r="5741">
      <c r="A5741" t="inlineStr">
        <is>
          <t>PRAGMA</t>
        </is>
      </c>
      <c r="B5741" t="inlineStr">
        <is>
          <t>M1</t>
        </is>
      </c>
      <c r="C5741" t="inlineStr">
        <is>
          <t>Cali</t>
        </is>
      </c>
      <c r="D5741" t="inlineStr">
        <is>
          <t>8823</t>
        </is>
      </c>
      <c r="E5741" t="inlineStr">
        <is>
          <t>pagado</t>
        </is>
      </c>
      <c r="F5741" s="23" t="n">
        <v>46274</v>
      </c>
      <c r="G5741" s="24">
        <f>F5741-DATE(2026,8,31)</f>
        <v>9</v>
      </c>
      <c r="H5741" s="25" t="n">
        <v>123741987</v>
      </c>
      <c r="I5741" t="inlineStr">
        <is>
          <t>entidad-dia</t>
        </is>
      </c>
    </row>
    <row r="5742">
      <c r="A5742" t="inlineStr">
        <is>
          <t>PRAGMA</t>
        </is>
      </c>
      <c r="B5742" t="inlineStr">
        <is>
          <t>M1</t>
        </is>
      </c>
      <c r="C5742" t="inlineStr">
        <is>
          <t>Cali</t>
        </is>
      </c>
      <c r="D5742" t="inlineStr">
        <is>
          <t>8823</t>
        </is>
      </c>
      <c r="E5742" t="inlineStr">
        <is>
          <t>pagado</t>
        </is>
      </c>
      <c r="F5742" s="23" t="n">
        <v>46275</v>
      </c>
      <c r="G5742" s="24">
        <f>F5742-DATE(2026,8,31)</f>
        <v>10</v>
      </c>
      <c r="H5742" s="25" t="n">
        <v>104469807</v>
      </c>
      <c r="I5742" t="inlineStr">
        <is>
          <t>entidad-dia</t>
        </is>
      </c>
    </row>
    <row r="5743">
      <c r="A5743" t="inlineStr">
        <is>
          <t>PRAGMA</t>
        </is>
      </c>
      <c r="B5743" t="inlineStr">
        <is>
          <t>M1</t>
        </is>
      </c>
      <c r="C5743" t="inlineStr">
        <is>
          <t>Cali</t>
        </is>
      </c>
      <c r="D5743" t="inlineStr">
        <is>
          <t>8823</t>
        </is>
      </c>
      <c r="E5743" t="inlineStr">
        <is>
          <t>pagado</t>
        </is>
      </c>
      <c r="F5743" s="23" t="n">
        <v>46276</v>
      </c>
      <c r="G5743" s="24">
        <f>F5743-DATE(2026,8,31)</f>
        <v>11</v>
      </c>
      <c r="H5743" s="25" t="n">
        <v>119800528</v>
      </c>
      <c r="I5743" t="inlineStr">
        <is>
          <t>entidad-dia</t>
        </is>
      </c>
    </row>
    <row r="5744">
      <c r="A5744" t="inlineStr">
        <is>
          <t>PRAGMA</t>
        </is>
      </c>
      <c r="B5744" t="inlineStr">
        <is>
          <t>M1</t>
        </is>
      </c>
      <c r="C5744" t="inlineStr">
        <is>
          <t>Cali</t>
        </is>
      </c>
      <c r="D5744" t="inlineStr">
        <is>
          <t>8823</t>
        </is>
      </c>
      <c r="E5744" t="inlineStr">
        <is>
          <t>pagado</t>
        </is>
      </c>
      <c r="F5744" s="23" t="n">
        <v>46277</v>
      </c>
      <c r="G5744" s="24">
        <f>F5744-DATE(2026,8,31)</f>
        <v>12</v>
      </c>
      <c r="H5744" s="25" t="n">
        <v>147057093</v>
      </c>
      <c r="I5744" t="inlineStr">
        <is>
          <t>entidad-dia</t>
        </is>
      </c>
    </row>
    <row r="5745">
      <c r="A5745" t="inlineStr">
        <is>
          <t>PRAGMA</t>
        </is>
      </c>
      <c r="B5745" t="inlineStr">
        <is>
          <t>M1</t>
        </is>
      </c>
      <c r="C5745" t="inlineStr">
        <is>
          <t>Cali</t>
        </is>
      </c>
      <c r="D5745" t="inlineStr">
        <is>
          <t>8823</t>
        </is>
      </c>
      <c r="E5745" t="inlineStr">
        <is>
          <t>pagado</t>
        </is>
      </c>
      <c r="F5745" s="23" t="n">
        <v>46278</v>
      </c>
      <c r="G5745" s="24">
        <f>F5745-DATE(2026,8,31)</f>
        <v>13</v>
      </c>
      <c r="H5745" s="25" t="n">
        <v>102309744</v>
      </c>
      <c r="I5745" t="inlineStr">
        <is>
          <t>entidad-dia</t>
        </is>
      </c>
    </row>
    <row r="5746">
      <c r="A5746" t="inlineStr">
        <is>
          <t>PRAGMA</t>
        </is>
      </c>
      <c r="B5746" t="inlineStr">
        <is>
          <t>M1</t>
        </is>
      </c>
      <c r="C5746" t="inlineStr">
        <is>
          <t>Cali</t>
        </is>
      </c>
      <c r="D5746" t="inlineStr">
        <is>
          <t>8823</t>
        </is>
      </c>
      <c r="E5746" t="inlineStr">
        <is>
          <t>pagado</t>
        </is>
      </c>
      <c r="F5746" s="23" t="n">
        <v>46279</v>
      </c>
      <c r="G5746" s="24">
        <f>F5746-DATE(2026,8,31)</f>
        <v>14</v>
      </c>
      <c r="H5746" s="25" t="n">
        <v>113350523</v>
      </c>
      <c r="I5746" t="inlineStr">
        <is>
          <t>entidad-dia</t>
        </is>
      </c>
    </row>
    <row r="5747">
      <c r="A5747" t="inlineStr">
        <is>
          <t>PRAGMA</t>
        </is>
      </c>
      <c r="B5747" t="inlineStr">
        <is>
          <t>M1</t>
        </is>
      </c>
      <c r="C5747" t="inlineStr">
        <is>
          <t>Cali</t>
        </is>
      </c>
      <c r="D5747" t="inlineStr">
        <is>
          <t>8823</t>
        </is>
      </c>
      <c r="E5747" t="inlineStr">
        <is>
          <t>pagado</t>
        </is>
      </c>
      <c r="F5747" s="23" t="n">
        <v>46280</v>
      </c>
      <c r="G5747" s="24">
        <f>F5747-DATE(2026,8,31)</f>
        <v>15</v>
      </c>
      <c r="H5747" s="25" t="n">
        <v>166040908</v>
      </c>
      <c r="I5747" t="inlineStr">
        <is>
          <t>entidad-dia</t>
        </is>
      </c>
    </row>
    <row r="5748">
      <c r="A5748" t="inlineStr">
        <is>
          <t>PRAGMA</t>
        </is>
      </c>
      <c r="B5748" t="inlineStr">
        <is>
          <t>M1</t>
        </is>
      </c>
      <c r="C5748" t="inlineStr">
        <is>
          <t>Cali</t>
        </is>
      </c>
      <c r="D5748" t="inlineStr">
        <is>
          <t>8834</t>
        </is>
      </c>
      <c r="E5748" t="inlineStr">
        <is>
          <t>pagado</t>
        </is>
      </c>
      <c r="F5748" s="23" t="n">
        <v>46266</v>
      </c>
      <c r="G5748" s="24">
        <f>F5748-DATE(2026,8,31)</f>
        <v>1</v>
      </c>
      <c r="H5748" s="25" t="n">
        <v>186470631</v>
      </c>
      <c r="I5748" t="inlineStr">
        <is>
          <t>entidad-dia</t>
        </is>
      </c>
    </row>
    <row r="5749">
      <c r="A5749" t="inlineStr">
        <is>
          <t>PRAGMA</t>
        </is>
      </c>
      <c r="B5749" t="inlineStr">
        <is>
          <t>M1</t>
        </is>
      </c>
      <c r="C5749" t="inlineStr">
        <is>
          <t>Cali</t>
        </is>
      </c>
      <c r="D5749" t="inlineStr">
        <is>
          <t>8834</t>
        </is>
      </c>
      <c r="E5749" t="inlineStr">
        <is>
          <t>pagado</t>
        </is>
      </c>
      <c r="F5749" s="23" t="n">
        <v>46267</v>
      </c>
      <c r="G5749" s="24">
        <f>F5749-DATE(2026,8,31)</f>
        <v>2</v>
      </c>
      <c r="H5749" s="25" t="n">
        <v>147471537</v>
      </c>
      <c r="I5749" t="inlineStr">
        <is>
          <t>entidad-dia</t>
        </is>
      </c>
    </row>
    <row r="5750">
      <c r="A5750" t="inlineStr">
        <is>
          <t>PRAGMA</t>
        </is>
      </c>
      <c r="B5750" t="inlineStr">
        <is>
          <t>M1</t>
        </is>
      </c>
      <c r="C5750" t="inlineStr">
        <is>
          <t>Cali</t>
        </is>
      </c>
      <c r="D5750" t="inlineStr">
        <is>
          <t>8834</t>
        </is>
      </c>
      <c r="E5750" t="inlineStr">
        <is>
          <t>pagado</t>
        </is>
      </c>
      <c r="F5750" s="23" t="n">
        <v>46268</v>
      </c>
      <c r="G5750" s="24">
        <f>F5750-DATE(2026,8,31)</f>
        <v>3</v>
      </c>
      <c r="H5750" s="25" t="n">
        <v>136372365</v>
      </c>
      <c r="I5750" t="inlineStr">
        <is>
          <t>entidad-dia</t>
        </is>
      </c>
    </row>
    <row r="5751">
      <c r="A5751" t="inlineStr">
        <is>
          <t>PRAGMA</t>
        </is>
      </c>
      <c r="B5751" t="inlineStr">
        <is>
          <t>M1</t>
        </is>
      </c>
      <c r="C5751" t="inlineStr">
        <is>
          <t>Cali</t>
        </is>
      </c>
      <c r="D5751" t="inlineStr">
        <is>
          <t>8834</t>
        </is>
      </c>
      <c r="E5751" t="inlineStr">
        <is>
          <t>pagado</t>
        </is>
      </c>
      <c r="F5751" s="23" t="n">
        <v>46269</v>
      </c>
      <c r="G5751" s="24">
        <f>F5751-DATE(2026,8,31)</f>
        <v>4</v>
      </c>
      <c r="H5751" s="25" t="n">
        <v>135020539</v>
      </c>
      <c r="I5751" t="inlineStr">
        <is>
          <t>entidad-dia</t>
        </is>
      </c>
    </row>
    <row r="5752">
      <c r="A5752" t="inlineStr">
        <is>
          <t>PRAGMA</t>
        </is>
      </c>
      <c r="B5752" t="inlineStr">
        <is>
          <t>M1</t>
        </is>
      </c>
      <c r="C5752" t="inlineStr">
        <is>
          <t>Cali</t>
        </is>
      </c>
      <c r="D5752" t="inlineStr">
        <is>
          <t>8834</t>
        </is>
      </c>
      <c r="E5752" t="inlineStr">
        <is>
          <t>pagado</t>
        </is>
      </c>
      <c r="F5752" s="23" t="n">
        <v>46270</v>
      </c>
      <c r="G5752" s="24">
        <f>F5752-DATE(2026,8,31)</f>
        <v>5</v>
      </c>
      <c r="H5752" s="25" t="n">
        <v>151822835</v>
      </c>
      <c r="I5752" t="inlineStr">
        <is>
          <t>entidad-dia</t>
        </is>
      </c>
    </row>
    <row r="5753">
      <c r="A5753" t="inlineStr">
        <is>
          <t>PRAGMA</t>
        </is>
      </c>
      <c r="B5753" t="inlineStr">
        <is>
          <t>M1</t>
        </is>
      </c>
      <c r="C5753" t="inlineStr">
        <is>
          <t>Cali</t>
        </is>
      </c>
      <c r="D5753" t="inlineStr">
        <is>
          <t>8834</t>
        </is>
      </c>
      <c r="E5753" t="inlineStr">
        <is>
          <t>pagado</t>
        </is>
      </c>
      <c r="F5753" s="23" t="n">
        <v>46271</v>
      </c>
      <c r="G5753" s="24">
        <f>F5753-DATE(2026,8,31)</f>
        <v>6</v>
      </c>
      <c r="H5753" s="25" t="n">
        <v>96843118</v>
      </c>
      <c r="I5753" t="inlineStr">
        <is>
          <t>entidad-dia</t>
        </is>
      </c>
    </row>
    <row r="5754">
      <c r="A5754" t="inlineStr">
        <is>
          <t>PRAGMA</t>
        </is>
      </c>
      <c r="B5754" t="inlineStr">
        <is>
          <t>M1</t>
        </is>
      </c>
      <c r="C5754" t="inlineStr">
        <is>
          <t>Cali</t>
        </is>
      </c>
      <c r="D5754" t="inlineStr">
        <is>
          <t>8834</t>
        </is>
      </c>
      <c r="E5754" t="inlineStr">
        <is>
          <t>pagado</t>
        </is>
      </c>
      <c r="F5754" s="23" t="n">
        <v>46272</v>
      </c>
      <c r="G5754" s="24">
        <f>F5754-DATE(2026,8,31)</f>
        <v>7</v>
      </c>
      <c r="H5754" s="25" t="n">
        <v>107664525</v>
      </c>
      <c r="I5754" t="inlineStr">
        <is>
          <t>entidad-dia</t>
        </is>
      </c>
    </row>
    <row r="5755">
      <c r="A5755" t="inlineStr">
        <is>
          <t>PRAGMA</t>
        </is>
      </c>
      <c r="B5755" t="inlineStr">
        <is>
          <t>M1</t>
        </is>
      </c>
      <c r="C5755" t="inlineStr">
        <is>
          <t>Cali</t>
        </is>
      </c>
      <c r="D5755" t="inlineStr">
        <is>
          <t>8834</t>
        </is>
      </c>
      <c r="E5755" t="inlineStr">
        <is>
          <t>pagado</t>
        </is>
      </c>
      <c r="F5755" s="23" t="n">
        <v>46273</v>
      </c>
      <c r="G5755" s="24">
        <f>F5755-DATE(2026,8,31)</f>
        <v>8</v>
      </c>
      <c r="H5755" s="25" t="n">
        <v>114987854</v>
      </c>
      <c r="I5755" t="inlineStr">
        <is>
          <t>entidad-dia</t>
        </is>
      </c>
    </row>
    <row r="5756">
      <c r="A5756" t="inlineStr">
        <is>
          <t>PRAGMA</t>
        </is>
      </c>
      <c r="B5756" t="inlineStr">
        <is>
          <t>M1</t>
        </is>
      </c>
      <c r="C5756" t="inlineStr">
        <is>
          <t>Cali</t>
        </is>
      </c>
      <c r="D5756" t="inlineStr">
        <is>
          <t>8834</t>
        </is>
      </c>
      <c r="E5756" t="inlineStr">
        <is>
          <t>pagado</t>
        </is>
      </c>
      <c r="F5756" s="23" t="n">
        <v>46274</v>
      </c>
      <c r="G5756" s="24">
        <f>F5756-DATE(2026,8,31)</f>
        <v>9</v>
      </c>
      <c r="H5756" s="25" t="n">
        <v>107736326</v>
      </c>
      <c r="I5756" t="inlineStr">
        <is>
          <t>entidad-dia</t>
        </is>
      </c>
    </row>
    <row r="5757">
      <c r="A5757" t="inlineStr">
        <is>
          <t>PRAGMA</t>
        </is>
      </c>
      <c r="B5757" t="inlineStr">
        <is>
          <t>M1</t>
        </is>
      </c>
      <c r="C5757" t="inlineStr">
        <is>
          <t>Cali</t>
        </is>
      </c>
      <c r="D5757" t="inlineStr">
        <is>
          <t>8834</t>
        </is>
      </c>
      <c r="E5757" t="inlineStr">
        <is>
          <t>pagado</t>
        </is>
      </c>
      <c r="F5757" s="23" t="n">
        <v>46275</v>
      </c>
      <c r="G5757" s="24">
        <f>F5757-DATE(2026,8,31)</f>
        <v>10</v>
      </c>
      <c r="H5757" s="25" t="n">
        <v>100818226</v>
      </c>
      <c r="I5757" t="inlineStr">
        <is>
          <t>entidad-dia</t>
        </is>
      </c>
    </row>
    <row r="5758">
      <c r="A5758" t="inlineStr">
        <is>
          <t>PRAGMA</t>
        </is>
      </c>
      <c r="B5758" t="inlineStr">
        <is>
          <t>M1</t>
        </is>
      </c>
      <c r="C5758" t="inlineStr">
        <is>
          <t>Cali</t>
        </is>
      </c>
      <c r="D5758" t="inlineStr">
        <is>
          <t>8834</t>
        </is>
      </c>
      <c r="E5758" t="inlineStr">
        <is>
          <t>pagado</t>
        </is>
      </c>
      <c r="F5758" s="23" t="n">
        <v>46276</v>
      </c>
      <c r="G5758" s="24">
        <f>F5758-DATE(2026,8,31)</f>
        <v>11</v>
      </c>
      <c r="H5758" s="25" t="n">
        <v>94566767</v>
      </c>
      <c r="I5758" t="inlineStr">
        <is>
          <t>entidad-dia</t>
        </is>
      </c>
    </row>
    <row r="5759">
      <c r="A5759" t="inlineStr">
        <is>
          <t>PRAGMA</t>
        </is>
      </c>
      <c r="B5759" t="inlineStr">
        <is>
          <t>M1</t>
        </is>
      </c>
      <c r="C5759" t="inlineStr">
        <is>
          <t>Cali</t>
        </is>
      </c>
      <c r="D5759" t="inlineStr">
        <is>
          <t>8834</t>
        </is>
      </c>
      <c r="E5759" t="inlineStr">
        <is>
          <t>pagado</t>
        </is>
      </c>
      <c r="F5759" s="23" t="n">
        <v>46277</v>
      </c>
      <c r="G5759" s="24">
        <f>F5759-DATE(2026,8,31)</f>
        <v>12</v>
      </c>
      <c r="H5759" s="25" t="n">
        <v>113601303</v>
      </c>
      <c r="I5759" t="inlineStr">
        <is>
          <t>entidad-dia</t>
        </is>
      </c>
    </row>
    <row r="5760">
      <c r="A5760" t="inlineStr">
        <is>
          <t>PRAGMA</t>
        </is>
      </c>
      <c r="B5760" t="inlineStr">
        <is>
          <t>M1</t>
        </is>
      </c>
      <c r="C5760" t="inlineStr">
        <is>
          <t>Cali</t>
        </is>
      </c>
      <c r="D5760" t="inlineStr">
        <is>
          <t>8834</t>
        </is>
      </c>
      <c r="E5760" t="inlineStr">
        <is>
          <t>pagado</t>
        </is>
      </c>
      <c r="F5760" s="23" t="n">
        <v>46278</v>
      </c>
      <c r="G5760" s="24">
        <f>F5760-DATE(2026,8,31)</f>
        <v>13</v>
      </c>
      <c r="H5760" s="25" t="n">
        <v>77603043</v>
      </c>
      <c r="I5760" t="inlineStr">
        <is>
          <t>entidad-dia</t>
        </is>
      </c>
    </row>
    <row r="5761">
      <c r="A5761" t="inlineStr">
        <is>
          <t>PRAGMA</t>
        </is>
      </c>
      <c r="B5761" t="inlineStr">
        <is>
          <t>M1</t>
        </is>
      </c>
      <c r="C5761" t="inlineStr">
        <is>
          <t>Cali</t>
        </is>
      </c>
      <c r="D5761" t="inlineStr">
        <is>
          <t>8834</t>
        </is>
      </c>
      <c r="E5761" t="inlineStr">
        <is>
          <t>pagado</t>
        </is>
      </c>
      <c r="F5761" s="23" t="n">
        <v>46279</v>
      </c>
      <c r="G5761" s="24">
        <f>F5761-DATE(2026,8,31)</f>
        <v>14</v>
      </c>
      <c r="H5761" s="25" t="n">
        <v>89922763</v>
      </c>
      <c r="I5761" t="inlineStr">
        <is>
          <t>entidad-dia</t>
        </is>
      </c>
    </row>
    <row r="5762">
      <c r="A5762" t="inlineStr">
        <is>
          <t>PRAGMA</t>
        </is>
      </c>
      <c r="B5762" t="inlineStr">
        <is>
          <t>M1</t>
        </is>
      </c>
      <c r="C5762" t="inlineStr">
        <is>
          <t>Cali</t>
        </is>
      </c>
      <c r="D5762" t="inlineStr">
        <is>
          <t>8834</t>
        </is>
      </c>
      <c r="E5762" t="inlineStr">
        <is>
          <t>pagado</t>
        </is>
      </c>
      <c r="F5762" s="23" t="n">
        <v>46280</v>
      </c>
      <c r="G5762" s="24">
        <f>F5762-DATE(2026,8,31)</f>
        <v>15</v>
      </c>
      <c r="H5762" s="25" t="n">
        <v>135921232</v>
      </c>
      <c r="I5762" t="inlineStr">
        <is>
          <t>entidad-dia</t>
        </is>
      </c>
    </row>
    <row r="5763">
      <c r="A5763" t="inlineStr">
        <is>
          <t>PRAGMA</t>
        </is>
      </c>
      <c r="B5763" t="inlineStr">
        <is>
          <t>M1</t>
        </is>
      </c>
      <c r="C5763" t="inlineStr">
        <is>
          <t>Cali</t>
        </is>
      </c>
      <c r="D5763" t="inlineStr">
        <is>
          <t>8854</t>
        </is>
      </c>
      <c r="E5763" t="inlineStr">
        <is>
          <t>pagado</t>
        </is>
      </c>
      <c r="F5763" s="23" t="n">
        <v>46266</v>
      </c>
      <c r="G5763" s="24">
        <f>F5763-DATE(2026,8,31)</f>
        <v>1</v>
      </c>
      <c r="H5763" s="25" t="n">
        <v>213449499</v>
      </c>
      <c r="I5763" t="inlineStr">
        <is>
          <t>entidad-dia</t>
        </is>
      </c>
    </row>
    <row r="5764">
      <c r="A5764" t="inlineStr">
        <is>
          <t>PRAGMA</t>
        </is>
      </c>
      <c r="B5764" t="inlineStr">
        <is>
          <t>M1</t>
        </is>
      </c>
      <c r="C5764" t="inlineStr">
        <is>
          <t>Cali</t>
        </is>
      </c>
      <c r="D5764" t="inlineStr">
        <is>
          <t>8854</t>
        </is>
      </c>
      <c r="E5764" t="inlineStr">
        <is>
          <t>pagado</t>
        </is>
      </c>
      <c r="F5764" s="23" t="n">
        <v>46267</v>
      </c>
      <c r="G5764" s="24">
        <f>F5764-DATE(2026,8,31)</f>
        <v>2</v>
      </c>
      <c r="H5764" s="25" t="n">
        <v>161157703</v>
      </c>
      <c r="I5764" t="inlineStr">
        <is>
          <t>entidad-dia</t>
        </is>
      </c>
    </row>
    <row r="5765">
      <c r="A5765" t="inlineStr">
        <is>
          <t>PRAGMA</t>
        </is>
      </c>
      <c r="B5765" t="inlineStr">
        <is>
          <t>M1</t>
        </is>
      </c>
      <c r="C5765" t="inlineStr">
        <is>
          <t>Cali</t>
        </is>
      </c>
      <c r="D5765" t="inlineStr">
        <is>
          <t>8854</t>
        </is>
      </c>
      <c r="E5765" t="inlineStr">
        <is>
          <t>pagado</t>
        </is>
      </c>
      <c r="F5765" s="23" t="n">
        <v>46268</v>
      </c>
      <c r="G5765" s="24">
        <f>F5765-DATE(2026,8,31)</f>
        <v>3</v>
      </c>
      <c r="H5765" s="25" t="n">
        <v>153086854</v>
      </c>
      <c r="I5765" t="inlineStr">
        <is>
          <t>entidad-dia</t>
        </is>
      </c>
    </row>
    <row r="5766">
      <c r="A5766" t="inlineStr">
        <is>
          <t>PRAGMA</t>
        </is>
      </c>
      <c r="B5766" t="inlineStr">
        <is>
          <t>M1</t>
        </is>
      </c>
      <c r="C5766" t="inlineStr">
        <is>
          <t>Cali</t>
        </is>
      </c>
      <c r="D5766" t="inlineStr">
        <is>
          <t>8854</t>
        </is>
      </c>
      <c r="E5766" t="inlineStr">
        <is>
          <t>pagado</t>
        </is>
      </c>
      <c r="F5766" s="23" t="n">
        <v>46269</v>
      </c>
      <c r="G5766" s="24">
        <f>F5766-DATE(2026,8,31)</f>
        <v>4</v>
      </c>
      <c r="H5766" s="25" t="n">
        <v>148298975</v>
      </c>
      <c r="I5766" t="inlineStr">
        <is>
          <t>entidad-dia</t>
        </is>
      </c>
    </row>
    <row r="5767">
      <c r="A5767" t="inlineStr">
        <is>
          <t>PRAGMA</t>
        </is>
      </c>
      <c r="B5767" t="inlineStr">
        <is>
          <t>M1</t>
        </is>
      </c>
      <c r="C5767" t="inlineStr">
        <is>
          <t>Cali</t>
        </is>
      </c>
      <c r="D5767" t="inlineStr">
        <is>
          <t>8854</t>
        </is>
      </c>
      <c r="E5767" t="inlineStr">
        <is>
          <t>pagado</t>
        </is>
      </c>
      <c r="F5767" s="23" t="n">
        <v>46270</v>
      </c>
      <c r="G5767" s="24">
        <f>F5767-DATE(2026,8,31)</f>
        <v>5</v>
      </c>
      <c r="H5767" s="25" t="n">
        <v>162444941</v>
      </c>
      <c r="I5767" t="inlineStr">
        <is>
          <t>entidad-dia</t>
        </is>
      </c>
    </row>
    <row r="5768">
      <c r="A5768" t="inlineStr">
        <is>
          <t>PRAGMA</t>
        </is>
      </c>
      <c r="B5768" t="inlineStr">
        <is>
          <t>M1</t>
        </is>
      </c>
      <c r="C5768" t="inlineStr">
        <is>
          <t>Cali</t>
        </is>
      </c>
      <c r="D5768" t="inlineStr">
        <is>
          <t>8854</t>
        </is>
      </c>
      <c r="E5768" t="inlineStr">
        <is>
          <t>pagado</t>
        </is>
      </c>
      <c r="F5768" s="23" t="n">
        <v>46271</v>
      </c>
      <c r="G5768" s="24">
        <f>F5768-DATE(2026,8,31)</f>
        <v>6</v>
      </c>
      <c r="H5768" s="25" t="n">
        <v>121853952</v>
      </c>
      <c r="I5768" t="inlineStr">
        <is>
          <t>entidad-dia</t>
        </is>
      </c>
    </row>
    <row r="5769">
      <c r="A5769" t="inlineStr">
        <is>
          <t>PRAGMA</t>
        </is>
      </c>
      <c r="B5769" t="inlineStr">
        <is>
          <t>M1</t>
        </is>
      </c>
      <c r="C5769" t="inlineStr">
        <is>
          <t>Cali</t>
        </is>
      </c>
      <c r="D5769" t="inlineStr">
        <is>
          <t>8854</t>
        </is>
      </c>
      <c r="E5769" t="inlineStr">
        <is>
          <t>pagado</t>
        </is>
      </c>
      <c r="F5769" s="23" t="n">
        <v>46272</v>
      </c>
      <c r="G5769" s="24">
        <f>F5769-DATE(2026,8,31)</f>
        <v>7</v>
      </c>
      <c r="H5769" s="25" t="n">
        <v>136887200</v>
      </c>
      <c r="I5769" t="inlineStr">
        <is>
          <t>entidad-dia</t>
        </is>
      </c>
    </row>
    <row r="5770">
      <c r="A5770" t="inlineStr">
        <is>
          <t>PRAGMA</t>
        </is>
      </c>
      <c r="B5770" t="inlineStr">
        <is>
          <t>M1</t>
        </is>
      </c>
      <c r="C5770" t="inlineStr">
        <is>
          <t>Cali</t>
        </is>
      </c>
      <c r="D5770" t="inlineStr">
        <is>
          <t>8854</t>
        </is>
      </c>
      <c r="E5770" t="inlineStr">
        <is>
          <t>pagado</t>
        </is>
      </c>
      <c r="F5770" s="23" t="n">
        <v>46273</v>
      </c>
      <c r="G5770" s="24">
        <f>F5770-DATE(2026,8,31)</f>
        <v>8</v>
      </c>
      <c r="H5770" s="25" t="n">
        <v>122114847</v>
      </c>
      <c r="I5770" t="inlineStr">
        <is>
          <t>entidad-dia</t>
        </is>
      </c>
    </row>
    <row r="5771">
      <c r="A5771" t="inlineStr">
        <is>
          <t>PRAGMA</t>
        </is>
      </c>
      <c r="B5771" t="inlineStr">
        <is>
          <t>M1</t>
        </is>
      </c>
      <c r="C5771" t="inlineStr">
        <is>
          <t>Cali</t>
        </is>
      </c>
      <c r="D5771" t="inlineStr">
        <is>
          <t>8854</t>
        </is>
      </c>
      <c r="E5771" t="inlineStr">
        <is>
          <t>pagado</t>
        </is>
      </c>
      <c r="F5771" s="23" t="n">
        <v>46274</v>
      </c>
      <c r="G5771" s="24">
        <f>F5771-DATE(2026,8,31)</f>
        <v>9</v>
      </c>
      <c r="H5771" s="25" t="n">
        <v>112866815</v>
      </c>
      <c r="I5771" t="inlineStr">
        <is>
          <t>entidad-dia</t>
        </is>
      </c>
    </row>
    <row r="5772">
      <c r="A5772" t="inlineStr">
        <is>
          <t>PRAGMA</t>
        </is>
      </c>
      <c r="B5772" t="inlineStr">
        <is>
          <t>M1</t>
        </is>
      </c>
      <c r="C5772" t="inlineStr">
        <is>
          <t>Cali</t>
        </is>
      </c>
      <c r="D5772" t="inlineStr">
        <is>
          <t>8854</t>
        </is>
      </c>
      <c r="E5772" t="inlineStr">
        <is>
          <t>pagado</t>
        </is>
      </c>
      <c r="F5772" s="23" t="n">
        <v>46275</v>
      </c>
      <c r="G5772" s="24">
        <f>F5772-DATE(2026,8,31)</f>
        <v>10</v>
      </c>
      <c r="H5772" s="25" t="n">
        <v>109762004</v>
      </c>
      <c r="I5772" t="inlineStr">
        <is>
          <t>entidad-dia</t>
        </is>
      </c>
    </row>
    <row r="5773">
      <c r="A5773" t="inlineStr">
        <is>
          <t>PRAGMA</t>
        </is>
      </c>
      <c r="B5773" t="inlineStr">
        <is>
          <t>M1</t>
        </is>
      </c>
      <c r="C5773" t="inlineStr">
        <is>
          <t>Cali</t>
        </is>
      </c>
      <c r="D5773" t="inlineStr">
        <is>
          <t>8854</t>
        </is>
      </c>
      <c r="E5773" t="inlineStr">
        <is>
          <t>pagado</t>
        </is>
      </c>
      <c r="F5773" s="23" t="n">
        <v>46276</v>
      </c>
      <c r="G5773" s="24">
        <f>F5773-DATE(2026,8,31)</f>
        <v>11</v>
      </c>
      <c r="H5773" s="25" t="n">
        <v>111214887</v>
      </c>
      <c r="I5773" t="inlineStr">
        <is>
          <t>entidad-dia</t>
        </is>
      </c>
    </row>
    <row r="5774">
      <c r="A5774" t="inlineStr">
        <is>
          <t>PRAGMA</t>
        </is>
      </c>
      <c r="B5774" t="inlineStr">
        <is>
          <t>M1</t>
        </is>
      </c>
      <c r="C5774" t="inlineStr">
        <is>
          <t>Cali</t>
        </is>
      </c>
      <c r="D5774" t="inlineStr">
        <is>
          <t>8854</t>
        </is>
      </c>
      <c r="E5774" t="inlineStr">
        <is>
          <t>pagado</t>
        </is>
      </c>
      <c r="F5774" s="23" t="n">
        <v>46277</v>
      </c>
      <c r="G5774" s="24">
        <f>F5774-DATE(2026,8,31)</f>
        <v>12</v>
      </c>
      <c r="H5774" s="25" t="n">
        <v>130507451</v>
      </c>
      <c r="I5774" t="inlineStr">
        <is>
          <t>entidad-dia</t>
        </is>
      </c>
    </row>
    <row r="5775">
      <c r="A5775" t="inlineStr">
        <is>
          <t>PRAGMA</t>
        </is>
      </c>
      <c r="B5775" t="inlineStr">
        <is>
          <t>M1</t>
        </is>
      </c>
      <c r="C5775" t="inlineStr">
        <is>
          <t>Cali</t>
        </is>
      </c>
      <c r="D5775" t="inlineStr">
        <is>
          <t>8854</t>
        </is>
      </c>
      <c r="E5775" t="inlineStr">
        <is>
          <t>pagado</t>
        </is>
      </c>
      <c r="F5775" s="23" t="n">
        <v>46278</v>
      </c>
      <c r="G5775" s="24">
        <f>F5775-DATE(2026,8,31)</f>
        <v>13</v>
      </c>
      <c r="H5775" s="25" t="n">
        <v>92543055</v>
      </c>
      <c r="I5775" t="inlineStr">
        <is>
          <t>entidad-dia</t>
        </is>
      </c>
    </row>
    <row r="5776">
      <c r="A5776" t="inlineStr">
        <is>
          <t>PRAGMA</t>
        </is>
      </c>
      <c r="B5776" t="inlineStr">
        <is>
          <t>M1</t>
        </is>
      </c>
      <c r="C5776" t="inlineStr">
        <is>
          <t>Cali</t>
        </is>
      </c>
      <c r="D5776" t="inlineStr">
        <is>
          <t>8854</t>
        </is>
      </c>
      <c r="E5776" t="inlineStr">
        <is>
          <t>pagado</t>
        </is>
      </c>
      <c r="F5776" s="23" t="n">
        <v>46279</v>
      </c>
      <c r="G5776" s="24">
        <f>F5776-DATE(2026,8,31)</f>
        <v>14</v>
      </c>
      <c r="H5776" s="25" t="n">
        <v>118448799</v>
      </c>
      <c r="I5776" t="inlineStr">
        <is>
          <t>entidad-dia</t>
        </is>
      </c>
    </row>
    <row r="5777">
      <c r="A5777" t="inlineStr">
        <is>
          <t>PRAGMA</t>
        </is>
      </c>
      <c r="B5777" t="inlineStr">
        <is>
          <t>M1</t>
        </is>
      </c>
      <c r="C5777" t="inlineStr">
        <is>
          <t>Cali</t>
        </is>
      </c>
      <c r="D5777" t="inlineStr">
        <is>
          <t>8854</t>
        </is>
      </c>
      <c r="E5777" t="inlineStr">
        <is>
          <t>pagado</t>
        </is>
      </c>
      <c r="F5777" s="23" t="n">
        <v>46280</v>
      </c>
      <c r="G5777" s="24">
        <f>F5777-DATE(2026,8,31)</f>
        <v>15</v>
      </c>
      <c r="H5777" s="25" t="n">
        <v>152900034</v>
      </c>
      <c r="I5777" t="inlineStr">
        <is>
          <t>entidad-dia</t>
        </is>
      </c>
    </row>
    <row r="5778">
      <c r="A5778" t="inlineStr">
        <is>
          <t>PRAGMA</t>
        </is>
      </c>
      <c r="B5778" t="inlineStr">
        <is>
          <t>M1</t>
        </is>
      </c>
      <c r="C5778" t="inlineStr">
        <is>
          <t>Ipiales</t>
        </is>
      </c>
      <c r="D5778" t="inlineStr">
        <is>
          <t>8856</t>
        </is>
      </c>
      <c r="E5778" t="inlineStr">
        <is>
          <t>pagado</t>
        </is>
      </c>
      <c r="F5778" s="23" t="n">
        <v>46266</v>
      </c>
      <c r="G5778" s="24">
        <f>F5778-DATE(2026,8,31)</f>
        <v>1</v>
      </c>
      <c r="H5778" s="25" t="n">
        <v>197318975</v>
      </c>
      <c r="I5778" t="inlineStr">
        <is>
          <t>entidad-dia</t>
        </is>
      </c>
    </row>
    <row r="5779">
      <c r="A5779" t="inlineStr">
        <is>
          <t>PRAGMA</t>
        </is>
      </c>
      <c r="B5779" t="inlineStr">
        <is>
          <t>M1</t>
        </is>
      </c>
      <c r="C5779" t="inlineStr">
        <is>
          <t>Ipiales</t>
        </is>
      </c>
      <c r="D5779" t="inlineStr">
        <is>
          <t>8856</t>
        </is>
      </c>
      <c r="E5779" t="inlineStr">
        <is>
          <t>pagado</t>
        </is>
      </c>
      <c r="F5779" s="23" t="n">
        <v>46267</v>
      </c>
      <c r="G5779" s="24">
        <f>F5779-DATE(2026,8,31)</f>
        <v>2</v>
      </c>
      <c r="H5779" s="25" t="n">
        <v>163636116</v>
      </c>
      <c r="I5779" t="inlineStr">
        <is>
          <t>entidad-dia</t>
        </is>
      </c>
    </row>
    <row r="5780">
      <c r="A5780" t="inlineStr">
        <is>
          <t>PRAGMA</t>
        </is>
      </c>
      <c r="B5780" t="inlineStr">
        <is>
          <t>M1</t>
        </is>
      </c>
      <c r="C5780" t="inlineStr">
        <is>
          <t>Ipiales</t>
        </is>
      </c>
      <c r="D5780" t="inlineStr">
        <is>
          <t>8856</t>
        </is>
      </c>
      <c r="E5780" t="inlineStr">
        <is>
          <t>pagado</t>
        </is>
      </c>
      <c r="F5780" s="23" t="n">
        <v>46268</v>
      </c>
      <c r="G5780" s="24">
        <f>F5780-DATE(2026,8,31)</f>
        <v>3</v>
      </c>
      <c r="H5780" s="25" t="n">
        <v>159320809</v>
      </c>
      <c r="I5780" t="inlineStr">
        <is>
          <t>entidad-dia</t>
        </is>
      </c>
    </row>
    <row r="5781">
      <c r="A5781" t="inlineStr">
        <is>
          <t>PRAGMA</t>
        </is>
      </c>
      <c r="B5781" t="inlineStr">
        <is>
          <t>M1</t>
        </is>
      </c>
      <c r="C5781" t="inlineStr">
        <is>
          <t>Ipiales</t>
        </is>
      </c>
      <c r="D5781" t="inlineStr">
        <is>
          <t>8856</t>
        </is>
      </c>
      <c r="E5781" t="inlineStr">
        <is>
          <t>pagado</t>
        </is>
      </c>
      <c r="F5781" s="23" t="n">
        <v>46269</v>
      </c>
      <c r="G5781" s="24">
        <f>F5781-DATE(2026,8,31)</f>
        <v>4</v>
      </c>
      <c r="H5781" s="25" t="n">
        <v>154425273</v>
      </c>
      <c r="I5781" t="inlineStr">
        <is>
          <t>entidad-dia</t>
        </is>
      </c>
    </row>
    <row r="5782">
      <c r="A5782" t="inlineStr">
        <is>
          <t>PRAGMA</t>
        </is>
      </c>
      <c r="B5782" t="inlineStr">
        <is>
          <t>M1</t>
        </is>
      </c>
      <c r="C5782" t="inlineStr">
        <is>
          <t>Ipiales</t>
        </is>
      </c>
      <c r="D5782" t="inlineStr">
        <is>
          <t>8856</t>
        </is>
      </c>
      <c r="E5782" t="inlineStr">
        <is>
          <t>pagado</t>
        </is>
      </c>
      <c r="F5782" s="23" t="n">
        <v>46270</v>
      </c>
      <c r="G5782" s="24">
        <f>F5782-DATE(2026,8,31)</f>
        <v>5</v>
      </c>
      <c r="H5782" s="25" t="n">
        <v>165598937</v>
      </c>
      <c r="I5782" t="inlineStr">
        <is>
          <t>entidad-dia</t>
        </is>
      </c>
    </row>
    <row r="5783">
      <c r="A5783" t="inlineStr">
        <is>
          <t>PRAGMA</t>
        </is>
      </c>
      <c r="B5783" t="inlineStr">
        <is>
          <t>M1</t>
        </is>
      </c>
      <c r="C5783" t="inlineStr">
        <is>
          <t>Ipiales</t>
        </is>
      </c>
      <c r="D5783" t="inlineStr">
        <is>
          <t>8856</t>
        </is>
      </c>
      <c r="E5783" t="inlineStr">
        <is>
          <t>pagado</t>
        </is>
      </c>
      <c r="F5783" s="23" t="n">
        <v>46271</v>
      </c>
      <c r="G5783" s="24">
        <f>F5783-DATE(2026,8,31)</f>
        <v>6</v>
      </c>
      <c r="H5783" s="25" t="n">
        <v>119418374</v>
      </c>
      <c r="I5783" t="inlineStr">
        <is>
          <t>entidad-dia</t>
        </is>
      </c>
    </row>
    <row r="5784">
      <c r="A5784" t="inlineStr">
        <is>
          <t>PRAGMA</t>
        </is>
      </c>
      <c r="B5784" t="inlineStr">
        <is>
          <t>M1</t>
        </is>
      </c>
      <c r="C5784" t="inlineStr">
        <is>
          <t>Ipiales</t>
        </is>
      </c>
      <c r="D5784" t="inlineStr">
        <is>
          <t>8856</t>
        </is>
      </c>
      <c r="E5784" t="inlineStr">
        <is>
          <t>pagado</t>
        </is>
      </c>
      <c r="F5784" s="23" t="n">
        <v>46272</v>
      </c>
      <c r="G5784" s="24">
        <f>F5784-DATE(2026,8,31)</f>
        <v>7</v>
      </c>
      <c r="H5784" s="25" t="n">
        <v>151446101</v>
      </c>
      <c r="I5784" t="inlineStr">
        <is>
          <t>entidad-dia</t>
        </is>
      </c>
    </row>
    <row r="5785">
      <c r="A5785" t="inlineStr">
        <is>
          <t>PRAGMA</t>
        </is>
      </c>
      <c r="B5785" t="inlineStr">
        <is>
          <t>M1</t>
        </is>
      </c>
      <c r="C5785" t="inlineStr">
        <is>
          <t>Ipiales</t>
        </is>
      </c>
      <c r="D5785" t="inlineStr">
        <is>
          <t>8856</t>
        </is>
      </c>
      <c r="E5785" t="inlineStr">
        <is>
          <t>pagado</t>
        </is>
      </c>
      <c r="F5785" s="23" t="n">
        <v>46273</v>
      </c>
      <c r="G5785" s="24">
        <f>F5785-DATE(2026,8,31)</f>
        <v>8</v>
      </c>
      <c r="H5785" s="25" t="n">
        <v>130788226</v>
      </c>
      <c r="I5785" t="inlineStr">
        <is>
          <t>entidad-dia</t>
        </is>
      </c>
    </row>
    <row r="5786">
      <c r="A5786" t="inlineStr">
        <is>
          <t>PRAGMA</t>
        </is>
      </c>
      <c r="B5786" t="inlineStr">
        <is>
          <t>M1</t>
        </is>
      </c>
      <c r="C5786" t="inlineStr">
        <is>
          <t>Ipiales</t>
        </is>
      </c>
      <c r="D5786" t="inlineStr">
        <is>
          <t>8856</t>
        </is>
      </c>
      <c r="E5786" t="inlineStr">
        <is>
          <t>pagado</t>
        </is>
      </c>
      <c r="F5786" s="23" t="n">
        <v>46274</v>
      </c>
      <c r="G5786" s="24">
        <f>F5786-DATE(2026,8,31)</f>
        <v>9</v>
      </c>
      <c r="H5786" s="25" t="n">
        <v>136175582</v>
      </c>
      <c r="I5786" t="inlineStr">
        <is>
          <t>entidad-dia</t>
        </is>
      </c>
    </row>
    <row r="5787">
      <c r="A5787" t="inlineStr">
        <is>
          <t>PRAGMA</t>
        </is>
      </c>
      <c r="B5787" t="inlineStr">
        <is>
          <t>M1</t>
        </is>
      </c>
      <c r="C5787" t="inlineStr">
        <is>
          <t>Ipiales</t>
        </is>
      </c>
      <c r="D5787" t="inlineStr">
        <is>
          <t>8856</t>
        </is>
      </c>
      <c r="E5787" t="inlineStr">
        <is>
          <t>pagado</t>
        </is>
      </c>
      <c r="F5787" s="23" t="n">
        <v>46275</v>
      </c>
      <c r="G5787" s="24">
        <f>F5787-DATE(2026,8,31)</f>
        <v>10</v>
      </c>
      <c r="H5787" s="25" t="n">
        <v>124468929</v>
      </c>
      <c r="I5787" t="inlineStr">
        <is>
          <t>entidad-dia</t>
        </is>
      </c>
    </row>
    <row r="5788">
      <c r="A5788" t="inlineStr">
        <is>
          <t>PRAGMA</t>
        </is>
      </c>
      <c r="B5788" t="inlineStr">
        <is>
          <t>M1</t>
        </is>
      </c>
      <c r="C5788" t="inlineStr">
        <is>
          <t>Ipiales</t>
        </is>
      </c>
      <c r="D5788" t="inlineStr">
        <is>
          <t>8856</t>
        </is>
      </c>
      <c r="E5788" t="inlineStr">
        <is>
          <t>pagado</t>
        </is>
      </c>
      <c r="F5788" s="23" t="n">
        <v>46276</v>
      </c>
      <c r="G5788" s="24">
        <f>F5788-DATE(2026,8,31)</f>
        <v>11</v>
      </c>
      <c r="H5788" s="25" t="n">
        <v>126792343</v>
      </c>
      <c r="I5788" t="inlineStr">
        <is>
          <t>entidad-dia</t>
        </is>
      </c>
    </row>
    <row r="5789">
      <c r="A5789" t="inlineStr">
        <is>
          <t>PRAGMA</t>
        </is>
      </c>
      <c r="B5789" t="inlineStr">
        <is>
          <t>M1</t>
        </is>
      </c>
      <c r="C5789" t="inlineStr">
        <is>
          <t>Ipiales</t>
        </is>
      </c>
      <c r="D5789" t="inlineStr">
        <is>
          <t>8856</t>
        </is>
      </c>
      <c r="E5789" t="inlineStr">
        <is>
          <t>pagado</t>
        </is>
      </c>
      <c r="F5789" s="23" t="n">
        <v>46277</v>
      </c>
      <c r="G5789" s="24">
        <f>F5789-DATE(2026,8,31)</f>
        <v>12</v>
      </c>
      <c r="H5789" s="25" t="n">
        <v>132304929</v>
      </c>
      <c r="I5789" t="inlineStr">
        <is>
          <t>entidad-dia</t>
        </is>
      </c>
    </row>
    <row r="5790">
      <c r="A5790" t="inlineStr">
        <is>
          <t>PRAGMA</t>
        </is>
      </c>
      <c r="B5790" t="inlineStr">
        <is>
          <t>M1</t>
        </is>
      </c>
      <c r="C5790" t="inlineStr">
        <is>
          <t>Ipiales</t>
        </is>
      </c>
      <c r="D5790" t="inlineStr">
        <is>
          <t>8856</t>
        </is>
      </c>
      <c r="E5790" t="inlineStr">
        <is>
          <t>pagado</t>
        </is>
      </c>
      <c r="F5790" s="23" t="n">
        <v>46278</v>
      </c>
      <c r="G5790" s="24">
        <f>F5790-DATE(2026,8,31)</f>
        <v>13</v>
      </c>
      <c r="H5790" s="25" t="n">
        <v>98665399</v>
      </c>
      <c r="I5790" t="inlineStr">
        <is>
          <t>entidad-dia</t>
        </is>
      </c>
    </row>
    <row r="5791">
      <c r="A5791" t="inlineStr">
        <is>
          <t>PRAGMA</t>
        </is>
      </c>
      <c r="B5791" t="inlineStr">
        <is>
          <t>M1</t>
        </is>
      </c>
      <c r="C5791" t="inlineStr">
        <is>
          <t>Ipiales</t>
        </is>
      </c>
      <c r="D5791" t="inlineStr">
        <is>
          <t>8856</t>
        </is>
      </c>
      <c r="E5791" t="inlineStr">
        <is>
          <t>pagado</t>
        </is>
      </c>
      <c r="F5791" s="23" t="n">
        <v>46279</v>
      </c>
      <c r="G5791" s="24">
        <f>F5791-DATE(2026,8,31)</f>
        <v>14</v>
      </c>
      <c r="H5791" s="25" t="n">
        <v>129689368</v>
      </c>
      <c r="I5791" t="inlineStr">
        <is>
          <t>entidad-dia</t>
        </is>
      </c>
    </row>
    <row r="5792">
      <c r="A5792" t="inlineStr">
        <is>
          <t>PRAGMA</t>
        </is>
      </c>
      <c r="B5792" t="inlineStr">
        <is>
          <t>M1</t>
        </is>
      </c>
      <c r="C5792" t="inlineStr">
        <is>
          <t>Ipiales</t>
        </is>
      </c>
      <c r="D5792" t="inlineStr">
        <is>
          <t>8856</t>
        </is>
      </c>
      <c r="E5792" t="inlineStr">
        <is>
          <t>pagado</t>
        </is>
      </c>
      <c r="F5792" s="23" t="n">
        <v>46280</v>
      </c>
      <c r="G5792" s="24">
        <f>F5792-DATE(2026,8,31)</f>
        <v>15</v>
      </c>
      <c r="H5792" s="25" t="n">
        <v>149053915</v>
      </c>
      <c r="I5792" t="inlineStr">
        <is>
          <t>entidad-dia</t>
        </is>
      </c>
    </row>
    <row r="5793">
      <c r="A5793" t="inlineStr">
        <is>
          <t>PRAGMA</t>
        </is>
      </c>
      <c r="B5793" t="inlineStr">
        <is>
          <t>M1</t>
        </is>
      </c>
      <c r="C5793" t="inlineStr">
        <is>
          <t>Cali</t>
        </is>
      </c>
      <c r="D5793" t="inlineStr">
        <is>
          <t>8857</t>
        </is>
      </c>
      <c r="E5793" t="inlineStr">
        <is>
          <t>pagado</t>
        </is>
      </c>
      <c r="F5793" s="23" t="n">
        <v>46266</v>
      </c>
      <c r="G5793" s="24">
        <f>F5793-DATE(2026,8,31)</f>
        <v>1</v>
      </c>
      <c r="H5793" s="25" t="n">
        <v>59381695</v>
      </c>
      <c r="I5793" t="inlineStr">
        <is>
          <t>entidad-dia</t>
        </is>
      </c>
    </row>
    <row r="5794">
      <c r="A5794" t="inlineStr">
        <is>
          <t>PRAGMA</t>
        </is>
      </c>
      <c r="B5794" t="inlineStr">
        <is>
          <t>M1</t>
        </is>
      </c>
      <c r="C5794" t="inlineStr">
        <is>
          <t>Cali</t>
        </is>
      </c>
      <c r="D5794" t="inlineStr">
        <is>
          <t>8857</t>
        </is>
      </c>
      <c r="E5794" t="inlineStr">
        <is>
          <t>pagado</t>
        </is>
      </c>
      <c r="F5794" s="23" t="n">
        <v>46267</v>
      </c>
      <c r="G5794" s="24">
        <f>F5794-DATE(2026,8,31)</f>
        <v>2</v>
      </c>
      <c r="H5794" s="25" t="n">
        <v>41137665</v>
      </c>
      <c r="I5794" t="inlineStr">
        <is>
          <t>entidad-dia</t>
        </is>
      </c>
    </row>
    <row r="5795">
      <c r="A5795" t="inlineStr">
        <is>
          <t>PRAGMA</t>
        </is>
      </c>
      <c r="B5795" t="inlineStr">
        <is>
          <t>M1</t>
        </is>
      </c>
      <c r="C5795" t="inlineStr">
        <is>
          <t>Cali</t>
        </is>
      </c>
      <c r="D5795" t="inlineStr">
        <is>
          <t>8857</t>
        </is>
      </c>
      <c r="E5795" t="inlineStr">
        <is>
          <t>pagado</t>
        </is>
      </c>
      <c r="F5795" s="23" t="n">
        <v>46268</v>
      </c>
      <c r="G5795" s="24">
        <f>F5795-DATE(2026,8,31)</f>
        <v>3</v>
      </c>
      <c r="H5795" s="25" t="n">
        <v>42975236</v>
      </c>
      <c r="I5795" t="inlineStr">
        <is>
          <t>entidad-dia</t>
        </is>
      </c>
    </row>
    <row r="5796">
      <c r="A5796" t="inlineStr">
        <is>
          <t>PRAGMA</t>
        </is>
      </c>
      <c r="B5796" t="inlineStr">
        <is>
          <t>M1</t>
        </is>
      </c>
      <c r="C5796" t="inlineStr">
        <is>
          <t>Cali</t>
        </is>
      </c>
      <c r="D5796" t="inlineStr">
        <is>
          <t>8857</t>
        </is>
      </c>
      <c r="E5796" t="inlineStr">
        <is>
          <t>pagado</t>
        </is>
      </c>
      <c r="F5796" s="23" t="n">
        <v>46269</v>
      </c>
      <c r="G5796" s="24">
        <f>F5796-DATE(2026,8,31)</f>
        <v>4</v>
      </c>
      <c r="H5796" s="25" t="n">
        <v>44698056</v>
      </c>
      <c r="I5796" t="inlineStr">
        <is>
          <t>entidad-dia</t>
        </is>
      </c>
    </row>
    <row r="5797">
      <c r="A5797" t="inlineStr">
        <is>
          <t>PRAGMA</t>
        </is>
      </c>
      <c r="B5797" t="inlineStr">
        <is>
          <t>M1</t>
        </is>
      </c>
      <c r="C5797" t="inlineStr">
        <is>
          <t>Cali</t>
        </is>
      </c>
      <c r="D5797" t="inlineStr">
        <is>
          <t>8857</t>
        </is>
      </c>
      <c r="E5797" t="inlineStr">
        <is>
          <t>pagado</t>
        </is>
      </c>
      <c r="F5797" s="23" t="n">
        <v>46270</v>
      </c>
      <c r="G5797" s="24">
        <f>F5797-DATE(2026,8,31)</f>
        <v>5</v>
      </c>
      <c r="H5797" s="25" t="n">
        <v>59312498</v>
      </c>
      <c r="I5797" t="inlineStr">
        <is>
          <t>entidad-dia</t>
        </is>
      </c>
    </row>
    <row r="5798">
      <c r="A5798" t="inlineStr">
        <is>
          <t>PRAGMA</t>
        </is>
      </c>
      <c r="B5798" t="inlineStr">
        <is>
          <t>M1</t>
        </is>
      </c>
      <c r="C5798" t="inlineStr">
        <is>
          <t>Cali</t>
        </is>
      </c>
      <c r="D5798" t="inlineStr">
        <is>
          <t>8857</t>
        </is>
      </c>
      <c r="E5798" t="inlineStr">
        <is>
          <t>pagado</t>
        </is>
      </c>
      <c r="F5798" s="23" t="n">
        <v>46271</v>
      </c>
      <c r="G5798" s="24">
        <f>F5798-DATE(2026,8,31)</f>
        <v>6</v>
      </c>
      <c r="H5798" s="25" t="n">
        <v>45335502</v>
      </c>
      <c r="I5798" t="inlineStr">
        <is>
          <t>entidad-dia</t>
        </is>
      </c>
    </row>
    <row r="5799">
      <c r="A5799" t="inlineStr">
        <is>
          <t>PRAGMA</t>
        </is>
      </c>
      <c r="B5799" t="inlineStr">
        <is>
          <t>M1</t>
        </is>
      </c>
      <c r="C5799" t="inlineStr">
        <is>
          <t>Cali</t>
        </is>
      </c>
      <c r="D5799" t="inlineStr">
        <is>
          <t>8857</t>
        </is>
      </c>
      <c r="E5799" t="inlineStr">
        <is>
          <t>pagado</t>
        </is>
      </c>
      <c r="F5799" s="23" t="n">
        <v>46272</v>
      </c>
      <c r="G5799" s="24">
        <f>F5799-DATE(2026,8,31)</f>
        <v>7</v>
      </c>
      <c r="H5799" s="25" t="n">
        <v>42854536</v>
      </c>
      <c r="I5799" t="inlineStr">
        <is>
          <t>entidad-dia</t>
        </is>
      </c>
    </row>
    <row r="5800">
      <c r="A5800" t="inlineStr">
        <is>
          <t>PRAGMA</t>
        </is>
      </c>
      <c r="B5800" t="inlineStr">
        <is>
          <t>M1</t>
        </is>
      </c>
      <c r="C5800" t="inlineStr">
        <is>
          <t>Cali</t>
        </is>
      </c>
      <c r="D5800" t="inlineStr">
        <is>
          <t>8857</t>
        </is>
      </c>
      <c r="E5800" t="inlineStr">
        <is>
          <t>pagado</t>
        </is>
      </c>
      <c r="F5800" s="23" t="n">
        <v>46273</v>
      </c>
      <c r="G5800" s="24">
        <f>F5800-DATE(2026,8,31)</f>
        <v>8</v>
      </c>
      <c r="H5800" s="25" t="n">
        <v>40717227</v>
      </c>
      <c r="I5800" t="inlineStr">
        <is>
          <t>entidad-dia</t>
        </is>
      </c>
    </row>
    <row r="5801">
      <c r="A5801" t="inlineStr">
        <is>
          <t>PRAGMA</t>
        </is>
      </c>
      <c r="B5801" t="inlineStr">
        <is>
          <t>M1</t>
        </is>
      </c>
      <c r="C5801" t="inlineStr">
        <is>
          <t>Cali</t>
        </is>
      </c>
      <c r="D5801" t="inlineStr">
        <is>
          <t>8857</t>
        </is>
      </c>
      <c r="E5801" t="inlineStr">
        <is>
          <t>pagado</t>
        </is>
      </c>
      <c r="F5801" s="23" t="n">
        <v>46274</v>
      </c>
      <c r="G5801" s="24">
        <f>F5801-DATE(2026,8,31)</f>
        <v>9</v>
      </c>
      <c r="H5801" s="25" t="n">
        <v>44832713</v>
      </c>
      <c r="I5801" t="inlineStr">
        <is>
          <t>entidad-dia</t>
        </is>
      </c>
    </row>
    <row r="5802">
      <c r="A5802" t="inlineStr">
        <is>
          <t>PRAGMA</t>
        </is>
      </c>
      <c r="B5802" t="inlineStr">
        <is>
          <t>M1</t>
        </is>
      </c>
      <c r="C5802" t="inlineStr">
        <is>
          <t>Cali</t>
        </is>
      </c>
      <c r="D5802" t="inlineStr">
        <is>
          <t>8857</t>
        </is>
      </c>
      <c r="E5802" t="inlineStr">
        <is>
          <t>pagado</t>
        </is>
      </c>
      <c r="F5802" s="23" t="n">
        <v>46275</v>
      </c>
      <c r="G5802" s="24">
        <f>F5802-DATE(2026,8,31)</f>
        <v>10</v>
      </c>
      <c r="H5802" s="25" t="n">
        <v>43128377</v>
      </c>
      <c r="I5802" t="inlineStr">
        <is>
          <t>entidad-dia</t>
        </is>
      </c>
    </row>
    <row r="5803">
      <c r="A5803" t="inlineStr">
        <is>
          <t>PRAGMA</t>
        </is>
      </c>
      <c r="B5803" t="inlineStr">
        <is>
          <t>M1</t>
        </is>
      </c>
      <c r="C5803" t="inlineStr">
        <is>
          <t>Cali</t>
        </is>
      </c>
      <c r="D5803" t="inlineStr">
        <is>
          <t>8857</t>
        </is>
      </c>
      <c r="E5803" t="inlineStr">
        <is>
          <t>pagado</t>
        </is>
      </c>
      <c r="F5803" s="23" t="n">
        <v>46276</v>
      </c>
      <c r="G5803" s="24">
        <f>F5803-DATE(2026,8,31)</f>
        <v>11</v>
      </c>
      <c r="H5803" s="25" t="n">
        <v>41957418</v>
      </c>
      <c r="I5803" t="inlineStr">
        <is>
          <t>entidad-dia</t>
        </is>
      </c>
    </row>
    <row r="5804">
      <c r="A5804" t="inlineStr">
        <is>
          <t>PRAGMA</t>
        </is>
      </c>
      <c r="B5804" t="inlineStr">
        <is>
          <t>M1</t>
        </is>
      </c>
      <c r="C5804" t="inlineStr">
        <is>
          <t>Cali</t>
        </is>
      </c>
      <c r="D5804" t="inlineStr">
        <is>
          <t>8857</t>
        </is>
      </c>
      <c r="E5804" t="inlineStr">
        <is>
          <t>pagado</t>
        </is>
      </c>
      <c r="F5804" s="23" t="n">
        <v>46277</v>
      </c>
      <c r="G5804" s="24">
        <f>F5804-DATE(2026,8,31)</f>
        <v>12</v>
      </c>
      <c r="H5804" s="25" t="n">
        <v>52953487</v>
      </c>
      <c r="I5804" t="inlineStr">
        <is>
          <t>entidad-dia</t>
        </is>
      </c>
    </row>
    <row r="5805">
      <c r="A5805" t="inlineStr">
        <is>
          <t>PRAGMA</t>
        </is>
      </c>
      <c r="B5805" t="inlineStr">
        <is>
          <t>M1</t>
        </is>
      </c>
      <c r="C5805" t="inlineStr">
        <is>
          <t>Cali</t>
        </is>
      </c>
      <c r="D5805" t="inlineStr">
        <is>
          <t>8857</t>
        </is>
      </c>
      <c r="E5805" t="inlineStr">
        <is>
          <t>pagado</t>
        </is>
      </c>
      <c r="F5805" s="23" t="n">
        <v>46278</v>
      </c>
      <c r="G5805" s="24">
        <f>F5805-DATE(2026,8,31)</f>
        <v>13</v>
      </c>
      <c r="H5805" s="25" t="n">
        <v>40406752</v>
      </c>
      <c r="I5805" t="inlineStr">
        <is>
          <t>entidad-dia</t>
        </is>
      </c>
    </row>
    <row r="5806">
      <c r="A5806" t="inlineStr">
        <is>
          <t>PRAGMA</t>
        </is>
      </c>
      <c r="B5806" t="inlineStr">
        <is>
          <t>M1</t>
        </is>
      </c>
      <c r="C5806" t="inlineStr">
        <is>
          <t>Cali</t>
        </is>
      </c>
      <c r="D5806" t="inlineStr">
        <is>
          <t>8857</t>
        </is>
      </c>
      <c r="E5806" t="inlineStr">
        <is>
          <t>pagado</t>
        </is>
      </c>
      <c r="F5806" s="23" t="n">
        <v>46279</v>
      </c>
      <c r="G5806" s="24">
        <f>F5806-DATE(2026,8,31)</f>
        <v>14</v>
      </c>
      <c r="H5806" s="25" t="n">
        <v>46916958</v>
      </c>
      <c r="I5806" t="inlineStr">
        <is>
          <t>entidad-dia</t>
        </is>
      </c>
    </row>
    <row r="5807">
      <c r="A5807" t="inlineStr">
        <is>
          <t>PRAGMA</t>
        </is>
      </c>
      <c r="B5807" t="inlineStr">
        <is>
          <t>M1</t>
        </is>
      </c>
      <c r="C5807" t="inlineStr">
        <is>
          <t>Cali</t>
        </is>
      </c>
      <c r="D5807" t="inlineStr">
        <is>
          <t>8857</t>
        </is>
      </c>
      <c r="E5807" t="inlineStr">
        <is>
          <t>pagado</t>
        </is>
      </c>
      <c r="F5807" s="23" t="n">
        <v>46280</v>
      </c>
      <c r="G5807" s="24">
        <f>F5807-DATE(2026,8,31)</f>
        <v>15</v>
      </c>
      <c r="H5807" s="25" t="n">
        <v>62104858</v>
      </c>
      <c r="I5807" t="inlineStr">
        <is>
          <t>entidad-dia</t>
        </is>
      </c>
    </row>
    <row r="5808">
      <c r="A5808" t="inlineStr">
        <is>
          <t>PRAGMA</t>
        </is>
      </c>
      <c r="B5808" t="inlineStr">
        <is>
          <t>M1</t>
        </is>
      </c>
      <c r="C5808" t="inlineStr">
        <is>
          <t>Cali</t>
        </is>
      </c>
      <c r="D5808" t="inlineStr">
        <is>
          <t>8860</t>
        </is>
      </c>
      <c r="E5808" t="inlineStr">
        <is>
          <t>pagado</t>
        </is>
      </c>
      <c r="F5808" s="23" t="n">
        <v>46266</v>
      </c>
      <c r="G5808" s="24">
        <f>F5808-DATE(2026,8,31)</f>
        <v>1</v>
      </c>
      <c r="H5808" s="25" t="n">
        <v>143697072</v>
      </c>
      <c r="I5808" t="inlineStr">
        <is>
          <t>entidad-dia</t>
        </is>
      </c>
    </row>
    <row r="5809">
      <c r="A5809" t="inlineStr">
        <is>
          <t>PRAGMA</t>
        </is>
      </c>
      <c r="B5809" t="inlineStr">
        <is>
          <t>M1</t>
        </is>
      </c>
      <c r="C5809" t="inlineStr">
        <is>
          <t>Cali</t>
        </is>
      </c>
      <c r="D5809" t="inlineStr">
        <is>
          <t>8860</t>
        </is>
      </c>
      <c r="E5809" t="inlineStr">
        <is>
          <t>pagado</t>
        </is>
      </c>
      <c r="F5809" s="23" t="n">
        <v>46267</v>
      </c>
      <c r="G5809" s="24">
        <f>F5809-DATE(2026,8,31)</f>
        <v>2</v>
      </c>
      <c r="H5809" s="25" t="n">
        <v>111758786</v>
      </c>
      <c r="I5809" t="inlineStr">
        <is>
          <t>entidad-dia</t>
        </is>
      </c>
    </row>
    <row r="5810">
      <c r="A5810" t="inlineStr">
        <is>
          <t>PRAGMA</t>
        </is>
      </c>
      <c r="B5810" t="inlineStr">
        <is>
          <t>M1</t>
        </is>
      </c>
      <c r="C5810" t="inlineStr">
        <is>
          <t>Cali</t>
        </is>
      </c>
      <c r="D5810" t="inlineStr">
        <is>
          <t>8860</t>
        </is>
      </c>
      <c r="E5810" t="inlineStr">
        <is>
          <t>pagado</t>
        </is>
      </c>
      <c r="F5810" s="23" t="n">
        <v>46268</v>
      </c>
      <c r="G5810" s="24">
        <f>F5810-DATE(2026,8,31)</f>
        <v>3</v>
      </c>
      <c r="H5810" s="25" t="n">
        <v>102458067</v>
      </c>
      <c r="I5810" t="inlineStr">
        <is>
          <t>entidad-dia</t>
        </is>
      </c>
    </row>
    <row r="5811">
      <c r="A5811" t="inlineStr">
        <is>
          <t>PRAGMA</t>
        </is>
      </c>
      <c r="B5811" t="inlineStr">
        <is>
          <t>M1</t>
        </is>
      </c>
      <c r="C5811" t="inlineStr">
        <is>
          <t>Cali</t>
        </is>
      </c>
      <c r="D5811" t="inlineStr">
        <is>
          <t>8860</t>
        </is>
      </c>
      <c r="E5811" t="inlineStr">
        <is>
          <t>pagado</t>
        </is>
      </c>
      <c r="F5811" s="23" t="n">
        <v>46269</v>
      </c>
      <c r="G5811" s="24">
        <f>F5811-DATE(2026,8,31)</f>
        <v>4</v>
      </c>
      <c r="H5811" s="25" t="n">
        <v>105118582</v>
      </c>
      <c r="I5811" t="inlineStr">
        <is>
          <t>entidad-dia</t>
        </is>
      </c>
    </row>
    <row r="5812">
      <c r="A5812" t="inlineStr">
        <is>
          <t>PRAGMA</t>
        </is>
      </c>
      <c r="B5812" t="inlineStr">
        <is>
          <t>M1</t>
        </is>
      </c>
      <c r="C5812" t="inlineStr">
        <is>
          <t>Cali</t>
        </is>
      </c>
      <c r="D5812" t="inlineStr">
        <is>
          <t>8860</t>
        </is>
      </c>
      <c r="E5812" t="inlineStr">
        <is>
          <t>pagado</t>
        </is>
      </c>
      <c r="F5812" s="23" t="n">
        <v>46270</v>
      </c>
      <c r="G5812" s="24">
        <f>F5812-DATE(2026,8,31)</f>
        <v>5</v>
      </c>
      <c r="H5812" s="25" t="n">
        <v>82691255</v>
      </c>
      <c r="I5812" t="inlineStr">
        <is>
          <t>entidad-dia</t>
        </is>
      </c>
    </row>
    <row r="5813">
      <c r="A5813" t="inlineStr">
        <is>
          <t>PRAGMA</t>
        </is>
      </c>
      <c r="B5813" t="inlineStr">
        <is>
          <t>M1</t>
        </is>
      </c>
      <c r="C5813" t="inlineStr">
        <is>
          <t>Cali</t>
        </is>
      </c>
      <c r="D5813" t="inlineStr">
        <is>
          <t>8860</t>
        </is>
      </c>
      <c r="E5813" t="inlineStr">
        <is>
          <t>pagado</t>
        </is>
      </c>
      <c r="F5813" s="23" t="n">
        <v>46271</v>
      </c>
      <c r="G5813" s="24">
        <f>F5813-DATE(2026,8,31)</f>
        <v>6</v>
      </c>
      <c r="H5813" s="25" t="n">
        <v>15320942</v>
      </c>
      <c r="I5813" t="inlineStr">
        <is>
          <t>entidad-dia</t>
        </is>
      </c>
    </row>
    <row r="5814">
      <c r="A5814" t="inlineStr">
        <is>
          <t>PRAGMA</t>
        </is>
      </c>
      <c r="B5814" t="inlineStr">
        <is>
          <t>M1</t>
        </is>
      </c>
      <c r="C5814" t="inlineStr">
        <is>
          <t>Cali</t>
        </is>
      </c>
      <c r="D5814" t="inlineStr">
        <is>
          <t>8860</t>
        </is>
      </c>
      <c r="E5814" t="inlineStr">
        <is>
          <t>pagado</t>
        </is>
      </c>
      <c r="F5814" s="23" t="n">
        <v>46272</v>
      </c>
      <c r="G5814" s="24">
        <f>F5814-DATE(2026,8,31)</f>
        <v>7</v>
      </c>
      <c r="H5814" s="25" t="n">
        <v>82321373</v>
      </c>
      <c r="I5814" t="inlineStr">
        <is>
          <t>entidad-dia</t>
        </is>
      </c>
    </row>
    <row r="5815">
      <c r="A5815" t="inlineStr">
        <is>
          <t>PRAGMA</t>
        </is>
      </c>
      <c r="B5815" t="inlineStr">
        <is>
          <t>M1</t>
        </is>
      </c>
      <c r="C5815" t="inlineStr">
        <is>
          <t>Cali</t>
        </is>
      </c>
      <c r="D5815" t="inlineStr">
        <is>
          <t>8860</t>
        </is>
      </c>
      <c r="E5815" t="inlineStr">
        <is>
          <t>pagado</t>
        </is>
      </c>
      <c r="F5815" s="23" t="n">
        <v>46273</v>
      </c>
      <c r="G5815" s="24">
        <f>F5815-DATE(2026,8,31)</f>
        <v>8</v>
      </c>
      <c r="H5815" s="25" t="n">
        <v>86631374</v>
      </c>
      <c r="I5815" t="inlineStr">
        <is>
          <t>entidad-dia</t>
        </is>
      </c>
    </row>
    <row r="5816">
      <c r="A5816" t="inlineStr">
        <is>
          <t>PRAGMA</t>
        </is>
      </c>
      <c r="B5816" t="inlineStr">
        <is>
          <t>M1</t>
        </is>
      </c>
      <c r="C5816" t="inlineStr">
        <is>
          <t>Cali</t>
        </is>
      </c>
      <c r="D5816" t="inlineStr">
        <is>
          <t>8860</t>
        </is>
      </c>
      <c r="E5816" t="inlineStr">
        <is>
          <t>pagado</t>
        </is>
      </c>
      <c r="F5816" s="23" t="n">
        <v>46274</v>
      </c>
      <c r="G5816" s="24">
        <f>F5816-DATE(2026,8,31)</f>
        <v>9</v>
      </c>
      <c r="H5816" s="25" t="n">
        <v>88389639</v>
      </c>
      <c r="I5816" t="inlineStr">
        <is>
          <t>entidad-dia</t>
        </is>
      </c>
    </row>
    <row r="5817">
      <c r="A5817" t="inlineStr">
        <is>
          <t>PRAGMA</t>
        </is>
      </c>
      <c r="B5817" t="inlineStr">
        <is>
          <t>M1</t>
        </is>
      </c>
      <c r="C5817" t="inlineStr">
        <is>
          <t>Cali</t>
        </is>
      </c>
      <c r="D5817" t="inlineStr">
        <is>
          <t>8860</t>
        </is>
      </c>
      <c r="E5817" t="inlineStr">
        <is>
          <t>pagado</t>
        </is>
      </c>
      <c r="F5817" s="23" t="n">
        <v>46275</v>
      </c>
      <c r="G5817" s="24">
        <f>F5817-DATE(2026,8,31)</f>
        <v>10</v>
      </c>
      <c r="H5817" s="25" t="n">
        <v>79507160</v>
      </c>
      <c r="I5817" t="inlineStr">
        <is>
          <t>entidad-dia</t>
        </is>
      </c>
    </row>
    <row r="5818">
      <c r="A5818" t="inlineStr">
        <is>
          <t>PRAGMA</t>
        </is>
      </c>
      <c r="B5818" t="inlineStr">
        <is>
          <t>M1</t>
        </is>
      </c>
      <c r="C5818" t="inlineStr">
        <is>
          <t>Cali</t>
        </is>
      </c>
      <c r="D5818" t="inlineStr">
        <is>
          <t>8860</t>
        </is>
      </c>
      <c r="E5818" t="inlineStr">
        <is>
          <t>pagado</t>
        </is>
      </c>
      <c r="F5818" s="23" t="n">
        <v>46276</v>
      </c>
      <c r="G5818" s="24">
        <f>F5818-DATE(2026,8,31)</f>
        <v>11</v>
      </c>
      <c r="H5818" s="25" t="n">
        <v>90292873</v>
      </c>
      <c r="I5818" t="inlineStr">
        <is>
          <t>entidad-dia</t>
        </is>
      </c>
    </row>
    <row r="5819">
      <c r="A5819" t="inlineStr">
        <is>
          <t>PRAGMA</t>
        </is>
      </c>
      <c r="B5819" t="inlineStr">
        <is>
          <t>M1</t>
        </is>
      </c>
      <c r="C5819" t="inlineStr">
        <is>
          <t>Cali</t>
        </is>
      </c>
      <c r="D5819" t="inlineStr">
        <is>
          <t>8860</t>
        </is>
      </c>
      <c r="E5819" t="inlineStr">
        <is>
          <t>pagado</t>
        </is>
      </c>
      <c r="F5819" s="23" t="n">
        <v>46277</v>
      </c>
      <c r="G5819" s="24">
        <f>F5819-DATE(2026,8,31)</f>
        <v>12</v>
      </c>
      <c r="H5819" s="25" t="n">
        <v>64590311</v>
      </c>
      <c r="I5819" t="inlineStr">
        <is>
          <t>entidad-dia</t>
        </is>
      </c>
    </row>
    <row r="5820">
      <c r="A5820" t="inlineStr">
        <is>
          <t>PRAGMA</t>
        </is>
      </c>
      <c r="B5820" t="inlineStr">
        <is>
          <t>M1</t>
        </is>
      </c>
      <c r="C5820" t="inlineStr">
        <is>
          <t>Cali</t>
        </is>
      </c>
      <c r="D5820" t="inlineStr">
        <is>
          <t>8860</t>
        </is>
      </c>
      <c r="E5820" t="inlineStr">
        <is>
          <t>pagado</t>
        </is>
      </c>
      <c r="F5820" s="23" t="n">
        <v>46278</v>
      </c>
      <c r="G5820" s="24">
        <f>F5820-DATE(2026,8,31)</f>
        <v>13</v>
      </c>
      <c r="H5820" s="25" t="n">
        <v>14136155</v>
      </c>
      <c r="I5820" t="inlineStr">
        <is>
          <t>entidad-dia</t>
        </is>
      </c>
    </row>
    <row r="5821">
      <c r="A5821" t="inlineStr">
        <is>
          <t>PRAGMA</t>
        </is>
      </c>
      <c r="B5821" t="inlineStr">
        <is>
          <t>M1</t>
        </is>
      </c>
      <c r="C5821" t="inlineStr">
        <is>
          <t>Cali</t>
        </is>
      </c>
      <c r="D5821" t="inlineStr">
        <is>
          <t>8860</t>
        </is>
      </c>
      <c r="E5821" t="inlineStr">
        <is>
          <t>pagado</t>
        </is>
      </c>
      <c r="F5821" s="23" t="n">
        <v>46279</v>
      </c>
      <c r="G5821" s="24">
        <f>F5821-DATE(2026,8,31)</f>
        <v>14</v>
      </c>
      <c r="H5821" s="25" t="n">
        <v>77469379</v>
      </c>
      <c r="I5821" t="inlineStr">
        <is>
          <t>entidad-dia</t>
        </is>
      </c>
    </row>
    <row r="5822">
      <c r="A5822" t="inlineStr">
        <is>
          <t>PRAGMA</t>
        </is>
      </c>
      <c r="B5822" t="inlineStr">
        <is>
          <t>M1</t>
        </is>
      </c>
      <c r="C5822" t="inlineStr">
        <is>
          <t>Cali</t>
        </is>
      </c>
      <c r="D5822" t="inlineStr">
        <is>
          <t>8860</t>
        </is>
      </c>
      <c r="E5822" t="inlineStr">
        <is>
          <t>pagado</t>
        </is>
      </c>
      <c r="F5822" s="23" t="n">
        <v>46280</v>
      </c>
      <c r="G5822" s="24">
        <f>F5822-DATE(2026,8,31)</f>
        <v>15</v>
      </c>
      <c r="H5822" s="25" t="n">
        <v>113495106</v>
      </c>
      <c r="I5822" t="inlineStr">
        <is>
          <t>entidad-dia</t>
        </is>
      </c>
    </row>
    <row r="5823">
      <c r="A5823" t="inlineStr">
        <is>
          <t>PRAGMA</t>
        </is>
      </c>
      <c r="B5823" t="inlineStr">
        <is>
          <t>M1</t>
        </is>
      </c>
      <c r="C5823" t="inlineStr">
        <is>
          <t>Cali</t>
        </is>
      </c>
      <c r="D5823" t="inlineStr">
        <is>
          <t>8862</t>
        </is>
      </c>
      <c r="E5823" t="inlineStr">
        <is>
          <t>pagado</t>
        </is>
      </c>
      <c r="F5823" s="23" t="n">
        <v>46266</v>
      </c>
      <c r="G5823" s="24">
        <f>F5823-DATE(2026,8,31)</f>
        <v>1</v>
      </c>
      <c r="H5823" s="25" t="n">
        <v>86934581</v>
      </c>
      <c r="I5823" t="inlineStr">
        <is>
          <t>entidad-dia</t>
        </is>
      </c>
    </row>
    <row r="5824">
      <c r="A5824" t="inlineStr">
        <is>
          <t>PRAGMA</t>
        </is>
      </c>
      <c r="B5824" t="inlineStr">
        <is>
          <t>M1</t>
        </is>
      </c>
      <c r="C5824" t="inlineStr">
        <is>
          <t>Cali</t>
        </is>
      </c>
      <c r="D5824" t="inlineStr">
        <is>
          <t>8862</t>
        </is>
      </c>
      <c r="E5824" t="inlineStr">
        <is>
          <t>pagado</t>
        </is>
      </c>
      <c r="F5824" s="23" t="n">
        <v>46267</v>
      </c>
      <c r="G5824" s="24">
        <f>F5824-DATE(2026,8,31)</f>
        <v>2</v>
      </c>
      <c r="H5824" s="25" t="n">
        <v>69408573</v>
      </c>
      <c r="I5824" t="inlineStr">
        <is>
          <t>entidad-dia</t>
        </is>
      </c>
    </row>
    <row r="5825">
      <c r="A5825" t="inlineStr">
        <is>
          <t>PRAGMA</t>
        </is>
      </c>
      <c r="B5825" t="inlineStr">
        <is>
          <t>M1</t>
        </is>
      </c>
      <c r="C5825" t="inlineStr">
        <is>
          <t>Cali</t>
        </is>
      </c>
      <c r="D5825" t="inlineStr">
        <is>
          <t>8862</t>
        </is>
      </c>
      <c r="E5825" t="inlineStr">
        <is>
          <t>pagado</t>
        </is>
      </c>
      <c r="F5825" s="23" t="n">
        <v>46268</v>
      </c>
      <c r="G5825" s="24">
        <f>F5825-DATE(2026,8,31)</f>
        <v>3</v>
      </c>
      <c r="H5825" s="25" t="n">
        <v>67813550</v>
      </c>
      <c r="I5825" t="inlineStr">
        <is>
          <t>entidad-dia</t>
        </is>
      </c>
    </row>
    <row r="5826">
      <c r="A5826" t="inlineStr">
        <is>
          <t>PRAGMA</t>
        </is>
      </c>
      <c r="B5826" t="inlineStr">
        <is>
          <t>M1</t>
        </is>
      </c>
      <c r="C5826" t="inlineStr">
        <is>
          <t>Cali</t>
        </is>
      </c>
      <c r="D5826" t="inlineStr">
        <is>
          <t>8862</t>
        </is>
      </c>
      <c r="E5826" t="inlineStr">
        <is>
          <t>pagado</t>
        </is>
      </c>
      <c r="F5826" s="23" t="n">
        <v>46269</v>
      </c>
      <c r="G5826" s="24">
        <f>F5826-DATE(2026,8,31)</f>
        <v>4</v>
      </c>
      <c r="H5826" s="25" t="n">
        <v>70646455</v>
      </c>
      <c r="I5826" t="inlineStr">
        <is>
          <t>entidad-dia</t>
        </is>
      </c>
    </row>
    <row r="5827">
      <c r="A5827" t="inlineStr">
        <is>
          <t>PRAGMA</t>
        </is>
      </c>
      <c r="B5827" t="inlineStr">
        <is>
          <t>M1</t>
        </is>
      </c>
      <c r="C5827" t="inlineStr">
        <is>
          <t>Cali</t>
        </is>
      </c>
      <c r="D5827" t="inlineStr">
        <is>
          <t>8862</t>
        </is>
      </c>
      <c r="E5827" t="inlineStr">
        <is>
          <t>pagado</t>
        </is>
      </c>
      <c r="F5827" s="23" t="n">
        <v>46270</v>
      </c>
      <c r="G5827" s="24">
        <f>F5827-DATE(2026,8,31)</f>
        <v>5</v>
      </c>
      <c r="H5827" s="25" t="n">
        <v>54754120</v>
      </c>
      <c r="I5827" t="inlineStr">
        <is>
          <t>entidad-dia</t>
        </is>
      </c>
    </row>
    <row r="5828">
      <c r="A5828" t="inlineStr">
        <is>
          <t>PRAGMA</t>
        </is>
      </c>
      <c r="B5828" t="inlineStr">
        <is>
          <t>M1</t>
        </is>
      </c>
      <c r="C5828" t="inlineStr">
        <is>
          <t>Cali</t>
        </is>
      </c>
      <c r="D5828" t="inlineStr">
        <is>
          <t>8862</t>
        </is>
      </c>
      <c r="E5828" t="inlineStr">
        <is>
          <t>pagado</t>
        </is>
      </c>
      <c r="F5828" s="23" t="n">
        <v>46271</v>
      </c>
      <c r="G5828" s="24">
        <f>F5828-DATE(2026,8,31)</f>
        <v>6</v>
      </c>
      <c r="H5828" s="25" t="n">
        <v>24083820</v>
      </c>
      <c r="I5828" t="inlineStr">
        <is>
          <t>entidad-dia</t>
        </is>
      </c>
    </row>
    <row r="5829">
      <c r="A5829" t="inlineStr">
        <is>
          <t>PRAGMA</t>
        </is>
      </c>
      <c r="B5829" t="inlineStr">
        <is>
          <t>M1</t>
        </is>
      </c>
      <c r="C5829" t="inlineStr">
        <is>
          <t>Cali</t>
        </is>
      </c>
      <c r="D5829" t="inlineStr">
        <is>
          <t>8862</t>
        </is>
      </c>
      <c r="E5829" t="inlineStr">
        <is>
          <t>pagado</t>
        </is>
      </c>
      <c r="F5829" s="23" t="n">
        <v>46272</v>
      </c>
      <c r="G5829" s="24">
        <f>F5829-DATE(2026,8,31)</f>
        <v>7</v>
      </c>
      <c r="H5829" s="25" t="n">
        <v>51232739</v>
      </c>
      <c r="I5829" t="inlineStr">
        <is>
          <t>entidad-dia</t>
        </is>
      </c>
    </row>
    <row r="5830">
      <c r="A5830" t="inlineStr">
        <is>
          <t>PRAGMA</t>
        </is>
      </c>
      <c r="B5830" t="inlineStr">
        <is>
          <t>M1</t>
        </is>
      </c>
      <c r="C5830" t="inlineStr">
        <is>
          <t>Cali</t>
        </is>
      </c>
      <c r="D5830" t="inlineStr">
        <is>
          <t>8862</t>
        </is>
      </c>
      <c r="E5830" t="inlineStr">
        <is>
          <t>pagado</t>
        </is>
      </c>
      <c r="F5830" s="23" t="n">
        <v>46273</v>
      </c>
      <c r="G5830" s="24">
        <f>F5830-DATE(2026,8,31)</f>
        <v>8</v>
      </c>
      <c r="H5830" s="25" t="n">
        <v>55227614</v>
      </c>
      <c r="I5830" t="inlineStr">
        <is>
          <t>entidad-dia</t>
        </is>
      </c>
    </row>
    <row r="5831">
      <c r="A5831" t="inlineStr">
        <is>
          <t>PRAGMA</t>
        </is>
      </c>
      <c r="B5831" t="inlineStr">
        <is>
          <t>M1</t>
        </is>
      </c>
      <c r="C5831" t="inlineStr">
        <is>
          <t>Cali</t>
        </is>
      </c>
      <c r="D5831" t="inlineStr">
        <is>
          <t>8862</t>
        </is>
      </c>
      <c r="E5831" t="inlineStr">
        <is>
          <t>pagado</t>
        </is>
      </c>
      <c r="F5831" s="23" t="n">
        <v>46274</v>
      </c>
      <c r="G5831" s="24">
        <f>F5831-DATE(2026,8,31)</f>
        <v>9</v>
      </c>
      <c r="H5831" s="25" t="n">
        <v>53329937</v>
      </c>
      <c r="I5831" t="inlineStr">
        <is>
          <t>entidad-dia</t>
        </is>
      </c>
    </row>
    <row r="5832">
      <c r="A5832" t="inlineStr">
        <is>
          <t>PRAGMA</t>
        </is>
      </c>
      <c r="B5832" t="inlineStr">
        <is>
          <t>M1</t>
        </is>
      </c>
      <c r="C5832" t="inlineStr">
        <is>
          <t>Cali</t>
        </is>
      </c>
      <c r="D5832" t="inlineStr">
        <is>
          <t>8862</t>
        </is>
      </c>
      <c r="E5832" t="inlineStr">
        <is>
          <t>pagado</t>
        </is>
      </c>
      <c r="F5832" s="23" t="n">
        <v>46275</v>
      </c>
      <c r="G5832" s="24">
        <f>F5832-DATE(2026,8,31)</f>
        <v>10</v>
      </c>
      <c r="H5832" s="25" t="n">
        <v>47957309</v>
      </c>
      <c r="I5832" t="inlineStr">
        <is>
          <t>entidad-dia</t>
        </is>
      </c>
    </row>
    <row r="5833">
      <c r="A5833" t="inlineStr">
        <is>
          <t>PRAGMA</t>
        </is>
      </c>
      <c r="B5833" t="inlineStr">
        <is>
          <t>M1</t>
        </is>
      </c>
      <c r="C5833" t="inlineStr">
        <is>
          <t>Cali</t>
        </is>
      </c>
      <c r="D5833" t="inlineStr">
        <is>
          <t>8862</t>
        </is>
      </c>
      <c r="E5833" t="inlineStr">
        <is>
          <t>pagado</t>
        </is>
      </c>
      <c r="F5833" s="23" t="n">
        <v>46276</v>
      </c>
      <c r="G5833" s="24">
        <f>F5833-DATE(2026,8,31)</f>
        <v>11</v>
      </c>
      <c r="H5833" s="25" t="n">
        <v>50594763</v>
      </c>
      <c r="I5833" t="inlineStr">
        <is>
          <t>entidad-dia</t>
        </is>
      </c>
    </row>
    <row r="5834">
      <c r="A5834" t="inlineStr">
        <is>
          <t>PRAGMA</t>
        </is>
      </c>
      <c r="B5834" t="inlineStr">
        <is>
          <t>M1</t>
        </is>
      </c>
      <c r="C5834" t="inlineStr">
        <is>
          <t>Cali</t>
        </is>
      </c>
      <c r="D5834" t="inlineStr">
        <is>
          <t>8862</t>
        </is>
      </c>
      <c r="E5834" t="inlineStr">
        <is>
          <t>pagado</t>
        </is>
      </c>
      <c r="F5834" s="23" t="n">
        <v>46277</v>
      </c>
      <c r="G5834" s="24">
        <f>F5834-DATE(2026,8,31)</f>
        <v>12</v>
      </c>
      <c r="H5834" s="25" t="n">
        <v>45838417</v>
      </c>
      <c r="I5834" t="inlineStr">
        <is>
          <t>entidad-dia</t>
        </is>
      </c>
    </row>
    <row r="5835">
      <c r="A5835" t="inlineStr">
        <is>
          <t>PRAGMA</t>
        </is>
      </c>
      <c r="B5835" t="inlineStr">
        <is>
          <t>M1</t>
        </is>
      </c>
      <c r="C5835" t="inlineStr">
        <is>
          <t>Cali</t>
        </is>
      </c>
      <c r="D5835" t="inlineStr">
        <is>
          <t>8862</t>
        </is>
      </c>
      <c r="E5835" t="inlineStr">
        <is>
          <t>pagado</t>
        </is>
      </c>
      <c r="F5835" s="23" t="n">
        <v>46278</v>
      </c>
      <c r="G5835" s="24">
        <f>F5835-DATE(2026,8,31)</f>
        <v>13</v>
      </c>
      <c r="H5835" s="25" t="n">
        <v>21664720</v>
      </c>
      <c r="I5835" t="inlineStr">
        <is>
          <t>entidad-dia</t>
        </is>
      </c>
    </row>
    <row r="5836">
      <c r="A5836" t="inlineStr">
        <is>
          <t>PRAGMA</t>
        </is>
      </c>
      <c r="B5836" t="inlineStr">
        <is>
          <t>M1</t>
        </is>
      </c>
      <c r="C5836" t="inlineStr">
        <is>
          <t>Cali</t>
        </is>
      </c>
      <c r="D5836" t="inlineStr">
        <is>
          <t>8862</t>
        </is>
      </c>
      <c r="E5836" t="inlineStr">
        <is>
          <t>pagado</t>
        </is>
      </c>
      <c r="F5836" s="23" t="n">
        <v>46279</v>
      </c>
      <c r="G5836" s="24">
        <f>F5836-DATE(2026,8,31)</f>
        <v>14</v>
      </c>
      <c r="H5836" s="25" t="n">
        <v>50306602</v>
      </c>
      <c r="I5836" t="inlineStr">
        <is>
          <t>entidad-dia</t>
        </is>
      </c>
    </row>
    <row r="5837">
      <c r="A5837" t="inlineStr">
        <is>
          <t>PRAGMA</t>
        </is>
      </c>
      <c r="B5837" t="inlineStr">
        <is>
          <t>M1</t>
        </is>
      </c>
      <c r="C5837" t="inlineStr">
        <is>
          <t>Cali</t>
        </is>
      </c>
      <c r="D5837" t="inlineStr">
        <is>
          <t>8862</t>
        </is>
      </c>
      <c r="E5837" t="inlineStr">
        <is>
          <t>pagado</t>
        </is>
      </c>
      <c r="F5837" s="23" t="n">
        <v>46280</v>
      </c>
      <c r="G5837" s="24">
        <f>F5837-DATE(2026,8,31)</f>
        <v>15</v>
      </c>
      <c r="H5837" s="25" t="n">
        <v>75461204</v>
      </c>
      <c r="I5837" t="inlineStr">
        <is>
          <t>entidad-dia</t>
        </is>
      </c>
    </row>
    <row r="5838">
      <c r="A5838" t="inlineStr">
        <is>
          <t>PRAGMA</t>
        </is>
      </c>
      <c r="B5838" t="inlineStr">
        <is>
          <t>M1</t>
        </is>
      </c>
      <c r="C5838" t="inlineStr">
        <is>
          <t>Ipiales</t>
        </is>
      </c>
      <c r="D5838" t="inlineStr">
        <is>
          <t>8887</t>
        </is>
      </c>
      <c r="E5838" t="inlineStr">
        <is>
          <t>pagado</t>
        </is>
      </c>
      <c r="F5838" s="23" t="n">
        <v>46266</v>
      </c>
      <c r="G5838" s="24">
        <f>F5838-DATE(2026,8,31)</f>
        <v>1</v>
      </c>
      <c r="H5838" s="25" t="n">
        <v>175378706</v>
      </c>
      <c r="I5838" t="inlineStr">
        <is>
          <t>entidad-dia</t>
        </is>
      </c>
    </row>
    <row r="5839">
      <c r="A5839" t="inlineStr">
        <is>
          <t>PRAGMA</t>
        </is>
      </c>
      <c r="B5839" t="inlineStr">
        <is>
          <t>M1</t>
        </is>
      </c>
      <c r="C5839" t="inlineStr">
        <is>
          <t>Ipiales</t>
        </is>
      </c>
      <c r="D5839" t="inlineStr">
        <is>
          <t>8887</t>
        </is>
      </c>
      <c r="E5839" t="inlineStr">
        <is>
          <t>pagado</t>
        </is>
      </c>
      <c r="F5839" s="23" t="n">
        <v>46267</v>
      </c>
      <c r="G5839" s="24">
        <f>F5839-DATE(2026,8,31)</f>
        <v>2</v>
      </c>
      <c r="H5839" s="25" t="n">
        <v>150905171</v>
      </c>
      <c r="I5839" t="inlineStr">
        <is>
          <t>entidad-dia</t>
        </is>
      </c>
    </row>
    <row r="5840">
      <c r="A5840" t="inlineStr">
        <is>
          <t>PRAGMA</t>
        </is>
      </c>
      <c r="B5840" t="inlineStr">
        <is>
          <t>M1</t>
        </is>
      </c>
      <c r="C5840" t="inlineStr">
        <is>
          <t>Ipiales</t>
        </is>
      </c>
      <c r="D5840" t="inlineStr">
        <is>
          <t>8887</t>
        </is>
      </c>
      <c r="E5840" t="inlineStr">
        <is>
          <t>pagado</t>
        </is>
      </c>
      <c r="F5840" s="23" t="n">
        <v>46268</v>
      </c>
      <c r="G5840" s="24">
        <f>F5840-DATE(2026,8,31)</f>
        <v>3</v>
      </c>
      <c r="H5840" s="25" t="n">
        <v>139690235</v>
      </c>
      <c r="I5840" t="inlineStr">
        <is>
          <t>entidad-dia</t>
        </is>
      </c>
    </row>
    <row r="5841">
      <c r="A5841" t="inlineStr">
        <is>
          <t>PRAGMA</t>
        </is>
      </c>
      <c r="B5841" t="inlineStr">
        <is>
          <t>M1</t>
        </is>
      </c>
      <c r="C5841" t="inlineStr">
        <is>
          <t>Ipiales</t>
        </is>
      </c>
      <c r="D5841" t="inlineStr">
        <is>
          <t>8887</t>
        </is>
      </c>
      <c r="E5841" t="inlineStr">
        <is>
          <t>pagado</t>
        </is>
      </c>
      <c r="F5841" s="23" t="n">
        <v>46269</v>
      </c>
      <c r="G5841" s="24">
        <f>F5841-DATE(2026,8,31)</f>
        <v>4</v>
      </c>
      <c r="H5841" s="25" t="n">
        <v>144839504</v>
      </c>
      <c r="I5841" t="inlineStr">
        <is>
          <t>entidad-dia</t>
        </is>
      </c>
    </row>
    <row r="5842">
      <c r="A5842" t="inlineStr">
        <is>
          <t>PRAGMA</t>
        </is>
      </c>
      <c r="B5842" t="inlineStr">
        <is>
          <t>M1</t>
        </is>
      </c>
      <c r="C5842" t="inlineStr">
        <is>
          <t>Ipiales</t>
        </is>
      </c>
      <c r="D5842" t="inlineStr">
        <is>
          <t>8887</t>
        </is>
      </c>
      <c r="E5842" t="inlineStr">
        <is>
          <t>pagado</t>
        </is>
      </c>
      <c r="F5842" s="23" t="n">
        <v>46270</v>
      </c>
      <c r="G5842" s="24">
        <f>F5842-DATE(2026,8,31)</f>
        <v>5</v>
      </c>
      <c r="H5842" s="25" t="n">
        <v>145413028</v>
      </c>
      <c r="I5842" t="inlineStr">
        <is>
          <t>entidad-dia</t>
        </is>
      </c>
    </row>
    <row r="5843">
      <c r="A5843" t="inlineStr">
        <is>
          <t>PRAGMA</t>
        </is>
      </c>
      <c r="B5843" t="inlineStr">
        <is>
          <t>M1</t>
        </is>
      </c>
      <c r="C5843" t="inlineStr">
        <is>
          <t>Ipiales</t>
        </is>
      </c>
      <c r="D5843" t="inlineStr">
        <is>
          <t>8887</t>
        </is>
      </c>
      <c r="E5843" t="inlineStr">
        <is>
          <t>pagado</t>
        </is>
      </c>
      <c r="F5843" s="23" t="n">
        <v>46271</v>
      </c>
      <c r="G5843" s="24">
        <f>F5843-DATE(2026,8,31)</f>
        <v>6</v>
      </c>
      <c r="H5843" s="25" t="n">
        <v>93522777</v>
      </c>
      <c r="I5843" t="inlineStr">
        <is>
          <t>entidad-dia</t>
        </is>
      </c>
    </row>
    <row r="5844">
      <c r="A5844" t="inlineStr">
        <is>
          <t>PRAGMA</t>
        </is>
      </c>
      <c r="B5844" t="inlineStr">
        <is>
          <t>M1</t>
        </is>
      </c>
      <c r="C5844" t="inlineStr">
        <is>
          <t>Ipiales</t>
        </is>
      </c>
      <c r="D5844" t="inlineStr">
        <is>
          <t>8887</t>
        </is>
      </c>
      <c r="E5844" t="inlineStr">
        <is>
          <t>pagado</t>
        </is>
      </c>
      <c r="F5844" s="23" t="n">
        <v>46272</v>
      </c>
      <c r="G5844" s="24">
        <f>F5844-DATE(2026,8,31)</f>
        <v>7</v>
      </c>
      <c r="H5844" s="25" t="n">
        <v>134769018</v>
      </c>
      <c r="I5844" t="inlineStr">
        <is>
          <t>entidad-dia</t>
        </is>
      </c>
    </row>
    <row r="5845">
      <c r="A5845" t="inlineStr">
        <is>
          <t>PRAGMA</t>
        </is>
      </c>
      <c r="B5845" t="inlineStr">
        <is>
          <t>M1</t>
        </is>
      </c>
      <c r="C5845" t="inlineStr">
        <is>
          <t>Ipiales</t>
        </is>
      </c>
      <c r="D5845" t="inlineStr">
        <is>
          <t>8887</t>
        </is>
      </c>
      <c r="E5845" t="inlineStr">
        <is>
          <t>pagado</t>
        </is>
      </c>
      <c r="F5845" s="23" t="n">
        <v>46273</v>
      </c>
      <c r="G5845" s="24">
        <f>F5845-DATE(2026,8,31)</f>
        <v>8</v>
      </c>
      <c r="H5845" s="25" t="n">
        <v>116093564</v>
      </c>
      <c r="I5845" t="inlineStr">
        <is>
          <t>entidad-dia</t>
        </is>
      </c>
    </row>
    <row r="5846">
      <c r="A5846" t="inlineStr">
        <is>
          <t>PRAGMA</t>
        </is>
      </c>
      <c r="B5846" t="inlineStr">
        <is>
          <t>M1</t>
        </is>
      </c>
      <c r="C5846" t="inlineStr">
        <is>
          <t>Ipiales</t>
        </is>
      </c>
      <c r="D5846" t="inlineStr">
        <is>
          <t>8887</t>
        </is>
      </c>
      <c r="E5846" t="inlineStr">
        <is>
          <t>pagado</t>
        </is>
      </c>
      <c r="F5846" s="23" t="n">
        <v>46274</v>
      </c>
      <c r="G5846" s="24">
        <f>F5846-DATE(2026,8,31)</f>
        <v>9</v>
      </c>
      <c r="H5846" s="25" t="n">
        <v>117205644</v>
      </c>
      <c r="I5846" t="inlineStr">
        <is>
          <t>entidad-dia</t>
        </is>
      </c>
    </row>
    <row r="5847">
      <c r="A5847" t="inlineStr">
        <is>
          <t>PRAGMA</t>
        </is>
      </c>
      <c r="B5847" t="inlineStr">
        <is>
          <t>M1</t>
        </is>
      </c>
      <c r="C5847" t="inlineStr">
        <is>
          <t>Ipiales</t>
        </is>
      </c>
      <c r="D5847" t="inlineStr">
        <is>
          <t>8887</t>
        </is>
      </c>
      <c r="E5847" t="inlineStr">
        <is>
          <t>pagado</t>
        </is>
      </c>
      <c r="F5847" s="23" t="n">
        <v>46275</v>
      </c>
      <c r="G5847" s="24">
        <f>F5847-DATE(2026,8,31)</f>
        <v>10</v>
      </c>
      <c r="H5847" s="25" t="n">
        <v>103434609</v>
      </c>
      <c r="I5847" t="inlineStr">
        <is>
          <t>entidad-dia</t>
        </is>
      </c>
    </row>
    <row r="5848">
      <c r="A5848" t="inlineStr">
        <is>
          <t>PRAGMA</t>
        </is>
      </c>
      <c r="B5848" t="inlineStr">
        <is>
          <t>M1</t>
        </is>
      </c>
      <c r="C5848" t="inlineStr">
        <is>
          <t>Ipiales</t>
        </is>
      </c>
      <c r="D5848" t="inlineStr">
        <is>
          <t>8887</t>
        </is>
      </c>
      <c r="E5848" t="inlineStr">
        <is>
          <t>pagado</t>
        </is>
      </c>
      <c r="F5848" s="23" t="n">
        <v>46276</v>
      </c>
      <c r="G5848" s="24">
        <f>F5848-DATE(2026,8,31)</f>
        <v>11</v>
      </c>
      <c r="H5848" s="25" t="n">
        <v>113916209</v>
      </c>
      <c r="I5848" t="inlineStr">
        <is>
          <t>entidad-dia</t>
        </is>
      </c>
    </row>
    <row r="5849">
      <c r="A5849" t="inlineStr">
        <is>
          <t>PRAGMA</t>
        </is>
      </c>
      <c r="B5849" t="inlineStr">
        <is>
          <t>M1</t>
        </is>
      </c>
      <c r="C5849" t="inlineStr">
        <is>
          <t>Ipiales</t>
        </is>
      </c>
      <c r="D5849" t="inlineStr">
        <is>
          <t>8887</t>
        </is>
      </c>
      <c r="E5849" t="inlineStr">
        <is>
          <t>pagado</t>
        </is>
      </c>
      <c r="F5849" s="23" t="n">
        <v>46277</v>
      </c>
      <c r="G5849" s="24">
        <f>F5849-DATE(2026,8,31)</f>
        <v>12</v>
      </c>
      <c r="H5849" s="25" t="n">
        <v>108930485</v>
      </c>
      <c r="I5849" t="inlineStr">
        <is>
          <t>entidad-dia</t>
        </is>
      </c>
    </row>
    <row r="5850">
      <c r="A5850" t="inlineStr">
        <is>
          <t>PRAGMA</t>
        </is>
      </c>
      <c r="B5850" t="inlineStr">
        <is>
          <t>M1</t>
        </is>
      </c>
      <c r="C5850" t="inlineStr">
        <is>
          <t>Ipiales</t>
        </is>
      </c>
      <c r="D5850" t="inlineStr">
        <is>
          <t>8887</t>
        </is>
      </c>
      <c r="E5850" t="inlineStr">
        <is>
          <t>pagado</t>
        </is>
      </c>
      <c r="F5850" s="23" t="n">
        <v>46278</v>
      </c>
      <c r="G5850" s="24">
        <f>F5850-DATE(2026,8,31)</f>
        <v>13</v>
      </c>
      <c r="H5850" s="25" t="n">
        <v>74959989</v>
      </c>
      <c r="I5850" t="inlineStr">
        <is>
          <t>entidad-dia</t>
        </is>
      </c>
    </row>
    <row r="5851">
      <c r="A5851" t="inlineStr">
        <is>
          <t>PRAGMA</t>
        </is>
      </c>
      <c r="B5851" t="inlineStr">
        <is>
          <t>M1</t>
        </is>
      </c>
      <c r="C5851" t="inlineStr">
        <is>
          <t>Ipiales</t>
        </is>
      </c>
      <c r="D5851" t="inlineStr">
        <is>
          <t>8887</t>
        </is>
      </c>
      <c r="E5851" t="inlineStr">
        <is>
          <t>pagado</t>
        </is>
      </c>
      <c r="F5851" s="23" t="n">
        <v>46279</v>
      </c>
      <c r="G5851" s="24">
        <f>F5851-DATE(2026,8,31)</f>
        <v>14</v>
      </c>
      <c r="H5851" s="25" t="n">
        <v>111958195</v>
      </c>
      <c r="I5851" t="inlineStr">
        <is>
          <t>entidad-dia</t>
        </is>
      </c>
    </row>
    <row r="5852">
      <c r="A5852" t="inlineStr">
        <is>
          <t>PRAGMA</t>
        </is>
      </c>
      <c r="B5852" t="inlineStr">
        <is>
          <t>M1</t>
        </is>
      </c>
      <c r="C5852" t="inlineStr">
        <is>
          <t>Ipiales</t>
        </is>
      </c>
      <c r="D5852" t="inlineStr">
        <is>
          <t>8887</t>
        </is>
      </c>
      <c r="E5852" t="inlineStr">
        <is>
          <t>pagado</t>
        </is>
      </c>
      <c r="F5852" s="23" t="n">
        <v>46280</v>
      </c>
      <c r="G5852" s="24">
        <f>F5852-DATE(2026,8,31)</f>
        <v>15</v>
      </c>
      <c r="H5852" s="25" t="n">
        <v>135160644</v>
      </c>
      <c r="I5852" t="inlineStr">
        <is>
          <t>entidad-dia</t>
        </is>
      </c>
    </row>
    <row r="5853">
      <c r="A5853" t="inlineStr">
        <is>
          <t>PRAGMA</t>
        </is>
      </c>
      <c r="B5853" t="inlineStr">
        <is>
          <t>M1</t>
        </is>
      </c>
      <c r="C5853" t="inlineStr">
        <is>
          <t>Cali</t>
        </is>
      </c>
      <c r="D5853" t="inlineStr">
        <is>
          <t>8905</t>
        </is>
      </c>
      <c r="E5853" t="inlineStr">
        <is>
          <t>pagado</t>
        </is>
      </c>
      <c r="F5853" s="23" t="n">
        <v>46266</v>
      </c>
      <c r="G5853" s="24">
        <f>F5853-DATE(2026,8,31)</f>
        <v>1</v>
      </c>
      <c r="H5853" s="25" t="n">
        <v>119065923</v>
      </c>
      <c r="I5853" t="inlineStr">
        <is>
          <t>entidad-dia</t>
        </is>
      </c>
    </row>
    <row r="5854">
      <c r="A5854" t="inlineStr">
        <is>
          <t>PRAGMA</t>
        </is>
      </c>
      <c r="B5854" t="inlineStr">
        <is>
          <t>M1</t>
        </is>
      </c>
      <c r="C5854" t="inlineStr">
        <is>
          <t>Cali</t>
        </is>
      </c>
      <c r="D5854" t="inlineStr">
        <is>
          <t>8905</t>
        </is>
      </c>
      <c r="E5854" t="inlineStr">
        <is>
          <t>pagado</t>
        </is>
      </c>
      <c r="F5854" s="23" t="n">
        <v>46267</v>
      </c>
      <c r="G5854" s="24">
        <f>F5854-DATE(2026,8,31)</f>
        <v>2</v>
      </c>
      <c r="H5854" s="25" t="n">
        <v>87691156</v>
      </c>
      <c r="I5854" t="inlineStr">
        <is>
          <t>entidad-dia</t>
        </is>
      </c>
    </row>
    <row r="5855">
      <c r="A5855" t="inlineStr">
        <is>
          <t>PRAGMA</t>
        </is>
      </c>
      <c r="B5855" t="inlineStr">
        <is>
          <t>M1</t>
        </is>
      </c>
      <c r="C5855" t="inlineStr">
        <is>
          <t>Cali</t>
        </is>
      </c>
      <c r="D5855" t="inlineStr">
        <is>
          <t>8905</t>
        </is>
      </c>
      <c r="E5855" t="inlineStr">
        <is>
          <t>pagado</t>
        </is>
      </c>
      <c r="F5855" s="23" t="n">
        <v>46268</v>
      </c>
      <c r="G5855" s="24">
        <f>F5855-DATE(2026,8,31)</f>
        <v>3</v>
      </c>
      <c r="H5855" s="25" t="n">
        <v>86320283</v>
      </c>
      <c r="I5855" t="inlineStr">
        <is>
          <t>entidad-dia</t>
        </is>
      </c>
    </row>
    <row r="5856">
      <c r="A5856" t="inlineStr">
        <is>
          <t>PRAGMA</t>
        </is>
      </c>
      <c r="B5856" t="inlineStr">
        <is>
          <t>M1</t>
        </is>
      </c>
      <c r="C5856" t="inlineStr">
        <is>
          <t>Cali</t>
        </is>
      </c>
      <c r="D5856" t="inlineStr">
        <is>
          <t>8905</t>
        </is>
      </c>
      <c r="E5856" t="inlineStr">
        <is>
          <t>pagado</t>
        </is>
      </c>
      <c r="F5856" s="23" t="n">
        <v>46269</v>
      </c>
      <c r="G5856" s="24">
        <f>F5856-DATE(2026,8,31)</f>
        <v>4</v>
      </c>
      <c r="H5856" s="25" t="n">
        <v>90998201</v>
      </c>
      <c r="I5856" t="inlineStr">
        <is>
          <t>entidad-dia</t>
        </is>
      </c>
    </row>
    <row r="5857">
      <c r="A5857" t="inlineStr">
        <is>
          <t>PRAGMA</t>
        </is>
      </c>
      <c r="B5857" t="inlineStr">
        <is>
          <t>M1</t>
        </is>
      </c>
      <c r="C5857" t="inlineStr">
        <is>
          <t>Cali</t>
        </is>
      </c>
      <c r="D5857" t="inlineStr">
        <is>
          <t>8905</t>
        </is>
      </c>
      <c r="E5857" t="inlineStr">
        <is>
          <t>pagado</t>
        </is>
      </c>
      <c r="F5857" s="23" t="n">
        <v>46270</v>
      </c>
      <c r="G5857" s="24">
        <f>F5857-DATE(2026,8,31)</f>
        <v>5</v>
      </c>
      <c r="H5857" s="25" t="n">
        <v>84759899</v>
      </c>
      <c r="I5857" t="inlineStr">
        <is>
          <t>entidad-dia</t>
        </is>
      </c>
    </row>
    <row r="5858">
      <c r="A5858" t="inlineStr">
        <is>
          <t>PRAGMA</t>
        </is>
      </c>
      <c r="B5858" t="inlineStr">
        <is>
          <t>M1</t>
        </is>
      </c>
      <c r="C5858" t="inlineStr">
        <is>
          <t>Cali</t>
        </is>
      </c>
      <c r="D5858" t="inlineStr">
        <is>
          <t>8905</t>
        </is>
      </c>
      <c r="E5858" t="inlineStr">
        <is>
          <t>pagado</t>
        </is>
      </c>
      <c r="F5858" s="23" t="n">
        <v>46271</v>
      </c>
      <c r="G5858" s="24">
        <f>F5858-DATE(2026,8,31)</f>
        <v>6</v>
      </c>
      <c r="H5858" s="25" t="n">
        <v>50182296</v>
      </c>
      <c r="I5858" t="inlineStr">
        <is>
          <t>entidad-dia</t>
        </is>
      </c>
    </row>
    <row r="5859">
      <c r="A5859" t="inlineStr">
        <is>
          <t>PRAGMA</t>
        </is>
      </c>
      <c r="B5859" t="inlineStr">
        <is>
          <t>M1</t>
        </is>
      </c>
      <c r="C5859" t="inlineStr">
        <is>
          <t>Cali</t>
        </is>
      </c>
      <c r="D5859" t="inlineStr">
        <is>
          <t>8905</t>
        </is>
      </c>
      <c r="E5859" t="inlineStr">
        <is>
          <t>pagado</t>
        </is>
      </c>
      <c r="F5859" s="23" t="n">
        <v>46272</v>
      </c>
      <c r="G5859" s="24">
        <f>F5859-DATE(2026,8,31)</f>
        <v>7</v>
      </c>
      <c r="H5859" s="25" t="n">
        <v>70393123</v>
      </c>
      <c r="I5859" t="inlineStr">
        <is>
          <t>entidad-dia</t>
        </is>
      </c>
    </row>
    <row r="5860">
      <c r="A5860" t="inlineStr">
        <is>
          <t>PRAGMA</t>
        </is>
      </c>
      <c r="B5860" t="inlineStr">
        <is>
          <t>M1</t>
        </is>
      </c>
      <c r="C5860" t="inlineStr">
        <is>
          <t>Cali</t>
        </is>
      </c>
      <c r="D5860" t="inlineStr">
        <is>
          <t>8905</t>
        </is>
      </c>
      <c r="E5860" t="inlineStr">
        <is>
          <t>pagado</t>
        </is>
      </c>
      <c r="F5860" s="23" t="n">
        <v>46273</v>
      </c>
      <c r="G5860" s="24">
        <f>F5860-DATE(2026,8,31)</f>
        <v>8</v>
      </c>
      <c r="H5860" s="25" t="n">
        <v>64170260</v>
      </c>
      <c r="I5860" t="inlineStr">
        <is>
          <t>entidad-dia</t>
        </is>
      </c>
    </row>
    <row r="5861">
      <c r="A5861" t="inlineStr">
        <is>
          <t>PRAGMA</t>
        </is>
      </c>
      <c r="B5861" t="inlineStr">
        <is>
          <t>M1</t>
        </is>
      </c>
      <c r="C5861" t="inlineStr">
        <is>
          <t>Cali</t>
        </is>
      </c>
      <c r="D5861" t="inlineStr">
        <is>
          <t>8905</t>
        </is>
      </c>
      <c r="E5861" t="inlineStr">
        <is>
          <t>pagado</t>
        </is>
      </c>
      <c r="F5861" s="23" t="n">
        <v>46274</v>
      </c>
      <c r="G5861" s="24">
        <f>F5861-DATE(2026,8,31)</f>
        <v>9</v>
      </c>
      <c r="H5861" s="25" t="n">
        <v>57133399</v>
      </c>
      <c r="I5861" t="inlineStr">
        <is>
          <t>entidad-dia</t>
        </is>
      </c>
    </row>
    <row r="5862">
      <c r="A5862" t="inlineStr">
        <is>
          <t>PRAGMA</t>
        </is>
      </c>
      <c r="B5862" t="inlineStr">
        <is>
          <t>M1</t>
        </is>
      </c>
      <c r="C5862" t="inlineStr">
        <is>
          <t>Cali</t>
        </is>
      </c>
      <c r="D5862" t="inlineStr">
        <is>
          <t>8905</t>
        </is>
      </c>
      <c r="E5862" t="inlineStr">
        <is>
          <t>pagado</t>
        </is>
      </c>
      <c r="F5862" s="23" t="n">
        <v>46275</v>
      </c>
      <c r="G5862" s="24">
        <f>F5862-DATE(2026,8,31)</f>
        <v>10</v>
      </c>
      <c r="H5862" s="25" t="n">
        <v>59358428</v>
      </c>
      <c r="I5862" t="inlineStr">
        <is>
          <t>entidad-dia</t>
        </is>
      </c>
    </row>
    <row r="5863">
      <c r="A5863" t="inlineStr">
        <is>
          <t>PRAGMA</t>
        </is>
      </c>
      <c r="B5863" t="inlineStr">
        <is>
          <t>M1</t>
        </is>
      </c>
      <c r="C5863" t="inlineStr">
        <is>
          <t>Cali</t>
        </is>
      </c>
      <c r="D5863" t="inlineStr">
        <is>
          <t>8905</t>
        </is>
      </c>
      <c r="E5863" t="inlineStr">
        <is>
          <t>pagado</t>
        </is>
      </c>
      <c r="F5863" s="23" t="n">
        <v>46276</v>
      </c>
      <c r="G5863" s="24">
        <f>F5863-DATE(2026,8,31)</f>
        <v>11</v>
      </c>
      <c r="H5863" s="25" t="n">
        <v>61896655</v>
      </c>
      <c r="I5863" t="inlineStr">
        <is>
          <t>entidad-dia</t>
        </is>
      </c>
    </row>
    <row r="5864">
      <c r="A5864" t="inlineStr">
        <is>
          <t>PRAGMA</t>
        </is>
      </c>
      <c r="B5864" t="inlineStr">
        <is>
          <t>M1</t>
        </is>
      </c>
      <c r="C5864" t="inlineStr">
        <is>
          <t>Cali</t>
        </is>
      </c>
      <c r="D5864" t="inlineStr">
        <is>
          <t>8905</t>
        </is>
      </c>
      <c r="E5864" t="inlineStr">
        <is>
          <t>pagado</t>
        </is>
      </c>
      <c r="F5864" s="23" t="n">
        <v>46277</v>
      </c>
      <c r="G5864" s="24">
        <f>F5864-DATE(2026,8,31)</f>
        <v>12</v>
      </c>
      <c r="H5864" s="25" t="n">
        <v>60034570</v>
      </c>
      <c r="I5864" t="inlineStr">
        <is>
          <t>entidad-dia</t>
        </is>
      </c>
    </row>
    <row r="5865">
      <c r="A5865" t="inlineStr">
        <is>
          <t>PRAGMA</t>
        </is>
      </c>
      <c r="B5865" t="inlineStr">
        <is>
          <t>M1</t>
        </is>
      </c>
      <c r="C5865" t="inlineStr">
        <is>
          <t>Cali</t>
        </is>
      </c>
      <c r="D5865" t="inlineStr">
        <is>
          <t>8905</t>
        </is>
      </c>
      <c r="E5865" t="inlineStr">
        <is>
          <t>pagado</t>
        </is>
      </c>
      <c r="F5865" s="23" t="n">
        <v>46278</v>
      </c>
      <c r="G5865" s="24">
        <f>F5865-DATE(2026,8,31)</f>
        <v>13</v>
      </c>
      <c r="H5865" s="25" t="n">
        <v>34689540</v>
      </c>
      <c r="I5865" t="inlineStr">
        <is>
          <t>entidad-dia</t>
        </is>
      </c>
    </row>
    <row r="5866">
      <c r="A5866" t="inlineStr">
        <is>
          <t>PRAGMA</t>
        </is>
      </c>
      <c r="B5866" t="inlineStr">
        <is>
          <t>M1</t>
        </is>
      </c>
      <c r="C5866" t="inlineStr">
        <is>
          <t>Cali</t>
        </is>
      </c>
      <c r="D5866" t="inlineStr">
        <is>
          <t>8905</t>
        </is>
      </c>
      <c r="E5866" t="inlineStr">
        <is>
          <t>pagado</t>
        </is>
      </c>
      <c r="F5866" s="23" t="n">
        <v>46279</v>
      </c>
      <c r="G5866" s="24">
        <f>F5866-DATE(2026,8,31)</f>
        <v>14</v>
      </c>
      <c r="H5866" s="25" t="n">
        <v>72988827</v>
      </c>
      <c r="I5866" t="inlineStr">
        <is>
          <t>entidad-dia</t>
        </is>
      </c>
    </row>
    <row r="5867">
      <c r="A5867" t="inlineStr">
        <is>
          <t>PRAGMA</t>
        </is>
      </c>
      <c r="B5867" t="inlineStr">
        <is>
          <t>M1</t>
        </is>
      </c>
      <c r="C5867" t="inlineStr">
        <is>
          <t>Cali</t>
        </is>
      </c>
      <c r="D5867" t="inlineStr">
        <is>
          <t>8905</t>
        </is>
      </c>
      <c r="E5867" t="inlineStr">
        <is>
          <t>pagado</t>
        </is>
      </c>
      <c r="F5867" s="23" t="n">
        <v>46280</v>
      </c>
      <c r="G5867" s="24">
        <f>F5867-DATE(2026,8,31)</f>
        <v>15</v>
      </c>
      <c r="H5867" s="25" t="n">
        <v>80733018</v>
      </c>
      <c r="I5867" t="inlineStr">
        <is>
          <t>entidad-dia</t>
        </is>
      </c>
    </row>
    <row r="5868">
      <c r="A5868" t="inlineStr">
        <is>
          <t>PRAGMA</t>
        </is>
      </c>
      <c r="B5868" t="inlineStr">
        <is>
          <t>M1</t>
        </is>
      </c>
      <c r="C5868" t="inlineStr">
        <is>
          <t>Cali</t>
        </is>
      </c>
      <c r="D5868" t="inlineStr">
        <is>
          <t>8906</t>
        </is>
      </c>
      <c r="E5868" t="inlineStr">
        <is>
          <t>pagado</t>
        </is>
      </c>
      <c r="F5868" s="23" t="n">
        <v>46266</v>
      </c>
      <c r="G5868" s="24">
        <f>F5868-DATE(2026,8,31)</f>
        <v>1</v>
      </c>
      <c r="H5868" s="25" t="n">
        <v>137552508</v>
      </c>
      <c r="I5868" t="inlineStr">
        <is>
          <t>entidad-dia</t>
        </is>
      </c>
    </row>
    <row r="5869">
      <c r="A5869" t="inlineStr">
        <is>
          <t>PRAGMA</t>
        </is>
      </c>
      <c r="B5869" t="inlineStr">
        <is>
          <t>M1</t>
        </is>
      </c>
      <c r="C5869" t="inlineStr">
        <is>
          <t>Cali</t>
        </is>
      </c>
      <c r="D5869" t="inlineStr">
        <is>
          <t>8906</t>
        </is>
      </c>
      <c r="E5869" t="inlineStr">
        <is>
          <t>pagado</t>
        </is>
      </c>
      <c r="F5869" s="23" t="n">
        <v>46267</v>
      </c>
      <c r="G5869" s="24">
        <f>F5869-DATE(2026,8,31)</f>
        <v>2</v>
      </c>
      <c r="H5869" s="25" t="n">
        <v>113201767</v>
      </c>
      <c r="I5869" t="inlineStr">
        <is>
          <t>entidad-dia</t>
        </is>
      </c>
    </row>
    <row r="5870">
      <c r="A5870" t="inlineStr">
        <is>
          <t>PRAGMA</t>
        </is>
      </c>
      <c r="B5870" t="inlineStr">
        <is>
          <t>M1</t>
        </is>
      </c>
      <c r="C5870" t="inlineStr">
        <is>
          <t>Cali</t>
        </is>
      </c>
      <c r="D5870" t="inlineStr">
        <is>
          <t>8906</t>
        </is>
      </c>
      <c r="E5870" t="inlineStr">
        <is>
          <t>pagado</t>
        </is>
      </c>
      <c r="F5870" s="23" t="n">
        <v>46268</v>
      </c>
      <c r="G5870" s="24">
        <f>F5870-DATE(2026,8,31)</f>
        <v>3</v>
      </c>
      <c r="H5870" s="25" t="n">
        <v>102593197</v>
      </c>
      <c r="I5870" t="inlineStr">
        <is>
          <t>entidad-dia</t>
        </is>
      </c>
    </row>
    <row r="5871">
      <c r="A5871" t="inlineStr">
        <is>
          <t>PRAGMA</t>
        </is>
      </c>
      <c r="B5871" t="inlineStr">
        <is>
          <t>M1</t>
        </is>
      </c>
      <c r="C5871" t="inlineStr">
        <is>
          <t>Cali</t>
        </is>
      </c>
      <c r="D5871" t="inlineStr">
        <is>
          <t>8906</t>
        </is>
      </c>
      <c r="E5871" t="inlineStr">
        <is>
          <t>pagado</t>
        </is>
      </c>
      <c r="F5871" s="23" t="n">
        <v>46269</v>
      </c>
      <c r="G5871" s="24">
        <f>F5871-DATE(2026,8,31)</f>
        <v>4</v>
      </c>
      <c r="H5871" s="25" t="n">
        <v>108216211</v>
      </c>
      <c r="I5871" t="inlineStr">
        <is>
          <t>entidad-dia</t>
        </is>
      </c>
    </row>
    <row r="5872">
      <c r="A5872" t="inlineStr">
        <is>
          <t>PRAGMA</t>
        </is>
      </c>
      <c r="B5872" t="inlineStr">
        <is>
          <t>M1</t>
        </is>
      </c>
      <c r="C5872" t="inlineStr">
        <is>
          <t>Cali</t>
        </is>
      </c>
      <c r="D5872" t="inlineStr">
        <is>
          <t>8906</t>
        </is>
      </c>
      <c r="E5872" t="inlineStr">
        <is>
          <t>pagado</t>
        </is>
      </c>
      <c r="F5872" s="23" t="n">
        <v>46270</v>
      </c>
      <c r="G5872" s="24">
        <f>F5872-DATE(2026,8,31)</f>
        <v>5</v>
      </c>
      <c r="H5872" s="25" t="n">
        <v>110496681</v>
      </c>
      <c r="I5872" t="inlineStr">
        <is>
          <t>entidad-dia</t>
        </is>
      </c>
    </row>
    <row r="5873">
      <c r="A5873" t="inlineStr">
        <is>
          <t>PRAGMA</t>
        </is>
      </c>
      <c r="B5873" t="inlineStr">
        <is>
          <t>M1</t>
        </is>
      </c>
      <c r="C5873" t="inlineStr">
        <is>
          <t>Cali</t>
        </is>
      </c>
      <c r="D5873" t="inlineStr">
        <is>
          <t>8906</t>
        </is>
      </c>
      <c r="E5873" t="inlineStr">
        <is>
          <t>pagado</t>
        </is>
      </c>
      <c r="F5873" s="23" t="n">
        <v>46271</v>
      </c>
      <c r="G5873" s="24">
        <f>F5873-DATE(2026,8,31)</f>
        <v>6</v>
      </c>
      <c r="H5873" s="25" t="n">
        <v>61798751</v>
      </c>
      <c r="I5873" t="inlineStr">
        <is>
          <t>entidad-dia</t>
        </is>
      </c>
    </row>
    <row r="5874">
      <c r="A5874" t="inlineStr">
        <is>
          <t>PRAGMA</t>
        </is>
      </c>
      <c r="B5874" t="inlineStr">
        <is>
          <t>M1</t>
        </is>
      </c>
      <c r="C5874" t="inlineStr">
        <is>
          <t>Cali</t>
        </is>
      </c>
      <c r="D5874" t="inlineStr">
        <is>
          <t>8906</t>
        </is>
      </c>
      <c r="E5874" t="inlineStr">
        <is>
          <t>pagado</t>
        </is>
      </c>
      <c r="F5874" s="23" t="n">
        <v>46272</v>
      </c>
      <c r="G5874" s="24">
        <f>F5874-DATE(2026,8,31)</f>
        <v>7</v>
      </c>
      <c r="H5874" s="25" t="n">
        <v>84821422</v>
      </c>
      <c r="I5874" t="inlineStr">
        <is>
          <t>entidad-dia</t>
        </is>
      </c>
    </row>
    <row r="5875">
      <c r="A5875" t="inlineStr">
        <is>
          <t>PRAGMA</t>
        </is>
      </c>
      <c r="B5875" t="inlineStr">
        <is>
          <t>M1</t>
        </is>
      </c>
      <c r="C5875" t="inlineStr">
        <is>
          <t>Cali</t>
        </is>
      </c>
      <c r="D5875" t="inlineStr">
        <is>
          <t>8906</t>
        </is>
      </c>
      <c r="E5875" t="inlineStr">
        <is>
          <t>pagado</t>
        </is>
      </c>
      <c r="F5875" s="23" t="n">
        <v>46273</v>
      </c>
      <c r="G5875" s="24">
        <f>F5875-DATE(2026,8,31)</f>
        <v>8</v>
      </c>
      <c r="H5875" s="25" t="n">
        <v>81783692</v>
      </c>
      <c r="I5875" t="inlineStr">
        <is>
          <t>entidad-dia</t>
        </is>
      </c>
    </row>
    <row r="5876">
      <c r="A5876" t="inlineStr">
        <is>
          <t>PRAGMA</t>
        </is>
      </c>
      <c r="B5876" t="inlineStr">
        <is>
          <t>M1</t>
        </is>
      </c>
      <c r="C5876" t="inlineStr">
        <is>
          <t>Cali</t>
        </is>
      </c>
      <c r="D5876" t="inlineStr">
        <is>
          <t>8906</t>
        </is>
      </c>
      <c r="E5876" t="inlineStr">
        <is>
          <t>pagado</t>
        </is>
      </c>
      <c r="F5876" s="23" t="n">
        <v>46274</v>
      </c>
      <c r="G5876" s="24">
        <f>F5876-DATE(2026,8,31)</f>
        <v>9</v>
      </c>
      <c r="H5876" s="25" t="n">
        <v>80073151</v>
      </c>
      <c r="I5876" t="inlineStr">
        <is>
          <t>entidad-dia</t>
        </is>
      </c>
    </row>
    <row r="5877">
      <c r="A5877" t="inlineStr">
        <is>
          <t>PRAGMA</t>
        </is>
      </c>
      <c r="B5877" t="inlineStr">
        <is>
          <t>M1</t>
        </is>
      </c>
      <c r="C5877" t="inlineStr">
        <is>
          <t>Cali</t>
        </is>
      </c>
      <c r="D5877" t="inlineStr">
        <is>
          <t>8906</t>
        </is>
      </c>
      <c r="E5877" t="inlineStr">
        <is>
          <t>pagado</t>
        </is>
      </c>
      <c r="F5877" s="23" t="n">
        <v>46275</v>
      </c>
      <c r="G5877" s="24">
        <f>F5877-DATE(2026,8,31)</f>
        <v>10</v>
      </c>
      <c r="H5877" s="25" t="n">
        <v>83853891</v>
      </c>
      <c r="I5877" t="inlineStr">
        <is>
          <t>entidad-dia</t>
        </is>
      </c>
    </row>
    <row r="5878">
      <c r="A5878" t="inlineStr">
        <is>
          <t>PRAGMA</t>
        </is>
      </c>
      <c r="B5878" t="inlineStr">
        <is>
          <t>M1</t>
        </is>
      </c>
      <c r="C5878" t="inlineStr">
        <is>
          <t>Cali</t>
        </is>
      </c>
      <c r="D5878" t="inlineStr">
        <is>
          <t>8906</t>
        </is>
      </c>
      <c r="E5878" t="inlineStr">
        <is>
          <t>pagado</t>
        </is>
      </c>
      <c r="F5878" s="23" t="n">
        <v>46276</v>
      </c>
      <c r="G5878" s="24">
        <f>F5878-DATE(2026,8,31)</f>
        <v>11</v>
      </c>
      <c r="H5878" s="25" t="n">
        <v>83438736</v>
      </c>
      <c r="I5878" t="inlineStr">
        <is>
          <t>entidad-dia</t>
        </is>
      </c>
    </row>
    <row r="5879">
      <c r="A5879" t="inlineStr">
        <is>
          <t>PRAGMA</t>
        </is>
      </c>
      <c r="B5879" t="inlineStr">
        <is>
          <t>M1</t>
        </is>
      </c>
      <c r="C5879" t="inlineStr">
        <is>
          <t>Cali</t>
        </is>
      </c>
      <c r="D5879" t="inlineStr">
        <is>
          <t>8906</t>
        </is>
      </c>
      <c r="E5879" t="inlineStr">
        <is>
          <t>pagado</t>
        </is>
      </c>
      <c r="F5879" s="23" t="n">
        <v>46277</v>
      </c>
      <c r="G5879" s="24">
        <f>F5879-DATE(2026,8,31)</f>
        <v>12</v>
      </c>
      <c r="H5879" s="25" t="n">
        <v>83029375</v>
      </c>
      <c r="I5879" t="inlineStr">
        <is>
          <t>entidad-dia</t>
        </is>
      </c>
    </row>
    <row r="5880">
      <c r="A5880" t="inlineStr">
        <is>
          <t>PRAGMA</t>
        </is>
      </c>
      <c r="B5880" t="inlineStr">
        <is>
          <t>M1</t>
        </is>
      </c>
      <c r="C5880" t="inlineStr">
        <is>
          <t>Cali</t>
        </is>
      </c>
      <c r="D5880" t="inlineStr">
        <is>
          <t>8906</t>
        </is>
      </c>
      <c r="E5880" t="inlineStr">
        <is>
          <t>pagado</t>
        </is>
      </c>
      <c r="F5880" s="23" t="n">
        <v>46278</v>
      </c>
      <c r="G5880" s="24">
        <f>F5880-DATE(2026,8,31)</f>
        <v>13</v>
      </c>
      <c r="H5880" s="25" t="n">
        <v>49901046</v>
      </c>
      <c r="I5880" t="inlineStr">
        <is>
          <t>entidad-dia</t>
        </is>
      </c>
    </row>
    <row r="5881">
      <c r="A5881" t="inlineStr">
        <is>
          <t>PRAGMA</t>
        </is>
      </c>
      <c r="B5881" t="inlineStr">
        <is>
          <t>M1</t>
        </is>
      </c>
      <c r="C5881" t="inlineStr">
        <is>
          <t>Cali</t>
        </is>
      </c>
      <c r="D5881" t="inlineStr">
        <is>
          <t>8906</t>
        </is>
      </c>
      <c r="E5881" t="inlineStr">
        <is>
          <t>pagado</t>
        </is>
      </c>
      <c r="F5881" s="23" t="n">
        <v>46279</v>
      </c>
      <c r="G5881" s="24">
        <f>F5881-DATE(2026,8,31)</f>
        <v>14</v>
      </c>
      <c r="H5881" s="25" t="n">
        <v>84273136</v>
      </c>
      <c r="I5881" t="inlineStr">
        <is>
          <t>entidad-dia</t>
        </is>
      </c>
    </row>
    <row r="5882">
      <c r="A5882" t="inlineStr">
        <is>
          <t>PRAGMA</t>
        </is>
      </c>
      <c r="B5882" t="inlineStr">
        <is>
          <t>M1</t>
        </is>
      </c>
      <c r="C5882" t="inlineStr">
        <is>
          <t>Cali</t>
        </is>
      </c>
      <c r="D5882" t="inlineStr">
        <is>
          <t>8906</t>
        </is>
      </c>
      <c r="E5882" t="inlineStr">
        <is>
          <t>pagado</t>
        </is>
      </c>
      <c r="F5882" s="23" t="n">
        <v>46280</v>
      </c>
      <c r="G5882" s="24">
        <f>F5882-DATE(2026,8,31)</f>
        <v>15</v>
      </c>
      <c r="H5882" s="25" t="n">
        <v>110596786</v>
      </c>
      <c r="I5882" t="inlineStr">
        <is>
          <t>entidad-dia</t>
        </is>
      </c>
    </row>
    <row r="5883">
      <c r="A5883" t="inlineStr">
        <is>
          <t>PRAGMA</t>
        </is>
      </c>
      <c r="B5883" t="inlineStr">
        <is>
          <t>M1</t>
        </is>
      </c>
      <c r="C5883" t="inlineStr">
        <is>
          <t>Cali</t>
        </is>
      </c>
      <c r="D5883" t="inlineStr">
        <is>
          <t>8909</t>
        </is>
      </c>
      <c r="E5883" t="inlineStr">
        <is>
          <t>pagado</t>
        </is>
      </c>
      <c r="F5883" s="23" t="n">
        <v>46266</v>
      </c>
      <c r="G5883" s="24">
        <f>F5883-DATE(2026,8,31)</f>
        <v>1</v>
      </c>
      <c r="H5883" s="25" t="n">
        <v>88952260</v>
      </c>
      <c r="I5883" t="inlineStr">
        <is>
          <t>entidad-dia</t>
        </is>
      </c>
    </row>
    <row r="5884">
      <c r="A5884" t="inlineStr">
        <is>
          <t>PRAGMA</t>
        </is>
      </c>
      <c r="B5884" t="inlineStr">
        <is>
          <t>M1</t>
        </is>
      </c>
      <c r="C5884" t="inlineStr">
        <is>
          <t>Cali</t>
        </is>
      </c>
      <c r="D5884" t="inlineStr">
        <is>
          <t>8909</t>
        </is>
      </c>
      <c r="E5884" t="inlineStr">
        <is>
          <t>pagado</t>
        </is>
      </c>
      <c r="F5884" s="23" t="n">
        <v>46267</v>
      </c>
      <c r="G5884" s="24">
        <f>F5884-DATE(2026,8,31)</f>
        <v>2</v>
      </c>
      <c r="H5884" s="25" t="n">
        <v>70944062</v>
      </c>
      <c r="I5884" t="inlineStr">
        <is>
          <t>entidad-dia</t>
        </is>
      </c>
    </row>
    <row r="5885">
      <c r="A5885" t="inlineStr">
        <is>
          <t>PRAGMA</t>
        </is>
      </c>
      <c r="B5885" t="inlineStr">
        <is>
          <t>M1</t>
        </is>
      </c>
      <c r="C5885" t="inlineStr">
        <is>
          <t>Cali</t>
        </is>
      </c>
      <c r="D5885" t="inlineStr">
        <is>
          <t>8909</t>
        </is>
      </c>
      <c r="E5885" t="inlineStr">
        <is>
          <t>pagado</t>
        </is>
      </c>
      <c r="F5885" s="23" t="n">
        <v>46268</v>
      </c>
      <c r="G5885" s="24">
        <f>F5885-DATE(2026,8,31)</f>
        <v>3</v>
      </c>
      <c r="H5885" s="25" t="n">
        <v>61332061</v>
      </c>
      <c r="I5885" t="inlineStr">
        <is>
          <t>entidad-dia</t>
        </is>
      </c>
    </row>
    <row r="5886">
      <c r="A5886" t="inlineStr">
        <is>
          <t>PRAGMA</t>
        </is>
      </c>
      <c r="B5886" t="inlineStr">
        <is>
          <t>M1</t>
        </is>
      </c>
      <c r="C5886" t="inlineStr">
        <is>
          <t>Cali</t>
        </is>
      </c>
      <c r="D5886" t="inlineStr">
        <is>
          <t>8909</t>
        </is>
      </c>
      <c r="E5886" t="inlineStr">
        <is>
          <t>pagado</t>
        </is>
      </c>
      <c r="F5886" s="23" t="n">
        <v>46269</v>
      </c>
      <c r="G5886" s="24">
        <f>F5886-DATE(2026,8,31)</f>
        <v>4</v>
      </c>
      <c r="H5886" s="25" t="n">
        <v>61462442</v>
      </c>
      <c r="I5886" t="inlineStr">
        <is>
          <t>entidad-dia</t>
        </is>
      </c>
    </row>
    <row r="5887">
      <c r="A5887" t="inlineStr">
        <is>
          <t>PRAGMA</t>
        </is>
      </c>
      <c r="B5887" t="inlineStr">
        <is>
          <t>M1</t>
        </is>
      </c>
      <c r="C5887" t="inlineStr">
        <is>
          <t>Cali</t>
        </is>
      </c>
      <c r="D5887" t="inlineStr">
        <is>
          <t>8909</t>
        </is>
      </c>
      <c r="E5887" t="inlineStr">
        <is>
          <t>pagado</t>
        </is>
      </c>
      <c r="F5887" s="23" t="n">
        <v>46270</v>
      </c>
      <c r="G5887" s="24">
        <f>F5887-DATE(2026,8,31)</f>
        <v>5</v>
      </c>
      <c r="H5887" s="25" t="n">
        <v>71794189</v>
      </c>
      <c r="I5887" t="inlineStr">
        <is>
          <t>entidad-dia</t>
        </is>
      </c>
    </row>
    <row r="5888">
      <c r="A5888" t="inlineStr">
        <is>
          <t>PRAGMA</t>
        </is>
      </c>
      <c r="B5888" t="inlineStr">
        <is>
          <t>M1</t>
        </is>
      </c>
      <c r="C5888" t="inlineStr">
        <is>
          <t>Cali</t>
        </is>
      </c>
      <c r="D5888" t="inlineStr">
        <is>
          <t>8909</t>
        </is>
      </c>
      <c r="E5888" t="inlineStr">
        <is>
          <t>pagado</t>
        </is>
      </c>
      <c r="F5888" s="23" t="n">
        <v>46271</v>
      </c>
      <c r="G5888" s="24">
        <f>F5888-DATE(2026,8,31)</f>
        <v>6</v>
      </c>
      <c r="H5888" s="25" t="n">
        <v>55172889</v>
      </c>
      <c r="I5888" t="inlineStr">
        <is>
          <t>entidad-dia</t>
        </is>
      </c>
    </row>
    <row r="5889">
      <c r="A5889" t="inlineStr">
        <is>
          <t>PRAGMA</t>
        </is>
      </c>
      <c r="B5889" t="inlineStr">
        <is>
          <t>M1</t>
        </is>
      </c>
      <c r="C5889" t="inlineStr">
        <is>
          <t>Cali</t>
        </is>
      </c>
      <c r="D5889" t="inlineStr">
        <is>
          <t>8909</t>
        </is>
      </c>
      <c r="E5889" t="inlineStr">
        <is>
          <t>pagado</t>
        </is>
      </c>
      <c r="F5889" s="23" t="n">
        <v>46272</v>
      </c>
      <c r="G5889" s="24">
        <f>F5889-DATE(2026,8,31)</f>
        <v>7</v>
      </c>
      <c r="H5889" s="25" t="n">
        <v>48397989</v>
      </c>
      <c r="I5889" t="inlineStr">
        <is>
          <t>entidad-dia</t>
        </is>
      </c>
    </row>
    <row r="5890">
      <c r="A5890" t="inlineStr">
        <is>
          <t>PRAGMA</t>
        </is>
      </c>
      <c r="B5890" t="inlineStr">
        <is>
          <t>M1</t>
        </is>
      </c>
      <c r="C5890" t="inlineStr">
        <is>
          <t>Cali</t>
        </is>
      </c>
      <c r="D5890" t="inlineStr">
        <is>
          <t>8909</t>
        </is>
      </c>
      <c r="E5890" t="inlineStr">
        <is>
          <t>pagado</t>
        </is>
      </c>
      <c r="F5890" s="23" t="n">
        <v>46273</v>
      </c>
      <c r="G5890" s="24">
        <f>F5890-DATE(2026,8,31)</f>
        <v>8</v>
      </c>
      <c r="H5890" s="25" t="n">
        <v>47533916</v>
      </c>
      <c r="I5890" t="inlineStr">
        <is>
          <t>entidad-dia</t>
        </is>
      </c>
    </row>
    <row r="5891">
      <c r="A5891" t="inlineStr">
        <is>
          <t>PRAGMA</t>
        </is>
      </c>
      <c r="B5891" t="inlineStr">
        <is>
          <t>M1</t>
        </is>
      </c>
      <c r="C5891" t="inlineStr">
        <is>
          <t>Cali</t>
        </is>
      </c>
      <c r="D5891" t="inlineStr">
        <is>
          <t>8909</t>
        </is>
      </c>
      <c r="E5891" t="inlineStr">
        <is>
          <t>pagado</t>
        </is>
      </c>
      <c r="F5891" s="23" t="n">
        <v>46274</v>
      </c>
      <c r="G5891" s="24">
        <f>F5891-DATE(2026,8,31)</f>
        <v>9</v>
      </c>
      <c r="H5891" s="25" t="n">
        <v>44397986</v>
      </c>
      <c r="I5891" t="inlineStr">
        <is>
          <t>entidad-dia</t>
        </is>
      </c>
    </row>
    <row r="5892">
      <c r="A5892" t="inlineStr">
        <is>
          <t>PRAGMA</t>
        </is>
      </c>
      <c r="B5892" t="inlineStr">
        <is>
          <t>M1</t>
        </is>
      </c>
      <c r="C5892" t="inlineStr">
        <is>
          <t>Cali</t>
        </is>
      </c>
      <c r="D5892" t="inlineStr">
        <is>
          <t>8909</t>
        </is>
      </c>
      <c r="E5892" t="inlineStr">
        <is>
          <t>pagado</t>
        </is>
      </c>
      <c r="F5892" s="23" t="n">
        <v>46275</v>
      </c>
      <c r="G5892" s="24">
        <f>F5892-DATE(2026,8,31)</f>
        <v>10</v>
      </c>
      <c r="H5892" s="25" t="n">
        <v>46165536</v>
      </c>
      <c r="I5892" t="inlineStr">
        <is>
          <t>entidad-dia</t>
        </is>
      </c>
    </row>
    <row r="5893">
      <c r="A5893" t="inlineStr">
        <is>
          <t>PRAGMA</t>
        </is>
      </c>
      <c r="B5893" t="inlineStr">
        <is>
          <t>M1</t>
        </is>
      </c>
      <c r="C5893" t="inlineStr">
        <is>
          <t>Cali</t>
        </is>
      </c>
      <c r="D5893" t="inlineStr">
        <is>
          <t>8909</t>
        </is>
      </c>
      <c r="E5893" t="inlineStr">
        <is>
          <t>pagado</t>
        </is>
      </c>
      <c r="F5893" s="23" t="n">
        <v>46276</v>
      </c>
      <c r="G5893" s="24">
        <f>F5893-DATE(2026,8,31)</f>
        <v>11</v>
      </c>
      <c r="H5893" s="25" t="n">
        <v>46706688</v>
      </c>
      <c r="I5893" t="inlineStr">
        <is>
          <t>entidad-dia</t>
        </is>
      </c>
    </row>
    <row r="5894">
      <c r="A5894" t="inlineStr">
        <is>
          <t>PRAGMA</t>
        </is>
      </c>
      <c r="B5894" t="inlineStr">
        <is>
          <t>M1</t>
        </is>
      </c>
      <c r="C5894" t="inlineStr">
        <is>
          <t>Cali</t>
        </is>
      </c>
      <c r="D5894" t="inlineStr">
        <is>
          <t>8909</t>
        </is>
      </c>
      <c r="E5894" t="inlineStr">
        <is>
          <t>pagado</t>
        </is>
      </c>
      <c r="F5894" s="23" t="n">
        <v>46277</v>
      </c>
      <c r="G5894" s="24">
        <f>F5894-DATE(2026,8,31)</f>
        <v>12</v>
      </c>
      <c r="H5894" s="25" t="n">
        <v>62029725</v>
      </c>
      <c r="I5894" t="inlineStr">
        <is>
          <t>entidad-dia</t>
        </is>
      </c>
    </row>
    <row r="5895">
      <c r="A5895" t="inlineStr">
        <is>
          <t>PRAGMA</t>
        </is>
      </c>
      <c r="B5895" t="inlineStr">
        <is>
          <t>M1</t>
        </is>
      </c>
      <c r="C5895" t="inlineStr">
        <is>
          <t>Cali</t>
        </is>
      </c>
      <c r="D5895" t="inlineStr">
        <is>
          <t>8909</t>
        </is>
      </c>
      <c r="E5895" t="inlineStr">
        <is>
          <t>pagado</t>
        </is>
      </c>
      <c r="F5895" s="23" t="n">
        <v>46278</v>
      </c>
      <c r="G5895" s="24">
        <f>F5895-DATE(2026,8,31)</f>
        <v>13</v>
      </c>
      <c r="H5895" s="25" t="n">
        <v>48119454</v>
      </c>
      <c r="I5895" t="inlineStr">
        <is>
          <t>entidad-dia</t>
        </is>
      </c>
    </row>
    <row r="5896">
      <c r="A5896" t="inlineStr">
        <is>
          <t>PRAGMA</t>
        </is>
      </c>
      <c r="B5896" t="inlineStr">
        <is>
          <t>M1</t>
        </is>
      </c>
      <c r="C5896" t="inlineStr">
        <is>
          <t>Cali</t>
        </is>
      </c>
      <c r="D5896" t="inlineStr">
        <is>
          <t>8909</t>
        </is>
      </c>
      <c r="E5896" t="inlineStr">
        <is>
          <t>pagado</t>
        </is>
      </c>
      <c r="F5896" s="23" t="n">
        <v>46279</v>
      </c>
      <c r="G5896" s="24">
        <f>F5896-DATE(2026,8,31)</f>
        <v>14</v>
      </c>
      <c r="H5896" s="25" t="n">
        <v>53461435</v>
      </c>
      <c r="I5896" t="inlineStr">
        <is>
          <t>entidad-dia</t>
        </is>
      </c>
    </row>
    <row r="5897">
      <c r="A5897" t="inlineStr">
        <is>
          <t>PRAGMA</t>
        </is>
      </c>
      <c r="B5897" t="inlineStr">
        <is>
          <t>M1</t>
        </is>
      </c>
      <c r="C5897" t="inlineStr">
        <is>
          <t>Cali</t>
        </is>
      </c>
      <c r="D5897" t="inlineStr">
        <is>
          <t>8909</t>
        </is>
      </c>
      <c r="E5897" t="inlineStr">
        <is>
          <t>pagado</t>
        </is>
      </c>
      <c r="F5897" s="23" t="n">
        <v>46280</v>
      </c>
      <c r="G5897" s="24">
        <f>F5897-DATE(2026,8,31)</f>
        <v>15</v>
      </c>
      <c r="H5897" s="25" t="n">
        <v>66372572</v>
      </c>
      <c r="I5897" t="inlineStr">
        <is>
          <t>entidad-dia</t>
        </is>
      </c>
    </row>
    <row r="5898">
      <c r="A5898" t="inlineStr">
        <is>
          <t>PRAGMA</t>
        </is>
      </c>
      <c r="B5898" t="inlineStr">
        <is>
          <t>M1</t>
        </is>
      </c>
      <c r="C5898" t="inlineStr">
        <is>
          <t>Cali</t>
        </is>
      </c>
      <c r="D5898" t="inlineStr">
        <is>
          <t>8918</t>
        </is>
      </c>
      <c r="E5898" t="inlineStr">
        <is>
          <t>pagado</t>
        </is>
      </c>
      <c r="F5898" s="23" t="n">
        <v>46266</v>
      </c>
      <c r="G5898" s="24">
        <f>F5898-DATE(2026,8,31)</f>
        <v>1</v>
      </c>
      <c r="H5898" s="25" t="n">
        <v>74462569</v>
      </c>
      <c r="I5898" t="inlineStr">
        <is>
          <t>entidad-dia</t>
        </is>
      </c>
    </row>
    <row r="5899">
      <c r="A5899" t="inlineStr">
        <is>
          <t>PRAGMA</t>
        </is>
      </c>
      <c r="B5899" t="inlineStr">
        <is>
          <t>M1</t>
        </is>
      </c>
      <c r="C5899" t="inlineStr">
        <is>
          <t>Cali</t>
        </is>
      </c>
      <c r="D5899" t="inlineStr">
        <is>
          <t>8918</t>
        </is>
      </c>
      <c r="E5899" t="inlineStr">
        <is>
          <t>pagado</t>
        </is>
      </c>
      <c r="F5899" s="23" t="n">
        <v>46267</v>
      </c>
      <c r="G5899" s="24">
        <f>F5899-DATE(2026,8,31)</f>
        <v>2</v>
      </c>
      <c r="H5899" s="25" t="n">
        <v>60249655</v>
      </c>
      <c r="I5899" t="inlineStr">
        <is>
          <t>entidad-dia</t>
        </is>
      </c>
    </row>
    <row r="5900">
      <c r="A5900" t="inlineStr">
        <is>
          <t>PRAGMA</t>
        </is>
      </c>
      <c r="B5900" t="inlineStr">
        <is>
          <t>M1</t>
        </is>
      </c>
      <c r="C5900" t="inlineStr">
        <is>
          <t>Cali</t>
        </is>
      </c>
      <c r="D5900" t="inlineStr">
        <is>
          <t>8918</t>
        </is>
      </c>
      <c r="E5900" t="inlineStr">
        <is>
          <t>pagado</t>
        </is>
      </c>
      <c r="F5900" s="23" t="n">
        <v>46268</v>
      </c>
      <c r="G5900" s="24">
        <f>F5900-DATE(2026,8,31)</f>
        <v>3</v>
      </c>
      <c r="H5900" s="25" t="n">
        <v>54046111</v>
      </c>
      <c r="I5900" t="inlineStr">
        <is>
          <t>entidad-dia</t>
        </is>
      </c>
    </row>
    <row r="5901">
      <c r="A5901" t="inlineStr">
        <is>
          <t>PRAGMA</t>
        </is>
      </c>
      <c r="B5901" t="inlineStr">
        <is>
          <t>M1</t>
        </is>
      </c>
      <c r="C5901" t="inlineStr">
        <is>
          <t>Cali</t>
        </is>
      </c>
      <c r="D5901" t="inlineStr">
        <is>
          <t>8918</t>
        </is>
      </c>
      <c r="E5901" t="inlineStr">
        <is>
          <t>pagado</t>
        </is>
      </c>
      <c r="F5901" s="23" t="n">
        <v>46269</v>
      </c>
      <c r="G5901" s="24">
        <f>F5901-DATE(2026,8,31)</f>
        <v>4</v>
      </c>
      <c r="H5901" s="25" t="n">
        <v>57606274</v>
      </c>
      <c r="I5901" t="inlineStr">
        <is>
          <t>entidad-dia</t>
        </is>
      </c>
    </row>
    <row r="5902">
      <c r="A5902" t="inlineStr">
        <is>
          <t>PRAGMA</t>
        </is>
      </c>
      <c r="B5902" t="inlineStr">
        <is>
          <t>M1</t>
        </is>
      </c>
      <c r="C5902" t="inlineStr">
        <is>
          <t>Cali</t>
        </is>
      </c>
      <c r="D5902" t="inlineStr">
        <is>
          <t>8918</t>
        </is>
      </c>
      <c r="E5902" t="inlineStr">
        <is>
          <t>pagado</t>
        </is>
      </c>
      <c r="F5902" s="23" t="n">
        <v>46270</v>
      </c>
      <c r="G5902" s="24">
        <f>F5902-DATE(2026,8,31)</f>
        <v>5</v>
      </c>
      <c r="H5902" s="25" t="n">
        <v>51105059</v>
      </c>
      <c r="I5902" t="inlineStr">
        <is>
          <t>entidad-dia</t>
        </is>
      </c>
    </row>
    <row r="5903">
      <c r="A5903" t="inlineStr">
        <is>
          <t>PRAGMA</t>
        </is>
      </c>
      <c r="B5903" t="inlineStr">
        <is>
          <t>M1</t>
        </is>
      </c>
      <c r="C5903" t="inlineStr">
        <is>
          <t>Cali</t>
        </is>
      </c>
      <c r="D5903" t="inlineStr">
        <is>
          <t>8918</t>
        </is>
      </c>
      <c r="E5903" t="inlineStr">
        <is>
          <t>pagado</t>
        </is>
      </c>
      <c r="F5903" s="23" t="n">
        <v>46271</v>
      </c>
      <c r="G5903" s="24">
        <f>F5903-DATE(2026,8,31)</f>
        <v>6</v>
      </c>
      <c r="H5903" s="25" t="n">
        <v>16198218</v>
      </c>
      <c r="I5903" t="inlineStr">
        <is>
          <t>entidad-dia</t>
        </is>
      </c>
    </row>
    <row r="5904">
      <c r="A5904" t="inlineStr">
        <is>
          <t>PRAGMA</t>
        </is>
      </c>
      <c r="B5904" t="inlineStr">
        <is>
          <t>M1</t>
        </is>
      </c>
      <c r="C5904" t="inlineStr">
        <is>
          <t>Cali</t>
        </is>
      </c>
      <c r="D5904" t="inlineStr">
        <is>
          <t>8918</t>
        </is>
      </c>
      <c r="E5904" t="inlineStr">
        <is>
          <t>pagado</t>
        </is>
      </c>
      <c r="F5904" s="23" t="n">
        <v>46272</v>
      </c>
      <c r="G5904" s="24">
        <f>F5904-DATE(2026,8,31)</f>
        <v>7</v>
      </c>
      <c r="H5904" s="25" t="n">
        <v>37454032</v>
      </c>
      <c r="I5904" t="inlineStr">
        <is>
          <t>entidad-dia</t>
        </is>
      </c>
    </row>
    <row r="5905">
      <c r="A5905" t="inlineStr">
        <is>
          <t>PRAGMA</t>
        </is>
      </c>
      <c r="B5905" t="inlineStr">
        <is>
          <t>M1</t>
        </is>
      </c>
      <c r="C5905" t="inlineStr">
        <is>
          <t>Cali</t>
        </is>
      </c>
      <c r="D5905" t="inlineStr">
        <is>
          <t>8918</t>
        </is>
      </c>
      <c r="E5905" t="inlineStr">
        <is>
          <t>pagado</t>
        </is>
      </c>
      <c r="F5905" s="23" t="n">
        <v>46273</v>
      </c>
      <c r="G5905" s="24">
        <f>F5905-DATE(2026,8,31)</f>
        <v>8</v>
      </c>
      <c r="H5905" s="25" t="n">
        <v>38524853</v>
      </c>
      <c r="I5905" t="inlineStr">
        <is>
          <t>entidad-dia</t>
        </is>
      </c>
    </row>
    <row r="5906">
      <c r="A5906" t="inlineStr">
        <is>
          <t>PRAGMA</t>
        </is>
      </c>
      <c r="B5906" t="inlineStr">
        <is>
          <t>M1</t>
        </is>
      </c>
      <c r="C5906" t="inlineStr">
        <is>
          <t>Cali</t>
        </is>
      </c>
      <c r="D5906" t="inlineStr">
        <is>
          <t>8918</t>
        </is>
      </c>
      <c r="E5906" t="inlineStr">
        <is>
          <t>pagado</t>
        </is>
      </c>
      <c r="F5906" s="23" t="n">
        <v>46274</v>
      </c>
      <c r="G5906" s="24">
        <f>F5906-DATE(2026,8,31)</f>
        <v>9</v>
      </c>
      <c r="H5906" s="25" t="n">
        <v>38937783</v>
      </c>
      <c r="I5906" t="inlineStr">
        <is>
          <t>entidad-dia</t>
        </is>
      </c>
    </row>
    <row r="5907">
      <c r="A5907" t="inlineStr">
        <is>
          <t>PRAGMA</t>
        </is>
      </c>
      <c r="B5907" t="inlineStr">
        <is>
          <t>M1</t>
        </is>
      </c>
      <c r="C5907" t="inlineStr">
        <is>
          <t>Cali</t>
        </is>
      </c>
      <c r="D5907" t="inlineStr">
        <is>
          <t>8918</t>
        </is>
      </c>
      <c r="E5907" t="inlineStr">
        <is>
          <t>pagado</t>
        </is>
      </c>
      <c r="F5907" s="23" t="n">
        <v>46275</v>
      </c>
      <c r="G5907" s="24">
        <f>F5907-DATE(2026,8,31)</f>
        <v>10</v>
      </c>
      <c r="H5907" s="25" t="n">
        <v>37977261</v>
      </c>
      <c r="I5907" t="inlineStr">
        <is>
          <t>entidad-dia</t>
        </is>
      </c>
    </row>
    <row r="5908">
      <c r="A5908" t="inlineStr">
        <is>
          <t>PRAGMA</t>
        </is>
      </c>
      <c r="B5908" t="inlineStr">
        <is>
          <t>M1</t>
        </is>
      </c>
      <c r="C5908" t="inlineStr">
        <is>
          <t>Cali</t>
        </is>
      </c>
      <c r="D5908" t="inlineStr">
        <is>
          <t>8918</t>
        </is>
      </c>
      <c r="E5908" t="inlineStr">
        <is>
          <t>pagado</t>
        </is>
      </c>
      <c r="F5908" s="23" t="n">
        <v>46276</v>
      </c>
      <c r="G5908" s="24">
        <f>F5908-DATE(2026,8,31)</f>
        <v>11</v>
      </c>
      <c r="H5908" s="25" t="n">
        <v>46936492</v>
      </c>
      <c r="I5908" t="inlineStr">
        <is>
          <t>entidad-dia</t>
        </is>
      </c>
    </row>
    <row r="5909">
      <c r="A5909" t="inlineStr">
        <is>
          <t>PRAGMA</t>
        </is>
      </c>
      <c r="B5909" t="inlineStr">
        <is>
          <t>M1</t>
        </is>
      </c>
      <c r="C5909" t="inlineStr">
        <is>
          <t>Cali</t>
        </is>
      </c>
      <c r="D5909" t="inlineStr">
        <is>
          <t>8918</t>
        </is>
      </c>
      <c r="E5909" t="inlineStr">
        <is>
          <t>pagado</t>
        </is>
      </c>
      <c r="F5909" s="23" t="n">
        <v>46277</v>
      </c>
      <c r="G5909" s="24">
        <f>F5909-DATE(2026,8,31)</f>
        <v>12</v>
      </c>
      <c r="H5909" s="25" t="n">
        <v>42734153</v>
      </c>
      <c r="I5909" t="inlineStr">
        <is>
          <t>entidad-dia</t>
        </is>
      </c>
    </row>
    <row r="5910">
      <c r="A5910" t="inlineStr">
        <is>
          <t>PRAGMA</t>
        </is>
      </c>
      <c r="B5910" t="inlineStr">
        <is>
          <t>M1</t>
        </is>
      </c>
      <c r="C5910" t="inlineStr">
        <is>
          <t>Cali</t>
        </is>
      </c>
      <c r="D5910" t="inlineStr">
        <is>
          <t>8918</t>
        </is>
      </c>
      <c r="E5910" t="inlineStr">
        <is>
          <t>pagado</t>
        </is>
      </c>
      <c r="F5910" s="23" t="n">
        <v>46278</v>
      </c>
      <c r="G5910" s="24">
        <f>F5910-DATE(2026,8,31)</f>
        <v>13</v>
      </c>
      <c r="H5910" s="25" t="n">
        <v>13190123</v>
      </c>
      <c r="I5910" t="inlineStr">
        <is>
          <t>entidad-dia</t>
        </is>
      </c>
    </row>
    <row r="5911">
      <c r="A5911" t="inlineStr">
        <is>
          <t>PRAGMA</t>
        </is>
      </c>
      <c r="B5911" t="inlineStr">
        <is>
          <t>M1</t>
        </is>
      </c>
      <c r="C5911" t="inlineStr">
        <is>
          <t>Cali</t>
        </is>
      </c>
      <c r="D5911" t="inlineStr">
        <is>
          <t>8918</t>
        </is>
      </c>
      <c r="E5911" t="inlineStr">
        <is>
          <t>pagado</t>
        </is>
      </c>
      <c r="F5911" s="23" t="n">
        <v>46279</v>
      </c>
      <c r="G5911" s="24">
        <f>F5911-DATE(2026,8,31)</f>
        <v>14</v>
      </c>
      <c r="H5911" s="25" t="n">
        <v>38228915</v>
      </c>
      <c r="I5911" t="inlineStr">
        <is>
          <t>entidad-dia</t>
        </is>
      </c>
    </row>
    <row r="5912">
      <c r="A5912" t="inlineStr">
        <is>
          <t>PRAGMA</t>
        </is>
      </c>
      <c r="B5912" t="inlineStr">
        <is>
          <t>M1</t>
        </is>
      </c>
      <c r="C5912" t="inlineStr">
        <is>
          <t>Cali</t>
        </is>
      </c>
      <c r="D5912" t="inlineStr">
        <is>
          <t>8918</t>
        </is>
      </c>
      <c r="E5912" t="inlineStr">
        <is>
          <t>pagado</t>
        </is>
      </c>
      <c r="F5912" s="23" t="n">
        <v>46280</v>
      </c>
      <c r="G5912" s="24">
        <f>F5912-DATE(2026,8,31)</f>
        <v>15</v>
      </c>
      <c r="H5912" s="25" t="n">
        <v>57597647</v>
      </c>
      <c r="I5912" t="inlineStr">
        <is>
          <t>entidad-dia</t>
        </is>
      </c>
    </row>
    <row r="5913">
      <c r="A5913" t="inlineStr">
        <is>
          <t>PRAGMA</t>
        </is>
      </c>
      <c r="B5913" t="inlineStr">
        <is>
          <t>M1</t>
        </is>
      </c>
      <c r="C5913" t="inlineStr">
        <is>
          <t>Cali</t>
        </is>
      </c>
      <c r="D5913" t="inlineStr">
        <is>
          <t>8919</t>
        </is>
      </c>
      <c r="E5913" t="inlineStr">
        <is>
          <t>pagado</t>
        </is>
      </c>
      <c r="F5913" s="23" t="n">
        <v>46266</v>
      </c>
      <c r="G5913" s="24">
        <f>F5913-DATE(2026,8,31)</f>
        <v>1</v>
      </c>
      <c r="H5913" s="25" t="n">
        <v>82936544</v>
      </c>
      <c r="I5913" t="inlineStr">
        <is>
          <t>entidad-dia</t>
        </is>
      </c>
    </row>
    <row r="5914">
      <c r="A5914" t="inlineStr">
        <is>
          <t>PRAGMA</t>
        </is>
      </c>
      <c r="B5914" t="inlineStr">
        <is>
          <t>M1</t>
        </is>
      </c>
      <c r="C5914" t="inlineStr">
        <is>
          <t>Cali</t>
        </is>
      </c>
      <c r="D5914" t="inlineStr">
        <is>
          <t>8919</t>
        </is>
      </c>
      <c r="E5914" t="inlineStr">
        <is>
          <t>pagado</t>
        </is>
      </c>
      <c r="F5914" s="23" t="n">
        <v>46267</v>
      </c>
      <c r="G5914" s="24">
        <f>F5914-DATE(2026,8,31)</f>
        <v>2</v>
      </c>
      <c r="H5914" s="25" t="n">
        <v>57879476</v>
      </c>
      <c r="I5914" t="inlineStr">
        <is>
          <t>entidad-dia</t>
        </is>
      </c>
    </row>
    <row r="5915">
      <c r="A5915" t="inlineStr">
        <is>
          <t>PRAGMA</t>
        </is>
      </c>
      <c r="B5915" t="inlineStr">
        <is>
          <t>M1</t>
        </is>
      </c>
      <c r="C5915" t="inlineStr">
        <is>
          <t>Cali</t>
        </is>
      </c>
      <c r="D5915" t="inlineStr">
        <is>
          <t>8919</t>
        </is>
      </c>
      <c r="E5915" t="inlineStr">
        <is>
          <t>pagado</t>
        </is>
      </c>
      <c r="F5915" s="23" t="n">
        <v>46268</v>
      </c>
      <c r="G5915" s="24">
        <f>F5915-DATE(2026,8,31)</f>
        <v>3</v>
      </c>
      <c r="H5915" s="25" t="n">
        <v>54513654</v>
      </c>
      <c r="I5915" t="inlineStr">
        <is>
          <t>entidad-dia</t>
        </is>
      </c>
    </row>
    <row r="5916">
      <c r="A5916" t="inlineStr">
        <is>
          <t>PRAGMA</t>
        </is>
      </c>
      <c r="B5916" t="inlineStr">
        <is>
          <t>M1</t>
        </is>
      </c>
      <c r="C5916" t="inlineStr">
        <is>
          <t>Cali</t>
        </is>
      </c>
      <c r="D5916" t="inlineStr">
        <is>
          <t>8919</t>
        </is>
      </c>
      <c r="E5916" t="inlineStr">
        <is>
          <t>pagado</t>
        </is>
      </c>
      <c r="F5916" s="23" t="n">
        <v>46269</v>
      </c>
      <c r="G5916" s="24">
        <f>F5916-DATE(2026,8,31)</f>
        <v>4</v>
      </c>
      <c r="H5916" s="25" t="n">
        <v>58015873</v>
      </c>
      <c r="I5916" t="inlineStr">
        <is>
          <t>entidad-dia</t>
        </is>
      </c>
    </row>
    <row r="5917">
      <c r="A5917" t="inlineStr">
        <is>
          <t>PRAGMA</t>
        </is>
      </c>
      <c r="B5917" t="inlineStr">
        <is>
          <t>M1</t>
        </is>
      </c>
      <c r="C5917" t="inlineStr">
        <is>
          <t>Cali</t>
        </is>
      </c>
      <c r="D5917" t="inlineStr">
        <is>
          <t>8919</t>
        </is>
      </c>
      <c r="E5917" t="inlineStr">
        <is>
          <t>pagado</t>
        </is>
      </c>
      <c r="F5917" s="23" t="n">
        <v>46270</v>
      </c>
      <c r="G5917" s="24">
        <f>F5917-DATE(2026,8,31)</f>
        <v>5</v>
      </c>
      <c r="H5917" s="25" t="n">
        <v>46300769</v>
      </c>
      <c r="I5917" t="inlineStr">
        <is>
          <t>entidad-dia</t>
        </is>
      </c>
    </row>
    <row r="5918">
      <c r="A5918" t="inlineStr">
        <is>
          <t>PRAGMA</t>
        </is>
      </c>
      <c r="B5918" t="inlineStr">
        <is>
          <t>M1</t>
        </is>
      </c>
      <c r="C5918" t="inlineStr">
        <is>
          <t>Cali</t>
        </is>
      </c>
      <c r="D5918" t="inlineStr">
        <is>
          <t>8919</t>
        </is>
      </c>
      <c r="E5918" t="inlineStr">
        <is>
          <t>pagado</t>
        </is>
      </c>
      <c r="F5918" s="23" t="n">
        <v>46271</v>
      </c>
      <c r="G5918" s="24">
        <f>F5918-DATE(2026,8,31)</f>
        <v>6</v>
      </c>
      <c r="H5918" s="25" t="n">
        <v>12247372</v>
      </c>
      <c r="I5918" t="inlineStr">
        <is>
          <t>entidad-dia</t>
        </is>
      </c>
    </row>
    <row r="5919">
      <c r="A5919" t="inlineStr">
        <is>
          <t>PRAGMA</t>
        </is>
      </c>
      <c r="B5919" t="inlineStr">
        <is>
          <t>M1</t>
        </is>
      </c>
      <c r="C5919" t="inlineStr">
        <is>
          <t>Cali</t>
        </is>
      </c>
      <c r="D5919" t="inlineStr">
        <is>
          <t>8919</t>
        </is>
      </c>
      <c r="E5919" t="inlineStr">
        <is>
          <t>pagado</t>
        </is>
      </c>
      <c r="F5919" s="23" t="n">
        <v>46272</v>
      </c>
      <c r="G5919" s="24">
        <f>F5919-DATE(2026,8,31)</f>
        <v>7</v>
      </c>
      <c r="H5919" s="25" t="n">
        <v>34457037</v>
      </c>
      <c r="I5919" t="inlineStr">
        <is>
          <t>entidad-dia</t>
        </is>
      </c>
    </row>
    <row r="5920">
      <c r="A5920" t="inlineStr">
        <is>
          <t>PRAGMA</t>
        </is>
      </c>
      <c r="B5920" t="inlineStr">
        <is>
          <t>M1</t>
        </is>
      </c>
      <c r="C5920" t="inlineStr">
        <is>
          <t>Cali</t>
        </is>
      </c>
      <c r="D5920" t="inlineStr">
        <is>
          <t>8919</t>
        </is>
      </c>
      <c r="E5920" t="inlineStr">
        <is>
          <t>pagado</t>
        </is>
      </c>
      <c r="F5920" s="23" t="n">
        <v>46273</v>
      </c>
      <c r="G5920" s="24">
        <f>F5920-DATE(2026,8,31)</f>
        <v>8</v>
      </c>
      <c r="H5920" s="25" t="n">
        <v>38733428</v>
      </c>
      <c r="I5920" t="inlineStr">
        <is>
          <t>entidad-dia</t>
        </is>
      </c>
    </row>
    <row r="5921">
      <c r="A5921" t="inlineStr">
        <is>
          <t>PRAGMA</t>
        </is>
      </c>
      <c r="B5921" t="inlineStr">
        <is>
          <t>M1</t>
        </is>
      </c>
      <c r="C5921" t="inlineStr">
        <is>
          <t>Cali</t>
        </is>
      </c>
      <c r="D5921" t="inlineStr">
        <is>
          <t>8919</t>
        </is>
      </c>
      <c r="E5921" t="inlineStr">
        <is>
          <t>pagado</t>
        </is>
      </c>
      <c r="F5921" s="23" t="n">
        <v>46274</v>
      </c>
      <c r="G5921" s="24">
        <f>F5921-DATE(2026,8,31)</f>
        <v>9</v>
      </c>
      <c r="H5921" s="25" t="n">
        <v>39447764</v>
      </c>
      <c r="I5921" t="inlineStr">
        <is>
          <t>entidad-dia</t>
        </is>
      </c>
    </row>
    <row r="5922">
      <c r="A5922" t="inlineStr">
        <is>
          <t>PRAGMA</t>
        </is>
      </c>
      <c r="B5922" t="inlineStr">
        <is>
          <t>M1</t>
        </is>
      </c>
      <c r="C5922" t="inlineStr">
        <is>
          <t>Cali</t>
        </is>
      </c>
      <c r="D5922" t="inlineStr">
        <is>
          <t>8919</t>
        </is>
      </c>
      <c r="E5922" t="inlineStr">
        <is>
          <t>pagado</t>
        </is>
      </c>
      <c r="F5922" s="23" t="n">
        <v>46275</v>
      </c>
      <c r="G5922" s="24">
        <f>F5922-DATE(2026,8,31)</f>
        <v>10</v>
      </c>
      <c r="H5922" s="25" t="n">
        <v>37835258</v>
      </c>
      <c r="I5922" t="inlineStr">
        <is>
          <t>entidad-dia</t>
        </is>
      </c>
    </row>
    <row r="5923">
      <c r="A5923" t="inlineStr">
        <is>
          <t>PRAGMA</t>
        </is>
      </c>
      <c r="B5923" t="inlineStr">
        <is>
          <t>M1</t>
        </is>
      </c>
      <c r="C5923" t="inlineStr">
        <is>
          <t>Cali</t>
        </is>
      </c>
      <c r="D5923" t="inlineStr">
        <is>
          <t>8919</t>
        </is>
      </c>
      <c r="E5923" t="inlineStr">
        <is>
          <t>pagado</t>
        </is>
      </c>
      <c r="F5923" s="23" t="n">
        <v>46276</v>
      </c>
      <c r="G5923" s="24">
        <f>F5923-DATE(2026,8,31)</f>
        <v>11</v>
      </c>
      <c r="H5923" s="25" t="n">
        <v>46448808</v>
      </c>
      <c r="I5923" t="inlineStr">
        <is>
          <t>entidad-dia</t>
        </is>
      </c>
    </row>
    <row r="5924">
      <c r="A5924" t="inlineStr">
        <is>
          <t>PRAGMA</t>
        </is>
      </c>
      <c r="B5924" t="inlineStr">
        <is>
          <t>M1</t>
        </is>
      </c>
      <c r="C5924" t="inlineStr">
        <is>
          <t>Cali</t>
        </is>
      </c>
      <c r="D5924" t="inlineStr">
        <is>
          <t>8919</t>
        </is>
      </c>
      <c r="E5924" t="inlineStr">
        <is>
          <t>pagado</t>
        </is>
      </c>
      <c r="F5924" s="23" t="n">
        <v>46277</v>
      </c>
      <c r="G5924" s="24">
        <f>F5924-DATE(2026,8,31)</f>
        <v>12</v>
      </c>
      <c r="H5924" s="25" t="n">
        <v>33919866</v>
      </c>
      <c r="I5924" t="inlineStr">
        <is>
          <t>entidad-dia</t>
        </is>
      </c>
    </row>
    <row r="5925">
      <c r="A5925" t="inlineStr">
        <is>
          <t>PRAGMA</t>
        </is>
      </c>
      <c r="B5925" t="inlineStr">
        <is>
          <t>M1</t>
        </is>
      </c>
      <c r="C5925" t="inlineStr">
        <is>
          <t>Cali</t>
        </is>
      </c>
      <c r="D5925" t="inlineStr">
        <is>
          <t>8919</t>
        </is>
      </c>
      <c r="E5925" t="inlineStr">
        <is>
          <t>pagado</t>
        </is>
      </c>
      <c r="F5925" s="23" t="n">
        <v>46278</v>
      </c>
      <c r="G5925" s="24">
        <f>F5925-DATE(2026,8,31)</f>
        <v>13</v>
      </c>
      <c r="H5925" s="25" t="n">
        <v>10280465</v>
      </c>
      <c r="I5925" t="inlineStr">
        <is>
          <t>entidad-dia</t>
        </is>
      </c>
    </row>
    <row r="5926">
      <c r="A5926" t="inlineStr">
        <is>
          <t>PRAGMA</t>
        </is>
      </c>
      <c r="B5926" t="inlineStr">
        <is>
          <t>M1</t>
        </is>
      </c>
      <c r="C5926" t="inlineStr">
        <is>
          <t>Cali</t>
        </is>
      </c>
      <c r="D5926" t="inlineStr">
        <is>
          <t>8919</t>
        </is>
      </c>
      <c r="E5926" t="inlineStr">
        <is>
          <t>pagado</t>
        </is>
      </c>
      <c r="F5926" s="23" t="n">
        <v>46279</v>
      </c>
      <c r="G5926" s="24">
        <f>F5926-DATE(2026,8,31)</f>
        <v>14</v>
      </c>
      <c r="H5926" s="25" t="n">
        <v>36313507</v>
      </c>
      <c r="I5926" t="inlineStr">
        <is>
          <t>entidad-dia</t>
        </is>
      </c>
    </row>
    <row r="5927">
      <c r="A5927" t="inlineStr">
        <is>
          <t>PRAGMA</t>
        </is>
      </c>
      <c r="B5927" t="inlineStr">
        <is>
          <t>M1</t>
        </is>
      </c>
      <c r="C5927" t="inlineStr">
        <is>
          <t>Cali</t>
        </is>
      </c>
      <c r="D5927" t="inlineStr">
        <is>
          <t>8919</t>
        </is>
      </c>
      <c r="E5927" t="inlineStr">
        <is>
          <t>pagado</t>
        </is>
      </c>
      <c r="F5927" s="23" t="n">
        <v>46280</v>
      </c>
      <c r="G5927" s="24">
        <f>F5927-DATE(2026,8,31)</f>
        <v>15</v>
      </c>
      <c r="H5927" s="25" t="n">
        <v>61129967</v>
      </c>
      <c r="I5927" t="inlineStr">
        <is>
          <t>entidad-dia</t>
        </is>
      </c>
    </row>
    <row r="5928">
      <c r="A5928" t="inlineStr">
        <is>
          <t>PRAGMA</t>
        </is>
      </c>
      <c r="B5928" t="inlineStr">
        <is>
          <t>M1</t>
        </is>
      </c>
      <c r="C5928" t="inlineStr">
        <is>
          <t>Cali</t>
        </is>
      </c>
      <c r="D5928" t="inlineStr">
        <is>
          <t>8927</t>
        </is>
      </c>
      <c r="E5928" t="inlineStr">
        <is>
          <t>pagado</t>
        </is>
      </c>
      <c r="F5928" s="23" t="n">
        <v>46266</v>
      </c>
      <c r="G5928" s="24">
        <f>F5928-DATE(2026,8,31)</f>
        <v>1</v>
      </c>
      <c r="H5928" s="25" t="n">
        <v>29272337</v>
      </c>
      <c r="I5928" t="inlineStr">
        <is>
          <t>entidad-dia</t>
        </is>
      </c>
    </row>
    <row r="5929">
      <c r="A5929" t="inlineStr">
        <is>
          <t>PRAGMA</t>
        </is>
      </c>
      <c r="B5929" t="inlineStr">
        <is>
          <t>M1</t>
        </is>
      </c>
      <c r="C5929" t="inlineStr">
        <is>
          <t>Cali</t>
        </is>
      </c>
      <c r="D5929" t="inlineStr">
        <is>
          <t>8927</t>
        </is>
      </c>
      <c r="E5929" t="inlineStr">
        <is>
          <t>pagado</t>
        </is>
      </c>
      <c r="F5929" s="23" t="n">
        <v>46267</v>
      </c>
      <c r="G5929" s="24">
        <f>F5929-DATE(2026,8,31)</f>
        <v>2</v>
      </c>
      <c r="H5929" s="25" t="n">
        <v>23457129</v>
      </c>
      <c r="I5929" t="inlineStr">
        <is>
          <t>entidad-dia</t>
        </is>
      </c>
    </row>
    <row r="5930">
      <c r="A5930" t="inlineStr">
        <is>
          <t>PRAGMA</t>
        </is>
      </c>
      <c r="B5930" t="inlineStr">
        <is>
          <t>M1</t>
        </is>
      </c>
      <c r="C5930" t="inlineStr">
        <is>
          <t>Cali</t>
        </is>
      </c>
      <c r="D5930" t="inlineStr">
        <is>
          <t>8927</t>
        </is>
      </c>
      <c r="E5930" t="inlineStr">
        <is>
          <t>pagado</t>
        </is>
      </c>
      <c r="F5930" s="23" t="n">
        <v>46268</v>
      </c>
      <c r="G5930" s="24">
        <f>F5930-DATE(2026,8,31)</f>
        <v>3</v>
      </c>
      <c r="H5930" s="25" t="n">
        <v>28245184</v>
      </c>
      <c r="I5930" t="inlineStr">
        <is>
          <t>entidad-dia</t>
        </is>
      </c>
    </row>
    <row r="5931">
      <c r="A5931" t="inlineStr">
        <is>
          <t>PRAGMA</t>
        </is>
      </c>
      <c r="B5931" t="inlineStr">
        <is>
          <t>M1</t>
        </is>
      </c>
      <c r="C5931" t="inlineStr">
        <is>
          <t>Cali</t>
        </is>
      </c>
      <c r="D5931" t="inlineStr">
        <is>
          <t>8927</t>
        </is>
      </c>
      <c r="E5931" t="inlineStr">
        <is>
          <t>pagado</t>
        </is>
      </c>
      <c r="F5931" s="23" t="n">
        <v>46269</v>
      </c>
      <c r="G5931" s="24">
        <f>F5931-DATE(2026,8,31)</f>
        <v>4</v>
      </c>
      <c r="H5931" s="25" t="n">
        <v>19337890</v>
      </c>
      <c r="I5931" t="inlineStr">
        <is>
          <t>entidad-dia</t>
        </is>
      </c>
    </row>
    <row r="5932">
      <c r="A5932" t="inlineStr">
        <is>
          <t>PRAGMA</t>
        </is>
      </c>
      <c r="B5932" t="inlineStr">
        <is>
          <t>M1</t>
        </is>
      </c>
      <c r="C5932" t="inlineStr">
        <is>
          <t>Cali</t>
        </is>
      </c>
      <c r="D5932" t="inlineStr">
        <is>
          <t>8927</t>
        </is>
      </c>
      <c r="E5932" t="inlineStr">
        <is>
          <t>pagado</t>
        </is>
      </c>
      <c r="F5932" s="23" t="n">
        <v>46270</v>
      </c>
      <c r="G5932" s="24">
        <f>F5932-DATE(2026,8,31)</f>
        <v>5</v>
      </c>
      <c r="H5932" s="25" t="n">
        <v>5287870</v>
      </c>
      <c r="I5932" t="inlineStr">
        <is>
          <t>entidad-dia</t>
        </is>
      </c>
    </row>
    <row r="5933">
      <c r="A5933" t="inlineStr">
        <is>
          <t>PRAGMA</t>
        </is>
      </c>
      <c r="B5933" t="inlineStr">
        <is>
          <t>M1</t>
        </is>
      </c>
      <c r="C5933" t="inlineStr">
        <is>
          <t>Cali</t>
        </is>
      </c>
      <c r="D5933" t="inlineStr">
        <is>
          <t>8927</t>
        </is>
      </c>
      <c r="E5933" t="inlineStr">
        <is>
          <t>pagado</t>
        </is>
      </c>
      <c r="F5933" s="23" t="n">
        <v>46271</v>
      </c>
      <c r="G5933" s="24">
        <f>F5933-DATE(2026,8,31)</f>
        <v>6</v>
      </c>
      <c r="H5933" s="25" t="n">
        <v>899400</v>
      </c>
      <c r="I5933" t="inlineStr">
        <is>
          <t>entidad-dia</t>
        </is>
      </c>
    </row>
    <row r="5934">
      <c r="A5934" t="inlineStr">
        <is>
          <t>PRAGMA</t>
        </is>
      </c>
      <c r="B5934" t="inlineStr">
        <is>
          <t>M1</t>
        </is>
      </c>
      <c r="C5934" t="inlineStr">
        <is>
          <t>Cali</t>
        </is>
      </c>
      <c r="D5934" t="inlineStr">
        <is>
          <t>8927</t>
        </is>
      </c>
      <c r="E5934" t="inlineStr">
        <is>
          <t>pagado</t>
        </is>
      </c>
      <c r="F5934" s="23" t="n">
        <v>46272</v>
      </c>
      <c r="G5934" s="24">
        <f>F5934-DATE(2026,8,31)</f>
        <v>7</v>
      </c>
      <c r="H5934" s="25" t="n">
        <v>9672118</v>
      </c>
      <c r="I5934" t="inlineStr">
        <is>
          <t>entidad-dia</t>
        </is>
      </c>
    </row>
    <row r="5935">
      <c r="A5935" t="inlineStr">
        <is>
          <t>PRAGMA</t>
        </is>
      </c>
      <c r="B5935" t="inlineStr">
        <is>
          <t>M1</t>
        </is>
      </c>
      <c r="C5935" t="inlineStr">
        <is>
          <t>Cali</t>
        </is>
      </c>
      <c r="D5935" t="inlineStr">
        <is>
          <t>8927</t>
        </is>
      </c>
      <c r="E5935" t="inlineStr">
        <is>
          <t>pagado</t>
        </is>
      </c>
      <c r="F5935" s="23" t="n">
        <v>46273</v>
      </c>
      <c r="G5935" s="24">
        <f>F5935-DATE(2026,8,31)</f>
        <v>8</v>
      </c>
      <c r="H5935" s="25" t="n">
        <v>7491694</v>
      </c>
      <c r="I5935" t="inlineStr">
        <is>
          <t>entidad-dia</t>
        </is>
      </c>
    </row>
    <row r="5936">
      <c r="A5936" t="inlineStr">
        <is>
          <t>PRAGMA</t>
        </is>
      </c>
      <c r="B5936" t="inlineStr">
        <is>
          <t>M1</t>
        </is>
      </c>
      <c r="C5936" t="inlineStr">
        <is>
          <t>Cali</t>
        </is>
      </c>
      <c r="D5936" t="inlineStr">
        <is>
          <t>8927</t>
        </is>
      </c>
      <c r="E5936" t="inlineStr">
        <is>
          <t>pagado</t>
        </is>
      </c>
      <c r="F5936" s="23" t="n">
        <v>46274</v>
      </c>
      <c r="G5936" s="24">
        <f>F5936-DATE(2026,8,31)</f>
        <v>9</v>
      </c>
      <c r="H5936" s="25" t="n">
        <v>14436005</v>
      </c>
      <c r="I5936" t="inlineStr">
        <is>
          <t>entidad-dia</t>
        </is>
      </c>
    </row>
    <row r="5937">
      <c r="A5937" t="inlineStr">
        <is>
          <t>PRAGMA</t>
        </is>
      </c>
      <c r="B5937" t="inlineStr">
        <is>
          <t>M1</t>
        </is>
      </c>
      <c r="C5937" t="inlineStr">
        <is>
          <t>Cali</t>
        </is>
      </c>
      <c r="D5937" t="inlineStr">
        <is>
          <t>8927</t>
        </is>
      </c>
      <c r="E5937" t="inlineStr">
        <is>
          <t>pagado</t>
        </is>
      </c>
      <c r="F5937" s="23" t="n">
        <v>46275</v>
      </c>
      <c r="G5937" s="24">
        <f>F5937-DATE(2026,8,31)</f>
        <v>10</v>
      </c>
      <c r="H5937" s="25" t="n">
        <v>9418851</v>
      </c>
      <c r="I5937" t="inlineStr">
        <is>
          <t>entidad-dia</t>
        </is>
      </c>
    </row>
    <row r="5938">
      <c r="A5938" t="inlineStr">
        <is>
          <t>PRAGMA</t>
        </is>
      </c>
      <c r="B5938" t="inlineStr">
        <is>
          <t>M1</t>
        </is>
      </c>
      <c r="C5938" t="inlineStr">
        <is>
          <t>Cali</t>
        </is>
      </c>
      <c r="D5938" t="inlineStr">
        <is>
          <t>8927</t>
        </is>
      </c>
      <c r="E5938" t="inlineStr">
        <is>
          <t>pagado</t>
        </is>
      </c>
      <c r="F5938" s="23" t="n">
        <v>46276</v>
      </c>
      <c r="G5938" s="24">
        <f>F5938-DATE(2026,8,31)</f>
        <v>11</v>
      </c>
      <c r="H5938" s="25" t="n">
        <v>12237769</v>
      </c>
      <c r="I5938" t="inlineStr">
        <is>
          <t>entidad-dia</t>
        </is>
      </c>
    </row>
    <row r="5939">
      <c r="A5939" t="inlineStr">
        <is>
          <t>PRAGMA</t>
        </is>
      </c>
      <c r="B5939" t="inlineStr">
        <is>
          <t>M1</t>
        </is>
      </c>
      <c r="C5939" t="inlineStr">
        <is>
          <t>Cali</t>
        </is>
      </c>
      <c r="D5939" t="inlineStr">
        <is>
          <t>8927</t>
        </is>
      </c>
      <c r="E5939" t="inlineStr">
        <is>
          <t>pagado</t>
        </is>
      </c>
      <c r="F5939" s="23" t="n">
        <v>46277</v>
      </c>
      <c r="G5939" s="24">
        <f>F5939-DATE(2026,8,31)</f>
        <v>12</v>
      </c>
      <c r="H5939" s="25" t="n">
        <v>3780770</v>
      </c>
      <c r="I5939" t="inlineStr">
        <is>
          <t>entidad-dia</t>
        </is>
      </c>
    </row>
    <row r="5940">
      <c r="A5940" t="inlineStr">
        <is>
          <t>PRAGMA</t>
        </is>
      </c>
      <c r="B5940" t="inlineStr">
        <is>
          <t>M1</t>
        </is>
      </c>
      <c r="C5940" t="inlineStr">
        <is>
          <t>Cali</t>
        </is>
      </c>
      <c r="D5940" t="inlineStr">
        <is>
          <t>8927</t>
        </is>
      </c>
      <c r="E5940" t="inlineStr">
        <is>
          <t>pagado</t>
        </is>
      </c>
      <c r="F5940" s="23" t="n">
        <v>46278</v>
      </c>
      <c r="G5940" s="24">
        <f>F5940-DATE(2026,8,31)</f>
        <v>13</v>
      </c>
      <c r="H5940" s="25" t="n">
        <v>491627</v>
      </c>
      <c r="I5940" t="inlineStr">
        <is>
          <t>entidad-dia</t>
        </is>
      </c>
    </row>
    <row r="5941">
      <c r="A5941" t="inlineStr">
        <is>
          <t>PRAGMA</t>
        </is>
      </c>
      <c r="B5941" t="inlineStr">
        <is>
          <t>M1</t>
        </is>
      </c>
      <c r="C5941" t="inlineStr">
        <is>
          <t>Cali</t>
        </is>
      </c>
      <c r="D5941" t="inlineStr">
        <is>
          <t>8927</t>
        </is>
      </c>
      <c r="E5941" t="inlineStr">
        <is>
          <t>pagado</t>
        </is>
      </c>
      <c r="F5941" s="23" t="n">
        <v>46279</v>
      </c>
      <c r="G5941" s="24">
        <f>F5941-DATE(2026,8,31)</f>
        <v>14</v>
      </c>
      <c r="H5941" s="25" t="n">
        <v>13630622</v>
      </c>
      <c r="I5941" t="inlineStr">
        <is>
          <t>entidad-dia</t>
        </is>
      </c>
    </row>
    <row r="5942">
      <c r="A5942" t="inlineStr">
        <is>
          <t>PRAGMA</t>
        </is>
      </c>
      <c r="B5942" t="inlineStr">
        <is>
          <t>M1</t>
        </is>
      </c>
      <c r="C5942" t="inlineStr">
        <is>
          <t>Cali</t>
        </is>
      </c>
      <c r="D5942" t="inlineStr">
        <is>
          <t>8927</t>
        </is>
      </c>
      <c r="E5942" t="inlineStr">
        <is>
          <t>pagado</t>
        </is>
      </c>
      <c r="F5942" s="23" t="n">
        <v>46280</v>
      </c>
      <c r="G5942" s="24">
        <f>F5942-DATE(2026,8,31)</f>
        <v>15</v>
      </c>
      <c r="H5942" s="25" t="n">
        <v>26768935</v>
      </c>
      <c r="I5942" t="inlineStr">
        <is>
          <t>entidad-dia</t>
        </is>
      </c>
    </row>
    <row r="5943">
      <c r="A5943" t="inlineStr">
        <is>
          <t>PRAGMA</t>
        </is>
      </c>
      <c r="B5943" t="inlineStr">
        <is>
          <t>M1</t>
        </is>
      </c>
      <c r="C5943" t="inlineStr">
        <is>
          <t>Cali</t>
        </is>
      </c>
      <c r="D5943" t="inlineStr">
        <is>
          <t>8986</t>
        </is>
      </c>
      <c r="E5943" t="inlineStr">
        <is>
          <t>pagado</t>
        </is>
      </c>
      <c r="F5943" s="23" t="n">
        <v>46266</v>
      </c>
      <c r="G5943" s="24">
        <f>F5943-DATE(2026,8,31)</f>
        <v>1</v>
      </c>
      <c r="H5943" s="25" t="n">
        <v>188511317</v>
      </c>
      <c r="I5943" t="inlineStr">
        <is>
          <t>entidad-dia</t>
        </is>
      </c>
    </row>
    <row r="5944">
      <c r="A5944" t="inlineStr">
        <is>
          <t>PRAGMA</t>
        </is>
      </c>
      <c r="B5944" t="inlineStr">
        <is>
          <t>M1</t>
        </is>
      </c>
      <c r="C5944" t="inlineStr">
        <is>
          <t>Cali</t>
        </is>
      </c>
      <c r="D5944" t="inlineStr">
        <is>
          <t>8986</t>
        </is>
      </c>
      <c r="E5944" t="inlineStr">
        <is>
          <t>pagado</t>
        </is>
      </c>
      <c r="F5944" s="23" t="n">
        <v>46267</v>
      </c>
      <c r="G5944" s="24">
        <f>F5944-DATE(2026,8,31)</f>
        <v>2</v>
      </c>
      <c r="H5944" s="25" t="n">
        <v>147268438</v>
      </c>
      <c r="I5944" t="inlineStr">
        <is>
          <t>entidad-dia</t>
        </is>
      </c>
    </row>
    <row r="5945">
      <c r="A5945" t="inlineStr">
        <is>
          <t>PRAGMA</t>
        </is>
      </c>
      <c r="B5945" t="inlineStr">
        <is>
          <t>M1</t>
        </is>
      </c>
      <c r="C5945" t="inlineStr">
        <is>
          <t>Cali</t>
        </is>
      </c>
      <c r="D5945" t="inlineStr">
        <is>
          <t>8986</t>
        </is>
      </c>
      <c r="E5945" t="inlineStr">
        <is>
          <t>pagado</t>
        </is>
      </c>
      <c r="F5945" s="23" t="n">
        <v>46268</v>
      </c>
      <c r="G5945" s="24">
        <f>F5945-DATE(2026,8,31)</f>
        <v>3</v>
      </c>
      <c r="H5945" s="25" t="n">
        <v>142682069</v>
      </c>
      <c r="I5945" t="inlineStr">
        <is>
          <t>entidad-dia</t>
        </is>
      </c>
    </row>
    <row r="5946">
      <c r="A5946" t="inlineStr">
        <is>
          <t>PRAGMA</t>
        </is>
      </c>
      <c r="B5946" t="inlineStr">
        <is>
          <t>M1</t>
        </is>
      </c>
      <c r="C5946" t="inlineStr">
        <is>
          <t>Cali</t>
        </is>
      </c>
      <c r="D5946" t="inlineStr">
        <is>
          <t>8986</t>
        </is>
      </c>
      <c r="E5946" t="inlineStr">
        <is>
          <t>pagado</t>
        </is>
      </c>
      <c r="F5946" s="23" t="n">
        <v>46269</v>
      </c>
      <c r="G5946" s="24">
        <f>F5946-DATE(2026,8,31)</f>
        <v>4</v>
      </c>
      <c r="H5946" s="25" t="n">
        <v>131716440</v>
      </c>
      <c r="I5946" t="inlineStr">
        <is>
          <t>entidad-dia</t>
        </is>
      </c>
    </row>
    <row r="5947">
      <c r="A5947" t="inlineStr">
        <is>
          <t>PRAGMA</t>
        </is>
      </c>
      <c r="B5947" t="inlineStr">
        <is>
          <t>M1</t>
        </is>
      </c>
      <c r="C5947" t="inlineStr">
        <is>
          <t>Cali</t>
        </is>
      </c>
      <c r="D5947" t="inlineStr">
        <is>
          <t>8986</t>
        </is>
      </c>
      <c r="E5947" t="inlineStr">
        <is>
          <t>pagado</t>
        </is>
      </c>
      <c r="F5947" s="23" t="n">
        <v>46270</v>
      </c>
      <c r="G5947" s="24">
        <f>F5947-DATE(2026,8,31)</f>
        <v>5</v>
      </c>
      <c r="H5947" s="25" t="n">
        <v>148514227</v>
      </c>
      <c r="I5947" t="inlineStr">
        <is>
          <t>entidad-dia</t>
        </is>
      </c>
    </row>
    <row r="5948">
      <c r="A5948" t="inlineStr">
        <is>
          <t>PRAGMA</t>
        </is>
      </c>
      <c r="B5948" t="inlineStr">
        <is>
          <t>M1</t>
        </is>
      </c>
      <c r="C5948" t="inlineStr">
        <is>
          <t>Cali</t>
        </is>
      </c>
      <c r="D5948" t="inlineStr">
        <is>
          <t>8986</t>
        </is>
      </c>
      <c r="E5948" t="inlineStr">
        <is>
          <t>pagado</t>
        </is>
      </c>
      <c r="F5948" s="23" t="n">
        <v>46271</v>
      </c>
      <c r="G5948" s="24">
        <f>F5948-DATE(2026,8,31)</f>
        <v>6</v>
      </c>
      <c r="H5948" s="25" t="n">
        <v>111933109</v>
      </c>
      <c r="I5948" t="inlineStr">
        <is>
          <t>entidad-dia</t>
        </is>
      </c>
    </row>
    <row r="5949">
      <c r="A5949" t="inlineStr">
        <is>
          <t>PRAGMA</t>
        </is>
      </c>
      <c r="B5949" t="inlineStr">
        <is>
          <t>M1</t>
        </is>
      </c>
      <c r="C5949" t="inlineStr">
        <is>
          <t>Cali</t>
        </is>
      </c>
      <c r="D5949" t="inlineStr">
        <is>
          <t>8986</t>
        </is>
      </c>
      <c r="E5949" t="inlineStr">
        <is>
          <t>pagado</t>
        </is>
      </c>
      <c r="F5949" s="23" t="n">
        <v>46272</v>
      </c>
      <c r="G5949" s="24">
        <f>F5949-DATE(2026,8,31)</f>
        <v>7</v>
      </c>
      <c r="H5949" s="25" t="n">
        <v>110958257</v>
      </c>
      <c r="I5949" t="inlineStr">
        <is>
          <t>entidad-dia</t>
        </is>
      </c>
    </row>
    <row r="5950">
      <c r="A5950" t="inlineStr">
        <is>
          <t>PRAGMA</t>
        </is>
      </c>
      <c r="B5950" t="inlineStr">
        <is>
          <t>M1</t>
        </is>
      </c>
      <c r="C5950" t="inlineStr">
        <is>
          <t>Cali</t>
        </is>
      </c>
      <c r="D5950" t="inlineStr">
        <is>
          <t>8986</t>
        </is>
      </c>
      <c r="E5950" t="inlineStr">
        <is>
          <t>pagado</t>
        </is>
      </c>
      <c r="F5950" s="23" t="n">
        <v>46273</v>
      </c>
      <c r="G5950" s="24">
        <f>F5950-DATE(2026,8,31)</f>
        <v>8</v>
      </c>
      <c r="H5950" s="25" t="n">
        <v>111576929</v>
      </c>
      <c r="I5950" t="inlineStr">
        <is>
          <t>entidad-dia</t>
        </is>
      </c>
    </row>
    <row r="5951">
      <c r="A5951" t="inlineStr">
        <is>
          <t>PRAGMA</t>
        </is>
      </c>
      <c r="B5951" t="inlineStr">
        <is>
          <t>M1</t>
        </is>
      </c>
      <c r="C5951" t="inlineStr">
        <is>
          <t>Cali</t>
        </is>
      </c>
      <c r="D5951" t="inlineStr">
        <is>
          <t>8986</t>
        </is>
      </c>
      <c r="E5951" t="inlineStr">
        <is>
          <t>pagado</t>
        </is>
      </c>
      <c r="F5951" s="23" t="n">
        <v>46274</v>
      </c>
      <c r="G5951" s="24">
        <f>F5951-DATE(2026,8,31)</f>
        <v>9</v>
      </c>
      <c r="H5951" s="25" t="n">
        <v>106253366</v>
      </c>
      <c r="I5951" t="inlineStr">
        <is>
          <t>entidad-dia</t>
        </is>
      </c>
    </row>
    <row r="5952">
      <c r="A5952" t="inlineStr">
        <is>
          <t>PRAGMA</t>
        </is>
      </c>
      <c r="B5952" t="inlineStr">
        <is>
          <t>M1</t>
        </is>
      </c>
      <c r="C5952" t="inlineStr">
        <is>
          <t>Cali</t>
        </is>
      </c>
      <c r="D5952" t="inlineStr">
        <is>
          <t>8986</t>
        </is>
      </c>
      <c r="E5952" t="inlineStr">
        <is>
          <t>pagado</t>
        </is>
      </c>
      <c r="F5952" s="23" t="n">
        <v>46275</v>
      </c>
      <c r="G5952" s="24">
        <f>F5952-DATE(2026,8,31)</f>
        <v>10</v>
      </c>
      <c r="H5952" s="25" t="n">
        <v>96483873</v>
      </c>
      <c r="I5952" t="inlineStr">
        <is>
          <t>entidad-dia</t>
        </is>
      </c>
    </row>
    <row r="5953">
      <c r="A5953" t="inlineStr">
        <is>
          <t>PRAGMA</t>
        </is>
      </c>
      <c r="B5953" t="inlineStr">
        <is>
          <t>M1</t>
        </is>
      </c>
      <c r="C5953" t="inlineStr">
        <is>
          <t>Cali</t>
        </is>
      </c>
      <c r="D5953" t="inlineStr">
        <is>
          <t>8986</t>
        </is>
      </c>
      <c r="E5953" t="inlineStr">
        <is>
          <t>pagado</t>
        </is>
      </c>
      <c r="F5953" s="23" t="n">
        <v>46276</v>
      </c>
      <c r="G5953" s="24">
        <f>F5953-DATE(2026,8,31)</f>
        <v>11</v>
      </c>
      <c r="H5953" s="25" t="n">
        <v>97342734</v>
      </c>
      <c r="I5953" t="inlineStr">
        <is>
          <t>entidad-dia</t>
        </is>
      </c>
    </row>
    <row r="5954">
      <c r="A5954" t="inlineStr">
        <is>
          <t>PRAGMA</t>
        </is>
      </c>
      <c r="B5954" t="inlineStr">
        <is>
          <t>M1</t>
        </is>
      </c>
      <c r="C5954" t="inlineStr">
        <is>
          <t>Cali</t>
        </is>
      </c>
      <c r="D5954" t="inlineStr">
        <is>
          <t>8986</t>
        </is>
      </c>
      <c r="E5954" t="inlineStr">
        <is>
          <t>pagado</t>
        </is>
      </c>
      <c r="F5954" s="23" t="n">
        <v>46277</v>
      </c>
      <c r="G5954" s="24">
        <f>F5954-DATE(2026,8,31)</f>
        <v>12</v>
      </c>
      <c r="H5954" s="25" t="n">
        <v>112788548</v>
      </c>
      <c r="I5954" t="inlineStr">
        <is>
          <t>entidad-dia</t>
        </is>
      </c>
    </row>
    <row r="5955">
      <c r="A5955" t="inlineStr">
        <is>
          <t>PRAGMA</t>
        </is>
      </c>
      <c r="B5955" t="inlineStr">
        <is>
          <t>M1</t>
        </is>
      </c>
      <c r="C5955" t="inlineStr">
        <is>
          <t>Cali</t>
        </is>
      </c>
      <c r="D5955" t="inlineStr">
        <is>
          <t>8986</t>
        </is>
      </c>
      <c r="E5955" t="inlineStr">
        <is>
          <t>pagado</t>
        </is>
      </c>
      <c r="F5955" s="23" t="n">
        <v>46278</v>
      </c>
      <c r="G5955" s="24">
        <f>F5955-DATE(2026,8,31)</f>
        <v>13</v>
      </c>
      <c r="H5955" s="25" t="n">
        <v>83623809</v>
      </c>
      <c r="I5955" t="inlineStr">
        <is>
          <t>entidad-dia</t>
        </is>
      </c>
    </row>
    <row r="5956">
      <c r="A5956" t="inlineStr">
        <is>
          <t>PRAGMA</t>
        </is>
      </c>
      <c r="B5956" t="inlineStr">
        <is>
          <t>M1</t>
        </is>
      </c>
      <c r="C5956" t="inlineStr">
        <is>
          <t>Cali</t>
        </is>
      </c>
      <c r="D5956" t="inlineStr">
        <is>
          <t>8986</t>
        </is>
      </c>
      <c r="E5956" t="inlineStr">
        <is>
          <t>pagado</t>
        </is>
      </c>
      <c r="F5956" s="23" t="n">
        <v>46279</v>
      </c>
      <c r="G5956" s="24">
        <f>F5956-DATE(2026,8,31)</f>
        <v>14</v>
      </c>
      <c r="H5956" s="25" t="n">
        <v>106593030</v>
      </c>
      <c r="I5956" t="inlineStr">
        <is>
          <t>entidad-dia</t>
        </is>
      </c>
    </row>
    <row r="5957">
      <c r="A5957" t="inlineStr">
        <is>
          <t>PRAGMA</t>
        </is>
      </c>
      <c r="B5957" t="inlineStr">
        <is>
          <t>M1</t>
        </is>
      </c>
      <c r="C5957" t="inlineStr">
        <is>
          <t>Cali</t>
        </is>
      </c>
      <c r="D5957" t="inlineStr">
        <is>
          <t>8986</t>
        </is>
      </c>
      <c r="E5957" t="inlineStr">
        <is>
          <t>pagado</t>
        </is>
      </c>
      <c r="F5957" s="23" t="n">
        <v>46280</v>
      </c>
      <c r="G5957" s="24">
        <f>F5957-DATE(2026,8,31)</f>
        <v>15</v>
      </c>
      <c r="H5957" s="25" t="n">
        <v>140044186</v>
      </c>
      <c r="I5957" t="inlineStr">
        <is>
          <t>entidad-dia</t>
        </is>
      </c>
    </row>
    <row r="5958">
      <c r="A5958" t="inlineStr">
        <is>
          <t>PRAGMA</t>
        </is>
      </c>
      <c r="B5958" t="inlineStr">
        <is>
          <t>M1</t>
        </is>
      </c>
      <c r="C5958" t="inlineStr">
        <is>
          <t>Cali</t>
        </is>
      </c>
      <c r="D5958" t="inlineStr">
        <is>
          <t>8987</t>
        </is>
      </c>
      <c r="E5958" t="inlineStr">
        <is>
          <t>pagado</t>
        </is>
      </c>
      <c r="F5958" s="23" t="n">
        <v>46266</v>
      </c>
      <c r="G5958" s="24">
        <f>F5958-DATE(2026,8,31)</f>
        <v>1</v>
      </c>
      <c r="H5958" s="25" t="n">
        <v>195914595</v>
      </c>
      <c r="I5958" t="inlineStr">
        <is>
          <t>entidad-dia</t>
        </is>
      </c>
    </row>
    <row r="5959">
      <c r="A5959" t="inlineStr">
        <is>
          <t>PRAGMA</t>
        </is>
      </c>
      <c r="B5959" t="inlineStr">
        <is>
          <t>M1</t>
        </is>
      </c>
      <c r="C5959" t="inlineStr">
        <is>
          <t>Cali</t>
        </is>
      </c>
      <c r="D5959" t="inlineStr">
        <is>
          <t>8987</t>
        </is>
      </c>
      <c r="E5959" t="inlineStr">
        <is>
          <t>pagado</t>
        </is>
      </c>
      <c r="F5959" s="23" t="n">
        <v>46267</v>
      </c>
      <c r="G5959" s="24">
        <f>F5959-DATE(2026,8,31)</f>
        <v>2</v>
      </c>
      <c r="H5959" s="25" t="n">
        <v>156212798</v>
      </c>
      <c r="I5959" t="inlineStr">
        <is>
          <t>entidad-dia</t>
        </is>
      </c>
    </row>
    <row r="5960">
      <c r="A5960" t="inlineStr">
        <is>
          <t>PRAGMA</t>
        </is>
      </c>
      <c r="B5960" t="inlineStr">
        <is>
          <t>M1</t>
        </is>
      </c>
      <c r="C5960" t="inlineStr">
        <is>
          <t>Cali</t>
        </is>
      </c>
      <c r="D5960" t="inlineStr">
        <is>
          <t>8987</t>
        </is>
      </c>
      <c r="E5960" t="inlineStr">
        <is>
          <t>pagado</t>
        </is>
      </c>
      <c r="F5960" s="23" t="n">
        <v>46268</v>
      </c>
      <c r="G5960" s="24">
        <f>F5960-DATE(2026,8,31)</f>
        <v>3</v>
      </c>
      <c r="H5960" s="25" t="n">
        <v>138871372</v>
      </c>
      <c r="I5960" t="inlineStr">
        <is>
          <t>entidad-dia</t>
        </is>
      </c>
    </row>
    <row r="5961">
      <c r="A5961" t="inlineStr">
        <is>
          <t>PRAGMA</t>
        </is>
      </c>
      <c r="B5961" t="inlineStr">
        <is>
          <t>M1</t>
        </is>
      </c>
      <c r="C5961" t="inlineStr">
        <is>
          <t>Cali</t>
        </is>
      </c>
      <c r="D5961" t="inlineStr">
        <is>
          <t>8987</t>
        </is>
      </c>
      <c r="E5961" t="inlineStr">
        <is>
          <t>pagado</t>
        </is>
      </c>
      <c r="F5961" s="23" t="n">
        <v>46269</v>
      </c>
      <c r="G5961" s="24">
        <f>F5961-DATE(2026,8,31)</f>
        <v>4</v>
      </c>
      <c r="H5961" s="25" t="n">
        <v>150480328</v>
      </c>
      <c r="I5961" t="inlineStr">
        <is>
          <t>entidad-dia</t>
        </is>
      </c>
    </row>
    <row r="5962">
      <c r="A5962" t="inlineStr">
        <is>
          <t>PRAGMA</t>
        </is>
      </c>
      <c r="B5962" t="inlineStr">
        <is>
          <t>M1</t>
        </is>
      </c>
      <c r="C5962" t="inlineStr">
        <is>
          <t>Cali</t>
        </is>
      </c>
      <c r="D5962" t="inlineStr">
        <is>
          <t>8987</t>
        </is>
      </c>
      <c r="E5962" t="inlineStr">
        <is>
          <t>pagado</t>
        </is>
      </c>
      <c r="F5962" s="23" t="n">
        <v>46270</v>
      </c>
      <c r="G5962" s="24">
        <f>F5962-DATE(2026,8,31)</f>
        <v>5</v>
      </c>
      <c r="H5962" s="25" t="n">
        <v>157944121</v>
      </c>
      <c r="I5962" t="inlineStr">
        <is>
          <t>entidad-dia</t>
        </is>
      </c>
    </row>
    <row r="5963">
      <c r="A5963" t="inlineStr">
        <is>
          <t>PRAGMA</t>
        </is>
      </c>
      <c r="B5963" t="inlineStr">
        <is>
          <t>M1</t>
        </is>
      </c>
      <c r="C5963" t="inlineStr">
        <is>
          <t>Cali</t>
        </is>
      </c>
      <c r="D5963" t="inlineStr">
        <is>
          <t>8987</t>
        </is>
      </c>
      <c r="E5963" t="inlineStr">
        <is>
          <t>pagado</t>
        </is>
      </c>
      <c r="F5963" s="23" t="n">
        <v>46271</v>
      </c>
      <c r="G5963" s="24">
        <f>F5963-DATE(2026,8,31)</f>
        <v>6</v>
      </c>
      <c r="H5963" s="25" t="n">
        <v>122678315</v>
      </c>
      <c r="I5963" t="inlineStr">
        <is>
          <t>entidad-dia</t>
        </is>
      </c>
    </row>
    <row r="5964">
      <c r="A5964" t="inlineStr">
        <is>
          <t>PRAGMA</t>
        </is>
      </c>
      <c r="B5964" t="inlineStr">
        <is>
          <t>M1</t>
        </is>
      </c>
      <c r="C5964" t="inlineStr">
        <is>
          <t>Cali</t>
        </is>
      </c>
      <c r="D5964" t="inlineStr">
        <is>
          <t>8987</t>
        </is>
      </c>
      <c r="E5964" t="inlineStr">
        <is>
          <t>pagado</t>
        </is>
      </c>
      <c r="F5964" s="23" t="n">
        <v>46272</v>
      </c>
      <c r="G5964" s="24">
        <f>F5964-DATE(2026,8,31)</f>
        <v>7</v>
      </c>
      <c r="H5964" s="25" t="n">
        <v>123758639</v>
      </c>
      <c r="I5964" t="inlineStr">
        <is>
          <t>entidad-dia</t>
        </is>
      </c>
    </row>
    <row r="5965">
      <c r="A5965" t="inlineStr">
        <is>
          <t>PRAGMA</t>
        </is>
      </c>
      <c r="B5965" t="inlineStr">
        <is>
          <t>M1</t>
        </is>
      </c>
      <c r="C5965" t="inlineStr">
        <is>
          <t>Cali</t>
        </is>
      </c>
      <c r="D5965" t="inlineStr">
        <is>
          <t>8987</t>
        </is>
      </c>
      <c r="E5965" t="inlineStr">
        <is>
          <t>pagado</t>
        </is>
      </c>
      <c r="F5965" s="23" t="n">
        <v>46273</v>
      </c>
      <c r="G5965" s="24">
        <f>F5965-DATE(2026,8,31)</f>
        <v>8</v>
      </c>
      <c r="H5965" s="25" t="n">
        <v>117745612</v>
      </c>
      <c r="I5965" t="inlineStr">
        <is>
          <t>entidad-dia</t>
        </is>
      </c>
    </row>
    <row r="5966">
      <c r="A5966" t="inlineStr">
        <is>
          <t>PRAGMA</t>
        </is>
      </c>
      <c r="B5966" t="inlineStr">
        <is>
          <t>M1</t>
        </is>
      </c>
      <c r="C5966" t="inlineStr">
        <is>
          <t>Cali</t>
        </is>
      </c>
      <c r="D5966" t="inlineStr">
        <is>
          <t>8987</t>
        </is>
      </c>
      <c r="E5966" t="inlineStr">
        <is>
          <t>pagado</t>
        </is>
      </c>
      <c r="F5966" s="23" t="n">
        <v>46274</v>
      </c>
      <c r="G5966" s="24">
        <f>F5966-DATE(2026,8,31)</f>
        <v>9</v>
      </c>
      <c r="H5966" s="25" t="n">
        <v>115125057</v>
      </c>
      <c r="I5966" t="inlineStr">
        <is>
          <t>entidad-dia</t>
        </is>
      </c>
    </row>
    <row r="5967">
      <c r="A5967" t="inlineStr">
        <is>
          <t>PRAGMA</t>
        </is>
      </c>
      <c r="B5967" t="inlineStr">
        <is>
          <t>M1</t>
        </is>
      </c>
      <c r="C5967" t="inlineStr">
        <is>
          <t>Cali</t>
        </is>
      </c>
      <c r="D5967" t="inlineStr">
        <is>
          <t>8987</t>
        </is>
      </c>
      <c r="E5967" t="inlineStr">
        <is>
          <t>pagado</t>
        </is>
      </c>
      <c r="F5967" s="23" t="n">
        <v>46275</v>
      </c>
      <c r="G5967" s="24">
        <f>F5967-DATE(2026,8,31)</f>
        <v>10</v>
      </c>
      <c r="H5967" s="25" t="n">
        <v>101544114</v>
      </c>
      <c r="I5967" t="inlineStr">
        <is>
          <t>entidad-dia</t>
        </is>
      </c>
    </row>
    <row r="5968">
      <c r="A5968" t="inlineStr">
        <is>
          <t>PRAGMA</t>
        </is>
      </c>
      <c r="B5968" t="inlineStr">
        <is>
          <t>M1</t>
        </is>
      </c>
      <c r="C5968" t="inlineStr">
        <is>
          <t>Cali</t>
        </is>
      </c>
      <c r="D5968" t="inlineStr">
        <is>
          <t>8987</t>
        </is>
      </c>
      <c r="E5968" t="inlineStr">
        <is>
          <t>pagado</t>
        </is>
      </c>
      <c r="F5968" s="23" t="n">
        <v>46276</v>
      </c>
      <c r="G5968" s="24">
        <f>F5968-DATE(2026,8,31)</f>
        <v>11</v>
      </c>
      <c r="H5968" s="25" t="n">
        <v>124989784</v>
      </c>
      <c r="I5968" t="inlineStr">
        <is>
          <t>entidad-dia</t>
        </is>
      </c>
    </row>
    <row r="5969">
      <c r="A5969" t="inlineStr">
        <is>
          <t>PRAGMA</t>
        </is>
      </c>
      <c r="B5969" t="inlineStr">
        <is>
          <t>M1</t>
        </is>
      </c>
      <c r="C5969" t="inlineStr">
        <is>
          <t>Cali</t>
        </is>
      </c>
      <c r="D5969" t="inlineStr">
        <is>
          <t>8987</t>
        </is>
      </c>
      <c r="E5969" t="inlineStr">
        <is>
          <t>pagado</t>
        </is>
      </c>
      <c r="F5969" s="23" t="n">
        <v>46277</v>
      </c>
      <c r="G5969" s="24">
        <f>F5969-DATE(2026,8,31)</f>
        <v>12</v>
      </c>
      <c r="H5969" s="25" t="n">
        <v>126183760</v>
      </c>
      <c r="I5969" t="inlineStr">
        <is>
          <t>entidad-dia</t>
        </is>
      </c>
    </row>
    <row r="5970">
      <c r="A5970" t="inlineStr">
        <is>
          <t>PRAGMA</t>
        </is>
      </c>
      <c r="B5970" t="inlineStr">
        <is>
          <t>M1</t>
        </is>
      </c>
      <c r="C5970" t="inlineStr">
        <is>
          <t>Cali</t>
        </is>
      </c>
      <c r="D5970" t="inlineStr">
        <is>
          <t>8987</t>
        </is>
      </c>
      <c r="E5970" t="inlineStr">
        <is>
          <t>pagado</t>
        </is>
      </c>
      <c r="F5970" s="23" t="n">
        <v>46278</v>
      </c>
      <c r="G5970" s="24">
        <f>F5970-DATE(2026,8,31)</f>
        <v>13</v>
      </c>
      <c r="H5970" s="25" t="n">
        <v>93736498</v>
      </c>
      <c r="I5970" t="inlineStr">
        <is>
          <t>entidad-dia</t>
        </is>
      </c>
    </row>
    <row r="5971">
      <c r="A5971" t="inlineStr">
        <is>
          <t>PRAGMA</t>
        </is>
      </c>
      <c r="B5971" t="inlineStr">
        <is>
          <t>M1</t>
        </is>
      </c>
      <c r="C5971" t="inlineStr">
        <is>
          <t>Cali</t>
        </is>
      </c>
      <c r="D5971" t="inlineStr">
        <is>
          <t>8987</t>
        </is>
      </c>
      <c r="E5971" t="inlineStr">
        <is>
          <t>pagado</t>
        </is>
      </c>
      <c r="F5971" s="23" t="n">
        <v>46279</v>
      </c>
      <c r="G5971" s="24">
        <f>F5971-DATE(2026,8,31)</f>
        <v>14</v>
      </c>
      <c r="H5971" s="25" t="n">
        <v>104787243</v>
      </c>
      <c r="I5971" t="inlineStr">
        <is>
          <t>entidad-dia</t>
        </is>
      </c>
    </row>
    <row r="5972">
      <c r="A5972" t="inlineStr">
        <is>
          <t>PRAGMA</t>
        </is>
      </c>
      <c r="B5972" t="inlineStr">
        <is>
          <t>M1</t>
        </is>
      </c>
      <c r="C5972" t="inlineStr">
        <is>
          <t>Cali</t>
        </is>
      </c>
      <c r="D5972" t="inlineStr">
        <is>
          <t>8987</t>
        </is>
      </c>
      <c r="E5972" t="inlineStr">
        <is>
          <t>pagado</t>
        </is>
      </c>
      <c r="F5972" s="23" t="n">
        <v>46280</v>
      </c>
      <c r="G5972" s="24">
        <f>F5972-DATE(2026,8,31)</f>
        <v>15</v>
      </c>
      <c r="H5972" s="25" t="n">
        <v>146172341</v>
      </c>
      <c r="I5972" t="inlineStr">
        <is>
          <t>entidad-dia</t>
        </is>
      </c>
    </row>
    <row r="5973">
      <c r="A5973" t="inlineStr">
        <is>
          <t>PRAGMA</t>
        </is>
      </c>
      <c r="B5973" t="inlineStr">
        <is>
          <t>M1</t>
        </is>
      </c>
      <c r="C5973" t="inlineStr">
        <is>
          <t>Cali</t>
        </is>
      </c>
      <c r="D5973" t="inlineStr">
        <is>
          <t>8991</t>
        </is>
      </c>
      <c r="E5973" t="inlineStr">
        <is>
          <t>pagado</t>
        </is>
      </c>
      <c r="F5973" s="23" t="n">
        <v>46266</v>
      </c>
      <c r="G5973" s="24">
        <f>F5973-DATE(2026,8,31)</f>
        <v>1</v>
      </c>
      <c r="H5973" s="25" t="n">
        <v>41397663</v>
      </c>
      <c r="I5973" t="inlineStr">
        <is>
          <t>entidad-dia</t>
        </is>
      </c>
    </row>
    <row r="5974">
      <c r="A5974" t="inlineStr">
        <is>
          <t>PRAGMA</t>
        </is>
      </c>
      <c r="B5974" t="inlineStr">
        <is>
          <t>M1</t>
        </is>
      </c>
      <c r="C5974" t="inlineStr">
        <is>
          <t>Cali</t>
        </is>
      </c>
      <c r="D5974" t="inlineStr">
        <is>
          <t>8991</t>
        </is>
      </c>
      <c r="E5974" t="inlineStr">
        <is>
          <t>pagado</t>
        </is>
      </c>
      <c r="F5974" s="23" t="n">
        <v>46267</v>
      </c>
      <c r="G5974" s="24">
        <f>F5974-DATE(2026,8,31)</f>
        <v>2</v>
      </c>
      <c r="H5974" s="25" t="n">
        <v>25705436</v>
      </c>
      <c r="I5974" t="inlineStr">
        <is>
          <t>entidad-dia</t>
        </is>
      </c>
    </row>
    <row r="5975">
      <c r="A5975" t="inlineStr">
        <is>
          <t>PRAGMA</t>
        </is>
      </c>
      <c r="B5975" t="inlineStr">
        <is>
          <t>M1</t>
        </is>
      </c>
      <c r="C5975" t="inlineStr">
        <is>
          <t>Cali</t>
        </is>
      </c>
      <c r="D5975" t="inlineStr">
        <is>
          <t>8991</t>
        </is>
      </c>
      <c r="E5975" t="inlineStr">
        <is>
          <t>pagado</t>
        </is>
      </c>
      <c r="F5975" s="23" t="n">
        <v>46268</v>
      </c>
      <c r="G5975" s="24">
        <f>F5975-DATE(2026,8,31)</f>
        <v>3</v>
      </c>
      <c r="H5975" s="25" t="n">
        <v>22874589</v>
      </c>
      <c r="I5975" t="inlineStr">
        <is>
          <t>entidad-dia</t>
        </is>
      </c>
    </row>
    <row r="5976">
      <c r="A5976" t="inlineStr">
        <is>
          <t>PRAGMA</t>
        </is>
      </c>
      <c r="B5976" t="inlineStr">
        <is>
          <t>M1</t>
        </is>
      </c>
      <c r="C5976" t="inlineStr">
        <is>
          <t>Cali</t>
        </is>
      </c>
      <c r="D5976" t="inlineStr">
        <is>
          <t>8991</t>
        </is>
      </c>
      <c r="E5976" t="inlineStr">
        <is>
          <t>pagado</t>
        </is>
      </c>
      <c r="F5976" s="23" t="n">
        <v>46269</v>
      </c>
      <c r="G5976" s="24">
        <f>F5976-DATE(2026,8,31)</f>
        <v>4</v>
      </c>
      <c r="H5976" s="25" t="n">
        <v>21691763</v>
      </c>
      <c r="I5976" t="inlineStr">
        <is>
          <t>entidad-dia</t>
        </is>
      </c>
    </row>
    <row r="5977">
      <c r="A5977" t="inlineStr">
        <is>
          <t>PRAGMA</t>
        </is>
      </c>
      <c r="B5977" t="inlineStr">
        <is>
          <t>M1</t>
        </is>
      </c>
      <c r="C5977" t="inlineStr">
        <is>
          <t>Cali</t>
        </is>
      </c>
      <c r="D5977" t="inlineStr">
        <is>
          <t>8991</t>
        </is>
      </c>
      <c r="E5977" t="inlineStr">
        <is>
          <t>pagado</t>
        </is>
      </c>
      <c r="F5977" s="23" t="n">
        <v>46270</v>
      </c>
      <c r="G5977" s="24">
        <f>F5977-DATE(2026,8,31)</f>
        <v>5</v>
      </c>
      <c r="H5977" s="25" t="n">
        <v>20248943</v>
      </c>
      <c r="I5977" t="inlineStr">
        <is>
          <t>entidad-dia</t>
        </is>
      </c>
    </row>
    <row r="5978">
      <c r="A5978" t="inlineStr">
        <is>
          <t>PRAGMA</t>
        </is>
      </c>
      <c r="B5978" t="inlineStr">
        <is>
          <t>M1</t>
        </is>
      </c>
      <c r="C5978" t="inlineStr">
        <is>
          <t>Cali</t>
        </is>
      </c>
      <c r="D5978" t="inlineStr">
        <is>
          <t>8991</t>
        </is>
      </c>
      <c r="E5978" t="inlineStr">
        <is>
          <t>pagado</t>
        </is>
      </c>
      <c r="F5978" s="23" t="n">
        <v>46271</v>
      </c>
      <c r="G5978" s="24">
        <f>F5978-DATE(2026,8,31)</f>
        <v>6</v>
      </c>
      <c r="H5978" s="25" t="n">
        <v>1721926</v>
      </c>
      <c r="I5978" t="inlineStr">
        <is>
          <t>entidad-dia</t>
        </is>
      </c>
    </row>
    <row r="5979">
      <c r="A5979" t="inlineStr">
        <is>
          <t>PRAGMA</t>
        </is>
      </c>
      <c r="B5979" t="inlineStr">
        <is>
          <t>M1</t>
        </is>
      </c>
      <c r="C5979" t="inlineStr">
        <is>
          <t>Cali</t>
        </is>
      </c>
      <c r="D5979" t="inlineStr">
        <is>
          <t>8991</t>
        </is>
      </c>
      <c r="E5979" t="inlineStr">
        <is>
          <t>pagado</t>
        </is>
      </c>
      <c r="F5979" s="23" t="n">
        <v>46272</v>
      </c>
      <c r="G5979" s="24">
        <f>F5979-DATE(2026,8,31)</f>
        <v>7</v>
      </c>
      <c r="H5979" s="25" t="n">
        <v>17854360</v>
      </c>
      <c r="I5979" t="inlineStr">
        <is>
          <t>entidad-dia</t>
        </is>
      </c>
    </row>
    <row r="5980">
      <c r="A5980" t="inlineStr">
        <is>
          <t>PRAGMA</t>
        </is>
      </c>
      <c r="B5980" t="inlineStr">
        <is>
          <t>M1</t>
        </is>
      </c>
      <c r="C5980" t="inlineStr">
        <is>
          <t>Cali</t>
        </is>
      </c>
      <c r="D5980" t="inlineStr">
        <is>
          <t>8991</t>
        </is>
      </c>
      <c r="E5980" t="inlineStr">
        <is>
          <t>pagado</t>
        </is>
      </c>
      <c r="F5980" s="23" t="n">
        <v>46273</v>
      </c>
      <c r="G5980" s="24">
        <f>F5980-DATE(2026,8,31)</f>
        <v>8</v>
      </c>
      <c r="H5980" s="25" t="n">
        <v>14581805</v>
      </c>
      <c r="I5980" t="inlineStr">
        <is>
          <t>entidad-dia</t>
        </is>
      </c>
    </row>
    <row r="5981">
      <c r="A5981" t="inlineStr">
        <is>
          <t>PRAGMA</t>
        </is>
      </c>
      <c r="B5981" t="inlineStr">
        <is>
          <t>M1</t>
        </is>
      </c>
      <c r="C5981" t="inlineStr">
        <is>
          <t>Cali</t>
        </is>
      </c>
      <c r="D5981" t="inlineStr">
        <is>
          <t>8991</t>
        </is>
      </c>
      <c r="E5981" t="inlineStr">
        <is>
          <t>pagado</t>
        </is>
      </c>
      <c r="F5981" s="23" t="n">
        <v>46274</v>
      </c>
      <c r="G5981" s="24">
        <f>F5981-DATE(2026,8,31)</f>
        <v>9</v>
      </c>
      <c r="H5981" s="25" t="n">
        <v>13519087</v>
      </c>
      <c r="I5981" t="inlineStr">
        <is>
          <t>entidad-dia</t>
        </is>
      </c>
    </row>
    <row r="5982">
      <c r="A5982" t="inlineStr">
        <is>
          <t>PRAGMA</t>
        </is>
      </c>
      <c r="B5982" t="inlineStr">
        <is>
          <t>M1</t>
        </is>
      </c>
      <c r="C5982" t="inlineStr">
        <is>
          <t>Cali</t>
        </is>
      </c>
      <c r="D5982" t="inlineStr">
        <is>
          <t>8991</t>
        </is>
      </c>
      <c r="E5982" t="inlineStr">
        <is>
          <t>pagado</t>
        </is>
      </c>
      <c r="F5982" s="23" t="n">
        <v>46275</v>
      </c>
      <c r="G5982" s="24">
        <f>F5982-DATE(2026,8,31)</f>
        <v>10</v>
      </c>
      <c r="H5982" s="25" t="n">
        <v>12659466</v>
      </c>
      <c r="I5982" t="inlineStr">
        <is>
          <t>entidad-dia</t>
        </is>
      </c>
    </row>
    <row r="5983">
      <c r="A5983" t="inlineStr">
        <is>
          <t>PRAGMA</t>
        </is>
      </c>
      <c r="B5983" t="inlineStr">
        <is>
          <t>M1</t>
        </is>
      </c>
      <c r="C5983" t="inlineStr">
        <is>
          <t>Cali</t>
        </is>
      </c>
      <c r="D5983" t="inlineStr">
        <is>
          <t>8991</t>
        </is>
      </c>
      <c r="E5983" t="inlineStr">
        <is>
          <t>pagado</t>
        </is>
      </c>
      <c r="F5983" s="23" t="n">
        <v>46276</v>
      </c>
      <c r="G5983" s="24">
        <f>F5983-DATE(2026,8,31)</f>
        <v>11</v>
      </c>
      <c r="H5983" s="25" t="n">
        <v>15294508</v>
      </c>
      <c r="I5983" t="inlineStr">
        <is>
          <t>entidad-dia</t>
        </is>
      </c>
    </row>
    <row r="5984">
      <c r="A5984" t="inlineStr">
        <is>
          <t>PRAGMA</t>
        </is>
      </c>
      <c r="B5984" t="inlineStr">
        <is>
          <t>M1</t>
        </is>
      </c>
      <c r="C5984" t="inlineStr">
        <is>
          <t>Cali</t>
        </is>
      </c>
      <c r="D5984" t="inlineStr">
        <is>
          <t>8991</t>
        </is>
      </c>
      <c r="E5984" t="inlineStr">
        <is>
          <t>pagado</t>
        </is>
      </c>
      <c r="F5984" s="23" t="n">
        <v>46277</v>
      </c>
      <c r="G5984" s="24">
        <f>F5984-DATE(2026,8,31)</f>
        <v>12</v>
      </c>
      <c r="H5984" s="25" t="n">
        <v>20592755</v>
      </c>
      <c r="I5984" t="inlineStr">
        <is>
          <t>entidad-dia</t>
        </is>
      </c>
    </row>
    <row r="5985">
      <c r="A5985" t="inlineStr">
        <is>
          <t>PRAGMA</t>
        </is>
      </c>
      <c r="B5985" t="inlineStr">
        <is>
          <t>M1</t>
        </is>
      </c>
      <c r="C5985" t="inlineStr">
        <is>
          <t>Cali</t>
        </is>
      </c>
      <c r="D5985" t="inlineStr">
        <is>
          <t>8991</t>
        </is>
      </c>
      <c r="E5985" t="inlineStr">
        <is>
          <t>pagado</t>
        </is>
      </c>
      <c r="F5985" s="23" t="n">
        <v>46278</v>
      </c>
      <c r="G5985" s="24">
        <f>F5985-DATE(2026,8,31)</f>
        <v>13</v>
      </c>
      <c r="H5985" s="25" t="n">
        <v>1435372</v>
      </c>
      <c r="I5985" t="inlineStr">
        <is>
          <t>entidad-dia</t>
        </is>
      </c>
    </row>
    <row r="5986">
      <c r="A5986" t="inlineStr">
        <is>
          <t>PRAGMA</t>
        </is>
      </c>
      <c r="B5986" t="inlineStr">
        <is>
          <t>M1</t>
        </is>
      </c>
      <c r="C5986" t="inlineStr">
        <is>
          <t>Cali</t>
        </is>
      </c>
      <c r="D5986" t="inlineStr">
        <is>
          <t>8991</t>
        </is>
      </c>
      <c r="E5986" t="inlineStr">
        <is>
          <t>pagado</t>
        </is>
      </c>
      <c r="F5986" s="23" t="n">
        <v>46279</v>
      </c>
      <c r="G5986" s="24">
        <f>F5986-DATE(2026,8,31)</f>
        <v>14</v>
      </c>
      <c r="H5986" s="25" t="n">
        <v>20867206</v>
      </c>
      <c r="I5986" t="inlineStr">
        <is>
          <t>entidad-dia</t>
        </is>
      </c>
    </row>
    <row r="5987">
      <c r="A5987" t="inlineStr">
        <is>
          <t>PRAGMA</t>
        </is>
      </c>
      <c r="B5987" t="inlineStr">
        <is>
          <t>M1</t>
        </is>
      </c>
      <c r="C5987" t="inlineStr">
        <is>
          <t>Cali</t>
        </is>
      </c>
      <c r="D5987" t="inlineStr">
        <is>
          <t>8991</t>
        </is>
      </c>
      <c r="E5987" t="inlineStr">
        <is>
          <t>pagado</t>
        </is>
      </c>
      <c r="F5987" s="23" t="n">
        <v>46280</v>
      </c>
      <c r="G5987" s="24">
        <f>F5987-DATE(2026,8,31)</f>
        <v>15</v>
      </c>
      <c r="H5987" s="25" t="n">
        <v>55941046</v>
      </c>
      <c r="I5987" t="inlineStr">
        <is>
          <t>entidad-dia</t>
        </is>
      </c>
    </row>
    <row r="5988">
      <c r="A5988" t="inlineStr">
        <is>
          <t>PRAGMA</t>
        </is>
      </c>
      <c r="B5988" t="inlineStr">
        <is>
          <t>M1</t>
        </is>
      </c>
      <c r="C5988" t="inlineStr">
        <is>
          <t>Cali</t>
        </is>
      </c>
      <c r="D5988" t="inlineStr">
        <is>
          <t>9010</t>
        </is>
      </c>
      <c r="E5988" t="inlineStr">
        <is>
          <t>pagado</t>
        </is>
      </c>
      <c r="F5988" s="23" t="n">
        <v>46266</v>
      </c>
      <c r="G5988" s="24">
        <f>F5988-DATE(2026,8,31)</f>
        <v>1</v>
      </c>
      <c r="H5988" s="25" t="n">
        <v>152558442</v>
      </c>
      <c r="I5988" t="inlineStr">
        <is>
          <t>entidad-dia</t>
        </is>
      </c>
    </row>
    <row r="5989">
      <c r="A5989" t="inlineStr">
        <is>
          <t>PRAGMA</t>
        </is>
      </c>
      <c r="B5989" t="inlineStr">
        <is>
          <t>M1</t>
        </is>
      </c>
      <c r="C5989" t="inlineStr">
        <is>
          <t>Cali</t>
        </is>
      </c>
      <c r="D5989" t="inlineStr">
        <is>
          <t>9010</t>
        </is>
      </c>
      <c r="E5989" t="inlineStr">
        <is>
          <t>pagado</t>
        </is>
      </c>
      <c r="F5989" s="23" t="n">
        <v>46267</v>
      </c>
      <c r="G5989" s="24">
        <f>F5989-DATE(2026,8,31)</f>
        <v>2</v>
      </c>
      <c r="H5989" s="25" t="n">
        <v>121777764</v>
      </c>
      <c r="I5989" t="inlineStr">
        <is>
          <t>entidad-dia</t>
        </is>
      </c>
    </row>
    <row r="5990">
      <c r="A5990" t="inlineStr">
        <is>
          <t>PRAGMA</t>
        </is>
      </c>
      <c r="B5990" t="inlineStr">
        <is>
          <t>M1</t>
        </is>
      </c>
      <c r="C5990" t="inlineStr">
        <is>
          <t>Cali</t>
        </is>
      </c>
      <c r="D5990" t="inlineStr">
        <is>
          <t>9010</t>
        </is>
      </c>
      <c r="E5990" t="inlineStr">
        <is>
          <t>pagado</t>
        </is>
      </c>
      <c r="F5990" s="23" t="n">
        <v>46268</v>
      </c>
      <c r="G5990" s="24">
        <f>F5990-DATE(2026,8,31)</f>
        <v>3</v>
      </c>
      <c r="H5990" s="25" t="n">
        <v>115610076</v>
      </c>
      <c r="I5990" t="inlineStr">
        <is>
          <t>entidad-dia</t>
        </is>
      </c>
    </row>
    <row r="5991">
      <c r="A5991" t="inlineStr">
        <is>
          <t>PRAGMA</t>
        </is>
      </c>
      <c r="B5991" t="inlineStr">
        <is>
          <t>M1</t>
        </is>
      </c>
      <c r="C5991" t="inlineStr">
        <is>
          <t>Cali</t>
        </is>
      </c>
      <c r="D5991" t="inlineStr">
        <is>
          <t>9010</t>
        </is>
      </c>
      <c r="E5991" t="inlineStr">
        <is>
          <t>pagado</t>
        </is>
      </c>
      <c r="F5991" s="23" t="n">
        <v>46269</v>
      </c>
      <c r="G5991" s="24">
        <f>F5991-DATE(2026,8,31)</f>
        <v>4</v>
      </c>
      <c r="H5991" s="25" t="n">
        <v>113310731</v>
      </c>
      <c r="I5991" t="inlineStr">
        <is>
          <t>entidad-dia</t>
        </is>
      </c>
    </row>
    <row r="5992">
      <c r="A5992" t="inlineStr">
        <is>
          <t>PRAGMA</t>
        </is>
      </c>
      <c r="B5992" t="inlineStr">
        <is>
          <t>M1</t>
        </is>
      </c>
      <c r="C5992" t="inlineStr">
        <is>
          <t>Cali</t>
        </is>
      </c>
      <c r="D5992" t="inlineStr">
        <is>
          <t>9010</t>
        </is>
      </c>
      <c r="E5992" t="inlineStr">
        <is>
          <t>pagado</t>
        </is>
      </c>
      <c r="F5992" s="23" t="n">
        <v>46270</v>
      </c>
      <c r="G5992" s="24">
        <f>F5992-DATE(2026,8,31)</f>
        <v>5</v>
      </c>
      <c r="H5992" s="25" t="n">
        <v>104088555</v>
      </c>
      <c r="I5992" t="inlineStr">
        <is>
          <t>entidad-dia</t>
        </is>
      </c>
    </row>
    <row r="5993">
      <c r="A5993" t="inlineStr">
        <is>
          <t>PRAGMA</t>
        </is>
      </c>
      <c r="B5993" t="inlineStr">
        <is>
          <t>M1</t>
        </is>
      </c>
      <c r="C5993" t="inlineStr">
        <is>
          <t>Cali</t>
        </is>
      </c>
      <c r="D5993" t="inlineStr">
        <is>
          <t>9010</t>
        </is>
      </c>
      <c r="E5993" t="inlineStr">
        <is>
          <t>pagado</t>
        </is>
      </c>
      <c r="F5993" s="23" t="n">
        <v>46271</v>
      </c>
      <c r="G5993" s="24">
        <f>F5993-DATE(2026,8,31)</f>
        <v>6</v>
      </c>
      <c r="H5993" s="25" t="n">
        <v>24267304</v>
      </c>
      <c r="I5993" t="inlineStr">
        <is>
          <t>entidad-dia</t>
        </is>
      </c>
    </row>
    <row r="5994">
      <c r="A5994" t="inlineStr">
        <is>
          <t>PRAGMA</t>
        </is>
      </c>
      <c r="B5994" t="inlineStr">
        <is>
          <t>M1</t>
        </is>
      </c>
      <c r="C5994" t="inlineStr">
        <is>
          <t>Cali</t>
        </is>
      </c>
      <c r="D5994" t="inlineStr">
        <is>
          <t>9010</t>
        </is>
      </c>
      <c r="E5994" t="inlineStr">
        <is>
          <t>pagado</t>
        </is>
      </c>
      <c r="F5994" s="23" t="n">
        <v>46272</v>
      </c>
      <c r="G5994" s="24">
        <f>F5994-DATE(2026,8,31)</f>
        <v>7</v>
      </c>
      <c r="H5994" s="25" t="n">
        <v>80798308</v>
      </c>
      <c r="I5994" t="inlineStr">
        <is>
          <t>entidad-dia</t>
        </is>
      </c>
    </row>
    <row r="5995">
      <c r="A5995" t="inlineStr">
        <is>
          <t>PRAGMA</t>
        </is>
      </c>
      <c r="B5995" t="inlineStr">
        <is>
          <t>M1</t>
        </is>
      </c>
      <c r="C5995" t="inlineStr">
        <is>
          <t>Cali</t>
        </is>
      </c>
      <c r="D5995" t="inlineStr">
        <is>
          <t>9010</t>
        </is>
      </c>
      <c r="E5995" t="inlineStr">
        <is>
          <t>pagado</t>
        </is>
      </c>
      <c r="F5995" s="23" t="n">
        <v>46273</v>
      </c>
      <c r="G5995" s="24">
        <f>F5995-DATE(2026,8,31)</f>
        <v>8</v>
      </c>
      <c r="H5995" s="25" t="n">
        <v>97572423</v>
      </c>
      <c r="I5995" t="inlineStr">
        <is>
          <t>entidad-dia</t>
        </is>
      </c>
    </row>
    <row r="5996">
      <c r="A5996" t="inlineStr">
        <is>
          <t>PRAGMA</t>
        </is>
      </c>
      <c r="B5996" t="inlineStr">
        <is>
          <t>M1</t>
        </is>
      </c>
      <c r="C5996" t="inlineStr">
        <is>
          <t>Cali</t>
        </is>
      </c>
      <c r="D5996" t="inlineStr">
        <is>
          <t>9010</t>
        </is>
      </c>
      <c r="E5996" t="inlineStr">
        <is>
          <t>pagado</t>
        </is>
      </c>
      <c r="F5996" s="23" t="n">
        <v>46274</v>
      </c>
      <c r="G5996" s="24">
        <f>F5996-DATE(2026,8,31)</f>
        <v>9</v>
      </c>
      <c r="H5996" s="25" t="n">
        <v>102111901</v>
      </c>
      <c r="I5996" t="inlineStr">
        <is>
          <t>entidad-dia</t>
        </is>
      </c>
    </row>
    <row r="5997">
      <c r="A5997" t="inlineStr">
        <is>
          <t>PRAGMA</t>
        </is>
      </c>
      <c r="B5997" t="inlineStr">
        <is>
          <t>M1</t>
        </is>
      </c>
      <c r="C5997" t="inlineStr">
        <is>
          <t>Cali</t>
        </is>
      </c>
      <c r="D5997" t="inlineStr">
        <is>
          <t>9010</t>
        </is>
      </c>
      <c r="E5997" t="inlineStr">
        <is>
          <t>pagado</t>
        </is>
      </c>
      <c r="F5997" s="23" t="n">
        <v>46275</v>
      </c>
      <c r="G5997" s="24">
        <f>F5997-DATE(2026,8,31)</f>
        <v>10</v>
      </c>
      <c r="H5997" s="25" t="n">
        <v>86660850</v>
      </c>
      <c r="I5997" t="inlineStr">
        <is>
          <t>entidad-dia</t>
        </is>
      </c>
    </row>
    <row r="5998">
      <c r="A5998" t="inlineStr">
        <is>
          <t>PRAGMA</t>
        </is>
      </c>
      <c r="B5998" t="inlineStr">
        <is>
          <t>M1</t>
        </is>
      </c>
      <c r="C5998" t="inlineStr">
        <is>
          <t>Cali</t>
        </is>
      </c>
      <c r="D5998" t="inlineStr">
        <is>
          <t>9010</t>
        </is>
      </c>
      <c r="E5998" t="inlineStr">
        <is>
          <t>pagado</t>
        </is>
      </c>
      <c r="F5998" s="23" t="n">
        <v>46276</v>
      </c>
      <c r="G5998" s="24">
        <f>F5998-DATE(2026,8,31)</f>
        <v>11</v>
      </c>
      <c r="H5998" s="25" t="n">
        <v>95603285</v>
      </c>
      <c r="I5998" t="inlineStr">
        <is>
          <t>entidad-dia</t>
        </is>
      </c>
    </row>
    <row r="5999">
      <c r="A5999" t="inlineStr">
        <is>
          <t>PRAGMA</t>
        </is>
      </c>
      <c r="B5999" t="inlineStr">
        <is>
          <t>M1</t>
        </is>
      </c>
      <c r="C5999" t="inlineStr">
        <is>
          <t>Cali</t>
        </is>
      </c>
      <c r="D5999" t="inlineStr">
        <is>
          <t>9010</t>
        </is>
      </c>
      <c r="E5999" t="inlineStr">
        <is>
          <t>pagado</t>
        </is>
      </c>
      <c r="F5999" s="23" t="n">
        <v>46277</v>
      </c>
      <c r="G5999" s="24">
        <f>F5999-DATE(2026,8,31)</f>
        <v>12</v>
      </c>
      <c r="H5999" s="25" t="n">
        <v>88799971</v>
      </c>
      <c r="I5999" t="inlineStr">
        <is>
          <t>entidad-dia</t>
        </is>
      </c>
    </row>
    <row r="6000">
      <c r="A6000" t="inlineStr">
        <is>
          <t>PRAGMA</t>
        </is>
      </c>
      <c r="B6000" t="inlineStr">
        <is>
          <t>M1</t>
        </is>
      </c>
      <c r="C6000" t="inlineStr">
        <is>
          <t>Cali</t>
        </is>
      </c>
      <c r="D6000" t="inlineStr">
        <is>
          <t>9010</t>
        </is>
      </c>
      <c r="E6000" t="inlineStr">
        <is>
          <t>pagado</t>
        </is>
      </c>
      <c r="F6000" s="23" t="n">
        <v>46278</v>
      </c>
      <c r="G6000" s="24">
        <f>F6000-DATE(2026,8,31)</f>
        <v>13</v>
      </c>
      <c r="H6000" s="25" t="n">
        <v>19305170</v>
      </c>
      <c r="I6000" t="inlineStr">
        <is>
          <t>entidad-dia</t>
        </is>
      </c>
    </row>
    <row r="6001">
      <c r="A6001" t="inlineStr">
        <is>
          <t>PRAGMA</t>
        </is>
      </c>
      <c r="B6001" t="inlineStr">
        <is>
          <t>M1</t>
        </is>
      </c>
      <c r="C6001" t="inlineStr">
        <is>
          <t>Cali</t>
        </is>
      </c>
      <c r="D6001" t="inlineStr">
        <is>
          <t>9010</t>
        </is>
      </c>
      <c r="E6001" t="inlineStr">
        <is>
          <t>pagado</t>
        </is>
      </c>
      <c r="F6001" s="23" t="n">
        <v>46279</v>
      </c>
      <c r="G6001" s="24">
        <f>F6001-DATE(2026,8,31)</f>
        <v>14</v>
      </c>
      <c r="H6001" s="25" t="n">
        <v>86110989</v>
      </c>
      <c r="I6001" t="inlineStr">
        <is>
          <t>entidad-dia</t>
        </is>
      </c>
    </row>
    <row r="6002">
      <c r="A6002" t="inlineStr">
        <is>
          <t>PRAGMA</t>
        </is>
      </c>
      <c r="B6002" t="inlineStr">
        <is>
          <t>M1</t>
        </is>
      </c>
      <c r="C6002" t="inlineStr">
        <is>
          <t>Cali</t>
        </is>
      </c>
      <c r="D6002" t="inlineStr">
        <is>
          <t>9010</t>
        </is>
      </c>
      <c r="E6002" t="inlineStr">
        <is>
          <t>pagado</t>
        </is>
      </c>
      <c r="F6002" s="23" t="n">
        <v>46280</v>
      </c>
      <c r="G6002" s="24">
        <f>F6002-DATE(2026,8,31)</f>
        <v>15</v>
      </c>
      <c r="H6002" s="25" t="n">
        <v>120865863</v>
      </c>
      <c r="I6002" t="inlineStr">
        <is>
          <t>entidad-dia</t>
        </is>
      </c>
    </row>
    <row r="6003">
      <c r="A6003" t="inlineStr">
        <is>
          <t>PRAGMA</t>
        </is>
      </c>
      <c r="B6003" t="inlineStr">
        <is>
          <t>M1</t>
        </is>
      </c>
      <c r="C6003" t="inlineStr">
        <is>
          <t>Cali</t>
        </is>
      </c>
      <c r="D6003" t="inlineStr">
        <is>
          <t>9036</t>
        </is>
      </c>
      <c r="E6003" t="inlineStr">
        <is>
          <t>pagado</t>
        </is>
      </c>
      <c r="F6003" s="23" t="n">
        <v>46266</v>
      </c>
      <c r="G6003" s="24">
        <f>F6003-DATE(2026,8,31)</f>
        <v>1</v>
      </c>
      <c r="H6003" s="25" t="n">
        <v>27771306</v>
      </c>
      <c r="I6003" t="inlineStr">
        <is>
          <t>entidad-dia</t>
        </is>
      </c>
    </row>
    <row r="6004">
      <c r="A6004" t="inlineStr">
        <is>
          <t>PRAGMA</t>
        </is>
      </c>
      <c r="B6004" t="inlineStr">
        <is>
          <t>M1</t>
        </is>
      </c>
      <c r="C6004" t="inlineStr">
        <is>
          <t>Cali</t>
        </is>
      </c>
      <c r="D6004" t="inlineStr">
        <is>
          <t>9036</t>
        </is>
      </c>
      <c r="E6004" t="inlineStr">
        <is>
          <t>pagado</t>
        </is>
      </c>
      <c r="F6004" s="23" t="n">
        <v>46267</v>
      </c>
      <c r="G6004" s="24">
        <f>F6004-DATE(2026,8,31)</f>
        <v>2</v>
      </c>
      <c r="H6004" s="25" t="n">
        <v>24908324</v>
      </c>
      <c r="I6004" t="inlineStr">
        <is>
          <t>entidad-dia</t>
        </is>
      </c>
    </row>
    <row r="6005">
      <c r="A6005" t="inlineStr">
        <is>
          <t>PRAGMA</t>
        </is>
      </c>
      <c r="B6005" t="inlineStr">
        <is>
          <t>M1</t>
        </is>
      </c>
      <c r="C6005" t="inlineStr">
        <is>
          <t>Cali</t>
        </is>
      </c>
      <c r="D6005" t="inlineStr">
        <is>
          <t>9036</t>
        </is>
      </c>
      <c r="E6005" t="inlineStr">
        <is>
          <t>pagado</t>
        </is>
      </c>
      <c r="F6005" s="23" t="n">
        <v>46268</v>
      </c>
      <c r="G6005" s="24">
        <f>F6005-DATE(2026,8,31)</f>
        <v>3</v>
      </c>
      <c r="H6005" s="25" t="n">
        <v>26091178</v>
      </c>
      <c r="I6005" t="inlineStr">
        <is>
          <t>entidad-dia</t>
        </is>
      </c>
    </row>
    <row r="6006">
      <c r="A6006" t="inlineStr">
        <is>
          <t>PRAGMA</t>
        </is>
      </c>
      <c r="B6006" t="inlineStr">
        <is>
          <t>M1</t>
        </is>
      </c>
      <c r="C6006" t="inlineStr">
        <is>
          <t>Cali</t>
        </is>
      </c>
      <c r="D6006" t="inlineStr">
        <is>
          <t>9036</t>
        </is>
      </c>
      <c r="E6006" t="inlineStr">
        <is>
          <t>pagado</t>
        </is>
      </c>
      <c r="F6006" s="23" t="n">
        <v>46269</v>
      </c>
      <c r="G6006" s="24">
        <f>F6006-DATE(2026,8,31)</f>
        <v>4</v>
      </c>
      <c r="H6006" s="25" t="n">
        <v>25131310</v>
      </c>
      <c r="I6006" t="inlineStr">
        <is>
          <t>entidad-dia</t>
        </is>
      </c>
    </row>
    <row r="6007">
      <c r="A6007" t="inlineStr">
        <is>
          <t>PRAGMA</t>
        </is>
      </c>
      <c r="B6007" t="inlineStr">
        <is>
          <t>M1</t>
        </is>
      </c>
      <c r="C6007" t="inlineStr">
        <is>
          <t>Cali</t>
        </is>
      </c>
      <c r="D6007" t="inlineStr">
        <is>
          <t>9036</t>
        </is>
      </c>
      <c r="E6007" t="inlineStr">
        <is>
          <t>pagado</t>
        </is>
      </c>
      <c r="F6007" s="23" t="n">
        <v>46270</v>
      </c>
      <c r="G6007" s="24">
        <f>F6007-DATE(2026,8,31)</f>
        <v>5</v>
      </c>
      <c r="H6007" s="25" t="n">
        <v>23628382</v>
      </c>
      <c r="I6007" t="inlineStr">
        <is>
          <t>entidad-dia</t>
        </is>
      </c>
    </row>
    <row r="6008">
      <c r="A6008" t="inlineStr">
        <is>
          <t>PRAGMA</t>
        </is>
      </c>
      <c r="B6008" t="inlineStr">
        <is>
          <t>M1</t>
        </is>
      </c>
      <c r="C6008" t="inlineStr">
        <is>
          <t>Cali</t>
        </is>
      </c>
      <c r="D6008" t="inlineStr">
        <is>
          <t>9036</t>
        </is>
      </c>
      <c r="E6008" t="inlineStr">
        <is>
          <t>pagado</t>
        </is>
      </c>
      <c r="F6008" s="23" t="n">
        <v>46271</v>
      </c>
      <c r="G6008" s="24">
        <f>F6008-DATE(2026,8,31)</f>
        <v>6</v>
      </c>
      <c r="H6008" s="25" t="n">
        <v>20028928</v>
      </c>
      <c r="I6008" t="inlineStr">
        <is>
          <t>entidad-dia</t>
        </is>
      </c>
    </row>
    <row r="6009">
      <c r="A6009" t="inlineStr">
        <is>
          <t>PRAGMA</t>
        </is>
      </c>
      <c r="B6009" t="inlineStr">
        <is>
          <t>M1</t>
        </is>
      </c>
      <c r="C6009" t="inlineStr">
        <is>
          <t>Cali</t>
        </is>
      </c>
      <c r="D6009" t="inlineStr">
        <is>
          <t>9036</t>
        </is>
      </c>
      <c r="E6009" t="inlineStr">
        <is>
          <t>pagado</t>
        </is>
      </c>
      <c r="F6009" s="23" t="n">
        <v>46272</v>
      </c>
      <c r="G6009" s="24">
        <f>F6009-DATE(2026,8,31)</f>
        <v>7</v>
      </c>
      <c r="H6009" s="25" t="n">
        <v>17943594</v>
      </c>
      <c r="I6009" t="inlineStr">
        <is>
          <t>entidad-dia</t>
        </is>
      </c>
    </row>
    <row r="6010">
      <c r="A6010" t="inlineStr">
        <is>
          <t>PRAGMA</t>
        </is>
      </c>
      <c r="B6010" t="inlineStr">
        <is>
          <t>M1</t>
        </is>
      </c>
      <c r="C6010" t="inlineStr">
        <is>
          <t>Cali</t>
        </is>
      </c>
      <c r="D6010" t="inlineStr">
        <is>
          <t>9036</t>
        </is>
      </c>
      <c r="E6010" t="inlineStr">
        <is>
          <t>pagado</t>
        </is>
      </c>
      <c r="F6010" s="23" t="n">
        <v>46273</v>
      </c>
      <c r="G6010" s="24">
        <f>F6010-DATE(2026,8,31)</f>
        <v>8</v>
      </c>
      <c r="H6010" s="25" t="n">
        <v>17656389</v>
      </c>
      <c r="I6010" t="inlineStr">
        <is>
          <t>entidad-dia</t>
        </is>
      </c>
    </row>
    <row r="6011">
      <c r="A6011" t="inlineStr">
        <is>
          <t>PRAGMA</t>
        </is>
      </c>
      <c r="B6011" t="inlineStr">
        <is>
          <t>M1</t>
        </is>
      </c>
      <c r="C6011" t="inlineStr">
        <is>
          <t>Cali</t>
        </is>
      </c>
      <c r="D6011" t="inlineStr">
        <is>
          <t>9036</t>
        </is>
      </c>
      <c r="E6011" t="inlineStr">
        <is>
          <t>pagado</t>
        </is>
      </c>
      <c r="F6011" s="23" t="n">
        <v>46274</v>
      </c>
      <c r="G6011" s="24">
        <f>F6011-DATE(2026,8,31)</f>
        <v>9</v>
      </c>
      <c r="H6011" s="25" t="n">
        <v>17411112</v>
      </c>
      <c r="I6011" t="inlineStr">
        <is>
          <t>entidad-dia</t>
        </is>
      </c>
    </row>
    <row r="6012">
      <c r="A6012" t="inlineStr">
        <is>
          <t>PRAGMA</t>
        </is>
      </c>
      <c r="B6012" t="inlineStr">
        <is>
          <t>M1</t>
        </is>
      </c>
      <c r="C6012" t="inlineStr">
        <is>
          <t>Cali</t>
        </is>
      </c>
      <c r="D6012" t="inlineStr">
        <is>
          <t>9036</t>
        </is>
      </c>
      <c r="E6012" t="inlineStr">
        <is>
          <t>pagado</t>
        </is>
      </c>
      <c r="F6012" s="23" t="n">
        <v>46275</v>
      </c>
      <c r="G6012" s="24">
        <f>F6012-DATE(2026,8,31)</f>
        <v>10</v>
      </c>
      <c r="H6012" s="25" t="n">
        <v>20640941</v>
      </c>
      <c r="I6012" t="inlineStr">
        <is>
          <t>entidad-dia</t>
        </is>
      </c>
    </row>
    <row r="6013">
      <c r="A6013" t="inlineStr">
        <is>
          <t>PRAGMA</t>
        </is>
      </c>
      <c r="B6013" t="inlineStr">
        <is>
          <t>M1</t>
        </is>
      </c>
      <c r="C6013" t="inlineStr">
        <is>
          <t>Cali</t>
        </is>
      </c>
      <c r="D6013" t="inlineStr">
        <is>
          <t>9036</t>
        </is>
      </c>
      <c r="E6013" t="inlineStr">
        <is>
          <t>pagado</t>
        </is>
      </c>
      <c r="F6013" s="23" t="n">
        <v>46276</v>
      </c>
      <c r="G6013" s="24">
        <f>F6013-DATE(2026,8,31)</f>
        <v>11</v>
      </c>
      <c r="H6013" s="25" t="n">
        <v>21147365</v>
      </c>
      <c r="I6013" t="inlineStr">
        <is>
          <t>entidad-dia</t>
        </is>
      </c>
    </row>
    <row r="6014">
      <c r="A6014" t="inlineStr">
        <is>
          <t>PRAGMA</t>
        </is>
      </c>
      <c r="B6014" t="inlineStr">
        <is>
          <t>M1</t>
        </is>
      </c>
      <c r="C6014" t="inlineStr">
        <is>
          <t>Cali</t>
        </is>
      </c>
      <c r="D6014" t="inlineStr">
        <is>
          <t>9036</t>
        </is>
      </c>
      <c r="E6014" t="inlineStr">
        <is>
          <t>pagado</t>
        </is>
      </c>
      <c r="F6014" s="23" t="n">
        <v>46277</v>
      </c>
      <c r="G6014" s="24">
        <f>F6014-DATE(2026,8,31)</f>
        <v>12</v>
      </c>
      <c r="H6014" s="25" t="n">
        <v>20409024</v>
      </c>
      <c r="I6014" t="inlineStr">
        <is>
          <t>entidad-dia</t>
        </is>
      </c>
    </row>
    <row r="6015">
      <c r="A6015" t="inlineStr">
        <is>
          <t>PRAGMA</t>
        </is>
      </c>
      <c r="B6015" t="inlineStr">
        <is>
          <t>M1</t>
        </is>
      </c>
      <c r="C6015" t="inlineStr">
        <is>
          <t>Cali</t>
        </is>
      </c>
      <c r="D6015" t="inlineStr">
        <is>
          <t>9036</t>
        </is>
      </c>
      <c r="E6015" t="inlineStr">
        <is>
          <t>pagado</t>
        </is>
      </c>
      <c r="F6015" s="23" t="n">
        <v>46278</v>
      </c>
      <c r="G6015" s="24">
        <f>F6015-DATE(2026,8,31)</f>
        <v>13</v>
      </c>
      <c r="H6015" s="25" t="n">
        <v>17135355</v>
      </c>
      <c r="I6015" t="inlineStr">
        <is>
          <t>entidad-dia</t>
        </is>
      </c>
    </row>
    <row r="6016">
      <c r="A6016" t="inlineStr">
        <is>
          <t>PRAGMA</t>
        </is>
      </c>
      <c r="B6016" t="inlineStr">
        <is>
          <t>M1</t>
        </is>
      </c>
      <c r="C6016" t="inlineStr">
        <is>
          <t>Cali</t>
        </is>
      </c>
      <c r="D6016" t="inlineStr">
        <is>
          <t>9036</t>
        </is>
      </c>
      <c r="E6016" t="inlineStr">
        <is>
          <t>pagado</t>
        </is>
      </c>
      <c r="F6016" s="23" t="n">
        <v>46279</v>
      </c>
      <c r="G6016" s="24">
        <f>F6016-DATE(2026,8,31)</f>
        <v>14</v>
      </c>
      <c r="H6016" s="25" t="n">
        <v>17261465</v>
      </c>
      <c r="I6016" t="inlineStr">
        <is>
          <t>entidad-dia</t>
        </is>
      </c>
    </row>
    <row r="6017">
      <c r="A6017" t="inlineStr">
        <is>
          <t>PRAGMA</t>
        </is>
      </c>
      <c r="B6017" t="inlineStr">
        <is>
          <t>M1</t>
        </is>
      </c>
      <c r="C6017" t="inlineStr">
        <is>
          <t>Cali</t>
        </is>
      </c>
      <c r="D6017" t="inlineStr">
        <is>
          <t>9036</t>
        </is>
      </c>
      <c r="E6017" t="inlineStr">
        <is>
          <t>pagado</t>
        </is>
      </c>
      <c r="F6017" s="23" t="n">
        <v>46280</v>
      </c>
      <c r="G6017" s="24">
        <f>F6017-DATE(2026,8,31)</f>
        <v>15</v>
      </c>
      <c r="H6017" s="25" t="n">
        <v>25177849</v>
      </c>
      <c r="I6017" t="inlineStr">
        <is>
          <t>entidad-dia</t>
        </is>
      </c>
    </row>
    <row r="6018">
      <c r="A6018" t="inlineStr">
        <is>
          <t>PRAGMA</t>
        </is>
      </c>
      <c r="B6018" t="inlineStr">
        <is>
          <t>M1</t>
        </is>
      </c>
      <c r="C6018" t="inlineStr">
        <is>
          <t>Cali</t>
        </is>
      </c>
      <c r="D6018" t="inlineStr">
        <is>
          <t>9092</t>
        </is>
      </c>
      <c r="E6018" t="inlineStr">
        <is>
          <t>pagado</t>
        </is>
      </c>
      <c r="F6018" s="23" t="n">
        <v>46266</v>
      </c>
      <c r="G6018" s="24">
        <f>F6018-DATE(2026,8,31)</f>
        <v>1</v>
      </c>
      <c r="H6018" s="25" t="n">
        <v>113743811</v>
      </c>
      <c r="I6018" t="inlineStr">
        <is>
          <t>entidad-dia</t>
        </is>
      </c>
    </row>
    <row r="6019">
      <c r="A6019" t="inlineStr">
        <is>
          <t>PRAGMA</t>
        </is>
      </c>
      <c r="B6019" t="inlineStr">
        <is>
          <t>M1</t>
        </is>
      </c>
      <c r="C6019" t="inlineStr">
        <is>
          <t>Cali</t>
        </is>
      </c>
      <c r="D6019" t="inlineStr">
        <is>
          <t>9092</t>
        </is>
      </c>
      <c r="E6019" t="inlineStr">
        <is>
          <t>pagado</t>
        </is>
      </c>
      <c r="F6019" s="23" t="n">
        <v>46267</v>
      </c>
      <c r="G6019" s="24">
        <f>F6019-DATE(2026,8,31)</f>
        <v>2</v>
      </c>
      <c r="H6019" s="25" t="n">
        <v>82305690</v>
      </c>
      <c r="I6019" t="inlineStr">
        <is>
          <t>entidad-dia</t>
        </is>
      </c>
    </row>
    <row r="6020">
      <c r="A6020" t="inlineStr">
        <is>
          <t>PRAGMA</t>
        </is>
      </c>
      <c r="B6020" t="inlineStr">
        <is>
          <t>M1</t>
        </is>
      </c>
      <c r="C6020" t="inlineStr">
        <is>
          <t>Cali</t>
        </is>
      </c>
      <c r="D6020" t="inlineStr">
        <is>
          <t>9092</t>
        </is>
      </c>
      <c r="E6020" t="inlineStr">
        <is>
          <t>pagado</t>
        </is>
      </c>
      <c r="F6020" s="23" t="n">
        <v>46268</v>
      </c>
      <c r="G6020" s="24">
        <f>F6020-DATE(2026,8,31)</f>
        <v>3</v>
      </c>
      <c r="H6020" s="25" t="n">
        <v>75332089</v>
      </c>
      <c r="I6020" t="inlineStr">
        <is>
          <t>entidad-dia</t>
        </is>
      </c>
    </row>
    <row r="6021">
      <c r="A6021" t="inlineStr">
        <is>
          <t>PRAGMA</t>
        </is>
      </c>
      <c r="B6021" t="inlineStr">
        <is>
          <t>M1</t>
        </is>
      </c>
      <c r="C6021" t="inlineStr">
        <is>
          <t>Cali</t>
        </is>
      </c>
      <c r="D6021" t="inlineStr">
        <is>
          <t>9092</t>
        </is>
      </c>
      <c r="E6021" t="inlineStr">
        <is>
          <t>pagado</t>
        </is>
      </c>
      <c r="F6021" s="23" t="n">
        <v>46269</v>
      </c>
      <c r="G6021" s="24">
        <f>F6021-DATE(2026,8,31)</f>
        <v>4</v>
      </c>
      <c r="H6021" s="25" t="n">
        <v>78942348</v>
      </c>
      <c r="I6021" t="inlineStr">
        <is>
          <t>entidad-dia</t>
        </is>
      </c>
    </row>
    <row r="6022">
      <c r="A6022" t="inlineStr">
        <is>
          <t>PRAGMA</t>
        </is>
      </c>
      <c r="B6022" t="inlineStr">
        <is>
          <t>M1</t>
        </is>
      </c>
      <c r="C6022" t="inlineStr">
        <is>
          <t>Cali</t>
        </is>
      </c>
      <c r="D6022" t="inlineStr">
        <is>
          <t>9092</t>
        </is>
      </c>
      <c r="E6022" t="inlineStr">
        <is>
          <t>pagado</t>
        </is>
      </c>
      <c r="F6022" s="23" t="n">
        <v>46270</v>
      </c>
      <c r="G6022" s="24">
        <f>F6022-DATE(2026,8,31)</f>
        <v>5</v>
      </c>
      <c r="H6022" s="25" t="n">
        <v>78606390</v>
      </c>
      <c r="I6022" t="inlineStr">
        <is>
          <t>entidad-dia</t>
        </is>
      </c>
    </row>
    <row r="6023">
      <c r="A6023" t="inlineStr">
        <is>
          <t>PRAGMA</t>
        </is>
      </c>
      <c r="B6023" t="inlineStr">
        <is>
          <t>M1</t>
        </is>
      </c>
      <c r="C6023" t="inlineStr">
        <is>
          <t>Cali</t>
        </is>
      </c>
      <c r="D6023" t="inlineStr">
        <is>
          <t>9092</t>
        </is>
      </c>
      <c r="E6023" t="inlineStr">
        <is>
          <t>pagado</t>
        </is>
      </c>
      <c r="F6023" s="23" t="n">
        <v>46271</v>
      </c>
      <c r="G6023" s="24">
        <f>F6023-DATE(2026,8,31)</f>
        <v>6</v>
      </c>
      <c r="H6023" s="25" t="n">
        <v>34690134</v>
      </c>
      <c r="I6023" t="inlineStr">
        <is>
          <t>entidad-dia</t>
        </is>
      </c>
    </row>
    <row r="6024">
      <c r="A6024" t="inlineStr">
        <is>
          <t>PRAGMA</t>
        </is>
      </c>
      <c r="B6024" t="inlineStr">
        <is>
          <t>M1</t>
        </is>
      </c>
      <c r="C6024" t="inlineStr">
        <is>
          <t>Cali</t>
        </is>
      </c>
      <c r="D6024" t="inlineStr">
        <is>
          <t>9092</t>
        </is>
      </c>
      <c r="E6024" t="inlineStr">
        <is>
          <t>pagado</t>
        </is>
      </c>
      <c r="F6024" s="23" t="n">
        <v>46272</v>
      </c>
      <c r="G6024" s="24">
        <f>F6024-DATE(2026,8,31)</f>
        <v>7</v>
      </c>
      <c r="H6024" s="25" t="n">
        <v>53848131</v>
      </c>
      <c r="I6024" t="inlineStr">
        <is>
          <t>entidad-dia</t>
        </is>
      </c>
    </row>
    <row r="6025">
      <c r="A6025" t="inlineStr">
        <is>
          <t>PRAGMA</t>
        </is>
      </c>
      <c r="B6025" t="inlineStr">
        <is>
          <t>M1</t>
        </is>
      </c>
      <c r="C6025" t="inlineStr">
        <is>
          <t>Cali</t>
        </is>
      </c>
      <c r="D6025" t="inlineStr">
        <is>
          <t>9092</t>
        </is>
      </c>
      <c r="E6025" t="inlineStr">
        <is>
          <t>pagado</t>
        </is>
      </c>
      <c r="F6025" s="23" t="n">
        <v>46273</v>
      </c>
      <c r="G6025" s="24">
        <f>F6025-DATE(2026,8,31)</f>
        <v>8</v>
      </c>
      <c r="H6025" s="25" t="n">
        <v>56169303</v>
      </c>
      <c r="I6025" t="inlineStr">
        <is>
          <t>entidad-dia</t>
        </is>
      </c>
    </row>
    <row r="6026">
      <c r="A6026" t="inlineStr">
        <is>
          <t>PRAGMA</t>
        </is>
      </c>
      <c r="B6026" t="inlineStr">
        <is>
          <t>M1</t>
        </is>
      </c>
      <c r="C6026" t="inlineStr">
        <is>
          <t>Cali</t>
        </is>
      </c>
      <c r="D6026" t="inlineStr">
        <is>
          <t>9092</t>
        </is>
      </c>
      <c r="E6026" t="inlineStr">
        <is>
          <t>pagado</t>
        </is>
      </c>
      <c r="F6026" s="23" t="n">
        <v>46274</v>
      </c>
      <c r="G6026" s="24">
        <f>F6026-DATE(2026,8,31)</f>
        <v>9</v>
      </c>
      <c r="H6026" s="25" t="n">
        <v>51740228</v>
      </c>
      <c r="I6026" t="inlineStr">
        <is>
          <t>entidad-dia</t>
        </is>
      </c>
    </row>
    <row r="6027">
      <c r="A6027" t="inlineStr">
        <is>
          <t>PRAGMA</t>
        </is>
      </c>
      <c r="B6027" t="inlineStr">
        <is>
          <t>M1</t>
        </is>
      </c>
      <c r="C6027" t="inlineStr">
        <is>
          <t>Cali</t>
        </is>
      </c>
      <c r="D6027" t="inlineStr">
        <is>
          <t>9092</t>
        </is>
      </c>
      <c r="E6027" t="inlineStr">
        <is>
          <t>pagado</t>
        </is>
      </c>
      <c r="F6027" s="23" t="n">
        <v>46275</v>
      </c>
      <c r="G6027" s="24">
        <f>F6027-DATE(2026,8,31)</f>
        <v>10</v>
      </c>
      <c r="H6027" s="25" t="n">
        <v>51685872</v>
      </c>
      <c r="I6027" t="inlineStr">
        <is>
          <t>entidad-dia</t>
        </is>
      </c>
    </row>
    <row r="6028">
      <c r="A6028" t="inlineStr">
        <is>
          <t>PRAGMA</t>
        </is>
      </c>
      <c r="B6028" t="inlineStr">
        <is>
          <t>M1</t>
        </is>
      </c>
      <c r="C6028" t="inlineStr">
        <is>
          <t>Cali</t>
        </is>
      </c>
      <c r="D6028" t="inlineStr">
        <is>
          <t>9092</t>
        </is>
      </c>
      <c r="E6028" t="inlineStr">
        <is>
          <t>pagado</t>
        </is>
      </c>
      <c r="F6028" s="23" t="n">
        <v>46276</v>
      </c>
      <c r="G6028" s="24">
        <f>F6028-DATE(2026,8,31)</f>
        <v>11</v>
      </c>
      <c r="H6028" s="25" t="n">
        <v>62505632</v>
      </c>
      <c r="I6028" t="inlineStr">
        <is>
          <t>entidad-dia</t>
        </is>
      </c>
    </row>
    <row r="6029">
      <c r="A6029" t="inlineStr">
        <is>
          <t>PRAGMA</t>
        </is>
      </c>
      <c r="B6029" t="inlineStr">
        <is>
          <t>M1</t>
        </is>
      </c>
      <c r="C6029" t="inlineStr">
        <is>
          <t>Cali</t>
        </is>
      </c>
      <c r="D6029" t="inlineStr">
        <is>
          <t>9092</t>
        </is>
      </c>
      <c r="E6029" t="inlineStr">
        <is>
          <t>pagado</t>
        </is>
      </c>
      <c r="F6029" s="23" t="n">
        <v>46277</v>
      </c>
      <c r="G6029" s="24">
        <f>F6029-DATE(2026,8,31)</f>
        <v>12</v>
      </c>
      <c r="H6029" s="25" t="n">
        <v>57458321</v>
      </c>
      <c r="I6029" t="inlineStr">
        <is>
          <t>entidad-dia</t>
        </is>
      </c>
    </row>
    <row r="6030">
      <c r="A6030" t="inlineStr">
        <is>
          <t>PRAGMA</t>
        </is>
      </c>
      <c r="B6030" t="inlineStr">
        <is>
          <t>M1</t>
        </is>
      </c>
      <c r="C6030" t="inlineStr">
        <is>
          <t>Cali</t>
        </is>
      </c>
      <c r="D6030" t="inlineStr">
        <is>
          <t>9092</t>
        </is>
      </c>
      <c r="E6030" t="inlineStr">
        <is>
          <t>pagado</t>
        </is>
      </c>
      <c r="F6030" s="23" t="n">
        <v>46278</v>
      </c>
      <c r="G6030" s="24">
        <f>F6030-DATE(2026,8,31)</f>
        <v>13</v>
      </c>
      <c r="H6030" s="25" t="n">
        <v>29831114</v>
      </c>
      <c r="I6030" t="inlineStr">
        <is>
          <t>entidad-dia</t>
        </is>
      </c>
    </row>
    <row r="6031">
      <c r="A6031" t="inlineStr">
        <is>
          <t>PRAGMA</t>
        </is>
      </c>
      <c r="B6031" t="inlineStr">
        <is>
          <t>M1</t>
        </is>
      </c>
      <c r="C6031" t="inlineStr">
        <is>
          <t>Cali</t>
        </is>
      </c>
      <c r="D6031" t="inlineStr">
        <is>
          <t>9092</t>
        </is>
      </c>
      <c r="E6031" t="inlineStr">
        <is>
          <t>pagado</t>
        </is>
      </c>
      <c r="F6031" s="23" t="n">
        <v>46279</v>
      </c>
      <c r="G6031" s="24">
        <f>F6031-DATE(2026,8,31)</f>
        <v>14</v>
      </c>
      <c r="H6031" s="25" t="n">
        <v>55924676</v>
      </c>
      <c r="I6031" t="inlineStr">
        <is>
          <t>entidad-dia</t>
        </is>
      </c>
    </row>
    <row r="6032">
      <c r="A6032" t="inlineStr">
        <is>
          <t>PRAGMA</t>
        </is>
      </c>
      <c r="B6032" t="inlineStr">
        <is>
          <t>M1</t>
        </is>
      </c>
      <c r="C6032" t="inlineStr">
        <is>
          <t>Cali</t>
        </is>
      </c>
      <c r="D6032" t="inlineStr">
        <is>
          <t>9092</t>
        </is>
      </c>
      <c r="E6032" t="inlineStr">
        <is>
          <t>pagado</t>
        </is>
      </c>
      <c r="F6032" s="23" t="n">
        <v>46280</v>
      </c>
      <c r="G6032" s="24">
        <f>F6032-DATE(2026,8,31)</f>
        <v>15</v>
      </c>
      <c r="H6032" s="25" t="n">
        <v>86348288</v>
      </c>
      <c r="I6032" t="inlineStr">
        <is>
          <t>entidad-dia</t>
        </is>
      </c>
    </row>
    <row r="6033">
      <c r="A6033" t="inlineStr">
        <is>
          <t>PRAGMA</t>
        </is>
      </c>
      <c r="B6033" t="inlineStr">
        <is>
          <t>M1</t>
        </is>
      </c>
      <c r="C6033" t="inlineStr">
        <is>
          <t>Cali</t>
        </is>
      </c>
      <c r="D6033" t="inlineStr">
        <is>
          <t>9093</t>
        </is>
      </c>
      <c r="E6033" t="inlineStr">
        <is>
          <t>pagado</t>
        </is>
      </c>
      <c r="F6033" s="23" t="n">
        <v>46266</v>
      </c>
      <c r="G6033" s="24">
        <f>F6033-DATE(2026,8,31)</f>
        <v>1</v>
      </c>
      <c r="H6033" s="25" t="n">
        <v>117223639</v>
      </c>
      <c r="I6033" t="inlineStr">
        <is>
          <t>entidad-dia</t>
        </is>
      </c>
    </row>
    <row r="6034">
      <c r="A6034" t="inlineStr">
        <is>
          <t>PRAGMA</t>
        </is>
      </c>
      <c r="B6034" t="inlineStr">
        <is>
          <t>M1</t>
        </is>
      </c>
      <c r="C6034" t="inlineStr">
        <is>
          <t>Cali</t>
        </is>
      </c>
      <c r="D6034" t="inlineStr">
        <is>
          <t>9093</t>
        </is>
      </c>
      <c r="E6034" t="inlineStr">
        <is>
          <t>pagado</t>
        </is>
      </c>
      <c r="F6034" s="23" t="n">
        <v>46267</v>
      </c>
      <c r="G6034" s="24">
        <f>F6034-DATE(2026,8,31)</f>
        <v>2</v>
      </c>
      <c r="H6034" s="25" t="n">
        <v>91753010</v>
      </c>
      <c r="I6034" t="inlineStr">
        <is>
          <t>entidad-dia</t>
        </is>
      </c>
    </row>
    <row r="6035">
      <c r="A6035" t="inlineStr">
        <is>
          <t>PRAGMA</t>
        </is>
      </c>
      <c r="B6035" t="inlineStr">
        <is>
          <t>M1</t>
        </is>
      </c>
      <c r="C6035" t="inlineStr">
        <is>
          <t>Cali</t>
        </is>
      </c>
      <c r="D6035" t="inlineStr">
        <is>
          <t>9093</t>
        </is>
      </c>
      <c r="E6035" t="inlineStr">
        <is>
          <t>pagado</t>
        </is>
      </c>
      <c r="F6035" s="23" t="n">
        <v>46268</v>
      </c>
      <c r="G6035" s="24">
        <f>F6035-DATE(2026,8,31)</f>
        <v>3</v>
      </c>
      <c r="H6035" s="25" t="n">
        <v>83293443</v>
      </c>
      <c r="I6035" t="inlineStr">
        <is>
          <t>entidad-dia</t>
        </is>
      </c>
    </row>
    <row r="6036">
      <c r="A6036" t="inlineStr">
        <is>
          <t>PRAGMA</t>
        </is>
      </c>
      <c r="B6036" t="inlineStr">
        <is>
          <t>M1</t>
        </is>
      </c>
      <c r="C6036" t="inlineStr">
        <is>
          <t>Cali</t>
        </is>
      </c>
      <c r="D6036" t="inlineStr">
        <is>
          <t>9093</t>
        </is>
      </c>
      <c r="E6036" t="inlineStr">
        <is>
          <t>pagado</t>
        </is>
      </c>
      <c r="F6036" s="23" t="n">
        <v>46269</v>
      </c>
      <c r="G6036" s="24">
        <f>F6036-DATE(2026,8,31)</f>
        <v>4</v>
      </c>
      <c r="H6036" s="25" t="n">
        <v>88377368</v>
      </c>
      <c r="I6036" t="inlineStr">
        <is>
          <t>entidad-dia</t>
        </is>
      </c>
    </row>
    <row r="6037">
      <c r="A6037" t="inlineStr">
        <is>
          <t>PRAGMA</t>
        </is>
      </c>
      <c r="B6037" t="inlineStr">
        <is>
          <t>M1</t>
        </is>
      </c>
      <c r="C6037" t="inlineStr">
        <is>
          <t>Cali</t>
        </is>
      </c>
      <c r="D6037" t="inlineStr">
        <is>
          <t>9093</t>
        </is>
      </c>
      <c r="E6037" t="inlineStr">
        <is>
          <t>pagado</t>
        </is>
      </c>
      <c r="F6037" s="23" t="n">
        <v>46270</v>
      </c>
      <c r="G6037" s="24">
        <f>F6037-DATE(2026,8,31)</f>
        <v>5</v>
      </c>
      <c r="H6037" s="25" t="n">
        <v>90794447</v>
      </c>
      <c r="I6037" t="inlineStr">
        <is>
          <t>entidad-dia</t>
        </is>
      </c>
    </row>
    <row r="6038">
      <c r="A6038" t="inlineStr">
        <is>
          <t>PRAGMA</t>
        </is>
      </c>
      <c r="B6038" t="inlineStr">
        <is>
          <t>M1</t>
        </is>
      </c>
      <c r="C6038" t="inlineStr">
        <is>
          <t>Cali</t>
        </is>
      </c>
      <c r="D6038" t="inlineStr">
        <is>
          <t>9093</t>
        </is>
      </c>
      <c r="E6038" t="inlineStr">
        <is>
          <t>pagado</t>
        </is>
      </c>
      <c r="F6038" s="23" t="n">
        <v>46271</v>
      </c>
      <c r="G6038" s="24">
        <f>F6038-DATE(2026,8,31)</f>
        <v>6</v>
      </c>
      <c r="H6038" s="25" t="n">
        <v>65190849</v>
      </c>
      <c r="I6038" t="inlineStr">
        <is>
          <t>entidad-dia</t>
        </is>
      </c>
    </row>
    <row r="6039">
      <c r="A6039" t="inlineStr">
        <is>
          <t>PRAGMA</t>
        </is>
      </c>
      <c r="B6039" t="inlineStr">
        <is>
          <t>M1</t>
        </is>
      </c>
      <c r="C6039" t="inlineStr">
        <is>
          <t>Cali</t>
        </is>
      </c>
      <c r="D6039" t="inlineStr">
        <is>
          <t>9093</t>
        </is>
      </c>
      <c r="E6039" t="inlineStr">
        <is>
          <t>pagado</t>
        </is>
      </c>
      <c r="F6039" s="23" t="n">
        <v>46272</v>
      </c>
      <c r="G6039" s="24">
        <f>F6039-DATE(2026,8,31)</f>
        <v>7</v>
      </c>
      <c r="H6039" s="25" t="n">
        <v>70115860</v>
      </c>
      <c r="I6039" t="inlineStr">
        <is>
          <t>entidad-dia</t>
        </is>
      </c>
    </row>
    <row r="6040">
      <c r="A6040" t="inlineStr">
        <is>
          <t>PRAGMA</t>
        </is>
      </c>
      <c r="B6040" t="inlineStr">
        <is>
          <t>M1</t>
        </is>
      </c>
      <c r="C6040" t="inlineStr">
        <is>
          <t>Cali</t>
        </is>
      </c>
      <c r="D6040" t="inlineStr">
        <is>
          <t>9093</t>
        </is>
      </c>
      <c r="E6040" t="inlineStr">
        <is>
          <t>pagado</t>
        </is>
      </c>
      <c r="F6040" s="23" t="n">
        <v>46273</v>
      </c>
      <c r="G6040" s="24">
        <f>F6040-DATE(2026,8,31)</f>
        <v>8</v>
      </c>
      <c r="H6040" s="25" t="n">
        <v>72376511</v>
      </c>
      <c r="I6040" t="inlineStr">
        <is>
          <t>entidad-dia</t>
        </is>
      </c>
    </row>
    <row r="6041">
      <c r="A6041" t="inlineStr">
        <is>
          <t>PRAGMA</t>
        </is>
      </c>
      <c r="B6041" t="inlineStr">
        <is>
          <t>M1</t>
        </is>
      </c>
      <c r="C6041" t="inlineStr">
        <is>
          <t>Cali</t>
        </is>
      </c>
      <c r="D6041" t="inlineStr">
        <is>
          <t>9093</t>
        </is>
      </c>
      <c r="E6041" t="inlineStr">
        <is>
          <t>pagado</t>
        </is>
      </c>
      <c r="F6041" s="23" t="n">
        <v>46274</v>
      </c>
      <c r="G6041" s="24">
        <f>F6041-DATE(2026,8,31)</f>
        <v>9</v>
      </c>
      <c r="H6041" s="25" t="n">
        <v>63260884</v>
      </c>
      <c r="I6041" t="inlineStr">
        <is>
          <t>entidad-dia</t>
        </is>
      </c>
    </row>
    <row r="6042">
      <c r="A6042" t="inlineStr">
        <is>
          <t>PRAGMA</t>
        </is>
      </c>
      <c r="B6042" t="inlineStr">
        <is>
          <t>M1</t>
        </is>
      </c>
      <c r="C6042" t="inlineStr">
        <is>
          <t>Cali</t>
        </is>
      </c>
      <c r="D6042" t="inlineStr">
        <is>
          <t>9093</t>
        </is>
      </c>
      <c r="E6042" t="inlineStr">
        <is>
          <t>pagado</t>
        </is>
      </c>
      <c r="F6042" s="23" t="n">
        <v>46275</v>
      </c>
      <c r="G6042" s="24">
        <f>F6042-DATE(2026,8,31)</f>
        <v>10</v>
      </c>
      <c r="H6042" s="25" t="n">
        <v>58620082</v>
      </c>
      <c r="I6042" t="inlineStr">
        <is>
          <t>entidad-dia</t>
        </is>
      </c>
    </row>
    <row r="6043">
      <c r="A6043" t="inlineStr">
        <is>
          <t>PRAGMA</t>
        </is>
      </c>
      <c r="B6043" t="inlineStr">
        <is>
          <t>M1</t>
        </is>
      </c>
      <c r="C6043" t="inlineStr">
        <is>
          <t>Cali</t>
        </is>
      </c>
      <c r="D6043" t="inlineStr">
        <is>
          <t>9093</t>
        </is>
      </c>
      <c r="E6043" t="inlineStr">
        <is>
          <t>pagado</t>
        </is>
      </c>
      <c r="F6043" s="23" t="n">
        <v>46276</v>
      </c>
      <c r="G6043" s="24">
        <f>F6043-DATE(2026,8,31)</f>
        <v>11</v>
      </c>
      <c r="H6043" s="25" t="n">
        <v>73570349</v>
      </c>
      <c r="I6043" t="inlineStr">
        <is>
          <t>entidad-dia</t>
        </is>
      </c>
    </row>
    <row r="6044">
      <c r="A6044" t="inlineStr">
        <is>
          <t>PRAGMA</t>
        </is>
      </c>
      <c r="B6044" t="inlineStr">
        <is>
          <t>M1</t>
        </is>
      </c>
      <c r="C6044" t="inlineStr">
        <is>
          <t>Cali</t>
        </is>
      </c>
      <c r="D6044" t="inlineStr">
        <is>
          <t>9093</t>
        </is>
      </c>
      <c r="E6044" t="inlineStr">
        <is>
          <t>pagado</t>
        </is>
      </c>
      <c r="F6044" s="23" t="n">
        <v>46277</v>
      </c>
      <c r="G6044" s="24">
        <f>F6044-DATE(2026,8,31)</f>
        <v>12</v>
      </c>
      <c r="H6044" s="25" t="n">
        <v>77018442</v>
      </c>
      <c r="I6044" t="inlineStr">
        <is>
          <t>entidad-dia</t>
        </is>
      </c>
    </row>
    <row r="6045">
      <c r="A6045" t="inlineStr">
        <is>
          <t>PRAGMA</t>
        </is>
      </c>
      <c r="B6045" t="inlineStr">
        <is>
          <t>M1</t>
        </is>
      </c>
      <c r="C6045" t="inlineStr">
        <is>
          <t>Cali</t>
        </is>
      </c>
      <c r="D6045" t="inlineStr">
        <is>
          <t>9093</t>
        </is>
      </c>
      <c r="E6045" t="inlineStr">
        <is>
          <t>pagado</t>
        </is>
      </c>
      <c r="F6045" s="23" t="n">
        <v>46278</v>
      </c>
      <c r="G6045" s="24">
        <f>F6045-DATE(2026,8,31)</f>
        <v>13</v>
      </c>
      <c r="H6045" s="25" t="n">
        <v>48090547</v>
      </c>
      <c r="I6045" t="inlineStr">
        <is>
          <t>entidad-dia</t>
        </is>
      </c>
    </row>
    <row r="6046">
      <c r="A6046" t="inlineStr">
        <is>
          <t>PRAGMA</t>
        </is>
      </c>
      <c r="B6046" t="inlineStr">
        <is>
          <t>M1</t>
        </is>
      </c>
      <c r="C6046" t="inlineStr">
        <is>
          <t>Cali</t>
        </is>
      </c>
      <c r="D6046" t="inlineStr">
        <is>
          <t>9093</t>
        </is>
      </c>
      <c r="E6046" t="inlineStr">
        <is>
          <t>pagado</t>
        </is>
      </c>
      <c r="F6046" s="23" t="n">
        <v>46279</v>
      </c>
      <c r="G6046" s="24">
        <f>F6046-DATE(2026,8,31)</f>
        <v>14</v>
      </c>
      <c r="H6046" s="25" t="n">
        <v>62492036</v>
      </c>
      <c r="I6046" t="inlineStr">
        <is>
          <t>entidad-dia</t>
        </is>
      </c>
    </row>
    <row r="6047">
      <c r="A6047" t="inlineStr">
        <is>
          <t>PRAGMA</t>
        </is>
      </c>
      <c r="B6047" t="inlineStr">
        <is>
          <t>M1</t>
        </is>
      </c>
      <c r="C6047" t="inlineStr">
        <is>
          <t>Cali</t>
        </is>
      </c>
      <c r="D6047" t="inlineStr">
        <is>
          <t>9093</t>
        </is>
      </c>
      <c r="E6047" t="inlineStr">
        <is>
          <t>pagado</t>
        </is>
      </c>
      <c r="F6047" s="23" t="n">
        <v>46280</v>
      </c>
      <c r="G6047" s="24">
        <f>F6047-DATE(2026,8,31)</f>
        <v>15</v>
      </c>
      <c r="H6047" s="25" t="n">
        <v>83572545</v>
      </c>
      <c r="I6047" t="inlineStr">
        <is>
          <t>entidad-dia</t>
        </is>
      </c>
    </row>
    <row r="6048">
      <c r="A6048" t="inlineStr">
        <is>
          <t>PRAGMA</t>
        </is>
      </c>
      <c r="B6048" t="inlineStr">
        <is>
          <t>M1</t>
        </is>
      </c>
      <c r="C6048" t="inlineStr">
        <is>
          <t>Cali</t>
        </is>
      </c>
      <c r="D6048" t="inlineStr">
        <is>
          <t>9166</t>
        </is>
      </c>
      <c r="E6048" t="inlineStr">
        <is>
          <t>pagado</t>
        </is>
      </c>
      <c r="F6048" s="23" t="n">
        <v>46266</v>
      </c>
      <c r="G6048" s="24">
        <f>F6048-DATE(2026,8,31)</f>
        <v>1</v>
      </c>
      <c r="H6048" s="25" t="n">
        <v>74864900</v>
      </c>
      <c r="I6048" t="inlineStr">
        <is>
          <t>entidad-dia</t>
        </is>
      </c>
    </row>
    <row r="6049">
      <c r="A6049" t="inlineStr">
        <is>
          <t>PRAGMA</t>
        </is>
      </c>
      <c r="B6049" t="inlineStr">
        <is>
          <t>M1</t>
        </is>
      </c>
      <c r="C6049" t="inlineStr">
        <is>
          <t>Cali</t>
        </is>
      </c>
      <c r="D6049" t="inlineStr">
        <is>
          <t>9166</t>
        </is>
      </c>
      <c r="E6049" t="inlineStr">
        <is>
          <t>pagado</t>
        </is>
      </c>
      <c r="F6049" s="23" t="n">
        <v>46267</v>
      </c>
      <c r="G6049" s="24">
        <f>F6049-DATE(2026,8,31)</f>
        <v>2</v>
      </c>
      <c r="H6049" s="25" t="n">
        <v>53595527</v>
      </c>
      <c r="I6049" t="inlineStr">
        <is>
          <t>entidad-dia</t>
        </is>
      </c>
    </row>
    <row r="6050">
      <c r="A6050" t="inlineStr">
        <is>
          <t>PRAGMA</t>
        </is>
      </c>
      <c r="B6050" t="inlineStr">
        <is>
          <t>M1</t>
        </is>
      </c>
      <c r="C6050" t="inlineStr">
        <is>
          <t>Cali</t>
        </is>
      </c>
      <c r="D6050" t="inlineStr">
        <is>
          <t>9166</t>
        </is>
      </c>
      <c r="E6050" t="inlineStr">
        <is>
          <t>pagado</t>
        </is>
      </c>
      <c r="F6050" s="23" t="n">
        <v>46268</v>
      </c>
      <c r="G6050" s="24">
        <f>F6050-DATE(2026,8,31)</f>
        <v>3</v>
      </c>
      <c r="H6050" s="25" t="n">
        <v>44512927</v>
      </c>
      <c r="I6050" t="inlineStr">
        <is>
          <t>entidad-dia</t>
        </is>
      </c>
    </row>
    <row r="6051">
      <c r="A6051" t="inlineStr">
        <is>
          <t>PRAGMA</t>
        </is>
      </c>
      <c r="B6051" t="inlineStr">
        <is>
          <t>M1</t>
        </is>
      </c>
      <c r="C6051" t="inlineStr">
        <is>
          <t>Cali</t>
        </is>
      </c>
      <c r="D6051" t="inlineStr">
        <is>
          <t>9166</t>
        </is>
      </c>
      <c r="E6051" t="inlineStr">
        <is>
          <t>pagado</t>
        </is>
      </c>
      <c r="F6051" s="23" t="n">
        <v>46269</v>
      </c>
      <c r="G6051" s="24">
        <f>F6051-DATE(2026,8,31)</f>
        <v>4</v>
      </c>
      <c r="H6051" s="25" t="n">
        <v>45569012</v>
      </c>
      <c r="I6051" t="inlineStr">
        <is>
          <t>entidad-dia</t>
        </is>
      </c>
    </row>
    <row r="6052">
      <c r="A6052" t="inlineStr">
        <is>
          <t>PRAGMA</t>
        </is>
      </c>
      <c r="B6052" t="inlineStr">
        <is>
          <t>M1</t>
        </is>
      </c>
      <c r="C6052" t="inlineStr">
        <is>
          <t>Cali</t>
        </is>
      </c>
      <c r="D6052" t="inlineStr">
        <is>
          <t>9166</t>
        </is>
      </c>
      <c r="E6052" t="inlineStr">
        <is>
          <t>pagado</t>
        </is>
      </c>
      <c r="F6052" s="23" t="n">
        <v>46270</v>
      </c>
      <c r="G6052" s="24">
        <f>F6052-DATE(2026,8,31)</f>
        <v>5</v>
      </c>
      <c r="H6052" s="25" t="n">
        <v>43143452</v>
      </c>
      <c r="I6052" t="inlineStr">
        <is>
          <t>entidad-dia</t>
        </is>
      </c>
    </row>
    <row r="6053">
      <c r="A6053" t="inlineStr">
        <is>
          <t>PRAGMA</t>
        </is>
      </c>
      <c r="B6053" t="inlineStr">
        <is>
          <t>M1</t>
        </is>
      </c>
      <c r="C6053" t="inlineStr">
        <is>
          <t>Cali</t>
        </is>
      </c>
      <c r="D6053" t="inlineStr">
        <is>
          <t>9166</t>
        </is>
      </c>
      <c r="E6053" t="inlineStr">
        <is>
          <t>pagado</t>
        </is>
      </c>
      <c r="F6053" s="23" t="n">
        <v>46271</v>
      </c>
      <c r="G6053" s="24">
        <f>F6053-DATE(2026,8,31)</f>
        <v>6</v>
      </c>
      <c r="H6053" s="25" t="n">
        <v>21155305</v>
      </c>
      <c r="I6053" t="inlineStr">
        <is>
          <t>entidad-dia</t>
        </is>
      </c>
    </row>
    <row r="6054">
      <c r="A6054" t="inlineStr">
        <is>
          <t>PRAGMA</t>
        </is>
      </c>
      <c r="B6054" t="inlineStr">
        <is>
          <t>M1</t>
        </is>
      </c>
      <c r="C6054" t="inlineStr">
        <is>
          <t>Cali</t>
        </is>
      </c>
      <c r="D6054" t="inlineStr">
        <is>
          <t>9166</t>
        </is>
      </c>
      <c r="E6054" t="inlineStr">
        <is>
          <t>pagado</t>
        </is>
      </c>
      <c r="F6054" s="23" t="n">
        <v>46272</v>
      </c>
      <c r="G6054" s="24">
        <f>F6054-DATE(2026,8,31)</f>
        <v>7</v>
      </c>
      <c r="H6054" s="25" t="n">
        <v>40821181</v>
      </c>
      <c r="I6054" t="inlineStr">
        <is>
          <t>entidad-dia</t>
        </is>
      </c>
    </row>
    <row r="6055">
      <c r="A6055" t="inlineStr">
        <is>
          <t>PRAGMA</t>
        </is>
      </c>
      <c r="B6055" t="inlineStr">
        <is>
          <t>M1</t>
        </is>
      </c>
      <c r="C6055" t="inlineStr">
        <is>
          <t>Cali</t>
        </is>
      </c>
      <c r="D6055" t="inlineStr">
        <is>
          <t>9166</t>
        </is>
      </c>
      <c r="E6055" t="inlineStr">
        <is>
          <t>pagado</t>
        </is>
      </c>
      <c r="F6055" s="23" t="n">
        <v>46273</v>
      </c>
      <c r="G6055" s="24">
        <f>F6055-DATE(2026,8,31)</f>
        <v>8</v>
      </c>
      <c r="H6055" s="25" t="n">
        <v>34552735</v>
      </c>
      <c r="I6055" t="inlineStr">
        <is>
          <t>entidad-dia</t>
        </is>
      </c>
    </row>
    <row r="6056">
      <c r="A6056" t="inlineStr">
        <is>
          <t>PRAGMA</t>
        </is>
      </c>
      <c r="B6056" t="inlineStr">
        <is>
          <t>M1</t>
        </is>
      </c>
      <c r="C6056" t="inlineStr">
        <is>
          <t>Cali</t>
        </is>
      </c>
      <c r="D6056" t="inlineStr">
        <is>
          <t>9166</t>
        </is>
      </c>
      <c r="E6056" t="inlineStr">
        <is>
          <t>pagado</t>
        </is>
      </c>
      <c r="F6056" s="23" t="n">
        <v>46274</v>
      </c>
      <c r="G6056" s="24">
        <f>F6056-DATE(2026,8,31)</f>
        <v>9</v>
      </c>
      <c r="H6056" s="25" t="n">
        <v>34088865</v>
      </c>
      <c r="I6056" t="inlineStr">
        <is>
          <t>entidad-dia</t>
        </is>
      </c>
    </row>
    <row r="6057">
      <c r="A6057" t="inlineStr">
        <is>
          <t>PRAGMA</t>
        </is>
      </c>
      <c r="B6057" t="inlineStr">
        <is>
          <t>M1</t>
        </is>
      </c>
      <c r="C6057" t="inlineStr">
        <is>
          <t>Cali</t>
        </is>
      </c>
      <c r="D6057" t="inlineStr">
        <is>
          <t>9166</t>
        </is>
      </c>
      <c r="E6057" t="inlineStr">
        <is>
          <t>pagado</t>
        </is>
      </c>
      <c r="F6057" s="23" t="n">
        <v>46275</v>
      </c>
      <c r="G6057" s="24">
        <f>F6057-DATE(2026,8,31)</f>
        <v>10</v>
      </c>
      <c r="H6057" s="25" t="n">
        <v>31781245</v>
      </c>
      <c r="I6057" t="inlineStr">
        <is>
          <t>entidad-dia</t>
        </is>
      </c>
    </row>
    <row r="6058">
      <c r="A6058" t="inlineStr">
        <is>
          <t>PRAGMA</t>
        </is>
      </c>
      <c r="B6058" t="inlineStr">
        <is>
          <t>M1</t>
        </is>
      </c>
      <c r="C6058" t="inlineStr">
        <is>
          <t>Cali</t>
        </is>
      </c>
      <c r="D6058" t="inlineStr">
        <is>
          <t>9166</t>
        </is>
      </c>
      <c r="E6058" t="inlineStr">
        <is>
          <t>pagado</t>
        </is>
      </c>
      <c r="F6058" s="23" t="n">
        <v>46276</v>
      </c>
      <c r="G6058" s="24">
        <f>F6058-DATE(2026,8,31)</f>
        <v>11</v>
      </c>
      <c r="H6058" s="25" t="n">
        <v>33340606</v>
      </c>
      <c r="I6058" t="inlineStr">
        <is>
          <t>entidad-dia</t>
        </is>
      </c>
    </row>
    <row r="6059">
      <c r="A6059" t="inlineStr">
        <is>
          <t>PRAGMA</t>
        </is>
      </c>
      <c r="B6059" t="inlineStr">
        <is>
          <t>M1</t>
        </is>
      </c>
      <c r="C6059" t="inlineStr">
        <is>
          <t>Cali</t>
        </is>
      </c>
      <c r="D6059" t="inlineStr">
        <is>
          <t>9166</t>
        </is>
      </c>
      <c r="E6059" t="inlineStr">
        <is>
          <t>pagado</t>
        </is>
      </c>
      <c r="F6059" s="23" t="n">
        <v>46277</v>
      </c>
      <c r="G6059" s="24">
        <f>F6059-DATE(2026,8,31)</f>
        <v>12</v>
      </c>
      <c r="H6059" s="25" t="n">
        <v>34901637</v>
      </c>
      <c r="I6059" t="inlineStr">
        <is>
          <t>entidad-dia</t>
        </is>
      </c>
    </row>
    <row r="6060">
      <c r="A6060" t="inlineStr">
        <is>
          <t>PRAGMA</t>
        </is>
      </c>
      <c r="B6060" t="inlineStr">
        <is>
          <t>M1</t>
        </is>
      </c>
      <c r="C6060" t="inlineStr">
        <is>
          <t>Cali</t>
        </is>
      </c>
      <c r="D6060" t="inlineStr">
        <is>
          <t>9166</t>
        </is>
      </c>
      <c r="E6060" t="inlineStr">
        <is>
          <t>pagado</t>
        </is>
      </c>
      <c r="F6060" s="23" t="n">
        <v>46278</v>
      </c>
      <c r="G6060" s="24">
        <f>F6060-DATE(2026,8,31)</f>
        <v>13</v>
      </c>
      <c r="H6060" s="25" t="n">
        <v>17211514</v>
      </c>
      <c r="I6060" t="inlineStr">
        <is>
          <t>entidad-dia</t>
        </is>
      </c>
    </row>
    <row r="6061">
      <c r="A6061" t="inlineStr">
        <is>
          <t>PRAGMA</t>
        </is>
      </c>
      <c r="B6061" t="inlineStr">
        <is>
          <t>M1</t>
        </is>
      </c>
      <c r="C6061" t="inlineStr">
        <is>
          <t>Cali</t>
        </is>
      </c>
      <c r="D6061" t="inlineStr">
        <is>
          <t>9166</t>
        </is>
      </c>
      <c r="E6061" t="inlineStr">
        <is>
          <t>pagado</t>
        </is>
      </c>
      <c r="F6061" s="23" t="n">
        <v>46279</v>
      </c>
      <c r="G6061" s="24">
        <f>F6061-DATE(2026,8,31)</f>
        <v>14</v>
      </c>
      <c r="H6061" s="25" t="n">
        <v>33810327</v>
      </c>
      <c r="I6061" t="inlineStr">
        <is>
          <t>entidad-dia</t>
        </is>
      </c>
    </row>
    <row r="6062">
      <c r="A6062" t="inlineStr">
        <is>
          <t>PRAGMA</t>
        </is>
      </c>
      <c r="B6062" t="inlineStr">
        <is>
          <t>M1</t>
        </is>
      </c>
      <c r="C6062" t="inlineStr">
        <is>
          <t>Cali</t>
        </is>
      </c>
      <c r="D6062" t="inlineStr">
        <is>
          <t>9166</t>
        </is>
      </c>
      <c r="E6062" t="inlineStr">
        <is>
          <t>pagado</t>
        </is>
      </c>
      <c r="F6062" s="23" t="n">
        <v>46280</v>
      </c>
      <c r="G6062" s="24">
        <f>F6062-DATE(2026,8,31)</f>
        <v>15</v>
      </c>
      <c r="H6062" s="25" t="n">
        <v>53536465</v>
      </c>
      <c r="I6062" t="inlineStr">
        <is>
          <t>entidad-dia</t>
        </is>
      </c>
    </row>
    <row r="6063">
      <c r="A6063" t="inlineStr">
        <is>
          <t>PRAGMA</t>
        </is>
      </c>
      <c r="B6063" t="inlineStr">
        <is>
          <t>M1</t>
        </is>
      </c>
      <c r="C6063" t="inlineStr">
        <is>
          <t>Cali</t>
        </is>
      </c>
      <c r="D6063" t="inlineStr">
        <is>
          <t>9167</t>
        </is>
      </c>
      <c r="E6063" t="inlineStr">
        <is>
          <t>pagado</t>
        </is>
      </c>
      <c r="F6063" s="23" t="n">
        <v>46266</v>
      </c>
      <c r="G6063" s="24">
        <f>F6063-DATE(2026,8,31)</f>
        <v>1</v>
      </c>
      <c r="H6063" s="25" t="n">
        <v>98744777</v>
      </c>
      <c r="I6063" t="inlineStr">
        <is>
          <t>entidad-dia</t>
        </is>
      </c>
    </row>
    <row r="6064">
      <c r="A6064" t="inlineStr">
        <is>
          <t>PRAGMA</t>
        </is>
      </c>
      <c r="B6064" t="inlineStr">
        <is>
          <t>M1</t>
        </is>
      </c>
      <c r="C6064" t="inlineStr">
        <is>
          <t>Cali</t>
        </is>
      </c>
      <c r="D6064" t="inlineStr">
        <is>
          <t>9167</t>
        </is>
      </c>
      <c r="E6064" t="inlineStr">
        <is>
          <t>pagado</t>
        </is>
      </c>
      <c r="F6064" s="23" t="n">
        <v>46267</v>
      </c>
      <c r="G6064" s="24">
        <f>F6064-DATE(2026,8,31)</f>
        <v>2</v>
      </c>
      <c r="H6064" s="25" t="n">
        <v>86890225</v>
      </c>
      <c r="I6064" t="inlineStr">
        <is>
          <t>entidad-dia</t>
        </is>
      </c>
    </row>
    <row r="6065">
      <c r="A6065" t="inlineStr">
        <is>
          <t>PRAGMA</t>
        </is>
      </c>
      <c r="B6065" t="inlineStr">
        <is>
          <t>M1</t>
        </is>
      </c>
      <c r="C6065" t="inlineStr">
        <is>
          <t>Cali</t>
        </is>
      </c>
      <c r="D6065" t="inlineStr">
        <is>
          <t>9167</t>
        </is>
      </c>
      <c r="E6065" t="inlineStr">
        <is>
          <t>pagado</t>
        </is>
      </c>
      <c r="F6065" s="23" t="n">
        <v>46268</v>
      </c>
      <c r="G6065" s="24">
        <f>F6065-DATE(2026,8,31)</f>
        <v>3</v>
      </c>
      <c r="H6065" s="25" t="n">
        <v>84176733</v>
      </c>
      <c r="I6065" t="inlineStr">
        <is>
          <t>entidad-dia</t>
        </is>
      </c>
    </row>
    <row r="6066">
      <c r="A6066" t="inlineStr">
        <is>
          <t>PRAGMA</t>
        </is>
      </c>
      <c r="B6066" t="inlineStr">
        <is>
          <t>M1</t>
        </is>
      </c>
      <c r="C6066" t="inlineStr">
        <is>
          <t>Cali</t>
        </is>
      </c>
      <c r="D6066" t="inlineStr">
        <is>
          <t>9167</t>
        </is>
      </c>
      <c r="E6066" t="inlineStr">
        <is>
          <t>pagado</t>
        </is>
      </c>
      <c r="F6066" s="23" t="n">
        <v>46269</v>
      </c>
      <c r="G6066" s="24">
        <f>F6066-DATE(2026,8,31)</f>
        <v>4</v>
      </c>
      <c r="H6066" s="25" t="n">
        <v>72348920</v>
      </c>
      <c r="I6066" t="inlineStr">
        <is>
          <t>entidad-dia</t>
        </is>
      </c>
    </row>
    <row r="6067">
      <c r="A6067" t="inlineStr">
        <is>
          <t>PRAGMA</t>
        </is>
      </c>
      <c r="B6067" t="inlineStr">
        <is>
          <t>M1</t>
        </is>
      </c>
      <c r="C6067" t="inlineStr">
        <is>
          <t>Cali</t>
        </is>
      </c>
      <c r="D6067" t="inlineStr">
        <is>
          <t>9167</t>
        </is>
      </c>
      <c r="E6067" t="inlineStr">
        <is>
          <t>pagado</t>
        </is>
      </c>
      <c r="F6067" s="23" t="n">
        <v>46270</v>
      </c>
      <c r="G6067" s="24">
        <f>F6067-DATE(2026,8,31)</f>
        <v>5</v>
      </c>
      <c r="H6067" s="25" t="n">
        <v>76219862</v>
      </c>
      <c r="I6067" t="inlineStr">
        <is>
          <t>entidad-dia</t>
        </is>
      </c>
    </row>
    <row r="6068">
      <c r="A6068" t="inlineStr">
        <is>
          <t>PRAGMA</t>
        </is>
      </c>
      <c r="B6068" t="inlineStr">
        <is>
          <t>M1</t>
        </is>
      </c>
      <c r="C6068" t="inlineStr">
        <is>
          <t>Cali</t>
        </is>
      </c>
      <c r="D6068" t="inlineStr">
        <is>
          <t>9167</t>
        </is>
      </c>
      <c r="E6068" t="inlineStr">
        <is>
          <t>pagado</t>
        </is>
      </c>
      <c r="F6068" s="23" t="n">
        <v>46271</v>
      </c>
      <c r="G6068" s="24">
        <f>F6068-DATE(2026,8,31)</f>
        <v>6</v>
      </c>
      <c r="H6068" s="25" t="n">
        <v>27646438</v>
      </c>
      <c r="I6068" t="inlineStr">
        <is>
          <t>entidad-dia</t>
        </is>
      </c>
    </row>
    <row r="6069">
      <c r="A6069" t="inlineStr">
        <is>
          <t>PRAGMA</t>
        </is>
      </c>
      <c r="B6069" t="inlineStr">
        <is>
          <t>M1</t>
        </is>
      </c>
      <c r="C6069" t="inlineStr">
        <is>
          <t>Cali</t>
        </is>
      </c>
      <c r="D6069" t="inlineStr">
        <is>
          <t>9167</t>
        </is>
      </c>
      <c r="E6069" t="inlineStr">
        <is>
          <t>pagado</t>
        </is>
      </c>
      <c r="F6069" s="23" t="n">
        <v>46272</v>
      </c>
      <c r="G6069" s="24">
        <f>F6069-DATE(2026,8,31)</f>
        <v>7</v>
      </c>
      <c r="H6069" s="25" t="n">
        <v>53162766</v>
      </c>
      <c r="I6069" t="inlineStr">
        <is>
          <t>entidad-dia</t>
        </is>
      </c>
    </row>
    <row r="6070">
      <c r="A6070" t="inlineStr">
        <is>
          <t>PRAGMA</t>
        </is>
      </c>
      <c r="B6070" t="inlineStr">
        <is>
          <t>M1</t>
        </is>
      </c>
      <c r="C6070" t="inlineStr">
        <is>
          <t>Cali</t>
        </is>
      </c>
      <c r="D6070" t="inlineStr">
        <is>
          <t>9167</t>
        </is>
      </c>
      <c r="E6070" t="inlineStr">
        <is>
          <t>pagado</t>
        </is>
      </c>
      <c r="F6070" s="23" t="n">
        <v>46273</v>
      </c>
      <c r="G6070" s="24">
        <f>F6070-DATE(2026,8,31)</f>
        <v>8</v>
      </c>
      <c r="H6070" s="25" t="n">
        <v>61843047</v>
      </c>
      <c r="I6070" t="inlineStr">
        <is>
          <t>entidad-dia</t>
        </is>
      </c>
    </row>
    <row r="6071">
      <c r="A6071" t="inlineStr">
        <is>
          <t>PRAGMA</t>
        </is>
      </c>
      <c r="B6071" t="inlineStr">
        <is>
          <t>M1</t>
        </is>
      </c>
      <c r="C6071" t="inlineStr">
        <is>
          <t>Cali</t>
        </is>
      </c>
      <c r="D6071" t="inlineStr">
        <is>
          <t>9167</t>
        </is>
      </c>
      <c r="E6071" t="inlineStr">
        <is>
          <t>pagado</t>
        </is>
      </c>
      <c r="F6071" s="23" t="n">
        <v>46274</v>
      </c>
      <c r="G6071" s="24">
        <f>F6071-DATE(2026,8,31)</f>
        <v>9</v>
      </c>
      <c r="H6071" s="25" t="n">
        <v>61454342</v>
      </c>
      <c r="I6071" t="inlineStr">
        <is>
          <t>entidad-dia</t>
        </is>
      </c>
    </row>
    <row r="6072">
      <c r="A6072" t="inlineStr">
        <is>
          <t>PRAGMA</t>
        </is>
      </c>
      <c r="B6072" t="inlineStr">
        <is>
          <t>M1</t>
        </is>
      </c>
      <c r="C6072" t="inlineStr">
        <is>
          <t>Cali</t>
        </is>
      </c>
      <c r="D6072" t="inlineStr">
        <is>
          <t>9167</t>
        </is>
      </c>
      <c r="E6072" t="inlineStr">
        <is>
          <t>pagado</t>
        </is>
      </c>
      <c r="F6072" s="23" t="n">
        <v>46275</v>
      </c>
      <c r="G6072" s="24">
        <f>F6072-DATE(2026,8,31)</f>
        <v>10</v>
      </c>
      <c r="H6072" s="25" t="n">
        <v>56399829</v>
      </c>
      <c r="I6072" t="inlineStr">
        <is>
          <t>entidad-dia</t>
        </is>
      </c>
    </row>
    <row r="6073">
      <c r="A6073" t="inlineStr">
        <is>
          <t>PRAGMA</t>
        </is>
      </c>
      <c r="B6073" t="inlineStr">
        <is>
          <t>M1</t>
        </is>
      </c>
      <c r="C6073" t="inlineStr">
        <is>
          <t>Cali</t>
        </is>
      </c>
      <c r="D6073" t="inlineStr">
        <is>
          <t>9167</t>
        </is>
      </c>
      <c r="E6073" t="inlineStr">
        <is>
          <t>pagado</t>
        </is>
      </c>
      <c r="F6073" s="23" t="n">
        <v>46276</v>
      </c>
      <c r="G6073" s="24">
        <f>F6073-DATE(2026,8,31)</f>
        <v>11</v>
      </c>
      <c r="H6073" s="25" t="n">
        <v>49368253</v>
      </c>
      <c r="I6073" t="inlineStr">
        <is>
          <t>entidad-dia</t>
        </is>
      </c>
    </row>
    <row r="6074">
      <c r="A6074" t="inlineStr">
        <is>
          <t>PRAGMA</t>
        </is>
      </c>
      <c r="B6074" t="inlineStr">
        <is>
          <t>M1</t>
        </is>
      </c>
      <c r="C6074" t="inlineStr">
        <is>
          <t>Cali</t>
        </is>
      </c>
      <c r="D6074" t="inlineStr">
        <is>
          <t>9167</t>
        </is>
      </c>
      <c r="E6074" t="inlineStr">
        <is>
          <t>pagado</t>
        </is>
      </c>
      <c r="F6074" s="23" t="n">
        <v>46277</v>
      </c>
      <c r="G6074" s="24">
        <f>F6074-DATE(2026,8,31)</f>
        <v>12</v>
      </c>
      <c r="H6074" s="25" t="n">
        <v>59924640</v>
      </c>
      <c r="I6074" t="inlineStr">
        <is>
          <t>entidad-dia</t>
        </is>
      </c>
    </row>
    <row r="6075">
      <c r="A6075" t="inlineStr">
        <is>
          <t>PRAGMA</t>
        </is>
      </c>
      <c r="B6075" t="inlineStr">
        <is>
          <t>M1</t>
        </is>
      </c>
      <c r="C6075" t="inlineStr">
        <is>
          <t>Cali</t>
        </is>
      </c>
      <c r="D6075" t="inlineStr">
        <is>
          <t>9167</t>
        </is>
      </c>
      <c r="E6075" t="inlineStr">
        <is>
          <t>pagado</t>
        </is>
      </c>
      <c r="F6075" s="23" t="n">
        <v>46278</v>
      </c>
      <c r="G6075" s="24">
        <f>F6075-DATE(2026,8,31)</f>
        <v>13</v>
      </c>
      <c r="H6075" s="25" t="n">
        <v>21580266</v>
      </c>
      <c r="I6075" t="inlineStr">
        <is>
          <t>entidad-dia</t>
        </is>
      </c>
    </row>
    <row r="6076">
      <c r="A6076" t="inlineStr">
        <is>
          <t>PRAGMA</t>
        </is>
      </c>
      <c r="B6076" t="inlineStr">
        <is>
          <t>M1</t>
        </is>
      </c>
      <c r="C6076" t="inlineStr">
        <is>
          <t>Cali</t>
        </is>
      </c>
      <c r="D6076" t="inlineStr">
        <is>
          <t>9167</t>
        </is>
      </c>
      <c r="E6076" t="inlineStr">
        <is>
          <t>pagado</t>
        </is>
      </c>
      <c r="F6076" s="23" t="n">
        <v>46279</v>
      </c>
      <c r="G6076" s="24">
        <f>F6076-DATE(2026,8,31)</f>
        <v>14</v>
      </c>
      <c r="H6076" s="25" t="n">
        <v>51385385</v>
      </c>
      <c r="I6076" t="inlineStr">
        <is>
          <t>entidad-dia</t>
        </is>
      </c>
    </row>
    <row r="6077">
      <c r="A6077" t="inlineStr">
        <is>
          <t>PRAGMA</t>
        </is>
      </c>
      <c r="B6077" t="inlineStr">
        <is>
          <t>M1</t>
        </is>
      </c>
      <c r="C6077" t="inlineStr">
        <is>
          <t>Cali</t>
        </is>
      </c>
      <c r="D6077" t="inlineStr">
        <is>
          <t>9167</t>
        </is>
      </c>
      <c r="E6077" t="inlineStr">
        <is>
          <t>pagado</t>
        </is>
      </c>
      <c r="F6077" s="23" t="n">
        <v>46280</v>
      </c>
      <c r="G6077" s="24">
        <f>F6077-DATE(2026,8,31)</f>
        <v>15</v>
      </c>
      <c r="H6077" s="25" t="n">
        <v>84213646</v>
      </c>
      <c r="I6077" t="inlineStr">
        <is>
          <t>entidad-dia</t>
        </is>
      </c>
    </row>
    <row r="6078">
      <c r="A6078" t="inlineStr">
        <is>
          <t>PRAGMA</t>
        </is>
      </c>
      <c r="B6078" t="inlineStr">
        <is>
          <t>M1</t>
        </is>
      </c>
      <c r="C6078" t="inlineStr">
        <is>
          <t>Cali</t>
        </is>
      </c>
      <c r="D6078" t="inlineStr">
        <is>
          <t>9168</t>
        </is>
      </c>
      <c r="E6078" t="inlineStr">
        <is>
          <t>pagado</t>
        </is>
      </c>
      <c r="F6078" s="23" t="n">
        <v>46266</v>
      </c>
      <c r="G6078" s="24">
        <f>F6078-DATE(2026,8,31)</f>
        <v>1</v>
      </c>
      <c r="H6078" s="25" t="n">
        <v>110656985</v>
      </c>
      <c r="I6078" t="inlineStr">
        <is>
          <t>entidad-dia</t>
        </is>
      </c>
    </row>
    <row r="6079">
      <c r="A6079" t="inlineStr">
        <is>
          <t>PRAGMA</t>
        </is>
      </c>
      <c r="B6079" t="inlineStr">
        <is>
          <t>M1</t>
        </is>
      </c>
      <c r="C6079" t="inlineStr">
        <is>
          <t>Cali</t>
        </is>
      </c>
      <c r="D6079" t="inlineStr">
        <is>
          <t>9168</t>
        </is>
      </c>
      <c r="E6079" t="inlineStr">
        <is>
          <t>pagado</t>
        </is>
      </c>
      <c r="F6079" s="23" t="n">
        <v>46267</v>
      </c>
      <c r="G6079" s="24">
        <f>F6079-DATE(2026,8,31)</f>
        <v>2</v>
      </c>
      <c r="H6079" s="25" t="n">
        <v>95465942</v>
      </c>
      <c r="I6079" t="inlineStr">
        <is>
          <t>entidad-dia</t>
        </is>
      </c>
    </row>
    <row r="6080">
      <c r="A6080" t="inlineStr">
        <is>
          <t>PRAGMA</t>
        </is>
      </c>
      <c r="B6080" t="inlineStr">
        <is>
          <t>M1</t>
        </is>
      </c>
      <c r="C6080" t="inlineStr">
        <is>
          <t>Cali</t>
        </is>
      </c>
      <c r="D6080" t="inlineStr">
        <is>
          <t>9168</t>
        </is>
      </c>
      <c r="E6080" t="inlineStr">
        <is>
          <t>pagado</t>
        </is>
      </c>
      <c r="F6080" s="23" t="n">
        <v>46268</v>
      </c>
      <c r="G6080" s="24">
        <f>F6080-DATE(2026,8,31)</f>
        <v>3</v>
      </c>
      <c r="H6080" s="25" t="n">
        <v>82079570</v>
      </c>
      <c r="I6080" t="inlineStr">
        <is>
          <t>entidad-dia</t>
        </is>
      </c>
    </row>
    <row r="6081">
      <c r="A6081" t="inlineStr">
        <is>
          <t>PRAGMA</t>
        </is>
      </c>
      <c r="B6081" t="inlineStr">
        <is>
          <t>M1</t>
        </is>
      </c>
      <c r="C6081" t="inlineStr">
        <is>
          <t>Cali</t>
        </is>
      </c>
      <c r="D6081" t="inlineStr">
        <is>
          <t>9168</t>
        </is>
      </c>
      <c r="E6081" t="inlineStr">
        <is>
          <t>pagado</t>
        </is>
      </c>
      <c r="F6081" s="23" t="n">
        <v>46269</v>
      </c>
      <c r="G6081" s="24">
        <f>F6081-DATE(2026,8,31)</f>
        <v>4</v>
      </c>
      <c r="H6081" s="25" t="n">
        <v>87712429</v>
      </c>
      <c r="I6081" t="inlineStr">
        <is>
          <t>entidad-dia</t>
        </is>
      </c>
    </row>
    <row r="6082">
      <c r="A6082" t="inlineStr">
        <is>
          <t>PRAGMA</t>
        </is>
      </c>
      <c r="B6082" t="inlineStr">
        <is>
          <t>M1</t>
        </is>
      </c>
      <c r="C6082" t="inlineStr">
        <is>
          <t>Cali</t>
        </is>
      </c>
      <c r="D6082" t="inlineStr">
        <is>
          <t>9168</t>
        </is>
      </c>
      <c r="E6082" t="inlineStr">
        <is>
          <t>pagado</t>
        </is>
      </c>
      <c r="F6082" s="23" t="n">
        <v>46270</v>
      </c>
      <c r="G6082" s="24">
        <f>F6082-DATE(2026,8,31)</f>
        <v>5</v>
      </c>
      <c r="H6082" s="25" t="n">
        <v>82085609</v>
      </c>
      <c r="I6082" t="inlineStr">
        <is>
          <t>entidad-dia</t>
        </is>
      </c>
    </row>
    <row r="6083">
      <c r="A6083" t="inlineStr">
        <is>
          <t>PRAGMA</t>
        </is>
      </c>
      <c r="B6083" t="inlineStr">
        <is>
          <t>M1</t>
        </is>
      </c>
      <c r="C6083" t="inlineStr">
        <is>
          <t>Cali</t>
        </is>
      </c>
      <c r="D6083" t="inlineStr">
        <is>
          <t>9168</t>
        </is>
      </c>
      <c r="E6083" t="inlineStr">
        <is>
          <t>pagado</t>
        </is>
      </c>
      <c r="F6083" s="23" t="n">
        <v>46271</v>
      </c>
      <c r="G6083" s="24">
        <f>F6083-DATE(2026,8,31)</f>
        <v>6</v>
      </c>
      <c r="H6083" s="25" t="n">
        <v>37583890</v>
      </c>
      <c r="I6083" t="inlineStr">
        <is>
          <t>entidad-dia</t>
        </is>
      </c>
    </row>
    <row r="6084">
      <c r="A6084" t="inlineStr">
        <is>
          <t>PRAGMA</t>
        </is>
      </c>
      <c r="B6084" t="inlineStr">
        <is>
          <t>M1</t>
        </is>
      </c>
      <c r="C6084" t="inlineStr">
        <is>
          <t>Cali</t>
        </is>
      </c>
      <c r="D6084" t="inlineStr">
        <is>
          <t>9168</t>
        </is>
      </c>
      <c r="E6084" t="inlineStr">
        <is>
          <t>pagado</t>
        </is>
      </c>
      <c r="F6084" s="23" t="n">
        <v>46272</v>
      </c>
      <c r="G6084" s="24">
        <f>F6084-DATE(2026,8,31)</f>
        <v>7</v>
      </c>
      <c r="H6084" s="25" t="n">
        <v>65405009</v>
      </c>
      <c r="I6084" t="inlineStr">
        <is>
          <t>entidad-dia</t>
        </is>
      </c>
    </row>
    <row r="6085">
      <c r="A6085" t="inlineStr">
        <is>
          <t>PRAGMA</t>
        </is>
      </c>
      <c r="B6085" t="inlineStr">
        <is>
          <t>M1</t>
        </is>
      </c>
      <c r="C6085" t="inlineStr">
        <is>
          <t>Cali</t>
        </is>
      </c>
      <c r="D6085" t="inlineStr">
        <is>
          <t>9168</t>
        </is>
      </c>
      <c r="E6085" t="inlineStr">
        <is>
          <t>pagado</t>
        </is>
      </c>
      <c r="F6085" s="23" t="n">
        <v>46273</v>
      </c>
      <c r="G6085" s="24">
        <f>F6085-DATE(2026,8,31)</f>
        <v>8</v>
      </c>
      <c r="H6085" s="25" t="n">
        <v>70379382</v>
      </c>
      <c r="I6085" t="inlineStr">
        <is>
          <t>entidad-dia</t>
        </is>
      </c>
    </row>
    <row r="6086">
      <c r="A6086" t="inlineStr">
        <is>
          <t>PRAGMA</t>
        </is>
      </c>
      <c r="B6086" t="inlineStr">
        <is>
          <t>M1</t>
        </is>
      </c>
      <c r="C6086" t="inlineStr">
        <is>
          <t>Cali</t>
        </is>
      </c>
      <c r="D6086" t="inlineStr">
        <is>
          <t>9168</t>
        </is>
      </c>
      <c r="E6086" t="inlineStr">
        <is>
          <t>pagado</t>
        </is>
      </c>
      <c r="F6086" s="23" t="n">
        <v>46274</v>
      </c>
      <c r="G6086" s="24">
        <f>F6086-DATE(2026,8,31)</f>
        <v>9</v>
      </c>
      <c r="H6086" s="25" t="n">
        <v>60264820</v>
      </c>
      <c r="I6086" t="inlineStr">
        <is>
          <t>entidad-dia</t>
        </is>
      </c>
    </row>
    <row r="6087">
      <c r="A6087" t="inlineStr">
        <is>
          <t>PRAGMA</t>
        </is>
      </c>
      <c r="B6087" t="inlineStr">
        <is>
          <t>M1</t>
        </is>
      </c>
      <c r="C6087" t="inlineStr">
        <is>
          <t>Cali</t>
        </is>
      </c>
      <c r="D6087" t="inlineStr">
        <is>
          <t>9168</t>
        </is>
      </c>
      <c r="E6087" t="inlineStr">
        <is>
          <t>pagado</t>
        </is>
      </c>
      <c r="F6087" s="23" t="n">
        <v>46275</v>
      </c>
      <c r="G6087" s="24">
        <f>F6087-DATE(2026,8,31)</f>
        <v>10</v>
      </c>
      <c r="H6087" s="25" t="n">
        <v>55474752</v>
      </c>
      <c r="I6087" t="inlineStr">
        <is>
          <t>entidad-dia</t>
        </is>
      </c>
    </row>
    <row r="6088">
      <c r="A6088" t="inlineStr">
        <is>
          <t>PRAGMA</t>
        </is>
      </c>
      <c r="B6088" t="inlineStr">
        <is>
          <t>M1</t>
        </is>
      </c>
      <c r="C6088" t="inlineStr">
        <is>
          <t>Cali</t>
        </is>
      </c>
      <c r="D6088" t="inlineStr">
        <is>
          <t>9168</t>
        </is>
      </c>
      <c r="E6088" t="inlineStr">
        <is>
          <t>pagado</t>
        </is>
      </c>
      <c r="F6088" s="23" t="n">
        <v>46276</v>
      </c>
      <c r="G6088" s="24">
        <f>F6088-DATE(2026,8,31)</f>
        <v>11</v>
      </c>
      <c r="H6088" s="25" t="n">
        <v>67929161</v>
      </c>
      <c r="I6088" t="inlineStr">
        <is>
          <t>entidad-dia</t>
        </is>
      </c>
    </row>
    <row r="6089">
      <c r="A6089" t="inlineStr">
        <is>
          <t>PRAGMA</t>
        </is>
      </c>
      <c r="B6089" t="inlineStr">
        <is>
          <t>M1</t>
        </is>
      </c>
      <c r="C6089" t="inlineStr">
        <is>
          <t>Cali</t>
        </is>
      </c>
      <c r="D6089" t="inlineStr">
        <is>
          <t>9168</t>
        </is>
      </c>
      <c r="E6089" t="inlineStr">
        <is>
          <t>pagado</t>
        </is>
      </c>
      <c r="F6089" s="23" t="n">
        <v>46277</v>
      </c>
      <c r="G6089" s="24">
        <f>F6089-DATE(2026,8,31)</f>
        <v>12</v>
      </c>
      <c r="H6089" s="25" t="n">
        <v>61065117</v>
      </c>
      <c r="I6089" t="inlineStr">
        <is>
          <t>entidad-dia</t>
        </is>
      </c>
    </row>
    <row r="6090">
      <c r="A6090" t="inlineStr">
        <is>
          <t>PRAGMA</t>
        </is>
      </c>
      <c r="B6090" t="inlineStr">
        <is>
          <t>M1</t>
        </is>
      </c>
      <c r="C6090" t="inlineStr">
        <is>
          <t>Cali</t>
        </is>
      </c>
      <c r="D6090" t="inlineStr">
        <is>
          <t>9168</t>
        </is>
      </c>
      <c r="E6090" t="inlineStr">
        <is>
          <t>pagado</t>
        </is>
      </c>
      <c r="F6090" s="23" t="n">
        <v>46278</v>
      </c>
      <c r="G6090" s="24">
        <f>F6090-DATE(2026,8,31)</f>
        <v>13</v>
      </c>
      <c r="H6090" s="25" t="n">
        <v>29545754</v>
      </c>
      <c r="I6090" t="inlineStr">
        <is>
          <t>entidad-dia</t>
        </is>
      </c>
    </row>
    <row r="6091">
      <c r="A6091" t="inlineStr">
        <is>
          <t>PRAGMA</t>
        </is>
      </c>
      <c r="B6091" t="inlineStr">
        <is>
          <t>M1</t>
        </is>
      </c>
      <c r="C6091" t="inlineStr">
        <is>
          <t>Cali</t>
        </is>
      </c>
      <c r="D6091" t="inlineStr">
        <is>
          <t>9168</t>
        </is>
      </c>
      <c r="E6091" t="inlineStr">
        <is>
          <t>pagado</t>
        </is>
      </c>
      <c r="F6091" s="23" t="n">
        <v>46279</v>
      </c>
      <c r="G6091" s="24">
        <f>F6091-DATE(2026,8,31)</f>
        <v>14</v>
      </c>
      <c r="H6091" s="25" t="n">
        <v>54202668</v>
      </c>
      <c r="I6091" t="inlineStr">
        <is>
          <t>entidad-dia</t>
        </is>
      </c>
    </row>
    <row r="6092">
      <c r="A6092" t="inlineStr">
        <is>
          <t>PRAGMA</t>
        </is>
      </c>
      <c r="B6092" t="inlineStr">
        <is>
          <t>M1</t>
        </is>
      </c>
      <c r="C6092" t="inlineStr">
        <is>
          <t>Cali</t>
        </is>
      </c>
      <c r="D6092" t="inlineStr">
        <is>
          <t>9168</t>
        </is>
      </c>
      <c r="E6092" t="inlineStr">
        <is>
          <t>pagado</t>
        </is>
      </c>
      <c r="F6092" s="23" t="n">
        <v>46280</v>
      </c>
      <c r="G6092" s="24">
        <f>F6092-DATE(2026,8,31)</f>
        <v>15</v>
      </c>
      <c r="H6092" s="25" t="n">
        <v>94096905</v>
      </c>
      <c r="I6092" t="inlineStr">
        <is>
          <t>entidad-dia</t>
        </is>
      </c>
    </row>
    <row r="6093">
      <c r="A6093" t="inlineStr">
        <is>
          <t>PRAGMA</t>
        </is>
      </c>
      <c r="B6093" t="inlineStr">
        <is>
          <t>M1</t>
        </is>
      </c>
      <c r="C6093" t="inlineStr">
        <is>
          <t>Pasto</t>
        </is>
      </c>
      <c r="D6093" t="inlineStr">
        <is>
          <t>9224</t>
        </is>
      </c>
      <c r="E6093" t="inlineStr">
        <is>
          <t>pagado</t>
        </is>
      </c>
      <c r="F6093" s="23" t="n">
        <v>46266</v>
      </c>
      <c r="G6093" s="24">
        <f>F6093-DATE(2026,8,31)</f>
        <v>1</v>
      </c>
      <c r="H6093" s="25" t="n">
        <v>69896088</v>
      </c>
      <c r="I6093" t="inlineStr">
        <is>
          <t>entidad-dia</t>
        </is>
      </c>
    </row>
    <row r="6094">
      <c r="A6094" t="inlineStr">
        <is>
          <t>PRAGMA</t>
        </is>
      </c>
      <c r="B6094" t="inlineStr">
        <is>
          <t>M1</t>
        </is>
      </c>
      <c r="C6094" t="inlineStr">
        <is>
          <t>Pasto</t>
        </is>
      </c>
      <c r="D6094" t="inlineStr">
        <is>
          <t>9224</t>
        </is>
      </c>
      <c r="E6094" t="inlineStr">
        <is>
          <t>pagado</t>
        </is>
      </c>
      <c r="F6094" s="23" t="n">
        <v>46267</v>
      </c>
      <c r="G6094" s="24">
        <f>F6094-DATE(2026,8,31)</f>
        <v>2</v>
      </c>
      <c r="H6094" s="25" t="n">
        <v>45906570</v>
      </c>
      <c r="I6094" t="inlineStr">
        <is>
          <t>entidad-dia</t>
        </is>
      </c>
    </row>
    <row r="6095">
      <c r="A6095" t="inlineStr">
        <is>
          <t>PRAGMA</t>
        </is>
      </c>
      <c r="B6095" t="inlineStr">
        <is>
          <t>M1</t>
        </is>
      </c>
      <c r="C6095" t="inlineStr">
        <is>
          <t>Pasto</t>
        </is>
      </c>
      <c r="D6095" t="inlineStr">
        <is>
          <t>9224</t>
        </is>
      </c>
      <c r="E6095" t="inlineStr">
        <is>
          <t>pagado</t>
        </is>
      </c>
      <c r="F6095" s="23" t="n">
        <v>46268</v>
      </c>
      <c r="G6095" s="24">
        <f>F6095-DATE(2026,8,31)</f>
        <v>3</v>
      </c>
      <c r="H6095" s="25" t="n">
        <v>34471741</v>
      </c>
      <c r="I6095" t="inlineStr">
        <is>
          <t>entidad-dia</t>
        </is>
      </c>
    </row>
    <row r="6096">
      <c r="A6096" t="inlineStr">
        <is>
          <t>PRAGMA</t>
        </is>
      </c>
      <c r="B6096" t="inlineStr">
        <is>
          <t>M1</t>
        </is>
      </c>
      <c r="C6096" t="inlineStr">
        <is>
          <t>Pasto</t>
        </is>
      </c>
      <c r="D6096" t="inlineStr">
        <is>
          <t>9224</t>
        </is>
      </c>
      <c r="E6096" t="inlineStr">
        <is>
          <t>pagado</t>
        </is>
      </c>
      <c r="F6096" s="23" t="n">
        <v>46269</v>
      </c>
      <c r="G6096" s="24">
        <f>F6096-DATE(2026,8,31)</f>
        <v>4</v>
      </c>
      <c r="H6096" s="25" t="n">
        <v>32250748</v>
      </c>
      <c r="I6096" t="inlineStr">
        <is>
          <t>entidad-dia</t>
        </is>
      </c>
    </row>
    <row r="6097">
      <c r="A6097" t="inlineStr">
        <is>
          <t>PRAGMA</t>
        </is>
      </c>
      <c r="B6097" t="inlineStr">
        <is>
          <t>M1</t>
        </is>
      </c>
      <c r="C6097" t="inlineStr">
        <is>
          <t>Pasto</t>
        </is>
      </c>
      <c r="D6097" t="inlineStr">
        <is>
          <t>9224</t>
        </is>
      </c>
      <c r="E6097" t="inlineStr">
        <is>
          <t>pagado</t>
        </is>
      </c>
      <c r="F6097" s="23" t="n">
        <v>46270</v>
      </c>
      <c r="G6097" s="24">
        <f>F6097-DATE(2026,8,31)</f>
        <v>5</v>
      </c>
      <c r="H6097" s="25" t="n">
        <v>21800138</v>
      </c>
      <c r="I6097" t="inlineStr">
        <is>
          <t>entidad-dia</t>
        </is>
      </c>
    </row>
    <row r="6098">
      <c r="A6098" t="inlineStr">
        <is>
          <t>PRAGMA</t>
        </is>
      </c>
      <c r="B6098" t="inlineStr">
        <is>
          <t>M1</t>
        </is>
      </c>
      <c r="C6098" t="inlineStr">
        <is>
          <t>Pasto</t>
        </is>
      </c>
      <c r="D6098" t="inlineStr">
        <is>
          <t>9224</t>
        </is>
      </c>
      <c r="E6098" t="inlineStr">
        <is>
          <t>pagado</t>
        </is>
      </c>
      <c r="F6098" s="23" t="n">
        <v>46271</v>
      </c>
      <c r="G6098" s="24">
        <f>F6098-DATE(2026,8,31)</f>
        <v>6</v>
      </c>
      <c r="H6098" s="25" t="n">
        <v>13182234</v>
      </c>
      <c r="I6098" t="inlineStr">
        <is>
          <t>entidad-dia</t>
        </is>
      </c>
    </row>
    <row r="6099">
      <c r="A6099" t="inlineStr">
        <is>
          <t>PRAGMA</t>
        </is>
      </c>
      <c r="B6099" t="inlineStr">
        <is>
          <t>M1</t>
        </is>
      </c>
      <c r="C6099" t="inlineStr">
        <is>
          <t>Pasto</t>
        </is>
      </c>
      <c r="D6099" t="inlineStr">
        <is>
          <t>9224</t>
        </is>
      </c>
      <c r="E6099" t="inlineStr">
        <is>
          <t>pagado</t>
        </is>
      </c>
      <c r="F6099" s="23" t="n">
        <v>46272</v>
      </c>
      <c r="G6099" s="24">
        <f>F6099-DATE(2026,8,31)</f>
        <v>7</v>
      </c>
      <c r="H6099" s="25" t="n">
        <v>20725925</v>
      </c>
      <c r="I6099" t="inlineStr">
        <is>
          <t>entidad-dia</t>
        </is>
      </c>
    </row>
    <row r="6100">
      <c r="A6100" t="inlineStr">
        <is>
          <t>PRAGMA</t>
        </is>
      </c>
      <c r="B6100" t="inlineStr">
        <is>
          <t>M1</t>
        </is>
      </c>
      <c r="C6100" t="inlineStr">
        <is>
          <t>Pasto</t>
        </is>
      </c>
      <c r="D6100" t="inlineStr">
        <is>
          <t>9224</t>
        </is>
      </c>
      <c r="E6100" t="inlineStr">
        <is>
          <t>pagado</t>
        </is>
      </c>
      <c r="F6100" s="23" t="n">
        <v>46273</v>
      </c>
      <c r="G6100" s="24">
        <f>F6100-DATE(2026,8,31)</f>
        <v>8</v>
      </c>
      <c r="H6100" s="25" t="n">
        <v>18464010</v>
      </c>
      <c r="I6100" t="inlineStr">
        <is>
          <t>entidad-dia</t>
        </is>
      </c>
    </row>
    <row r="6101">
      <c r="A6101" t="inlineStr">
        <is>
          <t>PRAGMA</t>
        </is>
      </c>
      <c r="B6101" t="inlineStr">
        <is>
          <t>M1</t>
        </is>
      </c>
      <c r="C6101" t="inlineStr">
        <is>
          <t>Pasto</t>
        </is>
      </c>
      <c r="D6101" t="inlineStr">
        <is>
          <t>9224</t>
        </is>
      </c>
      <c r="E6101" t="inlineStr">
        <is>
          <t>pagado</t>
        </is>
      </c>
      <c r="F6101" s="23" t="n">
        <v>46274</v>
      </c>
      <c r="G6101" s="24">
        <f>F6101-DATE(2026,8,31)</f>
        <v>9</v>
      </c>
      <c r="H6101" s="25" t="n">
        <v>17035316</v>
      </c>
      <c r="I6101" t="inlineStr">
        <is>
          <t>entidad-dia</t>
        </is>
      </c>
    </row>
    <row r="6102">
      <c r="A6102" t="inlineStr">
        <is>
          <t>PRAGMA</t>
        </is>
      </c>
      <c r="B6102" t="inlineStr">
        <is>
          <t>M1</t>
        </is>
      </c>
      <c r="C6102" t="inlineStr">
        <is>
          <t>Pasto</t>
        </is>
      </c>
      <c r="D6102" t="inlineStr">
        <is>
          <t>9224</t>
        </is>
      </c>
      <c r="E6102" t="inlineStr">
        <is>
          <t>pagado</t>
        </is>
      </c>
      <c r="F6102" s="23" t="n">
        <v>46275</v>
      </c>
      <c r="G6102" s="24">
        <f>F6102-DATE(2026,8,31)</f>
        <v>10</v>
      </c>
      <c r="H6102" s="25" t="n">
        <v>17991094</v>
      </c>
      <c r="I6102" t="inlineStr">
        <is>
          <t>entidad-dia</t>
        </is>
      </c>
    </row>
    <row r="6103">
      <c r="A6103" t="inlineStr">
        <is>
          <t>PRAGMA</t>
        </is>
      </c>
      <c r="B6103" t="inlineStr">
        <is>
          <t>M1</t>
        </is>
      </c>
      <c r="C6103" t="inlineStr">
        <is>
          <t>Pasto</t>
        </is>
      </c>
      <c r="D6103" t="inlineStr">
        <is>
          <t>9224</t>
        </is>
      </c>
      <c r="E6103" t="inlineStr">
        <is>
          <t>pagado</t>
        </is>
      </c>
      <c r="F6103" s="23" t="n">
        <v>46276</v>
      </c>
      <c r="G6103" s="24">
        <f>F6103-DATE(2026,8,31)</f>
        <v>11</v>
      </c>
      <c r="H6103" s="25" t="n">
        <v>20147285</v>
      </c>
      <c r="I6103" t="inlineStr">
        <is>
          <t>entidad-dia</t>
        </is>
      </c>
    </row>
    <row r="6104">
      <c r="A6104" t="inlineStr">
        <is>
          <t>PRAGMA</t>
        </is>
      </c>
      <c r="B6104" t="inlineStr">
        <is>
          <t>M1</t>
        </is>
      </c>
      <c r="C6104" t="inlineStr">
        <is>
          <t>Pasto</t>
        </is>
      </c>
      <c r="D6104" t="inlineStr">
        <is>
          <t>9224</t>
        </is>
      </c>
      <c r="E6104" t="inlineStr">
        <is>
          <t>pagado</t>
        </is>
      </c>
      <c r="F6104" s="23" t="n">
        <v>46277</v>
      </c>
      <c r="G6104" s="24">
        <f>F6104-DATE(2026,8,31)</f>
        <v>12</v>
      </c>
      <c r="H6104" s="25" t="n">
        <v>13309577</v>
      </c>
      <c r="I6104" t="inlineStr">
        <is>
          <t>entidad-dia</t>
        </is>
      </c>
    </row>
    <row r="6105">
      <c r="A6105" t="inlineStr">
        <is>
          <t>PRAGMA</t>
        </is>
      </c>
      <c r="B6105" t="inlineStr">
        <is>
          <t>M1</t>
        </is>
      </c>
      <c r="C6105" t="inlineStr">
        <is>
          <t>Pasto</t>
        </is>
      </c>
      <c r="D6105" t="inlineStr">
        <is>
          <t>9224</t>
        </is>
      </c>
      <c r="E6105" t="inlineStr">
        <is>
          <t>pagado</t>
        </is>
      </c>
      <c r="F6105" s="23" t="n">
        <v>46278</v>
      </c>
      <c r="G6105" s="24">
        <f>F6105-DATE(2026,8,31)</f>
        <v>13</v>
      </c>
      <c r="H6105" s="25" t="n">
        <v>8372938</v>
      </c>
      <c r="I6105" t="inlineStr">
        <is>
          <t>entidad-dia</t>
        </is>
      </c>
    </row>
    <row r="6106">
      <c r="A6106" t="inlineStr">
        <is>
          <t>PRAGMA</t>
        </is>
      </c>
      <c r="B6106" t="inlineStr">
        <is>
          <t>M1</t>
        </is>
      </c>
      <c r="C6106" t="inlineStr">
        <is>
          <t>Pasto</t>
        </is>
      </c>
      <c r="D6106" t="inlineStr">
        <is>
          <t>9224</t>
        </is>
      </c>
      <c r="E6106" t="inlineStr">
        <is>
          <t>pagado</t>
        </is>
      </c>
      <c r="F6106" s="23" t="n">
        <v>46279</v>
      </c>
      <c r="G6106" s="24">
        <f>F6106-DATE(2026,8,31)</f>
        <v>14</v>
      </c>
      <c r="H6106" s="25" t="n">
        <v>17126460</v>
      </c>
      <c r="I6106" t="inlineStr">
        <is>
          <t>entidad-dia</t>
        </is>
      </c>
    </row>
    <row r="6107">
      <c r="A6107" t="inlineStr">
        <is>
          <t>PRAGMA</t>
        </is>
      </c>
      <c r="B6107" t="inlineStr">
        <is>
          <t>M1</t>
        </is>
      </c>
      <c r="C6107" t="inlineStr">
        <is>
          <t>Pasto</t>
        </is>
      </c>
      <c r="D6107" t="inlineStr">
        <is>
          <t>9224</t>
        </is>
      </c>
      <c r="E6107" t="inlineStr">
        <is>
          <t>pagado</t>
        </is>
      </c>
      <c r="F6107" s="23" t="n">
        <v>46280</v>
      </c>
      <c r="G6107" s="24">
        <f>F6107-DATE(2026,8,31)</f>
        <v>15</v>
      </c>
      <c r="H6107" s="25" t="n">
        <v>31057893</v>
      </c>
      <c r="I6107" t="inlineStr">
        <is>
          <t>entidad-dia</t>
        </is>
      </c>
    </row>
    <row r="6108">
      <c r="A6108" t="inlineStr">
        <is>
          <t>PRAGMA</t>
        </is>
      </c>
      <c r="B6108" t="inlineStr">
        <is>
          <t>M1</t>
        </is>
      </c>
      <c r="C6108" t="inlineStr">
        <is>
          <t>Cali</t>
        </is>
      </c>
      <c r="D6108" t="inlineStr">
        <is>
          <t>9258</t>
        </is>
      </c>
      <c r="E6108" t="inlineStr">
        <is>
          <t>pagado</t>
        </is>
      </c>
      <c r="F6108" s="23" t="n">
        <v>46266</v>
      </c>
      <c r="G6108" s="24">
        <f>F6108-DATE(2026,8,31)</f>
        <v>1</v>
      </c>
      <c r="H6108" s="25" t="n">
        <v>82739534</v>
      </c>
      <c r="I6108" t="inlineStr">
        <is>
          <t>entidad-dia</t>
        </is>
      </c>
    </row>
    <row r="6109">
      <c r="A6109" t="inlineStr">
        <is>
          <t>PRAGMA</t>
        </is>
      </c>
      <c r="B6109" t="inlineStr">
        <is>
          <t>M1</t>
        </is>
      </c>
      <c r="C6109" t="inlineStr">
        <is>
          <t>Cali</t>
        </is>
      </c>
      <c r="D6109" t="inlineStr">
        <is>
          <t>9258</t>
        </is>
      </c>
      <c r="E6109" t="inlineStr">
        <is>
          <t>pagado</t>
        </is>
      </c>
      <c r="F6109" s="23" t="n">
        <v>46267</v>
      </c>
      <c r="G6109" s="24">
        <f>F6109-DATE(2026,8,31)</f>
        <v>2</v>
      </c>
      <c r="H6109" s="25" t="n">
        <v>67203327</v>
      </c>
      <c r="I6109" t="inlineStr">
        <is>
          <t>entidad-dia</t>
        </is>
      </c>
    </row>
    <row r="6110">
      <c r="A6110" t="inlineStr">
        <is>
          <t>PRAGMA</t>
        </is>
      </c>
      <c r="B6110" t="inlineStr">
        <is>
          <t>M1</t>
        </is>
      </c>
      <c r="C6110" t="inlineStr">
        <is>
          <t>Cali</t>
        </is>
      </c>
      <c r="D6110" t="inlineStr">
        <is>
          <t>9258</t>
        </is>
      </c>
      <c r="E6110" t="inlineStr">
        <is>
          <t>pagado</t>
        </is>
      </c>
      <c r="F6110" s="23" t="n">
        <v>46268</v>
      </c>
      <c r="G6110" s="24">
        <f>F6110-DATE(2026,8,31)</f>
        <v>3</v>
      </c>
      <c r="H6110" s="25" t="n">
        <v>60777134</v>
      </c>
      <c r="I6110" t="inlineStr">
        <is>
          <t>entidad-dia</t>
        </is>
      </c>
    </row>
    <row r="6111">
      <c r="A6111" t="inlineStr">
        <is>
          <t>PRAGMA</t>
        </is>
      </c>
      <c r="B6111" t="inlineStr">
        <is>
          <t>M1</t>
        </is>
      </c>
      <c r="C6111" t="inlineStr">
        <is>
          <t>Cali</t>
        </is>
      </c>
      <c r="D6111" t="inlineStr">
        <is>
          <t>9258</t>
        </is>
      </c>
      <c r="E6111" t="inlineStr">
        <is>
          <t>pagado</t>
        </is>
      </c>
      <c r="F6111" s="23" t="n">
        <v>46269</v>
      </c>
      <c r="G6111" s="24">
        <f>F6111-DATE(2026,8,31)</f>
        <v>4</v>
      </c>
      <c r="H6111" s="25" t="n">
        <v>58732460</v>
      </c>
      <c r="I6111" t="inlineStr">
        <is>
          <t>entidad-dia</t>
        </is>
      </c>
    </row>
    <row r="6112">
      <c r="A6112" t="inlineStr">
        <is>
          <t>PRAGMA</t>
        </is>
      </c>
      <c r="B6112" t="inlineStr">
        <is>
          <t>M1</t>
        </is>
      </c>
      <c r="C6112" t="inlineStr">
        <is>
          <t>Cali</t>
        </is>
      </c>
      <c r="D6112" t="inlineStr">
        <is>
          <t>9258</t>
        </is>
      </c>
      <c r="E6112" t="inlineStr">
        <is>
          <t>pagado</t>
        </is>
      </c>
      <c r="F6112" s="23" t="n">
        <v>46270</v>
      </c>
      <c r="G6112" s="24">
        <f>F6112-DATE(2026,8,31)</f>
        <v>5</v>
      </c>
      <c r="H6112" s="25" t="n">
        <v>67199679</v>
      </c>
      <c r="I6112" t="inlineStr">
        <is>
          <t>entidad-dia</t>
        </is>
      </c>
    </row>
    <row r="6113">
      <c r="A6113" t="inlineStr">
        <is>
          <t>PRAGMA</t>
        </is>
      </c>
      <c r="B6113" t="inlineStr">
        <is>
          <t>M1</t>
        </is>
      </c>
      <c r="C6113" t="inlineStr">
        <is>
          <t>Cali</t>
        </is>
      </c>
      <c r="D6113" t="inlineStr">
        <is>
          <t>9258</t>
        </is>
      </c>
      <c r="E6113" t="inlineStr">
        <is>
          <t>pagado</t>
        </is>
      </c>
      <c r="F6113" s="23" t="n">
        <v>46271</v>
      </c>
      <c r="G6113" s="24">
        <f>F6113-DATE(2026,8,31)</f>
        <v>6</v>
      </c>
      <c r="H6113" s="25" t="n">
        <v>39165212</v>
      </c>
      <c r="I6113" t="inlineStr">
        <is>
          <t>entidad-dia</t>
        </is>
      </c>
    </row>
    <row r="6114">
      <c r="A6114" t="inlineStr">
        <is>
          <t>PRAGMA</t>
        </is>
      </c>
      <c r="B6114" t="inlineStr">
        <is>
          <t>M1</t>
        </is>
      </c>
      <c r="C6114" t="inlineStr">
        <is>
          <t>Cali</t>
        </is>
      </c>
      <c r="D6114" t="inlineStr">
        <is>
          <t>9258</t>
        </is>
      </c>
      <c r="E6114" t="inlineStr">
        <is>
          <t>pagado</t>
        </is>
      </c>
      <c r="F6114" s="23" t="n">
        <v>46272</v>
      </c>
      <c r="G6114" s="24">
        <f>F6114-DATE(2026,8,31)</f>
        <v>7</v>
      </c>
      <c r="H6114" s="25" t="n">
        <v>44095187</v>
      </c>
      <c r="I6114" t="inlineStr">
        <is>
          <t>entidad-dia</t>
        </is>
      </c>
    </row>
    <row r="6115">
      <c r="A6115" t="inlineStr">
        <is>
          <t>PRAGMA</t>
        </is>
      </c>
      <c r="B6115" t="inlineStr">
        <is>
          <t>M1</t>
        </is>
      </c>
      <c r="C6115" t="inlineStr">
        <is>
          <t>Cali</t>
        </is>
      </c>
      <c r="D6115" t="inlineStr">
        <is>
          <t>9258</t>
        </is>
      </c>
      <c r="E6115" t="inlineStr">
        <is>
          <t>pagado</t>
        </is>
      </c>
      <c r="F6115" s="23" t="n">
        <v>46273</v>
      </c>
      <c r="G6115" s="24">
        <f>F6115-DATE(2026,8,31)</f>
        <v>8</v>
      </c>
      <c r="H6115" s="25" t="n">
        <v>44210380</v>
      </c>
      <c r="I6115" t="inlineStr">
        <is>
          <t>entidad-dia</t>
        </is>
      </c>
    </row>
    <row r="6116">
      <c r="A6116" t="inlineStr">
        <is>
          <t>PRAGMA</t>
        </is>
      </c>
      <c r="B6116" t="inlineStr">
        <is>
          <t>M1</t>
        </is>
      </c>
      <c r="C6116" t="inlineStr">
        <is>
          <t>Cali</t>
        </is>
      </c>
      <c r="D6116" t="inlineStr">
        <is>
          <t>9258</t>
        </is>
      </c>
      <c r="E6116" t="inlineStr">
        <is>
          <t>pagado</t>
        </is>
      </c>
      <c r="F6116" s="23" t="n">
        <v>46274</v>
      </c>
      <c r="G6116" s="24">
        <f>F6116-DATE(2026,8,31)</f>
        <v>9</v>
      </c>
      <c r="H6116" s="25" t="n">
        <v>45265685</v>
      </c>
      <c r="I6116" t="inlineStr">
        <is>
          <t>entidad-dia</t>
        </is>
      </c>
    </row>
    <row r="6117">
      <c r="A6117" t="inlineStr">
        <is>
          <t>PRAGMA</t>
        </is>
      </c>
      <c r="B6117" t="inlineStr">
        <is>
          <t>M1</t>
        </is>
      </c>
      <c r="C6117" t="inlineStr">
        <is>
          <t>Cali</t>
        </is>
      </c>
      <c r="D6117" t="inlineStr">
        <is>
          <t>9258</t>
        </is>
      </c>
      <c r="E6117" t="inlineStr">
        <is>
          <t>pagado</t>
        </is>
      </c>
      <c r="F6117" s="23" t="n">
        <v>46275</v>
      </c>
      <c r="G6117" s="24">
        <f>F6117-DATE(2026,8,31)</f>
        <v>10</v>
      </c>
      <c r="H6117" s="25" t="n">
        <v>46394793</v>
      </c>
      <c r="I6117" t="inlineStr">
        <is>
          <t>entidad-dia</t>
        </is>
      </c>
    </row>
    <row r="6118">
      <c r="A6118" t="inlineStr">
        <is>
          <t>PRAGMA</t>
        </is>
      </c>
      <c r="B6118" t="inlineStr">
        <is>
          <t>M1</t>
        </is>
      </c>
      <c r="C6118" t="inlineStr">
        <is>
          <t>Cali</t>
        </is>
      </c>
      <c r="D6118" t="inlineStr">
        <is>
          <t>9258</t>
        </is>
      </c>
      <c r="E6118" t="inlineStr">
        <is>
          <t>pagado</t>
        </is>
      </c>
      <c r="F6118" s="23" t="n">
        <v>46276</v>
      </c>
      <c r="G6118" s="24">
        <f>F6118-DATE(2026,8,31)</f>
        <v>11</v>
      </c>
      <c r="H6118" s="25" t="n">
        <v>45247940</v>
      </c>
      <c r="I6118" t="inlineStr">
        <is>
          <t>entidad-dia</t>
        </is>
      </c>
    </row>
    <row r="6119">
      <c r="A6119" t="inlineStr">
        <is>
          <t>PRAGMA</t>
        </is>
      </c>
      <c r="B6119" t="inlineStr">
        <is>
          <t>M1</t>
        </is>
      </c>
      <c r="C6119" t="inlineStr">
        <is>
          <t>Cali</t>
        </is>
      </c>
      <c r="D6119" t="inlineStr">
        <is>
          <t>9258</t>
        </is>
      </c>
      <c r="E6119" t="inlineStr">
        <is>
          <t>pagado</t>
        </is>
      </c>
      <c r="F6119" s="23" t="n">
        <v>46277</v>
      </c>
      <c r="G6119" s="24">
        <f>F6119-DATE(2026,8,31)</f>
        <v>12</v>
      </c>
      <c r="H6119" s="25" t="n">
        <v>55212732</v>
      </c>
      <c r="I6119" t="inlineStr">
        <is>
          <t>entidad-dia</t>
        </is>
      </c>
    </row>
    <row r="6120">
      <c r="A6120" t="inlineStr">
        <is>
          <t>PRAGMA</t>
        </is>
      </c>
      <c r="B6120" t="inlineStr">
        <is>
          <t>M1</t>
        </is>
      </c>
      <c r="C6120" t="inlineStr">
        <is>
          <t>Cali</t>
        </is>
      </c>
      <c r="D6120" t="inlineStr">
        <is>
          <t>9258</t>
        </is>
      </c>
      <c r="E6120" t="inlineStr">
        <is>
          <t>pagado</t>
        </is>
      </c>
      <c r="F6120" s="23" t="n">
        <v>46278</v>
      </c>
      <c r="G6120" s="24">
        <f>F6120-DATE(2026,8,31)</f>
        <v>13</v>
      </c>
      <c r="H6120" s="25" t="n">
        <v>33812000</v>
      </c>
      <c r="I6120" t="inlineStr">
        <is>
          <t>entidad-dia</t>
        </is>
      </c>
    </row>
    <row r="6121">
      <c r="A6121" t="inlineStr">
        <is>
          <t>PRAGMA</t>
        </is>
      </c>
      <c r="B6121" t="inlineStr">
        <is>
          <t>M1</t>
        </is>
      </c>
      <c r="C6121" t="inlineStr">
        <is>
          <t>Cali</t>
        </is>
      </c>
      <c r="D6121" t="inlineStr">
        <is>
          <t>9258</t>
        </is>
      </c>
      <c r="E6121" t="inlineStr">
        <is>
          <t>pagado</t>
        </is>
      </c>
      <c r="F6121" s="23" t="n">
        <v>46279</v>
      </c>
      <c r="G6121" s="24">
        <f>F6121-DATE(2026,8,31)</f>
        <v>14</v>
      </c>
      <c r="H6121" s="25" t="n">
        <v>45884513</v>
      </c>
      <c r="I6121" t="inlineStr">
        <is>
          <t>entidad-dia</t>
        </is>
      </c>
    </row>
    <row r="6122">
      <c r="A6122" t="inlineStr">
        <is>
          <t>PRAGMA</t>
        </is>
      </c>
      <c r="B6122" t="inlineStr">
        <is>
          <t>M1</t>
        </is>
      </c>
      <c r="C6122" t="inlineStr">
        <is>
          <t>Cali</t>
        </is>
      </c>
      <c r="D6122" t="inlineStr">
        <is>
          <t>9258</t>
        </is>
      </c>
      <c r="E6122" t="inlineStr">
        <is>
          <t>pagado</t>
        </is>
      </c>
      <c r="F6122" s="23" t="n">
        <v>46280</v>
      </c>
      <c r="G6122" s="24">
        <f>F6122-DATE(2026,8,31)</f>
        <v>15</v>
      </c>
      <c r="H6122" s="25" t="n">
        <v>65944044</v>
      </c>
      <c r="I6122" t="inlineStr">
        <is>
          <t>entidad-dia</t>
        </is>
      </c>
    </row>
    <row r="6123">
      <c r="A6123" t="inlineStr">
        <is>
          <t>PRAGMA</t>
        </is>
      </c>
      <c r="B6123" t="inlineStr">
        <is>
          <t>M1</t>
        </is>
      </c>
      <c r="C6123" t="inlineStr">
        <is>
          <t>Cali</t>
        </is>
      </c>
      <c r="D6123" t="inlineStr">
        <is>
          <t>9322</t>
        </is>
      </c>
      <c r="E6123" t="inlineStr">
        <is>
          <t>pagado</t>
        </is>
      </c>
      <c r="F6123" s="23" t="n">
        <v>46266</v>
      </c>
      <c r="G6123" s="24">
        <f>F6123-DATE(2026,8,31)</f>
        <v>1</v>
      </c>
      <c r="H6123" s="25" t="n">
        <v>276223465</v>
      </c>
      <c r="I6123" t="inlineStr">
        <is>
          <t>entidad-dia</t>
        </is>
      </c>
    </row>
    <row r="6124">
      <c r="A6124" t="inlineStr">
        <is>
          <t>PRAGMA</t>
        </is>
      </c>
      <c r="B6124" t="inlineStr">
        <is>
          <t>M1</t>
        </is>
      </c>
      <c r="C6124" t="inlineStr">
        <is>
          <t>Cali</t>
        </is>
      </c>
      <c r="D6124" t="inlineStr">
        <is>
          <t>9322</t>
        </is>
      </c>
      <c r="E6124" t="inlineStr">
        <is>
          <t>pagado</t>
        </is>
      </c>
      <c r="F6124" s="23" t="n">
        <v>46267</v>
      </c>
      <c r="G6124" s="24">
        <f>F6124-DATE(2026,8,31)</f>
        <v>2</v>
      </c>
      <c r="H6124" s="25" t="n">
        <v>214848575</v>
      </c>
      <c r="I6124" t="inlineStr">
        <is>
          <t>entidad-dia</t>
        </is>
      </c>
    </row>
    <row r="6125">
      <c r="A6125" t="inlineStr">
        <is>
          <t>PRAGMA</t>
        </is>
      </c>
      <c r="B6125" t="inlineStr">
        <is>
          <t>M1</t>
        </is>
      </c>
      <c r="C6125" t="inlineStr">
        <is>
          <t>Cali</t>
        </is>
      </c>
      <c r="D6125" t="inlineStr">
        <is>
          <t>9322</t>
        </is>
      </c>
      <c r="E6125" t="inlineStr">
        <is>
          <t>pagado</t>
        </is>
      </c>
      <c r="F6125" s="23" t="n">
        <v>46268</v>
      </c>
      <c r="G6125" s="24">
        <f>F6125-DATE(2026,8,31)</f>
        <v>3</v>
      </c>
      <c r="H6125" s="25" t="n">
        <v>217382712</v>
      </c>
      <c r="I6125" t="inlineStr">
        <is>
          <t>entidad-dia</t>
        </is>
      </c>
    </row>
    <row r="6126">
      <c r="A6126" t="inlineStr">
        <is>
          <t>PRAGMA</t>
        </is>
      </c>
      <c r="B6126" t="inlineStr">
        <is>
          <t>M1</t>
        </is>
      </c>
      <c r="C6126" t="inlineStr">
        <is>
          <t>Cali</t>
        </is>
      </c>
      <c r="D6126" t="inlineStr">
        <is>
          <t>9322</t>
        </is>
      </c>
      <c r="E6126" t="inlineStr">
        <is>
          <t>pagado</t>
        </is>
      </c>
      <c r="F6126" s="23" t="n">
        <v>46269</v>
      </c>
      <c r="G6126" s="24">
        <f>F6126-DATE(2026,8,31)</f>
        <v>4</v>
      </c>
      <c r="H6126" s="25" t="n">
        <v>211288738</v>
      </c>
      <c r="I6126" t="inlineStr">
        <is>
          <t>entidad-dia</t>
        </is>
      </c>
    </row>
    <row r="6127">
      <c r="A6127" t="inlineStr">
        <is>
          <t>PRAGMA</t>
        </is>
      </c>
      <c r="B6127" t="inlineStr">
        <is>
          <t>M1</t>
        </is>
      </c>
      <c r="C6127" t="inlineStr">
        <is>
          <t>Cali</t>
        </is>
      </c>
      <c r="D6127" t="inlineStr">
        <is>
          <t>9322</t>
        </is>
      </c>
      <c r="E6127" t="inlineStr">
        <is>
          <t>pagado</t>
        </is>
      </c>
      <c r="F6127" s="23" t="n">
        <v>46270</v>
      </c>
      <c r="G6127" s="24">
        <f>F6127-DATE(2026,8,31)</f>
        <v>5</v>
      </c>
      <c r="H6127" s="25" t="n">
        <v>194043739</v>
      </c>
      <c r="I6127" t="inlineStr">
        <is>
          <t>entidad-dia</t>
        </is>
      </c>
    </row>
    <row r="6128">
      <c r="A6128" t="inlineStr">
        <is>
          <t>PRAGMA</t>
        </is>
      </c>
      <c r="B6128" t="inlineStr">
        <is>
          <t>M1</t>
        </is>
      </c>
      <c r="C6128" t="inlineStr">
        <is>
          <t>Cali</t>
        </is>
      </c>
      <c r="D6128" t="inlineStr">
        <is>
          <t>9322</t>
        </is>
      </c>
      <c r="E6128" t="inlineStr">
        <is>
          <t>pagado</t>
        </is>
      </c>
      <c r="F6128" s="23" t="n">
        <v>46271</v>
      </c>
      <c r="G6128" s="24">
        <f>F6128-DATE(2026,8,31)</f>
        <v>6</v>
      </c>
      <c r="H6128" s="25" t="n">
        <v>11017120</v>
      </c>
      <c r="I6128" t="inlineStr">
        <is>
          <t>entidad-dia</t>
        </is>
      </c>
    </row>
    <row r="6129">
      <c r="A6129" t="inlineStr">
        <is>
          <t>PRAGMA</t>
        </is>
      </c>
      <c r="B6129" t="inlineStr">
        <is>
          <t>M1</t>
        </is>
      </c>
      <c r="C6129" t="inlineStr">
        <is>
          <t>Cali</t>
        </is>
      </c>
      <c r="D6129" t="inlineStr">
        <is>
          <t>9322</t>
        </is>
      </c>
      <c r="E6129" t="inlineStr">
        <is>
          <t>pagado</t>
        </is>
      </c>
      <c r="F6129" s="23" t="n">
        <v>46272</v>
      </c>
      <c r="G6129" s="24">
        <f>F6129-DATE(2026,8,31)</f>
        <v>7</v>
      </c>
      <c r="H6129" s="25" t="n">
        <v>134588423</v>
      </c>
      <c r="I6129" t="inlineStr">
        <is>
          <t>entidad-dia</t>
        </is>
      </c>
    </row>
    <row r="6130">
      <c r="A6130" t="inlineStr">
        <is>
          <t>PRAGMA</t>
        </is>
      </c>
      <c r="B6130" t="inlineStr">
        <is>
          <t>M1</t>
        </is>
      </c>
      <c r="C6130" t="inlineStr">
        <is>
          <t>Cali</t>
        </is>
      </c>
      <c r="D6130" t="inlineStr">
        <is>
          <t>9322</t>
        </is>
      </c>
      <c r="E6130" t="inlineStr">
        <is>
          <t>pagado</t>
        </is>
      </c>
      <c r="F6130" s="23" t="n">
        <v>46273</v>
      </c>
      <c r="G6130" s="24">
        <f>F6130-DATE(2026,8,31)</f>
        <v>8</v>
      </c>
      <c r="H6130" s="25" t="n">
        <v>204239682</v>
      </c>
      <c r="I6130" t="inlineStr">
        <is>
          <t>entidad-dia</t>
        </is>
      </c>
    </row>
    <row r="6131">
      <c r="A6131" t="inlineStr">
        <is>
          <t>PRAGMA</t>
        </is>
      </c>
      <c r="B6131" t="inlineStr">
        <is>
          <t>M1</t>
        </is>
      </c>
      <c r="C6131" t="inlineStr">
        <is>
          <t>Cali</t>
        </is>
      </c>
      <c r="D6131" t="inlineStr">
        <is>
          <t>9322</t>
        </is>
      </c>
      <c r="E6131" t="inlineStr">
        <is>
          <t>pagado</t>
        </is>
      </c>
      <c r="F6131" s="23" t="n">
        <v>46274</v>
      </c>
      <c r="G6131" s="24">
        <f>F6131-DATE(2026,8,31)</f>
        <v>9</v>
      </c>
      <c r="H6131" s="25" t="n">
        <v>164526926</v>
      </c>
      <c r="I6131" t="inlineStr">
        <is>
          <t>entidad-dia</t>
        </is>
      </c>
    </row>
    <row r="6132">
      <c r="A6132" t="inlineStr">
        <is>
          <t>PRAGMA</t>
        </is>
      </c>
      <c r="B6132" t="inlineStr">
        <is>
          <t>M1</t>
        </is>
      </c>
      <c r="C6132" t="inlineStr">
        <is>
          <t>Cali</t>
        </is>
      </c>
      <c r="D6132" t="inlineStr">
        <is>
          <t>9322</t>
        </is>
      </c>
      <c r="E6132" t="inlineStr">
        <is>
          <t>pagado</t>
        </is>
      </c>
      <c r="F6132" s="23" t="n">
        <v>46275</v>
      </c>
      <c r="G6132" s="24">
        <f>F6132-DATE(2026,8,31)</f>
        <v>10</v>
      </c>
      <c r="H6132" s="25" t="n">
        <v>149974009</v>
      </c>
      <c r="I6132" t="inlineStr">
        <is>
          <t>entidad-dia</t>
        </is>
      </c>
    </row>
    <row r="6133">
      <c r="A6133" t="inlineStr">
        <is>
          <t>PRAGMA</t>
        </is>
      </c>
      <c r="B6133" t="inlineStr">
        <is>
          <t>M1</t>
        </is>
      </c>
      <c r="C6133" t="inlineStr">
        <is>
          <t>Cali</t>
        </is>
      </c>
      <c r="D6133" t="inlineStr">
        <is>
          <t>9322</t>
        </is>
      </c>
      <c r="E6133" t="inlineStr">
        <is>
          <t>pagado</t>
        </is>
      </c>
      <c r="F6133" s="23" t="n">
        <v>46276</v>
      </c>
      <c r="G6133" s="24">
        <f>F6133-DATE(2026,8,31)</f>
        <v>11</v>
      </c>
      <c r="H6133" s="25" t="n">
        <v>177771867</v>
      </c>
      <c r="I6133" t="inlineStr">
        <is>
          <t>entidad-dia</t>
        </is>
      </c>
    </row>
    <row r="6134">
      <c r="A6134" t="inlineStr">
        <is>
          <t>PRAGMA</t>
        </is>
      </c>
      <c r="B6134" t="inlineStr">
        <is>
          <t>M1</t>
        </is>
      </c>
      <c r="C6134" t="inlineStr">
        <is>
          <t>Cali</t>
        </is>
      </c>
      <c r="D6134" t="inlineStr">
        <is>
          <t>9322</t>
        </is>
      </c>
      <c r="E6134" t="inlineStr">
        <is>
          <t>pagado</t>
        </is>
      </c>
      <c r="F6134" s="23" t="n">
        <v>46277</v>
      </c>
      <c r="G6134" s="24">
        <f>F6134-DATE(2026,8,31)</f>
        <v>12</v>
      </c>
      <c r="H6134" s="25" t="n">
        <v>169038800</v>
      </c>
      <c r="I6134" t="inlineStr">
        <is>
          <t>entidad-dia</t>
        </is>
      </c>
    </row>
    <row r="6135">
      <c r="A6135" t="inlineStr">
        <is>
          <t>PRAGMA</t>
        </is>
      </c>
      <c r="B6135" t="inlineStr">
        <is>
          <t>M1</t>
        </is>
      </c>
      <c r="C6135" t="inlineStr">
        <is>
          <t>Cali</t>
        </is>
      </c>
      <c r="D6135" t="inlineStr">
        <is>
          <t>9322</t>
        </is>
      </c>
      <c r="E6135" t="inlineStr">
        <is>
          <t>pagado</t>
        </is>
      </c>
      <c r="F6135" s="23" t="n">
        <v>46278</v>
      </c>
      <c r="G6135" s="24">
        <f>F6135-DATE(2026,8,31)</f>
        <v>13</v>
      </c>
      <c r="H6135" s="25" t="n">
        <v>7736459</v>
      </c>
      <c r="I6135" t="inlineStr">
        <is>
          <t>entidad-dia</t>
        </is>
      </c>
    </row>
    <row r="6136">
      <c r="A6136" t="inlineStr">
        <is>
          <t>PRAGMA</t>
        </is>
      </c>
      <c r="B6136" t="inlineStr">
        <is>
          <t>M1</t>
        </is>
      </c>
      <c r="C6136" t="inlineStr">
        <is>
          <t>Cali</t>
        </is>
      </c>
      <c r="D6136" t="inlineStr">
        <is>
          <t>9322</t>
        </is>
      </c>
      <c r="E6136" t="inlineStr">
        <is>
          <t>pagado</t>
        </is>
      </c>
      <c r="F6136" s="23" t="n">
        <v>46279</v>
      </c>
      <c r="G6136" s="24">
        <f>F6136-DATE(2026,8,31)</f>
        <v>14</v>
      </c>
      <c r="H6136" s="25" t="n">
        <v>140931990</v>
      </c>
      <c r="I6136" t="inlineStr">
        <is>
          <t>entidad-dia</t>
        </is>
      </c>
    </row>
    <row r="6137">
      <c r="A6137" t="inlineStr">
        <is>
          <t>PRAGMA</t>
        </is>
      </c>
      <c r="B6137" t="inlineStr">
        <is>
          <t>M1</t>
        </is>
      </c>
      <c r="C6137" t="inlineStr">
        <is>
          <t>Cali</t>
        </is>
      </c>
      <c r="D6137" t="inlineStr">
        <is>
          <t>9322</t>
        </is>
      </c>
      <c r="E6137" t="inlineStr">
        <is>
          <t>pagado</t>
        </is>
      </c>
      <c r="F6137" s="23" t="n">
        <v>46280</v>
      </c>
      <c r="G6137" s="24">
        <f>F6137-DATE(2026,8,31)</f>
        <v>15</v>
      </c>
      <c r="H6137" s="25" t="n">
        <v>210157929</v>
      </c>
      <c r="I6137" t="inlineStr">
        <is>
          <t>entidad-dia</t>
        </is>
      </c>
    </row>
    <row r="6138">
      <c r="A6138" t="inlineStr">
        <is>
          <t>PRAGMA</t>
        </is>
      </c>
      <c r="B6138" t="inlineStr">
        <is>
          <t>M1</t>
        </is>
      </c>
      <c r="C6138" t="inlineStr">
        <is>
          <t>Cali</t>
        </is>
      </c>
      <c r="D6138" t="inlineStr">
        <is>
          <t>9367</t>
        </is>
      </c>
      <c r="E6138" t="inlineStr">
        <is>
          <t>pagado</t>
        </is>
      </c>
      <c r="F6138" s="23" t="n">
        <v>46266</v>
      </c>
      <c r="G6138" s="24">
        <f>F6138-DATE(2026,8,31)</f>
        <v>1</v>
      </c>
      <c r="H6138" s="25" t="n">
        <v>127407330</v>
      </c>
      <c r="I6138" t="inlineStr">
        <is>
          <t>entidad-dia</t>
        </is>
      </c>
    </row>
    <row r="6139">
      <c r="A6139" t="inlineStr">
        <is>
          <t>PRAGMA</t>
        </is>
      </c>
      <c r="B6139" t="inlineStr">
        <is>
          <t>M1</t>
        </is>
      </c>
      <c r="C6139" t="inlineStr">
        <is>
          <t>Cali</t>
        </is>
      </c>
      <c r="D6139" t="inlineStr">
        <is>
          <t>9367</t>
        </is>
      </c>
      <c r="E6139" t="inlineStr">
        <is>
          <t>pagado</t>
        </is>
      </c>
      <c r="F6139" s="23" t="n">
        <v>46267</v>
      </c>
      <c r="G6139" s="24">
        <f>F6139-DATE(2026,8,31)</f>
        <v>2</v>
      </c>
      <c r="H6139" s="25" t="n">
        <v>84877251</v>
      </c>
      <c r="I6139" t="inlineStr">
        <is>
          <t>entidad-dia</t>
        </is>
      </c>
    </row>
    <row r="6140">
      <c r="A6140" t="inlineStr">
        <is>
          <t>PRAGMA</t>
        </is>
      </c>
      <c r="B6140" t="inlineStr">
        <is>
          <t>M1</t>
        </is>
      </c>
      <c r="C6140" t="inlineStr">
        <is>
          <t>Cali</t>
        </is>
      </c>
      <c r="D6140" t="inlineStr">
        <is>
          <t>9367</t>
        </is>
      </c>
      <c r="E6140" t="inlineStr">
        <is>
          <t>pagado</t>
        </is>
      </c>
      <c r="F6140" s="23" t="n">
        <v>46268</v>
      </c>
      <c r="G6140" s="24">
        <f>F6140-DATE(2026,8,31)</f>
        <v>3</v>
      </c>
      <c r="H6140" s="25" t="n">
        <v>67671277</v>
      </c>
      <c r="I6140" t="inlineStr">
        <is>
          <t>entidad-dia</t>
        </is>
      </c>
    </row>
    <row r="6141">
      <c r="A6141" t="inlineStr">
        <is>
          <t>PRAGMA</t>
        </is>
      </c>
      <c r="B6141" t="inlineStr">
        <is>
          <t>M1</t>
        </is>
      </c>
      <c r="C6141" t="inlineStr">
        <is>
          <t>Cali</t>
        </is>
      </c>
      <c r="D6141" t="inlineStr">
        <is>
          <t>9367</t>
        </is>
      </c>
      <c r="E6141" t="inlineStr">
        <is>
          <t>pagado</t>
        </is>
      </c>
      <c r="F6141" s="23" t="n">
        <v>46269</v>
      </c>
      <c r="G6141" s="24">
        <f>F6141-DATE(2026,8,31)</f>
        <v>4</v>
      </c>
      <c r="H6141" s="25" t="n">
        <v>70857733</v>
      </c>
      <c r="I6141" t="inlineStr">
        <is>
          <t>entidad-dia</t>
        </is>
      </c>
    </row>
    <row r="6142">
      <c r="A6142" t="inlineStr">
        <is>
          <t>PRAGMA</t>
        </is>
      </c>
      <c r="B6142" t="inlineStr">
        <is>
          <t>M1</t>
        </is>
      </c>
      <c r="C6142" t="inlineStr">
        <is>
          <t>Cali</t>
        </is>
      </c>
      <c r="D6142" t="inlineStr">
        <is>
          <t>9367</t>
        </is>
      </c>
      <c r="E6142" t="inlineStr">
        <is>
          <t>pagado</t>
        </is>
      </c>
      <c r="F6142" s="23" t="n">
        <v>46270</v>
      </c>
      <c r="G6142" s="24">
        <f>F6142-DATE(2026,8,31)</f>
        <v>5</v>
      </c>
      <c r="H6142" s="25" t="n">
        <v>61954284</v>
      </c>
      <c r="I6142" t="inlineStr">
        <is>
          <t>entidad-dia</t>
        </is>
      </c>
    </row>
    <row r="6143">
      <c r="A6143" t="inlineStr">
        <is>
          <t>PRAGMA</t>
        </is>
      </c>
      <c r="B6143" t="inlineStr">
        <is>
          <t>M1</t>
        </is>
      </c>
      <c r="C6143" t="inlineStr">
        <is>
          <t>Cali</t>
        </is>
      </c>
      <c r="D6143" t="inlineStr">
        <is>
          <t>9367</t>
        </is>
      </c>
      <c r="E6143" t="inlineStr">
        <is>
          <t>pagado</t>
        </is>
      </c>
      <c r="F6143" s="23" t="n">
        <v>46271</v>
      </c>
      <c r="G6143" s="24">
        <f>F6143-DATE(2026,8,31)</f>
        <v>6</v>
      </c>
      <c r="H6143" s="25" t="n">
        <v>45767210</v>
      </c>
      <c r="I6143" t="inlineStr">
        <is>
          <t>entidad-dia</t>
        </is>
      </c>
    </row>
    <row r="6144">
      <c r="A6144" t="inlineStr">
        <is>
          <t>PRAGMA</t>
        </is>
      </c>
      <c r="B6144" t="inlineStr">
        <is>
          <t>M1</t>
        </is>
      </c>
      <c r="C6144" t="inlineStr">
        <is>
          <t>Cali</t>
        </is>
      </c>
      <c r="D6144" t="inlineStr">
        <is>
          <t>9367</t>
        </is>
      </c>
      <c r="E6144" t="inlineStr">
        <is>
          <t>pagado</t>
        </is>
      </c>
      <c r="F6144" s="23" t="n">
        <v>46272</v>
      </c>
      <c r="G6144" s="24">
        <f>F6144-DATE(2026,8,31)</f>
        <v>7</v>
      </c>
      <c r="H6144" s="25" t="n">
        <v>64106202</v>
      </c>
      <c r="I6144" t="inlineStr">
        <is>
          <t>entidad-dia</t>
        </is>
      </c>
    </row>
    <row r="6145">
      <c r="A6145" t="inlineStr">
        <is>
          <t>PRAGMA</t>
        </is>
      </c>
      <c r="B6145" t="inlineStr">
        <is>
          <t>M1</t>
        </is>
      </c>
      <c r="C6145" t="inlineStr">
        <is>
          <t>Cali</t>
        </is>
      </c>
      <c r="D6145" t="inlineStr">
        <is>
          <t>9367</t>
        </is>
      </c>
      <c r="E6145" t="inlineStr">
        <is>
          <t>pagado</t>
        </is>
      </c>
      <c r="F6145" s="23" t="n">
        <v>46273</v>
      </c>
      <c r="G6145" s="24">
        <f>F6145-DATE(2026,8,31)</f>
        <v>8</v>
      </c>
      <c r="H6145" s="25" t="n">
        <v>50162599</v>
      </c>
      <c r="I6145" t="inlineStr">
        <is>
          <t>entidad-dia</t>
        </is>
      </c>
    </row>
    <row r="6146">
      <c r="A6146" t="inlineStr">
        <is>
          <t>PRAGMA</t>
        </is>
      </c>
      <c r="B6146" t="inlineStr">
        <is>
          <t>M1</t>
        </is>
      </c>
      <c r="C6146" t="inlineStr">
        <is>
          <t>Cali</t>
        </is>
      </c>
      <c r="D6146" t="inlineStr">
        <is>
          <t>9367</t>
        </is>
      </c>
      <c r="E6146" t="inlineStr">
        <is>
          <t>pagado</t>
        </is>
      </c>
      <c r="F6146" s="23" t="n">
        <v>46274</v>
      </c>
      <c r="G6146" s="24">
        <f>F6146-DATE(2026,8,31)</f>
        <v>9</v>
      </c>
      <c r="H6146" s="25" t="n">
        <v>49463734</v>
      </c>
      <c r="I6146" t="inlineStr">
        <is>
          <t>entidad-dia</t>
        </is>
      </c>
    </row>
    <row r="6147">
      <c r="A6147" t="inlineStr">
        <is>
          <t>PRAGMA</t>
        </is>
      </c>
      <c r="B6147" t="inlineStr">
        <is>
          <t>M1</t>
        </is>
      </c>
      <c r="C6147" t="inlineStr">
        <is>
          <t>Cali</t>
        </is>
      </c>
      <c r="D6147" t="inlineStr">
        <is>
          <t>9367</t>
        </is>
      </c>
      <c r="E6147" t="inlineStr">
        <is>
          <t>pagado</t>
        </is>
      </c>
      <c r="F6147" s="23" t="n">
        <v>46275</v>
      </c>
      <c r="G6147" s="24">
        <f>F6147-DATE(2026,8,31)</f>
        <v>10</v>
      </c>
      <c r="H6147" s="25" t="n">
        <v>41656829</v>
      </c>
      <c r="I6147" t="inlineStr">
        <is>
          <t>entidad-dia</t>
        </is>
      </c>
    </row>
    <row r="6148">
      <c r="A6148" t="inlineStr">
        <is>
          <t>PRAGMA</t>
        </is>
      </c>
      <c r="B6148" t="inlineStr">
        <is>
          <t>M1</t>
        </is>
      </c>
      <c r="C6148" t="inlineStr">
        <is>
          <t>Cali</t>
        </is>
      </c>
      <c r="D6148" t="inlineStr">
        <is>
          <t>9367</t>
        </is>
      </c>
      <c r="E6148" t="inlineStr">
        <is>
          <t>pagado</t>
        </is>
      </c>
      <c r="F6148" s="23" t="n">
        <v>46276</v>
      </c>
      <c r="G6148" s="24">
        <f>F6148-DATE(2026,8,31)</f>
        <v>11</v>
      </c>
      <c r="H6148" s="25" t="n">
        <v>43421568</v>
      </c>
      <c r="I6148" t="inlineStr">
        <is>
          <t>entidad-dia</t>
        </is>
      </c>
    </row>
    <row r="6149">
      <c r="A6149" t="inlineStr">
        <is>
          <t>PRAGMA</t>
        </is>
      </c>
      <c r="B6149" t="inlineStr">
        <is>
          <t>M1</t>
        </is>
      </c>
      <c r="C6149" t="inlineStr">
        <is>
          <t>Cali</t>
        </is>
      </c>
      <c r="D6149" t="inlineStr">
        <is>
          <t>9367</t>
        </is>
      </c>
      <c r="E6149" t="inlineStr">
        <is>
          <t>pagado</t>
        </is>
      </c>
      <c r="F6149" s="23" t="n">
        <v>46277</v>
      </c>
      <c r="G6149" s="24">
        <f>F6149-DATE(2026,8,31)</f>
        <v>12</v>
      </c>
      <c r="H6149" s="25" t="n">
        <v>37357799</v>
      </c>
      <c r="I6149" t="inlineStr">
        <is>
          <t>entidad-dia</t>
        </is>
      </c>
    </row>
    <row r="6150">
      <c r="A6150" t="inlineStr">
        <is>
          <t>PRAGMA</t>
        </is>
      </c>
      <c r="B6150" t="inlineStr">
        <is>
          <t>M1</t>
        </is>
      </c>
      <c r="C6150" t="inlineStr">
        <is>
          <t>Cali</t>
        </is>
      </c>
      <c r="D6150" t="inlineStr">
        <is>
          <t>9367</t>
        </is>
      </c>
      <c r="E6150" t="inlineStr">
        <is>
          <t>pagado</t>
        </is>
      </c>
      <c r="F6150" s="23" t="n">
        <v>46278</v>
      </c>
      <c r="G6150" s="24">
        <f>F6150-DATE(2026,8,31)</f>
        <v>13</v>
      </c>
      <c r="H6150" s="25" t="n">
        <v>32196794</v>
      </c>
      <c r="I6150" t="inlineStr">
        <is>
          <t>entidad-dia</t>
        </is>
      </c>
    </row>
    <row r="6151">
      <c r="A6151" t="inlineStr">
        <is>
          <t>PRAGMA</t>
        </is>
      </c>
      <c r="B6151" t="inlineStr">
        <is>
          <t>M1</t>
        </is>
      </c>
      <c r="C6151" t="inlineStr">
        <is>
          <t>Cali</t>
        </is>
      </c>
      <c r="D6151" t="inlineStr">
        <is>
          <t>9367</t>
        </is>
      </c>
      <c r="E6151" t="inlineStr">
        <is>
          <t>pagado</t>
        </is>
      </c>
      <c r="F6151" s="23" t="n">
        <v>46279</v>
      </c>
      <c r="G6151" s="24">
        <f>F6151-DATE(2026,8,31)</f>
        <v>14</v>
      </c>
      <c r="H6151" s="25" t="n">
        <v>49337738</v>
      </c>
      <c r="I6151" t="inlineStr">
        <is>
          <t>entidad-dia</t>
        </is>
      </c>
    </row>
    <row r="6152">
      <c r="A6152" t="inlineStr">
        <is>
          <t>PRAGMA</t>
        </is>
      </c>
      <c r="B6152" t="inlineStr">
        <is>
          <t>M1</t>
        </is>
      </c>
      <c r="C6152" t="inlineStr">
        <is>
          <t>Cali</t>
        </is>
      </c>
      <c r="D6152" t="inlineStr">
        <is>
          <t>9367</t>
        </is>
      </c>
      <c r="E6152" t="inlineStr">
        <is>
          <t>pagado</t>
        </is>
      </c>
      <c r="F6152" s="23" t="n">
        <v>46280</v>
      </c>
      <c r="G6152" s="24">
        <f>F6152-DATE(2026,8,31)</f>
        <v>15</v>
      </c>
      <c r="H6152" s="25" t="n">
        <v>72770348</v>
      </c>
      <c r="I6152" t="inlineStr">
        <is>
          <t>entidad-dia</t>
        </is>
      </c>
    </row>
    <row r="6153">
      <c r="A6153" t="inlineStr">
        <is>
          <t>PRAGMA</t>
        </is>
      </c>
      <c r="B6153" t="inlineStr">
        <is>
          <t>M1</t>
        </is>
      </c>
      <c r="C6153" t="inlineStr">
        <is>
          <t>Cali</t>
        </is>
      </c>
      <c r="D6153" t="inlineStr">
        <is>
          <t>9368</t>
        </is>
      </c>
      <c r="E6153" t="inlineStr">
        <is>
          <t>pagado</t>
        </is>
      </c>
      <c r="F6153" s="23" t="n">
        <v>46266</v>
      </c>
      <c r="G6153" s="24">
        <f>F6153-DATE(2026,8,31)</f>
        <v>1</v>
      </c>
      <c r="H6153" s="25" t="n">
        <v>117285722</v>
      </c>
      <c r="I6153" t="inlineStr">
        <is>
          <t>entidad-dia</t>
        </is>
      </c>
    </row>
    <row r="6154">
      <c r="A6154" t="inlineStr">
        <is>
          <t>PRAGMA</t>
        </is>
      </c>
      <c r="B6154" t="inlineStr">
        <is>
          <t>M1</t>
        </is>
      </c>
      <c r="C6154" t="inlineStr">
        <is>
          <t>Cali</t>
        </is>
      </c>
      <c r="D6154" t="inlineStr">
        <is>
          <t>9368</t>
        </is>
      </c>
      <c r="E6154" t="inlineStr">
        <is>
          <t>pagado</t>
        </is>
      </c>
      <c r="F6154" s="23" t="n">
        <v>46267</v>
      </c>
      <c r="G6154" s="24">
        <f>F6154-DATE(2026,8,31)</f>
        <v>2</v>
      </c>
      <c r="H6154" s="25" t="n">
        <v>83430747</v>
      </c>
      <c r="I6154" t="inlineStr">
        <is>
          <t>entidad-dia</t>
        </is>
      </c>
    </row>
    <row r="6155">
      <c r="A6155" t="inlineStr">
        <is>
          <t>PRAGMA</t>
        </is>
      </c>
      <c r="B6155" t="inlineStr">
        <is>
          <t>M1</t>
        </is>
      </c>
      <c r="C6155" t="inlineStr">
        <is>
          <t>Cali</t>
        </is>
      </c>
      <c r="D6155" t="inlineStr">
        <is>
          <t>9368</t>
        </is>
      </c>
      <c r="E6155" t="inlineStr">
        <is>
          <t>pagado</t>
        </is>
      </c>
      <c r="F6155" s="23" t="n">
        <v>46268</v>
      </c>
      <c r="G6155" s="24">
        <f>F6155-DATE(2026,8,31)</f>
        <v>3</v>
      </c>
      <c r="H6155" s="25" t="n">
        <v>69769122</v>
      </c>
      <c r="I6155" t="inlineStr">
        <is>
          <t>entidad-dia</t>
        </is>
      </c>
    </row>
    <row r="6156">
      <c r="A6156" t="inlineStr">
        <is>
          <t>PRAGMA</t>
        </is>
      </c>
      <c r="B6156" t="inlineStr">
        <is>
          <t>M1</t>
        </is>
      </c>
      <c r="C6156" t="inlineStr">
        <is>
          <t>Cali</t>
        </is>
      </c>
      <c r="D6156" t="inlineStr">
        <is>
          <t>9368</t>
        </is>
      </c>
      <c r="E6156" t="inlineStr">
        <is>
          <t>pagado</t>
        </is>
      </c>
      <c r="F6156" s="23" t="n">
        <v>46269</v>
      </c>
      <c r="G6156" s="24">
        <f>F6156-DATE(2026,8,31)</f>
        <v>4</v>
      </c>
      <c r="H6156" s="25" t="n">
        <v>67902329</v>
      </c>
      <c r="I6156" t="inlineStr">
        <is>
          <t>entidad-dia</t>
        </is>
      </c>
    </row>
    <row r="6157">
      <c r="A6157" t="inlineStr">
        <is>
          <t>PRAGMA</t>
        </is>
      </c>
      <c r="B6157" t="inlineStr">
        <is>
          <t>M1</t>
        </is>
      </c>
      <c r="C6157" t="inlineStr">
        <is>
          <t>Cali</t>
        </is>
      </c>
      <c r="D6157" t="inlineStr">
        <is>
          <t>9368</t>
        </is>
      </c>
      <c r="E6157" t="inlineStr">
        <is>
          <t>pagado</t>
        </is>
      </c>
      <c r="F6157" s="23" t="n">
        <v>46270</v>
      </c>
      <c r="G6157" s="24">
        <f>F6157-DATE(2026,8,31)</f>
        <v>5</v>
      </c>
      <c r="H6157" s="25" t="n">
        <v>63620360</v>
      </c>
      <c r="I6157" t="inlineStr">
        <is>
          <t>entidad-dia</t>
        </is>
      </c>
    </row>
    <row r="6158">
      <c r="A6158" t="inlineStr">
        <is>
          <t>PRAGMA</t>
        </is>
      </c>
      <c r="B6158" t="inlineStr">
        <is>
          <t>M1</t>
        </is>
      </c>
      <c r="C6158" t="inlineStr">
        <is>
          <t>Cali</t>
        </is>
      </c>
      <c r="D6158" t="inlineStr">
        <is>
          <t>9368</t>
        </is>
      </c>
      <c r="E6158" t="inlineStr">
        <is>
          <t>pagado</t>
        </is>
      </c>
      <c r="F6158" s="23" t="n">
        <v>46271</v>
      </c>
      <c r="G6158" s="24">
        <f>F6158-DATE(2026,8,31)</f>
        <v>6</v>
      </c>
      <c r="H6158" s="25" t="n">
        <v>17117183</v>
      </c>
      <c r="I6158" t="inlineStr">
        <is>
          <t>entidad-dia</t>
        </is>
      </c>
    </row>
    <row r="6159">
      <c r="A6159" t="inlineStr">
        <is>
          <t>PRAGMA</t>
        </is>
      </c>
      <c r="B6159" t="inlineStr">
        <is>
          <t>M1</t>
        </is>
      </c>
      <c r="C6159" t="inlineStr">
        <is>
          <t>Cali</t>
        </is>
      </c>
      <c r="D6159" t="inlineStr">
        <is>
          <t>9368</t>
        </is>
      </c>
      <c r="E6159" t="inlineStr">
        <is>
          <t>pagado</t>
        </is>
      </c>
      <c r="F6159" s="23" t="n">
        <v>46272</v>
      </c>
      <c r="G6159" s="24">
        <f>F6159-DATE(2026,8,31)</f>
        <v>7</v>
      </c>
      <c r="H6159" s="25" t="n">
        <v>44322247</v>
      </c>
      <c r="I6159" t="inlineStr">
        <is>
          <t>entidad-dia</t>
        </is>
      </c>
    </row>
    <row r="6160">
      <c r="A6160" t="inlineStr">
        <is>
          <t>PRAGMA</t>
        </is>
      </c>
      <c r="B6160" t="inlineStr">
        <is>
          <t>M1</t>
        </is>
      </c>
      <c r="C6160" t="inlineStr">
        <is>
          <t>Cali</t>
        </is>
      </c>
      <c r="D6160" t="inlineStr">
        <is>
          <t>9368</t>
        </is>
      </c>
      <c r="E6160" t="inlineStr">
        <is>
          <t>pagado</t>
        </is>
      </c>
      <c r="F6160" s="23" t="n">
        <v>46273</v>
      </c>
      <c r="G6160" s="24">
        <f>F6160-DATE(2026,8,31)</f>
        <v>8</v>
      </c>
      <c r="H6160" s="25" t="n">
        <v>49576012</v>
      </c>
      <c r="I6160" t="inlineStr">
        <is>
          <t>entidad-dia</t>
        </is>
      </c>
    </row>
    <row r="6161">
      <c r="A6161" t="inlineStr">
        <is>
          <t>PRAGMA</t>
        </is>
      </c>
      <c r="B6161" t="inlineStr">
        <is>
          <t>M1</t>
        </is>
      </c>
      <c r="C6161" t="inlineStr">
        <is>
          <t>Cali</t>
        </is>
      </c>
      <c r="D6161" t="inlineStr">
        <is>
          <t>9368</t>
        </is>
      </c>
      <c r="E6161" t="inlineStr">
        <is>
          <t>pagado</t>
        </is>
      </c>
      <c r="F6161" s="23" t="n">
        <v>46274</v>
      </c>
      <c r="G6161" s="24">
        <f>F6161-DATE(2026,8,31)</f>
        <v>9</v>
      </c>
      <c r="H6161" s="25" t="n">
        <v>47359755</v>
      </c>
      <c r="I6161" t="inlineStr">
        <is>
          <t>entidad-dia</t>
        </is>
      </c>
    </row>
    <row r="6162">
      <c r="A6162" t="inlineStr">
        <is>
          <t>PRAGMA</t>
        </is>
      </c>
      <c r="B6162" t="inlineStr">
        <is>
          <t>M1</t>
        </is>
      </c>
      <c r="C6162" t="inlineStr">
        <is>
          <t>Cali</t>
        </is>
      </c>
      <c r="D6162" t="inlineStr">
        <is>
          <t>9368</t>
        </is>
      </c>
      <c r="E6162" t="inlineStr">
        <is>
          <t>pagado</t>
        </is>
      </c>
      <c r="F6162" s="23" t="n">
        <v>46275</v>
      </c>
      <c r="G6162" s="24">
        <f>F6162-DATE(2026,8,31)</f>
        <v>10</v>
      </c>
      <c r="H6162" s="25" t="n">
        <v>45529872</v>
      </c>
      <c r="I6162" t="inlineStr">
        <is>
          <t>entidad-dia</t>
        </is>
      </c>
    </row>
    <row r="6163">
      <c r="A6163" t="inlineStr">
        <is>
          <t>PRAGMA</t>
        </is>
      </c>
      <c r="B6163" t="inlineStr">
        <is>
          <t>M1</t>
        </is>
      </c>
      <c r="C6163" t="inlineStr">
        <is>
          <t>Cali</t>
        </is>
      </c>
      <c r="D6163" t="inlineStr">
        <is>
          <t>9368</t>
        </is>
      </c>
      <c r="E6163" t="inlineStr">
        <is>
          <t>pagado</t>
        </is>
      </c>
      <c r="F6163" s="23" t="n">
        <v>46276</v>
      </c>
      <c r="G6163" s="24">
        <f>F6163-DATE(2026,8,31)</f>
        <v>11</v>
      </c>
      <c r="H6163" s="25" t="n">
        <v>39562786</v>
      </c>
      <c r="I6163" t="inlineStr">
        <is>
          <t>entidad-dia</t>
        </is>
      </c>
    </row>
    <row r="6164">
      <c r="A6164" t="inlineStr">
        <is>
          <t>PRAGMA</t>
        </is>
      </c>
      <c r="B6164" t="inlineStr">
        <is>
          <t>M1</t>
        </is>
      </c>
      <c r="C6164" t="inlineStr">
        <is>
          <t>Cali</t>
        </is>
      </c>
      <c r="D6164" t="inlineStr">
        <is>
          <t>9368</t>
        </is>
      </c>
      <c r="E6164" t="inlineStr">
        <is>
          <t>pagado</t>
        </is>
      </c>
      <c r="F6164" s="23" t="n">
        <v>46277</v>
      </c>
      <c r="G6164" s="24">
        <f>F6164-DATE(2026,8,31)</f>
        <v>12</v>
      </c>
      <c r="H6164" s="25" t="n">
        <v>38461643</v>
      </c>
      <c r="I6164" t="inlineStr">
        <is>
          <t>entidad-dia</t>
        </is>
      </c>
    </row>
    <row r="6165">
      <c r="A6165" t="inlineStr">
        <is>
          <t>PRAGMA</t>
        </is>
      </c>
      <c r="B6165" t="inlineStr">
        <is>
          <t>M1</t>
        </is>
      </c>
      <c r="C6165" t="inlineStr">
        <is>
          <t>Cali</t>
        </is>
      </c>
      <c r="D6165" t="inlineStr">
        <is>
          <t>9368</t>
        </is>
      </c>
      <c r="E6165" t="inlineStr">
        <is>
          <t>pagado</t>
        </is>
      </c>
      <c r="F6165" s="23" t="n">
        <v>46278</v>
      </c>
      <c r="G6165" s="24">
        <f>F6165-DATE(2026,8,31)</f>
        <v>13</v>
      </c>
      <c r="H6165" s="25" t="n">
        <v>13422731</v>
      </c>
      <c r="I6165" t="inlineStr">
        <is>
          <t>entidad-dia</t>
        </is>
      </c>
    </row>
    <row r="6166">
      <c r="A6166" t="inlineStr">
        <is>
          <t>PRAGMA</t>
        </is>
      </c>
      <c r="B6166" t="inlineStr">
        <is>
          <t>M1</t>
        </is>
      </c>
      <c r="C6166" t="inlineStr">
        <is>
          <t>Cali</t>
        </is>
      </c>
      <c r="D6166" t="inlineStr">
        <is>
          <t>9368</t>
        </is>
      </c>
      <c r="E6166" t="inlineStr">
        <is>
          <t>pagado</t>
        </is>
      </c>
      <c r="F6166" s="23" t="n">
        <v>46279</v>
      </c>
      <c r="G6166" s="24">
        <f>F6166-DATE(2026,8,31)</f>
        <v>14</v>
      </c>
      <c r="H6166" s="25" t="n">
        <v>45033268</v>
      </c>
      <c r="I6166" t="inlineStr">
        <is>
          <t>entidad-dia</t>
        </is>
      </c>
    </row>
    <row r="6167">
      <c r="A6167" t="inlineStr">
        <is>
          <t>PRAGMA</t>
        </is>
      </c>
      <c r="B6167" t="inlineStr">
        <is>
          <t>M1</t>
        </is>
      </c>
      <c r="C6167" t="inlineStr">
        <is>
          <t>Cali</t>
        </is>
      </c>
      <c r="D6167" t="inlineStr">
        <is>
          <t>9368</t>
        </is>
      </c>
      <c r="E6167" t="inlineStr">
        <is>
          <t>pagado</t>
        </is>
      </c>
      <c r="F6167" s="23" t="n">
        <v>46280</v>
      </c>
      <c r="G6167" s="24">
        <f>F6167-DATE(2026,8,31)</f>
        <v>15</v>
      </c>
      <c r="H6167" s="25" t="n">
        <v>72820285</v>
      </c>
      <c r="I6167" t="inlineStr">
        <is>
          <t>entidad-dia</t>
        </is>
      </c>
    </row>
    <row r="6168">
      <c r="A6168" t="inlineStr">
        <is>
          <t>PRAGMA</t>
        </is>
      </c>
      <c r="B6168" t="inlineStr">
        <is>
          <t>M1</t>
        </is>
      </c>
      <c r="C6168" t="inlineStr">
        <is>
          <t>Cali</t>
        </is>
      </c>
      <c r="D6168" t="inlineStr">
        <is>
          <t>9369</t>
        </is>
      </c>
      <c r="E6168" t="inlineStr">
        <is>
          <t>pagado</t>
        </is>
      </c>
      <c r="F6168" s="23" t="n">
        <v>46266</v>
      </c>
      <c r="G6168" s="24">
        <f>F6168-DATE(2026,8,31)</f>
        <v>1</v>
      </c>
      <c r="H6168" s="25" t="n">
        <v>129695293</v>
      </c>
      <c r="I6168" t="inlineStr">
        <is>
          <t>entidad-dia</t>
        </is>
      </c>
    </row>
    <row r="6169">
      <c r="A6169" t="inlineStr">
        <is>
          <t>PRAGMA</t>
        </is>
      </c>
      <c r="B6169" t="inlineStr">
        <is>
          <t>M1</t>
        </is>
      </c>
      <c r="C6169" t="inlineStr">
        <is>
          <t>Cali</t>
        </is>
      </c>
      <c r="D6169" t="inlineStr">
        <is>
          <t>9369</t>
        </is>
      </c>
      <c r="E6169" t="inlineStr">
        <is>
          <t>pagado</t>
        </is>
      </c>
      <c r="F6169" s="23" t="n">
        <v>46267</v>
      </c>
      <c r="G6169" s="24">
        <f>F6169-DATE(2026,8,31)</f>
        <v>2</v>
      </c>
      <c r="H6169" s="25" t="n">
        <v>80510562</v>
      </c>
      <c r="I6169" t="inlineStr">
        <is>
          <t>entidad-dia</t>
        </is>
      </c>
    </row>
    <row r="6170">
      <c r="A6170" t="inlineStr">
        <is>
          <t>PRAGMA</t>
        </is>
      </c>
      <c r="B6170" t="inlineStr">
        <is>
          <t>M1</t>
        </is>
      </c>
      <c r="C6170" t="inlineStr">
        <is>
          <t>Cali</t>
        </is>
      </c>
      <c r="D6170" t="inlineStr">
        <is>
          <t>9369</t>
        </is>
      </c>
      <c r="E6170" t="inlineStr">
        <is>
          <t>pagado</t>
        </is>
      </c>
      <c r="F6170" s="23" t="n">
        <v>46268</v>
      </c>
      <c r="G6170" s="24">
        <f>F6170-DATE(2026,8,31)</f>
        <v>3</v>
      </c>
      <c r="H6170" s="25" t="n">
        <v>85879520</v>
      </c>
      <c r="I6170" t="inlineStr">
        <is>
          <t>entidad-dia</t>
        </is>
      </c>
    </row>
    <row r="6171">
      <c r="A6171" t="inlineStr">
        <is>
          <t>PRAGMA</t>
        </is>
      </c>
      <c r="B6171" t="inlineStr">
        <is>
          <t>M1</t>
        </is>
      </c>
      <c r="C6171" t="inlineStr">
        <is>
          <t>Cali</t>
        </is>
      </c>
      <c r="D6171" t="inlineStr">
        <is>
          <t>9369</t>
        </is>
      </c>
      <c r="E6171" t="inlineStr">
        <is>
          <t>pagado</t>
        </is>
      </c>
      <c r="F6171" s="23" t="n">
        <v>46269</v>
      </c>
      <c r="G6171" s="24">
        <f>F6171-DATE(2026,8,31)</f>
        <v>4</v>
      </c>
      <c r="H6171" s="25" t="n">
        <v>76754841</v>
      </c>
      <c r="I6171" t="inlineStr">
        <is>
          <t>entidad-dia</t>
        </is>
      </c>
    </row>
    <row r="6172">
      <c r="A6172" t="inlineStr">
        <is>
          <t>PRAGMA</t>
        </is>
      </c>
      <c r="B6172" t="inlineStr">
        <is>
          <t>M1</t>
        </is>
      </c>
      <c r="C6172" t="inlineStr">
        <is>
          <t>Cali</t>
        </is>
      </c>
      <c r="D6172" t="inlineStr">
        <is>
          <t>9369</t>
        </is>
      </c>
      <c r="E6172" t="inlineStr">
        <is>
          <t>pagado</t>
        </is>
      </c>
      <c r="F6172" s="23" t="n">
        <v>46270</v>
      </c>
      <c r="G6172" s="24">
        <f>F6172-DATE(2026,8,31)</f>
        <v>5</v>
      </c>
      <c r="H6172" s="25" t="n">
        <v>64880395</v>
      </c>
      <c r="I6172" t="inlineStr">
        <is>
          <t>entidad-dia</t>
        </is>
      </c>
    </row>
    <row r="6173">
      <c r="A6173" t="inlineStr">
        <is>
          <t>PRAGMA</t>
        </is>
      </c>
      <c r="B6173" t="inlineStr">
        <is>
          <t>M1</t>
        </is>
      </c>
      <c r="C6173" t="inlineStr">
        <is>
          <t>Cali</t>
        </is>
      </c>
      <c r="D6173" t="inlineStr">
        <is>
          <t>9369</t>
        </is>
      </c>
      <c r="E6173" t="inlineStr">
        <is>
          <t>pagado</t>
        </is>
      </c>
      <c r="F6173" s="23" t="n">
        <v>46271</v>
      </c>
      <c r="G6173" s="24">
        <f>F6173-DATE(2026,8,31)</f>
        <v>6</v>
      </c>
      <c r="H6173" s="25" t="n">
        <v>15416736</v>
      </c>
      <c r="I6173" t="inlineStr">
        <is>
          <t>entidad-dia</t>
        </is>
      </c>
    </row>
    <row r="6174">
      <c r="A6174" t="inlineStr">
        <is>
          <t>PRAGMA</t>
        </is>
      </c>
      <c r="B6174" t="inlineStr">
        <is>
          <t>M1</t>
        </is>
      </c>
      <c r="C6174" t="inlineStr">
        <is>
          <t>Cali</t>
        </is>
      </c>
      <c r="D6174" t="inlineStr">
        <is>
          <t>9369</t>
        </is>
      </c>
      <c r="E6174" t="inlineStr">
        <is>
          <t>pagado</t>
        </is>
      </c>
      <c r="F6174" s="23" t="n">
        <v>46272</v>
      </c>
      <c r="G6174" s="24">
        <f>F6174-DATE(2026,8,31)</f>
        <v>7</v>
      </c>
      <c r="H6174" s="25" t="n">
        <v>63068446</v>
      </c>
      <c r="I6174" t="inlineStr">
        <is>
          <t>entidad-dia</t>
        </is>
      </c>
    </row>
    <row r="6175">
      <c r="A6175" t="inlineStr">
        <is>
          <t>PRAGMA</t>
        </is>
      </c>
      <c r="B6175" t="inlineStr">
        <is>
          <t>M1</t>
        </is>
      </c>
      <c r="C6175" t="inlineStr">
        <is>
          <t>Cali</t>
        </is>
      </c>
      <c r="D6175" t="inlineStr">
        <is>
          <t>9369</t>
        </is>
      </c>
      <c r="E6175" t="inlineStr">
        <is>
          <t>pagado</t>
        </is>
      </c>
      <c r="F6175" s="23" t="n">
        <v>46273</v>
      </c>
      <c r="G6175" s="24">
        <f>F6175-DATE(2026,8,31)</f>
        <v>8</v>
      </c>
      <c r="H6175" s="25" t="n">
        <v>50147517</v>
      </c>
      <c r="I6175" t="inlineStr">
        <is>
          <t>entidad-dia</t>
        </is>
      </c>
    </row>
    <row r="6176">
      <c r="A6176" t="inlineStr">
        <is>
          <t>PRAGMA</t>
        </is>
      </c>
      <c r="B6176" t="inlineStr">
        <is>
          <t>M1</t>
        </is>
      </c>
      <c r="C6176" t="inlineStr">
        <is>
          <t>Cali</t>
        </is>
      </c>
      <c r="D6176" t="inlineStr">
        <is>
          <t>9369</t>
        </is>
      </c>
      <c r="E6176" t="inlineStr">
        <is>
          <t>pagado</t>
        </is>
      </c>
      <c r="F6176" s="23" t="n">
        <v>46274</v>
      </c>
      <c r="G6176" s="24">
        <f>F6176-DATE(2026,8,31)</f>
        <v>9</v>
      </c>
      <c r="H6176" s="25" t="n">
        <v>51692304</v>
      </c>
      <c r="I6176" t="inlineStr">
        <is>
          <t>entidad-dia</t>
        </is>
      </c>
    </row>
    <row r="6177">
      <c r="A6177" t="inlineStr">
        <is>
          <t>PRAGMA</t>
        </is>
      </c>
      <c r="B6177" t="inlineStr">
        <is>
          <t>M1</t>
        </is>
      </c>
      <c r="C6177" t="inlineStr">
        <is>
          <t>Cali</t>
        </is>
      </c>
      <c r="D6177" t="inlineStr">
        <is>
          <t>9369</t>
        </is>
      </c>
      <c r="E6177" t="inlineStr">
        <is>
          <t>pagado</t>
        </is>
      </c>
      <c r="F6177" s="23" t="n">
        <v>46275</v>
      </c>
      <c r="G6177" s="24">
        <f>F6177-DATE(2026,8,31)</f>
        <v>10</v>
      </c>
      <c r="H6177" s="25" t="n">
        <v>46645824</v>
      </c>
      <c r="I6177" t="inlineStr">
        <is>
          <t>entidad-dia</t>
        </is>
      </c>
    </row>
    <row r="6178">
      <c r="A6178" t="inlineStr">
        <is>
          <t>PRAGMA</t>
        </is>
      </c>
      <c r="B6178" t="inlineStr">
        <is>
          <t>M1</t>
        </is>
      </c>
      <c r="C6178" t="inlineStr">
        <is>
          <t>Cali</t>
        </is>
      </c>
      <c r="D6178" t="inlineStr">
        <is>
          <t>9369</t>
        </is>
      </c>
      <c r="E6178" t="inlineStr">
        <is>
          <t>pagado</t>
        </is>
      </c>
      <c r="F6178" s="23" t="n">
        <v>46276</v>
      </c>
      <c r="G6178" s="24">
        <f>F6178-DATE(2026,8,31)</f>
        <v>11</v>
      </c>
      <c r="H6178" s="25" t="n">
        <v>52036421</v>
      </c>
      <c r="I6178" t="inlineStr">
        <is>
          <t>entidad-dia</t>
        </is>
      </c>
    </row>
    <row r="6179">
      <c r="A6179" t="inlineStr">
        <is>
          <t>PRAGMA</t>
        </is>
      </c>
      <c r="B6179" t="inlineStr">
        <is>
          <t>M1</t>
        </is>
      </c>
      <c r="C6179" t="inlineStr">
        <is>
          <t>Cali</t>
        </is>
      </c>
      <c r="D6179" t="inlineStr">
        <is>
          <t>9369</t>
        </is>
      </c>
      <c r="E6179" t="inlineStr">
        <is>
          <t>pagado</t>
        </is>
      </c>
      <c r="F6179" s="23" t="n">
        <v>46277</v>
      </c>
      <c r="G6179" s="24">
        <f>F6179-DATE(2026,8,31)</f>
        <v>12</v>
      </c>
      <c r="H6179" s="25" t="n">
        <v>40673406</v>
      </c>
      <c r="I6179" t="inlineStr">
        <is>
          <t>entidad-dia</t>
        </is>
      </c>
    </row>
    <row r="6180">
      <c r="A6180" t="inlineStr">
        <is>
          <t>PRAGMA</t>
        </is>
      </c>
      <c r="B6180" t="inlineStr">
        <is>
          <t>M1</t>
        </is>
      </c>
      <c r="C6180" t="inlineStr">
        <is>
          <t>Cali</t>
        </is>
      </c>
      <c r="D6180" t="inlineStr">
        <is>
          <t>9369</t>
        </is>
      </c>
      <c r="E6180" t="inlineStr">
        <is>
          <t>pagado</t>
        </is>
      </c>
      <c r="F6180" s="23" t="n">
        <v>46278</v>
      </c>
      <c r="G6180" s="24">
        <f>F6180-DATE(2026,8,31)</f>
        <v>13</v>
      </c>
      <c r="H6180" s="25" t="n">
        <v>13005126</v>
      </c>
      <c r="I6180" t="inlineStr">
        <is>
          <t>entidad-dia</t>
        </is>
      </c>
    </row>
    <row r="6181">
      <c r="A6181" t="inlineStr">
        <is>
          <t>PRAGMA</t>
        </is>
      </c>
      <c r="B6181" t="inlineStr">
        <is>
          <t>M1</t>
        </is>
      </c>
      <c r="C6181" t="inlineStr">
        <is>
          <t>Cali</t>
        </is>
      </c>
      <c r="D6181" t="inlineStr">
        <is>
          <t>9369</t>
        </is>
      </c>
      <c r="E6181" t="inlineStr">
        <is>
          <t>pagado</t>
        </is>
      </c>
      <c r="F6181" s="23" t="n">
        <v>46279</v>
      </c>
      <c r="G6181" s="24">
        <f>F6181-DATE(2026,8,31)</f>
        <v>14</v>
      </c>
      <c r="H6181" s="25" t="n">
        <v>62048010</v>
      </c>
      <c r="I6181" t="inlineStr">
        <is>
          <t>entidad-dia</t>
        </is>
      </c>
    </row>
    <row r="6182">
      <c r="A6182" t="inlineStr">
        <is>
          <t>PRAGMA</t>
        </is>
      </c>
      <c r="B6182" t="inlineStr">
        <is>
          <t>M1</t>
        </is>
      </c>
      <c r="C6182" t="inlineStr">
        <is>
          <t>Cali</t>
        </is>
      </c>
      <c r="D6182" t="inlineStr">
        <is>
          <t>9369</t>
        </is>
      </c>
      <c r="E6182" t="inlineStr">
        <is>
          <t>pagado</t>
        </is>
      </c>
      <c r="F6182" s="23" t="n">
        <v>46280</v>
      </c>
      <c r="G6182" s="24">
        <f>F6182-DATE(2026,8,31)</f>
        <v>15</v>
      </c>
      <c r="H6182" s="25" t="n">
        <v>98265226</v>
      </c>
      <c r="I6182" t="inlineStr">
        <is>
          <t>entidad-dia</t>
        </is>
      </c>
    </row>
    <row r="6183">
      <c r="A6183" t="inlineStr">
        <is>
          <t>PRAGMA</t>
        </is>
      </c>
      <c r="B6183" t="inlineStr">
        <is>
          <t>M1</t>
        </is>
      </c>
      <c r="C6183" t="inlineStr">
        <is>
          <t>Cali</t>
        </is>
      </c>
      <c r="D6183" t="inlineStr">
        <is>
          <t>94</t>
        </is>
      </c>
      <c r="E6183" t="inlineStr">
        <is>
          <t>pagado</t>
        </is>
      </c>
      <c r="F6183" s="23" t="n">
        <v>46266</v>
      </c>
      <c r="G6183" s="24">
        <f>F6183-DATE(2026,8,31)</f>
        <v>1</v>
      </c>
      <c r="H6183" s="25" t="n">
        <v>0</v>
      </c>
      <c r="I6183" t="inlineStr">
        <is>
          <t>entidad-dia</t>
        </is>
      </c>
    </row>
    <row r="6184">
      <c r="A6184" t="inlineStr">
        <is>
          <t>PRAGMA</t>
        </is>
      </c>
      <c r="B6184" t="inlineStr">
        <is>
          <t>M1</t>
        </is>
      </c>
      <c r="C6184" t="inlineStr">
        <is>
          <t>Cali</t>
        </is>
      </c>
      <c r="D6184" t="inlineStr">
        <is>
          <t>94</t>
        </is>
      </c>
      <c r="E6184" t="inlineStr">
        <is>
          <t>pagado</t>
        </is>
      </c>
      <c r="F6184" s="23" t="n">
        <v>46267</v>
      </c>
      <c r="G6184" s="24">
        <f>F6184-DATE(2026,8,31)</f>
        <v>2</v>
      </c>
      <c r="H6184" s="25" t="n">
        <v>0</v>
      </c>
      <c r="I6184" t="inlineStr">
        <is>
          <t>entidad-dia</t>
        </is>
      </c>
    </row>
    <row r="6185">
      <c r="A6185" t="inlineStr">
        <is>
          <t>PRAGMA</t>
        </is>
      </c>
      <c r="B6185" t="inlineStr">
        <is>
          <t>M1</t>
        </is>
      </c>
      <c r="C6185" t="inlineStr">
        <is>
          <t>Cali</t>
        </is>
      </c>
      <c r="D6185" t="inlineStr">
        <is>
          <t>94</t>
        </is>
      </c>
      <c r="E6185" t="inlineStr">
        <is>
          <t>pagado</t>
        </is>
      </c>
      <c r="F6185" s="23" t="n">
        <v>46268</v>
      </c>
      <c r="G6185" s="24">
        <f>F6185-DATE(2026,8,31)</f>
        <v>3</v>
      </c>
      <c r="H6185" s="25" t="n">
        <v>0</v>
      </c>
      <c r="I6185" t="inlineStr">
        <is>
          <t>entidad-dia</t>
        </is>
      </c>
    </row>
    <row r="6186">
      <c r="A6186" t="inlineStr">
        <is>
          <t>PRAGMA</t>
        </is>
      </c>
      <c r="B6186" t="inlineStr">
        <is>
          <t>M1</t>
        </is>
      </c>
      <c r="C6186" t="inlineStr">
        <is>
          <t>Cali</t>
        </is>
      </c>
      <c r="D6186" t="inlineStr">
        <is>
          <t>94</t>
        </is>
      </c>
      <c r="E6186" t="inlineStr">
        <is>
          <t>pagado</t>
        </is>
      </c>
      <c r="F6186" s="23" t="n">
        <v>46269</v>
      </c>
      <c r="G6186" s="24">
        <f>F6186-DATE(2026,8,31)</f>
        <v>4</v>
      </c>
      <c r="H6186" s="25" t="n">
        <v>0</v>
      </c>
      <c r="I6186" t="inlineStr">
        <is>
          <t>entidad-dia</t>
        </is>
      </c>
    </row>
    <row r="6187">
      <c r="A6187" t="inlineStr">
        <is>
          <t>PRAGMA</t>
        </is>
      </c>
      <c r="B6187" t="inlineStr">
        <is>
          <t>M1</t>
        </is>
      </c>
      <c r="C6187" t="inlineStr">
        <is>
          <t>Cali</t>
        </is>
      </c>
      <c r="D6187" t="inlineStr">
        <is>
          <t>94</t>
        </is>
      </c>
      <c r="E6187" t="inlineStr">
        <is>
          <t>pagado</t>
        </is>
      </c>
      <c r="F6187" s="23" t="n">
        <v>46270</v>
      </c>
      <c r="G6187" s="24">
        <f>F6187-DATE(2026,8,31)</f>
        <v>5</v>
      </c>
      <c r="H6187" s="25" t="n">
        <v>0</v>
      </c>
      <c r="I6187" t="inlineStr">
        <is>
          <t>entidad-dia</t>
        </is>
      </c>
    </row>
    <row r="6188">
      <c r="A6188" t="inlineStr">
        <is>
          <t>PRAGMA</t>
        </is>
      </c>
      <c r="B6188" t="inlineStr">
        <is>
          <t>M1</t>
        </is>
      </c>
      <c r="C6188" t="inlineStr">
        <is>
          <t>Cali</t>
        </is>
      </c>
      <c r="D6188" t="inlineStr">
        <is>
          <t>94</t>
        </is>
      </c>
      <c r="E6188" t="inlineStr">
        <is>
          <t>pagado</t>
        </is>
      </c>
      <c r="F6188" s="23" t="n">
        <v>46271</v>
      </c>
      <c r="G6188" s="24">
        <f>F6188-DATE(2026,8,31)</f>
        <v>6</v>
      </c>
      <c r="H6188" s="25" t="n">
        <v>0</v>
      </c>
      <c r="I6188" t="inlineStr">
        <is>
          <t>entidad-dia</t>
        </is>
      </c>
    </row>
    <row r="6189">
      <c r="A6189" t="inlineStr">
        <is>
          <t>PRAGMA</t>
        </is>
      </c>
      <c r="B6189" t="inlineStr">
        <is>
          <t>M1</t>
        </is>
      </c>
      <c r="C6189" t="inlineStr">
        <is>
          <t>Cali</t>
        </is>
      </c>
      <c r="D6189" t="inlineStr">
        <is>
          <t>94</t>
        </is>
      </c>
      <c r="E6189" t="inlineStr">
        <is>
          <t>pagado</t>
        </is>
      </c>
      <c r="F6189" s="23" t="n">
        <v>46272</v>
      </c>
      <c r="G6189" s="24">
        <f>F6189-DATE(2026,8,31)</f>
        <v>7</v>
      </c>
      <c r="H6189" s="25" t="n">
        <v>0</v>
      </c>
      <c r="I6189" t="inlineStr">
        <is>
          <t>entidad-dia</t>
        </is>
      </c>
    </row>
    <row r="6190">
      <c r="A6190" t="inlineStr">
        <is>
          <t>PRAGMA</t>
        </is>
      </c>
      <c r="B6190" t="inlineStr">
        <is>
          <t>M1</t>
        </is>
      </c>
      <c r="C6190" t="inlineStr">
        <is>
          <t>Cali</t>
        </is>
      </c>
      <c r="D6190" t="inlineStr">
        <is>
          <t>94</t>
        </is>
      </c>
      <c r="E6190" t="inlineStr">
        <is>
          <t>pagado</t>
        </is>
      </c>
      <c r="F6190" s="23" t="n">
        <v>46273</v>
      </c>
      <c r="G6190" s="24">
        <f>F6190-DATE(2026,8,31)</f>
        <v>8</v>
      </c>
      <c r="H6190" s="25" t="n">
        <v>0</v>
      </c>
      <c r="I6190" t="inlineStr">
        <is>
          <t>entidad-dia</t>
        </is>
      </c>
    </row>
    <row r="6191">
      <c r="A6191" t="inlineStr">
        <is>
          <t>PRAGMA</t>
        </is>
      </c>
      <c r="B6191" t="inlineStr">
        <is>
          <t>M1</t>
        </is>
      </c>
      <c r="C6191" t="inlineStr">
        <is>
          <t>Cali</t>
        </is>
      </c>
      <c r="D6191" t="inlineStr">
        <is>
          <t>94</t>
        </is>
      </c>
      <c r="E6191" t="inlineStr">
        <is>
          <t>pagado</t>
        </is>
      </c>
      <c r="F6191" s="23" t="n">
        <v>46274</v>
      </c>
      <c r="G6191" s="24">
        <f>F6191-DATE(2026,8,31)</f>
        <v>9</v>
      </c>
      <c r="H6191" s="25" t="n">
        <v>0</v>
      </c>
      <c r="I6191" t="inlineStr">
        <is>
          <t>entidad-dia</t>
        </is>
      </c>
    </row>
    <row r="6192">
      <c r="A6192" t="inlineStr">
        <is>
          <t>PRAGMA</t>
        </is>
      </c>
      <c r="B6192" t="inlineStr">
        <is>
          <t>M1</t>
        </is>
      </c>
      <c r="C6192" t="inlineStr">
        <is>
          <t>Cali</t>
        </is>
      </c>
      <c r="D6192" t="inlineStr">
        <is>
          <t>94</t>
        </is>
      </c>
      <c r="E6192" t="inlineStr">
        <is>
          <t>pagado</t>
        </is>
      </c>
      <c r="F6192" s="23" t="n">
        <v>46275</v>
      </c>
      <c r="G6192" s="24">
        <f>F6192-DATE(2026,8,31)</f>
        <v>10</v>
      </c>
      <c r="H6192" s="25" t="n">
        <v>0</v>
      </c>
      <c r="I6192" t="inlineStr">
        <is>
          <t>entidad-dia</t>
        </is>
      </c>
    </row>
    <row r="6193">
      <c r="A6193" t="inlineStr">
        <is>
          <t>PRAGMA</t>
        </is>
      </c>
      <c r="B6193" t="inlineStr">
        <is>
          <t>M1</t>
        </is>
      </c>
      <c r="C6193" t="inlineStr">
        <is>
          <t>Cali</t>
        </is>
      </c>
      <c r="D6193" t="inlineStr">
        <is>
          <t>94</t>
        </is>
      </c>
      <c r="E6193" t="inlineStr">
        <is>
          <t>pagado</t>
        </is>
      </c>
      <c r="F6193" s="23" t="n">
        <v>46276</v>
      </c>
      <c r="G6193" s="24">
        <f>F6193-DATE(2026,8,31)</f>
        <v>11</v>
      </c>
      <c r="H6193" s="25" t="n">
        <v>0</v>
      </c>
      <c r="I6193" t="inlineStr">
        <is>
          <t>entidad-dia</t>
        </is>
      </c>
    </row>
    <row r="6194">
      <c r="A6194" t="inlineStr">
        <is>
          <t>PRAGMA</t>
        </is>
      </c>
      <c r="B6194" t="inlineStr">
        <is>
          <t>M1</t>
        </is>
      </c>
      <c r="C6194" t="inlineStr">
        <is>
          <t>Cali</t>
        </is>
      </c>
      <c r="D6194" t="inlineStr">
        <is>
          <t>94</t>
        </is>
      </c>
      <c r="E6194" t="inlineStr">
        <is>
          <t>pagado</t>
        </is>
      </c>
      <c r="F6194" s="23" t="n">
        <v>46277</v>
      </c>
      <c r="G6194" s="24">
        <f>F6194-DATE(2026,8,31)</f>
        <v>12</v>
      </c>
      <c r="H6194" s="25" t="n">
        <v>0</v>
      </c>
      <c r="I6194" t="inlineStr">
        <is>
          <t>entidad-dia</t>
        </is>
      </c>
    </row>
    <row r="6195">
      <c r="A6195" t="inlineStr">
        <is>
          <t>PRAGMA</t>
        </is>
      </c>
      <c r="B6195" t="inlineStr">
        <is>
          <t>M1</t>
        </is>
      </c>
      <c r="C6195" t="inlineStr">
        <is>
          <t>Cali</t>
        </is>
      </c>
      <c r="D6195" t="inlineStr">
        <is>
          <t>94</t>
        </is>
      </c>
      <c r="E6195" t="inlineStr">
        <is>
          <t>pagado</t>
        </is>
      </c>
      <c r="F6195" s="23" t="n">
        <v>46278</v>
      </c>
      <c r="G6195" s="24">
        <f>F6195-DATE(2026,8,31)</f>
        <v>13</v>
      </c>
      <c r="H6195" s="25" t="n">
        <v>0</v>
      </c>
      <c r="I6195" t="inlineStr">
        <is>
          <t>entidad-dia</t>
        </is>
      </c>
    </row>
    <row r="6196">
      <c r="A6196" t="inlineStr">
        <is>
          <t>PRAGMA</t>
        </is>
      </c>
      <c r="B6196" t="inlineStr">
        <is>
          <t>M1</t>
        </is>
      </c>
      <c r="C6196" t="inlineStr">
        <is>
          <t>Cali</t>
        </is>
      </c>
      <c r="D6196" t="inlineStr">
        <is>
          <t>94</t>
        </is>
      </c>
      <c r="E6196" t="inlineStr">
        <is>
          <t>pagado</t>
        </is>
      </c>
      <c r="F6196" s="23" t="n">
        <v>46279</v>
      </c>
      <c r="G6196" s="24">
        <f>F6196-DATE(2026,8,31)</f>
        <v>14</v>
      </c>
      <c r="H6196" s="25" t="n">
        <v>0</v>
      </c>
      <c r="I6196" t="inlineStr">
        <is>
          <t>entidad-dia</t>
        </is>
      </c>
    </row>
    <row r="6197">
      <c r="A6197" t="inlineStr">
        <is>
          <t>PRAGMA</t>
        </is>
      </c>
      <c r="B6197" t="inlineStr">
        <is>
          <t>M1</t>
        </is>
      </c>
      <c r="C6197" t="inlineStr">
        <is>
          <t>Cali</t>
        </is>
      </c>
      <c r="D6197" t="inlineStr">
        <is>
          <t>94</t>
        </is>
      </c>
      <c r="E6197" t="inlineStr">
        <is>
          <t>pagado</t>
        </is>
      </c>
      <c r="F6197" s="23" t="n">
        <v>46280</v>
      </c>
      <c r="G6197" s="24">
        <f>F6197-DATE(2026,8,31)</f>
        <v>15</v>
      </c>
      <c r="H6197" s="25" t="n">
        <v>0</v>
      </c>
      <c r="I6197" t="inlineStr">
        <is>
          <t>entidad-dia</t>
        </is>
      </c>
    </row>
    <row r="6198">
      <c r="A6198" t="inlineStr">
        <is>
          <t>PRAGMA</t>
        </is>
      </c>
      <c r="B6198" t="inlineStr">
        <is>
          <t>M1</t>
        </is>
      </c>
      <c r="C6198" t="inlineStr">
        <is>
          <t>Cali</t>
        </is>
      </c>
      <c r="D6198" t="inlineStr">
        <is>
          <t>9632</t>
        </is>
      </c>
      <c r="E6198" t="inlineStr">
        <is>
          <t>pagado</t>
        </is>
      </c>
      <c r="F6198" s="23" t="n">
        <v>46266</v>
      </c>
      <c r="G6198" s="24">
        <f>F6198-DATE(2026,8,31)</f>
        <v>1</v>
      </c>
      <c r="H6198" s="25" t="n">
        <v>131266403</v>
      </c>
      <c r="I6198" t="inlineStr">
        <is>
          <t>entidad-dia</t>
        </is>
      </c>
    </row>
    <row r="6199">
      <c r="A6199" t="inlineStr">
        <is>
          <t>PRAGMA</t>
        </is>
      </c>
      <c r="B6199" t="inlineStr">
        <is>
          <t>M1</t>
        </is>
      </c>
      <c r="C6199" t="inlineStr">
        <is>
          <t>Cali</t>
        </is>
      </c>
      <c r="D6199" t="inlineStr">
        <is>
          <t>9632</t>
        </is>
      </c>
      <c r="E6199" t="inlineStr">
        <is>
          <t>pagado</t>
        </is>
      </c>
      <c r="F6199" s="23" t="n">
        <v>46267</v>
      </c>
      <c r="G6199" s="24">
        <f>F6199-DATE(2026,8,31)</f>
        <v>2</v>
      </c>
      <c r="H6199" s="25" t="n">
        <v>83280761</v>
      </c>
      <c r="I6199" t="inlineStr">
        <is>
          <t>entidad-dia</t>
        </is>
      </c>
    </row>
    <row r="6200">
      <c r="A6200" t="inlineStr">
        <is>
          <t>PRAGMA</t>
        </is>
      </c>
      <c r="B6200" t="inlineStr">
        <is>
          <t>M1</t>
        </is>
      </c>
      <c r="C6200" t="inlineStr">
        <is>
          <t>Cali</t>
        </is>
      </c>
      <c r="D6200" t="inlineStr">
        <is>
          <t>9632</t>
        </is>
      </c>
      <c r="E6200" t="inlineStr">
        <is>
          <t>pagado</t>
        </is>
      </c>
      <c r="F6200" s="23" t="n">
        <v>46268</v>
      </c>
      <c r="G6200" s="24">
        <f>F6200-DATE(2026,8,31)</f>
        <v>3</v>
      </c>
      <c r="H6200" s="25" t="n">
        <v>79354405</v>
      </c>
      <c r="I6200" t="inlineStr">
        <is>
          <t>entidad-dia</t>
        </is>
      </c>
    </row>
    <row r="6201">
      <c r="A6201" t="inlineStr">
        <is>
          <t>PRAGMA</t>
        </is>
      </c>
      <c r="B6201" t="inlineStr">
        <is>
          <t>M1</t>
        </is>
      </c>
      <c r="C6201" t="inlineStr">
        <is>
          <t>Cali</t>
        </is>
      </c>
      <c r="D6201" t="inlineStr">
        <is>
          <t>9632</t>
        </is>
      </c>
      <c r="E6201" t="inlineStr">
        <is>
          <t>pagado</t>
        </is>
      </c>
      <c r="F6201" s="23" t="n">
        <v>46269</v>
      </c>
      <c r="G6201" s="24">
        <f>F6201-DATE(2026,8,31)</f>
        <v>4</v>
      </c>
      <c r="H6201" s="25" t="n">
        <v>88907009</v>
      </c>
      <c r="I6201" t="inlineStr">
        <is>
          <t>entidad-dia</t>
        </is>
      </c>
    </row>
    <row r="6202">
      <c r="A6202" t="inlineStr">
        <is>
          <t>PRAGMA</t>
        </is>
      </c>
      <c r="B6202" t="inlineStr">
        <is>
          <t>M1</t>
        </is>
      </c>
      <c r="C6202" t="inlineStr">
        <is>
          <t>Cali</t>
        </is>
      </c>
      <c r="D6202" t="inlineStr">
        <is>
          <t>9632</t>
        </is>
      </c>
      <c r="E6202" t="inlineStr">
        <is>
          <t>pagado</t>
        </is>
      </c>
      <c r="F6202" s="23" t="n">
        <v>46270</v>
      </c>
      <c r="G6202" s="24">
        <f>F6202-DATE(2026,8,31)</f>
        <v>5</v>
      </c>
      <c r="H6202" s="25" t="n">
        <v>56118297</v>
      </c>
      <c r="I6202" t="inlineStr">
        <is>
          <t>entidad-dia</t>
        </is>
      </c>
    </row>
    <row r="6203">
      <c r="A6203" t="inlineStr">
        <is>
          <t>PRAGMA</t>
        </is>
      </c>
      <c r="B6203" t="inlineStr">
        <is>
          <t>M1</t>
        </is>
      </c>
      <c r="C6203" t="inlineStr">
        <is>
          <t>Cali</t>
        </is>
      </c>
      <c r="D6203" t="inlineStr">
        <is>
          <t>9632</t>
        </is>
      </c>
      <c r="E6203" t="inlineStr">
        <is>
          <t>pagado</t>
        </is>
      </c>
      <c r="F6203" s="23" t="n">
        <v>46271</v>
      </c>
      <c r="G6203" s="24">
        <f>F6203-DATE(2026,8,31)</f>
        <v>6</v>
      </c>
      <c r="H6203" s="25" t="n">
        <v>27814338</v>
      </c>
      <c r="I6203" t="inlineStr">
        <is>
          <t>entidad-dia</t>
        </is>
      </c>
    </row>
    <row r="6204">
      <c r="A6204" t="inlineStr">
        <is>
          <t>PRAGMA</t>
        </is>
      </c>
      <c r="B6204" t="inlineStr">
        <is>
          <t>M1</t>
        </is>
      </c>
      <c r="C6204" t="inlineStr">
        <is>
          <t>Cali</t>
        </is>
      </c>
      <c r="D6204" t="inlineStr">
        <is>
          <t>9632</t>
        </is>
      </c>
      <c r="E6204" t="inlineStr">
        <is>
          <t>pagado</t>
        </is>
      </c>
      <c r="F6204" s="23" t="n">
        <v>46272</v>
      </c>
      <c r="G6204" s="24">
        <f>F6204-DATE(2026,8,31)</f>
        <v>7</v>
      </c>
      <c r="H6204" s="25" t="n">
        <v>58374964</v>
      </c>
      <c r="I6204" t="inlineStr">
        <is>
          <t>entidad-dia</t>
        </is>
      </c>
    </row>
    <row r="6205">
      <c r="A6205" t="inlineStr">
        <is>
          <t>PRAGMA</t>
        </is>
      </c>
      <c r="B6205" t="inlineStr">
        <is>
          <t>M1</t>
        </is>
      </c>
      <c r="C6205" t="inlineStr">
        <is>
          <t>Cali</t>
        </is>
      </c>
      <c r="D6205" t="inlineStr">
        <is>
          <t>9632</t>
        </is>
      </c>
      <c r="E6205" t="inlineStr">
        <is>
          <t>pagado</t>
        </is>
      </c>
      <c r="F6205" s="23" t="n">
        <v>46273</v>
      </c>
      <c r="G6205" s="24">
        <f>F6205-DATE(2026,8,31)</f>
        <v>8</v>
      </c>
      <c r="H6205" s="25" t="n">
        <v>75911517</v>
      </c>
      <c r="I6205" t="inlineStr">
        <is>
          <t>entidad-dia</t>
        </is>
      </c>
    </row>
    <row r="6206">
      <c r="A6206" t="inlineStr">
        <is>
          <t>PRAGMA</t>
        </is>
      </c>
      <c r="B6206" t="inlineStr">
        <is>
          <t>M1</t>
        </is>
      </c>
      <c r="C6206" t="inlineStr">
        <is>
          <t>Cali</t>
        </is>
      </c>
      <c r="D6206" t="inlineStr">
        <is>
          <t>9632</t>
        </is>
      </c>
      <c r="E6206" t="inlineStr">
        <is>
          <t>pagado</t>
        </is>
      </c>
      <c r="F6206" s="23" t="n">
        <v>46274</v>
      </c>
      <c r="G6206" s="24">
        <f>F6206-DATE(2026,8,31)</f>
        <v>9</v>
      </c>
      <c r="H6206" s="25" t="n">
        <v>62922536</v>
      </c>
      <c r="I6206" t="inlineStr">
        <is>
          <t>entidad-dia</t>
        </is>
      </c>
    </row>
    <row r="6207">
      <c r="A6207" t="inlineStr">
        <is>
          <t>PRAGMA</t>
        </is>
      </c>
      <c r="B6207" t="inlineStr">
        <is>
          <t>M1</t>
        </is>
      </c>
      <c r="C6207" t="inlineStr">
        <is>
          <t>Cali</t>
        </is>
      </c>
      <c r="D6207" t="inlineStr">
        <is>
          <t>9632</t>
        </is>
      </c>
      <c r="E6207" t="inlineStr">
        <is>
          <t>pagado</t>
        </is>
      </c>
      <c r="F6207" s="23" t="n">
        <v>46275</v>
      </c>
      <c r="G6207" s="24">
        <f>F6207-DATE(2026,8,31)</f>
        <v>10</v>
      </c>
      <c r="H6207" s="25" t="n">
        <v>53808060</v>
      </c>
      <c r="I6207" t="inlineStr">
        <is>
          <t>entidad-dia</t>
        </is>
      </c>
    </row>
    <row r="6208">
      <c r="A6208" t="inlineStr">
        <is>
          <t>PRAGMA</t>
        </is>
      </c>
      <c r="B6208" t="inlineStr">
        <is>
          <t>M1</t>
        </is>
      </c>
      <c r="C6208" t="inlineStr">
        <is>
          <t>Cali</t>
        </is>
      </c>
      <c r="D6208" t="inlineStr">
        <is>
          <t>9632</t>
        </is>
      </c>
      <c r="E6208" t="inlineStr">
        <is>
          <t>pagado</t>
        </is>
      </c>
      <c r="F6208" s="23" t="n">
        <v>46276</v>
      </c>
      <c r="G6208" s="24">
        <f>F6208-DATE(2026,8,31)</f>
        <v>11</v>
      </c>
      <c r="H6208" s="25" t="n">
        <v>58386466</v>
      </c>
      <c r="I6208" t="inlineStr">
        <is>
          <t>entidad-dia</t>
        </is>
      </c>
    </row>
    <row r="6209">
      <c r="A6209" t="inlineStr">
        <is>
          <t>PRAGMA</t>
        </is>
      </c>
      <c r="B6209" t="inlineStr">
        <is>
          <t>M1</t>
        </is>
      </c>
      <c r="C6209" t="inlineStr">
        <is>
          <t>Cali</t>
        </is>
      </c>
      <c r="D6209" t="inlineStr">
        <is>
          <t>9632</t>
        </is>
      </c>
      <c r="E6209" t="inlineStr">
        <is>
          <t>pagado</t>
        </is>
      </c>
      <c r="F6209" s="23" t="n">
        <v>46277</v>
      </c>
      <c r="G6209" s="24">
        <f>F6209-DATE(2026,8,31)</f>
        <v>12</v>
      </c>
      <c r="H6209" s="25" t="n">
        <v>43998539</v>
      </c>
      <c r="I6209" t="inlineStr">
        <is>
          <t>entidad-dia</t>
        </is>
      </c>
    </row>
    <row r="6210">
      <c r="A6210" t="inlineStr">
        <is>
          <t>PRAGMA</t>
        </is>
      </c>
      <c r="B6210" t="inlineStr">
        <is>
          <t>M1</t>
        </is>
      </c>
      <c r="C6210" t="inlineStr">
        <is>
          <t>Cali</t>
        </is>
      </c>
      <c r="D6210" t="inlineStr">
        <is>
          <t>9632</t>
        </is>
      </c>
      <c r="E6210" t="inlineStr">
        <is>
          <t>pagado</t>
        </is>
      </c>
      <c r="F6210" s="23" t="n">
        <v>46278</v>
      </c>
      <c r="G6210" s="24">
        <f>F6210-DATE(2026,8,31)</f>
        <v>13</v>
      </c>
      <c r="H6210" s="25" t="n">
        <v>21089637</v>
      </c>
      <c r="I6210" t="inlineStr">
        <is>
          <t>entidad-dia</t>
        </is>
      </c>
    </row>
    <row r="6211">
      <c r="A6211" t="inlineStr">
        <is>
          <t>PRAGMA</t>
        </is>
      </c>
      <c r="B6211" t="inlineStr">
        <is>
          <t>M1</t>
        </is>
      </c>
      <c r="C6211" t="inlineStr">
        <is>
          <t>Cali</t>
        </is>
      </c>
      <c r="D6211" t="inlineStr">
        <is>
          <t>9632</t>
        </is>
      </c>
      <c r="E6211" t="inlineStr">
        <is>
          <t>pagado</t>
        </is>
      </c>
      <c r="F6211" s="23" t="n">
        <v>46279</v>
      </c>
      <c r="G6211" s="24">
        <f>F6211-DATE(2026,8,31)</f>
        <v>14</v>
      </c>
      <c r="H6211" s="25" t="n">
        <v>45820493</v>
      </c>
      <c r="I6211" t="inlineStr">
        <is>
          <t>entidad-dia</t>
        </is>
      </c>
    </row>
    <row r="6212">
      <c r="A6212" t="inlineStr">
        <is>
          <t>PRAGMA</t>
        </is>
      </c>
      <c r="B6212" t="inlineStr">
        <is>
          <t>M1</t>
        </is>
      </c>
      <c r="C6212" t="inlineStr">
        <is>
          <t>Cali</t>
        </is>
      </c>
      <c r="D6212" t="inlineStr">
        <is>
          <t>9632</t>
        </is>
      </c>
      <c r="E6212" t="inlineStr">
        <is>
          <t>pagado</t>
        </is>
      </c>
      <c r="F6212" s="23" t="n">
        <v>46280</v>
      </c>
      <c r="G6212" s="24">
        <f>F6212-DATE(2026,8,31)</f>
        <v>15</v>
      </c>
      <c r="H6212" s="25" t="n">
        <v>89062874</v>
      </c>
      <c r="I6212" t="inlineStr">
        <is>
          <t>entidad-dia</t>
        </is>
      </c>
    </row>
    <row r="6213">
      <c r="A6213" t="inlineStr">
        <is>
          <t>PRAGMA</t>
        </is>
      </c>
      <c r="B6213" t="inlineStr">
        <is>
          <t>M1</t>
        </is>
      </c>
      <c r="C6213" t="inlineStr">
        <is>
          <t>Cali</t>
        </is>
      </c>
      <c r="D6213" t="inlineStr">
        <is>
          <t>9633</t>
        </is>
      </c>
      <c r="E6213" t="inlineStr">
        <is>
          <t>pagado</t>
        </is>
      </c>
      <c r="F6213" s="23" t="n">
        <v>46266</v>
      </c>
      <c r="G6213" s="24">
        <f>F6213-DATE(2026,8,31)</f>
        <v>1</v>
      </c>
      <c r="H6213" s="25" t="n">
        <v>128828288</v>
      </c>
      <c r="I6213" t="inlineStr">
        <is>
          <t>entidad-dia</t>
        </is>
      </c>
    </row>
    <row r="6214">
      <c r="A6214" t="inlineStr">
        <is>
          <t>PRAGMA</t>
        </is>
      </c>
      <c r="B6214" t="inlineStr">
        <is>
          <t>M1</t>
        </is>
      </c>
      <c r="C6214" t="inlineStr">
        <is>
          <t>Cali</t>
        </is>
      </c>
      <c r="D6214" t="inlineStr">
        <is>
          <t>9633</t>
        </is>
      </c>
      <c r="E6214" t="inlineStr">
        <is>
          <t>pagado</t>
        </is>
      </c>
      <c r="F6214" s="23" t="n">
        <v>46267</v>
      </c>
      <c r="G6214" s="24">
        <f>F6214-DATE(2026,8,31)</f>
        <v>2</v>
      </c>
      <c r="H6214" s="25" t="n">
        <v>87652973</v>
      </c>
      <c r="I6214" t="inlineStr">
        <is>
          <t>entidad-dia</t>
        </is>
      </c>
    </row>
    <row r="6215">
      <c r="A6215" t="inlineStr">
        <is>
          <t>PRAGMA</t>
        </is>
      </c>
      <c r="B6215" t="inlineStr">
        <is>
          <t>M1</t>
        </is>
      </c>
      <c r="C6215" t="inlineStr">
        <is>
          <t>Cali</t>
        </is>
      </c>
      <c r="D6215" t="inlineStr">
        <is>
          <t>9633</t>
        </is>
      </c>
      <c r="E6215" t="inlineStr">
        <is>
          <t>pagado</t>
        </is>
      </c>
      <c r="F6215" s="23" t="n">
        <v>46268</v>
      </c>
      <c r="G6215" s="24">
        <f>F6215-DATE(2026,8,31)</f>
        <v>3</v>
      </c>
      <c r="H6215" s="25" t="n">
        <v>72016120</v>
      </c>
      <c r="I6215" t="inlineStr">
        <is>
          <t>entidad-dia</t>
        </is>
      </c>
    </row>
    <row r="6216">
      <c r="A6216" t="inlineStr">
        <is>
          <t>PRAGMA</t>
        </is>
      </c>
      <c r="B6216" t="inlineStr">
        <is>
          <t>M1</t>
        </is>
      </c>
      <c r="C6216" t="inlineStr">
        <is>
          <t>Cali</t>
        </is>
      </c>
      <c r="D6216" t="inlineStr">
        <is>
          <t>9633</t>
        </is>
      </c>
      <c r="E6216" t="inlineStr">
        <is>
          <t>pagado</t>
        </is>
      </c>
      <c r="F6216" s="23" t="n">
        <v>46269</v>
      </c>
      <c r="G6216" s="24">
        <f>F6216-DATE(2026,8,31)</f>
        <v>4</v>
      </c>
      <c r="H6216" s="25" t="n">
        <v>68186459</v>
      </c>
      <c r="I6216" t="inlineStr">
        <is>
          <t>entidad-dia</t>
        </is>
      </c>
    </row>
    <row r="6217">
      <c r="A6217" t="inlineStr">
        <is>
          <t>PRAGMA</t>
        </is>
      </c>
      <c r="B6217" t="inlineStr">
        <is>
          <t>M1</t>
        </is>
      </c>
      <c r="C6217" t="inlineStr">
        <is>
          <t>Cali</t>
        </is>
      </c>
      <c r="D6217" t="inlineStr">
        <is>
          <t>9633</t>
        </is>
      </c>
      <c r="E6217" t="inlineStr">
        <is>
          <t>pagado</t>
        </is>
      </c>
      <c r="F6217" s="23" t="n">
        <v>46270</v>
      </c>
      <c r="G6217" s="24">
        <f>F6217-DATE(2026,8,31)</f>
        <v>5</v>
      </c>
      <c r="H6217" s="25" t="n">
        <v>59076203</v>
      </c>
      <c r="I6217" t="inlineStr">
        <is>
          <t>entidad-dia</t>
        </is>
      </c>
    </row>
    <row r="6218">
      <c r="A6218" t="inlineStr">
        <is>
          <t>PRAGMA</t>
        </is>
      </c>
      <c r="B6218" t="inlineStr">
        <is>
          <t>M1</t>
        </is>
      </c>
      <c r="C6218" t="inlineStr">
        <is>
          <t>Cali</t>
        </is>
      </c>
      <c r="D6218" t="inlineStr">
        <is>
          <t>9633</t>
        </is>
      </c>
      <c r="E6218" t="inlineStr">
        <is>
          <t>pagado</t>
        </is>
      </c>
      <c r="F6218" s="23" t="n">
        <v>46271</v>
      </c>
      <c r="G6218" s="24">
        <f>F6218-DATE(2026,8,31)</f>
        <v>6</v>
      </c>
      <c r="H6218" s="25" t="n">
        <v>27471556</v>
      </c>
      <c r="I6218" t="inlineStr">
        <is>
          <t>entidad-dia</t>
        </is>
      </c>
    </row>
    <row r="6219">
      <c r="A6219" t="inlineStr">
        <is>
          <t>PRAGMA</t>
        </is>
      </c>
      <c r="B6219" t="inlineStr">
        <is>
          <t>M1</t>
        </is>
      </c>
      <c r="C6219" t="inlineStr">
        <is>
          <t>Cali</t>
        </is>
      </c>
      <c r="D6219" t="inlineStr">
        <is>
          <t>9633</t>
        </is>
      </c>
      <c r="E6219" t="inlineStr">
        <is>
          <t>pagado</t>
        </is>
      </c>
      <c r="F6219" s="23" t="n">
        <v>46272</v>
      </c>
      <c r="G6219" s="24">
        <f>F6219-DATE(2026,8,31)</f>
        <v>7</v>
      </c>
      <c r="H6219" s="25" t="n">
        <v>60909283</v>
      </c>
      <c r="I6219" t="inlineStr">
        <is>
          <t>entidad-dia</t>
        </is>
      </c>
    </row>
    <row r="6220">
      <c r="A6220" t="inlineStr">
        <is>
          <t>PRAGMA</t>
        </is>
      </c>
      <c r="B6220" t="inlineStr">
        <is>
          <t>M1</t>
        </is>
      </c>
      <c r="C6220" t="inlineStr">
        <is>
          <t>Cali</t>
        </is>
      </c>
      <c r="D6220" t="inlineStr">
        <is>
          <t>9633</t>
        </is>
      </c>
      <c r="E6220" t="inlineStr">
        <is>
          <t>pagado</t>
        </is>
      </c>
      <c r="F6220" s="23" t="n">
        <v>46273</v>
      </c>
      <c r="G6220" s="24">
        <f>F6220-DATE(2026,8,31)</f>
        <v>8</v>
      </c>
      <c r="H6220" s="25" t="n">
        <v>65726185</v>
      </c>
      <c r="I6220" t="inlineStr">
        <is>
          <t>entidad-dia</t>
        </is>
      </c>
    </row>
    <row r="6221">
      <c r="A6221" t="inlineStr">
        <is>
          <t>PRAGMA</t>
        </is>
      </c>
      <c r="B6221" t="inlineStr">
        <is>
          <t>M1</t>
        </is>
      </c>
      <c r="C6221" t="inlineStr">
        <is>
          <t>Cali</t>
        </is>
      </c>
      <c r="D6221" t="inlineStr">
        <is>
          <t>9633</t>
        </is>
      </c>
      <c r="E6221" t="inlineStr">
        <is>
          <t>pagado</t>
        </is>
      </c>
      <c r="F6221" s="23" t="n">
        <v>46274</v>
      </c>
      <c r="G6221" s="24">
        <f>F6221-DATE(2026,8,31)</f>
        <v>9</v>
      </c>
      <c r="H6221" s="25" t="n">
        <v>53271759</v>
      </c>
      <c r="I6221" t="inlineStr">
        <is>
          <t>entidad-dia</t>
        </is>
      </c>
    </row>
    <row r="6222">
      <c r="A6222" t="inlineStr">
        <is>
          <t>PRAGMA</t>
        </is>
      </c>
      <c r="B6222" t="inlineStr">
        <is>
          <t>M1</t>
        </is>
      </c>
      <c r="C6222" t="inlineStr">
        <is>
          <t>Cali</t>
        </is>
      </c>
      <c r="D6222" t="inlineStr">
        <is>
          <t>9633</t>
        </is>
      </c>
      <c r="E6222" t="inlineStr">
        <is>
          <t>pagado</t>
        </is>
      </c>
      <c r="F6222" s="23" t="n">
        <v>46275</v>
      </c>
      <c r="G6222" s="24">
        <f>F6222-DATE(2026,8,31)</f>
        <v>10</v>
      </c>
      <c r="H6222" s="25" t="n">
        <v>53165888</v>
      </c>
      <c r="I6222" t="inlineStr">
        <is>
          <t>entidad-dia</t>
        </is>
      </c>
    </row>
    <row r="6223">
      <c r="A6223" t="inlineStr">
        <is>
          <t>PRAGMA</t>
        </is>
      </c>
      <c r="B6223" t="inlineStr">
        <is>
          <t>M1</t>
        </is>
      </c>
      <c r="C6223" t="inlineStr">
        <is>
          <t>Cali</t>
        </is>
      </c>
      <c r="D6223" t="inlineStr">
        <is>
          <t>9633</t>
        </is>
      </c>
      <c r="E6223" t="inlineStr">
        <is>
          <t>pagado</t>
        </is>
      </c>
      <c r="F6223" s="23" t="n">
        <v>46276</v>
      </c>
      <c r="G6223" s="24">
        <f>F6223-DATE(2026,8,31)</f>
        <v>11</v>
      </c>
      <c r="H6223" s="25" t="n">
        <v>52872617</v>
      </c>
      <c r="I6223" t="inlineStr">
        <is>
          <t>entidad-dia</t>
        </is>
      </c>
    </row>
    <row r="6224">
      <c r="A6224" t="inlineStr">
        <is>
          <t>PRAGMA</t>
        </is>
      </c>
      <c r="B6224" t="inlineStr">
        <is>
          <t>M1</t>
        </is>
      </c>
      <c r="C6224" t="inlineStr">
        <is>
          <t>Cali</t>
        </is>
      </c>
      <c r="D6224" t="inlineStr">
        <is>
          <t>9633</t>
        </is>
      </c>
      <c r="E6224" t="inlineStr">
        <is>
          <t>pagado</t>
        </is>
      </c>
      <c r="F6224" s="23" t="n">
        <v>46277</v>
      </c>
      <c r="G6224" s="24">
        <f>F6224-DATE(2026,8,31)</f>
        <v>12</v>
      </c>
      <c r="H6224" s="25" t="n">
        <v>42065972</v>
      </c>
      <c r="I6224" t="inlineStr">
        <is>
          <t>entidad-dia</t>
        </is>
      </c>
    </row>
    <row r="6225">
      <c r="A6225" t="inlineStr">
        <is>
          <t>PRAGMA</t>
        </is>
      </c>
      <c r="B6225" t="inlineStr">
        <is>
          <t>M1</t>
        </is>
      </c>
      <c r="C6225" t="inlineStr">
        <is>
          <t>Cali</t>
        </is>
      </c>
      <c r="D6225" t="inlineStr">
        <is>
          <t>9633</t>
        </is>
      </c>
      <c r="E6225" t="inlineStr">
        <is>
          <t>pagado</t>
        </is>
      </c>
      <c r="F6225" s="23" t="n">
        <v>46278</v>
      </c>
      <c r="G6225" s="24">
        <f>F6225-DATE(2026,8,31)</f>
        <v>13</v>
      </c>
      <c r="H6225" s="25" t="n">
        <v>22963896</v>
      </c>
      <c r="I6225" t="inlineStr">
        <is>
          <t>entidad-dia</t>
        </is>
      </c>
    </row>
    <row r="6226">
      <c r="A6226" t="inlineStr">
        <is>
          <t>PRAGMA</t>
        </is>
      </c>
      <c r="B6226" t="inlineStr">
        <is>
          <t>M1</t>
        </is>
      </c>
      <c r="C6226" t="inlineStr">
        <is>
          <t>Cali</t>
        </is>
      </c>
      <c r="D6226" t="inlineStr">
        <is>
          <t>9633</t>
        </is>
      </c>
      <c r="E6226" t="inlineStr">
        <is>
          <t>pagado</t>
        </is>
      </c>
      <c r="F6226" s="23" t="n">
        <v>46279</v>
      </c>
      <c r="G6226" s="24">
        <f>F6226-DATE(2026,8,31)</f>
        <v>14</v>
      </c>
      <c r="H6226" s="25" t="n">
        <v>57041089</v>
      </c>
      <c r="I6226" t="inlineStr">
        <is>
          <t>entidad-dia</t>
        </is>
      </c>
    </row>
    <row r="6227">
      <c r="A6227" t="inlineStr">
        <is>
          <t>PRAGMA</t>
        </is>
      </c>
      <c r="B6227" t="inlineStr">
        <is>
          <t>M1</t>
        </is>
      </c>
      <c r="C6227" t="inlineStr">
        <is>
          <t>Cali</t>
        </is>
      </c>
      <c r="D6227" t="inlineStr">
        <is>
          <t>9633</t>
        </is>
      </c>
      <c r="E6227" t="inlineStr">
        <is>
          <t>pagado</t>
        </is>
      </c>
      <c r="F6227" s="23" t="n">
        <v>46280</v>
      </c>
      <c r="G6227" s="24">
        <f>F6227-DATE(2026,8,31)</f>
        <v>15</v>
      </c>
      <c r="H6227" s="25" t="n">
        <v>89567691</v>
      </c>
      <c r="I6227" t="inlineStr">
        <is>
          <t>entidad-dia</t>
        </is>
      </c>
    </row>
    <row r="6228">
      <c r="A6228" t="inlineStr">
        <is>
          <t>PRAGMA</t>
        </is>
      </c>
      <c r="B6228" t="inlineStr">
        <is>
          <t>M1</t>
        </is>
      </c>
      <c r="C6228" t="inlineStr">
        <is>
          <t>Cali</t>
        </is>
      </c>
      <c r="D6228" t="inlineStr">
        <is>
          <t>9638</t>
        </is>
      </c>
      <c r="E6228" t="inlineStr">
        <is>
          <t>pagado</t>
        </is>
      </c>
      <c r="F6228" s="23" t="n">
        <v>46266</v>
      </c>
      <c r="G6228" s="24">
        <f>F6228-DATE(2026,8,31)</f>
        <v>1</v>
      </c>
      <c r="H6228" s="25" t="n">
        <v>197555829</v>
      </c>
      <c r="I6228" t="inlineStr">
        <is>
          <t>entidad-dia</t>
        </is>
      </c>
    </row>
    <row r="6229">
      <c r="A6229" t="inlineStr">
        <is>
          <t>PRAGMA</t>
        </is>
      </c>
      <c r="B6229" t="inlineStr">
        <is>
          <t>M1</t>
        </is>
      </c>
      <c r="C6229" t="inlineStr">
        <is>
          <t>Cali</t>
        </is>
      </c>
      <c r="D6229" t="inlineStr">
        <is>
          <t>9638</t>
        </is>
      </c>
      <c r="E6229" t="inlineStr">
        <is>
          <t>pagado</t>
        </is>
      </c>
      <c r="F6229" s="23" t="n">
        <v>46267</v>
      </c>
      <c r="G6229" s="24">
        <f>F6229-DATE(2026,8,31)</f>
        <v>2</v>
      </c>
      <c r="H6229" s="25" t="n">
        <v>150595743</v>
      </c>
      <c r="I6229" t="inlineStr">
        <is>
          <t>entidad-dia</t>
        </is>
      </c>
    </row>
    <row r="6230">
      <c r="A6230" t="inlineStr">
        <is>
          <t>PRAGMA</t>
        </is>
      </c>
      <c r="B6230" t="inlineStr">
        <is>
          <t>M1</t>
        </is>
      </c>
      <c r="C6230" t="inlineStr">
        <is>
          <t>Cali</t>
        </is>
      </c>
      <c r="D6230" t="inlineStr">
        <is>
          <t>9638</t>
        </is>
      </c>
      <c r="E6230" t="inlineStr">
        <is>
          <t>pagado</t>
        </is>
      </c>
      <c r="F6230" s="23" t="n">
        <v>46268</v>
      </c>
      <c r="G6230" s="24">
        <f>F6230-DATE(2026,8,31)</f>
        <v>3</v>
      </c>
      <c r="H6230" s="25" t="n">
        <v>146101627</v>
      </c>
      <c r="I6230" t="inlineStr">
        <is>
          <t>entidad-dia</t>
        </is>
      </c>
    </row>
    <row r="6231">
      <c r="A6231" t="inlineStr">
        <is>
          <t>PRAGMA</t>
        </is>
      </c>
      <c r="B6231" t="inlineStr">
        <is>
          <t>M1</t>
        </is>
      </c>
      <c r="C6231" t="inlineStr">
        <is>
          <t>Cali</t>
        </is>
      </c>
      <c r="D6231" t="inlineStr">
        <is>
          <t>9638</t>
        </is>
      </c>
      <c r="E6231" t="inlineStr">
        <is>
          <t>pagado</t>
        </is>
      </c>
      <c r="F6231" s="23" t="n">
        <v>46269</v>
      </c>
      <c r="G6231" s="24">
        <f>F6231-DATE(2026,8,31)</f>
        <v>4</v>
      </c>
      <c r="H6231" s="25" t="n">
        <v>144221800</v>
      </c>
      <c r="I6231" t="inlineStr">
        <is>
          <t>entidad-dia</t>
        </is>
      </c>
    </row>
    <row r="6232">
      <c r="A6232" t="inlineStr">
        <is>
          <t>PRAGMA</t>
        </is>
      </c>
      <c r="B6232" t="inlineStr">
        <is>
          <t>M1</t>
        </is>
      </c>
      <c r="C6232" t="inlineStr">
        <is>
          <t>Cali</t>
        </is>
      </c>
      <c r="D6232" t="inlineStr">
        <is>
          <t>9638</t>
        </is>
      </c>
      <c r="E6232" t="inlineStr">
        <is>
          <t>pagado</t>
        </is>
      </c>
      <c r="F6232" s="23" t="n">
        <v>46270</v>
      </c>
      <c r="G6232" s="24">
        <f>F6232-DATE(2026,8,31)</f>
        <v>5</v>
      </c>
      <c r="H6232" s="25" t="n">
        <v>145559725</v>
      </c>
      <c r="I6232" t="inlineStr">
        <is>
          <t>entidad-dia</t>
        </is>
      </c>
    </row>
    <row r="6233">
      <c r="A6233" t="inlineStr">
        <is>
          <t>PRAGMA</t>
        </is>
      </c>
      <c r="B6233" t="inlineStr">
        <is>
          <t>M1</t>
        </is>
      </c>
      <c r="C6233" t="inlineStr">
        <is>
          <t>Cali</t>
        </is>
      </c>
      <c r="D6233" t="inlineStr">
        <is>
          <t>9638</t>
        </is>
      </c>
      <c r="E6233" t="inlineStr">
        <is>
          <t>pagado</t>
        </is>
      </c>
      <c r="F6233" s="23" t="n">
        <v>46271</v>
      </c>
      <c r="G6233" s="24">
        <f>F6233-DATE(2026,8,31)</f>
        <v>6</v>
      </c>
      <c r="H6233" s="25" t="n">
        <v>93257429</v>
      </c>
      <c r="I6233" t="inlineStr">
        <is>
          <t>entidad-dia</t>
        </is>
      </c>
    </row>
    <row r="6234">
      <c r="A6234" t="inlineStr">
        <is>
          <t>PRAGMA</t>
        </is>
      </c>
      <c r="B6234" t="inlineStr">
        <is>
          <t>M1</t>
        </is>
      </c>
      <c r="C6234" t="inlineStr">
        <is>
          <t>Cali</t>
        </is>
      </c>
      <c r="D6234" t="inlineStr">
        <is>
          <t>9638</t>
        </is>
      </c>
      <c r="E6234" t="inlineStr">
        <is>
          <t>pagado</t>
        </is>
      </c>
      <c r="F6234" s="23" t="n">
        <v>46272</v>
      </c>
      <c r="G6234" s="24">
        <f>F6234-DATE(2026,8,31)</f>
        <v>7</v>
      </c>
      <c r="H6234" s="25" t="n">
        <v>108022919</v>
      </c>
      <c r="I6234" t="inlineStr">
        <is>
          <t>entidad-dia</t>
        </is>
      </c>
    </row>
    <row r="6235">
      <c r="A6235" t="inlineStr">
        <is>
          <t>PRAGMA</t>
        </is>
      </c>
      <c r="B6235" t="inlineStr">
        <is>
          <t>M1</t>
        </is>
      </c>
      <c r="C6235" t="inlineStr">
        <is>
          <t>Cali</t>
        </is>
      </c>
      <c r="D6235" t="inlineStr">
        <is>
          <t>9638</t>
        </is>
      </c>
      <c r="E6235" t="inlineStr">
        <is>
          <t>pagado</t>
        </is>
      </c>
      <c r="F6235" s="23" t="n">
        <v>46273</v>
      </c>
      <c r="G6235" s="24">
        <f>F6235-DATE(2026,8,31)</f>
        <v>8</v>
      </c>
      <c r="H6235" s="25" t="n">
        <v>108988731</v>
      </c>
      <c r="I6235" t="inlineStr">
        <is>
          <t>entidad-dia</t>
        </is>
      </c>
    </row>
    <row r="6236">
      <c r="A6236" t="inlineStr">
        <is>
          <t>PRAGMA</t>
        </is>
      </c>
      <c r="B6236" t="inlineStr">
        <is>
          <t>M1</t>
        </is>
      </c>
      <c r="C6236" t="inlineStr">
        <is>
          <t>Cali</t>
        </is>
      </c>
      <c r="D6236" t="inlineStr">
        <is>
          <t>9638</t>
        </is>
      </c>
      <c r="E6236" t="inlineStr">
        <is>
          <t>pagado</t>
        </is>
      </c>
      <c r="F6236" s="23" t="n">
        <v>46274</v>
      </c>
      <c r="G6236" s="24">
        <f>F6236-DATE(2026,8,31)</f>
        <v>9</v>
      </c>
      <c r="H6236" s="25" t="n">
        <v>105253988</v>
      </c>
      <c r="I6236" t="inlineStr">
        <is>
          <t>entidad-dia</t>
        </is>
      </c>
    </row>
    <row r="6237">
      <c r="A6237" t="inlineStr">
        <is>
          <t>PRAGMA</t>
        </is>
      </c>
      <c r="B6237" t="inlineStr">
        <is>
          <t>M1</t>
        </is>
      </c>
      <c r="C6237" t="inlineStr">
        <is>
          <t>Cali</t>
        </is>
      </c>
      <c r="D6237" t="inlineStr">
        <is>
          <t>9638</t>
        </is>
      </c>
      <c r="E6237" t="inlineStr">
        <is>
          <t>pagado</t>
        </is>
      </c>
      <c r="F6237" s="23" t="n">
        <v>46275</v>
      </c>
      <c r="G6237" s="24">
        <f>F6237-DATE(2026,8,31)</f>
        <v>10</v>
      </c>
      <c r="H6237" s="25" t="n">
        <v>112876185</v>
      </c>
      <c r="I6237" t="inlineStr">
        <is>
          <t>entidad-dia</t>
        </is>
      </c>
    </row>
    <row r="6238">
      <c r="A6238" t="inlineStr">
        <is>
          <t>PRAGMA</t>
        </is>
      </c>
      <c r="B6238" t="inlineStr">
        <is>
          <t>M1</t>
        </is>
      </c>
      <c r="C6238" t="inlineStr">
        <is>
          <t>Cali</t>
        </is>
      </c>
      <c r="D6238" t="inlineStr">
        <is>
          <t>9638</t>
        </is>
      </c>
      <c r="E6238" t="inlineStr">
        <is>
          <t>pagado</t>
        </is>
      </c>
      <c r="F6238" s="23" t="n">
        <v>46276</v>
      </c>
      <c r="G6238" s="24">
        <f>F6238-DATE(2026,8,31)</f>
        <v>11</v>
      </c>
      <c r="H6238" s="25" t="n">
        <v>117909648</v>
      </c>
      <c r="I6238" t="inlineStr">
        <is>
          <t>entidad-dia</t>
        </is>
      </c>
    </row>
    <row r="6239">
      <c r="A6239" t="inlineStr">
        <is>
          <t>PRAGMA</t>
        </is>
      </c>
      <c r="B6239" t="inlineStr">
        <is>
          <t>M1</t>
        </is>
      </c>
      <c r="C6239" t="inlineStr">
        <is>
          <t>Cali</t>
        </is>
      </c>
      <c r="D6239" t="inlineStr">
        <is>
          <t>9638</t>
        </is>
      </c>
      <c r="E6239" t="inlineStr">
        <is>
          <t>pagado</t>
        </is>
      </c>
      <c r="F6239" s="23" t="n">
        <v>46277</v>
      </c>
      <c r="G6239" s="24">
        <f>F6239-DATE(2026,8,31)</f>
        <v>12</v>
      </c>
      <c r="H6239" s="25" t="n">
        <v>114191034</v>
      </c>
      <c r="I6239" t="inlineStr">
        <is>
          <t>entidad-dia</t>
        </is>
      </c>
    </row>
    <row r="6240">
      <c r="A6240" t="inlineStr">
        <is>
          <t>PRAGMA</t>
        </is>
      </c>
      <c r="B6240" t="inlineStr">
        <is>
          <t>M1</t>
        </is>
      </c>
      <c r="C6240" t="inlineStr">
        <is>
          <t>Cali</t>
        </is>
      </c>
      <c r="D6240" t="inlineStr">
        <is>
          <t>9638</t>
        </is>
      </c>
      <c r="E6240" t="inlineStr">
        <is>
          <t>pagado</t>
        </is>
      </c>
      <c r="F6240" s="23" t="n">
        <v>46278</v>
      </c>
      <c r="G6240" s="24">
        <f>F6240-DATE(2026,8,31)</f>
        <v>13</v>
      </c>
      <c r="H6240" s="25" t="n">
        <v>75307824</v>
      </c>
      <c r="I6240" t="inlineStr">
        <is>
          <t>entidad-dia</t>
        </is>
      </c>
    </row>
    <row r="6241">
      <c r="A6241" t="inlineStr">
        <is>
          <t>PRAGMA</t>
        </is>
      </c>
      <c r="B6241" t="inlineStr">
        <is>
          <t>M1</t>
        </is>
      </c>
      <c r="C6241" t="inlineStr">
        <is>
          <t>Cali</t>
        </is>
      </c>
      <c r="D6241" t="inlineStr">
        <is>
          <t>9638</t>
        </is>
      </c>
      <c r="E6241" t="inlineStr">
        <is>
          <t>pagado</t>
        </is>
      </c>
      <c r="F6241" s="23" t="n">
        <v>46279</v>
      </c>
      <c r="G6241" s="24">
        <f>F6241-DATE(2026,8,31)</f>
        <v>14</v>
      </c>
      <c r="H6241" s="25" t="n">
        <v>110772132</v>
      </c>
      <c r="I6241" t="inlineStr">
        <is>
          <t>entidad-dia</t>
        </is>
      </c>
    </row>
    <row r="6242">
      <c r="A6242" t="inlineStr">
        <is>
          <t>PRAGMA</t>
        </is>
      </c>
      <c r="B6242" t="inlineStr">
        <is>
          <t>M1</t>
        </is>
      </c>
      <c r="C6242" t="inlineStr">
        <is>
          <t>Cali</t>
        </is>
      </c>
      <c r="D6242" t="inlineStr">
        <is>
          <t>9638</t>
        </is>
      </c>
      <c r="E6242" t="inlineStr">
        <is>
          <t>pagado</t>
        </is>
      </c>
      <c r="F6242" s="23" t="n">
        <v>46280</v>
      </c>
      <c r="G6242" s="24">
        <f>F6242-DATE(2026,8,31)</f>
        <v>15</v>
      </c>
      <c r="H6242" s="25" t="n">
        <v>154803083</v>
      </c>
      <c r="I6242" t="inlineStr">
        <is>
          <t>entidad-dia</t>
        </is>
      </c>
    </row>
    <row r="6243">
      <c r="A6243" t="inlineStr">
        <is>
          <t>PRAGMA</t>
        </is>
      </c>
      <c r="B6243" t="inlineStr">
        <is>
          <t>M1</t>
        </is>
      </c>
      <c r="C6243" t="inlineStr">
        <is>
          <t>Cali</t>
        </is>
      </c>
      <c r="D6243" t="inlineStr">
        <is>
          <t>9671</t>
        </is>
      </c>
      <c r="E6243" t="inlineStr">
        <is>
          <t>pagado</t>
        </is>
      </c>
      <c r="F6243" s="23" t="n">
        <v>46266</v>
      </c>
      <c r="G6243" s="24">
        <f>F6243-DATE(2026,8,31)</f>
        <v>1</v>
      </c>
      <c r="H6243" s="25" t="n">
        <v>262532793</v>
      </c>
      <c r="I6243" t="inlineStr">
        <is>
          <t>entidad-dia</t>
        </is>
      </c>
    </row>
    <row r="6244">
      <c r="A6244" t="inlineStr">
        <is>
          <t>PRAGMA</t>
        </is>
      </c>
      <c r="B6244" t="inlineStr">
        <is>
          <t>M1</t>
        </is>
      </c>
      <c r="C6244" t="inlineStr">
        <is>
          <t>Cali</t>
        </is>
      </c>
      <c r="D6244" t="inlineStr">
        <is>
          <t>9671</t>
        </is>
      </c>
      <c r="E6244" t="inlineStr">
        <is>
          <t>pagado</t>
        </is>
      </c>
      <c r="F6244" s="23" t="n">
        <v>46267</v>
      </c>
      <c r="G6244" s="24">
        <f>F6244-DATE(2026,8,31)</f>
        <v>2</v>
      </c>
      <c r="H6244" s="25" t="n">
        <v>199547488</v>
      </c>
      <c r="I6244" t="inlineStr">
        <is>
          <t>entidad-dia</t>
        </is>
      </c>
    </row>
    <row r="6245">
      <c r="A6245" t="inlineStr">
        <is>
          <t>PRAGMA</t>
        </is>
      </c>
      <c r="B6245" t="inlineStr">
        <is>
          <t>M1</t>
        </is>
      </c>
      <c r="C6245" t="inlineStr">
        <is>
          <t>Cali</t>
        </is>
      </c>
      <c r="D6245" t="inlineStr">
        <is>
          <t>9671</t>
        </is>
      </c>
      <c r="E6245" t="inlineStr">
        <is>
          <t>pagado</t>
        </is>
      </c>
      <c r="F6245" s="23" t="n">
        <v>46268</v>
      </c>
      <c r="G6245" s="24">
        <f>F6245-DATE(2026,8,31)</f>
        <v>3</v>
      </c>
      <c r="H6245" s="25" t="n">
        <v>182811522</v>
      </c>
      <c r="I6245" t="inlineStr">
        <is>
          <t>entidad-dia</t>
        </is>
      </c>
    </row>
    <row r="6246">
      <c r="A6246" t="inlineStr">
        <is>
          <t>PRAGMA</t>
        </is>
      </c>
      <c r="B6246" t="inlineStr">
        <is>
          <t>M1</t>
        </is>
      </c>
      <c r="C6246" t="inlineStr">
        <is>
          <t>Cali</t>
        </is>
      </c>
      <c r="D6246" t="inlineStr">
        <is>
          <t>9671</t>
        </is>
      </c>
      <c r="E6246" t="inlineStr">
        <is>
          <t>pagado</t>
        </is>
      </c>
      <c r="F6246" s="23" t="n">
        <v>46269</v>
      </c>
      <c r="G6246" s="24">
        <f>F6246-DATE(2026,8,31)</f>
        <v>4</v>
      </c>
      <c r="H6246" s="25" t="n">
        <v>197829407</v>
      </c>
      <c r="I6246" t="inlineStr">
        <is>
          <t>entidad-dia</t>
        </is>
      </c>
    </row>
    <row r="6247">
      <c r="A6247" t="inlineStr">
        <is>
          <t>PRAGMA</t>
        </is>
      </c>
      <c r="B6247" t="inlineStr">
        <is>
          <t>M1</t>
        </is>
      </c>
      <c r="C6247" t="inlineStr">
        <is>
          <t>Cali</t>
        </is>
      </c>
      <c r="D6247" t="inlineStr">
        <is>
          <t>9671</t>
        </is>
      </c>
      <c r="E6247" t="inlineStr">
        <is>
          <t>pagado</t>
        </is>
      </c>
      <c r="F6247" s="23" t="n">
        <v>46270</v>
      </c>
      <c r="G6247" s="24">
        <f>F6247-DATE(2026,8,31)</f>
        <v>5</v>
      </c>
      <c r="H6247" s="25" t="n">
        <v>210367296</v>
      </c>
      <c r="I6247" t="inlineStr">
        <is>
          <t>entidad-dia</t>
        </is>
      </c>
    </row>
    <row r="6248">
      <c r="A6248" t="inlineStr">
        <is>
          <t>PRAGMA</t>
        </is>
      </c>
      <c r="B6248" t="inlineStr">
        <is>
          <t>M1</t>
        </is>
      </c>
      <c r="C6248" t="inlineStr">
        <is>
          <t>Cali</t>
        </is>
      </c>
      <c r="D6248" t="inlineStr">
        <is>
          <t>9671</t>
        </is>
      </c>
      <c r="E6248" t="inlineStr">
        <is>
          <t>pagado</t>
        </is>
      </c>
      <c r="F6248" s="23" t="n">
        <v>46271</v>
      </c>
      <c r="G6248" s="24">
        <f>F6248-DATE(2026,8,31)</f>
        <v>6</v>
      </c>
      <c r="H6248" s="25" t="n">
        <v>162529560</v>
      </c>
      <c r="I6248" t="inlineStr">
        <is>
          <t>entidad-dia</t>
        </is>
      </c>
    </row>
    <row r="6249">
      <c r="A6249" t="inlineStr">
        <is>
          <t>PRAGMA</t>
        </is>
      </c>
      <c r="B6249" t="inlineStr">
        <is>
          <t>M1</t>
        </is>
      </c>
      <c r="C6249" t="inlineStr">
        <is>
          <t>Cali</t>
        </is>
      </c>
      <c r="D6249" t="inlineStr">
        <is>
          <t>9671</t>
        </is>
      </c>
      <c r="E6249" t="inlineStr">
        <is>
          <t>pagado</t>
        </is>
      </c>
      <c r="F6249" s="23" t="n">
        <v>46272</v>
      </c>
      <c r="G6249" s="24">
        <f>F6249-DATE(2026,8,31)</f>
        <v>7</v>
      </c>
      <c r="H6249" s="25" t="n">
        <v>157790589</v>
      </c>
      <c r="I6249" t="inlineStr">
        <is>
          <t>entidad-dia</t>
        </is>
      </c>
    </row>
    <row r="6250">
      <c r="A6250" t="inlineStr">
        <is>
          <t>PRAGMA</t>
        </is>
      </c>
      <c r="B6250" t="inlineStr">
        <is>
          <t>M1</t>
        </is>
      </c>
      <c r="C6250" t="inlineStr">
        <is>
          <t>Cali</t>
        </is>
      </c>
      <c r="D6250" t="inlineStr">
        <is>
          <t>9671</t>
        </is>
      </c>
      <c r="E6250" t="inlineStr">
        <is>
          <t>pagado</t>
        </is>
      </c>
      <c r="F6250" s="23" t="n">
        <v>46273</v>
      </c>
      <c r="G6250" s="24">
        <f>F6250-DATE(2026,8,31)</f>
        <v>8</v>
      </c>
      <c r="H6250" s="25" t="n">
        <v>145048182</v>
      </c>
      <c r="I6250" t="inlineStr">
        <is>
          <t>entidad-dia</t>
        </is>
      </c>
    </row>
    <row r="6251">
      <c r="A6251" t="inlineStr">
        <is>
          <t>PRAGMA</t>
        </is>
      </c>
      <c r="B6251" t="inlineStr">
        <is>
          <t>M1</t>
        </is>
      </c>
      <c r="C6251" t="inlineStr">
        <is>
          <t>Cali</t>
        </is>
      </c>
      <c r="D6251" t="inlineStr">
        <is>
          <t>9671</t>
        </is>
      </c>
      <c r="E6251" t="inlineStr">
        <is>
          <t>pagado</t>
        </is>
      </c>
      <c r="F6251" s="23" t="n">
        <v>46274</v>
      </c>
      <c r="G6251" s="24">
        <f>F6251-DATE(2026,8,31)</f>
        <v>9</v>
      </c>
      <c r="H6251" s="25" t="n">
        <v>137998303</v>
      </c>
      <c r="I6251" t="inlineStr">
        <is>
          <t>entidad-dia</t>
        </is>
      </c>
    </row>
    <row r="6252">
      <c r="A6252" t="inlineStr">
        <is>
          <t>PRAGMA</t>
        </is>
      </c>
      <c r="B6252" t="inlineStr">
        <is>
          <t>M1</t>
        </is>
      </c>
      <c r="C6252" t="inlineStr">
        <is>
          <t>Cali</t>
        </is>
      </c>
      <c r="D6252" t="inlineStr">
        <is>
          <t>9671</t>
        </is>
      </c>
      <c r="E6252" t="inlineStr">
        <is>
          <t>pagado</t>
        </is>
      </c>
      <c r="F6252" s="23" t="n">
        <v>46275</v>
      </c>
      <c r="G6252" s="24">
        <f>F6252-DATE(2026,8,31)</f>
        <v>10</v>
      </c>
      <c r="H6252" s="25" t="n">
        <v>128637698</v>
      </c>
      <c r="I6252" t="inlineStr">
        <is>
          <t>entidad-dia</t>
        </is>
      </c>
    </row>
    <row r="6253">
      <c r="A6253" t="inlineStr">
        <is>
          <t>PRAGMA</t>
        </is>
      </c>
      <c r="B6253" t="inlineStr">
        <is>
          <t>M1</t>
        </is>
      </c>
      <c r="C6253" t="inlineStr">
        <is>
          <t>Cali</t>
        </is>
      </c>
      <c r="D6253" t="inlineStr">
        <is>
          <t>9671</t>
        </is>
      </c>
      <c r="E6253" t="inlineStr">
        <is>
          <t>pagado</t>
        </is>
      </c>
      <c r="F6253" s="23" t="n">
        <v>46276</v>
      </c>
      <c r="G6253" s="24">
        <f>F6253-DATE(2026,8,31)</f>
        <v>11</v>
      </c>
      <c r="H6253" s="25" t="n">
        <v>152424917</v>
      </c>
      <c r="I6253" t="inlineStr">
        <is>
          <t>entidad-dia</t>
        </is>
      </c>
    </row>
    <row r="6254">
      <c r="A6254" t="inlineStr">
        <is>
          <t>PRAGMA</t>
        </is>
      </c>
      <c r="B6254" t="inlineStr">
        <is>
          <t>M1</t>
        </is>
      </c>
      <c r="C6254" t="inlineStr">
        <is>
          <t>Cali</t>
        </is>
      </c>
      <c r="D6254" t="inlineStr">
        <is>
          <t>9671</t>
        </is>
      </c>
      <c r="E6254" t="inlineStr">
        <is>
          <t>pagado</t>
        </is>
      </c>
      <c r="F6254" s="23" t="n">
        <v>46277</v>
      </c>
      <c r="G6254" s="24">
        <f>F6254-DATE(2026,8,31)</f>
        <v>12</v>
      </c>
      <c r="H6254" s="25" t="n">
        <v>172381738</v>
      </c>
      <c r="I6254" t="inlineStr">
        <is>
          <t>entidad-dia</t>
        </is>
      </c>
    </row>
    <row r="6255">
      <c r="A6255" t="inlineStr">
        <is>
          <t>PRAGMA</t>
        </is>
      </c>
      <c r="B6255" t="inlineStr">
        <is>
          <t>M1</t>
        </is>
      </c>
      <c r="C6255" t="inlineStr">
        <is>
          <t>Cali</t>
        </is>
      </c>
      <c r="D6255" t="inlineStr">
        <is>
          <t>9671</t>
        </is>
      </c>
      <c r="E6255" t="inlineStr">
        <is>
          <t>pagado</t>
        </is>
      </c>
      <c r="F6255" s="23" t="n">
        <v>46278</v>
      </c>
      <c r="G6255" s="24">
        <f>F6255-DATE(2026,8,31)</f>
        <v>13</v>
      </c>
      <c r="H6255" s="25" t="n">
        <v>121503662</v>
      </c>
      <c r="I6255" t="inlineStr">
        <is>
          <t>entidad-dia</t>
        </is>
      </c>
    </row>
    <row r="6256">
      <c r="A6256" t="inlineStr">
        <is>
          <t>PRAGMA</t>
        </is>
      </c>
      <c r="B6256" t="inlineStr">
        <is>
          <t>M1</t>
        </is>
      </c>
      <c r="C6256" t="inlineStr">
        <is>
          <t>Cali</t>
        </is>
      </c>
      <c r="D6256" t="inlineStr">
        <is>
          <t>9671</t>
        </is>
      </c>
      <c r="E6256" t="inlineStr">
        <is>
          <t>pagado</t>
        </is>
      </c>
      <c r="F6256" s="23" t="n">
        <v>46279</v>
      </c>
      <c r="G6256" s="24">
        <f>F6256-DATE(2026,8,31)</f>
        <v>14</v>
      </c>
      <c r="H6256" s="25" t="n">
        <v>130187376</v>
      </c>
      <c r="I6256" t="inlineStr">
        <is>
          <t>entidad-dia</t>
        </is>
      </c>
    </row>
    <row r="6257">
      <c r="A6257" t="inlineStr">
        <is>
          <t>PRAGMA</t>
        </is>
      </c>
      <c r="B6257" t="inlineStr">
        <is>
          <t>M1</t>
        </is>
      </c>
      <c r="C6257" t="inlineStr">
        <is>
          <t>Cali</t>
        </is>
      </c>
      <c r="D6257" t="inlineStr">
        <is>
          <t>9671</t>
        </is>
      </c>
      <c r="E6257" t="inlineStr">
        <is>
          <t>pagado</t>
        </is>
      </c>
      <c r="F6257" s="23" t="n">
        <v>46280</v>
      </c>
      <c r="G6257" s="24">
        <f>F6257-DATE(2026,8,31)</f>
        <v>15</v>
      </c>
      <c r="H6257" s="25" t="n">
        <v>186637740</v>
      </c>
      <c r="I6257" t="inlineStr">
        <is>
          <t>entidad-dia</t>
        </is>
      </c>
    </row>
    <row r="6258">
      <c r="A6258" t="inlineStr">
        <is>
          <t>PRAGMA</t>
        </is>
      </c>
      <c r="B6258" t="inlineStr">
        <is>
          <t>M1</t>
        </is>
      </c>
      <c r="C6258" t="inlineStr">
        <is>
          <t>Ipiales</t>
        </is>
      </c>
      <c r="D6258" t="inlineStr">
        <is>
          <t>974</t>
        </is>
      </c>
      <c r="E6258" t="inlineStr">
        <is>
          <t>pagado</t>
        </is>
      </c>
      <c r="F6258" s="23" t="n">
        <v>46266</v>
      </c>
      <c r="G6258" s="24">
        <f>F6258-DATE(2026,8,31)</f>
        <v>1</v>
      </c>
      <c r="H6258" s="25" t="n">
        <v>156092108</v>
      </c>
      <c r="I6258" t="inlineStr">
        <is>
          <t>entidad-dia</t>
        </is>
      </c>
    </row>
    <row r="6259">
      <c r="A6259" t="inlineStr">
        <is>
          <t>PRAGMA</t>
        </is>
      </c>
      <c r="B6259" t="inlineStr">
        <is>
          <t>M1</t>
        </is>
      </c>
      <c r="C6259" t="inlineStr">
        <is>
          <t>Ipiales</t>
        </is>
      </c>
      <c r="D6259" t="inlineStr">
        <is>
          <t>974</t>
        </is>
      </c>
      <c r="E6259" t="inlineStr">
        <is>
          <t>pagado</t>
        </is>
      </c>
      <c r="F6259" s="23" t="n">
        <v>46267</v>
      </c>
      <c r="G6259" s="24">
        <f>F6259-DATE(2026,8,31)</f>
        <v>2</v>
      </c>
      <c r="H6259" s="25" t="n">
        <v>130513386</v>
      </c>
      <c r="I6259" t="inlineStr">
        <is>
          <t>entidad-dia</t>
        </is>
      </c>
    </row>
    <row r="6260">
      <c r="A6260" t="inlineStr">
        <is>
          <t>PRAGMA</t>
        </is>
      </c>
      <c r="B6260" t="inlineStr">
        <is>
          <t>M1</t>
        </is>
      </c>
      <c r="C6260" t="inlineStr">
        <is>
          <t>Ipiales</t>
        </is>
      </c>
      <c r="D6260" t="inlineStr">
        <is>
          <t>974</t>
        </is>
      </c>
      <c r="E6260" t="inlineStr">
        <is>
          <t>pagado</t>
        </is>
      </c>
      <c r="F6260" s="23" t="n">
        <v>46268</v>
      </c>
      <c r="G6260" s="24">
        <f>F6260-DATE(2026,8,31)</f>
        <v>3</v>
      </c>
      <c r="H6260" s="25" t="n">
        <v>118169855</v>
      </c>
      <c r="I6260" t="inlineStr">
        <is>
          <t>entidad-dia</t>
        </is>
      </c>
    </row>
    <row r="6261">
      <c r="A6261" t="inlineStr">
        <is>
          <t>PRAGMA</t>
        </is>
      </c>
      <c r="B6261" t="inlineStr">
        <is>
          <t>M1</t>
        </is>
      </c>
      <c r="C6261" t="inlineStr">
        <is>
          <t>Ipiales</t>
        </is>
      </c>
      <c r="D6261" t="inlineStr">
        <is>
          <t>974</t>
        </is>
      </c>
      <c r="E6261" t="inlineStr">
        <is>
          <t>pagado</t>
        </is>
      </c>
      <c r="F6261" s="23" t="n">
        <v>46269</v>
      </c>
      <c r="G6261" s="24">
        <f>F6261-DATE(2026,8,31)</f>
        <v>4</v>
      </c>
      <c r="H6261" s="25" t="n">
        <v>121476006</v>
      </c>
      <c r="I6261" t="inlineStr">
        <is>
          <t>entidad-dia</t>
        </is>
      </c>
    </row>
    <row r="6262">
      <c r="A6262" t="inlineStr">
        <is>
          <t>PRAGMA</t>
        </is>
      </c>
      <c r="B6262" t="inlineStr">
        <is>
          <t>M1</t>
        </is>
      </c>
      <c r="C6262" t="inlineStr">
        <is>
          <t>Ipiales</t>
        </is>
      </c>
      <c r="D6262" t="inlineStr">
        <is>
          <t>974</t>
        </is>
      </c>
      <c r="E6262" t="inlineStr">
        <is>
          <t>pagado</t>
        </is>
      </c>
      <c r="F6262" s="23" t="n">
        <v>46270</v>
      </c>
      <c r="G6262" s="24">
        <f>F6262-DATE(2026,8,31)</f>
        <v>5</v>
      </c>
      <c r="H6262" s="25" t="n">
        <v>143384842</v>
      </c>
      <c r="I6262" t="inlineStr">
        <is>
          <t>entidad-dia</t>
        </is>
      </c>
    </row>
    <row r="6263">
      <c r="A6263" t="inlineStr">
        <is>
          <t>PRAGMA</t>
        </is>
      </c>
      <c r="B6263" t="inlineStr">
        <is>
          <t>M1</t>
        </is>
      </c>
      <c r="C6263" t="inlineStr">
        <is>
          <t>Ipiales</t>
        </is>
      </c>
      <c r="D6263" t="inlineStr">
        <is>
          <t>974</t>
        </is>
      </c>
      <c r="E6263" t="inlineStr">
        <is>
          <t>pagado</t>
        </is>
      </c>
      <c r="F6263" s="23" t="n">
        <v>46271</v>
      </c>
      <c r="G6263" s="24">
        <f>F6263-DATE(2026,8,31)</f>
        <v>6</v>
      </c>
      <c r="H6263" s="25" t="n">
        <v>99515177</v>
      </c>
      <c r="I6263" t="inlineStr">
        <is>
          <t>entidad-dia</t>
        </is>
      </c>
    </row>
    <row r="6264">
      <c r="A6264" t="inlineStr">
        <is>
          <t>PRAGMA</t>
        </is>
      </c>
      <c r="B6264" t="inlineStr">
        <is>
          <t>M1</t>
        </is>
      </c>
      <c r="C6264" t="inlineStr">
        <is>
          <t>Ipiales</t>
        </is>
      </c>
      <c r="D6264" t="inlineStr">
        <is>
          <t>974</t>
        </is>
      </c>
      <c r="E6264" t="inlineStr">
        <is>
          <t>pagado</t>
        </is>
      </c>
      <c r="F6264" s="23" t="n">
        <v>46272</v>
      </c>
      <c r="G6264" s="24">
        <f>F6264-DATE(2026,8,31)</f>
        <v>7</v>
      </c>
      <c r="H6264" s="25" t="n">
        <v>116048238</v>
      </c>
      <c r="I6264" t="inlineStr">
        <is>
          <t>entidad-dia</t>
        </is>
      </c>
    </row>
    <row r="6265">
      <c r="A6265" t="inlineStr">
        <is>
          <t>PRAGMA</t>
        </is>
      </c>
      <c r="B6265" t="inlineStr">
        <is>
          <t>M1</t>
        </is>
      </c>
      <c r="C6265" t="inlineStr">
        <is>
          <t>Ipiales</t>
        </is>
      </c>
      <c r="D6265" t="inlineStr">
        <is>
          <t>974</t>
        </is>
      </c>
      <c r="E6265" t="inlineStr">
        <is>
          <t>pagado</t>
        </is>
      </c>
      <c r="F6265" s="23" t="n">
        <v>46273</v>
      </c>
      <c r="G6265" s="24">
        <f>F6265-DATE(2026,8,31)</f>
        <v>8</v>
      </c>
      <c r="H6265" s="25" t="n">
        <v>102902776</v>
      </c>
      <c r="I6265" t="inlineStr">
        <is>
          <t>entidad-dia</t>
        </is>
      </c>
    </row>
    <row r="6266">
      <c r="A6266" t="inlineStr">
        <is>
          <t>PRAGMA</t>
        </is>
      </c>
      <c r="B6266" t="inlineStr">
        <is>
          <t>M1</t>
        </is>
      </c>
      <c r="C6266" t="inlineStr">
        <is>
          <t>Ipiales</t>
        </is>
      </c>
      <c r="D6266" t="inlineStr">
        <is>
          <t>974</t>
        </is>
      </c>
      <c r="E6266" t="inlineStr">
        <is>
          <t>pagado</t>
        </is>
      </c>
      <c r="F6266" s="23" t="n">
        <v>46274</v>
      </c>
      <c r="G6266" s="24">
        <f>F6266-DATE(2026,8,31)</f>
        <v>9</v>
      </c>
      <c r="H6266" s="25" t="n">
        <v>102110397</v>
      </c>
      <c r="I6266" t="inlineStr">
        <is>
          <t>entidad-dia</t>
        </is>
      </c>
    </row>
    <row r="6267">
      <c r="A6267" t="inlineStr">
        <is>
          <t>PRAGMA</t>
        </is>
      </c>
      <c r="B6267" t="inlineStr">
        <is>
          <t>M1</t>
        </is>
      </c>
      <c r="C6267" t="inlineStr">
        <is>
          <t>Ipiales</t>
        </is>
      </c>
      <c r="D6267" t="inlineStr">
        <is>
          <t>974</t>
        </is>
      </c>
      <c r="E6267" t="inlineStr">
        <is>
          <t>pagado</t>
        </is>
      </c>
      <c r="F6267" s="23" t="n">
        <v>46275</v>
      </c>
      <c r="G6267" s="24">
        <f>F6267-DATE(2026,8,31)</f>
        <v>10</v>
      </c>
      <c r="H6267" s="25" t="n">
        <v>89760864</v>
      </c>
      <c r="I6267" t="inlineStr">
        <is>
          <t>entidad-dia</t>
        </is>
      </c>
    </row>
    <row r="6268">
      <c r="A6268" t="inlineStr">
        <is>
          <t>PRAGMA</t>
        </is>
      </c>
      <c r="B6268" t="inlineStr">
        <is>
          <t>M1</t>
        </is>
      </c>
      <c r="C6268" t="inlineStr">
        <is>
          <t>Ipiales</t>
        </is>
      </c>
      <c r="D6268" t="inlineStr">
        <is>
          <t>974</t>
        </is>
      </c>
      <c r="E6268" t="inlineStr">
        <is>
          <t>pagado</t>
        </is>
      </c>
      <c r="F6268" s="23" t="n">
        <v>46276</v>
      </c>
      <c r="G6268" s="24">
        <f>F6268-DATE(2026,8,31)</f>
        <v>11</v>
      </c>
      <c r="H6268" s="25" t="n">
        <v>92468749</v>
      </c>
      <c r="I6268" t="inlineStr">
        <is>
          <t>entidad-dia</t>
        </is>
      </c>
    </row>
    <row r="6269">
      <c r="A6269" t="inlineStr">
        <is>
          <t>PRAGMA</t>
        </is>
      </c>
      <c r="B6269" t="inlineStr">
        <is>
          <t>M1</t>
        </is>
      </c>
      <c r="C6269" t="inlineStr">
        <is>
          <t>Ipiales</t>
        </is>
      </c>
      <c r="D6269" t="inlineStr">
        <is>
          <t>974</t>
        </is>
      </c>
      <c r="E6269" t="inlineStr">
        <is>
          <t>pagado</t>
        </is>
      </c>
      <c r="F6269" s="23" t="n">
        <v>46277</v>
      </c>
      <c r="G6269" s="24">
        <f>F6269-DATE(2026,8,31)</f>
        <v>12</v>
      </c>
      <c r="H6269" s="25" t="n">
        <v>118989869</v>
      </c>
      <c r="I6269" t="inlineStr">
        <is>
          <t>entidad-dia</t>
        </is>
      </c>
    </row>
    <row r="6270">
      <c r="A6270" t="inlineStr">
        <is>
          <t>PRAGMA</t>
        </is>
      </c>
      <c r="B6270" t="inlineStr">
        <is>
          <t>M1</t>
        </is>
      </c>
      <c r="C6270" t="inlineStr">
        <is>
          <t>Ipiales</t>
        </is>
      </c>
      <c r="D6270" t="inlineStr">
        <is>
          <t>974</t>
        </is>
      </c>
      <c r="E6270" t="inlineStr">
        <is>
          <t>pagado</t>
        </is>
      </c>
      <c r="F6270" s="23" t="n">
        <v>46278</v>
      </c>
      <c r="G6270" s="24">
        <f>F6270-DATE(2026,8,31)</f>
        <v>13</v>
      </c>
      <c r="H6270" s="25" t="n">
        <v>78355852</v>
      </c>
      <c r="I6270" t="inlineStr">
        <is>
          <t>entidad-dia</t>
        </is>
      </c>
    </row>
    <row r="6271">
      <c r="A6271" t="inlineStr">
        <is>
          <t>PRAGMA</t>
        </is>
      </c>
      <c r="B6271" t="inlineStr">
        <is>
          <t>M1</t>
        </is>
      </c>
      <c r="C6271" t="inlineStr">
        <is>
          <t>Ipiales</t>
        </is>
      </c>
      <c r="D6271" t="inlineStr">
        <is>
          <t>974</t>
        </is>
      </c>
      <c r="E6271" t="inlineStr">
        <is>
          <t>pagado</t>
        </is>
      </c>
      <c r="F6271" s="23" t="n">
        <v>46279</v>
      </c>
      <c r="G6271" s="24">
        <f>F6271-DATE(2026,8,31)</f>
        <v>14</v>
      </c>
      <c r="H6271" s="25" t="n">
        <v>96314272</v>
      </c>
      <c r="I6271" t="inlineStr">
        <is>
          <t>entidad-dia</t>
        </is>
      </c>
    </row>
    <row r="6272">
      <c r="A6272" t="inlineStr">
        <is>
          <t>PRAGMA</t>
        </is>
      </c>
      <c r="B6272" t="inlineStr">
        <is>
          <t>M1</t>
        </is>
      </c>
      <c r="C6272" t="inlineStr">
        <is>
          <t>Ipiales</t>
        </is>
      </c>
      <c r="D6272" t="inlineStr">
        <is>
          <t>974</t>
        </is>
      </c>
      <c r="E6272" t="inlineStr">
        <is>
          <t>pagado</t>
        </is>
      </c>
      <c r="F6272" s="23" t="n">
        <v>46280</v>
      </c>
      <c r="G6272" s="24">
        <f>F6272-DATE(2026,8,31)</f>
        <v>15</v>
      </c>
      <c r="H6272" s="25" t="n">
        <v>116423000</v>
      </c>
      <c r="I6272" t="inlineStr">
        <is>
          <t>entidad-dia</t>
        </is>
      </c>
    </row>
    <row r="6273">
      <c r="A6273" t="inlineStr">
        <is>
          <t>PRAGMA</t>
        </is>
      </c>
      <c r="B6273" t="inlineStr">
        <is>
          <t>M1</t>
        </is>
      </c>
      <c r="C6273" t="inlineStr">
        <is>
          <t>Cali</t>
        </is>
      </c>
      <c r="D6273" t="inlineStr">
        <is>
          <t>9799</t>
        </is>
      </c>
      <c r="E6273" t="inlineStr">
        <is>
          <t>pagado</t>
        </is>
      </c>
      <c r="F6273" s="23" t="n">
        <v>46266</v>
      </c>
      <c r="G6273" s="24">
        <f>F6273-DATE(2026,8,31)</f>
        <v>1</v>
      </c>
      <c r="H6273" s="25" t="n">
        <v>119937535</v>
      </c>
      <c r="I6273" t="inlineStr">
        <is>
          <t>entidad-dia</t>
        </is>
      </c>
    </row>
    <row r="6274">
      <c r="A6274" t="inlineStr">
        <is>
          <t>PRAGMA</t>
        </is>
      </c>
      <c r="B6274" t="inlineStr">
        <is>
          <t>M1</t>
        </is>
      </c>
      <c r="C6274" t="inlineStr">
        <is>
          <t>Cali</t>
        </is>
      </c>
      <c r="D6274" t="inlineStr">
        <is>
          <t>9799</t>
        </is>
      </c>
      <c r="E6274" t="inlineStr">
        <is>
          <t>pagado</t>
        </is>
      </c>
      <c r="F6274" s="23" t="n">
        <v>46267</v>
      </c>
      <c r="G6274" s="24">
        <f>F6274-DATE(2026,8,31)</f>
        <v>2</v>
      </c>
      <c r="H6274" s="25" t="n">
        <v>84116280</v>
      </c>
      <c r="I6274" t="inlineStr">
        <is>
          <t>entidad-dia</t>
        </is>
      </c>
    </row>
    <row r="6275">
      <c r="A6275" t="inlineStr">
        <is>
          <t>PRAGMA</t>
        </is>
      </c>
      <c r="B6275" t="inlineStr">
        <is>
          <t>M1</t>
        </is>
      </c>
      <c r="C6275" t="inlineStr">
        <is>
          <t>Cali</t>
        </is>
      </c>
      <c r="D6275" t="inlineStr">
        <is>
          <t>9799</t>
        </is>
      </c>
      <c r="E6275" t="inlineStr">
        <is>
          <t>pagado</t>
        </is>
      </c>
      <c r="F6275" s="23" t="n">
        <v>46268</v>
      </c>
      <c r="G6275" s="24">
        <f>F6275-DATE(2026,8,31)</f>
        <v>3</v>
      </c>
      <c r="H6275" s="25" t="n">
        <v>80423405</v>
      </c>
      <c r="I6275" t="inlineStr">
        <is>
          <t>entidad-dia</t>
        </is>
      </c>
    </row>
    <row r="6276">
      <c r="A6276" t="inlineStr">
        <is>
          <t>PRAGMA</t>
        </is>
      </c>
      <c r="B6276" t="inlineStr">
        <is>
          <t>M1</t>
        </is>
      </c>
      <c r="C6276" t="inlineStr">
        <is>
          <t>Cali</t>
        </is>
      </c>
      <c r="D6276" t="inlineStr">
        <is>
          <t>9799</t>
        </is>
      </c>
      <c r="E6276" t="inlineStr">
        <is>
          <t>pagado</t>
        </is>
      </c>
      <c r="F6276" s="23" t="n">
        <v>46269</v>
      </c>
      <c r="G6276" s="24">
        <f>F6276-DATE(2026,8,31)</f>
        <v>4</v>
      </c>
      <c r="H6276" s="25" t="n">
        <v>84691431</v>
      </c>
      <c r="I6276" t="inlineStr">
        <is>
          <t>entidad-dia</t>
        </is>
      </c>
    </row>
    <row r="6277">
      <c r="A6277" t="inlineStr">
        <is>
          <t>PRAGMA</t>
        </is>
      </c>
      <c r="B6277" t="inlineStr">
        <is>
          <t>M1</t>
        </is>
      </c>
      <c r="C6277" t="inlineStr">
        <is>
          <t>Cali</t>
        </is>
      </c>
      <c r="D6277" t="inlineStr">
        <is>
          <t>9799</t>
        </is>
      </c>
      <c r="E6277" t="inlineStr">
        <is>
          <t>pagado</t>
        </is>
      </c>
      <c r="F6277" s="23" t="n">
        <v>46270</v>
      </c>
      <c r="G6277" s="24">
        <f>F6277-DATE(2026,8,31)</f>
        <v>5</v>
      </c>
      <c r="H6277" s="25" t="n">
        <v>82642465</v>
      </c>
      <c r="I6277" t="inlineStr">
        <is>
          <t>entidad-dia</t>
        </is>
      </c>
    </row>
    <row r="6278">
      <c r="A6278" t="inlineStr">
        <is>
          <t>PRAGMA</t>
        </is>
      </c>
      <c r="B6278" t="inlineStr">
        <is>
          <t>M1</t>
        </is>
      </c>
      <c r="C6278" t="inlineStr">
        <is>
          <t>Cali</t>
        </is>
      </c>
      <c r="D6278" t="inlineStr">
        <is>
          <t>9799</t>
        </is>
      </c>
      <c r="E6278" t="inlineStr">
        <is>
          <t>pagado</t>
        </is>
      </c>
      <c r="F6278" s="23" t="n">
        <v>46271</v>
      </c>
      <c r="G6278" s="24">
        <f>F6278-DATE(2026,8,31)</f>
        <v>6</v>
      </c>
      <c r="H6278" s="25" t="n">
        <v>38932873</v>
      </c>
      <c r="I6278" t="inlineStr">
        <is>
          <t>entidad-dia</t>
        </is>
      </c>
    </row>
    <row r="6279">
      <c r="A6279" t="inlineStr">
        <is>
          <t>PRAGMA</t>
        </is>
      </c>
      <c r="B6279" t="inlineStr">
        <is>
          <t>M1</t>
        </is>
      </c>
      <c r="C6279" t="inlineStr">
        <is>
          <t>Cali</t>
        </is>
      </c>
      <c r="D6279" t="inlineStr">
        <is>
          <t>9799</t>
        </is>
      </c>
      <c r="E6279" t="inlineStr">
        <is>
          <t>pagado</t>
        </is>
      </c>
      <c r="F6279" s="23" t="n">
        <v>46272</v>
      </c>
      <c r="G6279" s="24">
        <f>F6279-DATE(2026,8,31)</f>
        <v>7</v>
      </c>
      <c r="H6279" s="25" t="n">
        <v>70351300</v>
      </c>
      <c r="I6279" t="inlineStr">
        <is>
          <t>entidad-dia</t>
        </is>
      </c>
    </row>
    <row r="6280">
      <c r="A6280" t="inlineStr">
        <is>
          <t>PRAGMA</t>
        </is>
      </c>
      <c r="B6280" t="inlineStr">
        <is>
          <t>M1</t>
        </is>
      </c>
      <c r="C6280" t="inlineStr">
        <is>
          <t>Cali</t>
        </is>
      </c>
      <c r="D6280" t="inlineStr">
        <is>
          <t>9799</t>
        </is>
      </c>
      <c r="E6280" t="inlineStr">
        <is>
          <t>pagado</t>
        </is>
      </c>
      <c r="F6280" s="23" t="n">
        <v>46273</v>
      </c>
      <c r="G6280" s="24">
        <f>F6280-DATE(2026,8,31)</f>
        <v>8</v>
      </c>
      <c r="H6280" s="25" t="n">
        <v>67272835</v>
      </c>
      <c r="I6280" t="inlineStr">
        <is>
          <t>entidad-dia</t>
        </is>
      </c>
    </row>
    <row r="6281">
      <c r="A6281" t="inlineStr">
        <is>
          <t>PRAGMA</t>
        </is>
      </c>
      <c r="B6281" t="inlineStr">
        <is>
          <t>M1</t>
        </is>
      </c>
      <c r="C6281" t="inlineStr">
        <is>
          <t>Cali</t>
        </is>
      </c>
      <c r="D6281" t="inlineStr">
        <is>
          <t>9799</t>
        </is>
      </c>
      <c r="E6281" t="inlineStr">
        <is>
          <t>pagado</t>
        </is>
      </c>
      <c r="F6281" s="23" t="n">
        <v>46274</v>
      </c>
      <c r="G6281" s="24">
        <f>F6281-DATE(2026,8,31)</f>
        <v>9</v>
      </c>
      <c r="H6281" s="25" t="n">
        <v>64462973</v>
      </c>
      <c r="I6281" t="inlineStr">
        <is>
          <t>entidad-dia</t>
        </is>
      </c>
    </row>
    <row r="6282">
      <c r="A6282" t="inlineStr">
        <is>
          <t>PRAGMA</t>
        </is>
      </c>
      <c r="B6282" t="inlineStr">
        <is>
          <t>M1</t>
        </is>
      </c>
      <c r="C6282" t="inlineStr">
        <is>
          <t>Cali</t>
        </is>
      </c>
      <c r="D6282" t="inlineStr">
        <is>
          <t>9799</t>
        </is>
      </c>
      <c r="E6282" t="inlineStr">
        <is>
          <t>pagado</t>
        </is>
      </c>
      <c r="F6282" s="23" t="n">
        <v>46275</v>
      </c>
      <c r="G6282" s="24">
        <f>F6282-DATE(2026,8,31)</f>
        <v>10</v>
      </c>
      <c r="H6282" s="25" t="n">
        <v>59970373</v>
      </c>
      <c r="I6282" t="inlineStr">
        <is>
          <t>entidad-dia</t>
        </is>
      </c>
    </row>
    <row r="6283">
      <c r="A6283" t="inlineStr">
        <is>
          <t>PRAGMA</t>
        </is>
      </c>
      <c r="B6283" t="inlineStr">
        <is>
          <t>M1</t>
        </is>
      </c>
      <c r="C6283" t="inlineStr">
        <is>
          <t>Cali</t>
        </is>
      </c>
      <c r="D6283" t="inlineStr">
        <is>
          <t>9799</t>
        </is>
      </c>
      <c r="E6283" t="inlineStr">
        <is>
          <t>pagado</t>
        </is>
      </c>
      <c r="F6283" s="23" t="n">
        <v>46276</v>
      </c>
      <c r="G6283" s="24">
        <f>F6283-DATE(2026,8,31)</f>
        <v>11</v>
      </c>
      <c r="H6283" s="25" t="n">
        <v>72640990</v>
      </c>
      <c r="I6283" t="inlineStr">
        <is>
          <t>entidad-dia</t>
        </is>
      </c>
    </row>
    <row r="6284">
      <c r="A6284" t="inlineStr">
        <is>
          <t>PRAGMA</t>
        </is>
      </c>
      <c r="B6284" t="inlineStr">
        <is>
          <t>M1</t>
        </is>
      </c>
      <c r="C6284" t="inlineStr">
        <is>
          <t>Cali</t>
        </is>
      </c>
      <c r="D6284" t="inlineStr">
        <is>
          <t>9799</t>
        </is>
      </c>
      <c r="E6284" t="inlineStr">
        <is>
          <t>pagado</t>
        </is>
      </c>
      <c r="F6284" s="23" t="n">
        <v>46277</v>
      </c>
      <c r="G6284" s="24">
        <f>F6284-DATE(2026,8,31)</f>
        <v>12</v>
      </c>
      <c r="H6284" s="25" t="n">
        <v>69334283</v>
      </c>
      <c r="I6284" t="inlineStr">
        <is>
          <t>entidad-dia</t>
        </is>
      </c>
    </row>
    <row r="6285">
      <c r="A6285" t="inlineStr">
        <is>
          <t>PRAGMA</t>
        </is>
      </c>
      <c r="B6285" t="inlineStr">
        <is>
          <t>M1</t>
        </is>
      </c>
      <c r="C6285" t="inlineStr">
        <is>
          <t>Cali</t>
        </is>
      </c>
      <c r="D6285" t="inlineStr">
        <is>
          <t>9799</t>
        </is>
      </c>
      <c r="E6285" t="inlineStr">
        <is>
          <t>pagado</t>
        </is>
      </c>
      <c r="F6285" s="23" t="n">
        <v>46278</v>
      </c>
      <c r="G6285" s="24">
        <f>F6285-DATE(2026,8,31)</f>
        <v>13</v>
      </c>
      <c r="H6285" s="25" t="n">
        <v>27942765</v>
      </c>
      <c r="I6285" t="inlineStr">
        <is>
          <t>entidad-dia</t>
        </is>
      </c>
    </row>
    <row r="6286">
      <c r="A6286" t="inlineStr">
        <is>
          <t>PRAGMA</t>
        </is>
      </c>
      <c r="B6286" t="inlineStr">
        <is>
          <t>M1</t>
        </is>
      </c>
      <c r="C6286" t="inlineStr">
        <is>
          <t>Cali</t>
        </is>
      </c>
      <c r="D6286" t="inlineStr">
        <is>
          <t>9799</t>
        </is>
      </c>
      <c r="E6286" t="inlineStr">
        <is>
          <t>pagado</t>
        </is>
      </c>
      <c r="F6286" s="23" t="n">
        <v>46279</v>
      </c>
      <c r="G6286" s="24">
        <f>F6286-DATE(2026,8,31)</f>
        <v>14</v>
      </c>
      <c r="H6286" s="25" t="n">
        <v>65099818</v>
      </c>
      <c r="I6286" t="inlineStr">
        <is>
          <t>entidad-dia</t>
        </is>
      </c>
    </row>
    <row r="6287">
      <c r="A6287" t="inlineStr">
        <is>
          <t>PRAGMA</t>
        </is>
      </c>
      <c r="B6287" t="inlineStr">
        <is>
          <t>M1</t>
        </is>
      </c>
      <c r="C6287" t="inlineStr">
        <is>
          <t>Cali</t>
        </is>
      </c>
      <c r="D6287" t="inlineStr">
        <is>
          <t>9799</t>
        </is>
      </c>
      <c r="E6287" t="inlineStr">
        <is>
          <t>pagado</t>
        </is>
      </c>
      <c r="F6287" s="23" t="n">
        <v>46280</v>
      </c>
      <c r="G6287" s="24">
        <f>F6287-DATE(2026,8,31)</f>
        <v>15</v>
      </c>
      <c r="H6287" s="25" t="n">
        <v>111565383</v>
      </c>
      <c r="I6287" t="inlineStr">
        <is>
          <t>entidad-dia</t>
        </is>
      </c>
    </row>
    <row r="6288">
      <c r="A6288" t="inlineStr">
        <is>
          <t>PRAGMA</t>
        </is>
      </c>
      <c r="B6288" t="inlineStr">
        <is>
          <t>M1</t>
        </is>
      </c>
      <c r="C6288" t="inlineStr">
        <is>
          <t>Cali</t>
        </is>
      </c>
      <c r="D6288" t="inlineStr">
        <is>
          <t>9803</t>
        </is>
      </c>
      <c r="E6288" t="inlineStr">
        <is>
          <t>pagado</t>
        </is>
      </c>
      <c r="F6288" s="23" t="n">
        <v>46266</v>
      </c>
      <c r="G6288" s="24">
        <f>F6288-DATE(2026,8,31)</f>
        <v>1</v>
      </c>
      <c r="H6288" s="25" t="n">
        <v>158174325</v>
      </c>
      <c r="I6288" t="inlineStr">
        <is>
          <t>entidad-dia</t>
        </is>
      </c>
    </row>
    <row r="6289">
      <c r="A6289" t="inlineStr">
        <is>
          <t>PRAGMA</t>
        </is>
      </c>
      <c r="B6289" t="inlineStr">
        <is>
          <t>M1</t>
        </is>
      </c>
      <c r="C6289" t="inlineStr">
        <is>
          <t>Cali</t>
        </is>
      </c>
      <c r="D6289" t="inlineStr">
        <is>
          <t>9803</t>
        </is>
      </c>
      <c r="E6289" t="inlineStr">
        <is>
          <t>pagado</t>
        </is>
      </c>
      <c r="F6289" s="23" t="n">
        <v>46267</v>
      </c>
      <c r="G6289" s="24">
        <f>F6289-DATE(2026,8,31)</f>
        <v>2</v>
      </c>
      <c r="H6289" s="25" t="n">
        <v>129843952</v>
      </c>
      <c r="I6289" t="inlineStr">
        <is>
          <t>entidad-dia</t>
        </is>
      </c>
    </row>
    <row r="6290">
      <c r="A6290" t="inlineStr">
        <is>
          <t>PRAGMA</t>
        </is>
      </c>
      <c r="B6290" t="inlineStr">
        <is>
          <t>M1</t>
        </is>
      </c>
      <c r="C6290" t="inlineStr">
        <is>
          <t>Cali</t>
        </is>
      </c>
      <c r="D6290" t="inlineStr">
        <is>
          <t>9803</t>
        </is>
      </c>
      <c r="E6290" t="inlineStr">
        <is>
          <t>pagado</t>
        </is>
      </c>
      <c r="F6290" s="23" t="n">
        <v>46268</v>
      </c>
      <c r="G6290" s="24">
        <f>F6290-DATE(2026,8,31)</f>
        <v>3</v>
      </c>
      <c r="H6290" s="25" t="n">
        <v>121113846</v>
      </c>
      <c r="I6290" t="inlineStr">
        <is>
          <t>entidad-dia</t>
        </is>
      </c>
    </row>
    <row r="6291">
      <c r="A6291" t="inlineStr">
        <is>
          <t>PRAGMA</t>
        </is>
      </c>
      <c r="B6291" t="inlineStr">
        <is>
          <t>M1</t>
        </is>
      </c>
      <c r="C6291" t="inlineStr">
        <is>
          <t>Cali</t>
        </is>
      </c>
      <c r="D6291" t="inlineStr">
        <is>
          <t>9803</t>
        </is>
      </c>
      <c r="E6291" t="inlineStr">
        <is>
          <t>pagado</t>
        </is>
      </c>
      <c r="F6291" s="23" t="n">
        <v>46269</v>
      </c>
      <c r="G6291" s="24">
        <f>F6291-DATE(2026,8,31)</f>
        <v>4</v>
      </c>
      <c r="H6291" s="25" t="n">
        <v>119407563</v>
      </c>
      <c r="I6291" t="inlineStr">
        <is>
          <t>entidad-dia</t>
        </is>
      </c>
    </row>
    <row r="6292">
      <c r="A6292" t="inlineStr">
        <is>
          <t>PRAGMA</t>
        </is>
      </c>
      <c r="B6292" t="inlineStr">
        <is>
          <t>M1</t>
        </is>
      </c>
      <c r="C6292" t="inlineStr">
        <is>
          <t>Cali</t>
        </is>
      </c>
      <c r="D6292" t="inlineStr">
        <is>
          <t>9803</t>
        </is>
      </c>
      <c r="E6292" t="inlineStr">
        <is>
          <t>pagado</t>
        </is>
      </c>
      <c r="F6292" s="23" t="n">
        <v>46270</v>
      </c>
      <c r="G6292" s="24">
        <f>F6292-DATE(2026,8,31)</f>
        <v>5</v>
      </c>
      <c r="H6292" s="25" t="n">
        <v>117636675</v>
      </c>
      <c r="I6292" t="inlineStr">
        <is>
          <t>entidad-dia</t>
        </is>
      </c>
    </row>
    <row r="6293">
      <c r="A6293" t="inlineStr">
        <is>
          <t>PRAGMA</t>
        </is>
      </c>
      <c r="B6293" t="inlineStr">
        <is>
          <t>M1</t>
        </is>
      </c>
      <c r="C6293" t="inlineStr">
        <is>
          <t>Cali</t>
        </is>
      </c>
      <c r="D6293" t="inlineStr">
        <is>
          <t>9803</t>
        </is>
      </c>
      <c r="E6293" t="inlineStr">
        <is>
          <t>pagado</t>
        </is>
      </c>
      <c r="F6293" s="23" t="n">
        <v>46271</v>
      </c>
      <c r="G6293" s="24">
        <f>F6293-DATE(2026,8,31)</f>
        <v>6</v>
      </c>
      <c r="H6293" s="25" t="n">
        <v>66927192</v>
      </c>
      <c r="I6293" t="inlineStr">
        <is>
          <t>entidad-dia</t>
        </is>
      </c>
    </row>
    <row r="6294">
      <c r="A6294" t="inlineStr">
        <is>
          <t>PRAGMA</t>
        </is>
      </c>
      <c r="B6294" t="inlineStr">
        <is>
          <t>M1</t>
        </is>
      </c>
      <c r="C6294" t="inlineStr">
        <is>
          <t>Cali</t>
        </is>
      </c>
      <c r="D6294" t="inlineStr">
        <is>
          <t>9803</t>
        </is>
      </c>
      <c r="E6294" t="inlineStr">
        <is>
          <t>pagado</t>
        </is>
      </c>
      <c r="F6294" s="23" t="n">
        <v>46272</v>
      </c>
      <c r="G6294" s="24">
        <f>F6294-DATE(2026,8,31)</f>
        <v>7</v>
      </c>
      <c r="H6294" s="25" t="n">
        <v>89850741</v>
      </c>
      <c r="I6294" t="inlineStr">
        <is>
          <t>entidad-dia</t>
        </is>
      </c>
    </row>
    <row r="6295">
      <c r="A6295" t="inlineStr">
        <is>
          <t>PRAGMA</t>
        </is>
      </c>
      <c r="B6295" t="inlineStr">
        <is>
          <t>M1</t>
        </is>
      </c>
      <c r="C6295" t="inlineStr">
        <is>
          <t>Cali</t>
        </is>
      </c>
      <c r="D6295" t="inlineStr">
        <is>
          <t>9803</t>
        </is>
      </c>
      <c r="E6295" t="inlineStr">
        <is>
          <t>pagado</t>
        </is>
      </c>
      <c r="F6295" s="23" t="n">
        <v>46273</v>
      </c>
      <c r="G6295" s="24">
        <f>F6295-DATE(2026,8,31)</f>
        <v>8</v>
      </c>
      <c r="H6295" s="25" t="n">
        <v>94318943</v>
      </c>
      <c r="I6295" t="inlineStr">
        <is>
          <t>entidad-dia</t>
        </is>
      </c>
    </row>
    <row r="6296">
      <c r="A6296" t="inlineStr">
        <is>
          <t>PRAGMA</t>
        </is>
      </c>
      <c r="B6296" t="inlineStr">
        <is>
          <t>M1</t>
        </is>
      </c>
      <c r="C6296" t="inlineStr">
        <is>
          <t>Cali</t>
        </is>
      </c>
      <c r="D6296" t="inlineStr">
        <is>
          <t>9803</t>
        </is>
      </c>
      <c r="E6296" t="inlineStr">
        <is>
          <t>pagado</t>
        </is>
      </c>
      <c r="F6296" s="23" t="n">
        <v>46274</v>
      </c>
      <c r="G6296" s="24">
        <f>F6296-DATE(2026,8,31)</f>
        <v>9</v>
      </c>
      <c r="H6296" s="25" t="n">
        <v>92011901</v>
      </c>
      <c r="I6296" t="inlineStr">
        <is>
          <t>entidad-dia</t>
        </is>
      </c>
    </row>
    <row r="6297">
      <c r="A6297" t="inlineStr">
        <is>
          <t>PRAGMA</t>
        </is>
      </c>
      <c r="B6297" t="inlineStr">
        <is>
          <t>M1</t>
        </is>
      </c>
      <c r="C6297" t="inlineStr">
        <is>
          <t>Cali</t>
        </is>
      </c>
      <c r="D6297" t="inlineStr">
        <is>
          <t>9803</t>
        </is>
      </c>
      <c r="E6297" t="inlineStr">
        <is>
          <t>pagado</t>
        </is>
      </c>
      <c r="F6297" s="23" t="n">
        <v>46275</v>
      </c>
      <c r="G6297" s="24">
        <f>F6297-DATE(2026,8,31)</f>
        <v>10</v>
      </c>
      <c r="H6297" s="25" t="n">
        <v>85284479</v>
      </c>
      <c r="I6297" t="inlineStr">
        <is>
          <t>entidad-dia</t>
        </is>
      </c>
    </row>
    <row r="6298">
      <c r="A6298" t="inlineStr">
        <is>
          <t>PRAGMA</t>
        </is>
      </c>
      <c r="B6298" t="inlineStr">
        <is>
          <t>M1</t>
        </is>
      </c>
      <c r="C6298" t="inlineStr">
        <is>
          <t>Cali</t>
        </is>
      </c>
      <c r="D6298" t="inlineStr">
        <is>
          <t>9803</t>
        </is>
      </c>
      <c r="E6298" t="inlineStr">
        <is>
          <t>pagado</t>
        </is>
      </c>
      <c r="F6298" s="23" t="n">
        <v>46276</v>
      </c>
      <c r="G6298" s="24">
        <f>F6298-DATE(2026,8,31)</f>
        <v>11</v>
      </c>
      <c r="H6298" s="25" t="n">
        <v>96138464</v>
      </c>
      <c r="I6298" t="inlineStr">
        <is>
          <t>entidad-dia</t>
        </is>
      </c>
    </row>
    <row r="6299">
      <c r="A6299" t="inlineStr">
        <is>
          <t>PRAGMA</t>
        </is>
      </c>
      <c r="B6299" t="inlineStr">
        <is>
          <t>M1</t>
        </is>
      </c>
      <c r="C6299" t="inlineStr">
        <is>
          <t>Cali</t>
        </is>
      </c>
      <c r="D6299" t="inlineStr">
        <is>
          <t>9803</t>
        </is>
      </c>
      <c r="E6299" t="inlineStr">
        <is>
          <t>pagado</t>
        </is>
      </c>
      <c r="F6299" s="23" t="n">
        <v>46277</v>
      </c>
      <c r="G6299" s="24">
        <f>F6299-DATE(2026,8,31)</f>
        <v>12</v>
      </c>
      <c r="H6299" s="25" t="n">
        <v>98805013</v>
      </c>
      <c r="I6299" t="inlineStr">
        <is>
          <t>entidad-dia</t>
        </is>
      </c>
    </row>
    <row r="6300">
      <c r="A6300" t="inlineStr">
        <is>
          <t>PRAGMA</t>
        </is>
      </c>
      <c r="B6300" t="inlineStr">
        <is>
          <t>M1</t>
        </is>
      </c>
      <c r="C6300" t="inlineStr">
        <is>
          <t>Cali</t>
        </is>
      </c>
      <c r="D6300" t="inlineStr">
        <is>
          <t>9803</t>
        </is>
      </c>
      <c r="E6300" t="inlineStr">
        <is>
          <t>pagado</t>
        </is>
      </c>
      <c r="F6300" s="23" t="n">
        <v>46278</v>
      </c>
      <c r="G6300" s="24">
        <f>F6300-DATE(2026,8,31)</f>
        <v>13</v>
      </c>
      <c r="H6300" s="25" t="n">
        <v>54089273</v>
      </c>
      <c r="I6300" t="inlineStr">
        <is>
          <t>entidad-dia</t>
        </is>
      </c>
    </row>
    <row r="6301">
      <c r="A6301" t="inlineStr">
        <is>
          <t>PRAGMA</t>
        </is>
      </c>
      <c r="B6301" t="inlineStr">
        <is>
          <t>M1</t>
        </is>
      </c>
      <c r="C6301" t="inlineStr">
        <is>
          <t>Cali</t>
        </is>
      </c>
      <c r="D6301" t="inlineStr">
        <is>
          <t>9803</t>
        </is>
      </c>
      <c r="E6301" t="inlineStr">
        <is>
          <t>pagado</t>
        </is>
      </c>
      <c r="F6301" s="23" t="n">
        <v>46279</v>
      </c>
      <c r="G6301" s="24">
        <f>F6301-DATE(2026,8,31)</f>
        <v>14</v>
      </c>
      <c r="H6301" s="25" t="n">
        <v>92746490</v>
      </c>
      <c r="I6301" t="inlineStr">
        <is>
          <t>entidad-dia</t>
        </is>
      </c>
    </row>
    <row r="6302">
      <c r="A6302" t="inlineStr">
        <is>
          <t>PRAGMA</t>
        </is>
      </c>
      <c r="B6302" t="inlineStr">
        <is>
          <t>M1</t>
        </is>
      </c>
      <c r="C6302" t="inlineStr">
        <is>
          <t>Cali</t>
        </is>
      </c>
      <c r="D6302" t="inlineStr">
        <is>
          <t>9803</t>
        </is>
      </c>
      <c r="E6302" t="inlineStr">
        <is>
          <t>pagado</t>
        </is>
      </c>
      <c r="F6302" s="23" t="n">
        <v>46280</v>
      </c>
      <c r="G6302" s="24">
        <f>F6302-DATE(2026,8,31)</f>
        <v>15</v>
      </c>
      <c r="H6302" s="25" t="n">
        <v>127493282</v>
      </c>
      <c r="I6302" t="inlineStr">
        <is>
          <t>entidad-dia</t>
        </is>
      </c>
    </row>
    <row r="6303">
      <c r="A6303" t="inlineStr">
        <is>
          <t>PRAGMA</t>
        </is>
      </c>
      <c r="B6303" t="inlineStr">
        <is>
          <t>M1</t>
        </is>
      </c>
      <c r="C6303" t="inlineStr">
        <is>
          <t>Cali</t>
        </is>
      </c>
      <c r="D6303" t="inlineStr">
        <is>
          <t>9858</t>
        </is>
      </c>
      <c r="E6303" t="inlineStr">
        <is>
          <t>pagado</t>
        </is>
      </c>
      <c r="F6303" s="23" t="n">
        <v>46266</v>
      </c>
      <c r="G6303" s="24">
        <f>F6303-DATE(2026,8,31)</f>
        <v>1</v>
      </c>
      <c r="H6303" s="25" t="n">
        <v>133044747</v>
      </c>
      <c r="I6303" t="inlineStr">
        <is>
          <t>entidad-dia</t>
        </is>
      </c>
    </row>
    <row r="6304">
      <c r="A6304" t="inlineStr">
        <is>
          <t>PRAGMA</t>
        </is>
      </c>
      <c r="B6304" t="inlineStr">
        <is>
          <t>M1</t>
        </is>
      </c>
      <c r="C6304" t="inlineStr">
        <is>
          <t>Cali</t>
        </is>
      </c>
      <c r="D6304" t="inlineStr">
        <is>
          <t>9858</t>
        </is>
      </c>
      <c r="E6304" t="inlineStr">
        <is>
          <t>pagado</t>
        </is>
      </c>
      <c r="F6304" s="23" t="n">
        <v>46267</v>
      </c>
      <c r="G6304" s="24">
        <f>F6304-DATE(2026,8,31)</f>
        <v>2</v>
      </c>
      <c r="H6304" s="25" t="n">
        <v>101975402</v>
      </c>
      <c r="I6304" t="inlineStr">
        <is>
          <t>entidad-dia</t>
        </is>
      </c>
    </row>
    <row r="6305">
      <c r="A6305" t="inlineStr">
        <is>
          <t>PRAGMA</t>
        </is>
      </c>
      <c r="B6305" t="inlineStr">
        <is>
          <t>M1</t>
        </is>
      </c>
      <c r="C6305" t="inlineStr">
        <is>
          <t>Cali</t>
        </is>
      </c>
      <c r="D6305" t="inlineStr">
        <is>
          <t>9858</t>
        </is>
      </c>
      <c r="E6305" t="inlineStr">
        <is>
          <t>pagado</t>
        </is>
      </c>
      <c r="F6305" s="23" t="n">
        <v>46268</v>
      </c>
      <c r="G6305" s="24">
        <f>F6305-DATE(2026,8,31)</f>
        <v>3</v>
      </c>
      <c r="H6305" s="25" t="n">
        <v>95727686</v>
      </c>
      <c r="I6305" t="inlineStr">
        <is>
          <t>entidad-dia</t>
        </is>
      </c>
    </row>
    <row r="6306">
      <c r="A6306" t="inlineStr">
        <is>
          <t>PRAGMA</t>
        </is>
      </c>
      <c r="B6306" t="inlineStr">
        <is>
          <t>M1</t>
        </is>
      </c>
      <c r="C6306" t="inlineStr">
        <is>
          <t>Cali</t>
        </is>
      </c>
      <c r="D6306" t="inlineStr">
        <is>
          <t>9858</t>
        </is>
      </c>
      <c r="E6306" t="inlineStr">
        <is>
          <t>pagado</t>
        </is>
      </c>
      <c r="F6306" s="23" t="n">
        <v>46269</v>
      </c>
      <c r="G6306" s="24">
        <f>F6306-DATE(2026,8,31)</f>
        <v>4</v>
      </c>
      <c r="H6306" s="25" t="n">
        <v>97881593</v>
      </c>
      <c r="I6306" t="inlineStr">
        <is>
          <t>entidad-dia</t>
        </is>
      </c>
    </row>
    <row r="6307">
      <c r="A6307" t="inlineStr">
        <is>
          <t>PRAGMA</t>
        </is>
      </c>
      <c r="B6307" t="inlineStr">
        <is>
          <t>M1</t>
        </is>
      </c>
      <c r="C6307" t="inlineStr">
        <is>
          <t>Cali</t>
        </is>
      </c>
      <c r="D6307" t="inlineStr">
        <is>
          <t>9858</t>
        </is>
      </c>
      <c r="E6307" t="inlineStr">
        <is>
          <t>pagado</t>
        </is>
      </c>
      <c r="F6307" s="23" t="n">
        <v>46270</v>
      </c>
      <c r="G6307" s="24">
        <f>F6307-DATE(2026,8,31)</f>
        <v>5</v>
      </c>
      <c r="H6307" s="25" t="n">
        <v>77812403</v>
      </c>
      <c r="I6307" t="inlineStr">
        <is>
          <t>entidad-dia</t>
        </is>
      </c>
    </row>
    <row r="6308">
      <c r="A6308" t="inlineStr">
        <is>
          <t>PRAGMA</t>
        </is>
      </c>
      <c r="B6308" t="inlineStr">
        <is>
          <t>M1</t>
        </is>
      </c>
      <c r="C6308" t="inlineStr">
        <is>
          <t>Cali</t>
        </is>
      </c>
      <c r="D6308" t="inlineStr">
        <is>
          <t>9858</t>
        </is>
      </c>
      <c r="E6308" t="inlineStr">
        <is>
          <t>pagado</t>
        </is>
      </c>
      <c r="F6308" s="23" t="n">
        <v>46271</v>
      </c>
      <c r="G6308" s="24">
        <f>F6308-DATE(2026,8,31)</f>
        <v>6</v>
      </c>
      <c r="H6308" s="25" t="n">
        <v>27087500</v>
      </c>
      <c r="I6308" t="inlineStr">
        <is>
          <t>entidad-dia</t>
        </is>
      </c>
    </row>
    <row r="6309">
      <c r="A6309" t="inlineStr">
        <is>
          <t>PRAGMA</t>
        </is>
      </c>
      <c r="B6309" t="inlineStr">
        <is>
          <t>M1</t>
        </is>
      </c>
      <c r="C6309" t="inlineStr">
        <is>
          <t>Cali</t>
        </is>
      </c>
      <c r="D6309" t="inlineStr">
        <is>
          <t>9858</t>
        </is>
      </c>
      <c r="E6309" t="inlineStr">
        <is>
          <t>pagado</t>
        </is>
      </c>
      <c r="F6309" s="23" t="n">
        <v>46272</v>
      </c>
      <c r="G6309" s="24">
        <f>F6309-DATE(2026,8,31)</f>
        <v>7</v>
      </c>
      <c r="H6309" s="25" t="n">
        <v>69121635</v>
      </c>
      <c r="I6309" t="inlineStr">
        <is>
          <t>entidad-dia</t>
        </is>
      </c>
    </row>
    <row r="6310">
      <c r="A6310" t="inlineStr">
        <is>
          <t>PRAGMA</t>
        </is>
      </c>
      <c r="B6310" t="inlineStr">
        <is>
          <t>M1</t>
        </is>
      </c>
      <c r="C6310" t="inlineStr">
        <is>
          <t>Cali</t>
        </is>
      </c>
      <c r="D6310" t="inlineStr">
        <is>
          <t>9858</t>
        </is>
      </c>
      <c r="E6310" t="inlineStr">
        <is>
          <t>pagado</t>
        </is>
      </c>
      <c r="F6310" s="23" t="n">
        <v>46273</v>
      </c>
      <c r="G6310" s="24">
        <f>F6310-DATE(2026,8,31)</f>
        <v>8</v>
      </c>
      <c r="H6310" s="25" t="n">
        <v>74138739</v>
      </c>
      <c r="I6310" t="inlineStr">
        <is>
          <t>entidad-dia</t>
        </is>
      </c>
    </row>
    <row r="6311">
      <c r="A6311" t="inlineStr">
        <is>
          <t>PRAGMA</t>
        </is>
      </c>
      <c r="B6311" t="inlineStr">
        <is>
          <t>M1</t>
        </is>
      </c>
      <c r="C6311" t="inlineStr">
        <is>
          <t>Cali</t>
        </is>
      </c>
      <c r="D6311" t="inlineStr">
        <is>
          <t>9858</t>
        </is>
      </c>
      <c r="E6311" t="inlineStr">
        <is>
          <t>pagado</t>
        </is>
      </c>
      <c r="F6311" s="23" t="n">
        <v>46274</v>
      </c>
      <c r="G6311" s="24">
        <f>F6311-DATE(2026,8,31)</f>
        <v>9</v>
      </c>
      <c r="H6311" s="25" t="n">
        <v>74343039</v>
      </c>
      <c r="I6311" t="inlineStr">
        <is>
          <t>entidad-dia</t>
        </is>
      </c>
    </row>
    <row r="6312">
      <c r="A6312" t="inlineStr">
        <is>
          <t>PRAGMA</t>
        </is>
      </c>
      <c r="B6312" t="inlineStr">
        <is>
          <t>M1</t>
        </is>
      </c>
      <c r="C6312" t="inlineStr">
        <is>
          <t>Cali</t>
        </is>
      </c>
      <c r="D6312" t="inlineStr">
        <is>
          <t>9858</t>
        </is>
      </c>
      <c r="E6312" t="inlineStr">
        <is>
          <t>pagado</t>
        </is>
      </c>
      <c r="F6312" s="23" t="n">
        <v>46275</v>
      </c>
      <c r="G6312" s="24">
        <f>F6312-DATE(2026,8,31)</f>
        <v>10</v>
      </c>
      <c r="H6312" s="25" t="n">
        <v>61289558</v>
      </c>
      <c r="I6312" t="inlineStr">
        <is>
          <t>entidad-dia</t>
        </is>
      </c>
    </row>
    <row r="6313">
      <c r="A6313" t="inlineStr">
        <is>
          <t>PRAGMA</t>
        </is>
      </c>
      <c r="B6313" t="inlineStr">
        <is>
          <t>M1</t>
        </is>
      </c>
      <c r="C6313" t="inlineStr">
        <is>
          <t>Cali</t>
        </is>
      </c>
      <c r="D6313" t="inlineStr">
        <is>
          <t>9858</t>
        </is>
      </c>
      <c r="E6313" t="inlineStr">
        <is>
          <t>pagado</t>
        </is>
      </c>
      <c r="F6313" s="23" t="n">
        <v>46276</v>
      </c>
      <c r="G6313" s="24">
        <f>F6313-DATE(2026,8,31)</f>
        <v>11</v>
      </c>
      <c r="H6313" s="25" t="n">
        <v>81964123</v>
      </c>
      <c r="I6313" t="inlineStr">
        <is>
          <t>entidad-dia</t>
        </is>
      </c>
    </row>
    <row r="6314">
      <c r="A6314" t="inlineStr">
        <is>
          <t>PRAGMA</t>
        </is>
      </c>
      <c r="B6314" t="inlineStr">
        <is>
          <t>M1</t>
        </is>
      </c>
      <c r="C6314" t="inlineStr">
        <is>
          <t>Cali</t>
        </is>
      </c>
      <c r="D6314" t="inlineStr">
        <is>
          <t>9858</t>
        </is>
      </c>
      <c r="E6314" t="inlineStr">
        <is>
          <t>pagado</t>
        </is>
      </c>
      <c r="F6314" s="23" t="n">
        <v>46277</v>
      </c>
      <c r="G6314" s="24">
        <f>F6314-DATE(2026,8,31)</f>
        <v>12</v>
      </c>
      <c r="H6314" s="25" t="n">
        <v>57506813</v>
      </c>
      <c r="I6314" t="inlineStr">
        <is>
          <t>entidad-dia</t>
        </is>
      </c>
    </row>
    <row r="6315">
      <c r="A6315" t="inlineStr">
        <is>
          <t>PRAGMA</t>
        </is>
      </c>
      <c r="B6315" t="inlineStr">
        <is>
          <t>M1</t>
        </is>
      </c>
      <c r="C6315" t="inlineStr">
        <is>
          <t>Cali</t>
        </is>
      </c>
      <c r="D6315" t="inlineStr">
        <is>
          <t>9858</t>
        </is>
      </c>
      <c r="E6315" t="inlineStr">
        <is>
          <t>pagado</t>
        </is>
      </c>
      <c r="F6315" s="23" t="n">
        <v>46278</v>
      </c>
      <c r="G6315" s="24">
        <f>F6315-DATE(2026,8,31)</f>
        <v>13</v>
      </c>
      <c r="H6315" s="25" t="n">
        <v>22054311</v>
      </c>
      <c r="I6315" t="inlineStr">
        <is>
          <t>entidad-dia</t>
        </is>
      </c>
    </row>
    <row r="6316">
      <c r="A6316" t="inlineStr">
        <is>
          <t>PRAGMA</t>
        </is>
      </c>
      <c r="B6316" t="inlineStr">
        <is>
          <t>M1</t>
        </is>
      </c>
      <c r="C6316" t="inlineStr">
        <is>
          <t>Cali</t>
        </is>
      </c>
      <c r="D6316" t="inlineStr">
        <is>
          <t>9858</t>
        </is>
      </c>
      <c r="E6316" t="inlineStr">
        <is>
          <t>pagado</t>
        </is>
      </c>
      <c r="F6316" s="23" t="n">
        <v>46279</v>
      </c>
      <c r="G6316" s="24">
        <f>F6316-DATE(2026,8,31)</f>
        <v>14</v>
      </c>
      <c r="H6316" s="25" t="n">
        <v>68721179</v>
      </c>
      <c r="I6316" t="inlineStr">
        <is>
          <t>entidad-dia</t>
        </is>
      </c>
    </row>
    <row r="6317">
      <c r="A6317" t="inlineStr">
        <is>
          <t>PRAGMA</t>
        </is>
      </c>
      <c r="B6317" t="inlineStr">
        <is>
          <t>M1</t>
        </is>
      </c>
      <c r="C6317" t="inlineStr">
        <is>
          <t>Cali</t>
        </is>
      </c>
      <c r="D6317" t="inlineStr">
        <is>
          <t>9858</t>
        </is>
      </c>
      <c r="E6317" t="inlineStr">
        <is>
          <t>pagado</t>
        </is>
      </c>
      <c r="F6317" s="23" t="n">
        <v>46280</v>
      </c>
      <c r="G6317" s="24">
        <f>F6317-DATE(2026,8,31)</f>
        <v>15</v>
      </c>
      <c r="H6317" s="25" t="n">
        <v>97361888</v>
      </c>
      <c r="I6317" t="inlineStr">
        <is>
          <t>entidad-dia</t>
        </is>
      </c>
    </row>
    <row r="6318">
      <c r="A6318" t="inlineStr">
        <is>
          <t>PRAGMA</t>
        </is>
      </c>
      <c r="B6318" t="inlineStr">
        <is>
          <t>M1</t>
        </is>
      </c>
      <c r="C6318" t="inlineStr">
        <is>
          <t>Cali</t>
        </is>
      </c>
      <c r="D6318" t="inlineStr">
        <is>
          <t>9859</t>
        </is>
      </c>
      <c r="E6318" t="inlineStr">
        <is>
          <t>pagado</t>
        </is>
      </c>
      <c r="F6318" s="23" t="n">
        <v>46266</v>
      </c>
      <c r="G6318" s="24">
        <f>F6318-DATE(2026,8,31)</f>
        <v>1</v>
      </c>
      <c r="H6318" s="25" t="n">
        <v>112734724</v>
      </c>
      <c r="I6318" t="inlineStr">
        <is>
          <t>entidad-dia</t>
        </is>
      </c>
    </row>
    <row r="6319">
      <c r="A6319" t="inlineStr">
        <is>
          <t>PRAGMA</t>
        </is>
      </c>
      <c r="B6319" t="inlineStr">
        <is>
          <t>M1</t>
        </is>
      </c>
      <c r="C6319" t="inlineStr">
        <is>
          <t>Cali</t>
        </is>
      </c>
      <c r="D6319" t="inlineStr">
        <is>
          <t>9859</t>
        </is>
      </c>
      <c r="E6319" t="inlineStr">
        <is>
          <t>pagado</t>
        </is>
      </c>
      <c r="F6319" s="23" t="n">
        <v>46267</v>
      </c>
      <c r="G6319" s="24">
        <f>F6319-DATE(2026,8,31)</f>
        <v>2</v>
      </c>
      <c r="H6319" s="25" t="n">
        <v>89825521</v>
      </c>
      <c r="I6319" t="inlineStr">
        <is>
          <t>entidad-dia</t>
        </is>
      </c>
    </row>
    <row r="6320">
      <c r="A6320" t="inlineStr">
        <is>
          <t>PRAGMA</t>
        </is>
      </c>
      <c r="B6320" t="inlineStr">
        <is>
          <t>M1</t>
        </is>
      </c>
      <c r="C6320" t="inlineStr">
        <is>
          <t>Cali</t>
        </is>
      </c>
      <c r="D6320" t="inlineStr">
        <is>
          <t>9859</t>
        </is>
      </c>
      <c r="E6320" t="inlineStr">
        <is>
          <t>pagado</t>
        </is>
      </c>
      <c r="F6320" s="23" t="n">
        <v>46268</v>
      </c>
      <c r="G6320" s="24">
        <f>F6320-DATE(2026,8,31)</f>
        <v>3</v>
      </c>
      <c r="H6320" s="25" t="n">
        <v>81098882</v>
      </c>
      <c r="I6320" t="inlineStr">
        <is>
          <t>entidad-dia</t>
        </is>
      </c>
    </row>
    <row r="6321">
      <c r="A6321" t="inlineStr">
        <is>
          <t>PRAGMA</t>
        </is>
      </c>
      <c r="B6321" t="inlineStr">
        <is>
          <t>M1</t>
        </is>
      </c>
      <c r="C6321" t="inlineStr">
        <is>
          <t>Cali</t>
        </is>
      </c>
      <c r="D6321" t="inlineStr">
        <is>
          <t>9859</t>
        </is>
      </c>
      <c r="E6321" t="inlineStr">
        <is>
          <t>pagado</t>
        </is>
      </c>
      <c r="F6321" s="23" t="n">
        <v>46269</v>
      </c>
      <c r="G6321" s="24">
        <f>F6321-DATE(2026,8,31)</f>
        <v>4</v>
      </c>
      <c r="H6321" s="25" t="n">
        <v>88684763</v>
      </c>
      <c r="I6321" t="inlineStr">
        <is>
          <t>entidad-dia</t>
        </is>
      </c>
    </row>
    <row r="6322">
      <c r="A6322" t="inlineStr">
        <is>
          <t>PRAGMA</t>
        </is>
      </c>
      <c r="B6322" t="inlineStr">
        <is>
          <t>M1</t>
        </is>
      </c>
      <c r="C6322" t="inlineStr">
        <is>
          <t>Cali</t>
        </is>
      </c>
      <c r="D6322" t="inlineStr">
        <is>
          <t>9859</t>
        </is>
      </c>
      <c r="E6322" t="inlineStr">
        <is>
          <t>pagado</t>
        </is>
      </c>
      <c r="F6322" s="23" t="n">
        <v>46270</v>
      </c>
      <c r="G6322" s="24">
        <f>F6322-DATE(2026,8,31)</f>
        <v>5</v>
      </c>
      <c r="H6322" s="25" t="n">
        <v>99243584</v>
      </c>
      <c r="I6322" t="inlineStr">
        <is>
          <t>entidad-dia</t>
        </is>
      </c>
    </row>
    <row r="6323">
      <c r="A6323" t="inlineStr">
        <is>
          <t>PRAGMA</t>
        </is>
      </c>
      <c r="B6323" t="inlineStr">
        <is>
          <t>M1</t>
        </is>
      </c>
      <c r="C6323" t="inlineStr">
        <is>
          <t>Cali</t>
        </is>
      </c>
      <c r="D6323" t="inlineStr">
        <is>
          <t>9859</t>
        </is>
      </c>
      <c r="E6323" t="inlineStr">
        <is>
          <t>pagado</t>
        </is>
      </c>
      <c r="F6323" s="23" t="n">
        <v>46271</v>
      </c>
      <c r="G6323" s="24">
        <f>F6323-DATE(2026,8,31)</f>
        <v>6</v>
      </c>
      <c r="H6323" s="25" t="n">
        <v>66736707</v>
      </c>
      <c r="I6323" t="inlineStr">
        <is>
          <t>entidad-dia</t>
        </is>
      </c>
    </row>
    <row r="6324">
      <c r="A6324" t="inlineStr">
        <is>
          <t>PRAGMA</t>
        </is>
      </c>
      <c r="B6324" t="inlineStr">
        <is>
          <t>M1</t>
        </is>
      </c>
      <c r="C6324" t="inlineStr">
        <is>
          <t>Cali</t>
        </is>
      </c>
      <c r="D6324" t="inlineStr">
        <is>
          <t>9859</t>
        </is>
      </c>
      <c r="E6324" t="inlineStr">
        <is>
          <t>pagado</t>
        </is>
      </c>
      <c r="F6324" s="23" t="n">
        <v>46272</v>
      </c>
      <c r="G6324" s="24">
        <f>F6324-DATE(2026,8,31)</f>
        <v>7</v>
      </c>
      <c r="H6324" s="25" t="n">
        <v>68863322</v>
      </c>
      <c r="I6324" t="inlineStr">
        <is>
          <t>entidad-dia</t>
        </is>
      </c>
    </row>
    <row r="6325">
      <c r="A6325" t="inlineStr">
        <is>
          <t>PRAGMA</t>
        </is>
      </c>
      <c r="B6325" t="inlineStr">
        <is>
          <t>M1</t>
        </is>
      </c>
      <c r="C6325" t="inlineStr">
        <is>
          <t>Cali</t>
        </is>
      </c>
      <c r="D6325" t="inlineStr">
        <is>
          <t>9859</t>
        </is>
      </c>
      <c r="E6325" t="inlineStr">
        <is>
          <t>pagado</t>
        </is>
      </c>
      <c r="F6325" s="23" t="n">
        <v>46273</v>
      </c>
      <c r="G6325" s="24">
        <f>F6325-DATE(2026,8,31)</f>
        <v>8</v>
      </c>
      <c r="H6325" s="25" t="n">
        <v>58400596</v>
      </c>
      <c r="I6325" t="inlineStr">
        <is>
          <t>entidad-dia</t>
        </is>
      </c>
    </row>
    <row r="6326">
      <c r="A6326" t="inlineStr">
        <is>
          <t>PRAGMA</t>
        </is>
      </c>
      <c r="B6326" t="inlineStr">
        <is>
          <t>M1</t>
        </is>
      </c>
      <c r="C6326" t="inlineStr">
        <is>
          <t>Cali</t>
        </is>
      </c>
      <c r="D6326" t="inlineStr">
        <is>
          <t>9859</t>
        </is>
      </c>
      <c r="E6326" t="inlineStr">
        <is>
          <t>pagado</t>
        </is>
      </c>
      <c r="F6326" s="23" t="n">
        <v>46274</v>
      </c>
      <c r="G6326" s="24">
        <f>F6326-DATE(2026,8,31)</f>
        <v>9</v>
      </c>
      <c r="H6326" s="25" t="n">
        <v>60870524</v>
      </c>
      <c r="I6326" t="inlineStr">
        <is>
          <t>entidad-dia</t>
        </is>
      </c>
    </row>
    <row r="6327">
      <c r="A6327" t="inlineStr">
        <is>
          <t>PRAGMA</t>
        </is>
      </c>
      <c r="B6327" t="inlineStr">
        <is>
          <t>M1</t>
        </is>
      </c>
      <c r="C6327" t="inlineStr">
        <is>
          <t>Cali</t>
        </is>
      </c>
      <c r="D6327" t="inlineStr">
        <is>
          <t>9859</t>
        </is>
      </c>
      <c r="E6327" t="inlineStr">
        <is>
          <t>pagado</t>
        </is>
      </c>
      <c r="F6327" s="23" t="n">
        <v>46275</v>
      </c>
      <c r="G6327" s="24">
        <f>F6327-DATE(2026,8,31)</f>
        <v>10</v>
      </c>
      <c r="H6327" s="25" t="n">
        <v>54743873</v>
      </c>
      <c r="I6327" t="inlineStr">
        <is>
          <t>entidad-dia</t>
        </is>
      </c>
    </row>
    <row r="6328">
      <c r="A6328" t="inlineStr">
        <is>
          <t>PRAGMA</t>
        </is>
      </c>
      <c r="B6328" t="inlineStr">
        <is>
          <t>M1</t>
        </is>
      </c>
      <c r="C6328" t="inlineStr">
        <is>
          <t>Cali</t>
        </is>
      </c>
      <c r="D6328" t="inlineStr">
        <is>
          <t>9859</t>
        </is>
      </c>
      <c r="E6328" t="inlineStr">
        <is>
          <t>pagado</t>
        </is>
      </c>
      <c r="F6328" s="23" t="n">
        <v>46276</v>
      </c>
      <c r="G6328" s="24">
        <f>F6328-DATE(2026,8,31)</f>
        <v>11</v>
      </c>
      <c r="H6328" s="25" t="n">
        <v>66836611</v>
      </c>
      <c r="I6328" t="inlineStr">
        <is>
          <t>entidad-dia</t>
        </is>
      </c>
    </row>
    <row r="6329">
      <c r="A6329" t="inlineStr">
        <is>
          <t>PRAGMA</t>
        </is>
      </c>
      <c r="B6329" t="inlineStr">
        <is>
          <t>M1</t>
        </is>
      </c>
      <c r="C6329" t="inlineStr">
        <is>
          <t>Cali</t>
        </is>
      </c>
      <c r="D6329" t="inlineStr">
        <is>
          <t>9859</t>
        </is>
      </c>
      <c r="E6329" t="inlineStr">
        <is>
          <t>pagado</t>
        </is>
      </c>
      <c r="F6329" s="23" t="n">
        <v>46277</v>
      </c>
      <c r="G6329" s="24">
        <f>F6329-DATE(2026,8,31)</f>
        <v>12</v>
      </c>
      <c r="H6329" s="25" t="n">
        <v>79719924</v>
      </c>
      <c r="I6329" t="inlineStr">
        <is>
          <t>entidad-dia</t>
        </is>
      </c>
    </row>
    <row r="6330">
      <c r="A6330" t="inlineStr">
        <is>
          <t>PRAGMA</t>
        </is>
      </c>
      <c r="B6330" t="inlineStr">
        <is>
          <t>M1</t>
        </is>
      </c>
      <c r="C6330" t="inlineStr">
        <is>
          <t>Cali</t>
        </is>
      </c>
      <c r="D6330" t="inlineStr">
        <is>
          <t>9859</t>
        </is>
      </c>
      <c r="E6330" t="inlineStr">
        <is>
          <t>pagado</t>
        </is>
      </c>
      <c r="F6330" s="23" t="n">
        <v>46278</v>
      </c>
      <c r="G6330" s="24">
        <f>F6330-DATE(2026,8,31)</f>
        <v>13</v>
      </c>
      <c r="H6330" s="25" t="n">
        <v>50752873</v>
      </c>
      <c r="I6330" t="inlineStr">
        <is>
          <t>entidad-dia</t>
        </is>
      </c>
    </row>
    <row r="6331">
      <c r="A6331" t="inlineStr">
        <is>
          <t>PRAGMA</t>
        </is>
      </c>
      <c r="B6331" t="inlineStr">
        <is>
          <t>M1</t>
        </is>
      </c>
      <c r="C6331" t="inlineStr">
        <is>
          <t>Cali</t>
        </is>
      </c>
      <c r="D6331" t="inlineStr">
        <is>
          <t>9859</t>
        </is>
      </c>
      <c r="E6331" t="inlineStr">
        <is>
          <t>pagado</t>
        </is>
      </c>
      <c r="F6331" s="23" t="n">
        <v>46279</v>
      </c>
      <c r="G6331" s="24">
        <f>F6331-DATE(2026,8,31)</f>
        <v>14</v>
      </c>
      <c r="H6331" s="25" t="n">
        <v>53111044</v>
      </c>
      <c r="I6331" t="inlineStr">
        <is>
          <t>entidad-dia</t>
        </is>
      </c>
    </row>
    <row r="6332">
      <c r="A6332" t="inlineStr">
        <is>
          <t>PRAGMA</t>
        </is>
      </c>
      <c r="B6332" t="inlineStr">
        <is>
          <t>M1</t>
        </is>
      </c>
      <c r="C6332" t="inlineStr">
        <is>
          <t>Cali</t>
        </is>
      </c>
      <c r="D6332" t="inlineStr">
        <is>
          <t>9859</t>
        </is>
      </c>
      <c r="E6332" t="inlineStr">
        <is>
          <t>pagado</t>
        </is>
      </c>
      <c r="F6332" s="23" t="n">
        <v>46280</v>
      </c>
      <c r="G6332" s="24">
        <f>F6332-DATE(2026,8,31)</f>
        <v>15</v>
      </c>
      <c r="H6332" s="25" t="n">
        <v>86568674</v>
      </c>
      <c r="I6332" t="inlineStr">
        <is>
          <t>entidad-dia</t>
        </is>
      </c>
    </row>
    <row r="6333">
      <c r="A6333" t="inlineStr">
        <is>
          <t>PRAGMA</t>
        </is>
      </c>
      <c r="B6333" t="inlineStr">
        <is>
          <t>M1</t>
        </is>
      </c>
      <c r="C6333" t="inlineStr">
        <is>
          <t>Cali</t>
        </is>
      </c>
      <c r="D6333" t="inlineStr">
        <is>
          <t>9860</t>
        </is>
      </c>
      <c r="E6333" t="inlineStr">
        <is>
          <t>pagado</t>
        </is>
      </c>
      <c r="F6333" s="23" t="n">
        <v>46266</v>
      </c>
      <c r="G6333" s="24">
        <f>F6333-DATE(2026,8,31)</f>
        <v>1</v>
      </c>
      <c r="H6333" s="25" t="n">
        <v>140064123</v>
      </c>
      <c r="I6333" t="inlineStr">
        <is>
          <t>entidad-dia</t>
        </is>
      </c>
    </row>
    <row r="6334">
      <c r="A6334" t="inlineStr">
        <is>
          <t>PRAGMA</t>
        </is>
      </c>
      <c r="B6334" t="inlineStr">
        <is>
          <t>M1</t>
        </is>
      </c>
      <c r="C6334" t="inlineStr">
        <is>
          <t>Cali</t>
        </is>
      </c>
      <c r="D6334" t="inlineStr">
        <is>
          <t>9860</t>
        </is>
      </c>
      <c r="E6334" t="inlineStr">
        <is>
          <t>pagado</t>
        </is>
      </c>
      <c r="F6334" s="23" t="n">
        <v>46267</v>
      </c>
      <c r="G6334" s="24">
        <f>F6334-DATE(2026,8,31)</f>
        <v>2</v>
      </c>
      <c r="H6334" s="25" t="n">
        <v>109696618</v>
      </c>
      <c r="I6334" t="inlineStr">
        <is>
          <t>entidad-dia</t>
        </is>
      </c>
    </row>
    <row r="6335">
      <c r="A6335" t="inlineStr">
        <is>
          <t>PRAGMA</t>
        </is>
      </c>
      <c r="B6335" t="inlineStr">
        <is>
          <t>M1</t>
        </is>
      </c>
      <c r="C6335" t="inlineStr">
        <is>
          <t>Cali</t>
        </is>
      </c>
      <c r="D6335" t="inlineStr">
        <is>
          <t>9860</t>
        </is>
      </c>
      <c r="E6335" t="inlineStr">
        <is>
          <t>pagado</t>
        </is>
      </c>
      <c r="F6335" s="23" t="n">
        <v>46268</v>
      </c>
      <c r="G6335" s="24">
        <f>F6335-DATE(2026,8,31)</f>
        <v>3</v>
      </c>
      <c r="H6335" s="25" t="n">
        <v>96830989</v>
      </c>
      <c r="I6335" t="inlineStr">
        <is>
          <t>entidad-dia</t>
        </is>
      </c>
    </row>
    <row r="6336">
      <c r="A6336" t="inlineStr">
        <is>
          <t>PRAGMA</t>
        </is>
      </c>
      <c r="B6336" t="inlineStr">
        <is>
          <t>M1</t>
        </is>
      </c>
      <c r="C6336" t="inlineStr">
        <is>
          <t>Cali</t>
        </is>
      </c>
      <c r="D6336" t="inlineStr">
        <is>
          <t>9860</t>
        </is>
      </c>
      <c r="E6336" t="inlineStr">
        <is>
          <t>pagado</t>
        </is>
      </c>
      <c r="F6336" s="23" t="n">
        <v>46269</v>
      </c>
      <c r="G6336" s="24">
        <f>F6336-DATE(2026,8,31)</f>
        <v>4</v>
      </c>
      <c r="H6336" s="25" t="n">
        <v>117849596</v>
      </c>
      <c r="I6336" t="inlineStr">
        <is>
          <t>entidad-dia</t>
        </is>
      </c>
    </row>
    <row r="6337">
      <c r="A6337" t="inlineStr">
        <is>
          <t>PRAGMA</t>
        </is>
      </c>
      <c r="B6337" t="inlineStr">
        <is>
          <t>M1</t>
        </is>
      </c>
      <c r="C6337" t="inlineStr">
        <is>
          <t>Cali</t>
        </is>
      </c>
      <c r="D6337" t="inlineStr">
        <is>
          <t>9860</t>
        </is>
      </c>
      <c r="E6337" t="inlineStr">
        <is>
          <t>pagado</t>
        </is>
      </c>
      <c r="F6337" s="23" t="n">
        <v>46270</v>
      </c>
      <c r="G6337" s="24">
        <f>F6337-DATE(2026,8,31)</f>
        <v>5</v>
      </c>
      <c r="H6337" s="25" t="n">
        <v>129942635</v>
      </c>
      <c r="I6337" t="inlineStr">
        <is>
          <t>entidad-dia</t>
        </is>
      </c>
    </row>
    <row r="6338">
      <c r="A6338" t="inlineStr">
        <is>
          <t>PRAGMA</t>
        </is>
      </c>
      <c r="B6338" t="inlineStr">
        <is>
          <t>M1</t>
        </is>
      </c>
      <c r="C6338" t="inlineStr">
        <is>
          <t>Cali</t>
        </is>
      </c>
      <c r="D6338" t="inlineStr">
        <is>
          <t>9860</t>
        </is>
      </c>
      <c r="E6338" t="inlineStr">
        <is>
          <t>pagado</t>
        </is>
      </c>
      <c r="F6338" s="23" t="n">
        <v>46271</v>
      </c>
      <c r="G6338" s="24">
        <f>F6338-DATE(2026,8,31)</f>
        <v>6</v>
      </c>
      <c r="H6338" s="25" t="n">
        <v>89994535</v>
      </c>
      <c r="I6338" t="inlineStr">
        <is>
          <t>entidad-dia</t>
        </is>
      </c>
    </row>
    <row r="6339">
      <c r="A6339" t="inlineStr">
        <is>
          <t>PRAGMA</t>
        </is>
      </c>
      <c r="B6339" t="inlineStr">
        <is>
          <t>M1</t>
        </is>
      </c>
      <c r="C6339" t="inlineStr">
        <is>
          <t>Cali</t>
        </is>
      </c>
      <c r="D6339" t="inlineStr">
        <is>
          <t>9860</t>
        </is>
      </c>
      <c r="E6339" t="inlineStr">
        <is>
          <t>pagado</t>
        </is>
      </c>
      <c r="F6339" s="23" t="n">
        <v>46272</v>
      </c>
      <c r="G6339" s="24">
        <f>F6339-DATE(2026,8,31)</f>
        <v>7</v>
      </c>
      <c r="H6339" s="25" t="n">
        <v>77849140</v>
      </c>
      <c r="I6339" t="inlineStr">
        <is>
          <t>entidad-dia</t>
        </is>
      </c>
    </row>
    <row r="6340">
      <c r="A6340" t="inlineStr">
        <is>
          <t>PRAGMA</t>
        </is>
      </c>
      <c r="B6340" t="inlineStr">
        <is>
          <t>M1</t>
        </is>
      </c>
      <c r="C6340" t="inlineStr">
        <is>
          <t>Cali</t>
        </is>
      </c>
      <c r="D6340" t="inlineStr">
        <is>
          <t>9860</t>
        </is>
      </c>
      <c r="E6340" t="inlineStr">
        <is>
          <t>pagado</t>
        </is>
      </c>
      <c r="F6340" s="23" t="n">
        <v>46273</v>
      </c>
      <c r="G6340" s="24">
        <f>F6340-DATE(2026,8,31)</f>
        <v>8</v>
      </c>
      <c r="H6340" s="25" t="n">
        <v>84937352</v>
      </c>
      <c r="I6340" t="inlineStr">
        <is>
          <t>entidad-dia</t>
        </is>
      </c>
    </row>
    <row r="6341">
      <c r="A6341" t="inlineStr">
        <is>
          <t>PRAGMA</t>
        </is>
      </c>
      <c r="B6341" t="inlineStr">
        <is>
          <t>M1</t>
        </is>
      </c>
      <c r="C6341" t="inlineStr">
        <is>
          <t>Cali</t>
        </is>
      </c>
      <c r="D6341" t="inlineStr">
        <is>
          <t>9860</t>
        </is>
      </c>
      <c r="E6341" t="inlineStr">
        <is>
          <t>pagado</t>
        </is>
      </c>
      <c r="F6341" s="23" t="n">
        <v>46274</v>
      </c>
      <c r="G6341" s="24">
        <f>F6341-DATE(2026,8,31)</f>
        <v>9</v>
      </c>
      <c r="H6341" s="25" t="n">
        <v>77850150</v>
      </c>
      <c r="I6341" t="inlineStr">
        <is>
          <t>entidad-dia</t>
        </is>
      </c>
    </row>
    <row r="6342">
      <c r="A6342" t="inlineStr">
        <is>
          <t>PRAGMA</t>
        </is>
      </c>
      <c r="B6342" t="inlineStr">
        <is>
          <t>M1</t>
        </is>
      </c>
      <c r="C6342" t="inlineStr">
        <is>
          <t>Cali</t>
        </is>
      </c>
      <c r="D6342" t="inlineStr">
        <is>
          <t>9860</t>
        </is>
      </c>
      <c r="E6342" t="inlineStr">
        <is>
          <t>pagado</t>
        </is>
      </c>
      <c r="F6342" s="23" t="n">
        <v>46275</v>
      </c>
      <c r="G6342" s="24">
        <f>F6342-DATE(2026,8,31)</f>
        <v>10</v>
      </c>
      <c r="H6342" s="25" t="n">
        <v>70084452</v>
      </c>
      <c r="I6342" t="inlineStr">
        <is>
          <t>entidad-dia</t>
        </is>
      </c>
    </row>
    <row r="6343">
      <c r="A6343" t="inlineStr">
        <is>
          <t>PRAGMA</t>
        </is>
      </c>
      <c r="B6343" t="inlineStr">
        <is>
          <t>M1</t>
        </is>
      </c>
      <c r="C6343" t="inlineStr">
        <is>
          <t>Cali</t>
        </is>
      </c>
      <c r="D6343" t="inlineStr">
        <is>
          <t>9860</t>
        </is>
      </c>
      <c r="E6343" t="inlineStr">
        <is>
          <t>pagado</t>
        </is>
      </c>
      <c r="F6343" s="23" t="n">
        <v>46276</v>
      </c>
      <c r="G6343" s="24">
        <f>F6343-DATE(2026,8,31)</f>
        <v>11</v>
      </c>
      <c r="H6343" s="25" t="n">
        <v>90457907</v>
      </c>
      <c r="I6343" t="inlineStr">
        <is>
          <t>entidad-dia</t>
        </is>
      </c>
    </row>
    <row r="6344">
      <c r="A6344" t="inlineStr">
        <is>
          <t>PRAGMA</t>
        </is>
      </c>
      <c r="B6344" t="inlineStr">
        <is>
          <t>M1</t>
        </is>
      </c>
      <c r="C6344" t="inlineStr">
        <is>
          <t>Cali</t>
        </is>
      </c>
      <c r="D6344" t="inlineStr">
        <is>
          <t>9860</t>
        </is>
      </c>
      <c r="E6344" t="inlineStr">
        <is>
          <t>pagado</t>
        </is>
      </c>
      <c r="F6344" s="23" t="n">
        <v>46277</v>
      </c>
      <c r="G6344" s="24">
        <f>F6344-DATE(2026,8,31)</f>
        <v>12</v>
      </c>
      <c r="H6344" s="25" t="n">
        <v>107249567</v>
      </c>
      <c r="I6344" t="inlineStr">
        <is>
          <t>entidad-dia</t>
        </is>
      </c>
    </row>
    <row r="6345">
      <c r="A6345" t="inlineStr">
        <is>
          <t>PRAGMA</t>
        </is>
      </c>
      <c r="B6345" t="inlineStr">
        <is>
          <t>M1</t>
        </is>
      </c>
      <c r="C6345" t="inlineStr">
        <is>
          <t>Cali</t>
        </is>
      </c>
      <c r="D6345" t="inlineStr">
        <is>
          <t>9860</t>
        </is>
      </c>
      <c r="E6345" t="inlineStr">
        <is>
          <t>pagado</t>
        </is>
      </c>
      <c r="F6345" s="23" t="n">
        <v>46278</v>
      </c>
      <c r="G6345" s="24">
        <f>F6345-DATE(2026,8,31)</f>
        <v>13</v>
      </c>
      <c r="H6345" s="25" t="n">
        <v>71336744</v>
      </c>
      <c r="I6345" t="inlineStr">
        <is>
          <t>entidad-dia</t>
        </is>
      </c>
    </row>
    <row r="6346">
      <c r="A6346" t="inlineStr">
        <is>
          <t>PRAGMA</t>
        </is>
      </c>
      <c r="B6346" t="inlineStr">
        <is>
          <t>M1</t>
        </is>
      </c>
      <c r="C6346" t="inlineStr">
        <is>
          <t>Cali</t>
        </is>
      </c>
      <c r="D6346" t="inlineStr">
        <is>
          <t>9860</t>
        </is>
      </c>
      <c r="E6346" t="inlineStr">
        <is>
          <t>pagado</t>
        </is>
      </c>
      <c r="F6346" s="23" t="n">
        <v>46279</v>
      </c>
      <c r="G6346" s="24">
        <f>F6346-DATE(2026,8,31)</f>
        <v>14</v>
      </c>
      <c r="H6346" s="25" t="n">
        <v>75582426</v>
      </c>
      <c r="I6346" t="inlineStr">
        <is>
          <t>entidad-dia</t>
        </is>
      </c>
    </row>
    <row r="6347">
      <c r="A6347" t="inlineStr">
        <is>
          <t>PRAGMA</t>
        </is>
      </c>
      <c r="B6347" t="inlineStr">
        <is>
          <t>M1</t>
        </is>
      </c>
      <c r="C6347" t="inlineStr">
        <is>
          <t>Cali</t>
        </is>
      </c>
      <c r="D6347" t="inlineStr">
        <is>
          <t>9860</t>
        </is>
      </c>
      <c r="E6347" t="inlineStr">
        <is>
          <t>pagado</t>
        </is>
      </c>
      <c r="F6347" s="23" t="n">
        <v>46280</v>
      </c>
      <c r="G6347" s="24">
        <f>F6347-DATE(2026,8,31)</f>
        <v>15</v>
      </c>
      <c r="H6347" s="25" t="n">
        <v>110128072</v>
      </c>
      <c r="I6347" t="inlineStr">
        <is>
          <t>entidad-dia</t>
        </is>
      </c>
    </row>
    <row r="6348">
      <c r="A6348" t="inlineStr">
        <is>
          <t>PRAGMA</t>
        </is>
      </c>
      <c r="B6348" t="inlineStr">
        <is>
          <t>M1</t>
        </is>
      </c>
      <c r="C6348" t="inlineStr">
        <is>
          <t>Pasto</t>
        </is>
      </c>
      <c r="D6348" t="inlineStr">
        <is>
          <t>9892</t>
        </is>
      </c>
      <c r="E6348" t="inlineStr">
        <is>
          <t>pagado</t>
        </is>
      </c>
      <c r="F6348" s="23" t="n">
        <v>46266</v>
      </c>
      <c r="G6348" s="24">
        <f>F6348-DATE(2026,8,31)</f>
        <v>1</v>
      </c>
      <c r="H6348" s="25" t="n">
        <v>146115845</v>
      </c>
      <c r="I6348" t="inlineStr">
        <is>
          <t>entidad-dia</t>
        </is>
      </c>
    </row>
    <row r="6349">
      <c r="A6349" t="inlineStr">
        <is>
          <t>PRAGMA</t>
        </is>
      </c>
      <c r="B6349" t="inlineStr">
        <is>
          <t>M1</t>
        </is>
      </c>
      <c r="C6349" t="inlineStr">
        <is>
          <t>Pasto</t>
        </is>
      </c>
      <c r="D6349" t="inlineStr">
        <is>
          <t>9892</t>
        </is>
      </c>
      <c r="E6349" t="inlineStr">
        <is>
          <t>pagado</t>
        </is>
      </c>
      <c r="F6349" s="23" t="n">
        <v>46267</v>
      </c>
      <c r="G6349" s="24">
        <f>F6349-DATE(2026,8,31)</f>
        <v>2</v>
      </c>
      <c r="H6349" s="25" t="n">
        <v>116621606</v>
      </c>
      <c r="I6349" t="inlineStr">
        <is>
          <t>entidad-dia</t>
        </is>
      </c>
    </row>
    <row r="6350">
      <c r="A6350" t="inlineStr">
        <is>
          <t>PRAGMA</t>
        </is>
      </c>
      <c r="B6350" t="inlineStr">
        <is>
          <t>M1</t>
        </is>
      </c>
      <c r="C6350" t="inlineStr">
        <is>
          <t>Pasto</t>
        </is>
      </c>
      <c r="D6350" t="inlineStr">
        <is>
          <t>9892</t>
        </is>
      </c>
      <c r="E6350" t="inlineStr">
        <is>
          <t>pagado</t>
        </is>
      </c>
      <c r="F6350" s="23" t="n">
        <v>46268</v>
      </c>
      <c r="G6350" s="24">
        <f>F6350-DATE(2026,8,31)</f>
        <v>3</v>
      </c>
      <c r="H6350" s="25" t="n">
        <v>105357426</v>
      </c>
      <c r="I6350" t="inlineStr">
        <is>
          <t>entidad-dia</t>
        </is>
      </c>
    </row>
    <row r="6351">
      <c r="A6351" t="inlineStr">
        <is>
          <t>PRAGMA</t>
        </is>
      </c>
      <c r="B6351" t="inlineStr">
        <is>
          <t>M1</t>
        </is>
      </c>
      <c r="C6351" t="inlineStr">
        <is>
          <t>Pasto</t>
        </is>
      </c>
      <c r="D6351" t="inlineStr">
        <is>
          <t>9892</t>
        </is>
      </c>
      <c r="E6351" t="inlineStr">
        <is>
          <t>pagado</t>
        </is>
      </c>
      <c r="F6351" s="23" t="n">
        <v>46269</v>
      </c>
      <c r="G6351" s="24">
        <f>F6351-DATE(2026,8,31)</f>
        <v>4</v>
      </c>
      <c r="H6351" s="25" t="n">
        <v>114776880</v>
      </c>
      <c r="I6351" t="inlineStr">
        <is>
          <t>entidad-dia</t>
        </is>
      </c>
    </row>
    <row r="6352">
      <c r="A6352" t="inlineStr">
        <is>
          <t>PRAGMA</t>
        </is>
      </c>
      <c r="B6352" t="inlineStr">
        <is>
          <t>M1</t>
        </is>
      </c>
      <c r="C6352" t="inlineStr">
        <is>
          <t>Pasto</t>
        </is>
      </c>
      <c r="D6352" t="inlineStr">
        <is>
          <t>9892</t>
        </is>
      </c>
      <c r="E6352" t="inlineStr">
        <is>
          <t>pagado</t>
        </is>
      </c>
      <c r="F6352" s="23" t="n">
        <v>46270</v>
      </c>
      <c r="G6352" s="24">
        <f>F6352-DATE(2026,8,31)</f>
        <v>5</v>
      </c>
      <c r="H6352" s="25" t="n">
        <v>110982062</v>
      </c>
      <c r="I6352" t="inlineStr">
        <is>
          <t>entidad-dia</t>
        </is>
      </c>
    </row>
    <row r="6353">
      <c r="A6353" t="inlineStr">
        <is>
          <t>PRAGMA</t>
        </is>
      </c>
      <c r="B6353" t="inlineStr">
        <is>
          <t>M1</t>
        </is>
      </c>
      <c r="C6353" t="inlineStr">
        <is>
          <t>Pasto</t>
        </is>
      </c>
      <c r="D6353" t="inlineStr">
        <is>
          <t>9892</t>
        </is>
      </c>
      <c r="E6353" t="inlineStr">
        <is>
          <t>pagado</t>
        </is>
      </c>
      <c r="F6353" s="23" t="n">
        <v>46271</v>
      </c>
      <c r="G6353" s="24">
        <f>F6353-DATE(2026,8,31)</f>
        <v>6</v>
      </c>
      <c r="H6353" s="25" t="n">
        <v>6088112</v>
      </c>
      <c r="I6353" t="inlineStr">
        <is>
          <t>entidad-dia</t>
        </is>
      </c>
    </row>
    <row r="6354">
      <c r="A6354" t="inlineStr">
        <is>
          <t>PRAGMA</t>
        </is>
      </c>
      <c r="B6354" t="inlineStr">
        <is>
          <t>M1</t>
        </is>
      </c>
      <c r="C6354" t="inlineStr">
        <is>
          <t>Pasto</t>
        </is>
      </c>
      <c r="D6354" t="inlineStr">
        <is>
          <t>9892</t>
        </is>
      </c>
      <c r="E6354" t="inlineStr">
        <is>
          <t>pagado</t>
        </is>
      </c>
      <c r="F6354" s="23" t="n">
        <v>46272</v>
      </c>
      <c r="G6354" s="24">
        <f>F6354-DATE(2026,8,31)</f>
        <v>7</v>
      </c>
      <c r="H6354" s="25" t="n">
        <v>88061010</v>
      </c>
      <c r="I6354" t="inlineStr">
        <is>
          <t>entidad-dia</t>
        </is>
      </c>
    </row>
    <row r="6355">
      <c r="A6355" t="inlineStr">
        <is>
          <t>PRAGMA</t>
        </is>
      </c>
      <c r="B6355" t="inlineStr">
        <is>
          <t>M1</t>
        </is>
      </c>
      <c r="C6355" t="inlineStr">
        <is>
          <t>Pasto</t>
        </is>
      </c>
      <c r="D6355" t="inlineStr">
        <is>
          <t>9892</t>
        </is>
      </c>
      <c r="E6355" t="inlineStr">
        <is>
          <t>pagado</t>
        </is>
      </c>
      <c r="F6355" s="23" t="n">
        <v>46273</v>
      </c>
      <c r="G6355" s="24">
        <f>F6355-DATE(2026,8,31)</f>
        <v>8</v>
      </c>
      <c r="H6355" s="25" t="n">
        <v>94810926</v>
      </c>
      <c r="I6355" t="inlineStr">
        <is>
          <t>entidad-dia</t>
        </is>
      </c>
    </row>
    <row r="6356">
      <c r="A6356" t="inlineStr">
        <is>
          <t>PRAGMA</t>
        </is>
      </c>
      <c r="B6356" t="inlineStr">
        <is>
          <t>M1</t>
        </is>
      </c>
      <c r="C6356" t="inlineStr">
        <is>
          <t>Pasto</t>
        </is>
      </c>
      <c r="D6356" t="inlineStr">
        <is>
          <t>9892</t>
        </is>
      </c>
      <c r="E6356" t="inlineStr">
        <is>
          <t>pagado</t>
        </is>
      </c>
      <c r="F6356" s="23" t="n">
        <v>46274</v>
      </c>
      <c r="G6356" s="24">
        <f>F6356-DATE(2026,8,31)</f>
        <v>9</v>
      </c>
      <c r="H6356" s="25" t="n">
        <v>86607879</v>
      </c>
      <c r="I6356" t="inlineStr">
        <is>
          <t>entidad-dia</t>
        </is>
      </c>
    </row>
    <row r="6357">
      <c r="A6357" t="inlineStr">
        <is>
          <t>PRAGMA</t>
        </is>
      </c>
      <c r="B6357" t="inlineStr">
        <is>
          <t>M1</t>
        </is>
      </c>
      <c r="C6357" t="inlineStr">
        <is>
          <t>Pasto</t>
        </is>
      </c>
      <c r="D6357" t="inlineStr">
        <is>
          <t>9892</t>
        </is>
      </c>
      <c r="E6357" t="inlineStr">
        <is>
          <t>pagado</t>
        </is>
      </c>
      <c r="F6357" s="23" t="n">
        <v>46275</v>
      </c>
      <c r="G6357" s="24">
        <f>F6357-DATE(2026,8,31)</f>
        <v>10</v>
      </c>
      <c r="H6357" s="25" t="n">
        <v>75237370</v>
      </c>
      <c r="I6357" t="inlineStr">
        <is>
          <t>entidad-dia</t>
        </is>
      </c>
    </row>
    <row r="6358">
      <c r="A6358" t="inlineStr">
        <is>
          <t>PRAGMA</t>
        </is>
      </c>
      <c r="B6358" t="inlineStr">
        <is>
          <t>M1</t>
        </is>
      </c>
      <c r="C6358" t="inlineStr">
        <is>
          <t>Pasto</t>
        </is>
      </c>
      <c r="D6358" t="inlineStr">
        <is>
          <t>9892</t>
        </is>
      </c>
      <c r="E6358" t="inlineStr">
        <is>
          <t>pagado</t>
        </is>
      </c>
      <c r="F6358" s="23" t="n">
        <v>46276</v>
      </c>
      <c r="G6358" s="24">
        <f>F6358-DATE(2026,8,31)</f>
        <v>11</v>
      </c>
      <c r="H6358" s="25" t="n">
        <v>86686362</v>
      </c>
      <c r="I6358" t="inlineStr">
        <is>
          <t>entidad-dia</t>
        </is>
      </c>
    </row>
    <row r="6359">
      <c r="A6359" t="inlineStr">
        <is>
          <t>PRAGMA</t>
        </is>
      </c>
      <c r="B6359" t="inlineStr">
        <is>
          <t>M1</t>
        </is>
      </c>
      <c r="C6359" t="inlineStr">
        <is>
          <t>Pasto</t>
        </is>
      </c>
      <c r="D6359" t="inlineStr">
        <is>
          <t>9892</t>
        </is>
      </c>
      <c r="E6359" t="inlineStr">
        <is>
          <t>pagado</t>
        </is>
      </c>
      <c r="F6359" s="23" t="n">
        <v>46277</v>
      </c>
      <c r="G6359" s="24">
        <f>F6359-DATE(2026,8,31)</f>
        <v>12</v>
      </c>
      <c r="H6359" s="25" t="n">
        <v>89613234</v>
      </c>
      <c r="I6359" t="inlineStr">
        <is>
          <t>entidad-dia</t>
        </is>
      </c>
    </row>
    <row r="6360">
      <c r="A6360" t="inlineStr">
        <is>
          <t>PRAGMA</t>
        </is>
      </c>
      <c r="B6360" t="inlineStr">
        <is>
          <t>M1</t>
        </is>
      </c>
      <c r="C6360" t="inlineStr">
        <is>
          <t>Pasto</t>
        </is>
      </c>
      <c r="D6360" t="inlineStr">
        <is>
          <t>9892</t>
        </is>
      </c>
      <c r="E6360" t="inlineStr">
        <is>
          <t>pagado</t>
        </is>
      </c>
      <c r="F6360" s="23" t="n">
        <v>46278</v>
      </c>
      <c r="G6360" s="24">
        <f>F6360-DATE(2026,8,31)</f>
        <v>13</v>
      </c>
      <c r="H6360" s="25" t="n">
        <v>4159415</v>
      </c>
      <c r="I6360" t="inlineStr">
        <is>
          <t>entidad-dia</t>
        </is>
      </c>
    </row>
    <row r="6361">
      <c r="A6361" t="inlineStr">
        <is>
          <t>PRAGMA</t>
        </is>
      </c>
      <c r="B6361" t="inlineStr">
        <is>
          <t>M1</t>
        </is>
      </c>
      <c r="C6361" t="inlineStr">
        <is>
          <t>Pasto</t>
        </is>
      </c>
      <c r="D6361" t="inlineStr">
        <is>
          <t>9892</t>
        </is>
      </c>
      <c r="E6361" t="inlineStr">
        <is>
          <t>pagado</t>
        </is>
      </c>
      <c r="F6361" s="23" t="n">
        <v>46279</v>
      </c>
      <c r="G6361" s="24">
        <f>F6361-DATE(2026,8,31)</f>
        <v>14</v>
      </c>
      <c r="H6361" s="25" t="n">
        <v>77283497</v>
      </c>
      <c r="I6361" t="inlineStr">
        <is>
          <t>entidad-dia</t>
        </is>
      </c>
    </row>
    <row r="6362">
      <c r="A6362" t="inlineStr">
        <is>
          <t>PRAGMA</t>
        </is>
      </c>
      <c r="B6362" t="inlineStr">
        <is>
          <t>M1</t>
        </is>
      </c>
      <c r="C6362" t="inlineStr">
        <is>
          <t>Pasto</t>
        </is>
      </c>
      <c r="D6362" t="inlineStr">
        <is>
          <t>9892</t>
        </is>
      </c>
      <c r="E6362" t="inlineStr">
        <is>
          <t>pagado</t>
        </is>
      </c>
      <c r="F6362" s="23" t="n">
        <v>46280</v>
      </c>
      <c r="G6362" s="24">
        <f>F6362-DATE(2026,8,31)</f>
        <v>15</v>
      </c>
      <c r="H6362" s="25" t="n">
        <v>96744806</v>
      </c>
      <c r="I6362" t="inlineStr">
        <is>
          <t>entidad-dia</t>
        </is>
      </c>
    </row>
    <row r="6363">
      <c r="A6363" t="inlineStr">
        <is>
          <t>PRAGMA</t>
        </is>
      </c>
      <c r="B6363" t="inlineStr">
        <is>
          <t>M1</t>
        </is>
      </c>
      <c r="C6363" t="inlineStr">
        <is>
          <t>Cali</t>
        </is>
      </c>
      <c r="D6363" t="inlineStr">
        <is>
          <t>9906</t>
        </is>
      </c>
      <c r="E6363" t="inlineStr">
        <is>
          <t>pagado</t>
        </is>
      </c>
      <c r="F6363" s="23" t="n">
        <v>46266</v>
      </c>
      <c r="G6363" s="24">
        <f>F6363-DATE(2026,8,31)</f>
        <v>1</v>
      </c>
      <c r="H6363" s="25" t="n">
        <v>64230002</v>
      </c>
      <c r="I6363" t="inlineStr">
        <is>
          <t>entidad-dia</t>
        </is>
      </c>
    </row>
    <row r="6364">
      <c r="A6364" t="inlineStr">
        <is>
          <t>PRAGMA</t>
        </is>
      </c>
      <c r="B6364" t="inlineStr">
        <is>
          <t>M1</t>
        </is>
      </c>
      <c r="C6364" t="inlineStr">
        <is>
          <t>Cali</t>
        </is>
      </c>
      <c r="D6364" t="inlineStr">
        <is>
          <t>9906</t>
        </is>
      </c>
      <c r="E6364" t="inlineStr">
        <is>
          <t>pagado</t>
        </is>
      </c>
      <c r="F6364" s="23" t="n">
        <v>46267</v>
      </c>
      <c r="G6364" s="24">
        <f>F6364-DATE(2026,8,31)</f>
        <v>2</v>
      </c>
      <c r="H6364" s="25" t="n">
        <v>45166740</v>
      </c>
      <c r="I6364" t="inlineStr">
        <is>
          <t>entidad-dia</t>
        </is>
      </c>
    </row>
    <row r="6365">
      <c r="A6365" t="inlineStr">
        <is>
          <t>PRAGMA</t>
        </is>
      </c>
      <c r="B6365" t="inlineStr">
        <is>
          <t>M1</t>
        </is>
      </c>
      <c r="C6365" t="inlineStr">
        <is>
          <t>Cali</t>
        </is>
      </c>
      <c r="D6365" t="inlineStr">
        <is>
          <t>9906</t>
        </is>
      </c>
      <c r="E6365" t="inlineStr">
        <is>
          <t>pagado</t>
        </is>
      </c>
      <c r="F6365" s="23" t="n">
        <v>46268</v>
      </c>
      <c r="G6365" s="24">
        <f>F6365-DATE(2026,8,31)</f>
        <v>3</v>
      </c>
      <c r="H6365" s="25" t="n">
        <v>39842641</v>
      </c>
      <c r="I6365" t="inlineStr">
        <is>
          <t>entidad-dia</t>
        </is>
      </c>
    </row>
    <row r="6366">
      <c r="A6366" t="inlineStr">
        <is>
          <t>PRAGMA</t>
        </is>
      </c>
      <c r="B6366" t="inlineStr">
        <is>
          <t>M1</t>
        </is>
      </c>
      <c r="C6366" t="inlineStr">
        <is>
          <t>Cali</t>
        </is>
      </c>
      <c r="D6366" t="inlineStr">
        <is>
          <t>9906</t>
        </is>
      </c>
      <c r="E6366" t="inlineStr">
        <is>
          <t>pagado</t>
        </is>
      </c>
      <c r="F6366" s="23" t="n">
        <v>46269</v>
      </c>
      <c r="G6366" s="24">
        <f>F6366-DATE(2026,8,31)</f>
        <v>4</v>
      </c>
      <c r="H6366" s="25" t="n">
        <v>40667346</v>
      </c>
      <c r="I6366" t="inlineStr">
        <is>
          <t>entidad-dia</t>
        </is>
      </c>
    </row>
    <row r="6367">
      <c r="A6367" t="inlineStr">
        <is>
          <t>PRAGMA</t>
        </is>
      </c>
      <c r="B6367" t="inlineStr">
        <is>
          <t>M1</t>
        </is>
      </c>
      <c r="C6367" t="inlineStr">
        <is>
          <t>Cali</t>
        </is>
      </c>
      <c r="D6367" t="inlineStr">
        <is>
          <t>9906</t>
        </is>
      </c>
      <c r="E6367" t="inlineStr">
        <is>
          <t>pagado</t>
        </is>
      </c>
      <c r="F6367" s="23" t="n">
        <v>46270</v>
      </c>
      <c r="G6367" s="24">
        <f>F6367-DATE(2026,8,31)</f>
        <v>5</v>
      </c>
      <c r="H6367" s="25" t="n">
        <v>42126762</v>
      </c>
      <c r="I6367" t="inlineStr">
        <is>
          <t>entidad-dia</t>
        </is>
      </c>
    </row>
    <row r="6368">
      <c r="A6368" t="inlineStr">
        <is>
          <t>PRAGMA</t>
        </is>
      </c>
      <c r="B6368" t="inlineStr">
        <is>
          <t>M1</t>
        </is>
      </c>
      <c r="C6368" t="inlineStr">
        <is>
          <t>Cali</t>
        </is>
      </c>
      <c r="D6368" t="inlineStr">
        <is>
          <t>9906</t>
        </is>
      </c>
      <c r="E6368" t="inlineStr">
        <is>
          <t>pagado</t>
        </is>
      </c>
      <c r="F6368" s="23" t="n">
        <v>46271</v>
      </c>
      <c r="G6368" s="24">
        <f>F6368-DATE(2026,8,31)</f>
        <v>6</v>
      </c>
      <c r="H6368" s="25" t="n">
        <v>22970256</v>
      </c>
      <c r="I6368" t="inlineStr">
        <is>
          <t>entidad-dia</t>
        </is>
      </c>
    </row>
    <row r="6369">
      <c r="A6369" t="inlineStr">
        <is>
          <t>PRAGMA</t>
        </is>
      </c>
      <c r="B6369" t="inlineStr">
        <is>
          <t>M1</t>
        </is>
      </c>
      <c r="C6369" t="inlineStr">
        <is>
          <t>Cali</t>
        </is>
      </c>
      <c r="D6369" t="inlineStr">
        <is>
          <t>9906</t>
        </is>
      </c>
      <c r="E6369" t="inlineStr">
        <is>
          <t>pagado</t>
        </is>
      </c>
      <c r="F6369" s="23" t="n">
        <v>46272</v>
      </c>
      <c r="G6369" s="24">
        <f>F6369-DATE(2026,8,31)</f>
        <v>7</v>
      </c>
      <c r="H6369" s="25" t="n">
        <v>30916817</v>
      </c>
      <c r="I6369" t="inlineStr">
        <is>
          <t>entidad-dia</t>
        </is>
      </c>
    </row>
    <row r="6370">
      <c r="A6370" t="inlineStr">
        <is>
          <t>PRAGMA</t>
        </is>
      </c>
      <c r="B6370" t="inlineStr">
        <is>
          <t>M1</t>
        </is>
      </c>
      <c r="C6370" t="inlineStr">
        <is>
          <t>Cali</t>
        </is>
      </c>
      <c r="D6370" t="inlineStr">
        <is>
          <t>9906</t>
        </is>
      </c>
      <c r="E6370" t="inlineStr">
        <is>
          <t>pagado</t>
        </is>
      </c>
      <c r="F6370" s="23" t="n">
        <v>46273</v>
      </c>
      <c r="G6370" s="24">
        <f>F6370-DATE(2026,8,31)</f>
        <v>8</v>
      </c>
      <c r="H6370" s="25" t="n">
        <v>29667351</v>
      </c>
      <c r="I6370" t="inlineStr">
        <is>
          <t>entidad-dia</t>
        </is>
      </c>
    </row>
    <row r="6371">
      <c r="A6371" t="inlineStr">
        <is>
          <t>PRAGMA</t>
        </is>
      </c>
      <c r="B6371" t="inlineStr">
        <is>
          <t>M1</t>
        </is>
      </c>
      <c r="C6371" t="inlineStr">
        <is>
          <t>Cali</t>
        </is>
      </c>
      <c r="D6371" t="inlineStr">
        <is>
          <t>9906</t>
        </is>
      </c>
      <c r="E6371" t="inlineStr">
        <is>
          <t>pagado</t>
        </is>
      </c>
      <c r="F6371" s="23" t="n">
        <v>46274</v>
      </c>
      <c r="G6371" s="24">
        <f>F6371-DATE(2026,8,31)</f>
        <v>9</v>
      </c>
      <c r="H6371" s="25" t="n">
        <v>31344520</v>
      </c>
      <c r="I6371" t="inlineStr">
        <is>
          <t>entidad-dia</t>
        </is>
      </c>
    </row>
    <row r="6372">
      <c r="A6372" t="inlineStr">
        <is>
          <t>PRAGMA</t>
        </is>
      </c>
      <c r="B6372" t="inlineStr">
        <is>
          <t>M1</t>
        </is>
      </c>
      <c r="C6372" t="inlineStr">
        <is>
          <t>Cali</t>
        </is>
      </c>
      <c r="D6372" t="inlineStr">
        <is>
          <t>9906</t>
        </is>
      </c>
      <c r="E6372" t="inlineStr">
        <is>
          <t>pagado</t>
        </is>
      </c>
      <c r="F6372" s="23" t="n">
        <v>46275</v>
      </c>
      <c r="G6372" s="24">
        <f>F6372-DATE(2026,8,31)</f>
        <v>10</v>
      </c>
      <c r="H6372" s="25" t="n">
        <v>28925997</v>
      </c>
      <c r="I6372" t="inlineStr">
        <is>
          <t>entidad-dia</t>
        </is>
      </c>
    </row>
    <row r="6373">
      <c r="A6373" t="inlineStr">
        <is>
          <t>PRAGMA</t>
        </is>
      </c>
      <c r="B6373" t="inlineStr">
        <is>
          <t>M1</t>
        </is>
      </c>
      <c r="C6373" t="inlineStr">
        <is>
          <t>Cali</t>
        </is>
      </c>
      <c r="D6373" t="inlineStr">
        <is>
          <t>9906</t>
        </is>
      </c>
      <c r="E6373" t="inlineStr">
        <is>
          <t>pagado</t>
        </is>
      </c>
      <c r="F6373" s="23" t="n">
        <v>46276</v>
      </c>
      <c r="G6373" s="24">
        <f>F6373-DATE(2026,8,31)</f>
        <v>11</v>
      </c>
      <c r="H6373" s="25" t="n">
        <v>31795616</v>
      </c>
      <c r="I6373" t="inlineStr">
        <is>
          <t>entidad-dia</t>
        </is>
      </c>
    </row>
    <row r="6374">
      <c r="A6374" t="inlineStr">
        <is>
          <t>PRAGMA</t>
        </is>
      </c>
      <c r="B6374" t="inlineStr">
        <is>
          <t>M1</t>
        </is>
      </c>
      <c r="C6374" t="inlineStr">
        <is>
          <t>Cali</t>
        </is>
      </c>
      <c r="D6374" t="inlineStr">
        <is>
          <t>9906</t>
        </is>
      </c>
      <c r="E6374" t="inlineStr">
        <is>
          <t>pagado</t>
        </is>
      </c>
      <c r="F6374" s="23" t="n">
        <v>46277</v>
      </c>
      <c r="G6374" s="24">
        <f>F6374-DATE(2026,8,31)</f>
        <v>12</v>
      </c>
      <c r="H6374" s="25" t="n">
        <v>40507834</v>
      </c>
      <c r="I6374" t="inlineStr">
        <is>
          <t>entidad-dia</t>
        </is>
      </c>
    </row>
    <row r="6375">
      <c r="A6375" t="inlineStr">
        <is>
          <t>PRAGMA</t>
        </is>
      </c>
      <c r="B6375" t="inlineStr">
        <is>
          <t>M1</t>
        </is>
      </c>
      <c r="C6375" t="inlineStr">
        <is>
          <t>Cali</t>
        </is>
      </c>
      <c r="D6375" t="inlineStr">
        <is>
          <t>9906</t>
        </is>
      </c>
      <c r="E6375" t="inlineStr">
        <is>
          <t>pagado</t>
        </is>
      </c>
      <c r="F6375" s="23" t="n">
        <v>46278</v>
      </c>
      <c r="G6375" s="24">
        <f>F6375-DATE(2026,8,31)</f>
        <v>13</v>
      </c>
      <c r="H6375" s="25" t="n">
        <v>18258568</v>
      </c>
      <c r="I6375" t="inlineStr">
        <is>
          <t>entidad-dia</t>
        </is>
      </c>
    </row>
    <row r="6376">
      <c r="A6376" t="inlineStr">
        <is>
          <t>PRAGMA</t>
        </is>
      </c>
      <c r="B6376" t="inlineStr">
        <is>
          <t>M1</t>
        </is>
      </c>
      <c r="C6376" t="inlineStr">
        <is>
          <t>Cali</t>
        </is>
      </c>
      <c r="D6376" t="inlineStr">
        <is>
          <t>9906</t>
        </is>
      </c>
      <c r="E6376" t="inlineStr">
        <is>
          <t>pagado</t>
        </is>
      </c>
      <c r="F6376" s="23" t="n">
        <v>46279</v>
      </c>
      <c r="G6376" s="24">
        <f>F6376-DATE(2026,8,31)</f>
        <v>14</v>
      </c>
      <c r="H6376" s="25" t="n">
        <v>29525291</v>
      </c>
      <c r="I6376" t="inlineStr">
        <is>
          <t>entidad-dia</t>
        </is>
      </c>
    </row>
    <row r="6377">
      <c r="A6377" t="inlineStr">
        <is>
          <t>PRAGMA</t>
        </is>
      </c>
      <c r="B6377" t="inlineStr">
        <is>
          <t>M1</t>
        </is>
      </c>
      <c r="C6377" t="inlineStr">
        <is>
          <t>Cali</t>
        </is>
      </c>
      <c r="D6377" t="inlineStr">
        <is>
          <t>9906</t>
        </is>
      </c>
      <c r="E6377" t="inlineStr">
        <is>
          <t>pagado</t>
        </is>
      </c>
      <c r="F6377" s="23" t="n">
        <v>46280</v>
      </c>
      <c r="G6377" s="24">
        <f>F6377-DATE(2026,8,31)</f>
        <v>15</v>
      </c>
      <c r="H6377" s="25" t="n">
        <v>54955031</v>
      </c>
      <c r="I6377" t="inlineStr">
        <is>
          <t>entidad-dia</t>
        </is>
      </c>
    </row>
    <row r="6378">
      <c r="A6378" t="inlineStr">
        <is>
          <t>PRAGMA</t>
        </is>
      </c>
      <c r="B6378" t="inlineStr">
        <is>
          <t>M1</t>
        </is>
      </c>
      <c r="C6378" t="inlineStr">
        <is>
          <t>Cali</t>
        </is>
      </c>
      <c r="D6378" t="inlineStr">
        <is>
          <t>9907</t>
        </is>
      </c>
      <c r="E6378" t="inlineStr">
        <is>
          <t>pagado</t>
        </is>
      </c>
      <c r="F6378" s="23" t="n">
        <v>46266</v>
      </c>
      <c r="G6378" s="24">
        <f>F6378-DATE(2026,8,31)</f>
        <v>1</v>
      </c>
      <c r="H6378" s="25" t="n">
        <v>83581650</v>
      </c>
      <c r="I6378" t="inlineStr">
        <is>
          <t>entidad-dia</t>
        </is>
      </c>
    </row>
    <row r="6379">
      <c r="A6379" t="inlineStr">
        <is>
          <t>PRAGMA</t>
        </is>
      </c>
      <c r="B6379" t="inlineStr">
        <is>
          <t>M1</t>
        </is>
      </c>
      <c r="C6379" t="inlineStr">
        <is>
          <t>Cali</t>
        </is>
      </c>
      <c r="D6379" t="inlineStr">
        <is>
          <t>9907</t>
        </is>
      </c>
      <c r="E6379" t="inlineStr">
        <is>
          <t>pagado</t>
        </is>
      </c>
      <c r="F6379" s="23" t="n">
        <v>46267</v>
      </c>
      <c r="G6379" s="24">
        <f>F6379-DATE(2026,8,31)</f>
        <v>2</v>
      </c>
      <c r="H6379" s="25" t="n">
        <v>61855451</v>
      </c>
      <c r="I6379" t="inlineStr">
        <is>
          <t>entidad-dia</t>
        </is>
      </c>
    </row>
    <row r="6380">
      <c r="A6380" t="inlineStr">
        <is>
          <t>PRAGMA</t>
        </is>
      </c>
      <c r="B6380" t="inlineStr">
        <is>
          <t>M1</t>
        </is>
      </c>
      <c r="C6380" t="inlineStr">
        <is>
          <t>Cali</t>
        </is>
      </c>
      <c r="D6380" t="inlineStr">
        <is>
          <t>9907</t>
        </is>
      </c>
      <c r="E6380" t="inlineStr">
        <is>
          <t>pagado</t>
        </is>
      </c>
      <c r="F6380" s="23" t="n">
        <v>46268</v>
      </c>
      <c r="G6380" s="24">
        <f>F6380-DATE(2026,8,31)</f>
        <v>3</v>
      </c>
      <c r="H6380" s="25" t="n">
        <v>53641497</v>
      </c>
      <c r="I6380" t="inlineStr">
        <is>
          <t>entidad-dia</t>
        </is>
      </c>
    </row>
    <row r="6381">
      <c r="A6381" t="inlineStr">
        <is>
          <t>PRAGMA</t>
        </is>
      </c>
      <c r="B6381" t="inlineStr">
        <is>
          <t>M1</t>
        </is>
      </c>
      <c r="C6381" t="inlineStr">
        <is>
          <t>Cali</t>
        </is>
      </c>
      <c r="D6381" t="inlineStr">
        <is>
          <t>9907</t>
        </is>
      </c>
      <c r="E6381" t="inlineStr">
        <is>
          <t>pagado</t>
        </is>
      </c>
      <c r="F6381" s="23" t="n">
        <v>46269</v>
      </c>
      <c r="G6381" s="24">
        <f>F6381-DATE(2026,8,31)</f>
        <v>4</v>
      </c>
      <c r="H6381" s="25" t="n">
        <v>61413685</v>
      </c>
      <c r="I6381" t="inlineStr">
        <is>
          <t>entidad-dia</t>
        </is>
      </c>
    </row>
    <row r="6382">
      <c r="A6382" t="inlineStr">
        <is>
          <t>PRAGMA</t>
        </is>
      </c>
      <c r="B6382" t="inlineStr">
        <is>
          <t>M1</t>
        </is>
      </c>
      <c r="C6382" t="inlineStr">
        <is>
          <t>Cali</t>
        </is>
      </c>
      <c r="D6382" t="inlineStr">
        <is>
          <t>9907</t>
        </is>
      </c>
      <c r="E6382" t="inlineStr">
        <is>
          <t>pagado</t>
        </is>
      </c>
      <c r="F6382" s="23" t="n">
        <v>46270</v>
      </c>
      <c r="G6382" s="24">
        <f>F6382-DATE(2026,8,31)</f>
        <v>5</v>
      </c>
      <c r="H6382" s="25" t="n">
        <v>61268317</v>
      </c>
      <c r="I6382" t="inlineStr">
        <is>
          <t>entidad-dia</t>
        </is>
      </c>
    </row>
    <row r="6383">
      <c r="A6383" t="inlineStr">
        <is>
          <t>PRAGMA</t>
        </is>
      </c>
      <c r="B6383" t="inlineStr">
        <is>
          <t>M1</t>
        </is>
      </c>
      <c r="C6383" t="inlineStr">
        <is>
          <t>Cali</t>
        </is>
      </c>
      <c r="D6383" t="inlineStr">
        <is>
          <t>9907</t>
        </is>
      </c>
      <c r="E6383" t="inlineStr">
        <is>
          <t>pagado</t>
        </is>
      </c>
      <c r="F6383" s="23" t="n">
        <v>46271</v>
      </c>
      <c r="G6383" s="24">
        <f>F6383-DATE(2026,8,31)</f>
        <v>6</v>
      </c>
      <c r="H6383" s="25" t="n">
        <v>40803800</v>
      </c>
      <c r="I6383" t="inlineStr">
        <is>
          <t>entidad-dia</t>
        </is>
      </c>
    </row>
    <row r="6384">
      <c r="A6384" t="inlineStr">
        <is>
          <t>PRAGMA</t>
        </is>
      </c>
      <c r="B6384" t="inlineStr">
        <is>
          <t>M1</t>
        </is>
      </c>
      <c r="C6384" t="inlineStr">
        <is>
          <t>Cali</t>
        </is>
      </c>
      <c r="D6384" t="inlineStr">
        <is>
          <t>9907</t>
        </is>
      </c>
      <c r="E6384" t="inlineStr">
        <is>
          <t>pagado</t>
        </is>
      </c>
      <c r="F6384" s="23" t="n">
        <v>46272</v>
      </c>
      <c r="G6384" s="24">
        <f>F6384-DATE(2026,8,31)</f>
        <v>7</v>
      </c>
      <c r="H6384" s="25" t="n">
        <v>45627891</v>
      </c>
      <c r="I6384" t="inlineStr">
        <is>
          <t>entidad-dia</t>
        </is>
      </c>
    </row>
    <row r="6385">
      <c r="A6385" t="inlineStr">
        <is>
          <t>PRAGMA</t>
        </is>
      </c>
      <c r="B6385" t="inlineStr">
        <is>
          <t>M1</t>
        </is>
      </c>
      <c r="C6385" t="inlineStr">
        <is>
          <t>Cali</t>
        </is>
      </c>
      <c r="D6385" t="inlineStr">
        <is>
          <t>9907</t>
        </is>
      </c>
      <c r="E6385" t="inlineStr">
        <is>
          <t>pagado</t>
        </is>
      </c>
      <c r="F6385" s="23" t="n">
        <v>46273</v>
      </c>
      <c r="G6385" s="24">
        <f>F6385-DATE(2026,8,31)</f>
        <v>8</v>
      </c>
      <c r="H6385" s="25" t="n">
        <v>39667429</v>
      </c>
      <c r="I6385" t="inlineStr">
        <is>
          <t>entidad-dia</t>
        </is>
      </c>
    </row>
    <row r="6386">
      <c r="A6386" t="inlineStr">
        <is>
          <t>PRAGMA</t>
        </is>
      </c>
      <c r="B6386" t="inlineStr">
        <is>
          <t>M1</t>
        </is>
      </c>
      <c r="C6386" t="inlineStr">
        <is>
          <t>Cali</t>
        </is>
      </c>
      <c r="D6386" t="inlineStr">
        <is>
          <t>9907</t>
        </is>
      </c>
      <c r="E6386" t="inlineStr">
        <is>
          <t>pagado</t>
        </is>
      </c>
      <c r="F6386" s="23" t="n">
        <v>46274</v>
      </c>
      <c r="G6386" s="24">
        <f>F6386-DATE(2026,8,31)</f>
        <v>9</v>
      </c>
      <c r="H6386" s="25" t="n">
        <v>42414468</v>
      </c>
      <c r="I6386" t="inlineStr">
        <is>
          <t>entidad-dia</t>
        </is>
      </c>
    </row>
    <row r="6387">
      <c r="A6387" t="inlineStr">
        <is>
          <t>PRAGMA</t>
        </is>
      </c>
      <c r="B6387" t="inlineStr">
        <is>
          <t>M1</t>
        </is>
      </c>
      <c r="C6387" t="inlineStr">
        <is>
          <t>Cali</t>
        </is>
      </c>
      <c r="D6387" t="inlineStr">
        <is>
          <t>9907</t>
        </is>
      </c>
      <c r="E6387" t="inlineStr">
        <is>
          <t>pagado</t>
        </is>
      </c>
      <c r="F6387" s="23" t="n">
        <v>46275</v>
      </c>
      <c r="G6387" s="24">
        <f>F6387-DATE(2026,8,31)</f>
        <v>10</v>
      </c>
      <c r="H6387" s="25" t="n">
        <v>40656703</v>
      </c>
      <c r="I6387" t="inlineStr">
        <is>
          <t>entidad-dia</t>
        </is>
      </c>
    </row>
    <row r="6388">
      <c r="A6388" t="inlineStr">
        <is>
          <t>PRAGMA</t>
        </is>
      </c>
      <c r="B6388" t="inlineStr">
        <is>
          <t>M1</t>
        </is>
      </c>
      <c r="C6388" t="inlineStr">
        <is>
          <t>Cali</t>
        </is>
      </c>
      <c r="D6388" t="inlineStr">
        <is>
          <t>9907</t>
        </is>
      </c>
      <c r="E6388" t="inlineStr">
        <is>
          <t>pagado</t>
        </is>
      </c>
      <c r="F6388" s="23" t="n">
        <v>46276</v>
      </c>
      <c r="G6388" s="24">
        <f>F6388-DATE(2026,8,31)</f>
        <v>11</v>
      </c>
      <c r="H6388" s="25" t="n">
        <v>47025438</v>
      </c>
      <c r="I6388" t="inlineStr">
        <is>
          <t>entidad-dia</t>
        </is>
      </c>
    </row>
    <row r="6389">
      <c r="A6389" t="inlineStr">
        <is>
          <t>PRAGMA</t>
        </is>
      </c>
      <c r="B6389" t="inlineStr">
        <is>
          <t>M1</t>
        </is>
      </c>
      <c r="C6389" t="inlineStr">
        <is>
          <t>Cali</t>
        </is>
      </c>
      <c r="D6389" t="inlineStr">
        <is>
          <t>9907</t>
        </is>
      </c>
      <c r="E6389" t="inlineStr">
        <is>
          <t>pagado</t>
        </is>
      </c>
      <c r="F6389" s="23" t="n">
        <v>46277</v>
      </c>
      <c r="G6389" s="24">
        <f>F6389-DATE(2026,8,31)</f>
        <v>12</v>
      </c>
      <c r="H6389" s="25" t="n">
        <v>44903748</v>
      </c>
      <c r="I6389" t="inlineStr">
        <is>
          <t>entidad-dia</t>
        </is>
      </c>
    </row>
    <row r="6390">
      <c r="A6390" t="inlineStr">
        <is>
          <t>PRAGMA</t>
        </is>
      </c>
      <c r="B6390" t="inlineStr">
        <is>
          <t>M1</t>
        </is>
      </c>
      <c r="C6390" t="inlineStr">
        <is>
          <t>Cali</t>
        </is>
      </c>
      <c r="D6390" t="inlineStr">
        <is>
          <t>9907</t>
        </is>
      </c>
      <c r="E6390" t="inlineStr">
        <is>
          <t>pagado</t>
        </is>
      </c>
      <c r="F6390" s="23" t="n">
        <v>46278</v>
      </c>
      <c r="G6390" s="24">
        <f>F6390-DATE(2026,8,31)</f>
        <v>13</v>
      </c>
      <c r="H6390" s="25" t="n">
        <v>30868910</v>
      </c>
      <c r="I6390" t="inlineStr">
        <is>
          <t>entidad-dia</t>
        </is>
      </c>
    </row>
    <row r="6391">
      <c r="A6391" t="inlineStr">
        <is>
          <t>PRAGMA</t>
        </is>
      </c>
      <c r="B6391" t="inlineStr">
        <is>
          <t>M1</t>
        </is>
      </c>
      <c r="C6391" t="inlineStr">
        <is>
          <t>Cali</t>
        </is>
      </c>
      <c r="D6391" t="inlineStr">
        <is>
          <t>9907</t>
        </is>
      </c>
      <c r="E6391" t="inlineStr">
        <is>
          <t>pagado</t>
        </is>
      </c>
      <c r="F6391" s="23" t="n">
        <v>46279</v>
      </c>
      <c r="G6391" s="24">
        <f>F6391-DATE(2026,8,31)</f>
        <v>14</v>
      </c>
      <c r="H6391" s="25" t="n">
        <v>37549494</v>
      </c>
      <c r="I6391" t="inlineStr">
        <is>
          <t>entidad-dia</t>
        </is>
      </c>
    </row>
    <row r="6392">
      <c r="A6392" t="inlineStr">
        <is>
          <t>PRAGMA</t>
        </is>
      </c>
      <c r="B6392" t="inlineStr">
        <is>
          <t>M1</t>
        </is>
      </c>
      <c r="C6392" t="inlineStr">
        <is>
          <t>Cali</t>
        </is>
      </c>
      <c r="D6392" t="inlineStr">
        <is>
          <t>9907</t>
        </is>
      </c>
      <c r="E6392" t="inlineStr">
        <is>
          <t>pagado</t>
        </is>
      </c>
      <c r="F6392" s="23" t="n">
        <v>46280</v>
      </c>
      <c r="G6392" s="24">
        <f>F6392-DATE(2026,8,31)</f>
        <v>15</v>
      </c>
      <c r="H6392" s="25" t="n">
        <v>59572591</v>
      </c>
      <c r="I6392" t="inlineStr">
        <is>
          <t>entidad-dia</t>
        </is>
      </c>
    </row>
    <row r="6393">
      <c r="A6393" t="inlineStr">
        <is>
          <t>PRAGMA</t>
        </is>
      </c>
      <c r="B6393" t="inlineStr">
        <is>
          <t>M1</t>
        </is>
      </c>
      <c r="C6393" t="inlineStr">
        <is>
          <t>Cali</t>
        </is>
      </c>
      <c r="D6393" t="inlineStr">
        <is>
          <t>9919</t>
        </is>
      </c>
      <c r="E6393" t="inlineStr">
        <is>
          <t>pagado</t>
        </is>
      </c>
      <c r="F6393" s="23" t="n">
        <v>46266</v>
      </c>
      <c r="G6393" s="24">
        <f>F6393-DATE(2026,8,31)</f>
        <v>1</v>
      </c>
      <c r="H6393" s="25" t="n">
        <v>43411669</v>
      </c>
      <c r="I6393" t="inlineStr">
        <is>
          <t>entidad-dia</t>
        </is>
      </c>
    </row>
    <row r="6394">
      <c r="A6394" t="inlineStr">
        <is>
          <t>PRAGMA</t>
        </is>
      </c>
      <c r="B6394" t="inlineStr">
        <is>
          <t>M1</t>
        </is>
      </c>
      <c r="C6394" t="inlineStr">
        <is>
          <t>Cali</t>
        </is>
      </c>
      <c r="D6394" t="inlineStr">
        <is>
          <t>9919</t>
        </is>
      </c>
      <c r="E6394" t="inlineStr">
        <is>
          <t>pagado</t>
        </is>
      </c>
      <c r="F6394" s="23" t="n">
        <v>46267</v>
      </c>
      <c r="G6394" s="24">
        <f>F6394-DATE(2026,8,31)</f>
        <v>2</v>
      </c>
      <c r="H6394" s="25" t="n">
        <v>29011889</v>
      </c>
      <c r="I6394" t="inlineStr">
        <is>
          <t>entidad-dia</t>
        </is>
      </c>
    </row>
    <row r="6395">
      <c r="A6395" t="inlineStr">
        <is>
          <t>PRAGMA</t>
        </is>
      </c>
      <c r="B6395" t="inlineStr">
        <is>
          <t>M1</t>
        </is>
      </c>
      <c r="C6395" t="inlineStr">
        <is>
          <t>Cali</t>
        </is>
      </c>
      <c r="D6395" t="inlineStr">
        <is>
          <t>9919</t>
        </is>
      </c>
      <c r="E6395" t="inlineStr">
        <is>
          <t>pagado</t>
        </is>
      </c>
      <c r="F6395" s="23" t="n">
        <v>46268</v>
      </c>
      <c r="G6395" s="24">
        <f>F6395-DATE(2026,8,31)</f>
        <v>3</v>
      </c>
      <c r="H6395" s="25" t="n">
        <v>22698841</v>
      </c>
      <c r="I6395" t="inlineStr">
        <is>
          <t>entidad-dia</t>
        </is>
      </c>
    </row>
    <row r="6396">
      <c r="A6396" t="inlineStr">
        <is>
          <t>PRAGMA</t>
        </is>
      </c>
      <c r="B6396" t="inlineStr">
        <is>
          <t>M1</t>
        </is>
      </c>
      <c r="C6396" t="inlineStr">
        <is>
          <t>Cali</t>
        </is>
      </c>
      <c r="D6396" t="inlineStr">
        <is>
          <t>9919</t>
        </is>
      </c>
      <c r="E6396" t="inlineStr">
        <is>
          <t>pagado</t>
        </is>
      </c>
      <c r="F6396" s="23" t="n">
        <v>46269</v>
      </c>
      <c r="G6396" s="24">
        <f>F6396-DATE(2026,8,31)</f>
        <v>4</v>
      </c>
      <c r="H6396" s="25" t="n">
        <v>24836832</v>
      </c>
      <c r="I6396" t="inlineStr">
        <is>
          <t>entidad-dia</t>
        </is>
      </c>
    </row>
    <row r="6397">
      <c r="A6397" t="inlineStr">
        <is>
          <t>PRAGMA</t>
        </is>
      </c>
      <c r="B6397" t="inlineStr">
        <is>
          <t>M1</t>
        </is>
      </c>
      <c r="C6397" t="inlineStr">
        <is>
          <t>Cali</t>
        </is>
      </c>
      <c r="D6397" t="inlineStr">
        <is>
          <t>9919</t>
        </is>
      </c>
      <c r="E6397" t="inlineStr">
        <is>
          <t>pagado</t>
        </is>
      </c>
      <c r="F6397" s="23" t="n">
        <v>46270</v>
      </c>
      <c r="G6397" s="24">
        <f>F6397-DATE(2026,8,31)</f>
        <v>5</v>
      </c>
      <c r="H6397" s="25" t="n">
        <v>15320545</v>
      </c>
      <c r="I6397" t="inlineStr">
        <is>
          <t>entidad-dia</t>
        </is>
      </c>
    </row>
    <row r="6398">
      <c r="A6398" t="inlineStr">
        <is>
          <t>PRAGMA</t>
        </is>
      </c>
      <c r="B6398" t="inlineStr">
        <is>
          <t>M1</t>
        </is>
      </c>
      <c r="C6398" t="inlineStr">
        <is>
          <t>Cali</t>
        </is>
      </c>
      <c r="D6398" t="inlineStr">
        <is>
          <t>9919</t>
        </is>
      </c>
      <c r="E6398" t="inlineStr">
        <is>
          <t>pagado</t>
        </is>
      </c>
      <c r="F6398" s="23" t="n">
        <v>46271</v>
      </c>
      <c r="G6398" s="24">
        <f>F6398-DATE(2026,8,31)</f>
        <v>6</v>
      </c>
      <c r="H6398" s="25" t="n">
        <v>2048991</v>
      </c>
      <c r="I6398" t="inlineStr">
        <is>
          <t>entidad-dia</t>
        </is>
      </c>
    </row>
    <row r="6399">
      <c r="A6399" t="inlineStr">
        <is>
          <t>PRAGMA</t>
        </is>
      </c>
      <c r="B6399" t="inlineStr">
        <is>
          <t>M1</t>
        </is>
      </c>
      <c r="C6399" t="inlineStr">
        <is>
          <t>Cali</t>
        </is>
      </c>
      <c r="D6399" t="inlineStr">
        <is>
          <t>9919</t>
        </is>
      </c>
      <c r="E6399" t="inlineStr">
        <is>
          <t>pagado</t>
        </is>
      </c>
      <c r="F6399" s="23" t="n">
        <v>46272</v>
      </c>
      <c r="G6399" s="24">
        <f>F6399-DATE(2026,8,31)</f>
        <v>7</v>
      </c>
      <c r="H6399" s="25" t="n">
        <v>20672884</v>
      </c>
      <c r="I6399" t="inlineStr">
        <is>
          <t>entidad-dia</t>
        </is>
      </c>
    </row>
    <row r="6400">
      <c r="A6400" t="inlineStr">
        <is>
          <t>PRAGMA</t>
        </is>
      </c>
      <c r="B6400" t="inlineStr">
        <is>
          <t>M1</t>
        </is>
      </c>
      <c r="C6400" t="inlineStr">
        <is>
          <t>Cali</t>
        </is>
      </c>
      <c r="D6400" t="inlineStr">
        <is>
          <t>9919</t>
        </is>
      </c>
      <c r="E6400" t="inlineStr">
        <is>
          <t>pagado</t>
        </is>
      </c>
      <c r="F6400" s="23" t="n">
        <v>46273</v>
      </c>
      <c r="G6400" s="24">
        <f>F6400-DATE(2026,8,31)</f>
        <v>8</v>
      </c>
      <c r="H6400" s="25" t="n">
        <v>15027014</v>
      </c>
      <c r="I6400" t="inlineStr">
        <is>
          <t>entidad-dia</t>
        </is>
      </c>
    </row>
    <row r="6401">
      <c r="A6401" t="inlineStr">
        <is>
          <t>PRAGMA</t>
        </is>
      </c>
      <c r="B6401" t="inlineStr">
        <is>
          <t>M1</t>
        </is>
      </c>
      <c r="C6401" t="inlineStr">
        <is>
          <t>Cali</t>
        </is>
      </c>
      <c r="D6401" t="inlineStr">
        <is>
          <t>9919</t>
        </is>
      </c>
      <c r="E6401" t="inlineStr">
        <is>
          <t>pagado</t>
        </is>
      </c>
      <c r="F6401" s="23" t="n">
        <v>46274</v>
      </c>
      <c r="G6401" s="24">
        <f>F6401-DATE(2026,8,31)</f>
        <v>9</v>
      </c>
      <c r="H6401" s="25" t="n">
        <v>14591762</v>
      </c>
      <c r="I6401" t="inlineStr">
        <is>
          <t>entidad-dia</t>
        </is>
      </c>
    </row>
    <row r="6402">
      <c r="A6402" t="inlineStr">
        <is>
          <t>PRAGMA</t>
        </is>
      </c>
      <c r="B6402" t="inlineStr">
        <is>
          <t>M1</t>
        </is>
      </c>
      <c r="C6402" t="inlineStr">
        <is>
          <t>Cali</t>
        </is>
      </c>
      <c r="D6402" t="inlineStr">
        <is>
          <t>9919</t>
        </is>
      </c>
      <c r="E6402" t="inlineStr">
        <is>
          <t>pagado</t>
        </is>
      </c>
      <c r="F6402" s="23" t="n">
        <v>46275</v>
      </c>
      <c r="G6402" s="24">
        <f>F6402-DATE(2026,8,31)</f>
        <v>10</v>
      </c>
      <c r="H6402" s="25" t="n">
        <v>13215598</v>
      </c>
      <c r="I6402" t="inlineStr">
        <is>
          <t>entidad-dia</t>
        </is>
      </c>
    </row>
    <row r="6403">
      <c r="A6403" t="inlineStr">
        <is>
          <t>PRAGMA</t>
        </is>
      </c>
      <c r="B6403" t="inlineStr">
        <is>
          <t>M1</t>
        </is>
      </c>
      <c r="C6403" t="inlineStr">
        <is>
          <t>Cali</t>
        </is>
      </c>
      <c r="D6403" t="inlineStr">
        <is>
          <t>9919</t>
        </is>
      </c>
      <c r="E6403" t="inlineStr">
        <is>
          <t>pagado</t>
        </is>
      </c>
      <c r="F6403" s="23" t="n">
        <v>46276</v>
      </c>
      <c r="G6403" s="24">
        <f>F6403-DATE(2026,8,31)</f>
        <v>11</v>
      </c>
      <c r="H6403" s="25" t="n">
        <v>12986065</v>
      </c>
      <c r="I6403" t="inlineStr">
        <is>
          <t>entidad-dia</t>
        </is>
      </c>
    </row>
    <row r="6404">
      <c r="A6404" t="inlineStr">
        <is>
          <t>PRAGMA</t>
        </is>
      </c>
      <c r="B6404" t="inlineStr">
        <is>
          <t>M1</t>
        </is>
      </c>
      <c r="C6404" t="inlineStr">
        <is>
          <t>Cali</t>
        </is>
      </c>
      <c r="D6404" t="inlineStr">
        <is>
          <t>9919</t>
        </is>
      </c>
      <c r="E6404" t="inlineStr">
        <is>
          <t>pagado</t>
        </is>
      </c>
      <c r="F6404" s="23" t="n">
        <v>46277</v>
      </c>
      <c r="G6404" s="24">
        <f>F6404-DATE(2026,8,31)</f>
        <v>12</v>
      </c>
      <c r="H6404" s="25" t="n">
        <v>11635106</v>
      </c>
      <c r="I6404" t="inlineStr">
        <is>
          <t>entidad-dia</t>
        </is>
      </c>
    </row>
    <row r="6405">
      <c r="A6405" t="inlineStr">
        <is>
          <t>PRAGMA</t>
        </is>
      </c>
      <c r="B6405" t="inlineStr">
        <is>
          <t>M1</t>
        </is>
      </c>
      <c r="C6405" t="inlineStr">
        <is>
          <t>Cali</t>
        </is>
      </c>
      <c r="D6405" t="inlineStr">
        <is>
          <t>9919</t>
        </is>
      </c>
      <c r="E6405" t="inlineStr">
        <is>
          <t>pagado</t>
        </is>
      </c>
      <c r="F6405" s="23" t="n">
        <v>46278</v>
      </c>
      <c r="G6405" s="24">
        <f>F6405-DATE(2026,8,31)</f>
        <v>13</v>
      </c>
      <c r="H6405" s="25" t="n">
        <v>1801837</v>
      </c>
      <c r="I6405" t="inlineStr">
        <is>
          <t>entidad-dia</t>
        </is>
      </c>
    </row>
    <row r="6406">
      <c r="A6406" t="inlineStr">
        <is>
          <t>PRAGMA</t>
        </is>
      </c>
      <c r="B6406" t="inlineStr">
        <is>
          <t>M1</t>
        </is>
      </c>
      <c r="C6406" t="inlineStr">
        <is>
          <t>Cali</t>
        </is>
      </c>
      <c r="D6406" t="inlineStr">
        <is>
          <t>9919</t>
        </is>
      </c>
      <c r="E6406" t="inlineStr">
        <is>
          <t>pagado</t>
        </is>
      </c>
      <c r="F6406" s="23" t="n">
        <v>46279</v>
      </c>
      <c r="G6406" s="24">
        <f>F6406-DATE(2026,8,31)</f>
        <v>14</v>
      </c>
      <c r="H6406" s="25" t="n">
        <v>19136975</v>
      </c>
      <c r="I6406" t="inlineStr">
        <is>
          <t>entidad-dia</t>
        </is>
      </c>
    </row>
    <row r="6407">
      <c r="A6407" t="inlineStr">
        <is>
          <t>PRAGMA</t>
        </is>
      </c>
      <c r="B6407" t="inlineStr">
        <is>
          <t>M1</t>
        </is>
      </c>
      <c r="C6407" t="inlineStr">
        <is>
          <t>Cali</t>
        </is>
      </c>
      <c r="D6407" t="inlineStr">
        <is>
          <t>9919</t>
        </is>
      </c>
      <c r="E6407" t="inlineStr">
        <is>
          <t>pagado</t>
        </is>
      </c>
      <c r="F6407" s="23" t="n">
        <v>46280</v>
      </c>
      <c r="G6407" s="24">
        <f>F6407-DATE(2026,8,31)</f>
        <v>15</v>
      </c>
      <c r="H6407" s="25" t="n">
        <v>33628694</v>
      </c>
      <c r="I6407" t="inlineStr">
        <is>
          <t>entidad-dia</t>
        </is>
      </c>
    </row>
    <row r="6408">
      <c r="A6408" t="inlineStr">
        <is>
          <t>PRAGMA</t>
        </is>
      </c>
      <c r="B6408" t="inlineStr">
        <is>
          <t>M1</t>
        </is>
      </c>
      <c r="C6408" t="inlineStr">
        <is>
          <t>Cali</t>
        </is>
      </c>
      <c r="D6408" t="inlineStr">
        <is>
          <t>9943</t>
        </is>
      </c>
      <c r="E6408" t="inlineStr">
        <is>
          <t>pagado</t>
        </is>
      </c>
      <c r="F6408" s="23" t="n">
        <v>46266</v>
      </c>
      <c r="G6408" s="24">
        <f>F6408-DATE(2026,8,31)</f>
        <v>1</v>
      </c>
      <c r="H6408" s="25" t="n">
        <v>154094650</v>
      </c>
      <c r="I6408" t="inlineStr">
        <is>
          <t>entidad-dia</t>
        </is>
      </c>
    </row>
    <row r="6409">
      <c r="A6409" t="inlineStr">
        <is>
          <t>PRAGMA</t>
        </is>
      </c>
      <c r="B6409" t="inlineStr">
        <is>
          <t>M1</t>
        </is>
      </c>
      <c r="C6409" t="inlineStr">
        <is>
          <t>Cali</t>
        </is>
      </c>
      <c r="D6409" t="inlineStr">
        <is>
          <t>9943</t>
        </is>
      </c>
      <c r="E6409" t="inlineStr">
        <is>
          <t>pagado</t>
        </is>
      </c>
      <c r="F6409" s="23" t="n">
        <v>46267</v>
      </c>
      <c r="G6409" s="24">
        <f>F6409-DATE(2026,8,31)</f>
        <v>2</v>
      </c>
      <c r="H6409" s="25" t="n">
        <v>125318322</v>
      </c>
      <c r="I6409" t="inlineStr">
        <is>
          <t>entidad-dia</t>
        </is>
      </c>
    </row>
    <row r="6410">
      <c r="A6410" t="inlineStr">
        <is>
          <t>PRAGMA</t>
        </is>
      </c>
      <c r="B6410" t="inlineStr">
        <is>
          <t>M1</t>
        </is>
      </c>
      <c r="C6410" t="inlineStr">
        <is>
          <t>Cali</t>
        </is>
      </c>
      <c r="D6410" t="inlineStr">
        <is>
          <t>9943</t>
        </is>
      </c>
      <c r="E6410" t="inlineStr">
        <is>
          <t>pagado</t>
        </is>
      </c>
      <c r="F6410" s="23" t="n">
        <v>46268</v>
      </c>
      <c r="G6410" s="24">
        <f>F6410-DATE(2026,8,31)</f>
        <v>3</v>
      </c>
      <c r="H6410" s="25" t="n">
        <v>102841325</v>
      </c>
      <c r="I6410" t="inlineStr">
        <is>
          <t>entidad-dia</t>
        </is>
      </c>
    </row>
    <row r="6411">
      <c r="A6411" t="inlineStr">
        <is>
          <t>PRAGMA</t>
        </is>
      </c>
      <c r="B6411" t="inlineStr">
        <is>
          <t>M1</t>
        </is>
      </c>
      <c r="C6411" t="inlineStr">
        <is>
          <t>Cali</t>
        </is>
      </c>
      <c r="D6411" t="inlineStr">
        <is>
          <t>9943</t>
        </is>
      </c>
      <c r="E6411" t="inlineStr">
        <is>
          <t>pagado</t>
        </is>
      </c>
      <c r="F6411" s="23" t="n">
        <v>46269</v>
      </c>
      <c r="G6411" s="24">
        <f>F6411-DATE(2026,8,31)</f>
        <v>4</v>
      </c>
      <c r="H6411" s="25" t="n">
        <v>105719131</v>
      </c>
      <c r="I6411" t="inlineStr">
        <is>
          <t>entidad-dia</t>
        </is>
      </c>
    </row>
    <row r="6412">
      <c r="A6412" t="inlineStr">
        <is>
          <t>PRAGMA</t>
        </is>
      </c>
      <c r="B6412" t="inlineStr">
        <is>
          <t>M1</t>
        </is>
      </c>
      <c r="C6412" t="inlineStr">
        <is>
          <t>Cali</t>
        </is>
      </c>
      <c r="D6412" t="inlineStr">
        <is>
          <t>9943</t>
        </is>
      </c>
      <c r="E6412" t="inlineStr">
        <is>
          <t>pagado</t>
        </is>
      </c>
      <c r="F6412" s="23" t="n">
        <v>46270</v>
      </c>
      <c r="G6412" s="24">
        <f>F6412-DATE(2026,8,31)</f>
        <v>5</v>
      </c>
      <c r="H6412" s="25" t="n">
        <v>118841716</v>
      </c>
      <c r="I6412" t="inlineStr">
        <is>
          <t>entidad-dia</t>
        </is>
      </c>
    </row>
    <row r="6413">
      <c r="A6413" t="inlineStr">
        <is>
          <t>PRAGMA</t>
        </is>
      </c>
      <c r="B6413" t="inlineStr">
        <is>
          <t>M1</t>
        </is>
      </c>
      <c r="C6413" t="inlineStr">
        <is>
          <t>Cali</t>
        </is>
      </c>
      <c r="D6413" t="inlineStr">
        <is>
          <t>9943</t>
        </is>
      </c>
      <c r="E6413" t="inlineStr">
        <is>
          <t>pagado</t>
        </is>
      </c>
      <c r="F6413" s="23" t="n">
        <v>46271</v>
      </c>
      <c r="G6413" s="24">
        <f>F6413-DATE(2026,8,31)</f>
        <v>6</v>
      </c>
      <c r="H6413" s="25" t="n">
        <v>83962484</v>
      </c>
      <c r="I6413" t="inlineStr">
        <is>
          <t>entidad-dia</t>
        </is>
      </c>
    </row>
    <row r="6414">
      <c r="A6414" t="inlineStr">
        <is>
          <t>PRAGMA</t>
        </is>
      </c>
      <c r="B6414" t="inlineStr">
        <is>
          <t>M1</t>
        </is>
      </c>
      <c r="C6414" t="inlineStr">
        <is>
          <t>Cali</t>
        </is>
      </c>
      <c r="D6414" t="inlineStr">
        <is>
          <t>9943</t>
        </is>
      </c>
      <c r="E6414" t="inlineStr">
        <is>
          <t>pagado</t>
        </is>
      </c>
      <c r="F6414" s="23" t="n">
        <v>46272</v>
      </c>
      <c r="G6414" s="24">
        <f>F6414-DATE(2026,8,31)</f>
        <v>7</v>
      </c>
      <c r="H6414" s="25" t="n">
        <v>93742180</v>
      </c>
      <c r="I6414" t="inlineStr">
        <is>
          <t>entidad-dia</t>
        </is>
      </c>
    </row>
    <row r="6415">
      <c r="A6415" t="inlineStr">
        <is>
          <t>PRAGMA</t>
        </is>
      </c>
      <c r="B6415" t="inlineStr">
        <is>
          <t>M1</t>
        </is>
      </c>
      <c r="C6415" t="inlineStr">
        <is>
          <t>Cali</t>
        </is>
      </c>
      <c r="D6415" t="inlineStr">
        <is>
          <t>9943</t>
        </is>
      </c>
      <c r="E6415" t="inlineStr">
        <is>
          <t>pagado</t>
        </is>
      </c>
      <c r="F6415" s="23" t="n">
        <v>46273</v>
      </c>
      <c r="G6415" s="24">
        <f>F6415-DATE(2026,8,31)</f>
        <v>8</v>
      </c>
      <c r="H6415" s="25" t="n">
        <v>85582463</v>
      </c>
      <c r="I6415" t="inlineStr">
        <is>
          <t>entidad-dia</t>
        </is>
      </c>
    </row>
    <row r="6416">
      <c r="A6416" t="inlineStr">
        <is>
          <t>PRAGMA</t>
        </is>
      </c>
      <c r="B6416" t="inlineStr">
        <is>
          <t>M1</t>
        </is>
      </c>
      <c r="C6416" t="inlineStr">
        <is>
          <t>Cali</t>
        </is>
      </c>
      <c r="D6416" t="inlineStr">
        <is>
          <t>9943</t>
        </is>
      </c>
      <c r="E6416" t="inlineStr">
        <is>
          <t>pagado</t>
        </is>
      </c>
      <c r="F6416" s="23" t="n">
        <v>46274</v>
      </c>
      <c r="G6416" s="24">
        <f>F6416-DATE(2026,8,31)</f>
        <v>9</v>
      </c>
      <c r="H6416" s="25" t="n">
        <v>78715268</v>
      </c>
      <c r="I6416" t="inlineStr">
        <is>
          <t>entidad-dia</t>
        </is>
      </c>
    </row>
    <row r="6417">
      <c r="A6417" t="inlineStr">
        <is>
          <t>PRAGMA</t>
        </is>
      </c>
      <c r="B6417" t="inlineStr">
        <is>
          <t>M1</t>
        </is>
      </c>
      <c r="C6417" t="inlineStr">
        <is>
          <t>Cali</t>
        </is>
      </c>
      <c r="D6417" t="inlineStr">
        <is>
          <t>9943</t>
        </is>
      </c>
      <c r="E6417" t="inlineStr">
        <is>
          <t>pagado</t>
        </is>
      </c>
      <c r="F6417" s="23" t="n">
        <v>46275</v>
      </c>
      <c r="G6417" s="24">
        <f>F6417-DATE(2026,8,31)</f>
        <v>10</v>
      </c>
      <c r="H6417" s="25" t="n">
        <v>74407453</v>
      </c>
      <c r="I6417" t="inlineStr">
        <is>
          <t>entidad-dia</t>
        </is>
      </c>
    </row>
    <row r="6418">
      <c r="A6418" t="inlineStr">
        <is>
          <t>PRAGMA</t>
        </is>
      </c>
      <c r="B6418" t="inlineStr">
        <is>
          <t>M1</t>
        </is>
      </c>
      <c r="C6418" t="inlineStr">
        <is>
          <t>Cali</t>
        </is>
      </c>
      <c r="D6418" t="inlineStr">
        <is>
          <t>9943</t>
        </is>
      </c>
      <c r="E6418" t="inlineStr">
        <is>
          <t>pagado</t>
        </is>
      </c>
      <c r="F6418" s="23" t="n">
        <v>46276</v>
      </c>
      <c r="G6418" s="24">
        <f>F6418-DATE(2026,8,31)</f>
        <v>11</v>
      </c>
      <c r="H6418" s="25" t="n">
        <v>77552269</v>
      </c>
      <c r="I6418" t="inlineStr">
        <is>
          <t>entidad-dia</t>
        </is>
      </c>
    </row>
    <row r="6419">
      <c r="A6419" t="inlineStr">
        <is>
          <t>PRAGMA</t>
        </is>
      </c>
      <c r="B6419" t="inlineStr">
        <is>
          <t>M1</t>
        </is>
      </c>
      <c r="C6419" t="inlineStr">
        <is>
          <t>Cali</t>
        </is>
      </c>
      <c r="D6419" t="inlineStr">
        <is>
          <t>9943</t>
        </is>
      </c>
      <c r="E6419" t="inlineStr">
        <is>
          <t>pagado</t>
        </is>
      </c>
      <c r="F6419" s="23" t="n">
        <v>46277</v>
      </c>
      <c r="G6419" s="24">
        <f>F6419-DATE(2026,8,31)</f>
        <v>12</v>
      </c>
      <c r="H6419" s="25" t="n">
        <v>82174718</v>
      </c>
      <c r="I6419" t="inlineStr">
        <is>
          <t>entidad-dia</t>
        </is>
      </c>
    </row>
    <row r="6420">
      <c r="A6420" t="inlineStr">
        <is>
          <t>PRAGMA</t>
        </is>
      </c>
      <c r="B6420" t="inlineStr">
        <is>
          <t>M1</t>
        </is>
      </c>
      <c r="C6420" t="inlineStr">
        <is>
          <t>Cali</t>
        </is>
      </c>
      <c r="D6420" t="inlineStr">
        <is>
          <t>9943</t>
        </is>
      </c>
      <c r="E6420" t="inlineStr">
        <is>
          <t>pagado</t>
        </is>
      </c>
      <c r="F6420" s="23" t="n">
        <v>46278</v>
      </c>
      <c r="G6420" s="24">
        <f>F6420-DATE(2026,8,31)</f>
        <v>13</v>
      </c>
      <c r="H6420" s="25" t="n">
        <v>59383487</v>
      </c>
      <c r="I6420" t="inlineStr">
        <is>
          <t>entidad-dia</t>
        </is>
      </c>
    </row>
    <row r="6421">
      <c r="A6421" t="inlineStr">
        <is>
          <t>PRAGMA</t>
        </is>
      </c>
      <c r="B6421" t="inlineStr">
        <is>
          <t>M1</t>
        </is>
      </c>
      <c r="C6421" t="inlineStr">
        <is>
          <t>Cali</t>
        </is>
      </c>
      <c r="D6421" t="inlineStr">
        <is>
          <t>9943</t>
        </is>
      </c>
      <c r="E6421" t="inlineStr">
        <is>
          <t>pagado</t>
        </is>
      </c>
      <c r="F6421" s="23" t="n">
        <v>46279</v>
      </c>
      <c r="G6421" s="24">
        <f>F6421-DATE(2026,8,31)</f>
        <v>14</v>
      </c>
      <c r="H6421" s="25" t="n">
        <v>84120161</v>
      </c>
      <c r="I6421" t="inlineStr">
        <is>
          <t>entidad-dia</t>
        </is>
      </c>
    </row>
    <row r="6422">
      <c r="A6422" t="inlineStr">
        <is>
          <t>PRAGMA</t>
        </is>
      </c>
      <c r="B6422" t="inlineStr">
        <is>
          <t>M1</t>
        </is>
      </c>
      <c r="C6422" t="inlineStr">
        <is>
          <t>Cali</t>
        </is>
      </c>
      <c r="D6422" t="inlineStr">
        <is>
          <t>9943</t>
        </is>
      </c>
      <c r="E6422" t="inlineStr">
        <is>
          <t>pagado</t>
        </is>
      </c>
      <c r="F6422" s="23" t="n">
        <v>46280</v>
      </c>
      <c r="G6422" s="24">
        <f>F6422-DATE(2026,8,31)</f>
        <v>15</v>
      </c>
      <c r="H6422" s="25" t="n">
        <v>117281201</v>
      </c>
      <c r="I6422" t="inlineStr">
        <is>
          <t>entidad-dia</t>
        </is>
      </c>
    </row>
    <row r="6423">
      <c r="A6423" t="inlineStr">
        <is>
          <t>PRAGMA</t>
        </is>
      </c>
      <c r="B6423" t="inlineStr">
        <is>
          <t>M1</t>
        </is>
      </c>
      <c r="C6423" t="inlineStr">
        <is>
          <t>Cali</t>
        </is>
      </c>
      <c r="D6423" t="inlineStr">
        <is>
          <t>9970</t>
        </is>
      </c>
      <c r="E6423" t="inlineStr">
        <is>
          <t>pagado</t>
        </is>
      </c>
      <c r="F6423" s="23" t="n">
        <v>46266</v>
      </c>
      <c r="G6423" s="24">
        <f>F6423-DATE(2026,8,31)</f>
        <v>1</v>
      </c>
      <c r="H6423" s="25" t="n">
        <v>332502723</v>
      </c>
      <c r="I6423" t="inlineStr">
        <is>
          <t>entidad-dia</t>
        </is>
      </c>
    </row>
    <row r="6424">
      <c r="A6424" t="inlineStr">
        <is>
          <t>PRAGMA</t>
        </is>
      </c>
      <c r="B6424" t="inlineStr">
        <is>
          <t>M1</t>
        </is>
      </c>
      <c r="C6424" t="inlineStr">
        <is>
          <t>Cali</t>
        </is>
      </c>
      <c r="D6424" t="inlineStr">
        <is>
          <t>9970</t>
        </is>
      </c>
      <c r="E6424" t="inlineStr">
        <is>
          <t>pagado</t>
        </is>
      </c>
      <c r="F6424" s="23" t="n">
        <v>46267</v>
      </c>
      <c r="G6424" s="24">
        <f>F6424-DATE(2026,8,31)</f>
        <v>2</v>
      </c>
      <c r="H6424" s="25" t="n">
        <v>292390044</v>
      </c>
      <c r="I6424" t="inlineStr">
        <is>
          <t>entidad-dia</t>
        </is>
      </c>
    </row>
    <row r="6425">
      <c r="A6425" t="inlineStr">
        <is>
          <t>PRAGMA</t>
        </is>
      </c>
      <c r="B6425" t="inlineStr">
        <is>
          <t>M1</t>
        </is>
      </c>
      <c r="C6425" t="inlineStr">
        <is>
          <t>Cali</t>
        </is>
      </c>
      <c r="D6425" t="inlineStr">
        <is>
          <t>9970</t>
        </is>
      </c>
      <c r="E6425" t="inlineStr">
        <is>
          <t>pagado</t>
        </is>
      </c>
      <c r="F6425" s="23" t="n">
        <v>46268</v>
      </c>
      <c r="G6425" s="24">
        <f>F6425-DATE(2026,8,31)</f>
        <v>3</v>
      </c>
      <c r="H6425" s="25" t="n">
        <v>296487503</v>
      </c>
      <c r="I6425" t="inlineStr">
        <is>
          <t>entidad-dia</t>
        </is>
      </c>
    </row>
    <row r="6426">
      <c r="A6426" t="inlineStr">
        <is>
          <t>PRAGMA</t>
        </is>
      </c>
      <c r="B6426" t="inlineStr">
        <is>
          <t>M1</t>
        </is>
      </c>
      <c r="C6426" t="inlineStr">
        <is>
          <t>Cali</t>
        </is>
      </c>
      <c r="D6426" t="inlineStr">
        <is>
          <t>9970</t>
        </is>
      </c>
      <c r="E6426" t="inlineStr">
        <is>
          <t>pagado</t>
        </is>
      </c>
      <c r="F6426" s="23" t="n">
        <v>46269</v>
      </c>
      <c r="G6426" s="24">
        <f>F6426-DATE(2026,8,31)</f>
        <v>4</v>
      </c>
      <c r="H6426" s="25" t="n">
        <v>307262415</v>
      </c>
      <c r="I6426" t="inlineStr">
        <is>
          <t>entidad-dia</t>
        </is>
      </c>
    </row>
    <row r="6427">
      <c r="A6427" t="inlineStr">
        <is>
          <t>PRAGMA</t>
        </is>
      </c>
      <c r="B6427" t="inlineStr">
        <is>
          <t>M1</t>
        </is>
      </c>
      <c r="C6427" t="inlineStr">
        <is>
          <t>Cali</t>
        </is>
      </c>
      <c r="D6427" t="inlineStr">
        <is>
          <t>9970</t>
        </is>
      </c>
      <c r="E6427" t="inlineStr">
        <is>
          <t>pagado</t>
        </is>
      </c>
      <c r="F6427" s="23" t="n">
        <v>46270</v>
      </c>
      <c r="G6427" s="24">
        <f>F6427-DATE(2026,8,31)</f>
        <v>5</v>
      </c>
      <c r="H6427" s="25" t="n">
        <v>279670469</v>
      </c>
      <c r="I6427" t="inlineStr">
        <is>
          <t>entidad-dia</t>
        </is>
      </c>
    </row>
    <row r="6428">
      <c r="A6428" t="inlineStr">
        <is>
          <t>PRAGMA</t>
        </is>
      </c>
      <c r="B6428" t="inlineStr">
        <is>
          <t>M1</t>
        </is>
      </c>
      <c r="C6428" t="inlineStr">
        <is>
          <t>Cali</t>
        </is>
      </c>
      <c r="D6428" t="inlineStr">
        <is>
          <t>9970</t>
        </is>
      </c>
      <c r="E6428" t="inlineStr">
        <is>
          <t>pagado</t>
        </is>
      </c>
      <c r="F6428" s="23" t="n">
        <v>46271</v>
      </c>
      <c r="G6428" s="24">
        <f>F6428-DATE(2026,8,31)</f>
        <v>6</v>
      </c>
      <c r="H6428" s="25" t="n">
        <v>7344036</v>
      </c>
      <c r="I6428" t="inlineStr">
        <is>
          <t>entidad-dia</t>
        </is>
      </c>
    </row>
    <row r="6429">
      <c r="A6429" t="inlineStr">
        <is>
          <t>PRAGMA</t>
        </is>
      </c>
      <c r="B6429" t="inlineStr">
        <is>
          <t>M1</t>
        </is>
      </c>
      <c r="C6429" t="inlineStr">
        <is>
          <t>Cali</t>
        </is>
      </c>
      <c r="D6429" t="inlineStr">
        <is>
          <t>9970</t>
        </is>
      </c>
      <c r="E6429" t="inlineStr">
        <is>
          <t>pagado</t>
        </is>
      </c>
      <c r="F6429" s="23" t="n">
        <v>46272</v>
      </c>
      <c r="G6429" s="24">
        <f>F6429-DATE(2026,8,31)</f>
        <v>7</v>
      </c>
      <c r="H6429" s="25" t="n">
        <v>282926237</v>
      </c>
      <c r="I6429" t="inlineStr">
        <is>
          <t>entidad-dia</t>
        </is>
      </c>
    </row>
    <row r="6430">
      <c r="A6430" t="inlineStr">
        <is>
          <t>PRAGMA</t>
        </is>
      </c>
      <c r="B6430" t="inlineStr">
        <is>
          <t>M1</t>
        </is>
      </c>
      <c r="C6430" t="inlineStr">
        <is>
          <t>Cali</t>
        </is>
      </c>
      <c r="D6430" t="inlineStr">
        <is>
          <t>9970</t>
        </is>
      </c>
      <c r="E6430" t="inlineStr">
        <is>
          <t>pagado</t>
        </is>
      </c>
      <c r="F6430" s="23" t="n">
        <v>46273</v>
      </c>
      <c r="G6430" s="24">
        <f>F6430-DATE(2026,8,31)</f>
        <v>8</v>
      </c>
      <c r="H6430" s="25" t="n">
        <v>279823491</v>
      </c>
      <c r="I6430" t="inlineStr">
        <is>
          <t>entidad-dia</t>
        </is>
      </c>
    </row>
    <row r="6431">
      <c r="A6431" t="inlineStr">
        <is>
          <t>PRAGMA</t>
        </is>
      </c>
      <c r="B6431" t="inlineStr">
        <is>
          <t>M1</t>
        </is>
      </c>
      <c r="C6431" t="inlineStr">
        <is>
          <t>Cali</t>
        </is>
      </c>
      <c r="D6431" t="inlineStr">
        <is>
          <t>9970</t>
        </is>
      </c>
      <c r="E6431" t="inlineStr">
        <is>
          <t>pagado</t>
        </is>
      </c>
      <c r="F6431" s="23" t="n">
        <v>46274</v>
      </c>
      <c r="G6431" s="24">
        <f>F6431-DATE(2026,8,31)</f>
        <v>9</v>
      </c>
      <c r="H6431" s="25" t="n">
        <v>275526794</v>
      </c>
      <c r="I6431" t="inlineStr">
        <is>
          <t>entidad-dia</t>
        </is>
      </c>
    </row>
    <row r="6432">
      <c r="A6432" t="inlineStr">
        <is>
          <t>PRAGMA</t>
        </is>
      </c>
      <c r="B6432" t="inlineStr">
        <is>
          <t>M1</t>
        </is>
      </c>
      <c r="C6432" t="inlineStr">
        <is>
          <t>Cali</t>
        </is>
      </c>
      <c r="D6432" t="inlineStr">
        <is>
          <t>9970</t>
        </is>
      </c>
      <c r="E6432" t="inlineStr">
        <is>
          <t>pagado</t>
        </is>
      </c>
      <c r="F6432" s="23" t="n">
        <v>46275</v>
      </c>
      <c r="G6432" s="24">
        <f>F6432-DATE(2026,8,31)</f>
        <v>10</v>
      </c>
      <c r="H6432" s="25" t="n">
        <v>252435442</v>
      </c>
      <c r="I6432" t="inlineStr">
        <is>
          <t>entidad-dia</t>
        </is>
      </c>
    </row>
    <row r="6433">
      <c r="A6433" t="inlineStr">
        <is>
          <t>PRAGMA</t>
        </is>
      </c>
      <c r="B6433" t="inlineStr">
        <is>
          <t>M1</t>
        </is>
      </c>
      <c r="C6433" t="inlineStr">
        <is>
          <t>Cali</t>
        </is>
      </c>
      <c r="D6433" t="inlineStr">
        <is>
          <t>9970</t>
        </is>
      </c>
      <c r="E6433" t="inlineStr">
        <is>
          <t>pagado</t>
        </is>
      </c>
      <c r="F6433" s="23" t="n">
        <v>46276</v>
      </c>
      <c r="G6433" s="24">
        <f>F6433-DATE(2026,8,31)</f>
        <v>11</v>
      </c>
      <c r="H6433" s="25" t="n">
        <v>278254193</v>
      </c>
      <c r="I6433" t="inlineStr">
        <is>
          <t>entidad-dia</t>
        </is>
      </c>
    </row>
    <row r="6434">
      <c r="A6434" t="inlineStr">
        <is>
          <t>PRAGMA</t>
        </is>
      </c>
      <c r="B6434" t="inlineStr">
        <is>
          <t>M1</t>
        </is>
      </c>
      <c r="C6434" t="inlineStr">
        <is>
          <t>Cali</t>
        </is>
      </c>
      <c r="D6434" t="inlineStr">
        <is>
          <t>9970</t>
        </is>
      </c>
      <c r="E6434" t="inlineStr">
        <is>
          <t>pagado</t>
        </is>
      </c>
      <c r="F6434" s="23" t="n">
        <v>46277</v>
      </c>
      <c r="G6434" s="24">
        <f>F6434-DATE(2026,8,31)</f>
        <v>12</v>
      </c>
      <c r="H6434" s="25" t="n">
        <v>243881982</v>
      </c>
      <c r="I6434" t="inlineStr">
        <is>
          <t>entidad-dia</t>
        </is>
      </c>
    </row>
    <row r="6435">
      <c r="A6435" t="inlineStr">
        <is>
          <t>PRAGMA</t>
        </is>
      </c>
      <c r="B6435" t="inlineStr">
        <is>
          <t>M1</t>
        </is>
      </c>
      <c r="C6435" t="inlineStr">
        <is>
          <t>Cali</t>
        </is>
      </c>
      <c r="D6435" t="inlineStr">
        <is>
          <t>9970</t>
        </is>
      </c>
      <c r="E6435" t="inlineStr">
        <is>
          <t>pagado</t>
        </is>
      </c>
      <c r="F6435" s="23" t="n">
        <v>46278</v>
      </c>
      <c r="G6435" s="24">
        <f>F6435-DATE(2026,8,31)</f>
        <v>13</v>
      </c>
      <c r="H6435" s="25" t="n">
        <v>7189310</v>
      </c>
      <c r="I6435" t="inlineStr">
        <is>
          <t>entidad-dia</t>
        </is>
      </c>
    </row>
    <row r="6436">
      <c r="A6436" t="inlineStr">
        <is>
          <t>PRAGMA</t>
        </is>
      </c>
      <c r="B6436" t="inlineStr">
        <is>
          <t>M1</t>
        </is>
      </c>
      <c r="C6436" t="inlineStr">
        <is>
          <t>Cali</t>
        </is>
      </c>
      <c r="D6436" t="inlineStr">
        <is>
          <t>9970</t>
        </is>
      </c>
      <c r="E6436" t="inlineStr">
        <is>
          <t>pagado</t>
        </is>
      </c>
      <c r="F6436" s="23" t="n">
        <v>46279</v>
      </c>
      <c r="G6436" s="24">
        <f>F6436-DATE(2026,8,31)</f>
        <v>14</v>
      </c>
      <c r="H6436" s="25" t="n">
        <v>259493031</v>
      </c>
      <c r="I6436" t="inlineStr">
        <is>
          <t>entidad-dia</t>
        </is>
      </c>
    </row>
    <row r="6437">
      <c r="A6437" t="inlineStr">
        <is>
          <t>PRAGMA</t>
        </is>
      </c>
      <c r="B6437" t="inlineStr">
        <is>
          <t>M1</t>
        </is>
      </c>
      <c r="C6437" t="inlineStr">
        <is>
          <t>Cali</t>
        </is>
      </c>
      <c r="D6437" t="inlineStr">
        <is>
          <t>9970</t>
        </is>
      </c>
      <c r="E6437" t="inlineStr">
        <is>
          <t>pagado</t>
        </is>
      </c>
      <c r="F6437" s="23" t="n">
        <v>46280</v>
      </c>
      <c r="G6437" s="24">
        <f>F6437-DATE(2026,8,31)</f>
        <v>15</v>
      </c>
      <c r="H6437" s="25" t="n">
        <v>297322015</v>
      </c>
      <c r="I6437" t="inlineStr">
        <is>
          <t>entidad-dia</t>
        </is>
      </c>
    </row>
    <row r="6438">
      <c r="A6438" t="inlineStr">
        <is>
          <t>PRAGMA</t>
        </is>
      </c>
      <c r="B6438" t="inlineStr">
        <is>
          <t>M1</t>
        </is>
      </c>
      <c r="C6438" t="inlineStr">
        <is>
          <t>Cali</t>
        </is>
      </c>
      <c r="D6438" t="inlineStr">
        <is>
          <t>9976</t>
        </is>
      </c>
      <c r="E6438" t="inlineStr">
        <is>
          <t>pagado</t>
        </is>
      </c>
      <c r="F6438" s="23" t="n">
        <v>46266</v>
      </c>
      <c r="G6438" s="24">
        <f>F6438-DATE(2026,8,31)</f>
        <v>1</v>
      </c>
      <c r="H6438" s="25" t="n">
        <v>130326007</v>
      </c>
      <c r="I6438" t="inlineStr">
        <is>
          <t>entidad-dia</t>
        </is>
      </c>
    </row>
    <row r="6439">
      <c r="A6439" t="inlineStr">
        <is>
          <t>PRAGMA</t>
        </is>
      </c>
      <c r="B6439" t="inlineStr">
        <is>
          <t>M1</t>
        </is>
      </c>
      <c r="C6439" t="inlineStr">
        <is>
          <t>Cali</t>
        </is>
      </c>
      <c r="D6439" t="inlineStr">
        <is>
          <t>9976</t>
        </is>
      </c>
      <c r="E6439" t="inlineStr">
        <is>
          <t>pagado</t>
        </is>
      </c>
      <c r="F6439" s="23" t="n">
        <v>46267</v>
      </c>
      <c r="G6439" s="24">
        <f>F6439-DATE(2026,8,31)</f>
        <v>2</v>
      </c>
      <c r="H6439" s="25" t="n">
        <v>104723839</v>
      </c>
      <c r="I6439" t="inlineStr">
        <is>
          <t>entidad-dia</t>
        </is>
      </c>
    </row>
    <row r="6440">
      <c r="A6440" t="inlineStr">
        <is>
          <t>PRAGMA</t>
        </is>
      </c>
      <c r="B6440" t="inlineStr">
        <is>
          <t>M1</t>
        </is>
      </c>
      <c r="C6440" t="inlineStr">
        <is>
          <t>Cali</t>
        </is>
      </c>
      <c r="D6440" t="inlineStr">
        <is>
          <t>9976</t>
        </is>
      </c>
      <c r="E6440" t="inlineStr">
        <is>
          <t>pagado</t>
        </is>
      </c>
      <c r="F6440" s="23" t="n">
        <v>46268</v>
      </c>
      <c r="G6440" s="24">
        <f>F6440-DATE(2026,8,31)</f>
        <v>3</v>
      </c>
      <c r="H6440" s="25" t="n">
        <v>99161645</v>
      </c>
      <c r="I6440" t="inlineStr">
        <is>
          <t>entidad-dia</t>
        </is>
      </c>
    </row>
    <row r="6441">
      <c r="A6441" t="inlineStr">
        <is>
          <t>PRAGMA</t>
        </is>
      </c>
      <c r="B6441" t="inlineStr">
        <is>
          <t>M1</t>
        </is>
      </c>
      <c r="C6441" t="inlineStr">
        <is>
          <t>Cali</t>
        </is>
      </c>
      <c r="D6441" t="inlineStr">
        <is>
          <t>9976</t>
        </is>
      </c>
      <c r="E6441" t="inlineStr">
        <is>
          <t>pagado</t>
        </is>
      </c>
      <c r="F6441" s="23" t="n">
        <v>46269</v>
      </c>
      <c r="G6441" s="24">
        <f>F6441-DATE(2026,8,31)</f>
        <v>4</v>
      </c>
      <c r="H6441" s="25" t="n">
        <v>94096218</v>
      </c>
      <c r="I6441" t="inlineStr">
        <is>
          <t>entidad-dia</t>
        </is>
      </c>
    </row>
    <row r="6442">
      <c r="A6442" t="inlineStr">
        <is>
          <t>PRAGMA</t>
        </is>
      </c>
      <c r="B6442" t="inlineStr">
        <is>
          <t>M1</t>
        </is>
      </c>
      <c r="C6442" t="inlineStr">
        <is>
          <t>Cali</t>
        </is>
      </c>
      <c r="D6442" t="inlineStr">
        <is>
          <t>9976</t>
        </is>
      </c>
      <c r="E6442" t="inlineStr">
        <is>
          <t>pagado</t>
        </is>
      </c>
      <c r="F6442" s="23" t="n">
        <v>46270</v>
      </c>
      <c r="G6442" s="24">
        <f>F6442-DATE(2026,8,31)</f>
        <v>5</v>
      </c>
      <c r="H6442" s="25" t="n">
        <v>90824091</v>
      </c>
      <c r="I6442" t="inlineStr">
        <is>
          <t>entidad-dia</t>
        </is>
      </c>
    </row>
    <row r="6443">
      <c r="A6443" t="inlineStr">
        <is>
          <t>PRAGMA</t>
        </is>
      </c>
      <c r="B6443" t="inlineStr">
        <is>
          <t>M1</t>
        </is>
      </c>
      <c r="C6443" t="inlineStr">
        <is>
          <t>Cali</t>
        </is>
      </c>
      <c r="D6443" t="inlineStr">
        <is>
          <t>9976</t>
        </is>
      </c>
      <c r="E6443" t="inlineStr">
        <is>
          <t>pagado</t>
        </is>
      </c>
      <c r="F6443" s="23" t="n">
        <v>46271</v>
      </c>
      <c r="G6443" s="24">
        <f>F6443-DATE(2026,8,31)</f>
        <v>6</v>
      </c>
      <c r="H6443" s="25" t="n">
        <v>51413226</v>
      </c>
      <c r="I6443" t="inlineStr">
        <is>
          <t>entidad-dia</t>
        </is>
      </c>
    </row>
    <row r="6444">
      <c r="A6444" t="inlineStr">
        <is>
          <t>PRAGMA</t>
        </is>
      </c>
      <c r="B6444" t="inlineStr">
        <is>
          <t>M1</t>
        </is>
      </c>
      <c r="C6444" t="inlineStr">
        <is>
          <t>Cali</t>
        </is>
      </c>
      <c r="D6444" t="inlineStr">
        <is>
          <t>9976</t>
        </is>
      </c>
      <c r="E6444" t="inlineStr">
        <is>
          <t>pagado</t>
        </is>
      </c>
      <c r="F6444" s="23" t="n">
        <v>46272</v>
      </c>
      <c r="G6444" s="24">
        <f>F6444-DATE(2026,8,31)</f>
        <v>7</v>
      </c>
      <c r="H6444" s="25" t="n">
        <v>69115586</v>
      </c>
      <c r="I6444" t="inlineStr">
        <is>
          <t>entidad-dia</t>
        </is>
      </c>
    </row>
    <row r="6445">
      <c r="A6445" t="inlineStr">
        <is>
          <t>PRAGMA</t>
        </is>
      </c>
      <c r="B6445" t="inlineStr">
        <is>
          <t>M1</t>
        </is>
      </c>
      <c r="C6445" t="inlineStr">
        <is>
          <t>Cali</t>
        </is>
      </c>
      <c r="D6445" t="inlineStr">
        <is>
          <t>9976</t>
        </is>
      </c>
      <c r="E6445" t="inlineStr">
        <is>
          <t>pagado</t>
        </is>
      </c>
      <c r="F6445" s="23" t="n">
        <v>46273</v>
      </c>
      <c r="G6445" s="24">
        <f>F6445-DATE(2026,8,31)</f>
        <v>8</v>
      </c>
      <c r="H6445" s="25" t="n">
        <v>71657213</v>
      </c>
      <c r="I6445" t="inlineStr">
        <is>
          <t>entidad-dia</t>
        </is>
      </c>
    </row>
    <row r="6446">
      <c r="A6446" t="inlineStr">
        <is>
          <t>PRAGMA</t>
        </is>
      </c>
      <c r="B6446" t="inlineStr">
        <is>
          <t>M1</t>
        </is>
      </c>
      <c r="C6446" t="inlineStr">
        <is>
          <t>Cali</t>
        </is>
      </c>
      <c r="D6446" t="inlineStr">
        <is>
          <t>9976</t>
        </is>
      </c>
      <c r="E6446" t="inlineStr">
        <is>
          <t>pagado</t>
        </is>
      </c>
      <c r="F6446" s="23" t="n">
        <v>46274</v>
      </c>
      <c r="G6446" s="24">
        <f>F6446-DATE(2026,8,31)</f>
        <v>9</v>
      </c>
      <c r="H6446" s="25" t="n">
        <v>74415643</v>
      </c>
      <c r="I6446" t="inlineStr">
        <is>
          <t>entidad-dia</t>
        </is>
      </c>
    </row>
    <row r="6447">
      <c r="A6447" t="inlineStr">
        <is>
          <t>PRAGMA</t>
        </is>
      </c>
      <c r="B6447" t="inlineStr">
        <is>
          <t>M1</t>
        </is>
      </c>
      <c r="C6447" t="inlineStr">
        <is>
          <t>Cali</t>
        </is>
      </c>
      <c r="D6447" t="inlineStr">
        <is>
          <t>9976</t>
        </is>
      </c>
      <c r="E6447" t="inlineStr">
        <is>
          <t>pagado</t>
        </is>
      </c>
      <c r="F6447" s="23" t="n">
        <v>46275</v>
      </c>
      <c r="G6447" s="24">
        <f>F6447-DATE(2026,8,31)</f>
        <v>10</v>
      </c>
      <c r="H6447" s="25" t="n">
        <v>68600516</v>
      </c>
      <c r="I6447" t="inlineStr">
        <is>
          <t>entidad-dia</t>
        </is>
      </c>
    </row>
    <row r="6448">
      <c r="A6448" t="inlineStr">
        <is>
          <t>PRAGMA</t>
        </is>
      </c>
      <c r="B6448" t="inlineStr">
        <is>
          <t>M1</t>
        </is>
      </c>
      <c r="C6448" t="inlineStr">
        <is>
          <t>Cali</t>
        </is>
      </c>
      <c r="D6448" t="inlineStr">
        <is>
          <t>9976</t>
        </is>
      </c>
      <c r="E6448" t="inlineStr">
        <is>
          <t>pagado</t>
        </is>
      </c>
      <c r="F6448" s="23" t="n">
        <v>46276</v>
      </c>
      <c r="G6448" s="24">
        <f>F6448-DATE(2026,8,31)</f>
        <v>11</v>
      </c>
      <c r="H6448" s="25" t="n">
        <v>70694602</v>
      </c>
      <c r="I6448" t="inlineStr">
        <is>
          <t>entidad-dia</t>
        </is>
      </c>
    </row>
    <row r="6449">
      <c r="A6449" t="inlineStr">
        <is>
          <t>PRAGMA</t>
        </is>
      </c>
      <c r="B6449" t="inlineStr">
        <is>
          <t>M1</t>
        </is>
      </c>
      <c r="C6449" t="inlineStr">
        <is>
          <t>Cali</t>
        </is>
      </c>
      <c r="D6449" t="inlineStr">
        <is>
          <t>9976</t>
        </is>
      </c>
      <c r="E6449" t="inlineStr">
        <is>
          <t>pagado</t>
        </is>
      </c>
      <c r="F6449" s="23" t="n">
        <v>46277</v>
      </c>
      <c r="G6449" s="24">
        <f>F6449-DATE(2026,8,31)</f>
        <v>12</v>
      </c>
      <c r="H6449" s="25" t="n">
        <v>66689452</v>
      </c>
      <c r="I6449" t="inlineStr">
        <is>
          <t>entidad-dia</t>
        </is>
      </c>
    </row>
    <row r="6450">
      <c r="A6450" t="inlineStr">
        <is>
          <t>PRAGMA</t>
        </is>
      </c>
      <c r="B6450" t="inlineStr">
        <is>
          <t>M1</t>
        </is>
      </c>
      <c r="C6450" t="inlineStr">
        <is>
          <t>Cali</t>
        </is>
      </c>
      <c r="D6450" t="inlineStr">
        <is>
          <t>9976</t>
        </is>
      </c>
      <c r="E6450" t="inlineStr">
        <is>
          <t>pagado</t>
        </is>
      </c>
      <c r="F6450" s="23" t="n">
        <v>46278</v>
      </c>
      <c r="G6450" s="24">
        <f>F6450-DATE(2026,8,31)</f>
        <v>13</v>
      </c>
      <c r="H6450" s="25" t="n">
        <v>35905187</v>
      </c>
      <c r="I6450" t="inlineStr">
        <is>
          <t>entidad-dia</t>
        </is>
      </c>
    </row>
    <row r="6451">
      <c r="A6451" t="inlineStr">
        <is>
          <t>PRAGMA</t>
        </is>
      </c>
      <c r="B6451" t="inlineStr">
        <is>
          <t>M1</t>
        </is>
      </c>
      <c r="C6451" t="inlineStr">
        <is>
          <t>Cali</t>
        </is>
      </c>
      <c r="D6451" t="inlineStr">
        <is>
          <t>9976</t>
        </is>
      </c>
      <c r="E6451" t="inlineStr">
        <is>
          <t>pagado</t>
        </is>
      </c>
      <c r="F6451" s="23" t="n">
        <v>46279</v>
      </c>
      <c r="G6451" s="24">
        <f>F6451-DATE(2026,8,31)</f>
        <v>14</v>
      </c>
      <c r="H6451" s="25" t="n">
        <v>63117771</v>
      </c>
      <c r="I6451" t="inlineStr">
        <is>
          <t>entidad-dia</t>
        </is>
      </c>
    </row>
    <row r="6452">
      <c r="A6452" t="inlineStr">
        <is>
          <t>PRAGMA</t>
        </is>
      </c>
      <c r="B6452" t="inlineStr">
        <is>
          <t>M1</t>
        </is>
      </c>
      <c r="C6452" t="inlineStr">
        <is>
          <t>Cali</t>
        </is>
      </c>
      <c r="D6452" t="inlineStr">
        <is>
          <t>9976</t>
        </is>
      </c>
      <c r="E6452" t="inlineStr">
        <is>
          <t>pagado</t>
        </is>
      </c>
      <c r="F6452" s="23" t="n">
        <v>46280</v>
      </c>
      <c r="G6452" s="24">
        <f>F6452-DATE(2026,8,31)</f>
        <v>15</v>
      </c>
      <c r="H6452" s="25" t="n">
        <v>93466345</v>
      </c>
      <c r="I6452" t="inlineStr">
        <is>
          <t>entidad-dia</t>
        </is>
      </c>
    </row>
    <row r="6453">
      <c r="A6453" t="inlineStr">
        <is>
          <t>PRAGMA</t>
        </is>
      </c>
      <c r="B6453" t="inlineStr">
        <is>
          <t>M1</t>
        </is>
      </c>
      <c r="C6453" t="inlineStr">
        <is>
          <t>Cali</t>
        </is>
      </c>
      <c r="D6453" t="inlineStr">
        <is>
          <t>9977</t>
        </is>
      </c>
      <c r="E6453" t="inlineStr">
        <is>
          <t>pagado</t>
        </is>
      </c>
      <c r="F6453" s="23" t="n">
        <v>46266</v>
      </c>
      <c r="G6453" s="24">
        <f>F6453-DATE(2026,8,31)</f>
        <v>1</v>
      </c>
      <c r="H6453" s="25" t="n">
        <v>157898276</v>
      </c>
      <c r="I6453" t="inlineStr">
        <is>
          <t>entidad-dia</t>
        </is>
      </c>
    </row>
    <row r="6454">
      <c r="A6454" t="inlineStr">
        <is>
          <t>PRAGMA</t>
        </is>
      </c>
      <c r="B6454" t="inlineStr">
        <is>
          <t>M1</t>
        </is>
      </c>
      <c r="C6454" t="inlineStr">
        <is>
          <t>Cali</t>
        </is>
      </c>
      <c r="D6454" t="inlineStr">
        <is>
          <t>9977</t>
        </is>
      </c>
      <c r="E6454" t="inlineStr">
        <is>
          <t>pagado</t>
        </is>
      </c>
      <c r="F6454" s="23" t="n">
        <v>46267</v>
      </c>
      <c r="G6454" s="24">
        <f>F6454-DATE(2026,8,31)</f>
        <v>2</v>
      </c>
      <c r="H6454" s="25" t="n">
        <v>130625496</v>
      </c>
      <c r="I6454" t="inlineStr">
        <is>
          <t>entidad-dia</t>
        </is>
      </c>
    </row>
    <row r="6455">
      <c r="A6455" t="inlineStr">
        <is>
          <t>PRAGMA</t>
        </is>
      </c>
      <c r="B6455" t="inlineStr">
        <is>
          <t>M1</t>
        </is>
      </c>
      <c r="C6455" t="inlineStr">
        <is>
          <t>Cali</t>
        </is>
      </c>
      <c r="D6455" t="inlineStr">
        <is>
          <t>9977</t>
        </is>
      </c>
      <c r="E6455" t="inlineStr">
        <is>
          <t>pagado</t>
        </is>
      </c>
      <c r="F6455" s="23" t="n">
        <v>46268</v>
      </c>
      <c r="G6455" s="24">
        <f>F6455-DATE(2026,8,31)</f>
        <v>3</v>
      </c>
      <c r="H6455" s="25" t="n">
        <v>120594685</v>
      </c>
      <c r="I6455" t="inlineStr">
        <is>
          <t>entidad-dia</t>
        </is>
      </c>
    </row>
    <row r="6456">
      <c r="A6456" t="inlineStr">
        <is>
          <t>PRAGMA</t>
        </is>
      </c>
      <c r="B6456" t="inlineStr">
        <is>
          <t>M1</t>
        </is>
      </c>
      <c r="C6456" t="inlineStr">
        <is>
          <t>Cali</t>
        </is>
      </c>
      <c r="D6456" t="inlineStr">
        <is>
          <t>9977</t>
        </is>
      </c>
      <c r="E6456" t="inlineStr">
        <is>
          <t>pagado</t>
        </is>
      </c>
      <c r="F6456" s="23" t="n">
        <v>46269</v>
      </c>
      <c r="G6456" s="24">
        <f>F6456-DATE(2026,8,31)</f>
        <v>4</v>
      </c>
      <c r="H6456" s="25" t="n">
        <v>113635079</v>
      </c>
      <c r="I6456" t="inlineStr">
        <is>
          <t>entidad-dia</t>
        </is>
      </c>
    </row>
    <row r="6457">
      <c r="A6457" t="inlineStr">
        <is>
          <t>PRAGMA</t>
        </is>
      </c>
      <c r="B6457" t="inlineStr">
        <is>
          <t>M1</t>
        </is>
      </c>
      <c r="C6457" t="inlineStr">
        <is>
          <t>Cali</t>
        </is>
      </c>
      <c r="D6457" t="inlineStr">
        <is>
          <t>9977</t>
        </is>
      </c>
      <c r="E6457" t="inlineStr">
        <is>
          <t>pagado</t>
        </is>
      </c>
      <c r="F6457" s="23" t="n">
        <v>46270</v>
      </c>
      <c r="G6457" s="24">
        <f>F6457-DATE(2026,8,31)</f>
        <v>5</v>
      </c>
      <c r="H6457" s="25" t="n">
        <v>115789954</v>
      </c>
      <c r="I6457" t="inlineStr">
        <is>
          <t>entidad-dia</t>
        </is>
      </c>
    </row>
    <row r="6458">
      <c r="A6458" t="inlineStr">
        <is>
          <t>PRAGMA</t>
        </is>
      </c>
      <c r="B6458" t="inlineStr">
        <is>
          <t>M1</t>
        </is>
      </c>
      <c r="C6458" t="inlineStr">
        <is>
          <t>Cali</t>
        </is>
      </c>
      <c r="D6458" t="inlineStr">
        <is>
          <t>9977</t>
        </is>
      </c>
      <c r="E6458" t="inlineStr">
        <is>
          <t>pagado</t>
        </is>
      </c>
      <c r="F6458" s="23" t="n">
        <v>46271</v>
      </c>
      <c r="G6458" s="24">
        <f>F6458-DATE(2026,8,31)</f>
        <v>6</v>
      </c>
      <c r="H6458" s="25" t="n">
        <v>76896067</v>
      </c>
      <c r="I6458" t="inlineStr">
        <is>
          <t>entidad-dia</t>
        </is>
      </c>
    </row>
    <row r="6459">
      <c r="A6459" t="inlineStr">
        <is>
          <t>PRAGMA</t>
        </is>
      </c>
      <c r="B6459" t="inlineStr">
        <is>
          <t>M1</t>
        </is>
      </c>
      <c r="C6459" t="inlineStr">
        <is>
          <t>Cali</t>
        </is>
      </c>
      <c r="D6459" t="inlineStr">
        <is>
          <t>9977</t>
        </is>
      </c>
      <c r="E6459" t="inlineStr">
        <is>
          <t>pagado</t>
        </is>
      </c>
      <c r="F6459" s="23" t="n">
        <v>46272</v>
      </c>
      <c r="G6459" s="24">
        <f>F6459-DATE(2026,8,31)</f>
        <v>7</v>
      </c>
      <c r="H6459" s="25" t="n">
        <v>88115134</v>
      </c>
      <c r="I6459" t="inlineStr">
        <is>
          <t>entidad-dia</t>
        </is>
      </c>
    </row>
    <row r="6460">
      <c r="A6460" t="inlineStr">
        <is>
          <t>PRAGMA</t>
        </is>
      </c>
      <c r="B6460" t="inlineStr">
        <is>
          <t>M1</t>
        </is>
      </c>
      <c r="C6460" t="inlineStr">
        <is>
          <t>Cali</t>
        </is>
      </c>
      <c r="D6460" t="inlineStr">
        <is>
          <t>9977</t>
        </is>
      </c>
      <c r="E6460" t="inlineStr">
        <is>
          <t>pagado</t>
        </is>
      </c>
      <c r="F6460" s="23" t="n">
        <v>46273</v>
      </c>
      <c r="G6460" s="24">
        <f>F6460-DATE(2026,8,31)</f>
        <v>8</v>
      </c>
      <c r="H6460" s="25" t="n">
        <v>96566726</v>
      </c>
      <c r="I6460" t="inlineStr">
        <is>
          <t>entidad-dia</t>
        </is>
      </c>
    </row>
    <row r="6461">
      <c r="A6461" t="inlineStr">
        <is>
          <t>PRAGMA</t>
        </is>
      </c>
      <c r="B6461" t="inlineStr">
        <is>
          <t>M1</t>
        </is>
      </c>
      <c r="C6461" t="inlineStr">
        <is>
          <t>Cali</t>
        </is>
      </c>
      <c r="D6461" t="inlineStr">
        <is>
          <t>9977</t>
        </is>
      </c>
      <c r="E6461" t="inlineStr">
        <is>
          <t>pagado</t>
        </is>
      </c>
      <c r="F6461" s="23" t="n">
        <v>46274</v>
      </c>
      <c r="G6461" s="24">
        <f>F6461-DATE(2026,8,31)</f>
        <v>9</v>
      </c>
      <c r="H6461" s="25" t="n">
        <v>92349193</v>
      </c>
      <c r="I6461" t="inlineStr">
        <is>
          <t>entidad-dia</t>
        </is>
      </c>
    </row>
    <row r="6462">
      <c r="A6462" t="inlineStr">
        <is>
          <t>PRAGMA</t>
        </is>
      </c>
      <c r="B6462" t="inlineStr">
        <is>
          <t>M1</t>
        </is>
      </c>
      <c r="C6462" t="inlineStr">
        <is>
          <t>Cali</t>
        </is>
      </c>
      <c r="D6462" t="inlineStr">
        <is>
          <t>9977</t>
        </is>
      </c>
      <c r="E6462" t="inlineStr">
        <is>
          <t>pagado</t>
        </is>
      </c>
      <c r="F6462" s="23" t="n">
        <v>46275</v>
      </c>
      <c r="G6462" s="24">
        <f>F6462-DATE(2026,8,31)</f>
        <v>10</v>
      </c>
      <c r="H6462" s="25" t="n">
        <v>80520907</v>
      </c>
      <c r="I6462" t="inlineStr">
        <is>
          <t>entidad-dia</t>
        </is>
      </c>
    </row>
    <row r="6463">
      <c r="A6463" t="inlineStr">
        <is>
          <t>PRAGMA</t>
        </is>
      </c>
      <c r="B6463" t="inlineStr">
        <is>
          <t>M1</t>
        </is>
      </c>
      <c r="C6463" t="inlineStr">
        <is>
          <t>Cali</t>
        </is>
      </c>
      <c r="D6463" t="inlineStr">
        <is>
          <t>9977</t>
        </is>
      </c>
      <c r="E6463" t="inlineStr">
        <is>
          <t>pagado</t>
        </is>
      </c>
      <c r="F6463" s="23" t="n">
        <v>46276</v>
      </c>
      <c r="G6463" s="24">
        <f>F6463-DATE(2026,8,31)</f>
        <v>11</v>
      </c>
      <c r="H6463" s="25" t="n">
        <v>88240127</v>
      </c>
      <c r="I6463" t="inlineStr">
        <is>
          <t>entidad-dia</t>
        </is>
      </c>
    </row>
    <row r="6464">
      <c r="A6464" t="inlineStr">
        <is>
          <t>PRAGMA</t>
        </is>
      </c>
      <c r="B6464" t="inlineStr">
        <is>
          <t>M1</t>
        </is>
      </c>
      <c r="C6464" t="inlineStr">
        <is>
          <t>Cali</t>
        </is>
      </c>
      <c r="D6464" t="inlineStr">
        <is>
          <t>9977</t>
        </is>
      </c>
      <c r="E6464" t="inlineStr">
        <is>
          <t>pagado</t>
        </is>
      </c>
      <c r="F6464" s="23" t="n">
        <v>46277</v>
      </c>
      <c r="G6464" s="24">
        <f>F6464-DATE(2026,8,31)</f>
        <v>12</v>
      </c>
      <c r="H6464" s="25" t="n">
        <v>88453636</v>
      </c>
      <c r="I6464" t="inlineStr">
        <is>
          <t>entidad-dia</t>
        </is>
      </c>
    </row>
    <row r="6465">
      <c r="A6465" t="inlineStr">
        <is>
          <t>PRAGMA</t>
        </is>
      </c>
      <c r="B6465" t="inlineStr">
        <is>
          <t>M1</t>
        </is>
      </c>
      <c r="C6465" t="inlineStr">
        <is>
          <t>Cali</t>
        </is>
      </c>
      <c r="D6465" t="inlineStr">
        <is>
          <t>9977</t>
        </is>
      </c>
      <c r="E6465" t="inlineStr">
        <is>
          <t>pagado</t>
        </is>
      </c>
      <c r="F6465" s="23" t="n">
        <v>46278</v>
      </c>
      <c r="G6465" s="24">
        <f>F6465-DATE(2026,8,31)</f>
        <v>13</v>
      </c>
      <c r="H6465" s="25" t="n">
        <v>52012569</v>
      </c>
      <c r="I6465" t="inlineStr">
        <is>
          <t>entidad-dia</t>
        </is>
      </c>
    </row>
    <row r="6466">
      <c r="A6466" t="inlineStr">
        <is>
          <t>PRAGMA</t>
        </is>
      </c>
      <c r="B6466" t="inlineStr">
        <is>
          <t>M1</t>
        </is>
      </c>
      <c r="C6466" t="inlineStr">
        <is>
          <t>Cali</t>
        </is>
      </c>
      <c r="D6466" t="inlineStr">
        <is>
          <t>9977</t>
        </is>
      </c>
      <c r="E6466" t="inlineStr">
        <is>
          <t>pagado</t>
        </is>
      </c>
      <c r="F6466" s="23" t="n">
        <v>46279</v>
      </c>
      <c r="G6466" s="24">
        <f>F6466-DATE(2026,8,31)</f>
        <v>14</v>
      </c>
      <c r="H6466" s="25" t="n">
        <v>80117972</v>
      </c>
      <c r="I6466" t="inlineStr">
        <is>
          <t>entidad-dia</t>
        </is>
      </c>
    </row>
    <row r="6467">
      <c r="A6467" t="inlineStr">
        <is>
          <t>PRAGMA</t>
        </is>
      </c>
      <c r="B6467" t="inlineStr">
        <is>
          <t>M1</t>
        </is>
      </c>
      <c r="C6467" t="inlineStr">
        <is>
          <t>Cali</t>
        </is>
      </c>
      <c r="D6467" t="inlineStr">
        <is>
          <t>9977</t>
        </is>
      </c>
      <c r="E6467" t="inlineStr">
        <is>
          <t>pagado</t>
        </is>
      </c>
      <c r="F6467" s="23" t="n">
        <v>46280</v>
      </c>
      <c r="G6467" s="24">
        <f>F6467-DATE(2026,8,31)</f>
        <v>15</v>
      </c>
      <c r="H6467" s="25" t="n">
        <v>119153540</v>
      </c>
      <c r="I6467" t="inlineStr">
        <is>
          <t>entidad-dia</t>
        </is>
      </c>
    </row>
    <row r="6468">
      <c r="A6468" t="inlineStr">
        <is>
          <t>PRAGMA</t>
        </is>
      </c>
      <c r="B6468" t="inlineStr">
        <is>
          <t>M1</t>
        </is>
      </c>
      <c r="C6468" t="inlineStr">
        <is>
          <t>Cali</t>
        </is>
      </c>
      <c r="D6468" t="inlineStr">
        <is>
          <t>9978</t>
        </is>
      </c>
      <c r="E6468" t="inlineStr">
        <is>
          <t>pagado</t>
        </is>
      </c>
      <c r="F6468" s="23" t="n">
        <v>46266</v>
      </c>
      <c r="G6468" s="24">
        <f>F6468-DATE(2026,8,31)</f>
        <v>1</v>
      </c>
      <c r="H6468" s="25" t="n">
        <v>159938626</v>
      </c>
      <c r="I6468" t="inlineStr">
        <is>
          <t>entidad-dia</t>
        </is>
      </c>
    </row>
    <row r="6469">
      <c r="A6469" t="inlineStr">
        <is>
          <t>PRAGMA</t>
        </is>
      </c>
      <c r="B6469" t="inlineStr">
        <is>
          <t>M1</t>
        </is>
      </c>
      <c r="C6469" t="inlineStr">
        <is>
          <t>Cali</t>
        </is>
      </c>
      <c r="D6469" t="inlineStr">
        <is>
          <t>9978</t>
        </is>
      </c>
      <c r="E6469" t="inlineStr">
        <is>
          <t>pagado</t>
        </is>
      </c>
      <c r="F6469" s="23" t="n">
        <v>46267</v>
      </c>
      <c r="G6469" s="24">
        <f>F6469-DATE(2026,8,31)</f>
        <v>2</v>
      </c>
      <c r="H6469" s="25" t="n">
        <v>128088267</v>
      </c>
      <c r="I6469" t="inlineStr">
        <is>
          <t>entidad-dia</t>
        </is>
      </c>
    </row>
    <row r="6470">
      <c r="A6470" t="inlineStr">
        <is>
          <t>PRAGMA</t>
        </is>
      </c>
      <c r="B6470" t="inlineStr">
        <is>
          <t>M1</t>
        </is>
      </c>
      <c r="C6470" t="inlineStr">
        <is>
          <t>Cali</t>
        </is>
      </c>
      <c r="D6470" t="inlineStr">
        <is>
          <t>9978</t>
        </is>
      </c>
      <c r="E6470" t="inlineStr">
        <is>
          <t>pagado</t>
        </is>
      </c>
      <c r="F6470" s="23" t="n">
        <v>46268</v>
      </c>
      <c r="G6470" s="24">
        <f>F6470-DATE(2026,8,31)</f>
        <v>3</v>
      </c>
      <c r="H6470" s="25" t="n">
        <v>106237207</v>
      </c>
      <c r="I6470" t="inlineStr">
        <is>
          <t>entidad-dia</t>
        </is>
      </c>
    </row>
    <row r="6471">
      <c r="A6471" t="inlineStr">
        <is>
          <t>PRAGMA</t>
        </is>
      </c>
      <c r="B6471" t="inlineStr">
        <is>
          <t>M1</t>
        </is>
      </c>
      <c r="C6471" t="inlineStr">
        <is>
          <t>Cali</t>
        </is>
      </c>
      <c r="D6471" t="inlineStr">
        <is>
          <t>9978</t>
        </is>
      </c>
      <c r="E6471" t="inlineStr">
        <is>
          <t>pagado</t>
        </is>
      </c>
      <c r="F6471" s="23" t="n">
        <v>46269</v>
      </c>
      <c r="G6471" s="24">
        <f>F6471-DATE(2026,8,31)</f>
        <v>4</v>
      </c>
      <c r="H6471" s="25" t="n">
        <v>108130597</v>
      </c>
      <c r="I6471" t="inlineStr">
        <is>
          <t>entidad-dia</t>
        </is>
      </c>
    </row>
    <row r="6472">
      <c r="A6472" t="inlineStr">
        <is>
          <t>PRAGMA</t>
        </is>
      </c>
      <c r="B6472" t="inlineStr">
        <is>
          <t>M1</t>
        </is>
      </c>
      <c r="C6472" t="inlineStr">
        <is>
          <t>Cali</t>
        </is>
      </c>
      <c r="D6472" t="inlineStr">
        <is>
          <t>9978</t>
        </is>
      </c>
      <c r="E6472" t="inlineStr">
        <is>
          <t>pagado</t>
        </is>
      </c>
      <c r="F6472" s="23" t="n">
        <v>46270</v>
      </c>
      <c r="G6472" s="24">
        <f>F6472-DATE(2026,8,31)</f>
        <v>5</v>
      </c>
      <c r="H6472" s="25" t="n">
        <v>119478589</v>
      </c>
      <c r="I6472" t="inlineStr">
        <is>
          <t>entidad-dia</t>
        </is>
      </c>
    </row>
    <row r="6473">
      <c r="A6473" t="inlineStr">
        <is>
          <t>PRAGMA</t>
        </is>
      </c>
      <c r="B6473" t="inlineStr">
        <is>
          <t>M1</t>
        </is>
      </c>
      <c r="C6473" t="inlineStr">
        <is>
          <t>Cali</t>
        </is>
      </c>
      <c r="D6473" t="inlineStr">
        <is>
          <t>9978</t>
        </is>
      </c>
      <c r="E6473" t="inlineStr">
        <is>
          <t>pagado</t>
        </is>
      </c>
      <c r="F6473" s="23" t="n">
        <v>46271</v>
      </c>
      <c r="G6473" s="24">
        <f>F6473-DATE(2026,8,31)</f>
        <v>6</v>
      </c>
      <c r="H6473" s="25" t="n">
        <v>71985797</v>
      </c>
      <c r="I6473" t="inlineStr">
        <is>
          <t>entidad-dia</t>
        </is>
      </c>
    </row>
    <row r="6474">
      <c r="A6474" t="inlineStr">
        <is>
          <t>PRAGMA</t>
        </is>
      </c>
      <c r="B6474" t="inlineStr">
        <is>
          <t>M1</t>
        </is>
      </c>
      <c r="C6474" t="inlineStr">
        <is>
          <t>Cali</t>
        </is>
      </c>
      <c r="D6474" t="inlineStr">
        <is>
          <t>9978</t>
        </is>
      </c>
      <c r="E6474" t="inlineStr">
        <is>
          <t>pagado</t>
        </is>
      </c>
      <c r="F6474" s="23" t="n">
        <v>46272</v>
      </c>
      <c r="G6474" s="24">
        <f>F6474-DATE(2026,8,31)</f>
        <v>7</v>
      </c>
      <c r="H6474" s="25" t="n">
        <v>87082645</v>
      </c>
      <c r="I6474" t="inlineStr">
        <is>
          <t>entidad-dia</t>
        </is>
      </c>
    </row>
    <row r="6475">
      <c r="A6475" t="inlineStr">
        <is>
          <t>PRAGMA</t>
        </is>
      </c>
      <c r="B6475" t="inlineStr">
        <is>
          <t>M1</t>
        </is>
      </c>
      <c r="C6475" t="inlineStr">
        <is>
          <t>Cali</t>
        </is>
      </c>
      <c r="D6475" t="inlineStr">
        <is>
          <t>9978</t>
        </is>
      </c>
      <c r="E6475" t="inlineStr">
        <is>
          <t>pagado</t>
        </is>
      </c>
      <c r="F6475" s="23" t="n">
        <v>46273</v>
      </c>
      <c r="G6475" s="24">
        <f>F6475-DATE(2026,8,31)</f>
        <v>8</v>
      </c>
      <c r="H6475" s="25" t="n">
        <v>92061475</v>
      </c>
      <c r="I6475" t="inlineStr">
        <is>
          <t>entidad-dia</t>
        </is>
      </c>
    </row>
    <row r="6476">
      <c r="A6476" t="inlineStr">
        <is>
          <t>PRAGMA</t>
        </is>
      </c>
      <c r="B6476" t="inlineStr">
        <is>
          <t>M1</t>
        </is>
      </c>
      <c r="C6476" t="inlineStr">
        <is>
          <t>Cali</t>
        </is>
      </c>
      <c r="D6476" t="inlineStr">
        <is>
          <t>9978</t>
        </is>
      </c>
      <c r="E6476" t="inlineStr">
        <is>
          <t>pagado</t>
        </is>
      </c>
      <c r="F6476" s="23" t="n">
        <v>46274</v>
      </c>
      <c r="G6476" s="24">
        <f>F6476-DATE(2026,8,31)</f>
        <v>9</v>
      </c>
      <c r="H6476" s="25" t="n">
        <v>87571385</v>
      </c>
      <c r="I6476" t="inlineStr">
        <is>
          <t>entidad-dia</t>
        </is>
      </c>
    </row>
    <row r="6477">
      <c r="A6477" t="inlineStr">
        <is>
          <t>PRAGMA</t>
        </is>
      </c>
      <c r="B6477" t="inlineStr">
        <is>
          <t>M1</t>
        </is>
      </c>
      <c r="C6477" t="inlineStr">
        <is>
          <t>Cali</t>
        </is>
      </c>
      <c r="D6477" t="inlineStr">
        <is>
          <t>9978</t>
        </is>
      </c>
      <c r="E6477" t="inlineStr">
        <is>
          <t>pagado</t>
        </is>
      </c>
      <c r="F6477" s="23" t="n">
        <v>46275</v>
      </c>
      <c r="G6477" s="24">
        <f>F6477-DATE(2026,8,31)</f>
        <v>10</v>
      </c>
      <c r="H6477" s="25" t="n">
        <v>72372883</v>
      </c>
      <c r="I6477" t="inlineStr">
        <is>
          <t>entidad-dia</t>
        </is>
      </c>
    </row>
    <row r="6478">
      <c r="A6478" t="inlineStr">
        <is>
          <t>PRAGMA</t>
        </is>
      </c>
      <c r="B6478" t="inlineStr">
        <is>
          <t>M1</t>
        </is>
      </c>
      <c r="C6478" t="inlineStr">
        <is>
          <t>Cali</t>
        </is>
      </c>
      <c r="D6478" t="inlineStr">
        <is>
          <t>9978</t>
        </is>
      </c>
      <c r="E6478" t="inlineStr">
        <is>
          <t>pagado</t>
        </is>
      </c>
      <c r="F6478" s="23" t="n">
        <v>46276</v>
      </c>
      <c r="G6478" s="24">
        <f>F6478-DATE(2026,8,31)</f>
        <v>11</v>
      </c>
      <c r="H6478" s="25" t="n">
        <v>76801122</v>
      </c>
      <c r="I6478" t="inlineStr">
        <is>
          <t>entidad-dia</t>
        </is>
      </c>
    </row>
    <row r="6479">
      <c r="A6479" t="inlineStr">
        <is>
          <t>PRAGMA</t>
        </is>
      </c>
      <c r="B6479" t="inlineStr">
        <is>
          <t>M1</t>
        </is>
      </c>
      <c r="C6479" t="inlineStr">
        <is>
          <t>Cali</t>
        </is>
      </c>
      <c r="D6479" t="inlineStr">
        <is>
          <t>9978</t>
        </is>
      </c>
      <c r="E6479" t="inlineStr">
        <is>
          <t>pagado</t>
        </is>
      </c>
      <c r="F6479" s="23" t="n">
        <v>46277</v>
      </c>
      <c r="G6479" s="24">
        <f>F6479-DATE(2026,8,31)</f>
        <v>12</v>
      </c>
      <c r="H6479" s="25" t="n">
        <v>85751106</v>
      </c>
      <c r="I6479" t="inlineStr">
        <is>
          <t>entidad-dia</t>
        </is>
      </c>
    </row>
    <row r="6480">
      <c r="A6480" t="inlineStr">
        <is>
          <t>PRAGMA</t>
        </is>
      </c>
      <c r="B6480" t="inlineStr">
        <is>
          <t>M1</t>
        </is>
      </c>
      <c r="C6480" t="inlineStr">
        <is>
          <t>Cali</t>
        </is>
      </c>
      <c r="D6480" t="inlineStr">
        <is>
          <t>9978</t>
        </is>
      </c>
      <c r="E6480" t="inlineStr">
        <is>
          <t>pagado</t>
        </is>
      </c>
      <c r="F6480" s="23" t="n">
        <v>46278</v>
      </c>
      <c r="G6480" s="24">
        <f>F6480-DATE(2026,8,31)</f>
        <v>13</v>
      </c>
      <c r="H6480" s="25" t="n">
        <v>46731888</v>
      </c>
      <c r="I6480" t="inlineStr">
        <is>
          <t>entidad-dia</t>
        </is>
      </c>
    </row>
    <row r="6481">
      <c r="A6481" t="inlineStr">
        <is>
          <t>PRAGMA</t>
        </is>
      </c>
      <c r="B6481" t="inlineStr">
        <is>
          <t>M1</t>
        </is>
      </c>
      <c r="C6481" t="inlineStr">
        <is>
          <t>Cali</t>
        </is>
      </c>
      <c r="D6481" t="inlineStr">
        <is>
          <t>9978</t>
        </is>
      </c>
      <c r="E6481" t="inlineStr">
        <is>
          <t>pagado</t>
        </is>
      </c>
      <c r="F6481" s="23" t="n">
        <v>46279</v>
      </c>
      <c r="G6481" s="24">
        <f>F6481-DATE(2026,8,31)</f>
        <v>14</v>
      </c>
      <c r="H6481" s="25" t="n">
        <v>79568854</v>
      </c>
      <c r="I6481" t="inlineStr">
        <is>
          <t>entidad-dia</t>
        </is>
      </c>
    </row>
    <row r="6482">
      <c r="A6482" t="inlineStr">
        <is>
          <t>PRAGMA</t>
        </is>
      </c>
      <c r="B6482" t="inlineStr">
        <is>
          <t>M1</t>
        </is>
      </c>
      <c r="C6482" t="inlineStr">
        <is>
          <t>Cali</t>
        </is>
      </c>
      <c r="D6482" t="inlineStr">
        <is>
          <t>9978</t>
        </is>
      </c>
      <c r="E6482" t="inlineStr">
        <is>
          <t>pagado</t>
        </is>
      </c>
      <c r="F6482" s="23" t="n">
        <v>46280</v>
      </c>
      <c r="G6482" s="24">
        <f>F6482-DATE(2026,8,31)</f>
        <v>15</v>
      </c>
      <c r="H6482" s="25" t="n">
        <v>107248999</v>
      </c>
      <c r="I6482" t="inlineStr">
        <is>
          <t>entidad-dia</t>
        </is>
      </c>
    </row>
    <row r="6483">
      <c r="A6483" t="inlineStr">
        <is>
          <t>PRAGMA</t>
        </is>
      </c>
      <c r="B6483" t="inlineStr">
        <is>
          <t>M1</t>
        </is>
      </c>
      <c r="C6483" t="inlineStr">
        <is>
          <t>Cali</t>
        </is>
      </c>
      <c r="D6483" t="inlineStr">
        <is>
          <t>9979</t>
        </is>
      </c>
      <c r="E6483" t="inlineStr">
        <is>
          <t>pagado</t>
        </is>
      </c>
      <c r="F6483" s="23" t="n">
        <v>46266</v>
      </c>
      <c r="G6483" s="24">
        <f>F6483-DATE(2026,8,31)</f>
        <v>1</v>
      </c>
      <c r="H6483" s="25" t="n">
        <v>136097779</v>
      </c>
      <c r="I6483" t="inlineStr">
        <is>
          <t>entidad-dia</t>
        </is>
      </c>
    </row>
    <row r="6484">
      <c r="A6484" t="inlineStr">
        <is>
          <t>PRAGMA</t>
        </is>
      </c>
      <c r="B6484" t="inlineStr">
        <is>
          <t>M1</t>
        </is>
      </c>
      <c r="C6484" t="inlineStr">
        <is>
          <t>Cali</t>
        </is>
      </c>
      <c r="D6484" t="inlineStr">
        <is>
          <t>9979</t>
        </is>
      </c>
      <c r="E6484" t="inlineStr">
        <is>
          <t>pagado</t>
        </is>
      </c>
      <c r="F6484" s="23" t="n">
        <v>46267</v>
      </c>
      <c r="G6484" s="24">
        <f>F6484-DATE(2026,8,31)</f>
        <v>2</v>
      </c>
      <c r="H6484" s="25" t="n">
        <v>112700419</v>
      </c>
      <c r="I6484" t="inlineStr">
        <is>
          <t>entidad-dia</t>
        </is>
      </c>
    </row>
    <row r="6485">
      <c r="A6485" t="inlineStr">
        <is>
          <t>PRAGMA</t>
        </is>
      </c>
      <c r="B6485" t="inlineStr">
        <is>
          <t>M1</t>
        </is>
      </c>
      <c r="C6485" t="inlineStr">
        <is>
          <t>Cali</t>
        </is>
      </c>
      <c r="D6485" t="inlineStr">
        <is>
          <t>9979</t>
        </is>
      </c>
      <c r="E6485" t="inlineStr">
        <is>
          <t>pagado</t>
        </is>
      </c>
      <c r="F6485" s="23" t="n">
        <v>46268</v>
      </c>
      <c r="G6485" s="24">
        <f>F6485-DATE(2026,8,31)</f>
        <v>3</v>
      </c>
      <c r="H6485" s="25" t="n">
        <v>107991953</v>
      </c>
      <c r="I6485" t="inlineStr">
        <is>
          <t>entidad-dia</t>
        </is>
      </c>
    </row>
    <row r="6486">
      <c r="A6486" t="inlineStr">
        <is>
          <t>PRAGMA</t>
        </is>
      </c>
      <c r="B6486" t="inlineStr">
        <is>
          <t>M1</t>
        </is>
      </c>
      <c r="C6486" t="inlineStr">
        <is>
          <t>Cali</t>
        </is>
      </c>
      <c r="D6486" t="inlineStr">
        <is>
          <t>9979</t>
        </is>
      </c>
      <c r="E6486" t="inlineStr">
        <is>
          <t>pagado</t>
        </is>
      </c>
      <c r="F6486" s="23" t="n">
        <v>46269</v>
      </c>
      <c r="G6486" s="24">
        <f>F6486-DATE(2026,8,31)</f>
        <v>4</v>
      </c>
      <c r="H6486" s="25" t="n">
        <v>94650795</v>
      </c>
      <c r="I6486" t="inlineStr">
        <is>
          <t>entidad-dia</t>
        </is>
      </c>
    </row>
    <row r="6487">
      <c r="A6487" t="inlineStr">
        <is>
          <t>PRAGMA</t>
        </is>
      </c>
      <c r="B6487" t="inlineStr">
        <is>
          <t>M1</t>
        </is>
      </c>
      <c r="C6487" t="inlineStr">
        <is>
          <t>Cali</t>
        </is>
      </c>
      <c r="D6487" t="inlineStr">
        <is>
          <t>9979</t>
        </is>
      </c>
      <c r="E6487" t="inlineStr">
        <is>
          <t>pagado</t>
        </is>
      </c>
      <c r="F6487" s="23" t="n">
        <v>46270</v>
      </c>
      <c r="G6487" s="24">
        <f>F6487-DATE(2026,8,31)</f>
        <v>5</v>
      </c>
      <c r="H6487" s="25" t="n">
        <v>103416357</v>
      </c>
      <c r="I6487" t="inlineStr">
        <is>
          <t>entidad-dia</t>
        </is>
      </c>
    </row>
    <row r="6488">
      <c r="A6488" t="inlineStr">
        <is>
          <t>PRAGMA</t>
        </is>
      </c>
      <c r="B6488" t="inlineStr">
        <is>
          <t>M1</t>
        </is>
      </c>
      <c r="C6488" t="inlineStr">
        <is>
          <t>Cali</t>
        </is>
      </c>
      <c r="D6488" t="inlineStr">
        <is>
          <t>9979</t>
        </is>
      </c>
      <c r="E6488" t="inlineStr">
        <is>
          <t>pagado</t>
        </is>
      </c>
      <c r="F6488" s="23" t="n">
        <v>46271</v>
      </c>
      <c r="G6488" s="24">
        <f>F6488-DATE(2026,8,31)</f>
        <v>6</v>
      </c>
      <c r="H6488" s="25" t="n">
        <v>55785883</v>
      </c>
      <c r="I6488" t="inlineStr">
        <is>
          <t>entidad-dia</t>
        </is>
      </c>
    </row>
    <row r="6489">
      <c r="A6489" t="inlineStr">
        <is>
          <t>PRAGMA</t>
        </is>
      </c>
      <c r="B6489" t="inlineStr">
        <is>
          <t>M1</t>
        </is>
      </c>
      <c r="C6489" t="inlineStr">
        <is>
          <t>Cali</t>
        </is>
      </c>
      <c r="D6489" t="inlineStr">
        <is>
          <t>9979</t>
        </is>
      </c>
      <c r="E6489" t="inlineStr">
        <is>
          <t>pagado</t>
        </is>
      </c>
      <c r="F6489" s="23" t="n">
        <v>46272</v>
      </c>
      <c r="G6489" s="24">
        <f>F6489-DATE(2026,8,31)</f>
        <v>7</v>
      </c>
      <c r="H6489" s="25" t="n">
        <v>75285278</v>
      </c>
      <c r="I6489" t="inlineStr">
        <is>
          <t>entidad-dia</t>
        </is>
      </c>
    </row>
    <row r="6490">
      <c r="A6490" t="inlineStr">
        <is>
          <t>PRAGMA</t>
        </is>
      </c>
      <c r="B6490" t="inlineStr">
        <is>
          <t>M1</t>
        </is>
      </c>
      <c r="C6490" t="inlineStr">
        <is>
          <t>Cali</t>
        </is>
      </c>
      <c r="D6490" t="inlineStr">
        <is>
          <t>9979</t>
        </is>
      </c>
      <c r="E6490" t="inlineStr">
        <is>
          <t>pagado</t>
        </is>
      </c>
      <c r="F6490" s="23" t="n">
        <v>46273</v>
      </c>
      <c r="G6490" s="24">
        <f>F6490-DATE(2026,8,31)</f>
        <v>8</v>
      </c>
      <c r="H6490" s="25" t="n">
        <v>81270166</v>
      </c>
      <c r="I6490" t="inlineStr">
        <is>
          <t>entidad-dia</t>
        </is>
      </c>
    </row>
    <row r="6491">
      <c r="A6491" t="inlineStr">
        <is>
          <t>PRAGMA</t>
        </is>
      </c>
      <c r="B6491" t="inlineStr">
        <is>
          <t>M1</t>
        </is>
      </c>
      <c r="C6491" t="inlineStr">
        <is>
          <t>Cali</t>
        </is>
      </c>
      <c r="D6491" t="inlineStr">
        <is>
          <t>9979</t>
        </is>
      </c>
      <c r="E6491" t="inlineStr">
        <is>
          <t>pagado</t>
        </is>
      </c>
      <c r="F6491" s="23" t="n">
        <v>46274</v>
      </c>
      <c r="G6491" s="24">
        <f>F6491-DATE(2026,8,31)</f>
        <v>9</v>
      </c>
      <c r="H6491" s="25" t="n">
        <v>84839047</v>
      </c>
      <c r="I6491" t="inlineStr">
        <is>
          <t>entidad-dia</t>
        </is>
      </c>
    </row>
    <row r="6492">
      <c r="A6492" t="inlineStr">
        <is>
          <t>PRAGMA</t>
        </is>
      </c>
      <c r="B6492" t="inlineStr">
        <is>
          <t>M1</t>
        </is>
      </c>
      <c r="C6492" t="inlineStr">
        <is>
          <t>Cali</t>
        </is>
      </c>
      <c r="D6492" t="inlineStr">
        <is>
          <t>9979</t>
        </is>
      </c>
      <c r="E6492" t="inlineStr">
        <is>
          <t>pagado</t>
        </is>
      </c>
      <c r="F6492" s="23" t="n">
        <v>46275</v>
      </c>
      <c r="G6492" s="24">
        <f>F6492-DATE(2026,8,31)</f>
        <v>10</v>
      </c>
      <c r="H6492" s="25" t="n">
        <v>76589601</v>
      </c>
      <c r="I6492" t="inlineStr">
        <is>
          <t>entidad-dia</t>
        </is>
      </c>
    </row>
    <row r="6493">
      <c r="A6493" t="inlineStr">
        <is>
          <t>PRAGMA</t>
        </is>
      </c>
      <c r="B6493" t="inlineStr">
        <is>
          <t>M1</t>
        </is>
      </c>
      <c r="C6493" t="inlineStr">
        <is>
          <t>Cali</t>
        </is>
      </c>
      <c r="D6493" t="inlineStr">
        <is>
          <t>9979</t>
        </is>
      </c>
      <c r="E6493" t="inlineStr">
        <is>
          <t>pagado</t>
        </is>
      </c>
      <c r="F6493" s="23" t="n">
        <v>46276</v>
      </c>
      <c r="G6493" s="24">
        <f>F6493-DATE(2026,8,31)</f>
        <v>11</v>
      </c>
      <c r="H6493" s="25" t="n">
        <v>64328490</v>
      </c>
      <c r="I6493" t="inlineStr">
        <is>
          <t>entidad-dia</t>
        </is>
      </c>
    </row>
    <row r="6494">
      <c r="A6494" t="inlineStr">
        <is>
          <t>PRAGMA</t>
        </is>
      </c>
      <c r="B6494" t="inlineStr">
        <is>
          <t>M1</t>
        </is>
      </c>
      <c r="C6494" t="inlineStr">
        <is>
          <t>Cali</t>
        </is>
      </c>
      <c r="D6494" t="inlineStr">
        <is>
          <t>9979</t>
        </is>
      </c>
      <c r="E6494" t="inlineStr">
        <is>
          <t>pagado</t>
        </is>
      </c>
      <c r="F6494" s="23" t="n">
        <v>46277</v>
      </c>
      <c r="G6494" s="24">
        <f>F6494-DATE(2026,8,31)</f>
        <v>12</v>
      </c>
      <c r="H6494" s="25" t="n">
        <v>79455033</v>
      </c>
      <c r="I6494" t="inlineStr">
        <is>
          <t>entidad-dia</t>
        </is>
      </c>
    </row>
    <row r="6495">
      <c r="A6495" t="inlineStr">
        <is>
          <t>PRAGMA</t>
        </is>
      </c>
      <c r="B6495" t="inlineStr">
        <is>
          <t>M1</t>
        </is>
      </c>
      <c r="C6495" t="inlineStr">
        <is>
          <t>Cali</t>
        </is>
      </c>
      <c r="D6495" t="inlineStr">
        <is>
          <t>9979</t>
        </is>
      </c>
      <c r="E6495" t="inlineStr">
        <is>
          <t>pagado</t>
        </is>
      </c>
      <c r="F6495" s="23" t="n">
        <v>46278</v>
      </c>
      <c r="G6495" s="24">
        <f>F6495-DATE(2026,8,31)</f>
        <v>13</v>
      </c>
      <c r="H6495" s="25" t="n">
        <v>40288719</v>
      </c>
      <c r="I6495" t="inlineStr">
        <is>
          <t>entidad-dia</t>
        </is>
      </c>
    </row>
    <row r="6496">
      <c r="A6496" t="inlineStr">
        <is>
          <t>PRAGMA</t>
        </is>
      </c>
      <c r="B6496" t="inlineStr">
        <is>
          <t>M1</t>
        </is>
      </c>
      <c r="C6496" t="inlineStr">
        <is>
          <t>Cali</t>
        </is>
      </c>
      <c r="D6496" t="inlineStr">
        <is>
          <t>9979</t>
        </is>
      </c>
      <c r="E6496" t="inlineStr">
        <is>
          <t>pagado</t>
        </is>
      </c>
      <c r="F6496" s="23" t="n">
        <v>46279</v>
      </c>
      <c r="G6496" s="24">
        <f>F6496-DATE(2026,8,31)</f>
        <v>14</v>
      </c>
      <c r="H6496" s="25" t="n">
        <v>70008949</v>
      </c>
      <c r="I6496" t="inlineStr">
        <is>
          <t>entidad-dia</t>
        </is>
      </c>
    </row>
    <row r="6497">
      <c r="A6497" t="inlineStr">
        <is>
          <t>PRAGMA</t>
        </is>
      </c>
      <c r="B6497" t="inlineStr">
        <is>
          <t>M1</t>
        </is>
      </c>
      <c r="C6497" t="inlineStr">
        <is>
          <t>Cali</t>
        </is>
      </c>
      <c r="D6497" t="inlineStr">
        <is>
          <t>9979</t>
        </is>
      </c>
      <c r="E6497" t="inlineStr">
        <is>
          <t>pagado</t>
        </is>
      </c>
      <c r="F6497" s="23" t="n">
        <v>46280</v>
      </c>
      <c r="G6497" s="24">
        <f>F6497-DATE(2026,8,31)</f>
        <v>15</v>
      </c>
      <c r="H6497" s="25" t="n">
        <v>107314119</v>
      </c>
      <c r="I6497" t="inlineStr">
        <is>
          <t>entidad-dia</t>
        </is>
      </c>
    </row>
    <row r="6498">
      <c r="A6498" t="inlineStr">
        <is>
          <t>PRAGMA</t>
        </is>
      </c>
      <c r="B6498" t="inlineStr">
        <is>
          <t>M1</t>
        </is>
      </c>
      <c r="C6498" t="inlineStr">
        <is>
          <t>Cali</t>
        </is>
      </c>
      <c r="D6498" t="inlineStr">
        <is>
          <t>9980</t>
        </is>
      </c>
      <c r="E6498" t="inlineStr">
        <is>
          <t>pagado</t>
        </is>
      </c>
      <c r="F6498" s="23" t="n">
        <v>46266</v>
      </c>
      <c r="G6498" s="24">
        <f>F6498-DATE(2026,8,31)</f>
        <v>1</v>
      </c>
      <c r="H6498" s="25" t="n">
        <v>125792382</v>
      </c>
      <c r="I6498" t="inlineStr">
        <is>
          <t>entidad-dia</t>
        </is>
      </c>
    </row>
    <row r="6499">
      <c r="A6499" t="inlineStr">
        <is>
          <t>PRAGMA</t>
        </is>
      </c>
      <c r="B6499" t="inlineStr">
        <is>
          <t>M1</t>
        </is>
      </c>
      <c r="C6499" t="inlineStr">
        <is>
          <t>Cali</t>
        </is>
      </c>
      <c r="D6499" t="inlineStr">
        <is>
          <t>9980</t>
        </is>
      </c>
      <c r="E6499" t="inlineStr">
        <is>
          <t>pagado</t>
        </is>
      </c>
      <c r="F6499" s="23" t="n">
        <v>46267</v>
      </c>
      <c r="G6499" s="24">
        <f>F6499-DATE(2026,8,31)</f>
        <v>2</v>
      </c>
      <c r="H6499" s="25" t="n">
        <v>103990206</v>
      </c>
      <c r="I6499" t="inlineStr">
        <is>
          <t>entidad-dia</t>
        </is>
      </c>
    </row>
    <row r="6500">
      <c r="A6500" t="inlineStr">
        <is>
          <t>PRAGMA</t>
        </is>
      </c>
      <c r="B6500" t="inlineStr">
        <is>
          <t>M1</t>
        </is>
      </c>
      <c r="C6500" t="inlineStr">
        <is>
          <t>Cali</t>
        </is>
      </c>
      <c r="D6500" t="inlineStr">
        <is>
          <t>9980</t>
        </is>
      </c>
      <c r="E6500" t="inlineStr">
        <is>
          <t>pagado</t>
        </is>
      </c>
      <c r="F6500" s="23" t="n">
        <v>46268</v>
      </c>
      <c r="G6500" s="24">
        <f>F6500-DATE(2026,8,31)</f>
        <v>3</v>
      </c>
      <c r="H6500" s="25" t="n">
        <v>86868404</v>
      </c>
      <c r="I6500" t="inlineStr">
        <is>
          <t>entidad-dia</t>
        </is>
      </c>
    </row>
    <row r="6501">
      <c r="A6501" t="inlineStr">
        <is>
          <t>PRAGMA</t>
        </is>
      </c>
      <c r="B6501" t="inlineStr">
        <is>
          <t>M1</t>
        </is>
      </c>
      <c r="C6501" t="inlineStr">
        <is>
          <t>Cali</t>
        </is>
      </c>
      <c r="D6501" t="inlineStr">
        <is>
          <t>9980</t>
        </is>
      </c>
      <c r="E6501" t="inlineStr">
        <is>
          <t>pagado</t>
        </is>
      </c>
      <c r="F6501" s="23" t="n">
        <v>46269</v>
      </c>
      <c r="G6501" s="24">
        <f>F6501-DATE(2026,8,31)</f>
        <v>4</v>
      </c>
      <c r="H6501" s="25" t="n">
        <v>85585804</v>
      </c>
      <c r="I6501" t="inlineStr">
        <is>
          <t>entidad-dia</t>
        </is>
      </c>
    </row>
    <row r="6502">
      <c r="A6502" t="inlineStr">
        <is>
          <t>PRAGMA</t>
        </is>
      </c>
      <c r="B6502" t="inlineStr">
        <is>
          <t>M1</t>
        </is>
      </c>
      <c r="C6502" t="inlineStr">
        <is>
          <t>Cali</t>
        </is>
      </c>
      <c r="D6502" t="inlineStr">
        <is>
          <t>9980</t>
        </is>
      </c>
      <c r="E6502" t="inlineStr">
        <is>
          <t>pagado</t>
        </is>
      </c>
      <c r="F6502" s="23" t="n">
        <v>46270</v>
      </c>
      <c r="G6502" s="24">
        <f>F6502-DATE(2026,8,31)</f>
        <v>5</v>
      </c>
      <c r="H6502" s="25" t="n">
        <v>77682385</v>
      </c>
      <c r="I6502" t="inlineStr">
        <is>
          <t>entidad-dia</t>
        </is>
      </c>
    </row>
    <row r="6503">
      <c r="A6503" t="inlineStr">
        <is>
          <t>PRAGMA</t>
        </is>
      </c>
      <c r="B6503" t="inlineStr">
        <is>
          <t>M1</t>
        </is>
      </c>
      <c r="C6503" t="inlineStr">
        <is>
          <t>Cali</t>
        </is>
      </c>
      <c r="D6503" t="inlineStr">
        <is>
          <t>9980</t>
        </is>
      </c>
      <c r="E6503" t="inlineStr">
        <is>
          <t>pagado</t>
        </is>
      </c>
      <c r="F6503" s="23" t="n">
        <v>46271</v>
      </c>
      <c r="G6503" s="24">
        <f>F6503-DATE(2026,8,31)</f>
        <v>6</v>
      </c>
      <c r="H6503" s="25" t="n">
        <v>39601227</v>
      </c>
      <c r="I6503" t="inlineStr">
        <is>
          <t>entidad-dia</t>
        </is>
      </c>
    </row>
    <row r="6504">
      <c r="A6504" t="inlineStr">
        <is>
          <t>PRAGMA</t>
        </is>
      </c>
      <c r="B6504" t="inlineStr">
        <is>
          <t>M1</t>
        </is>
      </c>
      <c r="C6504" t="inlineStr">
        <is>
          <t>Cali</t>
        </is>
      </c>
      <c r="D6504" t="inlineStr">
        <is>
          <t>9980</t>
        </is>
      </c>
      <c r="E6504" t="inlineStr">
        <is>
          <t>pagado</t>
        </is>
      </c>
      <c r="F6504" s="23" t="n">
        <v>46272</v>
      </c>
      <c r="G6504" s="24">
        <f>F6504-DATE(2026,8,31)</f>
        <v>7</v>
      </c>
      <c r="H6504" s="25" t="n">
        <v>69445225</v>
      </c>
      <c r="I6504" t="inlineStr">
        <is>
          <t>entidad-dia</t>
        </is>
      </c>
    </row>
    <row r="6505">
      <c r="A6505" t="inlineStr">
        <is>
          <t>PRAGMA</t>
        </is>
      </c>
      <c r="B6505" t="inlineStr">
        <is>
          <t>M1</t>
        </is>
      </c>
      <c r="C6505" t="inlineStr">
        <is>
          <t>Cali</t>
        </is>
      </c>
      <c r="D6505" t="inlineStr">
        <is>
          <t>9980</t>
        </is>
      </c>
      <c r="E6505" t="inlineStr">
        <is>
          <t>pagado</t>
        </is>
      </c>
      <c r="F6505" s="23" t="n">
        <v>46273</v>
      </c>
      <c r="G6505" s="24">
        <f>F6505-DATE(2026,8,31)</f>
        <v>8</v>
      </c>
      <c r="H6505" s="25" t="n">
        <v>72814381</v>
      </c>
      <c r="I6505" t="inlineStr">
        <is>
          <t>entidad-dia</t>
        </is>
      </c>
    </row>
    <row r="6506">
      <c r="A6506" t="inlineStr">
        <is>
          <t>PRAGMA</t>
        </is>
      </c>
      <c r="B6506" t="inlineStr">
        <is>
          <t>M1</t>
        </is>
      </c>
      <c r="C6506" t="inlineStr">
        <is>
          <t>Cali</t>
        </is>
      </c>
      <c r="D6506" t="inlineStr">
        <is>
          <t>9980</t>
        </is>
      </c>
      <c r="E6506" t="inlineStr">
        <is>
          <t>pagado</t>
        </is>
      </c>
      <c r="F6506" s="23" t="n">
        <v>46274</v>
      </c>
      <c r="G6506" s="24">
        <f>F6506-DATE(2026,8,31)</f>
        <v>9</v>
      </c>
      <c r="H6506" s="25" t="n">
        <v>66522898</v>
      </c>
      <c r="I6506" t="inlineStr">
        <is>
          <t>entidad-dia</t>
        </is>
      </c>
    </row>
    <row r="6507">
      <c r="A6507" t="inlineStr">
        <is>
          <t>PRAGMA</t>
        </is>
      </c>
      <c r="B6507" t="inlineStr">
        <is>
          <t>M1</t>
        </is>
      </c>
      <c r="C6507" t="inlineStr">
        <is>
          <t>Cali</t>
        </is>
      </c>
      <c r="D6507" t="inlineStr">
        <is>
          <t>9980</t>
        </is>
      </c>
      <c r="E6507" t="inlineStr">
        <is>
          <t>pagado</t>
        </is>
      </c>
      <c r="F6507" s="23" t="n">
        <v>46275</v>
      </c>
      <c r="G6507" s="24">
        <f>F6507-DATE(2026,8,31)</f>
        <v>10</v>
      </c>
      <c r="H6507" s="25" t="n">
        <v>58034218</v>
      </c>
      <c r="I6507" t="inlineStr">
        <is>
          <t>entidad-dia</t>
        </is>
      </c>
    </row>
    <row r="6508">
      <c r="A6508" t="inlineStr">
        <is>
          <t>PRAGMA</t>
        </is>
      </c>
      <c r="B6508" t="inlineStr">
        <is>
          <t>M1</t>
        </is>
      </c>
      <c r="C6508" t="inlineStr">
        <is>
          <t>Cali</t>
        </is>
      </c>
      <c r="D6508" t="inlineStr">
        <is>
          <t>9980</t>
        </is>
      </c>
      <c r="E6508" t="inlineStr">
        <is>
          <t>pagado</t>
        </is>
      </c>
      <c r="F6508" s="23" t="n">
        <v>46276</v>
      </c>
      <c r="G6508" s="24">
        <f>F6508-DATE(2026,8,31)</f>
        <v>11</v>
      </c>
      <c r="H6508" s="25" t="n">
        <v>68272895</v>
      </c>
      <c r="I6508" t="inlineStr">
        <is>
          <t>entidad-dia</t>
        </is>
      </c>
    </row>
    <row r="6509">
      <c r="A6509" t="inlineStr">
        <is>
          <t>PRAGMA</t>
        </is>
      </c>
      <c r="B6509" t="inlineStr">
        <is>
          <t>M1</t>
        </is>
      </c>
      <c r="C6509" t="inlineStr">
        <is>
          <t>Cali</t>
        </is>
      </c>
      <c r="D6509" t="inlineStr">
        <is>
          <t>9980</t>
        </is>
      </c>
      <c r="E6509" t="inlineStr">
        <is>
          <t>pagado</t>
        </is>
      </c>
      <c r="F6509" s="23" t="n">
        <v>46277</v>
      </c>
      <c r="G6509" s="24">
        <f>F6509-DATE(2026,8,31)</f>
        <v>12</v>
      </c>
      <c r="H6509" s="25" t="n">
        <v>56364298</v>
      </c>
      <c r="I6509" t="inlineStr">
        <is>
          <t>entidad-dia</t>
        </is>
      </c>
    </row>
    <row r="6510">
      <c r="A6510" t="inlineStr">
        <is>
          <t>PRAGMA</t>
        </is>
      </c>
      <c r="B6510" t="inlineStr">
        <is>
          <t>M1</t>
        </is>
      </c>
      <c r="C6510" t="inlineStr">
        <is>
          <t>Cali</t>
        </is>
      </c>
      <c r="D6510" t="inlineStr">
        <is>
          <t>9980</t>
        </is>
      </c>
      <c r="E6510" t="inlineStr">
        <is>
          <t>pagado</t>
        </is>
      </c>
      <c r="F6510" s="23" t="n">
        <v>46278</v>
      </c>
      <c r="G6510" s="24">
        <f>F6510-DATE(2026,8,31)</f>
        <v>13</v>
      </c>
      <c r="H6510" s="25" t="n">
        <v>30329981</v>
      </c>
      <c r="I6510" t="inlineStr">
        <is>
          <t>entidad-dia</t>
        </is>
      </c>
    </row>
    <row r="6511">
      <c r="A6511" t="inlineStr">
        <is>
          <t>PRAGMA</t>
        </is>
      </c>
      <c r="B6511" t="inlineStr">
        <is>
          <t>M1</t>
        </is>
      </c>
      <c r="C6511" t="inlineStr">
        <is>
          <t>Cali</t>
        </is>
      </c>
      <c r="D6511" t="inlineStr">
        <is>
          <t>9980</t>
        </is>
      </c>
      <c r="E6511" t="inlineStr">
        <is>
          <t>pagado</t>
        </is>
      </c>
      <c r="F6511" s="23" t="n">
        <v>46279</v>
      </c>
      <c r="G6511" s="24">
        <f>F6511-DATE(2026,8,31)</f>
        <v>14</v>
      </c>
      <c r="H6511" s="25" t="n">
        <v>65438059</v>
      </c>
      <c r="I6511" t="inlineStr">
        <is>
          <t>entidad-dia</t>
        </is>
      </c>
    </row>
    <row r="6512">
      <c r="A6512" t="inlineStr">
        <is>
          <t>PRAGMA</t>
        </is>
      </c>
      <c r="B6512" t="inlineStr">
        <is>
          <t>M1</t>
        </is>
      </c>
      <c r="C6512" t="inlineStr">
        <is>
          <t>Cali</t>
        </is>
      </c>
      <c r="D6512" t="inlineStr">
        <is>
          <t>9980</t>
        </is>
      </c>
      <c r="E6512" t="inlineStr">
        <is>
          <t>pagado</t>
        </is>
      </c>
      <c r="F6512" s="23" t="n">
        <v>46280</v>
      </c>
      <c r="G6512" s="24">
        <f>F6512-DATE(2026,8,31)</f>
        <v>15</v>
      </c>
      <c r="H6512" s="25" t="n">
        <v>93492390</v>
      </c>
      <c r="I6512" t="inlineStr">
        <is>
          <t>entidad-dia</t>
        </is>
      </c>
    </row>
    <row r="6513">
      <c r="A6513" t="inlineStr">
        <is>
          <t>PRAGMA</t>
        </is>
      </c>
      <c r="B6513" t="inlineStr">
        <is>
          <t>M1</t>
        </is>
      </c>
      <c r="C6513" t="inlineStr">
        <is>
          <t>Cali</t>
        </is>
      </c>
      <c r="D6513" t="inlineStr">
        <is>
          <t>9981</t>
        </is>
      </c>
      <c r="E6513" t="inlineStr">
        <is>
          <t>pagado</t>
        </is>
      </c>
      <c r="F6513" s="23" t="n">
        <v>46266</v>
      </c>
      <c r="G6513" s="24">
        <f>F6513-DATE(2026,8,31)</f>
        <v>1</v>
      </c>
      <c r="H6513" s="25" t="n">
        <v>95775301</v>
      </c>
      <c r="I6513" t="inlineStr">
        <is>
          <t>entidad-dia</t>
        </is>
      </c>
    </row>
    <row r="6514">
      <c r="A6514" t="inlineStr">
        <is>
          <t>PRAGMA</t>
        </is>
      </c>
      <c r="B6514" t="inlineStr">
        <is>
          <t>M1</t>
        </is>
      </c>
      <c r="C6514" t="inlineStr">
        <is>
          <t>Cali</t>
        </is>
      </c>
      <c r="D6514" t="inlineStr">
        <is>
          <t>9981</t>
        </is>
      </c>
      <c r="E6514" t="inlineStr">
        <is>
          <t>pagado</t>
        </is>
      </c>
      <c r="F6514" s="23" t="n">
        <v>46267</v>
      </c>
      <c r="G6514" s="24">
        <f>F6514-DATE(2026,8,31)</f>
        <v>2</v>
      </c>
      <c r="H6514" s="25" t="n">
        <v>59600188</v>
      </c>
      <c r="I6514" t="inlineStr">
        <is>
          <t>entidad-dia</t>
        </is>
      </c>
    </row>
    <row r="6515">
      <c r="A6515" t="inlineStr">
        <is>
          <t>PRAGMA</t>
        </is>
      </c>
      <c r="B6515" t="inlineStr">
        <is>
          <t>M1</t>
        </is>
      </c>
      <c r="C6515" t="inlineStr">
        <is>
          <t>Cali</t>
        </is>
      </c>
      <c r="D6515" t="inlineStr">
        <is>
          <t>9981</t>
        </is>
      </c>
      <c r="E6515" t="inlineStr">
        <is>
          <t>pagado</t>
        </is>
      </c>
      <c r="F6515" s="23" t="n">
        <v>46268</v>
      </c>
      <c r="G6515" s="24">
        <f>F6515-DATE(2026,8,31)</f>
        <v>3</v>
      </c>
      <c r="H6515" s="25" t="n">
        <v>52951466</v>
      </c>
      <c r="I6515" t="inlineStr">
        <is>
          <t>entidad-dia</t>
        </is>
      </c>
    </row>
    <row r="6516">
      <c r="A6516" t="inlineStr">
        <is>
          <t>PRAGMA</t>
        </is>
      </c>
      <c r="B6516" t="inlineStr">
        <is>
          <t>M1</t>
        </is>
      </c>
      <c r="C6516" t="inlineStr">
        <is>
          <t>Cali</t>
        </is>
      </c>
      <c r="D6516" t="inlineStr">
        <is>
          <t>9981</t>
        </is>
      </c>
      <c r="E6516" t="inlineStr">
        <is>
          <t>pagado</t>
        </is>
      </c>
      <c r="F6516" s="23" t="n">
        <v>46269</v>
      </c>
      <c r="G6516" s="24">
        <f>F6516-DATE(2026,8,31)</f>
        <v>4</v>
      </c>
      <c r="H6516" s="25" t="n">
        <v>60199360</v>
      </c>
      <c r="I6516" t="inlineStr">
        <is>
          <t>entidad-dia</t>
        </is>
      </c>
    </row>
    <row r="6517">
      <c r="A6517" t="inlineStr">
        <is>
          <t>PRAGMA</t>
        </is>
      </c>
      <c r="B6517" t="inlineStr">
        <is>
          <t>M1</t>
        </is>
      </c>
      <c r="C6517" t="inlineStr">
        <is>
          <t>Cali</t>
        </is>
      </c>
      <c r="D6517" t="inlineStr">
        <is>
          <t>9981</t>
        </is>
      </c>
      <c r="E6517" t="inlineStr">
        <is>
          <t>pagado</t>
        </is>
      </c>
      <c r="F6517" s="23" t="n">
        <v>46270</v>
      </c>
      <c r="G6517" s="24">
        <f>F6517-DATE(2026,8,31)</f>
        <v>5</v>
      </c>
      <c r="H6517" s="25" t="n">
        <v>49715789</v>
      </c>
      <c r="I6517" t="inlineStr">
        <is>
          <t>entidad-dia</t>
        </is>
      </c>
    </row>
    <row r="6518">
      <c r="A6518" t="inlineStr">
        <is>
          <t>PRAGMA</t>
        </is>
      </c>
      <c r="B6518" t="inlineStr">
        <is>
          <t>M1</t>
        </is>
      </c>
      <c r="C6518" t="inlineStr">
        <is>
          <t>Cali</t>
        </is>
      </c>
      <c r="D6518" t="inlineStr">
        <is>
          <t>9981</t>
        </is>
      </c>
      <c r="E6518" t="inlineStr">
        <is>
          <t>pagado</t>
        </is>
      </c>
      <c r="F6518" s="23" t="n">
        <v>46271</v>
      </c>
      <c r="G6518" s="24">
        <f>F6518-DATE(2026,8,31)</f>
        <v>6</v>
      </c>
      <c r="H6518" s="25" t="n">
        <v>25245317</v>
      </c>
      <c r="I6518" t="inlineStr">
        <is>
          <t>entidad-dia</t>
        </is>
      </c>
    </row>
    <row r="6519">
      <c r="A6519" t="inlineStr">
        <is>
          <t>PRAGMA</t>
        </is>
      </c>
      <c r="B6519" t="inlineStr">
        <is>
          <t>M1</t>
        </is>
      </c>
      <c r="C6519" t="inlineStr">
        <is>
          <t>Cali</t>
        </is>
      </c>
      <c r="D6519" t="inlineStr">
        <is>
          <t>9981</t>
        </is>
      </c>
      <c r="E6519" t="inlineStr">
        <is>
          <t>pagado</t>
        </is>
      </c>
      <c r="F6519" s="23" t="n">
        <v>46272</v>
      </c>
      <c r="G6519" s="24">
        <f>F6519-DATE(2026,8,31)</f>
        <v>7</v>
      </c>
      <c r="H6519" s="25" t="n">
        <v>43869533</v>
      </c>
      <c r="I6519" t="inlineStr">
        <is>
          <t>entidad-dia</t>
        </is>
      </c>
    </row>
    <row r="6520">
      <c r="A6520" t="inlineStr">
        <is>
          <t>PRAGMA</t>
        </is>
      </c>
      <c r="B6520" t="inlineStr">
        <is>
          <t>M1</t>
        </is>
      </c>
      <c r="C6520" t="inlineStr">
        <is>
          <t>Cali</t>
        </is>
      </c>
      <c r="D6520" t="inlineStr">
        <is>
          <t>9981</t>
        </is>
      </c>
      <c r="E6520" t="inlineStr">
        <is>
          <t>pagado</t>
        </is>
      </c>
      <c r="F6520" s="23" t="n">
        <v>46273</v>
      </c>
      <c r="G6520" s="24">
        <f>F6520-DATE(2026,8,31)</f>
        <v>8</v>
      </c>
      <c r="H6520" s="25" t="n">
        <v>39538138</v>
      </c>
      <c r="I6520" t="inlineStr">
        <is>
          <t>entidad-dia</t>
        </is>
      </c>
    </row>
    <row r="6521">
      <c r="A6521" t="inlineStr">
        <is>
          <t>PRAGMA</t>
        </is>
      </c>
      <c r="B6521" t="inlineStr">
        <is>
          <t>M1</t>
        </is>
      </c>
      <c r="C6521" t="inlineStr">
        <is>
          <t>Cali</t>
        </is>
      </c>
      <c r="D6521" t="inlineStr">
        <is>
          <t>9981</t>
        </is>
      </c>
      <c r="E6521" t="inlineStr">
        <is>
          <t>pagado</t>
        </is>
      </c>
      <c r="F6521" s="23" t="n">
        <v>46274</v>
      </c>
      <c r="G6521" s="24">
        <f>F6521-DATE(2026,8,31)</f>
        <v>9</v>
      </c>
      <c r="H6521" s="25" t="n">
        <v>43180624</v>
      </c>
      <c r="I6521" t="inlineStr">
        <is>
          <t>entidad-dia</t>
        </is>
      </c>
    </row>
    <row r="6522">
      <c r="A6522" t="inlineStr">
        <is>
          <t>PRAGMA</t>
        </is>
      </c>
      <c r="B6522" t="inlineStr">
        <is>
          <t>M1</t>
        </is>
      </c>
      <c r="C6522" t="inlineStr">
        <is>
          <t>Cali</t>
        </is>
      </c>
      <c r="D6522" t="inlineStr">
        <is>
          <t>9981</t>
        </is>
      </c>
      <c r="E6522" t="inlineStr">
        <is>
          <t>pagado</t>
        </is>
      </c>
      <c r="F6522" s="23" t="n">
        <v>46275</v>
      </c>
      <c r="G6522" s="24">
        <f>F6522-DATE(2026,8,31)</f>
        <v>10</v>
      </c>
      <c r="H6522" s="25" t="n">
        <v>40915894</v>
      </c>
      <c r="I6522" t="inlineStr">
        <is>
          <t>entidad-dia</t>
        </is>
      </c>
    </row>
    <row r="6523">
      <c r="A6523" t="inlineStr">
        <is>
          <t>PRAGMA</t>
        </is>
      </c>
      <c r="B6523" t="inlineStr">
        <is>
          <t>M1</t>
        </is>
      </c>
      <c r="C6523" t="inlineStr">
        <is>
          <t>Cali</t>
        </is>
      </c>
      <c r="D6523" t="inlineStr">
        <is>
          <t>9981</t>
        </is>
      </c>
      <c r="E6523" t="inlineStr">
        <is>
          <t>pagado</t>
        </is>
      </c>
      <c r="F6523" s="23" t="n">
        <v>46276</v>
      </c>
      <c r="G6523" s="24">
        <f>F6523-DATE(2026,8,31)</f>
        <v>11</v>
      </c>
      <c r="H6523" s="25" t="n">
        <v>36745986</v>
      </c>
      <c r="I6523" t="inlineStr">
        <is>
          <t>entidad-dia</t>
        </is>
      </c>
    </row>
    <row r="6524">
      <c r="A6524" t="inlineStr">
        <is>
          <t>PRAGMA</t>
        </is>
      </c>
      <c r="B6524" t="inlineStr">
        <is>
          <t>M1</t>
        </is>
      </c>
      <c r="C6524" t="inlineStr">
        <is>
          <t>Cali</t>
        </is>
      </c>
      <c r="D6524" t="inlineStr">
        <is>
          <t>9981</t>
        </is>
      </c>
      <c r="E6524" t="inlineStr">
        <is>
          <t>pagado</t>
        </is>
      </c>
      <c r="F6524" s="23" t="n">
        <v>46277</v>
      </c>
      <c r="G6524" s="24">
        <f>F6524-DATE(2026,8,31)</f>
        <v>12</v>
      </c>
      <c r="H6524" s="25" t="n">
        <v>35108822</v>
      </c>
      <c r="I6524" t="inlineStr">
        <is>
          <t>entidad-dia</t>
        </is>
      </c>
    </row>
    <row r="6525">
      <c r="A6525" t="inlineStr">
        <is>
          <t>PRAGMA</t>
        </is>
      </c>
      <c r="B6525" t="inlineStr">
        <is>
          <t>M1</t>
        </is>
      </c>
      <c r="C6525" t="inlineStr">
        <is>
          <t>Cali</t>
        </is>
      </c>
      <c r="D6525" t="inlineStr">
        <is>
          <t>9981</t>
        </is>
      </c>
      <c r="E6525" t="inlineStr">
        <is>
          <t>pagado</t>
        </is>
      </c>
      <c r="F6525" s="23" t="n">
        <v>46278</v>
      </c>
      <c r="G6525" s="24">
        <f>F6525-DATE(2026,8,31)</f>
        <v>13</v>
      </c>
      <c r="H6525" s="25" t="n">
        <v>19293871</v>
      </c>
      <c r="I6525" t="inlineStr">
        <is>
          <t>entidad-dia</t>
        </is>
      </c>
    </row>
    <row r="6526">
      <c r="A6526" t="inlineStr">
        <is>
          <t>PRAGMA</t>
        </is>
      </c>
      <c r="B6526" t="inlineStr">
        <is>
          <t>M1</t>
        </is>
      </c>
      <c r="C6526" t="inlineStr">
        <is>
          <t>Cali</t>
        </is>
      </c>
      <c r="D6526" t="inlineStr">
        <is>
          <t>9981</t>
        </is>
      </c>
      <c r="E6526" t="inlineStr">
        <is>
          <t>pagado</t>
        </is>
      </c>
      <c r="F6526" s="23" t="n">
        <v>46279</v>
      </c>
      <c r="G6526" s="24">
        <f>F6526-DATE(2026,8,31)</f>
        <v>14</v>
      </c>
      <c r="H6526" s="25" t="n">
        <v>37283585</v>
      </c>
      <c r="I6526" t="inlineStr">
        <is>
          <t>entidad-dia</t>
        </is>
      </c>
    </row>
    <row r="6527">
      <c r="A6527" t="inlineStr">
        <is>
          <t>PRAGMA</t>
        </is>
      </c>
      <c r="B6527" t="inlineStr">
        <is>
          <t>M1</t>
        </is>
      </c>
      <c r="C6527" t="inlineStr">
        <is>
          <t>Cali</t>
        </is>
      </c>
      <c r="D6527" t="inlineStr">
        <is>
          <t>9981</t>
        </is>
      </c>
      <c r="E6527" t="inlineStr">
        <is>
          <t>pagado</t>
        </is>
      </c>
      <c r="F6527" s="23" t="n">
        <v>46280</v>
      </c>
      <c r="G6527" s="24">
        <f>F6527-DATE(2026,8,31)</f>
        <v>15</v>
      </c>
      <c r="H6527" s="25" t="n">
        <v>59747317</v>
      </c>
      <c r="I6527" t="inlineStr">
        <is>
          <t>entidad-dia</t>
        </is>
      </c>
    </row>
    <row r="6528">
      <c r="A6528" t="inlineStr">
        <is>
          <t>PRAGMA</t>
        </is>
      </c>
      <c r="B6528" t="inlineStr">
        <is>
          <t>M2</t>
        </is>
      </c>
      <c r="C6528" t="inlineStr">
        <is>
          <t>Cali</t>
        </is>
      </c>
      <c r="D6528" t="inlineStr">
        <is>
          <t>1114</t>
        </is>
      </c>
      <c r="E6528" t="inlineStr">
        <is>
          <t>pagado</t>
        </is>
      </c>
      <c r="F6528" s="23" t="n">
        <v>46266</v>
      </c>
      <c r="G6528" s="24">
        <f>F6528-DATE(2026,8,31)</f>
        <v>1</v>
      </c>
      <c r="H6528" s="25" t="n">
        <v>23364575</v>
      </c>
      <c r="I6528" t="inlineStr">
        <is>
          <t>entidad-dia</t>
        </is>
      </c>
    </row>
    <row r="6529">
      <c r="A6529" t="inlineStr">
        <is>
          <t>PRAGMA</t>
        </is>
      </c>
      <c r="B6529" t="inlineStr">
        <is>
          <t>M2</t>
        </is>
      </c>
      <c r="C6529" t="inlineStr">
        <is>
          <t>Cali</t>
        </is>
      </c>
      <c r="D6529" t="inlineStr">
        <is>
          <t>1114</t>
        </is>
      </c>
      <c r="E6529" t="inlineStr">
        <is>
          <t>cash_in</t>
        </is>
      </c>
      <c r="F6529" s="23" t="n">
        <v>46266</v>
      </c>
      <c r="G6529" s="24">
        <f>F6529-DATE(2026,8,31)</f>
        <v>1</v>
      </c>
      <c r="H6529" s="25" t="n">
        <v>93197792</v>
      </c>
      <c r="I6529" t="inlineStr">
        <is>
          <t>entidad-dia</t>
        </is>
      </c>
    </row>
    <row r="6530">
      <c r="A6530" t="inlineStr">
        <is>
          <t>PRAGMA</t>
        </is>
      </c>
      <c r="B6530" t="inlineStr">
        <is>
          <t>M2</t>
        </is>
      </c>
      <c r="C6530" t="inlineStr">
        <is>
          <t>Cali</t>
        </is>
      </c>
      <c r="D6530" t="inlineStr">
        <is>
          <t>1114</t>
        </is>
      </c>
      <c r="E6530" t="inlineStr">
        <is>
          <t>pagado</t>
        </is>
      </c>
      <c r="F6530" s="23" t="n">
        <v>46267</v>
      </c>
      <c r="G6530" s="24">
        <f>F6530-DATE(2026,8,31)</f>
        <v>2</v>
      </c>
      <c r="H6530" s="25" t="n">
        <v>19768475</v>
      </c>
      <c r="I6530" t="inlineStr">
        <is>
          <t>entidad-dia</t>
        </is>
      </c>
    </row>
    <row r="6531">
      <c r="A6531" t="inlineStr">
        <is>
          <t>PRAGMA</t>
        </is>
      </c>
      <c r="B6531" t="inlineStr">
        <is>
          <t>M2</t>
        </is>
      </c>
      <c r="C6531" t="inlineStr">
        <is>
          <t>Cali</t>
        </is>
      </c>
      <c r="D6531" t="inlineStr">
        <is>
          <t>1114</t>
        </is>
      </c>
      <c r="E6531" t="inlineStr">
        <is>
          <t>cash_in</t>
        </is>
      </c>
      <c r="F6531" s="23" t="n">
        <v>46267</v>
      </c>
      <c r="G6531" s="24">
        <f>F6531-DATE(2026,8,31)</f>
        <v>2</v>
      </c>
      <c r="H6531" s="25" t="n">
        <v>75017773</v>
      </c>
      <c r="I6531" t="inlineStr">
        <is>
          <t>entidad-dia</t>
        </is>
      </c>
    </row>
    <row r="6532">
      <c r="A6532" t="inlineStr">
        <is>
          <t>PRAGMA</t>
        </is>
      </c>
      <c r="B6532" t="inlineStr">
        <is>
          <t>M2</t>
        </is>
      </c>
      <c r="C6532" t="inlineStr">
        <is>
          <t>Cali</t>
        </is>
      </c>
      <c r="D6532" t="inlineStr">
        <is>
          <t>1114</t>
        </is>
      </c>
      <c r="E6532" t="inlineStr">
        <is>
          <t>pagado</t>
        </is>
      </c>
      <c r="F6532" s="23" t="n">
        <v>46268</v>
      </c>
      <c r="G6532" s="24">
        <f>F6532-DATE(2026,8,31)</f>
        <v>3</v>
      </c>
      <c r="H6532" s="25" t="n">
        <v>17538745</v>
      </c>
      <c r="I6532" t="inlineStr">
        <is>
          <t>entidad-dia</t>
        </is>
      </c>
    </row>
    <row r="6533">
      <c r="A6533" t="inlineStr">
        <is>
          <t>PRAGMA</t>
        </is>
      </c>
      <c r="B6533" t="inlineStr">
        <is>
          <t>M2</t>
        </is>
      </c>
      <c r="C6533" t="inlineStr">
        <is>
          <t>Cali</t>
        </is>
      </c>
      <c r="D6533" t="inlineStr">
        <is>
          <t>1114</t>
        </is>
      </c>
      <c r="E6533" t="inlineStr">
        <is>
          <t>cash_in</t>
        </is>
      </c>
      <c r="F6533" s="23" t="n">
        <v>46268</v>
      </c>
      <c r="G6533" s="24">
        <f>F6533-DATE(2026,8,31)</f>
        <v>3</v>
      </c>
      <c r="H6533" s="25" t="n">
        <v>85978491</v>
      </c>
      <c r="I6533" t="inlineStr">
        <is>
          <t>entidad-dia</t>
        </is>
      </c>
    </row>
    <row r="6534">
      <c r="A6534" t="inlineStr">
        <is>
          <t>PRAGMA</t>
        </is>
      </c>
      <c r="B6534" t="inlineStr">
        <is>
          <t>M2</t>
        </is>
      </c>
      <c r="C6534" t="inlineStr">
        <is>
          <t>Cali</t>
        </is>
      </c>
      <c r="D6534" t="inlineStr">
        <is>
          <t>1114</t>
        </is>
      </c>
      <c r="E6534" t="inlineStr">
        <is>
          <t>pagado</t>
        </is>
      </c>
      <c r="F6534" s="23" t="n">
        <v>46269</v>
      </c>
      <c r="G6534" s="24">
        <f>F6534-DATE(2026,8,31)</f>
        <v>4</v>
      </c>
      <c r="H6534" s="25" t="n">
        <v>21223714</v>
      </c>
      <c r="I6534" t="inlineStr">
        <is>
          <t>entidad-dia</t>
        </is>
      </c>
    </row>
    <row r="6535">
      <c r="A6535" t="inlineStr">
        <is>
          <t>PRAGMA</t>
        </is>
      </c>
      <c r="B6535" t="inlineStr">
        <is>
          <t>M2</t>
        </is>
      </c>
      <c r="C6535" t="inlineStr">
        <is>
          <t>Cali</t>
        </is>
      </c>
      <c r="D6535" t="inlineStr">
        <is>
          <t>1114</t>
        </is>
      </c>
      <c r="E6535" t="inlineStr">
        <is>
          <t>cash_in</t>
        </is>
      </c>
      <c r="F6535" s="23" t="n">
        <v>46269</v>
      </c>
      <c r="G6535" s="24">
        <f>F6535-DATE(2026,8,31)</f>
        <v>4</v>
      </c>
      <c r="H6535" s="25" t="n">
        <v>67315331</v>
      </c>
      <c r="I6535" t="inlineStr">
        <is>
          <t>entidad-dia</t>
        </is>
      </c>
    </row>
    <row r="6536">
      <c r="A6536" t="inlineStr">
        <is>
          <t>PRAGMA</t>
        </is>
      </c>
      <c r="B6536" t="inlineStr">
        <is>
          <t>M2</t>
        </is>
      </c>
      <c r="C6536" t="inlineStr">
        <is>
          <t>Cali</t>
        </is>
      </c>
      <c r="D6536" t="inlineStr">
        <is>
          <t>1114</t>
        </is>
      </c>
      <c r="E6536" t="inlineStr">
        <is>
          <t>pagado</t>
        </is>
      </c>
      <c r="F6536" s="23" t="n">
        <v>46270</v>
      </c>
      <c r="G6536" s="24">
        <f>F6536-DATE(2026,8,31)</f>
        <v>5</v>
      </c>
      <c r="H6536" s="25" t="n">
        <v>17294180</v>
      </c>
      <c r="I6536" t="inlineStr">
        <is>
          <t>entidad-dia</t>
        </is>
      </c>
    </row>
    <row r="6537">
      <c r="A6537" t="inlineStr">
        <is>
          <t>PRAGMA</t>
        </is>
      </c>
      <c r="B6537" t="inlineStr">
        <is>
          <t>M2</t>
        </is>
      </c>
      <c r="C6537" t="inlineStr">
        <is>
          <t>Cali</t>
        </is>
      </c>
      <c r="D6537" t="inlineStr">
        <is>
          <t>1114</t>
        </is>
      </c>
      <c r="E6537" t="inlineStr">
        <is>
          <t>cash_in</t>
        </is>
      </c>
      <c r="F6537" s="23" t="n">
        <v>46270</v>
      </c>
      <c r="G6537" s="24">
        <f>F6537-DATE(2026,8,31)</f>
        <v>5</v>
      </c>
      <c r="H6537" s="25" t="n">
        <v>72653419</v>
      </c>
      <c r="I6537" t="inlineStr">
        <is>
          <t>entidad-dia</t>
        </is>
      </c>
    </row>
    <row r="6538">
      <c r="A6538" t="inlineStr">
        <is>
          <t>PRAGMA</t>
        </is>
      </c>
      <c r="B6538" t="inlineStr">
        <is>
          <t>M2</t>
        </is>
      </c>
      <c r="C6538" t="inlineStr">
        <is>
          <t>Cali</t>
        </is>
      </c>
      <c r="D6538" t="inlineStr">
        <is>
          <t>1114</t>
        </is>
      </c>
      <c r="E6538" t="inlineStr">
        <is>
          <t>pagado</t>
        </is>
      </c>
      <c r="F6538" s="23" t="n">
        <v>46271</v>
      </c>
      <c r="G6538" s="24">
        <f>F6538-DATE(2026,8,31)</f>
        <v>6</v>
      </c>
      <c r="H6538" s="25" t="n">
        <v>9735458</v>
      </c>
      <c r="I6538" t="inlineStr">
        <is>
          <t>entidad-dia</t>
        </is>
      </c>
    </row>
    <row r="6539">
      <c r="A6539" t="inlineStr">
        <is>
          <t>PRAGMA</t>
        </is>
      </c>
      <c r="B6539" t="inlineStr">
        <is>
          <t>M2</t>
        </is>
      </c>
      <c r="C6539" t="inlineStr">
        <is>
          <t>Cali</t>
        </is>
      </c>
      <c r="D6539" t="inlineStr">
        <is>
          <t>1114</t>
        </is>
      </c>
      <c r="E6539" t="inlineStr">
        <is>
          <t>cash_in</t>
        </is>
      </c>
      <c r="F6539" s="23" t="n">
        <v>46271</v>
      </c>
      <c r="G6539" s="24">
        <f>F6539-DATE(2026,8,31)</f>
        <v>6</v>
      </c>
      <c r="H6539" s="25" t="n">
        <v>30376029</v>
      </c>
      <c r="I6539" t="inlineStr">
        <is>
          <t>entidad-dia</t>
        </is>
      </c>
    </row>
    <row r="6540">
      <c r="A6540" t="inlineStr">
        <is>
          <t>PRAGMA</t>
        </is>
      </c>
      <c r="B6540" t="inlineStr">
        <is>
          <t>M2</t>
        </is>
      </c>
      <c r="C6540" t="inlineStr">
        <is>
          <t>Cali</t>
        </is>
      </c>
      <c r="D6540" t="inlineStr">
        <is>
          <t>1114</t>
        </is>
      </c>
      <c r="E6540" t="inlineStr">
        <is>
          <t>pagado</t>
        </is>
      </c>
      <c r="F6540" s="23" t="n">
        <v>46272</v>
      </c>
      <c r="G6540" s="24">
        <f>F6540-DATE(2026,8,31)</f>
        <v>7</v>
      </c>
      <c r="H6540" s="25" t="n">
        <v>14271431</v>
      </c>
      <c r="I6540" t="inlineStr">
        <is>
          <t>entidad-dia</t>
        </is>
      </c>
    </row>
    <row r="6541">
      <c r="A6541" t="inlineStr">
        <is>
          <t>PRAGMA</t>
        </is>
      </c>
      <c r="B6541" t="inlineStr">
        <is>
          <t>M2</t>
        </is>
      </c>
      <c r="C6541" t="inlineStr">
        <is>
          <t>Cali</t>
        </is>
      </c>
      <c r="D6541" t="inlineStr">
        <is>
          <t>1114</t>
        </is>
      </c>
      <c r="E6541" t="inlineStr">
        <is>
          <t>cash_in</t>
        </is>
      </c>
      <c r="F6541" s="23" t="n">
        <v>46272</v>
      </c>
      <c r="G6541" s="24">
        <f>F6541-DATE(2026,8,31)</f>
        <v>7</v>
      </c>
      <c r="H6541" s="25" t="n">
        <v>102858653</v>
      </c>
      <c r="I6541" t="inlineStr">
        <is>
          <t>entidad-dia</t>
        </is>
      </c>
    </row>
    <row r="6542">
      <c r="A6542" t="inlineStr">
        <is>
          <t>PRAGMA</t>
        </is>
      </c>
      <c r="B6542" t="inlineStr">
        <is>
          <t>M2</t>
        </is>
      </c>
      <c r="C6542" t="inlineStr">
        <is>
          <t>Cali</t>
        </is>
      </c>
      <c r="D6542" t="inlineStr">
        <is>
          <t>1114</t>
        </is>
      </c>
      <c r="E6542" t="inlineStr">
        <is>
          <t>pagado</t>
        </is>
      </c>
      <c r="F6542" s="23" t="n">
        <v>46273</v>
      </c>
      <c r="G6542" s="24">
        <f>F6542-DATE(2026,8,31)</f>
        <v>8</v>
      </c>
      <c r="H6542" s="25" t="n">
        <v>14782485</v>
      </c>
      <c r="I6542" t="inlineStr">
        <is>
          <t>entidad-dia</t>
        </is>
      </c>
    </row>
    <row r="6543">
      <c r="A6543" t="inlineStr">
        <is>
          <t>PRAGMA</t>
        </is>
      </c>
      <c r="B6543" t="inlineStr">
        <is>
          <t>M2</t>
        </is>
      </c>
      <c r="C6543" t="inlineStr">
        <is>
          <t>Cali</t>
        </is>
      </c>
      <c r="D6543" t="inlineStr">
        <is>
          <t>1114</t>
        </is>
      </c>
      <c r="E6543" t="inlineStr">
        <is>
          <t>cash_in</t>
        </is>
      </c>
      <c r="F6543" s="23" t="n">
        <v>46273</v>
      </c>
      <c r="G6543" s="24">
        <f>F6543-DATE(2026,8,31)</f>
        <v>8</v>
      </c>
      <c r="H6543" s="25" t="n">
        <v>86936497</v>
      </c>
      <c r="I6543" t="inlineStr">
        <is>
          <t>entidad-dia</t>
        </is>
      </c>
    </row>
    <row r="6544">
      <c r="A6544" t="inlineStr">
        <is>
          <t>PRAGMA</t>
        </is>
      </c>
      <c r="B6544" t="inlineStr">
        <is>
          <t>M2</t>
        </is>
      </c>
      <c r="C6544" t="inlineStr">
        <is>
          <t>Cali</t>
        </is>
      </c>
      <c r="D6544" t="inlineStr">
        <is>
          <t>1114</t>
        </is>
      </c>
      <c r="E6544" t="inlineStr">
        <is>
          <t>pagado</t>
        </is>
      </c>
      <c r="F6544" s="23" t="n">
        <v>46274</v>
      </c>
      <c r="G6544" s="24">
        <f>F6544-DATE(2026,8,31)</f>
        <v>9</v>
      </c>
      <c r="H6544" s="25" t="n">
        <v>15946780</v>
      </c>
      <c r="I6544" t="inlineStr">
        <is>
          <t>entidad-dia</t>
        </is>
      </c>
    </row>
    <row r="6545">
      <c r="A6545" t="inlineStr">
        <is>
          <t>PRAGMA</t>
        </is>
      </c>
      <c r="B6545" t="inlineStr">
        <is>
          <t>M2</t>
        </is>
      </c>
      <c r="C6545" t="inlineStr">
        <is>
          <t>Cali</t>
        </is>
      </c>
      <c r="D6545" t="inlineStr">
        <is>
          <t>1114</t>
        </is>
      </c>
      <c r="E6545" t="inlineStr">
        <is>
          <t>cash_in</t>
        </is>
      </c>
      <c r="F6545" s="23" t="n">
        <v>46274</v>
      </c>
      <c r="G6545" s="24">
        <f>F6545-DATE(2026,8,31)</f>
        <v>9</v>
      </c>
      <c r="H6545" s="25" t="n">
        <v>72987180</v>
      </c>
      <c r="I6545" t="inlineStr">
        <is>
          <t>entidad-dia</t>
        </is>
      </c>
    </row>
    <row r="6546">
      <c r="A6546" t="inlineStr">
        <is>
          <t>PRAGMA</t>
        </is>
      </c>
      <c r="B6546" t="inlineStr">
        <is>
          <t>M2</t>
        </is>
      </c>
      <c r="C6546" t="inlineStr">
        <is>
          <t>Cali</t>
        </is>
      </c>
      <c r="D6546" t="inlineStr">
        <is>
          <t>1114</t>
        </is>
      </c>
      <c r="E6546" t="inlineStr">
        <is>
          <t>pagado</t>
        </is>
      </c>
      <c r="F6546" s="23" t="n">
        <v>46275</v>
      </c>
      <c r="G6546" s="24">
        <f>F6546-DATE(2026,8,31)</f>
        <v>10</v>
      </c>
      <c r="H6546" s="25" t="n">
        <v>11208738</v>
      </c>
      <c r="I6546" t="inlineStr">
        <is>
          <t>entidad-dia</t>
        </is>
      </c>
    </row>
    <row r="6547">
      <c r="A6547" t="inlineStr">
        <is>
          <t>PRAGMA</t>
        </is>
      </c>
      <c r="B6547" t="inlineStr">
        <is>
          <t>M2</t>
        </is>
      </c>
      <c r="C6547" t="inlineStr">
        <is>
          <t>Cali</t>
        </is>
      </c>
      <c r="D6547" t="inlineStr">
        <is>
          <t>1114</t>
        </is>
      </c>
      <c r="E6547" t="inlineStr">
        <is>
          <t>cash_in</t>
        </is>
      </c>
      <c r="F6547" s="23" t="n">
        <v>46275</v>
      </c>
      <c r="G6547" s="24">
        <f>F6547-DATE(2026,8,31)</f>
        <v>10</v>
      </c>
      <c r="H6547" s="25" t="n">
        <v>74293008</v>
      </c>
      <c r="I6547" t="inlineStr">
        <is>
          <t>entidad-dia</t>
        </is>
      </c>
    </row>
    <row r="6548">
      <c r="A6548" t="inlineStr">
        <is>
          <t>PRAGMA</t>
        </is>
      </c>
      <c r="B6548" t="inlineStr">
        <is>
          <t>M2</t>
        </is>
      </c>
      <c r="C6548" t="inlineStr">
        <is>
          <t>Cali</t>
        </is>
      </c>
      <c r="D6548" t="inlineStr">
        <is>
          <t>1114</t>
        </is>
      </c>
      <c r="E6548" t="inlineStr">
        <is>
          <t>pagado</t>
        </is>
      </c>
      <c r="F6548" s="23" t="n">
        <v>46276</v>
      </c>
      <c r="G6548" s="24">
        <f>F6548-DATE(2026,8,31)</f>
        <v>11</v>
      </c>
      <c r="H6548" s="25" t="n">
        <v>11332358</v>
      </c>
      <c r="I6548" t="inlineStr">
        <is>
          <t>entidad-dia</t>
        </is>
      </c>
    </row>
    <row r="6549">
      <c r="A6549" t="inlineStr">
        <is>
          <t>PRAGMA</t>
        </is>
      </c>
      <c r="B6549" t="inlineStr">
        <is>
          <t>M2</t>
        </is>
      </c>
      <c r="C6549" t="inlineStr">
        <is>
          <t>Cali</t>
        </is>
      </c>
      <c r="D6549" t="inlineStr">
        <is>
          <t>1114</t>
        </is>
      </c>
      <c r="E6549" t="inlineStr">
        <is>
          <t>cash_in</t>
        </is>
      </c>
      <c r="F6549" s="23" t="n">
        <v>46276</v>
      </c>
      <c r="G6549" s="24">
        <f>F6549-DATE(2026,8,31)</f>
        <v>11</v>
      </c>
      <c r="H6549" s="25" t="n">
        <v>56565257</v>
      </c>
      <c r="I6549" t="inlineStr">
        <is>
          <t>entidad-dia</t>
        </is>
      </c>
    </row>
    <row r="6550">
      <c r="A6550" t="inlineStr">
        <is>
          <t>PRAGMA</t>
        </is>
      </c>
      <c r="B6550" t="inlineStr">
        <is>
          <t>M2</t>
        </is>
      </c>
      <c r="C6550" t="inlineStr">
        <is>
          <t>Cali</t>
        </is>
      </c>
      <c r="D6550" t="inlineStr">
        <is>
          <t>1114</t>
        </is>
      </c>
      <c r="E6550" t="inlineStr">
        <is>
          <t>pagado</t>
        </is>
      </c>
      <c r="F6550" s="23" t="n">
        <v>46277</v>
      </c>
      <c r="G6550" s="24">
        <f>F6550-DATE(2026,8,31)</f>
        <v>12</v>
      </c>
      <c r="H6550" s="25" t="n">
        <v>12681167</v>
      </c>
      <c r="I6550" t="inlineStr">
        <is>
          <t>entidad-dia</t>
        </is>
      </c>
    </row>
    <row r="6551">
      <c r="A6551" t="inlineStr">
        <is>
          <t>PRAGMA</t>
        </is>
      </c>
      <c r="B6551" t="inlineStr">
        <is>
          <t>M2</t>
        </is>
      </c>
      <c r="C6551" t="inlineStr">
        <is>
          <t>Cali</t>
        </is>
      </c>
      <c r="D6551" t="inlineStr">
        <is>
          <t>1114</t>
        </is>
      </c>
      <c r="E6551" t="inlineStr">
        <is>
          <t>cash_in</t>
        </is>
      </c>
      <c r="F6551" s="23" t="n">
        <v>46277</v>
      </c>
      <c r="G6551" s="24">
        <f>F6551-DATE(2026,8,31)</f>
        <v>12</v>
      </c>
      <c r="H6551" s="25" t="n">
        <v>62895156</v>
      </c>
      <c r="I6551" t="inlineStr">
        <is>
          <t>entidad-dia</t>
        </is>
      </c>
    </row>
    <row r="6552">
      <c r="A6552" t="inlineStr">
        <is>
          <t>PRAGMA</t>
        </is>
      </c>
      <c r="B6552" t="inlineStr">
        <is>
          <t>M2</t>
        </is>
      </c>
      <c r="C6552" t="inlineStr">
        <is>
          <t>Cali</t>
        </is>
      </c>
      <c r="D6552" t="inlineStr">
        <is>
          <t>1114</t>
        </is>
      </c>
      <c r="E6552" t="inlineStr">
        <is>
          <t>pagado</t>
        </is>
      </c>
      <c r="F6552" s="23" t="n">
        <v>46278</v>
      </c>
      <c r="G6552" s="24">
        <f>F6552-DATE(2026,8,31)</f>
        <v>13</v>
      </c>
      <c r="H6552" s="25" t="n">
        <v>10454798</v>
      </c>
      <c r="I6552" t="inlineStr">
        <is>
          <t>entidad-dia</t>
        </is>
      </c>
    </row>
    <row r="6553">
      <c r="A6553" t="inlineStr">
        <is>
          <t>PRAGMA</t>
        </is>
      </c>
      <c r="B6553" t="inlineStr">
        <is>
          <t>M2</t>
        </is>
      </c>
      <c r="C6553" t="inlineStr">
        <is>
          <t>Cali</t>
        </is>
      </c>
      <c r="D6553" t="inlineStr">
        <is>
          <t>1114</t>
        </is>
      </c>
      <c r="E6553" t="inlineStr">
        <is>
          <t>cash_in</t>
        </is>
      </c>
      <c r="F6553" s="23" t="n">
        <v>46278</v>
      </c>
      <c r="G6553" s="24">
        <f>F6553-DATE(2026,8,31)</f>
        <v>13</v>
      </c>
      <c r="H6553" s="25" t="n">
        <v>26146942</v>
      </c>
      <c r="I6553" t="inlineStr">
        <is>
          <t>entidad-dia</t>
        </is>
      </c>
    </row>
    <row r="6554">
      <c r="A6554" t="inlineStr">
        <is>
          <t>PRAGMA</t>
        </is>
      </c>
      <c r="B6554" t="inlineStr">
        <is>
          <t>M2</t>
        </is>
      </c>
      <c r="C6554" t="inlineStr">
        <is>
          <t>Cali</t>
        </is>
      </c>
      <c r="D6554" t="inlineStr">
        <is>
          <t>1114</t>
        </is>
      </c>
      <c r="E6554" t="inlineStr">
        <is>
          <t>pagado</t>
        </is>
      </c>
      <c r="F6554" s="23" t="n">
        <v>46279</v>
      </c>
      <c r="G6554" s="24">
        <f>F6554-DATE(2026,8,31)</f>
        <v>14</v>
      </c>
      <c r="H6554" s="25" t="n">
        <v>15607847</v>
      </c>
      <c r="I6554" t="inlineStr">
        <is>
          <t>entidad-dia</t>
        </is>
      </c>
    </row>
    <row r="6555">
      <c r="A6555" t="inlineStr">
        <is>
          <t>PRAGMA</t>
        </is>
      </c>
      <c r="B6555" t="inlineStr">
        <is>
          <t>M2</t>
        </is>
      </c>
      <c r="C6555" t="inlineStr">
        <is>
          <t>Cali</t>
        </is>
      </c>
      <c r="D6555" t="inlineStr">
        <is>
          <t>1114</t>
        </is>
      </c>
      <c r="E6555" t="inlineStr">
        <is>
          <t>cash_in</t>
        </is>
      </c>
      <c r="F6555" s="23" t="n">
        <v>46279</v>
      </c>
      <c r="G6555" s="24">
        <f>F6555-DATE(2026,8,31)</f>
        <v>14</v>
      </c>
      <c r="H6555" s="25" t="n">
        <v>92789514</v>
      </c>
      <c r="I6555" t="inlineStr">
        <is>
          <t>entidad-dia</t>
        </is>
      </c>
    </row>
    <row r="6556">
      <c r="A6556" t="inlineStr">
        <is>
          <t>PRAGMA</t>
        </is>
      </c>
      <c r="B6556" t="inlineStr">
        <is>
          <t>M2</t>
        </is>
      </c>
      <c r="C6556" t="inlineStr">
        <is>
          <t>Cali</t>
        </is>
      </c>
      <c r="D6556" t="inlineStr">
        <is>
          <t>1114</t>
        </is>
      </c>
      <c r="E6556" t="inlineStr">
        <is>
          <t>pagado</t>
        </is>
      </c>
      <c r="F6556" s="23" t="n">
        <v>46280</v>
      </c>
      <c r="G6556" s="24">
        <f>F6556-DATE(2026,8,31)</f>
        <v>15</v>
      </c>
      <c r="H6556" s="25" t="n">
        <v>19694982</v>
      </c>
      <c r="I6556" t="inlineStr">
        <is>
          <t>entidad-dia</t>
        </is>
      </c>
    </row>
    <row r="6557">
      <c r="A6557" t="inlineStr">
        <is>
          <t>PRAGMA</t>
        </is>
      </c>
      <c r="B6557" t="inlineStr">
        <is>
          <t>M2</t>
        </is>
      </c>
      <c r="C6557" t="inlineStr">
        <is>
          <t>Cali</t>
        </is>
      </c>
      <c r="D6557" t="inlineStr">
        <is>
          <t>1114</t>
        </is>
      </c>
      <c r="E6557" t="inlineStr">
        <is>
          <t>cash_in</t>
        </is>
      </c>
      <c r="F6557" s="23" t="n">
        <v>46280</v>
      </c>
      <c r="G6557" s="24">
        <f>F6557-DATE(2026,8,31)</f>
        <v>15</v>
      </c>
      <c r="H6557" s="25" t="n">
        <v>85641508</v>
      </c>
      <c r="I6557" t="inlineStr">
        <is>
          <t>entidad-dia</t>
        </is>
      </c>
    </row>
    <row r="6558">
      <c r="A6558" t="inlineStr">
        <is>
          <t>PRAGMA</t>
        </is>
      </c>
      <c r="B6558" t="inlineStr">
        <is>
          <t>M2</t>
        </is>
      </c>
      <c r="C6558" t="inlineStr">
        <is>
          <t>Cali</t>
        </is>
      </c>
      <c r="D6558" t="inlineStr">
        <is>
          <t>1115</t>
        </is>
      </c>
      <c r="E6558" t="inlineStr">
        <is>
          <t>pagado</t>
        </is>
      </c>
      <c r="F6558" s="23" t="n">
        <v>46266</v>
      </c>
      <c r="G6558" s="24">
        <f>F6558-DATE(2026,8,31)</f>
        <v>1</v>
      </c>
      <c r="H6558" s="25" t="n">
        <v>18606493</v>
      </c>
      <c r="I6558" t="inlineStr">
        <is>
          <t>entidad-dia</t>
        </is>
      </c>
    </row>
    <row r="6559">
      <c r="A6559" t="inlineStr">
        <is>
          <t>PRAGMA</t>
        </is>
      </c>
      <c r="B6559" t="inlineStr">
        <is>
          <t>M2</t>
        </is>
      </c>
      <c r="C6559" t="inlineStr">
        <is>
          <t>Cali</t>
        </is>
      </c>
      <c r="D6559" t="inlineStr">
        <is>
          <t>1115</t>
        </is>
      </c>
      <c r="E6559" t="inlineStr">
        <is>
          <t>cash_in</t>
        </is>
      </c>
      <c r="F6559" s="23" t="n">
        <v>46266</v>
      </c>
      <c r="G6559" s="24">
        <f>F6559-DATE(2026,8,31)</f>
        <v>1</v>
      </c>
      <c r="H6559" s="25" t="n">
        <v>90898637</v>
      </c>
      <c r="I6559" t="inlineStr">
        <is>
          <t>entidad-dia</t>
        </is>
      </c>
    </row>
    <row r="6560">
      <c r="A6560" t="inlineStr">
        <is>
          <t>PRAGMA</t>
        </is>
      </c>
      <c r="B6560" t="inlineStr">
        <is>
          <t>M2</t>
        </is>
      </c>
      <c r="C6560" t="inlineStr">
        <is>
          <t>Cali</t>
        </is>
      </c>
      <c r="D6560" t="inlineStr">
        <is>
          <t>1115</t>
        </is>
      </c>
      <c r="E6560" t="inlineStr">
        <is>
          <t>pagado</t>
        </is>
      </c>
      <c r="F6560" s="23" t="n">
        <v>46267</v>
      </c>
      <c r="G6560" s="24">
        <f>F6560-DATE(2026,8,31)</f>
        <v>2</v>
      </c>
      <c r="H6560" s="25" t="n">
        <v>17272334</v>
      </c>
      <c r="I6560" t="inlineStr">
        <is>
          <t>entidad-dia</t>
        </is>
      </c>
    </row>
    <row r="6561">
      <c r="A6561" t="inlineStr">
        <is>
          <t>PRAGMA</t>
        </is>
      </c>
      <c r="B6561" t="inlineStr">
        <is>
          <t>M2</t>
        </is>
      </c>
      <c r="C6561" t="inlineStr">
        <is>
          <t>Cali</t>
        </is>
      </c>
      <c r="D6561" t="inlineStr">
        <is>
          <t>1115</t>
        </is>
      </c>
      <c r="E6561" t="inlineStr">
        <is>
          <t>cash_in</t>
        </is>
      </c>
      <c r="F6561" s="23" t="n">
        <v>46267</v>
      </c>
      <c r="G6561" s="24">
        <f>F6561-DATE(2026,8,31)</f>
        <v>2</v>
      </c>
      <c r="H6561" s="25" t="n">
        <v>81407382</v>
      </c>
      <c r="I6561" t="inlineStr">
        <is>
          <t>entidad-dia</t>
        </is>
      </c>
    </row>
    <row r="6562">
      <c r="A6562" t="inlineStr">
        <is>
          <t>PRAGMA</t>
        </is>
      </c>
      <c r="B6562" t="inlineStr">
        <is>
          <t>M2</t>
        </is>
      </c>
      <c r="C6562" t="inlineStr">
        <is>
          <t>Cali</t>
        </is>
      </c>
      <c r="D6562" t="inlineStr">
        <is>
          <t>1115</t>
        </is>
      </c>
      <c r="E6562" t="inlineStr">
        <is>
          <t>pagado</t>
        </is>
      </c>
      <c r="F6562" s="23" t="n">
        <v>46268</v>
      </c>
      <c r="G6562" s="24">
        <f>F6562-DATE(2026,8,31)</f>
        <v>3</v>
      </c>
      <c r="H6562" s="25" t="n">
        <v>16900817</v>
      </c>
      <c r="I6562" t="inlineStr">
        <is>
          <t>entidad-dia</t>
        </is>
      </c>
    </row>
    <row r="6563">
      <c r="A6563" t="inlineStr">
        <is>
          <t>PRAGMA</t>
        </is>
      </c>
      <c r="B6563" t="inlineStr">
        <is>
          <t>M2</t>
        </is>
      </c>
      <c r="C6563" t="inlineStr">
        <is>
          <t>Cali</t>
        </is>
      </c>
      <c r="D6563" t="inlineStr">
        <is>
          <t>1115</t>
        </is>
      </c>
      <c r="E6563" t="inlineStr">
        <is>
          <t>cash_in</t>
        </is>
      </c>
      <c r="F6563" s="23" t="n">
        <v>46268</v>
      </c>
      <c r="G6563" s="24">
        <f>F6563-DATE(2026,8,31)</f>
        <v>3</v>
      </c>
      <c r="H6563" s="25" t="n">
        <v>89352001</v>
      </c>
      <c r="I6563" t="inlineStr">
        <is>
          <t>entidad-dia</t>
        </is>
      </c>
    </row>
    <row r="6564">
      <c r="A6564" t="inlineStr">
        <is>
          <t>PRAGMA</t>
        </is>
      </c>
      <c r="B6564" t="inlineStr">
        <is>
          <t>M2</t>
        </is>
      </c>
      <c r="C6564" t="inlineStr">
        <is>
          <t>Cali</t>
        </is>
      </c>
      <c r="D6564" t="inlineStr">
        <is>
          <t>1115</t>
        </is>
      </c>
      <c r="E6564" t="inlineStr">
        <is>
          <t>pagado</t>
        </is>
      </c>
      <c r="F6564" s="23" t="n">
        <v>46269</v>
      </c>
      <c r="G6564" s="24">
        <f>F6564-DATE(2026,8,31)</f>
        <v>4</v>
      </c>
      <c r="H6564" s="25" t="n">
        <v>16019931</v>
      </c>
      <c r="I6564" t="inlineStr">
        <is>
          <t>entidad-dia</t>
        </is>
      </c>
    </row>
    <row r="6565">
      <c r="A6565" t="inlineStr">
        <is>
          <t>PRAGMA</t>
        </is>
      </c>
      <c r="B6565" t="inlineStr">
        <is>
          <t>M2</t>
        </is>
      </c>
      <c r="C6565" t="inlineStr">
        <is>
          <t>Cali</t>
        </is>
      </c>
      <c r="D6565" t="inlineStr">
        <is>
          <t>1115</t>
        </is>
      </c>
      <c r="E6565" t="inlineStr">
        <is>
          <t>cash_in</t>
        </is>
      </c>
      <c r="F6565" s="23" t="n">
        <v>46269</v>
      </c>
      <c r="G6565" s="24">
        <f>F6565-DATE(2026,8,31)</f>
        <v>4</v>
      </c>
      <c r="H6565" s="25" t="n">
        <v>73684265</v>
      </c>
      <c r="I6565" t="inlineStr">
        <is>
          <t>entidad-dia</t>
        </is>
      </c>
    </row>
    <row r="6566">
      <c r="A6566" t="inlineStr">
        <is>
          <t>PRAGMA</t>
        </is>
      </c>
      <c r="B6566" t="inlineStr">
        <is>
          <t>M2</t>
        </is>
      </c>
      <c r="C6566" t="inlineStr">
        <is>
          <t>Cali</t>
        </is>
      </c>
      <c r="D6566" t="inlineStr">
        <is>
          <t>1115</t>
        </is>
      </c>
      <c r="E6566" t="inlineStr">
        <is>
          <t>pagado</t>
        </is>
      </c>
      <c r="F6566" s="23" t="n">
        <v>46270</v>
      </c>
      <c r="G6566" s="24">
        <f>F6566-DATE(2026,8,31)</f>
        <v>5</v>
      </c>
      <c r="H6566" s="25" t="n">
        <v>16271474</v>
      </c>
      <c r="I6566" t="inlineStr">
        <is>
          <t>entidad-dia</t>
        </is>
      </c>
    </row>
    <row r="6567">
      <c r="A6567" t="inlineStr">
        <is>
          <t>PRAGMA</t>
        </is>
      </c>
      <c r="B6567" t="inlineStr">
        <is>
          <t>M2</t>
        </is>
      </c>
      <c r="C6567" t="inlineStr">
        <is>
          <t>Cali</t>
        </is>
      </c>
      <c r="D6567" t="inlineStr">
        <is>
          <t>1115</t>
        </is>
      </c>
      <c r="E6567" t="inlineStr">
        <is>
          <t>cash_in</t>
        </is>
      </c>
      <c r="F6567" s="23" t="n">
        <v>46270</v>
      </c>
      <c r="G6567" s="24">
        <f>F6567-DATE(2026,8,31)</f>
        <v>5</v>
      </c>
      <c r="H6567" s="25" t="n">
        <v>60607613</v>
      </c>
      <c r="I6567" t="inlineStr">
        <is>
          <t>entidad-dia</t>
        </is>
      </c>
    </row>
    <row r="6568">
      <c r="A6568" t="inlineStr">
        <is>
          <t>PRAGMA</t>
        </is>
      </c>
      <c r="B6568" t="inlineStr">
        <is>
          <t>M2</t>
        </is>
      </c>
      <c r="C6568" t="inlineStr">
        <is>
          <t>Cali</t>
        </is>
      </c>
      <c r="D6568" t="inlineStr">
        <is>
          <t>1115</t>
        </is>
      </c>
      <c r="E6568" t="inlineStr">
        <is>
          <t>pagado</t>
        </is>
      </c>
      <c r="F6568" s="23" t="n">
        <v>46271</v>
      </c>
      <c r="G6568" s="24">
        <f>F6568-DATE(2026,8,31)</f>
        <v>6</v>
      </c>
      <c r="H6568" s="25" t="n">
        <v>6556975</v>
      </c>
      <c r="I6568" t="inlineStr">
        <is>
          <t>entidad-dia</t>
        </is>
      </c>
    </row>
    <row r="6569">
      <c r="A6569" t="inlineStr">
        <is>
          <t>PRAGMA</t>
        </is>
      </c>
      <c r="B6569" t="inlineStr">
        <is>
          <t>M2</t>
        </is>
      </c>
      <c r="C6569" t="inlineStr">
        <is>
          <t>Cali</t>
        </is>
      </c>
      <c r="D6569" t="inlineStr">
        <is>
          <t>1115</t>
        </is>
      </c>
      <c r="E6569" t="inlineStr">
        <is>
          <t>cash_in</t>
        </is>
      </c>
      <c r="F6569" s="23" t="n">
        <v>46271</v>
      </c>
      <c r="G6569" s="24">
        <f>F6569-DATE(2026,8,31)</f>
        <v>6</v>
      </c>
      <c r="H6569" s="25" t="n">
        <v>18891645</v>
      </c>
      <c r="I6569" t="inlineStr">
        <is>
          <t>entidad-dia</t>
        </is>
      </c>
    </row>
    <row r="6570">
      <c r="A6570" t="inlineStr">
        <is>
          <t>PRAGMA</t>
        </is>
      </c>
      <c r="B6570" t="inlineStr">
        <is>
          <t>M2</t>
        </is>
      </c>
      <c r="C6570" t="inlineStr">
        <is>
          <t>Cali</t>
        </is>
      </c>
      <c r="D6570" t="inlineStr">
        <is>
          <t>1115</t>
        </is>
      </c>
      <c r="E6570" t="inlineStr">
        <is>
          <t>pagado</t>
        </is>
      </c>
      <c r="F6570" s="23" t="n">
        <v>46272</v>
      </c>
      <c r="G6570" s="24">
        <f>F6570-DATE(2026,8,31)</f>
        <v>7</v>
      </c>
      <c r="H6570" s="25" t="n">
        <v>12319115</v>
      </c>
      <c r="I6570" t="inlineStr">
        <is>
          <t>entidad-dia</t>
        </is>
      </c>
    </row>
    <row r="6571">
      <c r="A6571" t="inlineStr">
        <is>
          <t>PRAGMA</t>
        </is>
      </c>
      <c r="B6571" t="inlineStr">
        <is>
          <t>M2</t>
        </is>
      </c>
      <c r="C6571" t="inlineStr">
        <is>
          <t>Cali</t>
        </is>
      </c>
      <c r="D6571" t="inlineStr">
        <is>
          <t>1115</t>
        </is>
      </c>
      <c r="E6571" t="inlineStr">
        <is>
          <t>cash_in</t>
        </is>
      </c>
      <c r="F6571" s="23" t="n">
        <v>46272</v>
      </c>
      <c r="G6571" s="24">
        <f>F6571-DATE(2026,8,31)</f>
        <v>7</v>
      </c>
      <c r="H6571" s="25" t="n">
        <v>94304732</v>
      </c>
      <c r="I6571" t="inlineStr">
        <is>
          <t>entidad-dia</t>
        </is>
      </c>
    </row>
    <row r="6572">
      <c r="A6572" t="inlineStr">
        <is>
          <t>PRAGMA</t>
        </is>
      </c>
      <c r="B6572" t="inlineStr">
        <is>
          <t>M2</t>
        </is>
      </c>
      <c r="C6572" t="inlineStr">
        <is>
          <t>Cali</t>
        </is>
      </c>
      <c r="D6572" t="inlineStr">
        <is>
          <t>1115</t>
        </is>
      </c>
      <c r="E6572" t="inlineStr">
        <is>
          <t>pagado</t>
        </is>
      </c>
      <c r="F6572" s="23" t="n">
        <v>46273</v>
      </c>
      <c r="G6572" s="24">
        <f>F6572-DATE(2026,8,31)</f>
        <v>8</v>
      </c>
      <c r="H6572" s="25" t="n">
        <v>11335072</v>
      </c>
      <c r="I6572" t="inlineStr">
        <is>
          <t>entidad-dia</t>
        </is>
      </c>
    </row>
    <row r="6573">
      <c r="A6573" t="inlineStr">
        <is>
          <t>PRAGMA</t>
        </is>
      </c>
      <c r="B6573" t="inlineStr">
        <is>
          <t>M2</t>
        </is>
      </c>
      <c r="C6573" t="inlineStr">
        <is>
          <t>Cali</t>
        </is>
      </c>
      <c r="D6573" t="inlineStr">
        <is>
          <t>1115</t>
        </is>
      </c>
      <c r="E6573" t="inlineStr">
        <is>
          <t>cash_in</t>
        </is>
      </c>
      <c r="F6573" s="23" t="n">
        <v>46273</v>
      </c>
      <c r="G6573" s="24">
        <f>F6573-DATE(2026,8,31)</f>
        <v>8</v>
      </c>
      <c r="H6573" s="25" t="n">
        <v>77907328</v>
      </c>
      <c r="I6573" t="inlineStr">
        <is>
          <t>entidad-dia</t>
        </is>
      </c>
    </row>
    <row r="6574">
      <c r="A6574" t="inlineStr">
        <is>
          <t>PRAGMA</t>
        </is>
      </c>
      <c r="B6574" t="inlineStr">
        <is>
          <t>M2</t>
        </is>
      </c>
      <c r="C6574" t="inlineStr">
        <is>
          <t>Cali</t>
        </is>
      </c>
      <c r="D6574" t="inlineStr">
        <is>
          <t>1115</t>
        </is>
      </c>
      <c r="E6574" t="inlineStr">
        <is>
          <t>pagado</t>
        </is>
      </c>
      <c r="F6574" s="23" t="n">
        <v>46274</v>
      </c>
      <c r="G6574" s="24">
        <f>F6574-DATE(2026,8,31)</f>
        <v>9</v>
      </c>
      <c r="H6574" s="25" t="n">
        <v>11351510</v>
      </c>
      <c r="I6574" t="inlineStr">
        <is>
          <t>entidad-dia</t>
        </is>
      </c>
    </row>
    <row r="6575">
      <c r="A6575" t="inlineStr">
        <is>
          <t>PRAGMA</t>
        </is>
      </c>
      <c r="B6575" t="inlineStr">
        <is>
          <t>M2</t>
        </is>
      </c>
      <c r="C6575" t="inlineStr">
        <is>
          <t>Cali</t>
        </is>
      </c>
      <c r="D6575" t="inlineStr">
        <is>
          <t>1115</t>
        </is>
      </c>
      <c r="E6575" t="inlineStr">
        <is>
          <t>cash_in</t>
        </is>
      </c>
      <c r="F6575" s="23" t="n">
        <v>46274</v>
      </c>
      <c r="G6575" s="24">
        <f>F6575-DATE(2026,8,31)</f>
        <v>9</v>
      </c>
      <c r="H6575" s="25" t="n">
        <v>68433254</v>
      </c>
      <c r="I6575" t="inlineStr">
        <is>
          <t>entidad-dia</t>
        </is>
      </c>
    </row>
    <row r="6576">
      <c r="A6576" t="inlineStr">
        <is>
          <t>PRAGMA</t>
        </is>
      </c>
      <c r="B6576" t="inlineStr">
        <is>
          <t>M2</t>
        </is>
      </c>
      <c r="C6576" t="inlineStr">
        <is>
          <t>Cali</t>
        </is>
      </c>
      <c r="D6576" t="inlineStr">
        <is>
          <t>1115</t>
        </is>
      </c>
      <c r="E6576" t="inlineStr">
        <is>
          <t>pagado</t>
        </is>
      </c>
      <c r="F6576" s="23" t="n">
        <v>46275</v>
      </c>
      <c r="G6576" s="24">
        <f>F6576-DATE(2026,8,31)</f>
        <v>10</v>
      </c>
      <c r="H6576" s="25" t="n">
        <v>7898739</v>
      </c>
      <c r="I6576" t="inlineStr">
        <is>
          <t>entidad-dia</t>
        </is>
      </c>
    </row>
    <row r="6577">
      <c r="A6577" t="inlineStr">
        <is>
          <t>PRAGMA</t>
        </is>
      </c>
      <c r="B6577" t="inlineStr">
        <is>
          <t>M2</t>
        </is>
      </c>
      <c r="C6577" t="inlineStr">
        <is>
          <t>Cali</t>
        </is>
      </c>
      <c r="D6577" t="inlineStr">
        <is>
          <t>1115</t>
        </is>
      </c>
      <c r="E6577" t="inlineStr">
        <is>
          <t>cash_in</t>
        </is>
      </c>
      <c r="F6577" s="23" t="n">
        <v>46275</v>
      </c>
      <c r="G6577" s="24">
        <f>F6577-DATE(2026,8,31)</f>
        <v>10</v>
      </c>
      <c r="H6577" s="25" t="n">
        <v>71519821</v>
      </c>
      <c r="I6577" t="inlineStr">
        <is>
          <t>entidad-dia</t>
        </is>
      </c>
    </row>
    <row r="6578">
      <c r="A6578" t="inlineStr">
        <is>
          <t>PRAGMA</t>
        </is>
      </c>
      <c r="B6578" t="inlineStr">
        <is>
          <t>M2</t>
        </is>
      </c>
      <c r="C6578" t="inlineStr">
        <is>
          <t>Cali</t>
        </is>
      </c>
      <c r="D6578" t="inlineStr">
        <is>
          <t>1115</t>
        </is>
      </c>
      <c r="E6578" t="inlineStr">
        <is>
          <t>pagado</t>
        </is>
      </c>
      <c r="F6578" s="23" t="n">
        <v>46276</v>
      </c>
      <c r="G6578" s="24">
        <f>F6578-DATE(2026,8,31)</f>
        <v>11</v>
      </c>
      <c r="H6578" s="25" t="n">
        <v>7766000</v>
      </c>
      <c r="I6578" t="inlineStr">
        <is>
          <t>entidad-dia</t>
        </is>
      </c>
    </row>
    <row r="6579">
      <c r="A6579" t="inlineStr">
        <is>
          <t>PRAGMA</t>
        </is>
      </c>
      <c r="B6579" t="inlineStr">
        <is>
          <t>M2</t>
        </is>
      </c>
      <c r="C6579" t="inlineStr">
        <is>
          <t>Cali</t>
        </is>
      </c>
      <c r="D6579" t="inlineStr">
        <is>
          <t>1115</t>
        </is>
      </c>
      <c r="E6579" t="inlineStr">
        <is>
          <t>cash_in</t>
        </is>
      </c>
      <c r="F6579" s="23" t="n">
        <v>46276</v>
      </c>
      <c r="G6579" s="24">
        <f>F6579-DATE(2026,8,31)</f>
        <v>11</v>
      </c>
      <c r="H6579" s="25" t="n">
        <v>60014382</v>
      </c>
      <c r="I6579" t="inlineStr">
        <is>
          <t>entidad-dia</t>
        </is>
      </c>
    </row>
    <row r="6580">
      <c r="A6580" t="inlineStr">
        <is>
          <t>PRAGMA</t>
        </is>
      </c>
      <c r="B6580" t="inlineStr">
        <is>
          <t>M2</t>
        </is>
      </c>
      <c r="C6580" t="inlineStr">
        <is>
          <t>Cali</t>
        </is>
      </c>
      <c r="D6580" t="inlineStr">
        <is>
          <t>1115</t>
        </is>
      </c>
      <c r="E6580" t="inlineStr">
        <is>
          <t>pagado</t>
        </is>
      </c>
      <c r="F6580" s="23" t="n">
        <v>46277</v>
      </c>
      <c r="G6580" s="24">
        <f>F6580-DATE(2026,8,31)</f>
        <v>12</v>
      </c>
      <c r="H6580" s="25" t="n">
        <v>9305231</v>
      </c>
      <c r="I6580" t="inlineStr">
        <is>
          <t>entidad-dia</t>
        </is>
      </c>
    </row>
    <row r="6581">
      <c r="A6581" t="inlineStr">
        <is>
          <t>PRAGMA</t>
        </is>
      </c>
      <c r="B6581" t="inlineStr">
        <is>
          <t>M2</t>
        </is>
      </c>
      <c r="C6581" t="inlineStr">
        <is>
          <t>Cali</t>
        </is>
      </c>
      <c r="D6581" t="inlineStr">
        <is>
          <t>1115</t>
        </is>
      </c>
      <c r="E6581" t="inlineStr">
        <is>
          <t>cash_in</t>
        </is>
      </c>
      <c r="F6581" s="23" t="n">
        <v>46277</v>
      </c>
      <c r="G6581" s="24">
        <f>F6581-DATE(2026,8,31)</f>
        <v>12</v>
      </c>
      <c r="H6581" s="25" t="n">
        <v>50554746</v>
      </c>
      <c r="I6581" t="inlineStr">
        <is>
          <t>entidad-dia</t>
        </is>
      </c>
    </row>
    <row r="6582">
      <c r="A6582" t="inlineStr">
        <is>
          <t>PRAGMA</t>
        </is>
      </c>
      <c r="B6582" t="inlineStr">
        <is>
          <t>M2</t>
        </is>
      </c>
      <c r="C6582" t="inlineStr">
        <is>
          <t>Cali</t>
        </is>
      </c>
      <c r="D6582" t="inlineStr">
        <is>
          <t>1115</t>
        </is>
      </c>
      <c r="E6582" t="inlineStr">
        <is>
          <t>pagado</t>
        </is>
      </c>
      <c r="F6582" s="23" t="n">
        <v>46278</v>
      </c>
      <c r="G6582" s="24">
        <f>F6582-DATE(2026,8,31)</f>
        <v>13</v>
      </c>
      <c r="H6582" s="25" t="n">
        <v>3306282</v>
      </c>
      <c r="I6582" t="inlineStr">
        <is>
          <t>entidad-dia</t>
        </is>
      </c>
    </row>
    <row r="6583">
      <c r="A6583" t="inlineStr">
        <is>
          <t>PRAGMA</t>
        </is>
      </c>
      <c r="B6583" t="inlineStr">
        <is>
          <t>M2</t>
        </is>
      </c>
      <c r="C6583" t="inlineStr">
        <is>
          <t>Cali</t>
        </is>
      </c>
      <c r="D6583" t="inlineStr">
        <is>
          <t>1115</t>
        </is>
      </c>
      <c r="E6583" t="inlineStr">
        <is>
          <t>cash_in</t>
        </is>
      </c>
      <c r="F6583" s="23" t="n">
        <v>46278</v>
      </c>
      <c r="G6583" s="24">
        <f>F6583-DATE(2026,8,31)</f>
        <v>13</v>
      </c>
      <c r="H6583" s="25" t="n">
        <v>11190212</v>
      </c>
      <c r="I6583" t="inlineStr">
        <is>
          <t>entidad-dia</t>
        </is>
      </c>
    </row>
    <row r="6584">
      <c r="A6584" t="inlineStr">
        <is>
          <t>PRAGMA</t>
        </is>
      </c>
      <c r="B6584" t="inlineStr">
        <is>
          <t>M2</t>
        </is>
      </c>
      <c r="C6584" t="inlineStr">
        <is>
          <t>Cali</t>
        </is>
      </c>
      <c r="D6584" t="inlineStr">
        <is>
          <t>1115</t>
        </is>
      </c>
      <c r="E6584" t="inlineStr">
        <is>
          <t>pagado</t>
        </is>
      </c>
      <c r="F6584" s="23" t="n">
        <v>46279</v>
      </c>
      <c r="G6584" s="24">
        <f>F6584-DATE(2026,8,31)</f>
        <v>14</v>
      </c>
      <c r="H6584" s="25" t="n">
        <v>9057754</v>
      </c>
      <c r="I6584" t="inlineStr">
        <is>
          <t>entidad-dia</t>
        </is>
      </c>
    </row>
    <row r="6585">
      <c r="A6585" t="inlineStr">
        <is>
          <t>PRAGMA</t>
        </is>
      </c>
      <c r="B6585" t="inlineStr">
        <is>
          <t>M2</t>
        </is>
      </c>
      <c r="C6585" t="inlineStr">
        <is>
          <t>Cali</t>
        </is>
      </c>
      <c r="D6585" t="inlineStr">
        <is>
          <t>1115</t>
        </is>
      </c>
      <c r="E6585" t="inlineStr">
        <is>
          <t>cash_in</t>
        </is>
      </c>
      <c r="F6585" s="23" t="n">
        <v>46279</v>
      </c>
      <c r="G6585" s="24">
        <f>F6585-DATE(2026,8,31)</f>
        <v>14</v>
      </c>
      <c r="H6585" s="25" t="n">
        <v>81304766</v>
      </c>
      <c r="I6585" t="inlineStr">
        <is>
          <t>entidad-dia</t>
        </is>
      </c>
    </row>
    <row r="6586">
      <c r="A6586" t="inlineStr">
        <is>
          <t>PRAGMA</t>
        </is>
      </c>
      <c r="B6586" t="inlineStr">
        <is>
          <t>M2</t>
        </is>
      </c>
      <c r="C6586" t="inlineStr">
        <is>
          <t>Cali</t>
        </is>
      </c>
      <c r="D6586" t="inlineStr">
        <is>
          <t>1115</t>
        </is>
      </c>
      <c r="E6586" t="inlineStr">
        <is>
          <t>pagado</t>
        </is>
      </c>
      <c r="F6586" s="23" t="n">
        <v>46280</v>
      </c>
      <c r="G6586" s="24">
        <f>F6586-DATE(2026,8,31)</f>
        <v>15</v>
      </c>
      <c r="H6586" s="25" t="n">
        <v>10866923</v>
      </c>
      <c r="I6586" t="inlineStr">
        <is>
          <t>entidad-dia</t>
        </is>
      </c>
    </row>
    <row r="6587">
      <c r="A6587" t="inlineStr">
        <is>
          <t>PRAGMA</t>
        </is>
      </c>
      <c r="B6587" t="inlineStr">
        <is>
          <t>M2</t>
        </is>
      </c>
      <c r="C6587" t="inlineStr">
        <is>
          <t>Cali</t>
        </is>
      </c>
      <c r="D6587" t="inlineStr">
        <is>
          <t>1115</t>
        </is>
      </c>
      <c r="E6587" t="inlineStr">
        <is>
          <t>cash_in</t>
        </is>
      </c>
      <c r="F6587" s="23" t="n">
        <v>46280</v>
      </c>
      <c r="G6587" s="24">
        <f>F6587-DATE(2026,8,31)</f>
        <v>15</v>
      </c>
      <c r="H6587" s="25" t="n">
        <v>79497299</v>
      </c>
      <c r="I6587" t="inlineStr">
        <is>
          <t>entidad-dia</t>
        </is>
      </c>
    </row>
    <row r="6588">
      <c r="A6588" t="inlineStr">
        <is>
          <t>PRAGMA</t>
        </is>
      </c>
      <c r="B6588" t="inlineStr">
        <is>
          <t>M2</t>
        </is>
      </c>
      <c r="C6588" t="inlineStr">
        <is>
          <t>Cali</t>
        </is>
      </c>
      <c r="D6588" t="inlineStr">
        <is>
          <t>1116</t>
        </is>
      </c>
      <c r="E6588" t="inlineStr">
        <is>
          <t>pagado</t>
        </is>
      </c>
      <c r="F6588" s="23" t="n">
        <v>46266</v>
      </c>
      <c r="G6588" s="24">
        <f>F6588-DATE(2026,8,31)</f>
        <v>1</v>
      </c>
      <c r="H6588" s="25" t="n">
        <v>40426733</v>
      </c>
      <c r="I6588" t="inlineStr">
        <is>
          <t>entidad-dia</t>
        </is>
      </c>
    </row>
    <row r="6589">
      <c r="A6589" t="inlineStr">
        <is>
          <t>PRAGMA</t>
        </is>
      </c>
      <c r="B6589" t="inlineStr">
        <is>
          <t>M2</t>
        </is>
      </c>
      <c r="C6589" t="inlineStr">
        <is>
          <t>Cali</t>
        </is>
      </c>
      <c r="D6589" t="inlineStr">
        <is>
          <t>1116</t>
        </is>
      </c>
      <c r="E6589" t="inlineStr">
        <is>
          <t>cash_in</t>
        </is>
      </c>
      <c r="F6589" s="23" t="n">
        <v>46266</v>
      </c>
      <c r="G6589" s="24">
        <f>F6589-DATE(2026,8,31)</f>
        <v>1</v>
      </c>
      <c r="H6589" s="25" t="n">
        <v>114191584</v>
      </c>
      <c r="I6589" t="inlineStr">
        <is>
          <t>entidad-dia</t>
        </is>
      </c>
    </row>
    <row r="6590">
      <c r="A6590" t="inlineStr">
        <is>
          <t>PRAGMA</t>
        </is>
      </c>
      <c r="B6590" t="inlineStr">
        <is>
          <t>M2</t>
        </is>
      </c>
      <c r="C6590" t="inlineStr">
        <is>
          <t>Cali</t>
        </is>
      </c>
      <c r="D6590" t="inlineStr">
        <is>
          <t>1116</t>
        </is>
      </c>
      <c r="E6590" t="inlineStr">
        <is>
          <t>pagado</t>
        </is>
      </c>
      <c r="F6590" s="23" t="n">
        <v>46267</v>
      </c>
      <c r="G6590" s="24">
        <f>F6590-DATE(2026,8,31)</f>
        <v>2</v>
      </c>
      <c r="H6590" s="25" t="n">
        <v>37320635</v>
      </c>
      <c r="I6590" t="inlineStr">
        <is>
          <t>entidad-dia</t>
        </is>
      </c>
    </row>
    <row r="6591">
      <c r="A6591" t="inlineStr">
        <is>
          <t>PRAGMA</t>
        </is>
      </c>
      <c r="B6591" t="inlineStr">
        <is>
          <t>M2</t>
        </is>
      </c>
      <c r="C6591" t="inlineStr">
        <is>
          <t>Cali</t>
        </is>
      </c>
      <c r="D6591" t="inlineStr">
        <is>
          <t>1116</t>
        </is>
      </c>
      <c r="E6591" t="inlineStr">
        <is>
          <t>cash_in</t>
        </is>
      </c>
      <c r="F6591" s="23" t="n">
        <v>46267</v>
      </c>
      <c r="G6591" s="24">
        <f>F6591-DATE(2026,8,31)</f>
        <v>2</v>
      </c>
      <c r="H6591" s="25" t="n">
        <v>94074316</v>
      </c>
      <c r="I6591" t="inlineStr">
        <is>
          <t>entidad-dia</t>
        </is>
      </c>
    </row>
    <row r="6592">
      <c r="A6592" t="inlineStr">
        <is>
          <t>PRAGMA</t>
        </is>
      </c>
      <c r="B6592" t="inlineStr">
        <is>
          <t>M2</t>
        </is>
      </c>
      <c r="C6592" t="inlineStr">
        <is>
          <t>Cali</t>
        </is>
      </c>
      <c r="D6592" t="inlineStr">
        <is>
          <t>1116</t>
        </is>
      </c>
      <c r="E6592" t="inlineStr">
        <is>
          <t>pagado</t>
        </is>
      </c>
      <c r="F6592" s="23" t="n">
        <v>46268</v>
      </c>
      <c r="G6592" s="24">
        <f>F6592-DATE(2026,8,31)</f>
        <v>3</v>
      </c>
      <c r="H6592" s="25" t="n">
        <v>35209205</v>
      </c>
      <c r="I6592" t="inlineStr">
        <is>
          <t>entidad-dia</t>
        </is>
      </c>
    </row>
    <row r="6593">
      <c r="A6593" t="inlineStr">
        <is>
          <t>PRAGMA</t>
        </is>
      </c>
      <c r="B6593" t="inlineStr">
        <is>
          <t>M2</t>
        </is>
      </c>
      <c r="C6593" t="inlineStr">
        <is>
          <t>Cali</t>
        </is>
      </c>
      <c r="D6593" t="inlineStr">
        <is>
          <t>1116</t>
        </is>
      </c>
      <c r="E6593" t="inlineStr">
        <is>
          <t>cash_in</t>
        </is>
      </c>
      <c r="F6593" s="23" t="n">
        <v>46268</v>
      </c>
      <c r="G6593" s="24">
        <f>F6593-DATE(2026,8,31)</f>
        <v>3</v>
      </c>
      <c r="H6593" s="25" t="n">
        <v>103828924</v>
      </c>
      <c r="I6593" t="inlineStr">
        <is>
          <t>entidad-dia</t>
        </is>
      </c>
    </row>
    <row r="6594">
      <c r="A6594" t="inlineStr">
        <is>
          <t>PRAGMA</t>
        </is>
      </c>
      <c r="B6594" t="inlineStr">
        <is>
          <t>M2</t>
        </is>
      </c>
      <c r="C6594" t="inlineStr">
        <is>
          <t>Cali</t>
        </is>
      </c>
      <c r="D6594" t="inlineStr">
        <is>
          <t>1116</t>
        </is>
      </c>
      <c r="E6594" t="inlineStr">
        <is>
          <t>pagado</t>
        </is>
      </c>
      <c r="F6594" s="23" t="n">
        <v>46269</v>
      </c>
      <c r="G6594" s="24">
        <f>F6594-DATE(2026,8,31)</f>
        <v>4</v>
      </c>
      <c r="H6594" s="25" t="n">
        <v>34751939</v>
      </c>
      <c r="I6594" t="inlineStr">
        <is>
          <t>entidad-dia</t>
        </is>
      </c>
    </row>
    <row r="6595">
      <c r="A6595" t="inlineStr">
        <is>
          <t>PRAGMA</t>
        </is>
      </c>
      <c r="B6595" t="inlineStr">
        <is>
          <t>M2</t>
        </is>
      </c>
      <c r="C6595" t="inlineStr">
        <is>
          <t>Cali</t>
        </is>
      </c>
      <c r="D6595" t="inlineStr">
        <is>
          <t>1116</t>
        </is>
      </c>
      <c r="E6595" t="inlineStr">
        <is>
          <t>cash_in</t>
        </is>
      </c>
      <c r="F6595" s="23" t="n">
        <v>46269</v>
      </c>
      <c r="G6595" s="24">
        <f>F6595-DATE(2026,8,31)</f>
        <v>4</v>
      </c>
      <c r="H6595" s="25" t="n">
        <v>101364381</v>
      </c>
      <c r="I6595" t="inlineStr">
        <is>
          <t>entidad-dia</t>
        </is>
      </c>
    </row>
    <row r="6596">
      <c r="A6596" t="inlineStr">
        <is>
          <t>PRAGMA</t>
        </is>
      </c>
      <c r="B6596" t="inlineStr">
        <is>
          <t>M2</t>
        </is>
      </c>
      <c r="C6596" t="inlineStr">
        <is>
          <t>Cali</t>
        </is>
      </c>
      <c r="D6596" t="inlineStr">
        <is>
          <t>1116</t>
        </is>
      </c>
      <c r="E6596" t="inlineStr">
        <is>
          <t>pagado</t>
        </is>
      </c>
      <c r="F6596" s="23" t="n">
        <v>46270</v>
      </c>
      <c r="G6596" s="24">
        <f>F6596-DATE(2026,8,31)</f>
        <v>5</v>
      </c>
      <c r="H6596" s="25" t="n">
        <v>31522338</v>
      </c>
      <c r="I6596" t="inlineStr">
        <is>
          <t>entidad-dia</t>
        </is>
      </c>
    </row>
    <row r="6597">
      <c r="A6597" t="inlineStr">
        <is>
          <t>PRAGMA</t>
        </is>
      </c>
      <c r="B6597" t="inlineStr">
        <is>
          <t>M2</t>
        </is>
      </c>
      <c r="C6597" t="inlineStr">
        <is>
          <t>Cali</t>
        </is>
      </c>
      <c r="D6597" t="inlineStr">
        <is>
          <t>1116</t>
        </is>
      </c>
      <c r="E6597" t="inlineStr">
        <is>
          <t>cash_in</t>
        </is>
      </c>
      <c r="F6597" s="23" t="n">
        <v>46270</v>
      </c>
      <c r="G6597" s="24">
        <f>F6597-DATE(2026,8,31)</f>
        <v>5</v>
      </c>
      <c r="H6597" s="25" t="n">
        <v>79851179</v>
      </c>
      <c r="I6597" t="inlineStr">
        <is>
          <t>entidad-dia</t>
        </is>
      </c>
    </row>
    <row r="6598">
      <c r="A6598" t="inlineStr">
        <is>
          <t>PRAGMA</t>
        </is>
      </c>
      <c r="B6598" t="inlineStr">
        <is>
          <t>M2</t>
        </is>
      </c>
      <c r="C6598" t="inlineStr">
        <is>
          <t>Cali</t>
        </is>
      </c>
      <c r="D6598" t="inlineStr">
        <is>
          <t>1116</t>
        </is>
      </c>
      <c r="E6598" t="inlineStr">
        <is>
          <t>pagado</t>
        </is>
      </c>
      <c r="F6598" s="23" t="n">
        <v>46271</v>
      </c>
      <c r="G6598" s="24">
        <f>F6598-DATE(2026,8,31)</f>
        <v>6</v>
      </c>
      <c r="H6598" s="25" t="n">
        <v>18018099</v>
      </c>
      <c r="I6598" t="inlineStr">
        <is>
          <t>entidad-dia</t>
        </is>
      </c>
    </row>
    <row r="6599">
      <c r="A6599" t="inlineStr">
        <is>
          <t>PRAGMA</t>
        </is>
      </c>
      <c r="B6599" t="inlineStr">
        <is>
          <t>M2</t>
        </is>
      </c>
      <c r="C6599" t="inlineStr">
        <is>
          <t>Cali</t>
        </is>
      </c>
      <c r="D6599" t="inlineStr">
        <is>
          <t>1116</t>
        </is>
      </c>
      <c r="E6599" t="inlineStr">
        <is>
          <t>cash_in</t>
        </is>
      </c>
      <c r="F6599" s="23" t="n">
        <v>46271</v>
      </c>
      <c r="G6599" s="24">
        <f>F6599-DATE(2026,8,31)</f>
        <v>6</v>
      </c>
      <c r="H6599" s="25" t="n">
        <v>33708321</v>
      </c>
      <c r="I6599" t="inlineStr">
        <is>
          <t>entidad-dia</t>
        </is>
      </c>
    </row>
    <row r="6600">
      <c r="A6600" t="inlineStr">
        <is>
          <t>PRAGMA</t>
        </is>
      </c>
      <c r="B6600" t="inlineStr">
        <is>
          <t>M2</t>
        </is>
      </c>
      <c r="C6600" t="inlineStr">
        <is>
          <t>Cali</t>
        </is>
      </c>
      <c r="D6600" t="inlineStr">
        <is>
          <t>1116</t>
        </is>
      </c>
      <c r="E6600" t="inlineStr">
        <is>
          <t>pagado</t>
        </is>
      </c>
      <c r="F6600" s="23" t="n">
        <v>46272</v>
      </c>
      <c r="G6600" s="24">
        <f>F6600-DATE(2026,8,31)</f>
        <v>7</v>
      </c>
      <c r="H6600" s="25" t="n">
        <v>33072157</v>
      </c>
      <c r="I6600" t="inlineStr">
        <is>
          <t>entidad-dia</t>
        </is>
      </c>
    </row>
    <row r="6601">
      <c r="A6601" t="inlineStr">
        <is>
          <t>PRAGMA</t>
        </is>
      </c>
      <c r="B6601" t="inlineStr">
        <is>
          <t>M2</t>
        </is>
      </c>
      <c r="C6601" t="inlineStr">
        <is>
          <t>Cali</t>
        </is>
      </c>
      <c r="D6601" t="inlineStr">
        <is>
          <t>1116</t>
        </is>
      </c>
      <c r="E6601" t="inlineStr">
        <is>
          <t>cash_in</t>
        </is>
      </c>
      <c r="F6601" s="23" t="n">
        <v>46272</v>
      </c>
      <c r="G6601" s="24">
        <f>F6601-DATE(2026,8,31)</f>
        <v>7</v>
      </c>
      <c r="H6601" s="25" t="n">
        <v>101423835</v>
      </c>
      <c r="I6601" t="inlineStr">
        <is>
          <t>entidad-dia</t>
        </is>
      </c>
    </row>
    <row r="6602">
      <c r="A6602" t="inlineStr">
        <is>
          <t>PRAGMA</t>
        </is>
      </c>
      <c r="B6602" t="inlineStr">
        <is>
          <t>M2</t>
        </is>
      </c>
      <c r="C6602" t="inlineStr">
        <is>
          <t>Cali</t>
        </is>
      </c>
      <c r="D6602" t="inlineStr">
        <is>
          <t>1116</t>
        </is>
      </c>
      <c r="E6602" t="inlineStr">
        <is>
          <t>pagado</t>
        </is>
      </c>
      <c r="F6602" s="23" t="n">
        <v>46273</v>
      </c>
      <c r="G6602" s="24">
        <f>F6602-DATE(2026,8,31)</f>
        <v>8</v>
      </c>
      <c r="H6602" s="25" t="n">
        <v>31495049</v>
      </c>
      <c r="I6602" t="inlineStr">
        <is>
          <t>entidad-dia</t>
        </is>
      </c>
    </row>
    <row r="6603">
      <c r="A6603" t="inlineStr">
        <is>
          <t>PRAGMA</t>
        </is>
      </c>
      <c r="B6603" t="inlineStr">
        <is>
          <t>M2</t>
        </is>
      </c>
      <c r="C6603" t="inlineStr">
        <is>
          <t>Cali</t>
        </is>
      </c>
      <c r="D6603" t="inlineStr">
        <is>
          <t>1116</t>
        </is>
      </c>
      <c r="E6603" t="inlineStr">
        <is>
          <t>cash_in</t>
        </is>
      </c>
      <c r="F6603" s="23" t="n">
        <v>46273</v>
      </c>
      <c r="G6603" s="24">
        <f>F6603-DATE(2026,8,31)</f>
        <v>8</v>
      </c>
      <c r="H6603" s="25" t="n">
        <v>102430805</v>
      </c>
      <c r="I6603" t="inlineStr">
        <is>
          <t>entidad-dia</t>
        </is>
      </c>
    </row>
    <row r="6604">
      <c r="A6604" t="inlineStr">
        <is>
          <t>PRAGMA</t>
        </is>
      </c>
      <c r="B6604" t="inlineStr">
        <is>
          <t>M2</t>
        </is>
      </c>
      <c r="C6604" t="inlineStr">
        <is>
          <t>Cali</t>
        </is>
      </c>
      <c r="D6604" t="inlineStr">
        <is>
          <t>1116</t>
        </is>
      </c>
      <c r="E6604" t="inlineStr">
        <is>
          <t>pagado</t>
        </is>
      </c>
      <c r="F6604" s="23" t="n">
        <v>46274</v>
      </c>
      <c r="G6604" s="24">
        <f>F6604-DATE(2026,8,31)</f>
        <v>9</v>
      </c>
      <c r="H6604" s="25" t="n">
        <v>28477323</v>
      </c>
      <c r="I6604" t="inlineStr">
        <is>
          <t>entidad-dia</t>
        </is>
      </c>
    </row>
    <row r="6605">
      <c r="A6605" t="inlineStr">
        <is>
          <t>PRAGMA</t>
        </is>
      </c>
      <c r="B6605" t="inlineStr">
        <is>
          <t>M2</t>
        </is>
      </c>
      <c r="C6605" t="inlineStr">
        <is>
          <t>Cali</t>
        </is>
      </c>
      <c r="D6605" t="inlineStr">
        <is>
          <t>1116</t>
        </is>
      </c>
      <c r="E6605" t="inlineStr">
        <is>
          <t>cash_in</t>
        </is>
      </c>
      <c r="F6605" s="23" t="n">
        <v>46274</v>
      </c>
      <c r="G6605" s="24">
        <f>F6605-DATE(2026,8,31)</f>
        <v>9</v>
      </c>
      <c r="H6605" s="25" t="n">
        <v>85867439</v>
      </c>
      <c r="I6605" t="inlineStr">
        <is>
          <t>entidad-dia</t>
        </is>
      </c>
    </row>
    <row r="6606">
      <c r="A6606" t="inlineStr">
        <is>
          <t>PRAGMA</t>
        </is>
      </c>
      <c r="B6606" t="inlineStr">
        <is>
          <t>M2</t>
        </is>
      </c>
      <c r="C6606" t="inlineStr">
        <is>
          <t>Cali</t>
        </is>
      </c>
      <c r="D6606" t="inlineStr">
        <is>
          <t>1116</t>
        </is>
      </c>
      <c r="E6606" t="inlineStr">
        <is>
          <t>pagado</t>
        </is>
      </c>
      <c r="F6606" s="23" t="n">
        <v>46275</v>
      </c>
      <c r="G6606" s="24">
        <f>F6606-DATE(2026,8,31)</f>
        <v>10</v>
      </c>
      <c r="H6606" s="25" t="n">
        <v>26629556</v>
      </c>
      <c r="I6606" t="inlineStr">
        <is>
          <t>entidad-dia</t>
        </is>
      </c>
    </row>
    <row r="6607">
      <c r="A6607" t="inlineStr">
        <is>
          <t>PRAGMA</t>
        </is>
      </c>
      <c r="B6607" t="inlineStr">
        <is>
          <t>M2</t>
        </is>
      </c>
      <c r="C6607" t="inlineStr">
        <is>
          <t>Cali</t>
        </is>
      </c>
      <c r="D6607" t="inlineStr">
        <is>
          <t>1116</t>
        </is>
      </c>
      <c r="E6607" t="inlineStr">
        <is>
          <t>cash_in</t>
        </is>
      </c>
      <c r="F6607" s="23" t="n">
        <v>46275</v>
      </c>
      <c r="G6607" s="24">
        <f>F6607-DATE(2026,8,31)</f>
        <v>10</v>
      </c>
      <c r="H6607" s="25" t="n">
        <v>86550763</v>
      </c>
      <c r="I6607" t="inlineStr">
        <is>
          <t>entidad-dia</t>
        </is>
      </c>
    </row>
    <row r="6608">
      <c r="A6608" t="inlineStr">
        <is>
          <t>PRAGMA</t>
        </is>
      </c>
      <c r="B6608" t="inlineStr">
        <is>
          <t>M2</t>
        </is>
      </c>
      <c r="C6608" t="inlineStr">
        <is>
          <t>Cali</t>
        </is>
      </c>
      <c r="D6608" t="inlineStr">
        <is>
          <t>1116</t>
        </is>
      </c>
      <c r="E6608" t="inlineStr">
        <is>
          <t>pagado</t>
        </is>
      </c>
      <c r="F6608" s="23" t="n">
        <v>46276</v>
      </c>
      <c r="G6608" s="24">
        <f>F6608-DATE(2026,8,31)</f>
        <v>11</v>
      </c>
      <c r="H6608" s="25" t="n">
        <v>26455290</v>
      </c>
      <c r="I6608" t="inlineStr">
        <is>
          <t>entidad-dia</t>
        </is>
      </c>
    </row>
    <row r="6609">
      <c r="A6609" t="inlineStr">
        <is>
          <t>PRAGMA</t>
        </is>
      </c>
      <c r="B6609" t="inlineStr">
        <is>
          <t>M2</t>
        </is>
      </c>
      <c r="C6609" t="inlineStr">
        <is>
          <t>Cali</t>
        </is>
      </c>
      <c r="D6609" t="inlineStr">
        <is>
          <t>1116</t>
        </is>
      </c>
      <c r="E6609" t="inlineStr">
        <is>
          <t>cash_in</t>
        </is>
      </c>
      <c r="F6609" s="23" t="n">
        <v>46276</v>
      </c>
      <c r="G6609" s="24">
        <f>F6609-DATE(2026,8,31)</f>
        <v>11</v>
      </c>
      <c r="H6609" s="25" t="n">
        <v>83178162</v>
      </c>
      <c r="I6609" t="inlineStr">
        <is>
          <t>entidad-dia</t>
        </is>
      </c>
    </row>
    <row r="6610">
      <c r="A6610" t="inlineStr">
        <is>
          <t>PRAGMA</t>
        </is>
      </c>
      <c r="B6610" t="inlineStr">
        <is>
          <t>M2</t>
        </is>
      </c>
      <c r="C6610" t="inlineStr">
        <is>
          <t>Cali</t>
        </is>
      </c>
      <c r="D6610" t="inlineStr">
        <is>
          <t>1116</t>
        </is>
      </c>
      <c r="E6610" t="inlineStr">
        <is>
          <t>pagado</t>
        </is>
      </c>
      <c r="F6610" s="23" t="n">
        <v>46277</v>
      </c>
      <c r="G6610" s="24">
        <f>F6610-DATE(2026,8,31)</f>
        <v>12</v>
      </c>
      <c r="H6610" s="25" t="n">
        <v>25332044</v>
      </c>
      <c r="I6610" t="inlineStr">
        <is>
          <t>entidad-dia</t>
        </is>
      </c>
    </row>
    <row r="6611">
      <c r="A6611" t="inlineStr">
        <is>
          <t>PRAGMA</t>
        </is>
      </c>
      <c r="B6611" t="inlineStr">
        <is>
          <t>M2</t>
        </is>
      </c>
      <c r="C6611" t="inlineStr">
        <is>
          <t>Cali</t>
        </is>
      </c>
      <c r="D6611" t="inlineStr">
        <is>
          <t>1116</t>
        </is>
      </c>
      <c r="E6611" t="inlineStr">
        <is>
          <t>cash_in</t>
        </is>
      </c>
      <c r="F6611" s="23" t="n">
        <v>46277</v>
      </c>
      <c r="G6611" s="24">
        <f>F6611-DATE(2026,8,31)</f>
        <v>12</v>
      </c>
      <c r="H6611" s="25" t="n">
        <v>68419302</v>
      </c>
      <c r="I6611" t="inlineStr">
        <is>
          <t>entidad-dia</t>
        </is>
      </c>
    </row>
    <row r="6612">
      <c r="A6612" t="inlineStr">
        <is>
          <t>PRAGMA</t>
        </is>
      </c>
      <c r="B6612" t="inlineStr">
        <is>
          <t>M2</t>
        </is>
      </c>
      <c r="C6612" t="inlineStr">
        <is>
          <t>Cali</t>
        </is>
      </c>
      <c r="D6612" t="inlineStr">
        <is>
          <t>1116</t>
        </is>
      </c>
      <c r="E6612" t="inlineStr">
        <is>
          <t>pagado</t>
        </is>
      </c>
      <c r="F6612" s="23" t="n">
        <v>46278</v>
      </c>
      <c r="G6612" s="24">
        <f>F6612-DATE(2026,8,31)</f>
        <v>13</v>
      </c>
      <c r="H6612" s="25" t="n">
        <v>15351454</v>
      </c>
      <c r="I6612" t="inlineStr">
        <is>
          <t>entidad-dia</t>
        </is>
      </c>
    </row>
    <row r="6613">
      <c r="A6613" t="inlineStr">
        <is>
          <t>PRAGMA</t>
        </is>
      </c>
      <c r="B6613" t="inlineStr">
        <is>
          <t>M2</t>
        </is>
      </c>
      <c r="C6613" t="inlineStr">
        <is>
          <t>Cali</t>
        </is>
      </c>
      <c r="D6613" t="inlineStr">
        <is>
          <t>1116</t>
        </is>
      </c>
      <c r="E6613" t="inlineStr">
        <is>
          <t>cash_in</t>
        </is>
      </c>
      <c r="F6613" s="23" t="n">
        <v>46278</v>
      </c>
      <c r="G6613" s="24">
        <f>F6613-DATE(2026,8,31)</f>
        <v>13</v>
      </c>
      <c r="H6613" s="25" t="n">
        <v>26761381</v>
      </c>
      <c r="I6613" t="inlineStr">
        <is>
          <t>entidad-dia</t>
        </is>
      </c>
    </row>
    <row r="6614">
      <c r="A6614" t="inlineStr">
        <is>
          <t>PRAGMA</t>
        </is>
      </c>
      <c r="B6614" t="inlineStr">
        <is>
          <t>M2</t>
        </is>
      </c>
      <c r="C6614" t="inlineStr">
        <is>
          <t>Cali</t>
        </is>
      </c>
      <c r="D6614" t="inlineStr">
        <is>
          <t>1116</t>
        </is>
      </c>
      <c r="E6614" t="inlineStr">
        <is>
          <t>pagado</t>
        </is>
      </c>
      <c r="F6614" s="23" t="n">
        <v>46279</v>
      </c>
      <c r="G6614" s="24">
        <f>F6614-DATE(2026,8,31)</f>
        <v>14</v>
      </c>
      <c r="H6614" s="25" t="n">
        <v>27927081</v>
      </c>
      <c r="I6614" t="inlineStr">
        <is>
          <t>entidad-dia</t>
        </is>
      </c>
    </row>
    <row r="6615">
      <c r="A6615" t="inlineStr">
        <is>
          <t>PRAGMA</t>
        </is>
      </c>
      <c r="B6615" t="inlineStr">
        <is>
          <t>M2</t>
        </is>
      </c>
      <c r="C6615" t="inlineStr">
        <is>
          <t>Cali</t>
        </is>
      </c>
      <c r="D6615" t="inlineStr">
        <is>
          <t>1116</t>
        </is>
      </c>
      <c r="E6615" t="inlineStr">
        <is>
          <t>cash_in</t>
        </is>
      </c>
      <c r="F6615" s="23" t="n">
        <v>46279</v>
      </c>
      <c r="G6615" s="24">
        <f>F6615-DATE(2026,8,31)</f>
        <v>14</v>
      </c>
      <c r="H6615" s="25" t="n">
        <v>93247063</v>
      </c>
      <c r="I6615" t="inlineStr">
        <is>
          <t>entidad-dia</t>
        </is>
      </c>
    </row>
    <row r="6616">
      <c r="A6616" t="inlineStr">
        <is>
          <t>PRAGMA</t>
        </is>
      </c>
      <c r="B6616" t="inlineStr">
        <is>
          <t>M2</t>
        </is>
      </c>
      <c r="C6616" t="inlineStr">
        <is>
          <t>Cali</t>
        </is>
      </c>
      <c r="D6616" t="inlineStr">
        <is>
          <t>1116</t>
        </is>
      </c>
      <c r="E6616" t="inlineStr">
        <is>
          <t>pagado</t>
        </is>
      </c>
      <c r="F6616" s="23" t="n">
        <v>46280</v>
      </c>
      <c r="G6616" s="24">
        <f>F6616-DATE(2026,8,31)</f>
        <v>15</v>
      </c>
      <c r="H6616" s="25" t="n">
        <v>33396761</v>
      </c>
      <c r="I6616" t="inlineStr">
        <is>
          <t>entidad-dia</t>
        </is>
      </c>
    </row>
    <row r="6617">
      <c r="A6617" t="inlineStr">
        <is>
          <t>PRAGMA</t>
        </is>
      </c>
      <c r="B6617" t="inlineStr">
        <is>
          <t>M2</t>
        </is>
      </c>
      <c r="C6617" t="inlineStr">
        <is>
          <t>Cali</t>
        </is>
      </c>
      <c r="D6617" t="inlineStr">
        <is>
          <t>1116</t>
        </is>
      </c>
      <c r="E6617" t="inlineStr">
        <is>
          <t>cash_in</t>
        </is>
      </c>
      <c r="F6617" s="23" t="n">
        <v>46280</v>
      </c>
      <c r="G6617" s="24">
        <f>F6617-DATE(2026,8,31)</f>
        <v>15</v>
      </c>
      <c r="H6617" s="25" t="n">
        <v>100788230</v>
      </c>
      <c r="I6617" t="inlineStr">
        <is>
          <t>entidad-dia</t>
        </is>
      </c>
    </row>
    <row r="6618">
      <c r="A6618" t="inlineStr">
        <is>
          <t>PRAGMA</t>
        </is>
      </c>
      <c r="B6618" t="inlineStr">
        <is>
          <t>M2</t>
        </is>
      </c>
      <c r="C6618" t="inlineStr">
        <is>
          <t>Cali</t>
        </is>
      </c>
      <c r="D6618" t="inlineStr">
        <is>
          <t>1377</t>
        </is>
      </c>
      <c r="E6618" t="inlineStr">
        <is>
          <t>pagado</t>
        </is>
      </c>
      <c r="F6618" s="23" t="n">
        <v>46266</v>
      </c>
      <c r="G6618" s="24">
        <f>F6618-DATE(2026,8,31)</f>
        <v>1</v>
      </c>
      <c r="H6618" s="25" t="n">
        <v>43373217</v>
      </c>
      <c r="I6618" t="inlineStr">
        <is>
          <t>entidad-dia</t>
        </is>
      </c>
    </row>
    <row r="6619">
      <c r="A6619" t="inlineStr">
        <is>
          <t>PRAGMA</t>
        </is>
      </c>
      <c r="B6619" t="inlineStr">
        <is>
          <t>M2</t>
        </is>
      </c>
      <c r="C6619" t="inlineStr">
        <is>
          <t>Cali</t>
        </is>
      </c>
      <c r="D6619" t="inlineStr">
        <is>
          <t>1377</t>
        </is>
      </c>
      <c r="E6619" t="inlineStr">
        <is>
          <t>cash_in</t>
        </is>
      </c>
      <c r="F6619" s="23" t="n">
        <v>46266</v>
      </c>
      <c r="G6619" s="24">
        <f>F6619-DATE(2026,8,31)</f>
        <v>1</v>
      </c>
      <c r="H6619" s="25" t="n">
        <v>36040702</v>
      </c>
      <c r="I6619" t="inlineStr">
        <is>
          <t>entidad-dia</t>
        </is>
      </c>
    </row>
    <row r="6620">
      <c r="A6620" t="inlineStr">
        <is>
          <t>PRAGMA</t>
        </is>
      </c>
      <c r="B6620" t="inlineStr">
        <is>
          <t>M2</t>
        </is>
      </c>
      <c r="C6620" t="inlineStr">
        <is>
          <t>Cali</t>
        </is>
      </c>
      <c r="D6620" t="inlineStr">
        <is>
          <t>1377</t>
        </is>
      </c>
      <c r="E6620" t="inlineStr">
        <is>
          <t>pagado</t>
        </is>
      </c>
      <c r="F6620" s="23" t="n">
        <v>46267</v>
      </c>
      <c r="G6620" s="24">
        <f>F6620-DATE(2026,8,31)</f>
        <v>2</v>
      </c>
      <c r="H6620" s="25" t="n">
        <v>34979065</v>
      </c>
      <c r="I6620" t="inlineStr">
        <is>
          <t>entidad-dia</t>
        </is>
      </c>
    </row>
    <row r="6621">
      <c r="A6621" t="inlineStr">
        <is>
          <t>PRAGMA</t>
        </is>
      </c>
      <c r="B6621" t="inlineStr">
        <is>
          <t>M2</t>
        </is>
      </c>
      <c r="C6621" t="inlineStr">
        <is>
          <t>Cali</t>
        </is>
      </c>
      <c r="D6621" t="inlineStr">
        <is>
          <t>1377</t>
        </is>
      </c>
      <c r="E6621" t="inlineStr">
        <is>
          <t>cash_in</t>
        </is>
      </c>
      <c r="F6621" s="23" t="n">
        <v>46267</v>
      </c>
      <c r="G6621" s="24">
        <f>F6621-DATE(2026,8,31)</f>
        <v>2</v>
      </c>
      <c r="H6621" s="25" t="n">
        <v>38454497</v>
      </c>
      <c r="I6621" t="inlineStr">
        <is>
          <t>entidad-dia</t>
        </is>
      </c>
    </row>
    <row r="6622">
      <c r="A6622" t="inlineStr">
        <is>
          <t>PRAGMA</t>
        </is>
      </c>
      <c r="B6622" t="inlineStr">
        <is>
          <t>M2</t>
        </is>
      </c>
      <c r="C6622" t="inlineStr">
        <is>
          <t>Cali</t>
        </is>
      </c>
      <c r="D6622" t="inlineStr">
        <is>
          <t>1377</t>
        </is>
      </c>
      <c r="E6622" t="inlineStr">
        <is>
          <t>pagado</t>
        </is>
      </c>
      <c r="F6622" s="23" t="n">
        <v>46268</v>
      </c>
      <c r="G6622" s="24">
        <f>F6622-DATE(2026,8,31)</f>
        <v>3</v>
      </c>
      <c r="H6622" s="25" t="n">
        <v>32747090</v>
      </c>
      <c r="I6622" t="inlineStr">
        <is>
          <t>entidad-dia</t>
        </is>
      </c>
    </row>
    <row r="6623">
      <c r="A6623" t="inlineStr">
        <is>
          <t>PRAGMA</t>
        </is>
      </c>
      <c r="B6623" t="inlineStr">
        <is>
          <t>M2</t>
        </is>
      </c>
      <c r="C6623" t="inlineStr">
        <is>
          <t>Cali</t>
        </is>
      </c>
      <c r="D6623" t="inlineStr">
        <is>
          <t>1377</t>
        </is>
      </c>
      <c r="E6623" t="inlineStr">
        <is>
          <t>cash_in</t>
        </is>
      </c>
      <c r="F6623" s="23" t="n">
        <v>46268</v>
      </c>
      <c r="G6623" s="24">
        <f>F6623-DATE(2026,8,31)</f>
        <v>3</v>
      </c>
      <c r="H6623" s="25" t="n">
        <v>34299053</v>
      </c>
      <c r="I6623" t="inlineStr">
        <is>
          <t>entidad-dia</t>
        </is>
      </c>
    </row>
    <row r="6624">
      <c r="A6624" t="inlineStr">
        <is>
          <t>PRAGMA</t>
        </is>
      </c>
      <c r="B6624" t="inlineStr">
        <is>
          <t>M2</t>
        </is>
      </c>
      <c r="C6624" t="inlineStr">
        <is>
          <t>Cali</t>
        </is>
      </c>
      <c r="D6624" t="inlineStr">
        <is>
          <t>1377</t>
        </is>
      </c>
      <c r="E6624" t="inlineStr">
        <is>
          <t>pagado</t>
        </is>
      </c>
      <c r="F6624" s="23" t="n">
        <v>46269</v>
      </c>
      <c r="G6624" s="24">
        <f>F6624-DATE(2026,8,31)</f>
        <v>4</v>
      </c>
      <c r="H6624" s="25" t="n">
        <v>32952254</v>
      </c>
      <c r="I6624" t="inlineStr">
        <is>
          <t>entidad-dia</t>
        </is>
      </c>
    </row>
    <row r="6625">
      <c r="A6625" t="inlineStr">
        <is>
          <t>PRAGMA</t>
        </is>
      </c>
      <c r="B6625" t="inlineStr">
        <is>
          <t>M2</t>
        </is>
      </c>
      <c r="C6625" t="inlineStr">
        <is>
          <t>Cali</t>
        </is>
      </c>
      <c r="D6625" t="inlineStr">
        <is>
          <t>1377</t>
        </is>
      </c>
      <c r="E6625" t="inlineStr">
        <is>
          <t>cash_in</t>
        </is>
      </c>
      <c r="F6625" s="23" t="n">
        <v>46269</v>
      </c>
      <c r="G6625" s="24">
        <f>F6625-DATE(2026,8,31)</f>
        <v>4</v>
      </c>
      <c r="H6625" s="25" t="n">
        <v>37252474</v>
      </c>
      <c r="I6625" t="inlineStr">
        <is>
          <t>entidad-dia</t>
        </is>
      </c>
    </row>
    <row r="6626">
      <c r="A6626" t="inlineStr">
        <is>
          <t>PRAGMA</t>
        </is>
      </c>
      <c r="B6626" t="inlineStr">
        <is>
          <t>M2</t>
        </is>
      </c>
      <c r="C6626" t="inlineStr">
        <is>
          <t>Cali</t>
        </is>
      </c>
      <c r="D6626" t="inlineStr">
        <is>
          <t>1377</t>
        </is>
      </c>
      <c r="E6626" t="inlineStr">
        <is>
          <t>pagado</t>
        </is>
      </c>
      <c r="F6626" s="23" t="n">
        <v>46270</v>
      </c>
      <c r="G6626" s="24">
        <f>F6626-DATE(2026,8,31)</f>
        <v>5</v>
      </c>
      <c r="H6626" s="25" t="n">
        <v>37877054</v>
      </c>
      <c r="I6626" t="inlineStr">
        <is>
          <t>entidad-dia</t>
        </is>
      </c>
    </row>
    <row r="6627">
      <c r="A6627" t="inlineStr">
        <is>
          <t>PRAGMA</t>
        </is>
      </c>
      <c r="B6627" t="inlineStr">
        <is>
          <t>M2</t>
        </is>
      </c>
      <c r="C6627" t="inlineStr">
        <is>
          <t>Cali</t>
        </is>
      </c>
      <c r="D6627" t="inlineStr">
        <is>
          <t>1377</t>
        </is>
      </c>
      <c r="E6627" t="inlineStr">
        <is>
          <t>cash_in</t>
        </is>
      </c>
      <c r="F6627" s="23" t="n">
        <v>46270</v>
      </c>
      <c r="G6627" s="24">
        <f>F6627-DATE(2026,8,31)</f>
        <v>5</v>
      </c>
      <c r="H6627" s="25" t="n">
        <v>36902656</v>
      </c>
      <c r="I6627" t="inlineStr">
        <is>
          <t>entidad-dia</t>
        </is>
      </c>
    </row>
    <row r="6628">
      <c r="A6628" t="inlineStr">
        <is>
          <t>PRAGMA</t>
        </is>
      </c>
      <c r="B6628" t="inlineStr">
        <is>
          <t>M2</t>
        </is>
      </c>
      <c r="C6628" t="inlineStr">
        <is>
          <t>Cali</t>
        </is>
      </c>
      <c r="D6628" t="inlineStr">
        <is>
          <t>1377</t>
        </is>
      </c>
      <c r="E6628" t="inlineStr">
        <is>
          <t>pagado</t>
        </is>
      </c>
      <c r="F6628" s="23" t="n">
        <v>46271</v>
      </c>
      <c r="G6628" s="24">
        <f>F6628-DATE(2026,8,31)</f>
        <v>6</v>
      </c>
      <c r="H6628" s="25" t="n">
        <v>29196683</v>
      </c>
      <c r="I6628" t="inlineStr">
        <is>
          <t>entidad-dia</t>
        </is>
      </c>
    </row>
    <row r="6629">
      <c r="A6629" t="inlineStr">
        <is>
          <t>PRAGMA</t>
        </is>
      </c>
      <c r="B6629" t="inlineStr">
        <is>
          <t>M2</t>
        </is>
      </c>
      <c r="C6629" t="inlineStr">
        <is>
          <t>Cali</t>
        </is>
      </c>
      <c r="D6629" t="inlineStr">
        <is>
          <t>1377</t>
        </is>
      </c>
      <c r="E6629" t="inlineStr">
        <is>
          <t>cash_in</t>
        </is>
      </c>
      <c r="F6629" s="23" t="n">
        <v>46271</v>
      </c>
      <c r="G6629" s="24">
        <f>F6629-DATE(2026,8,31)</f>
        <v>6</v>
      </c>
      <c r="H6629" s="25" t="n">
        <v>23895156</v>
      </c>
      <c r="I6629" t="inlineStr">
        <is>
          <t>entidad-dia</t>
        </is>
      </c>
    </row>
    <row r="6630">
      <c r="A6630" t="inlineStr">
        <is>
          <t>PRAGMA</t>
        </is>
      </c>
      <c r="B6630" t="inlineStr">
        <is>
          <t>M2</t>
        </is>
      </c>
      <c r="C6630" t="inlineStr">
        <is>
          <t>Cali</t>
        </is>
      </c>
      <c r="D6630" t="inlineStr">
        <is>
          <t>1377</t>
        </is>
      </c>
      <c r="E6630" t="inlineStr">
        <is>
          <t>pagado</t>
        </is>
      </c>
      <c r="F6630" s="23" t="n">
        <v>46272</v>
      </c>
      <c r="G6630" s="24">
        <f>F6630-DATE(2026,8,31)</f>
        <v>7</v>
      </c>
      <c r="H6630" s="25" t="n">
        <v>28089148</v>
      </c>
      <c r="I6630" t="inlineStr">
        <is>
          <t>entidad-dia</t>
        </is>
      </c>
    </row>
    <row r="6631">
      <c r="A6631" t="inlineStr">
        <is>
          <t>PRAGMA</t>
        </is>
      </c>
      <c r="B6631" t="inlineStr">
        <is>
          <t>M2</t>
        </is>
      </c>
      <c r="C6631" t="inlineStr">
        <is>
          <t>Cali</t>
        </is>
      </c>
      <c r="D6631" t="inlineStr">
        <is>
          <t>1377</t>
        </is>
      </c>
      <c r="E6631" t="inlineStr">
        <is>
          <t>cash_in</t>
        </is>
      </c>
      <c r="F6631" s="23" t="n">
        <v>46272</v>
      </c>
      <c r="G6631" s="24">
        <f>F6631-DATE(2026,8,31)</f>
        <v>7</v>
      </c>
      <c r="H6631" s="25" t="n">
        <v>36111246</v>
      </c>
      <c r="I6631" t="inlineStr">
        <is>
          <t>entidad-dia</t>
        </is>
      </c>
    </row>
    <row r="6632">
      <c r="A6632" t="inlineStr">
        <is>
          <t>PRAGMA</t>
        </is>
      </c>
      <c r="B6632" t="inlineStr">
        <is>
          <t>M2</t>
        </is>
      </c>
      <c r="C6632" t="inlineStr">
        <is>
          <t>Cali</t>
        </is>
      </c>
      <c r="D6632" t="inlineStr">
        <is>
          <t>1377</t>
        </is>
      </c>
      <c r="E6632" t="inlineStr">
        <is>
          <t>pagado</t>
        </is>
      </c>
      <c r="F6632" s="23" t="n">
        <v>46273</v>
      </c>
      <c r="G6632" s="24">
        <f>F6632-DATE(2026,8,31)</f>
        <v>8</v>
      </c>
      <c r="H6632" s="25" t="n">
        <v>31134252</v>
      </c>
      <c r="I6632" t="inlineStr">
        <is>
          <t>entidad-dia</t>
        </is>
      </c>
    </row>
    <row r="6633">
      <c r="A6633" t="inlineStr">
        <is>
          <t>PRAGMA</t>
        </is>
      </c>
      <c r="B6633" t="inlineStr">
        <is>
          <t>M2</t>
        </is>
      </c>
      <c r="C6633" t="inlineStr">
        <is>
          <t>Cali</t>
        </is>
      </c>
      <c r="D6633" t="inlineStr">
        <is>
          <t>1377</t>
        </is>
      </c>
      <c r="E6633" t="inlineStr">
        <is>
          <t>cash_in</t>
        </is>
      </c>
      <c r="F6633" s="23" t="n">
        <v>46273</v>
      </c>
      <c r="G6633" s="24">
        <f>F6633-DATE(2026,8,31)</f>
        <v>8</v>
      </c>
      <c r="H6633" s="25" t="n">
        <v>32757183</v>
      </c>
      <c r="I6633" t="inlineStr">
        <is>
          <t>entidad-dia</t>
        </is>
      </c>
    </row>
    <row r="6634">
      <c r="A6634" t="inlineStr">
        <is>
          <t>PRAGMA</t>
        </is>
      </c>
      <c r="B6634" t="inlineStr">
        <is>
          <t>M2</t>
        </is>
      </c>
      <c r="C6634" t="inlineStr">
        <is>
          <t>Cali</t>
        </is>
      </c>
      <c r="D6634" t="inlineStr">
        <is>
          <t>1377</t>
        </is>
      </c>
      <c r="E6634" t="inlineStr">
        <is>
          <t>pagado</t>
        </is>
      </c>
      <c r="F6634" s="23" t="n">
        <v>46274</v>
      </c>
      <c r="G6634" s="24">
        <f>F6634-DATE(2026,8,31)</f>
        <v>9</v>
      </c>
      <c r="H6634" s="25" t="n">
        <v>27459588</v>
      </c>
      <c r="I6634" t="inlineStr">
        <is>
          <t>entidad-dia</t>
        </is>
      </c>
    </row>
    <row r="6635">
      <c r="A6635" t="inlineStr">
        <is>
          <t>PRAGMA</t>
        </is>
      </c>
      <c r="B6635" t="inlineStr">
        <is>
          <t>M2</t>
        </is>
      </c>
      <c r="C6635" t="inlineStr">
        <is>
          <t>Cali</t>
        </is>
      </c>
      <c r="D6635" t="inlineStr">
        <is>
          <t>1377</t>
        </is>
      </c>
      <c r="E6635" t="inlineStr">
        <is>
          <t>cash_in</t>
        </is>
      </c>
      <c r="F6635" s="23" t="n">
        <v>46274</v>
      </c>
      <c r="G6635" s="24">
        <f>F6635-DATE(2026,8,31)</f>
        <v>9</v>
      </c>
      <c r="H6635" s="25" t="n">
        <v>31923463</v>
      </c>
      <c r="I6635" t="inlineStr">
        <is>
          <t>entidad-dia</t>
        </is>
      </c>
    </row>
    <row r="6636">
      <c r="A6636" t="inlineStr">
        <is>
          <t>PRAGMA</t>
        </is>
      </c>
      <c r="B6636" t="inlineStr">
        <is>
          <t>M2</t>
        </is>
      </c>
      <c r="C6636" t="inlineStr">
        <is>
          <t>Cali</t>
        </is>
      </c>
      <c r="D6636" t="inlineStr">
        <is>
          <t>1377</t>
        </is>
      </c>
      <c r="E6636" t="inlineStr">
        <is>
          <t>pagado</t>
        </is>
      </c>
      <c r="F6636" s="23" t="n">
        <v>46275</v>
      </c>
      <c r="G6636" s="24">
        <f>F6636-DATE(2026,8,31)</f>
        <v>10</v>
      </c>
      <c r="H6636" s="25" t="n">
        <v>26220043</v>
      </c>
      <c r="I6636" t="inlineStr">
        <is>
          <t>entidad-dia</t>
        </is>
      </c>
    </row>
    <row r="6637">
      <c r="A6637" t="inlineStr">
        <is>
          <t>PRAGMA</t>
        </is>
      </c>
      <c r="B6637" t="inlineStr">
        <is>
          <t>M2</t>
        </is>
      </c>
      <c r="C6637" t="inlineStr">
        <is>
          <t>Cali</t>
        </is>
      </c>
      <c r="D6637" t="inlineStr">
        <is>
          <t>1377</t>
        </is>
      </c>
      <c r="E6637" t="inlineStr">
        <is>
          <t>cash_in</t>
        </is>
      </c>
      <c r="F6637" s="23" t="n">
        <v>46275</v>
      </c>
      <c r="G6637" s="24">
        <f>F6637-DATE(2026,8,31)</f>
        <v>10</v>
      </c>
      <c r="H6637" s="25" t="n">
        <v>29977859</v>
      </c>
      <c r="I6637" t="inlineStr">
        <is>
          <t>entidad-dia</t>
        </is>
      </c>
    </row>
    <row r="6638">
      <c r="A6638" t="inlineStr">
        <is>
          <t>PRAGMA</t>
        </is>
      </c>
      <c r="B6638" t="inlineStr">
        <is>
          <t>M2</t>
        </is>
      </c>
      <c r="C6638" t="inlineStr">
        <is>
          <t>Cali</t>
        </is>
      </c>
      <c r="D6638" t="inlineStr">
        <is>
          <t>1377</t>
        </is>
      </c>
      <c r="E6638" t="inlineStr">
        <is>
          <t>pagado</t>
        </is>
      </c>
      <c r="F6638" s="23" t="n">
        <v>46276</v>
      </c>
      <c r="G6638" s="24">
        <f>F6638-DATE(2026,8,31)</f>
        <v>11</v>
      </c>
      <c r="H6638" s="25" t="n">
        <v>27667308</v>
      </c>
      <c r="I6638" t="inlineStr">
        <is>
          <t>entidad-dia</t>
        </is>
      </c>
    </row>
    <row r="6639">
      <c r="A6639" t="inlineStr">
        <is>
          <t>PRAGMA</t>
        </is>
      </c>
      <c r="B6639" t="inlineStr">
        <is>
          <t>M2</t>
        </is>
      </c>
      <c r="C6639" t="inlineStr">
        <is>
          <t>Cali</t>
        </is>
      </c>
      <c r="D6639" t="inlineStr">
        <is>
          <t>1377</t>
        </is>
      </c>
      <c r="E6639" t="inlineStr">
        <is>
          <t>cash_in</t>
        </is>
      </c>
      <c r="F6639" s="23" t="n">
        <v>46276</v>
      </c>
      <c r="G6639" s="24">
        <f>F6639-DATE(2026,8,31)</f>
        <v>11</v>
      </c>
      <c r="H6639" s="25" t="n">
        <v>31546758</v>
      </c>
      <c r="I6639" t="inlineStr">
        <is>
          <t>entidad-dia</t>
        </is>
      </c>
    </row>
    <row r="6640">
      <c r="A6640" t="inlineStr">
        <is>
          <t>PRAGMA</t>
        </is>
      </c>
      <c r="B6640" t="inlineStr">
        <is>
          <t>M2</t>
        </is>
      </c>
      <c r="C6640" t="inlineStr">
        <is>
          <t>Cali</t>
        </is>
      </c>
      <c r="D6640" t="inlineStr">
        <is>
          <t>1377</t>
        </is>
      </c>
      <c r="E6640" t="inlineStr">
        <is>
          <t>pagado</t>
        </is>
      </c>
      <c r="F6640" s="23" t="n">
        <v>46277</v>
      </c>
      <c r="G6640" s="24">
        <f>F6640-DATE(2026,8,31)</f>
        <v>12</v>
      </c>
      <c r="H6640" s="25" t="n">
        <v>32552065</v>
      </c>
      <c r="I6640" t="inlineStr">
        <is>
          <t>entidad-dia</t>
        </is>
      </c>
    </row>
    <row r="6641">
      <c r="A6641" t="inlineStr">
        <is>
          <t>PRAGMA</t>
        </is>
      </c>
      <c r="B6641" t="inlineStr">
        <is>
          <t>M2</t>
        </is>
      </c>
      <c r="C6641" t="inlineStr">
        <is>
          <t>Cali</t>
        </is>
      </c>
      <c r="D6641" t="inlineStr">
        <is>
          <t>1377</t>
        </is>
      </c>
      <c r="E6641" t="inlineStr">
        <is>
          <t>cash_in</t>
        </is>
      </c>
      <c r="F6641" s="23" t="n">
        <v>46277</v>
      </c>
      <c r="G6641" s="24">
        <f>F6641-DATE(2026,8,31)</f>
        <v>12</v>
      </c>
      <c r="H6641" s="25" t="n">
        <v>31240105</v>
      </c>
      <c r="I6641" t="inlineStr">
        <is>
          <t>entidad-dia</t>
        </is>
      </c>
    </row>
    <row r="6642">
      <c r="A6642" t="inlineStr">
        <is>
          <t>PRAGMA</t>
        </is>
      </c>
      <c r="B6642" t="inlineStr">
        <is>
          <t>M2</t>
        </is>
      </c>
      <c r="C6642" t="inlineStr">
        <is>
          <t>Cali</t>
        </is>
      </c>
      <c r="D6642" t="inlineStr">
        <is>
          <t>1377</t>
        </is>
      </c>
      <c r="E6642" t="inlineStr">
        <is>
          <t>pagado</t>
        </is>
      </c>
      <c r="F6642" s="23" t="n">
        <v>46278</v>
      </c>
      <c r="G6642" s="24">
        <f>F6642-DATE(2026,8,31)</f>
        <v>13</v>
      </c>
      <c r="H6642" s="25" t="n">
        <v>27463625</v>
      </c>
      <c r="I6642" t="inlineStr">
        <is>
          <t>entidad-dia</t>
        </is>
      </c>
    </row>
    <row r="6643">
      <c r="A6643" t="inlineStr">
        <is>
          <t>PRAGMA</t>
        </is>
      </c>
      <c r="B6643" t="inlineStr">
        <is>
          <t>M2</t>
        </is>
      </c>
      <c r="C6643" t="inlineStr">
        <is>
          <t>Cali</t>
        </is>
      </c>
      <c r="D6643" t="inlineStr">
        <is>
          <t>1377</t>
        </is>
      </c>
      <c r="E6643" t="inlineStr">
        <is>
          <t>cash_in</t>
        </is>
      </c>
      <c r="F6643" s="23" t="n">
        <v>46278</v>
      </c>
      <c r="G6643" s="24">
        <f>F6643-DATE(2026,8,31)</f>
        <v>13</v>
      </c>
      <c r="H6643" s="25" t="n">
        <v>20665800</v>
      </c>
      <c r="I6643" t="inlineStr">
        <is>
          <t>entidad-dia</t>
        </is>
      </c>
    </row>
    <row r="6644">
      <c r="A6644" t="inlineStr">
        <is>
          <t>PRAGMA</t>
        </is>
      </c>
      <c r="B6644" t="inlineStr">
        <is>
          <t>M2</t>
        </is>
      </c>
      <c r="C6644" t="inlineStr">
        <is>
          <t>Cali</t>
        </is>
      </c>
      <c r="D6644" t="inlineStr">
        <is>
          <t>1377</t>
        </is>
      </c>
      <c r="E6644" t="inlineStr">
        <is>
          <t>pagado</t>
        </is>
      </c>
      <c r="F6644" s="23" t="n">
        <v>46279</v>
      </c>
      <c r="G6644" s="24">
        <f>F6644-DATE(2026,8,31)</f>
        <v>14</v>
      </c>
      <c r="H6644" s="25" t="n">
        <v>25959222</v>
      </c>
      <c r="I6644" t="inlineStr">
        <is>
          <t>entidad-dia</t>
        </is>
      </c>
    </row>
    <row r="6645">
      <c r="A6645" t="inlineStr">
        <is>
          <t>PRAGMA</t>
        </is>
      </c>
      <c r="B6645" t="inlineStr">
        <is>
          <t>M2</t>
        </is>
      </c>
      <c r="C6645" t="inlineStr">
        <is>
          <t>Cali</t>
        </is>
      </c>
      <c r="D6645" t="inlineStr">
        <is>
          <t>1377</t>
        </is>
      </c>
      <c r="E6645" t="inlineStr">
        <is>
          <t>cash_in</t>
        </is>
      </c>
      <c r="F6645" s="23" t="n">
        <v>46279</v>
      </c>
      <c r="G6645" s="24">
        <f>F6645-DATE(2026,8,31)</f>
        <v>14</v>
      </c>
      <c r="H6645" s="25" t="n">
        <v>31304368</v>
      </c>
      <c r="I6645" t="inlineStr">
        <is>
          <t>entidad-dia</t>
        </is>
      </c>
    </row>
    <row r="6646">
      <c r="A6646" t="inlineStr">
        <is>
          <t>PRAGMA</t>
        </is>
      </c>
      <c r="B6646" t="inlineStr">
        <is>
          <t>M2</t>
        </is>
      </c>
      <c r="C6646" t="inlineStr">
        <is>
          <t>Cali</t>
        </is>
      </c>
      <c r="D6646" t="inlineStr">
        <is>
          <t>1377</t>
        </is>
      </c>
      <c r="E6646" t="inlineStr">
        <is>
          <t>pagado</t>
        </is>
      </c>
      <c r="F6646" s="23" t="n">
        <v>46280</v>
      </c>
      <c r="G6646" s="24">
        <f>F6646-DATE(2026,8,31)</f>
        <v>15</v>
      </c>
      <c r="H6646" s="25" t="n">
        <v>38449105</v>
      </c>
      <c r="I6646" t="inlineStr">
        <is>
          <t>entidad-dia</t>
        </is>
      </c>
    </row>
    <row r="6647">
      <c r="A6647" t="inlineStr">
        <is>
          <t>PRAGMA</t>
        </is>
      </c>
      <c r="B6647" t="inlineStr">
        <is>
          <t>M2</t>
        </is>
      </c>
      <c r="C6647" t="inlineStr">
        <is>
          <t>Cali</t>
        </is>
      </c>
      <c r="D6647" t="inlineStr">
        <is>
          <t>1377</t>
        </is>
      </c>
      <c r="E6647" t="inlineStr">
        <is>
          <t>cash_in</t>
        </is>
      </c>
      <c r="F6647" s="23" t="n">
        <v>46280</v>
      </c>
      <c r="G6647" s="24">
        <f>F6647-DATE(2026,8,31)</f>
        <v>15</v>
      </c>
      <c r="H6647" s="25" t="n">
        <v>35962010</v>
      </c>
      <c r="I6647" t="inlineStr">
        <is>
          <t>entidad-dia</t>
        </is>
      </c>
    </row>
    <row r="6648">
      <c r="A6648" t="inlineStr">
        <is>
          <t>PRAGMA</t>
        </is>
      </c>
      <c r="B6648" t="inlineStr">
        <is>
          <t>M2</t>
        </is>
      </c>
      <c r="C6648" t="inlineStr">
        <is>
          <t>Cali</t>
        </is>
      </c>
      <c r="D6648" t="inlineStr">
        <is>
          <t>1481</t>
        </is>
      </c>
      <c r="E6648" t="inlineStr">
        <is>
          <t>pagado</t>
        </is>
      </c>
      <c r="F6648" s="23" t="n">
        <v>46266</v>
      </c>
      <c r="G6648" s="24">
        <f>F6648-DATE(2026,8,31)</f>
        <v>1</v>
      </c>
      <c r="H6648" s="25" t="n">
        <v>0</v>
      </c>
      <c r="I6648" t="inlineStr">
        <is>
          <t>entidad-dia</t>
        </is>
      </c>
    </row>
    <row r="6649">
      <c r="A6649" t="inlineStr">
        <is>
          <t>PRAGMA</t>
        </is>
      </c>
      <c r="B6649" t="inlineStr">
        <is>
          <t>M2</t>
        </is>
      </c>
      <c r="C6649" t="inlineStr">
        <is>
          <t>Cali</t>
        </is>
      </c>
      <c r="D6649" t="inlineStr">
        <is>
          <t>1481</t>
        </is>
      </c>
      <c r="E6649" t="inlineStr">
        <is>
          <t>cash_in</t>
        </is>
      </c>
      <c r="F6649" s="23" t="n">
        <v>46266</v>
      </c>
      <c r="G6649" s="24">
        <f>F6649-DATE(2026,8,31)</f>
        <v>1</v>
      </c>
      <c r="H6649" s="25" t="n">
        <v>0</v>
      </c>
      <c r="I6649" t="inlineStr">
        <is>
          <t>entidad-dia</t>
        </is>
      </c>
    </row>
    <row r="6650">
      <c r="A6650" t="inlineStr">
        <is>
          <t>PRAGMA</t>
        </is>
      </c>
      <c r="B6650" t="inlineStr">
        <is>
          <t>M2</t>
        </is>
      </c>
      <c r="C6650" t="inlineStr">
        <is>
          <t>Cali</t>
        </is>
      </c>
      <c r="D6650" t="inlineStr">
        <is>
          <t>1481</t>
        </is>
      </c>
      <c r="E6650" t="inlineStr">
        <is>
          <t>pagado</t>
        </is>
      </c>
      <c r="F6650" s="23" t="n">
        <v>46267</v>
      </c>
      <c r="G6650" s="24">
        <f>F6650-DATE(2026,8,31)</f>
        <v>2</v>
      </c>
      <c r="H6650" s="25" t="n">
        <v>0</v>
      </c>
      <c r="I6650" t="inlineStr">
        <is>
          <t>entidad-dia</t>
        </is>
      </c>
    </row>
    <row r="6651">
      <c r="A6651" t="inlineStr">
        <is>
          <t>PRAGMA</t>
        </is>
      </c>
      <c r="B6651" t="inlineStr">
        <is>
          <t>M2</t>
        </is>
      </c>
      <c r="C6651" t="inlineStr">
        <is>
          <t>Cali</t>
        </is>
      </c>
      <c r="D6651" t="inlineStr">
        <is>
          <t>1481</t>
        </is>
      </c>
      <c r="E6651" t="inlineStr">
        <is>
          <t>cash_in</t>
        </is>
      </c>
      <c r="F6651" s="23" t="n">
        <v>46267</v>
      </c>
      <c r="G6651" s="24">
        <f>F6651-DATE(2026,8,31)</f>
        <v>2</v>
      </c>
      <c r="H6651" s="25" t="n">
        <v>0</v>
      </c>
      <c r="I6651" t="inlineStr">
        <is>
          <t>entidad-dia</t>
        </is>
      </c>
    </row>
    <row r="6652">
      <c r="A6652" t="inlineStr">
        <is>
          <t>PRAGMA</t>
        </is>
      </c>
      <c r="B6652" t="inlineStr">
        <is>
          <t>M2</t>
        </is>
      </c>
      <c r="C6652" t="inlineStr">
        <is>
          <t>Cali</t>
        </is>
      </c>
      <c r="D6652" t="inlineStr">
        <is>
          <t>1481</t>
        </is>
      </c>
      <c r="E6652" t="inlineStr">
        <is>
          <t>pagado</t>
        </is>
      </c>
      <c r="F6652" s="23" t="n">
        <v>46268</v>
      </c>
      <c r="G6652" s="24">
        <f>F6652-DATE(2026,8,31)</f>
        <v>3</v>
      </c>
      <c r="H6652" s="25" t="n">
        <v>0</v>
      </c>
      <c r="I6652" t="inlineStr">
        <is>
          <t>entidad-dia</t>
        </is>
      </c>
    </row>
    <row r="6653">
      <c r="A6653" t="inlineStr">
        <is>
          <t>PRAGMA</t>
        </is>
      </c>
      <c r="B6653" t="inlineStr">
        <is>
          <t>M2</t>
        </is>
      </c>
      <c r="C6653" t="inlineStr">
        <is>
          <t>Cali</t>
        </is>
      </c>
      <c r="D6653" t="inlineStr">
        <is>
          <t>1481</t>
        </is>
      </c>
      <c r="E6653" t="inlineStr">
        <is>
          <t>cash_in</t>
        </is>
      </c>
      <c r="F6653" s="23" t="n">
        <v>46268</v>
      </c>
      <c r="G6653" s="24">
        <f>F6653-DATE(2026,8,31)</f>
        <v>3</v>
      </c>
      <c r="H6653" s="25" t="n">
        <v>0</v>
      </c>
      <c r="I6653" t="inlineStr">
        <is>
          <t>entidad-dia</t>
        </is>
      </c>
    </row>
    <row r="6654">
      <c r="A6654" t="inlineStr">
        <is>
          <t>PRAGMA</t>
        </is>
      </c>
      <c r="B6654" t="inlineStr">
        <is>
          <t>M2</t>
        </is>
      </c>
      <c r="C6654" t="inlineStr">
        <is>
          <t>Cali</t>
        </is>
      </c>
      <c r="D6654" t="inlineStr">
        <is>
          <t>1481</t>
        </is>
      </c>
      <c r="E6654" t="inlineStr">
        <is>
          <t>pagado</t>
        </is>
      </c>
      <c r="F6654" s="23" t="n">
        <v>46269</v>
      </c>
      <c r="G6654" s="24">
        <f>F6654-DATE(2026,8,31)</f>
        <v>4</v>
      </c>
      <c r="H6654" s="25" t="n">
        <v>0</v>
      </c>
      <c r="I6654" t="inlineStr">
        <is>
          <t>entidad-dia</t>
        </is>
      </c>
    </row>
    <row r="6655">
      <c r="A6655" t="inlineStr">
        <is>
          <t>PRAGMA</t>
        </is>
      </c>
      <c r="B6655" t="inlineStr">
        <is>
          <t>M2</t>
        </is>
      </c>
      <c r="C6655" t="inlineStr">
        <is>
          <t>Cali</t>
        </is>
      </c>
      <c r="D6655" t="inlineStr">
        <is>
          <t>1481</t>
        </is>
      </c>
      <c r="E6655" t="inlineStr">
        <is>
          <t>cash_in</t>
        </is>
      </c>
      <c r="F6655" s="23" t="n">
        <v>46269</v>
      </c>
      <c r="G6655" s="24">
        <f>F6655-DATE(2026,8,31)</f>
        <v>4</v>
      </c>
      <c r="H6655" s="25" t="n">
        <v>0</v>
      </c>
      <c r="I6655" t="inlineStr">
        <is>
          <t>entidad-dia</t>
        </is>
      </c>
    </row>
    <row r="6656">
      <c r="A6656" t="inlineStr">
        <is>
          <t>PRAGMA</t>
        </is>
      </c>
      <c r="B6656" t="inlineStr">
        <is>
          <t>M2</t>
        </is>
      </c>
      <c r="C6656" t="inlineStr">
        <is>
          <t>Cali</t>
        </is>
      </c>
      <c r="D6656" t="inlineStr">
        <is>
          <t>1481</t>
        </is>
      </c>
      <c r="E6656" t="inlineStr">
        <is>
          <t>pagado</t>
        </is>
      </c>
      <c r="F6656" s="23" t="n">
        <v>46270</v>
      </c>
      <c r="G6656" s="24">
        <f>F6656-DATE(2026,8,31)</f>
        <v>5</v>
      </c>
      <c r="H6656" s="25" t="n">
        <v>0</v>
      </c>
      <c r="I6656" t="inlineStr">
        <is>
          <t>entidad-dia</t>
        </is>
      </c>
    </row>
    <row r="6657">
      <c r="A6657" t="inlineStr">
        <is>
          <t>PRAGMA</t>
        </is>
      </c>
      <c r="B6657" t="inlineStr">
        <is>
          <t>M2</t>
        </is>
      </c>
      <c r="C6657" t="inlineStr">
        <is>
          <t>Cali</t>
        </is>
      </c>
      <c r="D6657" t="inlineStr">
        <is>
          <t>1481</t>
        </is>
      </c>
      <c r="E6657" t="inlineStr">
        <is>
          <t>cash_in</t>
        </is>
      </c>
      <c r="F6657" s="23" t="n">
        <v>46270</v>
      </c>
      <c r="G6657" s="24">
        <f>F6657-DATE(2026,8,31)</f>
        <v>5</v>
      </c>
      <c r="H6657" s="25" t="n">
        <v>0</v>
      </c>
      <c r="I6657" t="inlineStr">
        <is>
          <t>entidad-dia</t>
        </is>
      </c>
    </row>
    <row r="6658">
      <c r="A6658" t="inlineStr">
        <is>
          <t>PRAGMA</t>
        </is>
      </c>
      <c r="B6658" t="inlineStr">
        <is>
          <t>M2</t>
        </is>
      </c>
      <c r="C6658" t="inlineStr">
        <is>
          <t>Cali</t>
        </is>
      </c>
      <c r="D6658" t="inlineStr">
        <is>
          <t>1481</t>
        </is>
      </c>
      <c r="E6658" t="inlineStr">
        <is>
          <t>pagado</t>
        </is>
      </c>
      <c r="F6658" s="23" t="n">
        <v>46271</v>
      </c>
      <c r="G6658" s="24">
        <f>F6658-DATE(2026,8,31)</f>
        <v>6</v>
      </c>
      <c r="H6658" s="25" t="n">
        <v>0</v>
      </c>
      <c r="I6658" t="inlineStr">
        <is>
          <t>entidad-dia</t>
        </is>
      </c>
    </row>
    <row r="6659">
      <c r="A6659" t="inlineStr">
        <is>
          <t>PRAGMA</t>
        </is>
      </c>
      <c r="B6659" t="inlineStr">
        <is>
          <t>M2</t>
        </is>
      </c>
      <c r="C6659" t="inlineStr">
        <is>
          <t>Cali</t>
        </is>
      </c>
      <c r="D6659" t="inlineStr">
        <is>
          <t>1481</t>
        </is>
      </c>
      <c r="E6659" t="inlineStr">
        <is>
          <t>cash_in</t>
        </is>
      </c>
      <c r="F6659" s="23" t="n">
        <v>46271</v>
      </c>
      <c r="G6659" s="24">
        <f>F6659-DATE(2026,8,31)</f>
        <v>6</v>
      </c>
      <c r="H6659" s="25" t="n">
        <v>0</v>
      </c>
      <c r="I6659" t="inlineStr">
        <is>
          <t>entidad-dia</t>
        </is>
      </c>
    </row>
    <row r="6660">
      <c r="A6660" t="inlineStr">
        <is>
          <t>PRAGMA</t>
        </is>
      </c>
      <c r="B6660" t="inlineStr">
        <is>
          <t>M2</t>
        </is>
      </c>
      <c r="C6660" t="inlineStr">
        <is>
          <t>Cali</t>
        </is>
      </c>
      <c r="D6660" t="inlineStr">
        <is>
          <t>1481</t>
        </is>
      </c>
      <c r="E6660" t="inlineStr">
        <is>
          <t>pagado</t>
        </is>
      </c>
      <c r="F6660" s="23" t="n">
        <v>46272</v>
      </c>
      <c r="G6660" s="24">
        <f>F6660-DATE(2026,8,31)</f>
        <v>7</v>
      </c>
      <c r="H6660" s="25" t="n">
        <v>0</v>
      </c>
      <c r="I6660" t="inlineStr">
        <is>
          <t>entidad-dia</t>
        </is>
      </c>
    </row>
    <row r="6661">
      <c r="A6661" t="inlineStr">
        <is>
          <t>PRAGMA</t>
        </is>
      </c>
      <c r="B6661" t="inlineStr">
        <is>
          <t>M2</t>
        </is>
      </c>
      <c r="C6661" t="inlineStr">
        <is>
          <t>Cali</t>
        </is>
      </c>
      <c r="D6661" t="inlineStr">
        <is>
          <t>1481</t>
        </is>
      </c>
      <c r="E6661" t="inlineStr">
        <is>
          <t>cash_in</t>
        </is>
      </c>
      <c r="F6661" s="23" t="n">
        <v>46272</v>
      </c>
      <c r="G6661" s="24">
        <f>F6661-DATE(2026,8,31)</f>
        <v>7</v>
      </c>
      <c r="H6661" s="25" t="n">
        <v>0</v>
      </c>
      <c r="I6661" t="inlineStr">
        <is>
          <t>entidad-dia</t>
        </is>
      </c>
    </row>
    <row r="6662">
      <c r="A6662" t="inlineStr">
        <is>
          <t>PRAGMA</t>
        </is>
      </c>
      <c r="B6662" t="inlineStr">
        <is>
          <t>M2</t>
        </is>
      </c>
      <c r="C6662" t="inlineStr">
        <is>
          <t>Cali</t>
        </is>
      </c>
      <c r="D6662" t="inlineStr">
        <is>
          <t>1481</t>
        </is>
      </c>
      <c r="E6662" t="inlineStr">
        <is>
          <t>pagado</t>
        </is>
      </c>
      <c r="F6662" s="23" t="n">
        <v>46273</v>
      </c>
      <c r="G6662" s="24">
        <f>F6662-DATE(2026,8,31)</f>
        <v>8</v>
      </c>
      <c r="H6662" s="25" t="n">
        <v>0</v>
      </c>
      <c r="I6662" t="inlineStr">
        <is>
          <t>entidad-dia</t>
        </is>
      </c>
    </row>
    <row r="6663">
      <c r="A6663" t="inlineStr">
        <is>
          <t>PRAGMA</t>
        </is>
      </c>
      <c r="B6663" t="inlineStr">
        <is>
          <t>M2</t>
        </is>
      </c>
      <c r="C6663" t="inlineStr">
        <is>
          <t>Cali</t>
        </is>
      </c>
      <c r="D6663" t="inlineStr">
        <is>
          <t>1481</t>
        </is>
      </c>
      <c r="E6663" t="inlineStr">
        <is>
          <t>cash_in</t>
        </is>
      </c>
      <c r="F6663" s="23" t="n">
        <v>46273</v>
      </c>
      <c r="G6663" s="24">
        <f>F6663-DATE(2026,8,31)</f>
        <v>8</v>
      </c>
      <c r="H6663" s="25" t="n">
        <v>0</v>
      </c>
      <c r="I6663" t="inlineStr">
        <is>
          <t>entidad-dia</t>
        </is>
      </c>
    </row>
    <row r="6664">
      <c r="A6664" t="inlineStr">
        <is>
          <t>PRAGMA</t>
        </is>
      </c>
      <c r="B6664" t="inlineStr">
        <is>
          <t>M2</t>
        </is>
      </c>
      <c r="C6664" t="inlineStr">
        <is>
          <t>Cali</t>
        </is>
      </c>
      <c r="D6664" t="inlineStr">
        <is>
          <t>1481</t>
        </is>
      </c>
      <c r="E6664" t="inlineStr">
        <is>
          <t>pagado</t>
        </is>
      </c>
      <c r="F6664" s="23" t="n">
        <v>46274</v>
      </c>
      <c r="G6664" s="24">
        <f>F6664-DATE(2026,8,31)</f>
        <v>9</v>
      </c>
      <c r="H6664" s="25" t="n">
        <v>0</v>
      </c>
      <c r="I6664" t="inlineStr">
        <is>
          <t>entidad-dia</t>
        </is>
      </c>
    </row>
    <row r="6665">
      <c r="A6665" t="inlineStr">
        <is>
          <t>PRAGMA</t>
        </is>
      </c>
      <c r="B6665" t="inlineStr">
        <is>
          <t>M2</t>
        </is>
      </c>
      <c r="C6665" t="inlineStr">
        <is>
          <t>Cali</t>
        </is>
      </c>
      <c r="D6665" t="inlineStr">
        <is>
          <t>1481</t>
        </is>
      </c>
      <c r="E6665" t="inlineStr">
        <is>
          <t>cash_in</t>
        </is>
      </c>
      <c r="F6665" s="23" t="n">
        <v>46274</v>
      </c>
      <c r="G6665" s="24">
        <f>F6665-DATE(2026,8,31)</f>
        <v>9</v>
      </c>
      <c r="H6665" s="25" t="n">
        <v>0</v>
      </c>
      <c r="I6665" t="inlineStr">
        <is>
          <t>entidad-dia</t>
        </is>
      </c>
    </row>
    <row r="6666">
      <c r="A6666" t="inlineStr">
        <is>
          <t>PRAGMA</t>
        </is>
      </c>
      <c r="B6666" t="inlineStr">
        <is>
          <t>M2</t>
        </is>
      </c>
      <c r="C6666" t="inlineStr">
        <is>
          <t>Cali</t>
        </is>
      </c>
      <c r="D6666" t="inlineStr">
        <is>
          <t>1481</t>
        </is>
      </c>
      <c r="E6666" t="inlineStr">
        <is>
          <t>pagado</t>
        </is>
      </c>
      <c r="F6666" s="23" t="n">
        <v>46275</v>
      </c>
      <c r="G6666" s="24">
        <f>F6666-DATE(2026,8,31)</f>
        <v>10</v>
      </c>
      <c r="H6666" s="25" t="n">
        <v>0</v>
      </c>
      <c r="I6666" t="inlineStr">
        <is>
          <t>entidad-dia</t>
        </is>
      </c>
    </row>
    <row r="6667">
      <c r="A6667" t="inlineStr">
        <is>
          <t>PRAGMA</t>
        </is>
      </c>
      <c r="B6667" t="inlineStr">
        <is>
          <t>M2</t>
        </is>
      </c>
      <c r="C6667" t="inlineStr">
        <is>
          <t>Cali</t>
        </is>
      </c>
      <c r="D6667" t="inlineStr">
        <is>
          <t>1481</t>
        </is>
      </c>
      <c r="E6667" t="inlineStr">
        <is>
          <t>cash_in</t>
        </is>
      </c>
      <c r="F6667" s="23" t="n">
        <v>46275</v>
      </c>
      <c r="G6667" s="24">
        <f>F6667-DATE(2026,8,31)</f>
        <v>10</v>
      </c>
      <c r="H6667" s="25" t="n">
        <v>0</v>
      </c>
      <c r="I6667" t="inlineStr">
        <is>
          <t>entidad-dia</t>
        </is>
      </c>
    </row>
    <row r="6668">
      <c r="A6668" t="inlineStr">
        <is>
          <t>PRAGMA</t>
        </is>
      </c>
      <c r="B6668" t="inlineStr">
        <is>
          <t>M2</t>
        </is>
      </c>
      <c r="C6668" t="inlineStr">
        <is>
          <t>Cali</t>
        </is>
      </c>
      <c r="D6668" t="inlineStr">
        <is>
          <t>1481</t>
        </is>
      </c>
      <c r="E6668" t="inlineStr">
        <is>
          <t>pagado</t>
        </is>
      </c>
      <c r="F6668" s="23" t="n">
        <v>46276</v>
      </c>
      <c r="G6668" s="24">
        <f>F6668-DATE(2026,8,31)</f>
        <v>11</v>
      </c>
      <c r="H6668" s="25" t="n">
        <v>0</v>
      </c>
      <c r="I6668" t="inlineStr">
        <is>
          <t>entidad-dia</t>
        </is>
      </c>
    </row>
    <row r="6669">
      <c r="A6669" t="inlineStr">
        <is>
          <t>PRAGMA</t>
        </is>
      </c>
      <c r="B6669" t="inlineStr">
        <is>
          <t>M2</t>
        </is>
      </c>
      <c r="C6669" t="inlineStr">
        <is>
          <t>Cali</t>
        </is>
      </c>
      <c r="D6669" t="inlineStr">
        <is>
          <t>1481</t>
        </is>
      </c>
      <c r="E6669" t="inlineStr">
        <is>
          <t>cash_in</t>
        </is>
      </c>
      <c r="F6669" s="23" t="n">
        <v>46276</v>
      </c>
      <c r="G6669" s="24">
        <f>F6669-DATE(2026,8,31)</f>
        <v>11</v>
      </c>
      <c r="H6669" s="25" t="n">
        <v>0</v>
      </c>
      <c r="I6669" t="inlineStr">
        <is>
          <t>entidad-dia</t>
        </is>
      </c>
    </row>
    <row r="6670">
      <c r="A6670" t="inlineStr">
        <is>
          <t>PRAGMA</t>
        </is>
      </c>
      <c r="B6670" t="inlineStr">
        <is>
          <t>M2</t>
        </is>
      </c>
      <c r="C6670" t="inlineStr">
        <is>
          <t>Cali</t>
        </is>
      </c>
      <c r="D6670" t="inlineStr">
        <is>
          <t>1481</t>
        </is>
      </c>
      <c r="E6670" t="inlineStr">
        <is>
          <t>pagado</t>
        </is>
      </c>
      <c r="F6670" s="23" t="n">
        <v>46277</v>
      </c>
      <c r="G6670" s="24">
        <f>F6670-DATE(2026,8,31)</f>
        <v>12</v>
      </c>
      <c r="H6670" s="25" t="n">
        <v>0</v>
      </c>
      <c r="I6670" t="inlineStr">
        <is>
          <t>entidad-dia</t>
        </is>
      </c>
    </row>
    <row r="6671">
      <c r="A6671" t="inlineStr">
        <is>
          <t>PRAGMA</t>
        </is>
      </c>
      <c r="B6671" t="inlineStr">
        <is>
          <t>M2</t>
        </is>
      </c>
      <c r="C6671" t="inlineStr">
        <is>
          <t>Cali</t>
        </is>
      </c>
      <c r="D6671" t="inlineStr">
        <is>
          <t>1481</t>
        </is>
      </c>
      <c r="E6671" t="inlineStr">
        <is>
          <t>cash_in</t>
        </is>
      </c>
      <c r="F6671" s="23" t="n">
        <v>46277</v>
      </c>
      <c r="G6671" s="24">
        <f>F6671-DATE(2026,8,31)</f>
        <v>12</v>
      </c>
      <c r="H6671" s="25" t="n">
        <v>0</v>
      </c>
      <c r="I6671" t="inlineStr">
        <is>
          <t>entidad-dia</t>
        </is>
      </c>
    </row>
    <row r="6672">
      <c r="A6672" t="inlineStr">
        <is>
          <t>PRAGMA</t>
        </is>
      </c>
      <c r="B6672" t="inlineStr">
        <is>
          <t>M2</t>
        </is>
      </c>
      <c r="C6672" t="inlineStr">
        <is>
          <t>Cali</t>
        </is>
      </c>
      <c r="D6672" t="inlineStr">
        <is>
          <t>1481</t>
        </is>
      </c>
      <c r="E6672" t="inlineStr">
        <is>
          <t>pagado</t>
        </is>
      </c>
      <c r="F6672" s="23" t="n">
        <v>46278</v>
      </c>
      <c r="G6672" s="24">
        <f>F6672-DATE(2026,8,31)</f>
        <v>13</v>
      </c>
      <c r="H6672" s="25" t="n">
        <v>0</v>
      </c>
      <c r="I6672" t="inlineStr">
        <is>
          <t>entidad-dia</t>
        </is>
      </c>
    </row>
    <row r="6673">
      <c r="A6673" t="inlineStr">
        <is>
          <t>PRAGMA</t>
        </is>
      </c>
      <c r="B6673" t="inlineStr">
        <is>
          <t>M2</t>
        </is>
      </c>
      <c r="C6673" t="inlineStr">
        <is>
          <t>Cali</t>
        </is>
      </c>
      <c r="D6673" t="inlineStr">
        <is>
          <t>1481</t>
        </is>
      </c>
      <c r="E6673" t="inlineStr">
        <is>
          <t>cash_in</t>
        </is>
      </c>
      <c r="F6673" s="23" t="n">
        <v>46278</v>
      </c>
      <c r="G6673" s="24">
        <f>F6673-DATE(2026,8,31)</f>
        <v>13</v>
      </c>
      <c r="H6673" s="25" t="n">
        <v>0</v>
      </c>
      <c r="I6673" t="inlineStr">
        <is>
          <t>entidad-dia</t>
        </is>
      </c>
    </row>
    <row r="6674">
      <c r="A6674" t="inlineStr">
        <is>
          <t>PRAGMA</t>
        </is>
      </c>
      <c r="B6674" t="inlineStr">
        <is>
          <t>M2</t>
        </is>
      </c>
      <c r="C6674" t="inlineStr">
        <is>
          <t>Cali</t>
        </is>
      </c>
      <c r="D6674" t="inlineStr">
        <is>
          <t>1481</t>
        </is>
      </c>
      <c r="E6674" t="inlineStr">
        <is>
          <t>pagado</t>
        </is>
      </c>
      <c r="F6674" s="23" t="n">
        <v>46279</v>
      </c>
      <c r="G6674" s="24">
        <f>F6674-DATE(2026,8,31)</f>
        <v>14</v>
      </c>
      <c r="H6674" s="25" t="n">
        <v>0</v>
      </c>
      <c r="I6674" t="inlineStr">
        <is>
          <t>entidad-dia</t>
        </is>
      </c>
    </row>
    <row r="6675">
      <c r="A6675" t="inlineStr">
        <is>
          <t>PRAGMA</t>
        </is>
      </c>
      <c r="B6675" t="inlineStr">
        <is>
          <t>M2</t>
        </is>
      </c>
      <c r="C6675" t="inlineStr">
        <is>
          <t>Cali</t>
        </is>
      </c>
      <c r="D6675" t="inlineStr">
        <is>
          <t>1481</t>
        </is>
      </c>
      <c r="E6675" t="inlineStr">
        <is>
          <t>cash_in</t>
        </is>
      </c>
      <c r="F6675" s="23" t="n">
        <v>46279</v>
      </c>
      <c r="G6675" s="24">
        <f>F6675-DATE(2026,8,31)</f>
        <v>14</v>
      </c>
      <c r="H6675" s="25" t="n">
        <v>0</v>
      </c>
      <c r="I6675" t="inlineStr">
        <is>
          <t>entidad-dia</t>
        </is>
      </c>
    </row>
    <row r="6676">
      <c r="A6676" t="inlineStr">
        <is>
          <t>PRAGMA</t>
        </is>
      </c>
      <c r="B6676" t="inlineStr">
        <is>
          <t>M2</t>
        </is>
      </c>
      <c r="C6676" t="inlineStr">
        <is>
          <t>Cali</t>
        </is>
      </c>
      <c r="D6676" t="inlineStr">
        <is>
          <t>1481</t>
        </is>
      </c>
      <c r="E6676" t="inlineStr">
        <is>
          <t>pagado</t>
        </is>
      </c>
      <c r="F6676" s="23" t="n">
        <v>46280</v>
      </c>
      <c r="G6676" s="24">
        <f>F6676-DATE(2026,8,31)</f>
        <v>15</v>
      </c>
      <c r="H6676" s="25" t="n">
        <v>0</v>
      </c>
      <c r="I6676" t="inlineStr">
        <is>
          <t>entidad-dia</t>
        </is>
      </c>
    </row>
    <row r="6677">
      <c r="A6677" t="inlineStr">
        <is>
          <t>PRAGMA</t>
        </is>
      </c>
      <c r="B6677" t="inlineStr">
        <is>
          <t>M2</t>
        </is>
      </c>
      <c r="C6677" t="inlineStr">
        <is>
          <t>Cali</t>
        </is>
      </c>
      <c r="D6677" t="inlineStr">
        <is>
          <t>1481</t>
        </is>
      </c>
      <c r="E6677" t="inlineStr">
        <is>
          <t>cash_in</t>
        </is>
      </c>
      <c r="F6677" s="23" t="n">
        <v>46280</v>
      </c>
      <c r="G6677" s="24">
        <f>F6677-DATE(2026,8,31)</f>
        <v>15</v>
      </c>
      <c r="H6677" s="25" t="n">
        <v>0</v>
      </c>
      <c r="I6677" t="inlineStr">
        <is>
          <t>entidad-dia</t>
        </is>
      </c>
    </row>
    <row r="6678">
      <c r="A6678" t="inlineStr">
        <is>
          <t>PRAGMA</t>
        </is>
      </c>
      <c r="B6678" t="inlineStr">
        <is>
          <t>M2</t>
        </is>
      </c>
      <c r="C6678" t="inlineStr">
        <is>
          <t>Cali</t>
        </is>
      </c>
      <c r="D6678" t="inlineStr">
        <is>
          <t>1482</t>
        </is>
      </c>
      <c r="E6678" t="inlineStr">
        <is>
          <t>pagado</t>
        </is>
      </c>
      <c r="F6678" s="23" t="n">
        <v>46266</v>
      </c>
      <c r="G6678" s="24">
        <f>F6678-DATE(2026,8,31)</f>
        <v>1</v>
      </c>
      <c r="H6678" s="25" t="n">
        <v>30468797</v>
      </c>
      <c r="I6678" t="inlineStr">
        <is>
          <t>entidad-dia</t>
        </is>
      </c>
    </row>
    <row r="6679">
      <c r="A6679" t="inlineStr">
        <is>
          <t>PRAGMA</t>
        </is>
      </c>
      <c r="B6679" t="inlineStr">
        <is>
          <t>M2</t>
        </is>
      </c>
      <c r="C6679" t="inlineStr">
        <is>
          <t>Cali</t>
        </is>
      </c>
      <c r="D6679" t="inlineStr">
        <is>
          <t>1482</t>
        </is>
      </c>
      <c r="E6679" t="inlineStr">
        <is>
          <t>cash_in</t>
        </is>
      </c>
      <c r="F6679" s="23" t="n">
        <v>46266</v>
      </c>
      <c r="G6679" s="24">
        <f>F6679-DATE(2026,8,31)</f>
        <v>1</v>
      </c>
      <c r="H6679" s="25" t="n">
        <v>139389885</v>
      </c>
      <c r="I6679" t="inlineStr">
        <is>
          <t>entidad-dia</t>
        </is>
      </c>
    </row>
    <row r="6680">
      <c r="A6680" t="inlineStr">
        <is>
          <t>PRAGMA</t>
        </is>
      </c>
      <c r="B6680" t="inlineStr">
        <is>
          <t>M2</t>
        </is>
      </c>
      <c r="C6680" t="inlineStr">
        <is>
          <t>Cali</t>
        </is>
      </c>
      <c r="D6680" t="inlineStr">
        <is>
          <t>1482</t>
        </is>
      </c>
      <c r="E6680" t="inlineStr">
        <is>
          <t>pagado</t>
        </is>
      </c>
      <c r="F6680" s="23" t="n">
        <v>46267</v>
      </c>
      <c r="G6680" s="24">
        <f>F6680-DATE(2026,8,31)</f>
        <v>2</v>
      </c>
      <c r="H6680" s="25" t="n">
        <v>25855604</v>
      </c>
      <c r="I6680" t="inlineStr">
        <is>
          <t>entidad-dia</t>
        </is>
      </c>
    </row>
    <row r="6681">
      <c r="A6681" t="inlineStr">
        <is>
          <t>PRAGMA</t>
        </is>
      </c>
      <c r="B6681" t="inlineStr">
        <is>
          <t>M2</t>
        </is>
      </c>
      <c r="C6681" t="inlineStr">
        <is>
          <t>Cali</t>
        </is>
      </c>
      <c r="D6681" t="inlineStr">
        <is>
          <t>1482</t>
        </is>
      </c>
      <c r="E6681" t="inlineStr">
        <is>
          <t>cash_in</t>
        </is>
      </c>
      <c r="F6681" s="23" t="n">
        <v>46267</v>
      </c>
      <c r="G6681" s="24">
        <f>F6681-DATE(2026,8,31)</f>
        <v>2</v>
      </c>
      <c r="H6681" s="25" t="n">
        <v>123035038</v>
      </c>
      <c r="I6681" t="inlineStr">
        <is>
          <t>entidad-dia</t>
        </is>
      </c>
    </row>
    <row r="6682">
      <c r="A6682" t="inlineStr">
        <is>
          <t>PRAGMA</t>
        </is>
      </c>
      <c r="B6682" t="inlineStr">
        <is>
          <t>M2</t>
        </is>
      </c>
      <c r="C6682" t="inlineStr">
        <is>
          <t>Cali</t>
        </is>
      </c>
      <c r="D6682" t="inlineStr">
        <is>
          <t>1482</t>
        </is>
      </c>
      <c r="E6682" t="inlineStr">
        <is>
          <t>pagado</t>
        </is>
      </c>
      <c r="F6682" s="23" t="n">
        <v>46268</v>
      </c>
      <c r="G6682" s="24">
        <f>F6682-DATE(2026,8,31)</f>
        <v>3</v>
      </c>
      <c r="H6682" s="25" t="n">
        <v>21888306</v>
      </c>
      <c r="I6682" t="inlineStr">
        <is>
          <t>entidad-dia</t>
        </is>
      </c>
    </row>
    <row r="6683">
      <c r="A6683" t="inlineStr">
        <is>
          <t>PRAGMA</t>
        </is>
      </c>
      <c r="B6683" t="inlineStr">
        <is>
          <t>M2</t>
        </is>
      </c>
      <c r="C6683" t="inlineStr">
        <is>
          <t>Cali</t>
        </is>
      </c>
      <c r="D6683" t="inlineStr">
        <is>
          <t>1482</t>
        </is>
      </c>
      <c r="E6683" t="inlineStr">
        <is>
          <t>cash_in</t>
        </is>
      </c>
      <c r="F6683" s="23" t="n">
        <v>46268</v>
      </c>
      <c r="G6683" s="24">
        <f>F6683-DATE(2026,8,31)</f>
        <v>3</v>
      </c>
      <c r="H6683" s="25" t="n">
        <v>124226598</v>
      </c>
      <c r="I6683" t="inlineStr">
        <is>
          <t>entidad-dia</t>
        </is>
      </c>
    </row>
    <row r="6684">
      <c r="A6684" t="inlineStr">
        <is>
          <t>PRAGMA</t>
        </is>
      </c>
      <c r="B6684" t="inlineStr">
        <is>
          <t>M2</t>
        </is>
      </c>
      <c r="C6684" t="inlineStr">
        <is>
          <t>Cali</t>
        </is>
      </c>
      <c r="D6684" t="inlineStr">
        <is>
          <t>1482</t>
        </is>
      </c>
      <c r="E6684" t="inlineStr">
        <is>
          <t>pagado</t>
        </is>
      </c>
      <c r="F6684" s="23" t="n">
        <v>46269</v>
      </c>
      <c r="G6684" s="24">
        <f>F6684-DATE(2026,8,31)</f>
        <v>4</v>
      </c>
      <c r="H6684" s="25" t="n">
        <v>21543314</v>
      </c>
      <c r="I6684" t="inlineStr">
        <is>
          <t>entidad-dia</t>
        </is>
      </c>
    </row>
    <row r="6685">
      <c r="A6685" t="inlineStr">
        <is>
          <t>PRAGMA</t>
        </is>
      </c>
      <c r="B6685" t="inlineStr">
        <is>
          <t>M2</t>
        </is>
      </c>
      <c r="C6685" t="inlineStr">
        <is>
          <t>Cali</t>
        </is>
      </c>
      <c r="D6685" t="inlineStr">
        <is>
          <t>1482</t>
        </is>
      </c>
      <c r="E6685" t="inlineStr">
        <is>
          <t>cash_in</t>
        </is>
      </c>
      <c r="F6685" s="23" t="n">
        <v>46269</v>
      </c>
      <c r="G6685" s="24">
        <f>F6685-DATE(2026,8,31)</f>
        <v>4</v>
      </c>
      <c r="H6685" s="25" t="n">
        <v>126476556</v>
      </c>
      <c r="I6685" t="inlineStr">
        <is>
          <t>entidad-dia</t>
        </is>
      </c>
    </row>
    <row r="6686">
      <c r="A6686" t="inlineStr">
        <is>
          <t>PRAGMA</t>
        </is>
      </c>
      <c r="B6686" t="inlineStr">
        <is>
          <t>M2</t>
        </is>
      </c>
      <c r="C6686" t="inlineStr">
        <is>
          <t>Cali</t>
        </is>
      </c>
      <c r="D6686" t="inlineStr">
        <is>
          <t>1482</t>
        </is>
      </c>
      <c r="E6686" t="inlineStr">
        <is>
          <t>pagado</t>
        </is>
      </c>
      <c r="F6686" s="23" t="n">
        <v>46270</v>
      </c>
      <c r="G6686" s="24">
        <f>F6686-DATE(2026,8,31)</f>
        <v>5</v>
      </c>
      <c r="H6686" s="25" t="n">
        <v>29007316</v>
      </c>
      <c r="I6686" t="inlineStr">
        <is>
          <t>entidad-dia</t>
        </is>
      </c>
    </row>
    <row r="6687">
      <c r="A6687" t="inlineStr">
        <is>
          <t>PRAGMA</t>
        </is>
      </c>
      <c r="B6687" t="inlineStr">
        <is>
          <t>M2</t>
        </is>
      </c>
      <c r="C6687" t="inlineStr">
        <is>
          <t>Cali</t>
        </is>
      </c>
      <c r="D6687" t="inlineStr">
        <is>
          <t>1482</t>
        </is>
      </c>
      <c r="E6687" t="inlineStr">
        <is>
          <t>cash_in</t>
        </is>
      </c>
      <c r="F6687" s="23" t="n">
        <v>46270</v>
      </c>
      <c r="G6687" s="24">
        <f>F6687-DATE(2026,8,31)</f>
        <v>5</v>
      </c>
      <c r="H6687" s="25" t="n">
        <v>119836699</v>
      </c>
      <c r="I6687" t="inlineStr">
        <is>
          <t>entidad-dia</t>
        </is>
      </c>
    </row>
    <row r="6688">
      <c r="A6688" t="inlineStr">
        <is>
          <t>PRAGMA</t>
        </is>
      </c>
      <c r="B6688" t="inlineStr">
        <is>
          <t>M2</t>
        </is>
      </c>
      <c r="C6688" t="inlineStr">
        <is>
          <t>Cali</t>
        </is>
      </c>
      <c r="D6688" t="inlineStr">
        <is>
          <t>1482</t>
        </is>
      </c>
      <c r="E6688" t="inlineStr">
        <is>
          <t>pagado</t>
        </is>
      </c>
      <c r="F6688" s="23" t="n">
        <v>46271</v>
      </c>
      <c r="G6688" s="24">
        <f>F6688-DATE(2026,8,31)</f>
        <v>6</v>
      </c>
      <c r="H6688" s="25" t="n">
        <v>23791969</v>
      </c>
      <c r="I6688" t="inlineStr">
        <is>
          <t>entidad-dia</t>
        </is>
      </c>
    </row>
    <row r="6689">
      <c r="A6689" t="inlineStr">
        <is>
          <t>PRAGMA</t>
        </is>
      </c>
      <c r="B6689" t="inlineStr">
        <is>
          <t>M2</t>
        </is>
      </c>
      <c r="C6689" t="inlineStr">
        <is>
          <t>Cali</t>
        </is>
      </c>
      <c r="D6689" t="inlineStr">
        <is>
          <t>1482</t>
        </is>
      </c>
      <c r="E6689" t="inlineStr">
        <is>
          <t>cash_in</t>
        </is>
      </c>
      <c r="F6689" s="23" t="n">
        <v>46271</v>
      </c>
      <c r="G6689" s="24">
        <f>F6689-DATE(2026,8,31)</f>
        <v>6</v>
      </c>
      <c r="H6689" s="25" t="n">
        <v>58419166</v>
      </c>
      <c r="I6689" t="inlineStr">
        <is>
          <t>entidad-dia</t>
        </is>
      </c>
    </row>
    <row r="6690">
      <c r="A6690" t="inlineStr">
        <is>
          <t>PRAGMA</t>
        </is>
      </c>
      <c r="B6690" t="inlineStr">
        <is>
          <t>M2</t>
        </is>
      </c>
      <c r="C6690" t="inlineStr">
        <is>
          <t>Cali</t>
        </is>
      </c>
      <c r="D6690" t="inlineStr">
        <is>
          <t>1482</t>
        </is>
      </c>
      <c r="E6690" t="inlineStr">
        <is>
          <t>pagado</t>
        </is>
      </c>
      <c r="F6690" s="23" t="n">
        <v>46272</v>
      </c>
      <c r="G6690" s="24">
        <f>F6690-DATE(2026,8,31)</f>
        <v>7</v>
      </c>
      <c r="H6690" s="25" t="n">
        <v>19972785</v>
      </c>
      <c r="I6690" t="inlineStr">
        <is>
          <t>entidad-dia</t>
        </is>
      </c>
    </row>
    <row r="6691">
      <c r="A6691" t="inlineStr">
        <is>
          <t>PRAGMA</t>
        </is>
      </c>
      <c r="B6691" t="inlineStr">
        <is>
          <t>M2</t>
        </is>
      </c>
      <c r="C6691" t="inlineStr">
        <is>
          <t>Cali</t>
        </is>
      </c>
      <c r="D6691" t="inlineStr">
        <is>
          <t>1482</t>
        </is>
      </c>
      <c r="E6691" t="inlineStr">
        <is>
          <t>cash_in</t>
        </is>
      </c>
      <c r="F6691" s="23" t="n">
        <v>46272</v>
      </c>
      <c r="G6691" s="24">
        <f>F6691-DATE(2026,8,31)</f>
        <v>7</v>
      </c>
      <c r="H6691" s="25" t="n">
        <v>129588245</v>
      </c>
      <c r="I6691" t="inlineStr">
        <is>
          <t>entidad-dia</t>
        </is>
      </c>
    </row>
    <row r="6692">
      <c r="A6692" t="inlineStr">
        <is>
          <t>PRAGMA</t>
        </is>
      </c>
      <c r="B6692" t="inlineStr">
        <is>
          <t>M2</t>
        </is>
      </c>
      <c r="C6692" t="inlineStr">
        <is>
          <t>Cali</t>
        </is>
      </c>
      <c r="D6692" t="inlineStr">
        <is>
          <t>1482</t>
        </is>
      </c>
      <c r="E6692" t="inlineStr">
        <is>
          <t>pagado</t>
        </is>
      </c>
      <c r="F6692" s="23" t="n">
        <v>46273</v>
      </c>
      <c r="G6692" s="24">
        <f>F6692-DATE(2026,8,31)</f>
        <v>8</v>
      </c>
      <c r="H6692" s="25" t="n">
        <v>18146174</v>
      </c>
      <c r="I6692" t="inlineStr">
        <is>
          <t>entidad-dia</t>
        </is>
      </c>
    </row>
    <row r="6693">
      <c r="A6693" t="inlineStr">
        <is>
          <t>PRAGMA</t>
        </is>
      </c>
      <c r="B6693" t="inlineStr">
        <is>
          <t>M2</t>
        </is>
      </c>
      <c r="C6693" t="inlineStr">
        <is>
          <t>Cali</t>
        </is>
      </c>
      <c r="D6693" t="inlineStr">
        <is>
          <t>1482</t>
        </is>
      </c>
      <c r="E6693" t="inlineStr">
        <is>
          <t>cash_in</t>
        </is>
      </c>
      <c r="F6693" s="23" t="n">
        <v>46273</v>
      </c>
      <c r="G6693" s="24">
        <f>F6693-DATE(2026,8,31)</f>
        <v>8</v>
      </c>
      <c r="H6693" s="25" t="n">
        <v>106111279</v>
      </c>
      <c r="I6693" t="inlineStr">
        <is>
          <t>entidad-dia</t>
        </is>
      </c>
    </row>
    <row r="6694">
      <c r="A6694" t="inlineStr">
        <is>
          <t>PRAGMA</t>
        </is>
      </c>
      <c r="B6694" t="inlineStr">
        <is>
          <t>M2</t>
        </is>
      </c>
      <c r="C6694" t="inlineStr">
        <is>
          <t>Cali</t>
        </is>
      </c>
      <c r="D6694" t="inlineStr">
        <is>
          <t>1482</t>
        </is>
      </c>
      <c r="E6694" t="inlineStr">
        <is>
          <t>pagado</t>
        </is>
      </c>
      <c r="F6694" s="23" t="n">
        <v>46274</v>
      </c>
      <c r="G6694" s="24">
        <f>F6694-DATE(2026,8,31)</f>
        <v>9</v>
      </c>
      <c r="H6694" s="25" t="n">
        <v>16352775</v>
      </c>
      <c r="I6694" t="inlineStr">
        <is>
          <t>entidad-dia</t>
        </is>
      </c>
    </row>
    <row r="6695">
      <c r="A6695" t="inlineStr">
        <is>
          <t>PRAGMA</t>
        </is>
      </c>
      <c r="B6695" t="inlineStr">
        <is>
          <t>M2</t>
        </is>
      </c>
      <c r="C6695" t="inlineStr">
        <is>
          <t>Cali</t>
        </is>
      </c>
      <c r="D6695" t="inlineStr">
        <is>
          <t>1482</t>
        </is>
      </c>
      <c r="E6695" t="inlineStr">
        <is>
          <t>cash_in</t>
        </is>
      </c>
      <c r="F6695" s="23" t="n">
        <v>46274</v>
      </c>
      <c r="G6695" s="24">
        <f>F6695-DATE(2026,8,31)</f>
        <v>9</v>
      </c>
      <c r="H6695" s="25" t="n">
        <v>96562104</v>
      </c>
      <c r="I6695" t="inlineStr">
        <is>
          <t>entidad-dia</t>
        </is>
      </c>
    </row>
    <row r="6696">
      <c r="A6696" t="inlineStr">
        <is>
          <t>PRAGMA</t>
        </is>
      </c>
      <c r="B6696" t="inlineStr">
        <is>
          <t>M2</t>
        </is>
      </c>
      <c r="C6696" t="inlineStr">
        <is>
          <t>Cali</t>
        </is>
      </c>
      <c r="D6696" t="inlineStr">
        <is>
          <t>1482</t>
        </is>
      </c>
      <c r="E6696" t="inlineStr">
        <is>
          <t>pagado</t>
        </is>
      </c>
      <c r="F6696" s="23" t="n">
        <v>46275</v>
      </c>
      <c r="G6696" s="24">
        <f>F6696-DATE(2026,8,31)</f>
        <v>10</v>
      </c>
      <c r="H6696" s="25" t="n">
        <v>15750711</v>
      </c>
      <c r="I6696" t="inlineStr">
        <is>
          <t>entidad-dia</t>
        </is>
      </c>
    </row>
    <row r="6697">
      <c r="A6697" t="inlineStr">
        <is>
          <t>PRAGMA</t>
        </is>
      </c>
      <c r="B6697" t="inlineStr">
        <is>
          <t>M2</t>
        </is>
      </c>
      <c r="C6697" t="inlineStr">
        <is>
          <t>Cali</t>
        </is>
      </c>
      <c r="D6697" t="inlineStr">
        <is>
          <t>1482</t>
        </is>
      </c>
      <c r="E6697" t="inlineStr">
        <is>
          <t>cash_in</t>
        </is>
      </c>
      <c r="F6697" s="23" t="n">
        <v>46275</v>
      </c>
      <c r="G6697" s="24">
        <f>F6697-DATE(2026,8,31)</f>
        <v>10</v>
      </c>
      <c r="H6697" s="25" t="n">
        <v>93993093</v>
      </c>
      <c r="I6697" t="inlineStr">
        <is>
          <t>entidad-dia</t>
        </is>
      </c>
    </row>
    <row r="6698">
      <c r="A6698" t="inlineStr">
        <is>
          <t>PRAGMA</t>
        </is>
      </c>
      <c r="B6698" t="inlineStr">
        <is>
          <t>M2</t>
        </is>
      </c>
      <c r="C6698" t="inlineStr">
        <is>
          <t>Cali</t>
        </is>
      </c>
      <c r="D6698" t="inlineStr">
        <is>
          <t>1482</t>
        </is>
      </c>
      <c r="E6698" t="inlineStr">
        <is>
          <t>pagado</t>
        </is>
      </c>
      <c r="F6698" s="23" t="n">
        <v>46276</v>
      </c>
      <c r="G6698" s="24">
        <f>F6698-DATE(2026,8,31)</f>
        <v>11</v>
      </c>
      <c r="H6698" s="25" t="n">
        <v>16235329</v>
      </c>
      <c r="I6698" t="inlineStr">
        <is>
          <t>entidad-dia</t>
        </is>
      </c>
    </row>
    <row r="6699">
      <c r="A6699" t="inlineStr">
        <is>
          <t>PRAGMA</t>
        </is>
      </c>
      <c r="B6699" t="inlineStr">
        <is>
          <t>M2</t>
        </is>
      </c>
      <c r="C6699" t="inlineStr">
        <is>
          <t>Cali</t>
        </is>
      </c>
      <c r="D6699" t="inlineStr">
        <is>
          <t>1482</t>
        </is>
      </c>
      <c r="E6699" t="inlineStr">
        <is>
          <t>cash_in</t>
        </is>
      </c>
      <c r="F6699" s="23" t="n">
        <v>46276</v>
      </c>
      <c r="G6699" s="24">
        <f>F6699-DATE(2026,8,31)</f>
        <v>11</v>
      </c>
      <c r="H6699" s="25" t="n">
        <v>94524152</v>
      </c>
      <c r="I6699" t="inlineStr">
        <is>
          <t>entidad-dia</t>
        </is>
      </c>
    </row>
    <row r="6700">
      <c r="A6700" t="inlineStr">
        <is>
          <t>PRAGMA</t>
        </is>
      </c>
      <c r="B6700" t="inlineStr">
        <is>
          <t>M2</t>
        </is>
      </c>
      <c r="C6700" t="inlineStr">
        <is>
          <t>Cali</t>
        </is>
      </c>
      <c r="D6700" t="inlineStr">
        <is>
          <t>1482</t>
        </is>
      </c>
      <c r="E6700" t="inlineStr">
        <is>
          <t>pagado</t>
        </is>
      </c>
      <c r="F6700" s="23" t="n">
        <v>46277</v>
      </c>
      <c r="G6700" s="24">
        <f>F6700-DATE(2026,8,31)</f>
        <v>12</v>
      </c>
      <c r="H6700" s="25" t="n">
        <v>22845474</v>
      </c>
      <c r="I6700" t="inlineStr">
        <is>
          <t>entidad-dia</t>
        </is>
      </c>
    </row>
    <row r="6701">
      <c r="A6701" t="inlineStr">
        <is>
          <t>PRAGMA</t>
        </is>
      </c>
      <c r="B6701" t="inlineStr">
        <is>
          <t>M2</t>
        </is>
      </c>
      <c r="C6701" t="inlineStr">
        <is>
          <t>Cali</t>
        </is>
      </c>
      <c r="D6701" t="inlineStr">
        <is>
          <t>1482</t>
        </is>
      </c>
      <c r="E6701" t="inlineStr">
        <is>
          <t>cash_in</t>
        </is>
      </c>
      <c r="F6701" s="23" t="n">
        <v>46277</v>
      </c>
      <c r="G6701" s="24">
        <f>F6701-DATE(2026,8,31)</f>
        <v>12</v>
      </c>
      <c r="H6701" s="25" t="n">
        <v>94559343</v>
      </c>
      <c r="I6701" t="inlineStr">
        <is>
          <t>entidad-dia</t>
        </is>
      </c>
    </row>
    <row r="6702">
      <c r="A6702" t="inlineStr">
        <is>
          <t>PRAGMA</t>
        </is>
      </c>
      <c r="B6702" t="inlineStr">
        <is>
          <t>M2</t>
        </is>
      </c>
      <c r="C6702" t="inlineStr">
        <is>
          <t>Cali</t>
        </is>
      </c>
      <c r="D6702" t="inlineStr">
        <is>
          <t>1482</t>
        </is>
      </c>
      <c r="E6702" t="inlineStr">
        <is>
          <t>pagado</t>
        </is>
      </c>
      <c r="F6702" s="23" t="n">
        <v>46278</v>
      </c>
      <c r="G6702" s="24">
        <f>F6702-DATE(2026,8,31)</f>
        <v>13</v>
      </c>
      <c r="H6702" s="25" t="n">
        <v>20131652</v>
      </c>
      <c r="I6702" t="inlineStr">
        <is>
          <t>entidad-dia</t>
        </is>
      </c>
    </row>
    <row r="6703">
      <c r="A6703" t="inlineStr">
        <is>
          <t>PRAGMA</t>
        </is>
      </c>
      <c r="B6703" t="inlineStr">
        <is>
          <t>M2</t>
        </is>
      </c>
      <c r="C6703" t="inlineStr">
        <is>
          <t>Cali</t>
        </is>
      </c>
      <c r="D6703" t="inlineStr">
        <is>
          <t>1482</t>
        </is>
      </c>
      <c r="E6703" t="inlineStr">
        <is>
          <t>cash_in</t>
        </is>
      </c>
      <c r="F6703" s="23" t="n">
        <v>46278</v>
      </c>
      <c r="G6703" s="24">
        <f>F6703-DATE(2026,8,31)</f>
        <v>13</v>
      </c>
      <c r="H6703" s="25" t="n">
        <v>41075217</v>
      </c>
      <c r="I6703" t="inlineStr">
        <is>
          <t>entidad-dia</t>
        </is>
      </c>
    </row>
    <row r="6704">
      <c r="A6704" t="inlineStr">
        <is>
          <t>PRAGMA</t>
        </is>
      </c>
      <c r="B6704" t="inlineStr">
        <is>
          <t>M2</t>
        </is>
      </c>
      <c r="C6704" t="inlineStr">
        <is>
          <t>Cali</t>
        </is>
      </c>
      <c r="D6704" t="inlineStr">
        <is>
          <t>1482</t>
        </is>
      </c>
      <c r="E6704" t="inlineStr">
        <is>
          <t>pagado</t>
        </is>
      </c>
      <c r="F6704" s="23" t="n">
        <v>46279</v>
      </c>
      <c r="G6704" s="24">
        <f>F6704-DATE(2026,8,31)</f>
        <v>14</v>
      </c>
      <c r="H6704" s="25" t="n">
        <v>17497254</v>
      </c>
      <c r="I6704" t="inlineStr">
        <is>
          <t>entidad-dia</t>
        </is>
      </c>
    </row>
    <row r="6705">
      <c r="A6705" t="inlineStr">
        <is>
          <t>PRAGMA</t>
        </is>
      </c>
      <c r="B6705" t="inlineStr">
        <is>
          <t>M2</t>
        </is>
      </c>
      <c r="C6705" t="inlineStr">
        <is>
          <t>Cali</t>
        </is>
      </c>
      <c r="D6705" t="inlineStr">
        <is>
          <t>1482</t>
        </is>
      </c>
      <c r="E6705" t="inlineStr">
        <is>
          <t>cash_in</t>
        </is>
      </c>
      <c r="F6705" s="23" t="n">
        <v>46279</v>
      </c>
      <c r="G6705" s="24">
        <f>F6705-DATE(2026,8,31)</f>
        <v>14</v>
      </c>
      <c r="H6705" s="25" t="n">
        <v>110203552</v>
      </c>
      <c r="I6705" t="inlineStr">
        <is>
          <t>entidad-dia</t>
        </is>
      </c>
    </row>
    <row r="6706">
      <c r="A6706" t="inlineStr">
        <is>
          <t>PRAGMA</t>
        </is>
      </c>
      <c r="B6706" t="inlineStr">
        <is>
          <t>M2</t>
        </is>
      </c>
      <c r="C6706" t="inlineStr">
        <is>
          <t>Cali</t>
        </is>
      </c>
      <c r="D6706" t="inlineStr">
        <is>
          <t>1482</t>
        </is>
      </c>
      <c r="E6706" t="inlineStr">
        <is>
          <t>pagado</t>
        </is>
      </c>
      <c r="F6706" s="23" t="n">
        <v>46280</v>
      </c>
      <c r="G6706" s="24">
        <f>F6706-DATE(2026,8,31)</f>
        <v>15</v>
      </c>
      <c r="H6706" s="25" t="n">
        <v>21758521</v>
      </c>
      <c r="I6706" t="inlineStr">
        <is>
          <t>entidad-dia</t>
        </is>
      </c>
    </row>
    <row r="6707">
      <c r="A6707" t="inlineStr">
        <is>
          <t>PRAGMA</t>
        </is>
      </c>
      <c r="B6707" t="inlineStr">
        <is>
          <t>M2</t>
        </is>
      </c>
      <c r="C6707" t="inlineStr">
        <is>
          <t>Cali</t>
        </is>
      </c>
      <c r="D6707" t="inlineStr">
        <is>
          <t>1482</t>
        </is>
      </c>
      <c r="E6707" t="inlineStr">
        <is>
          <t>cash_in</t>
        </is>
      </c>
      <c r="F6707" s="23" t="n">
        <v>46280</v>
      </c>
      <c r="G6707" s="24">
        <f>F6707-DATE(2026,8,31)</f>
        <v>15</v>
      </c>
      <c r="H6707" s="25" t="n">
        <v>121087337</v>
      </c>
      <c r="I6707" t="inlineStr">
        <is>
          <t>entidad-dia</t>
        </is>
      </c>
    </row>
    <row r="6708">
      <c r="A6708" t="inlineStr">
        <is>
          <t>PRAGMA</t>
        </is>
      </c>
      <c r="B6708" t="inlineStr">
        <is>
          <t>M2</t>
        </is>
      </c>
      <c r="C6708" t="inlineStr">
        <is>
          <t>Cali</t>
        </is>
      </c>
      <c r="D6708" t="inlineStr">
        <is>
          <t>1505</t>
        </is>
      </c>
      <c r="E6708" t="inlineStr">
        <is>
          <t>pagado</t>
        </is>
      </c>
      <c r="F6708" s="23" t="n">
        <v>46266</v>
      </c>
      <c r="G6708" s="24">
        <f>F6708-DATE(2026,8,31)</f>
        <v>1</v>
      </c>
      <c r="H6708" s="25" t="n">
        <v>65584362</v>
      </c>
      <c r="I6708" t="inlineStr">
        <is>
          <t>entidad-dia</t>
        </is>
      </c>
    </row>
    <row r="6709">
      <c r="A6709" t="inlineStr">
        <is>
          <t>PRAGMA</t>
        </is>
      </c>
      <c r="B6709" t="inlineStr">
        <is>
          <t>M2</t>
        </is>
      </c>
      <c r="C6709" t="inlineStr">
        <is>
          <t>Cali</t>
        </is>
      </c>
      <c r="D6709" t="inlineStr">
        <is>
          <t>1505</t>
        </is>
      </c>
      <c r="E6709" t="inlineStr">
        <is>
          <t>cash_in</t>
        </is>
      </c>
      <c r="F6709" s="23" t="n">
        <v>46266</v>
      </c>
      <c r="G6709" s="24">
        <f>F6709-DATE(2026,8,31)</f>
        <v>1</v>
      </c>
      <c r="H6709" s="25" t="n">
        <v>109039957</v>
      </c>
      <c r="I6709" t="inlineStr">
        <is>
          <t>entidad-dia</t>
        </is>
      </c>
    </row>
    <row r="6710">
      <c r="A6710" t="inlineStr">
        <is>
          <t>PRAGMA</t>
        </is>
      </c>
      <c r="B6710" t="inlineStr">
        <is>
          <t>M2</t>
        </is>
      </c>
      <c r="C6710" t="inlineStr">
        <is>
          <t>Cali</t>
        </is>
      </c>
      <c r="D6710" t="inlineStr">
        <is>
          <t>1505</t>
        </is>
      </c>
      <c r="E6710" t="inlineStr">
        <is>
          <t>pagado</t>
        </is>
      </c>
      <c r="F6710" s="23" t="n">
        <v>46267</v>
      </c>
      <c r="G6710" s="24">
        <f>F6710-DATE(2026,8,31)</f>
        <v>2</v>
      </c>
      <c r="H6710" s="25" t="n">
        <v>55346180</v>
      </c>
      <c r="I6710" t="inlineStr">
        <is>
          <t>entidad-dia</t>
        </is>
      </c>
    </row>
    <row r="6711">
      <c r="A6711" t="inlineStr">
        <is>
          <t>PRAGMA</t>
        </is>
      </c>
      <c r="B6711" t="inlineStr">
        <is>
          <t>M2</t>
        </is>
      </c>
      <c r="C6711" t="inlineStr">
        <is>
          <t>Cali</t>
        </is>
      </c>
      <c r="D6711" t="inlineStr">
        <is>
          <t>1505</t>
        </is>
      </c>
      <c r="E6711" t="inlineStr">
        <is>
          <t>cash_in</t>
        </is>
      </c>
      <c r="F6711" s="23" t="n">
        <v>46267</v>
      </c>
      <c r="G6711" s="24">
        <f>F6711-DATE(2026,8,31)</f>
        <v>2</v>
      </c>
      <c r="H6711" s="25" t="n">
        <v>109512683</v>
      </c>
      <c r="I6711" t="inlineStr">
        <is>
          <t>entidad-dia</t>
        </is>
      </c>
    </row>
    <row r="6712">
      <c r="A6712" t="inlineStr">
        <is>
          <t>PRAGMA</t>
        </is>
      </c>
      <c r="B6712" t="inlineStr">
        <is>
          <t>M2</t>
        </is>
      </c>
      <c r="C6712" t="inlineStr">
        <is>
          <t>Cali</t>
        </is>
      </c>
      <c r="D6712" t="inlineStr">
        <is>
          <t>1505</t>
        </is>
      </c>
      <c r="E6712" t="inlineStr">
        <is>
          <t>pagado</t>
        </is>
      </c>
      <c r="F6712" s="23" t="n">
        <v>46268</v>
      </c>
      <c r="G6712" s="24">
        <f>F6712-DATE(2026,8,31)</f>
        <v>3</v>
      </c>
      <c r="H6712" s="25" t="n">
        <v>53073956</v>
      </c>
      <c r="I6712" t="inlineStr">
        <is>
          <t>entidad-dia</t>
        </is>
      </c>
    </row>
    <row r="6713">
      <c r="A6713" t="inlineStr">
        <is>
          <t>PRAGMA</t>
        </is>
      </c>
      <c r="B6713" t="inlineStr">
        <is>
          <t>M2</t>
        </is>
      </c>
      <c r="C6713" t="inlineStr">
        <is>
          <t>Cali</t>
        </is>
      </c>
      <c r="D6713" t="inlineStr">
        <is>
          <t>1505</t>
        </is>
      </c>
      <c r="E6713" t="inlineStr">
        <is>
          <t>cash_in</t>
        </is>
      </c>
      <c r="F6713" s="23" t="n">
        <v>46268</v>
      </c>
      <c r="G6713" s="24">
        <f>F6713-DATE(2026,8,31)</f>
        <v>3</v>
      </c>
      <c r="H6713" s="25" t="n">
        <v>96579117</v>
      </c>
      <c r="I6713" t="inlineStr">
        <is>
          <t>entidad-dia</t>
        </is>
      </c>
    </row>
    <row r="6714">
      <c r="A6714" t="inlineStr">
        <is>
          <t>PRAGMA</t>
        </is>
      </c>
      <c r="B6714" t="inlineStr">
        <is>
          <t>M2</t>
        </is>
      </c>
      <c r="C6714" t="inlineStr">
        <is>
          <t>Cali</t>
        </is>
      </c>
      <c r="D6714" t="inlineStr">
        <is>
          <t>1505</t>
        </is>
      </c>
      <c r="E6714" t="inlineStr">
        <is>
          <t>pagado</t>
        </is>
      </c>
      <c r="F6714" s="23" t="n">
        <v>46269</v>
      </c>
      <c r="G6714" s="24">
        <f>F6714-DATE(2026,8,31)</f>
        <v>4</v>
      </c>
      <c r="H6714" s="25" t="n">
        <v>52440142</v>
      </c>
      <c r="I6714" t="inlineStr">
        <is>
          <t>entidad-dia</t>
        </is>
      </c>
    </row>
    <row r="6715">
      <c r="A6715" t="inlineStr">
        <is>
          <t>PRAGMA</t>
        </is>
      </c>
      <c r="B6715" t="inlineStr">
        <is>
          <t>M2</t>
        </is>
      </c>
      <c r="C6715" t="inlineStr">
        <is>
          <t>Cali</t>
        </is>
      </c>
      <c r="D6715" t="inlineStr">
        <is>
          <t>1505</t>
        </is>
      </c>
      <c r="E6715" t="inlineStr">
        <is>
          <t>cash_in</t>
        </is>
      </c>
      <c r="F6715" s="23" t="n">
        <v>46269</v>
      </c>
      <c r="G6715" s="24">
        <f>F6715-DATE(2026,8,31)</f>
        <v>4</v>
      </c>
      <c r="H6715" s="25" t="n">
        <v>103516123</v>
      </c>
      <c r="I6715" t="inlineStr">
        <is>
          <t>entidad-dia</t>
        </is>
      </c>
    </row>
    <row r="6716">
      <c r="A6716" t="inlineStr">
        <is>
          <t>PRAGMA</t>
        </is>
      </c>
      <c r="B6716" t="inlineStr">
        <is>
          <t>M2</t>
        </is>
      </c>
      <c r="C6716" t="inlineStr">
        <is>
          <t>Cali</t>
        </is>
      </c>
      <c r="D6716" t="inlineStr">
        <is>
          <t>1505</t>
        </is>
      </c>
      <c r="E6716" t="inlineStr">
        <is>
          <t>pagado</t>
        </is>
      </c>
      <c r="F6716" s="23" t="n">
        <v>46270</v>
      </c>
      <c r="G6716" s="24">
        <f>F6716-DATE(2026,8,31)</f>
        <v>5</v>
      </c>
      <c r="H6716" s="25" t="n">
        <v>53703973</v>
      </c>
      <c r="I6716" t="inlineStr">
        <is>
          <t>entidad-dia</t>
        </is>
      </c>
    </row>
    <row r="6717">
      <c r="A6717" t="inlineStr">
        <is>
          <t>PRAGMA</t>
        </is>
      </c>
      <c r="B6717" t="inlineStr">
        <is>
          <t>M2</t>
        </is>
      </c>
      <c r="C6717" t="inlineStr">
        <is>
          <t>Cali</t>
        </is>
      </c>
      <c r="D6717" t="inlineStr">
        <is>
          <t>1505</t>
        </is>
      </c>
      <c r="E6717" t="inlineStr">
        <is>
          <t>cash_in</t>
        </is>
      </c>
      <c r="F6717" s="23" t="n">
        <v>46270</v>
      </c>
      <c r="G6717" s="24">
        <f>F6717-DATE(2026,8,31)</f>
        <v>5</v>
      </c>
      <c r="H6717" s="25" t="n">
        <v>114278386</v>
      </c>
      <c r="I6717" t="inlineStr">
        <is>
          <t>entidad-dia</t>
        </is>
      </c>
    </row>
    <row r="6718">
      <c r="A6718" t="inlineStr">
        <is>
          <t>PRAGMA</t>
        </is>
      </c>
      <c r="B6718" t="inlineStr">
        <is>
          <t>M2</t>
        </is>
      </c>
      <c r="C6718" t="inlineStr">
        <is>
          <t>Cali</t>
        </is>
      </c>
      <c r="D6718" t="inlineStr">
        <is>
          <t>1505</t>
        </is>
      </c>
      <c r="E6718" t="inlineStr">
        <is>
          <t>pagado</t>
        </is>
      </c>
      <c r="F6718" s="23" t="n">
        <v>46271</v>
      </c>
      <c r="G6718" s="24">
        <f>F6718-DATE(2026,8,31)</f>
        <v>6</v>
      </c>
      <c r="H6718" s="25" t="n">
        <v>34958806</v>
      </c>
      <c r="I6718" t="inlineStr">
        <is>
          <t>entidad-dia</t>
        </is>
      </c>
    </row>
    <row r="6719">
      <c r="A6719" t="inlineStr">
        <is>
          <t>PRAGMA</t>
        </is>
      </c>
      <c r="B6719" t="inlineStr">
        <is>
          <t>M2</t>
        </is>
      </c>
      <c r="C6719" t="inlineStr">
        <is>
          <t>Cali</t>
        </is>
      </c>
      <c r="D6719" t="inlineStr">
        <is>
          <t>1505</t>
        </is>
      </c>
      <c r="E6719" t="inlineStr">
        <is>
          <t>cash_in</t>
        </is>
      </c>
      <c r="F6719" s="23" t="n">
        <v>46271</v>
      </c>
      <c r="G6719" s="24">
        <f>F6719-DATE(2026,8,31)</f>
        <v>6</v>
      </c>
      <c r="H6719" s="25" t="n">
        <v>62872260</v>
      </c>
      <c r="I6719" t="inlineStr">
        <is>
          <t>entidad-dia</t>
        </is>
      </c>
    </row>
    <row r="6720">
      <c r="A6720" t="inlineStr">
        <is>
          <t>PRAGMA</t>
        </is>
      </c>
      <c r="B6720" t="inlineStr">
        <is>
          <t>M2</t>
        </is>
      </c>
      <c r="C6720" t="inlineStr">
        <is>
          <t>Cali</t>
        </is>
      </c>
      <c r="D6720" t="inlineStr">
        <is>
          <t>1505</t>
        </is>
      </c>
      <c r="E6720" t="inlineStr">
        <is>
          <t>pagado</t>
        </is>
      </c>
      <c r="F6720" s="23" t="n">
        <v>46272</v>
      </c>
      <c r="G6720" s="24">
        <f>F6720-DATE(2026,8,31)</f>
        <v>7</v>
      </c>
      <c r="H6720" s="25" t="n">
        <v>42788964</v>
      </c>
      <c r="I6720" t="inlineStr">
        <is>
          <t>entidad-dia</t>
        </is>
      </c>
    </row>
    <row r="6721">
      <c r="A6721" t="inlineStr">
        <is>
          <t>PRAGMA</t>
        </is>
      </c>
      <c r="B6721" t="inlineStr">
        <is>
          <t>M2</t>
        </is>
      </c>
      <c r="C6721" t="inlineStr">
        <is>
          <t>Cali</t>
        </is>
      </c>
      <c r="D6721" t="inlineStr">
        <is>
          <t>1505</t>
        </is>
      </c>
      <c r="E6721" t="inlineStr">
        <is>
          <t>cash_in</t>
        </is>
      </c>
      <c r="F6721" s="23" t="n">
        <v>46272</v>
      </c>
      <c r="G6721" s="24">
        <f>F6721-DATE(2026,8,31)</f>
        <v>7</v>
      </c>
      <c r="H6721" s="25" t="n">
        <v>110402153</v>
      </c>
      <c r="I6721" t="inlineStr">
        <is>
          <t>entidad-dia</t>
        </is>
      </c>
    </row>
    <row r="6722">
      <c r="A6722" t="inlineStr">
        <is>
          <t>PRAGMA</t>
        </is>
      </c>
      <c r="B6722" t="inlineStr">
        <is>
          <t>M2</t>
        </is>
      </c>
      <c r="C6722" t="inlineStr">
        <is>
          <t>Cali</t>
        </is>
      </c>
      <c r="D6722" t="inlineStr">
        <is>
          <t>1505</t>
        </is>
      </c>
      <c r="E6722" t="inlineStr">
        <is>
          <t>pagado</t>
        </is>
      </c>
      <c r="F6722" s="23" t="n">
        <v>46273</v>
      </c>
      <c r="G6722" s="24">
        <f>F6722-DATE(2026,8,31)</f>
        <v>8</v>
      </c>
      <c r="H6722" s="25" t="n">
        <v>44815302</v>
      </c>
      <c r="I6722" t="inlineStr">
        <is>
          <t>entidad-dia</t>
        </is>
      </c>
    </row>
    <row r="6723">
      <c r="A6723" t="inlineStr">
        <is>
          <t>PRAGMA</t>
        </is>
      </c>
      <c r="B6723" t="inlineStr">
        <is>
          <t>M2</t>
        </is>
      </c>
      <c r="C6723" t="inlineStr">
        <is>
          <t>Cali</t>
        </is>
      </c>
      <c r="D6723" t="inlineStr">
        <is>
          <t>1505</t>
        </is>
      </c>
      <c r="E6723" t="inlineStr">
        <is>
          <t>cash_in</t>
        </is>
      </c>
      <c r="F6723" s="23" t="n">
        <v>46273</v>
      </c>
      <c r="G6723" s="24">
        <f>F6723-DATE(2026,8,31)</f>
        <v>8</v>
      </c>
      <c r="H6723" s="25" t="n">
        <v>99975721</v>
      </c>
      <c r="I6723" t="inlineStr">
        <is>
          <t>entidad-dia</t>
        </is>
      </c>
    </row>
    <row r="6724">
      <c r="A6724" t="inlineStr">
        <is>
          <t>PRAGMA</t>
        </is>
      </c>
      <c r="B6724" t="inlineStr">
        <is>
          <t>M2</t>
        </is>
      </c>
      <c r="C6724" t="inlineStr">
        <is>
          <t>Cali</t>
        </is>
      </c>
      <c r="D6724" t="inlineStr">
        <is>
          <t>1505</t>
        </is>
      </c>
      <c r="E6724" t="inlineStr">
        <is>
          <t>pagado</t>
        </is>
      </c>
      <c r="F6724" s="23" t="n">
        <v>46274</v>
      </c>
      <c r="G6724" s="24">
        <f>F6724-DATE(2026,8,31)</f>
        <v>9</v>
      </c>
      <c r="H6724" s="25" t="n">
        <v>42040826</v>
      </c>
      <c r="I6724" t="inlineStr">
        <is>
          <t>entidad-dia</t>
        </is>
      </c>
    </row>
    <row r="6725">
      <c r="A6725" t="inlineStr">
        <is>
          <t>PRAGMA</t>
        </is>
      </c>
      <c r="B6725" t="inlineStr">
        <is>
          <t>M2</t>
        </is>
      </c>
      <c r="C6725" t="inlineStr">
        <is>
          <t>Cali</t>
        </is>
      </c>
      <c r="D6725" t="inlineStr">
        <is>
          <t>1505</t>
        </is>
      </c>
      <c r="E6725" t="inlineStr">
        <is>
          <t>cash_in</t>
        </is>
      </c>
      <c r="F6725" s="23" t="n">
        <v>46274</v>
      </c>
      <c r="G6725" s="24">
        <f>F6725-DATE(2026,8,31)</f>
        <v>9</v>
      </c>
      <c r="H6725" s="25" t="n">
        <v>88368420</v>
      </c>
      <c r="I6725" t="inlineStr">
        <is>
          <t>entidad-dia</t>
        </is>
      </c>
    </row>
    <row r="6726">
      <c r="A6726" t="inlineStr">
        <is>
          <t>PRAGMA</t>
        </is>
      </c>
      <c r="B6726" t="inlineStr">
        <is>
          <t>M2</t>
        </is>
      </c>
      <c r="C6726" t="inlineStr">
        <is>
          <t>Cali</t>
        </is>
      </c>
      <c r="D6726" t="inlineStr">
        <is>
          <t>1505</t>
        </is>
      </c>
      <c r="E6726" t="inlineStr">
        <is>
          <t>pagado</t>
        </is>
      </c>
      <c r="F6726" s="23" t="n">
        <v>46275</v>
      </c>
      <c r="G6726" s="24">
        <f>F6726-DATE(2026,8,31)</f>
        <v>10</v>
      </c>
      <c r="H6726" s="25" t="n">
        <v>39029004</v>
      </c>
      <c r="I6726" t="inlineStr">
        <is>
          <t>entidad-dia</t>
        </is>
      </c>
    </row>
    <row r="6727">
      <c r="A6727" t="inlineStr">
        <is>
          <t>PRAGMA</t>
        </is>
      </c>
      <c r="B6727" t="inlineStr">
        <is>
          <t>M2</t>
        </is>
      </c>
      <c r="C6727" t="inlineStr">
        <is>
          <t>Cali</t>
        </is>
      </c>
      <c r="D6727" t="inlineStr">
        <is>
          <t>1505</t>
        </is>
      </c>
      <c r="E6727" t="inlineStr">
        <is>
          <t>cash_in</t>
        </is>
      </c>
      <c r="F6727" s="23" t="n">
        <v>46275</v>
      </c>
      <c r="G6727" s="24">
        <f>F6727-DATE(2026,8,31)</f>
        <v>10</v>
      </c>
      <c r="H6727" s="25" t="n">
        <v>84215332</v>
      </c>
      <c r="I6727" t="inlineStr">
        <is>
          <t>entidad-dia</t>
        </is>
      </c>
    </row>
    <row r="6728">
      <c r="A6728" t="inlineStr">
        <is>
          <t>PRAGMA</t>
        </is>
      </c>
      <c r="B6728" t="inlineStr">
        <is>
          <t>M2</t>
        </is>
      </c>
      <c r="C6728" t="inlineStr">
        <is>
          <t>Cali</t>
        </is>
      </c>
      <c r="D6728" t="inlineStr">
        <is>
          <t>1505</t>
        </is>
      </c>
      <c r="E6728" t="inlineStr">
        <is>
          <t>pagado</t>
        </is>
      </c>
      <c r="F6728" s="23" t="n">
        <v>46276</v>
      </c>
      <c r="G6728" s="24">
        <f>F6728-DATE(2026,8,31)</f>
        <v>11</v>
      </c>
      <c r="H6728" s="25" t="n">
        <v>42625716</v>
      </c>
      <c r="I6728" t="inlineStr">
        <is>
          <t>entidad-dia</t>
        </is>
      </c>
    </row>
    <row r="6729">
      <c r="A6729" t="inlineStr">
        <is>
          <t>PRAGMA</t>
        </is>
      </c>
      <c r="B6729" t="inlineStr">
        <is>
          <t>M2</t>
        </is>
      </c>
      <c r="C6729" t="inlineStr">
        <is>
          <t>Cali</t>
        </is>
      </c>
      <c r="D6729" t="inlineStr">
        <is>
          <t>1505</t>
        </is>
      </c>
      <c r="E6729" t="inlineStr">
        <is>
          <t>cash_in</t>
        </is>
      </c>
      <c r="F6729" s="23" t="n">
        <v>46276</v>
      </c>
      <c r="G6729" s="24">
        <f>F6729-DATE(2026,8,31)</f>
        <v>11</v>
      </c>
      <c r="H6729" s="25" t="n">
        <v>88441162</v>
      </c>
      <c r="I6729" t="inlineStr">
        <is>
          <t>entidad-dia</t>
        </is>
      </c>
    </row>
    <row r="6730">
      <c r="A6730" t="inlineStr">
        <is>
          <t>PRAGMA</t>
        </is>
      </c>
      <c r="B6730" t="inlineStr">
        <is>
          <t>M2</t>
        </is>
      </c>
      <c r="C6730" t="inlineStr">
        <is>
          <t>Cali</t>
        </is>
      </c>
      <c r="D6730" t="inlineStr">
        <is>
          <t>1505</t>
        </is>
      </c>
      <c r="E6730" t="inlineStr">
        <is>
          <t>pagado</t>
        </is>
      </c>
      <c r="F6730" s="23" t="n">
        <v>46277</v>
      </c>
      <c r="G6730" s="24">
        <f>F6730-DATE(2026,8,31)</f>
        <v>12</v>
      </c>
      <c r="H6730" s="25" t="n">
        <v>45548415</v>
      </c>
      <c r="I6730" t="inlineStr">
        <is>
          <t>entidad-dia</t>
        </is>
      </c>
    </row>
    <row r="6731">
      <c r="A6731" t="inlineStr">
        <is>
          <t>PRAGMA</t>
        </is>
      </c>
      <c r="B6731" t="inlineStr">
        <is>
          <t>M2</t>
        </is>
      </c>
      <c r="C6731" t="inlineStr">
        <is>
          <t>Cali</t>
        </is>
      </c>
      <c r="D6731" t="inlineStr">
        <is>
          <t>1505</t>
        </is>
      </c>
      <c r="E6731" t="inlineStr">
        <is>
          <t>cash_in</t>
        </is>
      </c>
      <c r="F6731" s="23" t="n">
        <v>46277</v>
      </c>
      <c r="G6731" s="24">
        <f>F6731-DATE(2026,8,31)</f>
        <v>12</v>
      </c>
      <c r="H6731" s="25" t="n">
        <v>90636195</v>
      </c>
      <c r="I6731" t="inlineStr">
        <is>
          <t>entidad-dia</t>
        </is>
      </c>
    </row>
    <row r="6732">
      <c r="A6732" t="inlineStr">
        <is>
          <t>PRAGMA</t>
        </is>
      </c>
      <c r="B6732" t="inlineStr">
        <is>
          <t>M2</t>
        </is>
      </c>
      <c r="C6732" t="inlineStr">
        <is>
          <t>Cali</t>
        </is>
      </c>
      <c r="D6732" t="inlineStr">
        <is>
          <t>1505</t>
        </is>
      </c>
      <c r="E6732" t="inlineStr">
        <is>
          <t>pagado</t>
        </is>
      </c>
      <c r="F6732" s="23" t="n">
        <v>46278</v>
      </c>
      <c r="G6732" s="24">
        <f>F6732-DATE(2026,8,31)</f>
        <v>13</v>
      </c>
      <c r="H6732" s="25" t="n">
        <v>29714646</v>
      </c>
      <c r="I6732" t="inlineStr">
        <is>
          <t>entidad-dia</t>
        </is>
      </c>
    </row>
    <row r="6733">
      <c r="A6733" t="inlineStr">
        <is>
          <t>PRAGMA</t>
        </is>
      </c>
      <c r="B6733" t="inlineStr">
        <is>
          <t>M2</t>
        </is>
      </c>
      <c r="C6733" t="inlineStr">
        <is>
          <t>Cali</t>
        </is>
      </c>
      <c r="D6733" t="inlineStr">
        <is>
          <t>1505</t>
        </is>
      </c>
      <c r="E6733" t="inlineStr">
        <is>
          <t>cash_in</t>
        </is>
      </c>
      <c r="F6733" s="23" t="n">
        <v>46278</v>
      </c>
      <c r="G6733" s="24">
        <f>F6733-DATE(2026,8,31)</f>
        <v>13</v>
      </c>
      <c r="H6733" s="25" t="n">
        <v>50404655</v>
      </c>
      <c r="I6733" t="inlineStr">
        <is>
          <t>entidad-dia</t>
        </is>
      </c>
    </row>
    <row r="6734">
      <c r="A6734" t="inlineStr">
        <is>
          <t>PRAGMA</t>
        </is>
      </c>
      <c r="B6734" t="inlineStr">
        <is>
          <t>M2</t>
        </is>
      </c>
      <c r="C6734" t="inlineStr">
        <is>
          <t>Cali</t>
        </is>
      </c>
      <c r="D6734" t="inlineStr">
        <is>
          <t>1505</t>
        </is>
      </c>
      <c r="E6734" t="inlineStr">
        <is>
          <t>pagado</t>
        </is>
      </c>
      <c r="F6734" s="23" t="n">
        <v>46279</v>
      </c>
      <c r="G6734" s="24">
        <f>F6734-DATE(2026,8,31)</f>
        <v>14</v>
      </c>
      <c r="H6734" s="25" t="n">
        <v>36982182</v>
      </c>
      <c r="I6734" t="inlineStr">
        <is>
          <t>entidad-dia</t>
        </is>
      </c>
    </row>
    <row r="6735">
      <c r="A6735" t="inlineStr">
        <is>
          <t>PRAGMA</t>
        </is>
      </c>
      <c r="B6735" t="inlineStr">
        <is>
          <t>M2</t>
        </is>
      </c>
      <c r="C6735" t="inlineStr">
        <is>
          <t>Cali</t>
        </is>
      </c>
      <c r="D6735" t="inlineStr">
        <is>
          <t>1505</t>
        </is>
      </c>
      <c r="E6735" t="inlineStr">
        <is>
          <t>cash_in</t>
        </is>
      </c>
      <c r="F6735" s="23" t="n">
        <v>46279</v>
      </c>
      <c r="G6735" s="24">
        <f>F6735-DATE(2026,8,31)</f>
        <v>14</v>
      </c>
      <c r="H6735" s="25" t="n">
        <v>96966145</v>
      </c>
      <c r="I6735" t="inlineStr">
        <is>
          <t>entidad-dia</t>
        </is>
      </c>
    </row>
    <row r="6736">
      <c r="A6736" t="inlineStr">
        <is>
          <t>PRAGMA</t>
        </is>
      </c>
      <c r="B6736" t="inlineStr">
        <is>
          <t>M2</t>
        </is>
      </c>
      <c r="C6736" t="inlineStr">
        <is>
          <t>Cali</t>
        </is>
      </c>
      <c r="D6736" t="inlineStr">
        <is>
          <t>1505</t>
        </is>
      </c>
      <c r="E6736" t="inlineStr">
        <is>
          <t>pagado</t>
        </is>
      </c>
      <c r="F6736" s="23" t="n">
        <v>46280</v>
      </c>
      <c r="G6736" s="24">
        <f>F6736-DATE(2026,8,31)</f>
        <v>15</v>
      </c>
      <c r="H6736" s="25" t="n">
        <v>52209430</v>
      </c>
      <c r="I6736" t="inlineStr">
        <is>
          <t>entidad-dia</t>
        </is>
      </c>
    </row>
    <row r="6737">
      <c r="A6737" t="inlineStr">
        <is>
          <t>PRAGMA</t>
        </is>
      </c>
      <c r="B6737" t="inlineStr">
        <is>
          <t>M2</t>
        </is>
      </c>
      <c r="C6737" t="inlineStr">
        <is>
          <t>Cali</t>
        </is>
      </c>
      <c r="D6737" t="inlineStr">
        <is>
          <t>1505</t>
        </is>
      </c>
      <c r="E6737" t="inlineStr">
        <is>
          <t>cash_in</t>
        </is>
      </c>
      <c r="F6737" s="23" t="n">
        <v>46280</v>
      </c>
      <c r="G6737" s="24">
        <f>F6737-DATE(2026,8,31)</f>
        <v>15</v>
      </c>
      <c r="H6737" s="25" t="n">
        <v>98722937</v>
      </c>
      <c r="I6737" t="inlineStr">
        <is>
          <t>entidad-dia</t>
        </is>
      </c>
    </row>
    <row r="6738">
      <c r="A6738" t="inlineStr">
        <is>
          <t>PRAGMA</t>
        </is>
      </c>
      <c r="B6738" t="inlineStr">
        <is>
          <t>M2</t>
        </is>
      </c>
      <c r="C6738" t="inlineStr">
        <is>
          <t>Cali</t>
        </is>
      </c>
      <c r="D6738" t="inlineStr">
        <is>
          <t>1519</t>
        </is>
      </c>
      <c r="E6738" t="inlineStr">
        <is>
          <t>pagado</t>
        </is>
      </c>
      <c r="F6738" s="23" t="n">
        <v>46266</v>
      </c>
      <c r="G6738" s="24">
        <f>F6738-DATE(2026,8,31)</f>
        <v>1</v>
      </c>
      <c r="H6738" s="25" t="n">
        <v>38503240</v>
      </c>
      <c r="I6738" t="inlineStr">
        <is>
          <t>entidad-dia</t>
        </is>
      </c>
    </row>
    <row r="6739">
      <c r="A6739" t="inlineStr">
        <is>
          <t>PRAGMA</t>
        </is>
      </c>
      <c r="B6739" t="inlineStr">
        <is>
          <t>M2</t>
        </is>
      </c>
      <c r="C6739" t="inlineStr">
        <is>
          <t>Cali</t>
        </is>
      </c>
      <c r="D6739" t="inlineStr">
        <is>
          <t>1519</t>
        </is>
      </c>
      <c r="E6739" t="inlineStr">
        <is>
          <t>cash_in</t>
        </is>
      </c>
      <c r="F6739" s="23" t="n">
        <v>46266</v>
      </c>
      <c r="G6739" s="24">
        <f>F6739-DATE(2026,8,31)</f>
        <v>1</v>
      </c>
      <c r="H6739" s="25" t="n">
        <v>49751861</v>
      </c>
      <c r="I6739" t="inlineStr">
        <is>
          <t>entidad-dia</t>
        </is>
      </c>
    </row>
    <row r="6740">
      <c r="A6740" t="inlineStr">
        <is>
          <t>PRAGMA</t>
        </is>
      </c>
      <c r="B6740" t="inlineStr">
        <is>
          <t>M2</t>
        </is>
      </c>
      <c r="C6740" t="inlineStr">
        <is>
          <t>Cali</t>
        </is>
      </c>
      <c r="D6740" t="inlineStr">
        <is>
          <t>1519</t>
        </is>
      </c>
      <c r="E6740" t="inlineStr">
        <is>
          <t>pagado</t>
        </is>
      </c>
      <c r="F6740" s="23" t="n">
        <v>46267</v>
      </c>
      <c r="G6740" s="24">
        <f>F6740-DATE(2026,8,31)</f>
        <v>2</v>
      </c>
      <c r="H6740" s="25" t="n">
        <v>32612665</v>
      </c>
      <c r="I6740" t="inlineStr">
        <is>
          <t>entidad-dia</t>
        </is>
      </c>
    </row>
    <row r="6741">
      <c r="A6741" t="inlineStr">
        <is>
          <t>PRAGMA</t>
        </is>
      </c>
      <c r="B6741" t="inlineStr">
        <is>
          <t>M2</t>
        </is>
      </c>
      <c r="C6741" t="inlineStr">
        <is>
          <t>Cali</t>
        </is>
      </c>
      <c r="D6741" t="inlineStr">
        <is>
          <t>1519</t>
        </is>
      </c>
      <c r="E6741" t="inlineStr">
        <is>
          <t>cash_in</t>
        </is>
      </c>
      <c r="F6741" s="23" t="n">
        <v>46267</v>
      </c>
      <c r="G6741" s="24">
        <f>F6741-DATE(2026,8,31)</f>
        <v>2</v>
      </c>
      <c r="H6741" s="25" t="n">
        <v>44726530</v>
      </c>
      <c r="I6741" t="inlineStr">
        <is>
          <t>entidad-dia</t>
        </is>
      </c>
    </row>
    <row r="6742">
      <c r="A6742" t="inlineStr">
        <is>
          <t>PRAGMA</t>
        </is>
      </c>
      <c r="B6742" t="inlineStr">
        <is>
          <t>M2</t>
        </is>
      </c>
      <c r="C6742" t="inlineStr">
        <is>
          <t>Cali</t>
        </is>
      </c>
      <c r="D6742" t="inlineStr">
        <is>
          <t>1519</t>
        </is>
      </c>
      <c r="E6742" t="inlineStr">
        <is>
          <t>pagado</t>
        </is>
      </c>
      <c r="F6742" s="23" t="n">
        <v>46268</v>
      </c>
      <c r="G6742" s="24">
        <f>F6742-DATE(2026,8,31)</f>
        <v>3</v>
      </c>
      <c r="H6742" s="25" t="n">
        <v>31488614</v>
      </c>
      <c r="I6742" t="inlineStr">
        <is>
          <t>entidad-dia</t>
        </is>
      </c>
    </row>
    <row r="6743">
      <c r="A6743" t="inlineStr">
        <is>
          <t>PRAGMA</t>
        </is>
      </c>
      <c r="B6743" t="inlineStr">
        <is>
          <t>M2</t>
        </is>
      </c>
      <c r="C6743" t="inlineStr">
        <is>
          <t>Cali</t>
        </is>
      </c>
      <c r="D6743" t="inlineStr">
        <is>
          <t>1519</t>
        </is>
      </c>
      <c r="E6743" t="inlineStr">
        <is>
          <t>cash_in</t>
        </is>
      </c>
      <c r="F6743" s="23" t="n">
        <v>46268</v>
      </c>
      <c r="G6743" s="24">
        <f>F6743-DATE(2026,8,31)</f>
        <v>3</v>
      </c>
      <c r="H6743" s="25" t="n">
        <v>45069949</v>
      </c>
      <c r="I6743" t="inlineStr">
        <is>
          <t>entidad-dia</t>
        </is>
      </c>
    </row>
    <row r="6744">
      <c r="A6744" t="inlineStr">
        <is>
          <t>PRAGMA</t>
        </is>
      </c>
      <c r="B6744" t="inlineStr">
        <is>
          <t>M2</t>
        </is>
      </c>
      <c r="C6744" t="inlineStr">
        <is>
          <t>Cali</t>
        </is>
      </c>
      <c r="D6744" t="inlineStr">
        <is>
          <t>1519</t>
        </is>
      </c>
      <c r="E6744" t="inlineStr">
        <is>
          <t>pagado</t>
        </is>
      </c>
      <c r="F6744" s="23" t="n">
        <v>46269</v>
      </c>
      <c r="G6744" s="24">
        <f>F6744-DATE(2026,8,31)</f>
        <v>4</v>
      </c>
      <c r="H6744" s="25" t="n">
        <v>31718407</v>
      </c>
      <c r="I6744" t="inlineStr">
        <is>
          <t>entidad-dia</t>
        </is>
      </c>
    </row>
    <row r="6745">
      <c r="A6745" t="inlineStr">
        <is>
          <t>PRAGMA</t>
        </is>
      </c>
      <c r="B6745" t="inlineStr">
        <is>
          <t>M2</t>
        </is>
      </c>
      <c r="C6745" t="inlineStr">
        <is>
          <t>Cali</t>
        </is>
      </c>
      <c r="D6745" t="inlineStr">
        <is>
          <t>1519</t>
        </is>
      </c>
      <c r="E6745" t="inlineStr">
        <is>
          <t>cash_in</t>
        </is>
      </c>
      <c r="F6745" s="23" t="n">
        <v>46269</v>
      </c>
      <c r="G6745" s="24">
        <f>F6745-DATE(2026,8,31)</f>
        <v>4</v>
      </c>
      <c r="H6745" s="25" t="n">
        <v>41130657</v>
      </c>
      <c r="I6745" t="inlineStr">
        <is>
          <t>entidad-dia</t>
        </is>
      </c>
    </row>
    <row r="6746">
      <c r="A6746" t="inlineStr">
        <is>
          <t>PRAGMA</t>
        </is>
      </c>
      <c r="B6746" t="inlineStr">
        <is>
          <t>M2</t>
        </is>
      </c>
      <c r="C6746" t="inlineStr">
        <is>
          <t>Cali</t>
        </is>
      </c>
      <c r="D6746" t="inlineStr">
        <is>
          <t>1519</t>
        </is>
      </c>
      <c r="E6746" t="inlineStr">
        <is>
          <t>pagado</t>
        </is>
      </c>
      <c r="F6746" s="23" t="n">
        <v>46270</v>
      </c>
      <c r="G6746" s="24">
        <f>F6746-DATE(2026,8,31)</f>
        <v>5</v>
      </c>
      <c r="H6746" s="25" t="n">
        <v>33121513</v>
      </c>
      <c r="I6746" t="inlineStr">
        <is>
          <t>entidad-dia</t>
        </is>
      </c>
    </row>
    <row r="6747">
      <c r="A6747" t="inlineStr">
        <is>
          <t>PRAGMA</t>
        </is>
      </c>
      <c r="B6747" t="inlineStr">
        <is>
          <t>M2</t>
        </is>
      </c>
      <c r="C6747" t="inlineStr">
        <is>
          <t>Cali</t>
        </is>
      </c>
      <c r="D6747" t="inlineStr">
        <is>
          <t>1519</t>
        </is>
      </c>
      <c r="E6747" t="inlineStr">
        <is>
          <t>cash_in</t>
        </is>
      </c>
      <c r="F6747" s="23" t="n">
        <v>46270</v>
      </c>
      <c r="G6747" s="24">
        <f>F6747-DATE(2026,8,31)</f>
        <v>5</v>
      </c>
      <c r="H6747" s="25" t="n">
        <v>47312987</v>
      </c>
      <c r="I6747" t="inlineStr">
        <is>
          <t>entidad-dia</t>
        </is>
      </c>
    </row>
    <row r="6748">
      <c r="A6748" t="inlineStr">
        <is>
          <t>PRAGMA</t>
        </is>
      </c>
      <c r="B6748" t="inlineStr">
        <is>
          <t>M2</t>
        </is>
      </c>
      <c r="C6748" t="inlineStr">
        <is>
          <t>Cali</t>
        </is>
      </c>
      <c r="D6748" t="inlineStr">
        <is>
          <t>1519</t>
        </is>
      </c>
      <c r="E6748" t="inlineStr">
        <is>
          <t>pagado</t>
        </is>
      </c>
      <c r="F6748" s="23" t="n">
        <v>46271</v>
      </c>
      <c r="G6748" s="24">
        <f>F6748-DATE(2026,8,31)</f>
        <v>6</v>
      </c>
      <c r="H6748" s="25" t="n">
        <v>22401705</v>
      </c>
      <c r="I6748" t="inlineStr">
        <is>
          <t>entidad-dia</t>
        </is>
      </c>
    </row>
    <row r="6749">
      <c r="A6749" t="inlineStr">
        <is>
          <t>PRAGMA</t>
        </is>
      </c>
      <c r="B6749" t="inlineStr">
        <is>
          <t>M2</t>
        </is>
      </c>
      <c r="C6749" t="inlineStr">
        <is>
          <t>Cali</t>
        </is>
      </c>
      <c r="D6749" t="inlineStr">
        <is>
          <t>1519</t>
        </is>
      </c>
      <c r="E6749" t="inlineStr">
        <is>
          <t>cash_in</t>
        </is>
      </c>
      <c r="F6749" s="23" t="n">
        <v>46271</v>
      </c>
      <c r="G6749" s="24">
        <f>F6749-DATE(2026,8,31)</f>
        <v>6</v>
      </c>
      <c r="H6749" s="25" t="n">
        <v>32184420</v>
      </c>
      <c r="I6749" t="inlineStr">
        <is>
          <t>entidad-dia</t>
        </is>
      </c>
    </row>
    <row r="6750">
      <c r="A6750" t="inlineStr">
        <is>
          <t>PRAGMA</t>
        </is>
      </c>
      <c r="B6750" t="inlineStr">
        <is>
          <t>M2</t>
        </is>
      </c>
      <c r="C6750" t="inlineStr">
        <is>
          <t>Cali</t>
        </is>
      </c>
      <c r="D6750" t="inlineStr">
        <is>
          <t>1519</t>
        </is>
      </c>
      <c r="E6750" t="inlineStr">
        <is>
          <t>pagado</t>
        </is>
      </c>
      <c r="F6750" s="23" t="n">
        <v>46272</v>
      </c>
      <c r="G6750" s="24">
        <f>F6750-DATE(2026,8,31)</f>
        <v>7</v>
      </c>
      <c r="H6750" s="25" t="n">
        <v>26739076</v>
      </c>
      <c r="I6750" t="inlineStr">
        <is>
          <t>entidad-dia</t>
        </is>
      </c>
    </row>
    <row r="6751">
      <c r="A6751" t="inlineStr">
        <is>
          <t>PRAGMA</t>
        </is>
      </c>
      <c r="B6751" t="inlineStr">
        <is>
          <t>M2</t>
        </is>
      </c>
      <c r="C6751" t="inlineStr">
        <is>
          <t>Cali</t>
        </is>
      </c>
      <c r="D6751" t="inlineStr">
        <is>
          <t>1519</t>
        </is>
      </c>
      <c r="E6751" t="inlineStr">
        <is>
          <t>cash_in</t>
        </is>
      </c>
      <c r="F6751" s="23" t="n">
        <v>46272</v>
      </c>
      <c r="G6751" s="24">
        <f>F6751-DATE(2026,8,31)</f>
        <v>7</v>
      </c>
      <c r="H6751" s="25" t="n">
        <v>49631913</v>
      </c>
      <c r="I6751" t="inlineStr">
        <is>
          <t>entidad-dia</t>
        </is>
      </c>
    </row>
    <row r="6752">
      <c r="A6752" t="inlineStr">
        <is>
          <t>PRAGMA</t>
        </is>
      </c>
      <c r="B6752" t="inlineStr">
        <is>
          <t>M2</t>
        </is>
      </c>
      <c r="C6752" t="inlineStr">
        <is>
          <t>Cali</t>
        </is>
      </c>
      <c r="D6752" t="inlineStr">
        <is>
          <t>1519</t>
        </is>
      </c>
      <c r="E6752" t="inlineStr">
        <is>
          <t>pagado</t>
        </is>
      </c>
      <c r="F6752" s="23" t="n">
        <v>46273</v>
      </c>
      <c r="G6752" s="24">
        <f>F6752-DATE(2026,8,31)</f>
        <v>8</v>
      </c>
      <c r="H6752" s="25" t="n">
        <v>24076978</v>
      </c>
      <c r="I6752" t="inlineStr">
        <is>
          <t>entidad-dia</t>
        </is>
      </c>
    </row>
    <row r="6753">
      <c r="A6753" t="inlineStr">
        <is>
          <t>PRAGMA</t>
        </is>
      </c>
      <c r="B6753" t="inlineStr">
        <is>
          <t>M2</t>
        </is>
      </c>
      <c r="C6753" t="inlineStr">
        <is>
          <t>Cali</t>
        </is>
      </c>
      <c r="D6753" t="inlineStr">
        <is>
          <t>1519</t>
        </is>
      </c>
      <c r="E6753" t="inlineStr">
        <is>
          <t>cash_in</t>
        </is>
      </c>
      <c r="F6753" s="23" t="n">
        <v>46273</v>
      </c>
      <c r="G6753" s="24">
        <f>F6753-DATE(2026,8,31)</f>
        <v>8</v>
      </c>
      <c r="H6753" s="25" t="n">
        <v>44554395</v>
      </c>
      <c r="I6753" t="inlineStr">
        <is>
          <t>entidad-dia</t>
        </is>
      </c>
    </row>
    <row r="6754">
      <c r="A6754" t="inlineStr">
        <is>
          <t>PRAGMA</t>
        </is>
      </c>
      <c r="B6754" t="inlineStr">
        <is>
          <t>M2</t>
        </is>
      </c>
      <c r="C6754" t="inlineStr">
        <is>
          <t>Cali</t>
        </is>
      </c>
      <c r="D6754" t="inlineStr">
        <is>
          <t>1519</t>
        </is>
      </c>
      <c r="E6754" t="inlineStr">
        <is>
          <t>pagado</t>
        </is>
      </c>
      <c r="F6754" s="23" t="n">
        <v>46274</v>
      </c>
      <c r="G6754" s="24">
        <f>F6754-DATE(2026,8,31)</f>
        <v>9</v>
      </c>
      <c r="H6754" s="25" t="n">
        <v>23853653</v>
      </c>
      <c r="I6754" t="inlineStr">
        <is>
          <t>entidad-dia</t>
        </is>
      </c>
    </row>
    <row r="6755">
      <c r="A6755" t="inlineStr">
        <is>
          <t>PRAGMA</t>
        </is>
      </c>
      <c r="B6755" t="inlineStr">
        <is>
          <t>M2</t>
        </is>
      </c>
      <c r="C6755" t="inlineStr">
        <is>
          <t>Cali</t>
        </is>
      </c>
      <c r="D6755" t="inlineStr">
        <is>
          <t>1519</t>
        </is>
      </c>
      <c r="E6755" t="inlineStr">
        <is>
          <t>cash_in</t>
        </is>
      </c>
      <c r="F6755" s="23" t="n">
        <v>46274</v>
      </c>
      <c r="G6755" s="24">
        <f>F6755-DATE(2026,8,31)</f>
        <v>9</v>
      </c>
      <c r="H6755" s="25" t="n">
        <v>40514372</v>
      </c>
      <c r="I6755" t="inlineStr">
        <is>
          <t>entidad-dia</t>
        </is>
      </c>
    </row>
    <row r="6756">
      <c r="A6756" t="inlineStr">
        <is>
          <t>PRAGMA</t>
        </is>
      </c>
      <c r="B6756" t="inlineStr">
        <is>
          <t>M2</t>
        </is>
      </c>
      <c r="C6756" t="inlineStr">
        <is>
          <t>Cali</t>
        </is>
      </c>
      <c r="D6756" t="inlineStr">
        <is>
          <t>1519</t>
        </is>
      </c>
      <c r="E6756" t="inlineStr">
        <is>
          <t>pagado</t>
        </is>
      </c>
      <c r="F6756" s="23" t="n">
        <v>46275</v>
      </c>
      <c r="G6756" s="24">
        <f>F6756-DATE(2026,8,31)</f>
        <v>10</v>
      </c>
      <c r="H6756" s="25" t="n">
        <v>21984413</v>
      </c>
      <c r="I6756" t="inlineStr">
        <is>
          <t>entidad-dia</t>
        </is>
      </c>
    </row>
    <row r="6757">
      <c r="A6757" t="inlineStr">
        <is>
          <t>PRAGMA</t>
        </is>
      </c>
      <c r="B6757" t="inlineStr">
        <is>
          <t>M2</t>
        </is>
      </c>
      <c r="C6757" t="inlineStr">
        <is>
          <t>Cali</t>
        </is>
      </c>
      <c r="D6757" t="inlineStr">
        <is>
          <t>1519</t>
        </is>
      </c>
      <c r="E6757" t="inlineStr">
        <is>
          <t>cash_in</t>
        </is>
      </c>
      <c r="F6757" s="23" t="n">
        <v>46275</v>
      </c>
      <c r="G6757" s="24">
        <f>F6757-DATE(2026,8,31)</f>
        <v>10</v>
      </c>
      <c r="H6757" s="25" t="n">
        <v>41833402</v>
      </c>
      <c r="I6757" t="inlineStr">
        <is>
          <t>entidad-dia</t>
        </is>
      </c>
    </row>
    <row r="6758">
      <c r="A6758" t="inlineStr">
        <is>
          <t>PRAGMA</t>
        </is>
      </c>
      <c r="B6758" t="inlineStr">
        <is>
          <t>M2</t>
        </is>
      </c>
      <c r="C6758" t="inlineStr">
        <is>
          <t>Cali</t>
        </is>
      </c>
      <c r="D6758" t="inlineStr">
        <is>
          <t>1519</t>
        </is>
      </c>
      <c r="E6758" t="inlineStr">
        <is>
          <t>pagado</t>
        </is>
      </c>
      <c r="F6758" s="23" t="n">
        <v>46276</v>
      </c>
      <c r="G6758" s="24">
        <f>F6758-DATE(2026,8,31)</f>
        <v>11</v>
      </c>
      <c r="H6758" s="25" t="n">
        <v>24676074</v>
      </c>
      <c r="I6758" t="inlineStr">
        <is>
          <t>entidad-dia</t>
        </is>
      </c>
    </row>
    <row r="6759">
      <c r="A6759" t="inlineStr">
        <is>
          <t>PRAGMA</t>
        </is>
      </c>
      <c r="B6759" t="inlineStr">
        <is>
          <t>M2</t>
        </is>
      </c>
      <c r="C6759" t="inlineStr">
        <is>
          <t>Cali</t>
        </is>
      </c>
      <c r="D6759" t="inlineStr">
        <is>
          <t>1519</t>
        </is>
      </c>
      <c r="E6759" t="inlineStr">
        <is>
          <t>cash_in</t>
        </is>
      </c>
      <c r="F6759" s="23" t="n">
        <v>46276</v>
      </c>
      <c r="G6759" s="24">
        <f>F6759-DATE(2026,8,31)</f>
        <v>11</v>
      </c>
      <c r="H6759" s="25" t="n">
        <v>40659233</v>
      </c>
      <c r="I6759" t="inlineStr">
        <is>
          <t>entidad-dia</t>
        </is>
      </c>
    </row>
    <row r="6760">
      <c r="A6760" t="inlineStr">
        <is>
          <t>PRAGMA</t>
        </is>
      </c>
      <c r="B6760" t="inlineStr">
        <is>
          <t>M2</t>
        </is>
      </c>
      <c r="C6760" t="inlineStr">
        <is>
          <t>Cali</t>
        </is>
      </c>
      <c r="D6760" t="inlineStr">
        <is>
          <t>1519</t>
        </is>
      </c>
      <c r="E6760" t="inlineStr">
        <is>
          <t>pagado</t>
        </is>
      </c>
      <c r="F6760" s="23" t="n">
        <v>46277</v>
      </c>
      <c r="G6760" s="24">
        <f>F6760-DATE(2026,8,31)</f>
        <v>12</v>
      </c>
      <c r="H6760" s="25" t="n">
        <v>26268726</v>
      </c>
      <c r="I6760" t="inlineStr">
        <is>
          <t>entidad-dia</t>
        </is>
      </c>
    </row>
    <row r="6761">
      <c r="A6761" t="inlineStr">
        <is>
          <t>PRAGMA</t>
        </is>
      </c>
      <c r="B6761" t="inlineStr">
        <is>
          <t>M2</t>
        </is>
      </c>
      <c r="C6761" t="inlineStr">
        <is>
          <t>Cali</t>
        </is>
      </c>
      <c r="D6761" t="inlineStr">
        <is>
          <t>1519</t>
        </is>
      </c>
      <c r="E6761" t="inlineStr">
        <is>
          <t>cash_in</t>
        </is>
      </c>
      <c r="F6761" s="23" t="n">
        <v>46277</v>
      </c>
      <c r="G6761" s="24">
        <f>F6761-DATE(2026,8,31)</f>
        <v>12</v>
      </c>
      <c r="H6761" s="25" t="n">
        <v>42312605</v>
      </c>
      <c r="I6761" t="inlineStr">
        <is>
          <t>entidad-dia</t>
        </is>
      </c>
    </row>
    <row r="6762">
      <c r="A6762" t="inlineStr">
        <is>
          <t>PRAGMA</t>
        </is>
      </c>
      <c r="B6762" t="inlineStr">
        <is>
          <t>M2</t>
        </is>
      </c>
      <c r="C6762" t="inlineStr">
        <is>
          <t>Cali</t>
        </is>
      </c>
      <c r="D6762" t="inlineStr">
        <is>
          <t>1519</t>
        </is>
      </c>
      <c r="E6762" t="inlineStr">
        <is>
          <t>pagado</t>
        </is>
      </c>
      <c r="F6762" s="23" t="n">
        <v>46278</v>
      </c>
      <c r="G6762" s="24">
        <f>F6762-DATE(2026,8,31)</f>
        <v>13</v>
      </c>
      <c r="H6762" s="25" t="n">
        <v>20135885</v>
      </c>
      <c r="I6762" t="inlineStr">
        <is>
          <t>entidad-dia</t>
        </is>
      </c>
    </row>
    <row r="6763">
      <c r="A6763" t="inlineStr">
        <is>
          <t>PRAGMA</t>
        </is>
      </c>
      <c r="B6763" t="inlineStr">
        <is>
          <t>M2</t>
        </is>
      </c>
      <c r="C6763" t="inlineStr">
        <is>
          <t>Cali</t>
        </is>
      </c>
      <c r="D6763" t="inlineStr">
        <is>
          <t>1519</t>
        </is>
      </c>
      <c r="E6763" t="inlineStr">
        <is>
          <t>cash_in</t>
        </is>
      </c>
      <c r="F6763" s="23" t="n">
        <v>46278</v>
      </c>
      <c r="G6763" s="24">
        <f>F6763-DATE(2026,8,31)</f>
        <v>13</v>
      </c>
      <c r="H6763" s="25" t="n">
        <v>28528387</v>
      </c>
      <c r="I6763" t="inlineStr">
        <is>
          <t>entidad-dia</t>
        </is>
      </c>
    </row>
    <row r="6764">
      <c r="A6764" t="inlineStr">
        <is>
          <t>PRAGMA</t>
        </is>
      </c>
      <c r="B6764" t="inlineStr">
        <is>
          <t>M2</t>
        </is>
      </c>
      <c r="C6764" t="inlineStr">
        <is>
          <t>Cali</t>
        </is>
      </c>
      <c r="D6764" t="inlineStr">
        <is>
          <t>1519</t>
        </is>
      </c>
      <c r="E6764" t="inlineStr">
        <is>
          <t>pagado</t>
        </is>
      </c>
      <c r="F6764" s="23" t="n">
        <v>46279</v>
      </c>
      <c r="G6764" s="24">
        <f>F6764-DATE(2026,8,31)</f>
        <v>14</v>
      </c>
      <c r="H6764" s="25" t="n">
        <v>24111129</v>
      </c>
      <c r="I6764" t="inlineStr">
        <is>
          <t>entidad-dia</t>
        </is>
      </c>
    </row>
    <row r="6765">
      <c r="A6765" t="inlineStr">
        <is>
          <t>PRAGMA</t>
        </is>
      </c>
      <c r="B6765" t="inlineStr">
        <is>
          <t>M2</t>
        </is>
      </c>
      <c r="C6765" t="inlineStr">
        <is>
          <t>Cali</t>
        </is>
      </c>
      <c r="D6765" t="inlineStr">
        <is>
          <t>1519</t>
        </is>
      </c>
      <c r="E6765" t="inlineStr">
        <is>
          <t>cash_in</t>
        </is>
      </c>
      <c r="F6765" s="23" t="n">
        <v>46279</v>
      </c>
      <c r="G6765" s="24">
        <f>F6765-DATE(2026,8,31)</f>
        <v>14</v>
      </c>
      <c r="H6765" s="25" t="n">
        <v>41119317</v>
      </c>
      <c r="I6765" t="inlineStr">
        <is>
          <t>entidad-dia</t>
        </is>
      </c>
    </row>
    <row r="6766">
      <c r="A6766" t="inlineStr">
        <is>
          <t>PRAGMA</t>
        </is>
      </c>
      <c r="B6766" t="inlineStr">
        <is>
          <t>M2</t>
        </is>
      </c>
      <c r="C6766" t="inlineStr">
        <is>
          <t>Cali</t>
        </is>
      </c>
      <c r="D6766" t="inlineStr">
        <is>
          <t>1519</t>
        </is>
      </c>
      <c r="E6766" t="inlineStr">
        <is>
          <t>pagado</t>
        </is>
      </c>
      <c r="F6766" s="23" t="n">
        <v>46280</v>
      </c>
      <c r="G6766" s="24">
        <f>F6766-DATE(2026,8,31)</f>
        <v>15</v>
      </c>
      <c r="H6766" s="25" t="n">
        <v>30485328</v>
      </c>
      <c r="I6766" t="inlineStr">
        <is>
          <t>entidad-dia</t>
        </is>
      </c>
    </row>
    <row r="6767">
      <c r="A6767" t="inlineStr">
        <is>
          <t>PRAGMA</t>
        </is>
      </c>
      <c r="B6767" t="inlineStr">
        <is>
          <t>M2</t>
        </is>
      </c>
      <c r="C6767" t="inlineStr">
        <is>
          <t>Cali</t>
        </is>
      </c>
      <c r="D6767" t="inlineStr">
        <is>
          <t>1519</t>
        </is>
      </c>
      <c r="E6767" t="inlineStr">
        <is>
          <t>cash_in</t>
        </is>
      </c>
      <c r="F6767" s="23" t="n">
        <v>46280</v>
      </c>
      <c r="G6767" s="24">
        <f>F6767-DATE(2026,8,31)</f>
        <v>15</v>
      </c>
      <c r="H6767" s="25" t="n">
        <v>44074047</v>
      </c>
      <c r="I6767" t="inlineStr">
        <is>
          <t>entidad-dia</t>
        </is>
      </c>
    </row>
    <row r="6768">
      <c r="A6768" t="inlineStr">
        <is>
          <t>PRAGMA</t>
        </is>
      </c>
      <c r="B6768" t="inlineStr">
        <is>
          <t>M2</t>
        </is>
      </c>
      <c r="C6768" t="inlineStr">
        <is>
          <t>Cali</t>
        </is>
      </c>
      <c r="D6768" t="inlineStr">
        <is>
          <t>1550</t>
        </is>
      </c>
      <c r="E6768" t="inlineStr">
        <is>
          <t>pagado</t>
        </is>
      </c>
      <c r="F6768" s="23" t="n">
        <v>46266</v>
      </c>
      <c r="G6768" s="24">
        <f>F6768-DATE(2026,8,31)</f>
        <v>1</v>
      </c>
      <c r="H6768" s="25" t="n">
        <v>74656296</v>
      </c>
      <c r="I6768" t="inlineStr">
        <is>
          <t>entidad-dia</t>
        </is>
      </c>
    </row>
    <row r="6769">
      <c r="A6769" t="inlineStr">
        <is>
          <t>PRAGMA</t>
        </is>
      </c>
      <c r="B6769" t="inlineStr">
        <is>
          <t>M2</t>
        </is>
      </c>
      <c r="C6769" t="inlineStr">
        <is>
          <t>Cali</t>
        </is>
      </c>
      <c r="D6769" t="inlineStr">
        <is>
          <t>1550</t>
        </is>
      </c>
      <c r="E6769" t="inlineStr">
        <is>
          <t>cash_in</t>
        </is>
      </c>
      <c r="F6769" s="23" t="n">
        <v>46266</v>
      </c>
      <c r="G6769" s="24">
        <f>F6769-DATE(2026,8,31)</f>
        <v>1</v>
      </c>
      <c r="H6769" s="25" t="n">
        <v>246438322</v>
      </c>
      <c r="I6769" t="inlineStr">
        <is>
          <t>entidad-dia</t>
        </is>
      </c>
    </row>
    <row r="6770">
      <c r="A6770" t="inlineStr">
        <is>
          <t>PRAGMA</t>
        </is>
      </c>
      <c r="B6770" t="inlineStr">
        <is>
          <t>M2</t>
        </is>
      </c>
      <c r="C6770" t="inlineStr">
        <is>
          <t>Cali</t>
        </is>
      </c>
      <c r="D6770" t="inlineStr">
        <is>
          <t>1550</t>
        </is>
      </c>
      <c r="E6770" t="inlineStr">
        <is>
          <t>pagado</t>
        </is>
      </c>
      <c r="F6770" s="23" t="n">
        <v>46267</v>
      </c>
      <c r="G6770" s="24">
        <f>F6770-DATE(2026,8,31)</f>
        <v>2</v>
      </c>
      <c r="H6770" s="25" t="n">
        <v>68611449</v>
      </c>
      <c r="I6770" t="inlineStr">
        <is>
          <t>entidad-dia</t>
        </is>
      </c>
    </row>
    <row r="6771">
      <c r="A6771" t="inlineStr">
        <is>
          <t>PRAGMA</t>
        </is>
      </c>
      <c r="B6771" t="inlineStr">
        <is>
          <t>M2</t>
        </is>
      </c>
      <c r="C6771" t="inlineStr">
        <is>
          <t>Cali</t>
        </is>
      </c>
      <c r="D6771" t="inlineStr">
        <is>
          <t>1550</t>
        </is>
      </c>
      <c r="E6771" t="inlineStr">
        <is>
          <t>cash_in</t>
        </is>
      </c>
      <c r="F6771" s="23" t="n">
        <v>46267</v>
      </c>
      <c r="G6771" s="24">
        <f>F6771-DATE(2026,8,31)</f>
        <v>2</v>
      </c>
      <c r="H6771" s="25" t="n">
        <v>229835485</v>
      </c>
      <c r="I6771" t="inlineStr">
        <is>
          <t>entidad-dia</t>
        </is>
      </c>
    </row>
    <row r="6772">
      <c r="A6772" t="inlineStr">
        <is>
          <t>PRAGMA</t>
        </is>
      </c>
      <c r="B6772" t="inlineStr">
        <is>
          <t>M2</t>
        </is>
      </c>
      <c r="C6772" t="inlineStr">
        <is>
          <t>Cali</t>
        </is>
      </c>
      <c r="D6772" t="inlineStr">
        <is>
          <t>1550</t>
        </is>
      </c>
      <c r="E6772" t="inlineStr">
        <is>
          <t>pagado</t>
        </is>
      </c>
      <c r="F6772" s="23" t="n">
        <v>46268</v>
      </c>
      <c r="G6772" s="24">
        <f>F6772-DATE(2026,8,31)</f>
        <v>3</v>
      </c>
      <c r="H6772" s="25" t="n">
        <v>58716389</v>
      </c>
      <c r="I6772" t="inlineStr">
        <is>
          <t>entidad-dia</t>
        </is>
      </c>
    </row>
    <row r="6773">
      <c r="A6773" t="inlineStr">
        <is>
          <t>PRAGMA</t>
        </is>
      </c>
      <c r="B6773" t="inlineStr">
        <is>
          <t>M2</t>
        </is>
      </c>
      <c r="C6773" t="inlineStr">
        <is>
          <t>Cali</t>
        </is>
      </c>
      <c r="D6773" t="inlineStr">
        <is>
          <t>1550</t>
        </is>
      </c>
      <c r="E6773" t="inlineStr">
        <is>
          <t>cash_in</t>
        </is>
      </c>
      <c r="F6773" s="23" t="n">
        <v>46268</v>
      </c>
      <c r="G6773" s="24">
        <f>F6773-DATE(2026,8,31)</f>
        <v>3</v>
      </c>
      <c r="H6773" s="25" t="n">
        <v>226650702</v>
      </c>
      <c r="I6773" t="inlineStr">
        <is>
          <t>entidad-dia</t>
        </is>
      </c>
    </row>
    <row r="6774">
      <c r="A6774" t="inlineStr">
        <is>
          <t>PRAGMA</t>
        </is>
      </c>
      <c r="B6774" t="inlineStr">
        <is>
          <t>M2</t>
        </is>
      </c>
      <c r="C6774" t="inlineStr">
        <is>
          <t>Cali</t>
        </is>
      </c>
      <c r="D6774" t="inlineStr">
        <is>
          <t>1550</t>
        </is>
      </c>
      <c r="E6774" t="inlineStr">
        <is>
          <t>pagado</t>
        </is>
      </c>
      <c r="F6774" s="23" t="n">
        <v>46269</v>
      </c>
      <c r="G6774" s="24">
        <f>F6774-DATE(2026,8,31)</f>
        <v>4</v>
      </c>
      <c r="H6774" s="25" t="n">
        <v>63279097</v>
      </c>
      <c r="I6774" t="inlineStr">
        <is>
          <t>entidad-dia</t>
        </is>
      </c>
    </row>
    <row r="6775">
      <c r="A6775" t="inlineStr">
        <is>
          <t>PRAGMA</t>
        </is>
      </c>
      <c r="B6775" t="inlineStr">
        <is>
          <t>M2</t>
        </is>
      </c>
      <c r="C6775" t="inlineStr">
        <is>
          <t>Cali</t>
        </is>
      </c>
      <c r="D6775" t="inlineStr">
        <is>
          <t>1550</t>
        </is>
      </c>
      <c r="E6775" t="inlineStr">
        <is>
          <t>cash_in</t>
        </is>
      </c>
      <c r="F6775" s="23" t="n">
        <v>46269</v>
      </c>
      <c r="G6775" s="24">
        <f>F6775-DATE(2026,8,31)</f>
        <v>4</v>
      </c>
      <c r="H6775" s="25" t="n">
        <v>216122046</v>
      </c>
      <c r="I6775" t="inlineStr">
        <is>
          <t>entidad-dia</t>
        </is>
      </c>
    </row>
    <row r="6776">
      <c r="A6776" t="inlineStr">
        <is>
          <t>PRAGMA</t>
        </is>
      </c>
      <c r="B6776" t="inlineStr">
        <is>
          <t>M2</t>
        </is>
      </c>
      <c r="C6776" t="inlineStr">
        <is>
          <t>Cali</t>
        </is>
      </c>
      <c r="D6776" t="inlineStr">
        <is>
          <t>1550</t>
        </is>
      </c>
      <c r="E6776" t="inlineStr">
        <is>
          <t>pagado</t>
        </is>
      </c>
      <c r="F6776" s="23" t="n">
        <v>46270</v>
      </c>
      <c r="G6776" s="24">
        <f>F6776-DATE(2026,8,31)</f>
        <v>5</v>
      </c>
      <c r="H6776" s="25" t="n">
        <v>60984165</v>
      </c>
      <c r="I6776" t="inlineStr">
        <is>
          <t>entidad-dia</t>
        </is>
      </c>
    </row>
    <row r="6777">
      <c r="A6777" t="inlineStr">
        <is>
          <t>PRAGMA</t>
        </is>
      </c>
      <c r="B6777" t="inlineStr">
        <is>
          <t>M2</t>
        </is>
      </c>
      <c r="C6777" t="inlineStr">
        <is>
          <t>Cali</t>
        </is>
      </c>
      <c r="D6777" t="inlineStr">
        <is>
          <t>1550</t>
        </is>
      </c>
      <c r="E6777" t="inlineStr">
        <is>
          <t>cash_in</t>
        </is>
      </c>
      <c r="F6777" s="23" t="n">
        <v>46270</v>
      </c>
      <c r="G6777" s="24">
        <f>F6777-DATE(2026,8,31)</f>
        <v>5</v>
      </c>
      <c r="H6777" s="25" t="n">
        <v>238241762</v>
      </c>
      <c r="I6777" t="inlineStr">
        <is>
          <t>entidad-dia</t>
        </is>
      </c>
    </row>
    <row r="6778">
      <c r="A6778" t="inlineStr">
        <is>
          <t>PRAGMA</t>
        </is>
      </c>
      <c r="B6778" t="inlineStr">
        <is>
          <t>M2</t>
        </is>
      </c>
      <c r="C6778" t="inlineStr">
        <is>
          <t>Cali</t>
        </is>
      </c>
      <c r="D6778" t="inlineStr">
        <is>
          <t>1550</t>
        </is>
      </c>
      <c r="E6778" t="inlineStr">
        <is>
          <t>pagado</t>
        </is>
      </c>
      <c r="F6778" s="23" t="n">
        <v>46271</v>
      </c>
      <c r="G6778" s="24">
        <f>F6778-DATE(2026,8,31)</f>
        <v>6</v>
      </c>
      <c r="H6778" s="25" t="n">
        <v>39025100</v>
      </c>
      <c r="I6778" t="inlineStr">
        <is>
          <t>entidad-dia</t>
        </is>
      </c>
    </row>
    <row r="6779">
      <c r="A6779" t="inlineStr">
        <is>
          <t>PRAGMA</t>
        </is>
      </c>
      <c r="B6779" t="inlineStr">
        <is>
          <t>M2</t>
        </is>
      </c>
      <c r="C6779" t="inlineStr">
        <is>
          <t>Cali</t>
        </is>
      </c>
      <c r="D6779" t="inlineStr">
        <is>
          <t>1550</t>
        </is>
      </c>
      <c r="E6779" t="inlineStr">
        <is>
          <t>cash_in</t>
        </is>
      </c>
      <c r="F6779" s="23" t="n">
        <v>46271</v>
      </c>
      <c r="G6779" s="24">
        <f>F6779-DATE(2026,8,31)</f>
        <v>6</v>
      </c>
      <c r="H6779" s="25" t="n">
        <v>154064234</v>
      </c>
      <c r="I6779" t="inlineStr">
        <is>
          <t>entidad-dia</t>
        </is>
      </c>
    </row>
    <row r="6780">
      <c r="A6780" t="inlineStr">
        <is>
          <t>PRAGMA</t>
        </is>
      </c>
      <c r="B6780" t="inlineStr">
        <is>
          <t>M2</t>
        </is>
      </c>
      <c r="C6780" t="inlineStr">
        <is>
          <t>Cali</t>
        </is>
      </c>
      <c r="D6780" t="inlineStr">
        <is>
          <t>1550</t>
        </is>
      </c>
      <c r="E6780" t="inlineStr">
        <is>
          <t>pagado</t>
        </is>
      </c>
      <c r="F6780" s="23" t="n">
        <v>46272</v>
      </c>
      <c r="G6780" s="24">
        <f>F6780-DATE(2026,8,31)</f>
        <v>7</v>
      </c>
      <c r="H6780" s="25" t="n">
        <v>49763125</v>
      </c>
      <c r="I6780" t="inlineStr">
        <is>
          <t>entidad-dia</t>
        </is>
      </c>
    </row>
    <row r="6781">
      <c r="A6781" t="inlineStr">
        <is>
          <t>PRAGMA</t>
        </is>
      </c>
      <c r="B6781" t="inlineStr">
        <is>
          <t>M2</t>
        </is>
      </c>
      <c r="C6781" t="inlineStr">
        <is>
          <t>Cali</t>
        </is>
      </c>
      <c r="D6781" t="inlineStr">
        <is>
          <t>1550</t>
        </is>
      </c>
      <c r="E6781" t="inlineStr">
        <is>
          <t>cash_in</t>
        </is>
      </c>
      <c r="F6781" s="23" t="n">
        <v>46272</v>
      </c>
      <c r="G6781" s="24">
        <f>F6781-DATE(2026,8,31)</f>
        <v>7</v>
      </c>
      <c r="H6781" s="25" t="n">
        <v>234920696</v>
      </c>
      <c r="I6781" t="inlineStr">
        <is>
          <t>entidad-dia</t>
        </is>
      </c>
    </row>
    <row r="6782">
      <c r="A6782" t="inlineStr">
        <is>
          <t>PRAGMA</t>
        </is>
      </c>
      <c r="B6782" t="inlineStr">
        <is>
          <t>M2</t>
        </is>
      </c>
      <c r="C6782" t="inlineStr">
        <is>
          <t>Cali</t>
        </is>
      </c>
      <c r="D6782" t="inlineStr">
        <is>
          <t>1550</t>
        </is>
      </c>
      <c r="E6782" t="inlineStr">
        <is>
          <t>pagado</t>
        </is>
      </c>
      <c r="F6782" s="23" t="n">
        <v>46273</v>
      </c>
      <c r="G6782" s="24">
        <f>F6782-DATE(2026,8,31)</f>
        <v>8</v>
      </c>
      <c r="H6782" s="25" t="n">
        <v>51411568</v>
      </c>
      <c r="I6782" t="inlineStr">
        <is>
          <t>entidad-dia</t>
        </is>
      </c>
    </row>
    <row r="6783">
      <c r="A6783" t="inlineStr">
        <is>
          <t>PRAGMA</t>
        </is>
      </c>
      <c r="B6783" t="inlineStr">
        <is>
          <t>M2</t>
        </is>
      </c>
      <c r="C6783" t="inlineStr">
        <is>
          <t>Cali</t>
        </is>
      </c>
      <c r="D6783" t="inlineStr">
        <is>
          <t>1550</t>
        </is>
      </c>
      <c r="E6783" t="inlineStr">
        <is>
          <t>cash_in</t>
        </is>
      </c>
      <c r="F6783" s="23" t="n">
        <v>46273</v>
      </c>
      <c r="G6783" s="24">
        <f>F6783-DATE(2026,8,31)</f>
        <v>8</v>
      </c>
      <c r="H6783" s="25" t="n">
        <v>210342687</v>
      </c>
      <c r="I6783" t="inlineStr">
        <is>
          <t>entidad-dia</t>
        </is>
      </c>
    </row>
    <row r="6784">
      <c r="A6784" t="inlineStr">
        <is>
          <t>PRAGMA</t>
        </is>
      </c>
      <c r="B6784" t="inlineStr">
        <is>
          <t>M2</t>
        </is>
      </c>
      <c r="C6784" t="inlineStr">
        <is>
          <t>Cali</t>
        </is>
      </c>
      <c r="D6784" t="inlineStr">
        <is>
          <t>1550</t>
        </is>
      </c>
      <c r="E6784" t="inlineStr">
        <is>
          <t>pagado</t>
        </is>
      </c>
      <c r="F6784" s="23" t="n">
        <v>46274</v>
      </c>
      <c r="G6784" s="24">
        <f>F6784-DATE(2026,8,31)</f>
        <v>9</v>
      </c>
      <c r="H6784" s="25" t="n">
        <v>54389214</v>
      </c>
      <c r="I6784" t="inlineStr">
        <is>
          <t>entidad-dia</t>
        </is>
      </c>
    </row>
    <row r="6785">
      <c r="A6785" t="inlineStr">
        <is>
          <t>PRAGMA</t>
        </is>
      </c>
      <c r="B6785" t="inlineStr">
        <is>
          <t>M2</t>
        </is>
      </c>
      <c r="C6785" t="inlineStr">
        <is>
          <t>Cali</t>
        </is>
      </c>
      <c r="D6785" t="inlineStr">
        <is>
          <t>1550</t>
        </is>
      </c>
      <c r="E6785" t="inlineStr">
        <is>
          <t>cash_in</t>
        </is>
      </c>
      <c r="F6785" s="23" t="n">
        <v>46274</v>
      </c>
      <c r="G6785" s="24">
        <f>F6785-DATE(2026,8,31)</f>
        <v>9</v>
      </c>
      <c r="H6785" s="25" t="n">
        <v>202688652</v>
      </c>
      <c r="I6785" t="inlineStr">
        <is>
          <t>entidad-dia</t>
        </is>
      </c>
    </row>
    <row r="6786">
      <c r="A6786" t="inlineStr">
        <is>
          <t>PRAGMA</t>
        </is>
      </c>
      <c r="B6786" t="inlineStr">
        <is>
          <t>M2</t>
        </is>
      </c>
      <c r="C6786" t="inlineStr">
        <is>
          <t>Cali</t>
        </is>
      </c>
      <c r="D6786" t="inlineStr">
        <is>
          <t>1550</t>
        </is>
      </c>
      <c r="E6786" t="inlineStr">
        <is>
          <t>pagado</t>
        </is>
      </c>
      <c r="F6786" s="23" t="n">
        <v>46275</v>
      </c>
      <c r="G6786" s="24">
        <f>F6786-DATE(2026,8,31)</f>
        <v>10</v>
      </c>
      <c r="H6786" s="25" t="n">
        <v>43373181</v>
      </c>
      <c r="I6786" t="inlineStr">
        <is>
          <t>entidad-dia</t>
        </is>
      </c>
    </row>
    <row r="6787">
      <c r="A6787" t="inlineStr">
        <is>
          <t>PRAGMA</t>
        </is>
      </c>
      <c r="B6787" t="inlineStr">
        <is>
          <t>M2</t>
        </is>
      </c>
      <c r="C6787" t="inlineStr">
        <is>
          <t>Cali</t>
        </is>
      </c>
      <c r="D6787" t="inlineStr">
        <is>
          <t>1550</t>
        </is>
      </c>
      <c r="E6787" t="inlineStr">
        <is>
          <t>cash_in</t>
        </is>
      </c>
      <c r="F6787" s="23" t="n">
        <v>46275</v>
      </c>
      <c r="G6787" s="24">
        <f>F6787-DATE(2026,8,31)</f>
        <v>10</v>
      </c>
      <c r="H6787" s="25" t="n">
        <v>190859274</v>
      </c>
      <c r="I6787" t="inlineStr">
        <is>
          <t>entidad-dia</t>
        </is>
      </c>
    </row>
    <row r="6788">
      <c r="A6788" t="inlineStr">
        <is>
          <t>PRAGMA</t>
        </is>
      </c>
      <c r="B6788" t="inlineStr">
        <is>
          <t>M2</t>
        </is>
      </c>
      <c r="C6788" t="inlineStr">
        <is>
          <t>Cali</t>
        </is>
      </c>
      <c r="D6788" t="inlineStr">
        <is>
          <t>1550</t>
        </is>
      </c>
      <c r="E6788" t="inlineStr">
        <is>
          <t>pagado</t>
        </is>
      </c>
      <c r="F6788" s="23" t="n">
        <v>46276</v>
      </c>
      <c r="G6788" s="24">
        <f>F6788-DATE(2026,8,31)</f>
        <v>11</v>
      </c>
      <c r="H6788" s="25" t="n">
        <v>53531146</v>
      </c>
      <c r="I6788" t="inlineStr">
        <is>
          <t>entidad-dia</t>
        </is>
      </c>
    </row>
    <row r="6789">
      <c r="A6789" t="inlineStr">
        <is>
          <t>PRAGMA</t>
        </is>
      </c>
      <c r="B6789" t="inlineStr">
        <is>
          <t>M2</t>
        </is>
      </c>
      <c r="C6789" t="inlineStr">
        <is>
          <t>Cali</t>
        </is>
      </c>
      <c r="D6789" t="inlineStr">
        <is>
          <t>1550</t>
        </is>
      </c>
      <c r="E6789" t="inlineStr">
        <is>
          <t>cash_in</t>
        </is>
      </c>
      <c r="F6789" s="23" t="n">
        <v>46276</v>
      </c>
      <c r="G6789" s="24">
        <f>F6789-DATE(2026,8,31)</f>
        <v>11</v>
      </c>
      <c r="H6789" s="25" t="n">
        <v>194966380</v>
      </c>
      <c r="I6789" t="inlineStr">
        <is>
          <t>entidad-dia</t>
        </is>
      </c>
    </row>
    <row r="6790">
      <c r="A6790" t="inlineStr">
        <is>
          <t>PRAGMA</t>
        </is>
      </c>
      <c r="B6790" t="inlineStr">
        <is>
          <t>M2</t>
        </is>
      </c>
      <c r="C6790" t="inlineStr">
        <is>
          <t>Cali</t>
        </is>
      </c>
      <c r="D6790" t="inlineStr">
        <is>
          <t>1550</t>
        </is>
      </c>
      <c r="E6790" t="inlineStr">
        <is>
          <t>pagado</t>
        </is>
      </c>
      <c r="F6790" s="23" t="n">
        <v>46277</v>
      </c>
      <c r="G6790" s="24">
        <f>F6790-DATE(2026,8,31)</f>
        <v>12</v>
      </c>
      <c r="H6790" s="25" t="n">
        <v>52650696</v>
      </c>
      <c r="I6790" t="inlineStr">
        <is>
          <t>entidad-dia</t>
        </is>
      </c>
    </row>
    <row r="6791">
      <c r="A6791" t="inlineStr">
        <is>
          <t>PRAGMA</t>
        </is>
      </c>
      <c r="B6791" t="inlineStr">
        <is>
          <t>M2</t>
        </is>
      </c>
      <c r="C6791" t="inlineStr">
        <is>
          <t>Cali</t>
        </is>
      </c>
      <c r="D6791" t="inlineStr">
        <is>
          <t>1550</t>
        </is>
      </c>
      <c r="E6791" t="inlineStr">
        <is>
          <t>cash_in</t>
        </is>
      </c>
      <c r="F6791" s="23" t="n">
        <v>46277</v>
      </c>
      <c r="G6791" s="24">
        <f>F6791-DATE(2026,8,31)</f>
        <v>12</v>
      </c>
      <c r="H6791" s="25" t="n">
        <v>203332766</v>
      </c>
      <c r="I6791" t="inlineStr">
        <is>
          <t>entidad-dia</t>
        </is>
      </c>
    </row>
    <row r="6792">
      <c r="A6792" t="inlineStr">
        <is>
          <t>PRAGMA</t>
        </is>
      </c>
      <c r="B6792" t="inlineStr">
        <is>
          <t>M2</t>
        </is>
      </c>
      <c r="C6792" t="inlineStr">
        <is>
          <t>Cali</t>
        </is>
      </c>
      <c r="D6792" t="inlineStr">
        <is>
          <t>1550</t>
        </is>
      </c>
      <c r="E6792" t="inlineStr">
        <is>
          <t>pagado</t>
        </is>
      </c>
      <c r="F6792" s="23" t="n">
        <v>46278</v>
      </c>
      <c r="G6792" s="24">
        <f>F6792-DATE(2026,8,31)</f>
        <v>13</v>
      </c>
      <c r="H6792" s="25" t="n">
        <v>35221648</v>
      </c>
      <c r="I6792" t="inlineStr">
        <is>
          <t>entidad-dia</t>
        </is>
      </c>
    </row>
    <row r="6793">
      <c r="A6793" t="inlineStr">
        <is>
          <t>PRAGMA</t>
        </is>
      </c>
      <c r="B6793" t="inlineStr">
        <is>
          <t>M2</t>
        </is>
      </c>
      <c r="C6793" t="inlineStr">
        <is>
          <t>Cali</t>
        </is>
      </c>
      <c r="D6793" t="inlineStr">
        <is>
          <t>1550</t>
        </is>
      </c>
      <c r="E6793" t="inlineStr">
        <is>
          <t>cash_in</t>
        </is>
      </c>
      <c r="F6793" s="23" t="n">
        <v>46278</v>
      </c>
      <c r="G6793" s="24">
        <f>F6793-DATE(2026,8,31)</f>
        <v>13</v>
      </c>
      <c r="H6793" s="25" t="n">
        <v>135856364</v>
      </c>
      <c r="I6793" t="inlineStr">
        <is>
          <t>entidad-dia</t>
        </is>
      </c>
    </row>
    <row r="6794">
      <c r="A6794" t="inlineStr">
        <is>
          <t>PRAGMA</t>
        </is>
      </c>
      <c r="B6794" t="inlineStr">
        <is>
          <t>M2</t>
        </is>
      </c>
      <c r="C6794" t="inlineStr">
        <is>
          <t>Cali</t>
        </is>
      </c>
      <c r="D6794" t="inlineStr">
        <is>
          <t>1550</t>
        </is>
      </c>
      <c r="E6794" t="inlineStr">
        <is>
          <t>pagado</t>
        </is>
      </c>
      <c r="F6794" s="23" t="n">
        <v>46279</v>
      </c>
      <c r="G6794" s="24">
        <f>F6794-DATE(2026,8,31)</f>
        <v>14</v>
      </c>
      <c r="H6794" s="25" t="n">
        <v>47822346</v>
      </c>
      <c r="I6794" t="inlineStr">
        <is>
          <t>entidad-dia</t>
        </is>
      </c>
    </row>
    <row r="6795">
      <c r="A6795" t="inlineStr">
        <is>
          <t>PRAGMA</t>
        </is>
      </c>
      <c r="B6795" t="inlineStr">
        <is>
          <t>M2</t>
        </is>
      </c>
      <c r="C6795" t="inlineStr">
        <is>
          <t>Cali</t>
        </is>
      </c>
      <c r="D6795" t="inlineStr">
        <is>
          <t>1550</t>
        </is>
      </c>
      <c r="E6795" t="inlineStr">
        <is>
          <t>cash_in</t>
        </is>
      </c>
      <c r="F6795" s="23" t="n">
        <v>46279</v>
      </c>
      <c r="G6795" s="24">
        <f>F6795-DATE(2026,8,31)</f>
        <v>14</v>
      </c>
      <c r="H6795" s="25" t="n">
        <v>205930859</v>
      </c>
      <c r="I6795" t="inlineStr">
        <is>
          <t>entidad-dia</t>
        </is>
      </c>
    </row>
    <row r="6796">
      <c r="A6796" t="inlineStr">
        <is>
          <t>PRAGMA</t>
        </is>
      </c>
      <c r="B6796" t="inlineStr">
        <is>
          <t>M2</t>
        </is>
      </c>
      <c r="C6796" t="inlineStr">
        <is>
          <t>Cali</t>
        </is>
      </c>
      <c r="D6796" t="inlineStr">
        <is>
          <t>1550</t>
        </is>
      </c>
      <c r="E6796" t="inlineStr">
        <is>
          <t>pagado</t>
        </is>
      </c>
      <c r="F6796" s="23" t="n">
        <v>46280</v>
      </c>
      <c r="G6796" s="24">
        <f>F6796-DATE(2026,8,31)</f>
        <v>15</v>
      </c>
      <c r="H6796" s="25" t="n">
        <v>60371551</v>
      </c>
      <c r="I6796" t="inlineStr">
        <is>
          <t>entidad-dia</t>
        </is>
      </c>
    </row>
    <row r="6797">
      <c r="A6797" t="inlineStr">
        <is>
          <t>PRAGMA</t>
        </is>
      </c>
      <c r="B6797" t="inlineStr">
        <is>
          <t>M2</t>
        </is>
      </c>
      <c r="C6797" t="inlineStr">
        <is>
          <t>Cali</t>
        </is>
      </c>
      <c r="D6797" t="inlineStr">
        <is>
          <t>1550</t>
        </is>
      </c>
      <c r="E6797" t="inlineStr">
        <is>
          <t>cash_in</t>
        </is>
      </c>
      <c r="F6797" s="23" t="n">
        <v>46280</v>
      </c>
      <c r="G6797" s="24">
        <f>F6797-DATE(2026,8,31)</f>
        <v>15</v>
      </c>
      <c r="H6797" s="25" t="n">
        <v>209329501</v>
      </c>
      <c r="I6797" t="inlineStr">
        <is>
          <t>entidad-dia</t>
        </is>
      </c>
    </row>
    <row r="6798">
      <c r="A6798" t="inlineStr">
        <is>
          <t>PRAGMA</t>
        </is>
      </c>
      <c r="B6798" t="inlineStr">
        <is>
          <t>M2</t>
        </is>
      </c>
      <c r="C6798" t="inlineStr">
        <is>
          <t>Cali</t>
        </is>
      </c>
      <c r="D6798" t="inlineStr">
        <is>
          <t>2213</t>
        </is>
      </c>
      <c r="E6798" t="inlineStr">
        <is>
          <t>pagado</t>
        </is>
      </c>
      <c r="F6798" s="23" t="n">
        <v>46266</v>
      </c>
      <c r="G6798" s="24">
        <f>F6798-DATE(2026,8,31)</f>
        <v>1</v>
      </c>
      <c r="H6798" s="25" t="n">
        <v>89535773</v>
      </c>
      <c r="I6798" t="inlineStr">
        <is>
          <t>entidad-dia</t>
        </is>
      </c>
    </row>
    <row r="6799">
      <c r="A6799" t="inlineStr">
        <is>
          <t>PRAGMA</t>
        </is>
      </c>
      <c r="B6799" t="inlineStr">
        <is>
          <t>M2</t>
        </is>
      </c>
      <c r="C6799" t="inlineStr">
        <is>
          <t>Cali</t>
        </is>
      </c>
      <c r="D6799" t="inlineStr">
        <is>
          <t>2213</t>
        </is>
      </c>
      <c r="E6799" t="inlineStr">
        <is>
          <t>cash_in</t>
        </is>
      </c>
      <c r="F6799" s="23" t="n">
        <v>46266</v>
      </c>
      <c r="G6799" s="24">
        <f>F6799-DATE(2026,8,31)</f>
        <v>1</v>
      </c>
      <c r="H6799" s="25" t="n">
        <v>72996239</v>
      </c>
      <c r="I6799" t="inlineStr">
        <is>
          <t>entidad-dia</t>
        </is>
      </c>
    </row>
    <row r="6800">
      <c r="A6800" t="inlineStr">
        <is>
          <t>PRAGMA</t>
        </is>
      </c>
      <c r="B6800" t="inlineStr">
        <is>
          <t>M2</t>
        </is>
      </c>
      <c r="C6800" t="inlineStr">
        <is>
          <t>Cali</t>
        </is>
      </c>
      <c r="D6800" t="inlineStr">
        <is>
          <t>2213</t>
        </is>
      </c>
      <c r="E6800" t="inlineStr">
        <is>
          <t>pagado</t>
        </is>
      </c>
      <c r="F6800" s="23" t="n">
        <v>46267</v>
      </c>
      <c r="G6800" s="24">
        <f>F6800-DATE(2026,8,31)</f>
        <v>2</v>
      </c>
      <c r="H6800" s="25" t="n">
        <v>74990637</v>
      </c>
      <c r="I6800" t="inlineStr">
        <is>
          <t>entidad-dia</t>
        </is>
      </c>
    </row>
    <row r="6801">
      <c r="A6801" t="inlineStr">
        <is>
          <t>PRAGMA</t>
        </is>
      </c>
      <c r="B6801" t="inlineStr">
        <is>
          <t>M2</t>
        </is>
      </c>
      <c r="C6801" t="inlineStr">
        <is>
          <t>Cali</t>
        </is>
      </c>
      <c r="D6801" t="inlineStr">
        <is>
          <t>2213</t>
        </is>
      </c>
      <c r="E6801" t="inlineStr">
        <is>
          <t>cash_in</t>
        </is>
      </c>
      <c r="F6801" s="23" t="n">
        <v>46267</v>
      </c>
      <c r="G6801" s="24">
        <f>F6801-DATE(2026,8,31)</f>
        <v>2</v>
      </c>
      <c r="H6801" s="25" t="n">
        <v>63929837</v>
      </c>
      <c r="I6801" t="inlineStr">
        <is>
          <t>entidad-dia</t>
        </is>
      </c>
    </row>
    <row r="6802">
      <c r="A6802" t="inlineStr">
        <is>
          <t>PRAGMA</t>
        </is>
      </c>
      <c r="B6802" t="inlineStr">
        <is>
          <t>M2</t>
        </is>
      </c>
      <c r="C6802" t="inlineStr">
        <is>
          <t>Cali</t>
        </is>
      </c>
      <c r="D6802" t="inlineStr">
        <is>
          <t>2213</t>
        </is>
      </c>
      <c r="E6802" t="inlineStr">
        <is>
          <t>pagado</t>
        </is>
      </c>
      <c r="F6802" s="23" t="n">
        <v>46268</v>
      </c>
      <c r="G6802" s="24">
        <f>F6802-DATE(2026,8,31)</f>
        <v>3</v>
      </c>
      <c r="H6802" s="25" t="n">
        <v>65662453</v>
      </c>
      <c r="I6802" t="inlineStr">
        <is>
          <t>entidad-dia</t>
        </is>
      </c>
    </row>
    <row r="6803">
      <c r="A6803" t="inlineStr">
        <is>
          <t>PRAGMA</t>
        </is>
      </c>
      <c r="B6803" t="inlineStr">
        <is>
          <t>M2</t>
        </is>
      </c>
      <c r="C6803" t="inlineStr">
        <is>
          <t>Cali</t>
        </is>
      </c>
      <c r="D6803" t="inlineStr">
        <is>
          <t>2213</t>
        </is>
      </c>
      <c r="E6803" t="inlineStr">
        <is>
          <t>cash_in</t>
        </is>
      </c>
      <c r="F6803" s="23" t="n">
        <v>46268</v>
      </c>
      <c r="G6803" s="24">
        <f>F6803-DATE(2026,8,31)</f>
        <v>3</v>
      </c>
      <c r="H6803" s="25" t="n">
        <v>63406682</v>
      </c>
      <c r="I6803" t="inlineStr">
        <is>
          <t>entidad-dia</t>
        </is>
      </c>
    </row>
    <row r="6804">
      <c r="A6804" t="inlineStr">
        <is>
          <t>PRAGMA</t>
        </is>
      </c>
      <c r="B6804" t="inlineStr">
        <is>
          <t>M2</t>
        </is>
      </c>
      <c r="C6804" t="inlineStr">
        <is>
          <t>Cali</t>
        </is>
      </c>
      <c r="D6804" t="inlineStr">
        <is>
          <t>2213</t>
        </is>
      </c>
      <c r="E6804" t="inlineStr">
        <is>
          <t>pagado</t>
        </is>
      </c>
      <c r="F6804" s="23" t="n">
        <v>46269</v>
      </c>
      <c r="G6804" s="24">
        <f>F6804-DATE(2026,8,31)</f>
        <v>4</v>
      </c>
      <c r="H6804" s="25" t="n">
        <v>68694098</v>
      </c>
      <c r="I6804" t="inlineStr">
        <is>
          <t>entidad-dia</t>
        </is>
      </c>
    </row>
    <row r="6805">
      <c r="A6805" t="inlineStr">
        <is>
          <t>PRAGMA</t>
        </is>
      </c>
      <c r="B6805" t="inlineStr">
        <is>
          <t>M2</t>
        </is>
      </c>
      <c r="C6805" t="inlineStr">
        <is>
          <t>Cali</t>
        </is>
      </c>
      <c r="D6805" t="inlineStr">
        <is>
          <t>2213</t>
        </is>
      </c>
      <c r="E6805" t="inlineStr">
        <is>
          <t>cash_in</t>
        </is>
      </c>
      <c r="F6805" s="23" t="n">
        <v>46269</v>
      </c>
      <c r="G6805" s="24">
        <f>F6805-DATE(2026,8,31)</f>
        <v>4</v>
      </c>
      <c r="H6805" s="25" t="n">
        <v>62770964</v>
      </c>
      <c r="I6805" t="inlineStr">
        <is>
          <t>entidad-dia</t>
        </is>
      </c>
    </row>
    <row r="6806">
      <c r="A6806" t="inlineStr">
        <is>
          <t>PRAGMA</t>
        </is>
      </c>
      <c r="B6806" t="inlineStr">
        <is>
          <t>M2</t>
        </is>
      </c>
      <c r="C6806" t="inlineStr">
        <is>
          <t>Cali</t>
        </is>
      </c>
      <c r="D6806" t="inlineStr">
        <is>
          <t>2213</t>
        </is>
      </c>
      <c r="E6806" t="inlineStr">
        <is>
          <t>pagado</t>
        </is>
      </c>
      <c r="F6806" s="23" t="n">
        <v>46270</v>
      </c>
      <c r="G6806" s="24">
        <f>F6806-DATE(2026,8,31)</f>
        <v>5</v>
      </c>
      <c r="H6806" s="25" t="n">
        <v>72792921</v>
      </c>
      <c r="I6806" t="inlineStr">
        <is>
          <t>entidad-dia</t>
        </is>
      </c>
    </row>
    <row r="6807">
      <c r="A6807" t="inlineStr">
        <is>
          <t>PRAGMA</t>
        </is>
      </c>
      <c r="B6807" t="inlineStr">
        <is>
          <t>M2</t>
        </is>
      </c>
      <c r="C6807" t="inlineStr">
        <is>
          <t>Cali</t>
        </is>
      </c>
      <c r="D6807" t="inlineStr">
        <is>
          <t>2213</t>
        </is>
      </c>
      <c r="E6807" t="inlineStr">
        <is>
          <t>cash_in</t>
        </is>
      </c>
      <c r="F6807" s="23" t="n">
        <v>46270</v>
      </c>
      <c r="G6807" s="24">
        <f>F6807-DATE(2026,8,31)</f>
        <v>5</v>
      </c>
      <c r="H6807" s="25" t="n">
        <v>75253787</v>
      </c>
      <c r="I6807" t="inlineStr">
        <is>
          <t>entidad-dia</t>
        </is>
      </c>
    </row>
    <row r="6808">
      <c r="A6808" t="inlineStr">
        <is>
          <t>PRAGMA</t>
        </is>
      </c>
      <c r="B6808" t="inlineStr">
        <is>
          <t>M2</t>
        </is>
      </c>
      <c r="C6808" t="inlineStr">
        <is>
          <t>Cali</t>
        </is>
      </c>
      <c r="D6808" t="inlineStr">
        <is>
          <t>2213</t>
        </is>
      </c>
      <c r="E6808" t="inlineStr">
        <is>
          <t>pagado</t>
        </is>
      </c>
      <c r="F6808" s="23" t="n">
        <v>46271</v>
      </c>
      <c r="G6808" s="24">
        <f>F6808-DATE(2026,8,31)</f>
        <v>6</v>
      </c>
      <c r="H6808" s="25" t="n">
        <v>49738003</v>
      </c>
      <c r="I6808" t="inlineStr">
        <is>
          <t>entidad-dia</t>
        </is>
      </c>
    </row>
    <row r="6809">
      <c r="A6809" t="inlineStr">
        <is>
          <t>PRAGMA</t>
        </is>
      </c>
      <c r="B6809" t="inlineStr">
        <is>
          <t>M2</t>
        </is>
      </c>
      <c r="C6809" t="inlineStr">
        <is>
          <t>Cali</t>
        </is>
      </c>
      <c r="D6809" t="inlineStr">
        <is>
          <t>2213</t>
        </is>
      </c>
      <c r="E6809" t="inlineStr">
        <is>
          <t>cash_in</t>
        </is>
      </c>
      <c r="F6809" s="23" t="n">
        <v>46271</v>
      </c>
      <c r="G6809" s="24">
        <f>F6809-DATE(2026,8,31)</f>
        <v>6</v>
      </c>
      <c r="H6809" s="25" t="n">
        <v>42115749</v>
      </c>
      <c r="I6809" t="inlineStr">
        <is>
          <t>entidad-dia</t>
        </is>
      </c>
    </row>
    <row r="6810">
      <c r="A6810" t="inlineStr">
        <is>
          <t>PRAGMA</t>
        </is>
      </c>
      <c r="B6810" t="inlineStr">
        <is>
          <t>M2</t>
        </is>
      </c>
      <c r="C6810" t="inlineStr">
        <is>
          <t>Cali</t>
        </is>
      </c>
      <c r="D6810" t="inlineStr">
        <is>
          <t>2213</t>
        </is>
      </c>
      <c r="E6810" t="inlineStr">
        <is>
          <t>pagado</t>
        </is>
      </c>
      <c r="F6810" s="23" t="n">
        <v>46272</v>
      </c>
      <c r="G6810" s="24">
        <f>F6810-DATE(2026,8,31)</f>
        <v>7</v>
      </c>
      <c r="H6810" s="25" t="n">
        <v>62210940</v>
      </c>
      <c r="I6810" t="inlineStr">
        <is>
          <t>entidad-dia</t>
        </is>
      </c>
    </row>
    <row r="6811">
      <c r="A6811" t="inlineStr">
        <is>
          <t>PRAGMA</t>
        </is>
      </c>
      <c r="B6811" t="inlineStr">
        <is>
          <t>M2</t>
        </is>
      </c>
      <c r="C6811" t="inlineStr">
        <is>
          <t>Cali</t>
        </is>
      </c>
      <c r="D6811" t="inlineStr">
        <is>
          <t>2213</t>
        </is>
      </c>
      <c r="E6811" t="inlineStr">
        <is>
          <t>cash_in</t>
        </is>
      </c>
      <c r="F6811" s="23" t="n">
        <v>46272</v>
      </c>
      <c r="G6811" s="24">
        <f>F6811-DATE(2026,8,31)</f>
        <v>7</v>
      </c>
      <c r="H6811" s="25" t="n">
        <v>78312444</v>
      </c>
      <c r="I6811" t="inlineStr">
        <is>
          <t>entidad-dia</t>
        </is>
      </c>
    </row>
    <row r="6812">
      <c r="A6812" t="inlineStr">
        <is>
          <t>PRAGMA</t>
        </is>
      </c>
      <c r="B6812" t="inlineStr">
        <is>
          <t>M2</t>
        </is>
      </c>
      <c r="C6812" t="inlineStr">
        <is>
          <t>Cali</t>
        </is>
      </c>
      <c r="D6812" t="inlineStr">
        <is>
          <t>2213</t>
        </is>
      </c>
      <c r="E6812" t="inlineStr">
        <is>
          <t>pagado</t>
        </is>
      </c>
      <c r="F6812" s="23" t="n">
        <v>46273</v>
      </c>
      <c r="G6812" s="24">
        <f>F6812-DATE(2026,8,31)</f>
        <v>8</v>
      </c>
      <c r="H6812" s="25" t="n">
        <v>58666443</v>
      </c>
      <c r="I6812" t="inlineStr">
        <is>
          <t>entidad-dia</t>
        </is>
      </c>
    </row>
    <row r="6813">
      <c r="A6813" t="inlineStr">
        <is>
          <t>PRAGMA</t>
        </is>
      </c>
      <c r="B6813" t="inlineStr">
        <is>
          <t>M2</t>
        </is>
      </c>
      <c r="C6813" t="inlineStr">
        <is>
          <t>Cali</t>
        </is>
      </c>
      <c r="D6813" t="inlineStr">
        <is>
          <t>2213</t>
        </is>
      </c>
      <c r="E6813" t="inlineStr">
        <is>
          <t>cash_in</t>
        </is>
      </c>
      <c r="F6813" s="23" t="n">
        <v>46273</v>
      </c>
      <c r="G6813" s="24">
        <f>F6813-DATE(2026,8,31)</f>
        <v>8</v>
      </c>
      <c r="H6813" s="25" t="n">
        <v>70305456</v>
      </c>
      <c r="I6813" t="inlineStr">
        <is>
          <t>entidad-dia</t>
        </is>
      </c>
    </row>
    <row r="6814">
      <c r="A6814" t="inlineStr">
        <is>
          <t>PRAGMA</t>
        </is>
      </c>
      <c r="B6814" t="inlineStr">
        <is>
          <t>M2</t>
        </is>
      </c>
      <c r="C6814" t="inlineStr">
        <is>
          <t>Cali</t>
        </is>
      </c>
      <c r="D6814" t="inlineStr">
        <is>
          <t>2213</t>
        </is>
      </c>
      <c r="E6814" t="inlineStr">
        <is>
          <t>pagado</t>
        </is>
      </c>
      <c r="F6814" s="23" t="n">
        <v>46274</v>
      </c>
      <c r="G6814" s="24">
        <f>F6814-DATE(2026,8,31)</f>
        <v>9</v>
      </c>
      <c r="H6814" s="25" t="n">
        <v>58028150</v>
      </c>
      <c r="I6814" t="inlineStr">
        <is>
          <t>entidad-dia</t>
        </is>
      </c>
    </row>
    <row r="6815">
      <c r="A6815" t="inlineStr">
        <is>
          <t>PRAGMA</t>
        </is>
      </c>
      <c r="B6815" t="inlineStr">
        <is>
          <t>M2</t>
        </is>
      </c>
      <c r="C6815" t="inlineStr">
        <is>
          <t>Cali</t>
        </is>
      </c>
      <c r="D6815" t="inlineStr">
        <is>
          <t>2213</t>
        </is>
      </c>
      <c r="E6815" t="inlineStr">
        <is>
          <t>cash_in</t>
        </is>
      </c>
      <c r="F6815" s="23" t="n">
        <v>46274</v>
      </c>
      <c r="G6815" s="24">
        <f>F6815-DATE(2026,8,31)</f>
        <v>9</v>
      </c>
      <c r="H6815" s="25" t="n">
        <v>60210176</v>
      </c>
      <c r="I6815" t="inlineStr">
        <is>
          <t>entidad-dia</t>
        </is>
      </c>
    </row>
    <row r="6816">
      <c r="A6816" t="inlineStr">
        <is>
          <t>PRAGMA</t>
        </is>
      </c>
      <c r="B6816" t="inlineStr">
        <is>
          <t>M2</t>
        </is>
      </c>
      <c r="C6816" t="inlineStr">
        <is>
          <t>Cali</t>
        </is>
      </c>
      <c r="D6816" t="inlineStr">
        <is>
          <t>2213</t>
        </is>
      </c>
      <c r="E6816" t="inlineStr">
        <is>
          <t>pagado</t>
        </is>
      </c>
      <c r="F6816" s="23" t="n">
        <v>46275</v>
      </c>
      <c r="G6816" s="24">
        <f>F6816-DATE(2026,8,31)</f>
        <v>10</v>
      </c>
      <c r="H6816" s="25" t="n">
        <v>52763650</v>
      </c>
      <c r="I6816" t="inlineStr">
        <is>
          <t>entidad-dia</t>
        </is>
      </c>
    </row>
    <row r="6817">
      <c r="A6817" t="inlineStr">
        <is>
          <t>PRAGMA</t>
        </is>
      </c>
      <c r="B6817" t="inlineStr">
        <is>
          <t>M2</t>
        </is>
      </c>
      <c r="C6817" t="inlineStr">
        <is>
          <t>Cali</t>
        </is>
      </c>
      <c r="D6817" t="inlineStr">
        <is>
          <t>2213</t>
        </is>
      </c>
      <c r="E6817" t="inlineStr">
        <is>
          <t>cash_in</t>
        </is>
      </c>
      <c r="F6817" s="23" t="n">
        <v>46275</v>
      </c>
      <c r="G6817" s="24">
        <f>F6817-DATE(2026,8,31)</f>
        <v>10</v>
      </c>
      <c r="H6817" s="25" t="n">
        <v>60985074</v>
      </c>
      <c r="I6817" t="inlineStr">
        <is>
          <t>entidad-dia</t>
        </is>
      </c>
    </row>
    <row r="6818">
      <c r="A6818" t="inlineStr">
        <is>
          <t>PRAGMA</t>
        </is>
      </c>
      <c r="B6818" t="inlineStr">
        <is>
          <t>M2</t>
        </is>
      </c>
      <c r="C6818" t="inlineStr">
        <is>
          <t>Cali</t>
        </is>
      </c>
      <c r="D6818" t="inlineStr">
        <is>
          <t>2213</t>
        </is>
      </c>
      <c r="E6818" t="inlineStr">
        <is>
          <t>pagado</t>
        </is>
      </c>
      <c r="F6818" s="23" t="n">
        <v>46276</v>
      </c>
      <c r="G6818" s="24">
        <f>F6818-DATE(2026,8,31)</f>
        <v>11</v>
      </c>
      <c r="H6818" s="25" t="n">
        <v>55661971</v>
      </c>
      <c r="I6818" t="inlineStr">
        <is>
          <t>entidad-dia</t>
        </is>
      </c>
    </row>
    <row r="6819">
      <c r="A6819" t="inlineStr">
        <is>
          <t>PRAGMA</t>
        </is>
      </c>
      <c r="B6819" t="inlineStr">
        <is>
          <t>M2</t>
        </is>
      </c>
      <c r="C6819" t="inlineStr">
        <is>
          <t>Cali</t>
        </is>
      </c>
      <c r="D6819" t="inlineStr">
        <is>
          <t>2213</t>
        </is>
      </c>
      <c r="E6819" t="inlineStr">
        <is>
          <t>cash_in</t>
        </is>
      </c>
      <c r="F6819" s="23" t="n">
        <v>46276</v>
      </c>
      <c r="G6819" s="24">
        <f>F6819-DATE(2026,8,31)</f>
        <v>11</v>
      </c>
      <c r="H6819" s="25" t="n">
        <v>57566836</v>
      </c>
      <c r="I6819" t="inlineStr">
        <is>
          <t>entidad-dia</t>
        </is>
      </c>
    </row>
    <row r="6820">
      <c r="A6820" t="inlineStr">
        <is>
          <t>PRAGMA</t>
        </is>
      </c>
      <c r="B6820" t="inlineStr">
        <is>
          <t>M2</t>
        </is>
      </c>
      <c r="C6820" t="inlineStr">
        <is>
          <t>Cali</t>
        </is>
      </c>
      <c r="D6820" t="inlineStr">
        <is>
          <t>2213</t>
        </is>
      </c>
      <c r="E6820" t="inlineStr">
        <is>
          <t>pagado</t>
        </is>
      </c>
      <c r="F6820" s="23" t="n">
        <v>46277</v>
      </c>
      <c r="G6820" s="24">
        <f>F6820-DATE(2026,8,31)</f>
        <v>12</v>
      </c>
      <c r="H6820" s="25" t="n">
        <v>61514026</v>
      </c>
      <c r="I6820" t="inlineStr">
        <is>
          <t>entidad-dia</t>
        </is>
      </c>
    </row>
    <row r="6821">
      <c r="A6821" t="inlineStr">
        <is>
          <t>PRAGMA</t>
        </is>
      </c>
      <c r="B6821" t="inlineStr">
        <is>
          <t>M2</t>
        </is>
      </c>
      <c r="C6821" t="inlineStr">
        <is>
          <t>Cali</t>
        </is>
      </c>
      <c r="D6821" t="inlineStr">
        <is>
          <t>2213</t>
        </is>
      </c>
      <c r="E6821" t="inlineStr">
        <is>
          <t>cash_in</t>
        </is>
      </c>
      <c r="F6821" s="23" t="n">
        <v>46277</v>
      </c>
      <c r="G6821" s="24">
        <f>F6821-DATE(2026,8,31)</f>
        <v>12</v>
      </c>
      <c r="H6821" s="25" t="n">
        <v>63778657</v>
      </c>
      <c r="I6821" t="inlineStr">
        <is>
          <t>entidad-dia</t>
        </is>
      </c>
    </row>
    <row r="6822">
      <c r="A6822" t="inlineStr">
        <is>
          <t>PRAGMA</t>
        </is>
      </c>
      <c r="B6822" t="inlineStr">
        <is>
          <t>M2</t>
        </is>
      </c>
      <c r="C6822" t="inlineStr">
        <is>
          <t>Cali</t>
        </is>
      </c>
      <c r="D6822" t="inlineStr">
        <is>
          <t>2213</t>
        </is>
      </c>
      <c r="E6822" t="inlineStr">
        <is>
          <t>pagado</t>
        </is>
      </c>
      <c r="F6822" s="23" t="n">
        <v>46278</v>
      </c>
      <c r="G6822" s="24">
        <f>F6822-DATE(2026,8,31)</f>
        <v>13</v>
      </c>
      <c r="H6822" s="25" t="n">
        <v>44103330</v>
      </c>
      <c r="I6822" t="inlineStr">
        <is>
          <t>entidad-dia</t>
        </is>
      </c>
    </row>
    <row r="6823">
      <c r="A6823" t="inlineStr">
        <is>
          <t>PRAGMA</t>
        </is>
      </c>
      <c r="B6823" t="inlineStr">
        <is>
          <t>M2</t>
        </is>
      </c>
      <c r="C6823" t="inlineStr">
        <is>
          <t>Cali</t>
        </is>
      </c>
      <c r="D6823" t="inlineStr">
        <is>
          <t>2213</t>
        </is>
      </c>
      <c r="E6823" t="inlineStr">
        <is>
          <t>cash_in</t>
        </is>
      </c>
      <c r="F6823" s="23" t="n">
        <v>46278</v>
      </c>
      <c r="G6823" s="24">
        <f>F6823-DATE(2026,8,31)</f>
        <v>13</v>
      </c>
      <c r="H6823" s="25" t="n">
        <v>33545729</v>
      </c>
      <c r="I6823" t="inlineStr">
        <is>
          <t>entidad-dia</t>
        </is>
      </c>
    </row>
    <row r="6824">
      <c r="A6824" t="inlineStr">
        <is>
          <t>PRAGMA</t>
        </is>
      </c>
      <c r="B6824" t="inlineStr">
        <is>
          <t>M2</t>
        </is>
      </c>
      <c r="C6824" t="inlineStr">
        <is>
          <t>Cali</t>
        </is>
      </c>
      <c r="D6824" t="inlineStr">
        <is>
          <t>2213</t>
        </is>
      </c>
      <c r="E6824" t="inlineStr">
        <is>
          <t>pagado</t>
        </is>
      </c>
      <c r="F6824" s="23" t="n">
        <v>46279</v>
      </c>
      <c r="G6824" s="24">
        <f>F6824-DATE(2026,8,31)</f>
        <v>14</v>
      </c>
      <c r="H6824" s="25" t="n">
        <v>54926029</v>
      </c>
      <c r="I6824" t="inlineStr">
        <is>
          <t>entidad-dia</t>
        </is>
      </c>
    </row>
    <row r="6825">
      <c r="A6825" t="inlineStr">
        <is>
          <t>PRAGMA</t>
        </is>
      </c>
      <c r="B6825" t="inlineStr">
        <is>
          <t>M2</t>
        </is>
      </c>
      <c r="C6825" t="inlineStr">
        <is>
          <t>Cali</t>
        </is>
      </c>
      <c r="D6825" t="inlineStr">
        <is>
          <t>2213</t>
        </is>
      </c>
      <c r="E6825" t="inlineStr">
        <is>
          <t>cash_in</t>
        </is>
      </c>
      <c r="F6825" s="23" t="n">
        <v>46279</v>
      </c>
      <c r="G6825" s="24">
        <f>F6825-DATE(2026,8,31)</f>
        <v>14</v>
      </c>
      <c r="H6825" s="25" t="n">
        <v>66861968</v>
      </c>
      <c r="I6825" t="inlineStr">
        <is>
          <t>entidad-dia</t>
        </is>
      </c>
    </row>
    <row r="6826">
      <c r="A6826" t="inlineStr">
        <is>
          <t>PRAGMA</t>
        </is>
      </c>
      <c r="B6826" t="inlineStr">
        <is>
          <t>M2</t>
        </is>
      </c>
      <c r="C6826" t="inlineStr">
        <is>
          <t>Cali</t>
        </is>
      </c>
      <c r="D6826" t="inlineStr">
        <is>
          <t>2213</t>
        </is>
      </c>
      <c r="E6826" t="inlineStr">
        <is>
          <t>pagado</t>
        </is>
      </c>
      <c r="F6826" s="23" t="n">
        <v>46280</v>
      </c>
      <c r="G6826" s="24">
        <f>F6826-DATE(2026,8,31)</f>
        <v>15</v>
      </c>
      <c r="H6826" s="25" t="n">
        <v>72622581</v>
      </c>
      <c r="I6826" t="inlineStr">
        <is>
          <t>entidad-dia</t>
        </is>
      </c>
    </row>
    <row r="6827">
      <c r="A6827" t="inlineStr">
        <is>
          <t>PRAGMA</t>
        </is>
      </c>
      <c r="B6827" t="inlineStr">
        <is>
          <t>M2</t>
        </is>
      </c>
      <c r="C6827" t="inlineStr">
        <is>
          <t>Cali</t>
        </is>
      </c>
      <c r="D6827" t="inlineStr">
        <is>
          <t>2213</t>
        </is>
      </c>
      <c r="E6827" t="inlineStr">
        <is>
          <t>cash_in</t>
        </is>
      </c>
      <c r="F6827" s="23" t="n">
        <v>46280</v>
      </c>
      <c r="G6827" s="24">
        <f>F6827-DATE(2026,8,31)</f>
        <v>15</v>
      </c>
      <c r="H6827" s="25" t="n">
        <v>69473817</v>
      </c>
      <c r="I6827" t="inlineStr">
        <is>
          <t>entidad-dia</t>
        </is>
      </c>
    </row>
    <row r="6828">
      <c r="A6828" t="inlineStr">
        <is>
          <t>PRAGMA</t>
        </is>
      </c>
      <c r="B6828" t="inlineStr">
        <is>
          <t>M2</t>
        </is>
      </c>
      <c r="C6828" t="inlineStr">
        <is>
          <t>Cali</t>
        </is>
      </c>
      <c r="D6828" t="inlineStr">
        <is>
          <t>3397</t>
        </is>
      </c>
      <c r="E6828" t="inlineStr">
        <is>
          <t>pagado</t>
        </is>
      </c>
      <c r="F6828" s="23" t="n">
        <v>46266</v>
      </c>
      <c r="G6828" s="24">
        <f>F6828-DATE(2026,8,31)</f>
        <v>1</v>
      </c>
      <c r="H6828" s="25" t="n">
        <v>60911723</v>
      </c>
      <c r="I6828" t="inlineStr">
        <is>
          <t>entidad-dia</t>
        </is>
      </c>
    </row>
    <row r="6829">
      <c r="A6829" t="inlineStr">
        <is>
          <t>PRAGMA</t>
        </is>
      </c>
      <c r="B6829" t="inlineStr">
        <is>
          <t>M2</t>
        </is>
      </c>
      <c r="C6829" t="inlineStr">
        <is>
          <t>Cali</t>
        </is>
      </c>
      <c r="D6829" t="inlineStr">
        <is>
          <t>3397</t>
        </is>
      </c>
      <c r="E6829" t="inlineStr">
        <is>
          <t>cash_in</t>
        </is>
      </c>
      <c r="F6829" s="23" t="n">
        <v>46266</v>
      </c>
      <c r="G6829" s="24">
        <f>F6829-DATE(2026,8,31)</f>
        <v>1</v>
      </c>
      <c r="H6829" s="25" t="n">
        <v>57626645</v>
      </c>
      <c r="I6829" t="inlineStr">
        <is>
          <t>entidad-dia</t>
        </is>
      </c>
    </row>
    <row r="6830">
      <c r="A6830" t="inlineStr">
        <is>
          <t>PRAGMA</t>
        </is>
      </c>
      <c r="B6830" t="inlineStr">
        <is>
          <t>M2</t>
        </is>
      </c>
      <c r="C6830" t="inlineStr">
        <is>
          <t>Cali</t>
        </is>
      </c>
      <c r="D6830" t="inlineStr">
        <is>
          <t>3397</t>
        </is>
      </c>
      <c r="E6830" t="inlineStr">
        <is>
          <t>pagado</t>
        </is>
      </c>
      <c r="F6830" s="23" t="n">
        <v>46267</v>
      </c>
      <c r="G6830" s="24">
        <f>F6830-DATE(2026,8,31)</f>
        <v>2</v>
      </c>
      <c r="H6830" s="25" t="n">
        <v>51394700</v>
      </c>
      <c r="I6830" t="inlineStr">
        <is>
          <t>entidad-dia</t>
        </is>
      </c>
    </row>
    <row r="6831">
      <c r="A6831" t="inlineStr">
        <is>
          <t>PRAGMA</t>
        </is>
      </c>
      <c r="B6831" t="inlineStr">
        <is>
          <t>M2</t>
        </is>
      </c>
      <c r="C6831" t="inlineStr">
        <is>
          <t>Cali</t>
        </is>
      </c>
      <c r="D6831" t="inlineStr">
        <is>
          <t>3397</t>
        </is>
      </c>
      <c r="E6831" t="inlineStr">
        <is>
          <t>cash_in</t>
        </is>
      </c>
      <c r="F6831" s="23" t="n">
        <v>46267</v>
      </c>
      <c r="G6831" s="24">
        <f>F6831-DATE(2026,8,31)</f>
        <v>2</v>
      </c>
      <c r="H6831" s="25" t="n">
        <v>50689039</v>
      </c>
      <c r="I6831" t="inlineStr">
        <is>
          <t>entidad-dia</t>
        </is>
      </c>
    </row>
    <row r="6832">
      <c r="A6832" t="inlineStr">
        <is>
          <t>PRAGMA</t>
        </is>
      </c>
      <c r="B6832" t="inlineStr">
        <is>
          <t>M2</t>
        </is>
      </c>
      <c r="C6832" t="inlineStr">
        <is>
          <t>Cali</t>
        </is>
      </c>
      <c r="D6832" t="inlineStr">
        <is>
          <t>3397</t>
        </is>
      </c>
      <c r="E6832" t="inlineStr">
        <is>
          <t>pagado</t>
        </is>
      </c>
      <c r="F6832" s="23" t="n">
        <v>46268</v>
      </c>
      <c r="G6832" s="24">
        <f>F6832-DATE(2026,8,31)</f>
        <v>3</v>
      </c>
      <c r="H6832" s="25" t="n">
        <v>51081403</v>
      </c>
      <c r="I6832" t="inlineStr">
        <is>
          <t>entidad-dia</t>
        </is>
      </c>
    </row>
    <row r="6833">
      <c r="A6833" t="inlineStr">
        <is>
          <t>PRAGMA</t>
        </is>
      </c>
      <c r="B6833" t="inlineStr">
        <is>
          <t>M2</t>
        </is>
      </c>
      <c r="C6833" t="inlineStr">
        <is>
          <t>Cali</t>
        </is>
      </c>
      <c r="D6833" t="inlineStr">
        <is>
          <t>3397</t>
        </is>
      </c>
      <c r="E6833" t="inlineStr">
        <is>
          <t>cash_in</t>
        </is>
      </c>
      <c r="F6833" s="23" t="n">
        <v>46268</v>
      </c>
      <c r="G6833" s="24">
        <f>F6833-DATE(2026,8,31)</f>
        <v>3</v>
      </c>
      <c r="H6833" s="25" t="n">
        <v>51136420</v>
      </c>
      <c r="I6833" t="inlineStr">
        <is>
          <t>entidad-dia</t>
        </is>
      </c>
    </row>
    <row r="6834">
      <c r="A6834" t="inlineStr">
        <is>
          <t>PRAGMA</t>
        </is>
      </c>
      <c r="B6834" t="inlineStr">
        <is>
          <t>M2</t>
        </is>
      </c>
      <c r="C6834" t="inlineStr">
        <is>
          <t>Cali</t>
        </is>
      </c>
      <c r="D6834" t="inlineStr">
        <is>
          <t>3397</t>
        </is>
      </c>
      <c r="E6834" t="inlineStr">
        <is>
          <t>pagado</t>
        </is>
      </c>
      <c r="F6834" s="23" t="n">
        <v>46269</v>
      </c>
      <c r="G6834" s="24">
        <f>F6834-DATE(2026,8,31)</f>
        <v>4</v>
      </c>
      <c r="H6834" s="25" t="n">
        <v>48907082</v>
      </c>
      <c r="I6834" t="inlineStr">
        <is>
          <t>entidad-dia</t>
        </is>
      </c>
    </row>
    <row r="6835">
      <c r="A6835" t="inlineStr">
        <is>
          <t>PRAGMA</t>
        </is>
      </c>
      <c r="B6835" t="inlineStr">
        <is>
          <t>M2</t>
        </is>
      </c>
      <c r="C6835" t="inlineStr">
        <is>
          <t>Cali</t>
        </is>
      </c>
      <c r="D6835" t="inlineStr">
        <is>
          <t>3397</t>
        </is>
      </c>
      <c r="E6835" t="inlineStr">
        <is>
          <t>cash_in</t>
        </is>
      </c>
      <c r="F6835" s="23" t="n">
        <v>46269</v>
      </c>
      <c r="G6835" s="24">
        <f>F6835-DATE(2026,8,31)</f>
        <v>4</v>
      </c>
      <c r="H6835" s="25" t="n">
        <v>53768704</v>
      </c>
      <c r="I6835" t="inlineStr">
        <is>
          <t>entidad-dia</t>
        </is>
      </c>
    </row>
    <row r="6836">
      <c r="A6836" t="inlineStr">
        <is>
          <t>PRAGMA</t>
        </is>
      </c>
      <c r="B6836" t="inlineStr">
        <is>
          <t>M2</t>
        </is>
      </c>
      <c r="C6836" t="inlineStr">
        <is>
          <t>Cali</t>
        </is>
      </c>
      <c r="D6836" t="inlineStr">
        <is>
          <t>3397</t>
        </is>
      </c>
      <c r="E6836" t="inlineStr">
        <is>
          <t>pagado</t>
        </is>
      </c>
      <c r="F6836" s="23" t="n">
        <v>46270</v>
      </c>
      <c r="G6836" s="24">
        <f>F6836-DATE(2026,8,31)</f>
        <v>5</v>
      </c>
      <c r="H6836" s="25" t="n">
        <v>47397929</v>
      </c>
      <c r="I6836" t="inlineStr">
        <is>
          <t>entidad-dia</t>
        </is>
      </c>
    </row>
    <row r="6837">
      <c r="A6837" t="inlineStr">
        <is>
          <t>PRAGMA</t>
        </is>
      </c>
      <c r="B6837" t="inlineStr">
        <is>
          <t>M2</t>
        </is>
      </c>
      <c r="C6837" t="inlineStr">
        <is>
          <t>Cali</t>
        </is>
      </c>
      <c r="D6837" t="inlineStr">
        <is>
          <t>3397</t>
        </is>
      </c>
      <c r="E6837" t="inlineStr">
        <is>
          <t>cash_in</t>
        </is>
      </c>
      <c r="F6837" s="23" t="n">
        <v>46270</v>
      </c>
      <c r="G6837" s="24">
        <f>F6837-DATE(2026,8,31)</f>
        <v>5</v>
      </c>
      <c r="H6837" s="25" t="n">
        <v>59826106</v>
      </c>
      <c r="I6837" t="inlineStr">
        <is>
          <t>entidad-dia</t>
        </is>
      </c>
    </row>
    <row r="6838">
      <c r="A6838" t="inlineStr">
        <is>
          <t>PRAGMA</t>
        </is>
      </c>
      <c r="B6838" t="inlineStr">
        <is>
          <t>M2</t>
        </is>
      </c>
      <c r="C6838" t="inlineStr">
        <is>
          <t>Cali</t>
        </is>
      </c>
      <c r="D6838" t="inlineStr">
        <is>
          <t>3397</t>
        </is>
      </c>
      <c r="E6838" t="inlineStr">
        <is>
          <t>pagado</t>
        </is>
      </c>
      <c r="F6838" s="23" t="n">
        <v>46271</v>
      </c>
      <c r="G6838" s="24">
        <f>F6838-DATE(2026,8,31)</f>
        <v>6</v>
      </c>
      <c r="H6838" s="25" t="n">
        <v>29101684</v>
      </c>
      <c r="I6838" t="inlineStr">
        <is>
          <t>entidad-dia</t>
        </is>
      </c>
    </row>
    <row r="6839">
      <c r="A6839" t="inlineStr">
        <is>
          <t>PRAGMA</t>
        </is>
      </c>
      <c r="B6839" t="inlineStr">
        <is>
          <t>M2</t>
        </is>
      </c>
      <c r="C6839" t="inlineStr">
        <is>
          <t>Cali</t>
        </is>
      </c>
      <c r="D6839" t="inlineStr">
        <is>
          <t>3397</t>
        </is>
      </c>
      <c r="E6839" t="inlineStr">
        <is>
          <t>cash_in</t>
        </is>
      </c>
      <c r="F6839" s="23" t="n">
        <v>46271</v>
      </c>
      <c r="G6839" s="24">
        <f>F6839-DATE(2026,8,31)</f>
        <v>6</v>
      </c>
      <c r="H6839" s="25" t="n">
        <v>33872859</v>
      </c>
      <c r="I6839" t="inlineStr">
        <is>
          <t>entidad-dia</t>
        </is>
      </c>
    </row>
    <row r="6840">
      <c r="A6840" t="inlineStr">
        <is>
          <t>PRAGMA</t>
        </is>
      </c>
      <c r="B6840" t="inlineStr">
        <is>
          <t>M2</t>
        </is>
      </c>
      <c r="C6840" t="inlineStr">
        <is>
          <t>Cali</t>
        </is>
      </c>
      <c r="D6840" t="inlineStr">
        <is>
          <t>3397</t>
        </is>
      </c>
      <c r="E6840" t="inlineStr">
        <is>
          <t>pagado</t>
        </is>
      </c>
      <c r="F6840" s="23" t="n">
        <v>46272</v>
      </c>
      <c r="G6840" s="24">
        <f>F6840-DATE(2026,8,31)</f>
        <v>7</v>
      </c>
      <c r="H6840" s="25" t="n">
        <v>39558411</v>
      </c>
      <c r="I6840" t="inlineStr">
        <is>
          <t>entidad-dia</t>
        </is>
      </c>
    </row>
    <row r="6841">
      <c r="A6841" t="inlineStr">
        <is>
          <t>PRAGMA</t>
        </is>
      </c>
      <c r="B6841" t="inlineStr">
        <is>
          <t>M2</t>
        </is>
      </c>
      <c r="C6841" t="inlineStr">
        <is>
          <t>Cali</t>
        </is>
      </c>
      <c r="D6841" t="inlineStr">
        <is>
          <t>3397</t>
        </is>
      </c>
      <c r="E6841" t="inlineStr">
        <is>
          <t>cash_in</t>
        </is>
      </c>
      <c r="F6841" s="23" t="n">
        <v>46272</v>
      </c>
      <c r="G6841" s="24">
        <f>F6841-DATE(2026,8,31)</f>
        <v>7</v>
      </c>
      <c r="H6841" s="25" t="n">
        <v>62240821</v>
      </c>
      <c r="I6841" t="inlineStr">
        <is>
          <t>entidad-dia</t>
        </is>
      </c>
    </row>
    <row r="6842">
      <c r="A6842" t="inlineStr">
        <is>
          <t>PRAGMA</t>
        </is>
      </c>
      <c r="B6842" t="inlineStr">
        <is>
          <t>M2</t>
        </is>
      </c>
      <c r="C6842" t="inlineStr">
        <is>
          <t>Cali</t>
        </is>
      </c>
      <c r="D6842" t="inlineStr">
        <is>
          <t>3397</t>
        </is>
      </c>
      <c r="E6842" t="inlineStr">
        <is>
          <t>pagado</t>
        </is>
      </c>
      <c r="F6842" s="23" t="n">
        <v>46273</v>
      </c>
      <c r="G6842" s="24">
        <f>F6842-DATE(2026,8,31)</f>
        <v>8</v>
      </c>
      <c r="H6842" s="25" t="n">
        <v>41807193</v>
      </c>
      <c r="I6842" t="inlineStr">
        <is>
          <t>entidad-dia</t>
        </is>
      </c>
    </row>
    <row r="6843">
      <c r="A6843" t="inlineStr">
        <is>
          <t>PRAGMA</t>
        </is>
      </c>
      <c r="B6843" t="inlineStr">
        <is>
          <t>M2</t>
        </is>
      </c>
      <c r="C6843" t="inlineStr">
        <is>
          <t>Cali</t>
        </is>
      </c>
      <c r="D6843" t="inlineStr">
        <is>
          <t>3397</t>
        </is>
      </c>
      <c r="E6843" t="inlineStr">
        <is>
          <t>cash_in</t>
        </is>
      </c>
      <c r="F6843" s="23" t="n">
        <v>46273</v>
      </c>
      <c r="G6843" s="24">
        <f>F6843-DATE(2026,8,31)</f>
        <v>8</v>
      </c>
      <c r="H6843" s="25" t="n">
        <v>56533014</v>
      </c>
      <c r="I6843" t="inlineStr">
        <is>
          <t>entidad-dia</t>
        </is>
      </c>
    </row>
    <row r="6844">
      <c r="A6844" t="inlineStr">
        <is>
          <t>PRAGMA</t>
        </is>
      </c>
      <c r="B6844" t="inlineStr">
        <is>
          <t>M2</t>
        </is>
      </c>
      <c r="C6844" t="inlineStr">
        <is>
          <t>Cali</t>
        </is>
      </c>
      <c r="D6844" t="inlineStr">
        <is>
          <t>3397</t>
        </is>
      </c>
      <c r="E6844" t="inlineStr">
        <is>
          <t>pagado</t>
        </is>
      </c>
      <c r="F6844" s="23" t="n">
        <v>46274</v>
      </c>
      <c r="G6844" s="24">
        <f>F6844-DATE(2026,8,31)</f>
        <v>9</v>
      </c>
      <c r="H6844" s="25" t="n">
        <v>41088548</v>
      </c>
      <c r="I6844" t="inlineStr">
        <is>
          <t>entidad-dia</t>
        </is>
      </c>
    </row>
    <row r="6845">
      <c r="A6845" t="inlineStr">
        <is>
          <t>PRAGMA</t>
        </is>
      </c>
      <c r="B6845" t="inlineStr">
        <is>
          <t>M2</t>
        </is>
      </c>
      <c r="C6845" t="inlineStr">
        <is>
          <t>Cali</t>
        </is>
      </c>
      <c r="D6845" t="inlineStr">
        <is>
          <t>3397</t>
        </is>
      </c>
      <c r="E6845" t="inlineStr">
        <is>
          <t>cash_in</t>
        </is>
      </c>
      <c r="F6845" s="23" t="n">
        <v>46274</v>
      </c>
      <c r="G6845" s="24">
        <f>F6845-DATE(2026,8,31)</f>
        <v>9</v>
      </c>
      <c r="H6845" s="25" t="n">
        <v>50646117</v>
      </c>
      <c r="I6845" t="inlineStr">
        <is>
          <t>entidad-dia</t>
        </is>
      </c>
    </row>
    <row r="6846">
      <c r="A6846" t="inlineStr">
        <is>
          <t>PRAGMA</t>
        </is>
      </c>
      <c r="B6846" t="inlineStr">
        <is>
          <t>M2</t>
        </is>
      </c>
      <c r="C6846" t="inlineStr">
        <is>
          <t>Cali</t>
        </is>
      </c>
      <c r="D6846" t="inlineStr">
        <is>
          <t>3397</t>
        </is>
      </c>
      <c r="E6846" t="inlineStr">
        <is>
          <t>pagado</t>
        </is>
      </c>
      <c r="F6846" s="23" t="n">
        <v>46275</v>
      </c>
      <c r="G6846" s="24">
        <f>F6846-DATE(2026,8,31)</f>
        <v>10</v>
      </c>
      <c r="H6846" s="25" t="n">
        <v>39508470</v>
      </c>
      <c r="I6846" t="inlineStr">
        <is>
          <t>entidad-dia</t>
        </is>
      </c>
    </row>
    <row r="6847">
      <c r="A6847" t="inlineStr">
        <is>
          <t>PRAGMA</t>
        </is>
      </c>
      <c r="B6847" t="inlineStr">
        <is>
          <t>M2</t>
        </is>
      </c>
      <c r="C6847" t="inlineStr">
        <is>
          <t>Cali</t>
        </is>
      </c>
      <c r="D6847" t="inlineStr">
        <is>
          <t>3397</t>
        </is>
      </c>
      <c r="E6847" t="inlineStr">
        <is>
          <t>cash_in</t>
        </is>
      </c>
      <c r="F6847" s="23" t="n">
        <v>46275</v>
      </c>
      <c r="G6847" s="24">
        <f>F6847-DATE(2026,8,31)</f>
        <v>10</v>
      </c>
      <c r="H6847" s="25" t="n">
        <v>48672327</v>
      </c>
      <c r="I6847" t="inlineStr">
        <is>
          <t>entidad-dia</t>
        </is>
      </c>
    </row>
    <row r="6848">
      <c r="A6848" t="inlineStr">
        <is>
          <t>PRAGMA</t>
        </is>
      </c>
      <c r="B6848" t="inlineStr">
        <is>
          <t>M2</t>
        </is>
      </c>
      <c r="C6848" t="inlineStr">
        <is>
          <t>Cali</t>
        </is>
      </c>
      <c r="D6848" t="inlineStr">
        <is>
          <t>3397</t>
        </is>
      </c>
      <c r="E6848" t="inlineStr">
        <is>
          <t>pagado</t>
        </is>
      </c>
      <c r="F6848" s="23" t="n">
        <v>46276</v>
      </c>
      <c r="G6848" s="24">
        <f>F6848-DATE(2026,8,31)</f>
        <v>11</v>
      </c>
      <c r="H6848" s="25" t="n">
        <v>41530110</v>
      </c>
      <c r="I6848" t="inlineStr">
        <is>
          <t>entidad-dia</t>
        </is>
      </c>
    </row>
    <row r="6849">
      <c r="A6849" t="inlineStr">
        <is>
          <t>PRAGMA</t>
        </is>
      </c>
      <c r="B6849" t="inlineStr">
        <is>
          <t>M2</t>
        </is>
      </c>
      <c r="C6849" t="inlineStr">
        <is>
          <t>Cali</t>
        </is>
      </c>
      <c r="D6849" t="inlineStr">
        <is>
          <t>3397</t>
        </is>
      </c>
      <c r="E6849" t="inlineStr">
        <is>
          <t>cash_in</t>
        </is>
      </c>
      <c r="F6849" s="23" t="n">
        <v>46276</v>
      </c>
      <c r="G6849" s="24">
        <f>F6849-DATE(2026,8,31)</f>
        <v>11</v>
      </c>
      <c r="H6849" s="25" t="n">
        <v>50335700</v>
      </c>
      <c r="I6849" t="inlineStr">
        <is>
          <t>entidad-dia</t>
        </is>
      </c>
    </row>
    <row r="6850">
      <c r="A6850" t="inlineStr">
        <is>
          <t>PRAGMA</t>
        </is>
      </c>
      <c r="B6850" t="inlineStr">
        <is>
          <t>M2</t>
        </is>
      </c>
      <c r="C6850" t="inlineStr">
        <is>
          <t>Cali</t>
        </is>
      </c>
      <c r="D6850" t="inlineStr">
        <is>
          <t>3397</t>
        </is>
      </c>
      <c r="E6850" t="inlineStr">
        <is>
          <t>pagado</t>
        </is>
      </c>
      <c r="F6850" s="23" t="n">
        <v>46277</v>
      </c>
      <c r="G6850" s="24">
        <f>F6850-DATE(2026,8,31)</f>
        <v>12</v>
      </c>
      <c r="H6850" s="25" t="n">
        <v>44717748</v>
      </c>
      <c r="I6850" t="inlineStr">
        <is>
          <t>entidad-dia</t>
        </is>
      </c>
    </row>
    <row r="6851">
      <c r="A6851" t="inlineStr">
        <is>
          <t>PRAGMA</t>
        </is>
      </c>
      <c r="B6851" t="inlineStr">
        <is>
          <t>M2</t>
        </is>
      </c>
      <c r="C6851" t="inlineStr">
        <is>
          <t>Cali</t>
        </is>
      </c>
      <c r="D6851" t="inlineStr">
        <is>
          <t>3397</t>
        </is>
      </c>
      <c r="E6851" t="inlineStr">
        <is>
          <t>cash_in</t>
        </is>
      </c>
      <c r="F6851" s="23" t="n">
        <v>46277</v>
      </c>
      <c r="G6851" s="24">
        <f>F6851-DATE(2026,8,31)</f>
        <v>12</v>
      </c>
      <c r="H6851" s="25" t="n">
        <v>50676019</v>
      </c>
      <c r="I6851" t="inlineStr">
        <is>
          <t>entidad-dia</t>
        </is>
      </c>
    </row>
    <row r="6852">
      <c r="A6852" t="inlineStr">
        <is>
          <t>PRAGMA</t>
        </is>
      </c>
      <c r="B6852" t="inlineStr">
        <is>
          <t>M2</t>
        </is>
      </c>
      <c r="C6852" t="inlineStr">
        <is>
          <t>Cali</t>
        </is>
      </c>
      <c r="D6852" t="inlineStr">
        <is>
          <t>3397</t>
        </is>
      </c>
      <c r="E6852" t="inlineStr">
        <is>
          <t>pagado</t>
        </is>
      </c>
      <c r="F6852" s="23" t="n">
        <v>46278</v>
      </c>
      <c r="G6852" s="24">
        <f>F6852-DATE(2026,8,31)</f>
        <v>13</v>
      </c>
      <c r="H6852" s="25" t="n">
        <v>27055353</v>
      </c>
      <c r="I6852" t="inlineStr">
        <is>
          <t>entidad-dia</t>
        </is>
      </c>
    </row>
    <row r="6853">
      <c r="A6853" t="inlineStr">
        <is>
          <t>PRAGMA</t>
        </is>
      </c>
      <c r="B6853" t="inlineStr">
        <is>
          <t>M2</t>
        </is>
      </c>
      <c r="C6853" t="inlineStr">
        <is>
          <t>Cali</t>
        </is>
      </c>
      <c r="D6853" t="inlineStr">
        <is>
          <t>3397</t>
        </is>
      </c>
      <c r="E6853" t="inlineStr">
        <is>
          <t>cash_in</t>
        </is>
      </c>
      <c r="F6853" s="23" t="n">
        <v>46278</v>
      </c>
      <c r="G6853" s="24">
        <f>F6853-DATE(2026,8,31)</f>
        <v>13</v>
      </c>
      <c r="H6853" s="25" t="n">
        <v>30679727</v>
      </c>
      <c r="I6853" t="inlineStr">
        <is>
          <t>entidad-dia</t>
        </is>
      </c>
    </row>
    <row r="6854">
      <c r="A6854" t="inlineStr">
        <is>
          <t>PRAGMA</t>
        </is>
      </c>
      <c r="B6854" t="inlineStr">
        <is>
          <t>M2</t>
        </is>
      </c>
      <c r="C6854" t="inlineStr">
        <is>
          <t>Cali</t>
        </is>
      </c>
      <c r="D6854" t="inlineStr">
        <is>
          <t>3397</t>
        </is>
      </c>
      <c r="E6854" t="inlineStr">
        <is>
          <t>pagado</t>
        </is>
      </c>
      <c r="F6854" s="23" t="n">
        <v>46279</v>
      </c>
      <c r="G6854" s="24">
        <f>F6854-DATE(2026,8,31)</f>
        <v>14</v>
      </c>
      <c r="H6854" s="25" t="n">
        <v>37560770</v>
      </c>
      <c r="I6854" t="inlineStr">
        <is>
          <t>entidad-dia</t>
        </is>
      </c>
    </row>
    <row r="6855">
      <c r="A6855" t="inlineStr">
        <is>
          <t>PRAGMA</t>
        </is>
      </c>
      <c r="B6855" t="inlineStr">
        <is>
          <t>M2</t>
        </is>
      </c>
      <c r="C6855" t="inlineStr">
        <is>
          <t>Cali</t>
        </is>
      </c>
      <c r="D6855" t="inlineStr">
        <is>
          <t>3397</t>
        </is>
      </c>
      <c r="E6855" t="inlineStr">
        <is>
          <t>cash_in</t>
        </is>
      </c>
      <c r="F6855" s="23" t="n">
        <v>46279</v>
      </c>
      <c r="G6855" s="24">
        <f>F6855-DATE(2026,8,31)</f>
        <v>14</v>
      </c>
      <c r="H6855" s="25" t="n">
        <v>54852099</v>
      </c>
      <c r="I6855" t="inlineStr">
        <is>
          <t>entidad-dia</t>
        </is>
      </c>
    </row>
    <row r="6856">
      <c r="A6856" t="inlineStr">
        <is>
          <t>PRAGMA</t>
        </is>
      </c>
      <c r="B6856" t="inlineStr">
        <is>
          <t>M2</t>
        </is>
      </c>
      <c r="C6856" t="inlineStr">
        <is>
          <t>Cali</t>
        </is>
      </c>
      <c r="D6856" t="inlineStr">
        <is>
          <t>3397</t>
        </is>
      </c>
      <c r="E6856" t="inlineStr">
        <is>
          <t>pagado</t>
        </is>
      </c>
      <c r="F6856" s="23" t="n">
        <v>46280</v>
      </c>
      <c r="G6856" s="24">
        <f>F6856-DATE(2026,8,31)</f>
        <v>15</v>
      </c>
      <c r="H6856" s="25" t="n">
        <v>52854157</v>
      </c>
      <c r="I6856" t="inlineStr">
        <is>
          <t>entidad-dia</t>
        </is>
      </c>
    </row>
    <row r="6857">
      <c r="A6857" t="inlineStr">
        <is>
          <t>PRAGMA</t>
        </is>
      </c>
      <c r="B6857" t="inlineStr">
        <is>
          <t>M2</t>
        </is>
      </c>
      <c r="C6857" t="inlineStr">
        <is>
          <t>Cali</t>
        </is>
      </c>
      <c r="D6857" t="inlineStr">
        <is>
          <t>3397</t>
        </is>
      </c>
      <c r="E6857" t="inlineStr">
        <is>
          <t>cash_in</t>
        </is>
      </c>
      <c r="F6857" s="23" t="n">
        <v>46280</v>
      </c>
      <c r="G6857" s="24">
        <f>F6857-DATE(2026,8,31)</f>
        <v>15</v>
      </c>
      <c r="H6857" s="25" t="n">
        <v>55870823</v>
      </c>
      <c r="I6857" t="inlineStr">
        <is>
          <t>entidad-dia</t>
        </is>
      </c>
    </row>
    <row r="6858">
      <c r="A6858" t="inlineStr">
        <is>
          <t>PRAGMA</t>
        </is>
      </c>
      <c r="B6858" t="inlineStr">
        <is>
          <t>M2</t>
        </is>
      </c>
      <c r="C6858" t="inlineStr">
        <is>
          <t>Pasto</t>
        </is>
      </c>
      <c r="D6858" t="inlineStr">
        <is>
          <t>3934</t>
        </is>
      </c>
      <c r="E6858" t="inlineStr">
        <is>
          <t>pagado</t>
        </is>
      </c>
      <c r="F6858" s="23" t="n">
        <v>46266</v>
      </c>
      <c r="G6858" s="24">
        <f>F6858-DATE(2026,8,31)</f>
        <v>1</v>
      </c>
      <c r="H6858" s="25" t="n">
        <v>65175571</v>
      </c>
      <c r="I6858" t="inlineStr">
        <is>
          <t>entidad-dia</t>
        </is>
      </c>
    </row>
    <row r="6859">
      <c r="A6859" t="inlineStr">
        <is>
          <t>PRAGMA</t>
        </is>
      </c>
      <c r="B6859" t="inlineStr">
        <is>
          <t>M2</t>
        </is>
      </c>
      <c r="C6859" t="inlineStr">
        <is>
          <t>Pasto</t>
        </is>
      </c>
      <c r="D6859" t="inlineStr">
        <is>
          <t>3934</t>
        </is>
      </c>
      <c r="E6859" t="inlineStr">
        <is>
          <t>cash_in</t>
        </is>
      </c>
      <c r="F6859" s="23" t="n">
        <v>46266</v>
      </c>
      <c r="G6859" s="24">
        <f>F6859-DATE(2026,8,31)</f>
        <v>1</v>
      </c>
      <c r="H6859" s="25" t="n">
        <v>129025058</v>
      </c>
      <c r="I6859" t="inlineStr">
        <is>
          <t>entidad-dia</t>
        </is>
      </c>
    </row>
    <row r="6860">
      <c r="A6860" t="inlineStr">
        <is>
          <t>PRAGMA</t>
        </is>
      </c>
      <c r="B6860" t="inlineStr">
        <is>
          <t>M2</t>
        </is>
      </c>
      <c r="C6860" t="inlineStr">
        <is>
          <t>Pasto</t>
        </is>
      </c>
      <c r="D6860" t="inlineStr">
        <is>
          <t>3934</t>
        </is>
      </c>
      <c r="E6860" t="inlineStr">
        <is>
          <t>pagado</t>
        </is>
      </c>
      <c r="F6860" s="23" t="n">
        <v>46267</v>
      </c>
      <c r="G6860" s="24">
        <f>F6860-DATE(2026,8,31)</f>
        <v>2</v>
      </c>
      <c r="H6860" s="25" t="n">
        <v>55871560</v>
      </c>
      <c r="I6860" t="inlineStr">
        <is>
          <t>entidad-dia</t>
        </is>
      </c>
    </row>
    <row r="6861">
      <c r="A6861" t="inlineStr">
        <is>
          <t>PRAGMA</t>
        </is>
      </c>
      <c r="B6861" t="inlineStr">
        <is>
          <t>M2</t>
        </is>
      </c>
      <c r="C6861" t="inlineStr">
        <is>
          <t>Pasto</t>
        </is>
      </c>
      <c r="D6861" t="inlineStr">
        <is>
          <t>3934</t>
        </is>
      </c>
      <c r="E6861" t="inlineStr">
        <is>
          <t>cash_in</t>
        </is>
      </c>
      <c r="F6861" s="23" t="n">
        <v>46267</v>
      </c>
      <c r="G6861" s="24">
        <f>F6861-DATE(2026,8,31)</f>
        <v>2</v>
      </c>
      <c r="H6861" s="25" t="n">
        <v>122033241</v>
      </c>
      <c r="I6861" t="inlineStr">
        <is>
          <t>entidad-dia</t>
        </is>
      </c>
    </row>
    <row r="6862">
      <c r="A6862" t="inlineStr">
        <is>
          <t>PRAGMA</t>
        </is>
      </c>
      <c r="B6862" t="inlineStr">
        <is>
          <t>M2</t>
        </is>
      </c>
      <c r="C6862" t="inlineStr">
        <is>
          <t>Pasto</t>
        </is>
      </c>
      <c r="D6862" t="inlineStr">
        <is>
          <t>3934</t>
        </is>
      </c>
      <c r="E6862" t="inlineStr">
        <is>
          <t>pagado</t>
        </is>
      </c>
      <c r="F6862" s="23" t="n">
        <v>46268</v>
      </c>
      <c r="G6862" s="24">
        <f>F6862-DATE(2026,8,31)</f>
        <v>3</v>
      </c>
      <c r="H6862" s="25" t="n">
        <v>46438238</v>
      </c>
      <c r="I6862" t="inlineStr">
        <is>
          <t>entidad-dia</t>
        </is>
      </c>
    </row>
    <row r="6863">
      <c r="A6863" t="inlineStr">
        <is>
          <t>PRAGMA</t>
        </is>
      </c>
      <c r="B6863" t="inlineStr">
        <is>
          <t>M2</t>
        </is>
      </c>
      <c r="C6863" t="inlineStr">
        <is>
          <t>Pasto</t>
        </is>
      </c>
      <c r="D6863" t="inlineStr">
        <is>
          <t>3934</t>
        </is>
      </c>
      <c r="E6863" t="inlineStr">
        <is>
          <t>cash_in</t>
        </is>
      </c>
      <c r="F6863" s="23" t="n">
        <v>46268</v>
      </c>
      <c r="G6863" s="24">
        <f>F6863-DATE(2026,8,31)</f>
        <v>3</v>
      </c>
      <c r="H6863" s="25" t="n">
        <v>117625284</v>
      </c>
      <c r="I6863" t="inlineStr">
        <is>
          <t>entidad-dia</t>
        </is>
      </c>
    </row>
    <row r="6864">
      <c r="A6864" t="inlineStr">
        <is>
          <t>PRAGMA</t>
        </is>
      </c>
      <c r="B6864" t="inlineStr">
        <is>
          <t>M2</t>
        </is>
      </c>
      <c r="C6864" t="inlineStr">
        <is>
          <t>Pasto</t>
        </is>
      </c>
      <c r="D6864" t="inlineStr">
        <is>
          <t>3934</t>
        </is>
      </c>
      <c r="E6864" t="inlineStr">
        <is>
          <t>pagado</t>
        </is>
      </c>
      <c r="F6864" s="23" t="n">
        <v>46269</v>
      </c>
      <c r="G6864" s="24">
        <f>F6864-DATE(2026,8,31)</f>
        <v>4</v>
      </c>
      <c r="H6864" s="25" t="n">
        <v>52337380</v>
      </c>
      <c r="I6864" t="inlineStr">
        <is>
          <t>entidad-dia</t>
        </is>
      </c>
    </row>
    <row r="6865">
      <c r="A6865" t="inlineStr">
        <is>
          <t>PRAGMA</t>
        </is>
      </c>
      <c r="B6865" t="inlineStr">
        <is>
          <t>M2</t>
        </is>
      </c>
      <c r="C6865" t="inlineStr">
        <is>
          <t>Pasto</t>
        </is>
      </c>
      <c r="D6865" t="inlineStr">
        <is>
          <t>3934</t>
        </is>
      </c>
      <c r="E6865" t="inlineStr">
        <is>
          <t>cash_in</t>
        </is>
      </c>
      <c r="F6865" s="23" t="n">
        <v>46269</v>
      </c>
      <c r="G6865" s="24">
        <f>F6865-DATE(2026,8,31)</f>
        <v>4</v>
      </c>
      <c r="H6865" s="25" t="n">
        <v>128741784</v>
      </c>
      <c r="I6865" t="inlineStr">
        <is>
          <t>entidad-dia</t>
        </is>
      </c>
    </row>
    <row r="6866">
      <c r="A6866" t="inlineStr">
        <is>
          <t>PRAGMA</t>
        </is>
      </c>
      <c r="B6866" t="inlineStr">
        <is>
          <t>M2</t>
        </is>
      </c>
      <c r="C6866" t="inlineStr">
        <is>
          <t>Pasto</t>
        </is>
      </c>
      <c r="D6866" t="inlineStr">
        <is>
          <t>3934</t>
        </is>
      </c>
      <c r="E6866" t="inlineStr">
        <is>
          <t>pagado</t>
        </is>
      </c>
      <c r="F6866" s="23" t="n">
        <v>46270</v>
      </c>
      <c r="G6866" s="24">
        <f>F6866-DATE(2026,8,31)</f>
        <v>5</v>
      </c>
      <c r="H6866" s="25" t="n">
        <v>56036749</v>
      </c>
      <c r="I6866" t="inlineStr">
        <is>
          <t>entidad-dia</t>
        </is>
      </c>
    </row>
    <row r="6867">
      <c r="A6867" t="inlineStr">
        <is>
          <t>PRAGMA</t>
        </is>
      </c>
      <c r="B6867" t="inlineStr">
        <is>
          <t>M2</t>
        </is>
      </c>
      <c r="C6867" t="inlineStr">
        <is>
          <t>Pasto</t>
        </is>
      </c>
      <c r="D6867" t="inlineStr">
        <is>
          <t>3934</t>
        </is>
      </c>
      <c r="E6867" t="inlineStr">
        <is>
          <t>cash_in</t>
        </is>
      </c>
      <c r="F6867" s="23" t="n">
        <v>46270</v>
      </c>
      <c r="G6867" s="24">
        <f>F6867-DATE(2026,8,31)</f>
        <v>5</v>
      </c>
      <c r="H6867" s="25" t="n">
        <v>134231662</v>
      </c>
      <c r="I6867" t="inlineStr">
        <is>
          <t>entidad-dia</t>
        </is>
      </c>
    </row>
    <row r="6868">
      <c r="A6868" t="inlineStr">
        <is>
          <t>PRAGMA</t>
        </is>
      </c>
      <c r="B6868" t="inlineStr">
        <is>
          <t>M2</t>
        </is>
      </c>
      <c r="C6868" t="inlineStr">
        <is>
          <t>Pasto</t>
        </is>
      </c>
      <c r="D6868" t="inlineStr">
        <is>
          <t>3934</t>
        </is>
      </c>
      <c r="E6868" t="inlineStr">
        <is>
          <t>pagado</t>
        </is>
      </c>
      <c r="F6868" s="23" t="n">
        <v>46271</v>
      </c>
      <c r="G6868" s="24">
        <f>F6868-DATE(2026,8,31)</f>
        <v>6</v>
      </c>
      <c r="H6868" s="25" t="n">
        <v>44055509</v>
      </c>
      <c r="I6868" t="inlineStr">
        <is>
          <t>entidad-dia</t>
        </is>
      </c>
    </row>
    <row r="6869">
      <c r="A6869" t="inlineStr">
        <is>
          <t>PRAGMA</t>
        </is>
      </c>
      <c r="B6869" t="inlineStr">
        <is>
          <t>M2</t>
        </is>
      </c>
      <c r="C6869" t="inlineStr">
        <is>
          <t>Pasto</t>
        </is>
      </c>
      <c r="D6869" t="inlineStr">
        <is>
          <t>3934</t>
        </is>
      </c>
      <c r="E6869" t="inlineStr">
        <is>
          <t>cash_in</t>
        </is>
      </c>
      <c r="F6869" s="23" t="n">
        <v>46271</v>
      </c>
      <c r="G6869" s="24">
        <f>F6869-DATE(2026,8,31)</f>
        <v>6</v>
      </c>
      <c r="H6869" s="25" t="n">
        <v>82180698</v>
      </c>
      <c r="I6869" t="inlineStr">
        <is>
          <t>entidad-dia</t>
        </is>
      </c>
    </row>
    <row r="6870">
      <c r="A6870" t="inlineStr">
        <is>
          <t>PRAGMA</t>
        </is>
      </c>
      <c r="B6870" t="inlineStr">
        <is>
          <t>M2</t>
        </is>
      </c>
      <c r="C6870" t="inlineStr">
        <is>
          <t>Pasto</t>
        </is>
      </c>
      <c r="D6870" t="inlineStr">
        <is>
          <t>3934</t>
        </is>
      </c>
      <c r="E6870" t="inlineStr">
        <is>
          <t>pagado</t>
        </is>
      </c>
      <c r="F6870" s="23" t="n">
        <v>46272</v>
      </c>
      <c r="G6870" s="24">
        <f>F6870-DATE(2026,8,31)</f>
        <v>7</v>
      </c>
      <c r="H6870" s="25" t="n">
        <v>44122773</v>
      </c>
      <c r="I6870" t="inlineStr">
        <is>
          <t>entidad-dia</t>
        </is>
      </c>
    </row>
    <row r="6871">
      <c r="A6871" t="inlineStr">
        <is>
          <t>PRAGMA</t>
        </is>
      </c>
      <c r="B6871" t="inlineStr">
        <is>
          <t>M2</t>
        </is>
      </c>
      <c r="C6871" t="inlineStr">
        <is>
          <t>Pasto</t>
        </is>
      </c>
      <c r="D6871" t="inlineStr">
        <is>
          <t>3934</t>
        </is>
      </c>
      <c r="E6871" t="inlineStr">
        <is>
          <t>cash_in</t>
        </is>
      </c>
      <c r="F6871" s="23" t="n">
        <v>46272</v>
      </c>
      <c r="G6871" s="24">
        <f>F6871-DATE(2026,8,31)</f>
        <v>7</v>
      </c>
      <c r="H6871" s="25" t="n">
        <v>128906790</v>
      </c>
      <c r="I6871" t="inlineStr">
        <is>
          <t>entidad-dia</t>
        </is>
      </c>
    </row>
    <row r="6872">
      <c r="A6872" t="inlineStr">
        <is>
          <t>PRAGMA</t>
        </is>
      </c>
      <c r="B6872" t="inlineStr">
        <is>
          <t>M2</t>
        </is>
      </c>
      <c r="C6872" t="inlineStr">
        <is>
          <t>Pasto</t>
        </is>
      </c>
      <c r="D6872" t="inlineStr">
        <is>
          <t>3934</t>
        </is>
      </c>
      <c r="E6872" t="inlineStr">
        <is>
          <t>pagado</t>
        </is>
      </c>
      <c r="F6872" s="23" t="n">
        <v>46273</v>
      </c>
      <c r="G6872" s="24">
        <f>F6872-DATE(2026,8,31)</f>
        <v>8</v>
      </c>
      <c r="H6872" s="25" t="n">
        <v>40838351</v>
      </c>
      <c r="I6872" t="inlineStr">
        <is>
          <t>entidad-dia</t>
        </is>
      </c>
    </row>
    <row r="6873">
      <c r="A6873" t="inlineStr">
        <is>
          <t>PRAGMA</t>
        </is>
      </c>
      <c r="B6873" t="inlineStr">
        <is>
          <t>M2</t>
        </is>
      </c>
      <c r="C6873" t="inlineStr">
        <is>
          <t>Pasto</t>
        </is>
      </c>
      <c r="D6873" t="inlineStr">
        <is>
          <t>3934</t>
        </is>
      </c>
      <c r="E6873" t="inlineStr">
        <is>
          <t>cash_in</t>
        </is>
      </c>
      <c r="F6873" s="23" t="n">
        <v>46273</v>
      </c>
      <c r="G6873" s="24">
        <f>F6873-DATE(2026,8,31)</f>
        <v>8</v>
      </c>
      <c r="H6873" s="25" t="n">
        <v>112794783</v>
      </c>
      <c r="I6873" t="inlineStr">
        <is>
          <t>entidad-dia</t>
        </is>
      </c>
    </row>
    <row r="6874">
      <c r="A6874" t="inlineStr">
        <is>
          <t>PRAGMA</t>
        </is>
      </c>
      <c r="B6874" t="inlineStr">
        <is>
          <t>M2</t>
        </is>
      </c>
      <c r="C6874" t="inlineStr">
        <is>
          <t>Pasto</t>
        </is>
      </c>
      <c r="D6874" t="inlineStr">
        <is>
          <t>3934</t>
        </is>
      </c>
      <c r="E6874" t="inlineStr">
        <is>
          <t>pagado</t>
        </is>
      </c>
      <c r="F6874" s="23" t="n">
        <v>46274</v>
      </c>
      <c r="G6874" s="24">
        <f>F6874-DATE(2026,8,31)</f>
        <v>9</v>
      </c>
      <c r="H6874" s="25" t="n">
        <v>40145920</v>
      </c>
      <c r="I6874" t="inlineStr">
        <is>
          <t>entidad-dia</t>
        </is>
      </c>
    </row>
    <row r="6875">
      <c r="A6875" t="inlineStr">
        <is>
          <t>PRAGMA</t>
        </is>
      </c>
      <c r="B6875" t="inlineStr">
        <is>
          <t>M2</t>
        </is>
      </c>
      <c r="C6875" t="inlineStr">
        <is>
          <t>Pasto</t>
        </is>
      </c>
      <c r="D6875" t="inlineStr">
        <is>
          <t>3934</t>
        </is>
      </c>
      <c r="E6875" t="inlineStr">
        <is>
          <t>cash_in</t>
        </is>
      </c>
      <c r="F6875" s="23" t="n">
        <v>46274</v>
      </c>
      <c r="G6875" s="24">
        <f>F6875-DATE(2026,8,31)</f>
        <v>9</v>
      </c>
      <c r="H6875" s="25" t="n">
        <v>103307172</v>
      </c>
      <c r="I6875" t="inlineStr">
        <is>
          <t>entidad-dia</t>
        </is>
      </c>
    </row>
    <row r="6876">
      <c r="A6876" t="inlineStr">
        <is>
          <t>PRAGMA</t>
        </is>
      </c>
      <c r="B6876" t="inlineStr">
        <is>
          <t>M2</t>
        </is>
      </c>
      <c r="C6876" t="inlineStr">
        <is>
          <t>Pasto</t>
        </is>
      </c>
      <c r="D6876" t="inlineStr">
        <is>
          <t>3934</t>
        </is>
      </c>
      <c r="E6876" t="inlineStr">
        <is>
          <t>pagado</t>
        </is>
      </c>
      <c r="F6876" s="23" t="n">
        <v>46275</v>
      </c>
      <c r="G6876" s="24">
        <f>F6876-DATE(2026,8,31)</f>
        <v>10</v>
      </c>
      <c r="H6876" s="25" t="n">
        <v>37556384</v>
      </c>
      <c r="I6876" t="inlineStr">
        <is>
          <t>entidad-dia</t>
        </is>
      </c>
    </row>
    <row r="6877">
      <c r="A6877" t="inlineStr">
        <is>
          <t>PRAGMA</t>
        </is>
      </c>
      <c r="B6877" t="inlineStr">
        <is>
          <t>M2</t>
        </is>
      </c>
      <c r="C6877" t="inlineStr">
        <is>
          <t>Pasto</t>
        </is>
      </c>
      <c r="D6877" t="inlineStr">
        <is>
          <t>3934</t>
        </is>
      </c>
      <c r="E6877" t="inlineStr">
        <is>
          <t>cash_in</t>
        </is>
      </c>
      <c r="F6877" s="23" t="n">
        <v>46275</v>
      </c>
      <c r="G6877" s="24">
        <f>F6877-DATE(2026,8,31)</f>
        <v>10</v>
      </c>
      <c r="H6877" s="25" t="n">
        <v>100390716</v>
      </c>
      <c r="I6877" t="inlineStr">
        <is>
          <t>entidad-dia</t>
        </is>
      </c>
    </row>
    <row r="6878">
      <c r="A6878" t="inlineStr">
        <is>
          <t>PRAGMA</t>
        </is>
      </c>
      <c r="B6878" t="inlineStr">
        <is>
          <t>M2</t>
        </is>
      </c>
      <c r="C6878" t="inlineStr">
        <is>
          <t>Pasto</t>
        </is>
      </c>
      <c r="D6878" t="inlineStr">
        <is>
          <t>3934</t>
        </is>
      </c>
      <c r="E6878" t="inlineStr">
        <is>
          <t>pagado</t>
        </is>
      </c>
      <c r="F6878" s="23" t="n">
        <v>46276</v>
      </c>
      <c r="G6878" s="24">
        <f>F6878-DATE(2026,8,31)</f>
        <v>11</v>
      </c>
      <c r="H6878" s="25" t="n">
        <v>43560623</v>
      </c>
      <c r="I6878" t="inlineStr">
        <is>
          <t>entidad-dia</t>
        </is>
      </c>
    </row>
    <row r="6879">
      <c r="A6879" t="inlineStr">
        <is>
          <t>PRAGMA</t>
        </is>
      </c>
      <c r="B6879" t="inlineStr">
        <is>
          <t>M2</t>
        </is>
      </c>
      <c r="C6879" t="inlineStr">
        <is>
          <t>Pasto</t>
        </is>
      </c>
      <c r="D6879" t="inlineStr">
        <is>
          <t>3934</t>
        </is>
      </c>
      <c r="E6879" t="inlineStr">
        <is>
          <t>cash_in</t>
        </is>
      </c>
      <c r="F6879" s="23" t="n">
        <v>46276</v>
      </c>
      <c r="G6879" s="24">
        <f>F6879-DATE(2026,8,31)</f>
        <v>11</v>
      </c>
      <c r="H6879" s="25" t="n">
        <v>108871633</v>
      </c>
      <c r="I6879" t="inlineStr">
        <is>
          <t>entidad-dia</t>
        </is>
      </c>
    </row>
    <row r="6880">
      <c r="A6880" t="inlineStr">
        <is>
          <t>PRAGMA</t>
        </is>
      </c>
      <c r="B6880" t="inlineStr">
        <is>
          <t>M2</t>
        </is>
      </c>
      <c r="C6880" t="inlineStr">
        <is>
          <t>Pasto</t>
        </is>
      </c>
      <c r="D6880" t="inlineStr">
        <is>
          <t>3934</t>
        </is>
      </c>
      <c r="E6880" t="inlineStr">
        <is>
          <t>pagado</t>
        </is>
      </c>
      <c r="F6880" s="23" t="n">
        <v>46277</v>
      </c>
      <c r="G6880" s="24">
        <f>F6880-DATE(2026,8,31)</f>
        <v>12</v>
      </c>
      <c r="H6880" s="25" t="n">
        <v>51224405</v>
      </c>
      <c r="I6880" t="inlineStr">
        <is>
          <t>entidad-dia</t>
        </is>
      </c>
    </row>
    <row r="6881">
      <c r="A6881" t="inlineStr">
        <is>
          <t>PRAGMA</t>
        </is>
      </c>
      <c r="B6881" t="inlineStr">
        <is>
          <t>M2</t>
        </is>
      </c>
      <c r="C6881" t="inlineStr">
        <is>
          <t>Pasto</t>
        </is>
      </c>
      <c r="D6881" t="inlineStr">
        <is>
          <t>3934</t>
        </is>
      </c>
      <c r="E6881" t="inlineStr">
        <is>
          <t>cash_in</t>
        </is>
      </c>
      <c r="F6881" s="23" t="n">
        <v>46277</v>
      </c>
      <c r="G6881" s="24">
        <f>F6881-DATE(2026,8,31)</f>
        <v>12</v>
      </c>
      <c r="H6881" s="25" t="n">
        <v>114201645</v>
      </c>
      <c r="I6881" t="inlineStr">
        <is>
          <t>entidad-dia</t>
        </is>
      </c>
    </row>
    <row r="6882">
      <c r="A6882" t="inlineStr">
        <is>
          <t>PRAGMA</t>
        </is>
      </c>
      <c r="B6882" t="inlineStr">
        <is>
          <t>M2</t>
        </is>
      </c>
      <c r="C6882" t="inlineStr">
        <is>
          <t>Pasto</t>
        </is>
      </c>
      <c r="D6882" t="inlineStr">
        <is>
          <t>3934</t>
        </is>
      </c>
      <c r="E6882" t="inlineStr">
        <is>
          <t>pagado</t>
        </is>
      </c>
      <c r="F6882" s="23" t="n">
        <v>46278</v>
      </c>
      <c r="G6882" s="24">
        <f>F6882-DATE(2026,8,31)</f>
        <v>13</v>
      </c>
      <c r="H6882" s="25" t="n">
        <v>41063376</v>
      </c>
      <c r="I6882" t="inlineStr">
        <is>
          <t>entidad-dia</t>
        </is>
      </c>
    </row>
    <row r="6883">
      <c r="A6883" t="inlineStr">
        <is>
          <t>PRAGMA</t>
        </is>
      </c>
      <c r="B6883" t="inlineStr">
        <is>
          <t>M2</t>
        </is>
      </c>
      <c r="C6883" t="inlineStr">
        <is>
          <t>Pasto</t>
        </is>
      </c>
      <c r="D6883" t="inlineStr">
        <is>
          <t>3934</t>
        </is>
      </c>
      <c r="E6883" t="inlineStr">
        <is>
          <t>cash_in</t>
        </is>
      </c>
      <c r="F6883" s="23" t="n">
        <v>46278</v>
      </c>
      <c r="G6883" s="24">
        <f>F6883-DATE(2026,8,31)</f>
        <v>13</v>
      </c>
      <c r="H6883" s="25" t="n">
        <v>62637382</v>
      </c>
      <c r="I6883" t="inlineStr">
        <is>
          <t>entidad-dia</t>
        </is>
      </c>
    </row>
    <row r="6884">
      <c r="A6884" t="inlineStr">
        <is>
          <t>PRAGMA</t>
        </is>
      </c>
      <c r="B6884" t="inlineStr">
        <is>
          <t>M2</t>
        </is>
      </c>
      <c r="C6884" t="inlineStr">
        <is>
          <t>Pasto</t>
        </is>
      </c>
      <c r="D6884" t="inlineStr">
        <is>
          <t>3934</t>
        </is>
      </c>
      <c r="E6884" t="inlineStr">
        <is>
          <t>pagado</t>
        </is>
      </c>
      <c r="F6884" s="23" t="n">
        <v>46279</v>
      </c>
      <c r="G6884" s="24">
        <f>F6884-DATE(2026,8,31)</f>
        <v>14</v>
      </c>
      <c r="H6884" s="25" t="n">
        <v>40013043</v>
      </c>
      <c r="I6884" t="inlineStr">
        <is>
          <t>entidad-dia</t>
        </is>
      </c>
    </row>
    <row r="6885">
      <c r="A6885" t="inlineStr">
        <is>
          <t>PRAGMA</t>
        </is>
      </c>
      <c r="B6885" t="inlineStr">
        <is>
          <t>M2</t>
        </is>
      </c>
      <c r="C6885" t="inlineStr">
        <is>
          <t>Pasto</t>
        </is>
      </c>
      <c r="D6885" t="inlineStr">
        <is>
          <t>3934</t>
        </is>
      </c>
      <c r="E6885" t="inlineStr">
        <is>
          <t>cash_in</t>
        </is>
      </c>
      <c r="F6885" s="23" t="n">
        <v>46279</v>
      </c>
      <c r="G6885" s="24">
        <f>F6885-DATE(2026,8,31)</f>
        <v>14</v>
      </c>
      <c r="H6885" s="25" t="n">
        <v>109307465</v>
      </c>
      <c r="I6885" t="inlineStr">
        <is>
          <t>entidad-dia</t>
        </is>
      </c>
    </row>
    <row r="6886">
      <c r="A6886" t="inlineStr">
        <is>
          <t>PRAGMA</t>
        </is>
      </c>
      <c r="B6886" t="inlineStr">
        <is>
          <t>M2</t>
        </is>
      </c>
      <c r="C6886" t="inlineStr">
        <is>
          <t>Pasto</t>
        </is>
      </c>
      <c r="D6886" t="inlineStr">
        <is>
          <t>3934</t>
        </is>
      </c>
      <c r="E6886" t="inlineStr">
        <is>
          <t>pagado</t>
        </is>
      </c>
      <c r="F6886" s="23" t="n">
        <v>46280</v>
      </c>
      <c r="G6886" s="24">
        <f>F6886-DATE(2026,8,31)</f>
        <v>15</v>
      </c>
      <c r="H6886" s="25" t="n">
        <v>44819672</v>
      </c>
      <c r="I6886" t="inlineStr">
        <is>
          <t>entidad-dia</t>
        </is>
      </c>
    </row>
    <row r="6887">
      <c r="A6887" t="inlineStr">
        <is>
          <t>PRAGMA</t>
        </is>
      </c>
      <c r="B6887" t="inlineStr">
        <is>
          <t>M2</t>
        </is>
      </c>
      <c r="C6887" t="inlineStr">
        <is>
          <t>Pasto</t>
        </is>
      </c>
      <c r="D6887" t="inlineStr">
        <is>
          <t>3934</t>
        </is>
      </c>
      <c r="E6887" t="inlineStr">
        <is>
          <t>cash_in</t>
        </is>
      </c>
      <c r="F6887" s="23" t="n">
        <v>46280</v>
      </c>
      <c r="G6887" s="24">
        <f>F6887-DATE(2026,8,31)</f>
        <v>15</v>
      </c>
      <c r="H6887" s="25" t="n">
        <v>119093645</v>
      </c>
      <c r="I6887" t="inlineStr">
        <is>
          <t>entidad-dia</t>
        </is>
      </c>
    </row>
    <row r="6888">
      <c r="A6888" t="inlineStr">
        <is>
          <t>PRAGMA</t>
        </is>
      </c>
      <c r="B6888" t="inlineStr">
        <is>
          <t>M2</t>
        </is>
      </c>
      <c r="C6888" t="inlineStr">
        <is>
          <t>Cali</t>
        </is>
      </c>
      <c r="D6888" t="inlineStr">
        <is>
          <t>5028</t>
        </is>
      </c>
      <c r="E6888" t="inlineStr">
        <is>
          <t>pagado</t>
        </is>
      </c>
      <c r="F6888" s="23" t="n">
        <v>46266</v>
      </c>
      <c r="G6888" s="24">
        <f>F6888-DATE(2026,8,31)</f>
        <v>1</v>
      </c>
      <c r="H6888" s="25" t="n">
        <v>0</v>
      </c>
      <c r="I6888" t="inlineStr">
        <is>
          <t>entidad-dia</t>
        </is>
      </c>
    </row>
    <row r="6889">
      <c r="A6889" t="inlineStr">
        <is>
          <t>PRAGMA</t>
        </is>
      </c>
      <c r="B6889" t="inlineStr">
        <is>
          <t>M2</t>
        </is>
      </c>
      <c r="C6889" t="inlineStr">
        <is>
          <t>Cali</t>
        </is>
      </c>
      <c r="D6889" t="inlineStr">
        <is>
          <t>5028</t>
        </is>
      </c>
      <c r="E6889" t="inlineStr">
        <is>
          <t>cash_in</t>
        </is>
      </c>
      <c r="F6889" s="23" t="n">
        <v>46266</v>
      </c>
      <c r="G6889" s="24">
        <f>F6889-DATE(2026,8,31)</f>
        <v>1</v>
      </c>
      <c r="H6889" s="25" t="n">
        <v>0</v>
      </c>
      <c r="I6889" t="inlineStr">
        <is>
          <t>entidad-dia</t>
        </is>
      </c>
    </row>
    <row r="6890">
      <c r="A6890" t="inlineStr">
        <is>
          <t>PRAGMA</t>
        </is>
      </c>
      <c r="B6890" t="inlineStr">
        <is>
          <t>M2</t>
        </is>
      </c>
      <c r="C6890" t="inlineStr">
        <is>
          <t>Cali</t>
        </is>
      </c>
      <c r="D6890" t="inlineStr">
        <is>
          <t>5028</t>
        </is>
      </c>
      <c r="E6890" t="inlineStr">
        <is>
          <t>pagado</t>
        </is>
      </c>
      <c r="F6890" s="23" t="n">
        <v>46267</v>
      </c>
      <c r="G6890" s="24">
        <f>F6890-DATE(2026,8,31)</f>
        <v>2</v>
      </c>
      <c r="H6890" s="25" t="n">
        <v>0</v>
      </c>
      <c r="I6890" t="inlineStr">
        <is>
          <t>entidad-dia</t>
        </is>
      </c>
    </row>
    <row r="6891">
      <c r="A6891" t="inlineStr">
        <is>
          <t>PRAGMA</t>
        </is>
      </c>
      <c r="B6891" t="inlineStr">
        <is>
          <t>M2</t>
        </is>
      </c>
      <c r="C6891" t="inlineStr">
        <is>
          <t>Cali</t>
        </is>
      </c>
      <c r="D6891" t="inlineStr">
        <is>
          <t>5028</t>
        </is>
      </c>
      <c r="E6891" t="inlineStr">
        <is>
          <t>cash_in</t>
        </is>
      </c>
      <c r="F6891" s="23" t="n">
        <v>46267</v>
      </c>
      <c r="G6891" s="24">
        <f>F6891-DATE(2026,8,31)</f>
        <v>2</v>
      </c>
      <c r="H6891" s="25" t="n">
        <v>0</v>
      </c>
      <c r="I6891" t="inlineStr">
        <is>
          <t>entidad-dia</t>
        </is>
      </c>
    </row>
    <row r="6892">
      <c r="A6892" t="inlineStr">
        <is>
          <t>PRAGMA</t>
        </is>
      </c>
      <c r="B6892" t="inlineStr">
        <is>
          <t>M2</t>
        </is>
      </c>
      <c r="C6892" t="inlineStr">
        <is>
          <t>Cali</t>
        </is>
      </c>
      <c r="D6892" t="inlineStr">
        <is>
          <t>5028</t>
        </is>
      </c>
      <c r="E6892" t="inlineStr">
        <is>
          <t>pagado</t>
        </is>
      </c>
      <c r="F6892" s="23" t="n">
        <v>46268</v>
      </c>
      <c r="G6892" s="24">
        <f>F6892-DATE(2026,8,31)</f>
        <v>3</v>
      </c>
      <c r="H6892" s="25" t="n">
        <v>0</v>
      </c>
      <c r="I6892" t="inlineStr">
        <is>
          <t>entidad-dia</t>
        </is>
      </c>
    </row>
    <row r="6893">
      <c r="A6893" t="inlineStr">
        <is>
          <t>PRAGMA</t>
        </is>
      </c>
      <c r="B6893" t="inlineStr">
        <is>
          <t>M2</t>
        </is>
      </c>
      <c r="C6893" t="inlineStr">
        <is>
          <t>Cali</t>
        </is>
      </c>
      <c r="D6893" t="inlineStr">
        <is>
          <t>5028</t>
        </is>
      </c>
      <c r="E6893" t="inlineStr">
        <is>
          <t>cash_in</t>
        </is>
      </c>
      <c r="F6893" s="23" t="n">
        <v>46268</v>
      </c>
      <c r="G6893" s="24">
        <f>F6893-DATE(2026,8,31)</f>
        <v>3</v>
      </c>
      <c r="H6893" s="25" t="n">
        <v>0</v>
      </c>
      <c r="I6893" t="inlineStr">
        <is>
          <t>entidad-dia</t>
        </is>
      </c>
    </row>
    <row r="6894">
      <c r="A6894" t="inlineStr">
        <is>
          <t>PRAGMA</t>
        </is>
      </c>
      <c r="B6894" t="inlineStr">
        <is>
          <t>M2</t>
        </is>
      </c>
      <c r="C6894" t="inlineStr">
        <is>
          <t>Cali</t>
        </is>
      </c>
      <c r="D6894" t="inlineStr">
        <is>
          <t>5028</t>
        </is>
      </c>
      <c r="E6894" t="inlineStr">
        <is>
          <t>pagado</t>
        </is>
      </c>
      <c r="F6894" s="23" t="n">
        <v>46269</v>
      </c>
      <c r="G6894" s="24">
        <f>F6894-DATE(2026,8,31)</f>
        <v>4</v>
      </c>
      <c r="H6894" s="25" t="n">
        <v>0</v>
      </c>
      <c r="I6894" t="inlineStr">
        <is>
          <t>entidad-dia</t>
        </is>
      </c>
    </row>
    <row r="6895">
      <c r="A6895" t="inlineStr">
        <is>
          <t>PRAGMA</t>
        </is>
      </c>
      <c r="B6895" t="inlineStr">
        <is>
          <t>M2</t>
        </is>
      </c>
      <c r="C6895" t="inlineStr">
        <is>
          <t>Cali</t>
        </is>
      </c>
      <c r="D6895" t="inlineStr">
        <is>
          <t>5028</t>
        </is>
      </c>
      <c r="E6895" t="inlineStr">
        <is>
          <t>cash_in</t>
        </is>
      </c>
      <c r="F6895" s="23" t="n">
        <v>46269</v>
      </c>
      <c r="G6895" s="24">
        <f>F6895-DATE(2026,8,31)</f>
        <v>4</v>
      </c>
      <c r="H6895" s="25" t="n">
        <v>0</v>
      </c>
      <c r="I6895" t="inlineStr">
        <is>
          <t>entidad-dia</t>
        </is>
      </c>
    </row>
    <row r="6896">
      <c r="A6896" t="inlineStr">
        <is>
          <t>PRAGMA</t>
        </is>
      </c>
      <c r="B6896" t="inlineStr">
        <is>
          <t>M2</t>
        </is>
      </c>
      <c r="C6896" t="inlineStr">
        <is>
          <t>Cali</t>
        </is>
      </c>
      <c r="D6896" t="inlineStr">
        <is>
          <t>5028</t>
        </is>
      </c>
      <c r="E6896" t="inlineStr">
        <is>
          <t>pagado</t>
        </is>
      </c>
      <c r="F6896" s="23" t="n">
        <v>46270</v>
      </c>
      <c r="G6896" s="24">
        <f>F6896-DATE(2026,8,31)</f>
        <v>5</v>
      </c>
      <c r="H6896" s="25" t="n">
        <v>0</v>
      </c>
      <c r="I6896" t="inlineStr">
        <is>
          <t>entidad-dia</t>
        </is>
      </c>
    </row>
    <row r="6897">
      <c r="A6897" t="inlineStr">
        <is>
          <t>PRAGMA</t>
        </is>
      </c>
      <c r="B6897" t="inlineStr">
        <is>
          <t>M2</t>
        </is>
      </c>
      <c r="C6897" t="inlineStr">
        <is>
          <t>Cali</t>
        </is>
      </c>
      <c r="D6897" t="inlineStr">
        <is>
          <t>5028</t>
        </is>
      </c>
      <c r="E6897" t="inlineStr">
        <is>
          <t>cash_in</t>
        </is>
      </c>
      <c r="F6897" s="23" t="n">
        <v>46270</v>
      </c>
      <c r="G6897" s="24">
        <f>F6897-DATE(2026,8,31)</f>
        <v>5</v>
      </c>
      <c r="H6897" s="25" t="n">
        <v>0</v>
      </c>
      <c r="I6897" t="inlineStr">
        <is>
          <t>entidad-dia</t>
        </is>
      </c>
    </row>
    <row r="6898">
      <c r="A6898" t="inlineStr">
        <is>
          <t>PRAGMA</t>
        </is>
      </c>
      <c r="B6898" t="inlineStr">
        <is>
          <t>M2</t>
        </is>
      </c>
      <c r="C6898" t="inlineStr">
        <is>
          <t>Cali</t>
        </is>
      </c>
      <c r="D6898" t="inlineStr">
        <is>
          <t>5028</t>
        </is>
      </c>
      <c r="E6898" t="inlineStr">
        <is>
          <t>pagado</t>
        </is>
      </c>
      <c r="F6898" s="23" t="n">
        <v>46271</v>
      </c>
      <c r="G6898" s="24">
        <f>F6898-DATE(2026,8,31)</f>
        <v>6</v>
      </c>
      <c r="H6898" s="25" t="n">
        <v>0</v>
      </c>
      <c r="I6898" t="inlineStr">
        <is>
          <t>entidad-dia</t>
        </is>
      </c>
    </row>
    <row r="6899">
      <c r="A6899" t="inlineStr">
        <is>
          <t>PRAGMA</t>
        </is>
      </c>
      <c r="B6899" t="inlineStr">
        <is>
          <t>M2</t>
        </is>
      </c>
      <c r="C6899" t="inlineStr">
        <is>
          <t>Cali</t>
        </is>
      </c>
      <c r="D6899" t="inlineStr">
        <is>
          <t>5028</t>
        </is>
      </c>
      <c r="E6899" t="inlineStr">
        <is>
          <t>cash_in</t>
        </is>
      </c>
      <c r="F6899" s="23" t="n">
        <v>46271</v>
      </c>
      <c r="G6899" s="24">
        <f>F6899-DATE(2026,8,31)</f>
        <v>6</v>
      </c>
      <c r="H6899" s="25" t="n">
        <v>0</v>
      </c>
      <c r="I6899" t="inlineStr">
        <is>
          <t>entidad-dia</t>
        </is>
      </c>
    </row>
    <row r="6900">
      <c r="A6900" t="inlineStr">
        <is>
          <t>PRAGMA</t>
        </is>
      </c>
      <c r="B6900" t="inlineStr">
        <is>
          <t>M2</t>
        </is>
      </c>
      <c r="C6900" t="inlineStr">
        <is>
          <t>Cali</t>
        </is>
      </c>
      <c r="D6900" t="inlineStr">
        <is>
          <t>5028</t>
        </is>
      </c>
      <c r="E6900" t="inlineStr">
        <is>
          <t>pagado</t>
        </is>
      </c>
      <c r="F6900" s="23" t="n">
        <v>46272</v>
      </c>
      <c r="G6900" s="24">
        <f>F6900-DATE(2026,8,31)</f>
        <v>7</v>
      </c>
      <c r="H6900" s="25" t="n">
        <v>0</v>
      </c>
      <c r="I6900" t="inlineStr">
        <is>
          <t>entidad-dia</t>
        </is>
      </c>
    </row>
    <row r="6901">
      <c r="A6901" t="inlineStr">
        <is>
          <t>PRAGMA</t>
        </is>
      </c>
      <c r="B6901" t="inlineStr">
        <is>
          <t>M2</t>
        </is>
      </c>
      <c r="C6901" t="inlineStr">
        <is>
          <t>Cali</t>
        </is>
      </c>
      <c r="D6901" t="inlineStr">
        <is>
          <t>5028</t>
        </is>
      </c>
      <c r="E6901" t="inlineStr">
        <is>
          <t>cash_in</t>
        </is>
      </c>
      <c r="F6901" s="23" t="n">
        <v>46272</v>
      </c>
      <c r="G6901" s="24">
        <f>F6901-DATE(2026,8,31)</f>
        <v>7</v>
      </c>
      <c r="H6901" s="25" t="n">
        <v>0</v>
      </c>
      <c r="I6901" t="inlineStr">
        <is>
          <t>entidad-dia</t>
        </is>
      </c>
    </row>
    <row r="6902">
      <c r="A6902" t="inlineStr">
        <is>
          <t>PRAGMA</t>
        </is>
      </c>
      <c r="B6902" t="inlineStr">
        <is>
          <t>M2</t>
        </is>
      </c>
      <c r="C6902" t="inlineStr">
        <is>
          <t>Cali</t>
        </is>
      </c>
      <c r="D6902" t="inlineStr">
        <is>
          <t>5028</t>
        </is>
      </c>
      <c r="E6902" t="inlineStr">
        <is>
          <t>pagado</t>
        </is>
      </c>
      <c r="F6902" s="23" t="n">
        <v>46273</v>
      </c>
      <c r="G6902" s="24">
        <f>F6902-DATE(2026,8,31)</f>
        <v>8</v>
      </c>
      <c r="H6902" s="25" t="n">
        <v>0</v>
      </c>
      <c r="I6902" t="inlineStr">
        <is>
          <t>entidad-dia</t>
        </is>
      </c>
    </row>
    <row r="6903">
      <c r="A6903" t="inlineStr">
        <is>
          <t>PRAGMA</t>
        </is>
      </c>
      <c r="B6903" t="inlineStr">
        <is>
          <t>M2</t>
        </is>
      </c>
      <c r="C6903" t="inlineStr">
        <is>
          <t>Cali</t>
        </is>
      </c>
      <c r="D6903" t="inlineStr">
        <is>
          <t>5028</t>
        </is>
      </c>
      <c r="E6903" t="inlineStr">
        <is>
          <t>cash_in</t>
        </is>
      </c>
      <c r="F6903" s="23" t="n">
        <v>46273</v>
      </c>
      <c r="G6903" s="24">
        <f>F6903-DATE(2026,8,31)</f>
        <v>8</v>
      </c>
      <c r="H6903" s="25" t="n">
        <v>0</v>
      </c>
      <c r="I6903" t="inlineStr">
        <is>
          <t>entidad-dia</t>
        </is>
      </c>
    </row>
    <row r="6904">
      <c r="A6904" t="inlineStr">
        <is>
          <t>PRAGMA</t>
        </is>
      </c>
      <c r="B6904" t="inlineStr">
        <is>
          <t>M2</t>
        </is>
      </c>
      <c r="C6904" t="inlineStr">
        <is>
          <t>Cali</t>
        </is>
      </c>
      <c r="D6904" t="inlineStr">
        <is>
          <t>5028</t>
        </is>
      </c>
      <c r="E6904" t="inlineStr">
        <is>
          <t>pagado</t>
        </is>
      </c>
      <c r="F6904" s="23" t="n">
        <v>46274</v>
      </c>
      <c r="G6904" s="24">
        <f>F6904-DATE(2026,8,31)</f>
        <v>9</v>
      </c>
      <c r="H6904" s="25" t="n">
        <v>0</v>
      </c>
      <c r="I6904" t="inlineStr">
        <is>
          <t>entidad-dia</t>
        </is>
      </c>
    </row>
    <row r="6905">
      <c r="A6905" t="inlineStr">
        <is>
          <t>PRAGMA</t>
        </is>
      </c>
      <c r="B6905" t="inlineStr">
        <is>
          <t>M2</t>
        </is>
      </c>
      <c r="C6905" t="inlineStr">
        <is>
          <t>Cali</t>
        </is>
      </c>
      <c r="D6905" t="inlineStr">
        <is>
          <t>5028</t>
        </is>
      </c>
      <c r="E6905" t="inlineStr">
        <is>
          <t>cash_in</t>
        </is>
      </c>
      <c r="F6905" s="23" t="n">
        <v>46274</v>
      </c>
      <c r="G6905" s="24">
        <f>F6905-DATE(2026,8,31)</f>
        <v>9</v>
      </c>
      <c r="H6905" s="25" t="n">
        <v>0</v>
      </c>
      <c r="I6905" t="inlineStr">
        <is>
          <t>entidad-dia</t>
        </is>
      </c>
    </row>
    <row r="6906">
      <c r="A6906" t="inlineStr">
        <is>
          <t>PRAGMA</t>
        </is>
      </c>
      <c r="B6906" t="inlineStr">
        <is>
          <t>M2</t>
        </is>
      </c>
      <c r="C6906" t="inlineStr">
        <is>
          <t>Cali</t>
        </is>
      </c>
      <c r="D6906" t="inlineStr">
        <is>
          <t>5028</t>
        </is>
      </c>
      <c r="E6906" t="inlineStr">
        <is>
          <t>pagado</t>
        </is>
      </c>
      <c r="F6906" s="23" t="n">
        <v>46275</v>
      </c>
      <c r="G6906" s="24">
        <f>F6906-DATE(2026,8,31)</f>
        <v>10</v>
      </c>
      <c r="H6906" s="25" t="n">
        <v>0</v>
      </c>
      <c r="I6906" t="inlineStr">
        <is>
          <t>entidad-dia</t>
        </is>
      </c>
    </row>
    <row r="6907">
      <c r="A6907" t="inlineStr">
        <is>
          <t>PRAGMA</t>
        </is>
      </c>
      <c r="B6907" t="inlineStr">
        <is>
          <t>M2</t>
        </is>
      </c>
      <c r="C6907" t="inlineStr">
        <is>
          <t>Cali</t>
        </is>
      </c>
      <c r="D6907" t="inlineStr">
        <is>
          <t>5028</t>
        </is>
      </c>
      <c r="E6907" t="inlineStr">
        <is>
          <t>cash_in</t>
        </is>
      </c>
      <c r="F6907" s="23" t="n">
        <v>46275</v>
      </c>
      <c r="G6907" s="24">
        <f>F6907-DATE(2026,8,31)</f>
        <v>10</v>
      </c>
      <c r="H6907" s="25" t="n">
        <v>0</v>
      </c>
      <c r="I6907" t="inlineStr">
        <is>
          <t>entidad-dia</t>
        </is>
      </c>
    </row>
    <row r="6908">
      <c r="A6908" t="inlineStr">
        <is>
          <t>PRAGMA</t>
        </is>
      </c>
      <c r="B6908" t="inlineStr">
        <is>
          <t>M2</t>
        </is>
      </c>
      <c r="C6908" t="inlineStr">
        <is>
          <t>Cali</t>
        </is>
      </c>
      <c r="D6908" t="inlineStr">
        <is>
          <t>5028</t>
        </is>
      </c>
      <c r="E6908" t="inlineStr">
        <is>
          <t>pagado</t>
        </is>
      </c>
      <c r="F6908" s="23" t="n">
        <v>46276</v>
      </c>
      <c r="G6908" s="24">
        <f>F6908-DATE(2026,8,31)</f>
        <v>11</v>
      </c>
      <c r="H6908" s="25" t="n">
        <v>0</v>
      </c>
      <c r="I6908" t="inlineStr">
        <is>
          <t>entidad-dia</t>
        </is>
      </c>
    </row>
    <row r="6909">
      <c r="A6909" t="inlineStr">
        <is>
          <t>PRAGMA</t>
        </is>
      </c>
      <c r="B6909" t="inlineStr">
        <is>
          <t>M2</t>
        </is>
      </c>
      <c r="C6909" t="inlineStr">
        <is>
          <t>Cali</t>
        </is>
      </c>
      <c r="D6909" t="inlineStr">
        <is>
          <t>5028</t>
        </is>
      </c>
      <c r="E6909" t="inlineStr">
        <is>
          <t>cash_in</t>
        </is>
      </c>
      <c r="F6909" s="23" t="n">
        <v>46276</v>
      </c>
      <c r="G6909" s="24">
        <f>F6909-DATE(2026,8,31)</f>
        <v>11</v>
      </c>
      <c r="H6909" s="25" t="n">
        <v>0</v>
      </c>
      <c r="I6909" t="inlineStr">
        <is>
          <t>entidad-dia</t>
        </is>
      </c>
    </row>
    <row r="6910">
      <c r="A6910" t="inlineStr">
        <is>
          <t>PRAGMA</t>
        </is>
      </c>
      <c r="B6910" t="inlineStr">
        <is>
          <t>M2</t>
        </is>
      </c>
      <c r="C6910" t="inlineStr">
        <is>
          <t>Cali</t>
        </is>
      </c>
      <c r="D6910" t="inlineStr">
        <is>
          <t>5028</t>
        </is>
      </c>
      <c r="E6910" t="inlineStr">
        <is>
          <t>pagado</t>
        </is>
      </c>
      <c r="F6910" s="23" t="n">
        <v>46277</v>
      </c>
      <c r="G6910" s="24">
        <f>F6910-DATE(2026,8,31)</f>
        <v>12</v>
      </c>
      <c r="H6910" s="25" t="n">
        <v>0</v>
      </c>
      <c r="I6910" t="inlineStr">
        <is>
          <t>entidad-dia</t>
        </is>
      </c>
    </row>
    <row r="6911">
      <c r="A6911" t="inlineStr">
        <is>
          <t>PRAGMA</t>
        </is>
      </c>
      <c r="B6911" t="inlineStr">
        <is>
          <t>M2</t>
        </is>
      </c>
      <c r="C6911" t="inlineStr">
        <is>
          <t>Cali</t>
        </is>
      </c>
      <c r="D6911" t="inlineStr">
        <is>
          <t>5028</t>
        </is>
      </c>
      <c r="E6911" t="inlineStr">
        <is>
          <t>cash_in</t>
        </is>
      </c>
      <c r="F6911" s="23" t="n">
        <v>46277</v>
      </c>
      <c r="G6911" s="24">
        <f>F6911-DATE(2026,8,31)</f>
        <v>12</v>
      </c>
      <c r="H6911" s="25" t="n">
        <v>0</v>
      </c>
      <c r="I6911" t="inlineStr">
        <is>
          <t>entidad-dia</t>
        </is>
      </c>
    </row>
    <row r="6912">
      <c r="A6912" t="inlineStr">
        <is>
          <t>PRAGMA</t>
        </is>
      </c>
      <c r="B6912" t="inlineStr">
        <is>
          <t>M2</t>
        </is>
      </c>
      <c r="C6912" t="inlineStr">
        <is>
          <t>Cali</t>
        </is>
      </c>
      <c r="D6912" t="inlineStr">
        <is>
          <t>5028</t>
        </is>
      </c>
      <c r="E6912" t="inlineStr">
        <is>
          <t>pagado</t>
        </is>
      </c>
      <c r="F6912" s="23" t="n">
        <v>46278</v>
      </c>
      <c r="G6912" s="24">
        <f>F6912-DATE(2026,8,31)</f>
        <v>13</v>
      </c>
      <c r="H6912" s="25" t="n">
        <v>0</v>
      </c>
      <c r="I6912" t="inlineStr">
        <is>
          <t>entidad-dia</t>
        </is>
      </c>
    </row>
    <row r="6913">
      <c r="A6913" t="inlineStr">
        <is>
          <t>PRAGMA</t>
        </is>
      </c>
      <c r="B6913" t="inlineStr">
        <is>
          <t>M2</t>
        </is>
      </c>
      <c r="C6913" t="inlineStr">
        <is>
          <t>Cali</t>
        </is>
      </c>
      <c r="D6913" t="inlineStr">
        <is>
          <t>5028</t>
        </is>
      </c>
      <c r="E6913" t="inlineStr">
        <is>
          <t>cash_in</t>
        </is>
      </c>
      <c r="F6913" s="23" t="n">
        <v>46278</v>
      </c>
      <c r="G6913" s="24">
        <f>F6913-DATE(2026,8,31)</f>
        <v>13</v>
      </c>
      <c r="H6913" s="25" t="n">
        <v>0</v>
      </c>
      <c r="I6913" t="inlineStr">
        <is>
          <t>entidad-dia</t>
        </is>
      </c>
    </row>
    <row r="6914">
      <c r="A6914" t="inlineStr">
        <is>
          <t>PRAGMA</t>
        </is>
      </c>
      <c r="B6914" t="inlineStr">
        <is>
          <t>M2</t>
        </is>
      </c>
      <c r="C6914" t="inlineStr">
        <is>
          <t>Cali</t>
        </is>
      </c>
      <c r="D6914" t="inlineStr">
        <is>
          <t>5028</t>
        </is>
      </c>
      <c r="E6914" t="inlineStr">
        <is>
          <t>pagado</t>
        </is>
      </c>
      <c r="F6914" s="23" t="n">
        <v>46279</v>
      </c>
      <c r="G6914" s="24">
        <f>F6914-DATE(2026,8,31)</f>
        <v>14</v>
      </c>
      <c r="H6914" s="25" t="n">
        <v>0</v>
      </c>
      <c r="I6914" t="inlineStr">
        <is>
          <t>entidad-dia</t>
        </is>
      </c>
    </row>
    <row r="6915">
      <c r="A6915" t="inlineStr">
        <is>
          <t>PRAGMA</t>
        </is>
      </c>
      <c r="B6915" t="inlineStr">
        <is>
          <t>M2</t>
        </is>
      </c>
      <c r="C6915" t="inlineStr">
        <is>
          <t>Cali</t>
        </is>
      </c>
      <c r="D6915" t="inlineStr">
        <is>
          <t>5028</t>
        </is>
      </c>
      <c r="E6915" t="inlineStr">
        <is>
          <t>cash_in</t>
        </is>
      </c>
      <c r="F6915" s="23" t="n">
        <v>46279</v>
      </c>
      <c r="G6915" s="24">
        <f>F6915-DATE(2026,8,31)</f>
        <v>14</v>
      </c>
      <c r="H6915" s="25" t="n">
        <v>0</v>
      </c>
      <c r="I6915" t="inlineStr">
        <is>
          <t>entidad-dia</t>
        </is>
      </c>
    </row>
    <row r="6916">
      <c r="A6916" t="inlineStr">
        <is>
          <t>PRAGMA</t>
        </is>
      </c>
      <c r="B6916" t="inlineStr">
        <is>
          <t>M2</t>
        </is>
      </c>
      <c r="C6916" t="inlineStr">
        <is>
          <t>Cali</t>
        </is>
      </c>
      <c r="D6916" t="inlineStr">
        <is>
          <t>5028</t>
        </is>
      </c>
      <c r="E6916" t="inlineStr">
        <is>
          <t>pagado</t>
        </is>
      </c>
      <c r="F6916" s="23" t="n">
        <v>46280</v>
      </c>
      <c r="G6916" s="24">
        <f>F6916-DATE(2026,8,31)</f>
        <v>15</v>
      </c>
      <c r="H6916" s="25" t="n">
        <v>0</v>
      </c>
      <c r="I6916" t="inlineStr">
        <is>
          <t>entidad-dia</t>
        </is>
      </c>
    </row>
    <row r="6917">
      <c r="A6917" t="inlineStr">
        <is>
          <t>PRAGMA</t>
        </is>
      </c>
      <c r="B6917" t="inlineStr">
        <is>
          <t>M2</t>
        </is>
      </c>
      <c r="C6917" t="inlineStr">
        <is>
          <t>Cali</t>
        </is>
      </c>
      <c r="D6917" t="inlineStr">
        <is>
          <t>5028</t>
        </is>
      </c>
      <c r="E6917" t="inlineStr">
        <is>
          <t>cash_in</t>
        </is>
      </c>
      <c r="F6917" s="23" t="n">
        <v>46280</v>
      </c>
      <c r="G6917" s="24">
        <f>F6917-DATE(2026,8,31)</f>
        <v>15</v>
      </c>
      <c r="H6917" s="25" t="n">
        <v>0</v>
      </c>
      <c r="I6917" t="inlineStr">
        <is>
          <t>entidad-dia</t>
        </is>
      </c>
    </row>
    <row r="6918">
      <c r="A6918" t="inlineStr">
        <is>
          <t>PRAGMA</t>
        </is>
      </c>
      <c r="B6918" t="inlineStr">
        <is>
          <t>M2</t>
        </is>
      </c>
      <c r="C6918" t="inlineStr">
        <is>
          <t>Pasto</t>
        </is>
      </c>
      <c r="D6918" t="inlineStr">
        <is>
          <t>5050</t>
        </is>
      </c>
      <c r="E6918" t="inlineStr">
        <is>
          <t>pagado</t>
        </is>
      </c>
      <c r="F6918" s="23" t="n">
        <v>46266</v>
      </c>
      <c r="G6918" s="24">
        <f>F6918-DATE(2026,8,31)</f>
        <v>1</v>
      </c>
      <c r="H6918" s="25" t="n">
        <v>39856633</v>
      </c>
      <c r="I6918" t="inlineStr">
        <is>
          <t>entidad-dia</t>
        </is>
      </c>
    </row>
    <row r="6919">
      <c r="A6919" t="inlineStr">
        <is>
          <t>PRAGMA</t>
        </is>
      </c>
      <c r="B6919" t="inlineStr">
        <is>
          <t>M2</t>
        </is>
      </c>
      <c r="C6919" t="inlineStr">
        <is>
          <t>Pasto</t>
        </is>
      </c>
      <c r="D6919" t="inlineStr">
        <is>
          <t>5050</t>
        </is>
      </c>
      <c r="E6919" t="inlineStr">
        <is>
          <t>cash_in</t>
        </is>
      </c>
      <c r="F6919" s="23" t="n">
        <v>46266</v>
      </c>
      <c r="G6919" s="24">
        <f>F6919-DATE(2026,8,31)</f>
        <v>1</v>
      </c>
      <c r="H6919" s="25" t="n">
        <v>383167472</v>
      </c>
      <c r="I6919" t="inlineStr">
        <is>
          <t>entidad-dia</t>
        </is>
      </c>
    </row>
    <row r="6920">
      <c r="A6920" t="inlineStr">
        <is>
          <t>PRAGMA</t>
        </is>
      </c>
      <c r="B6920" t="inlineStr">
        <is>
          <t>M2</t>
        </is>
      </c>
      <c r="C6920" t="inlineStr">
        <is>
          <t>Pasto</t>
        </is>
      </c>
      <c r="D6920" t="inlineStr">
        <is>
          <t>5050</t>
        </is>
      </c>
      <c r="E6920" t="inlineStr">
        <is>
          <t>pagado</t>
        </is>
      </c>
      <c r="F6920" s="23" t="n">
        <v>46267</v>
      </c>
      <c r="G6920" s="24">
        <f>F6920-DATE(2026,8,31)</f>
        <v>2</v>
      </c>
      <c r="H6920" s="25" t="n">
        <v>33887615</v>
      </c>
      <c r="I6920" t="inlineStr">
        <is>
          <t>entidad-dia</t>
        </is>
      </c>
    </row>
    <row r="6921">
      <c r="A6921" t="inlineStr">
        <is>
          <t>PRAGMA</t>
        </is>
      </c>
      <c r="B6921" t="inlineStr">
        <is>
          <t>M2</t>
        </is>
      </c>
      <c r="C6921" t="inlineStr">
        <is>
          <t>Pasto</t>
        </is>
      </c>
      <c r="D6921" t="inlineStr">
        <is>
          <t>5050</t>
        </is>
      </c>
      <c r="E6921" t="inlineStr">
        <is>
          <t>cash_in</t>
        </is>
      </c>
      <c r="F6921" s="23" t="n">
        <v>46267</v>
      </c>
      <c r="G6921" s="24">
        <f>F6921-DATE(2026,8,31)</f>
        <v>2</v>
      </c>
      <c r="H6921" s="25" t="n">
        <v>328842006</v>
      </c>
      <c r="I6921" t="inlineStr">
        <is>
          <t>entidad-dia</t>
        </is>
      </c>
    </row>
    <row r="6922">
      <c r="A6922" t="inlineStr">
        <is>
          <t>PRAGMA</t>
        </is>
      </c>
      <c r="B6922" t="inlineStr">
        <is>
          <t>M2</t>
        </is>
      </c>
      <c r="C6922" t="inlineStr">
        <is>
          <t>Pasto</t>
        </is>
      </c>
      <c r="D6922" t="inlineStr">
        <is>
          <t>5050</t>
        </is>
      </c>
      <c r="E6922" t="inlineStr">
        <is>
          <t>pagado</t>
        </is>
      </c>
      <c r="F6922" s="23" t="n">
        <v>46268</v>
      </c>
      <c r="G6922" s="24">
        <f>F6922-DATE(2026,8,31)</f>
        <v>3</v>
      </c>
      <c r="H6922" s="25" t="n">
        <v>30860752</v>
      </c>
      <c r="I6922" t="inlineStr">
        <is>
          <t>entidad-dia</t>
        </is>
      </c>
    </row>
    <row r="6923">
      <c r="A6923" t="inlineStr">
        <is>
          <t>PRAGMA</t>
        </is>
      </c>
      <c r="B6923" t="inlineStr">
        <is>
          <t>M2</t>
        </is>
      </c>
      <c r="C6923" t="inlineStr">
        <is>
          <t>Pasto</t>
        </is>
      </c>
      <c r="D6923" t="inlineStr">
        <is>
          <t>5050</t>
        </is>
      </c>
      <c r="E6923" t="inlineStr">
        <is>
          <t>cash_in</t>
        </is>
      </c>
      <c r="F6923" s="23" t="n">
        <v>46268</v>
      </c>
      <c r="G6923" s="24">
        <f>F6923-DATE(2026,8,31)</f>
        <v>3</v>
      </c>
      <c r="H6923" s="25" t="n">
        <v>333958090</v>
      </c>
      <c r="I6923" t="inlineStr">
        <is>
          <t>entidad-dia</t>
        </is>
      </c>
    </row>
    <row r="6924">
      <c r="A6924" t="inlineStr">
        <is>
          <t>PRAGMA</t>
        </is>
      </c>
      <c r="B6924" t="inlineStr">
        <is>
          <t>M2</t>
        </is>
      </c>
      <c r="C6924" t="inlineStr">
        <is>
          <t>Pasto</t>
        </is>
      </c>
      <c r="D6924" t="inlineStr">
        <is>
          <t>5050</t>
        </is>
      </c>
      <c r="E6924" t="inlineStr">
        <is>
          <t>pagado</t>
        </is>
      </c>
      <c r="F6924" s="23" t="n">
        <v>46269</v>
      </c>
      <c r="G6924" s="24">
        <f>F6924-DATE(2026,8,31)</f>
        <v>4</v>
      </c>
      <c r="H6924" s="25" t="n">
        <v>32022968</v>
      </c>
      <c r="I6924" t="inlineStr">
        <is>
          <t>entidad-dia</t>
        </is>
      </c>
    </row>
    <row r="6925">
      <c r="A6925" t="inlineStr">
        <is>
          <t>PRAGMA</t>
        </is>
      </c>
      <c r="B6925" t="inlineStr">
        <is>
          <t>M2</t>
        </is>
      </c>
      <c r="C6925" t="inlineStr">
        <is>
          <t>Pasto</t>
        </is>
      </c>
      <c r="D6925" t="inlineStr">
        <is>
          <t>5050</t>
        </is>
      </c>
      <c r="E6925" t="inlineStr">
        <is>
          <t>cash_in</t>
        </is>
      </c>
      <c r="F6925" s="23" t="n">
        <v>46269</v>
      </c>
      <c r="G6925" s="24">
        <f>F6925-DATE(2026,8,31)</f>
        <v>4</v>
      </c>
      <c r="H6925" s="25" t="n">
        <v>344247851</v>
      </c>
      <c r="I6925" t="inlineStr">
        <is>
          <t>entidad-dia</t>
        </is>
      </c>
    </row>
    <row r="6926">
      <c r="A6926" t="inlineStr">
        <is>
          <t>PRAGMA</t>
        </is>
      </c>
      <c r="B6926" t="inlineStr">
        <is>
          <t>M2</t>
        </is>
      </c>
      <c r="C6926" t="inlineStr">
        <is>
          <t>Pasto</t>
        </is>
      </c>
      <c r="D6926" t="inlineStr">
        <is>
          <t>5050</t>
        </is>
      </c>
      <c r="E6926" t="inlineStr">
        <is>
          <t>pagado</t>
        </is>
      </c>
      <c r="F6926" s="23" t="n">
        <v>46270</v>
      </c>
      <c r="G6926" s="24">
        <f>F6926-DATE(2026,8,31)</f>
        <v>5</v>
      </c>
      <c r="H6926" s="25" t="n">
        <v>33606779</v>
      </c>
      <c r="I6926" t="inlineStr">
        <is>
          <t>entidad-dia</t>
        </is>
      </c>
    </row>
    <row r="6927">
      <c r="A6927" t="inlineStr">
        <is>
          <t>PRAGMA</t>
        </is>
      </c>
      <c r="B6927" t="inlineStr">
        <is>
          <t>M2</t>
        </is>
      </c>
      <c r="C6927" t="inlineStr">
        <is>
          <t>Pasto</t>
        </is>
      </c>
      <c r="D6927" t="inlineStr">
        <is>
          <t>5050</t>
        </is>
      </c>
      <c r="E6927" t="inlineStr">
        <is>
          <t>cash_in</t>
        </is>
      </c>
      <c r="F6927" s="23" t="n">
        <v>46270</v>
      </c>
      <c r="G6927" s="24">
        <f>F6927-DATE(2026,8,31)</f>
        <v>5</v>
      </c>
      <c r="H6927" s="25" t="n">
        <v>295142856</v>
      </c>
      <c r="I6927" t="inlineStr">
        <is>
          <t>entidad-dia</t>
        </is>
      </c>
    </row>
    <row r="6928">
      <c r="A6928" t="inlineStr">
        <is>
          <t>PRAGMA</t>
        </is>
      </c>
      <c r="B6928" t="inlineStr">
        <is>
          <t>M2</t>
        </is>
      </c>
      <c r="C6928" t="inlineStr">
        <is>
          <t>Pasto</t>
        </is>
      </c>
      <c r="D6928" t="inlineStr">
        <is>
          <t>5050</t>
        </is>
      </c>
      <c r="E6928" t="inlineStr">
        <is>
          <t>pagado</t>
        </is>
      </c>
      <c r="F6928" s="23" t="n">
        <v>46271</v>
      </c>
      <c r="G6928" s="24">
        <f>F6928-DATE(2026,8,31)</f>
        <v>6</v>
      </c>
      <c r="H6928" s="25" t="n">
        <v>22979868</v>
      </c>
      <c r="I6928" t="inlineStr">
        <is>
          <t>entidad-dia</t>
        </is>
      </c>
    </row>
    <row r="6929">
      <c r="A6929" t="inlineStr">
        <is>
          <t>PRAGMA</t>
        </is>
      </c>
      <c r="B6929" t="inlineStr">
        <is>
          <t>M2</t>
        </is>
      </c>
      <c r="C6929" t="inlineStr">
        <is>
          <t>Pasto</t>
        </is>
      </c>
      <c r="D6929" t="inlineStr">
        <is>
          <t>5050</t>
        </is>
      </c>
      <c r="E6929" t="inlineStr">
        <is>
          <t>cash_in</t>
        </is>
      </c>
      <c r="F6929" s="23" t="n">
        <v>46271</v>
      </c>
      <c r="G6929" s="24">
        <f>F6929-DATE(2026,8,31)</f>
        <v>6</v>
      </c>
      <c r="H6929" s="25" t="n">
        <v>86205944</v>
      </c>
      <c r="I6929" t="inlineStr">
        <is>
          <t>entidad-dia</t>
        </is>
      </c>
    </row>
    <row r="6930">
      <c r="A6930" t="inlineStr">
        <is>
          <t>PRAGMA</t>
        </is>
      </c>
      <c r="B6930" t="inlineStr">
        <is>
          <t>M2</t>
        </is>
      </c>
      <c r="C6930" t="inlineStr">
        <is>
          <t>Pasto</t>
        </is>
      </c>
      <c r="D6930" t="inlineStr">
        <is>
          <t>5050</t>
        </is>
      </c>
      <c r="E6930" t="inlineStr">
        <is>
          <t>pagado</t>
        </is>
      </c>
      <c r="F6930" s="23" t="n">
        <v>46272</v>
      </c>
      <c r="G6930" s="24">
        <f>F6930-DATE(2026,8,31)</f>
        <v>7</v>
      </c>
      <c r="H6930" s="25" t="n">
        <v>28084073</v>
      </c>
      <c r="I6930" t="inlineStr">
        <is>
          <t>entidad-dia</t>
        </is>
      </c>
    </row>
    <row r="6931">
      <c r="A6931" t="inlineStr">
        <is>
          <t>PRAGMA</t>
        </is>
      </c>
      <c r="B6931" t="inlineStr">
        <is>
          <t>M2</t>
        </is>
      </c>
      <c r="C6931" t="inlineStr">
        <is>
          <t>Pasto</t>
        </is>
      </c>
      <c r="D6931" t="inlineStr">
        <is>
          <t>5050</t>
        </is>
      </c>
      <c r="E6931" t="inlineStr">
        <is>
          <t>cash_in</t>
        </is>
      </c>
      <c r="F6931" s="23" t="n">
        <v>46272</v>
      </c>
      <c r="G6931" s="24">
        <f>F6931-DATE(2026,8,31)</f>
        <v>7</v>
      </c>
      <c r="H6931" s="25" t="n">
        <v>370178917</v>
      </c>
      <c r="I6931" t="inlineStr">
        <is>
          <t>entidad-dia</t>
        </is>
      </c>
    </row>
    <row r="6932">
      <c r="A6932" t="inlineStr">
        <is>
          <t>PRAGMA</t>
        </is>
      </c>
      <c r="B6932" t="inlineStr">
        <is>
          <t>M2</t>
        </is>
      </c>
      <c r="C6932" t="inlineStr">
        <is>
          <t>Pasto</t>
        </is>
      </c>
      <c r="D6932" t="inlineStr">
        <is>
          <t>5050</t>
        </is>
      </c>
      <c r="E6932" t="inlineStr">
        <is>
          <t>pagado</t>
        </is>
      </c>
      <c r="F6932" s="23" t="n">
        <v>46273</v>
      </c>
      <c r="G6932" s="24">
        <f>F6932-DATE(2026,8,31)</f>
        <v>8</v>
      </c>
      <c r="H6932" s="25" t="n">
        <v>27326351</v>
      </c>
      <c r="I6932" t="inlineStr">
        <is>
          <t>entidad-dia</t>
        </is>
      </c>
    </row>
    <row r="6933">
      <c r="A6933" t="inlineStr">
        <is>
          <t>PRAGMA</t>
        </is>
      </c>
      <c r="B6933" t="inlineStr">
        <is>
          <t>M2</t>
        </is>
      </c>
      <c r="C6933" t="inlineStr">
        <is>
          <t>Pasto</t>
        </is>
      </c>
      <c r="D6933" t="inlineStr">
        <is>
          <t>5050</t>
        </is>
      </c>
      <c r="E6933" t="inlineStr">
        <is>
          <t>cash_in</t>
        </is>
      </c>
      <c r="F6933" s="23" t="n">
        <v>46273</v>
      </c>
      <c r="G6933" s="24">
        <f>F6933-DATE(2026,8,31)</f>
        <v>8</v>
      </c>
      <c r="H6933" s="25" t="n">
        <v>344128877</v>
      </c>
      <c r="I6933" t="inlineStr">
        <is>
          <t>entidad-dia</t>
        </is>
      </c>
    </row>
    <row r="6934">
      <c r="A6934" t="inlineStr">
        <is>
          <t>PRAGMA</t>
        </is>
      </c>
      <c r="B6934" t="inlineStr">
        <is>
          <t>M2</t>
        </is>
      </c>
      <c r="C6934" t="inlineStr">
        <is>
          <t>Pasto</t>
        </is>
      </c>
      <c r="D6934" t="inlineStr">
        <is>
          <t>5050</t>
        </is>
      </c>
      <c r="E6934" t="inlineStr">
        <is>
          <t>pagado</t>
        </is>
      </c>
      <c r="F6934" s="23" t="n">
        <v>46274</v>
      </c>
      <c r="G6934" s="24">
        <f>F6934-DATE(2026,8,31)</f>
        <v>9</v>
      </c>
      <c r="H6934" s="25" t="n">
        <v>24376529</v>
      </c>
      <c r="I6934" t="inlineStr">
        <is>
          <t>entidad-dia</t>
        </is>
      </c>
    </row>
    <row r="6935">
      <c r="A6935" t="inlineStr">
        <is>
          <t>PRAGMA</t>
        </is>
      </c>
      <c r="B6935" t="inlineStr">
        <is>
          <t>M2</t>
        </is>
      </c>
      <c r="C6935" t="inlineStr">
        <is>
          <t>Pasto</t>
        </is>
      </c>
      <c r="D6935" t="inlineStr">
        <is>
          <t>5050</t>
        </is>
      </c>
      <c r="E6935" t="inlineStr">
        <is>
          <t>cash_in</t>
        </is>
      </c>
      <c r="F6935" s="23" t="n">
        <v>46274</v>
      </c>
      <c r="G6935" s="24">
        <f>F6935-DATE(2026,8,31)</f>
        <v>9</v>
      </c>
      <c r="H6935" s="25" t="n">
        <v>314935906</v>
      </c>
      <c r="I6935" t="inlineStr">
        <is>
          <t>entidad-dia</t>
        </is>
      </c>
    </row>
    <row r="6936">
      <c r="A6936" t="inlineStr">
        <is>
          <t>PRAGMA</t>
        </is>
      </c>
      <c r="B6936" t="inlineStr">
        <is>
          <t>M2</t>
        </is>
      </c>
      <c r="C6936" t="inlineStr">
        <is>
          <t>Pasto</t>
        </is>
      </c>
      <c r="D6936" t="inlineStr">
        <is>
          <t>5050</t>
        </is>
      </c>
      <c r="E6936" t="inlineStr">
        <is>
          <t>pagado</t>
        </is>
      </c>
      <c r="F6936" s="23" t="n">
        <v>46275</v>
      </c>
      <c r="G6936" s="24">
        <f>F6936-DATE(2026,8,31)</f>
        <v>10</v>
      </c>
      <c r="H6936" s="25" t="n">
        <v>23068342</v>
      </c>
      <c r="I6936" t="inlineStr">
        <is>
          <t>entidad-dia</t>
        </is>
      </c>
    </row>
    <row r="6937">
      <c r="A6937" t="inlineStr">
        <is>
          <t>PRAGMA</t>
        </is>
      </c>
      <c r="B6937" t="inlineStr">
        <is>
          <t>M2</t>
        </is>
      </c>
      <c r="C6937" t="inlineStr">
        <is>
          <t>Pasto</t>
        </is>
      </c>
      <c r="D6937" t="inlineStr">
        <is>
          <t>5050</t>
        </is>
      </c>
      <c r="E6937" t="inlineStr">
        <is>
          <t>cash_in</t>
        </is>
      </c>
      <c r="F6937" s="23" t="n">
        <v>46275</v>
      </c>
      <c r="G6937" s="24">
        <f>F6937-DATE(2026,8,31)</f>
        <v>10</v>
      </c>
      <c r="H6937" s="25" t="n">
        <v>316555258</v>
      </c>
      <c r="I6937" t="inlineStr">
        <is>
          <t>entidad-dia</t>
        </is>
      </c>
    </row>
    <row r="6938">
      <c r="A6938" t="inlineStr">
        <is>
          <t>PRAGMA</t>
        </is>
      </c>
      <c r="B6938" t="inlineStr">
        <is>
          <t>M2</t>
        </is>
      </c>
      <c r="C6938" t="inlineStr">
        <is>
          <t>Pasto</t>
        </is>
      </c>
      <c r="D6938" t="inlineStr">
        <is>
          <t>5050</t>
        </is>
      </c>
      <c r="E6938" t="inlineStr">
        <is>
          <t>pagado</t>
        </is>
      </c>
      <c r="F6938" s="23" t="n">
        <v>46276</v>
      </c>
      <c r="G6938" s="24">
        <f>F6938-DATE(2026,8,31)</f>
        <v>11</v>
      </c>
      <c r="H6938" s="25" t="n">
        <v>25099076</v>
      </c>
      <c r="I6938" t="inlineStr">
        <is>
          <t>entidad-dia</t>
        </is>
      </c>
    </row>
    <row r="6939">
      <c r="A6939" t="inlineStr">
        <is>
          <t>PRAGMA</t>
        </is>
      </c>
      <c r="B6939" t="inlineStr">
        <is>
          <t>M2</t>
        </is>
      </c>
      <c r="C6939" t="inlineStr">
        <is>
          <t>Pasto</t>
        </is>
      </c>
      <c r="D6939" t="inlineStr">
        <is>
          <t>5050</t>
        </is>
      </c>
      <c r="E6939" t="inlineStr">
        <is>
          <t>cash_in</t>
        </is>
      </c>
      <c r="F6939" s="23" t="n">
        <v>46276</v>
      </c>
      <c r="G6939" s="24">
        <f>F6939-DATE(2026,8,31)</f>
        <v>11</v>
      </c>
      <c r="H6939" s="25" t="n">
        <v>314426092</v>
      </c>
      <c r="I6939" t="inlineStr">
        <is>
          <t>entidad-dia</t>
        </is>
      </c>
    </row>
    <row r="6940">
      <c r="A6940" t="inlineStr">
        <is>
          <t>PRAGMA</t>
        </is>
      </c>
      <c r="B6940" t="inlineStr">
        <is>
          <t>M2</t>
        </is>
      </c>
      <c r="C6940" t="inlineStr">
        <is>
          <t>Pasto</t>
        </is>
      </c>
      <c r="D6940" t="inlineStr">
        <is>
          <t>5050</t>
        </is>
      </c>
      <c r="E6940" t="inlineStr">
        <is>
          <t>pagado</t>
        </is>
      </c>
      <c r="F6940" s="23" t="n">
        <v>46277</v>
      </c>
      <c r="G6940" s="24">
        <f>F6940-DATE(2026,8,31)</f>
        <v>12</v>
      </c>
      <c r="H6940" s="25" t="n">
        <v>26836630</v>
      </c>
      <c r="I6940" t="inlineStr">
        <is>
          <t>entidad-dia</t>
        </is>
      </c>
    </row>
    <row r="6941">
      <c r="A6941" t="inlineStr">
        <is>
          <t>PRAGMA</t>
        </is>
      </c>
      <c r="B6941" t="inlineStr">
        <is>
          <t>M2</t>
        </is>
      </c>
      <c r="C6941" t="inlineStr">
        <is>
          <t>Pasto</t>
        </is>
      </c>
      <c r="D6941" t="inlineStr">
        <is>
          <t>5050</t>
        </is>
      </c>
      <c r="E6941" t="inlineStr">
        <is>
          <t>cash_in</t>
        </is>
      </c>
      <c r="F6941" s="23" t="n">
        <v>46277</v>
      </c>
      <c r="G6941" s="24">
        <f>F6941-DATE(2026,8,31)</f>
        <v>12</v>
      </c>
      <c r="H6941" s="25" t="n">
        <v>266027679</v>
      </c>
      <c r="I6941" t="inlineStr">
        <is>
          <t>entidad-dia</t>
        </is>
      </c>
    </row>
    <row r="6942">
      <c r="A6942" t="inlineStr">
        <is>
          <t>PRAGMA</t>
        </is>
      </c>
      <c r="B6942" t="inlineStr">
        <is>
          <t>M2</t>
        </is>
      </c>
      <c r="C6942" t="inlineStr">
        <is>
          <t>Pasto</t>
        </is>
      </c>
      <c r="D6942" t="inlineStr">
        <is>
          <t>5050</t>
        </is>
      </c>
      <c r="E6942" t="inlineStr">
        <is>
          <t>pagado</t>
        </is>
      </c>
      <c r="F6942" s="23" t="n">
        <v>46278</v>
      </c>
      <c r="G6942" s="24">
        <f>F6942-DATE(2026,8,31)</f>
        <v>13</v>
      </c>
      <c r="H6942" s="25" t="n">
        <v>19131102</v>
      </c>
      <c r="I6942" t="inlineStr">
        <is>
          <t>entidad-dia</t>
        </is>
      </c>
    </row>
    <row r="6943">
      <c r="A6943" t="inlineStr">
        <is>
          <t>PRAGMA</t>
        </is>
      </c>
      <c r="B6943" t="inlineStr">
        <is>
          <t>M2</t>
        </is>
      </c>
      <c r="C6943" t="inlineStr">
        <is>
          <t>Pasto</t>
        </is>
      </c>
      <c r="D6943" t="inlineStr">
        <is>
          <t>5050</t>
        </is>
      </c>
      <c r="E6943" t="inlineStr">
        <is>
          <t>cash_in</t>
        </is>
      </c>
      <c r="F6943" s="23" t="n">
        <v>46278</v>
      </c>
      <c r="G6943" s="24">
        <f>F6943-DATE(2026,8,31)</f>
        <v>13</v>
      </c>
      <c r="H6943" s="25" t="n">
        <v>80701608</v>
      </c>
      <c r="I6943" t="inlineStr">
        <is>
          <t>entidad-dia</t>
        </is>
      </c>
    </row>
    <row r="6944">
      <c r="A6944" t="inlineStr">
        <is>
          <t>PRAGMA</t>
        </is>
      </c>
      <c r="B6944" t="inlineStr">
        <is>
          <t>M2</t>
        </is>
      </c>
      <c r="C6944" t="inlineStr">
        <is>
          <t>Pasto</t>
        </is>
      </c>
      <c r="D6944" t="inlineStr">
        <is>
          <t>5050</t>
        </is>
      </c>
      <c r="E6944" t="inlineStr">
        <is>
          <t>pagado</t>
        </is>
      </c>
      <c r="F6944" s="23" t="n">
        <v>46279</v>
      </c>
      <c r="G6944" s="24">
        <f>F6944-DATE(2026,8,31)</f>
        <v>14</v>
      </c>
      <c r="H6944" s="25" t="n">
        <v>22594495</v>
      </c>
      <c r="I6944" t="inlineStr">
        <is>
          <t>entidad-dia</t>
        </is>
      </c>
    </row>
    <row r="6945">
      <c r="A6945" t="inlineStr">
        <is>
          <t>PRAGMA</t>
        </is>
      </c>
      <c r="B6945" t="inlineStr">
        <is>
          <t>M2</t>
        </is>
      </c>
      <c r="C6945" t="inlineStr">
        <is>
          <t>Pasto</t>
        </is>
      </c>
      <c r="D6945" t="inlineStr">
        <is>
          <t>5050</t>
        </is>
      </c>
      <c r="E6945" t="inlineStr">
        <is>
          <t>cash_in</t>
        </is>
      </c>
      <c r="F6945" s="23" t="n">
        <v>46279</v>
      </c>
      <c r="G6945" s="24">
        <f>F6945-DATE(2026,8,31)</f>
        <v>14</v>
      </c>
      <c r="H6945" s="25" t="n">
        <v>331722619</v>
      </c>
      <c r="I6945" t="inlineStr">
        <is>
          <t>entidad-dia</t>
        </is>
      </c>
    </row>
    <row r="6946">
      <c r="A6946" t="inlineStr">
        <is>
          <t>PRAGMA</t>
        </is>
      </c>
      <c r="B6946" t="inlineStr">
        <is>
          <t>M2</t>
        </is>
      </c>
      <c r="C6946" t="inlineStr">
        <is>
          <t>Pasto</t>
        </is>
      </c>
      <c r="D6946" t="inlineStr">
        <is>
          <t>5050</t>
        </is>
      </c>
      <c r="E6946" t="inlineStr">
        <is>
          <t>pagado</t>
        </is>
      </c>
      <c r="F6946" s="23" t="n">
        <v>46280</v>
      </c>
      <c r="G6946" s="24">
        <f>F6946-DATE(2026,8,31)</f>
        <v>15</v>
      </c>
      <c r="H6946" s="25" t="n">
        <v>28069772</v>
      </c>
      <c r="I6946" t="inlineStr">
        <is>
          <t>entidad-dia</t>
        </is>
      </c>
    </row>
    <row r="6947">
      <c r="A6947" t="inlineStr">
        <is>
          <t>PRAGMA</t>
        </is>
      </c>
      <c r="B6947" t="inlineStr">
        <is>
          <t>M2</t>
        </is>
      </c>
      <c r="C6947" t="inlineStr">
        <is>
          <t>Pasto</t>
        </is>
      </c>
      <c r="D6947" t="inlineStr">
        <is>
          <t>5050</t>
        </is>
      </c>
      <c r="E6947" t="inlineStr">
        <is>
          <t>cash_in</t>
        </is>
      </c>
      <c r="F6947" s="23" t="n">
        <v>46280</v>
      </c>
      <c r="G6947" s="24">
        <f>F6947-DATE(2026,8,31)</f>
        <v>15</v>
      </c>
      <c r="H6947" s="25" t="n">
        <v>344063327</v>
      </c>
      <c r="I6947" t="inlineStr">
        <is>
          <t>entidad-dia</t>
        </is>
      </c>
    </row>
    <row r="6948">
      <c r="A6948" t="inlineStr">
        <is>
          <t>PRAGMA</t>
        </is>
      </c>
      <c r="B6948" t="inlineStr">
        <is>
          <t>M2</t>
        </is>
      </c>
      <c r="C6948" t="inlineStr">
        <is>
          <t>Cali</t>
        </is>
      </c>
      <c r="D6948" t="inlineStr">
        <is>
          <t>5088</t>
        </is>
      </c>
      <c r="E6948" t="inlineStr">
        <is>
          <t>pagado</t>
        </is>
      </c>
      <c r="F6948" s="23" t="n">
        <v>46266</v>
      </c>
      <c r="G6948" s="24">
        <f>F6948-DATE(2026,8,31)</f>
        <v>1</v>
      </c>
      <c r="H6948" s="25" t="n">
        <v>72265888</v>
      </c>
      <c r="I6948" t="inlineStr">
        <is>
          <t>entidad-dia</t>
        </is>
      </c>
    </row>
    <row r="6949">
      <c r="A6949" t="inlineStr">
        <is>
          <t>PRAGMA</t>
        </is>
      </c>
      <c r="B6949" t="inlineStr">
        <is>
          <t>M2</t>
        </is>
      </c>
      <c r="C6949" t="inlineStr">
        <is>
          <t>Cali</t>
        </is>
      </c>
      <c r="D6949" t="inlineStr">
        <is>
          <t>5088</t>
        </is>
      </c>
      <c r="E6949" t="inlineStr">
        <is>
          <t>cash_in</t>
        </is>
      </c>
      <c r="F6949" s="23" t="n">
        <v>46266</v>
      </c>
      <c r="G6949" s="24">
        <f>F6949-DATE(2026,8,31)</f>
        <v>1</v>
      </c>
      <c r="H6949" s="25" t="n">
        <v>192433693</v>
      </c>
      <c r="I6949" t="inlineStr">
        <is>
          <t>entidad-dia</t>
        </is>
      </c>
    </row>
    <row r="6950">
      <c r="A6950" t="inlineStr">
        <is>
          <t>PRAGMA</t>
        </is>
      </c>
      <c r="B6950" t="inlineStr">
        <is>
          <t>M2</t>
        </is>
      </c>
      <c r="C6950" t="inlineStr">
        <is>
          <t>Cali</t>
        </is>
      </c>
      <c r="D6950" t="inlineStr">
        <is>
          <t>5088</t>
        </is>
      </c>
      <c r="E6950" t="inlineStr">
        <is>
          <t>pagado</t>
        </is>
      </c>
      <c r="F6950" s="23" t="n">
        <v>46267</v>
      </c>
      <c r="G6950" s="24">
        <f>F6950-DATE(2026,8,31)</f>
        <v>2</v>
      </c>
      <c r="H6950" s="25" t="n">
        <v>61048572</v>
      </c>
      <c r="I6950" t="inlineStr">
        <is>
          <t>entidad-dia</t>
        </is>
      </c>
    </row>
    <row r="6951">
      <c r="A6951" t="inlineStr">
        <is>
          <t>PRAGMA</t>
        </is>
      </c>
      <c r="B6951" t="inlineStr">
        <is>
          <t>M2</t>
        </is>
      </c>
      <c r="C6951" t="inlineStr">
        <is>
          <t>Cali</t>
        </is>
      </c>
      <c r="D6951" t="inlineStr">
        <is>
          <t>5088</t>
        </is>
      </c>
      <c r="E6951" t="inlineStr">
        <is>
          <t>cash_in</t>
        </is>
      </c>
      <c r="F6951" s="23" t="n">
        <v>46267</v>
      </c>
      <c r="G6951" s="24">
        <f>F6951-DATE(2026,8,31)</f>
        <v>2</v>
      </c>
      <c r="H6951" s="25" t="n">
        <v>203099948</v>
      </c>
      <c r="I6951" t="inlineStr">
        <is>
          <t>entidad-dia</t>
        </is>
      </c>
    </row>
    <row r="6952">
      <c r="A6952" t="inlineStr">
        <is>
          <t>PRAGMA</t>
        </is>
      </c>
      <c r="B6952" t="inlineStr">
        <is>
          <t>M2</t>
        </is>
      </c>
      <c r="C6952" t="inlineStr">
        <is>
          <t>Cali</t>
        </is>
      </c>
      <c r="D6952" t="inlineStr">
        <is>
          <t>5088</t>
        </is>
      </c>
      <c r="E6952" t="inlineStr">
        <is>
          <t>pagado</t>
        </is>
      </c>
      <c r="F6952" s="23" t="n">
        <v>46268</v>
      </c>
      <c r="G6952" s="24">
        <f>F6952-DATE(2026,8,31)</f>
        <v>3</v>
      </c>
      <c r="H6952" s="25" t="n">
        <v>54809664</v>
      </c>
      <c r="I6952" t="inlineStr">
        <is>
          <t>entidad-dia</t>
        </is>
      </c>
    </row>
    <row r="6953">
      <c r="A6953" t="inlineStr">
        <is>
          <t>PRAGMA</t>
        </is>
      </c>
      <c r="B6953" t="inlineStr">
        <is>
          <t>M2</t>
        </is>
      </c>
      <c r="C6953" t="inlineStr">
        <is>
          <t>Cali</t>
        </is>
      </c>
      <c r="D6953" t="inlineStr">
        <is>
          <t>5088</t>
        </is>
      </c>
      <c r="E6953" t="inlineStr">
        <is>
          <t>cash_in</t>
        </is>
      </c>
      <c r="F6953" s="23" t="n">
        <v>46268</v>
      </c>
      <c r="G6953" s="24">
        <f>F6953-DATE(2026,8,31)</f>
        <v>3</v>
      </c>
      <c r="H6953" s="25" t="n">
        <v>186690514</v>
      </c>
      <c r="I6953" t="inlineStr">
        <is>
          <t>entidad-dia</t>
        </is>
      </c>
    </row>
    <row r="6954">
      <c r="A6954" t="inlineStr">
        <is>
          <t>PRAGMA</t>
        </is>
      </c>
      <c r="B6954" t="inlineStr">
        <is>
          <t>M2</t>
        </is>
      </c>
      <c r="C6954" t="inlineStr">
        <is>
          <t>Cali</t>
        </is>
      </c>
      <c r="D6954" t="inlineStr">
        <is>
          <t>5088</t>
        </is>
      </c>
      <c r="E6954" t="inlineStr">
        <is>
          <t>pagado</t>
        </is>
      </c>
      <c r="F6954" s="23" t="n">
        <v>46269</v>
      </c>
      <c r="G6954" s="24">
        <f>F6954-DATE(2026,8,31)</f>
        <v>4</v>
      </c>
      <c r="H6954" s="25" t="n">
        <v>52926736</v>
      </c>
      <c r="I6954" t="inlineStr">
        <is>
          <t>entidad-dia</t>
        </is>
      </c>
    </row>
    <row r="6955">
      <c r="A6955" t="inlineStr">
        <is>
          <t>PRAGMA</t>
        </is>
      </c>
      <c r="B6955" t="inlineStr">
        <is>
          <t>M2</t>
        </is>
      </c>
      <c r="C6955" t="inlineStr">
        <is>
          <t>Cali</t>
        </is>
      </c>
      <c r="D6955" t="inlineStr">
        <is>
          <t>5088</t>
        </is>
      </c>
      <c r="E6955" t="inlineStr">
        <is>
          <t>cash_in</t>
        </is>
      </c>
      <c r="F6955" s="23" t="n">
        <v>46269</v>
      </c>
      <c r="G6955" s="24">
        <f>F6955-DATE(2026,8,31)</f>
        <v>4</v>
      </c>
      <c r="H6955" s="25" t="n">
        <v>186697500</v>
      </c>
      <c r="I6955" t="inlineStr">
        <is>
          <t>entidad-dia</t>
        </is>
      </c>
    </row>
    <row r="6956">
      <c r="A6956" t="inlineStr">
        <is>
          <t>PRAGMA</t>
        </is>
      </c>
      <c r="B6956" t="inlineStr">
        <is>
          <t>M2</t>
        </is>
      </c>
      <c r="C6956" t="inlineStr">
        <is>
          <t>Cali</t>
        </is>
      </c>
      <c r="D6956" t="inlineStr">
        <is>
          <t>5088</t>
        </is>
      </c>
      <c r="E6956" t="inlineStr">
        <is>
          <t>pagado</t>
        </is>
      </c>
      <c r="F6956" s="23" t="n">
        <v>46270</v>
      </c>
      <c r="G6956" s="24">
        <f>F6956-DATE(2026,8,31)</f>
        <v>5</v>
      </c>
      <c r="H6956" s="25" t="n">
        <v>55786699</v>
      </c>
      <c r="I6956" t="inlineStr">
        <is>
          <t>entidad-dia</t>
        </is>
      </c>
    </row>
    <row r="6957">
      <c r="A6957" t="inlineStr">
        <is>
          <t>PRAGMA</t>
        </is>
      </c>
      <c r="B6957" t="inlineStr">
        <is>
          <t>M2</t>
        </is>
      </c>
      <c r="C6957" t="inlineStr">
        <is>
          <t>Cali</t>
        </is>
      </c>
      <c r="D6957" t="inlineStr">
        <is>
          <t>5088</t>
        </is>
      </c>
      <c r="E6957" t="inlineStr">
        <is>
          <t>cash_in</t>
        </is>
      </c>
      <c r="F6957" s="23" t="n">
        <v>46270</v>
      </c>
      <c r="G6957" s="24">
        <f>F6957-DATE(2026,8,31)</f>
        <v>5</v>
      </c>
      <c r="H6957" s="25" t="n">
        <v>195343471</v>
      </c>
      <c r="I6957" t="inlineStr">
        <is>
          <t>entidad-dia</t>
        </is>
      </c>
    </row>
    <row r="6958">
      <c r="A6958" t="inlineStr">
        <is>
          <t>PRAGMA</t>
        </is>
      </c>
      <c r="B6958" t="inlineStr">
        <is>
          <t>M2</t>
        </is>
      </c>
      <c r="C6958" t="inlineStr">
        <is>
          <t>Cali</t>
        </is>
      </c>
      <c r="D6958" t="inlineStr">
        <is>
          <t>5088</t>
        </is>
      </c>
      <c r="E6958" t="inlineStr">
        <is>
          <t>pagado</t>
        </is>
      </c>
      <c r="F6958" s="23" t="n">
        <v>46271</v>
      </c>
      <c r="G6958" s="24">
        <f>F6958-DATE(2026,8,31)</f>
        <v>6</v>
      </c>
      <c r="H6958" s="25" t="n">
        <v>31363932</v>
      </c>
      <c r="I6958" t="inlineStr">
        <is>
          <t>entidad-dia</t>
        </is>
      </c>
    </row>
    <row r="6959">
      <c r="A6959" t="inlineStr">
        <is>
          <t>PRAGMA</t>
        </is>
      </c>
      <c r="B6959" t="inlineStr">
        <is>
          <t>M2</t>
        </is>
      </c>
      <c r="C6959" t="inlineStr">
        <is>
          <t>Cali</t>
        </is>
      </c>
      <c r="D6959" t="inlineStr">
        <is>
          <t>5088</t>
        </is>
      </c>
      <c r="E6959" t="inlineStr">
        <is>
          <t>cash_in</t>
        </is>
      </c>
      <c r="F6959" s="23" t="n">
        <v>46271</v>
      </c>
      <c r="G6959" s="24">
        <f>F6959-DATE(2026,8,31)</f>
        <v>6</v>
      </c>
      <c r="H6959" s="25" t="n">
        <v>120269698</v>
      </c>
      <c r="I6959" t="inlineStr">
        <is>
          <t>entidad-dia</t>
        </is>
      </c>
    </row>
    <row r="6960">
      <c r="A6960" t="inlineStr">
        <is>
          <t>PRAGMA</t>
        </is>
      </c>
      <c r="B6960" t="inlineStr">
        <is>
          <t>M2</t>
        </is>
      </c>
      <c r="C6960" t="inlineStr">
        <is>
          <t>Cali</t>
        </is>
      </c>
      <c r="D6960" t="inlineStr">
        <is>
          <t>5088</t>
        </is>
      </c>
      <c r="E6960" t="inlineStr">
        <is>
          <t>pagado</t>
        </is>
      </c>
      <c r="F6960" s="23" t="n">
        <v>46272</v>
      </c>
      <c r="G6960" s="24">
        <f>F6960-DATE(2026,8,31)</f>
        <v>7</v>
      </c>
      <c r="H6960" s="25" t="n">
        <v>48815658</v>
      </c>
      <c r="I6960" t="inlineStr">
        <is>
          <t>entidad-dia</t>
        </is>
      </c>
    </row>
    <row r="6961">
      <c r="A6961" t="inlineStr">
        <is>
          <t>PRAGMA</t>
        </is>
      </c>
      <c r="B6961" t="inlineStr">
        <is>
          <t>M2</t>
        </is>
      </c>
      <c r="C6961" t="inlineStr">
        <is>
          <t>Cali</t>
        </is>
      </c>
      <c r="D6961" t="inlineStr">
        <is>
          <t>5088</t>
        </is>
      </c>
      <c r="E6961" t="inlineStr">
        <is>
          <t>cash_in</t>
        </is>
      </c>
      <c r="F6961" s="23" t="n">
        <v>46272</v>
      </c>
      <c r="G6961" s="24">
        <f>F6961-DATE(2026,8,31)</f>
        <v>7</v>
      </c>
      <c r="H6961" s="25" t="n">
        <v>191123358</v>
      </c>
      <c r="I6961" t="inlineStr">
        <is>
          <t>entidad-dia</t>
        </is>
      </c>
    </row>
    <row r="6962">
      <c r="A6962" t="inlineStr">
        <is>
          <t>PRAGMA</t>
        </is>
      </c>
      <c r="B6962" t="inlineStr">
        <is>
          <t>M2</t>
        </is>
      </c>
      <c r="C6962" t="inlineStr">
        <is>
          <t>Cali</t>
        </is>
      </c>
      <c r="D6962" t="inlineStr">
        <is>
          <t>5088</t>
        </is>
      </c>
      <c r="E6962" t="inlineStr">
        <is>
          <t>pagado</t>
        </is>
      </c>
      <c r="F6962" s="23" t="n">
        <v>46273</v>
      </c>
      <c r="G6962" s="24">
        <f>F6962-DATE(2026,8,31)</f>
        <v>8</v>
      </c>
      <c r="H6962" s="25" t="n">
        <v>46223958</v>
      </c>
      <c r="I6962" t="inlineStr">
        <is>
          <t>entidad-dia</t>
        </is>
      </c>
    </row>
    <row r="6963">
      <c r="A6963" t="inlineStr">
        <is>
          <t>PRAGMA</t>
        </is>
      </c>
      <c r="B6963" t="inlineStr">
        <is>
          <t>M2</t>
        </is>
      </c>
      <c r="C6963" t="inlineStr">
        <is>
          <t>Cali</t>
        </is>
      </c>
      <c r="D6963" t="inlineStr">
        <is>
          <t>5088</t>
        </is>
      </c>
      <c r="E6963" t="inlineStr">
        <is>
          <t>cash_in</t>
        </is>
      </c>
      <c r="F6963" s="23" t="n">
        <v>46273</v>
      </c>
      <c r="G6963" s="24">
        <f>F6963-DATE(2026,8,31)</f>
        <v>8</v>
      </c>
      <c r="H6963" s="25" t="n">
        <v>161814785</v>
      </c>
      <c r="I6963" t="inlineStr">
        <is>
          <t>entidad-dia</t>
        </is>
      </c>
    </row>
    <row r="6964">
      <c r="A6964" t="inlineStr">
        <is>
          <t>PRAGMA</t>
        </is>
      </c>
      <c r="B6964" t="inlineStr">
        <is>
          <t>M2</t>
        </is>
      </c>
      <c r="C6964" t="inlineStr">
        <is>
          <t>Cali</t>
        </is>
      </c>
      <c r="D6964" t="inlineStr">
        <is>
          <t>5088</t>
        </is>
      </c>
      <c r="E6964" t="inlineStr">
        <is>
          <t>pagado</t>
        </is>
      </c>
      <c r="F6964" s="23" t="n">
        <v>46274</v>
      </c>
      <c r="G6964" s="24">
        <f>F6964-DATE(2026,8,31)</f>
        <v>9</v>
      </c>
      <c r="H6964" s="25" t="n">
        <v>47392235</v>
      </c>
      <c r="I6964" t="inlineStr">
        <is>
          <t>entidad-dia</t>
        </is>
      </c>
    </row>
    <row r="6965">
      <c r="A6965" t="inlineStr">
        <is>
          <t>PRAGMA</t>
        </is>
      </c>
      <c r="B6965" t="inlineStr">
        <is>
          <t>M2</t>
        </is>
      </c>
      <c r="C6965" t="inlineStr">
        <is>
          <t>Cali</t>
        </is>
      </c>
      <c r="D6965" t="inlineStr">
        <is>
          <t>5088</t>
        </is>
      </c>
      <c r="E6965" t="inlineStr">
        <is>
          <t>cash_in</t>
        </is>
      </c>
      <c r="F6965" s="23" t="n">
        <v>46274</v>
      </c>
      <c r="G6965" s="24">
        <f>F6965-DATE(2026,8,31)</f>
        <v>9</v>
      </c>
      <c r="H6965" s="25" t="n">
        <v>160022172</v>
      </c>
      <c r="I6965" t="inlineStr">
        <is>
          <t>entidad-dia</t>
        </is>
      </c>
    </row>
    <row r="6966">
      <c r="A6966" t="inlineStr">
        <is>
          <t>PRAGMA</t>
        </is>
      </c>
      <c r="B6966" t="inlineStr">
        <is>
          <t>M2</t>
        </is>
      </c>
      <c r="C6966" t="inlineStr">
        <is>
          <t>Cali</t>
        </is>
      </c>
      <c r="D6966" t="inlineStr">
        <is>
          <t>5088</t>
        </is>
      </c>
      <c r="E6966" t="inlineStr">
        <is>
          <t>pagado</t>
        </is>
      </c>
      <c r="F6966" s="23" t="n">
        <v>46275</v>
      </c>
      <c r="G6966" s="24">
        <f>F6966-DATE(2026,8,31)</f>
        <v>10</v>
      </c>
      <c r="H6966" s="25" t="n">
        <v>43743979</v>
      </c>
      <c r="I6966" t="inlineStr">
        <is>
          <t>entidad-dia</t>
        </is>
      </c>
    </row>
    <row r="6967">
      <c r="A6967" t="inlineStr">
        <is>
          <t>PRAGMA</t>
        </is>
      </c>
      <c r="B6967" t="inlineStr">
        <is>
          <t>M2</t>
        </is>
      </c>
      <c r="C6967" t="inlineStr">
        <is>
          <t>Cali</t>
        </is>
      </c>
      <c r="D6967" t="inlineStr">
        <is>
          <t>5088</t>
        </is>
      </c>
      <c r="E6967" t="inlineStr">
        <is>
          <t>cash_in</t>
        </is>
      </c>
      <c r="F6967" s="23" t="n">
        <v>46275</v>
      </c>
      <c r="G6967" s="24">
        <f>F6967-DATE(2026,8,31)</f>
        <v>10</v>
      </c>
      <c r="H6967" s="25" t="n">
        <v>153136417</v>
      </c>
      <c r="I6967" t="inlineStr">
        <is>
          <t>entidad-dia</t>
        </is>
      </c>
    </row>
    <row r="6968">
      <c r="A6968" t="inlineStr">
        <is>
          <t>PRAGMA</t>
        </is>
      </c>
      <c r="B6968" t="inlineStr">
        <is>
          <t>M2</t>
        </is>
      </c>
      <c r="C6968" t="inlineStr">
        <is>
          <t>Cali</t>
        </is>
      </c>
      <c r="D6968" t="inlineStr">
        <is>
          <t>5088</t>
        </is>
      </c>
      <c r="E6968" t="inlineStr">
        <is>
          <t>pagado</t>
        </is>
      </c>
      <c r="F6968" s="23" t="n">
        <v>46276</v>
      </c>
      <c r="G6968" s="24">
        <f>F6968-DATE(2026,8,31)</f>
        <v>11</v>
      </c>
      <c r="H6968" s="25" t="n">
        <v>45125057</v>
      </c>
      <c r="I6968" t="inlineStr">
        <is>
          <t>entidad-dia</t>
        </is>
      </c>
    </row>
    <row r="6969">
      <c r="A6969" t="inlineStr">
        <is>
          <t>PRAGMA</t>
        </is>
      </c>
      <c r="B6969" t="inlineStr">
        <is>
          <t>M2</t>
        </is>
      </c>
      <c r="C6969" t="inlineStr">
        <is>
          <t>Cali</t>
        </is>
      </c>
      <c r="D6969" t="inlineStr">
        <is>
          <t>5088</t>
        </is>
      </c>
      <c r="E6969" t="inlineStr">
        <is>
          <t>cash_in</t>
        </is>
      </c>
      <c r="F6969" s="23" t="n">
        <v>46276</v>
      </c>
      <c r="G6969" s="24">
        <f>F6969-DATE(2026,8,31)</f>
        <v>11</v>
      </c>
      <c r="H6969" s="25" t="n">
        <v>157890549</v>
      </c>
      <c r="I6969" t="inlineStr">
        <is>
          <t>entidad-dia</t>
        </is>
      </c>
    </row>
    <row r="6970">
      <c r="A6970" t="inlineStr">
        <is>
          <t>PRAGMA</t>
        </is>
      </c>
      <c r="B6970" t="inlineStr">
        <is>
          <t>M2</t>
        </is>
      </c>
      <c r="C6970" t="inlineStr">
        <is>
          <t>Cali</t>
        </is>
      </c>
      <c r="D6970" t="inlineStr">
        <is>
          <t>5088</t>
        </is>
      </c>
      <c r="E6970" t="inlineStr">
        <is>
          <t>pagado</t>
        </is>
      </c>
      <c r="F6970" s="23" t="n">
        <v>46277</v>
      </c>
      <c r="G6970" s="24">
        <f>F6970-DATE(2026,8,31)</f>
        <v>12</v>
      </c>
      <c r="H6970" s="25" t="n">
        <v>47056845</v>
      </c>
      <c r="I6970" t="inlineStr">
        <is>
          <t>entidad-dia</t>
        </is>
      </c>
    </row>
    <row r="6971">
      <c r="A6971" t="inlineStr">
        <is>
          <t>PRAGMA</t>
        </is>
      </c>
      <c r="B6971" t="inlineStr">
        <is>
          <t>M2</t>
        </is>
      </c>
      <c r="C6971" t="inlineStr">
        <is>
          <t>Cali</t>
        </is>
      </c>
      <c r="D6971" t="inlineStr">
        <is>
          <t>5088</t>
        </is>
      </c>
      <c r="E6971" t="inlineStr">
        <is>
          <t>cash_in</t>
        </is>
      </c>
      <c r="F6971" s="23" t="n">
        <v>46277</v>
      </c>
      <c r="G6971" s="24">
        <f>F6971-DATE(2026,8,31)</f>
        <v>12</v>
      </c>
      <c r="H6971" s="25" t="n">
        <v>162233722</v>
      </c>
      <c r="I6971" t="inlineStr">
        <is>
          <t>entidad-dia</t>
        </is>
      </c>
    </row>
    <row r="6972">
      <c r="A6972" t="inlineStr">
        <is>
          <t>PRAGMA</t>
        </is>
      </c>
      <c r="B6972" t="inlineStr">
        <is>
          <t>M2</t>
        </is>
      </c>
      <c r="C6972" t="inlineStr">
        <is>
          <t>Cali</t>
        </is>
      </c>
      <c r="D6972" t="inlineStr">
        <is>
          <t>5088</t>
        </is>
      </c>
      <c r="E6972" t="inlineStr">
        <is>
          <t>pagado</t>
        </is>
      </c>
      <c r="F6972" s="23" t="n">
        <v>46278</v>
      </c>
      <c r="G6972" s="24">
        <f>F6972-DATE(2026,8,31)</f>
        <v>13</v>
      </c>
      <c r="H6972" s="25" t="n">
        <v>27729080</v>
      </c>
      <c r="I6972" t="inlineStr">
        <is>
          <t>entidad-dia</t>
        </is>
      </c>
    </row>
    <row r="6973">
      <c r="A6973" t="inlineStr">
        <is>
          <t>PRAGMA</t>
        </is>
      </c>
      <c r="B6973" t="inlineStr">
        <is>
          <t>M2</t>
        </is>
      </c>
      <c r="C6973" t="inlineStr">
        <is>
          <t>Cali</t>
        </is>
      </c>
      <c r="D6973" t="inlineStr">
        <is>
          <t>5088</t>
        </is>
      </c>
      <c r="E6973" t="inlineStr">
        <is>
          <t>cash_in</t>
        </is>
      </c>
      <c r="F6973" s="23" t="n">
        <v>46278</v>
      </c>
      <c r="G6973" s="24">
        <f>F6973-DATE(2026,8,31)</f>
        <v>13</v>
      </c>
      <c r="H6973" s="25" t="n">
        <v>99508788</v>
      </c>
      <c r="I6973" t="inlineStr">
        <is>
          <t>entidad-dia</t>
        </is>
      </c>
    </row>
    <row r="6974">
      <c r="A6974" t="inlineStr">
        <is>
          <t>PRAGMA</t>
        </is>
      </c>
      <c r="B6974" t="inlineStr">
        <is>
          <t>M2</t>
        </is>
      </c>
      <c r="C6974" t="inlineStr">
        <is>
          <t>Cali</t>
        </is>
      </c>
      <c r="D6974" t="inlineStr">
        <is>
          <t>5088</t>
        </is>
      </c>
      <c r="E6974" t="inlineStr">
        <is>
          <t>pagado</t>
        </is>
      </c>
      <c r="F6974" s="23" t="n">
        <v>46279</v>
      </c>
      <c r="G6974" s="24">
        <f>F6974-DATE(2026,8,31)</f>
        <v>14</v>
      </c>
      <c r="H6974" s="25" t="n">
        <v>46794171</v>
      </c>
      <c r="I6974" t="inlineStr">
        <is>
          <t>entidad-dia</t>
        </is>
      </c>
    </row>
    <row r="6975">
      <c r="A6975" t="inlineStr">
        <is>
          <t>PRAGMA</t>
        </is>
      </c>
      <c r="B6975" t="inlineStr">
        <is>
          <t>M2</t>
        </is>
      </c>
      <c r="C6975" t="inlineStr">
        <is>
          <t>Cali</t>
        </is>
      </c>
      <c r="D6975" t="inlineStr">
        <is>
          <t>5088</t>
        </is>
      </c>
      <c r="E6975" t="inlineStr">
        <is>
          <t>cash_in</t>
        </is>
      </c>
      <c r="F6975" s="23" t="n">
        <v>46279</v>
      </c>
      <c r="G6975" s="24">
        <f>F6975-DATE(2026,8,31)</f>
        <v>14</v>
      </c>
      <c r="H6975" s="25" t="n">
        <v>160754845</v>
      </c>
      <c r="I6975" t="inlineStr">
        <is>
          <t>entidad-dia</t>
        </is>
      </c>
    </row>
    <row r="6976">
      <c r="A6976" t="inlineStr">
        <is>
          <t>PRAGMA</t>
        </is>
      </c>
      <c r="B6976" t="inlineStr">
        <is>
          <t>M2</t>
        </is>
      </c>
      <c r="C6976" t="inlineStr">
        <is>
          <t>Cali</t>
        </is>
      </c>
      <c r="D6976" t="inlineStr">
        <is>
          <t>5088</t>
        </is>
      </c>
      <c r="E6976" t="inlineStr">
        <is>
          <t>pagado</t>
        </is>
      </c>
      <c r="F6976" s="23" t="n">
        <v>46280</v>
      </c>
      <c r="G6976" s="24">
        <f>F6976-DATE(2026,8,31)</f>
        <v>15</v>
      </c>
      <c r="H6976" s="25" t="n">
        <v>55401773</v>
      </c>
      <c r="I6976" t="inlineStr">
        <is>
          <t>entidad-dia</t>
        </is>
      </c>
    </row>
    <row r="6977">
      <c r="A6977" t="inlineStr">
        <is>
          <t>PRAGMA</t>
        </is>
      </c>
      <c r="B6977" t="inlineStr">
        <is>
          <t>M2</t>
        </is>
      </c>
      <c r="C6977" t="inlineStr">
        <is>
          <t>Cali</t>
        </is>
      </c>
      <c r="D6977" t="inlineStr">
        <is>
          <t>5088</t>
        </is>
      </c>
      <c r="E6977" t="inlineStr">
        <is>
          <t>cash_in</t>
        </is>
      </c>
      <c r="F6977" s="23" t="n">
        <v>46280</v>
      </c>
      <c r="G6977" s="24">
        <f>F6977-DATE(2026,8,31)</f>
        <v>15</v>
      </c>
      <c r="H6977" s="25" t="n">
        <v>173657128</v>
      </c>
      <c r="I6977" t="inlineStr">
        <is>
          <t>entidad-dia</t>
        </is>
      </c>
    </row>
    <row r="6978">
      <c r="A6978" t="inlineStr">
        <is>
          <t>PRAGMA</t>
        </is>
      </c>
      <c r="B6978" t="inlineStr">
        <is>
          <t>M2</t>
        </is>
      </c>
      <c r="C6978" t="inlineStr">
        <is>
          <t>Cali</t>
        </is>
      </c>
      <c r="D6978" t="inlineStr">
        <is>
          <t>5142</t>
        </is>
      </c>
      <c r="E6978" t="inlineStr">
        <is>
          <t>pagado</t>
        </is>
      </c>
      <c r="F6978" s="23" t="n">
        <v>46266</v>
      </c>
      <c r="G6978" s="24">
        <f>F6978-DATE(2026,8,31)</f>
        <v>1</v>
      </c>
      <c r="H6978" s="25" t="n">
        <v>55475521</v>
      </c>
      <c r="I6978" t="inlineStr">
        <is>
          <t>entidad-dia</t>
        </is>
      </c>
    </row>
    <row r="6979">
      <c r="A6979" t="inlineStr">
        <is>
          <t>PRAGMA</t>
        </is>
      </c>
      <c r="B6979" t="inlineStr">
        <is>
          <t>M2</t>
        </is>
      </c>
      <c r="C6979" t="inlineStr">
        <is>
          <t>Cali</t>
        </is>
      </c>
      <c r="D6979" t="inlineStr">
        <is>
          <t>5142</t>
        </is>
      </c>
      <c r="E6979" t="inlineStr">
        <is>
          <t>cash_in</t>
        </is>
      </c>
      <c r="F6979" s="23" t="n">
        <v>46266</v>
      </c>
      <c r="G6979" s="24">
        <f>F6979-DATE(2026,8,31)</f>
        <v>1</v>
      </c>
      <c r="H6979" s="25" t="n">
        <v>511632176</v>
      </c>
      <c r="I6979" t="inlineStr">
        <is>
          <t>entidad-dia</t>
        </is>
      </c>
    </row>
    <row r="6980">
      <c r="A6980" t="inlineStr">
        <is>
          <t>PRAGMA</t>
        </is>
      </c>
      <c r="B6980" t="inlineStr">
        <is>
          <t>M2</t>
        </is>
      </c>
      <c r="C6980" t="inlineStr">
        <is>
          <t>Cali</t>
        </is>
      </c>
      <c r="D6980" t="inlineStr">
        <is>
          <t>5142</t>
        </is>
      </c>
      <c r="E6980" t="inlineStr">
        <is>
          <t>pagado</t>
        </is>
      </c>
      <c r="F6980" s="23" t="n">
        <v>46267</v>
      </c>
      <c r="G6980" s="24">
        <f>F6980-DATE(2026,8,31)</f>
        <v>2</v>
      </c>
      <c r="H6980" s="25" t="n">
        <v>48056290</v>
      </c>
      <c r="I6980" t="inlineStr">
        <is>
          <t>entidad-dia</t>
        </is>
      </c>
    </row>
    <row r="6981">
      <c r="A6981" t="inlineStr">
        <is>
          <t>PRAGMA</t>
        </is>
      </c>
      <c r="B6981" t="inlineStr">
        <is>
          <t>M2</t>
        </is>
      </c>
      <c r="C6981" t="inlineStr">
        <is>
          <t>Cali</t>
        </is>
      </c>
      <c r="D6981" t="inlineStr">
        <is>
          <t>5142</t>
        </is>
      </c>
      <c r="E6981" t="inlineStr">
        <is>
          <t>cash_in</t>
        </is>
      </c>
      <c r="F6981" s="23" t="n">
        <v>46267</v>
      </c>
      <c r="G6981" s="24">
        <f>F6981-DATE(2026,8,31)</f>
        <v>2</v>
      </c>
      <c r="H6981" s="25" t="n">
        <v>438185158</v>
      </c>
      <c r="I6981" t="inlineStr">
        <is>
          <t>entidad-dia</t>
        </is>
      </c>
    </row>
    <row r="6982">
      <c r="A6982" t="inlineStr">
        <is>
          <t>PRAGMA</t>
        </is>
      </c>
      <c r="B6982" t="inlineStr">
        <is>
          <t>M2</t>
        </is>
      </c>
      <c r="C6982" t="inlineStr">
        <is>
          <t>Cali</t>
        </is>
      </c>
      <c r="D6982" t="inlineStr">
        <is>
          <t>5142</t>
        </is>
      </c>
      <c r="E6982" t="inlineStr">
        <is>
          <t>pagado</t>
        </is>
      </c>
      <c r="F6982" s="23" t="n">
        <v>46268</v>
      </c>
      <c r="G6982" s="24">
        <f>F6982-DATE(2026,8,31)</f>
        <v>3</v>
      </c>
      <c r="H6982" s="25" t="n">
        <v>45092931</v>
      </c>
      <c r="I6982" t="inlineStr">
        <is>
          <t>entidad-dia</t>
        </is>
      </c>
    </row>
    <row r="6983">
      <c r="A6983" t="inlineStr">
        <is>
          <t>PRAGMA</t>
        </is>
      </c>
      <c r="B6983" t="inlineStr">
        <is>
          <t>M2</t>
        </is>
      </c>
      <c r="C6983" t="inlineStr">
        <is>
          <t>Cali</t>
        </is>
      </c>
      <c r="D6983" t="inlineStr">
        <is>
          <t>5142</t>
        </is>
      </c>
      <c r="E6983" t="inlineStr">
        <is>
          <t>cash_in</t>
        </is>
      </c>
      <c r="F6983" s="23" t="n">
        <v>46268</v>
      </c>
      <c r="G6983" s="24">
        <f>F6983-DATE(2026,8,31)</f>
        <v>3</v>
      </c>
      <c r="H6983" s="25" t="n">
        <v>442848907</v>
      </c>
      <c r="I6983" t="inlineStr">
        <is>
          <t>entidad-dia</t>
        </is>
      </c>
    </row>
    <row r="6984">
      <c r="A6984" t="inlineStr">
        <is>
          <t>PRAGMA</t>
        </is>
      </c>
      <c r="B6984" t="inlineStr">
        <is>
          <t>M2</t>
        </is>
      </c>
      <c r="C6984" t="inlineStr">
        <is>
          <t>Cali</t>
        </is>
      </c>
      <c r="D6984" t="inlineStr">
        <is>
          <t>5142</t>
        </is>
      </c>
      <c r="E6984" t="inlineStr">
        <is>
          <t>pagado</t>
        </is>
      </c>
      <c r="F6984" s="23" t="n">
        <v>46269</v>
      </c>
      <c r="G6984" s="24">
        <f>F6984-DATE(2026,8,31)</f>
        <v>4</v>
      </c>
      <c r="H6984" s="25" t="n">
        <v>47223757</v>
      </c>
      <c r="I6984" t="inlineStr">
        <is>
          <t>entidad-dia</t>
        </is>
      </c>
    </row>
    <row r="6985">
      <c r="A6985" t="inlineStr">
        <is>
          <t>PRAGMA</t>
        </is>
      </c>
      <c r="B6985" t="inlineStr">
        <is>
          <t>M2</t>
        </is>
      </c>
      <c r="C6985" t="inlineStr">
        <is>
          <t>Cali</t>
        </is>
      </c>
      <c r="D6985" t="inlineStr">
        <is>
          <t>5142</t>
        </is>
      </c>
      <c r="E6985" t="inlineStr">
        <is>
          <t>cash_in</t>
        </is>
      </c>
      <c r="F6985" s="23" t="n">
        <v>46269</v>
      </c>
      <c r="G6985" s="24">
        <f>F6985-DATE(2026,8,31)</f>
        <v>4</v>
      </c>
      <c r="H6985" s="25" t="n">
        <v>454832054</v>
      </c>
      <c r="I6985" t="inlineStr">
        <is>
          <t>entidad-dia</t>
        </is>
      </c>
    </row>
    <row r="6986">
      <c r="A6986" t="inlineStr">
        <is>
          <t>PRAGMA</t>
        </is>
      </c>
      <c r="B6986" t="inlineStr">
        <is>
          <t>M2</t>
        </is>
      </c>
      <c r="C6986" t="inlineStr">
        <is>
          <t>Cali</t>
        </is>
      </c>
      <c r="D6986" t="inlineStr">
        <is>
          <t>5142</t>
        </is>
      </c>
      <c r="E6986" t="inlineStr">
        <is>
          <t>pagado</t>
        </is>
      </c>
      <c r="F6986" s="23" t="n">
        <v>46270</v>
      </c>
      <c r="G6986" s="24">
        <f>F6986-DATE(2026,8,31)</f>
        <v>5</v>
      </c>
      <c r="H6986" s="25" t="n">
        <v>47602918</v>
      </c>
      <c r="I6986" t="inlineStr">
        <is>
          <t>entidad-dia</t>
        </is>
      </c>
    </row>
    <row r="6987">
      <c r="A6987" t="inlineStr">
        <is>
          <t>PRAGMA</t>
        </is>
      </c>
      <c r="B6987" t="inlineStr">
        <is>
          <t>M2</t>
        </is>
      </c>
      <c r="C6987" t="inlineStr">
        <is>
          <t>Cali</t>
        </is>
      </c>
      <c r="D6987" t="inlineStr">
        <is>
          <t>5142</t>
        </is>
      </c>
      <c r="E6987" t="inlineStr">
        <is>
          <t>cash_in</t>
        </is>
      </c>
      <c r="F6987" s="23" t="n">
        <v>46270</v>
      </c>
      <c r="G6987" s="24">
        <f>F6987-DATE(2026,8,31)</f>
        <v>5</v>
      </c>
      <c r="H6987" s="25" t="n">
        <v>401522170</v>
      </c>
      <c r="I6987" t="inlineStr">
        <is>
          <t>entidad-dia</t>
        </is>
      </c>
    </row>
    <row r="6988">
      <c r="A6988" t="inlineStr">
        <is>
          <t>PRAGMA</t>
        </is>
      </c>
      <c r="B6988" t="inlineStr">
        <is>
          <t>M2</t>
        </is>
      </c>
      <c r="C6988" t="inlineStr">
        <is>
          <t>Cali</t>
        </is>
      </c>
      <c r="D6988" t="inlineStr">
        <is>
          <t>5142</t>
        </is>
      </c>
      <c r="E6988" t="inlineStr">
        <is>
          <t>pagado</t>
        </is>
      </c>
      <c r="F6988" s="23" t="n">
        <v>46271</v>
      </c>
      <c r="G6988" s="24">
        <f>F6988-DATE(2026,8,31)</f>
        <v>6</v>
      </c>
      <c r="H6988" s="25" t="n">
        <v>27017669</v>
      </c>
      <c r="I6988" t="inlineStr">
        <is>
          <t>entidad-dia</t>
        </is>
      </c>
    </row>
    <row r="6989">
      <c r="A6989" t="inlineStr">
        <is>
          <t>PRAGMA</t>
        </is>
      </c>
      <c r="B6989" t="inlineStr">
        <is>
          <t>M2</t>
        </is>
      </c>
      <c r="C6989" t="inlineStr">
        <is>
          <t>Cali</t>
        </is>
      </c>
      <c r="D6989" t="inlineStr">
        <is>
          <t>5142</t>
        </is>
      </c>
      <c r="E6989" t="inlineStr">
        <is>
          <t>cash_in</t>
        </is>
      </c>
      <c r="F6989" s="23" t="n">
        <v>46271</v>
      </c>
      <c r="G6989" s="24">
        <f>F6989-DATE(2026,8,31)</f>
        <v>6</v>
      </c>
      <c r="H6989" s="25" t="n">
        <v>192583982</v>
      </c>
      <c r="I6989" t="inlineStr">
        <is>
          <t>entidad-dia</t>
        </is>
      </c>
    </row>
    <row r="6990">
      <c r="A6990" t="inlineStr">
        <is>
          <t>PRAGMA</t>
        </is>
      </c>
      <c r="B6990" t="inlineStr">
        <is>
          <t>M2</t>
        </is>
      </c>
      <c r="C6990" t="inlineStr">
        <is>
          <t>Cali</t>
        </is>
      </c>
      <c r="D6990" t="inlineStr">
        <is>
          <t>5142</t>
        </is>
      </c>
      <c r="E6990" t="inlineStr">
        <is>
          <t>pagado</t>
        </is>
      </c>
      <c r="F6990" s="23" t="n">
        <v>46272</v>
      </c>
      <c r="G6990" s="24">
        <f>F6990-DATE(2026,8,31)</f>
        <v>7</v>
      </c>
      <c r="H6990" s="25" t="n">
        <v>36359688</v>
      </c>
      <c r="I6990" t="inlineStr">
        <is>
          <t>entidad-dia</t>
        </is>
      </c>
    </row>
    <row r="6991">
      <c r="A6991" t="inlineStr">
        <is>
          <t>PRAGMA</t>
        </is>
      </c>
      <c r="B6991" t="inlineStr">
        <is>
          <t>M2</t>
        </is>
      </c>
      <c r="C6991" t="inlineStr">
        <is>
          <t>Cali</t>
        </is>
      </c>
      <c r="D6991" t="inlineStr">
        <is>
          <t>5142</t>
        </is>
      </c>
      <c r="E6991" t="inlineStr">
        <is>
          <t>cash_in</t>
        </is>
      </c>
      <c r="F6991" s="23" t="n">
        <v>46272</v>
      </c>
      <c r="G6991" s="24">
        <f>F6991-DATE(2026,8,31)</f>
        <v>7</v>
      </c>
      <c r="H6991" s="25" t="n">
        <v>483480849</v>
      </c>
      <c r="I6991" t="inlineStr">
        <is>
          <t>entidad-dia</t>
        </is>
      </c>
    </row>
    <row r="6992">
      <c r="A6992" t="inlineStr">
        <is>
          <t>PRAGMA</t>
        </is>
      </c>
      <c r="B6992" t="inlineStr">
        <is>
          <t>M2</t>
        </is>
      </c>
      <c r="C6992" t="inlineStr">
        <is>
          <t>Cali</t>
        </is>
      </c>
      <c r="D6992" t="inlineStr">
        <is>
          <t>5142</t>
        </is>
      </c>
      <c r="E6992" t="inlineStr">
        <is>
          <t>pagado</t>
        </is>
      </c>
      <c r="F6992" s="23" t="n">
        <v>46273</v>
      </c>
      <c r="G6992" s="24">
        <f>F6992-DATE(2026,8,31)</f>
        <v>8</v>
      </c>
      <c r="H6992" s="25" t="n">
        <v>38347514</v>
      </c>
      <c r="I6992" t="inlineStr">
        <is>
          <t>entidad-dia</t>
        </is>
      </c>
    </row>
    <row r="6993">
      <c r="A6993" t="inlineStr">
        <is>
          <t>PRAGMA</t>
        </is>
      </c>
      <c r="B6993" t="inlineStr">
        <is>
          <t>M2</t>
        </is>
      </c>
      <c r="C6993" t="inlineStr">
        <is>
          <t>Cali</t>
        </is>
      </c>
      <c r="D6993" t="inlineStr">
        <is>
          <t>5142</t>
        </is>
      </c>
      <c r="E6993" t="inlineStr">
        <is>
          <t>cash_in</t>
        </is>
      </c>
      <c r="F6993" s="23" t="n">
        <v>46273</v>
      </c>
      <c r="G6993" s="24">
        <f>F6993-DATE(2026,8,31)</f>
        <v>8</v>
      </c>
      <c r="H6993" s="25" t="n">
        <v>437650241</v>
      </c>
      <c r="I6993" t="inlineStr">
        <is>
          <t>entidad-dia</t>
        </is>
      </c>
    </row>
    <row r="6994">
      <c r="A6994" t="inlineStr">
        <is>
          <t>PRAGMA</t>
        </is>
      </c>
      <c r="B6994" t="inlineStr">
        <is>
          <t>M2</t>
        </is>
      </c>
      <c r="C6994" t="inlineStr">
        <is>
          <t>Cali</t>
        </is>
      </c>
      <c r="D6994" t="inlineStr">
        <is>
          <t>5142</t>
        </is>
      </c>
      <c r="E6994" t="inlineStr">
        <is>
          <t>pagado</t>
        </is>
      </c>
      <c r="F6994" s="23" t="n">
        <v>46274</v>
      </c>
      <c r="G6994" s="24">
        <f>F6994-DATE(2026,8,31)</f>
        <v>9</v>
      </c>
      <c r="H6994" s="25" t="n">
        <v>33723025</v>
      </c>
      <c r="I6994" t="inlineStr">
        <is>
          <t>entidad-dia</t>
        </is>
      </c>
    </row>
    <row r="6995">
      <c r="A6995" t="inlineStr">
        <is>
          <t>PRAGMA</t>
        </is>
      </c>
      <c r="B6995" t="inlineStr">
        <is>
          <t>M2</t>
        </is>
      </c>
      <c r="C6995" t="inlineStr">
        <is>
          <t>Cali</t>
        </is>
      </c>
      <c r="D6995" t="inlineStr">
        <is>
          <t>5142</t>
        </is>
      </c>
      <c r="E6995" t="inlineStr">
        <is>
          <t>cash_in</t>
        </is>
      </c>
      <c r="F6995" s="23" t="n">
        <v>46274</v>
      </c>
      <c r="G6995" s="24">
        <f>F6995-DATE(2026,8,31)</f>
        <v>9</v>
      </c>
      <c r="H6995" s="25" t="n">
        <v>402057191</v>
      </c>
      <c r="I6995" t="inlineStr">
        <is>
          <t>entidad-dia</t>
        </is>
      </c>
    </row>
    <row r="6996">
      <c r="A6996" t="inlineStr">
        <is>
          <t>PRAGMA</t>
        </is>
      </c>
      <c r="B6996" t="inlineStr">
        <is>
          <t>M2</t>
        </is>
      </c>
      <c r="C6996" t="inlineStr">
        <is>
          <t>Cali</t>
        </is>
      </c>
      <c r="D6996" t="inlineStr">
        <is>
          <t>5142</t>
        </is>
      </c>
      <c r="E6996" t="inlineStr">
        <is>
          <t>pagado</t>
        </is>
      </c>
      <c r="F6996" s="23" t="n">
        <v>46275</v>
      </c>
      <c r="G6996" s="24">
        <f>F6996-DATE(2026,8,31)</f>
        <v>10</v>
      </c>
      <c r="H6996" s="25" t="n">
        <v>33964017</v>
      </c>
      <c r="I6996" t="inlineStr">
        <is>
          <t>entidad-dia</t>
        </is>
      </c>
    </row>
    <row r="6997">
      <c r="A6997" t="inlineStr">
        <is>
          <t>PRAGMA</t>
        </is>
      </c>
      <c r="B6997" t="inlineStr">
        <is>
          <t>M2</t>
        </is>
      </c>
      <c r="C6997" t="inlineStr">
        <is>
          <t>Cali</t>
        </is>
      </c>
      <c r="D6997" t="inlineStr">
        <is>
          <t>5142</t>
        </is>
      </c>
      <c r="E6997" t="inlineStr">
        <is>
          <t>cash_in</t>
        </is>
      </c>
      <c r="F6997" s="23" t="n">
        <v>46275</v>
      </c>
      <c r="G6997" s="24">
        <f>F6997-DATE(2026,8,31)</f>
        <v>10</v>
      </c>
      <c r="H6997" s="25" t="n">
        <v>393441635</v>
      </c>
      <c r="I6997" t="inlineStr">
        <is>
          <t>entidad-dia</t>
        </is>
      </c>
    </row>
    <row r="6998">
      <c r="A6998" t="inlineStr">
        <is>
          <t>PRAGMA</t>
        </is>
      </c>
      <c r="B6998" t="inlineStr">
        <is>
          <t>M2</t>
        </is>
      </c>
      <c r="C6998" t="inlineStr">
        <is>
          <t>Cali</t>
        </is>
      </c>
      <c r="D6998" t="inlineStr">
        <is>
          <t>5142</t>
        </is>
      </c>
      <c r="E6998" t="inlineStr">
        <is>
          <t>pagado</t>
        </is>
      </c>
      <c r="F6998" s="23" t="n">
        <v>46276</v>
      </c>
      <c r="G6998" s="24">
        <f>F6998-DATE(2026,8,31)</f>
        <v>11</v>
      </c>
      <c r="H6998" s="25" t="n">
        <v>35887470</v>
      </c>
      <c r="I6998" t="inlineStr">
        <is>
          <t>entidad-dia</t>
        </is>
      </c>
    </row>
    <row r="6999">
      <c r="A6999" t="inlineStr">
        <is>
          <t>PRAGMA</t>
        </is>
      </c>
      <c r="B6999" t="inlineStr">
        <is>
          <t>M2</t>
        </is>
      </c>
      <c r="C6999" t="inlineStr">
        <is>
          <t>Cali</t>
        </is>
      </c>
      <c r="D6999" t="inlineStr">
        <is>
          <t>5142</t>
        </is>
      </c>
      <c r="E6999" t="inlineStr">
        <is>
          <t>cash_in</t>
        </is>
      </c>
      <c r="F6999" s="23" t="n">
        <v>46276</v>
      </c>
      <c r="G6999" s="24">
        <f>F6999-DATE(2026,8,31)</f>
        <v>11</v>
      </c>
      <c r="H6999" s="25" t="n">
        <v>391905012</v>
      </c>
      <c r="I6999" t="inlineStr">
        <is>
          <t>entidad-dia</t>
        </is>
      </c>
    </row>
    <row r="7000">
      <c r="A7000" t="inlineStr">
        <is>
          <t>PRAGMA</t>
        </is>
      </c>
      <c r="B7000" t="inlineStr">
        <is>
          <t>M2</t>
        </is>
      </c>
      <c r="C7000" t="inlineStr">
        <is>
          <t>Cali</t>
        </is>
      </c>
      <c r="D7000" t="inlineStr">
        <is>
          <t>5142</t>
        </is>
      </c>
      <c r="E7000" t="inlineStr">
        <is>
          <t>pagado</t>
        </is>
      </c>
      <c r="F7000" s="23" t="n">
        <v>46277</v>
      </c>
      <c r="G7000" s="24">
        <f>F7000-DATE(2026,8,31)</f>
        <v>12</v>
      </c>
      <c r="H7000" s="25" t="n">
        <v>39286608</v>
      </c>
      <c r="I7000" t="inlineStr">
        <is>
          <t>entidad-dia</t>
        </is>
      </c>
    </row>
    <row r="7001">
      <c r="A7001" t="inlineStr">
        <is>
          <t>PRAGMA</t>
        </is>
      </c>
      <c r="B7001" t="inlineStr">
        <is>
          <t>M2</t>
        </is>
      </c>
      <c r="C7001" t="inlineStr">
        <is>
          <t>Cali</t>
        </is>
      </c>
      <c r="D7001" t="inlineStr">
        <is>
          <t>5142</t>
        </is>
      </c>
      <c r="E7001" t="inlineStr">
        <is>
          <t>cash_in</t>
        </is>
      </c>
      <c r="F7001" s="23" t="n">
        <v>46277</v>
      </c>
      <c r="G7001" s="24">
        <f>F7001-DATE(2026,8,31)</f>
        <v>12</v>
      </c>
      <c r="H7001" s="25" t="n">
        <v>342073555</v>
      </c>
      <c r="I7001" t="inlineStr">
        <is>
          <t>entidad-dia</t>
        </is>
      </c>
    </row>
    <row r="7002">
      <c r="A7002" t="inlineStr">
        <is>
          <t>PRAGMA</t>
        </is>
      </c>
      <c r="B7002" t="inlineStr">
        <is>
          <t>M2</t>
        </is>
      </c>
      <c r="C7002" t="inlineStr">
        <is>
          <t>Cali</t>
        </is>
      </c>
      <c r="D7002" t="inlineStr">
        <is>
          <t>5142</t>
        </is>
      </c>
      <c r="E7002" t="inlineStr">
        <is>
          <t>pagado</t>
        </is>
      </c>
      <c r="F7002" s="23" t="n">
        <v>46278</v>
      </c>
      <c r="G7002" s="24">
        <f>F7002-DATE(2026,8,31)</f>
        <v>13</v>
      </c>
      <c r="H7002" s="25" t="n">
        <v>24085088</v>
      </c>
      <c r="I7002" t="inlineStr">
        <is>
          <t>entidad-dia</t>
        </is>
      </c>
    </row>
    <row r="7003">
      <c r="A7003" t="inlineStr">
        <is>
          <t>PRAGMA</t>
        </is>
      </c>
      <c r="B7003" t="inlineStr">
        <is>
          <t>M2</t>
        </is>
      </c>
      <c r="C7003" t="inlineStr">
        <is>
          <t>Cali</t>
        </is>
      </c>
      <c r="D7003" t="inlineStr">
        <is>
          <t>5142</t>
        </is>
      </c>
      <c r="E7003" t="inlineStr">
        <is>
          <t>cash_in</t>
        </is>
      </c>
      <c r="F7003" s="23" t="n">
        <v>46278</v>
      </c>
      <c r="G7003" s="24">
        <f>F7003-DATE(2026,8,31)</f>
        <v>13</v>
      </c>
      <c r="H7003" s="25" t="n">
        <v>152299858</v>
      </c>
      <c r="I7003" t="inlineStr">
        <is>
          <t>entidad-dia</t>
        </is>
      </c>
    </row>
    <row r="7004">
      <c r="A7004" t="inlineStr">
        <is>
          <t>PRAGMA</t>
        </is>
      </c>
      <c r="B7004" t="inlineStr">
        <is>
          <t>M2</t>
        </is>
      </c>
      <c r="C7004" t="inlineStr">
        <is>
          <t>Cali</t>
        </is>
      </c>
      <c r="D7004" t="inlineStr">
        <is>
          <t>5142</t>
        </is>
      </c>
      <c r="E7004" t="inlineStr">
        <is>
          <t>pagado</t>
        </is>
      </c>
      <c r="F7004" s="23" t="n">
        <v>46279</v>
      </c>
      <c r="G7004" s="24">
        <f>F7004-DATE(2026,8,31)</f>
        <v>14</v>
      </c>
      <c r="H7004" s="25" t="n">
        <v>31871876</v>
      </c>
      <c r="I7004" t="inlineStr">
        <is>
          <t>entidad-dia</t>
        </is>
      </c>
    </row>
    <row r="7005">
      <c r="A7005" t="inlineStr">
        <is>
          <t>PRAGMA</t>
        </is>
      </c>
      <c r="B7005" t="inlineStr">
        <is>
          <t>M2</t>
        </is>
      </c>
      <c r="C7005" t="inlineStr">
        <is>
          <t>Cali</t>
        </is>
      </c>
      <c r="D7005" t="inlineStr">
        <is>
          <t>5142</t>
        </is>
      </c>
      <c r="E7005" t="inlineStr">
        <is>
          <t>cash_in</t>
        </is>
      </c>
      <c r="F7005" s="23" t="n">
        <v>46279</v>
      </c>
      <c r="G7005" s="24">
        <f>F7005-DATE(2026,8,31)</f>
        <v>14</v>
      </c>
      <c r="H7005" s="25" t="n">
        <v>398517597</v>
      </c>
      <c r="I7005" t="inlineStr">
        <is>
          <t>entidad-dia</t>
        </is>
      </c>
    </row>
    <row r="7006">
      <c r="A7006" t="inlineStr">
        <is>
          <t>PRAGMA</t>
        </is>
      </c>
      <c r="B7006" t="inlineStr">
        <is>
          <t>M2</t>
        </is>
      </c>
      <c r="C7006" t="inlineStr">
        <is>
          <t>Cali</t>
        </is>
      </c>
      <c r="D7006" t="inlineStr">
        <is>
          <t>5142</t>
        </is>
      </c>
      <c r="E7006" t="inlineStr">
        <is>
          <t>pagado</t>
        </is>
      </c>
      <c r="F7006" s="23" t="n">
        <v>46280</v>
      </c>
      <c r="G7006" s="24">
        <f>F7006-DATE(2026,8,31)</f>
        <v>15</v>
      </c>
      <c r="H7006" s="25" t="n">
        <v>47211013</v>
      </c>
      <c r="I7006" t="inlineStr">
        <is>
          <t>entidad-dia</t>
        </is>
      </c>
    </row>
    <row r="7007">
      <c r="A7007" t="inlineStr">
        <is>
          <t>PRAGMA</t>
        </is>
      </c>
      <c r="B7007" t="inlineStr">
        <is>
          <t>M2</t>
        </is>
      </c>
      <c r="C7007" t="inlineStr">
        <is>
          <t>Cali</t>
        </is>
      </c>
      <c r="D7007" t="inlineStr">
        <is>
          <t>5142</t>
        </is>
      </c>
      <c r="E7007" t="inlineStr">
        <is>
          <t>cash_in</t>
        </is>
      </c>
      <c r="F7007" s="23" t="n">
        <v>46280</v>
      </c>
      <c r="G7007" s="24">
        <f>F7007-DATE(2026,8,31)</f>
        <v>15</v>
      </c>
      <c r="H7007" s="25" t="n">
        <v>418824852</v>
      </c>
      <c r="I7007" t="inlineStr">
        <is>
          <t>entidad-dia</t>
        </is>
      </c>
    </row>
    <row r="7008">
      <c r="A7008" t="inlineStr">
        <is>
          <t>PRAGMA</t>
        </is>
      </c>
      <c r="B7008" t="inlineStr">
        <is>
          <t>M2</t>
        </is>
      </c>
      <c r="C7008" t="inlineStr">
        <is>
          <t>Cali</t>
        </is>
      </c>
      <c r="D7008" t="inlineStr">
        <is>
          <t>5162</t>
        </is>
      </c>
      <c r="E7008" t="inlineStr">
        <is>
          <t>pagado</t>
        </is>
      </c>
      <c r="F7008" s="23" t="n">
        <v>46266</v>
      </c>
      <c r="G7008" s="24">
        <f>F7008-DATE(2026,8,31)</f>
        <v>1</v>
      </c>
      <c r="H7008" s="25" t="n">
        <v>67729520</v>
      </c>
      <c r="I7008" t="inlineStr">
        <is>
          <t>entidad-dia</t>
        </is>
      </c>
    </row>
    <row r="7009">
      <c r="A7009" t="inlineStr">
        <is>
          <t>PRAGMA</t>
        </is>
      </c>
      <c r="B7009" t="inlineStr">
        <is>
          <t>M2</t>
        </is>
      </c>
      <c r="C7009" t="inlineStr">
        <is>
          <t>Cali</t>
        </is>
      </c>
      <c r="D7009" t="inlineStr">
        <is>
          <t>5162</t>
        </is>
      </c>
      <c r="E7009" t="inlineStr">
        <is>
          <t>cash_in</t>
        </is>
      </c>
      <c r="F7009" s="23" t="n">
        <v>46266</v>
      </c>
      <c r="G7009" s="24">
        <f>F7009-DATE(2026,8,31)</f>
        <v>1</v>
      </c>
      <c r="H7009" s="25" t="n">
        <v>211670984</v>
      </c>
      <c r="I7009" t="inlineStr">
        <is>
          <t>entidad-dia</t>
        </is>
      </c>
    </row>
    <row r="7010">
      <c r="A7010" t="inlineStr">
        <is>
          <t>PRAGMA</t>
        </is>
      </c>
      <c r="B7010" t="inlineStr">
        <is>
          <t>M2</t>
        </is>
      </c>
      <c r="C7010" t="inlineStr">
        <is>
          <t>Cali</t>
        </is>
      </c>
      <c r="D7010" t="inlineStr">
        <is>
          <t>5162</t>
        </is>
      </c>
      <c r="E7010" t="inlineStr">
        <is>
          <t>pagado</t>
        </is>
      </c>
      <c r="F7010" s="23" t="n">
        <v>46267</v>
      </c>
      <c r="G7010" s="24">
        <f>F7010-DATE(2026,8,31)</f>
        <v>2</v>
      </c>
      <c r="H7010" s="25" t="n">
        <v>57155722</v>
      </c>
      <c r="I7010" t="inlineStr">
        <is>
          <t>entidad-dia</t>
        </is>
      </c>
    </row>
    <row r="7011">
      <c r="A7011" t="inlineStr">
        <is>
          <t>PRAGMA</t>
        </is>
      </c>
      <c r="B7011" t="inlineStr">
        <is>
          <t>M2</t>
        </is>
      </c>
      <c r="C7011" t="inlineStr">
        <is>
          <t>Cali</t>
        </is>
      </c>
      <c r="D7011" t="inlineStr">
        <is>
          <t>5162</t>
        </is>
      </c>
      <c r="E7011" t="inlineStr">
        <is>
          <t>cash_in</t>
        </is>
      </c>
      <c r="F7011" s="23" t="n">
        <v>46267</v>
      </c>
      <c r="G7011" s="24">
        <f>F7011-DATE(2026,8,31)</f>
        <v>2</v>
      </c>
      <c r="H7011" s="25" t="n">
        <v>193542209</v>
      </c>
      <c r="I7011" t="inlineStr">
        <is>
          <t>entidad-dia</t>
        </is>
      </c>
    </row>
    <row r="7012">
      <c r="A7012" t="inlineStr">
        <is>
          <t>PRAGMA</t>
        </is>
      </c>
      <c r="B7012" t="inlineStr">
        <is>
          <t>M2</t>
        </is>
      </c>
      <c r="C7012" t="inlineStr">
        <is>
          <t>Cali</t>
        </is>
      </c>
      <c r="D7012" t="inlineStr">
        <is>
          <t>5162</t>
        </is>
      </c>
      <c r="E7012" t="inlineStr">
        <is>
          <t>pagado</t>
        </is>
      </c>
      <c r="F7012" s="23" t="n">
        <v>46268</v>
      </c>
      <c r="G7012" s="24">
        <f>F7012-DATE(2026,8,31)</f>
        <v>3</v>
      </c>
      <c r="H7012" s="25" t="n">
        <v>52572433</v>
      </c>
      <c r="I7012" t="inlineStr">
        <is>
          <t>entidad-dia</t>
        </is>
      </c>
    </row>
    <row r="7013">
      <c r="A7013" t="inlineStr">
        <is>
          <t>PRAGMA</t>
        </is>
      </c>
      <c r="B7013" t="inlineStr">
        <is>
          <t>M2</t>
        </is>
      </c>
      <c r="C7013" t="inlineStr">
        <is>
          <t>Cali</t>
        </is>
      </c>
      <c r="D7013" t="inlineStr">
        <is>
          <t>5162</t>
        </is>
      </c>
      <c r="E7013" t="inlineStr">
        <is>
          <t>cash_in</t>
        </is>
      </c>
      <c r="F7013" s="23" t="n">
        <v>46268</v>
      </c>
      <c r="G7013" s="24">
        <f>F7013-DATE(2026,8,31)</f>
        <v>3</v>
      </c>
      <c r="H7013" s="25" t="n">
        <v>185574692</v>
      </c>
      <c r="I7013" t="inlineStr">
        <is>
          <t>entidad-dia</t>
        </is>
      </c>
    </row>
    <row r="7014">
      <c r="A7014" t="inlineStr">
        <is>
          <t>PRAGMA</t>
        </is>
      </c>
      <c r="B7014" t="inlineStr">
        <is>
          <t>M2</t>
        </is>
      </c>
      <c r="C7014" t="inlineStr">
        <is>
          <t>Cali</t>
        </is>
      </c>
      <c r="D7014" t="inlineStr">
        <is>
          <t>5162</t>
        </is>
      </c>
      <c r="E7014" t="inlineStr">
        <is>
          <t>pagado</t>
        </is>
      </c>
      <c r="F7014" s="23" t="n">
        <v>46269</v>
      </c>
      <c r="G7014" s="24">
        <f>F7014-DATE(2026,8,31)</f>
        <v>4</v>
      </c>
      <c r="H7014" s="25" t="n">
        <v>51511704</v>
      </c>
      <c r="I7014" t="inlineStr">
        <is>
          <t>entidad-dia</t>
        </is>
      </c>
    </row>
    <row r="7015">
      <c r="A7015" t="inlineStr">
        <is>
          <t>PRAGMA</t>
        </is>
      </c>
      <c r="B7015" t="inlineStr">
        <is>
          <t>M2</t>
        </is>
      </c>
      <c r="C7015" t="inlineStr">
        <is>
          <t>Cali</t>
        </is>
      </c>
      <c r="D7015" t="inlineStr">
        <is>
          <t>5162</t>
        </is>
      </c>
      <c r="E7015" t="inlineStr">
        <is>
          <t>cash_in</t>
        </is>
      </c>
      <c r="F7015" s="23" t="n">
        <v>46269</v>
      </c>
      <c r="G7015" s="24">
        <f>F7015-DATE(2026,8,31)</f>
        <v>4</v>
      </c>
      <c r="H7015" s="25" t="n">
        <v>190658410</v>
      </c>
      <c r="I7015" t="inlineStr">
        <is>
          <t>entidad-dia</t>
        </is>
      </c>
    </row>
    <row r="7016">
      <c r="A7016" t="inlineStr">
        <is>
          <t>PRAGMA</t>
        </is>
      </c>
      <c r="B7016" t="inlineStr">
        <is>
          <t>M2</t>
        </is>
      </c>
      <c r="C7016" t="inlineStr">
        <is>
          <t>Cali</t>
        </is>
      </c>
      <c r="D7016" t="inlineStr">
        <is>
          <t>5162</t>
        </is>
      </c>
      <c r="E7016" t="inlineStr">
        <is>
          <t>pagado</t>
        </is>
      </c>
      <c r="F7016" s="23" t="n">
        <v>46270</v>
      </c>
      <c r="G7016" s="24">
        <f>F7016-DATE(2026,8,31)</f>
        <v>5</v>
      </c>
      <c r="H7016" s="25" t="n">
        <v>54163992</v>
      </c>
      <c r="I7016" t="inlineStr">
        <is>
          <t>entidad-dia</t>
        </is>
      </c>
    </row>
    <row r="7017">
      <c r="A7017" t="inlineStr">
        <is>
          <t>PRAGMA</t>
        </is>
      </c>
      <c r="B7017" t="inlineStr">
        <is>
          <t>M2</t>
        </is>
      </c>
      <c r="C7017" t="inlineStr">
        <is>
          <t>Cali</t>
        </is>
      </c>
      <c r="D7017" t="inlineStr">
        <is>
          <t>5162</t>
        </is>
      </c>
      <c r="E7017" t="inlineStr">
        <is>
          <t>cash_in</t>
        </is>
      </c>
      <c r="F7017" s="23" t="n">
        <v>46270</v>
      </c>
      <c r="G7017" s="24">
        <f>F7017-DATE(2026,8,31)</f>
        <v>5</v>
      </c>
      <c r="H7017" s="25" t="n">
        <v>184925510</v>
      </c>
      <c r="I7017" t="inlineStr">
        <is>
          <t>entidad-dia</t>
        </is>
      </c>
    </row>
    <row r="7018">
      <c r="A7018" t="inlineStr">
        <is>
          <t>PRAGMA</t>
        </is>
      </c>
      <c r="B7018" t="inlineStr">
        <is>
          <t>M2</t>
        </is>
      </c>
      <c r="C7018" t="inlineStr">
        <is>
          <t>Cali</t>
        </is>
      </c>
      <c r="D7018" t="inlineStr">
        <is>
          <t>5162</t>
        </is>
      </c>
      <c r="E7018" t="inlineStr">
        <is>
          <t>pagado</t>
        </is>
      </c>
      <c r="F7018" s="23" t="n">
        <v>46271</v>
      </c>
      <c r="G7018" s="24">
        <f>F7018-DATE(2026,8,31)</f>
        <v>6</v>
      </c>
      <c r="H7018" s="25" t="n">
        <v>24009135</v>
      </c>
      <c r="I7018" t="inlineStr">
        <is>
          <t>entidad-dia</t>
        </is>
      </c>
    </row>
    <row r="7019">
      <c r="A7019" t="inlineStr">
        <is>
          <t>PRAGMA</t>
        </is>
      </c>
      <c r="B7019" t="inlineStr">
        <is>
          <t>M2</t>
        </is>
      </c>
      <c r="C7019" t="inlineStr">
        <is>
          <t>Cali</t>
        </is>
      </c>
      <c r="D7019" t="inlineStr">
        <is>
          <t>5162</t>
        </is>
      </c>
      <c r="E7019" t="inlineStr">
        <is>
          <t>cash_in</t>
        </is>
      </c>
      <c r="F7019" s="23" t="n">
        <v>46271</v>
      </c>
      <c r="G7019" s="24">
        <f>F7019-DATE(2026,8,31)</f>
        <v>6</v>
      </c>
      <c r="H7019" s="25" t="n">
        <v>94130661</v>
      </c>
      <c r="I7019" t="inlineStr">
        <is>
          <t>entidad-dia</t>
        </is>
      </c>
    </row>
    <row r="7020">
      <c r="A7020" t="inlineStr">
        <is>
          <t>PRAGMA</t>
        </is>
      </c>
      <c r="B7020" t="inlineStr">
        <is>
          <t>M2</t>
        </is>
      </c>
      <c r="C7020" t="inlineStr">
        <is>
          <t>Cali</t>
        </is>
      </c>
      <c r="D7020" t="inlineStr">
        <is>
          <t>5162</t>
        </is>
      </c>
      <c r="E7020" t="inlineStr">
        <is>
          <t>pagado</t>
        </is>
      </c>
      <c r="F7020" s="23" t="n">
        <v>46272</v>
      </c>
      <c r="G7020" s="24">
        <f>F7020-DATE(2026,8,31)</f>
        <v>7</v>
      </c>
      <c r="H7020" s="25" t="n">
        <v>43639744</v>
      </c>
      <c r="I7020" t="inlineStr">
        <is>
          <t>entidad-dia</t>
        </is>
      </c>
    </row>
    <row r="7021">
      <c r="A7021" t="inlineStr">
        <is>
          <t>PRAGMA</t>
        </is>
      </c>
      <c r="B7021" t="inlineStr">
        <is>
          <t>M2</t>
        </is>
      </c>
      <c r="C7021" t="inlineStr">
        <is>
          <t>Cali</t>
        </is>
      </c>
      <c r="D7021" t="inlineStr">
        <is>
          <t>5162</t>
        </is>
      </c>
      <c r="E7021" t="inlineStr">
        <is>
          <t>cash_in</t>
        </is>
      </c>
      <c r="F7021" s="23" t="n">
        <v>46272</v>
      </c>
      <c r="G7021" s="24">
        <f>F7021-DATE(2026,8,31)</f>
        <v>7</v>
      </c>
      <c r="H7021" s="25" t="n">
        <v>211045507</v>
      </c>
      <c r="I7021" t="inlineStr">
        <is>
          <t>entidad-dia</t>
        </is>
      </c>
    </row>
    <row r="7022">
      <c r="A7022" t="inlineStr">
        <is>
          <t>PRAGMA</t>
        </is>
      </c>
      <c r="B7022" t="inlineStr">
        <is>
          <t>M2</t>
        </is>
      </c>
      <c r="C7022" t="inlineStr">
        <is>
          <t>Cali</t>
        </is>
      </c>
      <c r="D7022" t="inlineStr">
        <is>
          <t>5162</t>
        </is>
      </c>
      <c r="E7022" t="inlineStr">
        <is>
          <t>pagado</t>
        </is>
      </c>
      <c r="F7022" s="23" t="n">
        <v>46273</v>
      </c>
      <c r="G7022" s="24">
        <f>F7022-DATE(2026,8,31)</f>
        <v>8</v>
      </c>
      <c r="H7022" s="25" t="n">
        <v>44100839</v>
      </c>
      <c r="I7022" t="inlineStr">
        <is>
          <t>entidad-dia</t>
        </is>
      </c>
    </row>
    <row r="7023">
      <c r="A7023" t="inlineStr">
        <is>
          <t>PRAGMA</t>
        </is>
      </c>
      <c r="B7023" t="inlineStr">
        <is>
          <t>M2</t>
        </is>
      </c>
      <c r="C7023" t="inlineStr">
        <is>
          <t>Cali</t>
        </is>
      </c>
      <c r="D7023" t="inlineStr">
        <is>
          <t>5162</t>
        </is>
      </c>
      <c r="E7023" t="inlineStr">
        <is>
          <t>cash_in</t>
        </is>
      </c>
      <c r="F7023" s="23" t="n">
        <v>46273</v>
      </c>
      <c r="G7023" s="24">
        <f>F7023-DATE(2026,8,31)</f>
        <v>8</v>
      </c>
      <c r="H7023" s="25" t="n">
        <v>184927893</v>
      </c>
      <c r="I7023" t="inlineStr">
        <is>
          <t>entidad-dia</t>
        </is>
      </c>
    </row>
    <row r="7024">
      <c r="A7024" t="inlineStr">
        <is>
          <t>PRAGMA</t>
        </is>
      </c>
      <c r="B7024" t="inlineStr">
        <is>
          <t>M2</t>
        </is>
      </c>
      <c r="C7024" t="inlineStr">
        <is>
          <t>Cali</t>
        </is>
      </c>
      <c r="D7024" t="inlineStr">
        <is>
          <t>5162</t>
        </is>
      </c>
      <c r="E7024" t="inlineStr">
        <is>
          <t>pagado</t>
        </is>
      </c>
      <c r="F7024" s="23" t="n">
        <v>46274</v>
      </c>
      <c r="G7024" s="24">
        <f>F7024-DATE(2026,8,31)</f>
        <v>9</v>
      </c>
      <c r="H7024" s="25" t="n">
        <v>41020306</v>
      </c>
      <c r="I7024" t="inlineStr">
        <is>
          <t>entidad-dia</t>
        </is>
      </c>
    </row>
    <row r="7025">
      <c r="A7025" t="inlineStr">
        <is>
          <t>PRAGMA</t>
        </is>
      </c>
      <c r="B7025" t="inlineStr">
        <is>
          <t>M2</t>
        </is>
      </c>
      <c r="C7025" t="inlineStr">
        <is>
          <t>Cali</t>
        </is>
      </c>
      <c r="D7025" t="inlineStr">
        <is>
          <t>5162</t>
        </is>
      </c>
      <c r="E7025" t="inlineStr">
        <is>
          <t>cash_in</t>
        </is>
      </c>
      <c r="F7025" s="23" t="n">
        <v>46274</v>
      </c>
      <c r="G7025" s="24">
        <f>F7025-DATE(2026,8,31)</f>
        <v>9</v>
      </c>
      <c r="H7025" s="25" t="n">
        <v>171462811</v>
      </c>
      <c r="I7025" t="inlineStr">
        <is>
          <t>entidad-dia</t>
        </is>
      </c>
    </row>
    <row r="7026">
      <c r="A7026" t="inlineStr">
        <is>
          <t>PRAGMA</t>
        </is>
      </c>
      <c r="B7026" t="inlineStr">
        <is>
          <t>M2</t>
        </is>
      </c>
      <c r="C7026" t="inlineStr">
        <is>
          <t>Cali</t>
        </is>
      </c>
      <c r="D7026" t="inlineStr">
        <is>
          <t>5162</t>
        </is>
      </c>
      <c r="E7026" t="inlineStr">
        <is>
          <t>pagado</t>
        </is>
      </c>
      <c r="F7026" s="23" t="n">
        <v>46275</v>
      </c>
      <c r="G7026" s="24">
        <f>F7026-DATE(2026,8,31)</f>
        <v>10</v>
      </c>
      <c r="H7026" s="25" t="n">
        <v>40556294</v>
      </c>
      <c r="I7026" t="inlineStr">
        <is>
          <t>entidad-dia</t>
        </is>
      </c>
    </row>
    <row r="7027">
      <c r="A7027" t="inlineStr">
        <is>
          <t>PRAGMA</t>
        </is>
      </c>
      <c r="B7027" t="inlineStr">
        <is>
          <t>M2</t>
        </is>
      </c>
      <c r="C7027" t="inlineStr">
        <is>
          <t>Cali</t>
        </is>
      </c>
      <c r="D7027" t="inlineStr">
        <is>
          <t>5162</t>
        </is>
      </c>
      <c r="E7027" t="inlineStr">
        <is>
          <t>cash_in</t>
        </is>
      </c>
      <c r="F7027" s="23" t="n">
        <v>46275</v>
      </c>
      <c r="G7027" s="24">
        <f>F7027-DATE(2026,8,31)</f>
        <v>10</v>
      </c>
      <c r="H7027" s="25" t="n">
        <v>161701428</v>
      </c>
      <c r="I7027" t="inlineStr">
        <is>
          <t>entidad-dia</t>
        </is>
      </c>
    </row>
    <row r="7028">
      <c r="A7028" t="inlineStr">
        <is>
          <t>PRAGMA</t>
        </is>
      </c>
      <c r="B7028" t="inlineStr">
        <is>
          <t>M2</t>
        </is>
      </c>
      <c r="C7028" t="inlineStr">
        <is>
          <t>Cali</t>
        </is>
      </c>
      <c r="D7028" t="inlineStr">
        <is>
          <t>5162</t>
        </is>
      </c>
      <c r="E7028" t="inlineStr">
        <is>
          <t>pagado</t>
        </is>
      </c>
      <c r="F7028" s="23" t="n">
        <v>46276</v>
      </c>
      <c r="G7028" s="24">
        <f>F7028-DATE(2026,8,31)</f>
        <v>11</v>
      </c>
      <c r="H7028" s="25" t="n">
        <v>41851643</v>
      </c>
      <c r="I7028" t="inlineStr">
        <is>
          <t>entidad-dia</t>
        </is>
      </c>
    </row>
    <row r="7029">
      <c r="A7029" t="inlineStr">
        <is>
          <t>PRAGMA</t>
        </is>
      </c>
      <c r="B7029" t="inlineStr">
        <is>
          <t>M2</t>
        </is>
      </c>
      <c r="C7029" t="inlineStr">
        <is>
          <t>Cali</t>
        </is>
      </c>
      <c r="D7029" t="inlineStr">
        <is>
          <t>5162</t>
        </is>
      </c>
      <c r="E7029" t="inlineStr">
        <is>
          <t>cash_in</t>
        </is>
      </c>
      <c r="F7029" s="23" t="n">
        <v>46276</v>
      </c>
      <c r="G7029" s="24">
        <f>F7029-DATE(2026,8,31)</f>
        <v>11</v>
      </c>
      <c r="H7029" s="25" t="n">
        <v>169209518</v>
      </c>
      <c r="I7029" t="inlineStr">
        <is>
          <t>entidad-dia</t>
        </is>
      </c>
    </row>
    <row r="7030">
      <c r="A7030" t="inlineStr">
        <is>
          <t>PRAGMA</t>
        </is>
      </c>
      <c r="B7030" t="inlineStr">
        <is>
          <t>M2</t>
        </is>
      </c>
      <c r="C7030" t="inlineStr">
        <is>
          <t>Cali</t>
        </is>
      </c>
      <c r="D7030" t="inlineStr">
        <is>
          <t>5162</t>
        </is>
      </c>
      <c r="E7030" t="inlineStr">
        <is>
          <t>pagado</t>
        </is>
      </c>
      <c r="F7030" s="23" t="n">
        <v>46277</v>
      </c>
      <c r="G7030" s="24">
        <f>F7030-DATE(2026,8,31)</f>
        <v>12</v>
      </c>
      <c r="H7030" s="25" t="n">
        <v>46226261</v>
      </c>
      <c r="I7030" t="inlineStr">
        <is>
          <t>entidad-dia</t>
        </is>
      </c>
    </row>
    <row r="7031">
      <c r="A7031" t="inlineStr">
        <is>
          <t>PRAGMA</t>
        </is>
      </c>
      <c r="B7031" t="inlineStr">
        <is>
          <t>M2</t>
        </is>
      </c>
      <c r="C7031" t="inlineStr">
        <is>
          <t>Cali</t>
        </is>
      </c>
      <c r="D7031" t="inlineStr">
        <is>
          <t>5162</t>
        </is>
      </c>
      <c r="E7031" t="inlineStr">
        <is>
          <t>cash_in</t>
        </is>
      </c>
      <c r="F7031" s="23" t="n">
        <v>46277</v>
      </c>
      <c r="G7031" s="24">
        <f>F7031-DATE(2026,8,31)</f>
        <v>12</v>
      </c>
      <c r="H7031" s="25" t="n">
        <v>163905461</v>
      </c>
      <c r="I7031" t="inlineStr">
        <is>
          <t>entidad-dia</t>
        </is>
      </c>
    </row>
    <row r="7032">
      <c r="A7032" t="inlineStr">
        <is>
          <t>PRAGMA</t>
        </is>
      </c>
      <c r="B7032" t="inlineStr">
        <is>
          <t>M2</t>
        </is>
      </c>
      <c r="C7032" t="inlineStr">
        <is>
          <t>Cali</t>
        </is>
      </c>
      <c r="D7032" t="inlineStr">
        <is>
          <t>5162</t>
        </is>
      </c>
      <c r="E7032" t="inlineStr">
        <is>
          <t>pagado</t>
        </is>
      </c>
      <c r="F7032" s="23" t="n">
        <v>46278</v>
      </c>
      <c r="G7032" s="24">
        <f>F7032-DATE(2026,8,31)</f>
        <v>13</v>
      </c>
      <c r="H7032" s="25" t="n">
        <v>20745945</v>
      </c>
      <c r="I7032" t="inlineStr">
        <is>
          <t>entidad-dia</t>
        </is>
      </c>
    </row>
    <row r="7033">
      <c r="A7033" t="inlineStr">
        <is>
          <t>PRAGMA</t>
        </is>
      </c>
      <c r="B7033" t="inlineStr">
        <is>
          <t>M2</t>
        </is>
      </c>
      <c r="C7033" t="inlineStr">
        <is>
          <t>Cali</t>
        </is>
      </c>
      <c r="D7033" t="inlineStr">
        <is>
          <t>5162</t>
        </is>
      </c>
      <c r="E7033" t="inlineStr">
        <is>
          <t>cash_in</t>
        </is>
      </c>
      <c r="F7033" s="23" t="n">
        <v>46278</v>
      </c>
      <c r="G7033" s="24">
        <f>F7033-DATE(2026,8,31)</f>
        <v>13</v>
      </c>
      <c r="H7033" s="25" t="n">
        <v>77955888</v>
      </c>
      <c r="I7033" t="inlineStr">
        <is>
          <t>entidad-dia</t>
        </is>
      </c>
    </row>
    <row r="7034">
      <c r="A7034" t="inlineStr">
        <is>
          <t>PRAGMA</t>
        </is>
      </c>
      <c r="B7034" t="inlineStr">
        <is>
          <t>M2</t>
        </is>
      </c>
      <c r="C7034" t="inlineStr">
        <is>
          <t>Cali</t>
        </is>
      </c>
      <c r="D7034" t="inlineStr">
        <is>
          <t>5162</t>
        </is>
      </c>
      <c r="E7034" t="inlineStr">
        <is>
          <t>pagado</t>
        </is>
      </c>
      <c r="F7034" s="23" t="n">
        <v>46279</v>
      </c>
      <c r="G7034" s="24">
        <f>F7034-DATE(2026,8,31)</f>
        <v>14</v>
      </c>
      <c r="H7034" s="25" t="n">
        <v>40485880</v>
      </c>
      <c r="I7034" t="inlineStr">
        <is>
          <t>entidad-dia</t>
        </is>
      </c>
    </row>
    <row r="7035">
      <c r="A7035" t="inlineStr">
        <is>
          <t>PRAGMA</t>
        </is>
      </c>
      <c r="B7035" t="inlineStr">
        <is>
          <t>M2</t>
        </is>
      </c>
      <c r="C7035" t="inlineStr">
        <is>
          <t>Cali</t>
        </is>
      </c>
      <c r="D7035" t="inlineStr">
        <is>
          <t>5162</t>
        </is>
      </c>
      <c r="E7035" t="inlineStr">
        <is>
          <t>cash_in</t>
        </is>
      </c>
      <c r="F7035" s="23" t="n">
        <v>46279</v>
      </c>
      <c r="G7035" s="24">
        <f>F7035-DATE(2026,8,31)</f>
        <v>14</v>
      </c>
      <c r="H7035" s="25" t="n">
        <v>183184382</v>
      </c>
      <c r="I7035" t="inlineStr">
        <is>
          <t>entidad-dia</t>
        </is>
      </c>
    </row>
    <row r="7036">
      <c r="A7036" t="inlineStr">
        <is>
          <t>PRAGMA</t>
        </is>
      </c>
      <c r="B7036" t="inlineStr">
        <is>
          <t>M2</t>
        </is>
      </c>
      <c r="C7036" t="inlineStr">
        <is>
          <t>Cali</t>
        </is>
      </c>
      <c r="D7036" t="inlineStr">
        <is>
          <t>5162</t>
        </is>
      </c>
      <c r="E7036" t="inlineStr">
        <is>
          <t>pagado</t>
        </is>
      </c>
      <c r="F7036" s="23" t="n">
        <v>46280</v>
      </c>
      <c r="G7036" s="24">
        <f>F7036-DATE(2026,8,31)</f>
        <v>15</v>
      </c>
      <c r="H7036" s="25" t="n">
        <v>53814698</v>
      </c>
      <c r="I7036" t="inlineStr">
        <is>
          <t>entidad-dia</t>
        </is>
      </c>
    </row>
    <row r="7037">
      <c r="A7037" t="inlineStr">
        <is>
          <t>PRAGMA</t>
        </is>
      </c>
      <c r="B7037" t="inlineStr">
        <is>
          <t>M2</t>
        </is>
      </c>
      <c r="C7037" t="inlineStr">
        <is>
          <t>Cali</t>
        </is>
      </c>
      <c r="D7037" t="inlineStr">
        <is>
          <t>5162</t>
        </is>
      </c>
      <c r="E7037" t="inlineStr">
        <is>
          <t>cash_in</t>
        </is>
      </c>
      <c r="F7037" s="23" t="n">
        <v>46280</v>
      </c>
      <c r="G7037" s="24">
        <f>F7037-DATE(2026,8,31)</f>
        <v>15</v>
      </c>
      <c r="H7037" s="25" t="n">
        <v>191056345</v>
      </c>
      <c r="I7037" t="inlineStr">
        <is>
          <t>entidad-dia</t>
        </is>
      </c>
    </row>
    <row r="7038">
      <c r="A7038" t="inlineStr">
        <is>
          <t>PRAGMA</t>
        </is>
      </c>
      <c r="B7038" t="inlineStr">
        <is>
          <t>M2</t>
        </is>
      </c>
      <c r="C7038" t="inlineStr">
        <is>
          <t>Cali</t>
        </is>
      </c>
      <c r="D7038" t="inlineStr">
        <is>
          <t>5177</t>
        </is>
      </c>
      <c r="E7038" t="inlineStr">
        <is>
          <t>pagado</t>
        </is>
      </c>
      <c r="F7038" s="23" t="n">
        <v>46266</v>
      </c>
      <c r="G7038" s="24">
        <f>F7038-DATE(2026,8,31)</f>
        <v>1</v>
      </c>
      <c r="H7038" s="25" t="n">
        <v>53665764</v>
      </c>
      <c r="I7038" t="inlineStr">
        <is>
          <t>entidad-dia</t>
        </is>
      </c>
    </row>
    <row r="7039">
      <c r="A7039" t="inlineStr">
        <is>
          <t>PRAGMA</t>
        </is>
      </c>
      <c r="B7039" t="inlineStr">
        <is>
          <t>M2</t>
        </is>
      </c>
      <c r="C7039" t="inlineStr">
        <is>
          <t>Cali</t>
        </is>
      </c>
      <c r="D7039" t="inlineStr">
        <is>
          <t>5177</t>
        </is>
      </c>
      <c r="E7039" t="inlineStr">
        <is>
          <t>cash_in</t>
        </is>
      </c>
      <c r="F7039" s="23" t="n">
        <v>46266</v>
      </c>
      <c r="G7039" s="24">
        <f>F7039-DATE(2026,8,31)</f>
        <v>1</v>
      </c>
      <c r="H7039" s="25" t="n">
        <v>77459445</v>
      </c>
      <c r="I7039" t="inlineStr">
        <is>
          <t>entidad-dia</t>
        </is>
      </c>
    </row>
    <row r="7040">
      <c r="A7040" t="inlineStr">
        <is>
          <t>PRAGMA</t>
        </is>
      </c>
      <c r="B7040" t="inlineStr">
        <is>
          <t>M2</t>
        </is>
      </c>
      <c r="C7040" t="inlineStr">
        <is>
          <t>Cali</t>
        </is>
      </c>
      <c r="D7040" t="inlineStr">
        <is>
          <t>5177</t>
        </is>
      </c>
      <c r="E7040" t="inlineStr">
        <is>
          <t>pagado</t>
        </is>
      </c>
      <c r="F7040" s="23" t="n">
        <v>46267</v>
      </c>
      <c r="G7040" s="24">
        <f>F7040-DATE(2026,8,31)</f>
        <v>2</v>
      </c>
      <c r="H7040" s="25" t="n">
        <v>47581846</v>
      </c>
      <c r="I7040" t="inlineStr">
        <is>
          <t>entidad-dia</t>
        </is>
      </c>
    </row>
    <row r="7041">
      <c r="A7041" t="inlineStr">
        <is>
          <t>PRAGMA</t>
        </is>
      </c>
      <c r="B7041" t="inlineStr">
        <is>
          <t>M2</t>
        </is>
      </c>
      <c r="C7041" t="inlineStr">
        <is>
          <t>Cali</t>
        </is>
      </c>
      <c r="D7041" t="inlineStr">
        <is>
          <t>5177</t>
        </is>
      </c>
      <c r="E7041" t="inlineStr">
        <is>
          <t>cash_in</t>
        </is>
      </c>
      <c r="F7041" s="23" t="n">
        <v>46267</v>
      </c>
      <c r="G7041" s="24">
        <f>F7041-DATE(2026,8,31)</f>
        <v>2</v>
      </c>
      <c r="H7041" s="25" t="n">
        <v>70489546</v>
      </c>
      <c r="I7041" t="inlineStr">
        <is>
          <t>entidad-dia</t>
        </is>
      </c>
    </row>
    <row r="7042">
      <c r="A7042" t="inlineStr">
        <is>
          <t>PRAGMA</t>
        </is>
      </c>
      <c r="B7042" t="inlineStr">
        <is>
          <t>M2</t>
        </is>
      </c>
      <c r="C7042" t="inlineStr">
        <is>
          <t>Cali</t>
        </is>
      </c>
      <c r="D7042" t="inlineStr">
        <is>
          <t>5177</t>
        </is>
      </c>
      <c r="E7042" t="inlineStr">
        <is>
          <t>pagado</t>
        </is>
      </c>
      <c r="F7042" s="23" t="n">
        <v>46268</v>
      </c>
      <c r="G7042" s="24">
        <f>F7042-DATE(2026,8,31)</f>
        <v>3</v>
      </c>
      <c r="H7042" s="25" t="n">
        <v>45096918</v>
      </c>
      <c r="I7042" t="inlineStr">
        <is>
          <t>entidad-dia</t>
        </is>
      </c>
    </row>
    <row r="7043">
      <c r="A7043" t="inlineStr">
        <is>
          <t>PRAGMA</t>
        </is>
      </c>
      <c r="B7043" t="inlineStr">
        <is>
          <t>M2</t>
        </is>
      </c>
      <c r="C7043" t="inlineStr">
        <is>
          <t>Cali</t>
        </is>
      </c>
      <c r="D7043" t="inlineStr">
        <is>
          <t>5177</t>
        </is>
      </c>
      <c r="E7043" t="inlineStr">
        <is>
          <t>cash_in</t>
        </is>
      </c>
      <c r="F7043" s="23" t="n">
        <v>46268</v>
      </c>
      <c r="G7043" s="24">
        <f>F7043-DATE(2026,8,31)</f>
        <v>3</v>
      </c>
      <c r="H7043" s="25" t="n">
        <v>68627969</v>
      </c>
      <c r="I7043" t="inlineStr">
        <is>
          <t>entidad-dia</t>
        </is>
      </c>
    </row>
    <row r="7044">
      <c r="A7044" t="inlineStr">
        <is>
          <t>PRAGMA</t>
        </is>
      </c>
      <c r="B7044" t="inlineStr">
        <is>
          <t>M2</t>
        </is>
      </c>
      <c r="C7044" t="inlineStr">
        <is>
          <t>Cali</t>
        </is>
      </c>
      <c r="D7044" t="inlineStr">
        <is>
          <t>5177</t>
        </is>
      </c>
      <c r="E7044" t="inlineStr">
        <is>
          <t>pagado</t>
        </is>
      </c>
      <c r="F7044" s="23" t="n">
        <v>46269</v>
      </c>
      <c r="G7044" s="24">
        <f>F7044-DATE(2026,8,31)</f>
        <v>4</v>
      </c>
      <c r="H7044" s="25" t="n">
        <v>42857503</v>
      </c>
      <c r="I7044" t="inlineStr">
        <is>
          <t>entidad-dia</t>
        </is>
      </c>
    </row>
    <row r="7045">
      <c r="A7045" t="inlineStr">
        <is>
          <t>PRAGMA</t>
        </is>
      </c>
      <c r="B7045" t="inlineStr">
        <is>
          <t>M2</t>
        </is>
      </c>
      <c r="C7045" t="inlineStr">
        <is>
          <t>Cali</t>
        </is>
      </c>
      <c r="D7045" t="inlineStr">
        <is>
          <t>5177</t>
        </is>
      </c>
      <c r="E7045" t="inlineStr">
        <is>
          <t>cash_in</t>
        </is>
      </c>
      <c r="F7045" s="23" t="n">
        <v>46269</v>
      </c>
      <c r="G7045" s="24">
        <f>F7045-DATE(2026,8,31)</f>
        <v>4</v>
      </c>
      <c r="H7045" s="25" t="n">
        <v>70980795</v>
      </c>
      <c r="I7045" t="inlineStr">
        <is>
          <t>entidad-dia</t>
        </is>
      </c>
    </row>
    <row r="7046">
      <c r="A7046" t="inlineStr">
        <is>
          <t>PRAGMA</t>
        </is>
      </c>
      <c r="B7046" t="inlineStr">
        <is>
          <t>M2</t>
        </is>
      </c>
      <c r="C7046" t="inlineStr">
        <is>
          <t>Cali</t>
        </is>
      </c>
      <c r="D7046" t="inlineStr">
        <is>
          <t>5177</t>
        </is>
      </c>
      <c r="E7046" t="inlineStr">
        <is>
          <t>pagado</t>
        </is>
      </c>
      <c r="F7046" s="23" t="n">
        <v>46270</v>
      </c>
      <c r="G7046" s="24">
        <f>F7046-DATE(2026,8,31)</f>
        <v>5</v>
      </c>
      <c r="H7046" s="25" t="n">
        <v>41538742</v>
      </c>
      <c r="I7046" t="inlineStr">
        <is>
          <t>entidad-dia</t>
        </is>
      </c>
    </row>
    <row r="7047">
      <c r="A7047" t="inlineStr">
        <is>
          <t>PRAGMA</t>
        </is>
      </c>
      <c r="B7047" t="inlineStr">
        <is>
          <t>M2</t>
        </is>
      </c>
      <c r="C7047" t="inlineStr">
        <is>
          <t>Cali</t>
        </is>
      </c>
      <c r="D7047" t="inlineStr">
        <is>
          <t>5177</t>
        </is>
      </c>
      <c r="E7047" t="inlineStr">
        <is>
          <t>cash_in</t>
        </is>
      </c>
      <c r="F7047" s="23" t="n">
        <v>46270</v>
      </c>
      <c r="G7047" s="24">
        <f>F7047-DATE(2026,8,31)</f>
        <v>5</v>
      </c>
      <c r="H7047" s="25" t="n">
        <v>63316799</v>
      </c>
      <c r="I7047" t="inlineStr">
        <is>
          <t>entidad-dia</t>
        </is>
      </c>
    </row>
    <row r="7048">
      <c r="A7048" t="inlineStr">
        <is>
          <t>PRAGMA</t>
        </is>
      </c>
      <c r="B7048" t="inlineStr">
        <is>
          <t>M2</t>
        </is>
      </c>
      <c r="C7048" t="inlineStr">
        <is>
          <t>Cali</t>
        </is>
      </c>
      <c r="D7048" t="inlineStr">
        <is>
          <t>5177</t>
        </is>
      </c>
      <c r="E7048" t="inlineStr">
        <is>
          <t>pagado</t>
        </is>
      </c>
      <c r="F7048" s="23" t="n">
        <v>46271</v>
      </c>
      <c r="G7048" s="24">
        <f>F7048-DATE(2026,8,31)</f>
        <v>6</v>
      </c>
      <c r="H7048" s="25" t="n">
        <v>22401593</v>
      </c>
      <c r="I7048" t="inlineStr">
        <is>
          <t>entidad-dia</t>
        </is>
      </c>
    </row>
    <row r="7049">
      <c r="A7049" t="inlineStr">
        <is>
          <t>PRAGMA</t>
        </is>
      </c>
      <c r="B7049" t="inlineStr">
        <is>
          <t>M2</t>
        </is>
      </c>
      <c r="C7049" t="inlineStr">
        <is>
          <t>Cali</t>
        </is>
      </c>
      <c r="D7049" t="inlineStr">
        <is>
          <t>5177</t>
        </is>
      </c>
      <c r="E7049" t="inlineStr">
        <is>
          <t>cash_in</t>
        </is>
      </c>
      <c r="F7049" s="23" t="n">
        <v>46271</v>
      </c>
      <c r="G7049" s="24">
        <f>F7049-DATE(2026,8,31)</f>
        <v>6</v>
      </c>
      <c r="H7049" s="25" t="n">
        <v>35110113</v>
      </c>
      <c r="I7049" t="inlineStr">
        <is>
          <t>entidad-dia</t>
        </is>
      </c>
    </row>
    <row r="7050">
      <c r="A7050" t="inlineStr">
        <is>
          <t>PRAGMA</t>
        </is>
      </c>
      <c r="B7050" t="inlineStr">
        <is>
          <t>M2</t>
        </is>
      </c>
      <c r="C7050" t="inlineStr">
        <is>
          <t>Cali</t>
        </is>
      </c>
      <c r="D7050" t="inlineStr">
        <is>
          <t>5177</t>
        </is>
      </c>
      <c r="E7050" t="inlineStr">
        <is>
          <t>pagado</t>
        </is>
      </c>
      <c r="F7050" s="23" t="n">
        <v>46272</v>
      </c>
      <c r="G7050" s="24">
        <f>F7050-DATE(2026,8,31)</f>
        <v>7</v>
      </c>
      <c r="H7050" s="25" t="n">
        <v>35223133</v>
      </c>
      <c r="I7050" t="inlineStr">
        <is>
          <t>entidad-dia</t>
        </is>
      </c>
    </row>
    <row r="7051">
      <c r="A7051" t="inlineStr">
        <is>
          <t>PRAGMA</t>
        </is>
      </c>
      <c r="B7051" t="inlineStr">
        <is>
          <t>M2</t>
        </is>
      </c>
      <c r="C7051" t="inlineStr">
        <is>
          <t>Cali</t>
        </is>
      </c>
      <c r="D7051" t="inlineStr">
        <is>
          <t>5177</t>
        </is>
      </c>
      <c r="E7051" t="inlineStr">
        <is>
          <t>cash_in</t>
        </is>
      </c>
      <c r="F7051" s="23" t="n">
        <v>46272</v>
      </c>
      <c r="G7051" s="24">
        <f>F7051-DATE(2026,8,31)</f>
        <v>7</v>
      </c>
      <c r="H7051" s="25" t="n">
        <v>71366726</v>
      </c>
      <c r="I7051" t="inlineStr">
        <is>
          <t>entidad-dia</t>
        </is>
      </c>
    </row>
    <row r="7052">
      <c r="A7052" t="inlineStr">
        <is>
          <t>PRAGMA</t>
        </is>
      </c>
      <c r="B7052" t="inlineStr">
        <is>
          <t>M2</t>
        </is>
      </c>
      <c r="C7052" t="inlineStr">
        <is>
          <t>Cali</t>
        </is>
      </c>
      <c r="D7052" t="inlineStr">
        <is>
          <t>5177</t>
        </is>
      </c>
      <c r="E7052" t="inlineStr">
        <is>
          <t>pagado</t>
        </is>
      </c>
      <c r="F7052" s="23" t="n">
        <v>46273</v>
      </c>
      <c r="G7052" s="24">
        <f>F7052-DATE(2026,8,31)</f>
        <v>8</v>
      </c>
      <c r="H7052" s="25" t="n">
        <v>35045707</v>
      </c>
      <c r="I7052" t="inlineStr">
        <is>
          <t>entidad-dia</t>
        </is>
      </c>
    </row>
    <row r="7053">
      <c r="A7053" t="inlineStr">
        <is>
          <t>PRAGMA</t>
        </is>
      </c>
      <c r="B7053" t="inlineStr">
        <is>
          <t>M2</t>
        </is>
      </c>
      <c r="C7053" t="inlineStr">
        <is>
          <t>Cali</t>
        </is>
      </c>
      <c r="D7053" t="inlineStr">
        <is>
          <t>5177</t>
        </is>
      </c>
      <c r="E7053" t="inlineStr">
        <is>
          <t>cash_in</t>
        </is>
      </c>
      <c r="F7053" s="23" t="n">
        <v>46273</v>
      </c>
      <c r="G7053" s="24">
        <f>F7053-DATE(2026,8,31)</f>
        <v>8</v>
      </c>
      <c r="H7053" s="25" t="n">
        <v>62351477</v>
      </c>
      <c r="I7053" t="inlineStr">
        <is>
          <t>entidad-dia</t>
        </is>
      </c>
    </row>
    <row r="7054">
      <c r="A7054" t="inlineStr">
        <is>
          <t>PRAGMA</t>
        </is>
      </c>
      <c r="B7054" t="inlineStr">
        <is>
          <t>M2</t>
        </is>
      </c>
      <c r="C7054" t="inlineStr">
        <is>
          <t>Cali</t>
        </is>
      </c>
      <c r="D7054" t="inlineStr">
        <is>
          <t>5177</t>
        </is>
      </c>
      <c r="E7054" t="inlineStr">
        <is>
          <t>pagado</t>
        </is>
      </c>
      <c r="F7054" s="23" t="n">
        <v>46274</v>
      </c>
      <c r="G7054" s="24">
        <f>F7054-DATE(2026,8,31)</f>
        <v>9</v>
      </c>
      <c r="H7054" s="25" t="n">
        <v>35946814</v>
      </c>
      <c r="I7054" t="inlineStr">
        <is>
          <t>entidad-dia</t>
        </is>
      </c>
    </row>
    <row r="7055">
      <c r="A7055" t="inlineStr">
        <is>
          <t>PRAGMA</t>
        </is>
      </c>
      <c r="B7055" t="inlineStr">
        <is>
          <t>M2</t>
        </is>
      </c>
      <c r="C7055" t="inlineStr">
        <is>
          <t>Cali</t>
        </is>
      </c>
      <c r="D7055" t="inlineStr">
        <is>
          <t>5177</t>
        </is>
      </c>
      <c r="E7055" t="inlineStr">
        <is>
          <t>cash_in</t>
        </is>
      </c>
      <c r="F7055" s="23" t="n">
        <v>46274</v>
      </c>
      <c r="G7055" s="24">
        <f>F7055-DATE(2026,8,31)</f>
        <v>9</v>
      </c>
      <c r="H7055" s="25" t="n">
        <v>59120562</v>
      </c>
      <c r="I7055" t="inlineStr">
        <is>
          <t>entidad-dia</t>
        </is>
      </c>
    </row>
    <row r="7056">
      <c r="A7056" t="inlineStr">
        <is>
          <t>PRAGMA</t>
        </is>
      </c>
      <c r="B7056" t="inlineStr">
        <is>
          <t>M2</t>
        </is>
      </c>
      <c r="C7056" t="inlineStr">
        <is>
          <t>Cali</t>
        </is>
      </c>
      <c r="D7056" t="inlineStr">
        <is>
          <t>5177</t>
        </is>
      </c>
      <c r="E7056" t="inlineStr">
        <is>
          <t>pagado</t>
        </is>
      </c>
      <c r="F7056" s="23" t="n">
        <v>46275</v>
      </c>
      <c r="G7056" s="24">
        <f>F7056-DATE(2026,8,31)</f>
        <v>10</v>
      </c>
      <c r="H7056" s="25" t="n">
        <v>34925352</v>
      </c>
      <c r="I7056" t="inlineStr">
        <is>
          <t>entidad-dia</t>
        </is>
      </c>
    </row>
    <row r="7057">
      <c r="A7057" t="inlineStr">
        <is>
          <t>PRAGMA</t>
        </is>
      </c>
      <c r="B7057" t="inlineStr">
        <is>
          <t>M2</t>
        </is>
      </c>
      <c r="C7057" t="inlineStr">
        <is>
          <t>Cali</t>
        </is>
      </c>
      <c r="D7057" t="inlineStr">
        <is>
          <t>5177</t>
        </is>
      </c>
      <c r="E7057" t="inlineStr">
        <is>
          <t>cash_in</t>
        </is>
      </c>
      <c r="F7057" s="23" t="n">
        <v>46275</v>
      </c>
      <c r="G7057" s="24">
        <f>F7057-DATE(2026,8,31)</f>
        <v>10</v>
      </c>
      <c r="H7057" s="25" t="n">
        <v>55113500</v>
      </c>
      <c r="I7057" t="inlineStr">
        <is>
          <t>entidad-dia</t>
        </is>
      </c>
    </row>
    <row r="7058">
      <c r="A7058" t="inlineStr">
        <is>
          <t>PRAGMA</t>
        </is>
      </c>
      <c r="B7058" t="inlineStr">
        <is>
          <t>M2</t>
        </is>
      </c>
      <c r="C7058" t="inlineStr">
        <is>
          <t>Cali</t>
        </is>
      </c>
      <c r="D7058" t="inlineStr">
        <is>
          <t>5177</t>
        </is>
      </c>
      <c r="E7058" t="inlineStr">
        <is>
          <t>pagado</t>
        </is>
      </c>
      <c r="F7058" s="23" t="n">
        <v>46276</v>
      </c>
      <c r="G7058" s="24">
        <f>F7058-DATE(2026,8,31)</f>
        <v>11</v>
      </c>
      <c r="H7058" s="25" t="n">
        <v>35822995</v>
      </c>
      <c r="I7058" t="inlineStr">
        <is>
          <t>entidad-dia</t>
        </is>
      </c>
    </row>
    <row r="7059">
      <c r="A7059" t="inlineStr">
        <is>
          <t>PRAGMA</t>
        </is>
      </c>
      <c r="B7059" t="inlineStr">
        <is>
          <t>M2</t>
        </is>
      </c>
      <c r="C7059" t="inlineStr">
        <is>
          <t>Cali</t>
        </is>
      </c>
      <c r="D7059" t="inlineStr">
        <is>
          <t>5177</t>
        </is>
      </c>
      <c r="E7059" t="inlineStr">
        <is>
          <t>cash_in</t>
        </is>
      </c>
      <c r="F7059" s="23" t="n">
        <v>46276</v>
      </c>
      <c r="G7059" s="24">
        <f>F7059-DATE(2026,8,31)</f>
        <v>11</v>
      </c>
      <c r="H7059" s="25" t="n">
        <v>50630031</v>
      </c>
      <c r="I7059" t="inlineStr">
        <is>
          <t>entidad-dia</t>
        </is>
      </c>
    </row>
    <row r="7060">
      <c r="A7060" t="inlineStr">
        <is>
          <t>PRAGMA</t>
        </is>
      </c>
      <c r="B7060" t="inlineStr">
        <is>
          <t>M2</t>
        </is>
      </c>
      <c r="C7060" t="inlineStr">
        <is>
          <t>Cali</t>
        </is>
      </c>
      <c r="D7060" t="inlineStr">
        <is>
          <t>5177</t>
        </is>
      </c>
      <c r="E7060" t="inlineStr">
        <is>
          <t>pagado</t>
        </is>
      </c>
      <c r="F7060" s="23" t="n">
        <v>46277</v>
      </c>
      <c r="G7060" s="24">
        <f>F7060-DATE(2026,8,31)</f>
        <v>12</v>
      </c>
      <c r="H7060" s="25" t="n">
        <v>33424492</v>
      </c>
      <c r="I7060" t="inlineStr">
        <is>
          <t>entidad-dia</t>
        </is>
      </c>
    </row>
    <row r="7061">
      <c r="A7061" t="inlineStr">
        <is>
          <t>PRAGMA</t>
        </is>
      </c>
      <c r="B7061" t="inlineStr">
        <is>
          <t>M2</t>
        </is>
      </c>
      <c r="C7061" t="inlineStr">
        <is>
          <t>Cali</t>
        </is>
      </c>
      <c r="D7061" t="inlineStr">
        <is>
          <t>5177</t>
        </is>
      </c>
      <c r="E7061" t="inlineStr">
        <is>
          <t>cash_in</t>
        </is>
      </c>
      <c r="F7061" s="23" t="n">
        <v>46277</v>
      </c>
      <c r="G7061" s="24">
        <f>F7061-DATE(2026,8,31)</f>
        <v>12</v>
      </c>
      <c r="H7061" s="25" t="n">
        <v>47757212</v>
      </c>
      <c r="I7061" t="inlineStr">
        <is>
          <t>entidad-dia</t>
        </is>
      </c>
    </row>
    <row r="7062">
      <c r="A7062" t="inlineStr">
        <is>
          <t>PRAGMA</t>
        </is>
      </c>
      <c r="B7062" t="inlineStr">
        <is>
          <t>M2</t>
        </is>
      </c>
      <c r="C7062" t="inlineStr">
        <is>
          <t>Cali</t>
        </is>
      </c>
      <c r="D7062" t="inlineStr">
        <is>
          <t>5177</t>
        </is>
      </c>
      <c r="E7062" t="inlineStr">
        <is>
          <t>pagado</t>
        </is>
      </c>
      <c r="F7062" s="23" t="n">
        <v>46278</v>
      </c>
      <c r="G7062" s="24">
        <f>F7062-DATE(2026,8,31)</f>
        <v>13</v>
      </c>
      <c r="H7062" s="25" t="n">
        <v>19218487</v>
      </c>
      <c r="I7062" t="inlineStr">
        <is>
          <t>entidad-dia</t>
        </is>
      </c>
    </row>
    <row r="7063">
      <c r="A7063" t="inlineStr">
        <is>
          <t>PRAGMA</t>
        </is>
      </c>
      <c r="B7063" t="inlineStr">
        <is>
          <t>M2</t>
        </is>
      </c>
      <c r="C7063" t="inlineStr">
        <is>
          <t>Cali</t>
        </is>
      </c>
      <c r="D7063" t="inlineStr">
        <is>
          <t>5177</t>
        </is>
      </c>
      <c r="E7063" t="inlineStr">
        <is>
          <t>cash_in</t>
        </is>
      </c>
      <c r="F7063" s="23" t="n">
        <v>46278</v>
      </c>
      <c r="G7063" s="24">
        <f>F7063-DATE(2026,8,31)</f>
        <v>13</v>
      </c>
      <c r="H7063" s="25" t="n">
        <v>22597871</v>
      </c>
      <c r="I7063" t="inlineStr">
        <is>
          <t>entidad-dia</t>
        </is>
      </c>
    </row>
    <row r="7064">
      <c r="A7064" t="inlineStr">
        <is>
          <t>PRAGMA</t>
        </is>
      </c>
      <c r="B7064" t="inlineStr">
        <is>
          <t>M2</t>
        </is>
      </c>
      <c r="C7064" t="inlineStr">
        <is>
          <t>Cali</t>
        </is>
      </c>
      <c r="D7064" t="inlineStr">
        <is>
          <t>5177</t>
        </is>
      </c>
      <c r="E7064" t="inlineStr">
        <is>
          <t>pagado</t>
        </is>
      </c>
      <c r="F7064" s="23" t="n">
        <v>46279</v>
      </c>
      <c r="G7064" s="24">
        <f>F7064-DATE(2026,8,31)</f>
        <v>14</v>
      </c>
      <c r="H7064" s="25" t="n">
        <v>29272699</v>
      </c>
      <c r="I7064" t="inlineStr">
        <is>
          <t>entidad-dia</t>
        </is>
      </c>
    </row>
    <row r="7065">
      <c r="A7065" t="inlineStr">
        <is>
          <t>PRAGMA</t>
        </is>
      </c>
      <c r="B7065" t="inlineStr">
        <is>
          <t>M2</t>
        </is>
      </c>
      <c r="C7065" t="inlineStr">
        <is>
          <t>Cali</t>
        </is>
      </c>
      <c r="D7065" t="inlineStr">
        <is>
          <t>5177</t>
        </is>
      </c>
      <c r="E7065" t="inlineStr">
        <is>
          <t>cash_in</t>
        </is>
      </c>
      <c r="F7065" s="23" t="n">
        <v>46279</v>
      </c>
      <c r="G7065" s="24">
        <f>F7065-DATE(2026,8,31)</f>
        <v>14</v>
      </c>
      <c r="H7065" s="25" t="n">
        <v>57944297</v>
      </c>
      <c r="I7065" t="inlineStr">
        <is>
          <t>entidad-dia</t>
        </is>
      </c>
    </row>
    <row r="7066">
      <c r="A7066" t="inlineStr">
        <is>
          <t>PRAGMA</t>
        </is>
      </c>
      <c r="B7066" t="inlineStr">
        <is>
          <t>M2</t>
        </is>
      </c>
      <c r="C7066" t="inlineStr">
        <is>
          <t>Cali</t>
        </is>
      </c>
      <c r="D7066" t="inlineStr">
        <is>
          <t>5177</t>
        </is>
      </c>
      <c r="E7066" t="inlineStr">
        <is>
          <t>pagado</t>
        </is>
      </c>
      <c r="F7066" s="23" t="n">
        <v>46280</v>
      </c>
      <c r="G7066" s="24">
        <f>F7066-DATE(2026,8,31)</f>
        <v>15</v>
      </c>
      <c r="H7066" s="25" t="n">
        <v>44414351</v>
      </c>
      <c r="I7066" t="inlineStr">
        <is>
          <t>entidad-dia</t>
        </is>
      </c>
    </row>
    <row r="7067">
      <c r="A7067" t="inlineStr">
        <is>
          <t>PRAGMA</t>
        </is>
      </c>
      <c r="B7067" t="inlineStr">
        <is>
          <t>M2</t>
        </is>
      </c>
      <c r="C7067" t="inlineStr">
        <is>
          <t>Cali</t>
        </is>
      </c>
      <c r="D7067" t="inlineStr">
        <is>
          <t>5177</t>
        </is>
      </c>
      <c r="E7067" t="inlineStr">
        <is>
          <t>cash_in</t>
        </is>
      </c>
      <c r="F7067" s="23" t="n">
        <v>46280</v>
      </c>
      <c r="G7067" s="24">
        <f>F7067-DATE(2026,8,31)</f>
        <v>15</v>
      </c>
      <c r="H7067" s="25" t="n">
        <v>68762329</v>
      </c>
      <c r="I7067" t="inlineStr">
        <is>
          <t>entidad-dia</t>
        </is>
      </c>
    </row>
    <row r="7068">
      <c r="A7068" t="inlineStr">
        <is>
          <t>PRAGMA</t>
        </is>
      </c>
      <c r="B7068" t="inlineStr">
        <is>
          <t>M2</t>
        </is>
      </c>
      <c r="C7068" t="inlineStr">
        <is>
          <t>Cali</t>
        </is>
      </c>
      <c r="D7068" t="inlineStr">
        <is>
          <t>5197</t>
        </is>
      </c>
      <c r="E7068" t="inlineStr">
        <is>
          <t>pagado</t>
        </is>
      </c>
      <c r="F7068" s="23" t="n">
        <v>46266</v>
      </c>
      <c r="G7068" s="24">
        <f>F7068-DATE(2026,8,31)</f>
        <v>1</v>
      </c>
      <c r="H7068" s="25" t="n">
        <v>39147366</v>
      </c>
      <c r="I7068" t="inlineStr">
        <is>
          <t>entidad-dia</t>
        </is>
      </c>
    </row>
    <row r="7069">
      <c r="A7069" t="inlineStr">
        <is>
          <t>PRAGMA</t>
        </is>
      </c>
      <c r="B7069" t="inlineStr">
        <is>
          <t>M2</t>
        </is>
      </c>
      <c r="C7069" t="inlineStr">
        <is>
          <t>Cali</t>
        </is>
      </c>
      <c r="D7069" t="inlineStr">
        <is>
          <t>5197</t>
        </is>
      </c>
      <c r="E7069" t="inlineStr">
        <is>
          <t>cash_in</t>
        </is>
      </c>
      <c r="F7069" s="23" t="n">
        <v>46266</v>
      </c>
      <c r="G7069" s="24">
        <f>F7069-DATE(2026,8,31)</f>
        <v>1</v>
      </c>
      <c r="H7069" s="25" t="n">
        <v>223981114</v>
      </c>
      <c r="I7069" t="inlineStr">
        <is>
          <t>entidad-dia</t>
        </is>
      </c>
    </row>
    <row r="7070">
      <c r="A7070" t="inlineStr">
        <is>
          <t>PRAGMA</t>
        </is>
      </c>
      <c r="B7070" t="inlineStr">
        <is>
          <t>M2</t>
        </is>
      </c>
      <c r="C7070" t="inlineStr">
        <is>
          <t>Cali</t>
        </is>
      </c>
      <c r="D7070" t="inlineStr">
        <is>
          <t>5197</t>
        </is>
      </c>
      <c r="E7070" t="inlineStr">
        <is>
          <t>pagado</t>
        </is>
      </c>
      <c r="F7070" s="23" t="n">
        <v>46267</v>
      </c>
      <c r="G7070" s="24">
        <f>F7070-DATE(2026,8,31)</f>
        <v>2</v>
      </c>
      <c r="H7070" s="25" t="n">
        <v>34476484</v>
      </c>
      <c r="I7070" t="inlineStr">
        <is>
          <t>entidad-dia</t>
        </is>
      </c>
    </row>
    <row r="7071">
      <c r="A7071" t="inlineStr">
        <is>
          <t>PRAGMA</t>
        </is>
      </c>
      <c r="B7071" t="inlineStr">
        <is>
          <t>M2</t>
        </is>
      </c>
      <c r="C7071" t="inlineStr">
        <is>
          <t>Cali</t>
        </is>
      </c>
      <c r="D7071" t="inlineStr">
        <is>
          <t>5197</t>
        </is>
      </c>
      <c r="E7071" t="inlineStr">
        <is>
          <t>cash_in</t>
        </is>
      </c>
      <c r="F7071" s="23" t="n">
        <v>46267</v>
      </c>
      <c r="G7071" s="24">
        <f>F7071-DATE(2026,8,31)</f>
        <v>2</v>
      </c>
      <c r="H7071" s="25" t="n">
        <v>189478500</v>
      </c>
      <c r="I7071" t="inlineStr">
        <is>
          <t>entidad-dia</t>
        </is>
      </c>
    </row>
    <row r="7072">
      <c r="A7072" t="inlineStr">
        <is>
          <t>PRAGMA</t>
        </is>
      </c>
      <c r="B7072" t="inlineStr">
        <is>
          <t>M2</t>
        </is>
      </c>
      <c r="C7072" t="inlineStr">
        <is>
          <t>Cali</t>
        </is>
      </c>
      <c r="D7072" t="inlineStr">
        <is>
          <t>5197</t>
        </is>
      </c>
      <c r="E7072" t="inlineStr">
        <is>
          <t>pagado</t>
        </is>
      </c>
      <c r="F7072" s="23" t="n">
        <v>46268</v>
      </c>
      <c r="G7072" s="24">
        <f>F7072-DATE(2026,8,31)</f>
        <v>3</v>
      </c>
      <c r="H7072" s="25" t="n">
        <v>31525675</v>
      </c>
      <c r="I7072" t="inlineStr">
        <is>
          <t>entidad-dia</t>
        </is>
      </c>
    </row>
    <row r="7073">
      <c r="A7073" t="inlineStr">
        <is>
          <t>PRAGMA</t>
        </is>
      </c>
      <c r="B7073" t="inlineStr">
        <is>
          <t>M2</t>
        </is>
      </c>
      <c r="C7073" t="inlineStr">
        <is>
          <t>Cali</t>
        </is>
      </c>
      <c r="D7073" t="inlineStr">
        <is>
          <t>5197</t>
        </is>
      </c>
      <c r="E7073" t="inlineStr">
        <is>
          <t>cash_in</t>
        </is>
      </c>
      <c r="F7073" s="23" t="n">
        <v>46268</v>
      </c>
      <c r="G7073" s="24">
        <f>F7073-DATE(2026,8,31)</f>
        <v>3</v>
      </c>
      <c r="H7073" s="25" t="n">
        <v>189960041</v>
      </c>
      <c r="I7073" t="inlineStr">
        <is>
          <t>entidad-dia</t>
        </is>
      </c>
    </row>
    <row r="7074">
      <c r="A7074" t="inlineStr">
        <is>
          <t>PRAGMA</t>
        </is>
      </c>
      <c r="B7074" t="inlineStr">
        <is>
          <t>M2</t>
        </is>
      </c>
      <c r="C7074" t="inlineStr">
        <is>
          <t>Cali</t>
        </is>
      </c>
      <c r="D7074" t="inlineStr">
        <is>
          <t>5197</t>
        </is>
      </c>
      <c r="E7074" t="inlineStr">
        <is>
          <t>pagado</t>
        </is>
      </c>
      <c r="F7074" s="23" t="n">
        <v>46269</v>
      </c>
      <c r="G7074" s="24">
        <f>F7074-DATE(2026,8,31)</f>
        <v>4</v>
      </c>
      <c r="H7074" s="25" t="n">
        <v>32455254</v>
      </c>
      <c r="I7074" t="inlineStr">
        <is>
          <t>entidad-dia</t>
        </is>
      </c>
    </row>
    <row r="7075">
      <c r="A7075" t="inlineStr">
        <is>
          <t>PRAGMA</t>
        </is>
      </c>
      <c r="B7075" t="inlineStr">
        <is>
          <t>M2</t>
        </is>
      </c>
      <c r="C7075" t="inlineStr">
        <is>
          <t>Cali</t>
        </is>
      </c>
      <c r="D7075" t="inlineStr">
        <is>
          <t>5197</t>
        </is>
      </c>
      <c r="E7075" t="inlineStr">
        <is>
          <t>cash_in</t>
        </is>
      </c>
      <c r="F7075" s="23" t="n">
        <v>46269</v>
      </c>
      <c r="G7075" s="24">
        <f>F7075-DATE(2026,8,31)</f>
        <v>4</v>
      </c>
      <c r="H7075" s="25" t="n">
        <v>205579336</v>
      </c>
      <c r="I7075" t="inlineStr">
        <is>
          <t>entidad-dia</t>
        </is>
      </c>
    </row>
    <row r="7076">
      <c r="A7076" t="inlineStr">
        <is>
          <t>PRAGMA</t>
        </is>
      </c>
      <c r="B7076" t="inlineStr">
        <is>
          <t>M2</t>
        </is>
      </c>
      <c r="C7076" t="inlineStr">
        <is>
          <t>Cali</t>
        </is>
      </c>
      <c r="D7076" t="inlineStr">
        <is>
          <t>5197</t>
        </is>
      </c>
      <c r="E7076" t="inlineStr">
        <is>
          <t>pagado</t>
        </is>
      </c>
      <c r="F7076" s="23" t="n">
        <v>46270</v>
      </c>
      <c r="G7076" s="24">
        <f>F7076-DATE(2026,8,31)</f>
        <v>5</v>
      </c>
      <c r="H7076" s="25" t="n">
        <v>22549597</v>
      </c>
      <c r="I7076" t="inlineStr">
        <is>
          <t>entidad-dia</t>
        </is>
      </c>
    </row>
    <row r="7077">
      <c r="A7077" t="inlineStr">
        <is>
          <t>PRAGMA</t>
        </is>
      </c>
      <c r="B7077" t="inlineStr">
        <is>
          <t>M2</t>
        </is>
      </c>
      <c r="C7077" t="inlineStr">
        <is>
          <t>Cali</t>
        </is>
      </c>
      <c r="D7077" t="inlineStr">
        <is>
          <t>5197</t>
        </is>
      </c>
      <c r="E7077" t="inlineStr">
        <is>
          <t>cash_in</t>
        </is>
      </c>
      <c r="F7077" s="23" t="n">
        <v>46270</v>
      </c>
      <c r="G7077" s="24">
        <f>F7077-DATE(2026,8,31)</f>
        <v>5</v>
      </c>
      <c r="H7077" s="25" t="n">
        <v>173044789</v>
      </c>
      <c r="I7077" t="inlineStr">
        <is>
          <t>entidad-dia</t>
        </is>
      </c>
    </row>
    <row r="7078">
      <c r="A7078" t="inlineStr">
        <is>
          <t>PRAGMA</t>
        </is>
      </c>
      <c r="B7078" t="inlineStr">
        <is>
          <t>M2</t>
        </is>
      </c>
      <c r="C7078" t="inlineStr">
        <is>
          <t>Cali</t>
        </is>
      </c>
      <c r="D7078" t="inlineStr">
        <is>
          <t>5197</t>
        </is>
      </c>
      <c r="E7078" t="inlineStr">
        <is>
          <t>pagado</t>
        </is>
      </c>
      <c r="F7078" s="23" t="n">
        <v>46271</v>
      </c>
      <c r="G7078" s="24">
        <f>F7078-DATE(2026,8,31)</f>
        <v>6</v>
      </c>
      <c r="H7078" s="25" t="n">
        <v>5169442</v>
      </c>
      <c r="I7078" t="inlineStr">
        <is>
          <t>entidad-dia</t>
        </is>
      </c>
    </row>
    <row r="7079">
      <c r="A7079" t="inlineStr">
        <is>
          <t>PRAGMA</t>
        </is>
      </c>
      <c r="B7079" t="inlineStr">
        <is>
          <t>M2</t>
        </is>
      </c>
      <c r="C7079" t="inlineStr">
        <is>
          <t>Cali</t>
        </is>
      </c>
      <c r="D7079" t="inlineStr">
        <is>
          <t>5197</t>
        </is>
      </c>
      <c r="E7079" t="inlineStr">
        <is>
          <t>cash_in</t>
        </is>
      </c>
      <c r="F7079" s="23" t="n">
        <v>46271</v>
      </c>
      <c r="G7079" s="24">
        <f>F7079-DATE(2026,8,31)</f>
        <v>6</v>
      </c>
      <c r="H7079" s="25" t="n">
        <v>61512279</v>
      </c>
      <c r="I7079" t="inlineStr">
        <is>
          <t>entidad-dia</t>
        </is>
      </c>
    </row>
    <row r="7080">
      <c r="A7080" t="inlineStr">
        <is>
          <t>PRAGMA</t>
        </is>
      </c>
      <c r="B7080" t="inlineStr">
        <is>
          <t>M2</t>
        </is>
      </c>
      <c r="C7080" t="inlineStr">
        <is>
          <t>Cali</t>
        </is>
      </c>
      <c r="D7080" t="inlineStr">
        <is>
          <t>5197</t>
        </is>
      </c>
      <c r="E7080" t="inlineStr">
        <is>
          <t>pagado</t>
        </is>
      </c>
      <c r="F7080" s="23" t="n">
        <v>46272</v>
      </c>
      <c r="G7080" s="24">
        <f>F7080-DATE(2026,8,31)</f>
        <v>7</v>
      </c>
      <c r="H7080" s="25" t="n">
        <v>25490092</v>
      </c>
      <c r="I7080" t="inlineStr">
        <is>
          <t>entidad-dia</t>
        </is>
      </c>
    </row>
    <row r="7081">
      <c r="A7081" t="inlineStr">
        <is>
          <t>PRAGMA</t>
        </is>
      </c>
      <c r="B7081" t="inlineStr">
        <is>
          <t>M2</t>
        </is>
      </c>
      <c r="C7081" t="inlineStr">
        <is>
          <t>Cali</t>
        </is>
      </c>
      <c r="D7081" t="inlineStr">
        <is>
          <t>5197</t>
        </is>
      </c>
      <c r="E7081" t="inlineStr">
        <is>
          <t>cash_in</t>
        </is>
      </c>
      <c r="F7081" s="23" t="n">
        <v>46272</v>
      </c>
      <c r="G7081" s="24">
        <f>F7081-DATE(2026,8,31)</f>
        <v>7</v>
      </c>
      <c r="H7081" s="25" t="n">
        <v>218141125</v>
      </c>
      <c r="I7081" t="inlineStr">
        <is>
          <t>entidad-dia</t>
        </is>
      </c>
    </row>
    <row r="7082">
      <c r="A7082" t="inlineStr">
        <is>
          <t>PRAGMA</t>
        </is>
      </c>
      <c r="B7082" t="inlineStr">
        <is>
          <t>M2</t>
        </is>
      </c>
      <c r="C7082" t="inlineStr">
        <is>
          <t>Cali</t>
        </is>
      </c>
      <c r="D7082" t="inlineStr">
        <is>
          <t>5197</t>
        </is>
      </c>
      <c r="E7082" t="inlineStr">
        <is>
          <t>pagado</t>
        </is>
      </c>
      <c r="F7082" s="23" t="n">
        <v>46273</v>
      </c>
      <c r="G7082" s="24">
        <f>F7082-DATE(2026,8,31)</f>
        <v>8</v>
      </c>
      <c r="H7082" s="25" t="n">
        <v>23203067</v>
      </c>
      <c r="I7082" t="inlineStr">
        <is>
          <t>entidad-dia</t>
        </is>
      </c>
    </row>
    <row r="7083">
      <c r="A7083" t="inlineStr">
        <is>
          <t>PRAGMA</t>
        </is>
      </c>
      <c r="B7083" t="inlineStr">
        <is>
          <t>M2</t>
        </is>
      </c>
      <c r="C7083" t="inlineStr">
        <is>
          <t>Cali</t>
        </is>
      </c>
      <c r="D7083" t="inlineStr">
        <is>
          <t>5197</t>
        </is>
      </c>
      <c r="E7083" t="inlineStr">
        <is>
          <t>cash_in</t>
        </is>
      </c>
      <c r="F7083" s="23" t="n">
        <v>46273</v>
      </c>
      <c r="G7083" s="24">
        <f>F7083-DATE(2026,8,31)</f>
        <v>8</v>
      </c>
      <c r="H7083" s="25" t="n">
        <v>203101940</v>
      </c>
      <c r="I7083" t="inlineStr">
        <is>
          <t>entidad-dia</t>
        </is>
      </c>
    </row>
    <row r="7084">
      <c r="A7084" t="inlineStr">
        <is>
          <t>PRAGMA</t>
        </is>
      </c>
      <c r="B7084" t="inlineStr">
        <is>
          <t>M2</t>
        </is>
      </c>
      <c r="C7084" t="inlineStr">
        <is>
          <t>Cali</t>
        </is>
      </c>
      <c r="D7084" t="inlineStr">
        <is>
          <t>5197</t>
        </is>
      </c>
      <c r="E7084" t="inlineStr">
        <is>
          <t>pagado</t>
        </is>
      </c>
      <c r="F7084" s="23" t="n">
        <v>46274</v>
      </c>
      <c r="G7084" s="24">
        <f>F7084-DATE(2026,8,31)</f>
        <v>9</v>
      </c>
      <c r="H7084" s="25" t="n">
        <v>26519766</v>
      </c>
      <c r="I7084" t="inlineStr">
        <is>
          <t>entidad-dia</t>
        </is>
      </c>
    </row>
    <row r="7085">
      <c r="A7085" t="inlineStr">
        <is>
          <t>PRAGMA</t>
        </is>
      </c>
      <c r="B7085" t="inlineStr">
        <is>
          <t>M2</t>
        </is>
      </c>
      <c r="C7085" t="inlineStr">
        <is>
          <t>Cali</t>
        </is>
      </c>
      <c r="D7085" t="inlineStr">
        <is>
          <t>5197</t>
        </is>
      </c>
      <c r="E7085" t="inlineStr">
        <is>
          <t>cash_in</t>
        </is>
      </c>
      <c r="F7085" s="23" t="n">
        <v>46274</v>
      </c>
      <c r="G7085" s="24">
        <f>F7085-DATE(2026,8,31)</f>
        <v>9</v>
      </c>
      <c r="H7085" s="25" t="n">
        <v>182008476</v>
      </c>
      <c r="I7085" t="inlineStr">
        <is>
          <t>entidad-dia</t>
        </is>
      </c>
    </row>
    <row r="7086">
      <c r="A7086" t="inlineStr">
        <is>
          <t>PRAGMA</t>
        </is>
      </c>
      <c r="B7086" t="inlineStr">
        <is>
          <t>M2</t>
        </is>
      </c>
      <c r="C7086" t="inlineStr">
        <is>
          <t>Cali</t>
        </is>
      </c>
      <c r="D7086" t="inlineStr">
        <is>
          <t>5197</t>
        </is>
      </c>
      <c r="E7086" t="inlineStr">
        <is>
          <t>pagado</t>
        </is>
      </c>
      <c r="F7086" s="23" t="n">
        <v>46275</v>
      </c>
      <c r="G7086" s="24">
        <f>F7086-DATE(2026,8,31)</f>
        <v>10</v>
      </c>
      <c r="H7086" s="25" t="n">
        <v>24446363</v>
      </c>
      <c r="I7086" t="inlineStr">
        <is>
          <t>entidad-dia</t>
        </is>
      </c>
    </row>
    <row r="7087">
      <c r="A7087" t="inlineStr">
        <is>
          <t>PRAGMA</t>
        </is>
      </c>
      <c r="B7087" t="inlineStr">
        <is>
          <t>M2</t>
        </is>
      </c>
      <c r="C7087" t="inlineStr">
        <is>
          <t>Cali</t>
        </is>
      </c>
      <c r="D7087" t="inlineStr">
        <is>
          <t>5197</t>
        </is>
      </c>
      <c r="E7087" t="inlineStr">
        <is>
          <t>cash_in</t>
        </is>
      </c>
      <c r="F7087" s="23" t="n">
        <v>46275</v>
      </c>
      <c r="G7087" s="24">
        <f>F7087-DATE(2026,8,31)</f>
        <v>10</v>
      </c>
      <c r="H7087" s="25" t="n">
        <v>180738799</v>
      </c>
      <c r="I7087" t="inlineStr">
        <is>
          <t>entidad-dia</t>
        </is>
      </c>
    </row>
    <row r="7088">
      <c r="A7088" t="inlineStr">
        <is>
          <t>PRAGMA</t>
        </is>
      </c>
      <c r="B7088" t="inlineStr">
        <is>
          <t>M2</t>
        </is>
      </c>
      <c r="C7088" t="inlineStr">
        <is>
          <t>Cali</t>
        </is>
      </c>
      <c r="D7088" t="inlineStr">
        <is>
          <t>5197</t>
        </is>
      </c>
      <c r="E7088" t="inlineStr">
        <is>
          <t>pagado</t>
        </is>
      </c>
      <c r="F7088" s="23" t="n">
        <v>46276</v>
      </c>
      <c r="G7088" s="24">
        <f>F7088-DATE(2026,8,31)</f>
        <v>11</v>
      </c>
      <c r="H7088" s="25" t="n">
        <v>26966574</v>
      </c>
      <c r="I7088" t="inlineStr">
        <is>
          <t>entidad-dia</t>
        </is>
      </c>
    </row>
    <row r="7089">
      <c r="A7089" t="inlineStr">
        <is>
          <t>PRAGMA</t>
        </is>
      </c>
      <c r="B7089" t="inlineStr">
        <is>
          <t>M2</t>
        </is>
      </c>
      <c r="C7089" t="inlineStr">
        <is>
          <t>Cali</t>
        </is>
      </c>
      <c r="D7089" t="inlineStr">
        <is>
          <t>5197</t>
        </is>
      </c>
      <c r="E7089" t="inlineStr">
        <is>
          <t>cash_in</t>
        </is>
      </c>
      <c r="F7089" s="23" t="n">
        <v>46276</v>
      </c>
      <c r="G7089" s="24">
        <f>F7089-DATE(2026,8,31)</f>
        <v>11</v>
      </c>
      <c r="H7089" s="25" t="n">
        <v>181779939</v>
      </c>
      <c r="I7089" t="inlineStr">
        <is>
          <t>entidad-dia</t>
        </is>
      </c>
    </row>
    <row r="7090">
      <c r="A7090" t="inlineStr">
        <is>
          <t>PRAGMA</t>
        </is>
      </c>
      <c r="B7090" t="inlineStr">
        <is>
          <t>M2</t>
        </is>
      </c>
      <c r="C7090" t="inlineStr">
        <is>
          <t>Cali</t>
        </is>
      </c>
      <c r="D7090" t="inlineStr">
        <is>
          <t>5197</t>
        </is>
      </c>
      <c r="E7090" t="inlineStr">
        <is>
          <t>pagado</t>
        </is>
      </c>
      <c r="F7090" s="23" t="n">
        <v>46277</v>
      </c>
      <c r="G7090" s="24">
        <f>F7090-DATE(2026,8,31)</f>
        <v>12</v>
      </c>
      <c r="H7090" s="25" t="n">
        <v>17902207</v>
      </c>
      <c r="I7090" t="inlineStr">
        <is>
          <t>entidad-dia</t>
        </is>
      </c>
    </row>
    <row r="7091">
      <c r="A7091" t="inlineStr">
        <is>
          <t>PRAGMA</t>
        </is>
      </c>
      <c r="B7091" t="inlineStr">
        <is>
          <t>M2</t>
        </is>
      </c>
      <c r="C7091" t="inlineStr">
        <is>
          <t>Cali</t>
        </is>
      </c>
      <c r="D7091" t="inlineStr">
        <is>
          <t>5197</t>
        </is>
      </c>
      <c r="E7091" t="inlineStr">
        <is>
          <t>cash_in</t>
        </is>
      </c>
      <c r="F7091" s="23" t="n">
        <v>46277</v>
      </c>
      <c r="G7091" s="24">
        <f>F7091-DATE(2026,8,31)</f>
        <v>12</v>
      </c>
      <c r="H7091" s="25" t="n">
        <v>155429383</v>
      </c>
      <c r="I7091" t="inlineStr">
        <is>
          <t>entidad-dia</t>
        </is>
      </c>
    </row>
    <row r="7092">
      <c r="A7092" t="inlineStr">
        <is>
          <t>PRAGMA</t>
        </is>
      </c>
      <c r="B7092" t="inlineStr">
        <is>
          <t>M2</t>
        </is>
      </c>
      <c r="C7092" t="inlineStr">
        <is>
          <t>Cali</t>
        </is>
      </c>
      <c r="D7092" t="inlineStr">
        <is>
          <t>5197</t>
        </is>
      </c>
      <c r="E7092" t="inlineStr">
        <is>
          <t>pagado</t>
        </is>
      </c>
      <c r="F7092" s="23" t="n">
        <v>46278</v>
      </c>
      <c r="G7092" s="24">
        <f>F7092-DATE(2026,8,31)</f>
        <v>13</v>
      </c>
      <c r="H7092" s="25" t="n">
        <v>3585047</v>
      </c>
      <c r="I7092" t="inlineStr">
        <is>
          <t>entidad-dia</t>
        </is>
      </c>
    </row>
    <row r="7093">
      <c r="A7093" t="inlineStr">
        <is>
          <t>PRAGMA</t>
        </is>
      </c>
      <c r="B7093" t="inlineStr">
        <is>
          <t>M2</t>
        </is>
      </c>
      <c r="C7093" t="inlineStr">
        <is>
          <t>Cali</t>
        </is>
      </c>
      <c r="D7093" t="inlineStr">
        <is>
          <t>5197</t>
        </is>
      </c>
      <c r="E7093" t="inlineStr">
        <is>
          <t>cash_in</t>
        </is>
      </c>
      <c r="F7093" s="23" t="n">
        <v>46278</v>
      </c>
      <c r="G7093" s="24">
        <f>F7093-DATE(2026,8,31)</f>
        <v>13</v>
      </c>
      <c r="H7093" s="25" t="n">
        <v>49054409</v>
      </c>
      <c r="I7093" t="inlineStr">
        <is>
          <t>entidad-dia</t>
        </is>
      </c>
    </row>
    <row r="7094">
      <c r="A7094" t="inlineStr">
        <is>
          <t>PRAGMA</t>
        </is>
      </c>
      <c r="B7094" t="inlineStr">
        <is>
          <t>M2</t>
        </is>
      </c>
      <c r="C7094" t="inlineStr">
        <is>
          <t>Cali</t>
        </is>
      </c>
      <c r="D7094" t="inlineStr">
        <is>
          <t>5197</t>
        </is>
      </c>
      <c r="E7094" t="inlineStr">
        <is>
          <t>pagado</t>
        </is>
      </c>
      <c r="F7094" s="23" t="n">
        <v>46279</v>
      </c>
      <c r="G7094" s="24">
        <f>F7094-DATE(2026,8,31)</f>
        <v>14</v>
      </c>
      <c r="H7094" s="25" t="n">
        <v>22077222</v>
      </c>
      <c r="I7094" t="inlineStr">
        <is>
          <t>entidad-dia</t>
        </is>
      </c>
    </row>
    <row r="7095">
      <c r="A7095" t="inlineStr">
        <is>
          <t>PRAGMA</t>
        </is>
      </c>
      <c r="B7095" t="inlineStr">
        <is>
          <t>M2</t>
        </is>
      </c>
      <c r="C7095" t="inlineStr">
        <is>
          <t>Cali</t>
        </is>
      </c>
      <c r="D7095" t="inlineStr">
        <is>
          <t>5197</t>
        </is>
      </c>
      <c r="E7095" t="inlineStr">
        <is>
          <t>cash_in</t>
        </is>
      </c>
      <c r="F7095" s="23" t="n">
        <v>46279</v>
      </c>
      <c r="G7095" s="24">
        <f>F7095-DATE(2026,8,31)</f>
        <v>14</v>
      </c>
      <c r="H7095" s="25" t="n">
        <v>198172574</v>
      </c>
      <c r="I7095" t="inlineStr">
        <is>
          <t>entidad-dia</t>
        </is>
      </c>
    </row>
    <row r="7096">
      <c r="A7096" t="inlineStr">
        <is>
          <t>PRAGMA</t>
        </is>
      </c>
      <c r="B7096" t="inlineStr">
        <is>
          <t>M2</t>
        </is>
      </c>
      <c r="C7096" t="inlineStr">
        <is>
          <t>Cali</t>
        </is>
      </c>
      <c r="D7096" t="inlineStr">
        <is>
          <t>5197</t>
        </is>
      </c>
      <c r="E7096" t="inlineStr">
        <is>
          <t>pagado</t>
        </is>
      </c>
      <c r="F7096" s="23" t="n">
        <v>46280</v>
      </c>
      <c r="G7096" s="24">
        <f>F7096-DATE(2026,8,31)</f>
        <v>15</v>
      </c>
      <c r="H7096" s="25" t="n">
        <v>31635292</v>
      </c>
      <c r="I7096" t="inlineStr">
        <is>
          <t>entidad-dia</t>
        </is>
      </c>
    </row>
    <row r="7097">
      <c r="A7097" t="inlineStr">
        <is>
          <t>PRAGMA</t>
        </is>
      </c>
      <c r="B7097" t="inlineStr">
        <is>
          <t>M2</t>
        </is>
      </c>
      <c r="C7097" t="inlineStr">
        <is>
          <t>Cali</t>
        </is>
      </c>
      <c r="D7097" t="inlineStr">
        <is>
          <t>5197</t>
        </is>
      </c>
      <c r="E7097" t="inlineStr">
        <is>
          <t>cash_in</t>
        </is>
      </c>
      <c r="F7097" s="23" t="n">
        <v>46280</v>
      </c>
      <c r="G7097" s="24">
        <f>F7097-DATE(2026,8,31)</f>
        <v>15</v>
      </c>
      <c r="H7097" s="25" t="n">
        <v>205683529</v>
      </c>
      <c r="I7097" t="inlineStr">
        <is>
          <t>entidad-dia</t>
        </is>
      </c>
    </row>
    <row r="7098">
      <c r="A7098" t="inlineStr">
        <is>
          <t>PRAGMA</t>
        </is>
      </c>
      <c r="B7098" t="inlineStr">
        <is>
          <t>M2</t>
        </is>
      </c>
      <c r="C7098" t="inlineStr">
        <is>
          <t>Cali</t>
        </is>
      </c>
      <c r="D7098" t="inlineStr">
        <is>
          <t>5208</t>
        </is>
      </c>
      <c r="E7098" t="inlineStr">
        <is>
          <t>pagado</t>
        </is>
      </c>
      <c r="F7098" s="23" t="n">
        <v>46266</v>
      </c>
      <c r="G7098" s="24">
        <f>F7098-DATE(2026,8,31)</f>
        <v>1</v>
      </c>
      <c r="H7098" s="25" t="n">
        <v>69665991</v>
      </c>
      <c r="I7098" t="inlineStr">
        <is>
          <t>entidad-dia</t>
        </is>
      </c>
    </row>
    <row r="7099">
      <c r="A7099" t="inlineStr">
        <is>
          <t>PRAGMA</t>
        </is>
      </c>
      <c r="B7099" t="inlineStr">
        <is>
          <t>M2</t>
        </is>
      </c>
      <c r="C7099" t="inlineStr">
        <is>
          <t>Cali</t>
        </is>
      </c>
      <c r="D7099" t="inlineStr">
        <is>
          <t>5208</t>
        </is>
      </c>
      <c r="E7099" t="inlineStr">
        <is>
          <t>cash_in</t>
        </is>
      </c>
      <c r="F7099" s="23" t="n">
        <v>46266</v>
      </c>
      <c r="G7099" s="24">
        <f>F7099-DATE(2026,8,31)</f>
        <v>1</v>
      </c>
      <c r="H7099" s="25" t="n">
        <v>126392670</v>
      </c>
      <c r="I7099" t="inlineStr">
        <is>
          <t>entidad-dia</t>
        </is>
      </c>
    </row>
    <row r="7100">
      <c r="A7100" t="inlineStr">
        <is>
          <t>PRAGMA</t>
        </is>
      </c>
      <c r="B7100" t="inlineStr">
        <is>
          <t>M2</t>
        </is>
      </c>
      <c r="C7100" t="inlineStr">
        <is>
          <t>Cali</t>
        </is>
      </c>
      <c r="D7100" t="inlineStr">
        <is>
          <t>5208</t>
        </is>
      </c>
      <c r="E7100" t="inlineStr">
        <is>
          <t>pagado</t>
        </is>
      </c>
      <c r="F7100" s="23" t="n">
        <v>46267</v>
      </c>
      <c r="G7100" s="24">
        <f>F7100-DATE(2026,8,31)</f>
        <v>2</v>
      </c>
      <c r="H7100" s="25" t="n">
        <v>57360220</v>
      </c>
      <c r="I7100" t="inlineStr">
        <is>
          <t>entidad-dia</t>
        </is>
      </c>
    </row>
    <row r="7101">
      <c r="A7101" t="inlineStr">
        <is>
          <t>PRAGMA</t>
        </is>
      </c>
      <c r="B7101" t="inlineStr">
        <is>
          <t>M2</t>
        </is>
      </c>
      <c r="C7101" t="inlineStr">
        <is>
          <t>Cali</t>
        </is>
      </c>
      <c r="D7101" t="inlineStr">
        <is>
          <t>5208</t>
        </is>
      </c>
      <c r="E7101" t="inlineStr">
        <is>
          <t>cash_in</t>
        </is>
      </c>
      <c r="F7101" s="23" t="n">
        <v>46267</v>
      </c>
      <c r="G7101" s="24">
        <f>F7101-DATE(2026,8,31)</f>
        <v>2</v>
      </c>
      <c r="H7101" s="25" t="n">
        <v>116681532</v>
      </c>
      <c r="I7101" t="inlineStr">
        <is>
          <t>entidad-dia</t>
        </is>
      </c>
    </row>
    <row r="7102">
      <c r="A7102" t="inlineStr">
        <is>
          <t>PRAGMA</t>
        </is>
      </c>
      <c r="B7102" t="inlineStr">
        <is>
          <t>M2</t>
        </is>
      </c>
      <c r="C7102" t="inlineStr">
        <is>
          <t>Cali</t>
        </is>
      </c>
      <c r="D7102" t="inlineStr">
        <is>
          <t>5208</t>
        </is>
      </c>
      <c r="E7102" t="inlineStr">
        <is>
          <t>pagado</t>
        </is>
      </c>
      <c r="F7102" s="23" t="n">
        <v>46268</v>
      </c>
      <c r="G7102" s="24">
        <f>F7102-DATE(2026,8,31)</f>
        <v>3</v>
      </c>
      <c r="H7102" s="25" t="n">
        <v>54209113</v>
      </c>
      <c r="I7102" t="inlineStr">
        <is>
          <t>entidad-dia</t>
        </is>
      </c>
    </row>
    <row r="7103">
      <c r="A7103" t="inlineStr">
        <is>
          <t>PRAGMA</t>
        </is>
      </c>
      <c r="B7103" t="inlineStr">
        <is>
          <t>M2</t>
        </is>
      </c>
      <c r="C7103" t="inlineStr">
        <is>
          <t>Cali</t>
        </is>
      </c>
      <c r="D7103" t="inlineStr">
        <is>
          <t>5208</t>
        </is>
      </c>
      <c r="E7103" t="inlineStr">
        <is>
          <t>cash_in</t>
        </is>
      </c>
      <c r="F7103" s="23" t="n">
        <v>46268</v>
      </c>
      <c r="G7103" s="24">
        <f>F7103-DATE(2026,8,31)</f>
        <v>3</v>
      </c>
      <c r="H7103" s="25" t="n">
        <v>106944971</v>
      </c>
      <c r="I7103" t="inlineStr">
        <is>
          <t>entidad-dia</t>
        </is>
      </c>
    </row>
    <row r="7104">
      <c r="A7104" t="inlineStr">
        <is>
          <t>PRAGMA</t>
        </is>
      </c>
      <c r="B7104" t="inlineStr">
        <is>
          <t>M2</t>
        </is>
      </c>
      <c r="C7104" t="inlineStr">
        <is>
          <t>Cali</t>
        </is>
      </c>
      <c r="D7104" t="inlineStr">
        <is>
          <t>5208</t>
        </is>
      </c>
      <c r="E7104" t="inlineStr">
        <is>
          <t>pagado</t>
        </is>
      </c>
      <c r="F7104" s="23" t="n">
        <v>46269</v>
      </c>
      <c r="G7104" s="24">
        <f>F7104-DATE(2026,8,31)</f>
        <v>4</v>
      </c>
      <c r="H7104" s="25" t="n">
        <v>53894821</v>
      </c>
      <c r="I7104" t="inlineStr">
        <is>
          <t>entidad-dia</t>
        </is>
      </c>
    </row>
    <row r="7105">
      <c r="A7105" t="inlineStr">
        <is>
          <t>PRAGMA</t>
        </is>
      </c>
      <c r="B7105" t="inlineStr">
        <is>
          <t>M2</t>
        </is>
      </c>
      <c r="C7105" t="inlineStr">
        <is>
          <t>Cali</t>
        </is>
      </c>
      <c r="D7105" t="inlineStr">
        <is>
          <t>5208</t>
        </is>
      </c>
      <c r="E7105" t="inlineStr">
        <is>
          <t>cash_in</t>
        </is>
      </c>
      <c r="F7105" s="23" t="n">
        <v>46269</v>
      </c>
      <c r="G7105" s="24">
        <f>F7105-DATE(2026,8,31)</f>
        <v>4</v>
      </c>
      <c r="H7105" s="25" t="n">
        <v>117191214</v>
      </c>
      <c r="I7105" t="inlineStr">
        <is>
          <t>entidad-dia</t>
        </is>
      </c>
    </row>
    <row r="7106">
      <c r="A7106" t="inlineStr">
        <is>
          <t>PRAGMA</t>
        </is>
      </c>
      <c r="B7106" t="inlineStr">
        <is>
          <t>M2</t>
        </is>
      </c>
      <c r="C7106" t="inlineStr">
        <is>
          <t>Cali</t>
        </is>
      </c>
      <c r="D7106" t="inlineStr">
        <is>
          <t>5208</t>
        </is>
      </c>
      <c r="E7106" t="inlineStr">
        <is>
          <t>pagado</t>
        </is>
      </c>
      <c r="F7106" s="23" t="n">
        <v>46270</v>
      </c>
      <c r="G7106" s="24">
        <f>F7106-DATE(2026,8,31)</f>
        <v>5</v>
      </c>
      <c r="H7106" s="25" t="n">
        <v>53539939</v>
      </c>
      <c r="I7106" t="inlineStr">
        <is>
          <t>entidad-dia</t>
        </is>
      </c>
    </row>
    <row r="7107">
      <c r="A7107" t="inlineStr">
        <is>
          <t>PRAGMA</t>
        </is>
      </c>
      <c r="B7107" t="inlineStr">
        <is>
          <t>M2</t>
        </is>
      </c>
      <c r="C7107" t="inlineStr">
        <is>
          <t>Cali</t>
        </is>
      </c>
      <c r="D7107" t="inlineStr">
        <is>
          <t>5208</t>
        </is>
      </c>
      <c r="E7107" t="inlineStr">
        <is>
          <t>cash_in</t>
        </is>
      </c>
      <c r="F7107" s="23" t="n">
        <v>46270</v>
      </c>
      <c r="G7107" s="24">
        <f>F7107-DATE(2026,8,31)</f>
        <v>5</v>
      </c>
      <c r="H7107" s="25" t="n">
        <v>111638540</v>
      </c>
      <c r="I7107" t="inlineStr">
        <is>
          <t>entidad-dia</t>
        </is>
      </c>
    </row>
    <row r="7108">
      <c r="A7108" t="inlineStr">
        <is>
          <t>PRAGMA</t>
        </is>
      </c>
      <c r="B7108" t="inlineStr">
        <is>
          <t>M2</t>
        </is>
      </c>
      <c r="C7108" t="inlineStr">
        <is>
          <t>Cali</t>
        </is>
      </c>
      <c r="D7108" t="inlineStr">
        <is>
          <t>5208</t>
        </is>
      </c>
      <c r="E7108" t="inlineStr">
        <is>
          <t>pagado</t>
        </is>
      </c>
      <c r="F7108" s="23" t="n">
        <v>46271</v>
      </c>
      <c r="G7108" s="24">
        <f>F7108-DATE(2026,8,31)</f>
        <v>6</v>
      </c>
      <c r="H7108" s="25" t="n">
        <v>32016336</v>
      </c>
      <c r="I7108" t="inlineStr">
        <is>
          <t>entidad-dia</t>
        </is>
      </c>
    </row>
    <row r="7109">
      <c r="A7109" t="inlineStr">
        <is>
          <t>PRAGMA</t>
        </is>
      </c>
      <c r="B7109" t="inlineStr">
        <is>
          <t>M2</t>
        </is>
      </c>
      <c r="C7109" t="inlineStr">
        <is>
          <t>Cali</t>
        </is>
      </c>
      <c r="D7109" t="inlineStr">
        <is>
          <t>5208</t>
        </is>
      </c>
      <c r="E7109" t="inlineStr">
        <is>
          <t>cash_in</t>
        </is>
      </c>
      <c r="F7109" s="23" t="n">
        <v>46271</v>
      </c>
      <c r="G7109" s="24">
        <f>F7109-DATE(2026,8,31)</f>
        <v>6</v>
      </c>
      <c r="H7109" s="25" t="n">
        <v>55067012</v>
      </c>
      <c r="I7109" t="inlineStr">
        <is>
          <t>entidad-dia</t>
        </is>
      </c>
    </row>
    <row r="7110">
      <c r="A7110" t="inlineStr">
        <is>
          <t>PRAGMA</t>
        </is>
      </c>
      <c r="B7110" t="inlineStr">
        <is>
          <t>M2</t>
        </is>
      </c>
      <c r="C7110" t="inlineStr">
        <is>
          <t>Cali</t>
        </is>
      </c>
      <c r="D7110" t="inlineStr">
        <is>
          <t>5208</t>
        </is>
      </c>
      <c r="E7110" t="inlineStr">
        <is>
          <t>pagado</t>
        </is>
      </c>
      <c r="F7110" s="23" t="n">
        <v>46272</v>
      </c>
      <c r="G7110" s="24">
        <f>F7110-DATE(2026,8,31)</f>
        <v>7</v>
      </c>
      <c r="H7110" s="25" t="n">
        <v>44526642</v>
      </c>
      <c r="I7110" t="inlineStr">
        <is>
          <t>entidad-dia</t>
        </is>
      </c>
    </row>
    <row r="7111">
      <c r="A7111" t="inlineStr">
        <is>
          <t>PRAGMA</t>
        </is>
      </c>
      <c r="B7111" t="inlineStr">
        <is>
          <t>M2</t>
        </is>
      </c>
      <c r="C7111" t="inlineStr">
        <is>
          <t>Cali</t>
        </is>
      </c>
      <c r="D7111" t="inlineStr">
        <is>
          <t>5208</t>
        </is>
      </c>
      <c r="E7111" t="inlineStr">
        <is>
          <t>cash_in</t>
        </is>
      </c>
      <c r="F7111" s="23" t="n">
        <v>46272</v>
      </c>
      <c r="G7111" s="24">
        <f>F7111-DATE(2026,8,31)</f>
        <v>7</v>
      </c>
      <c r="H7111" s="25" t="n">
        <v>120953737</v>
      </c>
      <c r="I7111" t="inlineStr">
        <is>
          <t>entidad-dia</t>
        </is>
      </c>
    </row>
    <row r="7112">
      <c r="A7112" t="inlineStr">
        <is>
          <t>PRAGMA</t>
        </is>
      </c>
      <c r="B7112" t="inlineStr">
        <is>
          <t>M2</t>
        </is>
      </c>
      <c r="C7112" t="inlineStr">
        <is>
          <t>Cali</t>
        </is>
      </c>
      <c r="D7112" t="inlineStr">
        <is>
          <t>5208</t>
        </is>
      </c>
      <c r="E7112" t="inlineStr">
        <is>
          <t>pagado</t>
        </is>
      </c>
      <c r="F7112" s="23" t="n">
        <v>46273</v>
      </c>
      <c r="G7112" s="24">
        <f>F7112-DATE(2026,8,31)</f>
        <v>8</v>
      </c>
      <c r="H7112" s="25" t="n">
        <v>46917865</v>
      </c>
      <c r="I7112" t="inlineStr">
        <is>
          <t>entidad-dia</t>
        </is>
      </c>
    </row>
    <row r="7113">
      <c r="A7113" t="inlineStr">
        <is>
          <t>PRAGMA</t>
        </is>
      </c>
      <c r="B7113" t="inlineStr">
        <is>
          <t>M2</t>
        </is>
      </c>
      <c r="C7113" t="inlineStr">
        <is>
          <t>Cali</t>
        </is>
      </c>
      <c r="D7113" t="inlineStr">
        <is>
          <t>5208</t>
        </is>
      </c>
      <c r="E7113" t="inlineStr">
        <is>
          <t>cash_in</t>
        </is>
      </c>
      <c r="F7113" s="23" t="n">
        <v>46273</v>
      </c>
      <c r="G7113" s="24">
        <f>F7113-DATE(2026,8,31)</f>
        <v>8</v>
      </c>
      <c r="H7113" s="25" t="n">
        <v>106415070</v>
      </c>
      <c r="I7113" t="inlineStr">
        <is>
          <t>entidad-dia</t>
        </is>
      </c>
    </row>
    <row r="7114">
      <c r="A7114" t="inlineStr">
        <is>
          <t>PRAGMA</t>
        </is>
      </c>
      <c r="B7114" t="inlineStr">
        <is>
          <t>M2</t>
        </is>
      </c>
      <c r="C7114" t="inlineStr">
        <is>
          <t>Cali</t>
        </is>
      </c>
      <c r="D7114" t="inlineStr">
        <is>
          <t>5208</t>
        </is>
      </c>
      <c r="E7114" t="inlineStr">
        <is>
          <t>pagado</t>
        </is>
      </c>
      <c r="F7114" s="23" t="n">
        <v>46274</v>
      </c>
      <c r="G7114" s="24">
        <f>F7114-DATE(2026,8,31)</f>
        <v>9</v>
      </c>
      <c r="H7114" s="25" t="n">
        <v>40311238</v>
      </c>
      <c r="I7114" t="inlineStr">
        <is>
          <t>entidad-dia</t>
        </is>
      </c>
    </row>
    <row r="7115">
      <c r="A7115" t="inlineStr">
        <is>
          <t>PRAGMA</t>
        </is>
      </c>
      <c r="B7115" t="inlineStr">
        <is>
          <t>M2</t>
        </is>
      </c>
      <c r="C7115" t="inlineStr">
        <is>
          <t>Cali</t>
        </is>
      </c>
      <c r="D7115" t="inlineStr">
        <is>
          <t>5208</t>
        </is>
      </c>
      <c r="E7115" t="inlineStr">
        <is>
          <t>cash_in</t>
        </is>
      </c>
      <c r="F7115" s="23" t="n">
        <v>46274</v>
      </c>
      <c r="G7115" s="24">
        <f>F7115-DATE(2026,8,31)</f>
        <v>9</v>
      </c>
      <c r="H7115" s="25" t="n">
        <v>99807045</v>
      </c>
      <c r="I7115" t="inlineStr">
        <is>
          <t>entidad-dia</t>
        </is>
      </c>
    </row>
    <row r="7116">
      <c r="A7116" t="inlineStr">
        <is>
          <t>PRAGMA</t>
        </is>
      </c>
      <c r="B7116" t="inlineStr">
        <is>
          <t>M2</t>
        </is>
      </c>
      <c r="C7116" t="inlineStr">
        <is>
          <t>Cali</t>
        </is>
      </c>
      <c r="D7116" t="inlineStr">
        <is>
          <t>5208</t>
        </is>
      </c>
      <c r="E7116" t="inlineStr">
        <is>
          <t>pagado</t>
        </is>
      </c>
      <c r="F7116" s="23" t="n">
        <v>46275</v>
      </c>
      <c r="G7116" s="24">
        <f>F7116-DATE(2026,8,31)</f>
        <v>10</v>
      </c>
      <c r="H7116" s="25" t="n">
        <v>41879253</v>
      </c>
      <c r="I7116" t="inlineStr">
        <is>
          <t>entidad-dia</t>
        </is>
      </c>
    </row>
    <row r="7117">
      <c r="A7117" t="inlineStr">
        <is>
          <t>PRAGMA</t>
        </is>
      </c>
      <c r="B7117" t="inlineStr">
        <is>
          <t>M2</t>
        </is>
      </c>
      <c r="C7117" t="inlineStr">
        <is>
          <t>Cali</t>
        </is>
      </c>
      <c r="D7117" t="inlineStr">
        <is>
          <t>5208</t>
        </is>
      </c>
      <c r="E7117" t="inlineStr">
        <is>
          <t>cash_in</t>
        </is>
      </c>
      <c r="F7117" s="23" t="n">
        <v>46275</v>
      </c>
      <c r="G7117" s="24">
        <f>F7117-DATE(2026,8,31)</f>
        <v>10</v>
      </c>
      <c r="H7117" s="25" t="n">
        <v>96378969</v>
      </c>
      <c r="I7117" t="inlineStr">
        <is>
          <t>entidad-dia</t>
        </is>
      </c>
    </row>
    <row r="7118">
      <c r="A7118" t="inlineStr">
        <is>
          <t>PRAGMA</t>
        </is>
      </c>
      <c r="B7118" t="inlineStr">
        <is>
          <t>M2</t>
        </is>
      </c>
      <c r="C7118" t="inlineStr">
        <is>
          <t>Cali</t>
        </is>
      </c>
      <c r="D7118" t="inlineStr">
        <is>
          <t>5208</t>
        </is>
      </c>
      <c r="E7118" t="inlineStr">
        <is>
          <t>pagado</t>
        </is>
      </c>
      <c r="F7118" s="23" t="n">
        <v>46276</v>
      </c>
      <c r="G7118" s="24">
        <f>F7118-DATE(2026,8,31)</f>
        <v>11</v>
      </c>
      <c r="H7118" s="25" t="n">
        <v>43970019</v>
      </c>
      <c r="I7118" t="inlineStr">
        <is>
          <t>entidad-dia</t>
        </is>
      </c>
    </row>
    <row r="7119">
      <c r="A7119" t="inlineStr">
        <is>
          <t>PRAGMA</t>
        </is>
      </c>
      <c r="B7119" t="inlineStr">
        <is>
          <t>M2</t>
        </is>
      </c>
      <c r="C7119" t="inlineStr">
        <is>
          <t>Cali</t>
        </is>
      </c>
      <c r="D7119" t="inlineStr">
        <is>
          <t>5208</t>
        </is>
      </c>
      <c r="E7119" t="inlineStr">
        <is>
          <t>cash_in</t>
        </is>
      </c>
      <c r="F7119" s="23" t="n">
        <v>46276</v>
      </c>
      <c r="G7119" s="24">
        <f>F7119-DATE(2026,8,31)</f>
        <v>11</v>
      </c>
      <c r="H7119" s="25" t="n">
        <v>100910295</v>
      </c>
      <c r="I7119" t="inlineStr">
        <is>
          <t>entidad-dia</t>
        </is>
      </c>
    </row>
    <row r="7120">
      <c r="A7120" t="inlineStr">
        <is>
          <t>PRAGMA</t>
        </is>
      </c>
      <c r="B7120" t="inlineStr">
        <is>
          <t>M2</t>
        </is>
      </c>
      <c r="C7120" t="inlineStr">
        <is>
          <t>Cali</t>
        </is>
      </c>
      <c r="D7120" t="inlineStr">
        <is>
          <t>5208</t>
        </is>
      </c>
      <c r="E7120" t="inlineStr">
        <is>
          <t>pagado</t>
        </is>
      </c>
      <c r="F7120" s="23" t="n">
        <v>46277</v>
      </c>
      <c r="G7120" s="24">
        <f>F7120-DATE(2026,8,31)</f>
        <v>12</v>
      </c>
      <c r="H7120" s="25" t="n">
        <v>43617825</v>
      </c>
      <c r="I7120" t="inlineStr">
        <is>
          <t>entidad-dia</t>
        </is>
      </c>
    </row>
    <row r="7121">
      <c r="A7121" t="inlineStr">
        <is>
          <t>PRAGMA</t>
        </is>
      </c>
      <c r="B7121" t="inlineStr">
        <is>
          <t>M2</t>
        </is>
      </c>
      <c r="C7121" t="inlineStr">
        <is>
          <t>Cali</t>
        </is>
      </c>
      <c r="D7121" t="inlineStr">
        <is>
          <t>5208</t>
        </is>
      </c>
      <c r="E7121" t="inlineStr">
        <is>
          <t>cash_in</t>
        </is>
      </c>
      <c r="F7121" s="23" t="n">
        <v>46277</v>
      </c>
      <c r="G7121" s="24">
        <f>F7121-DATE(2026,8,31)</f>
        <v>12</v>
      </c>
      <c r="H7121" s="25" t="n">
        <v>95464700</v>
      </c>
      <c r="I7121" t="inlineStr">
        <is>
          <t>entidad-dia</t>
        </is>
      </c>
    </row>
    <row r="7122">
      <c r="A7122" t="inlineStr">
        <is>
          <t>PRAGMA</t>
        </is>
      </c>
      <c r="B7122" t="inlineStr">
        <is>
          <t>M2</t>
        </is>
      </c>
      <c r="C7122" t="inlineStr">
        <is>
          <t>Cali</t>
        </is>
      </c>
      <c r="D7122" t="inlineStr">
        <is>
          <t>5208</t>
        </is>
      </c>
      <c r="E7122" t="inlineStr">
        <is>
          <t>pagado</t>
        </is>
      </c>
      <c r="F7122" s="23" t="n">
        <v>46278</v>
      </c>
      <c r="G7122" s="24">
        <f>F7122-DATE(2026,8,31)</f>
        <v>13</v>
      </c>
      <c r="H7122" s="25" t="n">
        <v>27323368</v>
      </c>
      <c r="I7122" t="inlineStr">
        <is>
          <t>entidad-dia</t>
        </is>
      </c>
    </row>
    <row r="7123">
      <c r="A7123" t="inlineStr">
        <is>
          <t>PRAGMA</t>
        </is>
      </c>
      <c r="B7123" t="inlineStr">
        <is>
          <t>M2</t>
        </is>
      </c>
      <c r="C7123" t="inlineStr">
        <is>
          <t>Cali</t>
        </is>
      </c>
      <c r="D7123" t="inlineStr">
        <is>
          <t>5208</t>
        </is>
      </c>
      <c r="E7123" t="inlineStr">
        <is>
          <t>cash_in</t>
        </is>
      </c>
      <c r="F7123" s="23" t="n">
        <v>46278</v>
      </c>
      <c r="G7123" s="24">
        <f>F7123-DATE(2026,8,31)</f>
        <v>13</v>
      </c>
      <c r="H7123" s="25" t="n">
        <v>44181943</v>
      </c>
      <c r="I7123" t="inlineStr">
        <is>
          <t>entidad-dia</t>
        </is>
      </c>
    </row>
    <row r="7124">
      <c r="A7124" t="inlineStr">
        <is>
          <t>PRAGMA</t>
        </is>
      </c>
      <c r="B7124" t="inlineStr">
        <is>
          <t>M2</t>
        </is>
      </c>
      <c r="C7124" t="inlineStr">
        <is>
          <t>Cali</t>
        </is>
      </c>
      <c r="D7124" t="inlineStr">
        <is>
          <t>5208</t>
        </is>
      </c>
      <c r="E7124" t="inlineStr">
        <is>
          <t>pagado</t>
        </is>
      </c>
      <c r="F7124" s="23" t="n">
        <v>46279</v>
      </c>
      <c r="G7124" s="24">
        <f>F7124-DATE(2026,8,31)</f>
        <v>14</v>
      </c>
      <c r="H7124" s="25" t="n">
        <v>40469438</v>
      </c>
      <c r="I7124" t="inlineStr">
        <is>
          <t>entidad-dia</t>
        </is>
      </c>
    </row>
    <row r="7125">
      <c r="A7125" t="inlineStr">
        <is>
          <t>PRAGMA</t>
        </is>
      </c>
      <c r="B7125" t="inlineStr">
        <is>
          <t>M2</t>
        </is>
      </c>
      <c r="C7125" t="inlineStr">
        <is>
          <t>Cali</t>
        </is>
      </c>
      <c r="D7125" t="inlineStr">
        <is>
          <t>5208</t>
        </is>
      </c>
      <c r="E7125" t="inlineStr">
        <is>
          <t>cash_in</t>
        </is>
      </c>
      <c r="F7125" s="23" t="n">
        <v>46279</v>
      </c>
      <c r="G7125" s="24">
        <f>F7125-DATE(2026,8,31)</f>
        <v>14</v>
      </c>
      <c r="H7125" s="25" t="n">
        <v>105313377</v>
      </c>
      <c r="I7125" t="inlineStr">
        <is>
          <t>entidad-dia</t>
        </is>
      </c>
    </row>
    <row r="7126">
      <c r="A7126" t="inlineStr">
        <is>
          <t>PRAGMA</t>
        </is>
      </c>
      <c r="B7126" t="inlineStr">
        <is>
          <t>M2</t>
        </is>
      </c>
      <c r="C7126" t="inlineStr">
        <is>
          <t>Cali</t>
        </is>
      </c>
      <c r="D7126" t="inlineStr">
        <is>
          <t>5208</t>
        </is>
      </c>
      <c r="E7126" t="inlineStr">
        <is>
          <t>pagado</t>
        </is>
      </c>
      <c r="F7126" s="23" t="n">
        <v>46280</v>
      </c>
      <c r="G7126" s="24">
        <f>F7126-DATE(2026,8,31)</f>
        <v>15</v>
      </c>
      <c r="H7126" s="25" t="n">
        <v>57718544</v>
      </c>
      <c r="I7126" t="inlineStr">
        <is>
          <t>entidad-dia</t>
        </is>
      </c>
    </row>
    <row r="7127">
      <c r="A7127" t="inlineStr">
        <is>
          <t>PRAGMA</t>
        </is>
      </c>
      <c r="B7127" t="inlineStr">
        <is>
          <t>M2</t>
        </is>
      </c>
      <c r="C7127" t="inlineStr">
        <is>
          <t>Cali</t>
        </is>
      </c>
      <c r="D7127" t="inlineStr">
        <is>
          <t>5208</t>
        </is>
      </c>
      <c r="E7127" t="inlineStr">
        <is>
          <t>cash_in</t>
        </is>
      </c>
      <c r="F7127" s="23" t="n">
        <v>46280</v>
      </c>
      <c r="G7127" s="24">
        <f>F7127-DATE(2026,8,31)</f>
        <v>15</v>
      </c>
      <c r="H7127" s="25" t="n">
        <v>113589317</v>
      </c>
      <c r="I7127" t="inlineStr">
        <is>
          <t>entidad-dia</t>
        </is>
      </c>
    </row>
    <row r="7128">
      <c r="A7128" t="inlineStr">
        <is>
          <t>PRAGMA</t>
        </is>
      </c>
      <c r="B7128" t="inlineStr">
        <is>
          <t>M2</t>
        </is>
      </c>
      <c r="C7128" t="inlineStr">
        <is>
          <t>Cali</t>
        </is>
      </c>
      <c r="D7128" t="inlineStr">
        <is>
          <t>5209</t>
        </is>
      </c>
      <c r="E7128" t="inlineStr">
        <is>
          <t>pagado</t>
        </is>
      </c>
      <c r="F7128" s="23" t="n">
        <v>46266</v>
      </c>
      <c r="G7128" s="24">
        <f>F7128-DATE(2026,8,31)</f>
        <v>1</v>
      </c>
      <c r="H7128" s="25" t="n">
        <v>0</v>
      </c>
      <c r="I7128" t="inlineStr">
        <is>
          <t>entidad-dia</t>
        </is>
      </c>
    </row>
    <row r="7129">
      <c r="A7129" t="inlineStr">
        <is>
          <t>PRAGMA</t>
        </is>
      </c>
      <c r="B7129" t="inlineStr">
        <is>
          <t>M2</t>
        </is>
      </c>
      <c r="C7129" t="inlineStr">
        <is>
          <t>Cali</t>
        </is>
      </c>
      <c r="D7129" t="inlineStr">
        <is>
          <t>5209</t>
        </is>
      </c>
      <c r="E7129" t="inlineStr">
        <is>
          <t>cash_in</t>
        </is>
      </c>
      <c r="F7129" s="23" t="n">
        <v>46266</v>
      </c>
      <c r="G7129" s="24">
        <f>F7129-DATE(2026,8,31)</f>
        <v>1</v>
      </c>
      <c r="H7129" s="25" t="n">
        <v>0</v>
      </c>
      <c r="I7129" t="inlineStr">
        <is>
          <t>entidad-dia</t>
        </is>
      </c>
    </row>
    <row r="7130">
      <c r="A7130" t="inlineStr">
        <is>
          <t>PRAGMA</t>
        </is>
      </c>
      <c r="B7130" t="inlineStr">
        <is>
          <t>M2</t>
        </is>
      </c>
      <c r="C7130" t="inlineStr">
        <is>
          <t>Cali</t>
        </is>
      </c>
      <c r="D7130" t="inlineStr">
        <is>
          <t>5209</t>
        </is>
      </c>
      <c r="E7130" t="inlineStr">
        <is>
          <t>pagado</t>
        </is>
      </c>
      <c r="F7130" s="23" t="n">
        <v>46267</v>
      </c>
      <c r="G7130" s="24">
        <f>F7130-DATE(2026,8,31)</f>
        <v>2</v>
      </c>
      <c r="H7130" s="25" t="n">
        <v>0</v>
      </c>
      <c r="I7130" t="inlineStr">
        <is>
          <t>entidad-dia</t>
        </is>
      </c>
    </row>
    <row r="7131">
      <c r="A7131" t="inlineStr">
        <is>
          <t>PRAGMA</t>
        </is>
      </c>
      <c r="B7131" t="inlineStr">
        <is>
          <t>M2</t>
        </is>
      </c>
      <c r="C7131" t="inlineStr">
        <is>
          <t>Cali</t>
        </is>
      </c>
      <c r="D7131" t="inlineStr">
        <is>
          <t>5209</t>
        </is>
      </c>
      <c r="E7131" t="inlineStr">
        <is>
          <t>cash_in</t>
        </is>
      </c>
      <c r="F7131" s="23" t="n">
        <v>46267</v>
      </c>
      <c r="G7131" s="24">
        <f>F7131-DATE(2026,8,31)</f>
        <v>2</v>
      </c>
      <c r="H7131" s="25" t="n">
        <v>0</v>
      </c>
      <c r="I7131" t="inlineStr">
        <is>
          <t>entidad-dia</t>
        </is>
      </c>
    </row>
    <row r="7132">
      <c r="A7132" t="inlineStr">
        <is>
          <t>PRAGMA</t>
        </is>
      </c>
      <c r="B7132" t="inlineStr">
        <is>
          <t>M2</t>
        </is>
      </c>
      <c r="C7132" t="inlineStr">
        <is>
          <t>Cali</t>
        </is>
      </c>
      <c r="D7132" t="inlineStr">
        <is>
          <t>5209</t>
        </is>
      </c>
      <c r="E7132" t="inlineStr">
        <is>
          <t>pagado</t>
        </is>
      </c>
      <c r="F7132" s="23" t="n">
        <v>46268</v>
      </c>
      <c r="G7132" s="24">
        <f>F7132-DATE(2026,8,31)</f>
        <v>3</v>
      </c>
      <c r="H7132" s="25" t="n">
        <v>0</v>
      </c>
      <c r="I7132" t="inlineStr">
        <is>
          <t>entidad-dia</t>
        </is>
      </c>
    </row>
    <row r="7133">
      <c r="A7133" t="inlineStr">
        <is>
          <t>PRAGMA</t>
        </is>
      </c>
      <c r="B7133" t="inlineStr">
        <is>
          <t>M2</t>
        </is>
      </c>
      <c r="C7133" t="inlineStr">
        <is>
          <t>Cali</t>
        </is>
      </c>
      <c r="D7133" t="inlineStr">
        <is>
          <t>5209</t>
        </is>
      </c>
      <c r="E7133" t="inlineStr">
        <is>
          <t>cash_in</t>
        </is>
      </c>
      <c r="F7133" s="23" t="n">
        <v>46268</v>
      </c>
      <c r="G7133" s="24">
        <f>F7133-DATE(2026,8,31)</f>
        <v>3</v>
      </c>
      <c r="H7133" s="25" t="n">
        <v>0</v>
      </c>
      <c r="I7133" t="inlineStr">
        <is>
          <t>entidad-dia</t>
        </is>
      </c>
    </row>
    <row r="7134">
      <c r="A7134" t="inlineStr">
        <is>
          <t>PRAGMA</t>
        </is>
      </c>
      <c r="B7134" t="inlineStr">
        <is>
          <t>M2</t>
        </is>
      </c>
      <c r="C7134" t="inlineStr">
        <is>
          <t>Cali</t>
        </is>
      </c>
      <c r="D7134" t="inlineStr">
        <is>
          <t>5209</t>
        </is>
      </c>
      <c r="E7134" t="inlineStr">
        <is>
          <t>pagado</t>
        </is>
      </c>
      <c r="F7134" s="23" t="n">
        <v>46269</v>
      </c>
      <c r="G7134" s="24">
        <f>F7134-DATE(2026,8,31)</f>
        <v>4</v>
      </c>
      <c r="H7134" s="25" t="n">
        <v>0</v>
      </c>
      <c r="I7134" t="inlineStr">
        <is>
          <t>entidad-dia</t>
        </is>
      </c>
    </row>
    <row r="7135">
      <c r="A7135" t="inlineStr">
        <is>
          <t>PRAGMA</t>
        </is>
      </c>
      <c r="B7135" t="inlineStr">
        <is>
          <t>M2</t>
        </is>
      </c>
      <c r="C7135" t="inlineStr">
        <is>
          <t>Cali</t>
        </is>
      </c>
      <c r="D7135" t="inlineStr">
        <is>
          <t>5209</t>
        </is>
      </c>
      <c r="E7135" t="inlineStr">
        <is>
          <t>cash_in</t>
        </is>
      </c>
      <c r="F7135" s="23" t="n">
        <v>46269</v>
      </c>
      <c r="G7135" s="24">
        <f>F7135-DATE(2026,8,31)</f>
        <v>4</v>
      </c>
      <c r="H7135" s="25" t="n">
        <v>0</v>
      </c>
      <c r="I7135" t="inlineStr">
        <is>
          <t>entidad-dia</t>
        </is>
      </c>
    </row>
    <row r="7136">
      <c r="A7136" t="inlineStr">
        <is>
          <t>PRAGMA</t>
        </is>
      </c>
      <c r="B7136" t="inlineStr">
        <is>
          <t>M2</t>
        </is>
      </c>
      <c r="C7136" t="inlineStr">
        <is>
          <t>Cali</t>
        </is>
      </c>
      <c r="D7136" t="inlineStr">
        <is>
          <t>5209</t>
        </is>
      </c>
      <c r="E7136" t="inlineStr">
        <is>
          <t>pagado</t>
        </is>
      </c>
      <c r="F7136" s="23" t="n">
        <v>46270</v>
      </c>
      <c r="G7136" s="24">
        <f>F7136-DATE(2026,8,31)</f>
        <v>5</v>
      </c>
      <c r="H7136" s="25" t="n">
        <v>0</v>
      </c>
      <c r="I7136" t="inlineStr">
        <is>
          <t>entidad-dia</t>
        </is>
      </c>
    </row>
    <row r="7137">
      <c r="A7137" t="inlineStr">
        <is>
          <t>PRAGMA</t>
        </is>
      </c>
      <c r="B7137" t="inlineStr">
        <is>
          <t>M2</t>
        </is>
      </c>
      <c r="C7137" t="inlineStr">
        <is>
          <t>Cali</t>
        </is>
      </c>
      <c r="D7137" t="inlineStr">
        <is>
          <t>5209</t>
        </is>
      </c>
      <c r="E7137" t="inlineStr">
        <is>
          <t>cash_in</t>
        </is>
      </c>
      <c r="F7137" s="23" t="n">
        <v>46270</v>
      </c>
      <c r="G7137" s="24">
        <f>F7137-DATE(2026,8,31)</f>
        <v>5</v>
      </c>
      <c r="H7137" s="25" t="n">
        <v>0</v>
      </c>
      <c r="I7137" t="inlineStr">
        <is>
          <t>entidad-dia</t>
        </is>
      </c>
    </row>
    <row r="7138">
      <c r="A7138" t="inlineStr">
        <is>
          <t>PRAGMA</t>
        </is>
      </c>
      <c r="B7138" t="inlineStr">
        <is>
          <t>M2</t>
        </is>
      </c>
      <c r="C7138" t="inlineStr">
        <is>
          <t>Cali</t>
        </is>
      </c>
      <c r="D7138" t="inlineStr">
        <is>
          <t>5209</t>
        </is>
      </c>
      <c r="E7138" t="inlineStr">
        <is>
          <t>pagado</t>
        </is>
      </c>
      <c r="F7138" s="23" t="n">
        <v>46271</v>
      </c>
      <c r="G7138" s="24">
        <f>F7138-DATE(2026,8,31)</f>
        <v>6</v>
      </c>
      <c r="H7138" s="25" t="n">
        <v>0</v>
      </c>
      <c r="I7138" t="inlineStr">
        <is>
          <t>entidad-dia</t>
        </is>
      </c>
    </row>
    <row r="7139">
      <c r="A7139" t="inlineStr">
        <is>
          <t>PRAGMA</t>
        </is>
      </c>
      <c r="B7139" t="inlineStr">
        <is>
          <t>M2</t>
        </is>
      </c>
      <c r="C7139" t="inlineStr">
        <is>
          <t>Cali</t>
        </is>
      </c>
      <c r="D7139" t="inlineStr">
        <is>
          <t>5209</t>
        </is>
      </c>
      <c r="E7139" t="inlineStr">
        <is>
          <t>cash_in</t>
        </is>
      </c>
      <c r="F7139" s="23" t="n">
        <v>46271</v>
      </c>
      <c r="G7139" s="24">
        <f>F7139-DATE(2026,8,31)</f>
        <v>6</v>
      </c>
      <c r="H7139" s="25" t="n">
        <v>0</v>
      </c>
      <c r="I7139" t="inlineStr">
        <is>
          <t>entidad-dia</t>
        </is>
      </c>
    </row>
    <row r="7140">
      <c r="A7140" t="inlineStr">
        <is>
          <t>PRAGMA</t>
        </is>
      </c>
      <c r="B7140" t="inlineStr">
        <is>
          <t>M2</t>
        </is>
      </c>
      <c r="C7140" t="inlineStr">
        <is>
          <t>Cali</t>
        </is>
      </c>
      <c r="D7140" t="inlineStr">
        <is>
          <t>5209</t>
        </is>
      </c>
      <c r="E7140" t="inlineStr">
        <is>
          <t>pagado</t>
        </is>
      </c>
      <c r="F7140" s="23" t="n">
        <v>46272</v>
      </c>
      <c r="G7140" s="24">
        <f>F7140-DATE(2026,8,31)</f>
        <v>7</v>
      </c>
      <c r="H7140" s="25" t="n">
        <v>0</v>
      </c>
      <c r="I7140" t="inlineStr">
        <is>
          <t>entidad-dia</t>
        </is>
      </c>
    </row>
    <row r="7141">
      <c r="A7141" t="inlineStr">
        <is>
          <t>PRAGMA</t>
        </is>
      </c>
      <c r="B7141" t="inlineStr">
        <is>
          <t>M2</t>
        </is>
      </c>
      <c r="C7141" t="inlineStr">
        <is>
          <t>Cali</t>
        </is>
      </c>
      <c r="D7141" t="inlineStr">
        <is>
          <t>5209</t>
        </is>
      </c>
      <c r="E7141" t="inlineStr">
        <is>
          <t>cash_in</t>
        </is>
      </c>
      <c r="F7141" s="23" t="n">
        <v>46272</v>
      </c>
      <c r="G7141" s="24">
        <f>F7141-DATE(2026,8,31)</f>
        <v>7</v>
      </c>
      <c r="H7141" s="25" t="n">
        <v>0</v>
      </c>
      <c r="I7141" t="inlineStr">
        <is>
          <t>entidad-dia</t>
        </is>
      </c>
    </row>
    <row r="7142">
      <c r="A7142" t="inlineStr">
        <is>
          <t>PRAGMA</t>
        </is>
      </c>
      <c r="B7142" t="inlineStr">
        <is>
          <t>M2</t>
        </is>
      </c>
      <c r="C7142" t="inlineStr">
        <is>
          <t>Cali</t>
        </is>
      </c>
      <c r="D7142" t="inlineStr">
        <is>
          <t>5209</t>
        </is>
      </c>
      <c r="E7142" t="inlineStr">
        <is>
          <t>pagado</t>
        </is>
      </c>
      <c r="F7142" s="23" t="n">
        <v>46273</v>
      </c>
      <c r="G7142" s="24">
        <f>F7142-DATE(2026,8,31)</f>
        <v>8</v>
      </c>
      <c r="H7142" s="25" t="n">
        <v>0</v>
      </c>
      <c r="I7142" t="inlineStr">
        <is>
          <t>entidad-dia</t>
        </is>
      </c>
    </row>
    <row r="7143">
      <c r="A7143" t="inlineStr">
        <is>
          <t>PRAGMA</t>
        </is>
      </c>
      <c r="B7143" t="inlineStr">
        <is>
          <t>M2</t>
        </is>
      </c>
      <c r="C7143" t="inlineStr">
        <is>
          <t>Cali</t>
        </is>
      </c>
      <c r="D7143" t="inlineStr">
        <is>
          <t>5209</t>
        </is>
      </c>
      <c r="E7143" t="inlineStr">
        <is>
          <t>cash_in</t>
        </is>
      </c>
      <c r="F7143" s="23" t="n">
        <v>46273</v>
      </c>
      <c r="G7143" s="24">
        <f>F7143-DATE(2026,8,31)</f>
        <v>8</v>
      </c>
      <c r="H7143" s="25" t="n">
        <v>0</v>
      </c>
      <c r="I7143" t="inlineStr">
        <is>
          <t>entidad-dia</t>
        </is>
      </c>
    </row>
    <row r="7144">
      <c r="A7144" t="inlineStr">
        <is>
          <t>PRAGMA</t>
        </is>
      </c>
      <c r="B7144" t="inlineStr">
        <is>
          <t>M2</t>
        </is>
      </c>
      <c r="C7144" t="inlineStr">
        <is>
          <t>Cali</t>
        </is>
      </c>
      <c r="D7144" t="inlineStr">
        <is>
          <t>5209</t>
        </is>
      </c>
      <c r="E7144" t="inlineStr">
        <is>
          <t>pagado</t>
        </is>
      </c>
      <c r="F7144" s="23" t="n">
        <v>46274</v>
      </c>
      <c r="G7144" s="24">
        <f>F7144-DATE(2026,8,31)</f>
        <v>9</v>
      </c>
      <c r="H7144" s="25" t="n">
        <v>0</v>
      </c>
      <c r="I7144" t="inlineStr">
        <is>
          <t>entidad-dia</t>
        </is>
      </c>
    </row>
    <row r="7145">
      <c r="A7145" t="inlineStr">
        <is>
          <t>PRAGMA</t>
        </is>
      </c>
      <c r="B7145" t="inlineStr">
        <is>
          <t>M2</t>
        </is>
      </c>
      <c r="C7145" t="inlineStr">
        <is>
          <t>Cali</t>
        </is>
      </c>
      <c r="D7145" t="inlineStr">
        <is>
          <t>5209</t>
        </is>
      </c>
      <c r="E7145" t="inlineStr">
        <is>
          <t>cash_in</t>
        </is>
      </c>
      <c r="F7145" s="23" t="n">
        <v>46274</v>
      </c>
      <c r="G7145" s="24">
        <f>F7145-DATE(2026,8,31)</f>
        <v>9</v>
      </c>
      <c r="H7145" s="25" t="n">
        <v>0</v>
      </c>
      <c r="I7145" t="inlineStr">
        <is>
          <t>entidad-dia</t>
        </is>
      </c>
    </row>
    <row r="7146">
      <c r="A7146" t="inlineStr">
        <is>
          <t>PRAGMA</t>
        </is>
      </c>
      <c r="B7146" t="inlineStr">
        <is>
          <t>M2</t>
        </is>
      </c>
      <c r="C7146" t="inlineStr">
        <is>
          <t>Cali</t>
        </is>
      </c>
      <c r="D7146" t="inlineStr">
        <is>
          <t>5209</t>
        </is>
      </c>
      <c r="E7146" t="inlineStr">
        <is>
          <t>pagado</t>
        </is>
      </c>
      <c r="F7146" s="23" t="n">
        <v>46275</v>
      </c>
      <c r="G7146" s="24">
        <f>F7146-DATE(2026,8,31)</f>
        <v>10</v>
      </c>
      <c r="H7146" s="25" t="n">
        <v>0</v>
      </c>
      <c r="I7146" t="inlineStr">
        <is>
          <t>entidad-dia</t>
        </is>
      </c>
    </row>
    <row r="7147">
      <c r="A7147" t="inlineStr">
        <is>
          <t>PRAGMA</t>
        </is>
      </c>
      <c r="B7147" t="inlineStr">
        <is>
          <t>M2</t>
        </is>
      </c>
      <c r="C7147" t="inlineStr">
        <is>
          <t>Cali</t>
        </is>
      </c>
      <c r="D7147" t="inlineStr">
        <is>
          <t>5209</t>
        </is>
      </c>
      <c r="E7147" t="inlineStr">
        <is>
          <t>cash_in</t>
        </is>
      </c>
      <c r="F7147" s="23" t="n">
        <v>46275</v>
      </c>
      <c r="G7147" s="24">
        <f>F7147-DATE(2026,8,31)</f>
        <v>10</v>
      </c>
      <c r="H7147" s="25" t="n">
        <v>0</v>
      </c>
      <c r="I7147" t="inlineStr">
        <is>
          <t>entidad-dia</t>
        </is>
      </c>
    </row>
    <row r="7148">
      <c r="A7148" t="inlineStr">
        <is>
          <t>PRAGMA</t>
        </is>
      </c>
      <c r="B7148" t="inlineStr">
        <is>
          <t>M2</t>
        </is>
      </c>
      <c r="C7148" t="inlineStr">
        <is>
          <t>Cali</t>
        </is>
      </c>
      <c r="D7148" t="inlineStr">
        <is>
          <t>5209</t>
        </is>
      </c>
      <c r="E7148" t="inlineStr">
        <is>
          <t>pagado</t>
        </is>
      </c>
      <c r="F7148" s="23" t="n">
        <v>46276</v>
      </c>
      <c r="G7148" s="24">
        <f>F7148-DATE(2026,8,31)</f>
        <v>11</v>
      </c>
      <c r="H7148" s="25" t="n">
        <v>0</v>
      </c>
      <c r="I7148" t="inlineStr">
        <is>
          <t>entidad-dia</t>
        </is>
      </c>
    </row>
    <row r="7149">
      <c r="A7149" t="inlineStr">
        <is>
          <t>PRAGMA</t>
        </is>
      </c>
      <c r="B7149" t="inlineStr">
        <is>
          <t>M2</t>
        </is>
      </c>
      <c r="C7149" t="inlineStr">
        <is>
          <t>Cali</t>
        </is>
      </c>
      <c r="D7149" t="inlineStr">
        <is>
          <t>5209</t>
        </is>
      </c>
      <c r="E7149" t="inlineStr">
        <is>
          <t>cash_in</t>
        </is>
      </c>
      <c r="F7149" s="23" t="n">
        <v>46276</v>
      </c>
      <c r="G7149" s="24">
        <f>F7149-DATE(2026,8,31)</f>
        <v>11</v>
      </c>
      <c r="H7149" s="25" t="n">
        <v>0</v>
      </c>
      <c r="I7149" t="inlineStr">
        <is>
          <t>entidad-dia</t>
        </is>
      </c>
    </row>
    <row r="7150">
      <c r="A7150" t="inlineStr">
        <is>
          <t>PRAGMA</t>
        </is>
      </c>
      <c r="B7150" t="inlineStr">
        <is>
          <t>M2</t>
        </is>
      </c>
      <c r="C7150" t="inlineStr">
        <is>
          <t>Cali</t>
        </is>
      </c>
      <c r="D7150" t="inlineStr">
        <is>
          <t>5209</t>
        </is>
      </c>
      <c r="E7150" t="inlineStr">
        <is>
          <t>pagado</t>
        </is>
      </c>
      <c r="F7150" s="23" t="n">
        <v>46277</v>
      </c>
      <c r="G7150" s="24">
        <f>F7150-DATE(2026,8,31)</f>
        <v>12</v>
      </c>
      <c r="H7150" s="25" t="n">
        <v>0</v>
      </c>
      <c r="I7150" t="inlineStr">
        <is>
          <t>entidad-dia</t>
        </is>
      </c>
    </row>
    <row r="7151">
      <c r="A7151" t="inlineStr">
        <is>
          <t>PRAGMA</t>
        </is>
      </c>
      <c r="B7151" t="inlineStr">
        <is>
          <t>M2</t>
        </is>
      </c>
      <c r="C7151" t="inlineStr">
        <is>
          <t>Cali</t>
        </is>
      </c>
      <c r="D7151" t="inlineStr">
        <is>
          <t>5209</t>
        </is>
      </c>
      <c r="E7151" t="inlineStr">
        <is>
          <t>cash_in</t>
        </is>
      </c>
      <c r="F7151" s="23" t="n">
        <v>46277</v>
      </c>
      <c r="G7151" s="24">
        <f>F7151-DATE(2026,8,31)</f>
        <v>12</v>
      </c>
      <c r="H7151" s="25" t="n">
        <v>0</v>
      </c>
      <c r="I7151" t="inlineStr">
        <is>
          <t>entidad-dia</t>
        </is>
      </c>
    </row>
    <row r="7152">
      <c r="A7152" t="inlineStr">
        <is>
          <t>PRAGMA</t>
        </is>
      </c>
      <c r="B7152" t="inlineStr">
        <is>
          <t>M2</t>
        </is>
      </c>
      <c r="C7152" t="inlineStr">
        <is>
          <t>Cali</t>
        </is>
      </c>
      <c r="D7152" t="inlineStr">
        <is>
          <t>5209</t>
        </is>
      </c>
      <c r="E7152" t="inlineStr">
        <is>
          <t>pagado</t>
        </is>
      </c>
      <c r="F7152" s="23" t="n">
        <v>46278</v>
      </c>
      <c r="G7152" s="24">
        <f>F7152-DATE(2026,8,31)</f>
        <v>13</v>
      </c>
      <c r="H7152" s="25" t="n">
        <v>0</v>
      </c>
      <c r="I7152" t="inlineStr">
        <is>
          <t>entidad-dia</t>
        </is>
      </c>
    </row>
    <row r="7153">
      <c r="A7153" t="inlineStr">
        <is>
          <t>PRAGMA</t>
        </is>
      </c>
      <c r="B7153" t="inlineStr">
        <is>
          <t>M2</t>
        </is>
      </c>
      <c r="C7153" t="inlineStr">
        <is>
          <t>Cali</t>
        </is>
      </c>
      <c r="D7153" t="inlineStr">
        <is>
          <t>5209</t>
        </is>
      </c>
      <c r="E7153" t="inlineStr">
        <is>
          <t>cash_in</t>
        </is>
      </c>
      <c r="F7153" s="23" t="n">
        <v>46278</v>
      </c>
      <c r="G7153" s="24">
        <f>F7153-DATE(2026,8,31)</f>
        <v>13</v>
      </c>
      <c r="H7153" s="25" t="n">
        <v>0</v>
      </c>
      <c r="I7153" t="inlineStr">
        <is>
          <t>entidad-dia</t>
        </is>
      </c>
    </row>
    <row r="7154">
      <c r="A7154" t="inlineStr">
        <is>
          <t>PRAGMA</t>
        </is>
      </c>
      <c r="B7154" t="inlineStr">
        <is>
          <t>M2</t>
        </is>
      </c>
      <c r="C7154" t="inlineStr">
        <is>
          <t>Cali</t>
        </is>
      </c>
      <c r="D7154" t="inlineStr">
        <is>
          <t>5209</t>
        </is>
      </c>
      <c r="E7154" t="inlineStr">
        <is>
          <t>pagado</t>
        </is>
      </c>
      <c r="F7154" s="23" t="n">
        <v>46279</v>
      </c>
      <c r="G7154" s="24">
        <f>F7154-DATE(2026,8,31)</f>
        <v>14</v>
      </c>
      <c r="H7154" s="25" t="n">
        <v>0</v>
      </c>
      <c r="I7154" t="inlineStr">
        <is>
          <t>entidad-dia</t>
        </is>
      </c>
    </row>
    <row r="7155">
      <c r="A7155" t="inlineStr">
        <is>
          <t>PRAGMA</t>
        </is>
      </c>
      <c r="B7155" t="inlineStr">
        <is>
          <t>M2</t>
        </is>
      </c>
      <c r="C7155" t="inlineStr">
        <is>
          <t>Cali</t>
        </is>
      </c>
      <c r="D7155" t="inlineStr">
        <is>
          <t>5209</t>
        </is>
      </c>
      <c r="E7155" t="inlineStr">
        <is>
          <t>cash_in</t>
        </is>
      </c>
      <c r="F7155" s="23" t="n">
        <v>46279</v>
      </c>
      <c r="G7155" s="24">
        <f>F7155-DATE(2026,8,31)</f>
        <v>14</v>
      </c>
      <c r="H7155" s="25" t="n">
        <v>0</v>
      </c>
      <c r="I7155" t="inlineStr">
        <is>
          <t>entidad-dia</t>
        </is>
      </c>
    </row>
    <row r="7156">
      <c r="A7156" t="inlineStr">
        <is>
          <t>PRAGMA</t>
        </is>
      </c>
      <c r="B7156" t="inlineStr">
        <is>
          <t>M2</t>
        </is>
      </c>
      <c r="C7156" t="inlineStr">
        <is>
          <t>Cali</t>
        </is>
      </c>
      <c r="D7156" t="inlineStr">
        <is>
          <t>5209</t>
        </is>
      </c>
      <c r="E7156" t="inlineStr">
        <is>
          <t>pagado</t>
        </is>
      </c>
      <c r="F7156" s="23" t="n">
        <v>46280</v>
      </c>
      <c r="G7156" s="24">
        <f>F7156-DATE(2026,8,31)</f>
        <v>15</v>
      </c>
      <c r="H7156" s="25" t="n">
        <v>0</v>
      </c>
      <c r="I7156" t="inlineStr">
        <is>
          <t>entidad-dia</t>
        </is>
      </c>
    </row>
    <row r="7157">
      <c r="A7157" t="inlineStr">
        <is>
          <t>PRAGMA</t>
        </is>
      </c>
      <c r="B7157" t="inlineStr">
        <is>
          <t>M2</t>
        </is>
      </c>
      <c r="C7157" t="inlineStr">
        <is>
          <t>Cali</t>
        </is>
      </c>
      <c r="D7157" t="inlineStr">
        <is>
          <t>5209</t>
        </is>
      </c>
      <c r="E7157" t="inlineStr">
        <is>
          <t>cash_in</t>
        </is>
      </c>
      <c r="F7157" s="23" t="n">
        <v>46280</v>
      </c>
      <c r="G7157" s="24">
        <f>F7157-DATE(2026,8,31)</f>
        <v>15</v>
      </c>
      <c r="H7157" s="25" t="n">
        <v>0</v>
      </c>
      <c r="I7157" t="inlineStr">
        <is>
          <t>entidad-dia</t>
        </is>
      </c>
    </row>
    <row r="7158">
      <c r="A7158" t="inlineStr">
        <is>
          <t>PRAGMA</t>
        </is>
      </c>
      <c r="B7158" t="inlineStr">
        <is>
          <t>M2</t>
        </is>
      </c>
      <c r="C7158" t="inlineStr">
        <is>
          <t>Pasto</t>
        </is>
      </c>
      <c r="D7158" t="inlineStr">
        <is>
          <t>6220</t>
        </is>
      </c>
      <c r="E7158" t="inlineStr">
        <is>
          <t>pagado</t>
        </is>
      </c>
      <c r="F7158" s="23" t="n">
        <v>46266</v>
      </c>
      <c r="G7158" s="24">
        <f>F7158-DATE(2026,8,31)</f>
        <v>1</v>
      </c>
      <c r="H7158" s="25" t="n">
        <v>53610686</v>
      </c>
      <c r="I7158" t="inlineStr">
        <is>
          <t>entidad-dia</t>
        </is>
      </c>
    </row>
    <row r="7159">
      <c r="A7159" t="inlineStr">
        <is>
          <t>PRAGMA</t>
        </is>
      </c>
      <c r="B7159" t="inlineStr">
        <is>
          <t>M2</t>
        </is>
      </c>
      <c r="C7159" t="inlineStr">
        <is>
          <t>Pasto</t>
        </is>
      </c>
      <c r="D7159" t="inlineStr">
        <is>
          <t>6220</t>
        </is>
      </c>
      <c r="E7159" t="inlineStr">
        <is>
          <t>cash_in</t>
        </is>
      </c>
      <c r="F7159" s="23" t="n">
        <v>46266</v>
      </c>
      <c r="G7159" s="24">
        <f>F7159-DATE(2026,8,31)</f>
        <v>1</v>
      </c>
      <c r="H7159" s="25" t="n">
        <v>207024092</v>
      </c>
      <c r="I7159" t="inlineStr">
        <is>
          <t>entidad-dia</t>
        </is>
      </c>
    </row>
    <row r="7160">
      <c r="A7160" t="inlineStr">
        <is>
          <t>PRAGMA</t>
        </is>
      </c>
      <c r="B7160" t="inlineStr">
        <is>
          <t>M2</t>
        </is>
      </c>
      <c r="C7160" t="inlineStr">
        <is>
          <t>Pasto</t>
        </is>
      </c>
      <c r="D7160" t="inlineStr">
        <is>
          <t>6220</t>
        </is>
      </c>
      <c r="E7160" t="inlineStr">
        <is>
          <t>pagado</t>
        </is>
      </c>
      <c r="F7160" s="23" t="n">
        <v>46267</v>
      </c>
      <c r="G7160" s="24">
        <f>F7160-DATE(2026,8,31)</f>
        <v>2</v>
      </c>
      <c r="H7160" s="25" t="n">
        <v>46407923</v>
      </c>
      <c r="I7160" t="inlineStr">
        <is>
          <t>entidad-dia</t>
        </is>
      </c>
    </row>
    <row r="7161">
      <c r="A7161" t="inlineStr">
        <is>
          <t>PRAGMA</t>
        </is>
      </c>
      <c r="B7161" t="inlineStr">
        <is>
          <t>M2</t>
        </is>
      </c>
      <c r="C7161" t="inlineStr">
        <is>
          <t>Pasto</t>
        </is>
      </c>
      <c r="D7161" t="inlineStr">
        <is>
          <t>6220</t>
        </is>
      </c>
      <c r="E7161" t="inlineStr">
        <is>
          <t>cash_in</t>
        </is>
      </c>
      <c r="F7161" s="23" t="n">
        <v>46267</v>
      </c>
      <c r="G7161" s="24">
        <f>F7161-DATE(2026,8,31)</f>
        <v>2</v>
      </c>
      <c r="H7161" s="25" t="n">
        <v>178389701</v>
      </c>
      <c r="I7161" t="inlineStr">
        <is>
          <t>entidad-dia</t>
        </is>
      </c>
    </row>
    <row r="7162">
      <c r="A7162" t="inlineStr">
        <is>
          <t>PRAGMA</t>
        </is>
      </c>
      <c r="B7162" t="inlineStr">
        <is>
          <t>M2</t>
        </is>
      </c>
      <c r="C7162" t="inlineStr">
        <is>
          <t>Pasto</t>
        </is>
      </c>
      <c r="D7162" t="inlineStr">
        <is>
          <t>6220</t>
        </is>
      </c>
      <c r="E7162" t="inlineStr">
        <is>
          <t>pagado</t>
        </is>
      </c>
      <c r="F7162" s="23" t="n">
        <v>46268</v>
      </c>
      <c r="G7162" s="24">
        <f>F7162-DATE(2026,8,31)</f>
        <v>3</v>
      </c>
      <c r="H7162" s="25" t="n">
        <v>42434370</v>
      </c>
      <c r="I7162" t="inlineStr">
        <is>
          <t>entidad-dia</t>
        </is>
      </c>
    </row>
    <row r="7163">
      <c r="A7163" t="inlineStr">
        <is>
          <t>PRAGMA</t>
        </is>
      </c>
      <c r="B7163" t="inlineStr">
        <is>
          <t>M2</t>
        </is>
      </c>
      <c r="C7163" t="inlineStr">
        <is>
          <t>Pasto</t>
        </is>
      </c>
      <c r="D7163" t="inlineStr">
        <is>
          <t>6220</t>
        </is>
      </c>
      <c r="E7163" t="inlineStr">
        <is>
          <t>cash_in</t>
        </is>
      </c>
      <c r="F7163" s="23" t="n">
        <v>46268</v>
      </c>
      <c r="G7163" s="24">
        <f>F7163-DATE(2026,8,31)</f>
        <v>3</v>
      </c>
      <c r="H7163" s="25" t="n">
        <v>181176137</v>
      </c>
      <c r="I7163" t="inlineStr">
        <is>
          <t>entidad-dia</t>
        </is>
      </c>
    </row>
    <row r="7164">
      <c r="A7164" t="inlineStr">
        <is>
          <t>PRAGMA</t>
        </is>
      </c>
      <c r="B7164" t="inlineStr">
        <is>
          <t>M2</t>
        </is>
      </c>
      <c r="C7164" t="inlineStr">
        <is>
          <t>Pasto</t>
        </is>
      </c>
      <c r="D7164" t="inlineStr">
        <is>
          <t>6220</t>
        </is>
      </c>
      <c r="E7164" t="inlineStr">
        <is>
          <t>pagado</t>
        </is>
      </c>
      <c r="F7164" s="23" t="n">
        <v>46269</v>
      </c>
      <c r="G7164" s="24">
        <f>F7164-DATE(2026,8,31)</f>
        <v>4</v>
      </c>
      <c r="H7164" s="25" t="n">
        <v>41389955</v>
      </c>
      <c r="I7164" t="inlineStr">
        <is>
          <t>entidad-dia</t>
        </is>
      </c>
    </row>
    <row r="7165">
      <c r="A7165" t="inlineStr">
        <is>
          <t>PRAGMA</t>
        </is>
      </c>
      <c r="B7165" t="inlineStr">
        <is>
          <t>M2</t>
        </is>
      </c>
      <c r="C7165" t="inlineStr">
        <is>
          <t>Pasto</t>
        </is>
      </c>
      <c r="D7165" t="inlineStr">
        <is>
          <t>6220</t>
        </is>
      </c>
      <c r="E7165" t="inlineStr">
        <is>
          <t>cash_in</t>
        </is>
      </c>
      <c r="F7165" s="23" t="n">
        <v>46269</v>
      </c>
      <c r="G7165" s="24">
        <f>F7165-DATE(2026,8,31)</f>
        <v>4</v>
      </c>
      <c r="H7165" s="25" t="n">
        <v>193718381</v>
      </c>
      <c r="I7165" t="inlineStr">
        <is>
          <t>entidad-dia</t>
        </is>
      </c>
    </row>
    <row r="7166">
      <c r="A7166" t="inlineStr">
        <is>
          <t>PRAGMA</t>
        </is>
      </c>
      <c r="B7166" t="inlineStr">
        <is>
          <t>M2</t>
        </is>
      </c>
      <c r="C7166" t="inlineStr">
        <is>
          <t>Pasto</t>
        </is>
      </c>
      <c r="D7166" t="inlineStr">
        <is>
          <t>6220</t>
        </is>
      </c>
      <c r="E7166" t="inlineStr">
        <is>
          <t>pagado</t>
        </is>
      </c>
      <c r="F7166" s="23" t="n">
        <v>46270</v>
      </c>
      <c r="G7166" s="24">
        <f>F7166-DATE(2026,8,31)</f>
        <v>5</v>
      </c>
      <c r="H7166" s="25" t="n">
        <v>34616753</v>
      </c>
      <c r="I7166" t="inlineStr">
        <is>
          <t>entidad-dia</t>
        </is>
      </c>
    </row>
    <row r="7167">
      <c r="A7167" t="inlineStr">
        <is>
          <t>PRAGMA</t>
        </is>
      </c>
      <c r="B7167" t="inlineStr">
        <is>
          <t>M2</t>
        </is>
      </c>
      <c r="C7167" t="inlineStr">
        <is>
          <t>Pasto</t>
        </is>
      </c>
      <c r="D7167" t="inlineStr">
        <is>
          <t>6220</t>
        </is>
      </c>
      <c r="E7167" t="inlineStr">
        <is>
          <t>cash_in</t>
        </is>
      </c>
      <c r="F7167" s="23" t="n">
        <v>46270</v>
      </c>
      <c r="G7167" s="24">
        <f>F7167-DATE(2026,8,31)</f>
        <v>5</v>
      </c>
      <c r="H7167" s="25" t="n">
        <v>148829495</v>
      </c>
      <c r="I7167" t="inlineStr">
        <is>
          <t>entidad-dia</t>
        </is>
      </c>
    </row>
    <row r="7168">
      <c r="A7168" t="inlineStr">
        <is>
          <t>PRAGMA</t>
        </is>
      </c>
      <c r="B7168" t="inlineStr">
        <is>
          <t>M2</t>
        </is>
      </c>
      <c r="C7168" t="inlineStr">
        <is>
          <t>Pasto</t>
        </is>
      </c>
      <c r="D7168" t="inlineStr">
        <is>
          <t>6220</t>
        </is>
      </c>
      <c r="E7168" t="inlineStr">
        <is>
          <t>pagado</t>
        </is>
      </c>
      <c r="F7168" s="23" t="n">
        <v>46271</v>
      </c>
      <c r="G7168" s="24">
        <f>F7168-DATE(2026,8,31)</f>
        <v>6</v>
      </c>
      <c r="H7168" s="25" t="n">
        <v>10068441</v>
      </c>
      <c r="I7168" t="inlineStr">
        <is>
          <t>entidad-dia</t>
        </is>
      </c>
    </row>
    <row r="7169">
      <c r="A7169" t="inlineStr">
        <is>
          <t>PRAGMA</t>
        </is>
      </c>
      <c r="B7169" t="inlineStr">
        <is>
          <t>M2</t>
        </is>
      </c>
      <c r="C7169" t="inlineStr">
        <is>
          <t>Pasto</t>
        </is>
      </c>
      <c r="D7169" t="inlineStr">
        <is>
          <t>6220</t>
        </is>
      </c>
      <c r="E7169" t="inlineStr">
        <is>
          <t>cash_in</t>
        </is>
      </c>
      <c r="F7169" s="23" t="n">
        <v>46271</v>
      </c>
      <c r="G7169" s="24">
        <f>F7169-DATE(2026,8,31)</f>
        <v>6</v>
      </c>
      <c r="H7169" s="25" t="n">
        <v>70510613</v>
      </c>
      <c r="I7169" t="inlineStr">
        <is>
          <t>entidad-dia</t>
        </is>
      </c>
    </row>
    <row r="7170">
      <c r="A7170" t="inlineStr">
        <is>
          <t>PRAGMA</t>
        </is>
      </c>
      <c r="B7170" t="inlineStr">
        <is>
          <t>M2</t>
        </is>
      </c>
      <c r="C7170" t="inlineStr">
        <is>
          <t>Pasto</t>
        </is>
      </c>
      <c r="D7170" t="inlineStr">
        <is>
          <t>6220</t>
        </is>
      </c>
      <c r="E7170" t="inlineStr">
        <is>
          <t>pagado</t>
        </is>
      </c>
      <c r="F7170" s="23" t="n">
        <v>46272</v>
      </c>
      <c r="G7170" s="24">
        <f>F7170-DATE(2026,8,31)</f>
        <v>7</v>
      </c>
      <c r="H7170" s="25" t="n">
        <v>36527358</v>
      </c>
      <c r="I7170" t="inlineStr">
        <is>
          <t>entidad-dia</t>
        </is>
      </c>
    </row>
    <row r="7171">
      <c r="A7171" t="inlineStr">
        <is>
          <t>PRAGMA</t>
        </is>
      </c>
      <c r="B7171" t="inlineStr">
        <is>
          <t>M2</t>
        </is>
      </c>
      <c r="C7171" t="inlineStr">
        <is>
          <t>Pasto</t>
        </is>
      </c>
      <c r="D7171" t="inlineStr">
        <is>
          <t>6220</t>
        </is>
      </c>
      <c r="E7171" t="inlineStr">
        <is>
          <t>cash_in</t>
        </is>
      </c>
      <c r="F7171" s="23" t="n">
        <v>46272</v>
      </c>
      <c r="G7171" s="24">
        <f>F7171-DATE(2026,8,31)</f>
        <v>7</v>
      </c>
      <c r="H7171" s="25" t="n">
        <v>211711044</v>
      </c>
      <c r="I7171" t="inlineStr">
        <is>
          <t>entidad-dia</t>
        </is>
      </c>
    </row>
    <row r="7172">
      <c r="A7172" t="inlineStr">
        <is>
          <t>PRAGMA</t>
        </is>
      </c>
      <c r="B7172" t="inlineStr">
        <is>
          <t>M2</t>
        </is>
      </c>
      <c r="C7172" t="inlineStr">
        <is>
          <t>Pasto</t>
        </is>
      </c>
      <c r="D7172" t="inlineStr">
        <is>
          <t>6220</t>
        </is>
      </c>
      <c r="E7172" t="inlineStr">
        <is>
          <t>pagado</t>
        </is>
      </c>
      <c r="F7172" s="23" t="n">
        <v>46273</v>
      </c>
      <c r="G7172" s="24">
        <f>F7172-DATE(2026,8,31)</f>
        <v>8</v>
      </c>
      <c r="H7172" s="25" t="n">
        <v>36018470</v>
      </c>
      <c r="I7172" t="inlineStr">
        <is>
          <t>entidad-dia</t>
        </is>
      </c>
    </row>
    <row r="7173">
      <c r="A7173" t="inlineStr">
        <is>
          <t>PRAGMA</t>
        </is>
      </c>
      <c r="B7173" t="inlineStr">
        <is>
          <t>M2</t>
        </is>
      </c>
      <c r="C7173" t="inlineStr">
        <is>
          <t>Pasto</t>
        </is>
      </c>
      <c r="D7173" t="inlineStr">
        <is>
          <t>6220</t>
        </is>
      </c>
      <c r="E7173" t="inlineStr">
        <is>
          <t>cash_in</t>
        </is>
      </c>
      <c r="F7173" s="23" t="n">
        <v>46273</v>
      </c>
      <c r="G7173" s="24">
        <f>F7173-DATE(2026,8,31)</f>
        <v>8</v>
      </c>
      <c r="H7173" s="25" t="n">
        <v>190064100</v>
      </c>
      <c r="I7173" t="inlineStr">
        <is>
          <t>entidad-dia</t>
        </is>
      </c>
    </row>
    <row r="7174">
      <c r="A7174" t="inlineStr">
        <is>
          <t>PRAGMA</t>
        </is>
      </c>
      <c r="B7174" t="inlineStr">
        <is>
          <t>M2</t>
        </is>
      </c>
      <c r="C7174" t="inlineStr">
        <is>
          <t>Pasto</t>
        </is>
      </c>
      <c r="D7174" t="inlineStr">
        <is>
          <t>6220</t>
        </is>
      </c>
      <c r="E7174" t="inlineStr">
        <is>
          <t>pagado</t>
        </is>
      </c>
      <c r="F7174" s="23" t="n">
        <v>46274</v>
      </c>
      <c r="G7174" s="24">
        <f>F7174-DATE(2026,8,31)</f>
        <v>9</v>
      </c>
      <c r="H7174" s="25" t="n">
        <v>33184419</v>
      </c>
      <c r="I7174" t="inlineStr">
        <is>
          <t>entidad-dia</t>
        </is>
      </c>
    </row>
    <row r="7175">
      <c r="A7175" t="inlineStr">
        <is>
          <t>PRAGMA</t>
        </is>
      </c>
      <c r="B7175" t="inlineStr">
        <is>
          <t>M2</t>
        </is>
      </c>
      <c r="C7175" t="inlineStr">
        <is>
          <t>Pasto</t>
        </is>
      </c>
      <c r="D7175" t="inlineStr">
        <is>
          <t>6220</t>
        </is>
      </c>
      <c r="E7175" t="inlineStr">
        <is>
          <t>cash_in</t>
        </is>
      </c>
      <c r="F7175" s="23" t="n">
        <v>46274</v>
      </c>
      <c r="G7175" s="24">
        <f>F7175-DATE(2026,8,31)</f>
        <v>9</v>
      </c>
      <c r="H7175" s="25" t="n">
        <v>179360825</v>
      </c>
      <c r="I7175" t="inlineStr">
        <is>
          <t>entidad-dia</t>
        </is>
      </c>
    </row>
    <row r="7176">
      <c r="A7176" t="inlineStr">
        <is>
          <t>PRAGMA</t>
        </is>
      </c>
      <c r="B7176" t="inlineStr">
        <is>
          <t>M2</t>
        </is>
      </c>
      <c r="C7176" t="inlineStr">
        <is>
          <t>Pasto</t>
        </is>
      </c>
      <c r="D7176" t="inlineStr">
        <is>
          <t>6220</t>
        </is>
      </c>
      <c r="E7176" t="inlineStr">
        <is>
          <t>pagado</t>
        </is>
      </c>
      <c r="F7176" s="23" t="n">
        <v>46275</v>
      </c>
      <c r="G7176" s="24">
        <f>F7176-DATE(2026,8,31)</f>
        <v>10</v>
      </c>
      <c r="H7176" s="25" t="n">
        <v>33423730</v>
      </c>
      <c r="I7176" t="inlineStr">
        <is>
          <t>entidad-dia</t>
        </is>
      </c>
    </row>
    <row r="7177">
      <c r="A7177" t="inlineStr">
        <is>
          <t>PRAGMA</t>
        </is>
      </c>
      <c r="B7177" t="inlineStr">
        <is>
          <t>M2</t>
        </is>
      </c>
      <c r="C7177" t="inlineStr">
        <is>
          <t>Pasto</t>
        </is>
      </c>
      <c r="D7177" t="inlineStr">
        <is>
          <t>6220</t>
        </is>
      </c>
      <c r="E7177" t="inlineStr">
        <is>
          <t>cash_in</t>
        </is>
      </c>
      <c r="F7177" s="23" t="n">
        <v>46275</v>
      </c>
      <c r="G7177" s="24">
        <f>F7177-DATE(2026,8,31)</f>
        <v>10</v>
      </c>
      <c r="H7177" s="25" t="n">
        <v>174118115</v>
      </c>
      <c r="I7177" t="inlineStr">
        <is>
          <t>entidad-dia</t>
        </is>
      </c>
    </row>
    <row r="7178">
      <c r="A7178" t="inlineStr">
        <is>
          <t>PRAGMA</t>
        </is>
      </c>
      <c r="B7178" t="inlineStr">
        <is>
          <t>M2</t>
        </is>
      </c>
      <c r="C7178" t="inlineStr">
        <is>
          <t>Pasto</t>
        </is>
      </c>
      <c r="D7178" t="inlineStr">
        <is>
          <t>6220</t>
        </is>
      </c>
      <c r="E7178" t="inlineStr">
        <is>
          <t>pagado</t>
        </is>
      </c>
      <c r="F7178" s="23" t="n">
        <v>46276</v>
      </c>
      <c r="G7178" s="24">
        <f>F7178-DATE(2026,8,31)</f>
        <v>11</v>
      </c>
      <c r="H7178" s="25" t="n">
        <v>33056916</v>
      </c>
      <c r="I7178" t="inlineStr">
        <is>
          <t>entidad-dia</t>
        </is>
      </c>
    </row>
    <row r="7179">
      <c r="A7179" t="inlineStr">
        <is>
          <t>PRAGMA</t>
        </is>
      </c>
      <c r="B7179" t="inlineStr">
        <is>
          <t>M2</t>
        </is>
      </c>
      <c r="C7179" t="inlineStr">
        <is>
          <t>Pasto</t>
        </is>
      </c>
      <c r="D7179" t="inlineStr">
        <is>
          <t>6220</t>
        </is>
      </c>
      <c r="E7179" t="inlineStr">
        <is>
          <t>cash_in</t>
        </is>
      </c>
      <c r="F7179" s="23" t="n">
        <v>46276</v>
      </c>
      <c r="G7179" s="24">
        <f>F7179-DATE(2026,8,31)</f>
        <v>11</v>
      </c>
      <c r="H7179" s="25" t="n">
        <v>180412656</v>
      </c>
      <c r="I7179" t="inlineStr">
        <is>
          <t>entidad-dia</t>
        </is>
      </c>
    </row>
    <row r="7180">
      <c r="A7180" t="inlineStr">
        <is>
          <t>PRAGMA</t>
        </is>
      </c>
      <c r="B7180" t="inlineStr">
        <is>
          <t>M2</t>
        </is>
      </c>
      <c r="C7180" t="inlineStr">
        <is>
          <t>Pasto</t>
        </is>
      </c>
      <c r="D7180" t="inlineStr">
        <is>
          <t>6220</t>
        </is>
      </c>
      <c r="E7180" t="inlineStr">
        <is>
          <t>pagado</t>
        </is>
      </c>
      <c r="F7180" s="23" t="n">
        <v>46277</v>
      </c>
      <c r="G7180" s="24">
        <f>F7180-DATE(2026,8,31)</f>
        <v>12</v>
      </c>
      <c r="H7180" s="25" t="n">
        <v>26884515</v>
      </c>
      <c r="I7180" t="inlineStr">
        <is>
          <t>entidad-dia</t>
        </is>
      </c>
    </row>
    <row r="7181">
      <c r="A7181" t="inlineStr">
        <is>
          <t>PRAGMA</t>
        </is>
      </c>
      <c r="B7181" t="inlineStr">
        <is>
          <t>M2</t>
        </is>
      </c>
      <c r="C7181" t="inlineStr">
        <is>
          <t>Pasto</t>
        </is>
      </c>
      <c r="D7181" t="inlineStr">
        <is>
          <t>6220</t>
        </is>
      </c>
      <c r="E7181" t="inlineStr">
        <is>
          <t>cash_in</t>
        </is>
      </c>
      <c r="F7181" s="23" t="n">
        <v>46277</v>
      </c>
      <c r="G7181" s="24">
        <f>F7181-DATE(2026,8,31)</f>
        <v>12</v>
      </c>
      <c r="H7181" s="25" t="n">
        <v>138023472</v>
      </c>
      <c r="I7181" t="inlineStr">
        <is>
          <t>entidad-dia</t>
        </is>
      </c>
    </row>
    <row r="7182">
      <c r="A7182" t="inlineStr">
        <is>
          <t>PRAGMA</t>
        </is>
      </c>
      <c r="B7182" t="inlineStr">
        <is>
          <t>M2</t>
        </is>
      </c>
      <c r="C7182" t="inlineStr">
        <is>
          <t>Pasto</t>
        </is>
      </c>
      <c r="D7182" t="inlineStr">
        <is>
          <t>6220</t>
        </is>
      </c>
      <c r="E7182" t="inlineStr">
        <is>
          <t>pagado</t>
        </is>
      </c>
      <c r="F7182" s="23" t="n">
        <v>46278</v>
      </c>
      <c r="G7182" s="24">
        <f>F7182-DATE(2026,8,31)</f>
        <v>13</v>
      </c>
      <c r="H7182" s="25" t="n">
        <v>7334305</v>
      </c>
      <c r="I7182" t="inlineStr">
        <is>
          <t>entidad-dia</t>
        </is>
      </c>
    </row>
    <row r="7183">
      <c r="A7183" t="inlineStr">
        <is>
          <t>PRAGMA</t>
        </is>
      </c>
      <c r="B7183" t="inlineStr">
        <is>
          <t>M2</t>
        </is>
      </c>
      <c r="C7183" t="inlineStr">
        <is>
          <t>Pasto</t>
        </is>
      </c>
      <c r="D7183" t="inlineStr">
        <is>
          <t>6220</t>
        </is>
      </c>
      <c r="E7183" t="inlineStr">
        <is>
          <t>cash_in</t>
        </is>
      </c>
      <c r="F7183" s="23" t="n">
        <v>46278</v>
      </c>
      <c r="G7183" s="24">
        <f>F7183-DATE(2026,8,31)</f>
        <v>13</v>
      </c>
      <c r="H7183" s="25" t="n">
        <v>67998947</v>
      </c>
      <c r="I7183" t="inlineStr">
        <is>
          <t>entidad-dia</t>
        </is>
      </c>
    </row>
    <row r="7184">
      <c r="A7184" t="inlineStr">
        <is>
          <t>PRAGMA</t>
        </is>
      </c>
      <c r="B7184" t="inlineStr">
        <is>
          <t>M2</t>
        </is>
      </c>
      <c r="C7184" t="inlineStr">
        <is>
          <t>Pasto</t>
        </is>
      </c>
      <c r="D7184" t="inlineStr">
        <is>
          <t>6220</t>
        </is>
      </c>
      <c r="E7184" t="inlineStr">
        <is>
          <t>pagado</t>
        </is>
      </c>
      <c r="F7184" s="23" t="n">
        <v>46279</v>
      </c>
      <c r="G7184" s="24">
        <f>F7184-DATE(2026,8,31)</f>
        <v>14</v>
      </c>
      <c r="H7184" s="25" t="n">
        <v>31114869</v>
      </c>
      <c r="I7184" t="inlineStr">
        <is>
          <t>entidad-dia</t>
        </is>
      </c>
    </row>
    <row r="7185">
      <c r="A7185" t="inlineStr">
        <is>
          <t>PRAGMA</t>
        </is>
      </c>
      <c r="B7185" t="inlineStr">
        <is>
          <t>M2</t>
        </is>
      </c>
      <c r="C7185" t="inlineStr">
        <is>
          <t>Pasto</t>
        </is>
      </c>
      <c r="D7185" t="inlineStr">
        <is>
          <t>6220</t>
        </is>
      </c>
      <c r="E7185" t="inlineStr">
        <is>
          <t>cash_in</t>
        </is>
      </c>
      <c r="F7185" s="23" t="n">
        <v>46279</v>
      </c>
      <c r="G7185" s="24">
        <f>F7185-DATE(2026,8,31)</f>
        <v>14</v>
      </c>
      <c r="H7185" s="25" t="n">
        <v>195050132</v>
      </c>
      <c r="I7185" t="inlineStr">
        <is>
          <t>entidad-dia</t>
        </is>
      </c>
    </row>
    <row r="7186">
      <c r="A7186" t="inlineStr">
        <is>
          <t>PRAGMA</t>
        </is>
      </c>
      <c r="B7186" t="inlineStr">
        <is>
          <t>M2</t>
        </is>
      </c>
      <c r="C7186" t="inlineStr">
        <is>
          <t>Pasto</t>
        </is>
      </c>
      <c r="D7186" t="inlineStr">
        <is>
          <t>6220</t>
        </is>
      </c>
      <c r="E7186" t="inlineStr">
        <is>
          <t>pagado</t>
        </is>
      </c>
      <c r="F7186" s="23" t="n">
        <v>46280</v>
      </c>
      <c r="G7186" s="24">
        <f>F7186-DATE(2026,8,31)</f>
        <v>15</v>
      </c>
      <c r="H7186" s="25" t="n">
        <v>41073226</v>
      </c>
      <c r="I7186" t="inlineStr">
        <is>
          <t>entidad-dia</t>
        </is>
      </c>
    </row>
    <row r="7187">
      <c r="A7187" t="inlineStr">
        <is>
          <t>PRAGMA</t>
        </is>
      </c>
      <c r="B7187" t="inlineStr">
        <is>
          <t>M2</t>
        </is>
      </c>
      <c r="C7187" t="inlineStr">
        <is>
          <t>Pasto</t>
        </is>
      </c>
      <c r="D7187" t="inlineStr">
        <is>
          <t>6220</t>
        </is>
      </c>
      <c r="E7187" t="inlineStr">
        <is>
          <t>cash_in</t>
        </is>
      </c>
      <c r="F7187" s="23" t="n">
        <v>46280</v>
      </c>
      <c r="G7187" s="24">
        <f>F7187-DATE(2026,8,31)</f>
        <v>15</v>
      </c>
      <c r="H7187" s="25" t="n">
        <v>193057319</v>
      </c>
      <c r="I7187" t="inlineStr">
        <is>
          <t>entidad-dia</t>
        </is>
      </c>
    </row>
    <row r="7188">
      <c r="A7188" t="inlineStr">
        <is>
          <t>PRAGMA</t>
        </is>
      </c>
      <c r="B7188" t="inlineStr">
        <is>
          <t>M2</t>
        </is>
      </c>
      <c r="C7188" t="inlineStr">
        <is>
          <t>Cali</t>
        </is>
      </c>
      <c r="D7188" t="inlineStr">
        <is>
          <t>6720</t>
        </is>
      </c>
      <c r="E7188" t="inlineStr">
        <is>
          <t>pagado</t>
        </is>
      </c>
      <c r="F7188" s="23" t="n">
        <v>46266</v>
      </c>
      <c r="G7188" s="24">
        <f>F7188-DATE(2026,8,31)</f>
        <v>1</v>
      </c>
      <c r="H7188" s="25" t="n">
        <v>67496815</v>
      </c>
      <c r="I7188" t="inlineStr">
        <is>
          <t>entidad-dia</t>
        </is>
      </c>
    </row>
    <row r="7189">
      <c r="A7189" t="inlineStr">
        <is>
          <t>PRAGMA</t>
        </is>
      </c>
      <c r="B7189" t="inlineStr">
        <is>
          <t>M2</t>
        </is>
      </c>
      <c r="C7189" t="inlineStr">
        <is>
          <t>Cali</t>
        </is>
      </c>
      <c r="D7189" t="inlineStr">
        <is>
          <t>6720</t>
        </is>
      </c>
      <c r="E7189" t="inlineStr">
        <is>
          <t>cash_in</t>
        </is>
      </c>
      <c r="F7189" s="23" t="n">
        <v>46266</v>
      </c>
      <c r="G7189" s="24">
        <f>F7189-DATE(2026,8,31)</f>
        <v>1</v>
      </c>
      <c r="H7189" s="25" t="n">
        <v>134183822</v>
      </c>
      <c r="I7189" t="inlineStr">
        <is>
          <t>entidad-dia</t>
        </is>
      </c>
    </row>
    <row r="7190">
      <c r="A7190" t="inlineStr">
        <is>
          <t>PRAGMA</t>
        </is>
      </c>
      <c r="B7190" t="inlineStr">
        <is>
          <t>M2</t>
        </is>
      </c>
      <c r="C7190" t="inlineStr">
        <is>
          <t>Cali</t>
        </is>
      </c>
      <c r="D7190" t="inlineStr">
        <is>
          <t>6720</t>
        </is>
      </c>
      <c r="E7190" t="inlineStr">
        <is>
          <t>pagado</t>
        </is>
      </c>
      <c r="F7190" s="23" t="n">
        <v>46267</v>
      </c>
      <c r="G7190" s="24">
        <f>F7190-DATE(2026,8,31)</f>
        <v>2</v>
      </c>
      <c r="H7190" s="25" t="n">
        <v>58839719</v>
      </c>
      <c r="I7190" t="inlineStr">
        <is>
          <t>entidad-dia</t>
        </is>
      </c>
    </row>
    <row r="7191">
      <c r="A7191" t="inlineStr">
        <is>
          <t>PRAGMA</t>
        </is>
      </c>
      <c r="B7191" t="inlineStr">
        <is>
          <t>M2</t>
        </is>
      </c>
      <c r="C7191" t="inlineStr">
        <is>
          <t>Cali</t>
        </is>
      </c>
      <c r="D7191" t="inlineStr">
        <is>
          <t>6720</t>
        </is>
      </c>
      <c r="E7191" t="inlineStr">
        <is>
          <t>cash_in</t>
        </is>
      </c>
      <c r="F7191" s="23" t="n">
        <v>46267</v>
      </c>
      <c r="G7191" s="24">
        <f>F7191-DATE(2026,8,31)</f>
        <v>2</v>
      </c>
      <c r="H7191" s="25" t="n">
        <v>124992493</v>
      </c>
      <c r="I7191" t="inlineStr">
        <is>
          <t>entidad-dia</t>
        </is>
      </c>
    </row>
    <row r="7192">
      <c r="A7192" t="inlineStr">
        <is>
          <t>PRAGMA</t>
        </is>
      </c>
      <c r="B7192" t="inlineStr">
        <is>
          <t>M2</t>
        </is>
      </c>
      <c r="C7192" t="inlineStr">
        <is>
          <t>Cali</t>
        </is>
      </c>
      <c r="D7192" t="inlineStr">
        <is>
          <t>6720</t>
        </is>
      </c>
      <c r="E7192" t="inlineStr">
        <is>
          <t>pagado</t>
        </is>
      </c>
      <c r="F7192" s="23" t="n">
        <v>46268</v>
      </c>
      <c r="G7192" s="24">
        <f>F7192-DATE(2026,8,31)</f>
        <v>3</v>
      </c>
      <c r="H7192" s="25" t="n">
        <v>55876918</v>
      </c>
      <c r="I7192" t="inlineStr">
        <is>
          <t>entidad-dia</t>
        </is>
      </c>
    </row>
    <row r="7193">
      <c r="A7193" t="inlineStr">
        <is>
          <t>PRAGMA</t>
        </is>
      </c>
      <c r="B7193" t="inlineStr">
        <is>
          <t>M2</t>
        </is>
      </c>
      <c r="C7193" t="inlineStr">
        <is>
          <t>Cali</t>
        </is>
      </c>
      <c r="D7193" t="inlineStr">
        <is>
          <t>6720</t>
        </is>
      </c>
      <c r="E7193" t="inlineStr">
        <is>
          <t>cash_in</t>
        </is>
      </c>
      <c r="F7193" s="23" t="n">
        <v>46268</v>
      </c>
      <c r="G7193" s="24">
        <f>F7193-DATE(2026,8,31)</f>
        <v>3</v>
      </c>
      <c r="H7193" s="25" t="n">
        <v>122424276</v>
      </c>
      <c r="I7193" t="inlineStr">
        <is>
          <t>entidad-dia</t>
        </is>
      </c>
    </row>
    <row r="7194">
      <c r="A7194" t="inlineStr">
        <is>
          <t>PRAGMA</t>
        </is>
      </c>
      <c r="B7194" t="inlineStr">
        <is>
          <t>M2</t>
        </is>
      </c>
      <c r="C7194" t="inlineStr">
        <is>
          <t>Cali</t>
        </is>
      </c>
      <c r="D7194" t="inlineStr">
        <is>
          <t>6720</t>
        </is>
      </c>
      <c r="E7194" t="inlineStr">
        <is>
          <t>pagado</t>
        </is>
      </c>
      <c r="F7194" s="23" t="n">
        <v>46269</v>
      </c>
      <c r="G7194" s="24">
        <f>F7194-DATE(2026,8,31)</f>
        <v>4</v>
      </c>
      <c r="H7194" s="25" t="n">
        <v>58623554</v>
      </c>
      <c r="I7194" t="inlineStr">
        <is>
          <t>entidad-dia</t>
        </is>
      </c>
    </row>
    <row r="7195">
      <c r="A7195" t="inlineStr">
        <is>
          <t>PRAGMA</t>
        </is>
      </c>
      <c r="B7195" t="inlineStr">
        <is>
          <t>M2</t>
        </is>
      </c>
      <c r="C7195" t="inlineStr">
        <is>
          <t>Cali</t>
        </is>
      </c>
      <c r="D7195" t="inlineStr">
        <is>
          <t>6720</t>
        </is>
      </c>
      <c r="E7195" t="inlineStr">
        <is>
          <t>cash_in</t>
        </is>
      </c>
      <c r="F7195" s="23" t="n">
        <v>46269</v>
      </c>
      <c r="G7195" s="24">
        <f>F7195-DATE(2026,8,31)</f>
        <v>4</v>
      </c>
      <c r="H7195" s="25" t="n">
        <v>128123671</v>
      </c>
      <c r="I7195" t="inlineStr">
        <is>
          <t>entidad-dia</t>
        </is>
      </c>
    </row>
    <row r="7196">
      <c r="A7196" t="inlineStr">
        <is>
          <t>PRAGMA</t>
        </is>
      </c>
      <c r="B7196" t="inlineStr">
        <is>
          <t>M2</t>
        </is>
      </c>
      <c r="C7196" t="inlineStr">
        <is>
          <t>Cali</t>
        </is>
      </c>
      <c r="D7196" t="inlineStr">
        <is>
          <t>6720</t>
        </is>
      </c>
      <c r="E7196" t="inlineStr">
        <is>
          <t>pagado</t>
        </is>
      </c>
      <c r="F7196" s="23" t="n">
        <v>46270</v>
      </c>
      <c r="G7196" s="24">
        <f>F7196-DATE(2026,8,31)</f>
        <v>5</v>
      </c>
      <c r="H7196" s="25" t="n">
        <v>59059848</v>
      </c>
      <c r="I7196" t="inlineStr">
        <is>
          <t>entidad-dia</t>
        </is>
      </c>
    </row>
    <row r="7197">
      <c r="A7197" t="inlineStr">
        <is>
          <t>PRAGMA</t>
        </is>
      </c>
      <c r="B7197" t="inlineStr">
        <is>
          <t>M2</t>
        </is>
      </c>
      <c r="C7197" t="inlineStr">
        <is>
          <t>Cali</t>
        </is>
      </c>
      <c r="D7197" t="inlineStr">
        <is>
          <t>6720</t>
        </is>
      </c>
      <c r="E7197" t="inlineStr">
        <is>
          <t>cash_in</t>
        </is>
      </c>
      <c r="F7197" s="23" t="n">
        <v>46270</v>
      </c>
      <c r="G7197" s="24">
        <f>F7197-DATE(2026,8,31)</f>
        <v>5</v>
      </c>
      <c r="H7197" s="25" t="n">
        <v>128915907</v>
      </c>
      <c r="I7197" t="inlineStr">
        <is>
          <t>entidad-dia</t>
        </is>
      </c>
    </row>
    <row r="7198">
      <c r="A7198" t="inlineStr">
        <is>
          <t>PRAGMA</t>
        </is>
      </c>
      <c r="B7198" t="inlineStr">
        <is>
          <t>M2</t>
        </is>
      </c>
      <c r="C7198" t="inlineStr">
        <is>
          <t>Cali</t>
        </is>
      </c>
      <c r="D7198" t="inlineStr">
        <is>
          <t>6720</t>
        </is>
      </c>
      <c r="E7198" t="inlineStr">
        <is>
          <t>pagado</t>
        </is>
      </c>
      <c r="F7198" s="23" t="n">
        <v>46271</v>
      </c>
      <c r="G7198" s="24">
        <f>F7198-DATE(2026,8,31)</f>
        <v>6</v>
      </c>
      <c r="H7198" s="25" t="n">
        <v>34714773</v>
      </c>
      <c r="I7198" t="inlineStr">
        <is>
          <t>entidad-dia</t>
        </is>
      </c>
    </row>
    <row r="7199">
      <c r="A7199" t="inlineStr">
        <is>
          <t>PRAGMA</t>
        </is>
      </c>
      <c r="B7199" t="inlineStr">
        <is>
          <t>M2</t>
        </is>
      </c>
      <c r="C7199" t="inlineStr">
        <is>
          <t>Cali</t>
        </is>
      </c>
      <c r="D7199" t="inlineStr">
        <is>
          <t>6720</t>
        </is>
      </c>
      <c r="E7199" t="inlineStr">
        <is>
          <t>cash_in</t>
        </is>
      </c>
      <c r="F7199" s="23" t="n">
        <v>46271</v>
      </c>
      <c r="G7199" s="24">
        <f>F7199-DATE(2026,8,31)</f>
        <v>6</v>
      </c>
      <c r="H7199" s="25" t="n">
        <v>76580213</v>
      </c>
      <c r="I7199" t="inlineStr">
        <is>
          <t>entidad-dia</t>
        </is>
      </c>
    </row>
    <row r="7200">
      <c r="A7200" t="inlineStr">
        <is>
          <t>PRAGMA</t>
        </is>
      </c>
      <c r="B7200" t="inlineStr">
        <is>
          <t>M2</t>
        </is>
      </c>
      <c r="C7200" t="inlineStr">
        <is>
          <t>Cali</t>
        </is>
      </c>
      <c r="D7200" t="inlineStr">
        <is>
          <t>6720</t>
        </is>
      </c>
      <c r="E7200" t="inlineStr">
        <is>
          <t>pagado</t>
        </is>
      </c>
      <c r="F7200" s="23" t="n">
        <v>46272</v>
      </c>
      <c r="G7200" s="24">
        <f>F7200-DATE(2026,8,31)</f>
        <v>7</v>
      </c>
      <c r="H7200" s="25" t="n">
        <v>50086634</v>
      </c>
      <c r="I7200" t="inlineStr">
        <is>
          <t>entidad-dia</t>
        </is>
      </c>
    </row>
    <row r="7201">
      <c r="A7201" t="inlineStr">
        <is>
          <t>PRAGMA</t>
        </is>
      </c>
      <c r="B7201" t="inlineStr">
        <is>
          <t>M2</t>
        </is>
      </c>
      <c r="C7201" t="inlineStr">
        <is>
          <t>Cali</t>
        </is>
      </c>
      <c r="D7201" t="inlineStr">
        <is>
          <t>6720</t>
        </is>
      </c>
      <c r="E7201" t="inlineStr">
        <is>
          <t>cash_in</t>
        </is>
      </c>
      <c r="F7201" s="23" t="n">
        <v>46272</v>
      </c>
      <c r="G7201" s="24">
        <f>F7201-DATE(2026,8,31)</f>
        <v>7</v>
      </c>
      <c r="H7201" s="25" t="n">
        <v>131560239</v>
      </c>
      <c r="I7201" t="inlineStr">
        <is>
          <t>entidad-dia</t>
        </is>
      </c>
    </row>
    <row r="7202">
      <c r="A7202" t="inlineStr">
        <is>
          <t>PRAGMA</t>
        </is>
      </c>
      <c r="B7202" t="inlineStr">
        <is>
          <t>M2</t>
        </is>
      </c>
      <c r="C7202" t="inlineStr">
        <is>
          <t>Cali</t>
        </is>
      </c>
      <c r="D7202" t="inlineStr">
        <is>
          <t>6720</t>
        </is>
      </c>
      <c r="E7202" t="inlineStr">
        <is>
          <t>pagado</t>
        </is>
      </c>
      <c r="F7202" s="23" t="n">
        <v>46273</v>
      </c>
      <c r="G7202" s="24">
        <f>F7202-DATE(2026,8,31)</f>
        <v>8</v>
      </c>
      <c r="H7202" s="25" t="n">
        <v>44860951</v>
      </c>
      <c r="I7202" t="inlineStr">
        <is>
          <t>entidad-dia</t>
        </is>
      </c>
    </row>
    <row r="7203">
      <c r="A7203" t="inlineStr">
        <is>
          <t>PRAGMA</t>
        </is>
      </c>
      <c r="B7203" t="inlineStr">
        <is>
          <t>M2</t>
        </is>
      </c>
      <c r="C7203" t="inlineStr">
        <is>
          <t>Cali</t>
        </is>
      </c>
      <c r="D7203" t="inlineStr">
        <is>
          <t>6720</t>
        </is>
      </c>
      <c r="E7203" t="inlineStr">
        <is>
          <t>cash_in</t>
        </is>
      </c>
      <c r="F7203" s="23" t="n">
        <v>46273</v>
      </c>
      <c r="G7203" s="24">
        <f>F7203-DATE(2026,8,31)</f>
        <v>8</v>
      </c>
      <c r="H7203" s="25" t="n">
        <v>117361660</v>
      </c>
      <c r="I7203" t="inlineStr">
        <is>
          <t>entidad-dia</t>
        </is>
      </c>
    </row>
    <row r="7204">
      <c r="A7204" t="inlineStr">
        <is>
          <t>PRAGMA</t>
        </is>
      </c>
      <c r="B7204" t="inlineStr">
        <is>
          <t>M2</t>
        </is>
      </c>
      <c r="C7204" t="inlineStr">
        <is>
          <t>Cali</t>
        </is>
      </c>
      <c r="D7204" t="inlineStr">
        <is>
          <t>6720</t>
        </is>
      </c>
      <c r="E7204" t="inlineStr">
        <is>
          <t>pagado</t>
        </is>
      </c>
      <c r="F7204" s="23" t="n">
        <v>46274</v>
      </c>
      <c r="G7204" s="24">
        <f>F7204-DATE(2026,8,31)</f>
        <v>9</v>
      </c>
      <c r="H7204" s="25" t="n">
        <v>45145868</v>
      </c>
      <c r="I7204" t="inlineStr">
        <is>
          <t>entidad-dia</t>
        </is>
      </c>
    </row>
    <row r="7205">
      <c r="A7205" t="inlineStr">
        <is>
          <t>PRAGMA</t>
        </is>
      </c>
      <c r="B7205" t="inlineStr">
        <is>
          <t>M2</t>
        </is>
      </c>
      <c r="C7205" t="inlineStr">
        <is>
          <t>Cali</t>
        </is>
      </c>
      <c r="D7205" t="inlineStr">
        <is>
          <t>6720</t>
        </is>
      </c>
      <c r="E7205" t="inlineStr">
        <is>
          <t>cash_in</t>
        </is>
      </c>
      <c r="F7205" s="23" t="n">
        <v>46274</v>
      </c>
      <c r="G7205" s="24">
        <f>F7205-DATE(2026,8,31)</f>
        <v>9</v>
      </c>
      <c r="H7205" s="25" t="n">
        <v>114387388</v>
      </c>
      <c r="I7205" t="inlineStr">
        <is>
          <t>entidad-dia</t>
        </is>
      </c>
    </row>
    <row r="7206">
      <c r="A7206" t="inlineStr">
        <is>
          <t>PRAGMA</t>
        </is>
      </c>
      <c r="B7206" t="inlineStr">
        <is>
          <t>M2</t>
        </is>
      </c>
      <c r="C7206" t="inlineStr">
        <is>
          <t>Cali</t>
        </is>
      </c>
      <c r="D7206" t="inlineStr">
        <is>
          <t>6720</t>
        </is>
      </c>
      <c r="E7206" t="inlineStr">
        <is>
          <t>pagado</t>
        </is>
      </c>
      <c r="F7206" s="23" t="n">
        <v>46275</v>
      </c>
      <c r="G7206" s="24">
        <f>F7206-DATE(2026,8,31)</f>
        <v>10</v>
      </c>
      <c r="H7206" s="25" t="n">
        <v>45429836</v>
      </c>
      <c r="I7206" t="inlineStr">
        <is>
          <t>entidad-dia</t>
        </is>
      </c>
    </row>
    <row r="7207">
      <c r="A7207" t="inlineStr">
        <is>
          <t>PRAGMA</t>
        </is>
      </c>
      <c r="B7207" t="inlineStr">
        <is>
          <t>M2</t>
        </is>
      </c>
      <c r="C7207" t="inlineStr">
        <is>
          <t>Cali</t>
        </is>
      </c>
      <c r="D7207" t="inlineStr">
        <is>
          <t>6720</t>
        </is>
      </c>
      <c r="E7207" t="inlineStr">
        <is>
          <t>cash_in</t>
        </is>
      </c>
      <c r="F7207" s="23" t="n">
        <v>46275</v>
      </c>
      <c r="G7207" s="24">
        <f>F7207-DATE(2026,8,31)</f>
        <v>10</v>
      </c>
      <c r="H7207" s="25" t="n">
        <v>105878256</v>
      </c>
      <c r="I7207" t="inlineStr">
        <is>
          <t>entidad-dia</t>
        </is>
      </c>
    </row>
    <row r="7208">
      <c r="A7208" t="inlineStr">
        <is>
          <t>PRAGMA</t>
        </is>
      </c>
      <c r="B7208" t="inlineStr">
        <is>
          <t>M2</t>
        </is>
      </c>
      <c r="C7208" t="inlineStr">
        <is>
          <t>Cali</t>
        </is>
      </c>
      <c r="D7208" t="inlineStr">
        <is>
          <t>6720</t>
        </is>
      </c>
      <c r="E7208" t="inlineStr">
        <is>
          <t>pagado</t>
        </is>
      </c>
      <c r="F7208" s="23" t="n">
        <v>46276</v>
      </c>
      <c r="G7208" s="24">
        <f>F7208-DATE(2026,8,31)</f>
        <v>11</v>
      </c>
      <c r="H7208" s="25" t="n">
        <v>49139925</v>
      </c>
      <c r="I7208" t="inlineStr">
        <is>
          <t>entidad-dia</t>
        </is>
      </c>
    </row>
    <row r="7209">
      <c r="A7209" t="inlineStr">
        <is>
          <t>PRAGMA</t>
        </is>
      </c>
      <c r="B7209" t="inlineStr">
        <is>
          <t>M2</t>
        </is>
      </c>
      <c r="C7209" t="inlineStr">
        <is>
          <t>Cali</t>
        </is>
      </c>
      <c r="D7209" t="inlineStr">
        <is>
          <t>6720</t>
        </is>
      </c>
      <c r="E7209" t="inlineStr">
        <is>
          <t>cash_in</t>
        </is>
      </c>
      <c r="F7209" s="23" t="n">
        <v>46276</v>
      </c>
      <c r="G7209" s="24">
        <f>F7209-DATE(2026,8,31)</f>
        <v>11</v>
      </c>
      <c r="H7209" s="25" t="n">
        <v>111752403</v>
      </c>
      <c r="I7209" t="inlineStr">
        <is>
          <t>entidad-dia</t>
        </is>
      </c>
    </row>
    <row r="7210">
      <c r="A7210" t="inlineStr">
        <is>
          <t>PRAGMA</t>
        </is>
      </c>
      <c r="B7210" t="inlineStr">
        <is>
          <t>M2</t>
        </is>
      </c>
      <c r="C7210" t="inlineStr">
        <is>
          <t>Cali</t>
        </is>
      </c>
      <c r="D7210" t="inlineStr">
        <is>
          <t>6720</t>
        </is>
      </c>
      <c r="E7210" t="inlineStr">
        <is>
          <t>pagado</t>
        </is>
      </c>
      <c r="F7210" s="23" t="n">
        <v>46277</v>
      </c>
      <c r="G7210" s="24">
        <f>F7210-DATE(2026,8,31)</f>
        <v>12</v>
      </c>
      <c r="H7210" s="25" t="n">
        <v>50492375</v>
      </c>
      <c r="I7210" t="inlineStr">
        <is>
          <t>entidad-dia</t>
        </is>
      </c>
    </row>
    <row r="7211">
      <c r="A7211" t="inlineStr">
        <is>
          <t>PRAGMA</t>
        </is>
      </c>
      <c r="B7211" t="inlineStr">
        <is>
          <t>M2</t>
        </is>
      </c>
      <c r="C7211" t="inlineStr">
        <is>
          <t>Cali</t>
        </is>
      </c>
      <c r="D7211" t="inlineStr">
        <is>
          <t>6720</t>
        </is>
      </c>
      <c r="E7211" t="inlineStr">
        <is>
          <t>cash_in</t>
        </is>
      </c>
      <c r="F7211" s="23" t="n">
        <v>46277</v>
      </c>
      <c r="G7211" s="24">
        <f>F7211-DATE(2026,8,31)</f>
        <v>12</v>
      </c>
      <c r="H7211" s="25" t="n">
        <v>110770515</v>
      </c>
      <c r="I7211" t="inlineStr">
        <is>
          <t>entidad-dia</t>
        </is>
      </c>
    </row>
    <row r="7212">
      <c r="A7212" t="inlineStr">
        <is>
          <t>PRAGMA</t>
        </is>
      </c>
      <c r="B7212" t="inlineStr">
        <is>
          <t>M2</t>
        </is>
      </c>
      <c r="C7212" t="inlineStr">
        <is>
          <t>Cali</t>
        </is>
      </c>
      <c r="D7212" t="inlineStr">
        <is>
          <t>6720</t>
        </is>
      </c>
      <c r="E7212" t="inlineStr">
        <is>
          <t>pagado</t>
        </is>
      </c>
      <c r="F7212" s="23" t="n">
        <v>46278</v>
      </c>
      <c r="G7212" s="24">
        <f>F7212-DATE(2026,8,31)</f>
        <v>13</v>
      </c>
      <c r="H7212" s="25" t="n">
        <v>30060282</v>
      </c>
      <c r="I7212" t="inlineStr">
        <is>
          <t>entidad-dia</t>
        </is>
      </c>
    </row>
    <row r="7213">
      <c r="A7213" t="inlineStr">
        <is>
          <t>PRAGMA</t>
        </is>
      </c>
      <c r="B7213" t="inlineStr">
        <is>
          <t>M2</t>
        </is>
      </c>
      <c r="C7213" t="inlineStr">
        <is>
          <t>Cali</t>
        </is>
      </c>
      <c r="D7213" t="inlineStr">
        <is>
          <t>6720</t>
        </is>
      </c>
      <c r="E7213" t="inlineStr">
        <is>
          <t>cash_in</t>
        </is>
      </c>
      <c r="F7213" s="23" t="n">
        <v>46278</v>
      </c>
      <c r="G7213" s="24">
        <f>F7213-DATE(2026,8,31)</f>
        <v>13</v>
      </c>
      <c r="H7213" s="25" t="n">
        <v>63432881</v>
      </c>
      <c r="I7213" t="inlineStr">
        <is>
          <t>entidad-dia</t>
        </is>
      </c>
    </row>
    <row r="7214">
      <c r="A7214" t="inlineStr">
        <is>
          <t>PRAGMA</t>
        </is>
      </c>
      <c r="B7214" t="inlineStr">
        <is>
          <t>M2</t>
        </is>
      </c>
      <c r="C7214" t="inlineStr">
        <is>
          <t>Cali</t>
        </is>
      </c>
      <c r="D7214" t="inlineStr">
        <is>
          <t>6720</t>
        </is>
      </c>
      <c r="E7214" t="inlineStr">
        <is>
          <t>pagado</t>
        </is>
      </c>
      <c r="F7214" s="23" t="n">
        <v>46279</v>
      </c>
      <c r="G7214" s="24">
        <f>F7214-DATE(2026,8,31)</f>
        <v>14</v>
      </c>
      <c r="H7214" s="25" t="n">
        <v>45558208</v>
      </c>
      <c r="I7214" t="inlineStr">
        <is>
          <t>entidad-dia</t>
        </is>
      </c>
    </row>
    <row r="7215">
      <c r="A7215" t="inlineStr">
        <is>
          <t>PRAGMA</t>
        </is>
      </c>
      <c r="B7215" t="inlineStr">
        <is>
          <t>M2</t>
        </is>
      </c>
      <c r="C7215" t="inlineStr">
        <is>
          <t>Cali</t>
        </is>
      </c>
      <c r="D7215" t="inlineStr">
        <is>
          <t>6720</t>
        </is>
      </c>
      <c r="E7215" t="inlineStr">
        <is>
          <t>cash_in</t>
        </is>
      </c>
      <c r="F7215" s="23" t="n">
        <v>46279</v>
      </c>
      <c r="G7215" s="24">
        <f>F7215-DATE(2026,8,31)</f>
        <v>14</v>
      </c>
      <c r="H7215" s="25" t="n">
        <v>112643850</v>
      </c>
      <c r="I7215" t="inlineStr">
        <is>
          <t>entidad-dia</t>
        </is>
      </c>
    </row>
    <row r="7216">
      <c r="A7216" t="inlineStr">
        <is>
          <t>PRAGMA</t>
        </is>
      </c>
      <c r="B7216" t="inlineStr">
        <is>
          <t>M2</t>
        </is>
      </c>
      <c r="C7216" t="inlineStr">
        <is>
          <t>Cali</t>
        </is>
      </c>
      <c r="D7216" t="inlineStr">
        <is>
          <t>6720</t>
        </is>
      </c>
      <c r="E7216" t="inlineStr">
        <is>
          <t>pagado</t>
        </is>
      </c>
      <c r="F7216" s="23" t="n">
        <v>46280</v>
      </c>
      <c r="G7216" s="24">
        <f>F7216-DATE(2026,8,31)</f>
        <v>15</v>
      </c>
      <c r="H7216" s="25" t="n">
        <v>55213199</v>
      </c>
      <c r="I7216" t="inlineStr">
        <is>
          <t>entidad-dia</t>
        </is>
      </c>
    </row>
    <row r="7217">
      <c r="A7217" t="inlineStr">
        <is>
          <t>PRAGMA</t>
        </is>
      </c>
      <c r="B7217" t="inlineStr">
        <is>
          <t>M2</t>
        </is>
      </c>
      <c r="C7217" t="inlineStr">
        <is>
          <t>Cali</t>
        </is>
      </c>
      <c r="D7217" t="inlineStr">
        <is>
          <t>6720</t>
        </is>
      </c>
      <c r="E7217" t="inlineStr">
        <is>
          <t>cash_in</t>
        </is>
      </c>
      <c r="F7217" s="23" t="n">
        <v>46280</v>
      </c>
      <c r="G7217" s="24">
        <f>F7217-DATE(2026,8,31)</f>
        <v>15</v>
      </c>
      <c r="H7217" s="25" t="n">
        <v>124567768</v>
      </c>
      <c r="I7217" t="inlineStr">
        <is>
          <t>entidad-dia</t>
        </is>
      </c>
    </row>
    <row r="7218">
      <c r="A7218" t="inlineStr">
        <is>
          <t>PRAGMA</t>
        </is>
      </c>
      <c r="B7218" t="inlineStr">
        <is>
          <t>M2</t>
        </is>
      </c>
      <c r="C7218" t="inlineStr">
        <is>
          <t>Cali</t>
        </is>
      </c>
      <c r="D7218" t="inlineStr">
        <is>
          <t>6775</t>
        </is>
      </c>
      <c r="E7218" t="inlineStr">
        <is>
          <t>pagado</t>
        </is>
      </c>
      <c r="F7218" s="23" t="n">
        <v>46266</v>
      </c>
      <c r="G7218" s="24">
        <f>F7218-DATE(2026,8,31)</f>
        <v>1</v>
      </c>
      <c r="H7218" s="25" t="n">
        <v>47118720</v>
      </c>
      <c r="I7218" t="inlineStr">
        <is>
          <t>entidad-dia</t>
        </is>
      </c>
    </row>
    <row r="7219">
      <c r="A7219" t="inlineStr">
        <is>
          <t>PRAGMA</t>
        </is>
      </c>
      <c r="B7219" t="inlineStr">
        <is>
          <t>M2</t>
        </is>
      </c>
      <c r="C7219" t="inlineStr">
        <is>
          <t>Cali</t>
        </is>
      </c>
      <c r="D7219" t="inlineStr">
        <is>
          <t>6775</t>
        </is>
      </c>
      <c r="E7219" t="inlineStr">
        <is>
          <t>cash_in</t>
        </is>
      </c>
      <c r="F7219" s="23" t="n">
        <v>46266</v>
      </c>
      <c r="G7219" s="24">
        <f>F7219-DATE(2026,8,31)</f>
        <v>1</v>
      </c>
      <c r="H7219" s="25" t="n">
        <v>73785912</v>
      </c>
      <c r="I7219" t="inlineStr">
        <is>
          <t>entidad-dia</t>
        </is>
      </c>
    </row>
    <row r="7220">
      <c r="A7220" t="inlineStr">
        <is>
          <t>PRAGMA</t>
        </is>
      </c>
      <c r="B7220" t="inlineStr">
        <is>
          <t>M2</t>
        </is>
      </c>
      <c r="C7220" t="inlineStr">
        <is>
          <t>Cali</t>
        </is>
      </c>
      <c r="D7220" t="inlineStr">
        <is>
          <t>6775</t>
        </is>
      </c>
      <c r="E7220" t="inlineStr">
        <is>
          <t>pagado</t>
        </is>
      </c>
      <c r="F7220" s="23" t="n">
        <v>46267</v>
      </c>
      <c r="G7220" s="24">
        <f>F7220-DATE(2026,8,31)</f>
        <v>2</v>
      </c>
      <c r="H7220" s="25" t="n">
        <v>38165266</v>
      </c>
      <c r="I7220" t="inlineStr">
        <is>
          <t>entidad-dia</t>
        </is>
      </c>
    </row>
    <row r="7221">
      <c r="A7221" t="inlineStr">
        <is>
          <t>PRAGMA</t>
        </is>
      </c>
      <c r="B7221" t="inlineStr">
        <is>
          <t>M2</t>
        </is>
      </c>
      <c r="C7221" t="inlineStr">
        <is>
          <t>Cali</t>
        </is>
      </c>
      <c r="D7221" t="inlineStr">
        <is>
          <t>6775</t>
        </is>
      </c>
      <c r="E7221" t="inlineStr">
        <is>
          <t>cash_in</t>
        </is>
      </c>
      <c r="F7221" s="23" t="n">
        <v>46267</v>
      </c>
      <c r="G7221" s="24">
        <f>F7221-DATE(2026,8,31)</f>
        <v>2</v>
      </c>
      <c r="H7221" s="25" t="n">
        <v>70841945</v>
      </c>
      <c r="I7221" t="inlineStr">
        <is>
          <t>entidad-dia</t>
        </is>
      </c>
    </row>
    <row r="7222">
      <c r="A7222" t="inlineStr">
        <is>
          <t>PRAGMA</t>
        </is>
      </c>
      <c r="B7222" t="inlineStr">
        <is>
          <t>M2</t>
        </is>
      </c>
      <c r="C7222" t="inlineStr">
        <is>
          <t>Cali</t>
        </is>
      </c>
      <c r="D7222" t="inlineStr">
        <is>
          <t>6775</t>
        </is>
      </c>
      <c r="E7222" t="inlineStr">
        <is>
          <t>pagado</t>
        </is>
      </c>
      <c r="F7222" s="23" t="n">
        <v>46268</v>
      </c>
      <c r="G7222" s="24">
        <f>F7222-DATE(2026,8,31)</f>
        <v>3</v>
      </c>
      <c r="H7222" s="25" t="n">
        <v>36751162</v>
      </c>
      <c r="I7222" t="inlineStr">
        <is>
          <t>entidad-dia</t>
        </is>
      </c>
    </row>
    <row r="7223">
      <c r="A7223" t="inlineStr">
        <is>
          <t>PRAGMA</t>
        </is>
      </c>
      <c r="B7223" t="inlineStr">
        <is>
          <t>M2</t>
        </is>
      </c>
      <c r="C7223" t="inlineStr">
        <is>
          <t>Cali</t>
        </is>
      </c>
      <c r="D7223" t="inlineStr">
        <is>
          <t>6775</t>
        </is>
      </c>
      <c r="E7223" t="inlineStr">
        <is>
          <t>cash_in</t>
        </is>
      </c>
      <c r="F7223" s="23" t="n">
        <v>46268</v>
      </c>
      <c r="G7223" s="24">
        <f>F7223-DATE(2026,8,31)</f>
        <v>3</v>
      </c>
      <c r="H7223" s="25" t="n">
        <v>62236277</v>
      </c>
      <c r="I7223" t="inlineStr">
        <is>
          <t>entidad-dia</t>
        </is>
      </c>
    </row>
    <row r="7224">
      <c r="A7224" t="inlineStr">
        <is>
          <t>PRAGMA</t>
        </is>
      </c>
      <c r="B7224" t="inlineStr">
        <is>
          <t>M2</t>
        </is>
      </c>
      <c r="C7224" t="inlineStr">
        <is>
          <t>Cali</t>
        </is>
      </c>
      <c r="D7224" t="inlineStr">
        <is>
          <t>6775</t>
        </is>
      </c>
      <c r="E7224" t="inlineStr">
        <is>
          <t>pagado</t>
        </is>
      </c>
      <c r="F7224" s="23" t="n">
        <v>46269</v>
      </c>
      <c r="G7224" s="24">
        <f>F7224-DATE(2026,8,31)</f>
        <v>4</v>
      </c>
      <c r="H7224" s="25" t="n">
        <v>32862460</v>
      </c>
      <c r="I7224" t="inlineStr">
        <is>
          <t>entidad-dia</t>
        </is>
      </c>
    </row>
    <row r="7225">
      <c r="A7225" t="inlineStr">
        <is>
          <t>PRAGMA</t>
        </is>
      </c>
      <c r="B7225" t="inlineStr">
        <is>
          <t>M2</t>
        </is>
      </c>
      <c r="C7225" t="inlineStr">
        <is>
          <t>Cali</t>
        </is>
      </c>
      <c r="D7225" t="inlineStr">
        <is>
          <t>6775</t>
        </is>
      </c>
      <c r="E7225" t="inlineStr">
        <is>
          <t>cash_in</t>
        </is>
      </c>
      <c r="F7225" s="23" t="n">
        <v>46269</v>
      </c>
      <c r="G7225" s="24">
        <f>F7225-DATE(2026,8,31)</f>
        <v>4</v>
      </c>
      <c r="H7225" s="25" t="n">
        <v>69261657</v>
      </c>
      <c r="I7225" t="inlineStr">
        <is>
          <t>entidad-dia</t>
        </is>
      </c>
    </row>
    <row r="7226">
      <c r="A7226" t="inlineStr">
        <is>
          <t>PRAGMA</t>
        </is>
      </c>
      <c r="B7226" t="inlineStr">
        <is>
          <t>M2</t>
        </is>
      </c>
      <c r="C7226" t="inlineStr">
        <is>
          <t>Cali</t>
        </is>
      </c>
      <c r="D7226" t="inlineStr">
        <is>
          <t>6775</t>
        </is>
      </c>
      <c r="E7226" t="inlineStr">
        <is>
          <t>pagado</t>
        </is>
      </c>
      <c r="F7226" s="23" t="n">
        <v>46270</v>
      </c>
      <c r="G7226" s="24">
        <f>F7226-DATE(2026,8,31)</f>
        <v>5</v>
      </c>
      <c r="H7226" s="25" t="n">
        <v>32701350</v>
      </c>
      <c r="I7226" t="inlineStr">
        <is>
          <t>entidad-dia</t>
        </is>
      </c>
    </row>
    <row r="7227">
      <c r="A7227" t="inlineStr">
        <is>
          <t>PRAGMA</t>
        </is>
      </c>
      <c r="B7227" t="inlineStr">
        <is>
          <t>M2</t>
        </is>
      </c>
      <c r="C7227" t="inlineStr">
        <is>
          <t>Cali</t>
        </is>
      </c>
      <c r="D7227" t="inlineStr">
        <is>
          <t>6775</t>
        </is>
      </c>
      <c r="E7227" t="inlineStr">
        <is>
          <t>cash_in</t>
        </is>
      </c>
      <c r="F7227" s="23" t="n">
        <v>46270</v>
      </c>
      <c r="G7227" s="24">
        <f>F7227-DATE(2026,8,31)</f>
        <v>5</v>
      </c>
      <c r="H7227" s="25" t="n">
        <v>66750219</v>
      </c>
      <c r="I7227" t="inlineStr">
        <is>
          <t>entidad-dia</t>
        </is>
      </c>
    </row>
    <row r="7228">
      <c r="A7228" t="inlineStr">
        <is>
          <t>PRAGMA</t>
        </is>
      </c>
      <c r="B7228" t="inlineStr">
        <is>
          <t>M2</t>
        </is>
      </c>
      <c r="C7228" t="inlineStr">
        <is>
          <t>Cali</t>
        </is>
      </c>
      <c r="D7228" t="inlineStr">
        <is>
          <t>6775</t>
        </is>
      </c>
      <c r="E7228" t="inlineStr">
        <is>
          <t>pagado</t>
        </is>
      </c>
      <c r="F7228" s="23" t="n">
        <v>46271</v>
      </c>
      <c r="G7228" s="24">
        <f>F7228-DATE(2026,8,31)</f>
        <v>6</v>
      </c>
      <c r="H7228" s="25" t="n">
        <v>24981579</v>
      </c>
      <c r="I7228" t="inlineStr">
        <is>
          <t>entidad-dia</t>
        </is>
      </c>
    </row>
    <row r="7229">
      <c r="A7229" t="inlineStr">
        <is>
          <t>PRAGMA</t>
        </is>
      </c>
      <c r="B7229" t="inlineStr">
        <is>
          <t>M2</t>
        </is>
      </c>
      <c r="C7229" t="inlineStr">
        <is>
          <t>Cali</t>
        </is>
      </c>
      <c r="D7229" t="inlineStr">
        <is>
          <t>6775</t>
        </is>
      </c>
      <c r="E7229" t="inlineStr">
        <is>
          <t>cash_in</t>
        </is>
      </c>
      <c r="F7229" s="23" t="n">
        <v>46271</v>
      </c>
      <c r="G7229" s="24">
        <f>F7229-DATE(2026,8,31)</f>
        <v>6</v>
      </c>
      <c r="H7229" s="25" t="n">
        <v>36820125</v>
      </c>
      <c r="I7229" t="inlineStr">
        <is>
          <t>entidad-dia</t>
        </is>
      </c>
    </row>
    <row r="7230">
      <c r="A7230" t="inlineStr">
        <is>
          <t>PRAGMA</t>
        </is>
      </c>
      <c r="B7230" t="inlineStr">
        <is>
          <t>M2</t>
        </is>
      </c>
      <c r="C7230" t="inlineStr">
        <is>
          <t>Cali</t>
        </is>
      </c>
      <c r="D7230" t="inlineStr">
        <is>
          <t>6775</t>
        </is>
      </c>
      <c r="E7230" t="inlineStr">
        <is>
          <t>pagado</t>
        </is>
      </c>
      <c r="F7230" s="23" t="n">
        <v>46272</v>
      </c>
      <c r="G7230" s="24">
        <f>F7230-DATE(2026,8,31)</f>
        <v>7</v>
      </c>
      <c r="H7230" s="25" t="n">
        <v>29554924</v>
      </c>
      <c r="I7230" t="inlineStr">
        <is>
          <t>entidad-dia</t>
        </is>
      </c>
    </row>
    <row r="7231">
      <c r="A7231" t="inlineStr">
        <is>
          <t>PRAGMA</t>
        </is>
      </c>
      <c r="B7231" t="inlineStr">
        <is>
          <t>M2</t>
        </is>
      </c>
      <c r="C7231" t="inlineStr">
        <is>
          <t>Cali</t>
        </is>
      </c>
      <c r="D7231" t="inlineStr">
        <is>
          <t>6775</t>
        </is>
      </c>
      <c r="E7231" t="inlineStr">
        <is>
          <t>cash_in</t>
        </is>
      </c>
      <c r="F7231" s="23" t="n">
        <v>46272</v>
      </c>
      <c r="G7231" s="24">
        <f>F7231-DATE(2026,8,31)</f>
        <v>7</v>
      </c>
      <c r="H7231" s="25" t="n">
        <v>71641792</v>
      </c>
      <c r="I7231" t="inlineStr">
        <is>
          <t>entidad-dia</t>
        </is>
      </c>
    </row>
    <row r="7232">
      <c r="A7232" t="inlineStr">
        <is>
          <t>PRAGMA</t>
        </is>
      </c>
      <c r="B7232" t="inlineStr">
        <is>
          <t>M2</t>
        </is>
      </c>
      <c r="C7232" t="inlineStr">
        <is>
          <t>Cali</t>
        </is>
      </c>
      <c r="D7232" t="inlineStr">
        <is>
          <t>6775</t>
        </is>
      </c>
      <c r="E7232" t="inlineStr">
        <is>
          <t>pagado</t>
        </is>
      </c>
      <c r="F7232" s="23" t="n">
        <v>46273</v>
      </c>
      <c r="G7232" s="24">
        <f>F7232-DATE(2026,8,31)</f>
        <v>8</v>
      </c>
      <c r="H7232" s="25" t="n">
        <v>29770583</v>
      </c>
      <c r="I7232" t="inlineStr">
        <is>
          <t>entidad-dia</t>
        </is>
      </c>
    </row>
    <row r="7233">
      <c r="A7233" t="inlineStr">
        <is>
          <t>PRAGMA</t>
        </is>
      </c>
      <c r="B7233" t="inlineStr">
        <is>
          <t>M2</t>
        </is>
      </c>
      <c r="C7233" t="inlineStr">
        <is>
          <t>Cali</t>
        </is>
      </c>
      <c r="D7233" t="inlineStr">
        <is>
          <t>6775</t>
        </is>
      </c>
      <c r="E7233" t="inlineStr">
        <is>
          <t>cash_in</t>
        </is>
      </c>
      <c r="F7233" s="23" t="n">
        <v>46273</v>
      </c>
      <c r="G7233" s="24">
        <f>F7233-DATE(2026,8,31)</f>
        <v>8</v>
      </c>
      <c r="H7233" s="25" t="n">
        <v>61467100</v>
      </c>
      <c r="I7233" t="inlineStr">
        <is>
          <t>entidad-dia</t>
        </is>
      </c>
    </row>
    <row r="7234">
      <c r="A7234" t="inlineStr">
        <is>
          <t>PRAGMA</t>
        </is>
      </c>
      <c r="B7234" t="inlineStr">
        <is>
          <t>M2</t>
        </is>
      </c>
      <c r="C7234" t="inlineStr">
        <is>
          <t>Cali</t>
        </is>
      </c>
      <c r="D7234" t="inlineStr">
        <is>
          <t>6775</t>
        </is>
      </c>
      <c r="E7234" t="inlineStr">
        <is>
          <t>pagado</t>
        </is>
      </c>
      <c r="F7234" s="23" t="n">
        <v>46274</v>
      </c>
      <c r="G7234" s="24">
        <f>F7234-DATE(2026,8,31)</f>
        <v>9</v>
      </c>
      <c r="H7234" s="25" t="n">
        <v>27483860</v>
      </c>
      <c r="I7234" t="inlineStr">
        <is>
          <t>entidad-dia</t>
        </is>
      </c>
    </row>
    <row r="7235">
      <c r="A7235" t="inlineStr">
        <is>
          <t>PRAGMA</t>
        </is>
      </c>
      <c r="B7235" t="inlineStr">
        <is>
          <t>M2</t>
        </is>
      </c>
      <c r="C7235" t="inlineStr">
        <is>
          <t>Cali</t>
        </is>
      </c>
      <c r="D7235" t="inlineStr">
        <is>
          <t>6775</t>
        </is>
      </c>
      <c r="E7235" t="inlineStr">
        <is>
          <t>cash_in</t>
        </is>
      </c>
      <c r="F7235" s="23" t="n">
        <v>46274</v>
      </c>
      <c r="G7235" s="24">
        <f>F7235-DATE(2026,8,31)</f>
        <v>9</v>
      </c>
      <c r="H7235" s="25" t="n">
        <v>59043411</v>
      </c>
      <c r="I7235" t="inlineStr">
        <is>
          <t>entidad-dia</t>
        </is>
      </c>
    </row>
    <row r="7236">
      <c r="A7236" t="inlineStr">
        <is>
          <t>PRAGMA</t>
        </is>
      </c>
      <c r="B7236" t="inlineStr">
        <is>
          <t>M2</t>
        </is>
      </c>
      <c r="C7236" t="inlineStr">
        <is>
          <t>Cali</t>
        </is>
      </c>
      <c r="D7236" t="inlineStr">
        <is>
          <t>6775</t>
        </is>
      </c>
      <c r="E7236" t="inlineStr">
        <is>
          <t>pagado</t>
        </is>
      </c>
      <c r="F7236" s="23" t="n">
        <v>46275</v>
      </c>
      <c r="G7236" s="24">
        <f>F7236-DATE(2026,8,31)</f>
        <v>10</v>
      </c>
      <c r="H7236" s="25" t="n">
        <v>27551997</v>
      </c>
      <c r="I7236" t="inlineStr">
        <is>
          <t>entidad-dia</t>
        </is>
      </c>
    </row>
    <row r="7237">
      <c r="A7237" t="inlineStr">
        <is>
          <t>PRAGMA</t>
        </is>
      </c>
      <c r="B7237" t="inlineStr">
        <is>
          <t>M2</t>
        </is>
      </c>
      <c r="C7237" t="inlineStr">
        <is>
          <t>Cali</t>
        </is>
      </c>
      <c r="D7237" t="inlineStr">
        <is>
          <t>6775</t>
        </is>
      </c>
      <c r="E7237" t="inlineStr">
        <is>
          <t>cash_in</t>
        </is>
      </c>
      <c r="F7237" s="23" t="n">
        <v>46275</v>
      </c>
      <c r="G7237" s="24">
        <f>F7237-DATE(2026,8,31)</f>
        <v>10</v>
      </c>
      <c r="H7237" s="25" t="n">
        <v>52823237</v>
      </c>
      <c r="I7237" t="inlineStr">
        <is>
          <t>entidad-dia</t>
        </is>
      </c>
    </row>
    <row r="7238">
      <c r="A7238" t="inlineStr">
        <is>
          <t>PRAGMA</t>
        </is>
      </c>
      <c r="B7238" t="inlineStr">
        <is>
          <t>M2</t>
        </is>
      </c>
      <c r="C7238" t="inlineStr">
        <is>
          <t>Cali</t>
        </is>
      </c>
      <c r="D7238" t="inlineStr">
        <is>
          <t>6775</t>
        </is>
      </c>
      <c r="E7238" t="inlineStr">
        <is>
          <t>pagado</t>
        </is>
      </c>
      <c r="F7238" s="23" t="n">
        <v>46276</v>
      </c>
      <c r="G7238" s="24">
        <f>F7238-DATE(2026,8,31)</f>
        <v>11</v>
      </c>
      <c r="H7238" s="25" t="n">
        <v>25759699</v>
      </c>
      <c r="I7238" t="inlineStr">
        <is>
          <t>entidad-dia</t>
        </is>
      </c>
    </row>
    <row r="7239">
      <c r="A7239" t="inlineStr">
        <is>
          <t>PRAGMA</t>
        </is>
      </c>
      <c r="B7239" t="inlineStr">
        <is>
          <t>M2</t>
        </is>
      </c>
      <c r="C7239" t="inlineStr">
        <is>
          <t>Cali</t>
        </is>
      </c>
      <c r="D7239" t="inlineStr">
        <is>
          <t>6775</t>
        </is>
      </c>
      <c r="E7239" t="inlineStr">
        <is>
          <t>cash_in</t>
        </is>
      </c>
      <c r="F7239" s="23" t="n">
        <v>46276</v>
      </c>
      <c r="G7239" s="24">
        <f>F7239-DATE(2026,8,31)</f>
        <v>11</v>
      </c>
      <c r="H7239" s="25" t="n">
        <v>54269265</v>
      </c>
      <c r="I7239" t="inlineStr">
        <is>
          <t>entidad-dia</t>
        </is>
      </c>
    </row>
    <row r="7240">
      <c r="A7240" t="inlineStr">
        <is>
          <t>PRAGMA</t>
        </is>
      </c>
      <c r="B7240" t="inlineStr">
        <is>
          <t>M2</t>
        </is>
      </c>
      <c r="C7240" t="inlineStr">
        <is>
          <t>Cali</t>
        </is>
      </c>
      <c r="D7240" t="inlineStr">
        <is>
          <t>6775</t>
        </is>
      </c>
      <c r="E7240" t="inlineStr">
        <is>
          <t>pagado</t>
        </is>
      </c>
      <c r="F7240" s="23" t="n">
        <v>46277</v>
      </c>
      <c r="G7240" s="24">
        <f>F7240-DATE(2026,8,31)</f>
        <v>12</v>
      </c>
      <c r="H7240" s="25" t="n">
        <v>27842108</v>
      </c>
      <c r="I7240" t="inlineStr">
        <is>
          <t>entidad-dia</t>
        </is>
      </c>
    </row>
    <row r="7241">
      <c r="A7241" t="inlineStr">
        <is>
          <t>PRAGMA</t>
        </is>
      </c>
      <c r="B7241" t="inlineStr">
        <is>
          <t>M2</t>
        </is>
      </c>
      <c r="C7241" t="inlineStr">
        <is>
          <t>Cali</t>
        </is>
      </c>
      <c r="D7241" t="inlineStr">
        <is>
          <t>6775</t>
        </is>
      </c>
      <c r="E7241" t="inlineStr">
        <is>
          <t>cash_in</t>
        </is>
      </c>
      <c r="F7241" s="23" t="n">
        <v>46277</v>
      </c>
      <c r="G7241" s="24">
        <f>F7241-DATE(2026,8,31)</f>
        <v>12</v>
      </c>
      <c r="H7241" s="25" t="n">
        <v>56381764</v>
      </c>
      <c r="I7241" t="inlineStr">
        <is>
          <t>entidad-dia</t>
        </is>
      </c>
    </row>
    <row r="7242">
      <c r="A7242" t="inlineStr">
        <is>
          <t>PRAGMA</t>
        </is>
      </c>
      <c r="B7242" t="inlineStr">
        <is>
          <t>M2</t>
        </is>
      </c>
      <c r="C7242" t="inlineStr">
        <is>
          <t>Cali</t>
        </is>
      </c>
      <c r="D7242" t="inlineStr">
        <is>
          <t>6775</t>
        </is>
      </c>
      <c r="E7242" t="inlineStr">
        <is>
          <t>pagado</t>
        </is>
      </c>
      <c r="F7242" s="23" t="n">
        <v>46278</v>
      </c>
      <c r="G7242" s="24">
        <f>F7242-DATE(2026,8,31)</f>
        <v>13</v>
      </c>
      <c r="H7242" s="25" t="n">
        <v>22107315</v>
      </c>
      <c r="I7242" t="inlineStr">
        <is>
          <t>entidad-dia</t>
        </is>
      </c>
    </row>
    <row r="7243">
      <c r="A7243" t="inlineStr">
        <is>
          <t>PRAGMA</t>
        </is>
      </c>
      <c r="B7243" t="inlineStr">
        <is>
          <t>M2</t>
        </is>
      </c>
      <c r="C7243" t="inlineStr">
        <is>
          <t>Cali</t>
        </is>
      </c>
      <c r="D7243" t="inlineStr">
        <is>
          <t>6775</t>
        </is>
      </c>
      <c r="E7243" t="inlineStr">
        <is>
          <t>cash_in</t>
        </is>
      </c>
      <c r="F7243" s="23" t="n">
        <v>46278</v>
      </c>
      <c r="G7243" s="24">
        <f>F7243-DATE(2026,8,31)</f>
        <v>13</v>
      </c>
      <c r="H7243" s="25" t="n">
        <v>25729085</v>
      </c>
      <c r="I7243" t="inlineStr">
        <is>
          <t>entidad-dia</t>
        </is>
      </c>
    </row>
    <row r="7244">
      <c r="A7244" t="inlineStr">
        <is>
          <t>PRAGMA</t>
        </is>
      </c>
      <c r="B7244" t="inlineStr">
        <is>
          <t>M2</t>
        </is>
      </c>
      <c r="C7244" t="inlineStr">
        <is>
          <t>Cali</t>
        </is>
      </c>
      <c r="D7244" t="inlineStr">
        <is>
          <t>6775</t>
        </is>
      </c>
      <c r="E7244" t="inlineStr">
        <is>
          <t>pagado</t>
        </is>
      </c>
      <c r="F7244" s="23" t="n">
        <v>46279</v>
      </c>
      <c r="G7244" s="24">
        <f>F7244-DATE(2026,8,31)</f>
        <v>14</v>
      </c>
      <c r="H7244" s="25" t="n">
        <v>27682161</v>
      </c>
      <c r="I7244" t="inlineStr">
        <is>
          <t>entidad-dia</t>
        </is>
      </c>
    </row>
    <row r="7245">
      <c r="A7245" t="inlineStr">
        <is>
          <t>PRAGMA</t>
        </is>
      </c>
      <c r="B7245" t="inlineStr">
        <is>
          <t>M2</t>
        </is>
      </c>
      <c r="C7245" t="inlineStr">
        <is>
          <t>Cali</t>
        </is>
      </c>
      <c r="D7245" t="inlineStr">
        <is>
          <t>6775</t>
        </is>
      </c>
      <c r="E7245" t="inlineStr">
        <is>
          <t>cash_in</t>
        </is>
      </c>
      <c r="F7245" s="23" t="n">
        <v>46279</v>
      </c>
      <c r="G7245" s="24">
        <f>F7245-DATE(2026,8,31)</f>
        <v>14</v>
      </c>
      <c r="H7245" s="25" t="n">
        <v>60321594</v>
      </c>
      <c r="I7245" t="inlineStr">
        <is>
          <t>entidad-dia</t>
        </is>
      </c>
    </row>
    <row r="7246">
      <c r="A7246" t="inlineStr">
        <is>
          <t>PRAGMA</t>
        </is>
      </c>
      <c r="B7246" t="inlineStr">
        <is>
          <t>M2</t>
        </is>
      </c>
      <c r="C7246" t="inlineStr">
        <is>
          <t>Cali</t>
        </is>
      </c>
      <c r="D7246" t="inlineStr">
        <is>
          <t>6775</t>
        </is>
      </c>
      <c r="E7246" t="inlineStr">
        <is>
          <t>pagado</t>
        </is>
      </c>
      <c r="F7246" s="23" t="n">
        <v>46280</v>
      </c>
      <c r="G7246" s="24">
        <f>F7246-DATE(2026,8,31)</f>
        <v>15</v>
      </c>
      <c r="H7246" s="25" t="n">
        <v>38149869</v>
      </c>
      <c r="I7246" t="inlineStr">
        <is>
          <t>entidad-dia</t>
        </is>
      </c>
    </row>
    <row r="7247">
      <c r="A7247" t="inlineStr">
        <is>
          <t>PRAGMA</t>
        </is>
      </c>
      <c r="B7247" t="inlineStr">
        <is>
          <t>M2</t>
        </is>
      </c>
      <c r="C7247" t="inlineStr">
        <is>
          <t>Cali</t>
        </is>
      </c>
      <c r="D7247" t="inlineStr">
        <is>
          <t>6775</t>
        </is>
      </c>
      <c r="E7247" t="inlineStr">
        <is>
          <t>cash_in</t>
        </is>
      </c>
      <c r="F7247" s="23" t="n">
        <v>46280</v>
      </c>
      <c r="G7247" s="24">
        <f>F7247-DATE(2026,8,31)</f>
        <v>15</v>
      </c>
      <c r="H7247" s="25" t="n">
        <v>65422613</v>
      </c>
      <c r="I7247" t="inlineStr">
        <is>
          <t>entidad-dia</t>
        </is>
      </c>
    </row>
    <row r="7248">
      <c r="A7248" t="inlineStr">
        <is>
          <t>PRAGMA</t>
        </is>
      </c>
      <c r="B7248" t="inlineStr">
        <is>
          <t>M2</t>
        </is>
      </c>
      <c r="C7248" t="inlineStr">
        <is>
          <t>Ipiales</t>
        </is>
      </c>
      <c r="D7248" t="inlineStr">
        <is>
          <t>6823</t>
        </is>
      </c>
      <c r="E7248" t="inlineStr">
        <is>
          <t>pagado</t>
        </is>
      </c>
      <c r="F7248" s="23" t="n">
        <v>46266</v>
      </c>
      <c r="G7248" s="24">
        <f>F7248-DATE(2026,8,31)</f>
        <v>1</v>
      </c>
      <c r="H7248" s="25" t="n">
        <v>42494040</v>
      </c>
      <c r="I7248" t="inlineStr">
        <is>
          <t>entidad-dia</t>
        </is>
      </c>
    </row>
    <row r="7249">
      <c r="A7249" t="inlineStr">
        <is>
          <t>PRAGMA</t>
        </is>
      </c>
      <c r="B7249" t="inlineStr">
        <is>
          <t>M2</t>
        </is>
      </c>
      <c r="C7249" t="inlineStr">
        <is>
          <t>Ipiales</t>
        </is>
      </c>
      <c r="D7249" t="inlineStr">
        <is>
          <t>6823</t>
        </is>
      </c>
      <c r="E7249" t="inlineStr">
        <is>
          <t>cash_in</t>
        </is>
      </c>
      <c r="F7249" s="23" t="n">
        <v>46266</v>
      </c>
      <c r="G7249" s="24">
        <f>F7249-DATE(2026,8,31)</f>
        <v>1</v>
      </c>
      <c r="H7249" s="25" t="n">
        <v>178000053</v>
      </c>
      <c r="I7249" t="inlineStr">
        <is>
          <t>entidad-dia</t>
        </is>
      </c>
    </row>
    <row r="7250">
      <c r="A7250" t="inlineStr">
        <is>
          <t>PRAGMA</t>
        </is>
      </c>
      <c r="B7250" t="inlineStr">
        <is>
          <t>M2</t>
        </is>
      </c>
      <c r="C7250" t="inlineStr">
        <is>
          <t>Ipiales</t>
        </is>
      </c>
      <c r="D7250" t="inlineStr">
        <is>
          <t>6823</t>
        </is>
      </c>
      <c r="E7250" t="inlineStr">
        <is>
          <t>pagado</t>
        </is>
      </c>
      <c r="F7250" s="23" t="n">
        <v>46267</v>
      </c>
      <c r="G7250" s="24">
        <f>F7250-DATE(2026,8,31)</f>
        <v>2</v>
      </c>
      <c r="H7250" s="25" t="n">
        <v>40794794</v>
      </c>
      <c r="I7250" t="inlineStr">
        <is>
          <t>entidad-dia</t>
        </is>
      </c>
    </row>
    <row r="7251">
      <c r="A7251" t="inlineStr">
        <is>
          <t>PRAGMA</t>
        </is>
      </c>
      <c r="B7251" t="inlineStr">
        <is>
          <t>M2</t>
        </is>
      </c>
      <c r="C7251" t="inlineStr">
        <is>
          <t>Ipiales</t>
        </is>
      </c>
      <c r="D7251" t="inlineStr">
        <is>
          <t>6823</t>
        </is>
      </c>
      <c r="E7251" t="inlineStr">
        <is>
          <t>cash_in</t>
        </is>
      </c>
      <c r="F7251" s="23" t="n">
        <v>46267</v>
      </c>
      <c r="G7251" s="24">
        <f>F7251-DATE(2026,8,31)</f>
        <v>2</v>
      </c>
      <c r="H7251" s="25" t="n">
        <v>158664138</v>
      </c>
      <c r="I7251" t="inlineStr">
        <is>
          <t>entidad-dia</t>
        </is>
      </c>
    </row>
    <row r="7252">
      <c r="A7252" t="inlineStr">
        <is>
          <t>PRAGMA</t>
        </is>
      </c>
      <c r="B7252" t="inlineStr">
        <is>
          <t>M2</t>
        </is>
      </c>
      <c r="C7252" t="inlineStr">
        <is>
          <t>Ipiales</t>
        </is>
      </c>
      <c r="D7252" t="inlineStr">
        <is>
          <t>6823</t>
        </is>
      </c>
      <c r="E7252" t="inlineStr">
        <is>
          <t>pagado</t>
        </is>
      </c>
      <c r="F7252" s="23" t="n">
        <v>46268</v>
      </c>
      <c r="G7252" s="24">
        <f>F7252-DATE(2026,8,31)</f>
        <v>3</v>
      </c>
      <c r="H7252" s="25" t="n">
        <v>34438716</v>
      </c>
      <c r="I7252" t="inlineStr">
        <is>
          <t>entidad-dia</t>
        </is>
      </c>
    </row>
    <row r="7253">
      <c r="A7253" t="inlineStr">
        <is>
          <t>PRAGMA</t>
        </is>
      </c>
      <c r="B7253" t="inlineStr">
        <is>
          <t>M2</t>
        </is>
      </c>
      <c r="C7253" t="inlineStr">
        <is>
          <t>Ipiales</t>
        </is>
      </c>
      <c r="D7253" t="inlineStr">
        <is>
          <t>6823</t>
        </is>
      </c>
      <c r="E7253" t="inlineStr">
        <is>
          <t>cash_in</t>
        </is>
      </c>
      <c r="F7253" s="23" t="n">
        <v>46268</v>
      </c>
      <c r="G7253" s="24">
        <f>F7253-DATE(2026,8,31)</f>
        <v>3</v>
      </c>
      <c r="H7253" s="25" t="n">
        <v>161909979</v>
      </c>
      <c r="I7253" t="inlineStr">
        <is>
          <t>entidad-dia</t>
        </is>
      </c>
    </row>
    <row r="7254">
      <c r="A7254" t="inlineStr">
        <is>
          <t>PRAGMA</t>
        </is>
      </c>
      <c r="B7254" t="inlineStr">
        <is>
          <t>M2</t>
        </is>
      </c>
      <c r="C7254" t="inlineStr">
        <is>
          <t>Ipiales</t>
        </is>
      </c>
      <c r="D7254" t="inlineStr">
        <is>
          <t>6823</t>
        </is>
      </c>
      <c r="E7254" t="inlineStr">
        <is>
          <t>pagado</t>
        </is>
      </c>
      <c r="F7254" s="23" t="n">
        <v>46269</v>
      </c>
      <c r="G7254" s="24">
        <f>F7254-DATE(2026,8,31)</f>
        <v>4</v>
      </c>
      <c r="H7254" s="25" t="n">
        <v>34524386</v>
      </c>
      <c r="I7254" t="inlineStr">
        <is>
          <t>entidad-dia</t>
        </is>
      </c>
    </row>
    <row r="7255">
      <c r="A7255" t="inlineStr">
        <is>
          <t>PRAGMA</t>
        </is>
      </c>
      <c r="B7255" t="inlineStr">
        <is>
          <t>M2</t>
        </is>
      </c>
      <c r="C7255" t="inlineStr">
        <is>
          <t>Ipiales</t>
        </is>
      </c>
      <c r="D7255" t="inlineStr">
        <is>
          <t>6823</t>
        </is>
      </c>
      <c r="E7255" t="inlineStr">
        <is>
          <t>cash_in</t>
        </is>
      </c>
      <c r="F7255" s="23" t="n">
        <v>46269</v>
      </c>
      <c r="G7255" s="24">
        <f>F7255-DATE(2026,8,31)</f>
        <v>4</v>
      </c>
      <c r="H7255" s="25" t="n">
        <v>166840755</v>
      </c>
      <c r="I7255" t="inlineStr">
        <is>
          <t>entidad-dia</t>
        </is>
      </c>
    </row>
    <row r="7256">
      <c r="A7256" t="inlineStr">
        <is>
          <t>PRAGMA</t>
        </is>
      </c>
      <c r="B7256" t="inlineStr">
        <is>
          <t>M2</t>
        </is>
      </c>
      <c r="C7256" t="inlineStr">
        <is>
          <t>Ipiales</t>
        </is>
      </c>
      <c r="D7256" t="inlineStr">
        <is>
          <t>6823</t>
        </is>
      </c>
      <c r="E7256" t="inlineStr">
        <is>
          <t>pagado</t>
        </is>
      </c>
      <c r="F7256" s="23" t="n">
        <v>46270</v>
      </c>
      <c r="G7256" s="24">
        <f>F7256-DATE(2026,8,31)</f>
        <v>5</v>
      </c>
      <c r="H7256" s="25" t="n">
        <v>41030089</v>
      </c>
      <c r="I7256" t="inlineStr">
        <is>
          <t>entidad-dia</t>
        </is>
      </c>
    </row>
    <row r="7257">
      <c r="A7257" t="inlineStr">
        <is>
          <t>PRAGMA</t>
        </is>
      </c>
      <c r="B7257" t="inlineStr">
        <is>
          <t>M2</t>
        </is>
      </c>
      <c r="C7257" t="inlineStr">
        <is>
          <t>Ipiales</t>
        </is>
      </c>
      <c r="D7257" t="inlineStr">
        <is>
          <t>6823</t>
        </is>
      </c>
      <c r="E7257" t="inlineStr">
        <is>
          <t>cash_in</t>
        </is>
      </c>
      <c r="F7257" s="23" t="n">
        <v>46270</v>
      </c>
      <c r="G7257" s="24">
        <f>F7257-DATE(2026,8,31)</f>
        <v>5</v>
      </c>
      <c r="H7257" s="25" t="n">
        <v>136572064</v>
      </c>
      <c r="I7257" t="inlineStr">
        <is>
          <t>entidad-dia</t>
        </is>
      </c>
    </row>
    <row r="7258">
      <c r="A7258" t="inlineStr">
        <is>
          <t>PRAGMA</t>
        </is>
      </c>
      <c r="B7258" t="inlineStr">
        <is>
          <t>M2</t>
        </is>
      </c>
      <c r="C7258" t="inlineStr">
        <is>
          <t>Ipiales</t>
        </is>
      </c>
      <c r="D7258" t="inlineStr">
        <is>
          <t>6823</t>
        </is>
      </c>
      <c r="E7258" t="inlineStr">
        <is>
          <t>pagado</t>
        </is>
      </c>
      <c r="F7258" s="23" t="n">
        <v>46271</v>
      </c>
      <c r="G7258" s="24">
        <f>F7258-DATE(2026,8,31)</f>
        <v>6</v>
      </c>
      <c r="H7258" s="25" t="n">
        <v>26100465</v>
      </c>
      <c r="I7258" t="inlineStr">
        <is>
          <t>entidad-dia</t>
        </is>
      </c>
    </row>
    <row r="7259">
      <c r="A7259" t="inlineStr">
        <is>
          <t>PRAGMA</t>
        </is>
      </c>
      <c r="B7259" t="inlineStr">
        <is>
          <t>M2</t>
        </is>
      </c>
      <c r="C7259" t="inlineStr">
        <is>
          <t>Ipiales</t>
        </is>
      </c>
      <c r="D7259" t="inlineStr">
        <is>
          <t>6823</t>
        </is>
      </c>
      <c r="E7259" t="inlineStr">
        <is>
          <t>cash_in</t>
        </is>
      </c>
      <c r="F7259" s="23" t="n">
        <v>46271</v>
      </c>
      <c r="G7259" s="24">
        <f>F7259-DATE(2026,8,31)</f>
        <v>6</v>
      </c>
      <c r="H7259" s="25" t="n">
        <v>25688590</v>
      </c>
      <c r="I7259" t="inlineStr">
        <is>
          <t>entidad-dia</t>
        </is>
      </c>
    </row>
    <row r="7260">
      <c r="A7260" t="inlineStr">
        <is>
          <t>PRAGMA</t>
        </is>
      </c>
      <c r="B7260" t="inlineStr">
        <is>
          <t>M2</t>
        </is>
      </c>
      <c r="C7260" t="inlineStr">
        <is>
          <t>Ipiales</t>
        </is>
      </c>
      <c r="D7260" t="inlineStr">
        <is>
          <t>6823</t>
        </is>
      </c>
      <c r="E7260" t="inlineStr">
        <is>
          <t>pagado</t>
        </is>
      </c>
      <c r="F7260" s="23" t="n">
        <v>46272</v>
      </c>
      <c r="G7260" s="24">
        <f>F7260-DATE(2026,8,31)</f>
        <v>7</v>
      </c>
      <c r="H7260" s="25" t="n">
        <v>32033517</v>
      </c>
      <c r="I7260" t="inlineStr">
        <is>
          <t>entidad-dia</t>
        </is>
      </c>
    </row>
    <row r="7261">
      <c r="A7261" t="inlineStr">
        <is>
          <t>PRAGMA</t>
        </is>
      </c>
      <c r="B7261" t="inlineStr">
        <is>
          <t>M2</t>
        </is>
      </c>
      <c r="C7261" t="inlineStr">
        <is>
          <t>Ipiales</t>
        </is>
      </c>
      <c r="D7261" t="inlineStr">
        <is>
          <t>6823</t>
        </is>
      </c>
      <c r="E7261" t="inlineStr">
        <is>
          <t>cash_in</t>
        </is>
      </c>
      <c r="F7261" s="23" t="n">
        <v>46272</v>
      </c>
      <c r="G7261" s="24">
        <f>F7261-DATE(2026,8,31)</f>
        <v>7</v>
      </c>
      <c r="H7261" s="25" t="n">
        <v>170801125</v>
      </c>
      <c r="I7261" t="inlineStr">
        <is>
          <t>entidad-dia</t>
        </is>
      </c>
    </row>
    <row r="7262">
      <c r="A7262" t="inlineStr">
        <is>
          <t>PRAGMA</t>
        </is>
      </c>
      <c r="B7262" t="inlineStr">
        <is>
          <t>M2</t>
        </is>
      </c>
      <c r="C7262" t="inlineStr">
        <is>
          <t>Ipiales</t>
        </is>
      </c>
      <c r="D7262" t="inlineStr">
        <is>
          <t>6823</t>
        </is>
      </c>
      <c r="E7262" t="inlineStr">
        <is>
          <t>pagado</t>
        </is>
      </c>
      <c r="F7262" s="23" t="n">
        <v>46273</v>
      </c>
      <c r="G7262" s="24">
        <f>F7262-DATE(2026,8,31)</f>
        <v>8</v>
      </c>
      <c r="H7262" s="25" t="n">
        <v>28587235</v>
      </c>
      <c r="I7262" t="inlineStr">
        <is>
          <t>entidad-dia</t>
        </is>
      </c>
    </row>
    <row r="7263">
      <c r="A7263" t="inlineStr">
        <is>
          <t>PRAGMA</t>
        </is>
      </c>
      <c r="B7263" t="inlineStr">
        <is>
          <t>M2</t>
        </is>
      </c>
      <c r="C7263" t="inlineStr">
        <is>
          <t>Ipiales</t>
        </is>
      </c>
      <c r="D7263" t="inlineStr">
        <is>
          <t>6823</t>
        </is>
      </c>
      <c r="E7263" t="inlineStr">
        <is>
          <t>cash_in</t>
        </is>
      </c>
      <c r="F7263" s="23" t="n">
        <v>46273</v>
      </c>
      <c r="G7263" s="24">
        <f>F7263-DATE(2026,8,31)</f>
        <v>8</v>
      </c>
      <c r="H7263" s="25" t="n">
        <v>154761320</v>
      </c>
      <c r="I7263" t="inlineStr">
        <is>
          <t>entidad-dia</t>
        </is>
      </c>
    </row>
    <row r="7264">
      <c r="A7264" t="inlineStr">
        <is>
          <t>PRAGMA</t>
        </is>
      </c>
      <c r="B7264" t="inlineStr">
        <is>
          <t>M2</t>
        </is>
      </c>
      <c r="C7264" t="inlineStr">
        <is>
          <t>Ipiales</t>
        </is>
      </c>
      <c r="D7264" t="inlineStr">
        <is>
          <t>6823</t>
        </is>
      </c>
      <c r="E7264" t="inlineStr">
        <is>
          <t>pagado</t>
        </is>
      </c>
      <c r="F7264" s="23" t="n">
        <v>46274</v>
      </c>
      <c r="G7264" s="24">
        <f>F7264-DATE(2026,8,31)</f>
        <v>9</v>
      </c>
      <c r="H7264" s="25" t="n">
        <v>29669833</v>
      </c>
      <c r="I7264" t="inlineStr">
        <is>
          <t>entidad-dia</t>
        </is>
      </c>
    </row>
    <row r="7265">
      <c r="A7265" t="inlineStr">
        <is>
          <t>PRAGMA</t>
        </is>
      </c>
      <c r="B7265" t="inlineStr">
        <is>
          <t>M2</t>
        </is>
      </c>
      <c r="C7265" t="inlineStr">
        <is>
          <t>Ipiales</t>
        </is>
      </c>
      <c r="D7265" t="inlineStr">
        <is>
          <t>6823</t>
        </is>
      </c>
      <c r="E7265" t="inlineStr">
        <is>
          <t>cash_in</t>
        </is>
      </c>
      <c r="F7265" s="23" t="n">
        <v>46274</v>
      </c>
      <c r="G7265" s="24">
        <f>F7265-DATE(2026,8,31)</f>
        <v>9</v>
      </c>
      <c r="H7265" s="25" t="n">
        <v>145864120</v>
      </c>
      <c r="I7265" t="inlineStr">
        <is>
          <t>entidad-dia</t>
        </is>
      </c>
    </row>
    <row r="7266">
      <c r="A7266" t="inlineStr">
        <is>
          <t>PRAGMA</t>
        </is>
      </c>
      <c r="B7266" t="inlineStr">
        <is>
          <t>M2</t>
        </is>
      </c>
      <c r="C7266" t="inlineStr">
        <is>
          <t>Ipiales</t>
        </is>
      </c>
      <c r="D7266" t="inlineStr">
        <is>
          <t>6823</t>
        </is>
      </c>
      <c r="E7266" t="inlineStr">
        <is>
          <t>pagado</t>
        </is>
      </c>
      <c r="F7266" s="23" t="n">
        <v>46275</v>
      </c>
      <c r="G7266" s="24">
        <f>F7266-DATE(2026,8,31)</f>
        <v>10</v>
      </c>
      <c r="H7266" s="25" t="n">
        <v>28405492</v>
      </c>
      <c r="I7266" t="inlineStr">
        <is>
          <t>entidad-dia</t>
        </is>
      </c>
    </row>
    <row r="7267">
      <c r="A7267" t="inlineStr">
        <is>
          <t>PRAGMA</t>
        </is>
      </c>
      <c r="B7267" t="inlineStr">
        <is>
          <t>M2</t>
        </is>
      </c>
      <c r="C7267" t="inlineStr">
        <is>
          <t>Ipiales</t>
        </is>
      </c>
      <c r="D7267" t="inlineStr">
        <is>
          <t>6823</t>
        </is>
      </c>
      <c r="E7267" t="inlineStr">
        <is>
          <t>cash_in</t>
        </is>
      </c>
      <c r="F7267" s="23" t="n">
        <v>46275</v>
      </c>
      <c r="G7267" s="24">
        <f>F7267-DATE(2026,8,31)</f>
        <v>10</v>
      </c>
      <c r="H7267" s="25" t="n">
        <v>135466305</v>
      </c>
      <c r="I7267" t="inlineStr">
        <is>
          <t>entidad-dia</t>
        </is>
      </c>
    </row>
    <row r="7268">
      <c r="A7268" t="inlineStr">
        <is>
          <t>PRAGMA</t>
        </is>
      </c>
      <c r="B7268" t="inlineStr">
        <is>
          <t>M2</t>
        </is>
      </c>
      <c r="C7268" t="inlineStr">
        <is>
          <t>Ipiales</t>
        </is>
      </c>
      <c r="D7268" t="inlineStr">
        <is>
          <t>6823</t>
        </is>
      </c>
      <c r="E7268" t="inlineStr">
        <is>
          <t>pagado</t>
        </is>
      </c>
      <c r="F7268" s="23" t="n">
        <v>46276</v>
      </c>
      <c r="G7268" s="24">
        <f>F7268-DATE(2026,8,31)</f>
        <v>11</v>
      </c>
      <c r="H7268" s="25" t="n">
        <v>30357748</v>
      </c>
      <c r="I7268" t="inlineStr">
        <is>
          <t>entidad-dia</t>
        </is>
      </c>
    </row>
    <row r="7269">
      <c r="A7269" t="inlineStr">
        <is>
          <t>PRAGMA</t>
        </is>
      </c>
      <c r="B7269" t="inlineStr">
        <is>
          <t>M2</t>
        </is>
      </c>
      <c r="C7269" t="inlineStr">
        <is>
          <t>Ipiales</t>
        </is>
      </c>
      <c r="D7269" t="inlineStr">
        <is>
          <t>6823</t>
        </is>
      </c>
      <c r="E7269" t="inlineStr">
        <is>
          <t>cash_in</t>
        </is>
      </c>
      <c r="F7269" s="23" t="n">
        <v>46276</v>
      </c>
      <c r="G7269" s="24">
        <f>F7269-DATE(2026,8,31)</f>
        <v>11</v>
      </c>
      <c r="H7269" s="25" t="n">
        <v>138148007</v>
      </c>
      <c r="I7269" t="inlineStr">
        <is>
          <t>entidad-dia</t>
        </is>
      </c>
    </row>
    <row r="7270">
      <c r="A7270" t="inlineStr">
        <is>
          <t>PRAGMA</t>
        </is>
      </c>
      <c r="B7270" t="inlineStr">
        <is>
          <t>M2</t>
        </is>
      </c>
      <c r="C7270" t="inlineStr">
        <is>
          <t>Ipiales</t>
        </is>
      </c>
      <c r="D7270" t="inlineStr">
        <is>
          <t>6823</t>
        </is>
      </c>
      <c r="E7270" t="inlineStr">
        <is>
          <t>pagado</t>
        </is>
      </c>
      <c r="F7270" s="23" t="n">
        <v>46277</v>
      </c>
      <c r="G7270" s="24">
        <f>F7270-DATE(2026,8,31)</f>
        <v>12</v>
      </c>
      <c r="H7270" s="25" t="n">
        <v>36181975</v>
      </c>
      <c r="I7270" t="inlineStr">
        <is>
          <t>entidad-dia</t>
        </is>
      </c>
    </row>
    <row r="7271">
      <c r="A7271" t="inlineStr">
        <is>
          <t>PRAGMA</t>
        </is>
      </c>
      <c r="B7271" t="inlineStr">
        <is>
          <t>M2</t>
        </is>
      </c>
      <c r="C7271" t="inlineStr">
        <is>
          <t>Ipiales</t>
        </is>
      </c>
      <c r="D7271" t="inlineStr">
        <is>
          <t>6823</t>
        </is>
      </c>
      <c r="E7271" t="inlineStr">
        <is>
          <t>cash_in</t>
        </is>
      </c>
      <c r="F7271" s="23" t="n">
        <v>46277</v>
      </c>
      <c r="G7271" s="24">
        <f>F7271-DATE(2026,8,31)</f>
        <v>12</v>
      </c>
      <c r="H7271" s="25" t="n">
        <v>105854001</v>
      </c>
      <c r="I7271" t="inlineStr">
        <is>
          <t>entidad-dia</t>
        </is>
      </c>
    </row>
    <row r="7272">
      <c r="A7272" t="inlineStr">
        <is>
          <t>PRAGMA</t>
        </is>
      </c>
      <c r="B7272" t="inlineStr">
        <is>
          <t>M2</t>
        </is>
      </c>
      <c r="C7272" t="inlineStr">
        <is>
          <t>Ipiales</t>
        </is>
      </c>
      <c r="D7272" t="inlineStr">
        <is>
          <t>6823</t>
        </is>
      </c>
      <c r="E7272" t="inlineStr">
        <is>
          <t>pagado</t>
        </is>
      </c>
      <c r="F7272" s="23" t="n">
        <v>46278</v>
      </c>
      <c r="G7272" s="24">
        <f>F7272-DATE(2026,8,31)</f>
        <v>13</v>
      </c>
      <c r="H7272" s="25" t="n">
        <v>23788910</v>
      </c>
      <c r="I7272" t="inlineStr">
        <is>
          <t>entidad-dia</t>
        </is>
      </c>
    </row>
    <row r="7273">
      <c r="A7273" t="inlineStr">
        <is>
          <t>PRAGMA</t>
        </is>
      </c>
      <c r="B7273" t="inlineStr">
        <is>
          <t>M2</t>
        </is>
      </c>
      <c r="C7273" t="inlineStr">
        <is>
          <t>Ipiales</t>
        </is>
      </c>
      <c r="D7273" t="inlineStr">
        <is>
          <t>6823</t>
        </is>
      </c>
      <c r="E7273" t="inlineStr">
        <is>
          <t>cash_in</t>
        </is>
      </c>
      <c r="F7273" s="23" t="n">
        <v>46278</v>
      </c>
      <c r="G7273" s="24">
        <f>F7273-DATE(2026,8,31)</f>
        <v>13</v>
      </c>
      <c r="H7273" s="25" t="n">
        <v>20607907</v>
      </c>
      <c r="I7273" t="inlineStr">
        <is>
          <t>entidad-dia</t>
        </is>
      </c>
    </row>
    <row r="7274">
      <c r="A7274" t="inlineStr">
        <is>
          <t>PRAGMA</t>
        </is>
      </c>
      <c r="B7274" t="inlineStr">
        <is>
          <t>M2</t>
        </is>
      </c>
      <c r="C7274" t="inlineStr">
        <is>
          <t>Ipiales</t>
        </is>
      </c>
      <c r="D7274" t="inlineStr">
        <is>
          <t>6823</t>
        </is>
      </c>
      <c r="E7274" t="inlineStr">
        <is>
          <t>pagado</t>
        </is>
      </c>
      <c r="F7274" s="23" t="n">
        <v>46279</v>
      </c>
      <c r="G7274" s="24">
        <f>F7274-DATE(2026,8,31)</f>
        <v>14</v>
      </c>
      <c r="H7274" s="25" t="n">
        <v>28648074</v>
      </c>
      <c r="I7274" t="inlineStr">
        <is>
          <t>entidad-dia</t>
        </is>
      </c>
    </row>
    <row r="7275">
      <c r="A7275" t="inlineStr">
        <is>
          <t>PRAGMA</t>
        </is>
      </c>
      <c r="B7275" t="inlineStr">
        <is>
          <t>M2</t>
        </is>
      </c>
      <c r="C7275" t="inlineStr">
        <is>
          <t>Ipiales</t>
        </is>
      </c>
      <c r="D7275" t="inlineStr">
        <is>
          <t>6823</t>
        </is>
      </c>
      <c r="E7275" t="inlineStr">
        <is>
          <t>cash_in</t>
        </is>
      </c>
      <c r="F7275" s="23" t="n">
        <v>46279</v>
      </c>
      <c r="G7275" s="24">
        <f>F7275-DATE(2026,8,31)</f>
        <v>14</v>
      </c>
      <c r="H7275" s="25" t="n">
        <v>149456849</v>
      </c>
      <c r="I7275" t="inlineStr">
        <is>
          <t>entidad-dia</t>
        </is>
      </c>
    </row>
    <row r="7276">
      <c r="A7276" t="inlineStr">
        <is>
          <t>PRAGMA</t>
        </is>
      </c>
      <c r="B7276" t="inlineStr">
        <is>
          <t>M2</t>
        </is>
      </c>
      <c r="C7276" t="inlineStr">
        <is>
          <t>Ipiales</t>
        </is>
      </c>
      <c r="D7276" t="inlineStr">
        <is>
          <t>6823</t>
        </is>
      </c>
      <c r="E7276" t="inlineStr">
        <is>
          <t>pagado</t>
        </is>
      </c>
      <c r="F7276" s="23" t="n">
        <v>46280</v>
      </c>
      <c r="G7276" s="24">
        <f>F7276-DATE(2026,8,31)</f>
        <v>15</v>
      </c>
      <c r="H7276" s="25" t="n">
        <v>34083305</v>
      </c>
      <c r="I7276" t="inlineStr">
        <is>
          <t>entidad-dia</t>
        </is>
      </c>
    </row>
    <row r="7277">
      <c r="A7277" t="inlineStr">
        <is>
          <t>PRAGMA</t>
        </is>
      </c>
      <c r="B7277" t="inlineStr">
        <is>
          <t>M2</t>
        </is>
      </c>
      <c r="C7277" t="inlineStr">
        <is>
          <t>Ipiales</t>
        </is>
      </c>
      <c r="D7277" t="inlineStr">
        <is>
          <t>6823</t>
        </is>
      </c>
      <c r="E7277" t="inlineStr">
        <is>
          <t>cash_in</t>
        </is>
      </c>
      <c r="F7277" s="23" t="n">
        <v>46280</v>
      </c>
      <c r="G7277" s="24">
        <f>F7277-DATE(2026,8,31)</f>
        <v>15</v>
      </c>
      <c r="H7277" s="25" t="n">
        <v>155678999</v>
      </c>
      <c r="I7277" t="inlineStr">
        <is>
          <t>entidad-dia</t>
        </is>
      </c>
    </row>
    <row r="7278">
      <c r="A7278" t="inlineStr">
        <is>
          <t>PRAGMA</t>
        </is>
      </c>
      <c r="B7278" t="inlineStr">
        <is>
          <t>M2</t>
        </is>
      </c>
      <c r="C7278" t="inlineStr">
        <is>
          <t>Cali</t>
        </is>
      </c>
      <c r="D7278" t="inlineStr">
        <is>
          <t>6848</t>
        </is>
      </c>
      <c r="E7278" t="inlineStr">
        <is>
          <t>pagado</t>
        </is>
      </c>
      <c r="F7278" s="23" t="n">
        <v>46266</v>
      </c>
      <c r="G7278" s="24">
        <f>F7278-DATE(2026,8,31)</f>
        <v>1</v>
      </c>
      <c r="H7278" s="25" t="n">
        <v>54434688</v>
      </c>
      <c r="I7278" t="inlineStr">
        <is>
          <t>entidad-dia</t>
        </is>
      </c>
    </row>
    <row r="7279">
      <c r="A7279" t="inlineStr">
        <is>
          <t>PRAGMA</t>
        </is>
      </c>
      <c r="B7279" t="inlineStr">
        <is>
          <t>M2</t>
        </is>
      </c>
      <c r="C7279" t="inlineStr">
        <is>
          <t>Cali</t>
        </is>
      </c>
      <c r="D7279" t="inlineStr">
        <is>
          <t>6848</t>
        </is>
      </c>
      <c r="E7279" t="inlineStr">
        <is>
          <t>cash_in</t>
        </is>
      </c>
      <c r="F7279" s="23" t="n">
        <v>46266</v>
      </c>
      <c r="G7279" s="24">
        <f>F7279-DATE(2026,8,31)</f>
        <v>1</v>
      </c>
      <c r="H7279" s="25" t="n">
        <v>65788423</v>
      </c>
      <c r="I7279" t="inlineStr">
        <is>
          <t>entidad-dia</t>
        </is>
      </c>
    </row>
    <row r="7280">
      <c r="A7280" t="inlineStr">
        <is>
          <t>PRAGMA</t>
        </is>
      </c>
      <c r="B7280" t="inlineStr">
        <is>
          <t>M2</t>
        </is>
      </c>
      <c r="C7280" t="inlineStr">
        <is>
          <t>Cali</t>
        </is>
      </c>
      <c r="D7280" t="inlineStr">
        <is>
          <t>6848</t>
        </is>
      </c>
      <c r="E7280" t="inlineStr">
        <is>
          <t>pagado</t>
        </is>
      </c>
      <c r="F7280" s="23" t="n">
        <v>46267</v>
      </c>
      <c r="G7280" s="24">
        <f>F7280-DATE(2026,8,31)</f>
        <v>2</v>
      </c>
      <c r="H7280" s="25" t="n">
        <v>40938817</v>
      </c>
      <c r="I7280" t="inlineStr">
        <is>
          <t>entidad-dia</t>
        </is>
      </c>
    </row>
    <row r="7281">
      <c r="A7281" t="inlineStr">
        <is>
          <t>PRAGMA</t>
        </is>
      </c>
      <c r="B7281" t="inlineStr">
        <is>
          <t>M2</t>
        </is>
      </c>
      <c r="C7281" t="inlineStr">
        <is>
          <t>Cali</t>
        </is>
      </c>
      <c r="D7281" t="inlineStr">
        <is>
          <t>6848</t>
        </is>
      </c>
      <c r="E7281" t="inlineStr">
        <is>
          <t>cash_in</t>
        </is>
      </c>
      <c r="F7281" s="23" t="n">
        <v>46267</v>
      </c>
      <c r="G7281" s="24">
        <f>F7281-DATE(2026,8,31)</f>
        <v>2</v>
      </c>
      <c r="H7281" s="25" t="n">
        <v>63996264</v>
      </c>
      <c r="I7281" t="inlineStr">
        <is>
          <t>entidad-dia</t>
        </is>
      </c>
    </row>
    <row r="7282">
      <c r="A7282" t="inlineStr">
        <is>
          <t>PRAGMA</t>
        </is>
      </c>
      <c r="B7282" t="inlineStr">
        <is>
          <t>M2</t>
        </is>
      </c>
      <c r="C7282" t="inlineStr">
        <is>
          <t>Cali</t>
        </is>
      </c>
      <c r="D7282" t="inlineStr">
        <is>
          <t>6848</t>
        </is>
      </c>
      <c r="E7282" t="inlineStr">
        <is>
          <t>pagado</t>
        </is>
      </c>
      <c r="F7282" s="23" t="n">
        <v>46268</v>
      </c>
      <c r="G7282" s="24">
        <f>F7282-DATE(2026,8,31)</f>
        <v>3</v>
      </c>
      <c r="H7282" s="25" t="n">
        <v>37616948</v>
      </c>
      <c r="I7282" t="inlineStr">
        <is>
          <t>entidad-dia</t>
        </is>
      </c>
    </row>
    <row r="7283">
      <c r="A7283" t="inlineStr">
        <is>
          <t>PRAGMA</t>
        </is>
      </c>
      <c r="B7283" t="inlineStr">
        <is>
          <t>M2</t>
        </is>
      </c>
      <c r="C7283" t="inlineStr">
        <is>
          <t>Cali</t>
        </is>
      </c>
      <c r="D7283" t="inlineStr">
        <is>
          <t>6848</t>
        </is>
      </c>
      <c r="E7283" t="inlineStr">
        <is>
          <t>cash_in</t>
        </is>
      </c>
      <c r="F7283" s="23" t="n">
        <v>46268</v>
      </c>
      <c r="G7283" s="24">
        <f>F7283-DATE(2026,8,31)</f>
        <v>3</v>
      </c>
      <c r="H7283" s="25" t="n">
        <v>58141092</v>
      </c>
      <c r="I7283" t="inlineStr">
        <is>
          <t>entidad-dia</t>
        </is>
      </c>
    </row>
    <row r="7284">
      <c r="A7284" t="inlineStr">
        <is>
          <t>PRAGMA</t>
        </is>
      </c>
      <c r="B7284" t="inlineStr">
        <is>
          <t>M2</t>
        </is>
      </c>
      <c r="C7284" t="inlineStr">
        <is>
          <t>Cali</t>
        </is>
      </c>
      <c r="D7284" t="inlineStr">
        <is>
          <t>6848</t>
        </is>
      </c>
      <c r="E7284" t="inlineStr">
        <is>
          <t>pagado</t>
        </is>
      </c>
      <c r="F7284" s="23" t="n">
        <v>46269</v>
      </c>
      <c r="G7284" s="24">
        <f>F7284-DATE(2026,8,31)</f>
        <v>4</v>
      </c>
      <c r="H7284" s="25" t="n">
        <v>38587810</v>
      </c>
      <c r="I7284" t="inlineStr">
        <is>
          <t>entidad-dia</t>
        </is>
      </c>
    </row>
    <row r="7285">
      <c r="A7285" t="inlineStr">
        <is>
          <t>PRAGMA</t>
        </is>
      </c>
      <c r="B7285" t="inlineStr">
        <is>
          <t>M2</t>
        </is>
      </c>
      <c r="C7285" t="inlineStr">
        <is>
          <t>Cali</t>
        </is>
      </c>
      <c r="D7285" t="inlineStr">
        <is>
          <t>6848</t>
        </is>
      </c>
      <c r="E7285" t="inlineStr">
        <is>
          <t>cash_in</t>
        </is>
      </c>
      <c r="F7285" s="23" t="n">
        <v>46269</v>
      </c>
      <c r="G7285" s="24">
        <f>F7285-DATE(2026,8,31)</f>
        <v>4</v>
      </c>
      <c r="H7285" s="25" t="n">
        <v>59437470</v>
      </c>
      <c r="I7285" t="inlineStr">
        <is>
          <t>entidad-dia</t>
        </is>
      </c>
    </row>
    <row r="7286">
      <c r="A7286" t="inlineStr">
        <is>
          <t>PRAGMA</t>
        </is>
      </c>
      <c r="B7286" t="inlineStr">
        <is>
          <t>M2</t>
        </is>
      </c>
      <c r="C7286" t="inlineStr">
        <is>
          <t>Cali</t>
        </is>
      </c>
      <c r="D7286" t="inlineStr">
        <is>
          <t>6848</t>
        </is>
      </c>
      <c r="E7286" t="inlineStr">
        <is>
          <t>pagado</t>
        </is>
      </c>
      <c r="F7286" s="23" t="n">
        <v>46270</v>
      </c>
      <c r="G7286" s="24">
        <f>F7286-DATE(2026,8,31)</f>
        <v>5</v>
      </c>
      <c r="H7286" s="25" t="n">
        <v>31912693</v>
      </c>
      <c r="I7286" t="inlineStr">
        <is>
          <t>entidad-dia</t>
        </is>
      </c>
    </row>
    <row r="7287">
      <c r="A7287" t="inlineStr">
        <is>
          <t>PRAGMA</t>
        </is>
      </c>
      <c r="B7287" t="inlineStr">
        <is>
          <t>M2</t>
        </is>
      </c>
      <c r="C7287" t="inlineStr">
        <is>
          <t>Cali</t>
        </is>
      </c>
      <c r="D7287" t="inlineStr">
        <is>
          <t>6848</t>
        </is>
      </c>
      <c r="E7287" t="inlineStr">
        <is>
          <t>cash_in</t>
        </is>
      </c>
      <c r="F7287" s="23" t="n">
        <v>46270</v>
      </c>
      <c r="G7287" s="24">
        <f>F7287-DATE(2026,8,31)</f>
        <v>5</v>
      </c>
      <c r="H7287" s="25" t="n">
        <v>53151103</v>
      </c>
      <c r="I7287" t="inlineStr">
        <is>
          <t>entidad-dia</t>
        </is>
      </c>
    </row>
    <row r="7288">
      <c r="A7288" t="inlineStr">
        <is>
          <t>PRAGMA</t>
        </is>
      </c>
      <c r="B7288" t="inlineStr">
        <is>
          <t>M2</t>
        </is>
      </c>
      <c r="C7288" t="inlineStr">
        <is>
          <t>Cali</t>
        </is>
      </c>
      <c r="D7288" t="inlineStr">
        <is>
          <t>6848</t>
        </is>
      </c>
      <c r="E7288" t="inlineStr">
        <is>
          <t>pagado</t>
        </is>
      </c>
      <c r="F7288" s="23" t="n">
        <v>46271</v>
      </c>
      <c r="G7288" s="24">
        <f>F7288-DATE(2026,8,31)</f>
        <v>6</v>
      </c>
      <c r="H7288" s="25" t="n">
        <v>3617120</v>
      </c>
      <c r="I7288" t="inlineStr">
        <is>
          <t>entidad-dia</t>
        </is>
      </c>
    </row>
    <row r="7289">
      <c r="A7289" t="inlineStr">
        <is>
          <t>PRAGMA</t>
        </is>
      </c>
      <c r="B7289" t="inlineStr">
        <is>
          <t>M2</t>
        </is>
      </c>
      <c r="C7289" t="inlineStr">
        <is>
          <t>Cali</t>
        </is>
      </c>
      <c r="D7289" t="inlineStr">
        <is>
          <t>6848</t>
        </is>
      </c>
      <c r="E7289" t="inlineStr">
        <is>
          <t>cash_in</t>
        </is>
      </c>
      <c r="F7289" s="23" t="n">
        <v>46271</v>
      </c>
      <c r="G7289" s="24">
        <f>F7289-DATE(2026,8,31)</f>
        <v>6</v>
      </c>
      <c r="H7289" s="25" t="n">
        <v>8550659</v>
      </c>
      <c r="I7289" t="inlineStr">
        <is>
          <t>entidad-dia</t>
        </is>
      </c>
    </row>
    <row r="7290">
      <c r="A7290" t="inlineStr">
        <is>
          <t>PRAGMA</t>
        </is>
      </c>
      <c r="B7290" t="inlineStr">
        <is>
          <t>M2</t>
        </is>
      </c>
      <c r="C7290" t="inlineStr">
        <is>
          <t>Cali</t>
        </is>
      </c>
      <c r="D7290" t="inlineStr">
        <is>
          <t>6848</t>
        </is>
      </c>
      <c r="E7290" t="inlineStr">
        <is>
          <t>pagado</t>
        </is>
      </c>
      <c r="F7290" s="23" t="n">
        <v>46272</v>
      </c>
      <c r="G7290" s="24">
        <f>F7290-DATE(2026,8,31)</f>
        <v>7</v>
      </c>
      <c r="H7290" s="25" t="n">
        <v>31927785</v>
      </c>
      <c r="I7290" t="inlineStr">
        <is>
          <t>entidad-dia</t>
        </is>
      </c>
    </row>
    <row r="7291">
      <c r="A7291" t="inlineStr">
        <is>
          <t>PRAGMA</t>
        </is>
      </c>
      <c r="B7291" t="inlineStr">
        <is>
          <t>M2</t>
        </is>
      </c>
      <c r="C7291" t="inlineStr">
        <is>
          <t>Cali</t>
        </is>
      </c>
      <c r="D7291" t="inlineStr">
        <is>
          <t>6848</t>
        </is>
      </c>
      <c r="E7291" t="inlineStr">
        <is>
          <t>cash_in</t>
        </is>
      </c>
      <c r="F7291" s="23" t="n">
        <v>46272</v>
      </c>
      <c r="G7291" s="24">
        <f>F7291-DATE(2026,8,31)</f>
        <v>7</v>
      </c>
      <c r="H7291" s="25" t="n">
        <v>66053047</v>
      </c>
      <c r="I7291" t="inlineStr">
        <is>
          <t>entidad-dia</t>
        </is>
      </c>
    </row>
    <row r="7292">
      <c r="A7292" t="inlineStr">
        <is>
          <t>PRAGMA</t>
        </is>
      </c>
      <c r="B7292" t="inlineStr">
        <is>
          <t>M2</t>
        </is>
      </c>
      <c r="C7292" t="inlineStr">
        <is>
          <t>Cali</t>
        </is>
      </c>
      <c r="D7292" t="inlineStr">
        <is>
          <t>6848</t>
        </is>
      </c>
      <c r="E7292" t="inlineStr">
        <is>
          <t>pagado</t>
        </is>
      </c>
      <c r="F7292" s="23" t="n">
        <v>46273</v>
      </c>
      <c r="G7292" s="24">
        <f>F7292-DATE(2026,8,31)</f>
        <v>8</v>
      </c>
      <c r="H7292" s="25" t="n">
        <v>27492227</v>
      </c>
      <c r="I7292" t="inlineStr">
        <is>
          <t>entidad-dia</t>
        </is>
      </c>
    </row>
    <row r="7293">
      <c r="A7293" t="inlineStr">
        <is>
          <t>PRAGMA</t>
        </is>
      </c>
      <c r="B7293" t="inlineStr">
        <is>
          <t>M2</t>
        </is>
      </c>
      <c r="C7293" t="inlineStr">
        <is>
          <t>Cali</t>
        </is>
      </c>
      <c r="D7293" t="inlineStr">
        <is>
          <t>6848</t>
        </is>
      </c>
      <c r="E7293" t="inlineStr">
        <is>
          <t>cash_in</t>
        </is>
      </c>
      <c r="F7293" s="23" t="n">
        <v>46273</v>
      </c>
      <c r="G7293" s="24">
        <f>F7293-DATE(2026,8,31)</f>
        <v>8</v>
      </c>
      <c r="H7293" s="25" t="n">
        <v>57868451</v>
      </c>
      <c r="I7293" t="inlineStr">
        <is>
          <t>entidad-dia</t>
        </is>
      </c>
    </row>
    <row r="7294">
      <c r="A7294" t="inlineStr">
        <is>
          <t>PRAGMA</t>
        </is>
      </c>
      <c r="B7294" t="inlineStr">
        <is>
          <t>M2</t>
        </is>
      </c>
      <c r="C7294" t="inlineStr">
        <is>
          <t>Cali</t>
        </is>
      </c>
      <c r="D7294" t="inlineStr">
        <is>
          <t>6848</t>
        </is>
      </c>
      <c r="E7294" t="inlineStr">
        <is>
          <t>pagado</t>
        </is>
      </c>
      <c r="F7294" s="23" t="n">
        <v>46274</v>
      </c>
      <c r="G7294" s="24">
        <f>F7294-DATE(2026,8,31)</f>
        <v>9</v>
      </c>
      <c r="H7294" s="25" t="n">
        <v>26757970</v>
      </c>
      <c r="I7294" t="inlineStr">
        <is>
          <t>entidad-dia</t>
        </is>
      </c>
    </row>
    <row r="7295">
      <c r="A7295" t="inlineStr">
        <is>
          <t>PRAGMA</t>
        </is>
      </c>
      <c r="B7295" t="inlineStr">
        <is>
          <t>M2</t>
        </is>
      </c>
      <c r="C7295" t="inlineStr">
        <is>
          <t>Cali</t>
        </is>
      </c>
      <c r="D7295" t="inlineStr">
        <is>
          <t>6848</t>
        </is>
      </c>
      <c r="E7295" t="inlineStr">
        <is>
          <t>cash_in</t>
        </is>
      </c>
      <c r="F7295" s="23" t="n">
        <v>46274</v>
      </c>
      <c r="G7295" s="24">
        <f>F7295-DATE(2026,8,31)</f>
        <v>9</v>
      </c>
      <c r="H7295" s="25" t="n">
        <v>52545363</v>
      </c>
      <c r="I7295" t="inlineStr">
        <is>
          <t>entidad-dia</t>
        </is>
      </c>
    </row>
    <row r="7296">
      <c r="A7296" t="inlineStr">
        <is>
          <t>PRAGMA</t>
        </is>
      </c>
      <c r="B7296" t="inlineStr">
        <is>
          <t>M2</t>
        </is>
      </c>
      <c r="C7296" t="inlineStr">
        <is>
          <t>Cali</t>
        </is>
      </c>
      <c r="D7296" t="inlineStr">
        <is>
          <t>6848</t>
        </is>
      </c>
      <c r="E7296" t="inlineStr">
        <is>
          <t>pagado</t>
        </is>
      </c>
      <c r="F7296" s="23" t="n">
        <v>46275</v>
      </c>
      <c r="G7296" s="24">
        <f>F7296-DATE(2026,8,31)</f>
        <v>10</v>
      </c>
      <c r="H7296" s="25" t="n">
        <v>22829203</v>
      </c>
      <c r="I7296" t="inlineStr">
        <is>
          <t>entidad-dia</t>
        </is>
      </c>
    </row>
    <row r="7297">
      <c r="A7297" t="inlineStr">
        <is>
          <t>PRAGMA</t>
        </is>
      </c>
      <c r="B7297" t="inlineStr">
        <is>
          <t>M2</t>
        </is>
      </c>
      <c r="C7297" t="inlineStr">
        <is>
          <t>Cali</t>
        </is>
      </c>
      <c r="D7297" t="inlineStr">
        <is>
          <t>6848</t>
        </is>
      </c>
      <c r="E7297" t="inlineStr">
        <is>
          <t>cash_in</t>
        </is>
      </c>
      <c r="F7297" s="23" t="n">
        <v>46275</v>
      </c>
      <c r="G7297" s="24">
        <f>F7297-DATE(2026,8,31)</f>
        <v>10</v>
      </c>
      <c r="H7297" s="25" t="n">
        <v>48638004</v>
      </c>
      <c r="I7297" t="inlineStr">
        <is>
          <t>entidad-dia</t>
        </is>
      </c>
    </row>
    <row r="7298">
      <c r="A7298" t="inlineStr">
        <is>
          <t>PRAGMA</t>
        </is>
      </c>
      <c r="B7298" t="inlineStr">
        <is>
          <t>M2</t>
        </is>
      </c>
      <c r="C7298" t="inlineStr">
        <is>
          <t>Cali</t>
        </is>
      </c>
      <c r="D7298" t="inlineStr">
        <is>
          <t>6848</t>
        </is>
      </c>
      <c r="E7298" t="inlineStr">
        <is>
          <t>pagado</t>
        </is>
      </c>
      <c r="F7298" s="23" t="n">
        <v>46276</v>
      </c>
      <c r="G7298" s="24">
        <f>F7298-DATE(2026,8,31)</f>
        <v>11</v>
      </c>
      <c r="H7298" s="25" t="n">
        <v>29782033</v>
      </c>
      <c r="I7298" t="inlineStr">
        <is>
          <t>entidad-dia</t>
        </is>
      </c>
    </row>
    <row r="7299">
      <c r="A7299" t="inlineStr">
        <is>
          <t>PRAGMA</t>
        </is>
      </c>
      <c r="B7299" t="inlineStr">
        <is>
          <t>M2</t>
        </is>
      </c>
      <c r="C7299" t="inlineStr">
        <is>
          <t>Cali</t>
        </is>
      </c>
      <c r="D7299" t="inlineStr">
        <is>
          <t>6848</t>
        </is>
      </c>
      <c r="E7299" t="inlineStr">
        <is>
          <t>cash_in</t>
        </is>
      </c>
      <c r="F7299" s="23" t="n">
        <v>46276</v>
      </c>
      <c r="G7299" s="24">
        <f>F7299-DATE(2026,8,31)</f>
        <v>11</v>
      </c>
      <c r="H7299" s="25" t="n">
        <v>48001257</v>
      </c>
      <c r="I7299" t="inlineStr">
        <is>
          <t>entidad-dia</t>
        </is>
      </c>
    </row>
    <row r="7300">
      <c r="A7300" t="inlineStr">
        <is>
          <t>PRAGMA</t>
        </is>
      </c>
      <c r="B7300" t="inlineStr">
        <is>
          <t>M2</t>
        </is>
      </c>
      <c r="C7300" t="inlineStr">
        <is>
          <t>Cali</t>
        </is>
      </c>
      <c r="D7300" t="inlineStr">
        <is>
          <t>6848</t>
        </is>
      </c>
      <c r="E7300" t="inlineStr">
        <is>
          <t>pagado</t>
        </is>
      </c>
      <c r="F7300" s="23" t="n">
        <v>46277</v>
      </c>
      <c r="G7300" s="24">
        <f>F7300-DATE(2026,8,31)</f>
        <v>12</v>
      </c>
      <c r="H7300" s="25" t="n">
        <v>22715111</v>
      </c>
      <c r="I7300" t="inlineStr">
        <is>
          <t>entidad-dia</t>
        </is>
      </c>
    </row>
    <row r="7301">
      <c r="A7301" t="inlineStr">
        <is>
          <t>PRAGMA</t>
        </is>
      </c>
      <c r="B7301" t="inlineStr">
        <is>
          <t>M2</t>
        </is>
      </c>
      <c r="C7301" t="inlineStr">
        <is>
          <t>Cali</t>
        </is>
      </c>
      <c r="D7301" t="inlineStr">
        <is>
          <t>6848</t>
        </is>
      </c>
      <c r="E7301" t="inlineStr">
        <is>
          <t>cash_in</t>
        </is>
      </c>
      <c r="F7301" s="23" t="n">
        <v>46277</v>
      </c>
      <c r="G7301" s="24">
        <f>F7301-DATE(2026,8,31)</f>
        <v>12</v>
      </c>
      <c r="H7301" s="25" t="n">
        <v>41527027</v>
      </c>
      <c r="I7301" t="inlineStr">
        <is>
          <t>entidad-dia</t>
        </is>
      </c>
    </row>
    <row r="7302">
      <c r="A7302" t="inlineStr">
        <is>
          <t>PRAGMA</t>
        </is>
      </c>
      <c r="B7302" t="inlineStr">
        <is>
          <t>M2</t>
        </is>
      </c>
      <c r="C7302" t="inlineStr">
        <is>
          <t>Cali</t>
        </is>
      </c>
      <c r="D7302" t="inlineStr">
        <is>
          <t>6848</t>
        </is>
      </c>
      <c r="E7302" t="inlineStr">
        <is>
          <t>pagado</t>
        </is>
      </c>
      <c r="F7302" s="23" t="n">
        <v>46278</v>
      </c>
      <c r="G7302" s="24">
        <f>F7302-DATE(2026,8,31)</f>
        <v>13</v>
      </c>
      <c r="H7302" s="25" t="n">
        <v>1419239</v>
      </c>
      <c r="I7302" t="inlineStr">
        <is>
          <t>entidad-dia</t>
        </is>
      </c>
    </row>
    <row r="7303">
      <c r="A7303" t="inlineStr">
        <is>
          <t>PRAGMA</t>
        </is>
      </c>
      <c r="B7303" t="inlineStr">
        <is>
          <t>M2</t>
        </is>
      </c>
      <c r="C7303" t="inlineStr">
        <is>
          <t>Cali</t>
        </is>
      </c>
      <c r="D7303" t="inlineStr">
        <is>
          <t>6848</t>
        </is>
      </c>
      <c r="E7303" t="inlineStr">
        <is>
          <t>cash_in</t>
        </is>
      </c>
      <c r="F7303" s="23" t="n">
        <v>46278</v>
      </c>
      <c r="G7303" s="24">
        <f>F7303-DATE(2026,8,31)</f>
        <v>13</v>
      </c>
      <c r="H7303" s="25" t="n">
        <v>4843358</v>
      </c>
      <c r="I7303" t="inlineStr">
        <is>
          <t>entidad-dia</t>
        </is>
      </c>
    </row>
    <row r="7304">
      <c r="A7304" t="inlineStr">
        <is>
          <t>PRAGMA</t>
        </is>
      </c>
      <c r="B7304" t="inlineStr">
        <is>
          <t>M2</t>
        </is>
      </c>
      <c r="C7304" t="inlineStr">
        <is>
          <t>Cali</t>
        </is>
      </c>
      <c r="D7304" t="inlineStr">
        <is>
          <t>6848</t>
        </is>
      </c>
      <c r="E7304" t="inlineStr">
        <is>
          <t>pagado</t>
        </is>
      </c>
      <c r="F7304" s="23" t="n">
        <v>46279</v>
      </c>
      <c r="G7304" s="24">
        <f>F7304-DATE(2026,8,31)</f>
        <v>14</v>
      </c>
      <c r="H7304" s="25" t="n">
        <v>30050770</v>
      </c>
      <c r="I7304" t="inlineStr">
        <is>
          <t>entidad-dia</t>
        </is>
      </c>
    </row>
    <row r="7305">
      <c r="A7305" t="inlineStr">
        <is>
          <t>PRAGMA</t>
        </is>
      </c>
      <c r="B7305" t="inlineStr">
        <is>
          <t>M2</t>
        </is>
      </c>
      <c r="C7305" t="inlineStr">
        <is>
          <t>Cali</t>
        </is>
      </c>
      <c r="D7305" t="inlineStr">
        <is>
          <t>6848</t>
        </is>
      </c>
      <c r="E7305" t="inlineStr">
        <is>
          <t>cash_in</t>
        </is>
      </c>
      <c r="F7305" s="23" t="n">
        <v>46279</v>
      </c>
      <c r="G7305" s="24">
        <f>F7305-DATE(2026,8,31)</f>
        <v>14</v>
      </c>
      <c r="H7305" s="25" t="n">
        <v>54203051</v>
      </c>
      <c r="I7305" t="inlineStr">
        <is>
          <t>entidad-dia</t>
        </is>
      </c>
    </row>
    <row r="7306">
      <c r="A7306" t="inlineStr">
        <is>
          <t>PRAGMA</t>
        </is>
      </c>
      <c r="B7306" t="inlineStr">
        <is>
          <t>M2</t>
        </is>
      </c>
      <c r="C7306" t="inlineStr">
        <is>
          <t>Cali</t>
        </is>
      </c>
      <c r="D7306" t="inlineStr">
        <is>
          <t>6848</t>
        </is>
      </c>
      <c r="E7306" t="inlineStr">
        <is>
          <t>pagado</t>
        </is>
      </c>
      <c r="F7306" s="23" t="n">
        <v>46280</v>
      </c>
      <c r="G7306" s="24">
        <f>F7306-DATE(2026,8,31)</f>
        <v>15</v>
      </c>
      <c r="H7306" s="25" t="n">
        <v>41231096</v>
      </c>
      <c r="I7306" t="inlineStr">
        <is>
          <t>entidad-dia</t>
        </is>
      </c>
    </row>
    <row r="7307">
      <c r="A7307" t="inlineStr">
        <is>
          <t>PRAGMA</t>
        </is>
      </c>
      <c r="B7307" t="inlineStr">
        <is>
          <t>M2</t>
        </is>
      </c>
      <c r="C7307" t="inlineStr">
        <is>
          <t>Cali</t>
        </is>
      </c>
      <c r="D7307" t="inlineStr">
        <is>
          <t>6848</t>
        </is>
      </c>
      <c r="E7307" t="inlineStr">
        <is>
          <t>cash_in</t>
        </is>
      </c>
      <c r="F7307" s="23" t="n">
        <v>46280</v>
      </c>
      <c r="G7307" s="24">
        <f>F7307-DATE(2026,8,31)</f>
        <v>15</v>
      </c>
      <c r="H7307" s="25" t="n">
        <v>55956559</v>
      </c>
      <c r="I7307" t="inlineStr">
        <is>
          <t>entidad-dia</t>
        </is>
      </c>
    </row>
    <row r="7308">
      <c r="A7308" t="inlineStr">
        <is>
          <t>PRAGMA</t>
        </is>
      </c>
      <c r="B7308" t="inlineStr">
        <is>
          <t>M2</t>
        </is>
      </c>
      <c r="C7308" t="inlineStr">
        <is>
          <t>Cali</t>
        </is>
      </c>
      <c r="D7308" t="inlineStr">
        <is>
          <t>6913</t>
        </is>
      </c>
      <c r="E7308" t="inlineStr">
        <is>
          <t>pagado</t>
        </is>
      </c>
      <c r="F7308" s="23" t="n">
        <v>46266</v>
      </c>
      <c r="G7308" s="24">
        <f>F7308-DATE(2026,8,31)</f>
        <v>1</v>
      </c>
      <c r="H7308" s="25" t="n">
        <v>82331820</v>
      </c>
      <c r="I7308" t="inlineStr">
        <is>
          <t>entidad-dia</t>
        </is>
      </c>
    </row>
    <row r="7309">
      <c r="A7309" t="inlineStr">
        <is>
          <t>PRAGMA</t>
        </is>
      </c>
      <c r="B7309" t="inlineStr">
        <is>
          <t>M2</t>
        </is>
      </c>
      <c r="C7309" t="inlineStr">
        <is>
          <t>Cali</t>
        </is>
      </c>
      <c r="D7309" t="inlineStr">
        <is>
          <t>6913</t>
        </is>
      </c>
      <c r="E7309" t="inlineStr">
        <is>
          <t>cash_in</t>
        </is>
      </c>
      <c r="F7309" s="23" t="n">
        <v>46266</v>
      </c>
      <c r="G7309" s="24">
        <f>F7309-DATE(2026,8,31)</f>
        <v>1</v>
      </c>
      <c r="H7309" s="25" t="n">
        <v>264483444</v>
      </c>
      <c r="I7309" t="inlineStr">
        <is>
          <t>entidad-dia</t>
        </is>
      </c>
    </row>
    <row r="7310">
      <c r="A7310" t="inlineStr">
        <is>
          <t>PRAGMA</t>
        </is>
      </c>
      <c r="B7310" t="inlineStr">
        <is>
          <t>M2</t>
        </is>
      </c>
      <c r="C7310" t="inlineStr">
        <is>
          <t>Cali</t>
        </is>
      </c>
      <c r="D7310" t="inlineStr">
        <is>
          <t>6913</t>
        </is>
      </c>
      <c r="E7310" t="inlineStr">
        <is>
          <t>pagado</t>
        </is>
      </c>
      <c r="F7310" s="23" t="n">
        <v>46267</v>
      </c>
      <c r="G7310" s="24">
        <f>F7310-DATE(2026,8,31)</f>
        <v>2</v>
      </c>
      <c r="H7310" s="25" t="n">
        <v>73720817</v>
      </c>
      <c r="I7310" t="inlineStr">
        <is>
          <t>entidad-dia</t>
        </is>
      </c>
    </row>
    <row r="7311">
      <c r="A7311" t="inlineStr">
        <is>
          <t>PRAGMA</t>
        </is>
      </c>
      <c r="B7311" t="inlineStr">
        <is>
          <t>M2</t>
        </is>
      </c>
      <c r="C7311" t="inlineStr">
        <is>
          <t>Cali</t>
        </is>
      </c>
      <c r="D7311" t="inlineStr">
        <is>
          <t>6913</t>
        </is>
      </c>
      <c r="E7311" t="inlineStr">
        <is>
          <t>cash_in</t>
        </is>
      </c>
      <c r="F7311" s="23" t="n">
        <v>46267</v>
      </c>
      <c r="G7311" s="24">
        <f>F7311-DATE(2026,8,31)</f>
        <v>2</v>
      </c>
      <c r="H7311" s="25" t="n">
        <v>250490074</v>
      </c>
      <c r="I7311" t="inlineStr">
        <is>
          <t>entidad-dia</t>
        </is>
      </c>
    </row>
    <row r="7312">
      <c r="A7312" t="inlineStr">
        <is>
          <t>PRAGMA</t>
        </is>
      </c>
      <c r="B7312" t="inlineStr">
        <is>
          <t>M2</t>
        </is>
      </c>
      <c r="C7312" t="inlineStr">
        <is>
          <t>Cali</t>
        </is>
      </c>
      <c r="D7312" t="inlineStr">
        <is>
          <t>6913</t>
        </is>
      </c>
      <c r="E7312" t="inlineStr">
        <is>
          <t>pagado</t>
        </is>
      </c>
      <c r="F7312" s="23" t="n">
        <v>46268</v>
      </c>
      <c r="G7312" s="24">
        <f>F7312-DATE(2026,8,31)</f>
        <v>3</v>
      </c>
      <c r="H7312" s="25" t="n">
        <v>65326795</v>
      </c>
      <c r="I7312" t="inlineStr">
        <is>
          <t>entidad-dia</t>
        </is>
      </c>
    </row>
    <row r="7313">
      <c r="A7313" t="inlineStr">
        <is>
          <t>PRAGMA</t>
        </is>
      </c>
      <c r="B7313" t="inlineStr">
        <is>
          <t>M2</t>
        </is>
      </c>
      <c r="C7313" t="inlineStr">
        <is>
          <t>Cali</t>
        </is>
      </c>
      <c r="D7313" t="inlineStr">
        <is>
          <t>6913</t>
        </is>
      </c>
      <c r="E7313" t="inlineStr">
        <is>
          <t>cash_in</t>
        </is>
      </c>
      <c r="F7313" s="23" t="n">
        <v>46268</v>
      </c>
      <c r="G7313" s="24">
        <f>F7313-DATE(2026,8,31)</f>
        <v>3</v>
      </c>
      <c r="H7313" s="25" t="n">
        <v>241133889</v>
      </c>
      <c r="I7313" t="inlineStr">
        <is>
          <t>entidad-dia</t>
        </is>
      </c>
    </row>
    <row r="7314">
      <c r="A7314" t="inlineStr">
        <is>
          <t>PRAGMA</t>
        </is>
      </c>
      <c r="B7314" t="inlineStr">
        <is>
          <t>M2</t>
        </is>
      </c>
      <c r="C7314" t="inlineStr">
        <is>
          <t>Cali</t>
        </is>
      </c>
      <c r="D7314" t="inlineStr">
        <is>
          <t>6913</t>
        </is>
      </c>
      <c r="E7314" t="inlineStr">
        <is>
          <t>pagado</t>
        </is>
      </c>
      <c r="F7314" s="23" t="n">
        <v>46269</v>
      </c>
      <c r="G7314" s="24">
        <f>F7314-DATE(2026,8,31)</f>
        <v>4</v>
      </c>
      <c r="H7314" s="25" t="n">
        <v>65283447</v>
      </c>
      <c r="I7314" t="inlineStr">
        <is>
          <t>entidad-dia</t>
        </is>
      </c>
    </row>
    <row r="7315">
      <c r="A7315" t="inlineStr">
        <is>
          <t>PRAGMA</t>
        </is>
      </c>
      <c r="B7315" t="inlineStr">
        <is>
          <t>M2</t>
        </is>
      </c>
      <c r="C7315" t="inlineStr">
        <is>
          <t>Cali</t>
        </is>
      </c>
      <c r="D7315" t="inlineStr">
        <is>
          <t>6913</t>
        </is>
      </c>
      <c r="E7315" t="inlineStr">
        <is>
          <t>cash_in</t>
        </is>
      </c>
      <c r="F7315" s="23" t="n">
        <v>46269</v>
      </c>
      <c r="G7315" s="24">
        <f>F7315-DATE(2026,8,31)</f>
        <v>4</v>
      </c>
      <c r="H7315" s="25" t="n">
        <v>245241336</v>
      </c>
      <c r="I7315" t="inlineStr">
        <is>
          <t>entidad-dia</t>
        </is>
      </c>
    </row>
    <row r="7316">
      <c r="A7316" t="inlineStr">
        <is>
          <t>PRAGMA</t>
        </is>
      </c>
      <c r="B7316" t="inlineStr">
        <is>
          <t>M2</t>
        </is>
      </c>
      <c r="C7316" t="inlineStr">
        <is>
          <t>Cali</t>
        </is>
      </c>
      <c r="D7316" t="inlineStr">
        <is>
          <t>6913</t>
        </is>
      </c>
      <c r="E7316" t="inlineStr">
        <is>
          <t>pagado</t>
        </is>
      </c>
      <c r="F7316" s="23" t="n">
        <v>46270</v>
      </c>
      <c r="G7316" s="24">
        <f>F7316-DATE(2026,8,31)</f>
        <v>5</v>
      </c>
      <c r="H7316" s="25" t="n">
        <v>66294751</v>
      </c>
      <c r="I7316" t="inlineStr">
        <is>
          <t>entidad-dia</t>
        </is>
      </c>
    </row>
    <row r="7317">
      <c r="A7317" t="inlineStr">
        <is>
          <t>PRAGMA</t>
        </is>
      </c>
      <c r="B7317" t="inlineStr">
        <is>
          <t>M2</t>
        </is>
      </c>
      <c r="C7317" t="inlineStr">
        <is>
          <t>Cali</t>
        </is>
      </c>
      <c r="D7317" t="inlineStr">
        <is>
          <t>6913</t>
        </is>
      </c>
      <c r="E7317" t="inlineStr">
        <is>
          <t>cash_in</t>
        </is>
      </c>
      <c r="F7317" s="23" t="n">
        <v>46270</v>
      </c>
      <c r="G7317" s="24">
        <f>F7317-DATE(2026,8,31)</f>
        <v>5</v>
      </c>
      <c r="H7317" s="25" t="n">
        <v>260485234</v>
      </c>
      <c r="I7317" t="inlineStr">
        <is>
          <t>entidad-dia</t>
        </is>
      </c>
    </row>
    <row r="7318">
      <c r="A7318" t="inlineStr">
        <is>
          <t>PRAGMA</t>
        </is>
      </c>
      <c r="B7318" t="inlineStr">
        <is>
          <t>M2</t>
        </is>
      </c>
      <c r="C7318" t="inlineStr">
        <is>
          <t>Cali</t>
        </is>
      </c>
      <c r="D7318" t="inlineStr">
        <is>
          <t>6913</t>
        </is>
      </c>
      <c r="E7318" t="inlineStr">
        <is>
          <t>pagado</t>
        </is>
      </c>
      <c r="F7318" s="23" t="n">
        <v>46271</v>
      </c>
      <c r="G7318" s="24">
        <f>F7318-DATE(2026,8,31)</f>
        <v>6</v>
      </c>
      <c r="H7318" s="25" t="n">
        <v>34538661</v>
      </c>
      <c r="I7318" t="inlineStr">
        <is>
          <t>entidad-dia</t>
        </is>
      </c>
    </row>
    <row r="7319">
      <c r="A7319" t="inlineStr">
        <is>
          <t>PRAGMA</t>
        </is>
      </c>
      <c r="B7319" t="inlineStr">
        <is>
          <t>M2</t>
        </is>
      </c>
      <c r="C7319" t="inlineStr">
        <is>
          <t>Cali</t>
        </is>
      </c>
      <c r="D7319" t="inlineStr">
        <is>
          <t>6913</t>
        </is>
      </c>
      <c r="E7319" t="inlineStr">
        <is>
          <t>cash_in</t>
        </is>
      </c>
      <c r="F7319" s="23" t="n">
        <v>46271</v>
      </c>
      <c r="G7319" s="24">
        <f>F7319-DATE(2026,8,31)</f>
        <v>6</v>
      </c>
      <c r="H7319" s="25" t="n">
        <v>172316481</v>
      </c>
      <c r="I7319" t="inlineStr">
        <is>
          <t>entidad-dia</t>
        </is>
      </c>
    </row>
    <row r="7320">
      <c r="A7320" t="inlineStr">
        <is>
          <t>PRAGMA</t>
        </is>
      </c>
      <c r="B7320" t="inlineStr">
        <is>
          <t>M2</t>
        </is>
      </c>
      <c r="C7320" t="inlineStr">
        <is>
          <t>Cali</t>
        </is>
      </c>
      <c r="D7320" t="inlineStr">
        <is>
          <t>6913</t>
        </is>
      </c>
      <c r="E7320" t="inlineStr">
        <is>
          <t>pagado</t>
        </is>
      </c>
      <c r="F7320" s="23" t="n">
        <v>46272</v>
      </c>
      <c r="G7320" s="24">
        <f>F7320-DATE(2026,8,31)</f>
        <v>7</v>
      </c>
      <c r="H7320" s="25" t="n">
        <v>56918087</v>
      </c>
      <c r="I7320" t="inlineStr">
        <is>
          <t>entidad-dia</t>
        </is>
      </c>
    </row>
    <row r="7321">
      <c r="A7321" t="inlineStr">
        <is>
          <t>PRAGMA</t>
        </is>
      </c>
      <c r="B7321" t="inlineStr">
        <is>
          <t>M2</t>
        </is>
      </c>
      <c r="C7321" t="inlineStr">
        <is>
          <t>Cali</t>
        </is>
      </c>
      <c r="D7321" t="inlineStr">
        <is>
          <t>6913</t>
        </is>
      </c>
      <c r="E7321" t="inlineStr">
        <is>
          <t>cash_in</t>
        </is>
      </c>
      <c r="F7321" s="23" t="n">
        <v>46272</v>
      </c>
      <c r="G7321" s="24">
        <f>F7321-DATE(2026,8,31)</f>
        <v>7</v>
      </c>
      <c r="H7321" s="25" t="n">
        <v>265301215</v>
      </c>
      <c r="I7321" t="inlineStr">
        <is>
          <t>entidad-dia</t>
        </is>
      </c>
    </row>
    <row r="7322">
      <c r="A7322" t="inlineStr">
        <is>
          <t>PRAGMA</t>
        </is>
      </c>
      <c r="B7322" t="inlineStr">
        <is>
          <t>M2</t>
        </is>
      </c>
      <c r="C7322" t="inlineStr">
        <is>
          <t>Cali</t>
        </is>
      </c>
      <c r="D7322" t="inlineStr">
        <is>
          <t>6913</t>
        </is>
      </c>
      <c r="E7322" t="inlineStr">
        <is>
          <t>pagado</t>
        </is>
      </c>
      <c r="F7322" s="23" t="n">
        <v>46273</v>
      </c>
      <c r="G7322" s="24">
        <f>F7322-DATE(2026,8,31)</f>
        <v>8</v>
      </c>
      <c r="H7322" s="25" t="n">
        <v>54120517</v>
      </c>
      <c r="I7322" t="inlineStr">
        <is>
          <t>entidad-dia</t>
        </is>
      </c>
    </row>
    <row r="7323">
      <c r="A7323" t="inlineStr">
        <is>
          <t>PRAGMA</t>
        </is>
      </c>
      <c r="B7323" t="inlineStr">
        <is>
          <t>M2</t>
        </is>
      </c>
      <c r="C7323" t="inlineStr">
        <is>
          <t>Cali</t>
        </is>
      </c>
      <c r="D7323" t="inlineStr">
        <is>
          <t>6913</t>
        </is>
      </c>
      <c r="E7323" t="inlineStr">
        <is>
          <t>cash_in</t>
        </is>
      </c>
      <c r="F7323" s="23" t="n">
        <v>46273</v>
      </c>
      <c r="G7323" s="24">
        <f>F7323-DATE(2026,8,31)</f>
        <v>8</v>
      </c>
      <c r="H7323" s="25" t="n">
        <v>232630375</v>
      </c>
      <c r="I7323" t="inlineStr">
        <is>
          <t>entidad-dia</t>
        </is>
      </c>
    </row>
    <row r="7324">
      <c r="A7324" t="inlineStr">
        <is>
          <t>PRAGMA</t>
        </is>
      </c>
      <c r="B7324" t="inlineStr">
        <is>
          <t>M2</t>
        </is>
      </c>
      <c r="C7324" t="inlineStr">
        <is>
          <t>Cali</t>
        </is>
      </c>
      <c r="D7324" t="inlineStr">
        <is>
          <t>6913</t>
        </is>
      </c>
      <c r="E7324" t="inlineStr">
        <is>
          <t>pagado</t>
        </is>
      </c>
      <c r="F7324" s="23" t="n">
        <v>46274</v>
      </c>
      <c r="G7324" s="24">
        <f>F7324-DATE(2026,8,31)</f>
        <v>9</v>
      </c>
      <c r="H7324" s="25" t="n">
        <v>56142553</v>
      </c>
      <c r="I7324" t="inlineStr">
        <is>
          <t>entidad-dia</t>
        </is>
      </c>
    </row>
    <row r="7325">
      <c r="A7325" t="inlineStr">
        <is>
          <t>PRAGMA</t>
        </is>
      </c>
      <c r="B7325" t="inlineStr">
        <is>
          <t>M2</t>
        </is>
      </c>
      <c r="C7325" t="inlineStr">
        <is>
          <t>Cali</t>
        </is>
      </c>
      <c r="D7325" t="inlineStr">
        <is>
          <t>6913</t>
        </is>
      </c>
      <c r="E7325" t="inlineStr">
        <is>
          <t>cash_in</t>
        </is>
      </c>
      <c r="F7325" s="23" t="n">
        <v>46274</v>
      </c>
      <c r="G7325" s="24">
        <f>F7325-DATE(2026,8,31)</f>
        <v>9</v>
      </c>
      <c r="H7325" s="25" t="n">
        <v>225180360</v>
      </c>
      <c r="I7325" t="inlineStr">
        <is>
          <t>entidad-dia</t>
        </is>
      </c>
    </row>
    <row r="7326">
      <c r="A7326" t="inlineStr">
        <is>
          <t>PRAGMA</t>
        </is>
      </c>
      <c r="B7326" t="inlineStr">
        <is>
          <t>M2</t>
        </is>
      </c>
      <c r="C7326" t="inlineStr">
        <is>
          <t>Cali</t>
        </is>
      </c>
      <c r="D7326" t="inlineStr">
        <is>
          <t>6913</t>
        </is>
      </c>
      <c r="E7326" t="inlineStr">
        <is>
          <t>pagado</t>
        </is>
      </c>
      <c r="F7326" s="23" t="n">
        <v>46275</v>
      </c>
      <c r="G7326" s="24">
        <f>F7326-DATE(2026,8,31)</f>
        <v>10</v>
      </c>
      <c r="H7326" s="25" t="n">
        <v>52030422</v>
      </c>
      <c r="I7326" t="inlineStr">
        <is>
          <t>entidad-dia</t>
        </is>
      </c>
    </row>
    <row r="7327">
      <c r="A7327" t="inlineStr">
        <is>
          <t>PRAGMA</t>
        </is>
      </c>
      <c r="B7327" t="inlineStr">
        <is>
          <t>M2</t>
        </is>
      </c>
      <c r="C7327" t="inlineStr">
        <is>
          <t>Cali</t>
        </is>
      </c>
      <c r="D7327" t="inlineStr">
        <is>
          <t>6913</t>
        </is>
      </c>
      <c r="E7327" t="inlineStr">
        <is>
          <t>cash_in</t>
        </is>
      </c>
      <c r="F7327" s="23" t="n">
        <v>46275</v>
      </c>
      <c r="G7327" s="24">
        <f>F7327-DATE(2026,8,31)</f>
        <v>10</v>
      </c>
      <c r="H7327" s="25" t="n">
        <v>212907027</v>
      </c>
      <c r="I7327" t="inlineStr">
        <is>
          <t>entidad-dia</t>
        </is>
      </c>
    </row>
    <row r="7328">
      <c r="A7328" t="inlineStr">
        <is>
          <t>PRAGMA</t>
        </is>
      </c>
      <c r="B7328" t="inlineStr">
        <is>
          <t>M2</t>
        </is>
      </c>
      <c r="C7328" t="inlineStr">
        <is>
          <t>Cali</t>
        </is>
      </c>
      <c r="D7328" t="inlineStr">
        <is>
          <t>6913</t>
        </is>
      </c>
      <c r="E7328" t="inlineStr">
        <is>
          <t>pagado</t>
        </is>
      </c>
      <c r="F7328" s="23" t="n">
        <v>46276</v>
      </c>
      <c r="G7328" s="24">
        <f>F7328-DATE(2026,8,31)</f>
        <v>11</v>
      </c>
      <c r="H7328" s="25" t="n">
        <v>53497536</v>
      </c>
      <c r="I7328" t="inlineStr">
        <is>
          <t>entidad-dia</t>
        </is>
      </c>
    </row>
    <row r="7329">
      <c r="A7329" t="inlineStr">
        <is>
          <t>PRAGMA</t>
        </is>
      </c>
      <c r="B7329" t="inlineStr">
        <is>
          <t>M2</t>
        </is>
      </c>
      <c r="C7329" t="inlineStr">
        <is>
          <t>Cali</t>
        </is>
      </c>
      <c r="D7329" t="inlineStr">
        <is>
          <t>6913</t>
        </is>
      </c>
      <c r="E7329" t="inlineStr">
        <is>
          <t>cash_in</t>
        </is>
      </c>
      <c r="F7329" s="23" t="n">
        <v>46276</v>
      </c>
      <c r="G7329" s="24">
        <f>F7329-DATE(2026,8,31)</f>
        <v>11</v>
      </c>
      <c r="H7329" s="25" t="n">
        <v>228708389</v>
      </c>
      <c r="I7329" t="inlineStr">
        <is>
          <t>entidad-dia</t>
        </is>
      </c>
    </row>
    <row r="7330">
      <c r="A7330" t="inlineStr">
        <is>
          <t>PRAGMA</t>
        </is>
      </c>
      <c r="B7330" t="inlineStr">
        <is>
          <t>M2</t>
        </is>
      </c>
      <c r="C7330" t="inlineStr">
        <is>
          <t>Cali</t>
        </is>
      </c>
      <c r="D7330" t="inlineStr">
        <is>
          <t>6913</t>
        </is>
      </c>
      <c r="E7330" t="inlineStr">
        <is>
          <t>pagado</t>
        </is>
      </c>
      <c r="F7330" s="23" t="n">
        <v>46277</v>
      </c>
      <c r="G7330" s="24">
        <f>F7330-DATE(2026,8,31)</f>
        <v>12</v>
      </c>
      <c r="H7330" s="25" t="n">
        <v>55498946</v>
      </c>
      <c r="I7330" t="inlineStr">
        <is>
          <t>entidad-dia</t>
        </is>
      </c>
    </row>
    <row r="7331">
      <c r="A7331" t="inlineStr">
        <is>
          <t>PRAGMA</t>
        </is>
      </c>
      <c r="B7331" t="inlineStr">
        <is>
          <t>M2</t>
        </is>
      </c>
      <c r="C7331" t="inlineStr">
        <is>
          <t>Cali</t>
        </is>
      </c>
      <c r="D7331" t="inlineStr">
        <is>
          <t>6913</t>
        </is>
      </c>
      <c r="E7331" t="inlineStr">
        <is>
          <t>cash_in</t>
        </is>
      </c>
      <c r="F7331" s="23" t="n">
        <v>46277</v>
      </c>
      <c r="G7331" s="24">
        <f>F7331-DATE(2026,8,31)</f>
        <v>12</v>
      </c>
      <c r="H7331" s="25" t="n">
        <v>222488787</v>
      </c>
      <c r="I7331" t="inlineStr">
        <is>
          <t>entidad-dia</t>
        </is>
      </c>
    </row>
    <row r="7332">
      <c r="A7332" t="inlineStr">
        <is>
          <t>PRAGMA</t>
        </is>
      </c>
      <c r="B7332" t="inlineStr">
        <is>
          <t>M2</t>
        </is>
      </c>
      <c r="C7332" t="inlineStr">
        <is>
          <t>Cali</t>
        </is>
      </c>
      <c r="D7332" t="inlineStr">
        <is>
          <t>6913</t>
        </is>
      </c>
      <c r="E7332" t="inlineStr">
        <is>
          <t>pagado</t>
        </is>
      </c>
      <c r="F7332" s="23" t="n">
        <v>46278</v>
      </c>
      <c r="G7332" s="24">
        <f>F7332-DATE(2026,8,31)</f>
        <v>13</v>
      </c>
      <c r="H7332" s="25" t="n">
        <v>30691624</v>
      </c>
      <c r="I7332" t="inlineStr">
        <is>
          <t>entidad-dia</t>
        </is>
      </c>
    </row>
    <row r="7333">
      <c r="A7333" t="inlineStr">
        <is>
          <t>PRAGMA</t>
        </is>
      </c>
      <c r="B7333" t="inlineStr">
        <is>
          <t>M2</t>
        </is>
      </c>
      <c r="C7333" t="inlineStr">
        <is>
          <t>Cali</t>
        </is>
      </c>
      <c r="D7333" t="inlineStr">
        <is>
          <t>6913</t>
        </is>
      </c>
      <c r="E7333" t="inlineStr">
        <is>
          <t>cash_in</t>
        </is>
      </c>
      <c r="F7333" s="23" t="n">
        <v>46278</v>
      </c>
      <c r="G7333" s="24">
        <f>F7333-DATE(2026,8,31)</f>
        <v>13</v>
      </c>
      <c r="H7333" s="25" t="n">
        <v>149134458</v>
      </c>
      <c r="I7333" t="inlineStr">
        <is>
          <t>entidad-dia</t>
        </is>
      </c>
    </row>
    <row r="7334">
      <c r="A7334" t="inlineStr">
        <is>
          <t>PRAGMA</t>
        </is>
      </c>
      <c r="B7334" t="inlineStr">
        <is>
          <t>M2</t>
        </is>
      </c>
      <c r="C7334" t="inlineStr">
        <is>
          <t>Cali</t>
        </is>
      </c>
      <c r="D7334" t="inlineStr">
        <is>
          <t>6913</t>
        </is>
      </c>
      <c r="E7334" t="inlineStr">
        <is>
          <t>pagado</t>
        </is>
      </c>
      <c r="F7334" s="23" t="n">
        <v>46279</v>
      </c>
      <c r="G7334" s="24">
        <f>F7334-DATE(2026,8,31)</f>
        <v>14</v>
      </c>
      <c r="H7334" s="25" t="n">
        <v>51440670</v>
      </c>
      <c r="I7334" t="inlineStr">
        <is>
          <t>entidad-dia</t>
        </is>
      </c>
    </row>
    <row r="7335">
      <c r="A7335" t="inlineStr">
        <is>
          <t>PRAGMA</t>
        </is>
      </c>
      <c r="B7335" t="inlineStr">
        <is>
          <t>M2</t>
        </is>
      </c>
      <c r="C7335" t="inlineStr">
        <is>
          <t>Cali</t>
        </is>
      </c>
      <c r="D7335" t="inlineStr">
        <is>
          <t>6913</t>
        </is>
      </c>
      <c r="E7335" t="inlineStr">
        <is>
          <t>cash_in</t>
        </is>
      </c>
      <c r="F7335" s="23" t="n">
        <v>46279</v>
      </c>
      <c r="G7335" s="24">
        <f>F7335-DATE(2026,8,31)</f>
        <v>14</v>
      </c>
      <c r="H7335" s="25" t="n">
        <v>241426820</v>
      </c>
      <c r="I7335" t="inlineStr">
        <is>
          <t>entidad-dia</t>
        </is>
      </c>
    </row>
    <row r="7336">
      <c r="A7336" t="inlineStr">
        <is>
          <t>PRAGMA</t>
        </is>
      </c>
      <c r="B7336" t="inlineStr">
        <is>
          <t>M2</t>
        </is>
      </c>
      <c r="C7336" t="inlineStr">
        <is>
          <t>Cali</t>
        </is>
      </c>
      <c r="D7336" t="inlineStr">
        <is>
          <t>6913</t>
        </is>
      </c>
      <c r="E7336" t="inlineStr">
        <is>
          <t>pagado</t>
        </is>
      </c>
      <c r="F7336" s="23" t="n">
        <v>46280</v>
      </c>
      <c r="G7336" s="24">
        <f>F7336-DATE(2026,8,31)</f>
        <v>15</v>
      </c>
      <c r="H7336" s="25" t="n">
        <v>68327987</v>
      </c>
      <c r="I7336" t="inlineStr">
        <is>
          <t>entidad-dia</t>
        </is>
      </c>
    </row>
    <row r="7337">
      <c r="A7337" t="inlineStr">
        <is>
          <t>PRAGMA</t>
        </is>
      </c>
      <c r="B7337" t="inlineStr">
        <is>
          <t>M2</t>
        </is>
      </c>
      <c r="C7337" t="inlineStr">
        <is>
          <t>Cali</t>
        </is>
      </c>
      <c r="D7337" t="inlineStr">
        <is>
          <t>6913</t>
        </is>
      </c>
      <c r="E7337" t="inlineStr">
        <is>
          <t>cash_in</t>
        </is>
      </c>
      <c r="F7337" s="23" t="n">
        <v>46280</v>
      </c>
      <c r="G7337" s="24">
        <f>F7337-DATE(2026,8,31)</f>
        <v>15</v>
      </c>
      <c r="H7337" s="25" t="n">
        <v>236378493</v>
      </c>
      <c r="I7337" t="inlineStr">
        <is>
          <t>entidad-dia</t>
        </is>
      </c>
    </row>
    <row r="7338">
      <c r="A7338" t="inlineStr">
        <is>
          <t>PRAGMA</t>
        </is>
      </c>
      <c r="B7338" t="inlineStr">
        <is>
          <t>M2</t>
        </is>
      </c>
      <c r="C7338" t="inlineStr">
        <is>
          <t>Cali</t>
        </is>
      </c>
      <c r="D7338" t="inlineStr">
        <is>
          <t>7330</t>
        </is>
      </c>
      <c r="E7338" t="inlineStr">
        <is>
          <t>pagado</t>
        </is>
      </c>
      <c r="F7338" s="23" t="n">
        <v>46266</v>
      </c>
      <c r="G7338" s="24">
        <f>F7338-DATE(2026,8,31)</f>
        <v>1</v>
      </c>
      <c r="H7338" s="25" t="n">
        <v>85109743</v>
      </c>
      <c r="I7338" t="inlineStr">
        <is>
          <t>entidad-dia</t>
        </is>
      </c>
    </row>
    <row r="7339">
      <c r="A7339" t="inlineStr">
        <is>
          <t>PRAGMA</t>
        </is>
      </c>
      <c r="B7339" t="inlineStr">
        <is>
          <t>M2</t>
        </is>
      </c>
      <c r="C7339" t="inlineStr">
        <is>
          <t>Cali</t>
        </is>
      </c>
      <c r="D7339" t="inlineStr">
        <is>
          <t>7330</t>
        </is>
      </c>
      <c r="E7339" t="inlineStr">
        <is>
          <t>cash_in</t>
        </is>
      </c>
      <c r="F7339" s="23" t="n">
        <v>46266</v>
      </c>
      <c r="G7339" s="24">
        <f>F7339-DATE(2026,8,31)</f>
        <v>1</v>
      </c>
      <c r="H7339" s="25" t="n">
        <v>137557122</v>
      </c>
      <c r="I7339" t="inlineStr">
        <is>
          <t>entidad-dia</t>
        </is>
      </c>
    </row>
    <row r="7340">
      <c r="A7340" t="inlineStr">
        <is>
          <t>PRAGMA</t>
        </is>
      </c>
      <c r="B7340" t="inlineStr">
        <is>
          <t>M2</t>
        </is>
      </c>
      <c r="C7340" t="inlineStr">
        <is>
          <t>Cali</t>
        </is>
      </c>
      <c r="D7340" t="inlineStr">
        <is>
          <t>7330</t>
        </is>
      </c>
      <c r="E7340" t="inlineStr">
        <is>
          <t>pagado</t>
        </is>
      </c>
      <c r="F7340" s="23" t="n">
        <v>46267</v>
      </c>
      <c r="G7340" s="24">
        <f>F7340-DATE(2026,8,31)</f>
        <v>2</v>
      </c>
      <c r="H7340" s="25" t="n">
        <v>71102715</v>
      </c>
      <c r="I7340" t="inlineStr">
        <is>
          <t>entidad-dia</t>
        </is>
      </c>
    </row>
    <row r="7341">
      <c r="A7341" t="inlineStr">
        <is>
          <t>PRAGMA</t>
        </is>
      </c>
      <c r="B7341" t="inlineStr">
        <is>
          <t>M2</t>
        </is>
      </c>
      <c r="C7341" t="inlineStr">
        <is>
          <t>Cali</t>
        </is>
      </c>
      <c r="D7341" t="inlineStr">
        <is>
          <t>7330</t>
        </is>
      </c>
      <c r="E7341" t="inlineStr">
        <is>
          <t>cash_in</t>
        </is>
      </c>
      <c r="F7341" s="23" t="n">
        <v>46267</v>
      </c>
      <c r="G7341" s="24">
        <f>F7341-DATE(2026,8,31)</f>
        <v>2</v>
      </c>
      <c r="H7341" s="25" t="n">
        <v>119519580</v>
      </c>
      <c r="I7341" t="inlineStr">
        <is>
          <t>entidad-dia</t>
        </is>
      </c>
    </row>
    <row r="7342">
      <c r="A7342" t="inlineStr">
        <is>
          <t>PRAGMA</t>
        </is>
      </c>
      <c r="B7342" t="inlineStr">
        <is>
          <t>M2</t>
        </is>
      </c>
      <c r="C7342" t="inlineStr">
        <is>
          <t>Cali</t>
        </is>
      </c>
      <c r="D7342" t="inlineStr">
        <is>
          <t>7330</t>
        </is>
      </c>
      <c r="E7342" t="inlineStr">
        <is>
          <t>pagado</t>
        </is>
      </c>
      <c r="F7342" s="23" t="n">
        <v>46268</v>
      </c>
      <c r="G7342" s="24">
        <f>F7342-DATE(2026,8,31)</f>
        <v>3</v>
      </c>
      <c r="H7342" s="25" t="n">
        <v>67678568</v>
      </c>
      <c r="I7342" t="inlineStr">
        <is>
          <t>entidad-dia</t>
        </is>
      </c>
    </row>
    <row r="7343">
      <c r="A7343" t="inlineStr">
        <is>
          <t>PRAGMA</t>
        </is>
      </c>
      <c r="B7343" t="inlineStr">
        <is>
          <t>M2</t>
        </is>
      </c>
      <c r="C7343" t="inlineStr">
        <is>
          <t>Cali</t>
        </is>
      </c>
      <c r="D7343" t="inlineStr">
        <is>
          <t>7330</t>
        </is>
      </c>
      <c r="E7343" t="inlineStr">
        <is>
          <t>cash_in</t>
        </is>
      </c>
      <c r="F7343" s="23" t="n">
        <v>46268</v>
      </c>
      <c r="G7343" s="24">
        <f>F7343-DATE(2026,8,31)</f>
        <v>3</v>
      </c>
      <c r="H7343" s="25" t="n">
        <v>123383335</v>
      </c>
      <c r="I7343" t="inlineStr">
        <is>
          <t>entidad-dia</t>
        </is>
      </c>
    </row>
    <row r="7344">
      <c r="A7344" t="inlineStr">
        <is>
          <t>PRAGMA</t>
        </is>
      </c>
      <c r="B7344" t="inlineStr">
        <is>
          <t>M2</t>
        </is>
      </c>
      <c r="C7344" t="inlineStr">
        <is>
          <t>Cali</t>
        </is>
      </c>
      <c r="D7344" t="inlineStr">
        <is>
          <t>7330</t>
        </is>
      </c>
      <c r="E7344" t="inlineStr">
        <is>
          <t>pagado</t>
        </is>
      </c>
      <c r="F7344" s="23" t="n">
        <v>46269</v>
      </c>
      <c r="G7344" s="24">
        <f>F7344-DATE(2026,8,31)</f>
        <v>4</v>
      </c>
      <c r="H7344" s="25" t="n">
        <v>65730314</v>
      </c>
      <c r="I7344" t="inlineStr">
        <is>
          <t>entidad-dia</t>
        </is>
      </c>
    </row>
    <row r="7345">
      <c r="A7345" t="inlineStr">
        <is>
          <t>PRAGMA</t>
        </is>
      </c>
      <c r="B7345" t="inlineStr">
        <is>
          <t>M2</t>
        </is>
      </c>
      <c r="C7345" t="inlineStr">
        <is>
          <t>Cali</t>
        </is>
      </c>
      <c r="D7345" t="inlineStr">
        <is>
          <t>7330</t>
        </is>
      </c>
      <c r="E7345" t="inlineStr">
        <is>
          <t>cash_in</t>
        </is>
      </c>
      <c r="F7345" s="23" t="n">
        <v>46269</v>
      </c>
      <c r="G7345" s="24">
        <f>F7345-DATE(2026,8,31)</f>
        <v>4</v>
      </c>
      <c r="H7345" s="25" t="n">
        <v>127058497</v>
      </c>
      <c r="I7345" t="inlineStr">
        <is>
          <t>entidad-dia</t>
        </is>
      </c>
    </row>
    <row r="7346">
      <c r="A7346" t="inlineStr">
        <is>
          <t>PRAGMA</t>
        </is>
      </c>
      <c r="B7346" t="inlineStr">
        <is>
          <t>M2</t>
        </is>
      </c>
      <c r="C7346" t="inlineStr">
        <is>
          <t>Cali</t>
        </is>
      </c>
      <c r="D7346" t="inlineStr">
        <is>
          <t>7330</t>
        </is>
      </c>
      <c r="E7346" t="inlineStr">
        <is>
          <t>pagado</t>
        </is>
      </c>
      <c r="F7346" s="23" t="n">
        <v>46270</v>
      </c>
      <c r="G7346" s="24">
        <f>F7346-DATE(2026,8,31)</f>
        <v>5</v>
      </c>
      <c r="H7346" s="25" t="n">
        <v>61250699</v>
      </c>
      <c r="I7346" t="inlineStr">
        <is>
          <t>entidad-dia</t>
        </is>
      </c>
    </row>
    <row r="7347">
      <c r="A7347" t="inlineStr">
        <is>
          <t>PRAGMA</t>
        </is>
      </c>
      <c r="B7347" t="inlineStr">
        <is>
          <t>M2</t>
        </is>
      </c>
      <c r="C7347" t="inlineStr">
        <is>
          <t>Cali</t>
        </is>
      </c>
      <c r="D7347" t="inlineStr">
        <is>
          <t>7330</t>
        </is>
      </c>
      <c r="E7347" t="inlineStr">
        <is>
          <t>cash_in</t>
        </is>
      </c>
      <c r="F7347" s="23" t="n">
        <v>46270</v>
      </c>
      <c r="G7347" s="24">
        <f>F7347-DATE(2026,8,31)</f>
        <v>5</v>
      </c>
      <c r="H7347" s="25" t="n">
        <v>111267079</v>
      </c>
      <c r="I7347" t="inlineStr">
        <is>
          <t>entidad-dia</t>
        </is>
      </c>
    </row>
    <row r="7348">
      <c r="A7348" t="inlineStr">
        <is>
          <t>PRAGMA</t>
        </is>
      </c>
      <c r="B7348" t="inlineStr">
        <is>
          <t>M2</t>
        </is>
      </c>
      <c r="C7348" t="inlineStr">
        <is>
          <t>Cali</t>
        </is>
      </c>
      <c r="D7348" t="inlineStr">
        <is>
          <t>7330</t>
        </is>
      </c>
      <c r="E7348" t="inlineStr">
        <is>
          <t>pagado</t>
        </is>
      </c>
      <c r="F7348" s="23" t="n">
        <v>46271</v>
      </c>
      <c r="G7348" s="24">
        <f>F7348-DATE(2026,8,31)</f>
        <v>6</v>
      </c>
      <c r="H7348" s="25" t="n">
        <v>20221960</v>
      </c>
      <c r="I7348" t="inlineStr">
        <is>
          <t>entidad-dia</t>
        </is>
      </c>
    </row>
    <row r="7349">
      <c r="A7349" t="inlineStr">
        <is>
          <t>PRAGMA</t>
        </is>
      </c>
      <c r="B7349" t="inlineStr">
        <is>
          <t>M2</t>
        </is>
      </c>
      <c r="C7349" t="inlineStr">
        <is>
          <t>Cali</t>
        </is>
      </c>
      <c r="D7349" t="inlineStr">
        <is>
          <t>7330</t>
        </is>
      </c>
      <c r="E7349" t="inlineStr">
        <is>
          <t>cash_in</t>
        </is>
      </c>
      <c r="F7349" s="23" t="n">
        <v>46271</v>
      </c>
      <c r="G7349" s="24">
        <f>F7349-DATE(2026,8,31)</f>
        <v>6</v>
      </c>
      <c r="H7349" s="25" t="n">
        <v>36622988</v>
      </c>
      <c r="I7349" t="inlineStr">
        <is>
          <t>entidad-dia</t>
        </is>
      </c>
    </row>
    <row r="7350">
      <c r="A7350" t="inlineStr">
        <is>
          <t>PRAGMA</t>
        </is>
      </c>
      <c r="B7350" t="inlineStr">
        <is>
          <t>M2</t>
        </is>
      </c>
      <c r="C7350" t="inlineStr">
        <is>
          <t>Cali</t>
        </is>
      </c>
      <c r="D7350" t="inlineStr">
        <is>
          <t>7330</t>
        </is>
      </c>
      <c r="E7350" t="inlineStr">
        <is>
          <t>pagado</t>
        </is>
      </c>
      <c r="F7350" s="23" t="n">
        <v>46272</v>
      </c>
      <c r="G7350" s="24">
        <f>F7350-DATE(2026,8,31)</f>
        <v>7</v>
      </c>
      <c r="H7350" s="25" t="n">
        <v>54257998</v>
      </c>
      <c r="I7350" t="inlineStr">
        <is>
          <t>entidad-dia</t>
        </is>
      </c>
    </row>
    <row r="7351">
      <c r="A7351" t="inlineStr">
        <is>
          <t>PRAGMA</t>
        </is>
      </c>
      <c r="B7351" t="inlineStr">
        <is>
          <t>M2</t>
        </is>
      </c>
      <c r="C7351" t="inlineStr">
        <is>
          <t>Cali</t>
        </is>
      </c>
      <c r="D7351" t="inlineStr">
        <is>
          <t>7330</t>
        </is>
      </c>
      <c r="E7351" t="inlineStr">
        <is>
          <t>cash_in</t>
        </is>
      </c>
      <c r="F7351" s="23" t="n">
        <v>46272</v>
      </c>
      <c r="G7351" s="24">
        <f>F7351-DATE(2026,8,31)</f>
        <v>7</v>
      </c>
      <c r="H7351" s="25" t="n">
        <v>141396084</v>
      </c>
      <c r="I7351" t="inlineStr">
        <is>
          <t>entidad-dia</t>
        </is>
      </c>
    </row>
    <row r="7352">
      <c r="A7352" t="inlineStr">
        <is>
          <t>PRAGMA</t>
        </is>
      </c>
      <c r="B7352" t="inlineStr">
        <is>
          <t>M2</t>
        </is>
      </c>
      <c r="C7352" t="inlineStr">
        <is>
          <t>Cali</t>
        </is>
      </c>
      <c r="D7352" t="inlineStr">
        <is>
          <t>7330</t>
        </is>
      </c>
      <c r="E7352" t="inlineStr">
        <is>
          <t>pagado</t>
        </is>
      </c>
      <c r="F7352" s="23" t="n">
        <v>46273</v>
      </c>
      <c r="G7352" s="24">
        <f>F7352-DATE(2026,8,31)</f>
        <v>8</v>
      </c>
      <c r="H7352" s="25" t="n">
        <v>58385054</v>
      </c>
      <c r="I7352" t="inlineStr">
        <is>
          <t>entidad-dia</t>
        </is>
      </c>
    </row>
    <row r="7353">
      <c r="A7353" t="inlineStr">
        <is>
          <t>PRAGMA</t>
        </is>
      </c>
      <c r="B7353" t="inlineStr">
        <is>
          <t>M2</t>
        </is>
      </c>
      <c r="C7353" t="inlineStr">
        <is>
          <t>Cali</t>
        </is>
      </c>
      <c r="D7353" t="inlineStr">
        <is>
          <t>7330</t>
        </is>
      </c>
      <c r="E7353" t="inlineStr">
        <is>
          <t>cash_in</t>
        </is>
      </c>
      <c r="F7353" s="23" t="n">
        <v>46273</v>
      </c>
      <c r="G7353" s="24">
        <f>F7353-DATE(2026,8,31)</f>
        <v>8</v>
      </c>
      <c r="H7353" s="25" t="n">
        <v>134385534</v>
      </c>
      <c r="I7353" t="inlineStr">
        <is>
          <t>entidad-dia</t>
        </is>
      </c>
    </row>
    <row r="7354">
      <c r="A7354" t="inlineStr">
        <is>
          <t>PRAGMA</t>
        </is>
      </c>
      <c r="B7354" t="inlineStr">
        <is>
          <t>M2</t>
        </is>
      </c>
      <c r="C7354" t="inlineStr">
        <is>
          <t>Cali</t>
        </is>
      </c>
      <c r="D7354" t="inlineStr">
        <is>
          <t>7330</t>
        </is>
      </c>
      <c r="E7354" t="inlineStr">
        <is>
          <t>pagado</t>
        </is>
      </c>
      <c r="F7354" s="23" t="n">
        <v>46274</v>
      </c>
      <c r="G7354" s="24">
        <f>F7354-DATE(2026,8,31)</f>
        <v>9</v>
      </c>
      <c r="H7354" s="25" t="n">
        <v>54751255</v>
      </c>
      <c r="I7354" t="inlineStr">
        <is>
          <t>entidad-dia</t>
        </is>
      </c>
    </row>
    <row r="7355">
      <c r="A7355" t="inlineStr">
        <is>
          <t>PRAGMA</t>
        </is>
      </c>
      <c r="B7355" t="inlineStr">
        <is>
          <t>M2</t>
        </is>
      </c>
      <c r="C7355" t="inlineStr">
        <is>
          <t>Cali</t>
        </is>
      </c>
      <c r="D7355" t="inlineStr">
        <is>
          <t>7330</t>
        </is>
      </c>
      <c r="E7355" t="inlineStr">
        <is>
          <t>cash_in</t>
        </is>
      </c>
      <c r="F7355" s="23" t="n">
        <v>46274</v>
      </c>
      <c r="G7355" s="24">
        <f>F7355-DATE(2026,8,31)</f>
        <v>9</v>
      </c>
      <c r="H7355" s="25" t="n">
        <v>119781022</v>
      </c>
      <c r="I7355" t="inlineStr">
        <is>
          <t>entidad-dia</t>
        </is>
      </c>
    </row>
    <row r="7356">
      <c r="A7356" t="inlineStr">
        <is>
          <t>PRAGMA</t>
        </is>
      </c>
      <c r="B7356" t="inlineStr">
        <is>
          <t>M2</t>
        </is>
      </c>
      <c r="C7356" t="inlineStr">
        <is>
          <t>Cali</t>
        </is>
      </c>
      <c r="D7356" t="inlineStr">
        <is>
          <t>7330</t>
        </is>
      </c>
      <c r="E7356" t="inlineStr">
        <is>
          <t>pagado</t>
        </is>
      </c>
      <c r="F7356" s="23" t="n">
        <v>46275</v>
      </c>
      <c r="G7356" s="24">
        <f>F7356-DATE(2026,8,31)</f>
        <v>10</v>
      </c>
      <c r="H7356" s="25" t="n">
        <v>54085567</v>
      </c>
      <c r="I7356" t="inlineStr">
        <is>
          <t>entidad-dia</t>
        </is>
      </c>
    </row>
    <row r="7357">
      <c r="A7357" t="inlineStr">
        <is>
          <t>PRAGMA</t>
        </is>
      </c>
      <c r="B7357" t="inlineStr">
        <is>
          <t>M2</t>
        </is>
      </c>
      <c r="C7357" t="inlineStr">
        <is>
          <t>Cali</t>
        </is>
      </c>
      <c r="D7357" t="inlineStr">
        <is>
          <t>7330</t>
        </is>
      </c>
      <c r="E7357" t="inlineStr">
        <is>
          <t>cash_in</t>
        </is>
      </c>
      <c r="F7357" s="23" t="n">
        <v>46275</v>
      </c>
      <c r="G7357" s="24">
        <f>F7357-DATE(2026,8,31)</f>
        <v>10</v>
      </c>
      <c r="H7357" s="25" t="n">
        <v>121473626</v>
      </c>
      <c r="I7357" t="inlineStr">
        <is>
          <t>entidad-dia</t>
        </is>
      </c>
    </row>
    <row r="7358">
      <c r="A7358" t="inlineStr">
        <is>
          <t>PRAGMA</t>
        </is>
      </c>
      <c r="B7358" t="inlineStr">
        <is>
          <t>M2</t>
        </is>
      </c>
      <c r="C7358" t="inlineStr">
        <is>
          <t>Cali</t>
        </is>
      </c>
      <c r="D7358" t="inlineStr">
        <is>
          <t>7330</t>
        </is>
      </c>
      <c r="E7358" t="inlineStr">
        <is>
          <t>pagado</t>
        </is>
      </c>
      <c r="F7358" s="23" t="n">
        <v>46276</v>
      </c>
      <c r="G7358" s="24">
        <f>F7358-DATE(2026,8,31)</f>
        <v>11</v>
      </c>
      <c r="H7358" s="25" t="n">
        <v>57439498</v>
      </c>
      <c r="I7358" t="inlineStr">
        <is>
          <t>entidad-dia</t>
        </is>
      </c>
    </row>
    <row r="7359">
      <c r="A7359" t="inlineStr">
        <is>
          <t>PRAGMA</t>
        </is>
      </c>
      <c r="B7359" t="inlineStr">
        <is>
          <t>M2</t>
        </is>
      </c>
      <c r="C7359" t="inlineStr">
        <is>
          <t>Cali</t>
        </is>
      </c>
      <c r="D7359" t="inlineStr">
        <is>
          <t>7330</t>
        </is>
      </c>
      <c r="E7359" t="inlineStr">
        <is>
          <t>cash_in</t>
        </is>
      </c>
      <c r="F7359" s="23" t="n">
        <v>46276</v>
      </c>
      <c r="G7359" s="24">
        <f>F7359-DATE(2026,8,31)</f>
        <v>11</v>
      </c>
      <c r="H7359" s="25" t="n">
        <v>124000178</v>
      </c>
      <c r="I7359" t="inlineStr">
        <is>
          <t>entidad-dia</t>
        </is>
      </c>
    </row>
    <row r="7360">
      <c r="A7360" t="inlineStr">
        <is>
          <t>PRAGMA</t>
        </is>
      </c>
      <c r="B7360" t="inlineStr">
        <is>
          <t>M2</t>
        </is>
      </c>
      <c r="C7360" t="inlineStr">
        <is>
          <t>Cali</t>
        </is>
      </c>
      <c r="D7360" t="inlineStr">
        <is>
          <t>7330</t>
        </is>
      </c>
      <c r="E7360" t="inlineStr">
        <is>
          <t>pagado</t>
        </is>
      </c>
      <c r="F7360" s="23" t="n">
        <v>46277</v>
      </c>
      <c r="G7360" s="24">
        <f>F7360-DATE(2026,8,31)</f>
        <v>12</v>
      </c>
      <c r="H7360" s="25" t="n">
        <v>53230932</v>
      </c>
      <c r="I7360" t="inlineStr">
        <is>
          <t>entidad-dia</t>
        </is>
      </c>
    </row>
    <row r="7361">
      <c r="A7361" t="inlineStr">
        <is>
          <t>PRAGMA</t>
        </is>
      </c>
      <c r="B7361" t="inlineStr">
        <is>
          <t>M2</t>
        </is>
      </c>
      <c r="C7361" t="inlineStr">
        <is>
          <t>Cali</t>
        </is>
      </c>
      <c r="D7361" t="inlineStr">
        <is>
          <t>7330</t>
        </is>
      </c>
      <c r="E7361" t="inlineStr">
        <is>
          <t>cash_in</t>
        </is>
      </c>
      <c r="F7361" s="23" t="n">
        <v>46277</v>
      </c>
      <c r="G7361" s="24">
        <f>F7361-DATE(2026,8,31)</f>
        <v>12</v>
      </c>
      <c r="H7361" s="25" t="n">
        <v>105902011</v>
      </c>
      <c r="I7361" t="inlineStr">
        <is>
          <t>entidad-dia</t>
        </is>
      </c>
    </row>
    <row r="7362">
      <c r="A7362" t="inlineStr">
        <is>
          <t>PRAGMA</t>
        </is>
      </c>
      <c r="B7362" t="inlineStr">
        <is>
          <t>M2</t>
        </is>
      </c>
      <c r="C7362" t="inlineStr">
        <is>
          <t>Cali</t>
        </is>
      </c>
      <c r="D7362" t="inlineStr">
        <is>
          <t>7330</t>
        </is>
      </c>
      <c r="E7362" t="inlineStr">
        <is>
          <t>pagado</t>
        </is>
      </c>
      <c r="F7362" s="23" t="n">
        <v>46278</v>
      </c>
      <c r="G7362" s="24">
        <f>F7362-DATE(2026,8,31)</f>
        <v>13</v>
      </c>
      <c r="H7362" s="25" t="n">
        <v>17363772</v>
      </c>
      <c r="I7362" t="inlineStr">
        <is>
          <t>entidad-dia</t>
        </is>
      </c>
    </row>
    <row r="7363">
      <c r="A7363" t="inlineStr">
        <is>
          <t>PRAGMA</t>
        </is>
      </c>
      <c r="B7363" t="inlineStr">
        <is>
          <t>M2</t>
        </is>
      </c>
      <c r="C7363" t="inlineStr">
        <is>
          <t>Cali</t>
        </is>
      </c>
      <c r="D7363" t="inlineStr">
        <is>
          <t>7330</t>
        </is>
      </c>
      <c r="E7363" t="inlineStr">
        <is>
          <t>cash_in</t>
        </is>
      </c>
      <c r="F7363" s="23" t="n">
        <v>46278</v>
      </c>
      <c r="G7363" s="24">
        <f>F7363-DATE(2026,8,31)</f>
        <v>13</v>
      </c>
      <c r="H7363" s="25" t="n">
        <v>33949602</v>
      </c>
      <c r="I7363" t="inlineStr">
        <is>
          <t>entidad-dia</t>
        </is>
      </c>
    </row>
    <row r="7364">
      <c r="A7364" t="inlineStr">
        <is>
          <t>PRAGMA</t>
        </is>
      </c>
      <c r="B7364" t="inlineStr">
        <is>
          <t>M2</t>
        </is>
      </c>
      <c r="C7364" t="inlineStr">
        <is>
          <t>Cali</t>
        </is>
      </c>
      <c r="D7364" t="inlineStr">
        <is>
          <t>7330</t>
        </is>
      </c>
      <c r="E7364" t="inlineStr">
        <is>
          <t>pagado</t>
        </is>
      </c>
      <c r="F7364" s="23" t="n">
        <v>46279</v>
      </c>
      <c r="G7364" s="24">
        <f>F7364-DATE(2026,8,31)</f>
        <v>14</v>
      </c>
      <c r="H7364" s="25" t="n">
        <v>52071125</v>
      </c>
      <c r="I7364" t="inlineStr">
        <is>
          <t>entidad-dia</t>
        </is>
      </c>
    </row>
    <row r="7365">
      <c r="A7365" t="inlineStr">
        <is>
          <t>PRAGMA</t>
        </is>
      </c>
      <c r="B7365" t="inlineStr">
        <is>
          <t>M2</t>
        </is>
      </c>
      <c r="C7365" t="inlineStr">
        <is>
          <t>Cali</t>
        </is>
      </c>
      <c r="D7365" t="inlineStr">
        <is>
          <t>7330</t>
        </is>
      </c>
      <c r="E7365" t="inlineStr">
        <is>
          <t>cash_in</t>
        </is>
      </c>
      <c r="F7365" s="23" t="n">
        <v>46279</v>
      </c>
      <c r="G7365" s="24">
        <f>F7365-DATE(2026,8,31)</f>
        <v>14</v>
      </c>
      <c r="H7365" s="25" t="n">
        <v>128903192</v>
      </c>
      <c r="I7365" t="inlineStr">
        <is>
          <t>entidad-dia</t>
        </is>
      </c>
    </row>
    <row r="7366">
      <c r="A7366" t="inlineStr">
        <is>
          <t>PRAGMA</t>
        </is>
      </c>
      <c r="B7366" t="inlineStr">
        <is>
          <t>M2</t>
        </is>
      </c>
      <c r="C7366" t="inlineStr">
        <is>
          <t>Cali</t>
        </is>
      </c>
      <c r="D7366" t="inlineStr">
        <is>
          <t>7330</t>
        </is>
      </c>
      <c r="E7366" t="inlineStr">
        <is>
          <t>pagado</t>
        </is>
      </c>
      <c r="F7366" s="23" t="n">
        <v>46280</v>
      </c>
      <c r="G7366" s="24">
        <f>F7366-DATE(2026,8,31)</f>
        <v>15</v>
      </c>
      <c r="H7366" s="25" t="n">
        <v>72055257</v>
      </c>
      <c r="I7366" t="inlineStr">
        <is>
          <t>entidad-dia</t>
        </is>
      </c>
    </row>
    <row r="7367">
      <c r="A7367" t="inlineStr">
        <is>
          <t>PRAGMA</t>
        </is>
      </c>
      <c r="B7367" t="inlineStr">
        <is>
          <t>M2</t>
        </is>
      </c>
      <c r="C7367" t="inlineStr">
        <is>
          <t>Cali</t>
        </is>
      </c>
      <c r="D7367" t="inlineStr">
        <is>
          <t>7330</t>
        </is>
      </c>
      <c r="E7367" t="inlineStr">
        <is>
          <t>cash_in</t>
        </is>
      </c>
      <c r="F7367" s="23" t="n">
        <v>46280</v>
      </c>
      <c r="G7367" s="24">
        <f>F7367-DATE(2026,8,31)</f>
        <v>15</v>
      </c>
      <c r="H7367" s="25" t="n">
        <v>136133754</v>
      </c>
      <c r="I7367" t="inlineStr">
        <is>
          <t>entidad-dia</t>
        </is>
      </c>
    </row>
    <row r="7368">
      <c r="A7368" t="inlineStr">
        <is>
          <t>PRAGMA</t>
        </is>
      </c>
      <c r="B7368" t="inlineStr">
        <is>
          <t>M2</t>
        </is>
      </c>
      <c r="C7368" t="inlineStr">
        <is>
          <t>Cali</t>
        </is>
      </c>
      <c r="D7368" t="inlineStr">
        <is>
          <t>7352</t>
        </is>
      </c>
      <c r="E7368" t="inlineStr">
        <is>
          <t>pagado</t>
        </is>
      </c>
      <c r="F7368" s="23" t="n">
        <v>46266</v>
      </c>
      <c r="G7368" s="24">
        <f>F7368-DATE(2026,8,31)</f>
        <v>1</v>
      </c>
      <c r="H7368" s="25" t="n">
        <v>53225187</v>
      </c>
      <c r="I7368" t="inlineStr">
        <is>
          <t>entidad-dia</t>
        </is>
      </c>
    </row>
    <row r="7369">
      <c r="A7369" t="inlineStr">
        <is>
          <t>PRAGMA</t>
        </is>
      </c>
      <c r="B7369" t="inlineStr">
        <is>
          <t>M2</t>
        </is>
      </c>
      <c r="C7369" t="inlineStr">
        <is>
          <t>Cali</t>
        </is>
      </c>
      <c r="D7369" t="inlineStr">
        <is>
          <t>7352</t>
        </is>
      </c>
      <c r="E7369" t="inlineStr">
        <is>
          <t>cash_in</t>
        </is>
      </c>
      <c r="F7369" s="23" t="n">
        <v>46266</v>
      </c>
      <c r="G7369" s="24">
        <f>F7369-DATE(2026,8,31)</f>
        <v>1</v>
      </c>
      <c r="H7369" s="25" t="n">
        <v>63640706</v>
      </c>
      <c r="I7369" t="inlineStr">
        <is>
          <t>entidad-dia</t>
        </is>
      </c>
    </row>
    <row r="7370">
      <c r="A7370" t="inlineStr">
        <is>
          <t>PRAGMA</t>
        </is>
      </c>
      <c r="B7370" t="inlineStr">
        <is>
          <t>M2</t>
        </is>
      </c>
      <c r="C7370" t="inlineStr">
        <is>
          <t>Cali</t>
        </is>
      </c>
      <c r="D7370" t="inlineStr">
        <is>
          <t>7352</t>
        </is>
      </c>
      <c r="E7370" t="inlineStr">
        <is>
          <t>pagado</t>
        </is>
      </c>
      <c r="F7370" s="23" t="n">
        <v>46267</v>
      </c>
      <c r="G7370" s="24">
        <f>F7370-DATE(2026,8,31)</f>
        <v>2</v>
      </c>
      <c r="H7370" s="25" t="n">
        <v>43296062</v>
      </c>
      <c r="I7370" t="inlineStr">
        <is>
          <t>entidad-dia</t>
        </is>
      </c>
    </row>
    <row r="7371">
      <c r="A7371" t="inlineStr">
        <is>
          <t>PRAGMA</t>
        </is>
      </c>
      <c r="B7371" t="inlineStr">
        <is>
          <t>M2</t>
        </is>
      </c>
      <c r="C7371" t="inlineStr">
        <is>
          <t>Cali</t>
        </is>
      </c>
      <c r="D7371" t="inlineStr">
        <is>
          <t>7352</t>
        </is>
      </c>
      <c r="E7371" t="inlineStr">
        <is>
          <t>cash_in</t>
        </is>
      </c>
      <c r="F7371" s="23" t="n">
        <v>46267</v>
      </c>
      <c r="G7371" s="24">
        <f>F7371-DATE(2026,8,31)</f>
        <v>2</v>
      </c>
      <c r="H7371" s="25" t="n">
        <v>57393706</v>
      </c>
      <c r="I7371" t="inlineStr">
        <is>
          <t>entidad-dia</t>
        </is>
      </c>
    </row>
    <row r="7372">
      <c r="A7372" t="inlineStr">
        <is>
          <t>PRAGMA</t>
        </is>
      </c>
      <c r="B7372" t="inlineStr">
        <is>
          <t>M2</t>
        </is>
      </c>
      <c r="C7372" t="inlineStr">
        <is>
          <t>Cali</t>
        </is>
      </c>
      <c r="D7372" t="inlineStr">
        <is>
          <t>7352</t>
        </is>
      </c>
      <c r="E7372" t="inlineStr">
        <is>
          <t>pagado</t>
        </is>
      </c>
      <c r="F7372" s="23" t="n">
        <v>46268</v>
      </c>
      <c r="G7372" s="24">
        <f>F7372-DATE(2026,8,31)</f>
        <v>3</v>
      </c>
      <c r="H7372" s="25" t="n">
        <v>41451035</v>
      </c>
      <c r="I7372" t="inlineStr">
        <is>
          <t>entidad-dia</t>
        </is>
      </c>
    </row>
    <row r="7373">
      <c r="A7373" t="inlineStr">
        <is>
          <t>PRAGMA</t>
        </is>
      </c>
      <c r="B7373" t="inlineStr">
        <is>
          <t>M2</t>
        </is>
      </c>
      <c r="C7373" t="inlineStr">
        <is>
          <t>Cali</t>
        </is>
      </c>
      <c r="D7373" t="inlineStr">
        <is>
          <t>7352</t>
        </is>
      </c>
      <c r="E7373" t="inlineStr">
        <is>
          <t>cash_in</t>
        </is>
      </c>
      <c r="F7373" s="23" t="n">
        <v>46268</v>
      </c>
      <c r="G7373" s="24">
        <f>F7373-DATE(2026,8,31)</f>
        <v>3</v>
      </c>
      <c r="H7373" s="25" t="n">
        <v>58367077</v>
      </c>
      <c r="I7373" t="inlineStr">
        <is>
          <t>entidad-dia</t>
        </is>
      </c>
    </row>
    <row r="7374">
      <c r="A7374" t="inlineStr">
        <is>
          <t>PRAGMA</t>
        </is>
      </c>
      <c r="B7374" t="inlineStr">
        <is>
          <t>M2</t>
        </is>
      </c>
      <c r="C7374" t="inlineStr">
        <is>
          <t>Cali</t>
        </is>
      </c>
      <c r="D7374" t="inlineStr">
        <is>
          <t>7352</t>
        </is>
      </c>
      <c r="E7374" t="inlineStr">
        <is>
          <t>pagado</t>
        </is>
      </c>
      <c r="F7374" s="23" t="n">
        <v>46269</v>
      </c>
      <c r="G7374" s="24">
        <f>F7374-DATE(2026,8,31)</f>
        <v>4</v>
      </c>
      <c r="H7374" s="25" t="n">
        <v>42286473</v>
      </c>
      <c r="I7374" t="inlineStr">
        <is>
          <t>entidad-dia</t>
        </is>
      </c>
    </row>
    <row r="7375">
      <c r="A7375" t="inlineStr">
        <is>
          <t>PRAGMA</t>
        </is>
      </c>
      <c r="B7375" t="inlineStr">
        <is>
          <t>M2</t>
        </is>
      </c>
      <c r="C7375" t="inlineStr">
        <is>
          <t>Cali</t>
        </is>
      </c>
      <c r="D7375" t="inlineStr">
        <is>
          <t>7352</t>
        </is>
      </c>
      <c r="E7375" t="inlineStr">
        <is>
          <t>cash_in</t>
        </is>
      </c>
      <c r="F7375" s="23" t="n">
        <v>46269</v>
      </c>
      <c r="G7375" s="24">
        <f>F7375-DATE(2026,8,31)</f>
        <v>4</v>
      </c>
      <c r="H7375" s="25" t="n">
        <v>58535871</v>
      </c>
      <c r="I7375" t="inlineStr">
        <is>
          <t>entidad-dia</t>
        </is>
      </c>
    </row>
    <row r="7376">
      <c r="A7376" t="inlineStr">
        <is>
          <t>PRAGMA</t>
        </is>
      </c>
      <c r="B7376" t="inlineStr">
        <is>
          <t>M2</t>
        </is>
      </c>
      <c r="C7376" t="inlineStr">
        <is>
          <t>Cali</t>
        </is>
      </c>
      <c r="D7376" t="inlineStr">
        <is>
          <t>7352</t>
        </is>
      </c>
      <c r="E7376" t="inlineStr">
        <is>
          <t>pagado</t>
        </is>
      </c>
      <c r="F7376" s="23" t="n">
        <v>46270</v>
      </c>
      <c r="G7376" s="24">
        <f>F7376-DATE(2026,8,31)</f>
        <v>5</v>
      </c>
      <c r="H7376" s="25" t="n">
        <v>42546148</v>
      </c>
      <c r="I7376" t="inlineStr">
        <is>
          <t>entidad-dia</t>
        </is>
      </c>
    </row>
    <row r="7377">
      <c r="A7377" t="inlineStr">
        <is>
          <t>PRAGMA</t>
        </is>
      </c>
      <c r="B7377" t="inlineStr">
        <is>
          <t>M2</t>
        </is>
      </c>
      <c r="C7377" t="inlineStr">
        <is>
          <t>Cali</t>
        </is>
      </c>
      <c r="D7377" t="inlineStr">
        <is>
          <t>7352</t>
        </is>
      </c>
      <c r="E7377" t="inlineStr">
        <is>
          <t>cash_in</t>
        </is>
      </c>
      <c r="F7377" s="23" t="n">
        <v>46270</v>
      </c>
      <c r="G7377" s="24">
        <f>F7377-DATE(2026,8,31)</f>
        <v>5</v>
      </c>
      <c r="H7377" s="25" t="n">
        <v>50451219</v>
      </c>
      <c r="I7377" t="inlineStr">
        <is>
          <t>entidad-dia</t>
        </is>
      </c>
    </row>
    <row r="7378">
      <c r="A7378" t="inlineStr">
        <is>
          <t>PRAGMA</t>
        </is>
      </c>
      <c r="B7378" t="inlineStr">
        <is>
          <t>M2</t>
        </is>
      </c>
      <c r="C7378" t="inlineStr">
        <is>
          <t>Cali</t>
        </is>
      </c>
      <c r="D7378" t="inlineStr">
        <is>
          <t>7352</t>
        </is>
      </c>
      <c r="E7378" t="inlineStr">
        <is>
          <t>pagado</t>
        </is>
      </c>
      <c r="F7378" s="23" t="n">
        <v>46271</v>
      </c>
      <c r="G7378" s="24">
        <f>F7378-DATE(2026,8,31)</f>
        <v>6</v>
      </c>
      <c r="H7378" s="25" t="n">
        <v>15291014</v>
      </c>
      <c r="I7378" t="inlineStr">
        <is>
          <t>entidad-dia</t>
        </is>
      </c>
    </row>
    <row r="7379">
      <c r="A7379" t="inlineStr">
        <is>
          <t>PRAGMA</t>
        </is>
      </c>
      <c r="B7379" t="inlineStr">
        <is>
          <t>M2</t>
        </is>
      </c>
      <c r="C7379" t="inlineStr">
        <is>
          <t>Cali</t>
        </is>
      </c>
      <c r="D7379" t="inlineStr">
        <is>
          <t>7352</t>
        </is>
      </c>
      <c r="E7379" t="inlineStr">
        <is>
          <t>cash_in</t>
        </is>
      </c>
      <c r="F7379" s="23" t="n">
        <v>46271</v>
      </c>
      <c r="G7379" s="24">
        <f>F7379-DATE(2026,8,31)</f>
        <v>6</v>
      </c>
      <c r="H7379" s="25" t="n">
        <v>13240149</v>
      </c>
      <c r="I7379" t="inlineStr">
        <is>
          <t>entidad-dia</t>
        </is>
      </c>
    </row>
    <row r="7380">
      <c r="A7380" t="inlineStr">
        <is>
          <t>PRAGMA</t>
        </is>
      </c>
      <c r="B7380" t="inlineStr">
        <is>
          <t>M2</t>
        </is>
      </c>
      <c r="C7380" t="inlineStr">
        <is>
          <t>Cali</t>
        </is>
      </c>
      <c r="D7380" t="inlineStr">
        <is>
          <t>7352</t>
        </is>
      </c>
      <c r="E7380" t="inlineStr">
        <is>
          <t>pagado</t>
        </is>
      </c>
      <c r="F7380" s="23" t="n">
        <v>46272</v>
      </c>
      <c r="G7380" s="24">
        <f>F7380-DATE(2026,8,31)</f>
        <v>7</v>
      </c>
      <c r="H7380" s="25" t="n">
        <v>32239647</v>
      </c>
      <c r="I7380" t="inlineStr">
        <is>
          <t>entidad-dia</t>
        </is>
      </c>
    </row>
    <row r="7381">
      <c r="A7381" t="inlineStr">
        <is>
          <t>PRAGMA</t>
        </is>
      </c>
      <c r="B7381" t="inlineStr">
        <is>
          <t>M2</t>
        </is>
      </c>
      <c r="C7381" t="inlineStr">
        <is>
          <t>Cali</t>
        </is>
      </c>
      <c r="D7381" t="inlineStr">
        <is>
          <t>7352</t>
        </is>
      </c>
      <c r="E7381" t="inlineStr">
        <is>
          <t>cash_in</t>
        </is>
      </c>
      <c r="F7381" s="23" t="n">
        <v>46272</v>
      </c>
      <c r="G7381" s="24">
        <f>F7381-DATE(2026,8,31)</f>
        <v>7</v>
      </c>
      <c r="H7381" s="25" t="n">
        <v>65872059</v>
      </c>
      <c r="I7381" t="inlineStr">
        <is>
          <t>entidad-dia</t>
        </is>
      </c>
    </row>
    <row r="7382">
      <c r="A7382" t="inlineStr">
        <is>
          <t>PRAGMA</t>
        </is>
      </c>
      <c r="B7382" t="inlineStr">
        <is>
          <t>M2</t>
        </is>
      </c>
      <c r="C7382" t="inlineStr">
        <is>
          <t>Cali</t>
        </is>
      </c>
      <c r="D7382" t="inlineStr">
        <is>
          <t>7352</t>
        </is>
      </c>
      <c r="E7382" t="inlineStr">
        <is>
          <t>pagado</t>
        </is>
      </c>
      <c r="F7382" s="23" t="n">
        <v>46273</v>
      </c>
      <c r="G7382" s="24">
        <f>F7382-DATE(2026,8,31)</f>
        <v>8</v>
      </c>
      <c r="H7382" s="25" t="n">
        <v>34370100</v>
      </c>
      <c r="I7382" t="inlineStr">
        <is>
          <t>entidad-dia</t>
        </is>
      </c>
    </row>
    <row r="7383">
      <c r="A7383" t="inlineStr">
        <is>
          <t>PRAGMA</t>
        </is>
      </c>
      <c r="B7383" t="inlineStr">
        <is>
          <t>M2</t>
        </is>
      </c>
      <c r="C7383" t="inlineStr">
        <is>
          <t>Cali</t>
        </is>
      </c>
      <c r="D7383" t="inlineStr">
        <is>
          <t>7352</t>
        </is>
      </c>
      <c r="E7383" t="inlineStr">
        <is>
          <t>cash_in</t>
        </is>
      </c>
      <c r="F7383" s="23" t="n">
        <v>46273</v>
      </c>
      <c r="G7383" s="24">
        <f>F7383-DATE(2026,8,31)</f>
        <v>8</v>
      </c>
      <c r="H7383" s="25" t="n">
        <v>61801416</v>
      </c>
      <c r="I7383" t="inlineStr">
        <is>
          <t>entidad-dia</t>
        </is>
      </c>
    </row>
    <row r="7384">
      <c r="A7384" t="inlineStr">
        <is>
          <t>PRAGMA</t>
        </is>
      </c>
      <c r="B7384" t="inlineStr">
        <is>
          <t>M2</t>
        </is>
      </c>
      <c r="C7384" t="inlineStr">
        <is>
          <t>Cali</t>
        </is>
      </c>
      <c r="D7384" t="inlineStr">
        <is>
          <t>7352</t>
        </is>
      </c>
      <c r="E7384" t="inlineStr">
        <is>
          <t>pagado</t>
        </is>
      </c>
      <c r="F7384" s="23" t="n">
        <v>46274</v>
      </c>
      <c r="G7384" s="24">
        <f>F7384-DATE(2026,8,31)</f>
        <v>9</v>
      </c>
      <c r="H7384" s="25" t="n">
        <v>33544919</v>
      </c>
      <c r="I7384" t="inlineStr">
        <is>
          <t>entidad-dia</t>
        </is>
      </c>
    </row>
    <row r="7385">
      <c r="A7385" t="inlineStr">
        <is>
          <t>PRAGMA</t>
        </is>
      </c>
      <c r="B7385" t="inlineStr">
        <is>
          <t>M2</t>
        </is>
      </c>
      <c r="C7385" t="inlineStr">
        <is>
          <t>Cali</t>
        </is>
      </c>
      <c r="D7385" t="inlineStr">
        <is>
          <t>7352</t>
        </is>
      </c>
      <c r="E7385" t="inlineStr">
        <is>
          <t>cash_in</t>
        </is>
      </c>
      <c r="F7385" s="23" t="n">
        <v>46274</v>
      </c>
      <c r="G7385" s="24">
        <f>F7385-DATE(2026,8,31)</f>
        <v>9</v>
      </c>
      <c r="H7385" s="25" t="n">
        <v>54269806</v>
      </c>
      <c r="I7385" t="inlineStr">
        <is>
          <t>entidad-dia</t>
        </is>
      </c>
    </row>
    <row r="7386">
      <c r="A7386" t="inlineStr">
        <is>
          <t>PRAGMA</t>
        </is>
      </c>
      <c r="B7386" t="inlineStr">
        <is>
          <t>M2</t>
        </is>
      </c>
      <c r="C7386" t="inlineStr">
        <is>
          <t>Cali</t>
        </is>
      </c>
      <c r="D7386" t="inlineStr">
        <is>
          <t>7352</t>
        </is>
      </c>
      <c r="E7386" t="inlineStr">
        <is>
          <t>pagado</t>
        </is>
      </c>
      <c r="F7386" s="23" t="n">
        <v>46275</v>
      </c>
      <c r="G7386" s="24">
        <f>F7386-DATE(2026,8,31)</f>
        <v>10</v>
      </c>
      <c r="H7386" s="25" t="n">
        <v>30802390</v>
      </c>
      <c r="I7386" t="inlineStr">
        <is>
          <t>entidad-dia</t>
        </is>
      </c>
    </row>
    <row r="7387">
      <c r="A7387" t="inlineStr">
        <is>
          <t>PRAGMA</t>
        </is>
      </c>
      <c r="B7387" t="inlineStr">
        <is>
          <t>M2</t>
        </is>
      </c>
      <c r="C7387" t="inlineStr">
        <is>
          <t>Cali</t>
        </is>
      </c>
      <c r="D7387" t="inlineStr">
        <is>
          <t>7352</t>
        </is>
      </c>
      <c r="E7387" t="inlineStr">
        <is>
          <t>cash_in</t>
        </is>
      </c>
      <c r="F7387" s="23" t="n">
        <v>46275</v>
      </c>
      <c r="G7387" s="24">
        <f>F7387-DATE(2026,8,31)</f>
        <v>10</v>
      </c>
      <c r="H7387" s="25" t="n">
        <v>53605699</v>
      </c>
      <c r="I7387" t="inlineStr">
        <is>
          <t>entidad-dia</t>
        </is>
      </c>
    </row>
    <row r="7388">
      <c r="A7388" t="inlineStr">
        <is>
          <t>PRAGMA</t>
        </is>
      </c>
      <c r="B7388" t="inlineStr">
        <is>
          <t>M2</t>
        </is>
      </c>
      <c r="C7388" t="inlineStr">
        <is>
          <t>Cali</t>
        </is>
      </c>
      <c r="D7388" t="inlineStr">
        <is>
          <t>7352</t>
        </is>
      </c>
      <c r="E7388" t="inlineStr">
        <is>
          <t>pagado</t>
        </is>
      </c>
      <c r="F7388" s="23" t="n">
        <v>46276</v>
      </c>
      <c r="G7388" s="24">
        <f>F7388-DATE(2026,8,31)</f>
        <v>11</v>
      </c>
      <c r="H7388" s="25" t="n">
        <v>34965899</v>
      </c>
      <c r="I7388" t="inlineStr">
        <is>
          <t>entidad-dia</t>
        </is>
      </c>
    </row>
    <row r="7389">
      <c r="A7389" t="inlineStr">
        <is>
          <t>PRAGMA</t>
        </is>
      </c>
      <c r="B7389" t="inlineStr">
        <is>
          <t>M2</t>
        </is>
      </c>
      <c r="C7389" t="inlineStr">
        <is>
          <t>Cali</t>
        </is>
      </c>
      <c r="D7389" t="inlineStr">
        <is>
          <t>7352</t>
        </is>
      </c>
      <c r="E7389" t="inlineStr">
        <is>
          <t>cash_in</t>
        </is>
      </c>
      <c r="F7389" s="23" t="n">
        <v>46276</v>
      </c>
      <c r="G7389" s="24">
        <f>F7389-DATE(2026,8,31)</f>
        <v>11</v>
      </c>
      <c r="H7389" s="25" t="n">
        <v>53156381</v>
      </c>
      <c r="I7389" t="inlineStr">
        <is>
          <t>entidad-dia</t>
        </is>
      </c>
    </row>
    <row r="7390">
      <c r="A7390" t="inlineStr">
        <is>
          <t>PRAGMA</t>
        </is>
      </c>
      <c r="B7390" t="inlineStr">
        <is>
          <t>M2</t>
        </is>
      </c>
      <c r="C7390" t="inlineStr">
        <is>
          <t>Cali</t>
        </is>
      </c>
      <c r="D7390" t="inlineStr">
        <is>
          <t>7352</t>
        </is>
      </c>
      <c r="E7390" t="inlineStr">
        <is>
          <t>pagado</t>
        </is>
      </c>
      <c r="F7390" s="23" t="n">
        <v>46277</v>
      </c>
      <c r="G7390" s="24">
        <f>F7390-DATE(2026,8,31)</f>
        <v>12</v>
      </c>
      <c r="H7390" s="25" t="n">
        <v>35683857</v>
      </c>
      <c r="I7390" t="inlineStr">
        <is>
          <t>entidad-dia</t>
        </is>
      </c>
    </row>
    <row r="7391">
      <c r="A7391" t="inlineStr">
        <is>
          <t>PRAGMA</t>
        </is>
      </c>
      <c r="B7391" t="inlineStr">
        <is>
          <t>M2</t>
        </is>
      </c>
      <c r="C7391" t="inlineStr">
        <is>
          <t>Cali</t>
        </is>
      </c>
      <c r="D7391" t="inlineStr">
        <is>
          <t>7352</t>
        </is>
      </c>
      <c r="E7391" t="inlineStr">
        <is>
          <t>cash_in</t>
        </is>
      </c>
      <c r="F7391" s="23" t="n">
        <v>46277</v>
      </c>
      <c r="G7391" s="24">
        <f>F7391-DATE(2026,8,31)</f>
        <v>12</v>
      </c>
      <c r="H7391" s="25" t="n">
        <v>44048910</v>
      </c>
      <c r="I7391" t="inlineStr">
        <is>
          <t>entidad-dia</t>
        </is>
      </c>
    </row>
    <row r="7392">
      <c r="A7392" t="inlineStr">
        <is>
          <t>PRAGMA</t>
        </is>
      </c>
      <c r="B7392" t="inlineStr">
        <is>
          <t>M2</t>
        </is>
      </c>
      <c r="C7392" t="inlineStr">
        <is>
          <t>Cali</t>
        </is>
      </c>
      <c r="D7392" t="inlineStr">
        <is>
          <t>7352</t>
        </is>
      </c>
      <c r="E7392" t="inlineStr">
        <is>
          <t>pagado</t>
        </is>
      </c>
      <c r="F7392" s="23" t="n">
        <v>46278</v>
      </c>
      <c r="G7392" s="24">
        <f>F7392-DATE(2026,8,31)</f>
        <v>13</v>
      </c>
      <c r="H7392" s="25" t="n">
        <v>12602995</v>
      </c>
      <c r="I7392" t="inlineStr">
        <is>
          <t>entidad-dia</t>
        </is>
      </c>
    </row>
    <row r="7393">
      <c r="A7393" t="inlineStr">
        <is>
          <t>PRAGMA</t>
        </is>
      </c>
      <c r="B7393" t="inlineStr">
        <is>
          <t>M2</t>
        </is>
      </c>
      <c r="C7393" t="inlineStr">
        <is>
          <t>Cali</t>
        </is>
      </c>
      <c r="D7393" t="inlineStr">
        <is>
          <t>7352</t>
        </is>
      </c>
      <c r="E7393" t="inlineStr">
        <is>
          <t>cash_in</t>
        </is>
      </c>
      <c r="F7393" s="23" t="n">
        <v>46278</v>
      </c>
      <c r="G7393" s="24">
        <f>F7393-DATE(2026,8,31)</f>
        <v>13</v>
      </c>
      <c r="H7393" s="25" t="n">
        <v>10663552</v>
      </c>
      <c r="I7393" t="inlineStr">
        <is>
          <t>entidad-dia</t>
        </is>
      </c>
    </row>
    <row r="7394">
      <c r="A7394" t="inlineStr">
        <is>
          <t>PRAGMA</t>
        </is>
      </c>
      <c r="B7394" t="inlineStr">
        <is>
          <t>M2</t>
        </is>
      </c>
      <c r="C7394" t="inlineStr">
        <is>
          <t>Cali</t>
        </is>
      </c>
      <c r="D7394" t="inlineStr">
        <is>
          <t>7352</t>
        </is>
      </c>
      <c r="E7394" t="inlineStr">
        <is>
          <t>pagado</t>
        </is>
      </c>
      <c r="F7394" s="23" t="n">
        <v>46279</v>
      </c>
      <c r="G7394" s="24">
        <f>F7394-DATE(2026,8,31)</f>
        <v>14</v>
      </c>
      <c r="H7394" s="25" t="n">
        <v>28592730</v>
      </c>
      <c r="I7394" t="inlineStr">
        <is>
          <t>entidad-dia</t>
        </is>
      </c>
    </row>
    <row r="7395">
      <c r="A7395" t="inlineStr">
        <is>
          <t>PRAGMA</t>
        </is>
      </c>
      <c r="B7395" t="inlineStr">
        <is>
          <t>M2</t>
        </is>
      </c>
      <c r="C7395" t="inlineStr">
        <is>
          <t>Cali</t>
        </is>
      </c>
      <c r="D7395" t="inlineStr">
        <is>
          <t>7352</t>
        </is>
      </c>
      <c r="E7395" t="inlineStr">
        <is>
          <t>cash_in</t>
        </is>
      </c>
      <c r="F7395" s="23" t="n">
        <v>46279</v>
      </c>
      <c r="G7395" s="24">
        <f>F7395-DATE(2026,8,31)</f>
        <v>14</v>
      </c>
      <c r="H7395" s="25" t="n">
        <v>60441005</v>
      </c>
      <c r="I7395" t="inlineStr">
        <is>
          <t>entidad-dia</t>
        </is>
      </c>
    </row>
    <row r="7396">
      <c r="A7396" t="inlineStr">
        <is>
          <t>PRAGMA</t>
        </is>
      </c>
      <c r="B7396" t="inlineStr">
        <is>
          <t>M2</t>
        </is>
      </c>
      <c r="C7396" t="inlineStr">
        <is>
          <t>Cali</t>
        </is>
      </c>
      <c r="D7396" t="inlineStr">
        <is>
          <t>7352</t>
        </is>
      </c>
      <c r="E7396" t="inlineStr">
        <is>
          <t>pagado</t>
        </is>
      </c>
      <c r="F7396" s="23" t="n">
        <v>46280</v>
      </c>
      <c r="G7396" s="24">
        <f>F7396-DATE(2026,8,31)</f>
        <v>15</v>
      </c>
      <c r="H7396" s="25" t="n">
        <v>44832652</v>
      </c>
      <c r="I7396" t="inlineStr">
        <is>
          <t>entidad-dia</t>
        </is>
      </c>
    </row>
    <row r="7397">
      <c r="A7397" t="inlineStr">
        <is>
          <t>PRAGMA</t>
        </is>
      </c>
      <c r="B7397" t="inlineStr">
        <is>
          <t>M2</t>
        </is>
      </c>
      <c r="C7397" t="inlineStr">
        <is>
          <t>Cali</t>
        </is>
      </c>
      <c r="D7397" t="inlineStr">
        <is>
          <t>7352</t>
        </is>
      </c>
      <c r="E7397" t="inlineStr">
        <is>
          <t>cash_in</t>
        </is>
      </c>
      <c r="F7397" s="23" t="n">
        <v>46280</v>
      </c>
      <c r="G7397" s="24">
        <f>F7397-DATE(2026,8,31)</f>
        <v>15</v>
      </c>
      <c r="H7397" s="25" t="n">
        <v>63468997</v>
      </c>
      <c r="I7397" t="inlineStr">
        <is>
          <t>entidad-dia</t>
        </is>
      </c>
    </row>
    <row r="7398">
      <c r="A7398" t="inlineStr">
        <is>
          <t>PRAGMA</t>
        </is>
      </c>
      <c r="B7398" t="inlineStr">
        <is>
          <t>M2</t>
        </is>
      </c>
      <c r="C7398" t="inlineStr">
        <is>
          <t>Cali</t>
        </is>
      </c>
      <c r="D7398" t="inlineStr">
        <is>
          <t>7368</t>
        </is>
      </c>
      <c r="E7398" t="inlineStr">
        <is>
          <t>pagado</t>
        </is>
      </c>
      <c r="F7398" s="23" t="n">
        <v>46266</v>
      </c>
      <c r="G7398" s="24">
        <f>F7398-DATE(2026,8,31)</f>
        <v>1</v>
      </c>
      <c r="H7398" s="25" t="n">
        <v>63309874</v>
      </c>
      <c r="I7398" t="inlineStr">
        <is>
          <t>entidad-dia</t>
        </is>
      </c>
    </row>
    <row r="7399">
      <c r="A7399" t="inlineStr">
        <is>
          <t>PRAGMA</t>
        </is>
      </c>
      <c r="B7399" t="inlineStr">
        <is>
          <t>M2</t>
        </is>
      </c>
      <c r="C7399" t="inlineStr">
        <is>
          <t>Cali</t>
        </is>
      </c>
      <c r="D7399" t="inlineStr">
        <is>
          <t>7368</t>
        </is>
      </c>
      <c r="E7399" t="inlineStr">
        <is>
          <t>cash_in</t>
        </is>
      </c>
      <c r="F7399" s="23" t="n">
        <v>46266</v>
      </c>
      <c r="G7399" s="24">
        <f>F7399-DATE(2026,8,31)</f>
        <v>1</v>
      </c>
      <c r="H7399" s="25" t="n">
        <v>271575569</v>
      </c>
      <c r="I7399" t="inlineStr">
        <is>
          <t>entidad-dia</t>
        </is>
      </c>
    </row>
    <row r="7400">
      <c r="A7400" t="inlineStr">
        <is>
          <t>PRAGMA</t>
        </is>
      </c>
      <c r="B7400" t="inlineStr">
        <is>
          <t>M2</t>
        </is>
      </c>
      <c r="C7400" t="inlineStr">
        <is>
          <t>Cali</t>
        </is>
      </c>
      <c r="D7400" t="inlineStr">
        <is>
          <t>7368</t>
        </is>
      </c>
      <c r="E7400" t="inlineStr">
        <is>
          <t>pagado</t>
        </is>
      </c>
      <c r="F7400" s="23" t="n">
        <v>46267</v>
      </c>
      <c r="G7400" s="24">
        <f>F7400-DATE(2026,8,31)</f>
        <v>2</v>
      </c>
      <c r="H7400" s="25" t="n">
        <v>55205002</v>
      </c>
      <c r="I7400" t="inlineStr">
        <is>
          <t>entidad-dia</t>
        </is>
      </c>
    </row>
    <row r="7401">
      <c r="A7401" t="inlineStr">
        <is>
          <t>PRAGMA</t>
        </is>
      </c>
      <c r="B7401" t="inlineStr">
        <is>
          <t>M2</t>
        </is>
      </c>
      <c r="C7401" t="inlineStr">
        <is>
          <t>Cali</t>
        </is>
      </c>
      <c r="D7401" t="inlineStr">
        <is>
          <t>7368</t>
        </is>
      </c>
      <c r="E7401" t="inlineStr">
        <is>
          <t>cash_in</t>
        </is>
      </c>
      <c r="F7401" s="23" t="n">
        <v>46267</v>
      </c>
      <c r="G7401" s="24">
        <f>F7401-DATE(2026,8,31)</f>
        <v>2</v>
      </c>
      <c r="H7401" s="25" t="n">
        <v>240805127</v>
      </c>
      <c r="I7401" t="inlineStr">
        <is>
          <t>entidad-dia</t>
        </is>
      </c>
    </row>
    <row r="7402">
      <c r="A7402" t="inlineStr">
        <is>
          <t>PRAGMA</t>
        </is>
      </c>
      <c r="B7402" t="inlineStr">
        <is>
          <t>M2</t>
        </is>
      </c>
      <c r="C7402" t="inlineStr">
        <is>
          <t>Cali</t>
        </is>
      </c>
      <c r="D7402" t="inlineStr">
        <is>
          <t>7368</t>
        </is>
      </c>
      <c r="E7402" t="inlineStr">
        <is>
          <t>pagado</t>
        </is>
      </c>
      <c r="F7402" s="23" t="n">
        <v>46268</v>
      </c>
      <c r="G7402" s="24">
        <f>F7402-DATE(2026,8,31)</f>
        <v>3</v>
      </c>
      <c r="H7402" s="25" t="n">
        <v>47374946</v>
      </c>
      <c r="I7402" t="inlineStr">
        <is>
          <t>entidad-dia</t>
        </is>
      </c>
    </row>
    <row r="7403">
      <c r="A7403" t="inlineStr">
        <is>
          <t>PRAGMA</t>
        </is>
      </c>
      <c r="B7403" t="inlineStr">
        <is>
          <t>M2</t>
        </is>
      </c>
      <c r="C7403" t="inlineStr">
        <is>
          <t>Cali</t>
        </is>
      </c>
      <c r="D7403" t="inlineStr">
        <is>
          <t>7368</t>
        </is>
      </c>
      <c r="E7403" t="inlineStr">
        <is>
          <t>cash_in</t>
        </is>
      </c>
      <c r="F7403" s="23" t="n">
        <v>46268</v>
      </c>
      <c r="G7403" s="24">
        <f>F7403-DATE(2026,8,31)</f>
        <v>3</v>
      </c>
      <c r="H7403" s="25" t="n">
        <v>229415927</v>
      </c>
      <c r="I7403" t="inlineStr">
        <is>
          <t>entidad-dia</t>
        </is>
      </c>
    </row>
    <row r="7404">
      <c r="A7404" t="inlineStr">
        <is>
          <t>PRAGMA</t>
        </is>
      </c>
      <c r="B7404" t="inlineStr">
        <is>
          <t>M2</t>
        </is>
      </c>
      <c r="C7404" t="inlineStr">
        <is>
          <t>Cali</t>
        </is>
      </c>
      <c r="D7404" t="inlineStr">
        <is>
          <t>7368</t>
        </is>
      </c>
      <c r="E7404" t="inlineStr">
        <is>
          <t>pagado</t>
        </is>
      </c>
      <c r="F7404" s="23" t="n">
        <v>46269</v>
      </c>
      <c r="G7404" s="24">
        <f>F7404-DATE(2026,8,31)</f>
        <v>4</v>
      </c>
      <c r="H7404" s="25" t="n">
        <v>50178311</v>
      </c>
      <c r="I7404" t="inlineStr">
        <is>
          <t>entidad-dia</t>
        </is>
      </c>
    </row>
    <row r="7405">
      <c r="A7405" t="inlineStr">
        <is>
          <t>PRAGMA</t>
        </is>
      </c>
      <c r="B7405" t="inlineStr">
        <is>
          <t>M2</t>
        </is>
      </c>
      <c r="C7405" t="inlineStr">
        <is>
          <t>Cali</t>
        </is>
      </c>
      <c r="D7405" t="inlineStr">
        <is>
          <t>7368</t>
        </is>
      </c>
      <c r="E7405" t="inlineStr">
        <is>
          <t>cash_in</t>
        </is>
      </c>
      <c r="F7405" s="23" t="n">
        <v>46269</v>
      </c>
      <c r="G7405" s="24">
        <f>F7405-DATE(2026,8,31)</f>
        <v>4</v>
      </c>
      <c r="H7405" s="25" t="n">
        <v>256095712</v>
      </c>
      <c r="I7405" t="inlineStr">
        <is>
          <t>entidad-dia</t>
        </is>
      </c>
    </row>
    <row r="7406">
      <c r="A7406" t="inlineStr">
        <is>
          <t>PRAGMA</t>
        </is>
      </c>
      <c r="B7406" t="inlineStr">
        <is>
          <t>M2</t>
        </is>
      </c>
      <c r="C7406" t="inlineStr">
        <is>
          <t>Cali</t>
        </is>
      </c>
      <c r="D7406" t="inlineStr">
        <is>
          <t>7368</t>
        </is>
      </c>
      <c r="E7406" t="inlineStr">
        <is>
          <t>pagado</t>
        </is>
      </c>
      <c r="F7406" s="23" t="n">
        <v>46270</v>
      </c>
      <c r="G7406" s="24">
        <f>F7406-DATE(2026,8,31)</f>
        <v>5</v>
      </c>
      <c r="H7406" s="25" t="n">
        <v>44840559</v>
      </c>
      <c r="I7406" t="inlineStr">
        <is>
          <t>entidad-dia</t>
        </is>
      </c>
    </row>
    <row r="7407">
      <c r="A7407" t="inlineStr">
        <is>
          <t>PRAGMA</t>
        </is>
      </c>
      <c r="B7407" t="inlineStr">
        <is>
          <t>M2</t>
        </is>
      </c>
      <c r="C7407" t="inlineStr">
        <is>
          <t>Cali</t>
        </is>
      </c>
      <c r="D7407" t="inlineStr">
        <is>
          <t>7368</t>
        </is>
      </c>
      <c r="E7407" t="inlineStr">
        <is>
          <t>cash_in</t>
        </is>
      </c>
      <c r="F7407" s="23" t="n">
        <v>46270</v>
      </c>
      <c r="G7407" s="24">
        <f>F7407-DATE(2026,8,31)</f>
        <v>5</v>
      </c>
      <c r="H7407" s="25" t="n">
        <v>227729879</v>
      </c>
      <c r="I7407" t="inlineStr">
        <is>
          <t>entidad-dia</t>
        </is>
      </c>
    </row>
    <row r="7408">
      <c r="A7408" t="inlineStr">
        <is>
          <t>PRAGMA</t>
        </is>
      </c>
      <c r="B7408" t="inlineStr">
        <is>
          <t>M2</t>
        </is>
      </c>
      <c r="C7408" t="inlineStr">
        <is>
          <t>Cali</t>
        </is>
      </c>
      <c r="D7408" t="inlineStr">
        <is>
          <t>7368</t>
        </is>
      </c>
      <c r="E7408" t="inlineStr">
        <is>
          <t>pagado</t>
        </is>
      </c>
      <c r="F7408" s="23" t="n">
        <v>46271</v>
      </c>
      <c r="G7408" s="24">
        <f>F7408-DATE(2026,8,31)</f>
        <v>6</v>
      </c>
      <c r="H7408" s="25" t="n">
        <v>22132695</v>
      </c>
      <c r="I7408" t="inlineStr">
        <is>
          <t>entidad-dia</t>
        </is>
      </c>
    </row>
    <row r="7409">
      <c r="A7409" t="inlineStr">
        <is>
          <t>PRAGMA</t>
        </is>
      </c>
      <c r="B7409" t="inlineStr">
        <is>
          <t>M2</t>
        </is>
      </c>
      <c r="C7409" t="inlineStr">
        <is>
          <t>Cali</t>
        </is>
      </c>
      <c r="D7409" t="inlineStr">
        <is>
          <t>7368</t>
        </is>
      </c>
      <c r="E7409" t="inlineStr">
        <is>
          <t>cash_in</t>
        </is>
      </c>
      <c r="F7409" s="23" t="n">
        <v>46271</v>
      </c>
      <c r="G7409" s="24">
        <f>F7409-DATE(2026,8,31)</f>
        <v>6</v>
      </c>
      <c r="H7409" s="25" t="n">
        <v>131687699</v>
      </c>
      <c r="I7409" t="inlineStr">
        <is>
          <t>entidad-dia</t>
        </is>
      </c>
    </row>
    <row r="7410">
      <c r="A7410" t="inlineStr">
        <is>
          <t>PRAGMA</t>
        </is>
      </c>
      <c r="B7410" t="inlineStr">
        <is>
          <t>M2</t>
        </is>
      </c>
      <c r="C7410" t="inlineStr">
        <is>
          <t>Cali</t>
        </is>
      </c>
      <c r="D7410" t="inlineStr">
        <is>
          <t>7368</t>
        </is>
      </c>
      <c r="E7410" t="inlineStr">
        <is>
          <t>pagado</t>
        </is>
      </c>
      <c r="F7410" s="23" t="n">
        <v>46272</v>
      </c>
      <c r="G7410" s="24">
        <f>F7410-DATE(2026,8,31)</f>
        <v>7</v>
      </c>
      <c r="H7410" s="25" t="n">
        <v>40080584</v>
      </c>
      <c r="I7410" t="inlineStr">
        <is>
          <t>entidad-dia</t>
        </is>
      </c>
    </row>
    <row r="7411">
      <c r="A7411" t="inlineStr">
        <is>
          <t>PRAGMA</t>
        </is>
      </c>
      <c r="B7411" t="inlineStr">
        <is>
          <t>M2</t>
        </is>
      </c>
      <c r="C7411" t="inlineStr">
        <is>
          <t>Cali</t>
        </is>
      </c>
      <c r="D7411" t="inlineStr">
        <is>
          <t>7368</t>
        </is>
      </c>
      <c r="E7411" t="inlineStr">
        <is>
          <t>cash_in</t>
        </is>
      </c>
      <c r="F7411" s="23" t="n">
        <v>46272</v>
      </c>
      <c r="G7411" s="24">
        <f>F7411-DATE(2026,8,31)</f>
        <v>7</v>
      </c>
      <c r="H7411" s="25" t="n">
        <v>260223861</v>
      </c>
      <c r="I7411" t="inlineStr">
        <is>
          <t>entidad-dia</t>
        </is>
      </c>
    </row>
    <row r="7412">
      <c r="A7412" t="inlineStr">
        <is>
          <t>PRAGMA</t>
        </is>
      </c>
      <c r="B7412" t="inlineStr">
        <is>
          <t>M2</t>
        </is>
      </c>
      <c r="C7412" t="inlineStr">
        <is>
          <t>Cali</t>
        </is>
      </c>
      <c r="D7412" t="inlineStr">
        <is>
          <t>7368</t>
        </is>
      </c>
      <c r="E7412" t="inlineStr">
        <is>
          <t>pagado</t>
        </is>
      </c>
      <c r="F7412" s="23" t="n">
        <v>46273</v>
      </c>
      <c r="G7412" s="24">
        <f>F7412-DATE(2026,8,31)</f>
        <v>8</v>
      </c>
      <c r="H7412" s="25" t="n">
        <v>42481240</v>
      </c>
      <c r="I7412" t="inlineStr">
        <is>
          <t>entidad-dia</t>
        </is>
      </c>
    </row>
    <row r="7413">
      <c r="A7413" t="inlineStr">
        <is>
          <t>PRAGMA</t>
        </is>
      </c>
      <c r="B7413" t="inlineStr">
        <is>
          <t>M2</t>
        </is>
      </c>
      <c r="C7413" t="inlineStr">
        <is>
          <t>Cali</t>
        </is>
      </c>
      <c r="D7413" t="inlineStr">
        <is>
          <t>7368</t>
        </is>
      </c>
      <c r="E7413" t="inlineStr">
        <is>
          <t>cash_in</t>
        </is>
      </c>
      <c r="F7413" s="23" t="n">
        <v>46273</v>
      </c>
      <c r="G7413" s="24">
        <f>F7413-DATE(2026,8,31)</f>
        <v>8</v>
      </c>
      <c r="H7413" s="25" t="n">
        <v>232429582</v>
      </c>
      <c r="I7413" t="inlineStr">
        <is>
          <t>entidad-dia</t>
        </is>
      </c>
    </row>
    <row r="7414">
      <c r="A7414" t="inlineStr">
        <is>
          <t>PRAGMA</t>
        </is>
      </c>
      <c r="B7414" t="inlineStr">
        <is>
          <t>M2</t>
        </is>
      </c>
      <c r="C7414" t="inlineStr">
        <is>
          <t>Cali</t>
        </is>
      </c>
      <c r="D7414" t="inlineStr">
        <is>
          <t>7368</t>
        </is>
      </c>
      <c r="E7414" t="inlineStr">
        <is>
          <t>pagado</t>
        </is>
      </c>
      <c r="F7414" s="23" t="n">
        <v>46274</v>
      </c>
      <c r="G7414" s="24">
        <f>F7414-DATE(2026,8,31)</f>
        <v>9</v>
      </c>
      <c r="H7414" s="25" t="n">
        <v>41269595</v>
      </c>
      <c r="I7414" t="inlineStr">
        <is>
          <t>entidad-dia</t>
        </is>
      </c>
    </row>
    <row r="7415">
      <c r="A7415" t="inlineStr">
        <is>
          <t>PRAGMA</t>
        </is>
      </c>
      <c r="B7415" t="inlineStr">
        <is>
          <t>M2</t>
        </is>
      </c>
      <c r="C7415" t="inlineStr">
        <is>
          <t>Cali</t>
        </is>
      </c>
      <c r="D7415" t="inlineStr">
        <is>
          <t>7368</t>
        </is>
      </c>
      <c r="E7415" t="inlineStr">
        <is>
          <t>cash_in</t>
        </is>
      </c>
      <c r="F7415" s="23" t="n">
        <v>46274</v>
      </c>
      <c r="G7415" s="24">
        <f>F7415-DATE(2026,8,31)</f>
        <v>9</v>
      </c>
      <c r="H7415" s="25" t="n">
        <v>220018723</v>
      </c>
      <c r="I7415" t="inlineStr">
        <is>
          <t>entidad-dia</t>
        </is>
      </c>
    </row>
    <row r="7416">
      <c r="A7416" t="inlineStr">
        <is>
          <t>PRAGMA</t>
        </is>
      </c>
      <c r="B7416" t="inlineStr">
        <is>
          <t>M2</t>
        </is>
      </c>
      <c r="C7416" t="inlineStr">
        <is>
          <t>Cali</t>
        </is>
      </c>
      <c r="D7416" t="inlineStr">
        <is>
          <t>7368</t>
        </is>
      </c>
      <c r="E7416" t="inlineStr">
        <is>
          <t>pagado</t>
        </is>
      </c>
      <c r="F7416" s="23" t="n">
        <v>46275</v>
      </c>
      <c r="G7416" s="24">
        <f>F7416-DATE(2026,8,31)</f>
        <v>10</v>
      </c>
      <c r="H7416" s="25" t="n">
        <v>34741868</v>
      </c>
      <c r="I7416" t="inlineStr">
        <is>
          <t>entidad-dia</t>
        </is>
      </c>
    </row>
    <row r="7417">
      <c r="A7417" t="inlineStr">
        <is>
          <t>PRAGMA</t>
        </is>
      </c>
      <c r="B7417" t="inlineStr">
        <is>
          <t>M2</t>
        </is>
      </c>
      <c r="C7417" t="inlineStr">
        <is>
          <t>Cali</t>
        </is>
      </c>
      <c r="D7417" t="inlineStr">
        <is>
          <t>7368</t>
        </is>
      </c>
      <c r="E7417" t="inlineStr">
        <is>
          <t>cash_in</t>
        </is>
      </c>
      <c r="F7417" s="23" t="n">
        <v>46275</v>
      </c>
      <c r="G7417" s="24">
        <f>F7417-DATE(2026,8,31)</f>
        <v>10</v>
      </c>
      <c r="H7417" s="25" t="n">
        <v>221797794</v>
      </c>
      <c r="I7417" t="inlineStr">
        <is>
          <t>entidad-dia</t>
        </is>
      </c>
    </row>
    <row r="7418">
      <c r="A7418" t="inlineStr">
        <is>
          <t>PRAGMA</t>
        </is>
      </c>
      <c r="B7418" t="inlineStr">
        <is>
          <t>M2</t>
        </is>
      </c>
      <c r="C7418" t="inlineStr">
        <is>
          <t>Cali</t>
        </is>
      </c>
      <c r="D7418" t="inlineStr">
        <is>
          <t>7368</t>
        </is>
      </c>
      <c r="E7418" t="inlineStr">
        <is>
          <t>pagado</t>
        </is>
      </c>
      <c r="F7418" s="23" t="n">
        <v>46276</v>
      </c>
      <c r="G7418" s="24">
        <f>F7418-DATE(2026,8,31)</f>
        <v>11</v>
      </c>
      <c r="H7418" s="25" t="n">
        <v>38796046</v>
      </c>
      <c r="I7418" t="inlineStr">
        <is>
          <t>entidad-dia</t>
        </is>
      </c>
    </row>
    <row r="7419">
      <c r="A7419" t="inlineStr">
        <is>
          <t>PRAGMA</t>
        </is>
      </c>
      <c r="B7419" t="inlineStr">
        <is>
          <t>M2</t>
        </is>
      </c>
      <c r="C7419" t="inlineStr">
        <is>
          <t>Cali</t>
        </is>
      </c>
      <c r="D7419" t="inlineStr">
        <is>
          <t>7368</t>
        </is>
      </c>
      <c r="E7419" t="inlineStr">
        <is>
          <t>cash_in</t>
        </is>
      </c>
      <c r="F7419" s="23" t="n">
        <v>46276</v>
      </c>
      <c r="G7419" s="24">
        <f>F7419-DATE(2026,8,31)</f>
        <v>11</v>
      </c>
      <c r="H7419" s="25" t="n">
        <v>225607692</v>
      </c>
      <c r="I7419" t="inlineStr">
        <is>
          <t>entidad-dia</t>
        </is>
      </c>
    </row>
    <row r="7420">
      <c r="A7420" t="inlineStr">
        <is>
          <t>PRAGMA</t>
        </is>
      </c>
      <c r="B7420" t="inlineStr">
        <is>
          <t>M2</t>
        </is>
      </c>
      <c r="C7420" t="inlineStr">
        <is>
          <t>Cali</t>
        </is>
      </c>
      <c r="D7420" t="inlineStr">
        <is>
          <t>7368</t>
        </is>
      </c>
      <c r="E7420" t="inlineStr">
        <is>
          <t>pagado</t>
        </is>
      </c>
      <c r="F7420" s="23" t="n">
        <v>46277</v>
      </c>
      <c r="G7420" s="24">
        <f>F7420-DATE(2026,8,31)</f>
        <v>12</v>
      </c>
      <c r="H7420" s="25" t="n">
        <v>37640717</v>
      </c>
      <c r="I7420" t="inlineStr">
        <is>
          <t>entidad-dia</t>
        </is>
      </c>
    </row>
    <row r="7421">
      <c r="A7421" t="inlineStr">
        <is>
          <t>PRAGMA</t>
        </is>
      </c>
      <c r="B7421" t="inlineStr">
        <is>
          <t>M2</t>
        </is>
      </c>
      <c r="C7421" t="inlineStr">
        <is>
          <t>Cali</t>
        </is>
      </c>
      <c r="D7421" t="inlineStr">
        <is>
          <t>7368</t>
        </is>
      </c>
      <c r="E7421" t="inlineStr">
        <is>
          <t>cash_in</t>
        </is>
      </c>
      <c r="F7421" s="23" t="n">
        <v>46277</v>
      </c>
      <c r="G7421" s="24">
        <f>F7421-DATE(2026,8,31)</f>
        <v>12</v>
      </c>
      <c r="H7421" s="25" t="n">
        <v>210574280</v>
      </c>
      <c r="I7421" t="inlineStr">
        <is>
          <t>entidad-dia</t>
        </is>
      </c>
    </row>
    <row r="7422">
      <c r="A7422" t="inlineStr">
        <is>
          <t>PRAGMA</t>
        </is>
      </c>
      <c r="B7422" t="inlineStr">
        <is>
          <t>M2</t>
        </is>
      </c>
      <c r="C7422" t="inlineStr">
        <is>
          <t>Cali</t>
        </is>
      </c>
      <c r="D7422" t="inlineStr">
        <is>
          <t>7368</t>
        </is>
      </c>
      <c r="E7422" t="inlineStr">
        <is>
          <t>pagado</t>
        </is>
      </c>
      <c r="F7422" s="23" t="n">
        <v>46278</v>
      </c>
      <c r="G7422" s="24">
        <f>F7422-DATE(2026,8,31)</f>
        <v>13</v>
      </c>
      <c r="H7422" s="25" t="n">
        <v>18853121</v>
      </c>
      <c r="I7422" t="inlineStr">
        <is>
          <t>entidad-dia</t>
        </is>
      </c>
    </row>
    <row r="7423">
      <c r="A7423" t="inlineStr">
        <is>
          <t>PRAGMA</t>
        </is>
      </c>
      <c r="B7423" t="inlineStr">
        <is>
          <t>M2</t>
        </is>
      </c>
      <c r="C7423" t="inlineStr">
        <is>
          <t>Cali</t>
        </is>
      </c>
      <c r="D7423" t="inlineStr">
        <is>
          <t>7368</t>
        </is>
      </c>
      <c r="E7423" t="inlineStr">
        <is>
          <t>cash_in</t>
        </is>
      </c>
      <c r="F7423" s="23" t="n">
        <v>46278</v>
      </c>
      <c r="G7423" s="24">
        <f>F7423-DATE(2026,8,31)</f>
        <v>13</v>
      </c>
      <c r="H7423" s="25" t="n">
        <v>111777963</v>
      </c>
      <c r="I7423" t="inlineStr">
        <is>
          <t>entidad-dia</t>
        </is>
      </c>
    </row>
    <row r="7424">
      <c r="A7424" t="inlineStr">
        <is>
          <t>PRAGMA</t>
        </is>
      </c>
      <c r="B7424" t="inlineStr">
        <is>
          <t>M2</t>
        </is>
      </c>
      <c r="C7424" t="inlineStr">
        <is>
          <t>Cali</t>
        </is>
      </c>
      <c r="D7424" t="inlineStr">
        <is>
          <t>7368</t>
        </is>
      </c>
      <c r="E7424" t="inlineStr">
        <is>
          <t>pagado</t>
        </is>
      </c>
      <c r="F7424" s="23" t="n">
        <v>46279</v>
      </c>
      <c r="G7424" s="24">
        <f>F7424-DATE(2026,8,31)</f>
        <v>14</v>
      </c>
      <c r="H7424" s="25" t="n">
        <v>36475454</v>
      </c>
      <c r="I7424" t="inlineStr">
        <is>
          <t>entidad-dia</t>
        </is>
      </c>
    </row>
    <row r="7425">
      <c r="A7425" t="inlineStr">
        <is>
          <t>PRAGMA</t>
        </is>
      </c>
      <c r="B7425" t="inlineStr">
        <is>
          <t>M2</t>
        </is>
      </c>
      <c r="C7425" t="inlineStr">
        <is>
          <t>Cali</t>
        </is>
      </c>
      <c r="D7425" t="inlineStr">
        <is>
          <t>7368</t>
        </is>
      </c>
      <c r="E7425" t="inlineStr">
        <is>
          <t>cash_in</t>
        </is>
      </c>
      <c r="F7425" s="23" t="n">
        <v>46279</v>
      </c>
      <c r="G7425" s="24">
        <f>F7425-DATE(2026,8,31)</f>
        <v>14</v>
      </c>
      <c r="H7425" s="25" t="n">
        <v>240016368</v>
      </c>
      <c r="I7425" t="inlineStr">
        <is>
          <t>entidad-dia</t>
        </is>
      </c>
    </row>
    <row r="7426">
      <c r="A7426" t="inlineStr">
        <is>
          <t>PRAGMA</t>
        </is>
      </c>
      <c r="B7426" t="inlineStr">
        <is>
          <t>M2</t>
        </is>
      </c>
      <c r="C7426" t="inlineStr">
        <is>
          <t>Cali</t>
        </is>
      </c>
      <c r="D7426" t="inlineStr">
        <is>
          <t>7368</t>
        </is>
      </c>
      <c r="E7426" t="inlineStr">
        <is>
          <t>pagado</t>
        </is>
      </c>
      <c r="F7426" s="23" t="n">
        <v>46280</v>
      </c>
      <c r="G7426" s="24">
        <f>F7426-DATE(2026,8,31)</f>
        <v>15</v>
      </c>
      <c r="H7426" s="25" t="n">
        <v>51568282</v>
      </c>
      <c r="I7426" t="inlineStr">
        <is>
          <t>entidad-dia</t>
        </is>
      </c>
    </row>
    <row r="7427">
      <c r="A7427" t="inlineStr">
        <is>
          <t>PRAGMA</t>
        </is>
      </c>
      <c r="B7427" t="inlineStr">
        <is>
          <t>M2</t>
        </is>
      </c>
      <c r="C7427" t="inlineStr">
        <is>
          <t>Cali</t>
        </is>
      </c>
      <c r="D7427" t="inlineStr">
        <is>
          <t>7368</t>
        </is>
      </c>
      <c r="E7427" t="inlineStr">
        <is>
          <t>cash_in</t>
        </is>
      </c>
      <c r="F7427" s="23" t="n">
        <v>46280</v>
      </c>
      <c r="G7427" s="24">
        <f>F7427-DATE(2026,8,31)</f>
        <v>15</v>
      </c>
      <c r="H7427" s="25" t="n">
        <v>245843829</v>
      </c>
      <c r="I7427" t="inlineStr">
        <is>
          <t>entidad-dia</t>
        </is>
      </c>
    </row>
    <row r="7428">
      <c r="A7428" t="inlineStr">
        <is>
          <t>PRAGMA</t>
        </is>
      </c>
      <c r="B7428" t="inlineStr">
        <is>
          <t>M2</t>
        </is>
      </c>
      <c r="C7428" t="inlineStr">
        <is>
          <t>Cali</t>
        </is>
      </c>
      <c r="D7428" t="inlineStr">
        <is>
          <t>7441</t>
        </is>
      </c>
      <c r="E7428" t="inlineStr">
        <is>
          <t>pagado</t>
        </is>
      </c>
      <c r="F7428" s="23" t="n">
        <v>46266</v>
      </c>
      <c r="G7428" s="24">
        <f>F7428-DATE(2026,8,31)</f>
        <v>1</v>
      </c>
      <c r="H7428" s="25" t="n">
        <v>92240103</v>
      </c>
      <c r="I7428" t="inlineStr">
        <is>
          <t>entidad-dia</t>
        </is>
      </c>
    </row>
    <row r="7429">
      <c r="A7429" t="inlineStr">
        <is>
          <t>PRAGMA</t>
        </is>
      </c>
      <c r="B7429" t="inlineStr">
        <is>
          <t>M2</t>
        </is>
      </c>
      <c r="C7429" t="inlineStr">
        <is>
          <t>Cali</t>
        </is>
      </c>
      <c r="D7429" t="inlineStr">
        <is>
          <t>7441</t>
        </is>
      </c>
      <c r="E7429" t="inlineStr">
        <is>
          <t>cash_in</t>
        </is>
      </c>
      <c r="F7429" s="23" t="n">
        <v>46266</v>
      </c>
      <c r="G7429" s="24">
        <f>F7429-DATE(2026,8,31)</f>
        <v>1</v>
      </c>
      <c r="H7429" s="25" t="n">
        <v>113317676</v>
      </c>
      <c r="I7429" t="inlineStr">
        <is>
          <t>entidad-dia</t>
        </is>
      </c>
    </row>
    <row r="7430">
      <c r="A7430" t="inlineStr">
        <is>
          <t>PRAGMA</t>
        </is>
      </c>
      <c r="B7430" t="inlineStr">
        <is>
          <t>M2</t>
        </is>
      </c>
      <c r="C7430" t="inlineStr">
        <is>
          <t>Cali</t>
        </is>
      </c>
      <c r="D7430" t="inlineStr">
        <is>
          <t>7441</t>
        </is>
      </c>
      <c r="E7430" t="inlineStr">
        <is>
          <t>pagado</t>
        </is>
      </c>
      <c r="F7430" s="23" t="n">
        <v>46267</v>
      </c>
      <c r="G7430" s="24">
        <f>F7430-DATE(2026,8,31)</f>
        <v>2</v>
      </c>
      <c r="H7430" s="25" t="n">
        <v>73176337</v>
      </c>
      <c r="I7430" t="inlineStr">
        <is>
          <t>entidad-dia</t>
        </is>
      </c>
    </row>
    <row r="7431">
      <c r="A7431" t="inlineStr">
        <is>
          <t>PRAGMA</t>
        </is>
      </c>
      <c r="B7431" t="inlineStr">
        <is>
          <t>M2</t>
        </is>
      </c>
      <c r="C7431" t="inlineStr">
        <is>
          <t>Cali</t>
        </is>
      </c>
      <c r="D7431" t="inlineStr">
        <is>
          <t>7441</t>
        </is>
      </c>
      <c r="E7431" t="inlineStr">
        <is>
          <t>cash_in</t>
        </is>
      </c>
      <c r="F7431" s="23" t="n">
        <v>46267</v>
      </c>
      <c r="G7431" s="24">
        <f>F7431-DATE(2026,8,31)</f>
        <v>2</v>
      </c>
      <c r="H7431" s="25" t="n">
        <v>96737907</v>
      </c>
      <c r="I7431" t="inlineStr">
        <is>
          <t>entidad-dia</t>
        </is>
      </c>
    </row>
    <row r="7432">
      <c r="A7432" t="inlineStr">
        <is>
          <t>PRAGMA</t>
        </is>
      </c>
      <c r="B7432" t="inlineStr">
        <is>
          <t>M2</t>
        </is>
      </c>
      <c r="C7432" t="inlineStr">
        <is>
          <t>Cali</t>
        </is>
      </c>
      <c r="D7432" t="inlineStr">
        <is>
          <t>7441</t>
        </is>
      </c>
      <c r="E7432" t="inlineStr">
        <is>
          <t>pagado</t>
        </is>
      </c>
      <c r="F7432" s="23" t="n">
        <v>46268</v>
      </c>
      <c r="G7432" s="24">
        <f>F7432-DATE(2026,8,31)</f>
        <v>3</v>
      </c>
      <c r="H7432" s="25" t="n">
        <v>72714011</v>
      </c>
      <c r="I7432" t="inlineStr">
        <is>
          <t>entidad-dia</t>
        </is>
      </c>
    </row>
    <row r="7433">
      <c r="A7433" t="inlineStr">
        <is>
          <t>PRAGMA</t>
        </is>
      </c>
      <c r="B7433" t="inlineStr">
        <is>
          <t>M2</t>
        </is>
      </c>
      <c r="C7433" t="inlineStr">
        <is>
          <t>Cali</t>
        </is>
      </c>
      <c r="D7433" t="inlineStr">
        <is>
          <t>7441</t>
        </is>
      </c>
      <c r="E7433" t="inlineStr">
        <is>
          <t>cash_in</t>
        </is>
      </c>
      <c r="F7433" s="23" t="n">
        <v>46268</v>
      </c>
      <c r="G7433" s="24">
        <f>F7433-DATE(2026,8,31)</f>
        <v>3</v>
      </c>
      <c r="H7433" s="25" t="n">
        <v>94468856</v>
      </c>
      <c r="I7433" t="inlineStr">
        <is>
          <t>entidad-dia</t>
        </is>
      </c>
    </row>
    <row r="7434">
      <c r="A7434" t="inlineStr">
        <is>
          <t>PRAGMA</t>
        </is>
      </c>
      <c r="B7434" t="inlineStr">
        <is>
          <t>M2</t>
        </is>
      </c>
      <c r="C7434" t="inlineStr">
        <is>
          <t>Cali</t>
        </is>
      </c>
      <c r="D7434" t="inlineStr">
        <is>
          <t>7441</t>
        </is>
      </c>
      <c r="E7434" t="inlineStr">
        <is>
          <t>pagado</t>
        </is>
      </c>
      <c r="F7434" s="23" t="n">
        <v>46269</v>
      </c>
      <c r="G7434" s="24">
        <f>F7434-DATE(2026,8,31)</f>
        <v>4</v>
      </c>
      <c r="H7434" s="25" t="n">
        <v>73633835</v>
      </c>
      <c r="I7434" t="inlineStr">
        <is>
          <t>entidad-dia</t>
        </is>
      </c>
    </row>
    <row r="7435">
      <c r="A7435" t="inlineStr">
        <is>
          <t>PRAGMA</t>
        </is>
      </c>
      <c r="B7435" t="inlineStr">
        <is>
          <t>M2</t>
        </is>
      </c>
      <c r="C7435" t="inlineStr">
        <is>
          <t>Cali</t>
        </is>
      </c>
      <c r="D7435" t="inlineStr">
        <is>
          <t>7441</t>
        </is>
      </c>
      <c r="E7435" t="inlineStr">
        <is>
          <t>cash_in</t>
        </is>
      </c>
      <c r="F7435" s="23" t="n">
        <v>46269</v>
      </c>
      <c r="G7435" s="24">
        <f>F7435-DATE(2026,8,31)</f>
        <v>4</v>
      </c>
      <c r="H7435" s="25" t="n">
        <v>101191777</v>
      </c>
      <c r="I7435" t="inlineStr">
        <is>
          <t>entidad-dia</t>
        </is>
      </c>
    </row>
    <row r="7436">
      <c r="A7436" t="inlineStr">
        <is>
          <t>PRAGMA</t>
        </is>
      </c>
      <c r="B7436" t="inlineStr">
        <is>
          <t>M2</t>
        </is>
      </c>
      <c r="C7436" t="inlineStr">
        <is>
          <t>Cali</t>
        </is>
      </c>
      <c r="D7436" t="inlineStr">
        <is>
          <t>7441</t>
        </is>
      </c>
      <c r="E7436" t="inlineStr">
        <is>
          <t>pagado</t>
        </is>
      </c>
      <c r="F7436" s="23" t="n">
        <v>46270</v>
      </c>
      <c r="G7436" s="24">
        <f>F7436-DATE(2026,8,31)</f>
        <v>5</v>
      </c>
      <c r="H7436" s="25" t="n">
        <v>72438117</v>
      </c>
      <c r="I7436" t="inlineStr">
        <is>
          <t>entidad-dia</t>
        </is>
      </c>
    </row>
    <row r="7437">
      <c r="A7437" t="inlineStr">
        <is>
          <t>PRAGMA</t>
        </is>
      </c>
      <c r="B7437" t="inlineStr">
        <is>
          <t>M2</t>
        </is>
      </c>
      <c r="C7437" t="inlineStr">
        <is>
          <t>Cali</t>
        </is>
      </c>
      <c r="D7437" t="inlineStr">
        <is>
          <t>7441</t>
        </is>
      </c>
      <c r="E7437" t="inlineStr">
        <is>
          <t>cash_in</t>
        </is>
      </c>
      <c r="F7437" s="23" t="n">
        <v>46270</v>
      </c>
      <c r="G7437" s="24">
        <f>F7437-DATE(2026,8,31)</f>
        <v>5</v>
      </c>
      <c r="H7437" s="25" t="n">
        <v>109716883</v>
      </c>
      <c r="I7437" t="inlineStr">
        <is>
          <t>entidad-dia</t>
        </is>
      </c>
    </row>
    <row r="7438">
      <c r="A7438" t="inlineStr">
        <is>
          <t>PRAGMA</t>
        </is>
      </c>
      <c r="B7438" t="inlineStr">
        <is>
          <t>M2</t>
        </is>
      </c>
      <c r="C7438" t="inlineStr">
        <is>
          <t>Cali</t>
        </is>
      </c>
      <c r="D7438" t="inlineStr">
        <is>
          <t>7441</t>
        </is>
      </c>
      <c r="E7438" t="inlineStr">
        <is>
          <t>pagado</t>
        </is>
      </c>
      <c r="F7438" s="23" t="n">
        <v>46271</v>
      </c>
      <c r="G7438" s="24">
        <f>F7438-DATE(2026,8,31)</f>
        <v>6</v>
      </c>
      <c r="H7438" s="25" t="n">
        <v>46691835</v>
      </c>
      <c r="I7438" t="inlineStr">
        <is>
          <t>entidad-dia</t>
        </is>
      </c>
    </row>
    <row r="7439">
      <c r="A7439" t="inlineStr">
        <is>
          <t>PRAGMA</t>
        </is>
      </c>
      <c r="B7439" t="inlineStr">
        <is>
          <t>M2</t>
        </is>
      </c>
      <c r="C7439" t="inlineStr">
        <is>
          <t>Cali</t>
        </is>
      </c>
      <c r="D7439" t="inlineStr">
        <is>
          <t>7441</t>
        </is>
      </c>
      <c r="E7439" t="inlineStr">
        <is>
          <t>cash_in</t>
        </is>
      </c>
      <c r="F7439" s="23" t="n">
        <v>46271</v>
      </c>
      <c r="G7439" s="24">
        <f>F7439-DATE(2026,8,31)</f>
        <v>6</v>
      </c>
      <c r="H7439" s="25" t="n">
        <v>58853530</v>
      </c>
      <c r="I7439" t="inlineStr">
        <is>
          <t>entidad-dia</t>
        </is>
      </c>
    </row>
    <row r="7440">
      <c r="A7440" t="inlineStr">
        <is>
          <t>PRAGMA</t>
        </is>
      </c>
      <c r="B7440" t="inlineStr">
        <is>
          <t>M2</t>
        </is>
      </c>
      <c r="C7440" t="inlineStr">
        <is>
          <t>Cali</t>
        </is>
      </c>
      <c r="D7440" t="inlineStr">
        <is>
          <t>7441</t>
        </is>
      </c>
      <c r="E7440" t="inlineStr">
        <is>
          <t>pagado</t>
        </is>
      </c>
      <c r="F7440" s="23" t="n">
        <v>46272</v>
      </c>
      <c r="G7440" s="24">
        <f>F7440-DATE(2026,8,31)</f>
        <v>7</v>
      </c>
      <c r="H7440" s="25" t="n">
        <v>60609150</v>
      </c>
      <c r="I7440" t="inlineStr">
        <is>
          <t>entidad-dia</t>
        </is>
      </c>
    </row>
    <row r="7441">
      <c r="A7441" t="inlineStr">
        <is>
          <t>PRAGMA</t>
        </is>
      </c>
      <c r="B7441" t="inlineStr">
        <is>
          <t>M2</t>
        </is>
      </c>
      <c r="C7441" t="inlineStr">
        <is>
          <t>Cali</t>
        </is>
      </c>
      <c r="D7441" t="inlineStr">
        <is>
          <t>7441</t>
        </is>
      </c>
      <c r="E7441" t="inlineStr">
        <is>
          <t>cash_in</t>
        </is>
      </c>
      <c r="F7441" s="23" t="n">
        <v>46272</v>
      </c>
      <c r="G7441" s="24">
        <f>F7441-DATE(2026,8,31)</f>
        <v>7</v>
      </c>
      <c r="H7441" s="25" t="n">
        <v>108613961</v>
      </c>
      <c r="I7441" t="inlineStr">
        <is>
          <t>entidad-dia</t>
        </is>
      </c>
    </row>
    <row r="7442">
      <c r="A7442" t="inlineStr">
        <is>
          <t>PRAGMA</t>
        </is>
      </c>
      <c r="B7442" t="inlineStr">
        <is>
          <t>M2</t>
        </is>
      </c>
      <c r="C7442" t="inlineStr">
        <is>
          <t>Cali</t>
        </is>
      </c>
      <c r="D7442" t="inlineStr">
        <is>
          <t>7441</t>
        </is>
      </c>
      <c r="E7442" t="inlineStr">
        <is>
          <t>pagado</t>
        </is>
      </c>
      <c r="F7442" s="23" t="n">
        <v>46273</v>
      </c>
      <c r="G7442" s="24">
        <f>F7442-DATE(2026,8,31)</f>
        <v>8</v>
      </c>
      <c r="H7442" s="25" t="n">
        <v>60853136</v>
      </c>
      <c r="I7442" t="inlineStr">
        <is>
          <t>entidad-dia</t>
        </is>
      </c>
    </row>
    <row r="7443">
      <c r="A7443" t="inlineStr">
        <is>
          <t>PRAGMA</t>
        </is>
      </c>
      <c r="B7443" t="inlineStr">
        <is>
          <t>M2</t>
        </is>
      </c>
      <c r="C7443" t="inlineStr">
        <is>
          <t>Cali</t>
        </is>
      </c>
      <c r="D7443" t="inlineStr">
        <is>
          <t>7441</t>
        </is>
      </c>
      <c r="E7443" t="inlineStr">
        <is>
          <t>cash_in</t>
        </is>
      </c>
      <c r="F7443" s="23" t="n">
        <v>46273</v>
      </c>
      <c r="G7443" s="24">
        <f>F7443-DATE(2026,8,31)</f>
        <v>8</v>
      </c>
      <c r="H7443" s="25" t="n">
        <v>99151226</v>
      </c>
      <c r="I7443" t="inlineStr">
        <is>
          <t>entidad-dia</t>
        </is>
      </c>
    </row>
    <row r="7444">
      <c r="A7444" t="inlineStr">
        <is>
          <t>PRAGMA</t>
        </is>
      </c>
      <c r="B7444" t="inlineStr">
        <is>
          <t>M2</t>
        </is>
      </c>
      <c r="C7444" t="inlineStr">
        <is>
          <t>Cali</t>
        </is>
      </c>
      <c r="D7444" t="inlineStr">
        <is>
          <t>7441</t>
        </is>
      </c>
      <c r="E7444" t="inlineStr">
        <is>
          <t>pagado</t>
        </is>
      </c>
      <c r="F7444" s="23" t="n">
        <v>46274</v>
      </c>
      <c r="G7444" s="24">
        <f>F7444-DATE(2026,8,31)</f>
        <v>9</v>
      </c>
      <c r="H7444" s="25" t="n">
        <v>57518912</v>
      </c>
      <c r="I7444" t="inlineStr">
        <is>
          <t>entidad-dia</t>
        </is>
      </c>
    </row>
    <row r="7445">
      <c r="A7445" t="inlineStr">
        <is>
          <t>PRAGMA</t>
        </is>
      </c>
      <c r="B7445" t="inlineStr">
        <is>
          <t>M2</t>
        </is>
      </c>
      <c r="C7445" t="inlineStr">
        <is>
          <t>Cali</t>
        </is>
      </c>
      <c r="D7445" t="inlineStr">
        <is>
          <t>7441</t>
        </is>
      </c>
      <c r="E7445" t="inlineStr">
        <is>
          <t>cash_in</t>
        </is>
      </c>
      <c r="F7445" s="23" t="n">
        <v>46274</v>
      </c>
      <c r="G7445" s="24">
        <f>F7445-DATE(2026,8,31)</f>
        <v>9</v>
      </c>
      <c r="H7445" s="25" t="n">
        <v>89967255</v>
      </c>
      <c r="I7445" t="inlineStr">
        <is>
          <t>entidad-dia</t>
        </is>
      </c>
    </row>
    <row r="7446">
      <c r="A7446" t="inlineStr">
        <is>
          <t>PRAGMA</t>
        </is>
      </c>
      <c r="B7446" t="inlineStr">
        <is>
          <t>M2</t>
        </is>
      </c>
      <c r="C7446" t="inlineStr">
        <is>
          <t>Cali</t>
        </is>
      </c>
      <c r="D7446" t="inlineStr">
        <is>
          <t>7441</t>
        </is>
      </c>
      <c r="E7446" t="inlineStr">
        <is>
          <t>pagado</t>
        </is>
      </c>
      <c r="F7446" s="23" t="n">
        <v>46275</v>
      </c>
      <c r="G7446" s="24">
        <f>F7446-DATE(2026,8,31)</f>
        <v>10</v>
      </c>
      <c r="H7446" s="25" t="n">
        <v>59099913</v>
      </c>
      <c r="I7446" t="inlineStr">
        <is>
          <t>entidad-dia</t>
        </is>
      </c>
    </row>
    <row r="7447">
      <c r="A7447" t="inlineStr">
        <is>
          <t>PRAGMA</t>
        </is>
      </c>
      <c r="B7447" t="inlineStr">
        <is>
          <t>M2</t>
        </is>
      </c>
      <c r="C7447" t="inlineStr">
        <is>
          <t>Cali</t>
        </is>
      </c>
      <c r="D7447" t="inlineStr">
        <is>
          <t>7441</t>
        </is>
      </c>
      <c r="E7447" t="inlineStr">
        <is>
          <t>cash_in</t>
        </is>
      </c>
      <c r="F7447" s="23" t="n">
        <v>46275</v>
      </c>
      <c r="G7447" s="24">
        <f>F7447-DATE(2026,8,31)</f>
        <v>10</v>
      </c>
      <c r="H7447" s="25" t="n">
        <v>86510866</v>
      </c>
      <c r="I7447" t="inlineStr">
        <is>
          <t>entidad-dia</t>
        </is>
      </c>
    </row>
    <row r="7448">
      <c r="A7448" t="inlineStr">
        <is>
          <t>PRAGMA</t>
        </is>
      </c>
      <c r="B7448" t="inlineStr">
        <is>
          <t>M2</t>
        </is>
      </c>
      <c r="C7448" t="inlineStr">
        <is>
          <t>Cali</t>
        </is>
      </c>
      <c r="D7448" t="inlineStr">
        <is>
          <t>7441</t>
        </is>
      </c>
      <c r="E7448" t="inlineStr">
        <is>
          <t>pagado</t>
        </is>
      </c>
      <c r="F7448" s="23" t="n">
        <v>46276</v>
      </c>
      <c r="G7448" s="24">
        <f>F7448-DATE(2026,8,31)</f>
        <v>11</v>
      </c>
      <c r="H7448" s="25" t="n">
        <v>60638934</v>
      </c>
      <c r="I7448" t="inlineStr">
        <is>
          <t>entidad-dia</t>
        </is>
      </c>
    </row>
    <row r="7449">
      <c r="A7449" t="inlineStr">
        <is>
          <t>PRAGMA</t>
        </is>
      </c>
      <c r="B7449" t="inlineStr">
        <is>
          <t>M2</t>
        </is>
      </c>
      <c r="C7449" t="inlineStr">
        <is>
          <t>Cali</t>
        </is>
      </c>
      <c r="D7449" t="inlineStr">
        <is>
          <t>7441</t>
        </is>
      </c>
      <c r="E7449" t="inlineStr">
        <is>
          <t>cash_in</t>
        </is>
      </c>
      <c r="F7449" s="23" t="n">
        <v>46276</v>
      </c>
      <c r="G7449" s="24">
        <f>F7449-DATE(2026,8,31)</f>
        <v>11</v>
      </c>
      <c r="H7449" s="25" t="n">
        <v>87582687</v>
      </c>
      <c r="I7449" t="inlineStr">
        <is>
          <t>entidad-dia</t>
        </is>
      </c>
    </row>
    <row r="7450">
      <c r="A7450" t="inlineStr">
        <is>
          <t>PRAGMA</t>
        </is>
      </c>
      <c r="B7450" t="inlineStr">
        <is>
          <t>M2</t>
        </is>
      </c>
      <c r="C7450" t="inlineStr">
        <is>
          <t>Cali</t>
        </is>
      </c>
      <c r="D7450" t="inlineStr">
        <is>
          <t>7441</t>
        </is>
      </c>
      <c r="E7450" t="inlineStr">
        <is>
          <t>pagado</t>
        </is>
      </c>
      <c r="F7450" s="23" t="n">
        <v>46277</v>
      </c>
      <c r="G7450" s="24">
        <f>F7450-DATE(2026,8,31)</f>
        <v>12</v>
      </c>
      <c r="H7450" s="25" t="n">
        <v>60134024</v>
      </c>
      <c r="I7450" t="inlineStr">
        <is>
          <t>entidad-dia</t>
        </is>
      </c>
    </row>
    <row r="7451">
      <c r="A7451" t="inlineStr">
        <is>
          <t>PRAGMA</t>
        </is>
      </c>
      <c r="B7451" t="inlineStr">
        <is>
          <t>M2</t>
        </is>
      </c>
      <c r="C7451" t="inlineStr">
        <is>
          <t>Cali</t>
        </is>
      </c>
      <c r="D7451" t="inlineStr">
        <is>
          <t>7441</t>
        </is>
      </c>
      <c r="E7451" t="inlineStr">
        <is>
          <t>cash_in</t>
        </is>
      </c>
      <c r="F7451" s="23" t="n">
        <v>46277</v>
      </c>
      <c r="G7451" s="24">
        <f>F7451-DATE(2026,8,31)</f>
        <v>12</v>
      </c>
      <c r="H7451" s="25" t="n">
        <v>95745647</v>
      </c>
      <c r="I7451" t="inlineStr">
        <is>
          <t>entidad-dia</t>
        </is>
      </c>
    </row>
    <row r="7452">
      <c r="A7452" t="inlineStr">
        <is>
          <t>PRAGMA</t>
        </is>
      </c>
      <c r="B7452" t="inlineStr">
        <is>
          <t>M2</t>
        </is>
      </c>
      <c r="C7452" t="inlineStr">
        <is>
          <t>Cali</t>
        </is>
      </c>
      <c r="D7452" t="inlineStr">
        <is>
          <t>7441</t>
        </is>
      </c>
      <c r="E7452" t="inlineStr">
        <is>
          <t>pagado</t>
        </is>
      </c>
      <c r="F7452" s="23" t="n">
        <v>46278</v>
      </c>
      <c r="G7452" s="24">
        <f>F7452-DATE(2026,8,31)</f>
        <v>13</v>
      </c>
      <c r="H7452" s="25" t="n">
        <v>41233843</v>
      </c>
      <c r="I7452" t="inlineStr">
        <is>
          <t>entidad-dia</t>
        </is>
      </c>
    </row>
    <row r="7453">
      <c r="A7453" t="inlineStr">
        <is>
          <t>PRAGMA</t>
        </is>
      </c>
      <c r="B7453" t="inlineStr">
        <is>
          <t>M2</t>
        </is>
      </c>
      <c r="C7453" t="inlineStr">
        <is>
          <t>Cali</t>
        </is>
      </c>
      <c r="D7453" t="inlineStr">
        <is>
          <t>7441</t>
        </is>
      </c>
      <c r="E7453" t="inlineStr">
        <is>
          <t>cash_in</t>
        </is>
      </c>
      <c r="F7453" s="23" t="n">
        <v>46278</v>
      </c>
      <c r="G7453" s="24">
        <f>F7453-DATE(2026,8,31)</f>
        <v>13</v>
      </c>
      <c r="H7453" s="25" t="n">
        <v>49253247</v>
      </c>
      <c r="I7453" t="inlineStr">
        <is>
          <t>entidad-dia</t>
        </is>
      </c>
    </row>
    <row r="7454">
      <c r="A7454" t="inlineStr">
        <is>
          <t>PRAGMA</t>
        </is>
      </c>
      <c r="B7454" t="inlineStr">
        <is>
          <t>M2</t>
        </is>
      </c>
      <c r="C7454" t="inlineStr">
        <is>
          <t>Cali</t>
        </is>
      </c>
      <c r="D7454" t="inlineStr">
        <is>
          <t>7441</t>
        </is>
      </c>
      <c r="E7454" t="inlineStr">
        <is>
          <t>pagado</t>
        </is>
      </c>
      <c r="F7454" s="23" t="n">
        <v>46279</v>
      </c>
      <c r="G7454" s="24">
        <f>F7454-DATE(2026,8,31)</f>
        <v>14</v>
      </c>
      <c r="H7454" s="25" t="n">
        <v>56231769</v>
      </c>
      <c r="I7454" t="inlineStr">
        <is>
          <t>entidad-dia</t>
        </is>
      </c>
    </row>
    <row r="7455">
      <c r="A7455" t="inlineStr">
        <is>
          <t>PRAGMA</t>
        </is>
      </c>
      <c r="B7455" t="inlineStr">
        <is>
          <t>M2</t>
        </is>
      </c>
      <c r="C7455" t="inlineStr">
        <is>
          <t>Cali</t>
        </is>
      </c>
      <c r="D7455" t="inlineStr">
        <is>
          <t>7441</t>
        </is>
      </c>
      <c r="E7455" t="inlineStr">
        <is>
          <t>cash_in</t>
        </is>
      </c>
      <c r="F7455" s="23" t="n">
        <v>46279</v>
      </c>
      <c r="G7455" s="24">
        <f>F7455-DATE(2026,8,31)</f>
        <v>14</v>
      </c>
      <c r="H7455" s="25" t="n">
        <v>91752292</v>
      </c>
      <c r="I7455" t="inlineStr">
        <is>
          <t>entidad-dia</t>
        </is>
      </c>
    </row>
    <row r="7456">
      <c r="A7456" t="inlineStr">
        <is>
          <t>PRAGMA</t>
        </is>
      </c>
      <c r="B7456" t="inlineStr">
        <is>
          <t>M2</t>
        </is>
      </c>
      <c r="C7456" t="inlineStr">
        <is>
          <t>Cali</t>
        </is>
      </c>
      <c r="D7456" t="inlineStr">
        <is>
          <t>7441</t>
        </is>
      </c>
      <c r="E7456" t="inlineStr">
        <is>
          <t>pagado</t>
        </is>
      </c>
      <c r="F7456" s="23" t="n">
        <v>46280</v>
      </c>
      <c r="G7456" s="24">
        <f>F7456-DATE(2026,8,31)</f>
        <v>15</v>
      </c>
      <c r="H7456" s="25" t="n">
        <v>79122476</v>
      </c>
      <c r="I7456" t="inlineStr">
        <is>
          <t>entidad-dia</t>
        </is>
      </c>
    </row>
    <row r="7457">
      <c r="A7457" t="inlineStr">
        <is>
          <t>PRAGMA</t>
        </is>
      </c>
      <c r="B7457" t="inlineStr">
        <is>
          <t>M2</t>
        </is>
      </c>
      <c r="C7457" t="inlineStr">
        <is>
          <t>Cali</t>
        </is>
      </c>
      <c r="D7457" t="inlineStr">
        <is>
          <t>7441</t>
        </is>
      </c>
      <c r="E7457" t="inlineStr">
        <is>
          <t>cash_in</t>
        </is>
      </c>
      <c r="F7457" s="23" t="n">
        <v>46280</v>
      </c>
      <c r="G7457" s="24">
        <f>F7457-DATE(2026,8,31)</f>
        <v>15</v>
      </c>
      <c r="H7457" s="25" t="n">
        <v>103152906</v>
      </c>
      <c r="I7457" t="inlineStr">
        <is>
          <t>entidad-dia</t>
        </is>
      </c>
    </row>
    <row r="7458">
      <c r="A7458" t="inlineStr">
        <is>
          <t>PRAGMA</t>
        </is>
      </c>
      <c r="B7458" t="inlineStr">
        <is>
          <t>M2</t>
        </is>
      </c>
      <c r="C7458" t="inlineStr">
        <is>
          <t>Cali</t>
        </is>
      </c>
      <c r="D7458" t="inlineStr">
        <is>
          <t>7442</t>
        </is>
      </c>
      <c r="E7458" t="inlineStr">
        <is>
          <t>pagado</t>
        </is>
      </c>
      <c r="F7458" s="23" t="n">
        <v>46266</v>
      </c>
      <c r="G7458" s="24">
        <f>F7458-DATE(2026,8,31)</f>
        <v>1</v>
      </c>
      <c r="H7458" s="25" t="n">
        <v>63130317</v>
      </c>
      <c r="I7458" t="inlineStr">
        <is>
          <t>entidad-dia</t>
        </is>
      </c>
    </row>
    <row r="7459">
      <c r="A7459" t="inlineStr">
        <is>
          <t>PRAGMA</t>
        </is>
      </c>
      <c r="B7459" t="inlineStr">
        <is>
          <t>M2</t>
        </is>
      </c>
      <c r="C7459" t="inlineStr">
        <is>
          <t>Cali</t>
        </is>
      </c>
      <c r="D7459" t="inlineStr">
        <is>
          <t>7442</t>
        </is>
      </c>
      <c r="E7459" t="inlineStr">
        <is>
          <t>cash_in</t>
        </is>
      </c>
      <c r="F7459" s="23" t="n">
        <v>46266</v>
      </c>
      <c r="G7459" s="24">
        <f>F7459-DATE(2026,8,31)</f>
        <v>1</v>
      </c>
      <c r="H7459" s="25" t="n">
        <v>96105346</v>
      </c>
      <c r="I7459" t="inlineStr">
        <is>
          <t>entidad-dia</t>
        </is>
      </c>
    </row>
    <row r="7460">
      <c r="A7460" t="inlineStr">
        <is>
          <t>PRAGMA</t>
        </is>
      </c>
      <c r="B7460" t="inlineStr">
        <is>
          <t>M2</t>
        </is>
      </c>
      <c r="C7460" t="inlineStr">
        <is>
          <t>Cali</t>
        </is>
      </c>
      <c r="D7460" t="inlineStr">
        <is>
          <t>7442</t>
        </is>
      </c>
      <c r="E7460" t="inlineStr">
        <is>
          <t>pagado</t>
        </is>
      </c>
      <c r="F7460" s="23" t="n">
        <v>46267</v>
      </c>
      <c r="G7460" s="24">
        <f>F7460-DATE(2026,8,31)</f>
        <v>2</v>
      </c>
      <c r="H7460" s="25" t="n">
        <v>56575471</v>
      </c>
      <c r="I7460" t="inlineStr">
        <is>
          <t>entidad-dia</t>
        </is>
      </c>
    </row>
    <row r="7461">
      <c r="A7461" t="inlineStr">
        <is>
          <t>PRAGMA</t>
        </is>
      </c>
      <c r="B7461" t="inlineStr">
        <is>
          <t>M2</t>
        </is>
      </c>
      <c r="C7461" t="inlineStr">
        <is>
          <t>Cali</t>
        </is>
      </c>
      <c r="D7461" t="inlineStr">
        <is>
          <t>7442</t>
        </is>
      </c>
      <c r="E7461" t="inlineStr">
        <is>
          <t>cash_in</t>
        </is>
      </c>
      <c r="F7461" s="23" t="n">
        <v>46267</v>
      </c>
      <c r="G7461" s="24">
        <f>F7461-DATE(2026,8,31)</f>
        <v>2</v>
      </c>
      <c r="H7461" s="25" t="n">
        <v>85939239</v>
      </c>
      <c r="I7461" t="inlineStr">
        <is>
          <t>entidad-dia</t>
        </is>
      </c>
    </row>
    <row r="7462">
      <c r="A7462" t="inlineStr">
        <is>
          <t>PRAGMA</t>
        </is>
      </c>
      <c r="B7462" t="inlineStr">
        <is>
          <t>M2</t>
        </is>
      </c>
      <c r="C7462" t="inlineStr">
        <is>
          <t>Cali</t>
        </is>
      </c>
      <c r="D7462" t="inlineStr">
        <is>
          <t>7442</t>
        </is>
      </c>
      <c r="E7462" t="inlineStr">
        <is>
          <t>pagado</t>
        </is>
      </c>
      <c r="F7462" s="23" t="n">
        <v>46268</v>
      </c>
      <c r="G7462" s="24">
        <f>F7462-DATE(2026,8,31)</f>
        <v>3</v>
      </c>
      <c r="H7462" s="25" t="n">
        <v>50355161</v>
      </c>
      <c r="I7462" t="inlineStr">
        <is>
          <t>entidad-dia</t>
        </is>
      </c>
    </row>
    <row r="7463">
      <c r="A7463" t="inlineStr">
        <is>
          <t>PRAGMA</t>
        </is>
      </c>
      <c r="B7463" t="inlineStr">
        <is>
          <t>M2</t>
        </is>
      </c>
      <c r="C7463" t="inlineStr">
        <is>
          <t>Cali</t>
        </is>
      </c>
      <c r="D7463" t="inlineStr">
        <is>
          <t>7442</t>
        </is>
      </c>
      <c r="E7463" t="inlineStr">
        <is>
          <t>cash_in</t>
        </is>
      </c>
      <c r="F7463" s="23" t="n">
        <v>46268</v>
      </c>
      <c r="G7463" s="24">
        <f>F7463-DATE(2026,8,31)</f>
        <v>3</v>
      </c>
      <c r="H7463" s="25" t="n">
        <v>87790529</v>
      </c>
      <c r="I7463" t="inlineStr">
        <is>
          <t>entidad-dia</t>
        </is>
      </c>
    </row>
    <row r="7464">
      <c r="A7464" t="inlineStr">
        <is>
          <t>PRAGMA</t>
        </is>
      </c>
      <c r="B7464" t="inlineStr">
        <is>
          <t>M2</t>
        </is>
      </c>
      <c r="C7464" t="inlineStr">
        <is>
          <t>Cali</t>
        </is>
      </c>
      <c r="D7464" t="inlineStr">
        <is>
          <t>7442</t>
        </is>
      </c>
      <c r="E7464" t="inlineStr">
        <is>
          <t>pagado</t>
        </is>
      </c>
      <c r="F7464" s="23" t="n">
        <v>46269</v>
      </c>
      <c r="G7464" s="24">
        <f>F7464-DATE(2026,8,31)</f>
        <v>4</v>
      </c>
      <c r="H7464" s="25" t="n">
        <v>49058523</v>
      </c>
      <c r="I7464" t="inlineStr">
        <is>
          <t>entidad-dia</t>
        </is>
      </c>
    </row>
    <row r="7465">
      <c r="A7465" t="inlineStr">
        <is>
          <t>PRAGMA</t>
        </is>
      </c>
      <c r="B7465" t="inlineStr">
        <is>
          <t>M2</t>
        </is>
      </c>
      <c r="C7465" t="inlineStr">
        <is>
          <t>Cali</t>
        </is>
      </c>
      <c r="D7465" t="inlineStr">
        <is>
          <t>7442</t>
        </is>
      </c>
      <c r="E7465" t="inlineStr">
        <is>
          <t>cash_in</t>
        </is>
      </c>
      <c r="F7465" s="23" t="n">
        <v>46269</v>
      </c>
      <c r="G7465" s="24">
        <f>F7465-DATE(2026,8,31)</f>
        <v>4</v>
      </c>
      <c r="H7465" s="25" t="n">
        <v>89453583</v>
      </c>
      <c r="I7465" t="inlineStr">
        <is>
          <t>entidad-dia</t>
        </is>
      </c>
    </row>
    <row r="7466">
      <c r="A7466" t="inlineStr">
        <is>
          <t>PRAGMA</t>
        </is>
      </c>
      <c r="B7466" t="inlineStr">
        <is>
          <t>M2</t>
        </is>
      </c>
      <c r="C7466" t="inlineStr">
        <is>
          <t>Cali</t>
        </is>
      </c>
      <c r="D7466" t="inlineStr">
        <is>
          <t>7442</t>
        </is>
      </c>
      <c r="E7466" t="inlineStr">
        <is>
          <t>pagado</t>
        </is>
      </c>
      <c r="F7466" s="23" t="n">
        <v>46270</v>
      </c>
      <c r="G7466" s="24">
        <f>F7466-DATE(2026,8,31)</f>
        <v>5</v>
      </c>
      <c r="H7466" s="25" t="n">
        <v>57368362</v>
      </c>
      <c r="I7466" t="inlineStr">
        <is>
          <t>entidad-dia</t>
        </is>
      </c>
    </row>
    <row r="7467">
      <c r="A7467" t="inlineStr">
        <is>
          <t>PRAGMA</t>
        </is>
      </c>
      <c r="B7467" t="inlineStr">
        <is>
          <t>M2</t>
        </is>
      </c>
      <c r="C7467" t="inlineStr">
        <is>
          <t>Cali</t>
        </is>
      </c>
      <c r="D7467" t="inlineStr">
        <is>
          <t>7442</t>
        </is>
      </c>
      <c r="E7467" t="inlineStr">
        <is>
          <t>cash_in</t>
        </is>
      </c>
      <c r="F7467" s="23" t="n">
        <v>46270</v>
      </c>
      <c r="G7467" s="24">
        <f>F7467-DATE(2026,8,31)</f>
        <v>5</v>
      </c>
      <c r="H7467" s="25" t="n">
        <v>91237692</v>
      </c>
      <c r="I7467" t="inlineStr">
        <is>
          <t>entidad-dia</t>
        </is>
      </c>
    </row>
    <row r="7468">
      <c r="A7468" t="inlineStr">
        <is>
          <t>PRAGMA</t>
        </is>
      </c>
      <c r="B7468" t="inlineStr">
        <is>
          <t>M2</t>
        </is>
      </c>
      <c r="C7468" t="inlineStr">
        <is>
          <t>Cali</t>
        </is>
      </c>
      <c r="D7468" t="inlineStr">
        <is>
          <t>7442</t>
        </is>
      </c>
      <c r="E7468" t="inlineStr">
        <is>
          <t>pagado</t>
        </is>
      </c>
      <c r="F7468" s="23" t="n">
        <v>46271</v>
      </c>
      <c r="G7468" s="24">
        <f>F7468-DATE(2026,8,31)</f>
        <v>6</v>
      </c>
      <c r="H7468" s="25" t="n">
        <v>40198506</v>
      </c>
      <c r="I7468" t="inlineStr">
        <is>
          <t>entidad-dia</t>
        </is>
      </c>
    </row>
    <row r="7469">
      <c r="A7469" t="inlineStr">
        <is>
          <t>PRAGMA</t>
        </is>
      </c>
      <c r="B7469" t="inlineStr">
        <is>
          <t>M2</t>
        </is>
      </c>
      <c r="C7469" t="inlineStr">
        <is>
          <t>Cali</t>
        </is>
      </c>
      <c r="D7469" t="inlineStr">
        <is>
          <t>7442</t>
        </is>
      </c>
      <c r="E7469" t="inlineStr">
        <is>
          <t>cash_in</t>
        </is>
      </c>
      <c r="F7469" s="23" t="n">
        <v>46271</v>
      </c>
      <c r="G7469" s="24">
        <f>F7469-DATE(2026,8,31)</f>
        <v>6</v>
      </c>
      <c r="H7469" s="25" t="n">
        <v>49161212</v>
      </c>
      <c r="I7469" t="inlineStr">
        <is>
          <t>entidad-dia</t>
        </is>
      </c>
    </row>
    <row r="7470">
      <c r="A7470" t="inlineStr">
        <is>
          <t>PRAGMA</t>
        </is>
      </c>
      <c r="B7470" t="inlineStr">
        <is>
          <t>M2</t>
        </is>
      </c>
      <c r="C7470" t="inlineStr">
        <is>
          <t>Cali</t>
        </is>
      </c>
      <c r="D7470" t="inlineStr">
        <is>
          <t>7442</t>
        </is>
      </c>
      <c r="E7470" t="inlineStr">
        <is>
          <t>pagado</t>
        </is>
      </c>
      <c r="F7470" s="23" t="n">
        <v>46272</v>
      </c>
      <c r="G7470" s="24">
        <f>F7470-DATE(2026,8,31)</f>
        <v>7</v>
      </c>
      <c r="H7470" s="25" t="n">
        <v>47883115</v>
      </c>
      <c r="I7470" t="inlineStr">
        <is>
          <t>entidad-dia</t>
        </is>
      </c>
    </row>
    <row r="7471">
      <c r="A7471" t="inlineStr">
        <is>
          <t>PRAGMA</t>
        </is>
      </c>
      <c r="B7471" t="inlineStr">
        <is>
          <t>M2</t>
        </is>
      </c>
      <c r="C7471" t="inlineStr">
        <is>
          <t>Cali</t>
        </is>
      </c>
      <c r="D7471" t="inlineStr">
        <is>
          <t>7442</t>
        </is>
      </c>
      <c r="E7471" t="inlineStr">
        <is>
          <t>cash_in</t>
        </is>
      </c>
      <c r="F7471" s="23" t="n">
        <v>46272</v>
      </c>
      <c r="G7471" s="24">
        <f>F7471-DATE(2026,8,31)</f>
        <v>7</v>
      </c>
      <c r="H7471" s="25" t="n">
        <v>92179734</v>
      </c>
      <c r="I7471" t="inlineStr">
        <is>
          <t>entidad-dia</t>
        </is>
      </c>
    </row>
    <row r="7472">
      <c r="A7472" t="inlineStr">
        <is>
          <t>PRAGMA</t>
        </is>
      </c>
      <c r="B7472" t="inlineStr">
        <is>
          <t>M2</t>
        </is>
      </c>
      <c r="C7472" t="inlineStr">
        <is>
          <t>Cali</t>
        </is>
      </c>
      <c r="D7472" t="inlineStr">
        <is>
          <t>7442</t>
        </is>
      </c>
      <c r="E7472" t="inlineStr">
        <is>
          <t>pagado</t>
        </is>
      </c>
      <c r="F7472" s="23" t="n">
        <v>46273</v>
      </c>
      <c r="G7472" s="24">
        <f>F7472-DATE(2026,8,31)</f>
        <v>8</v>
      </c>
      <c r="H7472" s="25" t="n">
        <v>44418269</v>
      </c>
      <c r="I7472" t="inlineStr">
        <is>
          <t>entidad-dia</t>
        </is>
      </c>
    </row>
    <row r="7473">
      <c r="A7473" t="inlineStr">
        <is>
          <t>PRAGMA</t>
        </is>
      </c>
      <c r="B7473" t="inlineStr">
        <is>
          <t>M2</t>
        </is>
      </c>
      <c r="C7473" t="inlineStr">
        <is>
          <t>Cali</t>
        </is>
      </c>
      <c r="D7473" t="inlineStr">
        <is>
          <t>7442</t>
        </is>
      </c>
      <c r="E7473" t="inlineStr">
        <is>
          <t>cash_in</t>
        </is>
      </c>
      <c r="F7473" s="23" t="n">
        <v>46273</v>
      </c>
      <c r="G7473" s="24">
        <f>F7473-DATE(2026,8,31)</f>
        <v>8</v>
      </c>
      <c r="H7473" s="25" t="n">
        <v>86107491</v>
      </c>
      <c r="I7473" t="inlineStr">
        <is>
          <t>entidad-dia</t>
        </is>
      </c>
    </row>
    <row r="7474">
      <c r="A7474" t="inlineStr">
        <is>
          <t>PRAGMA</t>
        </is>
      </c>
      <c r="B7474" t="inlineStr">
        <is>
          <t>M2</t>
        </is>
      </c>
      <c r="C7474" t="inlineStr">
        <is>
          <t>Cali</t>
        </is>
      </c>
      <c r="D7474" t="inlineStr">
        <is>
          <t>7442</t>
        </is>
      </c>
      <c r="E7474" t="inlineStr">
        <is>
          <t>pagado</t>
        </is>
      </c>
      <c r="F7474" s="23" t="n">
        <v>46274</v>
      </c>
      <c r="G7474" s="24">
        <f>F7474-DATE(2026,8,31)</f>
        <v>9</v>
      </c>
      <c r="H7474" s="25" t="n">
        <v>44922457</v>
      </c>
      <c r="I7474" t="inlineStr">
        <is>
          <t>entidad-dia</t>
        </is>
      </c>
    </row>
    <row r="7475">
      <c r="A7475" t="inlineStr">
        <is>
          <t>PRAGMA</t>
        </is>
      </c>
      <c r="B7475" t="inlineStr">
        <is>
          <t>M2</t>
        </is>
      </c>
      <c r="C7475" t="inlineStr">
        <is>
          <t>Cali</t>
        </is>
      </c>
      <c r="D7475" t="inlineStr">
        <is>
          <t>7442</t>
        </is>
      </c>
      <c r="E7475" t="inlineStr">
        <is>
          <t>cash_in</t>
        </is>
      </c>
      <c r="F7475" s="23" t="n">
        <v>46274</v>
      </c>
      <c r="G7475" s="24">
        <f>F7475-DATE(2026,8,31)</f>
        <v>9</v>
      </c>
      <c r="H7475" s="25" t="n">
        <v>79533843</v>
      </c>
      <c r="I7475" t="inlineStr">
        <is>
          <t>entidad-dia</t>
        </is>
      </c>
    </row>
    <row r="7476">
      <c r="A7476" t="inlineStr">
        <is>
          <t>PRAGMA</t>
        </is>
      </c>
      <c r="B7476" t="inlineStr">
        <is>
          <t>M2</t>
        </is>
      </c>
      <c r="C7476" t="inlineStr">
        <is>
          <t>Cali</t>
        </is>
      </c>
      <c r="D7476" t="inlineStr">
        <is>
          <t>7442</t>
        </is>
      </c>
      <c r="E7476" t="inlineStr">
        <is>
          <t>pagado</t>
        </is>
      </c>
      <c r="F7476" s="23" t="n">
        <v>46275</v>
      </c>
      <c r="G7476" s="24">
        <f>F7476-DATE(2026,8,31)</f>
        <v>10</v>
      </c>
      <c r="H7476" s="25" t="n">
        <v>39019726</v>
      </c>
      <c r="I7476" t="inlineStr">
        <is>
          <t>entidad-dia</t>
        </is>
      </c>
    </row>
    <row r="7477">
      <c r="A7477" t="inlineStr">
        <is>
          <t>PRAGMA</t>
        </is>
      </c>
      <c r="B7477" t="inlineStr">
        <is>
          <t>M2</t>
        </is>
      </c>
      <c r="C7477" t="inlineStr">
        <is>
          <t>Cali</t>
        </is>
      </c>
      <c r="D7477" t="inlineStr">
        <is>
          <t>7442</t>
        </is>
      </c>
      <c r="E7477" t="inlineStr">
        <is>
          <t>cash_in</t>
        </is>
      </c>
      <c r="F7477" s="23" t="n">
        <v>46275</v>
      </c>
      <c r="G7477" s="24">
        <f>F7477-DATE(2026,8,31)</f>
        <v>10</v>
      </c>
      <c r="H7477" s="25" t="n">
        <v>78632022</v>
      </c>
      <c r="I7477" t="inlineStr">
        <is>
          <t>entidad-dia</t>
        </is>
      </c>
    </row>
    <row r="7478">
      <c r="A7478" t="inlineStr">
        <is>
          <t>PRAGMA</t>
        </is>
      </c>
      <c r="B7478" t="inlineStr">
        <is>
          <t>M2</t>
        </is>
      </c>
      <c r="C7478" t="inlineStr">
        <is>
          <t>Cali</t>
        </is>
      </c>
      <c r="D7478" t="inlineStr">
        <is>
          <t>7442</t>
        </is>
      </c>
      <c r="E7478" t="inlineStr">
        <is>
          <t>pagado</t>
        </is>
      </c>
      <c r="F7478" s="23" t="n">
        <v>46276</v>
      </c>
      <c r="G7478" s="24">
        <f>F7478-DATE(2026,8,31)</f>
        <v>11</v>
      </c>
      <c r="H7478" s="25" t="n">
        <v>42724451</v>
      </c>
      <c r="I7478" t="inlineStr">
        <is>
          <t>entidad-dia</t>
        </is>
      </c>
    </row>
    <row r="7479">
      <c r="A7479" t="inlineStr">
        <is>
          <t>PRAGMA</t>
        </is>
      </c>
      <c r="B7479" t="inlineStr">
        <is>
          <t>M2</t>
        </is>
      </c>
      <c r="C7479" t="inlineStr">
        <is>
          <t>Cali</t>
        </is>
      </c>
      <c r="D7479" t="inlineStr">
        <is>
          <t>7442</t>
        </is>
      </c>
      <c r="E7479" t="inlineStr">
        <is>
          <t>cash_in</t>
        </is>
      </c>
      <c r="F7479" s="23" t="n">
        <v>46276</v>
      </c>
      <c r="G7479" s="24">
        <f>F7479-DATE(2026,8,31)</f>
        <v>11</v>
      </c>
      <c r="H7479" s="25" t="n">
        <v>83621884</v>
      </c>
      <c r="I7479" t="inlineStr">
        <is>
          <t>entidad-dia</t>
        </is>
      </c>
    </row>
    <row r="7480">
      <c r="A7480" t="inlineStr">
        <is>
          <t>PRAGMA</t>
        </is>
      </c>
      <c r="B7480" t="inlineStr">
        <is>
          <t>M2</t>
        </is>
      </c>
      <c r="C7480" t="inlineStr">
        <is>
          <t>Cali</t>
        </is>
      </c>
      <c r="D7480" t="inlineStr">
        <is>
          <t>7442</t>
        </is>
      </c>
      <c r="E7480" t="inlineStr">
        <is>
          <t>pagado</t>
        </is>
      </c>
      <c r="F7480" s="23" t="n">
        <v>46277</v>
      </c>
      <c r="G7480" s="24">
        <f>F7480-DATE(2026,8,31)</f>
        <v>12</v>
      </c>
      <c r="H7480" s="25" t="n">
        <v>49599818</v>
      </c>
      <c r="I7480" t="inlineStr">
        <is>
          <t>entidad-dia</t>
        </is>
      </c>
    </row>
    <row r="7481">
      <c r="A7481" t="inlineStr">
        <is>
          <t>PRAGMA</t>
        </is>
      </c>
      <c r="B7481" t="inlineStr">
        <is>
          <t>M2</t>
        </is>
      </c>
      <c r="C7481" t="inlineStr">
        <is>
          <t>Cali</t>
        </is>
      </c>
      <c r="D7481" t="inlineStr">
        <is>
          <t>7442</t>
        </is>
      </c>
      <c r="E7481" t="inlineStr">
        <is>
          <t>cash_in</t>
        </is>
      </c>
      <c r="F7481" s="23" t="n">
        <v>46277</v>
      </c>
      <c r="G7481" s="24">
        <f>F7481-DATE(2026,8,31)</f>
        <v>12</v>
      </c>
      <c r="H7481" s="25" t="n">
        <v>84954269</v>
      </c>
      <c r="I7481" t="inlineStr">
        <is>
          <t>entidad-dia</t>
        </is>
      </c>
    </row>
    <row r="7482">
      <c r="A7482" t="inlineStr">
        <is>
          <t>PRAGMA</t>
        </is>
      </c>
      <c r="B7482" t="inlineStr">
        <is>
          <t>M2</t>
        </is>
      </c>
      <c r="C7482" t="inlineStr">
        <is>
          <t>Cali</t>
        </is>
      </c>
      <c r="D7482" t="inlineStr">
        <is>
          <t>7442</t>
        </is>
      </c>
      <c r="E7482" t="inlineStr">
        <is>
          <t>pagado</t>
        </is>
      </c>
      <c r="F7482" s="23" t="n">
        <v>46278</v>
      </c>
      <c r="G7482" s="24">
        <f>F7482-DATE(2026,8,31)</f>
        <v>13</v>
      </c>
      <c r="H7482" s="25" t="n">
        <v>38348035</v>
      </c>
      <c r="I7482" t="inlineStr">
        <is>
          <t>entidad-dia</t>
        </is>
      </c>
    </row>
    <row r="7483">
      <c r="A7483" t="inlineStr">
        <is>
          <t>PRAGMA</t>
        </is>
      </c>
      <c r="B7483" t="inlineStr">
        <is>
          <t>M2</t>
        </is>
      </c>
      <c r="C7483" t="inlineStr">
        <is>
          <t>Cali</t>
        </is>
      </c>
      <c r="D7483" t="inlineStr">
        <is>
          <t>7442</t>
        </is>
      </c>
      <c r="E7483" t="inlineStr">
        <is>
          <t>cash_in</t>
        </is>
      </c>
      <c r="F7483" s="23" t="n">
        <v>46278</v>
      </c>
      <c r="G7483" s="24">
        <f>F7483-DATE(2026,8,31)</f>
        <v>13</v>
      </c>
      <c r="H7483" s="25" t="n">
        <v>44693142</v>
      </c>
      <c r="I7483" t="inlineStr">
        <is>
          <t>entidad-dia</t>
        </is>
      </c>
    </row>
    <row r="7484">
      <c r="A7484" t="inlineStr">
        <is>
          <t>PRAGMA</t>
        </is>
      </c>
      <c r="B7484" t="inlineStr">
        <is>
          <t>M2</t>
        </is>
      </c>
      <c r="C7484" t="inlineStr">
        <is>
          <t>Cali</t>
        </is>
      </c>
      <c r="D7484" t="inlineStr">
        <is>
          <t>7442</t>
        </is>
      </c>
      <c r="E7484" t="inlineStr">
        <is>
          <t>pagado</t>
        </is>
      </c>
      <c r="F7484" s="23" t="n">
        <v>46279</v>
      </c>
      <c r="G7484" s="24">
        <f>F7484-DATE(2026,8,31)</f>
        <v>14</v>
      </c>
      <c r="H7484" s="25" t="n">
        <v>43664532</v>
      </c>
      <c r="I7484" t="inlineStr">
        <is>
          <t>entidad-dia</t>
        </is>
      </c>
    </row>
    <row r="7485">
      <c r="A7485" t="inlineStr">
        <is>
          <t>PRAGMA</t>
        </is>
      </c>
      <c r="B7485" t="inlineStr">
        <is>
          <t>M2</t>
        </is>
      </c>
      <c r="C7485" t="inlineStr">
        <is>
          <t>Cali</t>
        </is>
      </c>
      <c r="D7485" t="inlineStr">
        <is>
          <t>7442</t>
        </is>
      </c>
      <c r="E7485" t="inlineStr">
        <is>
          <t>cash_in</t>
        </is>
      </c>
      <c r="F7485" s="23" t="n">
        <v>46279</v>
      </c>
      <c r="G7485" s="24">
        <f>F7485-DATE(2026,8,31)</f>
        <v>14</v>
      </c>
      <c r="H7485" s="25" t="n">
        <v>84808329</v>
      </c>
      <c r="I7485" t="inlineStr">
        <is>
          <t>entidad-dia</t>
        </is>
      </c>
    </row>
    <row r="7486">
      <c r="A7486" t="inlineStr">
        <is>
          <t>PRAGMA</t>
        </is>
      </c>
      <c r="B7486" t="inlineStr">
        <is>
          <t>M2</t>
        </is>
      </c>
      <c r="C7486" t="inlineStr">
        <is>
          <t>Cali</t>
        </is>
      </c>
      <c r="D7486" t="inlineStr">
        <is>
          <t>7442</t>
        </is>
      </c>
      <c r="E7486" t="inlineStr">
        <is>
          <t>pagado</t>
        </is>
      </c>
      <c r="F7486" s="23" t="n">
        <v>46280</v>
      </c>
      <c r="G7486" s="24">
        <f>F7486-DATE(2026,8,31)</f>
        <v>15</v>
      </c>
      <c r="H7486" s="25" t="n">
        <v>51971954</v>
      </c>
      <c r="I7486" t="inlineStr">
        <is>
          <t>entidad-dia</t>
        </is>
      </c>
    </row>
    <row r="7487">
      <c r="A7487" t="inlineStr">
        <is>
          <t>PRAGMA</t>
        </is>
      </c>
      <c r="B7487" t="inlineStr">
        <is>
          <t>M2</t>
        </is>
      </c>
      <c r="C7487" t="inlineStr">
        <is>
          <t>Cali</t>
        </is>
      </c>
      <c r="D7487" t="inlineStr">
        <is>
          <t>7442</t>
        </is>
      </c>
      <c r="E7487" t="inlineStr">
        <is>
          <t>cash_in</t>
        </is>
      </c>
      <c r="F7487" s="23" t="n">
        <v>46280</v>
      </c>
      <c r="G7487" s="24">
        <f>F7487-DATE(2026,8,31)</f>
        <v>15</v>
      </c>
      <c r="H7487" s="25" t="n">
        <v>90998353</v>
      </c>
      <c r="I7487" t="inlineStr">
        <is>
          <t>entidad-dia</t>
        </is>
      </c>
    </row>
    <row r="7488">
      <c r="A7488" t="inlineStr">
        <is>
          <t>PRAGMA</t>
        </is>
      </c>
      <c r="B7488" t="inlineStr">
        <is>
          <t>M2</t>
        </is>
      </c>
      <c r="C7488" t="inlineStr">
        <is>
          <t>Cali</t>
        </is>
      </c>
      <c r="D7488" t="inlineStr">
        <is>
          <t>7567</t>
        </is>
      </c>
      <c r="E7488" t="inlineStr">
        <is>
          <t>pagado</t>
        </is>
      </c>
      <c r="F7488" s="23" t="n">
        <v>46266</v>
      </c>
      <c r="G7488" s="24">
        <f>F7488-DATE(2026,8,31)</f>
        <v>1</v>
      </c>
      <c r="H7488" s="25" t="n">
        <v>42592124</v>
      </c>
      <c r="I7488" t="inlineStr">
        <is>
          <t>entidad-dia</t>
        </is>
      </c>
    </row>
    <row r="7489">
      <c r="A7489" t="inlineStr">
        <is>
          <t>PRAGMA</t>
        </is>
      </c>
      <c r="B7489" t="inlineStr">
        <is>
          <t>M2</t>
        </is>
      </c>
      <c r="C7489" t="inlineStr">
        <is>
          <t>Cali</t>
        </is>
      </c>
      <c r="D7489" t="inlineStr">
        <is>
          <t>7567</t>
        </is>
      </c>
      <c r="E7489" t="inlineStr">
        <is>
          <t>cash_in</t>
        </is>
      </c>
      <c r="F7489" s="23" t="n">
        <v>46266</v>
      </c>
      <c r="G7489" s="24">
        <f>F7489-DATE(2026,8,31)</f>
        <v>1</v>
      </c>
      <c r="H7489" s="25" t="n">
        <v>210773082</v>
      </c>
      <c r="I7489" t="inlineStr">
        <is>
          <t>entidad-dia</t>
        </is>
      </c>
    </row>
    <row r="7490">
      <c r="A7490" t="inlineStr">
        <is>
          <t>PRAGMA</t>
        </is>
      </c>
      <c r="B7490" t="inlineStr">
        <is>
          <t>M2</t>
        </is>
      </c>
      <c r="C7490" t="inlineStr">
        <is>
          <t>Cali</t>
        </is>
      </c>
      <c r="D7490" t="inlineStr">
        <is>
          <t>7567</t>
        </is>
      </c>
      <c r="E7490" t="inlineStr">
        <is>
          <t>pagado</t>
        </is>
      </c>
      <c r="F7490" s="23" t="n">
        <v>46267</v>
      </c>
      <c r="G7490" s="24">
        <f>F7490-DATE(2026,8,31)</f>
        <v>2</v>
      </c>
      <c r="H7490" s="25" t="n">
        <v>35400415</v>
      </c>
      <c r="I7490" t="inlineStr">
        <is>
          <t>entidad-dia</t>
        </is>
      </c>
    </row>
    <row r="7491">
      <c r="A7491" t="inlineStr">
        <is>
          <t>PRAGMA</t>
        </is>
      </c>
      <c r="B7491" t="inlineStr">
        <is>
          <t>M2</t>
        </is>
      </c>
      <c r="C7491" t="inlineStr">
        <is>
          <t>Cali</t>
        </is>
      </c>
      <c r="D7491" t="inlineStr">
        <is>
          <t>7567</t>
        </is>
      </c>
      <c r="E7491" t="inlineStr">
        <is>
          <t>cash_in</t>
        </is>
      </c>
      <c r="F7491" s="23" t="n">
        <v>46267</v>
      </c>
      <c r="G7491" s="24">
        <f>F7491-DATE(2026,8,31)</f>
        <v>2</v>
      </c>
      <c r="H7491" s="25" t="n">
        <v>189607153</v>
      </c>
      <c r="I7491" t="inlineStr">
        <is>
          <t>entidad-dia</t>
        </is>
      </c>
    </row>
    <row r="7492">
      <c r="A7492" t="inlineStr">
        <is>
          <t>PRAGMA</t>
        </is>
      </c>
      <c r="B7492" t="inlineStr">
        <is>
          <t>M2</t>
        </is>
      </c>
      <c r="C7492" t="inlineStr">
        <is>
          <t>Cali</t>
        </is>
      </c>
      <c r="D7492" t="inlineStr">
        <is>
          <t>7567</t>
        </is>
      </c>
      <c r="E7492" t="inlineStr">
        <is>
          <t>pagado</t>
        </is>
      </c>
      <c r="F7492" s="23" t="n">
        <v>46268</v>
      </c>
      <c r="G7492" s="24">
        <f>F7492-DATE(2026,8,31)</f>
        <v>3</v>
      </c>
      <c r="H7492" s="25" t="n">
        <v>33753645</v>
      </c>
      <c r="I7492" t="inlineStr">
        <is>
          <t>entidad-dia</t>
        </is>
      </c>
    </row>
    <row r="7493">
      <c r="A7493" t="inlineStr">
        <is>
          <t>PRAGMA</t>
        </is>
      </c>
      <c r="B7493" t="inlineStr">
        <is>
          <t>M2</t>
        </is>
      </c>
      <c r="C7493" t="inlineStr">
        <is>
          <t>Cali</t>
        </is>
      </c>
      <c r="D7493" t="inlineStr">
        <is>
          <t>7567</t>
        </is>
      </c>
      <c r="E7493" t="inlineStr">
        <is>
          <t>cash_in</t>
        </is>
      </c>
      <c r="F7493" s="23" t="n">
        <v>46268</v>
      </c>
      <c r="G7493" s="24">
        <f>F7493-DATE(2026,8,31)</f>
        <v>3</v>
      </c>
      <c r="H7493" s="25" t="n">
        <v>187898375</v>
      </c>
      <c r="I7493" t="inlineStr">
        <is>
          <t>entidad-dia</t>
        </is>
      </c>
    </row>
    <row r="7494">
      <c r="A7494" t="inlineStr">
        <is>
          <t>PRAGMA</t>
        </is>
      </c>
      <c r="B7494" t="inlineStr">
        <is>
          <t>M2</t>
        </is>
      </c>
      <c r="C7494" t="inlineStr">
        <is>
          <t>Cali</t>
        </is>
      </c>
      <c r="D7494" t="inlineStr">
        <is>
          <t>7567</t>
        </is>
      </c>
      <c r="E7494" t="inlineStr">
        <is>
          <t>pagado</t>
        </is>
      </c>
      <c r="F7494" s="23" t="n">
        <v>46269</v>
      </c>
      <c r="G7494" s="24">
        <f>F7494-DATE(2026,8,31)</f>
        <v>4</v>
      </c>
      <c r="H7494" s="25" t="n">
        <v>33801196</v>
      </c>
      <c r="I7494" t="inlineStr">
        <is>
          <t>entidad-dia</t>
        </is>
      </c>
    </row>
    <row r="7495">
      <c r="A7495" t="inlineStr">
        <is>
          <t>PRAGMA</t>
        </is>
      </c>
      <c r="B7495" t="inlineStr">
        <is>
          <t>M2</t>
        </is>
      </c>
      <c r="C7495" t="inlineStr">
        <is>
          <t>Cali</t>
        </is>
      </c>
      <c r="D7495" t="inlineStr">
        <is>
          <t>7567</t>
        </is>
      </c>
      <c r="E7495" t="inlineStr">
        <is>
          <t>cash_in</t>
        </is>
      </c>
      <c r="F7495" s="23" t="n">
        <v>46269</v>
      </c>
      <c r="G7495" s="24">
        <f>F7495-DATE(2026,8,31)</f>
        <v>4</v>
      </c>
      <c r="H7495" s="25" t="n">
        <v>202612987</v>
      </c>
      <c r="I7495" t="inlineStr">
        <is>
          <t>entidad-dia</t>
        </is>
      </c>
    </row>
    <row r="7496">
      <c r="A7496" t="inlineStr">
        <is>
          <t>PRAGMA</t>
        </is>
      </c>
      <c r="B7496" t="inlineStr">
        <is>
          <t>M2</t>
        </is>
      </c>
      <c r="C7496" t="inlineStr">
        <is>
          <t>Cali</t>
        </is>
      </c>
      <c r="D7496" t="inlineStr">
        <is>
          <t>7567</t>
        </is>
      </c>
      <c r="E7496" t="inlineStr">
        <is>
          <t>pagado</t>
        </is>
      </c>
      <c r="F7496" s="23" t="n">
        <v>46270</v>
      </c>
      <c r="G7496" s="24">
        <f>F7496-DATE(2026,8,31)</f>
        <v>5</v>
      </c>
      <c r="H7496" s="25" t="n">
        <v>30396579</v>
      </c>
      <c r="I7496" t="inlineStr">
        <is>
          <t>entidad-dia</t>
        </is>
      </c>
    </row>
    <row r="7497">
      <c r="A7497" t="inlineStr">
        <is>
          <t>PRAGMA</t>
        </is>
      </c>
      <c r="B7497" t="inlineStr">
        <is>
          <t>M2</t>
        </is>
      </c>
      <c r="C7497" t="inlineStr">
        <is>
          <t>Cali</t>
        </is>
      </c>
      <c r="D7497" t="inlineStr">
        <is>
          <t>7567</t>
        </is>
      </c>
      <c r="E7497" t="inlineStr">
        <is>
          <t>cash_in</t>
        </is>
      </c>
      <c r="F7497" s="23" t="n">
        <v>46270</v>
      </c>
      <c r="G7497" s="24">
        <f>F7497-DATE(2026,8,31)</f>
        <v>5</v>
      </c>
      <c r="H7497" s="25" t="n">
        <v>221338979</v>
      </c>
      <c r="I7497" t="inlineStr">
        <is>
          <t>entidad-dia</t>
        </is>
      </c>
    </row>
    <row r="7498">
      <c r="A7498" t="inlineStr">
        <is>
          <t>PRAGMA</t>
        </is>
      </c>
      <c r="B7498" t="inlineStr">
        <is>
          <t>M2</t>
        </is>
      </c>
      <c r="C7498" t="inlineStr">
        <is>
          <t>Cali</t>
        </is>
      </c>
      <c r="D7498" t="inlineStr">
        <is>
          <t>7567</t>
        </is>
      </c>
      <c r="E7498" t="inlineStr">
        <is>
          <t>pagado</t>
        </is>
      </c>
      <c r="F7498" s="23" t="n">
        <v>46271</v>
      </c>
      <c r="G7498" s="24">
        <f>F7498-DATE(2026,8,31)</f>
        <v>6</v>
      </c>
      <c r="H7498" s="25" t="n">
        <v>15370000</v>
      </c>
      <c r="I7498" t="inlineStr">
        <is>
          <t>entidad-dia</t>
        </is>
      </c>
    </row>
    <row r="7499">
      <c r="A7499" t="inlineStr">
        <is>
          <t>PRAGMA</t>
        </is>
      </c>
      <c r="B7499" t="inlineStr">
        <is>
          <t>M2</t>
        </is>
      </c>
      <c r="C7499" t="inlineStr">
        <is>
          <t>Cali</t>
        </is>
      </c>
      <c r="D7499" t="inlineStr">
        <is>
          <t>7567</t>
        </is>
      </c>
      <c r="E7499" t="inlineStr">
        <is>
          <t>cash_in</t>
        </is>
      </c>
      <c r="F7499" s="23" t="n">
        <v>46271</v>
      </c>
      <c r="G7499" s="24">
        <f>F7499-DATE(2026,8,31)</f>
        <v>6</v>
      </c>
      <c r="H7499" s="25" t="n">
        <v>128995019</v>
      </c>
      <c r="I7499" t="inlineStr">
        <is>
          <t>entidad-dia</t>
        </is>
      </c>
    </row>
    <row r="7500">
      <c r="A7500" t="inlineStr">
        <is>
          <t>PRAGMA</t>
        </is>
      </c>
      <c r="B7500" t="inlineStr">
        <is>
          <t>M2</t>
        </is>
      </c>
      <c r="C7500" t="inlineStr">
        <is>
          <t>Cali</t>
        </is>
      </c>
      <c r="D7500" t="inlineStr">
        <is>
          <t>7567</t>
        </is>
      </c>
      <c r="E7500" t="inlineStr">
        <is>
          <t>pagado</t>
        </is>
      </c>
      <c r="F7500" s="23" t="n">
        <v>46272</v>
      </c>
      <c r="G7500" s="24">
        <f>F7500-DATE(2026,8,31)</f>
        <v>7</v>
      </c>
      <c r="H7500" s="25" t="n">
        <v>27863887</v>
      </c>
      <c r="I7500" t="inlineStr">
        <is>
          <t>entidad-dia</t>
        </is>
      </c>
    </row>
    <row r="7501">
      <c r="A7501" t="inlineStr">
        <is>
          <t>PRAGMA</t>
        </is>
      </c>
      <c r="B7501" t="inlineStr">
        <is>
          <t>M2</t>
        </is>
      </c>
      <c r="C7501" t="inlineStr">
        <is>
          <t>Cali</t>
        </is>
      </c>
      <c r="D7501" t="inlineStr">
        <is>
          <t>7567</t>
        </is>
      </c>
      <c r="E7501" t="inlineStr">
        <is>
          <t>cash_in</t>
        </is>
      </c>
      <c r="F7501" s="23" t="n">
        <v>46272</v>
      </c>
      <c r="G7501" s="24">
        <f>F7501-DATE(2026,8,31)</f>
        <v>7</v>
      </c>
      <c r="H7501" s="25" t="n">
        <v>209126513</v>
      </c>
      <c r="I7501" t="inlineStr">
        <is>
          <t>entidad-dia</t>
        </is>
      </c>
    </row>
    <row r="7502">
      <c r="A7502" t="inlineStr">
        <is>
          <t>PRAGMA</t>
        </is>
      </c>
      <c r="B7502" t="inlineStr">
        <is>
          <t>M2</t>
        </is>
      </c>
      <c r="C7502" t="inlineStr">
        <is>
          <t>Cali</t>
        </is>
      </c>
      <c r="D7502" t="inlineStr">
        <is>
          <t>7567</t>
        </is>
      </c>
      <c r="E7502" t="inlineStr">
        <is>
          <t>pagado</t>
        </is>
      </c>
      <c r="F7502" s="23" t="n">
        <v>46273</v>
      </c>
      <c r="G7502" s="24">
        <f>F7502-DATE(2026,8,31)</f>
        <v>8</v>
      </c>
      <c r="H7502" s="25" t="n">
        <v>28717425</v>
      </c>
      <c r="I7502" t="inlineStr">
        <is>
          <t>entidad-dia</t>
        </is>
      </c>
    </row>
    <row r="7503">
      <c r="A7503" t="inlineStr">
        <is>
          <t>PRAGMA</t>
        </is>
      </c>
      <c r="B7503" t="inlineStr">
        <is>
          <t>M2</t>
        </is>
      </c>
      <c r="C7503" t="inlineStr">
        <is>
          <t>Cali</t>
        </is>
      </c>
      <c r="D7503" t="inlineStr">
        <is>
          <t>7567</t>
        </is>
      </c>
      <c r="E7503" t="inlineStr">
        <is>
          <t>cash_in</t>
        </is>
      </c>
      <c r="F7503" s="23" t="n">
        <v>46273</v>
      </c>
      <c r="G7503" s="24">
        <f>F7503-DATE(2026,8,31)</f>
        <v>8</v>
      </c>
      <c r="H7503" s="25" t="n">
        <v>183520203</v>
      </c>
      <c r="I7503" t="inlineStr">
        <is>
          <t>entidad-dia</t>
        </is>
      </c>
    </row>
    <row r="7504">
      <c r="A7504" t="inlineStr">
        <is>
          <t>PRAGMA</t>
        </is>
      </c>
      <c r="B7504" t="inlineStr">
        <is>
          <t>M2</t>
        </is>
      </c>
      <c r="C7504" t="inlineStr">
        <is>
          <t>Cali</t>
        </is>
      </c>
      <c r="D7504" t="inlineStr">
        <is>
          <t>7567</t>
        </is>
      </c>
      <c r="E7504" t="inlineStr">
        <is>
          <t>pagado</t>
        </is>
      </c>
      <c r="F7504" s="23" t="n">
        <v>46274</v>
      </c>
      <c r="G7504" s="24">
        <f>F7504-DATE(2026,8,31)</f>
        <v>9</v>
      </c>
      <c r="H7504" s="25" t="n">
        <v>27336603</v>
      </c>
      <c r="I7504" t="inlineStr">
        <is>
          <t>entidad-dia</t>
        </is>
      </c>
    </row>
    <row r="7505">
      <c r="A7505" t="inlineStr">
        <is>
          <t>PRAGMA</t>
        </is>
      </c>
      <c r="B7505" t="inlineStr">
        <is>
          <t>M2</t>
        </is>
      </c>
      <c r="C7505" t="inlineStr">
        <is>
          <t>Cali</t>
        </is>
      </c>
      <c r="D7505" t="inlineStr">
        <is>
          <t>7567</t>
        </is>
      </c>
      <c r="E7505" t="inlineStr">
        <is>
          <t>cash_in</t>
        </is>
      </c>
      <c r="F7505" s="23" t="n">
        <v>46274</v>
      </c>
      <c r="G7505" s="24">
        <f>F7505-DATE(2026,8,31)</f>
        <v>9</v>
      </c>
      <c r="H7505" s="25" t="n">
        <v>165197167</v>
      </c>
      <c r="I7505" t="inlineStr">
        <is>
          <t>entidad-dia</t>
        </is>
      </c>
    </row>
    <row r="7506">
      <c r="A7506" t="inlineStr">
        <is>
          <t>PRAGMA</t>
        </is>
      </c>
      <c r="B7506" t="inlineStr">
        <is>
          <t>M2</t>
        </is>
      </c>
      <c r="C7506" t="inlineStr">
        <is>
          <t>Cali</t>
        </is>
      </c>
      <c r="D7506" t="inlineStr">
        <is>
          <t>7567</t>
        </is>
      </c>
      <c r="E7506" t="inlineStr">
        <is>
          <t>pagado</t>
        </is>
      </c>
      <c r="F7506" s="23" t="n">
        <v>46275</v>
      </c>
      <c r="G7506" s="24">
        <f>F7506-DATE(2026,8,31)</f>
        <v>10</v>
      </c>
      <c r="H7506" s="25" t="n">
        <v>23554393</v>
      </c>
      <c r="I7506" t="inlineStr">
        <is>
          <t>entidad-dia</t>
        </is>
      </c>
    </row>
    <row r="7507">
      <c r="A7507" t="inlineStr">
        <is>
          <t>PRAGMA</t>
        </is>
      </c>
      <c r="B7507" t="inlineStr">
        <is>
          <t>M2</t>
        </is>
      </c>
      <c r="C7507" t="inlineStr">
        <is>
          <t>Cali</t>
        </is>
      </c>
      <c r="D7507" t="inlineStr">
        <is>
          <t>7567</t>
        </is>
      </c>
      <c r="E7507" t="inlineStr">
        <is>
          <t>cash_in</t>
        </is>
      </c>
      <c r="F7507" s="23" t="n">
        <v>46275</v>
      </c>
      <c r="G7507" s="24">
        <f>F7507-DATE(2026,8,31)</f>
        <v>10</v>
      </c>
      <c r="H7507" s="25" t="n">
        <v>165798407</v>
      </c>
      <c r="I7507" t="inlineStr">
        <is>
          <t>entidad-dia</t>
        </is>
      </c>
    </row>
    <row r="7508">
      <c r="A7508" t="inlineStr">
        <is>
          <t>PRAGMA</t>
        </is>
      </c>
      <c r="B7508" t="inlineStr">
        <is>
          <t>M2</t>
        </is>
      </c>
      <c r="C7508" t="inlineStr">
        <is>
          <t>Cali</t>
        </is>
      </c>
      <c r="D7508" t="inlineStr">
        <is>
          <t>7567</t>
        </is>
      </c>
      <c r="E7508" t="inlineStr">
        <is>
          <t>pagado</t>
        </is>
      </c>
      <c r="F7508" s="23" t="n">
        <v>46276</v>
      </c>
      <c r="G7508" s="24">
        <f>F7508-DATE(2026,8,31)</f>
        <v>11</v>
      </c>
      <c r="H7508" s="25" t="n">
        <v>25669593</v>
      </c>
      <c r="I7508" t="inlineStr">
        <is>
          <t>entidad-dia</t>
        </is>
      </c>
    </row>
    <row r="7509">
      <c r="A7509" t="inlineStr">
        <is>
          <t>PRAGMA</t>
        </is>
      </c>
      <c r="B7509" t="inlineStr">
        <is>
          <t>M2</t>
        </is>
      </c>
      <c r="C7509" t="inlineStr">
        <is>
          <t>Cali</t>
        </is>
      </c>
      <c r="D7509" t="inlineStr">
        <is>
          <t>7567</t>
        </is>
      </c>
      <c r="E7509" t="inlineStr">
        <is>
          <t>cash_in</t>
        </is>
      </c>
      <c r="F7509" s="23" t="n">
        <v>46276</v>
      </c>
      <c r="G7509" s="24">
        <f>F7509-DATE(2026,8,31)</f>
        <v>11</v>
      </c>
      <c r="H7509" s="25" t="n">
        <v>179372945</v>
      </c>
      <c r="I7509" t="inlineStr">
        <is>
          <t>entidad-dia</t>
        </is>
      </c>
    </row>
    <row r="7510">
      <c r="A7510" t="inlineStr">
        <is>
          <t>PRAGMA</t>
        </is>
      </c>
      <c r="B7510" t="inlineStr">
        <is>
          <t>M2</t>
        </is>
      </c>
      <c r="C7510" t="inlineStr">
        <is>
          <t>Cali</t>
        </is>
      </c>
      <c r="D7510" t="inlineStr">
        <is>
          <t>7567</t>
        </is>
      </c>
      <c r="E7510" t="inlineStr">
        <is>
          <t>pagado</t>
        </is>
      </c>
      <c r="F7510" s="23" t="n">
        <v>46277</v>
      </c>
      <c r="G7510" s="24">
        <f>F7510-DATE(2026,8,31)</f>
        <v>12</v>
      </c>
      <c r="H7510" s="25" t="n">
        <v>23911222</v>
      </c>
      <c r="I7510" t="inlineStr">
        <is>
          <t>entidad-dia</t>
        </is>
      </c>
    </row>
    <row r="7511">
      <c r="A7511" t="inlineStr">
        <is>
          <t>PRAGMA</t>
        </is>
      </c>
      <c r="B7511" t="inlineStr">
        <is>
          <t>M2</t>
        </is>
      </c>
      <c r="C7511" t="inlineStr">
        <is>
          <t>Cali</t>
        </is>
      </c>
      <c r="D7511" t="inlineStr">
        <is>
          <t>7567</t>
        </is>
      </c>
      <c r="E7511" t="inlineStr">
        <is>
          <t>cash_in</t>
        </is>
      </c>
      <c r="F7511" s="23" t="n">
        <v>46277</v>
      </c>
      <c r="G7511" s="24">
        <f>F7511-DATE(2026,8,31)</f>
        <v>12</v>
      </c>
      <c r="H7511" s="25" t="n">
        <v>182584706</v>
      </c>
      <c r="I7511" t="inlineStr">
        <is>
          <t>entidad-dia</t>
        </is>
      </c>
    </row>
    <row r="7512">
      <c r="A7512" t="inlineStr">
        <is>
          <t>PRAGMA</t>
        </is>
      </c>
      <c r="B7512" t="inlineStr">
        <is>
          <t>M2</t>
        </is>
      </c>
      <c r="C7512" t="inlineStr">
        <is>
          <t>Cali</t>
        </is>
      </c>
      <c r="D7512" t="inlineStr">
        <is>
          <t>7567</t>
        </is>
      </c>
      <c r="E7512" t="inlineStr">
        <is>
          <t>pagado</t>
        </is>
      </c>
      <c r="F7512" s="23" t="n">
        <v>46278</v>
      </c>
      <c r="G7512" s="24">
        <f>F7512-DATE(2026,8,31)</f>
        <v>13</v>
      </c>
      <c r="H7512" s="25" t="n">
        <v>12669252</v>
      </c>
      <c r="I7512" t="inlineStr">
        <is>
          <t>entidad-dia</t>
        </is>
      </c>
    </row>
    <row r="7513">
      <c r="A7513" t="inlineStr">
        <is>
          <t>PRAGMA</t>
        </is>
      </c>
      <c r="B7513" t="inlineStr">
        <is>
          <t>M2</t>
        </is>
      </c>
      <c r="C7513" t="inlineStr">
        <is>
          <t>Cali</t>
        </is>
      </c>
      <c r="D7513" t="inlineStr">
        <is>
          <t>7567</t>
        </is>
      </c>
      <c r="E7513" t="inlineStr">
        <is>
          <t>cash_in</t>
        </is>
      </c>
      <c r="F7513" s="23" t="n">
        <v>46278</v>
      </c>
      <c r="G7513" s="24">
        <f>F7513-DATE(2026,8,31)</f>
        <v>13</v>
      </c>
      <c r="H7513" s="25" t="n">
        <v>106578734</v>
      </c>
      <c r="I7513" t="inlineStr">
        <is>
          <t>entidad-dia</t>
        </is>
      </c>
    </row>
    <row r="7514">
      <c r="A7514" t="inlineStr">
        <is>
          <t>PRAGMA</t>
        </is>
      </c>
      <c r="B7514" t="inlineStr">
        <is>
          <t>M2</t>
        </is>
      </c>
      <c r="C7514" t="inlineStr">
        <is>
          <t>Cali</t>
        </is>
      </c>
      <c r="D7514" t="inlineStr">
        <is>
          <t>7567</t>
        </is>
      </c>
      <c r="E7514" t="inlineStr">
        <is>
          <t>pagado</t>
        </is>
      </c>
      <c r="F7514" s="23" t="n">
        <v>46279</v>
      </c>
      <c r="G7514" s="24">
        <f>F7514-DATE(2026,8,31)</f>
        <v>14</v>
      </c>
      <c r="H7514" s="25" t="n">
        <v>24509662</v>
      </c>
      <c r="I7514" t="inlineStr">
        <is>
          <t>entidad-dia</t>
        </is>
      </c>
    </row>
    <row r="7515">
      <c r="A7515" t="inlineStr">
        <is>
          <t>PRAGMA</t>
        </is>
      </c>
      <c r="B7515" t="inlineStr">
        <is>
          <t>M2</t>
        </is>
      </c>
      <c r="C7515" t="inlineStr">
        <is>
          <t>Cali</t>
        </is>
      </c>
      <c r="D7515" t="inlineStr">
        <is>
          <t>7567</t>
        </is>
      </c>
      <c r="E7515" t="inlineStr">
        <is>
          <t>cash_in</t>
        </is>
      </c>
      <c r="F7515" s="23" t="n">
        <v>46279</v>
      </c>
      <c r="G7515" s="24">
        <f>F7515-DATE(2026,8,31)</f>
        <v>14</v>
      </c>
      <c r="H7515" s="25" t="n">
        <v>185332243</v>
      </c>
      <c r="I7515" t="inlineStr">
        <is>
          <t>entidad-dia</t>
        </is>
      </c>
    </row>
    <row r="7516">
      <c r="A7516" t="inlineStr">
        <is>
          <t>PRAGMA</t>
        </is>
      </c>
      <c r="B7516" t="inlineStr">
        <is>
          <t>M2</t>
        </is>
      </c>
      <c r="C7516" t="inlineStr">
        <is>
          <t>Cali</t>
        </is>
      </c>
      <c r="D7516" t="inlineStr">
        <is>
          <t>7567</t>
        </is>
      </c>
      <c r="E7516" t="inlineStr">
        <is>
          <t>pagado</t>
        </is>
      </c>
      <c r="F7516" s="23" t="n">
        <v>46280</v>
      </c>
      <c r="G7516" s="24">
        <f>F7516-DATE(2026,8,31)</f>
        <v>15</v>
      </c>
      <c r="H7516" s="25" t="n">
        <v>34723021</v>
      </c>
      <c r="I7516" t="inlineStr">
        <is>
          <t>entidad-dia</t>
        </is>
      </c>
    </row>
    <row r="7517">
      <c r="A7517" t="inlineStr">
        <is>
          <t>PRAGMA</t>
        </is>
      </c>
      <c r="B7517" t="inlineStr">
        <is>
          <t>M2</t>
        </is>
      </c>
      <c r="C7517" t="inlineStr">
        <is>
          <t>Cali</t>
        </is>
      </c>
      <c r="D7517" t="inlineStr">
        <is>
          <t>7567</t>
        </is>
      </c>
      <c r="E7517" t="inlineStr">
        <is>
          <t>cash_in</t>
        </is>
      </c>
      <c r="F7517" s="23" t="n">
        <v>46280</v>
      </c>
      <c r="G7517" s="24">
        <f>F7517-DATE(2026,8,31)</f>
        <v>15</v>
      </c>
      <c r="H7517" s="25" t="n">
        <v>189815939</v>
      </c>
      <c r="I7517" t="inlineStr">
        <is>
          <t>entidad-dia</t>
        </is>
      </c>
    </row>
    <row r="7518">
      <c r="A7518" t="inlineStr">
        <is>
          <t>PRAGMA</t>
        </is>
      </c>
      <c r="B7518" t="inlineStr">
        <is>
          <t>M2</t>
        </is>
      </c>
      <c r="C7518" t="inlineStr">
        <is>
          <t>Cali</t>
        </is>
      </c>
      <c r="D7518" t="inlineStr">
        <is>
          <t>7814</t>
        </is>
      </c>
      <c r="E7518" t="inlineStr">
        <is>
          <t>pagado</t>
        </is>
      </c>
      <c r="F7518" s="23" t="n">
        <v>46266</v>
      </c>
      <c r="G7518" s="24">
        <f>F7518-DATE(2026,8,31)</f>
        <v>1</v>
      </c>
      <c r="H7518" s="25" t="n">
        <v>46741820</v>
      </c>
      <c r="I7518" t="inlineStr">
        <is>
          <t>entidad-dia</t>
        </is>
      </c>
    </row>
    <row r="7519">
      <c r="A7519" t="inlineStr">
        <is>
          <t>PRAGMA</t>
        </is>
      </c>
      <c r="B7519" t="inlineStr">
        <is>
          <t>M2</t>
        </is>
      </c>
      <c r="C7519" t="inlineStr">
        <is>
          <t>Cali</t>
        </is>
      </c>
      <c r="D7519" t="inlineStr">
        <is>
          <t>7814</t>
        </is>
      </c>
      <c r="E7519" t="inlineStr">
        <is>
          <t>cash_in</t>
        </is>
      </c>
      <c r="F7519" s="23" t="n">
        <v>46266</v>
      </c>
      <c r="G7519" s="24">
        <f>F7519-DATE(2026,8,31)</f>
        <v>1</v>
      </c>
      <c r="H7519" s="25" t="n">
        <v>152449423</v>
      </c>
      <c r="I7519" t="inlineStr">
        <is>
          <t>entidad-dia</t>
        </is>
      </c>
    </row>
    <row r="7520">
      <c r="A7520" t="inlineStr">
        <is>
          <t>PRAGMA</t>
        </is>
      </c>
      <c r="B7520" t="inlineStr">
        <is>
          <t>M2</t>
        </is>
      </c>
      <c r="C7520" t="inlineStr">
        <is>
          <t>Cali</t>
        </is>
      </c>
      <c r="D7520" t="inlineStr">
        <is>
          <t>7814</t>
        </is>
      </c>
      <c r="E7520" t="inlineStr">
        <is>
          <t>pagado</t>
        </is>
      </c>
      <c r="F7520" s="23" t="n">
        <v>46267</v>
      </c>
      <c r="G7520" s="24">
        <f>F7520-DATE(2026,8,31)</f>
        <v>2</v>
      </c>
      <c r="H7520" s="25" t="n">
        <v>37548567</v>
      </c>
      <c r="I7520" t="inlineStr">
        <is>
          <t>entidad-dia</t>
        </is>
      </c>
    </row>
    <row r="7521">
      <c r="A7521" t="inlineStr">
        <is>
          <t>PRAGMA</t>
        </is>
      </c>
      <c r="B7521" t="inlineStr">
        <is>
          <t>M2</t>
        </is>
      </c>
      <c r="C7521" t="inlineStr">
        <is>
          <t>Cali</t>
        </is>
      </c>
      <c r="D7521" t="inlineStr">
        <is>
          <t>7814</t>
        </is>
      </c>
      <c r="E7521" t="inlineStr">
        <is>
          <t>cash_in</t>
        </is>
      </c>
      <c r="F7521" s="23" t="n">
        <v>46267</v>
      </c>
      <c r="G7521" s="24">
        <f>F7521-DATE(2026,8,31)</f>
        <v>2</v>
      </c>
      <c r="H7521" s="25" t="n">
        <v>129698677</v>
      </c>
      <c r="I7521" t="inlineStr">
        <is>
          <t>entidad-dia</t>
        </is>
      </c>
    </row>
    <row r="7522">
      <c r="A7522" t="inlineStr">
        <is>
          <t>PRAGMA</t>
        </is>
      </c>
      <c r="B7522" t="inlineStr">
        <is>
          <t>M2</t>
        </is>
      </c>
      <c r="C7522" t="inlineStr">
        <is>
          <t>Cali</t>
        </is>
      </c>
      <c r="D7522" t="inlineStr">
        <is>
          <t>7814</t>
        </is>
      </c>
      <c r="E7522" t="inlineStr">
        <is>
          <t>pagado</t>
        </is>
      </c>
      <c r="F7522" s="23" t="n">
        <v>46268</v>
      </c>
      <c r="G7522" s="24">
        <f>F7522-DATE(2026,8,31)</f>
        <v>3</v>
      </c>
      <c r="H7522" s="25" t="n">
        <v>34345939</v>
      </c>
      <c r="I7522" t="inlineStr">
        <is>
          <t>entidad-dia</t>
        </is>
      </c>
    </row>
    <row r="7523">
      <c r="A7523" t="inlineStr">
        <is>
          <t>PRAGMA</t>
        </is>
      </c>
      <c r="B7523" t="inlineStr">
        <is>
          <t>M2</t>
        </is>
      </c>
      <c r="C7523" t="inlineStr">
        <is>
          <t>Cali</t>
        </is>
      </c>
      <c r="D7523" t="inlineStr">
        <is>
          <t>7814</t>
        </is>
      </c>
      <c r="E7523" t="inlineStr">
        <is>
          <t>cash_in</t>
        </is>
      </c>
      <c r="F7523" s="23" t="n">
        <v>46268</v>
      </c>
      <c r="G7523" s="24">
        <f>F7523-DATE(2026,8,31)</f>
        <v>3</v>
      </c>
      <c r="H7523" s="25" t="n">
        <v>132176828</v>
      </c>
      <c r="I7523" t="inlineStr">
        <is>
          <t>entidad-dia</t>
        </is>
      </c>
    </row>
    <row r="7524">
      <c r="A7524" t="inlineStr">
        <is>
          <t>PRAGMA</t>
        </is>
      </c>
      <c r="B7524" t="inlineStr">
        <is>
          <t>M2</t>
        </is>
      </c>
      <c r="C7524" t="inlineStr">
        <is>
          <t>Cali</t>
        </is>
      </c>
      <c r="D7524" t="inlineStr">
        <is>
          <t>7814</t>
        </is>
      </c>
      <c r="E7524" t="inlineStr">
        <is>
          <t>pagado</t>
        </is>
      </c>
      <c r="F7524" s="23" t="n">
        <v>46269</v>
      </c>
      <c r="G7524" s="24">
        <f>F7524-DATE(2026,8,31)</f>
        <v>4</v>
      </c>
      <c r="H7524" s="25" t="n">
        <v>34564834</v>
      </c>
      <c r="I7524" t="inlineStr">
        <is>
          <t>entidad-dia</t>
        </is>
      </c>
    </row>
    <row r="7525">
      <c r="A7525" t="inlineStr">
        <is>
          <t>PRAGMA</t>
        </is>
      </c>
      <c r="B7525" t="inlineStr">
        <is>
          <t>M2</t>
        </is>
      </c>
      <c r="C7525" t="inlineStr">
        <is>
          <t>Cali</t>
        </is>
      </c>
      <c r="D7525" t="inlineStr">
        <is>
          <t>7814</t>
        </is>
      </c>
      <c r="E7525" t="inlineStr">
        <is>
          <t>cash_in</t>
        </is>
      </c>
      <c r="F7525" s="23" t="n">
        <v>46269</v>
      </c>
      <c r="G7525" s="24">
        <f>F7525-DATE(2026,8,31)</f>
        <v>4</v>
      </c>
      <c r="H7525" s="25" t="n">
        <v>125935914</v>
      </c>
      <c r="I7525" t="inlineStr">
        <is>
          <t>entidad-dia</t>
        </is>
      </c>
    </row>
    <row r="7526">
      <c r="A7526" t="inlineStr">
        <is>
          <t>PRAGMA</t>
        </is>
      </c>
      <c r="B7526" t="inlineStr">
        <is>
          <t>M2</t>
        </is>
      </c>
      <c r="C7526" t="inlineStr">
        <is>
          <t>Cali</t>
        </is>
      </c>
      <c r="D7526" t="inlineStr">
        <is>
          <t>7814</t>
        </is>
      </c>
      <c r="E7526" t="inlineStr">
        <is>
          <t>pagado</t>
        </is>
      </c>
      <c r="F7526" s="23" t="n">
        <v>46270</v>
      </c>
      <c r="G7526" s="24">
        <f>F7526-DATE(2026,8,31)</f>
        <v>5</v>
      </c>
      <c r="H7526" s="25" t="n">
        <v>38388762</v>
      </c>
      <c r="I7526" t="inlineStr">
        <is>
          <t>entidad-dia</t>
        </is>
      </c>
    </row>
    <row r="7527">
      <c r="A7527" t="inlineStr">
        <is>
          <t>PRAGMA</t>
        </is>
      </c>
      <c r="B7527" t="inlineStr">
        <is>
          <t>M2</t>
        </is>
      </c>
      <c r="C7527" t="inlineStr">
        <is>
          <t>Cali</t>
        </is>
      </c>
      <c r="D7527" t="inlineStr">
        <is>
          <t>7814</t>
        </is>
      </c>
      <c r="E7527" t="inlineStr">
        <is>
          <t>cash_in</t>
        </is>
      </c>
      <c r="F7527" s="23" t="n">
        <v>46270</v>
      </c>
      <c r="G7527" s="24">
        <f>F7527-DATE(2026,8,31)</f>
        <v>5</v>
      </c>
      <c r="H7527" s="25" t="n">
        <v>127530623</v>
      </c>
      <c r="I7527" t="inlineStr">
        <is>
          <t>entidad-dia</t>
        </is>
      </c>
    </row>
    <row r="7528">
      <c r="A7528" t="inlineStr">
        <is>
          <t>PRAGMA</t>
        </is>
      </c>
      <c r="B7528" t="inlineStr">
        <is>
          <t>M2</t>
        </is>
      </c>
      <c r="C7528" t="inlineStr">
        <is>
          <t>Cali</t>
        </is>
      </c>
      <c r="D7528" t="inlineStr">
        <is>
          <t>7814</t>
        </is>
      </c>
      <c r="E7528" t="inlineStr">
        <is>
          <t>pagado</t>
        </is>
      </c>
      <c r="F7528" s="23" t="n">
        <v>46271</v>
      </c>
      <c r="G7528" s="24">
        <f>F7528-DATE(2026,8,31)</f>
        <v>6</v>
      </c>
      <c r="H7528" s="25" t="n">
        <v>26955755</v>
      </c>
      <c r="I7528" t="inlineStr">
        <is>
          <t>entidad-dia</t>
        </is>
      </c>
    </row>
    <row r="7529">
      <c r="A7529" t="inlineStr">
        <is>
          <t>PRAGMA</t>
        </is>
      </c>
      <c r="B7529" t="inlineStr">
        <is>
          <t>M2</t>
        </is>
      </c>
      <c r="C7529" t="inlineStr">
        <is>
          <t>Cali</t>
        </is>
      </c>
      <c r="D7529" t="inlineStr">
        <is>
          <t>7814</t>
        </is>
      </c>
      <c r="E7529" t="inlineStr">
        <is>
          <t>cash_in</t>
        </is>
      </c>
      <c r="F7529" s="23" t="n">
        <v>46271</v>
      </c>
      <c r="G7529" s="24">
        <f>F7529-DATE(2026,8,31)</f>
        <v>6</v>
      </c>
      <c r="H7529" s="25" t="n">
        <v>67597834</v>
      </c>
      <c r="I7529" t="inlineStr">
        <is>
          <t>entidad-dia</t>
        </is>
      </c>
    </row>
    <row r="7530">
      <c r="A7530" t="inlineStr">
        <is>
          <t>PRAGMA</t>
        </is>
      </c>
      <c r="B7530" t="inlineStr">
        <is>
          <t>M2</t>
        </is>
      </c>
      <c r="C7530" t="inlineStr">
        <is>
          <t>Cali</t>
        </is>
      </c>
      <c r="D7530" t="inlineStr">
        <is>
          <t>7814</t>
        </is>
      </c>
      <c r="E7530" t="inlineStr">
        <is>
          <t>pagado</t>
        </is>
      </c>
      <c r="F7530" s="23" t="n">
        <v>46272</v>
      </c>
      <c r="G7530" s="24">
        <f>F7530-DATE(2026,8,31)</f>
        <v>7</v>
      </c>
      <c r="H7530" s="25" t="n">
        <v>28643486</v>
      </c>
      <c r="I7530" t="inlineStr">
        <is>
          <t>entidad-dia</t>
        </is>
      </c>
    </row>
    <row r="7531">
      <c r="A7531" t="inlineStr">
        <is>
          <t>PRAGMA</t>
        </is>
      </c>
      <c r="B7531" t="inlineStr">
        <is>
          <t>M2</t>
        </is>
      </c>
      <c r="C7531" t="inlineStr">
        <is>
          <t>Cali</t>
        </is>
      </c>
      <c r="D7531" t="inlineStr">
        <is>
          <t>7814</t>
        </is>
      </c>
      <c r="E7531" t="inlineStr">
        <is>
          <t>cash_in</t>
        </is>
      </c>
      <c r="F7531" s="23" t="n">
        <v>46272</v>
      </c>
      <c r="G7531" s="24">
        <f>F7531-DATE(2026,8,31)</f>
        <v>7</v>
      </c>
      <c r="H7531" s="25" t="n">
        <v>142745314</v>
      </c>
      <c r="I7531" t="inlineStr">
        <is>
          <t>entidad-dia</t>
        </is>
      </c>
    </row>
    <row r="7532">
      <c r="A7532" t="inlineStr">
        <is>
          <t>PRAGMA</t>
        </is>
      </c>
      <c r="B7532" t="inlineStr">
        <is>
          <t>M2</t>
        </is>
      </c>
      <c r="C7532" t="inlineStr">
        <is>
          <t>Cali</t>
        </is>
      </c>
      <c r="D7532" t="inlineStr">
        <is>
          <t>7814</t>
        </is>
      </c>
      <c r="E7532" t="inlineStr">
        <is>
          <t>pagado</t>
        </is>
      </c>
      <c r="F7532" s="23" t="n">
        <v>46273</v>
      </c>
      <c r="G7532" s="24">
        <f>F7532-DATE(2026,8,31)</f>
        <v>8</v>
      </c>
      <c r="H7532" s="25" t="n">
        <v>26690430</v>
      </c>
      <c r="I7532" t="inlineStr">
        <is>
          <t>entidad-dia</t>
        </is>
      </c>
    </row>
    <row r="7533">
      <c r="A7533" t="inlineStr">
        <is>
          <t>PRAGMA</t>
        </is>
      </c>
      <c r="B7533" t="inlineStr">
        <is>
          <t>M2</t>
        </is>
      </c>
      <c r="C7533" t="inlineStr">
        <is>
          <t>Cali</t>
        </is>
      </c>
      <c r="D7533" t="inlineStr">
        <is>
          <t>7814</t>
        </is>
      </c>
      <c r="E7533" t="inlineStr">
        <is>
          <t>cash_in</t>
        </is>
      </c>
      <c r="F7533" s="23" t="n">
        <v>46273</v>
      </c>
      <c r="G7533" s="24">
        <f>F7533-DATE(2026,8,31)</f>
        <v>8</v>
      </c>
      <c r="H7533" s="25" t="n">
        <v>132933796</v>
      </c>
      <c r="I7533" t="inlineStr">
        <is>
          <t>entidad-dia</t>
        </is>
      </c>
    </row>
    <row r="7534">
      <c r="A7534" t="inlineStr">
        <is>
          <t>PRAGMA</t>
        </is>
      </c>
      <c r="B7534" t="inlineStr">
        <is>
          <t>M2</t>
        </is>
      </c>
      <c r="C7534" t="inlineStr">
        <is>
          <t>Cali</t>
        </is>
      </c>
      <c r="D7534" t="inlineStr">
        <is>
          <t>7814</t>
        </is>
      </c>
      <c r="E7534" t="inlineStr">
        <is>
          <t>pagado</t>
        </is>
      </c>
      <c r="F7534" s="23" t="n">
        <v>46274</v>
      </c>
      <c r="G7534" s="24">
        <f>F7534-DATE(2026,8,31)</f>
        <v>9</v>
      </c>
      <c r="H7534" s="25" t="n">
        <v>24302158</v>
      </c>
      <c r="I7534" t="inlineStr">
        <is>
          <t>entidad-dia</t>
        </is>
      </c>
    </row>
    <row r="7535">
      <c r="A7535" t="inlineStr">
        <is>
          <t>PRAGMA</t>
        </is>
      </c>
      <c r="B7535" t="inlineStr">
        <is>
          <t>M2</t>
        </is>
      </c>
      <c r="C7535" t="inlineStr">
        <is>
          <t>Cali</t>
        </is>
      </c>
      <c r="D7535" t="inlineStr">
        <is>
          <t>7814</t>
        </is>
      </c>
      <c r="E7535" t="inlineStr">
        <is>
          <t>cash_in</t>
        </is>
      </c>
      <c r="F7535" s="23" t="n">
        <v>46274</v>
      </c>
      <c r="G7535" s="24">
        <f>F7535-DATE(2026,8,31)</f>
        <v>9</v>
      </c>
      <c r="H7535" s="25" t="n">
        <v>121939389</v>
      </c>
      <c r="I7535" t="inlineStr">
        <is>
          <t>entidad-dia</t>
        </is>
      </c>
    </row>
    <row r="7536">
      <c r="A7536" t="inlineStr">
        <is>
          <t>PRAGMA</t>
        </is>
      </c>
      <c r="B7536" t="inlineStr">
        <is>
          <t>M2</t>
        </is>
      </c>
      <c r="C7536" t="inlineStr">
        <is>
          <t>Cali</t>
        </is>
      </c>
      <c r="D7536" t="inlineStr">
        <is>
          <t>7814</t>
        </is>
      </c>
      <c r="E7536" t="inlineStr">
        <is>
          <t>pagado</t>
        </is>
      </c>
      <c r="F7536" s="23" t="n">
        <v>46275</v>
      </c>
      <c r="G7536" s="24">
        <f>F7536-DATE(2026,8,31)</f>
        <v>10</v>
      </c>
      <c r="H7536" s="25" t="n">
        <v>22489406</v>
      </c>
      <c r="I7536" t="inlineStr">
        <is>
          <t>entidad-dia</t>
        </is>
      </c>
    </row>
    <row r="7537">
      <c r="A7537" t="inlineStr">
        <is>
          <t>PRAGMA</t>
        </is>
      </c>
      <c r="B7537" t="inlineStr">
        <is>
          <t>M2</t>
        </is>
      </c>
      <c r="C7537" t="inlineStr">
        <is>
          <t>Cali</t>
        </is>
      </c>
      <c r="D7537" t="inlineStr">
        <is>
          <t>7814</t>
        </is>
      </c>
      <c r="E7537" t="inlineStr">
        <is>
          <t>cash_in</t>
        </is>
      </c>
      <c r="F7537" s="23" t="n">
        <v>46275</v>
      </c>
      <c r="G7537" s="24">
        <f>F7537-DATE(2026,8,31)</f>
        <v>10</v>
      </c>
      <c r="H7537" s="25" t="n">
        <v>122328715</v>
      </c>
      <c r="I7537" t="inlineStr">
        <is>
          <t>entidad-dia</t>
        </is>
      </c>
    </row>
    <row r="7538">
      <c r="A7538" t="inlineStr">
        <is>
          <t>PRAGMA</t>
        </is>
      </c>
      <c r="B7538" t="inlineStr">
        <is>
          <t>M2</t>
        </is>
      </c>
      <c r="C7538" t="inlineStr">
        <is>
          <t>Cali</t>
        </is>
      </c>
      <c r="D7538" t="inlineStr">
        <is>
          <t>7814</t>
        </is>
      </c>
      <c r="E7538" t="inlineStr">
        <is>
          <t>pagado</t>
        </is>
      </c>
      <c r="F7538" s="23" t="n">
        <v>46276</v>
      </c>
      <c r="G7538" s="24">
        <f>F7538-DATE(2026,8,31)</f>
        <v>11</v>
      </c>
      <c r="H7538" s="25" t="n">
        <v>26092718</v>
      </c>
      <c r="I7538" t="inlineStr">
        <is>
          <t>entidad-dia</t>
        </is>
      </c>
    </row>
    <row r="7539">
      <c r="A7539" t="inlineStr">
        <is>
          <t>PRAGMA</t>
        </is>
      </c>
      <c r="B7539" t="inlineStr">
        <is>
          <t>M2</t>
        </is>
      </c>
      <c r="C7539" t="inlineStr">
        <is>
          <t>Cali</t>
        </is>
      </c>
      <c r="D7539" t="inlineStr">
        <is>
          <t>7814</t>
        </is>
      </c>
      <c r="E7539" t="inlineStr">
        <is>
          <t>cash_in</t>
        </is>
      </c>
      <c r="F7539" s="23" t="n">
        <v>46276</v>
      </c>
      <c r="G7539" s="24">
        <f>F7539-DATE(2026,8,31)</f>
        <v>11</v>
      </c>
      <c r="H7539" s="25" t="n">
        <v>120092272</v>
      </c>
      <c r="I7539" t="inlineStr">
        <is>
          <t>entidad-dia</t>
        </is>
      </c>
    </row>
    <row r="7540">
      <c r="A7540" t="inlineStr">
        <is>
          <t>PRAGMA</t>
        </is>
      </c>
      <c r="B7540" t="inlineStr">
        <is>
          <t>M2</t>
        </is>
      </c>
      <c r="C7540" t="inlineStr">
        <is>
          <t>Cali</t>
        </is>
      </c>
      <c r="D7540" t="inlineStr">
        <is>
          <t>7814</t>
        </is>
      </c>
      <c r="E7540" t="inlineStr">
        <is>
          <t>pagado</t>
        </is>
      </c>
      <c r="F7540" s="23" t="n">
        <v>46277</v>
      </c>
      <c r="G7540" s="24">
        <f>F7540-DATE(2026,8,31)</f>
        <v>12</v>
      </c>
      <c r="H7540" s="25" t="n">
        <v>31575676</v>
      </c>
      <c r="I7540" t="inlineStr">
        <is>
          <t>entidad-dia</t>
        </is>
      </c>
    </row>
    <row r="7541">
      <c r="A7541" t="inlineStr">
        <is>
          <t>PRAGMA</t>
        </is>
      </c>
      <c r="B7541" t="inlineStr">
        <is>
          <t>M2</t>
        </is>
      </c>
      <c r="C7541" t="inlineStr">
        <is>
          <t>Cali</t>
        </is>
      </c>
      <c r="D7541" t="inlineStr">
        <is>
          <t>7814</t>
        </is>
      </c>
      <c r="E7541" t="inlineStr">
        <is>
          <t>cash_in</t>
        </is>
      </c>
      <c r="F7541" s="23" t="n">
        <v>46277</v>
      </c>
      <c r="G7541" s="24">
        <f>F7541-DATE(2026,8,31)</f>
        <v>12</v>
      </c>
      <c r="H7541" s="25" t="n">
        <v>116360163</v>
      </c>
      <c r="I7541" t="inlineStr">
        <is>
          <t>entidad-dia</t>
        </is>
      </c>
    </row>
    <row r="7542">
      <c r="A7542" t="inlineStr">
        <is>
          <t>PRAGMA</t>
        </is>
      </c>
      <c r="B7542" t="inlineStr">
        <is>
          <t>M2</t>
        </is>
      </c>
      <c r="C7542" t="inlineStr">
        <is>
          <t>Cali</t>
        </is>
      </c>
      <c r="D7542" t="inlineStr">
        <is>
          <t>7814</t>
        </is>
      </c>
      <c r="E7542" t="inlineStr">
        <is>
          <t>pagado</t>
        </is>
      </c>
      <c r="F7542" s="23" t="n">
        <v>46278</v>
      </c>
      <c r="G7542" s="24">
        <f>F7542-DATE(2026,8,31)</f>
        <v>13</v>
      </c>
      <c r="H7542" s="25" t="n">
        <v>22594507</v>
      </c>
      <c r="I7542" t="inlineStr">
        <is>
          <t>entidad-dia</t>
        </is>
      </c>
    </row>
    <row r="7543">
      <c r="A7543" t="inlineStr">
        <is>
          <t>PRAGMA</t>
        </is>
      </c>
      <c r="B7543" t="inlineStr">
        <is>
          <t>M2</t>
        </is>
      </c>
      <c r="C7543" t="inlineStr">
        <is>
          <t>Cali</t>
        </is>
      </c>
      <c r="D7543" t="inlineStr">
        <is>
          <t>7814</t>
        </is>
      </c>
      <c r="E7543" t="inlineStr">
        <is>
          <t>cash_in</t>
        </is>
      </c>
      <c r="F7543" s="23" t="n">
        <v>46278</v>
      </c>
      <c r="G7543" s="24">
        <f>F7543-DATE(2026,8,31)</f>
        <v>13</v>
      </c>
      <c r="H7543" s="25" t="n">
        <v>58367371</v>
      </c>
      <c r="I7543" t="inlineStr">
        <is>
          <t>entidad-dia</t>
        </is>
      </c>
    </row>
    <row r="7544">
      <c r="A7544" t="inlineStr">
        <is>
          <t>PRAGMA</t>
        </is>
      </c>
      <c r="B7544" t="inlineStr">
        <is>
          <t>M2</t>
        </is>
      </c>
      <c r="C7544" t="inlineStr">
        <is>
          <t>Cali</t>
        </is>
      </c>
      <c r="D7544" t="inlineStr">
        <is>
          <t>7814</t>
        </is>
      </c>
      <c r="E7544" t="inlineStr">
        <is>
          <t>pagado</t>
        </is>
      </c>
      <c r="F7544" s="23" t="n">
        <v>46279</v>
      </c>
      <c r="G7544" s="24">
        <f>F7544-DATE(2026,8,31)</f>
        <v>14</v>
      </c>
      <c r="H7544" s="25" t="n">
        <v>25944116</v>
      </c>
      <c r="I7544" t="inlineStr">
        <is>
          <t>entidad-dia</t>
        </is>
      </c>
    </row>
    <row r="7545">
      <c r="A7545" t="inlineStr">
        <is>
          <t>PRAGMA</t>
        </is>
      </c>
      <c r="B7545" t="inlineStr">
        <is>
          <t>M2</t>
        </is>
      </c>
      <c r="C7545" t="inlineStr">
        <is>
          <t>Cali</t>
        </is>
      </c>
      <c r="D7545" t="inlineStr">
        <is>
          <t>7814</t>
        </is>
      </c>
      <c r="E7545" t="inlineStr">
        <is>
          <t>cash_in</t>
        </is>
      </c>
      <c r="F7545" s="23" t="n">
        <v>46279</v>
      </c>
      <c r="G7545" s="24">
        <f>F7545-DATE(2026,8,31)</f>
        <v>14</v>
      </c>
      <c r="H7545" s="25" t="n">
        <v>124320226</v>
      </c>
      <c r="I7545" t="inlineStr">
        <is>
          <t>entidad-dia</t>
        </is>
      </c>
    </row>
    <row r="7546">
      <c r="A7546" t="inlineStr">
        <is>
          <t>PRAGMA</t>
        </is>
      </c>
      <c r="B7546" t="inlineStr">
        <is>
          <t>M2</t>
        </is>
      </c>
      <c r="C7546" t="inlineStr">
        <is>
          <t>Cali</t>
        </is>
      </c>
      <c r="D7546" t="inlineStr">
        <is>
          <t>7814</t>
        </is>
      </c>
      <c r="E7546" t="inlineStr">
        <is>
          <t>pagado</t>
        </is>
      </c>
      <c r="F7546" s="23" t="n">
        <v>46280</v>
      </c>
      <c r="G7546" s="24">
        <f>F7546-DATE(2026,8,31)</f>
        <v>15</v>
      </c>
      <c r="H7546" s="25" t="n">
        <v>33545179</v>
      </c>
      <c r="I7546" t="inlineStr">
        <is>
          <t>entidad-dia</t>
        </is>
      </c>
    </row>
    <row r="7547">
      <c r="A7547" t="inlineStr">
        <is>
          <t>PRAGMA</t>
        </is>
      </c>
      <c r="B7547" t="inlineStr">
        <is>
          <t>M2</t>
        </is>
      </c>
      <c r="C7547" t="inlineStr">
        <is>
          <t>Cali</t>
        </is>
      </c>
      <c r="D7547" t="inlineStr">
        <is>
          <t>7814</t>
        </is>
      </c>
      <c r="E7547" t="inlineStr">
        <is>
          <t>cash_in</t>
        </is>
      </c>
      <c r="F7547" s="23" t="n">
        <v>46280</v>
      </c>
      <c r="G7547" s="24">
        <f>F7547-DATE(2026,8,31)</f>
        <v>15</v>
      </c>
      <c r="H7547" s="25" t="n">
        <v>131129401</v>
      </c>
      <c r="I7547" t="inlineStr">
        <is>
          <t>entidad-dia</t>
        </is>
      </c>
    </row>
    <row r="7548">
      <c r="A7548" t="inlineStr">
        <is>
          <t>PRAGMA</t>
        </is>
      </c>
      <c r="B7548" t="inlineStr">
        <is>
          <t>M2</t>
        </is>
      </c>
      <c r="C7548" t="inlineStr">
        <is>
          <t>Cali</t>
        </is>
      </c>
      <c r="D7548" t="inlineStr">
        <is>
          <t>7864</t>
        </is>
      </c>
      <c r="E7548" t="inlineStr">
        <is>
          <t>pagado</t>
        </is>
      </c>
      <c r="F7548" s="23" t="n">
        <v>46266</v>
      </c>
      <c r="G7548" s="24">
        <f>F7548-DATE(2026,8,31)</f>
        <v>1</v>
      </c>
      <c r="H7548" s="25" t="n">
        <v>42750406</v>
      </c>
      <c r="I7548" t="inlineStr">
        <is>
          <t>entidad-dia</t>
        </is>
      </c>
    </row>
    <row r="7549">
      <c r="A7549" t="inlineStr">
        <is>
          <t>PRAGMA</t>
        </is>
      </c>
      <c r="B7549" t="inlineStr">
        <is>
          <t>M2</t>
        </is>
      </c>
      <c r="C7549" t="inlineStr">
        <is>
          <t>Cali</t>
        </is>
      </c>
      <c r="D7549" t="inlineStr">
        <is>
          <t>7864</t>
        </is>
      </c>
      <c r="E7549" t="inlineStr">
        <is>
          <t>cash_in</t>
        </is>
      </c>
      <c r="F7549" s="23" t="n">
        <v>46266</v>
      </c>
      <c r="G7549" s="24">
        <f>F7549-DATE(2026,8,31)</f>
        <v>1</v>
      </c>
      <c r="H7549" s="25" t="n">
        <v>189351523</v>
      </c>
      <c r="I7549" t="inlineStr">
        <is>
          <t>entidad-dia</t>
        </is>
      </c>
    </row>
    <row r="7550">
      <c r="A7550" t="inlineStr">
        <is>
          <t>PRAGMA</t>
        </is>
      </c>
      <c r="B7550" t="inlineStr">
        <is>
          <t>M2</t>
        </is>
      </c>
      <c r="C7550" t="inlineStr">
        <is>
          <t>Cali</t>
        </is>
      </c>
      <c r="D7550" t="inlineStr">
        <is>
          <t>7864</t>
        </is>
      </c>
      <c r="E7550" t="inlineStr">
        <is>
          <t>pagado</t>
        </is>
      </c>
      <c r="F7550" s="23" t="n">
        <v>46267</v>
      </c>
      <c r="G7550" s="24">
        <f>F7550-DATE(2026,8,31)</f>
        <v>2</v>
      </c>
      <c r="H7550" s="25" t="n">
        <v>34586698</v>
      </c>
      <c r="I7550" t="inlineStr">
        <is>
          <t>entidad-dia</t>
        </is>
      </c>
    </row>
    <row r="7551">
      <c r="A7551" t="inlineStr">
        <is>
          <t>PRAGMA</t>
        </is>
      </c>
      <c r="B7551" t="inlineStr">
        <is>
          <t>M2</t>
        </is>
      </c>
      <c r="C7551" t="inlineStr">
        <is>
          <t>Cali</t>
        </is>
      </c>
      <c r="D7551" t="inlineStr">
        <is>
          <t>7864</t>
        </is>
      </c>
      <c r="E7551" t="inlineStr">
        <is>
          <t>cash_in</t>
        </is>
      </c>
      <c r="F7551" s="23" t="n">
        <v>46267</v>
      </c>
      <c r="G7551" s="24">
        <f>F7551-DATE(2026,8,31)</f>
        <v>2</v>
      </c>
      <c r="H7551" s="25" t="n">
        <v>193207887</v>
      </c>
      <c r="I7551" t="inlineStr">
        <is>
          <t>entidad-dia</t>
        </is>
      </c>
    </row>
    <row r="7552">
      <c r="A7552" t="inlineStr">
        <is>
          <t>PRAGMA</t>
        </is>
      </c>
      <c r="B7552" t="inlineStr">
        <is>
          <t>M2</t>
        </is>
      </c>
      <c r="C7552" t="inlineStr">
        <is>
          <t>Cali</t>
        </is>
      </c>
      <c r="D7552" t="inlineStr">
        <is>
          <t>7864</t>
        </is>
      </c>
      <c r="E7552" t="inlineStr">
        <is>
          <t>pagado</t>
        </is>
      </c>
      <c r="F7552" s="23" t="n">
        <v>46268</v>
      </c>
      <c r="G7552" s="24">
        <f>F7552-DATE(2026,8,31)</f>
        <v>3</v>
      </c>
      <c r="H7552" s="25" t="n">
        <v>32779322</v>
      </c>
      <c r="I7552" t="inlineStr">
        <is>
          <t>entidad-dia</t>
        </is>
      </c>
    </row>
    <row r="7553">
      <c r="A7553" t="inlineStr">
        <is>
          <t>PRAGMA</t>
        </is>
      </c>
      <c r="B7553" t="inlineStr">
        <is>
          <t>M2</t>
        </is>
      </c>
      <c r="C7553" t="inlineStr">
        <is>
          <t>Cali</t>
        </is>
      </c>
      <c r="D7553" t="inlineStr">
        <is>
          <t>7864</t>
        </is>
      </c>
      <c r="E7553" t="inlineStr">
        <is>
          <t>cash_in</t>
        </is>
      </c>
      <c r="F7553" s="23" t="n">
        <v>46268</v>
      </c>
      <c r="G7553" s="24">
        <f>F7553-DATE(2026,8,31)</f>
        <v>3</v>
      </c>
      <c r="H7553" s="25" t="n">
        <v>218570290</v>
      </c>
      <c r="I7553" t="inlineStr">
        <is>
          <t>entidad-dia</t>
        </is>
      </c>
    </row>
    <row r="7554">
      <c r="A7554" t="inlineStr">
        <is>
          <t>PRAGMA</t>
        </is>
      </c>
      <c r="B7554" t="inlineStr">
        <is>
          <t>M2</t>
        </is>
      </c>
      <c r="C7554" t="inlineStr">
        <is>
          <t>Cali</t>
        </is>
      </c>
      <c r="D7554" t="inlineStr">
        <is>
          <t>7864</t>
        </is>
      </c>
      <c r="E7554" t="inlineStr">
        <is>
          <t>pagado</t>
        </is>
      </c>
      <c r="F7554" s="23" t="n">
        <v>46269</v>
      </c>
      <c r="G7554" s="24">
        <f>F7554-DATE(2026,8,31)</f>
        <v>4</v>
      </c>
      <c r="H7554" s="25" t="n">
        <v>36007536</v>
      </c>
      <c r="I7554" t="inlineStr">
        <is>
          <t>entidad-dia</t>
        </is>
      </c>
    </row>
    <row r="7555">
      <c r="A7555" t="inlineStr">
        <is>
          <t>PRAGMA</t>
        </is>
      </c>
      <c r="B7555" t="inlineStr">
        <is>
          <t>M2</t>
        </is>
      </c>
      <c r="C7555" t="inlineStr">
        <is>
          <t>Cali</t>
        </is>
      </c>
      <c r="D7555" t="inlineStr">
        <is>
          <t>7864</t>
        </is>
      </c>
      <c r="E7555" t="inlineStr">
        <is>
          <t>cash_in</t>
        </is>
      </c>
      <c r="F7555" s="23" t="n">
        <v>46269</v>
      </c>
      <c r="G7555" s="24">
        <f>F7555-DATE(2026,8,31)</f>
        <v>4</v>
      </c>
      <c r="H7555" s="25" t="n">
        <v>215567085</v>
      </c>
      <c r="I7555" t="inlineStr">
        <is>
          <t>entidad-dia</t>
        </is>
      </c>
    </row>
    <row r="7556">
      <c r="A7556" t="inlineStr">
        <is>
          <t>PRAGMA</t>
        </is>
      </c>
      <c r="B7556" t="inlineStr">
        <is>
          <t>M2</t>
        </is>
      </c>
      <c r="C7556" t="inlineStr">
        <is>
          <t>Cali</t>
        </is>
      </c>
      <c r="D7556" t="inlineStr">
        <is>
          <t>7864</t>
        </is>
      </c>
      <c r="E7556" t="inlineStr">
        <is>
          <t>pagado</t>
        </is>
      </c>
      <c r="F7556" s="23" t="n">
        <v>46270</v>
      </c>
      <c r="G7556" s="24">
        <f>F7556-DATE(2026,8,31)</f>
        <v>5</v>
      </c>
      <c r="H7556" s="25" t="n">
        <v>36230372</v>
      </c>
      <c r="I7556" t="inlineStr">
        <is>
          <t>entidad-dia</t>
        </is>
      </c>
    </row>
    <row r="7557">
      <c r="A7557" t="inlineStr">
        <is>
          <t>PRAGMA</t>
        </is>
      </c>
      <c r="B7557" t="inlineStr">
        <is>
          <t>M2</t>
        </is>
      </c>
      <c r="C7557" t="inlineStr">
        <is>
          <t>Cali</t>
        </is>
      </c>
      <c r="D7557" t="inlineStr">
        <is>
          <t>7864</t>
        </is>
      </c>
      <c r="E7557" t="inlineStr">
        <is>
          <t>cash_in</t>
        </is>
      </c>
      <c r="F7557" s="23" t="n">
        <v>46270</v>
      </c>
      <c r="G7557" s="24">
        <f>F7557-DATE(2026,8,31)</f>
        <v>5</v>
      </c>
      <c r="H7557" s="25" t="n">
        <v>194205248</v>
      </c>
      <c r="I7557" t="inlineStr">
        <is>
          <t>entidad-dia</t>
        </is>
      </c>
    </row>
    <row r="7558">
      <c r="A7558" t="inlineStr">
        <is>
          <t>PRAGMA</t>
        </is>
      </c>
      <c r="B7558" t="inlineStr">
        <is>
          <t>M2</t>
        </is>
      </c>
      <c r="C7558" t="inlineStr">
        <is>
          <t>Cali</t>
        </is>
      </c>
      <c r="D7558" t="inlineStr">
        <is>
          <t>7864</t>
        </is>
      </c>
      <c r="E7558" t="inlineStr">
        <is>
          <t>pagado</t>
        </is>
      </c>
      <c r="F7558" s="23" t="n">
        <v>46271</v>
      </c>
      <c r="G7558" s="24">
        <f>F7558-DATE(2026,8,31)</f>
        <v>6</v>
      </c>
      <c r="H7558" s="25" t="n">
        <v>24491546</v>
      </c>
      <c r="I7558" t="inlineStr">
        <is>
          <t>entidad-dia</t>
        </is>
      </c>
    </row>
    <row r="7559">
      <c r="A7559" t="inlineStr">
        <is>
          <t>PRAGMA</t>
        </is>
      </c>
      <c r="B7559" t="inlineStr">
        <is>
          <t>M2</t>
        </is>
      </c>
      <c r="C7559" t="inlineStr">
        <is>
          <t>Cali</t>
        </is>
      </c>
      <c r="D7559" t="inlineStr">
        <is>
          <t>7864</t>
        </is>
      </c>
      <c r="E7559" t="inlineStr">
        <is>
          <t>cash_in</t>
        </is>
      </c>
      <c r="F7559" s="23" t="n">
        <v>46271</v>
      </c>
      <c r="G7559" s="24">
        <f>F7559-DATE(2026,8,31)</f>
        <v>6</v>
      </c>
      <c r="H7559" s="25" t="n">
        <v>56940522</v>
      </c>
      <c r="I7559" t="inlineStr">
        <is>
          <t>entidad-dia</t>
        </is>
      </c>
    </row>
    <row r="7560">
      <c r="A7560" t="inlineStr">
        <is>
          <t>PRAGMA</t>
        </is>
      </c>
      <c r="B7560" t="inlineStr">
        <is>
          <t>M2</t>
        </is>
      </c>
      <c r="C7560" t="inlineStr">
        <is>
          <t>Cali</t>
        </is>
      </c>
      <c r="D7560" t="inlineStr">
        <is>
          <t>7864</t>
        </is>
      </c>
      <c r="E7560" t="inlineStr">
        <is>
          <t>pagado</t>
        </is>
      </c>
      <c r="F7560" s="23" t="n">
        <v>46272</v>
      </c>
      <c r="G7560" s="24">
        <f>F7560-DATE(2026,8,31)</f>
        <v>7</v>
      </c>
      <c r="H7560" s="25" t="n">
        <v>32005051</v>
      </c>
      <c r="I7560" t="inlineStr">
        <is>
          <t>entidad-dia</t>
        </is>
      </c>
    </row>
    <row r="7561">
      <c r="A7561" t="inlineStr">
        <is>
          <t>PRAGMA</t>
        </is>
      </c>
      <c r="B7561" t="inlineStr">
        <is>
          <t>M2</t>
        </is>
      </c>
      <c r="C7561" t="inlineStr">
        <is>
          <t>Cali</t>
        </is>
      </c>
      <c r="D7561" t="inlineStr">
        <is>
          <t>7864</t>
        </is>
      </c>
      <c r="E7561" t="inlineStr">
        <is>
          <t>cash_in</t>
        </is>
      </c>
      <c r="F7561" s="23" t="n">
        <v>46272</v>
      </c>
      <c r="G7561" s="24">
        <f>F7561-DATE(2026,8,31)</f>
        <v>7</v>
      </c>
      <c r="H7561" s="25" t="n">
        <v>265177995</v>
      </c>
      <c r="I7561" t="inlineStr">
        <is>
          <t>entidad-dia</t>
        </is>
      </c>
    </row>
    <row r="7562">
      <c r="A7562" t="inlineStr">
        <is>
          <t>PRAGMA</t>
        </is>
      </c>
      <c r="B7562" t="inlineStr">
        <is>
          <t>M2</t>
        </is>
      </c>
      <c r="C7562" t="inlineStr">
        <is>
          <t>Cali</t>
        </is>
      </c>
      <c r="D7562" t="inlineStr">
        <is>
          <t>7864</t>
        </is>
      </c>
      <c r="E7562" t="inlineStr">
        <is>
          <t>pagado</t>
        </is>
      </c>
      <c r="F7562" s="23" t="n">
        <v>46273</v>
      </c>
      <c r="G7562" s="24">
        <f>F7562-DATE(2026,8,31)</f>
        <v>8</v>
      </c>
      <c r="H7562" s="25" t="n">
        <v>26032659</v>
      </c>
      <c r="I7562" t="inlineStr">
        <is>
          <t>entidad-dia</t>
        </is>
      </c>
    </row>
    <row r="7563">
      <c r="A7563" t="inlineStr">
        <is>
          <t>PRAGMA</t>
        </is>
      </c>
      <c r="B7563" t="inlineStr">
        <is>
          <t>M2</t>
        </is>
      </c>
      <c r="C7563" t="inlineStr">
        <is>
          <t>Cali</t>
        </is>
      </c>
      <c r="D7563" t="inlineStr">
        <is>
          <t>7864</t>
        </is>
      </c>
      <c r="E7563" t="inlineStr">
        <is>
          <t>cash_in</t>
        </is>
      </c>
      <c r="F7563" s="23" t="n">
        <v>46273</v>
      </c>
      <c r="G7563" s="24">
        <f>F7563-DATE(2026,8,31)</f>
        <v>8</v>
      </c>
      <c r="H7563" s="25" t="n">
        <v>257206515</v>
      </c>
      <c r="I7563" t="inlineStr">
        <is>
          <t>entidad-dia</t>
        </is>
      </c>
    </row>
    <row r="7564">
      <c r="A7564" t="inlineStr">
        <is>
          <t>PRAGMA</t>
        </is>
      </c>
      <c r="B7564" t="inlineStr">
        <is>
          <t>M2</t>
        </is>
      </c>
      <c r="C7564" t="inlineStr">
        <is>
          <t>Cali</t>
        </is>
      </c>
      <c r="D7564" t="inlineStr">
        <is>
          <t>7864</t>
        </is>
      </c>
      <c r="E7564" t="inlineStr">
        <is>
          <t>pagado</t>
        </is>
      </c>
      <c r="F7564" s="23" t="n">
        <v>46274</v>
      </c>
      <c r="G7564" s="24">
        <f>F7564-DATE(2026,8,31)</f>
        <v>9</v>
      </c>
      <c r="H7564" s="25" t="n">
        <v>25537706</v>
      </c>
      <c r="I7564" t="inlineStr">
        <is>
          <t>entidad-dia</t>
        </is>
      </c>
    </row>
    <row r="7565">
      <c r="A7565" t="inlineStr">
        <is>
          <t>PRAGMA</t>
        </is>
      </c>
      <c r="B7565" t="inlineStr">
        <is>
          <t>M2</t>
        </is>
      </c>
      <c r="C7565" t="inlineStr">
        <is>
          <t>Cali</t>
        </is>
      </c>
      <c r="D7565" t="inlineStr">
        <is>
          <t>7864</t>
        </is>
      </c>
      <c r="E7565" t="inlineStr">
        <is>
          <t>cash_in</t>
        </is>
      </c>
      <c r="F7565" s="23" t="n">
        <v>46274</v>
      </c>
      <c r="G7565" s="24">
        <f>F7565-DATE(2026,8,31)</f>
        <v>9</v>
      </c>
      <c r="H7565" s="25" t="n">
        <v>229312304</v>
      </c>
      <c r="I7565" t="inlineStr">
        <is>
          <t>entidad-dia</t>
        </is>
      </c>
    </row>
    <row r="7566">
      <c r="A7566" t="inlineStr">
        <is>
          <t>PRAGMA</t>
        </is>
      </c>
      <c r="B7566" t="inlineStr">
        <is>
          <t>M2</t>
        </is>
      </c>
      <c r="C7566" t="inlineStr">
        <is>
          <t>Cali</t>
        </is>
      </c>
      <c r="D7566" t="inlineStr">
        <is>
          <t>7864</t>
        </is>
      </c>
      <c r="E7566" t="inlineStr">
        <is>
          <t>pagado</t>
        </is>
      </c>
      <c r="F7566" s="23" t="n">
        <v>46275</v>
      </c>
      <c r="G7566" s="24">
        <f>F7566-DATE(2026,8,31)</f>
        <v>10</v>
      </c>
      <c r="H7566" s="25" t="n">
        <v>22155172</v>
      </c>
      <c r="I7566" t="inlineStr">
        <is>
          <t>entidad-dia</t>
        </is>
      </c>
    </row>
    <row r="7567">
      <c r="A7567" t="inlineStr">
        <is>
          <t>PRAGMA</t>
        </is>
      </c>
      <c r="B7567" t="inlineStr">
        <is>
          <t>M2</t>
        </is>
      </c>
      <c r="C7567" t="inlineStr">
        <is>
          <t>Cali</t>
        </is>
      </c>
      <c r="D7567" t="inlineStr">
        <is>
          <t>7864</t>
        </is>
      </c>
      <c r="E7567" t="inlineStr">
        <is>
          <t>cash_in</t>
        </is>
      </c>
      <c r="F7567" s="23" t="n">
        <v>46275</v>
      </c>
      <c r="G7567" s="24">
        <f>F7567-DATE(2026,8,31)</f>
        <v>10</v>
      </c>
      <c r="H7567" s="25" t="n">
        <v>224314159</v>
      </c>
      <c r="I7567" t="inlineStr">
        <is>
          <t>entidad-dia</t>
        </is>
      </c>
    </row>
    <row r="7568">
      <c r="A7568" t="inlineStr">
        <is>
          <t>PRAGMA</t>
        </is>
      </c>
      <c r="B7568" t="inlineStr">
        <is>
          <t>M2</t>
        </is>
      </c>
      <c r="C7568" t="inlineStr">
        <is>
          <t>Cali</t>
        </is>
      </c>
      <c r="D7568" t="inlineStr">
        <is>
          <t>7864</t>
        </is>
      </c>
      <c r="E7568" t="inlineStr">
        <is>
          <t>pagado</t>
        </is>
      </c>
      <c r="F7568" s="23" t="n">
        <v>46276</v>
      </c>
      <c r="G7568" s="24">
        <f>F7568-DATE(2026,8,31)</f>
        <v>11</v>
      </c>
      <c r="H7568" s="25" t="n">
        <v>26726421</v>
      </c>
      <c r="I7568" t="inlineStr">
        <is>
          <t>entidad-dia</t>
        </is>
      </c>
    </row>
    <row r="7569">
      <c r="A7569" t="inlineStr">
        <is>
          <t>PRAGMA</t>
        </is>
      </c>
      <c r="B7569" t="inlineStr">
        <is>
          <t>M2</t>
        </is>
      </c>
      <c r="C7569" t="inlineStr">
        <is>
          <t>Cali</t>
        </is>
      </c>
      <c r="D7569" t="inlineStr">
        <is>
          <t>7864</t>
        </is>
      </c>
      <c r="E7569" t="inlineStr">
        <is>
          <t>cash_in</t>
        </is>
      </c>
      <c r="F7569" s="23" t="n">
        <v>46276</v>
      </c>
      <c r="G7569" s="24">
        <f>F7569-DATE(2026,8,31)</f>
        <v>11</v>
      </c>
      <c r="H7569" s="25" t="n">
        <v>224083513</v>
      </c>
      <c r="I7569" t="inlineStr">
        <is>
          <t>entidad-dia</t>
        </is>
      </c>
    </row>
    <row r="7570">
      <c r="A7570" t="inlineStr">
        <is>
          <t>PRAGMA</t>
        </is>
      </c>
      <c r="B7570" t="inlineStr">
        <is>
          <t>M2</t>
        </is>
      </c>
      <c r="C7570" t="inlineStr">
        <is>
          <t>Cali</t>
        </is>
      </c>
      <c r="D7570" t="inlineStr">
        <is>
          <t>7864</t>
        </is>
      </c>
      <c r="E7570" t="inlineStr">
        <is>
          <t>pagado</t>
        </is>
      </c>
      <c r="F7570" s="23" t="n">
        <v>46277</v>
      </c>
      <c r="G7570" s="24">
        <f>F7570-DATE(2026,8,31)</f>
        <v>12</v>
      </c>
      <c r="H7570" s="25" t="n">
        <v>27450187</v>
      </c>
      <c r="I7570" t="inlineStr">
        <is>
          <t>entidad-dia</t>
        </is>
      </c>
    </row>
    <row r="7571">
      <c r="A7571" t="inlineStr">
        <is>
          <t>PRAGMA</t>
        </is>
      </c>
      <c r="B7571" t="inlineStr">
        <is>
          <t>M2</t>
        </is>
      </c>
      <c r="C7571" t="inlineStr">
        <is>
          <t>Cali</t>
        </is>
      </c>
      <c r="D7571" t="inlineStr">
        <is>
          <t>7864</t>
        </is>
      </c>
      <c r="E7571" t="inlineStr">
        <is>
          <t>cash_in</t>
        </is>
      </c>
      <c r="F7571" s="23" t="n">
        <v>46277</v>
      </c>
      <c r="G7571" s="24">
        <f>F7571-DATE(2026,8,31)</f>
        <v>12</v>
      </c>
      <c r="H7571" s="25" t="n">
        <v>187063415</v>
      </c>
      <c r="I7571" t="inlineStr">
        <is>
          <t>entidad-dia</t>
        </is>
      </c>
    </row>
    <row r="7572">
      <c r="A7572" t="inlineStr">
        <is>
          <t>PRAGMA</t>
        </is>
      </c>
      <c r="B7572" t="inlineStr">
        <is>
          <t>M2</t>
        </is>
      </c>
      <c r="C7572" t="inlineStr">
        <is>
          <t>Cali</t>
        </is>
      </c>
      <c r="D7572" t="inlineStr">
        <is>
          <t>7864</t>
        </is>
      </c>
      <c r="E7572" t="inlineStr">
        <is>
          <t>pagado</t>
        </is>
      </c>
      <c r="F7572" s="23" t="n">
        <v>46278</v>
      </c>
      <c r="G7572" s="24">
        <f>F7572-DATE(2026,8,31)</f>
        <v>13</v>
      </c>
      <c r="H7572" s="25" t="n">
        <v>20029869</v>
      </c>
      <c r="I7572" t="inlineStr">
        <is>
          <t>entidad-dia</t>
        </is>
      </c>
    </row>
    <row r="7573">
      <c r="A7573" t="inlineStr">
        <is>
          <t>PRAGMA</t>
        </is>
      </c>
      <c r="B7573" t="inlineStr">
        <is>
          <t>M2</t>
        </is>
      </c>
      <c r="C7573" t="inlineStr">
        <is>
          <t>Cali</t>
        </is>
      </c>
      <c r="D7573" t="inlineStr">
        <is>
          <t>7864</t>
        </is>
      </c>
      <c r="E7573" t="inlineStr">
        <is>
          <t>cash_in</t>
        </is>
      </c>
      <c r="F7573" s="23" t="n">
        <v>46278</v>
      </c>
      <c r="G7573" s="24">
        <f>F7573-DATE(2026,8,31)</f>
        <v>13</v>
      </c>
      <c r="H7573" s="25" t="n">
        <v>51901563</v>
      </c>
      <c r="I7573" t="inlineStr">
        <is>
          <t>entidad-dia</t>
        </is>
      </c>
    </row>
    <row r="7574">
      <c r="A7574" t="inlineStr">
        <is>
          <t>PRAGMA</t>
        </is>
      </c>
      <c r="B7574" t="inlineStr">
        <is>
          <t>M2</t>
        </is>
      </c>
      <c r="C7574" t="inlineStr">
        <is>
          <t>Cali</t>
        </is>
      </c>
      <c r="D7574" t="inlineStr">
        <is>
          <t>7864</t>
        </is>
      </c>
      <c r="E7574" t="inlineStr">
        <is>
          <t>pagado</t>
        </is>
      </c>
      <c r="F7574" s="23" t="n">
        <v>46279</v>
      </c>
      <c r="G7574" s="24">
        <f>F7574-DATE(2026,8,31)</f>
        <v>14</v>
      </c>
      <c r="H7574" s="25" t="n">
        <v>25072527</v>
      </c>
      <c r="I7574" t="inlineStr">
        <is>
          <t>entidad-dia</t>
        </is>
      </c>
    </row>
    <row r="7575">
      <c r="A7575" t="inlineStr">
        <is>
          <t>PRAGMA</t>
        </is>
      </c>
      <c r="B7575" t="inlineStr">
        <is>
          <t>M2</t>
        </is>
      </c>
      <c r="C7575" t="inlineStr">
        <is>
          <t>Cali</t>
        </is>
      </c>
      <c r="D7575" t="inlineStr">
        <is>
          <t>7864</t>
        </is>
      </c>
      <c r="E7575" t="inlineStr">
        <is>
          <t>cash_in</t>
        </is>
      </c>
      <c r="F7575" s="23" t="n">
        <v>46279</v>
      </c>
      <c r="G7575" s="24">
        <f>F7575-DATE(2026,8,31)</f>
        <v>14</v>
      </c>
      <c r="H7575" s="25" t="n">
        <v>253221487</v>
      </c>
      <c r="I7575" t="inlineStr">
        <is>
          <t>entidad-dia</t>
        </is>
      </c>
    </row>
    <row r="7576">
      <c r="A7576" t="inlineStr">
        <is>
          <t>PRAGMA</t>
        </is>
      </c>
      <c r="B7576" t="inlineStr">
        <is>
          <t>M2</t>
        </is>
      </c>
      <c r="C7576" t="inlineStr">
        <is>
          <t>Cali</t>
        </is>
      </c>
      <c r="D7576" t="inlineStr">
        <is>
          <t>7864</t>
        </is>
      </c>
      <c r="E7576" t="inlineStr">
        <is>
          <t>pagado</t>
        </is>
      </c>
      <c r="F7576" s="23" t="n">
        <v>46280</v>
      </c>
      <c r="G7576" s="24">
        <f>F7576-DATE(2026,8,31)</f>
        <v>15</v>
      </c>
      <c r="H7576" s="25" t="n">
        <v>31235881</v>
      </c>
      <c r="I7576" t="inlineStr">
        <is>
          <t>entidad-dia</t>
        </is>
      </c>
    </row>
    <row r="7577">
      <c r="A7577" t="inlineStr">
        <is>
          <t>PRAGMA</t>
        </is>
      </c>
      <c r="B7577" t="inlineStr">
        <is>
          <t>M2</t>
        </is>
      </c>
      <c r="C7577" t="inlineStr">
        <is>
          <t>Cali</t>
        </is>
      </c>
      <c r="D7577" t="inlineStr">
        <is>
          <t>7864</t>
        </is>
      </c>
      <c r="E7577" t="inlineStr">
        <is>
          <t>cash_in</t>
        </is>
      </c>
      <c r="F7577" s="23" t="n">
        <v>46280</v>
      </c>
      <c r="G7577" s="24">
        <f>F7577-DATE(2026,8,31)</f>
        <v>15</v>
      </c>
      <c r="H7577" s="25" t="n">
        <v>242141634</v>
      </c>
      <c r="I7577" t="inlineStr">
        <is>
          <t>entidad-dia</t>
        </is>
      </c>
    </row>
    <row r="7578">
      <c r="A7578" t="inlineStr">
        <is>
          <t>PRAGMA</t>
        </is>
      </c>
      <c r="B7578" t="inlineStr">
        <is>
          <t>M2</t>
        </is>
      </c>
      <c r="C7578" t="inlineStr">
        <is>
          <t>Cali</t>
        </is>
      </c>
      <c r="D7578" t="inlineStr">
        <is>
          <t>793</t>
        </is>
      </c>
      <c r="E7578" t="inlineStr">
        <is>
          <t>pagado</t>
        </is>
      </c>
      <c r="F7578" s="23" t="n">
        <v>46266</v>
      </c>
      <c r="G7578" s="24">
        <f>F7578-DATE(2026,8,31)</f>
        <v>1</v>
      </c>
      <c r="H7578" s="25" t="n">
        <v>64144334</v>
      </c>
      <c r="I7578" t="inlineStr">
        <is>
          <t>entidad-dia</t>
        </is>
      </c>
    </row>
    <row r="7579">
      <c r="A7579" t="inlineStr">
        <is>
          <t>PRAGMA</t>
        </is>
      </c>
      <c r="B7579" t="inlineStr">
        <is>
          <t>M2</t>
        </is>
      </c>
      <c r="C7579" t="inlineStr">
        <is>
          <t>Cali</t>
        </is>
      </c>
      <c r="D7579" t="inlineStr">
        <is>
          <t>793</t>
        </is>
      </c>
      <c r="E7579" t="inlineStr">
        <is>
          <t>cash_in</t>
        </is>
      </c>
      <c r="F7579" s="23" t="n">
        <v>46266</v>
      </c>
      <c r="G7579" s="24">
        <f>F7579-DATE(2026,8,31)</f>
        <v>1</v>
      </c>
      <c r="H7579" s="25" t="n">
        <v>135058088</v>
      </c>
      <c r="I7579" t="inlineStr">
        <is>
          <t>entidad-dia</t>
        </is>
      </c>
    </row>
    <row r="7580">
      <c r="A7580" t="inlineStr">
        <is>
          <t>PRAGMA</t>
        </is>
      </c>
      <c r="B7580" t="inlineStr">
        <is>
          <t>M2</t>
        </is>
      </c>
      <c r="C7580" t="inlineStr">
        <is>
          <t>Cali</t>
        </is>
      </c>
      <c r="D7580" t="inlineStr">
        <is>
          <t>793</t>
        </is>
      </c>
      <c r="E7580" t="inlineStr">
        <is>
          <t>pagado</t>
        </is>
      </c>
      <c r="F7580" s="23" t="n">
        <v>46267</v>
      </c>
      <c r="G7580" s="24">
        <f>F7580-DATE(2026,8,31)</f>
        <v>2</v>
      </c>
      <c r="H7580" s="25" t="n">
        <v>51253660</v>
      </c>
      <c r="I7580" t="inlineStr">
        <is>
          <t>entidad-dia</t>
        </is>
      </c>
    </row>
    <row r="7581">
      <c r="A7581" t="inlineStr">
        <is>
          <t>PRAGMA</t>
        </is>
      </c>
      <c r="B7581" t="inlineStr">
        <is>
          <t>M2</t>
        </is>
      </c>
      <c r="C7581" t="inlineStr">
        <is>
          <t>Cali</t>
        </is>
      </c>
      <c r="D7581" t="inlineStr">
        <is>
          <t>793</t>
        </is>
      </c>
      <c r="E7581" t="inlineStr">
        <is>
          <t>cash_in</t>
        </is>
      </c>
      <c r="F7581" s="23" t="n">
        <v>46267</v>
      </c>
      <c r="G7581" s="24">
        <f>F7581-DATE(2026,8,31)</f>
        <v>2</v>
      </c>
      <c r="H7581" s="25" t="n">
        <v>124891557</v>
      </c>
      <c r="I7581" t="inlineStr">
        <is>
          <t>entidad-dia</t>
        </is>
      </c>
    </row>
    <row r="7582">
      <c r="A7582" t="inlineStr">
        <is>
          <t>PRAGMA</t>
        </is>
      </c>
      <c r="B7582" t="inlineStr">
        <is>
          <t>M2</t>
        </is>
      </c>
      <c r="C7582" t="inlineStr">
        <is>
          <t>Cali</t>
        </is>
      </c>
      <c r="D7582" t="inlineStr">
        <is>
          <t>793</t>
        </is>
      </c>
      <c r="E7582" t="inlineStr">
        <is>
          <t>pagado</t>
        </is>
      </c>
      <c r="F7582" s="23" t="n">
        <v>46268</v>
      </c>
      <c r="G7582" s="24">
        <f>F7582-DATE(2026,8,31)</f>
        <v>3</v>
      </c>
      <c r="H7582" s="25" t="n">
        <v>49286680</v>
      </c>
      <c r="I7582" t="inlineStr">
        <is>
          <t>entidad-dia</t>
        </is>
      </c>
    </row>
    <row r="7583">
      <c r="A7583" t="inlineStr">
        <is>
          <t>PRAGMA</t>
        </is>
      </c>
      <c r="B7583" t="inlineStr">
        <is>
          <t>M2</t>
        </is>
      </c>
      <c r="C7583" t="inlineStr">
        <is>
          <t>Cali</t>
        </is>
      </c>
      <c r="D7583" t="inlineStr">
        <is>
          <t>793</t>
        </is>
      </c>
      <c r="E7583" t="inlineStr">
        <is>
          <t>cash_in</t>
        </is>
      </c>
      <c r="F7583" s="23" t="n">
        <v>46268</v>
      </c>
      <c r="G7583" s="24">
        <f>F7583-DATE(2026,8,31)</f>
        <v>3</v>
      </c>
      <c r="H7583" s="25" t="n">
        <v>127097662</v>
      </c>
      <c r="I7583" t="inlineStr">
        <is>
          <t>entidad-dia</t>
        </is>
      </c>
    </row>
    <row r="7584">
      <c r="A7584" t="inlineStr">
        <is>
          <t>PRAGMA</t>
        </is>
      </c>
      <c r="B7584" t="inlineStr">
        <is>
          <t>M2</t>
        </is>
      </c>
      <c r="C7584" t="inlineStr">
        <is>
          <t>Cali</t>
        </is>
      </c>
      <c r="D7584" t="inlineStr">
        <is>
          <t>793</t>
        </is>
      </c>
      <c r="E7584" t="inlineStr">
        <is>
          <t>pagado</t>
        </is>
      </c>
      <c r="F7584" s="23" t="n">
        <v>46269</v>
      </c>
      <c r="G7584" s="24">
        <f>F7584-DATE(2026,8,31)</f>
        <v>4</v>
      </c>
      <c r="H7584" s="25" t="n">
        <v>46870348</v>
      </c>
      <c r="I7584" t="inlineStr">
        <is>
          <t>entidad-dia</t>
        </is>
      </c>
    </row>
    <row r="7585">
      <c r="A7585" t="inlineStr">
        <is>
          <t>PRAGMA</t>
        </is>
      </c>
      <c r="B7585" t="inlineStr">
        <is>
          <t>M2</t>
        </is>
      </c>
      <c r="C7585" t="inlineStr">
        <is>
          <t>Cali</t>
        </is>
      </c>
      <c r="D7585" t="inlineStr">
        <is>
          <t>793</t>
        </is>
      </c>
      <c r="E7585" t="inlineStr">
        <is>
          <t>cash_in</t>
        </is>
      </c>
      <c r="F7585" s="23" t="n">
        <v>46269</v>
      </c>
      <c r="G7585" s="24">
        <f>F7585-DATE(2026,8,31)</f>
        <v>4</v>
      </c>
      <c r="H7585" s="25" t="n">
        <v>127391244</v>
      </c>
      <c r="I7585" t="inlineStr">
        <is>
          <t>entidad-dia</t>
        </is>
      </c>
    </row>
    <row r="7586">
      <c r="A7586" t="inlineStr">
        <is>
          <t>PRAGMA</t>
        </is>
      </c>
      <c r="B7586" t="inlineStr">
        <is>
          <t>M2</t>
        </is>
      </c>
      <c r="C7586" t="inlineStr">
        <is>
          <t>Cali</t>
        </is>
      </c>
      <c r="D7586" t="inlineStr">
        <is>
          <t>793</t>
        </is>
      </c>
      <c r="E7586" t="inlineStr">
        <is>
          <t>pagado</t>
        </is>
      </c>
      <c r="F7586" s="23" t="n">
        <v>46270</v>
      </c>
      <c r="G7586" s="24">
        <f>F7586-DATE(2026,8,31)</f>
        <v>5</v>
      </c>
      <c r="H7586" s="25" t="n">
        <v>46651261</v>
      </c>
      <c r="I7586" t="inlineStr">
        <is>
          <t>entidad-dia</t>
        </is>
      </c>
    </row>
    <row r="7587">
      <c r="A7587" t="inlineStr">
        <is>
          <t>PRAGMA</t>
        </is>
      </c>
      <c r="B7587" t="inlineStr">
        <is>
          <t>M2</t>
        </is>
      </c>
      <c r="C7587" t="inlineStr">
        <is>
          <t>Cali</t>
        </is>
      </c>
      <c r="D7587" t="inlineStr">
        <is>
          <t>793</t>
        </is>
      </c>
      <c r="E7587" t="inlineStr">
        <is>
          <t>cash_in</t>
        </is>
      </c>
      <c r="F7587" s="23" t="n">
        <v>46270</v>
      </c>
      <c r="G7587" s="24">
        <f>F7587-DATE(2026,8,31)</f>
        <v>5</v>
      </c>
      <c r="H7587" s="25" t="n">
        <v>115712784</v>
      </c>
      <c r="I7587" t="inlineStr">
        <is>
          <t>entidad-dia</t>
        </is>
      </c>
    </row>
    <row r="7588">
      <c r="A7588" t="inlineStr">
        <is>
          <t>PRAGMA</t>
        </is>
      </c>
      <c r="B7588" t="inlineStr">
        <is>
          <t>M2</t>
        </is>
      </c>
      <c r="C7588" t="inlineStr">
        <is>
          <t>Cali</t>
        </is>
      </c>
      <c r="D7588" t="inlineStr">
        <is>
          <t>793</t>
        </is>
      </c>
      <c r="E7588" t="inlineStr">
        <is>
          <t>pagado</t>
        </is>
      </c>
      <c r="F7588" s="23" t="n">
        <v>46271</v>
      </c>
      <c r="G7588" s="24">
        <f>F7588-DATE(2026,8,31)</f>
        <v>6</v>
      </c>
      <c r="H7588" s="25" t="n">
        <v>23405544</v>
      </c>
      <c r="I7588" t="inlineStr">
        <is>
          <t>entidad-dia</t>
        </is>
      </c>
    </row>
    <row r="7589">
      <c r="A7589" t="inlineStr">
        <is>
          <t>PRAGMA</t>
        </is>
      </c>
      <c r="B7589" t="inlineStr">
        <is>
          <t>M2</t>
        </is>
      </c>
      <c r="C7589" t="inlineStr">
        <is>
          <t>Cali</t>
        </is>
      </c>
      <c r="D7589" t="inlineStr">
        <is>
          <t>793</t>
        </is>
      </c>
      <c r="E7589" t="inlineStr">
        <is>
          <t>cash_in</t>
        </is>
      </c>
      <c r="F7589" s="23" t="n">
        <v>46271</v>
      </c>
      <c r="G7589" s="24">
        <f>F7589-DATE(2026,8,31)</f>
        <v>6</v>
      </c>
      <c r="H7589" s="25" t="n">
        <v>42606543</v>
      </c>
      <c r="I7589" t="inlineStr">
        <is>
          <t>entidad-dia</t>
        </is>
      </c>
    </row>
    <row r="7590">
      <c r="A7590" t="inlineStr">
        <is>
          <t>PRAGMA</t>
        </is>
      </c>
      <c r="B7590" t="inlineStr">
        <is>
          <t>M2</t>
        </is>
      </c>
      <c r="C7590" t="inlineStr">
        <is>
          <t>Cali</t>
        </is>
      </c>
      <c r="D7590" t="inlineStr">
        <is>
          <t>793</t>
        </is>
      </c>
      <c r="E7590" t="inlineStr">
        <is>
          <t>pagado</t>
        </is>
      </c>
      <c r="F7590" s="23" t="n">
        <v>46272</v>
      </c>
      <c r="G7590" s="24">
        <f>F7590-DATE(2026,8,31)</f>
        <v>7</v>
      </c>
      <c r="H7590" s="25" t="n">
        <v>39812871</v>
      </c>
      <c r="I7590" t="inlineStr">
        <is>
          <t>entidad-dia</t>
        </is>
      </c>
    </row>
    <row r="7591">
      <c r="A7591" t="inlineStr">
        <is>
          <t>PRAGMA</t>
        </is>
      </c>
      <c r="B7591" t="inlineStr">
        <is>
          <t>M2</t>
        </is>
      </c>
      <c r="C7591" t="inlineStr">
        <is>
          <t>Cali</t>
        </is>
      </c>
      <c r="D7591" t="inlineStr">
        <is>
          <t>793</t>
        </is>
      </c>
      <c r="E7591" t="inlineStr">
        <is>
          <t>cash_in</t>
        </is>
      </c>
      <c r="F7591" s="23" t="n">
        <v>46272</v>
      </c>
      <c r="G7591" s="24">
        <f>F7591-DATE(2026,8,31)</f>
        <v>7</v>
      </c>
      <c r="H7591" s="25" t="n">
        <v>133837047</v>
      </c>
      <c r="I7591" t="inlineStr">
        <is>
          <t>entidad-dia</t>
        </is>
      </c>
    </row>
    <row r="7592">
      <c r="A7592" t="inlineStr">
        <is>
          <t>PRAGMA</t>
        </is>
      </c>
      <c r="B7592" t="inlineStr">
        <is>
          <t>M2</t>
        </is>
      </c>
      <c r="C7592" t="inlineStr">
        <is>
          <t>Cali</t>
        </is>
      </c>
      <c r="D7592" t="inlineStr">
        <is>
          <t>793</t>
        </is>
      </c>
      <c r="E7592" t="inlineStr">
        <is>
          <t>pagado</t>
        </is>
      </c>
      <c r="F7592" s="23" t="n">
        <v>46273</v>
      </c>
      <c r="G7592" s="24">
        <f>F7592-DATE(2026,8,31)</f>
        <v>8</v>
      </c>
      <c r="H7592" s="25" t="n">
        <v>40504623</v>
      </c>
      <c r="I7592" t="inlineStr">
        <is>
          <t>entidad-dia</t>
        </is>
      </c>
    </row>
    <row r="7593">
      <c r="A7593" t="inlineStr">
        <is>
          <t>PRAGMA</t>
        </is>
      </c>
      <c r="B7593" t="inlineStr">
        <is>
          <t>M2</t>
        </is>
      </c>
      <c r="C7593" t="inlineStr">
        <is>
          <t>Cali</t>
        </is>
      </c>
      <c r="D7593" t="inlineStr">
        <is>
          <t>793</t>
        </is>
      </c>
      <c r="E7593" t="inlineStr">
        <is>
          <t>cash_in</t>
        </is>
      </c>
      <c r="F7593" s="23" t="n">
        <v>46273</v>
      </c>
      <c r="G7593" s="24">
        <f>F7593-DATE(2026,8,31)</f>
        <v>8</v>
      </c>
      <c r="H7593" s="25" t="n">
        <v>121041126</v>
      </c>
      <c r="I7593" t="inlineStr">
        <is>
          <t>entidad-dia</t>
        </is>
      </c>
    </row>
    <row r="7594">
      <c r="A7594" t="inlineStr">
        <is>
          <t>PRAGMA</t>
        </is>
      </c>
      <c r="B7594" t="inlineStr">
        <is>
          <t>M2</t>
        </is>
      </c>
      <c r="C7594" t="inlineStr">
        <is>
          <t>Cali</t>
        </is>
      </c>
      <c r="D7594" t="inlineStr">
        <is>
          <t>793</t>
        </is>
      </c>
      <c r="E7594" t="inlineStr">
        <is>
          <t>pagado</t>
        </is>
      </c>
      <c r="F7594" s="23" t="n">
        <v>46274</v>
      </c>
      <c r="G7594" s="24">
        <f>F7594-DATE(2026,8,31)</f>
        <v>9</v>
      </c>
      <c r="H7594" s="25" t="n">
        <v>37476806</v>
      </c>
      <c r="I7594" t="inlineStr">
        <is>
          <t>entidad-dia</t>
        </is>
      </c>
    </row>
    <row r="7595">
      <c r="A7595" t="inlineStr">
        <is>
          <t>PRAGMA</t>
        </is>
      </c>
      <c r="B7595" t="inlineStr">
        <is>
          <t>M2</t>
        </is>
      </c>
      <c r="C7595" t="inlineStr">
        <is>
          <t>Cali</t>
        </is>
      </c>
      <c r="D7595" t="inlineStr">
        <is>
          <t>793</t>
        </is>
      </c>
      <c r="E7595" t="inlineStr">
        <is>
          <t>cash_in</t>
        </is>
      </c>
      <c r="F7595" s="23" t="n">
        <v>46274</v>
      </c>
      <c r="G7595" s="24">
        <f>F7595-DATE(2026,8,31)</f>
        <v>9</v>
      </c>
      <c r="H7595" s="25" t="n">
        <v>107947766</v>
      </c>
      <c r="I7595" t="inlineStr">
        <is>
          <t>entidad-dia</t>
        </is>
      </c>
    </row>
    <row r="7596">
      <c r="A7596" t="inlineStr">
        <is>
          <t>PRAGMA</t>
        </is>
      </c>
      <c r="B7596" t="inlineStr">
        <is>
          <t>M2</t>
        </is>
      </c>
      <c r="C7596" t="inlineStr">
        <is>
          <t>Cali</t>
        </is>
      </c>
      <c r="D7596" t="inlineStr">
        <is>
          <t>793</t>
        </is>
      </c>
      <c r="E7596" t="inlineStr">
        <is>
          <t>pagado</t>
        </is>
      </c>
      <c r="F7596" s="23" t="n">
        <v>46275</v>
      </c>
      <c r="G7596" s="24">
        <f>F7596-DATE(2026,8,31)</f>
        <v>10</v>
      </c>
      <c r="H7596" s="25" t="n">
        <v>36730334</v>
      </c>
      <c r="I7596" t="inlineStr">
        <is>
          <t>entidad-dia</t>
        </is>
      </c>
    </row>
    <row r="7597">
      <c r="A7597" t="inlineStr">
        <is>
          <t>PRAGMA</t>
        </is>
      </c>
      <c r="B7597" t="inlineStr">
        <is>
          <t>M2</t>
        </is>
      </c>
      <c r="C7597" t="inlineStr">
        <is>
          <t>Cali</t>
        </is>
      </c>
      <c r="D7597" t="inlineStr">
        <is>
          <t>793</t>
        </is>
      </c>
      <c r="E7597" t="inlineStr">
        <is>
          <t>cash_in</t>
        </is>
      </c>
      <c r="F7597" s="23" t="n">
        <v>46275</v>
      </c>
      <c r="G7597" s="24">
        <f>F7597-DATE(2026,8,31)</f>
        <v>10</v>
      </c>
      <c r="H7597" s="25" t="n">
        <v>102274824</v>
      </c>
      <c r="I7597" t="inlineStr">
        <is>
          <t>entidad-dia</t>
        </is>
      </c>
    </row>
    <row r="7598">
      <c r="A7598" t="inlineStr">
        <is>
          <t>PRAGMA</t>
        </is>
      </c>
      <c r="B7598" t="inlineStr">
        <is>
          <t>M2</t>
        </is>
      </c>
      <c r="C7598" t="inlineStr">
        <is>
          <t>Cali</t>
        </is>
      </c>
      <c r="D7598" t="inlineStr">
        <is>
          <t>793</t>
        </is>
      </c>
      <c r="E7598" t="inlineStr">
        <is>
          <t>pagado</t>
        </is>
      </c>
      <c r="F7598" s="23" t="n">
        <v>46276</v>
      </c>
      <c r="G7598" s="24">
        <f>F7598-DATE(2026,8,31)</f>
        <v>11</v>
      </c>
      <c r="H7598" s="25" t="n">
        <v>38187246</v>
      </c>
      <c r="I7598" t="inlineStr">
        <is>
          <t>entidad-dia</t>
        </is>
      </c>
    </row>
    <row r="7599">
      <c r="A7599" t="inlineStr">
        <is>
          <t>PRAGMA</t>
        </is>
      </c>
      <c r="B7599" t="inlineStr">
        <is>
          <t>M2</t>
        </is>
      </c>
      <c r="C7599" t="inlineStr">
        <is>
          <t>Cali</t>
        </is>
      </c>
      <c r="D7599" t="inlineStr">
        <is>
          <t>793</t>
        </is>
      </c>
      <c r="E7599" t="inlineStr">
        <is>
          <t>cash_in</t>
        </is>
      </c>
      <c r="F7599" s="23" t="n">
        <v>46276</v>
      </c>
      <c r="G7599" s="24">
        <f>F7599-DATE(2026,8,31)</f>
        <v>11</v>
      </c>
      <c r="H7599" s="25" t="n">
        <v>109550658</v>
      </c>
      <c r="I7599" t="inlineStr">
        <is>
          <t>entidad-dia</t>
        </is>
      </c>
    </row>
    <row r="7600">
      <c r="A7600" t="inlineStr">
        <is>
          <t>PRAGMA</t>
        </is>
      </c>
      <c r="B7600" t="inlineStr">
        <is>
          <t>M2</t>
        </is>
      </c>
      <c r="C7600" t="inlineStr">
        <is>
          <t>Cali</t>
        </is>
      </c>
      <c r="D7600" t="inlineStr">
        <is>
          <t>793</t>
        </is>
      </c>
      <c r="E7600" t="inlineStr">
        <is>
          <t>pagado</t>
        </is>
      </c>
      <c r="F7600" s="23" t="n">
        <v>46277</v>
      </c>
      <c r="G7600" s="24">
        <f>F7600-DATE(2026,8,31)</f>
        <v>12</v>
      </c>
      <c r="H7600" s="25" t="n">
        <v>38093579</v>
      </c>
      <c r="I7600" t="inlineStr">
        <is>
          <t>entidad-dia</t>
        </is>
      </c>
    </row>
    <row r="7601">
      <c r="A7601" t="inlineStr">
        <is>
          <t>PRAGMA</t>
        </is>
      </c>
      <c r="B7601" t="inlineStr">
        <is>
          <t>M2</t>
        </is>
      </c>
      <c r="C7601" t="inlineStr">
        <is>
          <t>Cali</t>
        </is>
      </c>
      <c r="D7601" t="inlineStr">
        <is>
          <t>793</t>
        </is>
      </c>
      <c r="E7601" t="inlineStr">
        <is>
          <t>cash_in</t>
        </is>
      </c>
      <c r="F7601" s="23" t="n">
        <v>46277</v>
      </c>
      <c r="G7601" s="24">
        <f>F7601-DATE(2026,8,31)</f>
        <v>12</v>
      </c>
      <c r="H7601" s="25" t="n">
        <v>94074205</v>
      </c>
      <c r="I7601" t="inlineStr">
        <is>
          <t>entidad-dia</t>
        </is>
      </c>
    </row>
    <row r="7602">
      <c r="A7602" t="inlineStr">
        <is>
          <t>PRAGMA</t>
        </is>
      </c>
      <c r="B7602" t="inlineStr">
        <is>
          <t>M2</t>
        </is>
      </c>
      <c r="C7602" t="inlineStr">
        <is>
          <t>Cali</t>
        </is>
      </c>
      <c r="D7602" t="inlineStr">
        <is>
          <t>793</t>
        </is>
      </c>
      <c r="E7602" t="inlineStr">
        <is>
          <t>pagado</t>
        </is>
      </c>
      <c r="F7602" s="23" t="n">
        <v>46278</v>
      </c>
      <c r="G7602" s="24">
        <f>F7602-DATE(2026,8,31)</f>
        <v>13</v>
      </c>
      <c r="H7602" s="25" t="n">
        <v>19565451</v>
      </c>
      <c r="I7602" t="inlineStr">
        <is>
          <t>entidad-dia</t>
        </is>
      </c>
    </row>
    <row r="7603">
      <c r="A7603" t="inlineStr">
        <is>
          <t>PRAGMA</t>
        </is>
      </c>
      <c r="B7603" t="inlineStr">
        <is>
          <t>M2</t>
        </is>
      </c>
      <c r="C7603" t="inlineStr">
        <is>
          <t>Cali</t>
        </is>
      </c>
      <c r="D7603" t="inlineStr">
        <is>
          <t>793</t>
        </is>
      </c>
      <c r="E7603" t="inlineStr">
        <is>
          <t>cash_in</t>
        </is>
      </c>
      <c r="F7603" s="23" t="n">
        <v>46278</v>
      </c>
      <c r="G7603" s="24">
        <f>F7603-DATE(2026,8,31)</f>
        <v>13</v>
      </c>
      <c r="H7603" s="25" t="n">
        <v>31013336</v>
      </c>
      <c r="I7603" t="inlineStr">
        <is>
          <t>entidad-dia</t>
        </is>
      </c>
    </row>
    <row r="7604">
      <c r="A7604" t="inlineStr">
        <is>
          <t>PRAGMA</t>
        </is>
      </c>
      <c r="B7604" t="inlineStr">
        <is>
          <t>M2</t>
        </is>
      </c>
      <c r="C7604" t="inlineStr">
        <is>
          <t>Cali</t>
        </is>
      </c>
      <c r="D7604" t="inlineStr">
        <is>
          <t>793</t>
        </is>
      </c>
      <c r="E7604" t="inlineStr">
        <is>
          <t>pagado</t>
        </is>
      </c>
      <c r="F7604" s="23" t="n">
        <v>46279</v>
      </c>
      <c r="G7604" s="24">
        <f>F7604-DATE(2026,8,31)</f>
        <v>14</v>
      </c>
      <c r="H7604" s="25" t="n">
        <v>36399716</v>
      </c>
      <c r="I7604" t="inlineStr">
        <is>
          <t>entidad-dia</t>
        </is>
      </c>
    </row>
    <row r="7605">
      <c r="A7605" t="inlineStr">
        <is>
          <t>PRAGMA</t>
        </is>
      </c>
      <c r="B7605" t="inlineStr">
        <is>
          <t>M2</t>
        </is>
      </c>
      <c r="C7605" t="inlineStr">
        <is>
          <t>Cali</t>
        </is>
      </c>
      <c r="D7605" t="inlineStr">
        <is>
          <t>793</t>
        </is>
      </c>
      <c r="E7605" t="inlineStr">
        <is>
          <t>cash_in</t>
        </is>
      </c>
      <c r="F7605" s="23" t="n">
        <v>46279</v>
      </c>
      <c r="G7605" s="24">
        <f>F7605-DATE(2026,8,31)</f>
        <v>14</v>
      </c>
      <c r="H7605" s="25" t="n">
        <v>114546784</v>
      </c>
      <c r="I7605" t="inlineStr">
        <is>
          <t>entidad-dia</t>
        </is>
      </c>
    </row>
    <row r="7606">
      <c r="A7606" t="inlineStr">
        <is>
          <t>PRAGMA</t>
        </is>
      </c>
      <c r="B7606" t="inlineStr">
        <is>
          <t>M2</t>
        </is>
      </c>
      <c r="C7606" t="inlineStr">
        <is>
          <t>Cali</t>
        </is>
      </c>
      <c r="D7606" t="inlineStr">
        <is>
          <t>793</t>
        </is>
      </c>
      <c r="E7606" t="inlineStr">
        <is>
          <t>pagado</t>
        </is>
      </c>
      <c r="F7606" s="23" t="n">
        <v>46280</v>
      </c>
      <c r="G7606" s="24">
        <f>F7606-DATE(2026,8,31)</f>
        <v>15</v>
      </c>
      <c r="H7606" s="25" t="n">
        <v>52208565</v>
      </c>
      <c r="I7606" t="inlineStr">
        <is>
          <t>entidad-dia</t>
        </is>
      </c>
    </row>
    <row r="7607">
      <c r="A7607" t="inlineStr">
        <is>
          <t>PRAGMA</t>
        </is>
      </c>
      <c r="B7607" t="inlineStr">
        <is>
          <t>M2</t>
        </is>
      </c>
      <c r="C7607" t="inlineStr">
        <is>
          <t>Cali</t>
        </is>
      </c>
      <c r="D7607" t="inlineStr">
        <is>
          <t>793</t>
        </is>
      </c>
      <c r="E7607" t="inlineStr">
        <is>
          <t>cash_in</t>
        </is>
      </c>
      <c r="F7607" s="23" t="n">
        <v>46280</v>
      </c>
      <c r="G7607" s="24">
        <f>F7607-DATE(2026,8,31)</f>
        <v>15</v>
      </c>
      <c r="H7607" s="25" t="n">
        <v>122929633</v>
      </c>
      <c r="I7607" t="inlineStr">
        <is>
          <t>entidad-dia</t>
        </is>
      </c>
    </row>
    <row r="7608">
      <c r="A7608" t="inlineStr">
        <is>
          <t>PRAGMA</t>
        </is>
      </c>
      <c r="B7608" t="inlineStr">
        <is>
          <t>M2</t>
        </is>
      </c>
      <c r="C7608" t="inlineStr">
        <is>
          <t>Cali</t>
        </is>
      </c>
      <c r="D7608" t="inlineStr">
        <is>
          <t>7973</t>
        </is>
      </c>
      <c r="E7608" t="inlineStr">
        <is>
          <t>pagado</t>
        </is>
      </c>
      <c r="F7608" s="23" t="n">
        <v>46266</v>
      </c>
      <c r="G7608" s="24">
        <f>F7608-DATE(2026,8,31)</f>
        <v>1</v>
      </c>
      <c r="H7608" s="25" t="n">
        <v>53593475</v>
      </c>
      <c r="I7608" t="inlineStr">
        <is>
          <t>entidad-dia</t>
        </is>
      </c>
    </row>
    <row r="7609">
      <c r="A7609" t="inlineStr">
        <is>
          <t>PRAGMA</t>
        </is>
      </c>
      <c r="B7609" t="inlineStr">
        <is>
          <t>M2</t>
        </is>
      </c>
      <c r="C7609" t="inlineStr">
        <is>
          <t>Cali</t>
        </is>
      </c>
      <c r="D7609" t="inlineStr">
        <is>
          <t>7973</t>
        </is>
      </c>
      <c r="E7609" t="inlineStr">
        <is>
          <t>cash_in</t>
        </is>
      </c>
      <c r="F7609" s="23" t="n">
        <v>46266</v>
      </c>
      <c r="G7609" s="24">
        <f>F7609-DATE(2026,8,31)</f>
        <v>1</v>
      </c>
      <c r="H7609" s="25" t="n">
        <v>113863895</v>
      </c>
      <c r="I7609" t="inlineStr">
        <is>
          <t>entidad-dia</t>
        </is>
      </c>
    </row>
    <row r="7610">
      <c r="A7610" t="inlineStr">
        <is>
          <t>PRAGMA</t>
        </is>
      </c>
      <c r="B7610" t="inlineStr">
        <is>
          <t>M2</t>
        </is>
      </c>
      <c r="C7610" t="inlineStr">
        <is>
          <t>Cali</t>
        </is>
      </c>
      <c r="D7610" t="inlineStr">
        <is>
          <t>7973</t>
        </is>
      </c>
      <c r="E7610" t="inlineStr">
        <is>
          <t>pagado</t>
        </is>
      </c>
      <c r="F7610" s="23" t="n">
        <v>46267</v>
      </c>
      <c r="G7610" s="24">
        <f>F7610-DATE(2026,8,31)</f>
        <v>2</v>
      </c>
      <c r="H7610" s="25" t="n">
        <v>48381850</v>
      </c>
      <c r="I7610" t="inlineStr">
        <is>
          <t>entidad-dia</t>
        </is>
      </c>
    </row>
    <row r="7611">
      <c r="A7611" t="inlineStr">
        <is>
          <t>PRAGMA</t>
        </is>
      </c>
      <c r="B7611" t="inlineStr">
        <is>
          <t>M2</t>
        </is>
      </c>
      <c r="C7611" t="inlineStr">
        <is>
          <t>Cali</t>
        </is>
      </c>
      <c r="D7611" t="inlineStr">
        <is>
          <t>7973</t>
        </is>
      </c>
      <c r="E7611" t="inlineStr">
        <is>
          <t>cash_in</t>
        </is>
      </c>
      <c r="F7611" s="23" t="n">
        <v>46267</v>
      </c>
      <c r="G7611" s="24">
        <f>F7611-DATE(2026,8,31)</f>
        <v>2</v>
      </c>
      <c r="H7611" s="25" t="n">
        <v>103009281</v>
      </c>
      <c r="I7611" t="inlineStr">
        <is>
          <t>entidad-dia</t>
        </is>
      </c>
    </row>
    <row r="7612">
      <c r="A7612" t="inlineStr">
        <is>
          <t>PRAGMA</t>
        </is>
      </c>
      <c r="B7612" t="inlineStr">
        <is>
          <t>M2</t>
        </is>
      </c>
      <c r="C7612" t="inlineStr">
        <is>
          <t>Cali</t>
        </is>
      </c>
      <c r="D7612" t="inlineStr">
        <is>
          <t>7973</t>
        </is>
      </c>
      <c r="E7612" t="inlineStr">
        <is>
          <t>pagado</t>
        </is>
      </c>
      <c r="F7612" s="23" t="n">
        <v>46268</v>
      </c>
      <c r="G7612" s="24">
        <f>F7612-DATE(2026,8,31)</f>
        <v>3</v>
      </c>
      <c r="H7612" s="25" t="n">
        <v>40876577</v>
      </c>
      <c r="I7612" t="inlineStr">
        <is>
          <t>entidad-dia</t>
        </is>
      </c>
    </row>
    <row r="7613">
      <c r="A7613" t="inlineStr">
        <is>
          <t>PRAGMA</t>
        </is>
      </c>
      <c r="B7613" t="inlineStr">
        <is>
          <t>M2</t>
        </is>
      </c>
      <c r="C7613" t="inlineStr">
        <is>
          <t>Cali</t>
        </is>
      </c>
      <c r="D7613" t="inlineStr">
        <is>
          <t>7973</t>
        </is>
      </c>
      <c r="E7613" t="inlineStr">
        <is>
          <t>cash_in</t>
        </is>
      </c>
      <c r="F7613" s="23" t="n">
        <v>46268</v>
      </c>
      <c r="G7613" s="24">
        <f>F7613-DATE(2026,8,31)</f>
        <v>3</v>
      </c>
      <c r="H7613" s="25" t="n">
        <v>104586974</v>
      </c>
      <c r="I7613" t="inlineStr">
        <is>
          <t>entidad-dia</t>
        </is>
      </c>
    </row>
    <row r="7614">
      <c r="A7614" t="inlineStr">
        <is>
          <t>PRAGMA</t>
        </is>
      </c>
      <c r="B7614" t="inlineStr">
        <is>
          <t>M2</t>
        </is>
      </c>
      <c r="C7614" t="inlineStr">
        <is>
          <t>Cali</t>
        </is>
      </c>
      <c r="D7614" t="inlineStr">
        <is>
          <t>7973</t>
        </is>
      </c>
      <c r="E7614" t="inlineStr">
        <is>
          <t>pagado</t>
        </is>
      </c>
      <c r="F7614" s="23" t="n">
        <v>46269</v>
      </c>
      <c r="G7614" s="24">
        <f>F7614-DATE(2026,8,31)</f>
        <v>4</v>
      </c>
      <c r="H7614" s="25" t="n">
        <v>42696383</v>
      </c>
      <c r="I7614" t="inlineStr">
        <is>
          <t>entidad-dia</t>
        </is>
      </c>
    </row>
    <row r="7615">
      <c r="A7615" t="inlineStr">
        <is>
          <t>PRAGMA</t>
        </is>
      </c>
      <c r="B7615" t="inlineStr">
        <is>
          <t>M2</t>
        </is>
      </c>
      <c r="C7615" t="inlineStr">
        <is>
          <t>Cali</t>
        </is>
      </c>
      <c r="D7615" t="inlineStr">
        <is>
          <t>7973</t>
        </is>
      </c>
      <c r="E7615" t="inlineStr">
        <is>
          <t>cash_in</t>
        </is>
      </c>
      <c r="F7615" s="23" t="n">
        <v>46269</v>
      </c>
      <c r="G7615" s="24">
        <f>F7615-DATE(2026,8,31)</f>
        <v>4</v>
      </c>
      <c r="H7615" s="25" t="n">
        <v>102605279</v>
      </c>
      <c r="I7615" t="inlineStr">
        <is>
          <t>entidad-dia</t>
        </is>
      </c>
    </row>
    <row r="7616">
      <c r="A7616" t="inlineStr">
        <is>
          <t>PRAGMA</t>
        </is>
      </c>
      <c r="B7616" t="inlineStr">
        <is>
          <t>M2</t>
        </is>
      </c>
      <c r="C7616" t="inlineStr">
        <is>
          <t>Cali</t>
        </is>
      </c>
      <c r="D7616" t="inlineStr">
        <is>
          <t>7973</t>
        </is>
      </c>
      <c r="E7616" t="inlineStr">
        <is>
          <t>pagado</t>
        </is>
      </c>
      <c r="F7616" s="23" t="n">
        <v>46270</v>
      </c>
      <c r="G7616" s="24">
        <f>F7616-DATE(2026,8,31)</f>
        <v>5</v>
      </c>
      <c r="H7616" s="25" t="n">
        <v>37217954</v>
      </c>
      <c r="I7616" t="inlineStr">
        <is>
          <t>entidad-dia</t>
        </is>
      </c>
    </row>
    <row r="7617">
      <c r="A7617" t="inlineStr">
        <is>
          <t>PRAGMA</t>
        </is>
      </c>
      <c r="B7617" t="inlineStr">
        <is>
          <t>M2</t>
        </is>
      </c>
      <c r="C7617" t="inlineStr">
        <is>
          <t>Cali</t>
        </is>
      </c>
      <c r="D7617" t="inlineStr">
        <is>
          <t>7973</t>
        </is>
      </c>
      <c r="E7617" t="inlineStr">
        <is>
          <t>cash_in</t>
        </is>
      </c>
      <c r="F7617" s="23" t="n">
        <v>46270</v>
      </c>
      <c r="G7617" s="24">
        <f>F7617-DATE(2026,8,31)</f>
        <v>5</v>
      </c>
      <c r="H7617" s="25" t="n">
        <v>119817518</v>
      </c>
      <c r="I7617" t="inlineStr">
        <is>
          <t>entidad-dia</t>
        </is>
      </c>
    </row>
    <row r="7618">
      <c r="A7618" t="inlineStr">
        <is>
          <t>PRAGMA</t>
        </is>
      </c>
      <c r="B7618" t="inlineStr">
        <is>
          <t>M2</t>
        </is>
      </c>
      <c r="C7618" t="inlineStr">
        <is>
          <t>Cali</t>
        </is>
      </c>
      <c r="D7618" t="inlineStr">
        <is>
          <t>7973</t>
        </is>
      </c>
      <c r="E7618" t="inlineStr">
        <is>
          <t>pagado</t>
        </is>
      </c>
      <c r="F7618" s="23" t="n">
        <v>46271</v>
      </c>
      <c r="G7618" s="24">
        <f>F7618-DATE(2026,8,31)</f>
        <v>6</v>
      </c>
      <c r="H7618" s="25" t="n">
        <v>17628213</v>
      </c>
      <c r="I7618" t="inlineStr">
        <is>
          <t>entidad-dia</t>
        </is>
      </c>
    </row>
    <row r="7619">
      <c r="A7619" t="inlineStr">
        <is>
          <t>PRAGMA</t>
        </is>
      </c>
      <c r="B7619" t="inlineStr">
        <is>
          <t>M2</t>
        </is>
      </c>
      <c r="C7619" t="inlineStr">
        <is>
          <t>Cali</t>
        </is>
      </c>
      <c r="D7619" t="inlineStr">
        <is>
          <t>7973</t>
        </is>
      </c>
      <c r="E7619" t="inlineStr">
        <is>
          <t>cash_in</t>
        </is>
      </c>
      <c r="F7619" s="23" t="n">
        <v>46271</v>
      </c>
      <c r="G7619" s="24">
        <f>F7619-DATE(2026,8,31)</f>
        <v>6</v>
      </c>
      <c r="H7619" s="25" t="n">
        <v>59264405</v>
      </c>
      <c r="I7619" t="inlineStr">
        <is>
          <t>entidad-dia</t>
        </is>
      </c>
    </row>
    <row r="7620">
      <c r="A7620" t="inlineStr">
        <is>
          <t>PRAGMA</t>
        </is>
      </c>
      <c r="B7620" t="inlineStr">
        <is>
          <t>M2</t>
        </is>
      </c>
      <c r="C7620" t="inlineStr">
        <is>
          <t>Cali</t>
        </is>
      </c>
      <c r="D7620" t="inlineStr">
        <is>
          <t>7973</t>
        </is>
      </c>
      <c r="E7620" t="inlineStr">
        <is>
          <t>pagado</t>
        </is>
      </c>
      <c r="F7620" s="23" t="n">
        <v>46272</v>
      </c>
      <c r="G7620" s="24">
        <f>F7620-DATE(2026,8,31)</f>
        <v>7</v>
      </c>
      <c r="H7620" s="25" t="n">
        <v>34016753</v>
      </c>
      <c r="I7620" t="inlineStr">
        <is>
          <t>entidad-dia</t>
        </is>
      </c>
    </row>
    <row r="7621">
      <c r="A7621" t="inlineStr">
        <is>
          <t>PRAGMA</t>
        </is>
      </c>
      <c r="B7621" t="inlineStr">
        <is>
          <t>M2</t>
        </is>
      </c>
      <c r="C7621" t="inlineStr">
        <is>
          <t>Cali</t>
        </is>
      </c>
      <c r="D7621" t="inlineStr">
        <is>
          <t>7973</t>
        </is>
      </c>
      <c r="E7621" t="inlineStr">
        <is>
          <t>cash_in</t>
        </is>
      </c>
      <c r="F7621" s="23" t="n">
        <v>46272</v>
      </c>
      <c r="G7621" s="24">
        <f>F7621-DATE(2026,8,31)</f>
        <v>7</v>
      </c>
      <c r="H7621" s="25" t="n">
        <v>112187410</v>
      </c>
      <c r="I7621" t="inlineStr">
        <is>
          <t>entidad-dia</t>
        </is>
      </c>
    </row>
    <row r="7622">
      <c r="A7622" t="inlineStr">
        <is>
          <t>PRAGMA</t>
        </is>
      </c>
      <c r="B7622" t="inlineStr">
        <is>
          <t>M2</t>
        </is>
      </c>
      <c r="C7622" t="inlineStr">
        <is>
          <t>Cali</t>
        </is>
      </c>
      <c r="D7622" t="inlineStr">
        <is>
          <t>7973</t>
        </is>
      </c>
      <c r="E7622" t="inlineStr">
        <is>
          <t>pagado</t>
        </is>
      </c>
      <c r="F7622" s="23" t="n">
        <v>46273</v>
      </c>
      <c r="G7622" s="24">
        <f>F7622-DATE(2026,8,31)</f>
        <v>8</v>
      </c>
      <c r="H7622" s="25" t="n">
        <v>35597609</v>
      </c>
      <c r="I7622" t="inlineStr">
        <is>
          <t>entidad-dia</t>
        </is>
      </c>
    </row>
    <row r="7623">
      <c r="A7623" t="inlineStr">
        <is>
          <t>PRAGMA</t>
        </is>
      </c>
      <c r="B7623" t="inlineStr">
        <is>
          <t>M2</t>
        </is>
      </c>
      <c r="C7623" t="inlineStr">
        <is>
          <t>Cali</t>
        </is>
      </c>
      <c r="D7623" t="inlineStr">
        <is>
          <t>7973</t>
        </is>
      </c>
      <c r="E7623" t="inlineStr">
        <is>
          <t>cash_in</t>
        </is>
      </c>
      <c r="F7623" s="23" t="n">
        <v>46273</v>
      </c>
      <c r="G7623" s="24">
        <f>F7623-DATE(2026,8,31)</f>
        <v>8</v>
      </c>
      <c r="H7623" s="25" t="n">
        <v>106420023</v>
      </c>
      <c r="I7623" t="inlineStr">
        <is>
          <t>entidad-dia</t>
        </is>
      </c>
    </row>
    <row r="7624">
      <c r="A7624" t="inlineStr">
        <is>
          <t>PRAGMA</t>
        </is>
      </c>
      <c r="B7624" t="inlineStr">
        <is>
          <t>M2</t>
        </is>
      </c>
      <c r="C7624" t="inlineStr">
        <is>
          <t>Cali</t>
        </is>
      </c>
      <c r="D7624" t="inlineStr">
        <is>
          <t>7973</t>
        </is>
      </c>
      <c r="E7624" t="inlineStr">
        <is>
          <t>pagado</t>
        </is>
      </c>
      <c r="F7624" s="23" t="n">
        <v>46274</v>
      </c>
      <c r="G7624" s="24">
        <f>F7624-DATE(2026,8,31)</f>
        <v>9</v>
      </c>
      <c r="H7624" s="25" t="n">
        <v>34542619</v>
      </c>
      <c r="I7624" t="inlineStr">
        <is>
          <t>entidad-dia</t>
        </is>
      </c>
    </row>
    <row r="7625">
      <c r="A7625" t="inlineStr">
        <is>
          <t>PRAGMA</t>
        </is>
      </c>
      <c r="B7625" t="inlineStr">
        <is>
          <t>M2</t>
        </is>
      </c>
      <c r="C7625" t="inlineStr">
        <is>
          <t>Cali</t>
        </is>
      </c>
      <c r="D7625" t="inlineStr">
        <is>
          <t>7973</t>
        </is>
      </c>
      <c r="E7625" t="inlineStr">
        <is>
          <t>cash_in</t>
        </is>
      </c>
      <c r="F7625" s="23" t="n">
        <v>46274</v>
      </c>
      <c r="G7625" s="24">
        <f>F7625-DATE(2026,8,31)</f>
        <v>9</v>
      </c>
      <c r="H7625" s="25" t="n">
        <v>92222947</v>
      </c>
      <c r="I7625" t="inlineStr">
        <is>
          <t>entidad-dia</t>
        </is>
      </c>
    </row>
    <row r="7626">
      <c r="A7626" t="inlineStr">
        <is>
          <t>PRAGMA</t>
        </is>
      </c>
      <c r="B7626" t="inlineStr">
        <is>
          <t>M2</t>
        </is>
      </c>
      <c r="C7626" t="inlineStr">
        <is>
          <t>Cali</t>
        </is>
      </c>
      <c r="D7626" t="inlineStr">
        <is>
          <t>7973</t>
        </is>
      </c>
      <c r="E7626" t="inlineStr">
        <is>
          <t>pagado</t>
        </is>
      </c>
      <c r="F7626" s="23" t="n">
        <v>46275</v>
      </c>
      <c r="G7626" s="24">
        <f>F7626-DATE(2026,8,31)</f>
        <v>10</v>
      </c>
      <c r="H7626" s="25" t="n">
        <v>30352976</v>
      </c>
      <c r="I7626" t="inlineStr">
        <is>
          <t>entidad-dia</t>
        </is>
      </c>
    </row>
    <row r="7627">
      <c r="A7627" t="inlineStr">
        <is>
          <t>PRAGMA</t>
        </is>
      </c>
      <c r="B7627" t="inlineStr">
        <is>
          <t>M2</t>
        </is>
      </c>
      <c r="C7627" t="inlineStr">
        <is>
          <t>Cali</t>
        </is>
      </c>
      <c r="D7627" t="inlineStr">
        <is>
          <t>7973</t>
        </is>
      </c>
      <c r="E7627" t="inlineStr">
        <is>
          <t>cash_in</t>
        </is>
      </c>
      <c r="F7627" s="23" t="n">
        <v>46275</v>
      </c>
      <c r="G7627" s="24">
        <f>F7627-DATE(2026,8,31)</f>
        <v>10</v>
      </c>
      <c r="H7627" s="25" t="n">
        <v>90681622</v>
      </c>
      <c r="I7627" t="inlineStr">
        <is>
          <t>entidad-dia</t>
        </is>
      </c>
    </row>
    <row r="7628">
      <c r="A7628" t="inlineStr">
        <is>
          <t>PRAGMA</t>
        </is>
      </c>
      <c r="B7628" t="inlineStr">
        <is>
          <t>M2</t>
        </is>
      </c>
      <c r="C7628" t="inlineStr">
        <is>
          <t>Cali</t>
        </is>
      </c>
      <c r="D7628" t="inlineStr">
        <is>
          <t>7973</t>
        </is>
      </c>
      <c r="E7628" t="inlineStr">
        <is>
          <t>pagado</t>
        </is>
      </c>
      <c r="F7628" s="23" t="n">
        <v>46276</v>
      </c>
      <c r="G7628" s="24">
        <f>F7628-DATE(2026,8,31)</f>
        <v>11</v>
      </c>
      <c r="H7628" s="25" t="n">
        <v>34184688</v>
      </c>
      <c r="I7628" t="inlineStr">
        <is>
          <t>entidad-dia</t>
        </is>
      </c>
    </row>
    <row r="7629">
      <c r="A7629" t="inlineStr">
        <is>
          <t>PRAGMA</t>
        </is>
      </c>
      <c r="B7629" t="inlineStr">
        <is>
          <t>M2</t>
        </is>
      </c>
      <c r="C7629" t="inlineStr">
        <is>
          <t>Cali</t>
        </is>
      </c>
      <c r="D7629" t="inlineStr">
        <is>
          <t>7973</t>
        </is>
      </c>
      <c r="E7629" t="inlineStr">
        <is>
          <t>cash_in</t>
        </is>
      </c>
      <c r="F7629" s="23" t="n">
        <v>46276</v>
      </c>
      <c r="G7629" s="24">
        <f>F7629-DATE(2026,8,31)</f>
        <v>11</v>
      </c>
      <c r="H7629" s="25" t="n">
        <v>91963494</v>
      </c>
      <c r="I7629" t="inlineStr">
        <is>
          <t>entidad-dia</t>
        </is>
      </c>
    </row>
    <row r="7630">
      <c r="A7630" t="inlineStr">
        <is>
          <t>PRAGMA</t>
        </is>
      </c>
      <c r="B7630" t="inlineStr">
        <is>
          <t>M2</t>
        </is>
      </c>
      <c r="C7630" t="inlineStr">
        <is>
          <t>Cali</t>
        </is>
      </c>
      <c r="D7630" t="inlineStr">
        <is>
          <t>7973</t>
        </is>
      </c>
      <c r="E7630" t="inlineStr">
        <is>
          <t>pagado</t>
        </is>
      </c>
      <c r="F7630" s="23" t="n">
        <v>46277</v>
      </c>
      <c r="G7630" s="24">
        <f>F7630-DATE(2026,8,31)</f>
        <v>12</v>
      </c>
      <c r="H7630" s="25" t="n">
        <v>28987817</v>
      </c>
      <c r="I7630" t="inlineStr">
        <is>
          <t>entidad-dia</t>
        </is>
      </c>
    </row>
    <row r="7631">
      <c r="A7631" t="inlineStr">
        <is>
          <t>PRAGMA</t>
        </is>
      </c>
      <c r="B7631" t="inlineStr">
        <is>
          <t>M2</t>
        </is>
      </c>
      <c r="C7631" t="inlineStr">
        <is>
          <t>Cali</t>
        </is>
      </c>
      <c r="D7631" t="inlineStr">
        <is>
          <t>7973</t>
        </is>
      </c>
      <c r="E7631" t="inlineStr">
        <is>
          <t>cash_in</t>
        </is>
      </c>
      <c r="F7631" s="23" t="n">
        <v>46277</v>
      </c>
      <c r="G7631" s="24">
        <f>F7631-DATE(2026,8,31)</f>
        <v>12</v>
      </c>
      <c r="H7631" s="25" t="n">
        <v>91943293</v>
      </c>
      <c r="I7631" t="inlineStr">
        <is>
          <t>entidad-dia</t>
        </is>
      </c>
    </row>
    <row r="7632">
      <c r="A7632" t="inlineStr">
        <is>
          <t>PRAGMA</t>
        </is>
      </c>
      <c r="B7632" t="inlineStr">
        <is>
          <t>M2</t>
        </is>
      </c>
      <c r="C7632" t="inlineStr">
        <is>
          <t>Cali</t>
        </is>
      </c>
      <c r="D7632" t="inlineStr">
        <is>
          <t>7973</t>
        </is>
      </c>
      <c r="E7632" t="inlineStr">
        <is>
          <t>pagado</t>
        </is>
      </c>
      <c r="F7632" s="23" t="n">
        <v>46278</v>
      </c>
      <c r="G7632" s="24">
        <f>F7632-DATE(2026,8,31)</f>
        <v>13</v>
      </c>
      <c r="H7632" s="25" t="n">
        <v>15309471</v>
      </c>
      <c r="I7632" t="inlineStr">
        <is>
          <t>entidad-dia</t>
        </is>
      </c>
    </row>
    <row r="7633">
      <c r="A7633" t="inlineStr">
        <is>
          <t>PRAGMA</t>
        </is>
      </c>
      <c r="B7633" t="inlineStr">
        <is>
          <t>M2</t>
        </is>
      </c>
      <c r="C7633" t="inlineStr">
        <is>
          <t>Cali</t>
        </is>
      </c>
      <c r="D7633" t="inlineStr">
        <is>
          <t>7973</t>
        </is>
      </c>
      <c r="E7633" t="inlineStr">
        <is>
          <t>cash_in</t>
        </is>
      </c>
      <c r="F7633" s="23" t="n">
        <v>46278</v>
      </c>
      <c r="G7633" s="24">
        <f>F7633-DATE(2026,8,31)</f>
        <v>13</v>
      </c>
      <c r="H7633" s="25" t="n">
        <v>47109889</v>
      </c>
      <c r="I7633" t="inlineStr">
        <is>
          <t>entidad-dia</t>
        </is>
      </c>
    </row>
    <row r="7634">
      <c r="A7634" t="inlineStr">
        <is>
          <t>PRAGMA</t>
        </is>
      </c>
      <c r="B7634" t="inlineStr">
        <is>
          <t>M2</t>
        </is>
      </c>
      <c r="C7634" t="inlineStr">
        <is>
          <t>Cali</t>
        </is>
      </c>
      <c r="D7634" t="inlineStr">
        <is>
          <t>7973</t>
        </is>
      </c>
      <c r="E7634" t="inlineStr">
        <is>
          <t>pagado</t>
        </is>
      </c>
      <c r="F7634" s="23" t="n">
        <v>46279</v>
      </c>
      <c r="G7634" s="24">
        <f>F7634-DATE(2026,8,31)</f>
        <v>14</v>
      </c>
      <c r="H7634" s="25" t="n">
        <v>32137171</v>
      </c>
      <c r="I7634" t="inlineStr">
        <is>
          <t>entidad-dia</t>
        </is>
      </c>
    </row>
    <row r="7635">
      <c r="A7635" t="inlineStr">
        <is>
          <t>PRAGMA</t>
        </is>
      </c>
      <c r="B7635" t="inlineStr">
        <is>
          <t>M2</t>
        </is>
      </c>
      <c r="C7635" t="inlineStr">
        <is>
          <t>Cali</t>
        </is>
      </c>
      <c r="D7635" t="inlineStr">
        <is>
          <t>7973</t>
        </is>
      </c>
      <c r="E7635" t="inlineStr">
        <is>
          <t>cash_in</t>
        </is>
      </c>
      <c r="F7635" s="23" t="n">
        <v>46279</v>
      </c>
      <c r="G7635" s="24">
        <f>F7635-DATE(2026,8,31)</f>
        <v>14</v>
      </c>
      <c r="H7635" s="25" t="n">
        <v>99156569</v>
      </c>
      <c r="I7635" t="inlineStr">
        <is>
          <t>entidad-dia</t>
        </is>
      </c>
    </row>
    <row r="7636">
      <c r="A7636" t="inlineStr">
        <is>
          <t>PRAGMA</t>
        </is>
      </c>
      <c r="B7636" t="inlineStr">
        <is>
          <t>M2</t>
        </is>
      </c>
      <c r="C7636" t="inlineStr">
        <is>
          <t>Cali</t>
        </is>
      </c>
      <c r="D7636" t="inlineStr">
        <is>
          <t>7973</t>
        </is>
      </c>
      <c r="E7636" t="inlineStr">
        <is>
          <t>pagado</t>
        </is>
      </c>
      <c r="F7636" s="23" t="n">
        <v>46280</v>
      </c>
      <c r="G7636" s="24">
        <f>F7636-DATE(2026,8,31)</f>
        <v>15</v>
      </c>
      <c r="H7636" s="25" t="n">
        <v>42952439</v>
      </c>
      <c r="I7636" t="inlineStr">
        <is>
          <t>entidad-dia</t>
        </is>
      </c>
    </row>
    <row r="7637">
      <c r="A7637" t="inlineStr">
        <is>
          <t>PRAGMA</t>
        </is>
      </c>
      <c r="B7637" t="inlineStr">
        <is>
          <t>M2</t>
        </is>
      </c>
      <c r="C7637" t="inlineStr">
        <is>
          <t>Cali</t>
        </is>
      </c>
      <c r="D7637" t="inlineStr">
        <is>
          <t>7973</t>
        </is>
      </c>
      <c r="E7637" t="inlineStr">
        <is>
          <t>cash_in</t>
        </is>
      </c>
      <c r="F7637" s="23" t="n">
        <v>46280</v>
      </c>
      <c r="G7637" s="24">
        <f>F7637-DATE(2026,8,31)</f>
        <v>15</v>
      </c>
      <c r="H7637" s="25" t="n">
        <v>106848272</v>
      </c>
      <c r="I7637" t="inlineStr">
        <is>
          <t>entidad-dia</t>
        </is>
      </c>
    </row>
    <row r="7638">
      <c r="A7638" t="inlineStr">
        <is>
          <t>PRAGMA</t>
        </is>
      </c>
      <c r="B7638" t="inlineStr">
        <is>
          <t>M2</t>
        </is>
      </c>
      <c r="C7638" t="inlineStr">
        <is>
          <t>Cali</t>
        </is>
      </c>
      <c r="D7638" t="inlineStr">
        <is>
          <t>7990</t>
        </is>
      </c>
      <c r="E7638" t="inlineStr">
        <is>
          <t>pagado</t>
        </is>
      </c>
      <c r="F7638" s="23" t="n">
        <v>46266</v>
      </c>
      <c r="G7638" s="24">
        <f>F7638-DATE(2026,8,31)</f>
        <v>1</v>
      </c>
      <c r="H7638" s="25" t="n">
        <v>29183063</v>
      </c>
      <c r="I7638" t="inlineStr">
        <is>
          <t>entidad-dia</t>
        </is>
      </c>
    </row>
    <row r="7639">
      <c r="A7639" t="inlineStr">
        <is>
          <t>PRAGMA</t>
        </is>
      </c>
      <c r="B7639" t="inlineStr">
        <is>
          <t>M2</t>
        </is>
      </c>
      <c r="C7639" t="inlineStr">
        <is>
          <t>Cali</t>
        </is>
      </c>
      <c r="D7639" t="inlineStr">
        <is>
          <t>7990</t>
        </is>
      </c>
      <c r="E7639" t="inlineStr">
        <is>
          <t>cash_in</t>
        </is>
      </c>
      <c r="F7639" s="23" t="n">
        <v>46266</v>
      </c>
      <c r="G7639" s="24">
        <f>F7639-DATE(2026,8,31)</f>
        <v>1</v>
      </c>
      <c r="H7639" s="25" t="n">
        <v>46366987</v>
      </c>
      <c r="I7639" t="inlineStr">
        <is>
          <t>entidad-dia</t>
        </is>
      </c>
    </row>
    <row r="7640">
      <c r="A7640" t="inlineStr">
        <is>
          <t>PRAGMA</t>
        </is>
      </c>
      <c r="B7640" t="inlineStr">
        <is>
          <t>M2</t>
        </is>
      </c>
      <c r="C7640" t="inlineStr">
        <is>
          <t>Cali</t>
        </is>
      </c>
      <c r="D7640" t="inlineStr">
        <is>
          <t>7990</t>
        </is>
      </c>
      <c r="E7640" t="inlineStr">
        <is>
          <t>pagado</t>
        </is>
      </c>
      <c r="F7640" s="23" t="n">
        <v>46267</v>
      </c>
      <c r="G7640" s="24">
        <f>F7640-DATE(2026,8,31)</f>
        <v>2</v>
      </c>
      <c r="H7640" s="25" t="n">
        <v>26011982</v>
      </c>
      <c r="I7640" t="inlineStr">
        <is>
          <t>entidad-dia</t>
        </is>
      </c>
    </row>
    <row r="7641">
      <c r="A7641" t="inlineStr">
        <is>
          <t>PRAGMA</t>
        </is>
      </c>
      <c r="B7641" t="inlineStr">
        <is>
          <t>M2</t>
        </is>
      </c>
      <c r="C7641" t="inlineStr">
        <is>
          <t>Cali</t>
        </is>
      </c>
      <c r="D7641" t="inlineStr">
        <is>
          <t>7990</t>
        </is>
      </c>
      <c r="E7641" t="inlineStr">
        <is>
          <t>cash_in</t>
        </is>
      </c>
      <c r="F7641" s="23" t="n">
        <v>46267</v>
      </c>
      <c r="G7641" s="24">
        <f>F7641-DATE(2026,8,31)</f>
        <v>2</v>
      </c>
      <c r="H7641" s="25" t="n">
        <v>42657876</v>
      </c>
      <c r="I7641" t="inlineStr">
        <is>
          <t>entidad-dia</t>
        </is>
      </c>
    </row>
    <row r="7642">
      <c r="A7642" t="inlineStr">
        <is>
          <t>PRAGMA</t>
        </is>
      </c>
      <c r="B7642" t="inlineStr">
        <is>
          <t>M2</t>
        </is>
      </c>
      <c r="C7642" t="inlineStr">
        <is>
          <t>Cali</t>
        </is>
      </c>
      <c r="D7642" t="inlineStr">
        <is>
          <t>7990</t>
        </is>
      </c>
      <c r="E7642" t="inlineStr">
        <is>
          <t>pagado</t>
        </is>
      </c>
      <c r="F7642" s="23" t="n">
        <v>46268</v>
      </c>
      <c r="G7642" s="24">
        <f>F7642-DATE(2026,8,31)</f>
        <v>3</v>
      </c>
      <c r="H7642" s="25" t="n">
        <v>25601986</v>
      </c>
      <c r="I7642" t="inlineStr">
        <is>
          <t>entidad-dia</t>
        </is>
      </c>
    </row>
    <row r="7643">
      <c r="A7643" t="inlineStr">
        <is>
          <t>PRAGMA</t>
        </is>
      </c>
      <c r="B7643" t="inlineStr">
        <is>
          <t>M2</t>
        </is>
      </c>
      <c r="C7643" t="inlineStr">
        <is>
          <t>Cali</t>
        </is>
      </c>
      <c r="D7643" t="inlineStr">
        <is>
          <t>7990</t>
        </is>
      </c>
      <c r="E7643" t="inlineStr">
        <is>
          <t>cash_in</t>
        </is>
      </c>
      <c r="F7643" s="23" t="n">
        <v>46268</v>
      </c>
      <c r="G7643" s="24">
        <f>F7643-DATE(2026,8,31)</f>
        <v>3</v>
      </c>
      <c r="H7643" s="25" t="n">
        <v>41618841</v>
      </c>
      <c r="I7643" t="inlineStr">
        <is>
          <t>entidad-dia</t>
        </is>
      </c>
    </row>
    <row r="7644">
      <c r="A7644" t="inlineStr">
        <is>
          <t>PRAGMA</t>
        </is>
      </c>
      <c r="B7644" t="inlineStr">
        <is>
          <t>M2</t>
        </is>
      </c>
      <c r="C7644" t="inlineStr">
        <is>
          <t>Cali</t>
        </is>
      </c>
      <c r="D7644" t="inlineStr">
        <is>
          <t>7990</t>
        </is>
      </c>
      <c r="E7644" t="inlineStr">
        <is>
          <t>pagado</t>
        </is>
      </c>
      <c r="F7644" s="23" t="n">
        <v>46269</v>
      </c>
      <c r="G7644" s="24">
        <f>F7644-DATE(2026,8,31)</f>
        <v>4</v>
      </c>
      <c r="H7644" s="25" t="n">
        <v>25817338</v>
      </c>
      <c r="I7644" t="inlineStr">
        <is>
          <t>entidad-dia</t>
        </is>
      </c>
    </row>
    <row r="7645">
      <c r="A7645" t="inlineStr">
        <is>
          <t>PRAGMA</t>
        </is>
      </c>
      <c r="B7645" t="inlineStr">
        <is>
          <t>M2</t>
        </is>
      </c>
      <c r="C7645" t="inlineStr">
        <is>
          <t>Cali</t>
        </is>
      </c>
      <c r="D7645" t="inlineStr">
        <is>
          <t>7990</t>
        </is>
      </c>
      <c r="E7645" t="inlineStr">
        <is>
          <t>cash_in</t>
        </is>
      </c>
      <c r="F7645" s="23" t="n">
        <v>46269</v>
      </c>
      <c r="G7645" s="24">
        <f>F7645-DATE(2026,8,31)</f>
        <v>4</v>
      </c>
      <c r="H7645" s="25" t="n">
        <v>42929361</v>
      </c>
      <c r="I7645" t="inlineStr">
        <is>
          <t>entidad-dia</t>
        </is>
      </c>
    </row>
    <row r="7646">
      <c r="A7646" t="inlineStr">
        <is>
          <t>PRAGMA</t>
        </is>
      </c>
      <c r="B7646" t="inlineStr">
        <is>
          <t>M2</t>
        </is>
      </c>
      <c r="C7646" t="inlineStr">
        <is>
          <t>Cali</t>
        </is>
      </c>
      <c r="D7646" t="inlineStr">
        <is>
          <t>7990</t>
        </is>
      </c>
      <c r="E7646" t="inlineStr">
        <is>
          <t>pagado</t>
        </is>
      </c>
      <c r="F7646" s="23" t="n">
        <v>46270</v>
      </c>
      <c r="G7646" s="24">
        <f>F7646-DATE(2026,8,31)</f>
        <v>5</v>
      </c>
      <c r="H7646" s="25" t="n">
        <v>21589536</v>
      </c>
      <c r="I7646" t="inlineStr">
        <is>
          <t>entidad-dia</t>
        </is>
      </c>
    </row>
    <row r="7647">
      <c r="A7647" t="inlineStr">
        <is>
          <t>PRAGMA</t>
        </is>
      </c>
      <c r="B7647" t="inlineStr">
        <is>
          <t>M2</t>
        </is>
      </c>
      <c r="C7647" t="inlineStr">
        <is>
          <t>Cali</t>
        </is>
      </c>
      <c r="D7647" t="inlineStr">
        <is>
          <t>7990</t>
        </is>
      </c>
      <c r="E7647" t="inlineStr">
        <is>
          <t>cash_in</t>
        </is>
      </c>
      <c r="F7647" s="23" t="n">
        <v>46270</v>
      </c>
      <c r="G7647" s="24">
        <f>F7647-DATE(2026,8,31)</f>
        <v>5</v>
      </c>
      <c r="H7647" s="25" t="n">
        <v>37854094</v>
      </c>
      <c r="I7647" t="inlineStr">
        <is>
          <t>entidad-dia</t>
        </is>
      </c>
    </row>
    <row r="7648">
      <c r="A7648" t="inlineStr">
        <is>
          <t>PRAGMA</t>
        </is>
      </c>
      <c r="B7648" t="inlineStr">
        <is>
          <t>M2</t>
        </is>
      </c>
      <c r="C7648" t="inlineStr">
        <is>
          <t>Cali</t>
        </is>
      </c>
      <c r="D7648" t="inlineStr">
        <is>
          <t>7990</t>
        </is>
      </c>
      <c r="E7648" t="inlineStr">
        <is>
          <t>pagado</t>
        </is>
      </c>
      <c r="F7648" s="23" t="n">
        <v>46271</v>
      </c>
      <c r="G7648" s="24">
        <f>F7648-DATE(2026,8,31)</f>
        <v>6</v>
      </c>
      <c r="H7648" s="25" t="n">
        <v>7984362</v>
      </c>
      <c r="I7648" t="inlineStr">
        <is>
          <t>entidad-dia</t>
        </is>
      </c>
    </row>
    <row r="7649">
      <c r="A7649" t="inlineStr">
        <is>
          <t>PRAGMA</t>
        </is>
      </c>
      <c r="B7649" t="inlineStr">
        <is>
          <t>M2</t>
        </is>
      </c>
      <c r="C7649" t="inlineStr">
        <is>
          <t>Cali</t>
        </is>
      </c>
      <c r="D7649" t="inlineStr">
        <is>
          <t>7990</t>
        </is>
      </c>
      <c r="E7649" t="inlineStr">
        <is>
          <t>cash_in</t>
        </is>
      </c>
      <c r="F7649" s="23" t="n">
        <v>46271</v>
      </c>
      <c r="G7649" s="24">
        <f>F7649-DATE(2026,8,31)</f>
        <v>6</v>
      </c>
      <c r="H7649" s="25" t="n">
        <v>17030499</v>
      </c>
      <c r="I7649" t="inlineStr">
        <is>
          <t>entidad-dia</t>
        </is>
      </c>
    </row>
    <row r="7650">
      <c r="A7650" t="inlineStr">
        <is>
          <t>PRAGMA</t>
        </is>
      </c>
      <c r="B7650" t="inlineStr">
        <is>
          <t>M2</t>
        </is>
      </c>
      <c r="C7650" t="inlineStr">
        <is>
          <t>Cali</t>
        </is>
      </c>
      <c r="D7650" t="inlineStr">
        <is>
          <t>7990</t>
        </is>
      </c>
      <c r="E7650" t="inlineStr">
        <is>
          <t>pagado</t>
        </is>
      </c>
      <c r="F7650" s="23" t="n">
        <v>46272</v>
      </c>
      <c r="G7650" s="24">
        <f>F7650-DATE(2026,8,31)</f>
        <v>7</v>
      </c>
      <c r="H7650" s="25" t="n">
        <v>21969301</v>
      </c>
      <c r="I7650" t="inlineStr">
        <is>
          <t>entidad-dia</t>
        </is>
      </c>
    </row>
    <row r="7651">
      <c r="A7651" t="inlineStr">
        <is>
          <t>PRAGMA</t>
        </is>
      </c>
      <c r="B7651" t="inlineStr">
        <is>
          <t>M2</t>
        </is>
      </c>
      <c r="C7651" t="inlineStr">
        <is>
          <t>Cali</t>
        </is>
      </c>
      <c r="D7651" t="inlineStr">
        <is>
          <t>7990</t>
        </is>
      </c>
      <c r="E7651" t="inlineStr">
        <is>
          <t>cash_in</t>
        </is>
      </c>
      <c r="F7651" s="23" t="n">
        <v>46272</v>
      </c>
      <c r="G7651" s="24">
        <f>F7651-DATE(2026,8,31)</f>
        <v>7</v>
      </c>
      <c r="H7651" s="25" t="n">
        <v>44495173</v>
      </c>
      <c r="I7651" t="inlineStr">
        <is>
          <t>entidad-dia</t>
        </is>
      </c>
    </row>
    <row r="7652">
      <c r="A7652" t="inlineStr">
        <is>
          <t>PRAGMA</t>
        </is>
      </c>
      <c r="B7652" t="inlineStr">
        <is>
          <t>M2</t>
        </is>
      </c>
      <c r="C7652" t="inlineStr">
        <is>
          <t>Cali</t>
        </is>
      </c>
      <c r="D7652" t="inlineStr">
        <is>
          <t>7990</t>
        </is>
      </c>
      <c r="E7652" t="inlineStr">
        <is>
          <t>pagado</t>
        </is>
      </c>
      <c r="F7652" s="23" t="n">
        <v>46273</v>
      </c>
      <c r="G7652" s="24">
        <f>F7652-DATE(2026,8,31)</f>
        <v>8</v>
      </c>
      <c r="H7652" s="25" t="n">
        <v>20549419</v>
      </c>
      <c r="I7652" t="inlineStr">
        <is>
          <t>entidad-dia</t>
        </is>
      </c>
    </row>
    <row r="7653">
      <c r="A7653" t="inlineStr">
        <is>
          <t>PRAGMA</t>
        </is>
      </c>
      <c r="B7653" t="inlineStr">
        <is>
          <t>M2</t>
        </is>
      </c>
      <c r="C7653" t="inlineStr">
        <is>
          <t>Cali</t>
        </is>
      </c>
      <c r="D7653" t="inlineStr">
        <is>
          <t>7990</t>
        </is>
      </c>
      <c r="E7653" t="inlineStr">
        <is>
          <t>cash_in</t>
        </is>
      </c>
      <c r="F7653" s="23" t="n">
        <v>46273</v>
      </c>
      <c r="G7653" s="24">
        <f>F7653-DATE(2026,8,31)</f>
        <v>8</v>
      </c>
      <c r="H7653" s="25" t="n">
        <v>39466872</v>
      </c>
      <c r="I7653" t="inlineStr">
        <is>
          <t>entidad-dia</t>
        </is>
      </c>
    </row>
    <row r="7654">
      <c r="A7654" t="inlineStr">
        <is>
          <t>PRAGMA</t>
        </is>
      </c>
      <c r="B7654" t="inlineStr">
        <is>
          <t>M2</t>
        </is>
      </c>
      <c r="C7654" t="inlineStr">
        <is>
          <t>Cali</t>
        </is>
      </c>
      <c r="D7654" t="inlineStr">
        <is>
          <t>7990</t>
        </is>
      </c>
      <c r="E7654" t="inlineStr">
        <is>
          <t>pagado</t>
        </is>
      </c>
      <c r="F7654" s="23" t="n">
        <v>46274</v>
      </c>
      <c r="G7654" s="24">
        <f>F7654-DATE(2026,8,31)</f>
        <v>9</v>
      </c>
      <c r="H7654" s="25" t="n">
        <v>19802794</v>
      </c>
      <c r="I7654" t="inlineStr">
        <is>
          <t>entidad-dia</t>
        </is>
      </c>
    </row>
    <row r="7655">
      <c r="A7655" t="inlineStr">
        <is>
          <t>PRAGMA</t>
        </is>
      </c>
      <c r="B7655" t="inlineStr">
        <is>
          <t>M2</t>
        </is>
      </c>
      <c r="C7655" t="inlineStr">
        <is>
          <t>Cali</t>
        </is>
      </c>
      <c r="D7655" t="inlineStr">
        <is>
          <t>7990</t>
        </is>
      </c>
      <c r="E7655" t="inlineStr">
        <is>
          <t>cash_in</t>
        </is>
      </c>
      <c r="F7655" s="23" t="n">
        <v>46274</v>
      </c>
      <c r="G7655" s="24">
        <f>F7655-DATE(2026,8,31)</f>
        <v>9</v>
      </c>
      <c r="H7655" s="25" t="n">
        <v>33825049</v>
      </c>
      <c r="I7655" t="inlineStr">
        <is>
          <t>entidad-dia</t>
        </is>
      </c>
    </row>
    <row r="7656">
      <c r="A7656" t="inlineStr">
        <is>
          <t>PRAGMA</t>
        </is>
      </c>
      <c r="B7656" t="inlineStr">
        <is>
          <t>M2</t>
        </is>
      </c>
      <c r="C7656" t="inlineStr">
        <is>
          <t>Cali</t>
        </is>
      </c>
      <c r="D7656" t="inlineStr">
        <is>
          <t>7990</t>
        </is>
      </c>
      <c r="E7656" t="inlineStr">
        <is>
          <t>pagado</t>
        </is>
      </c>
      <c r="F7656" s="23" t="n">
        <v>46275</v>
      </c>
      <c r="G7656" s="24">
        <f>F7656-DATE(2026,8,31)</f>
        <v>10</v>
      </c>
      <c r="H7656" s="25" t="n">
        <v>18441758</v>
      </c>
      <c r="I7656" t="inlineStr">
        <is>
          <t>entidad-dia</t>
        </is>
      </c>
    </row>
    <row r="7657">
      <c r="A7657" t="inlineStr">
        <is>
          <t>PRAGMA</t>
        </is>
      </c>
      <c r="B7657" t="inlineStr">
        <is>
          <t>M2</t>
        </is>
      </c>
      <c r="C7657" t="inlineStr">
        <is>
          <t>Cali</t>
        </is>
      </c>
      <c r="D7657" t="inlineStr">
        <is>
          <t>7990</t>
        </is>
      </c>
      <c r="E7657" t="inlineStr">
        <is>
          <t>cash_in</t>
        </is>
      </c>
      <c r="F7657" s="23" t="n">
        <v>46275</v>
      </c>
      <c r="G7657" s="24">
        <f>F7657-DATE(2026,8,31)</f>
        <v>10</v>
      </c>
      <c r="H7657" s="25" t="n">
        <v>32585784</v>
      </c>
      <c r="I7657" t="inlineStr">
        <is>
          <t>entidad-dia</t>
        </is>
      </c>
    </row>
    <row r="7658">
      <c r="A7658" t="inlineStr">
        <is>
          <t>PRAGMA</t>
        </is>
      </c>
      <c r="B7658" t="inlineStr">
        <is>
          <t>M2</t>
        </is>
      </c>
      <c r="C7658" t="inlineStr">
        <is>
          <t>Cali</t>
        </is>
      </c>
      <c r="D7658" t="inlineStr">
        <is>
          <t>7990</t>
        </is>
      </c>
      <c r="E7658" t="inlineStr">
        <is>
          <t>pagado</t>
        </is>
      </c>
      <c r="F7658" s="23" t="n">
        <v>46276</v>
      </c>
      <c r="G7658" s="24">
        <f>F7658-DATE(2026,8,31)</f>
        <v>11</v>
      </c>
      <c r="H7658" s="25" t="n">
        <v>21407808</v>
      </c>
      <c r="I7658" t="inlineStr">
        <is>
          <t>entidad-dia</t>
        </is>
      </c>
    </row>
    <row r="7659">
      <c r="A7659" t="inlineStr">
        <is>
          <t>PRAGMA</t>
        </is>
      </c>
      <c r="B7659" t="inlineStr">
        <is>
          <t>M2</t>
        </is>
      </c>
      <c r="C7659" t="inlineStr">
        <is>
          <t>Cali</t>
        </is>
      </c>
      <c r="D7659" t="inlineStr">
        <is>
          <t>7990</t>
        </is>
      </c>
      <c r="E7659" t="inlineStr">
        <is>
          <t>cash_in</t>
        </is>
      </c>
      <c r="F7659" s="23" t="n">
        <v>46276</v>
      </c>
      <c r="G7659" s="24">
        <f>F7659-DATE(2026,8,31)</f>
        <v>11</v>
      </c>
      <c r="H7659" s="25" t="n">
        <v>35057648</v>
      </c>
      <c r="I7659" t="inlineStr">
        <is>
          <t>entidad-dia</t>
        </is>
      </c>
    </row>
    <row r="7660">
      <c r="A7660" t="inlineStr">
        <is>
          <t>PRAGMA</t>
        </is>
      </c>
      <c r="B7660" t="inlineStr">
        <is>
          <t>M2</t>
        </is>
      </c>
      <c r="C7660" t="inlineStr">
        <is>
          <t>Cali</t>
        </is>
      </c>
      <c r="D7660" t="inlineStr">
        <is>
          <t>7990</t>
        </is>
      </c>
      <c r="E7660" t="inlineStr">
        <is>
          <t>pagado</t>
        </is>
      </c>
      <c r="F7660" s="23" t="n">
        <v>46277</v>
      </c>
      <c r="G7660" s="24">
        <f>F7660-DATE(2026,8,31)</f>
        <v>12</v>
      </c>
      <c r="H7660" s="25" t="n">
        <v>17881991</v>
      </c>
      <c r="I7660" t="inlineStr">
        <is>
          <t>entidad-dia</t>
        </is>
      </c>
    </row>
    <row r="7661">
      <c r="A7661" t="inlineStr">
        <is>
          <t>PRAGMA</t>
        </is>
      </c>
      <c r="B7661" t="inlineStr">
        <is>
          <t>M2</t>
        </is>
      </c>
      <c r="C7661" t="inlineStr">
        <is>
          <t>Cali</t>
        </is>
      </c>
      <c r="D7661" t="inlineStr">
        <is>
          <t>7990</t>
        </is>
      </c>
      <c r="E7661" t="inlineStr">
        <is>
          <t>cash_in</t>
        </is>
      </c>
      <c r="F7661" s="23" t="n">
        <v>46277</v>
      </c>
      <c r="G7661" s="24">
        <f>F7661-DATE(2026,8,31)</f>
        <v>12</v>
      </c>
      <c r="H7661" s="25" t="n">
        <v>31331555</v>
      </c>
      <c r="I7661" t="inlineStr">
        <is>
          <t>entidad-dia</t>
        </is>
      </c>
    </row>
    <row r="7662">
      <c r="A7662" t="inlineStr">
        <is>
          <t>PRAGMA</t>
        </is>
      </c>
      <c r="B7662" t="inlineStr">
        <is>
          <t>M2</t>
        </is>
      </c>
      <c r="C7662" t="inlineStr">
        <is>
          <t>Cali</t>
        </is>
      </c>
      <c r="D7662" t="inlineStr">
        <is>
          <t>7990</t>
        </is>
      </c>
      <c r="E7662" t="inlineStr">
        <is>
          <t>pagado</t>
        </is>
      </c>
      <c r="F7662" s="23" t="n">
        <v>46278</v>
      </c>
      <c r="G7662" s="24">
        <f>F7662-DATE(2026,8,31)</f>
        <v>13</v>
      </c>
      <c r="H7662" s="25" t="n">
        <v>7000619</v>
      </c>
      <c r="I7662" t="inlineStr">
        <is>
          <t>entidad-dia</t>
        </is>
      </c>
    </row>
    <row r="7663">
      <c r="A7663" t="inlineStr">
        <is>
          <t>PRAGMA</t>
        </is>
      </c>
      <c r="B7663" t="inlineStr">
        <is>
          <t>M2</t>
        </is>
      </c>
      <c r="C7663" t="inlineStr">
        <is>
          <t>Cali</t>
        </is>
      </c>
      <c r="D7663" t="inlineStr">
        <is>
          <t>7990</t>
        </is>
      </c>
      <c r="E7663" t="inlineStr">
        <is>
          <t>cash_in</t>
        </is>
      </c>
      <c r="F7663" s="23" t="n">
        <v>46278</v>
      </c>
      <c r="G7663" s="24">
        <f>F7663-DATE(2026,8,31)</f>
        <v>13</v>
      </c>
      <c r="H7663" s="25" t="n">
        <v>12447100</v>
      </c>
      <c r="I7663" t="inlineStr">
        <is>
          <t>entidad-dia</t>
        </is>
      </c>
    </row>
    <row r="7664">
      <c r="A7664" t="inlineStr">
        <is>
          <t>PRAGMA</t>
        </is>
      </c>
      <c r="B7664" t="inlineStr">
        <is>
          <t>M2</t>
        </is>
      </c>
      <c r="C7664" t="inlineStr">
        <is>
          <t>Cali</t>
        </is>
      </c>
      <c r="D7664" t="inlineStr">
        <is>
          <t>7990</t>
        </is>
      </c>
      <c r="E7664" t="inlineStr">
        <is>
          <t>pagado</t>
        </is>
      </c>
      <c r="F7664" s="23" t="n">
        <v>46279</v>
      </c>
      <c r="G7664" s="24">
        <f>F7664-DATE(2026,8,31)</f>
        <v>14</v>
      </c>
      <c r="H7664" s="25" t="n">
        <v>22391962</v>
      </c>
      <c r="I7664" t="inlineStr">
        <is>
          <t>entidad-dia</t>
        </is>
      </c>
    </row>
    <row r="7665">
      <c r="A7665" t="inlineStr">
        <is>
          <t>PRAGMA</t>
        </is>
      </c>
      <c r="B7665" t="inlineStr">
        <is>
          <t>M2</t>
        </is>
      </c>
      <c r="C7665" t="inlineStr">
        <is>
          <t>Cali</t>
        </is>
      </c>
      <c r="D7665" t="inlineStr">
        <is>
          <t>7990</t>
        </is>
      </c>
      <c r="E7665" t="inlineStr">
        <is>
          <t>cash_in</t>
        </is>
      </c>
      <c r="F7665" s="23" t="n">
        <v>46279</v>
      </c>
      <c r="G7665" s="24">
        <f>F7665-DATE(2026,8,31)</f>
        <v>14</v>
      </c>
      <c r="H7665" s="25" t="n">
        <v>38165606</v>
      </c>
      <c r="I7665" t="inlineStr">
        <is>
          <t>entidad-dia</t>
        </is>
      </c>
    </row>
    <row r="7666">
      <c r="A7666" t="inlineStr">
        <is>
          <t>PRAGMA</t>
        </is>
      </c>
      <c r="B7666" t="inlineStr">
        <is>
          <t>M2</t>
        </is>
      </c>
      <c r="C7666" t="inlineStr">
        <is>
          <t>Cali</t>
        </is>
      </c>
      <c r="D7666" t="inlineStr">
        <is>
          <t>7990</t>
        </is>
      </c>
      <c r="E7666" t="inlineStr">
        <is>
          <t>pagado</t>
        </is>
      </c>
      <c r="F7666" s="23" t="n">
        <v>46280</v>
      </c>
      <c r="G7666" s="24">
        <f>F7666-DATE(2026,8,31)</f>
        <v>15</v>
      </c>
      <c r="H7666" s="25" t="n">
        <v>27595266</v>
      </c>
      <c r="I7666" t="inlineStr">
        <is>
          <t>entidad-dia</t>
        </is>
      </c>
    </row>
    <row r="7667">
      <c r="A7667" t="inlineStr">
        <is>
          <t>PRAGMA</t>
        </is>
      </c>
      <c r="B7667" t="inlineStr">
        <is>
          <t>M2</t>
        </is>
      </c>
      <c r="C7667" t="inlineStr">
        <is>
          <t>Cali</t>
        </is>
      </c>
      <c r="D7667" t="inlineStr">
        <is>
          <t>7990</t>
        </is>
      </c>
      <c r="E7667" t="inlineStr">
        <is>
          <t>cash_in</t>
        </is>
      </c>
      <c r="F7667" s="23" t="n">
        <v>46280</v>
      </c>
      <c r="G7667" s="24">
        <f>F7667-DATE(2026,8,31)</f>
        <v>15</v>
      </c>
      <c r="H7667" s="25" t="n">
        <v>42233545</v>
      </c>
      <c r="I7667" t="inlineStr">
        <is>
          <t>entidad-dia</t>
        </is>
      </c>
    </row>
    <row r="7668">
      <c r="A7668" t="inlineStr">
        <is>
          <t>PRAGMA</t>
        </is>
      </c>
      <c r="B7668" t="inlineStr">
        <is>
          <t>M2</t>
        </is>
      </c>
      <c r="C7668" t="inlineStr">
        <is>
          <t>Cali</t>
        </is>
      </c>
      <c r="D7668" t="inlineStr">
        <is>
          <t>8209</t>
        </is>
      </c>
      <c r="E7668" t="inlineStr">
        <is>
          <t>pagado</t>
        </is>
      </c>
      <c r="F7668" s="23" t="n">
        <v>46266</v>
      </c>
      <c r="G7668" s="24">
        <f>F7668-DATE(2026,8,31)</f>
        <v>1</v>
      </c>
      <c r="H7668" s="25" t="n">
        <v>36105442</v>
      </c>
      <c r="I7668" t="inlineStr">
        <is>
          <t>entidad-dia</t>
        </is>
      </c>
    </row>
    <row r="7669">
      <c r="A7669" t="inlineStr">
        <is>
          <t>PRAGMA</t>
        </is>
      </c>
      <c r="B7669" t="inlineStr">
        <is>
          <t>M2</t>
        </is>
      </c>
      <c r="C7669" t="inlineStr">
        <is>
          <t>Cali</t>
        </is>
      </c>
      <c r="D7669" t="inlineStr">
        <is>
          <t>8209</t>
        </is>
      </c>
      <c r="E7669" t="inlineStr">
        <is>
          <t>cash_in</t>
        </is>
      </c>
      <c r="F7669" s="23" t="n">
        <v>46266</v>
      </c>
      <c r="G7669" s="24">
        <f>F7669-DATE(2026,8,31)</f>
        <v>1</v>
      </c>
      <c r="H7669" s="25" t="n">
        <v>91307069</v>
      </c>
      <c r="I7669" t="inlineStr">
        <is>
          <t>entidad-dia</t>
        </is>
      </c>
    </row>
    <row r="7670">
      <c r="A7670" t="inlineStr">
        <is>
          <t>PRAGMA</t>
        </is>
      </c>
      <c r="B7670" t="inlineStr">
        <is>
          <t>M2</t>
        </is>
      </c>
      <c r="C7670" t="inlineStr">
        <is>
          <t>Cali</t>
        </is>
      </c>
      <c r="D7670" t="inlineStr">
        <is>
          <t>8209</t>
        </is>
      </c>
      <c r="E7670" t="inlineStr">
        <is>
          <t>pagado</t>
        </is>
      </c>
      <c r="F7670" s="23" t="n">
        <v>46267</v>
      </c>
      <c r="G7670" s="24">
        <f>F7670-DATE(2026,8,31)</f>
        <v>2</v>
      </c>
      <c r="H7670" s="25" t="n">
        <v>27396607</v>
      </c>
      <c r="I7670" t="inlineStr">
        <is>
          <t>entidad-dia</t>
        </is>
      </c>
    </row>
    <row r="7671">
      <c r="A7671" t="inlineStr">
        <is>
          <t>PRAGMA</t>
        </is>
      </c>
      <c r="B7671" t="inlineStr">
        <is>
          <t>M2</t>
        </is>
      </c>
      <c r="C7671" t="inlineStr">
        <is>
          <t>Cali</t>
        </is>
      </c>
      <c r="D7671" t="inlineStr">
        <is>
          <t>8209</t>
        </is>
      </c>
      <c r="E7671" t="inlineStr">
        <is>
          <t>cash_in</t>
        </is>
      </c>
      <c r="F7671" s="23" t="n">
        <v>46267</v>
      </c>
      <c r="G7671" s="24">
        <f>F7671-DATE(2026,8,31)</f>
        <v>2</v>
      </c>
      <c r="H7671" s="25" t="n">
        <v>91306249</v>
      </c>
      <c r="I7671" t="inlineStr">
        <is>
          <t>entidad-dia</t>
        </is>
      </c>
    </row>
    <row r="7672">
      <c r="A7672" t="inlineStr">
        <is>
          <t>PRAGMA</t>
        </is>
      </c>
      <c r="B7672" t="inlineStr">
        <is>
          <t>M2</t>
        </is>
      </c>
      <c r="C7672" t="inlineStr">
        <is>
          <t>Cali</t>
        </is>
      </c>
      <c r="D7672" t="inlineStr">
        <is>
          <t>8209</t>
        </is>
      </c>
      <c r="E7672" t="inlineStr">
        <is>
          <t>pagado</t>
        </is>
      </c>
      <c r="F7672" s="23" t="n">
        <v>46268</v>
      </c>
      <c r="G7672" s="24">
        <f>F7672-DATE(2026,8,31)</f>
        <v>3</v>
      </c>
      <c r="H7672" s="25" t="n">
        <v>24851249</v>
      </c>
      <c r="I7672" t="inlineStr">
        <is>
          <t>entidad-dia</t>
        </is>
      </c>
    </row>
    <row r="7673">
      <c r="A7673" t="inlineStr">
        <is>
          <t>PRAGMA</t>
        </is>
      </c>
      <c r="B7673" t="inlineStr">
        <is>
          <t>M2</t>
        </is>
      </c>
      <c r="C7673" t="inlineStr">
        <is>
          <t>Cali</t>
        </is>
      </c>
      <c r="D7673" t="inlineStr">
        <is>
          <t>8209</t>
        </is>
      </c>
      <c r="E7673" t="inlineStr">
        <is>
          <t>cash_in</t>
        </is>
      </c>
      <c r="F7673" s="23" t="n">
        <v>46268</v>
      </c>
      <c r="G7673" s="24">
        <f>F7673-DATE(2026,8,31)</f>
        <v>3</v>
      </c>
      <c r="H7673" s="25" t="n">
        <v>79911534</v>
      </c>
      <c r="I7673" t="inlineStr">
        <is>
          <t>entidad-dia</t>
        </is>
      </c>
    </row>
    <row r="7674">
      <c r="A7674" t="inlineStr">
        <is>
          <t>PRAGMA</t>
        </is>
      </c>
      <c r="B7674" t="inlineStr">
        <is>
          <t>M2</t>
        </is>
      </c>
      <c r="C7674" t="inlineStr">
        <is>
          <t>Cali</t>
        </is>
      </c>
      <c r="D7674" t="inlineStr">
        <is>
          <t>8209</t>
        </is>
      </c>
      <c r="E7674" t="inlineStr">
        <is>
          <t>pagado</t>
        </is>
      </c>
      <c r="F7674" s="23" t="n">
        <v>46269</v>
      </c>
      <c r="G7674" s="24">
        <f>F7674-DATE(2026,8,31)</f>
        <v>4</v>
      </c>
      <c r="H7674" s="25" t="n">
        <v>25130181</v>
      </c>
      <c r="I7674" t="inlineStr">
        <is>
          <t>entidad-dia</t>
        </is>
      </c>
    </row>
    <row r="7675">
      <c r="A7675" t="inlineStr">
        <is>
          <t>PRAGMA</t>
        </is>
      </c>
      <c r="B7675" t="inlineStr">
        <is>
          <t>M2</t>
        </is>
      </c>
      <c r="C7675" t="inlineStr">
        <is>
          <t>Cali</t>
        </is>
      </c>
      <c r="D7675" t="inlineStr">
        <is>
          <t>8209</t>
        </is>
      </c>
      <c r="E7675" t="inlineStr">
        <is>
          <t>cash_in</t>
        </is>
      </c>
      <c r="F7675" s="23" t="n">
        <v>46269</v>
      </c>
      <c r="G7675" s="24">
        <f>F7675-DATE(2026,8,31)</f>
        <v>4</v>
      </c>
      <c r="H7675" s="25" t="n">
        <v>86065542</v>
      </c>
      <c r="I7675" t="inlineStr">
        <is>
          <t>entidad-dia</t>
        </is>
      </c>
    </row>
    <row r="7676">
      <c r="A7676" t="inlineStr">
        <is>
          <t>PRAGMA</t>
        </is>
      </c>
      <c r="B7676" t="inlineStr">
        <is>
          <t>M2</t>
        </is>
      </c>
      <c r="C7676" t="inlineStr">
        <is>
          <t>Cali</t>
        </is>
      </c>
      <c r="D7676" t="inlineStr">
        <is>
          <t>8209</t>
        </is>
      </c>
      <c r="E7676" t="inlineStr">
        <is>
          <t>pagado</t>
        </is>
      </c>
      <c r="F7676" s="23" t="n">
        <v>46270</v>
      </c>
      <c r="G7676" s="24">
        <f>F7676-DATE(2026,8,31)</f>
        <v>5</v>
      </c>
      <c r="H7676" s="25" t="n">
        <v>13044506</v>
      </c>
      <c r="I7676" t="inlineStr">
        <is>
          <t>entidad-dia</t>
        </is>
      </c>
    </row>
    <row r="7677">
      <c r="A7677" t="inlineStr">
        <is>
          <t>PRAGMA</t>
        </i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ow>
    <row r="7678">
      <c r="A7678" t="inlineStr">
        <is>
          <t>PRAGMA</t>
        </is>
      </c>
      <c r="B7678" t="inlineStr">
        <is>
          <t>M2</t>
        </is>
      </c>
      <c r="C7678" t="inlineStr">
        <is>
          <t>Cali</t>
        </is>
      </c>
      <c r="D7678" t="inlineStr">
        <is>
          <t>8209</t>
        </is>
      </c>
      <c r="E7678" t="inlineStr">
        <is>
          <t>pagado</t>
        </is>
      </c>
      <c r="F7678" s="23" t="n">
        <v>46271</v>
      </c>
      <c r="G7678" s="24">
        <f>F7678-DATE(2026,8,31)</f>
        <v>6</v>
      </c>
      <c r="H7678" s="25" t="n">
        <v>4096787</v>
      </c>
      <c r="I7678" t="inlineStr">
        <is>
          <t>entidad-dia</t>
        </is>
      </c>
    </row>
    <row r="7679">
      <c r="A7679" t="inlineStr">
        <is>
          <t>PRAGMA</t>
        </is>
      </c>
      <c r="B7679" t="inlineStr">
        <is>
          <t>M2</t>
        </is>
      </c>
      <c r="C7679" t="inlineStr">
        <is>
          <t>Cali</t>
        </is>
      </c>
      <c r="D7679" t="inlineStr">
        <is>
          <t>8209</t>
        </is>
      </c>
      <c r="E7679" t="inlineStr">
        <is>
          <t>cash_in</t>
        </is>
      </c>
      <c r="F7679" s="23" t="n">
        <v>46271</v>
      </c>
      <c r="G7679" s="24">
        <f>F7679-DATE(2026,8,31)</f>
        <v>6</v>
      </c>
      <c r="H7679" s="25" t="n">
        <v>10345835</v>
      </c>
      <c r="I7679" t="inlineStr">
        <is>
          <t>entidad-dia</t>
        </is>
      </c>
    </row>
    <row r="7680">
      <c r="A7680" t="inlineStr">
        <is>
          <t>PRAGMA</t>
        </is>
      </c>
      <c r="B7680" t="inlineStr">
        <is>
          <t>M2</t>
        </is>
      </c>
      <c r="C7680" t="inlineStr">
        <is>
          <t>Cali</t>
        </is>
      </c>
      <c r="D7680" t="inlineStr">
        <is>
          <t>8209</t>
        </is>
      </c>
      <c r="E7680" t="inlineStr">
        <is>
          <t>pagado</t>
        </is>
      </c>
      <c r="F7680" s="23" t="n">
        <v>46272</v>
      </c>
      <c r="G7680" s="24">
        <f>F7680-DATE(2026,8,31)</f>
        <v>7</v>
      </c>
      <c r="H7680" s="25" t="n">
        <v>20191003</v>
      </c>
      <c r="I7680" t="inlineStr">
        <is>
          <t>entidad-dia</t>
        </is>
      </c>
    </row>
    <row r="7681">
      <c r="A7681" t="inlineStr">
        <is>
          <t>PRAGMA</t>
        </is>
      </c>
      <c r="B7681" t="inlineStr">
        <is>
          <t>M2</t>
        </is>
      </c>
      <c r="C7681" t="inlineStr">
        <is>
          <t>Cali</t>
        </is>
      </c>
      <c r="D7681" t="inlineStr">
        <is>
          <t>8209</t>
        </is>
      </c>
      <c r="E7681" t="inlineStr">
        <is>
          <t>cash_in</t>
        </is>
      </c>
      <c r="F7681" s="23" t="n">
        <v>46272</v>
      </c>
      <c r="G7681" s="24">
        <f>F7681-DATE(2026,8,31)</f>
        <v>7</v>
      </c>
      <c r="H7681" s="25" t="n">
        <v>93896437</v>
      </c>
      <c r="I7681" t="inlineStr">
        <is>
          <t>entidad-dia</t>
        </is>
      </c>
    </row>
    <row r="7682">
      <c r="A7682" t="inlineStr">
        <is>
          <t>PRAGMA</t>
        </is>
      </c>
      <c r="B7682" t="inlineStr">
        <is>
          <t>M2</t>
        </is>
      </c>
      <c r="C7682" t="inlineStr">
        <is>
          <t>Cali</t>
        </is>
      </c>
      <c r="D7682" t="inlineStr">
        <is>
          <t>8209</t>
        </is>
      </c>
      <c r="E7682" t="inlineStr">
        <is>
          <t>pagado</t>
        </is>
      </c>
      <c r="F7682" s="23" t="n">
        <v>46273</v>
      </c>
      <c r="G7682" s="24">
        <f>F7682-DATE(2026,8,31)</f>
        <v>8</v>
      </c>
      <c r="H7682" s="25" t="n">
        <v>18626262</v>
      </c>
      <c r="I7682" t="inlineStr">
        <is>
          <t>entidad-dia</t>
        </is>
      </c>
    </row>
    <row r="7683">
      <c r="A7683" t="inlineStr">
        <is>
          <t>PRAGMA</t>
        </is>
      </c>
      <c r="B7683" t="inlineStr">
        <is>
          <t>M2</t>
        </is>
      </c>
      <c r="C7683" t="inlineStr">
        <is>
          <t>Cali</t>
        </is>
      </c>
      <c r="D7683" t="inlineStr">
        <is>
          <t>8209</t>
        </is>
      </c>
      <c r="E7683" t="inlineStr">
        <is>
          <t>cash_in</t>
        </is>
      </c>
      <c r="F7683" s="23" t="n">
        <v>46273</v>
      </c>
      <c r="G7683" s="24">
        <f>F7683-DATE(2026,8,31)</f>
        <v>8</v>
      </c>
      <c r="H7683" s="25" t="n">
        <v>83963963</v>
      </c>
      <c r="I7683" t="inlineStr">
        <is>
          <t>entidad-dia</t>
        </is>
      </c>
    </row>
    <row r="7684">
      <c r="A7684" t="inlineStr">
        <is>
          <t>PRAGMA</t>
        </is>
      </c>
      <c r="B7684" t="inlineStr">
        <is>
          <t>M2</t>
        </is>
      </c>
      <c r="C7684" t="inlineStr">
        <is>
          <t>Cali</t>
        </is>
      </c>
      <c r="D7684" t="inlineStr">
        <is>
          <t>8209</t>
        </is>
      </c>
      <c r="E7684" t="inlineStr">
        <is>
          <t>pagado</t>
        </is>
      </c>
      <c r="F7684" s="23" t="n">
        <v>46274</v>
      </c>
      <c r="G7684" s="24">
        <f>F7684-DATE(2026,8,31)</f>
        <v>9</v>
      </c>
      <c r="H7684" s="25" t="n">
        <v>17093406</v>
      </c>
      <c r="I7684" t="inlineStr">
        <is>
          <t>entidad-dia</t>
        </is>
      </c>
    </row>
    <row r="7685">
      <c r="A7685" t="inlineStr">
        <is>
          <t>PRAGMA</t>
        </is>
      </c>
      <c r="B7685" t="inlineStr">
        <is>
          <t>M2</t>
        </is>
      </c>
      <c r="C7685" t="inlineStr">
        <is>
          <t>Cali</t>
        </is>
      </c>
      <c r="D7685" t="inlineStr">
        <is>
          <t>8209</t>
        </is>
      </c>
      <c r="E7685" t="inlineStr">
        <is>
          <t>cash_in</t>
        </is>
      </c>
      <c r="F7685" s="23" t="n">
        <v>46274</v>
      </c>
      <c r="G7685" s="24">
        <f>F7685-DATE(2026,8,31)</f>
        <v>9</v>
      </c>
      <c r="H7685" s="25" t="n">
        <v>82233830</v>
      </c>
      <c r="I7685" t="inlineStr">
        <is>
          <t>entidad-dia</t>
        </is>
      </c>
    </row>
    <row r="7686">
      <c r="A7686" t="inlineStr">
        <is>
          <t>PRAGMA</t>
        </is>
      </c>
      <c r="B7686" t="inlineStr">
        <is>
          <t>M2</t>
        </is>
      </c>
      <c r="C7686" t="inlineStr">
        <is>
          <t>Cali</t>
        </is>
      </c>
      <c r="D7686" t="inlineStr">
        <is>
          <t>8209</t>
        </is>
      </c>
      <c r="E7686" t="inlineStr">
        <is>
          <t>pagado</t>
        </is>
      </c>
      <c r="F7686" s="23" t="n">
        <v>46275</v>
      </c>
      <c r="G7686" s="24">
        <f>F7686-DATE(2026,8,31)</f>
        <v>10</v>
      </c>
      <c r="H7686" s="25" t="n">
        <v>15254031</v>
      </c>
      <c r="I7686" t="inlineStr">
        <is>
          <t>entidad-dia</t>
        </is>
      </c>
    </row>
    <row r="7687">
      <c r="A7687" t="inlineStr">
        <is>
          <t>PRAGMA</t>
        </is>
      </c>
      <c r="B7687" t="inlineStr">
        <is>
          <t>M2</t>
        </is>
      </c>
      <c r="C7687" t="inlineStr">
        <is>
          <t>Cali</t>
        </is>
      </c>
      <c r="D7687" t="inlineStr">
        <is>
          <t>8209</t>
        </is>
      </c>
      <c r="E7687" t="inlineStr">
        <is>
          <t>cash_in</t>
        </is>
      </c>
      <c r="F7687" s="23" t="n">
        <v>46275</v>
      </c>
      <c r="G7687" s="24">
        <f>F7687-DATE(2026,8,31)</f>
        <v>10</v>
      </c>
      <c r="H7687" s="25" t="n">
        <v>71355229</v>
      </c>
      <c r="I7687" t="inlineStr">
        <is>
          <t>entidad-dia</t>
        </is>
      </c>
    </row>
    <row r="7688">
      <c r="A7688" t="inlineStr">
        <is>
          <t>PRAGMA</t>
        </is>
      </c>
      <c r="B7688" t="inlineStr">
        <is>
          <t>M2</t>
        </is>
      </c>
      <c r="C7688" t="inlineStr">
        <is>
          <t>Cali</t>
        </is>
      </c>
      <c r="D7688" t="inlineStr">
        <is>
          <t>8209</t>
        </is>
      </c>
      <c r="E7688" t="inlineStr">
        <is>
          <t>pagado</t>
        </is>
      </c>
      <c r="F7688" s="23" t="n">
        <v>46276</v>
      </c>
      <c r="G7688" s="24">
        <f>F7688-DATE(2026,8,31)</f>
        <v>11</v>
      </c>
      <c r="H7688" s="25" t="n">
        <v>17179916</v>
      </c>
      <c r="I7688" t="inlineStr">
        <is>
          <t>entidad-dia</t>
        </is>
      </c>
    </row>
    <row r="7689">
      <c r="A7689" t="inlineStr">
        <is>
          <t>PRAGMA</t>
        </is>
      </c>
      <c r="B7689" t="inlineStr">
        <is>
          <t>M2</t>
        </is>
      </c>
      <c r="C7689" t="inlineStr">
        <is>
          <t>Cali</t>
        </is>
      </c>
      <c r="D7689" t="inlineStr">
        <is>
          <t>8209</t>
        </is>
      </c>
      <c r="E7689" t="inlineStr">
        <is>
          <t>cash_in</t>
        </is>
      </c>
      <c r="F7689" s="23" t="n">
        <v>46276</v>
      </c>
      <c r="G7689" s="24">
        <f>F7689-DATE(2026,8,31)</f>
        <v>11</v>
      </c>
      <c r="H7689" s="25" t="n">
        <v>76218557</v>
      </c>
      <c r="I7689" t="inlineStr">
        <is>
          <t>entidad-dia</t>
        </is>
      </c>
    </row>
    <row r="7690">
      <c r="A7690" t="inlineStr">
        <is>
          <t>PRAGMA</t>
        </is>
      </c>
      <c r="B7690" t="inlineStr">
        <is>
          <t>M2</t>
        </is>
      </c>
      <c r="C7690" t="inlineStr">
        <is>
          <t>Cali</t>
        </is>
      </c>
      <c r="D7690" t="inlineStr">
        <is>
          <t>8209</t>
        </is>
      </c>
      <c r="E7690" t="inlineStr">
        <is>
          <t>pagado</t>
        </is>
      </c>
      <c r="F7690" s="23" t="n">
        <v>46277</v>
      </c>
      <c r="G7690" s="24">
        <f>F7690-DATE(2026,8,31)</f>
        <v>12</v>
      </c>
      <c r="H7690" s="25" t="n">
        <v>8307978</v>
      </c>
      <c r="I7690" t="inlineStr">
        <is>
          <t>entidad-dia</t>
        </is>
      </c>
    </row>
    <row r="7691">
      <c r="A7691" t="inlineStr">
        <is>
          <t>PRAGMA</t>
        </is>
      </c>
      <c r="B7691" t="inlineStr">
        <is>
          <t>M2</t>
        </is>
      </c>
      <c r="C7691" t="inlineStr">
        <is>
          <t>Cali</t>
        </is>
      </c>
      <c r="D7691" t="inlineStr">
        <is>
          <t>8209</t>
        </is>
      </c>
      <c r="E7691" t="inlineStr">
        <is>
          <t>cash_in</t>
        </is>
      </c>
      <c r="F7691" s="23" t="n">
        <v>46277</v>
      </c>
      <c r="G7691" s="24">
        <f>F7691-DATE(2026,8,31)</f>
        <v>12</v>
      </c>
      <c r="H7691" s="25" t="n">
        <v>37221663</v>
      </c>
      <c r="I7691" t="inlineStr">
        <is>
          <t>entidad-dia</t>
        </is>
      </c>
    </row>
    <row r="7692">
      <c r="A7692" t="inlineStr">
        <is>
          <t>PRAGMA</t>
        </is>
      </c>
      <c r="B7692" t="inlineStr">
        <is>
          <t>M2</t>
        </is>
      </c>
      <c r="C7692" t="inlineStr">
        <is>
          <t>Cali</t>
        </is>
      </c>
      <c r="D7692" t="inlineStr">
        <is>
          <t>8209</t>
        </is>
      </c>
      <c r="E7692" t="inlineStr">
        <is>
          <t>pagado</t>
        </is>
      </c>
      <c r="F7692" s="23" t="n">
        <v>46278</v>
      </c>
      <c r="G7692" s="24">
        <f>F7692-DATE(2026,8,31)</f>
        <v>13</v>
      </c>
      <c r="H7692" s="25" t="n">
        <v>2956103</v>
      </c>
      <c r="I7692" t="inlineStr">
        <is>
          <t>entidad-dia</t>
        </is>
      </c>
    </row>
    <row r="7693">
      <c r="A7693" t="inlineStr">
        <is>
          <t>PRAGMA</t>
        </is>
      </c>
      <c r="B7693" t="inlineStr">
        <is>
          <t>M2</t>
        </is>
      </c>
      <c r="C7693" t="inlineStr">
        <is>
          <t>Cali</t>
        </is>
      </c>
      <c r="D7693" t="inlineStr">
        <is>
          <t>8209</t>
        </is>
      </c>
      <c r="E7693" t="inlineStr">
        <is>
          <t>cash_in</t>
        </is>
      </c>
      <c r="F7693" s="23" t="n">
        <v>46278</v>
      </c>
      <c r="G7693" s="24">
        <f>F7693-DATE(2026,8,31)</f>
        <v>13</v>
      </c>
      <c r="H7693" s="25" t="n">
        <v>8925350</v>
      </c>
      <c r="I7693" t="inlineStr">
        <is>
          <t>entidad-dia</t>
        </is>
      </c>
    </row>
    <row r="7694">
      <c r="A7694" t="inlineStr">
        <is>
          <t>PRAGMA</t>
        </is>
      </c>
      <c r="B7694" t="inlineStr">
        <is>
          <t>M2</t>
        </is>
      </c>
      <c r="C7694" t="inlineStr">
        <is>
          <t>Cali</t>
        </is>
      </c>
      <c r="D7694" t="inlineStr">
        <is>
          <t>8209</t>
        </is>
      </c>
      <c r="E7694" t="inlineStr">
        <is>
          <t>pagado</t>
        </is>
      </c>
      <c r="F7694" s="23" t="n">
        <v>46279</v>
      </c>
      <c r="G7694" s="24">
        <f>F7694-DATE(2026,8,31)</f>
        <v>14</v>
      </c>
      <c r="H7694" s="25" t="n">
        <v>16303320</v>
      </c>
      <c r="I7694" t="inlineStr">
        <is>
          <t>entidad-dia</t>
        </is>
      </c>
    </row>
    <row r="7695">
      <c r="A7695" t="inlineStr">
        <is>
          <t>PRAGMA</t>
        </is>
      </c>
      <c r="B7695" t="inlineStr">
        <is>
          <t>M2</t>
        </is>
      </c>
      <c r="C7695" t="inlineStr">
        <is>
          <t>Cali</t>
        </is>
      </c>
      <c r="D7695" t="inlineStr">
        <is>
          <t>8209</t>
        </is>
      </c>
      <c r="E7695" t="inlineStr">
        <is>
          <t>cash_in</t>
        </is>
      </c>
      <c r="F7695" s="23" t="n">
        <v>46279</v>
      </c>
      <c r="G7695" s="24">
        <f>F7695-DATE(2026,8,31)</f>
        <v>14</v>
      </c>
      <c r="H7695" s="25" t="n">
        <v>85446067</v>
      </c>
      <c r="I7695" t="inlineStr">
        <is>
          <t>entidad-dia</t>
        </is>
      </c>
    </row>
    <row r="7696">
      <c r="A7696" t="inlineStr">
        <is>
          <t>PRAGMA</t>
        </is>
      </c>
      <c r="B7696" t="inlineStr">
        <is>
          <t>M2</t>
        </is>
      </c>
      <c r="C7696" t="inlineStr">
        <is>
          <t>Cali</t>
        </is>
      </c>
      <c r="D7696" t="inlineStr">
        <is>
          <t>8209</t>
        </is>
      </c>
      <c r="E7696" t="inlineStr">
        <is>
          <t>pagado</t>
        </is>
      </c>
      <c r="F7696" s="23" t="n">
        <v>46280</v>
      </c>
      <c r="G7696" s="24">
        <f>F7696-DATE(2026,8,31)</f>
        <v>15</v>
      </c>
      <c r="H7696" s="25" t="n">
        <v>24070202</v>
      </c>
      <c r="I7696" t="inlineStr">
        <is>
          <t>entidad-dia</t>
        </is>
      </c>
    </row>
    <row r="7697">
      <c r="A7697" t="inlineStr">
        <is>
          <t>PRAGMA</t>
        </is>
      </c>
      <c r="B7697" t="inlineStr">
        <is>
          <t>M2</t>
        </is>
      </c>
      <c r="C7697" t="inlineStr">
        <is>
          <t>Cali</t>
        </is>
      </c>
      <c r="D7697" t="inlineStr">
        <is>
          <t>8209</t>
        </is>
      </c>
      <c r="E7697" t="inlineStr">
        <is>
          <t>cash_in</t>
        </is>
      </c>
      <c r="F7697" s="23" t="n">
        <v>46280</v>
      </c>
      <c r="G7697" s="24">
        <f>F7697-DATE(2026,8,31)</f>
        <v>15</v>
      </c>
      <c r="H7697" s="25" t="n">
        <v>83541761</v>
      </c>
      <c r="I7697" t="inlineStr">
        <is>
          <t>entidad-dia</t>
        </is>
      </c>
    </row>
    <row r="7698">
      <c r="A7698" t="inlineStr">
        <is>
          <t>PRAGMA</t>
        </is>
      </c>
      <c r="B7698" t="inlineStr">
        <is>
          <t>M2</t>
        </is>
      </c>
      <c r="C7698" t="inlineStr">
        <is>
          <t>Pasto</t>
        </is>
      </c>
      <c r="D7698" t="inlineStr">
        <is>
          <t>8220</t>
        </is>
      </c>
      <c r="E7698" t="inlineStr">
        <is>
          <t>pagado</t>
        </is>
      </c>
      <c r="F7698" s="23" t="n">
        <v>46266</v>
      </c>
      <c r="G7698" s="24">
        <f>F7698-DATE(2026,8,31)</f>
        <v>1</v>
      </c>
      <c r="H7698" s="25" t="n">
        <v>45386032</v>
      </c>
      <c r="I7698" t="inlineStr">
        <is>
          <t>entidad-dia</t>
        </is>
      </c>
    </row>
    <row r="7699">
      <c r="A7699" t="inlineStr">
        <is>
          <t>PRAGMA</t>
        </is>
      </c>
      <c r="B7699" t="inlineStr">
        <is>
          <t>M2</t>
        </is>
      </c>
      <c r="C7699" t="inlineStr">
        <is>
          <t>Pasto</t>
        </is>
      </c>
      <c r="D7699" t="inlineStr">
        <is>
          <t>8220</t>
        </is>
      </c>
      <c r="E7699" t="inlineStr">
        <is>
          <t>cash_in</t>
        </is>
      </c>
      <c r="F7699" s="23" t="n">
        <v>46266</v>
      </c>
      <c r="G7699" s="24">
        <f>F7699-DATE(2026,8,31)</f>
        <v>1</v>
      </c>
      <c r="H7699" s="25" t="n">
        <v>127705429</v>
      </c>
      <c r="I7699" t="inlineStr">
        <is>
          <t>entidad-dia</t>
        </is>
      </c>
    </row>
    <row r="7700">
      <c r="A7700" t="inlineStr">
        <is>
          <t>PRAGMA</t>
        </is>
      </c>
      <c r="B7700" t="inlineStr">
        <is>
          <t>M2</t>
        </is>
      </c>
      <c r="C7700" t="inlineStr">
        <is>
          <t>Pasto</t>
        </is>
      </c>
      <c r="D7700" t="inlineStr">
        <is>
          <t>8220</t>
        </is>
      </c>
      <c r="E7700" t="inlineStr">
        <is>
          <t>pagado</t>
        </is>
      </c>
      <c r="F7700" s="23" t="n">
        <v>46267</v>
      </c>
      <c r="G7700" s="24">
        <f>F7700-DATE(2026,8,31)</f>
        <v>2</v>
      </c>
      <c r="H7700" s="25" t="n">
        <v>40386758</v>
      </c>
      <c r="I7700" t="inlineStr">
        <is>
          <t>entidad-dia</t>
        </is>
      </c>
    </row>
    <row r="7701">
      <c r="A7701" t="inlineStr">
        <is>
          <t>PRAGMA</t>
        </is>
      </c>
      <c r="B7701" t="inlineStr">
        <is>
          <t>M2</t>
        </is>
      </c>
      <c r="C7701" t="inlineStr">
        <is>
          <t>Pasto</t>
        </is>
      </c>
      <c r="D7701" t="inlineStr">
        <is>
          <t>8220</t>
        </is>
      </c>
      <c r="E7701" t="inlineStr">
        <is>
          <t>cash_in</t>
        </is>
      </c>
      <c r="F7701" s="23" t="n">
        <v>46267</v>
      </c>
      <c r="G7701" s="24">
        <f>F7701-DATE(2026,8,31)</f>
        <v>2</v>
      </c>
      <c r="H7701" s="25" t="n">
        <v>127782248</v>
      </c>
      <c r="I7701" t="inlineStr">
        <is>
          <t>entidad-dia</t>
        </is>
      </c>
    </row>
    <row r="7702">
      <c r="A7702" t="inlineStr">
        <is>
          <t>PRAGMA</t>
        </is>
      </c>
      <c r="B7702" t="inlineStr">
        <is>
          <t>M2</t>
        </is>
      </c>
      <c r="C7702" t="inlineStr">
        <is>
          <t>Pasto</t>
        </is>
      </c>
      <c r="D7702" t="inlineStr">
        <is>
          <t>8220</t>
        </is>
      </c>
      <c r="E7702" t="inlineStr">
        <is>
          <t>pagado</t>
        </is>
      </c>
      <c r="F7702" s="23" t="n">
        <v>46268</v>
      </c>
      <c r="G7702" s="24">
        <f>F7702-DATE(2026,8,31)</f>
        <v>3</v>
      </c>
      <c r="H7702" s="25" t="n">
        <v>37520916</v>
      </c>
      <c r="I7702" t="inlineStr">
        <is>
          <t>entidad-dia</t>
        </is>
      </c>
    </row>
    <row r="7703">
      <c r="A7703" t="inlineStr">
        <is>
          <t>PRAGMA</t>
        </is>
      </c>
      <c r="B7703" t="inlineStr">
        <is>
          <t>M2</t>
        </is>
      </c>
      <c r="C7703" t="inlineStr">
        <is>
          <t>Pasto</t>
        </is>
      </c>
      <c r="D7703" t="inlineStr">
        <is>
          <t>8220</t>
        </is>
      </c>
      <c r="E7703" t="inlineStr">
        <is>
          <t>cash_in</t>
        </is>
      </c>
      <c r="F7703" s="23" t="n">
        <v>46268</v>
      </c>
      <c r="G7703" s="24">
        <f>F7703-DATE(2026,8,31)</f>
        <v>3</v>
      </c>
      <c r="H7703" s="25" t="n">
        <v>115895796</v>
      </c>
      <c r="I7703" t="inlineStr">
        <is>
          <t>entidad-dia</t>
        </is>
      </c>
    </row>
    <row r="7704">
      <c r="A7704" t="inlineStr">
        <is>
          <t>PRAGMA</t>
        </is>
      </c>
      <c r="B7704" t="inlineStr">
        <is>
          <t>M2</t>
        </is>
      </c>
      <c r="C7704" t="inlineStr">
        <is>
          <t>Pasto</t>
        </is>
      </c>
      <c r="D7704" t="inlineStr">
        <is>
          <t>8220</t>
        </is>
      </c>
      <c r="E7704" t="inlineStr">
        <is>
          <t>pagado</t>
        </is>
      </c>
      <c r="F7704" s="23" t="n">
        <v>46269</v>
      </c>
      <c r="G7704" s="24">
        <f>F7704-DATE(2026,8,31)</f>
        <v>4</v>
      </c>
      <c r="H7704" s="25" t="n">
        <v>36894185</v>
      </c>
      <c r="I7704" t="inlineStr">
        <is>
          <t>entidad-dia</t>
        </is>
      </c>
    </row>
    <row r="7705">
      <c r="A7705" t="inlineStr">
        <is>
          <t>PRAGMA</t>
        </is>
      </c>
      <c r="B7705" t="inlineStr">
        <is>
          <t>M2</t>
        </is>
      </c>
      <c r="C7705" t="inlineStr">
        <is>
          <t>Pasto</t>
        </is>
      </c>
      <c r="D7705" t="inlineStr">
        <is>
          <t>8220</t>
        </is>
      </c>
      <c r="E7705" t="inlineStr">
        <is>
          <t>cash_in</t>
        </is>
      </c>
      <c r="F7705" s="23" t="n">
        <v>46269</v>
      </c>
      <c r="G7705" s="24">
        <f>F7705-DATE(2026,8,31)</f>
        <v>4</v>
      </c>
      <c r="H7705" s="25" t="n">
        <v>126110791</v>
      </c>
      <c r="I7705" t="inlineStr">
        <is>
          <t>entidad-dia</t>
        </is>
      </c>
    </row>
    <row r="7706">
      <c r="A7706" t="inlineStr">
        <is>
          <t>PRAGMA</t>
        </is>
      </c>
      <c r="B7706" t="inlineStr">
        <is>
          <t>M2</t>
        </is>
      </c>
      <c r="C7706" t="inlineStr">
        <is>
          <t>Pasto</t>
        </is>
      </c>
      <c r="D7706" t="inlineStr">
        <is>
          <t>8220</t>
        </is>
      </c>
      <c r="E7706" t="inlineStr">
        <is>
          <t>pagado</t>
        </is>
      </c>
      <c r="F7706" s="23" t="n">
        <v>46270</v>
      </c>
      <c r="G7706" s="24">
        <f>F7706-DATE(2026,8,31)</f>
        <v>5</v>
      </c>
      <c r="H7706" s="25" t="n">
        <v>29978215</v>
      </c>
      <c r="I7706" t="inlineStr">
        <is>
          <t>entidad-dia</t>
        </is>
      </c>
    </row>
    <row r="7707">
      <c r="A7707" t="inlineStr">
        <is>
          <t>PRAGMA</t>
        </is>
      </c>
      <c r="B7707" t="inlineStr">
        <is>
          <t>M2</t>
        </is>
      </c>
      <c r="C7707" t="inlineStr">
        <is>
          <t>Pasto</t>
        </is>
      </c>
      <c r="D7707" t="inlineStr">
        <is>
          <t>8220</t>
        </is>
      </c>
      <c r="E7707" t="inlineStr">
        <is>
          <t>cash_in</t>
        </is>
      </c>
      <c r="F7707" s="23" t="n">
        <v>46270</v>
      </c>
      <c r="G7707" s="24">
        <f>F7707-DATE(2026,8,31)</f>
        <v>5</v>
      </c>
      <c r="H7707" s="25" t="n">
        <v>112474215</v>
      </c>
      <c r="I7707" t="inlineStr">
        <is>
          <t>entidad-dia</t>
        </is>
      </c>
    </row>
    <row r="7708">
      <c r="A7708" t="inlineStr">
        <is>
          <t>PRAGMA</t>
        </is>
      </c>
      <c r="B7708" t="inlineStr">
        <is>
          <t>M2</t>
        </is>
      </c>
      <c r="C7708" t="inlineStr">
        <is>
          <t>Pasto</t>
        </is>
      </c>
      <c r="D7708" t="inlineStr">
        <is>
          <t>8220</t>
        </is>
      </c>
      <c r="E7708" t="inlineStr">
        <is>
          <t>pagado</t>
        </is>
      </c>
      <c r="F7708" s="23" t="n">
        <v>46271</v>
      </c>
      <c r="G7708" s="24">
        <f>F7708-DATE(2026,8,31)</f>
        <v>6</v>
      </c>
      <c r="H7708" s="25" t="n">
        <v>7174197</v>
      </c>
      <c r="I7708" t="inlineStr">
        <is>
          <t>entidad-dia</t>
        </is>
      </c>
    </row>
    <row r="7709">
      <c r="A7709" t="inlineStr">
        <is>
          <t>PRAGMA</t>
        </is>
      </c>
      <c r="B7709" t="inlineStr">
        <is>
          <t>M2</t>
        </is>
      </c>
      <c r="C7709" t="inlineStr">
        <is>
          <t>Pasto</t>
        </is>
      </c>
      <c r="D7709" t="inlineStr">
        <is>
          <t>8220</t>
        </is>
      </c>
      <c r="E7709" t="inlineStr">
        <is>
          <t>cash_in</t>
        </is>
      </c>
      <c r="F7709" s="23" t="n">
        <v>46271</v>
      </c>
      <c r="G7709" s="24">
        <f>F7709-DATE(2026,8,31)</f>
        <v>6</v>
      </c>
      <c r="H7709" s="25" t="n">
        <v>38605322</v>
      </c>
      <c r="I7709" t="inlineStr">
        <is>
          <t>entidad-dia</t>
        </is>
      </c>
    </row>
    <row r="7710">
      <c r="A7710" t="inlineStr">
        <is>
          <t>PRAGMA</t>
        </is>
      </c>
      <c r="B7710" t="inlineStr">
        <is>
          <t>M2</t>
        </is>
      </c>
      <c r="C7710" t="inlineStr">
        <is>
          <t>Pasto</t>
        </is>
      </c>
      <c r="D7710" t="inlineStr">
        <is>
          <t>8220</t>
        </is>
      </c>
      <c r="E7710" t="inlineStr">
        <is>
          <t>pagado</t>
        </is>
      </c>
      <c r="F7710" s="23" t="n">
        <v>46272</v>
      </c>
      <c r="G7710" s="24">
        <f>F7710-DATE(2026,8,31)</f>
        <v>7</v>
      </c>
      <c r="H7710" s="25" t="n">
        <v>33657036</v>
      </c>
      <c r="I7710" t="inlineStr">
        <is>
          <t>entidad-dia</t>
        </is>
      </c>
    </row>
    <row r="7711">
      <c r="A7711" t="inlineStr">
        <is>
          <t>PRAGMA</t>
        </is>
      </c>
      <c r="B7711" t="inlineStr">
        <is>
          <t>M2</t>
        </is>
      </c>
      <c r="C7711" t="inlineStr">
        <is>
          <t>Pasto</t>
        </is>
      </c>
      <c r="D7711" t="inlineStr">
        <is>
          <t>8220</t>
        </is>
      </c>
      <c r="E7711" t="inlineStr">
        <is>
          <t>cash_in</t>
        </is>
      </c>
      <c r="F7711" s="23" t="n">
        <v>46272</v>
      </c>
      <c r="G7711" s="24">
        <f>F7711-DATE(2026,8,31)</f>
        <v>7</v>
      </c>
      <c r="H7711" s="25" t="n">
        <v>140925847</v>
      </c>
      <c r="I7711" t="inlineStr">
        <is>
          <t>entidad-dia</t>
        </is>
      </c>
    </row>
    <row r="7712">
      <c r="A7712" t="inlineStr">
        <is>
          <t>PRAGMA</t>
        </is>
      </c>
      <c r="B7712" t="inlineStr">
        <is>
          <t>M2</t>
        </is>
      </c>
      <c r="C7712" t="inlineStr">
        <is>
          <t>Pasto</t>
        </is>
      </c>
      <c r="D7712" t="inlineStr">
        <is>
          <t>8220</t>
        </is>
      </c>
      <c r="E7712" t="inlineStr">
        <is>
          <t>pagado</t>
        </is>
      </c>
      <c r="F7712" s="23" t="n">
        <v>46273</v>
      </c>
      <c r="G7712" s="24">
        <f>F7712-DATE(2026,8,31)</f>
        <v>8</v>
      </c>
      <c r="H7712" s="25" t="n">
        <v>31879300</v>
      </c>
      <c r="I7712" t="inlineStr">
        <is>
          <t>entidad-dia</t>
        </is>
      </c>
    </row>
    <row r="7713">
      <c r="A7713" t="inlineStr">
        <is>
          <t>PRAGMA</t>
        </is>
      </c>
      <c r="B7713" t="inlineStr">
        <is>
          <t>M2</t>
        </is>
      </c>
      <c r="C7713" t="inlineStr">
        <is>
          <t>Pasto</t>
        </is>
      </c>
      <c r="D7713" t="inlineStr">
        <is>
          <t>8220</t>
        </is>
      </c>
      <c r="E7713" t="inlineStr">
        <is>
          <t>cash_in</t>
        </is>
      </c>
      <c r="F7713" s="23" t="n">
        <v>46273</v>
      </c>
      <c r="G7713" s="24">
        <f>F7713-DATE(2026,8,31)</f>
        <v>8</v>
      </c>
      <c r="H7713" s="25" t="n">
        <v>118082617</v>
      </c>
      <c r="I7713" t="inlineStr">
        <is>
          <t>entidad-dia</t>
        </is>
      </c>
    </row>
    <row r="7714">
      <c r="A7714" t="inlineStr">
        <is>
          <t>PRAGMA</t>
        </is>
      </c>
      <c r="B7714" t="inlineStr">
        <is>
          <t>M2</t>
        </is>
      </c>
      <c r="C7714" t="inlineStr">
        <is>
          <t>Pasto</t>
        </is>
      </c>
      <c r="D7714" t="inlineStr">
        <is>
          <t>8220</t>
        </is>
      </c>
      <c r="E7714" t="inlineStr">
        <is>
          <t>pagado</t>
        </is>
      </c>
      <c r="F7714" s="23" t="n">
        <v>46274</v>
      </c>
      <c r="G7714" s="24">
        <f>F7714-DATE(2026,8,31)</f>
        <v>9</v>
      </c>
      <c r="H7714" s="25" t="n">
        <v>29450970</v>
      </c>
      <c r="I7714" t="inlineStr">
        <is>
          <t>entidad-dia</t>
        </is>
      </c>
    </row>
    <row r="7715">
      <c r="A7715" t="inlineStr">
        <is>
          <t>PRAGMA</t>
        </is>
      </c>
      <c r="B7715" t="inlineStr">
        <is>
          <t>M2</t>
        </is>
      </c>
      <c r="C7715" t="inlineStr">
        <is>
          <t>Pasto</t>
        </is>
      </c>
      <c r="D7715" t="inlineStr">
        <is>
          <t>8220</t>
        </is>
      </c>
      <c r="E7715" t="inlineStr">
        <is>
          <t>cash_in</t>
        </is>
      </c>
      <c r="F7715" s="23" t="n">
        <v>46274</v>
      </c>
      <c r="G7715" s="24">
        <f>F7715-DATE(2026,8,31)</f>
        <v>9</v>
      </c>
      <c r="H7715" s="25" t="n">
        <v>118363356</v>
      </c>
      <c r="I7715" t="inlineStr">
        <is>
          <t>entidad-dia</t>
        </is>
      </c>
    </row>
    <row r="7716">
      <c r="A7716" t="inlineStr">
        <is>
          <t>PRAGMA</t>
        </is>
      </c>
      <c r="B7716" t="inlineStr">
        <is>
          <t>M2</t>
        </is>
      </c>
      <c r="C7716" t="inlineStr">
        <is>
          <t>Pasto</t>
        </is>
      </c>
      <c r="D7716" t="inlineStr">
        <is>
          <t>8220</t>
        </is>
      </c>
      <c r="E7716" t="inlineStr">
        <is>
          <t>pagado</t>
        </is>
      </c>
      <c r="F7716" s="23" t="n">
        <v>46275</v>
      </c>
      <c r="G7716" s="24">
        <f>F7716-DATE(2026,8,31)</f>
        <v>10</v>
      </c>
      <c r="H7716" s="25" t="n">
        <v>27975169</v>
      </c>
      <c r="I7716" t="inlineStr">
        <is>
          <t>entidad-dia</t>
        </is>
      </c>
    </row>
    <row r="7717">
      <c r="A7717" t="inlineStr">
        <is>
          <t>PRAGMA</t>
        </is>
      </c>
      <c r="B7717" t="inlineStr">
        <is>
          <t>M2</t>
        </is>
      </c>
      <c r="C7717" t="inlineStr">
        <is>
          <t>Pasto</t>
        </is>
      </c>
      <c r="D7717" t="inlineStr">
        <is>
          <t>8220</t>
        </is>
      </c>
      <c r="E7717" t="inlineStr">
        <is>
          <t>cash_in</t>
        </is>
      </c>
      <c r="F7717" s="23" t="n">
        <v>46275</v>
      </c>
      <c r="G7717" s="24">
        <f>F7717-DATE(2026,8,31)</f>
        <v>10</v>
      </c>
      <c r="H7717" s="25" t="n">
        <v>102185083</v>
      </c>
      <c r="I7717" t="inlineStr">
        <is>
          <t>entidad-dia</t>
        </is>
      </c>
    </row>
    <row r="7718">
      <c r="A7718" t="inlineStr">
        <is>
          <t>PRAGMA</t>
        </is>
      </c>
      <c r="B7718" t="inlineStr">
        <is>
          <t>M2</t>
        </is>
      </c>
      <c r="C7718" t="inlineStr">
        <is>
          <t>Pasto</t>
        </is>
      </c>
      <c r="D7718" t="inlineStr">
        <is>
          <t>8220</t>
        </is>
      </c>
      <c r="E7718" t="inlineStr">
        <is>
          <t>pagado</t>
        </is>
      </c>
      <c r="F7718" s="23" t="n">
        <v>46276</v>
      </c>
      <c r="G7718" s="24">
        <f>F7718-DATE(2026,8,31)</f>
        <v>11</v>
      </c>
      <c r="H7718" s="25" t="n">
        <v>29592841</v>
      </c>
      <c r="I7718" t="inlineStr">
        <is>
          <t>entidad-dia</t>
        </is>
      </c>
    </row>
    <row r="7719">
      <c r="A7719" t="inlineStr">
        <is>
          <t>PRAGMA</t>
        </is>
      </c>
      <c r="B7719" t="inlineStr">
        <is>
          <t>M2</t>
        </is>
      </c>
      <c r="C7719" t="inlineStr">
        <is>
          <t>Pasto</t>
        </is>
      </c>
      <c r="D7719" t="inlineStr">
        <is>
          <t>8220</t>
        </is>
      </c>
      <c r="E7719" t="inlineStr">
        <is>
          <t>cash_in</t>
        </is>
      </c>
      <c r="F7719" s="23" t="n">
        <v>46276</v>
      </c>
      <c r="G7719" s="24">
        <f>F7719-DATE(2026,8,31)</f>
        <v>11</v>
      </c>
      <c r="H7719" s="25" t="n">
        <v>111287985</v>
      </c>
      <c r="I7719" t="inlineStr">
        <is>
          <t>entidad-dia</t>
        </is>
      </c>
    </row>
    <row r="7720">
      <c r="A7720" t="inlineStr">
        <is>
          <t>PRAGMA</t>
        </is>
      </c>
      <c r="B7720" t="inlineStr">
        <is>
          <t>M2</t>
        </is>
      </c>
      <c r="C7720" t="inlineStr">
        <is>
          <t>Pasto</t>
        </is>
      </c>
      <c r="D7720" t="inlineStr">
        <is>
          <t>8220</t>
        </is>
      </c>
      <c r="E7720" t="inlineStr">
        <is>
          <t>pagado</t>
        </is>
      </c>
      <c r="F7720" s="23" t="n">
        <v>46277</v>
      </c>
      <c r="G7720" s="24">
        <f>F7720-DATE(2026,8,31)</f>
        <v>12</v>
      </c>
      <c r="H7720" s="25" t="n">
        <v>23611799</v>
      </c>
      <c r="I7720" t="inlineStr">
        <is>
          <t>entidad-dia</t>
        </is>
      </c>
    </row>
    <row r="7721">
      <c r="A7721" t="inlineStr">
        <is>
          <t>PRAGMA</t>
        </is>
      </c>
      <c r="B7721" t="inlineStr">
        <is>
          <t>M2</t>
        </is>
      </c>
      <c r="C7721" t="inlineStr">
        <is>
          <t>Pasto</t>
        </is>
      </c>
      <c r="D7721" t="inlineStr">
        <is>
          <t>8220</t>
        </is>
      </c>
      <c r="E7721" t="inlineStr">
        <is>
          <t>cash_in</t>
        </is>
      </c>
      <c r="F7721" s="23" t="n">
        <v>46277</v>
      </c>
      <c r="G7721" s="24">
        <f>F7721-DATE(2026,8,31)</f>
        <v>12</v>
      </c>
      <c r="H7721" s="25" t="n">
        <v>100760791</v>
      </c>
      <c r="I7721" t="inlineStr">
        <is>
          <t>entidad-dia</t>
        </is>
      </c>
    </row>
    <row r="7722">
      <c r="A7722" t="inlineStr">
        <is>
          <t>PRAGMA</t>
        </is>
      </c>
      <c r="B7722" t="inlineStr">
        <is>
          <t>M2</t>
        </is>
      </c>
      <c r="C7722" t="inlineStr">
        <is>
          <t>Pasto</t>
        </is>
      </c>
      <c r="D7722" t="inlineStr">
        <is>
          <t>8220</t>
        </is>
      </c>
      <c r="E7722" t="inlineStr">
        <is>
          <t>pagado</t>
        </is>
      </c>
      <c r="F7722" s="23" t="n">
        <v>46278</v>
      </c>
      <c r="G7722" s="24">
        <f>F7722-DATE(2026,8,31)</f>
        <v>13</v>
      </c>
      <c r="H7722" s="25" t="n">
        <v>4177820</v>
      </c>
      <c r="I7722" t="inlineStr">
        <is>
          <t>entidad-dia</t>
        </is>
      </c>
    </row>
    <row r="7723">
      <c r="A7723" t="inlineStr">
        <is>
          <t>PRAGMA</t>
        </is>
      </c>
      <c r="B7723" t="inlineStr">
        <is>
          <t>M2</t>
        </is>
      </c>
      <c r="C7723" t="inlineStr">
        <is>
          <t>Pasto</t>
        </is>
      </c>
      <c r="D7723" t="inlineStr">
        <is>
          <t>8220</t>
        </is>
      </c>
      <c r="E7723" t="inlineStr">
        <is>
          <t>cash_in</t>
        </is>
      </c>
      <c r="F7723" s="23" t="n">
        <v>46278</v>
      </c>
      <c r="G7723" s="24">
        <f>F7723-DATE(2026,8,31)</f>
        <v>13</v>
      </c>
      <c r="H7723" s="25" t="n">
        <v>30972420</v>
      </c>
      <c r="I7723" t="inlineStr">
        <is>
          <t>entidad-dia</t>
        </is>
      </c>
    </row>
    <row r="7724">
      <c r="A7724" t="inlineStr">
        <is>
          <t>PRAGMA</t>
        </is>
      </c>
      <c r="B7724" t="inlineStr">
        <is>
          <t>M2</t>
        </is>
      </c>
      <c r="C7724" t="inlineStr">
        <is>
          <t>Pasto</t>
        </is>
      </c>
      <c r="D7724" t="inlineStr">
        <is>
          <t>8220</t>
        </is>
      </c>
      <c r="E7724" t="inlineStr">
        <is>
          <t>pagado</t>
        </is>
      </c>
      <c r="F7724" s="23" t="n">
        <v>46279</v>
      </c>
      <c r="G7724" s="24">
        <f>F7724-DATE(2026,8,31)</f>
        <v>14</v>
      </c>
      <c r="H7724" s="25" t="n">
        <v>28666781</v>
      </c>
      <c r="I7724" t="inlineStr">
        <is>
          <t>entidad-dia</t>
        </is>
      </c>
    </row>
    <row r="7725">
      <c r="A7725" t="inlineStr">
        <is>
          <t>PRAGMA</t>
        </is>
      </c>
      <c r="B7725" t="inlineStr">
        <is>
          <t>M2</t>
        </is>
      </c>
      <c r="C7725" t="inlineStr">
        <is>
          <t>Pasto</t>
        </is>
      </c>
      <c r="D7725" t="inlineStr">
        <is>
          <t>8220</t>
        </is>
      </c>
      <c r="E7725" t="inlineStr">
        <is>
          <t>cash_in</t>
        </is>
      </c>
      <c r="F7725" s="23" t="n">
        <v>46279</v>
      </c>
      <c r="G7725" s="24">
        <f>F7725-DATE(2026,8,31)</f>
        <v>14</v>
      </c>
      <c r="H7725" s="25" t="n">
        <v>119397866</v>
      </c>
      <c r="I7725" t="inlineStr">
        <is>
          <t>entidad-dia</t>
        </is>
      </c>
    </row>
    <row r="7726">
      <c r="A7726" t="inlineStr">
        <is>
          <t>PRAGMA</t>
        </is>
      </c>
      <c r="B7726" t="inlineStr">
        <is>
          <t>M2</t>
        </is>
      </c>
      <c r="C7726" t="inlineStr">
        <is>
          <t>Pasto</t>
        </is>
      </c>
      <c r="D7726" t="inlineStr">
        <is>
          <t>8220</t>
        </is>
      </c>
      <c r="E7726" t="inlineStr">
        <is>
          <t>pagado</t>
        </is>
      </c>
      <c r="F7726" s="23" t="n">
        <v>46280</v>
      </c>
      <c r="G7726" s="24">
        <f>F7726-DATE(2026,8,31)</f>
        <v>15</v>
      </c>
      <c r="H7726" s="25" t="n">
        <v>34016606</v>
      </c>
      <c r="I7726" t="inlineStr">
        <is>
          <t>entidad-dia</t>
        </is>
      </c>
    </row>
    <row r="7727">
      <c r="A7727" t="inlineStr">
        <is>
          <t>PRAGMA</t>
        </is>
      </c>
      <c r="B7727" t="inlineStr">
        <is>
          <t>M2</t>
        </is>
      </c>
      <c r="C7727" t="inlineStr">
        <is>
          <t>Pasto</t>
        </is>
      </c>
      <c r="D7727" t="inlineStr">
        <is>
          <t>8220</t>
        </is>
      </c>
      <c r="E7727" t="inlineStr">
        <is>
          <t>cash_in</t>
        </is>
      </c>
      <c r="F7727" s="23" t="n">
        <v>46280</v>
      </c>
      <c r="G7727" s="24">
        <f>F7727-DATE(2026,8,31)</f>
        <v>15</v>
      </c>
      <c r="H7727" s="25" t="n">
        <v>115341702</v>
      </c>
      <c r="I7727" t="inlineStr">
        <is>
          <t>entidad-dia</t>
        </is>
      </c>
    </row>
    <row r="7728">
      <c r="A7728" t="inlineStr">
        <is>
          <t>PRAGMA</t>
        </is>
      </c>
      <c r="B7728" t="inlineStr">
        <is>
          <t>M2</t>
        </is>
      </c>
      <c r="C7728" t="inlineStr">
        <is>
          <t>Pasto</t>
        </is>
      </c>
      <c r="D7728" t="inlineStr">
        <is>
          <t>8221</t>
        </is>
      </c>
      <c r="E7728" t="inlineStr">
        <is>
          <t>pagado</t>
        </is>
      </c>
      <c r="F7728" s="23" t="n">
        <v>46266</v>
      </c>
      <c r="G7728" s="24">
        <f>F7728-DATE(2026,8,31)</f>
        <v>1</v>
      </c>
      <c r="H7728" s="25" t="n">
        <v>34642090</v>
      </c>
      <c r="I7728" t="inlineStr">
        <is>
          <t>entidad-dia</t>
        </is>
      </c>
    </row>
    <row r="7729">
      <c r="A7729" t="inlineStr">
        <is>
          <t>PRAGMA</t>
        </is>
      </c>
      <c r="B7729" t="inlineStr">
        <is>
          <t>M2</t>
        </is>
      </c>
      <c r="C7729" t="inlineStr">
        <is>
          <t>Pasto</t>
        </is>
      </c>
      <c r="D7729" t="inlineStr">
        <is>
          <t>8221</t>
        </is>
      </c>
      <c r="E7729" t="inlineStr">
        <is>
          <t>cash_in</t>
        </is>
      </c>
      <c r="F7729" s="23" t="n">
        <v>46266</v>
      </c>
      <c r="G7729" s="24">
        <f>F7729-DATE(2026,8,31)</f>
        <v>1</v>
      </c>
      <c r="H7729" s="25" t="n">
        <v>168824316</v>
      </c>
      <c r="I7729" t="inlineStr">
        <is>
          <t>entidad-dia</t>
        </is>
      </c>
    </row>
    <row r="7730">
      <c r="A7730" t="inlineStr">
        <is>
          <t>PRAGMA</t>
        </is>
      </c>
      <c r="B7730" t="inlineStr">
        <is>
          <t>M2</t>
        </is>
      </c>
      <c r="C7730" t="inlineStr">
        <is>
          <t>Pasto</t>
        </is>
      </c>
      <c r="D7730" t="inlineStr">
        <is>
          <t>8221</t>
        </is>
      </c>
      <c r="E7730" t="inlineStr">
        <is>
          <t>pagado</t>
        </is>
      </c>
      <c r="F7730" s="23" t="n">
        <v>46267</v>
      </c>
      <c r="G7730" s="24">
        <f>F7730-DATE(2026,8,31)</f>
        <v>2</v>
      </c>
      <c r="H7730" s="25" t="n">
        <v>28891771</v>
      </c>
      <c r="I7730" t="inlineStr">
        <is>
          <t>entidad-dia</t>
        </is>
      </c>
    </row>
    <row r="7731">
      <c r="A7731" t="inlineStr">
        <is>
          <t>PRAGMA</t>
        </is>
      </c>
      <c r="B7731" t="inlineStr">
        <is>
          <t>M2</t>
        </is>
      </c>
      <c r="C7731" t="inlineStr">
        <is>
          <t>Pasto</t>
        </is>
      </c>
      <c r="D7731" t="inlineStr">
        <is>
          <t>8221</t>
        </is>
      </c>
      <c r="E7731" t="inlineStr">
        <is>
          <t>cash_in</t>
        </is>
      </c>
      <c r="F7731" s="23" t="n">
        <v>46267</v>
      </c>
      <c r="G7731" s="24">
        <f>F7731-DATE(2026,8,31)</f>
        <v>2</v>
      </c>
      <c r="H7731" s="25" t="n">
        <v>141734142</v>
      </c>
      <c r="I7731" t="inlineStr">
        <is>
          <t>entidad-dia</t>
        </is>
      </c>
    </row>
    <row r="7732">
      <c r="A7732" t="inlineStr">
        <is>
          <t>PRAGMA</t>
        </is>
      </c>
      <c r="B7732" t="inlineStr">
        <is>
          <t>M2</t>
        </is>
      </c>
      <c r="C7732" t="inlineStr">
        <is>
          <t>Pasto</t>
        </is>
      </c>
      <c r="D7732" t="inlineStr">
        <is>
          <t>8221</t>
        </is>
      </c>
      <c r="E7732" t="inlineStr">
        <is>
          <t>pagado</t>
        </is>
      </c>
      <c r="F7732" s="23" t="n">
        <v>46268</v>
      </c>
      <c r="G7732" s="24">
        <f>F7732-DATE(2026,8,31)</f>
        <v>3</v>
      </c>
      <c r="H7732" s="25" t="n">
        <v>27141522</v>
      </c>
      <c r="I7732" t="inlineStr">
        <is>
          <t>entidad-dia</t>
        </is>
      </c>
    </row>
    <row r="7733">
      <c r="A7733" t="inlineStr">
        <is>
          <t>PRAGMA</t>
        </is>
      </c>
      <c r="B7733" t="inlineStr">
        <is>
          <t>M2</t>
        </is>
      </c>
      <c r="C7733" t="inlineStr">
        <is>
          <t>Pasto</t>
        </is>
      </c>
      <c r="D7733" t="inlineStr">
        <is>
          <t>8221</t>
        </is>
      </c>
      <c r="E7733" t="inlineStr">
        <is>
          <t>cash_in</t>
        </is>
      </c>
      <c r="F7733" s="23" t="n">
        <v>46268</v>
      </c>
      <c r="G7733" s="24">
        <f>F7733-DATE(2026,8,31)</f>
        <v>3</v>
      </c>
      <c r="H7733" s="25" t="n">
        <v>145628611</v>
      </c>
      <c r="I7733" t="inlineStr">
        <is>
          <t>entidad-dia</t>
        </is>
      </c>
    </row>
    <row r="7734">
      <c r="A7734" t="inlineStr">
        <is>
          <t>PRAGMA</t>
        </is>
      </c>
      <c r="B7734" t="inlineStr">
        <is>
          <t>M2</t>
        </is>
      </c>
      <c r="C7734" t="inlineStr">
        <is>
          <t>Pasto</t>
        </is>
      </c>
      <c r="D7734" t="inlineStr">
        <is>
          <t>8221</t>
        </is>
      </c>
      <c r="E7734" t="inlineStr">
        <is>
          <t>pagado</t>
        </is>
      </c>
      <c r="F7734" s="23" t="n">
        <v>46269</v>
      </c>
      <c r="G7734" s="24">
        <f>F7734-DATE(2026,8,31)</f>
        <v>4</v>
      </c>
      <c r="H7734" s="25" t="n">
        <v>25487893</v>
      </c>
      <c r="I7734" t="inlineStr">
        <is>
          <t>entidad-dia</t>
        </is>
      </c>
    </row>
    <row r="7735">
      <c r="A7735" t="inlineStr">
        <is>
          <t>PRAGMA</t>
        </is>
      </c>
      <c r="B7735" t="inlineStr">
        <is>
          <t>M2</t>
        </is>
      </c>
      <c r="C7735" t="inlineStr">
        <is>
          <t>Pasto</t>
        </is>
      </c>
      <c r="D7735" t="inlineStr">
        <is>
          <t>8221</t>
        </is>
      </c>
      <c r="E7735" t="inlineStr">
        <is>
          <t>cash_in</t>
        </is>
      </c>
      <c r="F7735" s="23" t="n">
        <v>46269</v>
      </c>
      <c r="G7735" s="24">
        <f>F7735-DATE(2026,8,31)</f>
        <v>4</v>
      </c>
      <c r="H7735" s="25" t="n">
        <v>152281935</v>
      </c>
      <c r="I7735" t="inlineStr">
        <is>
          <t>entidad-dia</t>
        </is>
      </c>
    </row>
    <row r="7736">
      <c r="A7736" t="inlineStr">
        <is>
          <t>PRAGMA</t>
        </is>
      </c>
      <c r="B7736" t="inlineStr">
        <is>
          <t>M2</t>
        </is>
      </c>
      <c r="C7736" t="inlineStr">
        <is>
          <t>Pasto</t>
        </is>
      </c>
      <c r="D7736" t="inlineStr">
        <is>
          <t>8221</t>
        </is>
      </c>
      <c r="E7736" t="inlineStr">
        <is>
          <t>pagado</t>
        </is>
      </c>
      <c r="F7736" s="23" t="n">
        <v>46270</v>
      </c>
      <c r="G7736" s="24">
        <f>F7736-DATE(2026,8,31)</f>
        <v>5</v>
      </c>
      <c r="H7736" s="25" t="n">
        <v>23206476</v>
      </c>
      <c r="I7736" t="inlineStr">
        <is>
          <t>entidad-dia</t>
        </is>
      </c>
    </row>
    <row r="7737">
      <c r="A7737" t="inlineStr">
        <is>
          <t>PRAGMA</t>
        </is>
      </c>
      <c r="B7737" t="inlineStr">
        <is>
          <t>M2</t>
        </is>
      </c>
      <c r="C7737" t="inlineStr">
        <is>
          <t>Pasto</t>
        </is>
      </c>
      <c r="D7737" t="inlineStr">
        <is>
          <t>8221</t>
        </is>
      </c>
      <c r="E7737" t="inlineStr">
        <is>
          <t>cash_in</t>
        </is>
      </c>
      <c r="F7737" s="23" t="n">
        <v>46270</v>
      </c>
      <c r="G7737" s="24">
        <f>F7737-DATE(2026,8,31)</f>
        <v>5</v>
      </c>
      <c r="H7737" s="25" t="n">
        <v>138058729</v>
      </c>
      <c r="I7737" t="inlineStr">
        <is>
          <t>entidad-dia</t>
        </is>
      </c>
    </row>
    <row r="7738">
      <c r="A7738" t="inlineStr">
        <is>
          <t>PRAGMA</t>
        </is>
      </c>
      <c r="B7738" t="inlineStr">
        <is>
          <t>M2</t>
        </is>
      </c>
      <c r="C7738" t="inlineStr">
        <is>
          <t>Pasto</t>
        </is>
      </c>
      <c r="D7738" t="inlineStr">
        <is>
          <t>8221</t>
        </is>
      </c>
      <c r="E7738" t="inlineStr">
        <is>
          <t>pagado</t>
        </is>
      </c>
      <c r="F7738" s="23" t="n">
        <v>46271</v>
      </c>
      <c r="G7738" s="24">
        <f>F7738-DATE(2026,8,31)</f>
        <v>6</v>
      </c>
      <c r="H7738" s="25" t="n">
        <v>6640656</v>
      </c>
      <c r="I7738" t="inlineStr">
        <is>
          <t>entidad-dia</t>
        </is>
      </c>
    </row>
    <row r="7739">
      <c r="A7739" t="inlineStr">
        <is>
          <t>PRAGMA</t>
        </is>
      </c>
      <c r="B7739" t="inlineStr">
        <is>
          <t>M2</t>
        </is>
      </c>
      <c r="C7739" t="inlineStr">
        <is>
          <t>Pasto</t>
        </is>
      </c>
      <c r="D7739" t="inlineStr">
        <is>
          <t>8221</t>
        </is>
      </c>
      <c r="E7739" t="inlineStr">
        <is>
          <t>cash_in</t>
        </is>
      </c>
      <c r="F7739" s="23" t="n">
        <v>46271</v>
      </c>
      <c r="G7739" s="24">
        <f>F7739-DATE(2026,8,31)</f>
        <v>6</v>
      </c>
      <c r="H7739" s="25" t="n">
        <v>44285909</v>
      </c>
      <c r="I7739" t="inlineStr">
        <is>
          <t>entidad-dia</t>
        </is>
      </c>
    </row>
    <row r="7740">
      <c r="A7740" t="inlineStr">
        <is>
          <t>PRAGMA</t>
        </is>
      </c>
      <c r="B7740" t="inlineStr">
        <is>
          <t>M2</t>
        </is>
      </c>
      <c r="C7740" t="inlineStr">
        <is>
          <t>Pasto</t>
        </is>
      </c>
      <c r="D7740" t="inlineStr">
        <is>
          <t>8221</t>
        </is>
      </c>
      <c r="E7740" t="inlineStr">
        <is>
          <t>pagado</t>
        </is>
      </c>
      <c r="F7740" s="23" t="n">
        <v>46272</v>
      </c>
      <c r="G7740" s="24">
        <f>F7740-DATE(2026,8,31)</f>
        <v>7</v>
      </c>
      <c r="H7740" s="25" t="n">
        <v>22704253</v>
      </c>
      <c r="I7740" t="inlineStr">
        <is>
          <t>entidad-dia</t>
        </is>
      </c>
    </row>
    <row r="7741">
      <c r="A7741" t="inlineStr">
        <is>
          <t>PRAGMA</t>
        </is>
      </c>
      <c r="B7741" t="inlineStr">
        <is>
          <t>M2</t>
        </is>
      </c>
      <c r="C7741" t="inlineStr">
        <is>
          <t>Pasto</t>
        </is>
      </c>
      <c r="D7741" t="inlineStr">
        <is>
          <t>8221</t>
        </is>
      </c>
      <c r="E7741" t="inlineStr">
        <is>
          <t>cash_in</t>
        </is>
      </c>
      <c r="F7741" s="23" t="n">
        <v>46272</v>
      </c>
      <c r="G7741" s="24">
        <f>F7741-DATE(2026,8,31)</f>
        <v>7</v>
      </c>
      <c r="H7741" s="25" t="n">
        <v>173968772</v>
      </c>
      <c r="I7741" t="inlineStr">
        <is>
          <t>entidad-dia</t>
        </is>
      </c>
    </row>
    <row r="7742">
      <c r="A7742" t="inlineStr">
        <is>
          <t>PRAGMA</t>
        </is>
      </c>
      <c r="B7742" t="inlineStr">
        <is>
          <t>M2</t>
        </is>
      </c>
      <c r="C7742" t="inlineStr">
        <is>
          <t>Pasto</t>
        </is>
      </c>
      <c r="D7742" t="inlineStr">
        <is>
          <t>8221</t>
        </is>
      </c>
      <c r="E7742" t="inlineStr">
        <is>
          <t>pagado</t>
        </is>
      </c>
      <c r="F7742" s="23" t="n">
        <v>46273</v>
      </c>
      <c r="G7742" s="24">
        <f>F7742-DATE(2026,8,31)</f>
        <v>8</v>
      </c>
      <c r="H7742" s="25" t="n">
        <v>21573779</v>
      </c>
      <c r="I7742" t="inlineStr">
        <is>
          <t>entidad-dia</t>
        </is>
      </c>
    </row>
    <row r="7743">
      <c r="A7743" t="inlineStr">
        <is>
          <t>PRAGMA</t>
        </is>
      </c>
      <c r="B7743" t="inlineStr">
        <is>
          <t>M2</t>
        </is>
      </c>
      <c r="C7743" t="inlineStr">
        <is>
          <t>Pasto</t>
        </is>
      </c>
      <c r="D7743" t="inlineStr">
        <is>
          <t>8221</t>
        </is>
      </c>
      <c r="E7743" t="inlineStr">
        <is>
          <t>cash_in</t>
        </is>
      </c>
      <c r="F7743" s="23" t="n">
        <v>46273</v>
      </c>
      <c r="G7743" s="24">
        <f>F7743-DATE(2026,8,31)</f>
        <v>8</v>
      </c>
      <c r="H7743" s="25" t="n">
        <v>152725186</v>
      </c>
      <c r="I7743" t="inlineStr">
        <is>
          <t>entidad-dia</t>
        </is>
      </c>
    </row>
    <row r="7744">
      <c r="A7744" t="inlineStr">
        <is>
          <t>PRAGMA</t>
        </is>
      </c>
      <c r="B7744" t="inlineStr">
        <is>
          <t>M2</t>
        </is>
      </c>
      <c r="C7744" t="inlineStr">
        <is>
          <t>Pasto</t>
        </is>
      </c>
      <c r="D7744" t="inlineStr">
        <is>
          <t>8221</t>
        </is>
      </c>
      <c r="E7744" t="inlineStr">
        <is>
          <t>pagado</t>
        </is>
      </c>
      <c r="F7744" s="23" t="n">
        <v>46274</v>
      </c>
      <c r="G7744" s="24">
        <f>F7744-DATE(2026,8,31)</f>
        <v>9</v>
      </c>
      <c r="H7744" s="25" t="n">
        <v>19785182</v>
      </c>
      <c r="I7744" t="inlineStr">
        <is>
          <t>entidad-dia</t>
        </is>
      </c>
    </row>
    <row r="7745">
      <c r="A7745" t="inlineStr">
        <is>
          <t>PRAGMA</t>
        </is>
      </c>
      <c r="B7745" t="inlineStr">
        <is>
          <t>M2</t>
        </is>
      </c>
      <c r="C7745" t="inlineStr">
        <is>
          <t>Pasto</t>
        </is>
      </c>
      <c r="D7745" t="inlineStr">
        <is>
          <t>8221</t>
        </is>
      </c>
      <c r="E7745" t="inlineStr">
        <is>
          <t>cash_in</t>
        </is>
      </c>
      <c r="F7745" s="23" t="n">
        <v>46274</v>
      </c>
      <c r="G7745" s="24">
        <f>F7745-DATE(2026,8,31)</f>
        <v>9</v>
      </c>
      <c r="H7745" s="25" t="n">
        <v>137452876</v>
      </c>
      <c r="I7745" t="inlineStr">
        <is>
          <t>entidad-dia</t>
        </is>
      </c>
    </row>
    <row r="7746">
      <c r="A7746" t="inlineStr">
        <is>
          <t>PRAGMA</t>
        </is>
      </c>
      <c r="B7746" t="inlineStr">
        <is>
          <t>M2</t>
        </is>
      </c>
      <c r="C7746" t="inlineStr">
        <is>
          <t>Pasto</t>
        </is>
      </c>
      <c r="D7746" t="inlineStr">
        <is>
          <t>8221</t>
        </is>
      </c>
      <c r="E7746" t="inlineStr">
        <is>
          <t>pagado</t>
        </is>
      </c>
      <c r="F7746" s="23" t="n">
        <v>46275</v>
      </c>
      <c r="G7746" s="24">
        <f>F7746-DATE(2026,8,31)</f>
        <v>10</v>
      </c>
      <c r="H7746" s="25" t="n">
        <v>19466233</v>
      </c>
      <c r="I7746" t="inlineStr">
        <is>
          <t>entidad-dia</t>
        </is>
      </c>
    </row>
    <row r="7747">
      <c r="A7747" t="inlineStr">
        <is>
          <t>PRAGMA</t>
        </is>
      </c>
      <c r="B7747" t="inlineStr">
        <is>
          <t>M2</t>
        </is>
      </c>
      <c r="C7747" t="inlineStr">
        <is>
          <t>Pasto</t>
        </is>
      </c>
      <c r="D7747" t="inlineStr">
        <is>
          <t>8221</t>
        </is>
      </c>
      <c r="E7747" t="inlineStr">
        <is>
          <t>cash_in</t>
        </is>
      </c>
      <c r="F7747" s="23" t="n">
        <v>46275</v>
      </c>
      <c r="G7747" s="24">
        <f>F7747-DATE(2026,8,31)</f>
        <v>10</v>
      </c>
      <c r="H7747" s="25" t="n">
        <v>137798499</v>
      </c>
      <c r="I7747" t="inlineStr">
        <is>
          <t>entidad-dia</t>
        </is>
      </c>
    </row>
    <row r="7748">
      <c r="A7748" t="inlineStr">
        <is>
          <t>PRAGMA</t>
        </is>
      </c>
      <c r="B7748" t="inlineStr">
        <is>
          <t>M2</t>
        </is>
      </c>
      <c r="C7748" t="inlineStr">
        <is>
          <t>Pasto</t>
        </is>
      </c>
      <c r="D7748" t="inlineStr">
        <is>
          <t>8221</t>
        </is>
      </c>
      <c r="E7748" t="inlineStr">
        <is>
          <t>pagado</t>
        </is>
      </c>
      <c r="F7748" s="23" t="n">
        <v>46276</v>
      </c>
      <c r="G7748" s="24">
        <f>F7748-DATE(2026,8,31)</f>
        <v>11</v>
      </c>
      <c r="H7748" s="25" t="n">
        <v>18467272</v>
      </c>
      <c r="I7748" t="inlineStr">
        <is>
          <t>entidad-dia</t>
        </is>
      </c>
    </row>
    <row r="7749">
      <c r="A7749" t="inlineStr">
        <is>
          <t>PRAGMA</t>
        </is>
      </c>
      <c r="B7749" t="inlineStr">
        <is>
          <t>M2</t>
        </is>
      </c>
      <c r="C7749" t="inlineStr">
        <is>
          <t>Pasto</t>
        </is>
      </c>
      <c r="D7749" t="inlineStr">
        <is>
          <t>8221</t>
        </is>
      </c>
      <c r="E7749" t="inlineStr">
        <is>
          <t>cash_in</t>
        </is>
      </c>
      <c r="F7749" s="23" t="n">
        <v>46276</v>
      </c>
      <c r="G7749" s="24">
        <f>F7749-DATE(2026,8,31)</f>
        <v>11</v>
      </c>
      <c r="H7749" s="25" t="n">
        <v>142829442</v>
      </c>
      <c r="I7749" t="inlineStr">
        <is>
          <t>entidad-dia</t>
        </is>
      </c>
    </row>
    <row r="7750">
      <c r="A7750" t="inlineStr">
        <is>
          <t>PRAGMA</t>
        </is>
      </c>
      <c r="B7750" t="inlineStr">
        <is>
          <t>M2</t>
        </is>
      </c>
      <c r="C7750" t="inlineStr">
        <is>
          <t>Pasto</t>
        </is>
      </c>
      <c r="D7750" t="inlineStr">
        <is>
          <t>8221</t>
        </is>
      </c>
      <c r="E7750" t="inlineStr">
        <is>
          <t>pagado</t>
        </is>
      </c>
      <c r="F7750" s="23" t="n">
        <v>46277</v>
      </c>
      <c r="G7750" s="24">
        <f>F7750-DATE(2026,8,31)</f>
        <v>12</v>
      </c>
      <c r="H7750" s="25" t="n">
        <v>17627061</v>
      </c>
      <c r="I7750" t="inlineStr">
        <is>
          <t>entidad-dia</t>
        </is>
      </c>
    </row>
    <row r="7751">
      <c r="A7751" t="inlineStr">
        <is>
          <t>PRAGMA</t>
        </is>
      </c>
      <c r="B7751" t="inlineStr">
        <is>
          <t>M2</t>
        </is>
      </c>
      <c r="C7751" t="inlineStr">
        <is>
          <t>Pasto</t>
        </is>
      </c>
      <c r="D7751" t="inlineStr">
        <is>
          <t>8221</t>
        </is>
      </c>
      <c r="E7751" t="inlineStr">
        <is>
          <t>cash_in</t>
        </is>
      </c>
      <c r="F7751" s="23" t="n">
        <v>46277</v>
      </c>
      <c r="G7751" s="24">
        <f>F7751-DATE(2026,8,31)</f>
        <v>12</v>
      </c>
      <c r="H7751" s="25" t="n">
        <v>126975708</v>
      </c>
      <c r="I7751" t="inlineStr">
        <is>
          <t>entidad-dia</t>
        </is>
      </c>
    </row>
    <row r="7752">
      <c r="A7752" t="inlineStr">
        <is>
          <t>PRAGMA</t>
        </is>
      </c>
      <c r="B7752" t="inlineStr">
        <is>
          <t>M2</t>
        </is>
      </c>
      <c r="C7752" t="inlineStr">
        <is>
          <t>Pasto</t>
        </is>
      </c>
      <c r="D7752" t="inlineStr">
        <is>
          <t>8221</t>
        </is>
      </c>
      <c r="E7752" t="inlineStr">
        <is>
          <t>pagado</t>
        </is>
      </c>
      <c r="F7752" s="23" t="n">
        <v>46278</v>
      </c>
      <c r="G7752" s="24">
        <f>F7752-DATE(2026,8,31)</f>
        <v>13</v>
      </c>
      <c r="H7752" s="25" t="n">
        <v>4831447</v>
      </c>
      <c r="I7752" t="inlineStr">
        <is>
          <t>entidad-dia</t>
        </is>
      </c>
    </row>
    <row r="7753">
      <c r="A7753" t="inlineStr">
        <is>
          <t>PRAGMA</t>
        </is>
      </c>
      <c r="B7753" t="inlineStr">
        <is>
          <t>M2</t>
        </is>
      </c>
      <c r="C7753" t="inlineStr">
        <is>
          <t>Pasto</t>
        </is>
      </c>
      <c r="D7753" t="inlineStr">
        <is>
          <t>8221</t>
        </is>
      </c>
      <c r="E7753" t="inlineStr">
        <is>
          <t>cash_in</t>
        </is>
      </c>
      <c r="F7753" s="23" t="n">
        <v>46278</v>
      </c>
      <c r="G7753" s="24">
        <f>F7753-DATE(2026,8,31)</f>
        <v>13</v>
      </c>
      <c r="H7753" s="25" t="n">
        <v>38041803</v>
      </c>
      <c r="I7753" t="inlineStr">
        <is>
          <t>entidad-dia</t>
        </is>
      </c>
    </row>
    <row r="7754">
      <c r="A7754" t="inlineStr">
        <is>
          <t>PRAGMA</t>
        </is>
      </c>
      <c r="B7754" t="inlineStr">
        <is>
          <t>M2</t>
        </is>
      </c>
      <c r="C7754" t="inlineStr">
        <is>
          <t>Pasto</t>
        </is>
      </c>
      <c r="D7754" t="inlineStr">
        <is>
          <t>8221</t>
        </is>
      </c>
      <c r="E7754" t="inlineStr">
        <is>
          <t>pagado</t>
        </is>
      </c>
      <c r="F7754" s="23" t="n">
        <v>46279</v>
      </c>
      <c r="G7754" s="24">
        <f>F7754-DATE(2026,8,31)</f>
        <v>14</v>
      </c>
      <c r="H7754" s="25" t="n">
        <v>19284359</v>
      </c>
      <c r="I7754" t="inlineStr">
        <is>
          <t>entidad-dia</t>
        </is>
      </c>
    </row>
    <row r="7755">
      <c r="A7755" t="inlineStr">
        <is>
          <t>PRAGMA</t>
        </is>
      </c>
      <c r="B7755" t="inlineStr">
        <is>
          <t>M2</t>
        </is>
      </c>
      <c r="C7755" t="inlineStr">
        <is>
          <t>Pasto</t>
        </is>
      </c>
      <c r="D7755" t="inlineStr">
        <is>
          <t>8221</t>
        </is>
      </c>
      <c r="E7755" t="inlineStr">
        <is>
          <t>cash_in</t>
        </is>
      </c>
      <c r="F7755" s="23" t="n">
        <v>46279</v>
      </c>
      <c r="G7755" s="24">
        <f>F7755-DATE(2026,8,31)</f>
        <v>14</v>
      </c>
      <c r="H7755" s="25" t="n">
        <v>144124968</v>
      </c>
      <c r="I7755" t="inlineStr">
        <is>
          <t>entidad-dia</t>
        </is>
      </c>
    </row>
    <row r="7756">
      <c r="A7756" t="inlineStr">
        <is>
          <t>PRAGMA</t>
        </is>
      </c>
      <c r="B7756" t="inlineStr">
        <is>
          <t>M2</t>
        </is>
      </c>
      <c r="C7756" t="inlineStr">
        <is>
          <t>Pasto</t>
        </is>
      </c>
      <c r="D7756" t="inlineStr">
        <is>
          <t>8221</t>
        </is>
      </c>
      <c r="E7756" t="inlineStr">
        <is>
          <t>pagado</t>
        </is>
      </c>
      <c r="F7756" s="23" t="n">
        <v>46280</v>
      </c>
      <c r="G7756" s="24">
        <f>F7756-DATE(2026,8,31)</f>
        <v>15</v>
      </c>
      <c r="H7756" s="25" t="n">
        <v>25659179</v>
      </c>
      <c r="I7756" t="inlineStr">
        <is>
          <t>entidad-dia</t>
        </is>
      </c>
    </row>
    <row r="7757">
      <c r="A7757" t="inlineStr">
        <is>
          <t>PRAGMA</t>
        </is>
      </c>
      <c r="B7757" t="inlineStr">
        <is>
          <t>M2</t>
        </is>
      </c>
      <c r="C7757" t="inlineStr">
        <is>
          <t>Pasto</t>
        </is>
      </c>
      <c r="D7757" t="inlineStr">
        <is>
          <t>8221</t>
        </is>
      </c>
      <c r="E7757" t="inlineStr">
        <is>
          <t>cash_in</t>
        </is>
      </c>
      <c r="F7757" s="23" t="n">
        <v>46280</v>
      </c>
      <c r="G7757" s="24">
        <f>F7757-DATE(2026,8,31)</f>
        <v>15</v>
      </c>
      <c r="H7757" s="25" t="n">
        <v>152525101</v>
      </c>
      <c r="I7757" t="inlineStr">
        <is>
          <t>entidad-dia</t>
        </is>
      </c>
    </row>
    <row r="7758">
      <c r="A7758" t="inlineStr">
        <is>
          <t>PRAGMA</t>
        </is>
      </c>
      <c r="B7758" t="inlineStr">
        <is>
          <t>M2</t>
        </is>
      </c>
      <c r="C7758" t="inlineStr">
        <is>
          <t>Cali</t>
        </is>
      </c>
      <c r="D7758" t="inlineStr">
        <is>
          <t>8394</t>
        </is>
      </c>
      <c r="E7758" t="inlineStr">
        <is>
          <t>pagado</t>
        </is>
      </c>
      <c r="F7758" s="23" t="n">
        <v>46266</v>
      </c>
      <c r="G7758" s="24">
        <f>F7758-DATE(2026,8,31)</f>
        <v>1</v>
      </c>
      <c r="H7758" s="25" t="n">
        <v>29395992</v>
      </c>
      <c r="I7758" t="inlineStr">
        <is>
          <t>entidad-dia</t>
        </is>
      </c>
    </row>
    <row r="7759">
      <c r="A7759" t="inlineStr">
        <is>
          <t>PRAGMA</t>
        </is>
      </c>
      <c r="B7759" t="inlineStr">
        <is>
          <t>M2</t>
        </is>
      </c>
      <c r="C7759" t="inlineStr">
        <is>
          <t>Cali</t>
        </is>
      </c>
      <c r="D7759" t="inlineStr">
        <is>
          <t>8394</t>
        </is>
      </c>
      <c r="E7759" t="inlineStr">
        <is>
          <t>cash_in</t>
        </is>
      </c>
      <c r="F7759" s="23" t="n">
        <v>46266</v>
      </c>
      <c r="G7759" s="24">
        <f>F7759-DATE(2026,8,31)</f>
        <v>1</v>
      </c>
      <c r="H7759" s="25" t="n">
        <v>143510380</v>
      </c>
      <c r="I7759" t="inlineStr">
        <is>
          <t>entidad-dia</t>
        </is>
      </c>
    </row>
    <row r="7760">
      <c r="A7760" t="inlineStr">
        <is>
          <t>PRAGMA</t>
        </is>
      </c>
      <c r="B7760" t="inlineStr">
        <is>
          <t>M2</t>
        </is>
      </c>
      <c r="C7760" t="inlineStr">
        <is>
          <t>Cali</t>
        </is>
      </c>
      <c r="D7760" t="inlineStr">
        <is>
          <t>8394</t>
        </is>
      </c>
      <c r="E7760" t="inlineStr">
        <is>
          <t>pagado</t>
        </is>
      </c>
      <c r="F7760" s="23" t="n">
        <v>46267</v>
      </c>
      <c r="G7760" s="24">
        <f>F7760-DATE(2026,8,31)</f>
        <v>2</v>
      </c>
      <c r="H7760" s="25" t="n">
        <v>24435928</v>
      </c>
      <c r="I7760" t="inlineStr">
        <is>
          <t>entidad-dia</t>
        </is>
      </c>
    </row>
    <row r="7761">
      <c r="A7761" t="inlineStr">
        <is>
          <t>PRAGMA</t>
        </is>
      </c>
      <c r="B7761" t="inlineStr">
        <is>
          <t>M2</t>
        </is>
      </c>
      <c r="C7761" t="inlineStr">
        <is>
          <t>Cali</t>
        </is>
      </c>
      <c r="D7761" t="inlineStr">
        <is>
          <t>8394</t>
        </is>
      </c>
      <c r="E7761" t="inlineStr">
        <is>
          <t>cash_in</t>
        </is>
      </c>
      <c r="F7761" s="23" t="n">
        <v>46267</v>
      </c>
      <c r="G7761" s="24">
        <f>F7761-DATE(2026,8,31)</f>
        <v>2</v>
      </c>
      <c r="H7761" s="25" t="n">
        <v>125764535</v>
      </c>
      <c r="I7761" t="inlineStr">
        <is>
          <t>entidad-dia</t>
        </is>
      </c>
    </row>
    <row r="7762">
      <c r="A7762" t="inlineStr">
        <is>
          <t>PRAGMA</t>
        </is>
      </c>
      <c r="B7762" t="inlineStr">
        <is>
          <t>M2</t>
        </is>
      </c>
      <c r="C7762" t="inlineStr">
        <is>
          <t>Cali</t>
        </is>
      </c>
      <c r="D7762" t="inlineStr">
        <is>
          <t>8394</t>
        </is>
      </c>
      <c r="E7762" t="inlineStr">
        <is>
          <t>pagado</t>
        </is>
      </c>
      <c r="F7762" s="23" t="n">
        <v>46268</v>
      </c>
      <c r="G7762" s="24">
        <f>F7762-DATE(2026,8,31)</f>
        <v>3</v>
      </c>
      <c r="H7762" s="25" t="n">
        <v>23494368</v>
      </c>
      <c r="I7762" t="inlineStr">
        <is>
          <t>entidad-dia</t>
        </is>
      </c>
    </row>
    <row r="7763">
      <c r="A7763" t="inlineStr">
        <is>
          <t>PRAGMA</t>
        </is>
      </c>
      <c r="B7763" t="inlineStr">
        <is>
          <t>M2</t>
        </is>
      </c>
      <c r="C7763" t="inlineStr">
        <is>
          <t>Cali</t>
        </is>
      </c>
      <c r="D7763" t="inlineStr">
        <is>
          <t>8394</t>
        </is>
      </c>
      <c r="E7763" t="inlineStr">
        <is>
          <t>cash_in</t>
        </is>
      </c>
      <c r="F7763" s="23" t="n">
        <v>46268</v>
      </c>
      <c r="G7763" s="24">
        <f>F7763-DATE(2026,8,31)</f>
        <v>3</v>
      </c>
      <c r="H7763" s="25" t="n">
        <v>123837789</v>
      </c>
      <c r="I7763" t="inlineStr">
        <is>
          <t>entidad-dia</t>
        </is>
      </c>
    </row>
    <row r="7764">
      <c r="A7764" t="inlineStr">
        <is>
          <t>PRAGMA</t>
        </is>
      </c>
      <c r="B7764" t="inlineStr">
        <is>
          <t>M2</t>
        </is>
      </c>
      <c r="C7764" t="inlineStr">
        <is>
          <t>Cali</t>
        </is>
      </c>
      <c r="D7764" t="inlineStr">
        <is>
          <t>8394</t>
        </is>
      </c>
      <c r="E7764" t="inlineStr">
        <is>
          <t>pagado</t>
        </is>
      </c>
      <c r="F7764" s="23" t="n">
        <v>46269</v>
      </c>
      <c r="G7764" s="24">
        <f>F7764-DATE(2026,8,31)</f>
        <v>4</v>
      </c>
      <c r="H7764" s="25" t="n">
        <v>21030178</v>
      </c>
      <c r="I7764" t="inlineStr">
        <is>
          <t>entidad-dia</t>
        </is>
      </c>
    </row>
    <row r="7765">
      <c r="A7765" t="inlineStr">
        <is>
          <t>PRAGMA</t>
        </is>
      </c>
      <c r="B7765" t="inlineStr">
        <is>
          <t>M2</t>
        </is>
      </c>
      <c r="C7765" t="inlineStr">
        <is>
          <t>Cali</t>
        </is>
      </c>
      <c r="D7765" t="inlineStr">
        <is>
          <t>8394</t>
        </is>
      </c>
      <c r="E7765" t="inlineStr">
        <is>
          <t>cash_in</t>
        </is>
      </c>
      <c r="F7765" s="23" t="n">
        <v>46269</v>
      </c>
      <c r="G7765" s="24">
        <f>F7765-DATE(2026,8,31)</f>
        <v>4</v>
      </c>
      <c r="H7765" s="25" t="n">
        <v>125812026</v>
      </c>
      <c r="I7765" t="inlineStr">
        <is>
          <t>entidad-dia</t>
        </is>
      </c>
    </row>
    <row r="7766">
      <c r="A7766" t="inlineStr">
        <is>
          <t>PRAGMA</t>
        </is>
      </c>
      <c r="B7766" t="inlineStr">
        <is>
          <t>M2</t>
        </is>
      </c>
      <c r="C7766" t="inlineStr">
        <is>
          <t>Cali</t>
        </is>
      </c>
      <c r="D7766" t="inlineStr">
        <is>
          <t>8394</t>
        </is>
      </c>
      <c r="E7766" t="inlineStr">
        <is>
          <t>pagado</t>
        </is>
      </c>
      <c r="F7766" s="23" t="n">
        <v>46270</v>
      </c>
      <c r="G7766" s="24">
        <f>F7766-DATE(2026,8,31)</f>
        <v>5</v>
      </c>
      <c r="H7766" s="25" t="n">
        <v>17765955</v>
      </c>
      <c r="I7766" t="inlineStr">
        <is>
          <t>entidad-dia</t>
        </is>
      </c>
    </row>
    <row r="7767">
      <c r="A7767" t="inlineStr">
        <is>
          <t>PRAGMA</t>
        </is>
      </c>
      <c r="B7767" t="inlineStr">
        <is>
          <t>M2</t>
        </is>
      </c>
      <c r="C7767" t="inlineStr">
        <is>
          <t>Cali</t>
        </is>
      </c>
      <c r="D7767" t="inlineStr">
        <is>
          <t>8394</t>
        </is>
      </c>
      <c r="E7767" t="inlineStr">
        <is>
          <t>cash_in</t>
        </is>
      </c>
      <c r="F7767" s="23" t="n">
        <v>46270</v>
      </c>
      <c r="G7767" s="24">
        <f>F7767-DATE(2026,8,31)</f>
        <v>5</v>
      </c>
      <c r="H7767" s="25" t="n">
        <v>119270617</v>
      </c>
      <c r="I7767" t="inlineStr">
        <is>
          <t>entidad-dia</t>
        </is>
      </c>
    </row>
    <row r="7768">
      <c r="A7768" t="inlineStr">
        <is>
          <t>PRAGMA</t>
        </is>
      </c>
      <c r="B7768" t="inlineStr">
        <is>
          <t>M2</t>
        </is>
      </c>
      <c r="C7768" t="inlineStr">
        <is>
          <t>Cali</t>
        </is>
      </c>
      <c r="D7768" t="inlineStr">
        <is>
          <t>8394</t>
        </is>
      </c>
      <c r="E7768" t="inlineStr">
        <is>
          <t>pagado</t>
        </is>
      </c>
      <c r="F7768" s="23" t="n">
        <v>46271</v>
      </c>
      <c r="G7768" s="24">
        <f>F7768-DATE(2026,8,31)</f>
        <v>6</v>
      </c>
      <c r="H7768" s="25" t="n">
        <v>6558825</v>
      </c>
      <c r="I7768" t="inlineStr">
        <is>
          <t>entidad-dia</t>
        </is>
      </c>
    </row>
    <row r="7769">
      <c r="A7769" t="inlineStr">
        <is>
          <t>PRAGMA</t>
        </is>
      </c>
      <c r="B7769" t="inlineStr">
        <is>
          <t>M2</t>
        </is>
      </c>
      <c r="C7769" t="inlineStr">
        <is>
          <t>Cali</t>
        </is>
      </c>
      <c r="D7769" t="inlineStr">
        <is>
          <t>8394</t>
        </is>
      </c>
      <c r="E7769" t="inlineStr">
        <is>
          <t>cash_in</t>
        </is>
      </c>
      <c r="F7769" s="23" t="n">
        <v>46271</v>
      </c>
      <c r="G7769" s="24">
        <f>F7769-DATE(2026,8,31)</f>
        <v>6</v>
      </c>
      <c r="H7769" s="25" t="n">
        <v>63414765</v>
      </c>
      <c r="I7769" t="inlineStr">
        <is>
          <t>entidad-dia</t>
        </is>
      </c>
    </row>
    <row r="7770">
      <c r="A7770" t="inlineStr">
        <is>
          <t>PRAGMA</t>
        </is>
      </c>
      <c r="B7770" t="inlineStr">
        <is>
          <t>M2</t>
        </is>
      </c>
      <c r="C7770" t="inlineStr">
        <is>
          <t>Cali</t>
        </is>
      </c>
      <c r="D7770" t="inlineStr">
        <is>
          <t>8394</t>
        </is>
      </c>
      <c r="E7770" t="inlineStr">
        <is>
          <t>pagado</t>
        </is>
      </c>
      <c r="F7770" s="23" t="n">
        <v>46272</v>
      </c>
      <c r="G7770" s="24">
        <f>F7770-DATE(2026,8,31)</f>
        <v>7</v>
      </c>
      <c r="H7770" s="25" t="n">
        <v>19070087</v>
      </c>
      <c r="I7770" t="inlineStr">
        <is>
          <t>entidad-dia</t>
        </is>
      </c>
    </row>
    <row r="7771">
      <c r="A7771" t="inlineStr">
        <is>
          <t>PRAGMA</t>
        </is>
      </c>
      <c r="B7771" t="inlineStr">
        <is>
          <t>M2</t>
        </is>
      </c>
      <c r="C7771" t="inlineStr">
        <is>
          <t>Cali</t>
        </is>
      </c>
      <c r="D7771" t="inlineStr">
        <is>
          <t>8394</t>
        </is>
      </c>
      <c r="E7771" t="inlineStr">
        <is>
          <t>cash_in</t>
        </is>
      </c>
      <c r="F7771" s="23" t="n">
        <v>46272</v>
      </c>
      <c r="G7771" s="24">
        <f>F7771-DATE(2026,8,31)</f>
        <v>7</v>
      </c>
      <c r="H7771" s="25" t="n">
        <v>140179479</v>
      </c>
      <c r="I7771" t="inlineStr">
        <is>
          <t>entidad-dia</t>
        </is>
      </c>
    </row>
    <row r="7772">
      <c r="A7772" t="inlineStr">
        <is>
          <t>PRAGMA</t>
        </is>
      </c>
      <c r="B7772" t="inlineStr">
        <is>
          <t>M2</t>
        </is>
      </c>
      <c r="C7772" t="inlineStr">
        <is>
          <t>Cali</t>
        </is>
      </c>
      <c r="D7772" t="inlineStr">
        <is>
          <t>8394</t>
        </is>
      </c>
      <c r="E7772" t="inlineStr">
        <is>
          <t>pagado</t>
        </is>
      </c>
      <c r="F7772" s="23" t="n">
        <v>46273</v>
      </c>
      <c r="G7772" s="24">
        <f>F7772-DATE(2026,8,31)</f>
        <v>8</v>
      </c>
      <c r="H7772" s="25" t="n">
        <v>16749531</v>
      </c>
      <c r="I7772" t="inlineStr">
        <is>
          <t>entidad-dia</t>
        </is>
      </c>
    </row>
    <row r="7773">
      <c r="A7773" t="inlineStr">
        <is>
          <t>PRAGMA</t>
        </is>
      </c>
      <c r="B7773" t="inlineStr">
        <is>
          <t>M2</t>
        </is>
      </c>
      <c r="C7773" t="inlineStr">
        <is>
          <t>Cali</t>
        </is>
      </c>
      <c r="D7773" t="inlineStr">
        <is>
          <t>8394</t>
        </is>
      </c>
      <c r="E7773" t="inlineStr">
        <is>
          <t>cash_in</t>
        </is>
      </c>
      <c r="F7773" s="23" t="n">
        <v>46273</v>
      </c>
      <c r="G7773" s="24">
        <f>F7773-DATE(2026,8,31)</f>
        <v>8</v>
      </c>
      <c r="H7773" s="25" t="n">
        <v>126153556</v>
      </c>
      <c r="I7773" t="inlineStr">
        <is>
          <t>entidad-dia</t>
        </is>
      </c>
    </row>
    <row r="7774">
      <c r="A7774" t="inlineStr">
        <is>
          <t>PRAGMA</t>
        </is>
      </c>
      <c r="B7774" t="inlineStr">
        <is>
          <t>M2</t>
        </is>
      </c>
      <c r="C7774" t="inlineStr">
        <is>
          <t>Cali</t>
        </is>
      </c>
      <c r="D7774" t="inlineStr">
        <is>
          <t>8394</t>
        </is>
      </c>
      <c r="E7774" t="inlineStr">
        <is>
          <t>pagado</t>
        </is>
      </c>
      <c r="F7774" s="23" t="n">
        <v>46274</v>
      </c>
      <c r="G7774" s="24">
        <f>F7774-DATE(2026,8,31)</f>
        <v>9</v>
      </c>
      <c r="H7774" s="25" t="n">
        <v>17730295</v>
      </c>
      <c r="I7774" t="inlineStr">
        <is>
          <t>entidad-dia</t>
        </is>
      </c>
    </row>
    <row r="7775">
      <c r="A7775" t="inlineStr">
        <is>
          <t>PRAGMA</t>
        </is>
      </c>
      <c r="B7775" t="inlineStr">
        <is>
          <t>M2</t>
        </is>
      </c>
      <c r="C7775" t="inlineStr">
        <is>
          <t>Cali</t>
        </is>
      </c>
      <c r="D7775" t="inlineStr">
        <is>
          <t>8394</t>
        </is>
      </c>
      <c r="E7775" t="inlineStr">
        <is>
          <t>cash_in</t>
        </is>
      </c>
      <c r="F7775" s="23" t="n">
        <v>46274</v>
      </c>
      <c r="G7775" s="24">
        <f>F7775-DATE(2026,8,31)</f>
        <v>9</v>
      </c>
      <c r="H7775" s="25" t="n">
        <v>117664673</v>
      </c>
      <c r="I7775" t="inlineStr">
        <is>
          <t>entidad-dia</t>
        </is>
      </c>
    </row>
    <row r="7776">
      <c r="A7776" t="inlineStr">
        <is>
          <t>PRAGMA</t>
        </is>
      </c>
      <c r="B7776" t="inlineStr">
        <is>
          <t>M2</t>
        </is>
      </c>
      <c r="C7776" t="inlineStr">
        <is>
          <t>Cali</t>
        </is>
      </c>
      <c r="D7776" t="inlineStr">
        <is>
          <t>8394</t>
        </is>
      </c>
      <c r="E7776" t="inlineStr">
        <is>
          <t>pagado</t>
        </is>
      </c>
      <c r="F7776" s="23" t="n">
        <v>46275</v>
      </c>
      <c r="G7776" s="24">
        <f>F7776-DATE(2026,8,31)</f>
        <v>10</v>
      </c>
      <c r="H7776" s="25" t="n">
        <v>17197801</v>
      </c>
      <c r="I7776" t="inlineStr">
        <is>
          <t>entidad-dia</t>
        </is>
      </c>
    </row>
    <row r="7777">
      <c r="A7777" t="inlineStr">
        <is>
          <t>PRAGMA</t>
        </is>
      </c>
      <c r="B7777" t="inlineStr">
        <is>
          <t>M2</t>
        </is>
      </c>
      <c r="C7777" t="inlineStr">
        <is>
          <t>Cali</t>
        </is>
      </c>
      <c r="D7777" t="inlineStr">
        <is>
          <t>8394</t>
        </is>
      </c>
      <c r="E7777" t="inlineStr">
        <is>
          <t>cash_in</t>
        </is>
      </c>
      <c r="F7777" s="23" t="n">
        <v>46275</v>
      </c>
      <c r="G7777" s="24">
        <f>F7777-DATE(2026,8,31)</f>
        <v>10</v>
      </c>
      <c r="H7777" s="25" t="n">
        <v>111838045</v>
      </c>
      <c r="I7777" t="inlineStr">
        <is>
          <t>entidad-dia</t>
        </is>
      </c>
    </row>
    <row r="7778">
      <c r="A7778" t="inlineStr">
        <is>
          <t>PRAGMA</t>
        </is>
      </c>
      <c r="B7778" t="inlineStr">
        <is>
          <t>M2</t>
        </is>
      </c>
      <c r="C7778" t="inlineStr">
        <is>
          <t>Cali</t>
        </is>
      </c>
      <c r="D7778" t="inlineStr">
        <is>
          <t>8394</t>
        </is>
      </c>
      <c r="E7778" t="inlineStr">
        <is>
          <t>pagado</t>
        </is>
      </c>
      <c r="F7778" s="23" t="n">
        <v>46276</v>
      </c>
      <c r="G7778" s="24">
        <f>F7778-DATE(2026,8,31)</f>
        <v>11</v>
      </c>
      <c r="H7778" s="25" t="n">
        <v>15649618</v>
      </c>
      <c r="I7778" t="inlineStr">
        <is>
          <t>entidad-dia</t>
        </is>
      </c>
    </row>
    <row r="7779">
      <c r="A7779" t="inlineStr">
        <is>
          <t>PRAGMA</t>
        </is>
      </c>
      <c r="B7779" t="inlineStr">
        <is>
          <t>M2</t>
        </is>
      </c>
      <c r="C7779" t="inlineStr">
        <is>
          <t>Cali</t>
        </is>
      </c>
      <c r="D7779" t="inlineStr">
        <is>
          <t>8394</t>
        </is>
      </c>
      <c r="E7779" t="inlineStr">
        <is>
          <t>cash_in</t>
        </is>
      </c>
      <c r="F7779" s="23" t="n">
        <v>46276</v>
      </c>
      <c r="G7779" s="24">
        <f>F7779-DATE(2026,8,31)</f>
        <v>11</v>
      </c>
      <c r="H7779" s="25" t="n">
        <v>111568355</v>
      </c>
      <c r="I7779" t="inlineStr">
        <is>
          <t>entidad-dia</t>
        </is>
      </c>
    </row>
    <row r="7780">
      <c r="A7780" t="inlineStr">
        <is>
          <t>PRAGMA</t>
        </is>
      </c>
      <c r="B7780" t="inlineStr">
        <is>
          <t>M2</t>
        </is>
      </c>
      <c r="C7780" t="inlineStr">
        <is>
          <t>Cali</t>
        </is>
      </c>
      <c r="D7780" t="inlineStr">
        <is>
          <t>8394</t>
        </is>
      </c>
      <c r="E7780" t="inlineStr">
        <is>
          <t>pagado</t>
        </is>
      </c>
      <c r="F7780" s="23" t="n">
        <v>46277</v>
      </c>
      <c r="G7780" s="24">
        <f>F7780-DATE(2026,8,31)</f>
        <v>12</v>
      </c>
      <c r="H7780" s="25" t="n">
        <v>14725121</v>
      </c>
      <c r="I7780" t="inlineStr">
        <is>
          <t>entidad-dia</t>
        </is>
      </c>
    </row>
    <row r="7781">
      <c r="A7781" t="inlineStr">
        <is>
          <t>PRAGMA</t>
        </is>
      </c>
      <c r="B7781" t="inlineStr">
        <is>
          <t>M2</t>
        </is>
      </c>
      <c r="C7781" t="inlineStr">
        <is>
          <t>Cali</t>
        </is>
      </c>
      <c r="D7781" t="inlineStr">
        <is>
          <t>8394</t>
        </is>
      </c>
      <c r="E7781" t="inlineStr">
        <is>
          <t>cash_in</t>
        </is>
      </c>
      <c r="F7781" s="23" t="n">
        <v>46277</v>
      </c>
      <c r="G7781" s="24">
        <f>F7781-DATE(2026,8,31)</f>
        <v>12</v>
      </c>
      <c r="H7781" s="25" t="n">
        <v>104069376</v>
      </c>
      <c r="I7781" t="inlineStr">
        <is>
          <t>entidad-dia</t>
        </is>
      </c>
    </row>
    <row r="7782">
      <c r="A7782" t="inlineStr">
        <is>
          <t>PRAGMA</t>
        </is>
      </c>
      <c r="B7782" t="inlineStr">
        <is>
          <t>M2</t>
        </is>
      </c>
      <c r="C7782" t="inlineStr">
        <is>
          <t>Cali</t>
        </is>
      </c>
      <c r="D7782" t="inlineStr">
        <is>
          <t>8394</t>
        </is>
      </c>
      <c r="E7782" t="inlineStr">
        <is>
          <t>pagado</t>
        </is>
      </c>
      <c r="F7782" s="23" t="n">
        <v>46278</v>
      </c>
      <c r="G7782" s="24">
        <f>F7782-DATE(2026,8,31)</f>
        <v>13</v>
      </c>
      <c r="H7782" s="25" t="n">
        <v>4637378</v>
      </c>
      <c r="I7782" t="inlineStr">
        <is>
          <t>entidad-dia</t>
        </is>
      </c>
    </row>
    <row r="7783">
      <c r="A7783" t="inlineStr">
        <is>
          <t>PRAGMA</t>
        </is>
      </c>
      <c r="B7783" t="inlineStr">
        <is>
          <t>M2</t>
        </is>
      </c>
      <c r="C7783" t="inlineStr">
        <is>
          <t>Cali</t>
        </is>
      </c>
      <c r="D7783" t="inlineStr">
        <is>
          <t>8394</t>
        </is>
      </c>
      <c r="E7783" t="inlineStr">
        <is>
          <t>cash_in</t>
        </is>
      </c>
      <c r="F7783" s="23" t="n">
        <v>46278</v>
      </c>
      <c r="G7783" s="24">
        <f>F7783-DATE(2026,8,31)</f>
        <v>13</v>
      </c>
      <c r="H7783" s="25" t="n">
        <v>53750139</v>
      </c>
      <c r="I7783" t="inlineStr">
        <is>
          <t>entidad-dia</t>
        </is>
      </c>
    </row>
    <row r="7784">
      <c r="A7784" t="inlineStr">
        <is>
          <t>PRAGMA</t>
        </is>
      </c>
      <c r="B7784" t="inlineStr">
        <is>
          <t>M2</t>
        </is>
      </c>
      <c r="C7784" t="inlineStr">
        <is>
          <t>Cali</t>
        </is>
      </c>
      <c r="D7784" t="inlineStr">
        <is>
          <t>8394</t>
        </is>
      </c>
      <c r="E7784" t="inlineStr">
        <is>
          <t>pagado</t>
        </is>
      </c>
      <c r="F7784" s="23" t="n">
        <v>46279</v>
      </c>
      <c r="G7784" s="24">
        <f>F7784-DATE(2026,8,31)</f>
        <v>14</v>
      </c>
      <c r="H7784" s="25" t="n">
        <v>17620151</v>
      </c>
      <c r="I7784" t="inlineStr">
        <is>
          <t>entidad-dia</t>
        </is>
      </c>
    </row>
    <row r="7785">
      <c r="A7785" t="inlineStr">
        <is>
          <t>PRAGMA</t>
        </is>
      </c>
      <c r="B7785" t="inlineStr">
        <is>
          <t>M2</t>
        </is>
      </c>
      <c r="C7785" t="inlineStr">
        <is>
          <t>Cali</t>
        </is>
      </c>
      <c r="D7785" t="inlineStr">
        <is>
          <t>8394</t>
        </is>
      </c>
      <c r="E7785" t="inlineStr">
        <is>
          <t>cash_in</t>
        </is>
      </c>
      <c r="F7785" s="23" t="n">
        <v>46279</v>
      </c>
      <c r="G7785" s="24">
        <f>F7785-DATE(2026,8,31)</f>
        <v>14</v>
      </c>
      <c r="H7785" s="25" t="n">
        <v>125519571</v>
      </c>
      <c r="I7785" t="inlineStr">
        <is>
          <t>entidad-dia</t>
        </is>
      </c>
    </row>
    <row r="7786">
      <c r="A7786" t="inlineStr">
        <is>
          <t>PRAGMA</t>
        </is>
      </c>
      <c r="B7786" t="inlineStr">
        <is>
          <t>M2</t>
        </is>
      </c>
      <c r="C7786" t="inlineStr">
        <is>
          <t>Cali</t>
        </is>
      </c>
      <c r="D7786" t="inlineStr">
        <is>
          <t>8394</t>
        </is>
      </c>
      <c r="E7786" t="inlineStr">
        <is>
          <t>pagado</t>
        </is>
      </c>
      <c r="F7786" s="23" t="n">
        <v>46280</v>
      </c>
      <c r="G7786" s="24">
        <f>F7786-DATE(2026,8,31)</f>
        <v>15</v>
      </c>
      <c r="H7786" s="25" t="n">
        <v>22657028</v>
      </c>
      <c r="I7786" t="inlineStr">
        <is>
          <t>entidad-dia</t>
        </is>
      </c>
    </row>
    <row r="7787">
      <c r="A7787" t="inlineStr">
        <is>
          <t>PRAGMA</t>
        </is>
      </c>
      <c r="B7787" t="inlineStr">
        <is>
          <t>M2</t>
        </is>
      </c>
      <c r="C7787" t="inlineStr">
        <is>
          <t>Cali</t>
        </is>
      </c>
      <c r="D7787" t="inlineStr">
        <is>
          <t>8394</t>
        </is>
      </c>
      <c r="E7787" t="inlineStr">
        <is>
          <t>cash_in</t>
        </is>
      </c>
      <c r="F7787" s="23" t="n">
        <v>46280</v>
      </c>
      <c r="G7787" s="24">
        <f>F7787-DATE(2026,8,31)</f>
        <v>15</v>
      </c>
      <c r="H7787" s="25" t="n">
        <v>129656212</v>
      </c>
      <c r="I7787" t="inlineStr">
        <is>
          <t>entidad-dia</t>
        </is>
      </c>
    </row>
    <row r="7788">
      <c r="A7788" t="inlineStr">
        <is>
          <t>PRAGMA</t>
        </is>
      </c>
      <c r="B7788" t="inlineStr">
        <is>
          <t>M2</t>
        </is>
      </c>
      <c r="C7788" t="inlineStr">
        <is>
          <t>Cali</t>
        </is>
      </c>
      <c r="D7788" t="inlineStr">
        <is>
          <t>8395</t>
        </is>
      </c>
      <c r="E7788" t="inlineStr">
        <is>
          <t>pagado</t>
        </is>
      </c>
      <c r="F7788" s="23" t="n">
        <v>46266</v>
      </c>
      <c r="G7788" s="24">
        <f>F7788-DATE(2026,8,31)</f>
        <v>1</v>
      </c>
      <c r="H7788" s="25" t="n">
        <v>27878161</v>
      </c>
      <c r="I7788" t="inlineStr">
        <is>
          <t>entidad-dia</t>
        </is>
      </c>
    </row>
    <row r="7789">
      <c r="A7789" t="inlineStr">
        <is>
          <t>PRAGMA</t>
        </is>
      </c>
      <c r="B7789" t="inlineStr">
        <is>
          <t>M2</t>
        </is>
      </c>
      <c r="C7789" t="inlineStr">
        <is>
          <t>Cali</t>
        </is>
      </c>
      <c r="D7789" t="inlineStr">
        <is>
          <t>8395</t>
        </is>
      </c>
      <c r="E7789" t="inlineStr">
        <is>
          <t>cash_in</t>
        </is>
      </c>
      <c r="F7789" s="23" t="n">
        <v>46266</v>
      </c>
      <c r="G7789" s="24">
        <f>F7789-DATE(2026,8,31)</f>
        <v>1</v>
      </c>
      <c r="H7789" s="25" t="n">
        <v>150108111</v>
      </c>
      <c r="I7789" t="inlineStr">
        <is>
          <t>entidad-dia</t>
        </is>
      </c>
    </row>
    <row r="7790">
      <c r="A7790" t="inlineStr">
        <is>
          <t>PRAGMA</t>
        </is>
      </c>
      <c r="B7790" t="inlineStr">
        <is>
          <t>M2</t>
        </is>
      </c>
      <c r="C7790" t="inlineStr">
        <is>
          <t>Cali</t>
        </is>
      </c>
      <c r="D7790" t="inlineStr">
        <is>
          <t>8395</t>
        </is>
      </c>
      <c r="E7790" t="inlineStr">
        <is>
          <t>pagado</t>
        </is>
      </c>
      <c r="F7790" s="23" t="n">
        <v>46267</v>
      </c>
      <c r="G7790" s="24">
        <f>F7790-DATE(2026,8,31)</f>
        <v>2</v>
      </c>
      <c r="H7790" s="25" t="n">
        <v>23098833</v>
      </c>
      <c r="I7790" t="inlineStr">
        <is>
          <t>entidad-dia</t>
        </is>
      </c>
    </row>
    <row r="7791">
      <c r="A7791" t="inlineStr">
        <is>
          <t>PRAGMA</t>
        </is>
      </c>
      <c r="B7791" t="inlineStr">
        <is>
          <t>M2</t>
        </is>
      </c>
      <c r="C7791" t="inlineStr">
        <is>
          <t>Cali</t>
        </is>
      </c>
      <c r="D7791" t="inlineStr">
        <is>
          <t>8395</t>
        </is>
      </c>
      <c r="E7791" t="inlineStr">
        <is>
          <t>cash_in</t>
        </is>
      </c>
      <c r="F7791" s="23" t="n">
        <v>46267</v>
      </c>
      <c r="G7791" s="24">
        <f>F7791-DATE(2026,8,31)</f>
        <v>2</v>
      </c>
      <c r="H7791" s="25" t="n">
        <v>139444936</v>
      </c>
      <c r="I7791" t="inlineStr">
        <is>
          <t>entidad-dia</t>
        </is>
      </c>
    </row>
    <row r="7792">
      <c r="A7792" t="inlineStr">
        <is>
          <t>PRAGMA</t>
        </is>
      </c>
      <c r="B7792" t="inlineStr">
        <is>
          <t>M2</t>
        </is>
      </c>
      <c r="C7792" t="inlineStr">
        <is>
          <t>Cali</t>
        </is>
      </c>
      <c r="D7792" t="inlineStr">
        <is>
          <t>8395</t>
        </is>
      </c>
      <c r="E7792" t="inlineStr">
        <is>
          <t>pagado</t>
        </is>
      </c>
      <c r="F7792" s="23" t="n">
        <v>46268</v>
      </c>
      <c r="G7792" s="24">
        <f>F7792-DATE(2026,8,31)</f>
        <v>3</v>
      </c>
      <c r="H7792" s="25" t="n">
        <v>22338636</v>
      </c>
      <c r="I7792" t="inlineStr">
        <is>
          <t>entidad-dia</t>
        </is>
      </c>
    </row>
    <row r="7793">
      <c r="A7793" t="inlineStr">
        <is>
          <t>PRAGMA</t>
        </is>
      </c>
      <c r="B7793" t="inlineStr">
        <is>
          <t>M2</t>
        </is>
      </c>
      <c r="C7793" t="inlineStr">
        <is>
          <t>Cali</t>
        </is>
      </c>
      <c r="D7793" t="inlineStr">
        <is>
          <t>8395</t>
        </is>
      </c>
      <c r="E7793" t="inlineStr">
        <is>
          <t>cash_in</t>
        </is>
      </c>
      <c r="F7793" s="23" t="n">
        <v>46268</v>
      </c>
      <c r="G7793" s="24">
        <f>F7793-DATE(2026,8,31)</f>
        <v>3</v>
      </c>
      <c r="H7793" s="25" t="n">
        <v>133747353</v>
      </c>
      <c r="I7793" t="inlineStr">
        <is>
          <t>entidad-dia</t>
        </is>
      </c>
    </row>
    <row r="7794">
      <c r="A7794" t="inlineStr">
        <is>
          <t>PRAGMA</t>
        </is>
      </c>
      <c r="B7794" t="inlineStr">
        <is>
          <t>M2</t>
        </is>
      </c>
      <c r="C7794" t="inlineStr">
        <is>
          <t>Cali</t>
        </is>
      </c>
      <c r="D7794" t="inlineStr">
        <is>
          <t>8395</t>
        </is>
      </c>
      <c r="E7794" t="inlineStr">
        <is>
          <t>pagado</t>
        </is>
      </c>
      <c r="F7794" s="23" t="n">
        <v>46269</v>
      </c>
      <c r="G7794" s="24">
        <f>F7794-DATE(2026,8,31)</f>
        <v>4</v>
      </c>
      <c r="H7794" s="25" t="n">
        <v>20900096</v>
      </c>
      <c r="I7794" t="inlineStr">
        <is>
          <t>entidad-dia</t>
        </is>
      </c>
    </row>
    <row r="7795">
      <c r="A7795" t="inlineStr">
        <is>
          <t>PRAGMA</t>
        </is>
      </c>
      <c r="B7795" t="inlineStr">
        <is>
          <t>M2</t>
        </is>
      </c>
      <c r="C7795" t="inlineStr">
        <is>
          <t>Cali</t>
        </is>
      </c>
      <c r="D7795" t="inlineStr">
        <is>
          <t>8395</t>
        </is>
      </c>
      <c r="E7795" t="inlineStr">
        <is>
          <t>cash_in</t>
        </is>
      </c>
      <c r="F7795" s="23" t="n">
        <v>46269</v>
      </c>
      <c r="G7795" s="24">
        <f>F7795-DATE(2026,8,31)</f>
        <v>4</v>
      </c>
      <c r="H7795" s="25" t="n">
        <v>139922543</v>
      </c>
      <c r="I7795" t="inlineStr">
        <is>
          <t>entidad-dia</t>
        </is>
      </c>
    </row>
    <row r="7796">
      <c r="A7796" t="inlineStr">
        <is>
          <t>PRAGMA</t>
        </is>
      </c>
      <c r="B7796" t="inlineStr">
        <is>
          <t>M2</t>
        </is>
      </c>
      <c r="C7796" t="inlineStr">
        <is>
          <t>Cali</t>
        </is>
      </c>
      <c r="D7796" t="inlineStr">
        <is>
          <t>8395</t>
        </is>
      </c>
      <c r="E7796" t="inlineStr">
        <is>
          <t>pagado</t>
        </is>
      </c>
      <c r="F7796" s="23" t="n">
        <v>46270</v>
      </c>
      <c r="G7796" s="24">
        <f>F7796-DATE(2026,8,31)</f>
        <v>5</v>
      </c>
      <c r="H7796" s="25" t="n">
        <v>16858399</v>
      </c>
      <c r="I7796" t="inlineStr">
        <is>
          <t>entidad-dia</t>
        </is>
      </c>
    </row>
    <row r="7797">
      <c r="A7797" t="inlineStr">
        <is>
          <t>PRAGMA</t>
        </is>
      </c>
      <c r="B7797" t="inlineStr">
        <is>
          <t>M2</t>
        </is>
      </c>
      <c r="C7797" t="inlineStr">
        <is>
          <t>Cali</t>
        </is>
      </c>
      <c r="D7797" t="inlineStr">
        <is>
          <t>8395</t>
        </is>
      </c>
      <c r="E7797" t="inlineStr">
        <is>
          <t>cash_in</t>
        </is>
      </c>
      <c r="F7797" s="23" t="n">
        <v>46270</v>
      </c>
      <c r="G7797" s="24">
        <f>F7797-DATE(2026,8,31)</f>
        <v>5</v>
      </c>
      <c r="H7797" s="25" t="n">
        <v>141663470</v>
      </c>
      <c r="I7797" t="inlineStr">
        <is>
          <t>entidad-dia</t>
        </is>
      </c>
    </row>
    <row r="7798">
      <c r="A7798" t="inlineStr">
        <is>
          <t>PRAGMA</t>
        </is>
      </c>
      <c r="B7798" t="inlineStr">
        <is>
          <t>M2</t>
        </is>
      </c>
      <c r="C7798" t="inlineStr">
        <is>
          <t>Cali</t>
        </is>
      </c>
      <c r="D7798" t="inlineStr">
        <is>
          <t>8395</t>
        </is>
      </c>
      <c r="E7798" t="inlineStr">
        <is>
          <t>pagado</t>
        </is>
      </c>
      <c r="F7798" s="23" t="n">
        <v>46271</v>
      </c>
      <c r="G7798" s="24">
        <f>F7798-DATE(2026,8,31)</f>
        <v>6</v>
      </c>
      <c r="H7798" s="25" t="n">
        <v>7308661</v>
      </c>
      <c r="I7798" t="inlineStr">
        <is>
          <t>entidad-dia</t>
        </is>
      </c>
    </row>
    <row r="7799">
      <c r="A7799" t="inlineStr">
        <is>
          <t>PRAGMA</t>
        </is>
      </c>
      <c r="B7799" t="inlineStr">
        <is>
          <t>M2</t>
        </is>
      </c>
      <c r="C7799" t="inlineStr">
        <is>
          <t>Cali</t>
        </is>
      </c>
      <c r="D7799" t="inlineStr">
        <is>
          <t>8395</t>
        </is>
      </c>
      <c r="E7799" t="inlineStr">
        <is>
          <t>cash_in</t>
        </is>
      </c>
      <c r="F7799" s="23" t="n">
        <v>46271</v>
      </c>
      <c r="G7799" s="24">
        <f>F7799-DATE(2026,8,31)</f>
        <v>6</v>
      </c>
      <c r="H7799" s="25" t="n">
        <v>69040925</v>
      </c>
      <c r="I7799" t="inlineStr">
        <is>
          <t>entidad-dia</t>
        </is>
      </c>
    </row>
    <row r="7800">
      <c r="A7800" t="inlineStr">
        <is>
          <t>PRAGMA</t>
        </is>
      </c>
      <c r="B7800" t="inlineStr">
        <is>
          <t>M2</t>
        </is>
      </c>
      <c r="C7800" t="inlineStr">
        <is>
          <t>Cali</t>
        </is>
      </c>
      <c r="D7800" t="inlineStr">
        <is>
          <t>8395</t>
        </is>
      </c>
      <c r="E7800" t="inlineStr">
        <is>
          <t>pagado</t>
        </is>
      </c>
      <c r="F7800" s="23" t="n">
        <v>46272</v>
      </c>
      <c r="G7800" s="24">
        <f>F7800-DATE(2026,8,31)</f>
        <v>7</v>
      </c>
      <c r="H7800" s="25" t="n">
        <v>16866410</v>
      </c>
      <c r="I7800" t="inlineStr">
        <is>
          <t>entidad-dia</t>
        </is>
      </c>
    </row>
    <row r="7801">
      <c r="A7801" t="inlineStr">
        <is>
          <t>PRAGMA</t>
        </is>
      </c>
      <c r="B7801" t="inlineStr">
        <is>
          <t>M2</t>
        </is>
      </c>
      <c r="C7801" t="inlineStr">
        <is>
          <t>Cali</t>
        </is>
      </c>
      <c r="D7801" t="inlineStr">
        <is>
          <t>8395</t>
        </is>
      </c>
      <c r="E7801" t="inlineStr">
        <is>
          <t>cash_in</t>
        </is>
      </c>
      <c r="F7801" s="23" t="n">
        <v>46272</v>
      </c>
      <c r="G7801" s="24">
        <f>F7801-DATE(2026,8,31)</f>
        <v>7</v>
      </c>
      <c r="H7801" s="25" t="n">
        <v>147803796</v>
      </c>
      <c r="I7801" t="inlineStr">
        <is>
          <t>entidad-dia</t>
        </is>
      </c>
    </row>
    <row r="7802">
      <c r="A7802" t="inlineStr">
        <is>
          <t>PRAGMA</t>
        </is>
      </c>
      <c r="B7802" t="inlineStr">
        <is>
          <t>M2</t>
        </is>
      </c>
      <c r="C7802" t="inlineStr">
        <is>
          <t>Cali</t>
        </is>
      </c>
      <c r="D7802" t="inlineStr">
        <is>
          <t>8395</t>
        </is>
      </c>
      <c r="E7802" t="inlineStr">
        <is>
          <t>pagado</t>
        </is>
      </c>
      <c r="F7802" s="23" t="n">
        <v>46273</v>
      </c>
      <c r="G7802" s="24">
        <f>F7802-DATE(2026,8,31)</f>
        <v>8</v>
      </c>
      <c r="H7802" s="25" t="n">
        <v>17367950</v>
      </c>
      <c r="I7802" t="inlineStr">
        <is>
          <t>entidad-dia</t>
        </is>
      </c>
    </row>
    <row r="7803">
      <c r="A7803" t="inlineStr">
        <is>
          <t>PRAGMA</t>
        </is>
      </c>
      <c r="B7803" t="inlineStr">
        <is>
          <t>M2</t>
        </is>
      </c>
      <c r="C7803" t="inlineStr">
        <is>
          <t>Cali</t>
        </is>
      </c>
      <c r="D7803" t="inlineStr">
        <is>
          <t>8395</t>
        </is>
      </c>
      <c r="E7803" t="inlineStr">
        <is>
          <t>cash_in</t>
        </is>
      </c>
      <c r="F7803" s="23" t="n">
        <v>46273</v>
      </c>
      <c r="G7803" s="24">
        <f>F7803-DATE(2026,8,31)</f>
        <v>8</v>
      </c>
      <c r="H7803" s="25" t="n">
        <v>135550333</v>
      </c>
      <c r="I7803" t="inlineStr">
        <is>
          <t>entidad-dia</t>
        </is>
      </c>
    </row>
    <row r="7804">
      <c r="A7804" t="inlineStr">
        <is>
          <t>PRAGMA</t>
        </is>
      </c>
      <c r="B7804" t="inlineStr">
        <is>
          <t>M2</t>
        </is>
      </c>
      <c r="C7804" t="inlineStr">
        <is>
          <t>Cali</t>
        </is>
      </c>
      <c r="D7804" t="inlineStr">
        <is>
          <t>8395</t>
        </is>
      </c>
      <c r="E7804" t="inlineStr">
        <is>
          <t>pagado</t>
        </is>
      </c>
      <c r="F7804" s="23" t="n">
        <v>46274</v>
      </c>
      <c r="G7804" s="24">
        <f>F7804-DATE(2026,8,31)</f>
        <v>9</v>
      </c>
      <c r="H7804" s="25" t="n">
        <v>16067957</v>
      </c>
      <c r="I7804" t="inlineStr">
        <is>
          <t>entidad-dia</t>
        </is>
      </c>
    </row>
    <row r="7805">
      <c r="A7805" t="inlineStr">
        <is>
          <t>PRAGMA</t>
        </is>
      </c>
      <c r="B7805" t="inlineStr">
        <is>
          <t>M2</t>
        </is>
      </c>
      <c r="C7805" t="inlineStr">
        <is>
          <t>Cali</t>
        </is>
      </c>
      <c r="D7805" t="inlineStr">
        <is>
          <t>8395</t>
        </is>
      </c>
      <c r="E7805" t="inlineStr">
        <is>
          <t>cash_in</t>
        </is>
      </c>
      <c r="F7805" s="23" t="n">
        <v>46274</v>
      </c>
      <c r="G7805" s="24">
        <f>F7805-DATE(2026,8,31)</f>
        <v>9</v>
      </c>
      <c r="H7805" s="25" t="n">
        <v>117632208</v>
      </c>
      <c r="I7805" t="inlineStr">
        <is>
          <t>entidad-dia</t>
        </is>
      </c>
    </row>
    <row r="7806">
      <c r="A7806" t="inlineStr">
        <is>
          <t>PRAGMA</t>
        </is>
      </c>
      <c r="B7806" t="inlineStr">
        <is>
          <t>M2</t>
        </is>
      </c>
      <c r="C7806" t="inlineStr">
        <is>
          <t>Cali</t>
        </is>
      </c>
      <c r="D7806" t="inlineStr">
        <is>
          <t>8395</t>
        </is>
      </c>
      <c r="E7806" t="inlineStr">
        <is>
          <t>pagado</t>
        </is>
      </c>
      <c r="F7806" s="23" t="n">
        <v>46275</v>
      </c>
      <c r="G7806" s="24">
        <f>F7806-DATE(2026,8,31)</f>
        <v>10</v>
      </c>
      <c r="H7806" s="25" t="n">
        <v>16236973</v>
      </c>
      <c r="I7806" t="inlineStr">
        <is>
          <t>entidad-dia</t>
        </is>
      </c>
    </row>
    <row r="7807">
      <c r="A7807" t="inlineStr">
        <is>
          <t>PRAGMA</t>
        </is>
      </c>
      <c r="B7807" t="inlineStr">
        <is>
          <t>M2</t>
        </is>
      </c>
      <c r="C7807" t="inlineStr">
        <is>
          <t>Cali</t>
        </is>
      </c>
      <c r="D7807" t="inlineStr">
        <is>
          <t>8395</t>
        </is>
      </c>
      <c r="E7807" t="inlineStr">
        <is>
          <t>cash_in</t>
        </is>
      </c>
      <c r="F7807" s="23" t="n">
        <v>46275</v>
      </c>
      <c r="G7807" s="24">
        <f>F7807-DATE(2026,8,31)</f>
        <v>10</v>
      </c>
      <c r="H7807" s="25" t="n">
        <v>117914481</v>
      </c>
      <c r="I7807" t="inlineStr">
        <is>
          <t>entidad-dia</t>
        </is>
      </c>
    </row>
    <row r="7808">
      <c r="A7808" t="inlineStr">
        <is>
          <t>PRAGMA</t>
        </is>
      </c>
      <c r="B7808" t="inlineStr">
        <is>
          <t>M2</t>
        </is>
      </c>
      <c r="C7808" t="inlineStr">
        <is>
          <t>Cali</t>
        </is>
      </c>
      <c r="D7808" t="inlineStr">
        <is>
          <t>8395</t>
        </is>
      </c>
      <c r="E7808" t="inlineStr">
        <is>
          <t>pagado</t>
        </is>
      </c>
      <c r="F7808" s="23" t="n">
        <v>46276</v>
      </c>
      <c r="G7808" s="24">
        <f>F7808-DATE(2026,8,31)</f>
        <v>11</v>
      </c>
      <c r="H7808" s="25" t="n">
        <v>16331249</v>
      </c>
      <c r="I7808" t="inlineStr">
        <is>
          <t>entidad-dia</t>
        </is>
      </c>
    </row>
    <row r="7809">
      <c r="A7809" t="inlineStr">
        <is>
          <t>PRAGMA</t>
        </is>
      </c>
      <c r="B7809" t="inlineStr">
        <is>
          <t>M2</t>
        </is>
      </c>
      <c r="C7809" t="inlineStr">
        <is>
          <t>Cali</t>
        </is>
      </c>
      <c r="D7809" t="inlineStr">
        <is>
          <t>8395</t>
        </is>
      </c>
      <c r="E7809" t="inlineStr">
        <is>
          <t>cash_in</t>
        </is>
      </c>
      <c r="F7809" s="23" t="n">
        <v>46276</v>
      </c>
      <c r="G7809" s="24">
        <f>F7809-DATE(2026,8,31)</f>
        <v>11</v>
      </c>
      <c r="H7809" s="25" t="n">
        <v>116004743</v>
      </c>
      <c r="I7809" t="inlineStr">
        <is>
          <t>entidad-dia</t>
        </is>
      </c>
    </row>
    <row r="7810">
      <c r="A7810" t="inlineStr">
        <is>
          <t>PRAGMA</t>
        </is>
      </c>
      <c r="B7810" t="inlineStr">
        <is>
          <t>M2</t>
        </is>
      </c>
      <c r="C7810" t="inlineStr">
        <is>
          <t>Cali</t>
        </is>
      </c>
      <c r="D7810" t="inlineStr">
        <is>
          <t>8395</t>
        </is>
      </c>
      <c r="E7810" t="inlineStr">
        <is>
          <t>pagado</t>
        </is>
      </c>
      <c r="F7810" s="23" t="n">
        <v>46277</v>
      </c>
      <c r="G7810" s="24">
        <f>F7810-DATE(2026,8,31)</f>
        <v>12</v>
      </c>
      <c r="H7810" s="25" t="n">
        <v>13736228</v>
      </c>
      <c r="I7810" t="inlineStr">
        <is>
          <t>entidad-dia</t>
        </is>
      </c>
    </row>
    <row r="7811">
      <c r="A7811" t="inlineStr">
        <is>
          <t>PRAGMA</t>
        </is>
      </c>
      <c r="B7811" t="inlineStr">
        <is>
          <t>M2</t>
        </is>
      </c>
      <c r="C7811" t="inlineStr">
        <is>
          <t>Cali</t>
        </is>
      </c>
      <c r="D7811" t="inlineStr">
        <is>
          <t>8395</t>
        </is>
      </c>
      <c r="E7811" t="inlineStr">
        <is>
          <t>cash_in</t>
        </is>
      </c>
      <c r="F7811" s="23" t="n">
        <v>46277</v>
      </c>
      <c r="G7811" s="24">
        <f>F7811-DATE(2026,8,31)</f>
        <v>12</v>
      </c>
      <c r="H7811" s="25" t="n">
        <v>121121127</v>
      </c>
      <c r="I7811" t="inlineStr">
        <is>
          <t>entidad-dia</t>
        </is>
      </c>
    </row>
    <row r="7812">
      <c r="A7812" t="inlineStr">
        <is>
          <t>PRAGMA</t>
        </is>
      </c>
      <c r="B7812" t="inlineStr">
        <is>
          <t>M2</t>
        </is>
      </c>
      <c r="C7812" t="inlineStr">
        <is>
          <t>Cali</t>
        </is>
      </c>
      <c r="D7812" t="inlineStr">
        <is>
          <t>8395</t>
        </is>
      </c>
      <c r="E7812" t="inlineStr">
        <is>
          <t>pagado</t>
        </is>
      </c>
      <c r="F7812" s="23" t="n">
        <v>46278</v>
      </c>
      <c r="G7812" s="24">
        <f>F7812-DATE(2026,8,31)</f>
        <v>13</v>
      </c>
      <c r="H7812" s="25" t="n">
        <v>6493183</v>
      </c>
      <c r="I7812" t="inlineStr">
        <is>
          <t>entidad-dia</t>
        </is>
      </c>
    </row>
    <row r="7813">
      <c r="A7813" t="inlineStr">
        <is>
          <t>PRAGMA</t>
        </is>
      </c>
      <c r="B7813" t="inlineStr">
        <is>
          <t>M2</t>
        </is>
      </c>
      <c r="C7813" t="inlineStr">
        <is>
          <t>Cali</t>
        </is>
      </c>
      <c r="D7813" t="inlineStr">
        <is>
          <t>8395</t>
        </is>
      </c>
      <c r="E7813" t="inlineStr">
        <is>
          <t>cash_in</t>
        </is>
      </c>
      <c r="F7813" s="23" t="n">
        <v>46278</v>
      </c>
      <c r="G7813" s="24">
        <f>F7813-DATE(2026,8,31)</f>
        <v>13</v>
      </c>
      <c r="H7813" s="25" t="n">
        <v>55130907</v>
      </c>
      <c r="I7813" t="inlineStr">
        <is>
          <t>entidad-dia</t>
        </is>
      </c>
    </row>
    <row r="7814">
      <c r="A7814" t="inlineStr">
        <is>
          <t>PRAGMA</t>
        </is>
      </c>
      <c r="B7814" t="inlineStr">
        <is>
          <t>M2</t>
        </is>
      </c>
      <c r="C7814" t="inlineStr">
        <is>
          <t>Cali</t>
        </is>
      </c>
      <c r="D7814" t="inlineStr">
        <is>
          <t>8395</t>
        </is>
      </c>
      <c r="E7814" t="inlineStr">
        <is>
          <t>pagado</t>
        </is>
      </c>
      <c r="F7814" s="23" t="n">
        <v>46279</v>
      </c>
      <c r="G7814" s="24">
        <f>F7814-DATE(2026,8,31)</f>
        <v>14</v>
      </c>
      <c r="H7814" s="25" t="n">
        <v>16362760</v>
      </c>
      <c r="I7814" t="inlineStr">
        <is>
          <t>entidad-dia</t>
        </is>
      </c>
    </row>
    <row r="7815">
      <c r="A7815" t="inlineStr">
        <is>
          <t>PRAGMA</t>
        </is>
      </c>
      <c r="B7815" t="inlineStr">
        <is>
          <t>M2</t>
        </is>
      </c>
      <c r="C7815" t="inlineStr">
        <is>
          <t>Cali</t>
        </is>
      </c>
      <c r="D7815" t="inlineStr">
        <is>
          <t>8395</t>
        </is>
      </c>
      <c r="E7815" t="inlineStr">
        <is>
          <t>cash_in</t>
        </is>
      </c>
      <c r="F7815" s="23" t="n">
        <v>46279</v>
      </c>
      <c r="G7815" s="24">
        <f>F7815-DATE(2026,8,31)</f>
        <v>14</v>
      </c>
      <c r="H7815" s="25" t="n">
        <v>132304776</v>
      </c>
      <c r="I7815" t="inlineStr">
        <is>
          <t>entidad-dia</t>
        </is>
      </c>
    </row>
    <row r="7816">
      <c r="A7816" t="inlineStr">
        <is>
          <t>PRAGMA</t>
        </is>
      </c>
      <c r="B7816" t="inlineStr">
        <is>
          <t>M2</t>
        </is>
      </c>
      <c r="C7816" t="inlineStr">
        <is>
          <t>Cali</t>
        </is>
      </c>
      <c r="D7816" t="inlineStr">
        <is>
          <t>8395</t>
        </is>
      </c>
      <c r="E7816" t="inlineStr">
        <is>
          <t>pagado</t>
        </is>
      </c>
      <c r="F7816" s="23" t="n">
        <v>46280</v>
      </c>
      <c r="G7816" s="24">
        <f>F7816-DATE(2026,8,31)</f>
        <v>15</v>
      </c>
      <c r="H7816" s="25" t="n">
        <v>22965244</v>
      </c>
      <c r="I7816" t="inlineStr">
        <is>
          <t>entidad-dia</t>
        </is>
      </c>
    </row>
    <row r="7817">
      <c r="A7817" t="inlineStr">
        <is>
          <t>PRAGMA</t>
        </is>
      </c>
      <c r="B7817" t="inlineStr">
        <is>
          <t>M2</t>
        </is>
      </c>
      <c r="C7817" t="inlineStr">
        <is>
          <t>Cali</t>
        </is>
      </c>
      <c r="D7817" t="inlineStr">
        <is>
          <t>8395</t>
        </is>
      </c>
      <c r="E7817" t="inlineStr">
        <is>
          <t>cash_in</t>
        </is>
      </c>
      <c r="F7817" s="23" t="n">
        <v>46280</v>
      </c>
      <c r="G7817" s="24">
        <f>F7817-DATE(2026,8,31)</f>
        <v>15</v>
      </c>
      <c r="H7817" s="25" t="n">
        <v>138505522</v>
      </c>
      <c r="I7817" t="inlineStr">
        <is>
          <t>entidad-dia</t>
        </is>
      </c>
    </row>
    <row r="7818">
      <c r="A7818" t="inlineStr">
        <is>
          <t>PRAGMA</t>
        </is>
      </c>
      <c r="B7818" t="inlineStr">
        <is>
          <t>M2</t>
        </is>
      </c>
      <c r="C7818" t="inlineStr">
        <is>
          <t>Cali</t>
        </is>
      </c>
      <c r="D7818" t="inlineStr">
        <is>
          <t>8667</t>
        </is>
      </c>
      <c r="E7818" t="inlineStr">
        <is>
          <t>pagado</t>
        </is>
      </c>
      <c r="F7818" s="23" t="n">
        <v>46266</v>
      </c>
      <c r="G7818" s="24">
        <f>F7818-DATE(2026,8,31)</f>
        <v>1</v>
      </c>
      <c r="H7818" s="25" t="n">
        <v>144948206</v>
      </c>
      <c r="I7818" t="inlineStr">
        <is>
          <t>entidad-dia</t>
        </is>
      </c>
    </row>
    <row r="7819">
      <c r="A7819" t="inlineStr">
        <is>
          <t>PRAGMA</t>
        </is>
      </c>
      <c r="B7819" t="inlineStr">
        <is>
          <t>M2</t>
        </is>
      </c>
      <c r="C7819" t="inlineStr">
        <is>
          <t>Cali</t>
        </is>
      </c>
      <c r="D7819" t="inlineStr">
        <is>
          <t>8667</t>
        </is>
      </c>
      <c r="E7819" t="inlineStr">
        <is>
          <t>cash_in</t>
        </is>
      </c>
      <c r="F7819" s="23" t="n">
        <v>46266</v>
      </c>
      <c r="G7819" s="24">
        <f>F7819-DATE(2026,8,31)</f>
        <v>1</v>
      </c>
      <c r="H7819" s="25" t="n">
        <v>21153619</v>
      </c>
      <c r="I7819" t="inlineStr">
        <is>
          <t>entidad-dia</t>
        </is>
      </c>
    </row>
    <row r="7820">
      <c r="A7820" t="inlineStr">
        <is>
          <t>PRAGMA</t>
        </is>
      </c>
      <c r="B7820" t="inlineStr">
        <is>
          <t>M2</t>
        </is>
      </c>
      <c r="C7820" t="inlineStr">
        <is>
          <t>Cali</t>
        </is>
      </c>
      <c r="D7820" t="inlineStr">
        <is>
          <t>8667</t>
        </is>
      </c>
      <c r="E7820" t="inlineStr">
        <is>
          <t>pagado</t>
        </is>
      </c>
      <c r="F7820" s="23" t="n">
        <v>46267</v>
      </c>
      <c r="G7820" s="24">
        <f>F7820-DATE(2026,8,31)</f>
        <v>2</v>
      </c>
      <c r="H7820" s="25" t="n">
        <v>124739597</v>
      </c>
      <c r="I7820" t="inlineStr">
        <is>
          <t>entidad-dia</t>
        </is>
      </c>
    </row>
    <row r="7821">
      <c r="A7821" t="inlineStr">
        <is>
          <t>PRAGMA</t>
        </is>
      </c>
      <c r="B7821" t="inlineStr">
        <is>
          <t>M2</t>
        </is>
      </c>
      <c r="C7821" t="inlineStr">
        <is>
          <t>Cali</t>
        </is>
      </c>
      <c r="D7821" t="inlineStr">
        <is>
          <t>8667</t>
        </is>
      </c>
      <c r="E7821" t="inlineStr">
        <is>
          <t>cash_in</t>
        </is>
      </c>
      <c r="F7821" s="23" t="n">
        <v>46267</v>
      </c>
      <c r="G7821" s="24">
        <f>F7821-DATE(2026,8,31)</f>
        <v>2</v>
      </c>
      <c r="H7821" s="25" t="n">
        <v>19410087</v>
      </c>
      <c r="I7821" t="inlineStr">
        <is>
          <t>entidad-dia</t>
        </is>
      </c>
    </row>
    <row r="7822">
      <c r="A7822" t="inlineStr">
        <is>
          <t>PRAGMA</t>
        </is>
      </c>
      <c r="B7822" t="inlineStr">
        <is>
          <t>M2</t>
        </is>
      </c>
      <c r="C7822" t="inlineStr">
        <is>
          <t>Cali</t>
        </is>
      </c>
      <c r="D7822" t="inlineStr">
        <is>
          <t>8667</t>
        </is>
      </c>
      <c r="E7822" t="inlineStr">
        <is>
          <t>pagado</t>
        </is>
      </c>
      <c r="F7822" s="23" t="n">
        <v>46268</v>
      </c>
      <c r="G7822" s="24">
        <f>F7822-DATE(2026,8,31)</f>
        <v>3</v>
      </c>
      <c r="H7822" s="25" t="n">
        <v>108105878</v>
      </c>
      <c r="I7822" t="inlineStr">
        <is>
          <t>entidad-dia</t>
        </is>
      </c>
    </row>
    <row r="7823">
      <c r="A7823" t="inlineStr">
        <is>
          <t>PRAGMA</t>
        </is>
      </c>
      <c r="B7823" t="inlineStr">
        <is>
          <t>M2</t>
        </is>
      </c>
      <c r="C7823" t="inlineStr">
        <is>
          <t>Cali</t>
        </is>
      </c>
      <c r="D7823" t="inlineStr">
        <is>
          <t>8667</t>
        </is>
      </c>
      <c r="E7823" t="inlineStr">
        <is>
          <t>cash_in</t>
        </is>
      </c>
      <c r="F7823" s="23" t="n">
        <v>46268</v>
      </c>
      <c r="G7823" s="24">
        <f>F7823-DATE(2026,8,31)</f>
        <v>3</v>
      </c>
      <c r="H7823" s="25" t="n">
        <v>18585970</v>
      </c>
      <c r="I7823" t="inlineStr">
        <is>
          <t>entidad-dia</t>
        </is>
      </c>
    </row>
    <row r="7824">
      <c r="A7824" t="inlineStr">
        <is>
          <t>PRAGMA</t>
        </is>
      </c>
      <c r="B7824" t="inlineStr">
        <is>
          <t>M2</t>
        </is>
      </c>
      <c r="C7824" t="inlineStr">
        <is>
          <t>Cali</t>
        </is>
      </c>
      <c r="D7824" t="inlineStr">
        <is>
          <t>8667</t>
        </is>
      </c>
      <c r="E7824" t="inlineStr">
        <is>
          <t>pagado</t>
        </is>
      </c>
      <c r="F7824" s="23" t="n">
        <v>46269</v>
      </c>
      <c r="G7824" s="24">
        <f>F7824-DATE(2026,8,31)</f>
        <v>4</v>
      </c>
      <c r="H7824" s="25" t="n">
        <v>105307002</v>
      </c>
      <c r="I7824" t="inlineStr">
        <is>
          <t>entidad-dia</t>
        </is>
      </c>
    </row>
    <row r="7825">
      <c r="A7825" t="inlineStr">
        <is>
          <t>PRAGMA</t>
        </is>
      </c>
      <c r="B7825" t="inlineStr">
        <is>
          <t>M2</t>
        </is>
      </c>
      <c r="C7825" t="inlineStr">
        <is>
          <t>Cali</t>
        </is>
      </c>
      <c r="D7825" t="inlineStr">
        <is>
          <t>8667</t>
        </is>
      </c>
      <c r="E7825" t="inlineStr">
        <is>
          <t>cash_in</t>
        </is>
      </c>
      <c r="F7825" s="23" t="n">
        <v>46269</v>
      </c>
      <c r="G7825" s="24">
        <f>F7825-DATE(2026,8,31)</f>
        <v>4</v>
      </c>
      <c r="H7825" s="25" t="n">
        <v>19993789</v>
      </c>
      <c r="I7825" t="inlineStr">
        <is>
          <t>entidad-dia</t>
        </is>
      </c>
    </row>
    <row r="7826">
      <c r="A7826" t="inlineStr">
        <is>
          <t>PRAGMA</t>
        </is>
      </c>
      <c r="B7826" t="inlineStr">
        <is>
          <t>M2</t>
        </is>
      </c>
      <c r="C7826" t="inlineStr">
        <is>
          <t>Cali</t>
        </is>
      </c>
      <c r="D7826" t="inlineStr">
        <is>
          <t>8667</t>
        </is>
      </c>
      <c r="E7826" t="inlineStr">
        <is>
          <t>pagado</t>
        </is>
      </c>
      <c r="F7826" s="23" t="n">
        <v>46270</v>
      </c>
      <c r="G7826" s="24">
        <f>F7826-DATE(2026,8,31)</f>
        <v>5</v>
      </c>
      <c r="H7826" s="25" t="n">
        <v>96920770</v>
      </c>
      <c r="I7826" t="inlineStr">
        <is>
          <t>entidad-dia</t>
        </is>
      </c>
    </row>
    <row r="7827">
      <c r="A7827" t="inlineStr">
        <is>
          <t>PRAGMA</t>
        </is>
      </c>
      <c r="B7827" t="inlineStr">
        <is>
          <t>M2</t>
        </is>
      </c>
      <c r="C7827" t="inlineStr">
        <is>
          <t>Cali</t>
        </is>
      </c>
      <c r="D7827" t="inlineStr">
        <is>
          <t>8667</t>
        </is>
      </c>
      <c r="E7827" t="inlineStr">
        <is>
          <t>cash_in</t>
        </is>
      </c>
      <c r="F7827" s="23" t="n">
        <v>46270</v>
      </c>
      <c r="G7827" s="24">
        <f>F7827-DATE(2026,8,31)</f>
        <v>5</v>
      </c>
      <c r="H7827" s="25" t="n">
        <v>19488191</v>
      </c>
      <c r="I7827" t="inlineStr">
        <is>
          <t>entidad-dia</t>
        </is>
      </c>
    </row>
    <row r="7828">
      <c r="A7828" t="inlineStr">
        <is>
          <t>PRAGMA</t>
        </is>
      </c>
      <c r="B7828" t="inlineStr">
        <is>
          <t>M2</t>
        </is>
      </c>
      <c r="C7828" t="inlineStr">
        <is>
          <t>Cali</t>
        </is>
      </c>
      <c r="D7828" t="inlineStr">
        <is>
          <t>8667</t>
        </is>
      </c>
      <c r="E7828" t="inlineStr">
        <is>
          <t>pagado</t>
        </is>
      </c>
      <c r="F7828" s="23" t="n">
        <v>46271</v>
      </c>
      <c r="G7828" s="24">
        <f>F7828-DATE(2026,8,31)</f>
        <v>6</v>
      </c>
      <c r="H7828" s="25" t="n">
        <v>66493611</v>
      </c>
      <c r="I7828" t="inlineStr">
        <is>
          <t>entidad-dia</t>
        </is>
      </c>
    </row>
    <row r="7829">
      <c r="A7829" t="inlineStr">
        <is>
          <t>PRAGMA</t>
        </is>
      </c>
      <c r="B7829" t="inlineStr">
        <is>
          <t>M2</t>
        </is>
      </c>
      <c r="C7829" t="inlineStr">
        <is>
          <t>Cali</t>
        </is>
      </c>
      <c r="D7829" t="inlineStr">
        <is>
          <t>8667</t>
        </is>
      </c>
      <c r="E7829" t="inlineStr">
        <is>
          <t>cash_in</t>
        </is>
      </c>
      <c r="F7829" s="23" t="n">
        <v>46271</v>
      </c>
      <c r="G7829" s="24">
        <f>F7829-DATE(2026,8,31)</f>
        <v>6</v>
      </c>
      <c r="H7829" s="25" t="n">
        <v>10373691</v>
      </c>
      <c r="I7829" t="inlineStr">
        <is>
          <t>entidad-dia</t>
        </is>
      </c>
    </row>
    <row r="7830">
      <c r="A7830" t="inlineStr">
        <is>
          <t>PRAGMA</t>
        </is>
      </c>
      <c r="B7830" t="inlineStr">
        <is>
          <t>M2</t>
        </is>
      </c>
      <c r="C7830" t="inlineStr">
        <is>
          <t>Cali</t>
        </is>
      </c>
      <c r="D7830" t="inlineStr">
        <is>
          <t>8667</t>
        </is>
      </c>
      <c r="E7830" t="inlineStr">
        <is>
          <t>pagado</t>
        </is>
      </c>
      <c r="F7830" s="23" t="n">
        <v>46272</v>
      </c>
      <c r="G7830" s="24">
        <f>F7830-DATE(2026,8,31)</f>
        <v>7</v>
      </c>
      <c r="H7830" s="25" t="n">
        <v>86158299</v>
      </c>
      <c r="I7830" t="inlineStr">
        <is>
          <t>entidad-dia</t>
        </is>
      </c>
    </row>
    <row r="7831">
      <c r="A7831" t="inlineStr">
        <is>
          <t>PRAGMA</t>
        </is>
      </c>
      <c r="B7831" t="inlineStr">
        <is>
          <t>M2</t>
        </is>
      </c>
      <c r="C7831" t="inlineStr">
        <is>
          <t>Cali</t>
        </is>
      </c>
      <c r="D7831" t="inlineStr">
        <is>
          <t>8667</t>
        </is>
      </c>
      <c r="E7831" t="inlineStr">
        <is>
          <t>cash_in</t>
        </is>
      </c>
      <c r="F7831" s="23" t="n">
        <v>46272</v>
      </c>
      <c r="G7831" s="24">
        <f>F7831-DATE(2026,8,31)</f>
        <v>7</v>
      </c>
      <c r="H7831" s="25" t="n">
        <v>24489629</v>
      </c>
      <c r="I7831" t="inlineStr">
        <is>
          <t>entidad-dia</t>
        </is>
      </c>
    </row>
    <row r="7832">
      <c r="A7832" t="inlineStr">
        <is>
          <t>PRAGMA</t>
        </is>
      </c>
      <c r="B7832" t="inlineStr">
        <is>
          <t>M2</t>
        </is>
      </c>
      <c r="C7832" t="inlineStr">
        <is>
          <t>Cali</t>
        </is>
      </c>
      <c r="D7832" t="inlineStr">
        <is>
          <t>8667</t>
        </is>
      </c>
      <c r="E7832" t="inlineStr">
        <is>
          <t>pagado</t>
        </is>
      </c>
      <c r="F7832" s="23" t="n">
        <v>46273</v>
      </c>
      <c r="G7832" s="24">
        <f>F7832-DATE(2026,8,31)</f>
        <v>8</v>
      </c>
      <c r="H7832" s="25" t="n">
        <v>83291358</v>
      </c>
      <c r="I7832" t="inlineStr">
        <is>
          <t>entidad-dia</t>
        </is>
      </c>
    </row>
    <row r="7833">
      <c r="A7833" t="inlineStr">
        <is>
          <t>PRAGMA</t>
        </is>
      </c>
      <c r="B7833" t="inlineStr">
        <is>
          <t>M2</t>
        </is>
      </c>
      <c r="C7833" t="inlineStr">
        <is>
          <t>Cali</t>
        </is>
      </c>
      <c r="D7833" t="inlineStr">
        <is>
          <t>8667</t>
        </is>
      </c>
      <c r="E7833" t="inlineStr">
        <is>
          <t>cash_in</t>
        </is>
      </c>
      <c r="F7833" s="23" t="n">
        <v>46273</v>
      </c>
      <c r="G7833" s="24">
        <f>F7833-DATE(2026,8,31)</f>
        <v>8</v>
      </c>
      <c r="H7833" s="25" t="n">
        <v>21446230</v>
      </c>
      <c r="I7833" t="inlineStr">
        <is>
          <t>entidad-dia</t>
        </is>
      </c>
    </row>
    <row r="7834">
      <c r="A7834" t="inlineStr">
        <is>
          <t>PRAGMA</t>
        </is>
      </c>
      <c r="B7834" t="inlineStr">
        <is>
          <t>M2</t>
        </is>
      </c>
      <c r="C7834" t="inlineStr">
        <is>
          <t>Cali</t>
        </is>
      </c>
      <c r="D7834" t="inlineStr">
        <is>
          <t>8667</t>
        </is>
      </c>
      <c r="E7834" t="inlineStr">
        <is>
          <t>pagado</t>
        </is>
      </c>
      <c r="F7834" s="23" t="n">
        <v>46274</v>
      </c>
      <c r="G7834" s="24">
        <f>F7834-DATE(2026,8,31)</f>
        <v>9</v>
      </c>
      <c r="H7834" s="25" t="n">
        <v>83079500</v>
      </c>
      <c r="I7834" t="inlineStr">
        <is>
          <t>entidad-dia</t>
        </is>
      </c>
    </row>
    <row r="7835">
      <c r="A7835" t="inlineStr">
        <is>
          <t>PRAGMA</t>
        </is>
      </c>
      <c r="B7835" t="inlineStr">
        <is>
          <t>M2</t>
        </is>
      </c>
      <c r="C7835" t="inlineStr">
        <is>
          <t>Cali</t>
        </is>
      </c>
      <c r="D7835" t="inlineStr">
        <is>
          <t>8667</t>
        </is>
      </c>
      <c r="E7835" t="inlineStr">
        <is>
          <t>cash_in</t>
        </is>
      </c>
      <c r="F7835" s="23" t="n">
        <v>46274</v>
      </c>
      <c r="G7835" s="24">
        <f>F7835-DATE(2026,8,31)</f>
        <v>9</v>
      </c>
      <c r="H7835" s="25" t="n">
        <v>19322918</v>
      </c>
      <c r="I7835" t="inlineStr">
        <is>
          <t>entidad-dia</t>
        </is>
      </c>
    </row>
    <row r="7836">
      <c r="A7836" t="inlineStr">
        <is>
          <t>PRAGMA</t>
        </is>
      </c>
      <c r="B7836" t="inlineStr">
        <is>
          <t>M2</t>
        </is>
      </c>
      <c r="C7836" t="inlineStr">
        <is>
          <t>Cali</t>
        </is>
      </c>
      <c r="D7836" t="inlineStr">
        <is>
          <t>8667</t>
        </is>
      </c>
      <c r="E7836" t="inlineStr">
        <is>
          <t>pagado</t>
        </is>
      </c>
      <c r="F7836" s="23" t="n">
        <v>46275</v>
      </c>
      <c r="G7836" s="24">
        <f>F7836-DATE(2026,8,31)</f>
        <v>10</v>
      </c>
      <c r="H7836" s="25" t="n">
        <v>72418291</v>
      </c>
      <c r="I7836" t="inlineStr">
        <is>
          <t>entidad-dia</t>
        </is>
      </c>
    </row>
    <row r="7837">
      <c r="A7837" t="inlineStr">
        <is>
          <t>PRAGMA</t>
        </is>
      </c>
      <c r="B7837" t="inlineStr">
        <is>
          <t>M2</t>
        </is>
      </c>
      <c r="C7837" t="inlineStr">
        <is>
          <t>Cali</t>
        </is>
      </c>
      <c r="D7837" t="inlineStr">
        <is>
          <t>8667</t>
        </is>
      </c>
      <c r="E7837" t="inlineStr">
        <is>
          <t>cash_in</t>
        </is>
      </c>
      <c r="F7837" s="23" t="n">
        <v>46275</v>
      </c>
      <c r="G7837" s="24">
        <f>F7837-DATE(2026,8,31)</f>
        <v>10</v>
      </c>
      <c r="H7837" s="25" t="n">
        <v>19765680</v>
      </c>
      <c r="I7837" t="inlineStr">
        <is>
          <t>entidad-dia</t>
        </is>
      </c>
    </row>
    <row r="7838">
      <c r="A7838" t="inlineStr">
        <is>
          <t>PRAGMA</t>
        </is>
      </c>
      <c r="B7838" t="inlineStr">
        <is>
          <t>M2</t>
        </is>
      </c>
      <c r="C7838" t="inlineStr">
        <is>
          <t>Cali</t>
        </is>
      </c>
      <c r="D7838" t="inlineStr">
        <is>
          <t>8667</t>
        </is>
      </c>
      <c r="E7838" t="inlineStr">
        <is>
          <t>pagado</t>
        </is>
      </c>
      <c r="F7838" s="23" t="n">
        <v>46276</v>
      </c>
      <c r="G7838" s="24">
        <f>F7838-DATE(2026,8,31)</f>
        <v>11</v>
      </c>
      <c r="H7838" s="25" t="n">
        <v>82784335</v>
      </c>
      <c r="I7838" t="inlineStr">
        <is>
          <t>entidad-dia</t>
        </is>
      </c>
    </row>
    <row r="7839">
      <c r="A7839" t="inlineStr">
        <is>
          <t>PRAGMA</t>
        </is>
      </c>
      <c r="B7839" t="inlineStr">
        <is>
          <t>M2</t>
        </is>
      </c>
      <c r="C7839" t="inlineStr">
        <is>
          <t>Cali</t>
        </is>
      </c>
      <c r="D7839" t="inlineStr">
        <is>
          <t>8667</t>
        </is>
      </c>
      <c r="E7839" t="inlineStr">
        <is>
          <t>cash_in</t>
        </is>
      </c>
      <c r="F7839" s="23" t="n">
        <v>46276</v>
      </c>
      <c r="G7839" s="24">
        <f>F7839-DATE(2026,8,31)</f>
        <v>11</v>
      </c>
      <c r="H7839" s="25" t="n">
        <v>18305243</v>
      </c>
      <c r="I7839" t="inlineStr">
        <is>
          <t>entidad-dia</t>
        </is>
      </c>
    </row>
    <row r="7840">
      <c r="A7840" t="inlineStr">
        <is>
          <t>PRAGMA</t>
        </is>
      </c>
      <c r="B7840" t="inlineStr">
        <is>
          <t>M2</t>
        </is>
      </c>
      <c r="C7840" t="inlineStr">
        <is>
          <t>Cali</t>
        </is>
      </c>
      <c r="D7840" t="inlineStr">
        <is>
          <t>8667</t>
        </is>
      </c>
      <c r="E7840" t="inlineStr">
        <is>
          <t>pagado</t>
        </is>
      </c>
      <c r="F7840" s="23" t="n">
        <v>46277</v>
      </c>
      <c r="G7840" s="24">
        <f>F7840-DATE(2026,8,31)</f>
        <v>12</v>
      </c>
      <c r="H7840" s="25" t="n">
        <v>74592320</v>
      </c>
      <c r="I7840" t="inlineStr">
        <is>
          <t>entidad-dia</t>
        </is>
      </c>
    </row>
    <row r="7841">
      <c r="A7841" t="inlineStr">
        <is>
          <t>PRAGMA</t>
        </is>
      </c>
      <c r="B7841" t="inlineStr">
        <is>
          <t>M2</t>
        </is>
      </c>
      <c r="C7841" t="inlineStr">
        <is>
          <t>Cali</t>
        </is>
      </c>
      <c r="D7841" t="inlineStr">
        <is>
          <t>8667</t>
        </is>
      </c>
      <c r="E7841" t="inlineStr">
        <is>
          <t>cash_in</t>
        </is>
      </c>
      <c r="F7841" s="23" t="n">
        <v>46277</v>
      </c>
      <c r="G7841" s="24">
        <f>F7841-DATE(2026,8,31)</f>
        <v>12</v>
      </c>
      <c r="H7841" s="25" t="n">
        <v>16273132</v>
      </c>
      <c r="I7841" t="inlineStr">
        <is>
          <t>entidad-dia</t>
        </is>
      </c>
    </row>
    <row r="7842">
      <c r="A7842" t="inlineStr">
        <is>
          <t>PRAGMA</t>
        </is>
      </c>
      <c r="B7842" t="inlineStr">
        <is>
          <t>M2</t>
        </is>
      </c>
      <c r="C7842" t="inlineStr">
        <is>
          <t>Cali</t>
        </is>
      </c>
      <c r="D7842" t="inlineStr">
        <is>
          <t>8667</t>
        </is>
      </c>
      <c r="E7842" t="inlineStr">
        <is>
          <t>pagado</t>
        </is>
      </c>
      <c r="F7842" s="23" t="n">
        <v>46278</v>
      </c>
      <c r="G7842" s="24">
        <f>F7842-DATE(2026,8,31)</f>
        <v>13</v>
      </c>
      <c r="H7842" s="25" t="n">
        <v>54448627</v>
      </c>
      <c r="I7842" t="inlineStr">
        <is>
          <t>entidad-dia</t>
        </is>
      </c>
    </row>
    <row r="7843">
      <c r="A7843" t="inlineStr">
        <is>
          <t>PRAGMA</t>
        </is>
      </c>
      <c r="B7843" t="inlineStr">
        <is>
          <t>M2</t>
        </is>
      </c>
      <c r="C7843" t="inlineStr">
        <is>
          <t>Cali</t>
        </is>
      </c>
      <c r="D7843" t="inlineStr">
        <is>
          <t>8667</t>
        </is>
      </c>
      <c r="E7843" t="inlineStr">
        <is>
          <t>cash_in</t>
        </is>
      </c>
      <c r="F7843" s="23" t="n">
        <v>46278</v>
      </c>
      <c r="G7843" s="24">
        <f>F7843-DATE(2026,8,31)</f>
        <v>13</v>
      </c>
      <c r="H7843" s="25" t="n">
        <v>9553381</v>
      </c>
      <c r="I7843" t="inlineStr">
        <is>
          <t>entidad-dia</t>
        </is>
      </c>
    </row>
    <row r="7844">
      <c r="A7844" t="inlineStr">
        <is>
          <t>PRAGMA</t>
        </is>
      </c>
      <c r="B7844" t="inlineStr">
        <is>
          <t>M2</t>
        </is>
      </c>
      <c r="C7844" t="inlineStr">
        <is>
          <t>Cali</t>
        </is>
      </c>
      <c r="D7844" t="inlineStr">
        <is>
          <t>8667</t>
        </is>
      </c>
      <c r="E7844" t="inlineStr">
        <is>
          <t>pagado</t>
        </is>
      </c>
      <c r="F7844" s="23" t="n">
        <v>46279</v>
      </c>
      <c r="G7844" s="24">
        <f>F7844-DATE(2026,8,31)</f>
        <v>14</v>
      </c>
      <c r="H7844" s="25" t="n">
        <v>73364842</v>
      </c>
      <c r="I7844" t="inlineStr">
        <is>
          <t>entidad-dia</t>
        </is>
      </c>
    </row>
    <row r="7845">
      <c r="A7845" t="inlineStr">
        <is>
          <t>PRAGMA</t>
        </is>
      </c>
      <c r="B7845" t="inlineStr">
        <is>
          <t>M2</t>
        </is>
      </c>
      <c r="C7845" t="inlineStr">
        <is>
          <t>Cali</t>
        </is>
      </c>
      <c r="D7845" t="inlineStr">
        <is>
          <t>8667</t>
        </is>
      </c>
      <c r="E7845" t="inlineStr">
        <is>
          <t>cash_in</t>
        </is>
      </c>
      <c r="F7845" s="23" t="n">
        <v>46279</v>
      </c>
      <c r="G7845" s="24">
        <f>F7845-DATE(2026,8,31)</f>
        <v>14</v>
      </c>
      <c r="H7845" s="25" t="n">
        <v>20800800</v>
      </c>
      <c r="I7845" t="inlineStr">
        <is>
          <t>entidad-dia</t>
        </is>
      </c>
    </row>
    <row r="7846">
      <c r="A7846" t="inlineStr">
        <is>
          <t>PRAGMA</t>
        </is>
      </c>
      <c r="B7846" t="inlineStr">
        <is>
          <t>M2</t>
        </is>
      </c>
      <c r="C7846" t="inlineStr">
        <is>
          <t>Cali</t>
        </is>
      </c>
      <c r="D7846" t="inlineStr">
        <is>
          <t>8667</t>
        </is>
      </c>
      <c r="E7846" t="inlineStr">
        <is>
          <t>pagado</t>
        </is>
      </c>
      <c r="F7846" s="23" t="n">
        <v>46280</v>
      </c>
      <c r="G7846" s="24">
        <f>F7846-DATE(2026,8,31)</f>
        <v>15</v>
      </c>
      <c r="H7846" s="25" t="n">
        <v>116625431</v>
      </c>
      <c r="I7846" t="inlineStr">
        <is>
          <t>entidad-dia</t>
        </is>
      </c>
    </row>
    <row r="7847">
      <c r="A7847" t="inlineStr">
        <is>
          <t>PRAGMA</t>
        </is>
      </c>
      <c r="B7847" t="inlineStr">
        <is>
          <t>M2</t>
        </is>
      </c>
      <c r="C7847" t="inlineStr">
        <is>
          <t>Cali</t>
        </is>
      </c>
      <c r="D7847" t="inlineStr">
        <is>
          <t>8667</t>
        </is>
      </c>
      <c r="E7847" t="inlineStr">
        <is>
          <t>cash_in</t>
        </is>
      </c>
      <c r="F7847" s="23" t="n">
        <v>46280</v>
      </c>
      <c r="G7847" s="24">
        <f>F7847-DATE(2026,8,31)</f>
        <v>15</v>
      </c>
      <c r="H7847" s="25" t="n">
        <v>20213640</v>
      </c>
      <c r="I7847" t="inlineStr">
        <is>
          <t>entidad-dia</t>
        </is>
      </c>
    </row>
    <row r="7848">
      <c r="A7848" t="inlineStr">
        <is>
          <t>PRAGMA</t>
        </is>
      </c>
      <c r="B7848" t="inlineStr">
        <is>
          <t>M2</t>
        </is>
      </c>
      <c r="C7848" t="inlineStr">
        <is>
          <t>Cali</t>
        </is>
      </c>
      <c r="D7848" t="inlineStr">
        <is>
          <t>8732</t>
        </is>
      </c>
      <c r="E7848" t="inlineStr">
        <is>
          <t>pagado</t>
        </is>
      </c>
      <c r="F7848" s="23" t="n">
        <v>46266</v>
      </c>
      <c r="G7848" s="24">
        <f>F7848-DATE(2026,8,31)</f>
        <v>1</v>
      </c>
      <c r="H7848" s="25" t="n">
        <v>80177207</v>
      </c>
      <c r="I7848" t="inlineStr">
        <is>
          <t>entidad-dia</t>
        </is>
      </c>
    </row>
    <row r="7849">
      <c r="A7849" t="inlineStr">
        <is>
          <t>PRAGMA</t>
        </is>
      </c>
      <c r="B7849" t="inlineStr">
        <is>
          <t>M2</t>
        </is>
      </c>
      <c r="C7849" t="inlineStr">
        <is>
          <t>Cali</t>
        </is>
      </c>
      <c r="D7849" t="inlineStr">
        <is>
          <t>8732</t>
        </is>
      </c>
      <c r="E7849" t="inlineStr">
        <is>
          <t>cash_in</t>
        </is>
      </c>
      <c r="F7849" s="23" t="n">
        <v>46266</v>
      </c>
      <c r="G7849" s="24">
        <f>F7849-DATE(2026,8,31)</f>
        <v>1</v>
      </c>
      <c r="H7849" s="25" t="n">
        <v>104303537</v>
      </c>
      <c r="I7849" t="inlineStr">
        <is>
          <t>entidad-dia</t>
        </is>
      </c>
    </row>
    <row r="7850">
      <c r="A7850" t="inlineStr">
        <is>
          <t>PRAGMA</t>
        </is>
      </c>
      <c r="B7850" t="inlineStr">
        <is>
          <t>M2</t>
        </is>
      </c>
      <c r="C7850" t="inlineStr">
        <is>
          <t>Cali</t>
        </is>
      </c>
      <c r="D7850" t="inlineStr">
        <is>
          <t>8732</t>
        </is>
      </c>
      <c r="E7850" t="inlineStr">
        <is>
          <t>pagado</t>
        </is>
      </c>
      <c r="F7850" s="23" t="n">
        <v>46267</v>
      </c>
      <c r="G7850" s="24">
        <f>F7850-DATE(2026,8,31)</f>
        <v>2</v>
      </c>
      <c r="H7850" s="25" t="n">
        <v>66419074</v>
      </c>
      <c r="I7850" t="inlineStr">
        <is>
          <t>entidad-dia</t>
        </is>
      </c>
    </row>
    <row r="7851">
      <c r="A7851" t="inlineStr">
        <is>
          <t>PRAGMA</t>
        </is>
      </c>
      <c r="B7851" t="inlineStr">
        <is>
          <t>M2</t>
        </is>
      </c>
      <c r="C7851" t="inlineStr">
        <is>
          <t>Cali</t>
        </is>
      </c>
      <c r="D7851" t="inlineStr">
        <is>
          <t>8732</t>
        </is>
      </c>
      <c r="E7851" t="inlineStr">
        <is>
          <t>cash_in</t>
        </is>
      </c>
      <c r="F7851" s="23" t="n">
        <v>46267</v>
      </c>
      <c r="G7851" s="24">
        <f>F7851-DATE(2026,8,31)</f>
        <v>2</v>
      </c>
      <c r="H7851" s="25" t="n">
        <v>91327855</v>
      </c>
      <c r="I7851" t="inlineStr">
        <is>
          <t>entidad-dia</t>
        </is>
      </c>
    </row>
    <row r="7852">
      <c r="A7852" t="inlineStr">
        <is>
          <t>PRAGMA</t>
        </is>
      </c>
      <c r="B7852" t="inlineStr">
        <is>
          <t>M2</t>
        </is>
      </c>
      <c r="C7852" t="inlineStr">
        <is>
          <t>Cali</t>
        </is>
      </c>
      <c r="D7852" t="inlineStr">
        <is>
          <t>8732</t>
        </is>
      </c>
      <c r="E7852" t="inlineStr">
        <is>
          <t>pagado</t>
        </is>
      </c>
      <c r="F7852" s="23" t="n">
        <v>46268</v>
      </c>
      <c r="G7852" s="24">
        <f>F7852-DATE(2026,8,31)</f>
        <v>3</v>
      </c>
      <c r="H7852" s="25" t="n">
        <v>62795661</v>
      </c>
      <c r="I7852" t="inlineStr">
        <is>
          <t>entidad-dia</t>
        </is>
      </c>
    </row>
    <row r="7853">
      <c r="A7853" t="inlineStr">
        <is>
          <t>PRAGMA</t>
        </is>
      </c>
      <c r="B7853" t="inlineStr">
        <is>
          <t>M2</t>
        </is>
      </c>
      <c r="C7853" t="inlineStr">
        <is>
          <t>Cali</t>
        </is>
      </c>
      <c r="D7853" t="inlineStr">
        <is>
          <t>8732</t>
        </is>
      </c>
      <c r="E7853" t="inlineStr">
        <is>
          <t>cash_in</t>
        </is>
      </c>
      <c r="F7853" s="23" t="n">
        <v>46268</v>
      </c>
      <c r="G7853" s="24">
        <f>F7853-DATE(2026,8,31)</f>
        <v>3</v>
      </c>
      <c r="H7853" s="25" t="n">
        <v>95918663</v>
      </c>
      <c r="I7853" t="inlineStr">
        <is>
          <t>entidad-dia</t>
        </is>
      </c>
    </row>
    <row r="7854">
      <c r="A7854" t="inlineStr">
        <is>
          <t>PRAGMA</t>
        </is>
      </c>
      <c r="B7854" t="inlineStr">
        <is>
          <t>M2</t>
        </is>
      </c>
      <c r="C7854" t="inlineStr">
        <is>
          <t>Cali</t>
        </is>
      </c>
      <c r="D7854" t="inlineStr">
        <is>
          <t>8732</t>
        </is>
      </c>
      <c r="E7854" t="inlineStr">
        <is>
          <t>pagado</t>
        </is>
      </c>
      <c r="F7854" s="23" t="n">
        <v>46269</v>
      </c>
      <c r="G7854" s="24">
        <f>F7854-DATE(2026,8,31)</f>
        <v>4</v>
      </c>
      <c r="H7854" s="25" t="n">
        <v>61076054</v>
      </c>
      <c r="I7854" t="inlineStr">
        <is>
          <t>entidad-dia</t>
        </is>
      </c>
    </row>
    <row r="7855">
      <c r="A7855" t="inlineStr">
        <is>
          <t>PRAGMA</t>
        </is>
      </c>
      <c r="B7855" t="inlineStr">
        <is>
          <t>M2</t>
        </is>
      </c>
      <c r="C7855" t="inlineStr">
        <is>
          <t>Cali</t>
        </is>
      </c>
      <c r="D7855" t="inlineStr">
        <is>
          <t>8732</t>
        </is>
      </c>
      <c r="E7855" t="inlineStr">
        <is>
          <t>cash_in</t>
        </is>
      </c>
      <c r="F7855" s="23" t="n">
        <v>46269</v>
      </c>
      <c r="G7855" s="24">
        <f>F7855-DATE(2026,8,31)</f>
        <v>4</v>
      </c>
      <c r="H7855" s="25" t="n">
        <v>91973622</v>
      </c>
      <c r="I7855" t="inlineStr">
        <is>
          <t>entidad-dia</t>
        </is>
      </c>
    </row>
    <row r="7856">
      <c r="A7856" t="inlineStr">
        <is>
          <t>PRAGMA</t>
        </is>
      </c>
      <c r="B7856" t="inlineStr">
        <is>
          <t>M2</t>
        </is>
      </c>
      <c r="C7856" t="inlineStr">
        <is>
          <t>Cali</t>
        </is>
      </c>
      <c r="D7856" t="inlineStr">
        <is>
          <t>8732</t>
        </is>
      </c>
      <c r="E7856" t="inlineStr">
        <is>
          <t>pagado</t>
        </is>
      </c>
      <c r="F7856" s="23" t="n">
        <v>46270</v>
      </c>
      <c r="G7856" s="24">
        <f>F7856-DATE(2026,8,31)</f>
        <v>5</v>
      </c>
      <c r="H7856" s="25" t="n">
        <v>54614292</v>
      </c>
      <c r="I7856" t="inlineStr">
        <is>
          <t>entidad-dia</t>
        </is>
      </c>
    </row>
    <row r="7857">
      <c r="A7857" t="inlineStr">
        <is>
          <t>PRAGMA</t>
        </is>
      </c>
      <c r="B7857" t="inlineStr">
        <is>
          <t>M2</t>
        </is>
      </c>
      <c r="C7857" t="inlineStr">
        <is>
          <t>Cali</t>
        </is>
      </c>
      <c r="D7857" t="inlineStr">
        <is>
          <t>8732</t>
        </is>
      </c>
      <c r="E7857" t="inlineStr">
        <is>
          <t>cash_in</t>
        </is>
      </c>
      <c r="F7857" s="23" t="n">
        <v>46270</v>
      </c>
      <c r="G7857" s="24">
        <f>F7857-DATE(2026,8,31)</f>
        <v>5</v>
      </c>
      <c r="H7857" s="25" t="n">
        <v>68086450</v>
      </c>
      <c r="I7857" t="inlineStr">
        <is>
          <t>entidad-dia</t>
        </is>
      </c>
    </row>
    <row r="7858">
      <c r="A7858" t="inlineStr">
        <is>
          <t>PRAGMA</t>
        </is>
      </c>
      <c r="B7858" t="inlineStr">
        <is>
          <t>M2</t>
        </is>
      </c>
      <c r="C7858" t="inlineStr">
        <is>
          <t>Cali</t>
        </is>
      </c>
      <c r="D7858" t="inlineStr">
        <is>
          <t>8732</t>
        </is>
      </c>
      <c r="E7858" t="inlineStr">
        <is>
          <t>pagado</t>
        </is>
      </c>
      <c r="F7858" s="23" t="n">
        <v>46271</v>
      </c>
      <c r="G7858" s="24">
        <f>F7858-DATE(2026,8,31)</f>
        <v>6</v>
      </c>
      <c r="H7858" s="25" t="n">
        <v>7182594</v>
      </c>
      <c r="I7858" t="inlineStr">
        <is>
          <t>entidad-dia</t>
        </is>
      </c>
    </row>
    <row r="7859">
      <c r="A7859" t="inlineStr">
        <is>
          <t>PRAGMA</t>
        </is>
      </c>
      <c r="B7859" t="inlineStr">
        <is>
          <t>M2</t>
        </is>
      </c>
      <c r="C7859" t="inlineStr">
        <is>
          <t>Cali</t>
        </is>
      </c>
      <c r="D7859" t="inlineStr">
        <is>
          <t>8732</t>
        </is>
      </c>
      <c r="E7859" t="inlineStr">
        <is>
          <t>cash_in</t>
        </is>
      </c>
      <c r="F7859" s="23" t="n">
        <v>46271</v>
      </c>
      <c r="G7859" s="24">
        <f>F7859-DATE(2026,8,31)</f>
        <v>6</v>
      </c>
      <c r="H7859" s="25" t="n">
        <v>6721256</v>
      </c>
      <c r="I7859" t="inlineStr">
        <is>
          <t>entidad-dia</t>
        </is>
      </c>
    </row>
    <row r="7860">
      <c r="A7860" t="inlineStr">
        <is>
          <t>PRAGMA</t>
        </is>
      </c>
      <c r="B7860" t="inlineStr">
        <is>
          <t>M2</t>
        </is>
      </c>
      <c r="C7860" t="inlineStr">
        <is>
          <t>Cali</t>
        </is>
      </c>
      <c r="D7860" t="inlineStr">
        <is>
          <t>8732</t>
        </is>
      </c>
      <c r="E7860" t="inlineStr">
        <is>
          <t>pagado</t>
        </is>
      </c>
      <c r="F7860" s="23" t="n">
        <v>46272</v>
      </c>
      <c r="G7860" s="24">
        <f>F7860-DATE(2026,8,31)</f>
        <v>7</v>
      </c>
      <c r="H7860" s="25" t="n">
        <v>50344961</v>
      </c>
      <c r="I7860" t="inlineStr">
        <is>
          <t>entidad-dia</t>
        </is>
      </c>
    </row>
    <row r="7861">
      <c r="A7861" t="inlineStr">
        <is>
          <t>PRAGMA</t>
        </is>
      </c>
      <c r="B7861" t="inlineStr">
        <is>
          <t>M2</t>
        </is>
      </c>
      <c r="C7861" t="inlineStr">
        <is>
          <t>Cali</t>
        </is>
      </c>
      <c r="D7861" t="inlineStr">
        <is>
          <t>8732</t>
        </is>
      </c>
      <c r="E7861" t="inlineStr">
        <is>
          <t>cash_in</t>
        </is>
      </c>
      <c r="F7861" s="23" t="n">
        <v>46272</v>
      </c>
      <c r="G7861" s="24">
        <f>F7861-DATE(2026,8,31)</f>
        <v>7</v>
      </c>
      <c r="H7861" s="25" t="n">
        <v>95840967</v>
      </c>
      <c r="I7861" t="inlineStr">
        <is>
          <t>entidad-dia</t>
        </is>
      </c>
    </row>
    <row r="7862">
      <c r="A7862" t="inlineStr">
        <is>
          <t>PRAGMA</t>
        </is>
      </c>
      <c r="B7862" t="inlineStr">
        <is>
          <t>M2</t>
        </is>
      </c>
      <c r="C7862" t="inlineStr">
        <is>
          <t>Cali</t>
        </is>
      </c>
      <c r="D7862" t="inlineStr">
        <is>
          <t>8732</t>
        </is>
      </c>
      <c r="E7862" t="inlineStr">
        <is>
          <t>pagado</t>
        </is>
      </c>
      <c r="F7862" s="23" t="n">
        <v>46273</v>
      </c>
      <c r="G7862" s="24">
        <f>F7862-DATE(2026,8,31)</f>
        <v>8</v>
      </c>
      <c r="H7862" s="25" t="n">
        <v>52638835</v>
      </c>
      <c r="I7862" t="inlineStr">
        <is>
          <t>entidad-dia</t>
        </is>
      </c>
    </row>
    <row r="7863">
      <c r="A7863" t="inlineStr">
        <is>
          <t>PRAGMA</t>
        </is>
      </c>
      <c r="B7863" t="inlineStr">
        <is>
          <t>M2</t>
        </is>
      </c>
      <c r="C7863" t="inlineStr">
        <is>
          <t>Cali</t>
        </is>
      </c>
      <c r="D7863" t="inlineStr">
        <is>
          <t>8732</t>
        </is>
      </c>
      <c r="E7863" t="inlineStr">
        <is>
          <t>cash_in</t>
        </is>
      </c>
      <c r="F7863" s="23" t="n">
        <v>46273</v>
      </c>
      <c r="G7863" s="24">
        <f>F7863-DATE(2026,8,31)</f>
        <v>8</v>
      </c>
      <c r="H7863" s="25" t="n">
        <v>95675795</v>
      </c>
      <c r="I7863" t="inlineStr">
        <is>
          <t>entidad-dia</t>
        </is>
      </c>
    </row>
    <row r="7864">
      <c r="A7864" t="inlineStr">
        <is>
          <t>PRAGMA</t>
        </is>
      </c>
      <c r="B7864" t="inlineStr">
        <is>
          <t>M2</t>
        </is>
      </c>
      <c r="C7864" t="inlineStr">
        <is>
          <t>Cali</t>
        </is>
      </c>
      <c r="D7864" t="inlineStr">
        <is>
          <t>8732</t>
        </is>
      </c>
      <c r="E7864" t="inlineStr">
        <is>
          <t>pagado</t>
        </is>
      </c>
      <c r="F7864" s="23" t="n">
        <v>46274</v>
      </c>
      <c r="G7864" s="24">
        <f>F7864-DATE(2026,8,31)</f>
        <v>9</v>
      </c>
      <c r="H7864" s="25" t="n">
        <v>47296001</v>
      </c>
      <c r="I7864" t="inlineStr">
        <is>
          <t>entidad-dia</t>
        </is>
      </c>
    </row>
    <row r="7865">
      <c r="A7865" t="inlineStr">
        <is>
          <t>PRAGMA</t>
        </is>
      </c>
      <c r="B7865" t="inlineStr">
        <is>
          <t>M2</t>
        </is>
      </c>
      <c r="C7865" t="inlineStr">
        <is>
          <t>Cali</t>
        </is>
      </c>
      <c r="D7865" t="inlineStr">
        <is>
          <t>8732</t>
        </is>
      </c>
      <c r="E7865" t="inlineStr">
        <is>
          <t>cash_in</t>
        </is>
      </c>
      <c r="F7865" s="23" t="n">
        <v>46274</v>
      </c>
      <c r="G7865" s="24">
        <f>F7865-DATE(2026,8,31)</f>
        <v>9</v>
      </c>
      <c r="H7865" s="25" t="n">
        <v>85831362</v>
      </c>
      <c r="I7865" t="inlineStr">
        <is>
          <t>entidad-dia</t>
        </is>
      </c>
    </row>
    <row r="7866">
      <c r="A7866" t="inlineStr">
        <is>
          <t>PRAGMA</t>
        </is>
      </c>
      <c r="B7866" t="inlineStr">
        <is>
          <t>M2</t>
        </is>
      </c>
      <c r="C7866" t="inlineStr">
        <is>
          <t>Cali</t>
        </is>
      </c>
      <c r="D7866" t="inlineStr">
        <is>
          <t>8732</t>
        </is>
      </c>
      <c r="E7866" t="inlineStr">
        <is>
          <t>pagado</t>
        </is>
      </c>
      <c r="F7866" s="23" t="n">
        <v>46275</v>
      </c>
      <c r="G7866" s="24">
        <f>F7866-DATE(2026,8,31)</f>
        <v>10</v>
      </c>
      <c r="H7866" s="25" t="n">
        <v>48719629</v>
      </c>
      <c r="I7866" t="inlineStr">
        <is>
          <t>entidad-dia</t>
        </is>
      </c>
    </row>
    <row r="7867">
      <c r="A7867" t="inlineStr">
        <is>
          <t>PRAGMA</t>
        </is>
      </c>
      <c r="B7867" t="inlineStr">
        <is>
          <t>M2</t>
        </is>
      </c>
      <c r="C7867" t="inlineStr">
        <is>
          <t>Cali</t>
        </is>
      </c>
      <c r="D7867" t="inlineStr">
        <is>
          <t>8732</t>
        </is>
      </c>
      <c r="E7867" t="inlineStr">
        <is>
          <t>cash_in</t>
        </is>
      </c>
      <c r="F7867" s="23" t="n">
        <v>46275</v>
      </c>
      <c r="G7867" s="24">
        <f>F7867-DATE(2026,8,31)</f>
        <v>10</v>
      </c>
      <c r="H7867" s="25" t="n">
        <v>81892148</v>
      </c>
      <c r="I7867" t="inlineStr">
        <is>
          <t>entidad-dia</t>
        </is>
      </c>
    </row>
    <row r="7868">
      <c r="A7868" t="inlineStr">
        <is>
          <t>PRAGMA</t>
        </is>
      </c>
      <c r="B7868" t="inlineStr">
        <is>
          <t>M2</t>
        </is>
      </c>
      <c r="C7868" t="inlineStr">
        <is>
          <t>Cali</t>
        </is>
      </c>
      <c r="D7868" t="inlineStr">
        <is>
          <t>8732</t>
        </is>
      </c>
      <c r="E7868" t="inlineStr">
        <is>
          <t>pagado</t>
        </is>
      </c>
      <c r="F7868" s="23" t="n">
        <v>46276</v>
      </c>
      <c r="G7868" s="24">
        <f>F7868-DATE(2026,8,31)</f>
        <v>11</v>
      </c>
      <c r="H7868" s="25" t="n">
        <v>52369353</v>
      </c>
      <c r="I7868" t="inlineStr">
        <is>
          <t>entidad-dia</t>
        </is>
      </c>
    </row>
    <row r="7869">
      <c r="A7869" t="inlineStr">
        <is>
          <t>PRAGMA</t>
        </is>
      </c>
      <c r="B7869" t="inlineStr">
        <is>
          <t>M2</t>
        </is>
      </c>
      <c r="C7869" t="inlineStr">
        <is>
          <t>Cali</t>
        </is>
      </c>
      <c r="D7869" t="inlineStr">
        <is>
          <t>8732</t>
        </is>
      </c>
      <c r="E7869" t="inlineStr">
        <is>
          <t>cash_in</t>
        </is>
      </c>
      <c r="F7869" s="23" t="n">
        <v>46276</v>
      </c>
      <c r="G7869" s="24">
        <f>F7869-DATE(2026,8,31)</f>
        <v>11</v>
      </c>
      <c r="H7869" s="25" t="n">
        <v>78225254</v>
      </c>
      <c r="I7869" t="inlineStr">
        <is>
          <t>entidad-dia</t>
        </is>
      </c>
    </row>
    <row r="7870">
      <c r="A7870" t="inlineStr">
        <is>
          <t>PRAGMA</t>
        </is>
      </c>
      <c r="B7870" t="inlineStr">
        <is>
          <t>M2</t>
        </is>
      </c>
      <c r="C7870" t="inlineStr">
        <is>
          <t>Cali</t>
        </is>
      </c>
      <c r="D7870" t="inlineStr">
        <is>
          <t>8732</t>
        </is>
      </c>
      <c r="E7870" t="inlineStr">
        <is>
          <t>pagado</t>
        </is>
      </c>
      <c r="F7870" s="23" t="n">
        <v>46277</v>
      </c>
      <c r="G7870" s="24">
        <f>F7870-DATE(2026,8,31)</f>
        <v>12</v>
      </c>
      <c r="H7870" s="25" t="n">
        <v>46190315</v>
      </c>
      <c r="I7870" t="inlineStr">
        <is>
          <t>entidad-dia</t>
        </is>
      </c>
    </row>
    <row r="7871">
      <c r="A7871" t="inlineStr">
        <is>
          <t>PRAGMA</t>
        </is>
      </c>
      <c r="B7871" t="inlineStr">
        <is>
          <t>M2</t>
        </is>
      </c>
      <c r="C7871" t="inlineStr">
        <is>
          <t>Cali</t>
        </is>
      </c>
      <c r="D7871" t="inlineStr">
        <is>
          <t>8732</t>
        </is>
      </c>
      <c r="E7871" t="inlineStr">
        <is>
          <t>cash_in</t>
        </is>
      </c>
      <c r="F7871" s="23" t="n">
        <v>46277</v>
      </c>
      <c r="G7871" s="24">
        <f>F7871-DATE(2026,8,31)</f>
        <v>12</v>
      </c>
      <c r="H7871" s="25" t="n">
        <v>54100597</v>
      </c>
      <c r="I7871" t="inlineStr">
        <is>
          <t>entidad-dia</t>
        </is>
      </c>
    </row>
    <row r="7872">
      <c r="A7872" t="inlineStr">
        <is>
          <t>PRAGMA</t>
        </is>
      </c>
      <c r="B7872" t="inlineStr">
        <is>
          <t>M2</t>
        </is>
      </c>
      <c r="C7872" t="inlineStr">
        <is>
          <t>Cali</t>
        </is>
      </c>
      <c r="D7872" t="inlineStr">
        <is>
          <t>8732</t>
        </is>
      </c>
      <c r="E7872" t="inlineStr">
        <is>
          <t>pagado</t>
        </is>
      </c>
      <c r="F7872" s="23" t="n">
        <v>46278</v>
      </c>
      <c r="G7872" s="24">
        <f>F7872-DATE(2026,8,31)</f>
        <v>13</v>
      </c>
      <c r="H7872" s="25" t="n">
        <v>6130822</v>
      </c>
      <c r="I7872" t="inlineStr">
        <is>
          <t>entidad-dia</t>
        </is>
      </c>
    </row>
    <row r="7873">
      <c r="A7873" t="inlineStr">
        <is>
          <t>PRAGMA</t>
        </is>
      </c>
      <c r="B7873" t="inlineStr">
        <is>
          <t>M2</t>
        </is>
      </c>
      <c r="C7873" t="inlineStr">
        <is>
          <t>Cali</t>
        </is>
      </c>
      <c r="D7873" t="inlineStr">
        <is>
          <t>8732</t>
        </is>
      </c>
      <c r="E7873" t="inlineStr">
        <is>
          <t>cash_in</t>
        </is>
      </c>
      <c r="F7873" s="23" t="n">
        <v>46278</v>
      </c>
      <c r="G7873" s="24">
        <f>F7873-DATE(2026,8,31)</f>
        <v>13</v>
      </c>
      <c r="H7873" s="25" t="n">
        <v>1458366</v>
      </c>
      <c r="I7873" t="inlineStr">
        <is>
          <t>entidad-dia</t>
        </is>
      </c>
    </row>
    <row r="7874">
      <c r="A7874" t="inlineStr">
        <is>
          <t>PRAGMA</t>
        </is>
      </c>
      <c r="B7874" t="inlineStr">
        <is>
          <t>M2</t>
        </is>
      </c>
      <c r="C7874" t="inlineStr">
        <is>
          <t>Cali</t>
        </is>
      </c>
      <c r="D7874" t="inlineStr">
        <is>
          <t>8732</t>
        </is>
      </c>
      <c r="E7874" t="inlineStr">
        <is>
          <t>pagado</t>
        </is>
      </c>
      <c r="F7874" s="23" t="n">
        <v>46279</v>
      </c>
      <c r="G7874" s="24">
        <f>F7874-DATE(2026,8,31)</f>
        <v>14</v>
      </c>
      <c r="H7874" s="25" t="n">
        <v>43909425</v>
      </c>
      <c r="I7874" t="inlineStr">
        <is>
          <t>entidad-dia</t>
        </is>
      </c>
    </row>
    <row r="7875">
      <c r="A7875" t="inlineStr">
        <is>
          <t>PRAGMA</t>
        </is>
      </c>
      <c r="B7875" t="inlineStr">
        <is>
          <t>M2</t>
        </is>
      </c>
      <c r="C7875" t="inlineStr">
        <is>
          <t>Cali</t>
        </is>
      </c>
      <c r="D7875" t="inlineStr">
        <is>
          <t>8732</t>
        </is>
      </c>
      <c r="E7875" t="inlineStr">
        <is>
          <t>cash_in</t>
        </is>
      </c>
      <c r="F7875" s="23" t="n">
        <v>46279</v>
      </c>
      <c r="G7875" s="24">
        <f>F7875-DATE(2026,8,31)</f>
        <v>14</v>
      </c>
      <c r="H7875" s="25" t="n">
        <v>77340591</v>
      </c>
      <c r="I7875" t="inlineStr">
        <is>
          <t>entidad-dia</t>
        </is>
      </c>
    </row>
    <row r="7876">
      <c r="A7876" t="inlineStr">
        <is>
          <t>PRAGMA</t>
        </is>
      </c>
      <c r="B7876" t="inlineStr">
        <is>
          <t>M2</t>
        </is>
      </c>
      <c r="C7876" t="inlineStr">
        <is>
          <t>Cali</t>
        </is>
      </c>
      <c r="D7876" t="inlineStr">
        <is>
          <t>8732</t>
        </is>
      </c>
      <c r="E7876" t="inlineStr">
        <is>
          <t>pagado</t>
        </is>
      </c>
      <c r="F7876" s="23" t="n">
        <v>46280</v>
      </c>
      <c r="G7876" s="24">
        <f>F7876-DATE(2026,8,31)</f>
        <v>15</v>
      </c>
      <c r="H7876" s="25" t="n">
        <v>64358363</v>
      </c>
      <c r="I7876" t="inlineStr">
        <is>
          <t>entidad-dia</t>
        </is>
      </c>
    </row>
    <row r="7877">
      <c r="A7877" t="inlineStr">
        <is>
          <t>PRAGMA</t>
        </is>
      </c>
      <c r="B7877" t="inlineStr">
        <is>
          <t>M2</t>
        </is>
      </c>
      <c r="C7877" t="inlineStr">
        <is>
          <t>Cali</t>
        </is>
      </c>
      <c r="D7877" t="inlineStr">
        <is>
          <t>8732</t>
        </is>
      </c>
      <c r="E7877" t="inlineStr">
        <is>
          <t>cash_in</t>
        </is>
      </c>
      <c r="F7877" s="23" t="n">
        <v>46280</v>
      </c>
      <c r="G7877" s="24">
        <f>F7877-DATE(2026,8,31)</f>
        <v>15</v>
      </c>
      <c r="H7877" s="25" t="n">
        <v>91182318</v>
      </c>
      <c r="I7877" t="inlineStr">
        <is>
          <t>entidad-dia</t>
        </is>
      </c>
    </row>
    <row r="7878">
      <c r="A7878" t="inlineStr">
        <is>
          <t>PRAGMA</t>
        </is>
      </c>
      <c r="B7878" t="inlineStr">
        <is>
          <t>M2</t>
        </is>
      </c>
      <c r="C7878" t="inlineStr">
        <is>
          <t>Cali</t>
        </is>
      </c>
      <c r="D7878" t="inlineStr">
        <is>
          <t>8733</t>
        </is>
      </c>
      <c r="E7878" t="inlineStr">
        <is>
          <t>pagado</t>
        </is>
      </c>
      <c r="F7878" s="23" t="n">
        <v>46266</v>
      </c>
      <c r="G7878" s="24">
        <f>F7878-DATE(2026,8,31)</f>
        <v>1</v>
      </c>
      <c r="H7878" s="25" t="n">
        <v>32059839</v>
      </c>
      <c r="I7878" t="inlineStr">
        <is>
          <t>entidad-dia</t>
        </is>
      </c>
    </row>
    <row r="7879">
      <c r="A7879" t="inlineStr">
        <is>
          <t>PRAGMA</t>
        </is>
      </c>
      <c r="B7879" t="inlineStr">
        <is>
          <t>M2</t>
        </is>
      </c>
      <c r="C7879" t="inlineStr">
        <is>
          <t>Cali</t>
        </is>
      </c>
      <c r="D7879" t="inlineStr">
        <is>
          <t>8733</t>
        </is>
      </c>
      <c r="E7879" t="inlineStr">
        <is>
          <t>cash_in</t>
        </is>
      </c>
      <c r="F7879" s="23" t="n">
        <v>46266</v>
      </c>
      <c r="G7879" s="24">
        <f>F7879-DATE(2026,8,31)</f>
        <v>1</v>
      </c>
      <c r="H7879" s="25" t="n">
        <v>58405665</v>
      </c>
      <c r="I7879" t="inlineStr">
        <is>
          <t>entidad-dia</t>
        </is>
      </c>
    </row>
    <row r="7880">
      <c r="A7880" t="inlineStr">
        <is>
          <t>PRAGMA</t>
        </is>
      </c>
      <c r="B7880" t="inlineStr">
        <is>
          <t>M2</t>
        </is>
      </c>
      <c r="C7880" t="inlineStr">
        <is>
          <t>Cali</t>
        </is>
      </c>
      <c r="D7880" t="inlineStr">
        <is>
          <t>8733</t>
        </is>
      </c>
      <c r="E7880" t="inlineStr">
        <is>
          <t>pagado</t>
        </is>
      </c>
      <c r="F7880" s="23" t="n">
        <v>46267</v>
      </c>
      <c r="G7880" s="24">
        <f>F7880-DATE(2026,8,31)</f>
        <v>2</v>
      </c>
      <c r="H7880" s="25" t="n">
        <v>27211607</v>
      </c>
      <c r="I7880" t="inlineStr">
        <is>
          <t>entidad-dia</t>
        </is>
      </c>
    </row>
    <row r="7881">
      <c r="A7881" t="inlineStr">
        <is>
          <t>PRAGMA</t>
        </is>
      </c>
      <c r="B7881" t="inlineStr">
        <is>
          <t>M2</t>
        </is>
      </c>
      <c r="C7881" t="inlineStr">
        <is>
          <t>Cali</t>
        </is>
      </c>
      <c r="D7881" t="inlineStr">
        <is>
          <t>8733</t>
        </is>
      </c>
      <c r="E7881" t="inlineStr">
        <is>
          <t>cash_in</t>
        </is>
      </c>
      <c r="F7881" s="23" t="n">
        <v>46267</v>
      </c>
      <c r="G7881" s="24">
        <f>F7881-DATE(2026,8,31)</f>
        <v>2</v>
      </c>
      <c r="H7881" s="25" t="n">
        <v>49254932</v>
      </c>
      <c r="I7881" t="inlineStr">
        <is>
          <t>entidad-dia</t>
        </is>
      </c>
    </row>
    <row r="7882">
      <c r="A7882" t="inlineStr">
        <is>
          <t>PRAGMA</t>
        </is>
      </c>
      <c r="B7882" t="inlineStr">
        <is>
          <t>M2</t>
        </is>
      </c>
      <c r="C7882" t="inlineStr">
        <is>
          <t>Cali</t>
        </is>
      </c>
      <c r="D7882" t="inlineStr">
        <is>
          <t>8733</t>
        </is>
      </c>
      <c r="E7882" t="inlineStr">
        <is>
          <t>pagado</t>
        </is>
      </c>
      <c r="F7882" s="23" t="n">
        <v>46268</v>
      </c>
      <c r="G7882" s="24">
        <f>F7882-DATE(2026,8,31)</f>
        <v>3</v>
      </c>
      <c r="H7882" s="25" t="n">
        <v>26491079</v>
      </c>
      <c r="I7882" t="inlineStr">
        <is>
          <t>entidad-dia</t>
        </is>
      </c>
    </row>
    <row r="7883">
      <c r="A7883" t="inlineStr">
        <is>
          <t>PRAGMA</t>
        </is>
      </c>
      <c r="B7883" t="inlineStr">
        <is>
          <t>M2</t>
        </is>
      </c>
      <c r="C7883" t="inlineStr">
        <is>
          <t>Cali</t>
        </is>
      </c>
      <c r="D7883" t="inlineStr">
        <is>
          <t>8733</t>
        </is>
      </c>
      <c r="E7883" t="inlineStr">
        <is>
          <t>cash_in</t>
        </is>
      </c>
      <c r="F7883" s="23" t="n">
        <v>46268</v>
      </c>
      <c r="G7883" s="24">
        <f>F7883-DATE(2026,8,31)</f>
        <v>3</v>
      </c>
      <c r="H7883" s="25" t="n">
        <v>49657161</v>
      </c>
      <c r="I7883" t="inlineStr">
        <is>
          <t>entidad-dia</t>
        </is>
      </c>
    </row>
    <row r="7884">
      <c r="A7884" t="inlineStr">
        <is>
          <t>PRAGMA</t>
        </is>
      </c>
      <c r="B7884" t="inlineStr">
        <is>
          <t>M2</t>
        </is>
      </c>
      <c r="C7884" t="inlineStr">
        <is>
          <t>Cali</t>
        </is>
      </c>
      <c r="D7884" t="inlineStr">
        <is>
          <t>8733</t>
        </is>
      </c>
      <c r="E7884" t="inlineStr">
        <is>
          <t>pagado</t>
        </is>
      </c>
      <c r="F7884" s="23" t="n">
        <v>46269</v>
      </c>
      <c r="G7884" s="24">
        <f>F7884-DATE(2026,8,31)</f>
        <v>4</v>
      </c>
      <c r="H7884" s="25" t="n">
        <v>23368792</v>
      </c>
      <c r="I7884" t="inlineStr">
        <is>
          <t>entidad-dia</t>
        </is>
      </c>
    </row>
    <row r="7885">
      <c r="A7885" t="inlineStr">
        <is>
          <t>PRAGMA</t>
        </is>
      </c>
      <c r="B7885" t="inlineStr">
        <is>
          <t>M2</t>
        </is>
      </c>
      <c r="C7885" t="inlineStr">
        <is>
          <t>Cali</t>
        </is>
      </c>
      <c r="D7885" t="inlineStr">
        <is>
          <t>8733</t>
        </is>
      </c>
      <c r="E7885" t="inlineStr">
        <is>
          <t>cash_in</t>
        </is>
      </c>
      <c r="F7885" s="23" t="n">
        <v>46269</v>
      </c>
      <c r="G7885" s="24">
        <f>F7885-DATE(2026,8,31)</f>
        <v>4</v>
      </c>
      <c r="H7885" s="25" t="n">
        <v>50053131</v>
      </c>
      <c r="I7885" t="inlineStr">
        <is>
          <t>entidad-dia</t>
        </is>
      </c>
    </row>
    <row r="7886">
      <c r="A7886" t="inlineStr">
        <is>
          <t>PRAGMA</t>
        </is>
      </c>
      <c r="B7886" t="inlineStr">
        <is>
          <t>M2</t>
        </is>
      </c>
      <c r="C7886" t="inlineStr">
        <is>
          <t>Cali</t>
        </is>
      </c>
      <c r="D7886" t="inlineStr">
        <is>
          <t>8733</t>
        </is>
      </c>
      <c r="E7886" t="inlineStr">
        <is>
          <t>pagado</t>
        </is>
      </c>
      <c r="F7886" s="23" t="n">
        <v>46270</v>
      </c>
      <c r="G7886" s="24">
        <f>F7886-DATE(2026,8,31)</f>
        <v>5</v>
      </c>
      <c r="H7886" s="25" t="n">
        <v>18575859</v>
      </c>
      <c r="I7886" t="inlineStr">
        <is>
          <t>entidad-dia</t>
        </is>
      </c>
    </row>
    <row r="7887">
      <c r="A7887" t="inlineStr">
        <is>
          <t>PRAGMA</t>
        </is>
      </c>
      <c r="B7887" t="inlineStr">
        <is>
          <t>M2</t>
        </is>
      </c>
      <c r="C7887" t="inlineStr">
        <is>
          <t>Cali</t>
        </is>
      </c>
      <c r="D7887" t="inlineStr">
        <is>
          <t>8733</t>
        </is>
      </c>
      <c r="E7887" t="inlineStr">
        <is>
          <t>cash_in</t>
        </is>
      </c>
      <c r="F7887" s="23" t="n">
        <v>46270</v>
      </c>
      <c r="G7887" s="24">
        <f>F7887-DATE(2026,8,31)</f>
        <v>5</v>
      </c>
      <c r="H7887" s="25" t="n">
        <v>38472195</v>
      </c>
      <c r="I7887" t="inlineStr">
        <is>
          <t>entidad-dia</t>
        </is>
      </c>
    </row>
    <row r="7888">
      <c r="A7888" t="inlineStr">
        <is>
          <t>PRAGMA</t>
        </is>
      </c>
      <c r="B7888" t="inlineStr">
        <is>
          <t>M2</t>
        </is>
      </c>
      <c r="C7888" t="inlineStr">
        <is>
          <t>Cali</t>
        </is>
      </c>
      <c r="D7888" t="inlineStr">
        <is>
          <t>8733</t>
        </is>
      </c>
      <c r="E7888" t="inlineStr">
        <is>
          <t>pagado</t>
        </is>
      </c>
      <c r="F7888" s="23" t="n">
        <v>46271</v>
      </c>
      <c r="G7888" s="24">
        <f>F7888-DATE(2026,8,31)</f>
        <v>6</v>
      </c>
      <c r="H7888" s="25" t="n">
        <v>2277725</v>
      </c>
      <c r="I7888" t="inlineStr">
        <is>
          <t>entidad-dia</t>
        </is>
      </c>
    </row>
    <row r="7889">
      <c r="A7889" t="inlineStr">
        <is>
          <t>PRAGMA</t>
        </is>
      </c>
      <c r="B7889" t="inlineStr">
        <is>
          <t>M2</t>
        </is>
      </c>
      <c r="C7889" t="inlineStr">
        <is>
          <t>Cali</t>
        </is>
      </c>
      <c r="D7889" t="inlineStr">
        <is>
          <t>8733</t>
        </is>
      </c>
      <c r="E7889" t="inlineStr">
        <is>
          <t>cash_in</t>
        </is>
      </c>
      <c r="F7889" s="23" t="n">
        <v>46271</v>
      </c>
      <c r="G7889" s="24">
        <f>F7889-DATE(2026,8,31)</f>
        <v>6</v>
      </c>
      <c r="H7889" s="25" t="n">
        <v>5958119</v>
      </c>
      <c r="I7889" t="inlineStr">
        <is>
          <t>entidad-dia</t>
        </is>
      </c>
    </row>
    <row r="7890">
      <c r="A7890" t="inlineStr">
        <is>
          <t>PRAGMA</t>
        </is>
      </c>
      <c r="B7890" t="inlineStr">
        <is>
          <t>M2</t>
        </is>
      </c>
      <c r="C7890" t="inlineStr">
        <is>
          <t>Cali</t>
        </is>
      </c>
      <c r="D7890" t="inlineStr">
        <is>
          <t>8733</t>
        </is>
      </c>
      <c r="E7890" t="inlineStr">
        <is>
          <t>pagado</t>
        </is>
      </c>
      <c r="F7890" s="23" t="n">
        <v>46272</v>
      </c>
      <c r="G7890" s="24">
        <f>F7890-DATE(2026,8,31)</f>
        <v>7</v>
      </c>
      <c r="H7890" s="25" t="n">
        <v>20274249</v>
      </c>
      <c r="I7890" t="inlineStr">
        <is>
          <t>entidad-dia</t>
        </is>
      </c>
    </row>
    <row r="7891">
      <c r="A7891" t="inlineStr">
        <is>
          <t>PRAGMA</t>
        </is>
      </c>
      <c r="B7891" t="inlineStr">
        <is>
          <t>M2</t>
        </is>
      </c>
      <c r="C7891" t="inlineStr">
        <is>
          <t>Cali</t>
        </is>
      </c>
      <c r="D7891" t="inlineStr">
        <is>
          <t>8733</t>
        </is>
      </c>
      <c r="E7891" t="inlineStr">
        <is>
          <t>cash_in</t>
        </is>
      </c>
      <c r="F7891" s="23" t="n">
        <v>46272</v>
      </c>
      <c r="G7891" s="24">
        <f>F7891-DATE(2026,8,31)</f>
        <v>7</v>
      </c>
      <c r="H7891" s="25" t="n">
        <v>53193611</v>
      </c>
      <c r="I7891" t="inlineStr">
        <is>
          <t>entidad-dia</t>
        </is>
      </c>
    </row>
    <row r="7892">
      <c r="A7892" t="inlineStr">
        <is>
          <t>PRAGMA</t>
        </is>
      </c>
      <c r="B7892" t="inlineStr">
        <is>
          <t>M2</t>
        </is>
      </c>
      <c r="C7892" t="inlineStr">
        <is>
          <t>Cali</t>
        </is>
      </c>
      <c r="D7892" t="inlineStr">
        <is>
          <t>8733</t>
        </is>
      </c>
      <c r="E7892" t="inlineStr">
        <is>
          <t>pagado</t>
        </is>
      </c>
      <c r="F7892" s="23" t="n">
        <v>46273</v>
      </c>
      <c r="G7892" s="24">
        <f>F7892-DATE(2026,8,31)</f>
        <v>8</v>
      </c>
      <c r="H7892" s="25" t="n">
        <v>23433489</v>
      </c>
      <c r="I7892" t="inlineStr">
        <is>
          <t>entidad-dia</t>
        </is>
      </c>
    </row>
    <row r="7893">
      <c r="A7893" t="inlineStr">
        <is>
          <t>PRAGMA</t>
        </is>
      </c>
      <c r="B7893" t="inlineStr">
        <is>
          <t>M2</t>
        </is>
      </c>
      <c r="C7893" t="inlineStr">
        <is>
          <t>Cali</t>
        </is>
      </c>
      <c r="D7893" t="inlineStr">
        <is>
          <t>8733</t>
        </is>
      </c>
      <c r="E7893" t="inlineStr">
        <is>
          <t>cash_in</t>
        </is>
      </c>
      <c r="F7893" s="23" t="n">
        <v>46273</v>
      </c>
      <c r="G7893" s="24">
        <f>F7893-DATE(2026,8,31)</f>
        <v>8</v>
      </c>
      <c r="H7893" s="25" t="n">
        <v>49911188</v>
      </c>
      <c r="I7893" t="inlineStr">
        <is>
          <t>entidad-dia</t>
        </is>
      </c>
    </row>
    <row r="7894">
      <c r="A7894" t="inlineStr">
        <is>
          <t>PRAGMA</t>
        </is>
      </c>
      <c r="B7894" t="inlineStr">
        <is>
          <t>M2</t>
        </is>
      </c>
      <c r="C7894" t="inlineStr">
        <is>
          <t>Cali</t>
        </is>
      </c>
      <c r="D7894" t="inlineStr">
        <is>
          <t>8733</t>
        </is>
      </c>
      <c r="E7894" t="inlineStr">
        <is>
          <t>pagado</t>
        </is>
      </c>
      <c r="F7894" s="23" t="n">
        <v>46274</v>
      </c>
      <c r="G7894" s="24">
        <f>F7894-DATE(2026,8,31)</f>
        <v>9</v>
      </c>
      <c r="H7894" s="25" t="n">
        <v>20218618</v>
      </c>
      <c r="I7894" t="inlineStr">
        <is>
          <t>entidad-dia</t>
        </is>
      </c>
    </row>
    <row r="7895">
      <c r="A7895" t="inlineStr">
        <is>
          <t>PRAGMA</t>
        </is>
      </c>
      <c r="B7895" t="inlineStr">
        <is>
          <t>M2</t>
        </is>
      </c>
      <c r="C7895" t="inlineStr">
        <is>
          <t>Cali</t>
        </is>
      </c>
      <c r="D7895" t="inlineStr">
        <is>
          <t>8733</t>
        </is>
      </c>
      <c r="E7895" t="inlineStr">
        <is>
          <t>cash_in</t>
        </is>
      </c>
      <c r="F7895" s="23" t="n">
        <v>46274</v>
      </c>
      <c r="G7895" s="24">
        <f>F7895-DATE(2026,8,31)</f>
        <v>9</v>
      </c>
      <c r="H7895" s="25" t="n">
        <v>43618911</v>
      </c>
      <c r="I7895" t="inlineStr">
        <is>
          <t>entidad-dia</t>
        </is>
      </c>
    </row>
    <row r="7896">
      <c r="A7896" t="inlineStr">
        <is>
          <t>PRAGMA</t>
        </is>
      </c>
      <c r="B7896" t="inlineStr">
        <is>
          <t>M2</t>
        </is>
      </c>
      <c r="C7896" t="inlineStr">
        <is>
          <t>Cali</t>
        </is>
      </c>
      <c r="D7896" t="inlineStr">
        <is>
          <t>8733</t>
        </is>
      </c>
      <c r="E7896" t="inlineStr">
        <is>
          <t>pagado</t>
        </is>
      </c>
      <c r="F7896" s="23" t="n">
        <v>46275</v>
      </c>
      <c r="G7896" s="24">
        <f>F7896-DATE(2026,8,31)</f>
        <v>10</v>
      </c>
      <c r="H7896" s="25" t="n">
        <v>18372918</v>
      </c>
      <c r="I7896" t="inlineStr">
        <is>
          <t>entidad-dia</t>
        </is>
      </c>
    </row>
    <row r="7897">
      <c r="A7897" t="inlineStr">
        <is>
          <t>PRAGMA</t>
        </is>
      </c>
      <c r="B7897" t="inlineStr">
        <is>
          <t>M2</t>
        </is>
      </c>
      <c r="C7897" t="inlineStr">
        <is>
          <t>Cali</t>
        </is>
      </c>
      <c r="D7897" t="inlineStr">
        <is>
          <t>8733</t>
        </is>
      </c>
      <c r="E7897" t="inlineStr">
        <is>
          <t>cash_in</t>
        </is>
      </c>
      <c r="F7897" s="23" t="n">
        <v>46275</v>
      </c>
      <c r="G7897" s="24">
        <f>F7897-DATE(2026,8,31)</f>
        <v>10</v>
      </c>
      <c r="H7897" s="25" t="n">
        <v>43346053</v>
      </c>
      <c r="I7897" t="inlineStr">
        <is>
          <t>entidad-dia</t>
        </is>
      </c>
    </row>
    <row r="7898">
      <c r="A7898" t="inlineStr">
        <is>
          <t>PRAGMA</t>
        </is>
      </c>
      <c r="B7898" t="inlineStr">
        <is>
          <t>M2</t>
        </is>
      </c>
      <c r="C7898" t="inlineStr">
        <is>
          <t>Cali</t>
        </is>
      </c>
      <c r="D7898" t="inlineStr">
        <is>
          <t>8733</t>
        </is>
      </c>
      <c r="E7898" t="inlineStr">
        <is>
          <t>pagado</t>
        </is>
      </c>
      <c r="F7898" s="23" t="n">
        <v>46276</v>
      </c>
      <c r="G7898" s="24">
        <f>F7898-DATE(2026,8,31)</f>
        <v>11</v>
      </c>
      <c r="H7898" s="25" t="n">
        <v>20054245</v>
      </c>
      <c r="I7898" t="inlineStr">
        <is>
          <t>entidad-dia</t>
        </is>
      </c>
    </row>
    <row r="7899">
      <c r="A7899" t="inlineStr">
        <is>
          <t>PRAGMA</t>
        </is>
      </c>
      <c r="B7899" t="inlineStr">
        <is>
          <t>M2</t>
        </is>
      </c>
      <c r="C7899" t="inlineStr">
        <is>
          <t>Cali</t>
        </is>
      </c>
      <c r="D7899" t="inlineStr">
        <is>
          <t>8733</t>
        </is>
      </c>
      <c r="E7899" t="inlineStr">
        <is>
          <t>cash_in</t>
        </is>
      </c>
      <c r="F7899" s="23" t="n">
        <v>46276</v>
      </c>
      <c r="G7899" s="24">
        <f>F7899-DATE(2026,8,31)</f>
        <v>11</v>
      </c>
      <c r="H7899" s="25" t="n">
        <v>40894271</v>
      </c>
      <c r="I7899" t="inlineStr">
        <is>
          <t>entidad-dia</t>
        </is>
      </c>
    </row>
    <row r="7900">
      <c r="A7900" t="inlineStr">
        <is>
          <t>PRAGMA</t>
        </is>
      </c>
      <c r="B7900" t="inlineStr">
        <is>
          <t>M2</t>
        </is>
      </c>
      <c r="C7900" t="inlineStr">
        <is>
          <t>Cali</t>
        </is>
      </c>
      <c r="D7900" t="inlineStr">
        <is>
          <t>8733</t>
        </is>
      </c>
      <c r="E7900" t="inlineStr">
        <is>
          <t>pagado</t>
        </is>
      </c>
      <c r="F7900" s="23" t="n">
        <v>46277</v>
      </c>
      <c r="G7900" s="24">
        <f>F7900-DATE(2026,8,31)</f>
        <v>12</v>
      </c>
      <c r="H7900" s="25" t="n">
        <v>14975342</v>
      </c>
      <c r="I7900" t="inlineStr">
        <is>
          <t>entidad-dia</t>
        </is>
      </c>
    </row>
    <row r="7901">
      <c r="A7901" t="inlineStr">
        <is>
          <t>PRAGMA</t>
        </is>
      </c>
      <c r="B7901" t="inlineStr">
        <is>
          <t>M2</t>
        </is>
      </c>
      <c r="C7901" t="inlineStr">
        <is>
          <t>Cali</t>
        </is>
      </c>
      <c r="D7901" t="inlineStr">
        <is>
          <t>8733</t>
        </is>
      </c>
      <c r="E7901" t="inlineStr">
        <is>
          <t>cash_in</t>
        </is>
      </c>
      <c r="F7901" s="23" t="n">
        <v>46277</v>
      </c>
      <c r="G7901" s="24">
        <f>F7901-DATE(2026,8,31)</f>
        <v>12</v>
      </c>
      <c r="H7901" s="25" t="n">
        <v>31165706</v>
      </c>
      <c r="I7901" t="inlineStr">
        <is>
          <t>entidad-dia</t>
        </is>
      </c>
    </row>
    <row r="7902">
      <c r="A7902" t="inlineStr">
        <is>
          <t>PRAGMA</t>
        </is>
      </c>
      <c r="B7902" t="inlineStr">
        <is>
          <t>M2</t>
        </is>
      </c>
      <c r="C7902" t="inlineStr">
        <is>
          <t>Cali</t>
        </is>
      </c>
      <c r="D7902" t="inlineStr">
        <is>
          <t>8733</t>
        </is>
      </c>
      <c r="E7902" t="inlineStr">
        <is>
          <t>pagado</t>
        </is>
      </c>
      <c r="F7902" s="23" t="n">
        <v>46278</v>
      </c>
      <c r="G7902" s="24">
        <f>F7902-DATE(2026,8,31)</f>
        <v>13</v>
      </c>
      <c r="H7902" s="25" t="n">
        <v>1915296</v>
      </c>
      <c r="I7902" t="inlineStr">
        <is>
          <t>entidad-dia</t>
        </is>
      </c>
    </row>
    <row r="7903">
      <c r="A7903" t="inlineStr">
        <is>
          <t>PRAGMA</t>
        </is>
      </c>
      <c r="B7903" t="inlineStr">
        <is>
          <t>M2</t>
        </is>
      </c>
      <c r="C7903" t="inlineStr">
        <is>
          <t>Cali</t>
        </is>
      </c>
      <c r="D7903" t="inlineStr">
        <is>
          <t>8733</t>
        </is>
      </c>
      <c r="E7903" t="inlineStr">
        <is>
          <t>cash_in</t>
        </is>
      </c>
      <c r="F7903" s="23" t="n">
        <v>46278</v>
      </c>
      <c r="G7903" s="24">
        <f>F7903-DATE(2026,8,31)</f>
        <v>13</v>
      </c>
      <c r="H7903" s="25" t="n">
        <v>2606394</v>
      </c>
      <c r="I7903" t="inlineStr">
        <is>
          <t>entidad-dia</t>
        </is>
      </c>
    </row>
    <row r="7904">
      <c r="A7904" t="inlineStr">
        <is>
          <t>PRAGMA</t>
        </is>
      </c>
      <c r="B7904" t="inlineStr">
        <is>
          <t>M2</t>
        </is>
      </c>
      <c r="C7904" t="inlineStr">
        <is>
          <t>Cali</t>
        </is>
      </c>
      <c r="D7904" t="inlineStr">
        <is>
          <t>8733</t>
        </is>
      </c>
      <c r="E7904" t="inlineStr">
        <is>
          <t>pagado</t>
        </is>
      </c>
      <c r="F7904" s="23" t="n">
        <v>46279</v>
      </c>
      <c r="G7904" s="24">
        <f>F7904-DATE(2026,8,31)</f>
        <v>14</v>
      </c>
      <c r="H7904" s="25" t="n">
        <v>18745022</v>
      </c>
      <c r="I7904" t="inlineStr">
        <is>
          <t>entidad-dia</t>
        </is>
      </c>
    </row>
    <row r="7905">
      <c r="A7905" t="inlineStr">
        <is>
          <t>PRAGMA</t>
        </is>
      </c>
      <c r="B7905" t="inlineStr">
        <is>
          <t>M2</t>
        </is>
      </c>
      <c r="C7905" t="inlineStr">
        <is>
          <t>Cali</t>
        </is>
      </c>
      <c r="D7905" t="inlineStr">
        <is>
          <t>8733</t>
        </is>
      </c>
      <c r="E7905" t="inlineStr">
        <is>
          <t>cash_in</t>
        </is>
      </c>
      <c r="F7905" s="23" t="n">
        <v>46279</v>
      </c>
      <c r="G7905" s="24">
        <f>F7905-DATE(2026,8,31)</f>
        <v>14</v>
      </c>
      <c r="H7905" s="25" t="n">
        <v>48574462</v>
      </c>
      <c r="I7905" t="inlineStr">
        <is>
          <t>entidad-dia</t>
        </is>
      </c>
    </row>
    <row r="7906">
      <c r="A7906" t="inlineStr">
        <is>
          <t>PRAGMA</t>
        </is>
      </c>
      <c r="B7906" t="inlineStr">
        <is>
          <t>M2</t>
        </is>
      </c>
      <c r="C7906" t="inlineStr">
        <is>
          <t>Cali</t>
        </is>
      </c>
      <c r="D7906" t="inlineStr">
        <is>
          <t>8733</t>
        </is>
      </c>
      <c r="E7906" t="inlineStr">
        <is>
          <t>pagado</t>
        </is>
      </c>
      <c r="F7906" s="23" t="n">
        <v>46280</v>
      </c>
      <c r="G7906" s="24">
        <f>F7906-DATE(2026,8,31)</f>
        <v>15</v>
      </c>
      <c r="H7906" s="25" t="n">
        <v>26930780</v>
      </c>
      <c r="I7906" t="inlineStr">
        <is>
          <t>entidad-dia</t>
        </is>
      </c>
    </row>
    <row r="7907">
      <c r="A7907" t="inlineStr">
        <is>
          <t>PRAGMA</t>
        </is>
      </c>
      <c r="B7907" t="inlineStr">
        <is>
          <t>M2</t>
        </is>
      </c>
      <c r="C7907" t="inlineStr">
        <is>
          <t>Cali</t>
        </is>
      </c>
      <c r="D7907" t="inlineStr">
        <is>
          <t>8733</t>
        </is>
      </c>
      <c r="E7907" t="inlineStr">
        <is>
          <t>cash_in</t>
        </is>
      </c>
      <c r="F7907" s="23" t="n">
        <v>46280</v>
      </c>
      <c r="G7907" s="24">
        <f>F7907-DATE(2026,8,31)</f>
        <v>15</v>
      </c>
      <c r="H7907" s="25" t="n">
        <v>51941453</v>
      </c>
      <c r="I7907" t="inlineStr">
        <is>
          <t>entidad-dia</t>
        </is>
      </c>
    </row>
    <row r="7908">
      <c r="A7908" t="inlineStr">
        <is>
          <t>PRAGMA</t>
        </is>
      </c>
      <c r="B7908" t="inlineStr">
        <is>
          <t>M2</t>
        </is>
      </c>
      <c r="C7908" t="inlineStr">
        <is>
          <t>Cali</t>
        </is>
      </c>
      <c r="D7908" t="inlineStr">
        <is>
          <t>8734</t>
        </is>
      </c>
      <c r="E7908" t="inlineStr">
        <is>
          <t>pagado</t>
        </is>
      </c>
      <c r="F7908" s="23" t="n">
        <v>46266</v>
      </c>
      <c r="G7908" s="24">
        <f>F7908-DATE(2026,8,31)</f>
        <v>1</v>
      </c>
      <c r="H7908" s="25" t="n">
        <v>83170766</v>
      </c>
      <c r="I7908" t="inlineStr">
        <is>
          <t>entidad-dia</t>
        </is>
      </c>
    </row>
    <row r="7909">
      <c r="A7909" t="inlineStr">
        <is>
          <t>PRAGMA</t>
        </is>
      </c>
      <c r="B7909" t="inlineStr">
        <is>
          <t>M2</t>
        </is>
      </c>
      <c r="C7909" t="inlineStr">
        <is>
          <t>Cali</t>
        </is>
      </c>
      <c r="D7909" t="inlineStr">
        <is>
          <t>8734</t>
        </is>
      </c>
      <c r="E7909" t="inlineStr">
        <is>
          <t>cash_in</t>
        </is>
      </c>
      <c r="F7909" s="23" t="n">
        <v>46266</v>
      </c>
      <c r="G7909" s="24">
        <f>F7909-DATE(2026,8,31)</f>
        <v>1</v>
      </c>
      <c r="H7909" s="25" t="n">
        <v>101137352</v>
      </c>
      <c r="I7909" t="inlineStr">
        <is>
          <t>entidad-dia</t>
        </is>
      </c>
    </row>
    <row r="7910">
      <c r="A7910" t="inlineStr">
        <is>
          <t>PRAGMA</t>
        </is>
      </c>
      <c r="B7910" t="inlineStr">
        <is>
          <t>M2</t>
        </is>
      </c>
      <c r="C7910" t="inlineStr">
        <is>
          <t>Cali</t>
        </is>
      </c>
      <c r="D7910" t="inlineStr">
        <is>
          <t>8734</t>
        </is>
      </c>
      <c r="E7910" t="inlineStr">
        <is>
          <t>pagado</t>
        </is>
      </c>
      <c r="F7910" s="23" t="n">
        <v>46267</v>
      </c>
      <c r="G7910" s="24">
        <f>F7910-DATE(2026,8,31)</f>
        <v>2</v>
      </c>
      <c r="H7910" s="25" t="n">
        <v>71025647</v>
      </c>
      <c r="I7910" t="inlineStr">
        <is>
          <t>entidad-dia</t>
        </is>
      </c>
    </row>
    <row r="7911">
      <c r="A7911" t="inlineStr">
        <is>
          <t>PRAGMA</t>
        </is>
      </c>
      <c r="B7911" t="inlineStr">
        <is>
          <t>M2</t>
        </is>
      </c>
      <c r="C7911" t="inlineStr">
        <is>
          <t>Cali</t>
        </is>
      </c>
      <c r="D7911" t="inlineStr">
        <is>
          <t>8734</t>
        </is>
      </c>
      <c r="E7911" t="inlineStr">
        <is>
          <t>cash_in</t>
        </is>
      </c>
      <c r="F7911" s="23" t="n">
        <v>46267</v>
      </c>
      <c r="G7911" s="24">
        <f>F7911-DATE(2026,8,31)</f>
        <v>2</v>
      </c>
      <c r="H7911" s="25" t="n">
        <v>95368167</v>
      </c>
      <c r="I7911" t="inlineStr">
        <is>
          <t>entidad-dia</t>
        </is>
      </c>
    </row>
    <row r="7912">
      <c r="A7912" t="inlineStr">
        <is>
          <t>PRAGMA</t>
        </is>
      </c>
      <c r="B7912" t="inlineStr">
        <is>
          <t>M2</t>
        </is>
      </c>
      <c r="C7912" t="inlineStr">
        <is>
          <t>Cali</t>
        </is>
      </c>
      <c r="D7912" t="inlineStr">
        <is>
          <t>8734</t>
        </is>
      </c>
      <c r="E7912" t="inlineStr">
        <is>
          <t>pagado</t>
        </is>
      </c>
      <c r="F7912" s="23" t="n">
        <v>46268</v>
      </c>
      <c r="G7912" s="24">
        <f>F7912-DATE(2026,8,31)</f>
        <v>3</v>
      </c>
      <c r="H7912" s="25" t="n">
        <v>64828684</v>
      </c>
      <c r="I7912" t="inlineStr">
        <is>
          <t>entidad-dia</t>
        </is>
      </c>
    </row>
    <row r="7913">
      <c r="A7913" t="inlineStr">
        <is>
          <t>PRAGMA</t>
        </is>
      </c>
      <c r="B7913" t="inlineStr">
        <is>
          <t>M2</t>
        </is>
      </c>
      <c r="C7913" t="inlineStr">
        <is>
          <t>Cali</t>
        </is>
      </c>
      <c r="D7913" t="inlineStr">
        <is>
          <t>8734</t>
        </is>
      </c>
      <c r="E7913" t="inlineStr">
        <is>
          <t>cash_in</t>
        </is>
      </c>
      <c r="F7913" s="23" t="n">
        <v>46268</v>
      </c>
      <c r="G7913" s="24">
        <f>F7913-DATE(2026,8,31)</f>
        <v>3</v>
      </c>
      <c r="H7913" s="25" t="n">
        <v>91584451</v>
      </c>
      <c r="I7913" t="inlineStr">
        <is>
          <t>entidad-dia</t>
        </is>
      </c>
    </row>
    <row r="7914">
      <c r="A7914" t="inlineStr">
        <is>
          <t>PRAGMA</t>
        </is>
      </c>
      <c r="B7914" t="inlineStr">
        <is>
          <t>M2</t>
        </is>
      </c>
      <c r="C7914" t="inlineStr">
        <is>
          <t>Cali</t>
        </is>
      </c>
      <c r="D7914" t="inlineStr">
        <is>
          <t>8734</t>
        </is>
      </c>
      <c r="E7914" t="inlineStr">
        <is>
          <t>pagado</t>
        </is>
      </c>
      <c r="F7914" s="23" t="n">
        <v>46269</v>
      </c>
      <c r="G7914" s="24">
        <f>F7914-DATE(2026,8,31)</f>
        <v>4</v>
      </c>
      <c r="H7914" s="25" t="n">
        <v>62951639</v>
      </c>
      <c r="I7914" t="inlineStr">
        <is>
          <t>entidad-dia</t>
        </is>
      </c>
    </row>
    <row r="7915">
      <c r="A7915" t="inlineStr">
        <is>
          <t>PRAGMA</t>
        </is>
      </c>
      <c r="B7915" t="inlineStr">
        <is>
          <t>M2</t>
        </is>
      </c>
      <c r="C7915" t="inlineStr">
        <is>
          <t>Cali</t>
        </is>
      </c>
      <c r="D7915" t="inlineStr">
        <is>
          <t>8734</t>
        </is>
      </c>
      <c r="E7915" t="inlineStr">
        <is>
          <t>cash_in</t>
        </is>
      </c>
      <c r="F7915" s="23" t="n">
        <v>46269</v>
      </c>
      <c r="G7915" s="24">
        <f>F7915-DATE(2026,8,31)</f>
        <v>4</v>
      </c>
      <c r="H7915" s="25" t="n">
        <v>95607266</v>
      </c>
      <c r="I7915" t="inlineStr">
        <is>
          <t>entidad-dia</t>
        </is>
      </c>
    </row>
    <row r="7916">
      <c r="A7916" t="inlineStr">
        <is>
          <t>PRAGMA</t>
        </is>
      </c>
      <c r="B7916" t="inlineStr">
        <is>
          <t>M2</t>
        </is>
      </c>
      <c r="C7916" t="inlineStr">
        <is>
          <t>Cali</t>
        </is>
      </c>
      <c r="D7916" t="inlineStr">
        <is>
          <t>8734</t>
        </is>
      </c>
      <c r="E7916" t="inlineStr">
        <is>
          <t>pagado</t>
        </is>
      </c>
      <c r="F7916" s="23" t="n">
        <v>46270</v>
      </c>
      <c r="G7916" s="24">
        <f>F7916-DATE(2026,8,31)</f>
        <v>5</v>
      </c>
      <c r="H7916" s="25" t="n">
        <v>58414294</v>
      </c>
      <c r="I7916" t="inlineStr">
        <is>
          <t>entidad-dia</t>
        </is>
      </c>
    </row>
    <row r="7917">
      <c r="A7917" t="inlineStr">
        <is>
          <t>PRAGMA</t>
        </is>
      </c>
      <c r="B7917" t="inlineStr">
        <is>
          <t>M2</t>
        </is>
      </c>
      <c r="C7917" t="inlineStr">
        <is>
          <t>Cali</t>
        </is>
      </c>
      <c r="D7917" t="inlineStr">
        <is>
          <t>8734</t>
        </is>
      </c>
      <c r="E7917" t="inlineStr">
        <is>
          <t>cash_in</t>
        </is>
      </c>
      <c r="F7917" s="23" t="n">
        <v>46270</v>
      </c>
      <c r="G7917" s="24">
        <f>F7917-DATE(2026,8,31)</f>
        <v>5</v>
      </c>
      <c r="H7917" s="25" t="n">
        <v>67733205</v>
      </c>
      <c r="I7917" t="inlineStr">
        <is>
          <t>entidad-dia</t>
        </is>
      </c>
    </row>
    <row r="7918">
      <c r="A7918" t="inlineStr">
        <is>
          <t>PRAGMA</t>
        </is>
      </c>
      <c r="B7918" t="inlineStr">
        <is>
          <t>M2</t>
        </is>
      </c>
      <c r="C7918" t="inlineStr">
        <is>
          <t>Cali</t>
        </is>
      </c>
      <c r="D7918" t="inlineStr">
        <is>
          <t>8734</t>
        </is>
      </c>
      <c r="E7918" t="inlineStr">
        <is>
          <t>pagado</t>
        </is>
      </c>
      <c r="F7918" s="23" t="n">
        <v>46271</v>
      </c>
      <c r="G7918" s="24">
        <f>F7918-DATE(2026,8,31)</f>
        <v>6</v>
      </c>
      <c r="H7918" s="25" t="n">
        <v>7022914</v>
      </c>
      <c r="I7918" t="inlineStr">
        <is>
          <t>entidad-dia</t>
        </is>
      </c>
    </row>
    <row r="7919">
      <c r="A7919" t="inlineStr">
        <is>
          <t>PRAGMA</t>
        </is>
      </c>
      <c r="B7919" t="inlineStr">
        <is>
          <t>M2</t>
        </is>
      </c>
      <c r="C7919" t="inlineStr">
        <is>
          <t>Cali</t>
        </is>
      </c>
      <c r="D7919" t="inlineStr">
        <is>
          <t>8734</t>
        </is>
      </c>
      <c r="E7919" t="inlineStr">
        <is>
          <t>cash_in</t>
        </is>
      </c>
      <c r="F7919" s="23" t="n">
        <v>46271</v>
      </c>
      <c r="G7919" s="24">
        <f>F7919-DATE(2026,8,31)</f>
        <v>6</v>
      </c>
      <c r="H7919" s="25" t="n">
        <v>8331542</v>
      </c>
      <c r="I7919" t="inlineStr">
        <is>
          <t>entidad-dia</t>
        </is>
      </c>
    </row>
    <row r="7920">
      <c r="A7920" t="inlineStr">
        <is>
          <t>PRAGMA</t>
        </is>
      </c>
      <c r="B7920" t="inlineStr">
        <is>
          <t>M2</t>
        </is>
      </c>
      <c r="C7920" t="inlineStr">
        <is>
          <t>Cali</t>
        </is>
      </c>
      <c r="D7920" t="inlineStr">
        <is>
          <t>8734</t>
        </is>
      </c>
      <c r="E7920" t="inlineStr">
        <is>
          <t>pagado</t>
        </is>
      </c>
      <c r="F7920" s="23" t="n">
        <v>46272</v>
      </c>
      <c r="G7920" s="24">
        <f>F7920-DATE(2026,8,31)</f>
        <v>7</v>
      </c>
      <c r="H7920" s="25" t="n">
        <v>51333749</v>
      </c>
      <c r="I7920" t="inlineStr">
        <is>
          <t>entidad-dia</t>
        </is>
      </c>
    </row>
    <row r="7921">
      <c r="A7921" t="inlineStr">
        <is>
          <t>PRAGMA</t>
        </is>
      </c>
      <c r="B7921" t="inlineStr">
        <is>
          <t>M2</t>
        </is>
      </c>
      <c r="C7921" t="inlineStr">
        <is>
          <t>Cali</t>
        </is>
      </c>
      <c r="D7921" t="inlineStr">
        <is>
          <t>8734</t>
        </is>
      </c>
      <c r="E7921" t="inlineStr">
        <is>
          <t>cash_in</t>
        </is>
      </c>
      <c r="F7921" s="23" t="n">
        <v>46272</v>
      </c>
      <c r="G7921" s="24">
        <f>F7921-DATE(2026,8,31)</f>
        <v>7</v>
      </c>
      <c r="H7921" s="25" t="n">
        <v>93104665</v>
      </c>
      <c r="I7921" t="inlineStr">
        <is>
          <t>entidad-dia</t>
        </is>
      </c>
    </row>
    <row r="7922">
      <c r="A7922" t="inlineStr">
        <is>
          <t>PRAGMA</t>
        </is>
      </c>
      <c r="B7922" t="inlineStr">
        <is>
          <t>M2</t>
        </is>
      </c>
      <c r="C7922" t="inlineStr">
        <is>
          <t>Cali</t>
        </is>
      </c>
      <c r="D7922" t="inlineStr">
        <is>
          <t>8734</t>
        </is>
      </c>
      <c r="E7922" t="inlineStr">
        <is>
          <t>pagado</t>
        </is>
      </c>
      <c r="F7922" s="23" t="n">
        <v>46273</v>
      </c>
      <c r="G7922" s="24">
        <f>F7922-DATE(2026,8,31)</f>
        <v>8</v>
      </c>
      <c r="H7922" s="25" t="n">
        <v>59066585</v>
      </c>
      <c r="I7922" t="inlineStr">
        <is>
          <t>entidad-dia</t>
        </is>
      </c>
    </row>
    <row r="7923">
      <c r="A7923" t="inlineStr">
        <is>
          <t>PRAGMA</t>
        </is>
      </c>
      <c r="B7923" t="inlineStr">
        <is>
          <t>M2</t>
        </is>
      </c>
      <c r="C7923" t="inlineStr">
        <is>
          <t>Cali</t>
        </is>
      </c>
      <c r="D7923" t="inlineStr">
        <is>
          <t>8734</t>
        </is>
      </c>
      <c r="E7923" t="inlineStr">
        <is>
          <t>cash_in</t>
        </is>
      </c>
      <c r="F7923" s="23" t="n">
        <v>46273</v>
      </c>
      <c r="G7923" s="24">
        <f>F7923-DATE(2026,8,31)</f>
        <v>8</v>
      </c>
      <c r="H7923" s="25" t="n">
        <v>89028915</v>
      </c>
      <c r="I7923" t="inlineStr">
        <is>
          <t>entidad-dia</t>
        </is>
      </c>
    </row>
    <row r="7924">
      <c r="A7924" t="inlineStr">
        <is>
          <t>PRAGMA</t>
        </is>
      </c>
      <c r="B7924" t="inlineStr">
        <is>
          <t>M2</t>
        </is>
      </c>
      <c r="C7924" t="inlineStr">
        <is>
          <t>Cali</t>
        </is>
      </c>
      <c r="D7924" t="inlineStr">
        <is>
          <t>8734</t>
        </is>
      </c>
      <c r="E7924" t="inlineStr">
        <is>
          <t>pagado</t>
        </is>
      </c>
      <c r="F7924" s="23" t="n">
        <v>46274</v>
      </c>
      <c r="G7924" s="24">
        <f>F7924-DATE(2026,8,31)</f>
        <v>9</v>
      </c>
      <c r="H7924" s="25" t="n">
        <v>55074330</v>
      </c>
      <c r="I7924" t="inlineStr">
        <is>
          <t>entidad-dia</t>
        </is>
      </c>
    </row>
    <row r="7925">
      <c r="A7925" t="inlineStr">
        <is>
          <t>PRAGMA</t>
        </is>
      </c>
      <c r="B7925" t="inlineStr">
        <is>
          <t>M2</t>
        </is>
      </c>
      <c r="C7925" t="inlineStr">
        <is>
          <t>Cali</t>
        </is>
      </c>
      <c r="D7925" t="inlineStr">
        <is>
          <t>8734</t>
        </is>
      </c>
      <c r="E7925" t="inlineStr">
        <is>
          <t>cash_in</t>
        </is>
      </c>
      <c r="F7925" s="23" t="n">
        <v>46274</v>
      </c>
      <c r="G7925" s="24">
        <f>F7925-DATE(2026,8,31)</f>
        <v>9</v>
      </c>
      <c r="H7925" s="25" t="n">
        <v>81049746</v>
      </c>
      <c r="I7925" t="inlineStr">
        <is>
          <t>entidad-dia</t>
        </is>
      </c>
    </row>
    <row r="7926">
      <c r="A7926" t="inlineStr">
        <is>
          <t>PRAGMA</t>
        </is>
      </c>
      <c r="B7926" t="inlineStr">
        <is>
          <t>M2</t>
        </is>
      </c>
      <c r="C7926" t="inlineStr">
        <is>
          <t>Cali</t>
        </is>
      </c>
      <c r="D7926" t="inlineStr">
        <is>
          <t>8734</t>
        </is>
      </c>
      <c r="E7926" t="inlineStr">
        <is>
          <t>pagado</t>
        </is>
      </c>
      <c r="F7926" s="23" t="n">
        <v>46275</v>
      </c>
      <c r="G7926" s="24">
        <f>F7926-DATE(2026,8,31)</f>
        <v>10</v>
      </c>
      <c r="H7926" s="25" t="n">
        <v>50157389</v>
      </c>
      <c r="I7926" t="inlineStr">
        <is>
          <t>entidad-dia</t>
        </is>
      </c>
    </row>
    <row r="7927">
      <c r="A7927" t="inlineStr">
        <is>
          <t>PRAGMA</t>
        </is>
      </c>
      <c r="B7927" t="inlineStr">
        <is>
          <t>M2</t>
        </is>
      </c>
      <c r="C7927" t="inlineStr">
        <is>
          <t>Cali</t>
        </is>
      </c>
      <c r="D7927" t="inlineStr">
        <is>
          <t>8734</t>
        </is>
      </c>
      <c r="E7927" t="inlineStr">
        <is>
          <t>cash_in</t>
        </is>
      </c>
      <c r="F7927" s="23" t="n">
        <v>46275</v>
      </c>
      <c r="G7927" s="24">
        <f>F7927-DATE(2026,8,31)</f>
        <v>10</v>
      </c>
      <c r="H7927" s="25" t="n">
        <v>73799687</v>
      </c>
      <c r="I7927" t="inlineStr">
        <is>
          <t>entidad-dia</t>
        </is>
      </c>
    </row>
    <row r="7928">
      <c r="A7928" t="inlineStr">
        <is>
          <t>PRAGMA</t>
        </is>
      </c>
      <c r="B7928" t="inlineStr">
        <is>
          <t>M2</t>
        </is>
      </c>
      <c r="C7928" t="inlineStr">
        <is>
          <t>Cali</t>
        </is>
      </c>
      <c r="D7928" t="inlineStr">
        <is>
          <t>8734</t>
        </is>
      </c>
      <c r="E7928" t="inlineStr">
        <is>
          <t>pagado</t>
        </is>
      </c>
      <c r="F7928" s="23" t="n">
        <v>46276</v>
      </c>
      <c r="G7928" s="24">
        <f>F7928-DATE(2026,8,31)</f>
        <v>11</v>
      </c>
      <c r="H7928" s="25" t="n">
        <v>52529726</v>
      </c>
      <c r="I7928" t="inlineStr">
        <is>
          <t>entidad-dia</t>
        </is>
      </c>
    </row>
    <row r="7929">
      <c r="A7929" t="inlineStr">
        <is>
          <t>PRAGMA</t>
        </is>
      </c>
      <c r="B7929" t="inlineStr">
        <is>
          <t>M2</t>
        </is>
      </c>
      <c r="C7929" t="inlineStr">
        <is>
          <t>Cali</t>
        </is>
      </c>
      <c r="D7929" t="inlineStr">
        <is>
          <t>8734</t>
        </is>
      </c>
      <c r="E7929" t="inlineStr">
        <is>
          <t>cash_in</t>
        </is>
      </c>
      <c r="F7929" s="23" t="n">
        <v>46276</v>
      </c>
      <c r="G7929" s="24">
        <f>F7929-DATE(2026,8,31)</f>
        <v>11</v>
      </c>
      <c r="H7929" s="25" t="n">
        <v>77804850</v>
      </c>
      <c r="I7929" t="inlineStr">
        <is>
          <t>entidad-dia</t>
        </is>
      </c>
    </row>
    <row r="7930">
      <c r="A7930" t="inlineStr">
        <is>
          <t>PRAGMA</t>
        </is>
      </c>
      <c r="B7930" t="inlineStr">
        <is>
          <t>M2</t>
        </is>
      </c>
      <c r="C7930" t="inlineStr">
        <is>
          <t>Cali</t>
        </is>
      </c>
      <c r="D7930" t="inlineStr">
        <is>
          <t>8734</t>
        </is>
      </c>
      <c r="E7930" t="inlineStr">
        <is>
          <t>pagado</t>
        </is>
      </c>
      <c r="F7930" s="23" t="n">
        <v>46277</v>
      </c>
      <c r="G7930" s="24">
        <f>F7930-DATE(2026,8,31)</f>
        <v>12</v>
      </c>
      <c r="H7930" s="25" t="n">
        <v>50178656</v>
      </c>
      <c r="I7930" t="inlineStr">
        <is>
          <t>entidad-dia</t>
        </is>
      </c>
    </row>
    <row r="7931">
      <c r="A7931" t="inlineStr">
        <is>
          <t>PRAGMA</t>
        </is>
      </c>
      <c r="B7931" t="inlineStr">
        <is>
          <t>M2</t>
        </is>
      </c>
      <c r="C7931" t="inlineStr">
        <is>
          <t>Cali</t>
        </is>
      </c>
      <c r="D7931" t="inlineStr">
        <is>
          <t>8734</t>
        </is>
      </c>
      <c r="E7931" t="inlineStr">
        <is>
          <t>cash_in</t>
        </is>
      </c>
      <c r="F7931" s="23" t="n">
        <v>46277</v>
      </c>
      <c r="G7931" s="24">
        <f>F7931-DATE(2026,8,31)</f>
        <v>12</v>
      </c>
      <c r="H7931" s="25" t="n">
        <v>57973145</v>
      </c>
      <c r="I7931" t="inlineStr">
        <is>
          <t>entidad-dia</t>
        </is>
      </c>
    </row>
    <row r="7932">
      <c r="A7932" t="inlineStr">
        <is>
          <t>PRAGMA</t>
        </is>
      </c>
      <c r="B7932" t="inlineStr">
        <is>
          <t>M2</t>
        </is>
      </c>
      <c r="C7932" t="inlineStr">
        <is>
          <t>Cali</t>
        </is>
      </c>
      <c r="D7932" t="inlineStr">
        <is>
          <t>8734</t>
        </is>
      </c>
      <c r="E7932" t="inlineStr">
        <is>
          <t>pagado</t>
        </is>
      </c>
      <c r="F7932" s="23" t="n">
        <v>46278</v>
      </c>
      <c r="G7932" s="24">
        <f>F7932-DATE(2026,8,31)</f>
        <v>13</v>
      </c>
      <c r="H7932" s="25" t="n">
        <v>5660007</v>
      </c>
      <c r="I7932" t="inlineStr">
        <is>
          <t>entidad-dia</t>
        </is>
      </c>
    </row>
    <row r="7933">
      <c r="A7933" t="inlineStr">
        <is>
          <t>PRAGMA</t>
        </is>
      </c>
      <c r="B7933" t="inlineStr">
        <is>
          <t>M2</t>
        </is>
      </c>
      <c r="C7933" t="inlineStr">
        <is>
          <t>Cali</t>
        </is>
      </c>
      <c r="D7933" t="inlineStr">
        <is>
          <t>8734</t>
        </is>
      </c>
      <c r="E7933" t="inlineStr">
        <is>
          <t>cash_in</t>
        </is>
      </c>
      <c r="F7933" s="23" t="n">
        <v>46278</v>
      </c>
      <c r="G7933" s="24">
        <f>F7933-DATE(2026,8,31)</f>
        <v>13</v>
      </c>
      <c r="H7933" s="25" t="n">
        <v>3012527</v>
      </c>
      <c r="I7933" t="inlineStr">
        <is>
          <t>entidad-dia</t>
        </is>
      </c>
    </row>
    <row r="7934">
      <c r="A7934" t="inlineStr">
        <is>
          <t>PRAGMA</t>
        </is>
      </c>
      <c r="B7934" t="inlineStr">
        <is>
          <t>M2</t>
        </is>
      </c>
      <c r="C7934" t="inlineStr">
        <is>
          <t>Cali</t>
        </is>
      </c>
      <c r="D7934" t="inlineStr">
        <is>
          <t>8734</t>
        </is>
      </c>
      <c r="E7934" t="inlineStr">
        <is>
          <t>pagado</t>
        </is>
      </c>
      <c r="F7934" s="23" t="n">
        <v>46279</v>
      </c>
      <c r="G7934" s="24">
        <f>F7934-DATE(2026,8,31)</f>
        <v>14</v>
      </c>
      <c r="H7934" s="25" t="n">
        <v>46792544</v>
      </c>
      <c r="I7934" t="inlineStr">
        <is>
          <t>entidad-dia</t>
        </is>
      </c>
    </row>
    <row r="7935">
      <c r="A7935" t="inlineStr">
        <is>
          <t>PRAGMA</t>
        </is>
      </c>
      <c r="B7935" t="inlineStr">
        <is>
          <t>M2</t>
        </is>
      </c>
      <c r="C7935" t="inlineStr">
        <is>
          <t>Cali</t>
        </is>
      </c>
      <c r="D7935" t="inlineStr">
        <is>
          <t>8734</t>
        </is>
      </c>
      <c r="E7935" t="inlineStr">
        <is>
          <t>cash_in</t>
        </is>
      </c>
      <c r="F7935" s="23" t="n">
        <v>46279</v>
      </c>
      <c r="G7935" s="24">
        <f>F7935-DATE(2026,8,31)</f>
        <v>14</v>
      </c>
      <c r="H7935" s="25" t="n">
        <v>79287217</v>
      </c>
      <c r="I7935" t="inlineStr">
        <is>
          <t>entidad-dia</t>
        </is>
      </c>
    </row>
    <row r="7936">
      <c r="A7936" t="inlineStr">
        <is>
          <t>PRAGMA</t>
        </is>
      </c>
      <c r="B7936" t="inlineStr">
        <is>
          <t>M2</t>
        </is>
      </c>
      <c r="C7936" t="inlineStr">
        <is>
          <t>Cali</t>
        </is>
      </c>
      <c r="D7936" t="inlineStr">
        <is>
          <t>8734</t>
        </is>
      </c>
      <c r="E7936" t="inlineStr">
        <is>
          <t>pagado</t>
        </is>
      </c>
      <c r="F7936" s="23" t="n">
        <v>46280</v>
      </c>
      <c r="G7936" s="24">
        <f>F7936-DATE(2026,8,31)</f>
        <v>15</v>
      </c>
      <c r="H7936" s="25" t="n">
        <v>69667870</v>
      </c>
      <c r="I7936" t="inlineStr">
        <is>
          <t>entidad-dia</t>
        </is>
      </c>
    </row>
    <row r="7937">
      <c r="A7937" t="inlineStr">
        <is>
          <t>PRAGMA</t>
        </is>
      </c>
      <c r="B7937" t="inlineStr">
        <is>
          <t>M2</t>
        </is>
      </c>
      <c r="C7937" t="inlineStr">
        <is>
          <t>Cali</t>
        </is>
      </c>
      <c r="D7937" t="inlineStr">
        <is>
          <t>8734</t>
        </is>
      </c>
      <c r="E7937" t="inlineStr">
        <is>
          <t>cash_in</t>
        </is>
      </c>
      <c r="F7937" s="23" t="n">
        <v>46280</v>
      </c>
      <c r="G7937" s="24">
        <f>F7937-DATE(2026,8,31)</f>
        <v>15</v>
      </c>
      <c r="H7937" s="25" t="n">
        <v>93397426</v>
      </c>
      <c r="I7937" t="inlineStr">
        <is>
          <t>entidad-dia</t>
        </is>
      </c>
    </row>
    <row r="7938">
      <c r="A7938" t="inlineStr">
        <is>
          <t>PRAGMA</t>
        </is>
      </c>
      <c r="B7938" t="inlineStr">
        <is>
          <t>M2</t>
        </is>
      </c>
      <c r="C7938" t="inlineStr">
        <is>
          <t>Cali</t>
        </is>
      </c>
      <c r="D7938" t="inlineStr">
        <is>
          <t>8762</t>
        </is>
      </c>
      <c r="E7938" t="inlineStr">
        <is>
          <t>pagado</t>
        </is>
      </c>
      <c r="F7938" s="23" t="n">
        <v>46266</v>
      </c>
      <c r="G7938" s="24">
        <f>F7938-DATE(2026,8,31)</f>
        <v>1</v>
      </c>
      <c r="H7938" s="25" t="n">
        <v>42972256</v>
      </c>
      <c r="I7938" t="inlineStr">
        <is>
          <t>entidad-dia</t>
        </is>
      </c>
    </row>
    <row r="7939">
      <c r="A7939" t="inlineStr">
        <is>
          <t>PRAGMA</t>
        </is>
      </c>
      <c r="B7939" t="inlineStr">
        <is>
          <t>M2</t>
        </is>
      </c>
      <c r="C7939" t="inlineStr">
        <is>
          <t>Cali</t>
        </is>
      </c>
      <c r="D7939" t="inlineStr">
        <is>
          <t>8762</t>
        </is>
      </c>
      <c r="E7939" t="inlineStr">
        <is>
          <t>cash_in</t>
        </is>
      </c>
      <c r="F7939" s="23" t="n">
        <v>46266</v>
      </c>
      <c r="G7939" s="24">
        <f>F7939-DATE(2026,8,31)</f>
        <v>1</v>
      </c>
      <c r="H7939" s="25" t="n">
        <v>265309298</v>
      </c>
      <c r="I7939" t="inlineStr">
        <is>
          <t>entidad-dia</t>
        </is>
      </c>
    </row>
    <row r="7940">
      <c r="A7940" t="inlineStr">
        <is>
          <t>PRAGMA</t>
        </is>
      </c>
      <c r="B7940" t="inlineStr">
        <is>
          <t>M2</t>
        </is>
      </c>
      <c r="C7940" t="inlineStr">
        <is>
          <t>Cali</t>
        </is>
      </c>
      <c r="D7940" t="inlineStr">
        <is>
          <t>8762</t>
        </is>
      </c>
      <c r="E7940" t="inlineStr">
        <is>
          <t>pagado</t>
        </is>
      </c>
      <c r="F7940" s="23" t="n">
        <v>46267</v>
      </c>
      <c r="G7940" s="24">
        <f>F7940-DATE(2026,8,31)</f>
        <v>2</v>
      </c>
      <c r="H7940" s="25" t="n">
        <v>36236256</v>
      </c>
      <c r="I7940" t="inlineStr">
        <is>
          <t>entidad-dia</t>
        </is>
      </c>
    </row>
    <row r="7941">
      <c r="A7941" t="inlineStr">
        <is>
          <t>PRAGMA</t>
        </is>
      </c>
      <c r="B7941" t="inlineStr">
        <is>
          <t>M2</t>
        </is>
      </c>
      <c r="C7941" t="inlineStr">
        <is>
          <t>Cali</t>
        </is>
      </c>
      <c r="D7941" t="inlineStr">
        <is>
          <t>8762</t>
        </is>
      </c>
      <c r="E7941" t="inlineStr">
        <is>
          <t>cash_in</t>
        </is>
      </c>
      <c r="F7941" s="23" t="n">
        <v>46267</v>
      </c>
      <c r="G7941" s="24">
        <f>F7941-DATE(2026,8,31)</f>
        <v>2</v>
      </c>
      <c r="H7941" s="25" t="n">
        <v>223056611</v>
      </c>
      <c r="I7941" t="inlineStr">
        <is>
          <t>entidad-dia</t>
        </is>
      </c>
    </row>
    <row r="7942">
      <c r="A7942" t="inlineStr">
        <is>
          <t>PRAGMA</t>
        </is>
      </c>
      <c r="B7942" t="inlineStr">
        <is>
          <t>M2</t>
        </is>
      </c>
      <c r="C7942" t="inlineStr">
        <is>
          <t>Cali</t>
        </is>
      </c>
      <c r="D7942" t="inlineStr">
        <is>
          <t>8762</t>
        </is>
      </c>
      <c r="E7942" t="inlineStr">
        <is>
          <t>pagado</t>
        </is>
      </c>
      <c r="F7942" s="23" t="n">
        <v>46268</v>
      </c>
      <c r="G7942" s="24">
        <f>F7942-DATE(2026,8,31)</f>
        <v>3</v>
      </c>
      <c r="H7942" s="25" t="n">
        <v>33502822</v>
      </c>
      <c r="I7942" t="inlineStr">
        <is>
          <t>entidad-dia</t>
        </is>
      </c>
    </row>
    <row r="7943">
      <c r="A7943" t="inlineStr">
        <is>
          <t>PRAGMA</t>
        </is>
      </c>
      <c r="B7943" t="inlineStr">
        <is>
          <t>M2</t>
        </is>
      </c>
      <c r="C7943" t="inlineStr">
        <is>
          <t>Cali</t>
        </is>
      </c>
      <c r="D7943" t="inlineStr">
        <is>
          <t>8762</t>
        </is>
      </c>
      <c r="E7943" t="inlineStr">
        <is>
          <t>cash_in</t>
        </is>
      </c>
      <c r="F7943" s="23" t="n">
        <v>46268</v>
      </c>
      <c r="G7943" s="24">
        <f>F7943-DATE(2026,8,31)</f>
        <v>3</v>
      </c>
      <c r="H7943" s="25" t="n">
        <v>228304791</v>
      </c>
      <c r="I7943" t="inlineStr">
        <is>
          <t>entidad-dia</t>
        </is>
      </c>
    </row>
    <row r="7944">
      <c r="A7944" t="inlineStr">
        <is>
          <t>PRAGMA</t>
        </is>
      </c>
      <c r="B7944" t="inlineStr">
        <is>
          <t>M2</t>
        </is>
      </c>
      <c r="C7944" t="inlineStr">
        <is>
          <t>Cali</t>
        </is>
      </c>
      <c r="D7944" t="inlineStr">
        <is>
          <t>8762</t>
        </is>
      </c>
      <c r="E7944" t="inlineStr">
        <is>
          <t>pagado</t>
        </is>
      </c>
      <c r="F7944" s="23" t="n">
        <v>46269</v>
      </c>
      <c r="G7944" s="24">
        <f>F7944-DATE(2026,8,31)</f>
        <v>4</v>
      </c>
      <c r="H7944" s="25" t="n">
        <v>33969769</v>
      </c>
      <c r="I7944" t="inlineStr">
        <is>
          <t>entidad-dia</t>
        </is>
      </c>
    </row>
    <row r="7945">
      <c r="A7945" t="inlineStr">
        <is>
          <t>PRAGMA</t>
        </is>
      </c>
      <c r="B7945" t="inlineStr">
        <is>
          <t>M2</t>
        </is>
      </c>
      <c r="C7945" t="inlineStr">
        <is>
          <t>Cali</t>
        </is>
      </c>
      <c r="D7945" t="inlineStr">
        <is>
          <t>8762</t>
        </is>
      </c>
      <c r="E7945" t="inlineStr">
        <is>
          <t>cash_in</t>
        </is>
      </c>
      <c r="F7945" s="23" t="n">
        <v>46269</v>
      </c>
      <c r="G7945" s="24">
        <f>F7945-DATE(2026,8,31)</f>
        <v>4</v>
      </c>
      <c r="H7945" s="25" t="n">
        <v>236356533</v>
      </c>
      <c r="I7945" t="inlineStr">
        <is>
          <t>entidad-dia</t>
        </is>
      </c>
    </row>
    <row r="7946">
      <c r="A7946" t="inlineStr">
        <is>
          <t>PRAGMA</t>
        </is>
      </c>
      <c r="B7946" t="inlineStr">
        <is>
          <t>M2</t>
        </is>
      </c>
      <c r="C7946" t="inlineStr">
        <is>
          <t>Cali</t>
        </is>
      </c>
      <c r="D7946" t="inlineStr">
        <is>
          <t>8762</t>
        </is>
      </c>
      <c r="E7946" t="inlineStr">
        <is>
          <t>pagado</t>
        </is>
      </c>
      <c r="F7946" s="23" t="n">
        <v>46270</v>
      </c>
      <c r="G7946" s="24">
        <f>F7946-DATE(2026,8,31)</f>
        <v>5</v>
      </c>
      <c r="H7946" s="25" t="n">
        <v>35692635</v>
      </c>
      <c r="I7946" t="inlineStr">
        <is>
          <t>entidad-dia</t>
        </is>
      </c>
    </row>
    <row r="7947">
      <c r="A7947" t="inlineStr">
        <is>
          <t>PRAGMA</t>
        </is>
      </c>
      <c r="B7947" t="inlineStr">
        <is>
          <t>M2</t>
        </is>
      </c>
      <c r="C7947" t="inlineStr">
        <is>
          <t>Cali</t>
        </is>
      </c>
      <c r="D7947" t="inlineStr">
        <is>
          <t>8762</t>
        </is>
      </c>
      <c r="E7947" t="inlineStr">
        <is>
          <t>cash_in</t>
        </is>
      </c>
      <c r="F7947" s="23" t="n">
        <v>46270</v>
      </c>
      <c r="G7947" s="24">
        <f>F7947-DATE(2026,8,31)</f>
        <v>5</v>
      </c>
      <c r="H7947" s="25" t="n">
        <v>247157267</v>
      </c>
      <c r="I7947" t="inlineStr">
        <is>
          <t>entidad-dia</t>
        </is>
      </c>
    </row>
    <row r="7948">
      <c r="A7948" t="inlineStr">
        <is>
          <t>PRAGMA</t>
        </is>
      </c>
      <c r="B7948" t="inlineStr">
        <is>
          <t>M2</t>
        </is>
      </c>
      <c r="C7948" t="inlineStr">
        <is>
          <t>Cali</t>
        </is>
      </c>
      <c r="D7948" t="inlineStr">
        <is>
          <t>8762</t>
        </is>
      </c>
      <c r="E7948" t="inlineStr">
        <is>
          <t>pagado</t>
        </is>
      </c>
      <c r="F7948" s="23" t="n">
        <v>46271</v>
      </c>
      <c r="G7948" s="24">
        <f>F7948-DATE(2026,8,31)</f>
        <v>6</v>
      </c>
      <c r="H7948" s="25" t="n">
        <v>22730007</v>
      </c>
      <c r="I7948" t="inlineStr">
        <is>
          <t>entidad-dia</t>
        </is>
      </c>
    </row>
    <row r="7949">
      <c r="A7949" t="inlineStr">
        <is>
          <t>PRAGMA</t>
        </is>
      </c>
      <c r="B7949" t="inlineStr">
        <is>
          <t>M2</t>
        </is>
      </c>
      <c r="C7949" t="inlineStr">
        <is>
          <t>Cali</t>
        </is>
      </c>
      <c r="D7949" t="inlineStr">
        <is>
          <t>8762</t>
        </is>
      </c>
      <c r="E7949" t="inlineStr">
        <is>
          <t>cash_in</t>
        </is>
      </c>
      <c r="F7949" s="23" t="n">
        <v>46271</v>
      </c>
      <c r="G7949" s="24">
        <f>F7949-DATE(2026,8,31)</f>
        <v>6</v>
      </c>
      <c r="H7949" s="25" t="n">
        <v>173145671</v>
      </c>
      <c r="I7949" t="inlineStr">
        <is>
          <t>entidad-dia</t>
        </is>
      </c>
    </row>
    <row r="7950">
      <c r="A7950" t="inlineStr">
        <is>
          <t>PRAGMA</t>
        </is>
      </c>
      <c r="B7950" t="inlineStr">
        <is>
          <t>M2</t>
        </is>
      </c>
      <c r="C7950" t="inlineStr">
        <is>
          <t>Cali</t>
        </is>
      </c>
      <c r="D7950" t="inlineStr">
        <is>
          <t>8762</t>
        </is>
      </c>
      <c r="E7950" t="inlineStr">
        <is>
          <t>pagado</t>
        </is>
      </c>
      <c r="F7950" s="23" t="n">
        <v>46272</v>
      </c>
      <c r="G7950" s="24">
        <f>F7950-DATE(2026,8,31)</f>
        <v>7</v>
      </c>
      <c r="H7950" s="25" t="n">
        <v>30834055</v>
      </c>
      <c r="I7950" t="inlineStr">
        <is>
          <t>entidad-dia</t>
        </is>
      </c>
    </row>
    <row r="7951">
      <c r="A7951" t="inlineStr">
        <is>
          <t>PRAGMA</t>
        </is>
      </c>
      <c r="B7951" t="inlineStr">
        <is>
          <t>M2</t>
        </is>
      </c>
      <c r="C7951" t="inlineStr">
        <is>
          <t>Cali</t>
        </is>
      </c>
      <c r="D7951" t="inlineStr">
        <is>
          <t>8762</t>
        </is>
      </c>
      <c r="E7951" t="inlineStr">
        <is>
          <t>cash_in</t>
        </is>
      </c>
      <c r="F7951" s="23" t="n">
        <v>46272</v>
      </c>
      <c r="G7951" s="24">
        <f>F7951-DATE(2026,8,31)</f>
        <v>7</v>
      </c>
      <c r="H7951" s="25" t="n">
        <v>243903731</v>
      </c>
      <c r="I7951" t="inlineStr">
        <is>
          <t>entidad-dia</t>
        </is>
      </c>
    </row>
    <row r="7952">
      <c r="A7952" t="inlineStr">
        <is>
          <t>PRAGMA</t>
        </is>
      </c>
      <c r="B7952" t="inlineStr">
        <is>
          <t>M2</t>
        </is>
      </c>
      <c r="C7952" t="inlineStr">
        <is>
          <t>Cali</t>
        </is>
      </c>
      <c r="D7952" t="inlineStr">
        <is>
          <t>8762</t>
        </is>
      </c>
      <c r="E7952" t="inlineStr">
        <is>
          <t>pagado</t>
        </is>
      </c>
      <c r="F7952" s="23" t="n">
        <v>46273</v>
      </c>
      <c r="G7952" s="24">
        <f>F7952-DATE(2026,8,31)</f>
        <v>8</v>
      </c>
      <c r="H7952" s="25" t="n">
        <v>28710636</v>
      </c>
      <c r="I7952" t="inlineStr">
        <is>
          <t>entidad-dia</t>
        </is>
      </c>
    </row>
    <row r="7953">
      <c r="A7953" t="inlineStr">
        <is>
          <t>PRAGMA</t>
        </is>
      </c>
      <c r="B7953" t="inlineStr">
        <is>
          <t>M2</t>
        </is>
      </c>
      <c r="C7953" t="inlineStr">
        <is>
          <t>Cali</t>
        </is>
      </c>
      <c r="D7953" t="inlineStr">
        <is>
          <t>8762</t>
        </is>
      </c>
      <c r="E7953" t="inlineStr">
        <is>
          <t>cash_in</t>
        </is>
      </c>
      <c r="F7953" s="23" t="n">
        <v>46273</v>
      </c>
      <c r="G7953" s="24">
        <f>F7953-DATE(2026,8,31)</f>
        <v>8</v>
      </c>
      <c r="H7953" s="25" t="n">
        <v>222668542</v>
      </c>
      <c r="I7953" t="inlineStr">
        <is>
          <t>entidad-dia</t>
        </is>
      </c>
    </row>
    <row r="7954">
      <c r="A7954" t="inlineStr">
        <is>
          <t>PRAGMA</t>
        </is>
      </c>
      <c r="B7954" t="inlineStr">
        <is>
          <t>M2</t>
        </is>
      </c>
      <c r="C7954" t="inlineStr">
        <is>
          <t>Cali</t>
        </is>
      </c>
      <c r="D7954" t="inlineStr">
        <is>
          <t>8762</t>
        </is>
      </c>
      <c r="E7954" t="inlineStr">
        <is>
          <t>pagado</t>
        </is>
      </c>
      <c r="F7954" s="23" t="n">
        <v>46274</v>
      </c>
      <c r="G7954" s="24">
        <f>F7954-DATE(2026,8,31)</f>
        <v>9</v>
      </c>
      <c r="H7954" s="25" t="n">
        <v>26507550</v>
      </c>
      <c r="I7954" t="inlineStr">
        <is>
          <t>entidad-dia</t>
        </is>
      </c>
    </row>
    <row r="7955">
      <c r="A7955" t="inlineStr">
        <is>
          <t>PRAGMA</t>
        </is>
      </c>
      <c r="B7955" t="inlineStr">
        <is>
          <t>M2</t>
        </is>
      </c>
      <c r="C7955" t="inlineStr">
        <is>
          <t>Cali</t>
        </is>
      </c>
      <c r="D7955" t="inlineStr">
        <is>
          <t>8762</t>
        </is>
      </c>
      <c r="E7955" t="inlineStr">
        <is>
          <t>cash_in</t>
        </is>
      </c>
      <c r="F7955" s="23" t="n">
        <v>46274</v>
      </c>
      <c r="G7955" s="24">
        <f>F7955-DATE(2026,8,31)</f>
        <v>9</v>
      </c>
      <c r="H7955" s="25" t="n">
        <v>203702676</v>
      </c>
      <c r="I7955" t="inlineStr">
        <is>
          <t>entidad-dia</t>
        </is>
      </c>
    </row>
    <row r="7956">
      <c r="A7956" t="inlineStr">
        <is>
          <t>PRAGMA</t>
        </is>
      </c>
      <c r="B7956" t="inlineStr">
        <is>
          <t>M2</t>
        </is>
      </c>
      <c r="C7956" t="inlineStr">
        <is>
          <t>Cali</t>
        </is>
      </c>
      <c r="D7956" t="inlineStr">
        <is>
          <t>8762</t>
        </is>
      </c>
      <c r="E7956" t="inlineStr">
        <is>
          <t>pagado</t>
        </is>
      </c>
      <c r="F7956" s="23" t="n">
        <v>46275</v>
      </c>
      <c r="G7956" s="24">
        <f>F7956-DATE(2026,8,31)</f>
        <v>10</v>
      </c>
      <c r="H7956" s="25" t="n">
        <v>25471041</v>
      </c>
      <c r="I7956" t="inlineStr">
        <is>
          <t>entidad-dia</t>
        </is>
      </c>
    </row>
    <row r="7957">
      <c r="A7957" t="inlineStr">
        <is>
          <t>PRAGMA</t>
        </is>
      </c>
      <c r="B7957" t="inlineStr">
        <is>
          <t>M2</t>
        </is>
      </c>
      <c r="C7957" t="inlineStr">
        <is>
          <t>Cali</t>
        </is>
      </c>
      <c r="D7957" t="inlineStr">
        <is>
          <t>8762</t>
        </is>
      </c>
      <c r="E7957" t="inlineStr">
        <is>
          <t>cash_in</t>
        </is>
      </c>
      <c r="F7957" s="23" t="n">
        <v>46275</v>
      </c>
      <c r="G7957" s="24">
        <f>F7957-DATE(2026,8,31)</f>
        <v>10</v>
      </c>
      <c r="H7957" s="25" t="n">
        <v>205832785</v>
      </c>
      <c r="I7957" t="inlineStr">
        <is>
          <t>entidad-dia</t>
        </is>
      </c>
    </row>
    <row r="7958">
      <c r="A7958" t="inlineStr">
        <is>
          <t>PRAGMA</t>
        </is>
      </c>
      <c r="B7958" t="inlineStr">
        <is>
          <t>M2</t>
        </is>
      </c>
      <c r="C7958" t="inlineStr">
        <is>
          <t>Cali</t>
        </is>
      </c>
      <c r="D7958" t="inlineStr">
        <is>
          <t>8762</t>
        </is>
      </c>
      <c r="E7958" t="inlineStr">
        <is>
          <t>pagado</t>
        </is>
      </c>
      <c r="F7958" s="23" t="n">
        <v>46276</v>
      </c>
      <c r="G7958" s="24">
        <f>F7958-DATE(2026,8,31)</f>
        <v>11</v>
      </c>
      <c r="H7958" s="25" t="n">
        <v>26815427</v>
      </c>
      <c r="I7958" t="inlineStr">
        <is>
          <t>entidad-dia</t>
        </is>
      </c>
    </row>
    <row r="7959">
      <c r="A7959" t="inlineStr">
        <is>
          <t>PRAGMA</t>
        </is>
      </c>
      <c r="B7959" t="inlineStr">
        <is>
          <t>M2</t>
        </is>
      </c>
      <c r="C7959" t="inlineStr">
        <is>
          <t>Cali</t>
        </is>
      </c>
      <c r="D7959" t="inlineStr">
        <is>
          <t>8762</t>
        </is>
      </c>
      <c r="E7959" t="inlineStr">
        <is>
          <t>cash_in</t>
        </is>
      </c>
      <c r="F7959" s="23" t="n">
        <v>46276</v>
      </c>
      <c r="G7959" s="24">
        <f>F7959-DATE(2026,8,31)</f>
        <v>11</v>
      </c>
      <c r="H7959" s="25" t="n">
        <v>201252694</v>
      </c>
      <c r="I7959" t="inlineStr">
        <is>
          <t>entidad-dia</t>
        </is>
      </c>
    </row>
    <row r="7960">
      <c r="A7960" t="inlineStr">
        <is>
          <t>PRAGMA</t>
        </is>
      </c>
      <c r="B7960" t="inlineStr">
        <is>
          <t>M2</t>
        </is>
      </c>
      <c r="C7960" t="inlineStr">
        <is>
          <t>Cali</t>
        </is>
      </c>
      <c r="D7960" t="inlineStr">
        <is>
          <t>8762</t>
        </is>
      </c>
      <c r="E7960" t="inlineStr">
        <is>
          <t>pagado</t>
        </is>
      </c>
      <c r="F7960" s="23" t="n">
        <v>46277</v>
      </c>
      <c r="G7960" s="24">
        <f>F7960-DATE(2026,8,31)</f>
        <v>12</v>
      </c>
      <c r="H7960" s="25" t="n">
        <v>29362177</v>
      </c>
      <c r="I7960" t="inlineStr">
        <is>
          <t>entidad-dia</t>
        </is>
      </c>
    </row>
    <row r="7961">
      <c r="A7961" t="inlineStr">
        <is>
          <t>PRAGMA</t>
        </is>
      </c>
      <c r="B7961" t="inlineStr">
        <is>
          <t>M2</t>
        </is>
      </c>
      <c r="C7961" t="inlineStr">
        <is>
          <t>Cali</t>
        </is>
      </c>
      <c r="D7961" t="inlineStr">
        <is>
          <t>8762</t>
        </is>
      </c>
      <c r="E7961" t="inlineStr">
        <is>
          <t>cash_in</t>
        </is>
      </c>
      <c r="F7961" s="23" t="n">
        <v>46277</v>
      </c>
      <c r="G7961" s="24">
        <f>F7961-DATE(2026,8,31)</f>
        <v>12</v>
      </c>
      <c r="H7961" s="25" t="n">
        <v>203664997</v>
      </c>
      <c r="I7961" t="inlineStr">
        <is>
          <t>entidad-dia</t>
        </is>
      </c>
    </row>
    <row r="7962">
      <c r="A7962" t="inlineStr">
        <is>
          <t>PRAGMA</t>
        </is>
      </c>
      <c r="B7962" t="inlineStr">
        <is>
          <t>M2</t>
        </is>
      </c>
      <c r="C7962" t="inlineStr">
        <is>
          <t>Cali</t>
        </is>
      </c>
      <c r="D7962" t="inlineStr">
        <is>
          <t>8762</t>
        </is>
      </c>
      <c r="E7962" t="inlineStr">
        <is>
          <t>pagado</t>
        </is>
      </c>
      <c r="F7962" s="23" t="n">
        <v>46278</v>
      </c>
      <c r="G7962" s="24">
        <f>F7962-DATE(2026,8,31)</f>
        <v>13</v>
      </c>
      <c r="H7962" s="25" t="n">
        <v>18789404</v>
      </c>
      <c r="I7962" t="inlineStr">
        <is>
          <t>entidad-dia</t>
        </is>
      </c>
    </row>
    <row r="7963">
      <c r="A7963" t="inlineStr">
        <is>
          <t>PRAGMA</t>
        </is>
      </c>
      <c r="B7963" t="inlineStr">
        <is>
          <t>M2</t>
        </is>
      </c>
      <c r="C7963" t="inlineStr">
        <is>
          <t>Cali</t>
        </is>
      </c>
      <c r="D7963" t="inlineStr">
        <is>
          <t>8762</t>
        </is>
      </c>
      <c r="E7963" t="inlineStr">
        <is>
          <t>cash_in</t>
        </is>
      </c>
      <c r="F7963" s="23" t="n">
        <v>46278</v>
      </c>
      <c r="G7963" s="24">
        <f>F7963-DATE(2026,8,31)</f>
        <v>13</v>
      </c>
      <c r="H7963" s="25" t="n">
        <v>142402382</v>
      </c>
      <c r="I7963" t="inlineStr">
        <is>
          <t>entidad-dia</t>
        </is>
      </c>
    </row>
    <row r="7964">
      <c r="A7964" t="inlineStr">
        <is>
          <t>PRAGMA</t>
        </is>
      </c>
      <c r="B7964" t="inlineStr">
        <is>
          <t>M2</t>
        </is>
      </c>
      <c r="C7964" t="inlineStr">
        <is>
          <t>Cali</t>
        </is>
      </c>
      <c r="D7964" t="inlineStr">
        <is>
          <t>8762</t>
        </is>
      </c>
      <c r="E7964" t="inlineStr">
        <is>
          <t>pagado</t>
        </is>
      </c>
      <c r="F7964" s="23" t="n">
        <v>46279</v>
      </c>
      <c r="G7964" s="24">
        <f>F7964-DATE(2026,8,31)</f>
        <v>14</v>
      </c>
      <c r="H7964" s="25" t="n">
        <v>25828618</v>
      </c>
      <c r="I7964" t="inlineStr">
        <is>
          <t>entidad-dia</t>
        </is>
      </c>
    </row>
    <row r="7965">
      <c r="A7965" t="inlineStr">
        <is>
          <t>PRAGMA</t>
        </is>
      </c>
      <c r="B7965" t="inlineStr">
        <is>
          <t>M2</t>
        </is>
      </c>
      <c r="C7965" t="inlineStr">
        <is>
          <t>Cali</t>
        </is>
      </c>
      <c r="D7965" t="inlineStr">
        <is>
          <t>8762</t>
        </is>
      </c>
      <c r="E7965" t="inlineStr">
        <is>
          <t>cash_in</t>
        </is>
      </c>
      <c r="F7965" s="23" t="n">
        <v>46279</v>
      </c>
      <c r="G7965" s="24">
        <f>F7965-DATE(2026,8,31)</f>
        <v>14</v>
      </c>
      <c r="H7965" s="25" t="n">
        <v>212155685</v>
      </c>
      <c r="I7965" t="inlineStr">
        <is>
          <t>entidad-dia</t>
        </is>
      </c>
    </row>
    <row r="7966">
      <c r="A7966" t="inlineStr">
        <is>
          <t>PRAGMA</t>
        </is>
      </c>
      <c r="B7966" t="inlineStr">
        <is>
          <t>M2</t>
        </is>
      </c>
      <c r="C7966" t="inlineStr">
        <is>
          <t>Cali</t>
        </is>
      </c>
      <c r="D7966" t="inlineStr">
        <is>
          <t>8762</t>
        </is>
      </c>
      <c r="E7966" t="inlineStr">
        <is>
          <t>pagado</t>
        </is>
      </c>
      <c r="F7966" s="23" t="n">
        <v>46280</v>
      </c>
      <c r="G7966" s="24">
        <f>F7966-DATE(2026,8,31)</f>
        <v>15</v>
      </c>
      <c r="H7966" s="25" t="n">
        <v>34493462</v>
      </c>
      <c r="I7966" t="inlineStr">
        <is>
          <t>entidad-dia</t>
        </is>
      </c>
    </row>
    <row r="7967">
      <c r="A7967" t="inlineStr">
        <is>
          <t>PRAGMA</t>
        </is>
      </c>
      <c r="B7967" t="inlineStr">
        <is>
          <t>M2</t>
        </is>
      </c>
      <c r="C7967" t="inlineStr">
        <is>
          <t>Cali</t>
        </is>
      </c>
      <c r="D7967" t="inlineStr">
        <is>
          <t>8762</t>
        </is>
      </c>
      <c r="E7967" t="inlineStr">
        <is>
          <t>cash_in</t>
        </is>
      </c>
      <c r="F7967" s="23" t="n">
        <v>46280</v>
      </c>
      <c r="G7967" s="24">
        <f>F7967-DATE(2026,8,31)</f>
        <v>15</v>
      </c>
      <c r="H7967" s="25" t="n">
        <v>226802769</v>
      </c>
      <c r="I7967" t="inlineStr">
        <is>
          <t>entidad-dia</t>
        </is>
      </c>
    </row>
    <row r="7968">
      <c r="A7968" t="inlineStr">
        <is>
          <t>PRAGMA</t>
        </is>
      </c>
      <c r="B7968" t="inlineStr">
        <is>
          <t>M2</t>
        </is>
      </c>
      <c r="C7968" t="inlineStr">
        <is>
          <t>Cali</t>
        </is>
      </c>
      <c r="D7968" t="inlineStr">
        <is>
          <t>8763</t>
        </is>
      </c>
      <c r="E7968" t="inlineStr">
        <is>
          <t>pagado</t>
        </is>
      </c>
      <c r="F7968" s="23" t="n">
        <v>46266</v>
      </c>
      <c r="G7968" s="24">
        <f>F7968-DATE(2026,8,31)</f>
        <v>1</v>
      </c>
      <c r="H7968" s="25" t="n">
        <v>34923042</v>
      </c>
      <c r="I7968" t="inlineStr">
        <is>
          <t>entidad-dia</t>
        </is>
      </c>
    </row>
    <row r="7969">
      <c r="A7969" t="inlineStr">
        <is>
          <t>PRAGMA</t>
        </is>
      </c>
      <c r="B7969" t="inlineStr">
        <is>
          <t>M2</t>
        </is>
      </c>
      <c r="C7969" t="inlineStr">
        <is>
          <t>Cali</t>
        </is>
      </c>
      <c r="D7969" t="inlineStr">
        <is>
          <t>8763</t>
        </is>
      </c>
      <c r="E7969" t="inlineStr">
        <is>
          <t>cash_in</t>
        </is>
      </c>
      <c r="F7969" s="23" t="n">
        <v>46266</v>
      </c>
      <c r="G7969" s="24">
        <f>F7969-DATE(2026,8,31)</f>
        <v>1</v>
      </c>
      <c r="H7969" s="25" t="n">
        <v>244094881</v>
      </c>
      <c r="I7969" t="inlineStr">
        <is>
          <t>entidad-dia</t>
        </is>
      </c>
    </row>
    <row r="7970">
      <c r="A7970" t="inlineStr">
        <is>
          <t>PRAGMA</t>
        </is>
      </c>
      <c r="B7970" t="inlineStr">
        <is>
          <t>M2</t>
        </is>
      </c>
      <c r="C7970" t="inlineStr">
        <is>
          <t>Cali</t>
        </is>
      </c>
      <c r="D7970" t="inlineStr">
        <is>
          <t>8763</t>
        </is>
      </c>
      <c r="E7970" t="inlineStr">
        <is>
          <t>pagado</t>
        </is>
      </c>
      <c r="F7970" s="23" t="n">
        <v>46267</v>
      </c>
      <c r="G7970" s="24">
        <f>F7970-DATE(2026,8,31)</f>
        <v>2</v>
      </c>
      <c r="H7970" s="25" t="n">
        <v>31038146</v>
      </c>
      <c r="I7970" t="inlineStr">
        <is>
          <t>entidad-dia</t>
        </is>
      </c>
    </row>
    <row r="7971">
      <c r="A7971" t="inlineStr">
        <is>
          <t>PRAGMA</t>
        </is>
      </c>
      <c r="B7971" t="inlineStr">
        <is>
          <t>M2</t>
        </is>
      </c>
      <c r="C7971" t="inlineStr">
        <is>
          <t>Cali</t>
        </is>
      </c>
      <c r="D7971" t="inlineStr">
        <is>
          <t>8763</t>
        </is>
      </c>
      <c r="E7971" t="inlineStr">
        <is>
          <t>cash_in</t>
        </is>
      </c>
      <c r="F7971" s="23" t="n">
        <v>46267</v>
      </c>
      <c r="G7971" s="24">
        <f>F7971-DATE(2026,8,31)</f>
        <v>2</v>
      </c>
      <c r="H7971" s="25" t="n">
        <v>216216353</v>
      </c>
      <c r="I7971" t="inlineStr">
        <is>
          <t>entidad-dia</t>
        </is>
      </c>
    </row>
    <row r="7972">
      <c r="A7972" t="inlineStr">
        <is>
          <t>PRAGMA</t>
        </is>
      </c>
      <c r="B7972" t="inlineStr">
        <is>
          <t>M2</t>
        </is>
      </c>
      <c r="C7972" t="inlineStr">
        <is>
          <t>Cali</t>
        </is>
      </c>
      <c r="D7972" t="inlineStr">
        <is>
          <t>8763</t>
        </is>
      </c>
      <c r="E7972" t="inlineStr">
        <is>
          <t>pagado</t>
        </is>
      </c>
      <c r="F7972" s="23" t="n">
        <v>46268</v>
      </c>
      <c r="G7972" s="24">
        <f>F7972-DATE(2026,8,31)</f>
        <v>3</v>
      </c>
      <c r="H7972" s="25" t="n">
        <v>27412036</v>
      </c>
      <c r="I7972" t="inlineStr">
        <is>
          <t>entidad-dia</t>
        </is>
      </c>
    </row>
    <row r="7973">
      <c r="A7973" t="inlineStr">
        <is>
          <t>PRAGMA</t>
        </is>
      </c>
      <c r="B7973" t="inlineStr">
        <is>
          <t>M2</t>
        </is>
      </c>
      <c r="C7973" t="inlineStr">
        <is>
          <t>Cali</t>
        </is>
      </c>
      <c r="D7973" t="inlineStr">
        <is>
          <t>8763</t>
        </is>
      </c>
      <c r="E7973" t="inlineStr">
        <is>
          <t>cash_in</t>
        </is>
      </c>
      <c r="F7973" s="23" t="n">
        <v>46268</v>
      </c>
      <c r="G7973" s="24">
        <f>F7973-DATE(2026,8,31)</f>
        <v>3</v>
      </c>
      <c r="H7973" s="25" t="n">
        <v>202629355</v>
      </c>
      <c r="I7973" t="inlineStr">
        <is>
          <t>entidad-dia</t>
        </is>
      </c>
    </row>
    <row r="7974">
      <c r="A7974" t="inlineStr">
        <is>
          <t>PRAGMA</t>
        </is>
      </c>
      <c r="B7974" t="inlineStr">
        <is>
          <t>M2</t>
        </is>
      </c>
      <c r="C7974" t="inlineStr">
        <is>
          <t>Cali</t>
        </is>
      </c>
      <c r="D7974" t="inlineStr">
        <is>
          <t>8763</t>
        </is>
      </c>
      <c r="E7974" t="inlineStr">
        <is>
          <t>pagado</t>
        </is>
      </c>
      <c r="F7974" s="23" t="n">
        <v>46269</v>
      </c>
      <c r="G7974" s="24">
        <f>F7974-DATE(2026,8,31)</f>
        <v>4</v>
      </c>
      <c r="H7974" s="25" t="n">
        <v>29183028</v>
      </c>
      <c r="I7974" t="inlineStr">
        <is>
          <t>entidad-dia</t>
        </is>
      </c>
    </row>
    <row r="7975">
      <c r="A7975" t="inlineStr">
        <is>
          <t>PRAGMA</t>
        </is>
      </c>
      <c r="B7975" t="inlineStr">
        <is>
          <t>M2</t>
        </is>
      </c>
      <c r="C7975" t="inlineStr">
        <is>
          <t>Cali</t>
        </is>
      </c>
      <c r="D7975" t="inlineStr">
        <is>
          <t>8763</t>
        </is>
      </c>
      <c r="E7975" t="inlineStr">
        <is>
          <t>cash_in</t>
        </is>
      </c>
      <c r="F7975" s="23" t="n">
        <v>46269</v>
      </c>
      <c r="G7975" s="24">
        <f>F7975-DATE(2026,8,31)</f>
        <v>4</v>
      </c>
      <c r="H7975" s="25" t="n">
        <v>219837891</v>
      </c>
      <c r="I7975" t="inlineStr">
        <is>
          <t>entidad-dia</t>
        </is>
      </c>
    </row>
    <row r="7976">
      <c r="A7976" t="inlineStr">
        <is>
          <t>PRAGMA</t>
        </is>
      </c>
      <c r="B7976" t="inlineStr">
        <is>
          <t>M2</t>
        </is>
      </c>
      <c r="C7976" t="inlineStr">
        <is>
          <t>Cali</t>
        </is>
      </c>
      <c r="D7976" t="inlineStr">
        <is>
          <t>8763</t>
        </is>
      </c>
      <c r="E7976" t="inlineStr">
        <is>
          <t>pagado</t>
        </is>
      </c>
      <c r="F7976" s="23" t="n">
        <v>46270</v>
      </c>
      <c r="G7976" s="24">
        <f>F7976-DATE(2026,8,31)</f>
        <v>5</v>
      </c>
      <c r="H7976" s="25" t="n">
        <v>28019689</v>
      </c>
      <c r="I7976" t="inlineStr">
        <is>
          <t>entidad-dia</t>
        </is>
      </c>
    </row>
    <row r="7977">
      <c r="A7977" t="inlineStr">
        <is>
          <t>PRAGMA</t>
        </is>
      </c>
      <c r="B7977" t="inlineStr">
        <is>
          <t>M2</t>
        </is>
      </c>
      <c r="C7977" t="inlineStr">
        <is>
          <t>Cali</t>
        </is>
      </c>
      <c r="D7977" t="inlineStr">
        <is>
          <t>8763</t>
        </is>
      </c>
      <c r="E7977" t="inlineStr">
        <is>
          <t>cash_in</t>
        </is>
      </c>
      <c r="F7977" s="23" t="n">
        <v>46270</v>
      </c>
      <c r="G7977" s="24">
        <f>F7977-DATE(2026,8,31)</f>
        <v>5</v>
      </c>
      <c r="H7977" s="25" t="n">
        <v>217894618</v>
      </c>
      <c r="I7977" t="inlineStr">
        <is>
          <t>entidad-dia</t>
        </is>
      </c>
    </row>
    <row r="7978">
      <c r="A7978" t="inlineStr">
        <is>
          <t>PRAGMA</t>
        </is>
      </c>
      <c r="B7978" t="inlineStr">
        <is>
          <t>M2</t>
        </is>
      </c>
      <c r="C7978" t="inlineStr">
        <is>
          <t>Cali</t>
        </is>
      </c>
      <c r="D7978" t="inlineStr">
        <is>
          <t>8763</t>
        </is>
      </c>
      <c r="E7978" t="inlineStr">
        <is>
          <t>pagado</t>
        </is>
      </c>
      <c r="F7978" s="23" t="n">
        <v>46271</v>
      </c>
      <c r="G7978" s="24">
        <f>F7978-DATE(2026,8,31)</f>
        <v>6</v>
      </c>
      <c r="H7978" s="25" t="n">
        <v>21195603</v>
      </c>
      <c r="I7978" t="inlineStr">
        <is>
          <t>entidad-dia</t>
        </is>
      </c>
    </row>
    <row r="7979">
      <c r="A7979" t="inlineStr">
        <is>
          <t>PRAGMA</t>
        </is>
      </c>
      <c r="B7979" t="inlineStr">
        <is>
          <t>M2</t>
        </is>
      </c>
      <c r="C7979" t="inlineStr">
        <is>
          <t>Cali</t>
        </is>
      </c>
      <c r="D7979" t="inlineStr">
        <is>
          <t>8763</t>
        </is>
      </c>
      <c r="E7979" t="inlineStr">
        <is>
          <t>cash_in</t>
        </is>
      </c>
      <c r="F7979" s="23" t="n">
        <v>46271</v>
      </c>
      <c r="G7979" s="24">
        <f>F7979-DATE(2026,8,31)</f>
        <v>6</v>
      </c>
      <c r="H7979" s="25" t="n">
        <v>152748965</v>
      </c>
      <c r="I7979" t="inlineStr">
        <is>
          <t>entidad-dia</t>
        </is>
      </c>
    </row>
    <row r="7980">
      <c r="A7980" t="inlineStr">
        <is>
          <t>PRAGMA</t>
        </is>
      </c>
      <c r="B7980" t="inlineStr">
        <is>
          <t>M2</t>
        </is>
      </c>
      <c r="C7980" t="inlineStr">
        <is>
          <t>Cali</t>
        </is>
      </c>
      <c r="D7980" t="inlineStr">
        <is>
          <t>8763</t>
        </is>
      </c>
      <c r="E7980" t="inlineStr">
        <is>
          <t>pagado</t>
        </is>
      </c>
      <c r="F7980" s="23" t="n">
        <v>46272</v>
      </c>
      <c r="G7980" s="24">
        <f>F7980-DATE(2026,8,31)</f>
        <v>7</v>
      </c>
      <c r="H7980" s="25" t="n">
        <v>25763432</v>
      </c>
      <c r="I7980" t="inlineStr">
        <is>
          <t>entidad-dia</t>
        </is>
      </c>
    </row>
    <row r="7981">
      <c r="A7981" t="inlineStr">
        <is>
          <t>PRAGMA</t>
        </is>
      </c>
      <c r="B7981" t="inlineStr">
        <is>
          <t>M2</t>
        </is>
      </c>
      <c r="C7981" t="inlineStr">
        <is>
          <t>Cali</t>
        </is>
      </c>
      <c r="D7981" t="inlineStr">
        <is>
          <t>8763</t>
        </is>
      </c>
      <c r="E7981" t="inlineStr">
        <is>
          <t>cash_in</t>
        </is>
      </c>
      <c r="F7981" s="23" t="n">
        <v>46272</v>
      </c>
      <c r="G7981" s="24">
        <f>F7981-DATE(2026,8,31)</f>
        <v>7</v>
      </c>
      <c r="H7981" s="25" t="n">
        <v>224939258</v>
      </c>
      <c r="I7981" t="inlineStr">
        <is>
          <t>entidad-dia</t>
        </is>
      </c>
    </row>
    <row r="7982">
      <c r="A7982" t="inlineStr">
        <is>
          <t>PRAGMA</t>
        </is>
      </c>
      <c r="B7982" t="inlineStr">
        <is>
          <t>M2</t>
        </is>
      </c>
      <c r="C7982" t="inlineStr">
        <is>
          <t>Cali</t>
        </is>
      </c>
      <c r="D7982" t="inlineStr">
        <is>
          <t>8763</t>
        </is>
      </c>
      <c r="E7982" t="inlineStr">
        <is>
          <t>pagado</t>
        </is>
      </c>
      <c r="F7982" s="23" t="n">
        <v>46273</v>
      </c>
      <c r="G7982" s="24">
        <f>F7982-DATE(2026,8,31)</f>
        <v>8</v>
      </c>
      <c r="H7982" s="25" t="n">
        <v>24016942</v>
      </c>
      <c r="I7982" t="inlineStr">
        <is>
          <t>entidad-dia</t>
        </is>
      </c>
    </row>
    <row r="7983">
      <c r="A7983" t="inlineStr">
        <is>
          <t>PRAGMA</t>
        </is>
      </c>
      <c r="B7983" t="inlineStr">
        <is>
          <t>M2</t>
        </is>
      </c>
      <c r="C7983" t="inlineStr">
        <is>
          <t>Cali</t>
        </is>
      </c>
      <c r="D7983" t="inlineStr">
        <is>
          <t>8763</t>
        </is>
      </c>
      <c r="E7983" t="inlineStr">
        <is>
          <t>cash_in</t>
        </is>
      </c>
      <c r="F7983" s="23" t="n">
        <v>46273</v>
      </c>
      <c r="G7983" s="24">
        <f>F7983-DATE(2026,8,31)</f>
        <v>8</v>
      </c>
      <c r="H7983" s="25" t="n">
        <v>199360340</v>
      </c>
      <c r="I7983" t="inlineStr">
        <is>
          <t>entidad-dia</t>
        </is>
      </c>
    </row>
    <row r="7984">
      <c r="A7984" t="inlineStr">
        <is>
          <t>PRAGMA</t>
        </is>
      </c>
      <c r="B7984" t="inlineStr">
        <is>
          <t>M2</t>
        </is>
      </c>
      <c r="C7984" t="inlineStr">
        <is>
          <t>Cali</t>
        </is>
      </c>
      <c r="D7984" t="inlineStr">
        <is>
          <t>8763</t>
        </is>
      </c>
      <c r="E7984" t="inlineStr">
        <is>
          <t>pagado</t>
        </is>
      </c>
      <c r="F7984" s="23" t="n">
        <v>46274</v>
      </c>
      <c r="G7984" s="24">
        <f>F7984-DATE(2026,8,31)</f>
        <v>9</v>
      </c>
      <c r="H7984" s="25" t="n">
        <v>24594595</v>
      </c>
      <c r="I7984" t="inlineStr">
        <is>
          <t>entidad-dia</t>
        </is>
      </c>
    </row>
    <row r="7985">
      <c r="A7985" t="inlineStr">
        <is>
          <t>PRAGMA</t>
        </is>
      </c>
      <c r="B7985" t="inlineStr">
        <is>
          <t>M2</t>
        </is>
      </c>
      <c r="C7985" t="inlineStr">
        <is>
          <t>Cali</t>
        </is>
      </c>
      <c r="D7985" t="inlineStr">
        <is>
          <t>8763</t>
        </is>
      </c>
      <c r="E7985" t="inlineStr">
        <is>
          <t>cash_in</t>
        </is>
      </c>
      <c r="F7985" s="23" t="n">
        <v>46274</v>
      </c>
      <c r="G7985" s="24">
        <f>F7985-DATE(2026,8,31)</f>
        <v>9</v>
      </c>
      <c r="H7985" s="25" t="n">
        <v>184701266</v>
      </c>
      <c r="I7985" t="inlineStr">
        <is>
          <t>entidad-dia</t>
        </is>
      </c>
    </row>
    <row r="7986">
      <c r="A7986" t="inlineStr">
        <is>
          <t>PRAGMA</t>
        </is>
      </c>
      <c r="B7986" t="inlineStr">
        <is>
          <t>M2</t>
        </is>
      </c>
      <c r="C7986" t="inlineStr">
        <is>
          <t>Cali</t>
        </is>
      </c>
      <c r="D7986" t="inlineStr">
        <is>
          <t>8763</t>
        </is>
      </c>
      <c r="E7986" t="inlineStr">
        <is>
          <t>pagado</t>
        </is>
      </c>
      <c r="F7986" s="23" t="n">
        <v>46275</v>
      </c>
      <c r="G7986" s="24">
        <f>F7986-DATE(2026,8,31)</f>
        <v>10</v>
      </c>
      <c r="H7986" s="25" t="n">
        <v>21545257</v>
      </c>
      <c r="I7986" t="inlineStr">
        <is>
          <t>entidad-dia</t>
        </is>
      </c>
    </row>
    <row r="7987">
      <c r="A7987" t="inlineStr">
        <is>
          <t>PRAGMA</t>
        </is>
      </c>
      <c r="B7987" t="inlineStr">
        <is>
          <t>M2</t>
        </is>
      </c>
      <c r="C7987" t="inlineStr">
        <is>
          <t>Cali</t>
        </is>
      </c>
      <c r="D7987" t="inlineStr">
        <is>
          <t>8763</t>
        </is>
      </c>
      <c r="E7987" t="inlineStr">
        <is>
          <t>cash_in</t>
        </is>
      </c>
      <c r="F7987" s="23" t="n">
        <v>46275</v>
      </c>
      <c r="G7987" s="24">
        <f>F7987-DATE(2026,8,31)</f>
        <v>10</v>
      </c>
      <c r="H7987" s="25" t="n">
        <v>185121757</v>
      </c>
      <c r="I7987" t="inlineStr">
        <is>
          <t>entidad-dia</t>
        </is>
      </c>
    </row>
    <row r="7988">
      <c r="A7988" t="inlineStr">
        <is>
          <t>PRAGMA</t>
        </is>
      </c>
      <c r="B7988" t="inlineStr">
        <is>
          <t>M2</t>
        </is>
      </c>
      <c r="C7988" t="inlineStr">
        <is>
          <t>Cali</t>
        </is>
      </c>
      <c r="D7988" t="inlineStr">
        <is>
          <t>8763</t>
        </is>
      </c>
      <c r="E7988" t="inlineStr">
        <is>
          <t>pagado</t>
        </is>
      </c>
      <c r="F7988" s="23" t="n">
        <v>46276</v>
      </c>
      <c r="G7988" s="24">
        <f>F7988-DATE(2026,8,31)</f>
        <v>11</v>
      </c>
      <c r="H7988" s="25" t="n">
        <v>24870661</v>
      </c>
      <c r="I7988" t="inlineStr">
        <is>
          <t>entidad-dia</t>
        </is>
      </c>
    </row>
    <row r="7989">
      <c r="A7989" t="inlineStr">
        <is>
          <t>PRAGMA</t>
        </is>
      </c>
      <c r="B7989" t="inlineStr">
        <is>
          <t>M2</t>
        </is>
      </c>
      <c r="C7989" t="inlineStr">
        <is>
          <t>Cali</t>
        </is>
      </c>
      <c r="D7989" t="inlineStr">
        <is>
          <t>8763</t>
        </is>
      </c>
      <c r="E7989" t="inlineStr">
        <is>
          <t>cash_in</t>
        </is>
      </c>
      <c r="F7989" s="23" t="n">
        <v>46276</v>
      </c>
      <c r="G7989" s="24">
        <f>F7989-DATE(2026,8,31)</f>
        <v>11</v>
      </c>
      <c r="H7989" s="25" t="n">
        <v>193610518</v>
      </c>
      <c r="I7989" t="inlineStr">
        <is>
          <t>entidad-dia</t>
        </is>
      </c>
    </row>
    <row r="7990">
      <c r="A7990" t="inlineStr">
        <is>
          <t>PRAGMA</t>
        </is>
      </c>
      <c r="B7990" t="inlineStr">
        <is>
          <t>M2</t>
        </is>
      </c>
      <c r="C7990" t="inlineStr">
        <is>
          <t>Cali</t>
        </is>
      </c>
      <c r="D7990" t="inlineStr">
        <is>
          <t>8763</t>
        </is>
      </c>
      <c r="E7990" t="inlineStr">
        <is>
          <t>pagado</t>
        </is>
      </c>
      <c r="F7990" s="23" t="n">
        <v>46277</v>
      </c>
      <c r="G7990" s="24">
        <f>F7990-DATE(2026,8,31)</f>
        <v>12</v>
      </c>
      <c r="H7990" s="25" t="n">
        <v>21985155</v>
      </c>
      <c r="I7990" t="inlineStr">
        <is>
          <t>entidad-dia</t>
        </is>
      </c>
    </row>
    <row r="7991">
      <c r="A7991" t="inlineStr">
        <is>
          <t>PRAGMA</t>
        </is>
      </c>
      <c r="B7991" t="inlineStr">
        <is>
          <t>M2</t>
        </is>
      </c>
      <c r="C7991" t="inlineStr">
        <is>
          <t>Cali</t>
        </is>
      </c>
      <c r="D7991" t="inlineStr">
        <is>
          <t>8763</t>
        </is>
      </c>
      <c r="E7991" t="inlineStr">
        <is>
          <t>cash_in</t>
        </is>
      </c>
      <c r="F7991" s="23" t="n">
        <v>46277</v>
      </c>
      <c r="G7991" s="24">
        <f>F7991-DATE(2026,8,31)</f>
        <v>12</v>
      </c>
      <c r="H7991" s="25" t="n">
        <v>195724219</v>
      </c>
      <c r="I7991" t="inlineStr">
        <is>
          <t>entidad-dia</t>
        </is>
      </c>
    </row>
    <row r="7992">
      <c r="A7992" t="inlineStr">
        <is>
          <t>PRAGMA</t>
        </is>
      </c>
      <c r="B7992" t="inlineStr">
        <is>
          <t>M2</t>
        </is>
      </c>
      <c r="C7992" t="inlineStr">
        <is>
          <t>Cali</t>
        </is>
      </c>
      <c r="D7992" t="inlineStr">
        <is>
          <t>8763</t>
        </is>
      </c>
      <c r="E7992" t="inlineStr">
        <is>
          <t>pagado</t>
        </is>
      </c>
      <c r="F7992" s="23" t="n">
        <v>46278</v>
      </c>
      <c r="G7992" s="24">
        <f>F7992-DATE(2026,8,31)</f>
        <v>13</v>
      </c>
      <c r="H7992" s="25" t="n">
        <v>17813995</v>
      </c>
      <c r="I7992" t="inlineStr">
        <is>
          <t>entidad-dia</t>
        </is>
      </c>
    </row>
    <row r="7993">
      <c r="A7993" t="inlineStr">
        <is>
          <t>PRAGMA</t>
        </is>
      </c>
      <c r="B7993" t="inlineStr">
        <is>
          <t>M2</t>
        </is>
      </c>
      <c r="C7993" t="inlineStr">
        <is>
          <t>Cali</t>
        </is>
      </c>
      <c r="D7993" t="inlineStr">
        <is>
          <t>8763</t>
        </is>
      </c>
      <c r="E7993" t="inlineStr">
        <is>
          <t>cash_in</t>
        </is>
      </c>
      <c r="F7993" s="23" t="n">
        <v>46278</v>
      </c>
      <c r="G7993" s="24">
        <f>F7993-DATE(2026,8,31)</f>
        <v>13</v>
      </c>
      <c r="H7993" s="25" t="n">
        <v>136958831</v>
      </c>
      <c r="I7993" t="inlineStr">
        <is>
          <t>entidad-dia</t>
        </is>
      </c>
    </row>
    <row r="7994">
      <c r="A7994" t="inlineStr">
        <is>
          <t>PRAGMA</t>
        </is>
      </c>
      <c r="B7994" t="inlineStr">
        <is>
          <t>M2</t>
        </is>
      </c>
      <c r="C7994" t="inlineStr">
        <is>
          <t>Cali</t>
        </is>
      </c>
      <c r="D7994" t="inlineStr">
        <is>
          <t>8763</t>
        </is>
      </c>
      <c r="E7994" t="inlineStr">
        <is>
          <t>pagado</t>
        </is>
      </c>
      <c r="F7994" s="23" t="n">
        <v>46279</v>
      </c>
      <c r="G7994" s="24">
        <f>F7994-DATE(2026,8,31)</f>
        <v>14</v>
      </c>
      <c r="H7994" s="25" t="n">
        <v>23507273</v>
      </c>
      <c r="I7994" t="inlineStr">
        <is>
          <t>entidad-dia</t>
        </is>
      </c>
    </row>
    <row r="7995">
      <c r="A7995" t="inlineStr">
        <is>
          <t>PRAGMA</t>
        </is>
      </c>
      <c r="B7995" t="inlineStr">
        <is>
          <t>M2</t>
        </is>
      </c>
      <c r="C7995" t="inlineStr">
        <is>
          <t>Cali</t>
        </is>
      </c>
      <c r="D7995" t="inlineStr">
        <is>
          <t>8763</t>
        </is>
      </c>
      <c r="E7995" t="inlineStr">
        <is>
          <t>cash_in</t>
        </is>
      </c>
      <c r="F7995" s="23" t="n">
        <v>46279</v>
      </c>
      <c r="G7995" s="24">
        <f>F7995-DATE(2026,8,31)</f>
        <v>14</v>
      </c>
      <c r="H7995" s="25" t="n">
        <v>214789454</v>
      </c>
      <c r="I7995" t="inlineStr">
        <is>
          <t>entidad-dia</t>
        </is>
      </c>
    </row>
    <row r="7996">
      <c r="A7996" t="inlineStr">
        <is>
          <t>PRAGMA</t>
        </is>
      </c>
      <c r="B7996" t="inlineStr">
        <is>
          <t>M2</t>
        </is>
      </c>
      <c r="C7996" t="inlineStr">
        <is>
          <t>Cali</t>
        </is>
      </c>
      <c r="D7996" t="inlineStr">
        <is>
          <t>8763</t>
        </is>
      </c>
      <c r="E7996" t="inlineStr">
        <is>
          <t>pagado</t>
        </is>
      </c>
      <c r="F7996" s="23" t="n">
        <v>46280</v>
      </c>
      <c r="G7996" s="24">
        <f>F7996-DATE(2026,8,31)</f>
        <v>15</v>
      </c>
      <c r="H7996" s="25" t="n">
        <v>27277167</v>
      </c>
      <c r="I7996" t="inlineStr">
        <is>
          <t>entidad-dia</t>
        </is>
      </c>
    </row>
    <row r="7997">
      <c r="A7997" t="inlineStr">
        <is>
          <t>PRAGMA</t>
        </is>
      </c>
      <c r="B7997" t="inlineStr">
        <is>
          <t>M2</t>
        </is>
      </c>
      <c r="C7997" t="inlineStr">
        <is>
          <t>Cali</t>
        </is>
      </c>
      <c r="D7997" t="inlineStr">
        <is>
          <t>8763</t>
        </is>
      </c>
      <c r="E7997" t="inlineStr">
        <is>
          <t>cash_in</t>
        </is>
      </c>
      <c r="F7997" s="23" t="n">
        <v>46280</v>
      </c>
      <c r="G7997" s="24">
        <f>F7997-DATE(2026,8,31)</f>
        <v>15</v>
      </c>
      <c r="H7997" s="25" t="n">
        <v>211541618</v>
      </c>
      <c r="I7997" t="inlineStr">
        <is>
          <t>entidad-dia</t>
        </is>
      </c>
    </row>
    <row r="7998">
      <c r="A7998" t="inlineStr">
        <is>
          <t>PRAGMA</t>
        </is>
      </c>
      <c r="B7998" t="inlineStr">
        <is>
          <t>M2</t>
        </is>
      </c>
      <c r="C7998" t="inlineStr">
        <is>
          <t>Cali</t>
        </is>
      </c>
      <c r="D7998" t="inlineStr">
        <is>
          <t>9047</t>
        </is>
      </c>
      <c r="E7998" t="inlineStr">
        <is>
          <t>pagado</t>
        </is>
      </c>
      <c r="F7998" s="23" t="n">
        <v>46266</v>
      </c>
      <c r="G7998" s="24">
        <f>F7998-DATE(2026,8,31)</f>
        <v>1</v>
      </c>
      <c r="H7998" s="25" t="n">
        <v>95688079</v>
      </c>
      <c r="I7998" t="inlineStr">
        <is>
          <t>entidad-dia</t>
        </is>
      </c>
    </row>
    <row r="7999">
      <c r="A7999" t="inlineStr">
        <is>
          <t>PRAGMA</t>
        </is>
      </c>
      <c r="B7999" t="inlineStr">
        <is>
          <t>M2</t>
        </is>
      </c>
      <c r="C7999" t="inlineStr">
        <is>
          <t>Cali</t>
        </is>
      </c>
      <c r="D7999" t="inlineStr">
        <is>
          <t>9047</t>
        </is>
      </c>
      <c r="E7999" t="inlineStr">
        <is>
          <t>cash_in</t>
        </is>
      </c>
      <c r="F7999" s="23" t="n">
        <v>46266</v>
      </c>
      <c r="G7999" s="24">
        <f>F7999-DATE(2026,8,31)</f>
        <v>1</v>
      </c>
      <c r="H7999" s="25" t="n">
        <v>103475350</v>
      </c>
      <c r="I7999" t="inlineStr">
        <is>
          <t>entidad-dia</t>
        </is>
      </c>
    </row>
    <row r="8000">
      <c r="A8000" t="inlineStr">
        <is>
          <t>PRAGMA</t>
        </is>
      </c>
      <c r="B8000" t="inlineStr">
        <is>
          <t>M2</t>
        </is>
      </c>
      <c r="C8000" t="inlineStr">
        <is>
          <t>Cali</t>
        </is>
      </c>
      <c r="D8000" t="inlineStr">
        <is>
          <t>9047</t>
        </is>
      </c>
      <c r="E8000" t="inlineStr">
        <is>
          <t>pagado</t>
        </is>
      </c>
      <c r="F8000" s="23" t="n">
        <v>46267</v>
      </c>
      <c r="G8000" s="24">
        <f>F8000-DATE(2026,8,31)</f>
        <v>2</v>
      </c>
      <c r="H8000" s="25" t="n">
        <v>78684675</v>
      </c>
      <c r="I8000" t="inlineStr">
        <is>
          <t>entidad-dia</t>
        </is>
      </c>
    </row>
    <row r="8001">
      <c r="A8001" t="inlineStr">
        <is>
          <t>PRAGMA</t>
        </is>
      </c>
      <c r="B8001" t="inlineStr">
        <is>
          <t>M2</t>
        </is>
      </c>
      <c r="C8001" t="inlineStr">
        <is>
          <t>Cali</t>
        </is>
      </c>
      <c r="D8001" t="inlineStr">
        <is>
          <t>9047</t>
        </is>
      </c>
      <c r="E8001" t="inlineStr">
        <is>
          <t>cash_in</t>
        </is>
      </c>
      <c r="F8001" s="23" t="n">
        <v>46267</v>
      </c>
      <c r="G8001" s="24">
        <f>F8001-DATE(2026,8,31)</f>
        <v>2</v>
      </c>
      <c r="H8001" s="25" t="n">
        <v>90419509</v>
      </c>
      <c r="I8001" t="inlineStr">
        <is>
          <t>entidad-dia</t>
        </is>
      </c>
    </row>
    <row r="8002">
      <c r="A8002" t="inlineStr">
        <is>
          <t>PRAGMA</t>
        </is>
      </c>
      <c r="B8002" t="inlineStr">
        <is>
          <t>M2</t>
        </is>
      </c>
      <c r="C8002" t="inlineStr">
        <is>
          <t>Cali</t>
        </is>
      </c>
      <c r="D8002" t="inlineStr">
        <is>
          <t>9047</t>
        </is>
      </c>
      <c r="E8002" t="inlineStr">
        <is>
          <t>pagado</t>
        </is>
      </c>
      <c r="F8002" s="23" t="n">
        <v>46268</v>
      </c>
      <c r="G8002" s="24">
        <f>F8002-DATE(2026,8,31)</f>
        <v>3</v>
      </c>
      <c r="H8002" s="25" t="n">
        <v>75654099</v>
      </c>
      <c r="I8002" t="inlineStr">
        <is>
          <t>entidad-dia</t>
        </is>
      </c>
    </row>
    <row r="8003">
      <c r="A8003" t="inlineStr">
        <is>
          <t>PRAGMA</t>
        </is>
      </c>
      <c r="B8003" t="inlineStr">
        <is>
          <t>M2</t>
        </is>
      </c>
      <c r="C8003" t="inlineStr">
        <is>
          <t>Cali</t>
        </is>
      </c>
      <c r="D8003" t="inlineStr">
        <is>
          <t>9047</t>
        </is>
      </c>
      <c r="E8003" t="inlineStr">
        <is>
          <t>cash_in</t>
        </is>
      </c>
      <c r="F8003" s="23" t="n">
        <v>46268</v>
      </c>
      <c r="G8003" s="24">
        <f>F8003-DATE(2026,8,31)</f>
        <v>3</v>
      </c>
      <c r="H8003" s="25" t="n">
        <v>89886708</v>
      </c>
      <c r="I8003" t="inlineStr">
        <is>
          <t>entidad-dia</t>
        </is>
      </c>
    </row>
    <row r="8004">
      <c r="A8004" t="inlineStr">
        <is>
          <t>PRAGMA</t>
        </is>
      </c>
      <c r="B8004" t="inlineStr">
        <is>
          <t>M2</t>
        </is>
      </c>
      <c r="C8004" t="inlineStr">
        <is>
          <t>Cali</t>
        </is>
      </c>
      <c r="D8004" t="inlineStr">
        <is>
          <t>9047</t>
        </is>
      </c>
      <c r="E8004" t="inlineStr">
        <is>
          <t>pagado</t>
        </is>
      </c>
      <c r="F8004" s="23" t="n">
        <v>46269</v>
      </c>
      <c r="G8004" s="24">
        <f>F8004-DATE(2026,8,31)</f>
        <v>4</v>
      </c>
      <c r="H8004" s="25" t="n">
        <v>76182965</v>
      </c>
      <c r="I8004" t="inlineStr">
        <is>
          <t>entidad-dia</t>
        </is>
      </c>
    </row>
    <row r="8005">
      <c r="A8005" t="inlineStr">
        <is>
          <t>PRAGMA</t>
        </is>
      </c>
      <c r="B8005" t="inlineStr">
        <is>
          <t>M2</t>
        </is>
      </c>
      <c r="C8005" t="inlineStr">
        <is>
          <t>Cali</t>
        </is>
      </c>
      <c r="D8005" t="inlineStr">
        <is>
          <t>9047</t>
        </is>
      </c>
      <c r="E8005" t="inlineStr">
        <is>
          <t>cash_in</t>
        </is>
      </c>
      <c r="F8005" s="23" t="n">
        <v>46269</v>
      </c>
      <c r="G8005" s="24">
        <f>F8005-DATE(2026,8,31)</f>
        <v>4</v>
      </c>
      <c r="H8005" s="25" t="n">
        <v>91623947</v>
      </c>
      <c r="I8005" t="inlineStr">
        <is>
          <t>entidad-dia</t>
        </is>
      </c>
    </row>
    <row r="8006">
      <c r="A8006" t="inlineStr">
        <is>
          <t>PRAGMA</t>
        </is>
      </c>
      <c r="B8006" t="inlineStr">
        <is>
          <t>M2</t>
        </is>
      </c>
      <c r="C8006" t="inlineStr">
        <is>
          <t>Cali</t>
        </is>
      </c>
      <c r="D8006" t="inlineStr">
        <is>
          <t>9047</t>
        </is>
      </c>
      <c r="E8006" t="inlineStr">
        <is>
          <t>pagado</t>
        </is>
      </c>
      <c r="F8006" s="23" t="n">
        <v>46270</v>
      </c>
      <c r="G8006" s="24">
        <f>F8006-DATE(2026,8,31)</f>
        <v>5</v>
      </c>
      <c r="H8006" s="25" t="n">
        <v>75246729</v>
      </c>
      <c r="I8006" t="inlineStr">
        <is>
          <t>entidad-dia</t>
        </is>
      </c>
    </row>
    <row r="8007">
      <c r="A8007" t="inlineStr">
        <is>
          <t>PRAGMA</t>
        </is>
      </c>
      <c r="B8007" t="inlineStr">
        <is>
          <t>M2</t>
        </is>
      </c>
      <c r="C8007" t="inlineStr">
        <is>
          <t>Cali</t>
        </is>
      </c>
      <c r="D8007" t="inlineStr">
        <is>
          <t>9047</t>
        </is>
      </c>
      <c r="E8007" t="inlineStr">
        <is>
          <t>cash_in</t>
        </is>
      </c>
      <c r="F8007" s="23" t="n">
        <v>46270</v>
      </c>
      <c r="G8007" s="24">
        <f>F8007-DATE(2026,8,31)</f>
        <v>5</v>
      </c>
      <c r="H8007" s="25" t="n">
        <v>90924619</v>
      </c>
      <c r="I8007" t="inlineStr">
        <is>
          <t>entidad-dia</t>
        </is>
      </c>
    </row>
    <row r="8008">
      <c r="A8008" t="inlineStr">
        <is>
          <t>PRAGMA</t>
        </is>
      </c>
      <c r="B8008" t="inlineStr">
        <is>
          <t>M2</t>
        </is>
      </c>
      <c r="C8008" t="inlineStr">
        <is>
          <t>Cali</t>
        </is>
      </c>
      <c r="D8008" t="inlineStr">
        <is>
          <t>9047</t>
        </is>
      </c>
      <c r="E8008" t="inlineStr">
        <is>
          <t>pagado</t>
        </is>
      </c>
      <c r="F8008" s="23" t="n">
        <v>46271</v>
      </c>
      <c r="G8008" s="24">
        <f>F8008-DATE(2026,8,31)</f>
        <v>6</v>
      </c>
      <c r="H8008" s="25" t="n">
        <v>40105838</v>
      </c>
      <c r="I8008" t="inlineStr">
        <is>
          <t>entidad-dia</t>
        </is>
      </c>
    </row>
    <row r="8009">
      <c r="A8009" t="inlineStr">
        <is>
          <t>PRAGMA</t>
        </is>
      </c>
      <c r="B8009" t="inlineStr">
        <is>
          <t>M2</t>
        </is>
      </c>
      <c r="C8009" t="inlineStr">
        <is>
          <t>Cali</t>
        </is>
      </c>
      <c r="D8009" t="inlineStr">
        <is>
          <t>9047</t>
        </is>
      </c>
      <c r="E8009" t="inlineStr">
        <is>
          <t>cash_in</t>
        </is>
      </c>
      <c r="F8009" s="23" t="n">
        <v>46271</v>
      </c>
      <c r="G8009" s="24">
        <f>F8009-DATE(2026,8,31)</f>
        <v>6</v>
      </c>
      <c r="H8009" s="25" t="n">
        <v>55935123</v>
      </c>
      <c r="I8009" t="inlineStr">
        <is>
          <t>entidad-dia</t>
        </is>
      </c>
    </row>
    <row r="8010">
      <c r="A8010" t="inlineStr">
        <is>
          <t>PRAGMA</t>
        </is>
      </c>
      <c r="B8010" t="inlineStr">
        <is>
          <t>M2</t>
        </is>
      </c>
      <c r="C8010" t="inlineStr">
        <is>
          <t>Cali</t>
        </is>
      </c>
      <c r="D8010" t="inlineStr">
        <is>
          <t>9047</t>
        </is>
      </c>
      <c r="E8010" t="inlineStr">
        <is>
          <t>pagado</t>
        </is>
      </c>
      <c r="F8010" s="23" t="n">
        <v>46272</v>
      </c>
      <c r="G8010" s="24">
        <f>F8010-DATE(2026,8,31)</f>
        <v>7</v>
      </c>
      <c r="H8010" s="25" t="n">
        <v>68302651</v>
      </c>
      <c r="I8010" t="inlineStr">
        <is>
          <t>entidad-dia</t>
        </is>
      </c>
    </row>
    <row r="8011">
      <c r="A8011" t="inlineStr">
        <is>
          <t>PRAGMA</t>
        </is>
      </c>
      <c r="B8011" t="inlineStr">
        <is>
          <t>M2</t>
        </is>
      </c>
      <c r="C8011" t="inlineStr">
        <is>
          <t>Cali</t>
        </is>
      </c>
      <c r="D8011" t="inlineStr">
        <is>
          <t>9047</t>
        </is>
      </c>
      <c r="E8011" t="inlineStr">
        <is>
          <t>cash_in</t>
        </is>
      </c>
      <c r="F8011" s="23" t="n">
        <v>46272</v>
      </c>
      <c r="G8011" s="24">
        <f>F8011-DATE(2026,8,31)</f>
        <v>7</v>
      </c>
      <c r="H8011" s="25" t="n">
        <v>105446038</v>
      </c>
      <c r="I8011" t="inlineStr">
        <is>
          <t>entidad-dia</t>
        </is>
      </c>
    </row>
    <row r="8012">
      <c r="A8012" t="inlineStr">
        <is>
          <t>PRAGMA</t>
        </is>
      </c>
      <c r="B8012" t="inlineStr">
        <is>
          <t>M2</t>
        </is>
      </c>
      <c r="C8012" t="inlineStr">
        <is>
          <t>Cali</t>
        </is>
      </c>
      <c r="D8012" t="inlineStr">
        <is>
          <t>9047</t>
        </is>
      </c>
      <c r="E8012" t="inlineStr">
        <is>
          <t>pagado</t>
        </is>
      </c>
      <c r="F8012" s="23" t="n">
        <v>46273</v>
      </c>
      <c r="G8012" s="24">
        <f>F8012-DATE(2026,8,31)</f>
        <v>8</v>
      </c>
      <c r="H8012" s="25" t="n">
        <v>63356216</v>
      </c>
      <c r="I8012" t="inlineStr">
        <is>
          <t>entidad-dia</t>
        </is>
      </c>
    </row>
    <row r="8013">
      <c r="A8013" t="inlineStr">
        <is>
          <t>PRAGMA</t>
        </is>
      </c>
      <c r="B8013" t="inlineStr">
        <is>
          <t>M2</t>
        </is>
      </c>
      <c r="C8013" t="inlineStr">
        <is>
          <t>Cali</t>
        </is>
      </c>
      <c r="D8013" t="inlineStr">
        <is>
          <t>9047</t>
        </is>
      </c>
      <c r="E8013" t="inlineStr">
        <is>
          <t>cash_in</t>
        </is>
      </c>
      <c r="F8013" s="23" t="n">
        <v>46273</v>
      </c>
      <c r="G8013" s="24">
        <f>F8013-DATE(2026,8,31)</f>
        <v>8</v>
      </c>
      <c r="H8013" s="25" t="n">
        <v>94993883</v>
      </c>
      <c r="I8013" t="inlineStr">
        <is>
          <t>entidad-dia</t>
        </is>
      </c>
    </row>
    <row r="8014">
      <c r="A8014" t="inlineStr">
        <is>
          <t>PRAGMA</t>
        </is>
      </c>
      <c r="B8014" t="inlineStr">
        <is>
          <t>M2</t>
        </is>
      </c>
      <c r="C8014" t="inlineStr">
        <is>
          <t>Cali</t>
        </is>
      </c>
      <c r="D8014" t="inlineStr">
        <is>
          <t>9047</t>
        </is>
      </c>
      <c r="E8014" t="inlineStr">
        <is>
          <t>pagado</t>
        </is>
      </c>
      <c r="F8014" s="23" t="n">
        <v>46274</v>
      </c>
      <c r="G8014" s="24">
        <f>F8014-DATE(2026,8,31)</f>
        <v>9</v>
      </c>
      <c r="H8014" s="25" t="n">
        <v>61646507</v>
      </c>
      <c r="I8014" t="inlineStr">
        <is>
          <t>entidad-dia</t>
        </is>
      </c>
    </row>
    <row r="8015">
      <c r="A8015" t="inlineStr">
        <is>
          <t>PRAGMA</t>
        </is>
      </c>
      <c r="B8015" t="inlineStr">
        <is>
          <t>M2</t>
        </is>
      </c>
      <c r="C8015" t="inlineStr">
        <is>
          <t>Cali</t>
        </is>
      </c>
      <c r="D8015" t="inlineStr">
        <is>
          <t>9047</t>
        </is>
      </c>
      <c r="E8015" t="inlineStr">
        <is>
          <t>cash_in</t>
        </is>
      </c>
      <c r="F8015" s="23" t="n">
        <v>46274</v>
      </c>
      <c r="G8015" s="24">
        <f>F8015-DATE(2026,8,31)</f>
        <v>9</v>
      </c>
      <c r="H8015" s="25" t="n">
        <v>90210827</v>
      </c>
      <c r="I8015" t="inlineStr">
        <is>
          <t>entidad-dia</t>
        </is>
      </c>
    </row>
    <row r="8016">
      <c r="A8016" t="inlineStr">
        <is>
          <t>PRAGMA</t>
        </is>
      </c>
      <c r="B8016" t="inlineStr">
        <is>
          <t>M2</t>
        </is>
      </c>
      <c r="C8016" t="inlineStr">
        <is>
          <t>Cali</t>
        </is>
      </c>
      <c r="D8016" t="inlineStr">
        <is>
          <t>9047</t>
        </is>
      </c>
      <c r="E8016" t="inlineStr">
        <is>
          <t>pagado</t>
        </is>
      </c>
      <c r="F8016" s="23" t="n">
        <v>46275</v>
      </c>
      <c r="G8016" s="24">
        <f>F8016-DATE(2026,8,31)</f>
        <v>10</v>
      </c>
      <c r="H8016" s="25" t="n">
        <v>60557596</v>
      </c>
      <c r="I8016" t="inlineStr">
        <is>
          <t>entidad-dia</t>
        </is>
      </c>
    </row>
    <row r="8017">
      <c r="A8017" t="inlineStr">
        <is>
          <t>PRAGMA</t>
        </is>
      </c>
      <c r="B8017" t="inlineStr">
        <is>
          <t>M2</t>
        </is>
      </c>
      <c r="C8017" t="inlineStr">
        <is>
          <t>Cali</t>
        </is>
      </c>
      <c r="D8017" t="inlineStr">
        <is>
          <t>9047</t>
        </is>
      </c>
      <c r="E8017" t="inlineStr">
        <is>
          <t>cash_in</t>
        </is>
      </c>
      <c r="F8017" s="23" t="n">
        <v>46275</v>
      </c>
      <c r="G8017" s="24">
        <f>F8017-DATE(2026,8,31)</f>
        <v>10</v>
      </c>
      <c r="H8017" s="25" t="n">
        <v>82899200</v>
      </c>
      <c r="I8017" t="inlineStr">
        <is>
          <t>entidad-dia</t>
        </is>
      </c>
    </row>
    <row r="8018">
      <c r="A8018" t="inlineStr">
        <is>
          <t>PRAGMA</t>
        </is>
      </c>
      <c r="B8018" t="inlineStr">
        <is>
          <t>M2</t>
        </is>
      </c>
      <c r="C8018" t="inlineStr">
        <is>
          <t>Cali</t>
        </is>
      </c>
      <c r="D8018" t="inlineStr">
        <is>
          <t>9047</t>
        </is>
      </c>
      <c r="E8018" t="inlineStr">
        <is>
          <t>pagado</t>
        </is>
      </c>
      <c r="F8018" s="23" t="n">
        <v>46276</v>
      </c>
      <c r="G8018" s="24">
        <f>F8018-DATE(2026,8,31)</f>
        <v>11</v>
      </c>
      <c r="H8018" s="25" t="n">
        <v>64167673</v>
      </c>
      <c r="I8018" t="inlineStr">
        <is>
          <t>entidad-dia</t>
        </is>
      </c>
    </row>
    <row r="8019">
      <c r="A8019" t="inlineStr">
        <is>
          <t>PRAGMA</t>
        </is>
      </c>
      <c r="B8019" t="inlineStr">
        <is>
          <t>M2</t>
        </is>
      </c>
      <c r="C8019" t="inlineStr">
        <is>
          <t>Cali</t>
        </is>
      </c>
      <c r="D8019" t="inlineStr">
        <is>
          <t>9047</t>
        </is>
      </c>
      <c r="E8019" t="inlineStr">
        <is>
          <t>cash_in</t>
        </is>
      </c>
      <c r="F8019" s="23" t="n">
        <v>46276</v>
      </c>
      <c r="G8019" s="24">
        <f>F8019-DATE(2026,8,31)</f>
        <v>11</v>
      </c>
      <c r="H8019" s="25" t="n">
        <v>82000436</v>
      </c>
      <c r="I8019" t="inlineStr">
        <is>
          <t>entidad-dia</t>
        </is>
      </c>
    </row>
    <row r="8020">
      <c r="A8020" t="inlineStr">
        <is>
          <t>PRAGMA</t>
        </is>
      </c>
      <c r="B8020" t="inlineStr">
        <is>
          <t>M2</t>
        </is>
      </c>
      <c r="C8020" t="inlineStr">
        <is>
          <t>Cali</t>
        </is>
      </c>
      <c r="D8020" t="inlineStr">
        <is>
          <t>9047</t>
        </is>
      </c>
      <c r="E8020" t="inlineStr">
        <is>
          <t>pagado</t>
        </is>
      </c>
      <c r="F8020" s="23" t="n">
        <v>46277</v>
      </c>
      <c r="G8020" s="24">
        <f>F8020-DATE(2026,8,31)</f>
        <v>12</v>
      </c>
      <c r="H8020" s="25" t="n">
        <v>63195688</v>
      </c>
      <c r="I8020" t="inlineStr">
        <is>
          <t>entidad-dia</t>
        </is>
      </c>
    </row>
    <row r="8021">
      <c r="A8021" t="inlineStr">
        <is>
          <t>PRAGMA</t>
        </is>
      </c>
      <c r="B8021" t="inlineStr">
        <is>
          <t>M2</t>
        </is>
      </c>
      <c r="C8021" t="inlineStr">
        <is>
          <t>Cali</t>
        </is>
      </c>
      <c r="D8021" t="inlineStr">
        <is>
          <t>9047</t>
        </is>
      </c>
      <c r="E8021" t="inlineStr">
        <is>
          <t>cash_in</t>
        </is>
      </c>
      <c r="F8021" s="23" t="n">
        <v>46277</v>
      </c>
      <c r="G8021" s="24">
        <f>F8021-DATE(2026,8,31)</f>
        <v>12</v>
      </c>
      <c r="H8021" s="25" t="n">
        <v>79043921</v>
      </c>
      <c r="I8021" t="inlineStr">
        <is>
          <t>entidad-dia</t>
        </is>
      </c>
    </row>
    <row r="8022">
      <c r="A8022" t="inlineStr">
        <is>
          <t>PRAGMA</t>
        </is>
      </c>
      <c r="B8022" t="inlineStr">
        <is>
          <t>M2</t>
        </is>
      </c>
      <c r="C8022" t="inlineStr">
        <is>
          <t>Cali</t>
        </is>
      </c>
      <c r="D8022" t="inlineStr">
        <is>
          <t>9047</t>
        </is>
      </c>
      <c r="E8022" t="inlineStr">
        <is>
          <t>pagado</t>
        </is>
      </c>
      <c r="F8022" s="23" t="n">
        <v>46278</v>
      </c>
      <c r="G8022" s="24">
        <f>F8022-DATE(2026,8,31)</f>
        <v>13</v>
      </c>
      <c r="H8022" s="25" t="n">
        <v>35136005</v>
      </c>
      <c r="I8022" t="inlineStr">
        <is>
          <t>entidad-dia</t>
        </is>
      </c>
    </row>
    <row r="8023">
      <c r="A8023" t="inlineStr">
        <is>
          <t>PRAGMA</t>
        </is>
      </c>
      <c r="B8023" t="inlineStr">
        <is>
          <t>M2</t>
        </is>
      </c>
      <c r="C8023" t="inlineStr">
        <is>
          <t>Cali</t>
        </is>
      </c>
      <c r="D8023" t="inlineStr">
        <is>
          <t>9047</t>
        </is>
      </c>
      <c r="E8023" t="inlineStr">
        <is>
          <t>cash_in</t>
        </is>
      </c>
      <c r="F8023" s="23" t="n">
        <v>46278</v>
      </c>
      <c r="G8023" s="24">
        <f>F8023-DATE(2026,8,31)</f>
        <v>13</v>
      </c>
      <c r="H8023" s="25" t="n">
        <v>48271899</v>
      </c>
      <c r="I8023" t="inlineStr">
        <is>
          <t>entidad-dia</t>
        </is>
      </c>
    </row>
    <row r="8024">
      <c r="A8024" t="inlineStr">
        <is>
          <t>PRAGMA</t>
        </is>
      </c>
      <c r="B8024" t="inlineStr">
        <is>
          <t>M2</t>
        </is>
      </c>
      <c r="C8024" t="inlineStr">
        <is>
          <t>Cali</t>
        </is>
      </c>
      <c r="D8024" t="inlineStr">
        <is>
          <t>9047</t>
        </is>
      </c>
      <c r="E8024" t="inlineStr">
        <is>
          <t>pagado</t>
        </is>
      </c>
      <c r="F8024" s="23" t="n">
        <v>46279</v>
      </c>
      <c r="G8024" s="24">
        <f>F8024-DATE(2026,8,31)</f>
        <v>14</v>
      </c>
      <c r="H8024" s="25" t="n">
        <v>62198572</v>
      </c>
      <c r="I8024" t="inlineStr">
        <is>
          <t>entidad-dia</t>
        </is>
      </c>
    </row>
    <row r="8025">
      <c r="A8025" t="inlineStr">
        <is>
          <t>PRAGMA</t>
        </is>
      </c>
      <c r="B8025" t="inlineStr">
        <is>
          <t>M2</t>
        </is>
      </c>
      <c r="C8025" t="inlineStr">
        <is>
          <t>Cali</t>
        </is>
      </c>
      <c r="D8025" t="inlineStr">
        <is>
          <t>9047</t>
        </is>
      </c>
      <c r="E8025" t="inlineStr">
        <is>
          <t>cash_in</t>
        </is>
      </c>
      <c r="F8025" s="23" t="n">
        <v>46279</v>
      </c>
      <c r="G8025" s="24">
        <f>F8025-DATE(2026,8,31)</f>
        <v>14</v>
      </c>
      <c r="H8025" s="25" t="n">
        <v>89802085</v>
      </c>
      <c r="I8025" t="inlineStr">
        <is>
          <t>entidad-dia</t>
        </is>
      </c>
    </row>
    <row r="8026">
      <c r="A8026" t="inlineStr">
        <is>
          <t>PRAGMA</t>
        </is>
      </c>
      <c r="B8026" t="inlineStr">
        <is>
          <t>M2</t>
        </is>
      </c>
      <c r="C8026" t="inlineStr">
        <is>
          <t>Cali</t>
        </is>
      </c>
      <c r="D8026" t="inlineStr">
        <is>
          <t>9047</t>
        </is>
      </c>
      <c r="E8026" t="inlineStr">
        <is>
          <t>pagado</t>
        </is>
      </c>
      <c r="F8026" s="23" t="n">
        <v>46280</v>
      </c>
      <c r="G8026" s="24">
        <f>F8026-DATE(2026,8,31)</f>
        <v>15</v>
      </c>
      <c r="H8026" s="25" t="n">
        <v>77827056</v>
      </c>
      <c r="I8026" t="inlineStr">
        <is>
          <t>entidad-dia</t>
        </is>
      </c>
    </row>
    <row r="8027">
      <c r="A8027" t="inlineStr">
        <is>
          <t>PRAGMA</t>
        </is>
      </c>
      <c r="B8027" t="inlineStr">
        <is>
          <t>M2</t>
        </is>
      </c>
      <c r="C8027" t="inlineStr">
        <is>
          <t>Cali</t>
        </is>
      </c>
      <c r="D8027" t="inlineStr">
        <is>
          <t>9047</t>
        </is>
      </c>
      <c r="E8027" t="inlineStr">
        <is>
          <t>cash_in</t>
        </is>
      </c>
      <c r="F8027" s="23" t="n">
        <v>46280</v>
      </c>
      <c r="G8027" s="24">
        <f>F8027-DATE(2026,8,31)</f>
        <v>15</v>
      </c>
      <c r="H8027" s="25" t="n">
        <v>95184375</v>
      </c>
      <c r="I8027" t="inlineStr">
        <is>
          <t>entidad-dia</t>
        </is>
      </c>
    </row>
    <row r="8028">
      <c r="A8028" t="inlineStr">
        <is>
          <t>PRAGMA</t>
        </is>
      </c>
      <c r="B8028" t="inlineStr">
        <is>
          <t>M2</t>
        </is>
      </c>
      <c r="C8028" t="inlineStr">
        <is>
          <t>Cali</t>
        </is>
      </c>
      <c r="D8028" t="inlineStr">
        <is>
          <t>9128</t>
        </is>
      </c>
      <c r="E8028" t="inlineStr">
        <is>
          <t>pagado</t>
        </is>
      </c>
      <c r="F8028" s="23" t="n">
        <v>46266</v>
      </c>
      <c r="G8028" s="24">
        <f>F8028-DATE(2026,8,31)</f>
        <v>1</v>
      </c>
      <c r="H8028" s="25" t="n">
        <v>40239559</v>
      </c>
      <c r="I8028" t="inlineStr">
        <is>
          <t>entidad-dia</t>
        </is>
      </c>
    </row>
    <row r="8029">
      <c r="A8029" t="inlineStr">
        <is>
          <t>PRAGMA</t>
        </is>
      </c>
      <c r="B8029" t="inlineStr">
        <is>
          <t>M2</t>
        </is>
      </c>
      <c r="C8029" t="inlineStr">
        <is>
          <t>Cali</t>
        </is>
      </c>
      <c r="D8029" t="inlineStr">
        <is>
          <t>9128</t>
        </is>
      </c>
      <c r="E8029" t="inlineStr">
        <is>
          <t>cash_in</t>
        </is>
      </c>
      <c r="F8029" s="23" t="n">
        <v>46266</v>
      </c>
      <c r="G8029" s="24">
        <f>F8029-DATE(2026,8,31)</f>
        <v>1</v>
      </c>
      <c r="H8029" s="25" t="n">
        <v>175558554</v>
      </c>
      <c r="I8029" t="inlineStr">
        <is>
          <t>entidad-dia</t>
        </is>
      </c>
    </row>
    <row r="8030">
      <c r="A8030" t="inlineStr">
        <is>
          <t>PRAGMA</t>
        </is>
      </c>
      <c r="B8030" t="inlineStr">
        <is>
          <t>M2</t>
        </is>
      </c>
      <c r="C8030" t="inlineStr">
        <is>
          <t>Cali</t>
        </is>
      </c>
      <c r="D8030" t="inlineStr">
        <is>
          <t>9128</t>
        </is>
      </c>
      <c r="E8030" t="inlineStr">
        <is>
          <t>pagado</t>
        </is>
      </c>
      <c r="F8030" s="23" t="n">
        <v>46267</v>
      </c>
      <c r="G8030" s="24">
        <f>F8030-DATE(2026,8,31)</f>
        <v>2</v>
      </c>
      <c r="H8030" s="25" t="n">
        <v>29739071</v>
      </c>
      <c r="I8030" t="inlineStr">
        <is>
          <t>entidad-dia</t>
        </is>
      </c>
    </row>
    <row r="8031">
      <c r="A8031" t="inlineStr">
        <is>
          <t>PRAGMA</t>
        </is>
      </c>
      <c r="B8031" t="inlineStr">
        <is>
          <t>M2</t>
        </is>
      </c>
      <c r="C8031" t="inlineStr">
        <is>
          <t>Cali</t>
        </is>
      </c>
      <c r="D8031" t="inlineStr">
        <is>
          <t>9128</t>
        </is>
      </c>
      <c r="E8031" t="inlineStr">
        <is>
          <t>cash_in</t>
        </is>
      </c>
      <c r="F8031" s="23" t="n">
        <v>46267</v>
      </c>
      <c r="G8031" s="24">
        <f>F8031-DATE(2026,8,31)</f>
        <v>2</v>
      </c>
      <c r="H8031" s="25" t="n">
        <v>155758872</v>
      </c>
      <c r="I8031" t="inlineStr">
        <is>
          <t>entidad-dia</t>
        </is>
      </c>
    </row>
    <row r="8032">
      <c r="A8032" t="inlineStr">
        <is>
          <t>PRAGMA</t>
        </is>
      </c>
      <c r="B8032" t="inlineStr">
        <is>
          <t>M2</t>
        </is>
      </c>
      <c r="C8032" t="inlineStr">
        <is>
          <t>Cali</t>
        </is>
      </c>
      <c r="D8032" t="inlineStr">
        <is>
          <t>9128</t>
        </is>
      </c>
      <c r="E8032" t="inlineStr">
        <is>
          <t>pagado</t>
        </is>
      </c>
      <c r="F8032" s="23" t="n">
        <v>46268</v>
      </c>
      <c r="G8032" s="24">
        <f>F8032-DATE(2026,8,31)</f>
        <v>3</v>
      </c>
      <c r="H8032" s="25" t="n">
        <v>27703985</v>
      </c>
      <c r="I8032" t="inlineStr">
        <is>
          <t>entidad-dia</t>
        </is>
      </c>
    </row>
    <row r="8033">
      <c r="A8033" t="inlineStr">
        <is>
          <t>PRAGMA</t>
        </is>
      </c>
      <c r="B8033" t="inlineStr">
        <is>
          <t>M2</t>
        </is>
      </c>
      <c r="C8033" t="inlineStr">
        <is>
          <t>Cali</t>
        </is>
      </c>
      <c r="D8033" t="inlineStr">
        <is>
          <t>9128</t>
        </is>
      </c>
      <c r="E8033" t="inlineStr">
        <is>
          <t>cash_in</t>
        </is>
      </c>
      <c r="F8033" s="23" t="n">
        <v>46268</v>
      </c>
      <c r="G8033" s="24">
        <f>F8033-DATE(2026,8,31)</f>
        <v>3</v>
      </c>
      <c r="H8033" s="25" t="n">
        <v>163027595</v>
      </c>
      <c r="I8033" t="inlineStr">
        <is>
          <t>entidad-dia</t>
        </is>
      </c>
    </row>
    <row r="8034">
      <c r="A8034" t="inlineStr">
        <is>
          <t>PRAGMA</t>
        </is>
      </c>
      <c r="B8034" t="inlineStr">
        <is>
          <t>M2</t>
        </is>
      </c>
      <c r="C8034" t="inlineStr">
        <is>
          <t>Cali</t>
        </is>
      </c>
      <c r="D8034" t="inlineStr">
        <is>
          <t>9128</t>
        </is>
      </c>
      <c r="E8034" t="inlineStr">
        <is>
          <t>pagado</t>
        </is>
      </c>
      <c r="F8034" s="23" t="n">
        <v>46269</v>
      </c>
      <c r="G8034" s="24">
        <f>F8034-DATE(2026,8,31)</f>
        <v>4</v>
      </c>
      <c r="H8034" s="25" t="n">
        <v>27175524</v>
      </c>
      <c r="I8034" t="inlineStr">
        <is>
          <t>entidad-dia</t>
        </is>
      </c>
    </row>
    <row r="8035">
      <c r="A8035" t="inlineStr">
        <is>
          <t>PRAGMA</t>
        </is>
      </c>
      <c r="B8035" t="inlineStr">
        <is>
          <t>M2</t>
        </is>
      </c>
      <c r="C8035" t="inlineStr">
        <is>
          <t>Cali</t>
        </is>
      </c>
      <c r="D8035" t="inlineStr">
        <is>
          <t>9128</t>
        </is>
      </c>
      <c r="E8035" t="inlineStr">
        <is>
          <t>cash_in</t>
        </is>
      </c>
      <c r="F8035" s="23" t="n">
        <v>46269</v>
      </c>
      <c r="G8035" s="24">
        <f>F8035-DATE(2026,8,31)</f>
        <v>4</v>
      </c>
      <c r="H8035" s="25" t="n">
        <v>159471133</v>
      </c>
      <c r="I8035" t="inlineStr">
        <is>
          <t>entidad-dia</t>
        </is>
      </c>
    </row>
    <row r="8036">
      <c r="A8036" t="inlineStr">
        <is>
          <t>PRAGMA</t>
        </is>
      </c>
      <c r="B8036" t="inlineStr">
        <is>
          <t>M2</t>
        </is>
      </c>
      <c r="C8036" t="inlineStr">
        <is>
          <t>Cali</t>
        </is>
      </c>
      <c r="D8036" t="inlineStr">
        <is>
          <t>9128</t>
        </is>
      </c>
      <c r="E8036" t="inlineStr">
        <is>
          <t>pagado</t>
        </is>
      </c>
      <c r="F8036" s="23" t="n">
        <v>46270</v>
      </c>
      <c r="G8036" s="24">
        <f>F8036-DATE(2026,8,31)</f>
        <v>5</v>
      </c>
      <c r="H8036" s="25" t="n">
        <v>26870199</v>
      </c>
      <c r="I8036" t="inlineStr">
        <is>
          <t>entidad-dia</t>
        </is>
      </c>
    </row>
    <row r="8037">
      <c r="A8037" t="inlineStr">
        <is>
          <t>PRAGMA</t>
        </is>
      </c>
      <c r="B8037" t="inlineStr">
        <is>
          <t>M2</t>
        </is>
      </c>
      <c r="C8037" t="inlineStr">
        <is>
          <t>Cali</t>
        </is>
      </c>
      <c r="D8037" t="inlineStr">
        <is>
          <t>9128</t>
        </is>
      </c>
      <c r="E8037" t="inlineStr">
        <is>
          <t>cash_in</t>
        </is>
      </c>
      <c r="F8037" s="23" t="n">
        <v>46270</v>
      </c>
      <c r="G8037" s="24">
        <f>F8037-DATE(2026,8,31)</f>
        <v>5</v>
      </c>
      <c r="H8037" s="25" t="n">
        <v>167960203</v>
      </c>
      <c r="I8037" t="inlineStr">
        <is>
          <t>entidad-dia</t>
        </is>
      </c>
    </row>
    <row r="8038">
      <c r="A8038" t="inlineStr">
        <is>
          <t>PRAGMA</t>
        </is>
      </c>
      <c r="B8038" t="inlineStr">
        <is>
          <t>M2</t>
        </is>
      </c>
      <c r="C8038" t="inlineStr">
        <is>
          <t>Cali</t>
        </is>
      </c>
      <c r="D8038" t="inlineStr">
        <is>
          <t>9128</t>
        </is>
      </c>
      <c r="E8038" t="inlineStr">
        <is>
          <t>pagado</t>
        </is>
      </c>
      <c r="F8038" s="23" t="n">
        <v>46271</v>
      </c>
      <c r="G8038" s="24">
        <f>F8038-DATE(2026,8,31)</f>
        <v>6</v>
      </c>
      <c r="H8038" s="25" t="n">
        <v>11593467</v>
      </c>
      <c r="I8038" t="inlineStr">
        <is>
          <t>entidad-dia</t>
        </is>
      </c>
    </row>
    <row r="8039">
      <c r="A8039" t="inlineStr">
        <is>
          <t>PRAGMA</t>
        </is>
      </c>
      <c r="B8039" t="inlineStr">
        <is>
          <t>M2</t>
        </is>
      </c>
      <c r="C8039" t="inlineStr">
        <is>
          <t>Cali</t>
        </is>
      </c>
      <c r="D8039" t="inlineStr">
        <is>
          <t>9128</t>
        </is>
      </c>
      <c r="E8039" t="inlineStr">
        <is>
          <t>cash_in</t>
        </is>
      </c>
      <c r="F8039" s="23" t="n">
        <v>46271</v>
      </c>
      <c r="G8039" s="24">
        <f>F8039-DATE(2026,8,31)</f>
        <v>6</v>
      </c>
      <c r="H8039" s="25" t="n">
        <v>94679674</v>
      </c>
      <c r="I8039" t="inlineStr">
        <is>
          <t>entidad-dia</t>
        </is>
      </c>
    </row>
    <row r="8040">
      <c r="A8040" t="inlineStr">
        <is>
          <t>PRAGMA</t>
        </is>
      </c>
      <c r="B8040" t="inlineStr">
        <is>
          <t>M2</t>
        </is>
      </c>
      <c r="C8040" t="inlineStr">
        <is>
          <t>Cali</t>
        </is>
      </c>
      <c r="D8040" t="inlineStr">
        <is>
          <t>9128</t>
        </is>
      </c>
      <c r="E8040" t="inlineStr">
        <is>
          <t>pagado</t>
        </is>
      </c>
      <c r="F8040" s="23" t="n">
        <v>46272</v>
      </c>
      <c r="G8040" s="24">
        <f>F8040-DATE(2026,8,31)</f>
        <v>7</v>
      </c>
      <c r="H8040" s="25" t="n">
        <v>24170083</v>
      </c>
      <c r="I8040" t="inlineStr">
        <is>
          <t>entidad-dia</t>
        </is>
      </c>
    </row>
    <row r="8041">
      <c r="A8041" t="inlineStr">
        <is>
          <t>PRAGMA</t>
        </is>
      </c>
      <c r="B8041" t="inlineStr">
        <is>
          <t>M2</t>
        </is>
      </c>
      <c r="C8041" t="inlineStr">
        <is>
          <t>Cali</t>
        </is>
      </c>
      <c r="D8041" t="inlineStr">
        <is>
          <t>9128</t>
        </is>
      </c>
      <c r="E8041" t="inlineStr">
        <is>
          <t>cash_in</t>
        </is>
      </c>
      <c r="F8041" s="23" t="n">
        <v>46272</v>
      </c>
      <c r="G8041" s="24">
        <f>F8041-DATE(2026,8,31)</f>
        <v>7</v>
      </c>
      <c r="H8041" s="25" t="n">
        <v>168880667</v>
      </c>
      <c r="I8041" t="inlineStr">
        <is>
          <t>entidad-dia</t>
        </is>
      </c>
    </row>
    <row r="8042">
      <c r="A8042" t="inlineStr">
        <is>
          <t>PRAGMA</t>
        </is>
      </c>
      <c r="B8042" t="inlineStr">
        <is>
          <t>M2</t>
        </is>
      </c>
      <c r="C8042" t="inlineStr">
        <is>
          <t>Cali</t>
        </is>
      </c>
      <c r="D8042" t="inlineStr">
        <is>
          <t>9128</t>
        </is>
      </c>
      <c r="E8042" t="inlineStr">
        <is>
          <t>pagado</t>
        </is>
      </c>
      <c r="F8042" s="23" t="n">
        <v>46273</v>
      </c>
      <c r="G8042" s="24">
        <f>F8042-DATE(2026,8,31)</f>
        <v>8</v>
      </c>
      <c r="H8042" s="25" t="n">
        <v>24645018</v>
      </c>
      <c r="I8042" t="inlineStr">
        <is>
          <t>entidad-dia</t>
        </is>
      </c>
    </row>
    <row r="8043">
      <c r="A8043" t="inlineStr">
        <is>
          <t>PRAGMA</t>
        </is>
      </c>
      <c r="B8043" t="inlineStr">
        <is>
          <t>M2</t>
        </is>
      </c>
      <c r="C8043" t="inlineStr">
        <is>
          <t>Cali</t>
        </is>
      </c>
      <c r="D8043" t="inlineStr">
        <is>
          <t>9128</t>
        </is>
      </c>
      <c r="E8043" t="inlineStr">
        <is>
          <t>cash_in</t>
        </is>
      </c>
      <c r="F8043" s="23" t="n">
        <v>46273</v>
      </c>
      <c r="G8043" s="24">
        <f>F8043-DATE(2026,8,31)</f>
        <v>8</v>
      </c>
      <c r="H8043" s="25" t="n">
        <v>152923267</v>
      </c>
      <c r="I8043" t="inlineStr">
        <is>
          <t>entidad-dia</t>
        </is>
      </c>
    </row>
    <row r="8044">
      <c r="A8044" t="inlineStr">
        <is>
          <t>PRAGMA</t>
        </is>
      </c>
      <c r="B8044" t="inlineStr">
        <is>
          <t>M2</t>
        </is>
      </c>
      <c r="C8044" t="inlineStr">
        <is>
          <t>Cali</t>
        </is>
      </c>
      <c r="D8044" t="inlineStr">
        <is>
          <t>9128</t>
        </is>
      </c>
      <c r="E8044" t="inlineStr">
        <is>
          <t>pagado</t>
        </is>
      </c>
      <c r="F8044" s="23" t="n">
        <v>46274</v>
      </c>
      <c r="G8044" s="24">
        <f>F8044-DATE(2026,8,31)</f>
        <v>9</v>
      </c>
      <c r="H8044" s="25" t="n">
        <v>20842191</v>
      </c>
      <c r="I8044" t="inlineStr">
        <is>
          <t>entidad-dia</t>
        </is>
      </c>
    </row>
    <row r="8045">
      <c r="A8045" t="inlineStr">
        <is>
          <t>PRAGMA</t>
        </is>
      </c>
      <c r="B8045" t="inlineStr">
        <is>
          <t>M2</t>
        </is>
      </c>
      <c r="C8045" t="inlineStr">
        <is>
          <t>Cali</t>
        </is>
      </c>
      <c r="D8045" t="inlineStr">
        <is>
          <t>9128</t>
        </is>
      </c>
      <c r="E8045" t="inlineStr">
        <is>
          <t>cash_in</t>
        </is>
      </c>
      <c r="F8045" s="23" t="n">
        <v>46274</v>
      </c>
      <c r="G8045" s="24">
        <f>F8045-DATE(2026,8,31)</f>
        <v>9</v>
      </c>
      <c r="H8045" s="25" t="n">
        <v>138381467</v>
      </c>
      <c r="I8045" t="inlineStr">
        <is>
          <t>entidad-dia</t>
        </is>
      </c>
    </row>
    <row r="8046">
      <c r="A8046" t="inlineStr">
        <is>
          <t>PRAGMA</t>
        </is>
      </c>
      <c r="B8046" t="inlineStr">
        <is>
          <t>M2</t>
        </is>
      </c>
      <c r="C8046" t="inlineStr">
        <is>
          <t>Cali</t>
        </is>
      </c>
      <c r="D8046" t="inlineStr">
        <is>
          <t>9128</t>
        </is>
      </c>
      <c r="E8046" t="inlineStr">
        <is>
          <t>pagado</t>
        </is>
      </c>
      <c r="F8046" s="23" t="n">
        <v>46275</v>
      </c>
      <c r="G8046" s="24">
        <f>F8046-DATE(2026,8,31)</f>
        <v>10</v>
      </c>
      <c r="H8046" s="25" t="n">
        <v>20698668</v>
      </c>
      <c r="I8046" t="inlineStr">
        <is>
          <t>entidad-dia</t>
        </is>
      </c>
    </row>
    <row r="8047">
      <c r="A8047" t="inlineStr">
        <is>
          <t>PRAGMA</t>
        </is>
      </c>
      <c r="B8047" t="inlineStr">
        <is>
          <t>M2</t>
        </is>
      </c>
      <c r="C8047" t="inlineStr">
        <is>
          <t>Cali</t>
        </is>
      </c>
      <c r="D8047" t="inlineStr">
        <is>
          <t>9128</t>
        </is>
      </c>
      <c r="E8047" t="inlineStr">
        <is>
          <t>cash_in</t>
        </is>
      </c>
      <c r="F8047" s="23" t="n">
        <v>46275</v>
      </c>
      <c r="G8047" s="24">
        <f>F8047-DATE(2026,8,31)</f>
        <v>10</v>
      </c>
      <c r="H8047" s="25" t="n">
        <v>140419678</v>
      </c>
      <c r="I8047" t="inlineStr">
        <is>
          <t>entidad-dia</t>
        </is>
      </c>
    </row>
    <row r="8048">
      <c r="A8048" t="inlineStr">
        <is>
          <t>PRAGMA</t>
        </is>
      </c>
      <c r="B8048" t="inlineStr">
        <is>
          <t>M2</t>
        </is>
      </c>
      <c r="C8048" t="inlineStr">
        <is>
          <t>Cali</t>
        </is>
      </c>
      <c r="D8048" t="inlineStr">
        <is>
          <t>9128</t>
        </is>
      </c>
      <c r="E8048" t="inlineStr">
        <is>
          <t>pagado</t>
        </is>
      </c>
      <c r="F8048" s="23" t="n">
        <v>46276</v>
      </c>
      <c r="G8048" s="24">
        <f>F8048-DATE(2026,8,31)</f>
        <v>11</v>
      </c>
      <c r="H8048" s="25" t="n">
        <v>22088415</v>
      </c>
      <c r="I8048" t="inlineStr">
        <is>
          <t>entidad-dia</t>
        </is>
      </c>
    </row>
    <row r="8049">
      <c r="A8049" t="inlineStr">
        <is>
          <t>PRAGMA</t>
        </is>
      </c>
      <c r="B8049" t="inlineStr">
        <is>
          <t>M2</t>
        </is>
      </c>
      <c r="C8049" t="inlineStr">
        <is>
          <t>Cali</t>
        </is>
      </c>
      <c r="D8049" t="inlineStr">
        <is>
          <t>9128</t>
        </is>
      </c>
      <c r="E8049" t="inlineStr">
        <is>
          <t>cash_in</t>
        </is>
      </c>
      <c r="F8049" s="23" t="n">
        <v>46276</v>
      </c>
      <c r="G8049" s="24">
        <f>F8049-DATE(2026,8,31)</f>
        <v>11</v>
      </c>
      <c r="H8049" s="25" t="n">
        <v>141452801</v>
      </c>
      <c r="I8049" t="inlineStr">
        <is>
          <t>entidad-dia</t>
        </is>
      </c>
    </row>
    <row r="8050">
      <c r="A8050" t="inlineStr">
        <is>
          <t>PRAGMA</t>
        </is>
      </c>
      <c r="B8050" t="inlineStr">
        <is>
          <t>M2</t>
        </is>
      </c>
      <c r="C8050" t="inlineStr">
        <is>
          <t>Cali</t>
        </is>
      </c>
      <c r="D8050" t="inlineStr">
        <is>
          <t>9128</t>
        </is>
      </c>
      <c r="E8050" t="inlineStr">
        <is>
          <t>pagado</t>
        </is>
      </c>
      <c r="F8050" s="23" t="n">
        <v>46277</v>
      </c>
      <c r="G8050" s="24">
        <f>F8050-DATE(2026,8,31)</f>
        <v>12</v>
      </c>
      <c r="H8050" s="25" t="n">
        <v>20214607</v>
      </c>
      <c r="I8050" t="inlineStr">
        <is>
          <t>entidad-dia</t>
        </is>
      </c>
    </row>
    <row r="8051">
      <c r="A8051" t="inlineStr">
        <is>
          <t>PRAGMA</t>
        </is>
      </c>
      <c r="B8051" t="inlineStr">
        <is>
          <t>M2</t>
        </is>
      </c>
      <c r="C8051" t="inlineStr">
        <is>
          <t>Cali</t>
        </is>
      </c>
      <c r="D8051" t="inlineStr">
        <is>
          <t>9128</t>
        </is>
      </c>
      <c r="E8051" t="inlineStr">
        <is>
          <t>cash_in</t>
        </is>
      </c>
      <c r="F8051" s="23" t="n">
        <v>46277</v>
      </c>
      <c r="G8051" s="24">
        <f>F8051-DATE(2026,8,31)</f>
        <v>12</v>
      </c>
      <c r="H8051" s="25" t="n">
        <v>150050933</v>
      </c>
      <c r="I8051" t="inlineStr">
        <is>
          <t>entidad-dia</t>
        </is>
      </c>
    </row>
    <row r="8052">
      <c r="A8052" t="inlineStr">
        <is>
          <t>PRAGMA</t>
        </is>
      </c>
      <c r="B8052" t="inlineStr">
        <is>
          <t>M2</t>
        </is>
      </c>
      <c r="C8052" t="inlineStr">
        <is>
          <t>Cali</t>
        </is>
      </c>
      <c r="D8052" t="inlineStr">
        <is>
          <t>9128</t>
        </is>
      </c>
      <c r="E8052" t="inlineStr">
        <is>
          <t>pagado</t>
        </is>
      </c>
      <c r="F8052" s="23" t="n">
        <v>46278</v>
      </c>
      <c r="G8052" s="24">
        <f>F8052-DATE(2026,8,31)</f>
        <v>13</v>
      </c>
      <c r="H8052" s="25" t="n">
        <v>8568844</v>
      </c>
      <c r="I8052" t="inlineStr">
        <is>
          <t>entidad-dia</t>
        </is>
      </c>
    </row>
    <row r="8053">
      <c r="A8053" t="inlineStr">
        <is>
          <t>PRAGMA</t>
        </is>
      </c>
      <c r="B8053" t="inlineStr">
        <is>
          <t>M2</t>
        </is>
      </c>
      <c r="C8053" t="inlineStr">
        <is>
          <t>Cali</t>
        </is>
      </c>
      <c r="D8053" t="inlineStr">
        <is>
          <t>9128</t>
        </is>
      </c>
      <c r="E8053" t="inlineStr">
        <is>
          <t>cash_in</t>
        </is>
      </c>
      <c r="F8053" s="23" t="n">
        <v>46278</v>
      </c>
      <c r="G8053" s="24">
        <f>F8053-DATE(2026,8,31)</f>
        <v>13</v>
      </c>
      <c r="H8053" s="25" t="n">
        <v>82587264</v>
      </c>
      <c r="I8053" t="inlineStr">
        <is>
          <t>entidad-dia</t>
        </is>
      </c>
    </row>
    <row r="8054">
      <c r="A8054" t="inlineStr">
        <is>
          <t>PRAGMA</t>
        </is>
      </c>
      <c r="B8054" t="inlineStr">
        <is>
          <t>M2</t>
        </is>
      </c>
      <c r="C8054" t="inlineStr">
        <is>
          <t>Cali</t>
        </is>
      </c>
      <c r="D8054" t="inlineStr">
        <is>
          <t>9128</t>
        </is>
      </c>
      <c r="E8054" t="inlineStr">
        <is>
          <t>pagado</t>
        </is>
      </c>
      <c r="F8054" s="23" t="n">
        <v>46279</v>
      </c>
      <c r="G8054" s="24">
        <f>F8054-DATE(2026,8,31)</f>
        <v>14</v>
      </c>
      <c r="H8054" s="25" t="n">
        <v>19697728</v>
      </c>
      <c r="I8054" t="inlineStr">
        <is>
          <t>entidad-dia</t>
        </is>
      </c>
    </row>
    <row r="8055">
      <c r="A8055" t="inlineStr">
        <is>
          <t>PRAGMA</t>
        </is>
      </c>
      <c r="B8055" t="inlineStr">
        <is>
          <t>M2</t>
        </is>
      </c>
      <c r="C8055" t="inlineStr">
        <is>
          <t>Cali</t>
        </is>
      </c>
      <c r="D8055" t="inlineStr">
        <is>
          <t>9128</t>
        </is>
      </c>
      <c r="E8055" t="inlineStr">
        <is>
          <t>cash_in</t>
        </is>
      </c>
      <c r="F8055" s="23" t="n">
        <v>46279</v>
      </c>
      <c r="G8055" s="24">
        <f>F8055-DATE(2026,8,31)</f>
        <v>14</v>
      </c>
      <c r="H8055" s="25" t="n">
        <v>149190693</v>
      </c>
      <c r="I8055" t="inlineStr">
        <is>
          <t>entidad-dia</t>
        </is>
      </c>
    </row>
    <row r="8056">
      <c r="A8056" t="inlineStr">
        <is>
          <t>PRAGMA</t>
        </is>
      </c>
      <c r="B8056" t="inlineStr">
        <is>
          <t>M2</t>
        </is>
      </c>
      <c r="C8056" t="inlineStr">
        <is>
          <t>Cali</t>
        </is>
      </c>
      <c r="D8056" t="inlineStr">
        <is>
          <t>9128</t>
        </is>
      </c>
      <c r="E8056" t="inlineStr">
        <is>
          <t>pagado</t>
        </is>
      </c>
      <c r="F8056" s="23" t="n">
        <v>46280</v>
      </c>
      <c r="G8056" s="24">
        <f>F8056-DATE(2026,8,31)</f>
        <v>15</v>
      </c>
      <c r="H8056" s="25" t="n">
        <v>29626631</v>
      </c>
      <c r="I8056" t="inlineStr">
        <is>
          <t>entidad-dia</t>
        </is>
      </c>
    </row>
    <row r="8057">
      <c r="A8057" t="inlineStr">
        <is>
          <t>PRAGMA</t>
        </is>
      </c>
      <c r="B8057" t="inlineStr">
        <is>
          <t>M2</t>
        </is>
      </c>
      <c r="C8057" t="inlineStr">
        <is>
          <t>Cali</t>
        </is>
      </c>
      <c r="D8057" t="inlineStr">
        <is>
          <t>9128</t>
        </is>
      </c>
      <c r="E8057" t="inlineStr">
        <is>
          <t>cash_in</t>
        </is>
      </c>
      <c r="F8057" s="23" t="n">
        <v>46280</v>
      </c>
      <c r="G8057" s="24">
        <f>F8057-DATE(2026,8,31)</f>
        <v>15</v>
      </c>
      <c r="H8057" s="25" t="n">
        <v>170345554</v>
      </c>
      <c r="I8057" t="inlineStr">
        <is>
          <t>entidad-dia</t>
        </is>
      </c>
    </row>
    <row r="8058">
      <c r="A8058" t="inlineStr">
        <is>
          <t>PRAGMA</t>
        </is>
      </c>
      <c r="B8058" t="inlineStr">
        <is>
          <t>M2</t>
        </is>
      </c>
      <c r="C8058" t="inlineStr">
        <is>
          <t>Cali</t>
        </is>
      </c>
      <c r="D8058" t="inlineStr">
        <is>
          <t>9251</t>
        </is>
      </c>
      <c r="E8058" t="inlineStr">
        <is>
          <t>pagado</t>
        </is>
      </c>
      <c r="F8058" s="23" t="n">
        <v>46266</v>
      </c>
      <c r="G8058" s="24">
        <f>F8058-DATE(2026,8,31)</f>
        <v>1</v>
      </c>
      <c r="H8058" s="25" t="n">
        <v>102595158</v>
      </c>
      <c r="I8058" t="inlineStr">
        <is>
          <t>entidad-dia</t>
        </is>
      </c>
    </row>
    <row r="8059">
      <c r="A8059" t="inlineStr">
        <is>
          <t>PRAGMA</t>
        </is>
      </c>
      <c r="B8059" t="inlineStr">
        <is>
          <t>M2</t>
        </is>
      </c>
      <c r="C8059" t="inlineStr">
        <is>
          <t>Cali</t>
        </is>
      </c>
      <c r="D8059" t="inlineStr">
        <is>
          <t>9251</t>
        </is>
      </c>
      <c r="E8059" t="inlineStr">
        <is>
          <t>cash_in</t>
        </is>
      </c>
      <c r="F8059" s="23" t="n">
        <v>46266</v>
      </c>
      <c r="G8059" s="24">
        <f>F8059-DATE(2026,8,31)</f>
        <v>1</v>
      </c>
      <c r="H8059" s="25" t="n">
        <v>58922460</v>
      </c>
      <c r="I8059" t="inlineStr">
        <is>
          <t>entidad-dia</t>
        </is>
      </c>
    </row>
    <row r="8060">
      <c r="A8060" t="inlineStr">
        <is>
          <t>PRAGMA</t>
        </is>
      </c>
      <c r="B8060" t="inlineStr">
        <is>
          <t>M2</t>
        </is>
      </c>
      <c r="C8060" t="inlineStr">
        <is>
          <t>Cali</t>
        </is>
      </c>
      <c r="D8060" t="inlineStr">
        <is>
          <t>9251</t>
        </is>
      </c>
      <c r="E8060" t="inlineStr">
        <is>
          <t>pagado</t>
        </is>
      </c>
      <c r="F8060" s="23" t="n">
        <v>46267</v>
      </c>
      <c r="G8060" s="24">
        <f>F8060-DATE(2026,8,31)</f>
        <v>2</v>
      </c>
      <c r="H8060" s="25" t="n">
        <v>89254261</v>
      </c>
      <c r="I8060" t="inlineStr">
        <is>
          <t>entidad-dia</t>
        </is>
      </c>
    </row>
    <row r="8061">
      <c r="A8061" t="inlineStr">
        <is>
          <t>PRAGMA</t>
        </is>
      </c>
      <c r="B8061" t="inlineStr">
        <is>
          <t>M2</t>
        </is>
      </c>
      <c r="C8061" t="inlineStr">
        <is>
          <t>Cali</t>
        </is>
      </c>
      <c r="D8061" t="inlineStr">
        <is>
          <t>9251</t>
        </is>
      </c>
      <c r="E8061" t="inlineStr">
        <is>
          <t>cash_in</t>
        </is>
      </c>
      <c r="F8061" s="23" t="n">
        <v>46267</v>
      </c>
      <c r="G8061" s="24">
        <f>F8061-DATE(2026,8,31)</f>
        <v>2</v>
      </c>
      <c r="H8061" s="25" t="n">
        <v>55622245</v>
      </c>
      <c r="I8061" t="inlineStr">
        <is>
          <t>entidad-dia</t>
        </is>
      </c>
    </row>
    <row r="8062">
      <c r="A8062" t="inlineStr">
        <is>
          <t>PRAGMA</t>
        </is>
      </c>
      <c r="B8062" t="inlineStr">
        <is>
          <t>M2</t>
        </is>
      </c>
      <c r="C8062" t="inlineStr">
        <is>
          <t>Cali</t>
        </is>
      </c>
      <c r="D8062" t="inlineStr">
        <is>
          <t>9251</t>
        </is>
      </c>
      <c r="E8062" t="inlineStr">
        <is>
          <t>pagado</t>
        </is>
      </c>
      <c r="F8062" s="23" t="n">
        <v>46268</v>
      </c>
      <c r="G8062" s="24">
        <f>F8062-DATE(2026,8,31)</f>
        <v>3</v>
      </c>
      <c r="H8062" s="25" t="n">
        <v>86735998</v>
      </c>
      <c r="I8062" t="inlineStr">
        <is>
          <t>entidad-dia</t>
        </is>
      </c>
    </row>
    <row r="8063">
      <c r="A8063" t="inlineStr">
        <is>
          <t>PRAGMA</t>
        </is>
      </c>
      <c r="B8063" t="inlineStr">
        <is>
          <t>M2</t>
        </is>
      </c>
      <c r="C8063" t="inlineStr">
        <is>
          <t>Cali</t>
        </is>
      </c>
      <c r="D8063" t="inlineStr">
        <is>
          <t>9251</t>
        </is>
      </c>
      <c r="E8063" t="inlineStr">
        <is>
          <t>cash_in</t>
        </is>
      </c>
      <c r="F8063" s="23" t="n">
        <v>46268</v>
      </c>
      <c r="G8063" s="24">
        <f>F8063-DATE(2026,8,31)</f>
        <v>3</v>
      </c>
      <c r="H8063" s="25" t="n">
        <v>53400728</v>
      </c>
      <c r="I8063" t="inlineStr">
        <is>
          <t>entidad-dia</t>
        </is>
      </c>
    </row>
    <row r="8064">
      <c r="A8064" t="inlineStr">
        <is>
          <t>PRAGMA</t>
        </is>
      </c>
      <c r="B8064" t="inlineStr">
        <is>
          <t>M2</t>
        </is>
      </c>
      <c r="C8064" t="inlineStr">
        <is>
          <t>Cali</t>
        </is>
      </c>
      <c r="D8064" t="inlineStr">
        <is>
          <t>9251</t>
        </is>
      </c>
      <c r="E8064" t="inlineStr">
        <is>
          <t>pagado</t>
        </is>
      </c>
      <c r="F8064" s="23" t="n">
        <v>46269</v>
      </c>
      <c r="G8064" s="24">
        <f>F8064-DATE(2026,8,31)</f>
        <v>4</v>
      </c>
      <c r="H8064" s="25" t="n">
        <v>88506456</v>
      </c>
      <c r="I8064" t="inlineStr">
        <is>
          <t>entidad-dia</t>
        </is>
      </c>
    </row>
    <row r="8065">
      <c r="A8065" t="inlineStr">
        <is>
          <t>PRAGMA</t>
        </is>
      </c>
      <c r="B8065" t="inlineStr">
        <is>
          <t>M2</t>
        </is>
      </c>
      <c r="C8065" t="inlineStr">
        <is>
          <t>Cali</t>
        </is>
      </c>
      <c r="D8065" t="inlineStr">
        <is>
          <t>9251</t>
        </is>
      </c>
      <c r="E8065" t="inlineStr">
        <is>
          <t>cash_in</t>
        </is>
      </c>
      <c r="F8065" s="23" t="n">
        <v>46269</v>
      </c>
      <c r="G8065" s="24">
        <f>F8065-DATE(2026,8,31)</f>
        <v>4</v>
      </c>
      <c r="H8065" s="25" t="n">
        <v>60556626</v>
      </c>
      <c r="I8065" t="inlineStr">
        <is>
          <t>entidad-dia</t>
        </is>
      </c>
    </row>
    <row r="8066">
      <c r="A8066" t="inlineStr">
        <is>
          <t>PRAGMA</t>
        </is>
      </c>
      <c r="B8066" t="inlineStr">
        <is>
          <t>M2</t>
        </is>
      </c>
      <c r="C8066" t="inlineStr">
        <is>
          <t>Cali</t>
        </is>
      </c>
      <c r="D8066" t="inlineStr">
        <is>
          <t>9251</t>
        </is>
      </c>
      <c r="E8066" t="inlineStr">
        <is>
          <t>pagado</t>
        </is>
      </c>
      <c r="F8066" s="23" t="n">
        <v>46270</v>
      </c>
      <c r="G8066" s="24">
        <f>F8066-DATE(2026,8,31)</f>
        <v>5</v>
      </c>
      <c r="H8066" s="25" t="n">
        <v>88688581</v>
      </c>
      <c r="I8066" t="inlineStr">
        <is>
          <t>entidad-dia</t>
        </is>
      </c>
    </row>
    <row r="8067">
      <c r="A8067" t="inlineStr">
        <is>
          <t>PRAGMA</t>
        </is>
      </c>
      <c r="B8067" t="inlineStr">
        <is>
          <t>M2</t>
        </is>
      </c>
      <c r="C8067" t="inlineStr">
        <is>
          <t>Cali</t>
        </is>
      </c>
      <c r="D8067" t="inlineStr">
        <is>
          <t>9251</t>
        </is>
      </c>
      <c r="E8067" t="inlineStr">
        <is>
          <t>cash_in</t>
        </is>
      </c>
      <c r="F8067" s="23" t="n">
        <v>46270</v>
      </c>
      <c r="G8067" s="24">
        <f>F8067-DATE(2026,8,31)</f>
        <v>5</v>
      </c>
      <c r="H8067" s="25" t="n">
        <v>58198142</v>
      </c>
      <c r="I8067" t="inlineStr">
        <is>
          <t>entidad-dia</t>
        </is>
      </c>
    </row>
    <row r="8068">
      <c r="A8068" t="inlineStr">
        <is>
          <t>PRAGMA</t>
        </is>
      </c>
      <c r="B8068" t="inlineStr">
        <is>
          <t>M2</t>
        </is>
      </c>
      <c r="C8068" t="inlineStr">
        <is>
          <t>Cali</t>
        </is>
      </c>
      <c r="D8068" t="inlineStr">
        <is>
          <t>9251</t>
        </is>
      </c>
      <c r="E8068" t="inlineStr">
        <is>
          <t>pagado</t>
        </is>
      </c>
      <c r="F8068" s="23" t="n">
        <v>46271</v>
      </c>
      <c r="G8068" s="24">
        <f>F8068-DATE(2026,8,31)</f>
        <v>6</v>
      </c>
      <c r="H8068" s="25" t="n">
        <v>45446794</v>
      </c>
      <c r="I8068" t="inlineStr">
        <is>
          <t>entidad-dia</t>
        </is>
      </c>
    </row>
    <row r="8069">
      <c r="A8069" t="inlineStr">
        <is>
          <t>PRAGMA</t>
        </is>
      </c>
      <c r="B8069" t="inlineStr">
        <is>
          <t>M2</t>
        </is>
      </c>
      <c r="C8069" t="inlineStr">
        <is>
          <t>Cali</t>
        </is>
      </c>
      <c r="D8069" t="inlineStr">
        <is>
          <t>9251</t>
        </is>
      </c>
      <c r="E8069" t="inlineStr">
        <is>
          <t>cash_in</t>
        </is>
      </c>
      <c r="F8069" s="23" t="n">
        <v>46271</v>
      </c>
      <c r="G8069" s="24">
        <f>F8069-DATE(2026,8,31)</f>
        <v>6</v>
      </c>
      <c r="H8069" s="25" t="n">
        <v>13078716</v>
      </c>
      <c r="I8069" t="inlineStr">
        <is>
          <t>entidad-dia</t>
        </is>
      </c>
    </row>
    <row r="8070">
      <c r="A8070" t="inlineStr">
        <is>
          <t>PRAGMA</t>
        </is>
      </c>
      <c r="B8070" t="inlineStr">
        <is>
          <t>M2</t>
        </is>
      </c>
      <c r="C8070" t="inlineStr">
        <is>
          <t>Cali</t>
        </is>
      </c>
      <c r="D8070" t="inlineStr">
        <is>
          <t>9251</t>
        </is>
      </c>
      <c r="E8070" t="inlineStr">
        <is>
          <t>pagado</t>
        </is>
      </c>
      <c r="F8070" s="23" t="n">
        <v>46272</v>
      </c>
      <c r="G8070" s="24">
        <f>F8070-DATE(2026,8,31)</f>
        <v>7</v>
      </c>
      <c r="H8070" s="25" t="n">
        <v>69080076</v>
      </c>
      <c r="I8070" t="inlineStr">
        <is>
          <t>entidad-dia</t>
        </is>
      </c>
    </row>
    <row r="8071">
      <c r="A8071" t="inlineStr">
        <is>
          <t>PRAGMA</t>
        </is>
      </c>
      <c r="B8071" t="inlineStr">
        <is>
          <t>M2</t>
        </is>
      </c>
      <c r="C8071" t="inlineStr">
        <is>
          <t>Cali</t>
        </is>
      </c>
      <c r="D8071" t="inlineStr">
        <is>
          <t>9251</t>
        </is>
      </c>
      <c r="E8071" t="inlineStr">
        <is>
          <t>cash_in</t>
        </is>
      </c>
      <c r="F8071" s="23" t="n">
        <v>46272</v>
      </c>
      <c r="G8071" s="24">
        <f>F8071-DATE(2026,8,31)</f>
        <v>7</v>
      </c>
      <c r="H8071" s="25" t="n">
        <v>76480220</v>
      </c>
      <c r="I8071" t="inlineStr">
        <is>
          <t>entidad-dia</t>
        </is>
      </c>
    </row>
    <row r="8072">
      <c r="A8072" t="inlineStr">
        <is>
          <t>PRAGMA</t>
        </is>
      </c>
      <c r="B8072" t="inlineStr">
        <is>
          <t>M2</t>
        </is>
      </c>
      <c r="C8072" t="inlineStr">
        <is>
          <t>Cali</t>
        </is>
      </c>
      <c r="D8072" t="inlineStr">
        <is>
          <t>9251</t>
        </is>
      </c>
      <c r="E8072" t="inlineStr">
        <is>
          <t>pagado</t>
        </is>
      </c>
      <c r="F8072" s="23" t="n">
        <v>46273</v>
      </c>
      <c r="G8072" s="24">
        <f>F8072-DATE(2026,8,31)</f>
        <v>8</v>
      </c>
      <c r="H8072" s="25" t="n">
        <v>65262301</v>
      </c>
      <c r="I8072" t="inlineStr">
        <is>
          <t>entidad-dia</t>
        </is>
      </c>
    </row>
    <row r="8073">
      <c r="A8073" t="inlineStr">
        <is>
          <t>PRAGMA</t>
        </is>
      </c>
      <c r="B8073" t="inlineStr">
        <is>
          <t>M2</t>
        </is>
      </c>
      <c r="C8073" t="inlineStr">
        <is>
          <t>Cali</t>
        </is>
      </c>
      <c r="D8073" t="inlineStr">
        <is>
          <t>9251</t>
        </is>
      </c>
      <c r="E8073" t="inlineStr">
        <is>
          <t>cash_in</t>
        </is>
      </c>
      <c r="F8073" s="23" t="n">
        <v>46273</v>
      </c>
      <c r="G8073" s="24">
        <f>F8073-DATE(2026,8,31)</f>
        <v>8</v>
      </c>
      <c r="H8073" s="25" t="n">
        <v>77039039</v>
      </c>
      <c r="I8073" t="inlineStr">
        <is>
          <t>entidad-dia</t>
        </is>
      </c>
    </row>
    <row r="8074">
      <c r="A8074" t="inlineStr">
        <is>
          <t>PRAGMA</t>
        </is>
      </c>
      <c r="B8074" t="inlineStr">
        <is>
          <t>M2</t>
        </is>
      </c>
      <c r="C8074" t="inlineStr">
        <is>
          <t>Cali</t>
        </is>
      </c>
      <c r="D8074" t="inlineStr">
        <is>
          <t>9251</t>
        </is>
      </c>
      <c r="E8074" t="inlineStr">
        <is>
          <t>pagado</t>
        </is>
      </c>
      <c r="F8074" s="23" t="n">
        <v>46274</v>
      </c>
      <c r="G8074" s="24">
        <f>F8074-DATE(2026,8,31)</f>
        <v>9</v>
      </c>
      <c r="H8074" s="25" t="n">
        <v>66382542</v>
      </c>
      <c r="I8074" t="inlineStr">
        <is>
          <t>entidad-dia</t>
        </is>
      </c>
    </row>
    <row r="8075">
      <c r="A8075" t="inlineStr">
        <is>
          <t>PRAGMA</t>
        </is>
      </c>
      <c r="B8075" t="inlineStr">
        <is>
          <t>M2</t>
        </is>
      </c>
      <c r="C8075" t="inlineStr">
        <is>
          <t>Cali</t>
        </is>
      </c>
      <c r="D8075" t="inlineStr">
        <is>
          <t>9251</t>
        </is>
      </c>
      <c r="E8075" t="inlineStr">
        <is>
          <t>cash_in</t>
        </is>
      </c>
      <c r="F8075" s="23" t="n">
        <v>46274</v>
      </c>
      <c r="G8075" s="24">
        <f>F8075-DATE(2026,8,31)</f>
        <v>9</v>
      </c>
      <c r="H8075" s="25" t="n">
        <v>79729093</v>
      </c>
      <c r="I8075" t="inlineStr">
        <is>
          <t>entidad-dia</t>
        </is>
      </c>
    </row>
    <row r="8076">
      <c r="A8076" t="inlineStr">
        <is>
          <t>PRAGMA</t>
        </is>
      </c>
      <c r="B8076" t="inlineStr">
        <is>
          <t>M2</t>
        </is>
      </c>
      <c r="C8076" t="inlineStr">
        <is>
          <t>Cali</t>
        </is>
      </c>
      <c r="D8076" t="inlineStr">
        <is>
          <t>9251</t>
        </is>
      </c>
      <c r="E8076" t="inlineStr">
        <is>
          <t>pagado</t>
        </is>
      </c>
      <c r="F8076" s="23" t="n">
        <v>46275</v>
      </c>
      <c r="G8076" s="24">
        <f>F8076-DATE(2026,8,31)</f>
        <v>10</v>
      </c>
      <c r="H8076" s="25" t="n">
        <v>66835571</v>
      </c>
      <c r="I8076" t="inlineStr">
        <is>
          <t>entidad-dia</t>
        </is>
      </c>
    </row>
    <row r="8077">
      <c r="A8077" t="inlineStr">
        <is>
          <t>PRAGMA</t>
        </is>
      </c>
      <c r="B8077" t="inlineStr">
        <is>
          <t>M2</t>
        </is>
      </c>
      <c r="C8077" t="inlineStr">
        <is>
          <t>Cali</t>
        </is>
      </c>
      <c r="D8077" t="inlineStr">
        <is>
          <t>9251</t>
        </is>
      </c>
      <c r="E8077" t="inlineStr">
        <is>
          <t>cash_in</t>
        </is>
      </c>
      <c r="F8077" s="23" t="n">
        <v>46275</v>
      </c>
      <c r="G8077" s="24">
        <f>F8077-DATE(2026,8,31)</f>
        <v>10</v>
      </c>
      <c r="H8077" s="25" t="n">
        <v>77796454</v>
      </c>
      <c r="I8077" t="inlineStr">
        <is>
          <t>entidad-dia</t>
        </is>
      </c>
    </row>
    <row r="8078">
      <c r="A8078" t="inlineStr">
        <is>
          <t>PRAGMA</t>
        </is>
      </c>
      <c r="B8078" t="inlineStr">
        <is>
          <t>M2</t>
        </is>
      </c>
      <c r="C8078" t="inlineStr">
        <is>
          <t>Cali</t>
        </is>
      </c>
      <c r="D8078" t="inlineStr">
        <is>
          <t>9251</t>
        </is>
      </c>
      <c r="E8078" t="inlineStr">
        <is>
          <t>pagado</t>
        </is>
      </c>
      <c r="F8078" s="23" t="n">
        <v>46276</v>
      </c>
      <c r="G8078" s="24">
        <f>F8078-DATE(2026,8,31)</f>
        <v>11</v>
      </c>
      <c r="H8078" s="25" t="n">
        <v>74271470</v>
      </c>
      <c r="I8078" t="inlineStr">
        <is>
          <t>entidad-dia</t>
        </is>
      </c>
    </row>
    <row r="8079">
      <c r="A8079" t="inlineStr">
        <is>
          <t>PRAGMA</t>
        </is>
      </c>
      <c r="B8079" t="inlineStr">
        <is>
          <t>M2</t>
        </is>
      </c>
      <c r="C8079" t="inlineStr">
        <is>
          <t>Cali</t>
        </is>
      </c>
      <c r="D8079" t="inlineStr">
        <is>
          <t>9251</t>
        </is>
      </c>
      <c r="E8079" t="inlineStr">
        <is>
          <t>cash_in</t>
        </is>
      </c>
      <c r="F8079" s="23" t="n">
        <v>46276</v>
      </c>
      <c r="G8079" s="24">
        <f>F8079-DATE(2026,8,31)</f>
        <v>11</v>
      </c>
      <c r="H8079" s="25" t="n">
        <v>73010950</v>
      </c>
      <c r="I8079" t="inlineStr">
        <is>
          <t>entidad-dia</t>
        </is>
      </c>
    </row>
    <row r="8080">
      <c r="A8080" t="inlineStr">
        <is>
          <t>PRAGMA</t>
        </is>
      </c>
      <c r="B8080" t="inlineStr">
        <is>
          <t>M2</t>
        </is>
      </c>
      <c r="C8080" t="inlineStr">
        <is>
          <t>Cali</t>
        </is>
      </c>
      <c r="D8080" t="inlineStr">
        <is>
          <t>9251</t>
        </is>
      </c>
      <c r="E8080" t="inlineStr">
        <is>
          <t>pagado</t>
        </is>
      </c>
      <c r="F8080" s="23" t="n">
        <v>46277</v>
      </c>
      <c r="G8080" s="24">
        <f>F8080-DATE(2026,8,31)</f>
        <v>12</v>
      </c>
      <c r="H8080" s="25" t="n">
        <v>74354922</v>
      </c>
      <c r="I8080" t="inlineStr">
        <is>
          <t>entidad-dia</t>
        </is>
      </c>
    </row>
    <row r="8081">
      <c r="A8081" t="inlineStr">
        <is>
          <t>PRAGMA</t>
        </is>
      </c>
      <c r="B8081" t="inlineStr">
        <is>
          <t>M2</t>
        </is>
      </c>
      <c r="C8081" t="inlineStr">
        <is>
          <t>Cali</t>
        </is>
      </c>
      <c r="D8081" t="inlineStr">
        <is>
          <t>9251</t>
        </is>
      </c>
      <c r="E8081" t="inlineStr">
        <is>
          <t>cash_in</t>
        </is>
      </c>
      <c r="F8081" s="23" t="n">
        <v>46277</v>
      </c>
      <c r="G8081" s="24">
        <f>F8081-DATE(2026,8,31)</f>
        <v>12</v>
      </c>
      <c r="H8081" s="25" t="n">
        <v>62014690</v>
      </c>
      <c r="I8081" t="inlineStr">
        <is>
          <t>entidad-dia</t>
        </is>
      </c>
    </row>
    <row r="8082">
      <c r="A8082" t="inlineStr">
        <is>
          <t>PRAGMA</t>
        </is>
      </c>
      <c r="B8082" t="inlineStr">
        <is>
          <t>M2</t>
        </is>
      </c>
      <c r="C8082" t="inlineStr">
        <is>
          <t>Cali</t>
        </is>
      </c>
      <c r="D8082" t="inlineStr">
        <is>
          <t>9251</t>
        </is>
      </c>
      <c r="E8082" t="inlineStr">
        <is>
          <t>pagado</t>
        </is>
      </c>
      <c r="F8082" s="23" t="n">
        <v>46278</v>
      </c>
      <c r="G8082" s="24">
        <f>F8082-DATE(2026,8,31)</f>
        <v>13</v>
      </c>
      <c r="H8082" s="25" t="n">
        <v>41315134</v>
      </c>
      <c r="I8082" t="inlineStr">
        <is>
          <t>entidad-dia</t>
        </is>
      </c>
    </row>
    <row r="8083">
      <c r="A8083" t="inlineStr">
        <is>
          <t>PRAGMA</t>
        </is>
      </c>
      <c r="B8083" t="inlineStr">
        <is>
          <t>M2</t>
        </is>
      </c>
      <c r="C8083" t="inlineStr">
        <is>
          <t>Cali</t>
        </is>
      </c>
      <c r="D8083" t="inlineStr">
        <is>
          <t>9251</t>
        </is>
      </c>
      <c r="E8083" t="inlineStr">
        <is>
          <t>cash_in</t>
        </is>
      </c>
      <c r="F8083" s="23" t="n">
        <v>46278</v>
      </c>
      <c r="G8083" s="24">
        <f>F8083-DATE(2026,8,31)</f>
        <v>13</v>
      </c>
      <c r="H8083" s="25" t="n">
        <v>16726043</v>
      </c>
      <c r="I8083" t="inlineStr">
        <is>
          <t>entidad-dia</t>
        </is>
      </c>
    </row>
    <row r="8084">
      <c r="A8084" t="inlineStr">
        <is>
          <t>PRAGMA</t>
        </is>
      </c>
      <c r="B8084" t="inlineStr">
        <is>
          <t>M2</t>
        </is>
      </c>
      <c r="C8084" t="inlineStr">
        <is>
          <t>Cali</t>
        </is>
      </c>
      <c r="D8084" t="inlineStr">
        <is>
          <t>9251</t>
        </is>
      </c>
      <c r="E8084" t="inlineStr">
        <is>
          <t>pagado</t>
        </is>
      </c>
      <c r="F8084" s="23" t="n">
        <v>46279</v>
      </c>
      <c r="G8084" s="24">
        <f>F8084-DATE(2026,8,31)</f>
        <v>14</v>
      </c>
      <c r="H8084" s="25" t="n">
        <v>64410735</v>
      </c>
      <c r="I8084" t="inlineStr">
        <is>
          <t>entidad-dia</t>
        </is>
      </c>
    </row>
    <row r="8085">
      <c r="A8085" t="inlineStr">
        <is>
          <t>PRAGMA</t>
        </is>
      </c>
      <c r="B8085" t="inlineStr">
        <is>
          <t>M2</t>
        </is>
      </c>
      <c r="C8085" t="inlineStr">
        <is>
          <t>Cali</t>
        </is>
      </c>
      <c r="D8085" t="inlineStr">
        <is>
          <t>9251</t>
        </is>
      </c>
      <c r="E8085" t="inlineStr">
        <is>
          <t>cash_in</t>
        </is>
      </c>
      <c r="F8085" s="23" t="n">
        <v>46279</v>
      </c>
      <c r="G8085" s="24">
        <f>F8085-DATE(2026,8,31)</f>
        <v>14</v>
      </c>
      <c r="H8085" s="25" t="n">
        <v>75547068</v>
      </c>
      <c r="I8085" t="inlineStr">
        <is>
          <t>entidad-dia</t>
        </is>
      </c>
    </row>
    <row r="8086">
      <c r="A8086" t="inlineStr">
        <is>
          <t>PRAGMA</t>
        </is>
      </c>
      <c r="B8086" t="inlineStr">
        <is>
          <t>M2</t>
        </is>
      </c>
      <c r="C8086" t="inlineStr">
        <is>
          <t>Cali</t>
        </is>
      </c>
      <c r="D8086" t="inlineStr">
        <is>
          <t>9251</t>
        </is>
      </c>
      <c r="E8086" t="inlineStr">
        <is>
          <t>pagado</t>
        </is>
      </c>
      <c r="F8086" s="23" t="n">
        <v>46280</v>
      </c>
      <c r="G8086" s="24">
        <f>F8086-DATE(2026,8,31)</f>
        <v>15</v>
      </c>
      <c r="H8086" s="25" t="n">
        <v>92881731</v>
      </c>
      <c r="I8086" t="inlineStr">
        <is>
          <t>entidad-dia</t>
        </is>
      </c>
    </row>
    <row r="8087">
      <c r="A8087" t="inlineStr">
        <is>
          <t>PRAGMA</t>
        </is>
      </c>
      <c r="B8087" t="inlineStr">
        <is>
          <t>M2</t>
        </is>
      </c>
      <c r="C8087" t="inlineStr">
        <is>
          <t>Cali</t>
        </is>
      </c>
      <c r="D8087" t="inlineStr">
        <is>
          <t>9251</t>
        </is>
      </c>
      <c r="E8087" t="inlineStr">
        <is>
          <t>cash_in</t>
        </is>
      </c>
      <c r="F8087" s="23" t="n">
        <v>46280</v>
      </c>
      <c r="G8087" s="24">
        <f>F8087-DATE(2026,8,31)</f>
        <v>15</v>
      </c>
      <c r="H8087" s="25" t="n">
        <v>70398933</v>
      </c>
      <c r="I8087" t="inlineStr">
        <is>
          <t>entidad-dia</t>
        </is>
      </c>
    </row>
    <row r="8088">
      <c r="A8088" t="inlineStr">
        <is>
          <t>PRAGMA</t>
        </is>
      </c>
      <c r="B8088" t="inlineStr">
        <is>
          <t>M2</t>
        </is>
      </c>
      <c r="C8088" t="inlineStr">
        <is>
          <t>Cali</t>
        </is>
      </c>
      <c r="D8088" t="inlineStr">
        <is>
          <t>9311</t>
        </is>
      </c>
      <c r="E8088" t="inlineStr">
        <is>
          <t>pagado</t>
        </is>
      </c>
      <c r="F8088" s="23" t="n">
        <v>46266</v>
      </c>
      <c r="G8088" s="24">
        <f>F8088-DATE(2026,8,31)</f>
        <v>1</v>
      </c>
      <c r="H8088" s="25" t="n">
        <v>146381289</v>
      </c>
      <c r="I8088" t="inlineStr">
        <is>
          <t>entidad-dia</t>
        </is>
      </c>
    </row>
    <row r="8089">
      <c r="A8089" t="inlineStr">
        <is>
          <t>PRAGMA</t>
        </is>
      </c>
      <c r="B8089" t="inlineStr">
        <is>
          <t>M2</t>
        </is>
      </c>
      <c r="C8089" t="inlineStr">
        <is>
          <t>Cali</t>
        </is>
      </c>
      <c r="D8089" t="inlineStr">
        <is>
          <t>9311</t>
        </is>
      </c>
      <c r="E8089" t="inlineStr">
        <is>
          <t>cash_in</t>
        </is>
      </c>
      <c r="F8089" s="23" t="n">
        <v>46266</v>
      </c>
      <c r="G8089" s="24">
        <f>F8089-DATE(2026,8,31)</f>
        <v>1</v>
      </c>
      <c r="H8089" s="25" t="n">
        <v>42870485</v>
      </c>
      <c r="I8089" t="inlineStr">
        <is>
          <t>entidad-dia</t>
        </is>
      </c>
    </row>
    <row r="8090">
      <c r="A8090" t="inlineStr">
        <is>
          <t>PRAGMA</t>
        </is>
      </c>
      <c r="B8090" t="inlineStr">
        <is>
          <t>M2</t>
        </is>
      </c>
      <c r="C8090" t="inlineStr">
        <is>
          <t>Cali</t>
        </is>
      </c>
      <c r="D8090" t="inlineStr">
        <is>
          <t>9311</t>
        </is>
      </c>
      <c r="E8090" t="inlineStr">
        <is>
          <t>pagado</t>
        </is>
      </c>
      <c r="F8090" s="23" t="n">
        <v>46267</v>
      </c>
      <c r="G8090" s="24">
        <f>F8090-DATE(2026,8,31)</f>
        <v>2</v>
      </c>
      <c r="H8090" s="25" t="n">
        <v>108008868</v>
      </c>
      <c r="I8090" t="inlineStr">
        <is>
          <t>entidad-dia</t>
        </is>
      </c>
    </row>
    <row r="8091">
      <c r="A8091" t="inlineStr">
        <is>
          <t>PRAGMA</t>
        </is>
      </c>
      <c r="B8091" t="inlineStr">
        <is>
          <t>M2</t>
        </is>
      </c>
      <c r="C8091" t="inlineStr">
        <is>
          <t>Cali</t>
        </is>
      </c>
      <c r="D8091" t="inlineStr">
        <is>
          <t>9311</t>
        </is>
      </c>
      <c r="E8091" t="inlineStr">
        <is>
          <t>cash_in</t>
        </is>
      </c>
      <c r="F8091" s="23" t="n">
        <v>46267</v>
      </c>
      <c r="G8091" s="24">
        <f>F8091-DATE(2026,8,31)</f>
        <v>2</v>
      </c>
      <c r="H8091" s="25" t="n">
        <v>39096541</v>
      </c>
      <c r="I8091" t="inlineStr">
        <is>
          <t>entidad-dia</t>
        </is>
      </c>
    </row>
    <row r="8092">
      <c r="A8092" t="inlineStr">
        <is>
          <t>PRAGMA</t>
        </is>
      </c>
      <c r="B8092" t="inlineStr">
        <is>
          <t>M2</t>
        </is>
      </c>
      <c r="C8092" t="inlineStr">
        <is>
          <t>Cali</t>
        </is>
      </c>
      <c r="D8092" t="inlineStr">
        <is>
          <t>9311</t>
        </is>
      </c>
      <c r="E8092" t="inlineStr">
        <is>
          <t>pagado</t>
        </is>
      </c>
      <c r="F8092" s="23" t="n">
        <v>46268</v>
      </c>
      <c r="G8092" s="24">
        <f>F8092-DATE(2026,8,31)</f>
        <v>3</v>
      </c>
      <c r="H8092" s="25" t="n">
        <v>111410732</v>
      </c>
      <c r="I8092" t="inlineStr">
        <is>
          <t>entidad-dia</t>
        </is>
      </c>
    </row>
    <row r="8093">
      <c r="A8093" t="inlineStr">
        <is>
          <t>PRAGMA</t>
        </is>
      </c>
      <c r="B8093" t="inlineStr">
        <is>
          <t>M2</t>
        </is>
      </c>
      <c r="C8093" t="inlineStr">
        <is>
          <t>Cali</t>
        </is>
      </c>
      <c r="D8093" t="inlineStr">
        <is>
          <t>9311</t>
        </is>
      </c>
      <c r="E8093" t="inlineStr">
        <is>
          <t>cash_in</t>
        </is>
      </c>
      <c r="F8093" s="23" t="n">
        <v>46268</v>
      </c>
      <c r="G8093" s="24">
        <f>F8093-DATE(2026,8,31)</f>
        <v>3</v>
      </c>
      <c r="H8093" s="25" t="n">
        <v>38851298</v>
      </c>
      <c r="I8093" t="inlineStr">
        <is>
          <t>entidad-dia</t>
        </is>
      </c>
    </row>
    <row r="8094">
      <c r="A8094" t="inlineStr">
        <is>
          <t>PRAGMA</t>
        </is>
      </c>
      <c r="B8094" t="inlineStr">
        <is>
          <t>M2</t>
        </is>
      </c>
      <c r="C8094" t="inlineStr">
        <is>
          <t>Cali</t>
        </is>
      </c>
      <c r="D8094" t="inlineStr">
        <is>
          <t>9311</t>
        </is>
      </c>
      <c r="E8094" t="inlineStr">
        <is>
          <t>pagado</t>
        </is>
      </c>
      <c r="F8094" s="23" t="n">
        <v>46269</v>
      </c>
      <c r="G8094" s="24">
        <f>F8094-DATE(2026,8,31)</f>
        <v>4</v>
      </c>
      <c r="H8094" s="25" t="n">
        <v>116050039</v>
      </c>
      <c r="I8094" t="inlineStr">
        <is>
          <t>entidad-dia</t>
        </is>
      </c>
    </row>
    <row r="8095">
      <c r="A8095" t="inlineStr">
        <is>
          <t>PRAGMA</t>
        </is>
      </c>
      <c r="B8095" t="inlineStr">
        <is>
          <t>M2</t>
        </is>
      </c>
      <c r="C8095" t="inlineStr">
        <is>
          <t>Cali</t>
        </is>
      </c>
      <c r="D8095" t="inlineStr">
        <is>
          <t>9311</t>
        </is>
      </c>
      <c r="E8095" t="inlineStr">
        <is>
          <t>cash_in</t>
        </is>
      </c>
      <c r="F8095" s="23" t="n">
        <v>46269</v>
      </c>
      <c r="G8095" s="24">
        <f>F8095-DATE(2026,8,31)</f>
        <v>4</v>
      </c>
      <c r="H8095" s="25" t="n">
        <v>38176761</v>
      </c>
      <c r="I8095" t="inlineStr">
        <is>
          <t>entidad-dia</t>
        </is>
      </c>
    </row>
    <row r="8096">
      <c r="A8096" t="inlineStr">
        <is>
          <t>PRAGMA</t>
        </is>
      </c>
      <c r="B8096" t="inlineStr">
        <is>
          <t>M2</t>
        </is>
      </c>
      <c r="C8096" t="inlineStr">
        <is>
          <t>Cali</t>
        </is>
      </c>
      <c r="D8096" t="inlineStr">
        <is>
          <t>9311</t>
        </is>
      </c>
      <c r="E8096" t="inlineStr">
        <is>
          <t>pagado</t>
        </is>
      </c>
      <c r="F8096" s="23" t="n">
        <v>46270</v>
      </c>
      <c r="G8096" s="24">
        <f>F8096-DATE(2026,8,31)</f>
        <v>5</v>
      </c>
      <c r="H8096" s="25" t="n">
        <v>109997945</v>
      </c>
      <c r="I8096" t="inlineStr">
        <is>
          <t>entidad-dia</t>
        </is>
      </c>
    </row>
    <row r="8097">
      <c r="A8097" t="inlineStr">
        <is>
          <t>PRAGMA</t>
        </is>
      </c>
      <c r="B8097" t="inlineStr">
        <is>
          <t>M2</t>
        </is>
      </c>
      <c r="C8097" t="inlineStr">
        <is>
          <t>Cali</t>
        </is>
      </c>
      <c r="D8097" t="inlineStr">
        <is>
          <t>9311</t>
        </is>
      </c>
      <c r="E8097" t="inlineStr">
        <is>
          <t>cash_in</t>
        </is>
      </c>
      <c r="F8097" s="23" t="n">
        <v>46270</v>
      </c>
      <c r="G8097" s="24">
        <f>F8097-DATE(2026,8,31)</f>
        <v>5</v>
      </c>
      <c r="H8097" s="25" t="n">
        <v>35694039</v>
      </c>
      <c r="I8097" t="inlineStr">
        <is>
          <t>entidad-dia</t>
        </is>
      </c>
    </row>
    <row r="8098">
      <c r="A8098" t="inlineStr">
        <is>
          <t>PRAGMA</t>
        </is>
      </c>
      <c r="B8098" t="inlineStr">
        <is>
          <t>M2</t>
        </is>
      </c>
      <c r="C8098" t="inlineStr">
        <is>
          <t>Cali</t>
        </is>
      </c>
      <c r="D8098" t="inlineStr">
        <is>
          <t>9311</t>
        </is>
      </c>
      <c r="E8098" t="inlineStr">
        <is>
          <t>pagado</t>
        </is>
      </c>
      <c r="F8098" s="23" t="n">
        <v>46271</v>
      </c>
      <c r="G8098" s="24">
        <f>F8098-DATE(2026,8,31)</f>
        <v>6</v>
      </c>
      <c r="H8098" s="25" t="n">
        <v>53455125</v>
      </c>
      <c r="I8098" t="inlineStr">
        <is>
          <t>entidad-dia</t>
        </is>
      </c>
    </row>
    <row r="8099">
      <c r="A8099" t="inlineStr">
        <is>
          <t>PRAGMA</t>
        </is>
      </c>
      <c r="B8099" t="inlineStr">
        <is>
          <t>M2</t>
        </is>
      </c>
      <c r="C8099" t="inlineStr">
        <is>
          <t>Cali</t>
        </is>
      </c>
      <c r="D8099" t="inlineStr">
        <is>
          <t>9311</t>
        </is>
      </c>
      <c r="E8099" t="inlineStr">
        <is>
          <t>cash_in</t>
        </is>
      </c>
      <c r="F8099" s="23" t="n">
        <v>46271</v>
      </c>
      <c r="G8099" s="24">
        <f>F8099-DATE(2026,8,31)</f>
        <v>6</v>
      </c>
      <c r="H8099" s="25" t="n">
        <v>25507182</v>
      </c>
      <c r="I8099" t="inlineStr">
        <is>
          <t>entidad-dia</t>
        </is>
      </c>
    </row>
    <row r="8100">
      <c r="A8100" t="inlineStr">
        <is>
          <t>PRAGMA</t>
        </is>
      </c>
      <c r="B8100" t="inlineStr">
        <is>
          <t>M2</t>
        </is>
      </c>
      <c r="C8100" t="inlineStr">
        <is>
          <t>Cali</t>
        </is>
      </c>
      <c r="D8100" t="inlineStr">
        <is>
          <t>9311</t>
        </is>
      </c>
      <c r="E8100" t="inlineStr">
        <is>
          <t>pagado</t>
        </is>
      </c>
      <c r="F8100" s="23" t="n">
        <v>46272</v>
      </c>
      <c r="G8100" s="24">
        <f>F8100-DATE(2026,8,31)</f>
        <v>7</v>
      </c>
      <c r="H8100" s="25" t="n">
        <v>88463775</v>
      </c>
      <c r="I8100" t="inlineStr">
        <is>
          <t>entidad-dia</t>
        </is>
      </c>
    </row>
    <row r="8101">
      <c r="A8101" t="inlineStr">
        <is>
          <t>PRAGMA</t>
        </is>
      </c>
      <c r="B8101" t="inlineStr">
        <is>
          <t>M2</t>
        </is>
      </c>
      <c r="C8101" t="inlineStr">
        <is>
          <t>Cali</t>
        </is>
      </c>
      <c r="D8101" t="inlineStr">
        <is>
          <t>9311</t>
        </is>
      </c>
      <c r="E8101" t="inlineStr">
        <is>
          <t>cash_in</t>
        </is>
      </c>
      <c r="F8101" s="23" t="n">
        <v>46272</v>
      </c>
      <c r="G8101" s="24">
        <f>F8101-DATE(2026,8,31)</f>
        <v>7</v>
      </c>
      <c r="H8101" s="25" t="n">
        <v>40589205</v>
      </c>
      <c r="I8101" t="inlineStr">
        <is>
          <t>entidad-dia</t>
        </is>
      </c>
    </row>
    <row r="8102">
      <c r="A8102" t="inlineStr">
        <is>
          <t>PRAGMA</t>
        </is>
      </c>
      <c r="B8102" t="inlineStr">
        <is>
          <t>M2</t>
        </is>
      </c>
      <c r="C8102" t="inlineStr">
        <is>
          <t>Cali</t>
        </is>
      </c>
      <c r="D8102" t="inlineStr">
        <is>
          <t>9311</t>
        </is>
      </c>
      <c r="E8102" t="inlineStr">
        <is>
          <t>pagado</t>
        </is>
      </c>
      <c r="F8102" s="23" t="n">
        <v>46273</v>
      </c>
      <c r="G8102" s="24">
        <f>F8102-DATE(2026,8,31)</f>
        <v>8</v>
      </c>
      <c r="H8102" s="25" t="n">
        <v>80944131</v>
      </c>
      <c r="I8102" t="inlineStr">
        <is>
          <t>entidad-dia</t>
        </is>
      </c>
    </row>
    <row r="8103">
      <c r="A8103" t="inlineStr">
        <is>
          <t>PRAGMA</t>
        </is>
      </c>
      <c r="B8103" t="inlineStr">
        <is>
          <t>M2</t>
        </is>
      </c>
      <c r="C8103" t="inlineStr">
        <is>
          <t>Cali</t>
        </is>
      </c>
      <c r="D8103" t="inlineStr">
        <is>
          <t>9311</t>
        </is>
      </c>
      <c r="E8103" t="inlineStr">
        <is>
          <t>cash_in</t>
        </is>
      </c>
      <c r="F8103" s="23" t="n">
        <v>46273</v>
      </c>
      <c r="G8103" s="24">
        <f>F8103-DATE(2026,8,31)</f>
        <v>8</v>
      </c>
      <c r="H8103" s="25" t="n">
        <v>37788897</v>
      </c>
      <c r="I8103" t="inlineStr">
        <is>
          <t>entidad-dia</t>
        </is>
      </c>
    </row>
    <row r="8104">
      <c r="A8104" t="inlineStr">
        <is>
          <t>PRAGMA</t>
        </is>
      </c>
      <c r="B8104" t="inlineStr">
        <is>
          <t>M2</t>
        </is>
      </c>
      <c r="C8104" t="inlineStr">
        <is>
          <t>Cali</t>
        </is>
      </c>
      <c r="D8104" t="inlineStr">
        <is>
          <t>9311</t>
        </is>
      </c>
      <c r="E8104" t="inlineStr">
        <is>
          <t>pagado</t>
        </is>
      </c>
      <c r="F8104" s="23" t="n">
        <v>46274</v>
      </c>
      <c r="G8104" s="24">
        <f>F8104-DATE(2026,8,31)</f>
        <v>9</v>
      </c>
      <c r="H8104" s="25" t="n">
        <v>82589156</v>
      </c>
      <c r="I8104" t="inlineStr">
        <is>
          <t>entidad-dia</t>
        </is>
      </c>
    </row>
    <row r="8105">
      <c r="A8105" t="inlineStr">
        <is>
          <t>PRAGMA</t>
        </is>
      </c>
      <c r="B8105" t="inlineStr">
        <is>
          <t>M2</t>
        </is>
      </c>
      <c r="C8105" t="inlineStr">
        <is>
          <t>Cali</t>
        </is>
      </c>
      <c r="D8105" t="inlineStr">
        <is>
          <t>9311</t>
        </is>
      </c>
      <c r="E8105" t="inlineStr">
        <is>
          <t>cash_in</t>
        </is>
      </c>
      <c r="F8105" s="23" t="n">
        <v>46274</v>
      </c>
      <c r="G8105" s="24">
        <f>F8105-DATE(2026,8,31)</f>
        <v>9</v>
      </c>
      <c r="H8105" s="25" t="n">
        <v>35032094</v>
      </c>
      <c r="I8105" t="inlineStr">
        <is>
          <t>entidad-dia</t>
        </is>
      </c>
    </row>
    <row r="8106">
      <c r="A8106" t="inlineStr">
        <is>
          <t>PRAGMA</t>
        </is>
      </c>
      <c r="B8106" t="inlineStr">
        <is>
          <t>M2</t>
        </is>
      </c>
      <c r="C8106" t="inlineStr">
        <is>
          <t>Cali</t>
        </is>
      </c>
      <c r="D8106" t="inlineStr">
        <is>
          <t>9311</t>
        </is>
      </c>
      <c r="E8106" t="inlineStr">
        <is>
          <t>pagado</t>
        </is>
      </c>
      <c r="F8106" s="23" t="n">
        <v>46275</v>
      </c>
      <c r="G8106" s="24">
        <f>F8106-DATE(2026,8,31)</f>
        <v>10</v>
      </c>
      <c r="H8106" s="25" t="n">
        <v>82157578</v>
      </c>
      <c r="I8106" t="inlineStr">
        <is>
          <t>entidad-dia</t>
        </is>
      </c>
    </row>
    <row r="8107">
      <c r="A8107" t="inlineStr">
        <is>
          <t>PRAGMA</t>
        </is>
      </c>
      <c r="B8107" t="inlineStr">
        <is>
          <t>M2</t>
        </is>
      </c>
      <c r="C8107" t="inlineStr">
        <is>
          <t>Cali</t>
        </is>
      </c>
      <c r="D8107" t="inlineStr">
        <is>
          <t>9311</t>
        </is>
      </c>
      <c r="E8107" t="inlineStr">
        <is>
          <t>cash_in</t>
        </is>
      </c>
      <c r="F8107" s="23" t="n">
        <v>46275</v>
      </c>
      <c r="G8107" s="24">
        <f>F8107-DATE(2026,8,31)</f>
        <v>10</v>
      </c>
      <c r="H8107" s="25" t="n">
        <v>34786553</v>
      </c>
      <c r="I8107" t="inlineStr">
        <is>
          <t>entidad-dia</t>
        </is>
      </c>
    </row>
    <row r="8108">
      <c r="A8108" t="inlineStr">
        <is>
          <t>PRAGMA</t>
        </is>
      </c>
      <c r="B8108" t="inlineStr">
        <is>
          <t>M2</t>
        </is>
      </c>
      <c r="C8108" t="inlineStr">
        <is>
          <t>Cali</t>
        </is>
      </c>
      <c r="D8108" t="inlineStr">
        <is>
          <t>9311</t>
        </is>
      </c>
      <c r="E8108" t="inlineStr">
        <is>
          <t>pagado</t>
        </is>
      </c>
      <c r="F8108" s="23" t="n">
        <v>46276</v>
      </c>
      <c r="G8108" s="24">
        <f>F8108-DATE(2026,8,31)</f>
        <v>11</v>
      </c>
      <c r="H8108" s="25" t="n">
        <v>96881206</v>
      </c>
      <c r="I8108" t="inlineStr">
        <is>
          <t>entidad-dia</t>
        </is>
      </c>
    </row>
    <row r="8109">
      <c r="A8109" t="inlineStr">
        <is>
          <t>PRAGMA</t>
        </is>
      </c>
      <c r="B8109" t="inlineStr">
        <is>
          <t>M2</t>
        </is>
      </c>
      <c r="C8109" t="inlineStr">
        <is>
          <t>Cali</t>
        </is>
      </c>
      <c r="D8109" t="inlineStr">
        <is>
          <t>9311</t>
        </is>
      </c>
      <c r="E8109" t="inlineStr">
        <is>
          <t>cash_in</t>
        </is>
      </c>
      <c r="F8109" s="23" t="n">
        <v>46276</v>
      </c>
      <c r="G8109" s="24">
        <f>F8109-DATE(2026,8,31)</f>
        <v>11</v>
      </c>
      <c r="H8109" s="25" t="n">
        <v>33558842</v>
      </c>
      <c r="I8109" t="inlineStr">
        <is>
          <t>entidad-dia</t>
        </is>
      </c>
    </row>
    <row r="8110">
      <c r="A8110" t="inlineStr">
        <is>
          <t>PRAGMA</t>
        </is>
      </c>
      <c r="B8110" t="inlineStr">
        <is>
          <t>M2</t>
        </is>
      </c>
      <c r="C8110" t="inlineStr">
        <is>
          <t>Cali</t>
        </is>
      </c>
      <c r="D8110" t="inlineStr">
        <is>
          <t>9311</t>
        </is>
      </c>
      <c r="E8110" t="inlineStr">
        <is>
          <t>pagado</t>
        </is>
      </c>
      <c r="F8110" s="23" t="n">
        <v>46277</v>
      </c>
      <c r="G8110" s="24">
        <f>F8110-DATE(2026,8,31)</f>
        <v>12</v>
      </c>
      <c r="H8110" s="25" t="n">
        <v>95357500</v>
      </c>
      <c r="I8110" t="inlineStr">
        <is>
          <t>entidad-dia</t>
        </is>
      </c>
    </row>
    <row r="8111">
      <c r="A8111" t="inlineStr">
        <is>
          <t>PRAGMA</t>
        </is>
      </c>
      <c r="B8111" t="inlineStr">
        <is>
          <t>M2</t>
        </is>
      </c>
      <c r="C8111" t="inlineStr">
        <is>
          <t>Cali</t>
        </is>
      </c>
      <c r="D8111" t="inlineStr">
        <is>
          <t>9311</t>
        </is>
      </c>
      <c r="E8111" t="inlineStr">
        <is>
          <t>cash_in</t>
        </is>
      </c>
      <c r="F8111" s="23" t="n">
        <v>46277</v>
      </c>
      <c r="G8111" s="24">
        <f>F8111-DATE(2026,8,31)</f>
        <v>12</v>
      </c>
      <c r="H8111" s="25" t="n">
        <v>30327823</v>
      </c>
      <c r="I8111" t="inlineStr">
        <is>
          <t>entidad-dia</t>
        </is>
      </c>
    </row>
    <row r="8112">
      <c r="A8112" t="inlineStr">
        <is>
          <t>PRAGMA</t>
        </is>
      </c>
      <c r="B8112" t="inlineStr">
        <is>
          <t>M2</t>
        </is>
      </c>
      <c r="C8112" t="inlineStr">
        <is>
          <t>Cali</t>
        </is>
      </c>
      <c r="D8112" t="inlineStr">
        <is>
          <t>9311</t>
        </is>
      </c>
      <c r="E8112" t="inlineStr">
        <is>
          <t>pagado</t>
        </is>
      </c>
      <c r="F8112" s="23" t="n">
        <v>46278</v>
      </c>
      <c r="G8112" s="24">
        <f>F8112-DATE(2026,8,31)</f>
        <v>13</v>
      </c>
      <c r="H8112" s="25" t="n">
        <v>46797469</v>
      </c>
      <c r="I8112" t="inlineStr">
        <is>
          <t>entidad-dia</t>
        </is>
      </c>
    </row>
    <row r="8113">
      <c r="A8113" t="inlineStr">
        <is>
          <t>PRAGMA</t>
        </is>
      </c>
      <c r="B8113" t="inlineStr">
        <is>
          <t>M2</t>
        </is>
      </c>
      <c r="C8113" t="inlineStr">
        <is>
          <t>Cali</t>
        </is>
      </c>
      <c r="D8113" t="inlineStr">
        <is>
          <t>9311</t>
        </is>
      </c>
      <c r="E8113" t="inlineStr">
        <is>
          <t>cash_in</t>
        </is>
      </c>
      <c r="F8113" s="23" t="n">
        <v>46278</v>
      </c>
      <c r="G8113" s="24">
        <f>F8113-DATE(2026,8,31)</f>
        <v>13</v>
      </c>
      <c r="H8113" s="25" t="n">
        <v>23000452</v>
      </c>
      <c r="I8113" t="inlineStr">
        <is>
          <t>entidad-dia</t>
        </is>
      </c>
    </row>
    <row r="8114">
      <c r="A8114" t="inlineStr">
        <is>
          <t>PRAGMA</t>
        </is>
      </c>
      <c r="B8114" t="inlineStr">
        <is>
          <t>M2</t>
        </is>
      </c>
      <c r="C8114" t="inlineStr">
        <is>
          <t>Cali</t>
        </is>
      </c>
      <c r="D8114" t="inlineStr">
        <is>
          <t>9311</t>
        </is>
      </c>
      <c r="E8114" t="inlineStr">
        <is>
          <t>pagado</t>
        </is>
      </c>
      <c r="F8114" s="23" t="n">
        <v>46279</v>
      </c>
      <c r="G8114" s="24">
        <f>F8114-DATE(2026,8,31)</f>
        <v>14</v>
      </c>
      <c r="H8114" s="25" t="n">
        <v>81085880</v>
      </c>
      <c r="I8114" t="inlineStr">
        <is>
          <t>entidad-dia</t>
        </is>
      </c>
    </row>
    <row r="8115">
      <c r="A8115" t="inlineStr">
        <is>
          <t>PRAGMA</t>
        </is>
      </c>
      <c r="B8115" t="inlineStr">
        <is>
          <t>M2</t>
        </is>
      </c>
      <c r="C8115" t="inlineStr">
        <is>
          <t>Cali</t>
        </is>
      </c>
      <c r="D8115" t="inlineStr">
        <is>
          <t>9311</t>
        </is>
      </c>
      <c r="E8115" t="inlineStr">
        <is>
          <t>cash_in</t>
        </is>
      </c>
      <c r="F8115" s="23" t="n">
        <v>46279</v>
      </c>
      <c r="G8115" s="24">
        <f>F8115-DATE(2026,8,31)</f>
        <v>14</v>
      </c>
      <c r="H8115" s="25" t="n">
        <v>37651233</v>
      </c>
      <c r="I8115" t="inlineStr">
        <is>
          <t>entidad-dia</t>
        </is>
      </c>
    </row>
    <row r="8116">
      <c r="A8116" t="inlineStr">
        <is>
          <t>PRAGMA</t>
        </is>
      </c>
      <c r="B8116" t="inlineStr">
        <is>
          <t>M2</t>
        </is>
      </c>
      <c r="C8116" t="inlineStr">
        <is>
          <t>Cali</t>
        </is>
      </c>
      <c r="D8116" t="inlineStr">
        <is>
          <t>9311</t>
        </is>
      </c>
      <c r="E8116" t="inlineStr">
        <is>
          <t>pagado</t>
        </is>
      </c>
      <c r="F8116" s="23" t="n">
        <v>46280</v>
      </c>
      <c r="G8116" s="24">
        <f>F8116-DATE(2026,8,31)</f>
        <v>15</v>
      </c>
      <c r="H8116" s="25" t="n">
        <v>119270086</v>
      </c>
      <c r="I8116" t="inlineStr">
        <is>
          <t>entidad-dia</t>
        </is>
      </c>
    </row>
    <row r="8117">
      <c r="A8117" t="inlineStr">
        <is>
          <t>PRAGMA</t>
        </is>
      </c>
      <c r="B8117" t="inlineStr">
        <is>
          <t>M2</t>
        </is>
      </c>
      <c r="C8117" t="inlineStr">
        <is>
          <t>Cali</t>
        </is>
      </c>
      <c r="D8117" t="inlineStr">
        <is>
          <t>9311</t>
        </is>
      </c>
      <c r="E8117" t="inlineStr">
        <is>
          <t>cash_in</t>
        </is>
      </c>
      <c r="F8117" s="23" t="n">
        <v>46280</v>
      </c>
      <c r="G8117" s="24">
        <f>F8117-DATE(2026,8,31)</f>
        <v>15</v>
      </c>
      <c r="H8117" s="25" t="n">
        <v>38775536</v>
      </c>
      <c r="I8117" t="inlineStr">
        <is>
          <t>entidad-dia</t>
        </is>
      </c>
    </row>
    <row r="8118">
      <c r="A8118" t="inlineStr">
        <is>
          <t>PRAGMA</t>
        </is>
      </c>
      <c r="B8118" t="inlineStr">
        <is>
          <t>M2</t>
        </is>
      </c>
      <c r="C8118" t="inlineStr">
        <is>
          <t>Cali</t>
        </is>
      </c>
      <c r="D8118" t="inlineStr">
        <is>
          <t>9650</t>
        </is>
      </c>
      <c r="E8118" t="inlineStr">
        <is>
          <t>pagado</t>
        </is>
      </c>
      <c r="F8118" s="23" t="n">
        <v>46266</v>
      </c>
      <c r="G8118" s="24">
        <f>F8118-DATE(2026,8,31)</f>
        <v>1</v>
      </c>
      <c r="H8118" s="25" t="n">
        <v>47004415</v>
      </c>
      <c r="I8118" t="inlineStr">
        <is>
          <t>entidad-dia</t>
        </is>
      </c>
    </row>
    <row r="8119">
      <c r="A8119" t="inlineStr">
        <is>
          <t>PRAGMA</t>
        </is>
      </c>
      <c r="B8119" t="inlineStr">
        <is>
          <t>M2</t>
        </is>
      </c>
      <c r="C8119" t="inlineStr">
        <is>
          <t>Cali</t>
        </is>
      </c>
      <c r="D8119" t="inlineStr">
        <is>
          <t>9650</t>
        </is>
      </c>
      <c r="E8119" t="inlineStr">
        <is>
          <t>cash_in</t>
        </is>
      </c>
      <c r="F8119" s="23" t="n">
        <v>46266</v>
      </c>
      <c r="G8119" s="24">
        <f>F8119-DATE(2026,8,31)</f>
        <v>1</v>
      </c>
      <c r="H8119" s="25" t="n">
        <v>118425412</v>
      </c>
      <c r="I8119" t="inlineStr">
        <is>
          <t>entidad-dia</t>
        </is>
      </c>
    </row>
    <row r="8120">
      <c r="A8120" t="inlineStr">
        <is>
          <t>PRAGMA</t>
        </is>
      </c>
      <c r="B8120" t="inlineStr">
        <is>
          <t>M2</t>
        </is>
      </c>
      <c r="C8120" t="inlineStr">
        <is>
          <t>Cali</t>
        </is>
      </c>
      <c r="D8120" t="inlineStr">
        <is>
          <t>9650</t>
        </is>
      </c>
      <c r="E8120" t="inlineStr">
        <is>
          <t>pagado</t>
        </is>
      </c>
      <c r="F8120" s="23" t="n">
        <v>46267</v>
      </c>
      <c r="G8120" s="24">
        <f>F8120-DATE(2026,8,31)</f>
        <v>2</v>
      </c>
      <c r="H8120" s="25" t="n">
        <v>39102657</v>
      </c>
      <c r="I8120" t="inlineStr">
        <is>
          <t>entidad-dia</t>
        </is>
      </c>
    </row>
    <row r="8121">
      <c r="A8121" t="inlineStr">
        <is>
          <t>PRAGMA</t>
        </is>
      </c>
      <c r="B8121" t="inlineStr">
        <is>
          <t>M2</t>
        </is>
      </c>
      <c r="C8121" t="inlineStr">
        <is>
          <t>Cali</t>
        </is>
      </c>
      <c r="D8121" t="inlineStr">
        <is>
          <t>9650</t>
        </is>
      </c>
      <c r="E8121" t="inlineStr">
        <is>
          <t>cash_in</t>
        </is>
      </c>
      <c r="F8121" s="23" t="n">
        <v>46267</v>
      </c>
      <c r="G8121" s="24">
        <f>F8121-DATE(2026,8,31)</f>
        <v>2</v>
      </c>
      <c r="H8121" s="25" t="n">
        <v>122673661</v>
      </c>
      <c r="I8121" t="inlineStr">
        <is>
          <t>entidad-dia</t>
        </is>
      </c>
    </row>
    <row r="8122">
      <c r="A8122" t="inlineStr">
        <is>
          <t>PRAGMA</t>
        </is>
      </c>
      <c r="B8122" t="inlineStr">
        <is>
          <t>M2</t>
        </is>
      </c>
      <c r="C8122" t="inlineStr">
        <is>
          <t>Cali</t>
        </is>
      </c>
      <c r="D8122" t="inlineStr">
        <is>
          <t>9650</t>
        </is>
      </c>
      <c r="E8122" t="inlineStr">
        <is>
          <t>pagado</t>
        </is>
      </c>
      <c r="F8122" s="23" t="n">
        <v>46268</v>
      </c>
      <c r="G8122" s="24">
        <f>F8122-DATE(2026,8,31)</f>
        <v>3</v>
      </c>
      <c r="H8122" s="25" t="n">
        <v>35637243</v>
      </c>
      <c r="I8122" t="inlineStr">
        <is>
          <t>entidad-dia</t>
        </is>
      </c>
    </row>
    <row r="8123">
      <c r="A8123" t="inlineStr">
        <is>
          <t>PRAGMA</t>
        </is>
      </c>
      <c r="B8123" t="inlineStr">
        <is>
          <t>M2</t>
        </is>
      </c>
      <c r="C8123" t="inlineStr">
        <is>
          <t>Cali</t>
        </is>
      </c>
      <c r="D8123" t="inlineStr">
        <is>
          <t>9650</t>
        </is>
      </c>
      <c r="E8123" t="inlineStr">
        <is>
          <t>cash_in</t>
        </is>
      </c>
      <c r="F8123" s="23" t="n">
        <v>46268</v>
      </c>
      <c r="G8123" s="24">
        <f>F8123-DATE(2026,8,31)</f>
        <v>3</v>
      </c>
      <c r="H8123" s="25" t="n">
        <v>110693644</v>
      </c>
      <c r="I8123" t="inlineStr">
        <is>
          <t>entidad-dia</t>
        </is>
      </c>
    </row>
    <row r="8124">
      <c r="A8124" t="inlineStr">
        <is>
          <t>PRAGMA</t>
        </is>
      </c>
      <c r="B8124" t="inlineStr">
        <is>
          <t>M2</t>
        </is>
      </c>
      <c r="C8124" t="inlineStr">
        <is>
          <t>Cali</t>
        </is>
      </c>
      <c r="D8124" t="inlineStr">
        <is>
          <t>9650</t>
        </is>
      </c>
      <c r="E8124" t="inlineStr">
        <is>
          <t>pagado</t>
        </is>
      </c>
      <c r="F8124" s="23" t="n">
        <v>46269</v>
      </c>
      <c r="G8124" s="24">
        <f>F8124-DATE(2026,8,31)</f>
        <v>4</v>
      </c>
      <c r="H8124" s="25" t="n">
        <v>34275571</v>
      </c>
      <c r="I8124" t="inlineStr">
        <is>
          <t>entidad-dia</t>
        </is>
      </c>
    </row>
    <row r="8125">
      <c r="A8125" t="inlineStr">
        <is>
          <t>PRAGMA</t>
        </is>
      </c>
      <c r="B8125" t="inlineStr">
        <is>
          <t>M2</t>
        </is>
      </c>
      <c r="C8125" t="inlineStr">
        <is>
          <t>Cali</t>
        </is>
      </c>
      <c r="D8125" t="inlineStr">
        <is>
          <t>9650</t>
        </is>
      </c>
      <c r="E8125" t="inlineStr">
        <is>
          <t>cash_in</t>
        </is>
      </c>
      <c r="F8125" s="23" t="n">
        <v>46269</v>
      </c>
      <c r="G8125" s="24">
        <f>F8125-DATE(2026,8,31)</f>
        <v>4</v>
      </c>
      <c r="H8125" s="25" t="n">
        <v>122086262</v>
      </c>
      <c r="I8125" t="inlineStr">
        <is>
          <t>entidad-dia</t>
        </is>
      </c>
    </row>
    <row r="8126">
      <c r="A8126" t="inlineStr">
        <is>
          <t>PRAGMA</t>
        </is>
      </c>
      <c r="B8126" t="inlineStr">
        <is>
          <t>M2</t>
        </is>
      </c>
      <c r="C8126" t="inlineStr">
        <is>
          <t>Cali</t>
        </is>
      </c>
      <c r="D8126" t="inlineStr">
        <is>
          <t>9650</t>
        </is>
      </c>
      <c r="E8126" t="inlineStr">
        <is>
          <t>pagado</t>
        </is>
      </c>
      <c r="F8126" s="23" t="n">
        <v>46270</v>
      </c>
      <c r="G8126" s="24">
        <f>F8126-DATE(2026,8,31)</f>
        <v>5</v>
      </c>
      <c r="H8126" s="25" t="n">
        <v>32437365</v>
      </c>
      <c r="I8126" t="inlineStr">
        <is>
          <t>entidad-dia</t>
        </is>
      </c>
    </row>
    <row r="8127">
      <c r="A8127" t="inlineStr">
        <is>
          <t>PRAGMA</t>
        </is>
      </c>
      <c r="B8127" t="inlineStr">
        <is>
          <t>M2</t>
        </is>
      </c>
      <c r="C8127" t="inlineStr">
        <is>
          <t>Cali</t>
        </is>
      </c>
      <c r="D8127" t="inlineStr">
        <is>
          <t>9650</t>
        </is>
      </c>
      <c r="E8127" t="inlineStr">
        <is>
          <t>cash_in</t>
        </is>
      </c>
      <c r="F8127" s="23" t="n">
        <v>46270</v>
      </c>
      <c r="G8127" s="24">
        <f>F8127-DATE(2026,8,31)</f>
        <v>5</v>
      </c>
      <c r="H8127" s="25" t="n">
        <v>99807026</v>
      </c>
      <c r="I8127" t="inlineStr">
        <is>
          <t>entidad-dia</t>
        </is>
      </c>
    </row>
    <row r="8128">
      <c r="A8128" t="inlineStr">
        <is>
          <t>PRAGMA</t>
        </is>
      </c>
      <c r="B8128" t="inlineStr">
        <is>
          <t>M2</t>
        </is>
      </c>
      <c r="C8128" t="inlineStr">
        <is>
          <t>Cali</t>
        </is>
      </c>
      <c r="D8128" t="inlineStr">
        <is>
          <t>9650</t>
        </is>
      </c>
      <c r="E8128" t="inlineStr">
        <is>
          <t>pagado</t>
        </is>
      </c>
      <c r="F8128" s="23" t="n">
        <v>46271</v>
      </c>
      <c r="G8128" s="24">
        <f>F8128-DATE(2026,8,31)</f>
        <v>6</v>
      </c>
      <c r="H8128" s="25" t="n">
        <v>14990735</v>
      </c>
      <c r="I8128" t="inlineStr">
        <is>
          <t>entidad-dia</t>
        </is>
      </c>
    </row>
    <row r="8129">
      <c r="A8129" t="inlineStr">
        <is>
          <t>PRAGMA</t>
        </is>
      </c>
      <c r="B8129" t="inlineStr">
        <is>
          <t>M2</t>
        </is>
      </c>
      <c r="C8129" t="inlineStr">
        <is>
          <t>Cali</t>
        </is>
      </c>
      <c r="D8129" t="inlineStr">
        <is>
          <t>9650</t>
        </is>
      </c>
      <c r="E8129" t="inlineStr">
        <is>
          <t>cash_in</t>
        </is>
      </c>
      <c r="F8129" s="23" t="n">
        <v>46271</v>
      </c>
      <c r="G8129" s="24">
        <f>F8129-DATE(2026,8,31)</f>
        <v>6</v>
      </c>
      <c r="H8129" s="25" t="n">
        <v>14393358</v>
      </c>
      <c r="I8129" t="inlineStr">
        <is>
          <t>entidad-dia</t>
        </is>
      </c>
    </row>
    <row r="8130">
      <c r="A8130" t="inlineStr">
        <is>
          <t>PRAGMA</t>
        </is>
      </c>
      <c r="B8130" t="inlineStr">
        <is>
          <t>M2</t>
        </is>
      </c>
      <c r="C8130" t="inlineStr">
        <is>
          <t>Cali</t>
        </is>
      </c>
      <c r="D8130" t="inlineStr">
        <is>
          <t>9650</t>
        </is>
      </c>
      <c r="E8130" t="inlineStr">
        <is>
          <t>pagado</t>
        </is>
      </c>
      <c r="F8130" s="23" t="n">
        <v>46272</v>
      </c>
      <c r="G8130" s="24">
        <f>F8130-DATE(2026,8,31)</f>
        <v>7</v>
      </c>
      <c r="H8130" s="25" t="n">
        <v>31328017</v>
      </c>
      <c r="I8130" t="inlineStr">
        <is>
          <t>entidad-dia</t>
        </is>
      </c>
    </row>
    <row r="8131">
      <c r="A8131" t="inlineStr">
        <is>
          <t>PRAGMA</t>
        </is>
      </c>
      <c r="B8131" t="inlineStr">
        <is>
          <t>M2</t>
        </is>
      </c>
      <c r="C8131" t="inlineStr">
        <is>
          <t>Cali</t>
        </is>
      </c>
      <c r="D8131" t="inlineStr">
        <is>
          <t>9650</t>
        </is>
      </c>
      <c r="E8131" t="inlineStr">
        <is>
          <t>cash_in</t>
        </is>
      </c>
      <c r="F8131" s="23" t="n">
        <v>46272</v>
      </c>
      <c r="G8131" s="24">
        <f>F8131-DATE(2026,8,31)</f>
        <v>7</v>
      </c>
      <c r="H8131" s="25" t="n">
        <v>138975819</v>
      </c>
      <c r="I8131" t="inlineStr">
        <is>
          <t>entidad-dia</t>
        </is>
      </c>
    </row>
    <row r="8132">
      <c r="A8132" t="inlineStr">
        <is>
          <t>PRAGMA</t>
        </is>
      </c>
      <c r="B8132" t="inlineStr">
        <is>
          <t>M2</t>
        </is>
      </c>
      <c r="C8132" t="inlineStr">
        <is>
          <t>Cali</t>
        </is>
      </c>
      <c r="D8132" t="inlineStr">
        <is>
          <t>9650</t>
        </is>
      </c>
      <c r="E8132" t="inlineStr">
        <is>
          <t>pagado</t>
        </is>
      </c>
      <c r="F8132" s="23" t="n">
        <v>46273</v>
      </c>
      <c r="G8132" s="24">
        <f>F8132-DATE(2026,8,31)</f>
        <v>8</v>
      </c>
      <c r="H8132" s="25" t="n">
        <v>25818914</v>
      </c>
      <c r="I8132" t="inlineStr">
        <is>
          <t>entidad-dia</t>
        </is>
      </c>
    </row>
    <row r="8133">
      <c r="A8133" t="inlineStr">
        <is>
          <t>PRAGMA</t>
        </is>
      </c>
      <c r="B8133" t="inlineStr">
        <is>
          <t>M2</t>
        </is>
      </c>
      <c r="C8133" t="inlineStr">
        <is>
          <t>Cali</t>
        </is>
      </c>
      <c r="D8133" t="inlineStr">
        <is>
          <t>9650</t>
        </is>
      </c>
      <c r="E8133" t="inlineStr">
        <is>
          <t>cash_in</t>
        </is>
      </c>
      <c r="F8133" s="23" t="n">
        <v>46273</v>
      </c>
      <c r="G8133" s="24">
        <f>F8133-DATE(2026,8,31)</f>
        <v>8</v>
      </c>
      <c r="H8133" s="25" t="n">
        <v>136971722</v>
      </c>
      <c r="I8133" t="inlineStr">
        <is>
          <t>entidad-dia</t>
        </is>
      </c>
    </row>
    <row r="8134">
      <c r="A8134" t="inlineStr">
        <is>
          <t>PRAGMA</t>
        </is>
      </c>
      <c r="B8134" t="inlineStr">
        <is>
          <t>M2</t>
        </is>
      </c>
      <c r="C8134" t="inlineStr">
        <is>
          <t>Cali</t>
        </is>
      </c>
      <c r="D8134" t="inlineStr">
        <is>
          <t>9650</t>
        </is>
      </c>
      <c r="E8134" t="inlineStr">
        <is>
          <t>pagado</t>
        </is>
      </c>
      <c r="F8134" s="23" t="n">
        <v>46274</v>
      </c>
      <c r="G8134" s="24">
        <f>F8134-DATE(2026,8,31)</f>
        <v>9</v>
      </c>
      <c r="H8134" s="25" t="n">
        <v>23085870</v>
      </c>
      <c r="I8134" t="inlineStr">
        <is>
          <t>entidad-dia</t>
        </is>
      </c>
    </row>
    <row r="8135">
      <c r="A8135" t="inlineStr">
        <is>
          <t>PRAGMA</t>
        </is>
      </c>
      <c r="B8135" t="inlineStr">
        <is>
          <t>M2</t>
        </is>
      </c>
      <c r="C8135" t="inlineStr">
        <is>
          <t>Cali</t>
        </is>
      </c>
      <c r="D8135" t="inlineStr">
        <is>
          <t>9650</t>
        </is>
      </c>
      <c r="E8135" t="inlineStr">
        <is>
          <t>cash_in</t>
        </is>
      </c>
      <c r="F8135" s="23" t="n">
        <v>46274</v>
      </c>
      <c r="G8135" s="24">
        <f>F8135-DATE(2026,8,31)</f>
        <v>9</v>
      </c>
      <c r="H8135" s="25" t="n">
        <v>124173810</v>
      </c>
      <c r="I8135" t="inlineStr">
        <is>
          <t>entidad-dia</t>
        </is>
      </c>
    </row>
    <row r="8136">
      <c r="A8136" t="inlineStr">
        <is>
          <t>PRAGMA</t>
        </is>
      </c>
      <c r="B8136" t="inlineStr">
        <is>
          <t>M2</t>
        </is>
      </c>
      <c r="C8136" t="inlineStr">
        <is>
          <t>Cali</t>
        </is>
      </c>
      <c r="D8136" t="inlineStr">
        <is>
          <t>9650</t>
        </is>
      </c>
      <c r="E8136" t="inlineStr">
        <is>
          <t>pagado</t>
        </is>
      </c>
      <c r="F8136" s="23" t="n">
        <v>46275</v>
      </c>
      <c r="G8136" s="24">
        <f>F8136-DATE(2026,8,31)</f>
        <v>10</v>
      </c>
      <c r="H8136" s="25" t="n">
        <v>21371072</v>
      </c>
      <c r="I8136" t="inlineStr">
        <is>
          <t>entidad-dia</t>
        </is>
      </c>
    </row>
    <row r="8137">
      <c r="A8137" t="inlineStr">
        <is>
          <t>PRAGMA</t>
        </is>
      </c>
      <c r="B8137" t="inlineStr">
        <is>
          <t>M2</t>
        </is>
      </c>
      <c r="C8137" t="inlineStr">
        <is>
          <t>Cali</t>
        </is>
      </c>
      <c r="D8137" t="inlineStr">
        <is>
          <t>9650</t>
        </is>
      </c>
      <c r="E8137" t="inlineStr">
        <is>
          <t>cash_in</t>
        </is>
      </c>
      <c r="F8137" s="23" t="n">
        <v>46275</v>
      </c>
      <c r="G8137" s="24">
        <f>F8137-DATE(2026,8,31)</f>
        <v>10</v>
      </c>
      <c r="H8137" s="25" t="n">
        <v>111018516</v>
      </c>
      <c r="I8137" t="inlineStr">
        <is>
          <t>entidad-dia</t>
        </is>
      </c>
    </row>
    <row r="8138">
      <c r="A8138" t="inlineStr">
        <is>
          <t>PRAGMA</t>
        </is>
      </c>
      <c r="B8138" t="inlineStr">
        <is>
          <t>M2</t>
        </is>
      </c>
      <c r="C8138" t="inlineStr">
        <is>
          <t>Cali</t>
        </is>
      </c>
      <c r="D8138" t="inlineStr">
        <is>
          <t>9650</t>
        </is>
      </c>
      <c r="E8138" t="inlineStr">
        <is>
          <t>pagado</t>
        </is>
      </c>
      <c r="F8138" s="23" t="n">
        <v>46276</v>
      </c>
      <c r="G8138" s="24">
        <f>F8138-DATE(2026,8,31)</f>
        <v>11</v>
      </c>
      <c r="H8138" s="25" t="n">
        <v>23668625</v>
      </c>
      <c r="I8138" t="inlineStr">
        <is>
          <t>entidad-dia</t>
        </is>
      </c>
    </row>
    <row r="8139">
      <c r="A8139" t="inlineStr">
        <is>
          <t>PRAGMA</t>
        </is>
      </c>
      <c r="B8139" t="inlineStr">
        <is>
          <t>M2</t>
        </is>
      </c>
      <c r="C8139" t="inlineStr">
        <is>
          <t>Cali</t>
        </is>
      </c>
      <c r="D8139" t="inlineStr">
        <is>
          <t>9650</t>
        </is>
      </c>
      <c r="E8139" t="inlineStr">
        <is>
          <t>cash_in</t>
        </is>
      </c>
      <c r="F8139" s="23" t="n">
        <v>46276</v>
      </c>
      <c r="G8139" s="24">
        <f>F8139-DATE(2026,8,31)</f>
        <v>11</v>
      </c>
      <c r="H8139" s="25" t="n">
        <v>118010964</v>
      </c>
      <c r="I8139" t="inlineStr">
        <is>
          <t>entidad-dia</t>
        </is>
      </c>
    </row>
    <row r="8140">
      <c r="A8140" t="inlineStr">
        <is>
          <t>PRAGMA</t>
        </is>
      </c>
      <c r="B8140" t="inlineStr">
        <is>
          <t>M2</t>
        </is>
      </c>
      <c r="C8140" t="inlineStr">
        <is>
          <t>Cali</t>
        </is>
      </c>
      <c r="D8140" t="inlineStr">
        <is>
          <t>9650</t>
        </is>
      </c>
      <c r="E8140" t="inlineStr">
        <is>
          <t>pagado</t>
        </is>
      </c>
      <c r="F8140" s="23" t="n">
        <v>46277</v>
      </c>
      <c r="G8140" s="24">
        <f>F8140-DATE(2026,8,31)</f>
        <v>12</v>
      </c>
      <c r="H8140" s="25" t="n">
        <v>23587240</v>
      </c>
      <c r="I8140" t="inlineStr">
        <is>
          <t>entidad-dia</t>
        </is>
      </c>
    </row>
    <row r="8141">
      <c r="A8141" t="inlineStr">
        <is>
          <t>PRAGMA</t>
        </is>
      </c>
      <c r="B8141" t="inlineStr">
        <is>
          <t>M2</t>
        </is>
      </c>
      <c r="C8141" t="inlineStr">
        <is>
          <t>Cali</t>
        </is>
      </c>
      <c r="D8141" t="inlineStr">
        <is>
          <t>9650</t>
        </is>
      </c>
      <c r="E8141" t="inlineStr">
        <is>
          <t>cash_in</t>
        </is>
      </c>
      <c r="F8141" s="23" t="n">
        <v>46277</v>
      </c>
      <c r="G8141" s="24">
        <f>F8141-DATE(2026,8,31)</f>
        <v>12</v>
      </c>
      <c r="H8141" s="25" t="n">
        <v>91876474</v>
      </c>
      <c r="I8141" t="inlineStr">
        <is>
          <t>entidad-dia</t>
        </is>
      </c>
    </row>
    <row r="8142">
      <c r="A8142" t="inlineStr">
        <is>
          <t>PRAGMA</t>
        </is>
      </c>
      <c r="B8142" t="inlineStr">
        <is>
          <t>M2</t>
        </is>
      </c>
      <c r="C8142" t="inlineStr">
        <is>
          <t>Cali</t>
        </is>
      </c>
      <c r="D8142" t="inlineStr">
        <is>
          <t>9650</t>
        </is>
      </c>
      <c r="E8142" t="inlineStr">
        <is>
          <t>pagado</t>
        </is>
      </c>
      <c r="F8142" s="23" t="n">
        <v>46278</v>
      </c>
      <c r="G8142" s="24">
        <f>F8142-DATE(2026,8,31)</f>
        <v>13</v>
      </c>
      <c r="H8142" s="25" t="n">
        <v>11065822</v>
      </c>
      <c r="I8142" t="inlineStr">
        <is>
          <t>entidad-dia</t>
        </is>
      </c>
    </row>
    <row r="8143">
      <c r="A8143" t="inlineStr">
        <is>
          <t>PRAGMA</t>
        </is>
      </c>
      <c r="B8143" t="inlineStr">
        <is>
          <t>M2</t>
        </is>
      </c>
      <c r="C8143" t="inlineStr">
        <is>
          <t>Cali</t>
        </is>
      </c>
      <c r="D8143" t="inlineStr">
        <is>
          <t>9650</t>
        </is>
      </c>
      <c r="E8143" t="inlineStr">
        <is>
          <t>cash_in</t>
        </is>
      </c>
      <c r="F8143" s="23" t="n">
        <v>46278</v>
      </c>
      <c r="G8143" s="24">
        <f>F8143-DATE(2026,8,31)</f>
        <v>13</v>
      </c>
      <c r="H8143" s="25" t="n">
        <v>11446062</v>
      </c>
      <c r="I8143" t="inlineStr">
        <is>
          <t>entidad-dia</t>
        </is>
      </c>
    </row>
    <row r="8144">
      <c r="A8144" t="inlineStr">
        <is>
          <t>PRAGMA</t>
        </is>
      </c>
      <c r="B8144" t="inlineStr">
        <is>
          <t>M2</t>
        </is>
      </c>
      <c r="C8144" t="inlineStr">
        <is>
          <t>Cali</t>
        </is>
      </c>
      <c r="D8144" t="inlineStr">
        <is>
          <t>9650</t>
        </is>
      </c>
      <c r="E8144" t="inlineStr">
        <is>
          <t>pagado</t>
        </is>
      </c>
      <c r="F8144" s="23" t="n">
        <v>46279</v>
      </c>
      <c r="G8144" s="24">
        <f>F8144-DATE(2026,8,31)</f>
        <v>14</v>
      </c>
      <c r="H8144" s="25" t="n">
        <v>28272229</v>
      </c>
      <c r="I8144" t="inlineStr">
        <is>
          <t>entidad-dia</t>
        </is>
      </c>
    </row>
    <row r="8145">
      <c r="A8145" t="inlineStr">
        <is>
          <t>PRAGMA</t>
        </is>
      </c>
      <c r="B8145" t="inlineStr">
        <is>
          <t>M2</t>
        </is>
      </c>
      <c r="C8145" t="inlineStr">
        <is>
          <t>Cali</t>
        </is>
      </c>
      <c r="D8145" t="inlineStr">
        <is>
          <t>9650</t>
        </is>
      </c>
      <c r="E8145" t="inlineStr">
        <is>
          <t>cash_in</t>
        </is>
      </c>
      <c r="F8145" s="23" t="n">
        <v>46279</v>
      </c>
      <c r="G8145" s="24">
        <f>F8145-DATE(2026,8,31)</f>
        <v>14</v>
      </c>
      <c r="H8145" s="25" t="n">
        <v>136092380</v>
      </c>
      <c r="I8145" t="inlineStr">
        <is>
          <t>entidad-dia</t>
        </is>
      </c>
    </row>
    <row r="8146">
      <c r="A8146" t="inlineStr">
        <is>
          <t>PRAGMA</t>
        </is>
      </c>
      <c r="B8146" t="inlineStr">
        <is>
          <t>M2</t>
        </is>
      </c>
      <c r="C8146" t="inlineStr">
        <is>
          <t>Cali</t>
        </is>
      </c>
      <c r="D8146" t="inlineStr">
        <is>
          <t>9650</t>
        </is>
      </c>
      <c r="E8146" t="inlineStr">
        <is>
          <t>pagado</t>
        </is>
      </c>
      <c r="F8146" s="23" t="n">
        <v>46280</v>
      </c>
      <c r="G8146" s="24">
        <f>F8146-DATE(2026,8,31)</f>
        <v>15</v>
      </c>
      <c r="H8146" s="25" t="n">
        <v>38529633</v>
      </c>
      <c r="I8146" t="inlineStr">
        <is>
          <t>entidad-dia</t>
        </is>
      </c>
    </row>
    <row r="8147">
      <c r="A8147" t="inlineStr">
        <is>
          <t>PRAGMA</t>
        </is>
      </c>
      <c r="B8147" t="inlineStr">
        <is>
          <t>M2</t>
        </is>
      </c>
      <c r="C8147" t="inlineStr">
        <is>
          <t>Cali</t>
        </is>
      </c>
      <c r="D8147" t="inlineStr">
        <is>
          <t>9650</t>
        </is>
      </c>
      <c r="E8147" t="inlineStr">
        <is>
          <t>cash_in</t>
        </is>
      </c>
      <c r="F8147" s="23" t="n">
        <v>46280</v>
      </c>
      <c r="G8147" s="24">
        <f>F8147-DATE(2026,8,31)</f>
        <v>15</v>
      </c>
      <c r="H8147" s="25" t="n">
        <v>127468280</v>
      </c>
      <c r="I8147" t="inlineStr">
        <is>
          <t>entidad-dia</t>
        </is>
      </c>
    </row>
    <row r="8148">
      <c r="A8148" t="inlineStr">
        <is>
          <t>PRAGMA</t>
        </is>
      </c>
      <c r="B8148" t="inlineStr">
        <is>
          <t>M2</t>
        </is>
      </c>
      <c r="C8148" t="inlineStr">
        <is>
          <t>Cali</t>
        </is>
      </c>
      <c r="D8148" t="inlineStr">
        <is>
          <t>9983</t>
        </is>
      </c>
      <c r="E8148" t="inlineStr">
        <is>
          <t>pagado</t>
        </is>
      </c>
      <c r="F8148" s="23" t="n">
        <v>46266</v>
      </c>
      <c r="G8148" s="24">
        <f>F8148-DATE(2026,8,31)</f>
        <v>1</v>
      </c>
      <c r="H8148" s="25" t="n">
        <v>25578879</v>
      </c>
      <c r="I8148" t="inlineStr">
        <is>
          <t>entidad-dia</t>
        </is>
      </c>
    </row>
    <row r="8149">
      <c r="A8149" t="inlineStr">
        <is>
          <t>PRAGMA</t>
        </is>
      </c>
      <c r="B8149" t="inlineStr">
        <is>
          <t>M2</t>
        </is>
      </c>
      <c r="C8149" t="inlineStr">
        <is>
          <t>Cali</t>
        </is>
      </c>
      <c r="D8149" t="inlineStr">
        <is>
          <t>9983</t>
        </is>
      </c>
      <c r="E8149" t="inlineStr">
        <is>
          <t>cash_in</t>
        </is>
      </c>
      <c r="F8149" s="23" t="n">
        <v>46266</v>
      </c>
      <c r="G8149" s="24">
        <f>F8149-DATE(2026,8,31)</f>
        <v>1</v>
      </c>
      <c r="H8149" s="25" t="n">
        <v>136071730</v>
      </c>
      <c r="I8149" t="inlineStr">
        <is>
          <t>entidad-dia</t>
        </is>
      </c>
    </row>
    <row r="8150">
      <c r="A8150" t="inlineStr">
        <is>
          <t>PRAGMA</t>
        </is>
      </c>
      <c r="B8150" t="inlineStr">
        <is>
          <t>M2</t>
        </is>
      </c>
      <c r="C8150" t="inlineStr">
        <is>
          <t>Cali</t>
        </is>
      </c>
      <c r="D8150" t="inlineStr">
        <is>
          <t>9983</t>
        </is>
      </c>
      <c r="E8150" t="inlineStr">
        <is>
          <t>pagado</t>
        </is>
      </c>
      <c r="F8150" s="23" t="n">
        <v>46267</v>
      </c>
      <c r="G8150" s="24">
        <f>F8150-DATE(2026,8,31)</f>
        <v>2</v>
      </c>
      <c r="H8150" s="25" t="n">
        <v>22184602</v>
      </c>
      <c r="I8150" t="inlineStr">
        <is>
          <t>entidad-dia</t>
        </is>
      </c>
    </row>
    <row r="8151">
      <c r="A8151" t="inlineStr">
        <is>
          <t>PRAGMA</t>
        </is>
      </c>
      <c r="B8151" t="inlineStr">
        <is>
          <t>M2</t>
        </is>
      </c>
      <c r="C8151" t="inlineStr">
        <is>
          <t>Cali</t>
        </is>
      </c>
      <c r="D8151" t="inlineStr">
        <is>
          <t>9983</t>
        </is>
      </c>
      <c r="E8151" t="inlineStr">
        <is>
          <t>cash_in</t>
        </is>
      </c>
      <c r="F8151" s="23" t="n">
        <v>46267</v>
      </c>
      <c r="G8151" s="24">
        <f>F8151-DATE(2026,8,31)</f>
        <v>2</v>
      </c>
      <c r="H8151" s="25" t="n">
        <v>119245558</v>
      </c>
      <c r="I8151" t="inlineStr">
        <is>
          <t>entidad-dia</t>
        </is>
      </c>
    </row>
    <row r="8152">
      <c r="A8152" t="inlineStr">
        <is>
          <t>PRAGMA</t>
        </is>
      </c>
      <c r="B8152" t="inlineStr">
        <is>
          <t>M2</t>
        </is>
      </c>
      <c r="C8152" t="inlineStr">
        <is>
          <t>Cali</t>
        </is>
      </c>
      <c r="D8152" t="inlineStr">
        <is>
          <t>9983</t>
        </is>
      </c>
      <c r="E8152" t="inlineStr">
        <is>
          <t>pagado</t>
        </is>
      </c>
      <c r="F8152" s="23" t="n">
        <v>46268</v>
      </c>
      <c r="G8152" s="24">
        <f>F8152-DATE(2026,8,31)</f>
        <v>3</v>
      </c>
      <c r="H8152" s="25" t="n">
        <v>17150175</v>
      </c>
      <c r="I8152" t="inlineStr">
        <is>
          <t>entidad-dia</t>
        </is>
      </c>
    </row>
    <row r="8153">
      <c r="A8153" t="inlineStr">
        <is>
          <t>PRAGMA</t>
        </is>
      </c>
      <c r="B8153" t="inlineStr">
        <is>
          <t>M2</t>
        </is>
      </c>
      <c r="C8153" t="inlineStr">
        <is>
          <t>Cali</t>
        </is>
      </c>
      <c r="D8153" t="inlineStr">
        <is>
          <t>9983</t>
        </is>
      </c>
      <c r="E8153" t="inlineStr">
        <is>
          <t>cash_in</t>
        </is>
      </c>
      <c r="F8153" s="23" t="n">
        <v>46268</v>
      </c>
      <c r="G8153" s="24">
        <f>F8153-DATE(2026,8,31)</f>
        <v>3</v>
      </c>
      <c r="H8153" s="25" t="n">
        <v>122538793</v>
      </c>
      <c r="I8153" t="inlineStr">
        <is>
          <t>entidad-dia</t>
        </is>
      </c>
    </row>
    <row r="8154">
      <c r="A8154" t="inlineStr">
        <is>
          <t>PRAGMA</t>
        </is>
      </c>
      <c r="B8154" t="inlineStr">
        <is>
          <t>M2</t>
        </is>
      </c>
      <c r="C8154" t="inlineStr">
        <is>
          <t>Cali</t>
        </is>
      </c>
      <c r="D8154" t="inlineStr">
        <is>
          <t>9983</t>
        </is>
      </c>
      <c r="E8154" t="inlineStr">
        <is>
          <t>pagado</t>
        </is>
      </c>
      <c r="F8154" s="23" t="n">
        <v>46269</v>
      </c>
      <c r="G8154" s="24">
        <f>F8154-DATE(2026,8,31)</f>
        <v>4</v>
      </c>
      <c r="H8154" s="25" t="n">
        <v>17683232</v>
      </c>
      <c r="I8154" t="inlineStr">
        <is>
          <t>entidad-dia</t>
        </is>
      </c>
    </row>
    <row r="8155">
      <c r="A8155" t="inlineStr">
        <is>
          <t>PRAGMA</t>
        </is>
      </c>
      <c r="B8155" t="inlineStr">
        <is>
          <t>M2</t>
        </is>
      </c>
      <c r="C8155" t="inlineStr">
        <is>
          <t>Cali</t>
        </is>
      </c>
      <c r="D8155" t="inlineStr">
        <is>
          <t>9983</t>
        </is>
      </c>
      <c r="E8155" t="inlineStr">
        <is>
          <t>cash_in</t>
        </is>
      </c>
      <c r="F8155" s="23" t="n">
        <v>46269</v>
      </c>
      <c r="G8155" s="24">
        <f>F8155-DATE(2026,8,31)</f>
        <v>4</v>
      </c>
      <c r="H8155" s="25" t="n">
        <v>128689879</v>
      </c>
      <c r="I8155" t="inlineStr">
        <is>
          <t>entidad-dia</t>
        </is>
      </c>
    </row>
    <row r="8156">
      <c r="A8156" t="inlineStr">
        <is>
          <t>PRAGMA</t>
        </is>
      </c>
      <c r="B8156" t="inlineStr">
        <is>
          <t>M2</t>
        </is>
      </c>
      <c r="C8156" t="inlineStr">
        <is>
          <t>Cali</t>
        </is>
      </c>
      <c r="D8156" t="inlineStr">
        <is>
          <t>9983</t>
        </is>
      </c>
      <c r="E8156" t="inlineStr">
        <is>
          <t>pagado</t>
        </is>
      </c>
      <c r="F8156" s="23" t="n">
        <v>46270</v>
      </c>
      <c r="G8156" s="24">
        <f>F8156-DATE(2026,8,31)</f>
        <v>5</v>
      </c>
      <c r="H8156" s="25" t="n">
        <v>14970716</v>
      </c>
      <c r="I8156" t="inlineStr">
        <is>
          <t>entidad-dia</t>
        </is>
      </c>
    </row>
    <row r="8157">
      <c r="A8157" t="inlineStr">
        <is>
          <t>PRAGMA</t>
        </is>
      </c>
      <c r="B8157" t="inlineStr">
        <is>
          <t>M2</t>
        </is>
      </c>
      <c r="C8157" t="inlineStr">
        <is>
          <t>Cali</t>
        </is>
      </c>
      <c r="D8157" t="inlineStr">
        <is>
          <t>9983</t>
        </is>
      </c>
      <c r="E8157" t="inlineStr">
        <is>
          <t>cash_in</t>
        </is>
      </c>
      <c r="F8157" s="23" t="n">
        <v>46270</v>
      </c>
      <c r="G8157" s="24">
        <f>F8157-DATE(2026,8,31)</f>
        <v>5</v>
      </c>
      <c r="H8157" s="25" t="n">
        <v>133055311</v>
      </c>
      <c r="I8157" t="inlineStr">
        <is>
          <t>entidad-dia</t>
        </is>
      </c>
    </row>
    <row r="8158">
      <c r="A8158" t="inlineStr">
        <is>
          <t>PRAGMA</t>
        </is>
      </c>
      <c r="B8158" t="inlineStr">
        <is>
          <t>M2</t>
        </is>
      </c>
      <c r="C8158" t="inlineStr">
        <is>
          <t>Cali</t>
        </is>
      </c>
      <c r="D8158" t="inlineStr">
        <is>
          <t>9983</t>
        </is>
      </c>
      <c r="E8158" t="inlineStr">
        <is>
          <t>pagado</t>
        </is>
      </c>
      <c r="F8158" s="23" t="n">
        <v>46271</v>
      </c>
      <c r="G8158" s="24">
        <f>F8158-DATE(2026,8,31)</f>
        <v>6</v>
      </c>
      <c r="H8158" s="25" t="n">
        <v>7012095</v>
      </c>
      <c r="I8158" t="inlineStr">
        <is>
          <t>entidad-dia</t>
        </is>
      </c>
    </row>
    <row r="8159">
      <c r="A8159" t="inlineStr">
        <is>
          <t>PRAGMA</t>
        </is>
      </c>
      <c r="B8159" t="inlineStr">
        <is>
          <t>M2</t>
        </is>
      </c>
      <c r="C8159" t="inlineStr">
        <is>
          <t>Cali</t>
        </is>
      </c>
      <c r="D8159" t="inlineStr">
        <is>
          <t>9983</t>
        </is>
      </c>
      <c r="E8159" t="inlineStr">
        <is>
          <t>cash_in</t>
        </is>
      </c>
      <c r="F8159" s="23" t="n">
        <v>46271</v>
      </c>
      <c r="G8159" s="24">
        <f>F8159-DATE(2026,8,31)</f>
        <v>6</v>
      </c>
      <c r="H8159" s="25" t="n">
        <v>77323307</v>
      </c>
      <c r="I8159" t="inlineStr">
        <is>
          <t>entidad-dia</t>
        </is>
      </c>
    </row>
    <row r="8160">
      <c r="A8160" t="inlineStr">
        <is>
          <t>PRAGMA</t>
        </is>
      </c>
      <c r="B8160" t="inlineStr">
        <is>
          <t>M2</t>
        </is>
      </c>
      <c r="C8160" t="inlineStr">
        <is>
          <t>Cali</t>
        </is>
      </c>
      <c r="D8160" t="inlineStr">
        <is>
          <t>9983</t>
        </is>
      </c>
      <c r="E8160" t="inlineStr">
        <is>
          <t>pagado</t>
        </is>
      </c>
      <c r="F8160" s="23" t="n">
        <v>46272</v>
      </c>
      <c r="G8160" s="24">
        <f>F8160-DATE(2026,8,31)</f>
        <v>7</v>
      </c>
      <c r="H8160" s="25" t="n">
        <v>13972552</v>
      </c>
      <c r="I8160" t="inlineStr">
        <is>
          <t>entidad-dia</t>
        </is>
      </c>
    </row>
    <row r="8161">
      <c r="A8161" t="inlineStr">
        <is>
          <t>PRAGMA</t>
        </is>
      </c>
      <c r="B8161" t="inlineStr">
        <is>
          <t>M2</t>
        </is>
      </c>
      <c r="C8161" t="inlineStr">
        <is>
          <t>Cali</t>
        </is>
      </c>
      <c r="D8161" t="inlineStr">
        <is>
          <t>9983</t>
        </is>
      </c>
      <c r="E8161" t="inlineStr">
        <is>
          <t>cash_in</t>
        </is>
      </c>
      <c r="F8161" s="23" t="n">
        <v>46272</v>
      </c>
      <c r="G8161" s="24">
        <f>F8161-DATE(2026,8,31)</f>
        <v>7</v>
      </c>
      <c r="H8161" s="25" t="n">
        <v>138853790</v>
      </c>
      <c r="I8161" t="inlineStr">
        <is>
          <t>entidad-dia</t>
        </is>
      </c>
    </row>
    <row r="8162">
      <c r="A8162" t="inlineStr">
        <is>
          <t>PRAGMA</t>
        </is>
      </c>
      <c r="B8162" t="inlineStr">
        <is>
          <t>M2</t>
        </is>
      </c>
      <c r="C8162" t="inlineStr">
        <is>
          <t>Cali</t>
        </is>
      </c>
      <c r="D8162" t="inlineStr">
        <is>
          <t>9983</t>
        </is>
      </c>
      <c r="E8162" t="inlineStr">
        <is>
          <t>pagado</t>
        </is>
      </c>
      <c r="F8162" s="23" t="n">
        <v>46273</v>
      </c>
      <c r="G8162" s="24">
        <f>F8162-DATE(2026,8,31)</f>
        <v>8</v>
      </c>
      <c r="H8162" s="25" t="n">
        <v>12704027</v>
      </c>
      <c r="I8162" t="inlineStr">
        <is>
          <t>entidad-dia</t>
        </is>
      </c>
    </row>
    <row r="8163">
      <c r="A8163" t="inlineStr">
        <is>
          <t>PRAGMA</t>
        </is>
      </c>
      <c r="B8163" t="inlineStr">
        <is>
          <t>M2</t>
        </is>
      </c>
      <c r="C8163" t="inlineStr">
        <is>
          <t>Cali</t>
        </is>
      </c>
      <c r="D8163" t="inlineStr">
        <is>
          <t>9983</t>
        </is>
      </c>
      <c r="E8163" t="inlineStr">
        <is>
          <t>cash_in</t>
        </is>
      </c>
      <c r="F8163" s="23" t="n">
        <v>46273</v>
      </c>
      <c r="G8163" s="24">
        <f>F8163-DATE(2026,8,31)</f>
        <v>8</v>
      </c>
      <c r="H8163" s="25" t="n">
        <v>119083275</v>
      </c>
      <c r="I8163" t="inlineStr">
        <is>
          <t>entidad-dia</t>
        </is>
      </c>
    </row>
    <row r="8164">
      <c r="A8164" t="inlineStr">
        <is>
          <t>PRAGMA</t>
        </is>
      </c>
      <c r="B8164" t="inlineStr">
        <is>
          <t>M2</t>
        </is>
      </c>
      <c r="C8164" t="inlineStr">
        <is>
          <t>Cali</t>
        </is>
      </c>
      <c r="D8164" t="inlineStr">
        <is>
          <t>9983</t>
        </is>
      </c>
      <c r="E8164" t="inlineStr">
        <is>
          <t>pagado</t>
        </is>
      </c>
      <c r="F8164" s="23" t="n">
        <v>46274</v>
      </c>
      <c r="G8164" s="24">
        <f>F8164-DATE(2026,8,31)</f>
        <v>9</v>
      </c>
      <c r="H8164" s="25" t="n">
        <v>13329029</v>
      </c>
      <c r="I8164" t="inlineStr">
        <is>
          <t>entidad-dia</t>
        </is>
      </c>
    </row>
    <row r="8165">
      <c r="A8165" t="inlineStr">
        <is>
          <t>PRAGMA</t>
        </is>
      </c>
      <c r="B8165" t="inlineStr">
        <is>
          <t>M2</t>
        </is>
      </c>
      <c r="C8165" t="inlineStr">
        <is>
          <t>Cali</t>
        </is>
      </c>
      <c r="D8165" t="inlineStr">
        <is>
          <t>9983</t>
        </is>
      </c>
      <c r="E8165" t="inlineStr">
        <is>
          <t>cash_in</t>
        </is>
      </c>
      <c r="F8165" s="23" t="n">
        <v>46274</v>
      </c>
      <c r="G8165" s="24">
        <f>F8165-DATE(2026,8,31)</f>
        <v>9</v>
      </c>
      <c r="H8165" s="25" t="n">
        <v>105121412</v>
      </c>
      <c r="I8165" t="inlineStr">
        <is>
          <t>entidad-dia</t>
        </is>
      </c>
    </row>
    <row r="8166">
      <c r="A8166" t="inlineStr">
        <is>
          <t>PRAGMA</t>
        </is>
      </c>
      <c r="B8166" t="inlineStr">
        <is>
          <t>M2</t>
        </is>
      </c>
      <c r="C8166" t="inlineStr">
        <is>
          <t>Cali</t>
        </is>
      </c>
      <c r="D8166" t="inlineStr">
        <is>
          <t>9983</t>
        </is>
      </c>
      <c r="E8166" t="inlineStr">
        <is>
          <t>pagado</t>
        </is>
      </c>
      <c r="F8166" s="23" t="n">
        <v>46275</v>
      </c>
      <c r="G8166" s="24">
        <f>F8166-DATE(2026,8,31)</f>
        <v>10</v>
      </c>
      <c r="H8166" s="25" t="n">
        <v>12155181</v>
      </c>
      <c r="I8166" t="inlineStr">
        <is>
          <t>entidad-dia</t>
        </is>
      </c>
    </row>
    <row r="8167">
      <c r="A8167" t="inlineStr">
        <is>
          <t>PRAGMA</t>
        </is>
      </c>
      <c r="B8167" t="inlineStr">
        <is>
          <t>M2</t>
        </is>
      </c>
      <c r="C8167" t="inlineStr">
        <is>
          <t>Cali</t>
        </is>
      </c>
      <c r="D8167" t="inlineStr">
        <is>
          <t>9983</t>
        </is>
      </c>
      <c r="E8167" t="inlineStr">
        <is>
          <t>cash_in</t>
        </is>
      </c>
      <c r="F8167" s="23" t="n">
        <v>46275</v>
      </c>
      <c r="G8167" s="24">
        <f>F8167-DATE(2026,8,31)</f>
        <v>10</v>
      </c>
      <c r="H8167" s="25" t="n">
        <v>107757151</v>
      </c>
      <c r="I8167" t="inlineStr">
        <is>
          <t>entidad-dia</t>
        </is>
      </c>
    </row>
    <row r="8168">
      <c r="A8168" t="inlineStr">
        <is>
          <t>PRAGMA</t>
        </is>
      </c>
      <c r="B8168" t="inlineStr">
        <is>
          <t>M2</t>
        </is>
      </c>
      <c r="C8168" t="inlineStr">
        <is>
          <t>Cali</t>
        </is>
      </c>
      <c r="D8168" t="inlineStr">
        <is>
          <t>9983</t>
        </is>
      </c>
      <c r="E8168" t="inlineStr">
        <is>
          <t>pagado</t>
        </is>
      </c>
      <c r="F8168" s="23" t="n">
        <v>46276</v>
      </c>
      <c r="G8168" s="24">
        <f>F8168-DATE(2026,8,31)</f>
        <v>11</v>
      </c>
      <c r="H8168" s="25" t="n">
        <v>13114779</v>
      </c>
      <c r="I8168" t="inlineStr">
        <is>
          <t>entidad-dia</t>
        </is>
      </c>
    </row>
    <row r="8169">
      <c r="A8169" t="inlineStr">
        <is>
          <t>PRAGMA</t>
        </is>
      </c>
      <c r="B8169" t="inlineStr">
        <is>
          <t>M2</t>
        </is>
      </c>
      <c r="C8169" t="inlineStr">
        <is>
          <t>Cali</t>
        </is>
      </c>
      <c r="D8169" t="inlineStr">
        <is>
          <t>9983</t>
        </is>
      </c>
      <c r="E8169" t="inlineStr">
        <is>
          <t>cash_in</t>
        </is>
      </c>
      <c r="F8169" s="23" t="n">
        <v>46276</v>
      </c>
      <c r="G8169" s="24">
        <f>F8169-DATE(2026,8,31)</f>
        <v>11</v>
      </c>
      <c r="H8169" s="25" t="n">
        <v>110772318</v>
      </c>
      <c r="I8169" t="inlineStr">
        <is>
          <t>entidad-dia</t>
        </is>
      </c>
    </row>
    <row r="8170">
      <c r="A8170" t="inlineStr">
        <is>
          <t>PRAGMA</t>
        </is>
      </c>
      <c r="B8170" t="inlineStr">
        <is>
          <t>M2</t>
        </is>
      </c>
      <c r="C8170" t="inlineStr">
        <is>
          <t>Cali</t>
        </is>
      </c>
      <c r="D8170" t="inlineStr">
        <is>
          <t>9983</t>
        </is>
      </c>
      <c r="E8170" t="inlineStr">
        <is>
          <t>pagado</t>
        </is>
      </c>
      <c r="F8170" s="23" t="n">
        <v>46277</v>
      </c>
      <c r="G8170" s="24">
        <f>F8170-DATE(2026,8,31)</f>
        <v>12</v>
      </c>
      <c r="H8170" s="25" t="n">
        <v>11064704</v>
      </c>
      <c r="I8170" t="inlineStr">
        <is>
          <t>entidad-dia</t>
        </is>
      </c>
    </row>
    <row r="8171">
      <c r="A8171" t="inlineStr">
        <is>
          <t>PRAGMA</t>
        </is>
      </c>
      <c r="B8171" t="inlineStr">
        <is>
          <t>M2</t>
        </is>
      </c>
      <c r="C8171" t="inlineStr">
        <is>
          <t>Cali</t>
        </is>
      </c>
      <c r="D8171" t="inlineStr">
        <is>
          <t>9983</t>
        </is>
      </c>
      <c r="E8171" t="inlineStr">
        <is>
          <t>cash_in</t>
        </is>
      </c>
      <c r="F8171" s="23" t="n">
        <v>46277</v>
      </c>
      <c r="G8171" s="24">
        <f>F8171-DATE(2026,8,31)</f>
        <v>12</v>
      </c>
      <c r="H8171" s="25" t="n">
        <v>105668841</v>
      </c>
      <c r="I8171" t="inlineStr">
        <is>
          <t>entidad-dia</t>
        </is>
      </c>
    </row>
    <row r="8172">
      <c r="A8172" t="inlineStr">
        <is>
          <t>PRAGMA</t>
        </is>
      </c>
      <c r="B8172" t="inlineStr">
        <is>
          <t>M2</t>
        </is>
      </c>
      <c r="C8172" t="inlineStr">
        <is>
          <t>Cali</t>
        </is>
      </c>
      <c r="D8172" t="inlineStr">
        <is>
          <t>9983</t>
        </is>
      </c>
      <c r="E8172" t="inlineStr">
        <is>
          <t>pagado</t>
        </is>
      </c>
      <c r="F8172" s="23" t="n">
        <v>46278</v>
      </c>
      <c r="G8172" s="24">
        <f>F8172-DATE(2026,8,31)</f>
        <v>13</v>
      </c>
      <c r="H8172" s="25" t="n">
        <v>5460807</v>
      </c>
      <c r="I8172" t="inlineStr">
        <is>
          <t>entidad-dia</t>
        </is>
      </c>
    </row>
    <row r="8173">
      <c r="A8173" t="inlineStr">
        <is>
          <t>PRAGMA</t>
        </is>
      </c>
      <c r="B8173" t="inlineStr">
        <is>
          <t>M2</t>
        </is>
      </c>
      <c r="C8173" t="inlineStr">
        <is>
          <t>Cali</t>
        </is>
      </c>
      <c r="D8173" t="inlineStr">
        <is>
          <t>9983</t>
        </is>
      </c>
      <c r="E8173" t="inlineStr">
        <is>
          <t>cash_in</t>
        </is>
      </c>
      <c r="F8173" s="23" t="n">
        <v>46278</v>
      </c>
      <c r="G8173" s="24">
        <f>F8173-DATE(2026,8,31)</f>
        <v>13</v>
      </c>
      <c r="H8173" s="25" t="n">
        <v>58577919</v>
      </c>
      <c r="I8173" t="inlineStr">
        <is>
          <t>entidad-dia</t>
        </is>
      </c>
    </row>
    <row r="8174">
      <c r="A8174" t="inlineStr">
        <is>
          <t>PRAGMA</t>
        </is>
      </c>
      <c r="B8174" t="inlineStr">
        <is>
          <t>M2</t>
        </is>
      </c>
      <c r="C8174" t="inlineStr">
        <is>
          <t>Cali</t>
        </is>
      </c>
      <c r="D8174" t="inlineStr">
        <is>
          <t>9983</t>
        </is>
      </c>
      <c r="E8174" t="inlineStr">
        <is>
          <t>pagado</t>
        </is>
      </c>
      <c r="F8174" s="23" t="n">
        <v>46279</v>
      </c>
      <c r="G8174" s="24">
        <f>F8174-DATE(2026,8,31)</f>
        <v>14</v>
      </c>
      <c r="H8174" s="25" t="n">
        <v>10937605</v>
      </c>
      <c r="I8174" t="inlineStr">
        <is>
          <t>entidad-dia</t>
        </is>
      </c>
    </row>
    <row r="8175">
      <c r="A8175" t="inlineStr">
        <is>
          <t>PRAGMA</t>
        </is>
      </c>
      <c r="B8175" t="inlineStr">
        <is>
          <t>M2</t>
        </is>
      </c>
      <c r="C8175" t="inlineStr">
        <is>
          <t>Cali</t>
        </is>
      </c>
      <c r="D8175" t="inlineStr">
        <is>
          <t>9983</t>
        </is>
      </c>
      <c r="E8175" t="inlineStr">
        <is>
          <t>cash_in</t>
        </is>
      </c>
      <c r="F8175" s="23" t="n">
        <v>46279</v>
      </c>
      <c r="G8175" s="24">
        <f>F8175-DATE(2026,8,31)</f>
        <v>14</v>
      </c>
      <c r="H8175" s="25" t="n">
        <v>116118577</v>
      </c>
      <c r="I8175" t="inlineStr">
        <is>
          <t>entidad-dia</t>
        </is>
      </c>
    </row>
    <row r="8176">
      <c r="A8176" t="inlineStr">
        <is>
          <t>PRAGMA</t>
        </is>
      </c>
      <c r="B8176" t="inlineStr">
        <is>
          <t>M2</t>
        </is>
      </c>
      <c r="C8176" t="inlineStr">
        <is>
          <t>Cali</t>
        </is>
      </c>
      <c r="D8176" t="inlineStr">
        <is>
          <t>9983</t>
        </is>
      </c>
      <c r="E8176" t="inlineStr">
        <is>
          <t>pagado</t>
        </is>
      </c>
      <c r="F8176" s="23" t="n">
        <v>46280</v>
      </c>
      <c r="G8176" s="24">
        <f>F8176-DATE(2026,8,31)</f>
        <v>15</v>
      </c>
      <c r="H8176" s="25" t="n">
        <v>16895644</v>
      </c>
      <c r="I8176" t="inlineStr">
        <is>
          <t>entidad-dia</t>
        </is>
      </c>
    </row>
    <row r="8177">
      <c r="A8177" t="inlineStr">
        <is>
          <t>PRAGMA</t>
        </is>
      </c>
      <c r="B8177" t="inlineStr">
        <is>
          <t>M2</t>
        </is>
      </c>
      <c r="C8177" t="inlineStr">
        <is>
          <t>Cali</t>
        </is>
      </c>
      <c r="D8177" t="inlineStr">
        <is>
          <t>9983</t>
        </is>
      </c>
      <c r="E8177" t="inlineStr">
        <is>
          <t>cash_in</t>
        </is>
      </c>
      <c r="F8177" s="23" t="n">
        <v>46280</v>
      </c>
      <c r="G8177" s="24">
        <f>F8177-DATE(2026,8,31)</f>
        <v>15</v>
      </c>
      <c r="H8177" s="25" t="n">
        <v>129146461</v>
      </c>
      <c r="I8177" t="inlineStr">
        <is>
          <t>entidad-dia</t>
        </is>
      </c>
    </row>
    <row r="8178">
      <c r="A8178" t="inlineStr">
        <is>
          <t>PRAGMA</t>
        </is>
      </c>
      <c r="B8178" t="inlineStr">
        <is>
          <t>M2</t>
        </is>
      </c>
      <c r="C8178" t="inlineStr">
        <is>
          <t>Cali</t>
        </is>
      </c>
      <c r="D8178" t="inlineStr">
        <is>
          <t>9984</t>
        </is>
      </c>
      <c r="E8178" t="inlineStr">
        <is>
          <t>pagado</t>
        </is>
      </c>
      <c r="F8178" s="23" t="n">
        <v>46266</v>
      </c>
      <c r="G8178" s="24">
        <f>F8178-DATE(2026,8,31)</f>
        <v>1</v>
      </c>
      <c r="H8178" s="25" t="n">
        <v>9602506</v>
      </c>
      <c r="I8178" t="inlineStr">
        <is>
          <t>entidad-dia</t>
        </is>
      </c>
    </row>
    <row r="8179">
      <c r="A8179" t="inlineStr">
        <is>
          <t>PRAGMA</t>
        </is>
      </c>
      <c r="B8179" t="inlineStr">
        <is>
          <t>M2</t>
        </is>
      </c>
      <c r="C8179" t="inlineStr">
        <is>
          <t>Cali</t>
        </is>
      </c>
      <c r="D8179" t="inlineStr">
        <is>
          <t>9984</t>
        </is>
      </c>
      <c r="E8179" t="inlineStr">
        <is>
          <t>cash_in</t>
        </is>
      </c>
      <c r="F8179" s="23" t="n">
        <v>46266</v>
      </c>
      <c r="G8179" s="24">
        <f>F8179-DATE(2026,8,31)</f>
        <v>1</v>
      </c>
      <c r="H8179" s="25" t="n">
        <v>100755183</v>
      </c>
      <c r="I8179" t="inlineStr">
        <is>
          <t>entidad-dia</t>
        </is>
      </c>
    </row>
    <row r="8180">
      <c r="A8180" t="inlineStr">
        <is>
          <t>PRAGMA</t>
        </is>
      </c>
      <c r="B8180" t="inlineStr">
        <is>
          <t>M2</t>
        </is>
      </c>
      <c r="C8180" t="inlineStr">
        <is>
          <t>Cali</t>
        </is>
      </c>
      <c r="D8180" t="inlineStr">
        <is>
          <t>9984</t>
        </is>
      </c>
      <c r="E8180" t="inlineStr">
        <is>
          <t>pagado</t>
        </is>
      </c>
      <c r="F8180" s="23" t="n">
        <v>46267</v>
      </c>
      <c r="G8180" s="24">
        <f>F8180-DATE(2026,8,31)</f>
        <v>2</v>
      </c>
      <c r="H8180" s="25" t="n">
        <v>7301930</v>
      </c>
      <c r="I8180" t="inlineStr">
        <is>
          <t>entidad-dia</t>
        </is>
      </c>
    </row>
    <row r="8181">
      <c r="A8181" t="inlineStr">
        <is>
          <t>PRAGMA</t>
        </is>
      </c>
      <c r="B8181" t="inlineStr">
        <is>
          <t>M2</t>
        </is>
      </c>
      <c r="C8181" t="inlineStr">
        <is>
          <t>Cali</t>
        </is>
      </c>
      <c r="D8181" t="inlineStr">
        <is>
          <t>9984</t>
        </is>
      </c>
      <c r="E8181" t="inlineStr">
        <is>
          <t>cash_in</t>
        </is>
      </c>
      <c r="F8181" s="23" t="n">
        <v>46267</v>
      </c>
      <c r="G8181" s="24">
        <f>F8181-DATE(2026,8,31)</f>
        <v>2</v>
      </c>
      <c r="H8181" s="25" t="n">
        <v>87843401</v>
      </c>
      <c r="I8181" t="inlineStr">
        <is>
          <t>entidad-dia</t>
        </is>
      </c>
    </row>
    <row r="8182">
      <c r="A8182" t="inlineStr">
        <is>
          <t>PRAGMA</t>
        </is>
      </c>
      <c r="B8182" t="inlineStr">
        <is>
          <t>M2</t>
        </is>
      </c>
      <c r="C8182" t="inlineStr">
        <is>
          <t>Cali</t>
        </is>
      </c>
      <c r="D8182" t="inlineStr">
        <is>
          <t>9984</t>
        </is>
      </c>
      <c r="E8182" t="inlineStr">
        <is>
          <t>pagado</t>
        </is>
      </c>
      <c r="F8182" s="23" t="n">
        <v>46268</v>
      </c>
      <c r="G8182" s="24">
        <f>F8182-DATE(2026,8,31)</f>
        <v>3</v>
      </c>
      <c r="H8182" s="25" t="n">
        <v>7312038</v>
      </c>
      <c r="I8182" t="inlineStr">
        <is>
          <t>entidad-dia</t>
        </is>
      </c>
    </row>
    <row r="8183">
      <c r="A8183" t="inlineStr">
        <is>
          <t>PRAGMA</t>
        </is>
      </c>
      <c r="B8183" t="inlineStr">
        <is>
          <t>M2</t>
        </is>
      </c>
      <c r="C8183" t="inlineStr">
        <is>
          <t>Cali</t>
        </is>
      </c>
      <c r="D8183" t="inlineStr">
        <is>
          <t>9984</t>
        </is>
      </c>
      <c r="E8183" t="inlineStr">
        <is>
          <t>cash_in</t>
        </is>
      </c>
      <c r="F8183" s="23" t="n">
        <v>46268</v>
      </c>
      <c r="G8183" s="24">
        <f>F8183-DATE(2026,8,31)</f>
        <v>3</v>
      </c>
      <c r="H8183" s="25" t="n">
        <v>83762869</v>
      </c>
      <c r="I8183" t="inlineStr">
        <is>
          <t>entidad-dia</t>
        </is>
      </c>
    </row>
    <row r="8184">
      <c r="A8184" t="inlineStr">
        <is>
          <t>PRAGMA</t>
        </is>
      </c>
      <c r="B8184" t="inlineStr">
        <is>
          <t>M2</t>
        </is>
      </c>
      <c r="C8184" t="inlineStr">
        <is>
          <t>Cali</t>
        </is>
      </c>
      <c r="D8184" t="inlineStr">
        <is>
          <t>9984</t>
        </is>
      </c>
      <c r="E8184" t="inlineStr">
        <is>
          <t>pagado</t>
        </is>
      </c>
      <c r="F8184" s="23" t="n">
        <v>46269</v>
      </c>
      <c r="G8184" s="24">
        <f>F8184-DATE(2026,8,31)</f>
        <v>4</v>
      </c>
      <c r="H8184" s="25" t="n">
        <v>6895886</v>
      </c>
      <c r="I8184" t="inlineStr">
        <is>
          <t>entidad-dia</t>
        </is>
      </c>
    </row>
    <row r="8185">
      <c r="A8185" t="inlineStr">
        <is>
          <t>PRAGMA</t>
        </is>
      </c>
      <c r="B8185" t="inlineStr">
        <is>
          <t>M2</t>
        </is>
      </c>
      <c r="C8185" t="inlineStr">
        <is>
          <t>Cali</t>
        </is>
      </c>
      <c r="D8185" t="inlineStr">
        <is>
          <t>9984</t>
        </is>
      </c>
      <c r="E8185" t="inlineStr">
        <is>
          <t>cash_in</t>
        </is>
      </c>
      <c r="F8185" s="23" t="n">
        <v>46269</v>
      </c>
      <c r="G8185" s="24">
        <f>F8185-DATE(2026,8,31)</f>
        <v>4</v>
      </c>
      <c r="H8185" s="25" t="n">
        <v>90333341</v>
      </c>
      <c r="I8185" t="inlineStr">
        <is>
          <t>entidad-dia</t>
        </is>
      </c>
    </row>
    <row r="8186">
      <c r="A8186" t="inlineStr">
        <is>
          <t>PRAGMA</t>
        </is>
      </c>
      <c r="B8186" t="inlineStr">
        <is>
          <t>M2</t>
        </is>
      </c>
      <c r="C8186" t="inlineStr">
        <is>
          <t>Cali</t>
        </is>
      </c>
      <c r="D8186" t="inlineStr">
        <is>
          <t>9984</t>
        </is>
      </c>
      <c r="E8186" t="inlineStr">
        <is>
          <t>pagado</t>
        </is>
      </c>
      <c r="F8186" s="23" t="n">
        <v>46270</v>
      </c>
      <c r="G8186" s="24">
        <f>F8186-DATE(2026,8,31)</f>
        <v>5</v>
      </c>
      <c r="H8186" s="25" t="n">
        <v>6733569</v>
      </c>
      <c r="I8186" t="inlineStr">
        <is>
          <t>entidad-dia</t>
        </is>
      </c>
    </row>
    <row r="8187">
      <c r="A8187" t="inlineStr">
        <is>
          <t>PRAGMA</t>
        </is>
      </c>
      <c r="B8187" t="inlineStr">
        <is>
          <t>M2</t>
        </is>
      </c>
      <c r="C8187" t="inlineStr">
        <is>
          <t>Cali</t>
        </is>
      </c>
      <c r="D8187" t="inlineStr">
        <is>
          <t>9984</t>
        </is>
      </c>
      <c r="E8187" t="inlineStr">
        <is>
          <t>cash_in</t>
        </is>
      </c>
      <c r="F8187" s="23" t="n">
        <v>46270</v>
      </c>
      <c r="G8187" s="24">
        <f>F8187-DATE(2026,8,31)</f>
        <v>5</v>
      </c>
      <c r="H8187" s="25" t="n">
        <v>82870648</v>
      </c>
      <c r="I8187" t="inlineStr">
        <is>
          <t>entidad-dia</t>
        </is>
      </c>
    </row>
    <row r="8188">
      <c r="A8188" t="inlineStr">
        <is>
          <t>PRAGMA</t>
        </is>
      </c>
      <c r="B8188" t="inlineStr">
        <is>
          <t>M2</t>
        </is>
      </c>
      <c r="C8188" t="inlineStr">
        <is>
          <t>Cali</t>
        </is>
      </c>
      <c r="D8188" t="inlineStr">
        <is>
          <t>9984</t>
        </is>
      </c>
      <c r="E8188" t="inlineStr">
        <is>
          <t>pagado</t>
        </is>
      </c>
      <c r="F8188" s="23" t="n">
        <v>46271</v>
      </c>
      <c r="G8188" s="24">
        <f>F8188-DATE(2026,8,31)</f>
        <v>6</v>
      </c>
      <c r="H8188" s="25" t="n">
        <v>2726316</v>
      </c>
      <c r="I8188" t="inlineStr">
        <is>
          <t>entidad-dia</t>
        </is>
      </c>
    </row>
    <row r="8189">
      <c r="A8189" t="inlineStr">
        <is>
          <t>PRAGMA</t>
        </is>
      </c>
      <c r="B8189" t="inlineStr">
        <is>
          <t>M2</t>
        </is>
      </c>
      <c r="C8189" t="inlineStr">
        <is>
          <t>Cali</t>
        </is>
      </c>
      <c r="D8189" t="inlineStr">
        <is>
          <t>9984</t>
        </is>
      </c>
      <c r="E8189" t="inlineStr">
        <is>
          <t>cash_in</t>
        </is>
      </c>
      <c r="F8189" s="23" t="n">
        <v>46271</v>
      </c>
      <c r="G8189" s="24">
        <f>F8189-DATE(2026,8,31)</f>
        <v>6</v>
      </c>
      <c r="H8189" s="25" t="n">
        <v>31181668</v>
      </c>
      <c r="I8189" t="inlineStr">
        <is>
          <t>entidad-dia</t>
        </is>
      </c>
    </row>
    <row r="8190">
      <c r="A8190" t="inlineStr">
        <is>
          <t>PRAGMA</t>
        </is>
      </c>
      <c r="B8190" t="inlineStr">
        <is>
          <t>M2</t>
        </is>
      </c>
      <c r="C8190" t="inlineStr">
        <is>
          <t>Cali</t>
        </is>
      </c>
      <c r="D8190" t="inlineStr">
        <is>
          <t>9984</t>
        </is>
      </c>
      <c r="E8190" t="inlineStr">
        <is>
          <t>pagado</t>
        </is>
      </c>
      <c r="F8190" s="23" t="n">
        <v>46272</v>
      </c>
      <c r="G8190" s="24">
        <f>F8190-DATE(2026,8,31)</f>
        <v>7</v>
      </c>
      <c r="H8190" s="25" t="n">
        <v>5397637</v>
      </c>
      <c r="I8190" t="inlineStr">
        <is>
          <t>entidad-dia</t>
        </is>
      </c>
    </row>
    <row r="8191">
      <c r="A8191" t="inlineStr">
        <is>
          <t>PRAGMA</t>
        </is>
      </c>
      <c r="B8191" t="inlineStr">
        <is>
          <t>M2</t>
        </is>
      </c>
      <c r="C8191" t="inlineStr">
        <is>
          <t>Cali</t>
        </is>
      </c>
      <c r="D8191" t="inlineStr">
        <is>
          <t>9984</t>
        </is>
      </c>
      <c r="E8191" t="inlineStr">
        <is>
          <t>cash_in</t>
        </is>
      </c>
      <c r="F8191" s="23" t="n">
        <v>46272</v>
      </c>
      <c r="G8191" s="24">
        <f>F8191-DATE(2026,8,31)</f>
        <v>7</v>
      </c>
      <c r="H8191" s="25" t="n">
        <v>88958717</v>
      </c>
      <c r="I8191" t="inlineStr">
        <is>
          <t>entidad-dia</t>
        </is>
      </c>
    </row>
    <row r="8192">
      <c r="A8192" t="inlineStr">
        <is>
          <t>PRAGMA</t>
        </is>
      </c>
      <c r="B8192" t="inlineStr">
        <is>
          <t>M2</t>
        </is>
      </c>
      <c r="C8192" t="inlineStr">
        <is>
          <t>Cali</t>
        </is>
      </c>
      <c r="D8192" t="inlineStr">
        <is>
          <t>9984</t>
        </is>
      </c>
      <c r="E8192" t="inlineStr">
        <is>
          <t>pagado</t>
        </is>
      </c>
      <c r="F8192" s="23" t="n">
        <v>46273</v>
      </c>
      <c r="G8192" s="24">
        <f>F8192-DATE(2026,8,31)</f>
        <v>8</v>
      </c>
      <c r="H8192" s="25" t="n">
        <v>5396266</v>
      </c>
      <c r="I8192" t="inlineStr">
        <is>
          <t>entidad-dia</t>
        </is>
      </c>
    </row>
    <row r="8193">
      <c r="A8193" t="inlineStr">
        <is>
          <t>PRAGMA</t>
        </is>
      </c>
      <c r="B8193" t="inlineStr">
        <is>
          <t>M2</t>
        </is>
      </c>
      <c r="C8193" t="inlineStr">
        <is>
          <t>Cali</t>
        </is>
      </c>
      <c r="D8193" t="inlineStr">
        <is>
          <t>9984</t>
        </is>
      </c>
      <c r="E8193" t="inlineStr">
        <is>
          <t>cash_in</t>
        </is>
      </c>
      <c r="F8193" s="23" t="n">
        <v>46273</v>
      </c>
      <c r="G8193" s="24">
        <f>F8193-DATE(2026,8,31)</f>
        <v>8</v>
      </c>
      <c r="H8193" s="25" t="n">
        <v>83546886</v>
      </c>
      <c r="I8193" t="inlineStr">
        <is>
          <t>entidad-dia</t>
        </is>
      </c>
    </row>
    <row r="8194">
      <c r="A8194" t="inlineStr">
        <is>
          <t>PRAGMA</t>
        </is>
      </c>
      <c r="B8194" t="inlineStr">
        <is>
          <t>M2</t>
        </is>
      </c>
      <c r="C8194" t="inlineStr">
        <is>
          <t>Cali</t>
        </is>
      </c>
      <c r="D8194" t="inlineStr">
        <is>
          <t>9984</t>
        </is>
      </c>
      <c r="E8194" t="inlineStr">
        <is>
          <t>pagado</t>
        </is>
      </c>
      <c r="F8194" s="23" t="n">
        <v>46274</v>
      </c>
      <c r="G8194" s="24">
        <f>F8194-DATE(2026,8,31)</f>
        <v>9</v>
      </c>
      <c r="H8194" s="25" t="n">
        <v>4913238</v>
      </c>
      <c r="I8194" t="inlineStr">
        <is>
          <t>entidad-dia</t>
        </is>
      </c>
    </row>
    <row r="8195">
      <c r="A8195" t="inlineStr">
        <is>
          <t>PRAGMA</t>
        </is>
      </c>
      <c r="B8195" t="inlineStr">
        <is>
          <t>M2</t>
        </is>
      </c>
      <c r="C8195" t="inlineStr">
        <is>
          <t>Cali</t>
        </is>
      </c>
      <c r="D8195" t="inlineStr">
        <is>
          <t>9984</t>
        </is>
      </c>
      <c r="E8195" t="inlineStr">
        <is>
          <t>cash_in</t>
        </is>
      </c>
      <c r="F8195" s="23" t="n">
        <v>46274</v>
      </c>
      <c r="G8195" s="24">
        <f>F8195-DATE(2026,8,31)</f>
        <v>9</v>
      </c>
      <c r="H8195" s="25" t="n">
        <v>77955981</v>
      </c>
      <c r="I8195" t="inlineStr">
        <is>
          <t>entidad-dia</t>
        </is>
      </c>
    </row>
    <row r="8196">
      <c r="A8196" t="inlineStr">
        <is>
          <t>PRAGMA</t>
        </is>
      </c>
      <c r="B8196" t="inlineStr">
        <is>
          <t>M2</t>
        </is>
      </c>
      <c r="C8196" t="inlineStr">
        <is>
          <t>Cali</t>
        </is>
      </c>
      <c r="D8196" t="inlineStr">
        <is>
          <t>9984</t>
        </is>
      </c>
      <c r="E8196" t="inlineStr">
        <is>
          <t>pagado</t>
        </is>
      </c>
      <c r="F8196" s="23" t="n">
        <v>46275</v>
      </c>
      <c r="G8196" s="24">
        <f>F8196-DATE(2026,8,31)</f>
        <v>10</v>
      </c>
      <c r="H8196" s="25" t="n">
        <v>3980416</v>
      </c>
      <c r="I8196" t="inlineStr">
        <is>
          <t>entidad-dia</t>
        </is>
      </c>
    </row>
    <row r="8197">
      <c r="A8197" t="inlineStr">
        <is>
          <t>PRAGMA</t>
        </is>
      </c>
      <c r="B8197" t="inlineStr">
        <is>
          <t>M2</t>
        </is>
      </c>
      <c r="C8197" t="inlineStr">
        <is>
          <t>Cali</t>
        </is>
      </c>
      <c r="D8197" t="inlineStr">
        <is>
          <t>9984</t>
        </is>
      </c>
      <c r="E8197" t="inlineStr">
        <is>
          <t>cash_in</t>
        </is>
      </c>
      <c r="F8197" s="23" t="n">
        <v>46275</v>
      </c>
      <c r="G8197" s="24">
        <f>F8197-DATE(2026,8,31)</f>
        <v>10</v>
      </c>
      <c r="H8197" s="25" t="n">
        <v>70608666</v>
      </c>
      <c r="I8197" t="inlineStr">
        <is>
          <t>entidad-dia</t>
        </is>
      </c>
    </row>
    <row r="8198">
      <c r="A8198" t="inlineStr">
        <is>
          <t>PRAGMA</t>
        </is>
      </c>
      <c r="B8198" t="inlineStr">
        <is>
          <t>M2</t>
        </is>
      </c>
      <c r="C8198" t="inlineStr">
        <is>
          <t>Cali</t>
        </is>
      </c>
      <c r="D8198" t="inlineStr">
        <is>
          <t>9984</t>
        </is>
      </c>
      <c r="E8198" t="inlineStr">
        <is>
          <t>pagado</t>
        </is>
      </c>
      <c r="F8198" s="23" t="n">
        <v>46276</v>
      </c>
      <c r="G8198" s="24">
        <f>F8198-DATE(2026,8,31)</f>
        <v>11</v>
      </c>
      <c r="H8198" s="25" t="n">
        <v>4587207</v>
      </c>
      <c r="I8198" t="inlineStr">
        <is>
          <t>entidad-dia</t>
        </is>
      </c>
    </row>
    <row r="8199">
      <c r="A8199" t="inlineStr">
        <is>
          <t>PRAGMA</t>
        </is>
      </c>
      <c r="B8199" t="inlineStr">
        <is>
          <t>M2</t>
        </is>
      </c>
      <c r="C8199" t="inlineStr">
        <is>
          <t>Cali</t>
        </is>
      </c>
      <c r="D8199" t="inlineStr">
        <is>
          <t>9984</t>
        </is>
      </c>
      <c r="E8199" t="inlineStr">
        <is>
          <t>cash_in</t>
        </is>
      </c>
      <c r="F8199" s="23" t="n">
        <v>46276</v>
      </c>
      <c r="G8199" s="24">
        <f>F8199-DATE(2026,8,31)</f>
        <v>11</v>
      </c>
      <c r="H8199" s="25" t="n">
        <v>78206610</v>
      </c>
      <c r="I8199" t="inlineStr">
        <is>
          <t>entidad-dia</t>
        </is>
      </c>
    </row>
    <row r="8200">
      <c r="A8200" t="inlineStr">
        <is>
          <t>PRAGMA</t>
        </is>
      </c>
      <c r="B8200" t="inlineStr">
        <is>
          <t>M2</t>
        </is>
      </c>
      <c r="C8200" t="inlineStr">
        <is>
          <t>Cali</t>
        </is>
      </c>
      <c r="D8200" t="inlineStr">
        <is>
          <t>9984</t>
        </is>
      </c>
      <c r="E8200" t="inlineStr">
        <is>
          <t>pagado</t>
        </is>
      </c>
      <c r="F8200" s="23" t="n">
        <v>46277</v>
      </c>
      <c r="G8200" s="24">
        <f>F8200-DATE(2026,8,31)</f>
        <v>12</v>
      </c>
      <c r="H8200" s="25" t="n">
        <v>5327249</v>
      </c>
      <c r="I8200" t="inlineStr">
        <is>
          <t>entidad-dia</t>
        </is>
      </c>
    </row>
    <row r="8201">
      <c r="A8201" t="inlineStr">
        <is>
          <t>PRAGMA</t>
        </is>
      </c>
      <c r="B8201" t="inlineStr">
        <is>
          <t>M2</t>
        </is>
      </c>
      <c r="C8201" t="inlineStr">
        <is>
          <t>Cali</t>
        </is>
      </c>
      <c r="D8201" t="inlineStr">
        <is>
          <t>9984</t>
        </is>
      </c>
      <c r="E8201" t="inlineStr">
        <is>
          <t>cash_in</t>
        </is>
      </c>
      <c r="F8201" s="23" t="n">
        <v>46277</v>
      </c>
      <c r="G8201" s="24">
        <f>F8201-DATE(2026,8,31)</f>
        <v>12</v>
      </c>
      <c r="H8201" s="25" t="n">
        <v>71443008</v>
      </c>
      <c r="I8201" t="inlineStr">
        <is>
          <t>entidad-dia</t>
        </is>
      </c>
    </row>
    <row r="8202">
      <c r="A8202" t="inlineStr">
        <is>
          <t>PRAGMA</t>
        </is>
      </c>
      <c r="B8202" t="inlineStr">
        <is>
          <t>M2</t>
        </is>
      </c>
      <c r="C8202" t="inlineStr">
        <is>
          <t>Cali</t>
        </is>
      </c>
      <c r="D8202" t="inlineStr">
        <is>
          <t>9984</t>
        </is>
      </c>
      <c r="E8202" t="inlineStr">
        <is>
          <t>pagado</t>
        </is>
      </c>
      <c r="F8202" s="23" t="n">
        <v>46278</v>
      </c>
      <c r="G8202" s="24">
        <f>F8202-DATE(2026,8,31)</f>
        <v>13</v>
      </c>
      <c r="H8202" s="25" t="n">
        <v>1957003</v>
      </c>
      <c r="I8202" t="inlineStr">
        <is>
          <t>entidad-dia</t>
        </is>
      </c>
    </row>
    <row r="8203">
      <c r="A8203" t="inlineStr">
        <is>
          <t>PRAGMA</t>
        </is>
      </c>
      <c r="B8203" t="inlineStr">
        <is>
          <t>M2</t>
        </is>
      </c>
      <c r="C8203" t="inlineStr">
        <is>
          <t>Cali</t>
        </is>
      </c>
      <c r="D8203" t="inlineStr">
        <is>
          <t>9984</t>
        </is>
      </c>
      <c r="E8203" t="inlineStr">
        <is>
          <t>cash_in</t>
        </is>
      </c>
      <c r="F8203" s="23" t="n">
        <v>46278</v>
      </c>
      <c r="G8203" s="24">
        <f>F8203-DATE(2026,8,31)</f>
        <v>13</v>
      </c>
      <c r="H8203" s="25" t="n">
        <v>27345958</v>
      </c>
      <c r="I8203" t="inlineStr">
        <is>
          <t>entidad-dia</t>
        </is>
      </c>
    </row>
    <row r="8204">
      <c r="A8204" t="inlineStr">
        <is>
          <t>PRAGMA</t>
        </is>
      </c>
      <c r="B8204" t="inlineStr">
        <is>
          <t>M2</t>
        </is>
      </c>
      <c r="C8204" t="inlineStr">
        <is>
          <t>Cali</t>
        </is>
      </c>
      <c r="D8204" t="inlineStr">
        <is>
          <t>9984</t>
        </is>
      </c>
      <c r="E8204" t="inlineStr">
        <is>
          <t>pagado</t>
        </is>
      </c>
      <c r="F8204" s="23" t="n">
        <v>46279</v>
      </c>
      <c r="G8204" s="24">
        <f>F8204-DATE(2026,8,31)</f>
        <v>14</v>
      </c>
      <c r="H8204" s="25" t="n">
        <v>4203774</v>
      </c>
      <c r="I8204" t="inlineStr">
        <is>
          <t>entidad-dia</t>
        </is>
      </c>
    </row>
    <row r="8205">
      <c r="A8205" t="inlineStr">
        <is>
          <t>PRAGMA</t>
        </is>
      </c>
      <c r="B8205" t="inlineStr">
        <is>
          <t>M2</t>
        </is>
      </c>
      <c r="C8205" t="inlineStr">
        <is>
          <t>Cali</t>
        </is>
      </c>
      <c r="D8205" t="inlineStr">
        <is>
          <t>9984</t>
        </is>
      </c>
      <c r="E8205" t="inlineStr">
        <is>
          <t>cash_in</t>
        </is>
      </c>
      <c r="F8205" s="23" t="n">
        <v>46279</v>
      </c>
      <c r="G8205" s="24">
        <f>F8205-DATE(2026,8,31)</f>
        <v>14</v>
      </c>
      <c r="H8205" s="25" t="n">
        <v>85835838</v>
      </c>
      <c r="I8205" t="inlineStr">
        <is>
          <t>entidad-dia</t>
        </is>
      </c>
    </row>
    <row r="8206">
      <c r="A8206" t="inlineStr">
        <is>
          <t>PRAGMA</t>
        </is>
      </c>
      <c r="B8206" t="inlineStr">
        <is>
          <t>M2</t>
        </is>
      </c>
      <c r="C8206" t="inlineStr">
        <is>
          <t>Cali</t>
        </is>
      </c>
      <c r="D8206" t="inlineStr">
        <is>
          <t>9984</t>
        </is>
      </c>
      <c r="E8206" t="inlineStr">
        <is>
          <t>pagado</t>
        </is>
      </c>
      <c r="F8206" s="23" t="n">
        <v>46280</v>
      </c>
      <c r="G8206" s="24">
        <f>F8206-DATE(2026,8,31)</f>
        <v>15</v>
      </c>
      <c r="H8206" s="25" t="n">
        <v>6655504</v>
      </c>
      <c r="I8206" t="inlineStr">
        <is>
          <t>entidad-dia</t>
        </is>
      </c>
    </row>
    <row r="8207">
      <c r="A8207" t="inlineStr">
        <is>
          <t>PRAGMA</t>
        </is>
      </c>
      <c r="B8207" t="inlineStr">
        <is>
          <t>M2</t>
        </is>
      </c>
      <c r="C8207" t="inlineStr">
        <is>
          <t>Cali</t>
        </is>
      </c>
      <c r="D8207" t="inlineStr">
        <is>
          <t>9984</t>
        </is>
      </c>
      <c r="E8207" t="inlineStr">
        <is>
          <t>cash_in</t>
        </is>
      </c>
      <c r="F8207" s="23" t="n">
        <v>46280</v>
      </c>
      <c r="G8207" s="24">
        <f>F8207-DATE(2026,8,31)</f>
        <v>15</v>
      </c>
      <c r="H8207" s="25" t="n">
        <v>92346176</v>
      </c>
      <c r="I8207" t="inlineStr">
        <is>
          <t>entidad-dia</t>
        </is>
      </c>
    </row>
    <row r="8208">
      <c r="A8208" t="inlineStr">
        <is>
          <t>PRAGMA</t>
        </is>
      </c>
      <c r="B8208" t="inlineStr">
        <is>
          <t>M3</t>
        </is>
      </c>
      <c r="C8208" t="inlineStr">
        <is>
          <t>Cali</t>
        </is>
      </c>
      <c r="D8208" t="inlineStr">
        <is>
          <t>190</t>
        </is>
      </c>
      <c r="E8208" t="inlineStr">
        <is>
          <t>entradas</t>
        </is>
      </c>
      <c r="F8208" s="23" t="n">
        <v>46266</v>
      </c>
      <c r="G8208" s="24">
        <f>F8208-DATE(2026,8,31)</f>
        <v>1</v>
      </c>
      <c r="H8208" s="25" t="n">
        <v>1550415359</v>
      </c>
      <c r="I8208" t="inlineStr">
        <is>
          <t>entidad-dia</t>
        </is>
      </c>
    </row>
    <row r="8209">
      <c r="A8209" t="inlineStr">
        <is>
          <t>PRAGMA</t>
        </is>
      </c>
      <c r="B8209" t="inlineStr">
        <is>
          <t>M3</t>
        </is>
      </c>
      <c r="C8209" t="inlineStr">
        <is>
          <t>Cali</t>
        </is>
      </c>
      <c r="D8209" t="inlineStr">
        <is>
          <t>190</t>
        </is>
      </c>
      <c r="E8209" t="inlineStr">
        <is>
          <t>salidas</t>
        </is>
      </c>
      <c r="F8209" s="23" t="n">
        <v>46266</v>
      </c>
      <c r="G8209" s="24">
        <f>F8209-DATE(2026,8,31)</f>
        <v>1</v>
      </c>
      <c r="H8209" s="25" t="n">
        <v>1505595137</v>
      </c>
      <c r="I8209" t="inlineStr">
        <is>
          <t>entidad-dia</t>
        </is>
      </c>
    </row>
    <row r="8210">
      <c r="A8210" t="inlineStr">
        <is>
          <t>PRAGMA</t>
        </is>
      </c>
      <c r="B8210" t="inlineStr">
        <is>
          <t>M3</t>
        </is>
      </c>
      <c r="C8210" t="inlineStr">
        <is>
          <t>Cali</t>
        </is>
      </c>
      <c r="D8210" t="inlineStr">
        <is>
          <t>190</t>
        </is>
      </c>
      <c r="E8210" t="inlineStr">
        <is>
          <t>entradas</t>
        </is>
      </c>
      <c r="F8210" s="23" t="n">
        <v>46267</v>
      </c>
      <c r="G8210" s="24">
        <f>F8210-DATE(2026,8,31)</f>
        <v>2</v>
      </c>
      <c r="H8210" s="25" t="n">
        <v>1544806016</v>
      </c>
      <c r="I8210" t="inlineStr">
        <is>
          <t>entidad-dia</t>
        </is>
      </c>
    </row>
    <row r="8211">
      <c r="A8211" t="inlineStr">
        <is>
          <t>PRAGMA</t>
        </is>
      </c>
      <c r="B8211" t="inlineStr">
        <is>
          <t>M3</t>
        </is>
      </c>
      <c r="C8211" t="inlineStr">
        <is>
          <t>Cali</t>
        </is>
      </c>
      <c r="D8211" t="inlineStr">
        <is>
          <t>190</t>
        </is>
      </c>
      <c r="E8211" t="inlineStr">
        <is>
          <t>salidas</t>
        </is>
      </c>
      <c r="F8211" s="23" t="n">
        <v>46267</v>
      </c>
      <c r="G8211" s="24">
        <f>F8211-DATE(2026,8,31)</f>
        <v>2</v>
      </c>
      <c r="H8211" s="25" t="n">
        <v>1563448310</v>
      </c>
      <c r="I8211" t="inlineStr">
        <is>
          <t>entidad-dia</t>
        </is>
      </c>
    </row>
    <row r="8212">
      <c r="A8212" t="inlineStr">
        <is>
          <t>PRAGMA</t>
        </is>
      </c>
      <c r="B8212" t="inlineStr">
        <is>
          <t>M3</t>
        </is>
      </c>
      <c r="C8212" t="inlineStr">
        <is>
          <t>Cali</t>
        </is>
      </c>
      <c r="D8212" t="inlineStr">
        <is>
          <t>190</t>
        </is>
      </c>
      <c r="E8212" t="inlineStr">
        <is>
          <t>entradas</t>
        </is>
      </c>
      <c r="F8212" s="23" t="n">
        <v>46268</v>
      </c>
      <c r="G8212" s="24">
        <f>F8212-DATE(2026,8,31)</f>
        <v>3</v>
      </c>
      <c r="H8212" s="25" t="n">
        <v>1279345508</v>
      </c>
      <c r="I8212" t="inlineStr">
        <is>
          <t>entidad-dia</t>
        </is>
      </c>
    </row>
    <row r="8213">
      <c r="A8213" t="inlineStr">
        <is>
          <t>PRAGMA</t>
        </is>
      </c>
      <c r="B8213" t="inlineStr">
        <is>
          <t>M3</t>
        </is>
      </c>
      <c r="C8213" t="inlineStr">
        <is>
          <t>Cali</t>
        </is>
      </c>
      <c r="D8213" t="inlineStr">
        <is>
          <t>190</t>
        </is>
      </c>
      <c r="E8213" t="inlineStr">
        <is>
          <t>salidas</t>
        </is>
      </c>
      <c r="F8213" s="23" t="n">
        <v>46268</v>
      </c>
      <c r="G8213" s="24">
        <f>F8213-DATE(2026,8,31)</f>
        <v>3</v>
      </c>
      <c r="H8213" s="25" t="n">
        <v>1070444596</v>
      </c>
      <c r="I8213" t="inlineStr">
        <is>
          <t>entidad-dia</t>
        </is>
      </c>
    </row>
    <row r="8214">
      <c r="A8214" t="inlineStr">
        <is>
          <t>PRAGMA</t>
        </is>
      </c>
      <c r="B8214" t="inlineStr">
        <is>
          <t>M3</t>
        </is>
      </c>
      <c r="C8214" t="inlineStr">
        <is>
          <t>Cali</t>
        </is>
      </c>
      <c r="D8214" t="inlineStr">
        <is>
          <t>190</t>
        </is>
      </c>
      <c r="E8214" t="inlineStr">
        <is>
          <t>entradas</t>
        </is>
      </c>
      <c r="F8214" s="23" t="n">
        <v>46269</v>
      </c>
      <c r="G8214" s="24">
        <f>F8214-DATE(2026,8,31)</f>
        <v>4</v>
      </c>
      <c r="H8214" s="25" t="n">
        <v>1660176341</v>
      </c>
      <c r="I8214" t="inlineStr">
        <is>
          <t>entidad-dia</t>
        </is>
      </c>
    </row>
    <row r="8215">
      <c r="A8215" t="inlineStr">
        <is>
          <t>PRAGMA</t>
        </is>
      </c>
      <c r="B8215" t="inlineStr">
        <is>
          <t>M3</t>
        </is>
      </c>
      <c r="C8215" t="inlineStr">
        <is>
          <t>Cali</t>
        </is>
      </c>
      <c r="D8215" t="inlineStr">
        <is>
          <t>190</t>
        </is>
      </c>
      <c r="E8215" t="inlineStr">
        <is>
          <t>salidas</t>
        </is>
      </c>
      <c r="F8215" s="23" t="n">
        <v>46269</v>
      </c>
      <c r="G8215" s="24">
        <f>F8215-DATE(2026,8,31)</f>
        <v>4</v>
      </c>
      <c r="H8215" s="25" t="n">
        <v>1637404098</v>
      </c>
      <c r="I8215" t="inlineStr">
        <is>
          <t>entidad-dia</t>
        </is>
      </c>
    </row>
    <row r="8216">
      <c r="A8216" t="inlineStr">
        <is>
          <t>PRAGMA</t>
        </is>
      </c>
      <c r="B8216" t="inlineStr">
        <is>
          <t>M3</t>
        </is>
      </c>
      <c r="C8216" t="inlineStr">
        <is>
          <t>Cali</t>
        </is>
      </c>
      <c r="D8216" t="inlineStr">
        <is>
          <t>190</t>
        </is>
      </c>
      <c r="E8216" t="inlineStr">
        <is>
          <t>entradas</t>
        </is>
      </c>
      <c r="F8216" s="23" t="n">
        <v>46270</v>
      </c>
      <c r="G8216" s="24">
        <f>F8216-DATE(2026,8,31)</f>
        <v>5</v>
      </c>
      <c r="H8216" s="25" t="n">
        <v>756733459</v>
      </c>
      <c r="I8216" t="inlineStr">
        <is>
          <t>entidad-dia</t>
        </is>
      </c>
    </row>
    <row r="8217">
      <c r="A8217" t="inlineStr">
        <is>
          <t>PRAGMA</t>
        </is>
      </c>
      <c r="B8217" t="inlineStr">
        <is>
          <t>M3</t>
        </is>
      </c>
      <c r="C8217" t="inlineStr">
        <is>
          <t>Cali</t>
        </is>
      </c>
      <c r="D8217" t="inlineStr">
        <is>
          <t>190</t>
        </is>
      </c>
      <c r="E8217" t="inlineStr">
        <is>
          <t>salidas</t>
        </is>
      </c>
      <c r="F8217" s="23" t="n">
        <v>46270</v>
      </c>
      <c r="G8217" s="24">
        <f>F8217-DATE(2026,8,31)</f>
        <v>5</v>
      </c>
      <c r="H8217" s="25" t="n">
        <v>951812319</v>
      </c>
      <c r="I8217" t="inlineStr">
        <is>
          <t>entidad-dia</t>
        </is>
      </c>
    </row>
    <row r="8218">
      <c r="A8218" t="inlineStr">
        <is>
          <t>PRAGMA</t>
        </is>
      </c>
      <c r="B8218" t="inlineStr">
        <is>
          <t>M3</t>
        </is>
      </c>
      <c r="C8218" t="inlineStr">
        <is>
          <t>Cali</t>
        </is>
      </c>
      <c r="D8218" t="inlineStr">
        <is>
          <t>190</t>
        </is>
      </c>
      <c r="E8218" t="inlineStr">
        <is>
          <t>entradas</t>
        </is>
      </c>
      <c r="F8218" s="23" t="n">
        <v>46271</v>
      </c>
      <c r="G8218" s="24">
        <f>F8218-DATE(2026,8,31)</f>
        <v>6</v>
      </c>
      <c r="H8218" s="25" t="n">
        <v>2007625</v>
      </c>
      <c r="I8218" t="inlineStr">
        <is>
          <t>entidad-dia</t>
        </is>
      </c>
    </row>
    <row r="8219">
      <c r="A8219" t="inlineStr">
        <is>
          <t>PRAGMA</t>
        </is>
      </c>
      <c r="B8219" t="inlineStr">
        <is>
          <t>M3</t>
        </is>
      </c>
      <c r="C8219" t="inlineStr">
        <is>
          <t>Cali</t>
        </is>
      </c>
      <c r="D8219" t="inlineStr">
        <is>
          <t>190</t>
        </is>
      </c>
      <c r="E8219" t="inlineStr">
        <is>
          <t>salidas</t>
        </is>
      </c>
      <c r="F8219" s="23" t="n">
        <v>46271</v>
      </c>
      <c r="G8219" s="24">
        <f>F8219-DATE(2026,8,31)</f>
        <v>6</v>
      </c>
      <c r="H8219" s="25" t="n">
        <v>0</v>
      </c>
      <c r="I8219" t="inlineStr">
        <is>
          <t>entidad-dia</t>
        </is>
      </c>
    </row>
    <row r="8220">
      <c r="A8220" t="inlineStr">
        <is>
          <t>PRAGMA</t>
        </is>
      </c>
      <c r="B8220" t="inlineStr">
        <is>
          <t>M3</t>
        </is>
      </c>
      <c r="C8220" t="inlineStr">
        <is>
          <t>Cali</t>
        </is>
      </c>
      <c r="D8220" t="inlineStr">
        <is>
          <t>190</t>
        </is>
      </c>
      <c r="E8220" t="inlineStr">
        <is>
          <t>entradas</t>
        </is>
      </c>
      <c r="F8220" s="23" t="n">
        <v>46272</v>
      </c>
      <c r="G8220" s="24">
        <f>F8220-DATE(2026,8,31)</f>
        <v>7</v>
      </c>
      <c r="H8220" s="25" t="n">
        <v>1504926997</v>
      </c>
      <c r="I8220" t="inlineStr">
        <is>
          <t>entidad-dia</t>
        </is>
      </c>
    </row>
    <row r="8221">
      <c r="A8221" t="inlineStr">
        <is>
          <t>PRAGMA</t>
        </is>
      </c>
      <c r="B8221" t="inlineStr">
        <is>
          <t>M3</t>
        </is>
      </c>
      <c r="C8221" t="inlineStr">
        <is>
          <t>Cali</t>
        </is>
      </c>
      <c r="D8221" t="inlineStr">
        <is>
          <t>190</t>
        </is>
      </c>
      <c r="E8221" t="inlineStr">
        <is>
          <t>salidas</t>
        </is>
      </c>
      <c r="F8221" s="23" t="n">
        <v>46272</v>
      </c>
      <c r="G8221" s="24">
        <f>F8221-DATE(2026,8,31)</f>
        <v>7</v>
      </c>
      <c r="H8221" s="25" t="n">
        <v>1329713833</v>
      </c>
      <c r="I8221" t="inlineStr">
        <is>
          <t>entidad-dia</t>
        </is>
      </c>
    </row>
    <row r="8222">
      <c r="A8222" t="inlineStr">
        <is>
          <t>PRAGMA</t>
        </is>
      </c>
      <c r="B8222" t="inlineStr">
        <is>
          <t>M3</t>
        </is>
      </c>
      <c r="C8222" t="inlineStr">
        <is>
          <t>Cali</t>
        </is>
      </c>
      <c r="D8222" t="inlineStr">
        <is>
          <t>190</t>
        </is>
      </c>
      <c r="E8222" t="inlineStr">
        <is>
          <t>entradas</t>
        </is>
      </c>
      <c r="F8222" s="23" t="n">
        <v>46273</v>
      </c>
      <c r="G8222" s="24">
        <f>F8222-DATE(2026,8,31)</f>
        <v>8</v>
      </c>
      <c r="H8222" s="25" t="n">
        <v>1569628956</v>
      </c>
      <c r="I8222" t="inlineStr">
        <is>
          <t>entidad-dia</t>
        </is>
      </c>
    </row>
    <row r="8223">
      <c r="A8223" t="inlineStr">
        <is>
          <t>PRAGMA</t>
        </is>
      </c>
      <c r="B8223" t="inlineStr">
        <is>
          <t>M3</t>
        </is>
      </c>
      <c r="C8223" t="inlineStr">
        <is>
          <t>Cali</t>
        </is>
      </c>
      <c r="D8223" t="inlineStr">
        <is>
          <t>190</t>
        </is>
      </c>
      <c r="E8223" t="inlineStr">
        <is>
          <t>salidas</t>
        </is>
      </c>
      <c r="F8223" s="23" t="n">
        <v>46273</v>
      </c>
      <c r="G8223" s="24">
        <f>F8223-DATE(2026,8,31)</f>
        <v>8</v>
      </c>
      <c r="H8223" s="25" t="n">
        <v>1422060469</v>
      </c>
      <c r="I8223" t="inlineStr">
        <is>
          <t>entidad-dia</t>
        </is>
      </c>
    </row>
    <row r="8224">
      <c r="A8224" t="inlineStr">
        <is>
          <t>PRAGMA</t>
        </is>
      </c>
      <c r="B8224" t="inlineStr">
        <is>
          <t>M3</t>
        </is>
      </c>
      <c r="C8224" t="inlineStr">
        <is>
          <t>Cali</t>
        </is>
      </c>
      <c r="D8224" t="inlineStr">
        <is>
          <t>190</t>
        </is>
      </c>
      <c r="E8224" t="inlineStr">
        <is>
          <t>entradas</t>
        </is>
      </c>
      <c r="F8224" s="23" t="n">
        <v>46274</v>
      </c>
      <c r="G8224" s="24">
        <f>F8224-DATE(2026,8,31)</f>
        <v>9</v>
      </c>
      <c r="H8224" s="25" t="n">
        <v>1567692165</v>
      </c>
      <c r="I8224" t="inlineStr">
        <is>
          <t>entidad-dia</t>
        </is>
      </c>
    </row>
    <row r="8225">
      <c r="A8225" t="inlineStr">
        <is>
          <t>PRAGMA</t>
        </is>
      </c>
      <c r="B8225" t="inlineStr">
        <is>
          <t>M3</t>
        </is>
      </c>
      <c r="C8225" t="inlineStr">
        <is>
          <t>Cali</t>
        </is>
      </c>
      <c r="D8225" t="inlineStr">
        <is>
          <t>190</t>
        </is>
      </c>
      <c r="E8225" t="inlineStr">
        <is>
          <t>salidas</t>
        </is>
      </c>
      <c r="F8225" s="23" t="n">
        <v>46274</v>
      </c>
      <c r="G8225" s="24">
        <f>F8225-DATE(2026,8,31)</f>
        <v>9</v>
      </c>
      <c r="H8225" s="25" t="n">
        <v>1414855160</v>
      </c>
      <c r="I8225" t="inlineStr">
        <is>
          <t>entidad-dia</t>
        </is>
      </c>
    </row>
    <row r="8226">
      <c r="A8226" t="inlineStr">
        <is>
          <t>PRAGMA</t>
        </is>
      </c>
      <c r="B8226" t="inlineStr">
        <is>
          <t>M3</t>
        </is>
      </c>
      <c r="C8226" t="inlineStr">
        <is>
          <t>Cali</t>
        </is>
      </c>
      <c r="D8226" t="inlineStr">
        <is>
          <t>190</t>
        </is>
      </c>
      <c r="E8226" t="inlineStr">
        <is>
          <t>entradas</t>
        </is>
      </c>
      <c r="F8226" s="23" t="n">
        <v>46275</v>
      </c>
      <c r="G8226" s="24">
        <f>F8226-DATE(2026,8,31)</f>
        <v>10</v>
      </c>
      <c r="H8226" s="25" t="n">
        <v>1301402881</v>
      </c>
      <c r="I8226" t="inlineStr">
        <is>
          <t>entidad-dia</t>
        </is>
      </c>
    </row>
    <row r="8227">
      <c r="A8227" t="inlineStr">
        <is>
          <t>PRAGMA</t>
        </is>
      </c>
      <c r="B8227" t="inlineStr">
        <is>
          <t>M3</t>
        </is>
      </c>
      <c r="C8227" t="inlineStr">
        <is>
          <t>Cali</t>
        </is>
      </c>
      <c r="D8227" t="inlineStr">
        <is>
          <t>190</t>
        </is>
      </c>
      <c r="E8227" t="inlineStr">
        <is>
          <t>salidas</t>
        </is>
      </c>
      <c r="F8227" s="23" t="n">
        <v>46275</v>
      </c>
      <c r="G8227" s="24">
        <f>F8227-DATE(2026,8,31)</f>
        <v>10</v>
      </c>
      <c r="H8227" s="25" t="n">
        <v>1313951467</v>
      </c>
      <c r="I8227" t="inlineStr">
        <is>
          <t>entidad-dia</t>
        </is>
      </c>
    </row>
    <row r="8228">
      <c r="A8228" t="inlineStr">
        <is>
          <t>PRAGMA</t>
        </is>
      </c>
      <c r="B8228" t="inlineStr">
        <is>
          <t>M3</t>
        </is>
      </c>
      <c r="C8228" t="inlineStr">
        <is>
          <t>Cali</t>
        </is>
      </c>
      <c r="D8228" t="inlineStr">
        <is>
          <t>190</t>
        </is>
      </c>
      <c r="E8228" t="inlineStr">
        <is>
          <t>entradas</t>
        </is>
      </c>
      <c r="F8228" s="23" t="n">
        <v>46276</v>
      </c>
      <c r="G8228" s="24">
        <f>F8228-DATE(2026,8,31)</f>
        <v>11</v>
      </c>
      <c r="H8228" s="25" t="n">
        <v>1663355896</v>
      </c>
      <c r="I8228" t="inlineStr">
        <is>
          <t>entidad-dia</t>
        </is>
      </c>
    </row>
    <row r="8229">
      <c r="A8229" t="inlineStr">
        <is>
          <t>PRAGMA</t>
        </is>
      </c>
      <c r="B8229" t="inlineStr">
        <is>
          <t>M3</t>
        </is>
      </c>
      <c r="C8229" t="inlineStr">
        <is>
          <t>Cali</t>
        </is>
      </c>
      <c r="D8229" t="inlineStr">
        <is>
          <t>190</t>
        </is>
      </c>
      <c r="E8229" t="inlineStr">
        <is>
          <t>salidas</t>
        </is>
      </c>
      <c r="F8229" s="23" t="n">
        <v>46276</v>
      </c>
      <c r="G8229" s="24">
        <f>F8229-DATE(2026,8,31)</f>
        <v>11</v>
      </c>
      <c r="H8229" s="25" t="n">
        <v>1529600057</v>
      </c>
      <c r="I8229" t="inlineStr">
        <is>
          <t>entidad-dia</t>
        </is>
      </c>
    </row>
    <row r="8230">
      <c r="A8230" t="inlineStr">
        <is>
          <t>PRAGMA</t>
        </is>
      </c>
      <c r="B8230" t="inlineStr">
        <is>
          <t>M3</t>
        </is>
      </c>
      <c r="C8230" t="inlineStr">
        <is>
          <t>Cali</t>
        </is>
      </c>
      <c r="D8230" t="inlineStr">
        <is>
          <t>190</t>
        </is>
      </c>
      <c r="E8230" t="inlineStr">
        <is>
          <t>entradas</t>
        </is>
      </c>
      <c r="F8230" s="23" t="n">
        <v>46277</v>
      </c>
      <c r="G8230" s="24">
        <f>F8230-DATE(2026,8,31)</f>
        <v>12</v>
      </c>
      <c r="H8230" s="25" t="n">
        <v>775748340</v>
      </c>
      <c r="I8230" t="inlineStr">
        <is>
          <t>entidad-dia</t>
        </is>
      </c>
    </row>
    <row r="8231">
      <c r="A8231" t="inlineStr">
        <is>
          <t>PRAGMA</t>
        </is>
      </c>
      <c r="B8231" t="inlineStr">
        <is>
          <t>M3</t>
        </is>
      </c>
      <c r="C8231" t="inlineStr">
        <is>
          <t>Cali</t>
        </is>
      </c>
      <c r="D8231" t="inlineStr">
        <is>
          <t>190</t>
        </is>
      </c>
      <c r="E8231" t="inlineStr">
        <is>
          <t>salidas</t>
        </is>
      </c>
      <c r="F8231" s="23" t="n">
        <v>46277</v>
      </c>
      <c r="G8231" s="24">
        <f>F8231-DATE(2026,8,31)</f>
        <v>12</v>
      </c>
      <c r="H8231" s="25" t="n">
        <v>949568554</v>
      </c>
      <c r="I8231" t="inlineStr">
        <is>
          <t>entidad-dia</t>
        </is>
      </c>
    </row>
    <row r="8232">
      <c r="A8232" t="inlineStr">
        <is>
          <t>PRAGMA</t>
        </is>
      </c>
      <c r="B8232" t="inlineStr">
        <is>
          <t>M3</t>
        </is>
      </c>
      <c r="C8232" t="inlineStr">
        <is>
          <t>Cali</t>
        </is>
      </c>
      <c r="D8232" t="inlineStr">
        <is>
          <t>190</t>
        </is>
      </c>
      <c r="E8232" t="inlineStr">
        <is>
          <t>entradas</t>
        </is>
      </c>
      <c r="F8232" s="23" t="n">
        <v>46278</v>
      </c>
      <c r="G8232" s="24">
        <f>F8232-DATE(2026,8,31)</f>
        <v>13</v>
      </c>
      <c r="H8232" s="25" t="n">
        <v>41974</v>
      </c>
      <c r="I8232" t="inlineStr">
        <is>
          <t>entidad-dia</t>
        </is>
      </c>
    </row>
    <row r="8233">
      <c r="A8233" t="inlineStr">
        <is>
          <t>PRAGMA</t>
        </is>
      </c>
      <c r="B8233" t="inlineStr">
        <is>
          <t>M3</t>
        </is>
      </c>
      <c r="C8233" t="inlineStr">
        <is>
          <t>Cali</t>
        </is>
      </c>
      <c r="D8233" t="inlineStr">
        <is>
          <t>190</t>
        </is>
      </c>
      <c r="E8233" t="inlineStr">
        <is>
          <t>salidas</t>
        </is>
      </c>
      <c r="F8233" s="23" t="n">
        <v>46278</v>
      </c>
      <c r="G8233" s="24">
        <f>F8233-DATE(2026,8,31)</f>
        <v>13</v>
      </c>
      <c r="H8233" s="25" t="n">
        <v>0</v>
      </c>
      <c r="I8233" t="inlineStr">
        <is>
          <t>entidad-dia</t>
        </is>
      </c>
    </row>
    <row r="8234">
      <c r="A8234" t="inlineStr">
        <is>
          <t>PRAGMA</t>
        </is>
      </c>
      <c r="B8234" t="inlineStr">
        <is>
          <t>M3</t>
        </is>
      </c>
      <c r="C8234" t="inlineStr">
        <is>
          <t>Cali</t>
        </is>
      </c>
      <c r="D8234" t="inlineStr">
        <is>
          <t>190</t>
        </is>
      </c>
      <c r="E8234" t="inlineStr">
        <is>
          <t>entradas</t>
        </is>
      </c>
      <c r="F8234" s="23" t="n">
        <v>46279</v>
      </c>
      <c r="G8234" s="24">
        <f>F8234-DATE(2026,8,31)</f>
        <v>14</v>
      </c>
      <c r="H8234" s="25" t="n">
        <v>1545655385</v>
      </c>
      <c r="I8234" t="inlineStr">
        <is>
          <t>entidad-dia</t>
        </is>
      </c>
    </row>
    <row r="8235">
      <c r="A8235" t="inlineStr">
        <is>
          <t>PRAGMA</t>
        </is>
      </c>
      <c r="B8235" t="inlineStr">
        <is>
          <t>M3</t>
        </is>
      </c>
      <c r="C8235" t="inlineStr">
        <is>
          <t>Cali</t>
        </is>
      </c>
      <c r="D8235" t="inlineStr">
        <is>
          <t>190</t>
        </is>
      </c>
      <c r="E8235" t="inlineStr">
        <is>
          <t>salidas</t>
        </is>
      </c>
      <c r="F8235" s="23" t="n">
        <v>46279</v>
      </c>
      <c r="G8235" s="24">
        <f>F8235-DATE(2026,8,31)</f>
        <v>14</v>
      </c>
      <c r="H8235" s="25" t="n">
        <v>1374680360</v>
      </c>
      <c r="I8235" t="inlineStr">
        <is>
          <t>entidad-dia</t>
        </is>
      </c>
    </row>
    <row r="8236">
      <c r="A8236" t="inlineStr">
        <is>
          <t>PRAGMA</t>
        </is>
      </c>
      <c r="B8236" t="inlineStr">
        <is>
          <t>M3</t>
        </is>
      </c>
      <c r="C8236" t="inlineStr">
        <is>
          <t>Cali</t>
        </is>
      </c>
      <c r="D8236" t="inlineStr">
        <is>
          <t>190</t>
        </is>
      </c>
      <c r="E8236" t="inlineStr">
        <is>
          <t>entradas</t>
        </is>
      </c>
      <c r="F8236" s="23" t="n">
        <v>46280</v>
      </c>
      <c r="G8236" s="24">
        <f>F8236-DATE(2026,8,31)</f>
        <v>15</v>
      </c>
      <c r="H8236" s="25" t="n">
        <v>1525095059</v>
      </c>
      <c r="I8236" t="inlineStr">
        <is>
          <t>entidad-dia</t>
        </is>
      </c>
    </row>
    <row r="8237">
      <c r="A8237" t="inlineStr">
        <is>
          <t>PRAGMA</t>
        </is>
      </c>
      <c r="B8237" t="inlineStr">
        <is>
          <t>M3</t>
        </is>
      </c>
      <c r="C8237" t="inlineStr">
        <is>
          <t>Cali</t>
        </is>
      </c>
      <c r="D8237" t="inlineStr">
        <is>
          <t>190</t>
        </is>
      </c>
      <c r="E8237" t="inlineStr">
        <is>
          <t>salidas</t>
        </is>
      </c>
      <c r="F8237" s="23" t="n">
        <v>46280</v>
      </c>
      <c r="G8237" s="24">
        <f>F8237-DATE(2026,8,31)</f>
        <v>15</v>
      </c>
      <c r="H8237" s="25" t="n">
        <v>1426344230</v>
      </c>
      <c r="I8237" t="inlineStr">
        <is>
          <t>entidad-dia</t>
        </is>
      </c>
    </row>
    <row r="8238">
      <c r="A8238" t="inlineStr">
        <is>
          <t>PRAGMA</t>
        </is>
      </c>
      <c r="B8238" t="inlineStr">
        <is>
          <t>M3</t>
        </is>
      </c>
      <c r="C8238" t="inlineStr">
        <is>
          <t>Pasto</t>
        </is>
      </c>
      <c r="D8238" t="inlineStr">
        <is>
          <t>195</t>
        </is>
      </c>
      <c r="E8238" t="inlineStr">
        <is>
          <t>entradas</t>
        </is>
      </c>
      <c r="F8238" s="23" t="n">
        <v>46266</v>
      </c>
      <c r="G8238" s="24">
        <f>F8238-DATE(2026,8,31)</f>
        <v>1</v>
      </c>
      <c r="H8238" s="25" t="n">
        <v>503274916</v>
      </c>
      <c r="I8238" t="inlineStr">
        <is>
          <t>entidad-dia</t>
        </is>
      </c>
    </row>
    <row r="8239">
      <c r="A8239" t="inlineStr">
        <is>
          <t>PRAGMA</t>
        </is>
      </c>
      <c r="B8239" t="inlineStr">
        <is>
          <t>M3</t>
        </is>
      </c>
      <c r="C8239" t="inlineStr">
        <is>
          <t>Pasto</t>
        </is>
      </c>
      <c r="D8239" t="inlineStr">
        <is>
          <t>195</t>
        </is>
      </c>
      <c r="E8239" t="inlineStr">
        <is>
          <t>salidas</t>
        </is>
      </c>
      <c r="F8239" s="23" t="n">
        <v>46266</v>
      </c>
      <c r="G8239" s="24">
        <f>F8239-DATE(2026,8,31)</f>
        <v>1</v>
      </c>
      <c r="H8239" s="25" t="n">
        <v>539565766</v>
      </c>
      <c r="I8239" t="inlineStr">
        <is>
          <t>entidad-dia</t>
        </is>
      </c>
    </row>
    <row r="8240">
      <c r="A8240" t="inlineStr">
        <is>
          <t>PRAGMA</t>
        </is>
      </c>
      <c r="B8240" t="inlineStr">
        <is>
          <t>M3</t>
        </is>
      </c>
      <c r="C8240" t="inlineStr">
        <is>
          <t>Pasto</t>
        </is>
      </c>
      <c r="D8240" t="inlineStr">
        <is>
          <t>195</t>
        </is>
      </c>
      <c r="E8240" t="inlineStr">
        <is>
          <t>entradas</t>
        </is>
      </c>
      <c r="F8240" s="23" t="n">
        <v>46267</v>
      </c>
      <c r="G8240" s="24">
        <f>F8240-DATE(2026,8,31)</f>
        <v>2</v>
      </c>
      <c r="H8240" s="25" t="n">
        <v>471004438</v>
      </c>
      <c r="I8240" t="inlineStr">
        <is>
          <t>entidad-dia</t>
        </is>
      </c>
    </row>
    <row r="8241">
      <c r="A8241" t="inlineStr">
        <is>
          <t>PRAGMA</t>
        </is>
      </c>
      <c r="B8241" t="inlineStr">
        <is>
          <t>M3</t>
        </is>
      </c>
      <c r="C8241" t="inlineStr">
        <is>
          <t>Pasto</t>
        </is>
      </c>
      <c r="D8241" t="inlineStr">
        <is>
          <t>195</t>
        </is>
      </c>
      <c r="E8241" t="inlineStr">
        <is>
          <t>salidas</t>
        </is>
      </c>
      <c r="F8241" s="23" t="n">
        <v>46267</v>
      </c>
      <c r="G8241" s="24">
        <f>F8241-DATE(2026,8,31)</f>
        <v>2</v>
      </c>
      <c r="H8241" s="25" t="n">
        <v>571602339</v>
      </c>
      <c r="I8241" t="inlineStr">
        <is>
          <t>entidad-dia</t>
        </is>
      </c>
    </row>
    <row r="8242">
      <c r="A8242" t="inlineStr">
        <is>
          <t>PRAGMA</t>
        </is>
      </c>
      <c r="B8242" t="inlineStr">
        <is>
          <t>M3</t>
        </is>
      </c>
      <c r="C8242" t="inlineStr">
        <is>
          <t>Pasto</t>
        </is>
      </c>
      <c r="D8242" t="inlineStr">
        <is>
          <t>195</t>
        </is>
      </c>
      <c r="E8242" t="inlineStr">
        <is>
          <t>entradas</t>
        </is>
      </c>
      <c r="F8242" s="23" t="n">
        <v>46268</v>
      </c>
      <c r="G8242" s="24">
        <f>F8242-DATE(2026,8,31)</f>
        <v>3</v>
      </c>
      <c r="H8242" s="25" t="n">
        <v>412655300</v>
      </c>
      <c r="I8242" t="inlineStr">
        <is>
          <t>entidad-dia</t>
        </is>
      </c>
    </row>
    <row r="8243">
      <c r="A8243" t="inlineStr">
        <is>
          <t>PRAGMA</t>
        </is>
      </c>
      <c r="B8243" t="inlineStr">
        <is>
          <t>M3</t>
        </is>
      </c>
      <c r="C8243" t="inlineStr">
        <is>
          <t>Pasto</t>
        </is>
      </c>
      <c r="D8243" t="inlineStr">
        <is>
          <t>195</t>
        </is>
      </c>
      <c r="E8243" t="inlineStr">
        <is>
          <t>salidas</t>
        </is>
      </c>
      <c r="F8243" s="23" t="n">
        <v>46268</v>
      </c>
      <c r="G8243" s="24">
        <f>F8243-DATE(2026,8,31)</f>
        <v>3</v>
      </c>
      <c r="H8243" s="25" t="n">
        <v>322226319</v>
      </c>
      <c r="I8243" t="inlineStr">
        <is>
          <t>entidad-dia</t>
        </is>
      </c>
    </row>
    <row r="8244">
      <c r="A8244" t="inlineStr">
        <is>
          <t>PRAGMA</t>
        </is>
      </c>
      <c r="B8244" t="inlineStr">
        <is>
          <t>M3</t>
        </is>
      </c>
      <c r="C8244" t="inlineStr">
        <is>
          <t>Pasto</t>
        </is>
      </c>
      <c r="D8244" t="inlineStr">
        <is>
          <t>195</t>
        </is>
      </c>
      <c r="E8244" t="inlineStr">
        <is>
          <t>entradas</t>
        </is>
      </c>
      <c r="F8244" s="23" t="n">
        <v>46269</v>
      </c>
      <c r="G8244" s="24">
        <f>F8244-DATE(2026,8,31)</f>
        <v>4</v>
      </c>
      <c r="H8244" s="25" t="n">
        <v>428392654</v>
      </c>
      <c r="I8244" t="inlineStr">
        <is>
          <t>entidad-dia</t>
        </is>
      </c>
    </row>
    <row r="8245">
      <c r="A8245" t="inlineStr">
        <is>
          <t>PRAGMA</t>
        </is>
      </c>
      <c r="B8245" t="inlineStr">
        <is>
          <t>M3</t>
        </is>
      </c>
      <c r="C8245" t="inlineStr">
        <is>
          <t>Pasto</t>
        </is>
      </c>
      <c r="D8245" t="inlineStr">
        <is>
          <t>195</t>
        </is>
      </c>
      <c r="E8245" t="inlineStr">
        <is>
          <t>salidas</t>
        </is>
      </c>
      <c r="F8245" s="23" t="n">
        <v>46269</v>
      </c>
      <c r="G8245" s="24">
        <f>F8245-DATE(2026,8,31)</f>
        <v>4</v>
      </c>
      <c r="H8245" s="25" t="n">
        <v>880851049</v>
      </c>
      <c r="I8245" t="inlineStr">
        <is>
          <t>entidad-dia</t>
        </is>
      </c>
    </row>
    <row r="8246">
      <c r="A8246" t="inlineStr">
        <is>
          <t>PRAGMA</t>
        </is>
      </c>
      <c r="B8246" t="inlineStr">
        <is>
          <t>M3</t>
        </is>
      </c>
      <c r="C8246" t="inlineStr">
        <is>
          <t>Pasto</t>
        </is>
      </c>
      <c r="D8246" t="inlineStr">
        <is>
          <t>195</t>
        </is>
      </c>
      <c r="E8246" t="inlineStr">
        <is>
          <t>entradas</t>
        </is>
      </c>
      <c r="F8246" s="23" t="n">
        <v>46270</v>
      </c>
      <c r="G8246" s="24">
        <f>F8246-DATE(2026,8,31)</f>
        <v>5</v>
      </c>
      <c r="H8246" s="25" t="n">
        <v>222549212</v>
      </c>
      <c r="I8246" t="inlineStr">
        <is>
          <t>entidad-dia</t>
        </is>
      </c>
    </row>
    <row r="8247">
      <c r="A8247" t="inlineStr">
        <is>
          <t>PRAGMA</t>
        </is>
      </c>
      <c r="B8247" t="inlineStr">
        <is>
          <t>M3</t>
        </is>
      </c>
      <c r="C8247" t="inlineStr">
        <is>
          <t>Pasto</t>
        </is>
      </c>
      <c r="D8247" t="inlineStr">
        <is>
          <t>195</t>
        </is>
      </c>
      <c r="E8247" t="inlineStr">
        <is>
          <t>salidas</t>
        </is>
      </c>
      <c r="F8247" s="23" t="n">
        <v>46270</v>
      </c>
      <c r="G8247" s="24">
        <f>F8247-DATE(2026,8,31)</f>
        <v>5</v>
      </c>
      <c r="H8247" s="25" t="n">
        <v>802879170</v>
      </c>
      <c r="I8247" t="inlineStr">
        <is>
          <t>entidad-dia</t>
        </is>
      </c>
    </row>
    <row r="8248">
      <c r="A8248" t="inlineStr">
        <is>
          <t>PRAGMA</t>
        </is>
      </c>
      <c r="B8248" t="inlineStr">
        <is>
          <t>M3</t>
        </is>
      </c>
      <c r="C8248" t="inlineStr">
        <is>
          <t>Pasto</t>
        </is>
      </c>
      <c r="D8248" t="inlineStr">
        <is>
          <t>195</t>
        </is>
      </c>
      <c r="E8248" t="inlineStr">
        <is>
          <t>entradas</t>
        </is>
      </c>
      <c r="F8248" s="23" t="n">
        <v>46271</v>
      </c>
      <c r="G8248" s="24">
        <f>F8248-DATE(2026,8,31)</f>
        <v>6</v>
      </c>
      <c r="H8248" s="25" t="n">
        <v>87636</v>
      </c>
      <c r="I8248" t="inlineStr">
        <is>
          <t>entidad-dia</t>
        </is>
      </c>
    </row>
    <row r="8249">
      <c r="A8249" t="inlineStr">
        <is>
          <t>PRAGMA</t>
        </is>
      </c>
      <c r="B8249" t="inlineStr">
        <is>
          <t>M3</t>
        </is>
      </c>
      <c r="C8249" t="inlineStr">
        <is>
          <t>Pasto</t>
        </is>
      </c>
      <c r="D8249" t="inlineStr">
        <is>
          <t>195</t>
        </is>
      </c>
      <c r="E8249" t="inlineStr">
        <is>
          <t>salidas</t>
        </is>
      </c>
      <c r="F8249" s="23" t="n">
        <v>46271</v>
      </c>
      <c r="G8249" s="24">
        <f>F8249-DATE(2026,8,31)</f>
        <v>6</v>
      </c>
      <c r="H8249" s="25" t="n">
        <v>0</v>
      </c>
      <c r="I8249" t="inlineStr">
        <is>
          <t>entidad-dia</t>
        </is>
      </c>
    </row>
    <row r="8250">
      <c r="A8250" t="inlineStr">
        <is>
          <t>PRAGMA</t>
        </is>
      </c>
      <c r="B8250" t="inlineStr">
        <is>
          <t>M3</t>
        </is>
      </c>
      <c r="C8250" t="inlineStr">
        <is>
          <t>Pasto</t>
        </is>
      </c>
      <c r="D8250" t="inlineStr">
        <is>
          <t>195</t>
        </is>
      </c>
      <c r="E8250" t="inlineStr">
        <is>
          <t>entradas</t>
        </is>
      </c>
      <c r="F8250" s="23" t="n">
        <v>46272</v>
      </c>
      <c r="G8250" s="24">
        <f>F8250-DATE(2026,8,31)</f>
        <v>7</v>
      </c>
      <c r="H8250" s="25" t="n">
        <v>29356953</v>
      </c>
      <c r="I8250" t="inlineStr">
        <is>
          <t>entidad-dia</t>
        </is>
      </c>
    </row>
    <row r="8251">
      <c r="A8251" t="inlineStr">
        <is>
          <t>PRAGMA</t>
        </is>
      </c>
      <c r="B8251" t="inlineStr">
        <is>
          <t>M3</t>
        </is>
      </c>
      <c r="C8251" t="inlineStr">
        <is>
          <t>Pasto</t>
        </is>
      </c>
      <c r="D8251" t="inlineStr">
        <is>
          <t>195</t>
        </is>
      </c>
      <c r="E8251" t="inlineStr">
        <is>
          <t>salidas</t>
        </is>
      </c>
      <c r="F8251" s="23" t="n">
        <v>46272</v>
      </c>
      <c r="G8251" s="24">
        <f>F8251-DATE(2026,8,31)</f>
        <v>7</v>
      </c>
      <c r="H8251" s="25" t="n">
        <v>0</v>
      </c>
      <c r="I8251" t="inlineStr">
        <is>
          <t>entidad-dia</t>
        </is>
      </c>
    </row>
    <row r="8252">
      <c r="A8252" t="inlineStr">
        <is>
          <t>PRAGMA</t>
        </is>
      </c>
      <c r="B8252" t="inlineStr">
        <is>
          <t>M3</t>
        </is>
      </c>
      <c r="C8252" t="inlineStr">
        <is>
          <t>Pasto</t>
        </is>
      </c>
      <c r="D8252" t="inlineStr">
        <is>
          <t>195</t>
        </is>
      </c>
      <c r="E8252" t="inlineStr">
        <is>
          <t>entradas</t>
        </is>
      </c>
      <c r="F8252" s="23" t="n">
        <v>46273</v>
      </c>
      <c r="G8252" s="24">
        <f>F8252-DATE(2026,8,31)</f>
        <v>8</v>
      </c>
      <c r="H8252" s="25" t="n">
        <v>527602206</v>
      </c>
      <c r="I8252" t="inlineStr">
        <is>
          <t>entidad-dia</t>
        </is>
      </c>
    </row>
    <row r="8253">
      <c r="A8253" t="inlineStr">
        <is>
          <t>PRAGMA</t>
        </is>
      </c>
      <c r="B8253" t="inlineStr">
        <is>
          <t>M3</t>
        </is>
      </c>
      <c r="C8253" t="inlineStr">
        <is>
          <t>Pasto</t>
        </is>
      </c>
      <c r="D8253" t="inlineStr">
        <is>
          <t>195</t>
        </is>
      </c>
      <c r="E8253" t="inlineStr">
        <is>
          <t>salidas</t>
        </is>
      </c>
      <c r="F8253" s="23" t="n">
        <v>46273</v>
      </c>
      <c r="G8253" s="24">
        <f>F8253-DATE(2026,8,31)</f>
        <v>8</v>
      </c>
      <c r="H8253" s="25" t="n">
        <v>522568019</v>
      </c>
      <c r="I8253" t="inlineStr">
        <is>
          <t>entidad-dia</t>
        </is>
      </c>
    </row>
    <row r="8254">
      <c r="A8254" t="inlineStr">
        <is>
          <t>PRAGMA</t>
        </is>
      </c>
      <c r="B8254" t="inlineStr">
        <is>
          <t>M3</t>
        </is>
      </c>
      <c r="C8254" t="inlineStr">
        <is>
          <t>Pasto</t>
        </is>
      </c>
      <c r="D8254" t="inlineStr">
        <is>
          <t>195</t>
        </is>
      </c>
      <c r="E8254" t="inlineStr">
        <is>
          <t>entradas</t>
        </is>
      </c>
      <c r="F8254" s="23" t="n">
        <v>46274</v>
      </c>
      <c r="G8254" s="24">
        <f>F8254-DATE(2026,8,31)</f>
        <v>9</v>
      </c>
      <c r="H8254" s="25" t="n">
        <v>475934036</v>
      </c>
      <c r="I8254" t="inlineStr">
        <is>
          <t>entidad-dia</t>
        </is>
      </c>
    </row>
    <row r="8255">
      <c r="A8255" t="inlineStr">
        <is>
          <t>PRAGMA</t>
        </is>
      </c>
      <c r="B8255" t="inlineStr">
        <is>
          <t>M3</t>
        </is>
      </c>
      <c r="C8255" t="inlineStr">
        <is>
          <t>Pasto</t>
        </is>
      </c>
      <c r="D8255" t="inlineStr">
        <is>
          <t>195</t>
        </is>
      </c>
      <c r="E8255" t="inlineStr">
        <is>
          <t>salidas</t>
        </is>
      </c>
      <c r="F8255" s="23" t="n">
        <v>46274</v>
      </c>
      <c r="G8255" s="24">
        <f>F8255-DATE(2026,8,31)</f>
        <v>9</v>
      </c>
      <c r="H8255" s="25" t="n">
        <v>530800093</v>
      </c>
      <c r="I8255" t="inlineStr">
        <is>
          <t>entidad-dia</t>
        </is>
      </c>
    </row>
    <row r="8256">
      <c r="A8256" t="inlineStr">
        <is>
          <t>PRAGMA</t>
        </is>
      </c>
      <c r="B8256" t="inlineStr">
        <is>
          <t>M3</t>
        </is>
      </c>
      <c r="C8256" t="inlineStr">
        <is>
          <t>Pasto</t>
        </is>
      </c>
      <c r="D8256" t="inlineStr">
        <is>
          <t>195</t>
        </is>
      </c>
      <c r="E8256" t="inlineStr">
        <is>
          <t>entradas</t>
        </is>
      </c>
      <c r="F8256" s="23" t="n">
        <v>46275</v>
      </c>
      <c r="G8256" s="24">
        <f>F8256-DATE(2026,8,31)</f>
        <v>10</v>
      </c>
      <c r="H8256" s="25" t="n">
        <v>418703754</v>
      </c>
      <c r="I8256" t="inlineStr">
        <is>
          <t>entidad-dia</t>
        </is>
      </c>
    </row>
    <row r="8257">
      <c r="A8257" t="inlineStr">
        <is>
          <t>PRAGMA</t>
        </is>
      </c>
      <c r="B8257" t="inlineStr">
        <is>
          <t>M3</t>
        </is>
      </c>
      <c r="C8257" t="inlineStr">
        <is>
          <t>Pasto</t>
        </is>
      </c>
      <c r="D8257" t="inlineStr">
        <is>
          <t>195</t>
        </is>
      </c>
      <c r="E8257" t="inlineStr">
        <is>
          <t>salidas</t>
        </is>
      </c>
      <c r="F8257" s="23" t="n">
        <v>46275</v>
      </c>
      <c r="G8257" s="24">
        <f>F8257-DATE(2026,8,31)</f>
        <v>10</v>
      </c>
      <c r="H8257" s="25" t="n">
        <v>494330202</v>
      </c>
      <c r="I8257" t="inlineStr">
        <is>
          <t>entidad-dia</t>
        </is>
      </c>
    </row>
    <row r="8258">
      <c r="A8258" t="inlineStr">
        <is>
          <t>PRAGMA</t>
        </is>
      </c>
      <c r="B8258" t="inlineStr">
        <is>
          <t>M3</t>
        </is>
      </c>
      <c r="C8258" t="inlineStr">
        <is>
          <t>Pasto</t>
        </is>
      </c>
      <c r="D8258" t="inlineStr">
        <is>
          <t>195</t>
        </is>
      </c>
      <c r="E8258" t="inlineStr">
        <is>
          <t>entradas</t>
        </is>
      </c>
      <c r="F8258" s="23" t="n">
        <v>46276</v>
      </c>
      <c r="G8258" s="24">
        <f>F8258-DATE(2026,8,31)</f>
        <v>11</v>
      </c>
      <c r="H8258" s="25" t="n">
        <v>420453277</v>
      </c>
      <c r="I8258" t="inlineStr">
        <is>
          <t>entidad-dia</t>
        </is>
      </c>
    </row>
    <row r="8259">
      <c r="A8259" t="inlineStr">
        <is>
          <t>PRAGMA</t>
        </is>
      </c>
      <c r="B8259" t="inlineStr">
        <is>
          <t>M3</t>
        </is>
      </c>
      <c r="C8259" t="inlineStr">
        <is>
          <t>Pasto</t>
        </is>
      </c>
      <c r="D8259" t="inlineStr">
        <is>
          <t>195</t>
        </is>
      </c>
      <c r="E8259" t="inlineStr">
        <is>
          <t>salidas</t>
        </is>
      </c>
      <c r="F8259" s="23" t="n">
        <v>46276</v>
      </c>
      <c r="G8259" s="24">
        <f>F8259-DATE(2026,8,31)</f>
        <v>11</v>
      </c>
      <c r="H8259" s="25" t="n">
        <v>803522725</v>
      </c>
      <c r="I8259" t="inlineStr">
        <is>
          <t>entidad-dia</t>
        </is>
      </c>
    </row>
    <row r="8260">
      <c r="A8260" t="inlineStr">
        <is>
          <t>PRAGMA</t>
        </is>
      </c>
      <c r="B8260" t="inlineStr">
        <is>
          <t>M3</t>
        </is>
      </c>
      <c r="C8260" t="inlineStr">
        <is>
          <t>Pasto</t>
        </is>
      </c>
      <c r="D8260" t="inlineStr">
        <is>
          <t>195</t>
        </is>
      </c>
      <c r="E8260" t="inlineStr">
        <is>
          <t>entradas</t>
        </is>
      </c>
      <c r="F8260" s="23" t="n">
        <v>46277</v>
      </c>
      <c r="G8260" s="24">
        <f>F8260-DATE(2026,8,31)</f>
        <v>12</v>
      </c>
      <c r="H8260" s="25" t="n">
        <v>217253303</v>
      </c>
      <c r="I8260" t="inlineStr">
        <is>
          <t>entidad-dia</t>
        </is>
      </c>
    </row>
    <row r="8261">
      <c r="A8261" t="inlineStr">
        <is>
          <t>PRAGMA</t>
        </is>
      </c>
      <c r="B8261" t="inlineStr">
        <is>
          <t>M3</t>
        </is>
      </c>
      <c r="C8261" t="inlineStr">
        <is>
          <t>Pasto</t>
        </is>
      </c>
      <c r="D8261" t="inlineStr">
        <is>
          <t>195</t>
        </is>
      </c>
      <c r="E8261" t="inlineStr">
        <is>
          <t>salidas</t>
        </is>
      </c>
      <c r="F8261" s="23" t="n">
        <v>46277</v>
      </c>
      <c r="G8261" s="24">
        <f>F8261-DATE(2026,8,31)</f>
        <v>12</v>
      </c>
      <c r="H8261" s="25" t="n">
        <v>803702884</v>
      </c>
      <c r="I8261" t="inlineStr">
        <is>
          <t>entidad-dia</t>
        </is>
      </c>
    </row>
    <row r="8262">
      <c r="A8262" t="inlineStr">
        <is>
          <t>PRAGMA</t>
        </is>
      </c>
      <c r="B8262" t="inlineStr">
        <is>
          <t>M3</t>
        </is>
      </c>
      <c r="C8262" t="inlineStr">
        <is>
          <t>Pasto</t>
        </is>
      </c>
      <c r="D8262" t="inlineStr">
        <is>
          <t>195</t>
        </is>
      </c>
      <c r="E8262" t="inlineStr">
        <is>
          <t>entradas</t>
        </is>
      </c>
      <c r="F8262" s="23" t="n">
        <v>46278</v>
      </c>
      <c r="G8262" s="24">
        <f>F8262-DATE(2026,8,31)</f>
        <v>13</v>
      </c>
      <c r="H8262" s="25" t="n">
        <v>51033</v>
      </c>
      <c r="I8262" t="inlineStr">
        <is>
          <t>entidad-dia</t>
        </is>
      </c>
    </row>
    <row r="8263">
      <c r="A8263" t="inlineStr">
        <is>
          <t>PRAGMA</t>
        </is>
      </c>
      <c r="B8263" t="inlineStr">
        <is>
          <t>M3</t>
        </is>
      </c>
      <c r="C8263" t="inlineStr">
        <is>
          <t>Pasto</t>
        </is>
      </c>
      <c r="D8263" t="inlineStr">
        <is>
          <t>195</t>
        </is>
      </c>
      <c r="E8263" t="inlineStr">
        <is>
          <t>salidas</t>
        </is>
      </c>
      <c r="F8263" s="23" t="n">
        <v>46278</v>
      </c>
      <c r="G8263" s="24">
        <f>F8263-DATE(2026,8,31)</f>
        <v>13</v>
      </c>
      <c r="H8263" s="25" t="n">
        <v>0</v>
      </c>
      <c r="I8263" t="inlineStr">
        <is>
          <t>entidad-dia</t>
        </is>
      </c>
    </row>
    <row r="8264">
      <c r="A8264" t="inlineStr">
        <is>
          <t>PRAGMA</t>
        </is>
      </c>
      <c r="B8264" t="inlineStr">
        <is>
          <t>M3</t>
        </is>
      </c>
      <c r="C8264" t="inlineStr">
        <is>
          <t>Pasto</t>
        </is>
      </c>
      <c r="D8264" t="inlineStr">
        <is>
          <t>195</t>
        </is>
      </c>
      <c r="E8264" t="inlineStr">
        <is>
          <t>entradas</t>
        </is>
      </c>
      <c r="F8264" s="23" t="n">
        <v>46279</v>
      </c>
      <c r="G8264" s="24">
        <f>F8264-DATE(2026,8,31)</f>
        <v>14</v>
      </c>
      <c r="H8264" s="25" t="n">
        <v>24371117</v>
      </c>
      <c r="I8264" t="inlineStr">
        <is>
          <t>entidad-dia</t>
        </is>
      </c>
    </row>
    <row r="8265">
      <c r="A8265" t="inlineStr">
        <is>
          <t>PRAGMA</t>
        </is>
      </c>
      <c r="B8265" t="inlineStr">
        <is>
          <t>M3</t>
        </is>
      </c>
      <c r="C8265" t="inlineStr">
        <is>
          <t>Pasto</t>
        </is>
      </c>
      <c r="D8265" t="inlineStr">
        <is>
          <t>195</t>
        </is>
      </c>
      <c r="E8265" t="inlineStr">
        <is>
          <t>salidas</t>
        </is>
      </c>
      <c r="F8265" s="23" t="n">
        <v>46279</v>
      </c>
      <c r="G8265" s="24">
        <f>F8265-DATE(2026,8,31)</f>
        <v>14</v>
      </c>
      <c r="H8265" s="25" t="n">
        <v>77079498</v>
      </c>
      <c r="I8265" t="inlineStr">
        <is>
          <t>entidad-dia</t>
        </is>
      </c>
    </row>
    <row r="8266">
      <c r="A8266" t="inlineStr">
        <is>
          <t>PRAGMA</t>
        </is>
      </c>
      <c r="B8266" t="inlineStr">
        <is>
          <t>M3</t>
        </is>
      </c>
      <c r="C8266" t="inlineStr">
        <is>
          <t>Pasto</t>
        </is>
      </c>
      <c r="D8266" t="inlineStr">
        <is>
          <t>195</t>
        </is>
      </c>
      <c r="E8266" t="inlineStr">
        <is>
          <t>entradas</t>
        </is>
      </c>
      <c r="F8266" s="23" t="n">
        <v>46280</v>
      </c>
      <c r="G8266" s="24">
        <f>F8266-DATE(2026,8,31)</f>
        <v>15</v>
      </c>
      <c r="H8266" s="25" t="n">
        <v>534808827</v>
      </c>
      <c r="I8266" t="inlineStr">
        <is>
          <t>entidad-dia</t>
        </is>
      </c>
    </row>
    <row r="8267">
      <c r="A8267" t="inlineStr">
        <is>
          <t>PRAGMA</t>
        </is>
      </c>
      <c r="B8267" t="inlineStr">
        <is>
          <t>M3</t>
        </is>
      </c>
      <c r="C8267" t="inlineStr">
        <is>
          <t>Pasto</t>
        </is>
      </c>
      <c r="D8267" t="inlineStr">
        <is>
          <t>195</t>
        </is>
      </c>
      <c r="E8267" t="inlineStr">
        <is>
          <t>salidas</t>
        </is>
      </c>
      <c r="F8267" s="23" t="n">
        <v>46280</v>
      </c>
      <c r="G8267" s="24">
        <f>F8267-DATE(2026,8,31)</f>
        <v>15</v>
      </c>
      <c r="H8267" s="25" t="n">
        <v>526596617</v>
      </c>
      <c r="I8267" t="inlineStr">
        <is>
          <t>entidad-dia</t>
        </is>
      </c>
    </row>
    <row r="8268">
      <c r="A8268" t="inlineStr">
        <is>
          <t>PRAGMA</t>
        </is>
      </c>
      <c r="B8268" t="inlineStr">
        <is>
          <t>M3</t>
        </is>
      </c>
      <c r="C8268" t="inlineStr">
        <is>
          <t>Pasto</t>
        </is>
      </c>
      <c r="D8268" t="inlineStr">
        <is>
          <t>200</t>
        </is>
      </c>
      <c r="E8268" t="inlineStr">
        <is>
          <t>entradas</t>
        </is>
      </c>
      <c r="F8268" s="23" t="n">
        <v>46266</v>
      </c>
      <c r="G8268" s="24">
        <f>F8268-DATE(2026,8,31)</f>
        <v>1</v>
      </c>
      <c r="H8268" s="25" t="n">
        <v>1905010038</v>
      </c>
      <c r="I8268" t="inlineStr">
        <is>
          <t>entidad-dia</t>
        </is>
      </c>
    </row>
    <row r="8269">
      <c r="A8269" t="inlineStr">
        <is>
          <t>PRAGMA</t>
        </is>
      </c>
      <c r="B8269" t="inlineStr">
        <is>
          <t>M3</t>
        </is>
      </c>
      <c r="C8269" t="inlineStr">
        <is>
          <t>Pasto</t>
        </is>
      </c>
      <c r="D8269" t="inlineStr">
        <is>
          <t>200</t>
        </is>
      </c>
      <c r="E8269" t="inlineStr">
        <is>
          <t>salidas</t>
        </is>
      </c>
      <c r="F8269" s="23" t="n">
        <v>46266</v>
      </c>
      <c r="G8269" s="24">
        <f>F8269-DATE(2026,8,31)</f>
        <v>1</v>
      </c>
      <c r="H8269" s="25" t="n">
        <v>2946038220</v>
      </c>
      <c r="I8269" t="inlineStr">
        <is>
          <t>entidad-dia</t>
        </is>
      </c>
    </row>
    <row r="8270">
      <c r="A8270" t="inlineStr">
        <is>
          <t>PRAGMA</t>
        </is>
      </c>
      <c r="B8270" t="inlineStr">
        <is>
          <t>M3</t>
        </is>
      </c>
      <c r="C8270" t="inlineStr">
        <is>
          <t>Pasto</t>
        </is>
      </c>
      <c r="D8270" t="inlineStr">
        <is>
          <t>200</t>
        </is>
      </c>
      <c r="E8270" t="inlineStr">
        <is>
          <t>entradas</t>
        </is>
      </c>
      <c r="F8270" s="23" t="n">
        <v>46267</v>
      </c>
      <c r="G8270" s="24">
        <f>F8270-DATE(2026,8,31)</f>
        <v>2</v>
      </c>
      <c r="H8270" s="25" t="n">
        <v>1929704529</v>
      </c>
      <c r="I8270" t="inlineStr">
        <is>
          <t>entidad-dia</t>
        </is>
      </c>
    </row>
    <row r="8271">
      <c r="A8271" t="inlineStr">
        <is>
          <t>PRAGMA</t>
        </is>
      </c>
      <c r="B8271" t="inlineStr">
        <is>
          <t>M3</t>
        </is>
      </c>
      <c r="C8271" t="inlineStr">
        <is>
          <t>Pasto</t>
        </is>
      </c>
      <c r="D8271" t="inlineStr">
        <is>
          <t>200</t>
        </is>
      </c>
      <c r="E8271" t="inlineStr">
        <is>
          <t>salidas</t>
        </is>
      </c>
      <c r="F8271" s="23" t="n">
        <v>46267</v>
      </c>
      <c r="G8271" s="24">
        <f>F8271-DATE(2026,8,31)</f>
        <v>2</v>
      </c>
      <c r="H8271" s="25" t="n">
        <v>3405270617</v>
      </c>
      <c r="I8271" t="inlineStr">
        <is>
          <t>entidad-dia</t>
        </is>
      </c>
    </row>
    <row r="8272">
      <c r="A8272" t="inlineStr">
        <is>
          <t>PRAGMA</t>
        </is>
      </c>
      <c r="B8272" t="inlineStr">
        <is>
          <t>M3</t>
        </is>
      </c>
      <c r="C8272" t="inlineStr">
        <is>
          <t>Pasto</t>
        </is>
      </c>
      <c r="D8272" t="inlineStr">
        <is>
          <t>200</t>
        </is>
      </c>
      <c r="E8272" t="inlineStr">
        <is>
          <t>entradas</t>
        </is>
      </c>
      <c r="F8272" s="23" t="n">
        <v>46268</v>
      </c>
      <c r="G8272" s="24">
        <f>F8272-DATE(2026,8,31)</f>
        <v>3</v>
      </c>
      <c r="H8272" s="25" t="n">
        <v>1633935148</v>
      </c>
      <c r="I8272" t="inlineStr">
        <is>
          <t>entidad-dia</t>
        </is>
      </c>
    </row>
    <row r="8273">
      <c r="A8273" t="inlineStr">
        <is>
          <t>PRAGMA</t>
        </is>
      </c>
      <c r="B8273" t="inlineStr">
        <is>
          <t>M3</t>
        </is>
      </c>
      <c r="C8273" t="inlineStr">
        <is>
          <t>Pasto</t>
        </is>
      </c>
      <c r="D8273" t="inlineStr">
        <is>
          <t>200</t>
        </is>
      </c>
      <c r="E8273" t="inlineStr">
        <is>
          <t>salidas</t>
        </is>
      </c>
      <c r="F8273" s="23" t="n">
        <v>46268</v>
      </c>
      <c r="G8273" s="24">
        <f>F8273-DATE(2026,8,31)</f>
        <v>3</v>
      </c>
      <c r="H8273" s="25" t="n">
        <v>2310820434</v>
      </c>
      <c r="I8273" t="inlineStr">
        <is>
          <t>entidad-dia</t>
        </is>
      </c>
    </row>
    <row r="8274">
      <c r="A8274" t="inlineStr">
        <is>
          <t>PRAGMA</t>
        </is>
      </c>
      <c r="B8274" t="inlineStr">
        <is>
          <t>M3</t>
        </is>
      </c>
      <c r="C8274" t="inlineStr">
        <is>
          <t>Pasto</t>
        </is>
      </c>
      <c r="D8274" t="inlineStr">
        <is>
          <t>200</t>
        </is>
      </c>
      <c r="E8274" t="inlineStr">
        <is>
          <t>entradas</t>
        </is>
      </c>
      <c r="F8274" s="23" t="n">
        <v>46269</v>
      </c>
      <c r="G8274" s="24">
        <f>F8274-DATE(2026,8,31)</f>
        <v>4</v>
      </c>
      <c r="H8274" s="25" t="n">
        <v>1790160094</v>
      </c>
      <c r="I8274" t="inlineStr">
        <is>
          <t>entidad-dia</t>
        </is>
      </c>
    </row>
    <row r="8275">
      <c r="A8275" t="inlineStr">
        <is>
          <t>PRAGMA</t>
        </is>
      </c>
      <c r="B8275" t="inlineStr">
        <is>
          <t>M3</t>
        </is>
      </c>
      <c r="C8275" t="inlineStr">
        <is>
          <t>Pasto</t>
        </is>
      </c>
      <c r="D8275" t="inlineStr">
        <is>
          <t>200</t>
        </is>
      </c>
      <c r="E8275" t="inlineStr">
        <is>
          <t>salidas</t>
        </is>
      </c>
      <c r="F8275" s="23" t="n">
        <v>46269</v>
      </c>
      <c r="G8275" s="24">
        <f>F8275-DATE(2026,8,31)</f>
        <v>4</v>
      </c>
      <c r="H8275" s="25" t="n">
        <v>3684605413</v>
      </c>
      <c r="I8275" t="inlineStr">
        <is>
          <t>entidad-dia</t>
        </is>
      </c>
    </row>
    <row r="8276">
      <c r="A8276" t="inlineStr">
        <is>
          <t>PRAGMA</t>
        </is>
      </c>
      <c r="B8276" t="inlineStr">
        <is>
          <t>M3</t>
        </is>
      </c>
      <c r="C8276" t="inlineStr">
        <is>
          <t>Pasto</t>
        </is>
      </c>
      <c r="D8276" t="inlineStr">
        <is>
          <t>200</t>
        </is>
      </c>
      <c r="E8276" t="inlineStr">
        <is>
          <t>entradas</t>
        </is>
      </c>
      <c r="F8276" s="23" t="n">
        <v>46270</v>
      </c>
      <c r="G8276" s="24">
        <f>F8276-DATE(2026,8,31)</f>
        <v>5</v>
      </c>
      <c r="H8276" s="25" t="n">
        <v>1143895072</v>
      </c>
      <c r="I8276" t="inlineStr">
        <is>
          <t>entidad-dia</t>
        </is>
      </c>
    </row>
    <row r="8277">
      <c r="A8277" t="inlineStr">
        <is>
          <t>PRAGMA</t>
        </is>
      </c>
      <c r="B8277" t="inlineStr">
        <is>
          <t>M3</t>
        </is>
      </c>
      <c r="C8277" t="inlineStr">
        <is>
          <t>Pasto</t>
        </is>
      </c>
      <c r="D8277" t="inlineStr">
        <is>
          <t>200</t>
        </is>
      </c>
      <c r="E8277" t="inlineStr">
        <is>
          <t>salidas</t>
        </is>
      </c>
      <c r="F8277" s="23" t="n">
        <v>46270</v>
      </c>
      <c r="G8277" s="24">
        <f>F8277-DATE(2026,8,31)</f>
        <v>5</v>
      </c>
      <c r="H8277" s="25" t="n">
        <v>2471985210</v>
      </c>
      <c r="I8277" t="inlineStr">
        <is>
          <t>entidad-dia</t>
        </is>
      </c>
    </row>
    <row r="8278">
      <c r="A8278" t="inlineStr">
        <is>
          <t>PRAGMA</t>
        </is>
      </c>
      <c r="B8278" t="inlineStr">
        <is>
          <t>M3</t>
        </is>
      </c>
      <c r="C8278" t="inlineStr">
        <is>
          <t>Pasto</t>
        </is>
      </c>
      <c r="D8278" t="inlineStr">
        <is>
          <t>200</t>
        </is>
      </c>
      <c r="E8278" t="inlineStr">
        <is>
          <t>entradas</t>
        </is>
      </c>
      <c r="F8278" s="23" t="n">
        <v>46271</v>
      </c>
      <c r="G8278" s="24">
        <f>F8278-DATE(2026,8,31)</f>
        <v>6</v>
      </c>
      <c r="H8278" s="25" t="n">
        <v>8903</v>
      </c>
      <c r="I8278" t="inlineStr">
        <is>
          <t>entidad-dia</t>
        </is>
      </c>
    </row>
    <row r="8279">
      <c r="A8279" t="inlineStr">
        <is>
          <t>PRAGMA</t>
        </is>
      </c>
      <c r="B8279" t="inlineStr">
        <is>
          <t>M3</t>
        </is>
      </c>
      <c r="C8279" t="inlineStr">
        <is>
          <t>Pasto</t>
        </is>
      </c>
      <c r="D8279" t="inlineStr">
        <is>
          <t>200</t>
        </is>
      </c>
      <c r="E8279" t="inlineStr">
        <is>
          <t>salidas</t>
        </is>
      </c>
      <c r="F8279" s="23" t="n">
        <v>46271</v>
      </c>
      <c r="G8279" s="24">
        <f>F8279-DATE(2026,8,31)</f>
        <v>6</v>
      </c>
      <c r="H8279" s="25" t="n">
        <v>353157</v>
      </c>
      <c r="I8279" t="inlineStr">
        <is>
          <t>entidad-dia</t>
        </is>
      </c>
    </row>
    <row r="8280">
      <c r="A8280" t="inlineStr">
        <is>
          <t>PRAGMA</t>
        </is>
      </c>
      <c r="B8280" t="inlineStr">
        <is>
          <t>M3</t>
        </is>
      </c>
      <c r="C8280" t="inlineStr">
        <is>
          <t>Pasto</t>
        </is>
      </c>
      <c r="D8280" t="inlineStr">
        <is>
          <t>200</t>
        </is>
      </c>
      <c r="E8280" t="inlineStr">
        <is>
          <t>entradas</t>
        </is>
      </c>
      <c r="F8280" s="23" t="n">
        <v>46272</v>
      </c>
      <c r="G8280" s="24">
        <f>F8280-DATE(2026,8,31)</f>
        <v>7</v>
      </c>
      <c r="H8280" s="25" t="n">
        <v>97424183</v>
      </c>
      <c r="I8280" t="inlineStr">
        <is>
          <t>entidad-dia</t>
        </is>
      </c>
    </row>
    <row r="8281">
      <c r="A8281" t="inlineStr">
        <is>
          <t>PRAGMA</t>
        </is>
      </c>
      <c r="B8281" t="inlineStr">
        <is>
          <t>M3</t>
        </is>
      </c>
      <c r="C8281" t="inlineStr">
        <is>
          <t>Pasto</t>
        </is>
      </c>
      <c r="D8281" t="inlineStr">
        <is>
          <t>200</t>
        </is>
      </c>
      <c r="E8281" t="inlineStr">
        <is>
          <t>salidas</t>
        </is>
      </c>
      <c r="F8281" s="23" t="n">
        <v>46272</v>
      </c>
      <c r="G8281" s="24">
        <f>F8281-DATE(2026,8,31)</f>
        <v>7</v>
      </c>
      <c r="H8281" s="25" t="n">
        <v>0</v>
      </c>
      <c r="I8281" t="inlineStr">
        <is>
          <t>entidad-dia</t>
        </is>
      </c>
    </row>
    <row r="8282">
      <c r="A8282" t="inlineStr">
        <is>
          <t>PRAGMA</t>
        </is>
      </c>
      <c r="B8282" t="inlineStr">
        <is>
          <t>M3</t>
        </is>
      </c>
      <c r="C8282" t="inlineStr">
        <is>
          <t>Pasto</t>
        </is>
      </c>
      <c r="D8282" t="inlineStr">
        <is>
          <t>200</t>
        </is>
      </c>
      <c r="E8282" t="inlineStr">
        <is>
          <t>entradas</t>
        </is>
      </c>
      <c r="F8282" s="23" t="n">
        <v>46273</v>
      </c>
      <c r="G8282" s="24">
        <f>F8282-DATE(2026,8,31)</f>
        <v>8</v>
      </c>
      <c r="H8282" s="25" t="n">
        <v>2036584080</v>
      </c>
      <c r="I8282" t="inlineStr">
        <is>
          <t>entidad-dia</t>
        </is>
      </c>
    </row>
    <row r="8283">
      <c r="A8283" t="inlineStr">
        <is>
          <t>PRAGMA</t>
        </is>
      </c>
      <c r="B8283" t="inlineStr">
        <is>
          <t>M3</t>
        </is>
      </c>
      <c r="C8283" t="inlineStr">
        <is>
          <t>Pasto</t>
        </is>
      </c>
      <c r="D8283" t="inlineStr">
        <is>
          <t>200</t>
        </is>
      </c>
      <c r="E8283" t="inlineStr">
        <is>
          <t>salidas</t>
        </is>
      </c>
      <c r="F8283" s="23" t="n">
        <v>46273</v>
      </c>
      <c r="G8283" s="24">
        <f>F8283-DATE(2026,8,31)</f>
        <v>8</v>
      </c>
      <c r="H8283" s="25" t="n">
        <v>2793531877</v>
      </c>
      <c r="I8283" t="inlineStr">
        <is>
          <t>entidad-dia</t>
        </is>
      </c>
    </row>
    <row r="8284">
      <c r="A8284" t="inlineStr">
        <is>
          <t>PRAGMA</t>
        </is>
      </c>
      <c r="B8284" t="inlineStr">
        <is>
          <t>M3</t>
        </is>
      </c>
      <c r="C8284" t="inlineStr">
        <is>
          <t>Pasto</t>
        </is>
      </c>
      <c r="D8284" t="inlineStr">
        <is>
          <t>200</t>
        </is>
      </c>
      <c r="E8284" t="inlineStr">
        <is>
          <t>entradas</t>
        </is>
      </c>
      <c r="F8284" s="23" t="n">
        <v>46274</v>
      </c>
      <c r="G8284" s="24">
        <f>F8284-DATE(2026,8,31)</f>
        <v>9</v>
      </c>
      <c r="H8284" s="25" t="n">
        <v>1962582160</v>
      </c>
      <c r="I8284" t="inlineStr">
        <is>
          <t>entidad-dia</t>
        </is>
      </c>
    </row>
    <row r="8285">
      <c r="A8285" t="inlineStr">
        <is>
          <t>PRAGMA</t>
        </is>
      </c>
      <c r="B8285" t="inlineStr">
        <is>
          <t>M3</t>
        </is>
      </c>
      <c r="C8285" t="inlineStr">
        <is>
          <t>Pasto</t>
        </is>
      </c>
      <c r="D8285" t="inlineStr">
        <is>
          <t>200</t>
        </is>
      </c>
      <c r="E8285" t="inlineStr">
        <is>
          <t>salidas</t>
        </is>
      </c>
      <c r="F8285" s="23" t="n">
        <v>46274</v>
      </c>
      <c r="G8285" s="24">
        <f>F8285-DATE(2026,8,31)</f>
        <v>9</v>
      </c>
      <c r="H8285" s="25" t="n">
        <v>2935960800</v>
      </c>
      <c r="I8285" t="inlineStr">
        <is>
          <t>entidad-dia</t>
        </is>
      </c>
    </row>
    <row r="8286">
      <c r="A8286" t="inlineStr">
        <is>
          <t>PRAGMA</t>
        </is>
      </c>
      <c r="B8286" t="inlineStr">
        <is>
          <t>M3</t>
        </is>
      </c>
      <c r="C8286" t="inlineStr">
        <is>
          <t>Pasto</t>
        </is>
      </c>
      <c r="D8286" t="inlineStr">
        <is>
          <t>200</t>
        </is>
      </c>
      <c r="E8286" t="inlineStr">
        <is>
          <t>entradas</t>
        </is>
      </c>
      <c r="F8286" s="23" t="n">
        <v>46275</v>
      </c>
      <c r="G8286" s="24">
        <f>F8286-DATE(2026,8,31)</f>
        <v>10</v>
      </c>
      <c r="H8286" s="25" t="n">
        <v>1559463940</v>
      </c>
      <c r="I8286" t="inlineStr">
        <is>
          <t>entidad-dia</t>
        </is>
      </c>
    </row>
    <row r="8287">
      <c r="A8287" t="inlineStr">
        <is>
          <t>PRAGMA</t>
        </is>
      </c>
      <c r="B8287" t="inlineStr">
        <is>
          <t>M3</t>
        </is>
      </c>
      <c r="C8287" t="inlineStr">
        <is>
          <t>Pasto</t>
        </is>
      </c>
      <c r="D8287" t="inlineStr">
        <is>
          <t>200</t>
        </is>
      </c>
      <c r="E8287" t="inlineStr">
        <is>
          <t>salidas</t>
        </is>
      </c>
      <c r="F8287" s="23" t="n">
        <v>46275</v>
      </c>
      <c r="G8287" s="24">
        <f>F8287-DATE(2026,8,31)</f>
        <v>10</v>
      </c>
      <c r="H8287" s="25" t="n">
        <v>2766130514</v>
      </c>
      <c r="I8287" t="inlineStr">
        <is>
          <t>entidad-dia</t>
        </is>
      </c>
    </row>
    <row r="8288">
      <c r="A8288" t="inlineStr">
        <is>
          <t>PRAGMA</t>
        </is>
      </c>
      <c r="B8288" t="inlineStr">
        <is>
          <t>M3</t>
        </is>
      </c>
      <c r="C8288" t="inlineStr">
        <is>
          <t>Pasto</t>
        </is>
      </c>
      <c r="D8288" t="inlineStr">
        <is>
          <t>200</t>
        </is>
      </c>
      <c r="E8288" t="inlineStr">
        <is>
          <t>entradas</t>
        </is>
      </c>
      <c r="F8288" s="23" t="n">
        <v>46276</v>
      </c>
      <c r="G8288" s="24">
        <f>F8288-DATE(2026,8,31)</f>
        <v>11</v>
      </c>
      <c r="H8288" s="25" t="n">
        <v>1812420982</v>
      </c>
      <c r="I8288" t="inlineStr">
        <is>
          <t>entidad-dia</t>
        </is>
      </c>
    </row>
    <row r="8289">
      <c r="A8289" t="inlineStr">
        <is>
          <t>PRAGMA</t>
        </is>
      </c>
      <c r="B8289" t="inlineStr">
        <is>
          <t>M3</t>
        </is>
      </c>
      <c r="C8289" t="inlineStr">
        <is>
          <t>Pasto</t>
        </is>
      </c>
      <c r="D8289" t="inlineStr">
        <is>
          <t>200</t>
        </is>
      </c>
      <c r="E8289" t="inlineStr">
        <is>
          <t>salidas</t>
        </is>
      </c>
      <c r="F8289" s="23" t="n">
        <v>46276</v>
      </c>
      <c r="G8289" s="24">
        <f>F8289-DATE(2026,8,31)</f>
        <v>11</v>
      </c>
      <c r="H8289" s="25" t="n">
        <v>3155672281</v>
      </c>
      <c r="I8289" t="inlineStr">
        <is>
          <t>entidad-dia</t>
        </is>
      </c>
    </row>
    <row r="8290">
      <c r="A8290" t="inlineStr">
        <is>
          <t>PRAGMA</t>
        </is>
      </c>
      <c r="B8290" t="inlineStr">
        <is>
          <t>M3</t>
        </is>
      </c>
      <c r="C8290" t="inlineStr">
        <is>
          <t>Pasto</t>
        </is>
      </c>
      <c r="D8290" t="inlineStr">
        <is>
          <t>200</t>
        </is>
      </c>
      <c r="E8290" t="inlineStr">
        <is>
          <t>entradas</t>
        </is>
      </c>
      <c r="F8290" s="23" t="n">
        <v>46277</v>
      </c>
      <c r="G8290" s="24">
        <f>F8290-DATE(2026,8,31)</f>
        <v>12</v>
      </c>
      <c r="H8290" s="25" t="n">
        <v>1098485701</v>
      </c>
      <c r="I8290" t="inlineStr">
        <is>
          <t>entidad-dia</t>
        </is>
      </c>
    </row>
    <row r="8291">
      <c r="A8291" t="inlineStr">
        <is>
          <t>PRAGMA</t>
        </is>
      </c>
      <c r="B8291" t="inlineStr">
        <is>
          <t>M3</t>
        </is>
      </c>
      <c r="C8291" t="inlineStr">
        <is>
          <t>Pasto</t>
        </is>
      </c>
      <c r="D8291" t="inlineStr">
        <is>
          <t>200</t>
        </is>
      </c>
      <c r="E8291" t="inlineStr">
        <is>
          <t>salidas</t>
        </is>
      </c>
      <c r="F8291" s="23" t="n">
        <v>46277</v>
      </c>
      <c r="G8291" s="24">
        <f>F8291-DATE(2026,8,31)</f>
        <v>12</v>
      </c>
      <c r="H8291" s="25" t="n">
        <v>2441912739</v>
      </c>
      <c r="I8291" t="inlineStr">
        <is>
          <t>entidad-dia</t>
        </is>
      </c>
    </row>
    <row r="8292">
      <c r="A8292" t="inlineStr">
        <is>
          <t>PRAGMA</t>
        </is>
      </c>
      <c r="B8292" t="inlineStr">
        <is>
          <t>M3</t>
        </is>
      </c>
      <c r="C8292" t="inlineStr">
        <is>
          <t>Pasto</t>
        </is>
      </c>
      <c r="D8292" t="inlineStr">
        <is>
          <t>200</t>
        </is>
      </c>
      <c r="E8292" t="inlineStr">
        <is>
          <t>entradas</t>
        </is>
      </c>
      <c r="F8292" s="23" t="n">
        <v>46278</v>
      </c>
      <c r="G8292" s="24">
        <f>F8292-DATE(2026,8,31)</f>
        <v>13</v>
      </c>
      <c r="H8292" s="25" t="n">
        <v>117817</v>
      </c>
      <c r="I8292" t="inlineStr">
        <is>
          <t>entidad-dia</t>
        </is>
      </c>
    </row>
    <row r="8293">
      <c r="A8293" t="inlineStr">
        <is>
          <t>PRAGMA</t>
        </is>
      </c>
      <c r="B8293" t="inlineStr">
        <is>
          <t>M3</t>
        </is>
      </c>
      <c r="C8293" t="inlineStr">
        <is>
          <t>Pasto</t>
        </is>
      </c>
      <c r="D8293" t="inlineStr">
        <is>
          <t>200</t>
        </is>
      </c>
      <c r="E8293" t="inlineStr">
        <is>
          <t>salidas</t>
        </is>
      </c>
      <c r="F8293" s="23" t="n">
        <v>46278</v>
      </c>
      <c r="G8293" s="24">
        <f>F8293-DATE(2026,8,31)</f>
        <v>13</v>
      </c>
      <c r="H8293" s="25" t="n">
        <v>0</v>
      </c>
      <c r="I8293" t="inlineStr">
        <is>
          <t>entidad-dia</t>
        </is>
      </c>
    </row>
    <row r="8294">
      <c r="A8294" t="inlineStr">
        <is>
          <t>PRAGMA</t>
        </is>
      </c>
      <c r="B8294" t="inlineStr">
        <is>
          <t>M3</t>
        </is>
      </c>
      <c r="C8294" t="inlineStr">
        <is>
          <t>Pasto</t>
        </is>
      </c>
      <c r="D8294" t="inlineStr">
        <is>
          <t>200</t>
        </is>
      </c>
      <c r="E8294" t="inlineStr">
        <is>
          <t>entradas</t>
        </is>
      </c>
      <c r="F8294" s="23" t="n">
        <v>46279</v>
      </c>
      <c r="G8294" s="24">
        <f>F8294-DATE(2026,8,31)</f>
        <v>14</v>
      </c>
      <c r="H8294" s="25" t="n">
        <v>86933299</v>
      </c>
      <c r="I8294" t="inlineStr">
        <is>
          <t>entidad-dia</t>
        </is>
      </c>
    </row>
    <row r="8295">
      <c r="A8295" t="inlineStr">
        <is>
          <t>PRAGMA</t>
        </is>
      </c>
      <c r="B8295" t="inlineStr">
        <is>
          <t>M3</t>
        </is>
      </c>
      <c r="C8295" t="inlineStr">
        <is>
          <t>Pasto</t>
        </is>
      </c>
      <c r="D8295" t="inlineStr">
        <is>
          <t>200</t>
        </is>
      </c>
      <c r="E8295" t="inlineStr">
        <is>
          <t>salidas</t>
        </is>
      </c>
      <c r="F8295" s="23" t="n">
        <v>46279</v>
      </c>
      <c r="G8295" s="24">
        <f>F8295-DATE(2026,8,31)</f>
        <v>14</v>
      </c>
      <c r="H8295" s="25" t="n">
        <v>13494099</v>
      </c>
      <c r="I8295" t="inlineStr">
        <is>
          <t>entidad-dia</t>
        </is>
      </c>
    </row>
    <row r="8296">
      <c r="A8296" t="inlineStr">
        <is>
          <t>PRAGMA</t>
        </is>
      </c>
      <c r="B8296" t="inlineStr">
        <is>
          <t>M3</t>
        </is>
      </c>
      <c r="C8296" t="inlineStr">
        <is>
          <t>Pasto</t>
        </is>
      </c>
      <c r="D8296" t="inlineStr">
        <is>
          <t>200</t>
        </is>
      </c>
      <c r="E8296" t="inlineStr">
        <is>
          <t>entradas</t>
        </is>
      </c>
      <c r="F8296" s="23" t="n">
        <v>46280</v>
      </c>
      <c r="G8296" s="24">
        <f>F8296-DATE(2026,8,31)</f>
        <v>15</v>
      </c>
      <c r="H8296" s="25" t="n">
        <v>1947393632</v>
      </c>
      <c r="I8296" t="inlineStr">
        <is>
          <t>entidad-dia</t>
        </is>
      </c>
    </row>
    <row r="8297">
      <c r="A8297" t="inlineStr">
        <is>
          <t>PRAGMA</t>
        </is>
      </c>
      <c r="B8297" t="inlineStr">
        <is>
          <t>M3</t>
        </is>
      </c>
      <c r="C8297" t="inlineStr">
        <is>
          <t>Pasto</t>
        </is>
      </c>
      <c r="D8297" t="inlineStr">
        <is>
          <t>200</t>
        </is>
      </c>
      <c r="E8297" t="inlineStr">
        <is>
          <t>salidas</t>
        </is>
      </c>
      <c r="F8297" s="23" t="n">
        <v>46280</v>
      </c>
      <c r="G8297" s="24">
        <f>F8297-DATE(2026,8,31)</f>
        <v>15</v>
      </c>
      <c r="H8297" s="25" t="n">
        <v>3045497619</v>
      </c>
      <c r="I8297" t="inlineStr">
        <is>
          <t>entidad-dia</t>
        </is>
      </c>
    </row>
    <row r="8298">
      <c r="A8298" t="inlineStr">
        <is>
          <t>PRAGMA</t>
        </is>
      </c>
      <c r="B8298" t="inlineStr">
        <is>
          <t>M3</t>
        </is>
      </c>
      <c r="C8298" t="inlineStr">
        <is>
          <t>Cali</t>
        </is>
      </c>
      <c r="D8298" t="inlineStr">
        <is>
          <t>210</t>
        </is>
      </c>
      <c r="E8298" t="inlineStr">
        <is>
          <t>entradas</t>
        </is>
      </c>
      <c r="F8298" s="23" t="n">
        <v>46266</v>
      </c>
      <c r="G8298" s="24">
        <f>F8298-DATE(2026,8,31)</f>
        <v>1</v>
      </c>
      <c r="H8298" s="25" t="n">
        <v>923735091</v>
      </c>
      <c r="I8298" t="inlineStr">
        <is>
          <t>entidad-dia</t>
        </is>
      </c>
    </row>
    <row r="8299">
      <c r="A8299" t="inlineStr">
        <is>
          <t>PRAGMA</t>
        </is>
      </c>
      <c r="B8299" t="inlineStr">
        <is>
          <t>M3</t>
        </is>
      </c>
      <c r="C8299" t="inlineStr">
        <is>
          <t>Cali</t>
        </is>
      </c>
      <c r="D8299" t="inlineStr">
        <is>
          <t>210</t>
        </is>
      </c>
      <c r="E8299" t="inlineStr">
        <is>
          <t>salidas</t>
        </is>
      </c>
      <c r="F8299" s="23" t="n">
        <v>46266</v>
      </c>
      <c r="G8299" s="24">
        <f>F8299-DATE(2026,8,31)</f>
        <v>1</v>
      </c>
      <c r="H8299" s="25" t="n">
        <v>542658785</v>
      </c>
      <c r="I8299" t="inlineStr">
        <is>
          <t>entidad-dia</t>
        </is>
      </c>
    </row>
    <row r="8300">
      <c r="A8300" t="inlineStr">
        <is>
          <t>PRAGMA</t>
        </is>
      </c>
      <c r="B8300" t="inlineStr">
        <is>
          <t>M3</t>
        </is>
      </c>
      <c r="C8300" t="inlineStr">
        <is>
          <t>Cali</t>
        </is>
      </c>
      <c r="D8300" t="inlineStr">
        <is>
          <t>210</t>
        </is>
      </c>
      <c r="E8300" t="inlineStr">
        <is>
          <t>entradas</t>
        </is>
      </c>
      <c r="F8300" s="23" t="n">
        <v>46267</v>
      </c>
      <c r="G8300" s="24">
        <f>F8300-DATE(2026,8,31)</f>
        <v>2</v>
      </c>
      <c r="H8300" s="25" t="n">
        <v>902020051</v>
      </c>
      <c r="I8300" t="inlineStr">
        <is>
          <t>entidad-dia</t>
        </is>
      </c>
    </row>
    <row r="8301">
      <c r="A8301" t="inlineStr">
        <is>
          <t>PRAGMA</t>
        </is>
      </c>
      <c r="B8301" t="inlineStr">
        <is>
          <t>M3</t>
        </is>
      </c>
      <c r="C8301" t="inlineStr">
        <is>
          <t>Cali</t>
        </is>
      </c>
      <c r="D8301" t="inlineStr">
        <is>
          <t>210</t>
        </is>
      </c>
      <c r="E8301" t="inlineStr">
        <is>
          <t>salidas</t>
        </is>
      </c>
      <c r="F8301" s="23" t="n">
        <v>46267</v>
      </c>
      <c r="G8301" s="24">
        <f>F8301-DATE(2026,8,31)</f>
        <v>2</v>
      </c>
      <c r="H8301" s="25" t="n">
        <v>549235860</v>
      </c>
      <c r="I8301" t="inlineStr">
        <is>
          <t>entidad-dia</t>
        </is>
      </c>
    </row>
    <row r="8302">
      <c r="A8302" t="inlineStr">
        <is>
          <t>PRAGMA</t>
        </is>
      </c>
      <c r="B8302" t="inlineStr">
        <is>
          <t>M3</t>
        </is>
      </c>
      <c r="C8302" t="inlineStr">
        <is>
          <t>Cali</t>
        </is>
      </c>
      <c r="D8302" t="inlineStr">
        <is>
          <t>210</t>
        </is>
      </c>
      <c r="E8302" t="inlineStr">
        <is>
          <t>entradas</t>
        </is>
      </c>
      <c r="F8302" s="23" t="n">
        <v>46268</v>
      </c>
      <c r="G8302" s="24">
        <f>F8302-DATE(2026,8,31)</f>
        <v>3</v>
      </c>
      <c r="H8302" s="25" t="n">
        <v>765605954</v>
      </c>
      <c r="I8302" t="inlineStr">
        <is>
          <t>entidad-dia</t>
        </is>
      </c>
    </row>
    <row r="8303">
      <c r="A8303" t="inlineStr">
        <is>
          <t>PRAGMA</t>
        </is>
      </c>
      <c r="B8303" t="inlineStr">
        <is>
          <t>M3</t>
        </is>
      </c>
      <c r="C8303" t="inlineStr">
        <is>
          <t>Cali</t>
        </is>
      </c>
      <c r="D8303" t="inlineStr">
        <is>
          <t>210</t>
        </is>
      </c>
      <c r="E8303" t="inlineStr">
        <is>
          <t>salidas</t>
        </is>
      </c>
      <c r="F8303" s="23" t="n">
        <v>46268</v>
      </c>
      <c r="G8303" s="24">
        <f>F8303-DATE(2026,8,31)</f>
        <v>3</v>
      </c>
      <c r="H8303" s="25" t="n">
        <v>365852994</v>
      </c>
      <c r="I8303" t="inlineStr">
        <is>
          <t>entidad-dia</t>
        </is>
      </c>
    </row>
    <row r="8304">
      <c r="A8304" t="inlineStr">
        <is>
          <t>PRAGMA</t>
        </is>
      </c>
      <c r="B8304" t="inlineStr">
        <is>
          <t>M3</t>
        </is>
      </c>
      <c r="C8304" t="inlineStr">
        <is>
          <t>Cali</t>
        </is>
      </c>
      <c r="D8304" t="inlineStr">
        <is>
          <t>210</t>
        </is>
      </c>
      <c r="E8304" t="inlineStr">
        <is>
          <t>entradas</t>
        </is>
      </c>
      <c r="F8304" s="23" t="n">
        <v>46269</v>
      </c>
      <c r="G8304" s="24">
        <f>F8304-DATE(2026,8,31)</f>
        <v>4</v>
      </c>
      <c r="H8304" s="25" t="n">
        <v>935075134</v>
      </c>
      <c r="I8304" t="inlineStr">
        <is>
          <t>entidad-dia</t>
        </is>
      </c>
    </row>
    <row r="8305">
      <c r="A8305" t="inlineStr">
        <is>
          <t>PRAGMA</t>
        </is>
      </c>
      <c r="B8305" t="inlineStr">
        <is>
          <t>M3</t>
        </is>
      </c>
      <c r="C8305" t="inlineStr">
        <is>
          <t>Cali</t>
        </is>
      </c>
      <c r="D8305" t="inlineStr">
        <is>
          <t>210</t>
        </is>
      </c>
      <c r="E8305" t="inlineStr">
        <is>
          <t>salidas</t>
        </is>
      </c>
      <c r="F8305" s="23" t="n">
        <v>46269</v>
      </c>
      <c r="G8305" s="24">
        <f>F8305-DATE(2026,8,31)</f>
        <v>4</v>
      </c>
      <c r="H8305" s="25" t="n">
        <v>550893627</v>
      </c>
      <c r="I8305" t="inlineStr">
        <is>
          <t>entidad-dia</t>
        </is>
      </c>
    </row>
    <row r="8306">
      <c r="A8306" t="inlineStr">
        <is>
          <t>PRAGMA</t>
        </is>
      </c>
      <c r="B8306" t="inlineStr">
        <is>
          <t>M3</t>
        </is>
      </c>
      <c r="C8306" t="inlineStr">
        <is>
          <t>Cali</t>
        </is>
      </c>
      <c r="D8306" t="inlineStr">
        <is>
          <t>210</t>
        </is>
      </c>
      <c r="E8306" t="inlineStr">
        <is>
          <t>entradas</t>
        </is>
      </c>
      <c r="F8306" s="23" t="n">
        <v>46270</v>
      </c>
      <c r="G8306" s="24">
        <f>F8306-DATE(2026,8,31)</f>
        <v>5</v>
      </c>
      <c r="H8306" s="25" t="n">
        <v>1931443</v>
      </c>
      <c r="I8306" t="inlineStr">
        <is>
          <t>entidad-dia</t>
        </is>
      </c>
    </row>
    <row r="8307">
      <c r="A8307" t="inlineStr">
        <is>
          <t>PRAGMA</t>
        </is>
      </c>
      <c r="B8307" t="inlineStr">
        <is>
          <t>M3</t>
        </is>
      </c>
      <c r="C8307" t="inlineStr">
        <is>
          <t>Cali</t>
        </is>
      </c>
      <c r="D8307" t="inlineStr">
        <is>
          <t>210</t>
        </is>
      </c>
      <c r="E8307" t="inlineStr">
        <is>
          <t>salidas</t>
        </is>
      </c>
      <c r="F8307" s="23" t="n">
        <v>46270</v>
      </c>
      <c r="G8307" s="24">
        <f>F8307-DATE(2026,8,31)</f>
        <v>5</v>
      </c>
      <c r="H8307" s="25" t="n">
        <v>2051041</v>
      </c>
      <c r="I8307" t="inlineStr">
        <is>
          <t>entidad-dia</t>
        </is>
      </c>
    </row>
    <row r="8308">
      <c r="A8308" t="inlineStr">
        <is>
          <t>PRAGMA</t>
        </is>
      </c>
      <c r="B8308" t="inlineStr">
        <is>
          <t>M3</t>
        </is>
      </c>
      <c r="C8308" t="inlineStr">
        <is>
          <t>Cali</t>
        </is>
      </c>
      <c r="D8308" t="inlineStr">
        <is>
          <t>210</t>
        </is>
      </c>
      <c r="E8308" t="inlineStr">
        <is>
          <t>entradas</t>
        </is>
      </c>
      <c r="F8308" s="23" t="n">
        <v>46271</v>
      </c>
      <c r="G8308" s="24">
        <f>F8308-DATE(2026,8,31)</f>
        <v>6</v>
      </c>
      <c r="H8308" s="25" t="n">
        <v>1719675</v>
      </c>
      <c r="I8308" t="inlineStr">
        <is>
          <t>entidad-dia</t>
        </is>
      </c>
    </row>
    <row r="8309">
      <c r="A8309" t="inlineStr">
        <is>
          <t>PRAGMA</t>
        </is>
      </c>
      <c r="B8309" t="inlineStr">
        <is>
          <t>M3</t>
        </is>
      </c>
      <c r="C8309" t="inlineStr">
        <is>
          <t>Cali</t>
        </is>
      </c>
      <c r="D8309" t="inlineStr">
        <is>
          <t>210</t>
        </is>
      </c>
      <c r="E8309" t="inlineStr">
        <is>
          <t>salidas</t>
        </is>
      </c>
      <c r="F8309" s="23" t="n">
        <v>46271</v>
      </c>
      <c r="G8309" s="24">
        <f>F8309-DATE(2026,8,31)</f>
        <v>6</v>
      </c>
      <c r="H8309" s="25" t="n">
        <v>0</v>
      </c>
      <c r="I8309" t="inlineStr">
        <is>
          <t>entidad-dia</t>
        </is>
      </c>
    </row>
    <row r="8310">
      <c r="A8310" t="inlineStr">
        <is>
          <t>PRAGMA</t>
        </is>
      </c>
      <c r="B8310" t="inlineStr">
        <is>
          <t>M3</t>
        </is>
      </c>
      <c r="C8310" t="inlineStr">
        <is>
          <t>Cali</t>
        </is>
      </c>
      <c r="D8310" t="inlineStr">
        <is>
          <t>210</t>
        </is>
      </c>
      <c r="E8310" t="inlineStr">
        <is>
          <t>entradas</t>
        </is>
      </c>
      <c r="F8310" s="23" t="n">
        <v>46272</v>
      </c>
      <c r="G8310" s="24">
        <f>F8310-DATE(2026,8,31)</f>
        <v>7</v>
      </c>
      <c r="H8310" s="25" t="n">
        <v>867212468</v>
      </c>
      <c r="I8310" t="inlineStr">
        <is>
          <t>entidad-dia</t>
        </is>
      </c>
    </row>
    <row r="8311">
      <c r="A8311" t="inlineStr">
        <is>
          <t>PRAGMA</t>
        </is>
      </c>
      <c r="B8311" t="inlineStr">
        <is>
          <t>M3</t>
        </is>
      </c>
      <c r="C8311" t="inlineStr">
        <is>
          <t>Cali</t>
        </is>
      </c>
      <c r="D8311" t="inlineStr">
        <is>
          <t>210</t>
        </is>
      </c>
      <c r="E8311" t="inlineStr">
        <is>
          <t>salidas</t>
        </is>
      </c>
      <c r="F8311" s="23" t="n">
        <v>46272</v>
      </c>
      <c r="G8311" s="24">
        <f>F8311-DATE(2026,8,31)</f>
        <v>7</v>
      </c>
      <c r="H8311" s="25" t="n">
        <v>458264300</v>
      </c>
      <c r="I8311" t="inlineStr">
        <is>
          <t>entidad-dia</t>
        </is>
      </c>
    </row>
    <row r="8312">
      <c r="A8312" t="inlineStr">
        <is>
          <t>PRAGMA</t>
        </is>
      </c>
      <c r="B8312" t="inlineStr">
        <is>
          <t>M3</t>
        </is>
      </c>
      <c r="C8312" t="inlineStr">
        <is>
          <t>Cali</t>
        </is>
      </c>
      <c r="D8312" t="inlineStr">
        <is>
          <t>210</t>
        </is>
      </c>
      <c r="E8312" t="inlineStr">
        <is>
          <t>entradas</t>
        </is>
      </c>
      <c r="F8312" s="23" t="n">
        <v>46273</v>
      </c>
      <c r="G8312" s="24">
        <f>F8312-DATE(2026,8,31)</f>
        <v>8</v>
      </c>
      <c r="H8312" s="25" t="n">
        <v>939871107</v>
      </c>
      <c r="I8312" t="inlineStr">
        <is>
          <t>entidad-dia</t>
        </is>
      </c>
    </row>
    <row r="8313">
      <c r="A8313" t="inlineStr">
        <is>
          <t>PRAGMA</t>
        </is>
      </c>
      <c r="B8313" t="inlineStr">
        <is>
          <t>M3</t>
        </is>
      </c>
      <c r="C8313" t="inlineStr">
        <is>
          <t>Cali</t>
        </is>
      </c>
      <c r="D8313" t="inlineStr">
        <is>
          <t>210</t>
        </is>
      </c>
      <c r="E8313" t="inlineStr">
        <is>
          <t>salidas</t>
        </is>
      </c>
      <c r="F8313" s="23" t="n">
        <v>46273</v>
      </c>
      <c r="G8313" s="24">
        <f>F8313-DATE(2026,8,31)</f>
        <v>8</v>
      </c>
      <c r="H8313" s="25" t="n">
        <v>492353270</v>
      </c>
      <c r="I8313" t="inlineStr">
        <is>
          <t>entidad-dia</t>
        </is>
      </c>
    </row>
    <row r="8314">
      <c r="A8314" t="inlineStr">
        <is>
          <t>PRAGMA</t>
        </is>
      </c>
      <c r="B8314" t="inlineStr">
        <is>
          <t>M3</t>
        </is>
      </c>
      <c r="C8314" t="inlineStr">
        <is>
          <t>Cali</t>
        </is>
      </c>
      <c r="D8314" t="inlineStr">
        <is>
          <t>210</t>
        </is>
      </c>
      <c r="E8314" t="inlineStr">
        <is>
          <t>entradas</t>
        </is>
      </c>
      <c r="F8314" s="23" t="n">
        <v>46274</v>
      </c>
      <c r="G8314" s="24">
        <f>F8314-DATE(2026,8,31)</f>
        <v>9</v>
      </c>
      <c r="H8314" s="25" t="n">
        <v>909279322</v>
      </c>
      <c r="I8314" t="inlineStr">
        <is>
          <t>entidad-dia</t>
        </is>
      </c>
    </row>
    <row r="8315">
      <c r="A8315" t="inlineStr">
        <is>
          <t>PRAGMA</t>
        </is>
      </c>
      <c r="B8315" t="inlineStr">
        <is>
          <t>M3</t>
        </is>
      </c>
      <c r="C8315" t="inlineStr">
        <is>
          <t>Cali</t>
        </is>
      </c>
      <c r="D8315" t="inlineStr">
        <is>
          <t>210</t>
        </is>
      </c>
      <c r="E8315" t="inlineStr">
        <is>
          <t>salidas</t>
        </is>
      </c>
      <c r="F8315" s="23" t="n">
        <v>46274</v>
      </c>
      <c r="G8315" s="24">
        <f>F8315-DATE(2026,8,31)</f>
        <v>9</v>
      </c>
      <c r="H8315" s="25" t="n">
        <v>496373346</v>
      </c>
      <c r="I8315" t="inlineStr">
        <is>
          <t>entidad-dia</t>
        </is>
      </c>
    </row>
    <row r="8316">
      <c r="A8316" t="inlineStr">
        <is>
          <t>PRAGMA</t>
        </is>
      </c>
      <c r="B8316" t="inlineStr">
        <is>
          <t>M3</t>
        </is>
      </c>
      <c r="C8316" t="inlineStr">
        <is>
          <t>Cali</t>
        </is>
      </c>
      <c r="D8316" t="inlineStr">
        <is>
          <t>210</t>
        </is>
      </c>
      <c r="E8316" t="inlineStr">
        <is>
          <t>entradas</t>
        </is>
      </c>
      <c r="F8316" s="23" t="n">
        <v>46275</v>
      </c>
      <c r="G8316" s="24">
        <f>F8316-DATE(2026,8,31)</f>
        <v>10</v>
      </c>
      <c r="H8316" s="25" t="n">
        <v>786264721</v>
      </c>
      <c r="I8316" t="inlineStr">
        <is>
          <t>entidad-dia</t>
        </is>
      </c>
    </row>
    <row r="8317">
      <c r="A8317" t="inlineStr">
        <is>
          <t>PRAGMA</t>
        </is>
      </c>
      <c r="B8317" t="inlineStr">
        <is>
          <t>M3</t>
        </is>
      </c>
      <c r="C8317" t="inlineStr">
        <is>
          <t>Cali</t>
        </is>
      </c>
      <c r="D8317" t="inlineStr">
        <is>
          <t>210</t>
        </is>
      </c>
      <c r="E8317" t="inlineStr">
        <is>
          <t>salidas</t>
        </is>
      </c>
      <c r="F8317" s="23" t="n">
        <v>46275</v>
      </c>
      <c r="G8317" s="24">
        <f>F8317-DATE(2026,8,31)</f>
        <v>10</v>
      </c>
      <c r="H8317" s="25" t="n">
        <v>460876286</v>
      </c>
      <c r="I8317" t="inlineStr">
        <is>
          <t>entidad-dia</t>
        </is>
      </c>
    </row>
    <row r="8318">
      <c r="A8318" t="inlineStr">
        <is>
          <t>PRAGMA</t>
        </is>
      </c>
      <c r="B8318" t="inlineStr">
        <is>
          <t>M3</t>
        </is>
      </c>
      <c r="C8318" t="inlineStr">
        <is>
          <t>Cali</t>
        </is>
      </c>
      <c r="D8318" t="inlineStr">
        <is>
          <t>210</t>
        </is>
      </c>
      <c r="E8318" t="inlineStr">
        <is>
          <t>entradas</t>
        </is>
      </c>
      <c r="F8318" s="23" t="n">
        <v>46276</v>
      </c>
      <c r="G8318" s="24">
        <f>F8318-DATE(2026,8,31)</f>
        <v>11</v>
      </c>
      <c r="H8318" s="25" t="n">
        <v>977943459</v>
      </c>
      <c r="I8318" t="inlineStr">
        <is>
          <t>entidad-dia</t>
        </is>
      </c>
    </row>
    <row r="8319">
      <c r="A8319" t="inlineStr">
        <is>
          <t>PRAGMA</t>
        </is>
      </c>
      <c r="B8319" t="inlineStr">
        <is>
          <t>M3</t>
        </is>
      </c>
      <c r="C8319" t="inlineStr">
        <is>
          <t>Cali</t>
        </is>
      </c>
      <c r="D8319" t="inlineStr">
        <is>
          <t>210</t>
        </is>
      </c>
      <c r="E8319" t="inlineStr">
        <is>
          <t>salidas</t>
        </is>
      </c>
      <c r="F8319" s="23" t="n">
        <v>46276</v>
      </c>
      <c r="G8319" s="24">
        <f>F8319-DATE(2026,8,31)</f>
        <v>11</v>
      </c>
      <c r="H8319" s="25" t="n">
        <v>522801546</v>
      </c>
      <c r="I8319" t="inlineStr">
        <is>
          <t>entidad-dia</t>
        </is>
      </c>
    </row>
    <row r="8320">
      <c r="A8320" t="inlineStr">
        <is>
          <t>PRAGMA</t>
        </is>
      </c>
      <c r="B8320" t="inlineStr">
        <is>
          <t>M3</t>
        </is>
      </c>
      <c r="C8320" t="inlineStr">
        <is>
          <t>Cali</t>
        </is>
      </c>
      <c r="D8320" t="inlineStr">
        <is>
          <t>210</t>
        </is>
      </c>
      <c r="E8320" t="inlineStr">
        <is>
          <t>entradas</t>
        </is>
      </c>
      <c r="F8320" s="23" t="n">
        <v>46277</v>
      </c>
      <c r="G8320" s="24">
        <f>F8320-DATE(2026,8,31)</f>
        <v>12</v>
      </c>
      <c r="H8320" s="25" t="n">
        <v>2844147</v>
      </c>
      <c r="I8320" t="inlineStr">
        <is>
          <t>entidad-dia</t>
        </is>
      </c>
    </row>
    <row r="8321">
      <c r="A8321" t="inlineStr">
        <is>
          <t>PRAGMA</t>
        </is>
      </c>
      <c r="B8321" t="inlineStr">
        <is>
          <t>M3</t>
        </is>
      </c>
      <c r="C8321" t="inlineStr">
        <is>
          <t>Cali</t>
        </is>
      </c>
      <c r="D8321" t="inlineStr">
        <is>
          <t>210</t>
        </is>
      </c>
      <c r="E8321" t="inlineStr">
        <is>
          <t>salidas</t>
        </is>
      </c>
      <c r="F8321" s="23" t="n">
        <v>46277</v>
      </c>
      <c r="G8321" s="24">
        <f>F8321-DATE(2026,8,31)</f>
        <v>12</v>
      </c>
      <c r="H8321" s="25" t="n">
        <v>2233429</v>
      </c>
      <c r="I8321" t="inlineStr">
        <is>
          <t>entidad-dia</t>
        </is>
      </c>
    </row>
    <row r="8322">
      <c r="A8322" t="inlineStr">
        <is>
          <t>PRAGMA</t>
        </is>
      </c>
      <c r="B8322" t="inlineStr">
        <is>
          <t>M3</t>
        </is>
      </c>
      <c r="C8322" t="inlineStr">
        <is>
          <t>Cali</t>
        </is>
      </c>
      <c r="D8322" t="inlineStr">
        <is>
          <t>210</t>
        </is>
      </c>
      <c r="E8322" t="inlineStr">
        <is>
          <t>entradas</t>
        </is>
      </c>
      <c r="F8322" s="23" t="n">
        <v>46278</v>
      </c>
      <c r="G8322" s="24">
        <f>F8322-DATE(2026,8,31)</f>
        <v>13</v>
      </c>
      <c r="H8322" s="25" t="n">
        <v>112106</v>
      </c>
      <c r="I8322" t="inlineStr">
        <is>
          <t>entidad-dia</t>
        </is>
      </c>
    </row>
    <row r="8323">
      <c r="A8323" t="inlineStr">
        <is>
          <t>PRAGMA</t>
        </is>
      </c>
      <c r="B8323" t="inlineStr">
        <is>
          <t>M3</t>
        </is>
      </c>
      <c r="C8323" t="inlineStr">
        <is>
          <t>Cali</t>
        </is>
      </c>
      <c r="D8323" t="inlineStr">
        <is>
          <t>210</t>
        </is>
      </c>
      <c r="E8323" t="inlineStr">
        <is>
          <t>salidas</t>
        </is>
      </c>
      <c r="F8323" s="23" t="n">
        <v>46278</v>
      </c>
      <c r="G8323" s="24">
        <f>F8323-DATE(2026,8,31)</f>
        <v>13</v>
      </c>
      <c r="H8323" s="25" t="n">
        <v>0</v>
      </c>
      <c r="I8323" t="inlineStr">
        <is>
          <t>entidad-dia</t>
        </is>
      </c>
    </row>
    <row r="8324">
      <c r="A8324" t="inlineStr">
        <is>
          <t>PRAGMA</t>
        </is>
      </c>
      <c r="B8324" t="inlineStr">
        <is>
          <t>M3</t>
        </is>
      </c>
      <c r="C8324" t="inlineStr">
        <is>
          <t>Cali</t>
        </is>
      </c>
      <c r="D8324" t="inlineStr">
        <is>
          <t>210</t>
        </is>
      </c>
      <c r="E8324" t="inlineStr">
        <is>
          <t>entradas</t>
        </is>
      </c>
      <c r="F8324" s="23" t="n">
        <v>46279</v>
      </c>
      <c r="G8324" s="24">
        <f>F8324-DATE(2026,8,31)</f>
        <v>14</v>
      </c>
      <c r="H8324" s="25" t="n">
        <v>925545562</v>
      </c>
      <c r="I8324" t="inlineStr">
        <is>
          <t>entidad-dia</t>
        </is>
      </c>
    </row>
    <row r="8325">
      <c r="A8325" t="inlineStr">
        <is>
          <t>PRAGMA</t>
        </is>
      </c>
      <c r="B8325" t="inlineStr">
        <is>
          <t>M3</t>
        </is>
      </c>
      <c r="C8325" t="inlineStr">
        <is>
          <t>Cali</t>
        </is>
      </c>
      <c r="D8325" t="inlineStr">
        <is>
          <t>210</t>
        </is>
      </c>
      <c r="E8325" t="inlineStr">
        <is>
          <t>salidas</t>
        </is>
      </c>
      <c r="F8325" s="23" t="n">
        <v>46279</v>
      </c>
      <c r="G8325" s="24">
        <f>F8325-DATE(2026,8,31)</f>
        <v>14</v>
      </c>
      <c r="H8325" s="25" t="n">
        <v>476610670</v>
      </c>
      <c r="I8325" t="inlineStr">
        <is>
          <t>entidad-dia</t>
        </is>
      </c>
    </row>
    <row r="8326">
      <c r="A8326" t="inlineStr">
        <is>
          <t>PRAGMA</t>
        </is>
      </c>
      <c r="B8326" t="inlineStr">
        <is>
          <t>M3</t>
        </is>
      </c>
      <c r="C8326" t="inlineStr">
        <is>
          <t>Cali</t>
        </is>
      </c>
      <c r="D8326" t="inlineStr">
        <is>
          <t>210</t>
        </is>
      </c>
      <c r="E8326" t="inlineStr">
        <is>
          <t>entradas</t>
        </is>
      </c>
      <c r="F8326" s="23" t="n">
        <v>46280</v>
      </c>
      <c r="G8326" s="24">
        <f>F8326-DATE(2026,8,31)</f>
        <v>15</v>
      </c>
      <c r="H8326" s="25" t="n">
        <v>943874425</v>
      </c>
      <c r="I8326" t="inlineStr">
        <is>
          <t>entidad-dia</t>
        </is>
      </c>
    </row>
    <row r="8327">
      <c r="A8327" t="inlineStr">
        <is>
          <t>PRAGMA</t>
        </is>
      </c>
      <c r="B8327" t="inlineStr">
        <is>
          <t>M3</t>
        </is>
      </c>
      <c r="C8327" t="inlineStr">
        <is>
          <t>Cali</t>
        </is>
      </c>
      <c r="D8327" t="inlineStr">
        <is>
          <t>210</t>
        </is>
      </c>
      <c r="E8327" t="inlineStr">
        <is>
          <t>salidas</t>
        </is>
      </c>
      <c r="F8327" s="23" t="n">
        <v>46280</v>
      </c>
      <c r="G8327" s="24">
        <f>F8327-DATE(2026,8,31)</f>
        <v>15</v>
      </c>
      <c r="H8327" s="25" t="n">
        <v>506999437</v>
      </c>
      <c r="I8327" t="inlineStr">
        <is>
          <t>entidad-dia</t>
        </is>
      </c>
    </row>
    <row r="8328">
      <c r="A8328" t="inlineStr">
        <is>
          <t>PRAGMA</t>
        </is>
      </c>
      <c r="B8328" t="inlineStr">
        <is>
          <t>M3</t>
        </is>
      </c>
      <c r="C8328" t="inlineStr">
        <is>
          <t>Cali</t>
        </is>
      </c>
      <c r="D8328" t="inlineStr">
        <is>
          <t>270</t>
        </is>
      </c>
      <c r="E8328" t="inlineStr">
        <is>
          <t>entradas</t>
        </is>
      </c>
      <c r="F8328" s="23" t="n">
        <v>46266</v>
      </c>
      <c r="G8328" s="24">
        <f>F8328-DATE(2026,8,31)</f>
        <v>1</v>
      </c>
      <c r="H8328" s="25" t="n">
        <v>1355260595</v>
      </c>
      <c r="I8328" t="inlineStr">
        <is>
          <t>entidad-dia</t>
        </is>
      </c>
    </row>
    <row r="8329">
      <c r="A8329" t="inlineStr">
        <is>
          <t>PRAGMA</t>
        </is>
      </c>
      <c r="B8329" t="inlineStr">
        <is>
          <t>M3</t>
        </is>
      </c>
      <c r="C8329" t="inlineStr">
        <is>
          <t>Cali</t>
        </is>
      </c>
      <c r="D8329" t="inlineStr">
        <is>
          <t>270</t>
        </is>
      </c>
      <c r="E8329" t="inlineStr">
        <is>
          <t>salidas</t>
        </is>
      </c>
      <c r="F8329" s="23" t="n">
        <v>46266</v>
      </c>
      <c r="G8329" s="24">
        <f>F8329-DATE(2026,8,31)</f>
        <v>1</v>
      </c>
      <c r="H8329" s="25" t="n">
        <v>1071904782</v>
      </c>
      <c r="I8329" t="inlineStr">
        <is>
          <t>entidad-dia</t>
        </is>
      </c>
    </row>
    <row r="8330">
      <c r="A8330" t="inlineStr">
        <is>
          <t>PRAGMA</t>
        </is>
      </c>
      <c r="B8330" t="inlineStr">
        <is>
          <t>M3</t>
        </is>
      </c>
      <c r="C8330" t="inlineStr">
        <is>
          <t>Cali</t>
        </is>
      </c>
      <c r="D8330" t="inlineStr">
        <is>
          <t>270</t>
        </is>
      </c>
      <c r="E8330" t="inlineStr">
        <is>
          <t>entradas</t>
        </is>
      </c>
      <c r="F8330" s="23" t="n">
        <v>46267</v>
      </c>
      <c r="G8330" s="24">
        <f>F8330-DATE(2026,8,31)</f>
        <v>2</v>
      </c>
      <c r="H8330" s="25" t="n">
        <v>1356734307</v>
      </c>
      <c r="I8330" t="inlineStr">
        <is>
          <t>entidad-dia</t>
        </is>
      </c>
    </row>
    <row r="8331">
      <c r="A8331" t="inlineStr">
        <is>
          <t>PRAGMA</t>
        </is>
      </c>
      <c r="B8331" t="inlineStr">
        <is>
          <t>M3</t>
        </is>
      </c>
      <c r="C8331" t="inlineStr">
        <is>
          <t>Cali</t>
        </is>
      </c>
      <c r="D8331" t="inlineStr">
        <is>
          <t>270</t>
        </is>
      </c>
      <c r="E8331" t="inlineStr">
        <is>
          <t>salidas</t>
        </is>
      </c>
      <c r="F8331" s="23" t="n">
        <v>46267</v>
      </c>
      <c r="G8331" s="24">
        <f>F8331-DATE(2026,8,31)</f>
        <v>2</v>
      </c>
      <c r="H8331" s="25" t="n">
        <v>1079908110</v>
      </c>
      <c r="I8331" t="inlineStr">
        <is>
          <t>entidad-dia</t>
        </is>
      </c>
    </row>
    <row r="8332">
      <c r="A8332" t="inlineStr">
        <is>
          <t>PRAGMA</t>
        </is>
      </c>
      <c r="B8332" t="inlineStr">
        <is>
          <t>M3</t>
        </is>
      </c>
      <c r="C8332" t="inlineStr">
        <is>
          <t>Cali</t>
        </is>
      </c>
      <c r="D8332" t="inlineStr">
        <is>
          <t>270</t>
        </is>
      </c>
      <c r="E8332" t="inlineStr">
        <is>
          <t>entradas</t>
        </is>
      </c>
      <c r="F8332" s="23" t="n">
        <v>46268</v>
      </c>
      <c r="G8332" s="24">
        <f>F8332-DATE(2026,8,31)</f>
        <v>3</v>
      </c>
      <c r="H8332" s="25" t="n">
        <v>1288071100</v>
      </c>
      <c r="I8332" t="inlineStr">
        <is>
          <t>entidad-dia</t>
        </is>
      </c>
    </row>
    <row r="8333">
      <c r="A8333" t="inlineStr">
        <is>
          <t>PRAGMA</t>
        </is>
      </c>
      <c r="B8333" t="inlineStr">
        <is>
          <t>M3</t>
        </is>
      </c>
      <c r="C8333" t="inlineStr">
        <is>
          <t>Cali</t>
        </is>
      </c>
      <c r="D8333" t="inlineStr">
        <is>
          <t>270</t>
        </is>
      </c>
      <c r="E8333" t="inlineStr">
        <is>
          <t>salidas</t>
        </is>
      </c>
      <c r="F8333" s="23" t="n">
        <v>46268</v>
      </c>
      <c r="G8333" s="24">
        <f>F8333-DATE(2026,8,31)</f>
        <v>3</v>
      </c>
      <c r="H8333" s="25" t="n">
        <v>822967374</v>
      </c>
      <c r="I8333" t="inlineStr">
        <is>
          <t>entidad-dia</t>
        </is>
      </c>
    </row>
    <row r="8334">
      <c r="A8334" t="inlineStr">
        <is>
          <t>PRAGMA</t>
        </is>
      </c>
      <c r="B8334" t="inlineStr">
        <is>
          <t>M3</t>
        </is>
      </c>
      <c r="C8334" t="inlineStr">
        <is>
          <t>Cali</t>
        </is>
      </c>
      <c r="D8334" t="inlineStr">
        <is>
          <t>270</t>
        </is>
      </c>
      <c r="E8334" t="inlineStr">
        <is>
          <t>entradas</t>
        </is>
      </c>
      <c r="F8334" s="23" t="n">
        <v>46269</v>
      </c>
      <c r="G8334" s="24">
        <f>F8334-DATE(2026,8,31)</f>
        <v>4</v>
      </c>
      <c r="H8334" s="25" t="n">
        <v>1380811273</v>
      </c>
      <c r="I8334" t="inlineStr">
        <is>
          <t>entidad-dia</t>
        </is>
      </c>
    </row>
    <row r="8335">
      <c r="A8335" t="inlineStr">
        <is>
          <t>PRAGMA</t>
        </is>
      </c>
      <c r="B8335" t="inlineStr">
        <is>
          <t>M3</t>
        </is>
      </c>
      <c r="C8335" t="inlineStr">
        <is>
          <t>Cali</t>
        </is>
      </c>
      <c r="D8335" t="inlineStr">
        <is>
          <t>270</t>
        </is>
      </c>
      <c r="E8335" t="inlineStr">
        <is>
          <t>salidas</t>
        </is>
      </c>
      <c r="F8335" s="23" t="n">
        <v>46269</v>
      </c>
      <c r="G8335" s="24">
        <f>F8335-DATE(2026,8,31)</f>
        <v>4</v>
      </c>
      <c r="H8335" s="25" t="n">
        <v>786044039</v>
      </c>
      <c r="I8335" t="inlineStr">
        <is>
          <t>entidad-dia</t>
        </is>
      </c>
    </row>
    <row r="8336">
      <c r="A8336" t="inlineStr">
        <is>
          <t>PRAGMA</t>
        </is>
      </c>
      <c r="B8336" t="inlineStr">
        <is>
          <t>M3</t>
        </is>
      </c>
      <c r="C8336" t="inlineStr">
        <is>
          <t>Cali</t>
        </is>
      </c>
      <c r="D8336" t="inlineStr">
        <is>
          <t>270</t>
        </is>
      </c>
      <c r="E8336" t="inlineStr">
        <is>
          <t>entradas</t>
        </is>
      </c>
      <c r="F8336" s="23" t="n">
        <v>46270</v>
      </c>
      <c r="G8336" s="24">
        <f>F8336-DATE(2026,8,31)</f>
        <v>5</v>
      </c>
      <c r="H8336" s="25" t="n">
        <v>802174324</v>
      </c>
      <c r="I8336" t="inlineStr">
        <is>
          <t>entidad-dia</t>
        </is>
      </c>
    </row>
    <row r="8337">
      <c r="A8337" t="inlineStr">
        <is>
          <t>PRAGMA</t>
        </is>
      </c>
      <c r="B8337" t="inlineStr">
        <is>
          <t>M3</t>
        </is>
      </c>
      <c r="C8337" t="inlineStr">
        <is>
          <t>Cali</t>
        </is>
      </c>
      <c r="D8337" t="inlineStr">
        <is>
          <t>270</t>
        </is>
      </c>
      <c r="E8337" t="inlineStr">
        <is>
          <t>salidas</t>
        </is>
      </c>
      <c r="F8337" s="23" t="n">
        <v>46270</v>
      </c>
      <c r="G8337" s="24">
        <f>F8337-DATE(2026,8,31)</f>
        <v>5</v>
      </c>
      <c r="H8337" s="25" t="n">
        <v>915486845</v>
      </c>
      <c r="I8337" t="inlineStr">
        <is>
          <t>entidad-dia</t>
        </is>
      </c>
    </row>
    <row r="8338">
      <c r="A8338" t="inlineStr">
        <is>
          <t>PRAGMA</t>
        </is>
      </c>
      <c r="B8338" t="inlineStr">
        <is>
          <t>M3</t>
        </is>
      </c>
      <c r="C8338" t="inlineStr">
        <is>
          <t>Cali</t>
        </is>
      </c>
      <c r="D8338" t="inlineStr">
        <is>
          <t>270</t>
        </is>
      </c>
      <c r="E8338" t="inlineStr">
        <is>
          <t>entradas</t>
        </is>
      </c>
      <c r="F8338" s="23" t="n">
        <v>46271</v>
      </c>
      <c r="G8338" s="24">
        <f>F8338-DATE(2026,8,31)</f>
        <v>6</v>
      </c>
      <c r="H8338" s="25" t="n">
        <v>128380</v>
      </c>
      <c r="I8338" t="inlineStr">
        <is>
          <t>entidad-dia</t>
        </is>
      </c>
    </row>
    <row r="8339">
      <c r="A8339" t="inlineStr">
        <is>
          <t>PRAGMA</t>
        </is>
      </c>
      <c r="B8339" t="inlineStr">
        <is>
          <t>M3</t>
        </is>
      </c>
      <c r="C8339" t="inlineStr">
        <is>
          <t>Cali</t>
        </is>
      </c>
      <c r="D8339" t="inlineStr">
        <is>
          <t>270</t>
        </is>
      </c>
      <c r="E8339" t="inlineStr">
        <is>
          <t>salidas</t>
        </is>
      </c>
      <c r="F8339" s="23" t="n">
        <v>46271</v>
      </c>
      <c r="G8339" s="24">
        <f>F8339-DATE(2026,8,31)</f>
        <v>6</v>
      </c>
      <c r="H8339" s="25" t="n">
        <v>0</v>
      </c>
      <c r="I8339" t="inlineStr">
        <is>
          <t>entidad-dia</t>
        </is>
      </c>
    </row>
    <row r="8340">
      <c r="A8340" t="inlineStr">
        <is>
          <t>PRAGMA</t>
        </is>
      </c>
      <c r="B8340" t="inlineStr">
        <is>
          <t>M3</t>
        </is>
      </c>
      <c r="C8340" t="inlineStr">
        <is>
          <t>Cali</t>
        </is>
      </c>
      <c r="D8340" t="inlineStr">
        <is>
          <t>270</t>
        </is>
      </c>
      <c r="E8340" t="inlineStr">
        <is>
          <t>entradas</t>
        </is>
      </c>
      <c r="F8340" s="23" t="n">
        <v>46272</v>
      </c>
      <c r="G8340" s="24">
        <f>F8340-DATE(2026,8,31)</f>
        <v>7</v>
      </c>
      <c r="H8340" s="25" t="n">
        <v>252541592</v>
      </c>
      <c r="I8340" t="inlineStr">
        <is>
          <t>entidad-dia</t>
        </is>
      </c>
    </row>
    <row r="8341">
      <c r="A8341" t="inlineStr">
        <is>
          <t>PRAGMA</t>
        </is>
      </c>
      <c r="B8341" t="inlineStr">
        <is>
          <t>M3</t>
        </is>
      </c>
      <c r="C8341" t="inlineStr">
        <is>
          <t>Cali</t>
        </is>
      </c>
      <c r="D8341" t="inlineStr">
        <is>
          <t>270</t>
        </is>
      </c>
      <c r="E8341" t="inlineStr">
        <is>
          <t>salidas</t>
        </is>
      </c>
      <c r="F8341" s="23" t="n">
        <v>46272</v>
      </c>
      <c r="G8341" s="24">
        <f>F8341-DATE(2026,8,31)</f>
        <v>7</v>
      </c>
      <c r="H8341" s="25" t="n">
        <v>179828967</v>
      </c>
      <c r="I8341" t="inlineStr">
        <is>
          <t>entidad-dia</t>
        </is>
      </c>
    </row>
    <row r="8342">
      <c r="A8342" t="inlineStr">
        <is>
          <t>PRAGMA</t>
        </is>
      </c>
      <c r="B8342" t="inlineStr">
        <is>
          <t>M3</t>
        </is>
      </c>
      <c r="C8342" t="inlineStr">
        <is>
          <t>Cali</t>
        </is>
      </c>
      <c r="D8342" t="inlineStr">
        <is>
          <t>270</t>
        </is>
      </c>
      <c r="E8342" t="inlineStr">
        <is>
          <t>entradas</t>
        </is>
      </c>
      <c r="F8342" s="23" t="n">
        <v>46273</v>
      </c>
      <c r="G8342" s="24">
        <f>F8342-DATE(2026,8,31)</f>
        <v>8</v>
      </c>
      <c r="H8342" s="25" t="n">
        <v>1404136367</v>
      </c>
      <c r="I8342" t="inlineStr">
        <is>
          <t>entidad-dia</t>
        </is>
      </c>
    </row>
    <row r="8343">
      <c r="A8343" t="inlineStr">
        <is>
          <t>PRAGMA</t>
        </is>
      </c>
      <c r="B8343" t="inlineStr">
        <is>
          <t>M3</t>
        </is>
      </c>
      <c r="C8343" t="inlineStr">
        <is>
          <t>Cali</t>
        </is>
      </c>
      <c r="D8343" t="inlineStr">
        <is>
          <t>270</t>
        </is>
      </c>
      <c r="E8343" t="inlineStr">
        <is>
          <t>salidas</t>
        </is>
      </c>
      <c r="F8343" s="23" t="n">
        <v>46273</v>
      </c>
      <c r="G8343" s="24">
        <f>F8343-DATE(2026,8,31)</f>
        <v>8</v>
      </c>
      <c r="H8343" s="25" t="n">
        <v>944698927</v>
      </c>
      <c r="I8343" t="inlineStr">
        <is>
          <t>entidad-dia</t>
        </is>
      </c>
    </row>
    <row r="8344">
      <c r="A8344" t="inlineStr">
        <is>
          <t>PRAGMA</t>
        </is>
      </c>
      <c r="B8344" t="inlineStr">
        <is>
          <t>M3</t>
        </is>
      </c>
      <c r="C8344" t="inlineStr">
        <is>
          <t>Cali</t>
        </is>
      </c>
      <c r="D8344" t="inlineStr">
        <is>
          <t>270</t>
        </is>
      </c>
      <c r="E8344" t="inlineStr">
        <is>
          <t>entradas</t>
        </is>
      </c>
      <c r="F8344" s="23" t="n">
        <v>46274</v>
      </c>
      <c r="G8344" s="24">
        <f>F8344-DATE(2026,8,31)</f>
        <v>9</v>
      </c>
      <c r="H8344" s="25" t="n">
        <v>1303590362</v>
      </c>
      <c r="I8344" t="inlineStr">
        <is>
          <t>entidad-dia</t>
        </is>
      </c>
    </row>
    <row r="8345">
      <c r="A8345" t="inlineStr">
        <is>
          <t>PRAGMA</t>
        </is>
      </c>
      <c r="B8345" t="inlineStr">
        <is>
          <t>M3</t>
        </is>
      </c>
      <c r="C8345" t="inlineStr">
        <is>
          <t>Cali</t>
        </is>
      </c>
      <c r="D8345" t="inlineStr">
        <is>
          <t>270</t>
        </is>
      </c>
      <c r="E8345" t="inlineStr">
        <is>
          <t>salidas</t>
        </is>
      </c>
      <c r="F8345" s="23" t="n">
        <v>46274</v>
      </c>
      <c r="G8345" s="24">
        <f>F8345-DATE(2026,8,31)</f>
        <v>9</v>
      </c>
      <c r="H8345" s="25" t="n">
        <v>966393562</v>
      </c>
      <c r="I8345" t="inlineStr">
        <is>
          <t>entidad-dia</t>
        </is>
      </c>
    </row>
    <row r="8346">
      <c r="A8346" t="inlineStr">
        <is>
          <t>PRAGMA</t>
        </is>
      </c>
      <c r="B8346" t="inlineStr">
        <is>
          <t>M3</t>
        </is>
      </c>
      <c r="C8346" t="inlineStr">
        <is>
          <t>Cali</t>
        </is>
      </c>
      <c r="D8346" t="inlineStr">
        <is>
          <t>270</t>
        </is>
      </c>
      <c r="E8346" t="inlineStr">
        <is>
          <t>entradas</t>
        </is>
      </c>
      <c r="F8346" s="23" t="n">
        <v>46275</v>
      </c>
      <c r="G8346" s="24">
        <f>F8346-DATE(2026,8,31)</f>
        <v>10</v>
      </c>
      <c r="H8346" s="25" t="n">
        <v>1340192921</v>
      </c>
      <c r="I8346" t="inlineStr">
        <is>
          <t>entidad-dia</t>
        </is>
      </c>
    </row>
    <row r="8347">
      <c r="A8347" t="inlineStr">
        <is>
          <t>PRAGMA</t>
        </is>
      </c>
      <c r="B8347" t="inlineStr">
        <is>
          <t>M3</t>
        </is>
      </c>
      <c r="C8347" t="inlineStr">
        <is>
          <t>Cali</t>
        </is>
      </c>
      <c r="D8347" t="inlineStr">
        <is>
          <t>270</t>
        </is>
      </c>
      <c r="E8347" t="inlineStr">
        <is>
          <t>salidas</t>
        </is>
      </c>
      <c r="F8347" s="23" t="n">
        <v>46275</v>
      </c>
      <c r="G8347" s="24">
        <f>F8347-DATE(2026,8,31)</f>
        <v>10</v>
      </c>
      <c r="H8347" s="25" t="n">
        <v>863711088</v>
      </c>
      <c r="I8347" t="inlineStr">
        <is>
          <t>entidad-dia</t>
        </is>
      </c>
    </row>
    <row r="8348">
      <c r="A8348" t="inlineStr">
        <is>
          <t>PRAGMA</t>
        </is>
      </c>
      <c r="B8348" t="inlineStr">
        <is>
          <t>M3</t>
        </is>
      </c>
      <c r="C8348" t="inlineStr">
        <is>
          <t>Cali</t>
        </is>
      </c>
      <c r="D8348" t="inlineStr">
        <is>
          <t>270</t>
        </is>
      </c>
      <c r="E8348" t="inlineStr">
        <is>
          <t>entradas</t>
        </is>
      </c>
      <c r="F8348" s="23" t="n">
        <v>46276</v>
      </c>
      <c r="G8348" s="24">
        <f>F8348-DATE(2026,8,31)</f>
        <v>11</v>
      </c>
      <c r="H8348" s="25" t="n">
        <v>1410139622</v>
      </c>
      <c r="I8348" t="inlineStr">
        <is>
          <t>entidad-dia</t>
        </is>
      </c>
    </row>
    <row r="8349">
      <c r="A8349" t="inlineStr">
        <is>
          <t>PRAGMA</t>
        </is>
      </c>
      <c r="B8349" t="inlineStr">
        <is>
          <t>M3</t>
        </is>
      </c>
      <c r="C8349" t="inlineStr">
        <is>
          <t>Cali</t>
        </is>
      </c>
      <c r="D8349" t="inlineStr">
        <is>
          <t>270</t>
        </is>
      </c>
      <c r="E8349" t="inlineStr">
        <is>
          <t>salidas</t>
        </is>
      </c>
      <c r="F8349" s="23" t="n">
        <v>46276</v>
      </c>
      <c r="G8349" s="24">
        <f>F8349-DATE(2026,8,31)</f>
        <v>11</v>
      </c>
      <c r="H8349" s="25" t="n">
        <v>760820458</v>
      </c>
      <c r="I8349" t="inlineStr">
        <is>
          <t>entidad-dia</t>
        </is>
      </c>
    </row>
    <row r="8350">
      <c r="A8350" t="inlineStr">
        <is>
          <t>PRAGMA</t>
        </is>
      </c>
      <c r="B8350" t="inlineStr">
        <is>
          <t>M3</t>
        </is>
      </c>
      <c r="C8350" t="inlineStr">
        <is>
          <t>Cali</t>
        </is>
      </c>
      <c r="D8350" t="inlineStr">
        <is>
          <t>270</t>
        </is>
      </c>
      <c r="E8350" t="inlineStr">
        <is>
          <t>entradas</t>
        </is>
      </c>
      <c r="F8350" s="23" t="n">
        <v>46277</v>
      </c>
      <c r="G8350" s="24">
        <f>F8350-DATE(2026,8,31)</f>
        <v>12</v>
      </c>
      <c r="H8350" s="25" t="n">
        <v>783587963</v>
      </c>
      <c r="I8350" t="inlineStr">
        <is>
          <t>entidad-dia</t>
        </is>
      </c>
    </row>
    <row r="8351">
      <c r="A8351" t="inlineStr">
        <is>
          <t>PRAGMA</t>
        </is>
      </c>
      <c r="B8351" t="inlineStr">
        <is>
          <t>M3</t>
        </is>
      </c>
      <c r="C8351" t="inlineStr">
        <is>
          <t>Cali</t>
        </is>
      </c>
      <c r="D8351" t="inlineStr">
        <is>
          <t>270</t>
        </is>
      </c>
      <c r="E8351" t="inlineStr">
        <is>
          <t>salidas</t>
        </is>
      </c>
      <c r="F8351" s="23" t="n">
        <v>46277</v>
      </c>
      <c r="G8351" s="24">
        <f>F8351-DATE(2026,8,31)</f>
        <v>12</v>
      </c>
      <c r="H8351" s="25" t="n">
        <v>910986940</v>
      </c>
      <c r="I8351" t="inlineStr">
        <is>
          <t>entidad-dia</t>
        </is>
      </c>
    </row>
    <row r="8352">
      <c r="A8352" t="inlineStr">
        <is>
          <t>PRAGMA</t>
        </is>
      </c>
      <c r="B8352" t="inlineStr">
        <is>
          <t>M3</t>
        </is>
      </c>
      <c r="C8352" t="inlineStr">
        <is>
          <t>Cali</t>
        </is>
      </c>
      <c r="D8352" t="inlineStr">
        <is>
          <t>270</t>
        </is>
      </c>
      <c r="E8352" t="inlineStr">
        <is>
          <t>entradas</t>
        </is>
      </c>
      <c r="F8352" s="23" t="n">
        <v>46278</v>
      </c>
      <c r="G8352" s="24">
        <f>F8352-DATE(2026,8,31)</f>
        <v>13</v>
      </c>
      <c r="H8352" s="25" t="n">
        <v>139314</v>
      </c>
      <c r="I8352" t="inlineStr">
        <is>
          <t>entidad-dia</t>
        </is>
      </c>
    </row>
    <row r="8353">
      <c r="A8353" t="inlineStr">
        <is>
          <t>PRAGMA</t>
        </is>
      </c>
      <c r="B8353" t="inlineStr">
        <is>
          <t>M3</t>
        </is>
      </c>
      <c r="C8353" t="inlineStr">
        <is>
          <t>Cali</t>
        </is>
      </c>
      <c r="D8353" t="inlineStr">
        <is>
          <t>270</t>
        </is>
      </c>
      <c r="E8353" t="inlineStr">
        <is>
          <t>salidas</t>
        </is>
      </c>
      <c r="F8353" s="23" t="n">
        <v>46278</v>
      </c>
      <c r="G8353" s="24">
        <f>F8353-DATE(2026,8,31)</f>
        <v>13</v>
      </c>
      <c r="H8353" s="25" t="n">
        <v>0</v>
      </c>
      <c r="I8353" t="inlineStr">
        <is>
          <t>entidad-dia</t>
        </is>
      </c>
    </row>
    <row r="8354">
      <c r="A8354" t="inlineStr">
        <is>
          <t>PRAGMA</t>
        </is>
      </c>
      <c r="B8354" t="inlineStr">
        <is>
          <t>M3</t>
        </is>
      </c>
      <c r="C8354" t="inlineStr">
        <is>
          <t>Cali</t>
        </is>
      </c>
      <c r="D8354" t="inlineStr">
        <is>
          <t>270</t>
        </is>
      </c>
      <c r="E8354" t="inlineStr">
        <is>
          <t>entradas</t>
        </is>
      </c>
      <c r="F8354" s="23" t="n">
        <v>46279</v>
      </c>
      <c r="G8354" s="24">
        <f>F8354-DATE(2026,8,31)</f>
        <v>14</v>
      </c>
      <c r="H8354" s="25" t="n">
        <v>217036933</v>
      </c>
      <c r="I8354" t="inlineStr">
        <is>
          <t>entidad-dia</t>
        </is>
      </c>
    </row>
    <row r="8355">
      <c r="A8355" t="inlineStr">
        <is>
          <t>PRAGMA</t>
        </is>
      </c>
      <c r="B8355" t="inlineStr">
        <is>
          <t>M3</t>
        </is>
      </c>
      <c r="C8355" t="inlineStr">
        <is>
          <t>Cali</t>
        </is>
      </c>
      <c r="D8355" t="inlineStr">
        <is>
          <t>270</t>
        </is>
      </c>
      <c r="E8355" t="inlineStr">
        <is>
          <t>salidas</t>
        </is>
      </c>
      <c r="F8355" s="23" t="n">
        <v>46279</v>
      </c>
      <c r="G8355" s="24">
        <f>F8355-DATE(2026,8,31)</f>
        <v>14</v>
      </c>
      <c r="H8355" s="25" t="n">
        <v>169103600</v>
      </c>
      <c r="I8355" t="inlineStr">
        <is>
          <t>entidad-dia</t>
        </is>
      </c>
    </row>
    <row r="8356">
      <c r="A8356" t="inlineStr">
        <is>
          <t>PRAGMA</t>
        </is>
      </c>
      <c r="B8356" t="inlineStr">
        <is>
          <t>M3</t>
        </is>
      </c>
      <c r="C8356" t="inlineStr">
        <is>
          <t>Cali</t>
        </is>
      </c>
      <c r="D8356" t="inlineStr">
        <is>
          <t>270</t>
        </is>
      </c>
      <c r="E8356" t="inlineStr">
        <is>
          <t>entradas</t>
        </is>
      </c>
      <c r="F8356" s="23" t="n">
        <v>46280</v>
      </c>
      <c r="G8356" s="24">
        <f>F8356-DATE(2026,8,31)</f>
        <v>15</v>
      </c>
      <c r="H8356" s="25" t="n">
        <v>1377047224</v>
      </c>
      <c r="I8356" t="inlineStr">
        <is>
          <t>entidad-dia</t>
        </is>
      </c>
    </row>
    <row r="8357">
      <c r="A8357" t="inlineStr">
        <is>
          <t>PRAGMA</t>
        </is>
      </c>
      <c r="B8357" t="inlineStr">
        <is>
          <t>M3</t>
        </is>
      </c>
      <c r="C8357" t="inlineStr">
        <is>
          <t>Cali</t>
        </is>
      </c>
      <c r="D8357" t="inlineStr">
        <is>
          <t>270</t>
        </is>
      </c>
      <c r="E8357" t="inlineStr">
        <is>
          <t>salidas</t>
        </is>
      </c>
      <c r="F8357" s="23" t="n">
        <v>46280</v>
      </c>
      <c r="G8357" s="24">
        <f>F8357-DATE(2026,8,31)</f>
        <v>15</v>
      </c>
      <c r="H8357" s="25" t="n">
        <v>995170585</v>
      </c>
      <c r="I8357" t="inlineStr">
        <is>
          <t>entidad-dia</t>
        </is>
      </c>
    </row>
    <row r="8358">
      <c r="A8358" t="inlineStr">
        <is>
          <t>PRAGMA</t>
        </is>
      </c>
      <c r="B8358" t="inlineStr">
        <is>
          <t>M3</t>
        </is>
      </c>
      <c r="C8358" t="inlineStr">
        <is>
          <t>Cali</t>
        </is>
      </c>
      <c r="D8358" t="inlineStr">
        <is>
          <t>396</t>
        </is>
      </c>
      <c r="E8358" t="inlineStr">
        <is>
          <t>entradas</t>
        </is>
      </c>
      <c r="F8358" s="23" t="n">
        <v>46266</v>
      </c>
      <c r="G8358" s="24">
        <f>F8358-DATE(2026,8,31)</f>
        <v>1</v>
      </c>
      <c r="H8358" s="25" t="n">
        <v>17087393</v>
      </c>
      <c r="I8358" t="inlineStr">
        <is>
          <t>entidad-dia</t>
        </is>
      </c>
    </row>
    <row r="8359">
      <c r="A8359" t="inlineStr">
        <is>
          <t>PRAGMA</t>
        </is>
      </c>
      <c r="B8359" t="inlineStr">
        <is>
          <t>M3</t>
        </is>
      </c>
      <c r="C8359" t="inlineStr">
        <is>
          <t>Cali</t>
        </is>
      </c>
      <c r="D8359" t="inlineStr">
        <is>
          <t>396</t>
        </is>
      </c>
      <c r="E8359" t="inlineStr">
        <is>
          <t>salidas</t>
        </is>
      </c>
      <c r="F8359" s="23" t="n">
        <v>46266</v>
      </c>
      <c r="G8359" s="24">
        <f>F8359-DATE(2026,8,31)</f>
        <v>1</v>
      </c>
      <c r="H8359" s="25" t="n">
        <v>30072716</v>
      </c>
      <c r="I8359" t="inlineStr">
        <is>
          <t>entidad-dia</t>
        </is>
      </c>
    </row>
    <row r="8360">
      <c r="A8360" t="inlineStr">
        <is>
          <t>PRAGMA</t>
        </is>
      </c>
      <c r="B8360" t="inlineStr">
        <is>
          <t>M3</t>
        </is>
      </c>
      <c r="C8360" t="inlineStr">
        <is>
          <t>Cali</t>
        </is>
      </c>
      <c r="D8360" t="inlineStr">
        <is>
          <t>396</t>
        </is>
      </c>
      <c r="E8360" t="inlineStr">
        <is>
          <t>entradas</t>
        </is>
      </c>
      <c r="F8360" s="23" t="n">
        <v>46267</v>
      </c>
      <c r="G8360" s="24">
        <f>F8360-DATE(2026,8,31)</f>
        <v>2</v>
      </c>
      <c r="H8360" s="25" t="n">
        <v>16525207</v>
      </c>
      <c r="I8360" t="inlineStr">
        <is>
          <t>entidad-dia</t>
        </is>
      </c>
    </row>
    <row r="8361">
      <c r="A8361" t="inlineStr">
        <is>
          <t>PRAGMA</t>
        </is>
      </c>
      <c r="B8361" t="inlineStr">
        <is>
          <t>M3</t>
        </is>
      </c>
      <c r="C8361" t="inlineStr">
        <is>
          <t>Cali</t>
        </is>
      </c>
      <c r="D8361" t="inlineStr">
        <is>
          <t>396</t>
        </is>
      </c>
      <c r="E8361" t="inlineStr">
        <is>
          <t>salidas</t>
        </is>
      </c>
      <c r="F8361" s="23" t="n">
        <v>46267</v>
      </c>
      <c r="G8361" s="24">
        <f>F8361-DATE(2026,8,31)</f>
        <v>2</v>
      </c>
      <c r="H8361" s="25" t="n">
        <v>30572863</v>
      </c>
      <c r="I8361" t="inlineStr">
        <is>
          <t>entidad-dia</t>
        </is>
      </c>
    </row>
    <row r="8362">
      <c r="A8362" t="inlineStr">
        <is>
          <t>PRAGMA</t>
        </is>
      </c>
      <c r="B8362" t="inlineStr">
        <is>
          <t>M3</t>
        </is>
      </c>
      <c r="C8362" t="inlineStr">
        <is>
          <t>Cali</t>
        </is>
      </c>
      <c r="D8362" t="inlineStr">
        <is>
          <t>396</t>
        </is>
      </c>
      <c r="E8362" t="inlineStr">
        <is>
          <t>entradas</t>
        </is>
      </c>
      <c r="F8362" s="23" t="n">
        <v>46268</v>
      </c>
      <c r="G8362" s="24">
        <f>F8362-DATE(2026,8,31)</f>
        <v>3</v>
      </c>
      <c r="H8362" s="25" t="n">
        <v>16457444</v>
      </c>
      <c r="I8362" t="inlineStr">
        <is>
          <t>entidad-dia</t>
        </is>
      </c>
    </row>
    <row r="8363">
      <c r="A8363" t="inlineStr">
        <is>
          <t>PRAGMA</t>
        </is>
      </c>
      <c r="B8363" t="inlineStr">
        <is>
          <t>M3</t>
        </is>
      </c>
      <c r="C8363" t="inlineStr">
        <is>
          <t>Cali</t>
        </is>
      </c>
      <c r="D8363" t="inlineStr">
        <is>
          <t>396</t>
        </is>
      </c>
      <c r="E8363" t="inlineStr">
        <is>
          <t>salidas</t>
        </is>
      </c>
      <c r="F8363" s="23" t="n">
        <v>46268</v>
      </c>
      <c r="G8363" s="24">
        <f>F8363-DATE(2026,8,31)</f>
        <v>3</v>
      </c>
      <c r="H8363" s="25" t="n">
        <v>25485620</v>
      </c>
      <c r="I8363" t="inlineStr">
        <is>
          <t>entidad-dia</t>
        </is>
      </c>
    </row>
    <row r="8364">
      <c r="A8364" t="inlineStr">
        <is>
          <t>PRAGMA</t>
        </is>
      </c>
      <c r="B8364" t="inlineStr">
        <is>
          <t>M3</t>
        </is>
      </c>
      <c r="C8364" t="inlineStr">
        <is>
          <t>Cali</t>
        </is>
      </c>
      <c r="D8364" t="inlineStr">
        <is>
          <t>396</t>
        </is>
      </c>
      <c r="E8364" t="inlineStr">
        <is>
          <t>entradas</t>
        </is>
      </c>
      <c r="F8364" s="23" t="n">
        <v>46269</v>
      </c>
      <c r="G8364" s="24">
        <f>F8364-DATE(2026,8,31)</f>
        <v>4</v>
      </c>
      <c r="H8364" s="25" t="n">
        <v>18965669</v>
      </c>
      <c r="I8364" t="inlineStr">
        <is>
          <t>entidad-dia</t>
        </is>
      </c>
    </row>
    <row r="8365">
      <c r="A8365" t="inlineStr">
        <is>
          <t>PRAGMA</t>
        </is>
      </c>
      <c r="B8365" t="inlineStr">
        <is>
          <t>M3</t>
        </is>
      </c>
      <c r="C8365" t="inlineStr">
        <is>
          <t>Cali</t>
        </is>
      </c>
      <c r="D8365" t="inlineStr">
        <is>
          <t>396</t>
        </is>
      </c>
      <c r="E8365" t="inlineStr">
        <is>
          <t>salidas</t>
        </is>
      </c>
      <c r="F8365" s="23" t="n">
        <v>46269</v>
      </c>
      <c r="G8365" s="24">
        <f>F8365-DATE(2026,8,31)</f>
        <v>4</v>
      </c>
      <c r="H8365" s="25" t="n">
        <v>34222255</v>
      </c>
      <c r="I8365" t="inlineStr">
        <is>
          <t>entidad-dia</t>
        </is>
      </c>
    </row>
    <row r="8366">
      <c r="A8366" t="inlineStr">
        <is>
          <t>PRAGMA</t>
        </is>
      </c>
      <c r="B8366" t="inlineStr">
        <is>
          <t>M3</t>
        </is>
      </c>
      <c r="C8366" t="inlineStr">
        <is>
          <t>Cali</t>
        </is>
      </c>
      <c r="D8366" t="inlineStr">
        <is>
          <t>396</t>
        </is>
      </c>
      <c r="E8366" t="inlineStr">
        <is>
          <t>entradas</t>
        </is>
      </c>
      <c r="F8366" s="23" t="n">
        <v>46270</v>
      </c>
      <c r="G8366" s="24">
        <f>F8366-DATE(2026,8,31)</f>
        <v>5</v>
      </c>
      <c r="H8366" s="25" t="n">
        <v>37288</v>
      </c>
      <c r="I8366" t="inlineStr">
        <is>
          <t>entidad-dia</t>
        </is>
      </c>
    </row>
    <row r="8367">
      <c r="A8367" t="inlineStr">
        <is>
          <t>PRAGMA</t>
        </is>
      </c>
      <c r="B8367" t="inlineStr">
        <is>
          <t>M3</t>
        </is>
      </c>
      <c r="C8367" t="inlineStr">
        <is>
          <t>Cali</t>
        </is>
      </c>
      <c r="D8367" t="inlineStr">
        <is>
          <t>396</t>
        </is>
      </c>
      <c r="E8367" t="inlineStr">
        <is>
          <t>salidas</t>
        </is>
      </c>
      <c r="F8367" s="23" t="n">
        <v>46270</v>
      </c>
      <c r="G8367" s="24">
        <f>F8367-DATE(2026,8,31)</f>
        <v>5</v>
      </c>
      <c r="H8367" s="25" t="n">
        <v>0</v>
      </c>
      <c r="I8367" t="inlineStr">
        <is>
          <t>entidad-dia</t>
        </is>
      </c>
    </row>
    <row r="8368">
      <c r="A8368" t="inlineStr">
        <is>
          <t>PRAGMA</t>
        </is>
      </c>
      <c r="B8368" t="inlineStr">
        <is>
          <t>M3</t>
        </is>
      </c>
      <c r="C8368" t="inlineStr">
        <is>
          <t>Cali</t>
        </is>
      </c>
      <c r="D8368" t="inlineStr">
        <is>
          <t>396</t>
        </is>
      </c>
      <c r="E8368" t="inlineStr">
        <is>
          <t>entradas</t>
        </is>
      </c>
      <c r="F8368" s="23" t="n">
        <v>46271</v>
      </c>
      <c r="G8368" s="24">
        <f>F8368-DATE(2026,8,31)</f>
        <v>6</v>
      </c>
      <c r="H8368" s="25" t="n">
        <v>2507</v>
      </c>
      <c r="I8368" t="inlineStr">
        <is>
          <t>entidad-dia</t>
        </is>
      </c>
    </row>
    <row r="8369">
      <c r="A8369" t="inlineStr">
        <is>
          <t>PRAGMA</t>
        </is>
      </c>
      <c r="B8369" t="inlineStr">
        <is>
          <t>M3</t>
        </is>
      </c>
      <c r="C8369" t="inlineStr">
        <is>
          <t>Cali</t>
        </is>
      </c>
      <c r="D8369" t="inlineStr">
        <is>
          <t>396</t>
        </is>
      </c>
      <c r="E8369" t="inlineStr">
        <is>
          <t>salidas</t>
        </is>
      </c>
      <c r="F8369" s="23" t="n">
        <v>46271</v>
      </c>
      <c r="G8369" s="24">
        <f>F8369-DATE(2026,8,31)</f>
        <v>6</v>
      </c>
      <c r="H8369" s="25" t="n">
        <v>0</v>
      </c>
      <c r="I8369" t="inlineStr">
        <is>
          <t>entidad-dia</t>
        </is>
      </c>
    </row>
    <row r="8370">
      <c r="A8370" t="inlineStr">
        <is>
          <t>PRAGMA</t>
        </is>
      </c>
      <c r="B8370" t="inlineStr">
        <is>
          <t>M3</t>
        </is>
      </c>
      <c r="C8370" t="inlineStr">
        <is>
          <t>Cali</t>
        </is>
      </c>
      <c r="D8370" t="inlineStr">
        <is>
          <t>396</t>
        </is>
      </c>
      <c r="E8370" t="inlineStr">
        <is>
          <t>entradas</t>
        </is>
      </c>
      <c r="F8370" s="23" t="n">
        <v>46272</v>
      </c>
      <c r="G8370" s="24">
        <f>F8370-DATE(2026,8,31)</f>
        <v>7</v>
      </c>
      <c r="H8370" s="25" t="n">
        <v>16349737</v>
      </c>
      <c r="I8370" t="inlineStr">
        <is>
          <t>entidad-dia</t>
        </is>
      </c>
    </row>
    <row r="8371">
      <c r="A8371" t="inlineStr">
        <is>
          <t>PRAGMA</t>
        </is>
      </c>
      <c r="B8371" t="inlineStr">
        <is>
          <t>M3</t>
        </is>
      </c>
      <c r="C8371" t="inlineStr">
        <is>
          <t>Cali</t>
        </is>
      </c>
      <c r="D8371" t="inlineStr">
        <is>
          <t>396</t>
        </is>
      </c>
      <c r="E8371" t="inlineStr">
        <is>
          <t>salidas</t>
        </is>
      </c>
      <c r="F8371" s="23" t="n">
        <v>46272</v>
      </c>
      <c r="G8371" s="24">
        <f>F8371-DATE(2026,8,31)</f>
        <v>7</v>
      </c>
      <c r="H8371" s="25" t="n">
        <v>28515108</v>
      </c>
      <c r="I8371" t="inlineStr">
        <is>
          <t>entidad-dia</t>
        </is>
      </c>
    </row>
    <row r="8372">
      <c r="A8372" t="inlineStr">
        <is>
          <t>PRAGMA</t>
        </is>
      </c>
      <c r="B8372" t="inlineStr">
        <is>
          <t>M3</t>
        </is>
      </c>
      <c r="C8372" t="inlineStr">
        <is>
          <t>Cali</t>
        </is>
      </c>
      <c r="D8372" t="inlineStr">
        <is>
          <t>396</t>
        </is>
      </c>
      <c r="E8372" t="inlineStr">
        <is>
          <t>entradas</t>
        </is>
      </c>
      <c r="F8372" s="23" t="n">
        <v>46273</v>
      </c>
      <c r="G8372" s="24">
        <f>F8372-DATE(2026,8,31)</f>
        <v>8</v>
      </c>
      <c r="H8372" s="25" t="n">
        <v>16850608</v>
      </c>
      <c r="I8372" t="inlineStr">
        <is>
          <t>entidad-dia</t>
        </is>
      </c>
    </row>
    <row r="8373">
      <c r="A8373" t="inlineStr">
        <is>
          <t>PRAGMA</t>
        </is>
      </c>
      <c r="B8373" t="inlineStr">
        <is>
          <t>M3</t>
        </is>
      </c>
      <c r="C8373" t="inlineStr">
        <is>
          <t>Cali</t>
        </is>
      </c>
      <c r="D8373" t="inlineStr">
        <is>
          <t>396</t>
        </is>
      </c>
      <c r="E8373" t="inlineStr">
        <is>
          <t>salidas</t>
        </is>
      </c>
      <c r="F8373" s="23" t="n">
        <v>46273</v>
      </c>
      <c r="G8373" s="24">
        <f>F8373-DATE(2026,8,31)</f>
        <v>8</v>
      </c>
      <c r="H8373" s="25" t="n">
        <v>28571352</v>
      </c>
      <c r="I8373" t="inlineStr">
        <is>
          <t>entidad-dia</t>
        </is>
      </c>
    </row>
    <row r="8374">
      <c r="A8374" t="inlineStr">
        <is>
          <t>PRAGMA</t>
        </is>
      </c>
      <c r="B8374" t="inlineStr">
        <is>
          <t>M3</t>
        </is>
      </c>
      <c r="C8374" t="inlineStr">
        <is>
          <t>Cali</t>
        </is>
      </c>
      <c r="D8374" t="inlineStr">
        <is>
          <t>396</t>
        </is>
      </c>
      <c r="E8374" t="inlineStr">
        <is>
          <t>entradas</t>
        </is>
      </c>
      <c r="F8374" s="23" t="n">
        <v>46274</v>
      </c>
      <c r="G8374" s="24">
        <f>F8374-DATE(2026,8,31)</f>
        <v>9</v>
      </c>
      <c r="H8374" s="25" t="n">
        <v>16873964</v>
      </c>
      <c r="I8374" t="inlineStr">
        <is>
          <t>entidad-dia</t>
        </is>
      </c>
    </row>
    <row r="8375">
      <c r="A8375" t="inlineStr">
        <is>
          <t>PRAGMA</t>
        </is>
      </c>
      <c r="B8375" t="inlineStr">
        <is>
          <t>M3</t>
        </is>
      </c>
      <c r="C8375" t="inlineStr">
        <is>
          <t>Cali</t>
        </is>
      </c>
      <c r="D8375" t="inlineStr">
        <is>
          <t>396</t>
        </is>
      </c>
      <c r="E8375" t="inlineStr">
        <is>
          <t>salidas</t>
        </is>
      </c>
      <c r="F8375" s="23" t="n">
        <v>46274</v>
      </c>
      <c r="G8375" s="24">
        <f>F8375-DATE(2026,8,31)</f>
        <v>9</v>
      </c>
      <c r="H8375" s="25" t="n">
        <v>29472308</v>
      </c>
      <c r="I8375" t="inlineStr">
        <is>
          <t>entidad-dia</t>
        </is>
      </c>
    </row>
    <row r="8376">
      <c r="A8376" t="inlineStr">
        <is>
          <t>PRAGMA</t>
        </is>
      </c>
      <c r="B8376" t="inlineStr">
        <is>
          <t>M3</t>
        </is>
      </c>
      <c r="C8376" t="inlineStr">
        <is>
          <t>Cali</t>
        </is>
      </c>
      <c r="D8376" t="inlineStr">
        <is>
          <t>396</t>
        </is>
      </c>
      <c r="E8376" t="inlineStr">
        <is>
          <t>entradas</t>
        </is>
      </c>
      <c r="F8376" s="23" t="n">
        <v>46275</v>
      </c>
      <c r="G8376" s="24">
        <f>F8376-DATE(2026,8,31)</f>
        <v>10</v>
      </c>
      <c r="H8376" s="25" t="n">
        <v>15489512</v>
      </c>
      <c r="I8376" t="inlineStr">
        <is>
          <t>entidad-dia</t>
        </is>
      </c>
    </row>
    <row r="8377">
      <c r="A8377" t="inlineStr">
        <is>
          <t>PRAGMA</t>
        </is>
      </c>
      <c r="B8377" t="inlineStr">
        <is>
          <t>M3</t>
        </is>
      </c>
      <c r="C8377" t="inlineStr">
        <is>
          <t>Cali</t>
        </is>
      </c>
      <c r="D8377" t="inlineStr">
        <is>
          <t>396</t>
        </is>
      </c>
      <c r="E8377" t="inlineStr">
        <is>
          <t>salidas</t>
        </is>
      </c>
      <c r="F8377" s="23" t="n">
        <v>46275</v>
      </c>
      <c r="G8377" s="24">
        <f>F8377-DATE(2026,8,31)</f>
        <v>10</v>
      </c>
      <c r="H8377" s="25" t="n">
        <v>28625877</v>
      </c>
      <c r="I8377" t="inlineStr">
        <is>
          <t>entidad-dia</t>
        </is>
      </c>
    </row>
    <row r="8378">
      <c r="A8378" t="inlineStr">
        <is>
          <t>PRAGMA</t>
        </is>
      </c>
      <c r="B8378" t="inlineStr">
        <is>
          <t>M3</t>
        </is>
      </c>
      <c r="C8378" t="inlineStr">
        <is>
          <t>Cali</t>
        </is>
      </c>
      <c r="D8378" t="inlineStr">
        <is>
          <t>396</t>
        </is>
      </c>
      <c r="E8378" t="inlineStr">
        <is>
          <t>entradas</t>
        </is>
      </c>
      <c r="F8378" s="23" t="n">
        <v>46276</v>
      </c>
      <c r="G8378" s="24">
        <f>F8378-DATE(2026,8,31)</f>
        <v>11</v>
      </c>
      <c r="H8378" s="25" t="n">
        <v>20087465</v>
      </c>
      <c r="I8378" t="inlineStr">
        <is>
          <t>entidad-dia</t>
        </is>
      </c>
    </row>
    <row r="8379">
      <c r="A8379" t="inlineStr">
        <is>
          <t>PRAGMA</t>
        </is>
      </c>
      <c r="B8379" t="inlineStr">
        <is>
          <t>M3</t>
        </is>
      </c>
      <c r="C8379" t="inlineStr">
        <is>
          <t>Cali</t>
        </is>
      </c>
      <c r="D8379" t="inlineStr">
        <is>
          <t>396</t>
        </is>
      </c>
      <c r="E8379" t="inlineStr">
        <is>
          <t>salidas</t>
        </is>
      </c>
      <c r="F8379" s="23" t="n">
        <v>46276</v>
      </c>
      <c r="G8379" s="24">
        <f>F8379-DATE(2026,8,31)</f>
        <v>11</v>
      </c>
      <c r="H8379" s="25" t="n">
        <v>32676449</v>
      </c>
      <c r="I8379" t="inlineStr">
        <is>
          <t>entidad-dia</t>
        </is>
      </c>
    </row>
    <row r="8380">
      <c r="A8380" t="inlineStr">
        <is>
          <t>PRAGMA</t>
        </is>
      </c>
      <c r="B8380" t="inlineStr">
        <is>
          <t>M3</t>
        </is>
      </c>
      <c r="C8380" t="inlineStr">
        <is>
          <t>Cali</t>
        </is>
      </c>
      <c r="D8380" t="inlineStr">
        <is>
          <t>396</t>
        </is>
      </c>
      <c r="E8380" t="inlineStr">
        <is>
          <t>entradas</t>
        </is>
      </c>
      <c r="F8380" s="23" t="n">
        <v>46277</v>
      </c>
      <c r="G8380" s="24">
        <f>F8380-DATE(2026,8,31)</f>
        <v>12</v>
      </c>
      <c r="H8380" s="25" t="n">
        <v>35235</v>
      </c>
      <c r="I8380" t="inlineStr">
        <is>
          <t>entidad-dia</t>
        </is>
      </c>
    </row>
    <row r="8381">
      <c r="A8381" t="inlineStr">
        <is>
          <t>PRAGMA</t>
        </is>
      </c>
      <c r="B8381" t="inlineStr">
        <is>
          <t>M3</t>
        </is>
      </c>
      <c r="C8381" t="inlineStr">
        <is>
          <t>Cali</t>
        </is>
      </c>
      <c r="D8381" t="inlineStr">
        <is>
          <t>396</t>
        </is>
      </c>
      <c r="E8381" t="inlineStr">
        <is>
          <t>salidas</t>
        </is>
      </c>
      <c r="F8381" s="23" t="n">
        <v>46277</v>
      </c>
      <c r="G8381" s="24">
        <f>F8381-DATE(2026,8,31)</f>
        <v>12</v>
      </c>
      <c r="H8381" s="25" t="n">
        <v>0</v>
      </c>
      <c r="I8381" t="inlineStr">
        <is>
          <t>entidad-dia</t>
        </is>
      </c>
    </row>
    <row r="8382">
      <c r="A8382" t="inlineStr">
        <is>
          <t>PRAGMA</t>
        </is>
      </c>
      <c r="B8382" t="inlineStr">
        <is>
          <t>M3</t>
        </is>
      </c>
      <c r="C8382" t="inlineStr">
        <is>
          <t>Cali</t>
        </is>
      </c>
      <c r="D8382" t="inlineStr">
        <is>
          <t>396</t>
        </is>
      </c>
      <c r="E8382" t="inlineStr">
        <is>
          <t>entradas</t>
        </is>
      </c>
      <c r="F8382" s="23" t="n">
        <v>46278</v>
      </c>
      <c r="G8382" s="24">
        <f>F8382-DATE(2026,8,31)</f>
        <v>13</v>
      </c>
      <c r="H8382" s="25" t="n">
        <v>2858</v>
      </c>
      <c r="I8382" t="inlineStr">
        <is>
          <t>entidad-dia</t>
        </is>
      </c>
    </row>
    <row r="8383">
      <c r="A8383" t="inlineStr">
        <is>
          <t>PRAGMA</t>
        </is>
      </c>
      <c r="B8383" t="inlineStr">
        <is>
          <t>M3</t>
        </is>
      </c>
      <c r="C8383" t="inlineStr">
        <is>
          <t>Cali</t>
        </is>
      </c>
      <c r="D8383" t="inlineStr">
        <is>
          <t>396</t>
        </is>
      </c>
      <c r="E8383" t="inlineStr">
        <is>
          <t>salidas</t>
        </is>
      </c>
      <c r="F8383" s="23" t="n">
        <v>46278</v>
      </c>
      <c r="G8383" s="24">
        <f>F8383-DATE(2026,8,31)</f>
        <v>13</v>
      </c>
      <c r="H8383" s="25" t="n">
        <v>0</v>
      </c>
      <c r="I8383" t="inlineStr">
        <is>
          <t>entidad-dia</t>
        </is>
      </c>
    </row>
    <row r="8384">
      <c r="A8384" t="inlineStr">
        <is>
          <t>PRAGMA</t>
        </is>
      </c>
      <c r="B8384" t="inlineStr">
        <is>
          <t>M3</t>
        </is>
      </c>
      <c r="C8384" t="inlineStr">
        <is>
          <t>Cali</t>
        </is>
      </c>
      <c r="D8384" t="inlineStr">
        <is>
          <t>396</t>
        </is>
      </c>
      <c r="E8384" t="inlineStr">
        <is>
          <t>entradas</t>
        </is>
      </c>
      <c r="F8384" s="23" t="n">
        <v>46279</v>
      </c>
      <c r="G8384" s="24">
        <f>F8384-DATE(2026,8,31)</f>
        <v>14</v>
      </c>
      <c r="H8384" s="25" t="n">
        <v>17252970</v>
      </c>
      <c r="I8384" t="inlineStr">
        <is>
          <t>entidad-dia</t>
        </is>
      </c>
    </row>
    <row r="8385">
      <c r="A8385" t="inlineStr">
        <is>
          <t>PRAGMA</t>
        </is>
      </c>
      <c r="B8385" t="inlineStr">
        <is>
          <t>M3</t>
        </is>
      </c>
      <c r="C8385" t="inlineStr">
        <is>
          <t>Cali</t>
        </is>
      </c>
      <c r="D8385" t="inlineStr">
        <is>
          <t>396</t>
        </is>
      </c>
      <c r="E8385" t="inlineStr">
        <is>
          <t>salidas</t>
        </is>
      </c>
      <c r="F8385" s="23" t="n">
        <v>46279</v>
      </c>
      <c r="G8385" s="24">
        <f>F8385-DATE(2026,8,31)</f>
        <v>14</v>
      </c>
      <c r="H8385" s="25" t="n">
        <v>28312655</v>
      </c>
      <c r="I8385" t="inlineStr">
        <is>
          <t>entidad-dia</t>
        </is>
      </c>
    </row>
    <row r="8386">
      <c r="A8386" t="inlineStr">
        <is>
          <t>PRAGMA</t>
        </is>
      </c>
      <c r="B8386" t="inlineStr">
        <is>
          <t>M3</t>
        </is>
      </c>
      <c r="C8386" t="inlineStr">
        <is>
          <t>Cali</t>
        </is>
      </c>
      <c r="D8386" t="inlineStr">
        <is>
          <t>396</t>
        </is>
      </c>
      <c r="E8386" t="inlineStr">
        <is>
          <t>entradas</t>
        </is>
      </c>
      <c r="F8386" s="23" t="n">
        <v>46280</v>
      </c>
      <c r="G8386" s="24">
        <f>F8386-DATE(2026,8,31)</f>
        <v>15</v>
      </c>
      <c r="H8386" s="25" t="n">
        <v>17348307</v>
      </c>
      <c r="I8386" t="inlineStr">
        <is>
          <t>entidad-dia</t>
        </is>
      </c>
    </row>
    <row r="8387">
      <c r="A8387" t="inlineStr">
        <is>
          <t>PRAGMA</t>
        </is>
      </c>
      <c r="B8387" t="inlineStr">
        <is>
          <t>M3</t>
        </is>
      </c>
      <c r="C8387" t="inlineStr">
        <is>
          <t>Cali</t>
        </is>
      </c>
      <c r="D8387" t="inlineStr">
        <is>
          <t>396</t>
        </is>
      </c>
      <c r="E8387" t="inlineStr">
        <is>
          <t>salidas</t>
        </is>
      </c>
      <c r="F8387" s="23" t="n">
        <v>46280</v>
      </c>
      <c r="G8387" s="24">
        <f>F8387-DATE(2026,8,31)</f>
        <v>15</v>
      </c>
      <c r="H8387" s="25" t="n">
        <v>29077968</v>
      </c>
      <c r="I8387" t="inlineStr">
        <is>
          <t>entidad-dia</t>
        </is>
      </c>
    </row>
    <row r="8388">
      <c r="A8388" t="inlineStr">
        <is>
          <t>PRAGMA</t>
        </is>
      </c>
      <c r="B8388" t="inlineStr">
        <is>
          <t>M3</t>
        </is>
      </c>
      <c r="C8388" t="inlineStr">
        <is>
          <t>Cali</t>
        </is>
      </c>
      <c r="D8388" t="inlineStr">
        <is>
          <t>519</t>
        </is>
      </c>
      <c r="E8388" t="inlineStr">
        <is>
          <t>entradas</t>
        </is>
      </c>
      <c r="F8388" s="23" t="n">
        <v>46266</v>
      </c>
      <c r="G8388" s="24">
        <f>F8388-DATE(2026,8,31)</f>
        <v>1</v>
      </c>
      <c r="H8388" s="25" t="n">
        <v>1575252943</v>
      </c>
      <c r="I8388" t="inlineStr">
        <is>
          <t>entidad-dia</t>
        </is>
      </c>
    </row>
    <row r="8389">
      <c r="A8389" t="inlineStr">
        <is>
          <t>PRAGMA</t>
        </is>
      </c>
      <c r="B8389" t="inlineStr">
        <is>
          <t>M3</t>
        </is>
      </c>
      <c r="C8389" t="inlineStr">
        <is>
          <t>Cali</t>
        </is>
      </c>
      <c r="D8389" t="inlineStr">
        <is>
          <t>519</t>
        </is>
      </c>
      <c r="E8389" t="inlineStr">
        <is>
          <t>salidas</t>
        </is>
      </c>
      <c r="F8389" s="23" t="n">
        <v>46266</v>
      </c>
      <c r="G8389" s="24">
        <f>F8389-DATE(2026,8,31)</f>
        <v>1</v>
      </c>
      <c r="H8389" s="25" t="n">
        <v>1471945217</v>
      </c>
      <c r="I8389" t="inlineStr">
        <is>
          <t>entidad-dia</t>
        </is>
      </c>
    </row>
    <row r="8390">
      <c r="A8390" t="inlineStr">
        <is>
          <t>PRAGMA</t>
        </is>
      </c>
      <c r="B8390" t="inlineStr">
        <is>
          <t>M3</t>
        </is>
      </c>
      <c r="C8390" t="inlineStr">
        <is>
          <t>Cali</t>
        </is>
      </c>
      <c r="D8390" t="inlineStr">
        <is>
          <t>519</t>
        </is>
      </c>
      <c r="E8390" t="inlineStr">
        <is>
          <t>entradas</t>
        </is>
      </c>
      <c r="F8390" s="23" t="n">
        <v>46267</v>
      </c>
      <c r="G8390" s="24">
        <f>F8390-DATE(2026,8,31)</f>
        <v>2</v>
      </c>
      <c r="H8390" s="25" t="n">
        <v>1636136166</v>
      </c>
      <c r="I8390" t="inlineStr">
        <is>
          <t>entidad-dia</t>
        </is>
      </c>
    </row>
    <row r="8391">
      <c r="A8391" t="inlineStr">
        <is>
          <t>PRAGMA</t>
        </is>
      </c>
      <c r="B8391" t="inlineStr">
        <is>
          <t>M3</t>
        </is>
      </c>
      <c r="C8391" t="inlineStr">
        <is>
          <t>Cali</t>
        </is>
      </c>
      <c r="D8391" t="inlineStr">
        <is>
          <t>519</t>
        </is>
      </c>
      <c r="E8391" t="inlineStr">
        <is>
          <t>salidas</t>
        </is>
      </c>
      <c r="F8391" s="23" t="n">
        <v>46267</v>
      </c>
      <c r="G8391" s="24">
        <f>F8391-DATE(2026,8,31)</f>
        <v>2</v>
      </c>
      <c r="H8391" s="25" t="n">
        <v>1452652647</v>
      </c>
      <c r="I8391" t="inlineStr">
        <is>
          <t>entidad-dia</t>
        </is>
      </c>
    </row>
    <row r="8392">
      <c r="A8392" t="inlineStr">
        <is>
          <t>PRAGMA</t>
        </is>
      </c>
      <c r="B8392" t="inlineStr">
        <is>
          <t>M3</t>
        </is>
      </c>
      <c r="C8392" t="inlineStr">
        <is>
          <t>Cali</t>
        </is>
      </c>
      <c r="D8392" t="inlineStr">
        <is>
          <t>519</t>
        </is>
      </c>
      <c r="E8392" t="inlineStr">
        <is>
          <t>entradas</t>
        </is>
      </c>
      <c r="F8392" s="23" t="n">
        <v>46268</v>
      </c>
      <c r="G8392" s="24">
        <f>F8392-DATE(2026,8,31)</f>
        <v>3</v>
      </c>
      <c r="H8392" s="25" t="n">
        <v>1342824558</v>
      </c>
      <c r="I8392" t="inlineStr">
        <is>
          <t>entidad-dia</t>
        </is>
      </c>
    </row>
    <row r="8393">
      <c r="A8393" t="inlineStr">
        <is>
          <t>PRAGMA</t>
        </is>
      </c>
      <c r="B8393" t="inlineStr">
        <is>
          <t>M3</t>
        </is>
      </c>
      <c r="C8393" t="inlineStr">
        <is>
          <t>Cali</t>
        </is>
      </c>
      <c r="D8393" t="inlineStr">
        <is>
          <t>519</t>
        </is>
      </c>
      <c r="E8393" t="inlineStr">
        <is>
          <t>salidas</t>
        </is>
      </c>
      <c r="F8393" s="23" t="n">
        <v>46268</v>
      </c>
      <c r="G8393" s="24">
        <f>F8393-DATE(2026,8,31)</f>
        <v>3</v>
      </c>
      <c r="H8393" s="25" t="n">
        <v>988017249</v>
      </c>
      <c r="I8393" t="inlineStr">
        <is>
          <t>entidad-dia</t>
        </is>
      </c>
    </row>
    <row r="8394">
      <c r="A8394" t="inlineStr">
        <is>
          <t>PRAGMA</t>
        </is>
      </c>
      <c r="B8394" t="inlineStr">
        <is>
          <t>M3</t>
        </is>
      </c>
      <c r="C8394" t="inlineStr">
        <is>
          <t>Cali</t>
        </is>
      </c>
      <c r="D8394" t="inlineStr">
        <is>
          <t>519</t>
        </is>
      </c>
      <c r="E8394" t="inlineStr">
        <is>
          <t>entradas</t>
        </is>
      </c>
      <c r="F8394" s="23" t="n">
        <v>46269</v>
      </c>
      <c r="G8394" s="24">
        <f>F8394-DATE(2026,8,31)</f>
        <v>4</v>
      </c>
      <c r="H8394" s="25" t="n">
        <v>1713053999</v>
      </c>
      <c r="I8394" t="inlineStr">
        <is>
          <t>entidad-dia</t>
        </is>
      </c>
    </row>
    <row r="8395">
      <c r="A8395" t="inlineStr">
        <is>
          <t>PRAGMA</t>
        </is>
      </c>
      <c r="B8395" t="inlineStr">
        <is>
          <t>M3</t>
        </is>
      </c>
      <c r="C8395" t="inlineStr">
        <is>
          <t>Cali</t>
        </is>
      </c>
      <c r="D8395" t="inlineStr">
        <is>
          <t>519</t>
        </is>
      </c>
      <c r="E8395" t="inlineStr">
        <is>
          <t>salidas</t>
        </is>
      </c>
      <c r="F8395" s="23" t="n">
        <v>46269</v>
      </c>
      <c r="G8395" s="24">
        <f>F8395-DATE(2026,8,31)</f>
        <v>4</v>
      </c>
      <c r="H8395" s="25" t="n">
        <v>1490346971</v>
      </c>
      <c r="I8395" t="inlineStr">
        <is>
          <t>entidad-dia</t>
        </is>
      </c>
    </row>
    <row r="8396">
      <c r="A8396" t="inlineStr">
        <is>
          <t>PRAGMA</t>
        </is>
      </c>
      <c r="B8396" t="inlineStr">
        <is>
          <t>M3</t>
        </is>
      </c>
      <c r="C8396" t="inlineStr">
        <is>
          <t>Cali</t>
        </is>
      </c>
      <c r="D8396" t="inlineStr">
        <is>
          <t>519</t>
        </is>
      </c>
      <c r="E8396" t="inlineStr">
        <is>
          <t>entradas</t>
        </is>
      </c>
      <c r="F8396" s="23" t="n">
        <v>46270</v>
      </c>
      <c r="G8396" s="24">
        <f>F8396-DATE(2026,8,31)</f>
        <v>5</v>
      </c>
      <c r="H8396" s="25" t="n">
        <v>756794043</v>
      </c>
      <c r="I8396" t="inlineStr">
        <is>
          <t>entidad-dia</t>
        </is>
      </c>
    </row>
    <row r="8397">
      <c r="A8397" t="inlineStr">
        <is>
          <t>PRAGMA</t>
        </is>
      </c>
      <c r="B8397" t="inlineStr">
        <is>
          <t>M3</t>
        </is>
      </c>
      <c r="C8397" t="inlineStr">
        <is>
          <t>Cali</t>
        </is>
      </c>
      <c r="D8397" t="inlineStr">
        <is>
          <t>519</t>
        </is>
      </c>
      <c r="E8397" t="inlineStr">
        <is>
          <t>salidas</t>
        </is>
      </c>
      <c r="F8397" s="23" t="n">
        <v>46270</v>
      </c>
      <c r="G8397" s="24">
        <f>F8397-DATE(2026,8,31)</f>
        <v>5</v>
      </c>
      <c r="H8397" s="25" t="n">
        <v>702761957</v>
      </c>
      <c r="I8397" t="inlineStr">
        <is>
          <t>entidad-dia</t>
        </is>
      </c>
    </row>
    <row r="8398">
      <c r="A8398" t="inlineStr">
        <is>
          <t>PRAGMA</t>
        </is>
      </c>
      <c r="B8398" t="inlineStr">
        <is>
          <t>M3</t>
        </is>
      </c>
      <c r="C8398" t="inlineStr">
        <is>
          <t>Cali</t>
        </is>
      </c>
      <c r="D8398" t="inlineStr">
        <is>
          <t>519</t>
        </is>
      </c>
      <c r="E8398" t="inlineStr">
        <is>
          <t>entradas</t>
        </is>
      </c>
      <c r="F8398" s="23" t="n">
        <v>46271</v>
      </c>
      <c r="G8398" s="24">
        <f>F8398-DATE(2026,8,31)</f>
        <v>6</v>
      </c>
      <c r="H8398" s="25" t="n">
        <v>23435</v>
      </c>
      <c r="I8398" t="inlineStr">
        <is>
          <t>entidad-dia</t>
        </is>
      </c>
    </row>
    <row r="8399">
      <c r="A8399" t="inlineStr">
        <is>
          <t>PRAGMA</t>
        </is>
      </c>
      <c r="B8399" t="inlineStr">
        <is>
          <t>M3</t>
        </is>
      </c>
      <c r="C8399" t="inlineStr">
        <is>
          <t>Cali</t>
        </is>
      </c>
      <c r="D8399" t="inlineStr">
        <is>
          <t>519</t>
        </is>
      </c>
      <c r="E8399" t="inlineStr">
        <is>
          <t>salidas</t>
        </is>
      </c>
      <c r="F8399" s="23" t="n">
        <v>46271</v>
      </c>
      <c r="G8399" s="24">
        <f>F8399-DATE(2026,8,31)</f>
        <v>6</v>
      </c>
      <c r="H8399" s="25" t="n">
        <v>0</v>
      </c>
      <c r="I8399" t="inlineStr">
        <is>
          <t>entidad-dia</t>
        </is>
      </c>
    </row>
    <row r="8400">
      <c r="A8400" t="inlineStr">
        <is>
          <t>PRAGMA</t>
        </is>
      </c>
      <c r="B8400" t="inlineStr">
        <is>
          <t>M3</t>
        </is>
      </c>
      <c r="C8400" t="inlineStr">
        <is>
          <t>Cali</t>
        </is>
      </c>
      <c r="D8400" t="inlineStr">
        <is>
          <t>519</t>
        </is>
      </c>
      <c r="E8400" t="inlineStr">
        <is>
          <t>entradas</t>
        </is>
      </c>
      <c r="F8400" s="23" t="n">
        <v>46272</v>
      </c>
      <c r="G8400" s="24">
        <f>F8400-DATE(2026,8,31)</f>
        <v>7</v>
      </c>
      <c r="H8400" s="25" t="n">
        <v>1582835503</v>
      </c>
      <c r="I8400" t="inlineStr">
        <is>
          <t>entidad-dia</t>
        </is>
      </c>
    </row>
    <row r="8401">
      <c r="A8401" t="inlineStr">
        <is>
          <t>PRAGMA</t>
        </is>
      </c>
      <c r="B8401" t="inlineStr">
        <is>
          <t>M3</t>
        </is>
      </c>
      <c r="C8401" t="inlineStr">
        <is>
          <t>Cali</t>
        </is>
      </c>
      <c r="D8401" t="inlineStr">
        <is>
          <t>519</t>
        </is>
      </c>
      <c r="E8401" t="inlineStr">
        <is>
          <t>salidas</t>
        </is>
      </c>
      <c r="F8401" s="23" t="n">
        <v>46272</v>
      </c>
      <c r="G8401" s="24">
        <f>F8401-DATE(2026,8,31)</f>
        <v>7</v>
      </c>
      <c r="H8401" s="25" t="n">
        <v>1241817390</v>
      </c>
      <c r="I8401" t="inlineStr">
        <is>
          <t>entidad-dia</t>
        </is>
      </c>
    </row>
    <row r="8402">
      <c r="A8402" t="inlineStr">
        <is>
          <t>PRAGMA</t>
        </is>
      </c>
      <c r="B8402" t="inlineStr">
        <is>
          <t>M3</t>
        </is>
      </c>
      <c r="C8402" t="inlineStr">
        <is>
          <t>Cali</t>
        </is>
      </c>
      <c r="D8402" t="inlineStr">
        <is>
          <t>519</t>
        </is>
      </c>
      <c r="E8402" t="inlineStr">
        <is>
          <t>entradas</t>
        </is>
      </c>
      <c r="F8402" s="23" t="n">
        <v>46273</v>
      </c>
      <c r="G8402" s="24">
        <f>F8402-DATE(2026,8,31)</f>
        <v>8</v>
      </c>
      <c r="H8402" s="25" t="n">
        <v>1610764974</v>
      </c>
      <c r="I8402" t="inlineStr">
        <is>
          <t>entidad-dia</t>
        </is>
      </c>
    </row>
    <row r="8403">
      <c r="A8403" t="inlineStr">
        <is>
          <t>PRAGMA</t>
        </is>
      </c>
      <c r="B8403" t="inlineStr">
        <is>
          <t>M3</t>
        </is>
      </c>
      <c r="C8403" t="inlineStr">
        <is>
          <t>Cali</t>
        </is>
      </c>
      <c r="D8403" t="inlineStr">
        <is>
          <t>519</t>
        </is>
      </c>
      <c r="E8403" t="inlineStr">
        <is>
          <t>salidas</t>
        </is>
      </c>
      <c r="F8403" s="23" t="n">
        <v>46273</v>
      </c>
      <c r="G8403" s="24">
        <f>F8403-DATE(2026,8,31)</f>
        <v>8</v>
      </c>
      <c r="H8403" s="25" t="n">
        <v>1361433526</v>
      </c>
      <c r="I8403" t="inlineStr">
        <is>
          <t>entidad-dia</t>
        </is>
      </c>
    </row>
    <row r="8404">
      <c r="A8404" t="inlineStr">
        <is>
          <t>PRAGMA</t>
        </is>
      </c>
      <c r="B8404" t="inlineStr">
        <is>
          <t>M3</t>
        </is>
      </c>
      <c r="C8404" t="inlineStr">
        <is>
          <t>Cali</t>
        </is>
      </c>
      <c r="D8404" t="inlineStr">
        <is>
          <t>519</t>
        </is>
      </c>
      <c r="E8404" t="inlineStr">
        <is>
          <t>entradas</t>
        </is>
      </c>
      <c r="F8404" s="23" t="n">
        <v>46274</v>
      </c>
      <c r="G8404" s="24">
        <f>F8404-DATE(2026,8,31)</f>
        <v>9</v>
      </c>
      <c r="H8404" s="25" t="n">
        <v>1656429246</v>
      </c>
      <c r="I8404" t="inlineStr">
        <is>
          <t>entidad-dia</t>
        </is>
      </c>
    </row>
    <row r="8405">
      <c r="A8405" t="inlineStr">
        <is>
          <t>PRAGMA</t>
        </is>
      </c>
      <c r="B8405" t="inlineStr">
        <is>
          <t>M3</t>
        </is>
      </c>
      <c r="C8405" t="inlineStr">
        <is>
          <t>Cali</t>
        </is>
      </c>
      <c r="D8405" t="inlineStr">
        <is>
          <t>519</t>
        </is>
      </c>
      <c r="E8405" t="inlineStr">
        <is>
          <t>salidas</t>
        </is>
      </c>
      <c r="F8405" s="23" t="n">
        <v>46274</v>
      </c>
      <c r="G8405" s="24">
        <f>F8405-DATE(2026,8,31)</f>
        <v>9</v>
      </c>
      <c r="H8405" s="25" t="n">
        <v>1347389151</v>
      </c>
      <c r="I8405" t="inlineStr">
        <is>
          <t>entidad-dia</t>
        </is>
      </c>
    </row>
    <row r="8406">
      <c r="A8406" t="inlineStr">
        <is>
          <t>PRAGMA</t>
        </is>
      </c>
      <c r="B8406" t="inlineStr">
        <is>
          <t>M3</t>
        </is>
      </c>
      <c r="C8406" t="inlineStr">
        <is>
          <t>Cali</t>
        </is>
      </c>
      <c r="D8406" t="inlineStr">
        <is>
          <t>519</t>
        </is>
      </c>
      <c r="E8406" t="inlineStr">
        <is>
          <t>entradas</t>
        </is>
      </c>
      <c r="F8406" s="23" t="n">
        <v>46275</v>
      </c>
      <c r="G8406" s="24">
        <f>F8406-DATE(2026,8,31)</f>
        <v>10</v>
      </c>
      <c r="H8406" s="25" t="n">
        <v>1440002989</v>
      </c>
      <c r="I8406" t="inlineStr">
        <is>
          <t>entidad-dia</t>
        </is>
      </c>
    </row>
    <row r="8407">
      <c r="A8407" t="inlineStr">
        <is>
          <t>PRAGMA</t>
        </is>
      </c>
      <c r="B8407" t="inlineStr">
        <is>
          <t>M3</t>
        </is>
      </c>
      <c r="C8407" t="inlineStr">
        <is>
          <t>Cali</t>
        </is>
      </c>
      <c r="D8407" t="inlineStr">
        <is>
          <t>519</t>
        </is>
      </c>
      <c r="E8407" t="inlineStr">
        <is>
          <t>salidas</t>
        </is>
      </c>
      <c r="F8407" s="23" t="n">
        <v>46275</v>
      </c>
      <c r="G8407" s="24">
        <f>F8407-DATE(2026,8,31)</f>
        <v>10</v>
      </c>
      <c r="H8407" s="25" t="n">
        <v>1290434058</v>
      </c>
      <c r="I8407" t="inlineStr">
        <is>
          <t>entidad-dia</t>
        </is>
      </c>
    </row>
    <row r="8408">
      <c r="A8408" t="inlineStr">
        <is>
          <t>PRAGMA</t>
        </is>
      </c>
      <c r="B8408" t="inlineStr">
        <is>
          <t>M3</t>
        </is>
      </c>
      <c r="C8408" t="inlineStr">
        <is>
          <t>Cali</t>
        </is>
      </c>
      <c r="D8408" t="inlineStr">
        <is>
          <t>519</t>
        </is>
      </c>
      <c r="E8408" t="inlineStr">
        <is>
          <t>entradas</t>
        </is>
      </c>
      <c r="F8408" s="23" t="n">
        <v>46276</v>
      </c>
      <c r="G8408" s="24">
        <f>F8408-DATE(2026,8,31)</f>
        <v>11</v>
      </c>
      <c r="H8408" s="25" t="n">
        <v>1732914729</v>
      </c>
      <c r="I8408" t="inlineStr">
        <is>
          <t>entidad-dia</t>
        </is>
      </c>
    </row>
    <row r="8409">
      <c r="A8409" t="inlineStr">
        <is>
          <t>PRAGMA</t>
        </is>
      </c>
      <c r="B8409" t="inlineStr">
        <is>
          <t>M3</t>
        </is>
      </c>
      <c r="C8409" t="inlineStr">
        <is>
          <t>Cali</t>
        </is>
      </c>
      <c r="D8409" t="inlineStr">
        <is>
          <t>519</t>
        </is>
      </c>
      <c r="E8409" t="inlineStr">
        <is>
          <t>salidas</t>
        </is>
      </c>
      <c r="F8409" s="23" t="n">
        <v>46276</v>
      </c>
      <c r="G8409" s="24">
        <f>F8409-DATE(2026,8,31)</f>
        <v>11</v>
      </c>
      <c r="H8409" s="25" t="n">
        <v>1425309191</v>
      </c>
      <c r="I8409" t="inlineStr">
        <is>
          <t>entidad-dia</t>
        </is>
      </c>
    </row>
    <row r="8410">
      <c r="A8410" t="inlineStr">
        <is>
          <t>PRAGMA</t>
        </is>
      </c>
      <c r="B8410" t="inlineStr">
        <is>
          <t>M3</t>
        </is>
      </c>
      <c r="C8410" t="inlineStr">
        <is>
          <t>Cali</t>
        </is>
      </c>
      <c r="D8410" t="inlineStr">
        <is>
          <t>519</t>
        </is>
      </c>
      <c r="E8410" t="inlineStr">
        <is>
          <t>entradas</t>
        </is>
      </c>
      <c r="F8410" s="23" t="n">
        <v>46277</v>
      </c>
      <c r="G8410" s="24">
        <f>F8410-DATE(2026,8,31)</f>
        <v>12</v>
      </c>
      <c r="H8410" s="25" t="n">
        <v>744694876</v>
      </c>
      <c r="I8410" t="inlineStr">
        <is>
          <t>entidad-dia</t>
        </is>
      </c>
    </row>
    <row r="8411">
      <c r="A8411" t="inlineStr">
        <is>
          <t>PRAGMA</t>
        </is>
      </c>
      <c r="B8411" t="inlineStr">
        <is>
          <t>M3</t>
        </is>
      </c>
      <c r="C8411" t="inlineStr">
        <is>
          <t>Cali</t>
        </is>
      </c>
      <c r="D8411" t="inlineStr">
        <is>
          <t>519</t>
        </is>
      </c>
      <c r="E8411" t="inlineStr">
        <is>
          <t>salidas</t>
        </is>
      </c>
      <c r="F8411" s="23" t="n">
        <v>46277</v>
      </c>
      <c r="G8411" s="24">
        <f>F8411-DATE(2026,8,31)</f>
        <v>12</v>
      </c>
      <c r="H8411" s="25" t="n">
        <v>702962657</v>
      </c>
      <c r="I8411" t="inlineStr">
        <is>
          <t>entidad-dia</t>
        </is>
      </c>
    </row>
    <row r="8412">
      <c r="A8412" t="inlineStr">
        <is>
          <t>PRAGMA</t>
        </is>
      </c>
      <c r="B8412" t="inlineStr">
        <is>
          <t>M3</t>
        </is>
      </c>
      <c r="C8412" t="inlineStr">
        <is>
          <t>Cali</t>
        </is>
      </c>
      <c r="D8412" t="inlineStr">
        <is>
          <t>519</t>
        </is>
      </c>
      <c r="E8412" t="inlineStr">
        <is>
          <t>entradas</t>
        </is>
      </c>
      <c r="F8412" s="23" t="n">
        <v>46278</v>
      </c>
      <c r="G8412" s="24">
        <f>F8412-DATE(2026,8,31)</f>
        <v>13</v>
      </c>
      <c r="H8412" s="25" t="n">
        <v>23985</v>
      </c>
      <c r="I8412" t="inlineStr">
        <is>
          <t>entidad-dia</t>
        </is>
      </c>
    </row>
    <row r="8413">
      <c r="A8413" t="inlineStr">
        <is>
          <t>PRAGMA</t>
        </is>
      </c>
      <c r="B8413" t="inlineStr">
        <is>
          <t>M3</t>
        </is>
      </c>
      <c r="C8413" t="inlineStr">
        <is>
          <t>Cali</t>
        </is>
      </c>
      <c r="D8413" t="inlineStr">
        <is>
          <t>519</t>
        </is>
      </c>
      <c r="E8413" t="inlineStr">
        <is>
          <t>salidas</t>
        </is>
      </c>
      <c r="F8413" s="23" t="n">
        <v>46278</v>
      </c>
      <c r="G8413" s="24">
        <f>F8413-DATE(2026,8,31)</f>
        <v>13</v>
      </c>
      <c r="H8413" s="25" t="n">
        <v>2241</v>
      </c>
      <c r="I8413" t="inlineStr">
        <is>
          <t>entidad-dia</t>
        </is>
      </c>
    </row>
    <row r="8414">
      <c r="A8414" t="inlineStr">
        <is>
          <t>PRAGMA</t>
        </is>
      </c>
      <c r="B8414" t="inlineStr">
        <is>
          <t>M3</t>
        </is>
      </c>
      <c r="C8414" t="inlineStr">
        <is>
          <t>Cali</t>
        </is>
      </c>
      <c r="D8414" t="inlineStr">
        <is>
          <t>519</t>
        </is>
      </c>
      <c r="E8414" t="inlineStr">
        <is>
          <t>entradas</t>
        </is>
      </c>
      <c r="F8414" s="23" t="n">
        <v>46279</v>
      </c>
      <c r="G8414" s="24">
        <f>F8414-DATE(2026,8,31)</f>
        <v>14</v>
      </c>
      <c r="H8414" s="25" t="n">
        <v>1624466095</v>
      </c>
      <c r="I8414" t="inlineStr">
        <is>
          <t>entidad-dia</t>
        </is>
      </c>
    </row>
    <row r="8415">
      <c r="A8415" t="inlineStr">
        <is>
          <t>PRAGMA</t>
        </is>
      </c>
      <c r="B8415" t="inlineStr">
        <is>
          <t>M3</t>
        </is>
      </c>
      <c r="C8415" t="inlineStr">
        <is>
          <t>Cali</t>
        </is>
      </c>
      <c r="D8415" t="inlineStr">
        <is>
          <t>519</t>
        </is>
      </c>
      <c r="E8415" t="inlineStr">
        <is>
          <t>salidas</t>
        </is>
      </c>
      <c r="F8415" s="23" t="n">
        <v>46279</v>
      </c>
      <c r="G8415" s="24">
        <f>F8415-DATE(2026,8,31)</f>
        <v>14</v>
      </c>
      <c r="H8415" s="25" t="n">
        <v>1300565771</v>
      </c>
      <c r="I8415" t="inlineStr">
        <is>
          <t>entidad-dia</t>
        </is>
      </c>
    </row>
    <row r="8416">
      <c r="A8416" t="inlineStr">
        <is>
          <t>PRAGMA</t>
        </is>
      </c>
      <c r="B8416" t="inlineStr">
        <is>
          <t>M3</t>
        </is>
      </c>
      <c r="C8416" t="inlineStr">
        <is>
          <t>Cali</t>
        </is>
      </c>
      <c r="D8416" t="inlineStr">
        <is>
          <t>519</t>
        </is>
      </c>
      <c r="E8416" t="inlineStr">
        <is>
          <t>entradas</t>
        </is>
      </c>
      <c r="F8416" s="23" t="n">
        <v>46280</v>
      </c>
      <c r="G8416" s="24">
        <f>F8416-DATE(2026,8,31)</f>
        <v>15</v>
      </c>
      <c r="H8416" s="25" t="n">
        <v>1609687575</v>
      </c>
      <c r="I8416" t="inlineStr">
        <is>
          <t>entidad-dia</t>
        </is>
      </c>
    </row>
    <row r="8417">
      <c r="A8417" t="inlineStr">
        <is>
          <t>PRAGMA</t>
        </is>
      </c>
      <c r="B8417" t="inlineStr">
        <is>
          <t>M3</t>
        </is>
      </c>
      <c r="C8417" t="inlineStr">
        <is>
          <t>Cali</t>
        </is>
      </c>
      <c r="D8417" t="inlineStr">
        <is>
          <t>519</t>
        </is>
      </c>
      <c r="E8417" t="inlineStr">
        <is>
          <t>salidas</t>
        </is>
      </c>
      <c r="F8417" s="23" t="n">
        <v>46280</v>
      </c>
      <c r="G8417" s="24">
        <f>F8417-DATE(2026,8,31)</f>
        <v>15</v>
      </c>
      <c r="H8417" s="25" t="n">
        <v>1394523994</v>
      </c>
      <c r="I8417" t="inlineStr">
        <is>
          <t>entidad-dia</t>
        </is>
      </c>
    </row>
    <row r="8418">
      <c r="A8418" t="inlineStr">
        <is>
          <t>PRAGMA</t>
        </is>
      </c>
      <c r="B8418" t="inlineStr">
        <is>
          <t>M3</t>
        </is>
      </c>
      <c r="C8418" t="inlineStr">
        <is>
          <t>Cali</t>
        </is>
      </c>
      <c r="D8418" t="inlineStr">
        <is>
          <t>610</t>
        </is>
      </c>
      <c r="E8418" t="inlineStr">
        <is>
          <t>entradas</t>
        </is>
      </c>
      <c r="F8418" s="23" t="n">
        <v>46266</v>
      </c>
      <c r="G8418" s="24">
        <f>F8418-DATE(2026,8,31)</f>
        <v>1</v>
      </c>
      <c r="H8418" s="25" t="n">
        <v>1138793638</v>
      </c>
      <c r="I8418" t="inlineStr">
        <is>
          <t>entidad-dia</t>
        </is>
      </c>
    </row>
    <row r="8419">
      <c r="A8419" t="inlineStr">
        <is>
          <t>PRAGMA</t>
        </is>
      </c>
      <c r="B8419" t="inlineStr">
        <is>
          <t>M3</t>
        </is>
      </c>
      <c r="C8419" t="inlineStr">
        <is>
          <t>Cali</t>
        </is>
      </c>
      <c r="D8419" t="inlineStr">
        <is>
          <t>610</t>
        </is>
      </c>
      <c r="E8419" t="inlineStr">
        <is>
          <t>salidas</t>
        </is>
      </c>
      <c r="F8419" s="23" t="n">
        <v>46266</v>
      </c>
      <c r="G8419" s="24">
        <f>F8419-DATE(2026,8,31)</f>
        <v>1</v>
      </c>
      <c r="H8419" s="25" t="n">
        <v>1100737827</v>
      </c>
      <c r="I8419" t="inlineStr">
        <is>
          <t>entidad-dia</t>
        </is>
      </c>
    </row>
    <row r="8420">
      <c r="A8420" t="inlineStr">
        <is>
          <t>PRAGMA</t>
        </is>
      </c>
      <c r="B8420" t="inlineStr">
        <is>
          <t>M3</t>
        </is>
      </c>
      <c r="C8420" t="inlineStr">
        <is>
          <t>Cali</t>
        </is>
      </c>
      <c r="D8420" t="inlineStr">
        <is>
          <t>610</t>
        </is>
      </c>
      <c r="E8420" t="inlineStr">
        <is>
          <t>entradas</t>
        </is>
      </c>
      <c r="F8420" s="23" t="n">
        <v>46267</v>
      </c>
      <c r="G8420" s="24">
        <f>F8420-DATE(2026,8,31)</f>
        <v>2</v>
      </c>
      <c r="H8420" s="25" t="n">
        <v>1205907733</v>
      </c>
      <c r="I8420" t="inlineStr">
        <is>
          <t>entidad-dia</t>
        </is>
      </c>
    </row>
    <row r="8421">
      <c r="A8421" t="inlineStr">
        <is>
          <t>PRAGMA</t>
        </is>
      </c>
      <c r="B8421" t="inlineStr">
        <is>
          <t>M3</t>
        </is>
      </c>
      <c r="C8421" t="inlineStr">
        <is>
          <t>Cali</t>
        </is>
      </c>
      <c r="D8421" t="inlineStr">
        <is>
          <t>610</t>
        </is>
      </c>
      <c r="E8421" t="inlineStr">
        <is>
          <t>salidas</t>
        </is>
      </c>
      <c r="F8421" s="23" t="n">
        <v>46267</v>
      </c>
      <c r="G8421" s="24">
        <f>F8421-DATE(2026,8,31)</f>
        <v>2</v>
      </c>
      <c r="H8421" s="25" t="n">
        <v>1087198307</v>
      </c>
      <c r="I8421" t="inlineStr">
        <is>
          <t>entidad-dia</t>
        </is>
      </c>
    </row>
    <row r="8422">
      <c r="A8422" t="inlineStr">
        <is>
          <t>PRAGMA</t>
        </is>
      </c>
      <c r="B8422" t="inlineStr">
        <is>
          <t>M3</t>
        </is>
      </c>
      <c r="C8422" t="inlineStr">
        <is>
          <t>Cali</t>
        </is>
      </c>
      <c r="D8422" t="inlineStr">
        <is>
          <t>610</t>
        </is>
      </c>
      <c r="E8422" t="inlineStr">
        <is>
          <t>entradas</t>
        </is>
      </c>
      <c r="F8422" s="23" t="n">
        <v>46268</v>
      </c>
      <c r="G8422" s="24">
        <f>F8422-DATE(2026,8,31)</f>
        <v>3</v>
      </c>
      <c r="H8422" s="25" t="n">
        <v>1015730342</v>
      </c>
      <c r="I8422" t="inlineStr">
        <is>
          <t>entidad-dia</t>
        </is>
      </c>
    </row>
    <row r="8423">
      <c r="A8423" t="inlineStr">
        <is>
          <t>PRAGMA</t>
        </is>
      </c>
      <c r="B8423" t="inlineStr">
        <is>
          <t>M3</t>
        </is>
      </c>
      <c r="C8423" t="inlineStr">
        <is>
          <t>Cali</t>
        </is>
      </c>
      <c r="D8423" t="inlineStr">
        <is>
          <t>610</t>
        </is>
      </c>
      <c r="E8423" t="inlineStr">
        <is>
          <t>salidas</t>
        </is>
      </c>
      <c r="F8423" s="23" t="n">
        <v>46268</v>
      </c>
      <c r="G8423" s="24">
        <f>F8423-DATE(2026,8,31)</f>
        <v>3</v>
      </c>
      <c r="H8423" s="25" t="n">
        <v>827127399</v>
      </c>
      <c r="I8423" t="inlineStr">
        <is>
          <t>entidad-dia</t>
        </is>
      </c>
    </row>
    <row r="8424">
      <c r="A8424" t="inlineStr">
        <is>
          <t>PRAGMA</t>
        </is>
      </c>
      <c r="B8424" t="inlineStr">
        <is>
          <t>M3</t>
        </is>
      </c>
      <c r="C8424" t="inlineStr">
        <is>
          <t>Cali</t>
        </is>
      </c>
      <c r="D8424" t="inlineStr">
        <is>
          <t>610</t>
        </is>
      </c>
      <c r="E8424" t="inlineStr">
        <is>
          <t>entradas</t>
        </is>
      </c>
      <c r="F8424" s="23" t="n">
        <v>46269</v>
      </c>
      <c r="G8424" s="24">
        <f>F8424-DATE(2026,8,31)</f>
        <v>4</v>
      </c>
      <c r="H8424" s="25" t="n">
        <v>1183018534</v>
      </c>
      <c r="I8424" t="inlineStr">
        <is>
          <t>entidad-dia</t>
        </is>
      </c>
    </row>
    <row r="8425">
      <c r="A8425" t="inlineStr">
        <is>
          <t>PRAGMA</t>
        </is>
      </c>
      <c r="B8425" t="inlineStr">
        <is>
          <t>M3</t>
        </is>
      </c>
      <c r="C8425" t="inlineStr">
        <is>
          <t>Cali</t>
        </is>
      </c>
      <c r="D8425" t="inlineStr">
        <is>
          <t>610</t>
        </is>
      </c>
      <c r="E8425" t="inlineStr">
        <is>
          <t>salidas</t>
        </is>
      </c>
      <c r="F8425" s="23" t="n">
        <v>46269</v>
      </c>
      <c r="G8425" s="24">
        <f>F8425-DATE(2026,8,31)</f>
        <v>4</v>
      </c>
      <c r="H8425" s="25" t="n">
        <v>1173826324</v>
      </c>
      <c r="I8425" t="inlineStr">
        <is>
          <t>entidad-dia</t>
        </is>
      </c>
    </row>
    <row r="8426">
      <c r="A8426" t="inlineStr">
        <is>
          <t>PRAGMA</t>
        </is>
      </c>
      <c r="B8426" t="inlineStr">
        <is>
          <t>M3</t>
        </is>
      </c>
      <c r="C8426" t="inlineStr">
        <is>
          <t>Cali</t>
        </is>
      </c>
      <c r="D8426" t="inlineStr">
        <is>
          <t>610</t>
        </is>
      </c>
      <c r="E8426" t="inlineStr">
        <is>
          <t>entradas</t>
        </is>
      </c>
      <c r="F8426" s="23" t="n">
        <v>46270</v>
      </c>
      <c r="G8426" s="24">
        <f>F8426-DATE(2026,8,31)</f>
        <v>5</v>
      </c>
      <c r="H8426" s="25" t="n">
        <v>644929234</v>
      </c>
      <c r="I8426" t="inlineStr">
        <is>
          <t>entidad-dia</t>
        </is>
      </c>
    </row>
    <row r="8427">
      <c r="A8427" t="inlineStr">
        <is>
          <t>PRAGMA</t>
        </is>
      </c>
      <c r="B8427" t="inlineStr">
        <is>
          <t>M3</t>
        </is>
      </c>
      <c r="C8427" t="inlineStr">
        <is>
          <t>Cali</t>
        </is>
      </c>
      <c r="D8427" t="inlineStr">
        <is>
          <t>610</t>
        </is>
      </c>
      <c r="E8427" t="inlineStr">
        <is>
          <t>salidas</t>
        </is>
      </c>
      <c r="F8427" s="23" t="n">
        <v>46270</v>
      </c>
      <c r="G8427" s="24">
        <f>F8427-DATE(2026,8,31)</f>
        <v>5</v>
      </c>
      <c r="H8427" s="25" t="n">
        <v>921215584</v>
      </c>
      <c r="I8427" t="inlineStr">
        <is>
          <t>entidad-dia</t>
        </is>
      </c>
    </row>
    <row r="8428">
      <c r="A8428" t="inlineStr">
        <is>
          <t>PRAGMA</t>
        </is>
      </c>
      <c r="B8428" t="inlineStr">
        <is>
          <t>M3</t>
        </is>
      </c>
      <c r="C8428" t="inlineStr">
        <is>
          <t>Cali</t>
        </is>
      </c>
      <c r="D8428" t="inlineStr">
        <is>
          <t>610</t>
        </is>
      </c>
      <c r="E8428" t="inlineStr">
        <is>
          <t>entradas</t>
        </is>
      </c>
      <c r="F8428" s="23" t="n">
        <v>46271</v>
      </c>
      <c r="G8428" s="24">
        <f>F8428-DATE(2026,8,31)</f>
        <v>6</v>
      </c>
      <c r="H8428" s="25" t="n">
        <v>2480573</v>
      </c>
      <c r="I8428" t="inlineStr">
        <is>
          <t>entidad-dia</t>
        </is>
      </c>
    </row>
    <row r="8429">
      <c r="A8429" t="inlineStr">
        <is>
          <t>PRAGMA</t>
        </is>
      </c>
      <c r="B8429" t="inlineStr">
        <is>
          <t>M3</t>
        </is>
      </c>
      <c r="C8429" t="inlineStr">
        <is>
          <t>Cali</t>
        </is>
      </c>
      <c r="D8429" t="inlineStr">
        <is>
          <t>610</t>
        </is>
      </c>
      <c r="E8429" t="inlineStr">
        <is>
          <t>salidas</t>
        </is>
      </c>
      <c r="F8429" s="23" t="n">
        <v>46271</v>
      </c>
      <c r="G8429" s="24">
        <f>F8429-DATE(2026,8,31)</f>
        <v>6</v>
      </c>
      <c r="H8429" s="25" t="n">
        <v>0</v>
      </c>
      <c r="I8429" t="inlineStr">
        <is>
          <t>entidad-dia</t>
        </is>
      </c>
    </row>
    <row r="8430">
      <c r="A8430" t="inlineStr">
        <is>
          <t>PRAGMA</t>
        </is>
      </c>
      <c r="B8430" t="inlineStr">
        <is>
          <t>M3</t>
        </is>
      </c>
      <c r="C8430" t="inlineStr">
        <is>
          <t>Cali</t>
        </is>
      </c>
      <c r="D8430" t="inlineStr">
        <is>
          <t>610</t>
        </is>
      </c>
      <c r="E8430" t="inlineStr">
        <is>
          <t>entradas</t>
        </is>
      </c>
      <c r="F8430" s="23" t="n">
        <v>46272</v>
      </c>
      <c r="G8430" s="24">
        <f>F8430-DATE(2026,8,31)</f>
        <v>7</v>
      </c>
      <c r="H8430" s="25" t="n">
        <v>152761514</v>
      </c>
      <c r="I8430" t="inlineStr">
        <is>
          <t>entidad-dia</t>
        </is>
      </c>
    </row>
    <row r="8431">
      <c r="A8431" t="inlineStr">
        <is>
          <t>PRAGMA</t>
        </is>
      </c>
      <c r="B8431" t="inlineStr">
        <is>
          <t>M3</t>
        </is>
      </c>
      <c r="C8431" t="inlineStr">
        <is>
          <t>Cali</t>
        </is>
      </c>
      <c r="D8431" t="inlineStr">
        <is>
          <t>610</t>
        </is>
      </c>
      <c r="E8431" t="inlineStr">
        <is>
          <t>salidas</t>
        </is>
      </c>
      <c r="F8431" s="23" t="n">
        <v>46272</v>
      </c>
      <c r="G8431" s="24">
        <f>F8431-DATE(2026,8,31)</f>
        <v>7</v>
      </c>
      <c r="H8431" s="25" t="n">
        <v>180171849</v>
      </c>
      <c r="I8431" t="inlineStr">
        <is>
          <t>entidad-dia</t>
        </is>
      </c>
    </row>
    <row r="8432">
      <c r="A8432" t="inlineStr">
        <is>
          <t>PRAGMA</t>
        </is>
      </c>
      <c r="B8432" t="inlineStr">
        <is>
          <t>M3</t>
        </is>
      </c>
      <c r="C8432" t="inlineStr">
        <is>
          <t>Cali</t>
        </is>
      </c>
      <c r="D8432" t="inlineStr">
        <is>
          <t>610</t>
        </is>
      </c>
      <c r="E8432" t="inlineStr">
        <is>
          <t>entradas</t>
        </is>
      </c>
      <c r="F8432" s="23" t="n">
        <v>46273</v>
      </c>
      <c r="G8432" s="24">
        <f>F8432-DATE(2026,8,31)</f>
        <v>8</v>
      </c>
      <c r="H8432" s="25" t="n">
        <v>1118170645</v>
      </c>
      <c r="I8432" t="inlineStr">
        <is>
          <t>entidad-dia</t>
        </is>
      </c>
    </row>
    <row r="8433">
      <c r="A8433" t="inlineStr">
        <is>
          <t>PRAGMA</t>
        </is>
      </c>
      <c r="B8433" t="inlineStr">
        <is>
          <t>M3</t>
        </is>
      </c>
      <c r="C8433" t="inlineStr">
        <is>
          <t>Cali</t>
        </is>
      </c>
      <c r="D8433" t="inlineStr">
        <is>
          <t>610</t>
        </is>
      </c>
      <c r="E8433" t="inlineStr">
        <is>
          <t>salidas</t>
        </is>
      </c>
      <c r="F8433" s="23" t="n">
        <v>46273</v>
      </c>
      <c r="G8433" s="24">
        <f>F8433-DATE(2026,8,31)</f>
        <v>8</v>
      </c>
      <c r="H8433" s="25" t="n">
        <v>919902581</v>
      </c>
      <c r="I8433" t="inlineStr">
        <is>
          <t>entidad-dia</t>
        </is>
      </c>
    </row>
    <row r="8434">
      <c r="A8434" t="inlineStr">
        <is>
          <t>PRAGMA</t>
        </is>
      </c>
      <c r="B8434" t="inlineStr">
        <is>
          <t>M3</t>
        </is>
      </c>
      <c r="C8434" t="inlineStr">
        <is>
          <t>Cali</t>
        </is>
      </c>
      <c r="D8434" t="inlineStr">
        <is>
          <t>610</t>
        </is>
      </c>
      <c r="E8434" t="inlineStr">
        <is>
          <t>entradas</t>
        </is>
      </c>
      <c r="F8434" s="23" t="n">
        <v>46274</v>
      </c>
      <c r="G8434" s="24">
        <f>F8434-DATE(2026,8,31)</f>
        <v>9</v>
      </c>
      <c r="H8434" s="25" t="n">
        <v>1174025872</v>
      </c>
      <c r="I8434" t="inlineStr">
        <is>
          <t>entidad-dia</t>
        </is>
      </c>
    </row>
    <row r="8435">
      <c r="A8435" t="inlineStr">
        <is>
          <t>PRAGMA</t>
        </is>
      </c>
      <c r="B8435" t="inlineStr">
        <is>
          <t>M3</t>
        </is>
      </c>
      <c r="C8435" t="inlineStr">
        <is>
          <t>Cali</t>
        </is>
      </c>
      <c r="D8435" t="inlineStr">
        <is>
          <t>610</t>
        </is>
      </c>
      <c r="E8435" t="inlineStr">
        <is>
          <t>salidas</t>
        </is>
      </c>
      <c r="F8435" s="23" t="n">
        <v>46274</v>
      </c>
      <c r="G8435" s="24">
        <f>F8435-DATE(2026,8,31)</f>
        <v>9</v>
      </c>
      <c r="H8435" s="25" t="n">
        <v>921597015</v>
      </c>
      <c r="I8435" t="inlineStr">
        <is>
          <t>entidad-dia</t>
        </is>
      </c>
    </row>
    <row r="8436">
      <c r="A8436" t="inlineStr">
        <is>
          <t>PRAGMA</t>
        </is>
      </c>
      <c r="B8436" t="inlineStr">
        <is>
          <t>M3</t>
        </is>
      </c>
      <c r="C8436" t="inlineStr">
        <is>
          <t>Cali</t>
        </is>
      </c>
      <c r="D8436" t="inlineStr">
        <is>
          <t>610</t>
        </is>
      </c>
      <c r="E8436" t="inlineStr">
        <is>
          <t>entradas</t>
        </is>
      </c>
      <c r="F8436" s="23" t="n">
        <v>46275</v>
      </c>
      <c r="G8436" s="24">
        <f>F8436-DATE(2026,8,31)</f>
        <v>10</v>
      </c>
      <c r="H8436" s="25" t="n">
        <v>1072366588</v>
      </c>
      <c r="I8436" t="inlineStr">
        <is>
          <t>entidad-dia</t>
        </is>
      </c>
    </row>
    <row r="8437">
      <c r="A8437" t="inlineStr">
        <is>
          <t>PRAGMA</t>
        </is>
      </c>
      <c r="B8437" t="inlineStr">
        <is>
          <t>M3</t>
        </is>
      </c>
      <c r="C8437" t="inlineStr">
        <is>
          <t>Cali</t>
        </is>
      </c>
      <c r="D8437" t="inlineStr">
        <is>
          <t>610</t>
        </is>
      </c>
      <c r="E8437" t="inlineStr">
        <is>
          <t>salidas</t>
        </is>
      </c>
      <c r="F8437" s="23" t="n">
        <v>46275</v>
      </c>
      <c r="G8437" s="24">
        <f>F8437-DATE(2026,8,31)</f>
        <v>10</v>
      </c>
      <c r="H8437" s="25" t="n">
        <v>852568445</v>
      </c>
      <c r="I8437" t="inlineStr">
        <is>
          <t>entidad-dia</t>
        </is>
      </c>
    </row>
    <row r="8438">
      <c r="A8438" t="inlineStr">
        <is>
          <t>PRAGMA</t>
        </is>
      </c>
      <c r="B8438" t="inlineStr">
        <is>
          <t>M3</t>
        </is>
      </c>
      <c r="C8438" t="inlineStr">
        <is>
          <t>Cali</t>
        </is>
      </c>
      <c r="D8438" t="inlineStr">
        <is>
          <t>610</t>
        </is>
      </c>
      <c r="E8438" t="inlineStr">
        <is>
          <t>entradas</t>
        </is>
      </c>
      <c r="F8438" s="23" t="n">
        <v>46276</v>
      </c>
      <c r="G8438" s="24">
        <f>F8438-DATE(2026,8,31)</f>
        <v>11</v>
      </c>
      <c r="H8438" s="25" t="n">
        <v>1199418893</v>
      </c>
      <c r="I8438" t="inlineStr">
        <is>
          <t>entidad-dia</t>
        </is>
      </c>
    </row>
    <row r="8439">
      <c r="A8439" t="inlineStr">
        <is>
          <t>PRAGMA</t>
        </is>
      </c>
      <c r="B8439" t="inlineStr">
        <is>
          <t>M3</t>
        </is>
      </c>
      <c r="C8439" t="inlineStr">
        <is>
          <t>Cali</t>
        </is>
      </c>
      <c r="D8439" t="inlineStr">
        <is>
          <t>610</t>
        </is>
      </c>
      <c r="E8439" t="inlineStr">
        <is>
          <t>salidas</t>
        </is>
      </c>
      <c r="F8439" s="23" t="n">
        <v>46276</v>
      </c>
      <c r="G8439" s="24">
        <f>F8439-DATE(2026,8,31)</f>
        <v>11</v>
      </c>
      <c r="H8439" s="25" t="n">
        <v>1007478371</v>
      </c>
      <c r="I8439" t="inlineStr">
        <is>
          <t>entidad-dia</t>
        </is>
      </c>
    </row>
    <row r="8440">
      <c r="A8440" t="inlineStr">
        <is>
          <t>PRAGMA</t>
        </is>
      </c>
      <c r="B8440" t="inlineStr">
        <is>
          <t>M3</t>
        </is>
      </c>
      <c r="C8440" t="inlineStr">
        <is>
          <t>Cali</t>
        </is>
      </c>
      <c r="D8440" t="inlineStr">
        <is>
          <t>610</t>
        </is>
      </c>
      <c r="E8440" t="inlineStr">
        <is>
          <t>entradas</t>
        </is>
      </c>
      <c r="F8440" s="23" t="n">
        <v>46277</v>
      </c>
      <c r="G8440" s="24">
        <f>F8440-DATE(2026,8,31)</f>
        <v>12</v>
      </c>
      <c r="H8440" s="25" t="n">
        <v>624896487</v>
      </c>
      <c r="I8440" t="inlineStr">
        <is>
          <t>entidad-dia</t>
        </is>
      </c>
    </row>
    <row r="8441">
      <c r="A8441" t="inlineStr">
        <is>
          <t>PRAGMA</t>
        </is>
      </c>
      <c r="B8441" t="inlineStr">
        <is>
          <t>M3</t>
        </is>
      </c>
      <c r="C8441" t="inlineStr">
        <is>
          <t>Cali</t>
        </is>
      </c>
      <c r="D8441" t="inlineStr">
        <is>
          <t>610</t>
        </is>
      </c>
      <c r="E8441" t="inlineStr">
        <is>
          <t>salidas</t>
        </is>
      </c>
      <c r="F8441" s="23" t="n">
        <v>46277</v>
      </c>
      <c r="G8441" s="24">
        <f>F8441-DATE(2026,8,31)</f>
        <v>12</v>
      </c>
      <c r="H8441" s="25" t="n">
        <v>897711562</v>
      </c>
      <c r="I8441" t="inlineStr">
        <is>
          <t>entidad-dia</t>
        </is>
      </c>
    </row>
    <row r="8442">
      <c r="A8442" t="inlineStr">
        <is>
          <t>PRAGMA</t>
        </is>
      </c>
      <c r="B8442" t="inlineStr">
        <is>
          <t>M3</t>
        </is>
      </c>
      <c r="C8442" t="inlineStr">
        <is>
          <t>Cali</t>
        </is>
      </c>
      <c r="D8442" t="inlineStr">
        <is>
          <t>610</t>
        </is>
      </c>
      <c r="E8442" t="inlineStr">
        <is>
          <t>entradas</t>
        </is>
      </c>
      <c r="F8442" s="23" t="n">
        <v>46278</v>
      </c>
      <c r="G8442" s="24">
        <f>F8442-DATE(2026,8,31)</f>
        <v>13</v>
      </c>
      <c r="H8442" s="25" t="n">
        <v>289387</v>
      </c>
      <c r="I8442" t="inlineStr">
        <is>
          <t>entidad-dia</t>
        </is>
      </c>
    </row>
    <row r="8443">
      <c r="A8443" t="inlineStr">
        <is>
          <t>PRAGMA</t>
        </is>
      </c>
      <c r="B8443" t="inlineStr">
        <is>
          <t>M3</t>
        </is>
      </c>
      <c r="C8443" t="inlineStr">
        <is>
          <t>Cali</t>
        </is>
      </c>
      <c r="D8443" t="inlineStr">
        <is>
          <t>610</t>
        </is>
      </c>
      <c r="E8443" t="inlineStr">
        <is>
          <t>salidas</t>
        </is>
      </c>
      <c r="F8443" s="23" t="n">
        <v>46278</v>
      </c>
      <c r="G8443" s="24">
        <f>F8443-DATE(2026,8,31)</f>
        <v>13</v>
      </c>
      <c r="H8443" s="25" t="n">
        <v>0</v>
      </c>
      <c r="I8443" t="inlineStr">
        <is>
          <t>entidad-dia</t>
        </is>
      </c>
    </row>
    <row r="8444">
      <c r="A8444" t="inlineStr">
        <is>
          <t>PRAGMA</t>
        </is>
      </c>
      <c r="B8444" t="inlineStr">
        <is>
          <t>M3</t>
        </is>
      </c>
      <c r="C8444" t="inlineStr">
        <is>
          <t>Cali</t>
        </is>
      </c>
      <c r="D8444" t="inlineStr">
        <is>
          <t>610</t>
        </is>
      </c>
      <c r="E8444" t="inlineStr">
        <is>
          <t>entradas</t>
        </is>
      </c>
      <c r="F8444" s="23" t="n">
        <v>46279</v>
      </c>
      <c r="G8444" s="24">
        <f>F8444-DATE(2026,8,31)</f>
        <v>14</v>
      </c>
      <c r="H8444" s="25" t="n">
        <v>93623545</v>
      </c>
      <c r="I8444" t="inlineStr">
        <is>
          <t>entidad-dia</t>
        </is>
      </c>
    </row>
    <row r="8445">
      <c r="A8445" t="inlineStr">
        <is>
          <t>PRAGMA</t>
        </is>
      </c>
      <c r="B8445" t="inlineStr">
        <is>
          <t>M3</t>
        </is>
      </c>
      <c r="C8445" t="inlineStr">
        <is>
          <t>Cali</t>
        </is>
      </c>
      <c r="D8445" t="inlineStr">
        <is>
          <t>610</t>
        </is>
      </c>
      <c r="E8445" t="inlineStr">
        <is>
          <t>salidas</t>
        </is>
      </c>
      <c r="F8445" s="23" t="n">
        <v>46279</v>
      </c>
      <c r="G8445" s="24">
        <f>F8445-DATE(2026,8,31)</f>
        <v>14</v>
      </c>
      <c r="H8445" s="25" t="n">
        <v>147626891</v>
      </c>
      <c r="I8445" t="inlineStr">
        <is>
          <t>entidad-dia</t>
        </is>
      </c>
    </row>
    <row r="8446">
      <c r="A8446" t="inlineStr">
        <is>
          <t>PRAGMA</t>
        </is>
      </c>
      <c r="B8446" t="inlineStr">
        <is>
          <t>M3</t>
        </is>
      </c>
      <c r="C8446" t="inlineStr">
        <is>
          <t>Cali</t>
        </is>
      </c>
      <c r="D8446" t="inlineStr">
        <is>
          <t>610</t>
        </is>
      </c>
      <c r="E8446" t="inlineStr">
        <is>
          <t>entradas</t>
        </is>
      </c>
      <c r="F8446" s="23" t="n">
        <v>46280</v>
      </c>
      <c r="G8446" s="24">
        <f>F8446-DATE(2026,8,31)</f>
        <v>15</v>
      </c>
      <c r="H8446" s="25" t="n">
        <v>1099525806</v>
      </c>
      <c r="I8446" t="inlineStr">
        <is>
          <t>entidad-dia</t>
        </is>
      </c>
    </row>
    <row r="8447">
      <c r="A8447" t="inlineStr">
        <is>
          <t>PRAGMA</t>
        </is>
      </c>
      <c r="B8447" t="inlineStr">
        <is>
          <t>M3</t>
        </is>
      </c>
      <c r="C8447" t="inlineStr">
        <is>
          <t>Cali</t>
        </is>
      </c>
      <c r="D8447" t="inlineStr">
        <is>
          <t>610</t>
        </is>
      </c>
      <c r="E8447" t="inlineStr">
        <is>
          <t>salidas</t>
        </is>
      </c>
      <c r="F8447" s="23" t="n">
        <v>46280</v>
      </c>
      <c r="G8447" s="24">
        <f>F8447-DATE(2026,8,31)</f>
        <v>15</v>
      </c>
      <c r="H8447" s="25" t="n">
        <v>985400367</v>
      </c>
      <c r="I8447" t="inlineStr">
        <is>
          <t>entidad-dia</t>
        </is>
      </c>
    </row>
    <row r="8448">
      <c r="A8448" t="inlineStr">
        <is>
          <t>PRAGMA</t>
        </is>
      </c>
      <c r="B8448" t="inlineStr">
        <is>
          <t>M3</t>
        </is>
      </c>
      <c r="C8448" t="inlineStr">
        <is>
          <t>Cali</t>
        </is>
      </c>
      <c r="D8448" t="inlineStr">
        <is>
          <t>626</t>
        </is>
      </c>
      <c r="E8448" t="inlineStr">
        <is>
          <t>entradas</t>
        </is>
      </c>
      <c r="F8448" s="23" t="n">
        <v>46266</v>
      </c>
      <c r="G8448" s="24">
        <f>F8448-DATE(2026,8,31)</f>
        <v>1</v>
      </c>
      <c r="H8448" s="25" t="n">
        <v>460493248</v>
      </c>
      <c r="I8448" t="inlineStr">
        <is>
          <t>entidad-dia</t>
        </is>
      </c>
    </row>
    <row r="8449">
      <c r="A8449" t="inlineStr">
        <is>
          <t>PRAGMA</t>
        </is>
      </c>
      <c r="B8449" t="inlineStr">
        <is>
          <t>M3</t>
        </is>
      </c>
      <c r="C8449" t="inlineStr">
        <is>
          <t>Cali</t>
        </is>
      </c>
      <c r="D8449" t="inlineStr">
        <is>
          <t>626</t>
        </is>
      </c>
      <c r="E8449" t="inlineStr">
        <is>
          <t>salidas</t>
        </is>
      </c>
      <c r="F8449" s="23" t="n">
        <v>46266</v>
      </c>
      <c r="G8449" s="24">
        <f>F8449-DATE(2026,8,31)</f>
        <v>1</v>
      </c>
      <c r="H8449" s="25" t="n">
        <v>388421902</v>
      </c>
      <c r="I8449" t="inlineStr">
        <is>
          <t>entidad-dia</t>
        </is>
      </c>
    </row>
    <row r="8450">
      <c r="A8450" t="inlineStr">
        <is>
          <t>PRAGMA</t>
        </is>
      </c>
      <c r="B8450" t="inlineStr">
        <is>
          <t>M3</t>
        </is>
      </c>
      <c r="C8450" t="inlineStr">
        <is>
          <t>Cali</t>
        </is>
      </c>
      <c r="D8450" t="inlineStr">
        <is>
          <t>626</t>
        </is>
      </c>
      <c r="E8450" t="inlineStr">
        <is>
          <t>entradas</t>
        </is>
      </c>
      <c r="F8450" s="23" t="n">
        <v>46267</v>
      </c>
      <c r="G8450" s="24">
        <f>F8450-DATE(2026,8,31)</f>
        <v>2</v>
      </c>
      <c r="H8450" s="25" t="n">
        <v>434142074</v>
      </c>
      <c r="I8450" t="inlineStr">
        <is>
          <t>entidad-dia</t>
        </is>
      </c>
    </row>
    <row r="8451">
      <c r="A8451" t="inlineStr">
        <is>
          <t>PRAGMA</t>
        </is>
      </c>
      <c r="B8451" t="inlineStr">
        <is>
          <t>M3</t>
        </is>
      </c>
      <c r="C8451" t="inlineStr">
        <is>
          <t>Cali</t>
        </is>
      </c>
      <c r="D8451" t="inlineStr">
        <is>
          <t>626</t>
        </is>
      </c>
      <c r="E8451" t="inlineStr">
        <is>
          <t>salidas</t>
        </is>
      </c>
      <c r="F8451" s="23" t="n">
        <v>46267</v>
      </c>
      <c r="G8451" s="24">
        <f>F8451-DATE(2026,8,31)</f>
        <v>2</v>
      </c>
      <c r="H8451" s="25" t="n">
        <v>382350739</v>
      </c>
      <c r="I8451" t="inlineStr">
        <is>
          <t>entidad-dia</t>
        </is>
      </c>
    </row>
    <row r="8452">
      <c r="A8452" t="inlineStr">
        <is>
          <t>PRAGMA</t>
        </is>
      </c>
      <c r="B8452" t="inlineStr">
        <is>
          <t>M3</t>
        </is>
      </c>
      <c r="C8452" t="inlineStr">
        <is>
          <t>Cali</t>
        </is>
      </c>
      <c r="D8452" t="inlineStr">
        <is>
          <t>626</t>
        </is>
      </c>
      <c r="E8452" t="inlineStr">
        <is>
          <t>entradas</t>
        </is>
      </c>
      <c r="F8452" s="23" t="n">
        <v>46268</v>
      </c>
      <c r="G8452" s="24">
        <f>F8452-DATE(2026,8,31)</f>
        <v>3</v>
      </c>
      <c r="H8452" s="25" t="n">
        <v>410289586</v>
      </c>
      <c r="I8452" t="inlineStr">
        <is>
          <t>entidad-dia</t>
        </is>
      </c>
    </row>
    <row r="8453">
      <c r="A8453" t="inlineStr">
        <is>
          <t>PRAGMA</t>
        </is>
      </c>
      <c r="B8453" t="inlineStr">
        <is>
          <t>M3</t>
        </is>
      </c>
      <c r="C8453" t="inlineStr">
        <is>
          <t>Cali</t>
        </is>
      </c>
      <c r="D8453" t="inlineStr">
        <is>
          <t>626</t>
        </is>
      </c>
      <c r="E8453" t="inlineStr">
        <is>
          <t>salidas</t>
        </is>
      </c>
      <c r="F8453" s="23" t="n">
        <v>46268</v>
      </c>
      <c r="G8453" s="24">
        <f>F8453-DATE(2026,8,31)</f>
        <v>3</v>
      </c>
      <c r="H8453" s="25" t="n">
        <v>294858631</v>
      </c>
      <c r="I8453" t="inlineStr">
        <is>
          <t>entidad-dia</t>
        </is>
      </c>
    </row>
    <row r="8454">
      <c r="A8454" t="inlineStr">
        <is>
          <t>PRAGMA</t>
        </is>
      </c>
      <c r="B8454" t="inlineStr">
        <is>
          <t>M3</t>
        </is>
      </c>
      <c r="C8454" t="inlineStr">
        <is>
          <t>Cali</t>
        </is>
      </c>
      <c r="D8454" t="inlineStr">
        <is>
          <t>626</t>
        </is>
      </c>
      <c r="E8454" t="inlineStr">
        <is>
          <t>entradas</t>
        </is>
      </c>
      <c r="F8454" s="23" t="n">
        <v>46269</v>
      </c>
      <c r="G8454" s="24">
        <f>F8454-DATE(2026,8,31)</f>
        <v>4</v>
      </c>
      <c r="H8454" s="25" t="n">
        <v>454685955</v>
      </c>
      <c r="I8454" t="inlineStr">
        <is>
          <t>entidad-dia</t>
        </is>
      </c>
    </row>
    <row r="8455">
      <c r="A8455" t="inlineStr">
        <is>
          <t>PRAGMA</t>
        </is>
      </c>
      <c r="B8455" t="inlineStr">
        <is>
          <t>M3</t>
        </is>
      </c>
      <c r="C8455" t="inlineStr">
        <is>
          <t>Cali</t>
        </is>
      </c>
      <c r="D8455" t="inlineStr">
        <is>
          <t>626</t>
        </is>
      </c>
      <c r="E8455" t="inlineStr">
        <is>
          <t>salidas</t>
        </is>
      </c>
      <c r="F8455" s="23" t="n">
        <v>46269</v>
      </c>
      <c r="G8455" s="24">
        <f>F8455-DATE(2026,8,31)</f>
        <v>4</v>
      </c>
      <c r="H8455" s="25" t="n">
        <v>426100385</v>
      </c>
      <c r="I8455" t="inlineStr">
        <is>
          <t>entidad-dia</t>
        </is>
      </c>
    </row>
    <row r="8456">
      <c r="A8456" t="inlineStr">
        <is>
          <t>PRAGMA</t>
        </is>
      </c>
      <c r="B8456" t="inlineStr">
        <is>
          <t>M3</t>
        </is>
      </c>
      <c r="C8456" t="inlineStr">
        <is>
          <t>Cali</t>
        </is>
      </c>
      <c r="D8456" t="inlineStr">
        <is>
          <t>626</t>
        </is>
      </c>
      <c r="E8456" t="inlineStr">
        <is>
          <t>entradas</t>
        </is>
      </c>
      <c r="F8456" s="23" t="n">
        <v>46270</v>
      </c>
      <c r="G8456" s="24">
        <f>F8456-DATE(2026,8,31)</f>
        <v>5</v>
      </c>
      <c r="H8456" s="25" t="n">
        <v>2449422</v>
      </c>
      <c r="I8456" t="inlineStr">
        <is>
          <t>entidad-dia</t>
        </is>
      </c>
    </row>
    <row r="8457">
      <c r="A8457" t="inlineStr">
        <is>
          <t>PRAGMA</t>
        </is>
      </c>
      <c r="B8457" t="inlineStr">
        <is>
          <t>M3</t>
        </is>
      </c>
      <c r="C8457" t="inlineStr">
        <is>
          <t>Cali</t>
        </is>
      </c>
      <c r="D8457" t="inlineStr">
        <is>
          <t>626</t>
        </is>
      </c>
      <c r="E8457" t="inlineStr">
        <is>
          <t>salidas</t>
        </is>
      </c>
      <c r="F8457" s="23" t="n">
        <v>46270</v>
      </c>
      <c r="G8457" s="24">
        <f>F8457-DATE(2026,8,31)</f>
        <v>5</v>
      </c>
      <c r="H8457" s="25" t="n">
        <v>0</v>
      </c>
      <c r="I8457" t="inlineStr">
        <is>
          <t>entidad-dia</t>
        </is>
      </c>
    </row>
    <row r="8458">
      <c r="A8458" t="inlineStr">
        <is>
          <t>PRAGMA</t>
        </is>
      </c>
      <c r="B8458" t="inlineStr">
        <is>
          <t>M3</t>
        </is>
      </c>
      <c r="C8458" t="inlineStr">
        <is>
          <t>Cali</t>
        </is>
      </c>
      <c r="D8458" t="inlineStr">
        <is>
          <t>626</t>
        </is>
      </c>
      <c r="E8458" t="inlineStr">
        <is>
          <t>entradas</t>
        </is>
      </c>
      <c r="F8458" s="23" t="n">
        <v>46271</v>
      </c>
      <c r="G8458" s="24">
        <f>F8458-DATE(2026,8,31)</f>
        <v>6</v>
      </c>
      <c r="H8458" s="25" t="n">
        <v>53974</v>
      </c>
      <c r="I8458" t="inlineStr">
        <is>
          <t>entidad-dia</t>
        </is>
      </c>
    </row>
    <row r="8459">
      <c r="A8459" t="inlineStr">
        <is>
          <t>PRAGMA</t>
        </is>
      </c>
      <c r="B8459" t="inlineStr">
        <is>
          <t>M3</t>
        </is>
      </c>
      <c r="C8459" t="inlineStr">
        <is>
          <t>Cali</t>
        </is>
      </c>
      <c r="D8459" t="inlineStr">
        <is>
          <t>626</t>
        </is>
      </c>
      <c r="E8459" t="inlineStr">
        <is>
          <t>salidas</t>
        </is>
      </c>
      <c r="F8459" s="23" t="n">
        <v>46271</v>
      </c>
      <c r="G8459" s="24">
        <f>F8459-DATE(2026,8,31)</f>
        <v>6</v>
      </c>
      <c r="H8459" s="25" t="n">
        <v>0</v>
      </c>
      <c r="I8459" t="inlineStr">
        <is>
          <t>entidad-dia</t>
        </is>
      </c>
    </row>
    <row r="8460">
      <c r="A8460" t="inlineStr">
        <is>
          <t>PRAGMA</t>
        </is>
      </c>
      <c r="B8460" t="inlineStr">
        <is>
          <t>M3</t>
        </is>
      </c>
      <c r="C8460" t="inlineStr">
        <is>
          <t>Cali</t>
        </is>
      </c>
      <c r="D8460" t="inlineStr">
        <is>
          <t>626</t>
        </is>
      </c>
      <c r="E8460" t="inlineStr">
        <is>
          <t>entradas</t>
        </is>
      </c>
      <c r="F8460" s="23" t="n">
        <v>46272</v>
      </c>
      <c r="G8460" s="24">
        <f>F8460-DATE(2026,8,31)</f>
        <v>7</v>
      </c>
      <c r="H8460" s="25" t="n">
        <v>420300909</v>
      </c>
      <c r="I8460" t="inlineStr">
        <is>
          <t>entidad-dia</t>
        </is>
      </c>
    </row>
    <row r="8461">
      <c r="A8461" t="inlineStr">
        <is>
          <t>PRAGMA</t>
        </is>
      </c>
      <c r="B8461" t="inlineStr">
        <is>
          <t>M3</t>
        </is>
      </c>
      <c r="C8461" t="inlineStr">
        <is>
          <t>Cali</t>
        </is>
      </c>
      <c r="D8461" t="inlineStr">
        <is>
          <t>626</t>
        </is>
      </c>
      <c r="E8461" t="inlineStr">
        <is>
          <t>salidas</t>
        </is>
      </c>
      <c r="F8461" s="23" t="n">
        <v>46272</v>
      </c>
      <c r="G8461" s="24">
        <f>F8461-DATE(2026,8,31)</f>
        <v>7</v>
      </c>
      <c r="H8461" s="25" t="n">
        <v>333764098</v>
      </c>
      <c r="I8461" t="inlineStr">
        <is>
          <t>entidad-dia</t>
        </is>
      </c>
    </row>
    <row r="8462">
      <c r="A8462" t="inlineStr">
        <is>
          <t>PRAGMA</t>
        </is>
      </c>
      <c r="B8462" t="inlineStr">
        <is>
          <t>M3</t>
        </is>
      </c>
      <c r="C8462" t="inlineStr">
        <is>
          <t>Cali</t>
        </is>
      </c>
      <c r="D8462" t="inlineStr">
        <is>
          <t>626</t>
        </is>
      </c>
      <c r="E8462" t="inlineStr">
        <is>
          <t>entradas</t>
        </is>
      </c>
      <c r="F8462" s="23" t="n">
        <v>46273</v>
      </c>
      <c r="G8462" s="24">
        <f>F8462-DATE(2026,8,31)</f>
        <v>8</v>
      </c>
      <c r="H8462" s="25" t="n">
        <v>485518847</v>
      </c>
      <c r="I8462" t="inlineStr">
        <is>
          <t>entidad-dia</t>
        </is>
      </c>
    </row>
    <row r="8463">
      <c r="A8463" t="inlineStr">
        <is>
          <t>PRAGMA</t>
        </is>
      </c>
      <c r="B8463" t="inlineStr">
        <is>
          <t>M3</t>
        </is>
      </c>
      <c r="C8463" t="inlineStr">
        <is>
          <t>Cali</t>
        </is>
      </c>
      <c r="D8463" t="inlineStr">
        <is>
          <t>626</t>
        </is>
      </c>
      <c r="E8463" t="inlineStr">
        <is>
          <t>salidas</t>
        </is>
      </c>
      <c r="F8463" s="23" t="n">
        <v>46273</v>
      </c>
      <c r="G8463" s="24">
        <f>F8463-DATE(2026,8,31)</f>
        <v>8</v>
      </c>
      <c r="H8463" s="25" t="n">
        <v>346959525</v>
      </c>
      <c r="I8463" t="inlineStr">
        <is>
          <t>entidad-dia</t>
        </is>
      </c>
    </row>
    <row r="8464">
      <c r="A8464" t="inlineStr">
        <is>
          <t>PRAGMA</t>
        </is>
      </c>
      <c r="B8464" t="inlineStr">
        <is>
          <t>M3</t>
        </is>
      </c>
      <c r="C8464" t="inlineStr">
        <is>
          <t>Cali</t>
        </is>
      </c>
      <c r="D8464" t="inlineStr">
        <is>
          <t>626</t>
        </is>
      </c>
      <c r="E8464" t="inlineStr">
        <is>
          <t>entradas</t>
        </is>
      </c>
      <c r="F8464" s="23" t="n">
        <v>46274</v>
      </c>
      <c r="G8464" s="24">
        <f>F8464-DATE(2026,8,31)</f>
        <v>9</v>
      </c>
      <c r="H8464" s="25" t="n">
        <v>444474655</v>
      </c>
      <c r="I8464" t="inlineStr">
        <is>
          <t>entidad-dia</t>
        </is>
      </c>
    </row>
    <row r="8465">
      <c r="A8465" t="inlineStr">
        <is>
          <t>PRAGMA</t>
        </is>
      </c>
      <c r="B8465" t="inlineStr">
        <is>
          <t>M3</t>
        </is>
      </c>
      <c r="C8465" t="inlineStr">
        <is>
          <t>Cali</t>
        </is>
      </c>
      <c r="D8465" t="inlineStr">
        <is>
          <t>626</t>
        </is>
      </c>
      <c r="E8465" t="inlineStr">
        <is>
          <t>salidas</t>
        </is>
      </c>
      <c r="F8465" s="23" t="n">
        <v>46274</v>
      </c>
      <c r="G8465" s="24">
        <f>F8465-DATE(2026,8,31)</f>
        <v>9</v>
      </c>
      <c r="H8465" s="25" t="n">
        <v>339432606</v>
      </c>
      <c r="I8465" t="inlineStr">
        <is>
          <t>entidad-dia</t>
        </is>
      </c>
    </row>
    <row r="8466">
      <c r="A8466" t="inlineStr">
        <is>
          <t>PRAGMA</t>
        </is>
      </c>
      <c r="B8466" t="inlineStr">
        <is>
          <t>M3</t>
        </is>
      </c>
      <c r="C8466" t="inlineStr">
        <is>
          <t>Cali</t>
        </is>
      </c>
      <c r="D8466" t="inlineStr">
        <is>
          <t>626</t>
        </is>
      </c>
      <c r="E8466" t="inlineStr">
        <is>
          <t>entradas</t>
        </is>
      </c>
      <c r="F8466" s="23" t="n">
        <v>46275</v>
      </c>
      <c r="G8466" s="24">
        <f>F8466-DATE(2026,8,31)</f>
        <v>10</v>
      </c>
      <c r="H8466" s="25" t="n">
        <v>418342246</v>
      </c>
      <c r="I8466" t="inlineStr">
        <is>
          <t>entidad-dia</t>
        </is>
      </c>
    </row>
    <row r="8467">
      <c r="A8467" t="inlineStr">
        <is>
          <t>PRAGMA</t>
        </is>
      </c>
      <c r="B8467" t="inlineStr">
        <is>
          <t>M3</t>
        </is>
      </c>
      <c r="C8467" t="inlineStr">
        <is>
          <t>Cali</t>
        </is>
      </c>
      <c r="D8467" t="inlineStr">
        <is>
          <t>626</t>
        </is>
      </c>
      <c r="E8467" t="inlineStr">
        <is>
          <t>salidas</t>
        </is>
      </c>
      <c r="F8467" s="23" t="n">
        <v>46275</v>
      </c>
      <c r="G8467" s="24">
        <f>F8467-DATE(2026,8,31)</f>
        <v>10</v>
      </c>
      <c r="H8467" s="25" t="n">
        <v>322824568</v>
      </c>
      <c r="I8467" t="inlineStr">
        <is>
          <t>entidad-dia</t>
        </is>
      </c>
    </row>
    <row r="8468">
      <c r="A8468" t="inlineStr">
        <is>
          <t>PRAGMA</t>
        </is>
      </c>
      <c r="B8468" t="inlineStr">
        <is>
          <t>M3</t>
        </is>
      </c>
      <c r="C8468" t="inlineStr">
        <is>
          <t>Cali</t>
        </is>
      </c>
      <c r="D8468" t="inlineStr">
        <is>
          <t>626</t>
        </is>
      </c>
      <c r="E8468" t="inlineStr">
        <is>
          <t>entradas</t>
        </is>
      </c>
      <c r="F8468" s="23" t="n">
        <v>46276</v>
      </c>
      <c r="G8468" s="24">
        <f>F8468-DATE(2026,8,31)</f>
        <v>11</v>
      </c>
      <c r="H8468" s="25" t="n">
        <v>464320726</v>
      </c>
      <c r="I8468" t="inlineStr">
        <is>
          <t>entidad-dia</t>
        </is>
      </c>
    </row>
    <row r="8469">
      <c r="A8469" t="inlineStr">
        <is>
          <t>PRAGMA</t>
        </is>
      </c>
      <c r="B8469" t="inlineStr">
        <is>
          <t>M3</t>
        </is>
      </c>
      <c r="C8469" t="inlineStr">
        <is>
          <t>Cali</t>
        </is>
      </c>
      <c r="D8469" t="inlineStr">
        <is>
          <t>626</t>
        </is>
      </c>
      <c r="E8469" t="inlineStr">
        <is>
          <t>salidas</t>
        </is>
      </c>
      <c r="F8469" s="23" t="n">
        <v>46276</v>
      </c>
      <c r="G8469" s="24">
        <f>F8469-DATE(2026,8,31)</f>
        <v>11</v>
      </c>
      <c r="H8469" s="25" t="n">
        <v>382447047</v>
      </c>
      <c r="I8469" t="inlineStr">
        <is>
          <t>entidad-dia</t>
        </is>
      </c>
    </row>
    <row r="8470">
      <c r="A8470" t="inlineStr">
        <is>
          <t>PRAGMA</t>
        </is>
      </c>
      <c r="B8470" t="inlineStr">
        <is>
          <t>M3</t>
        </is>
      </c>
      <c r="C8470" t="inlineStr">
        <is>
          <t>Cali</t>
        </is>
      </c>
      <c r="D8470" t="inlineStr">
        <is>
          <t>626</t>
        </is>
      </c>
      <c r="E8470" t="inlineStr">
        <is>
          <t>entradas</t>
        </is>
      </c>
      <c r="F8470" s="23" t="n">
        <v>46277</v>
      </c>
      <c r="G8470" s="24">
        <f>F8470-DATE(2026,8,31)</f>
        <v>12</v>
      </c>
      <c r="H8470" s="25" t="n">
        <v>1162225</v>
      </c>
      <c r="I8470" t="inlineStr">
        <is>
          <t>entidad-dia</t>
        </is>
      </c>
    </row>
    <row r="8471">
      <c r="A8471" t="inlineStr">
        <is>
          <t>PRAGMA</t>
        </is>
      </c>
      <c r="B8471" t="inlineStr">
        <is>
          <t>M3</t>
        </is>
      </c>
      <c r="C8471" t="inlineStr">
        <is>
          <t>Cali</t>
        </is>
      </c>
      <c r="D8471" t="inlineStr">
        <is>
          <t>626</t>
        </is>
      </c>
      <c r="E8471" t="inlineStr">
        <is>
          <t>salidas</t>
        </is>
      </c>
      <c r="F8471" s="23" t="n">
        <v>46277</v>
      </c>
      <c r="G8471" s="24">
        <f>F8471-DATE(2026,8,31)</f>
        <v>12</v>
      </c>
      <c r="H8471" s="25" t="n">
        <v>0</v>
      </c>
      <c r="I8471" t="inlineStr">
        <is>
          <t>entidad-dia</t>
        </is>
      </c>
    </row>
    <row r="8472">
      <c r="A8472" t="inlineStr">
        <is>
          <t>PRAGMA</t>
        </is>
      </c>
      <c r="B8472" t="inlineStr">
        <is>
          <t>M3</t>
        </is>
      </c>
      <c r="C8472" t="inlineStr">
        <is>
          <t>Cali</t>
        </is>
      </c>
      <c r="D8472" t="inlineStr">
        <is>
          <t>626</t>
        </is>
      </c>
      <c r="E8472" t="inlineStr">
        <is>
          <t>entradas</t>
        </is>
      </c>
      <c r="F8472" s="23" t="n">
        <v>46278</v>
      </c>
      <c r="G8472" s="24">
        <f>F8472-DATE(2026,8,31)</f>
        <v>13</v>
      </c>
      <c r="H8472" s="25" t="n">
        <v>60097</v>
      </c>
      <c r="I8472" t="inlineStr">
        <is>
          <t>entidad-dia</t>
        </is>
      </c>
    </row>
    <row r="8473">
      <c r="A8473" t="inlineStr">
        <is>
          <t>PRAGMA</t>
        </is>
      </c>
      <c r="B8473" t="inlineStr">
        <is>
          <t>M3</t>
        </is>
      </c>
      <c r="C8473" t="inlineStr">
        <is>
          <t>Cali</t>
        </is>
      </c>
      <c r="D8473" t="inlineStr">
        <is>
          <t>626</t>
        </is>
      </c>
      <c r="E8473" t="inlineStr">
        <is>
          <t>salidas</t>
        </is>
      </c>
      <c r="F8473" s="23" t="n">
        <v>46278</v>
      </c>
      <c r="G8473" s="24">
        <f>F8473-DATE(2026,8,31)</f>
        <v>13</v>
      </c>
      <c r="H8473" s="25" t="n">
        <v>0</v>
      </c>
      <c r="I8473" t="inlineStr">
        <is>
          <t>entidad-dia</t>
        </is>
      </c>
    </row>
    <row r="8474">
      <c r="A8474" t="inlineStr">
        <is>
          <t>PRAGMA</t>
        </is>
      </c>
      <c r="B8474" t="inlineStr">
        <is>
          <t>M3</t>
        </is>
      </c>
      <c r="C8474" t="inlineStr">
        <is>
          <t>Cali</t>
        </is>
      </c>
      <c r="D8474" t="inlineStr">
        <is>
          <t>626</t>
        </is>
      </c>
      <c r="E8474" t="inlineStr">
        <is>
          <t>entradas</t>
        </is>
      </c>
      <c r="F8474" s="23" t="n">
        <v>46279</v>
      </c>
      <c r="G8474" s="24">
        <f>F8474-DATE(2026,8,31)</f>
        <v>14</v>
      </c>
      <c r="H8474" s="25" t="n">
        <v>421117158</v>
      </c>
      <c r="I8474" t="inlineStr">
        <is>
          <t>entidad-dia</t>
        </is>
      </c>
    </row>
    <row r="8475">
      <c r="A8475" t="inlineStr">
        <is>
          <t>PRAGMA</t>
        </is>
      </c>
      <c r="B8475" t="inlineStr">
        <is>
          <t>M3</t>
        </is>
      </c>
      <c r="C8475" t="inlineStr">
        <is>
          <t>Cali</t>
        </is>
      </c>
      <c r="D8475" t="inlineStr">
        <is>
          <t>626</t>
        </is>
      </c>
      <c r="E8475" t="inlineStr">
        <is>
          <t>salidas</t>
        </is>
      </c>
      <c r="F8475" s="23" t="n">
        <v>46279</v>
      </c>
      <c r="G8475" s="24">
        <f>F8475-DATE(2026,8,31)</f>
        <v>14</v>
      </c>
      <c r="H8475" s="25" t="n">
        <v>317886331</v>
      </c>
      <c r="I8475" t="inlineStr">
        <is>
          <t>entidad-dia</t>
        </is>
      </c>
    </row>
    <row r="8476">
      <c r="A8476" t="inlineStr">
        <is>
          <t>PRAGMA</t>
        </is>
      </c>
      <c r="B8476" t="inlineStr">
        <is>
          <t>M3</t>
        </is>
      </c>
      <c r="C8476" t="inlineStr">
        <is>
          <t>Cali</t>
        </is>
      </c>
      <c r="D8476" t="inlineStr">
        <is>
          <t>626</t>
        </is>
      </c>
      <c r="E8476" t="inlineStr">
        <is>
          <t>entradas</t>
        </is>
      </c>
      <c r="F8476" s="23" t="n">
        <v>46280</v>
      </c>
      <c r="G8476" s="24">
        <f>F8476-DATE(2026,8,31)</f>
        <v>15</v>
      </c>
      <c r="H8476" s="25" t="n">
        <v>498246374</v>
      </c>
      <c r="I8476" t="inlineStr">
        <is>
          <t>entidad-dia</t>
        </is>
      </c>
    </row>
    <row r="8477">
      <c r="A8477" t="inlineStr">
        <is>
          <t>PRAGMA</t>
        </is>
      </c>
      <c r="B8477" t="inlineStr">
        <is>
          <t>M3</t>
        </is>
      </c>
      <c r="C8477" t="inlineStr">
        <is>
          <t>Cali</t>
        </is>
      </c>
      <c r="D8477" t="inlineStr">
        <is>
          <t>626</t>
        </is>
      </c>
      <c r="E8477" t="inlineStr">
        <is>
          <t>salidas</t>
        </is>
      </c>
      <c r="F8477" s="23" t="n">
        <v>46280</v>
      </c>
      <c r="G8477" s="24">
        <f>F8477-DATE(2026,8,31)</f>
        <v>15</v>
      </c>
      <c r="H8477" s="25" t="n">
        <v>368864137</v>
      </c>
      <c r="I8477" t="inlineStr">
        <is>
          <t>entidad-dia</t>
        </is>
      </c>
    </row>
    <row r="8478">
      <c r="A8478" t="inlineStr">
        <is>
          <t>PRAGMA</t>
        </is>
      </c>
      <c r="B8478" t="inlineStr">
        <is>
          <t>M3</t>
        </is>
      </c>
      <c r="C8478" t="inlineStr">
        <is>
          <t>Cali</t>
        </is>
      </c>
      <c r="D8478" t="inlineStr">
        <is>
          <t>65</t>
        </is>
      </c>
      <c r="E8478" t="inlineStr">
        <is>
          <t>entradas</t>
        </is>
      </c>
      <c r="F8478" s="23" t="n">
        <v>46266</v>
      </c>
      <c r="G8478" s="24">
        <f>F8478-DATE(2026,8,31)</f>
        <v>1</v>
      </c>
      <c r="H8478" s="25" t="n">
        <v>3093065593</v>
      </c>
      <c r="I8478" t="inlineStr">
        <is>
          <t>entidad-dia</t>
        </is>
      </c>
    </row>
    <row r="8479">
      <c r="A8479" t="inlineStr">
        <is>
          <t>PRAGMA</t>
        </is>
      </c>
      <c r="B8479" t="inlineStr">
        <is>
          <t>M3</t>
        </is>
      </c>
      <c r="C8479" t="inlineStr">
        <is>
          <t>Cali</t>
        </is>
      </c>
      <c r="D8479" t="inlineStr">
        <is>
          <t>65</t>
        </is>
      </c>
      <c r="E8479" t="inlineStr">
        <is>
          <t>salidas</t>
        </is>
      </c>
      <c r="F8479" s="23" t="n">
        <v>46266</v>
      </c>
      <c r="G8479" s="24">
        <f>F8479-DATE(2026,8,31)</f>
        <v>1</v>
      </c>
      <c r="H8479" s="25" t="n">
        <v>3534197978</v>
      </c>
      <c r="I8479" t="inlineStr">
        <is>
          <t>entidad-dia</t>
        </is>
      </c>
    </row>
    <row r="8480">
      <c r="A8480" t="inlineStr">
        <is>
          <t>PRAGMA</t>
        </is>
      </c>
      <c r="B8480" t="inlineStr">
        <is>
          <t>M3</t>
        </is>
      </c>
      <c r="C8480" t="inlineStr">
        <is>
          <t>Cali</t>
        </is>
      </c>
      <c r="D8480" t="inlineStr">
        <is>
          <t>65</t>
        </is>
      </c>
      <c r="E8480" t="inlineStr">
        <is>
          <t>entradas</t>
        </is>
      </c>
      <c r="F8480" s="23" t="n">
        <v>46267</v>
      </c>
      <c r="G8480" s="24">
        <f>F8480-DATE(2026,8,31)</f>
        <v>2</v>
      </c>
      <c r="H8480" s="25" t="n">
        <v>3073317072</v>
      </c>
      <c r="I8480" t="inlineStr">
        <is>
          <t>entidad-dia</t>
        </is>
      </c>
    </row>
    <row r="8481">
      <c r="A8481" t="inlineStr">
        <is>
          <t>PRAGMA</t>
        </is>
      </c>
      <c r="B8481" t="inlineStr">
        <is>
          <t>M3</t>
        </is>
      </c>
      <c r="C8481" t="inlineStr">
        <is>
          <t>Cali</t>
        </is>
      </c>
      <c r="D8481" t="inlineStr">
        <is>
          <t>65</t>
        </is>
      </c>
      <c r="E8481" t="inlineStr">
        <is>
          <t>salidas</t>
        </is>
      </c>
      <c r="F8481" s="23" t="n">
        <v>46267</v>
      </c>
      <c r="G8481" s="24">
        <f>F8481-DATE(2026,8,31)</f>
        <v>2</v>
      </c>
      <c r="H8481" s="25" t="n">
        <v>3402766834</v>
      </c>
      <c r="I8481" t="inlineStr">
        <is>
          <t>entidad-dia</t>
        </is>
      </c>
    </row>
    <row r="8482">
      <c r="A8482" t="inlineStr">
        <is>
          <t>PRAGMA</t>
        </is>
      </c>
      <c r="B8482" t="inlineStr">
        <is>
          <t>M3</t>
        </is>
      </c>
      <c r="C8482" t="inlineStr">
        <is>
          <t>Cali</t>
        </is>
      </c>
      <c r="D8482" t="inlineStr">
        <is>
          <t>65</t>
        </is>
      </c>
      <c r="E8482" t="inlineStr">
        <is>
          <t>entradas</t>
        </is>
      </c>
      <c r="F8482" s="23" t="n">
        <v>46268</v>
      </c>
      <c r="G8482" s="24">
        <f>F8482-DATE(2026,8,31)</f>
        <v>3</v>
      </c>
      <c r="H8482" s="25" t="n">
        <v>2841673184</v>
      </c>
      <c r="I8482" t="inlineStr">
        <is>
          <t>entidad-dia</t>
        </is>
      </c>
    </row>
    <row r="8483">
      <c r="A8483" t="inlineStr">
        <is>
          <t>PRAGMA</t>
        </is>
      </c>
      <c r="B8483" t="inlineStr">
        <is>
          <t>M3</t>
        </is>
      </c>
      <c r="C8483" t="inlineStr">
        <is>
          <t>Cali</t>
        </is>
      </c>
      <c r="D8483" t="inlineStr">
        <is>
          <t>65</t>
        </is>
      </c>
      <c r="E8483" t="inlineStr">
        <is>
          <t>salidas</t>
        </is>
      </c>
      <c r="F8483" s="23" t="n">
        <v>46268</v>
      </c>
      <c r="G8483" s="24">
        <f>F8483-DATE(2026,8,31)</f>
        <v>3</v>
      </c>
      <c r="H8483" s="25" t="n">
        <v>2329801607</v>
      </c>
      <c r="I8483" t="inlineStr">
        <is>
          <t>entidad-dia</t>
        </is>
      </c>
    </row>
    <row r="8484">
      <c r="A8484" t="inlineStr">
        <is>
          <t>PRAGMA</t>
        </is>
      </c>
      <c r="B8484" t="inlineStr">
        <is>
          <t>M3</t>
        </is>
      </c>
      <c r="C8484" t="inlineStr">
        <is>
          <t>Cali</t>
        </is>
      </c>
      <c r="D8484" t="inlineStr">
        <is>
          <t>65</t>
        </is>
      </c>
      <c r="E8484" t="inlineStr">
        <is>
          <t>entradas</t>
        </is>
      </c>
      <c r="F8484" s="23" t="n">
        <v>46269</v>
      </c>
      <c r="G8484" s="24">
        <f>F8484-DATE(2026,8,31)</f>
        <v>4</v>
      </c>
      <c r="H8484" s="25" t="n">
        <v>3207313677</v>
      </c>
      <c r="I8484" t="inlineStr">
        <is>
          <t>entidad-dia</t>
        </is>
      </c>
    </row>
    <row r="8485">
      <c r="A8485" t="inlineStr">
        <is>
          <t>PRAGMA</t>
        </is>
      </c>
      <c r="B8485" t="inlineStr">
        <is>
          <t>M3</t>
        </is>
      </c>
      <c r="C8485" t="inlineStr">
        <is>
          <t>Cali</t>
        </is>
      </c>
      <c r="D8485" t="inlineStr">
        <is>
          <t>65</t>
        </is>
      </c>
      <c r="E8485" t="inlineStr">
        <is>
          <t>salidas</t>
        </is>
      </c>
      <c r="F8485" s="23" t="n">
        <v>46269</v>
      </c>
      <c r="G8485" s="24">
        <f>F8485-DATE(2026,8,31)</f>
        <v>4</v>
      </c>
      <c r="H8485" s="25" t="n">
        <v>3499372497</v>
      </c>
      <c r="I8485" t="inlineStr">
        <is>
          <t>entidad-dia</t>
        </is>
      </c>
    </row>
    <row r="8486">
      <c r="A8486" t="inlineStr">
        <is>
          <t>PRAGMA</t>
        </is>
      </c>
      <c r="B8486" t="inlineStr">
        <is>
          <t>M3</t>
        </is>
      </c>
      <c r="C8486" t="inlineStr">
        <is>
          <t>Cali</t>
        </is>
      </c>
      <c r="D8486" t="inlineStr">
        <is>
          <t>65</t>
        </is>
      </c>
      <c r="E8486" t="inlineStr">
        <is>
          <t>entradas</t>
        </is>
      </c>
      <c r="F8486" s="23" t="n">
        <v>46270</v>
      </c>
      <c r="G8486" s="24">
        <f>F8486-DATE(2026,8,31)</f>
        <v>5</v>
      </c>
      <c r="H8486" s="25" t="n">
        <v>1321390609</v>
      </c>
      <c r="I8486" t="inlineStr">
        <is>
          <t>entidad-dia</t>
        </is>
      </c>
    </row>
    <row r="8487">
      <c r="A8487" t="inlineStr">
        <is>
          <t>PRAGMA</t>
        </is>
      </c>
      <c r="B8487" t="inlineStr">
        <is>
          <t>M3</t>
        </is>
      </c>
      <c r="C8487" t="inlineStr">
        <is>
          <t>Cali</t>
        </is>
      </c>
      <c r="D8487" t="inlineStr">
        <is>
          <t>65</t>
        </is>
      </c>
      <c r="E8487" t="inlineStr">
        <is>
          <t>salidas</t>
        </is>
      </c>
      <c r="F8487" s="23" t="n">
        <v>46270</v>
      </c>
      <c r="G8487" s="24">
        <f>F8487-DATE(2026,8,31)</f>
        <v>5</v>
      </c>
      <c r="H8487" s="25" t="n">
        <v>1369663542</v>
      </c>
      <c r="I8487" t="inlineStr">
        <is>
          <t>entidad-dia</t>
        </is>
      </c>
    </row>
    <row r="8488">
      <c r="A8488" t="inlineStr">
        <is>
          <t>PRAGMA</t>
        </is>
      </c>
      <c r="B8488" t="inlineStr">
        <is>
          <t>M3</t>
        </is>
      </c>
      <c r="C8488" t="inlineStr">
        <is>
          <t>Cali</t>
        </is>
      </c>
      <c r="D8488" t="inlineStr">
        <is>
          <t>65</t>
        </is>
      </c>
      <c r="E8488" t="inlineStr">
        <is>
          <t>entradas</t>
        </is>
      </c>
      <c r="F8488" s="23" t="n">
        <v>46271</v>
      </c>
      <c r="G8488" s="24">
        <f>F8488-DATE(2026,8,31)</f>
        <v>6</v>
      </c>
      <c r="H8488" s="25" t="n">
        <v>4275262</v>
      </c>
      <c r="I8488" t="inlineStr">
        <is>
          <t>entidad-dia</t>
        </is>
      </c>
    </row>
    <row r="8489">
      <c r="A8489" t="inlineStr">
        <is>
          <t>PRAGMA</t>
        </is>
      </c>
      <c r="B8489" t="inlineStr">
        <is>
          <t>M3</t>
        </is>
      </c>
      <c r="C8489" t="inlineStr">
        <is>
          <t>Cali</t>
        </is>
      </c>
      <c r="D8489" t="inlineStr">
        <is>
          <t>65</t>
        </is>
      </c>
      <c r="E8489" t="inlineStr">
        <is>
          <t>salidas</t>
        </is>
      </c>
      <c r="F8489" s="23" t="n">
        <v>46271</v>
      </c>
      <c r="G8489" s="24">
        <f>F8489-DATE(2026,8,31)</f>
        <v>6</v>
      </c>
      <c r="H8489" s="25" t="n">
        <v>3305217</v>
      </c>
      <c r="I8489" t="inlineStr">
        <is>
          <t>entidad-dia</t>
        </is>
      </c>
    </row>
    <row r="8490">
      <c r="A8490" t="inlineStr">
        <is>
          <t>PRAGMA</t>
        </is>
      </c>
      <c r="B8490" t="inlineStr">
        <is>
          <t>M3</t>
        </is>
      </c>
      <c r="C8490" t="inlineStr">
        <is>
          <t>Cali</t>
        </is>
      </c>
      <c r="D8490" t="inlineStr">
        <is>
          <t>65</t>
        </is>
      </c>
      <c r="E8490" t="inlineStr">
        <is>
          <t>entradas</t>
        </is>
      </c>
      <c r="F8490" s="23" t="n">
        <v>46272</v>
      </c>
      <c r="G8490" s="24">
        <f>F8490-DATE(2026,8,31)</f>
        <v>7</v>
      </c>
      <c r="H8490" s="25" t="n">
        <v>3098212720</v>
      </c>
      <c r="I8490" t="inlineStr">
        <is>
          <t>entidad-dia</t>
        </is>
      </c>
    </row>
    <row r="8491">
      <c r="A8491" t="inlineStr">
        <is>
          <t>PRAGMA</t>
        </is>
      </c>
      <c r="B8491" t="inlineStr">
        <is>
          <t>M3</t>
        </is>
      </c>
      <c r="C8491" t="inlineStr">
        <is>
          <t>Cali</t>
        </is>
      </c>
      <c r="D8491" t="inlineStr">
        <is>
          <t>65</t>
        </is>
      </c>
      <c r="E8491" t="inlineStr">
        <is>
          <t>salidas</t>
        </is>
      </c>
      <c r="F8491" s="23" t="n">
        <v>46272</v>
      </c>
      <c r="G8491" s="24">
        <f>F8491-DATE(2026,8,31)</f>
        <v>7</v>
      </c>
      <c r="H8491" s="25" t="n">
        <v>2777071689</v>
      </c>
      <c r="I8491" t="inlineStr">
        <is>
          <t>entidad-dia</t>
        </is>
      </c>
    </row>
    <row r="8492">
      <c r="A8492" t="inlineStr">
        <is>
          <t>PRAGMA</t>
        </is>
      </c>
      <c r="B8492" t="inlineStr">
        <is>
          <t>M3</t>
        </is>
      </c>
      <c r="C8492" t="inlineStr">
        <is>
          <t>Cali</t>
        </is>
      </c>
      <c r="D8492" t="inlineStr">
        <is>
          <t>65</t>
        </is>
      </c>
      <c r="E8492" t="inlineStr">
        <is>
          <t>entradas</t>
        </is>
      </c>
      <c r="F8492" s="23" t="n">
        <v>46273</v>
      </c>
      <c r="G8492" s="24">
        <f>F8492-DATE(2026,8,31)</f>
        <v>8</v>
      </c>
      <c r="H8492" s="25" t="n">
        <v>3167953844</v>
      </c>
      <c r="I8492" t="inlineStr">
        <is>
          <t>entidad-dia</t>
        </is>
      </c>
    </row>
    <row r="8493">
      <c r="A8493" t="inlineStr">
        <is>
          <t>PRAGMA</t>
        </is>
      </c>
      <c r="B8493" t="inlineStr">
        <is>
          <t>M3</t>
        </is>
      </c>
      <c r="C8493" t="inlineStr">
        <is>
          <t>Cali</t>
        </is>
      </c>
      <c r="D8493" t="inlineStr">
        <is>
          <t>65</t>
        </is>
      </c>
      <c r="E8493" t="inlineStr">
        <is>
          <t>salidas</t>
        </is>
      </c>
      <c r="F8493" s="23" t="n">
        <v>46273</v>
      </c>
      <c r="G8493" s="24">
        <f>F8493-DATE(2026,8,31)</f>
        <v>8</v>
      </c>
      <c r="H8493" s="25" t="n">
        <v>3203292016</v>
      </c>
      <c r="I8493" t="inlineStr">
        <is>
          <t>entidad-dia</t>
        </is>
      </c>
    </row>
    <row r="8494">
      <c r="A8494" t="inlineStr">
        <is>
          <t>PRAGMA</t>
        </is>
      </c>
      <c r="B8494" t="inlineStr">
        <is>
          <t>M3</t>
        </is>
      </c>
      <c r="C8494" t="inlineStr">
        <is>
          <t>Cali</t>
        </is>
      </c>
      <c r="D8494" t="inlineStr">
        <is>
          <t>65</t>
        </is>
      </c>
      <c r="E8494" t="inlineStr">
        <is>
          <t>entradas</t>
        </is>
      </c>
      <c r="F8494" s="23" t="n">
        <v>46274</v>
      </c>
      <c r="G8494" s="24">
        <f>F8494-DATE(2026,8,31)</f>
        <v>9</v>
      </c>
      <c r="H8494" s="25" t="n">
        <v>3078097648</v>
      </c>
      <c r="I8494" t="inlineStr">
        <is>
          <t>entidad-dia</t>
        </is>
      </c>
    </row>
    <row r="8495">
      <c r="A8495" t="inlineStr">
        <is>
          <t>PRAGMA</t>
        </is>
      </c>
      <c r="B8495" t="inlineStr">
        <is>
          <t>M3</t>
        </is>
      </c>
      <c r="C8495" t="inlineStr">
        <is>
          <t>Cali</t>
        </is>
      </c>
      <c r="D8495" t="inlineStr">
        <is>
          <t>65</t>
        </is>
      </c>
      <c r="E8495" t="inlineStr">
        <is>
          <t>salidas</t>
        </is>
      </c>
      <c r="F8495" s="23" t="n">
        <v>46274</v>
      </c>
      <c r="G8495" s="24">
        <f>F8495-DATE(2026,8,31)</f>
        <v>9</v>
      </c>
      <c r="H8495" s="25" t="n">
        <v>3202922352</v>
      </c>
      <c r="I8495" t="inlineStr">
        <is>
          <t>entidad-dia</t>
        </is>
      </c>
    </row>
    <row r="8496">
      <c r="A8496" t="inlineStr">
        <is>
          <t>PRAGMA</t>
        </is>
      </c>
      <c r="B8496" t="inlineStr">
        <is>
          <t>M3</t>
        </is>
      </c>
      <c r="C8496" t="inlineStr">
        <is>
          <t>Cali</t>
        </is>
      </c>
      <c r="D8496" t="inlineStr">
        <is>
          <t>65</t>
        </is>
      </c>
      <c r="E8496" t="inlineStr">
        <is>
          <t>entradas</t>
        </is>
      </c>
      <c r="F8496" s="23" t="n">
        <v>46275</v>
      </c>
      <c r="G8496" s="24">
        <f>F8496-DATE(2026,8,31)</f>
        <v>10</v>
      </c>
      <c r="H8496" s="25" t="n">
        <v>2922529941</v>
      </c>
      <c r="I8496" t="inlineStr">
        <is>
          <t>entidad-dia</t>
        </is>
      </c>
    </row>
    <row r="8497">
      <c r="A8497" t="inlineStr">
        <is>
          <t>PRAGMA</t>
        </is>
      </c>
      <c r="B8497" t="inlineStr">
        <is>
          <t>M3</t>
        </is>
      </c>
      <c r="C8497" t="inlineStr">
        <is>
          <t>Cali</t>
        </is>
      </c>
      <c r="D8497" t="inlineStr">
        <is>
          <t>65</t>
        </is>
      </c>
      <c r="E8497" t="inlineStr">
        <is>
          <t>salidas</t>
        </is>
      </c>
      <c r="F8497" s="23" t="n">
        <v>46275</v>
      </c>
      <c r="G8497" s="24">
        <f>F8497-DATE(2026,8,31)</f>
        <v>10</v>
      </c>
      <c r="H8497" s="25" t="n">
        <v>2992421351</v>
      </c>
      <c r="I8497" t="inlineStr">
        <is>
          <t>entidad-dia</t>
        </is>
      </c>
    </row>
    <row r="8498">
      <c r="A8498" t="inlineStr">
        <is>
          <t>PRAGMA</t>
        </is>
      </c>
      <c r="B8498" t="inlineStr">
        <is>
          <t>M3</t>
        </is>
      </c>
      <c r="C8498" t="inlineStr">
        <is>
          <t>Cali</t>
        </is>
      </c>
      <c r="D8498" t="inlineStr">
        <is>
          <t>65</t>
        </is>
      </c>
      <c r="E8498" t="inlineStr">
        <is>
          <t>entradas</t>
        </is>
      </c>
      <c r="F8498" s="23" t="n">
        <v>46276</v>
      </c>
      <c r="G8498" s="24">
        <f>F8498-DATE(2026,8,31)</f>
        <v>11</v>
      </c>
      <c r="H8498" s="25" t="n">
        <v>3261543967</v>
      </c>
      <c r="I8498" t="inlineStr">
        <is>
          <t>entidad-dia</t>
        </is>
      </c>
    </row>
    <row r="8499">
      <c r="A8499" t="inlineStr">
        <is>
          <t>PRAGMA</t>
        </is>
      </c>
      <c r="B8499" t="inlineStr">
        <is>
          <t>M3</t>
        </is>
      </c>
      <c r="C8499" t="inlineStr">
        <is>
          <t>Cali</t>
        </is>
      </c>
      <c r="D8499" t="inlineStr">
        <is>
          <t>65</t>
        </is>
      </c>
      <c r="E8499" t="inlineStr">
        <is>
          <t>salidas</t>
        </is>
      </c>
      <c r="F8499" s="23" t="n">
        <v>46276</v>
      </c>
      <c r="G8499" s="24">
        <f>F8499-DATE(2026,8,31)</f>
        <v>11</v>
      </c>
      <c r="H8499" s="25" t="n">
        <v>3177574361</v>
      </c>
      <c r="I8499" t="inlineStr">
        <is>
          <t>entidad-dia</t>
        </is>
      </c>
    </row>
    <row r="8500">
      <c r="A8500" t="inlineStr">
        <is>
          <t>PRAGMA</t>
        </is>
      </c>
      <c r="B8500" t="inlineStr">
        <is>
          <t>M3</t>
        </is>
      </c>
      <c r="C8500" t="inlineStr">
        <is>
          <t>Cali</t>
        </is>
      </c>
      <c r="D8500" t="inlineStr">
        <is>
          <t>65</t>
        </is>
      </c>
      <c r="E8500" t="inlineStr">
        <is>
          <t>entradas</t>
        </is>
      </c>
      <c r="F8500" s="23" t="n">
        <v>46277</v>
      </c>
      <c r="G8500" s="24">
        <f>F8500-DATE(2026,8,31)</f>
        <v>12</v>
      </c>
      <c r="H8500" s="25" t="n">
        <v>1325136145</v>
      </c>
      <c r="I8500" t="inlineStr">
        <is>
          <t>entidad-dia</t>
        </is>
      </c>
    </row>
    <row r="8501">
      <c r="A8501" t="inlineStr">
        <is>
          <t>PRAGMA</t>
        </is>
      </c>
      <c r="B8501" t="inlineStr">
        <is>
          <t>M3</t>
        </is>
      </c>
      <c r="C8501" t="inlineStr">
        <is>
          <t>Cali</t>
        </is>
      </c>
      <c r="D8501" t="inlineStr">
        <is>
          <t>65</t>
        </is>
      </c>
      <c r="E8501" t="inlineStr">
        <is>
          <t>salidas</t>
        </is>
      </c>
      <c r="F8501" s="23" t="n">
        <v>46277</v>
      </c>
      <c r="G8501" s="24">
        <f>F8501-DATE(2026,8,31)</f>
        <v>12</v>
      </c>
      <c r="H8501" s="25" t="n">
        <v>1310929735</v>
      </c>
      <c r="I8501" t="inlineStr">
        <is>
          <t>entidad-dia</t>
        </is>
      </c>
    </row>
    <row r="8502">
      <c r="A8502" t="inlineStr">
        <is>
          <t>PRAGMA</t>
        </is>
      </c>
      <c r="B8502" t="inlineStr">
        <is>
          <t>M3</t>
        </is>
      </c>
      <c r="C8502" t="inlineStr">
        <is>
          <t>Cali</t>
        </is>
      </c>
      <c r="D8502" t="inlineStr">
        <is>
          <t>65</t>
        </is>
      </c>
      <c r="E8502" t="inlineStr">
        <is>
          <t>entradas</t>
        </is>
      </c>
      <c r="F8502" s="23" t="n">
        <v>46278</v>
      </c>
      <c r="G8502" s="24">
        <f>F8502-DATE(2026,8,31)</f>
        <v>13</v>
      </c>
      <c r="H8502" s="25" t="n">
        <v>2758878</v>
      </c>
      <c r="I8502" t="inlineStr">
        <is>
          <t>entidad-dia</t>
        </is>
      </c>
    </row>
    <row r="8503">
      <c r="A8503" t="inlineStr">
        <is>
          <t>PRAGMA</t>
        </is>
      </c>
      <c r="B8503" t="inlineStr">
        <is>
          <t>M3</t>
        </is>
      </c>
      <c r="C8503" t="inlineStr">
        <is>
          <t>Cali</t>
        </is>
      </c>
      <c r="D8503" t="inlineStr">
        <is>
          <t>65</t>
        </is>
      </c>
      <c r="E8503" t="inlineStr">
        <is>
          <t>salidas</t>
        </is>
      </c>
      <c r="F8503" s="23" t="n">
        <v>46278</v>
      </c>
      <c r="G8503" s="24">
        <f>F8503-DATE(2026,8,31)</f>
        <v>13</v>
      </c>
      <c r="H8503" s="25" t="n">
        <v>595</v>
      </c>
      <c r="I8503" t="inlineStr">
        <is>
          <t>entidad-dia</t>
        </is>
      </c>
    </row>
    <row r="8504">
      <c r="A8504" t="inlineStr">
        <is>
          <t>PRAGMA</t>
        </is>
      </c>
      <c r="B8504" t="inlineStr">
        <is>
          <t>M3</t>
        </is>
      </c>
      <c r="C8504" t="inlineStr">
        <is>
          <t>Cali</t>
        </is>
      </c>
      <c r="D8504" t="inlineStr">
        <is>
          <t>65</t>
        </is>
      </c>
      <c r="E8504" t="inlineStr">
        <is>
          <t>entradas</t>
        </is>
      </c>
      <c r="F8504" s="23" t="n">
        <v>46279</v>
      </c>
      <c r="G8504" s="24">
        <f>F8504-DATE(2026,8,31)</f>
        <v>14</v>
      </c>
      <c r="H8504" s="25" t="n">
        <v>3064519078</v>
      </c>
      <c r="I8504" t="inlineStr">
        <is>
          <t>entidad-dia</t>
        </is>
      </c>
    </row>
    <row r="8505">
      <c r="A8505" t="inlineStr">
        <is>
          <t>PRAGMA</t>
        </is>
      </c>
      <c r="B8505" t="inlineStr">
        <is>
          <t>M3</t>
        </is>
      </c>
      <c r="C8505" t="inlineStr">
        <is>
          <t>Cali</t>
        </is>
      </c>
      <c r="D8505" t="inlineStr">
        <is>
          <t>65</t>
        </is>
      </c>
      <c r="E8505" t="inlineStr">
        <is>
          <t>salidas</t>
        </is>
      </c>
      <c r="F8505" s="23" t="n">
        <v>46279</v>
      </c>
      <c r="G8505" s="24">
        <f>F8505-DATE(2026,8,31)</f>
        <v>14</v>
      </c>
      <c r="H8505" s="25" t="n">
        <v>3081589326</v>
      </c>
      <c r="I8505" t="inlineStr">
        <is>
          <t>entidad-dia</t>
        </is>
      </c>
    </row>
    <row r="8506">
      <c r="A8506" t="inlineStr">
        <is>
          <t>PRAGMA</t>
        </is>
      </c>
      <c r="B8506" t="inlineStr">
        <is>
          <t>M3</t>
        </is>
      </c>
      <c r="C8506" t="inlineStr">
        <is>
          <t>Cali</t>
        </is>
      </c>
      <c r="D8506" t="inlineStr">
        <is>
          <t>65</t>
        </is>
      </c>
      <c r="E8506" t="inlineStr">
        <is>
          <t>entradas</t>
        </is>
      </c>
      <c r="F8506" s="23" t="n">
        <v>46280</v>
      </c>
      <c r="G8506" s="24">
        <f>F8506-DATE(2026,8,31)</f>
        <v>15</v>
      </c>
      <c r="H8506" s="25" t="n">
        <v>3144348570</v>
      </c>
      <c r="I8506" t="inlineStr">
        <is>
          <t>entidad-dia</t>
        </is>
      </c>
    </row>
    <row r="8507">
      <c r="A8507" t="inlineStr">
        <is>
          <t>PRAGMA</t>
        </is>
      </c>
      <c r="B8507" t="inlineStr">
        <is>
          <t>M3</t>
        </is>
      </c>
      <c r="C8507" t="inlineStr">
        <is>
          <t>Cali</t>
        </is>
      </c>
      <c r="D8507" t="inlineStr">
        <is>
          <t>65</t>
        </is>
      </c>
      <c r="E8507" t="inlineStr">
        <is>
          <t>salidas</t>
        </is>
      </c>
      <c r="F8507" s="23" t="n">
        <v>46280</v>
      </c>
      <c r="G8507" s="24">
        <f>F8507-DATE(2026,8,31)</f>
        <v>15</v>
      </c>
      <c r="H8507" s="25" t="n">
        <v>3295328181</v>
      </c>
      <c r="I8507" t="inlineStr">
        <is>
          <t>entidad-dia</t>
        </is>
      </c>
    </row>
    <row r="8508">
      <c r="A8508" t="inlineStr">
        <is>
          <t>PRAGMA</t>
        </is>
      </c>
      <c r="B8508" t="inlineStr">
        <is>
          <t>M3</t>
        </is>
      </c>
      <c r="C8508" t="inlineStr">
        <is>
          <t>Cali</t>
        </is>
      </c>
      <c r="D8508" t="inlineStr">
        <is>
          <t>66</t>
        </is>
      </c>
      <c r="E8508" t="inlineStr">
        <is>
          <t>entradas</t>
        </is>
      </c>
      <c r="F8508" s="23" t="n">
        <v>46266</v>
      </c>
      <c r="G8508" s="24">
        <f>F8508-DATE(2026,8,31)</f>
        <v>1</v>
      </c>
      <c r="H8508" s="25" t="n">
        <v>1681771508</v>
      </c>
      <c r="I8508" t="inlineStr">
        <is>
          <t>entidad-dia</t>
        </is>
      </c>
    </row>
    <row r="8509">
      <c r="A8509" t="inlineStr">
        <is>
          <t>PRAGMA</t>
        </is>
      </c>
      <c r="B8509" t="inlineStr">
        <is>
          <t>M3</t>
        </is>
      </c>
      <c r="C8509" t="inlineStr">
        <is>
          <t>Cali</t>
        </is>
      </c>
      <c r="D8509" t="inlineStr">
        <is>
          <t>66</t>
        </is>
      </c>
      <c r="E8509" t="inlineStr">
        <is>
          <t>salidas</t>
        </is>
      </c>
      <c r="F8509" s="23" t="n">
        <v>46266</v>
      </c>
      <c r="G8509" s="24">
        <f>F8509-DATE(2026,8,31)</f>
        <v>1</v>
      </c>
      <c r="H8509" s="25" t="n">
        <v>1320571202</v>
      </c>
      <c r="I8509" t="inlineStr">
        <is>
          <t>entidad-dia</t>
        </is>
      </c>
    </row>
    <row r="8510">
      <c r="A8510" t="inlineStr">
        <is>
          <t>PRAGMA</t>
        </is>
      </c>
      <c r="B8510" t="inlineStr">
        <is>
          <t>M3</t>
        </is>
      </c>
      <c r="C8510" t="inlineStr">
        <is>
          <t>Cali</t>
        </is>
      </c>
      <c r="D8510" t="inlineStr">
        <is>
          <t>66</t>
        </is>
      </c>
      <c r="E8510" t="inlineStr">
        <is>
          <t>entradas</t>
        </is>
      </c>
      <c r="F8510" s="23" t="n">
        <v>46267</v>
      </c>
      <c r="G8510" s="24">
        <f>F8510-DATE(2026,8,31)</f>
        <v>2</v>
      </c>
      <c r="H8510" s="25" t="n">
        <v>1759255093</v>
      </c>
      <c r="I8510" t="inlineStr">
        <is>
          <t>entidad-dia</t>
        </is>
      </c>
    </row>
    <row r="8511">
      <c r="A8511" t="inlineStr">
        <is>
          <t>PRAGMA</t>
        </is>
      </c>
      <c r="B8511" t="inlineStr">
        <is>
          <t>M3</t>
        </is>
      </c>
      <c r="C8511" t="inlineStr">
        <is>
          <t>Cali</t>
        </is>
      </c>
      <c r="D8511" t="inlineStr">
        <is>
          <t>66</t>
        </is>
      </c>
      <c r="E8511" t="inlineStr">
        <is>
          <t>salidas</t>
        </is>
      </c>
      <c r="F8511" s="23" t="n">
        <v>46267</v>
      </c>
      <c r="G8511" s="24">
        <f>F8511-DATE(2026,8,31)</f>
        <v>2</v>
      </c>
      <c r="H8511" s="25" t="n">
        <v>1151282330</v>
      </c>
      <c r="I8511" t="inlineStr">
        <is>
          <t>entidad-dia</t>
        </is>
      </c>
    </row>
    <row r="8512">
      <c r="A8512" t="inlineStr">
        <is>
          <t>PRAGMA</t>
        </is>
      </c>
      <c r="B8512" t="inlineStr">
        <is>
          <t>M3</t>
        </is>
      </c>
      <c r="C8512" t="inlineStr">
        <is>
          <t>Cali</t>
        </is>
      </c>
      <c r="D8512" t="inlineStr">
        <is>
          <t>66</t>
        </is>
      </c>
      <c r="E8512" t="inlineStr">
        <is>
          <t>entradas</t>
        </is>
      </c>
      <c r="F8512" s="23" t="n">
        <v>46268</v>
      </c>
      <c r="G8512" s="24">
        <f>F8512-DATE(2026,8,31)</f>
        <v>3</v>
      </c>
      <c r="H8512" s="25" t="n">
        <v>1466230552</v>
      </c>
      <c r="I8512" t="inlineStr">
        <is>
          <t>entidad-dia</t>
        </is>
      </c>
    </row>
    <row r="8513">
      <c r="A8513" t="inlineStr">
        <is>
          <t>PRAGMA</t>
        </is>
      </c>
      <c r="B8513" t="inlineStr">
        <is>
          <t>M3</t>
        </is>
      </c>
      <c r="C8513" t="inlineStr">
        <is>
          <t>Cali</t>
        </is>
      </c>
      <c r="D8513" t="inlineStr">
        <is>
          <t>66</t>
        </is>
      </c>
      <c r="E8513" t="inlineStr">
        <is>
          <t>salidas</t>
        </is>
      </c>
      <c r="F8513" s="23" t="n">
        <v>46268</v>
      </c>
      <c r="G8513" s="24">
        <f>F8513-DATE(2026,8,31)</f>
        <v>3</v>
      </c>
      <c r="H8513" s="25" t="n">
        <v>919592546</v>
      </c>
      <c r="I8513" t="inlineStr">
        <is>
          <t>entidad-dia</t>
        </is>
      </c>
    </row>
    <row r="8514">
      <c r="A8514" t="inlineStr">
        <is>
          <t>PRAGMA</t>
        </is>
      </c>
      <c r="B8514" t="inlineStr">
        <is>
          <t>M3</t>
        </is>
      </c>
      <c r="C8514" t="inlineStr">
        <is>
          <t>Cali</t>
        </is>
      </c>
      <c r="D8514" t="inlineStr">
        <is>
          <t>66</t>
        </is>
      </c>
      <c r="E8514" t="inlineStr">
        <is>
          <t>entradas</t>
        </is>
      </c>
      <c r="F8514" s="23" t="n">
        <v>46269</v>
      </c>
      <c r="G8514" s="24">
        <f>F8514-DATE(2026,8,31)</f>
        <v>4</v>
      </c>
      <c r="H8514" s="25" t="n">
        <v>1851056220</v>
      </c>
      <c r="I8514" t="inlineStr">
        <is>
          <t>entidad-dia</t>
        </is>
      </c>
    </row>
    <row r="8515">
      <c r="A8515" t="inlineStr">
        <is>
          <t>PRAGMA</t>
        </is>
      </c>
      <c r="B8515" t="inlineStr">
        <is>
          <t>M3</t>
        </is>
      </c>
      <c r="C8515" t="inlineStr">
        <is>
          <t>Cali</t>
        </is>
      </c>
      <c r="D8515" t="inlineStr">
        <is>
          <t>66</t>
        </is>
      </c>
      <c r="E8515" t="inlineStr">
        <is>
          <t>salidas</t>
        </is>
      </c>
      <c r="F8515" s="23" t="n">
        <v>46269</v>
      </c>
      <c r="G8515" s="24">
        <f>F8515-DATE(2026,8,31)</f>
        <v>4</v>
      </c>
      <c r="H8515" s="25" t="n">
        <v>1347829571</v>
      </c>
      <c r="I8515" t="inlineStr">
        <is>
          <t>entidad-dia</t>
        </is>
      </c>
    </row>
    <row r="8516">
      <c r="A8516" t="inlineStr">
        <is>
          <t>PRAGMA</t>
        </is>
      </c>
      <c r="B8516" t="inlineStr">
        <is>
          <t>M3</t>
        </is>
      </c>
      <c r="C8516" t="inlineStr">
        <is>
          <t>Cali</t>
        </is>
      </c>
      <c r="D8516" t="inlineStr">
        <is>
          <t>66</t>
        </is>
      </c>
      <c r="E8516" t="inlineStr">
        <is>
          <t>entradas</t>
        </is>
      </c>
      <c r="F8516" s="23" t="n">
        <v>46270</v>
      </c>
      <c r="G8516" s="24">
        <f>F8516-DATE(2026,8,31)</f>
        <v>5</v>
      </c>
      <c r="H8516" s="25" t="n">
        <v>603035548</v>
      </c>
      <c r="I8516" t="inlineStr">
        <is>
          <t>entidad-dia</t>
        </is>
      </c>
    </row>
    <row r="8517">
      <c r="A8517" t="inlineStr">
        <is>
          <t>PRAGMA</t>
        </is>
      </c>
      <c r="B8517" t="inlineStr">
        <is>
          <t>M3</t>
        </is>
      </c>
      <c r="C8517" t="inlineStr">
        <is>
          <t>Cali</t>
        </is>
      </c>
      <c r="D8517" t="inlineStr">
        <is>
          <t>66</t>
        </is>
      </c>
      <c r="E8517" t="inlineStr">
        <is>
          <t>salidas</t>
        </is>
      </c>
      <c r="F8517" s="23" t="n">
        <v>46270</v>
      </c>
      <c r="G8517" s="24">
        <f>F8517-DATE(2026,8,31)</f>
        <v>5</v>
      </c>
      <c r="H8517" s="25" t="n">
        <v>692846424</v>
      </c>
      <c r="I8517" t="inlineStr">
        <is>
          <t>entidad-dia</t>
        </is>
      </c>
    </row>
    <row r="8518">
      <c r="A8518" t="inlineStr">
        <is>
          <t>PRAGMA</t>
        </is>
      </c>
      <c r="B8518" t="inlineStr">
        <is>
          <t>M3</t>
        </is>
      </c>
      <c r="C8518" t="inlineStr">
        <is>
          <t>Cali</t>
        </is>
      </c>
      <c r="D8518" t="inlineStr">
        <is>
          <t>66</t>
        </is>
      </c>
      <c r="E8518" t="inlineStr">
        <is>
          <t>entradas</t>
        </is>
      </c>
      <c r="F8518" s="23" t="n">
        <v>46271</v>
      </c>
      <c r="G8518" s="24">
        <f>F8518-DATE(2026,8,31)</f>
        <v>6</v>
      </c>
      <c r="H8518" s="25" t="n">
        <v>154013</v>
      </c>
      <c r="I8518" t="inlineStr">
        <is>
          <t>entidad-dia</t>
        </is>
      </c>
    </row>
    <row r="8519">
      <c r="A8519" t="inlineStr">
        <is>
          <t>PRAGMA</t>
        </is>
      </c>
      <c r="B8519" t="inlineStr">
        <is>
          <t>M3</t>
        </is>
      </c>
      <c r="C8519" t="inlineStr">
        <is>
          <t>Cali</t>
        </is>
      </c>
      <c r="D8519" t="inlineStr">
        <is>
          <t>66</t>
        </is>
      </c>
      <c r="E8519" t="inlineStr">
        <is>
          <t>salidas</t>
        </is>
      </c>
      <c r="F8519" s="23" t="n">
        <v>46271</v>
      </c>
      <c r="G8519" s="24">
        <f>F8519-DATE(2026,8,31)</f>
        <v>6</v>
      </c>
      <c r="H8519" s="25" t="n">
        <v>0</v>
      </c>
      <c r="I8519" t="inlineStr">
        <is>
          <t>entidad-dia</t>
        </is>
      </c>
    </row>
    <row r="8520">
      <c r="A8520" t="inlineStr">
        <is>
          <t>PRAGMA</t>
        </is>
      </c>
      <c r="B8520" t="inlineStr">
        <is>
          <t>M3</t>
        </is>
      </c>
      <c r="C8520" t="inlineStr">
        <is>
          <t>Cali</t>
        </is>
      </c>
      <c r="D8520" t="inlineStr">
        <is>
          <t>66</t>
        </is>
      </c>
      <c r="E8520" t="inlineStr">
        <is>
          <t>entradas</t>
        </is>
      </c>
      <c r="F8520" s="23" t="n">
        <v>46272</v>
      </c>
      <c r="G8520" s="24">
        <f>F8520-DATE(2026,8,31)</f>
        <v>7</v>
      </c>
      <c r="H8520" s="25" t="n">
        <v>1550459013</v>
      </c>
      <c r="I8520" t="inlineStr">
        <is>
          <t>entidad-dia</t>
        </is>
      </c>
    </row>
    <row r="8521">
      <c r="A8521" t="inlineStr">
        <is>
          <t>PRAGMA</t>
        </is>
      </c>
      <c r="B8521" t="inlineStr">
        <is>
          <t>M3</t>
        </is>
      </c>
      <c r="C8521" t="inlineStr">
        <is>
          <t>Cali</t>
        </is>
      </c>
      <c r="D8521" t="inlineStr">
        <is>
          <t>66</t>
        </is>
      </c>
      <c r="E8521" t="inlineStr">
        <is>
          <t>salidas</t>
        </is>
      </c>
      <c r="F8521" s="23" t="n">
        <v>46272</v>
      </c>
      <c r="G8521" s="24">
        <f>F8521-DATE(2026,8,31)</f>
        <v>7</v>
      </c>
      <c r="H8521" s="25" t="n">
        <v>1066339664</v>
      </c>
      <c r="I8521" t="inlineStr">
        <is>
          <t>entidad-dia</t>
        </is>
      </c>
    </row>
    <row r="8522">
      <c r="A8522" t="inlineStr">
        <is>
          <t>PRAGMA</t>
        </is>
      </c>
      <c r="B8522" t="inlineStr">
        <is>
          <t>M3</t>
        </is>
      </c>
      <c r="C8522" t="inlineStr">
        <is>
          <t>Cali</t>
        </is>
      </c>
      <c r="D8522" t="inlineStr">
        <is>
          <t>66</t>
        </is>
      </c>
      <c r="E8522" t="inlineStr">
        <is>
          <t>entradas</t>
        </is>
      </c>
      <c r="F8522" s="23" t="n">
        <v>46273</v>
      </c>
      <c r="G8522" s="24">
        <f>F8522-DATE(2026,8,31)</f>
        <v>8</v>
      </c>
      <c r="H8522" s="25" t="n">
        <v>1746377752</v>
      </c>
      <c r="I8522" t="inlineStr">
        <is>
          <t>entidad-dia</t>
        </is>
      </c>
    </row>
    <row r="8523">
      <c r="A8523" t="inlineStr">
        <is>
          <t>PRAGMA</t>
        </is>
      </c>
      <c r="B8523" t="inlineStr">
        <is>
          <t>M3</t>
        </is>
      </c>
      <c r="C8523" t="inlineStr">
        <is>
          <t>Cali</t>
        </is>
      </c>
      <c r="D8523" t="inlineStr">
        <is>
          <t>66</t>
        </is>
      </c>
      <c r="E8523" t="inlineStr">
        <is>
          <t>salidas</t>
        </is>
      </c>
      <c r="F8523" s="23" t="n">
        <v>46273</v>
      </c>
      <c r="G8523" s="24">
        <f>F8523-DATE(2026,8,31)</f>
        <v>8</v>
      </c>
      <c r="H8523" s="25" t="n">
        <v>1188728281</v>
      </c>
      <c r="I8523" t="inlineStr">
        <is>
          <t>entidad-dia</t>
        </is>
      </c>
    </row>
    <row r="8524">
      <c r="A8524" t="inlineStr">
        <is>
          <t>PRAGMA</t>
        </is>
      </c>
      <c r="B8524" t="inlineStr">
        <is>
          <t>M3</t>
        </is>
      </c>
      <c r="C8524" t="inlineStr">
        <is>
          <t>Cali</t>
        </is>
      </c>
      <c r="D8524" t="inlineStr">
        <is>
          <t>66</t>
        </is>
      </c>
      <c r="E8524" t="inlineStr">
        <is>
          <t>entradas</t>
        </is>
      </c>
      <c r="F8524" s="23" t="n">
        <v>46274</v>
      </c>
      <c r="G8524" s="24">
        <f>F8524-DATE(2026,8,31)</f>
        <v>9</v>
      </c>
      <c r="H8524" s="25" t="n">
        <v>1808333004</v>
      </c>
      <c r="I8524" t="inlineStr">
        <is>
          <t>entidad-dia</t>
        </is>
      </c>
    </row>
    <row r="8525">
      <c r="A8525" t="inlineStr">
        <is>
          <t>PRAGMA</t>
        </is>
      </c>
      <c r="B8525" t="inlineStr">
        <is>
          <t>M3</t>
        </is>
      </c>
      <c r="C8525" t="inlineStr">
        <is>
          <t>Cali</t>
        </is>
      </c>
      <c r="D8525" t="inlineStr">
        <is>
          <t>66</t>
        </is>
      </c>
      <c r="E8525" t="inlineStr">
        <is>
          <t>salidas</t>
        </is>
      </c>
      <c r="F8525" s="23" t="n">
        <v>46274</v>
      </c>
      <c r="G8525" s="24">
        <f>F8525-DATE(2026,8,31)</f>
        <v>9</v>
      </c>
      <c r="H8525" s="25" t="n">
        <v>1145003478</v>
      </c>
      <c r="I8525" t="inlineStr">
        <is>
          <t>entidad-dia</t>
        </is>
      </c>
    </row>
    <row r="8526">
      <c r="A8526" t="inlineStr">
        <is>
          <t>PRAGMA</t>
        </is>
      </c>
      <c r="B8526" t="inlineStr">
        <is>
          <t>M3</t>
        </is>
      </c>
      <c r="C8526" t="inlineStr">
        <is>
          <t>Cali</t>
        </is>
      </c>
      <c r="D8526" t="inlineStr">
        <is>
          <t>66</t>
        </is>
      </c>
      <c r="E8526" t="inlineStr">
        <is>
          <t>entradas</t>
        </is>
      </c>
      <c r="F8526" s="23" t="n">
        <v>46275</v>
      </c>
      <c r="G8526" s="24">
        <f>F8526-DATE(2026,8,31)</f>
        <v>10</v>
      </c>
      <c r="H8526" s="25" t="n">
        <v>1429036048</v>
      </c>
      <c r="I8526" t="inlineStr">
        <is>
          <t>entidad-dia</t>
        </is>
      </c>
    </row>
    <row r="8527">
      <c r="A8527" t="inlineStr">
        <is>
          <t>PRAGMA</t>
        </is>
      </c>
      <c r="B8527" t="inlineStr">
        <is>
          <t>M3</t>
        </is>
      </c>
      <c r="C8527" t="inlineStr">
        <is>
          <t>Cali</t>
        </is>
      </c>
      <c r="D8527" t="inlineStr">
        <is>
          <t>66</t>
        </is>
      </c>
      <c r="E8527" t="inlineStr">
        <is>
          <t>salidas</t>
        </is>
      </c>
      <c r="F8527" s="23" t="n">
        <v>46275</v>
      </c>
      <c r="G8527" s="24">
        <f>F8527-DATE(2026,8,31)</f>
        <v>10</v>
      </c>
      <c r="H8527" s="25" t="n">
        <v>1091181164</v>
      </c>
      <c r="I8527" t="inlineStr">
        <is>
          <t>entidad-dia</t>
        </is>
      </c>
    </row>
    <row r="8528">
      <c r="A8528" t="inlineStr">
        <is>
          <t>PRAGMA</t>
        </is>
      </c>
      <c r="B8528" t="inlineStr">
        <is>
          <t>M3</t>
        </is>
      </c>
      <c r="C8528" t="inlineStr">
        <is>
          <t>Cali</t>
        </is>
      </c>
      <c r="D8528" t="inlineStr">
        <is>
          <t>66</t>
        </is>
      </c>
      <c r="E8528" t="inlineStr">
        <is>
          <t>entradas</t>
        </is>
      </c>
      <c r="F8528" s="23" t="n">
        <v>46276</v>
      </c>
      <c r="G8528" s="24">
        <f>F8528-DATE(2026,8,31)</f>
        <v>11</v>
      </c>
      <c r="H8528" s="25" t="n">
        <v>1876025661</v>
      </c>
      <c r="I8528" t="inlineStr">
        <is>
          <t>entidad-dia</t>
        </is>
      </c>
    </row>
    <row r="8529">
      <c r="A8529" t="inlineStr">
        <is>
          <t>PRAGMA</t>
        </is>
      </c>
      <c r="B8529" t="inlineStr">
        <is>
          <t>M3</t>
        </is>
      </c>
      <c r="C8529" t="inlineStr">
        <is>
          <t>Cali</t>
        </is>
      </c>
      <c r="D8529" t="inlineStr">
        <is>
          <t>66</t>
        </is>
      </c>
      <c r="E8529" t="inlineStr">
        <is>
          <t>salidas</t>
        </is>
      </c>
      <c r="F8529" s="23" t="n">
        <v>46276</v>
      </c>
      <c r="G8529" s="24">
        <f>F8529-DATE(2026,8,31)</f>
        <v>11</v>
      </c>
      <c r="H8529" s="25" t="n">
        <v>1261008532</v>
      </c>
      <c r="I8529" t="inlineStr">
        <is>
          <t>entidad-dia</t>
        </is>
      </c>
    </row>
    <row r="8530">
      <c r="A8530" t="inlineStr">
        <is>
          <t>PRAGMA</t>
        </is>
      </c>
      <c r="B8530" t="inlineStr">
        <is>
          <t>M3</t>
        </is>
      </c>
      <c r="C8530" t="inlineStr">
        <is>
          <t>Cali</t>
        </is>
      </c>
      <c r="D8530" t="inlineStr">
        <is>
          <t>66</t>
        </is>
      </c>
      <c r="E8530" t="inlineStr">
        <is>
          <t>entradas</t>
        </is>
      </c>
      <c r="F8530" s="23" t="n">
        <v>46277</v>
      </c>
      <c r="G8530" s="24">
        <f>F8530-DATE(2026,8,31)</f>
        <v>12</v>
      </c>
      <c r="H8530" s="25" t="n">
        <v>587327451</v>
      </c>
      <c r="I8530" t="inlineStr">
        <is>
          <t>entidad-dia</t>
        </is>
      </c>
    </row>
    <row r="8531">
      <c r="A8531" t="inlineStr">
        <is>
          <t>PRAGMA</t>
        </is>
      </c>
      <c r="B8531" t="inlineStr">
        <is>
          <t>M3</t>
        </is>
      </c>
      <c r="C8531" t="inlineStr">
        <is>
          <t>Cali</t>
        </is>
      </c>
      <c r="D8531" t="inlineStr">
        <is>
          <t>66</t>
        </is>
      </c>
      <c r="E8531" t="inlineStr">
        <is>
          <t>salidas</t>
        </is>
      </c>
      <c r="F8531" s="23" t="n">
        <v>46277</v>
      </c>
      <c r="G8531" s="24">
        <f>F8531-DATE(2026,8,31)</f>
        <v>12</v>
      </c>
      <c r="H8531" s="25" t="n">
        <v>687906693</v>
      </c>
      <c r="I8531" t="inlineStr">
        <is>
          <t>entidad-dia</t>
        </is>
      </c>
    </row>
    <row r="8532">
      <c r="A8532" t="inlineStr">
        <is>
          <t>PRAGMA</t>
        </is>
      </c>
      <c r="B8532" t="inlineStr">
        <is>
          <t>M3</t>
        </is>
      </c>
      <c r="C8532" t="inlineStr">
        <is>
          <t>Cali</t>
        </is>
      </c>
      <c r="D8532" t="inlineStr">
        <is>
          <t>66</t>
        </is>
      </c>
      <c r="E8532" t="inlineStr">
        <is>
          <t>entradas</t>
        </is>
      </c>
      <c r="F8532" s="23" t="n">
        <v>46278</v>
      </c>
      <c r="G8532" s="24">
        <f>F8532-DATE(2026,8,31)</f>
        <v>13</v>
      </c>
      <c r="H8532" s="25" t="n">
        <v>54263</v>
      </c>
      <c r="I8532" t="inlineStr">
        <is>
          <t>entidad-dia</t>
        </is>
      </c>
    </row>
    <row r="8533">
      <c r="A8533" t="inlineStr">
        <is>
          <t>PRAGMA</t>
        </is>
      </c>
      <c r="B8533" t="inlineStr">
        <is>
          <t>M3</t>
        </is>
      </c>
      <c r="C8533" t="inlineStr">
        <is>
          <t>Cali</t>
        </is>
      </c>
      <c r="D8533" t="inlineStr">
        <is>
          <t>66</t>
        </is>
      </c>
      <c r="E8533" t="inlineStr">
        <is>
          <t>salidas</t>
        </is>
      </c>
      <c r="F8533" s="23" t="n">
        <v>46278</v>
      </c>
      <c r="G8533" s="24">
        <f>F8533-DATE(2026,8,31)</f>
        <v>13</v>
      </c>
      <c r="H8533" s="25" t="n">
        <v>0</v>
      </c>
      <c r="I8533" t="inlineStr">
        <is>
          <t>entidad-dia</t>
        </is>
      </c>
    </row>
    <row r="8534">
      <c r="A8534" t="inlineStr">
        <is>
          <t>PRAGMA</t>
        </is>
      </c>
      <c r="B8534" t="inlineStr">
        <is>
          <t>M3</t>
        </is>
      </c>
      <c r="C8534" t="inlineStr">
        <is>
          <t>Cali</t>
        </is>
      </c>
      <c r="D8534" t="inlineStr">
        <is>
          <t>66</t>
        </is>
      </c>
      <c r="E8534" t="inlineStr">
        <is>
          <t>entradas</t>
        </is>
      </c>
      <c r="F8534" s="23" t="n">
        <v>46279</v>
      </c>
      <c r="G8534" s="24">
        <f>F8534-DATE(2026,8,31)</f>
        <v>14</v>
      </c>
      <c r="H8534" s="25" t="n">
        <v>1608392032</v>
      </c>
      <c r="I8534" t="inlineStr">
        <is>
          <t>entidad-dia</t>
        </is>
      </c>
    </row>
    <row r="8535">
      <c r="A8535" t="inlineStr">
        <is>
          <t>PRAGMA</t>
        </is>
      </c>
      <c r="B8535" t="inlineStr">
        <is>
          <t>M3</t>
        </is>
      </c>
      <c r="C8535" t="inlineStr">
        <is>
          <t>Cali</t>
        </is>
      </c>
      <c r="D8535" t="inlineStr">
        <is>
          <t>66</t>
        </is>
      </c>
      <c r="E8535" t="inlineStr">
        <is>
          <t>salidas</t>
        </is>
      </c>
      <c r="F8535" s="23" t="n">
        <v>46279</v>
      </c>
      <c r="G8535" s="24">
        <f>F8535-DATE(2026,8,31)</f>
        <v>14</v>
      </c>
      <c r="H8535" s="25" t="n">
        <v>1115573352</v>
      </c>
      <c r="I8535" t="inlineStr">
        <is>
          <t>entidad-dia</t>
        </is>
      </c>
    </row>
    <row r="8536">
      <c r="A8536" t="inlineStr">
        <is>
          <t>PRAGMA</t>
        </is>
      </c>
      <c r="B8536" t="inlineStr">
        <is>
          <t>M3</t>
        </is>
      </c>
      <c r="C8536" t="inlineStr">
        <is>
          <t>Cali</t>
        </is>
      </c>
      <c r="D8536" t="inlineStr">
        <is>
          <t>66</t>
        </is>
      </c>
      <c r="E8536" t="inlineStr">
        <is>
          <t>entradas</t>
        </is>
      </c>
      <c r="F8536" s="23" t="n">
        <v>46280</v>
      </c>
      <c r="G8536" s="24">
        <f>F8536-DATE(2026,8,31)</f>
        <v>15</v>
      </c>
      <c r="H8536" s="25" t="n">
        <v>1698196073</v>
      </c>
      <c r="I8536" t="inlineStr">
        <is>
          <t>entidad-dia</t>
        </is>
      </c>
    </row>
    <row r="8537">
      <c r="A8537" t="inlineStr">
        <is>
          <t>PRAGMA</t>
        </is>
      </c>
      <c r="B8537" t="inlineStr">
        <is>
          <t>M3</t>
        </is>
      </c>
      <c r="C8537" t="inlineStr">
        <is>
          <t>Cali</t>
        </is>
      </c>
      <c r="D8537" t="inlineStr">
        <is>
          <t>66</t>
        </is>
      </c>
      <c r="E8537" t="inlineStr">
        <is>
          <t>salidas</t>
        </is>
      </c>
      <c r="F8537" s="23" t="n">
        <v>46280</v>
      </c>
      <c r="G8537" s="24">
        <f>F8537-DATE(2026,8,31)</f>
        <v>15</v>
      </c>
      <c r="H8537" s="25" t="n">
        <v>1250635598</v>
      </c>
      <c r="I8537" t="inlineStr">
        <is>
          <t>entidad-dia</t>
        </is>
      </c>
    </row>
    <row r="8538">
      <c r="A8538" t="inlineStr">
        <is>
          <t>PRAGMA</t>
        </is>
      </c>
      <c r="B8538" t="inlineStr">
        <is>
          <t>M3</t>
        </is>
      </c>
      <c r="C8538" t="inlineStr">
        <is>
          <t>Cali</t>
        </is>
      </c>
      <c r="D8538" t="inlineStr">
        <is>
          <t>67</t>
        </is>
      </c>
      <c r="E8538" t="inlineStr">
        <is>
          <t>entradas</t>
        </is>
      </c>
      <c r="F8538" s="23" t="n">
        <v>46266</v>
      </c>
      <c r="G8538" s="24">
        <f>F8538-DATE(2026,8,31)</f>
        <v>1</v>
      </c>
      <c r="H8538" s="25" t="n">
        <v>1552774005</v>
      </c>
      <c r="I8538" t="inlineStr">
        <is>
          <t>entidad-dia</t>
        </is>
      </c>
    </row>
    <row r="8539">
      <c r="A8539" t="inlineStr">
        <is>
          <t>PRAGMA</t>
        </is>
      </c>
      <c r="B8539" t="inlineStr">
        <is>
          <t>M3</t>
        </is>
      </c>
      <c r="C8539" t="inlineStr">
        <is>
          <t>Cali</t>
        </is>
      </c>
      <c r="D8539" t="inlineStr">
        <is>
          <t>67</t>
        </is>
      </c>
      <c r="E8539" t="inlineStr">
        <is>
          <t>salidas</t>
        </is>
      </c>
      <c r="F8539" s="23" t="n">
        <v>46266</v>
      </c>
      <c r="G8539" s="24">
        <f>F8539-DATE(2026,8,31)</f>
        <v>1</v>
      </c>
      <c r="H8539" s="25" t="n">
        <v>829073049</v>
      </c>
      <c r="I8539" t="inlineStr">
        <is>
          <t>entidad-dia</t>
        </is>
      </c>
    </row>
    <row r="8540">
      <c r="A8540" t="inlineStr">
        <is>
          <t>PRAGMA</t>
        </is>
      </c>
      <c r="B8540" t="inlineStr">
        <is>
          <t>M3</t>
        </is>
      </c>
      <c r="C8540" t="inlineStr">
        <is>
          <t>Cali</t>
        </is>
      </c>
      <c r="D8540" t="inlineStr">
        <is>
          <t>67</t>
        </is>
      </c>
      <c r="E8540" t="inlineStr">
        <is>
          <t>entradas</t>
        </is>
      </c>
      <c r="F8540" s="23" t="n">
        <v>46267</v>
      </c>
      <c r="G8540" s="24">
        <f>F8540-DATE(2026,8,31)</f>
        <v>2</v>
      </c>
      <c r="H8540" s="25" t="n">
        <v>1539539132</v>
      </c>
      <c r="I8540" t="inlineStr">
        <is>
          <t>entidad-dia</t>
        </is>
      </c>
    </row>
    <row r="8541">
      <c r="A8541" t="inlineStr">
        <is>
          <t>PRAGMA</t>
        </is>
      </c>
      <c r="B8541" t="inlineStr">
        <is>
          <t>M3</t>
        </is>
      </c>
      <c r="C8541" t="inlineStr">
        <is>
          <t>Cali</t>
        </is>
      </c>
      <c r="D8541" t="inlineStr">
        <is>
          <t>67</t>
        </is>
      </c>
      <c r="E8541" t="inlineStr">
        <is>
          <t>salidas</t>
        </is>
      </c>
      <c r="F8541" s="23" t="n">
        <v>46267</v>
      </c>
      <c r="G8541" s="24">
        <f>F8541-DATE(2026,8,31)</f>
        <v>2</v>
      </c>
      <c r="H8541" s="25" t="n">
        <v>816830279</v>
      </c>
      <c r="I8541" t="inlineStr">
        <is>
          <t>entidad-dia</t>
        </is>
      </c>
    </row>
    <row r="8542">
      <c r="A8542" t="inlineStr">
        <is>
          <t>PRAGMA</t>
        </is>
      </c>
      <c r="B8542" t="inlineStr">
        <is>
          <t>M3</t>
        </is>
      </c>
      <c r="C8542" t="inlineStr">
        <is>
          <t>Cali</t>
        </is>
      </c>
      <c r="D8542" t="inlineStr">
        <is>
          <t>67</t>
        </is>
      </c>
      <c r="E8542" t="inlineStr">
        <is>
          <t>entradas</t>
        </is>
      </c>
      <c r="F8542" s="23" t="n">
        <v>46268</v>
      </c>
      <c r="G8542" s="24">
        <f>F8542-DATE(2026,8,31)</f>
        <v>3</v>
      </c>
      <c r="H8542" s="25" t="n">
        <v>1410654437</v>
      </c>
      <c r="I8542" t="inlineStr">
        <is>
          <t>entidad-dia</t>
        </is>
      </c>
    </row>
    <row r="8543">
      <c r="A8543" t="inlineStr">
        <is>
          <t>PRAGMA</t>
        </is>
      </c>
      <c r="B8543" t="inlineStr">
        <is>
          <t>M3</t>
        </is>
      </c>
      <c r="C8543" t="inlineStr">
        <is>
          <t>Cali</t>
        </is>
      </c>
      <c r="D8543" t="inlineStr">
        <is>
          <t>67</t>
        </is>
      </c>
      <c r="E8543" t="inlineStr">
        <is>
          <t>salidas</t>
        </is>
      </c>
      <c r="F8543" s="23" t="n">
        <v>46268</v>
      </c>
      <c r="G8543" s="24">
        <f>F8543-DATE(2026,8,31)</f>
        <v>3</v>
      </c>
      <c r="H8543" s="25" t="n">
        <v>582144560</v>
      </c>
      <c r="I8543" t="inlineStr">
        <is>
          <t>entidad-dia</t>
        </is>
      </c>
    </row>
    <row r="8544">
      <c r="A8544" t="inlineStr">
        <is>
          <t>PRAGMA</t>
        </is>
      </c>
      <c r="B8544" t="inlineStr">
        <is>
          <t>M3</t>
        </is>
      </c>
      <c r="C8544" t="inlineStr">
        <is>
          <t>Cali</t>
        </is>
      </c>
      <c r="D8544" t="inlineStr">
        <is>
          <t>67</t>
        </is>
      </c>
      <c r="E8544" t="inlineStr">
        <is>
          <t>entradas</t>
        </is>
      </c>
      <c r="F8544" s="23" t="n">
        <v>46269</v>
      </c>
      <c r="G8544" s="24">
        <f>F8544-DATE(2026,8,31)</f>
        <v>4</v>
      </c>
      <c r="H8544" s="25" t="n">
        <v>1721543031</v>
      </c>
      <c r="I8544" t="inlineStr">
        <is>
          <t>entidad-dia</t>
        </is>
      </c>
    </row>
    <row r="8545">
      <c r="A8545" t="inlineStr">
        <is>
          <t>PRAGMA</t>
        </is>
      </c>
      <c r="B8545" t="inlineStr">
        <is>
          <t>M3</t>
        </is>
      </c>
      <c r="C8545" t="inlineStr">
        <is>
          <t>Cali</t>
        </is>
      </c>
      <c r="D8545" t="inlineStr">
        <is>
          <t>67</t>
        </is>
      </c>
      <c r="E8545" t="inlineStr">
        <is>
          <t>salidas</t>
        </is>
      </c>
      <c r="F8545" s="23" t="n">
        <v>46269</v>
      </c>
      <c r="G8545" s="24">
        <f>F8545-DATE(2026,8,31)</f>
        <v>4</v>
      </c>
      <c r="H8545" s="25" t="n">
        <v>909828712</v>
      </c>
      <c r="I8545" t="inlineStr">
        <is>
          <t>entidad-dia</t>
        </is>
      </c>
    </row>
    <row r="8546">
      <c r="A8546" t="inlineStr">
        <is>
          <t>PRAGMA</t>
        </is>
      </c>
      <c r="B8546" t="inlineStr">
        <is>
          <t>M3</t>
        </is>
      </c>
      <c r="C8546" t="inlineStr">
        <is>
          <t>Cali</t>
        </is>
      </c>
      <c r="D8546" t="inlineStr">
        <is>
          <t>67</t>
        </is>
      </c>
      <c r="E8546" t="inlineStr">
        <is>
          <t>entradas</t>
        </is>
      </c>
      <c r="F8546" s="23" t="n">
        <v>46270</v>
      </c>
      <c r="G8546" s="24">
        <f>F8546-DATE(2026,8,31)</f>
        <v>5</v>
      </c>
      <c r="H8546" s="25" t="n">
        <v>5336879</v>
      </c>
      <c r="I8546" t="inlineStr">
        <is>
          <t>entidad-dia</t>
        </is>
      </c>
    </row>
    <row r="8547">
      <c r="A8547" t="inlineStr">
        <is>
          <t>PRAGMA</t>
        </is>
      </c>
      <c r="B8547" t="inlineStr">
        <is>
          <t>M3</t>
        </is>
      </c>
      <c r="C8547" t="inlineStr">
        <is>
          <t>Cali</t>
        </is>
      </c>
      <c r="D8547" t="inlineStr">
        <is>
          <t>67</t>
        </is>
      </c>
      <c r="E8547" t="inlineStr">
        <is>
          <t>salidas</t>
        </is>
      </c>
      <c r="F8547" s="23" t="n">
        <v>46270</v>
      </c>
      <c r="G8547" s="24">
        <f>F8547-DATE(2026,8,31)</f>
        <v>5</v>
      </c>
      <c r="H8547" s="25" t="n">
        <v>5126507</v>
      </c>
      <c r="I8547" t="inlineStr">
        <is>
          <t>entidad-dia</t>
        </is>
      </c>
    </row>
    <row r="8548">
      <c r="A8548" t="inlineStr">
        <is>
          <t>PRAGMA</t>
        </is>
      </c>
      <c r="B8548" t="inlineStr">
        <is>
          <t>M3</t>
        </is>
      </c>
      <c r="C8548" t="inlineStr">
        <is>
          <t>Cali</t>
        </is>
      </c>
      <c r="D8548" t="inlineStr">
        <is>
          <t>67</t>
        </is>
      </c>
      <c r="E8548" t="inlineStr">
        <is>
          <t>entradas</t>
        </is>
      </c>
      <c r="F8548" s="23" t="n">
        <v>46271</v>
      </c>
      <c r="G8548" s="24">
        <f>F8548-DATE(2026,8,31)</f>
        <v>6</v>
      </c>
      <c r="H8548" s="25" t="n">
        <v>1626174</v>
      </c>
      <c r="I8548" t="inlineStr">
        <is>
          <t>entidad-dia</t>
        </is>
      </c>
    </row>
    <row r="8549">
      <c r="A8549" t="inlineStr">
        <is>
          <t>PRAGMA</t>
        </is>
      </c>
      <c r="B8549" t="inlineStr">
        <is>
          <t>M3</t>
        </is>
      </c>
      <c r="C8549" t="inlineStr">
        <is>
          <t>Cali</t>
        </is>
      </c>
      <c r="D8549" t="inlineStr">
        <is>
          <t>67</t>
        </is>
      </c>
      <c r="E8549" t="inlineStr">
        <is>
          <t>salidas</t>
        </is>
      </c>
      <c r="F8549" s="23" t="n">
        <v>46271</v>
      </c>
      <c r="G8549" s="24">
        <f>F8549-DATE(2026,8,31)</f>
        <v>6</v>
      </c>
      <c r="H8549" s="25" t="n">
        <v>0</v>
      </c>
      <c r="I8549" t="inlineStr">
        <is>
          <t>entidad-dia</t>
        </is>
      </c>
    </row>
    <row r="8550">
      <c r="A8550" t="inlineStr">
        <is>
          <t>PRAGMA</t>
        </is>
      </c>
      <c r="B8550" t="inlineStr">
        <is>
          <t>M3</t>
        </is>
      </c>
      <c r="C8550" t="inlineStr">
        <is>
          <t>Cali</t>
        </is>
      </c>
      <c r="D8550" t="inlineStr">
        <is>
          <t>67</t>
        </is>
      </c>
      <c r="E8550" t="inlineStr">
        <is>
          <t>entradas</t>
        </is>
      </c>
      <c r="F8550" s="23" t="n">
        <v>46272</v>
      </c>
      <c r="G8550" s="24">
        <f>F8550-DATE(2026,8,31)</f>
        <v>7</v>
      </c>
      <c r="H8550" s="25" t="n">
        <v>1483820632</v>
      </c>
      <c r="I8550" t="inlineStr">
        <is>
          <t>entidad-dia</t>
        </is>
      </c>
    </row>
    <row r="8551">
      <c r="A8551" t="inlineStr">
        <is>
          <t>PRAGMA</t>
        </is>
      </c>
      <c r="B8551" t="inlineStr">
        <is>
          <t>M3</t>
        </is>
      </c>
      <c r="C8551" t="inlineStr">
        <is>
          <t>Cali</t>
        </is>
      </c>
      <c r="D8551" t="inlineStr">
        <is>
          <t>67</t>
        </is>
      </c>
      <c r="E8551" t="inlineStr">
        <is>
          <t>salidas</t>
        </is>
      </c>
      <c r="F8551" s="23" t="n">
        <v>46272</v>
      </c>
      <c r="G8551" s="24">
        <f>F8551-DATE(2026,8,31)</f>
        <v>7</v>
      </c>
      <c r="H8551" s="25" t="n">
        <v>669240457</v>
      </c>
      <c r="I8551" t="inlineStr">
        <is>
          <t>entidad-dia</t>
        </is>
      </c>
    </row>
    <row r="8552">
      <c r="A8552" t="inlineStr">
        <is>
          <t>PRAGMA</t>
        </is>
      </c>
      <c r="B8552" t="inlineStr">
        <is>
          <t>M3</t>
        </is>
      </c>
      <c r="C8552" t="inlineStr">
        <is>
          <t>Cali</t>
        </is>
      </c>
      <c r="D8552" t="inlineStr">
        <is>
          <t>67</t>
        </is>
      </c>
      <c r="E8552" t="inlineStr">
        <is>
          <t>entradas</t>
        </is>
      </c>
      <c r="F8552" s="23" t="n">
        <v>46273</v>
      </c>
      <c r="G8552" s="24">
        <f>F8552-DATE(2026,8,31)</f>
        <v>8</v>
      </c>
      <c r="H8552" s="25" t="n">
        <v>1564333733</v>
      </c>
      <c r="I8552" t="inlineStr">
        <is>
          <t>entidad-dia</t>
        </is>
      </c>
    </row>
    <row r="8553">
      <c r="A8553" t="inlineStr">
        <is>
          <t>PRAGMA</t>
        </is>
      </c>
      <c r="B8553" t="inlineStr">
        <is>
          <t>M3</t>
        </is>
      </c>
      <c r="C8553" t="inlineStr">
        <is>
          <t>Cali</t>
        </is>
      </c>
      <c r="D8553" t="inlineStr">
        <is>
          <t>67</t>
        </is>
      </c>
      <c r="E8553" t="inlineStr">
        <is>
          <t>salidas</t>
        </is>
      </c>
      <c r="F8553" s="23" t="n">
        <v>46273</v>
      </c>
      <c r="G8553" s="24">
        <f>F8553-DATE(2026,8,31)</f>
        <v>8</v>
      </c>
      <c r="H8553" s="25" t="n">
        <v>756416948</v>
      </c>
      <c r="I8553" t="inlineStr">
        <is>
          <t>entidad-dia</t>
        </is>
      </c>
    </row>
    <row r="8554">
      <c r="A8554" t="inlineStr">
        <is>
          <t>PRAGMA</t>
        </is>
      </c>
      <c r="B8554" t="inlineStr">
        <is>
          <t>M3</t>
        </is>
      </c>
      <c r="C8554" t="inlineStr">
        <is>
          <t>Cali</t>
        </is>
      </c>
      <c r="D8554" t="inlineStr">
        <is>
          <t>67</t>
        </is>
      </c>
      <c r="E8554" t="inlineStr">
        <is>
          <t>entradas</t>
        </is>
      </c>
      <c r="F8554" s="23" t="n">
        <v>46274</v>
      </c>
      <c r="G8554" s="24">
        <f>F8554-DATE(2026,8,31)</f>
        <v>9</v>
      </c>
      <c r="H8554" s="25" t="n">
        <v>1548716824</v>
      </c>
      <c r="I8554" t="inlineStr">
        <is>
          <t>entidad-dia</t>
        </is>
      </c>
    </row>
    <row r="8555">
      <c r="A8555" t="inlineStr">
        <is>
          <t>PRAGMA</t>
        </is>
      </c>
      <c r="B8555" t="inlineStr">
        <is>
          <t>M3</t>
        </is>
      </c>
      <c r="C8555" t="inlineStr">
        <is>
          <t>Cali</t>
        </is>
      </c>
      <c r="D8555" t="inlineStr">
        <is>
          <t>67</t>
        </is>
      </c>
      <c r="E8555" t="inlineStr">
        <is>
          <t>salidas</t>
        </is>
      </c>
      <c r="F8555" s="23" t="n">
        <v>46274</v>
      </c>
      <c r="G8555" s="24">
        <f>F8555-DATE(2026,8,31)</f>
        <v>9</v>
      </c>
      <c r="H8555" s="25" t="n">
        <v>748653833</v>
      </c>
      <c r="I8555" t="inlineStr">
        <is>
          <t>entidad-dia</t>
        </is>
      </c>
    </row>
    <row r="8556">
      <c r="A8556" t="inlineStr">
        <is>
          <t>PRAGMA</t>
        </is>
      </c>
      <c r="B8556" t="inlineStr">
        <is>
          <t>M3</t>
        </is>
      </c>
      <c r="C8556" t="inlineStr">
        <is>
          <t>Cali</t>
        </is>
      </c>
      <c r="D8556" t="inlineStr">
        <is>
          <t>67</t>
        </is>
      </c>
      <c r="E8556" t="inlineStr">
        <is>
          <t>entradas</t>
        </is>
      </c>
      <c r="F8556" s="23" t="n">
        <v>46275</v>
      </c>
      <c r="G8556" s="24">
        <f>F8556-DATE(2026,8,31)</f>
        <v>10</v>
      </c>
      <c r="H8556" s="25" t="n">
        <v>1535368709</v>
      </c>
      <c r="I8556" t="inlineStr">
        <is>
          <t>entidad-dia</t>
        </is>
      </c>
    </row>
    <row r="8557">
      <c r="A8557" t="inlineStr">
        <is>
          <t>PRAGMA</t>
        </is>
      </c>
      <c r="B8557" t="inlineStr">
        <is>
          <t>M3</t>
        </is>
      </c>
      <c r="C8557" t="inlineStr">
        <is>
          <t>Cali</t>
        </is>
      </c>
      <c r="D8557" t="inlineStr">
        <is>
          <t>67</t>
        </is>
      </c>
      <c r="E8557" t="inlineStr">
        <is>
          <t>salidas</t>
        </is>
      </c>
      <c r="F8557" s="23" t="n">
        <v>46275</v>
      </c>
      <c r="G8557" s="24">
        <f>F8557-DATE(2026,8,31)</f>
        <v>10</v>
      </c>
      <c r="H8557" s="25" t="n">
        <v>720385037</v>
      </c>
      <c r="I8557" t="inlineStr">
        <is>
          <t>entidad-dia</t>
        </is>
      </c>
    </row>
    <row r="8558">
      <c r="A8558" t="inlineStr">
        <is>
          <t>PRAGMA</t>
        </is>
      </c>
      <c r="B8558" t="inlineStr">
        <is>
          <t>M3</t>
        </is>
      </c>
      <c r="C8558" t="inlineStr">
        <is>
          <t>Cali</t>
        </is>
      </c>
      <c r="D8558" t="inlineStr">
        <is>
          <t>67</t>
        </is>
      </c>
      <c r="E8558" t="inlineStr">
        <is>
          <t>entradas</t>
        </is>
      </c>
      <c r="F8558" s="23" t="n">
        <v>46276</v>
      </c>
      <c r="G8558" s="24">
        <f>F8558-DATE(2026,8,31)</f>
        <v>11</v>
      </c>
      <c r="H8558" s="25" t="n">
        <v>1755569153</v>
      </c>
      <c r="I8558" t="inlineStr">
        <is>
          <t>entidad-dia</t>
        </is>
      </c>
    </row>
    <row r="8559">
      <c r="A8559" t="inlineStr">
        <is>
          <t>PRAGMA</t>
        </is>
      </c>
      <c r="B8559" t="inlineStr">
        <is>
          <t>M3</t>
        </is>
      </c>
      <c r="C8559" t="inlineStr">
        <is>
          <t>Cali</t>
        </is>
      </c>
      <c r="D8559" t="inlineStr">
        <is>
          <t>67</t>
        </is>
      </c>
      <c r="E8559" t="inlineStr">
        <is>
          <t>salidas</t>
        </is>
      </c>
      <c r="F8559" s="23" t="n">
        <v>46276</v>
      </c>
      <c r="G8559" s="24">
        <f>F8559-DATE(2026,8,31)</f>
        <v>11</v>
      </c>
      <c r="H8559" s="25" t="n">
        <v>853506513</v>
      </c>
      <c r="I8559" t="inlineStr">
        <is>
          <t>entidad-dia</t>
        </is>
      </c>
    </row>
    <row r="8560">
      <c r="A8560" t="inlineStr">
        <is>
          <t>PRAGMA</t>
        </is>
      </c>
      <c r="B8560" t="inlineStr">
        <is>
          <t>M3</t>
        </is>
      </c>
      <c r="C8560" t="inlineStr">
        <is>
          <t>Cali</t>
        </is>
      </c>
      <c r="D8560" t="inlineStr">
        <is>
          <t>67</t>
        </is>
      </c>
      <c r="E8560" t="inlineStr">
        <is>
          <t>entradas</t>
        </is>
      </c>
      <c r="F8560" s="23" t="n">
        <v>46277</v>
      </c>
      <c r="G8560" s="24">
        <f>F8560-DATE(2026,8,31)</f>
        <v>12</v>
      </c>
      <c r="H8560" s="25" t="n">
        <v>4268733</v>
      </c>
      <c r="I8560" t="inlineStr">
        <is>
          <t>entidad-dia</t>
        </is>
      </c>
    </row>
    <row r="8561">
      <c r="A8561" t="inlineStr">
        <is>
          <t>PRAGMA</t>
        </is>
      </c>
      <c r="B8561" t="inlineStr">
        <is>
          <t>M3</t>
        </is>
      </c>
      <c r="C8561" t="inlineStr">
        <is>
          <t>Cali</t>
        </is>
      </c>
      <c r="D8561" t="inlineStr">
        <is>
          <t>67</t>
        </is>
      </c>
      <c r="E8561" t="inlineStr">
        <is>
          <t>salidas</t>
        </is>
      </c>
      <c r="F8561" s="23" t="n">
        <v>46277</v>
      </c>
      <c r="G8561" s="24">
        <f>F8561-DATE(2026,8,31)</f>
        <v>12</v>
      </c>
      <c r="H8561" s="25" t="n">
        <v>5607788</v>
      </c>
      <c r="I8561" t="inlineStr">
        <is>
          <t>entidad-dia</t>
        </is>
      </c>
    </row>
    <row r="8562">
      <c r="A8562" t="inlineStr">
        <is>
          <t>PRAGMA</t>
        </is>
      </c>
      <c r="B8562" t="inlineStr">
        <is>
          <t>M3</t>
        </is>
      </c>
      <c r="C8562" t="inlineStr">
        <is>
          <t>Cali</t>
        </is>
      </c>
      <c r="D8562" t="inlineStr">
        <is>
          <t>67</t>
        </is>
      </c>
      <c r="E8562" t="inlineStr">
        <is>
          <t>entradas</t>
        </is>
      </c>
      <c r="F8562" s="23" t="n">
        <v>46278</v>
      </c>
      <c r="G8562" s="24">
        <f>F8562-DATE(2026,8,31)</f>
        <v>13</v>
      </c>
      <c r="H8562" s="25" t="n">
        <v>49582</v>
      </c>
      <c r="I8562" t="inlineStr">
        <is>
          <t>entidad-dia</t>
        </is>
      </c>
    </row>
    <row r="8563">
      <c r="A8563" t="inlineStr">
        <is>
          <t>PRAGMA</t>
        </is>
      </c>
      <c r="B8563" t="inlineStr">
        <is>
          <t>M3</t>
        </is>
      </c>
      <c r="C8563" t="inlineStr">
        <is>
          <t>Cali</t>
        </is>
      </c>
      <c r="D8563" t="inlineStr">
        <is>
          <t>67</t>
        </is>
      </c>
      <c r="E8563" t="inlineStr">
        <is>
          <t>salidas</t>
        </is>
      </c>
      <c r="F8563" s="23" t="n">
        <v>46278</v>
      </c>
      <c r="G8563" s="24">
        <f>F8563-DATE(2026,8,31)</f>
        <v>13</v>
      </c>
      <c r="H8563" s="25" t="n">
        <v>0</v>
      </c>
      <c r="I8563" t="inlineStr">
        <is>
          <t>entidad-dia</t>
        </is>
      </c>
    </row>
    <row r="8564">
      <c r="A8564" t="inlineStr">
        <is>
          <t>PRAGMA</t>
        </is>
      </c>
      <c r="B8564" t="inlineStr">
        <is>
          <t>M3</t>
        </is>
      </c>
      <c r="C8564" t="inlineStr">
        <is>
          <t>Cali</t>
        </is>
      </c>
      <c r="D8564" t="inlineStr">
        <is>
          <t>67</t>
        </is>
      </c>
      <c r="E8564" t="inlineStr">
        <is>
          <t>entradas</t>
        </is>
      </c>
      <c r="F8564" s="23" t="n">
        <v>46279</v>
      </c>
      <c r="G8564" s="24">
        <f>F8564-DATE(2026,8,31)</f>
        <v>14</v>
      </c>
      <c r="H8564" s="25" t="n">
        <v>1559689223</v>
      </c>
      <c r="I8564" t="inlineStr">
        <is>
          <t>entidad-dia</t>
        </is>
      </c>
    </row>
    <row r="8565">
      <c r="A8565" t="inlineStr">
        <is>
          <t>PRAGMA</t>
        </is>
      </c>
      <c r="B8565" t="inlineStr">
        <is>
          <t>M3</t>
        </is>
      </c>
      <c r="C8565" t="inlineStr">
        <is>
          <t>Cali</t>
        </is>
      </c>
      <c r="D8565" t="inlineStr">
        <is>
          <t>67</t>
        </is>
      </c>
      <c r="E8565" t="inlineStr">
        <is>
          <t>salidas</t>
        </is>
      </c>
      <c r="F8565" s="23" t="n">
        <v>46279</v>
      </c>
      <c r="G8565" s="24">
        <f>F8565-DATE(2026,8,31)</f>
        <v>14</v>
      </c>
      <c r="H8565" s="25" t="n">
        <v>692328253</v>
      </c>
      <c r="I8565" t="inlineStr">
        <is>
          <t>entidad-dia</t>
        </is>
      </c>
    </row>
    <row r="8566">
      <c r="A8566" t="inlineStr">
        <is>
          <t>PRAGMA</t>
        </is>
      </c>
      <c r="B8566" t="inlineStr">
        <is>
          <t>M3</t>
        </is>
      </c>
      <c r="C8566" t="inlineStr">
        <is>
          <t>Cali</t>
        </is>
      </c>
      <c r="D8566" t="inlineStr">
        <is>
          <t>67</t>
        </is>
      </c>
      <c r="E8566" t="inlineStr">
        <is>
          <t>entradas</t>
        </is>
      </c>
      <c r="F8566" s="23" t="n">
        <v>46280</v>
      </c>
      <c r="G8566" s="24">
        <f>F8566-DATE(2026,8,31)</f>
        <v>15</v>
      </c>
      <c r="H8566" s="25" t="n">
        <v>1519985874</v>
      </c>
      <c r="I8566" t="inlineStr">
        <is>
          <t>entidad-dia</t>
        </is>
      </c>
    </row>
    <row r="8567">
      <c r="A8567" t="inlineStr">
        <is>
          <t>PRAGMA</t>
        </is>
      </c>
      <c r="B8567" t="inlineStr">
        <is>
          <t>M3</t>
        </is>
      </c>
      <c r="C8567" t="inlineStr">
        <is>
          <t>Cali</t>
        </is>
      </c>
      <c r="D8567" t="inlineStr">
        <is>
          <t>67</t>
        </is>
      </c>
      <c r="E8567" t="inlineStr">
        <is>
          <t>salidas</t>
        </is>
      </c>
      <c r="F8567" s="23" t="n">
        <v>46280</v>
      </c>
      <c r="G8567" s="24">
        <f>F8567-DATE(2026,8,31)</f>
        <v>15</v>
      </c>
      <c r="H8567" s="25" t="n">
        <v>789874420</v>
      </c>
      <c r="I8567" t="inlineStr">
        <is>
          <t>entidad-dia</t>
        </is>
      </c>
    </row>
    <row r="8568">
      <c r="A8568" t="inlineStr">
        <is>
          <t>PRAGMA</t>
        </is>
      </c>
      <c r="B8568" t="inlineStr">
        <is>
          <t>M3</t>
        </is>
      </c>
      <c r="C8568" t="inlineStr">
        <is>
          <t>Cali</t>
        </is>
      </c>
      <c r="D8568" t="inlineStr">
        <is>
          <t>69</t>
        </is>
      </c>
      <c r="E8568" t="inlineStr">
        <is>
          <t>entradas</t>
        </is>
      </c>
      <c r="F8568" s="23" t="n">
        <v>46266</v>
      </c>
      <c r="G8568" s="24">
        <f>F8568-DATE(2026,8,31)</f>
        <v>1</v>
      </c>
      <c r="H8568" s="25" t="n">
        <v>686491509</v>
      </c>
      <c r="I8568" t="inlineStr">
        <is>
          <t>entidad-dia</t>
        </is>
      </c>
    </row>
    <row r="8569">
      <c r="A8569" t="inlineStr">
        <is>
          <t>PRAGMA</t>
        </is>
      </c>
      <c r="B8569" t="inlineStr">
        <is>
          <t>M3</t>
        </is>
      </c>
      <c r="C8569" t="inlineStr">
        <is>
          <t>Cali</t>
        </is>
      </c>
      <c r="D8569" t="inlineStr">
        <is>
          <t>69</t>
        </is>
      </c>
      <c r="E8569" t="inlineStr">
        <is>
          <t>salidas</t>
        </is>
      </c>
      <c r="F8569" s="23" t="n">
        <v>46266</v>
      </c>
      <c r="G8569" s="24">
        <f>F8569-DATE(2026,8,31)</f>
        <v>1</v>
      </c>
      <c r="H8569" s="25" t="n">
        <v>538822539</v>
      </c>
      <c r="I8569" t="inlineStr">
        <is>
          <t>entidad-dia</t>
        </is>
      </c>
    </row>
    <row r="8570">
      <c r="A8570" t="inlineStr">
        <is>
          <t>PRAGMA</t>
        </is>
      </c>
      <c r="B8570" t="inlineStr">
        <is>
          <t>M3</t>
        </is>
      </c>
      <c r="C8570" t="inlineStr">
        <is>
          <t>Cali</t>
        </is>
      </c>
      <c r="D8570" t="inlineStr">
        <is>
          <t>69</t>
        </is>
      </c>
      <c r="E8570" t="inlineStr">
        <is>
          <t>entradas</t>
        </is>
      </c>
      <c r="F8570" s="23" t="n">
        <v>46267</v>
      </c>
      <c r="G8570" s="24">
        <f>F8570-DATE(2026,8,31)</f>
        <v>2</v>
      </c>
      <c r="H8570" s="25" t="n">
        <v>635742462</v>
      </c>
      <c r="I8570" t="inlineStr">
        <is>
          <t>entidad-dia</t>
        </is>
      </c>
    </row>
    <row r="8571">
      <c r="A8571" t="inlineStr">
        <is>
          <t>PRAGMA</t>
        </is>
      </c>
      <c r="B8571" t="inlineStr">
        <is>
          <t>M3</t>
        </is>
      </c>
      <c r="C8571" t="inlineStr">
        <is>
          <t>Cali</t>
        </is>
      </c>
      <c r="D8571" t="inlineStr">
        <is>
          <t>69</t>
        </is>
      </c>
      <c r="E8571" t="inlineStr">
        <is>
          <t>salidas</t>
        </is>
      </c>
      <c r="F8571" s="23" t="n">
        <v>46267</v>
      </c>
      <c r="G8571" s="24">
        <f>F8571-DATE(2026,8,31)</f>
        <v>2</v>
      </c>
      <c r="H8571" s="25" t="n">
        <v>593537950</v>
      </c>
      <c r="I8571" t="inlineStr">
        <is>
          <t>entidad-dia</t>
        </is>
      </c>
    </row>
    <row r="8572">
      <c r="A8572" t="inlineStr">
        <is>
          <t>PRAGMA</t>
        </is>
      </c>
      <c r="B8572" t="inlineStr">
        <is>
          <t>M3</t>
        </is>
      </c>
      <c r="C8572" t="inlineStr">
        <is>
          <t>Cali</t>
        </is>
      </c>
      <c r="D8572" t="inlineStr">
        <is>
          <t>69</t>
        </is>
      </c>
      <c r="E8572" t="inlineStr">
        <is>
          <t>entradas</t>
        </is>
      </c>
      <c r="F8572" s="23" t="n">
        <v>46268</v>
      </c>
      <c r="G8572" s="24">
        <f>F8572-DATE(2026,8,31)</f>
        <v>3</v>
      </c>
      <c r="H8572" s="25" t="n">
        <v>544254849</v>
      </c>
      <c r="I8572" t="inlineStr">
        <is>
          <t>entidad-dia</t>
        </is>
      </c>
    </row>
    <row r="8573">
      <c r="A8573" t="inlineStr">
        <is>
          <t>PRAGMA</t>
        </is>
      </c>
      <c r="B8573" t="inlineStr">
        <is>
          <t>M3</t>
        </is>
      </c>
      <c r="C8573" t="inlineStr">
        <is>
          <t>Cali</t>
        </is>
      </c>
      <c r="D8573" t="inlineStr">
        <is>
          <t>69</t>
        </is>
      </c>
      <c r="E8573" t="inlineStr">
        <is>
          <t>salidas</t>
        </is>
      </c>
      <c r="F8573" s="23" t="n">
        <v>46268</v>
      </c>
      <c r="G8573" s="24">
        <f>F8573-DATE(2026,8,31)</f>
        <v>3</v>
      </c>
      <c r="H8573" s="25" t="n">
        <v>340533777</v>
      </c>
      <c r="I8573" t="inlineStr">
        <is>
          <t>entidad-dia</t>
        </is>
      </c>
    </row>
    <row r="8574">
      <c r="A8574" t="inlineStr">
        <is>
          <t>PRAGMA</t>
        </is>
      </c>
      <c r="B8574" t="inlineStr">
        <is>
          <t>M3</t>
        </is>
      </c>
      <c r="C8574" t="inlineStr">
        <is>
          <t>Cali</t>
        </is>
      </c>
      <c r="D8574" t="inlineStr">
        <is>
          <t>69</t>
        </is>
      </c>
      <c r="E8574" t="inlineStr">
        <is>
          <t>entradas</t>
        </is>
      </c>
      <c r="F8574" s="23" t="n">
        <v>46269</v>
      </c>
      <c r="G8574" s="24">
        <f>F8574-DATE(2026,8,31)</f>
        <v>4</v>
      </c>
      <c r="H8574" s="25" t="n">
        <v>762085292</v>
      </c>
      <c r="I8574" t="inlineStr">
        <is>
          <t>entidad-dia</t>
        </is>
      </c>
    </row>
    <row r="8575">
      <c r="A8575" t="inlineStr">
        <is>
          <t>PRAGMA</t>
        </is>
      </c>
      <c r="B8575" t="inlineStr">
        <is>
          <t>M3</t>
        </is>
      </c>
      <c r="C8575" t="inlineStr">
        <is>
          <t>Cali</t>
        </is>
      </c>
      <c r="D8575" t="inlineStr">
        <is>
          <t>69</t>
        </is>
      </c>
      <c r="E8575" t="inlineStr">
        <is>
          <t>salidas</t>
        </is>
      </c>
      <c r="F8575" s="23" t="n">
        <v>46269</v>
      </c>
      <c r="G8575" s="24">
        <f>F8575-DATE(2026,8,31)</f>
        <v>4</v>
      </c>
      <c r="H8575" s="25" t="n">
        <v>671179241</v>
      </c>
      <c r="I8575" t="inlineStr">
        <is>
          <t>entidad-dia</t>
        </is>
      </c>
    </row>
    <row r="8576">
      <c r="A8576" t="inlineStr">
        <is>
          <t>PRAGMA</t>
        </is>
      </c>
      <c r="B8576" t="inlineStr">
        <is>
          <t>M3</t>
        </is>
      </c>
      <c r="C8576" t="inlineStr">
        <is>
          <t>Cali</t>
        </is>
      </c>
      <c r="D8576" t="inlineStr">
        <is>
          <t>69</t>
        </is>
      </c>
      <c r="E8576" t="inlineStr">
        <is>
          <t>entradas</t>
        </is>
      </c>
      <c r="F8576" s="23" t="n">
        <v>46270</v>
      </c>
      <c r="G8576" s="24">
        <f>F8576-DATE(2026,8,31)</f>
        <v>5</v>
      </c>
      <c r="H8576" s="25" t="n">
        <v>1240345</v>
      </c>
      <c r="I8576" t="inlineStr">
        <is>
          <t>entidad-dia</t>
        </is>
      </c>
    </row>
    <row r="8577">
      <c r="A8577" t="inlineStr">
        <is>
          <t>PRAGMA</t>
        </is>
      </c>
      <c r="B8577" t="inlineStr">
        <is>
          <t>M3</t>
        </is>
      </c>
      <c r="C8577" t="inlineStr">
        <is>
          <t>Cali</t>
        </is>
      </c>
      <c r="D8577" t="inlineStr">
        <is>
          <t>69</t>
        </is>
      </c>
      <c r="E8577" t="inlineStr">
        <is>
          <t>salidas</t>
        </is>
      </c>
      <c r="F8577" s="23" t="n">
        <v>46270</v>
      </c>
      <c r="G8577" s="24">
        <f>F8577-DATE(2026,8,31)</f>
        <v>5</v>
      </c>
      <c r="H8577" s="25" t="n">
        <v>2539116</v>
      </c>
      <c r="I8577" t="inlineStr">
        <is>
          <t>entidad-dia</t>
        </is>
      </c>
    </row>
    <row r="8578">
      <c r="A8578" t="inlineStr">
        <is>
          <t>PRAGMA</t>
        </is>
      </c>
      <c r="B8578" t="inlineStr">
        <is>
          <t>M3</t>
        </is>
      </c>
      <c r="C8578" t="inlineStr">
        <is>
          <t>Cali</t>
        </is>
      </c>
      <c r="D8578" t="inlineStr">
        <is>
          <t>69</t>
        </is>
      </c>
      <c r="E8578" t="inlineStr">
        <is>
          <t>entradas</t>
        </is>
      </c>
      <c r="F8578" s="23" t="n">
        <v>46271</v>
      </c>
      <c r="G8578" s="24">
        <f>F8578-DATE(2026,8,31)</f>
        <v>6</v>
      </c>
      <c r="H8578" s="25" t="n">
        <v>193114</v>
      </c>
      <c r="I8578" t="inlineStr">
        <is>
          <t>entidad-dia</t>
        </is>
      </c>
    </row>
    <row r="8579">
      <c r="A8579" t="inlineStr">
        <is>
          <t>PRAGMA</t>
        </is>
      </c>
      <c r="B8579" t="inlineStr">
        <is>
          <t>M3</t>
        </is>
      </c>
      <c r="C8579" t="inlineStr">
        <is>
          <t>Cali</t>
        </is>
      </c>
      <c r="D8579" t="inlineStr">
        <is>
          <t>69</t>
        </is>
      </c>
      <c r="E8579" t="inlineStr">
        <is>
          <t>salidas</t>
        </is>
      </c>
      <c r="F8579" s="23" t="n">
        <v>46271</v>
      </c>
      <c r="G8579" s="24">
        <f>F8579-DATE(2026,8,31)</f>
        <v>6</v>
      </c>
      <c r="H8579" s="25" t="n">
        <v>0</v>
      </c>
      <c r="I8579" t="inlineStr">
        <is>
          <t>entidad-dia</t>
        </is>
      </c>
    </row>
    <row r="8580">
      <c r="A8580" t="inlineStr">
        <is>
          <t>PRAGMA</t>
        </is>
      </c>
      <c r="B8580" t="inlineStr">
        <is>
          <t>M3</t>
        </is>
      </c>
      <c r="C8580" t="inlineStr">
        <is>
          <t>Cali</t>
        </is>
      </c>
      <c r="D8580" t="inlineStr">
        <is>
          <t>69</t>
        </is>
      </c>
      <c r="E8580" t="inlineStr">
        <is>
          <t>entradas</t>
        </is>
      </c>
      <c r="F8580" s="23" t="n">
        <v>46272</v>
      </c>
      <c r="G8580" s="24">
        <f>F8580-DATE(2026,8,31)</f>
        <v>7</v>
      </c>
      <c r="H8580" s="25" t="n">
        <v>583416646</v>
      </c>
      <c r="I8580" t="inlineStr">
        <is>
          <t>entidad-dia</t>
        </is>
      </c>
    </row>
    <row r="8581">
      <c r="A8581" t="inlineStr">
        <is>
          <t>PRAGMA</t>
        </is>
      </c>
      <c r="B8581" t="inlineStr">
        <is>
          <t>M3</t>
        </is>
      </c>
      <c r="C8581" t="inlineStr">
        <is>
          <t>Cali</t>
        </is>
      </c>
      <c r="D8581" t="inlineStr">
        <is>
          <t>69</t>
        </is>
      </c>
      <c r="E8581" t="inlineStr">
        <is>
          <t>salidas</t>
        </is>
      </c>
      <c r="F8581" s="23" t="n">
        <v>46272</v>
      </c>
      <c r="G8581" s="24">
        <f>F8581-DATE(2026,8,31)</f>
        <v>7</v>
      </c>
      <c r="H8581" s="25" t="n">
        <v>456804712</v>
      </c>
      <c r="I8581" t="inlineStr">
        <is>
          <t>entidad-dia</t>
        </is>
      </c>
    </row>
    <row r="8582">
      <c r="A8582" t="inlineStr">
        <is>
          <t>PRAGMA</t>
        </is>
      </c>
      <c r="B8582" t="inlineStr">
        <is>
          <t>M3</t>
        </is>
      </c>
      <c r="C8582" t="inlineStr">
        <is>
          <t>Cali</t>
        </is>
      </c>
      <c r="D8582" t="inlineStr">
        <is>
          <t>69</t>
        </is>
      </c>
      <c r="E8582" t="inlineStr">
        <is>
          <t>entradas</t>
        </is>
      </c>
      <c r="F8582" s="23" t="n">
        <v>46273</v>
      </c>
      <c r="G8582" s="24">
        <f>F8582-DATE(2026,8,31)</f>
        <v>8</v>
      </c>
      <c r="H8582" s="25" t="n">
        <v>650774670</v>
      </c>
      <c r="I8582" t="inlineStr">
        <is>
          <t>entidad-dia</t>
        </is>
      </c>
    </row>
    <row r="8583">
      <c r="A8583" t="inlineStr">
        <is>
          <t>PRAGMA</t>
        </is>
      </c>
      <c r="B8583" t="inlineStr">
        <is>
          <t>M3</t>
        </is>
      </c>
      <c r="C8583" t="inlineStr">
        <is>
          <t>Cali</t>
        </is>
      </c>
      <c r="D8583" t="inlineStr">
        <is>
          <t>69</t>
        </is>
      </c>
      <c r="E8583" t="inlineStr">
        <is>
          <t>salidas</t>
        </is>
      </c>
      <c r="F8583" s="23" t="n">
        <v>46273</v>
      </c>
      <c r="G8583" s="24">
        <f>F8583-DATE(2026,8,31)</f>
        <v>8</v>
      </c>
      <c r="H8583" s="25" t="n">
        <v>492955251</v>
      </c>
      <c r="I8583" t="inlineStr">
        <is>
          <t>entidad-dia</t>
        </is>
      </c>
    </row>
    <row r="8584">
      <c r="A8584" t="inlineStr">
        <is>
          <t>PRAGMA</t>
        </is>
      </c>
      <c r="B8584" t="inlineStr">
        <is>
          <t>M3</t>
        </is>
      </c>
      <c r="C8584" t="inlineStr">
        <is>
          <t>Cali</t>
        </is>
      </c>
      <c r="D8584" t="inlineStr">
        <is>
          <t>69</t>
        </is>
      </c>
      <c r="E8584" t="inlineStr">
        <is>
          <t>entradas</t>
        </is>
      </c>
      <c r="F8584" s="23" t="n">
        <v>46274</v>
      </c>
      <c r="G8584" s="24">
        <f>F8584-DATE(2026,8,31)</f>
        <v>9</v>
      </c>
      <c r="H8584" s="25" t="n">
        <v>621569461</v>
      </c>
      <c r="I8584" t="inlineStr">
        <is>
          <t>entidad-dia</t>
        </is>
      </c>
    </row>
    <row r="8585">
      <c r="A8585" t="inlineStr">
        <is>
          <t>PRAGMA</t>
        </is>
      </c>
      <c r="B8585" t="inlineStr">
        <is>
          <t>M3</t>
        </is>
      </c>
      <c r="C8585" t="inlineStr">
        <is>
          <t>Cali</t>
        </is>
      </c>
      <c r="D8585" t="inlineStr">
        <is>
          <t>69</t>
        </is>
      </c>
      <c r="E8585" t="inlineStr">
        <is>
          <t>salidas</t>
        </is>
      </c>
      <c r="F8585" s="23" t="n">
        <v>46274</v>
      </c>
      <c r="G8585" s="24">
        <f>F8585-DATE(2026,8,31)</f>
        <v>9</v>
      </c>
      <c r="H8585" s="25" t="n">
        <v>537707481</v>
      </c>
      <c r="I8585" t="inlineStr">
        <is>
          <t>entidad-dia</t>
        </is>
      </c>
    </row>
    <row r="8586">
      <c r="A8586" t="inlineStr">
        <is>
          <t>PRAGMA</t>
        </is>
      </c>
      <c r="B8586" t="inlineStr">
        <is>
          <t>M3</t>
        </is>
      </c>
      <c r="C8586" t="inlineStr">
        <is>
          <t>Cali</t>
        </is>
      </c>
      <c r="D8586" t="inlineStr">
        <is>
          <t>69</t>
        </is>
      </c>
      <c r="E8586" t="inlineStr">
        <is>
          <t>entradas</t>
        </is>
      </c>
      <c r="F8586" s="23" t="n">
        <v>46275</v>
      </c>
      <c r="G8586" s="24">
        <f>F8586-DATE(2026,8,31)</f>
        <v>10</v>
      </c>
      <c r="H8586" s="25" t="n">
        <v>549588085</v>
      </c>
      <c r="I8586" t="inlineStr">
        <is>
          <t>entidad-dia</t>
        </is>
      </c>
    </row>
    <row r="8587">
      <c r="A8587" t="inlineStr">
        <is>
          <t>PRAGMA</t>
        </is>
      </c>
      <c r="B8587" t="inlineStr">
        <is>
          <t>M3</t>
        </is>
      </c>
      <c r="C8587" t="inlineStr">
        <is>
          <t>Cali</t>
        </is>
      </c>
      <c r="D8587" t="inlineStr">
        <is>
          <t>69</t>
        </is>
      </c>
      <c r="E8587" t="inlineStr">
        <is>
          <t>salidas</t>
        </is>
      </c>
      <c r="F8587" s="23" t="n">
        <v>46275</v>
      </c>
      <c r="G8587" s="24">
        <f>F8587-DATE(2026,8,31)</f>
        <v>10</v>
      </c>
      <c r="H8587" s="25" t="n">
        <v>482072857</v>
      </c>
      <c r="I8587" t="inlineStr">
        <is>
          <t>entidad-dia</t>
        </is>
      </c>
    </row>
    <row r="8588">
      <c r="A8588" t="inlineStr">
        <is>
          <t>PRAGMA</t>
        </is>
      </c>
      <c r="B8588" t="inlineStr">
        <is>
          <t>M3</t>
        </is>
      </c>
      <c r="C8588" t="inlineStr">
        <is>
          <t>Cali</t>
        </is>
      </c>
      <c r="D8588" t="inlineStr">
        <is>
          <t>69</t>
        </is>
      </c>
      <c r="E8588" t="inlineStr">
        <is>
          <t>entradas</t>
        </is>
      </c>
      <c r="F8588" s="23" t="n">
        <v>46276</v>
      </c>
      <c r="G8588" s="24">
        <f>F8588-DATE(2026,8,31)</f>
        <v>11</v>
      </c>
      <c r="H8588" s="25" t="n">
        <v>761668604</v>
      </c>
      <c r="I8588" t="inlineStr">
        <is>
          <t>entidad-dia</t>
        </is>
      </c>
    </row>
    <row r="8589">
      <c r="A8589" t="inlineStr">
        <is>
          <t>PRAGMA</t>
        </is>
      </c>
      <c r="B8589" t="inlineStr">
        <is>
          <t>M3</t>
        </is>
      </c>
      <c r="C8589" t="inlineStr">
        <is>
          <t>Cali</t>
        </is>
      </c>
      <c r="D8589" t="inlineStr">
        <is>
          <t>69</t>
        </is>
      </c>
      <c r="E8589" t="inlineStr">
        <is>
          <t>salidas</t>
        </is>
      </c>
      <c r="F8589" s="23" t="n">
        <v>46276</v>
      </c>
      <c r="G8589" s="24">
        <f>F8589-DATE(2026,8,31)</f>
        <v>11</v>
      </c>
      <c r="H8589" s="25" t="n">
        <v>616158666</v>
      </c>
      <c r="I8589" t="inlineStr">
        <is>
          <t>entidad-dia</t>
        </is>
      </c>
    </row>
    <row r="8590">
      <c r="A8590" t="inlineStr">
        <is>
          <t>PRAGMA</t>
        </is>
      </c>
      <c r="B8590" t="inlineStr">
        <is>
          <t>M3</t>
        </is>
      </c>
      <c r="C8590" t="inlineStr">
        <is>
          <t>Cali</t>
        </is>
      </c>
      <c r="D8590" t="inlineStr">
        <is>
          <t>69</t>
        </is>
      </c>
      <c r="E8590" t="inlineStr">
        <is>
          <t>entradas</t>
        </is>
      </c>
      <c r="F8590" s="23" t="n">
        <v>46277</v>
      </c>
      <c r="G8590" s="24">
        <f>F8590-DATE(2026,8,31)</f>
        <v>12</v>
      </c>
      <c r="H8590" s="25" t="n">
        <v>950743</v>
      </c>
      <c r="I8590" t="inlineStr">
        <is>
          <t>entidad-dia</t>
        </is>
      </c>
    </row>
    <row r="8591">
      <c r="A8591" t="inlineStr">
        <is>
          <t>PRAGMA</t>
        </is>
      </c>
      <c r="B8591" t="inlineStr">
        <is>
          <t>M3</t>
        </is>
      </c>
      <c r="C8591" t="inlineStr">
        <is>
          <t>Cali</t>
        </is>
      </c>
      <c r="D8591" t="inlineStr">
        <is>
          <t>69</t>
        </is>
      </c>
      <c r="E8591" t="inlineStr">
        <is>
          <t>salidas</t>
        </is>
      </c>
      <c r="F8591" s="23" t="n">
        <v>46277</v>
      </c>
      <c r="G8591" s="24">
        <f>F8591-DATE(2026,8,31)</f>
        <v>12</v>
      </c>
      <c r="H8591" s="25" t="n">
        <v>3709768</v>
      </c>
      <c r="I8591" t="inlineStr">
        <is>
          <t>entidad-dia</t>
        </is>
      </c>
    </row>
    <row r="8592">
      <c r="A8592" t="inlineStr">
        <is>
          <t>PRAGMA</t>
        </is>
      </c>
      <c r="B8592" t="inlineStr">
        <is>
          <t>M3</t>
        </is>
      </c>
      <c r="C8592" t="inlineStr">
        <is>
          <t>Cali</t>
        </is>
      </c>
      <c r="D8592" t="inlineStr">
        <is>
          <t>69</t>
        </is>
      </c>
      <c r="E8592" t="inlineStr">
        <is>
          <t>entradas</t>
        </is>
      </c>
      <c r="F8592" s="23" t="n">
        <v>46278</v>
      </c>
      <c r="G8592" s="24">
        <f>F8592-DATE(2026,8,31)</f>
        <v>13</v>
      </c>
      <c r="H8592" s="25" t="n">
        <v>82323</v>
      </c>
      <c r="I8592" t="inlineStr">
        <is>
          <t>entidad-dia</t>
        </is>
      </c>
    </row>
    <row r="8593">
      <c r="A8593" t="inlineStr">
        <is>
          <t>PRAGMA</t>
        </is>
      </c>
      <c r="B8593" t="inlineStr">
        <is>
          <t>M3</t>
        </is>
      </c>
      <c r="C8593" t="inlineStr">
        <is>
          <t>Cali</t>
        </is>
      </c>
      <c r="D8593" t="inlineStr">
        <is>
          <t>69</t>
        </is>
      </c>
      <c r="E8593" t="inlineStr">
        <is>
          <t>salidas</t>
        </is>
      </c>
      <c r="F8593" s="23" t="n">
        <v>46278</v>
      </c>
      <c r="G8593" s="24">
        <f>F8593-DATE(2026,8,31)</f>
        <v>13</v>
      </c>
      <c r="H8593" s="25" t="n">
        <v>0</v>
      </c>
      <c r="I8593" t="inlineStr">
        <is>
          <t>entidad-dia</t>
        </is>
      </c>
    </row>
    <row r="8594">
      <c r="A8594" t="inlineStr">
        <is>
          <t>PRAGMA</t>
        </is>
      </c>
      <c r="B8594" t="inlineStr">
        <is>
          <t>M3</t>
        </is>
      </c>
      <c r="C8594" t="inlineStr">
        <is>
          <t>Cali</t>
        </is>
      </c>
      <c r="D8594" t="inlineStr">
        <is>
          <t>69</t>
        </is>
      </c>
      <c r="E8594" t="inlineStr">
        <is>
          <t>entradas</t>
        </is>
      </c>
      <c r="F8594" s="23" t="n">
        <v>46279</v>
      </c>
      <c r="G8594" s="24">
        <f>F8594-DATE(2026,8,31)</f>
        <v>14</v>
      </c>
      <c r="H8594" s="25" t="n">
        <v>633574352</v>
      </c>
      <c r="I8594" t="inlineStr">
        <is>
          <t>entidad-dia</t>
        </is>
      </c>
    </row>
    <row r="8595">
      <c r="A8595" t="inlineStr">
        <is>
          <t>PRAGMA</t>
        </is>
      </c>
      <c r="B8595" t="inlineStr">
        <is>
          <t>M3</t>
        </is>
      </c>
      <c r="C8595" t="inlineStr">
        <is>
          <t>Cali</t>
        </is>
      </c>
      <c r="D8595" t="inlineStr">
        <is>
          <t>69</t>
        </is>
      </c>
      <c r="E8595" t="inlineStr">
        <is>
          <t>salidas</t>
        </is>
      </c>
      <c r="F8595" s="23" t="n">
        <v>46279</v>
      </c>
      <c r="G8595" s="24">
        <f>F8595-DATE(2026,8,31)</f>
        <v>14</v>
      </c>
      <c r="H8595" s="25" t="n">
        <v>468290672</v>
      </c>
      <c r="I8595" t="inlineStr">
        <is>
          <t>entidad-dia</t>
        </is>
      </c>
    </row>
    <row r="8596">
      <c r="A8596" t="inlineStr">
        <is>
          <t>PRAGMA</t>
        </is>
      </c>
      <c r="B8596" t="inlineStr">
        <is>
          <t>M3</t>
        </is>
      </c>
      <c r="C8596" t="inlineStr">
        <is>
          <t>Cali</t>
        </is>
      </c>
      <c r="D8596" t="inlineStr">
        <is>
          <t>69</t>
        </is>
      </c>
      <c r="E8596" t="inlineStr">
        <is>
          <t>entradas</t>
        </is>
      </c>
      <c r="F8596" s="23" t="n">
        <v>46280</v>
      </c>
      <c r="G8596" s="24">
        <f>F8596-DATE(2026,8,31)</f>
        <v>15</v>
      </c>
      <c r="H8596" s="25" t="n">
        <v>652264468</v>
      </c>
      <c r="I8596" t="inlineStr">
        <is>
          <t>entidad-dia</t>
        </is>
      </c>
    </row>
    <row r="8597">
      <c r="A8597" t="inlineStr">
        <is>
          <t>PRAGMA</t>
        </is>
      </c>
      <c r="B8597" t="inlineStr">
        <is>
          <t>M3</t>
        </is>
      </c>
      <c r="C8597" t="inlineStr">
        <is>
          <t>Cali</t>
        </is>
      </c>
      <c r="D8597" t="inlineStr">
        <is>
          <t>69</t>
        </is>
      </c>
      <c r="E8597" t="inlineStr">
        <is>
          <t>salidas</t>
        </is>
      </c>
      <c r="F8597" s="23" t="n">
        <v>46280</v>
      </c>
      <c r="G8597" s="24">
        <f>F8597-DATE(2026,8,31)</f>
        <v>15</v>
      </c>
      <c r="H8597" s="25" t="n">
        <v>510236110</v>
      </c>
      <c r="I8597" t="inlineStr">
        <is>
          <t>entidad-dia</t>
        </is>
      </c>
    </row>
    <row r="8598">
      <c r="A8598" t="inlineStr">
        <is>
          <t>PRAGMA</t>
        </is>
      </c>
      <c r="B8598" t="inlineStr">
        <is>
          <t>M3</t>
        </is>
      </c>
      <c r="C8598" t="inlineStr">
        <is>
          <t>Cali</t>
        </is>
      </c>
      <c r="D8598" t="inlineStr">
        <is>
          <t>70</t>
        </is>
      </c>
      <c r="E8598" t="inlineStr">
        <is>
          <t>entradas</t>
        </is>
      </c>
      <c r="F8598" s="23" t="n">
        <v>46266</v>
      </c>
      <c r="G8598" s="24">
        <f>F8598-DATE(2026,8,31)</f>
        <v>1</v>
      </c>
      <c r="H8598" s="25" t="n">
        <v>1682266451</v>
      </c>
      <c r="I8598" t="inlineStr">
        <is>
          <t>entidad-dia</t>
        </is>
      </c>
    </row>
    <row r="8599">
      <c r="A8599" t="inlineStr">
        <is>
          <t>PRAGMA</t>
        </is>
      </c>
      <c r="B8599" t="inlineStr">
        <is>
          <t>M3</t>
        </is>
      </c>
      <c r="C8599" t="inlineStr">
        <is>
          <t>Cali</t>
        </is>
      </c>
      <c r="D8599" t="inlineStr">
        <is>
          <t>70</t>
        </is>
      </c>
      <c r="E8599" t="inlineStr">
        <is>
          <t>salidas</t>
        </is>
      </c>
      <c r="F8599" s="23" t="n">
        <v>46266</v>
      </c>
      <c r="G8599" s="24">
        <f>F8599-DATE(2026,8,31)</f>
        <v>1</v>
      </c>
      <c r="H8599" s="25" t="n">
        <v>539851560</v>
      </c>
      <c r="I8599" t="inlineStr">
        <is>
          <t>entidad-dia</t>
        </is>
      </c>
    </row>
    <row r="8600">
      <c r="A8600" t="inlineStr">
        <is>
          <t>PRAGMA</t>
        </is>
      </c>
      <c r="B8600" t="inlineStr">
        <is>
          <t>M3</t>
        </is>
      </c>
      <c r="C8600" t="inlineStr">
        <is>
          <t>Cali</t>
        </is>
      </c>
      <c r="D8600" t="inlineStr">
        <is>
          <t>70</t>
        </is>
      </c>
      <c r="E8600" t="inlineStr">
        <is>
          <t>entradas</t>
        </is>
      </c>
      <c r="F8600" s="23" t="n">
        <v>46267</v>
      </c>
      <c r="G8600" s="24">
        <f>F8600-DATE(2026,8,31)</f>
        <v>2</v>
      </c>
      <c r="H8600" s="25" t="n">
        <v>1729135424</v>
      </c>
      <c r="I8600" t="inlineStr">
        <is>
          <t>entidad-dia</t>
        </is>
      </c>
    </row>
    <row r="8601">
      <c r="A8601" t="inlineStr">
        <is>
          <t>PRAGMA</t>
        </is>
      </c>
      <c r="B8601" t="inlineStr">
        <is>
          <t>M3</t>
        </is>
      </c>
      <c r="C8601" t="inlineStr">
        <is>
          <t>Cali</t>
        </is>
      </c>
      <c r="D8601" t="inlineStr">
        <is>
          <t>70</t>
        </is>
      </c>
      <c r="E8601" t="inlineStr">
        <is>
          <t>salidas</t>
        </is>
      </c>
      <c r="F8601" s="23" t="n">
        <v>46267</v>
      </c>
      <c r="G8601" s="24">
        <f>F8601-DATE(2026,8,31)</f>
        <v>2</v>
      </c>
      <c r="H8601" s="25" t="n">
        <v>673160037</v>
      </c>
      <c r="I8601" t="inlineStr">
        <is>
          <t>entidad-dia</t>
        </is>
      </c>
    </row>
    <row r="8602">
      <c r="A8602" t="inlineStr">
        <is>
          <t>PRAGMA</t>
        </is>
      </c>
      <c r="B8602" t="inlineStr">
        <is>
          <t>M3</t>
        </is>
      </c>
      <c r="C8602" t="inlineStr">
        <is>
          <t>Cali</t>
        </is>
      </c>
      <c r="D8602" t="inlineStr">
        <is>
          <t>70</t>
        </is>
      </c>
      <c r="E8602" t="inlineStr">
        <is>
          <t>entradas</t>
        </is>
      </c>
      <c r="F8602" s="23" t="n">
        <v>46268</v>
      </c>
      <c r="G8602" s="24">
        <f>F8602-DATE(2026,8,31)</f>
        <v>3</v>
      </c>
      <c r="H8602" s="25" t="n">
        <v>1460201705</v>
      </c>
      <c r="I8602" t="inlineStr">
        <is>
          <t>entidad-dia</t>
        </is>
      </c>
    </row>
    <row r="8603">
      <c r="A8603" t="inlineStr">
        <is>
          <t>PRAGMA</t>
        </is>
      </c>
      <c r="B8603" t="inlineStr">
        <is>
          <t>M3</t>
        </is>
      </c>
      <c r="C8603" t="inlineStr">
        <is>
          <t>Cali</t>
        </is>
      </c>
      <c r="D8603" t="inlineStr">
        <is>
          <t>70</t>
        </is>
      </c>
      <c r="E8603" t="inlineStr">
        <is>
          <t>salidas</t>
        </is>
      </c>
      <c r="F8603" s="23" t="n">
        <v>46268</v>
      </c>
      <c r="G8603" s="24">
        <f>F8603-DATE(2026,8,31)</f>
        <v>3</v>
      </c>
      <c r="H8603" s="25" t="n">
        <v>456862776</v>
      </c>
      <c r="I8603" t="inlineStr">
        <is>
          <t>entidad-dia</t>
        </is>
      </c>
    </row>
    <row r="8604">
      <c r="A8604" t="inlineStr">
        <is>
          <t>PRAGMA</t>
        </is>
      </c>
      <c r="B8604" t="inlineStr">
        <is>
          <t>M3</t>
        </is>
      </c>
      <c r="C8604" t="inlineStr">
        <is>
          <t>Cali</t>
        </is>
      </c>
      <c r="D8604" t="inlineStr">
        <is>
          <t>70</t>
        </is>
      </c>
      <c r="E8604" t="inlineStr">
        <is>
          <t>entradas</t>
        </is>
      </c>
      <c r="F8604" s="23" t="n">
        <v>46269</v>
      </c>
      <c r="G8604" s="24">
        <f>F8604-DATE(2026,8,31)</f>
        <v>4</v>
      </c>
      <c r="H8604" s="25" t="n">
        <v>1561609349</v>
      </c>
      <c r="I8604" t="inlineStr">
        <is>
          <t>entidad-dia</t>
        </is>
      </c>
    </row>
    <row r="8605">
      <c r="A8605" t="inlineStr">
        <is>
          <t>PRAGMA</t>
        </is>
      </c>
      <c r="B8605" t="inlineStr">
        <is>
          <t>M3</t>
        </is>
      </c>
      <c r="C8605" t="inlineStr">
        <is>
          <t>Cali</t>
        </is>
      </c>
      <c r="D8605" t="inlineStr">
        <is>
          <t>70</t>
        </is>
      </c>
      <c r="E8605" t="inlineStr">
        <is>
          <t>salidas</t>
        </is>
      </c>
      <c r="F8605" s="23" t="n">
        <v>46269</v>
      </c>
      <c r="G8605" s="24">
        <f>F8605-DATE(2026,8,31)</f>
        <v>4</v>
      </c>
      <c r="H8605" s="25" t="n">
        <v>764637343</v>
      </c>
      <c r="I8605" t="inlineStr">
        <is>
          <t>entidad-dia</t>
        </is>
      </c>
    </row>
    <row r="8606">
      <c r="A8606" t="inlineStr">
        <is>
          <t>PRAGMA</t>
        </is>
      </c>
      <c r="B8606" t="inlineStr">
        <is>
          <t>M3</t>
        </is>
      </c>
      <c r="C8606" t="inlineStr">
        <is>
          <t>Cali</t>
        </is>
      </c>
      <c r="D8606" t="inlineStr">
        <is>
          <t>70</t>
        </is>
      </c>
      <c r="E8606" t="inlineStr">
        <is>
          <t>entradas</t>
        </is>
      </c>
      <c r="F8606" s="23" t="n">
        <v>46270</v>
      </c>
      <c r="G8606" s="24">
        <f>F8606-DATE(2026,8,31)</f>
        <v>5</v>
      </c>
      <c r="H8606" s="25" t="n">
        <v>3040929</v>
      </c>
      <c r="I8606" t="inlineStr">
        <is>
          <t>entidad-dia</t>
        </is>
      </c>
    </row>
    <row r="8607">
      <c r="A8607" t="inlineStr">
        <is>
          <t>PRAGMA</t>
        </is>
      </c>
      <c r="B8607" t="inlineStr">
        <is>
          <t>M3</t>
        </is>
      </c>
      <c r="C8607" t="inlineStr">
        <is>
          <t>Cali</t>
        </is>
      </c>
      <c r="D8607" t="inlineStr">
        <is>
          <t>70</t>
        </is>
      </c>
      <c r="E8607" t="inlineStr">
        <is>
          <t>salidas</t>
        </is>
      </c>
      <c r="F8607" s="23" t="n">
        <v>46270</v>
      </c>
      <c r="G8607" s="24">
        <f>F8607-DATE(2026,8,31)</f>
        <v>5</v>
      </c>
      <c r="H8607" s="25" t="n">
        <v>0</v>
      </c>
      <c r="I8607" t="inlineStr">
        <is>
          <t>entidad-dia</t>
        </is>
      </c>
    </row>
    <row r="8608">
      <c r="A8608" t="inlineStr">
        <is>
          <t>PRAGMA</t>
        </is>
      </c>
      <c r="B8608" t="inlineStr">
        <is>
          <t>M3</t>
        </is>
      </c>
      <c r="C8608" t="inlineStr">
        <is>
          <t>Cali</t>
        </is>
      </c>
      <c r="D8608" t="inlineStr">
        <is>
          <t>70</t>
        </is>
      </c>
      <c r="E8608" t="inlineStr">
        <is>
          <t>entradas</t>
        </is>
      </c>
      <c r="F8608" s="23" t="n">
        <v>46271</v>
      </c>
      <c r="G8608" s="24">
        <f>F8608-DATE(2026,8,31)</f>
        <v>6</v>
      </c>
      <c r="H8608" s="25" t="n">
        <v>1476244</v>
      </c>
      <c r="I8608" t="inlineStr">
        <is>
          <t>entidad-dia</t>
        </is>
      </c>
    </row>
    <row r="8609">
      <c r="A8609" t="inlineStr">
        <is>
          <t>PRAGMA</t>
        </is>
      </c>
      <c r="B8609" t="inlineStr">
        <is>
          <t>M3</t>
        </is>
      </c>
      <c r="C8609" t="inlineStr">
        <is>
          <t>Cali</t>
        </is>
      </c>
      <c r="D8609" t="inlineStr">
        <is>
          <t>70</t>
        </is>
      </c>
      <c r="E8609" t="inlineStr">
        <is>
          <t>salidas</t>
        </is>
      </c>
      <c r="F8609" s="23" t="n">
        <v>46271</v>
      </c>
      <c r="G8609" s="24">
        <f>F8609-DATE(2026,8,31)</f>
        <v>6</v>
      </c>
      <c r="H8609" s="25" t="n">
        <v>0</v>
      </c>
      <c r="I8609" t="inlineStr">
        <is>
          <t>entidad-dia</t>
        </is>
      </c>
    </row>
    <row r="8610">
      <c r="A8610" t="inlineStr">
        <is>
          <t>PRAGMA</t>
        </is>
      </c>
      <c r="B8610" t="inlineStr">
        <is>
          <t>M3</t>
        </is>
      </c>
      <c r="C8610" t="inlineStr">
        <is>
          <t>Cali</t>
        </is>
      </c>
      <c r="D8610" t="inlineStr">
        <is>
          <t>70</t>
        </is>
      </c>
      <c r="E8610" t="inlineStr">
        <is>
          <t>entradas</t>
        </is>
      </c>
      <c r="F8610" s="23" t="n">
        <v>46272</v>
      </c>
      <c r="G8610" s="24">
        <f>F8610-DATE(2026,8,31)</f>
        <v>7</v>
      </c>
      <c r="H8610" s="25" t="n">
        <v>1563912047</v>
      </c>
      <c r="I8610" t="inlineStr">
        <is>
          <t>entidad-dia</t>
        </is>
      </c>
    </row>
    <row r="8611">
      <c r="A8611" t="inlineStr">
        <is>
          <t>PRAGMA</t>
        </is>
      </c>
      <c r="B8611" t="inlineStr">
        <is>
          <t>M3</t>
        </is>
      </c>
      <c r="C8611" t="inlineStr">
        <is>
          <t>Cali</t>
        </is>
      </c>
      <c r="D8611" t="inlineStr">
        <is>
          <t>70</t>
        </is>
      </c>
      <c r="E8611" t="inlineStr">
        <is>
          <t>salidas</t>
        </is>
      </c>
      <c r="F8611" s="23" t="n">
        <v>46272</v>
      </c>
      <c r="G8611" s="24">
        <f>F8611-DATE(2026,8,31)</f>
        <v>7</v>
      </c>
      <c r="H8611" s="25" t="n">
        <v>355290881</v>
      </c>
      <c r="I8611" t="inlineStr">
        <is>
          <t>entidad-dia</t>
        </is>
      </c>
    </row>
    <row r="8612">
      <c r="A8612" t="inlineStr">
        <is>
          <t>PRAGMA</t>
        </is>
      </c>
      <c r="B8612" t="inlineStr">
        <is>
          <t>M3</t>
        </is>
      </c>
      <c r="C8612" t="inlineStr">
        <is>
          <t>Cali</t>
        </is>
      </c>
      <c r="D8612" t="inlineStr">
        <is>
          <t>70</t>
        </is>
      </c>
      <c r="E8612" t="inlineStr">
        <is>
          <t>entradas</t>
        </is>
      </c>
      <c r="F8612" s="23" t="n">
        <v>46273</v>
      </c>
      <c r="G8612" s="24">
        <f>F8612-DATE(2026,8,31)</f>
        <v>8</v>
      </c>
      <c r="H8612" s="25" t="n">
        <v>1750449544</v>
      </c>
      <c r="I8612" t="inlineStr">
        <is>
          <t>entidad-dia</t>
        </is>
      </c>
    </row>
    <row r="8613">
      <c r="A8613" t="inlineStr">
        <is>
          <t>PRAGMA</t>
        </is>
      </c>
      <c r="B8613" t="inlineStr">
        <is>
          <t>M3</t>
        </is>
      </c>
      <c r="C8613" t="inlineStr">
        <is>
          <t>Cali</t>
        </is>
      </c>
      <c r="D8613" t="inlineStr">
        <is>
          <t>70</t>
        </is>
      </c>
      <c r="E8613" t="inlineStr">
        <is>
          <t>salidas</t>
        </is>
      </c>
      <c r="F8613" s="23" t="n">
        <v>46273</v>
      </c>
      <c r="G8613" s="24">
        <f>F8613-DATE(2026,8,31)</f>
        <v>8</v>
      </c>
      <c r="H8613" s="25" t="n">
        <v>493823838</v>
      </c>
      <c r="I8613" t="inlineStr">
        <is>
          <t>entidad-dia</t>
        </is>
      </c>
    </row>
    <row r="8614">
      <c r="A8614" t="inlineStr">
        <is>
          <t>PRAGMA</t>
        </is>
      </c>
      <c r="B8614" t="inlineStr">
        <is>
          <t>M3</t>
        </is>
      </c>
      <c r="C8614" t="inlineStr">
        <is>
          <t>Cali</t>
        </is>
      </c>
      <c r="D8614" t="inlineStr">
        <is>
          <t>70</t>
        </is>
      </c>
      <c r="E8614" t="inlineStr">
        <is>
          <t>entradas</t>
        </is>
      </c>
      <c r="F8614" s="23" t="n">
        <v>46274</v>
      </c>
      <c r="G8614" s="24">
        <f>F8614-DATE(2026,8,31)</f>
        <v>9</v>
      </c>
      <c r="H8614" s="25" t="n">
        <v>1777708282</v>
      </c>
      <c r="I8614" t="inlineStr">
        <is>
          <t>entidad-dia</t>
        </is>
      </c>
    </row>
    <row r="8615">
      <c r="A8615" t="inlineStr">
        <is>
          <t>PRAGMA</t>
        </is>
      </c>
      <c r="B8615" t="inlineStr">
        <is>
          <t>M3</t>
        </is>
      </c>
      <c r="C8615" t="inlineStr">
        <is>
          <t>Cali</t>
        </is>
      </c>
      <c r="D8615" t="inlineStr">
        <is>
          <t>70</t>
        </is>
      </c>
      <c r="E8615" t="inlineStr">
        <is>
          <t>salidas</t>
        </is>
      </c>
      <c r="F8615" s="23" t="n">
        <v>46274</v>
      </c>
      <c r="G8615" s="24">
        <f>F8615-DATE(2026,8,31)</f>
        <v>9</v>
      </c>
      <c r="H8615" s="25" t="n">
        <v>588024765</v>
      </c>
      <c r="I8615" t="inlineStr">
        <is>
          <t>entidad-dia</t>
        </is>
      </c>
    </row>
    <row r="8616">
      <c r="A8616" t="inlineStr">
        <is>
          <t>PRAGMA</t>
        </is>
      </c>
      <c r="B8616" t="inlineStr">
        <is>
          <t>M3</t>
        </is>
      </c>
      <c r="C8616" t="inlineStr">
        <is>
          <t>Cali</t>
        </is>
      </c>
      <c r="D8616" t="inlineStr">
        <is>
          <t>70</t>
        </is>
      </c>
      <c r="E8616" t="inlineStr">
        <is>
          <t>entradas</t>
        </is>
      </c>
      <c r="F8616" s="23" t="n">
        <v>46275</v>
      </c>
      <c r="G8616" s="24">
        <f>F8616-DATE(2026,8,31)</f>
        <v>10</v>
      </c>
      <c r="H8616" s="25" t="n">
        <v>1450409735</v>
      </c>
      <c r="I8616" t="inlineStr">
        <is>
          <t>entidad-dia</t>
        </is>
      </c>
    </row>
    <row r="8617">
      <c r="A8617" t="inlineStr">
        <is>
          <t>PRAGMA</t>
        </is>
      </c>
      <c r="B8617" t="inlineStr">
        <is>
          <t>M3</t>
        </is>
      </c>
      <c r="C8617" t="inlineStr">
        <is>
          <t>Cali</t>
        </is>
      </c>
      <c r="D8617" t="inlineStr">
        <is>
          <t>70</t>
        </is>
      </c>
      <c r="E8617" t="inlineStr">
        <is>
          <t>salidas</t>
        </is>
      </c>
      <c r="F8617" s="23" t="n">
        <v>46275</v>
      </c>
      <c r="G8617" s="24">
        <f>F8617-DATE(2026,8,31)</f>
        <v>10</v>
      </c>
      <c r="H8617" s="25" t="n">
        <v>549462600</v>
      </c>
      <c r="I8617" t="inlineStr">
        <is>
          <t>entidad-dia</t>
        </is>
      </c>
    </row>
    <row r="8618">
      <c r="A8618" t="inlineStr">
        <is>
          <t>PRAGMA</t>
        </is>
      </c>
      <c r="B8618" t="inlineStr">
        <is>
          <t>M3</t>
        </is>
      </c>
      <c r="C8618" t="inlineStr">
        <is>
          <t>Cali</t>
        </is>
      </c>
      <c r="D8618" t="inlineStr">
        <is>
          <t>70</t>
        </is>
      </c>
      <c r="E8618" t="inlineStr">
        <is>
          <t>entradas</t>
        </is>
      </c>
      <c r="F8618" s="23" t="n">
        <v>46276</v>
      </c>
      <c r="G8618" s="24">
        <f>F8618-DATE(2026,8,31)</f>
        <v>11</v>
      </c>
      <c r="H8618" s="25" t="n">
        <v>1591082718</v>
      </c>
      <c r="I8618" t="inlineStr">
        <is>
          <t>entidad-dia</t>
        </is>
      </c>
    </row>
    <row r="8619">
      <c r="A8619" t="inlineStr">
        <is>
          <t>PRAGMA</t>
        </is>
      </c>
      <c r="B8619" t="inlineStr">
        <is>
          <t>M3</t>
        </is>
      </c>
      <c r="C8619" t="inlineStr">
        <is>
          <t>Cali</t>
        </is>
      </c>
      <c r="D8619" t="inlineStr">
        <is>
          <t>70</t>
        </is>
      </c>
      <c r="E8619" t="inlineStr">
        <is>
          <t>salidas</t>
        </is>
      </c>
      <c r="F8619" s="23" t="n">
        <v>46276</v>
      </c>
      <c r="G8619" s="24">
        <f>F8619-DATE(2026,8,31)</f>
        <v>11</v>
      </c>
      <c r="H8619" s="25" t="n">
        <v>663971046</v>
      </c>
      <c r="I8619" t="inlineStr">
        <is>
          <t>entidad-dia</t>
        </is>
      </c>
    </row>
    <row r="8620">
      <c r="A8620" t="inlineStr">
        <is>
          <t>PRAGMA</t>
        </is>
      </c>
      <c r="B8620" t="inlineStr">
        <is>
          <t>M3</t>
        </is>
      </c>
      <c r="C8620" t="inlineStr">
        <is>
          <t>Cali</t>
        </is>
      </c>
      <c r="D8620" t="inlineStr">
        <is>
          <t>70</t>
        </is>
      </c>
      <c r="E8620" t="inlineStr">
        <is>
          <t>entradas</t>
        </is>
      </c>
      <c r="F8620" s="23" t="n">
        <v>46277</v>
      </c>
      <c r="G8620" s="24">
        <f>F8620-DATE(2026,8,31)</f>
        <v>12</v>
      </c>
      <c r="H8620" s="25" t="n">
        <v>1460819</v>
      </c>
      <c r="I8620" t="inlineStr">
        <is>
          <t>entidad-dia</t>
        </is>
      </c>
    </row>
    <row r="8621">
      <c r="A8621" t="inlineStr">
        <is>
          <t>PRAGMA</t>
        </is>
      </c>
      <c r="B8621" t="inlineStr">
        <is>
          <t>M3</t>
        </is>
      </c>
      <c r="C8621" t="inlineStr">
        <is>
          <t>Cali</t>
        </is>
      </c>
      <c r="D8621" t="inlineStr">
        <is>
          <t>70</t>
        </is>
      </c>
      <c r="E8621" t="inlineStr">
        <is>
          <t>salidas</t>
        </is>
      </c>
      <c r="F8621" s="23" t="n">
        <v>46277</v>
      </c>
      <c r="G8621" s="24">
        <f>F8621-DATE(2026,8,31)</f>
        <v>12</v>
      </c>
      <c r="H8621" s="25" t="n">
        <v>0</v>
      </c>
      <c r="I8621" t="inlineStr">
        <is>
          <t>entidad-dia</t>
        </is>
      </c>
    </row>
    <row r="8622">
      <c r="A8622" t="inlineStr">
        <is>
          <t>PRAGMA</t>
        </is>
      </c>
      <c r="B8622" t="inlineStr">
        <is>
          <t>M3</t>
        </is>
      </c>
      <c r="C8622" t="inlineStr">
        <is>
          <t>Cali</t>
        </is>
      </c>
      <c r="D8622" t="inlineStr">
        <is>
          <t>70</t>
        </is>
      </c>
      <c r="E8622" t="inlineStr">
        <is>
          <t>entradas</t>
        </is>
      </c>
      <c r="F8622" s="23" t="n">
        <v>46278</v>
      </c>
      <c r="G8622" s="24">
        <f>F8622-DATE(2026,8,31)</f>
        <v>13</v>
      </c>
      <c r="H8622" s="25" t="n">
        <v>2588312</v>
      </c>
      <c r="I8622" t="inlineStr">
        <is>
          <t>entidad-dia</t>
        </is>
      </c>
    </row>
    <row r="8623">
      <c r="A8623" t="inlineStr">
        <is>
          <t>PRAGMA</t>
        </is>
      </c>
      <c r="B8623" t="inlineStr">
        <is>
          <t>M3</t>
        </is>
      </c>
      <c r="C8623" t="inlineStr">
        <is>
          <t>Cali</t>
        </is>
      </c>
      <c r="D8623" t="inlineStr">
        <is>
          <t>70</t>
        </is>
      </c>
      <c r="E8623" t="inlineStr">
        <is>
          <t>salidas</t>
        </is>
      </c>
      <c r="F8623" s="23" t="n">
        <v>46278</v>
      </c>
      <c r="G8623" s="24">
        <f>F8623-DATE(2026,8,31)</f>
        <v>13</v>
      </c>
      <c r="H8623" s="25" t="n">
        <v>0</v>
      </c>
      <c r="I8623" t="inlineStr">
        <is>
          <t>entidad-dia</t>
        </is>
      </c>
    </row>
    <row r="8624">
      <c r="A8624" t="inlineStr">
        <is>
          <t>PRAGMA</t>
        </is>
      </c>
      <c r="B8624" t="inlineStr">
        <is>
          <t>M3</t>
        </is>
      </c>
      <c r="C8624" t="inlineStr">
        <is>
          <t>Cali</t>
        </is>
      </c>
      <c r="D8624" t="inlineStr">
        <is>
          <t>70</t>
        </is>
      </c>
      <c r="E8624" t="inlineStr">
        <is>
          <t>entradas</t>
        </is>
      </c>
      <c r="F8624" s="23" t="n">
        <v>46279</v>
      </c>
      <c r="G8624" s="24">
        <f>F8624-DATE(2026,8,31)</f>
        <v>14</v>
      </c>
      <c r="H8624" s="25" t="n">
        <v>1672343437</v>
      </c>
      <c r="I8624" t="inlineStr">
        <is>
          <t>entidad-dia</t>
        </is>
      </c>
    </row>
    <row r="8625">
      <c r="A8625" t="inlineStr">
        <is>
          <t>PRAGMA</t>
        </is>
      </c>
      <c r="B8625" t="inlineStr">
        <is>
          <t>M3</t>
        </is>
      </c>
      <c r="C8625" t="inlineStr">
        <is>
          <t>Cali</t>
        </is>
      </c>
      <c r="D8625" t="inlineStr">
        <is>
          <t>70</t>
        </is>
      </c>
      <c r="E8625" t="inlineStr">
        <is>
          <t>salidas</t>
        </is>
      </c>
      <c r="F8625" s="23" t="n">
        <v>46279</v>
      </c>
      <c r="G8625" s="24">
        <f>F8625-DATE(2026,8,31)</f>
        <v>14</v>
      </c>
      <c r="H8625" s="25" t="n">
        <v>358366885</v>
      </c>
      <c r="I8625" t="inlineStr">
        <is>
          <t>entidad-dia</t>
        </is>
      </c>
    </row>
    <row r="8626">
      <c r="A8626" t="inlineStr">
        <is>
          <t>PRAGMA</t>
        </is>
      </c>
      <c r="B8626" t="inlineStr">
        <is>
          <t>M3</t>
        </is>
      </c>
      <c r="C8626" t="inlineStr">
        <is>
          <t>Cali</t>
        </is>
      </c>
      <c r="D8626" t="inlineStr">
        <is>
          <t>70</t>
        </is>
      </c>
      <c r="E8626" t="inlineStr">
        <is>
          <t>entradas</t>
        </is>
      </c>
      <c r="F8626" s="23" t="n">
        <v>46280</v>
      </c>
      <c r="G8626" s="24">
        <f>F8626-DATE(2026,8,31)</f>
        <v>15</v>
      </c>
      <c r="H8626" s="25" t="n">
        <v>1724914808</v>
      </c>
      <c r="I8626" t="inlineStr">
        <is>
          <t>entidad-dia</t>
        </is>
      </c>
    </row>
    <row r="8627">
      <c r="A8627" t="inlineStr">
        <is>
          <t>PRAGMA</t>
        </is>
      </c>
      <c r="B8627" t="inlineStr">
        <is>
          <t>M3</t>
        </is>
      </c>
      <c r="C8627" t="inlineStr">
        <is>
          <t>Cali</t>
        </is>
      </c>
      <c r="D8627" t="inlineStr">
        <is>
          <t>70</t>
        </is>
      </c>
      <c r="E8627" t="inlineStr">
        <is>
          <t>salidas</t>
        </is>
      </c>
      <c r="F8627" s="23" t="n">
        <v>46280</v>
      </c>
      <c r="G8627" s="24">
        <f>F8627-DATE(2026,8,31)</f>
        <v>15</v>
      </c>
      <c r="H8627" s="25" t="n">
        <v>500649355</v>
      </c>
      <c r="I8627" t="inlineStr">
        <is>
          <t>entidad-dia</t>
        </is>
      </c>
    </row>
    <row r="8628">
      <c r="A8628" t="inlineStr">
        <is>
          <t>PRAGMA</t>
        </is>
      </c>
      <c r="B8628" t="inlineStr">
        <is>
          <t>M3</t>
        </is>
      </c>
      <c r="C8628" t="inlineStr">
        <is>
          <t>Cali</t>
        </is>
      </c>
      <c r="D8628" t="inlineStr">
        <is>
          <t>71</t>
        </is>
      </c>
      <c r="E8628" t="inlineStr">
        <is>
          <t>entradas</t>
        </is>
      </c>
      <c r="F8628" s="23" t="n">
        <v>46266</v>
      </c>
      <c r="G8628" s="24">
        <f>F8628-DATE(2026,8,31)</f>
        <v>1</v>
      </c>
      <c r="H8628" s="25" t="n">
        <v>365839623</v>
      </c>
      <c r="I8628" t="inlineStr">
        <is>
          <t>entidad-dia</t>
        </is>
      </c>
    </row>
    <row r="8629">
      <c r="A8629" t="inlineStr">
        <is>
          <t>PRAGMA</t>
        </is>
      </c>
      <c r="B8629" t="inlineStr">
        <is>
          <t>M3</t>
        </is>
      </c>
      <c r="C8629" t="inlineStr">
        <is>
          <t>Cali</t>
        </is>
      </c>
      <c r="D8629" t="inlineStr">
        <is>
          <t>71</t>
        </is>
      </c>
      <c r="E8629" t="inlineStr">
        <is>
          <t>salidas</t>
        </is>
      </c>
      <c r="F8629" s="23" t="n">
        <v>46266</v>
      </c>
      <c r="G8629" s="24">
        <f>F8629-DATE(2026,8,31)</f>
        <v>1</v>
      </c>
      <c r="H8629" s="25" t="n">
        <v>170426002</v>
      </c>
      <c r="I8629" t="inlineStr">
        <is>
          <t>entidad-dia</t>
        </is>
      </c>
    </row>
    <row r="8630">
      <c r="A8630" t="inlineStr">
        <is>
          <t>PRAGMA</t>
        </is>
      </c>
      <c r="B8630" t="inlineStr">
        <is>
          <t>M3</t>
        </is>
      </c>
      <c r="C8630" t="inlineStr">
        <is>
          <t>Cali</t>
        </is>
      </c>
      <c r="D8630" t="inlineStr">
        <is>
          <t>71</t>
        </is>
      </c>
      <c r="E8630" t="inlineStr">
        <is>
          <t>entradas</t>
        </is>
      </c>
      <c r="F8630" s="23" t="n">
        <v>46267</v>
      </c>
      <c r="G8630" s="24">
        <f>F8630-DATE(2026,8,31)</f>
        <v>2</v>
      </c>
      <c r="H8630" s="25" t="n">
        <v>252927188</v>
      </c>
      <c r="I8630" t="inlineStr">
        <is>
          <t>entidad-dia</t>
        </is>
      </c>
    </row>
    <row r="8631">
      <c r="A8631" t="inlineStr">
        <is>
          <t>PRAGMA</t>
        </is>
      </c>
      <c r="B8631" t="inlineStr">
        <is>
          <t>M3</t>
        </is>
      </c>
      <c r="C8631" t="inlineStr">
        <is>
          <t>Cali</t>
        </is>
      </c>
      <c r="D8631" t="inlineStr">
        <is>
          <t>71</t>
        </is>
      </c>
      <c r="E8631" t="inlineStr">
        <is>
          <t>salidas</t>
        </is>
      </c>
      <c r="F8631" s="23" t="n">
        <v>46267</v>
      </c>
      <c r="G8631" s="24">
        <f>F8631-DATE(2026,8,31)</f>
        <v>2</v>
      </c>
      <c r="H8631" s="25" t="n">
        <v>140415515</v>
      </c>
      <c r="I8631" t="inlineStr">
        <is>
          <t>entidad-dia</t>
        </is>
      </c>
    </row>
    <row r="8632">
      <c r="A8632" t="inlineStr">
        <is>
          <t>PRAGMA</t>
        </is>
      </c>
      <c r="B8632" t="inlineStr">
        <is>
          <t>M3</t>
        </is>
      </c>
      <c r="C8632" t="inlineStr">
        <is>
          <t>Cali</t>
        </is>
      </c>
      <c r="D8632" t="inlineStr">
        <is>
          <t>71</t>
        </is>
      </c>
      <c r="E8632" t="inlineStr">
        <is>
          <t>entradas</t>
        </is>
      </c>
      <c r="F8632" s="23" t="n">
        <v>46268</v>
      </c>
      <c r="G8632" s="24">
        <f>F8632-DATE(2026,8,31)</f>
        <v>3</v>
      </c>
      <c r="H8632" s="25" t="n">
        <v>212107475</v>
      </c>
      <c r="I8632" t="inlineStr">
        <is>
          <t>entidad-dia</t>
        </is>
      </c>
    </row>
    <row r="8633">
      <c r="A8633" t="inlineStr">
        <is>
          <t>PRAGMA</t>
        </is>
      </c>
      <c r="B8633" t="inlineStr">
        <is>
          <t>M3</t>
        </is>
      </c>
      <c r="C8633" t="inlineStr">
        <is>
          <t>Cali</t>
        </is>
      </c>
      <c r="D8633" t="inlineStr">
        <is>
          <t>71</t>
        </is>
      </c>
      <c r="E8633" t="inlineStr">
        <is>
          <t>salidas</t>
        </is>
      </c>
      <c r="F8633" s="23" t="n">
        <v>46268</v>
      </c>
      <c r="G8633" s="24">
        <f>F8633-DATE(2026,8,31)</f>
        <v>3</v>
      </c>
      <c r="H8633" s="25" t="n">
        <v>46979687</v>
      </c>
      <c r="I8633" t="inlineStr">
        <is>
          <t>entidad-dia</t>
        </is>
      </c>
    </row>
    <row r="8634">
      <c r="A8634" t="inlineStr">
        <is>
          <t>PRAGMA</t>
        </is>
      </c>
      <c r="B8634" t="inlineStr">
        <is>
          <t>M3</t>
        </is>
      </c>
      <c r="C8634" t="inlineStr">
        <is>
          <t>Cali</t>
        </is>
      </c>
      <c r="D8634" t="inlineStr">
        <is>
          <t>71</t>
        </is>
      </c>
      <c r="E8634" t="inlineStr">
        <is>
          <t>entradas</t>
        </is>
      </c>
      <c r="F8634" s="23" t="n">
        <v>46269</v>
      </c>
      <c r="G8634" s="24">
        <f>F8634-DATE(2026,8,31)</f>
        <v>4</v>
      </c>
      <c r="H8634" s="25" t="n">
        <v>203002904</v>
      </c>
      <c r="I8634" t="inlineStr">
        <is>
          <t>entidad-dia</t>
        </is>
      </c>
    </row>
    <row r="8635">
      <c r="A8635" t="inlineStr">
        <is>
          <t>PRAGMA</t>
        </is>
      </c>
      <c r="B8635" t="inlineStr">
        <is>
          <t>M3</t>
        </is>
      </c>
      <c r="C8635" t="inlineStr">
        <is>
          <t>Cali</t>
        </is>
      </c>
      <c r="D8635" t="inlineStr">
        <is>
          <t>71</t>
        </is>
      </c>
      <c r="E8635" t="inlineStr">
        <is>
          <t>salidas</t>
        </is>
      </c>
      <c r="F8635" s="23" t="n">
        <v>46269</v>
      </c>
      <c r="G8635" s="24">
        <f>F8635-DATE(2026,8,31)</f>
        <v>4</v>
      </c>
      <c r="H8635" s="25" t="n">
        <v>186676290</v>
      </c>
      <c r="I8635" t="inlineStr">
        <is>
          <t>entidad-dia</t>
        </is>
      </c>
    </row>
    <row r="8636">
      <c r="A8636" t="inlineStr">
        <is>
          <t>PRAGMA</t>
        </is>
      </c>
      <c r="B8636" t="inlineStr">
        <is>
          <t>M3</t>
        </is>
      </c>
      <c r="C8636" t="inlineStr">
        <is>
          <t>Cali</t>
        </is>
      </c>
      <c r="D8636" t="inlineStr">
        <is>
          <t>71</t>
        </is>
      </c>
      <c r="E8636" t="inlineStr">
        <is>
          <t>entradas</t>
        </is>
      </c>
      <c r="F8636" s="23" t="n">
        <v>46270</v>
      </c>
      <c r="G8636" s="24">
        <f>F8636-DATE(2026,8,31)</f>
        <v>5</v>
      </c>
      <c r="H8636" s="25" t="n">
        <v>6881273</v>
      </c>
      <c r="I8636" t="inlineStr">
        <is>
          <t>entidad-dia</t>
        </is>
      </c>
    </row>
    <row r="8637">
      <c r="A8637" t="inlineStr">
        <is>
          <t>PRAGMA</t>
        </is>
      </c>
      <c r="B8637" t="inlineStr">
        <is>
          <t>M3</t>
        </is>
      </c>
      <c r="C8637" t="inlineStr">
        <is>
          <t>Cali</t>
        </is>
      </c>
      <c r="D8637" t="inlineStr">
        <is>
          <t>71</t>
        </is>
      </c>
      <c r="E8637" t="inlineStr">
        <is>
          <t>salidas</t>
        </is>
      </c>
      <c r="F8637" s="23" t="n">
        <v>46270</v>
      </c>
      <c r="G8637" s="24">
        <f>F8637-DATE(2026,8,31)</f>
        <v>5</v>
      </c>
      <c r="H8637" s="25" t="n">
        <v>0</v>
      </c>
      <c r="I8637" t="inlineStr">
        <is>
          <t>entidad-dia</t>
        </is>
      </c>
    </row>
    <row r="8638">
      <c r="A8638" t="inlineStr">
        <is>
          <t>PRAGMA</t>
        </is>
      </c>
      <c r="B8638" t="inlineStr">
        <is>
          <t>M3</t>
        </is>
      </c>
      <c r="C8638" t="inlineStr">
        <is>
          <t>Cali</t>
        </is>
      </c>
      <c r="D8638" t="inlineStr">
        <is>
          <t>71</t>
        </is>
      </c>
      <c r="E8638" t="inlineStr">
        <is>
          <t>entradas</t>
        </is>
      </c>
      <c r="F8638" s="23" t="n">
        <v>46271</v>
      </c>
      <c r="G8638" s="24">
        <f>F8638-DATE(2026,8,31)</f>
        <v>6</v>
      </c>
      <c r="H8638" s="25" t="n">
        <v>5544958</v>
      </c>
      <c r="I8638" t="inlineStr">
        <is>
          <t>entidad-dia</t>
        </is>
      </c>
    </row>
    <row r="8639">
      <c r="A8639" t="inlineStr">
        <is>
          <t>PRAGMA</t>
        </is>
      </c>
      <c r="B8639" t="inlineStr">
        <is>
          <t>M3</t>
        </is>
      </c>
      <c r="C8639" t="inlineStr">
        <is>
          <t>Cali</t>
        </is>
      </c>
      <c r="D8639" t="inlineStr">
        <is>
          <t>71</t>
        </is>
      </c>
      <c r="E8639" t="inlineStr">
        <is>
          <t>salidas</t>
        </is>
      </c>
      <c r="F8639" s="23" t="n">
        <v>46271</v>
      </c>
      <c r="G8639" s="24">
        <f>F8639-DATE(2026,8,31)</f>
        <v>6</v>
      </c>
      <c r="H8639" s="25" t="n">
        <v>0</v>
      </c>
      <c r="I8639" t="inlineStr">
        <is>
          <t>entidad-dia</t>
        </is>
      </c>
    </row>
    <row r="8640">
      <c r="A8640" t="inlineStr">
        <is>
          <t>PRAGMA</t>
        </is>
      </c>
      <c r="B8640" t="inlineStr">
        <is>
          <t>M3</t>
        </is>
      </c>
      <c r="C8640" t="inlineStr">
        <is>
          <t>Cali</t>
        </is>
      </c>
      <c r="D8640" t="inlineStr">
        <is>
          <t>71</t>
        </is>
      </c>
      <c r="E8640" t="inlineStr">
        <is>
          <t>entradas</t>
        </is>
      </c>
      <c r="F8640" s="23" t="n">
        <v>46272</v>
      </c>
      <c r="G8640" s="24">
        <f>F8640-DATE(2026,8,31)</f>
        <v>7</v>
      </c>
      <c r="H8640" s="25" t="n">
        <v>68158673</v>
      </c>
      <c r="I8640" t="inlineStr">
        <is>
          <t>entidad-dia</t>
        </is>
      </c>
    </row>
    <row r="8641">
      <c r="A8641" t="inlineStr">
        <is>
          <t>PRAGMA</t>
        </is>
      </c>
      <c r="B8641" t="inlineStr">
        <is>
          <t>M3</t>
        </is>
      </c>
      <c r="C8641" t="inlineStr">
        <is>
          <t>Cali</t>
        </is>
      </c>
      <c r="D8641" t="inlineStr">
        <is>
          <t>71</t>
        </is>
      </c>
      <c r="E8641" t="inlineStr">
        <is>
          <t>salidas</t>
        </is>
      </c>
      <c r="F8641" s="23" t="n">
        <v>46272</v>
      </c>
      <c r="G8641" s="24">
        <f>F8641-DATE(2026,8,31)</f>
        <v>7</v>
      </c>
      <c r="H8641" s="25" t="n">
        <v>21532737</v>
      </c>
      <c r="I8641" t="inlineStr">
        <is>
          <t>entidad-dia</t>
        </is>
      </c>
    </row>
    <row r="8642">
      <c r="A8642" t="inlineStr">
        <is>
          <t>PRAGMA</t>
        </is>
      </c>
      <c r="B8642" t="inlineStr">
        <is>
          <t>M3</t>
        </is>
      </c>
      <c r="C8642" t="inlineStr">
        <is>
          <t>Cali</t>
        </is>
      </c>
      <c r="D8642" t="inlineStr">
        <is>
          <t>71</t>
        </is>
      </c>
      <c r="E8642" t="inlineStr">
        <is>
          <t>entradas</t>
        </is>
      </c>
      <c r="F8642" s="23" t="n">
        <v>46273</v>
      </c>
      <c r="G8642" s="24">
        <f>F8642-DATE(2026,8,31)</f>
        <v>8</v>
      </c>
      <c r="H8642" s="25" t="n">
        <v>364419623</v>
      </c>
      <c r="I8642" t="inlineStr">
        <is>
          <t>entidad-dia</t>
        </is>
      </c>
    </row>
    <row r="8643">
      <c r="A8643" t="inlineStr">
        <is>
          <t>PRAGMA</t>
        </is>
      </c>
      <c r="B8643" t="inlineStr">
        <is>
          <t>M3</t>
        </is>
      </c>
      <c r="C8643" t="inlineStr">
        <is>
          <t>Cali</t>
        </is>
      </c>
      <c r="D8643" t="inlineStr">
        <is>
          <t>71</t>
        </is>
      </c>
      <c r="E8643" t="inlineStr">
        <is>
          <t>salidas</t>
        </is>
      </c>
      <c r="F8643" s="23" t="n">
        <v>46273</v>
      </c>
      <c r="G8643" s="24">
        <f>F8643-DATE(2026,8,31)</f>
        <v>8</v>
      </c>
      <c r="H8643" s="25" t="n">
        <v>68516145</v>
      </c>
      <c r="I8643" t="inlineStr">
        <is>
          <t>entidad-dia</t>
        </is>
      </c>
    </row>
    <row r="8644">
      <c r="A8644" t="inlineStr">
        <is>
          <t>PRAGMA</t>
        </is>
      </c>
      <c r="B8644" t="inlineStr">
        <is>
          <t>M3</t>
        </is>
      </c>
      <c r="C8644" t="inlineStr">
        <is>
          <t>Cali</t>
        </is>
      </c>
      <c r="D8644" t="inlineStr">
        <is>
          <t>71</t>
        </is>
      </c>
      <c r="E8644" t="inlineStr">
        <is>
          <t>entradas</t>
        </is>
      </c>
      <c r="F8644" s="23" t="n">
        <v>46274</v>
      </c>
      <c r="G8644" s="24">
        <f>F8644-DATE(2026,8,31)</f>
        <v>9</v>
      </c>
      <c r="H8644" s="25" t="n">
        <v>209074260</v>
      </c>
      <c r="I8644" t="inlineStr">
        <is>
          <t>entidad-dia</t>
        </is>
      </c>
    </row>
    <row r="8645">
      <c r="A8645" t="inlineStr">
        <is>
          <t>PRAGMA</t>
        </is>
      </c>
      <c r="B8645" t="inlineStr">
        <is>
          <t>M3</t>
        </is>
      </c>
      <c r="C8645" t="inlineStr">
        <is>
          <t>Cali</t>
        </is>
      </c>
      <c r="D8645" t="inlineStr">
        <is>
          <t>71</t>
        </is>
      </c>
      <c r="E8645" t="inlineStr">
        <is>
          <t>salidas</t>
        </is>
      </c>
      <c r="F8645" s="23" t="n">
        <v>46274</v>
      </c>
      <c r="G8645" s="24">
        <f>F8645-DATE(2026,8,31)</f>
        <v>9</v>
      </c>
      <c r="H8645" s="25" t="n">
        <v>55649648</v>
      </c>
      <c r="I8645" t="inlineStr">
        <is>
          <t>entidad-dia</t>
        </is>
      </c>
    </row>
    <row r="8646">
      <c r="A8646" t="inlineStr">
        <is>
          <t>PRAGMA</t>
        </is>
      </c>
      <c r="B8646" t="inlineStr">
        <is>
          <t>M3</t>
        </is>
      </c>
      <c r="C8646" t="inlineStr">
        <is>
          <t>Cali</t>
        </is>
      </c>
      <c r="D8646" t="inlineStr">
        <is>
          <t>71</t>
        </is>
      </c>
      <c r="E8646" t="inlineStr">
        <is>
          <t>entradas</t>
        </is>
      </c>
      <c r="F8646" s="23" t="n">
        <v>46275</v>
      </c>
      <c r="G8646" s="24">
        <f>F8646-DATE(2026,8,31)</f>
        <v>10</v>
      </c>
      <c r="H8646" s="25" t="n">
        <v>179798740</v>
      </c>
      <c r="I8646" t="inlineStr">
        <is>
          <t>entidad-dia</t>
        </is>
      </c>
    </row>
    <row r="8647">
      <c r="A8647" t="inlineStr">
        <is>
          <t>PRAGMA</t>
        </is>
      </c>
      <c r="B8647" t="inlineStr">
        <is>
          <t>M3</t>
        </is>
      </c>
      <c r="C8647" t="inlineStr">
        <is>
          <t>Cali</t>
        </is>
      </c>
      <c r="D8647" t="inlineStr">
        <is>
          <t>71</t>
        </is>
      </c>
      <c r="E8647" t="inlineStr">
        <is>
          <t>salidas</t>
        </is>
      </c>
      <c r="F8647" s="23" t="n">
        <v>46275</v>
      </c>
      <c r="G8647" s="24">
        <f>F8647-DATE(2026,8,31)</f>
        <v>10</v>
      </c>
      <c r="H8647" s="25" t="n">
        <v>55726563</v>
      </c>
      <c r="I8647" t="inlineStr">
        <is>
          <t>entidad-dia</t>
        </is>
      </c>
    </row>
    <row r="8648">
      <c r="A8648" t="inlineStr">
        <is>
          <t>PRAGMA</t>
        </is>
      </c>
      <c r="B8648" t="inlineStr">
        <is>
          <t>M3</t>
        </is>
      </c>
      <c r="C8648" t="inlineStr">
        <is>
          <t>Cali</t>
        </is>
      </c>
      <c r="D8648" t="inlineStr">
        <is>
          <t>71</t>
        </is>
      </c>
      <c r="E8648" t="inlineStr">
        <is>
          <t>entradas</t>
        </is>
      </c>
      <c r="F8648" s="23" t="n">
        <v>46276</v>
      </c>
      <c r="G8648" s="24">
        <f>F8648-DATE(2026,8,31)</f>
        <v>11</v>
      </c>
      <c r="H8648" s="25" t="n">
        <v>211527808</v>
      </c>
      <c r="I8648" t="inlineStr">
        <is>
          <t>entidad-dia</t>
        </is>
      </c>
    </row>
    <row r="8649">
      <c r="A8649" t="inlineStr">
        <is>
          <t>PRAGMA</t>
        </is>
      </c>
      <c r="B8649" t="inlineStr">
        <is>
          <t>M3</t>
        </is>
      </c>
      <c r="C8649" t="inlineStr">
        <is>
          <t>Cali</t>
        </is>
      </c>
      <c r="D8649" t="inlineStr">
        <is>
          <t>71</t>
        </is>
      </c>
      <c r="E8649" t="inlineStr">
        <is>
          <t>salidas</t>
        </is>
      </c>
      <c r="F8649" s="23" t="n">
        <v>46276</v>
      </c>
      <c r="G8649" s="24">
        <f>F8649-DATE(2026,8,31)</f>
        <v>11</v>
      </c>
      <c r="H8649" s="25" t="n">
        <v>87735210</v>
      </c>
      <c r="I8649" t="inlineStr">
        <is>
          <t>entidad-dia</t>
        </is>
      </c>
    </row>
    <row r="8650">
      <c r="A8650" t="inlineStr">
        <is>
          <t>PRAGMA</t>
        </is>
      </c>
      <c r="B8650" t="inlineStr">
        <is>
          <t>M3</t>
        </is>
      </c>
      <c r="C8650" t="inlineStr">
        <is>
          <t>Cali</t>
        </is>
      </c>
      <c r="D8650" t="inlineStr">
        <is>
          <t>71</t>
        </is>
      </c>
      <c r="E8650" t="inlineStr">
        <is>
          <t>entradas</t>
        </is>
      </c>
      <c r="F8650" s="23" t="n">
        <v>46277</v>
      </c>
      <c r="G8650" s="24">
        <f>F8650-DATE(2026,8,31)</f>
        <v>12</v>
      </c>
      <c r="H8650" s="25" t="n">
        <v>10018621</v>
      </c>
      <c r="I8650" t="inlineStr">
        <is>
          <t>entidad-dia</t>
        </is>
      </c>
    </row>
    <row r="8651">
      <c r="A8651" t="inlineStr">
        <is>
          <t>PRAGMA</t>
        </is>
      </c>
      <c r="B8651" t="inlineStr">
        <is>
          <t>M3</t>
        </is>
      </c>
      <c r="C8651" t="inlineStr">
        <is>
          <t>Cali</t>
        </is>
      </c>
      <c r="D8651" t="inlineStr">
        <is>
          <t>71</t>
        </is>
      </c>
      <c r="E8651" t="inlineStr">
        <is>
          <t>salidas</t>
        </is>
      </c>
      <c r="F8651" s="23" t="n">
        <v>46277</v>
      </c>
      <c r="G8651" s="24">
        <f>F8651-DATE(2026,8,31)</f>
        <v>12</v>
      </c>
      <c r="H8651" s="25" t="n">
        <v>269494</v>
      </c>
      <c r="I8651" t="inlineStr">
        <is>
          <t>entidad-dia</t>
        </is>
      </c>
    </row>
    <row r="8652">
      <c r="A8652" t="inlineStr">
        <is>
          <t>PRAGMA</t>
        </is>
      </c>
      <c r="B8652" t="inlineStr">
        <is>
          <t>M3</t>
        </is>
      </c>
      <c r="C8652" t="inlineStr">
        <is>
          <t>Cali</t>
        </is>
      </c>
      <c r="D8652" t="inlineStr">
        <is>
          <t>71</t>
        </is>
      </c>
      <c r="E8652" t="inlineStr">
        <is>
          <t>entradas</t>
        </is>
      </c>
      <c r="F8652" s="23" t="n">
        <v>46278</v>
      </c>
      <c r="G8652" s="24">
        <f>F8652-DATE(2026,8,31)</f>
        <v>13</v>
      </c>
      <c r="H8652" s="25" t="n">
        <v>7499661</v>
      </c>
      <c r="I8652" t="inlineStr">
        <is>
          <t>entidad-dia</t>
        </is>
      </c>
    </row>
    <row r="8653">
      <c r="A8653" t="inlineStr">
        <is>
          <t>PRAGMA</t>
        </is>
      </c>
      <c r="B8653" t="inlineStr">
        <is>
          <t>M3</t>
        </is>
      </c>
      <c r="C8653" t="inlineStr">
        <is>
          <t>Cali</t>
        </is>
      </c>
      <c r="D8653" t="inlineStr">
        <is>
          <t>71</t>
        </is>
      </c>
      <c r="E8653" t="inlineStr">
        <is>
          <t>salidas</t>
        </is>
      </c>
      <c r="F8653" s="23" t="n">
        <v>46278</v>
      </c>
      <c r="G8653" s="24">
        <f>F8653-DATE(2026,8,31)</f>
        <v>13</v>
      </c>
      <c r="H8653" s="25" t="n">
        <v>0</v>
      </c>
      <c r="I8653" t="inlineStr">
        <is>
          <t>entidad-dia</t>
        </is>
      </c>
    </row>
    <row r="8654">
      <c r="A8654" t="inlineStr">
        <is>
          <t>PRAGMA</t>
        </is>
      </c>
      <c r="B8654" t="inlineStr">
        <is>
          <t>M3</t>
        </is>
      </c>
      <c r="C8654" t="inlineStr">
        <is>
          <t>Cali</t>
        </is>
      </c>
      <c r="D8654" t="inlineStr">
        <is>
          <t>71</t>
        </is>
      </c>
      <c r="E8654" t="inlineStr">
        <is>
          <t>entradas</t>
        </is>
      </c>
      <c r="F8654" s="23" t="n">
        <v>46279</v>
      </c>
      <c r="G8654" s="24">
        <f>F8654-DATE(2026,8,31)</f>
        <v>14</v>
      </c>
      <c r="H8654" s="25" t="n">
        <v>66246008</v>
      </c>
      <c r="I8654" t="inlineStr">
        <is>
          <t>entidad-dia</t>
        </is>
      </c>
    </row>
    <row r="8655">
      <c r="A8655" t="inlineStr">
        <is>
          <t>PRAGMA</t>
        </is>
      </c>
      <c r="B8655" t="inlineStr">
        <is>
          <t>M3</t>
        </is>
      </c>
      <c r="C8655" t="inlineStr">
        <is>
          <t>Cali</t>
        </is>
      </c>
      <c r="D8655" t="inlineStr">
        <is>
          <t>71</t>
        </is>
      </c>
      <c r="E8655" t="inlineStr">
        <is>
          <t>salidas</t>
        </is>
      </c>
      <c r="F8655" s="23" t="n">
        <v>46279</v>
      </c>
      <c r="G8655" s="24">
        <f>F8655-DATE(2026,8,31)</f>
        <v>14</v>
      </c>
      <c r="H8655" s="25" t="n">
        <v>29707123</v>
      </c>
      <c r="I8655" t="inlineStr">
        <is>
          <t>entidad-dia</t>
        </is>
      </c>
    </row>
    <row r="8656">
      <c r="A8656" t="inlineStr">
        <is>
          <t>PRAGMA</t>
        </is>
      </c>
      <c r="B8656" t="inlineStr">
        <is>
          <t>M3</t>
        </is>
      </c>
      <c r="C8656" t="inlineStr">
        <is>
          <t>Cali</t>
        </is>
      </c>
      <c r="D8656" t="inlineStr">
        <is>
          <t>71</t>
        </is>
      </c>
      <c r="E8656" t="inlineStr">
        <is>
          <t>entradas</t>
        </is>
      </c>
      <c r="F8656" s="23" t="n">
        <v>46280</v>
      </c>
      <c r="G8656" s="24">
        <f>F8656-DATE(2026,8,31)</f>
        <v>15</v>
      </c>
      <c r="H8656" s="25" t="n">
        <v>354113122</v>
      </c>
      <c r="I8656" t="inlineStr">
        <is>
          <t>entidad-dia</t>
        </is>
      </c>
    </row>
    <row r="8657">
      <c r="A8657" t="inlineStr">
        <is>
          <t>PRAGMA</t>
        </is>
      </c>
      <c r="B8657" t="inlineStr">
        <is>
          <t>M3</t>
        </is>
      </c>
      <c r="C8657" t="inlineStr">
        <is>
          <t>Cali</t>
        </is>
      </c>
      <c r="D8657" t="inlineStr">
        <is>
          <t>71</t>
        </is>
      </c>
      <c r="E8657" t="inlineStr">
        <is>
          <t>salidas</t>
        </is>
      </c>
      <c r="F8657" s="23" t="n">
        <v>46280</v>
      </c>
      <c r="G8657" s="24">
        <f>F8657-DATE(2026,8,31)</f>
        <v>15</v>
      </c>
      <c r="H8657" s="25" t="n">
        <v>78075077</v>
      </c>
      <c r="I8657" t="inlineStr">
        <is>
          <t>entidad-dia</t>
        </is>
      </c>
    </row>
    <row r="8658">
      <c r="A8658" t="inlineStr">
        <is>
          <t>PRAGMA</t>
        </is>
      </c>
      <c r="B8658" t="inlineStr">
        <is>
          <t>M3</t>
        </is>
      </c>
      <c r="C8658" t="inlineStr">
        <is>
          <t>Cali</t>
        </is>
      </c>
      <c r="D8658" t="inlineStr">
        <is>
          <t>721</t>
        </is>
      </c>
      <c r="E8658" t="inlineStr">
        <is>
          <t>entradas</t>
        </is>
      </c>
      <c r="F8658" s="23" t="n">
        <v>46266</v>
      </c>
      <c r="G8658" s="24">
        <f>F8658-DATE(2026,8,31)</f>
        <v>1</v>
      </c>
      <c r="H8658" s="25" t="n">
        <v>1712603036</v>
      </c>
      <c r="I8658" t="inlineStr">
        <is>
          <t>entidad-dia</t>
        </is>
      </c>
    </row>
    <row r="8659">
      <c r="A8659" t="inlineStr">
        <is>
          <t>PRAGMA</t>
        </is>
      </c>
      <c r="B8659" t="inlineStr">
        <is>
          <t>M3</t>
        </is>
      </c>
      <c r="C8659" t="inlineStr">
        <is>
          <t>Cali</t>
        </is>
      </c>
      <c r="D8659" t="inlineStr">
        <is>
          <t>721</t>
        </is>
      </c>
      <c r="E8659" t="inlineStr">
        <is>
          <t>salidas</t>
        </is>
      </c>
      <c r="F8659" s="23" t="n">
        <v>46266</v>
      </c>
      <c r="G8659" s="24">
        <f>F8659-DATE(2026,8,31)</f>
        <v>1</v>
      </c>
      <c r="H8659" s="25" t="n">
        <v>1733511108</v>
      </c>
      <c r="I8659" t="inlineStr">
        <is>
          <t>entidad-dia</t>
        </is>
      </c>
    </row>
    <row r="8660">
      <c r="A8660" t="inlineStr">
        <is>
          <t>PRAGMA</t>
        </is>
      </c>
      <c r="B8660" t="inlineStr">
        <is>
          <t>M3</t>
        </is>
      </c>
      <c r="C8660" t="inlineStr">
        <is>
          <t>Cali</t>
        </is>
      </c>
      <c r="D8660" t="inlineStr">
        <is>
          <t>721</t>
        </is>
      </c>
      <c r="E8660" t="inlineStr">
        <is>
          <t>entradas</t>
        </is>
      </c>
      <c r="F8660" s="23" t="n">
        <v>46267</v>
      </c>
      <c r="G8660" s="24">
        <f>F8660-DATE(2026,8,31)</f>
        <v>2</v>
      </c>
      <c r="H8660" s="25" t="n">
        <v>1789895555</v>
      </c>
      <c r="I8660" t="inlineStr">
        <is>
          <t>entidad-dia</t>
        </is>
      </c>
    </row>
    <row r="8661">
      <c r="A8661" t="inlineStr">
        <is>
          <t>PRAGMA</t>
        </is>
      </c>
      <c r="B8661" t="inlineStr">
        <is>
          <t>M3</t>
        </is>
      </c>
      <c r="C8661" t="inlineStr">
        <is>
          <t>Cali</t>
        </is>
      </c>
      <c r="D8661" t="inlineStr">
        <is>
          <t>721</t>
        </is>
      </c>
      <c r="E8661" t="inlineStr">
        <is>
          <t>salidas</t>
        </is>
      </c>
      <c r="F8661" s="23" t="n">
        <v>46267</v>
      </c>
      <c r="G8661" s="24">
        <f>F8661-DATE(2026,8,31)</f>
        <v>2</v>
      </c>
      <c r="H8661" s="25" t="n">
        <v>1670522709</v>
      </c>
      <c r="I8661" t="inlineStr">
        <is>
          <t>entidad-dia</t>
        </is>
      </c>
    </row>
    <row r="8662">
      <c r="A8662" t="inlineStr">
        <is>
          <t>PRAGMA</t>
        </is>
      </c>
      <c r="B8662" t="inlineStr">
        <is>
          <t>M3</t>
        </is>
      </c>
      <c r="C8662" t="inlineStr">
        <is>
          <t>Cali</t>
        </is>
      </c>
      <c r="D8662" t="inlineStr">
        <is>
          <t>721</t>
        </is>
      </c>
      <c r="E8662" t="inlineStr">
        <is>
          <t>entradas</t>
        </is>
      </c>
      <c r="F8662" s="23" t="n">
        <v>46268</v>
      </c>
      <c r="G8662" s="24">
        <f>F8662-DATE(2026,8,31)</f>
        <v>3</v>
      </c>
      <c r="H8662" s="25" t="n">
        <v>1512257510</v>
      </c>
      <c r="I8662" t="inlineStr">
        <is>
          <t>entidad-dia</t>
        </is>
      </c>
    </row>
    <row r="8663">
      <c r="A8663" t="inlineStr">
        <is>
          <t>PRAGMA</t>
        </is>
      </c>
      <c r="B8663" t="inlineStr">
        <is>
          <t>M3</t>
        </is>
      </c>
      <c r="C8663" t="inlineStr">
        <is>
          <t>Cali</t>
        </is>
      </c>
      <c r="D8663" t="inlineStr">
        <is>
          <t>721</t>
        </is>
      </c>
      <c r="E8663" t="inlineStr">
        <is>
          <t>salidas</t>
        </is>
      </c>
      <c r="F8663" s="23" t="n">
        <v>46268</v>
      </c>
      <c r="G8663" s="24">
        <f>F8663-DATE(2026,8,31)</f>
        <v>3</v>
      </c>
      <c r="H8663" s="25" t="n">
        <v>1191609126</v>
      </c>
      <c r="I8663" t="inlineStr">
        <is>
          <t>entidad-dia</t>
        </is>
      </c>
    </row>
    <row r="8664">
      <c r="A8664" t="inlineStr">
        <is>
          <t>PRAGMA</t>
        </is>
      </c>
      <c r="B8664" t="inlineStr">
        <is>
          <t>M3</t>
        </is>
      </c>
      <c r="C8664" t="inlineStr">
        <is>
          <t>Cali</t>
        </is>
      </c>
      <c r="D8664" t="inlineStr">
        <is>
          <t>721</t>
        </is>
      </c>
      <c r="E8664" t="inlineStr">
        <is>
          <t>entradas</t>
        </is>
      </c>
      <c r="F8664" s="23" t="n">
        <v>46269</v>
      </c>
      <c r="G8664" s="24">
        <f>F8664-DATE(2026,8,31)</f>
        <v>4</v>
      </c>
      <c r="H8664" s="25" t="n">
        <v>1836475759</v>
      </c>
      <c r="I8664" t="inlineStr">
        <is>
          <t>entidad-dia</t>
        </is>
      </c>
    </row>
    <row r="8665">
      <c r="A8665" t="inlineStr">
        <is>
          <t>PRAGMA</t>
        </is>
      </c>
      <c r="B8665" t="inlineStr">
        <is>
          <t>M3</t>
        </is>
      </c>
      <c r="C8665" t="inlineStr">
        <is>
          <t>Cali</t>
        </is>
      </c>
      <c r="D8665" t="inlineStr">
        <is>
          <t>721</t>
        </is>
      </c>
      <c r="E8665" t="inlineStr">
        <is>
          <t>salidas</t>
        </is>
      </c>
      <c r="F8665" s="23" t="n">
        <v>46269</v>
      </c>
      <c r="G8665" s="24">
        <f>F8665-DATE(2026,8,31)</f>
        <v>4</v>
      </c>
      <c r="H8665" s="25" t="n">
        <v>1673933759</v>
      </c>
      <c r="I8665" t="inlineStr">
        <is>
          <t>entidad-dia</t>
        </is>
      </c>
    </row>
    <row r="8666">
      <c r="A8666" t="inlineStr">
        <is>
          <t>PRAGMA</t>
        </is>
      </c>
      <c r="B8666" t="inlineStr">
        <is>
          <t>M3</t>
        </is>
      </c>
      <c r="C8666" t="inlineStr">
        <is>
          <t>Cali</t>
        </is>
      </c>
      <c r="D8666" t="inlineStr">
        <is>
          <t>721</t>
        </is>
      </c>
      <c r="E8666" t="inlineStr">
        <is>
          <t>entradas</t>
        </is>
      </c>
      <c r="F8666" s="23" t="n">
        <v>46270</v>
      </c>
      <c r="G8666" s="24">
        <f>F8666-DATE(2026,8,31)</f>
        <v>5</v>
      </c>
      <c r="H8666" s="25" t="n">
        <v>9705620</v>
      </c>
      <c r="I8666" t="inlineStr">
        <is>
          <t>entidad-dia</t>
        </is>
      </c>
    </row>
    <row r="8667">
      <c r="A8667" t="inlineStr">
        <is>
          <t>PRAGMA</t>
        </is>
      </c>
      <c r="B8667" t="inlineStr">
        <is>
          <t>M3</t>
        </is>
      </c>
      <c r="C8667" t="inlineStr">
        <is>
          <t>Cali</t>
        </is>
      </c>
      <c r="D8667" t="inlineStr">
        <is>
          <t>721</t>
        </is>
      </c>
      <c r="E8667" t="inlineStr">
        <is>
          <t>salidas</t>
        </is>
      </c>
      <c r="F8667" s="23" t="n">
        <v>46270</v>
      </c>
      <c r="G8667" s="24">
        <f>F8667-DATE(2026,8,31)</f>
        <v>5</v>
      </c>
      <c r="H8667" s="25" t="n">
        <v>12123665</v>
      </c>
      <c r="I8667" t="inlineStr">
        <is>
          <t>entidad-dia</t>
        </is>
      </c>
    </row>
    <row r="8668">
      <c r="A8668" t="inlineStr">
        <is>
          <t>PRAGMA</t>
        </is>
      </c>
      <c r="B8668" t="inlineStr">
        <is>
          <t>M3</t>
        </is>
      </c>
      <c r="C8668" t="inlineStr">
        <is>
          <t>Cali</t>
        </is>
      </c>
      <c r="D8668" t="inlineStr">
        <is>
          <t>721</t>
        </is>
      </c>
      <c r="E8668" t="inlineStr">
        <is>
          <t>entradas</t>
        </is>
      </c>
      <c r="F8668" s="23" t="n">
        <v>46271</v>
      </c>
      <c r="G8668" s="24">
        <f>F8668-DATE(2026,8,31)</f>
        <v>6</v>
      </c>
      <c r="H8668" s="25" t="n">
        <v>5697260</v>
      </c>
      <c r="I8668" t="inlineStr">
        <is>
          <t>entidad-dia</t>
        </is>
      </c>
    </row>
    <row r="8669">
      <c r="A8669" t="inlineStr">
        <is>
          <t>PRAGMA</t>
        </is>
      </c>
      <c r="B8669" t="inlineStr">
        <is>
          <t>M3</t>
        </is>
      </c>
      <c r="C8669" t="inlineStr">
        <is>
          <t>Cali</t>
        </is>
      </c>
      <c r="D8669" t="inlineStr">
        <is>
          <t>721</t>
        </is>
      </c>
      <c r="E8669" t="inlineStr">
        <is>
          <t>salidas</t>
        </is>
      </c>
      <c r="F8669" s="23" t="n">
        <v>46271</v>
      </c>
      <c r="G8669" s="24">
        <f>F8669-DATE(2026,8,31)</f>
        <v>6</v>
      </c>
      <c r="H8669" s="25" t="n">
        <v>0</v>
      </c>
      <c r="I8669" t="inlineStr">
        <is>
          <t>entidad-dia</t>
        </is>
      </c>
    </row>
    <row r="8670">
      <c r="A8670" t="inlineStr">
        <is>
          <t>PRAGMA</t>
        </is>
      </c>
      <c r="B8670" t="inlineStr">
        <is>
          <t>M3</t>
        </is>
      </c>
      <c r="C8670" t="inlineStr">
        <is>
          <t>Cali</t>
        </is>
      </c>
      <c r="D8670" t="inlineStr">
        <is>
          <t>721</t>
        </is>
      </c>
      <c r="E8670" t="inlineStr">
        <is>
          <t>entradas</t>
        </is>
      </c>
      <c r="F8670" s="23" t="n">
        <v>46272</v>
      </c>
      <c r="G8670" s="24">
        <f>F8670-DATE(2026,8,31)</f>
        <v>7</v>
      </c>
      <c r="H8670" s="25" t="n">
        <v>1523953402</v>
      </c>
      <c r="I8670" t="inlineStr">
        <is>
          <t>entidad-dia</t>
        </is>
      </c>
    </row>
    <row r="8671">
      <c r="A8671" t="inlineStr">
        <is>
          <t>PRAGMA</t>
        </is>
      </c>
      <c r="B8671" t="inlineStr">
        <is>
          <t>M3</t>
        </is>
      </c>
      <c r="C8671" t="inlineStr">
        <is>
          <t>Cali</t>
        </is>
      </c>
      <c r="D8671" t="inlineStr">
        <is>
          <t>721</t>
        </is>
      </c>
      <c r="E8671" t="inlineStr">
        <is>
          <t>salidas</t>
        </is>
      </c>
      <c r="F8671" s="23" t="n">
        <v>46272</v>
      </c>
      <c r="G8671" s="24">
        <f>F8671-DATE(2026,8,31)</f>
        <v>7</v>
      </c>
      <c r="H8671" s="25" t="n">
        <v>1292431498</v>
      </c>
      <c r="I8671" t="inlineStr">
        <is>
          <t>entidad-dia</t>
        </is>
      </c>
    </row>
    <row r="8672">
      <c r="A8672" t="inlineStr">
        <is>
          <t>PRAGMA</t>
        </is>
      </c>
      <c r="B8672" t="inlineStr">
        <is>
          <t>M3</t>
        </is>
      </c>
      <c r="C8672" t="inlineStr">
        <is>
          <t>Cali</t>
        </is>
      </c>
      <c r="D8672" t="inlineStr">
        <is>
          <t>721</t>
        </is>
      </c>
      <c r="E8672" t="inlineStr">
        <is>
          <t>entradas</t>
        </is>
      </c>
      <c r="F8672" s="23" t="n">
        <v>46273</v>
      </c>
      <c r="G8672" s="24">
        <f>F8672-DATE(2026,8,31)</f>
        <v>8</v>
      </c>
      <c r="H8672" s="25" t="n">
        <v>1739681590</v>
      </c>
      <c r="I8672" t="inlineStr">
        <is>
          <t>entidad-dia</t>
        </is>
      </c>
    </row>
    <row r="8673">
      <c r="A8673" t="inlineStr">
        <is>
          <t>PRAGMA</t>
        </is>
      </c>
      <c r="B8673" t="inlineStr">
        <is>
          <t>M3</t>
        </is>
      </c>
      <c r="C8673" t="inlineStr">
        <is>
          <t>Cali</t>
        </is>
      </c>
      <c r="D8673" t="inlineStr">
        <is>
          <t>721</t>
        </is>
      </c>
      <c r="E8673" t="inlineStr">
        <is>
          <t>salidas</t>
        </is>
      </c>
      <c r="F8673" s="23" t="n">
        <v>46273</v>
      </c>
      <c r="G8673" s="24">
        <f>F8673-DATE(2026,8,31)</f>
        <v>8</v>
      </c>
      <c r="H8673" s="25" t="n">
        <v>1596462513</v>
      </c>
      <c r="I8673" t="inlineStr">
        <is>
          <t>entidad-dia</t>
        </is>
      </c>
    </row>
    <row r="8674">
      <c r="A8674" t="inlineStr">
        <is>
          <t>PRAGMA</t>
        </is>
      </c>
      <c r="B8674" t="inlineStr">
        <is>
          <t>M3</t>
        </is>
      </c>
      <c r="C8674" t="inlineStr">
        <is>
          <t>Cali</t>
        </is>
      </c>
      <c r="D8674" t="inlineStr">
        <is>
          <t>721</t>
        </is>
      </c>
      <c r="E8674" t="inlineStr">
        <is>
          <t>entradas</t>
        </is>
      </c>
      <c r="F8674" s="23" t="n">
        <v>46274</v>
      </c>
      <c r="G8674" s="24">
        <f>F8674-DATE(2026,8,31)</f>
        <v>9</v>
      </c>
      <c r="H8674" s="25" t="n">
        <v>1846729241</v>
      </c>
      <c r="I8674" t="inlineStr">
        <is>
          <t>entidad-dia</t>
        </is>
      </c>
    </row>
    <row r="8675">
      <c r="A8675" t="inlineStr">
        <is>
          <t>PRAGMA</t>
        </is>
      </c>
      <c r="B8675" t="inlineStr">
        <is>
          <t>M3</t>
        </is>
      </c>
      <c r="C8675" t="inlineStr">
        <is>
          <t>Cali</t>
        </is>
      </c>
      <c r="D8675" t="inlineStr">
        <is>
          <t>721</t>
        </is>
      </c>
      <c r="E8675" t="inlineStr">
        <is>
          <t>salidas</t>
        </is>
      </c>
      <c r="F8675" s="23" t="n">
        <v>46274</v>
      </c>
      <c r="G8675" s="24">
        <f>F8675-DATE(2026,8,31)</f>
        <v>9</v>
      </c>
      <c r="H8675" s="25" t="n">
        <v>1532752410</v>
      </c>
      <c r="I8675" t="inlineStr">
        <is>
          <t>entidad-dia</t>
        </is>
      </c>
    </row>
    <row r="8676">
      <c r="A8676" t="inlineStr">
        <is>
          <t>PRAGMA</t>
        </is>
      </c>
      <c r="B8676" t="inlineStr">
        <is>
          <t>M3</t>
        </is>
      </c>
      <c r="C8676" t="inlineStr">
        <is>
          <t>Cali</t>
        </is>
      </c>
      <c r="D8676" t="inlineStr">
        <is>
          <t>721</t>
        </is>
      </c>
      <c r="E8676" t="inlineStr">
        <is>
          <t>entradas</t>
        </is>
      </c>
      <c r="F8676" s="23" t="n">
        <v>46275</v>
      </c>
      <c r="G8676" s="24">
        <f>F8676-DATE(2026,8,31)</f>
        <v>10</v>
      </c>
      <c r="H8676" s="25" t="n">
        <v>1517788454</v>
      </c>
      <c r="I8676" t="inlineStr">
        <is>
          <t>entidad-dia</t>
        </is>
      </c>
    </row>
    <row r="8677">
      <c r="A8677" t="inlineStr">
        <is>
          <t>PRAGMA</t>
        </is>
      </c>
      <c r="B8677" t="inlineStr">
        <is>
          <t>M3</t>
        </is>
      </c>
      <c r="C8677" t="inlineStr">
        <is>
          <t>Cali</t>
        </is>
      </c>
      <c r="D8677" t="inlineStr">
        <is>
          <t>721</t>
        </is>
      </c>
      <c r="E8677" t="inlineStr">
        <is>
          <t>salidas</t>
        </is>
      </c>
      <c r="F8677" s="23" t="n">
        <v>46275</v>
      </c>
      <c r="G8677" s="24">
        <f>F8677-DATE(2026,8,31)</f>
        <v>10</v>
      </c>
      <c r="H8677" s="25" t="n">
        <v>1429832687</v>
      </c>
      <c r="I8677" t="inlineStr">
        <is>
          <t>entidad-dia</t>
        </is>
      </c>
    </row>
    <row r="8678">
      <c r="A8678" t="inlineStr">
        <is>
          <t>PRAGMA</t>
        </is>
      </c>
      <c r="B8678" t="inlineStr">
        <is>
          <t>M3</t>
        </is>
      </c>
      <c r="C8678" t="inlineStr">
        <is>
          <t>Cali</t>
        </is>
      </c>
      <c r="D8678" t="inlineStr">
        <is>
          <t>721</t>
        </is>
      </c>
      <c r="E8678" t="inlineStr">
        <is>
          <t>entradas</t>
        </is>
      </c>
      <c r="F8678" s="23" t="n">
        <v>46276</v>
      </c>
      <c r="G8678" s="24">
        <f>F8678-DATE(2026,8,31)</f>
        <v>11</v>
      </c>
      <c r="H8678" s="25" t="n">
        <v>1878911973</v>
      </c>
      <c r="I8678" t="inlineStr">
        <is>
          <t>entidad-dia</t>
        </is>
      </c>
    </row>
    <row r="8679">
      <c r="A8679" t="inlineStr">
        <is>
          <t>PRAGMA</t>
        </is>
      </c>
      <c r="B8679" t="inlineStr">
        <is>
          <t>M3</t>
        </is>
      </c>
      <c r="C8679" t="inlineStr">
        <is>
          <t>Cali</t>
        </is>
      </c>
      <c r="D8679" t="inlineStr">
        <is>
          <t>721</t>
        </is>
      </c>
      <c r="E8679" t="inlineStr">
        <is>
          <t>salidas</t>
        </is>
      </c>
      <c r="F8679" s="23" t="n">
        <v>46276</v>
      </c>
      <c r="G8679" s="24">
        <f>F8679-DATE(2026,8,31)</f>
        <v>11</v>
      </c>
      <c r="H8679" s="25" t="n">
        <v>1588783982</v>
      </c>
      <c r="I8679" t="inlineStr">
        <is>
          <t>entidad-dia</t>
        </is>
      </c>
    </row>
    <row r="8680">
      <c r="A8680" t="inlineStr">
        <is>
          <t>PRAGMA</t>
        </is>
      </c>
      <c r="B8680" t="inlineStr">
        <is>
          <t>M3</t>
        </is>
      </c>
      <c r="C8680" t="inlineStr">
        <is>
          <t>Cali</t>
        </is>
      </c>
      <c r="D8680" t="inlineStr">
        <is>
          <t>721</t>
        </is>
      </c>
      <c r="E8680" t="inlineStr">
        <is>
          <t>entradas</t>
        </is>
      </c>
      <c r="F8680" s="23" t="n">
        <v>46277</v>
      </c>
      <c r="G8680" s="24">
        <f>F8680-DATE(2026,8,31)</f>
        <v>12</v>
      </c>
      <c r="H8680" s="25" t="n">
        <v>11489916</v>
      </c>
      <c r="I8680" t="inlineStr">
        <is>
          <t>entidad-dia</t>
        </is>
      </c>
    </row>
    <row r="8681">
      <c r="A8681" t="inlineStr">
        <is>
          <t>PRAGMA</t>
        </is>
      </c>
      <c r="B8681" t="inlineStr">
        <is>
          <t>M3</t>
        </is>
      </c>
      <c r="C8681" t="inlineStr">
        <is>
          <t>Cali</t>
        </is>
      </c>
      <c r="D8681" t="inlineStr">
        <is>
          <t>721</t>
        </is>
      </c>
      <c r="E8681" t="inlineStr">
        <is>
          <t>salidas</t>
        </is>
      </c>
      <c r="F8681" s="23" t="n">
        <v>46277</v>
      </c>
      <c r="G8681" s="24">
        <f>F8681-DATE(2026,8,31)</f>
        <v>12</v>
      </c>
      <c r="H8681" s="25" t="n">
        <v>12662428</v>
      </c>
      <c r="I8681" t="inlineStr">
        <is>
          <t>entidad-dia</t>
        </is>
      </c>
    </row>
    <row r="8682">
      <c r="A8682" t="inlineStr">
        <is>
          <t>PRAGMA</t>
        </is>
      </c>
      <c r="B8682" t="inlineStr">
        <is>
          <t>M3</t>
        </is>
      </c>
      <c r="C8682" t="inlineStr">
        <is>
          <t>Cali</t>
        </is>
      </c>
      <c r="D8682" t="inlineStr">
        <is>
          <t>721</t>
        </is>
      </c>
      <c r="E8682" t="inlineStr">
        <is>
          <t>entradas</t>
        </is>
      </c>
      <c r="F8682" s="23" t="n">
        <v>46278</v>
      </c>
      <c r="G8682" s="24">
        <f>F8682-DATE(2026,8,31)</f>
        <v>13</v>
      </c>
      <c r="H8682" s="25" t="n">
        <v>272493</v>
      </c>
      <c r="I8682" t="inlineStr">
        <is>
          <t>entidad-dia</t>
        </is>
      </c>
    </row>
    <row r="8683">
      <c r="A8683" t="inlineStr">
        <is>
          <t>PRAGMA</t>
        </is>
      </c>
      <c r="B8683" t="inlineStr">
        <is>
          <t>M3</t>
        </is>
      </c>
      <c r="C8683" t="inlineStr">
        <is>
          <t>Cali</t>
        </is>
      </c>
      <c r="D8683" t="inlineStr">
        <is>
          <t>721</t>
        </is>
      </c>
      <c r="E8683" t="inlineStr">
        <is>
          <t>salidas</t>
        </is>
      </c>
      <c r="F8683" s="23" t="n">
        <v>46278</v>
      </c>
      <c r="G8683" s="24">
        <f>F8683-DATE(2026,8,31)</f>
        <v>13</v>
      </c>
      <c r="H8683" s="25" t="n">
        <v>0</v>
      </c>
      <c r="I8683" t="inlineStr">
        <is>
          <t>entidad-dia</t>
        </is>
      </c>
    </row>
    <row r="8684">
      <c r="A8684" t="inlineStr">
        <is>
          <t>PRAGMA</t>
        </is>
      </c>
      <c r="B8684" t="inlineStr">
        <is>
          <t>M3</t>
        </is>
      </c>
      <c r="C8684" t="inlineStr">
        <is>
          <t>Cali</t>
        </is>
      </c>
      <c r="D8684" t="inlineStr">
        <is>
          <t>721</t>
        </is>
      </c>
      <c r="E8684" t="inlineStr">
        <is>
          <t>entradas</t>
        </is>
      </c>
      <c r="F8684" s="23" t="n">
        <v>46279</v>
      </c>
      <c r="G8684" s="24">
        <f>F8684-DATE(2026,8,31)</f>
        <v>14</v>
      </c>
      <c r="H8684" s="25" t="n">
        <v>1530295916</v>
      </c>
      <c r="I8684" t="inlineStr">
        <is>
          <t>entidad-dia</t>
        </is>
      </c>
    </row>
    <row r="8685">
      <c r="A8685" t="inlineStr">
        <is>
          <t>PRAGMA</t>
        </is>
      </c>
      <c r="B8685" t="inlineStr">
        <is>
          <t>M3</t>
        </is>
      </c>
      <c r="C8685" t="inlineStr">
        <is>
          <t>Cali</t>
        </is>
      </c>
      <c r="D8685" t="inlineStr">
        <is>
          <t>721</t>
        </is>
      </c>
      <c r="E8685" t="inlineStr">
        <is>
          <t>salidas</t>
        </is>
      </c>
      <c r="F8685" s="23" t="n">
        <v>46279</v>
      </c>
      <c r="G8685" s="24">
        <f>F8685-DATE(2026,8,31)</f>
        <v>14</v>
      </c>
      <c r="H8685" s="25" t="n">
        <v>1334974415</v>
      </c>
      <c r="I8685" t="inlineStr">
        <is>
          <t>entidad-dia</t>
        </is>
      </c>
    </row>
    <row r="8686">
      <c r="A8686" t="inlineStr">
        <is>
          <t>PRAGMA</t>
        </is>
      </c>
      <c r="B8686" t="inlineStr">
        <is>
          <t>M3</t>
        </is>
      </c>
      <c r="C8686" t="inlineStr">
        <is>
          <t>Cali</t>
        </is>
      </c>
      <c r="D8686" t="inlineStr">
        <is>
          <t>721</t>
        </is>
      </c>
      <c r="E8686" t="inlineStr">
        <is>
          <t>entradas</t>
        </is>
      </c>
      <c r="F8686" s="23" t="n">
        <v>46280</v>
      </c>
      <c r="G8686" s="24">
        <f>F8686-DATE(2026,8,31)</f>
        <v>15</v>
      </c>
      <c r="H8686" s="25" t="n">
        <v>1771482721</v>
      </c>
      <c r="I8686" t="inlineStr">
        <is>
          <t>entidad-dia</t>
        </is>
      </c>
    </row>
    <row r="8687">
      <c r="A8687" t="inlineStr">
        <is>
          <t>PRAGMA</t>
        </is>
      </c>
      <c r="B8687" t="inlineStr">
        <is>
          <t>M3</t>
        </is>
      </c>
      <c r="C8687" t="inlineStr">
        <is>
          <t>Cali</t>
        </is>
      </c>
      <c r="D8687" t="inlineStr">
        <is>
          <t>721</t>
        </is>
      </c>
      <c r="E8687" t="inlineStr">
        <is>
          <t>salidas</t>
        </is>
      </c>
      <c r="F8687" s="23" t="n">
        <v>46280</v>
      </c>
      <c r="G8687" s="24">
        <f>F8687-DATE(2026,8,31)</f>
        <v>15</v>
      </c>
      <c r="H8687" s="25" t="n">
        <v>1655212573</v>
      </c>
      <c r="I8687" t="inlineStr">
        <is>
          <t>entidad-dia</t>
        </is>
      </c>
    </row>
    <row r="8688">
      <c r="A8688" t="inlineStr">
        <is>
          <t>PRAGMA</t>
        </is>
      </c>
      <c r="B8688" t="inlineStr">
        <is>
          <t>M3</t>
        </is>
      </c>
      <c r="C8688" t="inlineStr">
        <is>
          <t>Cali</t>
        </is>
      </c>
      <c r="D8688" t="inlineStr">
        <is>
          <t>742</t>
        </is>
      </c>
      <c r="E8688" t="inlineStr">
        <is>
          <t>entradas</t>
        </is>
      </c>
      <c r="F8688" s="23" t="n">
        <v>46266</v>
      </c>
      <c r="G8688" s="24">
        <f>F8688-DATE(2026,8,31)</f>
        <v>1</v>
      </c>
      <c r="H8688" s="25" t="n">
        <v>306677629</v>
      </c>
      <c r="I8688" t="inlineStr">
        <is>
          <t>entidad-dia</t>
        </is>
      </c>
    </row>
    <row r="8689">
      <c r="A8689" t="inlineStr">
        <is>
          <t>PRAGMA</t>
        </is>
      </c>
      <c r="B8689" t="inlineStr">
        <is>
          <t>M3</t>
        </is>
      </c>
      <c r="C8689" t="inlineStr">
        <is>
          <t>Cali</t>
        </is>
      </c>
      <c r="D8689" t="inlineStr">
        <is>
          <t>742</t>
        </is>
      </c>
      <c r="E8689" t="inlineStr">
        <is>
          <t>salidas</t>
        </is>
      </c>
      <c r="F8689" s="23" t="n">
        <v>46266</v>
      </c>
      <c r="G8689" s="24">
        <f>F8689-DATE(2026,8,31)</f>
        <v>1</v>
      </c>
      <c r="H8689" s="25" t="n">
        <v>321635402</v>
      </c>
      <c r="I8689" t="inlineStr">
        <is>
          <t>entidad-dia</t>
        </is>
      </c>
    </row>
    <row r="8690">
      <c r="A8690" t="inlineStr">
        <is>
          <t>PRAGMA</t>
        </is>
      </c>
      <c r="B8690" t="inlineStr">
        <is>
          <t>M3</t>
        </is>
      </c>
      <c r="C8690" t="inlineStr">
        <is>
          <t>Cali</t>
        </is>
      </c>
      <c r="D8690" t="inlineStr">
        <is>
          <t>742</t>
        </is>
      </c>
      <c r="E8690" t="inlineStr">
        <is>
          <t>entradas</t>
        </is>
      </c>
      <c r="F8690" s="23" t="n">
        <v>46267</v>
      </c>
      <c r="G8690" s="24">
        <f>F8690-DATE(2026,8,31)</f>
        <v>2</v>
      </c>
      <c r="H8690" s="25" t="n">
        <v>291494360</v>
      </c>
      <c r="I8690" t="inlineStr">
        <is>
          <t>entidad-dia</t>
        </is>
      </c>
    </row>
    <row r="8691">
      <c r="A8691" t="inlineStr">
        <is>
          <t>PRAGMA</t>
        </is>
      </c>
      <c r="B8691" t="inlineStr">
        <is>
          <t>M3</t>
        </is>
      </c>
      <c r="C8691" t="inlineStr">
        <is>
          <t>Cali</t>
        </is>
      </c>
      <c r="D8691" t="inlineStr">
        <is>
          <t>742</t>
        </is>
      </c>
      <c r="E8691" t="inlineStr">
        <is>
          <t>salidas</t>
        </is>
      </c>
      <c r="F8691" s="23" t="n">
        <v>46267</v>
      </c>
      <c r="G8691" s="24">
        <f>F8691-DATE(2026,8,31)</f>
        <v>2</v>
      </c>
      <c r="H8691" s="25" t="n">
        <v>339918257</v>
      </c>
      <c r="I8691" t="inlineStr">
        <is>
          <t>entidad-dia</t>
        </is>
      </c>
    </row>
    <row r="8692">
      <c r="A8692" t="inlineStr">
        <is>
          <t>PRAGMA</t>
        </is>
      </c>
      <c r="B8692" t="inlineStr">
        <is>
          <t>M3</t>
        </is>
      </c>
      <c r="C8692" t="inlineStr">
        <is>
          <t>Cali</t>
        </is>
      </c>
      <c r="D8692" t="inlineStr">
        <is>
          <t>742</t>
        </is>
      </c>
      <c r="E8692" t="inlineStr">
        <is>
          <t>entradas</t>
        </is>
      </c>
      <c r="F8692" s="23" t="n">
        <v>46268</v>
      </c>
      <c r="G8692" s="24">
        <f>F8692-DATE(2026,8,31)</f>
        <v>3</v>
      </c>
      <c r="H8692" s="25" t="n">
        <v>229484153</v>
      </c>
      <c r="I8692" t="inlineStr">
        <is>
          <t>entidad-dia</t>
        </is>
      </c>
    </row>
    <row r="8693">
      <c r="A8693" t="inlineStr">
        <is>
          <t>PRAGMA</t>
        </is>
      </c>
      <c r="B8693" t="inlineStr">
        <is>
          <t>M3</t>
        </is>
      </c>
      <c r="C8693" t="inlineStr">
        <is>
          <t>Cali</t>
        </is>
      </c>
      <c r="D8693" t="inlineStr">
        <is>
          <t>742</t>
        </is>
      </c>
      <c r="E8693" t="inlineStr">
        <is>
          <t>salidas</t>
        </is>
      </c>
      <c r="F8693" s="23" t="n">
        <v>46268</v>
      </c>
      <c r="G8693" s="24">
        <f>F8693-DATE(2026,8,31)</f>
        <v>3</v>
      </c>
      <c r="H8693" s="25" t="n">
        <v>225514406</v>
      </c>
      <c r="I8693" t="inlineStr">
        <is>
          <t>entidad-dia</t>
        </is>
      </c>
    </row>
    <row r="8694">
      <c r="A8694" t="inlineStr">
        <is>
          <t>PRAGMA</t>
        </is>
      </c>
      <c r="B8694" t="inlineStr">
        <is>
          <t>M3</t>
        </is>
      </c>
      <c r="C8694" t="inlineStr">
        <is>
          <t>Cali</t>
        </is>
      </c>
      <c r="D8694" t="inlineStr">
        <is>
          <t>742</t>
        </is>
      </c>
      <c r="E8694" t="inlineStr">
        <is>
          <t>entradas</t>
        </is>
      </c>
      <c r="F8694" s="23" t="n">
        <v>46269</v>
      </c>
      <c r="G8694" s="24">
        <f>F8694-DATE(2026,8,31)</f>
        <v>4</v>
      </c>
      <c r="H8694" s="25" t="n">
        <v>320446936</v>
      </c>
      <c r="I8694" t="inlineStr">
        <is>
          <t>entidad-dia</t>
        </is>
      </c>
    </row>
    <row r="8695">
      <c r="A8695" t="inlineStr">
        <is>
          <t>PRAGMA</t>
        </is>
      </c>
      <c r="B8695" t="inlineStr">
        <is>
          <t>M3</t>
        </is>
      </c>
      <c r="C8695" t="inlineStr">
        <is>
          <t>Cali</t>
        </is>
      </c>
      <c r="D8695" t="inlineStr">
        <is>
          <t>742</t>
        </is>
      </c>
      <c r="E8695" t="inlineStr">
        <is>
          <t>salidas</t>
        </is>
      </c>
      <c r="F8695" s="23" t="n">
        <v>46269</v>
      </c>
      <c r="G8695" s="24">
        <f>F8695-DATE(2026,8,31)</f>
        <v>4</v>
      </c>
      <c r="H8695" s="25" t="n">
        <v>365405895</v>
      </c>
      <c r="I8695" t="inlineStr">
        <is>
          <t>entidad-dia</t>
        </is>
      </c>
    </row>
    <row r="8696">
      <c r="A8696" t="inlineStr">
        <is>
          <t>PRAGMA</t>
        </is>
      </c>
      <c r="B8696" t="inlineStr">
        <is>
          <t>M3</t>
        </is>
      </c>
      <c r="C8696" t="inlineStr">
        <is>
          <t>Cali</t>
        </is>
      </c>
      <c r="D8696" t="inlineStr">
        <is>
          <t>742</t>
        </is>
      </c>
      <c r="E8696" t="inlineStr">
        <is>
          <t>entradas</t>
        </is>
      </c>
      <c r="F8696" s="23" t="n">
        <v>46270</v>
      </c>
      <c r="G8696" s="24">
        <f>F8696-DATE(2026,8,31)</f>
        <v>5</v>
      </c>
      <c r="H8696" s="25" t="n">
        <v>625259</v>
      </c>
      <c r="I8696" t="inlineStr">
        <is>
          <t>entidad-dia</t>
        </is>
      </c>
    </row>
    <row r="8697">
      <c r="A8697" t="inlineStr">
        <is>
          <t>PRAGMA</t>
        </is>
      </c>
      <c r="B8697" t="inlineStr">
        <is>
          <t>M3</t>
        </is>
      </c>
      <c r="C8697" t="inlineStr">
        <is>
          <t>Cali</t>
        </is>
      </c>
      <c r="D8697" t="inlineStr">
        <is>
          <t>742</t>
        </is>
      </c>
      <c r="E8697" t="inlineStr">
        <is>
          <t>salidas</t>
        </is>
      </c>
      <c r="F8697" s="23" t="n">
        <v>46270</v>
      </c>
      <c r="G8697" s="24">
        <f>F8697-DATE(2026,8,31)</f>
        <v>5</v>
      </c>
      <c r="H8697" s="25" t="n">
        <v>0</v>
      </c>
      <c r="I8697" t="inlineStr">
        <is>
          <t>entidad-dia</t>
        </is>
      </c>
    </row>
    <row r="8698">
      <c r="A8698" t="inlineStr">
        <is>
          <t>PRAGMA</t>
        </is>
      </c>
      <c r="B8698" t="inlineStr">
        <is>
          <t>M3</t>
        </is>
      </c>
      <c r="C8698" t="inlineStr">
        <is>
          <t>Cali</t>
        </is>
      </c>
      <c r="D8698" t="inlineStr">
        <is>
          <t>742</t>
        </is>
      </c>
      <c r="E8698" t="inlineStr">
        <is>
          <t>entradas</t>
        </is>
      </c>
      <c r="F8698" s="23" t="n">
        <v>46271</v>
      </c>
      <c r="G8698" s="24">
        <f>F8698-DATE(2026,8,31)</f>
        <v>6</v>
      </c>
      <c r="H8698" s="25" t="n">
        <v>89704</v>
      </c>
      <c r="I8698" t="inlineStr">
        <is>
          <t>entidad-dia</t>
        </is>
      </c>
    </row>
    <row r="8699">
      <c r="A8699" t="inlineStr">
        <is>
          <t>PRAGMA</t>
        </is>
      </c>
      <c r="B8699" t="inlineStr">
        <is>
          <t>M3</t>
        </is>
      </c>
      <c r="C8699" t="inlineStr">
        <is>
          <t>Cali</t>
        </is>
      </c>
      <c r="D8699" t="inlineStr">
        <is>
          <t>742</t>
        </is>
      </c>
      <c r="E8699" t="inlineStr">
        <is>
          <t>salidas</t>
        </is>
      </c>
      <c r="F8699" s="23" t="n">
        <v>46271</v>
      </c>
      <c r="G8699" s="24">
        <f>F8699-DATE(2026,8,31)</f>
        <v>6</v>
      </c>
      <c r="H8699" s="25" t="n">
        <v>0</v>
      </c>
      <c r="I8699" t="inlineStr">
        <is>
          <t>entidad-dia</t>
        </is>
      </c>
    </row>
    <row r="8700">
      <c r="A8700" t="inlineStr">
        <is>
          <t>PRAGMA</t>
        </is>
      </c>
      <c r="B8700" t="inlineStr">
        <is>
          <t>M3</t>
        </is>
      </c>
      <c r="C8700" t="inlineStr">
        <is>
          <t>Cali</t>
        </is>
      </c>
      <c r="D8700" t="inlineStr">
        <is>
          <t>742</t>
        </is>
      </c>
      <c r="E8700" t="inlineStr">
        <is>
          <t>entradas</t>
        </is>
      </c>
      <c r="F8700" s="23" t="n">
        <v>46272</v>
      </c>
      <c r="G8700" s="24">
        <f>F8700-DATE(2026,8,31)</f>
        <v>7</v>
      </c>
      <c r="H8700" s="25" t="n">
        <v>262562916</v>
      </c>
      <c r="I8700" t="inlineStr">
        <is>
          <t>entidad-dia</t>
        </is>
      </c>
    </row>
    <row r="8701">
      <c r="A8701" t="inlineStr">
        <is>
          <t>PRAGMA</t>
        </is>
      </c>
      <c r="B8701" t="inlineStr">
        <is>
          <t>M3</t>
        </is>
      </c>
      <c r="C8701" t="inlineStr">
        <is>
          <t>Cali</t>
        </is>
      </c>
      <c r="D8701" t="inlineStr">
        <is>
          <t>742</t>
        </is>
      </c>
      <c r="E8701" t="inlineStr">
        <is>
          <t>salidas</t>
        </is>
      </c>
      <c r="F8701" s="23" t="n">
        <v>46272</v>
      </c>
      <c r="G8701" s="24">
        <f>F8701-DATE(2026,8,31)</f>
        <v>7</v>
      </c>
      <c r="H8701" s="25" t="n">
        <v>296141104</v>
      </c>
      <c r="I8701" t="inlineStr">
        <is>
          <t>entidad-dia</t>
        </is>
      </c>
    </row>
    <row r="8702">
      <c r="A8702" t="inlineStr">
        <is>
          <t>PRAGMA</t>
        </is>
      </c>
      <c r="B8702" t="inlineStr">
        <is>
          <t>M3</t>
        </is>
      </c>
      <c r="C8702" t="inlineStr">
        <is>
          <t>Cali</t>
        </is>
      </c>
      <c r="D8702" t="inlineStr">
        <is>
          <t>742</t>
        </is>
      </c>
      <c r="E8702" t="inlineStr">
        <is>
          <t>entradas</t>
        </is>
      </c>
      <c r="F8702" s="23" t="n">
        <v>46273</v>
      </c>
      <c r="G8702" s="24">
        <f>F8702-DATE(2026,8,31)</f>
        <v>8</v>
      </c>
      <c r="H8702" s="25" t="n">
        <v>295919507</v>
      </c>
      <c r="I8702" t="inlineStr">
        <is>
          <t>entidad-dia</t>
        </is>
      </c>
    </row>
    <row r="8703">
      <c r="A8703" t="inlineStr">
        <is>
          <t>PRAGMA</t>
        </is>
      </c>
      <c r="B8703" t="inlineStr">
        <is>
          <t>M3</t>
        </is>
      </c>
      <c r="C8703" t="inlineStr">
        <is>
          <t>Cali</t>
        </is>
      </c>
      <c r="D8703" t="inlineStr">
        <is>
          <t>742</t>
        </is>
      </c>
      <c r="E8703" t="inlineStr">
        <is>
          <t>salidas</t>
        </is>
      </c>
      <c r="F8703" s="23" t="n">
        <v>46273</v>
      </c>
      <c r="G8703" s="24">
        <f>F8703-DATE(2026,8,31)</f>
        <v>8</v>
      </c>
      <c r="H8703" s="25" t="n">
        <v>292015449</v>
      </c>
      <c r="I8703" t="inlineStr">
        <is>
          <t>entidad-dia</t>
        </is>
      </c>
    </row>
    <row r="8704">
      <c r="A8704" t="inlineStr">
        <is>
          <t>PRAGMA</t>
        </is>
      </c>
      <c r="B8704" t="inlineStr">
        <is>
          <t>M3</t>
        </is>
      </c>
      <c r="C8704" t="inlineStr">
        <is>
          <t>Cali</t>
        </is>
      </c>
      <c r="D8704" t="inlineStr">
        <is>
          <t>742</t>
        </is>
      </c>
      <c r="E8704" t="inlineStr">
        <is>
          <t>entradas</t>
        </is>
      </c>
      <c r="F8704" s="23" t="n">
        <v>46274</v>
      </c>
      <c r="G8704" s="24">
        <f>F8704-DATE(2026,8,31)</f>
        <v>9</v>
      </c>
      <c r="H8704" s="25" t="n">
        <v>285228479</v>
      </c>
      <c r="I8704" t="inlineStr">
        <is>
          <t>entidad-dia</t>
        </is>
      </c>
    </row>
    <row r="8705">
      <c r="A8705" t="inlineStr">
        <is>
          <t>PRAGMA</t>
        </is>
      </c>
      <c r="B8705" t="inlineStr">
        <is>
          <t>M3</t>
        </is>
      </c>
      <c r="C8705" t="inlineStr">
        <is>
          <t>Cali</t>
        </is>
      </c>
      <c r="D8705" t="inlineStr">
        <is>
          <t>742</t>
        </is>
      </c>
      <c r="E8705" t="inlineStr">
        <is>
          <t>salidas</t>
        </is>
      </c>
      <c r="F8705" s="23" t="n">
        <v>46274</v>
      </c>
      <c r="G8705" s="24">
        <f>F8705-DATE(2026,8,31)</f>
        <v>9</v>
      </c>
      <c r="H8705" s="25" t="n">
        <v>316357242</v>
      </c>
      <c r="I8705" t="inlineStr">
        <is>
          <t>entidad-dia</t>
        </is>
      </c>
    </row>
    <row r="8706">
      <c r="A8706" t="inlineStr">
        <is>
          <t>PRAGMA</t>
        </is>
      </c>
      <c r="B8706" t="inlineStr">
        <is>
          <t>M3</t>
        </is>
      </c>
      <c r="C8706" t="inlineStr">
        <is>
          <t>Cali</t>
        </is>
      </c>
      <c r="D8706" t="inlineStr">
        <is>
          <t>742</t>
        </is>
      </c>
      <c r="E8706" t="inlineStr">
        <is>
          <t>entradas</t>
        </is>
      </c>
      <c r="F8706" s="23" t="n">
        <v>46275</v>
      </c>
      <c r="G8706" s="24">
        <f>F8706-DATE(2026,8,31)</f>
        <v>10</v>
      </c>
      <c r="H8706" s="25" t="n">
        <v>232692809</v>
      </c>
      <c r="I8706" t="inlineStr">
        <is>
          <t>entidad-dia</t>
        </is>
      </c>
    </row>
    <row r="8707">
      <c r="A8707" t="inlineStr">
        <is>
          <t>PRAGMA</t>
        </is>
      </c>
      <c r="B8707" t="inlineStr">
        <is>
          <t>M3</t>
        </is>
      </c>
      <c r="C8707" t="inlineStr">
        <is>
          <t>Cali</t>
        </is>
      </c>
      <c r="D8707" t="inlineStr">
        <is>
          <t>742</t>
        </is>
      </c>
      <c r="E8707" t="inlineStr">
        <is>
          <t>salidas</t>
        </is>
      </c>
      <c r="F8707" s="23" t="n">
        <v>46275</v>
      </c>
      <c r="G8707" s="24">
        <f>F8707-DATE(2026,8,31)</f>
        <v>10</v>
      </c>
      <c r="H8707" s="25" t="n">
        <v>306242021</v>
      </c>
      <c r="I8707" t="inlineStr">
        <is>
          <t>entidad-dia</t>
        </is>
      </c>
    </row>
    <row r="8708">
      <c r="A8708" t="inlineStr">
        <is>
          <t>PRAGMA</t>
        </is>
      </c>
      <c r="B8708" t="inlineStr">
        <is>
          <t>M3</t>
        </is>
      </c>
      <c r="C8708" t="inlineStr">
        <is>
          <t>Cali</t>
        </is>
      </c>
      <c r="D8708" t="inlineStr">
        <is>
          <t>742</t>
        </is>
      </c>
      <c r="E8708" t="inlineStr">
        <is>
          <t>entradas</t>
        </is>
      </c>
      <c r="F8708" s="23" t="n">
        <v>46276</v>
      </c>
      <c r="G8708" s="24">
        <f>F8708-DATE(2026,8,31)</f>
        <v>11</v>
      </c>
      <c r="H8708" s="25" t="n">
        <v>312886649</v>
      </c>
      <c r="I8708" t="inlineStr">
        <is>
          <t>entidad-dia</t>
        </is>
      </c>
    </row>
    <row r="8709">
      <c r="A8709" t="inlineStr">
        <is>
          <t>PRAGMA</t>
        </is>
      </c>
      <c r="B8709" t="inlineStr">
        <is>
          <t>M3</t>
        </is>
      </c>
      <c r="C8709" t="inlineStr">
        <is>
          <t>Cali</t>
        </is>
      </c>
      <c r="D8709" t="inlineStr">
        <is>
          <t>742</t>
        </is>
      </c>
      <c r="E8709" t="inlineStr">
        <is>
          <t>salidas</t>
        </is>
      </c>
      <c r="F8709" s="23" t="n">
        <v>46276</v>
      </c>
      <c r="G8709" s="24">
        <f>F8709-DATE(2026,8,31)</f>
        <v>11</v>
      </c>
      <c r="H8709" s="25" t="n">
        <v>348531803</v>
      </c>
      <c r="I8709" t="inlineStr">
        <is>
          <t>entidad-dia</t>
        </is>
      </c>
    </row>
    <row r="8710">
      <c r="A8710" t="inlineStr">
        <is>
          <t>PRAGMA</t>
        </is>
      </c>
      <c r="B8710" t="inlineStr">
        <is>
          <t>M3</t>
        </is>
      </c>
      <c r="C8710" t="inlineStr">
        <is>
          <t>Cali</t>
        </is>
      </c>
      <c r="D8710" t="inlineStr">
        <is>
          <t>742</t>
        </is>
      </c>
      <c r="E8710" t="inlineStr">
        <is>
          <t>entradas</t>
        </is>
      </c>
      <c r="F8710" s="23" t="n">
        <v>46277</v>
      </c>
      <c r="G8710" s="24">
        <f>F8710-DATE(2026,8,31)</f>
        <v>12</v>
      </c>
      <c r="H8710" s="25" t="n">
        <v>571009</v>
      </c>
      <c r="I8710" t="inlineStr">
        <is>
          <t>entidad-dia</t>
        </is>
      </c>
    </row>
    <row r="8711">
      <c r="A8711" t="inlineStr">
        <is>
          <t>PRAGMA</t>
        </is>
      </c>
      <c r="B8711" t="inlineStr">
        <is>
          <t>M3</t>
        </is>
      </c>
      <c r="C8711" t="inlineStr">
        <is>
          <t>Cali</t>
        </is>
      </c>
      <c r="D8711" t="inlineStr">
        <is>
          <t>742</t>
        </is>
      </c>
      <c r="E8711" t="inlineStr">
        <is>
          <t>salidas</t>
        </is>
      </c>
      <c r="F8711" s="23" t="n">
        <v>46277</v>
      </c>
      <c r="G8711" s="24">
        <f>F8711-DATE(2026,8,31)</f>
        <v>12</v>
      </c>
      <c r="H8711" s="25" t="n">
        <v>0</v>
      </c>
      <c r="I8711" t="inlineStr">
        <is>
          <t>entidad-dia</t>
        </is>
      </c>
    </row>
    <row r="8712">
      <c r="A8712" t="inlineStr">
        <is>
          <t>PRAGMA</t>
        </is>
      </c>
      <c r="B8712" t="inlineStr">
        <is>
          <t>M3</t>
        </is>
      </c>
      <c r="C8712" t="inlineStr">
        <is>
          <t>Cali</t>
        </is>
      </c>
      <c r="D8712" t="inlineStr">
        <is>
          <t>742</t>
        </is>
      </c>
      <c r="E8712" t="inlineStr">
        <is>
          <t>entradas</t>
        </is>
      </c>
      <c r="F8712" s="23" t="n">
        <v>46278</v>
      </c>
      <c r="G8712" s="24">
        <f>F8712-DATE(2026,8,31)</f>
        <v>13</v>
      </c>
      <c r="H8712" s="25" t="n">
        <v>131021</v>
      </c>
      <c r="I8712" t="inlineStr">
        <is>
          <t>entidad-dia</t>
        </is>
      </c>
    </row>
    <row r="8713">
      <c r="A8713" t="inlineStr">
        <is>
          <t>PRAGMA</t>
        </is>
      </c>
      <c r="B8713" t="inlineStr">
        <is>
          <t>M3</t>
        </is>
      </c>
      <c r="C8713" t="inlineStr">
        <is>
          <t>Cali</t>
        </is>
      </c>
      <c r="D8713" t="inlineStr">
        <is>
          <t>742</t>
        </is>
      </c>
      <c r="E8713" t="inlineStr">
        <is>
          <t>salidas</t>
        </is>
      </c>
      <c r="F8713" s="23" t="n">
        <v>46278</v>
      </c>
      <c r="G8713" s="24">
        <f>F8713-DATE(2026,8,31)</f>
        <v>13</v>
      </c>
      <c r="H8713" s="25" t="n">
        <v>0</v>
      </c>
      <c r="I8713" t="inlineStr">
        <is>
          <t>entidad-dia</t>
        </is>
      </c>
    </row>
    <row r="8714">
      <c r="A8714" t="inlineStr">
        <is>
          <t>PRAGMA</t>
        </is>
      </c>
      <c r="B8714" t="inlineStr">
        <is>
          <t>M3</t>
        </is>
      </c>
      <c r="C8714" t="inlineStr">
        <is>
          <t>Cali</t>
        </is>
      </c>
      <c r="D8714" t="inlineStr">
        <is>
          <t>742</t>
        </is>
      </c>
      <c r="E8714" t="inlineStr">
        <is>
          <t>entradas</t>
        </is>
      </c>
      <c r="F8714" s="23" t="n">
        <v>46279</v>
      </c>
      <c r="G8714" s="24">
        <f>F8714-DATE(2026,8,31)</f>
        <v>14</v>
      </c>
      <c r="H8714" s="25" t="n">
        <v>282319591</v>
      </c>
      <c r="I8714" t="inlineStr">
        <is>
          <t>entidad-dia</t>
        </is>
      </c>
    </row>
    <row r="8715">
      <c r="A8715" t="inlineStr">
        <is>
          <t>PRAGMA</t>
        </is>
      </c>
      <c r="B8715" t="inlineStr">
        <is>
          <t>M3</t>
        </is>
      </c>
      <c r="C8715" t="inlineStr">
        <is>
          <t>Cali</t>
        </is>
      </c>
      <c r="D8715" t="inlineStr">
        <is>
          <t>742</t>
        </is>
      </c>
      <c r="E8715" t="inlineStr">
        <is>
          <t>salidas</t>
        </is>
      </c>
      <c r="F8715" s="23" t="n">
        <v>46279</v>
      </c>
      <c r="G8715" s="24">
        <f>F8715-DATE(2026,8,31)</f>
        <v>14</v>
      </c>
      <c r="H8715" s="25" t="n">
        <v>315117779</v>
      </c>
      <c r="I8715" t="inlineStr">
        <is>
          <t>entidad-dia</t>
        </is>
      </c>
    </row>
    <row r="8716">
      <c r="A8716" t="inlineStr">
        <is>
          <t>PRAGMA</t>
        </is>
      </c>
      <c r="B8716" t="inlineStr">
        <is>
          <t>M3</t>
        </is>
      </c>
      <c r="C8716" t="inlineStr">
        <is>
          <t>Cali</t>
        </is>
      </c>
      <c r="D8716" t="inlineStr">
        <is>
          <t>742</t>
        </is>
      </c>
      <c r="E8716" t="inlineStr">
        <is>
          <t>entradas</t>
        </is>
      </c>
      <c r="F8716" s="23" t="n">
        <v>46280</v>
      </c>
      <c r="G8716" s="24">
        <f>F8716-DATE(2026,8,31)</f>
        <v>15</v>
      </c>
      <c r="H8716" s="25" t="n">
        <v>313784212</v>
      </c>
      <c r="I8716" t="inlineStr">
        <is>
          <t>entidad-dia</t>
        </is>
      </c>
    </row>
    <row r="8717">
      <c r="A8717" t="inlineStr">
        <is>
          <t>PRAGMA</t>
        </is>
      </c>
      <c r="B8717" t="inlineStr">
        <is>
          <t>M3</t>
        </is>
      </c>
      <c r="C8717" t="inlineStr">
        <is>
          <t>Cali</t>
        </is>
      </c>
      <c r="D8717" t="inlineStr">
        <is>
          <t>742</t>
        </is>
      </c>
      <c r="E8717" t="inlineStr">
        <is>
          <t>salidas</t>
        </is>
      </c>
      <c r="F8717" s="23" t="n">
        <v>46280</v>
      </c>
      <c r="G8717" s="24">
        <f>F8717-DATE(2026,8,31)</f>
        <v>15</v>
      </c>
      <c r="H8717" s="25" t="n">
        <v>302452015</v>
      </c>
      <c r="I8717" t="inlineStr">
        <is>
          <t>entidad-dia</t>
        </is>
      </c>
    </row>
    <row r="8718">
      <c r="A8718" t="inlineStr">
        <is>
          <t>PRAGMA</t>
        </is>
      </c>
      <c r="B8718" t="inlineStr">
        <is>
          <t>M3</t>
        </is>
      </c>
      <c r="C8718" t="inlineStr">
        <is>
          <t>Cali</t>
        </is>
      </c>
      <c r="D8718" t="inlineStr">
        <is>
          <t>746</t>
        </is>
      </c>
      <c r="E8718" t="inlineStr">
        <is>
          <t>entradas</t>
        </is>
      </c>
      <c r="F8718" s="23" t="n">
        <v>46266</v>
      </c>
      <c r="G8718" s="24">
        <f>F8718-DATE(2026,8,31)</f>
        <v>1</v>
      </c>
      <c r="H8718" s="25" t="n">
        <v>761251934</v>
      </c>
      <c r="I8718" t="inlineStr">
        <is>
          <t>entidad-dia</t>
        </is>
      </c>
    </row>
    <row r="8719">
      <c r="A8719" t="inlineStr">
        <is>
          <t>PRAGMA</t>
        </is>
      </c>
      <c r="B8719" t="inlineStr">
        <is>
          <t>M3</t>
        </is>
      </c>
      <c r="C8719" t="inlineStr">
        <is>
          <t>Cali</t>
        </is>
      </c>
      <c r="D8719" t="inlineStr">
        <is>
          <t>746</t>
        </is>
      </c>
      <c r="E8719" t="inlineStr">
        <is>
          <t>salidas</t>
        </is>
      </c>
      <c r="F8719" s="23" t="n">
        <v>46266</v>
      </c>
      <c r="G8719" s="24">
        <f>F8719-DATE(2026,8,31)</f>
        <v>1</v>
      </c>
      <c r="H8719" s="25" t="n">
        <v>508964425</v>
      </c>
      <c r="I8719" t="inlineStr">
        <is>
          <t>entidad-dia</t>
        </is>
      </c>
    </row>
    <row r="8720">
      <c r="A8720" t="inlineStr">
        <is>
          <t>PRAGMA</t>
        </is>
      </c>
      <c r="B8720" t="inlineStr">
        <is>
          <t>M3</t>
        </is>
      </c>
      <c r="C8720" t="inlineStr">
        <is>
          <t>Cali</t>
        </is>
      </c>
      <c r="D8720" t="inlineStr">
        <is>
          <t>746</t>
        </is>
      </c>
      <c r="E8720" t="inlineStr">
        <is>
          <t>entradas</t>
        </is>
      </c>
      <c r="F8720" s="23" t="n">
        <v>46267</v>
      </c>
      <c r="G8720" s="24">
        <f>F8720-DATE(2026,8,31)</f>
        <v>2</v>
      </c>
      <c r="H8720" s="25" t="n">
        <v>717248018</v>
      </c>
      <c r="I8720" t="inlineStr">
        <is>
          <t>entidad-dia</t>
        </is>
      </c>
    </row>
    <row r="8721">
      <c r="A8721" t="inlineStr">
        <is>
          <t>PRAGMA</t>
        </is>
      </c>
      <c r="B8721" t="inlineStr">
        <is>
          <t>M3</t>
        </is>
      </c>
      <c r="C8721" t="inlineStr">
        <is>
          <t>Cali</t>
        </is>
      </c>
      <c r="D8721" t="inlineStr">
        <is>
          <t>746</t>
        </is>
      </c>
      <c r="E8721" t="inlineStr">
        <is>
          <t>salidas</t>
        </is>
      </c>
      <c r="F8721" s="23" t="n">
        <v>46267</v>
      </c>
      <c r="G8721" s="24">
        <f>F8721-DATE(2026,8,31)</f>
        <v>2</v>
      </c>
      <c r="H8721" s="25" t="n">
        <v>520530667</v>
      </c>
      <c r="I8721" t="inlineStr">
        <is>
          <t>entidad-dia</t>
        </is>
      </c>
    </row>
    <row r="8722">
      <c r="A8722" t="inlineStr">
        <is>
          <t>PRAGMA</t>
        </is>
      </c>
      <c r="B8722" t="inlineStr">
        <is>
          <t>M3</t>
        </is>
      </c>
      <c r="C8722" t="inlineStr">
        <is>
          <t>Cali</t>
        </is>
      </c>
      <c r="D8722" t="inlineStr">
        <is>
          <t>746</t>
        </is>
      </c>
      <c r="E8722" t="inlineStr">
        <is>
          <t>entradas</t>
        </is>
      </c>
      <c r="F8722" s="23" t="n">
        <v>46268</v>
      </c>
      <c r="G8722" s="24">
        <f>F8722-DATE(2026,8,31)</f>
        <v>3</v>
      </c>
      <c r="H8722" s="25" t="n">
        <v>675460250</v>
      </c>
      <c r="I8722" t="inlineStr">
        <is>
          <t>entidad-dia</t>
        </is>
      </c>
    </row>
    <row r="8723">
      <c r="A8723" t="inlineStr">
        <is>
          <t>PRAGMA</t>
        </is>
      </c>
      <c r="B8723" t="inlineStr">
        <is>
          <t>M3</t>
        </is>
      </c>
      <c r="C8723" t="inlineStr">
        <is>
          <t>Cali</t>
        </is>
      </c>
      <c r="D8723" t="inlineStr">
        <is>
          <t>746</t>
        </is>
      </c>
      <c r="E8723" t="inlineStr">
        <is>
          <t>salidas</t>
        </is>
      </c>
      <c r="F8723" s="23" t="n">
        <v>46268</v>
      </c>
      <c r="G8723" s="24">
        <f>F8723-DATE(2026,8,31)</f>
        <v>3</v>
      </c>
      <c r="H8723" s="25" t="n">
        <v>316089482</v>
      </c>
      <c r="I8723" t="inlineStr">
        <is>
          <t>entidad-dia</t>
        </is>
      </c>
    </row>
    <row r="8724">
      <c r="A8724" t="inlineStr">
        <is>
          <t>PRAGMA</t>
        </is>
      </c>
      <c r="B8724" t="inlineStr">
        <is>
          <t>M3</t>
        </is>
      </c>
      <c r="C8724" t="inlineStr">
        <is>
          <t>Cali</t>
        </is>
      </c>
      <c r="D8724" t="inlineStr">
        <is>
          <t>746</t>
        </is>
      </c>
      <c r="E8724" t="inlineStr">
        <is>
          <t>entradas</t>
        </is>
      </c>
      <c r="F8724" s="23" t="n">
        <v>46269</v>
      </c>
      <c r="G8724" s="24">
        <f>F8724-DATE(2026,8,31)</f>
        <v>4</v>
      </c>
      <c r="H8724" s="25" t="n">
        <v>762580741</v>
      </c>
      <c r="I8724" t="inlineStr">
        <is>
          <t>entidad-dia</t>
        </is>
      </c>
    </row>
    <row r="8725">
      <c r="A8725" t="inlineStr">
        <is>
          <t>PRAGMA</t>
        </is>
      </c>
      <c r="B8725" t="inlineStr">
        <is>
          <t>M3</t>
        </is>
      </c>
      <c r="C8725" t="inlineStr">
        <is>
          <t>Cali</t>
        </is>
      </c>
      <c r="D8725" t="inlineStr">
        <is>
          <t>746</t>
        </is>
      </c>
      <c r="E8725" t="inlineStr">
        <is>
          <t>salidas</t>
        </is>
      </c>
      <c r="F8725" s="23" t="n">
        <v>46269</v>
      </c>
      <c r="G8725" s="24">
        <f>F8725-DATE(2026,8,31)</f>
        <v>4</v>
      </c>
      <c r="H8725" s="25" t="n">
        <v>546273239</v>
      </c>
      <c r="I8725" t="inlineStr">
        <is>
          <t>entidad-dia</t>
        </is>
      </c>
    </row>
    <row r="8726">
      <c r="A8726" t="inlineStr">
        <is>
          <t>PRAGMA</t>
        </is>
      </c>
      <c r="B8726" t="inlineStr">
        <is>
          <t>M3</t>
        </is>
      </c>
      <c r="C8726" t="inlineStr">
        <is>
          <t>Cali</t>
        </is>
      </c>
      <c r="D8726" t="inlineStr">
        <is>
          <t>746</t>
        </is>
      </c>
      <c r="E8726" t="inlineStr">
        <is>
          <t>entradas</t>
        </is>
      </c>
      <c r="F8726" s="23" t="n">
        <v>46270</v>
      </c>
      <c r="G8726" s="24">
        <f>F8726-DATE(2026,8,31)</f>
        <v>5</v>
      </c>
      <c r="H8726" s="25" t="n">
        <v>387300158</v>
      </c>
      <c r="I8726" t="inlineStr">
        <is>
          <t>entidad-dia</t>
        </is>
      </c>
    </row>
    <row r="8727">
      <c r="A8727" t="inlineStr">
        <is>
          <t>PRAGMA</t>
        </is>
      </c>
      <c r="B8727" t="inlineStr">
        <is>
          <t>M3</t>
        </is>
      </c>
      <c r="C8727" t="inlineStr">
        <is>
          <t>Cali</t>
        </is>
      </c>
      <c r="D8727" t="inlineStr">
        <is>
          <t>746</t>
        </is>
      </c>
      <c r="E8727" t="inlineStr">
        <is>
          <t>salidas</t>
        </is>
      </c>
      <c r="F8727" s="23" t="n">
        <v>46270</v>
      </c>
      <c r="G8727" s="24">
        <f>F8727-DATE(2026,8,31)</f>
        <v>5</v>
      </c>
      <c r="H8727" s="25" t="n">
        <v>371114141</v>
      </c>
      <c r="I8727" t="inlineStr">
        <is>
          <t>entidad-dia</t>
        </is>
      </c>
    </row>
    <row r="8728">
      <c r="A8728" t="inlineStr">
        <is>
          <t>PRAGMA</t>
        </is>
      </c>
      <c r="B8728" t="inlineStr">
        <is>
          <t>M3</t>
        </is>
      </c>
      <c r="C8728" t="inlineStr">
        <is>
          <t>Cali</t>
        </is>
      </c>
      <c r="D8728" t="inlineStr">
        <is>
          <t>746</t>
        </is>
      </c>
      <c r="E8728" t="inlineStr">
        <is>
          <t>entradas</t>
        </is>
      </c>
      <c r="F8728" s="23" t="n">
        <v>46271</v>
      </c>
      <c r="G8728" s="24">
        <f>F8728-DATE(2026,8,31)</f>
        <v>6</v>
      </c>
      <c r="H8728" s="25" t="n">
        <v>4846450</v>
      </c>
      <c r="I8728" t="inlineStr">
        <is>
          <t>entidad-dia</t>
        </is>
      </c>
    </row>
    <row r="8729">
      <c r="A8729" t="inlineStr">
        <is>
          <t>PRAGMA</t>
        </is>
      </c>
      <c r="B8729" t="inlineStr">
        <is>
          <t>M3</t>
        </is>
      </c>
      <c r="C8729" t="inlineStr">
        <is>
          <t>Cali</t>
        </is>
      </c>
      <c r="D8729" t="inlineStr">
        <is>
          <t>746</t>
        </is>
      </c>
      <c r="E8729" t="inlineStr">
        <is>
          <t>salidas</t>
        </is>
      </c>
      <c r="F8729" s="23" t="n">
        <v>46271</v>
      </c>
      <c r="G8729" s="24">
        <f>F8729-DATE(2026,8,31)</f>
        <v>6</v>
      </c>
      <c r="H8729" s="25" t="n">
        <v>0</v>
      </c>
      <c r="I8729" t="inlineStr">
        <is>
          <t>entidad-dia</t>
        </is>
      </c>
    </row>
    <row r="8730">
      <c r="A8730" t="inlineStr">
        <is>
          <t>PRAGMA</t>
        </is>
      </c>
      <c r="B8730" t="inlineStr">
        <is>
          <t>M3</t>
        </is>
      </c>
      <c r="C8730" t="inlineStr">
        <is>
          <t>Cali</t>
        </is>
      </c>
      <c r="D8730" t="inlineStr">
        <is>
          <t>746</t>
        </is>
      </c>
      <c r="E8730" t="inlineStr">
        <is>
          <t>entradas</t>
        </is>
      </c>
      <c r="F8730" s="23" t="n">
        <v>46272</v>
      </c>
      <c r="G8730" s="24">
        <f>F8730-DATE(2026,8,31)</f>
        <v>7</v>
      </c>
      <c r="H8730" s="25" t="n">
        <v>716689715</v>
      </c>
      <c r="I8730" t="inlineStr">
        <is>
          <t>entidad-dia</t>
        </is>
      </c>
    </row>
    <row r="8731">
      <c r="A8731" t="inlineStr">
        <is>
          <t>PRAGMA</t>
        </is>
      </c>
      <c r="B8731" t="inlineStr">
        <is>
          <t>M3</t>
        </is>
      </c>
      <c r="C8731" t="inlineStr">
        <is>
          <t>Cali</t>
        </is>
      </c>
      <c r="D8731" t="inlineStr">
        <is>
          <t>746</t>
        </is>
      </c>
      <c r="E8731" t="inlineStr">
        <is>
          <t>salidas</t>
        </is>
      </c>
      <c r="F8731" s="23" t="n">
        <v>46272</v>
      </c>
      <c r="G8731" s="24">
        <f>F8731-DATE(2026,8,31)</f>
        <v>7</v>
      </c>
      <c r="H8731" s="25" t="n">
        <v>425218016</v>
      </c>
      <c r="I8731" t="inlineStr">
        <is>
          <t>entidad-dia</t>
        </is>
      </c>
    </row>
    <row r="8732">
      <c r="A8732" t="inlineStr">
        <is>
          <t>PRAGMA</t>
        </is>
      </c>
      <c r="B8732" t="inlineStr">
        <is>
          <t>M3</t>
        </is>
      </c>
      <c r="C8732" t="inlineStr">
        <is>
          <t>Cali</t>
        </is>
      </c>
      <c r="D8732" t="inlineStr">
        <is>
          <t>746</t>
        </is>
      </c>
      <c r="E8732" t="inlineStr">
        <is>
          <t>entradas</t>
        </is>
      </c>
      <c r="F8732" s="23" t="n">
        <v>46273</v>
      </c>
      <c r="G8732" s="24">
        <f>F8732-DATE(2026,8,31)</f>
        <v>8</v>
      </c>
      <c r="H8732" s="25" t="n">
        <v>780094557</v>
      </c>
      <c r="I8732" t="inlineStr">
        <is>
          <t>entidad-dia</t>
        </is>
      </c>
    </row>
    <row r="8733">
      <c r="A8733" t="inlineStr">
        <is>
          <t>PRAGMA</t>
        </is>
      </c>
      <c r="B8733" t="inlineStr">
        <is>
          <t>M3</t>
        </is>
      </c>
      <c r="C8733" t="inlineStr">
        <is>
          <t>Cali</t>
        </is>
      </c>
      <c r="D8733" t="inlineStr">
        <is>
          <t>746</t>
        </is>
      </c>
      <c r="E8733" t="inlineStr">
        <is>
          <t>salidas</t>
        </is>
      </c>
      <c r="F8733" s="23" t="n">
        <v>46273</v>
      </c>
      <c r="G8733" s="24">
        <f>F8733-DATE(2026,8,31)</f>
        <v>8</v>
      </c>
      <c r="H8733" s="25" t="n">
        <v>465965972</v>
      </c>
      <c r="I8733" t="inlineStr">
        <is>
          <t>entidad-dia</t>
        </is>
      </c>
    </row>
    <row r="8734">
      <c r="A8734" t="inlineStr">
        <is>
          <t>PRAGMA</t>
        </is>
      </c>
      <c r="B8734" t="inlineStr">
        <is>
          <t>M3</t>
        </is>
      </c>
      <c r="C8734" t="inlineStr">
        <is>
          <t>Cali</t>
        </is>
      </c>
      <c r="D8734" t="inlineStr">
        <is>
          <t>746</t>
        </is>
      </c>
      <c r="E8734" t="inlineStr">
        <is>
          <t>entradas</t>
        </is>
      </c>
      <c r="F8734" s="23" t="n">
        <v>46274</v>
      </c>
      <c r="G8734" s="24">
        <f>F8734-DATE(2026,8,31)</f>
        <v>9</v>
      </c>
      <c r="H8734" s="25" t="n">
        <v>729462153</v>
      </c>
      <c r="I8734" t="inlineStr">
        <is>
          <t>entidad-dia</t>
        </is>
      </c>
    </row>
    <row r="8735">
      <c r="A8735" t="inlineStr">
        <is>
          <t>PRAGMA</t>
        </is>
      </c>
      <c r="B8735" t="inlineStr">
        <is>
          <t>M3</t>
        </is>
      </c>
      <c r="C8735" t="inlineStr">
        <is>
          <t>Cali</t>
        </is>
      </c>
      <c r="D8735" t="inlineStr">
        <is>
          <t>746</t>
        </is>
      </c>
      <c r="E8735" t="inlineStr">
        <is>
          <t>salidas</t>
        </is>
      </c>
      <c r="F8735" s="23" t="n">
        <v>46274</v>
      </c>
      <c r="G8735" s="24">
        <f>F8735-DATE(2026,8,31)</f>
        <v>9</v>
      </c>
      <c r="H8735" s="25" t="n">
        <v>464461512</v>
      </c>
      <c r="I8735" t="inlineStr">
        <is>
          <t>entidad-dia</t>
        </is>
      </c>
    </row>
    <row r="8736">
      <c r="A8736" t="inlineStr">
        <is>
          <t>PRAGMA</t>
        </is>
      </c>
      <c r="B8736" t="inlineStr">
        <is>
          <t>M3</t>
        </is>
      </c>
      <c r="C8736" t="inlineStr">
        <is>
          <t>Cali</t>
        </is>
      </c>
      <c r="D8736" t="inlineStr">
        <is>
          <t>746</t>
        </is>
      </c>
      <c r="E8736" t="inlineStr">
        <is>
          <t>entradas</t>
        </is>
      </c>
      <c r="F8736" s="23" t="n">
        <v>46275</v>
      </c>
      <c r="G8736" s="24">
        <f>F8736-DATE(2026,8,31)</f>
        <v>10</v>
      </c>
      <c r="H8736" s="25" t="n">
        <v>602573447</v>
      </c>
      <c r="I8736" t="inlineStr">
        <is>
          <t>entidad-dia</t>
        </is>
      </c>
    </row>
    <row r="8737">
      <c r="A8737" t="inlineStr">
        <is>
          <t>PRAGMA</t>
        </is>
      </c>
      <c r="B8737" t="inlineStr">
        <is>
          <t>M3</t>
        </is>
      </c>
      <c r="C8737" t="inlineStr">
        <is>
          <t>Cali</t>
        </is>
      </c>
      <c r="D8737" t="inlineStr">
        <is>
          <t>746</t>
        </is>
      </c>
      <c r="E8737" t="inlineStr">
        <is>
          <t>salidas</t>
        </is>
      </c>
      <c r="F8737" s="23" t="n">
        <v>46275</v>
      </c>
      <c r="G8737" s="24">
        <f>F8737-DATE(2026,8,31)</f>
        <v>10</v>
      </c>
      <c r="H8737" s="25" t="n">
        <v>432547414</v>
      </c>
      <c r="I8737" t="inlineStr">
        <is>
          <t>entidad-dia</t>
        </is>
      </c>
    </row>
    <row r="8738">
      <c r="A8738" t="inlineStr">
        <is>
          <t>PRAGMA</t>
        </is>
      </c>
      <c r="B8738" t="inlineStr">
        <is>
          <t>M3</t>
        </is>
      </c>
      <c r="C8738" t="inlineStr">
        <is>
          <t>Cali</t>
        </is>
      </c>
      <c r="D8738" t="inlineStr">
        <is>
          <t>746</t>
        </is>
      </c>
      <c r="E8738" t="inlineStr">
        <is>
          <t>entradas</t>
        </is>
      </c>
      <c r="F8738" s="23" t="n">
        <v>46276</v>
      </c>
      <c r="G8738" s="24">
        <f>F8738-DATE(2026,8,31)</f>
        <v>11</v>
      </c>
      <c r="H8738" s="25" t="n">
        <v>773671037</v>
      </c>
      <c r="I8738" t="inlineStr">
        <is>
          <t>entidad-dia</t>
        </is>
      </c>
    </row>
    <row r="8739">
      <c r="A8739" t="inlineStr">
        <is>
          <t>PRAGMA</t>
        </is>
      </c>
      <c r="B8739" t="inlineStr">
        <is>
          <t>M3</t>
        </is>
      </c>
      <c r="C8739" t="inlineStr">
        <is>
          <t>Cali</t>
        </is>
      </c>
      <c r="D8739" t="inlineStr">
        <is>
          <t>746</t>
        </is>
      </c>
      <c r="E8739" t="inlineStr">
        <is>
          <t>salidas</t>
        </is>
      </c>
      <c r="F8739" s="23" t="n">
        <v>46276</v>
      </c>
      <c r="G8739" s="24">
        <f>F8739-DATE(2026,8,31)</f>
        <v>11</v>
      </c>
      <c r="H8739" s="25" t="n">
        <v>492456746</v>
      </c>
      <c r="I8739" t="inlineStr">
        <is>
          <t>entidad-dia</t>
        </is>
      </c>
    </row>
    <row r="8740">
      <c r="A8740" t="inlineStr">
        <is>
          <t>PRAGMA</t>
        </is>
      </c>
      <c r="B8740" t="inlineStr">
        <is>
          <t>M3</t>
        </is>
      </c>
      <c r="C8740" t="inlineStr">
        <is>
          <t>Cali</t>
        </is>
      </c>
      <c r="D8740" t="inlineStr">
        <is>
          <t>746</t>
        </is>
      </c>
      <c r="E8740" t="inlineStr">
        <is>
          <t>entradas</t>
        </is>
      </c>
      <c r="F8740" s="23" t="n">
        <v>46277</v>
      </c>
      <c r="G8740" s="24">
        <f>F8740-DATE(2026,8,31)</f>
        <v>12</v>
      </c>
      <c r="H8740" s="25" t="n">
        <v>373262417</v>
      </c>
      <c r="I8740" t="inlineStr">
        <is>
          <t>entidad-dia</t>
        </is>
      </c>
    </row>
    <row r="8741">
      <c r="A8741" t="inlineStr">
        <is>
          <t>PRAGMA</t>
        </is>
      </c>
      <c r="B8741" t="inlineStr">
        <is>
          <t>M3</t>
        </is>
      </c>
      <c r="C8741" t="inlineStr">
        <is>
          <t>Cali</t>
        </is>
      </c>
      <c r="D8741" t="inlineStr">
        <is>
          <t>746</t>
        </is>
      </c>
      <c r="E8741" t="inlineStr">
        <is>
          <t>salidas</t>
        </is>
      </c>
      <c r="F8741" s="23" t="n">
        <v>46277</v>
      </c>
      <c r="G8741" s="24">
        <f>F8741-DATE(2026,8,31)</f>
        <v>12</v>
      </c>
      <c r="H8741" s="25" t="n">
        <v>370826319</v>
      </c>
      <c r="I8741" t="inlineStr">
        <is>
          <t>entidad-dia</t>
        </is>
      </c>
    </row>
    <row r="8742">
      <c r="A8742" t="inlineStr">
        <is>
          <t>PRAGMA</t>
        </is>
      </c>
      <c r="B8742" t="inlineStr">
        <is>
          <t>M3</t>
        </is>
      </c>
      <c r="C8742" t="inlineStr">
        <is>
          <t>Cali</t>
        </is>
      </c>
      <c r="D8742" t="inlineStr">
        <is>
          <t>746</t>
        </is>
      </c>
      <c r="E8742" t="inlineStr">
        <is>
          <t>entradas</t>
        </is>
      </c>
      <c r="F8742" s="23" t="n">
        <v>46278</v>
      </c>
      <c r="G8742" s="24">
        <f>F8742-DATE(2026,8,31)</f>
        <v>13</v>
      </c>
      <c r="H8742" s="25" t="n">
        <v>19981</v>
      </c>
      <c r="I8742" t="inlineStr">
        <is>
          <t>entidad-dia</t>
        </is>
      </c>
    </row>
    <row r="8743">
      <c r="A8743" t="inlineStr">
        <is>
          <t>PRAGMA</t>
        </is>
      </c>
      <c r="B8743" t="inlineStr">
        <is>
          <t>M3</t>
        </is>
      </c>
      <c r="C8743" t="inlineStr">
        <is>
          <t>Cali</t>
        </is>
      </c>
      <c r="D8743" t="inlineStr">
        <is>
          <t>746</t>
        </is>
      </c>
      <c r="E8743" t="inlineStr">
        <is>
          <t>salidas</t>
        </is>
      </c>
      <c r="F8743" s="23" t="n">
        <v>46278</v>
      </c>
      <c r="G8743" s="24">
        <f>F8743-DATE(2026,8,31)</f>
        <v>13</v>
      </c>
      <c r="H8743" s="25" t="n">
        <v>0</v>
      </c>
      <c r="I8743" t="inlineStr">
        <is>
          <t>entidad-dia</t>
        </is>
      </c>
    </row>
    <row r="8744">
      <c r="A8744" t="inlineStr">
        <is>
          <t>PRAGMA</t>
        </is>
      </c>
      <c r="B8744" t="inlineStr">
        <is>
          <t>M3</t>
        </is>
      </c>
      <c r="C8744" t="inlineStr">
        <is>
          <t>Cali</t>
        </is>
      </c>
      <c r="D8744" t="inlineStr">
        <is>
          <t>746</t>
        </is>
      </c>
      <c r="E8744" t="inlineStr">
        <is>
          <t>entradas</t>
        </is>
      </c>
      <c r="F8744" s="23" t="n">
        <v>46279</v>
      </c>
      <c r="G8744" s="24">
        <f>F8744-DATE(2026,8,31)</f>
        <v>14</v>
      </c>
      <c r="H8744" s="25" t="n">
        <v>734186456</v>
      </c>
      <c r="I8744" t="inlineStr">
        <is>
          <t>entidad-dia</t>
        </is>
      </c>
    </row>
    <row r="8745">
      <c r="A8745" t="inlineStr">
        <is>
          <t>PRAGMA</t>
        </is>
      </c>
      <c r="B8745" t="inlineStr">
        <is>
          <t>M3</t>
        </is>
      </c>
      <c r="C8745" t="inlineStr">
        <is>
          <t>Cali</t>
        </is>
      </c>
      <c r="D8745" t="inlineStr">
        <is>
          <t>746</t>
        </is>
      </c>
      <c r="E8745" t="inlineStr">
        <is>
          <t>salidas</t>
        </is>
      </c>
      <c r="F8745" s="23" t="n">
        <v>46279</v>
      </c>
      <c r="G8745" s="24">
        <f>F8745-DATE(2026,8,31)</f>
        <v>14</v>
      </c>
      <c r="H8745" s="25" t="n">
        <v>443684572</v>
      </c>
      <c r="I8745" t="inlineStr">
        <is>
          <t>entidad-dia</t>
        </is>
      </c>
    </row>
    <row r="8746">
      <c r="A8746" t="inlineStr">
        <is>
          <t>PRAGMA</t>
        </is>
      </c>
      <c r="B8746" t="inlineStr">
        <is>
          <t>M3</t>
        </is>
      </c>
      <c r="C8746" t="inlineStr">
        <is>
          <t>Cali</t>
        </is>
      </c>
      <c r="D8746" t="inlineStr">
        <is>
          <t>746</t>
        </is>
      </c>
      <c r="E8746" t="inlineStr">
        <is>
          <t>entradas</t>
        </is>
      </c>
      <c r="F8746" s="23" t="n">
        <v>46280</v>
      </c>
      <c r="G8746" s="24">
        <f>F8746-DATE(2026,8,31)</f>
        <v>15</v>
      </c>
      <c r="H8746" s="25" t="n">
        <v>770952693</v>
      </c>
      <c r="I8746" t="inlineStr">
        <is>
          <t>entidad-dia</t>
        </is>
      </c>
    </row>
    <row r="8747">
      <c r="A8747" t="inlineStr">
        <is>
          <t>PRAGMA</t>
        </is>
      </c>
      <c r="B8747" t="inlineStr">
        <is>
          <t>M3</t>
        </is>
      </c>
      <c r="C8747" t="inlineStr">
        <is>
          <t>Cali</t>
        </is>
      </c>
      <c r="D8747" t="inlineStr">
        <is>
          <t>746</t>
        </is>
      </c>
      <c r="E8747" t="inlineStr">
        <is>
          <t>salidas</t>
        </is>
      </c>
      <c r="F8747" s="23" t="n">
        <v>46280</v>
      </c>
      <c r="G8747" s="24">
        <f>F8747-DATE(2026,8,31)</f>
        <v>15</v>
      </c>
      <c r="H8747" s="25" t="n">
        <v>473345170</v>
      </c>
      <c r="I8747" t="inlineStr">
        <is>
          <t>entidad-dia</t>
        </is>
      </c>
    </row>
    <row r="8748">
      <c r="A8748" t="inlineStr">
        <is>
          <t>PRAGMA</t>
        </is>
      </c>
      <c r="B8748" t="inlineStr">
        <is>
          <t>M3</t>
        </is>
      </c>
      <c r="C8748" t="inlineStr">
        <is>
          <t>Cali</t>
        </is>
      </c>
      <c r="D8748" t="inlineStr">
        <is>
          <t>750</t>
        </is>
      </c>
      <c r="E8748" t="inlineStr">
        <is>
          <t>entradas</t>
        </is>
      </c>
      <c r="F8748" s="23" t="n">
        <v>46266</v>
      </c>
      <c r="G8748" s="24">
        <f>F8748-DATE(2026,8,31)</f>
        <v>1</v>
      </c>
      <c r="H8748" s="25" t="n">
        <v>1102323425</v>
      </c>
      <c r="I8748" t="inlineStr">
        <is>
          <t>entidad-dia</t>
        </is>
      </c>
    </row>
    <row r="8749">
      <c r="A8749" t="inlineStr">
        <is>
          <t>PRAGMA</t>
        </is>
      </c>
      <c r="B8749" t="inlineStr">
        <is>
          <t>M3</t>
        </is>
      </c>
      <c r="C8749" t="inlineStr">
        <is>
          <t>Cali</t>
        </is>
      </c>
      <c r="D8749" t="inlineStr">
        <is>
          <t>750</t>
        </is>
      </c>
      <c r="E8749" t="inlineStr">
        <is>
          <t>salidas</t>
        </is>
      </c>
      <c r="F8749" s="23" t="n">
        <v>46266</v>
      </c>
      <c r="G8749" s="24">
        <f>F8749-DATE(2026,8,31)</f>
        <v>1</v>
      </c>
      <c r="H8749" s="25" t="n">
        <v>624928110</v>
      </c>
      <c r="I8749" t="inlineStr">
        <is>
          <t>entidad-dia</t>
        </is>
      </c>
    </row>
    <row r="8750">
      <c r="A8750" t="inlineStr">
        <is>
          <t>PRAGMA</t>
        </is>
      </c>
      <c r="B8750" t="inlineStr">
        <is>
          <t>M3</t>
        </is>
      </c>
      <c r="C8750" t="inlineStr">
        <is>
          <t>Cali</t>
        </is>
      </c>
      <c r="D8750" t="inlineStr">
        <is>
          <t>750</t>
        </is>
      </c>
      <c r="E8750" t="inlineStr">
        <is>
          <t>entradas</t>
        </is>
      </c>
      <c r="F8750" s="23" t="n">
        <v>46267</v>
      </c>
      <c r="G8750" s="24">
        <f>F8750-DATE(2026,8,31)</f>
        <v>2</v>
      </c>
      <c r="H8750" s="25" t="n">
        <v>705323697</v>
      </c>
      <c r="I8750" t="inlineStr">
        <is>
          <t>entidad-dia</t>
        </is>
      </c>
    </row>
    <row r="8751">
      <c r="A8751" t="inlineStr">
        <is>
          <t>PRAGMA</t>
        </is>
      </c>
      <c r="B8751" t="inlineStr">
        <is>
          <t>M3</t>
        </is>
      </c>
      <c r="C8751" t="inlineStr">
        <is>
          <t>Cali</t>
        </is>
      </c>
      <c r="D8751" t="inlineStr">
        <is>
          <t>750</t>
        </is>
      </c>
      <c r="E8751" t="inlineStr">
        <is>
          <t>salidas</t>
        </is>
      </c>
      <c r="F8751" s="23" t="n">
        <v>46267</v>
      </c>
      <c r="G8751" s="24">
        <f>F8751-DATE(2026,8,31)</f>
        <v>2</v>
      </c>
      <c r="H8751" s="25" t="n">
        <v>577512727</v>
      </c>
      <c r="I8751" t="inlineStr">
        <is>
          <t>entidad-dia</t>
        </is>
      </c>
    </row>
    <row r="8752">
      <c r="A8752" t="inlineStr">
        <is>
          <t>PRAGMA</t>
        </is>
      </c>
      <c r="B8752" t="inlineStr">
        <is>
          <t>M3</t>
        </is>
      </c>
      <c r="C8752" t="inlineStr">
        <is>
          <t>Cali</t>
        </is>
      </c>
      <c r="D8752" t="inlineStr">
        <is>
          <t>750</t>
        </is>
      </c>
      <c r="E8752" t="inlineStr">
        <is>
          <t>entradas</t>
        </is>
      </c>
      <c r="F8752" s="23" t="n">
        <v>46268</v>
      </c>
      <c r="G8752" s="24">
        <f>F8752-DATE(2026,8,31)</f>
        <v>3</v>
      </c>
      <c r="H8752" s="25" t="n">
        <v>634271532</v>
      </c>
      <c r="I8752" t="inlineStr">
        <is>
          <t>entidad-dia</t>
        </is>
      </c>
    </row>
    <row r="8753">
      <c r="A8753" t="inlineStr">
        <is>
          <t>PRAGMA</t>
        </is>
      </c>
      <c r="B8753" t="inlineStr">
        <is>
          <t>M3</t>
        </is>
      </c>
      <c r="C8753" t="inlineStr">
        <is>
          <t>Cali</t>
        </is>
      </c>
      <c r="D8753" t="inlineStr">
        <is>
          <t>750</t>
        </is>
      </c>
      <c r="E8753" t="inlineStr">
        <is>
          <t>salidas</t>
        </is>
      </c>
      <c r="F8753" s="23" t="n">
        <v>46268</v>
      </c>
      <c r="G8753" s="24">
        <f>F8753-DATE(2026,8,31)</f>
        <v>3</v>
      </c>
      <c r="H8753" s="25" t="n">
        <v>366817855</v>
      </c>
      <c r="I8753" t="inlineStr">
        <is>
          <t>entidad-dia</t>
        </is>
      </c>
    </row>
    <row r="8754">
      <c r="A8754" t="inlineStr">
        <is>
          <t>PRAGMA</t>
        </is>
      </c>
      <c r="B8754" t="inlineStr">
        <is>
          <t>M3</t>
        </is>
      </c>
      <c r="C8754" t="inlineStr">
        <is>
          <t>Cali</t>
        </is>
      </c>
      <c r="D8754" t="inlineStr">
        <is>
          <t>750</t>
        </is>
      </c>
      <c r="E8754" t="inlineStr">
        <is>
          <t>entradas</t>
        </is>
      </c>
      <c r="F8754" s="23" t="n">
        <v>46269</v>
      </c>
      <c r="G8754" s="24">
        <f>F8754-DATE(2026,8,31)</f>
        <v>4</v>
      </c>
      <c r="H8754" s="25" t="n">
        <v>812675650</v>
      </c>
      <c r="I8754" t="inlineStr">
        <is>
          <t>entidad-dia</t>
        </is>
      </c>
    </row>
    <row r="8755">
      <c r="A8755" t="inlineStr">
        <is>
          <t>PRAGMA</t>
        </is>
      </c>
      <c r="B8755" t="inlineStr">
        <is>
          <t>M3</t>
        </is>
      </c>
      <c r="C8755" t="inlineStr">
        <is>
          <t>Cali</t>
        </is>
      </c>
      <c r="D8755" t="inlineStr">
        <is>
          <t>750</t>
        </is>
      </c>
      <c r="E8755" t="inlineStr">
        <is>
          <t>salidas</t>
        </is>
      </c>
      <c r="F8755" s="23" t="n">
        <v>46269</v>
      </c>
      <c r="G8755" s="24">
        <f>F8755-DATE(2026,8,31)</f>
        <v>4</v>
      </c>
      <c r="H8755" s="25" t="n">
        <v>415286982</v>
      </c>
      <c r="I8755" t="inlineStr">
        <is>
          <t>entidad-dia</t>
        </is>
      </c>
    </row>
    <row r="8756">
      <c r="A8756" t="inlineStr">
        <is>
          <t>PRAGMA</t>
        </is>
      </c>
      <c r="B8756" t="inlineStr">
        <is>
          <t>M3</t>
        </is>
      </c>
      <c r="C8756" t="inlineStr">
        <is>
          <t>Cali</t>
        </is>
      </c>
      <c r="D8756" t="inlineStr">
        <is>
          <t>750</t>
        </is>
      </c>
      <c r="E8756" t="inlineStr">
        <is>
          <t>entradas</t>
        </is>
      </c>
      <c r="F8756" s="23" t="n">
        <v>46270</v>
      </c>
      <c r="G8756" s="24">
        <f>F8756-DATE(2026,8,31)</f>
        <v>5</v>
      </c>
      <c r="H8756" s="25" t="n">
        <v>467653067</v>
      </c>
      <c r="I8756" t="inlineStr">
        <is>
          <t>entidad-dia</t>
        </is>
      </c>
    </row>
    <row r="8757">
      <c r="A8757" t="inlineStr">
        <is>
          <t>PRAGMA</t>
        </is>
      </c>
      <c r="B8757" t="inlineStr">
        <is>
          <t>M3</t>
        </is>
      </c>
      <c r="C8757" t="inlineStr">
        <is>
          <t>Cali</t>
        </is>
      </c>
      <c r="D8757" t="inlineStr">
        <is>
          <t>750</t>
        </is>
      </c>
      <c r="E8757" t="inlineStr">
        <is>
          <t>salidas</t>
        </is>
      </c>
      <c r="F8757" s="23" t="n">
        <v>46270</v>
      </c>
      <c r="G8757" s="24">
        <f>F8757-DATE(2026,8,31)</f>
        <v>5</v>
      </c>
      <c r="H8757" s="25" t="n">
        <v>336696811</v>
      </c>
      <c r="I8757" t="inlineStr">
        <is>
          <t>entidad-dia</t>
        </is>
      </c>
    </row>
    <row r="8758">
      <c r="A8758" t="inlineStr">
        <is>
          <t>PRAGMA</t>
        </is>
      </c>
      <c r="B8758" t="inlineStr">
        <is>
          <t>M3</t>
        </is>
      </c>
      <c r="C8758" t="inlineStr">
        <is>
          <t>Cali</t>
        </is>
      </c>
      <c r="D8758" t="inlineStr">
        <is>
          <t>750</t>
        </is>
      </c>
      <c r="E8758" t="inlineStr">
        <is>
          <t>entradas</t>
        </is>
      </c>
      <c r="F8758" s="23" t="n">
        <v>46271</v>
      </c>
      <c r="G8758" s="24">
        <f>F8758-DATE(2026,8,31)</f>
        <v>6</v>
      </c>
      <c r="H8758" s="25" t="n">
        <v>3669251</v>
      </c>
      <c r="I8758" t="inlineStr">
        <is>
          <t>entidad-dia</t>
        </is>
      </c>
    </row>
    <row r="8759">
      <c r="A8759" t="inlineStr">
        <is>
          <t>PRAGMA</t>
        </is>
      </c>
      <c r="B8759" t="inlineStr">
        <is>
          <t>M3</t>
        </is>
      </c>
      <c r="C8759" t="inlineStr">
        <is>
          <t>Cali</t>
        </is>
      </c>
      <c r="D8759" t="inlineStr">
        <is>
          <t>750</t>
        </is>
      </c>
      <c r="E8759" t="inlineStr">
        <is>
          <t>salidas</t>
        </is>
      </c>
      <c r="F8759" s="23" t="n">
        <v>46271</v>
      </c>
      <c r="G8759" s="24">
        <f>F8759-DATE(2026,8,31)</f>
        <v>6</v>
      </c>
      <c r="H8759" s="25" t="n">
        <v>0</v>
      </c>
      <c r="I8759" t="inlineStr">
        <is>
          <t>entidad-dia</t>
        </is>
      </c>
    </row>
    <row r="8760">
      <c r="A8760" t="inlineStr">
        <is>
          <t>PRAGMA</t>
        </is>
      </c>
      <c r="B8760" t="inlineStr">
        <is>
          <t>M3</t>
        </is>
      </c>
      <c r="C8760" t="inlineStr">
        <is>
          <t>Cali</t>
        </is>
      </c>
      <c r="D8760" t="inlineStr">
        <is>
          <t>750</t>
        </is>
      </c>
      <c r="E8760" t="inlineStr">
        <is>
          <t>entradas</t>
        </is>
      </c>
      <c r="F8760" s="23" t="n">
        <v>46272</v>
      </c>
      <c r="G8760" s="24">
        <f>F8760-DATE(2026,8,31)</f>
        <v>7</v>
      </c>
      <c r="H8760" s="25" t="n">
        <v>125930972</v>
      </c>
      <c r="I8760" t="inlineStr">
        <is>
          <t>entidad-dia</t>
        </is>
      </c>
    </row>
    <row r="8761">
      <c r="A8761" t="inlineStr">
        <is>
          <t>PRAGMA</t>
        </is>
      </c>
      <c r="B8761" t="inlineStr">
        <is>
          <t>M3</t>
        </is>
      </c>
      <c r="C8761" t="inlineStr">
        <is>
          <t>Cali</t>
        </is>
      </c>
      <c r="D8761" t="inlineStr">
        <is>
          <t>750</t>
        </is>
      </c>
      <c r="E8761" t="inlineStr">
        <is>
          <t>salidas</t>
        </is>
      </c>
      <c r="F8761" s="23" t="n">
        <v>46272</v>
      </c>
      <c r="G8761" s="24">
        <f>F8761-DATE(2026,8,31)</f>
        <v>7</v>
      </c>
      <c r="H8761" s="25" t="n">
        <v>41745339</v>
      </c>
      <c r="I8761" t="inlineStr">
        <is>
          <t>entidad-dia</t>
        </is>
      </c>
    </row>
    <row r="8762">
      <c r="A8762" t="inlineStr">
        <is>
          <t>PRAGMA</t>
        </is>
      </c>
      <c r="B8762" t="inlineStr">
        <is>
          <t>M3</t>
        </is>
      </c>
      <c r="C8762" t="inlineStr">
        <is>
          <t>Cali</t>
        </is>
      </c>
      <c r="D8762" t="inlineStr">
        <is>
          <t>750</t>
        </is>
      </c>
      <c r="E8762" t="inlineStr">
        <is>
          <t>entradas</t>
        </is>
      </c>
      <c r="F8762" s="23" t="n">
        <v>46273</v>
      </c>
      <c r="G8762" s="24">
        <f>F8762-DATE(2026,8,31)</f>
        <v>8</v>
      </c>
      <c r="H8762" s="25" t="n">
        <v>1072382434</v>
      </c>
      <c r="I8762" t="inlineStr">
        <is>
          <t>entidad-dia</t>
        </is>
      </c>
    </row>
    <row r="8763">
      <c r="A8763" t="inlineStr">
        <is>
          <t>PRAGMA</t>
        </is>
      </c>
      <c r="B8763" t="inlineStr">
        <is>
          <t>M3</t>
        </is>
      </c>
      <c r="C8763" t="inlineStr">
        <is>
          <t>Cali</t>
        </is>
      </c>
      <c r="D8763" t="inlineStr">
        <is>
          <t>750</t>
        </is>
      </c>
      <c r="E8763" t="inlineStr">
        <is>
          <t>salidas</t>
        </is>
      </c>
      <c r="F8763" s="23" t="n">
        <v>46273</v>
      </c>
      <c r="G8763" s="24">
        <f>F8763-DATE(2026,8,31)</f>
        <v>8</v>
      </c>
      <c r="H8763" s="25" t="n">
        <v>468350997</v>
      </c>
      <c r="I8763" t="inlineStr">
        <is>
          <t>entidad-dia</t>
        </is>
      </c>
    </row>
    <row r="8764">
      <c r="A8764" t="inlineStr">
        <is>
          <t>PRAGMA</t>
        </is>
      </c>
      <c r="B8764" t="inlineStr">
        <is>
          <t>M3</t>
        </is>
      </c>
      <c r="C8764" t="inlineStr">
        <is>
          <t>Cali</t>
        </is>
      </c>
      <c r="D8764" t="inlineStr">
        <is>
          <t>750</t>
        </is>
      </c>
      <c r="E8764" t="inlineStr">
        <is>
          <t>entradas</t>
        </is>
      </c>
      <c r="F8764" s="23" t="n">
        <v>46274</v>
      </c>
      <c r="G8764" s="24">
        <f>F8764-DATE(2026,8,31)</f>
        <v>9</v>
      </c>
      <c r="H8764" s="25" t="n">
        <v>680910431</v>
      </c>
      <c r="I8764" t="inlineStr">
        <is>
          <t>entidad-dia</t>
        </is>
      </c>
    </row>
    <row r="8765">
      <c r="A8765" t="inlineStr">
        <is>
          <t>PRAGMA</t>
        </is>
      </c>
      <c r="B8765" t="inlineStr">
        <is>
          <t>M3</t>
        </is>
      </c>
      <c r="C8765" t="inlineStr">
        <is>
          <t>Cali</t>
        </is>
      </c>
      <c r="D8765" t="inlineStr">
        <is>
          <t>750</t>
        </is>
      </c>
      <c r="E8765" t="inlineStr">
        <is>
          <t>salidas</t>
        </is>
      </c>
      <c r="F8765" s="23" t="n">
        <v>46274</v>
      </c>
      <c r="G8765" s="24">
        <f>F8765-DATE(2026,8,31)</f>
        <v>9</v>
      </c>
      <c r="H8765" s="25" t="n">
        <v>420342569</v>
      </c>
      <c r="I8765" t="inlineStr">
        <is>
          <t>entidad-dia</t>
        </is>
      </c>
    </row>
    <row r="8766">
      <c r="A8766" t="inlineStr">
        <is>
          <t>PRAGMA</t>
        </is>
      </c>
      <c r="B8766" t="inlineStr">
        <is>
          <t>M3</t>
        </is>
      </c>
      <c r="C8766" t="inlineStr">
        <is>
          <t>Cali</t>
        </is>
      </c>
      <c r="D8766" t="inlineStr">
        <is>
          <t>750</t>
        </is>
      </c>
      <c r="E8766" t="inlineStr">
        <is>
          <t>entradas</t>
        </is>
      </c>
      <c r="F8766" s="23" t="n">
        <v>46275</v>
      </c>
      <c r="G8766" s="24">
        <f>F8766-DATE(2026,8,31)</f>
        <v>10</v>
      </c>
      <c r="H8766" s="25" t="n">
        <v>616347863</v>
      </c>
      <c r="I8766" t="inlineStr">
        <is>
          <t>entidad-dia</t>
        </is>
      </c>
    </row>
    <row r="8767">
      <c r="A8767" t="inlineStr">
        <is>
          <t>PRAGMA</t>
        </is>
      </c>
      <c r="B8767" t="inlineStr">
        <is>
          <t>M3</t>
        </is>
      </c>
      <c r="C8767" t="inlineStr">
        <is>
          <t>Cali</t>
        </is>
      </c>
      <c r="D8767" t="inlineStr">
        <is>
          <t>750</t>
        </is>
      </c>
      <c r="E8767" t="inlineStr">
        <is>
          <t>salidas</t>
        </is>
      </c>
      <c r="F8767" s="23" t="n">
        <v>46275</v>
      </c>
      <c r="G8767" s="24">
        <f>F8767-DATE(2026,8,31)</f>
        <v>10</v>
      </c>
      <c r="H8767" s="25" t="n">
        <v>382538472</v>
      </c>
      <c r="I8767" t="inlineStr">
        <is>
          <t>entidad-dia</t>
        </is>
      </c>
    </row>
    <row r="8768">
      <c r="A8768" t="inlineStr">
        <is>
          <t>PRAGMA</t>
        </is>
      </c>
      <c r="B8768" t="inlineStr">
        <is>
          <t>M3</t>
        </is>
      </c>
      <c r="C8768" t="inlineStr">
        <is>
          <t>Cali</t>
        </is>
      </c>
      <c r="D8768" t="inlineStr">
        <is>
          <t>750</t>
        </is>
      </c>
      <c r="E8768" t="inlineStr">
        <is>
          <t>entradas</t>
        </is>
      </c>
      <c r="F8768" s="23" t="n">
        <v>46276</v>
      </c>
      <c r="G8768" s="24">
        <f>F8768-DATE(2026,8,31)</f>
        <v>11</v>
      </c>
      <c r="H8768" s="25" t="n">
        <v>826661456</v>
      </c>
      <c r="I8768" t="inlineStr">
        <is>
          <t>entidad-dia</t>
        </is>
      </c>
    </row>
    <row r="8769">
      <c r="A8769" t="inlineStr">
        <is>
          <t>PRAGMA</t>
        </is>
      </c>
      <c r="B8769" t="inlineStr">
        <is>
          <t>M3</t>
        </is>
      </c>
      <c r="C8769" t="inlineStr">
        <is>
          <t>Cali</t>
        </is>
      </c>
      <c r="D8769" t="inlineStr">
        <is>
          <t>750</t>
        </is>
      </c>
      <c r="E8769" t="inlineStr">
        <is>
          <t>salidas</t>
        </is>
      </c>
      <c r="F8769" s="23" t="n">
        <v>46276</v>
      </c>
      <c r="G8769" s="24">
        <f>F8769-DATE(2026,8,31)</f>
        <v>11</v>
      </c>
      <c r="H8769" s="25" t="n">
        <v>371708811</v>
      </c>
      <c r="I8769" t="inlineStr">
        <is>
          <t>entidad-dia</t>
        </is>
      </c>
    </row>
    <row r="8770">
      <c r="A8770" t="inlineStr">
        <is>
          <t>PRAGMA</t>
        </is>
      </c>
      <c r="B8770" t="inlineStr">
        <is>
          <t>M3</t>
        </is>
      </c>
      <c r="C8770" t="inlineStr">
        <is>
          <t>Cali</t>
        </is>
      </c>
      <c r="D8770" t="inlineStr">
        <is>
          <t>750</t>
        </is>
      </c>
      <c r="E8770" t="inlineStr">
        <is>
          <t>entradas</t>
        </is>
      </c>
      <c r="F8770" s="23" t="n">
        <v>46277</v>
      </c>
      <c r="G8770" s="24">
        <f>F8770-DATE(2026,8,31)</f>
        <v>12</v>
      </c>
      <c r="H8770" s="25" t="n">
        <v>450401091</v>
      </c>
      <c r="I8770" t="inlineStr">
        <is>
          <t>entidad-dia</t>
        </is>
      </c>
    </row>
    <row r="8771">
      <c r="A8771" t="inlineStr">
        <is>
          <t>PRAGMA</t>
        </is>
      </c>
      <c r="B8771" t="inlineStr">
        <is>
          <t>M3</t>
        </is>
      </c>
      <c r="C8771" t="inlineStr">
        <is>
          <t>Cali</t>
        </is>
      </c>
      <c r="D8771" t="inlineStr">
        <is>
          <t>750</t>
        </is>
      </c>
      <c r="E8771" t="inlineStr">
        <is>
          <t>salidas</t>
        </is>
      </c>
      <c r="F8771" s="23" t="n">
        <v>46277</v>
      </c>
      <c r="G8771" s="24">
        <f>F8771-DATE(2026,8,31)</f>
        <v>12</v>
      </c>
      <c r="H8771" s="25" t="n">
        <v>319737467</v>
      </c>
      <c r="I8771" t="inlineStr">
        <is>
          <t>entidad-dia</t>
        </is>
      </c>
    </row>
    <row r="8772">
      <c r="A8772" t="inlineStr">
        <is>
          <t>PRAGMA</t>
        </is>
      </c>
      <c r="B8772" t="inlineStr">
        <is>
          <t>M3</t>
        </is>
      </c>
      <c r="C8772" t="inlineStr">
        <is>
          <t>Cali</t>
        </is>
      </c>
      <c r="D8772" t="inlineStr">
        <is>
          <t>750</t>
        </is>
      </c>
      <c r="E8772" t="inlineStr">
        <is>
          <t>entradas</t>
        </is>
      </c>
      <c r="F8772" s="23" t="n">
        <v>46278</v>
      </c>
      <c r="G8772" s="24">
        <f>F8772-DATE(2026,8,31)</f>
        <v>13</v>
      </c>
      <c r="H8772" s="25" t="n">
        <v>4245632</v>
      </c>
      <c r="I8772" t="inlineStr">
        <is>
          <t>entidad-dia</t>
        </is>
      </c>
    </row>
    <row r="8773">
      <c r="A8773" t="inlineStr">
        <is>
          <t>PRAGMA</t>
        </is>
      </c>
      <c r="B8773" t="inlineStr">
        <is>
          <t>M3</t>
        </is>
      </c>
      <c r="C8773" t="inlineStr">
        <is>
          <t>Cali</t>
        </is>
      </c>
      <c r="D8773" t="inlineStr">
        <is>
          <t>750</t>
        </is>
      </c>
      <c r="E8773" t="inlineStr">
        <is>
          <t>salidas</t>
        </is>
      </c>
      <c r="F8773" s="23" t="n">
        <v>46278</v>
      </c>
      <c r="G8773" s="24">
        <f>F8773-DATE(2026,8,31)</f>
        <v>13</v>
      </c>
      <c r="H8773" s="25" t="n">
        <v>0</v>
      </c>
      <c r="I8773" t="inlineStr">
        <is>
          <t>entidad-dia</t>
        </is>
      </c>
    </row>
    <row r="8774">
      <c r="A8774" t="inlineStr">
        <is>
          <t>PRAGMA</t>
        </is>
      </c>
      <c r="B8774" t="inlineStr">
        <is>
          <t>M3</t>
        </is>
      </c>
      <c r="C8774" t="inlineStr">
        <is>
          <t>Cali</t>
        </is>
      </c>
      <c r="D8774" t="inlineStr">
        <is>
          <t>750</t>
        </is>
      </c>
      <c r="E8774" t="inlineStr">
        <is>
          <t>entradas</t>
        </is>
      </c>
      <c r="F8774" s="23" t="n">
        <v>46279</v>
      </c>
      <c r="G8774" s="24">
        <f>F8774-DATE(2026,8,31)</f>
        <v>14</v>
      </c>
      <c r="H8774" s="25" t="n">
        <v>83274871</v>
      </c>
      <c r="I8774" t="inlineStr">
        <is>
          <t>entidad-dia</t>
        </is>
      </c>
    </row>
    <row r="8775">
      <c r="A8775" t="inlineStr">
        <is>
          <t>PRAGMA</t>
        </is>
      </c>
      <c r="B8775" t="inlineStr">
        <is>
          <t>M3</t>
        </is>
      </c>
      <c r="C8775" t="inlineStr">
        <is>
          <t>Cali</t>
        </is>
      </c>
      <c r="D8775" t="inlineStr">
        <is>
          <t>750</t>
        </is>
      </c>
      <c r="E8775" t="inlineStr">
        <is>
          <t>salidas</t>
        </is>
      </c>
      <c r="F8775" s="23" t="n">
        <v>46279</v>
      </c>
      <c r="G8775" s="24">
        <f>F8775-DATE(2026,8,31)</f>
        <v>14</v>
      </c>
      <c r="H8775" s="25" t="n">
        <v>19985962</v>
      </c>
      <c r="I8775" t="inlineStr">
        <is>
          <t>entidad-dia</t>
        </is>
      </c>
    </row>
    <row r="8776">
      <c r="A8776" t="inlineStr">
        <is>
          <t>PRAGMA</t>
        </is>
      </c>
      <c r="B8776" t="inlineStr">
        <is>
          <t>M3</t>
        </is>
      </c>
      <c r="C8776" t="inlineStr">
        <is>
          <t>Cali</t>
        </is>
      </c>
      <c r="D8776" t="inlineStr">
        <is>
          <t>750</t>
        </is>
      </c>
      <c r="E8776" t="inlineStr">
        <is>
          <t>entradas</t>
        </is>
      </c>
      <c r="F8776" s="23" t="n">
        <v>46280</v>
      </c>
      <c r="G8776" s="24">
        <f>F8776-DATE(2026,8,31)</f>
        <v>15</v>
      </c>
      <c r="H8776" s="25" t="n">
        <v>1068374821</v>
      </c>
      <c r="I8776" t="inlineStr">
        <is>
          <t>entidad-dia</t>
        </is>
      </c>
    </row>
    <row r="8777">
      <c r="A8777" t="inlineStr">
        <is>
          <t>PRAGMA</t>
        </is>
      </c>
      <c r="B8777" t="inlineStr">
        <is>
          <t>M3</t>
        </is>
      </c>
      <c r="C8777" t="inlineStr">
        <is>
          <t>Cali</t>
        </is>
      </c>
      <c r="D8777" t="inlineStr">
        <is>
          <t>750</t>
        </is>
      </c>
      <c r="E8777" t="inlineStr">
        <is>
          <t>salidas</t>
        </is>
      </c>
      <c r="F8777" s="23" t="n">
        <v>46280</v>
      </c>
      <c r="G8777" s="24">
        <f>F8777-DATE(2026,8,31)</f>
        <v>15</v>
      </c>
      <c r="H8777" s="25" t="n">
        <v>489313112</v>
      </c>
      <c r="I8777" t="inlineStr">
        <is>
          <t>entidad-dia</t>
        </is>
      </c>
    </row>
    <row r="8778">
      <c r="A8778" t="inlineStr">
        <is>
          <t>PRAGMA</t>
        </is>
      </c>
      <c r="B8778" t="inlineStr">
        <is>
          <t>M3</t>
        </is>
      </c>
      <c r="C8778" t="inlineStr">
        <is>
          <t>Cali</t>
        </is>
      </c>
      <c r="D8778" t="inlineStr">
        <is>
          <t>754</t>
        </is>
      </c>
      <c r="E8778" t="inlineStr">
        <is>
          <t>entradas</t>
        </is>
      </c>
      <c r="F8778" s="23" t="n">
        <v>46266</v>
      </c>
      <c r="G8778" s="24">
        <f>F8778-DATE(2026,8,31)</f>
        <v>1</v>
      </c>
      <c r="H8778" s="25" t="n">
        <v>700977770</v>
      </c>
      <c r="I8778" t="inlineStr">
        <is>
          <t>entidad-dia</t>
        </is>
      </c>
    </row>
    <row r="8779">
      <c r="A8779" t="inlineStr">
        <is>
          <t>PRAGMA</t>
        </is>
      </c>
      <c r="B8779" t="inlineStr">
        <is>
          <t>M3</t>
        </is>
      </c>
      <c r="C8779" t="inlineStr">
        <is>
          <t>Cali</t>
        </is>
      </c>
      <c r="D8779" t="inlineStr">
        <is>
          <t>754</t>
        </is>
      </c>
      <c r="E8779" t="inlineStr">
        <is>
          <t>salidas</t>
        </is>
      </c>
      <c r="F8779" s="23" t="n">
        <v>46266</v>
      </c>
      <c r="G8779" s="24">
        <f>F8779-DATE(2026,8,31)</f>
        <v>1</v>
      </c>
      <c r="H8779" s="25" t="n">
        <v>647607654</v>
      </c>
      <c r="I8779" t="inlineStr">
        <is>
          <t>entidad-dia</t>
        </is>
      </c>
    </row>
    <row r="8780">
      <c r="A8780" t="inlineStr">
        <is>
          <t>PRAGMA</t>
        </is>
      </c>
      <c r="B8780" t="inlineStr">
        <is>
          <t>M3</t>
        </is>
      </c>
      <c r="C8780" t="inlineStr">
        <is>
          <t>Cali</t>
        </is>
      </c>
      <c r="D8780" t="inlineStr">
        <is>
          <t>754</t>
        </is>
      </c>
      <c r="E8780" t="inlineStr">
        <is>
          <t>entradas</t>
        </is>
      </c>
      <c r="F8780" s="23" t="n">
        <v>46267</v>
      </c>
      <c r="G8780" s="24">
        <f>F8780-DATE(2026,8,31)</f>
        <v>2</v>
      </c>
      <c r="H8780" s="25" t="n">
        <v>636518438</v>
      </c>
      <c r="I8780" t="inlineStr">
        <is>
          <t>entidad-dia</t>
        </is>
      </c>
    </row>
    <row r="8781">
      <c r="A8781" t="inlineStr">
        <is>
          <t>PRAGMA</t>
        </is>
      </c>
      <c r="B8781" t="inlineStr">
        <is>
          <t>M3</t>
        </is>
      </c>
      <c r="C8781" t="inlineStr">
        <is>
          <t>Cali</t>
        </is>
      </c>
      <c r="D8781" t="inlineStr">
        <is>
          <t>754</t>
        </is>
      </c>
      <c r="E8781" t="inlineStr">
        <is>
          <t>salidas</t>
        </is>
      </c>
      <c r="F8781" s="23" t="n">
        <v>46267</v>
      </c>
      <c r="G8781" s="24">
        <f>F8781-DATE(2026,8,31)</f>
        <v>2</v>
      </c>
      <c r="H8781" s="25" t="n">
        <v>618958061</v>
      </c>
      <c r="I8781" t="inlineStr">
        <is>
          <t>entidad-dia</t>
        </is>
      </c>
    </row>
    <row r="8782">
      <c r="A8782" t="inlineStr">
        <is>
          <t>PRAGMA</t>
        </is>
      </c>
      <c r="B8782" t="inlineStr">
        <is>
          <t>M3</t>
        </is>
      </c>
      <c r="C8782" t="inlineStr">
        <is>
          <t>Cali</t>
        </is>
      </c>
      <c r="D8782" t="inlineStr">
        <is>
          <t>754</t>
        </is>
      </c>
      <c r="E8782" t="inlineStr">
        <is>
          <t>entradas</t>
        </is>
      </c>
      <c r="F8782" s="23" t="n">
        <v>46268</v>
      </c>
      <c r="G8782" s="24">
        <f>F8782-DATE(2026,8,31)</f>
        <v>3</v>
      </c>
      <c r="H8782" s="25" t="n">
        <v>507256452</v>
      </c>
      <c r="I8782" t="inlineStr">
        <is>
          <t>entidad-dia</t>
        </is>
      </c>
    </row>
    <row r="8783">
      <c r="A8783" t="inlineStr">
        <is>
          <t>PRAGMA</t>
        </is>
      </c>
      <c r="B8783" t="inlineStr">
        <is>
          <t>M3</t>
        </is>
      </c>
      <c r="C8783" t="inlineStr">
        <is>
          <t>Cali</t>
        </is>
      </c>
      <c r="D8783" t="inlineStr">
        <is>
          <t>754</t>
        </is>
      </c>
      <c r="E8783" t="inlineStr">
        <is>
          <t>salidas</t>
        </is>
      </c>
      <c r="F8783" s="23" t="n">
        <v>46268</v>
      </c>
      <c r="G8783" s="24">
        <f>F8783-DATE(2026,8,31)</f>
        <v>3</v>
      </c>
      <c r="H8783" s="25" t="n">
        <v>437981134</v>
      </c>
      <c r="I8783" t="inlineStr">
        <is>
          <t>entidad-dia</t>
        </is>
      </c>
    </row>
    <row r="8784">
      <c r="A8784" t="inlineStr">
        <is>
          <t>PRAGMA</t>
        </is>
      </c>
      <c r="B8784" t="inlineStr">
        <is>
          <t>M3</t>
        </is>
      </c>
      <c r="C8784" t="inlineStr">
        <is>
          <t>Cali</t>
        </is>
      </c>
      <c r="D8784" t="inlineStr">
        <is>
          <t>754</t>
        </is>
      </c>
      <c r="E8784" t="inlineStr">
        <is>
          <t>entradas</t>
        </is>
      </c>
      <c r="F8784" s="23" t="n">
        <v>46269</v>
      </c>
      <c r="G8784" s="24">
        <f>F8784-DATE(2026,8,31)</f>
        <v>4</v>
      </c>
      <c r="H8784" s="25" t="n">
        <v>659385217</v>
      </c>
      <c r="I8784" t="inlineStr">
        <is>
          <t>entidad-dia</t>
        </is>
      </c>
    </row>
    <row r="8785">
      <c r="A8785" t="inlineStr">
        <is>
          <t>PRAGMA</t>
        </is>
      </c>
      <c r="B8785" t="inlineStr">
        <is>
          <t>M3</t>
        </is>
      </c>
      <c r="C8785" t="inlineStr">
        <is>
          <t>Cali</t>
        </is>
      </c>
      <c r="D8785" t="inlineStr">
        <is>
          <t>754</t>
        </is>
      </c>
      <c r="E8785" t="inlineStr">
        <is>
          <t>salidas</t>
        </is>
      </c>
      <c r="F8785" s="23" t="n">
        <v>46269</v>
      </c>
      <c r="G8785" s="24">
        <f>F8785-DATE(2026,8,31)</f>
        <v>4</v>
      </c>
      <c r="H8785" s="25" t="n">
        <v>703161730</v>
      </c>
      <c r="I8785" t="inlineStr">
        <is>
          <t>entidad-dia</t>
        </is>
      </c>
    </row>
    <row r="8786">
      <c r="A8786" t="inlineStr">
        <is>
          <t>PRAGMA</t>
        </is>
      </c>
      <c r="B8786" t="inlineStr">
        <is>
          <t>M3</t>
        </is>
      </c>
      <c r="C8786" t="inlineStr">
        <is>
          <t>Cali</t>
        </is>
      </c>
      <c r="D8786" t="inlineStr">
        <is>
          <t>754</t>
        </is>
      </c>
      <c r="E8786" t="inlineStr">
        <is>
          <t>entradas</t>
        </is>
      </c>
      <c r="F8786" s="23" t="n">
        <v>46270</v>
      </c>
      <c r="G8786" s="24">
        <f>F8786-DATE(2026,8,31)</f>
        <v>5</v>
      </c>
      <c r="H8786" s="25" t="n">
        <v>1123810</v>
      </c>
      <c r="I8786" t="inlineStr">
        <is>
          <t>entidad-dia</t>
        </is>
      </c>
    </row>
    <row r="8787">
      <c r="A8787" t="inlineStr">
        <is>
          <t>PRAGMA</t>
        </is>
      </c>
      <c r="B8787" t="inlineStr">
        <is>
          <t>M3</t>
        </is>
      </c>
      <c r="C8787" t="inlineStr">
        <is>
          <t>Cali</t>
        </is>
      </c>
      <c r="D8787" t="inlineStr">
        <is>
          <t>754</t>
        </is>
      </c>
      <c r="E8787" t="inlineStr">
        <is>
          <t>salidas</t>
        </is>
      </c>
      <c r="F8787" s="23" t="n">
        <v>46270</v>
      </c>
      <c r="G8787" s="24">
        <f>F8787-DATE(2026,8,31)</f>
        <v>5</v>
      </c>
      <c r="H8787" s="25" t="n">
        <v>3095656</v>
      </c>
      <c r="I8787" t="inlineStr">
        <is>
          <t>entidad-dia</t>
        </is>
      </c>
    </row>
    <row r="8788">
      <c r="A8788" t="inlineStr">
        <is>
          <t>PRAGMA</t>
        </is>
      </c>
      <c r="B8788" t="inlineStr">
        <is>
          <t>M3</t>
        </is>
      </c>
      <c r="C8788" t="inlineStr">
        <is>
          <t>Cali</t>
        </is>
      </c>
      <c r="D8788" t="inlineStr">
        <is>
          <t>754</t>
        </is>
      </c>
      <c r="E8788" t="inlineStr">
        <is>
          <t>entradas</t>
        </is>
      </c>
      <c r="F8788" s="23" t="n">
        <v>46271</v>
      </c>
      <c r="G8788" s="24">
        <f>F8788-DATE(2026,8,31)</f>
        <v>6</v>
      </c>
      <c r="H8788" s="25" t="n">
        <v>75887</v>
      </c>
      <c r="I8788" t="inlineStr">
        <is>
          <t>entidad-dia</t>
        </is>
      </c>
    </row>
    <row r="8789">
      <c r="A8789" t="inlineStr">
        <is>
          <t>PRAGMA</t>
        </is>
      </c>
      <c r="B8789" t="inlineStr">
        <is>
          <t>M3</t>
        </is>
      </c>
      <c r="C8789" t="inlineStr">
        <is>
          <t>Cali</t>
        </is>
      </c>
      <c r="D8789" t="inlineStr">
        <is>
          <t>754</t>
        </is>
      </c>
      <c r="E8789" t="inlineStr">
        <is>
          <t>salidas</t>
        </is>
      </c>
      <c r="F8789" s="23" t="n">
        <v>46271</v>
      </c>
      <c r="G8789" s="24">
        <f>F8789-DATE(2026,8,31)</f>
        <v>6</v>
      </c>
      <c r="H8789" s="25" t="n">
        <v>0</v>
      </c>
      <c r="I8789" t="inlineStr">
        <is>
          <t>entidad-dia</t>
        </is>
      </c>
    </row>
    <row r="8790">
      <c r="A8790" t="inlineStr">
        <is>
          <t>PRAGMA</t>
        </is>
      </c>
      <c r="B8790" t="inlineStr">
        <is>
          <t>M3</t>
        </is>
      </c>
      <c r="C8790" t="inlineStr">
        <is>
          <t>Cali</t>
        </is>
      </c>
      <c r="D8790" t="inlineStr">
        <is>
          <t>754</t>
        </is>
      </c>
      <c r="E8790" t="inlineStr">
        <is>
          <t>entradas</t>
        </is>
      </c>
      <c r="F8790" s="23" t="n">
        <v>46272</v>
      </c>
      <c r="G8790" s="24">
        <f>F8790-DATE(2026,8,31)</f>
        <v>7</v>
      </c>
      <c r="H8790" s="25" t="n">
        <v>573678894</v>
      </c>
      <c r="I8790" t="inlineStr">
        <is>
          <t>entidad-dia</t>
        </is>
      </c>
    </row>
    <row r="8791">
      <c r="A8791" t="inlineStr">
        <is>
          <t>PRAGMA</t>
        </is>
      </c>
      <c r="B8791" t="inlineStr">
        <is>
          <t>M3</t>
        </is>
      </c>
      <c r="C8791" t="inlineStr">
        <is>
          <t>Cali</t>
        </is>
      </c>
      <c r="D8791" t="inlineStr">
        <is>
          <t>754</t>
        </is>
      </c>
      <c r="E8791" t="inlineStr">
        <is>
          <t>salidas</t>
        </is>
      </c>
      <c r="F8791" s="23" t="n">
        <v>46272</v>
      </c>
      <c r="G8791" s="24">
        <f>F8791-DATE(2026,8,31)</f>
        <v>7</v>
      </c>
      <c r="H8791" s="25" t="n">
        <v>525133151</v>
      </c>
      <c r="I8791" t="inlineStr">
        <is>
          <t>entidad-dia</t>
        </is>
      </c>
    </row>
    <row r="8792">
      <c r="A8792" t="inlineStr">
        <is>
          <t>PRAGMA</t>
        </is>
      </c>
      <c r="B8792" t="inlineStr">
        <is>
          <t>M3</t>
        </is>
      </c>
      <c r="C8792" t="inlineStr">
        <is>
          <t>Cali</t>
        </is>
      </c>
      <c r="D8792" t="inlineStr">
        <is>
          <t>754</t>
        </is>
      </c>
      <c r="E8792" t="inlineStr">
        <is>
          <t>entradas</t>
        </is>
      </c>
      <c r="F8792" s="23" t="n">
        <v>46273</v>
      </c>
      <c r="G8792" s="24">
        <f>F8792-DATE(2026,8,31)</f>
        <v>8</v>
      </c>
      <c r="H8792" s="25" t="n">
        <v>673271224</v>
      </c>
      <c r="I8792" t="inlineStr">
        <is>
          <t>entidad-dia</t>
        </is>
      </c>
    </row>
    <row r="8793">
      <c r="A8793" t="inlineStr">
        <is>
          <t>PRAGMA</t>
        </is>
      </c>
      <c r="B8793" t="inlineStr">
        <is>
          <t>M3</t>
        </is>
      </c>
      <c r="C8793" t="inlineStr">
        <is>
          <t>Cali</t>
        </is>
      </c>
      <c r="D8793" t="inlineStr">
        <is>
          <t>754</t>
        </is>
      </c>
      <c r="E8793" t="inlineStr">
        <is>
          <t>salidas</t>
        </is>
      </c>
      <c r="F8793" s="23" t="n">
        <v>46273</v>
      </c>
      <c r="G8793" s="24">
        <f>F8793-DATE(2026,8,31)</f>
        <v>8</v>
      </c>
      <c r="H8793" s="25" t="n">
        <v>593974478</v>
      </c>
      <c r="I8793" t="inlineStr">
        <is>
          <t>entidad-dia</t>
        </is>
      </c>
    </row>
    <row r="8794">
      <c r="A8794" t="inlineStr">
        <is>
          <t>PRAGMA</t>
        </is>
      </c>
      <c r="B8794" t="inlineStr">
        <is>
          <t>M3</t>
        </is>
      </c>
      <c r="C8794" t="inlineStr">
        <is>
          <t>Cali</t>
        </is>
      </c>
      <c r="D8794" t="inlineStr">
        <is>
          <t>754</t>
        </is>
      </c>
      <c r="E8794" t="inlineStr">
        <is>
          <t>entradas</t>
        </is>
      </c>
      <c r="F8794" s="23" t="n">
        <v>46274</v>
      </c>
      <c r="G8794" s="24">
        <f>F8794-DATE(2026,8,31)</f>
        <v>9</v>
      </c>
      <c r="H8794" s="25" t="n">
        <v>601121912</v>
      </c>
      <c r="I8794" t="inlineStr">
        <is>
          <t>entidad-dia</t>
        </is>
      </c>
    </row>
    <row r="8795">
      <c r="A8795" t="inlineStr">
        <is>
          <t>PRAGMA</t>
        </is>
      </c>
      <c r="B8795" t="inlineStr">
        <is>
          <t>M3</t>
        </is>
      </c>
      <c r="C8795" t="inlineStr">
        <is>
          <t>Cali</t>
        </is>
      </c>
      <c r="D8795" t="inlineStr">
        <is>
          <t>754</t>
        </is>
      </c>
      <c r="E8795" t="inlineStr">
        <is>
          <t>salidas</t>
        </is>
      </c>
      <c r="F8795" s="23" t="n">
        <v>46274</v>
      </c>
      <c r="G8795" s="24">
        <f>F8795-DATE(2026,8,31)</f>
        <v>9</v>
      </c>
      <c r="H8795" s="25" t="n">
        <v>595943073</v>
      </c>
      <c r="I8795" t="inlineStr">
        <is>
          <t>entidad-dia</t>
        </is>
      </c>
    </row>
    <row r="8796">
      <c r="A8796" t="inlineStr">
        <is>
          <t>PRAGMA</t>
        </is>
      </c>
      <c r="B8796" t="inlineStr">
        <is>
          <t>M3</t>
        </is>
      </c>
      <c r="C8796" t="inlineStr">
        <is>
          <t>Cali</t>
        </is>
      </c>
      <c r="D8796" t="inlineStr">
        <is>
          <t>754</t>
        </is>
      </c>
      <c r="E8796" t="inlineStr">
        <is>
          <t>entradas</t>
        </is>
      </c>
      <c r="F8796" s="23" t="n">
        <v>46275</v>
      </c>
      <c r="G8796" s="24">
        <f>F8796-DATE(2026,8,31)</f>
        <v>10</v>
      </c>
      <c r="H8796" s="25" t="n">
        <v>560482997</v>
      </c>
      <c r="I8796" t="inlineStr">
        <is>
          <t>entidad-dia</t>
        </is>
      </c>
    </row>
    <row r="8797">
      <c r="A8797" t="inlineStr">
        <is>
          <t>PRAGMA</t>
        </is>
      </c>
      <c r="B8797" t="inlineStr">
        <is>
          <t>M3</t>
        </is>
      </c>
      <c r="C8797" t="inlineStr">
        <is>
          <t>Cali</t>
        </is>
      </c>
      <c r="D8797" t="inlineStr">
        <is>
          <t>754</t>
        </is>
      </c>
      <c r="E8797" t="inlineStr">
        <is>
          <t>salidas</t>
        </is>
      </c>
      <c r="F8797" s="23" t="n">
        <v>46275</v>
      </c>
      <c r="G8797" s="24">
        <f>F8797-DATE(2026,8,31)</f>
        <v>10</v>
      </c>
      <c r="H8797" s="25" t="n">
        <v>582235549</v>
      </c>
      <c r="I8797" t="inlineStr">
        <is>
          <t>entidad-dia</t>
        </is>
      </c>
    </row>
    <row r="8798">
      <c r="A8798" t="inlineStr">
        <is>
          <t>PRAGMA</t>
        </is>
      </c>
      <c r="B8798" t="inlineStr">
        <is>
          <t>M3</t>
        </is>
      </c>
      <c r="C8798" t="inlineStr">
        <is>
          <t>Cali</t>
        </is>
      </c>
      <c r="D8798" t="inlineStr">
        <is>
          <t>754</t>
        </is>
      </c>
      <c r="E8798" t="inlineStr">
        <is>
          <t>entradas</t>
        </is>
      </c>
      <c r="F8798" s="23" t="n">
        <v>46276</v>
      </c>
      <c r="G8798" s="24">
        <f>F8798-DATE(2026,8,31)</f>
        <v>11</v>
      </c>
      <c r="H8798" s="25" t="n">
        <v>656979542</v>
      </c>
      <c r="I8798" t="inlineStr">
        <is>
          <t>entidad-dia</t>
        </is>
      </c>
    </row>
    <row r="8799">
      <c r="A8799" t="inlineStr">
        <is>
          <t>PRAGMA</t>
        </is>
      </c>
      <c r="B8799" t="inlineStr">
        <is>
          <t>M3</t>
        </is>
      </c>
      <c r="C8799" t="inlineStr">
        <is>
          <t>Cali</t>
        </is>
      </c>
      <c r="D8799" t="inlineStr">
        <is>
          <t>754</t>
        </is>
      </c>
      <c r="E8799" t="inlineStr">
        <is>
          <t>salidas</t>
        </is>
      </c>
      <c r="F8799" s="23" t="n">
        <v>46276</v>
      </c>
      <c r="G8799" s="24">
        <f>F8799-DATE(2026,8,31)</f>
        <v>11</v>
      </c>
      <c r="H8799" s="25" t="n">
        <v>669349207</v>
      </c>
      <c r="I8799" t="inlineStr">
        <is>
          <t>entidad-dia</t>
        </is>
      </c>
    </row>
    <row r="8800">
      <c r="A8800" t="inlineStr">
        <is>
          <t>PRAGMA</t>
        </is>
      </c>
      <c r="B8800" t="inlineStr">
        <is>
          <t>M3</t>
        </is>
      </c>
      <c r="C8800" t="inlineStr">
        <is>
          <t>Cali</t>
        </is>
      </c>
      <c r="D8800" t="inlineStr">
        <is>
          <t>754</t>
        </is>
      </c>
      <c r="E8800" t="inlineStr">
        <is>
          <t>entradas</t>
        </is>
      </c>
      <c r="F8800" s="23" t="n">
        <v>46277</v>
      </c>
      <c r="G8800" s="24">
        <f>F8800-DATE(2026,8,31)</f>
        <v>12</v>
      </c>
      <c r="H8800" s="25" t="n">
        <v>946930</v>
      </c>
      <c r="I8800" t="inlineStr">
        <is>
          <t>entidad-dia</t>
        </is>
      </c>
    </row>
    <row r="8801">
      <c r="A8801" t="inlineStr">
        <is>
          <t>PRAGMA</t>
        </is>
      </c>
      <c r="B8801" t="inlineStr">
        <is>
          <t>M3</t>
        </is>
      </c>
      <c r="C8801" t="inlineStr">
        <is>
          <t>Cali</t>
        </is>
      </c>
      <c r="D8801" t="inlineStr">
        <is>
          <t>754</t>
        </is>
      </c>
      <c r="E8801" t="inlineStr">
        <is>
          <t>salidas</t>
        </is>
      </c>
      <c r="F8801" s="23" t="n">
        <v>46277</v>
      </c>
      <c r="G8801" s="24">
        <f>F8801-DATE(2026,8,31)</f>
        <v>12</v>
      </c>
      <c r="H8801" s="25" t="n">
        <v>1940802</v>
      </c>
      <c r="I8801" t="inlineStr">
        <is>
          <t>entidad-dia</t>
        </is>
      </c>
    </row>
    <row r="8802">
      <c r="A8802" t="inlineStr">
        <is>
          <t>PRAGMA</t>
        </is>
      </c>
      <c r="B8802" t="inlineStr">
        <is>
          <t>M3</t>
        </is>
      </c>
      <c r="C8802" t="inlineStr">
        <is>
          <t>Cali</t>
        </is>
      </c>
      <c r="D8802" t="inlineStr">
        <is>
          <t>754</t>
        </is>
      </c>
      <c r="E8802" t="inlineStr">
        <is>
          <t>entradas</t>
        </is>
      </c>
      <c r="F8802" s="23" t="n">
        <v>46278</v>
      </c>
      <c r="G8802" s="24">
        <f>F8802-DATE(2026,8,31)</f>
        <v>13</v>
      </c>
      <c r="H8802" s="25" t="n">
        <v>87293</v>
      </c>
      <c r="I8802" t="inlineStr">
        <is>
          <t>entidad-dia</t>
        </is>
      </c>
    </row>
    <row r="8803">
      <c r="A8803" t="inlineStr">
        <is>
          <t>PRAGMA</t>
        </is>
      </c>
      <c r="B8803" t="inlineStr">
        <is>
          <t>M3</t>
        </is>
      </c>
      <c r="C8803" t="inlineStr">
        <is>
          <t>Cali</t>
        </is>
      </c>
      <c r="D8803" t="inlineStr">
        <is>
          <t>754</t>
        </is>
      </c>
      <c r="E8803" t="inlineStr">
        <is>
          <t>salidas</t>
        </is>
      </c>
      <c r="F8803" s="23" t="n">
        <v>46278</v>
      </c>
      <c r="G8803" s="24">
        <f>F8803-DATE(2026,8,31)</f>
        <v>13</v>
      </c>
      <c r="H8803" s="25" t="n">
        <v>0</v>
      </c>
      <c r="I8803" t="inlineStr">
        <is>
          <t>entidad-dia</t>
        </is>
      </c>
    </row>
    <row r="8804">
      <c r="A8804" t="inlineStr">
        <is>
          <t>PRAGMA</t>
        </is>
      </c>
      <c r="B8804" t="inlineStr">
        <is>
          <t>M3</t>
        </is>
      </c>
      <c r="C8804" t="inlineStr">
        <is>
          <t>Cali</t>
        </is>
      </c>
      <c r="D8804" t="inlineStr">
        <is>
          <t>754</t>
        </is>
      </c>
      <c r="E8804" t="inlineStr">
        <is>
          <t>entradas</t>
        </is>
      </c>
      <c r="F8804" s="23" t="n">
        <v>46279</v>
      </c>
      <c r="G8804" s="24">
        <f>F8804-DATE(2026,8,31)</f>
        <v>14</v>
      </c>
      <c r="H8804" s="25" t="n">
        <v>604280973</v>
      </c>
      <c r="I8804" t="inlineStr">
        <is>
          <t>entidad-dia</t>
        </is>
      </c>
    </row>
    <row r="8805">
      <c r="A8805" t="inlineStr">
        <is>
          <t>PRAGMA</t>
        </is>
      </c>
      <c r="B8805" t="inlineStr">
        <is>
          <t>M3</t>
        </is>
      </c>
      <c r="C8805" t="inlineStr">
        <is>
          <t>Cali</t>
        </is>
      </c>
      <c r="D8805" t="inlineStr">
        <is>
          <t>754</t>
        </is>
      </c>
      <c r="E8805" t="inlineStr">
        <is>
          <t>salidas</t>
        </is>
      </c>
      <c r="F8805" s="23" t="n">
        <v>46279</v>
      </c>
      <c r="G8805" s="24">
        <f>F8805-DATE(2026,8,31)</f>
        <v>14</v>
      </c>
      <c r="H8805" s="25" t="n">
        <v>534591321</v>
      </c>
      <c r="I8805" t="inlineStr">
        <is>
          <t>entidad-dia</t>
        </is>
      </c>
    </row>
    <row r="8806">
      <c r="A8806" t="inlineStr">
        <is>
          <t>PRAGMA</t>
        </is>
      </c>
      <c r="B8806" t="inlineStr">
        <is>
          <t>M3</t>
        </is>
      </c>
      <c r="C8806" t="inlineStr">
        <is>
          <t>Cali</t>
        </is>
      </c>
      <c r="D8806" t="inlineStr">
        <is>
          <t>754</t>
        </is>
      </c>
      <c r="E8806" t="inlineStr">
        <is>
          <t>entradas</t>
        </is>
      </c>
      <c r="F8806" s="23" t="n">
        <v>46280</v>
      </c>
      <c r="G8806" s="24">
        <f>F8806-DATE(2026,8,31)</f>
        <v>15</v>
      </c>
      <c r="H8806" s="25" t="n">
        <v>689450838</v>
      </c>
      <c r="I8806" t="inlineStr">
        <is>
          <t>entidad-dia</t>
        </is>
      </c>
    </row>
    <row r="8807">
      <c r="A8807" t="inlineStr">
        <is>
          <t>PRAGMA</t>
        </is>
      </c>
      <c r="B8807" t="inlineStr">
        <is>
          <t>M3</t>
        </is>
      </c>
      <c r="C8807" t="inlineStr">
        <is>
          <t>Cali</t>
        </is>
      </c>
      <c r="D8807" t="inlineStr">
        <is>
          <t>754</t>
        </is>
      </c>
      <c r="E8807" t="inlineStr">
        <is>
          <t>salidas</t>
        </is>
      </c>
      <c r="F8807" s="23" t="n">
        <v>46280</v>
      </c>
      <c r="G8807" s="24">
        <f>F8807-DATE(2026,8,31)</f>
        <v>15</v>
      </c>
      <c r="H8807" s="25" t="n">
        <v>622988946</v>
      </c>
      <c r="I8807" t="inlineStr">
        <is>
          <t>entidad-dia</t>
        </is>
      </c>
    </row>
    <row r="8808">
      <c r="A8808" t="inlineStr">
        <is>
          <t>PRAGMA</t>
        </is>
      </c>
      <c r="B8808" t="inlineStr">
        <is>
          <t>M3</t>
        </is>
      </c>
      <c r="C8808" t="inlineStr">
        <is>
          <t>Cali</t>
        </is>
      </c>
      <c r="D8808" t="inlineStr">
        <is>
          <t>755</t>
        </is>
      </c>
      <c r="E8808" t="inlineStr">
        <is>
          <t>entradas</t>
        </is>
      </c>
      <c r="F8808" s="23" t="n">
        <v>46266</v>
      </c>
      <c r="G8808" s="24">
        <f>F8808-DATE(2026,8,31)</f>
        <v>1</v>
      </c>
      <c r="H8808" s="25" t="n">
        <v>1286658280</v>
      </c>
      <c r="I8808" t="inlineStr">
        <is>
          <t>entidad-dia</t>
        </is>
      </c>
    </row>
    <row r="8809">
      <c r="A8809" t="inlineStr">
        <is>
          <t>PRAGMA</t>
        </is>
      </c>
      <c r="B8809" t="inlineStr">
        <is>
          <t>M3</t>
        </is>
      </c>
      <c r="C8809" t="inlineStr">
        <is>
          <t>Cali</t>
        </is>
      </c>
      <c r="D8809" t="inlineStr">
        <is>
          <t>755</t>
        </is>
      </c>
      <c r="E8809" t="inlineStr">
        <is>
          <t>salidas</t>
        </is>
      </c>
      <c r="F8809" s="23" t="n">
        <v>46266</v>
      </c>
      <c r="G8809" s="24">
        <f>F8809-DATE(2026,8,31)</f>
        <v>1</v>
      </c>
      <c r="H8809" s="25" t="n">
        <v>730565243</v>
      </c>
      <c r="I8809" t="inlineStr">
        <is>
          <t>entidad-dia</t>
        </is>
      </c>
    </row>
    <row r="8810">
      <c r="A8810" t="inlineStr">
        <is>
          <t>PRAGMA</t>
        </is>
      </c>
      <c r="B8810" t="inlineStr">
        <is>
          <t>M3</t>
        </is>
      </c>
      <c r="C8810" t="inlineStr">
        <is>
          <t>Cali</t>
        </is>
      </c>
      <c r="D8810" t="inlineStr">
        <is>
          <t>755</t>
        </is>
      </c>
      <c r="E8810" t="inlineStr">
        <is>
          <t>entradas</t>
        </is>
      </c>
      <c r="F8810" s="23" t="n">
        <v>46267</v>
      </c>
      <c r="G8810" s="24">
        <f>F8810-DATE(2026,8,31)</f>
        <v>2</v>
      </c>
      <c r="H8810" s="25" t="n">
        <v>1376056344</v>
      </c>
      <c r="I8810" t="inlineStr">
        <is>
          <t>entidad-dia</t>
        </is>
      </c>
    </row>
    <row r="8811">
      <c r="A8811" t="inlineStr">
        <is>
          <t>PRAGMA</t>
        </is>
      </c>
      <c r="B8811" t="inlineStr">
        <is>
          <t>M3</t>
        </is>
      </c>
      <c r="C8811" t="inlineStr">
        <is>
          <t>Cali</t>
        </is>
      </c>
      <c r="D8811" t="inlineStr">
        <is>
          <t>755</t>
        </is>
      </c>
      <c r="E8811" t="inlineStr">
        <is>
          <t>salidas</t>
        </is>
      </c>
      <c r="F8811" s="23" t="n">
        <v>46267</v>
      </c>
      <c r="G8811" s="24">
        <f>F8811-DATE(2026,8,31)</f>
        <v>2</v>
      </c>
      <c r="H8811" s="25" t="n">
        <v>799514575</v>
      </c>
      <c r="I8811" t="inlineStr">
        <is>
          <t>entidad-dia</t>
        </is>
      </c>
    </row>
    <row r="8812">
      <c r="A8812" t="inlineStr">
        <is>
          <t>PRAGMA</t>
        </is>
      </c>
      <c r="B8812" t="inlineStr">
        <is>
          <t>M3</t>
        </is>
      </c>
      <c r="C8812" t="inlineStr">
        <is>
          <t>Cali</t>
        </is>
      </c>
      <c r="D8812" t="inlineStr">
        <is>
          <t>755</t>
        </is>
      </c>
      <c r="E8812" t="inlineStr">
        <is>
          <t>entradas</t>
        </is>
      </c>
      <c r="F8812" s="23" t="n">
        <v>46268</v>
      </c>
      <c r="G8812" s="24">
        <f>F8812-DATE(2026,8,31)</f>
        <v>3</v>
      </c>
      <c r="H8812" s="25" t="n">
        <v>1089942447</v>
      </c>
      <c r="I8812" t="inlineStr">
        <is>
          <t>entidad-dia</t>
        </is>
      </c>
    </row>
    <row r="8813">
      <c r="A8813" t="inlineStr">
        <is>
          <t>PRAGMA</t>
        </is>
      </c>
      <c r="B8813" t="inlineStr">
        <is>
          <t>M3</t>
        </is>
      </c>
      <c r="C8813" t="inlineStr">
        <is>
          <t>Cali</t>
        </is>
      </c>
      <c r="D8813" t="inlineStr">
        <is>
          <t>755</t>
        </is>
      </c>
      <c r="E8813" t="inlineStr">
        <is>
          <t>salidas</t>
        </is>
      </c>
      <c r="F8813" s="23" t="n">
        <v>46268</v>
      </c>
      <c r="G8813" s="24">
        <f>F8813-DATE(2026,8,31)</f>
        <v>3</v>
      </c>
      <c r="H8813" s="25" t="n">
        <v>504179847</v>
      </c>
      <c r="I8813" t="inlineStr">
        <is>
          <t>entidad-dia</t>
        </is>
      </c>
    </row>
    <row r="8814">
      <c r="A8814" t="inlineStr">
        <is>
          <t>PRAGMA</t>
        </is>
      </c>
      <c r="B8814" t="inlineStr">
        <is>
          <t>M3</t>
        </is>
      </c>
      <c r="C8814" t="inlineStr">
        <is>
          <t>Cali</t>
        </is>
      </c>
      <c r="D8814" t="inlineStr">
        <is>
          <t>755</t>
        </is>
      </c>
      <c r="E8814" t="inlineStr">
        <is>
          <t>entradas</t>
        </is>
      </c>
      <c r="F8814" s="23" t="n">
        <v>46269</v>
      </c>
      <c r="G8814" s="24">
        <f>F8814-DATE(2026,8,31)</f>
        <v>4</v>
      </c>
      <c r="H8814" s="25" t="n">
        <v>1377255828</v>
      </c>
      <c r="I8814" t="inlineStr">
        <is>
          <t>entidad-dia</t>
        </is>
      </c>
    </row>
    <row r="8815">
      <c r="A8815" t="inlineStr">
        <is>
          <t>PRAGMA</t>
        </is>
      </c>
      <c r="B8815" t="inlineStr">
        <is>
          <t>M3</t>
        </is>
      </c>
      <c r="C8815" t="inlineStr">
        <is>
          <t>Cali</t>
        </is>
      </c>
      <c r="D8815" t="inlineStr">
        <is>
          <t>755</t>
        </is>
      </c>
      <c r="E8815" t="inlineStr">
        <is>
          <t>salidas</t>
        </is>
      </c>
      <c r="F8815" s="23" t="n">
        <v>46269</v>
      </c>
      <c r="G8815" s="24">
        <f>F8815-DATE(2026,8,31)</f>
        <v>4</v>
      </c>
      <c r="H8815" s="25" t="n">
        <v>792467493</v>
      </c>
      <c r="I8815" t="inlineStr">
        <is>
          <t>entidad-dia</t>
        </is>
      </c>
    </row>
    <row r="8816">
      <c r="A8816" t="inlineStr">
        <is>
          <t>PRAGMA</t>
        </is>
      </c>
      <c r="B8816" t="inlineStr">
        <is>
          <t>M3</t>
        </is>
      </c>
      <c r="C8816" t="inlineStr">
        <is>
          <t>Cali</t>
        </is>
      </c>
      <c r="D8816" t="inlineStr">
        <is>
          <t>755</t>
        </is>
      </c>
      <c r="E8816" t="inlineStr">
        <is>
          <t>entradas</t>
        </is>
      </c>
      <c r="F8816" s="23" t="n">
        <v>46270</v>
      </c>
      <c r="G8816" s="24">
        <f>F8816-DATE(2026,8,31)</f>
        <v>5</v>
      </c>
      <c r="H8816" s="25" t="n">
        <v>12430483</v>
      </c>
      <c r="I8816" t="inlineStr">
        <is>
          <t>entidad-dia</t>
        </is>
      </c>
    </row>
    <row r="8817">
      <c r="A8817" t="inlineStr">
        <is>
          <t>PRAGMA</t>
        </is>
      </c>
      <c r="B8817" t="inlineStr">
        <is>
          <t>M3</t>
        </is>
      </c>
      <c r="C8817" t="inlineStr">
        <is>
          <t>Cali</t>
        </is>
      </c>
      <c r="D8817" t="inlineStr">
        <is>
          <t>755</t>
        </is>
      </c>
      <c r="E8817" t="inlineStr">
        <is>
          <t>salidas</t>
        </is>
      </c>
      <c r="F8817" s="23" t="n">
        <v>46270</v>
      </c>
      <c r="G8817" s="24">
        <f>F8817-DATE(2026,8,31)</f>
        <v>5</v>
      </c>
      <c r="H8817" s="25" t="n">
        <v>0</v>
      </c>
      <c r="I8817" t="inlineStr">
        <is>
          <t>entidad-dia</t>
        </is>
      </c>
    </row>
    <row r="8818">
      <c r="A8818" t="inlineStr">
        <is>
          <t>PRAGMA</t>
        </is>
      </c>
      <c r="B8818" t="inlineStr">
        <is>
          <t>M3</t>
        </is>
      </c>
      <c r="C8818" t="inlineStr">
        <is>
          <t>Cali</t>
        </is>
      </c>
      <c r="D8818" t="inlineStr">
        <is>
          <t>755</t>
        </is>
      </c>
      <c r="E8818" t="inlineStr">
        <is>
          <t>entradas</t>
        </is>
      </c>
      <c r="F8818" s="23" t="n">
        <v>46271</v>
      </c>
      <c r="G8818" s="24">
        <f>F8818-DATE(2026,8,31)</f>
        <v>6</v>
      </c>
      <c r="H8818" s="25" t="n">
        <v>174732</v>
      </c>
      <c r="I8818" t="inlineStr">
        <is>
          <t>entidad-dia</t>
        </is>
      </c>
    </row>
    <row r="8819">
      <c r="A8819" t="inlineStr">
        <is>
          <t>PRAGMA</t>
        </is>
      </c>
      <c r="B8819" t="inlineStr">
        <is>
          <t>M3</t>
        </is>
      </c>
      <c r="C8819" t="inlineStr">
        <is>
          <t>Cali</t>
        </is>
      </c>
      <c r="D8819" t="inlineStr">
        <is>
          <t>755</t>
        </is>
      </c>
      <c r="E8819" t="inlineStr">
        <is>
          <t>salidas</t>
        </is>
      </c>
      <c r="F8819" s="23" t="n">
        <v>46271</v>
      </c>
      <c r="G8819" s="24">
        <f>F8819-DATE(2026,8,31)</f>
        <v>6</v>
      </c>
      <c r="H8819" s="25" t="n">
        <v>0</v>
      </c>
      <c r="I8819" t="inlineStr">
        <is>
          <t>entidad-dia</t>
        </is>
      </c>
    </row>
    <row r="8820">
      <c r="A8820" t="inlineStr">
        <is>
          <t>PRAGMA</t>
        </is>
      </c>
      <c r="B8820" t="inlineStr">
        <is>
          <t>M3</t>
        </is>
      </c>
      <c r="C8820" t="inlineStr">
        <is>
          <t>Cali</t>
        </is>
      </c>
      <c r="D8820" t="inlineStr">
        <is>
          <t>755</t>
        </is>
      </c>
      <c r="E8820" t="inlineStr">
        <is>
          <t>entradas</t>
        </is>
      </c>
      <c r="F8820" s="23" t="n">
        <v>46272</v>
      </c>
      <c r="G8820" s="24">
        <f>F8820-DATE(2026,8,31)</f>
        <v>7</v>
      </c>
      <c r="H8820" s="25" t="n">
        <v>1209289740</v>
      </c>
      <c r="I8820" t="inlineStr">
        <is>
          <t>entidad-dia</t>
        </is>
      </c>
    </row>
    <row r="8821">
      <c r="A8821" t="inlineStr">
        <is>
          <t>PRAGMA</t>
        </is>
      </c>
      <c r="B8821" t="inlineStr">
        <is>
          <t>M3</t>
        </is>
      </c>
      <c r="C8821" t="inlineStr">
        <is>
          <t>Cali</t>
        </is>
      </c>
      <c r="D8821" t="inlineStr">
        <is>
          <t>755</t>
        </is>
      </c>
      <c r="E8821" t="inlineStr">
        <is>
          <t>salidas</t>
        </is>
      </c>
      <c r="F8821" s="23" t="n">
        <v>46272</v>
      </c>
      <c r="G8821" s="24">
        <f>F8821-DATE(2026,8,31)</f>
        <v>7</v>
      </c>
      <c r="H8821" s="25" t="n">
        <v>610737451</v>
      </c>
      <c r="I8821" t="inlineStr">
        <is>
          <t>entidad-dia</t>
        </is>
      </c>
    </row>
    <row r="8822">
      <c r="A8822" t="inlineStr">
        <is>
          <t>PRAGMA</t>
        </is>
      </c>
      <c r="B8822" t="inlineStr">
        <is>
          <t>M3</t>
        </is>
      </c>
      <c r="C8822" t="inlineStr">
        <is>
          <t>Cali</t>
        </is>
      </c>
      <c r="D8822" t="inlineStr">
        <is>
          <t>755</t>
        </is>
      </c>
      <c r="E8822" t="inlineStr">
        <is>
          <t>entradas</t>
        </is>
      </c>
      <c r="F8822" s="23" t="n">
        <v>46273</v>
      </c>
      <c r="G8822" s="24">
        <f>F8822-DATE(2026,8,31)</f>
        <v>8</v>
      </c>
      <c r="H8822" s="25" t="n">
        <v>1319924588</v>
      </c>
      <c r="I8822" t="inlineStr">
        <is>
          <t>entidad-dia</t>
        </is>
      </c>
    </row>
    <row r="8823">
      <c r="A8823" t="inlineStr">
        <is>
          <t>PRAGMA</t>
        </is>
      </c>
      <c r="B8823" t="inlineStr">
        <is>
          <t>M3</t>
        </is>
      </c>
      <c r="C8823" t="inlineStr">
        <is>
          <t>Cali</t>
        </is>
      </c>
      <c r="D8823" t="inlineStr">
        <is>
          <t>755</t>
        </is>
      </c>
      <c r="E8823" t="inlineStr">
        <is>
          <t>salidas</t>
        </is>
      </c>
      <c r="F8823" s="23" t="n">
        <v>46273</v>
      </c>
      <c r="G8823" s="24">
        <f>F8823-DATE(2026,8,31)</f>
        <v>8</v>
      </c>
      <c r="H8823" s="25" t="n">
        <v>671174026</v>
      </c>
      <c r="I8823" t="inlineStr">
        <is>
          <t>entidad-dia</t>
        </is>
      </c>
    </row>
    <row r="8824">
      <c r="A8824" t="inlineStr">
        <is>
          <t>PRAGMA</t>
        </is>
      </c>
      <c r="B8824" t="inlineStr">
        <is>
          <t>M3</t>
        </is>
      </c>
      <c r="C8824" t="inlineStr">
        <is>
          <t>Cali</t>
        </is>
      </c>
      <c r="D8824" t="inlineStr">
        <is>
          <t>755</t>
        </is>
      </c>
      <c r="E8824" t="inlineStr">
        <is>
          <t>entradas</t>
        </is>
      </c>
      <c r="F8824" s="23" t="n">
        <v>46274</v>
      </c>
      <c r="G8824" s="24">
        <f>F8824-DATE(2026,8,31)</f>
        <v>9</v>
      </c>
      <c r="H8824" s="25" t="n">
        <v>1400960564</v>
      </c>
      <c r="I8824" t="inlineStr">
        <is>
          <t>entidad-dia</t>
        </is>
      </c>
    </row>
    <row r="8825">
      <c r="A8825" t="inlineStr">
        <is>
          <t>PRAGMA</t>
        </is>
      </c>
      <c r="B8825" t="inlineStr">
        <is>
          <t>M3</t>
        </is>
      </c>
      <c r="C8825" t="inlineStr">
        <is>
          <t>Cali</t>
        </is>
      </c>
      <c r="D8825" t="inlineStr">
        <is>
          <t>755</t>
        </is>
      </c>
      <c r="E8825" t="inlineStr">
        <is>
          <t>salidas</t>
        </is>
      </c>
      <c r="F8825" s="23" t="n">
        <v>46274</v>
      </c>
      <c r="G8825" s="24">
        <f>F8825-DATE(2026,8,31)</f>
        <v>9</v>
      </c>
      <c r="H8825" s="25" t="n">
        <v>711776281</v>
      </c>
      <c r="I8825" t="inlineStr">
        <is>
          <t>entidad-dia</t>
        </is>
      </c>
    </row>
    <row r="8826">
      <c r="A8826" t="inlineStr">
        <is>
          <t>PRAGMA</t>
        </is>
      </c>
      <c r="B8826" t="inlineStr">
        <is>
          <t>M3</t>
        </is>
      </c>
      <c r="C8826" t="inlineStr">
        <is>
          <t>Cali</t>
        </is>
      </c>
      <c r="D8826" t="inlineStr">
        <is>
          <t>755</t>
        </is>
      </c>
      <c r="E8826" t="inlineStr">
        <is>
          <t>entradas</t>
        </is>
      </c>
      <c r="F8826" s="23" t="n">
        <v>46275</v>
      </c>
      <c r="G8826" s="24">
        <f>F8826-DATE(2026,8,31)</f>
        <v>10</v>
      </c>
      <c r="H8826" s="25" t="n">
        <v>1102192226</v>
      </c>
      <c r="I8826" t="inlineStr">
        <is>
          <t>entidad-dia</t>
        </is>
      </c>
    </row>
    <row r="8827">
      <c r="A8827" t="inlineStr">
        <is>
          <t>PRAGMA</t>
        </is>
      </c>
      <c r="B8827" t="inlineStr">
        <is>
          <t>M3</t>
        </is>
      </c>
      <c r="C8827" t="inlineStr">
        <is>
          <t>Cali</t>
        </is>
      </c>
      <c r="D8827" t="inlineStr">
        <is>
          <t>755</t>
        </is>
      </c>
      <c r="E8827" t="inlineStr">
        <is>
          <t>salidas</t>
        </is>
      </c>
      <c r="F8827" s="23" t="n">
        <v>46275</v>
      </c>
      <c r="G8827" s="24">
        <f>F8827-DATE(2026,8,31)</f>
        <v>10</v>
      </c>
      <c r="H8827" s="25" t="n">
        <v>627014668</v>
      </c>
      <c r="I8827" t="inlineStr">
        <is>
          <t>entidad-dia</t>
        </is>
      </c>
    </row>
    <row r="8828">
      <c r="A8828" t="inlineStr">
        <is>
          <t>PRAGMA</t>
        </is>
      </c>
      <c r="B8828" t="inlineStr">
        <is>
          <t>M3</t>
        </is>
      </c>
      <c r="C8828" t="inlineStr">
        <is>
          <t>Cali</t>
        </is>
      </c>
      <c r="D8828" t="inlineStr">
        <is>
          <t>755</t>
        </is>
      </c>
      <c r="E8828" t="inlineStr">
        <is>
          <t>entradas</t>
        </is>
      </c>
      <c r="F8828" s="23" t="n">
        <v>46276</v>
      </c>
      <c r="G8828" s="24">
        <f>F8828-DATE(2026,8,31)</f>
        <v>11</v>
      </c>
      <c r="H8828" s="25" t="n">
        <v>1408740529</v>
      </c>
      <c r="I8828" t="inlineStr">
        <is>
          <t>entidad-dia</t>
        </is>
      </c>
    </row>
    <row r="8829">
      <c r="A8829" t="inlineStr">
        <is>
          <t>PRAGMA</t>
        </is>
      </c>
      <c r="B8829" t="inlineStr">
        <is>
          <t>M3</t>
        </is>
      </c>
      <c r="C8829" t="inlineStr">
        <is>
          <t>Cali</t>
        </is>
      </c>
      <c r="D8829" t="inlineStr">
        <is>
          <t>755</t>
        </is>
      </c>
      <c r="E8829" t="inlineStr">
        <is>
          <t>salidas</t>
        </is>
      </c>
      <c r="F8829" s="23" t="n">
        <v>46276</v>
      </c>
      <c r="G8829" s="24">
        <f>F8829-DATE(2026,8,31)</f>
        <v>11</v>
      </c>
      <c r="H8829" s="25" t="n">
        <v>737647103</v>
      </c>
      <c r="I8829" t="inlineStr">
        <is>
          <t>entidad-dia</t>
        </is>
      </c>
    </row>
    <row r="8830">
      <c r="A8830" t="inlineStr">
        <is>
          <t>PRAGMA</t>
        </is>
      </c>
      <c r="B8830" t="inlineStr">
        <is>
          <t>M3</t>
        </is>
      </c>
      <c r="C8830" t="inlineStr">
        <is>
          <t>Cali</t>
        </is>
      </c>
      <c r="D8830" t="inlineStr">
        <is>
          <t>755</t>
        </is>
      </c>
      <c r="E8830" t="inlineStr">
        <is>
          <t>entradas</t>
        </is>
      </c>
      <c r="F8830" s="23" t="n">
        <v>46277</v>
      </c>
      <c r="G8830" s="24">
        <f>F8830-DATE(2026,8,31)</f>
        <v>12</v>
      </c>
      <c r="H8830" s="25" t="n">
        <v>13620323</v>
      </c>
      <c r="I8830" t="inlineStr">
        <is>
          <t>entidad-dia</t>
        </is>
      </c>
    </row>
    <row r="8831">
      <c r="A8831" t="inlineStr">
        <is>
          <t>PRAGMA</t>
        </is>
      </c>
      <c r="B8831" t="inlineStr">
        <is>
          <t>M3</t>
        </is>
      </c>
      <c r="C8831" t="inlineStr">
        <is>
          <t>Cali</t>
        </is>
      </c>
      <c r="D8831" t="inlineStr">
        <is>
          <t>755</t>
        </is>
      </c>
      <c r="E8831" t="inlineStr">
        <is>
          <t>salidas</t>
        </is>
      </c>
      <c r="F8831" s="23" t="n">
        <v>46277</v>
      </c>
      <c r="G8831" s="24">
        <f>F8831-DATE(2026,8,31)</f>
        <v>12</v>
      </c>
      <c r="H8831" s="25" t="n">
        <v>0</v>
      </c>
      <c r="I8831" t="inlineStr">
        <is>
          <t>entidad-dia</t>
        </is>
      </c>
    </row>
    <row r="8832">
      <c r="A8832" t="inlineStr">
        <is>
          <t>PRAGMA</t>
        </is>
      </c>
      <c r="B8832" t="inlineStr">
        <is>
          <t>M3</t>
        </is>
      </c>
      <c r="C8832" t="inlineStr">
        <is>
          <t>Cali</t>
        </is>
      </c>
      <c r="D8832" t="inlineStr">
        <is>
          <t>755</t>
        </is>
      </c>
      <c r="E8832" t="inlineStr">
        <is>
          <t>entradas</t>
        </is>
      </c>
      <c r="F8832" s="23" t="n">
        <v>46278</v>
      </c>
      <c r="G8832" s="24">
        <f>F8832-DATE(2026,8,31)</f>
        <v>13</v>
      </c>
      <c r="H8832" s="25" t="n">
        <v>199049</v>
      </c>
      <c r="I8832" t="inlineStr">
        <is>
          <t>entidad-dia</t>
        </is>
      </c>
    </row>
    <row r="8833">
      <c r="A8833" t="inlineStr">
        <is>
          <t>PRAGMA</t>
        </is>
      </c>
      <c r="B8833" t="inlineStr">
        <is>
          <t>M3</t>
        </is>
      </c>
      <c r="C8833" t="inlineStr">
        <is>
          <t>Cali</t>
        </is>
      </c>
      <c r="D8833" t="inlineStr">
        <is>
          <t>755</t>
        </is>
      </c>
      <c r="E8833" t="inlineStr">
        <is>
          <t>salidas</t>
        </is>
      </c>
      <c r="F8833" s="23" t="n">
        <v>46278</v>
      </c>
      <c r="G8833" s="24">
        <f>F8833-DATE(2026,8,31)</f>
        <v>13</v>
      </c>
      <c r="H8833" s="25" t="n">
        <v>0</v>
      </c>
      <c r="I8833" t="inlineStr">
        <is>
          <t>entidad-dia</t>
        </is>
      </c>
    </row>
    <row r="8834">
      <c r="A8834" t="inlineStr">
        <is>
          <t>PRAGMA</t>
        </is>
      </c>
      <c r="B8834" t="inlineStr">
        <is>
          <t>M3</t>
        </is>
      </c>
      <c r="C8834" t="inlineStr">
        <is>
          <t>Cali</t>
        </is>
      </c>
      <c r="D8834" t="inlineStr">
        <is>
          <t>755</t>
        </is>
      </c>
      <c r="E8834" t="inlineStr">
        <is>
          <t>entradas</t>
        </is>
      </c>
      <c r="F8834" s="23" t="n">
        <v>46279</v>
      </c>
      <c r="G8834" s="24">
        <f>F8834-DATE(2026,8,31)</f>
        <v>14</v>
      </c>
      <c r="H8834" s="25" t="n">
        <v>1240850440</v>
      </c>
      <c r="I8834" t="inlineStr">
        <is>
          <t>entidad-dia</t>
        </is>
      </c>
    </row>
    <row r="8835">
      <c r="A8835" t="inlineStr">
        <is>
          <t>PRAGMA</t>
        </is>
      </c>
      <c r="B8835" t="inlineStr">
        <is>
          <t>M3</t>
        </is>
      </c>
      <c r="C8835" t="inlineStr">
        <is>
          <t>Cali</t>
        </is>
      </c>
      <c r="D8835" t="inlineStr">
        <is>
          <t>755</t>
        </is>
      </c>
      <c r="E8835" t="inlineStr">
        <is>
          <t>salidas</t>
        </is>
      </c>
      <c r="F8835" s="23" t="n">
        <v>46279</v>
      </c>
      <c r="G8835" s="24">
        <f>F8835-DATE(2026,8,31)</f>
        <v>14</v>
      </c>
      <c r="H8835" s="25" t="n">
        <v>604808659</v>
      </c>
      <c r="I8835" t="inlineStr">
        <is>
          <t>entidad-dia</t>
        </is>
      </c>
    </row>
    <row r="8836">
      <c r="A8836" t="inlineStr">
        <is>
          <t>PRAGMA</t>
        </is>
      </c>
      <c r="B8836" t="inlineStr">
        <is>
          <t>M3</t>
        </is>
      </c>
      <c r="C8836" t="inlineStr">
        <is>
          <t>Cali</t>
        </is>
      </c>
      <c r="D8836" t="inlineStr">
        <is>
          <t>755</t>
        </is>
      </c>
      <c r="E8836" t="inlineStr">
        <is>
          <t>entradas</t>
        </is>
      </c>
      <c r="F8836" s="23" t="n">
        <v>46280</v>
      </c>
      <c r="G8836" s="24">
        <f>F8836-DATE(2026,8,31)</f>
        <v>15</v>
      </c>
      <c r="H8836" s="25" t="n">
        <v>1314594183</v>
      </c>
      <c r="I8836" t="inlineStr">
        <is>
          <t>entidad-dia</t>
        </is>
      </c>
    </row>
    <row r="8837">
      <c r="A8837" t="inlineStr">
        <is>
          <t>PRAGMA</t>
        </is>
      </c>
      <c r="B8837" t="inlineStr">
        <is>
          <t>M3</t>
        </is>
      </c>
      <c r="C8837" t="inlineStr">
        <is>
          <t>Cali</t>
        </is>
      </c>
      <c r="D8837" t="inlineStr">
        <is>
          <t>755</t>
        </is>
      </c>
      <c r="E8837" t="inlineStr">
        <is>
          <t>salidas</t>
        </is>
      </c>
      <c r="F8837" s="23" t="n">
        <v>46280</v>
      </c>
      <c r="G8837" s="24">
        <f>F8837-DATE(2026,8,31)</f>
        <v>15</v>
      </c>
      <c r="H8837" s="25" t="n">
        <v>694219337</v>
      </c>
      <c r="I8837" t="inlineStr">
        <is>
          <t>entidad-dia</t>
        </is>
      </c>
    </row>
    <row r="8838">
      <c r="A8838" t="inlineStr">
        <is>
          <t>PRAGMA</t>
        </is>
      </c>
      <c r="B8838" t="inlineStr">
        <is>
          <t>M3</t>
        </is>
      </c>
      <c r="C8838" t="inlineStr">
        <is>
          <t>Cali</t>
        </is>
      </c>
      <c r="D8838" t="inlineStr">
        <is>
          <t>769</t>
        </is>
      </c>
      <c r="E8838" t="inlineStr">
        <is>
          <t>entradas</t>
        </is>
      </c>
      <c r="F8838" s="23" t="n">
        <v>46266</v>
      </c>
      <c r="G8838" s="24">
        <f>F8838-DATE(2026,8,31)</f>
        <v>1</v>
      </c>
      <c r="H8838" s="25" t="n">
        <v>1277812276</v>
      </c>
      <c r="I8838" t="inlineStr">
        <is>
          <t>entidad-dia</t>
        </is>
      </c>
    </row>
    <row r="8839">
      <c r="A8839" t="inlineStr">
        <is>
          <t>PRAGMA</t>
        </is>
      </c>
      <c r="B8839" t="inlineStr">
        <is>
          <t>M3</t>
        </is>
      </c>
      <c r="C8839" t="inlineStr">
        <is>
          <t>Cali</t>
        </is>
      </c>
      <c r="D8839" t="inlineStr">
        <is>
          <t>769</t>
        </is>
      </c>
      <c r="E8839" t="inlineStr">
        <is>
          <t>salidas</t>
        </is>
      </c>
      <c r="F8839" s="23" t="n">
        <v>46266</v>
      </c>
      <c r="G8839" s="24">
        <f>F8839-DATE(2026,8,31)</f>
        <v>1</v>
      </c>
      <c r="H8839" s="25" t="n">
        <v>535587946</v>
      </c>
      <c r="I8839" t="inlineStr">
        <is>
          <t>entidad-dia</t>
        </is>
      </c>
    </row>
    <row r="8840">
      <c r="A8840" t="inlineStr">
        <is>
          <t>PRAGMA</t>
        </is>
      </c>
      <c r="B8840" t="inlineStr">
        <is>
          <t>M3</t>
        </is>
      </c>
      <c r="C8840" t="inlineStr">
        <is>
          <t>Cali</t>
        </is>
      </c>
      <c r="D8840" t="inlineStr">
        <is>
          <t>769</t>
        </is>
      </c>
      <c r="E8840" t="inlineStr">
        <is>
          <t>entradas</t>
        </is>
      </c>
      <c r="F8840" s="23" t="n">
        <v>46267</v>
      </c>
      <c r="G8840" s="24">
        <f>F8840-DATE(2026,8,31)</f>
        <v>2</v>
      </c>
      <c r="H8840" s="25" t="n">
        <v>1229922189</v>
      </c>
      <c r="I8840" t="inlineStr">
        <is>
          <t>entidad-dia</t>
        </is>
      </c>
    </row>
    <row r="8841">
      <c r="A8841" t="inlineStr">
        <is>
          <t>PRAGMA</t>
        </is>
      </c>
      <c r="B8841" t="inlineStr">
        <is>
          <t>M3</t>
        </is>
      </c>
      <c r="C8841" t="inlineStr">
        <is>
          <t>Cali</t>
        </is>
      </c>
      <c r="D8841" t="inlineStr">
        <is>
          <t>769</t>
        </is>
      </c>
      <c r="E8841" t="inlineStr">
        <is>
          <t>salidas</t>
        </is>
      </c>
      <c r="F8841" s="23" t="n">
        <v>46267</v>
      </c>
      <c r="G8841" s="24">
        <f>F8841-DATE(2026,8,31)</f>
        <v>2</v>
      </c>
      <c r="H8841" s="25" t="n">
        <v>502020833</v>
      </c>
      <c r="I8841" t="inlineStr">
        <is>
          <t>entidad-dia</t>
        </is>
      </c>
    </row>
    <row r="8842">
      <c r="A8842" t="inlineStr">
        <is>
          <t>PRAGMA</t>
        </is>
      </c>
      <c r="B8842" t="inlineStr">
        <is>
          <t>M3</t>
        </is>
      </c>
      <c r="C8842" t="inlineStr">
        <is>
          <t>Cali</t>
        </is>
      </c>
      <c r="D8842" t="inlineStr">
        <is>
          <t>769</t>
        </is>
      </c>
      <c r="E8842" t="inlineStr">
        <is>
          <t>entradas</t>
        </is>
      </c>
      <c r="F8842" s="23" t="n">
        <v>46268</v>
      </c>
      <c r="G8842" s="24">
        <f>F8842-DATE(2026,8,31)</f>
        <v>3</v>
      </c>
      <c r="H8842" s="25" t="n">
        <v>1106512124</v>
      </c>
      <c r="I8842" t="inlineStr">
        <is>
          <t>entidad-dia</t>
        </is>
      </c>
    </row>
    <row r="8843">
      <c r="A8843" t="inlineStr">
        <is>
          <t>PRAGMA</t>
        </is>
      </c>
      <c r="B8843" t="inlineStr">
        <is>
          <t>M3</t>
        </is>
      </c>
      <c r="C8843" t="inlineStr">
        <is>
          <t>Cali</t>
        </is>
      </c>
      <c r="D8843" t="inlineStr">
        <is>
          <t>769</t>
        </is>
      </c>
      <c r="E8843" t="inlineStr">
        <is>
          <t>salidas</t>
        </is>
      </c>
      <c r="F8843" s="23" t="n">
        <v>46268</v>
      </c>
      <c r="G8843" s="24">
        <f>F8843-DATE(2026,8,31)</f>
        <v>3</v>
      </c>
      <c r="H8843" s="25" t="n">
        <v>339306958</v>
      </c>
      <c r="I8843" t="inlineStr">
        <is>
          <t>entidad-dia</t>
        </is>
      </c>
    </row>
    <row r="8844">
      <c r="A8844" t="inlineStr">
        <is>
          <t>PRAGMA</t>
        </is>
      </c>
      <c r="B8844" t="inlineStr">
        <is>
          <t>M3</t>
        </is>
      </c>
      <c r="C8844" t="inlineStr">
        <is>
          <t>Cali</t>
        </is>
      </c>
      <c r="D8844" t="inlineStr">
        <is>
          <t>769</t>
        </is>
      </c>
      <c r="E8844" t="inlineStr">
        <is>
          <t>entradas</t>
        </is>
      </c>
      <c r="F8844" s="23" t="n">
        <v>46269</v>
      </c>
      <c r="G8844" s="24">
        <f>F8844-DATE(2026,8,31)</f>
        <v>4</v>
      </c>
      <c r="H8844" s="25" t="n">
        <v>1186238452</v>
      </c>
      <c r="I8844" t="inlineStr">
        <is>
          <t>entidad-dia</t>
        </is>
      </c>
    </row>
    <row r="8845">
      <c r="A8845" t="inlineStr">
        <is>
          <t>PRAGMA</t>
        </is>
      </c>
      <c r="B8845" t="inlineStr">
        <is>
          <t>M3</t>
        </is>
      </c>
      <c r="C8845" t="inlineStr">
        <is>
          <t>Cali</t>
        </is>
      </c>
      <c r="D8845" t="inlineStr">
        <is>
          <t>769</t>
        </is>
      </c>
      <c r="E8845" t="inlineStr">
        <is>
          <t>salidas</t>
        </is>
      </c>
      <c r="F8845" s="23" t="n">
        <v>46269</v>
      </c>
      <c r="G8845" s="24">
        <f>F8845-DATE(2026,8,31)</f>
        <v>4</v>
      </c>
      <c r="H8845" s="25" t="n">
        <v>577455593</v>
      </c>
      <c r="I8845" t="inlineStr">
        <is>
          <t>entidad-dia</t>
        </is>
      </c>
    </row>
    <row r="8846">
      <c r="A8846" t="inlineStr">
        <is>
          <t>PRAGMA</t>
        </is>
      </c>
      <c r="B8846" t="inlineStr">
        <is>
          <t>M3</t>
        </is>
      </c>
      <c r="C8846" t="inlineStr">
        <is>
          <t>Cali</t>
        </is>
      </c>
      <c r="D8846" t="inlineStr">
        <is>
          <t>769</t>
        </is>
      </c>
      <c r="E8846" t="inlineStr">
        <is>
          <t>entradas</t>
        </is>
      </c>
      <c r="F8846" s="23" t="n">
        <v>46270</v>
      </c>
      <c r="G8846" s="24">
        <f>F8846-DATE(2026,8,31)</f>
        <v>5</v>
      </c>
      <c r="H8846" s="25" t="n">
        <v>2981337</v>
      </c>
      <c r="I8846" t="inlineStr">
        <is>
          <t>entidad-dia</t>
        </is>
      </c>
    </row>
    <row r="8847">
      <c r="A8847" t="inlineStr">
        <is>
          <t>PRAGMA</t>
        </is>
      </c>
      <c r="B8847" t="inlineStr">
        <is>
          <t>M3</t>
        </is>
      </c>
      <c r="C8847" t="inlineStr">
        <is>
          <t>Cali</t>
        </is>
      </c>
      <c r="D8847" t="inlineStr">
        <is>
          <t>769</t>
        </is>
      </c>
      <c r="E8847" t="inlineStr">
        <is>
          <t>salidas</t>
        </is>
      </c>
      <c r="F8847" s="23" t="n">
        <v>46270</v>
      </c>
      <c r="G8847" s="24">
        <f>F8847-DATE(2026,8,31)</f>
        <v>5</v>
      </c>
      <c r="H8847" s="25" t="n">
        <v>0</v>
      </c>
      <c r="I8847" t="inlineStr">
        <is>
          <t>entidad-dia</t>
        </is>
      </c>
    </row>
    <row r="8848">
      <c r="A8848" t="inlineStr">
        <is>
          <t>PRAGMA</t>
        </is>
      </c>
      <c r="B8848" t="inlineStr">
        <is>
          <t>M3</t>
        </is>
      </c>
      <c r="C8848" t="inlineStr">
        <is>
          <t>Cali</t>
        </is>
      </c>
      <c r="D8848" t="inlineStr">
        <is>
          <t>769</t>
        </is>
      </c>
      <c r="E8848" t="inlineStr">
        <is>
          <t>entradas</t>
        </is>
      </c>
      <c r="F8848" s="23" t="n">
        <v>46271</v>
      </c>
      <c r="G8848" s="24">
        <f>F8848-DATE(2026,8,31)</f>
        <v>6</v>
      </c>
      <c r="H8848" s="25" t="n">
        <v>1558149</v>
      </c>
      <c r="I8848" t="inlineStr">
        <is>
          <t>entidad-dia</t>
        </is>
      </c>
    </row>
    <row r="8849">
      <c r="A8849" t="inlineStr">
        <is>
          <t>PRAGMA</t>
        </is>
      </c>
      <c r="B8849" t="inlineStr">
        <is>
          <t>M3</t>
        </is>
      </c>
      <c r="C8849" t="inlineStr">
        <is>
          <t>Cali</t>
        </is>
      </c>
      <c r="D8849" t="inlineStr">
        <is>
          <t>769</t>
        </is>
      </c>
      <c r="E8849" t="inlineStr">
        <is>
          <t>salidas</t>
        </is>
      </c>
      <c r="F8849" s="23" t="n">
        <v>46271</v>
      </c>
      <c r="G8849" s="24">
        <f>F8849-DATE(2026,8,31)</f>
        <v>6</v>
      </c>
      <c r="H8849" s="25" t="n">
        <v>0</v>
      </c>
      <c r="I8849" t="inlineStr">
        <is>
          <t>entidad-dia</t>
        </is>
      </c>
    </row>
    <row r="8850">
      <c r="A8850" t="inlineStr">
        <is>
          <t>PRAGMA</t>
        </is>
      </c>
      <c r="B8850" t="inlineStr">
        <is>
          <t>M3</t>
        </is>
      </c>
      <c r="C8850" t="inlineStr">
        <is>
          <t>Cali</t>
        </is>
      </c>
      <c r="D8850" t="inlineStr">
        <is>
          <t>769</t>
        </is>
      </c>
      <c r="E8850" t="inlineStr">
        <is>
          <t>entradas</t>
        </is>
      </c>
      <c r="F8850" s="23" t="n">
        <v>46272</v>
      </c>
      <c r="G8850" s="24">
        <f>F8850-DATE(2026,8,31)</f>
        <v>7</v>
      </c>
      <c r="H8850" s="25" t="n">
        <v>1167174847</v>
      </c>
      <c r="I8850" t="inlineStr">
        <is>
          <t>entidad-dia</t>
        </is>
      </c>
    </row>
    <row r="8851">
      <c r="A8851" t="inlineStr">
        <is>
          <t>PRAGMA</t>
        </is>
      </c>
      <c r="B8851" t="inlineStr">
        <is>
          <t>M3</t>
        </is>
      </c>
      <c r="C8851" t="inlineStr">
        <is>
          <t>Cali</t>
        </is>
      </c>
      <c r="D8851" t="inlineStr">
        <is>
          <t>769</t>
        </is>
      </c>
      <c r="E8851" t="inlineStr">
        <is>
          <t>salidas</t>
        </is>
      </c>
      <c r="F8851" s="23" t="n">
        <v>46272</v>
      </c>
      <c r="G8851" s="24">
        <f>F8851-DATE(2026,8,31)</f>
        <v>7</v>
      </c>
      <c r="H8851" s="25" t="n">
        <v>416337025</v>
      </c>
      <c r="I8851" t="inlineStr">
        <is>
          <t>entidad-dia</t>
        </is>
      </c>
    </row>
    <row r="8852">
      <c r="A8852" t="inlineStr">
        <is>
          <t>PRAGMA</t>
        </is>
      </c>
      <c r="B8852" t="inlineStr">
        <is>
          <t>M3</t>
        </is>
      </c>
      <c r="C8852" t="inlineStr">
        <is>
          <t>Cali</t>
        </is>
      </c>
      <c r="D8852" t="inlineStr">
        <is>
          <t>769</t>
        </is>
      </c>
      <c r="E8852" t="inlineStr">
        <is>
          <t>entradas</t>
        </is>
      </c>
      <c r="F8852" s="23" t="n">
        <v>46273</v>
      </c>
      <c r="G8852" s="24">
        <f>F8852-DATE(2026,8,31)</f>
        <v>8</v>
      </c>
      <c r="H8852" s="25" t="n">
        <v>1311619184</v>
      </c>
      <c r="I8852" t="inlineStr">
        <is>
          <t>entidad-dia</t>
        </is>
      </c>
    </row>
    <row r="8853">
      <c r="A8853" t="inlineStr">
        <is>
          <t>PRAGMA</t>
        </is>
      </c>
      <c r="B8853" t="inlineStr">
        <is>
          <t>M3</t>
        </is>
      </c>
      <c r="C8853" t="inlineStr">
        <is>
          <t>Cali</t>
        </is>
      </c>
      <c r="D8853" t="inlineStr">
        <is>
          <t>769</t>
        </is>
      </c>
      <c r="E8853" t="inlineStr">
        <is>
          <t>salidas</t>
        </is>
      </c>
      <c r="F8853" s="23" t="n">
        <v>46273</v>
      </c>
      <c r="G8853" s="24">
        <f>F8853-DATE(2026,8,31)</f>
        <v>8</v>
      </c>
      <c r="H8853" s="25" t="n">
        <v>457370750</v>
      </c>
      <c r="I8853" t="inlineStr">
        <is>
          <t>entidad-dia</t>
        </is>
      </c>
    </row>
    <row r="8854">
      <c r="A8854" t="inlineStr">
        <is>
          <t>PRAGMA</t>
        </is>
      </c>
      <c r="B8854" t="inlineStr">
        <is>
          <t>M3</t>
        </is>
      </c>
      <c r="C8854" t="inlineStr">
        <is>
          <t>Cali</t>
        </is>
      </c>
      <c r="D8854" t="inlineStr">
        <is>
          <t>769</t>
        </is>
      </c>
      <c r="E8854" t="inlineStr">
        <is>
          <t>entradas</t>
        </is>
      </c>
      <c r="F8854" s="23" t="n">
        <v>46274</v>
      </c>
      <c r="G8854" s="24">
        <f>F8854-DATE(2026,8,31)</f>
        <v>9</v>
      </c>
      <c r="H8854" s="25" t="n">
        <v>1258459715</v>
      </c>
      <c r="I8854" t="inlineStr">
        <is>
          <t>entidad-dia</t>
        </is>
      </c>
    </row>
    <row r="8855">
      <c r="A8855" t="inlineStr">
        <is>
          <t>PRAGMA</t>
        </is>
      </c>
      <c r="B8855" t="inlineStr">
        <is>
          <t>M3</t>
        </is>
      </c>
      <c r="C8855" t="inlineStr">
        <is>
          <t>Cali</t>
        </is>
      </c>
      <c r="D8855" t="inlineStr">
        <is>
          <t>769</t>
        </is>
      </c>
      <c r="E8855" t="inlineStr">
        <is>
          <t>salidas</t>
        </is>
      </c>
      <c r="F8855" s="23" t="n">
        <v>46274</v>
      </c>
      <c r="G8855" s="24">
        <f>F8855-DATE(2026,8,31)</f>
        <v>9</v>
      </c>
      <c r="H8855" s="25" t="n">
        <v>446564004</v>
      </c>
      <c r="I8855" t="inlineStr">
        <is>
          <t>entidad-dia</t>
        </is>
      </c>
    </row>
    <row r="8856">
      <c r="A8856" t="inlineStr">
        <is>
          <t>PRAGMA</t>
        </is>
      </c>
      <c r="B8856" t="inlineStr">
        <is>
          <t>M3</t>
        </is>
      </c>
      <c r="C8856" t="inlineStr">
        <is>
          <t>Cali</t>
        </is>
      </c>
      <c r="D8856" t="inlineStr">
        <is>
          <t>769</t>
        </is>
      </c>
      <c r="E8856" t="inlineStr">
        <is>
          <t>entradas</t>
        </is>
      </c>
      <c r="F8856" s="23" t="n">
        <v>46275</v>
      </c>
      <c r="G8856" s="24">
        <f>F8856-DATE(2026,8,31)</f>
        <v>10</v>
      </c>
      <c r="H8856" s="25" t="n">
        <v>1075853423</v>
      </c>
      <c r="I8856" t="inlineStr">
        <is>
          <t>entidad-dia</t>
        </is>
      </c>
    </row>
    <row r="8857">
      <c r="A8857" t="inlineStr">
        <is>
          <t>PRAGMA</t>
        </is>
      </c>
      <c r="B8857" t="inlineStr">
        <is>
          <t>M3</t>
        </is>
      </c>
      <c r="C8857" t="inlineStr">
        <is>
          <t>Cali</t>
        </is>
      </c>
      <c r="D8857" t="inlineStr">
        <is>
          <t>769</t>
        </is>
      </c>
      <c r="E8857" t="inlineStr">
        <is>
          <t>salidas</t>
        </is>
      </c>
      <c r="F8857" s="23" t="n">
        <v>46275</v>
      </c>
      <c r="G8857" s="24">
        <f>F8857-DATE(2026,8,31)</f>
        <v>10</v>
      </c>
      <c r="H8857" s="25" t="n">
        <v>416528117</v>
      </c>
      <c r="I8857" t="inlineStr">
        <is>
          <t>entidad-dia</t>
        </is>
      </c>
    </row>
    <row r="8858">
      <c r="A8858" t="inlineStr">
        <is>
          <t>PRAGMA</t>
        </is>
      </c>
      <c r="B8858" t="inlineStr">
        <is>
          <t>M3</t>
        </is>
      </c>
      <c r="C8858" t="inlineStr">
        <is>
          <t>Cali</t>
        </is>
      </c>
      <c r="D8858" t="inlineStr">
        <is>
          <t>769</t>
        </is>
      </c>
      <c r="E8858" t="inlineStr">
        <is>
          <t>entradas</t>
        </is>
      </c>
      <c r="F8858" s="23" t="n">
        <v>46276</v>
      </c>
      <c r="G8858" s="24">
        <f>F8858-DATE(2026,8,31)</f>
        <v>11</v>
      </c>
      <c r="H8858" s="25" t="n">
        <v>1212082750</v>
      </c>
      <c r="I8858" t="inlineStr">
        <is>
          <t>entidad-dia</t>
        </is>
      </c>
    </row>
    <row r="8859">
      <c r="A8859" t="inlineStr">
        <is>
          <t>PRAGMA</t>
        </is>
      </c>
      <c r="B8859" t="inlineStr">
        <is>
          <t>M3</t>
        </is>
      </c>
      <c r="C8859" t="inlineStr">
        <is>
          <t>Cali</t>
        </is>
      </c>
      <c r="D8859" t="inlineStr">
        <is>
          <t>769</t>
        </is>
      </c>
      <c r="E8859" t="inlineStr">
        <is>
          <t>salidas</t>
        </is>
      </c>
      <c r="F8859" s="23" t="n">
        <v>46276</v>
      </c>
      <c r="G8859" s="24">
        <f>F8859-DATE(2026,8,31)</f>
        <v>11</v>
      </c>
      <c r="H8859" s="25" t="n">
        <v>505808955</v>
      </c>
      <c r="I8859" t="inlineStr">
        <is>
          <t>entidad-dia</t>
        </is>
      </c>
    </row>
    <row r="8860">
      <c r="A8860" t="inlineStr">
        <is>
          <t>PRAGMA</t>
        </is>
      </c>
      <c r="B8860" t="inlineStr">
        <is>
          <t>M3</t>
        </is>
      </c>
      <c r="C8860" t="inlineStr">
        <is>
          <t>Cali</t>
        </is>
      </c>
      <c r="D8860" t="inlineStr">
        <is>
          <t>769</t>
        </is>
      </c>
      <c r="E8860" t="inlineStr">
        <is>
          <t>entradas</t>
        </is>
      </c>
      <c r="F8860" s="23" t="n">
        <v>46277</v>
      </c>
      <c r="G8860" s="24">
        <f>F8860-DATE(2026,8,31)</f>
        <v>12</v>
      </c>
      <c r="H8860" s="25" t="n">
        <v>2243722</v>
      </c>
      <c r="I8860" t="inlineStr">
        <is>
          <t>entidad-dia</t>
        </is>
      </c>
    </row>
    <row r="8861">
      <c r="A8861" t="inlineStr">
        <is>
          <t>PRAGMA</t>
        </is>
      </c>
      <c r="B8861" t="inlineStr">
        <is>
          <t>M3</t>
        </is>
      </c>
      <c r="C8861" t="inlineStr">
        <is>
          <t>Cali</t>
        </is>
      </c>
      <c r="D8861" t="inlineStr">
        <is>
          <t>769</t>
        </is>
      </c>
      <c r="E8861" t="inlineStr">
        <is>
          <t>salidas</t>
        </is>
      </c>
      <c r="F8861" s="23" t="n">
        <v>46277</v>
      </c>
      <c r="G8861" s="24">
        <f>F8861-DATE(2026,8,31)</f>
        <v>12</v>
      </c>
      <c r="H8861" s="25" t="n">
        <v>0</v>
      </c>
      <c r="I8861" t="inlineStr">
        <is>
          <t>entidad-dia</t>
        </is>
      </c>
    </row>
    <row r="8862">
      <c r="A8862" t="inlineStr">
        <is>
          <t>PRAGMA</t>
        </is>
      </c>
      <c r="B8862" t="inlineStr">
        <is>
          <t>M3</t>
        </is>
      </c>
      <c r="C8862" t="inlineStr">
        <is>
          <t>Cali</t>
        </is>
      </c>
      <c r="D8862" t="inlineStr">
        <is>
          <t>769</t>
        </is>
      </c>
      <c r="E8862" t="inlineStr">
        <is>
          <t>entradas</t>
        </is>
      </c>
      <c r="F8862" s="23" t="n">
        <v>46278</v>
      </c>
      <c r="G8862" s="24">
        <f>F8862-DATE(2026,8,31)</f>
        <v>13</v>
      </c>
      <c r="H8862" s="25" t="n">
        <v>25404</v>
      </c>
      <c r="I8862" t="inlineStr">
        <is>
          <t>entidad-dia</t>
        </is>
      </c>
    </row>
    <row r="8863">
      <c r="A8863" t="inlineStr">
        <is>
          <t>PRAGMA</t>
        </is>
      </c>
      <c r="B8863" t="inlineStr">
        <is>
          <t>M3</t>
        </is>
      </c>
      <c r="C8863" t="inlineStr">
        <is>
          <t>Cali</t>
        </is>
      </c>
      <c r="D8863" t="inlineStr">
        <is>
          <t>769</t>
        </is>
      </c>
      <c r="E8863" t="inlineStr">
        <is>
          <t>salidas</t>
        </is>
      </c>
      <c r="F8863" s="23" t="n">
        <v>46278</v>
      </c>
      <c r="G8863" s="24">
        <f>F8863-DATE(2026,8,31)</f>
        <v>13</v>
      </c>
      <c r="H8863" s="25" t="n">
        <v>0</v>
      </c>
      <c r="I8863" t="inlineStr">
        <is>
          <t>entidad-dia</t>
        </is>
      </c>
    </row>
    <row r="8864">
      <c r="A8864" t="inlineStr">
        <is>
          <t>PRAGMA</t>
        </is>
      </c>
      <c r="B8864" t="inlineStr">
        <is>
          <t>M3</t>
        </is>
      </c>
      <c r="C8864" t="inlineStr">
        <is>
          <t>Cali</t>
        </is>
      </c>
      <c r="D8864" t="inlineStr">
        <is>
          <t>769</t>
        </is>
      </c>
      <c r="E8864" t="inlineStr">
        <is>
          <t>entradas</t>
        </is>
      </c>
      <c r="F8864" s="23" t="n">
        <v>46279</v>
      </c>
      <c r="G8864" s="24">
        <f>F8864-DATE(2026,8,31)</f>
        <v>14</v>
      </c>
      <c r="H8864" s="25" t="n">
        <v>1247366544</v>
      </c>
      <c r="I8864" t="inlineStr">
        <is>
          <t>entidad-dia</t>
        </is>
      </c>
    </row>
    <row r="8865">
      <c r="A8865" t="inlineStr">
        <is>
          <t>PRAGMA</t>
        </is>
      </c>
      <c r="B8865" t="inlineStr">
        <is>
          <t>M3</t>
        </is>
      </c>
      <c r="C8865" t="inlineStr">
        <is>
          <t>Cali</t>
        </is>
      </c>
      <c r="D8865" t="inlineStr">
        <is>
          <t>769</t>
        </is>
      </c>
      <c r="E8865" t="inlineStr">
        <is>
          <t>salidas</t>
        </is>
      </c>
      <c r="F8865" s="23" t="n">
        <v>46279</v>
      </c>
      <c r="G8865" s="24">
        <f>F8865-DATE(2026,8,31)</f>
        <v>14</v>
      </c>
      <c r="H8865" s="25" t="n">
        <v>430809212</v>
      </c>
      <c r="I8865" t="inlineStr">
        <is>
          <t>entidad-dia</t>
        </is>
      </c>
    </row>
    <row r="8866">
      <c r="A8866" t="inlineStr">
        <is>
          <t>PRAGMA</t>
        </is>
      </c>
      <c r="B8866" t="inlineStr">
        <is>
          <t>M3</t>
        </is>
      </c>
      <c r="C8866" t="inlineStr">
        <is>
          <t>Cali</t>
        </is>
      </c>
      <c r="D8866" t="inlineStr">
        <is>
          <t>769</t>
        </is>
      </c>
      <c r="E8866" t="inlineStr">
        <is>
          <t>entradas</t>
        </is>
      </c>
      <c r="F8866" s="23" t="n">
        <v>46280</v>
      </c>
      <c r="G8866" s="24">
        <f>F8866-DATE(2026,8,31)</f>
        <v>15</v>
      </c>
      <c r="H8866" s="25" t="n">
        <v>1306765544</v>
      </c>
      <c r="I8866" t="inlineStr">
        <is>
          <t>entidad-dia</t>
        </is>
      </c>
    </row>
    <row r="8867">
      <c r="A8867" t="inlineStr">
        <is>
          <t>PRAGMA</t>
        </is>
      </c>
      <c r="B8867" t="inlineStr">
        <is>
          <t>M3</t>
        </is>
      </c>
      <c r="C8867" t="inlineStr">
        <is>
          <t>Cali</t>
        </is>
      </c>
      <c r="D8867" t="inlineStr">
        <is>
          <t>769</t>
        </is>
      </c>
      <c r="E8867" t="inlineStr">
        <is>
          <t>salidas</t>
        </is>
      </c>
      <c r="F8867" s="23" t="n">
        <v>46280</v>
      </c>
      <c r="G8867" s="24">
        <f>F8867-DATE(2026,8,31)</f>
        <v>15</v>
      </c>
      <c r="H8867" s="25" t="n">
        <v>486762696</v>
      </c>
      <c r="I8867" t="inlineStr">
        <is>
          <t>entidad-dia</t>
        </is>
      </c>
    </row>
    <row r="8868">
      <c r="A8868" t="inlineStr">
        <is>
          <t>PRAGMA</t>
        </is>
      </c>
      <c r="B8868" t="inlineStr">
        <is>
          <t>M3</t>
        </is>
      </c>
      <c r="C8868" t="inlineStr">
        <is>
          <t>Pasto</t>
        </is>
      </c>
      <c r="D8868" t="inlineStr">
        <is>
          <t>79</t>
        </is>
      </c>
      <c r="E8868" t="inlineStr">
        <is>
          <t>entradas</t>
        </is>
      </c>
      <c r="F8868" s="23" t="n">
        <v>46266</v>
      </c>
      <c r="G8868" s="24">
        <f>F8868-DATE(2026,8,31)</f>
        <v>1</v>
      </c>
      <c r="H8868" s="25" t="n">
        <v>1893810795</v>
      </c>
      <c r="I8868" t="inlineStr">
        <is>
          <t>entidad-dia</t>
        </is>
      </c>
    </row>
    <row r="8869">
      <c r="A8869" t="inlineStr">
        <is>
          <t>PRAGMA</t>
        </is>
      </c>
      <c r="B8869" t="inlineStr">
        <is>
          <t>M3</t>
        </is>
      </c>
      <c r="C8869" t="inlineStr">
        <is>
          <t>Pasto</t>
        </is>
      </c>
      <c r="D8869" t="inlineStr">
        <is>
          <t>79</t>
        </is>
      </c>
      <c r="E8869" t="inlineStr">
        <is>
          <t>salidas</t>
        </is>
      </c>
      <c r="F8869" s="23" t="n">
        <v>46266</v>
      </c>
      <c r="G8869" s="24">
        <f>F8869-DATE(2026,8,31)</f>
        <v>1</v>
      </c>
      <c r="H8869" s="25" t="n">
        <v>1402597699</v>
      </c>
      <c r="I8869" t="inlineStr">
        <is>
          <t>entidad-dia</t>
        </is>
      </c>
    </row>
    <row r="8870">
      <c r="A8870" t="inlineStr">
        <is>
          <t>PRAGMA</t>
        </is>
      </c>
      <c r="B8870" t="inlineStr">
        <is>
          <t>M3</t>
        </is>
      </c>
      <c r="C8870" t="inlineStr">
        <is>
          <t>Pasto</t>
        </is>
      </c>
      <c r="D8870" t="inlineStr">
        <is>
          <t>79</t>
        </is>
      </c>
      <c r="E8870" t="inlineStr">
        <is>
          <t>entradas</t>
        </is>
      </c>
      <c r="F8870" s="23" t="n">
        <v>46267</v>
      </c>
      <c r="G8870" s="24">
        <f>F8870-DATE(2026,8,31)</f>
        <v>2</v>
      </c>
      <c r="H8870" s="25" t="n">
        <v>1820460966</v>
      </c>
      <c r="I8870" t="inlineStr">
        <is>
          <t>entidad-dia</t>
        </is>
      </c>
    </row>
    <row r="8871">
      <c r="A8871" t="inlineStr">
        <is>
          <t>PRAGMA</t>
        </is>
      </c>
      <c r="B8871" t="inlineStr">
        <is>
          <t>M3</t>
        </is>
      </c>
      <c r="C8871" t="inlineStr">
        <is>
          <t>Pasto</t>
        </is>
      </c>
      <c r="D8871" t="inlineStr">
        <is>
          <t>79</t>
        </is>
      </c>
      <c r="E8871" t="inlineStr">
        <is>
          <t>salidas</t>
        </is>
      </c>
      <c r="F8871" s="23" t="n">
        <v>46267</v>
      </c>
      <c r="G8871" s="24">
        <f>F8871-DATE(2026,8,31)</f>
        <v>2</v>
      </c>
      <c r="H8871" s="25" t="n">
        <v>1409536035</v>
      </c>
      <c r="I8871" t="inlineStr">
        <is>
          <t>entidad-dia</t>
        </is>
      </c>
    </row>
    <row r="8872">
      <c r="A8872" t="inlineStr">
        <is>
          <t>PRAGMA</t>
        </is>
      </c>
      <c r="B8872" t="inlineStr">
        <is>
          <t>M3</t>
        </is>
      </c>
      <c r="C8872" t="inlineStr">
        <is>
          <t>Pasto</t>
        </is>
      </c>
      <c r="D8872" t="inlineStr">
        <is>
          <t>79</t>
        </is>
      </c>
      <c r="E8872" t="inlineStr">
        <is>
          <t>entradas</t>
        </is>
      </c>
      <c r="F8872" s="23" t="n">
        <v>46268</v>
      </c>
      <c r="G8872" s="24">
        <f>F8872-DATE(2026,8,31)</f>
        <v>3</v>
      </c>
      <c r="H8872" s="25" t="n">
        <v>1556587254</v>
      </c>
      <c r="I8872" t="inlineStr">
        <is>
          <t>entidad-dia</t>
        </is>
      </c>
    </row>
    <row r="8873">
      <c r="A8873" t="inlineStr">
        <is>
          <t>PRAGMA</t>
        </is>
      </c>
      <c r="B8873" t="inlineStr">
        <is>
          <t>M3</t>
        </is>
      </c>
      <c r="C8873" t="inlineStr">
        <is>
          <t>Pasto</t>
        </is>
      </c>
      <c r="D8873" t="inlineStr">
        <is>
          <t>79</t>
        </is>
      </c>
      <c r="E8873" t="inlineStr">
        <is>
          <t>salidas</t>
        </is>
      </c>
      <c r="F8873" s="23" t="n">
        <v>46268</v>
      </c>
      <c r="G8873" s="24">
        <f>F8873-DATE(2026,8,31)</f>
        <v>3</v>
      </c>
      <c r="H8873" s="25" t="n">
        <v>838086472</v>
      </c>
      <c r="I8873" t="inlineStr">
        <is>
          <t>entidad-dia</t>
        </is>
      </c>
    </row>
    <row r="8874">
      <c r="A8874" t="inlineStr">
        <is>
          <t>PRAGMA</t>
        </is>
      </c>
      <c r="B8874" t="inlineStr">
        <is>
          <t>M3</t>
        </is>
      </c>
      <c r="C8874" t="inlineStr">
        <is>
          <t>Pasto</t>
        </is>
      </c>
      <c r="D8874" t="inlineStr">
        <is>
          <t>79</t>
        </is>
      </c>
      <c r="E8874" t="inlineStr">
        <is>
          <t>entradas</t>
        </is>
      </c>
      <c r="F8874" s="23" t="n">
        <v>46269</v>
      </c>
      <c r="G8874" s="24">
        <f>F8874-DATE(2026,8,31)</f>
        <v>4</v>
      </c>
      <c r="H8874" s="25" t="n">
        <v>1958696276</v>
      </c>
      <c r="I8874" t="inlineStr">
        <is>
          <t>entidad-dia</t>
        </is>
      </c>
    </row>
    <row r="8875">
      <c r="A8875" t="inlineStr">
        <is>
          <t>PRAGMA</t>
        </is>
      </c>
      <c r="B8875" t="inlineStr">
        <is>
          <t>M3</t>
        </is>
      </c>
      <c r="C8875" t="inlineStr">
        <is>
          <t>Pasto</t>
        </is>
      </c>
      <c r="D8875" t="inlineStr">
        <is>
          <t>79</t>
        </is>
      </c>
      <c r="E8875" t="inlineStr">
        <is>
          <t>salidas</t>
        </is>
      </c>
      <c r="F8875" s="23" t="n">
        <v>46269</v>
      </c>
      <c r="G8875" s="24">
        <f>F8875-DATE(2026,8,31)</f>
        <v>4</v>
      </c>
      <c r="H8875" s="25" t="n">
        <v>1494147849</v>
      </c>
      <c r="I8875" t="inlineStr">
        <is>
          <t>entidad-dia</t>
        </is>
      </c>
    </row>
    <row r="8876">
      <c r="A8876" t="inlineStr">
        <is>
          <t>PRAGMA</t>
        </is>
      </c>
      <c r="B8876" t="inlineStr">
        <is>
          <t>M3</t>
        </is>
      </c>
      <c r="C8876" t="inlineStr">
        <is>
          <t>Pasto</t>
        </is>
      </c>
      <c r="D8876" t="inlineStr">
        <is>
          <t>79</t>
        </is>
      </c>
      <c r="E8876" t="inlineStr">
        <is>
          <t>entradas</t>
        </is>
      </c>
      <c r="F8876" s="23" t="n">
        <v>46270</v>
      </c>
      <c r="G8876" s="24">
        <f>F8876-DATE(2026,8,31)</f>
        <v>5</v>
      </c>
      <c r="H8876" s="25" t="n">
        <v>5427135</v>
      </c>
      <c r="I8876" t="inlineStr">
        <is>
          <t>entidad-dia</t>
        </is>
      </c>
    </row>
    <row r="8877">
      <c r="A8877" t="inlineStr">
        <is>
          <t>PRAGMA</t>
        </is>
      </c>
      <c r="B8877" t="inlineStr">
        <is>
          <t>M3</t>
        </is>
      </c>
      <c r="C8877" t="inlineStr">
        <is>
          <t>Pasto</t>
        </is>
      </c>
      <c r="D8877" t="inlineStr">
        <is>
          <t>79</t>
        </is>
      </c>
      <c r="E8877" t="inlineStr">
        <is>
          <t>salidas</t>
        </is>
      </c>
      <c r="F8877" s="23" t="n">
        <v>46270</v>
      </c>
      <c r="G8877" s="24">
        <f>F8877-DATE(2026,8,31)</f>
        <v>5</v>
      </c>
      <c r="H8877" s="25" t="n">
        <v>0</v>
      </c>
      <c r="I8877" t="inlineStr">
        <is>
          <t>entidad-dia</t>
        </is>
      </c>
    </row>
    <row r="8878">
      <c r="A8878" t="inlineStr">
        <is>
          <t>PRAGMA</t>
        </is>
      </c>
      <c r="B8878" t="inlineStr">
        <is>
          <t>M3</t>
        </is>
      </c>
      <c r="C8878" t="inlineStr">
        <is>
          <t>Pasto</t>
        </is>
      </c>
      <c r="D8878" t="inlineStr">
        <is>
          <t>79</t>
        </is>
      </c>
      <c r="E8878" t="inlineStr">
        <is>
          <t>entradas</t>
        </is>
      </c>
      <c r="F8878" s="23" t="n">
        <v>46271</v>
      </c>
      <c r="G8878" s="24">
        <f>F8878-DATE(2026,8,31)</f>
        <v>6</v>
      </c>
      <c r="H8878" s="25" t="n">
        <v>2013772</v>
      </c>
      <c r="I8878" t="inlineStr">
        <is>
          <t>entidad-dia</t>
        </is>
      </c>
    </row>
    <row r="8879">
      <c r="A8879" t="inlineStr">
        <is>
          <t>PRAGMA</t>
        </is>
      </c>
      <c r="B8879" t="inlineStr">
        <is>
          <t>M3</t>
        </is>
      </c>
      <c r="C8879" t="inlineStr">
        <is>
          <t>Pasto</t>
        </is>
      </c>
      <c r="D8879" t="inlineStr">
        <is>
          <t>79</t>
        </is>
      </c>
      <c r="E8879" t="inlineStr">
        <is>
          <t>salidas</t>
        </is>
      </c>
      <c r="F8879" s="23" t="n">
        <v>46271</v>
      </c>
      <c r="G8879" s="24">
        <f>F8879-DATE(2026,8,31)</f>
        <v>6</v>
      </c>
      <c r="H8879" s="25" t="n">
        <v>0</v>
      </c>
      <c r="I8879" t="inlineStr">
        <is>
          <t>entidad-dia</t>
        </is>
      </c>
    </row>
    <row r="8880">
      <c r="A8880" t="inlineStr">
        <is>
          <t>PRAGMA</t>
        </is>
      </c>
      <c r="B8880" t="inlineStr">
        <is>
          <t>M3</t>
        </is>
      </c>
      <c r="C8880" t="inlineStr">
        <is>
          <t>Pasto</t>
        </is>
      </c>
      <c r="D8880" t="inlineStr">
        <is>
          <t>79</t>
        </is>
      </c>
      <c r="E8880" t="inlineStr">
        <is>
          <t>entradas</t>
        </is>
      </c>
      <c r="F8880" s="23" t="n">
        <v>46272</v>
      </c>
      <c r="G8880" s="24">
        <f>F8880-DATE(2026,8,31)</f>
        <v>7</v>
      </c>
      <c r="H8880" s="25" t="n">
        <v>1784691565</v>
      </c>
      <c r="I8880" t="inlineStr">
        <is>
          <t>entidad-dia</t>
        </is>
      </c>
    </row>
    <row r="8881">
      <c r="A8881" t="inlineStr">
        <is>
          <t>PRAGMA</t>
        </is>
      </c>
      <c r="B8881" t="inlineStr">
        <is>
          <t>M3</t>
        </is>
      </c>
      <c r="C8881" t="inlineStr">
        <is>
          <t>Pasto</t>
        </is>
      </c>
      <c r="D8881" t="inlineStr">
        <is>
          <t>79</t>
        </is>
      </c>
      <c r="E8881" t="inlineStr">
        <is>
          <t>salidas</t>
        </is>
      </c>
      <c r="F8881" s="23" t="n">
        <v>46272</v>
      </c>
      <c r="G8881" s="24">
        <f>F8881-DATE(2026,8,31)</f>
        <v>7</v>
      </c>
      <c r="H8881" s="25" t="n">
        <v>1107468983</v>
      </c>
      <c r="I8881" t="inlineStr">
        <is>
          <t>entidad-dia</t>
        </is>
      </c>
    </row>
    <row r="8882">
      <c r="A8882" t="inlineStr">
        <is>
          <t>PRAGMA</t>
        </is>
      </c>
      <c r="B8882" t="inlineStr">
        <is>
          <t>M3</t>
        </is>
      </c>
      <c r="C8882" t="inlineStr">
        <is>
          <t>Pasto</t>
        </is>
      </c>
      <c r="D8882" t="inlineStr">
        <is>
          <t>79</t>
        </is>
      </c>
      <c r="E8882" t="inlineStr">
        <is>
          <t>entradas</t>
        </is>
      </c>
      <c r="F8882" s="23" t="n">
        <v>46273</v>
      </c>
      <c r="G8882" s="24">
        <f>F8882-DATE(2026,8,31)</f>
        <v>8</v>
      </c>
      <c r="H8882" s="25" t="n">
        <v>2018770367</v>
      </c>
      <c r="I8882" t="inlineStr">
        <is>
          <t>entidad-dia</t>
        </is>
      </c>
    </row>
    <row r="8883">
      <c r="A8883" t="inlineStr">
        <is>
          <t>PRAGMA</t>
        </is>
      </c>
      <c r="B8883" t="inlineStr">
        <is>
          <t>M3</t>
        </is>
      </c>
      <c r="C8883" t="inlineStr">
        <is>
          <t>Pasto</t>
        </is>
      </c>
      <c r="D8883" t="inlineStr">
        <is>
          <t>79</t>
        </is>
      </c>
      <c r="E8883" t="inlineStr">
        <is>
          <t>salidas</t>
        </is>
      </c>
      <c r="F8883" s="23" t="n">
        <v>46273</v>
      </c>
      <c r="G8883" s="24">
        <f>F8883-DATE(2026,8,31)</f>
        <v>8</v>
      </c>
      <c r="H8883" s="25" t="n">
        <v>1236587669</v>
      </c>
      <c r="I8883" t="inlineStr">
        <is>
          <t>entidad-dia</t>
        </is>
      </c>
    </row>
    <row r="8884">
      <c r="A8884" t="inlineStr">
        <is>
          <t>PRAGMA</t>
        </is>
      </c>
      <c r="B8884" t="inlineStr">
        <is>
          <t>M3</t>
        </is>
      </c>
      <c r="C8884" t="inlineStr">
        <is>
          <t>Pasto</t>
        </is>
      </c>
      <c r="D8884" t="inlineStr">
        <is>
          <t>79</t>
        </is>
      </c>
      <c r="E8884" t="inlineStr">
        <is>
          <t>entradas</t>
        </is>
      </c>
      <c r="F8884" s="23" t="n">
        <v>46274</v>
      </c>
      <c r="G8884" s="24">
        <f>F8884-DATE(2026,8,31)</f>
        <v>9</v>
      </c>
      <c r="H8884" s="25" t="n">
        <v>1850466288</v>
      </c>
      <c r="I8884" t="inlineStr">
        <is>
          <t>entidad-dia</t>
        </is>
      </c>
    </row>
    <row r="8885">
      <c r="A8885" t="inlineStr">
        <is>
          <t>PRAGMA</t>
        </is>
      </c>
      <c r="B8885" t="inlineStr">
        <is>
          <t>M3</t>
        </is>
      </c>
      <c r="C8885" t="inlineStr">
        <is>
          <t>Pasto</t>
        </is>
      </c>
      <c r="D8885" t="inlineStr">
        <is>
          <t>79</t>
        </is>
      </c>
      <c r="E8885" t="inlineStr">
        <is>
          <t>salidas</t>
        </is>
      </c>
      <c r="F8885" s="23" t="n">
        <v>46274</v>
      </c>
      <c r="G8885" s="24">
        <f>F8885-DATE(2026,8,31)</f>
        <v>9</v>
      </c>
      <c r="H8885" s="25" t="n">
        <v>1235253804</v>
      </c>
      <c r="I8885" t="inlineStr">
        <is>
          <t>entidad-dia</t>
        </is>
      </c>
    </row>
    <row r="8886">
      <c r="A8886" t="inlineStr">
        <is>
          <t>PRAGMA</t>
        </is>
      </c>
      <c r="B8886" t="inlineStr">
        <is>
          <t>M3</t>
        </is>
      </c>
      <c r="C8886" t="inlineStr">
        <is>
          <t>Pasto</t>
        </is>
      </c>
      <c r="D8886" t="inlineStr">
        <is>
          <t>79</t>
        </is>
      </c>
      <c r="E8886" t="inlineStr">
        <is>
          <t>entradas</t>
        </is>
      </c>
      <c r="F8886" s="23" t="n">
        <v>46275</v>
      </c>
      <c r="G8886" s="24">
        <f>F8886-DATE(2026,8,31)</f>
        <v>10</v>
      </c>
      <c r="H8886" s="25" t="n">
        <v>1584936821</v>
      </c>
      <c r="I8886" t="inlineStr">
        <is>
          <t>entidad-dia</t>
        </is>
      </c>
    </row>
    <row r="8887">
      <c r="A8887" t="inlineStr">
        <is>
          <t>PRAGMA</t>
        </is>
      </c>
      <c r="B8887" t="inlineStr">
        <is>
          <t>M3</t>
        </is>
      </c>
      <c r="C8887" t="inlineStr">
        <is>
          <t>Pasto</t>
        </is>
      </c>
      <c r="D8887" t="inlineStr">
        <is>
          <t>79</t>
        </is>
      </c>
      <c r="E8887" t="inlineStr">
        <is>
          <t>salidas</t>
        </is>
      </c>
      <c r="F8887" s="23" t="n">
        <v>46275</v>
      </c>
      <c r="G8887" s="24">
        <f>F8887-DATE(2026,8,31)</f>
        <v>10</v>
      </c>
      <c r="H8887" s="25" t="n">
        <v>1145301952</v>
      </c>
      <c r="I8887" t="inlineStr">
        <is>
          <t>entidad-dia</t>
        </is>
      </c>
    </row>
    <row r="8888">
      <c r="A8888" t="inlineStr">
        <is>
          <t>PRAGMA</t>
        </is>
      </c>
      <c r="B8888" t="inlineStr">
        <is>
          <t>M3</t>
        </is>
      </c>
      <c r="C8888" t="inlineStr">
        <is>
          <t>Pasto</t>
        </is>
      </c>
      <c r="D8888" t="inlineStr">
        <is>
          <t>79</t>
        </is>
      </c>
      <c r="E8888" t="inlineStr">
        <is>
          <t>entradas</t>
        </is>
      </c>
      <c r="F8888" s="23" t="n">
        <v>46276</v>
      </c>
      <c r="G8888" s="24">
        <f>F8888-DATE(2026,8,31)</f>
        <v>11</v>
      </c>
      <c r="H8888" s="25" t="n">
        <v>2018183508</v>
      </c>
      <c r="I8888" t="inlineStr">
        <is>
          <t>entidad-dia</t>
        </is>
      </c>
    </row>
    <row r="8889">
      <c r="A8889" t="inlineStr">
        <is>
          <t>PRAGMA</t>
        </is>
      </c>
      <c r="B8889" t="inlineStr">
        <is>
          <t>M3</t>
        </is>
      </c>
      <c r="C8889" t="inlineStr">
        <is>
          <t>Pasto</t>
        </is>
      </c>
      <c r="D8889" t="inlineStr">
        <is>
          <t>79</t>
        </is>
      </c>
      <c r="E8889" t="inlineStr">
        <is>
          <t>salidas</t>
        </is>
      </c>
      <c r="F8889" s="23" t="n">
        <v>46276</v>
      </c>
      <c r="G8889" s="24">
        <f>F8889-DATE(2026,8,31)</f>
        <v>11</v>
      </c>
      <c r="H8889" s="25" t="n">
        <v>1309837363</v>
      </c>
      <c r="I8889" t="inlineStr">
        <is>
          <t>entidad-dia</t>
        </is>
      </c>
    </row>
    <row r="8890">
      <c r="A8890" t="inlineStr">
        <is>
          <t>PRAGMA</t>
        </is>
      </c>
      <c r="B8890" t="inlineStr">
        <is>
          <t>M3</t>
        </is>
      </c>
      <c r="C8890" t="inlineStr">
        <is>
          <t>Pasto</t>
        </is>
      </c>
      <c r="D8890" t="inlineStr">
        <is>
          <t>79</t>
        </is>
      </c>
      <c r="E8890" t="inlineStr">
        <is>
          <t>entradas</t>
        </is>
      </c>
      <c r="F8890" s="23" t="n">
        <v>46277</v>
      </c>
      <c r="G8890" s="24">
        <f>F8890-DATE(2026,8,31)</f>
        <v>12</v>
      </c>
      <c r="H8890" s="25" t="n">
        <v>1366087</v>
      </c>
      <c r="I8890" t="inlineStr">
        <is>
          <t>entidad-dia</t>
        </is>
      </c>
    </row>
    <row r="8891">
      <c r="A8891" t="inlineStr">
        <is>
          <t>PRAGMA</t>
        </is>
      </c>
      <c r="B8891" t="inlineStr">
        <is>
          <t>M3</t>
        </is>
      </c>
      <c r="C8891" t="inlineStr">
        <is>
          <t>Pasto</t>
        </is>
      </c>
      <c r="D8891" t="inlineStr">
        <is>
          <t>79</t>
        </is>
      </c>
      <c r="E8891" t="inlineStr">
        <is>
          <t>salidas</t>
        </is>
      </c>
      <c r="F8891" s="23" t="n">
        <v>46277</v>
      </c>
      <c r="G8891" s="24">
        <f>F8891-DATE(2026,8,31)</f>
        <v>12</v>
      </c>
      <c r="H8891" s="25" t="n">
        <v>0</v>
      </c>
      <c r="I8891" t="inlineStr">
        <is>
          <t>entidad-dia</t>
        </is>
      </c>
    </row>
    <row r="8892">
      <c r="A8892" t="inlineStr">
        <is>
          <t>PRAGMA</t>
        </is>
      </c>
      <c r="B8892" t="inlineStr">
        <is>
          <t>M3</t>
        </is>
      </c>
      <c r="C8892" t="inlineStr">
        <is>
          <t>Pasto</t>
        </is>
      </c>
      <c r="D8892" t="inlineStr">
        <is>
          <t>79</t>
        </is>
      </c>
      <c r="E8892" t="inlineStr">
        <is>
          <t>entradas</t>
        </is>
      </c>
      <c r="F8892" s="23" t="n">
        <v>46278</v>
      </c>
      <c r="G8892" s="24">
        <f>F8892-DATE(2026,8,31)</f>
        <v>13</v>
      </c>
      <c r="H8892" s="25" t="n">
        <v>80713</v>
      </c>
      <c r="I8892" t="inlineStr">
        <is>
          <t>entidad-dia</t>
        </is>
      </c>
    </row>
    <row r="8893">
      <c r="A8893" t="inlineStr">
        <is>
          <t>PRAGMA</t>
        </is>
      </c>
      <c r="B8893" t="inlineStr">
        <is>
          <t>M3</t>
        </is>
      </c>
      <c r="C8893" t="inlineStr">
        <is>
          <t>Pasto</t>
        </is>
      </c>
      <c r="D8893" t="inlineStr">
        <is>
          <t>79</t>
        </is>
      </c>
      <c r="E8893" t="inlineStr">
        <is>
          <t>salidas</t>
        </is>
      </c>
      <c r="F8893" s="23" t="n">
        <v>46278</v>
      </c>
      <c r="G8893" s="24">
        <f>F8893-DATE(2026,8,31)</f>
        <v>13</v>
      </c>
      <c r="H8893" s="25" t="n">
        <v>0</v>
      </c>
      <c r="I8893" t="inlineStr">
        <is>
          <t>entidad-dia</t>
        </is>
      </c>
    </row>
    <row r="8894">
      <c r="A8894" t="inlineStr">
        <is>
          <t>PRAGMA</t>
        </is>
      </c>
      <c r="B8894" t="inlineStr">
        <is>
          <t>M3</t>
        </is>
      </c>
      <c r="C8894" t="inlineStr">
        <is>
          <t>Pasto</t>
        </is>
      </c>
      <c r="D8894" t="inlineStr">
        <is>
          <t>79</t>
        </is>
      </c>
      <c r="E8894" t="inlineStr">
        <is>
          <t>entradas</t>
        </is>
      </c>
      <c r="F8894" s="23" t="n">
        <v>46279</v>
      </c>
      <c r="G8894" s="24">
        <f>F8894-DATE(2026,8,31)</f>
        <v>14</v>
      </c>
      <c r="H8894" s="25" t="n">
        <v>1799119909</v>
      </c>
      <c r="I8894" t="inlineStr">
        <is>
          <t>entidad-dia</t>
        </is>
      </c>
    </row>
    <row r="8895">
      <c r="A8895" t="inlineStr">
        <is>
          <t>PRAGMA</t>
        </is>
      </c>
      <c r="B8895" t="inlineStr">
        <is>
          <t>M3</t>
        </is>
      </c>
      <c r="C8895" t="inlineStr">
        <is>
          <t>Pasto</t>
        </is>
      </c>
      <c r="D8895" t="inlineStr">
        <is>
          <t>79</t>
        </is>
      </c>
      <c r="E8895" t="inlineStr">
        <is>
          <t>salidas</t>
        </is>
      </c>
      <c r="F8895" s="23" t="n">
        <v>46279</v>
      </c>
      <c r="G8895" s="24">
        <f>F8895-DATE(2026,8,31)</f>
        <v>14</v>
      </c>
      <c r="H8895" s="25" t="n">
        <v>1105203913</v>
      </c>
      <c r="I8895" t="inlineStr">
        <is>
          <t>entidad-dia</t>
        </is>
      </c>
    </row>
    <row r="8896">
      <c r="A8896" t="inlineStr">
        <is>
          <t>PRAGMA</t>
        </is>
      </c>
      <c r="B8896" t="inlineStr">
        <is>
          <t>M3</t>
        </is>
      </c>
      <c r="C8896" t="inlineStr">
        <is>
          <t>Pasto</t>
        </is>
      </c>
      <c r="D8896" t="inlineStr">
        <is>
          <t>79</t>
        </is>
      </c>
      <c r="E8896" t="inlineStr">
        <is>
          <t>entradas</t>
        </is>
      </c>
      <c r="F8896" s="23" t="n">
        <v>46280</v>
      </c>
      <c r="G8896" s="24">
        <f>F8896-DATE(2026,8,31)</f>
        <v>15</v>
      </c>
      <c r="H8896" s="25" t="n">
        <v>1950086063</v>
      </c>
      <c r="I8896" t="inlineStr">
        <is>
          <t>entidad-dia</t>
        </is>
      </c>
    </row>
    <row r="8897">
      <c r="A8897" t="inlineStr">
        <is>
          <t>PRAGMA</t>
        </is>
      </c>
      <c r="B8897" t="inlineStr">
        <is>
          <t>M3</t>
        </is>
      </c>
      <c r="C8897" t="inlineStr">
        <is>
          <t>Pasto</t>
        </is>
      </c>
      <c r="D8897" t="inlineStr">
        <is>
          <t>79</t>
        </is>
      </c>
      <c r="E8897" t="inlineStr">
        <is>
          <t>salidas</t>
        </is>
      </c>
      <c r="F8897" s="23" t="n">
        <v>46280</v>
      </c>
      <c r="G8897" s="24">
        <f>F8897-DATE(2026,8,31)</f>
        <v>15</v>
      </c>
      <c r="H8897" s="25" t="n">
        <v>1284411258</v>
      </c>
      <c r="I8897" t="inlineStr">
        <is>
          <t>entidad-dia</t>
        </is>
      </c>
    </row>
    <row r="8898">
      <c r="A8898" t="inlineStr">
        <is>
          <t>PRAGMA</t>
        </is>
      </c>
      <c r="B8898" t="inlineStr">
        <is>
          <t>M3</t>
        </is>
      </c>
      <c r="C8898" t="inlineStr">
        <is>
          <t>Cali</t>
        </is>
      </c>
      <c r="D8898" t="inlineStr">
        <is>
          <t>813</t>
        </is>
      </c>
      <c r="E8898" t="inlineStr">
        <is>
          <t>entradas</t>
        </is>
      </c>
      <c r="F8898" s="23" t="n">
        <v>46266</v>
      </c>
      <c r="G8898" s="24">
        <f>F8898-DATE(2026,8,31)</f>
        <v>1</v>
      </c>
      <c r="H8898" s="25" t="n">
        <v>1306249627</v>
      </c>
      <c r="I8898" t="inlineStr">
        <is>
          <t>entidad-dia</t>
        </is>
      </c>
    </row>
    <row r="8899">
      <c r="A8899" t="inlineStr">
        <is>
          <t>PRAGMA</t>
        </is>
      </c>
      <c r="B8899" t="inlineStr">
        <is>
          <t>M3</t>
        </is>
      </c>
      <c r="C8899" t="inlineStr">
        <is>
          <t>Cali</t>
        </is>
      </c>
      <c r="D8899" t="inlineStr">
        <is>
          <t>813</t>
        </is>
      </c>
      <c r="E8899" t="inlineStr">
        <is>
          <t>salidas</t>
        </is>
      </c>
      <c r="F8899" s="23" t="n">
        <v>46266</v>
      </c>
      <c r="G8899" s="24">
        <f>F8899-DATE(2026,8,31)</f>
        <v>1</v>
      </c>
      <c r="H8899" s="25" t="n">
        <v>257634903</v>
      </c>
      <c r="I8899" t="inlineStr">
        <is>
          <t>entidad-dia</t>
        </is>
      </c>
    </row>
    <row r="8900">
      <c r="A8900" t="inlineStr">
        <is>
          <t>PRAGMA</t>
        </is>
      </c>
      <c r="B8900" t="inlineStr">
        <is>
          <t>M3</t>
        </is>
      </c>
      <c r="C8900" t="inlineStr">
        <is>
          <t>Cali</t>
        </is>
      </c>
      <c r="D8900" t="inlineStr">
        <is>
          <t>813</t>
        </is>
      </c>
      <c r="E8900" t="inlineStr">
        <is>
          <t>entradas</t>
        </is>
      </c>
      <c r="F8900" s="23" t="n">
        <v>46267</v>
      </c>
      <c r="G8900" s="24">
        <f>F8900-DATE(2026,8,31)</f>
        <v>2</v>
      </c>
      <c r="H8900" s="25" t="n">
        <v>972338599</v>
      </c>
      <c r="I8900" t="inlineStr">
        <is>
          <t>entidad-dia</t>
        </is>
      </c>
    </row>
    <row r="8901">
      <c r="A8901" t="inlineStr">
        <is>
          <t>PRAGMA</t>
        </is>
      </c>
      <c r="B8901" t="inlineStr">
        <is>
          <t>M3</t>
        </is>
      </c>
      <c r="C8901" t="inlineStr">
        <is>
          <t>Cali</t>
        </is>
      </c>
      <c r="D8901" t="inlineStr">
        <is>
          <t>813</t>
        </is>
      </c>
      <c r="E8901" t="inlineStr">
        <is>
          <t>salidas</t>
        </is>
      </c>
      <c r="F8901" s="23" t="n">
        <v>46267</v>
      </c>
      <c r="G8901" s="24">
        <f>F8901-DATE(2026,8,31)</f>
        <v>2</v>
      </c>
      <c r="H8901" s="25" t="n">
        <v>243377516</v>
      </c>
      <c r="I8901" t="inlineStr">
        <is>
          <t>entidad-dia</t>
        </is>
      </c>
    </row>
    <row r="8902">
      <c r="A8902" t="inlineStr">
        <is>
          <t>PRAGMA</t>
        </is>
      </c>
      <c r="B8902" t="inlineStr">
        <is>
          <t>M3</t>
        </is>
      </c>
      <c r="C8902" t="inlineStr">
        <is>
          <t>Cali</t>
        </is>
      </c>
      <c r="D8902" t="inlineStr">
        <is>
          <t>813</t>
        </is>
      </c>
      <c r="E8902" t="inlineStr">
        <is>
          <t>entradas</t>
        </is>
      </c>
      <c r="F8902" s="23" t="n">
        <v>46268</v>
      </c>
      <c r="G8902" s="24">
        <f>F8902-DATE(2026,8,31)</f>
        <v>3</v>
      </c>
      <c r="H8902" s="25" t="n">
        <v>830207447</v>
      </c>
      <c r="I8902" t="inlineStr">
        <is>
          <t>entidad-dia</t>
        </is>
      </c>
    </row>
    <row r="8903">
      <c r="A8903" t="inlineStr">
        <is>
          <t>PRAGMA</t>
        </is>
      </c>
      <c r="B8903" t="inlineStr">
        <is>
          <t>M3</t>
        </is>
      </c>
      <c r="C8903" t="inlineStr">
        <is>
          <t>Cali</t>
        </is>
      </c>
      <c r="D8903" t="inlineStr">
        <is>
          <t>813</t>
        </is>
      </c>
      <c r="E8903" t="inlineStr">
        <is>
          <t>salidas</t>
        </is>
      </c>
      <c r="F8903" s="23" t="n">
        <v>46268</v>
      </c>
      <c r="G8903" s="24">
        <f>F8903-DATE(2026,8,31)</f>
        <v>3</v>
      </c>
      <c r="H8903" s="25" t="n">
        <v>39499873</v>
      </c>
      <c r="I8903" t="inlineStr">
        <is>
          <t>entidad-dia</t>
        </is>
      </c>
    </row>
    <row r="8904">
      <c r="A8904" t="inlineStr">
        <is>
          <t>PRAGMA</t>
        </is>
      </c>
      <c r="B8904" t="inlineStr">
        <is>
          <t>M3</t>
        </is>
      </c>
      <c r="C8904" t="inlineStr">
        <is>
          <t>Cali</t>
        </is>
      </c>
      <c r="D8904" t="inlineStr">
        <is>
          <t>813</t>
        </is>
      </c>
      <c r="E8904" t="inlineStr">
        <is>
          <t>entradas</t>
        </is>
      </c>
      <c r="F8904" s="23" t="n">
        <v>46269</v>
      </c>
      <c r="G8904" s="24">
        <f>F8904-DATE(2026,8,31)</f>
        <v>4</v>
      </c>
      <c r="H8904" s="25" t="n">
        <v>1113320745</v>
      </c>
      <c r="I8904" t="inlineStr">
        <is>
          <t>entidad-dia</t>
        </is>
      </c>
    </row>
    <row r="8905">
      <c r="A8905" t="inlineStr">
        <is>
          <t>PRAGMA</t>
        </is>
      </c>
      <c r="B8905" t="inlineStr">
        <is>
          <t>M3</t>
        </is>
      </c>
      <c r="C8905" t="inlineStr">
        <is>
          <t>Cali</t>
        </is>
      </c>
      <c r="D8905" t="inlineStr">
        <is>
          <t>813</t>
        </is>
      </c>
      <c r="E8905" t="inlineStr">
        <is>
          <t>salidas</t>
        </is>
      </c>
      <c r="F8905" s="23" t="n">
        <v>46269</v>
      </c>
      <c r="G8905" s="24">
        <f>F8905-DATE(2026,8,31)</f>
        <v>4</v>
      </c>
      <c r="H8905" s="25" t="n">
        <v>0</v>
      </c>
      <c r="I8905" t="inlineStr">
        <is>
          <t>entidad-dia</t>
        </is>
      </c>
    </row>
    <row r="8906">
      <c r="A8906" t="inlineStr">
        <is>
          <t>PRAGMA</t>
        </is>
      </c>
      <c r="B8906" t="inlineStr">
        <is>
          <t>M3</t>
        </is>
      </c>
      <c r="C8906" t="inlineStr">
        <is>
          <t>Cali</t>
        </is>
      </c>
      <c r="D8906" t="inlineStr">
        <is>
          <t>813</t>
        </is>
      </c>
      <c r="E8906" t="inlineStr">
        <is>
          <t>entradas</t>
        </is>
      </c>
      <c r="F8906" s="23" t="n">
        <v>46270</v>
      </c>
      <c r="G8906" s="24">
        <f>F8906-DATE(2026,8,31)</f>
        <v>5</v>
      </c>
      <c r="H8906" s="25" t="n">
        <v>755951669</v>
      </c>
      <c r="I8906" t="inlineStr">
        <is>
          <t>entidad-dia</t>
        </is>
      </c>
    </row>
    <row r="8907">
      <c r="A8907" t="inlineStr">
        <is>
          <t>PRAGMA</t>
        </is>
      </c>
      <c r="B8907" t="inlineStr">
        <is>
          <t>M3</t>
        </is>
      </c>
      <c r="C8907" t="inlineStr">
        <is>
          <t>Cali</t>
        </is>
      </c>
      <c r="D8907" t="inlineStr">
        <is>
          <t>813</t>
        </is>
      </c>
      <c r="E8907" t="inlineStr">
        <is>
          <t>salidas</t>
        </is>
      </c>
      <c r="F8907" s="23" t="n">
        <v>46270</v>
      </c>
      <c r="G8907" s="24">
        <f>F8907-DATE(2026,8,31)</f>
        <v>5</v>
      </c>
      <c r="H8907" s="25" t="n">
        <v>39294634</v>
      </c>
      <c r="I8907" t="inlineStr">
        <is>
          <t>entidad-dia</t>
        </is>
      </c>
    </row>
    <row r="8908">
      <c r="A8908" t="inlineStr">
        <is>
          <t>PRAGMA</t>
        </is>
      </c>
      <c r="B8908" t="inlineStr">
        <is>
          <t>M3</t>
        </is>
      </c>
      <c r="C8908" t="inlineStr">
        <is>
          <t>Cali</t>
        </is>
      </c>
      <c r="D8908" t="inlineStr">
        <is>
          <t>813</t>
        </is>
      </c>
      <c r="E8908" t="inlineStr">
        <is>
          <t>entradas</t>
        </is>
      </c>
      <c r="F8908" s="23" t="n">
        <v>46271</v>
      </c>
      <c r="G8908" s="24">
        <f>F8908-DATE(2026,8,31)</f>
        <v>6</v>
      </c>
      <c r="H8908" s="25" t="n">
        <v>116347</v>
      </c>
      <c r="I8908" t="inlineStr">
        <is>
          <t>entidad-dia</t>
        </is>
      </c>
    </row>
    <row r="8909">
      <c r="A8909" t="inlineStr">
        <is>
          <t>PRAGMA</t>
        </is>
      </c>
      <c r="B8909" t="inlineStr">
        <is>
          <t>M3</t>
        </is>
      </c>
      <c r="C8909" t="inlineStr">
        <is>
          <t>Cali</t>
        </is>
      </c>
      <c r="D8909" t="inlineStr">
        <is>
          <t>813</t>
        </is>
      </c>
      <c r="E8909" t="inlineStr">
        <is>
          <t>salidas</t>
        </is>
      </c>
      <c r="F8909" s="23" t="n">
        <v>46271</v>
      </c>
      <c r="G8909" s="24">
        <f>F8909-DATE(2026,8,31)</f>
        <v>6</v>
      </c>
      <c r="H8909" s="25" t="n">
        <v>0</v>
      </c>
      <c r="I8909" t="inlineStr">
        <is>
          <t>entidad-dia</t>
        </is>
      </c>
    </row>
    <row r="8910">
      <c r="A8910" t="inlineStr">
        <is>
          <t>PRAGMA</t>
        </is>
      </c>
      <c r="B8910" t="inlineStr">
        <is>
          <t>M3</t>
        </is>
      </c>
      <c r="C8910" t="inlineStr">
        <is>
          <t>Cali</t>
        </is>
      </c>
      <c r="D8910" t="inlineStr">
        <is>
          <t>813</t>
        </is>
      </c>
      <c r="E8910" t="inlineStr">
        <is>
          <t>entradas</t>
        </is>
      </c>
      <c r="F8910" s="23" t="n">
        <v>46272</v>
      </c>
      <c r="G8910" s="24">
        <f>F8910-DATE(2026,8,31)</f>
        <v>7</v>
      </c>
      <c r="H8910" s="25" t="n">
        <v>184476933</v>
      </c>
      <c r="I8910" t="inlineStr">
        <is>
          <t>entidad-dia</t>
        </is>
      </c>
    </row>
    <row r="8911">
      <c r="A8911" t="inlineStr">
        <is>
          <t>PRAGMA</t>
        </is>
      </c>
      <c r="B8911" t="inlineStr">
        <is>
          <t>M3</t>
        </is>
      </c>
      <c r="C8911" t="inlineStr">
        <is>
          <t>Cali</t>
        </is>
      </c>
      <c r="D8911" t="inlineStr">
        <is>
          <t>813</t>
        </is>
      </c>
      <c r="E8911" t="inlineStr">
        <is>
          <t>salidas</t>
        </is>
      </c>
      <c r="F8911" s="23" t="n">
        <v>46272</v>
      </c>
      <c r="G8911" s="24">
        <f>F8911-DATE(2026,8,31)</f>
        <v>7</v>
      </c>
      <c r="H8911" s="25" t="n">
        <v>51230374</v>
      </c>
      <c r="I8911" t="inlineStr">
        <is>
          <t>entidad-dia</t>
        </is>
      </c>
    </row>
    <row r="8912">
      <c r="A8912" t="inlineStr">
        <is>
          <t>PRAGMA</t>
        </is>
      </c>
      <c r="B8912" t="inlineStr">
        <is>
          <t>M3</t>
        </is>
      </c>
      <c r="C8912" t="inlineStr">
        <is>
          <t>Cali</t>
        </is>
      </c>
      <c r="D8912" t="inlineStr">
        <is>
          <t>813</t>
        </is>
      </c>
      <c r="E8912" t="inlineStr">
        <is>
          <t>entradas</t>
        </is>
      </c>
      <c r="F8912" s="23" t="n">
        <v>46273</v>
      </c>
      <c r="G8912" s="24">
        <f>F8912-DATE(2026,8,31)</f>
        <v>8</v>
      </c>
      <c r="H8912" s="25" t="n">
        <v>1247396237</v>
      </c>
      <c r="I8912" t="inlineStr">
        <is>
          <t>entidad-dia</t>
        </is>
      </c>
    </row>
    <row r="8913">
      <c r="A8913" t="inlineStr">
        <is>
          <t>PRAGMA</t>
        </is>
      </c>
      <c r="B8913" t="inlineStr">
        <is>
          <t>M3</t>
        </is>
      </c>
      <c r="C8913" t="inlineStr">
        <is>
          <t>Cali</t>
        </is>
      </c>
      <c r="D8913" t="inlineStr">
        <is>
          <t>813</t>
        </is>
      </c>
      <c r="E8913" t="inlineStr">
        <is>
          <t>salidas</t>
        </is>
      </c>
      <c r="F8913" s="23" t="n">
        <v>46273</v>
      </c>
      <c r="G8913" s="24">
        <f>F8913-DATE(2026,8,31)</f>
        <v>8</v>
      </c>
      <c r="H8913" s="25" t="n">
        <v>34041547</v>
      </c>
      <c r="I8913" t="inlineStr">
        <is>
          <t>entidad-dia</t>
        </is>
      </c>
    </row>
    <row r="8914">
      <c r="A8914" t="inlineStr">
        <is>
          <t>PRAGMA</t>
        </is>
      </c>
      <c r="B8914" t="inlineStr">
        <is>
          <t>M3</t>
        </is>
      </c>
      <c r="C8914" t="inlineStr">
        <is>
          <t>Cali</t>
        </is>
      </c>
      <c r="D8914" t="inlineStr">
        <is>
          <t>813</t>
        </is>
      </c>
      <c r="E8914" t="inlineStr">
        <is>
          <t>entradas</t>
        </is>
      </c>
      <c r="F8914" s="23" t="n">
        <v>46274</v>
      </c>
      <c r="G8914" s="24">
        <f>F8914-DATE(2026,8,31)</f>
        <v>9</v>
      </c>
      <c r="H8914" s="25" t="n">
        <v>938584410</v>
      </c>
      <c r="I8914" t="inlineStr">
        <is>
          <t>entidad-dia</t>
        </is>
      </c>
    </row>
    <row r="8915">
      <c r="A8915" t="inlineStr">
        <is>
          <t>PRAGMA</t>
        </is>
      </c>
      <c r="B8915" t="inlineStr">
        <is>
          <t>M3</t>
        </is>
      </c>
      <c r="C8915" t="inlineStr">
        <is>
          <t>Cali</t>
        </is>
      </c>
      <c r="D8915" t="inlineStr">
        <is>
          <t>813</t>
        </is>
      </c>
      <c r="E8915" t="inlineStr">
        <is>
          <t>salidas</t>
        </is>
      </c>
      <c r="F8915" s="23" t="n">
        <v>46274</v>
      </c>
      <c r="G8915" s="24">
        <f>F8915-DATE(2026,8,31)</f>
        <v>9</v>
      </c>
      <c r="H8915" s="25" t="n">
        <v>49873539</v>
      </c>
      <c r="I8915" t="inlineStr">
        <is>
          <t>entidad-dia</t>
        </is>
      </c>
    </row>
    <row r="8916">
      <c r="A8916" t="inlineStr">
        <is>
          <t>PRAGMA</t>
        </is>
      </c>
      <c r="B8916" t="inlineStr">
        <is>
          <t>M3</t>
        </is>
      </c>
      <c r="C8916" t="inlineStr">
        <is>
          <t>Cali</t>
        </is>
      </c>
      <c r="D8916" t="inlineStr">
        <is>
          <t>813</t>
        </is>
      </c>
      <c r="E8916" t="inlineStr">
        <is>
          <t>entradas</t>
        </is>
      </c>
      <c r="F8916" s="23" t="n">
        <v>46275</v>
      </c>
      <c r="G8916" s="24">
        <f>F8916-DATE(2026,8,31)</f>
        <v>10</v>
      </c>
      <c r="H8916" s="25" t="n">
        <v>845911106</v>
      </c>
      <c r="I8916" t="inlineStr">
        <is>
          <t>entidad-dia</t>
        </is>
      </c>
    </row>
    <row r="8917">
      <c r="A8917" t="inlineStr">
        <is>
          <t>PRAGMA</t>
        </is>
      </c>
      <c r="B8917" t="inlineStr">
        <is>
          <t>M3</t>
        </is>
      </c>
      <c r="C8917" t="inlineStr">
        <is>
          <t>Cali</t>
        </is>
      </c>
      <c r="D8917" t="inlineStr">
        <is>
          <t>813</t>
        </is>
      </c>
      <c r="E8917" t="inlineStr">
        <is>
          <t>salidas</t>
        </is>
      </c>
      <c r="F8917" s="23" t="n">
        <v>46275</v>
      </c>
      <c r="G8917" s="24">
        <f>F8917-DATE(2026,8,31)</f>
        <v>10</v>
      </c>
      <c r="H8917" s="25" t="n">
        <v>1580431</v>
      </c>
      <c r="I8917" t="inlineStr">
        <is>
          <t>entidad-dia</t>
        </is>
      </c>
    </row>
    <row r="8918">
      <c r="A8918" t="inlineStr">
        <is>
          <t>PRAGMA</t>
        </is>
      </c>
      <c r="B8918" t="inlineStr">
        <is>
          <t>M3</t>
        </is>
      </c>
      <c r="C8918" t="inlineStr">
        <is>
          <t>Cali</t>
        </is>
      </c>
      <c r="D8918" t="inlineStr">
        <is>
          <t>813</t>
        </is>
      </c>
      <c r="E8918" t="inlineStr">
        <is>
          <t>entradas</t>
        </is>
      </c>
      <c r="F8918" s="23" t="n">
        <v>46276</v>
      </c>
      <c r="G8918" s="24">
        <f>F8918-DATE(2026,8,31)</f>
        <v>11</v>
      </c>
      <c r="H8918" s="25" t="n">
        <v>1117236655</v>
      </c>
      <c r="I8918" t="inlineStr">
        <is>
          <t>entidad-dia</t>
        </is>
      </c>
    </row>
    <row r="8919">
      <c r="A8919" t="inlineStr">
        <is>
          <t>PRAGMA</t>
        </is>
      </c>
      <c r="B8919" t="inlineStr">
        <is>
          <t>M3</t>
        </is>
      </c>
      <c r="C8919" t="inlineStr">
        <is>
          <t>Cali</t>
        </is>
      </c>
      <c r="D8919" t="inlineStr">
        <is>
          <t>813</t>
        </is>
      </c>
      <c r="E8919" t="inlineStr">
        <is>
          <t>salidas</t>
        </is>
      </c>
      <c r="F8919" s="23" t="n">
        <v>46276</v>
      </c>
      <c r="G8919" s="24">
        <f>F8919-DATE(2026,8,31)</f>
        <v>11</v>
      </c>
      <c r="H8919" s="25" t="n">
        <v>0</v>
      </c>
      <c r="I8919" t="inlineStr">
        <is>
          <t>entidad-dia</t>
        </is>
      </c>
    </row>
    <row r="8920">
      <c r="A8920" t="inlineStr">
        <is>
          <t>PRAGMA</t>
        </is>
      </c>
      <c r="B8920" t="inlineStr">
        <is>
          <t>M3</t>
        </is>
      </c>
      <c r="C8920" t="inlineStr">
        <is>
          <t>Cali</t>
        </is>
      </c>
      <c r="D8920" t="inlineStr">
        <is>
          <t>813</t>
        </is>
      </c>
      <c r="E8920" t="inlineStr">
        <is>
          <t>entradas</t>
        </is>
      </c>
      <c r="F8920" s="23" t="n">
        <v>46277</v>
      </c>
      <c r="G8920" s="24">
        <f>F8920-DATE(2026,8,31)</f>
        <v>12</v>
      </c>
      <c r="H8920" s="25" t="n">
        <v>754333994</v>
      </c>
      <c r="I8920" t="inlineStr">
        <is>
          <t>entidad-dia</t>
        </is>
      </c>
    </row>
    <row r="8921">
      <c r="A8921" t="inlineStr">
        <is>
          <t>PRAGMA</t>
        </is>
      </c>
      <c r="B8921" t="inlineStr">
        <is>
          <t>M3</t>
        </is>
      </c>
      <c r="C8921" t="inlineStr">
        <is>
          <t>Cali</t>
        </is>
      </c>
      <c r="D8921" t="inlineStr">
        <is>
          <t>813</t>
        </is>
      </c>
      <c r="E8921" t="inlineStr">
        <is>
          <t>salidas</t>
        </is>
      </c>
      <c r="F8921" s="23" t="n">
        <v>46277</v>
      </c>
      <c r="G8921" s="24">
        <f>F8921-DATE(2026,8,31)</f>
        <v>12</v>
      </c>
      <c r="H8921" s="25" t="n">
        <v>21066228</v>
      </c>
      <c r="I8921" t="inlineStr">
        <is>
          <t>entidad-dia</t>
        </is>
      </c>
    </row>
    <row r="8922">
      <c r="A8922" t="inlineStr">
        <is>
          <t>PRAGMA</t>
        </is>
      </c>
      <c r="B8922" t="inlineStr">
        <is>
          <t>M3</t>
        </is>
      </c>
      <c r="C8922" t="inlineStr">
        <is>
          <t>Cali</t>
        </is>
      </c>
      <c r="D8922" t="inlineStr">
        <is>
          <t>813</t>
        </is>
      </c>
      <c r="E8922" t="inlineStr">
        <is>
          <t>entradas</t>
        </is>
      </c>
      <c r="F8922" s="23" t="n">
        <v>46278</v>
      </c>
      <c r="G8922" s="24">
        <f>F8922-DATE(2026,8,31)</f>
        <v>13</v>
      </c>
      <c r="H8922" s="25" t="n">
        <v>8578129</v>
      </c>
      <c r="I8922" t="inlineStr">
        <is>
          <t>entidad-dia</t>
        </is>
      </c>
    </row>
    <row r="8923">
      <c r="A8923" t="inlineStr">
        <is>
          <t>PRAGMA</t>
        </is>
      </c>
      <c r="B8923" t="inlineStr">
        <is>
          <t>M3</t>
        </is>
      </c>
      <c r="C8923" t="inlineStr">
        <is>
          <t>Cali</t>
        </is>
      </c>
      <c r="D8923" t="inlineStr">
        <is>
          <t>813</t>
        </is>
      </c>
      <c r="E8923" t="inlineStr">
        <is>
          <t>salidas</t>
        </is>
      </c>
      <c r="F8923" s="23" t="n">
        <v>46278</v>
      </c>
      <c r="G8923" s="24">
        <f>F8923-DATE(2026,8,31)</f>
        <v>13</v>
      </c>
      <c r="H8923" s="25" t="n">
        <v>0</v>
      </c>
      <c r="I8923" t="inlineStr">
        <is>
          <t>entidad-dia</t>
        </is>
      </c>
    </row>
    <row r="8924">
      <c r="A8924" t="inlineStr">
        <is>
          <t>PRAGMA</t>
        </is>
      </c>
      <c r="B8924" t="inlineStr">
        <is>
          <t>M3</t>
        </is>
      </c>
      <c r="C8924" t="inlineStr">
        <is>
          <t>Cali</t>
        </is>
      </c>
      <c r="D8924" t="inlineStr">
        <is>
          <t>813</t>
        </is>
      </c>
      <c r="E8924" t="inlineStr">
        <is>
          <t>entradas</t>
        </is>
      </c>
      <c r="F8924" s="23" t="n">
        <v>46279</v>
      </c>
      <c r="G8924" s="24">
        <f>F8924-DATE(2026,8,31)</f>
        <v>14</v>
      </c>
      <c r="H8924" s="25" t="n">
        <v>165406680</v>
      </c>
      <c r="I8924" t="inlineStr">
        <is>
          <t>entidad-dia</t>
        </is>
      </c>
    </row>
    <row r="8925">
      <c r="A8925" t="inlineStr">
        <is>
          <t>PRAGMA</t>
        </is>
      </c>
      <c r="B8925" t="inlineStr">
        <is>
          <t>M3</t>
        </is>
      </c>
      <c r="C8925" t="inlineStr">
        <is>
          <t>Cali</t>
        </is>
      </c>
      <c r="D8925" t="inlineStr">
        <is>
          <t>813</t>
        </is>
      </c>
      <c r="E8925" t="inlineStr">
        <is>
          <t>salidas</t>
        </is>
      </c>
      <c r="F8925" s="23" t="n">
        <v>46279</v>
      </c>
      <c r="G8925" s="24">
        <f>F8925-DATE(2026,8,31)</f>
        <v>14</v>
      </c>
      <c r="H8925" s="25" t="n">
        <v>68427364</v>
      </c>
      <c r="I8925" t="inlineStr">
        <is>
          <t>entidad-dia</t>
        </is>
      </c>
    </row>
    <row r="8926">
      <c r="A8926" t="inlineStr">
        <is>
          <t>PRAGMA</t>
        </is>
      </c>
      <c r="B8926" t="inlineStr">
        <is>
          <t>M3</t>
        </is>
      </c>
      <c r="C8926" t="inlineStr">
        <is>
          <t>Cali</t>
        </is>
      </c>
      <c r="D8926" t="inlineStr">
        <is>
          <t>813</t>
        </is>
      </c>
      <c r="E8926" t="inlineStr">
        <is>
          <t>entradas</t>
        </is>
      </c>
      <c r="F8926" s="23" t="n">
        <v>46280</v>
      </c>
      <c r="G8926" s="24">
        <f>F8926-DATE(2026,8,31)</f>
        <v>15</v>
      </c>
      <c r="H8926" s="25" t="n">
        <v>1318053986</v>
      </c>
      <c r="I8926" t="inlineStr">
        <is>
          <t>entidad-dia</t>
        </is>
      </c>
    </row>
    <row r="8927">
      <c r="A8927" t="inlineStr">
        <is>
          <t>PRAGMA</t>
        </is>
      </c>
      <c r="B8927" t="inlineStr">
        <is>
          <t>M3</t>
        </is>
      </c>
      <c r="C8927" t="inlineStr">
        <is>
          <t>Cali</t>
        </is>
      </c>
      <c r="D8927" t="inlineStr">
        <is>
          <t>813</t>
        </is>
      </c>
      <c r="E8927" t="inlineStr">
        <is>
          <t>salidas</t>
        </is>
      </c>
      <c r="F8927" s="23" t="n">
        <v>46280</v>
      </c>
      <c r="G8927" s="24">
        <f>F8927-DATE(2026,8,31)</f>
        <v>15</v>
      </c>
      <c r="H8927" s="25" t="n">
        <v>77745172</v>
      </c>
      <c r="I8927" t="inlineStr">
        <is>
          <t>entidad-dia</t>
        </is>
      </c>
    </row>
    <row r="8928">
      <c r="A8928" t="inlineStr">
        <is>
          <t>PRAGMA</t>
        </is>
      </c>
      <c r="B8928" t="inlineStr">
        <is>
          <t>M3</t>
        </is>
      </c>
      <c r="C8928" t="inlineStr">
        <is>
          <t>Cali</t>
        </is>
      </c>
      <c r="D8928" t="inlineStr">
        <is>
          <t>814</t>
        </is>
      </c>
      <c r="E8928" t="inlineStr">
        <is>
          <t>entradas</t>
        </is>
      </c>
      <c r="F8928" s="23" t="n">
        <v>46266</v>
      </c>
      <c r="G8928" s="24">
        <f>F8928-DATE(2026,8,31)</f>
        <v>1</v>
      </c>
      <c r="H8928" s="25" t="n">
        <v>323444978</v>
      </c>
      <c r="I8928" t="inlineStr">
        <is>
          <t>entidad-dia</t>
        </is>
      </c>
    </row>
    <row r="8929">
      <c r="A8929" t="inlineStr">
        <is>
          <t>PRAGMA</t>
        </is>
      </c>
      <c r="B8929" t="inlineStr">
        <is>
          <t>M3</t>
        </is>
      </c>
      <c r="C8929" t="inlineStr">
        <is>
          <t>Cali</t>
        </is>
      </c>
      <c r="D8929" t="inlineStr">
        <is>
          <t>814</t>
        </is>
      </c>
      <c r="E8929" t="inlineStr">
        <is>
          <t>salidas</t>
        </is>
      </c>
      <c r="F8929" s="23" t="n">
        <v>46266</v>
      </c>
      <c r="G8929" s="24">
        <f>F8929-DATE(2026,8,31)</f>
        <v>1</v>
      </c>
      <c r="H8929" s="25" t="n">
        <v>468851147</v>
      </c>
      <c r="I8929" t="inlineStr">
        <is>
          <t>entidad-dia</t>
        </is>
      </c>
    </row>
    <row r="8930">
      <c r="A8930" t="inlineStr">
        <is>
          <t>PRAGMA</t>
        </is>
      </c>
      <c r="B8930" t="inlineStr">
        <is>
          <t>M3</t>
        </is>
      </c>
      <c r="C8930" t="inlineStr">
        <is>
          <t>Cali</t>
        </is>
      </c>
      <c r="D8930" t="inlineStr">
        <is>
          <t>814</t>
        </is>
      </c>
      <c r="E8930" t="inlineStr">
        <is>
          <t>entradas</t>
        </is>
      </c>
      <c r="F8930" s="23" t="n">
        <v>46267</v>
      </c>
      <c r="G8930" s="24">
        <f>F8930-DATE(2026,8,31)</f>
        <v>2</v>
      </c>
      <c r="H8930" s="25" t="n">
        <v>240478778</v>
      </c>
      <c r="I8930" t="inlineStr">
        <is>
          <t>entidad-dia</t>
        </is>
      </c>
    </row>
    <row r="8931">
      <c r="A8931" t="inlineStr">
        <is>
          <t>PRAGMA</t>
        </is>
      </c>
      <c r="B8931" t="inlineStr">
        <is>
          <t>M3</t>
        </is>
      </c>
      <c r="C8931" t="inlineStr">
        <is>
          <t>Cali</t>
        </is>
      </c>
      <c r="D8931" t="inlineStr">
        <is>
          <t>814</t>
        </is>
      </c>
      <c r="E8931" t="inlineStr">
        <is>
          <t>salidas</t>
        </is>
      </c>
      <c r="F8931" s="23" t="n">
        <v>46267</v>
      </c>
      <c r="G8931" s="24">
        <f>F8931-DATE(2026,8,31)</f>
        <v>2</v>
      </c>
      <c r="H8931" s="25" t="n">
        <v>441337132</v>
      </c>
      <c r="I8931" t="inlineStr">
        <is>
          <t>entidad-dia</t>
        </is>
      </c>
    </row>
    <row r="8932">
      <c r="A8932" t="inlineStr">
        <is>
          <t>PRAGMA</t>
        </is>
      </c>
      <c r="B8932" t="inlineStr">
        <is>
          <t>M3</t>
        </is>
      </c>
      <c r="C8932" t="inlineStr">
        <is>
          <t>Cali</t>
        </is>
      </c>
      <c r="D8932" t="inlineStr">
        <is>
          <t>814</t>
        </is>
      </c>
      <c r="E8932" t="inlineStr">
        <is>
          <t>entradas</t>
        </is>
      </c>
      <c r="F8932" s="23" t="n">
        <v>46268</v>
      </c>
      <c r="G8932" s="24">
        <f>F8932-DATE(2026,8,31)</f>
        <v>3</v>
      </c>
      <c r="H8932" s="25" t="n">
        <v>219398699</v>
      </c>
      <c r="I8932" t="inlineStr">
        <is>
          <t>entidad-dia</t>
        </is>
      </c>
    </row>
    <row r="8933">
      <c r="A8933" t="inlineStr">
        <is>
          <t>PRAGMA</t>
        </is>
      </c>
      <c r="B8933" t="inlineStr">
        <is>
          <t>M3</t>
        </is>
      </c>
      <c r="C8933" t="inlineStr">
        <is>
          <t>Cali</t>
        </is>
      </c>
      <c r="D8933" t="inlineStr">
        <is>
          <t>814</t>
        </is>
      </c>
      <c r="E8933" t="inlineStr">
        <is>
          <t>salidas</t>
        </is>
      </c>
      <c r="F8933" s="23" t="n">
        <v>46268</v>
      </c>
      <c r="G8933" s="24">
        <f>F8933-DATE(2026,8,31)</f>
        <v>3</v>
      </c>
      <c r="H8933" s="25" t="n">
        <v>279018626</v>
      </c>
      <c r="I8933" t="inlineStr">
        <is>
          <t>entidad-dia</t>
        </is>
      </c>
    </row>
    <row r="8934">
      <c r="A8934" t="inlineStr">
        <is>
          <t>PRAGMA</t>
        </is>
      </c>
      <c r="B8934" t="inlineStr">
        <is>
          <t>M3</t>
        </is>
      </c>
      <c r="C8934" t="inlineStr">
        <is>
          <t>Cali</t>
        </is>
      </c>
      <c r="D8934" t="inlineStr">
        <is>
          <t>814</t>
        </is>
      </c>
      <c r="E8934" t="inlineStr">
        <is>
          <t>entradas</t>
        </is>
      </c>
      <c r="F8934" s="23" t="n">
        <v>46269</v>
      </c>
      <c r="G8934" s="24">
        <f>F8934-DATE(2026,8,31)</f>
        <v>4</v>
      </c>
      <c r="H8934" s="25" t="n">
        <v>248378060</v>
      </c>
      <c r="I8934" t="inlineStr">
        <is>
          <t>entidad-dia</t>
        </is>
      </c>
    </row>
    <row r="8935">
      <c r="A8935" t="inlineStr">
        <is>
          <t>PRAGMA</t>
        </is>
      </c>
      <c r="B8935" t="inlineStr">
        <is>
          <t>M3</t>
        </is>
      </c>
      <c r="C8935" t="inlineStr">
        <is>
          <t>Cali</t>
        </is>
      </c>
      <c r="D8935" t="inlineStr">
        <is>
          <t>814</t>
        </is>
      </c>
      <c r="E8935" t="inlineStr">
        <is>
          <t>salidas</t>
        </is>
      </c>
      <c r="F8935" s="23" t="n">
        <v>46269</v>
      </c>
      <c r="G8935" s="24">
        <f>F8935-DATE(2026,8,31)</f>
        <v>4</v>
      </c>
      <c r="H8935" s="25" t="n">
        <v>507142911</v>
      </c>
      <c r="I8935" t="inlineStr">
        <is>
          <t>entidad-dia</t>
        </is>
      </c>
    </row>
    <row r="8936">
      <c r="A8936" t="inlineStr">
        <is>
          <t>PRAGMA</t>
        </is>
      </c>
      <c r="B8936" t="inlineStr">
        <is>
          <t>M3</t>
        </is>
      </c>
      <c r="C8936" t="inlineStr">
        <is>
          <t>Cali</t>
        </is>
      </c>
      <c r="D8936" t="inlineStr">
        <is>
          <t>814</t>
        </is>
      </c>
      <c r="E8936" t="inlineStr">
        <is>
          <t>entradas</t>
        </is>
      </c>
      <c r="F8936" s="23" t="n">
        <v>46270</v>
      </c>
      <c r="G8936" s="24">
        <f>F8936-DATE(2026,8,31)</f>
        <v>5</v>
      </c>
      <c r="H8936" s="25" t="n">
        <v>452179</v>
      </c>
      <c r="I8936" t="inlineStr">
        <is>
          <t>entidad-dia</t>
        </is>
      </c>
    </row>
    <row r="8937">
      <c r="A8937" t="inlineStr">
        <is>
          <t>PRAGMA</t>
        </is>
      </c>
      <c r="B8937" t="inlineStr">
        <is>
          <t>M3</t>
        </is>
      </c>
      <c r="C8937" t="inlineStr">
        <is>
          <t>Cali</t>
        </is>
      </c>
      <c r="D8937" t="inlineStr">
        <is>
          <t>814</t>
        </is>
      </c>
      <c r="E8937" t="inlineStr">
        <is>
          <t>salidas</t>
        </is>
      </c>
      <c r="F8937" s="23" t="n">
        <v>46270</v>
      </c>
      <c r="G8937" s="24">
        <f>F8937-DATE(2026,8,31)</f>
        <v>5</v>
      </c>
      <c r="H8937" s="25" t="n">
        <v>0</v>
      </c>
      <c r="I8937" t="inlineStr">
        <is>
          <t>entidad-dia</t>
        </is>
      </c>
    </row>
    <row r="8938">
      <c r="A8938" t="inlineStr">
        <is>
          <t>PRAGMA</t>
        </is>
      </c>
      <c r="B8938" t="inlineStr">
        <is>
          <t>M3</t>
        </is>
      </c>
      <c r="C8938" t="inlineStr">
        <is>
          <t>Cali</t>
        </is>
      </c>
      <c r="D8938" t="inlineStr">
        <is>
          <t>814</t>
        </is>
      </c>
      <c r="E8938" t="inlineStr">
        <is>
          <t>entradas</t>
        </is>
      </c>
      <c r="F8938" s="23" t="n">
        <v>46271</v>
      </c>
      <c r="G8938" s="24">
        <f>F8938-DATE(2026,8,31)</f>
        <v>6</v>
      </c>
      <c r="H8938" s="25" t="n">
        <v>34000</v>
      </c>
      <c r="I8938" t="inlineStr">
        <is>
          <t>entidad-dia</t>
        </is>
      </c>
    </row>
    <row r="8939">
      <c r="A8939" t="inlineStr">
        <is>
          <t>PRAGMA</t>
        </is>
      </c>
      <c r="B8939" t="inlineStr">
        <is>
          <t>M3</t>
        </is>
      </c>
      <c r="C8939" t="inlineStr">
        <is>
          <t>Cali</t>
        </is>
      </c>
      <c r="D8939" t="inlineStr">
        <is>
          <t>814</t>
        </is>
      </c>
      <c r="E8939" t="inlineStr">
        <is>
          <t>salidas</t>
        </is>
      </c>
      <c r="F8939" s="23" t="n">
        <v>46271</v>
      </c>
      <c r="G8939" s="24">
        <f>F8939-DATE(2026,8,31)</f>
        <v>6</v>
      </c>
      <c r="H8939" s="25" t="n">
        <v>0</v>
      </c>
      <c r="I8939" t="inlineStr">
        <is>
          <t>entidad-dia</t>
        </is>
      </c>
    </row>
    <row r="8940">
      <c r="A8940" t="inlineStr">
        <is>
          <t>PRAGMA</t>
        </is>
      </c>
      <c r="B8940" t="inlineStr">
        <is>
          <t>M3</t>
        </is>
      </c>
      <c r="C8940" t="inlineStr">
        <is>
          <t>Cali</t>
        </is>
      </c>
      <c r="D8940" t="inlineStr">
        <is>
          <t>814</t>
        </is>
      </c>
      <c r="E8940" t="inlineStr">
        <is>
          <t>entradas</t>
        </is>
      </c>
      <c r="F8940" s="23" t="n">
        <v>46272</v>
      </c>
      <c r="G8940" s="24">
        <f>F8940-DATE(2026,8,31)</f>
        <v>7</v>
      </c>
      <c r="H8940" s="25" t="n">
        <v>239247965</v>
      </c>
      <c r="I8940" t="inlineStr">
        <is>
          <t>entidad-dia</t>
        </is>
      </c>
    </row>
    <row r="8941">
      <c r="A8941" t="inlineStr">
        <is>
          <t>PRAGMA</t>
        </is>
      </c>
      <c r="B8941" t="inlineStr">
        <is>
          <t>M3</t>
        </is>
      </c>
      <c r="C8941" t="inlineStr">
        <is>
          <t>Cali</t>
        </is>
      </c>
      <c r="D8941" t="inlineStr">
        <is>
          <t>814</t>
        </is>
      </c>
      <c r="E8941" t="inlineStr">
        <is>
          <t>salidas</t>
        </is>
      </c>
      <c r="F8941" s="23" t="n">
        <v>46272</v>
      </c>
      <c r="G8941" s="24">
        <f>F8941-DATE(2026,8,31)</f>
        <v>7</v>
      </c>
      <c r="H8941" s="25" t="n">
        <v>372399550</v>
      </c>
      <c r="I8941" t="inlineStr">
        <is>
          <t>entidad-dia</t>
        </is>
      </c>
    </row>
    <row r="8942">
      <c r="A8942" t="inlineStr">
        <is>
          <t>PRAGMA</t>
        </is>
      </c>
      <c r="B8942" t="inlineStr">
        <is>
          <t>M3</t>
        </is>
      </c>
      <c r="C8942" t="inlineStr">
        <is>
          <t>Cali</t>
        </is>
      </c>
      <c r="D8942" t="inlineStr">
        <is>
          <t>814</t>
        </is>
      </c>
      <c r="E8942" t="inlineStr">
        <is>
          <t>entradas</t>
        </is>
      </c>
      <c r="F8942" s="23" t="n">
        <v>46273</v>
      </c>
      <c r="G8942" s="24">
        <f>F8942-DATE(2026,8,31)</f>
        <v>8</v>
      </c>
      <c r="H8942" s="25" t="n">
        <v>341100204</v>
      </c>
      <c r="I8942" t="inlineStr">
        <is>
          <t>entidad-dia</t>
        </is>
      </c>
    </row>
    <row r="8943">
      <c r="A8943" t="inlineStr">
        <is>
          <t>PRAGMA</t>
        </is>
      </c>
      <c r="B8943" t="inlineStr">
        <is>
          <t>M3</t>
        </is>
      </c>
      <c r="C8943" t="inlineStr">
        <is>
          <t>Cali</t>
        </is>
      </c>
      <c r="D8943" t="inlineStr">
        <is>
          <t>814</t>
        </is>
      </c>
      <c r="E8943" t="inlineStr">
        <is>
          <t>salidas</t>
        </is>
      </c>
      <c r="F8943" s="23" t="n">
        <v>46273</v>
      </c>
      <c r="G8943" s="24">
        <f>F8943-DATE(2026,8,31)</f>
        <v>8</v>
      </c>
      <c r="H8943" s="25" t="n">
        <v>417039335</v>
      </c>
      <c r="I8943" t="inlineStr">
        <is>
          <t>entidad-dia</t>
        </is>
      </c>
    </row>
    <row r="8944">
      <c r="A8944" t="inlineStr">
        <is>
          <t>PRAGMA</t>
        </is>
      </c>
      <c r="B8944" t="inlineStr">
        <is>
          <t>M3</t>
        </is>
      </c>
      <c r="C8944" t="inlineStr">
        <is>
          <t>Cali</t>
        </is>
      </c>
      <c r="D8944" t="inlineStr">
        <is>
          <t>814</t>
        </is>
      </c>
      <c r="E8944" t="inlineStr">
        <is>
          <t>entradas</t>
        </is>
      </c>
      <c r="F8944" s="23" t="n">
        <v>46274</v>
      </c>
      <c r="G8944" s="24">
        <f>F8944-DATE(2026,8,31)</f>
        <v>9</v>
      </c>
      <c r="H8944" s="25" t="n">
        <v>250188615</v>
      </c>
      <c r="I8944" t="inlineStr">
        <is>
          <t>entidad-dia</t>
        </is>
      </c>
    </row>
    <row r="8945">
      <c r="A8945" t="inlineStr">
        <is>
          <t>PRAGMA</t>
        </is>
      </c>
      <c r="B8945" t="inlineStr">
        <is>
          <t>M3</t>
        </is>
      </c>
      <c r="C8945" t="inlineStr">
        <is>
          <t>Cali</t>
        </is>
      </c>
      <c r="D8945" t="inlineStr">
        <is>
          <t>814</t>
        </is>
      </c>
      <c r="E8945" t="inlineStr">
        <is>
          <t>salidas</t>
        </is>
      </c>
      <c r="F8945" s="23" t="n">
        <v>46274</v>
      </c>
      <c r="G8945" s="24">
        <f>F8945-DATE(2026,8,31)</f>
        <v>9</v>
      </c>
      <c r="H8945" s="25" t="n">
        <v>403069620</v>
      </c>
      <c r="I8945" t="inlineStr">
        <is>
          <t>entidad-dia</t>
        </is>
      </c>
    </row>
    <row r="8946">
      <c r="A8946" t="inlineStr">
        <is>
          <t>PRAGMA</t>
        </is>
      </c>
      <c r="B8946" t="inlineStr">
        <is>
          <t>M3</t>
        </is>
      </c>
      <c r="C8946" t="inlineStr">
        <is>
          <t>Cali</t>
        </is>
      </c>
      <c r="D8946" t="inlineStr">
        <is>
          <t>814</t>
        </is>
      </c>
      <c r="E8946" t="inlineStr">
        <is>
          <t>entradas</t>
        </is>
      </c>
      <c r="F8946" s="23" t="n">
        <v>46275</v>
      </c>
      <c r="G8946" s="24">
        <f>F8946-DATE(2026,8,31)</f>
        <v>10</v>
      </c>
      <c r="H8946" s="25" t="n">
        <v>219961908</v>
      </c>
      <c r="I8946" t="inlineStr">
        <is>
          <t>entidad-dia</t>
        </is>
      </c>
    </row>
    <row r="8947">
      <c r="A8947" t="inlineStr">
        <is>
          <t>PRAGMA</t>
        </is>
      </c>
      <c r="B8947" t="inlineStr">
        <is>
          <t>M3</t>
        </is>
      </c>
      <c r="C8947" t="inlineStr">
        <is>
          <t>Cali</t>
        </is>
      </c>
      <c r="D8947" t="inlineStr">
        <is>
          <t>814</t>
        </is>
      </c>
      <c r="E8947" t="inlineStr">
        <is>
          <t>salidas</t>
        </is>
      </c>
      <c r="F8947" s="23" t="n">
        <v>46275</v>
      </c>
      <c r="G8947" s="24">
        <f>F8947-DATE(2026,8,31)</f>
        <v>10</v>
      </c>
      <c r="H8947" s="25" t="n">
        <v>377259808</v>
      </c>
      <c r="I8947" t="inlineStr">
        <is>
          <t>entidad-dia</t>
        </is>
      </c>
    </row>
    <row r="8948">
      <c r="A8948" t="inlineStr">
        <is>
          <t>PRAGMA</t>
        </is>
      </c>
      <c r="B8948" t="inlineStr">
        <is>
          <t>M3</t>
        </is>
      </c>
      <c r="C8948" t="inlineStr">
        <is>
          <t>Cali</t>
        </is>
      </c>
      <c r="D8948" t="inlineStr">
        <is>
          <t>814</t>
        </is>
      </c>
      <c r="E8948" t="inlineStr">
        <is>
          <t>entradas</t>
        </is>
      </c>
      <c r="F8948" s="23" t="n">
        <v>46276</v>
      </c>
      <c r="G8948" s="24">
        <f>F8948-DATE(2026,8,31)</f>
        <v>11</v>
      </c>
      <c r="H8948" s="25" t="n">
        <v>254948972</v>
      </c>
      <c r="I8948" t="inlineStr">
        <is>
          <t>entidad-dia</t>
        </is>
      </c>
    </row>
    <row r="8949">
      <c r="A8949" t="inlineStr">
        <is>
          <t>PRAGMA</t>
        </is>
      </c>
      <c r="B8949" t="inlineStr">
        <is>
          <t>M3</t>
        </is>
      </c>
      <c r="C8949" t="inlineStr">
        <is>
          <t>Cali</t>
        </is>
      </c>
      <c r="D8949" t="inlineStr">
        <is>
          <t>814</t>
        </is>
      </c>
      <c r="E8949" t="inlineStr">
        <is>
          <t>salidas</t>
        </is>
      </c>
      <c r="F8949" s="23" t="n">
        <v>46276</v>
      </c>
      <c r="G8949" s="24">
        <f>F8949-DATE(2026,8,31)</f>
        <v>11</v>
      </c>
      <c r="H8949" s="25" t="n">
        <v>470307060</v>
      </c>
      <c r="I8949" t="inlineStr">
        <is>
          <t>entidad-dia</t>
        </is>
      </c>
    </row>
    <row r="8950">
      <c r="A8950" t="inlineStr">
        <is>
          <t>PRAGMA</t>
        </is>
      </c>
      <c r="B8950" t="inlineStr">
        <is>
          <t>M3</t>
        </is>
      </c>
      <c r="C8950" t="inlineStr">
        <is>
          <t>Cali</t>
        </is>
      </c>
      <c r="D8950" t="inlineStr">
        <is>
          <t>814</t>
        </is>
      </c>
      <c r="E8950" t="inlineStr">
        <is>
          <t>entradas</t>
        </is>
      </c>
      <c r="F8950" s="23" t="n">
        <v>46277</v>
      </c>
      <c r="G8950" s="24">
        <f>F8950-DATE(2026,8,31)</f>
        <v>12</v>
      </c>
      <c r="H8950" s="25" t="n">
        <v>371747</v>
      </c>
      <c r="I8950" t="inlineStr">
        <is>
          <t>entidad-dia</t>
        </is>
      </c>
    </row>
    <row r="8951">
      <c r="A8951" t="inlineStr">
        <is>
          <t>PRAGMA</t>
        </is>
      </c>
      <c r="B8951" t="inlineStr">
        <is>
          <t>M3</t>
        </is>
      </c>
      <c r="C8951" t="inlineStr">
        <is>
          <t>Cali</t>
        </is>
      </c>
      <c r="D8951" t="inlineStr">
        <is>
          <t>814</t>
        </is>
      </c>
      <c r="E8951" t="inlineStr">
        <is>
          <t>salidas</t>
        </is>
      </c>
      <c r="F8951" s="23" t="n">
        <v>46277</v>
      </c>
      <c r="G8951" s="24">
        <f>F8951-DATE(2026,8,31)</f>
        <v>12</v>
      </c>
      <c r="H8951" s="25" t="n">
        <v>0</v>
      </c>
      <c r="I8951" t="inlineStr">
        <is>
          <t>entidad-dia</t>
        </is>
      </c>
    </row>
    <row r="8952">
      <c r="A8952" t="inlineStr">
        <is>
          <t>PRAGMA</t>
        </is>
      </c>
      <c r="B8952" t="inlineStr">
        <is>
          <t>M3</t>
        </is>
      </c>
      <c r="C8952" t="inlineStr">
        <is>
          <t>Cali</t>
        </is>
      </c>
      <c r="D8952" t="inlineStr">
        <is>
          <t>814</t>
        </is>
      </c>
      <c r="E8952" t="inlineStr">
        <is>
          <t>entradas</t>
        </is>
      </c>
      <c r="F8952" s="23" t="n">
        <v>46278</v>
      </c>
      <c r="G8952" s="24">
        <f>F8952-DATE(2026,8,31)</f>
        <v>13</v>
      </c>
      <c r="H8952" s="25" t="n">
        <v>49610</v>
      </c>
      <c r="I8952" t="inlineStr">
        <is>
          <t>entidad-dia</t>
        </is>
      </c>
    </row>
    <row r="8953">
      <c r="A8953" t="inlineStr">
        <is>
          <t>PRAGMA</t>
        </is>
      </c>
      <c r="B8953" t="inlineStr">
        <is>
          <t>M3</t>
        </is>
      </c>
      <c r="C8953" t="inlineStr">
        <is>
          <t>Cali</t>
        </is>
      </c>
      <c r="D8953" t="inlineStr">
        <is>
          <t>814</t>
        </is>
      </c>
      <c r="E8953" t="inlineStr">
        <is>
          <t>salidas</t>
        </is>
      </c>
      <c r="F8953" s="23" t="n">
        <v>46278</v>
      </c>
      <c r="G8953" s="24">
        <f>F8953-DATE(2026,8,31)</f>
        <v>13</v>
      </c>
      <c r="H8953" s="25" t="n">
        <v>0</v>
      </c>
      <c r="I8953" t="inlineStr">
        <is>
          <t>entidad-dia</t>
        </is>
      </c>
    </row>
    <row r="8954">
      <c r="A8954" t="inlineStr">
        <is>
          <t>PRAGMA</t>
        </is>
      </c>
      <c r="B8954" t="inlineStr">
        <is>
          <t>M3</t>
        </is>
      </c>
      <c r="C8954" t="inlineStr">
        <is>
          <t>Cali</t>
        </is>
      </c>
      <c r="D8954" t="inlineStr">
        <is>
          <t>814</t>
        </is>
      </c>
      <c r="E8954" t="inlineStr">
        <is>
          <t>entradas</t>
        </is>
      </c>
      <c r="F8954" s="23" t="n">
        <v>46279</v>
      </c>
      <c r="G8954" s="24">
        <f>F8954-DATE(2026,8,31)</f>
        <v>14</v>
      </c>
      <c r="H8954" s="25" t="n">
        <v>255756759</v>
      </c>
      <c r="I8954" t="inlineStr">
        <is>
          <t>entidad-dia</t>
        </is>
      </c>
    </row>
    <row r="8955">
      <c r="A8955" t="inlineStr">
        <is>
          <t>PRAGMA</t>
        </is>
      </c>
      <c r="B8955" t="inlineStr">
        <is>
          <t>M3</t>
        </is>
      </c>
      <c r="C8955" t="inlineStr">
        <is>
          <t>Cali</t>
        </is>
      </c>
      <c r="D8955" t="inlineStr">
        <is>
          <t>814</t>
        </is>
      </c>
      <c r="E8955" t="inlineStr">
        <is>
          <t>salidas</t>
        </is>
      </c>
      <c r="F8955" s="23" t="n">
        <v>46279</v>
      </c>
      <c r="G8955" s="24">
        <f>F8955-DATE(2026,8,31)</f>
        <v>14</v>
      </c>
      <c r="H8955" s="25" t="n">
        <v>387443798</v>
      </c>
      <c r="I8955" t="inlineStr">
        <is>
          <t>entidad-dia</t>
        </is>
      </c>
    </row>
    <row r="8956">
      <c r="A8956" t="inlineStr">
        <is>
          <t>PRAGMA</t>
        </is>
      </c>
      <c r="B8956" t="inlineStr">
        <is>
          <t>M3</t>
        </is>
      </c>
      <c r="C8956" t="inlineStr">
        <is>
          <t>Cali</t>
        </is>
      </c>
      <c r="D8956" t="inlineStr">
        <is>
          <t>814</t>
        </is>
      </c>
      <c r="E8956" t="inlineStr">
        <is>
          <t>entradas</t>
        </is>
      </c>
      <c r="F8956" s="23" t="n">
        <v>46280</v>
      </c>
      <c r="G8956" s="24">
        <f>F8956-DATE(2026,8,31)</f>
        <v>15</v>
      </c>
      <c r="H8956" s="25" t="n">
        <v>327865328</v>
      </c>
      <c r="I8956" t="inlineStr">
        <is>
          <t>entidad-dia</t>
        </is>
      </c>
    </row>
    <row r="8957">
      <c r="A8957" t="inlineStr">
        <is>
          <t>PRAGMA</t>
        </is>
      </c>
      <c r="B8957" t="inlineStr">
        <is>
          <t>M3</t>
        </is>
      </c>
      <c r="C8957" t="inlineStr">
        <is>
          <t>Cali</t>
        </is>
      </c>
      <c r="D8957" t="inlineStr">
        <is>
          <t>814</t>
        </is>
      </c>
      <c r="E8957" t="inlineStr">
        <is>
          <t>salidas</t>
        </is>
      </c>
      <c r="F8957" s="23" t="n">
        <v>46280</v>
      </c>
      <c r="G8957" s="24">
        <f>F8957-DATE(2026,8,31)</f>
        <v>15</v>
      </c>
      <c r="H8957" s="25" t="n">
        <v>442988225</v>
      </c>
      <c r="I8957" t="inlineStr">
        <is>
          <t>entidad-dia</t>
        </is>
      </c>
    </row>
    <row r="8958">
      <c r="A8958" t="inlineStr">
        <is>
          <t>PRAGMA</t>
        </is>
      </c>
      <c r="B8958" t="inlineStr">
        <is>
          <t>M3</t>
        </is>
      </c>
      <c r="C8958" t="inlineStr">
        <is>
          <t>Cali</t>
        </is>
      </c>
      <c r="D8958" t="inlineStr">
        <is>
          <t>815</t>
        </is>
      </c>
      <c r="E8958" t="inlineStr">
        <is>
          <t>entradas</t>
        </is>
      </c>
      <c r="F8958" s="23" t="n">
        <v>46266</v>
      </c>
      <c r="G8958" s="24">
        <f>F8958-DATE(2026,8,31)</f>
        <v>1</v>
      </c>
      <c r="H8958" s="25" t="n">
        <v>623774516</v>
      </c>
      <c r="I8958" t="inlineStr">
        <is>
          <t>entidad-dia</t>
        </is>
      </c>
    </row>
    <row r="8959">
      <c r="A8959" t="inlineStr">
        <is>
          <t>PRAGMA</t>
        </is>
      </c>
      <c r="B8959" t="inlineStr">
        <is>
          <t>M3</t>
        </is>
      </c>
      <c r="C8959" t="inlineStr">
        <is>
          <t>Cali</t>
        </is>
      </c>
      <c r="D8959" t="inlineStr">
        <is>
          <t>815</t>
        </is>
      </c>
      <c r="E8959" t="inlineStr">
        <is>
          <t>salidas</t>
        </is>
      </c>
      <c r="F8959" s="23" t="n">
        <v>46266</v>
      </c>
      <c r="G8959" s="24">
        <f>F8959-DATE(2026,8,31)</f>
        <v>1</v>
      </c>
      <c r="H8959" s="25" t="n">
        <v>541192974</v>
      </c>
      <c r="I8959" t="inlineStr">
        <is>
          <t>entidad-dia</t>
        </is>
      </c>
    </row>
    <row r="8960">
      <c r="A8960" t="inlineStr">
        <is>
          <t>PRAGMA</t>
        </is>
      </c>
      <c r="B8960" t="inlineStr">
        <is>
          <t>M3</t>
        </is>
      </c>
      <c r="C8960" t="inlineStr">
        <is>
          <t>Cali</t>
        </is>
      </c>
      <c r="D8960" t="inlineStr">
        <is>
          <t>815</t>
        </is>
      </c>
      <c r="E8960" t="inlineStr">
        <is>
          <t>entradas</t>
        </is>
      </c>
      <c r="F8960" s="23" t="n">
        <v>46267</v>
      </c>
      <c r="G8960" s="24">
        <f>F8960-DATE(2026,8,31)</f>
        <v>2</v>
      </c>
      <c r="H8960" s="25" t="n">
        <v>565614292</v>
      </c>
      <c r="I8960" t="inlineStr">
        <is>
          <t>entidad-dia</t>
        </is>
      </c>
    </row>
    <row r="8961">
      <c r="A8961" t="inlineStr">
        <is>
          <t>PRAGMA</t>
        </is>
      </c>
      <c r="B8961" t="inlineStr">
        <is>
          <t>M3</t>
        </is>
      </c>
      <c r="C8961" t="inlineStr">
        <is>
          <t>Cali</t>
        </is>
      </c>
      <c r="D8961" t="inlineStr">
        <is>
          <t>815</t>
        </is>
      </c>
      <c r="E8961" t="inlineStr">
        <is>
          <t>salidas</t>
        </is>
      </c>
      <c r="F8961" s="23" t="n">
        <v>46267</v>
      </c>
      <c r="G8961" s="24">
        <f>F8961-DATE(2026,8,31)</f>
        <v>2</v>
      </c>
      <c r="H8961" s="25" t="n">
        <v>503482259</v>
      </c>
      <c r="I8961" t="inlineStr">
        <is>
          <t>entidad-dia</t>
        </is>
      </c>
    </row>
    <row r="8962">
      <c r="A8962" t="inlineStr">
        <is>
          <t>PRAGMA</t>
        </is>
      </c>
      <c r="B8962" t="inlineStr">
        <is>
          <t>M3</t>
        </is>
      </c>
      <c r="C8962" t="inlineStr">
        <is>
          <t>Cali</t>
        </is>
      </c>
      <c r="D8962" t="inlineStr">
        <is>
          <t>815</t>
        </is>
      </c>
      <c r="E8962" t="inlineStr">
        <is>
          <t>entradas</t>
        </is>
      </c>
      <c r="F8962" s="23" t="n">
        <v>46268</v>
      </c>
      <c r="G8962" s="24">
        <f>F8962-DATE(2026,8,31)</f>
        <v>3</v>
      </c>
      <c r="H8962" s="25" t="n">
        <v>488622909</v>
      </c>
      <c r="I8962" t="inlineStr">
        <is>
          <t>entidad-dia</t>
        </is>
      </c>
    </row>
    <row r="8963">
      <c r="A8963" t="inlineStr">
        <is>
          <t>PRAGMA</t>
        </is>
      </c>
      <c r="B8963" t="inlineStr">
        <is>
          <t>M3</t>
        </is>
      </c>
      <c r="C8963" t="inlineStr">
        <is>
          <t>Cali</t>
        </is>
      </c>
      <c r="D8963" t="inlineStr">
        <is>
          <t>815</t>
        </is>
      </c>
      <c r="E8963" t="inlineStr">
        <is>
          <t>salidas</t>
        </is>
      </c>
      <c r="F8963" s="23" t="n">
        <v>46268</v>
      </c>
      <c r="G8963" s="24">
        <f>F8963-DATE(2026,8,31)</f>
        <v>3</v>
      </c>
      <c r="H8963" s="25" t="n">
        <v>338226802</v>
      </c>
      <c r="I8963" t="inlineStr">
        <is>
          <t>entidad-dia</t>
        </is>
      </c>
    </row>
    <row r="8964">
      <c r="A8964" t="inlineStr">
        <is>
          <t>PRAGMA</t>
        </is>
      </c>
      <c r="B8964" t="inlineStr">
        <is>
          <t>M3</t>
        </is>
      </c>
      <c r="C8964" t="inlineStr">
        <is>
          <t>Cali</t>
        </is>
      </c>
      <c r="D8964" t="inlineStr">
        <is>
          <t>815</t>
        </is>
      </c>
      <c r="E8964" t="inlineStr">
        <is>
          <t>entradas</t>
        </is>
      </c>
      <c r="F8964" s="23" t="n">
        <v>46269</v>
      </c>
      <c r="G8964" s="24">
        <f>F8964-DATE(2026,8,31)</f>
        <v>4</v>
      </c>
      <c r="H8964" s="25" t="n">
        <v>603960212</v>
      </c>
      <c r="I8964" t="inlineStr">
        <is>
          <t>entidad-dia</t>
        </is>
      </c>
    </row>
    <row r="8965">
      <c r="A8965" t="inlineStr">
        <is>
          <t>PRAGMA</t>
        </is>
      </c>
      <c r="B8965" t="inlineStr">
        <is>
          <t>M3</t>
        </is>
      </c>
      <c r="C8965" t="inlineStr">
        <is>
          <t>Cali</t>
        </is>
      </c>
      <c r="D8965" t="inlineStr">
        <is>
          <t>815</t>
        </is>
      </c>
      <c r="E8965" t="inlineStr">
        <is>
          <t>salidas</t>
        </is>
      </c>
      <c r="F8965" s="23" t="n">
        <v>46269</v>
      </c>
      <c r="G8965" s="24">
        <f>F8965-DATE(2026,8,31)</f>
        <v>4</v>
      </c>
      <c r="H8965" s="25" t="n">
        <v>614752858</v>
      </c>
      <c r="I8965" t="inlineStr">
        <is>
          <t>entidad-dia</t>
        </is>
      </c>
    </row>
    <row r="8966">
      <c r="A8966" t="inlineStr">
        <is>
          <t>PRAGMA</t>
        </is>
      </c>
      <c r="B8966" t="inlineStr">
        <is>
          <t>M3</t>
        </is>
      </c>
      <c r="C8966" t="inlineStr">
        <is>
          <t>Cali</t>
        </is>
      </c>
      <c r="D8966" t="inlineStr">
        <is>
          <t>815</t>
        </is>
      </c>
      <c r="E8966" t="inlineStr">
        <is>
          <t>entradas</t>
        </is>
      </c>
      <c r="F8966" s="23" t="n">
        <v>46270</v>
      </c>
      <c r="G8966" s="24">
        <f>F8966-DATE(2026,8,31)</f>
        <v>5</v>
      </c>
      <c r="H8966" s="25" t="n">
        <v>2814212</v>
      </c>
      <c r="I8966" t="inlineStr">
        <is>
          <t>entidad-dia</t>
        </is>
      </c>
    </row>
    <row r="8967">
      <c r="A8967" t="inlineStr">
        <is>
          <t>PRAGMA</t>
        </is>
      </c>
      <c r="B8967" t="inlineStr">
        <is>
          <t>M3</t>
        </is>
      </c>
      <c r="C8967" t="inlineStr">
        <is>
          <t>Cali</t>
        </is>
      </c>
      <c r="D8967" t="inlineStr">
        <is>
          <t>815</t>
        </is>
      </c>
      <c r="E8967" t="inlineStr">
        <is>
          <t>salidas</t>
        </is>
      </c>
      <c r="F8967" s="23" t="n">
        <v>46270</v>
      </c>
      <c r="G8967" s="24">
        <f>F8967-DATE(2026,8,31)</f>
        <v>5</v>
      </c>
      <c r="H8967" s="25" t="n">
        <v>1824634</v>
      </c>
      <c r="I8967" t="inlineStr">
        <is>
          <t>entidad-dia</t>
        </is>
      </c>
    </row>
    <row r="8968">
      <c r="A8968" t="inlineStr">
        <is>
          <t>PRAGMA</t>
        </is>
      </c>
      <c r="B8968" t="inlineStr">
        <is>
          <t>M3</t>
        </is>
      </c>
      <c r="C8968" t="inlineStr">
        <is>
          <t>Cali</t>
        </is>
      </c>
      <c r="D8968" t="inlineStr">
        <is>
          <t>815</t>
        </is>
      </c>
      <c r="E8968" t="inlineStr">
        <is>
          <t>entradas</t>
        </is>
      </c>
      <c r="F8968" s="23" t="n">
        <v>46271</v>
      </c>
      <c r="G8968" s="24">
        <f>F8968-DATE(2026,8,31)</f>
        <v>6</v>
      </c>
      <c r="H8968" s="25" t="n">
        <v>2121375</v>
      </c>
      <c r="I8968" t="inlineStr">
        <is>
          <t>entidad-dia</t>
        </is>
      </c>
    </row>
    <row r="8969">
      <c r="A8969" t="inlineStr">
        <is>
          <t>PRAGMA</t>
        </is>
      </c>
      <c r="B8969" t="inlineStr">
        <is>
          <t>M3</t>
        </is>
      </c>
      <c r="C8969" t="inlineStr">
        <is>
          <t>Cali</t>
        </is>
      </c>
      <c r="D8969" t="inlineStr">
        <is>
          <t>815</t>
        </is>
      </c>
      <c r="E8969" t="inlineStr">
        <is>
          <t>salidas</t>
        </is>
      </c>
      <c r="F8969" s="23" t="n">
        <v>46271</v>
      </c>
      <c r="G8969" s="24">
        <f>F8969-DATE(2026,8,31)</f>
        <v>6</v>
      </c>
      <c r="H8969" s="25" t="n">
        <v>0</v>
      </c>
      <c r="I8969" t="inlineStr">
        <is>
          <t>entidad-dia</t>
        </is>
      </c>
    </row>
    <row r="8970">
      <c r="A8970" t="inlineStr">
        <is>
          <t>PRAGMA</t>
        </is>
      </c>
      <c r="B8970" t="inlineStr">
        <is>
          <t>M3</t>
        </is>
      </c>
      <c r="C8970" t="inlineStr">
        <is>
          <t>Cali</t>
        </is>
      </c>
      <c r="D8970" t="inlineStr">
        <is>
          <t>815</t>
        </is>
      </c>
      <c r="E8970" t="inlineStr">
        <is>
          <t>entradas</t>
        </is>
      </c>
      <c r="F8970" s="23" t="n">
        <v>46272</v>
      </c>
      <c r="G8970" s="24">
        <f>F8970-DATE(2026,8,31)</f>
        <v>7</v>
      </c>
      <c r="H8970" s="25" t="n">
        <v>514547210</v>
      </c>
      <c r="I8970" t="inlineStr">
        <is>
          <t>entidad-dia</t>
        </is>
      </c>
    </row>
    <row r="8971">
      <c r="A8971" t="inlineStr">
        <is>
          <t>PRAGMA</t>
        </is>
      </c>
      <c r="B8971" t="inlineStr">
        <is>
          <t>M3</t>
        </is>
      </c>
      <c r="C8971" t="inlineStr">
        <is>
          <t>Cali</t>
        </is>
      </c>
      <c r="D8971" t="inlineStr">
        <is>
          <t>815</t>
        </is>
      </c>
      <c r="E8971" t="inlineStr">
        <is>
          <t>salidas</t>
        </is>
      </c>
      <c r="F8971" s="23" t="n">
        <v>46272</v>
      </c>
      <c r="G8971" s="24">
        <f>F8971-DATE(2026,8,31)</f>
        <v>7</v>
      </c>
      <c r="H8971" s="25" t="n">
        <v>457786642</v>
      </c>
      <c r="I8971" t="inlineStr">
        <is>
          <t>entidad-dia</t>
        </is>
      </c>
    </row>
    <row r="8972">
      <c r="A8972" t="inlineStr">
        <is>
          <t>PRAGMA</t>
        </is>
      </c>
      <c r="B8972" t="inlineStr">
        <is>
          <t>M3</t>
        </is>
      </c>
      <c r="C8972" t="inlineStr">
        <is>
          <t>Cali</t>
        </is>
      </c>
      <c r="D8972" t="inlineStr">
        <is>
          <t>815</t>
        </is>
      </c>
      <c r="E8972" t="inlineStr">
        <is>
          <t>entradas</t>
        </is>
      </c>
      <c r="F8972" s="23" t="n">
        <v>46273</v>
      </c>
      <c r="G8972" s="24">
        <f>F8972-DATE(2026,8,31)</f>
        <v>8</v>
      </c>
      <c r="H8972" s="25" t="n">
        <v>638506625</v>
      </c>
      <c r="I8972" t="inlineStr">
        <is>
          <t>entidad-dia</t>
        </is>
      </c>
    </row>
    <row r="8973">
      <c r="A8973" t="inlineStr">
        <is>
          <t>PRAGMA</t>
        </is>
      </c>
      <c r="B8973" t="inlineStr">
        <is>
          <t>M3</t>
        </is>
      </c>
      <c r="C8973" t="inlineStr">
        <is>
          <t>Cali</t>
        </is>
      </c>
      <c r="D8973" t="inlineStr">
        <is>
          <t>815</t>
        </is>
      </c>
      <c r="E8973" t="inlineStr">
        <is>
          <t>salidas</t>
        </is>
      </c>
      <c r="F8973" s="23" t="n">
        <v>46273</v>
      </c>
      <c r="G8973" s="24">
        <f>F8973-DATE(2026,8,31)</f>
        <v>8</v>
      </c>
      <c r="H8973" s="25" t="n">
        <v>509040866</v>
      </c>
      <c r="I8973" t="inlineStr">
        <is>
          <t>entidad-dia</t>
        </is>
      </c>
    </row>
    <row r="8974">
      <c r="A8974" t="inlineStr">
        <is>
          <t>PRAGMA</t>
        </is>
      </c>
      <c r="B8974" t="inlineStr">
        <is>
          <t>M3</t>
        </is>
      </c>
      <c r="C8974" t="inlineStr">
        <is>
          <t>Cali</t>
        </is>
      </c>
      <c r="D8974" t="inlineStr">
        <is>
          <t>815</t>
        </is>
      </c>
      <c r="E8974" t="inlineStr">
        <is>
          <t>entradas</t>
        </is>
      </c>
      <c r="F8974" s="23" t="n">
        <v>46274</v>
      </c>
      <c r="G8974" s="24">
        <f>F8974-DATE(2026,8,31)</f>
        <v>9</v>
      </c>
      <c r="H8974" s="25" t="n">
        <v>578470852</v>
      </c>
      <c r="I8974" t="inlineStr">
        <is>
          <t>entidad-dia</t>
        </is>
      </c>
    </row>
    <row r="8975">
      <c r="A8975" t="inlineStr">
        <is>
          <t>PRAGMA</t>
        </is>
      </c>
      <c r="B8975" t="inlineStr">
        <is>
          <t>M3</t>
        </is>
      </c>
      <c r="C8975" t="inlineStr">
        <is>
          <t>Cali</t>
        </is>
      </c>
      <c r="D8975" t="inlineStr">
        <is>
          <t>815</t>
        </is>
      </c>
      <c r="E8975" t="inlineStr">
        <is>
          <t>salidas</t>
        </is>
      </c>
      <c r="F8975" s="23" t="n">
        <v>46274</v>
      </c>
      <c r="G8975" s="24">
        <f>F8975-DATE(2026,8,31)</f>
        <v>9</v>
      </c>
      <c r="H8975" s="25" t="n">
        <v>490876081</v>
      </c>
      <c r="I8975" t="inlineStr">
        <is>
          <t>entidad-dia</t>
        </is>
      </c>
    </row>
    <row r="8976">
      <c r="A8976" t="inlineStr">
        <is>
          <t>PRAGMA</t>
        </is>
      </c>
      <c r="B8976" t="inlineStr">
        <is>
          <t>M3</t>
        </is>
      </c>
      <c r="C8976" t="inlineStr">
        <is>
          <t>Cali</t>
        </is>
      </c>
      <c r="D8976" t="inlineStr">
        <is>
          <t>815</t>
        </is>
      </c>
      <c r="E8976" t="inlineStr">
        <is>
          <t>entradas</t>
        </is>
      </c>
      <c r="F8976" s="23" t="n">
        <v>46275</v>
      </c>
      <c r="G8976" s="24">
        <f>F8976-DATE(2026,8,31)</f>
        <v>10</v>
      </c>
      <c r="H8976" s="25" t="n">
        <v>495373712</v>
      </c>
      <c r="I8976" t="inlineStr">
        <is>
          <t>entidad-dia</t>
        </is>
      </c>
    </row>
    <row r="8977">
      <c r="A8977" t="inlineStr">
        <is>
          <t>PRAGMA</t>
        </is>
      </c>
      <c r="B8977" t="inlineStr">
        <is>
          <t>M3</t>
        </is>
      </c>
      <c r="C8977" t="inlineStr">
        <is>
          <t>Cali</t>
        </is>
      </c>
      <c r="D8977" t="inlineStr">
        <is>
          <t>815</t>
        </is>
      </c>
      <c r="E8977" t="inlineStr">
        <is>
          <t>salidas</t>
        </is>
      </c>
      <c r="F8977" s="23" t="n">
        <v>46275</v>
      </c>
      <c r="G8977" s="24">
        <f>F8977-DATE(2026,8,31)</f>
        <v>10</v>
      </c>
      <c r="H8977" s="25" t="n">
        <v>458054559</v>
      </c>
      <c r="I8977" t="inlineStr">
        <is>
          <t>entidad-dia</t>
        </is>
      </c>
    </row>
    <row r="8978">
      <c r="A8978" t="inlineStr">
        <is>
          <t>PRAGMA</t>
        </is>
      </c>
      <c r="B8978" t="inlineStr">
        <is>
          <t>M3</t>
        </is>
      </c>
      <c r="C8978" t="inlineStr">
        <is>
          <t>Cali</t>
        </is>
      </c>
      <c r="D8978" t="inlineStr">
        <is>
          <t>815</t>
        </is>
      </c>
      <c r="E8978" t="inlineStr">
        <is>
          <t>entradas</t>
        </is>
      </c>
      <c r="F8978" s="23" t="n">
        <v>46276</v>
      </c>
      <c r="G8978" s="24">
        <f>F8978-DATE(2026,8,31)</f>
        <v>11</v>
      </c>
      <c r="H8978" s="25" t="n">
        <v>614269481</v>
      </c>
      <c r="I8978" t="inlineStr">
        <is>
          <t>entidad-dia</t>
        </is>
      </c>
    </row>
    <row r="8979">
      <c r="A8979" t="inlineStr">
        <is>
          <t>PRAGMA</t>
        </is>
      </c>
      <c r="B8979" t="inlineStr">
        <is>
          <t>M3</t>
        </is>
      </c>
      <c r="C8979" t="inlineStr">
        <is>
          <t>Cali</t>
        </is>
      </c>
      <c r="D8979" t="inlineStr">
        <is>
          <t>815</t>
        </is>
      </c>
      <c r="E8979" t="inlineStr">
        <is>
          <t>salidas</t>
        </is>
      </c>
      <c r="F8979" s="23" t="n">
        <v>46276</v>
      </c>
      <c r="G8979" s="24">
        <f>F8979-DATE(2026,8,31)</f>
        <v>11</v>
      </c>
      <c r="H8979" s="25" t="n">
        <v>587997907</v>
      </c>
      <c r="I8979" t="inlineStr">
        <is>
          <t>entidad-dia</t>
        </is>
      </c>
    </row>
    <row r="8980">
      <c r="A8980" t="inlineStr">
        <is>
          <t>PRAGMA</t>
        </is>
      </c>
      <c r="B8980" t="inlineStr">
        <is>
          <t>M3</t>
        </is>
      </c>
      <c r="C8980" t="inlineStr">
        <is>
          <t>Cali</t>
        </is>
      </c>
      <c r="D8980" t="inlineStr">
        <is>
          <t>815</t>
        </is>
      </c>
      <c r="E8980" t="inlineStr">
        <is>
          <t>entradas</t>
        </is>
      </c>
      <c r="F8980" s="23" t="n">
        <v>46277</v>
      </c>
      <c r="G8980" s="24">
        <f>F8980-DATE(2026,8,31)</f>
        <v>12</v>
      </c>
      <c r="H8980" s="25" t="n">
        <v>1770337</v>
      </c>
      <c r="I8980" t="inlineStr">
        <is>
          <t>entidad-dia</t>
        </is>
      </c>
    </row>
    <row r="8981">
      <c r="A8981" t="inlineStr">
        <is>
          <t>PRAGMA</t>
        </is>
      </c>
      <c r="B8981" t="inlineStr">
        <is>
          <t>M3</t>
        </is>
      </c>
      <c r="C8981" t="inlineStr">
        <is>
          <t>Cali</t>
        </is>
      </c>
      <c r="D8981" t="inlineStr">
        <is>
          <t>815</t>
        </is>
      </c>
      <c r="E8981" t="inlineStr">
        <is>
          <t>salidas</t>
        </is>
      </c>
      <c r="F8981" s="23" t="n">
        <v>46277</v>
      </c>
      <c r="G8981" s="24">
        <f>F8981-DATE(2026,8,31)</f>
        <v>12</v>
      </c>
      <c r="H8981" s="25" t="n">
        <v>2069690</v>
      </c>
      <c r="I8981" t="inlineStr">
        <is>
          <t>entidad-dia</t>
        </is>
      </c>
    </row>
    <row r="8982">
      <c r="A8982" t="inlineStr">
        <is>
          <t>PRAGMA</t>
        </is>
      </c>
      <c r="B8982" t="inlineStr">
        <is>
          <t>M3</t>
        </is>
      </c>
      <c r="C8982" t="inlineStr">
        <is>
          <t>Cali</t>
        </is>
      </c>
      <c r="D8982" t="inlineStr">
        <is>
          <t>815</t>
        </is>
      </c>
      <c r="E8982" t="inlineStr">
        <is>
          <t>entradas</t>
        </is>
      </c>
      <c r="F8982" s="23" t="n">
        <v>46278</v>
      </c>
      <c r="G8982" s="24">
        <f>F8982-DATE(2026,8,31)</f>
        <v>13</v>
      </c>
      <c r="H8982" s="25" t="n">
        <v>85378</v>
      </c>
      <c r="I8982" t="inlineStr">
        <is>
          <t>entidad-dia</t>
        </is>
      </c>
    </row>
    <row r="8983">
      <c r="A8983" t="inlineStr">
        <is>
          <t>PRAGMA</t>
        </is>
      </c>
      <c r="B8983" t="inlineStr">
        <is>
          <t>M3</t>
        </is>
      </c>
      <c r="C8983" t="inlineStr">
        <is>
          <t>Cali</t>
        </is>
      </c>
      <c r="D8983" t="inlineStr">
        <is>
          <t>815</t>
        </is>
      </c>
      <c r="E8983" t="inlineStr">
        <is>
          <t>salidas</t>
        </is>
      </c>
      <c r="F8983" s="23" t="n">
        <v>46278</v>
      </c>
      <c r="G8983" s="24">
        <f>F8983-DATE(2026,8,31)</f>
        <v>13</v>
      </c>
      <c r="H8983" s="25" t="n">
        <v>0</v>
      </c>
      <c r="I8983" t="inlineStr">
        <is>
          <t>entidad-dia</t>
        </is>
      </c>
    </row>
    <row r="8984">
      <c r="A8984" t="inlineStr">
        <is>
          <t>PRAGMA</t>
        </is>
      </c>
      <c r="B8984" t="inlineStr">
        <is>
          <t>M3</t>
        </is>
      </c>
      <c r="C8984" t="inlineStr">
        <is>
          <t>Cali</t>
        </is>
      </c>
      <c r="D8984" t="inlineStr">
        <is>
          <t>815</t>
        </is>
      </c>
      <c r="E8984" t="inlineStr">
        <is>
          <t>entradas</t>
        </is>
      </c>
      <c r="F8984" s="23" t="n">
        <v>46279</v>
      </c>
      <c r="G8984" s="24">
        <f>F8984-DATE(2026,8,31)</f>
        <v>14</v>
      </c>
      <c r="H8984" s="25" t="n">
        <v>533689742</v>
      </c>
      <c r="I8984" t="inlineStr">
        <is>
          <t>entidad-dia</t>
        </is>
      </c>
    </row>
    <row r="8985">
      <c r="A8985" t="inlineStr">
        <is>
          <t>PRAGMA</t>
        </is>
      </c>
      <c r="B8985" t="inlineStr">
        <is>
          <t>M3</t>
        </is>
      </c>
      <c r="C8985" t="inlineStr">
        <is>
          <t>Cali</t>
        </is>
      </c>
      <c r="D8985" t="inlineStr">
        <is>
          <t>815</t>
        </is>
      </c>
      <c r="E8985" t="inlineStr">
        <is>
          <t>salidas</t>
        </is>
      </c>
      <c r="F8985" s="23" t="n">
        <v>46279</v>
      </c>
      <c r="G8985" s="24">
        <f>F8985-DATE(2026,8,31)</f>
        <v>14</v>
      </c>
      <c r="H8985" s="25" t="n">
        <v>484374842</v>
      </c>
      <c r="I8985" t="inlineStr">
        <is>
          <t>entidad-dia</t>
        </is>
      </c>
    </row>
    <row r="8986">
      <c r="A8986" t="inlineStr">
        <is>
          <t>PRAGMA</t>
        </is>
      </c>
      <c r="B8986" t="inlineStr">
        <is>
          <t>M3</t>
        </is>
      </c>
      <c r="C8986" t="inlineStr">
        <is>
          <t>Cali</t>
        </is>
      </c>
      <c r="D8986" t="inlineStr">
        <is>
          <t>815</t>
        </is>
      </c>
      <c r="E8986" t="inlineStr">
        <is>
          <t>entradas</t>
        </is>
      </c>
      <c r="F8986" s="23" t="n">
        <v>46280</v>
      </c>
      <c r="G8986" s="24">
        <f>F8986-DATE(2026,8,31)</f>
        <v>15</v>
      </c>
      <c r="H8986" s="25" t="n">
        <v>629950307</v>
      </c>
      <c r="I8986" t="inlineStr">
        <is>
          <t>entidad-dia</t>
        </is>
      </c>
    </row>
    <row r="8987">
      <c r="A8987" t="inlineStr">
        <is>
          <t>PRAGMA</t>
        </is>
      </c>
      <c r="B8987" t="inlineStr">
        <is>
          <t>M3</t>
        </is>
      </c>
      <c r="C8987" t="inlineStr">
        <is>
          <t>Cali</t>
        </is>
      </c>
      <c r="D8987" t="inlineStr">
        <is>
          <t>815</t>
        </is>
      </c>
      <c r="E8987" t="inlineStr">
        <is>
          <t>salidas</t>
        </is>
      </c>
      <c r="F8987" s="23" t="n">
        <v>46280</v>
      </c>
      <c r="G8987" s="24">
        <f>F8987-DATE(2026,8,31)</f>
        <v>15</v>
      </c>
      <c r="H8987" s="25" t="n">
        <v>526323181</v>
      </c>
      <c r="I8987" t="inlineStr">
        <is>
          <t>entidad-dia</t>
        </is>
      </c>
    </row>
    <row r="8988">
      <c r="A8988" t="inlineStr">
        <is>
          <t>PRAGMA</t>
        </is>
      </c>
      <c r="B8988" t="inlineStr">
        <is>
          <t>M3</t>
        </is>
      </c>
      <c r="C8988" t="inlineStr">
        <is>
          <t>Cali</t>
        </is>
      </c>
      <c r="D8988" t="inlineStr">
        <is>
          <t>817</t>
        </is>
      </c>
      <c r="E8988" t="inlineStr">
        <is>
          <t>entradas</t>
        </is>
      </c>
      <c r="F8988" s="23" t="n">
        <v>46266</v>
      </c>
      <c r="G8988" s="24">
        <f>F8988-DATE(2026,8,31)</f>
        <v>1</v>
      </c>
      <c r="H8988" s="25" t="n">
        <v>1391107450</v>
      </c>
      <c r="I8988" t="inlineStr">
        <is>
          <t>entidad-dia</t>
        </is>
      </c>
    </row>
    <row r="8989">
      <c r="A8989" t="inlineStr">
        <is>
          <t>PRAGMA</t>
        </is>
      </c>
      <c r="B8989" t="inlineStr">
        <is>
          <t>M3</t>
        </is>
      </c>
      <c r="C8989" t="inlineStr">
        <is>
          <t>Cali</t>
        </is>
      </c>
      <c r="D8989" t="inlineStr">
        <is>
          <t>817</t>
        </is>
      </c>
      <c r="E8989" t="inlineStr">
        <is>
          <t>salidas</t>
        </is>
      </c>
      <c r="F8989" s="23" t="n">
        <v>46266</v>
      </c>
      <c r="G8989" s="24">
        <f>F8989-DATE(2026,8,31)</f>
        <v>1</v>
      </c>
      <c r="H8989" s="25" t="n">
        <v>1708258669</v>
      </c>
      <c r="I8989" t="inlineStr">
        <is>
          <t>entidad-dia</t>
        </is>
      </c>
    </row>
    <row r="8990">
      <c r="A8990" t="inlineStr">
        <is>
          <t>PRAGMA</t>
        </is>
      </c>
      <c r="B8990" t="inlineStr">
        <is>
          <t>M3</t>
        </is>
      </c>
      <c r="C8990" t="inlineStr">
        <is>
          <t>Cali</t>
        </is>
      </c>
      <c r="D8990" t="inlineStr">
        <is>
          <t>817</t>
        </is>
      </c>
      <c r="E8990" t="inlineStr">
        <is>
          <t>entradas</t>
        </is>
      </c>
      <c r="F8990" s="23" t="n">
        <v>46267</v>
      </c>
      <c r="G8990" s="24">
        <f>F8990-DATE(2026,8,31)</f>
        <v>2</v>
      </c>
      <c r="H8990" s="25" t="n">
        <v>1315106054</v>
      </c>
      <c r="I8990" t="inlineStr">
        <is>
          <t>entidad-dia</t>
        </is>
      </c>
    </row>
    <row r="8991">
      <c r="A8991" t="inlineStr">
        <is>
          <t>PRAGMA</t>
        </is>
      </c>
      <c r="B8991" t="inlineStr">
        <is>
          <t>M3</t>
        </is>
      </c>
      <c r="C8991" t="inlineStr">
        <is>
          <t>Cali</t>
        </is>
      </c>
      <c r="D8991" t="inlineStr">
        <is>
          <t>817</t>
        </is>
      </c>
      <c r="E8991" t="inlineStr">
        <is>
          <t>salidas</t>
        </is>
      </c>
      <c r="F8991" s="23" t="n">
        <v>46267</v>
      </c>
      <c r="G8991" s="24">
        <f>F8991-DATE(2026,8,31)</f>
        <v>2</v>
      </c>
      <c r="H8991" s="25" t="n">
        <v>1687431345</v>
      </c>
      <c r="I8991" t="inlineStr">
        <is>
          <t>entidad-dia</t>
        </is>
      </c>
    </row>
    <row r="8992">
      <c r="A8992" t="inlineStr">
        <is>
          <t>PRAGMA</t>
        </is>
      </c>
      <c r="B8992" t="inlineStr">
        <is>
          <t>M3</t>
        </is>
      </c>
      <c r="C8992" t="inlineStr">
        <is>
          <t>Cali</t>
        </is>
      </c>
      <c r="D8992" t="inlineStr">
        <is>
          <t>817</t>
        </is>
      </c>
      <c r="E8992" t="inlineStr">
        <is>
          <t>entradas</t>
        </is>
      </c>
      <c r="F8992" s="23" t="n">
        <v>46268</v>
      </c>
      <c r="G8992" s="24">
        <f>F8992-DATE(2026,8,31)</f>
        <v>3</v>
      </c>
      <c r="H8992" s="25" t="n">
        <v>1332059322</v>
      </c>
      <c r="I8992" t="inlineStr">
        <is>
          <t>entidad-dia</t>
        </is>
      </c>
    </row>
    <row r="8993">
      <c r="A8993" t="inlineStr">
        <is>
          <t>PRAGMA</t>
        </is>
      </c>
      <c r="B8993" t="inlineStr">
        <is>
          <t>M3</t>
        </is>
      </c>
      <c r="C8993" t="inlineStr">
        <is>
          <t>Cali</t>
        </is>
      </c>
      <c r="D8993" t="inlineStr">
        <is>
          <t>817</t>
        </is>
      </c>
      <c r="E8993" t="inlineStr">
        <is>
          <t>salidas</t>
        </is>
      </c>
      <c r="F8993" s="23" t="n">
        <v>46268</v>
      </c>
      <c r="G8993" s="24">
        <f>F8993-DATE(2026,8,31)</f>
        <v>3</v>
      </c>
      <c r="H8993" s="25" t="n">
        <v>1209611722</v>
      </c>
      <c r="I8993" t="inlineStr">
        <is>
          <t>entidad-dia</t>
        </is>
      </c>
    </row>
    <row r="8994">
      <c r="A8994" t="inlineStr">
        <is>
          <t>PRAGMA</t>
        </is>
      </c>
      <c r="B8994" t="inlineStr">
        <is>
          <t>M3</t>
        </is>
      </c>
      <c r="C8994" t="inlineStr">
        <is>
          <t>Cali</t>
        </is>
      </c>
      <c r="D8994" t="inlineStr">
        <is>
          <t>817</t>
        </is>
      </c>
      <c r="E8994" t="inlineStr">
        <is>
          <t>entradas</t>
        </is>
      </c>
      <c r="F8994" s="23" t="n">
        <v>46269</v>
      </c>
      <c r="G8994" s="24">
        <f>F8994-DATE(2026,8,31)</f>
        <v>4</v>
      </c>
      <c r="H8994" s="25" t="n">
        <v>1326672491</v>
      </c>
      <c r="I8994" t="inlineStr">
        <is>
          <t>entidad-dia</t>
        </is>
      </c>
    </row>
    <row r="8995">
      <c r="A8995" t="inlineStr">
        <is>
          <t>PRAGMA</t>
        </is>
      </c>
      <c r="B8995" t="inlineStr">
        <is>
          <t>M3</t>
        </is>
      </c>
      <c r="C8995" t="inlineStr">
        <is>
          <t>Cali</t>
        </is>
      </c>
      <c r="D8995" t="inlineStr">
        <is>
          <t>817</t>
        </is>
      </c>
      <c r="E8995" t="inlineStr">
        <is>
          <t>salidas</t>
        </is>
      </c>
      <c r="F8995" s="23" t="n">
        <v>46269</v>
      </c>
      <c r="G8995" s="24">
        <f>F8995-DATE(2026,8,31)</f>
        <v>4</v>
      </c>
      <c r="H8995" s="25" t="n">
        <v>1638517583</v>
      </c>
      <c r="I8995" t="inlineStr">
        <is>
          <t>entidad-dia</t>
        </is>
      </c>
    </row>
    <row r="8996">
      <c r="A8996" t="inlineStr">
        <is>
          <t>PRAGMA</t>
        </is>
      </c>
      <c r="B8996" t="inlineStr">
        <is>
          <t>M3</t>
        </is>
      </c>
      <c r="C8996" t="inlineStr">
        <is>
          <t>Cali</t>
        </is>
      </c>
      <c r="D8996" t="inlineStr">
        <is>
          <t>817</t>
        </is>
      </c>
      <c r="E8996" t="inlineStr">
        <is>
          <t>entradas</t>
        </is>
      </c>
      <c r="F8996" s="23" t="n">
        <v>46270</v>
      </c>
      <c r="G8996" s="24">
        <f>F8996-DATE(2026,8,31)</f>
        <v>5</v>
      </c>
      <c r="H8996" s="25" t="n">
        <v>637567820</v>
      </c>
      <c r="I8996" t="inlineStr">
        <is>
          <t>entidad-dia</t>
        </is>
      </c>
    </row>
    <row r="8997">
      <c r="A8997" t="inlineStr">
        <is>
          <t>PRAGMA</t>
        </is>
      </c>
      <c r="B8997" t="inlineStr">
        <is>
          <t>M3</t>
        </is>
      </c>
      <c r="C8997" t="inlineStr">
        <is>
          <t>Cali</t>
        </is>
      </c>
      <c r="D8997" t="inlineStr">
        <is>
          <t>817</t>
        </is>
      </c>
      <c r="E8997" t="inlineStr">
        <is>
          <t>salidas</t>
        </is>
      </c>
      <c r="F8997" s="23" t="n">
        <v>46270</v>
      </c>
      <c r="G8997" s="24">
        <f>F8997-DATE(2026,8,31)</f>
        <v>5</v>
      </c>
      <c r="H8997" s="25" t="n">
        <v>1445615417</v>
      </c>
      <c r="I8997" t="inlineStr">
        <is>
          <t>entidad-dia</t>
        </is>
      </c>
    </row>
    <row r="8998">
      <c r="A8998" t="inlineStr">
        <is>
          <t>PRAGMA</t>
        </is>
      </c>
      <c r="B8998" t="inlineStr">
        <is>
          <t>M3</t>
        </is>
      </c>
      <c r="C8998" t="inlineStr">
        <is>
          <t>Cali</t>
        </is>
      </c>
      <c r="D8998" t="inlineStr">
        <is>
          <t>817</t>
        </is>
      </c>
      <c r="E8998" t="inlineStr">
        <is>
          <t>entradas</t>
        </is>
      </c>
      <c r="F8998" s="23" t="n">
        <v>46271</v>
      </c>
      <c r="G8998" s="24">
        <f>F8998-DATE(2026,8,31)</f>
        <v>6</v>
      </c>
      <c r="H8998" s="25" t="n">
        <v>127815</v>
      </c>
      <c r="I8998" t="inlineStr">
        <is>
          <t>entidad-dia</t>
        </is>
      </c>
    </row>
    <row r="8999">
      <c r="A8999" t="inlineStr">
        <is>
          <t>PRAGMA</t>
        </is>
      </c>
      <c r="B8999" t="inlineStr">
        <is>
          <t>M3</t>
        </is>
      </c>
      <c r="C8999" t="inlineStr">
        <is>
          <t>Cali</t>
        </is>
      </c>
      <c r="D8999" t="inlineStr">
        <is>
          <t>817</t>
        </is>
      </c>
      <c r="E8999" t="inlineStr">
        <is>
          <t>salidas</t>
        </is>
      </c>
      <c r="F8999" s="23" t="n">
        <v>46271</v>
      </c>
      <c r="G8999" s="24">
        <f>F8999-DATE(2026,8,31)</f>
        <v>6</v>
      </c>
      <c r="H8999" s="25" t="n">
        <v>0</v>
      </c>
      <c r="I8999" t="inlineStr">
        <is>
          <t>entidad-dia</t>
        </is>
      </c>
    </row>
    <row r="9000">
      <c r="A9000" t="inlineStr">
        <is>
          <t>PRAGMA</t>
        </is>
      </c>
      <c r="B9000" t="inlineStr">
        <is>
          <t>M3</t>
        </is>
      </c>
      <c r="C9000" t="inlineStr">
        <is>
          <t>Cali</t>
        </is>
      </c>
      <c r="D9000" t="inlineStr">
        <is>
          <t>817</t>
        </is>
      </c>
      <c r="E9000" t="inlineStr">
        <is>
          <t>entradas</t>
        </is>
      </c>
      <c r="F9000" s="23" t="n">
        <v>46272</v>
      </c>
      <c r="G9000" s="24">
        <f>F9000-DATE(2026,8,31)</f>
        <v>7</v>
      </c>
      <c r="H9000" s="25" t="n">
        <v>1219434645</v>
      </c>
      <c r="I9000" t="inlineStr">
        <is>
          <t>entidad-dia</t>
        </is>
      </c>
    </row>
    <row r="9001">
      <c r="A9001" t="inlineStr">
        <is>
          <t>PRAGMA</t>
        </is>
      </c>
      <c r="B9001" t="inlineStr">
        <is>
          <t>M3</t>
        </is>
      </c>
      <c r="C9001" t="inlineStr">
        <is>
          <t>Cali</t>
        </is>
      </c>
      <c r="D9001" t="inlineStr">
        <is>
          <t>817</t>
        </is>
      </c>
      <c r="E9001" t="inlineStr">
        <is>
          <t>salidas</t>
        </is>
      </c>
      <c r="F9001" s="23" t="n">
        <v>46272</v>
      </c>
      <c r="G9001" s="24">
        <f>F9001-DATE(2026,8,31)</f>
        <v>7</v>
      </c>
      <c r="H9001" s="25" t="n">
        <v>1160217412</v>
      </c>
      <c r="I9001" t="inlineStr">
        <is>
          <t>entidad-dia</t>
        </is>
      </c>
    </row>
    <row r="9002">
      <c r="A9002" t="inlineStr">
        <is>
          <t>PRAGMA</t>
        </is>
      </c>
      <c r="B9002" t="inlineStr">
        <is>
          <t>M3</t>
        </is>
      </c>
      <c r="C9002" t="inlineStr">
        <is>
          <t>Cali</t>
        </is>
      </c>
      <c r="D9002" t="inlineStr">
        <is>
          <t>817</t>
        </is>
      </c>
      <c r="E9002" t="inlineStr">
        <is>
          <t>entradas</t>
        </is>
      </c>
      <c r="F9002" s="23" t="n">
        <v>46273</v>
      </c>
      <c r="G9002" s="24">
        <f>F9002-DATE(2026,8,31)</f>
        <v>8</v>
      </c>
      <c r="H9002" s="25" t="n">
        <v>1421930125</v>
      </c>
      <c r="I9002" t="inlineStr">
        <is>
          <t>entidad-dia</t>
        </is>
      </c>
    </row>
    <row r="9003">
      <c r="A9003" t="inlineStr">
        <is>
          <t>PRAGMA</t>
        </is>
      </c>
      <c r="B9003" t="inlineStr">
        <is>
          <t>M3</t>
        </is>
      </c>
      <c r="C9003" t="inlineStr">
        <is>
          <t>Cali</t>
        </is>
      </c>
      <c r="D9003" t="inlineStr">
        <is>
          <t>817</t>
        </is>
      </c>
      <c r="E9003" t="inlineStr">
        <is>
          <t>salidas</t>
        </is>
      </c>
      <c r="F9003" s="23" t="n">
        <v>46273</v>
      </c>
      <c r="G9003" s="24">
        <f>F9003-DATE(2026,8,31)</f>
        <v>8</v>
      </c>
      <c r="H9003" s="25" t="n">
        <v>1536776401</v>
      </c>
      <c r="I9003" t="inlineStr">
        <is>
          <t>entidad-dia</t>
        </is>
      </c>
    </row>
    <row r="9004">
      <c r="A9004" t="inlineStr">
        <is>
          <t>PRAGMA</t>
        </is>
      </c>
      <c r="B9004" t="inlineStr">
        <is>
          <t>M3</t>
        </is>
      </c>
      <c r="C9004" t="inlineStr">
        <is>
          <t>Cali</t>
        </is>
      </c>
      <c r="D9004" t="inlineStr">
        <is>
          <t>817</t>
        </is>
      </c>
      <c r="E9004" t="inlineStr">
        <is>
          <t>entradas</t>
        </is>
      </c>
      <c r="F9004" s="23" t="n">
        <v>46274</v>
      </c>
      <c r="G9004" s="24">
        <f>F9004-DATE(2026,8,31)</f>
        <v>9</v>
      </c>
      <c r="H9004" s="25" t="n">
        <v>1341101340</v>
      </c>
      <c r="I9004" t="inlineStr">
        <is>
          <t>entidad-dia</t>
        </is>
      </c>
    </row>
    <row r="9005">
      <c r="A9005" t="inlineStr">
        <is>
          <t>PRAGMA</t>
        </is>
      </c>
      <c r="B9005" t="inlineStr">
        <is>
          <t>M3</t>
        </is>
      </c>
      <c r="C9005" t="inlineStr">
        <is>
          <t>Cali</t>
        </is>
      </c>
      <c r="D9005" t="inlineStr">
        <is>
          <t>817</t>
        </is>
      </c>
      <c r="E9005" t="inlineStr">
        <is>
          <t>salidas</t>
        </is>
      </c>
      <c r="F9005" s="23" t="n">
        <v>46274</v>
      </c>
      <c r="G9005" s="24">
        <f>F9005-DATE(2026,8,31)</f>
        <v>9</v>
      </c>
      <c r="H9005" s="25" t="n">
        <v>1535563059</v>
      </c>
      <c r="I9005" t="inlineStr">
        <is>
          <t>entidad-dia</t>
        </is>
      </c>
    </row>
    <row r="9006">
      <c r="A9006" t="inlineStr">
        <is>
          <t>PRAGMA</t>
        </is>
      </c>
      <c r="B9006" t="inlineStr">
        <is>
          <t>M3</t>
        </is>
      </c>
      <c r="C9006" t="inlineStr">
        <is>
          <t>Cali</t>
        </is>
      </c>
      <c r="D9006" t="inlineStr">
        <is>
          <t>817</t>
        </is>
      </c>
      <c r="E9006" t="inlineStr">
        <is>
          <t>entradas</t>
        </is>
      </c>
      <c r="F9006" s="23" t="n">
        <v>46275</v>
      </c>
      <c r="G9006" s="24">
        <f>F9006-DATE(2026,8,31)</f>
        <v>10</v>
      </c>
      <c r="H9006" s="25" t="n">
        <v>1379901553</v>
      </c>
      <c r="I9006" t="inlineStr">
        <is>
          <t>entidad-dia</t>
        </is>
      </c>
    </row>
    <row r="9007">
      <c r="A9007" t="inlineStr">
        <is>
          <t>PRAGMA</t>
        </is>
      </c>
      <c r="B9007" t="inlineStr">
        <is>
          <t>M3</t>
        </is>
      </c>
      <c r="C9007" t="inlineStr">
        <is>
          <t>Cali</t>
        </is>
      </c>
      <c r="D9007" t="inlineStr">
        <is>
          <t>817</t>
        </is>
      </c>
      <c r="E9007" t="inlineStr">
        <is>
          <t>salidas</t>
        </is>
      </c>
      <c r="F9007" s="23" t="n">
        <v>46275</v>
      </c>
      <c r="G9007" s="24">
        <f>F9007-DATE(2026,8,31)</f>
        <v>10</v>
      </c>
      <c r="H9007" s="25" t="n">
        <v>1449974707</v>
      </c>
      <c r="I9007" t="inlineStr">
        <is>
          <t>entidad-dia</t>
        </is>
      </c>
    </row>
    <row r="9008">
      <c r="A9008" t="inlineStr">
        <is>
          <t>PRAGMA</t>
        </is>
      </c>
      <c r="B9008" t="inlineStr">
        <is>
          <t>M3</t>
        </is>
      </c>
      <c r="C9008" t="inlineStr">
        <is>
          <t>Cali</t>
        </is>
      </c>
      <c r="D9008" t="inlineStr">
        <is>
          <t>817</t>
        </is>
      </c>
      <c r="E9008" t="inlineStr">
        <is>
          <t>entradas</t>
        </is>
      </c>
      <c r="F9008" s="23" t="n">
        <v>46276</v>
      </c>
      <c r="G9008" s="24">
        <f>F9008-DATE(2026,8,31)</f>
        <v>11</v>
      </c>
      <c r="H9008" s="25" t="n">
        <v>1339980168</v>
      </c>
      <c r="I9008" t="inlineStr">
        <is>
          <t>entidad-dia</t>
        </is>
      </c>
    </row>
    <row r="9009">
      <c r="A9009" t="inlineStr">
        <is>
          <t>PRAGMA</t>
        </is>
      </c>
      <c r="B9009" t="inlineStr">
        <is>
          <t>M3</t>
        </is>
      </c>
      <c r="C9009" t="inlineStr">
        <is>
          <t>Cali</t>
        </is>
      </c>
      <c r="D9009" t="inlineStr">
        <is>
          <t>817</t>
        </is>
      </c>
      <c r="E9009" t="inlineStr">
        <is>
          <t>salidas</t>
        </is>
      </c>
      <c r="F9009" s="23" t="n">
        <v>46276</v>
      </c>
      <c r="G9009" s="24">
        <f>F9009-DATE(2026,8,31)</f>
        <v>11</v>
      </c>
      <c r="H9009" s="25" t="n">
        <v>1507397645</v>
      </c>
      <c r="I9009" t="inlineStr">
        <is>
          <t>entidad-dia</t>
        </is>
      </c>
    </row>
    <row r="9010">
      <c r="A9010" t="inlineStr">
        <is>
          <t>PRAGMA</t>
        </is>
      </c>
      <c r="B9010" t="inlineStr">
        <is>
          <t>M3</t>
        </is>
      </c>
      <c r="C9010" t="inlineStr">
        <is>
          <t>Cali</t>
        </is>
      </c>
      <c r="D9010" t="inlineStr">
        <is>
          <t>817</t>
        </is>
      </c>
      <c r="E9010" t="inlineStr">
        <is>
          <t>entradas</t>
        </is>
      </c>
      <c r="F9010" s="23" t="n">
        <v>46277</v>
      </c>
      <c r="G9010" s="24">
        <f>F9010-DATE(2026,8,31)</f>
        <v>12</v>
      </c>
      <c r="H9010" s="25" t="n">
        <v>614768968</v>
      </c>
      <c r="I9010" t="inlineStr">
        <is>
          <t>entidad-dia</t>
        </is>
      </c>
    </row>
    <row r="9011">
      <c r="A9011" t="inlineStr">
        <is>
          <t>PRAGMA</t>
        </is>
      </c>
      <c r="B9011" t="inlineStr">
        <is>
          <t>M3</t>
        </is>
      </c>
      <c r="C9011" t="inlineStr">
        <is>
          <t>Cali</t>
        </is>
      </c>
      <c r="D9011" t="inlineStr">
        <is>
          <t>817</t>
        </is>
      </c>
      <c r="E9011" t="inlineStr">
        <is>
          <t>salidas</t>
        </is>
      </c>
      <c r="F9011" s="23" t="n">
        <v>46277</v>
      </c>
      <c r="G9011" s="24">
        <f>F9011-DATE(2026,8,31)</f>
        <v>12</v>
      </c>
      <c r="H9011" s="25" t="n">
        <v>1441311766</v>
      </c>
      <c r="I9011" t="inlineStr">
        <is>
          <t>entidad-dia</t>
        </is>
      </c>
    </row>
    <row r="9012">
      <c r="A9012" t="inlineStr">
        <is>
          <t>PRAGMA</t>
        </is>
      </c>
      <c r="B9012" t="inlineStr">
        <is>
          <t>M3</t>
        </is>
      </c>
      <c r="C9012" t="inlineStr">
        <is>
          <t>Cali</t>
        </is>
      </c>
      <c r="D9012" t="inlineStr">
        <is>
          <t>817</t>
        </is>
      </c>
      <c r="E9012" t="inlineStr">
        <is>
          <t>entradas</t>
        </is>
      </c>
      <c r="F9012" s="23" t="n">
        <v>46278</v>
      </c>
      <c r="G9012" s="24">
        <f>F9012-DATE(2026,8,31)</f>
        <v>13</v>
      </c>
      <c r="H9012" s="25" t="n">
        <v>139277</v>
      </c>
      <c r="I9012" t="inlineStr">
        <is>
          <t>entidad-dia</t>
        </is>
      </c>
    </row>
    <row r="9013">
      <c r="A9013" t="inlineStr">
        <is>
          <t>PRAGMA</t>
        </is>
      </c>
      <c r="B9013" t="inlineStr">
        <is>
          <t>M3</t>
        </is>
      </c>
      <c r="C9013" t="inlineStr">
        <is>
          <t>Cali</t>
        </is>
      </c>
      <c r="D9013" t="inlineStr">
        <is>
          <t>817</t>
        </is>
      </c>
      <c r="E9013" t="inlineStr">
        <is>
          <t>salidas</t>
        </is>
      </c>
      <c r="F9013" s="23" t="n">
        <v>46278</v>
      </c>
      <c r="G9013" s="24">
        <f>F9013-DATE(2026,8,31)</f>
        <v>13</v>
      </c>
      <c r="H9013" s="25" t="n">
        <v>0</v>
      </c>
      <c r="I9013" t="inlineStr">
        <is>
          <t>entidad-dia</t>
        </is>
      </c>
    </row>
    <row r="9014">
      <c r="A9014" t="inlineStr">
        <is>
          <t>PRAGMA</t>
        </is>
      </c>
      <c r="B9014" t="inlineStr">
        <is>
          <t>M3</t>
        </is>
      </c>
      <c r="C9014" t="inlineStr">
        <is>
          <t>Cali</t>
        </is>
      </c>
      <c r="D9014" t="inlineStr">
        <is>
          <t>817</t>
        </is>
      </c>
      <c r="E9014" t="inlineStr">
        <is>
          <t>entradas</t>
        </is>
      </c>
      <c r="F9014" s="23" t="n">
        <v>46279</v>
      </c>
      <c r="G9014" s="24">
        <f>F9014-DATE(2026,8,31)</f>
        <v>14</v>
      </c>
      <c r="H9014" s="25" t="n">
        <v>1292877150</v>
      </c>
      <c r="I9014" t="inlineStr">
        <is>
          <t>entidad-dia</t>
        </is>
      </c>
    </row>
    <row r="9015">
      <c r="A9015" t="inlineStr">
        <is>
          <t>PRAGMA</t>
        </is>
      </c>
      <c r="B9015" t="inlineStr">
        <is>
          <t>M3</t>
        </is>
      </c>
      <c r="C9015" t="inlineStr">
        <is>
          <t>Cali</t>
        </is>
      </c>
      <c r="D9015" t="inlineStr">
        <is>
          <t>817</t>
        </is>
      </c>
      <c r="E9015" t="inlineStr">
        <is>
          <t>salidas</t>
        </is>
      </c>
      <c r="F9015" s="23" t="n">
        <v>46279</v>
      </c>
      <c r="G9015" s="24">
        <f>F9015-DATE(2026,8,31)</f>
        <v>14</v>
      </c>
      <c r="H9015" s="25" t="n">
        <v>1127553122</v>
      </c>
      <c r="I9015" t="inlineStr">
        <is>
          <t>entidad-dia</t>
        </is>
      </c>
    </row>
    <row r="9016">
      <c r="A9016" t="inlineStr">
        <is>
          <t>PRAGMA</t>
        </is>
      </c>
      <c r="B9016" t="inlineStr">
        <is>
          <t>M3</t>
        </is>
      </c>
      <c r="C9016" t="inlineStr">
        <is>
          <t>Cali</t>
        </is>
      </c>
      <c r="D9016" t="inlineStr">
        <is>
          <t>817</t>
        </is>
      </c>
      <c r="E9016" t="inlineStr">
        <is>
          <t>entradas</t>
        </is>
      </c>
      <c r="F9016" s="23" t="n">
        <v>46280</v>
      </c>
      <c r="G9016" s="24">
        <f>F9016-DATE(2026,8,31)</f>
        <v>15</v>
      </c>
      <c r="H9016" s="25" t="n">
        <v>1497553045</v>
      </c>
      <c r="I9016" t="inlineStr">
        <is>
          <t>entidad-dia</t>
        </is>
      </c>
    </row>
    <row r="9017">
      <c r="A9017" t="inlineStr">
        <is>
          <t>PRAGMA</t>
        </is>
      </c>
      <c r="B9017" t="inlineStr">
        <is>
          <t>M3</t>
        </is>
      </c>
      <c r="C9017" t="inlineStr">
        <is>
          <t>Cali</t>
        </is>
      </c>
      <c r="D9017" t="inlineStr">
        <is>
          <t>817</t>
        </is>
      </c>
      <c r="E9017" t="inlineStr">
        <is>
          <t>salidas</t>
        </is>
      </c>
      <c r="F9017" s="23" t="n">
        <v>46280</v>
      </c>
      <c r="G9017" s="24">
        <f>F9017-DATE(2026,8,31)</f>
        <v>15</v>
      </c>
      <c r="H9017" s="25" t="n">
        <v>1614271199</v>
      </c>
      <c r="I9017" t="inlineStr">
        <is>
          <t>entidad-dia</t>
        </is>
      </c>
    </row>
    <row r="9018">
      <c r="A9018" t="inlineStr">
        <is>
          <t>PRAGMA</t>
        </is>
      </c>
      <c r="B9018" t="inlineStr">
        <is>
          <t>M3</t>
        </is>
      </c>
      <c r="C9018" t="inlineStr">
        <is>
          <t>Cali</t>
        </is>
      </c>
      <c r="D9018" t="inlineStr">
        <is>
          <t>82</t>
        </is>
      </c>
      <c r="E9018" t="inlineStr">
        <is>
          <t>entradas</t>
        </is>
      </c>
      <c r="F9018" s="23" t="n">
        <v>46266</v>
      </c>
      <c r="G9018" s="24">
        <f>F9018-DATE(2026,8,31)</f>
        <v>1</v>
      </c>
      <c r="H9018" s="25" t="n">
        <v>114318553</v>
      </c>
      <c r="I9018" t="inlineStr">
        <is>
          <t>entidad-dia</t>
        </is>
      </c>
    </row>
    <row r="9019">
      <c r="A9019" t="inlineStr">
        <is>
          <t>PRAGMA</t>
        </is>
      </c>
      <c r="B9019" t="inlineStr">
        <is>
          <t>M3</t>
        </is>
      </c>
      <c r="C9019" t="inlineStr">
        <is>
          <t>Cali</t>
        </is>
      </c>
      <c r="D9019" t="inlineStr">
        <is>
          <t>82</t>
        </is>
      </c>
      <c r="E9019" t="inlineStr">
        <is>
          <t>salidas</t>
        </is>
      </c>
      <c r="F9019" s="23" t="n">
        <v>46266</v>
      </c>
      <c r="G9019" s="24">
        <f>F9019-DATE(2026,8,31)</f>
        <v>1</v>
      </c>
      <c r="H9019" s="25" t="n">
        <v>45927282</v>
      </c>
      <c r="I9019" t="inlineStr">
        <is>
          <t>entidad-dia</t>
        </is>
      </c>
    </row>
    <row r="9020">
      <c r="A9020" t="inlineStr">
        <is>
          <t>PRAGMA</t>
        </is>
      </c>
      <c r="B9020" t="inlineStr">
        <is>
          <t>M3</t>
        </is>
      </c>
      <c r="C9020" t="inlineStr">
        <is>
          <t>Cali</t>
        </is>
      </c>
      <c r="D9020" t="inlineStr">
        <is>
          <t>82</t>
        </is>
      </c>
      <c r="E9020" t="inlineStr">
        <is>
          <t>entradas</t>
        </is>
      </c>
      <c r="F9020" s="23" t="n">
        <v>46267</v>
      </c>
      <c r="G9020" s="24">
        <f>F9020-DATE(2026,8,31)</f>
        <v>2</v>
      </c>
      <c r="H9020" s="25" t="n">
        <v>66393159</v>
      </c>
      <c r="I9020" t="inlineStr">
        <is>
          <t>entidad-dia</t>
        </is>
      </c>
    </row>
    <row r="9021">
      <c r="A9021" t="inlineStr">
        <is>
          <t>PRAGMA</t>
        </is>
      </c>
      <c r="B9021" t="inlineStr">
        <is>
          <t>M3</t>
        </is>
      </c>
      <c r="C9021" t="inlineStr">
        <is>
          <t>Cali</t>
        </is>
      </c>
      <c r="D9021" t="inlineStr">
        <is>
          <t>82</t>
        </is>
      </c>
      <c r="E9021" t="inlineStr">
        <is>
          <t>salidas</t>
        </is>
      </c>
      <c r="F9021" s="23" t="n">
        <v>46267</v>
      </c>
      <c r="G9021" s="24">
        <f>F9021-DATE(2026,8,31)</f>
        <v>2</v>
      </c>
      <c r="H9021" s="25" t="n">
        <v>33137494</v>
      </c>
      <c r="I9021" t="inlineStr">
        <is>
          <t>entidad-dia</t>
        </is>
      </c>
    </row>
    <row r="9022">
      <c r="A9022" t="inlineStr">
        <is>
          <t>PRAGMA</t>
        </is>
      </c>
      <c r="B9022" t="inlineStr">
        <is>
          <t>M3</t>
        </is>
      </c>
      <c r="C9022" t="inlineStr">
        <is>
          <t>Cali</t>
        </is>
      </c>
      <c r="D9022" t="inlineStr">
        <is>
          <t>82</t>
        </is>
      </c>
      <c r="E9022" t="inlineStr">
        <is>
          <t>entradas</t>
        </is>
      </c>
      <c r="F9022" s="23" t="n">
        <v>46268</v>
      </c>
      <c r="G9022" s="24">
        <f>F9022-DATE(2026,8,31)</f>
        <v>3</v>
      </c>
      <c r="H9022" s="25" t="n">
        <v>68559446</v>
      </c>
      <c r="I9022" t="inlineStr">
        <is>
          <t>entidad-dia</t>
        </is>
      </c>
    </row>
    <row r="9023">
      <c r="A9023" t="inlineStr">
        <is>
          <t>PRAGMA</t>
        </is>
      </c>
      <c r="B9023" t="inlineStr">
        <is>
          <t>M3</t>
        </is>
      </c>
      <c r="C9023" t="inlineStr">
        <is>
          <t>Cali</t>
        </is>
      </c>
      <c r="D9023" t="inlineStr">
        <is>
          <t>82</t>
        </is>
      </c>
      <c r="E9023" t="inlineStr">
        <is>
          <t>salidas</t>
        </is>
      </c>
      <c r="F9023" s="23" t="n">
        <v>46268</v>
      </c>
      <c r="G9023" s="24">
        <f>F9023-DATE(2026,8,31)</f>
        <v>3</v>
      </c>
      <c r="H9023" s="25" t="n">
        <v>3641685</v>
      </c>
      <c r="I9023" t="inlineStr">
        <is>
          <t>entidad-dia</t>
        </is>
      </c>
    </row>
    <row r="9024">
      <c r="A9024" t="inlineStr">
        <is>
          <t>PRAGMA</t>
        </is>
      </c>
      <c r="B9024" t="inlineStr">
        <is>
          <t>M3</t>
        </is>
      </c>
      <c r="C9024" t="inlineStr">
        <is>
          <t>Cali</t>
        </is>
      </c>
      <c r="D9024" t="inlineStr">
        <is>
          <t>82</t>
        </is>
      </c>
      <c r="E9024" t="inlineStr">
        <is>
          <t>entradas</t>
        </is>
      </c>
      <c r="F9024" s="23" t="n">
        <v>46269</v>
      </c>
      <c r="G9024" s="24">
        <f>F9024-DATE(2026,8,31)</f>
        <v>4</v>
      </c>
      <c r="H9024" s="25" t="n">
        <v>105669667</v>
      </c>
      <c r="I9024" t="inlineStr">
        <is>
          <t>entidad-dia</t>
        </is>
      </c>
    </row>
    <row r="9025">
      <c r="A9025" t="inlineStr">
        <is>
          <t>PRAGMA</t>
        </is>
      </c>
      <c r="B9025" t="inlineStr">
        <is>
          <t>M3</t>
        </is>
      </c>
      <c r="C9025" t="inlineStr">
        <is>
          <t>Cali</t>
        </is>
      </c>
      <c r="D9025" t="inlineStr">
        <is>
          <t>82</t>
        </is>
      </c>
      <c r="E9025" t="inlineStr">
        <is>
          <t>salidas</t>
        </is>
      </c>
      <c r="F9025" s="23" t="n">
        <v>46269</v>
      </c>
      <c r="G9025" s="24">
        <f>F9025-DATE(2026,8,31)</f>
        <v>4</v>
      </c>
      <c r="H9025" s="25" t="n">
        <v>6692371</v>
      </c>
      <c r="I9025" t="inlineStr">
        <is>
          <t>entidad-dia</t>
        </is>
      </c>
    </row>
    <row r="9026">
      <c r="A9026" t="inlineStr">
        <is>
          <t>PRAGMA</t>
        </is>
      </c>
      <c r="B9026" t="inlineStr">
        <is>
          <t>M3</t>
        </is>
      </c>
      <c r="C9026" t="inlineStr">
        <is>
          <t>Cali</t>
        </is>
      </c>
      <c r="D9026" t="inlineStr">
        <is>
          <t>82</t>
        </is>
      </c>
      <c r="E9026" t="inlineStr">
        <is>
          <t>entradas</t>
        </is>
      </c>
      <c r="F9026" s="23" t="n">
        <v>46270</v>
      </c>
      <c r="G9026" s="24">
        <f>F9026-DATE(2026,8,31)</f>
        <v>5</v>
      </c>
      <c r="H9026" s="25" t="n">
        <v>714262</v>
      </c>
      <c r="I9026" t="inlineStr">
        <is>
          <t>entidad-dia</t>
        </is>
      </c>
    </row>
    <row r="9027">
      <c r="A9027" t="inlineStr">
        <is>
          <t>PRAGMA</t>
        </is>
      </c>
      <c r="B9027" t="inlineStr">
        <is>
          <t>M3</t>
        </is>
      </c>
      <c r="C9027" t="inlineStr">
        <is>
          <t>Cali</t>
        </is>
      </c>
      <c r="D9027" t="inlineStr">
        <is>
          <t>82</t>
        </is>
      </c>
      <c r="E9027" t="inlineStr">
        <is>
          <t>salidas</t>
        </is>
      </c>
      <c r="F9027" s="23" t="n">
        <v>46270</v>
      </c>
      <c r="G9027" s="24">
        <f>F9027-DATE(2026,8,31)</f>
        <v>5</v>
      </c>
      <c r="H9027" s="25" t="n">
        <v>0</v>
      </c>
      <c r="I9027" t="inlineStr">
        <is>
          <t>entidad-dia</t>
        </is>
      </c>
    </row>
    <row r="9028">
      <c r="A9028" t="inlineStr">
        <is>
          <t>PRAGMA</t>
        </is>
      </c>
      <c r="B9028" t="inlineStr">
        <is>
          <t>M3</t>
        </is>
      </c>
      <c r="C9028" t="inlineStr">
        <is>
          <t>Cali</t>
        </is>
      </c>
      <c r="D9028" t="inlineStr">
        <is>
          <t>82</t>
        </is>
      </c>
      <c r="E9028" t="inlineStr">
        <is>
          <t>entradas</t>
        </is>
      </c>
      <c r="F9028" s="23" t="n">
        <v>46271</v>
      </c>
      <c r="G9028" s="24">
        <f>F9028-DATE(2026,8,31)</f>
        <v>6</v>
      </c>
      <c r="H9028" s="25" t="n">
        <v>3411418</v>
      </c>
      <c r="I9028" t="inlineStr">
        <is>
          <t>entidad-dia</t>
        </is>
      </c>
    </row>
    <row r="9029">
      <c r="A9029" t="inlineStr">
        <is>
          <t>PRAGMA</t>
        </is>
      </c>
      <c r="B9029" t="inlineStr">
        <is>
          <t>M3</t>
        </is>
      </c>
      <c r="C9029" t="inlineStr">
        <is>
          <t>Cali</t>
        </is>
      </c>
      <c r="D9029" t="inlineStr">
        <is>
          <t>82</t>
        </is>
      </c>
      <c r="E9029" t="inlineStr">
        <is>
          <t>salidas</t>
        </is>
      </c>
      <c r="F9029" s="23" t="n">
        <v>46271</v>
      </c>
      <c r="G9029" s="24">
        <f>F9029-DATE(2026,8,31)</f>
        <v>6</v>
      </c>
      <c r="H9029" s="25" t="n">
        <v>0</v>
      </c>
      <c r="I9029" t="inlineStr">
        <is>
          <t>entidad-dia</t>
        </is>
      </c>
    </row>
    <row r="9030">
      <c r="A9030" t="inlineStr">
        <is>
          <t>PRAGMA</t>
        </is>
      </c>
      <c r="B9030" t="inlineStr">
        <is>
          <t>M3</t>
        </is>
      </c>
      <c r="C9030" t="inlineStr">
        <is>
          <t>Cali</t>
        </is>
      </c>
      <c r="D9030" t="inlineStr">
        <is>
          <t>82</t>
        </is>
      </c>
      <c r="E9030" t="inlineStr">
        <is>
          <t>entradas</t>
        </is>
      </c>
      <c r="F9030" s="23" t="n">
        <v>46272</v>
      </c>
      <c r="G9030" s="24">
        <f>F9030-DATE(2026,8,31)</f>
        <v>7</v>
      </c>
      <c r="H9030" s="25" t="n">
        <v>49831121</v>
      </c>
      <c r="I9030" t="inlineStr">
        <is>
          <t>entidad-dia</t>
        </is>
      </c>
    </row>
    <row r="9031">
      <c r="A9031" t="inlineStr">
        <is>
          <t>PRAGMA</t>
        </is>
      </c>
      <c r="B9031" t="inlineStr">
        <is>
          <t>M3</t>
        </is>
      </c>
      <c r="C9031" t="inlineStr">
        <is>
          <t>Cali</t>
        </is>
      </c>
      <c r="D9031" t="inlineStr">
        <is>
          <t>82</t>
        </is>
      </c>
      <c r="E9031" t="inlineStr">
        <is>
          <t>salidas</t>
        </is>
      </c>
      <c r="F9031" s="23" t="n">
        <v>46272</v>
      </c>
      <c r="G9031" s="24">
        <f>F9031-DATE(2026,8,31)</f>
        <v>7</v>
      </c>
      <c r="H9031" s="25" t="n">
        <v>7888246</v>
      </c>
      <c r="I9031" t="inlineStr">
        <is>
          <t>entidad-dia</t>
        </is>
      </c>
    </row>
    <row r="9032">
      <c r="A9032" t="inlineStr">
        <is>
          <t>PRAGMA</t>
        </is>
      </c>
      <c r="B9032" t="inlineStr">
        <is>
          <t>M3</t>
        </is>
      </c>
      <c r="C9032" t="inlineStr">
        <is>
          <t>Cali</t>
        </is>
      </c>
      <c r="D9032" t="inlineStr">
        <is>
          <t>82</t>
        </is>
      </c>
      <c r="E9032" t="inlineStr">
        <is>
          <t>entradas</t>
        </is>
      </c>
      <c r="F9032" s="23" t="n">
        <v>46273</v>
      </c>
      <c r="G9032" s="24">
        <f>F9032-DATE(2026,8,31)</f>
        <v>8</v>
      </c>
      <c r="H9032" s="25" t="n">
        <v>106011082</v>
      </c>
      <c r="I9032" t="inlineStr">
        <is>
          <t>entidad-dia</t>
        </is>
      </c>
    </row>
    <row r="9033">
      <c r="A9033" t="inlineStr">
        <is>
          <t>PRAGMA</t>
        </is>
      </c>
      <c r="B9033" t="inlineStr">
        <is>
          <t>M3</t>
        </is>
      </c>
      <c r="C9033" t="inlineStr">
        <is>
          <t>Cali</t>
        </is>
      </c>
      <c r="D9033" t="inlineStr">
        <is>
          <t>82</t>
        </is>
      </c>
      <c r="E9033" t="inlineStr">
        <is>
          <t>salidas</t>
        </is>
      </c>
      <c r="F9033" s="23" t="n">
        <v>46273</v>
      </c>
      <c r="G9033" s="24">
        <f>F9033-DATE(2026,8,31)</f>
        <v>8</v>
      </c>
      <c r="H9033" s="25" t="n">
        <v>8273215</v>
      </c>
      <c r="I9033" t="inlineStr">
        <is>
          <t>entidad-dia</t>
        </is>
      </c>
    </row>
    <row r="9034">
      <c r="A9034" t="inlineStr">
        <is>
          <t>PRAGMA</t>
        </is>
      </c>
      <c r="B9034" t="inlineStr">
        <is>
          <t>M3</t>
        </is>
      </c>
      <c r="C9034" t="inlineStr">
        <is>
          <t>Cali</t>
        </is>
      </c>
      <c r="D9034" t="inlineStr">
        <is>
          <t>82</t>
        </is>
      </c>
      <c r="E9034" t="inlineStr">
        <is>
          <t>entradas</t>
        </is>
      </c>
      <c r="F9034" s="23" t="n">
        <v>46274</v>
      </c>
      <c r="G9034" s="24">
        <f>F9034-DATE(2026,8,31)</f>
        <v>9</v>
      </c>
      <c r="H9034" s="25" t="n">
        <v>58741129</v>
      </c>
      <c r="I9034" t="inlineStr">
        <is>
          <t>entidad-dia</t>
        </is>
      </c>
    </row>
    <row r="9035">
      <c r="A9035" t="inlineStr">
        <is>
          <t>PRAGMA</t>
        </is>
      </c>
      <c r="B9035" t="inlineStr">
        <is>
          <t>M3</t>
        </is>
      </c>
      <c r="C9035" t="inlineStr">
        <is>
          <t>Cali</t>
        </is>
      </c>
      <c r="D9035" t="inlineStr">
        <is>
          <t>82</t>
        </is>
      </c>
      <c r="E9035" t="inlineStr">
        <is>
          <t>salidas</t>
        </is>
      </c>
      <c r="F9035" s="23" t="n">
        <v>46274</v>
      </c>
      <c r="G9035" s="24">
        <f>F9035-DATE(2026,8,31)</f>
        <v>9</v>
      </c>
      <c r="H9035" s="25" t="n">
        <v>2097774</v>
      </c>
      <c r="I9035" t="inlineStr">
        <is>
          <t>entidad-dia</t>
        </is>
      </c>
    </row>
    <row r="9036">
      <c r="A9036" t="inlineStr">
        <is>
          <t>PRAGMA</t>
        </is>
      </c>
      <c r="B9036" t="inlineStr">
        <is>
          <t>M3</t>
        </is>
      </c>
      <c r="C9036" t="inlineStr">
        <is>
          <t>Cali</t>
        </is>
      </c>
      <c r="D9036" t="inlineStr">
        <is>
          <t>82</t>
        </is>
      </c>
      <c r="E9036" t="inlineStr">
        <is>
          <t>entradas</t>
        </is>
      </c>
      <c r="F9036" s="23" t="n">
        <v>46275</v>
      </c>
      <c r="G9036" s="24">
        <f>F9036-DATE(2026,8,31)</f>
        <v>10</v>
      </c>
      <c r="H9036" s="25" t="n">
        <v>50621247</v>
      </c>
      <c r="I9036" t="inlineStr">
        <is>
          <t>entidad-dia</t>
        </is>
      </c>
    </row>
    <row r="9037">
      <c r="A9037" t="inlineStr">
        <is>
          <t>PRAGMA</t>
        </is>
      </c>
      <c r="B9037" t="inlineStr">
        <is>
          <t>M3</t>
        </is>
      </c>
      <c r="C9037" t="inlineStr">
        <is>
          <t>Cali</t>
        </is>
      </c>
      <c r="D9037" t="inlineStr">
        <is>
          <t>82</t>
        </is>
      </c>
      <c r="E9037" t="inlineStr">
        <is>
          <t>salidas</t>
        </is>
      </c>
      <c r="F9037" s="23" t="n">
        <v>46275</v>
      </c>
      <c r="G9037" s="24">
        <f>F9037-DATE(2026,8,31)</f>
        <v>10</v>
      </c>
      <c r="H9037" s="25" t="n">
        <v>0</v>
      </c>
      <c r="I9037" t="inlineStr">
        <is>
          <t>entidad-dia</t>
        </is>
      </c>
    </row>
    <row r="9038">
      <c r="A9038" t="inlineStr">
        <is>
          <t>PRAGMA</t>
        </is>
      </c>
      <c r="B9038" t="inlineStr">
        <is>
          <t>M3</t>
        </is>
      </c>
      <c r="C9038" t="inlineStr">
        <is>
          <t>Cali</t>
        </is>
      </c>
      <c r="D9038" t="inlineStr">
        <is>
          <t>82</t>
        </is>
      </c>
      <c r="E9038" t="inlineStr">
        <is>
          <t>entradas</t>
        </is>
      </c>
      <c r="F9038" s="23" t="n">
        <v>46276</v>
      </c>
      <c r="G9038" s="24">
        <f>F9038-DATE(2026,8,31)</f>
        <v>11</v>
      </c>
      <c r="H9038" s="25" t="n">
        <v>110017739</v>
      </c>
      <c r="I9038" t="inlineStr">
        <is>
          <t>entidad-dia</t>
        </is>
      </c>
    </row>
    <row r="9039">
      <c r="A9039" t="inlineStr">
        <is>
          <t>PRAGMA</t>
        </is>
      </c>
      <c r="B9039" t="inlineStr">
        <is>
          <t>M3</t>
        </is>
      </c>
      <c r="C9039" t="inlineStr">
        <is>
          <t>Cali</t>
        </is>
      </c>
      <c r="D9039" t="inlineStr">
        <is>
          <t>82</t>
        </is>
      </c>
      <c r="E9039" t="inlineStr">
        <is>
          <t>salidas</t>
        </is>
      </c>
      <c r="F9039" s="23" t="n">
        <v>46276</v>
      </c>
      <c r="G9039" s="24">
        <f>F9039-DATE(2026,8,31)</f>
        <v>11</v>
      </c>
      <c r="H9039" s="25" t="n">
        <v>0</v>
      </c>
      <c r="I9039" t="inlineStr">
        <is>
          <t>entidad-dia</t>
        </is>
      </c>
    </row>
    <row r="9040">
      <c r="A9040" t="inlineStr">
        <is>
          <t>PRAGMA</t>
        </is>
      </c>
      <c r="B9040" t="inlineStr">
        <is>
          <t>M3</t>
        </is>
      </c>
      <c r="C9040" t="inlineStr">
        <is>
          <t>Cali</t>
        </is>
      </c>
      <c r="D9040" t="inlineStr">
        <is>
          <t>82</t>
        </is>
      </c>
      <c r="E9040" t="inlineStr">
        <is>
          <t>entradas</t>
        </is>
      </c>
      <c r="F9040" s="23" t="n">
        <v>46277</v>
      </c>
      <c r="G9040" s="24">
        <f>F9040-DATE(2026,8,31)</f>
        <v>12</v>
      </c>
      <c r="H9040" s="25" t="n">
        <v>3716423</v>
      </c>
      <c r="I9040" t="inlineStr">
        <is>
          <t>entidad-dia</t>
        </is>
      </c>
    </row>
    <row r="9041">
      <c r="A9041" t="inlineStr">
        <is>
          <t>PRAGMA</t>
        </is>
      </c>
      <c r="B9041" t="inlineStr">
        <is>
          <t>M3</t>
        </is>
      </c>
      <c r="C9041" t="inlineStr">
        <is>
          <t>Cali</t>
        </is>
      </c>
      <c r="D9041" t="inlineStr">
        <is>
          <t>82</t>
        </is>
      </c>
      <c r="E9041" t="inlineStr">
        <is>
          <t>salidas</t>
        </is>
      </c>
      <c r="F9041" s="23" t="n">
        <v>46277</v>
      </c>
      <c r="G9041" s="24">
        <f>F9041-DATE(2026,8,31)</f>
        <v>12</v>
      </c>
      <c r="H9041" s="25" t="n">
        <v>104006</v>
      </c>
      <c r="I9041" t="inlineStr">
        <is>
          <t>entidad-dia</t>
        </is>
      </c>
    </row>
    <row r="9042">
      <c r="A9042" t="inlineStr">
        <is>
          <t>PRAGMA</t>
        </is>
      </c>
      <c r="B9042" t="inlineStr">
        <is>
          <t>M3</t>
        </is>
      </c>
      <c r="C9042" t="inlineStr">
        <is>
          <t>Cali</t>
        </is>
      </c>
      <c r="D9042" t="inlineStr">
        <is>
          <t>82</t>
        </is>
      </c>
      <c r="E9042" t="inlineStr">
        <is>
          <t>entradas</t>
        </is>
      </c>
      <c r="F9042" s="23" t="n">
        <v>46278</v>
      </c>
      <c r="G9042" s="24">
        <f>F9042-DATE(2026,8,31)</f>
        <v>13</v>
      </c>
      <c r="H9042" s="25" t="n">
        <v>4698292</v>
      </c>
      <c r="I9042" t="inlineStr">
        <is>
          <t>entidad-dia</t>
        </is>
      </c>
    </row>
    <row r="9043">
      <c r="A9043" t="inlineStr">
        <is>
          <t>PRAGMA</t>
        </is>
      </c>
      <c r="B9043" t="inlineStr">
        <is>
          <t>M3</t>
        </is>
      </c>
      <c r="C9043" t="inlineStr">
        <is>
          <t>Cali</t>
        </is>
      </c>
      <c r="D9043" t="inlineStr">
        <is>
          <t>82</t>
        </is>
      </c>
      <c r="E9043" t="inlineStr">
        <is>
          <t>salidas</t>
        </is>
      </c>
      <c r="F9043" s="23" t="n">
        <v>46278</v>
      </c>
      <c r="G9043" s="24">
        <f>F9043-DATE(2026,8,31)</f>
        <v>13</v>
      </c>
      <c r="H9043" s="25" t="n">
        <v>0</v>
      </c>
      <c r="I9043" t="inlineStr">
        <is>
          <t>entidad-dia</t>
        </is>
      </c>
    </row>
    <row r="9044">
      <c r="A9044" t="inlineStr">
        <is>
          <t>PRAGMA</t>
        </is>
      </c>
      <c r="B9044" t="inlineStr">
        <is>
          <t>M3</t>
        </is>
      </c>
      <c r="C9044" t="inlineStr">
        <is>
          <t>Cali</t>
        </is>
      </c>
      <c r="D9044" t="inlineStr">
        <is>
          <t>82</t>
        </is>
      </c>
      <c r="E9044" t="inlineStr">
        <is>
          <t>entradas</t>
        </is>
      </c>
      <c r="F9044" s="23" t="n">
        <v>46279</v>
      </c>
      <c r="G9044" s="24">
        <f>F9044-DATE(2026,8,31)</f>
        <v>14</v>
      </c>
      <c r="H9044" s="25" t="n">
        <v>41843544</v>
      </c>
      <c r="I9044" t="inlineStr">
        <is>
          <t>entidad-dia</t>
        </is>
      </c>
    </row>
    <row r="9045">
      <c r="A9045" t="inlineStr">
        <is>
          <t>PRAGMA</t>
        </is>
      </c>
      <c r="B9045" t="inlineStr">
        <is>
          <t>M3</t>
        </is>
      </c>
      <c r="C9045" t="inlineStr">
        <is>
          <t>Cali</t>
        </is>
      </c>
      <c r="D9045" t="inlineStr">
        <is>
          <t>82</t>
        </is>
      </c>
      <c r="E9045" t="inlineStr">
        <is>
          <t>salidas</t>
        </is>
      </c>
      <c r="F9045" s="23" t="n">
        <v>46279</v>
      </c>
      <c r="G9045" s="24">
        <f>F9045-DATE(2026,8,31)</f>
        <v>14</v>
      </c>
      <c r="H9045" s="25" t="n">
        <v>8500761</v>
      </c>
      <c r="I9045" t="inlineStr">
        <is>
          <t>entidad-dia</t>
        </is>
      </c>
    </row>
    <row r="9046">
      <c r="A9046" t="inlineStr">
        <is>
          <t>PRAGMA</t>
        </is>
      </c>
      <c r="B9046" t="inlineStr">
        <is>
          <t>M3</t>
        </is>
      </c>
      <c r="C9046" t="inlineStr">
        <is>
          <t>Cali</t>
        </is>
      </c>
      <c r="D9046" t="inlineStr">
        <is>
          <t>82</t>
        </is>
      </c>
      <c r="E9046" t="inlineStr">
        <is>
          <t>entradas</t>
        </is>
      </c>
      <c r="F9046" s="23" t="n">
        <v>46280</v>
      </c>
      <c r="G9046" s="24">
        <f>F9046-DATE(2026,8,31)</f>
        <v>15</v>
      </c>
      <c r="H9046" s="25" t="n">
        <v>98144100</v>
      </c>
      <c r="I9046" t="inlineStr">
        <is>
          <t>entidad-dia</t>
        </is>
      </c>
    </row>
    <row r="9047">
      <c r="A9047" t="inlineStr">
        <is>
          <t>PRAGMA</t>
        </is>
      </c>
      <c r="B9047" t="inlineStr">
        <is>
          <t>M3</t>
        </is>
      </c>
      <c r="C9047" t="inlineStr">
        <is>
          <t>Cali</t>
        </is>
      </c>
      <c r="D9047" t="inlineStr">
        <is>
          <t>82</t>
        </is>
      </c>
      <c r="E9047" t="inlineStr">
        <is>
          <t>salidas</t>
        </is>
      </c>
      <c r="F9047" s="23" t="n">
        <v>46280</v>
      </c>
      <c r="G9047" s="24">
        <f>F9047-DATE(2026,8,31)</f>
        <v>15</v>
      </c>
      <c r="H9047" s="25" t="n">
        <v>19471943</v>
      </c>
      <c r="I9047" t="inlineStr">
        <is>
          <t>entidad-dia</t>
        </is>
      </c>
    </row>
    <row r="9048">
      <c r="A9048" t="inlineStr">
        <is>
          <t>PRAGMA</t>
        </is>
      </c>
      <c r="B9048" t="inlineStr">
        <is>
          <t>M3</t>
        </is>
      </c>
      <c r="C9048" t="inlineStr">
        <is>
          <t>Cali</t>
        </is>
      </c>
      <c r="D9048" t="inlineStr">
        <is>
          <t>824</t>
        </is>
      </c>
      <c r="E9048" t="inlineStr">
        <is>
          <t>entradas</t>
        </is>
      </c>
      <c r="F9048" s="23" t="n">
        <v>46266</v>
      </c>
      <c r="G9048" s="24">
        <f>F9048-DATE(2026,8,31)</f>
        <v>1</v>
      </c>
      <c r="H9048" s="25" t="n">
        <v>31516148</v>
      </c>
      <c r="I9048" t="inlineStr">
        <is>
          <t>entidad-dia</t>
        </is>
      </c>
    </row>
    <row r="9049">
      <c r="A9049" t="inlineStr">
        <is>
          <t>PRAGMA</t>
        </is>
      </c>
      <c r="B9049" t="inlineStr">
        <is>
          <t>M3</t>
        </is>
      </c>
      <c r="C9049" t="inlineStr">
        <is>
          <t>Cali</t>
        </is>
      </c>
      <c r="D9049" t="inlineStr">
        <is>
          <t>824</t>
        </is>
      </c>
      <c r="E9049" t="inlineStr">
        <is>
          <t>salidas</t>
        </is>
      </c>
      <c r="F9049" s="23" t="n">
        <v>46266</v>
      </c>
      <c r="G9049" s="24">
        <f>F9049-DATE(2026,8,31)</f>
        <v>1</v>
      </c>
      <c r="H9049" s="25" t="n">
        <v>13307024</v>
      </c>
      <c r="I9049" t="inlineStr">
        <is>
          <t>entidad-dia</t>
        </is>
      </c>
    </row>
    <row r="9050">
      <c r="A9050" t="inlineStr">
        <is>
          <t>PRAGMA</t>
        </is>
      </c>
      <c r="B9050" t="inlineStr">
        <is>
          <t>M3</t>
        </is>
      </c>
      <c r="C9050" t="inlineStr">
        <is>
          <t>Cali</t>
        </is>
      </c>
      <c r="D9050" t="inlineStr">
        <is>
          <t>824</t>
        </is>
      </c>
      <c r="E9050" t="inlineStr">
        <is>
          <t>entradas</t>
        </is>
      </c>
      <c r="F9050" s="23" t="n">
        <v>46267</v>
      </c>
      <c r="G9050" s="24">
        <f>F9050-DATE(2026,8,31)</f>
        <v>2</v>
      </c>
      <c r="H9050" s="25" t="n">
        <v>29208100</v>
      </c>
      <c r="I9050" t="inlineStr">
        <is>
          <t>entidad-dia</t>
        </is>
      </c>
    </row>
    <row r="9051">
      <c r="A9051" t="inlineStr">
        <is>
          <t>PRAGMA</t>
        </is>
      </c>
      <c r="B9051" t="inlineStr">
        <is>
          <t>M3</t>
        </is>
      </c>
      <c r="C9051" t="inlineStr">
        <is>
          <t>Cali</t>
        </is>
      </c>
      <c r="D9051" t="inlineStr">
        <is>
          <t>824</t>
        </is>
      </c>
      <c r="E9051" t="inlineStr">
        <is>
          <t>salidas</t>
        </is>
      </c>
      <c r="F9051" s="23" t="n">
        <v>46267</v>
      </c>
      <c r="G9051" s="24">
        <f>F9051-DATE(2026,8,31)</f>
        <v>2</v>
      </c>
      <c r="H9051" s="25" t="n">
        <v>11904350</v>
      </c>
      <c r="I9051" t="inlineStr">
        <is>
          <t>entidad-dia</t>
        </is>
      </c>
    </row>
    <row r="9052">
      <c r="A9052" t="inlineStr">
        <is>
          <t>PRAGMA</t>
        </is>
      </c>
      <c r="B9052" t="inlineStr">
        <is>
          <t>M3</t>
        </is>
      </c>
      <c r="C9052" t="inlineStr">
        <is>
          <t>Cali</t>
        </is>
      </c>
      <c r="D9052" t="inlineStr">
        <is>
          <t>824</t>
        </is>
      </c>
      <c r="E9052" t="inlineStr">
        <is>
          <t>entradas</t>
        </is>
      </c>
      <c r="F9052" s="23" t="n">
        <v>46268</v>
      </c>
      <c r="G9052" s="24">
        <f>F9052-DATE(2026,8,31)</f>
        <v>3</v>
      </c>
      <c r="H9052" s="25" t="n">
        <v>23705965</v>
      </c>
      <c r="I9052" t="inlineStr">
        <is>
          <t>entidad-dia</t>
        </is>
      </c>
    </row>
    <row r="9053">
      <c r="A9053" t="inlineStr">
        <is>
          <t>PRAGMA</t>
        </is>
      </c>
      <c r="B9053" t="inlineStr">
        <is>
          <t>M3</t>
        </is>
      </c>
      <c r="C9053" t="inlineStr">
        <is>
          <t>Cali</t>
        </is>
      </c>
      <c r="D9053" t="inlineStr">
        <is>
          <t>824</t>
        </is>
      </c>
      <c r="E9053" t="inlineStr">
        <is>
          <t>salidas</t>
        </is>
      </c>
      <c r="F9053" s="23" t="n">
        <v>46268</v>
      </c>
      <c r="G9053" s="24">
        <f>F9053-DATE(2026,8,31)</f>
        <v>3</v>
      </c>
      <c r="H9053" s="25" t="n">
        <v>6086826</v>
      </c>
      <c r="I9053" t="inlineStr">
        <is>
          <t>entidad-dia</t>
        </is>
      </c>
    </row>
    <row r="9054">
      <c r="A9054" t="inlineStr">
        <is>
          <t>PRAGMA</t>
        </is>
      </c>
      <c r="B9054" t="inlineStr">
        <is>
          <t>M3</t>
        </is>
      </c>
      <c r="C9054" t="inlineStr">
        <is>
          <t>Cali</t>
        </is>
      </c>
      <c r="D9054" t="inlineStr">
        <is>
          <t>824</t>
        </is>
      </c>
      <c r="E9054" t="inlineStr">
        <is>
          <t>entradas</t>
        </is>
      </c>
      <c r="F9054" s="23" t="n">
        <v>46269</v>
      </c>
      <c r="G9054" s="24">
        <f>F9054-DATE(2026,8,31)</f>
        <v>4</v>
      </c>
      <c r="H9054" s="25" t="n">
        <v>26667776</v>
      </c>
      <c r="I9054" t="inlineStr">
        <is>
          <t>entidad-dia</t>
        </is>
      </c>
    </row>
    <row r="9055">
      <c r="A9055" t="inlineStr">
        <is>
          <t>PRAGMA</t>
        </is>
      </c>
      <c r="B9055" t="inlineStr">
        <is>
          <t>M3</t>
        </is>
      </c>
      <c r="C9055" t="inlineStr">
        <is>
          <t>Cali</t>
        </is>
      </c>
      <c r="D9055" t="inlineStr">
        <is>
          <t>824</t>
        </is>
      </c>
      <c r="E9055" t="inlineStr">
        <is>
          <t>salidas</t>
        </is>
      </c>
      <c r="F9055" s="23" t="n">
        <v>46269</v>
      </c>
      <c r="G9055" s="24">
        <f>F9055-DATE(2026,8,31)</f>
        <v>4</v>
      </c>
      <c r="H9055" s="25" t="n">
        <v>20228138</v>
      </c>
      <c r="I9055" t="inlineStr">
        <is>
          <t>entidad-dia</t>
        </is>
      </c>
    </row>
    <row r="9056">
      <c r="A9056" t="inlineStr">
        <is>
          <t>PRAGMA</t>
        </is>
      </c>
      <c r="B9056" t="inlineStr">
        <is>
          <t>M3</t>
        </is>
      </c>
      <c r="C9056" t="inlineStr">
        <is>
          <t>Cali</t>
        </is>
      </c>
      <c r="D9056" t="inlineStr">
        <is>
          <t>824</t>
        </is>
      </c>
      <c r="E9056" t="inlineStr">
        <is>
          <t>entradas</t>
        </is>
      </c>
      <c r="F9056" s="23" t="n">
        <v>46270</v>
      </c>
      <c r="G9056" s="24">
        <f>F9056-DATE(2026,8,31)</f>
        <v>5</v>
      </c>
      <c r="H9056" s="25" t="n">
        <v>49031</v>
      </c>
      <c r="I9056" t="inlineStr">
        <is>
          <t>entidad-dia</t>
        </is>
      </c>
    </row>
    <row r="9057">
      <c r="A9057" t="inlineStr">
        <is>
          <t>PRAGMA</t>
        </is>
      </c>
      <c r="B9057" t="inlineStr">
        <is>
          <t>M3</t>
        </is>
      </c>
      <c r="C9057" t="inlineStr">
        <is>
          <t>Cali</t>
        </is>
      </c>
      <c r="D9057" t="inlineStr">
        <is>
          <t>824</t>
        </is>
      </c>
      <c r="E9057" t="inlineStr">
        <is>
          <t>salidas</t>
        </is>
      </c>
      <c r="F9057" s="23" t="n">
        <v>46270</v>
      </c>
      <c r="G9057" s="24">
        <f>F9057-DATE(2026,8,31)</f>
        <v>5</v>
      </c>
      <c r="H9057" s="25" t="n">
        <v>0</v>
      </c>
      <c r="I9057" t="inlineStr">
        <is>
          <t>entidad-dia</t>
        </is>
      </c>
    </row>
    <row r="9058">
      <c r="A9058" t="inlineStr">
        <is>
          <t>PRAGMA</t>
        </is>
      </c>
      <c r="B9058" t="inlineStr">
        <is>
          <t>M3</t>
        </is>
      </c>
      <c r="C9058" t="inlineStr">
        <is>
          <t>Cali</t>
        </is>
      </c>
      <c r="D9058" t="inlineStr">
        <is>
          <t>824</t>
        </is>
      </c>
      <c r="E9058" t="inlineStr">
        <is>
          <t>entradas</t>
        </is>
      </c>
      <c r="F9058" s="23" t="n">
        <v>46271</v>
      </c>
      <c r="G9058" s="24">
        <f>F9058-DATE(2026,8,31)</f>
        <v>6</v>
      </c>
      <c r="H9058" s="25" t="n">
        <v>2787</v>
      </c>
      <c r="I9058" t="inlineStr">
        <is>
          <t>entidad-dia</t>
        </is>
      </c>
    </row>
    <row r="9059">
      <c r="A9059" t="inlineStr">
        <is>
          <t>PRAGMA</t>
        </is>
      </c>
      <c r="B9059" t="inlineStr">
        <is>
          <t>M3</t>
        </is>
      </c>
      <c r="C9059" t="inlineStr">
        <is>
          <t>Cali</t>
        </is>
      </c>
      <c r="D9059" t="inlineStr">
        <is>
          <t>824</t>
        </is>
      </c>
      <c r="E9059" t="inlineStr">
        <is>
          <t>salidas</t>
        </is>
      </c>
      <c r="F9059" s="23" t="n">
        <v>46271</v>
      </c>
      <c r="G9059" s="24">
        <f>F9059-DATE(2026,8,31)</f>
        <v>6</v>
      </c>
      <c r="H9059" s="25" t="n">
        <v>0</v>
      </c>
      <c r="I9059" t="inlineStr">
        <is>
          <t>entidad-dia</t>
        </is>
      </c>
    </row>
    <row r="9060">
      <c r="A9060" t="inlineStr">
        <is>
          <t>PRAGMA</t>
        </is>
      </c>
      <c r="B9060" t="inlineStr">
        <is>
          <t>M3</t>
        </is>
      </c>
      <c r="C9060" t="inlineStr">
        <is>
          <t>Cali</t>
        </is>
      </c>
      <c r="D9060" t="inlineStr">
        <is>
          <t>824</t>
        </is>
      </c>
      <c r="E9060" t="inlineStr">
        <is>
          <t>entradas</t>
        </is>
      </c>
      <c r="F9060" s="23" t="n">
        <v>46272</v>
      </c>
      <c r="G9060" s="24">
        <f>F9060-DATE(2026,8,31)</f>
        <v>7</v>
      </c>
      <c r="H9060" s="25" t="n">
        <v>31673618</v>
      </c>
      <c r="I9060" t="inlineStr">
        <is>
          <t>entidad-dia</t>
        </is>
      </c>
    </row>
    <row r="9061">
      <c r="A9061" t="inlineStr">
        <is>
          <t>PRAGMA</t>
        </is>
      </c>
      <c r="B9061" t="inlineStr">
        <is>
          <t>M3</t>
        </is>
      </c>
      <c r="C9061" t="inlineStr">
        <is>
          <t>Cali</t>
        </is>
      </c>
      <c r="D9061" t="inlineStr">
        <is>
          <t>824</t>
        </is>
      </c>
      <c r="E9061" t="inlineStr">
        <is>
          <t>salidas</t>
        </is>
      </c>
      <c r="F9061" s="23" t="n">
        <v>46272</v>
      </c>
      <c r="G9061" s="24">
        <f>F9061-DATE(2026,8,31)</f>
        <v>7</v>
      </c>
      <c r="H9061" s="25" t="n">
        <v>11467865</v>
      </c>
      <c r="I9061" t="inlineStr">
        <is>
          <t>entidad-dia</t>
        </is>
      </c>
    </row>
    <row r="9062">
      <c r="A9062" t="inlineStr">
        <is>
          <t>PRAGMA</t>
        </is>
      </c>
      <c r="B9062" t="inlineStr">
        <is>
          <t>M3</t>
        </is>
      </c>
      <c r="C9062" t="inlineStr">
        <is>
          <t>Cali</t>
        </is>
      </c>
      <c r="D9062" t="inlineStr">
        <is>
          <t>824</t>
        </is>
      </c>
      <c r="E9062" t="inlineStr">
        <is>
          <t>entradas</t>
        </is>
      </c>
      <c r="F9062" s="23" t="n">
        <v>46273</v>
      </c>
      <c r="G9062" s="24">
        <f>F9062-DATE(2026,8,31)</f>
        <v>8</v>
      </c>
      <c r="H9062" s="25" t="n">
        <v>29650415</v>
      </c>
      <c r="I9062" t="inlineStr">
        <is>
          <t>entidad-dia</t>
        </is>
      </c>
    </row>
    <row r="9063">
      <c r="A9063" t="inlineStr">
        <is>
          <t>PRAGMA</t>
        </is>
      </c>
      <c r="B9063" t="inlineStr">
        <is>
          <t>M3</t>
        </is>
      </c>
      <c r="C9063" t="inlineStr">
        <is>
          <t>Cali</t>
        </is>
      </c>
      <c r="D9063" t="inlineStr">
        <is>
          <t>824</t>
        </is>
      </c>
      <c r="E9063" t="inlineStr">
        <is>
          <t>salidas</t>
        </is>
      </c>
      <c r="F9063" s="23" t="n">
        <v>46273</v>
      </c>
      <c r="G9063" s="24">
        <f>F9063-DATE(2026,8,31)</f>
        <v>8</v>
      </c>
      <c r="H9063" s="25" t="n">
        <v>11314442</v>
      </c>
      <c r="I9063" t="inlineStr">
        <is>
          <t>entidad-dia</t>
        </is>
      </c>
    </row>
    <row r="9064">
      <c r="A9064" t="inlineStr">
        <is>
          <t>PRAGMA</t>
        </is>
      </c>
      <c r="B9064" t="inlineStr">
        <is>
          <t>M3</t>
        </is>
      </c>
      <c r="C9064" t="inlineStr">
        <is>
          <t>Cali</t>
        </is>
      </c>
      <c r="D9064" t="inlineStr">
        <is>
          <t>824</t>
        </is>
      </c>
      <c r="E9064" t="inlineStr">
        <is>
          <t>entradas</t>
        </is>
      </c>
      <c r="F9064" s="23" t="n">
        <v>46274</v>
      </c>
      <c r="G9064" s="24">
        <f>F9064-DATE(2026,8,31)</f>
        <v>9</v>
      </c>
      <c r="H9064" s="25" t="n">
        <v>29480072</v>
      </c>
      <c r="I9064" t="inlineStr">
        <is>
          <t>entidad-dia</t>
        </is>
      </c>
    </row>
    <row r="9065">
      <c r="A9065" t="inlineStr">
        <is>
          <t>PRAGMA</t>
        </is>
      </c>
      <c r="B9065" t="inlineStr">
        <is>
          <t>M3</t>
        </is>
      </c>
      <c r="C9065" t="inlineStr">
        <is>
          <t>Cali</t>
        </is>
      </c>
      <c r="D9065" t="inlineStr">
        <is>
          <t>824</t>
        </is>
      </c>
      <c r="E9065" t="inlineStr">
        <is>
          <t>salidas</t>
        </is>
      </c>
      <c r="F9065" s="23" t="n">
        <v>46274</v>
      </c>
      <c r="G9065" s="24">
        <f>F9065-DATE(2026,8,31)</f>
        <v>9</v>
      </c>
      <c r="H9065" s="25" t="n">
        <v>10954451</v>
      </c>
      <c r="I9065" t="inlineStr">
        <is>
          <t>entidad-dia</t>
        </is>
      </c>
    </row>
    <row r="9066">
      <c r="A9066" t="inlineStr">
        <is>
          <t>PRAGMA</t>
        </is>
      </c>
      <c r="B9066" t="inlineStr">
        <is>
          <t>M3</t>
        </is>
      </c>
      <c r="C9066" t="inlineStr">
        <is>
          <t>Cali</t>
        </is>
      </c>
      <c r="D9066" t="inlineStr">
        <is>
          <t>824</t>
        </is>
      </c>
      <c r="E9066" t="inlineStr">
        <is>
          <t>entradas</t>
        </is>
      </c>
      <c r="F9066" s="23" t="n">
        <v>46275</v>
      </c>
      <c r="G9066" s="24">
        <f>F9066-DATE(2026,8,31)</f>
        <v>10</v>
      </c>
      <c r="H9066" s="25" t="n">
        <v>22280982</v>
      </c>
      <c r="I9066" t="inlineStr">
        <is>
          <t>entidad-dia</t>
        </is>
      </c>
    </row>
    <row r="9067">
      <c r="A9067" t="inlineStr">
        <is>
          <t>PRAGMA</t>
        </is>
      </c>
      <c r="B9067" t="inlineStr">
        <is>
          <t>M3</t>
        </is>
      </c>
      <c r="C9067" t="inlineStr">
        <is>
          <t>Cali</t>
        </is>
      </c>
      <c r="D9067" t="inlineStr">
        <is>
          <t>824</t>
        </is>
      </c>
      <c r="E9067" t="inlineStr">
        <is>
          <t>salidas</t>
        </is>
      </c>
      <c r="F9067" s="23" t="n">
        <v>46275</v>
      </c>
      <c r="G9067" s="24">
        <f>F9067-DATE(2026,8,31)</f>
        <v>10</v>
      </c>
      <c r="H9067" s="25" t="n">
        <v>10187072</v>
      </c>
      <c r="I9067" t="inlineStr">
        <is>
          <t>entidad-dia</t>
        </is>
      </c>
    </row>
    <row r="9068">
      <c r="A9068" t="inlineStr">
        <is>
          <t>PRAGMA</t>
        </is>
      </c>
      <c r="B9068" t="inlineStr">
        <is>
          <t>M3</t>
        </is>
      </c>
      <c r="C9068" t="inlineStr">
        <is>
          <t>Cali</t>
        </is>
      </c>
      <c r="D9068" t="inlineStr">
        <is>
          <t>824</t>
        </is>
      </c>
      <c r="E9068" t="inlineStr">
        <is>
          <t>entradas</t>
        </is>
      </c>
      <c r="F9068" s="23" t="n">
        <v>46276</v>
      </c>
      <c r="G9068" s="24">
        <f>F9068-DATE(2026,8,31)</f>
        <v>11</v>
      </c>
      <c r="H9068" s="25" t="n">
        <v>24572875</v>
      </c>
      <c r="I9068" t="inlineStr">
        <is>
          <t>entidad-dia</t>
        </is>
      </c>
    </row>
    <row r="9069">
      <c r="A9069" t="inlineStr">
        <is>
          <t>PRAGMA</t>
        </is>
      </c>
      <c r="B9069" t="inlineStr">
        <is>
          <t>M3</t>
        </is>
      </c>
      <c r="C9069" t="inlineStr">
        <is>
          <t>Cali</t>
        </is>
      </c>
      <c r="D9069" t="inlineStr">
        <is>
          <t>824</t>
        </is>
      </c>
      <c r="E9069" t="inlineStr">
        <is>
          <t>salidas</t>
        </is>
      </c>
      <c r="F9069" s="23" t="n">
        <v>46276</v>
      </c>
      <c r="G9069" s="24">
        <f>F9069-DATE(2026,8,31)</f>
        <v>11</v>
      </c>
      <c r="H9069" s="25" t="n">
        <v>17367084</v>
      </c>
      <c r="I9069" t="inlineStr">
        <is>
          <t>entidad-dia</t>
        </is>
      </c>
    </row>
    <row r="9070">
      <c r="A9070" t="inlineStr">
        <is>
          <t>PRAGMA</t>
        </is>
      </c>
      <c r="B9070" t="inlineStr">
        <is>
          <t>M3</t>
        </is>
      </c>
      <c r="C9070" t="inlineStr">
        <is>
          <t>Cali</t>
        </is>
      </c>
      <c r="D9070" t="inlineStr">
        <is>
          <t>824</t>
        </is>
      </c>
      <c r="E9070" t="inlineStr">
        <is>
          <t>entradas</t>
        </is>
      </c>
      <c r="F9070" s="23" t="n">
        <v>46277</v>
      </c>
      <c r="G9070" s="24">
        <f>F9070-DATE(2026,8,31)</f>
        <v>12</v>
      </c>
      <c r="H9070" s="25" t="n">
        <v>48391</v>
      </c>
      <c r="I9070" t="inlineStr">
        <is>
          <t>entidad-dia</t>
        </is>
      </c>
    </row>
    <row r="9071">
      <c r="A9071" t="inlineStr">
        <is>
          <t>PRAGMA</t>
        </is>
      </c>
      <c r="B9071" t="inlineStr">
        <is>
          <t>M3</t>
        </is>
      </c>
      <c r="C9071" t="inlineStr">
        <is>
          <t>Cali</t>
        </is>
      </c>
      <c r="D9071" t="inlineStr">
        <is>
          <t>824</t>
        </is>
      </c>
      <c r="E9071" t="inlineStr">
        <is>
          <t>salidas</t>
        </is>
      </c>
      <c r="F9071" s="23" t="n">
        <v>46277</v>
      </c>
      <c r="G9071" s="24">
        <f>F9071-DATE(2026,8,31)</f>
        <v>12</v>
      </c>
      <c r="H9071" s="25" t="n">
        <v>10894</v>
      </c>
      <c r="I9071" t="inlineStr">
        <is>
          <t>entidad-dia</t>
        </is>
      </c>
    </row>
    <row r="9072">
      <c r="A9072" t="inlineStr">
        <is>
          <t>PRAGMA</t>
        </is>
      </c>
      <c r="B9072" t="inlineStr">
        <is>
          <t>M3</t>
        </is>
      </c>
      <c r="C9072" t="inlineStr">
        <is>
          <t>Cali</t>
        </is>
      </c>
      <c r="D9072" t="inlineStr">
        <is>
          <t>824</t>
        </is>
      </c>
      <c r="E9072" t="inlineStr">
        <is>
          <t>entradas</t>
        </is>
      </c>
      <c r="F9072" s="23" t="n">
        <v>46278</v>
      </c>
      <c r="G9072" s="24">
        <f>F9072-DATE(2026,8,31)</f>
        <v>13</v>
      </c>
      <c r="H9072" s="25" t="n">
        <v>3064</v>
      </c>
      <c r="I9072" t="inlineStr">
        <is>
          <t>entidad-dia</t>
        </is>
      </c>
    </row>
    <row r="9073">
      <c r="A9073" t="inlineStr">
        <is>
          <t>PRAGMA</t>
        </is>
      </c>
      <c r="B9073" t="inlineStr">
        <is>
          <t>M3</t>
        </is>
      </c>
      <c r="C9073" t="inlineStr">
        <is>
          <t>Cali</t>
        </is>
      </c>
      <c r="D9073" t="inlineStr">
        <is>
          <t>824</t>
        </is>
      </c>
      <c r="E9073" t="inlineStr">
        <is>
          <t>salidas</t>
        </is>
      </c>
      <c r="F9073" s="23" t="n">
        <v>46278</v>
      </c>
      <c r="G9073" s="24">
        <f>F9073-DATE(2026,8,31)</f>
        <v>13</v>
      </c>
      <c r="H9073" s="25" t="n">
        <v>0</v>
      </c>
      <c r="I9073" t="inlineStr">
        <is>
          <t>entidad-dia</t>
        </is>
      </c>
    </row>
    <row r="9074">
      <c r="A9074" t="inlineStr">
        <is>
          <t>PRAGMA</t>
        </is>
      </c>
      <c r="B9074" t="inlineStr">
        <is>
          <t>M3</t>
        </is>
      </c>
      <c r="C9074" t="inlineStr">
        <is>
          <t>Cali</t>
        </is>
      </c>
      <c r="D9074" t="inlineStr">
        <is>
          <t>824</t>
        </is>
      </c>
      <c r="E9074" t="inlineStr">
        <is>
          <t>entradas</t>
        </is>
      </c>
      <c r="F9074" s="23" t="n">
        <v>46279</v>
      </c>
      <c r="G9074" s="24">
        <f>F9074-DATE(2026,8,31)</f>
        <v>14</v>
      </c>
      <c r="H9074" s="25" t="n">
        <v>26481362</v>
      </c>
      <c r="I9074" t="inlineStr">
        <is>
          <t>entidad-dia</t>
        </is>
      </c>
    </row>
    <row r="9075">
      <c r="A9075" t="inlineStr">
        <is>
          <t>PRAGMA</t>
        </is>
      </c>
      <c r="B9075" t="inlineStr">
        <is>
          <t>M3</t>
        </is>
      </c>
      <c r="C9075" t="inlineStr">
        <is>
          <t>Cali</t>
        </is>
      </c>
      <c r="D9075" t="inlineStr">
        <is>
          <t>824</t>
        </is>
      </c>
      <c r="E9075" t="inlineStr">
        <is>
          <t>salidas</t>
        </is>
      </c>
      <c r="F9075" s="23" t="n">
        <v>46279</v>
      </c>
      <c r="G9075" s="24">
        <f>F9075-DATE(2026,8,31)</f>
        <v>14</v>
      </c>
      <c r="H9075" s="25" t="n">
        <v>11133735</v>
      </c>
      <c r="I9075" t="inlineStr">
        <is>
          <t>entidad-dia</t>
        </is>
      </c>
    </row>
    <row r="9076">
      <c r="A9076" t="inlineStr">
        <is>
          <t>PRAGMA</t>
        </is>
      </c>
      <c r="B9076" t="inlineStr">
        <is>
          <t>M3</t>
        </is>
      </c>
      <c r="C9076" t="inlineStr">
        <is>
          <t>Cali</t>
        </is>
      </c>
      <c r="D9076" t="inlineStr">
        <is>
          <t>824</t>
        </is>
      </c>
      <c r="E9076" t="inlineStr">
        <is>
          <t>entradas</t>
        </is>
      </c>
      <c r="F9076" s="23" t="n">
        <v>46280</v>
      </c>
      <c r="G9076" s="24">
        <f>F9076-DATE(2026,8,31)</f>
        <v>15</v>
      </c>
      <c r="H9076" s="25" t="n">
        <v>28831976</v>
      </c>
      <c r="I9076" t="inlineStr">
        <is>
          <t>entidad-dia</t>
        </is>
      </c>
    </row>
    <row r="9077">
      <c r="A9077" t="inlineStr">
        <is>
          <t>PRAGMA</t>
        </is>
      </c>
      <c r="B9077" t="inlineStr">
        <is>
          <t>M3</t>
        </is>
      </c>
      <c r="C9077" t="inlineStr">
        <is>
          <t>Cali</t>
        </is>
      </c>
      <c r="D9077" t="inlineStr">
        <is>
          <t>824</t>
        </is>
      </c>
      <c r="E9077" t="inlineStr">
        <is>
          <t>salidas</t>
        </is>
      </c>
      <c r="F9077" s="23" t="n">
        <v>46280</v>
      </c>
      <c r="G9077" s="24">
        <f>F9077-DATE(2026,8,31)</f>
        <v>15</v>
      </c>
      <c r="H9077" s="25" t="n">
        <v>12375063</v>
      </c>
      <c r="I9077" t="inlineStr">
        <is>
          <t>entidad-dia</t>
        </is>
      </c>
    </row>
    <row r="9078">
      <c r="A9078" t="inlineStr">
        <is>
          <t>PRAGMA</t>
        </is>
      </c>
      <c r="B9078" t="inlineStr">
        <is>
          <t>M3</t>
        </is>
      </c>
      <c r="C9078" t="inlineStr">
        <is>
          <t>Cali</t>
        </is>
      </c>
      <c r="D9078" t="inlineStr">
        <is>
          <t>826</t>
        </is>
      </c>
      <c r="E9078" t="inlineStr">
        <is>
          <t>entradas</t>
        </is>
      </c>
      <c r="F9078" s="23" t="n">
        <v>46266</v>
      </c>
      <c r="G9078" s="24">
        <f>F9078-DATE(2026,8,31)</f>
        <v>1</v>
      </c>
      <c r="H9078" s="25" t="n">
        <v>418173343</v>
      </c>
      <c r="I9078" t="inlineStr">
        <is>
          <t>entidad-dia</t>
        </is>
      </c>
    </row>
    <row r="9079">
      <c r="A9079" t="inlineStr">
        <is>
          <t>PRAGMA</t>
        </is>
      </c>
      <c r="B9079" t="inlineStr">
        <is>
          <t>M3</t>
        </is>
      </c>
      <c r="C9079" t="inlineStr">
        <is>
          <t>Cali</t>
        </is>
      </c>
      <c r="D9079" t="inlineStr">
        <is>
          <t>826</t>
        </is>
      </c>
      <c r="E9079" t="inlineStr">
        <is>
          <t>salidas</t>
        </is>
      </c>
      <c r="F9079" s="23" t="n">
        <v>46266</v>
      </c>
      <c r="G9079" s="24">
        <f>F9079-DATE(2026,8,31)</f>
        <v>1</v>
      </c>
      <c r="H9079" s="25" t="n">
        <v>341411771</v>
      </c>
      <c r="I9079" t="inlineStr">
        <is>
          <t>entidad-dia</t>
        </is>
      </c>
    </row>
    <row r="9080">
      <c r="A9080" t="inlineStr">
        <is>
          <t>PRAGMA</t>
        </is>
      </c>
      <c r="B9080" t="inlineStr">
        <is>
          <t>M3</t>
        </is>
      </c>
      <c r="C9080" t="inlineStr">
        <is>
          <t>Cali</t>
        </is>
      </c>
      <c r="D9080" t="inlineStr">
        <is>
          <t>826</t>
        </is>
      </c>
      <c r="E9080" t="inlineStr">
        <is>
          <t>entradas</t>
        </is>
      </c>
      <c r="F9080" s="23" t="n">
        <v>46267</v>
      </c>
      <c r="G9080" s="24">
        <f>F9080-DATE(2026,8,31)</f>
        <v>2</v>
      </c>
      <c r="H9080" s="25" t="n">
        <v>382055435</v>
      </c>
      <c r="I9080" t="inlineStr">
        <is>
          <t>entidad-dia</t>
        </is>
      </c>
    </row>
    <row r="9081">
      <c r="A9081" t="inlineStr">
        <is>
          <t>PRAGMA</t>
        </is>
      </c>
      <c r="B9081" t="inlineStr">
        <is>
          <t>M3</t>
        </is>
      </c>
      <c r="C9081" t="inlineStr">
        <is>
          <t>Cali</t>
        </is>
      </c>
      <c r="D9081" t="inlineStr">
        <is>
          <t>826</t>
        </is>
      </c>
      <c r="E9081" t="inlineStr">
        <is>
          <t>salidas</t>
        </is>
      </c>
      <c r="F9081" s="23" t="n">
        <v>46267</v>
      </c>
      <c r="G9081" s="24">
        <f>F9081-DATE(2026,8,31)</f>
        <v>2</v>
      </c>
      <c r="H9081" s="25" t="n">
        <v>344282280</v>
      </c>
      <c r="I9081" t="inlineStr">
        <is>
          <t>entidad-dia</t>
        </is>
      </c>
    </row>
    <row r="9082">
      <c r="A9082" t="inlineStr">
        <is>
          <t>PRAGMA</t>
        </is>
      </c>
      <c r="B9082" t="inlineStr">
        <is>
          <t>M3</t>
        </is>
      </c>
      <c r="C9082" t="inlineStr">
        <is>
          <t>Cali</t>
        </is>
      </c>
      <c r="D9082" t="inlineStr">
        <is>
          <t>826</t>
        </is>
      </c>
      <c r="E9082" t="inlineStr">
        <is>
          <t>entradas</t>
        </is>
      </c>
      <c r="F9082" s="23" t="n">
        <v>46268</v>
      </c>
      <c r="G9082" s="24">
        <f>F9082-DATE(2026,8,31)</f>
        <v>3</v>
      </c>
      <c r="H9082" s="25" t="n">
        <v>413376021</v>
      </c>
      <c r="I9082" t="inlineStr">
        <is>
          <t>entidad-dia</t>
        </is>
      </c>
    </row>
    <row r="9083">
      <c r="A9083" t="inlineStr">
        <is>
          <t>PRAGMA</t>
        </is>
      </c>
      <c r="B9083" t="inlineStr">
        <is>
          <t>M3</t>
        </is>
      </c>
      <c r="C9083" t="inlineStr">
        <is>
          <t>Cali</t>
        </is>
      </c>
      <c r="D9083" t="inlineStr">
        <is>
          <t>826</t>
        </is>
      </c>
      <c r="E9083" t="inlineStr">
        <is>
          <t>salidas</t>
        </is>
      </c>
      <c r="F9083" s="23" t="n">
        <v>46268</v>
      </c>
      <c r="G9083" s="24">
        <f>F9083-DATE(2026,8,31)</f>
        <v>3</v>
      </c>
      <c r="H9083" s="25" t="n">
        <v>264561955</v>
      </c>
      <c r="I9083" t="inlineStr">
        <is>
          <t>entidad-dia</t>
        </is>
      </c>
    </row>
    <row r="9084">
      <c r="A9084" t="inlineStr">
        <is>
          <t>PRAGMA</t>
        </is>
      </c>
      <c r="B9084" t="inlineStr">
        <is>
          <t>M3</t>
        </is>
      </c>
      <c r="C9084" t="inlineStr">
        <is>
          <t>Cali</t>
        </is>
      </c>
      <c r="D9084" t="inlineStr">
        <is>
          <t>826</t>
        </is>
      </c>
      <c r="E9084" t="inlineStr">
        <is>
          <t>entradas</t>
        </is>
      </c>
      <c r="F9084" s="23" t="n">
        <v>46269</v>
      </c>
      <c r="G9084" s="24">
        <f>F9084-DATE(2026,8,31)</f>
        <v>4</v>
      </c>
      <c r="H9084" s="25" t="n">
        <v>399306198</v>
      </c>
      <c r="I9084" t="inlineStr">
        <is>
          <t>entidad-dia</t>
        </is>
      </c>
    </row>
    <row r="9085">
      <c r="A9085" t="inlineStr">
        <is>
          <t>PRAGMA</t>
        </is>
      </c>
      <c r="B9085" t="inlineStr">
        <is>
          <t>M3</t>
        </is>
      </c>
      <c r="C9085" t="inlineStr">
        <is>
          <t>Cali</t>
        </is>
      </c>
      <c r="D9085" t="inlineStr">
        <is>
          <t>826</t>
        </is>
      </c>
      <c r="E9085" t="inlineStr">
        <is>
          <t>salidas</t>
        </is>
      </c>
      <c r="F9085" s="23" t="n">
        <v>46269</v>
      </c>
      <c r="G9085" s="24">
        <f>F9085-DATE(2026,8,31)</f>
        <v>4</v>
      </c>
      <c r="H9085" s="25" t="n">
        <v>449052887</v>
      </c>
      <c r="I9085" t="inlineStr">
        <is>
          <t>entidad-dia</t>
        </is>
      </c>
    </row>
    <row r="9086">
      <c r="A9086" t="inlineStr">
        <is>
          <t>PRAGMA</t>
        </is>
      </c>
      <c r="B9086" t="inlineStr">
        <is>
          <t>M3</t>
        </is>
      </c>
      <c r="C9086" t="inlineStr">
        <is>
          <t>Cali</t>
        </is>
      </c>
      <c r="D9086" t="inlineStr">
        <is>
          <t>826</t>
        </is>
      </c>
      <c r="E9086" t="inlineStr">
        <is>
          <t>entradas</t>
        </is>
      </c>
      <c r="F9086" s="23" t="n">
        <v>46270</v>
      </c>
      <c r="G9086" s="24">
        <f>F9086-DATE(2026,8,31)</f>
        <v>5</v>
      </c>
      <c r="H9086" s="25" t="n">
        <v>729043</v>
      </c>
      <c r="I9086" t="inlineStr">
        <is>
          <t>entidad-dia</t>
        </is>
      </c>
    </row>
    <row r="9087">
      <c r="A9087" t="inlineStr">
        <is>
          <t>PRAGMA</t>
        </is>
      </c>
      <c r="B9087" t="inlineStr">
        <is>
          <t>M3</t>
        </is>
      </c>
      <c r="C9087" t="inlineStr">
        <is>
          <t>Cali</t>
        </is>
      </c>
      <c r="D9087" t="inlineStr">
        <is>
          <t>826</t>
        </is>
      </c>
      <c r="E9087" t="inlineStr">
        <is>
          <t>salidas</t>
        </is>
      </c>
      <c r="F9087" s="23" t="n">
        <v>46270</v>
      </c>
      <c r="G9087" s="24">
        <f>F9087-DATE(2026,8,31)</f>
        <v>5</v>
      </c>
      <c r="H9087" s="25" t="n">
        <v>0</v>
      </c>
      <c r="I9087" t="inlineStr">
        <is>
          <t>entidad-dia</t>
        </is>
      </c>
    </row>
    <row r="9088">
      <c r="A9088" t="inlineStr">
        <is>
          <t>PRAGMA</t>
        </is>
      </c>
      <c r="B9088" t="inlineStr">
        <is>
          <t>M3</t>
        </is>
      </c>
      <c r="C9088" t="inlineStr">
        <is>
          <t>Cali</t>
        </is>
      </c>
      <c r="D9088" t="inlineStr">
        <is>
          <t>826</t>
        </is>
      </c>
      <c r="E9088" t="inlineStr">
        <is>
          <t>entradas</t>
        </is>
      </c>
      <c r="F9088" s="23" t="n">
        <v>46271</v>
      </c>
      <c r="G9088" s="24">
        <f>F9088-DATE(2026,8,31)</f>
        <v>6</v>
      </c>
      <c r="H9088" s="25" t="n">
        <v>45502</v>
      </c>
      <c r="I9088" t="inlineStr">
        <is>
          <t>entidad-dia</t>
        </is>
      </c>
    </row>
    <row r="9089">
      <c r="A9089" t="inlineStr">
        <is>
          <t>PRAGMA</t>
        </is>
      </c>
      <c r="B9089" t="inlineStr">
        <is>
          <t>M3</t>
        </is>
      </c>
      <c r="C9089" t="inlineStr">
        <is>
          <t>Cali</t>
        </is>
      </c>
      <c r="D9089" t="inlineStr">
        <is>
          <t>826</t>
        </is>
      </c>
      <c r="E9089" t="inlineStr">
        <is>
          <t>salidas</t>
        </is>
      </c>
      <c r="F9089" s="23" t="n">
        <v>46271</v>
      </c>
      <c r="G9089" s="24">
        <f>F9089-DATE(2026,8,31)</f>
        <v>6</v>
      </c>
      <c r="H9089" s="25" t="n">
        <v>0</v>
      </c>
      <c r="I9089" t="inlineStr">
        <is>
          <t>entidad-dia</t>
        </is>
      </c>
    </row>
    <row r="9090">
      <c r="A9090" t="inlineStr">
        <is>
          <t>PRAGMA</t>
        </is>
      </c>
      <c r="B9090" t="inlineStr">
        <is>
          <t>M3</t>
        </is>
      </c>
      <c r="C9090" t="inlineStr">
        <is>
          <t>Cali</t>
        </is>
      </c>
      <c r="D9090" t="inlineStr">
        <is>
          <t>826</t>
        </is>
      </c>
      <c r="E9090" t="inlineStr">
        <is>
          <t>entradas</t>
        </is>
      </c>
      <c r="F9090" s="23" t="n">
        <v>46272</v>
      </c>
      <c r="G9090" s="24">
        <f>F9090-DATE(2026,8,31)</f>
        <v>7</v>
      </c>
      <c r="H9090" s="25" t="n">
        <v>364039866</v>
      </c>
      <c r="I9090" t="inlineStr">
        <is>
          <t>entidad-dia</t>
        </is>
      </c>
    </row>
    <row r="9091">
      <c r="A9091" t="inlineStr">
        <is>
          <t>PRAGMA</t>
        </is>
      </c>
      <c r="B9091" t="inlineStr">
        <is>
          <t>M3</t>
        </is>
      </c>
      <c r="C9091" t="inlineStr">
        <is>
          <t>Cali</t>
        </is>
      </c>
      <c r="D9091" t="inlineStr">
        <is>
          <t>826</t>
        </is>
      </c>
      <c r="E9091" t="inlineStr">
        <is>
          <t>salidas</t>
        </is>
      </c>
      <c r="F9091" s="23" t="n">
        <v>46272</v>
      </c>
      <c r="G9091" s="24">
        <f>F9091-DATE(2026,8,31)</f>
        <v>7</v>
      </c>
      <c r="H9091" s="25" t="n">
        <v>302395262</v>
      </c>
      <c r="I9091" t="inlineStr">
        <is>
          <t>entidad-dia</t>
        </is>
      </c>
    </row>
    <row r="9092">
      <c r="A9092" t="inlineStr">
        <is>
          <t>PRAGMA</t>
        </is>
      </c>
      <c r="B9092" t="inlineStr">
        <is>
          <t>M3</t>
        </is>
      </c>
      <c r="C9092" t="inlineStr">
        <is>
          <t>Cali</t>
        </is>
      </c>
      <c r="D9092" t="inlineStr">
        <is>
          <t>826</t>
        </is>
      </c>
      <c r="E9092" t="inlineStr">
        <is>
          <t>entradas</t>
        </is>
      </c>
      <c r="F9092" s="23" t="n">
        <v>46273</v>
      </c>
      <c r="G9092" s="24">
        <f>F9092-DATE(2026,8,31)</f>
        <v>8</v>
      </c>
      <c r="H9092" s="25" t="n">
        <v>392662913</v>
      </c>
      <c r="I9092" t="inlineStr">
        <is>
          <t>entidad-dia</t>
        </is>
      </c>
    </row>
    <row r="9093">
      <c r="A9093" t="inlineStr">
        <is>
          <t>PRAGMA</t>
        </is>
      </c>
      <c r="B9093" t="inlineStr">
        <is>
          <t>M3</t>
        </is>
      </c>
      <c r="C9093" t="inlineStr">
        <is>
          <t>Cali</t>
        </is>
      </c>
      <c r="D9093" t="inlineStr">
        <is>
          <t>826</t>
        </is>
      </c>
      <c r="E9093" t="inlineStr">
        <is>
          <t>salidas</t>
        </is>
      </c>
      <c r="F9093" s="23" t="n">
        <v>46273</v>
      </c>
      <c r="G9093" s="24">
        <f>F9093-DATE(2026,8,31)</f>
        <v>8</v>
      </c>
      <c r="H9093" s="25" t="n">
        <v>320969241</v>
      </c>
      <c r="I9093" t="inlineStr">
        <is>
          <t>entidad-dia</t>
        </is>
      </c>
    </row>
    <row r="9094">
      <c r="A9094" t="inlineStr">
        <is>
          <t>PRAGMA</t>
        </is>
      </c>
      <c r="B9094" t="inlineStr">
        <is>
          <t>M3</t>
        </is>
      </c>
      <c r="C9094" t="inlineStr">
        <is>
          <t>Cali</t>
        </is>
      </c>
      <c r="D9094" t="inlineStr">
        <is>
          <t>826</t>
        </is>
      </c>
      <c r="E9094" t="inlineStr">
        <is>
          <t>entradas</t>
        </is>
      </c>
      <c r="F9094" s="23" t="n">
        <v>46274</v>
      </c>
      <c r="G9094" s="24">
        <f>F9094-DATE(2026,8,31)</f>
        <v>9</v>
      </c>
      <c r="H9094" s="25" t="n">
        <v>376935424</v>
      </c>
      <c r="I9094" t="inlineStr">
        <is>
          <t>entidad-dia</t>
        </is>
      </c>
    </row>
    <row r="9095">
      <c r="A9095" t="inlineStr">
        <is>
          <t>PRAGMA</t>
        </is>
      </c>
      <c r="B9095" t="inlineStr">
        <is>
          <t>M3</t>
        </is>
      </c>
      <c r="C9095" t="inlineStr">
        <is>
          <t>Cali</t>
        </is>
      </c>
      <c r="D9095" t="inlineStr">
        <is>
          <t>826</t>
        </is>
      </c>
      <c r="E9095" t="inlineStr">
        <is>
          <t>salidas</t>
        </is>
      </c>
      <c r="F9095" s="23" t="n">
        <v>46274</v>
      </c>
      <c r="G9095" s="24">
        <f>F9095-DATE(2026,8,31)</f>
        <v>9</v>
      </c>
      <c r="H9095" s="25" t="n">
        <v>306490271</v>
      </c>
      <c r="I9095" t="inlineStr">
        <is>
          <t>entidad-dia</t>
        </is>
      </c>
    </row>
    <row r="9096">
      <c r="A9096" t="inlineStr">
        <is>
          <t>PRAGMA</t>
        </is>
      </c>
      <c r="B9096" t="inlineStr">
        <is>
          <t>M3</t>
        </is>
      </c>
      <c r="C9096" t="inlineStr">
        <is>
          <t>Cali</t>
        </is>
      </c>
      <c r="D9096" t="inlineStr">
        <is>
          <t>826</t>
        </is>
      </c>
      <c r="E9096" t="inlineStr">
        <is>
          <t>entradas</t>
        </is>
      </c>
      <c r="F9096" s="23" t="n">
        <v>46275</v>
      </c>
      <c r="G9096" s="24">
        <f>F9096-DATE(2026,8,31)</f>
        <v>10</v>
      </c>
      <c r="H9096" s="25" t="n">
        <v>474906105</v>
      </c>
      <c r="I9096" t="inlineStr">
        <is>
          <t>entidad-dia</t>
        </is>
      </c>
    </row>
    <row r="9097">
      <c r="A9097" t="inlineStr">
        <is>
          <t>PRAGMA</t>
        </is>
      </c>
      <c r="B9097" t="inlineStr">
        <is>
          <t>M3</t>
        </is>
      </c>
      <c r="C9097" t="inlineStr">
        <is>
          <t>Cali</t>
        </is>
      </c>
      <c r="D9097" t="inlineStr">
        <is>
          <t>826</t>
        </is>
      </c>
      <c r="E9097" t="inlineStr">
        <is>
          <t>salidas</t>
        </is>
      </c>
      <c r="F9097" s="23" t="n">
        <v>46275</v>
      </c>
      <c r="G9097" s="24">
        <f>F9097-DATE(2026,8,31)</f>
        <v>10</v>
      </c>
      <c r="H9097" s="25" t="n">
        <v>301644723</v>
      </c>
      <c r="I9097" t="inlineStr">
        <is>
          <t>entidad-dia</t>
        </is>
      </c>
    </row>
    <row r="9098">
      <c r="A9098" t="inlineStr">
        <is>
          <t>PRAGMA</t>
        </is>
      </c>
      <c r="B9098" t="inlineStr">
        <is>
          <t>M3</t>
        </is>
      </c>
      <c r="C9098" t="inlineStr">
        <is>
          <t>Cali</t>
        </is>
      </c>
      <c r="D9098" t="inlineStr">
        <is>
          <t>826</t>
        </is>
      </c>
      <c r="E9098" t="inlineStr">
        <is>
          <t>entradas</t>
        </is>
      </c>
      <c r="F9098" s="23" t="n">
        <v>46276</v>
      </c>
      <c r="G9098" s="24">
        <f>F9098-DATE(2026,8,31)</f>
        <v>11</v>
      </c>
      <c r="H9098" s="25" t="n">
        <v>408489431</v>
      </c>
      <c r="I9098" t="inlineStr">
        <is>
          <t>entidad-dia</t>
        </is>
      </c>
    </row>
    <row r="9099">
      <c r="A9099" t="inlineStr">
        <is>
          <t>PRAGMA</t>
        </is>
      </c>
      <c r="B9099" t="inlineStr">
        <is>
          <t>M3</t>
        </is>
      </c>
      <c r="C9099" t="inlineStr">
        <is>
          <t>Cali</t>
        </is>
      </c>
      <c r="D9099" t="inlineStr">
        <is>
          <t>826</t>
        </is>
      </c>
      <c r="E9099" t="inlineStr">
        <is>
          <t>salidas</t>
        </is>
      </c>
      <c r="F9099" s="23" t="n">
        <v>46276</v>
      </c>
      <c r="G9099" s="24">
        <f>F9099-DATE(2026,8,31)</f>
        <v>11</v>
      </c>
      <c r="H9099" s="25" t="n">
        <v>410805675</v>
      </c>
      <c r="I9099" t="inlineStr">
        <is>
          <t>entidad-dia</t>
        </is>
      </c>
    </row>
    <row r="9100">
      <c r="A9100" t="inlineStr">
        <is>
          <t>PRAGMA</t>
        </is>
      </c>
      <c r="B9100" t="inlineStr">
        <is>
          <t>M3</t>
        </is>
      </c>
      <c r="C9100" t="inlineStr">
        <is>
          <t>Cali</t>
        </is>
      </c>
      <c r="D9100" t="inlineStr">
        <is>
          <t>826</t>
        </is>
      </c>
      <c r="E9100" t="inlineStr">
        <is>
          <t>entradas</t>
        </is>
      </c>
      <c r="F9100" s="23" t="n">
        <v>46277</v>
      </c>
      <c r="G9100" s="24">
        <f>F9100-DATE(2026,8,31)</f>
        <v>12</v>
      </c>
      <c r="H9100" s="25" t="n">
        <v>585532</v>
      </c>
      <c r="I9100" t="inlineStr">
        <is>
          <t>entidad-dia</t>
        </is>
      </c>
    </row>
    <row r="9101">
      <c r="A9101" t="inlineStr">
        <is>
          <t>PRAGMA</t>
        </is>
      </c>
      <c r="B9101" t="inlineStr">
        <is>
          <t>M3</t>
        </is>
      </c>
      <c r="C9101" t="inlineStr">
        <is>
          <t>Cali</t>
        </is>
      </c>
      <c r="D9101" t="inlineStr">
        <is>
          <t>826</t>
        </is>
      </c>
      <c r="E9101" t="inlineStr">
        <is>
          <t>salidas</t>
        </is>
      </c>
      <c r="F9101" s="23" t="n">
        <v>46277</v>
      </c>
      <c r="G9101" s="24">
        <f>F9101-DATE(2026,8,31)</f>
        <v>12</v>
      </c>
      <c r="H9101" s="25" t="n">
        <v>0</v>
      </c>
      <c r="I9101" t="inlineStr">
        <is>
          <t>entidad-dia</t>
        </is>
      </c>
    </row>
    <row r="9102">
      <c r="A9102" t="inlineStr">
        <is>
          <t>PRAGMA</t>
        </is>
      </c>
      <c r="B9102" t="inlineStr">
        <is>
          <t>M3</t>
        </is>
      </c>
      <c r="C9102" t="inlineStr">
        <is>
          <t>Cali</t>
        </is>
      </c>
      <c r="D9102" t="inlineStr">
        <is>
          <t>826</t>
        </is>
      </c>
      <c r="E9102" t="inlineStr">
        <is>
          <t>entradas</t>
        </is>
      </c>
      <c r="F9102" s="23" t="n">
        <v>46278</v>
      </c>
      <c r="G9102" s="24">
        <f>F9102-DATE(2026,8,31)</f>
        <v>13</v>
      </c>
      <c r="H9102" s="25" t="n">
        <v>77148</v>
      </c>
      <c r="I9102" t="inlineStr">
        <is>
          <t>entidad-dia</t>
        </is>
      </c>
    </row>
    <row r="9103">
      <c r="A9103" t="inlineStr">
        <is>
          <t>PRAGMA</t>
        </is>
      </c>
      <c r="B9103" t="inlineStr">
        <is>
          <t>M3</t>
        </is>
      </c>
      <c r="C9103" t="inlineStr">
        <is>
          <t>Cali</t>
        </is>
      </c>
      <c r="D9103" t="inlineStr">
        <is>
          <t>826</t>
        </is>
      </c>
      <c r="E9103" t="inlineStr">
        <is>
          <t>salidas</t>
        </is>
      </c>
      <c r="F9103" s="23" t="n">
        <v>46278</v>
      </c>
      <c r="G9103" s="24">
        <f>F9103-DATE(2026,8,31)</f>
        <v>13</v>
      </c>
      <c r="H9103" s="25" t="n">
        <v>0</v>
      </c>
      <c r="I9103" t="inlineStr">
        <is>
          <t>entidad-dia</t>
        </is>
      </c>
    </row>
    <row r="9104">
      <c r="A9104" t="inlineStr">
        <is>
          <t>PRAGMA</t>
        </is>
      </c>
      <c r="B9104" t="inlineStr">
        <is>
          <t>M3</t>
        </is>
      </c>
      <c r="C9104" t="inlineStr">
        <is>
          <t>Cali</t>
        </is>
      </c>
      <c r="D9104" t="inlineStr">
        <is>
          <t>826</t>
        </is>
      </c>
      <c r="E9104" t="inlineStr">
        <is>
          <t>entradas</t>
        </is>
      </c>
      <c r="F9104" s="23" t="n">
        <v>46279</v>
      </c>
      <c r="G9104" s="24">
        <f>F9104-DATE(2026,8,31)</f>
        <v>14</v>
      </c>
      <c r="H9104" s="25" t="n">
        <v>366475452</v>
      </c>
      <c r="I9104" t="inlineStr">
        <is>
          <t>entidad-dia</t>
        </is>
      </c>
    </row>
    <row r="9105">
      <c r="A9105" t="inlineStr">
        <is>
          <t>PRAGMA</t>
        </is>
      </c>
      <c r="B9105" t="inlineStr">
        <is>
          <t>M3</t>
        </is>
      </c>
      <c r="C9105" t="inlineStr">
        <is>
          <t>Cali</t>
        </is>
      </c>
      <c r="D9105" t="inlineStr">
        <is>
          <t>826</t>
        </is>
      </c>
      <c r="E9105" t="inlineStr">
        <is>
          <t>salidas</t>
        </is>
      </c>
      <c r="F9105" s="23" t="n">
        <v>46279</v>
      </c>
      <c r="G9105" s="24">
        <f>F9105-DATE(2026,8,31)</f>
        <v>14</v>
      </c>
      <c r="H9105" s="25" t="n">
        <v>308280328</v>
      </c>
      <c r="I9105" t="inlineStr">
        <is>
          <t>entidad-dia</t>
        </is>
      </c>
    </row>
    <row r="9106">
      <c r="A9106" t="inlineStr">
        <is>
          <t>PRAGMA</t>
        </is>
      </c>
      <c r="B9106" t="inlineStr">
        <is>
          <t>M3</t>
        </is>
      </c>
      <c r="C9106" t="inlineStr">
        <is>
          <t>Cali</t>
        </is>
      </c>
      <c r="D9106" t="inlineStr">
        <is>
          <t>826</t>
        </is>
      </c>
      <c r="E9106" t="inlineStr">
        <is>
          <t>entradas</t>
        </is>
      </c>
      <c r="F9106" s="23" t="n">
        <v>46280</v>
      </c>
      <c r="G9106" s="24">
        <f>F9106-DATE(2026,8,31)</f>
        <v>15</v>
      </c>
      <c r="H9106" s="25" t="n">
        <v>396892356</v>
      </c>
      <c r="I9106" t="inlineStr">
        <is>
          <t>entidad-dia</t>
        </is>
      </c>
    </row>
    <row r="9107">
      <c r="A9107" t="inlineStr">
        <is>
          <t>PRAGMA</t>
        </is>
      </c>
      <c r="B9107" t="inlineStr">
        <is>
          <t>M3</t>
        </is>
      </c>
      <c r="C9107" t="inlineStr">
        <is>
          <t>Cali</t>
        </is>
      </c>
      <c r="D9107" t="inlineStr">
        <is>
          <t>826</t>
        </is>
      </c>
      <c r="E9107" t="inlineStr">
        <is>
          <t>salidas</t>
        </is>
      </c>
      <c r="F9107" s="23" t="n">
        <v>46280</v>
      </c>
      <c r="G9107" s="24">
        <f>F9107-DATE(2026,8,31)</f>
        <v>15</v>
      </c>
      <c r="H9107" s="25" t="n">
        <v>326953752</v>
      </c>
      <c r="I9107" t="inlineStr">
        <is>
          <t>entidad-dia</t>
        </is>
      </c>
    </row>
    <row r="9108">
      <c r="A9108" t="inlineStr">
        <is>
          <t>PRAGMA</t>
        </is>
      </c>
      <c r="B9108" t="inlineStr">
        <is>
          <t>M3</t>
        </is>
      </c>
      <c r="C9108" t="inlineStr">
        <is>
          <t>Cali</t>
        </is>
      </c>
      <c r="D9108" t="inlineStr">
        <is>
          <t>830</t>
        </is>
      </c>
      <c r="E9108" t="inlineStr">
        <is>
          <t>entradas</t>
        </is>
      </c>
      <c r="F9108" s="23" t="n">
        <v>46266</v>
      </c>
      <c r="G9108" s="24">
        <f>F9108-DATE(2026,8,31)</f>
        <v>1</v>
      </c>
      <c r="H9108" s="25" t="n">
        <v>114960301</v>
      </c>
      <c r="I9108" t="inlineStr">
        <is>
          <t>entidad-dia</t>
        </is>
      </c>
    </row>
    <row r="9109">
      <c r="A9109" t="inlineStr">
        <is>
          <t>PRAGMA</t>
        </is>
      </c>
      <c r="B9109" t="inlineStr">
        <is>
          <t>M3</t>
        </is>
      </c>
      <c r="C9109" t="inlineStr">
        <is>
          <t>Cali</t>
        </is>
      </c>
      <c r="D9109" t="inlineStr">
        <is>
          <t>830</t>
        </is>
      </c>
      <c r="E9109" t="inlineStr">
        <is>
          <t>salidas</t>
        </is>
      </c>
      <c r="F9109" s="23" t="n">
        <v>46266</v>
      </c>
      <c r="G9109" s="24">
        <f>F9109-DATE(2026,8,31)</f>
        <v>1</v>
      </c>
      <c r="H9109" s="25" t="n">
        <v>96344408</v>
      </c>
      <c r="I9109" t="inlineStr">
        <is>
          <t>entidad-dia</t>
        </is>
      </c>
    </row>
    <row r="9110">
      <c r="A9110" t="inlineStr">
        <is>
          <t>PRAGMA</t>
        </is>
      </c>
      <c r="B9110" t="inlineStr">
        <is>
          <t>M3</t>
        </is>
      </c>
      <c r="C9110" t="inlineStr">
        <is>
          <t>Cali</t>
        </is>
      </c>
      <c r="D9110" t="inlineStr">
        <is>
          <t>830</t>
        </is>
      </c>
      <c r="E9110" t="inlineStr">
        <is>
          <t>entradas</t>
        </is>
      </c>
      <c r="F9110" s="23" t="n">
        <v>46267</v>
      </c>
      <c r="G9110" s="24">
        <f>F9110-DATE(2026,8,31)</f>
        <v>2</v>
      </c>
      <c r="H9110" s="25" t="n">
        <v>86886306</v>
      </c>
      <c r="I9110" t="inlineStr">
        <is>
          <t>entidad-dia</t>
        </is>
      </c>
    </row>
    <row r="9111">
      <c r="A9111" t="inlineStr">
        <is>
          <t>PRAGMA</t>
        </is>
      </c>
      <c r="B9111" t="inlineStr">
        <is>
          <t>M3</t>
        </is>
      </c>
      <c r="C9111" t="inlineStr">
        <is>
          <t>Cali</t>
        </is>
      </c>
      <c r="D9111" t="inlineStr">
        <is>
          <t>830</t>
        </is>
      </c>
      <c r="E9111" t="inlineStr">
        <is>
          <t>salidas</t>
        </is>
      </c>
      <c r="F9111" s="23" t="n">
        <v>46267</v>
      </c>
      <c r="G9111" s="24">
        <f>F9111-DATE(2026,8,31)</f>
        <v>2</v>
      </c>
      <c r="H9111" s="25" t="n">
        <v>83356122</v>
      </c>
      <c r="I9111" t="inlineStr">
        <is>
          <t>entidad-dia</t>
        </is>
      </c>
    </row>
    <row r="9112">
      <c r="A9112" t="inlineStr">
        <is>
          <t>PRAGMA</t>
        </is>
      </c>
      <c r="B9112" t="inlineStr">
        <is>
          <t>M3</t>
        </is>
      </c>
      <c r="C9112" t="inlineStr">
        <is>
          <t>Cali</t>
        </is>
      </c>
      <c r="D9112" t="inlineStr">
        <is>
          <t>830</t>
        </is>
      </c>
      <c r="E9112" t="inlineStr">
        <is>
          <t>entradas</t>
        </is>
      </c>
      <c r="F9112" s="23" t="n">
        <v>46268</v>
      </c>
      <c r="G9112" s="24">
        <f>F9112-DATE(2026,8,31)</f>
        <v>3</v>
      </c>
      <c r="H9112" s="25" t="n">
        <v>90201205</v>
      </c>
      <c r="I9112" t="inlineStr">
        <is>
          <t>entidad-dia</t>
        </is>
      </c>
    </row>
    <row r="9113">
      <c r="A9113" t="inlineStr">
        <is>
          <t>PRAGMA</t>
        </is>
      </c>
      <c r="B9113" t="inlineStr">
        <is>
          <t>M3</t>
        </is>
      </c>
      <c r="C9113" t="inlineStr">
        <is>
          <t>Cali</t>
        </is>
      </c>
      <c r="D9113" t="inlineStr">
        <is>
          <t>830</t>
        </is>
      </c>
      <c r="E9113" t="inlineStr">
        <is>
          <t>salidas</t>
        </is>
      </c>
      <c r="F9113" s="23" t="n">
        <v>46268</v>
      </c>
      <c r="G9113" s="24">
        <f>F9113-DATE(2026,8,31)</f>
        <v>3</v>
      </c>
      <c r="H9113" s="25" t="n">
        <v>8337511</v>
      </c>
      <c r="I9113" t="inlineStr">
        <is>
          <t>entidad-dia</t>
        </is>
      </c>
    </row>
    <row r="9114">
      <c r="A9114" t="inlineStr">
        <is>
          <t>PRAGMA</t>
        </is>
      </c>
      <c r="B9114" t="inlineStr">
        <is>
          <t>M3</t>
        </is>
      </c>
      <c r="C9114" t="inlineStr">
        <is>
          <t>Cali</t>
        </is>
      </c>
      <c r="D9114" t="inlineStr">
        <is>
          <t>830</t>
        </is>
      </c>
      <c r="E9114" t="inlineStr">
        <is>
          <t>entradas</t>
        </is>
      </c>
      <c r="F9114" s="23" t="n">
        <v>46269</v>
      </c>
      <c r="G9114" s="24">
        <f>F9114-DATE(2026,8,31)</f>
        <v>4</v>
      </c>
      <c r="H9114" s="25" t="n">
        <v>174099649</v>
      </c>
      <c r="I9114" t="inlineStr">
        <is>
          <t>entidad-dia</t>
        </is>
      </c>
    </row>
    <row r="9115">
      <c r="A9115" t="inlineStr">
        <is>
          <t>PRAGMA</t>
        </is>
      </c>
      <c r="B9115" t="inlineStr">
        <is>
          <t>M3</t>
        </is>
      </c>
      <c r="C9115" t="inlineStr">
        <is>
          <t>Cali</t>
        </is>
      </c>
      <c r="D9115" t="inlineStr">
        <is>
          <t>830</t>
        </is>
      </c>
      <c r="E9115" t="inlineStr">
        <is>
          <t>salidas</t>
        </is>
      </c>
      <c r="F9115" s="23" t="n">
        <v>46269</v>
      </c>
      <c r="G9115" s="24">
        <f>F9115-DATE(2026,8,31)</f>
        <v>4</v>
      </c>
      <c r="H9115" s="25" t="n">
        <v>11469994</v>
      </c>
      <c r="I9115" t="inlineStr">
        <is>
          <t>entidad-dia</t>
        </is>
      </c>
    </row>
    <row r="9116">
      <c r="A9116" t="inlineStr">
        <is>
          <t>PRAGMA</t>
        </is>
      </c>
      <c r="B9116" t="inlineStr">
        <is>
          <t>M3</t>
        </is>
      </c>
      <c r="C9116" t="inlineStr">
        <is>
          <t>Cali</t>
        </is>
      </c>
      <c r="D9116" t="inlineStr">
        <is>
          <t>830</t>
        </is>
      </c>
      <c r="E9116" t="inlineStr">
        <is>
          <t>entradas</t>
        </is>
      </c>
      <c r="F9116" s="23" t="n">
        <v>46270</v>
      </c>
      <c r="G9116" s="24">
        <f>F9116-DATE(2026,8,31)</f>
        <v>5</v>
      </c>
      <c r="H9116" s="25" t="n">
        <v>145996241</v>
      </c>
      <c r="I9116" t="inlineStr">
        <is>
          <t>entidad-dia</t>
        </is>
      </c>
    </row>
    <row r="9117">
      <c r="A9117" t="inlineStr">
        <is>
          <t>PRAGMA</t>
        </is>
      </c>
      <c r="B9117" t="inlineStr">
        <is>
          <t>M3</t>
        </is>
      </c>
      <c r="C9117" t="inlineStr">
        <is>
          <t>Cali</t>
        </is>
      </c>
      <c r="D9117" t="inlineStr">
        <is>
          <t>830</t>
        </is>
      </c>
      <c r="E9117" t="inlineStr">
        <is>
          <t>salidas</t>
        </is>
      </c>
      <c r="F9117" s="23" t="n">
        <v>46270</v>
      </c>
      <c r="G9117" s="24">
        <f>F9117-DATE(2026,8,31)</f>
        <v>5</v>
      </c>
      <c r="H9117" s="25" t="n">
        <v>16991731</v>
      </c>
      <c r="I9117" t="inlineStr">
        <is>
          <t>entidad-dia</t>
        </is>
      </c>
    </row>
    <row r="9118">
      <c r="A9118" t="inlineStr">
        <is>
          <t>PRAGMA</t>
        </is>
      </c>
      <c r="B9118" t="inlineStr">
        <is>
          <t>M3</t>
        </is>
      </c>
      <c r="C9118" t="inlineStr">
        <is>
          <t>Cali</t>
        </is>
      </c>
      <c r="D9118" t="inlineStr">
        <is>
          <t>830</t>
        </is>
      </c>
      <c r="E9118" t="inlineStr">
        <is>
          <t>entradas</t>
        </is>
      </c>
      <c r="F9118" s="23" t="n">
        <v>46271</v>
      </c>
      <c r="G9118" s="24">
        <f>F9118-DATE(2026,8,31)</f>
        <v>6</v>
      </c>
      <c r="H9118" s="25" t="n">
        <v>51432</v>
      </c>
      <c r="I9118" t="inlineStr">
        <is>
          <t>entidad-dia</t>
        </is>
      </c>
    </row>
    <row r="9119">
      <c r="A9119" t="inlineStr">
        <is>
          <t>PRAGMA</t>
        </is>
      </c>
      <c r="B9119" t="inlineStr">
        <is>
          <t>M3</t>
        </is>
      </c>
      <c r="C9119" t="inlineStr">
        <is>
          <t>Cali</t>
        </is>
      </c>
      <c r="D9119" t="inlineStr">
        <is>
          <t>830</t>
        </is>
      </c>
      <c r="E9119" t="inlineStr">
        <is>
          <t>salidas</t>
        </is>
      </c>
      <c r="F9119" s="23" t="n">
        <v>46271</v>
      </c>
      <c r="G9119" s="24">
        <f>F9119-DATE(2026,8,31)</f>
        <v>6</v>
      </c>
      <c r="H9119" s="25" t="n">
        <v>0</v>
      </c>
      <c r="I9119" t="inlineStr">
        <is>
          <t>entidad-dia</t>
        </is>
      </c>
    </row>
    <row r="9120">
      <c r="A9120" t="inlineStr">
        <is>
          <t>PRAGMA</t>
        </is>
      </c>
      <c r="B9120" t="inlineStr">
        <is>
          <t>M3</t>
        </is>
      </c>
      <c r="C9120" t="inlineStr">
        <is>
          <t>Cali</t>
        </is>
      </c>
      <c r="D9120" t="inlineStr">
        <is>
          <t>830</t>
        </is>
      </c>
      <c r="E9120" t="inlineStr">
        <is>
          <t>entradas</t>
        </is>
      </c>
      <c r="F9120" s="23" t="n">
        <v>46272</v>
      </c>
      <c r="G9120" s="24">
        <f>F9120-DATE(2026,8,31)</f>
        <v>7</v>
      </c>
      <c r="H9120" s="25" t="n">
        <v>37508001</v>
      </c>
      <c r="I9120" t="inlineStr">
        <is>
          <t>entidad-dia</t>
        </is>
      </c>
    </row>
    <row r="9121">
      <c r="A9121" t="inlineStr">
        <is>
          <t>PRAGMA</t>
        </is>
      </c>
      <c r="B9121" t="inlineStr">
        <is>
          <t>M3</t>
        </is>
      </c>
      <c r="C9121" t="inlineStr">
        <is>
          <t>Cali</t>
        </is>
      </c>
      <c r="D9121" t="inlineStr">
        <is>
          <t>830</t>
        </is>
      </c>
      <c r="E9121" t="inlineStr">
        <is>
          <t>salidas</t>
        </is>
      </c>
      <c r="F9121" s="23" t="n">
        <v>46272</v>
      </c>
      <c r="G9121" s="24">
        <f>F9121-DATE(2026,8,31)</f>
        <v>7</v>
      </c>
      <c r="H9121" s="25" t="n">
        <v>18059848</v>
      </c>
      <c r="I9121" t="inlineStr">
        <is>
          <t>entidad-dia</t>
        </is>
      </c>
    </row>
    <row r="9122">
      <c r="A9122" t="inlineStr">
        <is>
          <t>PRAGMA</t>
        </is>
      </c>
      <c r="B9122" t="inlineStr">
        <is>
          <t>M3</t>
        </is>
      </c>
      <c r="C9122" t="inlineStr">
        <is>
          <t>Cali</t>
        </is>
      </c>
      <c r="D9122" t="inlineStr">
        <is>
          <t>830</t>
        </is>
      </c>
      <c r="E9122" t="inlineStr">
        <is>
          <t>entradas</t>
        </is>
      </c>
      <c r="F9122" s="23" t="n">
        <v>46273</v>
      </c>
      <c r="G9122" s="24">
        <f>F9122-DATE(2026,8,31)</f>
        <v>8</v>
      </c>
      <c r="H9122" s="25" t="n">
        <v>93100706</v>
      </c>
      <c r="I9122" t="inlineStr">
        <is>
          <t>entidad-dia</t>
        </is>
      </c>
    </row>
    <row r="9123">
      <c r="A9123" t="inlineStr">
        <is>
          <t>PRAGMA</t>
        </is>
      </c>
      <c r="B9123" t="inlineStr">
        <is>
          <t>M3</t>
        </is>
      </c>
      <c r="C9123" t="inlineStr">
        <is>
          <t>Cali</t>
        </is>
      </c>
      <c r="D9123" t="inlineStr">
        <is>
          <t>830</t>
        </is>
      </c>
      <c r="E9123" t="inlineStr">
        <is>
          <t>salidas</t>
        </is>
      </c>
      <c r="F9123" s="23" t="n">
        <v>46273</v>
      </c>
      <c r="G9123" s="24">
        <f>F9123-DATE(2026,8,31)</f>
        <v>8</v>
      </c>
      <c r="H9123" s="25" t="n">
        <v>4804564</v>
      </c>
      <c r="I9123" t="inlineStr">
        <is>
          <t>entidad-dia</t>
        </is>
      </c>
    </row>
    <row r="9124">
      <c r="A9124" t="inlineStr">
        <is>
          <t>PRAGMA</t>
        </is>
      </c>
      <c r="B9124" t="inlineStr">
        <is>
          <t>M3</t>
        </is>
      </c>
      <c r="C9124" t="inlineStr">
        <is>
          <t>Cali</t>
        </is>
      </c>
      <c r="D9124" t="inlineStr">
        <is>
          <t>830</t>
        </is>
      </c>
      <c r="E9124" t="inlineStr">
        <is>
          <t>entradas</t>
        </is>
      </c>
      <c r="F9124" s="23" t="n">
        <v>46274</v>
      </c>
      <c r="G9124" s="24">
        <f>F9124-DATE(2026,8,31)</f>
        <v>9</v>
      </c>
      <c r="H9124" s="25" t="n">
        <v>71484782</v>
      </c>
      <c r="I9124" t="inlineStr">
        <is>
          <t>entidad-dia</t>
        </is>
      </c>
    </row>
    <row r="9125">
      <c r="A9125" t="inlineStr">
        <is>
          <t>PRAGMA</t>
        </is>
      </c>
      <c r="B9125" t="inlineStr">
        <is>
          <t>M3</t>
        </is>
      </c>
      <c r="C9125" t="inlineStr">
        <is>
          <t>Cali</t>
        </is>
      </c>
      <c r="D9125" t="inlineStr">
        <is>
          <t>830</t>
        </is>
      </c>
      <c r="E9125" t="inlineStr">
        <is>
          <t>salidas</t>
        </is>
      </c>
      <c r="F9125" s="23" t="n">
        <v>46274</v>
      </c>
      <c r="G9125" s="24">
        <f>F9125-DATE(2026,8,31)</f>
        <v>9</v>
      </c>
      <c r="H9125" s="25" t="n">
        <v>12291770</v>
      </c>
      <c r="I9125" t="inlineStr">
        <is>
          <t>entidad-dia</t>
        </is>
      </c>
    </row>
    <row r="9126">
      <c r="A9126" t="inlineStr">
        <is>
          <t>PRAGMA</t>
        </is>
      </c>
      <c r="B9126" t="inlineStr">
        <is>
          <t>M3</t>
        </is>
      </c>
      <c r="C9126" t="inlineStr">
        <is>
          <t>Cali</t>
        </is>
      </c>
      <c r="D9126" t="inlineStr">
        <is>
          <t>830</t>
        </is>
      </c>
      <c r="E9126" t="inlineStr">
        <is>
          <t>entradas</t>
        </is>
      </c>
      <c r="F9126" s="23" t="n">
        <v>46275</v>
      </c>
      <c r="G9126" s="24">
        <f>F9126-DATE(2026,8,31)</f>
        <v>10</v>
      </c>
      <c r="H9126" s="25" t="n">
        <v>57054334</v>
      </c>
      <c r="I9126" t="inlineStr">
        <is>
          <t>entidad-dia</t>
        </is>
      </c>
    </row>
    <row r="9127">
      <c r="A9127" t="inlineStr">
        <is>
          <t>PRAGMA</t>
        </is>
      </c>
      <c r="B9127" t="inlineStr">
        <is>
          <t>M3</t>
        </is>
      </c>
      <c r="C9127" t="inlineStr">
        <is>
          <t>Cali</t>
        </is>
      </c>
      <c r="D9127" t="inlineStr">
        <is>
          <t>830</t>
        </is>
      </c>
      <c r="E9127" t="inlineStr">
        <is>
          <t>salidas</t>
        </is>
      </c>
      <c r="F9127" s="23" t="n">
        <v>46275</v>
      </c>
      <c r="G9127" s="24">
        <f>F9127-DATE(2026,8,31)</f>
        <v>10</v>
      </c>
      <c r="H9127" s="25" t="n">
        <v>0</v>
      </c>
      <c r="I9127" t="inlineStr">
        <is>
          <t>entidad-dia</t>
        </is>
      </c>
    </row>
    <row r="9128">
      <c r="A9128" t="inlineStr">
        <is>
          <t>PRAGMA</t>
        </is>
      </c>
      <c r="B9128" t="inlineStr">
        <is>
          <t>M3</t>
        </is>
      </c>
      <c r="C9128" t="inlineStr">
        <is>
          <t>Cali</t>
        </is>
      </c>
      <c r="D9128" t="inlineStr">
        <is>
          <t>830</t>
        </is>
      </c>
      <c r="E9128" t="inlineStr">
        <is>
          <t>entradas</t>
        </is>
      </c>
      <c r="F9128" s="23" t="n">
        <v>46276</v>
      </c>
      <c r="G9128" s="24">
        <f>F9128-DATE(2026,8,31)</f>
        <v>11</v>
      </c>
      <c r="H9128" s="25" t="n">
        <v>169618904</v>
      </c>
      <c r="I9128" t="inlineStr">
        <is>
          <t>entidad-dia</t>
        </is>
      </c>
    </row>
    <row r="9129">
      <c r="A9129" t="inlineStr">
        <is>
          <t>PRAGMA</t>
        </is>
      </c>
      <c r="B9129" t="inlineStr">
        <is>
          <t>M3</t>
        </is>
      </c>
      <c r="C9129" t="inlineStr">
        <is>
          <t>Cali</t>
        </is>
      </c>
      <c r="D9129" t="inlineStr">
        <is>
          <t>830</t>
        </is>
      </c>
      <c r="E9129" t="inlineStr">
        <is>
          <t>salidas</t>
        </is>
      </c>
      <c r="F9129" s="23" t="n">
        <v>46276</v>
      </c>
      <c r="G9129" s="24">
        <f>F9129-DATE(2026,8,31)</f>
        <v>11</v>
      </c>
      <c r="H9129" s="25" t="n">
        <v>0</v>
      </c>
      <c r="I9129" t="inlineStr">
        <is>
          <t>entidad-dia</t>
        </is>
      </c>
    </row>
    <row r="9130">
      <c r="A9130" t="inlineStr">
        <is>
          <t>PRAGMA</t>
        </is>
      </c>
      <c r="B9130" t="inlineStr">
        <is>
          <t>M3</t>
        </is>
      </c>
      <c r="C9130" t="inlineStr">
        <is>
          <t>Cali</t>
        </is>
      </c>
      <c r="D9130" t="inlineStr">
        <is>
          <t>830</t>
        </is>
      </c>
      <c r="E9130" t="inlineStr">
        <is>
          <t>entradas</t>
        </is>
      </c>
      <c r="F9130" s="23" t="n">
        <v>46277</v>
      </c>
      <c r="G9130" s="24">
        <f>F9130-DATE(2026,8,31)</f>
        <v>12</v>
      </c>
      <c r="H9130" s="25" t="n">
        <v>134820999</v>
      </c>
      <c r="I9130" t="inlineStr">
        <is>
          <t>entidad-dia</t>
        </is>
      </c>
    </row>
    <row r="9131">
      <c r="A9131" t="inlineStr">
        <is>
          <t>PRAGMA</t>
        </is>
      </c>
      <c r="B9131" t="inlineStr">
        <is>
          <t>M3</t>
        </is>
      </c>
      <c r="C9131" t="inlineStr">
        <is>
          <t>Cali</t>
        </is>
      </c>
      <c r="D9131" t="inlineStr">
        <is>
          <t>830</t>
        </is>
      </c>
      <c r="E9131" t="inlineStr">
        <is>
          <t>salidas</t>
        </is>
      </c>
      <c r="F9131" s="23" t="n">
        <v>46277</v>
      </c>
      <c r="G9131" s="24">
        <f>F9131-DATE(2026,8,31)</f>
        <v>12</v>
      </c>
      <c r="H9131" s="25" t="n">
        <v>13876197</v>
      </c>
      <c r="I9131" t="inlineStr">
        <is>
          <t>entidad-dia</t>
        </is>
      </c>
    </row>
    <row r="9132">
      <c r="A9132" t="inlineStr">
        <is>
          <t>PRAGMA</t>
        </is>
      </c>
      <c r="B9132" t="inlineStr">
        <is>
          <t>M3</t>
        </is>
      </c>
      <c r="C9132" t="inlineStr">
        <is>
          <t>Cali</t>
        </is>
      </c>
      <c r="D9132" t="inlineStr">
        <is>
          <t>830</t>
        </is>
      </c>
      <c r="E9132" t="inlineStr">
        <is>
          <t>entradas</t>
        </is>
      </c>
      <c r="F9132" s="23" t="n">
        <v>46278</v>
      </c>
      <c r="G9132" s="24">
        <f>F9132-DATE(2026,8,31)</f>
        <v>13</v>
      </c>
      <c r="H9132" s="25" t="n">
        <v>65760</v>
      </c>
      <c r="I9132" t="inlineStr">
        <is>
          <t>entidad-dia</t>
        </is>
      </c>
    </row>
    <row r="9133">
      <c r="A9133" t="inlineStr">
        <is>
          <t>PRAGMA</t>
        </is>
      </c>
      <c r="B9133" t="inlineStr">
        <is>
          <t>M3</t>
        </is>
      </c>
      <c r="C9133" t="inlineStr">
        <is>
          <t>Cali</t>
        </is>
      </c>
      <c r="D9133" t="inlineStr">
        <is>
          <t>830</t>
        </is>
      </c>
      <c r="E9133" t="inlineStr">
        <is>
          <t>salidas</t>
        </is>
      </c>
      <c r="F9133" s="23" t="n">
        <v>46278</v>
      </c>
      <c r="G9133" s="24">
        <f>F9133-DATE(2026,8,31)</f>
        <v>13</v>
      </c>
      <c r="H9133" s="25" t="n">
        <v>0</v>
      </c>
      <c r="I9133" t="inlineStr">
        <is>
          <t>entidad-dia</t>
        </is>
      </c>
    </row>
    <row r="9134">
      <c r="A9134" t="inlineStr">
        <is>
          <t>PRAGMA</t>
        </is>
      </c>
      <c r="B9134" t="inlineStr">
        <is>
          <t>M3</t>
        </is>
      </c>
      <c r="C9134" t="inlineStr">
        <is>
          <t>Cali</t>
        </is>
      </c>
      <c r="D9134" t="inlineStr">
        <is>
          <t>830</t>
        </is>
      </c>
      <c r="E9134" t="inlineStr">
        <is>
          <t>entradas</t>
        </is>
      </c>
      <c r="F9134" s="23" t="n">
        <v>46279</v>
      </c>
      <c r="G9134" s="24">
        <f>F9134-DATE(2026,8,31)</f>
        <v>14</v>
      </c>
      <c r="H9134" s="25" t="n">
        <v>29285250</v>
      </c>
      <c r="I9134" t="inlineStr">
        <is>
          <t>entidad-dia</t>
        </is>
      </c>
    </row>
    <row r="9135">
      <c r="A9135" t="inlineStr">
        <is>
          <t>PRAGMA</t>
        </is>
      </c>
      <c r="B9135" t="inlineStr">
        <is>
          <t>M3</t>
        </is>
      </c>
      <c r="C9135" t="inlineStr">
        <is>
          <t>Cali</t>
        </is>
      </c>
      <c r="D9135" t="inlineStr">
        <is>
          <t>830</t>
        </is>
      </c>
      <c r="E9135" t="inlineStr">
        <is>
          <t>salidas</t>
        </is>
      </c>
      <c r="F9135" s="23" t="n">
        <v>46279</v>
      </c>
      <c r="G9135" s="24">
        <f>F9135-DATE(2026,8,31)</f>
        <v>14</v>
      </c>
      <c r="H9135" s="25" t="n">
        <v>19462193</v>
      </c>
      <c r="I9135" t="inlineStr">
        <is>
          <t>entidad-dia</t>
        </is>
      </c>
    </row>
    <row r="9136">
      <c r="A9136" t="inlineStr">
        <is>
          <t>PRAGMA</t>
        </is>
      </c>
      <c r="B9136" t="inlineStr">
        <is>
          <t>M3</t>
        </is>
      </c>
      <c r="C9136" t="inlineStr">
        <is>
          <t>Cali</t>
        </is>
      </c>
      <c r="D9136" t="inlineStr">
        <is>
          <t>830</t>
        </is>
      </c>
      <c r="E9136" t="inlineStr">
        <is>
          <t>entradas</t>
        </is>
      </c>
      <c r="F9136" s="23" t="n">
        <v>46280</v>
      </c>
      <c r="G9136" s="24">
        <f>F9136-DATE(2026,8,31)</f>
        <v>15</v>
      </c>
      <c r="H9136" s="25" t="n">
        <v>105886666</v>
      </c>
      <c r="I9136" t="inlineStr">
        <is>
          <t>entidad-dia</t>
        </is>
      </c>
    </row>
    <row r="9137">
      <c r="A9137" t="inlineStr">
        <is>
          <t>PRAGMA</t>
        </is>
      </c>
      <c r="B9137" t="inlineStr">
        <is>
          <t>M3</t>
        </is>
      </c>
      <c r="C9137" t="inlineStr">
        <is>
          <t>Cali</t>
        </is>
      </c>
      <c r="D9137" t="inlineStr">
        <is>
          <t>830</t>
        </is>
      </c>
      <c r="E9137" t="inlineStr">
        <is>
          <t>salidas</t>
        </is>
      </c>
      <c r="F9137" s="23" t="n">
        <v>46280</v>
      </c>
      <c r="G9137" s="24">
        <f>F9137-DATE(2026,8,31)</f>
        <v>15</v>
      </c>
      <c r="H9137" s="25" t="n">
        <v>35056889</v>
      </c>
      <c r="I9137" t="inlineStr">
        <is>
          <t>entidad-dia</t>
        </is>
      </c>
    </row>
    <row r="9138">
      <c r="A9138" t="inlineStr">
        <is>
          <t>PRAGMA</t>
        </is>
      </c>
      <c r="B9138" t="inlineStr">
        <is>
          <t>M3</t>
        </is>
      </c>
      <c r="C9138" t="inlineStr">
        <is>
          <t>Cali</t>
        </is>
      </c>
      <c r="D9138" t="inlineStr">
        <is>
          <t>834</t>
        </is>
      </c>
      <c r="E9138" t="inlineStr">
        <is>
          <t>entradas</t>
        </is>
      </c>
      <c r="F9138" s="23" t="n">
        <v>46266</v>
      </c>
      <c r="G9138" s="24">
        <f>F9138-DATE(2026,8,31)</f>
        <v>1</v>
      </c>
      <c r="H9138" s="25" t="n">
        <v>3459893930</v>
      </c>
      <c r="I9138" t="inlineStr">
        <is>
          <t>entidad-dia</t>
        </is>
      </c>
    </row>
    <row r="9139">
      <c r="A9139" t="inlineStr">
        <is>
          <t>PRAGMA</t>
        </is>
      </c>
      <c r="B9139" t="inlineStr">
        <is>
          <t>M3</t>
        </is>
      </c>
      <c r="C9139" t="inlineStr">
        <is>
          <t>Cali</t>
        </is>
      </c>
      <c r="D9139" t="inlineStr">
        <is>
          <t>834</t>
        </is>
      </c>
      <c r="E9139" t="inlineStr">
        <is>
          <t>salidas</t>
        </is>
      </c>
      <c r="F9139" s="23" t="n">
        <v>46266</v>
      </c>
      <c r="G9139" s="24">
        <f>F9139-DATE(2026,8,31)</f>
        <v>1</v>
      </c>
      <c r="H9139" s="25" t="n">
        <v>4240607838</v>
      </c>
      <c r="I9139" t="inlineStr">
        <is>
          <t>entidad-dia</t>
        </is>
      </c>
    </row>
    <row r="9140">
      <c r="A9140" t="inlineStr">
        <is>
          <t>PRAGMA</t>
        </is>
      </c>
      <c r="B9140" t="inlineStr">
        <is>
          <t>M3</t>
        </is>
      </c>
      <c r="C9140" t="inlineStr">
        <is>
          <t>Cali</t>
        </is>
      </c>
      <c r="D9140" t="inlineStr">
        <is>
          <t>834</t>
        </is>
      </c>
      <c r="E9140" t="inlineStr">
        <is>
          <t>entradas</t>
        </is>
      </c>
      <c r="F9140" s="23" t="n">
        <v>46267</v>
      </c>
      <c r="G9140" s="24">
        <f>F9140-DATE(2026,8,31)</f>
        <v>2</v>
      </c>
      <c r="H9140" s="25" t="n">
        <v>3491610927</v>
      </c>
      <c r="I9140" t="inlineStr">
        <is>
          <t>entidad-dia</t>
        </is>
      </c>
    </row>
    <row r="9141">
      <c r="A9141" t="inlineStr">
        <is>
          <t>PRAGMA</t>
        </is>
      </c>
      <c r="B9141" t="inlineStr">
        <is>
          <t>M3</t>
        </is>
      </c>
      <c r="C9141" t="inlineStr">
        <is>
          <t>Cali</t>
        </is>
      </c>
      <c r="D9141" t="inlineStr">
        <is>
          <t>834</t>
        </is>
      </c>
      <c r="E9141" t="inlineStr">
        <is>
          <t>salidas</t>
        </is>
      </c>
      <c r="F9141" s="23" t="n">
        <v>46267</v>
      </c>
      <c r="G9141" s="24">
        <f>F9141-DATE(2026,8,31)</f>
        <v>2</v>
      </c>
      <c r="H9141" s="25" t="n">
        <v>4324645187</v>
      </c>
      <c r="I9141" t="inlineStr">
        <is>
          <t>entidad-dia</t>
        </is>
      </c>
    </row>
    <row r="9142">
      <c r="A9142" t="inlineStr">
        <is>
          <t>PRAGMA</t>
        </is>
      </c>
      <c r="B9142" t="inlineStr">
        <is>
          <t>M3</t>
        </is>
      </c>
      <c r="C9142" t="inlineStr">
        <is>
          <t>Cali</t>
        </is>
      </c>
      <c r="D9142" t="inlineStr">
        <is>
          <t>834</t>
        </is>
      </c>
      <c r="E9142" t="inlineStr">
        <is>
          <t>entradas</t>
        </is>
      </c>
      <c r="F9142" s="23" t="n">
        <v>46268</v>
      </c>
      <c r="G9142" s="24">
        <f>F9142-DATE(2026,8,31)</f>
        <v>3</v>
      </c>
      <c r="H9142" s="25" t="n">
        <v>3112388371</v>
      </c>
      <c r="I9142" t="inlineStr">
        <is>
          <t>entidad-dia</t>
        </is>
      </c>
    </row>
    <row r="9143">
      <c r="A9143" t="inlineStr">
        <is>
          <t>PRAGMA</t>
        </is>
      </c>
      <c r="B9143" t="inlineStr">
        <is>
          <t>M3</t>
        </is>
      </c>
      <c r="C9143" t="inlineStr">
        <is>
          <t>Cali</t>
        </is>
      </c>
      <c r="D9143" t="inlineStr">
        <is>
          <t>834</t>
        </is>
      </c>
      <c r="E9143" t="inlineStr">
        <is>
          <t>salidas</t>
        </is>
      </c>
      <c r="F9143" s="23" t="n">
        <v>46268</v>
      </c>
      <c r="G9143" s="24">
        <f>F9143-DATE(2026,8,31)</f>
        <v>3</v>
      </c>
      <c r="H9143" s="25" t="n">
        <v>3056791466</v>
      </c>
      <c r="I9143" t="inlineStr">
        <is>
          <t>entidad-dia</t>
        </is>
      </c>
    </row>
    <row r="9144">
      <c r="A9144" t="inlineStr">
        <is>
          <t>PRAGMA</t>
        </is>
      </c>
      <c r="B9144" t="inlineStr">
        <is>
          <t>M3</t>
        </is>
      </c>
      <c r="C9144" t="inlineStr">
        <is>
          <t>Cali</t>
        </is>
      </c>
      <c r="D9144" t="inlineStr">
        <is>
          <t>834</t>
        </is>
      </c>
      <c r="E9144" t="inlineStr">
        <is>
          <t>entradas</t>
        </is>
      </c>
      <c r="F9144" s="23" t="n">
        <v>46269</v>
      </c>
      <c r="G9144" s="24">
        <f>F9144-DATE(2026,8,31)</f>
        <v>4</v>
      </c>
      <c r="H9144" s="25" t="n">
        <v>3650273260</v>
      </c>
      <c r="I9144" t="inlineStr">
        <is>
          <t>entidad-dia</t>
        </is>
      </c>
    </row>
    <row r="9145">
      <c r="A9145" t="inlineStr">
        <is>
          <t>PRAGMA</t>
        </is>
      </c>
      <c r="B9145" t="inlineStr">
        <is>
          <t>M3</t>
        </is>
      </c>
      <c r="C9145" t="inlineStr">
        <is>
          <t>Cali</t>
        </is>
      </c>
      <c r="D9145" t="inlineStr">
        <is>
          <t>834</t>
        </is>
      </c>
      <c r="E9145" t="inlineStr">
        <is>
          <t>salidas</t>
        </is>
      </c>
      <c r="F9145" s="23" t="n">
        <v>46269</v>
      </c>
      <c r="G9145" s="24">
        <f>F9145-DATE(2026,8,31)</f>
        <v>4</v>
      </c>
      <c r="H9145" s="25" t="n">
        <v>4587322733</v>
      </c>
      <c r="I9145" t="inlineStr">
        <is>
          <t>entidad-dia</t>
        </is>
      </c>
    </row>
    <row r="9146">
      <c r="A9146" t="inlineStr">
        <is>
          <t>PRAGMA</t>
        </is>
      </c>
      <c r="B9146" t="inlineStr">
        <is>
          <t>M3</t>
        </is>
      </c>
      <c r="C9146" t="inlineStr">
        <is>
          <t>Cali</t>
        </is>
      </c>
      <c r="D9146" t="inlineStr">
        <is>
          <t>834</t>
        </is>
      </c>
      <c r="E9146" t="inlineStr">
        <is>
          <t>entradas</t>
        </is>
      </c>
      <c r="F9146" s="23" t="n">
        <v>46270</v>
      </c>
      <c r="G9146" s="24">
        <f>F9146-DATE(2026,8,31)</f>
        <v>5</v>
      </c>
      <c r="H9146" s="25" t="n">
        <v>1417316845</v>
      </c>
      <c r="I9146" t="inlineStr">
        <is>
          <t>entidad-dia</t>
        </is>
      </c>
    </row>
    <row r="9147">
      <c r="A9147" t="inlineStr">
        <is>
          <t>PRAGMA</t>
        </is>
      </c>
      <c r="B9147" t="inlineStr">
        <is>
          <t>M3</t>
        </is>
      </c>
      <c r="C9147" t="inlineStr">
        <is>
          <t>Cali</t>
        </is>
      </c>
      <c r="D9147" t="inlineStr">
        <is>
          <t>834</t>
        </is>
      </c>
      <c r="E9147" t="inlineStr">
        <is>
          <t>salidas</t>
        </is>
      </c>
      <c r="F9147" s="23" t="n">
        <v>46270</v>
      </c>
      <c r="G9147" s="24">
        <f>F9147-DATE(2026,8,31)</f>
        <v>5</v>
      </c>
      <c r="H9147" s="25" t="n">
        <v>2061116451</v>
      </c>
      <c r="I9147" t="inlineStr">
        <is>
          <t>entidad-dia</t>
        </is>
      </c>
    </row>
    <row r="9148">
      <c r="A9148" t="inlineStr">
        <is>
          <t>PRAGMA</t>
        </is>
      </c>
      <c r="B9148" t="inlineStr">
        <is>
          <t>M3</t>
        </is>
      </c>
      <c r="C9148" t="inlineStr">
        <is>
          <t>Cali</t>
        </is>
      </c>
      <c r="D9148" t="inlineStr">
        <is>
          <t>834</t>
        </is>
      </c>
      <c r="E9148" t="inlineStr">
        <is>
          <t>entradas</t>
        </is>
      </c>
      <c r="F9148" s="23" t="n">
        <v>46271</v>
      </c>
      <c r="G9148" s="24">
        <f>F9148-DATE(2026,8,31)</f>
        <v>6</v>
      </c>
      <c r="H9148" s="25" t="n">
        <v>5318094</v>
      </c>
      <c r="I9148" t="inlineStr">
        <is>
          <t>entidad-dia</t>
        </is>
      </c>
    </row>
    <row r="9149">
      <c r="A9149" t="inlineStr">
        <is>
          <t>PRAGMA</t>
        </is>
      </c>
      <c r="B9149" t="inlineStr">
        <is>
          <t>M3</t>
        </is>
      </c>
      <c r="C9149" t="inlineStr">
        <is>
          <t>Cali</t>
        </is>
      </c>
      <c r="D9149" t="inlineStr">
        <is>
          <t>834</t>
        </is>
      </c>
      <c r="E9149" t="inlineStr">
        <is>
          <t>salidas</t>
        </is>
      </c>
      <c r="F9149" s="23" t="n">
        <v>46271</v>
      </c>
      <c r="G9149" s="24">
        <f>F9149-DATE(2026,8,31)</f>
        <v>6</v>
      </c>
      <c r="H9149" s="25" t="n">
        <v>3648019</v>
      </c>
      <c r="I9149" t="inlineStr">
        <is>
          <t>entidad-dia</t>
        </is>
      </c>
    </row>
    <row r="9150">
      <c r="A9150" t="inlineStr">
        <is>
          <t>PRAGMA</t>
        </is>
      </c>
      <c r="B9150" t="inlineStr">
        <is>
          <t>M3</t>
        </is>
      </c>
      <c r="C9150" t="inlineStr">
        <is>
          <t>Cali</t>
        </is>
      </c>
      <c r="D9150" t="inlineStr">
        <is>
          <t>834</t>
        </is>
      </c>
      <c r="E9150" t="inlineStr">
        <is>
          <t>entradas</t>
        </is>
      </c>
      <c r="F9150" s="23" t="n">
        <v>46272</v>
      </c>
      <c r="G9150" s="24">
        <f>F9150-DATE(2026,8,31)</f>
        <v>7</v>
      </c>
      <c r="H9150" s="25" t="n">
        <v>3151739417</v>
      </c>
      <c r="I9150" t="inlineStr">
        <is>
          <t>entidad-dia</t>
        </is>
      </c>
    </row>
    <row r="9151">
      <c r="A9151" t="inlineStr">
        <is>
          <t>PRAGMA</t>
        </is>
      </c>
      <c r="B9151" t="inlineStr">
        <is>
          <t>M3</t>
        </is>
      </c>
      <c r="C9151" t="inlineStr">
        <is>
          <t>Cali</t>
        </is>
      </c>
      <c r="D9151" t="inlineStr">
        <is>
          <t>834</t>
        </is>
      </c>
      <c r="E9151" t="inlineStr">
        <is>
          <t>salidas</t>
        </is>
      </c>
      <c r="F9151" s="23" t="n">
        <v>46272</v>
      </c>
      <c r="G9151" s="24">
        <f>F9151-DATE(2026,8,31)</f>
        <v>7</v>
      </c>
      <c r="H9151" s="25" t="n">
        <v>3700800469</v>
      </c>
      <c r="I9151" t="inlineStr">
        <is>
          <t>entidad-dia</t>
        </is>
      </c>
    </row>
    <row r="9152">
      <c r="A9152" t="inlineStr">
        <is>
          <t>PRAGMA</t>
        </is>
      </c>
      <c r="B9152" t="inlineStr">
        <is>
          <t>M3</t>
        </is>
      </c>
      <c r="C9152" t="inlineStr">
        <is>
          <t>Cali</t>
        </is>
      </c>
      <c r="D9152" t="inlineStr">
        <is>
          <t>834</t>
        </is>
      </c>
      <c r="E9152" t="inlineStr">
        <is>
          <t>entradas</t>
        </is>
      </c>
      <c r="F9152" s="23" t="n">
        <v>46273</v>
      </c>
      <c r="G9152" s="24">
        <f>F9152-DATE(2026,8,31)</f>
        <v>8</v>
      </c>
      <c r="H9152" s="25" t="n">
        <v>3588946637</v>
      </c>
      <c r="I9152" t="inlineStr">
        <is>
          <t>entidad-dia</t>
        </is>
      </c>
    </row>
    <row r="9153">
      <c r="A9153" t="inlineStr">
        <is>
          <t>PRAGMA</t>
        </is>
      </c>
      <c r="B9153" t="inlineStr">
        <is>
          <t>M3</t>
        </is>
      </c>
      <c r="C9153" t="inlineStr">
        <is>
          <t>Cali</t>
        </is>
      </c>
      <c r="D9153" t="inlineStr">
        <is>
          <t>834</t>
        </is>
      </c>
      <c r="E9153" t="inlineStr">
        <is>
          <t>salidas</t>
        </is>
      </c>
      <c r="F9153" s="23" t="n">
        <v>46273</v>
      </c>
      <c r="G9153" s="24">
        <f>F9153-DATE(2026,8,31)</f>
        <v>8</v>
      </c>
      <c r="H9153" s="25" t="n">
        <v>4135114015</v>
      </c>
      <c r="I9153" t="inlineStr">
        <is>
          <t>entidad-dia</t>
        </is>
      </c>
    </row>
    <row r="9154">
      <c r="A9154" t="inlineStr">
        <is>
          <t>PRAGMA</t>
        </is>
      </c>
      <c r="B9154" t="inlineStr">
        <is>
          <t>M3</t>
        </is>
      </c>
      <c r="C9154" t="inlineStr">
        <is>
          <t>Cali</t>
        </is>
      </c>
      <c r="D9154" t="inlineStr">
        <is>
          <t>834</t>
        </is>
      </c>
      <c r="E9154" t="inlineStr">
        <is>
          <t>entradas</t>
        </is>
      </c>
      <c r="F9154" s="23" t="n">
        <v>46274</v>
      </c>
      <c r="G9154" s="24">
        <f>F9154-DATE(2026,8,31)</f>
        <v>9</v>
      </c>
      <c r="H9154" s="25" t="n">
        <v>3521936651</v>
      </c>
      <c r="I9154" t="inlineStr">
        <is>
          <t>entidad-dia</t>
        </is>
      </c>
    </row>
    <row r="9155">
      <c r="A9155" t="inlineStr">
        <is>
          <t>PRAGMA</t>
        </is>
      </c>
      <c r="B9155" t="inlineStr">
        <is>
          <t>M3</t>
        </is>
      </c>
      <c r="C9155" t="inlineStr">
        <is>
          <t>Cali</t>
        </is>
      </c>
      <c r="D9155" t="inlineStr">
        <is>
          <t>834</t>
        </is>
      </c>
      <c r="E9155" t="inlineStr">
        <is>
          <t>salidas</t>
        </is>
      </c>
      <c r="F9155" s="23" t="n">
        <v>46274</v>
      </c>
      <c r="G9155" s="24">
        <f>F9155-DATE(2026,8,31)</f>
        <v>9</v>
      </c>
      <c r="H9155" s="25" t="n">
        <v>4235562143</v>
      </c>
      <c r="I9155" t="inlineStr">
        <is>
          <t>entidad-dia</t>
        </is>
      </c>
    </row>
    <row r="9156">
      <c r="A9156" t="inlineStr">
        <is>
          <t>PRAGMA</t>
        </is>
      </c>
      <c r="B9156" t="inlineStr">
        <is>
          <t>M3</t>
        </is>
      </c>
      <c r="C9156" t="inlineStr">
        <is>
          <t>Cali</t>
        </is>
      </c>
      <c r="D9156" t="inlineStr">
        <is>
          <t>834</t>
        </is>
      </c>
      <c r="E9156" t="inlineStr">
        <is>
          <t>entradas</t>
        </is>
      </c>
      <c r="F9156" s="23" t="n">
        <v>46275</v>
      </c>
      <c r="G9156" s="24">
        <f>F9156-DATE(2026,8,31)</f>
        <v>10</v>
      </c>
      <c r="H9156" s="25" t="n">
        <v>3066339685</v>
      </c>
      <c r="I9156" t="inlineStr">
        <is>
          <t>entidad-dia</t>
        </is>
      </c>
    </row>
    <row r="9157">
      <c r="A9157" t="inlineStr">
        <is>
          <t>PRAGMA</t>
        </is>
      </c>
      <c r="B9157" t="inlineStr">
        <is>
          <t>M3</t>
        </is>
      </c>
      <c r="C9157" t="inlineStr">
        <is>
          <t>Cali</t>
        </is>
      </c>
      <c r="D9157" t="inlineStr">
        <is>
          <t>834</t>
        </is>
      </c>
      <c r="E9157" t="inlineStr">
        <is>
          <t>salidas</t>
        </is>
      </c>
      <c r="F9157" s="23" t="n">
        <v>46275</v>
      </c>
      <c r="G9157" s="24">
        <f>F9157-DATE(2026,8,31)</f>
        <v>10</v>
      </c>
      <c r="H9157" s="25" t="n">
        <v>4036001329</v>
      </c>
      <c r="I9157" t="inlineStr">
        <is>
          <t>entidad-dia</t>
        </is>
      </c>
    </row>
    <row r="9158">
      <c r="A9158" t="inlineStr">
        <is>
          <t>PRAGMA</t>
        </is>
      </c>
      <c r="B9158" t="inlineStr">
        <is>
          <t>M3</t>
        </is>
      </c>
      <c r="C9158" t="inlineStr">
        <is>
          <t>Cali</t>
        </is>
      </c>
      <c r="D9158" t="inlineStr">
        <is>
          <t>834</t>
        </is>
      </c>
      <c r="E9158" t="inlineStr">
        <is>
          <t>entradas</t>
        </is>
      </c>
      <c r="F9158" s="23" t="n">
        <v>46276</v>
      </c>
      <c r="G9158" s="24">
        <f>F9158-DATE(2026,8,31)</f>
        <v>11</v>
      </c>
      <c r="H9158" s="25" t="n">
        <v>3551146742</v>
      </c>
      <c r="I9158" t="inlineStr">
        <is>
          <t>entidad-dia</t>
        </is>
      </c>
    </row>
    <row r="9159">
      <c r="A9159" t="inlineStr">
        <is>
          <t>PRAGMA</t>
        </is>
      </c>
      <c r="B9159" t="inlineStr">
        <is>
          <t>M3</t>
        </is>
      </c>
      <c r="C9159" t="inlineStr">
        <is>
          <t>Cali</t>
        </is>
      </c>
      <c r="D9159" t="inlineStr">
        <is>
          <t>834</t>
        </is>
      </c>
      <c r="E9159" t="inlineStr">
        <is>
          <t>salidas</t>
        </is>
      </c>
      <c r="F9159" s="23" t="n">
        <v>46276</v>
      </c>
      <c r="G9159" s="24">
        <f>F9159-DATE(2026,8,31)</f>
        <v>11</v>
      </c>
      <c r="H9159" s="25" t="n">
        <v>4341111414</v>
      </c>
      <c r="I9159" t="inlineStr">
        <is>
          <t>entidad-dia</t>
        </is>
      </c>
    </row>
    <row r="9160">
      <c r="A9160" t="inlineStr">
        <is>
          <t>PRAGMA</t>
        </is>
      </c>
      <c r="B9160" t="inlineStr">
        <is>
          <t>M3</t>
        </is>
      </c>
      <c r="C9160" t="inlineStr">
        <is>
          <t>Cali</t>
        </is>
      </c>
      <c r="D9160" t="inlineStr">
        <is>
          <t>834</t>
        </is>
      </c>
      <c r="E9160" t="inlineStr">
        <is>
          <t>entradas</t>
        </is>
      </c>
      <c r="F9160" s="23" t="n">
        <v>46277</v>
      </c>
      <c r="G9160" s="24">
        <f>F9160-DATE(2026,8,31)</f>
        <v>12</v>
      </c>
      <c r="H9160" s="25" t="n">
        <v>1400527083</v>
      </c>
      <c r="I9160" t="inlineStr">
        <is>
          <t>entidad-dia</t>
        </is>
      </c>
    </row>
    <row r="9161">
      <c r="A9161" t="inlineStr">
        <is>
          <t>PRAGMA</t>
        </is>
      </c>
      <c r="B9161" t="inlineStr">
        <is>
          <t>M3</t>
        </is>
      </c>
      <c r="C9161" t="inlineStr">
        <is>
          <t>Cali</t>
        </is>
      </c>
      <c r="D9161" t="inlineStr">
        <is>
          <t>834</t>
        </is>
      </c>
      <c r="E9161" t="inlineStr">
        <is>
          <t>salidas</t>
        </is>
      </c>
      <c r="F9161" s="23" t="n">
        <v>46277</v>
      </c>
      <c r="G9161" s="24">
        <f>F9161-DATE(2026,8,31)</f>
        <v>12</v>
      </c>
      <c r="H9161" s="25" t="n">
        <v>2058375622</v>
      </c>
      <c r="I9161" t="inlineStr">
        <is>
          <t>entidad-dia</t>
        </is>
      </c>
    </row>
    <row r="9162">
      <c r="A9162" t="inlineStr">
        <is>
          <t>PRAGMA</t>
        </is>
      </c>
      <c r="B9162" t="inlineStr">
        <is>
          <t>M3</t>
        </is>
      </c>
      <c r="C9162" t="inlineStr">
        <is>
          <t>Cali</t>
        </is>
      </c>
      <c r="D9162" t="inlineStr">
        <is>
          <t>834</t>
        </is>
      </c>
      <c r="E9162" t="inlineStr">
        <is>
          <t>entradas</t>
        </is>
      </c>
      <c r="F9162" s="23" t="n">
        <v>46278</v>
      </c>
      <c r="G9162" s="24">
        <f>F9162-DATE(2026,8,31)</f>
        <v>13</v>
      </c>
      <c r="H9162" s="25" t="n">
        <v>109230</v>
      </c>
      <c r="I9162" t="inlineStr">
        <is>
          <t>entidad-dia</t>
        </is>
      </c>
    </row>
    <row r="9163">
      <c r="A9163" t="inlineStr">
        <is>
          <t>PRAGMA</t>
        </is>
      </c>
      <c r="B9163" t="inlineStr">
        <is>
          <t>M3</t>
        </is>
      </c>
      <c r="C9163" t="inlineStr">
        <is>
          <t>Cali</t>
        </is>
      </c>
      <c r="D9163" t="inlineStr">
        <is>
          <t>834</t>
        </is>
      </c>
      <c r="E9163" t="inlineStr">
        <is>
          <t>salidas</t>
        </is>
      </c>
      <c r="F9163" s="23" t="n">
        <v>46278</v>
      </c>
      <c r="G9163" s="24">
        <f>F9163-DATE(2026,8,31)</f>
        <v>13</v>
      </c>
      <c r="H9163" s="25" t="n">
        <v>0</v>
      </c>
      <c r="I9163" t="inlineStr">
        <is>
          <t>entidad-dia</t>
        </is>
      </c>
    </row>
    <row r="9164">
      <c r="A9164" t="inlineStr">
        <is>
          <t>PRAGMA</t>
        </is>
      </c>
      <c r="B9164" t="inlineStr">
        <is>
          <t>M3</t>
        </is>
      </c>
      <c r="C9164" t="inlineStr">
        <is>
          <t>Cali</t>
        </is>
      </c>
      <c r="D9164" t="inlineStr">
        <is>
          <t>834</t>
        </is>
      </c>
      <c r="E9164" t="inlineStr">
        <is>
          <t>entradas</t>
        </is>
      </c>
      <c r="F9164" s="23" t="n">
        <v>46279</v>
      </c>
      <c r="G9164" s="24">
        <f>F9164-DATE(2026,8,31)</f>
        <v>14</v>
      </c>
      <c r="H9164" s="25" t="n">
        <v>3192684874</v>
      </c>
      <c r="I9164" t="inlineStr">
        <is>
          <t>entidad-dia</t>
        </is>
      </c>
    </row>
    <row r="9165">
      <c r="A9165" t="inlineStr">
        <is>
          <t>PRAGMA</t>
        </is>
      </c>
      <c r="B9165" t="inlineStr">
        <is>
          <t>M3</t>
        </is>
      </c>
      <c r="C9165" t="inlineStr">
        <is>
          <t>Cali</t>
        </is>
      </c>
      <c r="D9165" t="inlineStr">
        <is>
          <t>834</t>
        </is>
      </c>
      <c r="E9165" t="inlineStr">
        <is>
          <t>salidas</t>
        </is>
      </c>
      <c r="F9165" s="23" t="n">
        <v>46279</v>
      </c>
      <c r="G9165" s="24">
        <f>F9165-DATE(2026,8,31)</f>
        <v>14</v>
      </c>
      <c r="H9165" s="25" t="n">
        <v>4010045010</v>
      </c>
      <c r="I9165" t="inlineStr">
        <is>
          <t>entidad-dia</t>
        </is>
      </c>
    </row>
    <row r="9166">
      <c r="A9166" t="inlineStr">
        <is>
          <t>PRAGMA</t>
        </is>
      </c>
      <c r="B9166" t="inlineStr">
        <is>
          <t>M3</t>
        </is>
      </c>
      <c r="C9166" t="inlineStr">
        <is>
          <t>Cali</t>
        </is>
      </c>
      <c r="D9166" t="inlineStr">
        <is>
          <t>834</t>
        </is>
      </c>
      <c r="E9166" t="inlineStr">
        <is>
          <t>entradas</t>
        </is>
      </c>
      <c r="F9166" s="23" t="n">
        <v>46280</v>
      </c>
      <c r="G9166" s="24">
        <f>F9166-DATE(2026,8,31)</f>
        <v>15</v>
      </c>
      <c r="H9166" s="25" t="n">
        <v>3540681290</v>
      </c>
      <c r="I9166" t="inlineStr">
        <is>
          <t>entidad-dia</t>
        </is>
      </c>
    </row>
    <row r="9167">
      <c r="A9167" t="inlineStr">
        <is>
          <t>PRAGMA</t>
        </is>
      </c>
      <c r="B9167" t="inlineStr">
        <is>
          <t>M3</t>
        </is>
      </c>
      <c r="C9167" t="inlineStr">
        <is>
          <t>Cali</t>
        </is>
      </c>
      <c r="D9167" t="inlineStr">
        <is>
          <t>834</t>
        </is>
      </c>
      <c r="E9167" t="inlineStr">
        <is>
          <t>salidas</t>
        </is>
      </c>
      <c r="F9167" s="23" t="n">
        <v>46280</v>
      </c>
      <c r="G9167" s="24">
        <f>F9167-DATE(2026,8,31)</f>
        <v>15</v>
      </c>
      <c r="H9167" s="25" t="n">
        <v>4126386980</v>
      </c>
      <c r="I9167" t="inlineStr">
        <is>
          <t>entidad-dia</t>
        </is>
      </c>
    </row>
    <row r="9168">
      <c r="A9168" t="inlineStr">
        <is>
          <t>PRAGMA</t>
        </is>
      </c>
      <c r="B9168" t="inlineStr">
        <is>
          <t>M3</t>
        </is>
      </c>
      <c r="C9168" t="inlineStr">
        <is>
          <t>Cali</t>
        </is>
      </c>
      <c r="D9168" t="inlineStr">
        <is>
          <t>841</t>
        </is>
      </c>
      <c r="E9168" t="inlineStr">
        <is>
          <t>entradas</t>
        </is>
      </c>
      <c r="F9168" s="23" t="n">
        <v>46266</v>
      </c>
      <c r="G9168" s="24">
        <f>F9168-DATE(2026,8,31)</f>
        <v>1</v>
      </c>
      <c r="H9168" s="25" t="n">
        <v>1376003448</v>
      </c>
      <c r="I9168" t="inlineStr">
        <is>
          <t>entidad-dia</t>
        </is>
      </c>
    </row>
    <row r="9169">
      <c r="A9169" t="inlineStr">
        <is>
          <t>PRAGMA</t>
        </is>
      </c>
      <c r="B9169" t="inlineStr">
        <is>
          <t>M3</t>
        </is>
      </c>
      <c r="C9169" t="inlineStr">
        <is>
          <t>Cali</t>
        </is>
      </c>
      <c r="D9169" t="inlineStr">
        <is>
          <t>841</t>
        </is>
      </c>
      <c r="E9169" t="inlineStr">
        <is>
          <t>salidas</t>
        </is>
      </c>
      <c r="F9169" s="23" t="n">
        <v>46266</v>
      </c>
      <c r="G9169" s="24">
        <f>F9169-DATE(2026,8,31)</f>
        <v>1</v>
      </c>
      <c r="H9169" s="25" t="n">
        <v>923650724</v>
      </c>
      <c r="I9169" t="inlineStr">
        <is>
          <t>entidad-dia</t>
        </is>
      </c>
    </row>
    <row r="9170">
      <c r="A9170" t="inlineStr">
        <is>
          <t>PRAGMA</t>
        </is>
      </c>
      <c r="B9170" t="inlineStr">
        <is>
          <t>M3</t>
        </is>
      </c>
      <c r="C9170" t="inlineStr">
        <is>
          <t>Cali</t>
        </is>
      </c>
      <c r="D9170" t="inlineStr">
        <is>
          <t>841</t>
        </is>
      </c>
      <c r="E9170" t="inlineStr">
        <is>
          <t>entradas</t>
        </is>
      </c>
      <c r="F9170" s="23" t="n">
        <v>46267</v>
      </c>
      <c r="G9170" s="24">
        <f>F9170-DATE(2026,8,31)</f>
        <v>2</v>
      </c>
      <c r="H9170" s="25" t="n">
        <v>1359072023</v>
      </c>
      <c r="I9170" t="inlineStr">
        <is>
          <t>entidad-dia</t>
        </is>
      </c>
    </row>
    <row r="9171">
      <c r="A9171" t="inlineStr">
        <is>
          <t>PRAGMA</t>
        </is>
      </c>
      <c r="B9171" t="inlineStr">
        <is>
          <t>M3</t>
        </is>
      </c>
      <c r="C9171" t="inlineStr">
        <is>
          <t>Cali</t>
        </is>
      </c>
      <c r="D9171" t="inlineStr">
        <is>
          <t>841</t>
        </is>
      </c>
      <c r="E9171" t="inlineStr">
        <is>
          <t>salidas</t>
        </is>
      </c>
      <c r="F9171" s="23" t="n">
        <v>46267</v>
      </c>
      <c r="G9171" s="24">
        <f>F9171-DATE(2026,8,31)</f>
        <v>2</v>
      </c>
      <c r="H9171" s="25" t="n">
        <v>912517155</v>
      </c>
      <c r="I9171" t="inlineStr">
        <is>
          <t>entidad-dia</t>
        </is>
      </c>
    </row>
    <row r="9172">
      <c r="A9172" t="inlineStr">
        <is>
          <t>PRAGMA</t>
        </is>
      </c>
      <c r="B9172" t="inlineStr">
        <is>
          <t>M3</t>
        </is>
      </c>
      <c r="C9172" t="inlineStr">
        <is>
          <t>Cali</t>
        </is>
      </c>
      <c r="D9172" t="inlineStr">
        <is>
          <t>841</t>
        </is>
      </c>
      <c r="E9172" t="inlineStr">
        <is>
          <t>entradas</t>
        </is>
      </c>
      <c r="F9172" s="23" t="n">
        <v>46268</v>
      </c>
      <c r="G9172" s="24">
        <f>F9172-DATE(2026,8,31)</f>
        <v>3</v>
      </c>
      <c r="H9172" s="25" t="n">
        <v>1086034444</v>
      </c>
      <c r="I9172" t="inlineStr">
        <is>
          <t>entidad-dia</t>
        </is>
      </c>
    </row>
    <row r="9173">
      <c r="A9173" t="inlineStr">
        <is>
          <t>PRAGMA</t>
        </is>
      </c>
      <c r="B9173" t="inlineStr">
        <is>
          <t>M3</t>
        </is>
      </c>
      <c r="C9173" t="inlineStr">
        <is>
          <t>Cali</t>
        </is>
      </c>
      <c r="D9173" t="inlineStr">
        <is>
          <t>841</t>
        </is>
      </c>
      <c r="E9173" t="inlineStr">
        <is>
          <t>salidas</t>
        </is>
      </c>
      <c r="F9173" s="23" t="n">
        <v>46268</v>
      </c>
      <c r="G9173" s="24">
        <f>F9173-DATE(2026,8,31)</f>
        <v>3</v>
      </c>
      <c r="H9173" s="25" t="n">
        <v>562286519</v>
      </c>
      <c r="I9173" t="inlineStr">
        <is>
          <t>entidad-dia</t>
        </is>
      </c>
    </row>
    <row r="9174">
      <c r="A9174" t="inlineStr">
        <is>
          <t>PRAGMA</t>
        </is>
      </c>
      <c r="B9174" t="inlineStr">
        <is>
          <t>M3</t>
        </is>
      </c>
      <c r="C9174" t="inlineStr">
        <is>
          <t>Cali</t>
        </is>
      </c>
      <c r="D9174" t="inlineStr">
        <is>
          <t>841</t>
        </is>
      </c>
      <c r="E9174" t="inlineStr">
        <is>
          <t>entradas</t>
        </is>
      </c>
      <c r="F9174" s="23" t="n">
        <v>46269</v>
      </c>
      <c r="G9174" s="24">
        <f>F9174-DATE(2026,8,31)</f>
        <v>4</v>
      </c>
      <c r="H9174" s="25" t="n">
        <v>1385620686</v>
      </c>
      <c r="I9174" t="inlineStr">
        <is>
          <t>entidad-dia</t>
        </is>
      </c>
    </row>
    <row r="9175">
      <c r="A9175" t="inlineStr">
        <is>
          <t>PRAGMA</t>
        </is>
      </c>
      <c r="B9175" t="inlineStr">
        <is>
          <t>M3</t>
        </is>
      </c>
      <c r="C9175" t="inlineStr">
        <is>
          <t>Cali</t>
        </is>
      </c>
      <c r="D9175" t="inlineStr">
        <is>
          <t>841</t>
        </is>
      </c>
      <c r="E9175" t="inlineStr">
        <is>
          <t>salidas</t>
        </is>
      </c>
      <c r="F9175" s="23" t="n">
        <v>46269</v>
      </c>
      <c r="G9175" s="24">
        <f>F9175-DATE(2026,8,31)</f>
        <v>4</v>
      </c>
      <c r="H9175" s="25" t="n">
        <v>939808274</v>
      </c>
      <c r="I9175" t="inlineStr">
        <is>
          <t>entidad-dia</t>
        </is>
      </c>
    </row>
    <row r="9176">
      <c r="A9176" t="inlineStr">
        <is>
          <t>PRAGMA</t>
        </is>
      </c>
      <c r="B9176" t="inlineStr">
        <is>
          <t>M3</t>
        </is>
      </c>
      <c r="C9176" t="inlineStr">
        <is>
          <t>Cali</t>
        </is>
      </c>
      <c r="D9176" t="inlineStr">
        <is>
          <t>841</t>
        </is>
      </c>
      <c r="E9176" t="inlineStr">
        <is>
          <t>entradas</t>
        </is>
      </c>
      <c r="F9176" s="23" t="n">
        <v>46270</v>
      </c>
      <c r="G9176" s="24">
        <f>F9176-DATE(2026,8,31)</f>
        <v>5</v>
      </c>
      <c r="H9176" s="25" t="n">
        <v>634228790</v>
      </c>
      <c r="I9176" t="inlineStr">
        <is>
          <t>entidad-dia</t>
        </is>
      </c>
    </row>
    <row r="9177">
      <c r="A9177" t="inlineStr">
        <is>
          <t>PRAGMA</t>
        </is>
      </c>
      <c r="B9177" t="inlineStr">
        <is>
          <t>M3</t>
        </is>
      </c>
      <c r="C9177" t="inlineStr">
        <is>
          <t>Cali</t>
        </is>
      </c>
      <c r="D9177" t="inlineStr">
        <is>
          <t>841</t>
        </is>
      </c>
      <c r="E9177" t="inlineStr">
        <is>
          <t>salidas</t>
        </is>
      </c>
      <c r="F9177" s="23" t="n">
        <v>46270</v>
      </c>
      <c r="G9177" s="24">
        <f>F9177-DATE(2026,8,31)</f>
        <v>5</v>
      </c>
      <c r="H9177" s="25" t="n">
        <v>538169880</v>
      </c>
      <c r="I9177" t="inlineStr">
        <is>
          <t>entidad-dia</t>
        </is>
      </c>
    </row>
    <row r="9178">
      <c r="A9178" t="inlineStr">
        <is>
          <t>PRAGMA</t>
        </is>
      </c>
      <c r="B9178" t="inlineStr">
        <is>
          <t>M3</t>
        </is>
      </c>
      <c r="C9178" t="inlineStr">
        <is>
          <t>Cali</t>
        </is>
      </c>
      <c r="D9178" t="inlineStr">
        <is>
          <t>841</t>
        </is>
      </c>
      <c r="E9178" t="inlineStr">
        <is>
          <t>entradas</t>
        </is>
      </c>
      <c r="F9178" s="23" t="n">
        <v>46271</v>
      </c>
      <c r="G9178" s="24">
        <f>F9178-DATE(2026,8,31)</f>
        <v>6</v>
      </c>
      <c r="H9178" s="25" t="n">
        <v>1320864</v>
      </c>
      <c r="I9178" t="inlineStr">
        <is>
          <t>entidad-dia</t>
        </is>
      </c>
    </row>
    <row r="9179">
      <c r="A9179" t="inlineStr">
        <is>
          <t>PRAGMA</t>
        </is>
      </c>
      <c r="B9179" t="inlineStr">
        <is>
          <t>M3</t>
        </is>
      </c>
      <c r="C9179" t="inlineStr">
        <is>
          <t>Cali</t>
        </is>
      </c>
      <c r="D9179" t="inlineStr">
        <is>
          <t>841</t>
        </is>
      </c>
      <c r="E9179" t="inlineStr">
        <is>
          <t>salidas</t>
        </is>
      </c>
      <c r="F9179" s="23" t="n">
        <v>46271</v>
      </c>
      <c r="G9179" s="24">
        <f>F9179-DATE(2026,8,31)</f>
        <v>6</v>
      </c>
      <c r="H9179" s="25" t="n">
        <v>0</v>
      </c>
      <c r="I9179" t="inlineStr">
        <is>
          <t>entidad-dia</t>
        </is>
      </c>
    </row>
    <row r="9180">
      <c r="A9180" t="inlineStr">
        <is>
          <t>PRAGMA</t>
        </is>
      </c>
      <c r="B9180" t="inlineStr">
        <is>
          <t>M3</t>
        </is>
      </c>
      <c r="C9180" t="inlineStr">
        <is>
          <t>Cali</t>
        </is>
      </c>
      <c r="D9180" t="inlineStr">
        <is>
          <t>841</t>
        </is>
      </c>
      <c r="E9180" t="inlineStr">
        <is>
          <t>entradas</t>
        </is>
      </c>
      <c r="F9180" s="23" t="n">
        <v>46272</v>
      </c>
      <c r="G9180" s="24">
        <f>F9180-DATE(2026,8,31)</f>
        <v>7</v>
      </c>
      <c r="H9180" s="25" t="n">
        <v>1304227813</v>
      </c>
      <c r="I9180" t="inlineStr">
        <is>
          <t>entidad-dia</t>
        </is>
      </c>
    </row>
    <row r="9181">
      <c r="A9181" t="inlineStr">
        <is>
          <t>PRAGMA</t>
        </is>
      </c>
      <c r="B9181" t="inlineStr">
        <is>
          <t>M3</t>
        </is>
      </c>
      <c r="C9181" t="inlineStr">
        <is>
          <t>Cali</t>
        </is>
      </c>
      <c r="D9181" t="inlineStr">
        <is>
          <t>841</t>
        </is>
      </c>
      <c r="E9181" t="inlineStr">
        <is>
          <t>salidas</t>
        </is>
      </c>
      <c r="F9181" s="23" t="n">
        <v>46272</v>
      </c>
      <c r="G9181" s="24">
        <f>F9181-DATE(2026,8,31)</f>
        <v>7</v>
      </c>
      <c r="H9181" s="25" t="n">
        <v>738587331</v>
      </c>
      <c r="I9181" t="inlineStr">
        <is>
          <t>entidad-dia</t>
        </is>
      </c>
    </row>
    <row r="9182">
      <c r="A9182" t="inlineStr">
        <is>
          <t>PRAGMA</t>
        </is>
      </c>
      <c r="B9182" t="inlineStr">
        <is>
          <t>M3</t>
        </is>
      </c>
      <c r="C9182" t="inlineStr">
        <is>
          <t>Cali</t>
        </is>
      </c>
      <c r="D9182" t="inlineStr">
        <is>
          <t>841</t>
        </is>
      </c>
      <c r="E9182" t="inlineStr">
        <is>
          <t>entradas</t>
        </is>
      </c>
      <c r="F9182" s="23" t="n">
        <v>46273</v>
      </c>
      <c r="G9182" s="24">
        <f>F9182-DATE(2026,8,31)</f>
        <v>8</v>
      </c>
      <c r="H9182" s="25" t="n">
        <v>1405485697</v>
      </c>
      <c r="I9182" t="inlineStr">
        <is>
          <t>entidad-dia</t>
        </is>
      </c>
    </row>
    <row r="9183">
      <c r="A9183" t="inlineStr">
        <is>
          <t>PRAGMA</t>
        </is>
      </c>
      <c r="B9183" t="inlineStr">
        <is>
          <t>M3</t>
        </is>
      </c>
      <c r="C9183" t="inlineStr">
        <is>
          <t>Cali</t>
        </is>
      </c>
      <c r="D9183" t="inlineStr">
        <is>
          <t>841</t>
        </is>
      </c>
      <c r="E9183" t="inlineStr">
        <is>
          <t>salidas</t>
        </is>
      </c>
      <c r="F9183" s="23" t="n">
        <v>46273</v>
      </c>
      <c r="G9183" s="24">
        <f>F9183-DATE(2026,8,31)</f>
        <v>8</v>
      </c>
      <c r="H9183" s="25" t="n">
        <v>811129837</v>
      </c>
      <c r="I9183" t="inlineStr">
        <is>
          <t>entidad-dia</t>
        </is>
      </c>
    </row>
    <row r="9184">
      <c r="A9184" t="inlineStr">
        <is>
          <t>PRAGMA</t>
        </is>
      </c>
      <c r="B9184" t="inlineStr">
        <is>
          <t>M3</t>
        </is>
      </c>
      <c r="C9184" t="inlineStr">
        <is>
          <t>Cali</t>
        </is>
      </c>
      <c r="D9184" t="inlineStr">
        <is>
          <t>841</t>
        </is>
      </c>
      <c r="E9184" t="inlineStr">
        <is>
          <t>entradas</t>
        </is>
      </c>
      <c r="F9184" s="23" t="n">
        <v>46274</v>
      </c>
      <c r="G9184" s="24">
        <f>F9184-DATE(2026,8,31)</f>
        <v>9</v>
      </c>
      <c r="H9184" s="25" t="n">
        <v>1402601274</v>
      </c>
      <c r="I9184" t="inlineStr">
        <is>
          <t>entidad-dia</t>
        </is>
      </c>
    </row>
    <row r="9185">
      <c r="A9185" t="inlineStr">
        <is>
          <t>PRAGMA</t>
        </is>
      </c>
      <c r="B9185" t="inlineStr">
        <is>
          <t>M3</t>
        </is>
      </c>
      <c r="C9185" t="inlineStr">
        <is>
          <t>Cali</t>
        </is>
      </c>
      <c r="D9185" t="inlineStr">
        <is>
          <t>841</t>
        </is>
      </c>
      <c r="E9185" t="inlineStr">
        <is>
          <t>salidas</t>
        </is>
      </c>
      <c r="F9185" s="23" t="n">
        <v>46274</v>
      </c>
      <c r="G9185" s="24">
        <f>F9185-DATE(2026,8,31)</f>
        <v>9</v>
      </c>
      <c r="H9185" s="25" t="n">
        <v>805914384</v>
      </c>
      <c r="I9185" t="inlineStr">
        <is>
          <t>entidad-dia</t>
        </is>
      </c>
    </row>
    <row r="9186">
      <c r="A9186" t="inlineStr">
        <is>
          <t>PRAGMA</t>
        </is>
      </c>
      <c r="B9186" t="inlineStr">
        <is>
          <t>M3</t>
        </is>
      </c>
      <c r="C9186" t="inlineStr">
        <is>
          <t>Cali</t>
        </is>
      </c>
      <c r="D9186" t="inlineStr">
        <is>
          <t>841</t>
        </is>
      </c>
      <c r="E9186" t="inlineStr">
        <is>
          <t>entradas</t>
        </is>
      </c>
      <c r="F9186" s="23" t="n">
        <v>46275</v>
      </c>
      <c r="G9186" s="24">
        <f>F9186-DATE(2026,8,31)</f>
        <v>10</v>
      </c>
      <c r="H9186" s="25" t="n">
        <v>1071757667</v>
      </c>
      <c r="I9186" t="inlineStr">
        <is>
          <t>entidad-dia</t>
        </is>
      </c>
    </row>
    <row r="9187">
      <c r="A9187" t="inlineStr">
        <is>
          <t>PRAGMA</t>
        </is>
      </c>
      <c r="B9187" t="inlineStr">
        <is>
          <t>M3</t>
        </is>
      </c>
      <c r="C9187" t="inlineStr">
        <is>
          <t>Cali</t>
        </is>
      </c>
      <c r="D9187" t="inlineStr">
        <is>
          <t>841</t>
        </is>
      </c>
      <c r="E9187" t="inlineStr">
        <is>
          <t>salidas</t>
        </is>
      </c>
      <c r="F9187" s="23" t="n">
        <v>46275</v>
      </c>
      <c r="G9187" s="24">
        <f>F9187-DATE(2026,8,31)</f>
        <v>10</v>
      </c>
      <c r="H9187" s="25" t="n">
        <v>749953966</v>
      </c>
      <c r="I9187" t="inlineStr">
        <is>
          <t>entidad-dia</t>
        </is>
      </c>
    </row>
    <row r="9188">
      <c r="A9188" t="inlineStr">
        <is>
          <t>PRAGMA</t>
        </is>
      </c>
      <c r="B9188" t="inlineStr">
        <is>
          <t>M3</t>
        </is>
      </c>
      <c r="C9188" t="inlineStr">
        <is>
          <t>Cali</t>
        </is>
      </c>
      <c r="D9188" t="inlineStr">
        <is>
          <t>841</t>
        </is>
      </c>
      <c r="E9188" t="inlineStr">
        <is>
          <t>entradas</t>
        </is>
      </c>
      <c r="F9188" s="23" t="n">
        <v>46276</v>
      </c>
      <c r="G9188" s="24">
        <f>F9188-DATE(2026,8,31)</f>
        <v>11</v>
      </c>
      <c r="H9188" s="25" t="n">
        <v>1429797758</v>
      </c>
      <c r="I9188" t="inlineStr">
        <is>
          <t>entidad-dia</t>
        </is>
      </c>
    </row>
    <row r="9189">
      <c r="A9189" t="inlineStr">
        <is>
          <t>PRAGMA</t>
        </is>
      </c>
      <c r="B9189" t="inlineStr">
        <is>
          <t>M3</t>
        </is>
      </c>
      <c r="C9189" t="inlineStr">
        <is>
          <t>Cali</t>
        </is>
      </c>
      <c r="D9189" t="inlineStr">
        <is>
          <t>841</t>
        </is>
      </c>
      <c r="E9189" t="inlineStr">
        <is>
          <t>salidas</t>
        </is>
      </c>
      <c r="F9189" s="23" t="n">
        <v>46276</v>
      </c>
      <c r="G9189" s="24">
        <f>F9189-DATE(2026,8,31)</f>
        <v>11</v>
      </c>
      <c r="H9189" s="25" t="n">
        <v>851350358</v>
      </c>
      <c r="I9189" t="inlineStr">
        <is>
          <t>entidad-dia</t>
        </is>
      </c>
    </row>
    <row r="9190">
      <c r="A9190" t="inlineStr">
        <is>
          <t>PRAGMA</t>
        </is>
      </c>
      <c r="B9190" t="inlineStr">
        <is>
          <t>M3</t>
        </is>
      </c>
      <c r="C9190" t="inlineStr">
        <is>
          <t>Cali</t>
        </is>
      </c>
      <c r="D9190" t="inlineStr">
        <is>
          <t>841</t>
        </is>
      </c>
      <c r="E9190" t="inlineStr">
        <is>
          <t>entradas</t>
        </is>
      </c>
      <c r="F9190" s="23" t="n">
        <v>46277</v>
      </c>
      <c r="G9190" s="24">
        <f>F9190-DATE(2026,8,31)</f>
        <v>12</v>
      </c>
      <c r="H9190" s="25" t="n">
        <v>661445454</v>
      </c>
      <c r="I9190" t="inlineStr">
        <is>
          <t>entidad-dia</t>
        </is>
      </c>
    </row>
    <row r="9191">
      <c r="A9191" t="inlineStr">
        <is>
          <t>PRAGMA</t>
        </is>
      </c>
      <c r="B9191" t="inlineStr">
        <is>
          <t>M3</t>
        </is>
      </c>
      <c r="C9191" t="inlineStr">
        <is>
          <t>Cali</t>
        </is>
      </c>
      <c r="D9191" t="inlineStr">
        <is>
          <t>841</t>
        </is>
      </c>
      <c r="E9191" t="inlineStr">
        <is>
          <t>salidas</t>
        </is>
      </c>
      <c r="F9191" s="23" t="n">
        <v>46277</v>
      </c>
      <c r="G9191" s="24">
        <f>F9191-DATE(2026,8,31)</f>
        <v>12</v>
      </c>
      <c r="H9191" s="25" t="n">
        <v>526674092</v>
      </c>
      <c r="I9191" t="inlineStr">
        <is>
          <t>entidad-dia</t>
        </is>
      </c>
    </row>
    <row r="9192">
      <c r="A9192" t="inlineStr">
        <is>
          <t>PRAGMA</t>
        </is>
      </c>
      <c r="B9192" t="inlineStr">
        <is>
          <t>M3</t>
        </is>
      </c>
      <c r="C9192" t="inlineStr">
        <is>
          <t>Cali</t>
        </is>
      </c>
      <c r="D9192" t="inlineStr">
        <is>
          <t>841</t>
        </is>
      </c>
      <c r="E9192" t="inlineStr">
        <is>
          <t>entradas</t>
        </is>
      </c>
      <c r="F9192" s="23" t="n">
        <v>46278</v>
      </c>
      <c r="G9192" s="24">
        <f>F9192-DATE(2026,8,31)</f>
        <v>13</v>
      </c>
      <c r="H9192" s="25" t="n">
        <v>32149</v>
      </c>
      <c r="I9192" t="inlineStr">
        <is>
          <t>entidad-dia</t>
        </is>
      </c>
    </row>
    <row r="9193">
      <c r="A9193" t="inlineStr">
        <is>
          <t>PRAGMA</t>
        </is>
      </c>
      <c r="B9193" t="inlineStr">
        <is>
          <t>M3</t>
        </is>
      </c>
      <c r="C9193" t="inlineStr">
        <is>
          <t>Cali</t>
        </is>
      </c>
      <c r="D9193" t="inlineStr">
        <is>
          <t>841</t>
        </is>
      </c>
      <c r="E9193" t="inlineStr">
        <is>
          <t>salidas</t>
        </is>
      </c>
      <c r="F9193" s="23" t="n">
        <v>46278</v>
      </c>
      <c r="G9193" s="24">
        <f>F9193-DATE(2026,8,31)</f>
        <v>13</v>
      </c>
      <c r="H9193" s="25" t="n">
        <v>1148</v>
      </c>
      <c r="I9193" t="inlineStr">
        <is>
          <t>entidad-dia</t>
        </is>
      </c>
    </row>
    <row r="9194">
      <c r="A9194" t="inlineStr">
        <is>
          <t>PRAGMA</t>
        </is>
      </c>
      <c r="B9194" t="inlineStr">
        <is>
          <t>M3</t>
        </is>
      </c>
      <c r="C9194" t="inlineStr">
        <is>
          <t>Cali</t>
        </is>
      </c>
      <c r="D9194" t="inlineStr">
        <is>
          <t>841</t>
        </is>
      </c>
      <c r="E9194" t="inlineStr">
        <is>
          <t>entradas</t>
        </is>
      </c>
      <c r="F9194" s="23" t="n">
        <v>46279</v>
      </c>
      <c r="G9194" s="24">
        <f>F9194-DATE(2026,8,31)</f>
        <v>14</v>
      </c>
      <c r="H9194" s="25" t="n">
        <v>1295768764</v>
      </c>
      <c r="I9194" t="inlineStr">
        <is>
          <t>entidad-dia</t>
        </is>
      </c>
    </row>
    <row r="9195">
      <c r="A9195" t="inlineStr">
        <is>
          <t>PRAGMA</t>
        </is>
      </c>
      <c r="B9195" t="inlineStr">
        <is>
          <t>M3</t>
        </is>
      </c>
      <c r="C9195" t="inlineStr">
        <is>
          <t>Cali</t>
        </is>
      </c>
      <c r="D9195" t="inlineStr">
        <is>
          <t>841</t>
        </is>
      </c>
      <c r="E9195" t="inlineStr">
        <is>
          <t>salidas</t>
        </is>
      </c>
      <c r="F9195" s="23" t="n">
        <v>46279</v>
      </c>
      <c r="G9195" s="24">
        <f>F9195-DATE(2026,8,31)</f>
        <v>14</v>
      </c>
      <c r="H9195" s="25" t="n">
        <v>779164220</v>
      </c>
      <c r="I9195" t="inlineStr">
        <is>
          <t>entidad-dia</t>
        </is>
      </c>
    </row>
    <row r="9196">
      <c r="A9196" t="inlineStr">
        <is>
          <t>PRAGMA</t>
        </is>
      </c>
      <c r="B9196" t="inlineStr">
        <is>
          <t>M3</t>
        </is>
      </c>
      <c r="C9196" t="inlineStr">
        <is>
          <t>Cali</t>
        </is>
      </c>
      <c r="D9196" t="inlineStr">
        <is>
          <t>841</t>
        </is>
      </c>
      <c r="E9196" t="inlineStr">
        <is>
          <t>entradas</t>
        </is>
      </c>
      <c r="F9196" s="23" t="n">
        <v>46280</v>
      </c>
      <c r="G9196" s="24">
        <f>F9196-DATE(2026,8,31)</f>
        <v>15</v>
      </c>
      <c r="H9196" s="25" t="n">
        <v>1406421436</v>
      </c>
      <c r="I9196" t="inlineStr">
        <is>
          <t>entidad-dia</t>
        </is>
      </c>
    </row>
    <row r="9197">
      <c r="A9197" t="inlineStr">
        <is>
          <t>PRAGMA</t>
        </is>
      </c>
      <c r="B9197" t="inlineStr">
        <is>
          <t>M3</t>
        </is>
      </c>
      <c r="C9197" t="inlineStr">
        <is>
          <t>Cali</t>
        </is>
      </c>
      <c r="D9197" t="inlineStr">
        <is>
          <t>841</t>
        </is>
      </c>
      <c r="E9197" t="inlineStr">
        <is>
          <t>salidas</t>
        </is>
      </c>
      <c r="F9197" s="23" t="n">
        <v>46280</v>
      </c>
      <c r="G9197" s="24">
        <f>F9197-DATE(2026,8,31)</f>
        <v>15</v>
      </c>
      <c r="H9197" s="25" t="n">
        <v>868909306</v>
      </c>
      <c r="I9197" t="inlineStr">
        <is>
          <t>entidad-dia</t>
        </is>
      </c>
    </row>
    <row r="9198">
      <c r="A9198" t="inlineStr">
        <is>
          <t>PRAGMA</t>
        </is>
      </c>
      <c r="B9198" t="inlineStr">
        <is>
          <t>M3</t>
        </is>
      </c>
      <c r="C9198" t="inlineStr">
        <is>
          <t>Cali</t>
        </is>
      </c>
      <c r="D9198" t="inlineStr">
        <is>
          <t>843</t>
        </is>
      </c>
      <c r="E9198" t="inlineStr">
        <is>
          <t>entradas</t>
        </is>
      </c>
      <c r="F9198" s="23" t="n">
        <v>46266</v>
      </c>
      <c r="G9198" s="24">
        <f>F9198-DATE(2026,8,31)</f>
        <v>1</v>
      </c>
      <c r="H9198" s="25" t="n">
        <v>2478646927</v>
      </c>
      <c r="I9198" t="inlineStr">
        <is>
          <t>entidad-dia</t>
        </is>
      </c>
    </row>
    <row r="9199">
      <c r="A9199" t="inlineStr">
        <is>
          <t>PRAGMA</t>
        </is>
      </c>
      <c r="B9199" t="inlineStr">
        <is>
          <t>M3</t>
        </is>
      </c>
      <c r="C9199" t="inlineStr">
        <is>
          <t>Cali</t>
        </is>
      </c>
      <c r="D9199" t="inlineStr">
        <is>
          <t>843</t>
        </is>
      </c>
      <c r="E9199" t="inlineStr">
        <is>
          <t>salidas</t>
        </is>
      </c>
      <c r="F9199" s="23" t="n">
        <v>46266</v>
      </c>
      <c r="G9199" s="24">
        <f>F9199-DATE(2026,8,31)</f>
        <v>1</v>
      </c>
      <c r="H9199" s="25" t="n">
        <v>1592405475</v>
      </c>
      <c r="I9199" t="inlineStr">
        <is>
          <t>entidad-dia</t>
        </is>
      </c>
    </row>
    <row r="9200">
      <c r="A9200" t="inlineStr">
        <is>
          <t>PRAGMA</t>
        </is>
      </c>
      <c r="B9200" t="inlineStr">
        <is>
          <t>M3</t>
        </is>
      </c>
      <c r="C9200" t="inlineStr">
        <is>
          <t>Cali</t>
        </is>
      </c>
      <c r="D9200" t="inlineStr">
        <is>
          <t>843</t>
        </is>
      </c>
      <c r="E9200" t="inlineStr">
        <is>
          <t>entradas</t>
        </is>
      </c>
      <c r="F9200" s="23" t="n">
        <v>46267</v>
      </c>
      <c r="G9200" s="24">
        <f>F9200-DATE(2026,8,31)</f>
        <v>2</v>
      </c>
      <c r="H9200" s="25" t="n">
        <v>2625082037</v>
      </c>
      <c r="I9200" t="inlineStr">
        <is>
          <t>entidad-dia</t>
        </is>
      </c>
    </row>
    <row r="9201">
      <c r="A9201" t="inlineStr">
        <is>
          <t>PRAGMA</t>
        </is>
      </c>
      <c r="B9201" t="inlineStr">
        <is>
          <t>M3</t>
        </is>
      </c>
      <c r="C9201" t="inlineStr">
        <is>
          <t>Cali</t>
        </is>
      </c>
      <c r="D9201" t="inlineStr">
        <is>
          <t>843</t>
        </is>
      </c>
      <c r="E9201" t="inlineStr">
        <is>
          <t>salidas</t>
        </is>
      </c>
      <c r="F9201" s="23" t="n">
        <v>46267</v>
      </c>
      <c r="G9201" s="24">
        <f>F9201-DATE(2026,8,31)</f>
        <v>2</v>
      </c>
      <c r="H9201" s="25" t="n">
        <v>1764585748</v>
      </c>
      <c r="I9201" t="inlineStr">
        <is>
          <t>entidad-dia</t>
        </is>
      </c>
    </row>
    <row r="9202">
      <c r="A9202" t="inlineStr">
        <is>
          <t>PRAGMA</t>
        </is>
      </c>
      <c r="B9202" t="inlineStr">
        <is>
          <t>M3</t>
        </is>
      </c>
      <c r="C9202" t="inlineStr">
        <is>
          <t>Cali</t>
        </is>
      </c>
      <c r="D9202" t="inlineStr">
        <is>
          <t>843</t>
        </is>
      </c>
      <c r="E9202" t="inlineStr">
        <is>
          <t>entradas</t>
        </is>
      </c>
      <c r="F9202" s="23" t="n">
        <v>46268</v>
      </c>
      <c r="G9202" s="24">
        <f>F9202-DATE(2026,8,31)</f>
        <v>3</v>
      </c>
      <c r="H9202" s="25" t="n">
        <v>2204763212</v>
      </c>
      <c r="I9202" t="inlineStr">
        <is>
          <t>entidad-dia</t>
        </is>
      </c>
    </row>
    <row r="9203">
      <c r="A9203" t="inlineStr">
        <is>
          <t>PRAGMA</t>
        </is>
      </c>
      <c r="B9203" t="inlineStr">
        <is>
          <t>M3</t>
        </is>
      </c>
      <c r="C9203" t="inlineStr">
        <is>
          <t>Cali</t>
        </is>
      </c>
      <c r="D9203" t="inlineStr">
        <is>
          <t>843</t>
        </is>
      </c>
      <c r="E9203" t="inlineStr">
        <is>
          <t>salidas</t>
        </is>
      </c>
      <c r="F9203" s="23" t="n">
        <v>46268</v>
      </c>
      <c r="G9203" s="24">
        <f>F9203-DATE(2026,8,31)</f>
        <v>3</v>
      </c>
      <c r="H9203" s="25" t="n">
        <v>1145145181</v>
      </c>
      <c r="I9203" t="inlineStr">
        <is>
          <t>entidad-dia</t>
        </is>
      </c>
    </row>
    <row r="9204">
      <c r="A9204" t="inlineStr">
        <is>
          <t>PRAGMA</t>
        </is>
      </c>
      <c r="B9204" t="inlineStr">
        <is>
          <t>M3</t>
        </is>
      </c>
      <c r="C9204" t="inlineStr">
        <is>
          <t>Cali</t>
        </is>
      </c>
      <c r="D9204" t="inlineStr">
        <is>
          <t>843</t>
        </is>
      </c>
      <c r="E9204" t="inlineStr">
        <is>
          <t>entradas</t>
        </is>
      </c>
      <c r="F9204" s="23" t="n">
        <v>46269</v>
      </c>
      <c r="G9204" s="24">
        <f>F9204-DATE(2026,8,31)</f>
        <v>4</v>
      </c>
      <c r="H9204" s="25" t="n">
        <v>2736918987</v>
      </c>
      <c r="I9204" t="inlineStr">
        <is>
          <t>entidad-dia</t>
        </is>
      </c>
    </row>
    <row r="9205">
      <c r="A9205" t="inlineStr">
        <is>
          <t>PRAGMA</t>
        </is>
      </c>
      <c r="B9205" t="inlineStr">
        <is>
          <t>M3</t>
        </is>
      </c>
      <c r="C9205" t="inlineStr">
        <is>
          <t>Cali</t>
        </is>
      </c>
      <c r="D9205" t="inlineStr">
        <is>
          <t>843</t>
        </is>
      </c>
      <c r="E9205" t="inlineStr">
        <is>
          <t>salidas</t>
        </is>
      </c>
      <c r="F9205" s="23" t="n">
        <v>46269</v>
      </c>
      <c r="G9205" s="24">
        <f>F9205-DATE(2026,8,31)</f>
        <v>4</v>
      </c>
      <c r="H9205" s="25" t="n">
        <v>1987813773</v>
      </c>
      <c r="I9205" t="inlineStr">
        <is>
          <t>entidad-dia</t>
        </is>
      </c>
    </row>
    <row r="9206">
      <c r="A9206" t="inlineStr">
        <is>
          <t>PRAGMA</t>
        </is>
      </c>
      <c r="B9206" t="inlineStr">
        <is>
          <t>M3</t>
        </is>
      </c>
      <c r="C9206" t="inlineStr">
        <is>
          <t>Cali</t>
        </is>
      </c>
      <c r="D9206" t="inlineStr">
        <is>
          <t>843</t>
        </is>
      </c>
      <c r="E9206" t="inlineStr">
        <is>
          <t>entradas</t>
        </is>
      </c>
      <c r="F9206" s="23" t="n">
        <v>46270</v>
      </c>
      <c r="G9206" s="24">
        <f>F9206-DATE(2026,8,31)</f>
        <v>5</v>
      </c>
      <c r="H9206" s="25" t="n">
        <v>2267183</v>
      </c>
      <c r="I9206" t="inlineStr">
        <is>
          <t>entidad-dia</t>
        </is>
      </c>
    </row>
    <row r="9207">
      <c r="A9207" t="inlineStr">
        <is>
          <t>PRAGMA</t>
        </is>
      </c>
      <c r="B9207" t="inlineStr">
        <is>
          <t>M3</t>
        </is>
      </c>
      <c r="C9207" t="inlineStr">
        <is>
          <t>Cali</t>
        </is>
      </c>
      <c r="D9207" t="inlineStr">
        <is>
          <t>843</t>
        </is>
      </c>
      <c r="E9207" t="inlineStr">
        <is>
          <t>salidas</t>
        </is>
      </c>
      <c r="F9207" s="23" t="n">
        <v>46270</v>
      </c>
      <c r="G9207" s="24">
        <f>F9207-DATE(2026,8,31)</f>
        <v>5</v>
      </c>
      <c r="H9207" s="25" t="n">
        <v>15913975</v>
      </c>
      <c r="I9207" t="inlineStr">
        <is>
          <t>entidad-dia</t>
        </is>
      </c>
    </row>
    <row r="9208">
      <c r="A9208" t="inlineStr">
        <is>
          <t>PRAGMA</t>
        </is>
      </c>
      <c r="B9208" t="inlineStr">
        <is>
          <t>M3</t>
        </is>
      </c>
      <c r="C9208" t="inlineStr">
        <is>
          <t>Cali</t>
        </is>
      </c>
      <c r="D9208" t="inlineStr">
        <is>
          <t>843</t>
        </is>
      </c>
      <c r="E9208" t="inlineStr">
        <is>
          <t>entradas</t>
        </is>
      </c>
      <c r="F9208" s="23" t="n">
        <v>46271</v>
      </c>
      <c r="G9208" s="24">
        <f>F9208-DATE(2026,8,31)</f>
        <v>6</v>
      </c>
      <c r="H9208" s="25" t="n">
        <v>1635535</v>
      </c>
      <c r="I9208" t="inlineStr">
        <is>
          <t>entidad-dia</t>
        </is>
      </c>
    </row>
    <row r="9209">
      <c r="A9209" t="inlineStr">
        <is>
          <t>PRAGMA</t>
        </is>
      </c>
      <c r="B9209" t="inlineStr">
        <is>
          <t>M3</t>
        </is>
      </c>
      <c r="C9209" t="inlineStr">
        <is>
          <t>Cali</t>
        </is>
      </c>
      <c r="D9209" t="inlineStr">
        <is>
          <t>843</t>
        </is>
      </c>
      <c r="E9209" t="inlineStr">
        <is>
          <t>salidas</t>
        </is>
      </c>
      <c r="F9209" s="23" t="n">
        <v>46271</v>
      </c>
      <c r="G9209" s="24">
        <f>F9209-DATE(2026,8,31)</f>
        <v>6</v>
      </c>
      <c r="H9209" s="25" t="n">
        <v>0</v>
      </c>
      <c r="I9209" t="inlineStr">
        <is>
          <t>entidad-dia</t>
        </is>
      </c>
    </row>
    <row r="9210">
      <c r="A9210" t="inlineStr">
        <is>
          <t>PRAGMA</t>
        </is>
      </c>
      <c r="B9210" t="inlineStr">
        <is>
          <t>M3</t>
        </is>
      </c>
      <c r="C9210" t="inlineStr">
        <is>
          <t>Cali</t>
        </is>
      </c>
      <c r="D9210" t="inlineStr">
        <is>
          <t>843</t>
        </is>
      </c>
      <c r="E9210" t="inlineStr">
        <is>
          <t>entradas</t>
        </is>
      </c>
      <c r="F9210" s="23" t="n">
        <v>46272</v>
      </c>
      <c r="G9210" s="24">
        <f>F9210-DATE(2026,8,31)</f>
        <v>7</v>
      </c>
      <c r="H9210" s="25" t="n">
        <v>2615018593</v>
      </c>
      <c r="I9210" t="inlineStr">
        <is>
          <t>entidad-dia</t>
        </is>
      </c>
    </row>
    <row r="9211">
      <c r="A9211" t="inlineStr">
        <is>
          <t>PRAGMA</t>
        </is>
      </c>
      <c r="B9211" t="inlineStr">
        <is>
          <t>M3</t>
        </is>
      </c>
      <c r="C9211" t="inlineStr">
        <is>
          <t>Cali</t>
        </is>
      </c>
      <c r="D9211" t="inlineStr">
        <is>
          <t>843</t>
        </is>
      </c>
      <c r="E9211" t="inlineStr">
        <is>
          <t>salidas</t>
        </is>
      </c>
      <c r="F9211" s="23" t="n">
        <v>46272</v>
      </c>
      <c r="G9211" s="24">
        <f>F9211-DATE(2026,8,31)</f>
        <v>7</v>
      </c>
      <c r="H9211" s="25" t="n">
        <v>1505900242</v>
      </c>
      <c r="I9211" t="inlineStr">
        <is>
          <t>entidad-dia</t>
        </is>
      </c>
    </row>
    <row r="9212">
      <c r="A9212" t="inlineStr">
        <is>
          <t>PRAGMA</t>
        </is>
      </c>
      <c r="B9212" t="inlineStr">
        <is>
          <t>M3</t>
        </is>
      </c>
      <c r="C9212" t="inlineStr">
        <is>
          <t>Cali</t>
        </is>
      </c>
      <c r="D9212" t="inlineStr">
        <is>
          <t>843</t>
        </is>
      </c>
      <c r="E9212" t="inlineStr">
        <is>
          <t>entradas</t>
        </is>
      </c>
      <c r="F9212" s="23" t="n">
        <v>46273</v>
      </c>
      <c r="G9212" s="24">
        <f>F9212-DATE(2026,8,31)</f>
        <v>8</v>
      </c>
      <c r="H9212" s="25" t="n">
        <v>2556149095</v>
      </c>
      <c r="I9212" t="inlineStr">
        <is>
          <t>entidad-dia</t>
        </is>
      </c>
    </row>
    <row r="9213">
      <c r="A9213" t="inlineStr">
        <is>
          <t>PRAGMA</t>
        </is>
      </c>
      <c r="B9213" t="inlineStr">
        <is>
          <t>M3</t>
        </is>
      </c>
      <c r="C9213" t="inlineStr">
        <is>
          <t>Cali</t>
        </is>
      </c>
      <c r="D9213" t="inlineStr">
        <is>
          <t>843</t>
        </is>
      </c>
      <c r="E9213" t="inlineStr">
        <is>
          <t>salidas</t>
        </is>
      </c>
      <c r="F9213" s="23" t="n">
        <v>46273</v>
      </c>
      <c r="G9213" s="24">
        <f>F9213-DATE(2026,8,31)</f>
        <v>8</v>
      </c>
      <c r="H9213" s="25" t="n">
        <v>1507791495</v>
      </c>
      <c r="I9213" t="inlineStr">
        <is>
          <t>entidad-dia</t>
        </is>
      </c>
    </row>
    <row r="9214">
      <c r="A9214" t="inlineStr">
        <is>
          <t>PRAGMA</t>
        </is>
      </c>
      <c r="B9214" t="inlineStr">
        <is>
          <t>M3</t>
        </is>
      </c>
      <c r="C9214" t="inlineStr">
        <is>
          <t>Cali</t>
        </is>
      </c>
      <c r="D9214" t="inlineStr">
        <is>
          <t>843</t>
        </is>
      </c>
      <c r="E9214" t="inlineStr">
        <is>
          <t>entradas</t>
        </is>
      </c>
      <c r="F9214" s="23" t="n">
        <v>46274</v>
      </c>
      <c r="G9214" s="24">
        <f>F9214-DATE(2026,8,31)</f>
        <v>9</v>
      </c>
      <c r="H9214" s="25" t="n">
        <v>2712898347</v>
      </c>
      <c r="I9214" t="inlineStr">
        <is>
          <t>entidad-dia</t>
        </is>
      </c>
    </row>
    <row r="9215">
      <c r="A9215" t="inlineStr">
        <is>
          <t>PRAGMA</t>
        </is>
      </c>
      <c r="B9215" t="inlineStr">
        <is>
          <t>M3</t>
        </is>
      </c>
      <c r="C9215" t="inlineStr">
        <is>
          <t>Cali</t>
        </is>
      </c>
      <c r="D9215" t="inlineStr">
        <is>
          <t>843</t>
        </is>
      </c>
      <c r="E9215" t="inlineStr">
        <is>
          <t>salidas</t>
        </is>
      </c>
      <c r="F9215" s="23" t="n">
        <v>46274</v>
      </c>
      <c r="G9215" s="24">
        <f>F9215-DATE(2026,8,31)</f>
        <v>9</v>
      </c>
      <c r="H9215" s="25" t="n">
        <v>1578601583</v>
      </c>
      <c r="I9215" t="inlineStr">
        <is>
          <t>entidad-dia</t>
        </is>
      </c>
    </row>
    <row r="9216">
      <c r="A9216" t="inlineStr">
        <is>
          <t>PRAGMA</t>
        </is>
      </c>
      <c r="B9216" t="inlineStr">
        <is>
          <t>M3</t>
        </is>
      </c>
      <c r="C9216" t="inlineStr">
        <is>
          <t>Cali</t>
        </is>
      </c>
      <c r="D9216" t="inlineStr">
        <is>
          <t>843</t>
        </is>
      </c>
      <c r="E9216" t="inlineStr">
        <is>
          <t>entradas</t>
        </is>
      </c>
      <c r="F9216" s="23" t="n">
        <v>46275</v>
      </c>
      <c r="G9216" s="24">
        <f>F9216-DATE(2026,8,31)</f>
        <v>10</v>
      </c>
      <c r="H9216" s="25" t="n">
        <v>2258987299</v>
      </c>
      <c r="I9216" t="inlineStr">
        <is>
          <t>entidad-dia</t>
        </is>
      </c>
    </row>
    <row r="9217">
      <c r="A9217" t="inlineStr">
        <is>
          <t>PRAGMA</t>
        </is>
      </c>
      <c r="B9217" t="inlineStr">
        <is>
          <t>M3</t>
        </is>
      </c>
      <c r="C9217" t="inlineStr">
        <is>
          <t>Cali</t>
        </is>
      </c>
      <c r="D9217" t="inlineStr">
        <is>
          <t>843</t>
        </is>
      </c>
      <c r="E9217" t="inlineStr">
        <is>
          <t>salidas</t>
        </is>
      </c>
      <c r="F9217" s="23" t="n">
        <v>46275</v>
      </c>
      <c r="G9217" s="24">
        <f>F9217-DATE(2026,8,31)</f>
        <v>10</v>
      </c>
      <c r="H9217" s="25" t="n">
        <v>1528532168</v>
      </c>
      <c r="I9217" t="inlineStr">
        <is>
          <t>entidad-dia</t>
        </is>
      </c>
    </row>
    <row r="9218">
      <c r="A9218" t="inlineStr">
        <is>
          <t>PRAGMA</t>
        </is>
      </c>
      <c r="B9218" t="inlineStr">
        <is>
          <t>M3</t>
        </is>
      </c>
      <c r="C9218" t="inlineStr">
        <is>
          <t>Cali</t>
        </is>
      </c>
      <c r="D9218" t="inlineStr">
        <is>
          <t>843</t>
        </is>
      </c>
      <c r="E9218" t="inlineStr">
        <is>
          <t>entradas</t>
        </is>
      </c>
      <c r="F9218" s="23" t="n">
        <v>46276</v>
      </c>
      <c r="G9218" s="24">
        <f>F9218-DATE(2026,8,31)</f>
        <v>11</v>
      </c>
      <c r="H9218" s="25" t="n">
        <v>2769669114</v>
      </c>
      <c r="I9218" t="inlineStr">
        <is>
          <t>entidad-dia</t>
        </is>
      </c>
    </row>
    <row r="9219">
      <c r="A9219" t="inlineStr">
        <is>
          <t>PRAGMA</t>
        </is>
      </c>
      <c r="B9219" t="inlineStr">
        <is>
          <t>M3</t>
        </is>
      </c>
      <c r="C9219" t="inlineStr">
        <is>
          <t>Cali</t>
        </is>
      </c>
      <c r="D9219" t="inlineStr">
        <is>
          <t>843</t>
        </is>
      </c>
      <c r="E9219" t="inlineStr">
        <is>
          <t>salidas</t>
        </is>
      </c>
      <c r="F9219" s="23" t="n">
        <v>46276</v>
      </c>
      <c r="G9219" s="24">
        <f>F9219-DATE(2026,8,31)</f>
        <v>11</v>
      </c>
      <c r="H9219" s="25" t="n">
        <v>1829007587</v>
      </c>
      <c r="I9219" t="inlineStr">
        <is>
          <t>entidad-dia</t>
        </is>
      </c>
    </row>
    <row r="9220">
      <c r="A9220" t="inlineStr">
        <is>
          <t>PRAGMA</t>
        </is>
      </c>
      <c r="B9220" t="inlineStr">
        <is>
          <t>M3</t>
        </is>
      </c>
      <c r="C9220" t="inlineStr">
        <is>
          <t>Cali</t>
        </is>
      </c>
      <c r="D9220" t="inlineStr">
        <is>
          <t>843</t>
        </is>
      </c>
      <c r="E9220" t="inlineStr">
        <is>
          <t>entradas</t>
        </is>
      </c>
      <c r="F9220" s="23" t="n">
        <v>46277</v>
      </c>
      <c r="G9220" s="24">
        <f>F9220-DATE(2026,8,31)</f>
        <v>12</v>
      </c>
      <c r="H9220" s="25" t="n">
        <v>3583543</v>
      </c>
      <c r="I9220" t="inlineStr">
        <is>
          <t>entidad-dia</t>
        </is>
      </c>
    </row>
    <row r="9221">
      <c r="A9221" t="inlineStr">
        <is>
          <t>PRAGMA</t>
        </is>
      </c>
      <c r="B9221" t="inlineStr">
        <is>
          <t>M3</t>
        </is>
      </c>
      <c r="C9221" t="inlineStr">
        <is>
          <t>Cali</t>
        </is>
      </c>
      <c r="D9221" t="inlineStr">
        <is>
          <t>843</t>
        </is>
      </c>
      <c r="E9221" t="inlineStr">
        <is>
          <t>salidas</t>
        </is>
      </c>
      <c r="F9221" s="23" t="n">
        <v>46277</v>
      </c>
      <c r="G9221" s="24">
        <f>F9221-DATE(2026,8,31)</f>
        <v>12</v>
      </c>
      <c r="H9221" s="25" t="n">
        <v>21450231</v>
      </c>
      <c r="I9221" t="inlineStr">
        <is>
          <t>entidad-dia</t>
        </is>
      </c>
    </row>
    <row r="9222">
      <c r="A9222" t="inlineStr">
        <is>
          <t>PRAGMA</t>
        </is>
      </c>
      <c r="B9222" t="inlineStr">
        <is>
          <t>M3</t>
        </is>
      </c>
      <c r="C9222" t="inlineStr">
        <is>
          <t>Cali</t>
        </is>
      </c>
      <c r="D9222" t="inlineStr">
        <is>
          <t>843</t>
        </is>
      </c>
      <c r="E9222" t="inlineStr">
        <is>
          <t>entradas</t>
        </is>
      </c>
      <c r="F9222" s="23" t="n">
        <v>46278</v>
      </c>
      <c r="G9222" s="24">
        <f>F9222-DATE(2026,8,31)</f>
        <v>13</v>
      </c>
      <c r="H9222" s="25" t="n">
        <v>1021902</v>
      </c>
      <c r="I9222" t="inlineStr">
        <is>
          <t>entidad-dia</t>
        </is>
      </c>
    </row>
    <row r="9223">
      <c r="A9223" t="inlineStr">
        <is>
          <t>PRAGMA</t>
        </is>
      </c>
      <c r="B9223" t="inlineStr">
        <is>
          <t>M3</t>
        </is>
      </c>
      <c r="C9223" t="inlineStr">
        <is>
          <t>Cali</t>
        </is>
      </c>
      <c r="D9223" t="inlineStr">
        <is>
          <t>843</t>
        </is>
      </c>
      <c r="E9223" t="inlineStr">
        <is>
          <t>salidas</t>
        </is>
      </c>
      <c r="F9223" s="23" t="n">
        <v>46278</v>
      </c>
      <c r="G9223" s="24">
        <f>F9223-DATE(2026,8,31)</f>
        <v>13</v>
      </c>
      <c r="H9223" s="25" t="n">
        <v>0</v>
      </c>
      <c r="I9223" t="inlineStr">
        <is>
          <t>entidad-dia</t>
        </is>
      </c>
    </row>
    <row r="9224">
      <c r="A9224" t="inlineStr">
        <is>
          <t>PRAGMA</t>
        </is>
      </c>
      <c r="B9224" t="inlineStr">
        <is>
          <t>M3</t>
        </is>
      </c>
      <c r="C9224" t="inlineStr">
        <is>
          <t>Cali</t>
        </is>
      </c>
      <c r="D9224" t="inlineStr">
        <is>
          <t>843</t>
        </is>
      </c>
      <c r="E9224" t="inlineStr">
        <is>
          <t>entradas</t>
        </is>
      </c>
      <c r="F9224" s="23" t="n">
        <v>46279</v>
      </c>
      <c r="G9224" s="24">
        <f>F9224-DATE(2026,8,31)</f>
        <v>14</v>
      </c>
      <c r="H9224" s="25" t="n">
        <v>2904846723</v>
      </c>
      <c r="I9224" t="inlineStr">
        <is>
          <t>entidad-dia</t>
        </is>
      </c>
    </row>
    <row r="9225">
      <c r="A9225" t="inlineStr">
        <is>
          <t>PRAGMA</t>
        </is>
      </c>
      <c r="B9225" t="inlineStr">
        <is>
          <t>M3</t>
        </is>
      </c>
      <c r="C9225" t="inlineStr">
        <is>
          <t>Cali</t>
        </is>
      </c>
      <c r="D9225" t="inlineStr">
        <is>
          <t>843</t>
        </is>
      </c>
      <c r="E9225" t="inlineStr">
        <is>
          <t>salidas</t>
        </is>
      </c>
      <c r="F9225" s="23" t="n">
        <v>46279</v>
      </c>
      <c r="G9225" s="24">
        <f>F9225-DATE(2026,8,31)</f>
        <v>14</v>
      </c>
      <c r="H9225" s="25" t="n">
        <v>1527048861</v>
      </c>
      <c r="I9225" t="inlineStr">
        <is>
          <t>entidad-dia</t>
        </is>
      </c>
    </row>
    <row r="9226">
      <c r="A9226" t="inlineStr">
        <is>
          <t>PRAGMA</t>
        </is>
      </c>
      <c r="B9226" t="inlineStr">
        <is>
          <t>M3</t>
        </is>
      </c>
      <c r="C9226" t="inlineStr">
        <is>
          <t>Cali</t>
        </is>
      </c>
      <c r="D9226" t="inlineStr">
        <is>
          <t>843</t>
        </is>
      </c>
      <c r="E9226" t="inlineStr">
        <is>
          <t>entradas</t>
        </is>
      </c>
      <c r="F9226" s="23" t="n">
        <v>46280</v>
      </c>
      <c r="G9226" s="24">
        <f>F9226-DATE(2026,8,31)</f>
        <v>15</v>
      </c>
      <c r="H9226" s="25" t="n">
        <v>2500163556</v>
      </c>
      <c r="I9226" t="inlineStr">
        <is>
          <t>entidad-dia</t>
        </is>
      </c>
    </row>
    <row r="9227">
      <c r="A9227" t="inlineStr">
        <is>
          <t>PRAGMA</t>
        </is>
      </c>
      <c r="B9227" t="inlineStr">
        <is>
          <t>M3</t>
        </is>
      </c>
      <c r="C9227" t="inlineStr">
        <is>
          <t>Cali</t>
        </is>
      </c>
      <c r="D9227" t="inlineStr">
        <is>
          <t>843</t>
        </is>
      </c>
      <c r="E9227" t="inlineStr">
        <is>
          <t>salidas</t>
        </is>
      </c>
      <c r="F9227" s="23" t="n">
        <v>46280</v>
      </c>
      <c r="G9227" s="24">
        <f>F9227-DATE(2026,8,31)</f>
        <v>15</v>
      </c>
      <c r="H9227" s="25" t="n">
        <v>1454489772</v>
      </c>
      <c r="I9227" t="inlineStr">
        <is>
          <t>entidad-dia</t>
        </is>
      </c>
    </row>
    <row r="9228">
      <c r="A9228" t="inlineStr">
        <is>
          <t>PRAGMA</t>
        </is>
      </c>
      <c r="B9228" t="inlineStr">
        <is>
          <t>M3</t>
        </is>
      </c>
      <c r="C9228" t="inlineStr">
        <is>
          <t>Cali</t>
        </is>
      </c>
      <c r="D9228" t="inlineStr">
        <is>
          <t>863</t>
        </is>
      </c>
      <c r="E9228" t="inlineStr">
        <is>
          <t>entradas</t>
        </is>
      </c>
      <c r="F9228" s="23" t="n">
        <v>46266</v>
      </c>
      <c r="G9228" s="24">
        <f>F9228-DATE(2026,8,31)</f>
        <v>1</v>
      </c>
      <c r="H9228" s="25" t="n">
        <v>348973331</v>
      </c>
      <c r="I9228" t="inlineStr">
        <is>
          <t>entidad-dia</t>
        </is>
      </c>
    </row>
    <row r="9229">
      <c r="A9229" t="inlineStr">
        <is>
          <t>PRAGMA</t>
        </is>
      </c>
      <c r="B9229" t="inlineStr">
        <is>
          <t>M3</t>
        </is>
      </c>
      <c r="C9229" t="inlineStr">
        <is>
          <t>Cali</t>
        </is>
      </c>
      <c r="D9229" t="inlineStr">
        <is>
          <t>863</t>
        </is>
      </c>
      <c r="E9229" t="inlineStr">
        <is>
          <t>salidas</t>
        </is>
      </c>
      <c r="F9229" s="23" t="n">
        <v>46266</v>
      </c>
      <c r="G9229" s="24">
        <f>F9229-DATE(2026,8,31)</f>
        <v>1</v>
      </c>
      <c r="H9229" s="25" t="n">
        <v>392944270</v>
      </c>
      <c r="I9229" t="inlineStr">
        <is>
          <t>entidad-dia</t>
        </is>
      </c>
    </row>
    <row r="9230">
      <c r="A9230" t="inlineStr">
        <is>
          <t>PRAGMA</t>
        </is>
      </c>
      <c r="B9230" t="inlineStr">
        <is>
          <t>M3</t>
        </is>
      </c>
      <c r="C9230" t="inlineStr">
        <is>
          <t>Cali</t>
        </is>
      </c>
      <c r="D9230" t="inlineStr">
        <is>
          <t>863</t>
        </is>
      </c>
      <c r="E9230" t="inlineStr">
        <is>
          <t>entradas</t>
        </is>
      </c>
      <c r="F9230" s="23" t="n">
        <v>46267</v>
      </c>
      <c r="G9230" s="24">
        <f>F9230-DATE(2026,8,31)</f>
        <v>2</v>
      </c>
      <c r="H9230" s="25" t="n">
        <v>326007487</v>
      </c>
      <c r="I9230" t="inlineStr">
        <is>
          <t>entidad-dia</t>
        </is>
      </c>
    </row>
    <row r="9231">
      <c r="A9231" t="inlineStr">
        <is>
          <t>PRAGMA</t>
        </is>
      </c>
      <c r="B9231" t="inlineStr">
        <is>
          <t>M3</t>
        </is>
      </c>
      <c r="C9231" t="inlineStr">
        <is>
          <t>Cali</t>
        </is>
      </c>
      <c r="D9231" t="inlineStr">
        <is>
          <t>863</t>
        </is>
      </c>
      <c r="E9231" t="inlineStr">
        <is>
          <t>salidas</t>
        </is>
      </c>
      <c r="F9231" s="23" t="n">
        <v>46267</v>
      </c>
      <c r="G9231" s="24">
        <f>F9231-DATE(2026,8,31)</f>
        <v>2</v>
      </c>
      <c r="H9231" s="25" t="n">
        <v>374900722</v>
      </c>
      <c r="I9231" t="inlineStr">
        <is>
          <t>entidad-dia</t>
        </is>
      </c>
    </row>
    <row r="9232">
      <c r="A9232" t="inlineStr">
        <is>
          <t>PRAGMA</t>
        </is>
      </c>
      <c r="B9232" t="inlineStr">
        <is>
          <t>M3</t>
        </is>
      </c>
      <c r="C9232" t="inlineStr">
        <is>
          <t>Cali</t>
        </is>
      </c>
      <c r="D9232" t="inlineStr">
        <is>
          <t>863</t>
        </is>
      </c>
      <c r="E9232" t="inlineStr">
        <is>
          <t>entradas</t>
        </is>
      </c>
      <c r="F9232" s="23" t="n">
        <v>46268</v>
      </c>
      <c r="G9232" s="24">
        <f>F9232-DATE(2026,8,31)</f>
        <v>3</v>
      </c>
      <c r="H9232" s="25" t="n">
        <v>297215694</v>
      </c>
      <c r="I9232" t="inlineStr">
        <is>
          <t>entidad-dia</t>
        </is>
      </c>
    </row>
    <row r="9233">
      <c r="A9233" t="inlineStr">
        <is>
          <t>PRAGMA</t>
        </is>
      </c>
      <c r="B9233" t="inlineStr">
        <is>
          <t>M3</t>
        </is>
      </c>
      <c r="C9233" t="inlineStr">
        <is>
          <t>Cali</t>
        </is>
      </c>
      <c r="D9233" t="inlineStr">
        <is>
          <t>863</t>
        </is>
      </c>
      <c r="E9233" t="inlineStr">
        <is>
          <t>salidas</t>
        </is>
      </c>
      <c r="F9233" s="23" t="n">
        <v>46268</v>
      </c>
      <c r="G9233" s="24">
        <f>F9233-DATE(2026,8,31)</f>
        <v>3</v>
      </c>
      <c r="H9233" s="25" t="n">
        <v>251913731</v>
      </c>
      <c r="I9233" t="inlineStr">
        <is>
          <t>entidad-dia</t>
        </is>
      </c>
    </row>
    <row r="9234">
      <c r="A9234" t="inlineStr">
        <is>
          <t>PRAGMA</t>
        </is>
      </c>
      <c r="B9234" t="inlineStr">
        <is>
          <t>M3</t>
        </is>
      </c>
      <c r="C9234" t="inlineStr">
        <is>
          <t>Cali</t>
        </is>
      </c>
      <c r="D9234" t="inlineStr">
        <is>
          <t>863</t>
        </is>
      </c>
      <c r="E9234" t="inlineStr">
        <is>
          <t>entradas</t>
        </is>
      </c>
      <c r="F9234" s="23" t="n">
        <v>46269</v>
      </c>
      <c r="G9234" s="24">
        <f>F9234-DATE(2026,8,31)</f>
        <v>4</v>
      </c>
      <c r="H9234" s="25" t="n">
        <v>316646254</v>
      </c>
      <c r="I9234" t="inlineStr">
        <is>
          <t>entidad-dia</t>
        </is>
      </c>
    </row>
    <row r="9235">
      <c r="A9235" t="inlineStr">
        <is>
          <t>PRAGMA</t>
        </is>
      </c>
      <c r="B9235" t="inlineStr">
        <is>
          <t>M3</t>
        </is>
      </c>
      <c r="C9235" t="inlineStr">
        <is>
          <t>Cali</t>
        </is>
      </c>
      <c r="D9235" t="inlineStr">
        <is>
          <t>863</t>
        </is>
      </c>
      <c r="E9235" t="inlineStr">
        <is>
          <t>salidas</t>
        </is>
      </c>
      <c r="F9235" s="23" t="n">
        <v>46269</v>
      </c>
      <c r="G9235" s="24">
        <f>F9235-DATE(2026,8,31)</f>
        <v>4</v>
      </c>
      <c r="H9235" s="25" t="n">
        <v>395807275</v>
      </c>
      <c r="I9235" t="inlineStr">
        <is>
          <t>entidad-dia</t>
        </is>
      </c>
    </row>
    <row r="9236">
      <c r="A9236" t="inlineStr">
        <is>
          <t>PRAGMA</t>
        </is>
      </c>
      <c r="B9236" t="inlineStr">
        <is>
          <t>M3</t>
        </is>
      </c>
      <c r="C9236" t="inlineStr">
        <is>
          <t>Cali</t>
        </is>
      </c>
      <c r="D9236" t="inlineStr">
        <is>
          <t>863</t>
        </is>
      </c>
      <c r="E9236" t="inlineStr">
        <is>
          <t>entradas</t>
        </is>
      </c>
      <c r="F9236" s="23" t="n">
        <v>46270</v>
      </c>
      <c r="G9236" s="24">
        <f>F9236-DATE(2026,8,31)</f>
        <v>5</v>
      </c>
      <c r="H9236" s="25" t="n">
        <v>1292473</v>
      </c>
      <c r="I9236" t="inlineStr">
        <is>
          <t>entidad-dia</t>
        </is>
      </c>
    </row>
    <row r="9237">
      <c r="A9237" t="inlineStr">
        <is>
          <t>PRAGMA</t>
        </is>
      </c>
      <c r="B9237" t="inlineStr">
        <is>
          <t>M3</t>
        </is>
      </c>
      <c r="C9237" t="inlineStr">
        <is>
          <t>Cali</t>
        </is>
      </c>
      <c r="D9237" t="inlineStr">
        <is>
          <t>863</t>
        </is>
      </c>
      <c r="E9237" t="inlineStr">
        <is>
          <t>salidas</t>
        </is>
      </c>
      <c r="F9237" s="23" t="n">
        <v>46270</v>
      </c>
      <c r="G9237" s="24">
        <f>F9237-DATE(2026,8,31)</f>
        <v>5</v>
      </c>
      <c r="H9237" s="25" t="n">
        <v>0</v>
      </c>
      <c r="I9237" t="inlineStr">
        <is>
          <t>entidad-dia</t>
        </is>
      </c>
    </row>
    <row r="9238">
      <c r="A9238" t="inlineStr">
        <is>
          <t>PRAGMA</t>
        </is>
      </c>
      <c r="B9238" t="inlineStr">
        <is>
          <t>M3</t>
        </is>
      </c>
      <c r="C9238" t="inlineStr">
        <is>
          <t>Cali</t>
        </is>
      </c>
      <c r="D9238" t="inlineStr">
        <is>
          <t>863</t>
        </is>
      </c>
      <c r="E9238" t="inlineStr">
        <is>
          <t>entradas</t>
        </is>
      </c>
      <c r="F9238" s="23" t="n">
        <v>46271</v>
      </c>
      <c r="G9238" s="24">
        <f>F9238-DATE(2026,8,31)</f>
        <v>6</v>
      </c>
      <c r="H9238" s="25" t="n">
        <v>33182</v>
      </c>
      <c r="I9238" t="inlineStr">
        <is>
          <t>entidad-dia</t>
        </is>
      </c>
    </row>
    <row r="9239">
      <c r="A9239" t="inlineStr">
        <is>
          <t>PRAGMA</t>
        </is>
      </c>
      <c r="B9239" t="inlineStr">
        <is>
          <t>M3</t>
        </is>
      </c>
      <c r="C9239" t="inlineStr">
        <is>
          <t>Cali</t>
        </is>
      </c>
      <c r="D9239" t="inlineStr">
        <is>
          <t>863</t>
        </is>
      </c>
      <c r="E9239" t="inlineStr">
        <is>
          <t>salidas</t>
        </is>
      </c>
      <c r="F9239" s="23" t="n">
        <v>46271</v>
      </c>
      <c r="G9239" s="24">
        <f>F9239-DATE(2026,8,31)</f>
        <v>6</v>
      </c>
      <c r="H9239" s="25" t="n">
        <v>0</v>
      </c>
      <c r="I9239" t="inlineStr">
        <is>
          <t>entidad-dia</t>
        </is>
      </c>
    </row>
    <row r="9240">
      <c r="A9240" t="inlineStr">
        <is>
          <t>PRAGMA</t>
        </is>
      </c>
      <c r="B9240" t="inlineStr">
        <is>
          <t>M3</t>
        </is>
      </c>
      <c r="C9240" t="inlineStr">
        <is>
          <t>Cali</t>
        </is>
      </c>
      <c r="D9240" t="inlineStr">
        <is>
          <t>863</t>
        </is>
      </c>
      <c r="E9240" t="inlineStr">
        <is>
          <t>entradas</t>
        </is>
      </c>
      <c r="F9240" s="23" t="n">
        <v>46272</v>
      </c>
      <c r="G9240" s="24">
        <f>F9240-DATE(2026,8,31)</f>
        <v>7</v>
      </c>
      <c r="H9240" s="25" t="n">
        <v>326867918</v>
      </c>
      <c r="I9240" t="inlineStr">
        <is>
          <t>entidad-dia</t>
        </is>
      </c>
    </row>
    <row r="9241">
      <c r="A9241" t="inlineStr">
        <is>
          <t>PRAGMA</t>
        </is>
      </c>
      <c r="B9241" t="inlineStr">
        <is>
          <t>M3</t>
        </is>
      </c>
      <c r="C9241" t="inlineStr">
        <is>
          <t>Cali</t>
        </is>
      </c>
      <c r="D9241" t="inlineStr">
        <is>
          <t>863</t>
        </is>
      </c>
      <c r="E9241" t="inlineStr">
        <is>
          <t>salidas</t>
        </is>
      </c>
      <c r="F9241" s="23" t="n">
        <v>46272</v>
      </c>
      <c r="G9241" s="24">
        <f>F9241-DATE(2026,8,31)</f>
        <v>7</v>
      </c>
      <c r="H9241" s="25" t="n">
        <v>312358351</v>
      </c>
      <c r="I9241" t="inlineStr">
        <is>
          <t>entidad-dia</t>
        </is>
      </c>
    </row>
    <row r="9242">
      <c r="A9242" t="inlineStr">
        <is>
          <t>PRAGMA</t>
        </is>
      </c>
      <c r="B9242" t="inlineStr">
        <is>
          <t>M3</t>
        </is>
      </c>
      <c r="C9242" t="inlineStr">
        <is>
          <t>Cali</t>
        </is>
      </c>
      <c r="D9242" t="inlineStr">
        <is>
          <t>863</t>
        </is>
      </c>
      <c r="E9242" t="inlineStr">
        <is>
          <t>entradas</t>
        </is>
      </c>
      <c r="F9242" s="23" t="n">
        <v>46273</v>
      </c>
      <c r="G9242" s="24">
        <f>F9242-DATE(2026,8,31)</f>
        <v>8</v>
      </c>
      <c r="H9242" s="25" t="n">
        <v>368459511</v>
      </c>
      <c r="I9242" t="inlineStr">
        <is>
          <t>entidad-dia</t>
        </is>
      </c>
    </row>
    <row r="9243">
      <c r="A9243" t="inlineStr">
        <is>
          <t>PRAGMA</t>
        </is>
      </c>
      <c r="B9243" t="inlineStr">
        <is>
          <t>M3</t>
        </is>
      </c>
      <c r="C9243" t="inlineStr">
        <is>
          <t>Cali</t>
        </is>
      </c>
      <c r="D9243" t="inlineStr">
        <is>
          <t>863</t>
        </is>
      </c>
      <c r="E9243" t="inlineStr">
        <is>
          <t>salidas</t>
        </is>
      </c>
      <c r="F9243" s="23" t="n">
        <v>46273</v>
      </c>
      <c r="G9243" s="24">
        <f>F9243-DATE(2026,8,31)</f>
        <v>8</v>
      </c>
      <c r="H9243" s="25" t="n">
        <v>352958903</v>
      </c>
      <c r="I9243" t="inlineStr">
        <is>
          <t>entidad-dia</t>
        </is>
      </c>
    </row>
    <row r="9244">
      <c r="A9244" t="inlineStr">
        <is>
          <t>PRAGMA</t>
        </is>
      </c>
      <c r="B9244" t="inlineStr">
        <is>
          <t>M3</t>
        </is>
      </c>
      <c r="C9244" t="inlineStr">
        <is>
          <t>Cali</t>
        </is>
      </c>
      <c r="D9244" t="inlineStr">
        <is>
          <t>863</t>
        </is>
      </c>
      <c r="E9244" t="inlineStr">
        <is>
          <t>entradas</t>
        </is>
      </c>
      <c r="F9244" s="23" t="n">
        <v>46274</v>
      </c>
      <c r="G9244" s="24">
        <f>F9244-DATE(2026,8,31)</f>
        <v>9</v>
      </c>
      <c r="H9244" s="25" t="n">
        <v>341008447</v>
      </c>
      <c r="I9244" t="inlineStr">
        <is>
          <t>entidad-dia</t>
        </is>
      </c>
    </row>
    <row r="9245">
      <c r="A9245" t="inlineStr">
        <is>
          <t>PRAGMA</t>
        </is>
      </c>
      <c r="B9245" t="inlineStr">
        <is>
          <t>M3</t>
        </is>
      </c>
      <c r="C9245" t="inlineStr">
        <is>
          <t>Cali</t>
        </is>
      </c>
      <c r="D9245" t="inlineStr">
        <is>
          <t>863</t>
        </is>
      </c>
      <c r="E9245" t="inlineStr">
        <is>
          <t>salidas</t>
        </is>
      </c>
      <c r="F9245" s="23" t="n">
        <v>46274</v>
      </c>
      <c r="G9245" s="24">
        <f>F9245-DATE(2026,8,31)</f>
        <v>9</v>
      </c>
      <c r="H9245" s="25" t="n">
        <v>340071869</v>
      </c>
      <c r="I9245" t="inlineStr">
        <is>
          <t>entidad-dia</t>
        </is>
      </c>
    </row>
    <row r="9246">
      <c r="A9246" t="inlineStr">
        <is>
          <t>PRAGMA</t>
        </is>
      </c>
      <c r="B9246" t="inlineStr">
        <is>
          <t>M3</t>
        </is>
      </c>
      <c r="C9246" t="inlineStr">
        <is>
          <t>Cali</t>
        </is>
      </c>
      <c r="D9246" t="inlineStr">
        <is>
          <t>863</t>
        </is>
      </c>
      <c r="E9246" t="inlineStr">
        <is>
          <t>entradas</t>
        </is>
      </c>
      <c r="F9246" s="23" t="n">
        <v>46275</v>
      </c>
      <c r="G9246" s="24">
        <f>F9246-DATE(2026,8,31)</f>
        <v>10</v>
      </c>
      <c r="H9246" s="25" t="n">
        <v>272907831</v>
      </c>
      <c r="I9246" t="inlineStr">
        <is>
          <t>entidad-dia</t>
        </is>
      </c>
    </row>
    <row r="9247">
      <c r="A9247" t="inlineStr">
        <is>
          <t>PRAGMA</t>
        </is>
      </c>
      <c r="B9247" t="inlineStr">
        <is>
          <t>M3</t>
        </is>
      </c>
      <c r="C9247" t="inlineStr">
        <is>
          <t>Cali</t>
        </is>
      </c>
      <c r="D9247" t="inlineStr">
        <is>
          <t>863</t>
        </is>
      </c>
      <c r="E9247" t="inlineStr">
        <is>
          <t>salidas</t>
        </is>
      </c>
      <c r="F9247" s="23" t="n">
        <v>46275</v>
      </c>
      <c r="G9247" s="24">
        <f>F9247-DATE(2026,8,31)</f>
        <v>10</v>
      </c>
      <c r="H9247" s="25" t="n">
        <v>320912201</v>
      </c>
      <c r="I9247" t="inlineStr">
        <is>
          <t>entidad-dia</t>
        </is>
      </c>
    </row>
    <row r="9248">
      <c r="A9248" t="inlineStr">
        <is>
          <t>PRAGMA</t>
        </is>
      </c>
      <c r="B9248" t="inlineStr">
        <is>
          <t>M3</t>
        </is>
      </c>
      <c r="C9248" t="inlineStr">
        <is>
          <t>Cali</t>
        </is>
      </c>
      <c r="D9248" t="inlineStr">
        <is>
          <t>863</t>
        </is>
      </c>
      <c r="E9248" t="inlineStr">
        <is>
          <t>entradas</t>
        </is>
      </c>
      <c r="F9248" s="23" t="n">
        <v>46276</v>
      </c>
      <c r="G9248" s="24">
        <f>F9248-DATE(2026,8,31)</f>
        <v>11</v>
      </c>
      <c r="H9248" s="25" t="n">
        <v>326024876</v>
      </c>
      <c r="I9248" t="inlineStr">
        <is>
          <t>entidad-dia</t>
        </is>
      </c>
    </row>
    <row r="9249">
      <c r="A9249" t="inlineStr">
        <is>
          <t>PRAGMA</t>
        </is>
      </c>
      <c r="B9249" t="inlineStr">
        <is>
          <t>M3</t>
        </is>
      </c>
      <c r="C9249" t="inlineStr">
        <is>
          <t>Cali</t>
        </is>
      </c>
      <c r="D9249" t="inlineStr">
        <is>
          <t>863</t>
        </is>
      </c>
      <c r="E9249" t="inlineStr">
        <is>
          <t>salidas</t>
        </is>
      </c>
      <c r="F9249" s="23" t="n">
        <v>46276</v>
      </c>
      <c r="G9249" s="24">
        <f>F9249-DATE(2026,8,31)</f>
        <v>11</v>
      </c>
      <c r="H9249" s="25" t="n">
        <v>372622065</v>
      </c>
      <c r="I9249" t="inlineStr">
        <is>
          <t>entidad-dia</t>
        </is>
      </c>
    </row>
    <row r="9250">
      <c r="A9250" t="inlineStr">
        <is>
          <t>PRAGMA</t>
        </is>
      </c>
      <c r="B9250" t="inlineStr">
        <is>
          <t>M3</t>
        </is>
      </c>
      <c r="C9250" t="inlineStr">
        <is>
          <t>Cali</t>
        </is>
      </c>
      <c r="D9250" t="inlineStr">
        <is>
          <t>863</t>
        </is>
      </c>
      <c r="E9250" t="inlineStr">
        <is>
          <t>entradas</t>
        </is>
      </c>
      <c r="F9250" s="23" t="n">
        <v>46277</v>
      </c>
      <c r="G9250" s="24">
        <f>F9250-DATE(2026,8,31)</f>
        <v>12</v>
      </c>
      <c r="H9250" s="25" t="n">
        <v>473792</v>
      </c>
      <c r="I9250" t="inlineStr">
        <is>
          <t>entidad-dia</t>
        </is>
      </c>
    </row>
    <row r="9251">
      <c r="A9251" t="inlineStr">
        <is>
          <t>PRAGMA</t>
        </is>
      </c>
      <c r="B9251" t="inlineStr">
        <is>
          <t>M3</t>
        </is>
      </c>
      <c r="C9251" t="inlineStr">
        <is>
          <t>Cali</t>
        </is>
      </c>
      <c r="D9251" t="inlineStr">
        <is>
          <t>863</t>
        </is>
      </c>
      <c r="E9251" t="inlineStr">
        <is>
          <t>salidas</t>
        </is>
      </c>
      <c r="F9251" s="23" t="n">
        <v>46277</v>
      </c>
      <c r="G9251" s="24">
        <f>F9251-DATE(2026,8,31)</f>
        <v>12</v>
      </c>
      <c r="H9251" s="25" t="n">
        <v>0</v>
      </c>
      <c r="I9251" t="inlineStr">
        <is>
          <t>entidad-dia</t>
        </is>
      </c>
    </row>
    <row r="9252">
      <c r="A9252" t="inlineStr">
        <is>
          <t>PRAGMA</t>
        </is>
      </c>
      <c r="B9252" t="inlineStr">
        <is>
          <t>M3</t>
        </is>
      </c>
      <c r="C9252" t="inlineStr">
        <is>
          <t>Cali</t>
        </is>
      </c>
      <c r="D9252" t="inlineStr">
        <is>
          <t>863</t>
        </is>
      </c>
      <c r="E9252" t="inlineStr">
        <is>
          <t>entradas</t>
        </is>
      </c>
      <c r="F9252" s="23" t="n">
        <v>46278</v>
      </c>
      <c r="G9252" s="24">
        <f>F9252-DATE(2026,8,31)</f>
        <v>13</v>
      </c>
      <c r="H9252" s="25" t="n">
        <v>37861</v>
      </c>
      <c r="I9252" t="inlineStr">
        <is>
          <t>entidad-dia</t>
        </is>
      </c>
    </row>
    <row r="9253">
      <c r="A9253" t="inlineStr">
        <is>
          <t>PRAGMA</t>
        </is>
      </c>
      <c r="B9253" t="inlineStr">
        <is>
          <t>M3</t>
        </is>
      </c>
      <c r="C9253" t="inlineStr">
        <is>
          <t>Cali</t>
        </is>
      </c>
      <c r="D9253" t="inlineStr">
        <is>
          <t>863</t>
        </is>
      </c>
      <c r="E9253" t="inlineStr">
        <is>
          <t>salidas</t>
        </is>
      </c>
      <c r="F9253" s="23" t="n">
        <v>46278</v>
      </c>
      <c r="G9253" s="24">
        <f>F9253-DATE(2026,8,31)</f>
        <v>13</v>
      </c>
      <c r="H9253" s="25" t="n">
        <v>0</v>
      </c>
      <c r="I9253" t="inlineStr">
        <is>
          <t>entidad-dia</t>
        </is>
      </c>
    </row>
    <row r="9254">
      <c r="A9254" t="inlineStr">
        <is>
          <t>PRAGMA</t>
        </is>
      </c>
      <c r="B9254" t="inlineStr">
        <is>
          <t>M3</t>
        </is>
      </c>
      <c r="C9254" t="inlineStr">
        <is>
          <t>Cali</t>
        </is>
      </c>
      <c r="D9254" t="inlineStr">
        <is>
          <t>863</t>
        </is>
      </c>
      <c r="E9254" t="inlineStr">
        <is>
          <t>entradas</t>
        </is>
      </c>
      <c r="F9254" s="23" t="n">
        <v>46279</v>
      </c>
      <c r="G9254" s="24">
        <f>F9254-DATE(2026,8,31)</f>
        <v>14</v>
      </c>
      <c r="H9254" s="25" t="n">
        <v>353348539</v>
      </c>
      <c r="I9254" t="inlineStr">
        <is>
          <t>entidad-dia</t>
        </is>
      </c>
    </row>
    <row r="9255">
      <c r="A9255" t="inlineStr">
        <is>
          <t>PRAGMA</t>
        </is>
      </c>
      <c r="B9255" t="inlineStr">
        <is>
          <t>M3</t>
        </is>
      </c>
      <c r="C9255" t="inlineStr">
        <is>
          <t>Cali</t>
        </is>
      </c>
      <c r="D9255" t="inlineStr">
        <is>
          <t>863</t>
        </is>
      </c>
      <c r="E9255" t="inlineStr">
        <is>
          <t>salidas</t>
        </is>
      </c>
      <c r="F9255" s="23" t="n">
        <v>46279</v>
      </c>
      <c r="G9255" s="24">
        <f>F9255-DATE(2026,8,31)</f>
        <v>14</v>
      </c>
      <c r="H9255" s="25" t="n">
        <v>322698372</v>
      </c>
      <c r="I9255" t="inlineStr">
        <is>
          <t>entidad-dia</t>
        </is>
      </c>
    </row>
    <row r="9256">
      <c r="A9256" t="inlineStr">
        <is>
          <t>PRAGMA</t>
        </is>
      </c>
      <c r="B9256" t="inlineStr">
        <is>
          <t>M3</t>
        </is>
      </c>
      <c r="C9256" t="inlineStr">
        <is>
          <t>Cali</t>
        </is>
      </c>
      <c r="D9256" t="inlineStr">
        <is>
          <t>863</t>
        </is>
      </c>
      <c r="E9256" t="inlineStr">
        <is>
          <t>entradas</t>
        </is>
      </c>
      <c r="F9256" s="23" t="n">
        <v>46280</v>
      </c>
      <c r="G9256" s="24">
        <f>F9256-DATE(2026,8,31)</f>
        <v>15</v>
      </c>
      <c r="H9256" s="25" t="n">
        <v>361049562</v>
      </c>
      <c r="I9256" t="inlineStr">
        <is>
          <t>entidad-dia</t>
        </is>
      </c>
    </row>
    <row r="9257">
      <c r="A9257" t="inlineStr">
        <is>
          <t>PRAGMA</t>
        </is>
      </c>
      <c r="B9257" t="inlineStr">
        <is>
          <t>M3</t>
        </is>
      </c>
      <c r="C9257" t="inlineStr">
        <is>
          <t>Cali</t>
        </is>
      </c>
      <c r="D9257" t="inlineStr">
        <is>
          <t>863</t>
        </is>
      </c>
      <c r="E9257" t="inlineStr">
        <is>
          <t>salidas</t>
        </is>
      </c>
      <c r="F9257" s="23" t="n">
        <v>46280</v>
      </c>
      <c r="G9257" s="24">
        <f>F9257-DATE(2026,8,31)</f>
        <v>15</v>
      </c>
      <c r="H9257" s="25" t="n">
        <v>374442992</v>
      </c>
      <c r="I9257" t="inlineStr">
        <is>
          <t>entidad-dia</t>
        </is>
      </c>
    </row>
    <row r="9258">
      <c r="A9258" t="inlineStr">
        <is>
          <t>PRAGMA</t>
        </is>
      </c>
      <c r="B9258" t="inlineStr">
        <is>
          <t>M3</t>
        </is>
      </c>
      <c r="C9258" t="inlineStr">
        <is>
          <t>Cali</t>
        </is>
      </c>
      <c r="D9258" t="inlineStr">
        <is>
          <t>869</t>
        </is>
      </c>
      <c r="E9258" t="inlineStr">
        <is>
          <t>entradas</t>
        </is>
      </c>
      <c r="F9258" s="23" t="n">
        <v>46266</v>
      </c>
      <c r="G9258" s="24">
        <f>F9258-DATE(2026,8,31)</f>
        <v>1</v>
      </c>
      <c r="H9258" s="25" t="n">
        <v>691941504</v>
      </c>
      <c r="I9258" t="inlineStr">
        <is>
          <t>entidad-dia</t>
        </is>
      </c>
    </row>
    <row r="9259">
      <c r="A9259" t="inlineStr">
        <is>
          <t>PRAGMA</t>
        </is>
      </c>
      <c r="B9259" t="inlineStr">
        <is>
          <t>M3</t>
        </is>
      </c>
      <c r="C9259" t="inlineStr">
        <is>
          <t>Cali</t>
        </is>
      </c>
      <c r="D9259" t="inlineStr">
        <is>
          <t>869</t>
        </is>
      </c>
      <c r="E9259" t="inlineStr">
        <is>
          <t>salidas</t>
        </is>
      </c>
      <c r="F9259" s="23" t="n">
        <v>46266</v>
      </c>
      <c r="G9259" s="24">
        <f>F9259-DATE(2026,8,31)</f>
        <v>1</v>
      </c>
      <c r="H9259" s="25" t="n">
        <v>208293460</v>
      </c>
      <c r="I9259" t="inlineStr">
        <is>
          <t>entidad-dia</t>
        </is>
      </c>
    </row>
    <row r="9260">
      <c r="A9260" t="inlineStr">
        <is>
          <t>PRAGMA</t>
        </is>
      </c>
      <c r="B9260" t="inlineStr">
        <is>
          <t>M3</t>
        </is>
      </c>
      <c r="C9260" t="inlineStr">
        <is>
          <t>Cali</t>
        </is>
      </c>
      <c r="D9260" t="inlineStr">
        <is>
          <t>869</t>
        </is>
      </c>
      <c r="E9260" t="inlineStr">
        <is>
          <t>entradas</t>
        </is>
      </c>
      <c r="F9260" s="23" t="n">
        <v>46267</v>
      </c>
      <c r="G9260" s="24">
        <f>F9260-DATE(2026,8,31)</f>
        <v>2</v>
      </c>
      <c r="H9260" s="25" t="n">
        <v>565876543</v>
      </c>
      <c r="I9260" t="inlineStr">
        <is>
          <t>entidad-dia</t>
        </is>
      </c>
    </row>
    <row r="9261">
      <c r="A9261" t="inlineStr">
        <is>
          <t>PRAGMA</t>
        </is>
      </c>
      <c r="B9261" t="inlineStr">
        <is>
          <t>M3</t>
        </is>
      </c>
      <c r="C9261" t="inlineStr">
        <is>
          <t>Cali</t>
        </is>
      </c>
      <c r="D9261" t="inlineStr">
        <is>
          <t>869</t>
        </is>
      </c>
      <c r="E9261" t="inlineStr">
        <is>
          <t>salidas</t>
        </is>
      </c>
      <c r="F9261" s="23" t="n">
        <v>46267</v>
      </c>
      <c r="G9261" s="24">
        <f>F9261-DATE(2026,8,31)</f>
        <v>2</v>
      </c>
      <c r="H9261" s="25" t="n">
        <v>197780318</v>
      </c>
      <c r="I9261" t="inlineStr">
        <is>
          <t>entidad-dia</t>
        </is>
      </c>
    </row>
    <row r="9262">
      <c r="A9262" t="inlineStr">
        <is>
          <t>PRAGMA</t>
        </is>
      </c>
      <c r="B9262" t="inlineStr">
        <is>
          <t>M3</t>
        </is>
      </c>
      <c r="C9262" t="inlineStr">
        <is>
          <t>Cali</t>
        </is>
      </c>
      <c r="D9262" t="inlineStr">
        <is>
          <t>869</t>
        </is>
      </c>
      <c r="E9262" t="inlineStr">
        <is>
          <t>entradas</t>
        </is>
      </c>
      <c r="F9262" s="23" t="n">
        <v>46268</v>
      </c>
      <c r="G9262" s="24">
        <f>F9262-DATE(2026,8,31)</f>
        <v>3</v>
      </c>
      <c r="H9262" s="25" t="n">
        <v>475204504</v>
      </c>
      <c r="I9262" t="inlineStr">
        <is>
          <t>entidad-dia</t>
        </is>
      </c>
    </row>
    <row r="9263">
      <c r="A9263" t="inlineStr">
        <is>
          <t>PRAGMA</t>
        </is>
      </c>
      <c r="B9263" t="inlineStr">
        <is>
          <t>M3</t>
        </is>
      </c>
      <c r="C9263" t="inlineStr">
        <is>
          <t>Cali</t>
        </is>
      </c>
      <c r="D9263" t="inlineStr">
        <is>
          <t>869</t>
        </is>
      </c>
      <c r="E9263" t="inlineStr">
        <is>
          <t>salidas</t>
        </is>
      </c>
      <c r="F9263" s="23" t="n">
        <v>46268</v>
      </c>
      <c r="G9263" s="24">
        <f>F9263-DATE(2026,8,31)</f>
        <v>3</v>
      </c>
      <c r="H9263" s="25" t="n">
        <v>174821261</v>
      </c>
      <c r="I9263" t="inlineStr">
        <is>
          <t>entidad-dia</t>
        </is>
      </c>
    </row>
    <row r="9264">
      <c r="A9264" t="inlineStr">
        <is>
          <t>PRAGMA</t>
        </is>
      </c>
      <c r="B9264" t="inlineStr">
        <is>
          <t>M3</t>
        </is>
      </c>
      <c r="C9264" t="inlineStr">
        <is>
          <t>Cali</t>
        </is>
      </c>
      <c r="D9264" t="inlineStr">
        <is>
          <t>869</t>
        </is>
      </c>
      <c r="E9264" t="inlineStr">
        <is>
          <t>entradas</t>
        </is>
      </c>
      <c r="F9264" s="23" t="n">
        <v>46269</v>
      </c>
      <c r="G9264" s="24">
        <f>F9264-DATE(2026,8,31)</f>
        <v>4</v>
      </c>
      <c r="H9264" s="25" t="n">
        <v>590351798</v>
      </c>
      <c r="I9264" t="inlineStr">
        <is>
          <t>entidad-dia</t>
        </is>
      </c>
    </row>
    <row r="9265">
      <c r="A9265" t="inlineStr">
        <is>
          <t>PRAGMA</t>
        </is>
      </c>
      <c r="B9265" t="inlineStr">
        <is>
          <t>M3</t>
        </is>
      </c>
      <c r="C9265" t="inlineStr">
        <is>
          <t>Cali</t>
        </is>
      </c>
      <c r="D9265" t="inlineStr">
        <is>
          <t>869</t>
        </is>
      </c>
      <c r="E9265" t="inlineStr">
        <is>
          <t>salidas</t>
        </is>
      </c>
      <c r="F9265" s="23" t="n">
        <v>46269</v>
      </c>
      <c r="G9265" s="24">
        <f>F9265-DATE(2026,8,31)</f>
        <v>4</v>
      </c>
      <c r="H9265" s="25" t="n">
        <v>241007353</v>
      </c>
      <c r="I9265" t="inlineStr">
        <is>
          <t>entidad-dia</t>
        </is>
      </c>
    </row>
    <row r="9266">
      <c r="A9266" t="inlineStr">
        <is>
          <t>PRAGMA</t>
        </is>
      </c>
      <c r="B9266" t="inlineStr">
        <is>
          <t>M3</t>
        </is>
      </c>
      <c r="C9266" t="inlineStr">
        <is>
          <t>Cali</t>
        </is>
      </c>
      <c r="D9266" t="inlineStr">
        <is>
          <t>869</t>
        </is>
      </c>
      <c r="E9266" t="inlineStr">
        <is>
          <t>entradas</t>
        </is>
      </c>
      <c r="F9266" s="23" t="n">
        <v>46270</v>
      </c>
      <c r="G9266" s="24">
        <f>F9266-DATE(2026,8,31)</f>
        <v>5</v>
      </c>
      <c r="H9266" s="25" t="n">
        <v>760765</v>
      </c>
      <c r="I9266" t="inlineStr">
        <is>
          <t>entidad-dia</t>
        </is>
      </c>
    </row>
    <row r="9267">
      <c r="A9267" t="inlineStr">
        <is>
          <t>PRAGMA</t>
        </is>
      </c>
      <c r="B9267" t="inlineStr">
        <is>
          <t>M3</t>
        </is>
      </c>
      <c r="C9267" t="inlineStr">
        <is>
          <t>Cali</t>
        </is>
      </c>
      <c r="D9267" t="inlineStr">
        <is>
          <t>869</t>
        </is>
      </c>
      <c r="E9267" t="inlineStr">
        <is>
          <t>salidas</t>
        </is>
      </c>
      <c r="F9267" s="23" t="n">
        <v>46270</v>
      </c>
      <c r="G9267" s="24">
        <f>F9267-DATE(2026,8,31)</f>
        <v>5</v>
      </c>
      <c r="H9267" s="25" t="n">
        <v>0</v>
      </c>
      <c r="I9267" t="inlineStr">
        <is>
          <t>entidad-dia</t>
        </is>
      </c>
    </row>
    <row r="9268">
      <c r="A9268" t="inlineStr">
        <is>
          <t>PRAGMA</t>
        </is>
      </c>
      <c r="B9268" t="inlineStr">
        <is>
          <t>M3</t>
        </is>
      </c>
      <c r="C9268" t="inlineStr">
        <is>
          <t>Cali</t>
        </is>
      </c>
      <c r="D9268" t="inlineStr">
        <is>
          <t>869</t>
        </is>
      </c>
      <c r="E9268" t="inlineStr">
        <is>
          <t>entradas</t>
        </is>
      </c>
      <c r="F9268" s="23" t="n">
        <v>46271</v>
      </c>
      <c r="G9268" s="24">
        <f>F9268-DATE(2026,8,31)</f>
        <v>6</v>
      </c>
      <c r="H9268" s="25" t="n">
        <v>691657</v>
      </c>
      <c r="I9268" t="inlineStr">
        <is>
          <t>entidad-dia</t>
        </is>
      </c>
    </row>
    <row r="9269">
      <c r="A9269" t="inlineStr">
        <is>
          <t>PRAGMA</t>
        </is>
      </c>
      <c r="B9269" t="inlineStr">
        <is>
          <t>M3</t>
        </is>
      </c>
      <c r="C9269" t="inlineStr">
        <is>
          <t>Cali</t>
        </is>
      </c>
      <c r="D9269" t="inlineStr">
        <is>
          <t>869</t>
        </is>
      </c>
      <c r="E9269" t="inlineStr">
        <is>
          <t>salidas</t>
        </is>
      </c>
      <c r="F9269" s="23" t="n">
        <v>46271</v>
      </c>
      <c r="G9269" s="24">
        <f>F9269-DATE(2026,8,31)</f>
        <v>6</v>
      </c>
      <c r="H9269" s="25" t="n">
        <v>0</v>
      </c>
      <c r="I9269" t="inlineStr">
        <is>
          <t>entidad-dia</t>
        </is>
      </c>
    </row>
    <row r="9270">
      <c r="A9270" t="inlineStr">
        <is>
          <t>PRAGMA</t>
        </is>
      </c>
      <c r="B9270" t="inlineStr">
        <is>
          <t>M3</t>
        </is>
      </c>
      <c r="C9270" t="inlineStr">
        <is>
          <t>Cali</t>
        </is>
      </c>
      <c r="D9270" t="inlineStr">
        <is>
          <t>869</t>
        </is>
      </c>
      <c r="E9270" t="inlineStr">
        <is>
          <t>entradas</t>
        </is>
      </c>
      <c r="F9270" s="23" t="n">
        <v>46272</v>
      </c>
      <c r="G9270" s="24">
        <f>F9270-DATE(2026,8,31)</f>
        <v>7</v>
      </c>
      <c r="H9270" s="25" t="n">
        <v>585349354</v>
      </c>
      <c r="I9270" t="inlineStr">
        <is>
          <t>entidad-dia</t>
        </is>
      </c>
    </row>
    <row r="9271">
      <c r="A9271" t="inlineStr">
        <is>
          <t>PRAGMA</t>
        </is>
      </c>
      <c r="B9271" t="inlineStr">
        <is>
          <t>M3</t>
        </is>
      </c>
      <c r="C9271" t="inlineStr">
        <is>
          <t>Cali</t>
        </is>
      </c>
      <c r="D9271" t="inlineStr">
        <is>
          <t>869</t>
        </is>
      </c>
      <c r="E9271" t="inlineStr">
        <is>
          <t>salidas</t>
        </is>
      </c>
      <c r="F9271" s="23" t="n">
        <v>46272</v>
      </c>
      <c r="G9271" s="24">
        <f>F9271-DATE(2026,8,31)</f>
        <v>7</v>
      </c>
      <c r="H9271" s="25" t="n">
        <v>186875913</v>
      </c>
      <c r="I9271" t="inlineStr">
        <is>
          <t>entidad-dia</t>
        </is>
      </c>
    </row>
    <row r="9272">
      <c r="A9272" t="inlineStr">
        <is>
          <t>PRAGMA</t>
        </is>
      </c>
      <c r="B9272" t="inlineStr">
        <is>
          <t>M3</t>
        </is>
      </c>
      <c r="C9272" t="inlineStr">
        <is>
          <t>Cali</t>
        </is>
      </c>
      <c r="D9272" t="inlineStr">
        <is>
          <t>869</t>
        </is>
      </c>
      <c r="E9272" t="inlineStr">
        <is>
          <t>entradas</t>
        </is>
      </c>
      <c r="F9272" s="23" t="n">
        <v>46273</v>
      </c>
      <c r="G9272" s="24">
        <f>F9272-DATE(2026,8,31)</f>
        <v>8</v>
      </c>
      <c r="H9272" s="25" t="n">
        <v>723247339</v>
      </c>
      <c r="I9272" t="inlineStr">
        <is>
          <t>entidad-dia</t>
        </is>
      </c>
    </row>
    <row r="9273">
      <c r="A9273" t="inlineStr">
        <is>
          <t>PRAGMA</t>
        </is>
      </c>
      <c r="B9273" t="inlineStr">
        <is>
          <t>M3</t>
        </is>
      </c>
      <c r="C9273" t="inlineStr">
        <is>
          <t>Cali</t>
        </is>
      </c>
      <c r="D9273" t="inlineStr">
        <is>
          <t>869</t>
        </is>
      </c>
      <c r="E9273" t="inlineStr">
        <is>
          <t>salidas</t>
        </is>
      </c>
      <c r="F9273" s="23" t="n">
        <v>46273</v>
      </c>
      <c r="G9273" s="24">
        <f>F9273-DATE(2026,8,31)</f>
        <v>8</v>
      </c>
      <c r="H9273" s="25" t="n">
        <v>194248804</v>
      </c>
      <c r="I9273" t="inlineStr">
        <is>
          <t>entidad-dia</t>
        </is>
      </c>
    </row>
    <row r="9274">
      <c r="A9274" t="inlineStr">
        <is>
          <t>PRAGMA</t>
        </is>
      </c>
      <c r="B9274" t="inlineStr">
        <is>
          <t>M3</t>
        </is>
      </c>
      <c r="C9274" t="inlineStr">
        <is>
          <t>Cali</t>
        </is>
      </c>
      <c r="D9274" t="inlineStr">
        <is>
          <t>869</t>
        </is>
      </c>
      <c r="E9274" t="inlineStr">
        <is>
          <t>entradas</t>
        </is>
      </c>
      <c r="F9274" s="23" t="n">
        <v>46274</v>
      </c>
      <c r="G9274" s="24">
        <f>F9274-DATE(2026,8,31)</f>
        <v>9</v>
      </c>
      <c r="H9274" s="25" t="n">
        <v>593582283</v>
      </c>
      <c r="I9274" t="inlineStr">
        <is>
          <t>entidad-dia</t>
        </is>
      </c>
    </row>
    <row r="9275">
      <c r="A9275" t="inlineStr">
        <is>
          <t>PRAGMA</t>
        </is>
      </c>
      <c r="B9275" t="inlineStr">
        <is>
          <t>M3</t>
        </is>
      </c>
      <c r="C9275" t="inlineStr">
        <is>
          <t>Cali</t>
        </is>
      </c>
      <c r="D9275" t="inlineStr">
        <is>
          <t>869</t>
        </is>
      </c>
      <c r="E9275" t="inlineStr">
        <is>
          <t>salidas</t>
        </is>
      </c>
      <c r="F9275" s="23" t="n">
        <v>46274</v>
      </c>
      <c r="G9275" s="24">
        <f>F9275-DATE(2026,8,31)</f>
        <v>9</v>
      </c>
      <c r="H9275" s="25" t="n">
        <v>188672224</v>
      </c>
      <c r="I9275" t="inlineStr">
        <is>
          <t>entidad-dia</t>
        </is>
      </c>
    </row>
    <row r="9276">
      <c r="A9276" t="inlineStr">
        <is>
          <t>PRAGMA</t>
        </is>
      </c>
      <c r="B9276" t="inlineStr">
        <is>
          <t>M3</t>
        </is>
      </c>
      <c r="C9276" t="inlineStr">
        <is>
          <t>Cali</t>
        </is>
      </c>
      <c r="D9276" t="inlineStr">
        <is>
          <t>869</t>
        </is>
      </c>
      <c r="E9276" t="inlineStr">
        <is>
          <t>entradas</t>
        </is>
      </c>
      <c r="F9276" s="23" t="n">
        <v>46275</v>
      </c>
      <c r="G9276" s="24">
        <f>F9276-DATE(2026,8,31)</f>
        <v>10</v>
      </c>
      <c r="H9276" s="25" t="n">
        <v>487448426</v>
      </c>
      <c r="I9276" t="inlineStr">
        <is>
          <t>entidad-dia</t>
        </is>
      </c>
    </row>
    <row r="9277">
      <c r="A9277" t="inlineStr">
        <is>
          <t>PRAGMA</t>
        </is>
      </c>
      <c r="B9277" t="inlineStr">
        <is>
          <t>M3</t>
        </is>
      </c>
      <c r="C9277" t="inlineStr">
        <is>
          <t>Cali</t>
        </is>
      </c>
      <c r="D9277" t="inlineStr">
        <is>
          <t>869</t>
        </is>
      </c>
      <c r="E9277" t="inlineStr">
        <is>
          <t>salidas</t>
        </is>
      </c>
      <c r="F9277" s="23" t="n">
        <v>46275</v>
      </c>
      <c r="G9277" s="24">
        <f>F9277-DATE(2026,8,31)</f>
        <v>10</v>
      </c>
      <c r="H9277" s="25" t="n">
        <v>179768021</v>
      </c>
      <c r="I9277" t="inlineStr">
        <is>
          <t>entidad-dia</t>
        </is>
      </c>
    </row>
    <row r="9278">
      <c r="A9278" t="inlineStr">
        <is>
          <t>PRAGMA</t>
        </is>
      </c>
      <c r="B9278" t="inlineStr">
        <is>
          <t>M3</t>
        </is>
      </c>
      <c r="C9278" t="inlineStr">
        <is>
          <t>Cali</t>
        </is>
      </c>
      <c r="D9278" t="inlineStr">
        <is>
          <t>869</t>
        </is>
      </c>
      <c r="E9278" t="inlineStr">
        <is>
          <t>entradas</t>
        </is>
      </c>
      <c r="F9278" s="23" t="n">
        <v>46276</v>
      </c>
      <c r="G9278" s="24">
        <f>F9278-DATE(2026,8,31)</f>
        <v>11</v>
      </c>
      <c r="H9278" s="25" t="n">
        <v>600065278</v>
      </c>
      <c r="I9278" t="inlineStr">
        <is>
          <t>entidad-dia</t>
        </is>
      </c>
    </row>
    <row r="9279">
      <c r="A9279" t="inlineStr">
        <is>
          <t>PRAGMA</t>
        </is>
      </c>
      <c r="B9279" t="inlineStr">
        <is>
          <t>M3</t>
        </is>
      </c>
      <c r="C9279" t="inlineStr">
        <is>
          <t>Cali</t>
        </is>
      </c>
      <c r="D9279" t="inlineStr">
        <is>
          <t>869</t>
        </is>
      </c>
      <c r="E9279" t="inlineStr">
        <is>
          <t>salidas</t>
        </is>
      </c>
      <c r="F9279" s="23" t="n">
        <v>46276</v>
      </c>
      <c r="G9279" s="24">
        <f>F9279-DATE(2026,8,31)</f>
        <v>11</v>
      </c>
      <c r="H9279" s="25" t="n">
        <v>213706121</v>
      </c>
      <c r="I9279" t="inlineStr">
        <is>
          <t>entidad-dia</t>
        </is>
      </c>
    </row>
    <row r="9280">
      <c r="A9280" t="inlineStr">
        <is>
          <t>PRAGMA</t>
        </is>
      </c>
      <c r="B9280" t="inlineStr">
        <is>
          <t>M3</t>
        </is>
      </c>
      <c r="C9280" t="inlineStr">
        <is>
          <t>Cali</t>
        </is>
      </c>
      <c r="D9280" t="inlineStr">
        <is>
          <t>869</t>
        </is>
      </c>
      <c r="E9280" t="inlineStr">
        <is>
          <t>entradas</t>
        </is>
      </c>
      <c r="F9280" s="23" t="n">
        <v>46277</v>
      </c>
      <c r="G9280" s="24">
        <f>F9280-DATE(2026,8,31)</f>
        <v>12</v>
      </c>
      <c r="H9280" s="25" t="n">
        <v>675138</v>
      </c>
      <c r="I9280" t="inlineStr">
        <is>
          <t>entidad-dia</t>
        </is>
      </c>
    </row>
    <row r="9281">
      <c r="A9281" t="inlineStr">
        <is>
          <t>PRAGMA</t>
        </is>
      </c>
      <c r="B9281" t="inlineStr">
        <is>
          <t>M3</t>
        </is>
      </c>
      <c r="C9281" t="inlineStr">
        <is>
          <t>Cali</t>
        </is>
      </c>
      <c r="D9281" t="inlineStr">
        <is>
          <t>869</t>
        </is>
      </c>
      <c r="E9281" t="inlineStr">
        <is>
          <t>salidas</t>
        </is>
      </c>
      <c r="F9281" s="23" t="n">
        <v>46277</v>
      </c>
      <c r="G9281" s="24">
        <f>F9281-DATE(2026,8,31)</f>
        <v>12</v>
      </c>
      <c r="H9281" s="25" t="n">
        <v>0</v>
      </c>
      <c r="I9281" t="inlineStr">
        <is>
          <t>entidad-dia</t>
        </is>
      </c>
    </row>
    <row r="9282">
      <c r="A9282" t="inlineStr">
        <is>
          <t>PRAGMA</t>
        </is>
      </c>
      <c r="B9282" t="inlineStr">
        <is>
          <t>M3</t>
        </is>
      </c>
      <c r="C9282" t="inlineStr">
        <is>
          <t>Cali</t>
        </is>
      </c>
      <c r="D9282" t="inlineStr">
        <is>
          <t>869</t>
        </is>
      </c>
      <c r="E9282" t="inlineStr">
        <is>
          <t>entradas</t>
        </is>
      </c>
      <c r="F9282" s="23" t="n">
        <v>46278</v>
      </c>
      <c r="G9282" s="24">
        <f>F9282-DATE(2026,8,31)</f>
        <v>13</v>
      </c>
      <c r="H9282" s="25" t="n">
        <v>14809</v>
      </c>
      <c r="I9282" t="inlineStr">
        <is>
          <t>entidad-dia</t>
        </is>
      </c>
    </row>
    <row r="9283">
      <c r="A9283" t="inlineStr">
        <is>
          <t>PRAGMA</t>
        </is>
      </c>
      <c r="B9283" t="inlineStr">
        <is>
          <t>M3</t>
        </is>
      </c>
      <c r="C9283" t="inlineStr">
        <is>
          <t>Cali</t>
        </is>
      </c>
      <c r="D9283" t="inlineStr">
        <is>
          <t>869</t>
        </is>
      </c>
      <c r="E9283" t="inlineStr">
        <is>
          <t>salidas</t>
        </is>
      </c>
      <c r="F9283" s="23" t="n">
        <v>46278</v>
      </c>
      <c r="G9283" s="24">
        <f>F9283-DATE(2026,8,31)</f>
        <v>13</v>
      </c>
      <c r="H9283" s="25" t="n">
        <v>0</v>
      </c>
      <c r="I9283" t="inlineStr">
        <is>
          <t>entidad-dia</t>
        </is>
      </c>
    </row>
    <row r="9284">
      <c r="A9284" t="inlineStr">
        <is>
          <t>PRAGMA</t>
        </is>
      </c>
      <c r="B9284" t="inlineStr">
        <is>
          <t>M3</t>
        </is>
      </c>
      <c r="C9284" t="inlineStr">
        <is>
          <t>Cali</t>
        </is>
      </c>
      <c r="D9284" t="inlineStr">
        <is>
          <t>869</t>
        </is>
      </c>
      <c r="E9284" t="inlineStr">
        <is>
          <t>entradas</t>
        </is>
      </c>
      <c r="F9284" s="23" t="n">
        <v>46279</v>
      </c>
      <c r="G9284" s="24">
        <f>F9284-DATE(2026,8,31)</f>
        <v>14</v>
      </c>
      <c r="H9284" s="25" t="n">
        <v>610852554</v>
      </c>
      <c r="I9284" t="inlineStr">
        <is>
          <t>entidad-dia</t>
        </is>
      </c>
    </row>
    <row r="9285">
      <c r="A9285" t="inlineStr">
        <is>
          <t>PRAGMA</t>
        </is>
      </c>
      <c r="B9285" t="inlineStr">
        <is>
          <t>M3</t>
        </is>
      </c>
      <c r="C9285" t="inlineStr">
        <is>
          <t>Cali</t>
        </is>
      </c>
      <c r="D9285" t="inlineStr">
        <is>
          <t>869</t>
        </is>
      </c>
      <c r="E9285" t="inlineStr">
        <is>
          <t>salidas</t>
        </is>
      </c>
      <c r="F9285" s="23" t="n">
        <v>46279</v>
      </c>
      <c r="G9285" s="24">
        <f>F9285-DATE(2026,8,31)</f>
        <v>14</v>
      </c>
      <c r="H9285" s="25" t="n">
        <v>183548216</v>
      </c>
      <c r="I9285" t="inlineStr">
        <is>
          <t>entidad-dia</t>
        </is>
      </c>
    </row>
    <row r="9286">
      <c r="A9286" t="inlineStr">
        <is>
          <t>PRAGMA</t>
        </is>
      </c>
      <c r="B9286" t="inlineStr">
        <is>
          <t>M3</t>
        </is>
      </c>
      <c r="C9286" t="inlineStr">
        <is>
          <t>Cali</t>
        </is>
      </c>
      <c r="D9286" t="inlineStr">
        <is>
          <t>869</t>
        </is>
      </c>
      <c r="E9286" t="inlineStr">
        <is>
          <t>entradas</t>
        </is>
      </c>
      <c r="F9286" s="23" t="n">
        <v>46280</v>
      </c>
      <c r="G9286" s="24">
        <f>F9286-DATE(2026,8,31)</f>
        <v>15</v>
      </c>
      <c r="H9286" s="25" t="n">
        <v>711995776</v>
      </c>
      <c r="I9286" t="inlineStr">
        <is>
          <t>entidad-dia</t>
        </is>
      </c>
    </row>
    <row r="9287">
      <c r="A9287" t="inlineStr">
        <is>
          <t>PRAGMA</t>
        </is>
      </c>
      <c r="B9287" t="inlineStr">
        <is>
          <t>M3</t>
        </is>
      </c>
      <c r="C9287" t="inlineStr">
        <is>
          <t>Cali</t>
        </is>
      </c>
      <c r="D9287" t="inlineStr">
        <is>
          <t>869</t>
        </is>
      </c>
      <c r="E9287" t="inlineStr">
        <is>
          <t>salidas</t>
        </is>
      </c>
      <c r="F9287" s="23" t="n">
        <v>46280</v>
      </c>
      <c r="G9287" s="24">
        <f>F9287-DATE(2026,8,31)</f>
        <v>15</v>
      </c>
      <c r="H9287" s="25" t="n">
        <v>197118719</v>
      </c>
      <c r="I9287" t="inlineStr">
        <is>
          <t>entidad-dia</t>
        </is>
      </c>
    </row>
    <row r="9288">
      <c r="A9288" t="inlineStr">
        <is>
          <t>PRAGMA</t>
        </is>
      </c>
      <c r="B9288" t="inlineStr">
        <is>
          <t>M3</t>
        </is>
      </c>
      <c r="C9288" t="inlineStr">
        <is>
          <t>Cali</t>
        </is>
      </c>
      <c r="D9288" t="inlineStr">
        <is>
          <t>871</t>
        </is>
      </c>
      <c r="E9288" t="inlineStr">
        <is>
          <t>entradas</t>
        </is>
      </c>
      <c r="F9288" s="23" t="n">
        <v>46266</v>
      </c>
      <c r="G9288" s="24">
        <f>F9288-DATE(2026,8,31)</f>
        <v>1</v>
      </c>
      <c r="H9288" s="25" t="n">
        <v>369997850</v>
      </c>
      <c r="I9288" t="inlineStr">
        <is>
          <t>entidad-dia</t>
        </is>
      </c>
    </row>
    <row r="9289">
      <c r="A9289" t="inlineStr">
        <is>
          <t>PRAGMA</t>
        </is>
      </c>
      <c r="B9289" t="inlineStr">
        <is>
          <t>M3</t>
        </is>
      </c>
      <c r="C9289" t="inlineStr">
        <is>
          <t>Cali</t>
        </is>
      </c>
      <c r="D9289" t="inlineStr">
        <is>
          <t>871</t>
        </is>
      </c>
      <c r="E9289" t="inlineStr">
        <is>
          <t>salidas</t>
        </is>
      </c>
      <c r="F9289" s="23" t="n">
        <v>46266</v>
      </c>
      <c r="G9289" s="24">
        <f>F9289-DATE(2026,8,31)</f>
        <v>1</v>
      </c>
      <c r="H9289" s="25" t="n">
        <v>197984658</v>
      </c>
      <c r="I9289" t="inlineStr">
        <is>
          <t>entidad-dia</t>
        </is>
      </c>
    </row>
    <row r="9290">
      <c r="A9290" t="inlineStr">
        <is>
          <t>PRAGMA</t>
        </is>
      </c>
      <c r="B9290" t="inlineStr">
        <is>
          <t>M3</t>
        </is>
      </c>
      <c r="C9290" t="inlineStr">
        <is>
          <t>Cali</t>
        </is>
      </c>
      <c r="D9290" t="inlineStr">
        <is>
          <t>871</t>
        </is>
      </c>
      <c r="E9290" t="inlineStr">
        <is>
          <t>entradas</t>
        </is>
      </c>
      <c r="F9290" s="23" t="n">
        <v>46267</v>
      </c>
      <c r="G9290" s="24">
        <f>F9290-DATE(2026,8,31)</f>
        <v>2</v>
      </c>
      <c r="H9290" s="25" t="n">
        <v>379843843</v>
      </c>
      <c r="I9290" t="inlineStr">
        <is>
          <t>entidad-dia</t>
        </is>
      </c>
    </row>
    <row r="9291">
      <c r="A9291" t="inlineStr">
        <is>
          <t>PRAGMA</t>
        </is>
      </c>
      <c r="B9291" t="inlineStr">
        <is>
          <t>M3</t>
        </is>
      </c>
      <c r="C9291" t="inlineStr">
        <is>
          <t>Cali</t>
        </is>
      </c>
      <c r="D9291" t="inlineStr">
        <is>
          <t>871</t>
        </is>
      </c>
      <c r="E9291" t="inlineStr">
        <is>
          <t>salidas</t>
        </is>
      </c>
      <c r="F9291" s="23" t="n">
        <v>46267</v>
      </c>
      <c r="G9291" s="24">
        <f>F9291-DATE(2026,8,31)</f>
        <v>2</v>
      </c>
      <c r="H9291" s="25" t="n">
        <v>205025932</v>
      </c>
      <c r="I9291" t="inlineStr">
        <is>
          <t>entidad-dia</t>
        </is>
      </c>
    </row>
    <row r="9292">
      <c r="A9292" t="inlineStr">
        <is>
          <t>PRAGMA</t>
        </is>
      </c>
      <c r="B9292" t="inlineStr">
        <is>
          <t>M3</t>
        </is>
      </c>
      <c r="C9292" t="inlineStr">
        <is>
          <t>Cali</t>
        </is>
      </c>
      <c r="D9292" t="inlineStr">
        <is>
          <t>871</t>
        </is>
      </c>
      <c r="E9292" t="inlineStr">
        <is>
          <t>entradas</t>
        </is>
      </c>
      <c r="F9292" s="23" t="n">
        <v>46268</v>
      </c>
      <c r="G9292" s="24">
        <f>F9292-DATE(2026,8,31)</f>
        <v>3</v>
      </c>
      <c r="H9292" s="25" t="n">
        <v>381992538</v>
      </c>
      <c r="I9292" t="inlineStr">
        <is>
          <t>entidad-dia</t>
        </is>
      </c>
    </row>
    <row r="9293">
      <c r="A9293" t="inlineStr">
        <is>
          <t>PRAGMA</t>
        </is>
      </c>
      <c r="B9293" t="inlineStr">
        <is>
          <t>M3</t>
        </is>
      </c>
      <c r="C9293" t="inlineStr">
        <is>
          <t>Cali</t>
        </is>
      </c>
      <c r="D9293" t="inlineStr">
        <is>
          <t>871</t>
        </is>
      </c>
      <c r="E9293" t="inlineStr">
        <is>
          <t>salidas</t>
        </is>
      </c>
      <c r="F9293" s="23" t="n">
        <v>46268</v>
      </c>
      <c r="G9293" s="24">
        <f>F9293-DATE(2026,8,31)</f>
        <v>3</v>
      </c>
      <c r="H9293" s="25" t="n">
        <v>176688996</v>
      </c>
      <c r="I9293" t="inlineStr">
        <is>
          <t>entidad-dia</t>
        </is>
      </c>
    </row>
    <row r="9294">
      <c r="A9294" t="inlineStr">
        <is>
          <t>PRAGMA</t>
        </is>
      </c>
      <c r="B9294" t="inlineStr">
        <is>
          <t>M3</t>
        </is>
      </c>
      <c r="C9294" t="inlineStr">
        <is>
          <t>Cali</t>
        </is>
      </c>
      <c r="D9294" t="inlineStr">
        <is>
          <t>871</t>
        </is>
      </c>
      <c r="E9294" t="inlineStr">
        <is>
          <t>entradas</t>
        </is>
      </c>
      <c r="F9294" s="23" t="n">
        <v>46269</v>
      </c>
      <c r="G9294" s="24">
        <f>F9294-DATE(2026,8,31)</f>
        <v>4</v>
      </c>
      <c r="H9294" s="25" t="n">
        <v>396011237</v>
      </c>
      <c r="I9294" t="inlineStr">
        <is>
          <t>entidad-dia</t>
        </is>
      </c>
    </row>
    <row r="9295">
      <c r="A9295" t="inlineStr">
        <is>
          <t>PRAGMA</t>
        </is>
      </c>
      <c r="B9295" t="inlineStr">
        <is>
          <t>M3</t>
        </is>
      </c>
      <c r="C9295" t="inlineStr">
        <is>
          <t>Cali</t>
        </is>
      </c>
      <c r="D9295" t="inlineStr">
        <is>
          <t>871</t>
        </is>
      </c>
      <c r="E9295" t="inlineStr">
        <is>
          <t>salidas</t>
        </is>
      </c>
      <c r="F9295" s="23" t="n">
        <v>46269</v>
      </c>
      <c r="G9295" s="24">
        <f>F9295-DATE(2026,8,31)</f>
        <v>4</v>
      </c>
      <c r="H9295" s="25" t="n">
        <v>229059254</v>
      </c>
      <c r="I9295" t="inlineStr">
        <is>
          <t>entidad-dia</t>
        </is>
      </c>
    </row>
    <row r="9296">
      <c r="A9296" t="inlineStr">
        <is>
          <t>PRAGMA</t>
        </is>
      </c>
      <c r="B9296" t="inlineStr">
        <is>
          <t>M3</t>
        </is>
      </c>
      <c r="C9296" t="inlineStr">
        <is>
          <t>Cali</t>
        </is>
      </c>
      <c r="D9296" t="inlineStr">
        <is>
          <t>871</t>
        </is>
      </c>
      <c r="E9296" t="inlineStr">
        <is>
          <t>entradas</t>
        </is>
      </c>
      <c r="F9296" s="23" t="n">
        <v>46270</v>
      </c>
      <c r="G9296" s="24">
        <f>F9296-DATE(2026,8,31)</f>
        <v>5</v>
      </c>
      <c r="H9296" s="25" t="n">
        <v>673356</v>
      </c>
      <c r="I9296" t="inlineStr">
        <is>
          <t>entidad-dia</t>
        </is>
      </c>
    </row>
    <row r="9297">
      <c r="A9297" t="inlineStr">
        <is>
          <t>PRAGMA</t>
        </is>
      </c>
      <c r="B9297" t="inlineStr">
        <is>
          <t>M3</t>
        </is>
      </c>
      <c r="C9297" t="inlineStr">
        <is>
          <t>Cali</t>
        </is>
      </c>
      <c r="D9297" t="inlineStr">
        <is>
          <t>871</t>
        </is>
      </c>
      <c r="E9297" t="inlineStr">
        <is>
          <t>salidas</t>
        </is>
      </c>
      <c r="F9297" s="23" t="n">
        <v>46270</v>
      </c>
      <c r="G9297" s="24">
        <f>F9297-DATE(2026,8,31)</f>
        <v>5</v>
      </c>
      <c r="H9297" s="25" t="n">
        <v>0</v>
      </c>
      <c r="I9297" t="inlineStr">
        <is>
          <t>entidad-dia</t>
        </is>
      </c>
    </row>
    <row r="9298">
      <c r="A9298" t="inlineStr">
        <is>
          <t>PRAGMA</t>
        </is>
      </c>
      <c r="B9298" t="inlineStr">
        <is>
          <t>M3</t>
        </is>
      </c>
      <c r="C9298" t="inlineStr">
        <is>
          <t>Cali</t>
        </is>
      </c>
      <c r="D9298" t="inlineStr">
        <is>
          <t>871</t>
        </is>
      </c>
      <c r="E9298" t="inlineStr">
        <is>
          <t>entradas</t>
        </is>
      </c>
      <c r="F9298" s="23" t="n">
        <v>46271</v>
      </c>
      <c r="G9298" s="24">
        <f>F9298-DATE(2026,8,31)</f>
        <v>6</v>
      </c>
      <c r="H9298" s="25" t="n">
        <v>35929</v>
      </c>
      <c r="I9298" t="inlineStr">
        <is>
          <t>entidad-dia</t>
        </is>
      </c>
    </row>
    <row r="9299">
      <c r="A9299" t="inlineStr">
        <is>
          <t>PRAGMA</t>
        </is>
      </c>
      <c r="B9299" t="inlineStr">
        <is>
          <t>M3</t>
        </is>
      </c>
      <c r="C9299" t="inlineStr">
        <is>
          <t>Cali</t>
        </is>
      </c>
      <c r="D9299" t="inlineStr">
        <is>
          <t>871</t>
        </is>
      </c>
      <c r="E9299" t="inlineStr">
        <is>
          <t>salidas</t>
        </is>
      </c>
      <c r="F9299" s="23" t="n">
        <v>46271</v>
      </c>
      <c r="G9299" s="24">
        <f>F9299-DATE(2026,8,31)</f>
        <v>6</v>
      </c>
      <c r="H9299" s="25" t="n">
        <v>0</v>
      </c>
      <c r="I9299" t="inlineStr">
        <is>
          <t>entidad-dia</t>
        </is>
      </c>
    </row>
    <row r="9300">
      <c r="A9300" t="inlineStr">
        <is>
          <t>PRAGMA</t>
        </is>
      </c>
      <c r="B9300" t="inlineStr">
        <is>
          <t>M3</t>
        </is>
      </c>
      <c r="C9300" t="inlineStr">
        <is>
          <t>Cali</t>
        </is>
      </c>
      <c r="D9300" t="inlineStr">
        <is>
          <t>871</t>
        </is>
      </c>
      <c r="E9300" t="inlineStr">
        <is>
          <t>entradas</t>
        </is>
      </c>
      <c r="F9300" s="23" t="n">
        <v>46272</v>
      </c>
      <c r="G9300" s="24">
        <f>F9300-DATE(2026,8,31)</f>
        <v>7</v>
      </c>
      <c r="H9300" s="25" t="n">
        <v>351528842</v>
      </c>
      <c r="I9300" t="inlineStr">
        <is>
          <t>entidad-dia</t>
        </is>
      </c>
    </row>
    <row r="9301">
      <c r="A9301" t="inlineStr">
        <is>
          <t>PRAGMA</t>
        </is>
      </c>
      <c r="B9301" t="inlineStr">
        <is>
          <t>M3</t>
        </is>
      </c>
      <c r="C9301" t="inlineStr">
        <is>
          <t>Cali</t>
        </is>
      </c>
      <c r="D9301" t="inlineStr">
        <is>
          <t>871</t>
        </is>
      </c>
      <c r="E9301" t="inlineStr">
        <is>
          <t>salidas</t>
        </is>
      </c>
      <c r="F9301" s="23" t="n">
        <v>46272</v>
      </c>
      <c r="G9301" s="24">
        <f>F9301-DATE(2026,8,31)</f>
        <v>7</v>
      </c>
      <c r="H9301" s="25" t="n">
        <v>179446447</v>
      </c>
      <c r="I9301" t="inlineStr">
        <is>
          <t>entidad-dia</t>
        </is>
      </c>
    </row>
    <row r="9302">
      <c r="A9302" t="inlineStr">
        <is>
          <t>PRAGMA</t>
        </is>
      </c>
      <c r="B9302" t="inlineStr">
        <is>
          <t>M3</t>
        </is>
      </c>
      <c r="C9302" t="inlineStr">
        <is>
          <t>Cali</t>
        </is>
      </c>
      <c r="D9302" t="inlineStr">
        <is>
          <t>871</t>
        </is>
      </c>
      <c r="E9302" t="inlineStr">
        <is>
          <t>entradas</t>
        </is>
      </c>
      <c r="F9302" s="23" t="n">
        <v>46273</v>
      </c>
      <c r="G9302" s="24">
        <f>F9302-DATE(2026,8,31)</f>
        <v>8</v>
      </c>
      <c r="H9302" s="25" t="n">
        <v>341161309</v>
      </c>
      <c r="I9302" t="inlineStr">
        <is>
          <t>entidad-dia</t>
        </is>
      </c>
    </row>
    <row r="9303">
      <c r="A9303" t="inlineStr">
        <is>
          <t>PRAGMA</t>
        </is>
      </c>
      <c r="B9303" t="inlineStr">
        <is>
          <t>M3</t>
        </is>
      </c>
      <c r="C9303" t="inlineStr">
        <is>
          <t>Cali</t>
        </is>
      </c>
      <c r="D9303" t="inlineStr">
        <is>
          <t>871</t>
        </is>
      </c>
      <c r="E9303" t="inlineStr">
        <is>
          <t>salidas</t>
        </is>
      </c>
      <c r="F9303" s="23" t="n">
        <v>46273</v>
      </c>
      <c r="G9303" s="24">
        <f>F9303-DATE(2026,8,31)</f>
        <v>8</v>
      </c>
      <c r="H9303" s="25" t="n">
        <v>187249913</v>
      </c>
      <c r="I9303" t="inlineStr">
        <is>
          <t>entidad-dia</t>
        </is>
      </c>
    </row>
    <row r="9304">
      <c r="A9304" t="inlineStr">
        <is>
          <t>PRAGMA</t>
        </is>
      </c>
      <c r="B9304" t="inlineStr">
        <is>
          <t>M3</t>
        </is>
      </c>
      <c r="C9304" t="inlineStr">
        <is>
          <t>Cali</t>
        </is>
      </c>
      <c r="D9304" t="inlineStr">
        <is>
          <t>871</t>
        </is>
      </c>
      <c r="E9304" t="inlineStr">
        <is>
          <t>entradas</t>
        </is>
      </c>
      <c r="F9304" s="23" t="n">
        <v>46274</v>
      </c>
      <c r="G9304" s="24">
        <f>F9304-DATE(2026,8,31)</f>
        <v>9</v>
      </c>
      <c r="H9304" s="25" t="n">
        <v>377740097</v>
      </c>
      <c r="I9304" t="inlineStr">
        <is>
          <t>entidad-dia</t>
        </is>
      </c>
    </row>
    <row r="9305">
      <c r="A9305" t="inlineStr">
        <is>
          <t>PRAGMA</t>
        </is>
      </c>
      <c r="B9305" t="inlineStr">
        <is>
          <t>M3</t>
        </is>
      </c>
      <c r="C9305" t="inlineStr">
        <is>
          <t>Cali</t>
        </is>
      </c>
      <c r="D9305" t="inlineStr">
        <is>
          <t>871</t>
        </is>
      </c>
      <c r="E9305" t="inlineStr">
        <is>
          <t>salidas</t>
        </is>
      </c>
      <c r="F9305" s="23" t="n">
        <v>46274</v>
      </c>
      <c r="G9305" s="24">
        <f>F9305-DATE(2026,8,31)</f>
        <v>9</v>
      </c>
      <c r="H9305" s="25" t="n">
        <v>188444646</v>
      </c>
      <c r="I9305" t="inlineStr">
        <is>
          <t>entidad-dia</t>
        </is>
      </c>
    </row>
    <row r="9306">
      <c r="A9306" t="inlineStr">
        <is>
          <t>PRAGMA</t>
        </is>
      </c>
      <c r="B9306" t="inlineStr">
        <is>
          <t>M3</t>
        </is>
      </c>
      <c r="C9306" t="inlineStr">
        <is>
          <t>Cali</t>
        </is>
      </c>
      <c r="D9306" t="inlineStr">
        <is>
          <t>871</t>
        </is>
      </c>
      <c r="E9306" t="inlineStr">
        <is>
          <t>entradas</t>
        </is>
      </c>
      <c r="F9306" s="23" t="n">
        <v>46275</v>
      </c>
      <c r="G9306" s="24">
        <f>F9306-DATE(2026,8,31)</f>
        <v>10</v>
      </c>
      <c r="H9306" s="25" t="n">
        <v>406831737</v>
      </c>
      <c r="I9306" t="inlineStr">
        <is>
          <t>entidad-dia</t>
        </is>
      </c>
    </row>
    <row r="9307">
      <c r="A9307" t="inlineStr">
        <is>
          <t>PRAGMA</t>
        </is>
      </c>
      <c r="B9307" t="inlineStr">
        <is>
          <t>M3</t>
        </is>
      </c>
      <c r="C9307" t="inlineStr">
        <is>
          <t>Cali</t>
        </is>
      </c>
      <c r="D9307" t="inlineStr">
        <is>
          <t>871</t>
        </is>
      </c>
      <c r="E9307" t="inlineStr">
        <is>
          <t>salidas</t>
        </is>
      </c>
      <c r="F9307" s="23" t="n">
        <v>46275</v>
      </c>
      <c r="G9307" s="24">
        <f>F9307-DATE(2026,8,31)</f>
        <v>10</v>
      </c>
      <c r="H9307" s="25" t="n">
        <v>189361585</v>
      </c>
      <c r="I9307" t="inlineStr">
        <is>
          <t>entidad-dia</t>
        </is>
      </c>
    </row>
    <row r="9308">
      <c r="A9308" t="inlineStr">
        <is>
          <t>PRAGMA</t>
        </is>
      </c>
      <c r="B9308" t="inlineStr">
        <is>
          <t>M3</t>
        </is>
      </c>
      <c r="C9308" t="inlineStr">
        <is>
          <t>Cali</t>
        </is>
      </c>
      <c r="D9308" t="inlineStr">
        <is>
          <t>871</t>
        </is>
      </c>
      <c r="E9308" t="inlineStr">
        <is>
          <t>entradas</t>
        </is>
      </c>
      <c r="F9308" s="23" t="n">
        <v>46276</v>
      </c>
      <c r="G9308" s="24">
        <f>F9308-DATE(2026,8,31)</f>
        <v>11</v>
      </c>
      <c r="H9308" s="25" t="n">
        <v>403939441</v>
      </c>
      <c r="I9308" t="inlineStr">
        <is>
          <t>entidad-dia</t>
        </is>
      </c>
    </row>
    <row r="9309">
      <c r="A9309" t="inlineStr">
        <is>
          <t>PRAGMA</t>
        </is>
      </c>
      <c r="B9309" t="inlineStr">
        <is>
          <t>M3</t>
        </is>
      </c>
      <c r="C9309" t="inlineStr">
        <is>
          <t>Cali</t>
        </is>
      </c>
      <c r="D9309" t="inlineStr">
        <is>
          <t>871</t>
        </is>
      </c>
      <c r="E9309" t="inlineStr">
        <is>
          <t>salidas</t>
        </is>
      </c>
      <c r="F9309" s="23" t="n">
        <v>46276</v>
      </c>
      <c r="G9309" s="24">
        <f>F9309-DATE(2026,8,31)</f>
        <v>11</v>
      </c>
      <c r="H9309" s="25" t="n">
        <v>213488392</v>
      </c>
      <c r="I9309" t="inlineStr">
        <is>
          <t>entidad-dia</t>
        </is>
      </c>
    </row>
    <row r="9310">
      <c r="A9310" t="inlineStr">
        <is>
          <t>PRAGMA</t>
        </is>
      </c>
      <c r="B9310" t="inlineStr">
        <is>
          <t>M3</t>
        </is>
      </c>
      <c r="C9310" t="inlineStr">
        <is>
          <t>Cali</t>
        </is>
      </c>
      <c r="D9310" t="inlineStr">
        <is>
          <t>871</t>
        </is>
      </c>
      <c r="E9310" t="inlineStr">
        <is>
          <t>entradas</t>
        </is>
      </c>
      <c r="F9310" s="23" t="n">
        <v>46277</v>
      </c>
      <c r="G9310" s="24">
        <f>F9310-DATE(2026,8,31)</f>
        <v>12</v>
      </c>
      <c r="H9310" s="25" t="n">
        <v>497075</v>
      </c>
      <c r="I9310" t="inlineStr">
        <is>
          <t>entidad-dia</t>
        </is>
      </c>
    </row>
    <row r="9311">
      <c r="A9311" t="inlineStr">
        <is>
          <t>PRAGMA</t>
        </is>
      </c>
      <c r="B9311" t="inlineStr">
        <is>
          <t>M3</t>
        </is>
      </c>
      <c r="C9311" t="inlineStr">
        <is>
          <t>Cali</t>
        </is>
      </c>
      <c r="D9311" t="inlineStr">
        <is>
          <t>871</t>
        </is>
      </c>
      <c r="E9311" t="inlineStr">
        <is>
          <t>salidas</t>
        </is>
      </c>
      <c r="F9311" s="23" t="n">
        <v>46277</v>
      </c>
      <c r="G9311" s="24">
        <f>F9311-DATE(2026,8,31)</f>
        <v>12</v>
      </c>
      <c r="H9311" s="25" t="n">
        <v>0</v>
      </c>
      <c r="I9311" t="inlineStr">
        <is>
          <t>entidad-dia</t>
        </is>
      </c>
    </row>
    <row r="9312">
      <c r="A9312" t="inlineStr">
        <is>
          <t>PRAGMA</t>
        </is>
      </c>
      <c r="B9312" t="inlineStr">
        <is>
          <t>M3</t>
        </is>
      </c>
      <c r="C9312" t="inlineStr">
        <is>
          <t>Cali</t>
        </is>
      </c>
      <c r="D9312" t="inlineStr">
        <is>
          <t>871</t>
        </is>
      </c>
      <c r="E9312" t="inlineStr">
        <is>
          <t>entradas</t>
        </is>
      </c>
      <c r="F9312" s="23" t="n">
        <v>46278</v>
      </c>
      <c r="G9312" s="24">
        <f>F9312-DATE(2026,8,31)</f>
        <v>13</v>
      </c>
      <c r="H9312" s="25" t="n">
        <v>67422</v>
      </c>
      <c r="I9312" t="inlineStr">
        <is>
          <t>entidad-dia</t>
        </is>
      </c>
    </row>
    <row r="9313">
      <c r="A9313" t="inlineStr">
        <is>
          <t>PRAGMA</t>
        </is>
      </c>
      <c r="B9313" t="inlineStr">
        <is>
          <t>M3</t>
        </is>
      </c>
      <c r="C9313" t="inlineStr">
        <is>
          <t>Cali</t>
        </is>
      </c>
      <c r="D9313" t="inlineStr">
        <is>
          <t>871</t>
        </is>
      </c>
      <c r="E9313" t="inlineStr">
        <is>
          <t>salidas</t>
        </is>
      </c>
      <c r="F9313" s="23" t="n">
        <v>46278</v>
      </c>
      <c r="G9313" s="24">
        <f>F9313-DATE(2026,8,31)</f>
        <v>13</v>
      </c>
      <c r="H9313" s="25" t="n">
        <v>0</v>
      </c>
      <c r="I9313" t="inlineStr">
        <is>
          <t>entidad-dia</t>
        </is>
      </c>
    </row>
    <row r="9314">
      <c r="A9314" t="inlineStr">
        <is>
          <t>PRAGMA</t>
        </is>
      </c>
      <c r="B9314" t="inlineStr">
        <is>
          <t>M3</t>
        </is>
      </c>
      <c r="C9314" t="inlineStr">
        <is>
          <t>Cali</t>
        </is>
      </c>
      <c r="D9314" t="inlineStr">
        <is>
          <t>871</t>
        </is>
      </c>
      <c r="E9314" t="inlineStr">
        <is>
          <t>entradas</t>
        </is>
      </c>
      <c r="F9314" s="23" t="n">
        <v>46279</v>
      </c>
      <c r="G9314" s="24">
        <f>F9314-DATE(2026,8,31)</f>
        <v>14</v>
      </c>
      <c r="H9314" s="25" t="n">
        <v>385339179</v>
      </c>
      <c r="I9314" t="inlineStr">
        <is>
          <t>entidad-dia</t>
        </is>
      </c>
    </row>
    <row r="9315">
      <c r="A9315" t="inlineStr">
        <is>
          <t>PRAGMA</t>
        </is>
      </c>
      <c r="B9315" t="inlineStr">
        <is>
          <t>M3</t>
        </is>
      </c>
      <c r="C9315" t="inlineStr">
        <is>
          <t>Cali</t>
        </is>
      </c>
      <c r="D9315" t="inlineStr">
        <is>
          <t>871</t>
        </is>
      </c>
      <c r="E9315" t="inlineStr">
        <is>
          <t>salidas</t>
        </is>
      </c>
      <c r="F9315" s="23" t="n">
        <v>46279</v>
      </c>
      <c r="G9315" s="24">
        <f>F9315-DATE(2026,8,31)</f>
        <v>14</v>
      </c>
      <c r="H9315" s="25" t="n">
        <v>176553719</v>
      </c>
      <c r="I9315" t="inlineStr">
        <is>
          <t>entidad-dia</t>
        </is>
      </c>
    </row>
    <row r="9316">
      <c r="A9316" t="inlineStr">
        <is>
          <t>PRAGMA</t>
        </is>
      </c>
      <c r="B9316" t="inlineStr">
        <is>
          <t>M3</t>
        </is>
      </c>
      <c r="C9316" t="inlineStr">
        <is>
          <t>Cali</t>
        </is>
      </c>
      <c r="D9316" t="inlineStr">
        <is>
          <t>871</t>
        </is>
      </c>
      <c r="E9316" t="inlineStr">
        <is>
          <t>entradas</t>
        </is>
      </c>
      <c r="F9316" s="23" t="n">
        <v>46280</v>
      </c>
      <c r="G9316" s="24">
        <f>F9316-DATE(2026,8,31)</f>
        <v>15</v>
      </c>
      <c r="H9316" s="25" t="n">
        <v>348773844</v>
      </c>
      <c r="I9316" t="inlineStr">
        <is>
          <t>entidad-dia</t>
        </is>
      </c>
    </row>
    <row r="9317">
      <c r="A9317" t="inlineStr">
        <is>
          <t>PRAGMA</t>
        </is>
      </c>
      <c r="B9317" t="inlineStr">
        <is>
          <t>M3</t>
        </is>
      </c>
      <c r="C9317" t="inlineStr">
        <is>
          <t>Cali</t>
        </is>
      </c>
      <c r="D9317" t="inlineStr">
        <is>
          <t>871</t>
        </is>
      </c>
      <c r="E9317" t="inlineStr">
        <is>
          <t>salidas</t>
        </is>
      </c>
      <c r="F9317" s="23" t="n">
        <v>46280</v>
      </c>
      <c r="G9317" s="24">
        <f>F9317-DATE(2026,8,31)</f>
        <v>15</v>
      </c>
      <c r="H9317" s="25" t="n">
        <v>191928171</v>
      </c>
      <c r="I9317" t="inlineStr">
        <is>
          <t>entidad-dia</t>
        </is>
      </c>
    </row>
    <row r="9318">
      <c r="A9318" t="inlineStr">
        <is>
          <t>PRAGMA</t>
        </is>
      </c>
      <c r="B9318" t="inlineStr">
        <is>
          <t>M3</t>
        </is>
      </c>
      <c r="C9318" t="inlineStr">
        <is>
          <t>Pasto</t>
        </is>
      </c>
      <c r="D9318" t="inlineStr">
        <is>
          <t>884</t>
        </is>
      </c>
      <c r="E9318" t="inlineStr">
        <is>
          <t>entradas</t>
        </is>
      </c>
      <c r="F9318" s="23" t="n">
        <v>46266</v>
      </c>
      <c r="G9318" s="24">
        <f>F9318-DATE(2026,8,31)</f>
        <v>1</v>
      </c>
      <c r="H9318" s="25" t="n">
        <v>2983481737</v>
      </c>
      <c r="I9318" t="inlineStr">
        <is>
          <t>entidad-dia</t>
        </is>
      </c>
    </row>
    <row r="9319">
      <c r="A9319" t="inlineStr">
        <is>
          <t>PRAGMA</t>
        </is>
      </c>
      <c r="B9319" t="inlineStr">
        <is>
          <t>M3</t>
        </is>
      </c>
      <c r="C9319" t="inlineStr">
        <is>
          <t>Pasto</t>
        </is>
      </c>
      <c r="D9319" t="inlineStr">
        <is>
          <t>884</t>
        </is>
      </c>
      <c r="E9319" t="inlineStr">
        <is>
          <t>salidas</t>
        </is>
      </c>
      <c r="F9319" s="23" t="n">
        <v>46266</v>
      </c>
      <c r="G9319" s="24">
        <f>F9319-DATE(2026,8,31)</f>
        <v>1</v>
      </c>
      <c r="H9319" s="25" t="n">
        <v>2853087383</v>
      </c>
      <c r="I9319" t="inlineStr">
        <is>
          <t>entidad-dia</t>
        </is>
      </c>
    </row>
    <row r="9320">
      <c r="A9320" t="inlineStr">
        <is>
          <t>PRAGMA</t>
        </is>
      </c>
      <c r="B9320" t="inlineStr">
        <is>
          <t>M3</t>
        </is>
      </c>
      <c r="C9320" t="inlineStr">
        <is>
          <t>Pasto</t>
        </is>
      </c>
      <c r="D9320" t="inlineStr">
        <is>
          <t>884</t>
        </is>
      </c>
      <c r="E9320" t="inlineStr">
        <is>
          <t>entradas</t>
        </is>
      </c>
      <c r="F9320" s="23" t="n">
        <v>46267</v>
      </c>
      <c r="G9320" s="24">
        <f>F9320-DATE(2026,8,31)</f>
        <v>2</v>
      </c>
      <c r="H9320" s="25" t="n">
        <v>3043599071</v>
      </c>
      <c r="I9320" t="inlineStr">
        <is>
          <t>entidad-dia</t>
        </is>
      </c>
    </row>
    <row r="9321">
      <c r="A9321" t="inlineStr">
        <is>
          <t>PRAGMA</t>
        </is>
      </c>
      <c r="B9321" t="inlineStr">
        <is>
          <t>M3</t>
        </is>
      </c>
      <c r="C9321" t="inlineStr">
        <is>
          <t>Pasto</t>
        </is>
      </c>
      <c r="D9321" t="inlineStr">
        <is>
          <t>884</t>
        </is>
      </c>
      <c r="E9321" t="inlineStr">
        <is>
          <t>salidas</t>
        </is>
      </c>
      <c r="F9321" s="23" t="n">
        <v>46267</v>
      </c>
      <c r="G9321" s="24">
        <f>F9321-DATE(2026,8,31)</f>
        <v>2</v>
      </c>
      <c r="H9321" s="25" t="n">
        <v>2691633339</v>
      </c>
      <c r="I9321" t="inlineStr">
        <is>
          <t>entidad-dia</t>
        </is>
      </c>
    </row>
    <row r="9322">
      <c r="A9322" t="inlineStr">
        <is>
          <t>PRAGMA</t>
        </is>
      </c>
      <c r="B9322" t="inlineStr">
        <is>
          <t>M3</t>
        </is>
      </c>
      <c r="C9322" t="inlineStr">
        <is>
          <t>Pasto</t>
        </is>
      </c>
      <c r="D9322" t="inlineStr">
        <is>
          <t>884</t>
        </is>
      </c>
      <c r="E9322" t="inlineStr">
        <is>
          <t>entradas</t>
        </is>
      </c>
      <c r="F9322" s="23" t="n">
        <v>46268</v>
      </c>
      <c r="G9322" s="24">
        <f>F9322-DATE(2026,8,31)</f>
        <v>3</v>
      </c>
      <c r="H9322" s="25" t="n">
        <v>2500256173</v>
      </c>
      <c r="I9322" t="inlineStr">
        <is>
          <t>entidad-dia</t>
        </is>
      </c>
    </row>
    <row r="9323">
      <c r="A9323" t="inlineStr">
        <is>
          <t>PRAGMA</t>
        </is>
      </c>
      <c r="B9323" t="inlineStr">
        <is>
          <t>M3</t>
        </is>
      </c>
      <c r="C9323" t="inlineStr">
        <is>
          <t>Pasto</t>
        </is>
      </c>
      <c r="D9323" t="inlineStr">
        <is>
          <t>884</t>
        </is>
      </c>
      <c r="E9323" t="inlineStr">
        <is>
          <t>salidas</t>
        </is>
      </c>
      <c r="F9323" s="23" t="n">
        <v>46268</v>
      </c>
      <c r="G9323" s="24">
        <f>F9323-DATE(2026,8,31)</f>
        <v>3</v>
      </c>
      <c r="H9323" s="25" t="n">
        <v>1809654260</v>
      </c>
      <c r="I9323" t="inlineStr">
        <is>
          <t>entidad-dia</t>
        </is>
      </c>
    </row>
    <row r="9324">
      <c r="A9324" t="inlineStr">
        <is>
          <t>PRAGMA</t>
        </is>
      </c>
      <c r="B9324" t="inlineStr">
        <is>
          <t>M3</t>
        </is>
      </c>
      <c r="C9324" t="inlineStr">
        <is>
          <t>Pasto</t>
        </is>
      </c>
      <c r="D9324" t="inlineStr">
        <is>
          <t>884</t>
        </is>
      </c>
      <c r="E9324" t="inlineStr">
        <is>
          <t>entradas</t>
        </is>
      </c>
      <c r="F9324" s="23" t="n">
        <v>46269</v>
      </c>
      <c r="G9324" s="24">
        <f>F9324-DATE(2026,8,31)</f>
        <v>4</v>
      </c>
      <c r="H9324" s="25" t="n">
        <v>3011398505</v>
      </c>
      <c r="I9324" t="inlineStr">
        <is>
          <t>entidad-dia</t>
        </is>
      </c>
    </row>
    <row r="9325">
      <c r="A9325" t="inlineStr">
        <is>
          <t>PRAGMA</t>
        </is>
      </c>
      <c r="B9325" t="inlineStr">
        <is>
          <t>M3</t>
        </is>
      </c>
      <c r="C9325" t="inlineStr">
        <is>
          <t>Pasto</t>
        </is>
      </c>
      <c r="D9325" t="inlineStr">
        <is>
          <t>884</t>
        </is>
      </c>
      <c r="E9325" t="inlineStr">
        <is>
          <t>salidas</t>
        </is>
      </c>
      <c r="F9325" s="23" t="n">
        <v>46269</v>
      </c>
      <c r="G9325" s="24">
        <f>F9325-DATE(2026,8,31)</f>
        <v>4</v>
      </c>
      <c r="H9325" s="25" t="n">
        <v>3021735000</v>
      </c>
      <c r="I9325" t="inlineStr">
        <is>
          <t>entidad-dia</t>
        </is>
      </c>
    </row>
    <row r="9326">
      <c r="A9326" t="inlineStr">
        <is>
          <t>PRAGMA</t>
        </is>
      </c>
      <c r="B9326" t="inlineStr">
        <is>
          <t>M3</t>
        </is>
      </c>
      <c r="C9326" t="inlineStr">
        <is>
          <t>Pasto</t>
        </is>
      </c>
      <c r="D9326" t="inlineStr">
        <is>
          <t>884</t>
        </is>
      </c>
      <c r="E9326" t="inlineStr">
        <is>
          <t>entradas</t>
        </is>
      </c>
      <c r="F9326" s="23" t="n">
        <v>46270</v>
      </c>
      <c r="G9326" s="24">
        <f>F9326-DATE(2026,8,31)</f>
        <v>5</v>
      </c>
      <c r="H9326" s="25" t="n">
        <v>1712480169</v>
      </c>
      <c r="I9326" t="inlineStr">
        <is>
          <t>entidad-dia</t>
        </is>
      </c>
    </row>
    <row r="9327">
      <c r="A9327" t="inlineStr">
        <is>
          <t>PRAGMA</t>
        </is>
      </c>
      <c r="B9327" t="inlineStr">
        <is>
          <t>M3</t>
        </is>
      </c>
      <c r="C9327" t="inlineStr">
        <is>
          <t>Pasto</t>
        </is>
      </c>
      <c r="D9327" t="inlineStr">
        <is>
          <t>884</t>
        </is>
      </c>
      <c r="E9327" t="inlineStr">
        <is>
          <t>salidas</t>
        </is>
      </c>
      <c r="F9327" s="23" t="n">
        <v>46270</v>
      </c>
      <c r="G9327" s="24">
        <f>F9327-DATE(2026,8,31)</f>
        <v>5</v>
      </c>
      <c r="H9327" s="25" t="n">
        <v>1971526495</v>
      </c>
      <c r="I9327" t="inlineStr">
        <is>
          <t>entidad-dia</t>
        </is>
      </c>
    </row>
    <row r="9328">
      <c r="A9328" t="inlineStr">
        <is>
          <t>PRAGMA</t>
        </is>
      </c>
      <c r="B9328" t="inlineStr">
        <is>
          <t>M3</t>
        </is>
      </c>
      <c r="C9328" t="inlineStr">
        <is>
          <t>Pasto</t>
        </is>
      </c>
      <c r="D9328" t="inlineStr">
        <is>
          <t>884</t>
        </is>
      </c>
      <c r="E9328" t="inlineStr">
        <is>
          <t>entradas</t>
        </is>
      </c>
      <c r="F9328" s="23" t="n">
        <v>46271</v>
      </c>
      <c r="G9328" s="24">
        <f>F9328-DATE(2026,8,31)</f>
        <v>6</v>
      </c>
      <c r="H9328" s="25" t="n">
        <v>12645919</v>
      </c>
      <c r="I9328" t="inlineStr">
        <is>
          <t>entidad-dia</t>
        </is>
      </c>
    </row>
    <row r="9329">
      <c r="A9329" t="inlineStr">
        <is>
          <t>PRAGMA</t>
        </is>
      </c>
      <c r="B9329" t="inlineStr">
        <is>
          <t>M3</t>
        </is>
      </c>
      <c r="C9329" t="inlineStr">
        <is>
          <t>Pasto</t>
        </is>
      </c>
      <c r="D9329" t="inlineStr">
        <is>
          <t>884</t>
        </is>
      </c>
      <c r="E9329" t="inlineStr">
        <is>
          <t>salidas</t>
        </is>
      </c>
      <c r="F9329" s="23" t="n">
        <v>46271</v>
      </c>
      <c r="G9329" s="24">
        <f>F9329-DATE(2026,8,31)</f>
        <v>6</v>
      </c>
      <c r="H9329" s="25" t="n">
        <v>2751513</v>
      </c>
      <c r="I9329" t="inlineStr">
        <is>
          <t>entidad-dia</t>
        </is>
      </c>
    </row>
    <row r="9330">
      <c r="A9330" t="inlineStr">
        <is>
          <t>PRAGMA</t>
        </is>
      </c>
      <c r="B9330" t="inlineStr">
        <is>
          <t>M3</t>
        </is>
      </c>
      <c r="C9330" t="inlineStr">
        <is>
          <t>Pasto</t>
        </is>
      </c>
      <c r="D9330" t="inlineStr">
        <is>
          <t>884</t>
        </is>
      </c>
      <c r="E9330" t="inlineStr">
        <is>
          <t>entradas</t>
        </is>
      </c>
      <c r="F9330" s="23" t="n">
        <v>46272</v>
      </c>
      <c r="G9330" s="24">
        <f>F9330-DATE(2026,8,31)</f>
        <v>7</v>
      </c>
      <c r="H9330" s="25" t="n">
        <v>3128511220</v>
      </c>
      <c r="I9330" t="inlineStr">
        <is>
          <t>entidad-dia</t>
        </is>
      </c>
    </row>
    <row r="9331">
      <c r="A9331" t="inlineStr">
        <is>
          <t>PRAGMA</t>
        </is>
      </c>
      <c r="B9331" t="inlineStr">
        <is>
          <t>M3</t>
        </is>
      </c>
      <c r="C9331" t="inlineStr">
        <is>
          <t>Pasto</t>
        </is>
      </c>
      <c r="D9331" t="inlineStr">
        <is>
          <t>884</t>
        </is>
      </c>
      <c r="E9331" t="inlineStr">
        <is>
          <t>salidas</t>
        </is>
      </c>
      <c r="F9331" s="23" t="n">
        <v>46272</v>
      </c>
      <c r="G9331" s="24">
        <f>F9331-DATE(2026,8,31)</f>
        <v>7</v>
      </c>
      <c r="H9331" s="25" t="n">
        <v>2483036116</v>
      </c>
      <c r="I9331" t="inlineStr">
        <is>
          <t>entidad-dia</t>
        </is>
      </c>
    </row>
    <row r="9332">
      <c r="A9332" t="inlineStr">
        <is>
          <t>PRAGMA</t>
        </is>
      </c>
      <c r="B9332" t="inlineStr">
        <is>
          <t>M3</t>
        </is>
      </c>
      <c r="C9332" t="inlineStr">
        <is>
          <t>Pasto</t>
        </is>
      </c>
      <c r="D9332" t="inlineStr">
        <is>
          <t>884</t>
        </is>
      </c>
      <c r="E9332" t="inlineStr">
        <is>
          <t>entradas</t>
        </is>
      </c>
      <c r="F9332" s="23" t="n">
        <v>46273</v>
      </c>
      <c r="G9332" s="24">
        <f>F9332-DATE(2026,8,31)</f>
        <v>8</v>
      </c>
      <c r="H9332" s="25" t="n">
        <v>3050345734</v>
      </c>
      <c r="I9332" t="inlineStr">
        <is>
          <t>entidad-dia</t>
        </is>
      </c>
    </row>
    <row r="9333">
      <c r="A9333" t="inlineStr">
        <is>
          <t>PRAGMA</t>
        </is>
      </c>
      <c r="B9333" t="inlineStr">
        <is>
          <t>M3</t>
        </is>
      </c>
      <c r="C9333" t="inlineStr">
        <is>
          <t>Pasto</t>
        </is>
      </c>
      <c r="D9333" t="inlineStr">
        <is>
          <t>884</t>
        </is>
      </c>
      <c r="E9333" t="inlineStr">
        <is>
          <t>salidas</t>
        </is>
      </c>
      <c r="F9333" s="23" t="n">
        <v>46273</v>
      </c>
      <c r="G9333" s="24">
        <f>F9333-DATE(2026,8,31)</f>
        <v>8</v>
      </c>
      <c r="H9333" s="25" t="n">
        <v>2606651085</v>
      </c>
      <c r="I9333" t="inlineStr">
        <is>
          <t>entidad-dia</t>
        </is>
      </c>
    </row>
    <row r="9334">
      <c r="A9334" t="inlineStr">
        <is>
          <t>PRAGMA</t>
        </is>
      </c>
      <c r="B9334" t="inlineStr">
        <is>
          <t>M3</t>
        </is>
      </c>
      <c r="C9334" t="inlineStr">
        <is>
          <t>Pasto</t>
        </is>
      </c>
      <c r="D9334" t="inlineStr">
        <is>
          <t>884</t>
        </is>
      </c>
      <c r="E9334" t="inlineStr">
        <is>
          <t>entradas</t>
        </is>
      </c>
      <c r="F9334" s="23" t="n">
        <v>46274</v>
      </c>
      <c r="G9334" s="24">
        <f>F9334-DATE(2026,8,31)</f>
        <v>9</v>
      </c>
      <c r="H9334" s="25" t="n">
        <v>3073538422</v>
      </c>
      <c r="I9334" t="inlineStr">
        <is>
          <t>entidad-dia</t>
        </is>
      </c>
    </row>
    <row r="9335">
      <c r="A9335" t="inlineStr">
        <is>
          <t>PRAGMA</t>
        </is>
      </c>
      <c r="B9335" t="inlineStr">
        <is>
          <t>M3</t>
        </is>
      </c>
      <c r="C9335" t="inlineStr">
        <is>
          <t>Pasto</t>
        </is>
      </c>
      <c r="D9335" t="inlineStr">
        <is>
          <t>884</t>
        </is>
      </c>
      <c r="E9335" t="inlineStr">
        <is>
          <t>salidas</t>
        </is>
      </c>
      <c r="F9335" s="23" t="n">
        <v>46274</v>
      </c>
      <c r="G9335" s="24">
        <f>F9335-DATE(2026,8,31)</f>
        <v>9</v>
      </c>
      <c r="H9335" s="25" t="n">
        <v>2590768058</v>
      </c>
      <c r="I9335" t="inlineStr">
        <is>
          <t>entidad-dia</t>
        </is>
      </c>
    </row>
    <row r="9336">
      <c r="A9336" t="inlineStr">
        <is>
          <t>PRAGMA</t>
        </is>
      </c>
      <c r="B9336" t="inlineStr">
        <is>
          <t>M3</t>
        </is>
      </c>
      <c r="C9336" t="inlineStr">
        <is>
          <t>Pasto</t>
        </is>
      </c>
      <c r="D9336" t="inlineStr">
        <is>
          <t>884</t>
        </is>
      </c>
      <c r="E9336" t="inlineStr">
        <is>
          <t>entradas</t>
        </is>
      </c>
      <c r="F9336" s="23" t="n">
        <v>46275</v>
      </c>
      <c r="G9336" s="24">
        <f>F9336-DATE(2026,8,31)</f>
        <v>10</v>
      </c>
      <c r="H9336" s="25" t="n">
        <v>2687775129</v>
      </c>
      <c r="I9336" t="inlineStr">
        <is>
          <t>entidad-dia</t>
        </is>
      </c>
    </row>
    <row r="9337">
      <c r="A9337" t="inlineStr">
        <is>
          <t>PRAGMA</t>
        </is>
      </c>
      <c r="B9337" t="inlineStr">
        <is>
          <t>M3</t>
        </is>
      </c>
      <c r="C9337" t="inlineStr">
        <is>
          <t>Pasto</t>
        </is>
      </c>
      <c r="D9337" t="inlineStr">
        <is>
          <t>884</t>
        </is>
      </c>
      <c r="E9337" t="inlineStr">
        <is>
          <t>salidas</t>
        </is>
      </c>
      <c r="F9337" s="23" t="n">
        <v>46275</v>
      </c>
      <c r="G9337" s="24">
        <f>F9337-DATE(2026,8,31)</f>
        <v>10</v>
      </c>
      <c r="H9337" s="25" t="n">
        <v>2462404478</v>
      </c>
      <c r="I9337" t="inlineStr">
        <is>
          <t>entidad-dia</t>
        </is>
      </c>
    </row>
    <row r="9338">
      <c r="A9338" t="inlineStr">
        <is>
          <t>PRAGMA</t>
        </is>
      </c>
      <c r="B9338" t="inlineStr">
        <is>
          <t>M3</t>
        </is>
      </c>
      <c r="C9338" t="inlineStr">
        <is>
          <t>Pasto</t>
        </is>
      </c>
      <c r="D9338" t="inlineStr">
        <is>
          <t>884</t>
        </is>
      </c>
      <c r="E9338" t="inlineStr">
        <is>
          <t>entradas</t>
        </is>
      </c>
      <c r="F9338" s="23" t="n">
        <v>46276</v>
      </c>
      <c r="G9338" s="24">
        <f>F9338-DATE(2026,8,31)</f>
        <v>11</v>
      </c>
      <c r="H9338" s="25" t="n">
        <v>3195083646</v>
      </c>
      <c r="I9338" t="inlineStr">
        <is>
          <t>entidad-dia</t>
        </is>
      </c>
    </row>
    <row r="9339">
      <c r="A9339" t="inlineStr">
        <is>
          <t>PRAGMA</t>
        </is>
      </c>
      <c r="B9339" t="inlineStr">
        <is>
          <t>M3</t>
        </is>
      </c>
      <c r="C9339" t="inlineStr">
        <is>
          <t>Pasto</t>
        </is>
      </c>
      <c r="D9339" t="inlineStr">
        <is>
          <t>884</t>
        </is>
      </c>
      <c r="E9339" t="inlineStr">
        <is>
          <t>salidas</t>
        </is>
      </c>
      <c r="F9339" s="23" t="n">
        <v>46276</v>
      </c>
      <c r="G9339" s="24">
        <f>F9339-DATE(2026,8,31)</f>
        <v>11</v>
      </c>
      <c r="H9339" s="25" t="n">
        <v>2658525672</v>
      </c>
      <c r="I9339" t="inlineStr">
        <is>
          <t>entidad-dia</t>
        </is>
      </c>
    </row>
    <row r="9340">
      <c r="A9340" t="inlineStr">
        <is>
          <t>PRAGMA</t>
        </is>
      </c>
      <c r="B9340" t="inlineStr">
        <is>
          <t>M3</t>
        </is>
      </c>
      <c r="C9340" t="inlineStr">
        <is>
          <t>Pasto</t>
        </is>
      </c>
      <c r="D9340" t="inlineStr">
        <is>
          <t>884</t>
        </is>
      </c>
      <c r="E9340" t="inlineStr">
        <is>
          <t>entradas</t>
        </is>
      </c>
      <c r="F9340" s="23" t="n">
        <v>46277</v>
      </c>
      <c r="G9340" s="24">
        <f>F9340-DATE(2026,8,31)</f>
        <v>12</v>
      </c>
      <c r="H9340" s="25" t="n">
        <v>1685433737</v>
      </c>
      <c r="I9340" t="inlineStr">
        <is>
          <t>entidad-dia</t>
        </is>
      </c>
    </row>
    <row r="9341">
      <c r="A9341" t="inlineStr">
        <is>
          <t>PRAGMA</t>
        </is>
      </c>
      <c r="B9341" t="inlineStr">
        <is>
          <t>M3</t>
        </is>
      </c>
      <c r="C9341" t="inlineStr">
        <is>
          <t>Pasto</t>
        </is>
      </c>
      <c r="D9341" t="inlineStr">
        <is>
          <t>884</t>
        </is>
      </c>
      <c r="E9341" t="inlineStr">
        <is>
          <t>salidas</t>
        </is>
      </c>
      <c r="F9341" s="23" t="n">
        <v>46277</v>
      </c>
      <c r="G9341" s="24">
        <f>F9341-DATE(2026,8,31)</f>
        <v>12</v>
      </c>
      <c r="H9341" s="25" t="n">
        <v>1878632062</v>
      </c>
      <c r="I9341" t="inlineStr">
        <is>
          <t>entidad-dia</t>
        </is>
      </c>
    </row>
    <row r="9342">
      <c r="A9342" t="inlineStr">
        <is>
          <t>PRAGMA</t>
        </is>
      </c>
      <c r="B9342" t="inlineStr">
        <is>
          <t>M3</t>
        </is>
      </c>
      <c r="C9342" t="inlineStr">
        <is>
          <t>Pasto</t>
        </is>
      </c>
      <c r="D9342" t="inlineStr">
        <is>
          <t>884</t>
        </is>
      </c>
      <c r="E9342" t="inlineStr">
        <is>
          <t>entradas</t>
        </is>
      </c>
      <c r="F9342" s="23" t="n">
        <v>46278</v>
      </c>
      <c r="G9342" s="24">
        <f>F9342-DATE(2026,8,31)</f>
        <v>13</v>
      </c>
      <c r="H9342" s="25" t="n">
        <v>4570829</v>
      </c>
      <c r="I9342" t="inlineStr">
        <is>
          <t>entidad-dia</t>
        </is>
      </c>
    </row>
    <row r="9343">
      <c r="A9343" t="inlineStr">
        <is>
          <t>PRAGMA</t>
        </is>
      </c>
      <c r="B9343" t="inlineStr">
        <is>
          <t>M3</t>
        </is>
      </c>
      <c r="C9343" t="inlineStr">
        <is>
          <t>Pasto</t>
        </is>
      </c>
      <c r="D9343" t="inlineStr">
        <is>
          <t>884</t>
        </is>
      </c>
      <c r="E9343" t="inlineStr">
        <is>
          <t>salidas</t>
        </is>
      </c>
      <c r="F9343" s="23" t="n">
        <v>46278</v>
      </c>
      <c r="G9343" s="24">
        <f>F9343-DATE(2026,8,31)</f>
        <v>13</v>
      </c>
      <c r="H9343" s="25" t="n">
        <v>531</v>
      </c>
      <c r="I9343" t="inlineStr">
        <is>
          <t>entidad-dia</t>
        </is>
      </c>
    </row>
    <row r="9344">
      <c r="A9344" t="inlineStr">
        <is>
          <t>PRAGMA</t>
        </is>
      </c>
      <c r="B9344" t="inlineStr">
        <is>
          <t>M3</t>
        </is>
      </c>
      <c r="C9344" t="inlineStr">
        <is>
          <t>Pasto</t>
        </is>
      </c>
      <c r="D9344" t="inlineStr">
        <is>
          <t>884</t>
        </is>
      </c>
      <c r="E9344" t="inlineStr">
        <is>
          <t>entradas</t>
        </is>
      </c>
      <c r="F9344" s="23" t="n">
        <v>46279</v>
      </c>
      <c r="G9344" s="24">
        <f>F9344-DATE(2026,8,31)</f>
        <v>14</v>
      </c>
      <c r="H9344" s="25" t="n">
        <v>3118516809</v>
      </c>
      <c r="I9344" t="inlineStr">
        <is>
          <t>entidad-dia</t>
        </is>
      </c>
    </row>
    <row r="9345">
      <c r="A9345" t="inlineStr">
        <is>
          <t>PRAGMA</t>
        </is>
      </c>
      <c r="B9345" t="inlineStr">
        <is>
          <t>M3</t>
        </is>
      </c>
      <c r="C9345" t="inlineStr">
        <is>
          <t>Pasto</t>
        </is>
      </c>
      <c r="D9345" t="inlineStr">
        <is>
          <t>884</t>
        </is>
      </c>
      <c r="E9345" t="inlineStr">
        <is>
          <t>salidas</t>
        </is>
      </c>
      <c r="F9345" s="23" t="n">
        <v>46279</v>
      </c>
      <c r="G9345" s="24">
        <f>F9345-DATE(2026,8,31)</f>
        <v>14</v>
      </c>
      <c r="H9345" s="25" t="n">
        <v>2475652571</v>
      </c>
      <c r="I9345" t="inlineStr">
        <is>
          <t>entidad-dia</t>
        </is>
      </c>
    </row>
    <row r="9346">
      <c r="A9346" t="inlineStr">
        <is>
          <t>PRAGMA</t>
        </is>
      </c>
      <c r="B9346" t="inlineStr">
        <is>
          <t>M3</t>
        </is>
      </c>
      <c r="C9346" t="inlineStr">
        <is>
          <t>Pasto</t>
        </is>
      </c>
      <c r="D9346" t="inlineStr">
        <is>
          <t>884</t>
        </is>
      </c>
      <c r="E9346" t="inlineStr">
        <is>
          <t>entradas</t>
        </is>
      </c>
      <c r="F9346" s="23" t="n">
        <v>46280</v>
      </c>
      <c r="G9346" s="24">
        <f>F9346-DATE(2026,8,31)</f>
        <v>15</v>
      </c>
      <c r="H9346" s="25" t="n">
        <v>3008533889</v>
      </c>
      <c r="I9346" t="inlineStr">
        <is>
          <t>entidad-dia</t>
        </is>
      </c>
    </row>
    <row r="9347">
      <c r="A9347" t="inlineStr">
        <is>
          <t>PRAGMA</t>
        </is>
      </c>
      <c r="B9347" t="inlineStr">
        <is>
          <t>M3</t>
        </is>
      </c>
      <c r="C9347" t="inlineStr">
        <is>
          <t>Pasto</t>
        </is>
      </c>
      <c r="D9347" t="inlineStr">
        <is>
          <t>884</t>
        </is>
      </c>
      <c r="E9347" t="inlineStr">
        <is>
          <t>salidas</t>
        </is>
      </c>
      <c r="F9347" s="23" t="n">
        <v>46280</v>
      </c>
      <c r="G9347" s="24">
        <f>F9347-DATE(2026,8,31)</f>
        <v>15</v>
      </c>
      <c r="H9347" s="25" t="n">
        <v>2665843787</v>
      </c>
      <c r="I9347" t="inlineStr">
        <is>
          <t>entidad-dia</t>
        </is>
      </c>
    </row>
    <row r="9348">
      <c r="A9348" t="inlineStr">
        <is>
          <t>PRAGMA</t>
        </is>
      </c>
      <c r="B9348" t="inlineStr">
        <is>
          <t>M3</t>
        </is>
      </c>
      <c r="C9348" t="inlineStr">
        <is>
          <t>Pasto</t>
        </is>
      </c>
      <c r="D9348" t="inlineStr">
        <is>
          <t>886</t>
        </is>
      </c>
      <c r="E9348" t="inlineStr">
        <is>
          <t>entradas</t>
        </is>
      </c>
      <c r="F9348" s="23" t="n">
        <v>46266</v>
      </c>
      <c r="G9348" s="24">
        <f>F9348-DATE(2026,8,31)</f>
        <v>1</v>
      </c>
      <c r="H9348" s="25" t="n">
        <v>2053456767</v>
      </c>
      <c r="I9348" t="inlineStr">
        <is>
          <t>entidad-dia</t>
        </is>
      </c>
    </row>
    <row r="9349">
      <c r="A9349" t="inlineStr">
        <is>
          <t>PRAGMA</t>
        </is>
      </c>
      <c r="B9349" t="inlineStr">
        <is>
          <t>M3</t>
        </is>
      </c>
      <c r="C9349" t="inlineStr">
        <is>
          <t>Pasto</t>
        </is>
      </c>
      <c r="D9349" t="inlineStr">
        <is>
          <t>886</t>
        </is>
      </c>
      <c r="E9349" t="inlineStr">
        <is>
          <t>salidas</t>
        </is>
      </c>
      <c r="F9349" s="23" t="n">
        <v>46266</v>
      </c>
      <c r="G9349" s="24">
        <f>F9349-DATE(2026,8,31)</f>
        <v>1</v>
      </c>
      <c r="H9349" s="25" t="n">
        <v>1261408557</v>
      </c>
      <c r="I9349" t="inlineStr">
        <is>
          <t>entidad-dia</t>
        </is>
      </c>
    </row>
    <row r="9350">
      <c r="A9350" t="inlineStr">
        <is>
          <t>PRAGMA</t>
        </is>
      </c>
      <c r="B9350" t="inlineStr">
        <is>
          <t>M3</t>
        </is>
      </c>
      <c r="C9350" t="inlineStr">
        <is>
          <t>Pasto</t>
        </is>
      </c>
      <c r="D9350" t="inlineStr">
        <is>
          <t>886</t>
        </is>
      </c>
      <c r="E9350" t="inlineStr">
        <is>
          <t>entradas</t>
        </is>
      </c>
      <c r="F9350" s="23" t="n">
        <v>46267</v>
      </c>
      <c r="G9350" s="24">
        <f>F9350-DATE(2026,8,31)</f>
        <v>2</v>
      </c>
      <c r="H9350" s="25" t="n">
        <v>2177677020</v>
      </c>
      <c r="I9350" t="inlineStr">
        <is>
          <t>entidad-dia</t>
        </is>
      </c>
    </row>
    <row r="9351">
      <c r="A9351" t="inlineStr">
        <is>
          <t>PRAGMA</t>
        </is>
      </c>
      <c r="B9351" t="inlineStr">
        <is>
          <t>M3</t>
        </is>
      </c>
      <c r="C9351" t="inlineStr">
        <is>
          <t>Pasto</t>
        </is>
      </c>
      <c r="D9351" t="inlineStr">
        <is>
          <t>886</t>
        </is>
      </c>
      <c r="E9351" t="inlineStr">
        <is>
          <t>salidas</t>
        </is>
      </c>
      <c r="F9351" s="23" t="n">
        <v>46267</v>
      </c>
      <c r="G9351" s="24">
        <f>F9351-DATE(2026,8,31)</f>
        <v>2</v>
      </c>
      <c r="H9351" s="25" t="n">
        <v>1245812699</v>
      </c>
      <c r="I9351" t="inlineStr">
        <is>
          <t>entidad-dia</t>
        </is>
      </c>
    </row>
    <row r="9352">
      <c r="A9352" t="inlineStr">
        <is>
          <t>PRAGMA</t>
        </is>
      </c>
      <c r="B9352" t="inlineStr">
        <is>
          <t>M3</t>
        </is>
      </c>
      <c r="C9352" t="inlineStr">
        <is>
          <t>Pasto</t>
        </is>
      </c>
      <c r="D9352" t="inlineStr">
        <is>
          <t>886</t>
        </is>
      </c>
      <c r="E9352" t="inlineStr">
        <is>
          <t>entradas</t>
        </is>
      </c>
      <c r="F9352" s="23" t="n">
        <v>46268</v>
      </c>
      <c r="G9352" s="24">
        <f>F9352-DATE(2026,8,31)</f>
        <v>3</v>
      </c>
      <c r="H9352" s="25" t="n">
        <v>1760602291</v>
      </c>
      <c r="I9352" t="inlineStr">
        <is>
          <t>entidad-dia</t>
        </is>
      </c>
    </row>
    <row r="9353">
      <c r="A9353" t="inlineStr">
        <is>
          <t>PRAGMA</t>
        </is>
      </c>
      <c r="B9353" t="inlineStr">
        <is>
          <t>M3</t>
        </is>
      </c>
      <c r="C9353" t="inlineStr">
        <is>
          <t>Pasto</t>
        </is>
      </c>
      <c r="D9353" t="inlineStr">
        <is>
          <t>886</t>
        </is>
      </c>
      <c r="E9353" t="inlineStr">
        <is>
          <t>salidas</t>
        </is>
      </c>
      <c r="F9353" s="23" t="n">
        <v>46268</v>
      </c>
      <c r="G9353" s="24">
        <f>F9353-DATE(2026,8,31)</f>
        <v>3</v>
      </c>
      <c r="H9353" s="25" t="n">
        <v>894290895</v>
      </c>
      <c r="I9353" t="inlineStr">
        <is>
          <t>entidad-dia</t>
        </is>
      </c>
    </row>
    <row r="9354">
      <c r="A9354" t="inlineStr">
        <is>
          <t>PRAGMA</t>
        </is>
      </c>
      <c r="B9354" t="inlineStr">
        <is>
          <t>M3</t>
        </is>
      </c>
      <c r="C9354" t="inlineStr">
        <is>
          <t>Pasto</t>
        </is>
      </c>
      <c r="D9354" t="inlineStr">
        <is>
          <t>886</t>
        </is>
      </c>
      <c r="E9354" t="inlineStr">
        <is>
          <t>entradas</t>
        </is>
      </c>
      <c r="F9354" s="23" t="n">
        <v>46269</v>
      </c>
      <c r="G9354" s="24">
        <f>F9354-DATE(2026,8,31)</f>
        <v>4</v>
      </c>
      <c r="H9354" s="25" t="n">
        <v>2214671051</v>
      </c>
      <c r="I9354" t="inlineStr">
        <is>
          <t>entidad-dia</t>
        </is>
      </c>
    </row>
    <row r="9355">
      <c r="A9355" t="inlineStr">
        <is>
          <t>PRAGMA</t>
        </is>
      </c>
      <c r="B9355" t="inlineStr">
        <is>
          <t>M3</t>
        </is>
      </c>
      <c r="C9355" t="inlineStr">
        <is>
          <t>Pasto</t>
        </is>
      </c>
      <c r="D9355" t="inlineStr">
        <is>
          <t>886</t>
        </is>
      </c>
      <c r="E9355" t="inlineStr">
        <is>
          <t>salidas</t>
        </is>
      </c>
      <c r="F9355" s="23" t="n">
        <v>46269</v>
      </c>
      <c r="G9355" s="24">
        <f>F9355-DATE(2026,8,31)</f>
        <v>4</v>
      </c>
      <c r="H9355" s="25" t="n">
        <v>1314683952</v>
      </c>
      <c r="I9355" t="inlineStr">
        <is>
          <t>entidad-dia</t>
        </is>
      </c>
    </row>
    <row r="9356">
      <c r="A9356" t="inlineStr">
        <is>
          <t>PRAGMA</t>
        </is>
      </c>
      <c r="B9356" t="inlineStr">
        <is>
          <t>M3</t>
        </is>
      </c>
      <c r="C9356" t="inlineStr">
        <is>
          <t>Pasto</t>
        </is>
      </c>
      <c r="D9356" t="inlineStr">
        <is>
          <t>886</t>
        </is>
      </c>
      <c r="E9356" t="inlineStr">
        <is>
          <t>entradas</t>
        </is>
      </c>
      <c r="F9356" s="23" t="n">
        <v>46270</v>
      </c>
      <c r="G9356" s="24">
        <f>F9356-DATE(2026,8,31)</f>
        <v>5</v>
      </c>
      <c r="H9356" s="25" t="n">
        <v>4065868</v>
      </c>
      <c r="I9356" t="inlineStr">
        <is>
          <t>entidad-dia</t>
        </is>
      </c>
    </row>
    <row r="9357">
      <c r="A9357" t="inlineStr">
        <is>
          <t>PRAGMA</t>
        </is>
      </c>
      <c r="B9357" t="inlineStr">
        <is>
          <t>M3</t>
        </is>
      </c>
      <c r="C9357" t="inlineStr">
        <is>
          <t>Pasto</t>
        </is>
      </c>
      <c r="D9357" t="inlineStr">
        <is>
          <t>886</t>
        </is>
      </c>
      <c r="E9357" t="inlineStr">
        <is>
          <t>salidas</t>
        </is>
      </c>
      <c r="F9357" s="23" t="n">
        <v>46270</v>
      </c>
      <c r="G9357" s="24">
        <f>F9357-DATE(2026,8,31)</f>
        <v>5</v>
      </c>
      <c r="H9357" s="25" t="n">
        <v>1466711</v>
      </c>
      <c r="I9357" t="inlineStr">
        <is>
          <t>entidad-dia</t>
        </is>
      </c>
    </row>
    <row r="9358">
      <c r="A9358" t="inlineStr">
        <is>
          <t>PRAGMA</t>
        </is>
      </c>
      <c r="B9358" t="inlineStr">
        <is>
          <t>M3</t>
        </is>
      </c>
      <c r="C9358" t="inlineStr">
        <is>
          <t>Pasto</t>
        </is>
      </c>
      <c r="D9358" t="inlineStr">
        <is>
          <t>886</t>
        </is>
      </c>
      <c r="E9358" t="inlineStr">
        <is>
          <t>entradas</t>
        </is>
      </c>
      <c r="F9358" s="23" t="n">
        <v>46271</v>
      </c>
      <c r="G9358" s="24">
        <f>F9358-DATE(2026,8,31)</f>
        <v>6</v>
      </c>
      <c r="H9358" s="25" t="n">
        <v>230094</v>
      </c>
      <c r="I9358" t="inlineStr">
        <is>
          <t>entidad-dia</t>
        </is>
      </c>
    </row>
    <row r="9359">
      <c r="A9359" t="inlineStr">
        <is>
          <t>PRAGMA</t>
        </is>
      </c>
      <c r="B9359" t="inlineStr">
        <is>
          <t>M3</t>
        </is>
      </c>
      <c r="C9359" t="inlineStr">
        <is>
          <t>Pasto</t>
        </is>
      </c>
      <c r="D9359" t="inlineStr">
        <is>
          <t>886</t>
        </is>
      </c>
      <c r="E9359" t="inlineStr">
        <is>
          <t>salidas</t>
        </is>
      </c>
      <c r="F9359" s="23" t="n">
        <v>46271</v>
      </c>
      <c r="G9359" s="24">
        <f>F9359-DATE(2026,8,31)</f>
        <v>6</v>
      </c>
      <c r="H9359" s="25" t="n">
        <v>0</v>
      </c>
      <c r="I9359" t="inlineStr">
        <is>
          <t>entidad-dia</t>
        </is>
      </c>
    </row>
    <row r="9360">
      <c r="A9360" t="inlineStr">
        <is>
          <t>PRAGMA</t>
        </is>
      </c>
      <c r="B9360" t="inlineStr">
        <is>
          <t>M3</t>
        </is>
      </c>
      <c r="C9360" t="inlineStr">
        <is>
          <t>Pasto</t>
        </is>
      </c>
      <c r="D9360" t="inlineStr">
        <is>
          <t>886</t>
        </is>
      </c>
      <c r="E9360" t="inlineStr">
        <is>
          <t>entradas</t>
        </is>
      </c>
      <c r="F9360" s="23" t="n">
        <v>46272</v>
      </c>
      <c r="G9360" s="24">
        <f>F9360-DATE(2026,8,31)</f>
        <v>7</v>
      </c>
      <c r="H9360" s="25" t="n">
        <v>2179464004</v>
      </c>
      <c r="I9360" t="inlineStr">
        <is>
          <t>entidad-dia</t>
        </is>
      </c>
    </row>
    <row r="9361">
      <c r="A9361" t="inlineStr">
        <is>
          <t>PRAGMA</t>
        </is>
      </c>
      <c r="B9361" t="inlineStr">
        <is>
          <t>M3</t>
        </is>
      </c>
      <c r="C9361" t="inlineStr">
        <is>
          <t>Pasto</t>
        </is>
      </c>
      <c r="D9361" t="inlineStr">
        <is>
          <t>886</t>
        </is>
      </c>
      <c r="E9361" t="inlineStr">
        <is>
          <t>salidas</t>
        </is>
      </c>
      <c r="F9361" s="23" t="n">
        <v>46272</v>
      </c>
      <c r="G9361" s="24">
        <f>F9361-DATE(2026,8,31)</f>
        <v>7</v>
      </c>
      <c r="H9361" s="25" t="n">
        <v>1175445103</v>
      </c>
      <c r="I9361" t="inlineStr">
        <is>
          <t>entidad-dia</t>
        </is>
      </c>
    </row>
    <row r="9362">
      <c r="A9362" t="inlineStr">
        <is>
          <t>PRAGMA</t>
        </is>
      </c>
      <c r="B9362" t="inlineStr">
        <is>
          <t>M3</t>
        </is>
      </c>
      <c r="C9362" t="inlineStr">
        <is>
          <t>Pasto</t>
        </is>
      </c>
      <c r="D9362" t="inlineStr">
        <is>
          <t>886</t>
        </is>
      </c>
      <c r="E9362" t="inlineStr">
        <is>
          <t>entradas</t>
        </is>
      </c>
      <c r="F9362" s="23" t="n">
        <v>46273</v>
      </c>
      <c r="G9362" s="24">
        <f>F9362-DATE(2026,8,31)</f>
        <v>8</v>
      </c>
      <c r="H9362" s="25" t="n">
        <v>2134828504</v>
      </c>
      <c r="I9362" t="inlineStr">
        <is>
          <t>entidad-dia</t>
        </is>
      </c>
    </row>
    <row r="9363">
      <c r="A9363" t="inlineStr">
        <is>
          <t>PRAGMA</t>
        </is>
      </c>
      <c r="B9363" t="inlineStr">
        <is>
          <t>M3</t>
        </is>
      </c>
      <c r="C9363" t="inlineStr">
        <is>
          <t>Pasto</t>
        </is>
      </c>
      <c r="D9363" t="inlineStr">
        <is>
          <t>886</t>
        </is>
      </c>
      <c r="E9363" t="inlineStr">
        <is>
          <t>salidas</t>
        </is>
      </c>
      <c r="F9363" s="23" t="n">
        <v>46273</v>
      </c>
      <c r="G9363" s="24">
        <f>F9363-DATE(2026,8,31)</f>
        <v>8</v>
      </c>
      <c r="H9363" s="25" t="n">
        <v>1146687222</v>
      </c>
      <c r="I9363" t="inlineStr">
        <is>
          <t>entidad-dia</t>
        </is>
      </c>
    </row>
    <row r="9364">
      <c r="A9364" t="inlineStr">
        <is>
          <t>PRAGMA</t>
        </is>
      </c>
      <c r="B9364" t="inlineStr">
        <is>
          <t>M3</t>
        </is>
      </c>
      <c r="C9364" t="inlineStr">
        <is>
          <t>Pasto</t>
        </is>
      </c>
      <c r="D9364" t="inlineStr">
        <is>
          <t>886</t>
        </is>
      </c>
      <c r="E9364" t="inlineStr">
        <is>
          <t>entradas</t>
        </is>
      </c>
      <c r="F9364" s="23" t="n">
        <v>46274</v>
      </c>
      <c r="G9364" s="24">
        <f>F9364-DATE(2026,8,31)</f>
        <v>9</v>
      </c>
      <c r="H9364" s="25" t="n">
        <v>2217274146</v>
      </c>
      <c r="I9364" t="inlineStr">
        <is>
          <t>entidad-dia</t>
        </is>
      </c>
    </row>
    <row r="9365">
      <c r="A9365" t="inlineStr">
        <is>
          <t>PRAGMA</t>
        </is>
      </c>
      <c r="B9365" t="inlineStr">
        <is>
          <t>M3</t>
        </is>
      </c>
      <c r="C9365" t="inlineStr">
        <is>
          <t>Pasto</t>
        </is>
      </c>
      <c r="D9365" t="inlineStr">
        <is>
          <t>886</t>
        </is>
      </c>
      <c r="E9365" t="inlineStr">
        <is>
          <t>salidas</t>
        </is>
      </c>
      <c r="F9365" s="23" t="n">
        <v>46274</v>
      </c>
      <c r="G9365" s="24">
        <f>F9365-DATE(2026,8,31)</f>
        <v>9</v>
      </c>
      <c r="H9365" s="25" t="n">
        <v>1125911964</v>
      </c>
      <c r="I9365" t="inlineStr">
        <is>
          <t>entidad-dia</t>
        </is>
      </c>
    </row>
    <row r="9366">
      <c r="A9366" t="inlineStr">
        <is>
          <t>PRAGMA</t>
        </is>
      </c>
      <c r="B9366" t="inlineStr">
        <is>
          <t>M3</t>
        </is>
      </c>
      <c r="C9366" t="inlineStr">
        <is>
          <t>Pasto</t>
        </is>
      </c>
      <c r="D9366" t="inlineStr">
        <is>
          <t>886</t>
        </is>
      </c>
      <c r="E9366" t="inlineStr">
        <is>
          <t>entradas</t>
        </is>
      </c>
      <c r="F9366" s="23" t="n">
        <v>46275</v>
      </c>
      <c r="G9366" s="24">
        <f>F9366-DATE(2026,8,31)</f>
        <v>10</v>
      </c>
      <c r="H9366" s="25" t="n">
        <v>1846280936</v>
      </c>
      <c r="I9366" t="inlineStr">
        <is>
          <t>entidad-dia</t>
        </is>
      </c>
    </row>
    <row r="9367">
      <c r="A9367" t="inlineStr">
        <is>
          <t>PRAGMA</t>
        </is>
      </c>
      <c r="B9367" t="inlineStr">
        <is>
          <t>M3</t>
        </is>
      </c>
      <c r="C9367" t="inlineStr">
        <is>
          <t>Pasto</t>
        </is>
      </c>
      <c r="D9367" t="inlineStr">
        <is>
          <t>886</t>
        </is>
      </c>
      <c r="E9367" t="inlineStr">
        <is>
          <t>salidas</t>
        </is>
      </c>
      <c r="F9367" s="23" t="n">
        <v>46275</v>
      </c>
      <c r="G9367" s="24">
        <f>F9367-DATE(2026,8,31)</f>
        <v>10</v>
      </c>
      <c r="H9367" s="25" t="n">
        <v>1054910631</v>
      </c>
      <c r="I9367" t="inlineStr">
        <is>
          <t>entidad-dia</t>
        </is>
      </c>
    </row>
    <row r="9368">
      <c r="A9368" t="inlineStr">
        <is>
          <t>PRAGMA</t>
        </is>
      </c>
      <c r="B9368" t="inlineStr">
        <is>
          <t>M3</t>
        </is>
      </c>
      <c r="C9368" t="inlineStr">
        <is>
          <t>Pasto</t>
        </is>
      </c>
      <c r="D9368" t="inlineStr">
        <is>
          <t>886</t>
        </is>
      </c>
      <c r="E9368" t="inlineStr">
        <is>
          <t>entradas</t>
        </is>
      </c>
      <c r="F9368" s="23" t="n">
        <v>46276</v>
      </c>
      <c r="G9368" s="24">
        <f>F9368-DATE(2026,8,31)</f>
        <v>11</v>
      </c>
      <c r="H9368" s="25" t="n">
        <v>2273644464</v>
      </c>
      <c r="I9368" t="inlineStr">
        <is>
          <t>entidad-dia</t>
        </is>
      </c>
    </row>
    <row r="9369">
      <c r="A9369" t="inlineStr">
        <is>
          <t>PRAGMA</t>
        </is>
      </c>
      <c r="B9369" t="inlineStr">
        <is>
          <t>M3</t>
        </is>
      </c>
      <c r="C9369" t="inlineStr">
        <is>
          <t>Pasto</t>
        </is>
      </c>
      <c r="D9369" t="inlineStr">
        <is>
          <t>886</t>
        </is>
      </c>
      <c r="E9369" t="inlineStr">
        <is>
          <t>salidas</t>
        </is>
      </c>
      <c r="F9369" s="23" t="n">
        <v>46276</v>
      </c>
      <c r="G9369" s="24">
        <f>F9369-DATE(2026,8,31)</f>
        <v>11</v>
      </c>
      <c r="H9369" s="25" t="n">
        <v>1211940076</v>
      </c>
      <c r="I9369" t="inlineStr">
        <is>
          <t>entidad-dia</t>
        </is>
      </c>
    </row>
    <row r="9370">
      <c r="A9370" t="inlineStr">
        <is>
          <t>PRAGMA</t>
        </is>
      </c>
      <c r="B9370" t="inlineStr">
        <is>
          <t>M3</t>
        </is>
      </c>
      <c r="C9370" t="inlineStr">
        <is>
          <t>Pasto</t>
        </is>
      </c>
      <c r="D9370" t="inlineStr">
        <is>
          <t>886</t>
        </is>
      </c>
      <c r="E9370" t="inlineStr">
        <is>
          <t>entradas</t>
        </is>
      </c>
      <c r="F9370" s="23" t="n">
        <v>46277</v>
      </c>
      <c r="G9370" s="24">
        <f>F9370-DATE(2026,8,31)</f>
        <v>12</v>
      </c>
      <c r="H9370" s="25" t="n">
        <v>1420580</v>
      </c>
      <c r="I9370" t="inlineStr">
        <is>
          <t>entidad-dia</t>
        </is>
      </c>
    </row>
    <row r="9371">
      <c r="A9371" t="inlineStr">
        <is>
          <t>PRAGMA</t>
        </is>
      </c>
      <c r="B9371" t="inlineStr">
        <is>
          <t>M3</t>
        </is>
      </c>
      <c r="C9371" t="inlineStr">
        <is>
          <t>Pasto</t>
        </is>
      </c>
      <c r="D9371" t="inlineStr">
        <is>
          <t>886</t>
        </is>
      </c>
      <c r="E9371" t="inlineStr">
        <is>
          <t>salidas</t>
        </is>
      </c>
      <c r="F9371" s="23" t="n">
        <v>46277</v>
      </c>
      <c r="G9371" s="24">
        <f>F9371-DATE(2026,8,31)</f>
        <v>12</v>
      </c>
      <c r="H9371" s="25" t="n">
        <v>948785</v>
      </c>
      <c r="I9371" t="inlineStr">
        <is>
          <t>entidad-dia</t>
        </is>
      </c>
    </row>
    <row r="9372">
      <c r="A9372" t="inlineStr">
        <is>
          <t>PRAGMA</t>
        </is>
      </c>
      <c r="B9372" t="inlineStr">
        <is>
          <t>M3</t>
        </is>
      </c>
      <c r="C9372" t="inlineStr">
        <is>
          <t>Pasto</t>
        </is>
      </c>
      <c r="D9372" t="inlineStr">
        <is>
          <t>886</t>
        </is>
      </c>
      <c r="E9372" t="inlineStr">
        <is>
          <t>entradas</t>
        </is>
      </c>
      <c r="F9372" s="23" t="n">
        <v>46278</v>
      </c>
      <c r="G9372" s="24">
        <f>F9372-DATE(2026,8,31)</f>
        <v>13</v>
      </c>
      <c r="H9372" s="25" t="n">
        <v>67071</v>
      </c>
      <c r="I9372" t="inlineStr">
        <is>
          <t>entidad-dia</t>
        </is>
      </c>
    </row>
    <row r="9373">
      <c r="A9373" t="inlineStr">
        <is>
          <t>PRAGMA</t>
        </is>
      </c>
      <c r="B9373" t="inlineStr">
        <is>
          <t>M3</t>
        </is>
      </c>
      <c r="C9373" t="inlineStr">
        <is>
          <t>Pasto</t>
        </is>
      </c>
      <c r="D9373" t="inlineStr">
        <is>
          <t>886</t>
        </is>
      </c>
      <c r="E9373" t="inlineStr">
        <is>
          <t>salidas</t>
        </is>
      </c>
      <c r="F9373" s="23" t="n">
        <v>46278</v>
      </c>
      <c r="G9373" s="24">
        <f>F9373-DATE(2026,8,31)</f>
        <v>13</v>
      </c>
      <c r="H9373" s="25" t="n">
        <v>0</v>
      </c>
      <c r="I9373" t="inlineStr">
        <is>
          <t>entidad-dia</t>
        </is>
      </c>
    </row>
    <row r="9374">
      <c r="A9374" t="inlineStr">
        <is>
          <t>PRAGMA</t>
        </is>
      </c>
      <c r="B9374" t="inlineStr">
        <is>
          <t>M3</t>
        </is>
      </c>
      <c r="C9374" t="inlineStr">
        <is>
          <t>Pasto</t>
        </is>
      </c>
      <c r="D9374" t="inlineStr">
        <is>
          <t>886</t>
        </is>
      </c>
      <c r="E9374" t="inlineStr">
        <is>
          <t>entradas</t>
        </is>
      </c>
      <c r="F9374" s="23" t="n">
        <v>46279</v>
      </c>
      <c r="G9374" s="24">
        <f>F9374-DATE(2026,8,31)</f>
        <v>14</v>
      </c>
      <c r="H9374" s="25" t="n">
        <v>2223668578</v>
      </c>
      <c r="I9374" t="inlineStr">
        <is>
          <t>entidad-dia</t>
        </is>
      </c>
    </row>
    <row r="9375">
      <c r="A9375" t="inlineStr">
        <is>
          <t>PRAGMA</t>
        </is>
      </c>
      <c r="B9375" t="inlineStr">
        <is>
          <t>M3</t>
        </is>
      </c>
      <c r="C9375" t="inlineStr">
        <is>
          <t>Pasto</t>
        </is>
      </c>
      <c r="D9375" t="inlineStr">
        <is>
          <t>886</t>
        </is>
      </c>
      <c r="E9375" t="inlineStr">
        <is>
          <t>salidas</t>
        </is>
      </c>
      <c r="F9375" s="23" t="n">
        <v>46279</v>
      </c>
      <c r="G9375" s="24">
        <f>F9375-DATE(2026,8,31)</f>
        <v>14</v>
      </c>
      <c r="H9375" s="25" t="n">
        <v>1166140920</v>
      </c>
      <c r="I9375" t="inlineStr">
        <is>
          <t>entidad-dia</t>
        </is>
      </c>
    </row>
    <row r="9376">
      <c r="A9376" t="inlineStr">
        <is>
          <t>PRAGMA</t>
        </is>
      </c>
      <c r="B9376" t="inlineStr">
        <is>
          <t>M3</t>
        </is>
      </c>
      <c r="C9376" t="inlineStr">
        <is>
          <t>Pasto</t>
        </is>
      </c>
      <c r="D9376" t="inlineStr">
        <is>
          <t>886</t>
        </is>
      </c>
      <c r="E9376" t="inlineStr">
        <is>
          <t>entradas</t>
        </is>
      </c>
      <c r="F9376" s="23" t="n">
        <v>46280</v>
      </c>
      <c r="G9376" s="24">
        <f>F9376-DATE(2026,8,31)</f>
        <v>15</v>
      </c>
      <c r="H9376" s="25" t="n">
        <v>2115654433</v>
      </c>
      <c r="I9376" t="inlineStr">
        <is>
          <t>entidad-dia</t>
        </is>
      </c>
    </row>
    <row r="9377">
      <c r="A9377" t="inlineStr">
        <is>
          <t>PRAGMA</t>
        </is>
      </c>
      <c r="B9377" t="inlineStr">
        <is>
          <t>M3</t>
        </is>
      </c>
      <c r="C9377" t="inlineStr">
        <is>
          <t>Pasto</t>
        </is>
      </c>
      <c r="D9377" t="inlineStr">
        <is>
          <t>886</t>
        </is>
      </c>
      <c r="E9377" t="inlineStr">
        <is>
          <t>salidas</t>
        </is>
      </c>
      <c r="F9377" s="23" t="n">
        <v>46280</v>
      </c>
      <c r="G9377" s="24">
        <f>F9377-DATE(2026,8,31)</f>
        <v>15</v>
      </c>
      <c r="H9377" s="25" t="n">
        <v>1173464304</v>
      </c>
      <c r="I9377" t="inlineStr">
        <is>
          <t>entidad-dia</t>
        </is>
      </c>
    </row>
    <row r="9378">
      <c r="A9378" t="inlineStr">
        <is>
          <t>PRAGMA</t>
        </is>
      </c>
      <c r="B9378" t="inlineStr">
        <is>
          <t>M3</t>
        </is>
      </c>
      <c r="C9378" t="inlineStr">
        <is>
          <t>Ipiales</t>
        </is>
      </c>
      <c r="D9378" t="inlineStr">
        <is>
          <t>890</t>
        </is>
      </c>
      <c r="E9378" t="inlineStr">
        <is>
          <t>entradas</t>
        </is>
      </c>
      <c r="F9378" s="23" t="n">
        <v>46266</v>
      </c>
      <c r="G9378" s="24">
        <f>F9378-DATE(2026,8,31)</f>
        <v>1</v>
      </c>
      <c r="H9378" s="25" t="n">
        <v>982852894</v>
      </c>
      <c r="I9378" t="inlineStr">
        <is>
          <t>entidad-dia</t>
        </is>
      </c>
    </row>
    <row r="9379">
      <c r="A9379" t="inlineStr">
        <is>
          <t>PRAGMA</t>
        </is>
      </c>
      <c r="B9379" t="inlineStr">
        <is>
          <t>M3</t>
        </is>
      </c>
      <c r="C9379" t="inlineStr">
        <is>
          <t>Ipiales</t>
        </is>
      </c>
      <c r="D9379" t="inlineStr">
        <is>
          <t>890</t>
        </is>
      </c>
      <c r="E9379" t="inlineStr">
        <is>
          <t>salidas</t>
        </is>
      </c>
      <c r="F9379" s="23" t="n">
        <v>46266</v>
      </c>
      <c r="G9379" s="24">
        <f>F9379-DATE(2026,8,31)</f>
        <v>1</v>
      </c>
      <c r="H9379" s="25" t="n">
        <v>1256483779</v>
      </c>
      <c r="I9379" t="inlineStr">
        <is>
          <t>entidad-dia</t>
        </is>
      </c>
    </row>
    <row r="9380">
      <c r="A9380" t="inlineStr">
        <is>
          <t>PRAGMA</t>
        </is>
      </c>
      <c r="B9380" t="inlineStr">
        <is>
          <t>M3</t>
        </is>
      </c>
      <c r="C9380" t="inlineStr">
        <is>
          <t>Ipiales</t>
        </is>
      </c>
      <c r="D9380" t="inlineStr">
        <is>
          <t>890</t>
        </is>
      </c>
      <c r="E9380" t="inlineStr">
        <is>
          <t>entradas</t>
        </is>
      </c>
      <c r="F9380" s="23" t="n">
        <v>46267</v>
      </c>
      <c r="G9380" s="24">
        <f>F9380-DATE(2026,8,31)</f>
        <v>2</v>
      </c>
      <c r="H9380" s="25" t="n">
        <v>960197035</v>
      </c>
      <c r="I9380" t="inlineStr">
        <is>
          <t>entidad-dia</t>
        </is>
      </c>
    </row>
    <row r="9381">
      <c r="A9381" t="inlineStr">
        <is>
          <t>PRAGMA</t>
        </is>
      </c>
      <c r="B9381" t="inlineStr">
        <is>
          <t>M3</t>
        </is>
      </c>
      <c r="C9381" t="inlineStr">
        <is>
          <t>Ipiales</t>
        </is>
      </c>
      <c r="D9381" t="inlineStr">
        <is>
          <t>890</t>
        </is>
      </c>
      <c r="E9381" t="inlineStr">
        <is>
          <t>salidas</t>
        </is>
      </c>
      <c r="F9381" s="23" t="n">
        <v>46267</v>
      </c>
      <c r="G9381" s="24">
        <f>F9381-DATE(2026,8,31)</f>
        <v>2</v>
      </c>
      <c r="H9381" s="25" t="n">
        <v>1183590345</v>
      </c>
      <c r="I9381" t="inlineStr">
        <is>
          <t>entidad-dia</t>
        </is>
      </c>
    </row>
    <row r="9382">
      <c r="A9382" t="inlineStr">
        <is>
          <t>PRAGMA</t>
        </is>
      </c>
      <c r="B9382" t="inlineStr">
        <is>
          <t>M3</t>
        </is>
      </c>
      <c r="C9382" t="inlineStr">
        <is>
          <t>Ipiales</t>
        </is>
      </c>
      <c r="D9382" t="inlineStr">
        <is>
          <t>890</t>
        </is>
      </c>
      <c r="E9382" t="inlineStr">
        <is>
          <t>entradas</t>
        </is>
      </c>
      <c r="F9382" s="23" t="n">
        <v>46268</v>
      </c>
      <c r="G9382" s="24">
        <f>F9382-DATE(2026,8,31)</f>
        <v>3</v>
      </c>
      <c r="H9382" s="25" t="n">
        <v>878794635</v>
      </c>
      <c r="I9382" t="inlineStr">
        <is>
          <t>entidad-dia</t>
        </is>
      </c>
    </row>
    <row r="9383">
      <c r="A9383" t="inlineStr">
        <is>
          <t>PRAGMA</t>
        </is>
      </c>
      <c r="B9383" t="inlineStr">
        <is>
          <t>M3</t>
        </is>
      </c>
      <c r="C9383" t="inlineStr">
        <is>
          <t>Ipiales</t>
        </is>
      </c>
      <c r="D9383" t="inlineStr">
        <is>
          <t>890</t>
        </is>
      </c>
      <c r="E9383" t="inlineStr">
        <is>
          <t>salidas</t>
        </is>
      </c>
      <c r="F9383" s="23" t="n">
        <v>46268</v>
      </c>
      <c r="G9383" s="24">
        <f>F9383-DATE(2026,8,31)</f>
        <v>3</v>
      </c>
      <c r="H9383" s="25" t="n">
        <v>754376704</v>
      </c>
      <c r="I9383" t="inlineStr">
        <is>
          <t>entidad-dia</t>
        </is>
      </c>
    </row>
    <row r="9384">
      <c r="A9384" t="inlineStr">
        <is>
          <t>PRAGMA</t>
        </is>
      </c>
      <c r="B9384" t="inlineStr">
        <is>
          <t>M3</t>
        </is>
      </c>
      <c r="C9384" t="inlineStr">
        <is>
          <t>Ipiales</t>
        </is>
      </c>
      <c r="D9384" t="inlineStr">
        <is>
          <t>890</t>
        </is>
      </c>
      <c r="E9384" t="inlineStr">
        <is>
          <t>entradas</t>
        </is>
      </c>
      <c r="F9384" s="23" t="n">
        <v>46269</v>
      </c>
      <c r="G9384" s="24">
        <f>F9384-DATE(2026,8,31)</f>
        <v>4</v>
      </c>
      <c r="H9384" s="25" t="n">
        <v>1124267020</v>
      </c>
      <c r="I9384" t="inlineStr">
        <is>
          <t>entidad-dia</t>
        </is>
      </c>
    </row>
    <row r="9385">
      <c r="A9385" t="inlineStr">
        <is>
          <t>PRAGMA</t>
        </is>
      </c>
      <c r="B9385" t="inlineStr">
        <is>
          <t>M3</t>
        </is>
      </c>
      <c r="C9385" t="inlineStr">
        <is>
          <t>Ipiales</t>
        </is>
      </c>
      <c r="D9385" t="inlineStr">
        <is>
          <t>890</t>
        </is>
      </c>
      <c r="E9385" t="inlineStr">
        <is>
          <t>salidas</t>
        </is>
      </c>
      <c r="F9385" s="23" t="n">
        <v>46269</v>
      </c>
      <c r="G9385" s="24">
        <f>F9385-DATE(2026,8,31)</f>
        <v>4</v>
      </c>
      <c r="H9385" s="25" t="n">
        <v>1307018026</v>
      </c>
      <c r="I9385" t="inlineStr">
        <is>
          <t>entidad-dia</t>
        </is>
      </c>
    </row>
    <row r="9386">
      <c r="A9386" t="inlineStr">
        <is>
          <t>PRAGMA</t>
        </is>
      </c>
      <c r="B9386" t="inlineStr">
        <is>
          <t>M3</t>
        </is>
      </c>
      <c r="C9386" t="inlineStr">
        <is>
          <t>Ipiales</t>
        </is>
      </c>
      <c r="D9386" t="inlineStr">
        <is>
          <t>890</t>
        </is>
      </c>
      <c r="E9386" t="inlineStr">
        <is>
          <t>entradas</t>
        </is>
      </c>
      <c r="F9386" s="23" t="n">
        <v>46270</v>
      </c>
      <c r="G9386" s="24">
        <f>F9386-DATE(2026,8,31)</f>
        <v>5</v>
      </c>
      <c r="H9386" s="25" t="n">
        <v>1389033</v>
      </c>
      <c r="I9386" t="inlineStr">
        <is>
          <t>entidad-dia</t>
        </is>
      </c>
    </row>
    <row r="9387">
      <c r="A9387" t="inlineStr">
        <is>
          <t>PRAGMA</t>
        </is>
      </c>
      <c r="B9387" t="inlineStr">
        <is>
          <t>M3</t>
        </is>
      </c>
      <c r="C9387" t="inlineStr">
        <is>
          <t>Ipiales</t>
        </is>
      </c>
      <c r="D9387" t="inlineStr">
        <is>
          <t>890</t>
        </is>
      </c>
      <c r="E9387" t="inlineStr">
        <is>
          <t>salidas</t>
        </is>
      </c>
      <c r="F9387" s="23" t="n">
        <v>46270</v>
      </c>
      <c r="G9387" s="24">
        <f>F9387-DATE(2026,8,31)</f>
        <v>5</v>
      </c>
      <c r="H9387" s="25" t="n">
        <v>1448729</v>
      </c>
      <c r="I9387" t="inlineStr">
        <is>
          <t>entidad-dia</t>
        </is>
      </c>
    </row>
    <row r="9388">
      <c r="A9388" t="inlineStr">
        <is>
          <t>PRAGMA</t>
        </is>
      </c>
      <c r="B9388" t="inlineStr">
        <is>
          <t>M3</t>
        </is>
      </c>
      <c r="C9388" t="inlineStr">
        <is>
          <t>Ipiales</t>
        </is>
      </c>
      <c r="D9388" t="inlineStr">
        <is>
          <t>890</t>
        </is>
      </c>
      <c r="E9388" t="inlineStr">
        <is>
          <t>entradas</t>
        </is>
      </c>
      <c r="F9388" s="23" t="n">
        <v>46271</v>
      </c>
      <c r="G9388" s="24">
        <f>F9388-DATE(2026,8,31)</f>
        <v>6</v>
      </c>
      <c r="H9388" s="25" t="n">
        <v>8333</v>
      </c>
      <c r="I9388" t="inlineStr">
        <is>
          <t>entidad-dia</t>
        </is>
      </c>
    </row>
    <row r="9389">
      <c r="A9389" t="inlineStr">
        <is>
          <t>PRAGMA</t>
        </is>
      </c>
      <c r="B9389" t="inlineStr">
        <is>
          <t>M3</t>
        </is>
      </c>
      <c r="C9389" t="inlineStr">
        <is>
          <t>Ipiales</t>
        </is>
      </c>
      <c r="D9389" t="inlineStr">
        <is>
          <t>890</t>
        </is>
      </c>
      <c r="E9389" t="inlineStr">
        <is>
          <t>salidas</t>
        </is>
      </c>
      <c r="F9389" s="23" t="n">
        <v>46271</v>
      </c>
      <c r="G9389" s="24">
        <f>F9389-DATE(2026,8,31)</f>
        <v>6</v>
      </c>
      <c r="H9389" s="25" t="n">
        <v>0</v>
      </c>
      <c r="I9389" t="inlineStr">
        <is>
          <t>entidad-dia</t>
        </is>
      </c>
    </row>
    <row r="9390">
      <c r="A9390" t="inlineStr">
        <is>
          <t>PRAGMA</t>
        </is>
      </c>
      <c r="B9390" t="inlineStr">
        <is>
          <t>M3</t>
        </is>
      </c>
      <c r="C9390" t="inlineStr">
        <is>
          <t>Ipiales</t>
        </is>
      </c>
      <c r="D9390" t="inlineStr">
        <is>
          <t>890</t>
        </is>
      </c>
      <c r="E9390" t="inlineStr">
        <is>
          <t>entradas</t>
        </is>
      </c>
      <c r="F9390" s="23" t="n">
        <v>46272</v>
      </c>
      <c r="G9390" s="24">
        <f>F9390-DATE(2026,8,31)</f>
        <v>7</v>
      </c>
      <c r="H9390" s="25" t="n">
        <v>987105461</v>
      </c>
      <c r="I9390" t="inlineStr">
        <is>
          <t>entidad-dia</t>
        </is>
      </c>
    </row>
    <row r="9391">
      <c r="A9391" t="inlineStr">
        <is>
          <t>PRAGMA</t>
        </is>
      </c>
      <c r="B9391" t="inlineStr">
        <is>
          <t>M3</t>
        </is>
      </c>
      <c r="C9391" t="inlineStr">
        <is>
          <t>Ipiales</t>
        </is>
      </c>
      <c r="D9391" t="inlineStr">
        <is>
          <t>890</t>
        </is>
      </c>
      <c r="E9391" t="inlineStr">
        <is>
          <t>salidas</t>
        </is>
      </c>
      <c r="F9391" s="23" t="n">
        <v>46272</v>
      </c>
      <c r="G9391" s="24">
        <f>F9391-DATE(2026,8,31)</f>
        <v>7</v>
      </c>
      <c r="H9391" s="25" t="n">
        <v>973249603</v>
      </c>
      <c r="I9391" t="inlineStr">
        <is>
          <t>entidad-dia</t>
        </is>
      </c>
    </row>
    <row r="9392">
      <c r="A9392" t="inlineStr">
        <is>
          <t>PRAGMA</t>
        </is>
      </c>
      <c r="B9392" t="inlineStr">
        <is>
          <t>M3</t>
        </is>
      </c>
      <c r="C9392" t="inlineStr">
        <is>
          <t>Ipiales</t>
        </is>
      </c>
      <c r="D9392" t="inlineStr">
        <is>
          <t>890</t>
        </is>
      </c>
      <c r="E9392" t="inlineStr">
        <is>
          <t>entradas</t>
        </is>
      </c>
      <c r="F9392" s="23" t="n">
        <v>46273</v>
      </c>
      <c r="G9392" s="24">
        <f>F9392-DATE(2026,8,31)</f>
        <v>8</v>
      </c>
      <c r="H9392" s="25" t="n">
        <v>1005584565</v>
      </c>
      <c r="I9392" t="inlineStr">
        <is>
          <t>entidad-dia</t>
        </is>
      </c>
    </row>
    <row r="9393">
      <c r="A9393" t="inlineStr">
        <is>
          <t>PRAGMA</t>
        </is>
      </c>
      <c r="B9393" t="inlineStr">
        <is>
          <t>M3</t>
        </is>
      </c>
      <c r="C9393" t="inlineStr">
        <is>
          <t>Ipiales</t>
        </is>
      </c>
      <c r="D9393" t="inlineStr">
        <is>
          <t>890</t>
        </is>
      </c>
      <c r="E9393" t="inlineStr">
        <is>
          <t>salidas</t>
        </is>
      </c>
      <c r="F9393" s="23" t="n">
        <v>46273</v>
      </c>
      <c r="G9393" s="24">
        <f>F9393-DATE(2026,8,31)</f>
        <v>8</v>
      </c>
      <c r="H9393" s="25" t="n">
        <v>1092560252</v>
      </c>
      <c r="I9393" t="inlineStr">
        <is>
          <t>entidad-dia</t>
        </is>
      </c>
    </row>
    <row r="9394">
      <c r="A9394" t="inlineStr">
        <is>
          <t>PRAGMA</t>
        </is>
      </c>
      <c r="B9394" t="inlineStr">
        <is>
          <t>M3</t>
        </is>
      </c>
      <c r="C9394" t="inlineStr">
        <is>
          <t>Ipiales</t>
        </is>
      </c>
      <c r="D9394" t="inlineStr">
        <is>
          <t>890</t>
        </is>
      </c>
      <c r="E9394" t="inlineStr">
        <is>
          <t>entradas</t>
        </is>
      </c>
      <c r="F9394" s="23" t="n">
        <v>46274</v>
      </c>
      <c r="G9394" s="24">
        <f>F9394-DATE(2026,8,31)</f>
        <v>9</v>
      </c>
      <c r="H9394" s="25" t="n">
        <v>984837171</v>
      </c>
      <c r="I9394" t="inlineStr">
        <is>
          <t>entidad-dia</t>
        </is>
      </c>
    </row>
    <row r="9395">
      <c r="A9395" t="inlineStr">
        <is>
          <t>PRAGMA</t>
        </is>
      </c>
      <c r="B9395" t="inlineStr">
        <is>
          <t>M3</t>
        </is>
      </c>
      <c r="C9395" t="inlineStr">
        <is>
          <t>Ipiales</t>
        </is>
      </c>
      <c r="D9395" t="inlineStr">
        <is>
          <t>890</t>
        </is>
      </c>
      <c r="E9395" t="inlineStr">
        <is>
          <t>salidas</t>
        </is>
      </c>
      <c r="F9395" s="23" t="n">
        <v>46274</v>
      </c>
      <c r="G9395" s="24">
        <f>F9395-DATE(2026,8,31)</f>
        <v>9</v>
      </c>
      <c r="H9395" s="25" t="n">
        <v>1047588926</v>
      </c>
      <c r="I9395" t="inlineStr">
        <is>
          <t>entidad-dia</t>
        </is>
      </c>
    </row>
    <row r="9396">
      <c r="A9396" t="inlineStr">
        <is>
          <t>PRAGMA</t>
        </is>
      </c>
      <c r="B9396" t="inlineStr">
        <is>
          <t>M3</t>
        </is>
      </c>
      <c r="C9396" t="inlineStr">
        <is>
          <t>Ipiales</t>
        </is>
      </c>
      <c r="D9396" t="inlineStr">
        <is>
          <t>890</t>
        </is>
      </c>
      <c r="E9396" t="inlineStr">
        <is>
          <t>entradas</t>
        </is>
      </c>
      <c r="F9396" s="23" t="n">
        <v>46275</v>
      </c>
      <c r="G9396" s="24">
        <f>F9396-DATE(2026,8,31)</f>
        <v>10</v>
      </c>
      <c r="H9396" s="25" t="n">
        <v>832986959</v>
      </c>
      <c r="I9396" t="inlineStr">
        <is>
          <t>entidad-dia</t>
        </is>
      </c>
    </row>
    <row r="9397">
      <c r="A9397" t="inlineStr">
        <is>
          <t>PRAGMA</t>
        </is>
      </c>
      <c r="B9397" t="inlineStr">
        <is>
          <t>M3</t>
        </is>
      </c>
      <c r="C9397" t="inlineStr">
        <is>
          <t>Ipiales</t>
        </is>
      </c>
      <c r="D9397" t="inlineStr">
        <is>
          <t>890</t>
        </is>
      </c>
      <c r="E9397" t="inlineStr">
        <is>
          <t>salidas</t>
        </is>
      </c>
      <c r="F9397" s="23" t="n">
        <v>46275</v>
      </c>
      <c r="G9397" s="24">
        <f>F9397-DATE(2026,8,31)</f>
        <v>10</v>
      </c>
      <c r="H9397" s="25" t="n">
        <v>992661557</v>
      </c>
      <c r="I9397" t="inlineStr">
        <is>
          <t>entidad-dia</t>
        </is>
      </c>
    </row>
    <row r="9398">
      <c r="A9398" t="inlineStr">
        <is>
          <t>PRAGMA</t>
        </is>
      </c>
      <c r="B9398" t="inlineStr">
        <is>
          <t>M3</t>
        </is>
      </c>
      <c r="C9398" t="inlineStr">
        <is>
          <t>Ipiales</t>
        </is>
      </c>
      <c r="D9398" t="inlineStr">
        <is>
          <t>890</t>
        </is>
      </c>
      <c r="E9398" t="inlineStr">
        <is>
          <t>entradas</t>
        </is>
      </c>
      <c r="F9398" s="23" t="n">
        <v>46276</v>
      </c>
      <c r="G9398" s="24">
        <f>F9398-DATE(2026,8,31)</f>
        <v>11</v>
      </c>
      <c r="H9398" s="25" t="n">
        <v>1164605101</v>
      </c>
      <c r="I9398" t="inlineStr">
        <is>
          <t>entidad-dia</t>
        </is>
      </c>
    </row>
    <row r="9399">
      <c r="A9399" t="inlineStr">
        <is>
          <t>PRAGMA</t>
        </is>
      </c>
      <c r="B9399" t="inlineStr">
        <is>
          <t>M3</t>
        </is>
      </c>
      <c r="C9399" t="inlineStr">
        <is>
          <t>Ipiales</t>
        </is>
      </c>
      <c r="D9399" t="inlineStr">
        <is>
          <t>890</t>
        </is>
      </c>
      <c r="E9399" t="inlineStr">
        <is>
          <t>salidas</t>
        </is>
      </c>
      <c r="F9399" s="23" t="n">
        <v>46276</v>
      </c>
      <c r="G9399" s="24">
        <f>F9399-DATE(2026,8,31)</f>
        <v>11</v>
      </c>
      <c r="H9399" s="25" t="n">
        <v>1196993337</v>
      </c>
      <c r="I9399" t="inlineStr">
        <is>
          <t>entidad-dia</t>
        </is>
      </c>
    </row>
    <row r="9400">
      <c r="A9400" t="inlineStr">
        <is>
          <t>PRAGMA</t>
        </is>
      </c>
      <c r="B9400" t="inlineStr">
        <is>
          <t>M3</t>
        </is>
      </c>
      <c r="C9400" t="inlineStr">
        <is>
          <t>Ipiales</t>
        </is>
      </c>
      <c r="D9400" t="inlineStr">
        <is>
          <t>890</t>
        </is>
      </c>
      <c r="E9400" t="inlineStr">
        <is>
          <t>entradas</t>
        </is>
      </c>
      <c r="F9400" s="23" t="n">
        <v>46277</v>
      </c>
      <c r="G9400" s="24">
        <f>F9400-DATE(2026,8,31)</f>
        <v>12</v>
      </c>
      <c r="H9400" s="25" t="n">
        <v>1390760</v>
      </c>
      <c r="I9400" t="inlineStr">
        <is>
          <t>entidad-dia</t>
        </is>
      </c>
    </row>
    <row r="9401">
      <c r="A9401" t="inlineStr">
        <is>
          <t>PRAGMA</t>
        </is>
      </c>
      <c r="B9401" t="inlineStr">
        <is>
          <t>M3</t>
        </is>
      </c>
      <c r="C9401" t="inlineStr">
        <is>
          <t>Ipiales</t>
        </is>
      </c>
      <c r="D9401" t="inlineStr">
        <is>
          <t>890</t>
        </is>
      </c>
      <c r="E9401" t="inlineStr">
        <is>
          <t>salidas</t>
        </is>
      </c>
      <c r="F9401" s="23" t="n">
        <v>46277</v>
      </c>
      <c r="G9401" s="24">
        <f>F9401-DATE(2026,8,31)</f>
        <v>12</v>
      </c>
      <c r="H9401" s="25" t="n">
        <v>924447</v>
      </c>
      <c r="I9401" t="inlineStr">
        <is>
          <t>entidad-dia</t>
        </is>
      </c>
    </row>
    <row r="9402">
      <c r="A9402" t="inlineStr">
        <is>
          <t>PRAGMA</t>
        </is>
      </c>
      <c r="B9402" t="inlineStr">
        <is>
          <t>M3</t>
        </is>
      </c>
      <c r="C9402" t="inlineStr">
        <is>
          <t>Ipiales</t>
        </is>
      </c>
      <c r="D9402" t="inlineStr">
        <is>
          <t>890</t>
        </is>
      </c>
      <c r="E9402" t="inlineStr">
        <is>
          <t>entradas</t>
        </is>
      </c>
      <c r="F9402" s="23" t="n">
        <v>46278</v>
      </c>
      <c r="G9402" s="24">
        <f>F9402-DATE(2026,8,31)</f>
        <v>13</v>
      </c>
      <c r="H9402" s="25" t="n">
        <v>264278</v>
      </c>
      <c r="I9402" t="inlineStr">
        <is>
          <t>entidad-dia</t>
        </is>
      </c>
    </row>
    <row r="9403">
      <c r="A9403" t="inlineStr">
        <is>
          <t>PRAGMA</t>
        </is>
      </c>
      <c r="B9403" t="inlineStr">
        <is>
          <t>M3</t>
        </is>
      </c>
      <c r="C9403" t="inlineStr">
        <is>
          <t>Ipiales</t>
        </is>
      </c>
      <c r="D9403" t="inlineStr">
        <is>
          <t>890</t>
        </is>
      </c>
      <c r="E9403" t="inlineStr">
        <is>
          <t>salidas</t>
        </is>
      </c>
      <c r="F9403" s="23" t="n">
        <v>46278</v>
      </c>
      <c r="G9403" s="24">
        <f>F9403-DATE(2026,8,31)</f>
        <v>13</v>
      </c>
      <c r="H9403" s="25" t="n">
        <v>0</v>
      </c>
      <c r="I9403" t="inlineStr">
        <is>
          <t>entidad-dia</t>
        </is>
      </c>
    </row>
    <row r="9404">
      <c r="A9404" t="inlineStr">
        <is>
          <t>PRAGMA</t>
        </is>
      </c>
      <c r="B9404" t="inlineStr">
        <is>
          <t>M3</t>
        </is>
      </c>
      <c r="C9404" t="inlineStr">
        <is>
          <t>Ipiales</t>
        </is>
      </c>
      <c r="D9404" t="inlineStr">
        <is>
          <t>890</t>
        </is>
      </c>
      <c r="E9404" t="inlineStr">
        <is>
          <t>entradas</t>
        </is>
      </c>
      <c r="F9404" s="23" t="n">
        <v>46279</v>
      </c>
      <c r="G9404" s="24">
        <f>F9404-DATE(2026,8,31)</f>
        <v>14</v>
      </c>
      <c r="H9404" s="25" t="n">
        <v>1049914386</v>
      </c>
      <c r="I9404" t="inlineStr">
        <is>
          <t>entidad-dia</t>
        </is>
      </c>
    </row>
    <row r="9405">
      <c r="A9405" t="inlineStr">
        <is>
          <t>PRAGMA</t>
        </is>
      </c>
      <c r="B9405" t="inlineStr">
        <is>
          <t>M3</t>
        </is>
      </c>
      <c r="C9405" t="inlineStr">
        <is>
          <t>Ipiales</t>
        </is>
      </c>
      <c r="D9405" t="inlineStr">
        <is>
          <t>890</t>
        </is>
      </c>
      <c r="E9405" t="inlineStr">
        <is>
          <t>salidas</t>
        </is>
      </c>
      <c r="F9405" s="23" t="n">
        <v>46279</v>
      </c>
      <c r="G9405" s="24">
        <f>F9405-DATE(2026,8,31)</f>
        <v>14</v>
      </c>
      <c r="H9405" s="25" t="n">
        <v>1022035450</v>
      </c>
      <c r="I9405" t="inlineStr">
        <is>
          <t>entidad-dia</t>
        </is>
      </c>
    </row>
    <row r="9406">
      <c r="A9406" t="inlineStr">
        <is>
          <t>PRAGMA</t>
        </is>
      </c>
      <c r="B9406" t="inlineStr">
        <is>
          <t>M3</t>
        </is>
      </c>
      <c r="C9406" t="inlineStr">
        <is>
          <t>Ipiales</t>
        </is>
      </c>
      <c r="D9406" t="inlineStr">
        <is>
          <t>890</t>
        </is>
      </c>
      <c r="E9406" t="inlineStr">
        <is>
          <t>entradas</t>
        </is>
      </c>
      <c r="F9406" s="23" t="n">
        <v>46280</v>
      </c>
      <c r="G9406" s="24">
        <f>F9406-DATE(2026,8,31)</f>
        <v>15</v>
      </c>
      <c r="H9406" s="25" t="n">
        <v>1004633378</v>
      </c>
      <c r="I9406" t="inlineStr">
        <is>
          <t>entidad-dia</t>
        </is>
      </c>
    </row>
    <row r="9407">
      <c r="A9407" t="inlineStr">
        <is>
          <t>PRAGMA</t>
        </is>
      </c>
      <c r="B9407" t="inlineStr">
        <is>
          <t>M3</t>
        </is>
      </c>
      <c r="C9407" t="inlineStr">
        <is>
          <t>Ipiales</t>
        </is>
      </c>
      <c r="D9407" t="inlineStr">
        <is>
          <t>890</t>
        </is>
      </c>
      <c r="E9407" t="inlineStr">
        <is>
          <t>salidas</t>
        </is>
      </c>
      <c r="F9407" s="23" t="n">
        <v>46280</v>
      </c>
      <c r="G9407" s="24">
        <f>F9407-DATE(2026,8,31)</f>
        <v>15</v>
      </c>
      <c r="H9407" s="25" t="n">
        <v>1161364529</v>
      </c>
      <c r="I9407" t="inlineStr">
        <is>
          <t>entidad-dia</t>
        </is>
      </c>
    </row>
    <row r="9408">
      <c r="A9408" t="inlineStr">
        <is>
          <t>PRAGMA</t>
        </is>
      </c>
      <c r="B9408" t="inlineStr">
        <is>
          <t>M3</t>
        </is>
      </c>
      <c r="C9408" t="inlineStr">
        <is>
          <t>Ipiales</t>
        </is>
      </c>
      <c r="D9408" t="inlineStr">
        <is>
          <t>893</t>
        </is>
      </c>
      <c r="E9408" t="inlineStr">
        <is>
          <t>entradas</t>
        </is>
      </c>
      <c r="F9408" s="23" t="n">
        <v>46266</v>
      </c>
      <c r="G9408" s="24">
        <f>F9408-DATE(2026,8,31)</f>
        <v>1</v>
      </c>
      <c r="H9408" s="25" t="n">
        <v>3928035559</v>
      </c>
      <c r="I9408" t="inlineStr">
        <is>
          <t>entidad-dia</t>
        </is>
      </c>
    </row>
    <row r="9409">
      <c r="A9409" t="inlineStr">
        <is>
          <t>PRAGMA</t>
        </is>
      </c>
      <c r="B9409" t="inlineStr">
        <is>
          <t>M3</t>
        </is>
      </c>
      <c r="C9409" t="inlineStr">
        <is>
          <t>Ipiales</t>
        </is>
      </c>
      <c r="D9409" t="inlineStr">
        <is>
          <t>893</t>
        </is>
      </c>
      <c r="E9409" t="inlineStr">
        <is>
          <t>salidas</t>
        </is>
      </c>
      <c r="F9409" s="23" t="n">
        <v>46266</v>
      </c>
      <c r="G9409" s="24">
        <f>F9409-DATE(2026,8,31)</f>
        <v>1</v>
      </c>
      <c r="H9409" s="25" t="n">
        <v>5266256126</v>
      </c>
      <c r="I9409" t="inlineStr">
        <is>
          <t>entidad-dia</t>
        </is>
      </c>
    </row>
    <row r="9410">
      <c r="A9410" t="inlineStr">
        <is>
          <t>PRAGMA</t>
        </is>
      </c>
      <c r="B9410" t="inlineStr">
        <is>
          <t>M3</t>
        </is>
      </c>
      <c r="C9410" t="inlineStr">
        <is>
          <t>Ipiales</t>
        </is>
      </c>
      <c r="D9410" t="inlineStr">
        <is>
          <t>893</t>
        </is>
      </c>
      <c r="E9410" t="inlineStr">
        <is>
          <t>entradas</t>
        </is>
      </c>
      <c r="F9410" s="23" t="n">
        <v>46267</v>
      </c>
      <c r="G9410" s="24">
        <f>F9410-DATE(2026,8,31)</f>
        <v>2</v>
      </c>
      <c r="H9410" s="25" t="n">
        <v>3844345943</v>
      </c>
      <c r="I9410" t="inlineStr">
        <is>
          <t>entidad-dia</t>
        </is>
      </c>
    </row>
    <row r="9411">
      <c r="A9411" t="inlineStr">
        <is>
          <t>PRAGMA</t>
        </is>
      </c>
      <c r="B9411" t="inlineStr">
        <is>
          <t>M3</t>
        </is>
      </c>
      <c r="C9411" t="inlineStr">
        <is>
          <t>Ipiales</t>
        </is>
      </c>
      <c r="D9411" t="inlineStr">
        <is>
          <t>893</t>
        </is>
      </c>
      <c r="E9411" t="inlineStr">
        <is>
          <t>salidas</t>
        </is>
      </c>
      <c r="F9411" s="23" t="n">
        <v>46267</v>
      </c>
      <c r="G9411" s="24">
        <f>F9411-DATE(2026,8,31)</f>
        <v>2</v>
      </c>
      <c r="H9411" s="25" t="n">
        <v>5111061481</v>
      </c>
      <c r="I9411" t="inlineStr">
        <is>
          <t>entidad-dia</t>
        </is>
      </c>
    </row>
    <row r="9412">
      <c r="A9412" t="inlineStr">
        <is>
          <t>PRAGMA</t>
        </is>
      </c>
      <c r="B9412" t="inlineStr">
        <is>
          <t>M3</t>
        </is>
      </c>
      <c r="C9412" t="inlineStr">
        <is>
          <t>Ipiales</t>
        </is>
      </c>
      <c r="D9412" t="inlineStr">
        <is>
          <t>893</t>
        </is>
      </c>
      <c r="E9412" t="inlineStr">
        <is>
          <t>entradas</t>
        </is>
      </c>
      <c r="F9412" s="23" t="n">
        <v>46268</v>
      </c>
      <c r="G9412" s="24">
        <f>F9412-DATE(2026,8,31)</f>
        <v>3</v>
      </c>
      <c r="H9412" s="25" t="n">
        <v>3524648161</v>
      </c>
      <c r="I9412" t="inlineStr">
        <is>
          <t>entidad-dia</t>
        </is>
      </c>
    </row>
    <row r="9413">
      <c r="A9413" t="inlineStr">
        <is>
          <t>PRAGMA</t>
        </is>
      </c>
      <c r="B9413" t="inlineStr">
        <is>
          <t>M3</t>
        </is>
      </c>
      <c r="C9413" t="inlineStr">
        <is>
          <t>Ipiales</t>
        </is>
      </c>
      <c r="D9413" t="inlineStr">
        <is>
          <t>893</t>
        </is>
      </c>
      <c r="E9413" t="inlineStr">
        <is>
          <t>salidas</t>
        </is>
      </c>
      <c r="F9413" s="23" t="n">
        <v>46268</v>
      </c>
      <c r="G9413" s="24">
        <f>F9413-DATE(2026,8,31)</f>
        <v>3</v>
      </c>
      <c r="H9413" s="25" t="n">
        <v>3617488908</v>
      </c>
      <c r="I9413" t="inlineStr">
        <is>
          <t>entidad-dia</t>
        </is>
      </c>
    </row>
    <row r="9414">
      <c r="A9414" t="inlineStr">
        <is>
          <t>PRAGMA</t>
        </is>
      </c>
      <c r="B9414" t="inlineStr">
        <is>
          <t>M3</t>
        </is>
      </c>
      <c r="C9414" t="inlineStr">
        <is>
          <t>Ipiales</t>
        </is>
      </c>
      <c r="D9414" t="inlineStr">
        <is>
          <t>893</t>
        </is>
      </c>
      <c r="E9414" t="inlineStr">
        <is>
          <t>entradas</t>
        </is>
      </c>
      <c r="F9414" s="23" t="n">
        <v>46269</v>
      </c>
      <c r="G9414" s="24">
        <f>F9414-DATE(2026,8,31)</f>
        <v>4</v>
      </c>
      <c r="H9414" s="25" t="n">
        <v>4077799591</v>
      </c>
      <c r="I9414" t="inlineStr">
        <is>
          <t>entidad-dia</t>
        </is>
      </c>
    </row>
    <row r="9415">
      <c r="A9415" t="inlineStr">
        <is>
          <t>PRAGMA</t>
        </is>
      </c>
      <c r="B9415" t="inlineStr">
        <is>
          <t>M3</t>
        </is>
      </c>
      <c r="C9415" t="inlineStr">
        <is>
          <t>Ipiales</t>
        </is>
      </c>
      <c r="D9415" t="inlineStr">
        <is>
          <t>893</t>
        </is>
      </c>
      <c r="E9415" t="inlineStr">
        <is>
          <t>salidas</t>
        </is>
      </c>
      <c r="F9415" s="23" t="n">
        <v>46269</v>
      </c>
      <c r="G9415" s="24">
        <f>F9415-DATE(2026,8,31)</f>
        <v>4</v>
      </c>
      <c r="H9415" s="25" t="n">
        <v>5535767850</v>
      </c>
      <c r="I9415" t="inlineStr">
        <is>
          <t>entidad-dia</t>
        </is>
      </c>
    </row>
    <row r="9416">
      <c r="A9416" t="inlineStr">
        <is>
          <t>PRAGMA</t>
        </is>
      </c>
      <c r="B9416" t="inlineStr">
        <is>
          <t>M3</t>
        </is>
      </c>
      <c r="C9416" t="inlineStr">
        <is>
          <t>Ipiales</t>
        </is>
      </c>
      <c r="D9416" t="inlineStr">
        <is>
          <t>893</t>
        </is>
      </c>
      <c r="E9416" t="inlineStr">
        <is>
          <t>entradas</t>
        </is>
      </c>
      <c r="F9416" s="23" t="n">
        <v>46270</v>
      </c>
      <c r="G9416" s="24">
        <f>F9416-DATE(2026,8,31)</f>
        <v>5</v>
      </c>
      <c r="H9416" s="25" t="n">
        <v>24128507</v>
      </c>
      <c r="I9416" t="inlineStr">
        <is>
          <t>entidad-dia</t>
        </is>
      </c>
    </row>
    <row r="9417">
      <c r="A9417" t="inlineStr">
        <is>
          <t>PRAGMA</t>
        </is>
      </c>
      <c r="B9417" t="inlineStr">
        <is>
          <t>M3</t>
        </is>
      </c>
      <c r="C9417" t="inlineStr">
        <is>
          <t>Ipiales</t>
        </is>
      </c>
      <c r="D9417" t="inlineStr">
        <is>
          <t>893</t>
        </is>
      </c>
      <c r="E9417" t="inlineStr">
        <is>
          <t>salidas</t>
        </is>
      </c>
      <c r="F9417" s="23" t="n">
        <v>46270</v>
      </c>
      <c r="G9417" s="24">
        <f>F9417-DATE(2026,8,31)</f>
        <v>5</v>
      </c>
      <c r="H9417" s="25" t="n">
        <v>58286276</v>
      </c>
      <c r="I9417" t="inlineStr">
        <is>
          <t>entidad-dia</t>
        </is>
      </c>
    </row>
    <row r="9418">
      <c r="A9418" t="inlineStr">
        <is>
          <t>PRAGMA</t>
        </is>
      </c>
      <c r="B9418" t="inlineStr">
        <is>
          <t>M3</t>
        </is>
      </c>
      <c r="C9418" t="inlineStr">
        <is>
          <t>Ipiales</t>
        </is>
      </c>
      <c r="D9418" t="inlineStr">
        <is>
          <t>893</t>
        </is>
      </c>
      <c r="E9418" t="inlineStr">
        <is>
          <t>entradas</t>
        </is>
      </c>
      <c r="F9418" s="23" t="n">
        <v>46271</v>
      </c>
      <c r="G9418" s="24">
        <f>F9418-DATE(2026,8,31)</f>
        <v>6</v>
      </c>
      <c r="H9418" s="25" t="n">
        <v>13590077</v>
      </c>
      <c r="I9418" t="inlineStr">
        <is>
          <t>entidad-dia</t>
        </is>
      </c>
    </row>
    <row r="9419">
      <c r="A9419" t="inlineStr">
        <is>
          <t>PRAGMA</t>
        </is>
      </c>
      <c r="B9419" t="inlineStr">
        <is>
          <t>M3</t>
        </is>
      </c>
      <c r="C9419" t="inlineStr">
        <is>
          <t>Ipiales</t>
        </is>
      </c>
      <c r="D9419" t="inlineStr">
        <is>
          <t>893</t>
        </is>
      </c>
      <c r="E9419" t="inlineStr">
        <is>
          <t>salidas</t>
        </is>
      </c>
      <c r="F9419" s="23" t="n">
        <v>46271</v>
      </c>
      <c r="G9419" s="24">
        <f>F9419-DATE(2026,8,31)</f>
        <v>6</v>
      </c>
      <c r="H9419" s="25" t="n">
        <v>604976</v>
      </c>
      <c r="I9419" t="inlineStr">
        <is>
          <t>entidad-dia</t>
        </is>
      </c>
    </row>
    <row r="9420">
      <c r="A9420" t="inlineStr">
        <is>
          <t>PRAGMA</t>
        </is>
      </c>
      <c r="B9420" t="inlineStr">
        <is>
          <t>M3</t>
        </is>
      </c>
      <c r="C9420" t="inlineStr">
        <is>
          <t>Ipiales</t>
        </is>
      </c>
      <c r="D9420" t="inlineStr">
        <is>
          <t>893</t>
        </is>
      </c>
      <c r="E9420" t="inlineStr">
        <is>
          <t>entradas</t>
        </is>
      </c>
      <c r="F9420" s="23" t="n">
        <v>46272</v>
      </c>
      <c r="G9420" s="24">
        <f>F9420-DATE(2026,8,31)</f>
        <v>7</v>
      </c>
      <c r="H9420" s="25" t="n">
        <v>3698248540</v>
      </c>
      <c r="I9420" t="inlineStr">
        <is>
          <t>entidad-dia</t>
        </is>
      </c>
    </row>
    <row r="9421">
      <c r="A9421" t="inlineStr">
        <is>
          <t>PRAGMA</t>
        </is>
      </c>
      <c r="B9421" t="inlineStr">
        <is>
          <t>M3</t>
        </is>
      </c>
      <c r="C9421" t="inlineStr">
        <is>
          <t>Ipiales</t>
        </is>
      </c>
      <c r="D9421" t="inlineStr">
        <is>
          <t>893</t>
        </is>
      </c>
      <c r="E9421" t="inlineStr">
        <is>
          <t>salidas</t>
        </is>
      </c>
      <c r="F9421" s="23" t="n">
        <v>46272</v>
      </c>
      <c r="G9421" s="24">
        <f>F9421-DATE(2026,8,31)</f>
        <v>7</v>
      </c>
      <c r="H9421" s="25" t="n">
        <v>4804296441</v>
      </c>
      <c r="I9421" t="inlineStr">
        <is>
          <t>entidad-dia</t>
        </is>
      </c>
    </row>
    <row r="9422">
      <c r="A9422" t="inlineStr">
        <is>
          <t>PRAGMA</t>
        </is>
      </c>
      <c r="B9422" t="inlineStr">
        <is>
          <t>M3</t>
        </is>
      </c>
      <c r="C9422" t="inlineStr">
        <is>
          <t>Ipiales</t>
        </is>
      </c>
      <c r="D9422" t="inlineStr">
        <is>
          <t>893</t>
        </is>
      </c>
      <c r="E9422" t="inlineStr">
        <is>
          <t>entradas</t>
        </is>
      </c>
      <c r="F9422" s="23" t="n">
        <v>46273</v>
      </c>
      <c r="G9422" s="24">
        <f>F9422-DATE(2026,8,31)</f>
        <v>8</v>
      </c>
      <c r="H9422" s="25" t="n">
        <v>4114715743</v>
      </c>
      <c r="I9422" t="inlineStr">
        <is>
          <t>entidad-dia</t>
        </is>
      </c>
    </row>
    <row r="9423">
      <c r="A9423" t="inlineStr">
        <is>
          <t>PRAGMA</t>
        </is>
      </c>
      <c r="B9423" t="inlineStr">
        <is>
          <t>M3</t>
        </is>
      </c>
      <c r="C9423" t="inlineStr">
        <is>
          <t>Ipiales</t>
        </is>
      </c>
      <c r="D9423" t="inlineStr">
        <is>
          <t>893</t>
        </is>
      </c>
      <c r="E9423" t="inlineStr">
        <is>
          <t>salidas</t>
        </is>
      </c>
      <c r="F9423" s="23" t="n">
        <v>46273</v>
      </c>
      <c r="G9423" s="24">
        <f>F9423-DATE(2026,8,31)</f>
        <v>8</v>
      </c>
      <c r="H9423" s="25" t="n">
        <v>4914296435</v>
      </c>
      <c r="I9423" t="inlineStr">
        <is>
          <t>entidad-dia</t>
        </is>
      </c>
    </row>
    <row r="9424">
      <c r="A9424" t="inlineStr">
        <is>
          <t>PRAGMA</t>
        </is>
      </c>
      <c r="B9424" t="inlineStr">
        <is>
          <t>M3</t>
        </is>
      </c>
      <c r="C9424" t="inlineStr">
        <is>
          <t>Ipiales</t>
        </is>
      </c>
      <c r="D9424" t="inlineStr">
        <is>
          <t>893</t>
        </is>
      </c>
      <c r="E9424" t="inlineStr">
        <is>
          <t>entradas</t>
        </is>
      </c>
      <c r="F9424" s="23" t="n">
        <v>46274</v>
      </c>
      <c r="G9424" s="24">
        <f>F9424-DATE(2026,8,31)</f>
        <v>9</v>
      </c>
      <c r="H9424" s="25" t="n">
        <v>3956816743</v>
      </c>
      <c r="I9424" t="inlineStr">
        <is>
          <t>entidad-dia</t>
        </is>
      </c>
    </row>
    <row r="9425">
      <c r="A9425" t="inlineStr">
        <is>
          <t>PRAGMA</t>
        </is>
      </c>
      <c r="B9425" t="inlineStr">
        <is>
          <t>M3</t>
        </is>
      </c>
      <c r="C9425" t="inlineStr">
        <is>
          <t>Ipiales</t>
        </is>
      </c>
      <c r="D9425" t="inlineStr">
        <is>
          <t>893</t>
        </is>
      </c>
      <c r="E9425" t="inlineStr">
        <is>
          <t>salidas</t>
        </is>
      </c>
      <c r="F9425" s="23" t="n">
        <v>46274</v>
      </c>
      <c r="G9425" s="24">
        <f>F9425-DATE(2026,8,31)</f>
        <v>9</v>
      </c>
      <c r="H9425" s="25" t="n">
        <v>4922835913</v>
      </c>
      <c r="I9425" t="inlineStr">
        <is>
          <t>entidad-dia</t>
        </is>
      </c>
    </row>
    <row r="9426">
      <c r="A9426" t="inlineStr">
        <is>
          <t>PRAGMA</t>
        </is>
      </c>
      <c r="B9426" t="inlineStr">
        <is>
          <t>M3</t>
        </is>
      </c>
      <c r="C9426" t="inlineStr">
        <is>
          <t>Ipiales</t>
        </is>
      </c>
      <c r="D9426" t="inlineStr">
        <is>
          <t>893</t>
        </is>
      </c>
      <c r="E9426" t="inlineStr">
        <is>
          <t>entradas</t>
        </is>
      </c>
      <c r="F9426" s="23" t="n">
        <v>46275</v>
      </c>
      <c r="G9426" s="24">
        <f>F9426-DATE(2026,8,31)</f>
        <v>10</v>
      </c>
      <c r="H9426" s="25" t="n">
        <v>3277207271</v>
      </c>
      <c r="I9426" t="inlineStr">
        <is>
          <t>entidad-dia</t>
        </is>
      </c>
    </row>
    <row r="9427">
      <c r="A9427" t="inlineStr">
        <is>
          <t>PRAGMA</t>
        </is>
      </c>
      <c r="B9427" t="inlineStr">
        <is>
          <t>M3</t>
        </is>
      </c>
      <c r="C9427" t="inlineStr">
        <is>
          <t>Ipiales</t>
        </is>
      </c>
      <c r="D9427" t="inlineStr">
        <is>
          <t>893</t>
        </is>
      </c>
      <c r="E9427" t="inlineStr">
        <is>
          <t>salidas</t>
        </is>
      </c>
      <c r="F9427" s="23" t="n">
        <v>46275</v>
      </c>
      <c r="G9427" s="24">
        <f>F9427-DATE(2026,8,31)</f>
        <v>10</v>
      </c>
      <c r="H9427" s="25" t="n">
        <v>4610913344</v>
      </c>
      <c r="I9427" t="inlineStr">
        <is>
          <t>entidad-dia</t>
        </is>
      </c>
    </row>
    <row r="9428">
      <c r="A9428" t="inlineStr">
        <is>
          <t>PRAGMA</t>
        </is>
      </c>
      <c r="B9428" t="inlineStr">
        <is>
          <t>M3</t>
        </is>
      </c>
      <c r="C9428" t="inlineStr">
        <is>
          <t>Ipiales</t>
        </is>
      </c>
      <c r="D9428" t="inlineStr">
        <is>
          <t>893</t>
        </is>
      </c>
      <c r="E9428" t="inlineStr">
        <is>
          <t>entradas</t>
        </is>
      </c>
      <c r="F9428" s="23" t="n">
        <v>46276</v>
      </c>
      <c r="G9428" s="24">
        <f>F9428-DATE(2026,8,31)</f>
        <v>11</v>
      </c>
      <c r="H9428" s="25" t="n">
        <v>4134927601</v>
      </c>
      <c r="I9428" t="inlineStr">
        <is>
          <t>entidad-dia</t>
        </is>
      </c>
    </row>
    <row r="9429">
      <c r="A9429" t="inlineStr">
        <is>
          <t>PRAGMA</t>
        </is>
      </c>
      <c r="B9429" t="inlineStr">
        <is>
          <t>M3</t>
        </is>
      </c>
      <c r="C9429" t="inlineStr">
        <is>
          <t>Ipiales</t>
        </is>
      </c>
      <c r="D9429" t="inlineStr">
        <is>
          <t>893</t>
        </is>
      </c>
      <c r="E9429" t="inlineStr">
        <is>
          <t>salidas</t>
        </is>
      </c>
      <c r="F9429" s="23" t="n">
        <v>46276</v>
      </c>
      <c r="G9429" s="24">
        <f>F9429-DATE(2026,8,31)</f>
        <v>11</v>
      </c>
      <c r="H9429" s="25" t="n">
        <v>5082279852</v>
      </c>
      <c r="I9429" t="inlineStr">
        <is>
          <t>entidad-dia</t>
        </is>
      </c>
    </row>
    <row r="9430">
      <c r="A9430" t="inlineStr">
        <is>
          <t>PRAGMA</t>
        </is>
      </c>
      <c r="B9430" t="inlineStr">
        <is>
          <t>M3</t>
        </is>
      </c>
      <c r="C9430" t="inlineStr">
        <is>
          <t>Ipiales</t>
        </is>
      </c>
      <c r="D9430" t="inlineStr">
        <is>
          <t>893</t>
        </is>
      </c>
      <c r="E9430" t="inlineStr">
        <is>
          <t>entradas</t>
        </is>
      </c>
      <c r="F9430" s="23" t="n">
        <v>46277</v>
      </c>
      <c r="G9430" s="24">
        <f>F9430-DATE(2026,8,31)</f>
        <v>12</v>
      </c>
      <c r="H9430" s="25" t="n">
        <v>27198736</v>
      </c>
      <c r="I9430" t="inlineStr">
        <is>
          <t>entidad-dia</t>
        </is>
      </c>
    </row>
    <row r="9431">
      <c r="A9431" t="inlineStr">
        <is>
          <t>PRAGMA</t>
        </is>
      </c>
      <c r="B9431" t="inlineStr">
        <is>
          <t>M3</t>
        </is>
      </c>
      <c r="C9431" t="inlineStr">
        <is>
          <t>Ipiales</t>
        </is>
      </c>
      <c r="D9431" t="inlineStr">
        <is>
          <t>893</t>
        </is>
      </c>
      <c r="E9431" t="inlineStr">
        <is>
          <t>salidas</t>
        </is>
      </c>
      <c r="F9431" s="23" t="n">
        <v>46277</v>
      </c>
      <c r="G9431" s="24">
        <f>F9431-DATE(2026,8,31)</f>
        <v>12</v>
      </c>
      <c r="H9431" s="25" t="n">
        <v>73558017</v>
      </c>
      <c r="I9431" t="inlineStr">
        <is>
          <t>entidad-dia</t>
        </is>
      </c>
    </row>
    <row r="9432">
      <c r="A9432" t="inlineStr">
        <is>
          <t>PRAGMA</t>
        </is>
      </c>
      <c r="B9432" t="inlineStr">
        <is>
          <t>M3</t>
        </is>
      </c>
      <c r="C9432" t="inlineStr">
        <is>
          <t>Ipiales</t>
        </is>
      </c>
      <c r="D9432" t="inlineStr">
        <is>
          <t>893</t>
        </is>
      </c>
      <c r="E9432" t="inlineStr">
        <is>
          <t>entradas</t>
        </is>
      </c>
      <c r="F9432" s="23" t="n">
        <v>46278</v>
      </c>
      <c r="G9432" s="24">
        <f>F9432-DATE(2026,8,31)</f>
        <v>13</v>
      </c>
      <c r="H9432" s="25" t="n">
        <v>8400550</v>
      </c>
      <c r="I9432" t="inlineStr">
        <is>
          <t>entidad-dia</t>
        </is>
      </c>
    </row>
    <row r="9433">
      <c r="A9433" t="inlineStr">
        <is>
          <t>PRAGMA</t>
        </is>
      </c>
      <c r="B9433" t="inlineStr">
        <is>
          <t>M3</t>
        </is>
      </c>
      <c r="C9433" t="inlineStr">
        <is>
          <t>Ipiales</t>
        </is>
      </c>
      <c r="D9433" t="inlineStr">
        <is>
          <t>893</t>
        </is>
      </c>
      <c r="E9433" t="inlineStr">
        <is>
          <t>salidas</t>
        </is>
      </c>
      <c r="F9433" s="23" t="n">
        <v>46278</v>
      </c>
      <c r="G9433" s="24">
        <f>F9433-DATE(2026,8,31)</f>
        <v>13</v>
      </c>
      <c r="H9433" s="25" t="n">
        <v>0</v>
      </c>
      <c r="I9433" t="inlineStr">
        <is>
          <t>entidad-dia</t>
        </is>
      </c>
    </row>
    <row r="9434">
      <c r="A9434" t="inlineStr">
        <is>
          <t>PRAGMA</t>
        </is>
      </c>
      <c r="B9434" t="inlineStr">
        <is>
          <t>M3</t>
        </is>
      </c>
      <c r="C9434" t="inlineStr">
        <is>
          <t>Ipiales</t>
        </is>
      </c>
      <c r="D9434" t="inlineStr">
        <is>
          <t>893</t>
        </is>
      </c>
      <c r="E9434" t="inlineStr">
        <is>
          <t>entradas</t>
        </is>
      </c>
      <c r="F9434" s="23" t="n">
        <v>46279</v>
      </c>
      <c r="G9434" s="24">
        <f>F9434-DATE(2026,8,31)</f>
        <v>14</v>
      </c>
      <c r="H9434" s="25" t="n">
        <v>3748822299</v>
      </c>
      <c r="I9434" t="inlineStr">
        <is>
          <t>entidad-dia</t>
        </is>
      </c>
    </row>
    <row r="9435">
      <c r="A9435" t="inlineStr">
        <is>
          <t>PRAGMA</t>
        </is>
      </c>
      <c r="B9435" t="inlineStr">
        <is>
          <t>M3</t>
        </is>
      </c>
      <c r="C9435" t="inlineStr">
        <is>
          <t>Ipiales</t>
        </is>
      </c>
      <c r="D9435" t="inlineStr">
        <is>
          <t>893</t>
        </is>
      </c>
      <c r="E9435" t="inlineStr">
        <is>
          <t>salidas</t>
        </is>
      </c>
      <c r="F9435" s="23" t="n">
        <v>46279</v>
      </c>
      <c r="G9435" s="24">
        <f>F9435-DATE(2026,8,31)</f>
        <v>14</v>
      </c>
      <c r="H9435" s="25" t="n">
        <v>4851528985</v>
      </c>
      <c r="I9435" t="inlineStr">
        <is>
          <t>entidad-dia</t>
        </is>
      </c>
    </row>
    <row r="9436">
      <c r="A9436" t="inlineStr">
        <is>
          <t>PRAGMA</t>
        </is>
      </c>
      <c r="B9436" t="inlineStr">
        <is>
          <t>M3</t>
        </is>
      </c>
      <c r="C9436" t="inlineStr">
        <is>
          <t>Ipiales</t>
        </is>
      </c>
      <c r="D9436" t="inlineStr">
        <is>
          <t>893</t>
        </is>
      </c>
      <c r="E9436" t="inlineStr">
        <is>
          <t>entradas</t>
        </is>
      </c>
      <c r="F9436" s="23" t="n">
        <v>46280</v>
      </c>
      <c r="G9436" s="24">
        <f>F9436-DATE(2026,8,31)</f>
        <v>15</v>
      </c>
      <c r="H9436" s="25" t="n">
        <v>4112015257</v>
      </c>
      <c r="I9436" t="inlineStr">
        <is>
          <t>entidad-dia</t>
        </is>
      </c>
    </row>
    <row r="9437">
      <c r="A9437" t="inlineStr">
        <is>
          <t>PRAGMA</t>
        </is>
      </c>
      <c r="B9437" t="inlineStr">
        <is>
          <t>M3</t>
        </is>
      </c>
      <c r="C9437" t="inlineStr">
        <is>
          <t>Ipiales</t>
        </is>
      </c>
      <c r="D9437" t="inlineStr">
        <is>
          <t>893</t>
        </is>
      </c>
      <c r="E9437" t="inlineStr">
        <is>
          <t>salidas</t>
        </is>
      </c>
      <c r="F9437" s="23" t="n">
        <v>46280</v>
      </c>
      <c r="G9437" s="24">
        <f>F9437-DATE(2026,8,31)</f>
        <v>15</v>
      </c>
      <c r="H9437" s="25" t="n">
        <v>5068349465</v>
      </c>
      <c r="I9437" t="inlineStr">
        <is>
          <t>entidad-dia</t>
        </is>
      </c>
    </row>
    <row r="9438">
      <c r="A9438" t="inlineStr">
        <is>
          <t>PRAGMA</t>
        </is>
      </c>
      <c r="B9438" t="inlineStr">
        <is>
          <t>M3</t>
        </is>
      </c>
      <c r="C9438" t="inlineStr">
        <is>
          <t>Cali</t>
        </is>
      </c>
      <c r="D9438" t="inlineStr">
        <is>
          <t>972</t>
        </is>
      </c>
      <c r="E9438" t="inlineStr">
        <is>
          <t>entradas</t>
        </is>
      </c>
      <c r="F9438" s="23" t="n">
        <v>46266</v>
      </c>
      <c r="G9438" s="24">
        <f>F9438-DATE(2026,8,31)</f>
        <v>1</v>
      </c>
      <c r="H9438" s="25" t="n">
        <v>40351941</v>
      </c>
      <c r="I9438" t="inlineStr">
        <is>
          <t>entidad-dia</t>
        </is>
      </c>
    </row>
    <row r="9439">
      <c r="A9439" t="inlineStr">
        <is>
          <t>PRAGMA</t>
        </is>
      </c>
      <c r="B9439" t="inlineStr">
        <is>
          <t>M3</t>
        </is>
      </c>
      <c r="C9439" t="inlineStr">
        <is>
          <t>Cali</t>
        </is>
      </c>
      <c r="D9439" t="inlineStr">
        <is>
          <t>972</t>
        </is>
      </c>
      <c r="E9439" t="inlineStr">
        <is>
          <t>salidas</t>
        </is>
      </c>
      <c r="F9439" s="23" t="n">
        <v>46266</v>
      </c>
      <c r="G9439" s="24">
        <f>F9439-DATE(2026,8,31)</f>
        <v>1</v>
      </c>
      <c r="H9439" s="25" t="n">
        <v>1374419</v>
      </c>
      <c r="I9439" t="inlineStr">
        <is>
          <t>entidad-dia</t>
        </is>
      </c>
    </row>
    <row r="9440">
      <c r="A9440" t="inlineStr">
        <is>
          <t>PRAGMA</t>
        </is>
      </c>
      <c r="B9440" t="inlineStr">
        <is>
          <t>M3</t>
        </is>
      </c>
      <c r="C9440" t="inlineStr">
        <is>
          <t>Cali</t>
        </is>
      </c>
      <c r="D9440" t="inlineStr">
        <is>
          <t>972</t>
        </is>
      </c>
      <c r="E9440" t="inlineStr">
        <is>
          <t>entradas</t>
        </is>
      </c>
      <c r="F9440" s="23" t="n">
        <v>46267</v>
      </c>
      <c r="G9440" s="24">
        <f>F9440-DATE(2026,8,31)</f>
        <v>2</v>
      </c>
      <c r="H9440" s="25" t="n">
        <v>48790602</v>
      </c>
      <c r="I9440" t="inlineStr">
        <is>
          <t>entidad-dia</t>
        </is>
      </c>
    </row>
    <row r="9441">
      <c r="A9441" t="inlineStr">
        <is>
          <t>PRAGMA</t>
        </is>
      </c>
      <c r="B9441" t="inlineStr">
        <is>
          <t>M3</t>
        </is>
      </c>
      <c r="C9441" t="inlineStr">
        <is>
          <t>Cali</t>
        </is>
      </c>
      <c r="D9441" t="inlineStr">
        <is>
          <t>972</t>
        </is>
      </c>
      <c r="E9441" t="inlineStr">
        <is>
          <t>salidas</t>
        </is>
      </c>
      <c r="F9441" s="23" t="n">
        <v>46267</v>
      </c>
      <c r="G9441" s="24">
        <f>F9441-DATE(2026,8,31)</f>
        <v>2</v>
      </c>
      <c r="H9441" s="25" t="n">
        <v>0</v>
      </c>
      <c r="I9441" t="inlineStr">
        <is>
          <t>entidad-dia</t>
        </is>
      </c>
    </row>
    <row r="9442">
      <c r="A9442" t="inlineStr">
        <is>
          <t>PRAGMA</t>
        </is>
      </c>
      <c r="B9442" t="inlineStr">
        <is>
          <t>M3</t>
        </is>
      </c>
      <c r="C9442" t="inlineStr">
        <is>
          <t>Cali</t>
        </is>
      </c>
      <c r="D9442" t="inlineStr">
        <is>
          <t>972</t>
        </is>
      </c>
      <c r="E9442" t="inlineStr">
        <is>
          <t>entradas</t>
        </is>
      </c>
      <c r="F9442" s="23" t="n">
        <v>46268</v>
      </c>
      <c r="G9442" s="24">
        <f>F9442-DATE(2026,8,31)</f>
        <v>3</v>
      </c>
      <c r="H9442" s="25" t="n">
        <v>38978866</v>
      </c>
      <c r="I9442" t="inlineStr">
        <is>
          <t>entidad-dia</t>
        </is>
      </c>
    </row>
    <row r="9443">
      <c r="A9443" t="inlineStr">
        <is>
          <t>PRAGMA</t>
        </is>
      </c>
      <c r="B9443" t="inlineStr">
        <is>
          <t>M3</t>
        </is>
      </c>
      <c r="C9443" t="inlineStr">
        <is>
          <t>Cali</t>
        </is>
      </c>
      <c r="D9443" t="inlineStr">
        <is>
          <t>972</t>
        </is>
      </c>
      <c r="E9443" t="inlineStr">
        <is>
          <t>salidas</t>
        </is>
      </c>
      <c r="F9443" s="23" t="n">
        <v>46268</v>
      </c>
      <c r="G9443" s="24">
        <f>F9443-DATE(2026,8,31)</f>
        <v>3</v>
      </c>
      <c r="H9443" s="25" t="n">
        <v>0</v>
      </c>
      <c r="I9443" t="inlineStr">
        <is>
          <t>entidad-dia</t>
        </is>
      </c>
    </row>
    <row r="9444">
      <c r="A9444" t="inlineStr">
        <is>
          <t>PRAGMA</t>
        </is>
      </c>
      <c r="B9444" t="inlineStr">
        <is>
          <t>M3</t>
        </is>
      </c>
      <c r="C9444" t="inlineStr">
        <is>
          <t>Cali</t>
        </is>
      </c>
      <c r="D9444" t="inlineStr">
        <is>
          <t>972</t>
        </is>
      </c>
      <c r="E9444" t="inlineStr">
        <is>
          <t>entradas</t>
        </is>
      </c>
      <c r="F9444" s="23" t="n">
        <v>46269</v>
      </c>
      <c r="G9444" s="24">
        <f>F9444-DATE(2026,8,31)</f>
        <v>4</v>
      </c>
      <c r="H9444" s="25" t="n">
        <v>53169200</v>
      </c>
      <c r="I9444" t="inlineStr">
        <is>
          <t>entidad-dia</t>
        </is>
      </c>
    </row>
    <row r="9445">
      <c r="A9445" t="inlineStr">
        <is>
          <t>PRAGMA</t>
        </is>
      </c>
      <c r="B9445" t="inlineStr">
        <is>
          <t>M3</t>
        </is>
      </c>
      <c r="C9445" t="inlineStr">
        <is>
          <t>Cali</t>
        </is>
      </c>
      <c r="D9445" t="inlineStr">
        <is>
          <t>972</t>
        </is>
      </c>
      <c r="E9445" t="inlineStr">
        <is>
          <t>salidas</t>
        </is>
      </c>
      <c r="F9445" s="23" t="n">
        <v>46269</v>
      </c>
      <c r="G9445" s="24">
        <f>F9445-DATE(2026,8,31)</f>
        <v>4</v>
      </c>
      <c r="H9445" s="25" t="n">
        <v>58883781</v>
      </c>
      <c r="I9445" t="inlineStr">
        <is>
          <t>entidad-dia</t>
        </is>
      </c>
    </row>
    <row r="9446">
      <c r="A9446" t="inlineStr">
        <is>
          <t>PRAGMA</t>
        </is>
      </c>
      <c r="B9446" t="inlineStr">
        <is>
          <t>M3</t>
        </is>
      </c>
      <c r="C9446" t="inlineStr">
        <is>
          <t>Cali</t>
        </is>
      </c>
      <c r="D9446" t="inlineStr">
        <is>
          <t>972</t>
        </is>
      </c>
      <c r="E9446" t="inlineStr">
        <is>
          <t>entradas</t>
        </is>
      </c>
      <c r="F9446" s="23" t="n">
        <v>46270</v>
      </c>
      <c r="G9446" s="24">
        <f>F9446-DATE(2026,8,31)</f>
        <v>5</v>
      </c>
      <c r="H9446" s="25" t="n">
        <v>5321998</v>
      </c>
      <c r="I9446" t="inlineStr">
        <is>
          <t>entidad-dia</t>
        </is>
      </c>
    </row>
    <row r="9447">
      <c r="A9447" t="inlineStr">
        <is>
          <t>PRAGMA</t>
        </is>
      </c>
      <c r="B9447" t="inlineStr">
        <is>
          <t>M3</t>
        </is>
      </c>
      <c r="C9447" t="inlineStr">
        <is>
          <t>Cali</t>
        </is>
      </c>
      <c r="D9447" t="inlineStr">
        <is>
          <t>972</t>
        </is>
      </c>
      <c r="E9447" t="inlineStr">
        <is>
          <t>salidas</t>
        </is>
      </c>
      <c r="F9447" s="23" t="n">
        <v>46270</v>
      </c>
      <c r="G9447" s="24">
        <f>F9447-DATE(2026,8,31)</f>
        <v>5</v>
      </c>
      <c r="H9447" s="25" t="n">
        <v>0</v>
      </c>
      <c r="I9447" t="inlineStr">
        <is>
          <t>entidad-dia</t>
        </is>
      </c>
    </row>
    <row r="9448">
      <c r="A9448" t="inlineStr">
        <is>
          <t>PRAGMA</t>
        </is>
      </c>
      <c r="B9448" t="inlineStr">
        <is>
          <t>M3</t>
        </is>
      </c>
      <c r="C9448" t="inlineStr">
        <is>
          <t>Cali</t>
        </is>
      </c>
      <c r="D9448" t="inlineStr">
        <is>
          <t>972</t>
        </is>
      </c>
      <c r="E9448" t="inlineStr">
        <is>
          <t>entradas</t>
        </is>
      </c>
      <c r="F9448" s="23" t="n">
        <v>46271</v>
      </c>
      <c r="G9448" s="24">
        <f>F9448-DATE(2026,8,31)</f>
        <v>6</v>
      </c>
      <c r="H9448" s="25" t="n">
        <v>1447757</v>
      </c>
      <c r="I9448" t="inlineStr">
        <is>
          <t>entidad-dia</t>
        </is>
      </c>
    </row>
    <row r="9449">
      <c r="A9449" t="inlineStr">
        <is>
          <t>PRAGMA</t>
        </is>
      </c>
      <c r="B9449" t="inlineStr">
        <is>
          <t>M3</t>
        </is>
      </c>
      <c r="C9449" t="inlineStr">
        <is>
          <t>Cali</t>
        </is>
      </c>
      <c r="D9449" t="inlineStr">
        <is>
          <t>972</t>
        </is>
      </c>
      <c r="E9449" t="inlineStr">
        <is>
          <t>salidas</t>
        </is>
      </c>
      <c r="F9449" s="23" t="n">
        <v>46271</v>
      </c>
      <c r="G9449" s="24">
        <f>F9449-DATE(2026,8,31)</f>
        <v>6</v>
      </c>
      <c r="H9449" s="25" t="n">
        <v>0</v>
      </c>
      <c r="I9449" t="inlineStr">
        <is>
          <t>entidad-dia</t>
        </is>
      </c>
    </row>
    <row r="9450">
      <c r="A9450" t="inlineStr">
        <is>
          <t>PRAGMA</t>
        </is>
      </c>
      <c r="B9450" t="inlineStr">
        <is>
          <t>M3</t>
        </is>
      </c>
      <c r="C9450" t="inlineStr">
        <is>
          <t>Cali</t>
        </is>
      </c>
      <c r="D9450" t="inlineStr">
        <is>
          <t>972</t>
        </is>
      </c>
      <c r="E9450" t="inlineStr">
        <is>
          <t>entradas</t>
        </is>
      </c>
      <c r="F9450" s="23" t="n">
        <v>46272</v>
      </c>
      <c r="G9450" s="24">
        <f>F9450-DATE(2026,8,31)</f>
        <v>7</v>
      </c>
      <c r="H9450" s="25" t="n">
        <v>45872923</v>
      </c>
      <c r="I9450" t="inlineStr">
        <is>
          <t>entidad-dia</t>
        </is>
      </c>
    </row>
    <row r="9451">
      <c r="A9451" t="inlineStr">
        <is>
          <t>PRAGMA</t>
        </is>
      </c>
      <c r="B9451" t="inlineStr">
        <is>
          <t>M3</t>
        </is>
      </c>
      <c r="C9451" t="inlineStr">
        <is>
          <t>Cali</t>
        </is>
      </c>
      <c r="D9451" t="inlineStr">
        <is>
          <t>972</t>
        </is>
      </c>
      <c r="E9451" t="inlineStr">
        <is>
          <t>salidas</t>
        </is>
      </c>
      <c r="F9451" s="23" t="n">
        <v>46272</v>
      </c>
      <c r="G9451" s="24">
        <f>F9451-DATE(2026,8,31)</f>
        <v>7</v>
      </c>
      <c r="H9451" s="25" t="n">
        <v>0</v>
      </c>
      <c r="I9451" t="inlineStr">
        <is>
          <t>entidad-dia</t>
        </is>
      </c>
    </row>
    <row r="9452">
      <c r="A9452" t="inlineStr">
        <is>
          <t>PRAGMA</t>
        </is>
      </c>
      <c r="B9452" t="inlineStr">
        <is>
          <t>M3</t>
        </is>
      </c>
      <c r="C9452" t="inlineStr">
        <is>
          <t>Cali</t>
        </is>
      </c>
      <c r="D9452" t="inlineStr">
        <is>
          <t>972</t>
        </is>
      </c>
      <c r="E9452" t="inlineStr">
        <is>
          <t>entradas</t>
        </is>
      </c>
      <c r="F9452" s="23" t="n">
        <v>46273</v>
      </c>
      <c r="G9452" s="24">
        <f>F9452-DATE(2026,8,31)</f>
        <v>8</v>
      </c>
      <c r="H9452" s="25" t="n">
        <v>33665595</v>
      </c>
      <c r="I9452" t="inlineStr">
        <is>
          <t>entidad-dia</t>
        </is>
      </c>
    </row>
    <row r="9453">
      <c r="A9453" t="inlineStr">
        <is>
          <t>PRAGMA</t>
        </is>
      </c>
      <c r="B9453" t="inlineStr">
        <is>
          <t>M3</t>
        </is>
      </c>
      <c r="C9453" t="inlineStr">
        <is>
          <t>Cali</t>
        </is>
      </c>
      <c r="D9453" t="inlineStr">
        <is>
          <t>972</t>
        </is>
      </c>
      <c r="E9453" t="inlineStr">
        <is>
          <t>salidas</t>
        </is>
      </c>
      <c r="F9453" s="23" t="n">
        <v>46273</v>
      </c>
      <c r="G9453" s="24">
        <f>F9453-DATE(2026,8,31)</f>
        <v>8</v>
      </c>
      <c r="H9453" s="25" t="n">
        <v>0</v>
      </c>
      <c r="I9453" t="inlineStr">
        <is>
          <t>entidad-dia</t>
        </is>
      </c>
    </row>
    <row r="9454">
      <c r="A9454" t="inlineStr">
        <is>
          <t>PRAGMA</t>
        </is>
      </c>
      <c r="B9454" t="inlineStr">
        <is>
          <t>M3</t>
        </is>
      </c>
      <c r="C9454" t="inlineStr">
        <is>
          <t>Cali</t>
        </is>
      </c>
      <c r="D9454" t="inlineStr">
        <is>
          <t>972</t>
        </is>
      </c>
      <c r="E9454" t="inlineStr">
        <is>
          <t>entradas</t>
        </is>
      </c>
      <c r="F9454" s="23" t="n">
        <v>46274</v>
      </c>
      <c r="G9454" s="24">
        <f>F9454-DATE(2026,8,31)</f>
        <v>9</v>
      </c>
      <c r="H9454" s="25" t="n">
        <v>40867852</v>
      </c>
      <c r="I9454" t="inlineStr">
        <is>
          <t>entidad-dia</t>
        </is>
      </c>
    </row>
    <row r="9455">
      <c r="A9455" t="inlineStr">
        <is>
          <t>PRAGMA</t>
        </is>
      </c>
      <c r="B9455" t="inlineStr">
        <is>
          <t>M3</t>
        </is>
      </c>
      <c r="C9455" t="inlineStr">
        <is>
          <t>Cali</t>
        </is>
      </c>
      <c r="D9455" t="inlineStr">
        <is>
          <t>972</t>
        </is>
      </c>
      <c r="E9455" t="inlineStr">
        <is>
          <t>salidas</t>
        </is>
      </c>
      <c r="F9455" s="23" t="n">
        <v>46274</v>
      </c>
      <c r="G9455" s="24">
        <f>F9455-DATE(2026,8,31)</f>
        <v>9</v>
      </c>
      <c r="H9455" s="25" t="n">
        <v>0</v>
      </c>
      <c r="I9455" t="inlineStr">
        <is>
          <t>entidad-dia</t>
        </is>
      </c>
    </row>
    <row r="9456">
      <c r="A9456" t="inlineStr">
        <is>
          <t>PRAGMA</t>
        </is>
      </c>
      <c r="B9456" t="inlineStr">
        <is>
          <t>M3</t>
        </is>
      </c>
      <c r="C9456" t="inlineStr">
        <is>
          <t>Cali</t>
        </is>
      </c>
      <c r="D9456" t="inlineStr">
        <is>
          <t>972</t>
        </is>
      </c>
      <c r="E9456" t="inlineStr">
        <is>
          <t>entradas</t>
        </is>
      </c>
      <c r="F9456" s="23" t="n">
        <v>46275</v>
      </c>
      <c r="G9456" s="24">
        <f>F9456-DATE(2026,8,31)</f>
        <v>10</v>
      </c>
      <c r="H9456" s="25" t="n">
        <v>19019638</v>
      </c>
      <c r="I9456" t="inlineStr">
        <is>
          <t>entidad-dia</t>
        </is>
      </c>
    </row>
    <row r="9457">
      <c r="A9457" t="inlineStr">
        <is>
          <t>PRAGMA</t>
        </is>
      </c>
      <c r="B9457" t="inlineStr">
        <is>
          <t>M3</t>
        </is>
      </c>
      <c r="C9457" t="inlineStr">
        <is>
          <t>Cali</t>
        </is>
      </c>
      <c r="D9457" t="inlineStr">
        <is>
          <t>972</t>
        </is>
      </c>
      <c r="E9457" t="inlineStr">
        <is>
          <t>salidas</t>
        </is>
      </c>
      <c r="F9457" s="23" t="n">
        <v>46275</v>
      </c>
      <c r="G9457" s="24">
        <f>F9457-DATE(2026,8,31)</f>
        <v>10</v>
      </c>
      <c r="H9457" s="25" t="n">
        <v>0</v>
      </c>
      <c r="I9457" t="inlineStr">
        <is>
          <t>entidad-dia</t>
        </is>
      </c>
    </row>
    <row r="9458">
      <c r="A9458" t="inlineStr">
        <is>
          <t>PRAGMA</t>
        </is>
      </c>
      <c r="B9458" t="inlineStr">
        <is>
          <t>M3</t>
        </is>
      </c>
      <c r="C9458" t="inlineStr">
        <is>
          <t>Cali</t>
        </is>
      </c>
      <c r="D9458" t="inlineStr">
        <is>
          <t>972</t>
        </is>
      </c>
      <c r="E9458" t="inlineStr">
        <is>
          <t>entradas</t>
        </is>
      </c>
      <c r="F9458" s="23" t="n">
        <v>46276</v>
      </c>
      <c r="G9458" s="24">
        <f>F9458-DATE(2026,8,31)</f>
        <v>11</v>
      </c>
      <c r="H9458" s="25" t="n">
        <v>52216095</v>
      </c>
      <c r="I9458" t="inlineStr">
        <is>
          <t>entidad-dia</t>
        </is>
      </c>
    </row>
    <row r="9459">
      <c r="A9459" t="inlineStr">
        <is>
          <t>PRAGMA</t>
        </is>
      </c>
      <c r="B9459" t="inlineStr">
        <is>
          <t>M3</t>
        </is>
      </c>
      <c r="C9459" t="inlineStr">
        <is>
          <t>Cali</t>
        </is>
      </c>
      <c r="D9459" t="inlineStr">
        <is>
          <t>972</t>
        </is>
      </c>
      <c r="E9459" t="inlineStr">
        <is>
          <t>salidas</t>
        </is>
      </c>
      <c r="F9459" s="23" t="n">
        <v>46276</v>
      </c>
      <c r="G9459" s="24">
        <f>F9459-DATE(2026,8,31)</f>
        <v>11</v>
      </c>
      <c r="H9459" s="25" t="n">
        <v>16123482</v>
      </c>
      <c r="I9459" t="inlineStr">
        <is>
          <t>entidad-dia</t>
        </is>
      </c>
    </row>
    <row r="9460">
      <c r="A9460" t="inlineStr">
        <is>
          <t>PRAGMA</t>
        </is>
      </c>
      <c r="B9460" t="inlineStr">
        <is>
          <t>M3</t>
        </is>
      </c>
      <c r="C9460" t="inlineStr">
        <is>
          <t>Cali</t>
        </is>
      </c>
      <c r="D9460" t="inlineStr">
        <is>
          <t>972</t>
        </is>
      </c>
      <c r="E9460" t="inlineStr">
        <is>
          <t>entradas</t>
        </is>
      </c>
      <c r="F9460" s="23" t="n">
        <v>46277</v>
      </c>
      <c r="G9460" s="24">
        <f>F9460-DATE(2026,8,31)</f>
        <v>12</v>
      </c>
      <c r="H9460" s="25" t="n">
        <v>829721</v>
      </c>
      <c r="I9460" t="inlineStr">
        <is>
          <t>entidad-dia</t>
        </is>
      </c>
    </row>
    <row r="9461">
      <c r="A9461" t="inlineStr">
        <is>
          <t>PRAGMA</t>
        </is>
      </c>
      <c r="B9461" t="inlineStr">
        <is>
          <t>M3</t>
        </is>
      </c>
      <c r="C9461" t="inlineStr">
        <is>
          <t>Cali</t>
        </is>
      </c>
      <c r="D9461" t="inlineStr">
        <is>
          <t>972</t>
        </is>
      </c>
      <c r="E9461" t="inlineStr">
        <is>
          <t>salidas</t>
        </is>
      </c>
      <c r="F9461" s="23" t="n">
        <v>46277</v>
      </c>
      <c r="G9461" s="24">
        <f>F9461-DATE(2026,8,31)</f>
        <v>12</v>
      </c>
      <c r="H9461" s="25" t="n">
        <v>181880</v>
      </c>
      <c r="I9461" t="inlineStr">
        <is>
          <t>entidad-dia</t>
        </is>
      </c>
    </row>
    <row r="9462">
      <c r="A9462" t="inlineStr">
        <is>
          <t>PRAGMA</t>
        </is>
      </c>
      <c r="B9462" t="inlineStr">
        <is>
          <t>M3</t>
        </is>
      </c>
      <c r="C9462" t="inlineStr">
        <is>
          <t>Cali</t>
        </is>
      </c>
      <c r="D9462" t="inlineStr">
        <is>
          <t>972</t>
        </is>
      </c>
      <c r="E9462" t="inlineStr">
        <is>
          <t>entradas</t>
        </is>
      </c>
      <c r="F9462" s="23" t="n">
        <v>46278</v>
      </c>
      <c r="G9462" s="24">
        <f>F9462-DATE(2026,8,31)</f>
        <v>13</v>
      </c>
      <c r="H9462" s="25" t="n">
        <v>25299</v>
      </c>
      <c r="I9462" t="inlineStr">
        <is>
          <t>entidad-dia</t>
        </is>
      </c>
    </row>
    <row r="9463">
      <c r="A9463" t="inlineStr">
        <is>
          <t>PRAGMA</t>
        </is>
      </c>
      <c r="B9463" t="inlineStr">
        <is>
          <t>M3</t>
        </is>
      </c>
      <c r="C9463" t="inlineStr">
        <is>
          <t>Cali</t>
        </is>
      </c>
      <c r="D9463" t="inlineStr">
        <is>
          <t>972</t>
        </is>
      </c>
      <c r="E9463" t="inlineStr">
        <is>
          <t>salidas</t>
        </is>
      </c>
      <c r="F9463" s="23" t="n">
        <v>46278</v>
      </c>
      <c r="G9463" s="24">
        <f>F9463-DATE(2026,8,31)</f>
        <v>13</v>
      </c>
      <c r="H9463" s="25" t="n">
        <v>0</v>
      </c>
      <c r="I9463" t="inlineStr">
        <is>
          <t>entidad-dia</t>
        </is>
      </c>
    </row>
    <row r="9464">
      <c r="A9464" t="inlineStr">
        <is>
          <t>PRAGMA</t>
        </is>
      </c>
      <c r="B9464" t="inlineStr">
        <is>
          <t>M3</t>
        </is>
      </c>
      <c r="C9464" t="inlineStr">
        <is>
          <t>Cali</t>
        </is>
      </c>
      <c r="D9464" t="inlineStr">
        <is>
          <t>972</t>
        </is>
      </c>
      <c r="E9464" t="inlineStr">
        <is>
          <t>entradas</t>
        </is>
      </c>
      <c r="F9464" s="23" t="n">
        <v>46279</v>
      </c>
      <c r="G9464" s="24">
        <f>F9464-DATE(2026,8,31)</f>
        <v>14</v>
      </c>
      <c r="H9464" s="25" t="n">
        <v>35404738</v>
      </c>
      <c r="I9464" t="inlineStr">
        <is>
          <t>entidad-dia</t>
        </is>
      </c>
    </row>
    <row r="9465">
      <c r="A9465" t="inlineStr">
        <is>
          <t>PRAGMA</t>
        </is>
      </c>
      <c r="B9465" t="inlineStr">
        <is>
          <t>M3</t>
        </is>
      </c>
      <c r="C9465" t="inlineStr">
        <is>
          <t>Cali</t>
        </is>
      </c>
      <c r="D9465" t="inlineStr">
        <is>
          <t>972</t>
        </is>
      </c>
      <c r="E9465" t="inlineStr">
        <is>
          <t>salidas</t>
        </is>
      </c>
      <c r="F9465" s="23" t="n">
        <v>46279</v>
      </c>
      <c r="G9465" s="24">
        <f>F9465-DATE(2026,8,31)</f>
        <v>14</v>
      </c>
      <c r="H9465" s="25" t="n">
        <v>10649672</v>
      </c>
      <c r="I9465" t="inlineStr">
        <is>
          <t>entidad-dia</t>
        </is>
      </c>
    </row>
    <row r="9466">
      <c r="A9466" t="inlineStr">
        <is>
          <t>PRAGMA</t>
        </is>
      </c>
      <c r="B9466" t="inlineStr">
        <is>
          <t>M3</t>
        </is>
      </c>
      <c r="C9466" t="inlineStr">
        <is>
          <t>Cali</t>
        </is>
      </c>
      <c r="D9466" t="inlineStr">
        <is>
          <t>972</t>
        </is>
      </c>
      <c r="E9466" t="inlineStr">
        <is>
          <t>entradas</t>
        </is>
      </c>
      <c r="F9466" s="23" t="n">
        <v>46280</v>
      </c>
      <c r="G9466" s="24">
        <f>F9466-DATE(2026,8,31)</f>
        <v>15</v>
      </c>
      <c r="H9466" s="25" t="n">
        <v>40322032</v>
      </c>
      <c r="I9466" t="inlineStr">
        <is>
          <t>entidad-dia</t>
        </is>
      </c>
    </row>
    <row r="9467">
      <c r="A9467" t="inlineStr">
        <is>
          <t>PRAGMA</t>
        </is>
      </c>
      <c r="B9467" t="inlineStr">
        <is>
          <t>M3</t>
        </is>
      </c>
      <c r="C9467" t="inlineStr">
        <is>
          <t>Cali</t>
        </is>
      </c>
      <c r="D9467" t="inlineStr">
        <is>
          <t>972</t>
        </is>
      </c>
      <c r="E9467" t="inlineStr">
        <is>
          <t>salidas</t>
        </is>
      </c>
      <c r="F9467" s="23" t="n">
        <v>46280</v>
      </c>
      <c r="G9467" s="24">
        <f>F9467-DATE(2026,8,31)</f>
        <v>15</v>
      </c>
      <c r="H9467" s="25" t="n">
        <v>0</v>
      </c>
      <c r="I9467" t="inlineStr">
        <is>
          <t>entidad-dia</t>
        </is>
      </c>
    </row>
    <row r="9468">
      <c r="A9468" t="inlineStr">
        <is>
          <t>PRAGMA</t>
        </is>
      </c>
      <c r="B9468" t="inlineStr">
        <is>
          <t>M3</t>
        </is>
      </c>
      <c r="C9468" t="inlineStr">
        <is>
          <t>Pasto</t>
        </is>
      </c>
      <c r="D9468" t="inlineStr">
        <is>
          <t>977</t>
        </is>
      </c>
      <c r="E9468" t="inlineStr">
        <is>
          <t>entradas</t>
        </is>
      </c>
      <c r="F9468" s="23" t="n">
        <v>46266</v>
      </c>
      <c r="G9468" s="24">
        <f>F9468-DATE(2026,8,31)</f>
        <v>1</v>
      </c>
      <c r="H9468" s="25" t="n">
        <v>2779900786</v>
      </c>
      <c r="I9468" t="inlineStr">
        <is>
          <t>entidad-dia</t>
        </is>
      </c>
    </row>
    <row r="9469">
      <c r="A9469" t="inlineStr">
        <is>
          <t>PRAGMA</t>
        </is>
      </c>
      <c r="B9469" t="inlineStr">
        <is>
          <t>M3</t>
        </is>
      </c>
      <c r="C9469" t="inlineStr">
        <is>
          <t>Pasto</t>
        </is>
      </c>
      <c r="D9469" t="inlineStr">
        <is>
          <t>977</t>
        </is>
      </c>
      <c r="E9469" t="inlineStr">
        <is>
          <t>salidas</t>
        </is>
      </c>
      <c r="F9469" s="23" t="n">
        <v>46266</v>
      </c>
      <c r="G9469" s="24">
        <f>F9469-DATE(2026,8,31)</f>
        <v>1</v>
      </c>
      <c r="H9469" s="25" t="n">
        <v>1856020095</v>
      </c>
      <c r="I9469" t="inlineStr">
        <is>
          <t>entidad-dia</t>
        </is>
      </c>
    </row>
    <row r="9470">
      <c r="A9470" t="inlineStr">
        <is>
          <t>PRAGMA</t>
        </is>
      </c>
      <c r="B9470" t="inlineStr">
        <is>
          <t>M3</t>
        </is>
      </c>
      <c r="C9470" t="inlineStr">
        <is>
          <t>Pasto</t>
        </is>
      </c>
      <c r="D9470" t="inlineStr">
        <is>
          <t>977</t>
        </is>
      </c>
      <c r="E9470" t="inlineStr">
        <is>
          <t>entradas</t>
        </is>
      </c>
      <c r="F9470" s="23" t="n">
        <v>46267</v>
      </c>
      <c r="G9470" s="24">
        <f>F9470-DATE(2026,8,31)</f>
        <v>2</v>
      </c>
      <c r="H9470" s="25" t="n">
        <v>2900975208</v>
      </c>
      <c r="I9470" t="inlineStr">
        <is>
          <t>entidad-dia</t>
        </is>
      </c>
    </row>
    <row r="9471">
      <c r="A9471" t="inlineStr">
        <is>
          <t>PRAGMA</t>
        </is>
      </c>
      <c r="B9471" t="inlineStr">
        <is>
          <t>M3</t>
        </is>
      </c>
      <c r="C9471" t="inlineStr">
        <is>
          <t>Pasto</t>
        </is>
      </c>
      <c r="D9471" t="inlineStr">
        <is>
          <t>977</t>
        </is>
      </c>
      <c r="E9471" t="inlineStr">
        <is>
          <t>salidas</t>
        </is>
      </c>
      <c r="F9471" s="23" t="n">
        <v>46267</v>
      </c>
      <c r="G9471" s="24">
        <f>F9471-DATE(2026,8,31)</f>
        <v>2</v>
      </c>
      <c r="H9471" s="25" t="n">
        <v>2003291153</v>
      </c>
      <c r="I9471" t="inlineStr">
        <is>
          <t>entidad-dia</t>
        </is>
      </c>
    </row>
    <row r="9472">
      <c r="A9472" t="inlineStr">
        <is>
          <t>PRAGMA</t>
        </is>
      </c>
      <c r="B9472" t="inlineStr">
        <is>
          <t>M3</t>
        </is>
      </c>
      <c r="C9472" t="inlineStr">
        <is>
          <t>Pasto</t>
        </is>
      </c>
      <c r="D9472" t="inlineStr">
        <is>
          <t>977</t>
        </is>
      </c>
      <c r="E9472" t="inlineStr">
        <is>
          <t>entradas</t>
        </is>
      </c>
      <c r="F9472" s="23" t="n">
        <v>46268</v>
      </c>
      <c r="G9472" s="24">
        <f>F9472-DATE(2026,8,31)</f>
        <v>3</v>
      </c>
      <c r="H9472" s="25" t="n">
        <v>2528457003</v>
      </c>
      <c r="I9472" t="inlineStr">
        <is>
          <t>entidad-dia</t>
        </is>
      </c>
    </row>
    <row r="9473">
      <c r="A9473" t="inlineStr">
        <is>
          <t>PRAGMA</t>
        </is>
      </c>
      <c r="B9473" t="inlineStr">
        <is>
          <t>M3</t>
        </is>
      </c>
      <c r="C9473" t="inlineStr">
        <is>
          <t>Pasto</t>
        </is>
      </c>
      <c r="D9473" t="inlineStr">
        <is>
          <t>977</t>
        </is>
      </c>
      <c r="E9473" t="inlineStr">
        <is>
          <t>salidas</t>
        </is>
      </c>
      <c r="F9473" s="23" t="n">
        <v>46268</v>
      </c>
      <c r="G9473" s="24">
        <f>F9473-DATE(2026,8,31)</f>
        <v>3</v>
      </c>
      <c r="H9473" s="25" t="n">
        <v>1418078742</v>
      </c>
      <c r="I9473" t="inlineStr">
        <is>
          <t>entidad-dia</t>
        </is>
      </c>
    </row>
    <row r="9474">
      <c r="A9474" t="inlineStr">
        <is>
          <t>PRAGMA</t>
        </is>
      </c>
      <c r="B9474" t="inlineStr">
        <is>
          <t>M3</t>
        </is>
      </c>
      <c r="C9474" t="inlineStr">
        <is>
          <t>Pasto</t>
        </is>
      </c>
      <c r="D9474" t="inlineStr">
        <is>
          <t>977</t>
        </is>
      </c>
      <c r="E9474" t="inlineStr">
        <is>
          <t>entradas</t>
        </is>
      </c>
      <c r="F9474" s="23" t="n">
        <v>46269</v>
      </c>
      <c r="G9474" s="24">
        <f>F9474-DATE(2026,8,31)</f>
        <v>4</v>
      </c>
      <c r="H9474" s="25" t="n">
        <v>2843638528</v>
      </c>
      <c r="I9474" t="inlineStr">
        <is>
          <t>entidad-dia</t>
        </is>
      </c>
    </row>
    <row r="9475">
      <c r="A9475" t="inlineStr">
        <is>
          <t>PRAGMA</t>
        </is>
      </c>
      <c r="B9475" t="inlineStr">
        <is>
          <t>M3</t>
        </is>
      </c>
      <c r="C9475" t="inlineStr">
        <is>
          <t>Pasto</t>
        </is>
      </c>
      <c r="D9475" t="inlineStr">
        <is>
          <t>977</t>
        </is>
      </c>
      <c r="E9475" t="inlineStr">
        <is>
          <t>salidas</t>
        </is>
      </c>
      <c r="F9475" s="23" t="n">
        <v>46269</v>
      </c>
      <c r="G9475" s="24">
        <f>F9475-DATE(2026,8,31)</f>
        <v>4</v>
      </c>
      <c r="H9475" s="25" t="n">
        <v>2195103943</v>
      </c>
      <c r="I9475" t="inlineStr">
        <is>
          <t>entidad-dia</t>
        </is>
      </c>
    </row>
    <row r="9476">
      <c r="A9476" t="inlineStr">
        <is>
          <t>PRAGMA</t>
        </is>
      </c>
      <c r="B9476" t="inlineStr">
        <is>
          <t>M3</t>
        </is>
      </c>
      <c r="C9476" t="inlineStr">
        <is>
          <t>Pasto</t>
        </is>
      </c>
      <c r="D9476" t="inlineStr">
        <is>
          <t>977</t>
        </is>
      </c>
      <c r="E9476" t="inlineStr">
        <is>
          <t>entradas</t>
        </is>
      </c>
      <c r="F9476" s="23" t="n">
        <v>46270</v>
      </c>
      <c r="G9476" s="24">
        <f>F9476-DATE(2026,8,31)</f>
        <v>5</v>
      </c>
      <c r="H9476" s="25" t="n">
        <v>1794184638</v>
      </c>
      <c r="I9476" t="inlineStr">
        <is>
          <t>entidad-dia</t>
        </is>
      </c>
    </row>
    <row r="9477">
      <c r="A9477" t="inlineStr">
        <is>
          <t>PRAGMA</t>
        </is>
      </c>
      <c r="B9477" t="inlineStr">
        <is>
          <t>M3</t>
        </is>
      </c>
      <c r="C9477" t="inlineStr">
        <is>
          <t>Pasto</t>
        </is>
      </c>
      <c r="D9477" t="inlineStr">
        <is>
          <t>977</t>
        </is>
      </c>
      <c r="E9477" t="inlineStr">
        <is>
          <t>salidas</t>
        </is>
      </c>
      <c r="F9477" s="23" t="n">
        <v>46270</v>
      </c>
      <c r="G9477" s="24">
        <f>F9477-DATE(2026,8,31)</f>
        <v>5</v>
      </c>
      <c r="H9477" s="25" t="n">
        <v>1452222762</v>
      </c>
      <c r="I9477" t="inlineStr">
        <is>
          <t>entidad-dia</t>
        </is>
      </c>
    </row>
    <row r="9478">
      <c r="A9478" t="inlineStr">
        <is>
          <t>PRAGMA</t>
        </is>
      </c>
      <c r="B9478" t="inlineStr">
        <is>
          <t>M3</t>
        </is>
      </c>
      <c r="C9478" t="inlineStr">
        <is>
          <t>Pasto</t>
        </is>
      </c>
      <c r="D9478" t="inlineStr">
        <is>
          <t>977</t>
        </is>
      </c>
      <c r="E9478" t="inlineStr">
        <is>
          <t>entradas</t>
        </is>
      </c>
      <c r="F9478" s="23" t="n">
        <v>46271</v>
      </c>
      <c r="G9478" s="24">
        <f>F9478-DATE(2026,8,31)</f>
        <v>6</v>
      </c>
      <c r="H9478" s="25" t="n">
        <v>4556772</v>
      </c>
      <c r="I9478" t="inlineStr">
        <is>
          <t>entidad-dia</t>
        </is>
      </c>
    </row>
    <row r="9479">
      <c r="A9479" t="inlineStr">
        <is>
          <t>PRAGMA</t>
        </is>
      </c>
      <c r="B9479" t="inlineStr">
        <is>
          <t>M3</t>
        </is>
      </c>
      <c r="C9479" t="inlineStr">
        <is>
          <t>Pasto</t>
        </is>
      </c>
      <c r="D9479" t="inlineStr">
        <is>
          <t>977</t>
        </is>
      </c>
      <c r="E9479" t="inlineStr">
        <is>
          <t>salidas</t>
        </is>
      </c>
      <c r="F9479" s="23" t="n">
        <v>46271</v>
      </c>
      <c r="G9479" s="24">
        <f>F9479-DATE(2026,8,31)</f>
        <v>6</v>
      </c>
      <c r="H9479" s="25" t="n">
        <v>2062872</v>
      </c>
      <c r="I9479" t="inlineStr">
        <is>
          <t>entidad-dia</t>
        </is>
      </c>
    </row>
    <row r="9480">
      <c r="A9480" t="inlineStr">
        <is>
          <t>PRAGMA</t>
        </is>
      </c>
      <c r="B9480" t="inlineStr">
        <is>
          <t>M3</t>
        </is>
      </c>
      <c r="C9480" t="inlineStr">
        <is>
          <t>Pasto</t>
        </is>
      </c>
      <c r="D9480" t="inlineStr">
        <is>
          <t>977</t>
        </is>
      </c>
      <c r="E9480" t="inlineStr">
        <is>
          <t>entradas</t>
        </is>
      </c>
      <c r="F9480" s="23" t="n">
        <v>46272</v>
      </c>
      <c r="G9480" s="24">
        <f>F9480-DATE(2026,8,31)</f>
        <v>7</v>
      </c>
      <c r="H9480" s="25" t="n">
        <v>2924318493</v>
      </c>
      <c r="I9480" t="inlineStr">
        <is>
          <t>entidad-dia</t>
        </is>
      </c>
    </row>
    <row r="9481">
      <c r="A9481" t="inlineStr">
        <is>
          <t>PRAGMA</t>
        </is>
      </c>
      <c r="B9481" t="inlineStr">
        <is>
          <t>M3</t>
        </is>
      </c>
      <c r="C9481" t="inlineStr">
        <is>
          <t>Pasto</t>
        </is>
      </c>
      <c r="D9481" t="inlineStr">
        <is>
          <t>977</t>
        </is>
      </c>
      <c r="E9481" t="inlineStr">
        <is>
          <t>salidas</t>
        </is>
      </c>
      <c r="F9481" s="23" t="n">
        <v>46272</v>
      </c>
      <c r="G9481" s="24">
        <f>F9481-DATE(2026,8,31)</f>
        <v>7</v>
      </c>
      <c r="H9481" s="25" t="n">
        <v>1768860091</v>
      </c>
      <c r="I9481" t="inlineStr">
        <is>
          <t>entidad-dia</t>
        </is>
      </c>
    </row>
    <row r="9482">
      <c r="A9482" t="inlineStr">
        <is>
          <t>PRAGMA</t>
        </is>
      </c>
      <c r="B9482" t="inlineStr">
        <is>
          <t>M3</t>
        </is>
      </c>
      <c r="C9482" t="inlineStr">
        <is>
          <t>Pasto</t>
        </is>
      </c>
      <c r="D9482" t="inlineStr">
        <is>
          <t>977</t>
        </is>
      </c>
      <c r="E9482" t="inlineStr">
        <is>
          <t>entradas</t>
        </is>
      </c>
      <c r="F9482" s="23" t="n">
        <v>46273</v>
      </c>
      <c r="G9482" s="24">
        <f>F9482-DATE(2026,8,31)</f>
        <v>8</v>
      </c>
      <c r="H9482" s="25" t="n">
        <v>2909383120</v>
      </c>
      <c r="I9482" t="inlineStr">
        <is>
          <t>entidad-dia</t>
        </is>
      </c>
    </row>
    <row r="9483">
      <c r="A9483" t="inlineStr">
        <is>
          <t>PRAGMA</t>
        </is>
      </c>
      <c r="B9483" t="inlineStr">
        <is>
          <t>M3</t>
        </is>
      </c>
      <c r="C9483" t="inlineStr">
        <is>
          <t>Pasto</t>
        </is>
      </c>
      <c r="D9483" t="inlineStr">
        <is>
          <t>977</t>
        </is>
      </c>
      <c r="E9483" t="inlineStr">
        <is>
          <t>salidas</t>
        </is>
      </c>
      <c r="F9483" s="23" t="n">
        <v>46273</v>
      </c>
      <c r="G9483" s="24">
        <f>F9483-DATE(2026,8,31)</f>
        <v>8</v>
      </c>
      <c r="H9483" s="25" t="n">
        <v>1763743068</v>
      </c>
      <c r="I9483" t="inlineStr">
        <is>
          <t>entidad-dia</t>
        </is>
      </c>
    </row>
    <row r="9484">
      <c r="A9484" t="inlineStr">
        <is>
          <t>PRAGMA</t>
        </is>
      </c>
      <c r="B9484" t="inlineStr">
        <is>
          <t>M3</t>
        </is>
      </c>
      <c r="C9484" t="inlineStr">
        <is>
          <t>Pasto</t>
        </is>
      </c>
      <c r="D9484" t="inlineStr">
        <is>
          <t>977</t>
        </is>
      </c>
      <c r="E9484" t="inlineStr">
        <is>
          <t>entradas</t>
        </is>
      </c>
      <c r="F9484" s="23" t="n">
        <v>46274</v>
      </c>
      <c r="G9484" s="24">
        <f>F9484-DATE(2026,8,31)</f>
        <v>9</v>
      </c>
      <c r="H9484" s="25" t="n">
        <v>2898690673</v>
      </c>
      <c r="I9484" t="inlineStr">
        <is>
          <t>entidad-dia</t>
        </is>
      </c>
    </row>
    <row r="9485">
      <c r="A9485" t="inlineStr">
        <is>
          <t>PRAGMA</t>
        </is>
      </c>
      <c r="B9485" t="inlineStr">
        <is>
          <t>M3</t>
        </is>
      </c>
      <c r="C9485" t="inlineStr">
        <is>
          <t>Pasto</t>
        </is>
      </c>
      <c r="D9485" t="inlineStr">
        <is>
          <t>977</t>
        </is>
      </c>
      <c r="E9485" t="inlineStr">
        <is>
          <t>salidas</t>
        </is>
      </c>
      <c r="F9485" s="23" t="n">
        <v>46274</v>
      </c>
      <c r="G9485" s="24">
        <f>F9485-DATE(2026,8,31)</f>
        <v>9</v>
      </c>
      <c r="H9485" s="25" t="n">
        <v>1878212562</v>
      </c>
      <c r="I9485" t="inlineStr">
        <is>
          <t>entidad-dia</t>
        </is>
      </c>
    </row>
    <row r="9486">
      <c r="A9486" t="inlineStr">
        <is>
          <t>PRAGMA</t>
        </is>
      </c>
      <c r="B9486" t="inlineStr">
        <is>
          <t>M3</t>
        </is>
      </c>
      <c r="C9486" t="inlineStr">
        <is>
          <t>Pasto</t>
        </is>
      </c>
      <c r="D9486" t="inlineStr">
        <is>
          <t>977</t>
        </is>
      </c>
      <c r="E9486" t="inlineStr">
        <is>
          <t>entradas</t>
        </is>
      </c>
      <c r="F9486" s="23" t="n">
        <v>46275</v>
      </c>
      <c r="G9486" s="24">
        <f>F9486-DATE(2026,8,31)</f>
        <v>10</v>
      </c>
      <c r="H9486" s="25" t="n">
        <v>2515337316</v>
      </c>
      <c r="I9486" t="inlineStr">
        <is>
          <t>entidad-dia</t>
        </is>
      </c>
    </row>
    <row r="9487">
      <c r="A9487" t="inlineStr">
        <is>
          <t>PRAGMA</t>
        </is>
      </c>
      <c r="B9487" t="inlineStr">
        <is>
          <t>M3</t>
        </is>
      </c>
      <c r="C9487" t="inlineStr">
        <is>
          <t>Pasto</t>
        </is>
      </c>
      <c r="D9487" t="inlineStr">
        <is>
          <t>977</t>
        </is>
      </c>
      <c r="E9487" t="inlineStr">
        <is>
          <t>salidas</t>
        </is>
      </c>
      <c r="F9487" s="23" t="n">
        <v>46275</v>
      </c>
      <c r="G9487" s="24">
        <f>F9487-DATE(2026,8,31)</f>
        <v>10</v>
      </c>
      <c r="H9487" s="25" t="n">
        <v>1751431407</v>
      </c>
      <c r="I9487" t="inlineStr">
        <is>
          <t>entidad-dia</t>
        </is>
      </c>
    </row>
    <row r="9488">
      <c r="A9488" t="inlineStr">
        <is>
          <t>PRAGMA</t>
        </is>
      </c>
      <c r="B9488" t="inlineStr">
        <is>
          <t>M3</t>
        </is>
      </c>
      <c r="C9488" t="inlineStr">
        <is>
          <t>Pasto</t>
        </is>
      </c>
      <c r="D9488" t="inlineStr">
        <is>
          <t>977</t>
        </is>
      </c>
      <c r="E9488" t="inlineStr">
        <is>
          <t>entradas</t>
        </is>
      </c>
      <c r="F9488" s="23" t="n">
        <v>46276</v>
      </c>
      <c r="G9488" s="24">
        <f>F9488-DATE(2026,8,31)</f>
        <v>11</v>
      </c>
      <c r="H9488" s="25" t="n">
        <v>2961032649</v>
      </c>
      <c r="I9488" t="inlineStr">
        <is>
          <t>entidad-dia</t>
        </is>
      </c>
    </row>
    <row r="9489">
      <c r="A9489" t="inlineStr">
        <is>
          <t>PRAGMA</t>
        </is>
      </c>
      <c r="B9489" t="inlineStr">
        <is>
          <t>M3</t>
        </is>
      </c>
      <c r="C9489" t="inlineStr">
        <is>
          <t>Pasto</t>
        </is>
      </c>
      <c r="D9489" t="inlineStr">
        <is>
          <t>977</t>
        </is>
      </c>
      <c r="E9489" t="inlineStr">
        <is>
          <t>salidas</t>
        </is>
      </c>
      <c r="F9489" s="23" t="n">
        <v>46276</v>
      </c>
      <c r="G9489" s="24">
        <f>F9489-DATE(2026,8,31)</f>
        <v>11</v>
      </c>
      <c r="H9489" s="25" t="n">
        <v>1977845246</v>
      </c>
      <c r="I9489" t="inlineStr">
        <is>
          <t>entidad-dia</t>
        </is>
      </c>
    </row>
    <row r="9490">
      <c r="A9490" t="inlineStr">
        <is>
          <t>PRAGMA</t>
        </is>
      </c>
      <c r="B9490" t="inlineStr">
        <is>
          <t>M3</t>
        </is>
      </c>
      <c r="C9490" t="inlineStr">
        <is>
          <t>Pasto</t>
        </is>
      </c>
      <c r="D9490" t="inlineStr">
        <is>
          <t>977</t>
        </is>
      </c>
      <c r="E9490" t="inlineStr">
        <is>
          <t>entradas</t>
        </is>
      </c>
      <c r="F9490" s="23" t="n">
        <v>46277</v>
      </c>
      <c r="G9490" s="24">
        <f>F9490-DATE(2026,8,31)</f>
        <v>12</v>
      </c>
      <c r="H9490" s="25" t="n">
        <v>1701267814</v>
      </c>
      <c r="I9490" t="inlineStr">
        <is>
          <t>entidad-dia</t>
        </is>
      </c>
    </row>
    <row r="9491">
      <c r="A9491" t="inlineStr">
        <is>
          <t>PRAGMA</t>
        </is>
      </c>
      <c r="B9491" t="inlineStr">
        <is>
          <t>M3</t>
        </is>
      </c>
      <c r="C9491" t="inlineStr">
        <is>
          <t>Pasto</t>
        </is>
      </c>
      <c r="D9491" t="inlineStr">
        <is>
          <t>977</t>
        </is>
      </c>
      <c r="E9491" t="inlineStr">
        <is>
          <t>salidas</t>
        </is>
      </c>
      <c r="F9491" s="23" t="n">
        <v>46277</v>
      </c>
      <c r="G9491" s="24">
        <f>F9491-DATE(2026,8,31)</f>
        <v>12</v>
      </c>
      <c r="H9491" s="25" t="n">
        <v>1376587650</v>
      </c>
      <c r="I9491" t="inlineStr">
        <is>
          <t>entidad-dia</t>
        </is>
      </c>
    </row>
    <row r="9492">
      <c r="A9492" t="inlineStr">
        <is>
          <t>PRAGMA</t>
        </is>
      </c>
      <c r="B9492" t="inlineStr">
        <is>
          <t>M3</t>
        </is>
      </c>
      <c r="C9492" t="inlineStr">
        <is>
          <t>Pasto</t>
        </is>
      </c>
      <c r="D9492" t="inlineStr">
        <is>
          <t>977</t>
        </is>
      </c>
      <c r="E9492" t="inlineStr">
        <is>
          <t>entradas</t>
        </is>
      </c>
      <c r="F9492" s="23" t="n">
        <v>46278</v>
      </c>
      <c r="G9492" s="24">
        <f>F9492-DATE(2026,8,31)</f>
        <v>13</v>
      </c>
      <c r="H9492" s="25" t="n">
        <v>12575631</v>
      </c>
      <c r="I9492" t="inlineStr">
        <is>
          <t>entidad-dia</t>
        </is>
      </c>
    </row>
    <row r="9493">
      <c r="A9493" t="inlineStr">
        <is>
          <t>PRAGMA</t>
        </is>
      </c>
      <c r="B9493" t="inlineStr">
        <is>
          <t>M3</t>
        </is>
      </c>
      <c r="C9493" t="inlineStr">
        <is>
          <t>Pasto</t>
        </is>
      </c>
      <c r="D9493" t="inlineStr">
        <is>
          <t>977</t>
        </is>
      </c>
      <c r="E9493" t="inlineStr">
        <is>
          <t>salidas</t>
        </is>
      </c>
      <c r="F9493" s="23" t="n">
        <v>46278</v>
      </c>
      <c r="G9493" s="24">
        <f>F9493-DATE(2026,8,31)</f>
        <v>13</v>
      </c>
      <c r="H9493" s="25" t="n">
        <v>0</v>
      </c>
      <c r="I9493" t="inlineStr">
        <is>
          <t>entidad-dia</t>
        </is>
      </c>
    </row>
    <row r="9494">
      <c r="A9494" t="inlineStr">
        <is>
          <t>PRAGMA</t>
        </is>
      </c>
      <c r="B9494" t="inlineStr">
        <is>
          <t>M3</t>
        </is>
      </c>
      <c r="C9494" t="inlineStr">
        <is>
          <t>Pasto</t>
        </is>
      </c>
      <c r="D9494" t="inlineStr">
        <is>
          <t>977</t>
        </is>
      </c>
      <c r="E9494" t="inlineStr">
        <is>
          <t>entradas</t>
        </is>
      </c>
      <c r="F9494" s="23" t="n">
        <v>46279</v>
      </c>
      <c r="G9494" s="24">
        <f>F9494-DATE(2026,8,31)</f>
        <v>14</v>
      </c>
      <c r="H9494" s="25" t="n">
        <v>2920912805</v>
      </c>
      <c r="I9494" t="inlineStr">
        <is>
          <t>entidad-dia</t>
        </is>
      </c>
    </row>
    <row r="9495">
      <c r="A9495" t="inlineStr">
        <is>
          <t>PRAGMA</t>
        </is>
      </c>
      <c r="B9495" t="inlineStr">
        <is>
          <t>M3</t>
        </is>
      </c>
      <c r="C9495" t="inlineStr">
        <is>
          <t>Pasto</t>
        </is>
      </c>
      <c r="D9495" t="inlineStr">
        <is>
          <t>977</t>
        </is>
      </c>
      <c r="E9495" t="inlineStr">
        <is>
          <t>salidas</t>
        </is>
      </c>
      <c r="F9495" s="23" t="n">
        <v>46279</v>
      </c>
      <c r="G9495" s="24">
        <f>F9495-DATE(2026,8,31)</f>
        <v>14</v>
      </c>
      <c r="H9495" s="25" t="n">
        <v>1773508297</v>
      </c>
      <c r="I9495" t="inlineStr">
        <is>
          <t>entidad-dia</t>
        </is>
      </c>
    </row>
    <row r="9496">
      <c r="A9496" t="inlineStr">
        <is>
          <t>PRAGMA</t>
        </is>
      </c>
      <c r="B9496" t="inlineStr">
        <is>
          <t>M3</t>
        </is>
      </c>
      <c r="C9496" t="inlineStr">
        <is>
          <t>Pasto</t>
        </is>
      </c>
      <c r="D9496" t="inlineStr">
        <is>
          <t>977</t>
        </is>
      </c>
      <c r="E9496" t="inlineStr">
        <is>
          <t>entradas</t>
        </is>
      </c>
      <c r="F9496" s="23" t="n">
        <v>46280</v>
      </c>
      <c r="G9496" s="24">
        <f>F9496-DATE(2026,8,31)</f>
        <v>15</v>
      </c>
      <c r="H9496" s="25" t="n">
        <v>2842747583</v>
      </c>
      <c r="I9496" t="inlineStr">
        <is>
          <t>entidad-dia</t>
        </is>
      </c>
    </row>
    <row r="9497">
      <c r="A9497" t="inlineStr">
        <is>
          <t>PRAGMA</t>
        </is>
      </c>
      <c r="B9497" t="inlineStr">
        <is>
          <t>M3</t>
        </is>
      </c>
      <c r="C9497" t="inlineStr">
        <is>
          <t>Pasto</t>
        </is>
      </c>
      <c r="D9497" t="inlineStr">
        <is>
          <t>977</t>
        </is>
      </c>
      <c r="E9497" t="inlineStr">
        <is>
          <t>salidas</t>
        </is>
      </c>
      <c r="F9497" s="23" t="n">
        <v>46280</v>
      </c>
      <c r="G9497" s="24">
        <f>F9497-DATE(2026,8,31)</f>
        <v>15</v>
      </c>
      <c r="H9497" s="25" t="n">
        <v>1739209915</v>
      </c>
      <c r="I9497" t="inlineStr">
        <is>
          <t>entidad-dia</t>
        </is>
      </c>
    </row>
    <row r="9498">
      <c r="A9498" t="inlineStr">
        <is>
          <t>PRAGMA</t>
        </is>
      </c>
      <c r="B9498" t="inlineStr">
        <is>
          <t>M3</t>
        </is>
      </c>
      <c r="C9498" t="inlineStr">
        <is>
          <t>Cali</t>
        </is>
      </c>
      <c r="D9498" t="inlineStr">
        <is>
          <t>997</t>
        </is>
      </c>
      <c r="E9498" t="inlineStr">
        <is>
          <t>entradas</t>
        </is>
      </c>
      <c r="F9498" s="23" t="n">
        <v>46266</v>
      </c>
      <c r="G9498" s="24">
        <f>F9498-DATE(2026,8,31)</f>
        <v>1</v>
      </c>
      <c r="H9498" s="25" t="n">
        <v>118921198</v>
      </c>
      <c r="I9498" t="inlineStr">
        <is>
          <t>entidad-dia</t>
        </is>
      </c>
    </row>
    <row r="9499">
      <c r="A9499" t="inlineStr">
        <is>
          <t>PRAGMA</t>
        </is>
      </c>
      <c r="B9499" t="inlineStr">
        <is>
          <t>M3</t>
        </is>
      </c>
      <c r="C9499" t="inlineStr">
        <is>
          <t>Cali</t>
        </is>
      </c>
      <c r="D9499" t="inlineStr">
        <is>
          <t>997</t>
        </is>
      </c>
      <c r="E9499" t="inlineStr">
        <is>
          <t>salidas</t>
        </is>
      </c>
      <c r="F9499" s="23" t="n">
        <v>46266</v>
      </c>
      <c r="G9499" s="24">
        <f>F9499-DATE(2026,8,31)</f>
        <v>1</v>
      </c>
      <c r="H9499" s="25" t="n">
        <v>89530325</v>
      </c>
      <c r="I9499" t="inlineStr">
        <is>
          <t>entidad-dia</t>
        </is>
      </c>
    </row>
    <row r="9500">
      <c r="A9500" t="inlineStr">
        <is>
          <t>PRAGMA</t>
        </is>
      </c>
      <c r="B9500" t="inlineStr">
        <is>
          <t>M3</t>
        </is>
      </c>
      <c r="C9500" t="inlineStr">
        <is>
          <t>Cali</t>
        </is>
      </c>
      <c r="D9500" t="inlineStr">
        <is>
          <t>997</t>
        </is>
      </c>
      <c r="E9500" t="inlineStr">
        <is>
          <t>entradas</t>
        </is>
      </c>
      <c r="F9500" s="23" t="n">
        <v>46267</v>
      </c>
      <c r="G9500" s="24">
        <f>F9500-DATE(2026,8,31)</f>
        <v>2</v>
      </c>
      <c r="H9500" s="25" t="n">
        <v>96766210</v>
      </c>
      <c r="I9500" t="inlineStr">
        <is>
          <t>entidad-dia</t>
        </is>
      </c>
    </row>
    <row r="9501">
      <c r="A9501" t="inlineStr">
        <is>
          <t>PRAGMA</t>
        </is>
      </c>
      <c r="B9501" t="inlineStr">
        <is>
          <t>M3</t>
        </is>
      </c>
      <c r="C9501" t="inlineStr">
        <is>
          <t>Cali</t>
        </is>
      </c>
      <c r="D9501" t="inlineStr">
        <is>
          <t>997</t>
        </is>
      </c>
      <c r="E9501" t="inlineStr">
        <is>
          <t>salidas</t>
        </is>
      </c>
      <c r="F9501" s="23" t="n">
        <v>46267</v>
      </c>
      <c r="G9501" s="24">
        <f>F9501-DATE(2026,8,31)</f>
        <v>2</v>
      </c>
      <c r="H9501" s="25" t="n">
        <v>94554257</v>
      </c>
      <c r="I9501" t="inlineStr">
        <is>
          <t>entidad-dia</t>
        </is>
      </c>
    </row>
    <row r="9502">
      <c r="A9502" t="inlineStr">
        <is>
          <t>PRAGMA</t>
        </is>
      </c>
      <c r="B9502" t="inlineStr">
        <is>
          <t>M3</t>
        </is>
      </c>
      <c r="C9502" t="inlineStr">
        <is>
          <t>Cali</t>
        </is>
      </c>
      <c r="D9502" t="inlineStr">
        <is>
          <t>997</t>
        </is>
      </c>
      <c r="E9502" t="inlineStr">
        <is>
          <t>entradas</t>
        </is>
      </c>
      <c r="F9502" s="23" t="n">
        <v>46268</v>
      </c>
      <c r="G9502" s="24">
        <f>F9502-DATE(2026,8,31)</f>
        <v>3</v>
      </c>
      <c r="H9502" s="25" t="n">
        <v>79220824</v>
      </c>
      <c r="I9502" t="inlineStr">
        <is>
          <t>entidad-dia</t>
        </is>
      </c>
    </row>
    <row r="9503">
      <c r="A9503" t="inlineStr">
        <is>
          <t>PRAGMA</t>
        </is>
      </c>
      <c r="B9503" t="inlineStr">
        <is>
          <t>M3</t>
        </is>
      </c>
      <c r="C9503" t="inlineStr">
        <is>
          <t>Cali</t>
        </is>
      </c>
      <c r="D9503" t="inlineStr">
        <is>
          <t>997</t>
        </is>
      </c>
      <c r="E9503" t="inlineStr">
        <is>
          <t>salidas</t>
        </is>
      </c>
      <c r="F9503" s="23" t="n">
        <v>46268</v>
      </c>
      <c r="G9503" s="24">
        <f>F9503-DATE(2026,8,31)</f>
        <v>3</v>
      </c>
      <c r="H9503" s="25" t="n">
        <v>63158661</v>
      </c>
      <c r="I9503" t="inlineStr">
        <is>
          <t>entidad-dia</t>
        </is>
      </c>
    </row>
    <row r="9504">
      <c r="A9504" t="inlineStr">
        <is>
          <t>PRAGMA</t>
        </is>
      </c>
      <c r="B9504" t="inlineStr">
        <is>
          <t>M3</t>
        </is>
      </c>
      <c r="C9504" t="inlineStr">
        <is>
          <t>Cali</t>
        </is>
      </c>
      <c r="D9504" t="inlineStr">
        <is>
          <t>997</t>
        </is>
      </c>
      <c r="E9504" t="inlineStr">
        <is>
          <t>entradas</t>
        </is>
      </c>
      <c r="F9504" s="23" t="n">
        <v>46269</v>
      </c>
      <c r="G9504" s="24">
        <f>F9504-DATE(2026,8,31)</f>
        <v>4</v>
      </c>
      <c r="H9504" s="25" t="n">
        <v>101283872</v>
      </c>
      <c r="I9504" t="inlineStr">
        <is>
          <t>entidad-dia</t>
        </is>
      </c>
    </row>
    <row r="9505">
      <c r="A9505" t="inlineStr">
        <is>
          <t>PRAGMA</t>
        </is>
      </c>
      <c r="B9505" t="inlineStr">
        <is>
          <t>M3</t>
        </is>
      </c>
      <c r="C9505" t="inlineStr">
        <is>
          <t>Cali</t>
        </is>
      </c>
      <c r="D9505" t="inlineStr">
        <is>
          <t>997</t>
        </is>
      </c>
      <c r="E9505" t="inlineStr">
        <is>
          <t>salidas</t>
        </is>
      </c>
      <c r="F9505" s="23" t="n">
        <v>46269</v>
      </c>
      <c r="G9505" s="24">
        <f>F9505-DATE(2026,8,31)</f>
        <v>4</v>
      </c>
      <c r="H9505" s="25" t="n">
        <v>91710339</v>
      </c>
      <c r="I9505" t="inlineStr">
        <is>
          <t>entidad-dia</t>
        </is>
      </c>
    </row>
    <row r="9506">
      <c r="A9506" t="inlineStr">
        <is>
          <t>PRAGMA</t>
        </is>
      </c>
      <c r="B9506" t="inlineStr">
        <is>
          <t>M3</t>
        </is>
      </c>
      <c r="C9506" t="inlineStr">
        <is>
          <t>Cali</t>
        </is>
      </c>
      <c r="D9506" t="inlineStr">
        <is>
          <t>997</t>
        </is>
      </c>
      <c r="E9506" t="inlineStr">
        <is>
          <t>entradas</t>
        </is>
      </c>
      <c r="F9506" s="23" t="n">
        <v>46270</v>
      </c>
      <c r="G9506" s="24">
        <f>F9506-DATE(2026,8,31)</f>
        <v>5</v>
      </c>
      <c r="H9506" s="25" t="n">
        <v>159669</v>
      </c>
      <c r="I9506" t="inlineStr">
        <is>
          <t>entidad-dia</t>
        </is>
      </c>
    </row>
    <row r="9507">
      <c r="A9507" t="inlineStr">
        <is>
          <t>PRAGMA</t>
        </is>
      </c>
      <c r="B9507" t="inlineStr">
        <is>
          <t>M3</t>
        </is>
      </c>
      <c r="C9507" t="inlineStr">
        <is>
          <t>Cali</t>
        </is>
      </c>
      <c r="D9507" t="inlineStr">
        <is>
          <t>997</t>
        </is>
      </c>
      <c r="E9507" t="inlineStr">
        <is>
          <t>salidas</t>
        </is>
      </c>
      <c r="F9507" s="23" t="n">
        <v>46270</v>
      </c>
      <c r="G9507" s="24">
        <f>F9507-DATE(2026,8,31)</f>
        <v>5</v>
      </c>
      <c r="H9507" s="25" t="n">
        <v>0</v>
      </c>
      <c r="I9507" t="inlineStr">
        <is>
          <t>entidad-dia</t>
        </is>
      </c>
    </row>
    <row r="9508">
      <c r="A9508" t="inlineStr">
        <is>
          <t>PRAGMA</t>
        </is>
      </c>
      <c r="B9508" t="inlineStr">
        <is>
          <t>M3</t>
        </is>
      </c>
      <c r="C9508" t="inlineStr">
        <is>
          <t>Cali</t>
        </is>
      </c>
      <c r="D9508" t="inlineStr">
        <is>
          <t>997</t>
        </is>
      </c>
      <c r="E9508" t="inlineStr">
        <is>
          <t>entradas</t>
        </is>
      </c>
      <c r="F9508" s="23" t="n">
        <v>46271</v>
      </c>
      <c r="G9508" s="24">
        <f>F9508-DATE(2026,8,31)</f>
        <v>6</v>
      </c>
      <c r="H9508" s="25" t="n">
        <v>5173</v>
      </c>
      <c r="I9508" t="inlineStr">
        <is>
          <t>entidad-dia</t>
        </is>
      </c>
    </row>
    <row r="9509">
      <c r="A9509" t="inlineStr">
        <is>
          <t>PRAGMA</t>
        </is>
      </c>
      <c r="B9509" t="inlineStr">
        <is>
          <t>M3</t>
        </is>
      </c>
      <c r="C9509" t="inlineStr">
        <is>
          <t>Cali</t>
        </is>
      </c>
      <c r="D9509" t="inlineStr">
        <is>
          <t>997</t>
        </is>
      </c>
      <c r="E9509" t="inlineStr">
        <is>
          <t>salidas</t>
        </is>
      </c>
      <c r="F9509" s="23" t="n">
        <v>46271</v>
      </c>
      <c r="G9509" s="24">
        <f>F9509-DATE(2026,8,31)</f>
        <v>6</v>
      </c>
      <c r="H9509" s="25" t="n">
        <v>0</v>
      </c>
      <c r="I9509" t="inlineStr">
        <is>
          <t>entidad-dia</t>
        </is>
      </c>
    </row>
    <row r="9510">
      <c r="A9510" t="inlineStr">
        <is>
          <t>PRAGMA</t>
        </is>
      </c>
      <c r="B9510" t="inlineStr">
        <is>
          <t>M3</t>
        </is>
      </c>
      <c r="C9510" t="inlineStr">
        <is>
          <t>Cali</t>
        </is>
      </c>
      <c r="D9510" t="inlineStr">
        <is>
          <t>997</t>
        </is>
      </c>
      <c r="E9510" t="inlineStr">
        <is>
          <t>entradas</t>
        </is>
      </c>
      <c r="F9510" s="23" t="n">
        <v>46272</v>
      </c>
      <c r="G9510" s="24">
        <f>F9510-DATE(2026,8,31)</f>
        <v>7</v>
      </c>
      <c r="H9510" s="25" t="n">
        <v>93570455</v>
      </c>
      <c r="I9510" t="inlineStr">
        <is>
          <t>entidad-dia</t>
        </is>
      </c>
    </row>
    <row r="9511">
      <c r="A9511" t="inlineStr">
        <is>
          <t>PRAGMA</t>
        </is>
      </c>
      <c r="B9511" t="inlineStr">
        <is>
          <t>M3</t>
        </is>
      </c>
      <c r="C9511" t="inlineStr">
        <is>
          <t>Cali</t>
        </is>
      </c>
      <c r="D9511" t="inlineStr">
        <is>
          <t>997</t>
        </is>
      </c>
      <c r="E9511" t="inlineStr">
        <is>
          <t>salidas</t>
        </is>
      </c>
      <c r="F9511" s="23" t="n">
        <v>46272</v>
      </c>
      <c r="G9511" s="24">
        <f>F9511-DATE(2026,8,31)</f>
        <v>7</v>
      </c>
      <c r="H9511" s="25" t="n">
        <v>87356656</v>
      </c>
      <c r="I9511" t="inlineStr">
        <is>
          <t>entidad-dia</t>
        </is>
      </c>
    </row>
    <row r="9512">
      <c r="A9512" t="inlineStr">
        <is>
          <t>PRAGMA</t>
        </is>
      </c>
      <c r="B9512" t="inlineStr">
        <is>
          <t>M3</t>
        </is>
      </c>
      <c r="C9512" t="inlineStr">
        <is>
          <t>Cali</t>
        </is>
      </c>
      <c r="D9512" t="inlineStr">
        <is>
          <t>997</t>
        </is>
      </c>
      <c r="E9512" t="inlineStr">
        <is>
          <t>entradas</t>
        </is>
      </c>
      <c r="F9512" s="23" t="n">
        <v>46273</v>
      </c>
      <c r="G9512" s="24">
        <f>F9512-DATE(2026,8,31)</f>
        <v>8</v>
      </c>
      <c r="H9512" s="25" t="n">
        <v>123593959</v>
      </c>
      <c r="I9512" t="inlineStr">
        <is>
          <t>entidad-dia</t>
        </is>
      </c>
    </row>
    <row r="9513">
      <c r="A9513" t="inlineStr">
        <is>
          <t>PRAGMA</t>
        </is>
      </c>
      <c r="B9513" t="inlineStr">
        <is>
          <t>M3</t>
        </is>
      </c>
      <c r="C9513" t="inlineStr">
        <is>
          <t>Cali</t>
        </is>
      </c>
      <c r="D9513" t="inlineStr">
        <is>
          <t>997</t>
        </is>
      </c>
      <c r="E9513" t="inlineStr">
        <is>
          <t>salidas</t>
        </is>
      </c>
      <c r="F9513" s="23" t="n">
        <v>46273</v>
      </c>
      <c r="G9513" s="24">
        <f>F9513-DATE(2026,8,31)</f>
        <v>8</v>
      </c>
      <c r="H9513" s="25" t="n">
        <v>81477476</v>
      </c>
      <c r="I9513" t="inlineStr">
        <is>
          <t>entidad-dia</t>
        </is>
      </c>
    </row>
    <row r="9514">
      <c r="A9514" t="inlineStr">
        <is>
          <t>PRAGMA</t>
        </is>
      </c>
      <c r="B9514" t="inlineStr">
        <is>
          <t>M3</t>
        </is>
      </c>
      <c r="C9514" t="inlineStr">
        <is>
          <t>Cali</t>
        </is>
      </c>
      <c r="D9514" t="inlineStr">
        <is>
          <t>997</t>
        </is>
      </c>
      <c r="E9514" t="inlineStr">
        <is>
          <t>entradas</t>
        </is>
      </c>
      <c r="F9514" s="23" t="n">
        <v>46274</v>
      </c>
      <c r="G9514" s="24">
        <f>F9514-DATE(2026,8,31)</f>
        <v>9</v>
      </c>
      <c r="H9514" s="25" t="n">
        <v>97489076</v>
      </c>
      <c r="I9514" t="inlineStr">
        <is>
          <t>entidad-dia</t>
        </is>
      </c>
    </row>
    <row r="9515">
      <c r="A9515" t="inlineStr">
        <is>
          <t>PRAGMA</t>
        </is>
      </c>
      <c r="B9515" t="inlineStr">
        <is>
          <t>M3</t>
        </is>
      </c>
      <c r="C9515" t="inlineStr">
        <is>
          <t>Cali</t>
        </is>
      </c>
      <c r="D9515" t="inlineStr">
        <is>
          <t>997</t>
        </is>
      </c>
      <c r="E9515" t="inlineStr">
        <is>
          <t>salidas</t>
        </is>
      </c>
      <c r="F9515" s="23" t="n">
        <v>46274</v>
      </c>
      <c r="G9515" s="24">
        <f>F9515-DATE(2026,8,31)</f>
        <v>9</v>
      </c>
      <c r="H9515" s="25" t="n">
        <v>85922263</v>
      </c>
      <c r="I9515" t="inlineStr">
        <is>
          <t>entidad-dia</t>
        </is>
      </c>
    </row>
    <row r="9516">
      <c r="A9516" t="inlineStr">
        <is>
          <t>PRAGMA</t>
        </is>
      </c>
      <c r="B9516" t="inlineStr">
        <is>
          <t>M3</t>
        </is>
      </c>
      <c r="C9516" t="inlineStr">
        <is>
          <t>Cali</t>
        </is>
      </c>
      <c r="D9516" t="inlineStr">
        <is>
          <t>997</t>
        </is>
      </c>
      <c r="E9516" t="inlineStr">
        <is>
          <t>entradas</t>
        </is>
      </c>
      <c r="F9516" s="23" t="n">
        <v>46275</v>
      </c>
      <c r="G9516" s="24">
        <f>F9516-DATE(2026,8,31)</f>
        <v>10</v>
      </c>
      <c r="H9516" s="25" t="n">
        <v>78953845</v>
      </c>
      <c r="I9516" t="inlineStr">
        <is>
          <t>entidad-dia</t>
        </is>
      </c>
    </row>
    <row r="9517">
      <c r="A9517" t="inlineStr">
        <is>
          <t>PRAGMA</t>
        </is>
      </c>
      <c r="B9517" t="inlineStr">
        <is>
          <t>M3</t>
        </is>
      </c>
      <c r="C9517" t="inlineStr">
        <is>
          <t>Cali</t>
        </is>
      </c>
      <c r="D9517" t="inlineStr">
        <is>
          <t>997</t>
        </is>
      </c>
      <c r="E9517" t="inlineStr">
        <is>
          <t>salidas</t>
        </is>
      </c>
      <c r="F9517" s="23" t="n">
        <v>46275</v>
      </c>
      <c r="G9517" s="24">
        <f>F9517-DATE(2026,8,31)</f>
        <v>10</v>
      </c>
      <c r="H9517" s="25" t="n">
        <v>79790104</v>
      </c>
      <c r="I9517" t="inlineStr">
        <is>
          <t>entidad-dia</t>
        </is>
      </c>
    </row>
    <row r="9518">
      <c r="A9518" t="inlineStr">
        <is>
          <t>PRAGMA</t>
        </is>
      </c>
      <c r="B9518" t="inlineStr">
        <is>
          <t>M3</t>
        </is>
      </c>
      <c r="C9518" t="inlineStr">
        <is>
          <t>Cali</t>
        </is>
      </c>
      <c r="D9518" t="inlineStr">
        <is>
          <t>997</t>
        </is>
      </c>
      <c r="E9518" t="inlineStr">
        <is>
          <t>entradas</t>
        </is>
      </c>
      <c r="F9518" s="23" t="n">
        <v>46276</v>
      </c>
      <c r="G9518" s="24">
        <f>F9518-DATE(2026,8,31)</f>
        <v>11</v>
      </c>
      <c r="H9518" s="25" t="n">
        <v>102322894</v>
      </c>
      <c r="I9518" t="inlineStr">
        <is>
          <t>entidad-dia</t>
        </is>
      </c>
    </row>
    <row r="9519">
      <c r="A9519" t="inlineStr">
        <is>
          <t>PRAGMA</t>
        </is>
      </c>
      <c r="B9519" t="inlineStr">
        <is>
          <t>M3</t>
        </is>
      </c>
      <c r="C9519" t="inlineStr">
        <is>
          <t>Cali</t>
        </is>
      </c>
      <c r="D9519" t="inlineStr">
        <is>
          <t>997</t>
        </is>
      </c>
      <c r="E9519" t="inlineStr">
        <is>
          <t>salidas</t>
        </is>
      </c>
      <c r="F9519" s="23" t="n">
        <v>46276</v>
      </c>
      <c r="G9519" s="24">
        <f>F9519-DATE(2026,8,31)</f>
        <v>11</v>
      </c>
      <c r="H9519" s="25" t="n">
        <v>88118380</v>
      </c>
      <c r="I9519" t="inlineStr">
        <is>
          <t>entidad-dia</t>
        </is>
      </c>
    </row>
    <row r="9520">
      <c r="A9520" t="inlineStr">
        <is>
          <t>PRAGMA</t>
        </is>
      </c>
      <c r="B9520" t="inlineStr">
        <is>
          <t>M3</t>
        </is>
      </c>
      <c r="C9520" t="inlineStr">
        <is>
          <t>Cali</t>
        </is>
      </c>
      <c r="D9520" t="inlineStr">
        <is>
          <t>997</t>
        </is>
      </c>
      <c r="E9520" t="inlineStr">
        <is>
          <t>entradas</t>
        </is>
      </c>
      <c r="F9520" s="23" t="n">
        <v>46277</v>
      </c>
      <c r="G9520" s="24">
        <f>F9520-DATE(2026,8,31)</f>
        <v>12</v>
      </c>
      <c r="H9520" s="25" t="n">
        <v>167182</v>
      </c>
      <c r="I9520" t="inlineStr">
        <is>
          <t>entidad-dia</t>
        </is>
      </c>
    </row>
    <row r="9521">
      <c r="A9521" t="inlineStr">
        <is>
          <t>PRAGMA</t>
        </is>
      </c>
      <c r="B9521" t="inlineStr">
        <is>
          <t>M3</t>
        </is>
      </c>
      <c r="C9521" t="inlineStr">
        <is>
          <t>Cali</t>
        </is>
      </c>
      <c r="D9521" t="inlineStr">
        <is>
          <t>997</t>
        </is>
      </c>
      <c r="E9521" t="inlineStr">
        <is>
          <t>salidas</t>
        </is>
      </c>
      <c r="F9521" s="23" t="n">
        <v>46277</v>
      </c>
      <c r="G9521" s="24">
        <f>F9521-DATE(2026,8,31)</f>
        <v>12</v>
      </c>
      <c r="H9521" s="25" t="n">
        <v>0</v>
      </c>
      <c r="I9521" t="inlineStr">
        <is>
          <t>entidad-dia</t>
        </is>
      </c>
    </row>
    <row r="9522">
      <c r="A9522" t="inlineStr">
        <is>
          <t>PRAGMA</t>
        </is>
      </c>
      <c r="B9522" t="inlineStr">
        <is>
          <t>M3</t>
        </is>
      </c>
      <c r="C9522" t="inlineStr">
        <is>
          <t>Cali</t>
        </is>
      </c>
      <c r="D9522" t="inlineStr">
        <is>
          <t>997</t>
        </is>
      </c>
      <c r="E9522" t="inlineStr">
        <is>
          <t>entradas</t>
        </is>
      </c>
      <c r="F9522" s="23" t="n">
        <v>46278</v>
      </c>
      <c r="G9522" s="24">
        <f>F9522-DATE(2026,8,31)</f>
        <v>13</v>
      </c>
      <c r="H9522" s="25" t="n">
        <v>6878</v>
      </c>
      <c r="I9522" t="inlineStr">
        <is>
          <t>entidad-dia</t>
        </is>
      </c>
    </row>
    <row r="9523">
      <c r="A9523" t="inlineStr">
        <is>
          <t>PRAGMA</t>
        </is>
      </c>
      <c r="B9523" t="inlineStr">
        <is>
          <t>M3</t>
        </is>
      </c>
      <c r="C9523" t="inlineStr">
        <is>
          <t>Cali</t>
        </is>
      </c>
      <c r="D9523" t="inlineStr">
        <is>
          <t>997</t>
        </is>
      </c>
      <c r="E9523" t="inlineStr">
        <is>
          <t>salidas</t>
        </is>
      </c>
      <c r="F9523" s="23" t="n">
        <v>46278</v>
      </c>
      <c r="G9523" s="24">
        <f>F9523-DATE(2026,8,31)</f>
        <v>13</v>
      </c>
      <c r="H9523" s="25" t="n">
        <v>0</v>
      </c>
      <c r="I9523" t="inlineStr">
        <is>
          <t>entidad-dia</t>
        </is>
      </c>
    </row>
    <row r="9524">
      <c r="A9524" t="inlineStr">
        <is>
          <t>PRAGMA</t>
        </is>
      </c>
      <c r="B9524" t="inlineStr">
        <is>
          <t>M3</t>
        </is>
      </c>
      <c r="C9524" t="inlineStr">
        <is>
          <t>Cali</t>
        </is>
      </c>
      <c r="D9524" t="inlineStr">
        <is>
          <t>997</t>
        </is>
      </c>
      <c r="E9524" t="inlineStr">
        <is>
          <t>entradas</t>
        </is>
      </c>
      <c r="F9524" s="23" t="n">
        <v>46279</v>
      </c>
      <c r="G9524" s="24">
        <f>F9524-DATE(2026,8,31)</f>
        <v>14</v>
      </c>
      <c r="H9524" s="25" t="n">
        <v>101131166</v>
      </c>
      <c r="I9524" t="inlineStr">
        <is>
          <t>entidad-dia</t>
        </is>
      </c>
    </row>
    <row r="9525">
      <c r="A9525" t="inlineStr">
        <is>
          <t>PRAGMA</t>
        </is>
      </c>
      <c r="B9525" t="inlineStr">
        <is>
          <t>M3</t>
        </is>
      </c>
      <c r="C9525" t="inlineStr">
        <is>
          <t>Cali</t>
        </is>
      </c>
      <c r="D9525" t="inlineStr">
        <is>
          <t>997</t>
        </is>
      </c>
      <c r="E9525" t="inlineStr">
        <is>
          <t>salidas</t>
        </is>
      </c>
      <c r="F9525" s="23" t="n">
        <v>46279</v>
      </c>
      <c r="G9525" s="24">
        <f>F9525-DATE(2026,8,31)</f>
        <v>14</v>
      </c>
      <c r="H9525" s="25" t="n">
        <v>86733884</v>
      </c>
      <c r="I9525" t="inlineStr">
        <is>
          <t>entidad-dia</t>
        </is>
      </c>
    </row>
    <row r="9526">
      <c r="A9526" t="inlineStr">
        <is>
          <t>PRAGMA</t>
        </is>
      </c>
      <c r="B9526" t="inlineStr">
        <is>
          <t>M3</t>
        </is>
      </c>
      <c r="C9526" t="inlineStr">
        <is>
          <t>Cali</t>
        </is>
      </c>
      <c r="D9526" t="inlineStr">
        <is>
          <t>997</t>
        </is>
      </c>
      <c r="E9526" t="inlineStr">
        <is>
          <t>entradas</t>
        </is>
      </c>
      <c r="F9526" s="23" t="n">
        <v>46280</v>
      </c>
      <c r="G9526" s="24">
        <f>F9526-DATE(2026,8,31)</f>
        <v>15</v>
      </c>
      <c r="H9526" s="25" t="n">
        <v>121230155</v>
      </c>
      <c r="I9526" t="inlineStr">
        <is>
          <t>entidad-dia</t>
        </is>
      </c>
    </row>
    <row r="9527">
      <c r="A9527" t="inlineStr">
        <is>
          <t>PRAGMA</t>
        </is>
      </c>
      <c r="B9527" t="inlineStr">
        <is>
          <t>M3</t>
        </is>
      </c>
      <c r="C9527" t="inlineStr">
        <is>
          <t>Cali</t>
        </is>
      </c>
      <c r="D9527" t="inlineStr">
        <is>
          <t>997</t>
        </is>
      </c>
      <c r="E9527" t="inlineStr">
        <is>
          <t>salidas</t>
        </is>
      </c>
      <c r="F9527" s="23" t="n">
        <v>46280</v>
      </c>
      <c r="G9527" s="24">
        <f>F9527-DATE(2026,8,31)</f>
        <v>15</v>
      </c>
      <c r="H9527" s="25" t="n">
        <v>86594171</v>
      </c>
      <c r="I9527" t="inlineStr">
        <is>
          <t>entidad-dia</t>
        </is>
      </c>
    </row>
    <row r="9528">
      <c r="A9528" t="inlineStr">
        <is>
          <t>PRAGMA</t>
        </is>
      </c>
      <c r="B9528" t="inlineStr">
        <is>
          <t>M4</t>
        </is>
      </c>
      <c r="C9528" t="inlineStr">
        <is>
          <t>Cali</t>
        </is>
      </c>
      <c r="D9528" t="inlineStr">
        <is>
          <t>CALI|TRANSPORTADORA_001</t>
        </is>
      </c>
      <c r="E9528" t="inlineStr">
        <is>
          <t>ingreso_efectivo_cbr</t>
        </is>
      </c>
      <c r="F9528" s="23" t="n">
        <v>46266</v>
      </c>
      <c r="G9528" s="24">
        <f>F9528-DATE(2026,8,31)</f>
        <v>1</v>
      </c>
      <c r="H9528" s="25" t="n">
        <v>1496795021</v>
      </c>
      <c r="I9528" t="inlineStr">
        <is>
          <t>fondo-dia</t>
        </is>
      </c>
    </row>
    <row r="9529">
      <c r="A9529" t="inlineStr">
        <is>
          <t>PRAGMA</t>
        </is>
      </c>
      <c r="B9529" t="inlineStr">
        <is>
          <t>M4</t>
        </is>
      </c>
      <c r="C9529" t="inlineStr">
        <is>
          <t>Cali</t>
        </is>
      </c>
      <c r="D9529" t="inlineStr">
        <is>
          <t>CALI|TRANSPORTADORA_001</t>
        </is>
      </c>
      <c r="E9529" t="inlineStr">
        <is>
          <t>ingreso_efectivo_cbr</t>
        </is>
      </c>
      <c r="F9529" s="23" t="n">
        <v>46267</v>
      </c>
      <c r="G9529" s="24">
        <f>F9529-DATE(2026,8,31)</f>
        <v>2</v>
      </c>
      <c r="H9529" s="25" t="n">
        <v>1653013865</v>
      </c>
      <c r="I9529" t="inlineStr">
        <is>
          <t>fondo-dia</t>
        </is>
      </c>
    </row>
    <row r="9530">
      <c r="A9530" t="inlineStr">
        <is>
          <t>PRAGMA</t>
        </is>
      </c>
      <c r="B9530" t="inlineStr">
        <is>
          <t>M4</t>
        </is>
      </c>
      <c r="C9530" t="inlineStr">
        <is>
          <t>Cali</t>
        </is>
      </c>
      <c r="D9530" t="inlineStr">
        <is>
          <t>CALI|TRANSPORTADORA_001</t>
        </is>
      </c>
      <c r="E9530" t="inlineStr">
        <is>
          <t>ingreso_efectivo_cbr</t>
        </is>
      </c>
      <c r="F9530" s="23" t="n">
        <v>46268</v>
      </c>
      <c r="G9530" s="24">
        <f>F9530-DATE(2026,8,31)</f>
        <v>3</v>
      </c>
      <c r="H9530" s="25" t="n">
        <v>1704649723</v>
      </c>
      <c r="I9530" t="inlineStr">
        <is>
          <t>fondo-dia</t>
        </is>
      </c>
    </row>
    <row r="9531">
      <c r="A9531" t="inlineStr">
        <is>
          <t>PRAGMA</t>
        </is>
      </c>
      <c r="B9531" t="inlineStr">
        <is>
          <t>M4</t>
        </is>
      </c>
      <c r="C9531" t="inlineStr">
        <is>
          <t>Cali</t>
        </is>
      </c>
      <c r="D9531" t="inlineStr">
        <is>
          <t>CALI|TRANSPORTADORA_001</t>
        </is>
      </c>
      <c r="E9531" t="inlineStr">
        <is>
          <t>ingreso_efectivo_cbr</t>
        </is>
      </c>
      <c r="F9531" s="23" t="n">
        <v>46269</v>
      </c>
      <c r="G9531" s="24">
        <f>F9531-DATE(2026,8,31)</f>
        <v>4</v>
      </c>
      <c r="H9531" s="25" t="n">
        <v>1793686637</v>
      </c>
      <c r="I9531" t="inlineStr">
        <is>
          <t>fondo-dia</t>
        </is>
      </c>
    </row>
    <row r="9532">
      <c r="A9532" t="inlineStr">
        <is>
          <t>PRAGMA</t>
        </is>
      </c>
      <c r="B9532" t="inlineStr">
        <is>
          <t>M4</t>
        </is>
      </c>
      <c r="C9532" t="inlineStr">
        <is>
          <t>Cali</t>
        </is>
      </c>
      <c r="D9532" t="inlineStr">
        <is>
          <t>CALI|TRANSPORTADORA_001</t>
        </is>
      </c>
      <c r="E9532" t="inlineStr">
        <is>
          <t>ingreso_efectivo_cbr</t>
        </is>
      </c>
      <c r="F9532" s="23" t="n">
        <v>46270</v>
      </c>
      <c r="G9532" s="24">
        <f>F9532-DATE(2026,8,31)</f>
        <v>5</v>
      </c>
      <c r="H9532" s="25" t="n">
        <v>833630861</v>
      </c>
      <c r="I9532" t="inlineStr">
        <is>
          <t>fondo-dia</t>
        </is>
      </c>
    </row>
    <row r="9533">
      <c r="A9533" t="inlineStr">
        <is>
          <t>PRAGMA</t>
        </is>
      </c>
      <c r="B9533" t="inlineStr">
        <is>
          <t>M4</t>
        </is>
      </c>
      <c r="C9533" t="inlineStr">
        <is>
          <t>Cali</t>
        </is>
      </c>
      <c r="D9533" t="inlineStr">
        <is>
          <t>CALI|TRANSPORTADORA_001</t>
        </is>
      </c>
      <c r="E9533" t="inlineStr">
        <is>
          <t>ingreso_efectivo_cbr</t>
        </is>
      </c>
      <c r="F9533" s="23" t="n">
        <v>46271</v>
      </c>
      <c r="G9533" s="24">
        <f>F9533-DATE(2026,8,31)</f>
        <v>6</v>
      </c>
      <c r="H9533" s="25" t="n">
        <v>1432769526</v>
      </c>
      <c r="I9533" t="inlineStr">
        <is>
          <t>fondo-dia</t>
        </is>
      </c>
    </row>
    <row r="9534">
      <c r="A9534" t="inlineStr">
        <is>
          <t>PRAGMA</t>
        </is>
      </c>
      <c r="B9534" t="inlineStr">
        <is>
          <t>M4</t>
        </is>
      </c>
      <c r="C9534" t="inlineStr">
        <is>
          <t>Cali</t>
        </is>
      </c>
      <c r="D9534" t="inlineStr">
        <is>
          <t>CALI|TRANSPORTADORA_001</t>
        </is>
      </c>
      <c r="E9534" t="inlineStr">
        <is>
          <t>ingreso_efectivo_cbr</t>
        </is>
      </c>
      <c r="F9534" s="23" t="n">
        <v>46272</v>
      </c>
      <c r="G9534" s="24">
        <f>F9534-DATE(2026,8,31)</f>
        <v>7</v>
      </c>
      <c r="H9534" s="25" t="n">
        <v>1620935099</v>
      </c>
      <c r="I9534" t="inlineStr">
        <is>
          <t>fondo-dia</t>
        </is>
      </c>
    </row>
    <row r="9535">
      <c r="A9535" t="inlineStr">
        <is>
          <t>PRAGMA</t>
        </is>
      </c>
      <c r="B9535" t="inlineStr">
        <is>
          <t>M4</t>
        </is>
      </c>
      <c r="C9535" t="inlineStr">
        <is>
          <t>Cali</t>
        </is>
      </c>
      <c r="D9535" t="inlineStr">
        <is>
          <t>CALI|TRANSPORTADORA_001</t>
        </is>
      </c>
      <c r="E9535" t="inlineStr">
        <is>
          <t>ingreso_efectivo_cbr</t>
        </is>
      </c>
      <c r="F9535" s="23" t="n">
        <v>46273</v>
      </c>
      <c r="G9535" s="24">
        <f>F9535-DATE(2026,8,31)</f>
        <v>8</v>
      </c>
      <c r="H9535" s="25" t="n">
        <v>2233844736</v>
      </c>
      <c r="I9535" t="inlineStr">
        <is>
          <t>fondo-dia</t>
        </is>
      </c>
    </row>
    <row r="9536">
      <c r="A9536" t="inlineStr">
        <is>
          <t>PRAGMA</t>
        </is>
      </c>
      <c r="B9536" t="inlineStr">
        <is>
          <t>M4</t>
        </is>
      </c>
      <c r="C9536" t="inlineStr">
        <is>
          <t>Cali</t>
        </is>
      </c>
      <c r="D9536" t="inlineStr">
        <is>
          <t>CALI|TRANSPORTADORA_001</t>
        </is>
      </c>
      <c r="E9536" t="inlineStr">
        <is>
          <t>ingreso_efectivo_cbr</t>
        </is>
      </c>
      <c r="F9536" s="23" t="n">
        <v>46274</v>
      </c>
      <c r="G9536" s="24">
        <f>F9536-DATE(2026,8,31)</f>
        <v>9</v>
      </c>
      <c r="H9536" s="25" t="n">
        <v>2456984389</v>
      </c>
      <c r="I9536" t="inlineStr">
        <is>
          <t>fondo-dia</t>
        </is>
      </c>
    </row>
    <row r="9537">
      <c r="A9537" t="inlineStr">
        <is>
          <t>PRAGMA</t>
        </is>
      </c>
      <c r="B9537" t="inlineStr">
        <is>
          <t>M4</t>
        </is>
      </c>
      <c r="C9537" t="inlineStr">
        <is>
          <t>Cali</t>
        </is>
      </c>
      <c r="D9537" t="inlineStr">
        <is>
          <t>CALI|TRANSPORTADORA_001</t>
        </is>
      </c>
      <c r="E9537" t="inlineStr">
        <is>
          <t>ingreso_efectivo_cbr</t>
        </is>
      </c>
      <c r="F9537" s="23" t="n">
        <v>46275</v>
      </c>
      <c r="G9537" s="24">
        <f>F9537-DATE(2026,8,31)</f>
        <v>10</v>
      </c>
      <c r="H9537" s="25" t="n">
        <v>1862510637</v>
      </c>
      <c r="I9537" t="inlineStr">
        <is>
          <t>fondo-dia</t>
        </is>
      </c>
    </row>
    <row r="9538">
      <c r="A9538" t="inlineStr">
        <is>
          <t>PRAGMA</t>
        </is>
      </c>
      <c r="B9538" t="inlineStr">
        <is>
          <t>M4</t>
        </is>
      </c>
      <c r="C9538" t="inlineStr">
        <is>
          <t>Cali</t>
        </is>
      </c>
      <c r="D9538" t="inlineStr">
        <is>
          <t>CALI|TRANSPORTADORA_001</t>
        </is>
      </c>
      <c r="E9538" t="inlineStr">
        <is>
          <t>ingreso_efectivo_cbr</t>
        </is>
      </c>
      <c r="F9538" s="23" t="n">
        <v>46276</v>
      </c>
      <c r="G9538" s="24">
        <f>F9538-DATE(2026,8,31)</f>
        <v>11</v>
      </c>
      <c r="H9538" s="25" t="n">
        <v>1969782690</v>
      </c>
      <c r="I9538" t="inlineStr">
        <is>
          <t>fondo-dia</t>
        </is>
      </c>
    </row>
    <row r="9539">
      <c r="A9539" t="inlineStr">
        <is>
          <t>PRAGMA</t>
        </is>
      </c>
      <c r="B9539" t="inlineStr">
        <is>
          <t>M4</t>
        </is>
      </c>
      <c r="C9539" t="inlineStr">
        <is>
          <t>Cali</t>
        </is>
      </c>
      <c r="D9539" t="inlineStr">
        <is>
          <t>CALI|TRANSPORTADORA_001</t>
        </is>
      </c>
      <c r="E9539" t="inlineStr">
        <is>
          <t>ingreso_efectivo_cbr</t>
        </is>
      </c>
      <c r="F9539" s="23" t="n">
        <v>46277</v>
      </c>
      <c r="G9539" s="24">
        <f>F9539-DATE(2026,8,31)</f>
        <v>12</v>
      </c>
      <c r="H9539" s="25" t="n">
        <v>817633190</v>
      </c>
      <c r="I9539" t="inlineStr">
        <is>
          <t>fondo-dia</t>
        </is>
      </c>
    </row>
    <row r="9540">
      <c r="A9540" t="inlineStr">
        <is>
          <t>PRAGMA</t>
        </is>
      </c>
      <c r="B9540" t="inlineStr">
        <is>
          <t>M4</t>
        </is>
      </c>
      <c r="C9540" t="inlineStr">
        <is>
          <t>Cali</t>
        </is>
      </c>
      <c r="D9540" t="inlineStr">
        <is>
          <t>CALI|TRANSPORTADORA_001</t>
        </is>
      </c>
      <c r="E9540" t="inlineStr">
        <is>
          <t>ingreso_efectivo_cbr</t>
        </is>
      </c>
      <c r="F9540" s="23" t="n">
        <v>46278</v>
      </c>
      <c r="G9540" s="24">
        <f>F9540-DATE(2026,8,31)</f>
        <v>13</v>
      </c>
      <c r="H9540" s="25" t="n">
        <v>1179771634</v>
      </c>
      <c r="I9540" t="inlineStr">
        <is>
          <t>fondo-dia</t>
        </is>
      </c>
    </row>
    <row r="9541">
      <c r="A9541" t="inlineStr">
        <is>
          <t>PRAGMA</t>
        </is>
      </c>
      <c r="B9541" t="inlineStr">
        <is>
          <t>M4</t>
        </is>
      </c>
      <c r="C9541" t="inlineStr">
        <is>
          <t>Cali</t>
        </is>
      </c>
      <c r="D9541" t="inlineStr">
        <is>
          <t>CALI|TRANSPORTADORA_001</t>
        </is>
      </c>
      <c r="E9541" t="inlineStr">
        <is>
          <t>ingreso_efectivo_cbr</t>
        </is>
      </c>
      <c r="F9541" s="23" t="n">
        <v>46279</v>
      </c>
      <c r="G9541" s="24">
        <f>F9541-DATE(2026,8,31)</f>
        <v>14</v>
      </c>
      <c r="H9541" s="25" t="n">
        <v>1555378628</v>
      </c>
      <c r="I9541" t="inlineStr">
        <is>
          <t>fondo-dia</t>
        </is>
      </c>
    </row>
    <row r="9542">
      <c r="A9542" t="inlineStr">
        <is>
          <t>PRAGMA</t>
        </is>
      </c>
      <c r="B9542" t="inlineStr">
        <is>
          <t>M4</t>
        </is>
      </c>
      <c r="C9542" t="inlineStr">
        <is>
          <t>Cali</t>
        </is>
      </c>
      <c r="D9542" t="inlineStr">
        <is>
          <t>CALI|TRANSPORTADORA_001</t>
        </is>
      </c>
      <c r="E9542" t="inlineStr">
        <is>
          <t>ingreso_efectivo_cbr</t>
        </is>
      </c>
      <c r="F9542" s="23" t="n">
        <v>46280</v>
      </c>
      <c r="G9542" s="24">
        <f>F9542-DATE(2026,8,31)</f>
        <v>15</v>
      </c>
      <c r="H9542" s="25" t="n">
        <v>2009828060</v>
      </c>
      <c r="I9542" t="inlineStr">
        <is>
          <t>fondo-dia</t>
        </is>
      </c>
    </row>
    <row r="9543">
      <c r="A9543" t="inlineStr">
        <is>
          <t>PRAGMA</t>
        </is>
      </c>
      <c r="B9543" t="inlineStr">
        <is>
          <t>M4</t>
        </is>
      </c>
      <c r="C9543" t="inlineStr">
        <is>
          <t>Cali</t>
        </is>
      </c>
      <c r="D9543" t="inlineStr">
        <is>
          <t>CALI|TRANSPORTADORA_002</t>
        </is>
      </c>
      <c r="E9543" t="inlineStr">
        <is>
          <t>ingreso_efectivo_cbr</t>
        </is>
      </c>
      <c r="F9543" s="23" t="n">
        <v>46266</v>
      </c>
      <c r="G9543" s="24">
        <f>F9543-DATE(2026,8,31)</f>
        <v>1</v>
      </c>
      <c r="H9543" s="25" t="n">
        <v>5865494742</v>
      </c>
      <c r="I9543" t="inlineStr">
        <is>
          <t>fondo-dia</t>
        </is>
      </c>
    </row>
    <row r="9544">
      <c r="A9544" t="inlineStr">
        <is>
          <t>PRAGMA</t>
        </is>
      </c>
      <c r="B9544" t="inlineStr">
        <is>
          <t>M4</t>
        </is>
      </c>
      <c r="C9544" t="inlineStr">
        <is>
          <t>Cali</t>
        </is>
      </c>
      <c r="D9544" t="inlineStr">
        <is>
          <t>CALI|TRANSPORTADORA_002</t>
        </is>
      </c>
      <c r="E9544" t="inlineStr">
        <is>
          <t>ingreso_efectivo_cbr</t>
        </is>
      </c>
      <c r="F9544" s="23" t="n">
        <v>46267</v>
      </c>
      <c r="G9544" s="24">
        <f>F9544-DATE(2026,8,31)</f>
        <v>2</v>
      </c>
      <c r="H9544" s="25" t="n">
        <v>6652572803</v>
      </c>
      <c r="I9544" t="inlineStr">
        <is>
          <t>fondo-dia</t>
        </is>
      </c>
    </row>
    <row r="9545">
      <c r="A9545" t="inlineStr">
        <is>
          <t>PRAGMA</t>
        </is>
      </c>
      <c r="B9545" t="inlineStr">
        <is>
          <t>M4</t>
        </is>
      </c>
      <c r="C9545" t="inlineStr">
        <is>
          <t>Cali</t>
        </is>
      </c>
      <c r="D9545" t="inlineStr">
        <is>
          <t>CALI|TRANSPORTADORA_002</t>
        </is>
      </c>
      <c r="E9545" t="inlineStr">
        <is>
          <t>ingreso_efectivo_cbr</t>
        </is>
      </c>
      <c r="F9545" s="23" t="n">
        <v>46268</v>
      </c>
      <c r="G9545" s="24">
        <f>F9545-DATE(2026,8,31)</f>
        <v>3</v>
      </c>
      <c r="H9545" s="25" t="n">
        <v>6544688122</v>
      </c>
      <c r="I9545" t="inlineStr">
        <is>
          <t>fondo-dia</t>
        </is>
      </c>
    </row>
    <row r="9546">
      <c r="A9546" t="inlineStr">
        <is>
          <t>PRAGMA</t>
        </is>
      </c>
      <c r="B9546" t="inlineStr">
        <is>
          <t>M4</t>
        </is>
      </c>
      <c r="C9546" t="inlineStr">
        <is>
          <t>Cali</t>
        </is>
      </c>
      <c r="D9546" t="inlineStr">
        <is>
          <t>CALI|TRANSPORTADORA_002</t>
        </is>
      </c>
      <c r="E9546" t="inlineStr">
        <is>
          <t>ingreso_efectivo_cbr</t>
        </is>
      </c>
      <c r="F9546" s="23" t="n">
        <v>46269</v>
      </c>
      <c r="G9546" s="24">
        <f>F9546-DATE(2026,8,31)</f>
        <v>4</v>
      </c>
      <c r="H9546" s="25" t="n">
        <v>6097885520</v>
      </c>
      <c r="I9546" t="inlineStr">
        <is>
          <t>fondo-dia</t>
        </is>
      </c>
    </row>
    <row r="9547">
      <c r="A9547" t="inlineStr">
        <is>
          <t>PRAGMA</t>
        </is>
      </c>
      <c r="B9547" t="inlineStr">
        <is>
          <t>M4</t>
        </is>
      </c>
      <c r="C9547" t="inlineStr">
        <is>
          <t>Cali</t>
        </is>
      </c>
      <c r="D9547" t="inlineStr">
        <is>
          <t>CALI|TRANSPORTADORA_002</t>
        </is>
      </c>
      <c r="E9547" t="inlineStr">
        <is>
          <t>ingreso_efectivo_cbr</t>
        </is>
      </c>
      <c r="F9547" s="23" t="n">
        <v>46270</v>
      </c>
      <c r="G9547" s="24">
        <f>F9547-DATE(2026,8,31)</f>
        <v>5</v>
      </c>
      <c r="H9547" s="25" t="n">
        <v>3468557946</v>
      </c>
      <c r="I9547" t="inlineStr">
        <is>
          <t>fondo-dia</t>
        </is>
      </c>
    </row>
    <row r="9548">
      <c r="A9548" t="inlineStr">
        <is>
          <t>PRAGMA</t>
        </is>
      </c>
      <c r="B9548" t="inlineStr">
        <is>
          <t>M4</t>
        </is>
      </c>
      <c r="C9548" t="inlineStr">
        <is>
          <t>Cali</t>
        </is>
      </c>
      <c r="D9548" t="inlineStr">
        <is>
          <t>CALI|TRANSPORTADORA_002</t>
        </is>
      </c>
      <c r="E9548" t="inlineStr">
        <is>
          <t>ingreso_efectivo_cbr</t>
        </is>
      </c>
      <c r="F9548" s="23" t="n">
        <v>46271</v>
      </c>
      <c r="G9548" s="24">
        <f>F9548-DATE(2026,8,31)</f>
        <v>6</v>
      </c>
      <c r="H9548" s="25" t="n">
        <v>5243763321</v>
      </c>
      <c r="I9548" t="inlineStr">
        <is>
          <t>fondo-dia</t>
        </is>
      </c>
    </row>
    <row r="9549">
      <c r="A9549" t="inlineStr">
        <is>
          <t>PRAGMA</t>
        </is>
      </c>
      <c r="B9549" t="inlineStr">
        <is>
          <t>M4</t>
        </is>
      </c>
      <c r="C9549" t="inlineStr">
        <is>
          <t>Cali</t>
        </is>
      </c>
      <c r="D9549" t="inlineStr">
        <is>
          <t>CALI|TRANSPORTADORA_002</t>
        </is>
      </c>
      <c r="E9549" t="inlineStr">
        <is>
          <t>ingreso_efectivo_cbr</t>
        </is>
      </c>
      <c r="F9549" s="23" t="n">
        <v>46272</v>
      </c>
      <c r="G9549" s="24">
        <f>F9549-DATE(2026,8,31)</f>
        <v>7</v>
      </c>
      <c r="H9549" s="25" t="n">
        <v>5614948268</v>
      </c>
      <c r="I9549" t="inlineStr">
        <is>
          <t>fondo-dia</t>
        </is>
      </c>
    </row>
    <row r="9550">
      <c r="A9550" t="inlineStr">
        <is>
          <t>PRAGMA</t>
        </is>
      </c>
      <c r="B9550" t="inlineStr">
        <is>
          <t>M4</t>
        </is>
      </c>
      <c r="C9550" t="inlineStr">
        <is>
          <t>Cali</t>
        </is>
      </c>
      <c r="D9550" t="inlineStr">
        <is>
          <t>CALI|TRANSPORTADORA_002</t>
        </is>
      </c>
      <c r="E9550" t="inlineStr">
        <is>
          <t>ingreso_efectivo_cbr</t>
        </is>
      </c>
      <c r="F9550" s="23" t="n">
        <v>46273</v>
      </c>
      <c r="G9550" s="24">
        <f>F9550-DATE(2026,8,31)</f>
        <v>8</v>
      </c>
      <c r="H9550" s="25" t="n">
        <v>7854525748</v>
      </c>
      <c r="I9550" t="inlineStr">
        <is>
          <t>fondo-dia</t>
        </is>
      </c>
    </row>
    <row r="9551">
      <c r="A9551" t="inlineStr">
        <is>
          <t>PRAGMA</t>
        </is>
      </c>
      <c r="B9551" t="inlineStr">
        <is>
          <t>M4</t>
        </is>
      </c>
      <c r="C9551" t="inlineStr">
        <is>
          <t>Cali</t>
        </is>
      </c>
      <c r="D9551" t="inlineStr">
        <is>
          <t>CALI|TRANSPORTADORA_002</t>
        </is>
      </c>
      <c r="E9551" t="inlineStr">
        <is>
          <t>ingreso_efectivo_cbr</t>
        </is>
      </c>
      <c r="F9551" s="23" t="n">
        <v>46274</v>
      </c>
      <c r="G9551" s="24">
        <f>F9551-DATE(2026,8,31)</f>
        <v>9</v>
      </c>
      <c r="H9551" s="25" t="n">
        <v>8588907291</v>
      </c>
      <c r="I9551" t="inlineStr">
        <is>
          <t>fondo-dia</t>
        </is>
      </c>
    </row>
    <row r="9552">
      <c r="A9552" t="inlineStr">
        <is>
          <t>PRAGMA</t>
        </is>
      </c>
      <c r="B9552" t="inlineStr">
        <is>
          <t>M4</t>
        </is>
      </c>
      <c r="C9552" t="inlineStr">
        <is>
          <t>Cali</t>
        </is>
      </c>
      <c r="D9552" t="inlineStr">
        <is>
          <t>CALI|TRANSPORTADORA_002</t>
        </is>
      </c>
      <c r="E9552" t="inlineStr">
        <is>
          <t>ingreso_efectivo_cbr</t>
        </is>
      </c>
      <c r="F9552" s="23" t="n">
        <v>46275</v>
      </c>
      <c r="G9552" s="24">
        <f>F9552-DATE(2026,8,31)</f>
        <v>10</v>
      </c>
      <c r="H9552" s="25" t="n">
        <v>6936521895</v>
      </c>
      <c r="I9552" t="inlineStr">
        <is>
          <t>fondo-dia</t>
        </is>
      </c>
    </row>
    <row r="9553">
      <c r="A9553" t="inlineStr">
        <is>
          <t>PRAGMA</t>
        </is>
      </c>
      <c r="B9553" t="inlineStr">
        <is>
          <t>M4</t>
        </is>
      </c>
      <c r="C9553" t="inlineStr">
        <is>
          <t>Cali</t>
        </is>
      </c>
      <c r="D9553" t="inlineStr">
        <is>
          <t>CALI|TRANSPORTADORA_002</t>
        </is>
      </c>
      <c r="E9553" t="inlineStr">
        <is>
          <t>ingreso_efectivo_cbr</t>
        </is>
      </c>
      <c r="F9553" s="23" t="n">
        <v>46276</v>
      </c>
      <c r="G9553" s="24">
        <f>F9553-DATE(2026,8,31)</f>
        <v>11</v>
      </c>
      <c r="H9553" s="25" t="n">
        <v>6258767157</v>
      </c>
      <c r="I9553" t="inlineStr">
        <is>
          <t>fondo-dia</t>
        </is>
      </c>
    </row>
    <row r="9554">
      <c r="A9554" t="inlineStr">
        <is>
          <t>PRAGMA</t>
        </is>
      </c>
      <c r="B9554" t="inlineStr">
        <is>
          <t>M4</t>
        </is>
      </c>
      <c r="C9554" t="inlineStr">
        <is>
          <t>Cali</t>
        </is>
      </c>
      <c r="D9554" t="inlineStr">
        <is>
          <t>CALI|TRANSPORTADORA_002</t>
        </is>
      </c>
      <c r="E9554" t="inlineStr">
        <is>
          <t>ingreso_efectivo_cbr</t>
        </is>
      </c>
      <c r="F9554" s="23" t="n">
        <v>46277</v>
      </c>
      <c r="G9554" s="24">
        <f>F9554-DATE(2026,8,31)</f>
        <v>12</v>
      </c>
      <c r="H9554" s="25" t="n">
        <v>3421313990</v>
      </c>
      <c r="I9554" t="inlineStr">
        <is>
          <t>fondo-dia</t>
        </is>
      </c>
    </row>
    <row r="9555">
      <c r="A9555" t="inlineStr">
        <is>
          <t>PRAGMA</t>
        </is>
      </c>
      <c r="B9555" t="inlineStr">
        <is>
          <t>M4</t>
        </is>
      </c>
      <c r="C9555" t="inlineStr">
        <is>
          <t>Cali</t>
        </is>
      </c>
      <c r="D9555" t="inlineStr">
        <is>
          <t>CALI|TRANSPORTADORA_002</t>
        </is>
      </c>
      <c r="E9555" t="inlineStr">
        <is>
          <t>ingreso_efectivo_cbr</t>
        </is>
      </c>
      <c r="F9555" s="23" t="n">
        <v>46278</v>
      </c>
      <c r="G9555" s="24">
        <f>F9555-DATE(2026,8,31)</f>
        <v>13</v>
      </c>
      <c r="H9555" s="25" t="n">
        <v>4094294965</v>
      </c>
      <c r="I9555" t="inlineStr">
        <is>
          <t>fondo-dia</t>
        </is>
      </c>
    </row>
    <row r="9556">
      <c r="A9556" t="inlineStr">
        <is>
          <t>PRAGMA</t>
        </is>
      </c>
      <c r="B9556" t="inlineStr">
        <is>
          <t>M4</t>
        </is>
      </c>
      <c r="C9556" t="inlineStr">
        <is>
          <t>Cali</t>
        </is>
      </c>
      <c r="D9556" t="inlineStr">
        <is>
          <t>CALI|TRANSPORTADORA_002</t>
        </is>
      </c>
      <c r="E9556" t="inlineStr">
        <is>
          <t>ingreso_efectivo_cbr</t>
        </is>
      </c>
      <c r="F9556" s="23" t="n">
        <v>46279</v>
      </c>
      <c r="G9556" s="24">
        <f>F9556-DATE(2026,8,31)</f>
        <v>14</v>
      </c>
      <c r="H9556" s="25" t="n">
        <v>5164383290</v>
      </c>
      <c r="I9556" t="inlineStr">
        <is>
          <t>fondo-dia</t>
        </is>
      </c>
    </row>
    <row r="9557">
      <c r="A9557" t="inlineStr">
        <is>
          <t>PRAGMA</t>
        </is>
      </c>
      <c r="B9557" t="inlineStr">
        <is>
          <t>M4</t>
        </is>
      </c>
      <c r="C9557" t="inlineStr">
        <is>
          <t>Cali</t>
        </is>
      </c>
      <c r="D9557" t="inlineStr">
        <is>
          <t>CALI|TRANSPORTADORA_002</t>
        </is>
      </c>
      <c r="E9557" t="inlineStr">
        <is>
          <t>ingreso_efectivo_cbr</t>
        </is>
      </c>
      <c r="F9557" s="23" t="n">
        <v>46280</v>
      </c>
      <c r="G9557" s="24">
        <f>F9557-DATE(2026,8,31)</f>
        <v>15</v>
      </c>
      <c r="H9557" s="25" t="n">
        <v>6748521757</v>
      </c>
      <c r="I9557" t="inlineStr">
        <is>
          <t>fondo-dia</t>
        </is>
      </c>
    </row>
    <row r="9558">
      <c r="A9558" t="inlineStr">
        <is>
          <t>PRAGMA</t>
        </is>
      </c>
      <c r="B9558" t="inlineStr">
        <is>
          <t>M4</t>
        </is>
      </c>
      <c r="C9558" t="inlineStr">
        <is>
          <t>Cali</t>
        </is>
      </c>
      <c r="D9558" t="inlineStr">
        <is>
          <t>CALI|TRANSPORTADORA_003</t>
        </is>
      </c>
      <c r="E9558" t="inlineStr">
        <is>
          <t>ingreso_efectivo_cbr</t>
        </is>
      </c>
      <c r="F9558" s="23" t="n">
        <v>46266</v>
      </c>
      <c r="G9558" s="24">
        <f>F9558-DATE(2026,8,31)</f>
        <v>1</v>
      </c>
      <c r="H9558" s="25" t="n">
        <v>1018115356</v>
      </c>
      <c r="I9558" t="inlineStr">
        <is>
          <t>fondo-dia</t>
        </is>
      </c>
    </row>
    <row r="9559">
      <c r="A9559" t="inlineStr">
        <is>
          <t>PRAGMA</t>
        </is>
      </c>
      <c r="B9559" t="inlineStr">
        <is>
          <t>M4</t>
        </is>
      </c>
      <c r="C9559" t="inlineStr">
        <is>
          <t>Cali</t>
        </is>
      </c>
      <c r="D9559" t="inlineStr">
        <is>
          <t>CALI|TRANSPORTADORA_003</t>
        </is>
      </c>
      <c r="E9559" t="inlineStr">
        <is>
          <t>ingreso_efectivo_cbr</t>
        </is>
      </c>
      <c r="F9559" s="23" t="n">
        <v>46267</v>
      </c>
      <c r="G9559" s="24">
        <f>F9559-DATE(2026,8,31)</f>
        <v>2</v>
      </c>
      <c r="H9559" s="25" t="n">
        <v>1814442225</v>
      </c>
      <c r="I9559" t="inlineStr">
        <is>
          <t>fondo-dia</t>
        </is>
      </c>
    </row>
    <row r="9560">
      <c r="A9560" t="inlineStr">
        <is>
          <t>PRAGMA</t>
        </is>
      </c>
      <c r="B9560" t="inlineStr">
        <is>
          <t>M4</t>
        </is>
      </c>
      <c r="C9560" t="inlineStr">
        <is>
          <t>Cali</t>
        </is>
      </c>
      <c r="D9560" t="inlineStr">
        <is>
          <t>CALI|TRANSPORTADORA_003</t>
        </is>
      </c>
      <c r="E9560" t="inlineStr">
        <is>
          <t>ingreso_efectivo_cbr</t>
        </is>
      </c>
      <c r="F9560" s="23" t="n">
        <v>46268</v>
      </c>
      <c r="G9560" s="24">
        <f>F9560-DATE(2026,8,31)</f>
        <v>3</v>
      </c>
      <c r="H9560" s="25" t="n">
        <v>2688420439</v>
      </c>
      <c r="I9560" t="inlineStr">
        <is>
          <t>fondo-dia</t>
        </is>
      </c>
    </row>
    <row r="9561">
      <c r="A9561" t="inlineStr">
        <is>
          <t>PRAGMA</t>
        </is>
      </c>
      <c r="B9561" t="inlineStr">
        <is>
          <t>M4</t>
        </is>
      </c>
      <c r="C9561" t="inlineStr">
        <is>
          <t>Cali</t>
        </is>
      </c>
      <c r="D9561" t="inlineStr">
        <is>
          <t>CALI|TRANSPORTADORA_003</t>
        </is>
      </c>
      <c r="E9561" t="inlineStr">
        <is>
          <t>ingreso_efectivo_cbr</t>
        </is>
      </c>
      <c r="F9561" s="23" t="n">
        <v>46269</v>
      </c>
      <c r="G9561" s="24">
        <f>F9561-DATE(2026,8,31)</f>
        <v>4</v>
      </c>
      <c r="H9561" s="25" t="n">
        <v>613611528</v>
      </c>
      <c r="I9561" t="inlineStr">
        <is>
          <t>fondo-dia</t>
        </is>
      </c>
    </row>
    <row r="9562">
      <c r="A9562" t="inlineStr">
        <is>
          <t>PRAGMA</t>
        </is>
      </c>
      <c r="B9562" t="inlineStr">
        <is>
          <t>M4</t>
        </is>
      </c>
      <c r="C9562" t="inlineStr">
        <is>
          <t>Cali</t>
        </is>
      </c>
      <c r="D9562" t="inlineStr">
        <is>
          <t>CALI|TRANSPORTADORA_003</t>
        </is>
      </c>
      <c r="E9562" t="inlineStr">
        <is>
          <t>ingreso_efectivo_cbr</t>
        </is>
      </c>
      <c r="F9562" s="23" t="n">
        <v>46270</v>
      </c>
      <c r="G9562" s="24">
        <f>F9562-DATE(2026,8,31)</f>
        <v>5</v>
      </c>
      <c r="H9562" s="25" t="n">
        <v>1923103806</v>
      </c>
      <c r="I9562" t="inlineStr">
        <is>
          <t>fondo-dia</t>
        </is>
      </c>
    </row>
    <row r="9563">
      <c r="A9563" t="inlineStr">
        <is>
          <t>PRAGMA</t>
        </is>
      </c>
      <c r="B9563" t="inlineStr">
        <is>
          <t>M4</t>
        </is>
      </c>
      <c r="C9563" t="inlineStr">
        <is>
          <t>Cali</t>
        </is>
      </c>
      <c r="D9563" t="inlineStr">
        <is>
          <t>CALI|TRANSPORTADORA_003</t>
        </is>
      </c>
      <c r="E9563" t="inlineStr">
        <is>
          <t>ingreso_efectivo_cbr</t>
        </is>
      </c>
      <c r="F9563" s="23" t="n">
        <v>46271</v>
      </c>
      <c r="G9563" s="24">
        <f>F9563-DATE(2026,8,31)</f>
        <v>6</v>
      </c>
      <c r="H9563" s="25" t="n">
        <v>1625235341</v>
      </c>
      <c r="I9563" t="inlineStr">
        <is>
          <t>fondo-dia</t>
        </is>
      </c>
    </row>
    <row r="9564">
      <c r="A9564" t="inlineStr">
        <is>
          <t>PRAGMA</t>
        </is>
      </c>
      <c r="B9564" t="inlineStr">
        <is>
          <t>M4</t>
        </is>
      </c>
      <c r="C9564" t="inlineStr">
        <is>
          <t>Cali</t>
        </is>
      </c>
      <c r="D9564" t="inlineStr">
        <is>
          <t>CALI|TRANSPORTADORA_003</t>
        </is>
      </c>
      <c r="E9564" t="inlineStr">
        <is>
          <t>ingreso_efectivo_cbr</t>
        </is>
      </c>
      <c r="F9564" s="23" t="n">
        <v>46272</v>
      </c>
      <c r="G9564" s="24">
        <f>F9564-DATE(2026,8,31)</f>
        <v>7</v>
      </c>
      <c r="H9564" s="25" t="n">
        <v>514919578</v>
      </c>
      <c r="I9564" t="inlineStr">
        <is>
          <t>fondo-dia</t>
        </is>
      </c>
    </row>
    <row r="9565">
      <c r="A9565" t="inlineStr">
        <is>
          <t>PRAGMA</t>
        </is>
      </c>
      <c r="B9565" t="inlineStr">
        <is>
          <t>M4</t>
        </is>
      </c>
      <c r="C9565" t="inlineStr">
        <is>
          <t>Cali</t>
        </is>
      </c>
      <c r="D9565" t="inlineStr">
        <is>
          <t>CALI|TRANSPORTADORA_003</t>
        </is>
      </c>
      <c r="E9565" t="inlineStr">
        <is>
          <t>ingreso_efectivo_cbr</t>
        </is>
      </c>
      <c r="F9565" s="23" t="n">
        <v>46273</v>
      </c>
      <c r="G9565" s="24">
        <f>F9565-DATE(2026,8,31)</f>
        <v>8</v>
      </c>
      <c r="H9565" s="25" t="n">
        <v>1230747808</v>
      </c>
      <c r="I9565" t="inlineStr">
        <is>
          <t>fondo-dia</t>
        </is>
      </c>
    </row>
    <row r="9566">
      <c r="A9566" t="inlineStr">
        <is>
          <t>PRAGMA</t>
        </is>
      </c>
      <c r="B9566" t="inlineStr">
        <is>
          <t>M4</t>
        </is>
      </c>
      <c r="C9566" t="inlineStr">
        <is>
          <t>Cali</t>
        </is>
      </c>
      <c r="D9566" t="inlineStr">
        <is>
          <t>CALI|TRANSPORTADORA_003</t>
        </is>
      </c>
      <c r="E9566" t="inlineStr">
        <is>
          <t>ingreso_efectivo_cbr</t>
        </is>
      </c>
      <c r="F9566" s="23" t="n">
        <v>46274</v>
      </c>
      <c r="G9566" s="24">
        <f>F9566-DATE(2026,8,31)</f>
        <v>9</v>
      </c>
      <c r="H9566" s="25" t="n">
        <v>2696379534</v>
      </c>
      <c r="I9566" t="inlineStr">
        <is>
          <t>fondo-dia</t>
        </is>
      </c>
    </row>
    <row r="9567">
      <c r="A9567" t="inlineStr">
        <is>
          <t>PRAGMA</t>
        </is>
      </c>
      <c r="B9567" t="inlineStr">
        <is>
          <t>M4</t>
        </is>
      </c>
      <c r="C9567" t="inlineStr">
        <is>
          <t>Cali</t>
        </is>
      </c>
      <c r="D9567" t="inlineStr">
        <is>
          <t>CALI|TRANSPORTADORA_003</t>
        </is>
      </c>
      <c r="E9567" t="inlineStr">
        <is>
          <t>ingreso_efectivo_cbr</t>
        </is>
      </c>
      <c r="F9567" s="23" t="n">
        <v>46275</v>
      </c>
      <c r="G9567" s="24">
        <f>F9567-DATE(2026,8,31)</f>
        <v>10</v>
      </c>
      <c r="H9567" s="25" t="n">
        <v>3402534063</v>
      </c>
      <c r="I9567" t="inlineStr">
        <is>
          <t>fondo-dia</t>
        </is>
      </c>
    </row>
    <row r="9568">
      <c r="A9568" t="inlineStr">
        <is>
          <t>PRAGMA</t>
        </is>
      </c>
      <c r="B9568" t="inlineStr">
        <is>
          <t>M4</t>
        </is>
      </c>
      <c r="C9568" t="inlineStr">
        <is>
          <t>Cali</t>
        </is>
      </c>
      <c r="D9568" t="inlineStr">
        <is>
          <t>CALI|TRANSPORTADORA_003</t>
        </is>
      </c>
      <c r="E9568" t="inlineStr">
        <is>
          <t>ingreso_efectivo_cbr</t>
        </is>
      </c>
      <c r="F9568" s="23" t="n">
        <v>46276</v>
      </c>
      <c r="G9568" s="24">
        <f>F9568-DATE(2026,8,31)</f>
        <v>11</v>
      </c>
      <c r="H9568" s="25" t="n">
        <v>595765981</v>
      </c>
      <c r="I9568" t="inlineStr">
        <is>
          <t>fondo-dia</t>
        </is>
      </c>
    </row>
    <row r="9569">
      <c r="A9569" t="inlineStr">
        <is>
          <t>PRAGMA</t>
        </is>
      </c>
      <c r="B9569" t="inlineStr">
        <is>
          <t>M4</t>
        </is>
      </c>
      <c r="C9569" t="inlineStr">
        <is>
          <t>Cali</t>
        </is>
      </c>
      <c r="D9569" t="inlineStr">
        <is>
          <t>CALI|TRANSPORTADORA_003</t>
        </is>
      </c>
      <c r="E9569" t="inlineStr">
        <is>
          <t>ingreso_efectivo_cbr</t>
        </is>
      </c>
      <c r="F9569" s="23" t="n">
        <v>46277</v>
      </c>
      <c r="G9569" s="24">
        <f>F9569-DATE(2026,8,31)</f>
        <v>12</v>
      </c>
      <c r="H9569" s="25" t="n">
        <v>2142158844</v>
      </c>
      <c r="I9569" t="inlineStr">
        <is>
          <t>fondo-dia</t>
        </is>
      </c>
    </row>
    <row r="9570">
      <c r="A9570" t="inlineStr">
        <is>
          <t>PRAGMA</t>
        </is>
      </c>
      <c r="B9570" t="inlineStr">
        <is>
          <t>M4</t>
        </is>
      </c>
      <c r="C9570" t="inlineStr">
        <is>
          <t>Cali</t>
        </is>
      </c>
      <c r="D9570" t="inlineStr">
        <is>
          <t>CALI|TRANSPORTADORA_003</t>
        </is>
      </c>
      <c r="E9570" t="inlineStr">
        <is>
          <t>ingreso_efectivo_cbr</t>
        </is>
      </c>
      <c r="F9570" s="23" t="n">
        <v>46278</v>
      </c>
      <c r="G9570" s="24">
        <f>F9570-DATE(2026,8,31)</f>
        <v>13</v>
      </c>
      <c r="H9570" s="25" t="n">
        <v>1269049231</v>
      </c>
      <c r="I9570" t="inlineStr">
        <is>
          <t>fondo-dia</t>
        </is>
      </c>
    </row>
    <row r="9571">
      <c r="A9571" t="inlineStr">
        <is>
          <t>PRAGMA</t>
        </is>
      </c>
      <c r="B9571" t="inlineStr">
        <is>
          <t>M4</t>
        </is>
      </c>
      <c r="C9571" t="inlineStr">
        <is>
          <t>Cali</t>
        </is>
      </c>
      <c r="D9571" t="inlineStr">
        <is>
          <t>CALI|TRANSPORTADORA_003</t>
        </is>
      </c>
      <c r="E9571" t="inlineStr">
        <is>
          <t>ingreso_efectivo_cbr</t>
        </is>
      </c>
      <c r="F9571" s="23" t="n">
        <v>46279</v>
      </c>
      <c r="G9571" s="24">
        <f>F9571-DATE(2026,8,31)</f>
        <v>14</v>
      </c>
      <c r="H9571" s="25" t="n">
        <v>542907182</v>
      </c>
      <c r="I9571" t="inlineStr">
        <is>
          <t>fondo-dia</t>
        </is>
      </c>
    </row>
    <row r="9572">
      <c r="A9572" t="inlineStr">
        <is>
          <t>PRAGMA</t>
        </is>
      </c>
      <c r="B9572" t="inlineStr">
        <is>
          <t>M4</t>
        </is>
      </c>
      <c r="C9572" t="inlineStr">
        <is>
          <t>Cali</t>
        </is>
      </c>
      <c r="D9572" t="inlineStr">
        <is>
          <t>CALI|TRANSPORTADORA_003</t>
        </is>
      </c>
      <c r="E9572" t="inlineStr">
        <is>
          <t>ingreso_efectivo_cbr</t>
        </is>
      </c>
      <c r="F9572" s="23" t="n">
        <v>46280</v>
      </c>
      <c r="G9572" s="24">
        <f>F9572-DATE(2026,8,31)</f>
        <v>15</v>
      </c>
      <c r="H9572" s="25" t="n">
        <v>1165431676</v>
      </c>
      <c r="I9572" t="inlineStr">
        <is>
          <t>fondo-dia</t>
        </is>
      </c>
    </row>
    <row r="9573">
      <c r="A9573" t="inlineStr">
        <is>
          <t>PRAGMA</t>
        </is>
      </c>
      <c r="B9573" t="inlineStr">
        <is>
          <t>M4</t>
        </is>
      </c>
      <c r="C9573" t="inlineStr">
        <is>
          <t>Ipiales</t>
        </is>
      </c>
      <c r="D9573" t="inlineStr">
        <is>
          <t>IPIALES|TRANSPORTADORA_002</t>
        </is>
      </c>
      <c r="E9573" t="inlineStr">
        <is>
          <t>ingreso_efectivo_cbr</t>
        </is>
      </c>
      <c r="F9573" s="23" t="n">
        <v>46266</v>
      </c>
      <c r="G9573" s="24">
        <f>F9573-DATE(2026,8,31)</f>
        <v>1</v>
      </c>
      <c r="H9573" s="25" t="n">
        <v>1680603748</v>
      </c>
      <c r="I9573" t="inlineStr">
        <is>
          <t>fondo-dia</t>
        </is>
      </c>
    </row>
    <row r="9574">
      <c r="A9574" t="inlineStr">
        <is>
          <t>PRAGMA</t>
        </is>
      </c>
      <c r="B9574" t="inlineStr">
        <is>
          <t>M4</t>
        </is>
      </c>
      <c r="C9574" t="inlineStr">
        <is>
          <t>Ipiales</t>
        </is>
      </c>
      <c r="D9574" t="inlineStr">
        <is>
          <t>IPIALES|TRANSPORTADORA_002</t>
        </is>
      </c>
      <c r="E9574" t="inlineStr">
        <is>
          <t>ingreso_efectivo_cbr</t>
        </is>
      </c>
      <c r="F9574" s="23" t="n">
        <v>46267</v>
      </c>
      <c r="G9574" s="24">
        <f>F9574-DATE(2026,8,31)</f>
        <v>2</v>
      </c>
      <c r="H9574" s="25" t="n">
        <v>1912606924</v>
      </c>
      <c r="I9574" t="inlineStr">
        <is>
          <t>fondo-dia</t>
        </is>
      </c>
    </row>
    <row r="9575">
      <c r="A9575" t="inlineStr">
        <is>
          <t>PRAGMA</t>
        </is>
      </c>
      <c r="B9575" t="inlineStr">
        <is>
          <t>M4</t>
        </is>
      </c>
      <c r="C9575" t="inlineStr">
        <is>
          <t>Ipiales</t>
        </is>
      </c>
      <c r="D9575" t="inlineStr">
        <is>
          <t>IPIALES|TRANSPORTADORA_002</t>
        </is>
      </c>
      <c r="E9575" t="inlineStr">
        <is>
          <t>ingreso_efectivo_cbr</t>
        </is>
      </c>
      <c r="F9575" s="23" t="n">
        <v>46268</v>
      </c>
      <c r="G9575" s="24">
        <f>F9575-DATE(2026,8,31)</f>
        <v>3</v>
      </c>
      <c r="H9575" s="25" t="n">
        <v>1974531584</v>
      </c>
      <c r="I9575" t="inlineStr">
        <is>
          <t>fondo-dia</t>
        </is>
      </c>
    </row>
    <row r="9576">
      <c r="A9576" t="inlineStr">
        <is>
          <t>PRAGMA</t>
        </is>
      </c>
      <c r="B9576" t="inlineStr">
        <is>
          <t>M4</t>
        </is>
      </c>
      <c r="C9576" t="inlineStr">
        <is>
          <t>Ipiales</t>
        </is>
      </c>
      <c r="D9576" t="inlineStr">
        <is>
          <t>IPIALES|TRANSPORTADORA_002</t>
        </is>
      </c>
      <c r="E9576" t="inlineStr">
        <is>
          <t>ingreso_efectivo_cbr</t>
        </is>
      </c>
      <c r="F9576" s="23" t="n">
        <v>46269</v>
      </c>
      <c r="G9576" s="24">
        <f>F9576-DATE(2026,8,31)</f>
        <v>4</v>
      </c>
      <c r="H9576" s="25" t="n">
        <v>2165966190</v>
      </c>
      <c r="I9576" t="inlineStr">
        <is>
          <t>fondo-dia</t>
        </is>
      </c>
    </row>
    <row r="9577">
      <c r="A9577" t="inlineStr">
        <is>
          <t>PRAGMA</t>
        </is>
      </c>
      <c r="B9577" t="inlineStr">
        <is>
          <t>M4</t>
        </is>
      </c>
      <c r="C9577" t="inlineStr">
        <is>
          <t>Ipiales</t>
        </is>
      </c>
      <c r="D9577" t="inlineStr">
        <is>
          <t>IPIALES|TRANSPORTADORA_002</t>
        </is>
      </c>
      <c r="E9577" t="inlineStr">
        <is>
          <t>ingreso_efectivo_cbr</t>
        </is>
      </c>
      <c r="F9577" s="23" t="n">
        <v>46270</v>
      </c>
      <c r="G9577" s="24">
        <f>F9577-DATE(2026,8,31)</f>
        <v>5</v>
      </c>
      <c r="H9577" s="25" t="n">
        <v>1405255755</v>
      </c>
      <c r="I9577" t="inlineStr">
        <is>
          <t>fondo-dia</t>
        </is>
      </c>
    </row>
    <row r="9578">
      <c r="A9578" t="inlineStr">
        <is>
          <t>PRAGMA</t>
        </is>
      </c>
      <c r="B9578" t="inlineStr">
        <is>
          <t>M4</t>
        </is>
      </c>
      <c r="C9578" t="inlineStr">
        <is>
          <t>Ipiales</t>
        </is>
      </c>
      <c r="D9578" t="inlineStr">
        <is>
          <t>IPIALES|TRANSPORTADORA_002</t>
        </is>
      </c>
      <c r="E9578" t="inlineStr">
        <is>
          <t>ingreso_efectivo_cbr</t>
        </is>
      </c>
      <c r="F9578" s="23" t="n">
        <v>46271</v>
      </c>
      <c r="G9578" s="24">
        <f>F9578-DATE(2026,8,31)</f>
        <v>6</v>
      </c>
      <c r="H9578" s="25" t="n">
        <v>1763512831</v>
      </c>
      <c r="I9578" t="inlineStr">
        <is>
          <t>fondo-dia</t>
        </is>
      </c>
    </row>
    <row r="9579">
      <c r="A9579" t="inlineStr">
        <is>
          <t>PRAGMA</t>
        </is>
      </c>
      <c r="B9579" t="inlineStr">
        <is>
          <t>M4</t>
        </is>
      </c>
      <c r="C9579" t="inlineStr">
        <is>
          <t>Ipiales</t>
        </is>
      </c>
      <c r="D9579" t="inlineStr">
        <is>
          <t>IPIALES|TRANSPORTADORA_002</t>
        </is>
      </c>
      <c r="E9579" t="inlineStr">
        <is>
          <t>ingreso_efectivo_cbr</t>
        </is>
      </c>
      <c r="F9579" s="23" t="n">
        <v>46272</v>
      </c>
      <c r="G9579" s="24">
        <f>F9579-DATE(2026,8,31)</f>
        <v>7</v>
      </c>
      <c r="H9579" s="25" t="n">
        <v>1719198996</v>
      </c>
      <c r="I9579" t="inlineStr">
        <is>
          <t>fondo-dia</t>
        </is>
      </c>
    </row>
    <row r="9580">
      <c r="A9580" t="inlineStr">
        <is>
          <t>PRAGMA</t>
        </is>
      </c>
      <c r="B9580" t="inlineStr">
        <is>
          <t>M4</t>
        </is>
      </c>
      <c r="C9580" t="inlineStr">
        <is>
          <t>Ipiales</t>
        </is>
      </c>
      <c r="D9580" t="inlineStr">
        <is>
          <t>IPIALES|TRANSPORTADORA_002</t>
        </is>
      </c>
      <c r="E9580" t="inlineStr">
        <is>
          <t>ingreso_efectivo_cbr</t>
        </is>
      </c>
      <c r="F9580" s="23" t="n">
        <v>46273</v>
      </c>
      <c r="G9580" s="24">
        <f>F9580-DATE(2026,8,31)</f>
        <v>8</v>
      </c>
      <c r="H9580" s="25" t="n">
        <v>2156950951</v>
      </c>
      <c r="I9580" t="inlineStr">
        <is>
          <t>fondo-dia</t>
        </is>
      </c>
    </row>
    <row r="9581">
      <c r="A9581" t="inlineStr">
        <is>
          <t>PRAGMA</t>
        </is>
      </c>
      <c r="B9581" t="inlineStr">
        <is>
          <t>M4</t>
        </is>
      </c>
      <c r="C9581" t="inlineStr">
        <is>
          <t>Ipiales</t>
        </is>
      </c>
      <c r="D9581" t="inlineStr">
        <is>
          <t>IPIALES|TRANSPORTADORA_002</t>
        </is>
      </c>
      <c r="E9581" t="inlineStr">
        <is>
          <t>ingreso_efectivo_cbr</t>
        </is>
      </c>
      <c r="F9581" s="23" t="n">
        <v>46274</v>
      </c>
      <c r="G9581" s="24">
        <f>F9581-DATE(2026,8,31)</f>
        <v>9</v>
      </c>
      <c r="H9581" s="25" t="n">
        <v>2484526833</v>
      </c>
      <c r="I9581" t="inlineStr">
        <is>
          <t>fondo-dia</t>
        </is>
      </c>
    </row>
    <row r="9582">
      <c r="A9582" t="inlineStr">
        <is>
          <t>PRAGMA</t>
        </is>
      </c>
      <c r="B9582" t="inlineStr">
        <is>
          <t>M4</t>
        </is>
      </c>
      <c r="C9582" t="inlineStr">
        <is>
          <t>Ipiales</t>
        </is>
      </c>
      <c r="D9582" t="inlineStr">
        <is>
          <t>IPIALES|TRANSPORTADORA_002</t>
        </is>
      </c>
      <c r="E9582" t="inlineStr">
        <is>
          <t>ingreso_efectivo_cbr</t>
        </is>
      </c>
      <c r="F9582" s="23" t="n">
        <v>46275</v>
      </c>
      <c r="G9582" s="24">
        <f>F9582-DATE(2026,8,31)</f>
        <v>10</v>
      </c>
      <c r="H9582" s="25" t="n">
        <v>2101352789</v>
      </c>
      <c r="I9582" t="inlineStr">
        <is>
          <t>fondo-dia</t>
        </is>
      </c>
    </row>
    <row r="9583">
      <c r="A9583" t="inlineStr">
        <is>
          <t>PRAGMA</t>
        </is>
      </c>
      <c r="B9583" t="inlineStr">
        <is>
          <t>M4</t>
        </is>
      </c>
      <c r="C9583" t="inlineStr">
        <is>
          <t>Ipiales</t>
        </is>
      </c>
      <c r="D9583" t="inlineStr">
        <is>
          <t>IPIALES|TRANSPORTADORA_002</t>
        </is>
      </c>
      <c r="E9583" t="inlineStr">
        <is>
          <t>ingreso_efectivo_cbr</t>
        </is>
      </c>
      <c r="F9583" s="23" t="n">
        <v>46276</v>
      </c>
      <c r="G9583" s="24">
        <f>F9583-DATE(2026,8,31)</f>
        <v>11</v>
      </c>
      <c r="H9583" s="25" t="n">
        <v>2389218197</v>
      </c>
      <c r="I9583" t="inlineStr">
        <is>
          <t>fondo-dia</t>
        </is>
      </c>
    </row>
    <row r="9584">
      <c r="A9584" t="inlineStr">
        <is>
          <t>PRAGMA</t>
        </is>
      </c>
      <c r="B9584" t="inlineStr">
        <is>
          <t>M4</t>
        </is>
      </c>
      <c r="C9584" t="inlineStr">
        <is>
          <t>Ipiales</t>
        </is>
      </c>
      <c r="D9584" t="inlineStr">
        <is>
          <t>IPIALES|TRANSPORTADORA_002</t>
        </is>
      </c>
      <c r="E9584" t="inlineStr">
        <is>
          <t>ingreso_efectivo_cbr</t>
        </is>
      </c>
      <c r="F9584" s="23" t="n">
        <v>46277</v>
      </c>
      <c r="G9584" s="24">
        <f>F9584-DATE(2026,8,31)</f>
        <v>12</v>
      </c>
      <c r="H9584" s="25" t="n">
        <v>1300043438</v>
      </c>
      <c r="I9584" t="inlineStr">
        <is>
          <t>fondo-dia</t>
        </is>
      </c>
    </row>
    <row r="9585">
      <c r="A9585" t="inlineStr">
        <is>
          <t>PRAGMA</t>
        </is>
      </c>
      <c r="B9585" t="inlineStr">
        <is>
          <t>M4</t>
        </is>
      </c>
      <c r="C9585" t="inlineStr">
        <is>
          <t>Ipiales</t>
        </is>
      </c>
      <c r="D9585" t="inlineStr">
        <is>
          <t>IPIALES|TRANSPORTADORA_002</t>
        </is>
      </c>
      <c r="E9585" t="inlineStr">
        <is>
          <t>ingreso_efectivo_cbr</t>
        </is>
      </c>
      <c r="F9585" s="23" t="n">
        <v>46278</v>
      </c>
      <c r="G9585" s="24">
        <f>F9585-DATE(2026,8,31)</f>
        <v>13</v>
      </c>
      <c r="H9585" s="25" t="n">
        <v>1473075192</v>
      </c>
      <c r="I9585" t="inlineStr">
        <is>
          <t>fondo-dia</t>
        </is>
      </c>
    </row>
    <row r="9586">
      <c r="A9586" t="inlineStr">
        <is>
          <t>PRAGMA</t>
        </is>
      </c>
      <c r="B9586" t="inlineStr">
        <is>
          <t>M4</t>
        </is>
      </c>
      <c r="C9586" t="inlineStr">
        <is>
          <t>Ipiales</t>
        </is>
      </c>
      <c r="D9586" t="inlineStr">
        <is>
          <t>IPIALES|TRANSPORTADORA_002</t>
        </is>
      </c>
      <c r="E9586" t="inlineStr">
        <is>
          <t>ingreso_efectivo_cbr</t>
        </is>
      </c>
      <c r="F9586" s="23" t="n">
        <v>46279</v>
      </c>
      <c r="G9586" s="24">
        <f>F9586-DATE(2026,8,31)</f>
        <v>14</v>
      </c>
      <c r="H9586" s="25" t="n">
        <v>1816652419</v>
      </c>
      <c r="I9586" t="inlineStr">
        <is>
          <t>fondo-dia</t>
        </is>
      </c>
    </row>
    <row r="9587">
      <c r="A9587" t="inlineStr">
        <is>
          <t>PRAGMA</t>
        </is>
      </c>
      <c r="B9587" t="inlineStr">
        <is>
          <t>M4</t>
        </is>
      </c>
      <c r="C9587" t="inlineStr">
        <is>
          <t>Ipiales</t>
        </is>
      </c>
      <c r="D9587" t="inlineStr">
        <is>
          <t>IPIALES|TRANSPORTADORA_002</t>
        </is>
      </c>
      <c r="E9587" t="inlineStr">
        <is>
          <t>ingreso_efectivo_cbr</t>
        </is>
      </c>
      <c r="F9587" s="23" t="n">
        <v>46280</v>
      </c>
      <c r="G9587" s="24">
        <f>F9587-DATE(2026,8,31)</f>
        <v>15</v>
      </c>
      <c r="H9587" s="25" t="n">
        <v>2163542018</v>
      </c>
      <c r="I9587" t="inlineStr">
        <is>
          <t>fondo-dia</t>
        </is>
      </c>
    </row>
    <row r="9588">
      <c r="A9588" t="inlineStr">
        <is>
          <t>PRAGMA</t>
        </is>
      </c>
      <c r="B9588" t="inlineStr">
        <is>
          <t>M4</t>
        </is>
      </c>
      <c r="C9588" t="inlineStr">
        <is>
          <t>Pasto</t>
        </is>
      </c>
      <c r="D9588" t="inlineStr">
        <is>
          <t>PASTO|TRANSPORTADORA_001</t>
        </is>
      </c>
      <c r="E9588" t="inlineStr">
        <is>
          <t>ingreso_efectivo_cbr</t>
        </is>
      </c>
      <c r="F9588" s="23" t="n">
        <v>46266</v>
      </c>
      <c r="G9588" s="24">
        <f>F9588-DATE(2026,8,31)</f>
        <v>1</v>
      </c>
      <c r="H9588" s="25" t="n">
        <v>823463526</v>
      </c>
      <c r="I9588" t="inlineStr">
        <is>
          <t>fondo-dia</t>
        </is>
      </c>
    </row>
    <row r="9589">
      <c r="A9589" t="inlineStr">
        <is>
          <t>PRAGMA</t>
        </is>
      </c>
      <c r="B9589" t="inlineStr">
        <is>
          <t>M4</t>
        </is>
      </c>
      <c r="C9589" t="inlineStr">
        <is>
          <t>Pasto</t>
        </is>
      </c>
      <c r="D9589" t="inlineStr">
        <is>
          <t>PASTO|TRANSPORTADORA_001</t>
        </is>
      </c>
      <c r="E9589" t="inlineStr">
        <is>
          <t>ingreso_efectivo_cbr</t>
        </is>
      </c>
      <c r="F9589" s="23" t="n">
        <v>46267</v>
      </c>
      <c r="G9589" s="24">
        <f>F9589-DATE(2026,8,31)</f>
        <v>2</v>
      </c>
      <c r="H9589" s="25" t="n">
        <v>877069755</v>
      </c>
      <c r="I9589" t="inlineStr">
        <is>
          <t>fondo-dia</t>
        </is>
      </c>
    </row>
    <row r="9590">
      <c r="A9590" t="inlineStr">
        <is>
          <t>PRAGMA</t>
        </is>
      </c>
      <c r="B9590" t="inlineStr">
        <is>
          <t>M4</t>
        </is>
      </c>
      <c r="C9590" t="inlineStr">
        <is>
          <t>Pasto</t>
        </is>
      </c>
      <c r="D9590" t="inlineStr">
        <is>
          <t>PASTO|TRANSPORTADORA_001</t>
        </is>
      </c>
      <c r="E9590" t="inlineStr">
        <is>
          <t>ingreso_efectivo_cbr</t>
        </is>
      </c>
      <c r="F9590" s="23" t="n">
        <v>46268</v>
      </c>
      <c r="G9590" s="24">
        <f>F9590-DATE(2026,8,31)</f>
        <v>3</v>
      </c>
      <c r="H9590" s="25" t="n">
        <v>1017044059</v>
      </c>
      <c r="I9590" t="inlineStr">
        <is>
          <t>fondo-dia</t>
        </is>
      </c>
    </row>
    <row r="9591">
      <c r="A9591" t="inlineStr">
        <is>
          <t>PRAGMA</t>
        </is>
      </c>
      <c r="B9591" t="inlineStr">
        <is>
          <t>M4</t>
        </is>
      </c>
      <c r="C9591" t="inlineStr">
        <is>
          <t>Pasto</t>
        </is>
      </c>
      <c r="D9591" t="inlineStr">
        <is>
          <t>PASTO|TRANSPORTADORA_001</t>
        </is>
      </c>
      <c r="E9591" t="inlineStr">
        <is>
          <t>ingreso_efectivo_cbr</t>
        </is>
      </c>
      <c r="F9591" s="23" t="n">
        <v>46269</v>
      </c>
      <c r="G9591" s="24">
        <f>F9591-DATE(2026,8,31)</f>
        <v>4</v>
      </c>
      <c r="H9591" s="25" t="n">
        <v>984243081</v>
      </c>
      <c r="I9591" t="inlineStr">
        <is>
          <t>fondo-dia</t>
        </is>
      </c>
    </row>
    <row r="9592">
      <c r="A9592" t="inlineStr">
        <is>
          <t>PRAGMA</t>
        </is>
      </c>
      <c r="B9592" t="inlineStr">
        <is>
          <t>M4</t>
        </is>
      </c>
      <c r="C9592" t="inlineStr">
        <is>
          <t>Pasto</t>
        </is>
      </c>
      <c r="D9592" t="inlineStr">
        <is>
          <t>PASTO|TRANSPORTADORA_001</t>
        </is>
      </c>
      <c r="E9592" t="inlineStr">
        <is>
          <t>ingreso_efectivo_cbr</t>
        </is>
      </c>
      <c r="F9592" s="23" t="n">
        <v>46270</v>
      </c>
      <c r="G9592" s="24">
        <f>F9592-DATE(2026,8,31)</f>
        <v>5</v>
      </c>
      <c r="H9592" s="25" t="n">
        <v>536463615</v>
      </c>
      <c r="I9592" t="inlineStr">
        <is>
          <t>fondo-dia</t>
        </is>
      </c>
    </row>
    <row r="9593">
      <c r="A9593" t="inlineStr">
        <is>
          <t>PRAGMA</t>
        </is>
      </c>
      <c r="B9593" t="inlineStr">
        <is>
          <t>M4</t>
        </is>
      </c>
      <c r="C9593" t="inlineStr">
        <is>
          <t>Pasto</t>
        </is>
      </c>
      <c r="D9593" t="inlineStr">
        <is>
          <t>PASTO|TRANSPORTADORA_001</t>
        </is>
      </c>
      <c r="E9593" t="inlineStr">
        <is>
          <t>ingreso_efectivo_cbr</t>
        </is>
      </c>
      <c r="F9593" s="23" t="n">
        <v>46271</v>
      </c>
      <c r="G9593" s="24">
        <f>F9593-DATE(2026,8,31)</f>
        <v>6</v>
      </c>
      <c r="H9593" s="25" t="n">
        <v>861618941</v>
      </c>
      <c r="I9593" t="inlineStr">
        <is>
          <t>fondo-dia</t>
        </is>
      </c>
    </row>
    <row r="9594">
      <c r="A9594" t="inlineStr">
        <is>
          <t>PRAGMA</t>
        </is>
      </c>
      <c r="B9594" t="inlineStr">
        <is>
          <t>M4</t>
        </is>
      </c>
      <c r="C9594" t="inlineStr">
        <is>
          <t>Pasto</t>
        </is>
      </c>
      <c r="D9594" t="inlineStr">
        <is>
          <t>PASTO|TRANSPORTADORA_001</t>
        </is>
      </c>
      <c r="E9594" t="inlineStr">
        <is>
          <t>ingreso_efectivo_cbr</t>
        </is>
      </c>
      <c r="F9594" s="23" t="n">
        <v>46272</v>
      </c>
      <c r="G9594" s="24">
        <f>F9594-DATE(2026,8,31)</f>
        <v>7</v>
      </c>
      <c r="H9594" s="25" t="n">
        <v>1040305198</v>
      </c>
      <c r="I9594" t="inlineStr">
        <is>
          <t>fondo-dia</t>
        </is>
      </c>
    </row>
    <row r="9595">
      <c r="A9595" t="inlineStr">
        <is>
          <t>PRAGMA</t>
        </is>
      </c>
      <c r="B9595" t="inlineStr">
        <is>
          <t>M4</t>
        </is>
      </c>
      <c r="C9595" t="inlineStr">
        <is>
          <t>Pasto</t>
        </is>
      </c>
      <c r="D9595" t="inlineStr">
        <is>
          <t>PASTO|TRANSPORTADORA_001</t>
        </is>
      </c>
      <c r="E9595" t="inlineStr">
        <is>
          <t>ingreso_efectivo_cbr</t>
        </is>
      </c>
      <c r="F9595" s="23" t="n">
        <v>46273</v>
      </c>
      <c r="G9595" s="24">
        <f>F9595-DATE(2026,8,31)</f>
        <v>8</v>
      </c>
      <c r="H9595" s="25" t="n">
        <v>1096712040</v>
      </c>
      <c r="I9595" t="inlineStr">
        <is>
          <t>fondo-dia</t>
        </is>
      </c>
    </row>
    <row r="9596">
      <c r="A9596" t="inlineStr">
        <is>
          <t>PRAGMA</t>
        </is>
      </c>
      <c r="B9596" t="inlineStr">
        <is>
          <t>M4</t>
        </is>
      </c>
      <c r="C9596" t="inlineStr">
        <is>
          <t>Pasto</t>
        </is>
      </c>
      <c r="D9596" t="inlineStr">
        <is>
          <t>PASTO|TRANSPORTADORA_001</t>
        </is>
      </c>
      <c r="E9596" t="inlineStr">
        <is>
          <t>ingreso_efectivo_cbr</t>
        </is>
      </c>
      <c r="F9596" s="23" t="n">
        <v>46274</v>
      </c>
      <c r="G9596" s="24">
        <f>F9596-DATE(2026,8,31)</f>
        <v>9</v>
      </c>
      <c r="H9596" s="25" t="n">
        <v>1182312925</v>
      </c>
      <c r="I9596" t="inlineStr">
        <is>
          <t>fondo-dia</t>
        </is>
      </c>
    </row>
    <row r="9597">
      <c r="A9597" t="inlineStr">
        <is>
          <t>PRAGMA</t>
        </is>
      </c>
      <c r="B9597" t="inlineStr">
        <is>
          <t>M4</t>
        </is>
      </c>
      <c r="C9597" t="inlineStr">
        <is>
          <t>Pasto</t>
        </is>
      </c>
      <c r="D9597" t="inlineStr">
        <is>
          <t>PASTO|TRANSPORTADORA_001</t>
        </is>
      </c>
      <c r="E9597" t="inlineStr">
        <is>
          <t>ingreso_efectivo_cbr</t>
        </is>
      </c>
      <c r="F9597" s="23" t="n">
        <v>46275</v>
      </c>
      <c r="G9597" s="24">
        <f>F9597-DATE(2026,8,31)</f>
        <v>10</v>
      </c>
      <c r="H9597" s="25" t="n">
        <v>1103322490</v>
      </c>
      <c r="I9597" t="inlineStr">
        <is>
          <t>fondo-dia</t>
        </is>
      </c>
    </row>
    <row r="9598">
      <c r="A9598" t="inlineStr">
        <is>
          <t>PRAGMA</t>
        </is>
      </c>
      <c r="B9598" t="inlineStr">
        <is>
          <t>M4</t>
        </is>
      </c>
      <c r="C9598" t="inlineStr">
        <is>
          <t>Pasto</t>
        </is>
      </c>
      <c r="D9598" t="inlineStr">
        <is>
          <t>PASTO|TRANSPORTADORA_001</t>
        </is>
      </c>
      <c r="E9598" t="inlineStr">
        <is>
          <t>ingreso_efectivo_cbr</t>
        </is>
      </c>
      <c r="F9598" s="23" t="n">
        <v>46276</v>
      </c>
      <c r="G9598" s="24">
        <f>F9598-DATE(2026,8,31)</f>
        <v>11</v>
      </c>
      <c r="H9598" s="25" t="n">
        <v>1117482457</v>
      </c>
      <c r="I9598" t="inlineStr">
        <is>
          <t>fondo-dia</t>
        </is>
      </c>
    </row>
    <row r="9599">
      <c r="A9599" t="inlineStr">
        <is>
          <t>PRAGMA</t>
        </is>
      </c>
      <c r="B9599" t="inlineStr">
        <is>
          <t>M4</t>
        </is>
      </c>
      <c r="C9599" t="inlineStr">
        <is>
          <t>Pasto</t>
        </is>
      </c>
      <c r="D9599" t="inlineStr">
        <is>
          <t>PASTO|TRANSPORTADORA_001</t>
        </is>
      </c>
      <c r="E9599" t="inlineStr">
        <is>
          <t>ingreso_efectivo_cbr</t>
        </is>
      </c>
      <c r="F9599" s="23" t="n">
        <v>46277</v>
      </c>
      <c r="G9599" s="24">
        <f>F9599-DATE(2026,8,31)</f>
        <v>12</v>
      </c>
      <c r="H9599" s="25" t="n">
        <v>521640974</v>
      </c>
      <c r="I9599" t="inlineStr">
        <is>
          <t>fondo-dia</t>
        </is>
      </c>
    </row>
    <row r="9600">
      <c r="A9600" t="inlineStr">
        <is>
          <t>PRAGMA</t>
        </is>
      </c>
      <c r="B9600" t="inlineStr">
        <is>
          <t>M4</t>
        </is>
      </c>
      <c r="C9600" t="inlineStr">
        <is>
          <t>Pasto</t>
        </is>
      </c>
      <c r="D9600" t="inlineStr">
        <is>
          <t>PASTO|TRANSPORTADORA_001</t>
        </is>
      </c>
      <c r="E9600" t="inlineStr">
        <is>
          <t>ingreso_efectivo_cbr</t>
        </is>
      </c>
      <c r="F9600" s="23" t="n">
        <v>46278</v>
      </c>
      <c r="G9600" s="24">
        <f>F9600-DATE(2026,8,31)</f>
        <v>13</v>
      </c>
      <c r="H9600" s="25" t="n">
        <v>741636529</v>
      </c>
      <c r="I9600" t="inlineStr">
        <is>
          <t>fondo-dia</t>
        </is>
      </c>
    </row>
    <row r="9601">
      <c r="A9601" t="inlineStr">
        <is>
          <t>PRAGMA</t>
        </is>
      </c>
      <c r="B9601" t="inlineStr">
        <is>
          <t>M4</t>
        </is>
      </c>
      <c r="C9601" t="inlineStr">
        <is>
          <t>Pasto</t>
        </is>
      </c>
      <c r="D9601" t="inlineStr">
        <is>
          <t>PASTO|TRANSPORTADORA_001</t>
        </is>
      </c>
      <c r="E9601" t="inlineStr">
        <is>
          <t>ingreso_efectivo_cbr</t>
        </is>
      </c>
      <c r="F9601" s="23" t="n">
        <v>46279</v>
      </c>
      <c r="G9601" s="24">
        <f>F9601-DATE(2026,8,31)</f>
        <v>14</v>
      </c>
      <c r="H9601" s="25" t="n">
        <v>1047593563</v>
      </c>
      <c r="I9601" t="inlineStr">
        <is>
          <t>fondo-dia</t>
        </is>
      </c>
    </row>
    <row r="9602">
      <c r="A9602" t="inlineStr">
        <is>
          <t>PRAGMA</t>
        </is>
      </c>
      <c r="B9602" t="inlineStr">
        <is>
          <t>M4</t>
        </is>
      </c>
      <c r="C9602" t="inlineStr">
        <is>
          <t>Pasto</t>
        </is>
      </c>
      <c r="D9602" t="inlineStr">
        <is>
          <t>PASTO|TRANSPORTADORA_001</t>
        </is>
      </c>
      <c r="E9602" t="inlineStr">
        <is>
          <t>ingreso_efectivo_cbr</t>
        </is>
      </c>
      <c r="F9602" s="23" t="n">
        <v>46280</v>
      </c>
      <c r="G9602" s="24">
        <f>F9602-DATE(2026,8,31)</f>
        <v>15</v>
      </c>
      <c r="H9602" s="25" t="n">
        <v>1094173022</v>
      </c>
      <c r="I9602" t="inlineStr">
        <is>
          <t>fondo-dia</t>
        </is>
      </c>
    </row>
    <row r="9603">
      <c r="A9603" t="inlineStr">
        <is>
          <t>PRAGMA</t>
        </is>
      </c>
      <c r="B9603" t="inlineStr">
        <is>
          <t>M5</t>
        </is>
      </c>
      <c r="C9603" t="inlineStr">
        <is>
          <t>Cali</t>
        </is>
      </c>
      <c r="D9603" t="inlineStr">
        <is>
          <t>CALI|TRANSPORTADORA_001</t>
        </is>
      </c>
      <c r="E9603" t="inlineStr">
        <is>
          <t>ingreso_efectivo_clientes</t>
        </is>
      </c>
      <c r="F9603" s="23" t="n">
        <v>46266</v>
      </c>
      <c r="G9603" s="24">
        <f>F9603-DATE(2026,8,31)</f>
        <v>1</v>
      </c>
      <c r="H9603" s="25" t="n">
        <v>8013682722</v>
      </c>
      <c r="I9603" t="inlineStr">
        <is>
          <t>fondo-dia</t>
        </is>
      </c>
    </row>
    <row r="9604">
      <c r="A9604" t="inlineStr">
        <is>
          <t>PRAGMA</t>
        </is>
      </c>
      <c r="B9604" t="inlineStr">
        <is>
          <t>M5</t>
        </is>
      </c>
      <c r="C9604" t="inlineStr">
        <is>
          <t>Cali</t>
        </is>
      </c>
      <c r="D9604" t="inlineStr">
        <is>
          <t>CALI|TRANSPORTADORA_001</t>
        </is>
      </c>
      <c r="E9604" t="inlineStr">
        <is>
          <t>ingreso_efectivo_clientes</t>
        </is>
      </c>
      <c r="F9604" s="23" t="n">
        <v>46267</v>
      </c>
      <c r="G9604" s="24">
        <f>F9604-DATE(2026,8,31)</f>
        <v>2</v>
      </c>
      <c r="H9604" s="25" t="n">
        <v>7228765186</v>
      </c>
      <c r="I9604" t="inlineStr">
        <is>
          <t>fondo-dia</t>
        </is>
      </c>
    </row>
    <row r="9605">
      <c r="A9605" t="inlineStr">
        <is>
          <t>PRAGMA</t>
        </is>
      </c>
      <c r="B9605" t="inlineStr">
        <is>
          <t>M5</t>
        </is>
      </c>
      <c r="C9605" t="inlineStr">
        <is>
          <t>Cali</t>
        </is>
      </c>
      <c r="D9605" t="inlineStr">
        <is>
          <t>CALI|TRANSPORTADORA_001</t>
        </is>
      </c>
      <c r="E9605" t="inlineStr">
        <is>
          <t>ingreso_efectivo_clientes</t>
        </is>
      </c>
      <c r="F9605" s="23" t="n">
        <v>46268</v>
      </c>
      <c r="G9605" s="24">
        <f>F9605-DATE(2026,8,31)</f>
        <v>3</v>
      </c>
      <c r="H9605" s="25" t="n">
        <v>10402421552</v>
      </c>
      <c r="I9605" t="inlineStr">
        <is>
          <t>fondo-dia</t>
        </is>
      </c>
    </row>
    <row r="9606">
      <c r="A9606" t="inlineStr">
        <is>
          <t>PRAGMA</t>
        </is>
      </c>
      <c r="B9606" t="inlineStr">
        <is>
          <t>M5</t>
        </is>
      </c>
      <c r="C9606" t="inlineStr">
        <is>
          <t>Cali</t>
        </is>
      </c>
      <c r="D9606" t="inlineStr">
        <is>
          <t>CALI|TRANSPORTADORA_001</t>
        </is>
      </c>
      <c r="E9606" t="inlineStr">
        <is>
          <t>ingreso_efectivo_clientes</t>
        </is>
      </c>
      <c r="F9606" s="23" t="n">
        <v>46269</v>
      </c>
      <c r="G9606" s="24">
        <f>F9606-DATE(2026,8,31)</f>
        <v>4</v>
      </c>
      <c r="H9606" s="25" t="n">
        <v>8826600424</v>
      </c>
      <c r="I9606" t="inlineStr">
        <is>
          <t>fondo-dia</t>
        </is>
      </c>
    </row>
    <row r="9607">
      <c r="A9607" t="inlineStr">
        <is>
          <t>PRAGMA</t>
        </is>
      </c>
      <c r="B9607" t="inlineStr">
        <is>
          <t>M5</t>
        </is>
      </c>
      <c r="C9607" t="inlineStr">
        <is>
          <t>Cali</t>
        </is>
      </c>
      <c r="D9607" t="inlineStr">
        <is>
          <t>CALI|TRANSPORTADORA_001</t>
        </is>
      </c>
      <c r="E9607" t="inlineStr">
        <is>
          <t>ingreso_efectivo_clientes</t>
        </is>
      </c>
      <c r="F9607" s="23" t="n">
        <v>46270</v>
      </c>
      <c r="G9607" s="24">
        <f>F9607-DATE(2026,8,31)</f>
        <v>5</v>
      </c>
      <c r="H9607" s="25" t="n">
        <v>597799892</v>
      </c>
      <c r="I9607" t="inlineStr">
        <is>
          <t>fondo-dia</t>
        </is>
      </c>
    </row>
    <row r="9608">
      <c r="A9608" t="inlineStr">
        <is>
          <t>PRAGMA</t>
        </is>
      </c>
      <c r="B9608" t="inlineStr">
        <is>
          <t>M5</t>
        </is>
      </c>
      <c r="C9608" t="inlineStr">
        <is>
          <t>Cali</t>
        </is>
      </c>
      <c r="D9608" t="inlineStr">
        <is>
          <t>CALI|TRANSPORTADORA_001</t>
        </is>
      </c>
      <c r="E9608" t="inlineStr">
        <is>
          <t>ingreso_efectivo_clientes</t>
        </is>
      </c>
      <c r="F9608" s="23" t="n">
        <v>46271</v>
      </c>
      <c r="G9608" s="24">
        <f>F9608-DATE(2026,8,31)</f>
        <v>6</v>
      </c>
      <c r="H9608" s="25" t="n">
        <v>181932991</v>
      </c>
      <c r="I9608" t="inlineStr">
        <is>
          <t>fondo-dia</t>
        </is>
      </c>
    </row>
    <row r="9609">
      <c r="A9609" t="inlineStr">
        <is>
          <t>PRAGMA</t>
        </is>
      </c>
      <c r="B9609" t="inlineStr">
        <is>
          <t>M5</t>
        </is>
      </c>
      <c r="C9609" t="inlineStr">
        <is>
          <t>Cali</t>
        </is>
      </c>
      <c r="D9609" t="inlineStr">
        <is>
          <t>CALI|TRANSPORTADORA_001</t>
        </is>
      </c>
      <c r="E9609" t="inlineStr">
        <is>
          <t>ingreso_efectivo_clientes</t>
        </is>
      </c>
      <c r="F9609" s="23" t="n">
        <v>46272</v>
      </c>
      <c r="G9609" s="24">
        <f>F9609-DATE(2026,8,31)</f>
        <v>7</v>
      </c>
      <c r="H9609" s="25" t="n">
        <v>14541034673</v>
      </c>
      <c r="I9609" t="inlineStr">
        <is>
          <t>fondo-dia</t>
        </is>
      </c>
    </row>
    <row r="9610">
      <c r="A9610" t="inlineStr">
        <is>
          <t>PRAGMA</t>
        </is>
      </c>
      <c r="B9610" t="inlineStr">
        <is>
          <t>M5</t>
        </is>
      </c>
      <c r="C9610" t="inlineStr">
        <is>
          <t>Cali</t>
        </is>
      </c>
      <c r="D9610" t="inlineStr">
        <is>
          <t>CALI|TRANSPORTADORA_001</t>
        </is>
      </c>
      <c r="E9610" t="inlineStr">
        <is>
          <t>ingreso_efectivo_clientes</t>
        </is>
      </c>
      <c r="F9610" s="23" t="n">
        <v>46273</v>
      </c>
      <c r="G9610" s="24">
        <f>F9610-DATE(2026,8,31)</f>
        <v>8</v>
      </c>
      <c r="H9610" s="25" t="n">
        <v>7862947111</v>
      </c>
      <c r="I9610" t="inlineStr">
        <is>
          <t>fondo-dia</t>
        </is>
      </c>
    </row>
    <row r="9611">
      <c r="A9611" t="inlineStr">
        <is>
          <t>PRAGMA</t>
        </is>
      </c>
      <c r="B9611" t="inlineStr">
        <is>
          <t>M5</t>
        </is>
      </c>
      <c r="C9611" t="inlineStr">
        <is>
          <t>Cali</t>
        </is>
      </c>
      <c r="D9611" t="inlineStr">
        <is>
          <t>CALI|TRANSPORTADORA_001</t>
        </is>
      </c>
      <c r="E9611" t="inlineStr">
        <is>
          <t>ingreso_efectivo_clientes</t>
        </is>
      </c>
      <c r="F9611" s="23" t="n">
        <v>46274</v>
      </c>
      <c r="G9611" s="24">
        <f>F9611-DATE(2026,8,31)</f>
        <v>9</v>
      </c>
      <c r="H9611" s="25" t="n">
        <v>7125941045</v>
      </c>
      <c r="I9611" t="inlineStr">
        <is>
          <t>fondo-dia</t>
        </is>
      </c>
    </row>
    <row r="9612">
      <c r="A9612" t="inlineStr">
        <is>
          <t>PRAGMA</t>
        </is>
      </c>
      <c r="B9612" t="inlineStr">
        <is>
          <t>M5</t>
        </is>
      </c>
      <c r="C9612" t="inlineStr">
        <is>
          <t>Cali</t>
        </is>
      </c>
      <c r="D9612" t="inlineStr">
        <is>
          <t>CALI|TRANSPORTADORA_001</t>
        </is>
      </c>
      <c r="E9612" t="inlineStr">
        <is>
          <t>ingreso_efectivo_clientes</t>
        </is>
      </c>
      <c r="F9612" s="23" t="n">
        <v>46275</v>
      </c>
      <c r="G9612" s="24">
        <f>F9612-DATE(2026,8,31)</f>
        <v>10</v>
      </c>
      <c r="H9612" s="25" t="n">
        <v>8292251012</v>
      </c>
      <c r="I9612" t="inlineStr">
        <is>
          <t>fondo-dia</t>
        </is>
      </c>
    </row>
    <row r="9613">
      <c r="A9613" t="inlineStr">
        <is>
          <t>PRAGMA</t>
        </is>
      </c>
      <c r="B9613" t="inlineStr">
        <is>
          <t>M5</t>
        </is>
      </c>
      <c r="C9613" t="inlineStr">
        <is>
          <t>Cali</t>
        </is>
      </c>
      <c r="D9613" t="inlineStr">
        <is>
          <t>CALI|TRANSPORTADORA_001</t>
        </is>
      </c>
      <c r="E9613" t="inlineStr">
        <is>
          <t>ingreso_efectivo_clientes</t>
        </is>
      </c>
      <c r="F9613" s="23" t="n">
        <v>46276</v>
      </c>
      <c r="G9613" s="24">
        <f>F9613-DATE(2026,8,31)</f>
        <v>11</v>
      </c>
      <c r="H9613" s="25" t="n">
        <v>7344145150</v>
      </c>
      <c r="I9613" t="inlineStr">
        <is>
          <t>fondo-dia</t>
        </is>
      </c>
    </row>
    <row r="9614">
      <c r="A9614" t="inlineStr">
        <is>
          <t>PRAGMA</t>
        </is>
      </c>
      <c r="B9614" t="inlineStr">
        <is>
          <t>M5</t>
        </is>
      </c>
      <c r="C9614" t="inlineStr">
        <is>
          <t>Cali</t>
        </is>
      </c>
      <c r="D9614" t="inlineStr">
        <is>
          <t>CALI|TRANSPORTADORA_001</t>
        </is>
      </c>
      <c r="E9614" t="inlineStr">
        <is>
          <t>ingreso_efectivo_clientes</t>
        </is>
      </c>
      <c r="F9614" s="23" t="n">
        <v>46277</v>
      </c>
      <c r="G9614" s="24">
        <f>F9614-DATE(2026,8,31)</f>
        <v>12</v>
      </c>
      <c r="H9614" s="25" t="n">
        <v>549956680</v>
      </c>
      <c r="I9614" t="inlineStr">
        <is>
          <t>fondo-dia</t>
        </is>
      </c>
    </row>
    <row r="9615">
      <c r="A9615" t="inlineStr">
        <is>
          <t>PRAGMA</t>
        </is>
      </c>
      <c r="B9615" t="inlineStr">
        <is>
          <t>M5</t>
        </is>
      </c>
      <c r="C9615" t="inlineStr">
        <is>
          <t>Cali</t>
        </is>
      </c>
      <c r="D9615" t="inlineStr">
        <is>
          <t>CALI|TRANSPORTADORA_001</t>
        </is>
      </c>
      <c r="E9615" t="inlineStr">
        <is>
          <t>ingreso_efectivo_clientes</t>
        </is>
      </c>
      <c r="F9615" s="23" t="n">
        <v>46278</v>
      </c>
      <c r="G9615" s="24">
        <f>F9615-DATE(2026,8,31)</f>
        <v>13</v>
      </c>
      <c r="H9615" s="25" t="n">
        <v>173195745</v>
      </c>
      <c r="I9615" t="inlineStr">
        <is>
          <t>fondo-dia</t>
        </is>
      </c>
    </row>
    <row r="9616">
      <c r="A9616" t="inlineStr">
        <is>
          <t>PRAGMA</t>
        </is>
      </c>
      <c r="B9616" t="inlineStr">
        <is>
          <t>M5</t>
        </is>
      </c>
      <c r="C9616" t="inlineStr">
        <is>
          <t>Cali</t>
        </is>
      </c>
      <c r="D9616" t="inlineStr">
        <is>
          <t>CALI|TRANSPORTADORA_001</t>
        </is>
      </c>
      <c r="E9616" t="inlineStr">
        <is>
          <t>ingreso_efectivo_clientes</t>
        </is>
      </c>
      <c r="F9616" s="23" t="n">
        <v>46279</v>
      </c>
      <c r="G9616" s="24">
        <f>F9616-DATE(2026,8,31)</f>
        <v>14</v>
      </c>
      <c r="H9616" s="25" t="n">
        <v>12290935431</v>
      </c>
      <c r="I9616" t="inlineStr">
        <is>
          <t>fondo-dia</t>
        </is>
      </c>
    </row>
    <row r="9617">
      <c r="A9617" t="inlineStr">
        <is>
          <t>PRAGMA</t>
        </is>
      </c>
      <c r="B9617" t="inlineStr">
        <is>
          <t>M5</t>
        </is>
      </c>
      <c r="C9617" t="inlineStr">
        <is>
          <t>Cali</t>
        </is>
      </c>
      <c r="D9617" t="inlineStr">
        <is>
          <t>CALI|TRANSPORTADORA_001</t>
        </is>
      </c>
      <c r="E9617" t="inlineStr">
        <is>
          <t>ingreso_efectivo_clientes</t>
        </is>
      </c>
      <c r="F9617" s="23" t="n">
        <v>46280</v>
      </c>
      <c r="G9617" s="24">
        <f>F9617-DATE(2026,8,31)</f>
        <v>15</v>
      </c>
      <c r="H9617" s="25" t="n">
        <v>8021992439</v>
      </c>
      <c r="I9617" t="inlineStr">
        <is>
          <t>fondo-dia</t>
        </is>
      </c>
    </row>
    <row r="9618">
      <c r="A9618" t="inlineStr">
        <is>
          <t>PRAGMA</t>
        </is>
      </c>
      <c r="B9618" t="inlineStr">
        <is>
          <t>M5</t>
        </is>
      </c>
      <c r="C9618" t="inlineStr">
        <is>
          <t>Cali</t>
        </is>
      </c>
      <c r="D9618" t="inlineStr">
        <is>
          <t>CALI|TRANSPORTADORA_002</t>
        </is>
      </c>
      <c r="E9618" t="inlineStr">
        <is>
          <t>ingreso_efectivo_clientes</t>
        </is>
      </c>
      <c r="F9618" s="23" t="n">
        <v>46266</v>
      </c>
      <c r="G9618" s="24">
        <f>F9618-DATE(2026,8,31)</f>
        <v>1</v>
      </c>
      <c r="H9618" s="25" t="n">
        <v>10403398407</v>
      </c>
      <c r="I9618" t="inlineStr">
        <is>
          <t>fondo-dia</t>
        </is>
      </c>
    </row>
    <row r="9619">
      <c r="A9619" t="inlineStr">
        <is>
          <t>PRAGMA</t>
        </is>
      </c>
      <c r="B9619" t="inlineStr">
        <is>
          <t>M5</t>
        </is>
      </c>
      <c r="C9619" t="inlineStr">
        <is>
          <t>Cali</t>
        </is>
      </c>
      <c r="D9619" t="inlineStr">
        <is>
          <t>CALI|TRANSPORTADORA_002</t>
        </is>
      </c>
      <c r="E9619" t="inlineStr">
        <is>
          <t>ingreso_efectivo_clientes</t>
        </is>
      </c>
      <c r="F9619" s="23" t="n">
        <v>46267</v>
      </c>
      <c r="G9619" s="24">
        <f>F9619-DATE(2026,8,31)</f>
        <v>2</v>
      </c>
      <c r="H9619" s="25" t="n">
        <v>8232810325</v>
      </c>
      <c r="I9619" t="inlineStr">
        <is>
          <t>fondo-dia</t>
        </is>
      </c>
    </row>
    <row r="9620">
      <c r="A9620" t="inlineStr">
        <is>
          <t>PRAGMA</t>
        </is>
      </c>
      <c r="B9620" t="inlineStr">
        <is>
          <t>M5</t>
        </is>
      </c>
      <c r="C9620" t="inlineStr">
        <is>
          <t>Cali</t>
        </is>
      </c>
      <c r="D9620" t="inlineStr">
        <is>
          <t>CALI|TRANSPORTADORA_002</t>
        </is>
      </c>
      <c r="E9620" t="inlineStr">
        <is>
          <t>ingreso_efectivo_clientes</t>
        </is>
      </c>
      <c r="F9620" s="23" t="n">
        <v>46268</v>
      </c>
      <c r="G9620" s="24">
        <f>F9620-DATE(2026,8,31)</f>
        <v>3</v>
      </c>
      <c r="H9620" s="25" t="n">
        <v>9306385290</v>
      </c>
      <c r="I9620" t="inlineStr">
        <is>
          <t>fondo-dia</t>
        </is>
      </c>
    </row>
    <row r="9621">
      <c r="A9621" t="inlineStr">
        <is>
          <t>PRAGMA</t>
        </is>
      </c>
      <c r="B9621" t="inlineStr">
        <is>
          <t>M5</t>
        </is>
      </c>
      <c r="C9621" t="inlineStr">
        <is>
          <t>Cali</t>
        </is>
      </c>
      <c r="D9621" t="inlineStr">
        <is>
          <t>CALI|TRANSPORTADORA_002</t>
        </is>
      </c>
      <c r="E9621" t="inlineStr">
        <is>
          <t>ingreso_efectivo_clientes</t>
        </is>
      </c>
      <c r="F9621" s="23" t="n">
        <v>46269</v>
      </c>
      <c r="G9621" s="24">
        <f>F9621-DATE(2026,8,31)</f>
        <v>4</v>
      </c>
      <c r="H9621" s="25" t="n">
        <v>8420782736</v>
      </c>
      <c r="I9621" t="inlineStr">
        <is>
          <t>fondo-dia</t>
        </is>
      </c>
    </row>
    <row r="9622">
      <c r="A9622" t="inlineStr">
        <is>
          <t>PRAGMA</t>
        </is>
      </c>
      <c r="B9622" t="inlineStr">
        <is>
          <t>M5</t>
        </is>
      </c>
      <c r="C9622" t="inlineStr">
        <is>
          <t>Cali</t>
        </is>
      </c>
      <c r="D9622" t="inlineStr">
        <is>
          <t>CALI|TRANSPORTADORA_002</t>
        </is>
      </c>
      <c r="E9622" t="inlineStr">
        <is>
          <t>ingreso_efectivo_clientes</t>
        </is>
      </c>
      <c r="F9622" s="23" t="n">
        <v>46270</v>
      </c>
      <c r="G9622" s="24">
        <f>F9622-DATE(2026,8,31)</f>
        <v>5</v>
      </c>
      <c r="H9622" s="25" t="n">
        <v>1883112614</v>
      </c>
      <c r="I9622" t="inlineStr">
        <is>
          <t>fondo-dia</t>
        </is>
      </c>
    </row>
    <row r="9623">
      <c r="A9623" t="inlineStr">
        <is>
          <t>PRAGMA</t>
        </is>
      </c>
      <c r="B9623" t="inlineStr">
        <is>
          <t>M5</t>
        </is>
      </c>
      <c r="C9623" t="inlineStr">
        <is>
          <t>Cali</t>
        </is>
      </c>
      <c r="D9623" t="inlineStr">
        <is>
          <t>CALI|TRANSPORTADORA_002</t>
        </is>
      </c>
      <c r="E9623" t="inlineStr">
        <is>
          <t>ingreso_efectivo_clientes</t>
        </is>
      </c>
      <c r="F9623" s="23" t="n">
        <v>46271</v>
      </c>
      <c r="G9623" s="24">
        <f>F9623-DATE(2026,8,31)</f>
        <v>6</v>
      </c>
      <c r="H9623" s="25" t="n">
        <v>1008505526</v>
      </c>
      <c r="I9623" t="inlineStr">
        <is>
          <t>fondo-dia</t>
        </is>
      </c>
    </row>
    <row r="9624">
      <c r="A9624" t="inlineStr">
        <is>
          <t>PRAGMA</t>
        </is>
      </c>
      <c r="B9624" t="inlineStr">
        <is>
          <t>M5</t>
        </is>
      </c>
      <c r="C9624" t="inlineStr">
        <is>
          <t>Cali</t>
        </is>
      </c>
      <c r="D9624" t="inlineStr">
        <is>
          <t>CALI|TRANSPORTADORA_002</t>
        </is>
      </c>
      <c r="E9624" t="inlineStr">
        <is>
          <t>ingreso_efectivo_clientes</t>
        </is>
      </c>
      <c r="F9624" s="23" t="n">
        <v>46272</v>
      </c>
      <c r="G9624" s="24">
        <f>F9624-DATE(2026,8,31)</f>
        <v>7</v>
      </c>
      <c r="H9624" s="25" t="n">
        <v>11323569358</v>
      </c>
      <c r="I9624" t="inlineStr">
        <is>
          <t>fondo-dia</t>
        </is>
      </c>
    </row>
    <row r="9625">
      <c r="A9625" t="inlineStr">
        <is>
          <t>PRAGMA</t>
        </is>
      </c>
      <c r="B9625" t="inlineStr">
        <is>
          <t>M5</t>
        </is>
      </c>
      <c r="C9625" t="inlineStr">
        <is>
          <t>Cali</t>
        </is>
      </c>
      <c r="D9625" t="inlineStr">
        <is>
          <t>CALI|TRANSPORTADORA_002</t>
        </is>
      </c>
      <c r="E9625" t="inlineStr">
        <is>
          <t>ingreso_efectivo_clientes</t>
        </is>
      </c>
      <c r="F9625" s="23" t="n">
        <v>46273</v>
      </c>
      <c r="G9625" s="24">
        <f>F9625-DATE(2026,8,31)</f>
        <v>8</v>
      </c>
      <c r="H9625" s="25" t="n">
        <v>9843960034</v>
      </c>
      <c r="I9625" t="inlineStr">
        <is>
          <t>fondo-dia</t>
        </is>
      </c>
    </row>
    <row r="9626">
      <c r="A9626" t="inlineStr">
        <is>
          <t>PRAGMA</t>
        </is>
      </c>
      <c r="B9626" t="inlineStr">
        <is>
          <t>M5</t>
        </is>
      </c>
      <c r="C9626" t="inlineStr">
        <is>
          <t>Cali</t>
        </is>
      </c>
      <c r="D9626" t="inlineStr">
        <is>
          <t>CALI|TRANSPORTADORA_002</t>
        </is>
      </c>
      <c r="E9626" t="inlineStr">
        <is>
          <t>ingreso_efectivo_clientes</t>
        </is>
      </c>
      <c r="F9626" s="23" t="n">
        <v>46274</v>
      </c>
      <c r="G9626" s="24">
        <f>F9626-DATE(2026,8,31)</f>
        <v>9</v>
      </c>
      <c r="H9626" s="25" t="n">
        <v>8004568926</v>
      </c>
      <c r="I9626" t="inlineStr">
        <is>
          <t>fondo-dia</t>
        </is>
      </c>
    </row>
    <row r="9627">
      <c r="A9627" t="inlineStr">
        <is>
          <t>PRAGMA</t>
        </is>
      </c>
      <c r="B9627" t="inlineStr">
        <is>
          <t>M5</t>
        </is>
      </c>
      <c r="C9627" t="inlineStr">
        <is>
          <t>Cali</t>
        </is>
      </c>
      <c r="D9627" t="inlineStr">
        <is>
          <t>CALI|TRANSPORTADORA_002</t>
        </is>
      </c>
      <c r="E9627" t="inlineStr">
        <is>
          <t>ingreso_efectivo_clientes</t>
        </is>
      </c>
      <c r="F9627" s="23" t="n">
        <v>46275</v>
      </c>
      <c r="G9627" s="24">
        <f>F9627-DATE(2026,8,31)</f>
        <v>10</v>
      </c>
      <c r="H9627" s="25" t="n">
        <v>8108009920</v>
      </c>
      <c r="I9627" t="inlineStr">
        <is>
          <t>fondo-dia</t>
        </is>
      </c>
    </row>
    <row r="9628">
      <c r="A9628" t="inlineStr">
        <is>
          <t>PRAGMA</t>
        </is>
      </c>
      <c r="B9628" t="inlineStr">
        <is>
          <t>M5</t>
        </is>
      </c>
      <c r="C9628" t="inlineStr">
        <is>
          <t>Cali</t>
        </is>
      </c>
      <c r="D9628" t="inlineStr">
        <is>
          <t>CALI|TRANSPORTADORA_002</t>
        </is>
      </c>
      <c r="E9628" t="inlineStr">
        <is>
          <t>ingreso_efectivo_clientes</t>
        </is>
      </c>
      <c r="F9628" s="23" t="n">
        <v>46276</v>
      </c>
      <c r="G9628" s="24">
        <f>F9628-DATE(2026,8,31)</f>
        <v>11</v>
      </c>
      <c r="H9628" s="25" t="n">
        <v>7872979799</v>
      </c>
      <c r="I9628" t="inlineStr">
        <is>
          <t>fondo-dia</t>
        </is>
      </c>
    </row>
    <row r="9629">
      <c r="A9629" t="inlineStr">
        <is>
          <t>PRAGMA</t>
        </is>
      </c>
      <c r="B9629" t="inlineStr">
        <is>
          <t>M5</t>
        </is>
      </c>
      <c r="C9629" t="inlineStr">
        <is>
          <t>Cali</t>
        </is>
      </c>
      <c r="D9629" t="inlineStr">
        <is>
          <t>CALI|TRANSPORTADORA_002</t>
        </is>
      </c>
      <c r="E9629" t="inlineStr">
        <is>
          <t>ingreso_efectivo_clientes</t>
        </is>
      </c>
      <c r="F9629" s="23" t="n">
        <v>46277</v>
      </c>
      <c r="G9629" s="24">
        <f>F9629-DATE(2026,8,31)</f>
        <v>12</v>
      </c>
      <c r="H9629" s="25" t="n">
        <v>1899259824</v>
      </c>
      <c r="I9629" t="inlineStr">
        <is>
          <t>fondo-dia</t>
        </is>
      </c>
    </row>
    <row r="9630">
      <c r="A9630" t="inlineStr">
        <is>
          <t>PRAGMA</t>
        </is>
      </c>
      <c r="B9630" t="inlineStr">
        <is>
          <t>M5</t>
        </is>
      </c>
      <c r="C9630" t="inlineStr">
        <is>
          <t>Cali</t>
        </is>
      </c>
      <c r="D9630" t="inlineStr">
        <is>
          <t>CALI|TRANSPORTADORA_002</t>
        </is>
      </c>
      <c r="E9630" t="inlineStr">
        <is>
          <t>ingreso_efectivo_clientes</t>
        </is>
      </c>
      <c r="F9630" s="23" t="n">
        <v>46278</v>
      </c>
      <c r="G9630" s="24">
        <f>F9630-DATE(2026,8,31)</f>
        <v>13</v>
      </c>
      <c r="H9630" s="25" t="n">
        <v>1021097040</v>
      </c>
      <c r="I9630" t="inlineStr">
        <is>
          <t>fondo-dia</t>
        </is>
      </c>
    </row>
    <row r="9631">
      <c r="A9631" t="inlineStr">
        <is>
          <t>PRAGMA</t>
        </is>
      </c>
      <c r="B9631" t="inlineStr">
        <is>
          <t>M5</t>
        </is>
      </c>
      <c r="C9631" t="inlineStr">
        <is>
          <t>Cali</t>
        </is>
      </c>
      <c r="D9631" t="inlineStr">
        <is>
          <t>CALI|TRANSPORTADORA_002</t>
        </is>
      </c>
      <c r="E9631" t="inlineStr">
        <is>
          <t>ingreso_efectivo_clientes</t>
        </is>
      </c>
      <c r="F9631" s="23" t="n">
        <v>46279</v>
      </c>
      <c r="G9631" s="24">
        <f>F9631-DATE(2026,8,31)</f>
        <v>14</v>
      </c>
      <c r="H9631" s="25" t="n">
        <v>11753611400</v>
      </c>
      <c r="I9631" t="inlineStr">
        <is>
          <t>fondo-dia</t>
        </is>
      </c>
    </row>
    <row r="9632">
      <c r="A9632" t="inlineStr">
        <is>
          <t>PRAGMA</t>
        </is>
      </c>
      <c r="B9632" t="inlineStr">
        <is>
          <t>M5</t>
        </is>
      </c>
      <c r="C9632" t="inlineStr">
        <is>
          <t>Cali</t>
        </is>
      </c>
      <c r="D9632" t="inlineStr">
        <is>
          <t>CALI|TRANSPORTADORA_002</t>
        </is>
      </c>
      <c r="E9632" t="inlineStr">
        <is>
          <t>ingreso_efectivo_clientes</t>
        </is>
      </c>
      <c r="F9632" s="23" t="n">
        <v>46280</v>
      </c>
      <c r="G9632" s="24">
        <f>F9632-DATE(2026,8,31)</f>
        <v>15</v>
      </c>
      <c r="H9632" s="25" t="n">
        <v>10411923608</v>
      </c>
      <c r="I9632" t="inlineStr">
        <is>
          <t>fondo-dia</t>
        </is>
      </c>
    </row>
    <row r="9633">
      <c r="A9633" t="inlineStr">
        <is>
          <t>PRAGMA</t>
        </is>
      </c>
      <c r="B9633" t="inlineStr">
        <is>
          <t>M5</t>
        </is>
      </c>
      <c r="C9633" t="inlineStr">
        <is>
          <t>Cali</t>
        </is>
      </c>
      <c r="D9633" t="inlineStr">
        <is>
          <t>CALI|TRANSPORTADORA_003</t>
        </is>
      </c>
      <c r="E9633" t="inlineStr">
        <is>
          <t>ingreso_efectivo_clientes</t>
        </is>
      </c>
      <c r="F9633" s="23" t="n">
        <v>46266</v>
      </c>
      <c r="G9633" s="24">
        <f>F9633-DATE(2026,8,31)</f>
        <v>1</v>
      </c>
      <c r="H9633" s="25" t="n">
        <v>3309385436</v>
      </c>
      <c r="I9633" t="inlineStr">
        <is>
          <t>fondo-dia</t>
        </is>
      </c>
    </row>
    <row r="9634">
      <c r="A9634" t="inlineStr">
        <is>
          <t>PRAGMA</t>
        </is>
      </c>
      <c r="B9634" t="inlineStr">
        <is>
          <t>M5</t>
        </is>
      </c>
      <c r="C9634" t="inlineStr">
        <is>
          <t>Cali</t>
        </is>
      </c>
      <c r="D9634" t="inlineStr">
        <is>
          <t>CALI|TRANSPORTADORA_003</t>
        </is>
      </c>
      <c r="E9634" t="inlineStr">
        <is>
          <t>ingreso_efectivo_clientes</t>
        </is>
      </c>
      <c r="F9634" s="23" t="n">
        <v>46267</v>
      </c>
      <c r="G9634" s="24">
        <f>F9634-DATE(2026,8,31)</f>
        <v>2</v>
      </c>
      <c r="H9634" s="25" t="n">
        <v>2072141835</v>
      </c>
      <c r="I9634" t="inlineStr">
        <is>
          <t>fondo-dia</t>
        </is>
      </c>
    </row>
    <row r="9635">
      <c r="A9635" t="inlineStr">
        <is>
          <t>PRAGMA</t>
        </is>
      </c>
      <c r="B9635" t="inlineStr">
        <is>
          <t>M5</t>
        </is>
      </c>
      <c r="C9635" t="inlineStr">
        <is>
          <t>Cali</t>
        </is>
      </c>
      <c r="D9635" t="inlineStr">
        <is>
          <t>CALI|TRANSPORTADORA_003</t>
        </is>
      </c>
      <c r="E9635" t="inlineStr">
        <is>
          <t>ingreso_efectivo_clientes</t>
        </is>
      </c>
      <c r="F9635" s="23" t="n">
        <v>46268</v>
      </c>
      <c r="G9635" s="24">
        <f>F9635-DATE(2026,8,31)</f>
        <v>3</v>
      </c>
      <c r="H9635" s="25" t="n">
        <v>2043337055</v>
      </c>
      <c r="I9635" t="inlineStr">
        <is>
          <t>fondo-dia</t>
        </is>
      </c>
    </row>
    <row r="9636">
      <c r="A9636" t="inlineStr">
        <is>
          <t>PRAGMA</t>
        </is>
      </c>
      <c r="B9636" t="inlineStr">
        <is>
          <t>M5</t>
        </is>
      </c>
      <c r="C9636" t="inlineStr">
        <is>
          <t>Cali</t>
        </is>
      </c>
      <c r="D9636" t="inlineStr">
        <is>
          <t>CALI|TRANSPORTADORA_003</t>
        </is>
      </c>
      <c r="E9636" t="inlineStr">
        <is>
          <t>ingreso_efectivo_clientes</t>
        </is>
      </c>
      <c r="F9636" s="23" t="n">
        <v>46269</v>
      </c>
      <c r="G9636" s="24">
        <f>F9636-DATE(2026,8,31)</f>
        <v>4</v>
      </c>
      <c r="H9636" s="25" t="n">
        <v>2074880176</v>
      </c>
      <c r="I9636" t="inlineStr">
        <is>
          <t>fondo-dia</t>
        </is>
      </c>
    </row>
    <row r="9637">
      <c r="A9637" t="inlineStr">
        <is>
          <t>PRAGMA</t>
        </is>
      </c>
      <c r="B9637" t="inlineStr">
        <is>
          <t>M5</t>
        </is>
      </c>
      <c r="C9637" t="inlineStr">
        <is>
          <t>Cali</t>
        </is>
      </c>
      <c r="D9637" t="inlineStr">
        <is>
          <t>CALI|TRANSPORTADORA_003</t>
        </is>
      </c>
      <c r="E9637" t="inlineStr">
        <is>
          <t>ingreso_efectivo_clientes</t>
        </is>
      </c>
      <c r="F9637" s="23" t="n">
        <v>46270</v>
      </c>
      <c r="G9637" s="24">
        <f>F9637-DATE(2026,8,31)</f>
        <v>5</v>
      </c>
      <c r="H9637" s="25" t="n">
        <v>335699350</v>
      </c>
      <c r="I9637" t="inlineStr">
        <is>
          <t>fondo-dia</t>
        </is>
      </c>
    </row>
    <row r="9638">
      <c r="A9638" t="inlineStr">
        <is>
          <t>PRAGMA</t>
        </is>
      </c>
      <c r="B9638" t="inlineStr">
        <is>
          <t>M5</t>
        </is>
      </c>
      <c r="C9638" t="inlineStr">
        <is>
          <t>Cali</t>
        </is>
      </c>
      <c r="D9638" t="inlineStr">
        <is>
          <t>CALI|TRANSPORTADORA_003</t>
        </is>
      </c>
      <c r="E9638" t="inlineStr">
        <is>
          <t>ingreso_efectivo_clientes</t>
        </is>
      </c>
      <c r="F9638" s="23" t="n">
        <v>46271</v>
      </c>
      <c r="G9638" s="24">
        <f>F9638-DATE(2026,8,31)</f>
        <v>6</v>
      </c>
      <c r="H9638" s="25" t="n">
        <v>237381204</v>
      </c>
      <c r="I9638" t="inlineStr">
        <is>
          <t>fondo-dia</t>
        </is>
      </c>
    </row>
    <row r="9639">
      <c r="A9639" t="inlineStr">
        <is>
          <t>PRAGMA</t>
        </is>
      </c>
      <c r="B9639" t="inlineStr">
        <is>
          <t>M5</t>
        </is>
      </c>
      <c r="C9639" t="inlineStr">
        <is>
          <t>Cali</t>
        </is>
      </c>
      <c r="D9639" t="inlineStr">
        <is>
          <t>CALI|TRANSPORTADORA_003</t>
        </is>
      </c>
      <c r="E9639" t="inlineStr">
        <is>
          <t>ingreso_efectivo_clientes</t>
        </is>
      </c>
      <c r="F9639" s="23" t="n">
        <v>46272</v>
      </c>
      <c r="G9639" s="24">
        <f>F9639-DATE(2026,8,31)</f>
        <v>7</v>
      </c>
      <c r="H9639" s="25" t="n">
        <v>2308688709</v>
      </c>
      <c r="I9639" t="inlineStr">
        <is>
          <t>fondo-dia</t>
        </is>
      </c>
    </row>
    <row r="9640">
      <c r="A9640" t="inlineStr">
        <is>
          <t>PRAGMA</t>
        </is>
      </c>
      <c r="B9640" t="inlineStr">
        <is>
          <t>M5</t>
        </is>
      </c>
      <c r="C9640" t="inlineStr">
        <is>
          <t>Cali</t>
        </is>
      </c>
      <c r="D9640" t="inlineStr">
        <is>
          <t>CALI|TRANSPORTADORA_003</t>
        </is>
      </c>
      <c r="E9640" t="inlineStr">
        <is>
          <t>ingreso_efectivo_clientes</t>
        </is>
      </c>
      <c r="F9640" s="23" t="n">
        <v>46273</v>
      </c>
      <c r="G9640" s="24">
        <f>F9640-DATE(2026,8,31)</f>
        <v>8</v>
      </c>
      <c r="H9640" s="25" t="n">
        <v>3188831426</v>
      </c>
      <c r="I9640" t="inlineStr">
        <is>
          <t>fondo-dia</t>
        </is>
      </c>
    </row>
    <row r="9641">
      <c r="A9641" t="inlineStr">
        <is>
          <t>PRAGMA</t>
        </is>
      </c>
      <c r="B9641" t="inlineStr">
        <is>
          <t>M5</t>
        </is>
      </c>
      <c r="C9641" t="inlineStr">
        <is>
          <t>Cali</t>
        </is>
      </c>
      <c r="D9641" t="inlineStr">
        <is>
          <t>CALI|TRANSPORTADORA_003</t>
        </is>
      </c>
      <c r="E9641" t="inlineStr">
        <is>
          <t>ingreso_efectivo_clientes</t>
        </is>
      </c>
      <c r="F9641" s="23" t="n">
        <v>46274</v>
      </c>
      <c r="G9641" s="24">
        <f>F9641-DATE(2026,8,31)</f>
        <v>9</v>
      </c>
      <c r="H9641" s="25" t="n">
        <v>2130260511</v>
      </c>
      <c r="I9641" t="inlineStr">
        <is>
          <t>fondo-dia</t>
        </is>
      </c>
    </row>
    <row r="9642">
      <c r="A9642" t="inlineStr">
        <is>
          <t>PRAGMA</t>
        </is>
      </c>
      <c r="B9642" t="inlineStr">
        <is>
          <t>M5</t>
        </is>
      </c>
      <c r="C9642" t="inlineStr">
        <is>
          <t>Cali</t>
        </is>
      </c>
      <c r="D9642" t="inlineStr">
        <is>
          <t>CALI|TRANSPORTADORA_003</t>
        </is>
      </c>
      <c r="E9642" t="inlineStr">
        <is>
          <t>ingreso_efectivo_clientes</t>
        </is>
      </c>
      <c r="F9642" s="23" t="n">
        <v>46275</v>
      </c>
      <c r="G9642" s="24">
        <f>F9642-DATE(2026,8,31)</f>
        <v>10</v>
      </c>
      <c r="H9642" s="25" t="n">
        <v>1952145155</v>
      </c>
      <c r="I9642" t="inlineStr">
        <is>
          <t>fondo-dia</t>
        </is>
      </c>
    </row>
    <row r="9643">
      <c r="A9643" t="inlineStr">
        <is>
          <t>PRAGMA</t>
        </is>
      </c>
      <c r="B9643" t="inlineStr">
        <is>
          <t>M5</t>
        </is>
      </c>
      <c r="C9643" t="inlineStr">
        <is>
          <t>Cali</t>
        </is>
      </c>
      <c r="D9643" t="inlineStr">
        <is>
          <t>CALI|TRANSPORTADORA_003</t>
        </is>
      </c>
      <c r="E9643" t="inlineStr">
        <is>
          <t>ingreso_efectivo_clientes</t>
        </is>
      </c>
      <c r="F9643" s="23" t="n">
        <v>46276</v>
      </c>
      <c r="G9643" s="24">
        <f>F9643-DATE(2026,8,31)</f>
        <v>11</v>
      </c>
      <c r="H9643" s="25" t="n">
        <v>1985582331</v>
      </c>
      <c r="I9643" t="inlineStr">
        <is>
          <t>fondo-dia</t>
        </is>
      </c>
    </row>
    <row r="9644">
      <c r="A9644" t="inlineStr">
        <is>
          <t>PRAGMA</t>
        </is>
      </c>
      <c r="B9644" t="inlineStr">
        <is>
          <t>M5</t>
        </is>
      </c>
      <c r="C9644" t="inlineStr">
        <is>
          <t>Cali</t>
        </is>
      </c>
      <c r="D9644" t="inlineStr">
        <is>
          <t>CALI|TRANSPORTADORA_003</t>
        </is>
      </c>
      <c r="E9644" t="inlineStr">
        <is>
          <t>ingreso_efectivo_clientes</t>
        </is>
      </c>
      <c r="F9644" s="23" t="n">
        <v>46277</v>
      </c>
      <c r="G9644" s="24">
        <f>F9644-DATE(2026,8,31)</f>
        <v>12</v>
      </c>
      <c r="H9644" s="25" t="n">
        <v>304376412</v>
      </c>
      <c r="I9644" t="inlineStr">
        <is>
          <t>fondo-dia</t>
        </is>
      </c>
    </row>
    <row r="9645">
      <c r="A9645" t="inlineStr">
        <is>
          <t>PRAGMA</t>
        </is>
      </c>
      <c r="B9645" t="inlineStr">
        <is>
          <t>M5</t>
        </is>
      </c>
      <c r="C9645" t="inlineStr">
        <is>
          <t>Cali</t>
        </is>
      </c>
      <c r="D9645" t="inlineStr">
        <is>
          <t>CALI|TRANSPORTADORA_003</t>
        </is>
      </c>
      <c r="E9645" t="inlineStr">
        <is>
          <t>ingreso_efectivo_clientes</t>
        </is>
      </c>
      <c r="F9645" s="23" t="n">
        <v>46278</v>
      </c>
      <c r="G9645" s="24">
        <f>F9645-DATE(2026,8,31)</f>
        <v>13</v>
      </c>
      <c r="H9645" s="25" t="n">
        <v>227281089</v>
      </c>
      <c r="I9645" t="inlineStr">
        <is>
          <t>fondo-dia</t>
        </is>
      </c>
    </row>
    <row r="9646">
      <c r="A9646" t="inlineStr">
        <is>
          <t>PRAGMA</t>
        </is>
      </c>
      <c r="B9646" t="inlineStr">
        <is>
          <t>M5</t>
        </is>
      </c>
      <c r="C9646" t="inlineStr">
        <is>
          <t>Cali</t>
        </is>
      </c>
      <c r="D9646" t="inlineStr">
        <is>
          <t>CALI|TRANSPORTADORA_003</t>
        </is>
      </c>
      <c r="E9646" t="inlineStr">
        <is>
          <t>ingreso_efectivo_clientes</t>
        </is>
      </c>
      <c r="F9646" s="23" t="n">
        <v>46279</v>
      </c>
      <c r="G9646" s="24">
        <f>F9646-DATE(2026,8,31)</f>
        <v>14</v>
      </c>
      <c r="H9646" s="25" t="n">
        <v>2172015066</v>
      </c>
      <c r="I9646" t="inlineStr">
        <is>
          <t>fondo-dia</t>
        </is>
      </c>
    </row>
    <row r="9647">
      <c r="A9647" t="inlineStr">
        <is>
          <t>PRAGMA</t>
        </is>
      </c>
      <c r="B9647" t="inlineStr">
        <is>
          <t>M5</t>
        </is>
      </c>
      <c r="C9647" t="inlineStr">
        <is>
          <t>Cali</t>
        </is>
      </c>
      <c r="D9647" t="inlineStr">
        <is>
          <t>CALI|TRANSPORTADORA_003</t>
        </is>
      </c>
      <c r="E9647" t="inlineStr">
        <is>
          <t>ingreso_efectivo_clientes</t>
        </is>
      </c>
      <c r="F9647" s="23" t="n">
        <v>46280</v>
      </c>
      <c r="G9647" s="24">
        <f>F9647-DATE(2026,8,31)</f>
        <v>15</v>
      </c>
      <c r="H9647" s="25" t="n">
        <v>3308939655</v>
      </c>
      <c r="I9647" t="inlineStr">
        <is>
          <t>fondo-dia</t>
        </is>
      </c>
    </row>
    <row r="9648">
      <c r="A9648" t="inlineStr">
        <is>
          <t>PRAGMA</t>
        </is>
      </c>
      <c r="B9648" t="inlineStr">
        <is>
          <t>M5</t>
        </is>
      </c>
      <c r="C9648" t="inlineStr">
        <is>
          <t>Cali</t>
        </is>
      </c>
      <c r="D9648" t="inlineStr">
        <is>
          <t>CALI|TRANSPORTADORA_004</t>
        </is>
      </c>
      <c r="E9648" t="inlineStr">
        <is>
          <t>ingreso_efectivo_clientes</t>
        </is>
      </c>
      <c r="F9648" s="23" t="n">
        <v>46266</v>
      </c>
      <c r="G9648" s="24">
        <f>F9648-DATE(2026,8,31)</f>
        <v>1</v>
      </c>
      <c r="H9648" s="25" t="n">
        <v>84954708</v>
      </c>
      <c r="I9648" t="inlineStr">
        <is>
          <t>fondo-dia</t>
        </is>
      </c>
    </row>
    <row r="9649">
      <c r="A9649" t="inlineStr">
        <is>
          <t>PRAGMA</t>
        </is>
      </c>
      <c r="B9649" t="inlineStr">
        <is>
          <t>M5</t>
        </is>
      </c>
      <c r="C9649" t="inlineStr">
        <is>
          <t>Cali</t>
        </is>
      </c>
      <c r="D9649" t="inlineStr">
        <is>
          <t>CALI|TRANSPORTADORA_004</t>
        </is>
      </c>
      <c r="E9649" t="inlineStr">
        <is>
          <t>ingreso_efectivo_clientes</t>
        </is>
      </c>
      <c r="F9649" s="23" t="n">
        <v>46267</v>
      </c>
      <c r="G9649" s="24">
        <f>F9649-DATE(2026,8,31)</f>
        <v>2</v>
      </c>
      <c r="H9649" s="25" t="n">
        <v>69657820</v>
      </c>
      <c r="I9649" t="inlineStr">
        <is>
          <t>fondo-dia</t>
        </is>
      </c>
    </row>
    <row r="9650">
      <c r="A9650" t="inlineStr">
        <is>
          <t>PRAGMA</t>
        </is>
      </c>
      <c r="B9650" t="inlineStr">
        <is>
          <t>M5</t>
        </is>
      </c>
      <c r="C9650" t="inlineStr">
        <is>
          <t>Cali</t>
        </is>
      </c>
      <c r="D9650" t="inlineStr">
        <is>
          <t>CALI|TRANSPORTADORA_004</t>
        </is>
      </c>
      <c r="E9650" t="inlineStr">
        <is>
          <t>ingreso_efectivo_clientes</t>
        </is>
      </c>
      <c r="F9650" s="23" t="n">
        <v>46268</v>
      </c>
      <c r="G9650" s="24">
        <f>F9650-DATE(2026,8,31)</f>
        <v>3</v>
      </c>
      <c r="H9650" s="25" t="n">
        <v>84908881</v>
      </c>
      <c r="I9650" t="inlineStr">
        <is>
          <t>fondo-dia</t>
        </is>
      </c>
    </row>
    <row r="9651">
      <c r="A9651" t="inlineStr">
        <is>
          <t>PRAGMA</t>
        </is>
      </c>
      <c r="B9651" t="inlineStr">
        <is>
          <t>M5</t>
        </is>
      </c>
      <c r="C9651" t="inlineStr">
        <is>
          <t>Cali</t>
        </is>
      </c>
      <c r="D9651" t="inlineStr">
        <is>
          <t>CALI|TRANSPORTADORA_004</t>
        </is>
      </c>
      <c r="E9651" t="inlineStr">
        <is>
          <t>ingreso_efectivo_clientes</t>
        </is>
      </c>
      <c r="F9651" s="23" t="n">
        <v>46269</v>
      </c>
      <c r="G9651" s="24">
        <f>F9651-DATE(2026,8,31)</f>
        <v>4</v>
      </c>
      <c r="H9651" s="25" t="n">
        <v>102538770</v>
      </c>
      <c r="I9651" t="inlineStr">
        <is>
          <t>fondo-dia</t>
        </is>
      </c>
    </row>
    <row r="9652">
      <c r="A9652" t="inlineStr">
        <is>
          <t>PRAGMA</t>
        </is>
      </c>
      <c r="B9652" t="inlineStr">
        <is>
          <t>M5</t>
        </is>
      </c>
      <c r="C9652" t="inlineStr">
        <is>
          <t>Cali</t>
        </is>
      </c>
      <c r="D9652" t="inlineStr">
        <is>
          <t>CALI|TRANSPORTADORA_004</t>
        </is>
      </c>
      <c r="E9652" t="inlineStr">
        <is>
          <t>ingreso_efectivo_clientes</t>
        </is>
      </c>
      <c r="F9652" s="23" t="n">
        <v>46270</v>
      </c>
      <c r="G9652" s="24">
        <f>F9652-DATE(2026,8,31)</f>
        <v>5</v>
      </c>
      <c r="H9652" s="25" t="n">
        <v>21660931</v>
      </c>
      <c r="I9652" t="inlineStr">
        <is>
          <t>fondo-dia</t>
        </is>
      </c>
    </row>
    <row r="9653">
      <c r="A9653" t="inlineStr">
        <is>
          <t>PRAGMA</t>
        </is>
      </c>
      <c r="B9653" t="inlineStr">
        <is>
          <t>M5</t>
        </is>
      </c>
      <c r="C9653" t="inlineStr">
        <is>
          <t>Cali</t>
        </is>
      </c>
      <c r="D9653" t="inlineStr">
        <is>
          <t>CALI|TRANSPORTADORA_004</t>
        </is>
      </c>
      <c r="E9653" t="inlineStr">
        <is>
          <t>ingreso_efectivo_clientes</t>
        </is>
      </c>
      <c r="F9653" s="23" t="n">
        <v>46271</v>
      </c>
      <c r="G9653" s="24">
        <f>F9653-DATE(2026,8,31)</f>
        <v>6</v>
      </c>
      <c r="H9653" s="25" t="n">
        <v>33234422</v>
      </c>
      <c r="I9653" t="inlineStr">
        <is>
          <t>fondo-dia</t>
        </is>
      </c>
    </row>
    <row r="9654">
      <c r="A9654" t="inlineStr">
        <is>
          <t>PRAGMA</t>
        </is>
      </c>
      <c r="B9654" t="inlineStr">
        <is>
          <t>M5</t>
        </is>
      </c>
      <c r="C9654" t="inlineStr">
        <is>
          <t>Cali</t>
        </is>
      </c>
      <c r="D9654" t="inlineStr">
        <is>
          <t>CALI|TRANSPORTADORA_004</t>
        </is>
      </c>
      <c r="E9654" t="inlineStr">
        <is>
          <t>ingreso_efectivo_clientes</t>
        </is>
      </c>
      <c r="F9654" s="23" t="n">
        <v>46272</v>
      </c>
      <c r="G9654" s="24">
        <f>F9654-DATE(2026,8,31)</f>
        <v>7</v>
      </c>
      <c r="H9654" s="25" t="n">
        <v>136871289</v>
      </c>
      <c r="I9654" t="inlineStr">
        <is>
          <t>fondo-dia</t>
        </is>
      </c>
    </row>
    <row r="9655">
      <c r="A9655" t="inlineStr">
        <is>
          <t>PRAGMA</t>
        </is>
      </c>
      <c r="B9655" t="inlineStr">
        <is>
          <t>M5</t>
        </is>
      </c>
      <c r="C9655" t="inlineStr">
        <is>
          <t>Cali</t>
        </is>
      </c>
      <c r="D9655" t="inlineStr">
        <is>
          <t>CALI|TRANSPORTADORA_004</t>
        </is>
      </c>
      <c r="E9655" t="inlineStr">
        <is>
          <t>ingreso_efectivo_clientes</t>
        </is>
      </c>
      <c r="F9655" s="23" t="n">
        <v>46273</v>
      </c>
      <c r="G9655" s="24">
        <f>F9655-DATE(2026,8,31)</f>
        <v>8</v>
      </c>
      <c r="H9655" s="25" t="n">
        <v>85726798</v>
      </c>
      <c r="I9655" t="inlineStr">
        <is>
          <t>fondo-dia</t>
        </is>
      </c>
    </row>
    <row r="9656">
      <c r="A9656" t="inlineStr">
        <is>
          <t>PRAGMA</t>
        </is>
      </c>
      <c r="B9656" t="inlineStr">
        <is>
          <t>M5</t>
        </is>
      </c>
      <c r="C9656" t="inlineStr">
        <is>
          <t>Cali</t>
        </is>
      </c>
      <c r="D9656" t="inlineStr">
        <is>
          <t>CALI|TRANSPORTADORA_004</t>
        </is>
      </c>
      <c r="E9656" t="inlineStr">
        <is>
          <t>ingreso_efectivo_clientes</t>
        </is>
      </c>
      <c r="F9656" s="23" t="n">
        <v>46274</v>
      </c>
      <c r="G9656" s="24">
        <f>F9656-DATE(2026,8,31)</f>
        <v>9</v>
      </c>
      <c r="H9656" s="25" t="n">
        <v>80553987</v>
      </c>
      <c r="I9656" t="inlineStr">
        <is>
          <t>fondo-dia</t>
        </is>
      </c>
    </row>
    <row r="9657">
      <c r="A9657" t="inlineStr">
        <is>
          <t>PRAGMA</t>
        </is>
      </c>
      <c r="B9657" t="inlineStr">
        <is>
          <t>M5</t>
        </is>
      </c>
      <c r="C9657" t="inlineStr">
        <is>
          <t>Cali</t>
        </is>
      </c>
      <c r="D9657" t="inlineStr">
        <is>
          <t>CALI|TRANSPORTADORA_004</t>
        </is>
      </c>
      <c r="E9657" t="inlineStr">
        <is>
          <t>ingreso_efectivo_clientes</t>
        </is>
      </c>
      <c r="F9657" s="23" t="n">
        <v>46275</v>
      </c>
      <c r="G9657" s="24">
        <f>F9657-DATE(2026,8,31)</f>
        <v>10</v>
      </c>
      <c r="H9657" s="25" t="n">
        <v>66762753</v>
      </c>
      <c r="I9657" t="inlineStr">
        <is>
          <t>fondo-dia</t>
        </is>
      </c>
    </row>
    <row r="9658">
      <c r="A9658" t="inlineStr">
        <is>
          <t>PRAGMA</t>
        </is>
      </c>
      <c r="B9658" t="inlineStr">
        <is>
          <t>M5</t>
        </is>
      </c>
      <c r="C9658" t="inlineStr">
        <is>
          <t>Cali</t>
        </is>
      </c>
      <c r="D9658" t="inlineStr">
        <is>
          <t>CALI|TRANSPORTADORA_004</t>
        </is>
      </c>
      <c r="E9658" t="inlineStr">
        <is>
          <t>ingreso_efectivo_clientes</t>
        </is>
      </c>
      <c r="F9658" s="23" t="n">
        <v>46276</v>
      </c>
      <c r="G9658" s="24">
        <f>F9658-DATE(2026,8,31)</f>
        <v>11</v>
      </c>
      <c r="H9658" s="25" t="n">
        <v>51928609</v>
      </c>
      <c r="I9658" t="inlineStr">
        <is>
          <t>fondo-dia</t>
        </is>
      </c>
    </row>
    <row r="9659">
      <c r="A9659" t="inlineStr">
        <is>
          <t>PRAGMA</t>
        </is>
      </c>
      <c r="B9659" t="inlineStr">
        <is>
          <t>M5</t>
        </is>
      </c>
      <c r="C9659" t="inlineStr">
        <is>
          <t>Cali</t>
        </is>
      </c>
      <c r="D9659" t="inlineStr">
        <is>
          <t>CALI|TRANSPORTADORA_004</t>
        </is>
      </c>
      <c r="E9659" t="inlineStr">
        <is>
          <t>ingreso_efectivo_clientes</t>
        </is>
      </c>
      <c r="F9659" s="23" t="n">
        <v>46277</v>
      </c>
      <c r="G9659" s="24">
        <f>F9659-DATE(2026,8,31)</f>
        <v>12</v>
      </c>
      <c r="H9659" s="25" t="n">
        <v>16828021</v>
      </c>
      <c r="I9659" t="inlineStr">
        <is>
          <t>fondo-dia</t>
        </is>
      </c>
    </row>
    <row r="9660">
      <c r="A9660" t="inlineStr">
        <is>
          <t>PRAGMA</t>
        </is>
      </c>
      <c r="B9660" t="inlineStr">
        <is>
          <t>M5</t>
        </is>
      </c>
      <c r="C9660" t="inlineStr">
        <is>
          <t>Cali</t>
        </is>
      </c>
      <c r="D9660" t="inlineStr">
        <is>
          <t>CALI|TRANSPORTADORA_004</t>
        </is>
      </c>
      <c r="E9660" t="inlineStr">
        <is>
          <t>ingreso_efectivo_clientes</t>
        </is>
      </c>
      <c r="F9660" s="23" t="n">
        <v>46278</v>
      </c>
      <c r="G9660" s="24">
        <f>F9660-DATE(2026,8,31)</f>
        <v>13</v>
      </c>
      <c r="H9660" s="25" t="n">
        <v>15689534</v>
      </c>
      <c r="I9660" t="inlineStr">
        <is>
          <t>fondo-dia</t>
        </is>
      </c>
    </row>
    <row r="9661">
      <c r="A9661" t="inlineStr">
        <is>
          <t>PRAGMA</t>
        </is>
      </c>
      <c r="B9661" t="inlineStr">
        <is>
          <t>M5</t>
        </is>
      </c>
      <c r="C9661" t="inlineStr">
        <is>
          <t>Cali</t>
        </is>
      </c>
      <c r="D9661" t="inlineStr">
        <is>
          <t>CALI|TRANSPORTADORA_004</t>
        </is>
      </c>
      <c r="E9661" t="inlineStr">
        <is>
          <t>ingreso_efectivo_clientes</t>
        </is>
      </c>
      <c r="F9661" s="23" t="n">
        <v>46279</v>
      </c>
      <c r="G9661" s="24">
        <f>F9661-DATE(2026,8,31)</f>
        <v>14</v>
      </c>
      <c r="H9661" s="25" t="n">
        <v>96280388</v>
      </c>
      <c r="I9661" t="inlineStr">
        <is>
          <t>fondo-dia</t>
        </is>
      </c>
    </row>
    <row r="9662">
      <c r="A9662" t="inlineStr">
        <is>
          <t>PRAGMA</t>
        </is>
      </c>
      <c r="B9662" t="inlineStr">
        <is>
          <t>M5</t>
        </is>
      </c>
      <c r="C9662" t="inlineStr">
        <is>
          <t>Cali</t>
        </is>
      </c>
      <c r="D9662" t="inlineStr">
        <is>
          <t>CALI|TRANSPORTADORA_004</t>
        </is>
      </c>
      <c r="E9662" t="inlineStr">
        <is>
          <t>ingreso_efectivo_clientes</t>
        </is>
      </c>
      <c r="F9662" s="23" t="n">
        <v>46280</v>
      </c>
      <c r="G9662" s="24">
        <f>F9662-DATE(2026,8,31)</f>
        <v>15</v>
      </c>
      <c r="H9662" s="25" t="n">
        <v>61459472</v>
      </c>
      <c r="I9662" t="inlineStr">
        <is>
          <t>fondo-dia</t>
        </is>
      </c>
    </row>
    <row r="9663">
      <c r="A9663" t="inlineStr">
        <is>
          <t>PRAGMA</t>
        </is>
      </c>
      <c r="B9663" t="inlineStr">
        <is>
          <t>M5</t>
        </is>
      </c>
      <c r="C9663" t="inlineStr">
        <is>
          <t>Ipiales</t>
        </is>
      </c>
      <c r="D9663" t="inlineStr">
        <is>
          <t>IPIALES|TRANSPORTADORA_002</t>
        </is>
      </c>
      <c r="E9663" t="inlineStr">
        <is>
          <t>ingreso_efectivo_clientes</t>
        </is>
      </c>
      <c r="F9663" s="23" t="n">
        <v>46266</v>
      </c>
      <c r="G9663" s="24">
        <f>F9663-DATE(2026,8,31)</f>
        <v>1</v>
      </c>
      <c r="H9663" s="25" t="n">
        <v>8439442655</v>
      </c>
      <c r="I9663" t="inlineStr">
        <is>
          <t>fondo-dia</t>
        </is>
      </c>
    </row>
    <row r="9664">
      <c r="A9664" t="inlineStr">
        <is>
          <t>PRAGMA</t>
        </is>
      </c>
      <c r="B9664" t="inlineStr">
        <is>
          <t>M5</t>
        </is>
      </c>
      <c r="C9664" t="inlineStr">
        <is>
          <t>Ipiales</t>
        </is>
      </c>
      <c r="D9664" t="inlineStr">
        <is>
          <t>IPIALES|TRANSPORTADORA_002</t>
        </is>
      </c>
      <c r="E9664" t="inlineStr">
        <is>
          <t>ingreso_efectivo_clientes</t>
        </is>
      </c>
      <c r="F9664" s="23" t="n">
        <v>46267</v>
      </c>
      <c r="G9664" s="24">
        <f>F9664-DATE(2026,8,31)</f>
        <v>2</v>
      </c>
      <c r="H9664" s="25" t="n">
        <v>9014985546</v>
      </c>
      <c r="I9664" t="inlineStr">
        <is>
          <t>fondo-dia</t>
        </is>
      </c>
    </row>
    <row r="9665">
      <c r="A9665" t="inlineStr">
        <is>
          <t>PRAGMA</t>
        </is>
      </c>
      <c r="B9665" t="inlineStr">
        <is>
          <t>M5</t>
        </is>
      </c>
      <c r="C9665" t="inlineStr">
        <is>
          <t>Ipiales</t>
        </is>
      </c>
      <c r="D9665" t="inlineStr">
        <is>
          <t>IPIALES|TRANSPORTADORA_002</t>
        </is>
      </c>
      <c r="E9665" t="inlineStr">
        <is>
          <t>ingreso_efectivo_clientes</t>
        </is>
      </c>
      <c r="F9665" s="23" t="n">
        <v>46268</v>
      </c>
      <c r="G9665" s="24">
        <f>F9665-DATE(2026,8,31)</f>
        <v>3</v>
      </c>
      <c r="H9665" s="25" t="n">
        <v>9106037861</v>
      </c>
      <c r="I9665" t="inlineStr">
        <is>
          <t>fondo-dia</t>
        </is>
      </c>
    </row>
    <row r="9666">
      <c r="A9666" t="inlineStr">
        <is>
          <t>PRAGMA</t>
        </is>
      </c>
      <c r="B9666" t="inlineStr">
        <is>
          <t>M5</t>
        </is>
      </c>
      <c r="C9666" t="inlineStr">
        <is>
          <t>Ipiales</t>
        </is>
      </c>
      <c r="D9666" t="inlineStr">
        <is>
          <t>IPIALES|TRANSPORTADORA_002</t>
        </is>
      </c>
      <c r="E9666" t="inlineStr">
        <is>
          <t>ingreso_efectivo_clientes</t>
        </is>
      </c>
      <c r="F9666" s="23" t="n">
        <v>46269</v>
      </c>
      <c r="G9666" s="24">
        <f>F9666-DATE(2026,8,31)</f>
        <v>4</v>
      </c>
      <c r="H9666" s="25" t="n">
        <v>9576119103</v>
      </c>
      <c r="I9666" t="inlineStr">
        <is>
          <t>fondo-dia</t>
        </is>
      </c>
    </row>
    <row r="9667">
      <c r="A9667" t="inlineStr">
        <is>
          <t>PRAGMA</t>
        </is>
      </c>
      <c r="B9667" t="inlineStr">
        <is>
          <t>M5</t>
        </is>
      </c>
      <c r="C9667" t="inlineStr">
        <is>
          <t>Ipiales</t>
        </is>
      </c>
      <c r="D9667" t="inlineStr">
        <is>
          <t>IPIALES|TRANSPORTADORA_002</t>
        </is>
      </c>
      <c r="E9667" t="inlineStr">
        <is>
          <t>ingreso_efectivo_clientes</t>
        </is>
      </c>
      <c r="F9667" s="23" t="n">
        <v>46270</v>
      </c>
      <c r="G9667" s="24">
        <f>F9667-DATE(2026,8,31)</f>
        <v>5</v>
      </c>
      <c r="H9667" s="25" t="n">
        <v>740445811</v>
      </c>
      <c r="I9667" t="inlineStr">
        <is>
          <t>fondo-dia</t>
        </is>
      </c>
    </row>
    <row r="9668">
      <c r="A9668" t="inlineStr">
        <is>
          <t>PRAGMA</t>
        </is>
      </c>
      <c r="B9668" t="inlineStr">
        <is>
          <t>M5</t>
        </is>
      </c>
      <c r="C9668" t="inlineStr">
        <is>
          <t>Ipiales</t>
        </is>
      </c>
      <c r="D9668" t="inlineStr">
        <is>
          <t>IPIALES|TRANSPORTADORA_002</t>
        </is>
      </c>
      <c r="E9668" t="inlineStr">
        <is>
          <t>ingreso_efectivo_clientes</t>
        </is>
      </c>
      <c r="F9668" s="23" t="n">
        <v>46271</v>
      </c>
      <c r="G9668" s="24">
        <f>F9668-DATE(2026,8,31)</f>
        <v>6</v>
      </c>
      <c r="H9668" s="25" t="n">
        <v>756511245</v>
      </c>
      <c r="I9668" t="inlineStr">
        <is>
          <t>fondo-dia</t>
        </is>
      </c>
    </row>
    <row r="9669">
      <c r="A9669" t="inlineStr">
        <is>
          <t>PRAGMA</t>
        </is>
      </c>
      <c r="B9669" t="inlineStr">
        <is>
          <t>M5</t>
        </is>
      </c>
      <c r="C9669" t="inlineStr">
        <is>
          <t>Ipiales</t>
        </is>
      </c>
      <c r="D9669" t="inlineStr">
        <is>
          <t>IPIALES|TRANSPORTADORA_002</t>
        </is>
      </c>
      <c r="E9669" t="inlineStr">
        <is>
          <t>ingreso_efectivo_clientes</t>
        </is>
      </c>
      <c r="F9669" s="23" t="n">
        <v>46272</v>
      </c>
      <c r="G9669" s="24">
        <f>F9669-DATE(2026,8,31)</f>
        <v>7</v>
      </c>
      <c r="H9669" s="25" t="n">
        <v>9698834151</v>
      </c>
      <c r="I9669" t="inlineStr">
        <is>
          <t>fondo-dia</t>
        </is>
      </c>
    </row>
    <row r="9670">
      <c r="A9670" t="inlineStr">
        <is>
          <t>PRAGMA</t>
        </is>
      </c>
      <c r="B9670" t="inlineStr">
        <is>
          <t>M5</t>
        </is>
      </c>
      <c r="C9670" t="inlineStr">
        <is>
          <t>Ipiales</t>
        </is>
      </c>
      <c r="D9670" t="inlineStr">
        <is>
          <t>IPIALES|TRANSPORTADORA_002</t>
        </is>
      </c>
      <c r="E9670" t="inlineStr">
        <is>
          <t>ingreso_efectivo_clientes</t>
        </is>
      </c>
      <c r="F9670" s="23" t="n">
        <v>46273</v>
      </c>
      <c r="G9670" s="24">
        <f>F9670-DATE(2026,8,31)</f>
        <v>8</v>
      </c>
      <c r="H9670" s="25" t="n">
        <v>7256687037</v>
      </c>
      <c r="I9670" t="inlineStr">
        <is>
          <t>fondo-dia</t>
        </is>
      </c>
    </row>
    <row r="9671">
      <c r="A9671" t="inlineStr">
        <is>
          <t>PRAGMA</t>
        </is>
      </c>
      <c r="B9671" t="inlineStr">
        <is>
          <t>M5</t>
        </is>
      </c>
      <c r="C9671" t="inlineStr">
        <is>
          <t>Ipiales</t>
        </is>
      </c>
      <c r="D9671" t="inlineStr">
        <is>
          <t>IPIALES|TRANSPORTADORA_002</t>
        </is>
      </c>
      <c r="E9671" t="inlineStr">
        <is>
          <t>ingreso_efectivo_clientes</t>
        </is>
      </c>
      <c r="F9671" s="23" t="n">
        <v>46274</v>
      </c>
      <c r="G9671" s="24">
        <f>F9671-DATE(2026,8,31)</f>
        <v>9</v>
      </c>
      <c r="H9671" s="25" t="n">
        <v>6994588759</v>
      </c>
      <c r="I9671" t="inlineStr">
        <is>
          <t>fondo-dia</t>
        </is>
      </c>
    </row>
    <row r="9672">
      <c r="A9672" t="inlineStr">
        <is>
          <t>PRAGMA</t>
        </is>
      </c>
      <c r="B9672" t="inlineStr">
        <is>
          <t>M5</t>
        </is>
      </c>
      <c r="C9672" t="inlineStr">
        <is>
          <t>Ipiales</t>
        </is>
      </c>
      <c r="D9672" t="inlineStr">
        <is>
          <t>IPIALES|TRANSPORTADORA_002</t>
        </is>
      </c>
      <c r="E9672" t="inlineStr">
        <is>
          <t>ingreso_efectivo_clientes</t>
        </is>
      </c>
      <c r="F9672" s="23" t="n">
        <v>46275</v>
      </c>
      <c r="G9672" s="24">
        <f>F9672-DATE(2026,8,31)</f>
        <v>10</v>
      </c>
      <c r="H9672" s="25" t="n">
        <v>6500775810</v>
      </c>
      <c r="I9672" t="inlineStr">
        <is>
          <t>fondo-dia</t>
        </is>
      </c>
    </row>
    <row r="9673">
      <c r="A9673" t="inlineStr">
        <is>
          <t>PRAGMA</t>
        </is>
      </c>
      <c r="B9673" t="inlineStr">
        <is>
          <t>M5</t>
        </is>
      </c>
      <c r="C9673" t="inlineStr">
        <is>
          <t>Ipiales</t>
        </is>
      </c>
      <c r="D9673" t="inlineStr">
        <is>
          <t>IPIALES|TRANSPORTADORA_002</t>
        </is>
      </c>
      <c r="E9673" t="inlineStr">
        <is>
          <t>ingreso_efectivo_clientes</t>
        </is>
      </c>
      <c r="F9673" s="23" t="n">
        <v>46276</v>
      </c>
      <c r="G9673" s="24">
        <f>F9673-DATE(2026,8,31)</f>
        <v>11</v>
      </c>
      <c r="H9673" s="25" t="n">
        <v>7905464378</v>
      </c>
      <c r="I9673" t="inlineStr">
        <is>
          <t>fondo-dia</t>
        </is>
      </c>
    </row>
    <row r="9674">
      <c r="A9674" t="inlineStr">
        <is>
          <t>PRAGMA</t>
        </is>
      </c>
      <c r="B9674" t="inlineStr">
        <is>
          <t>M5</t>
        </is>
      </c>
      <c r="C9674" t="inlineStr">
        <is>
          <t>Ipiales</t>
        </is>
      </c>
      <c r="D9674" t="inlineStr">
        <is>
          <t>IPIALES|TRANSPORTADORA_002</t>
        </is>
      </c>
      <c r="E9674" t="inlineStr">
        <is>
          <t>ingreso_efectivo_clientes</t>
        </is>
      </c>
      <c r="F9674" s="23" t="n">
        <v>46277</v>
      </c>
      <c r="G9674" s="24">
        <f>F9674-DATE(2026,8,31)</f>
        <v>12</v>
      </c>
      <c r="H9674" s="25" t="n">
        <v>617036908</v>
      </c>
      <c r="I9674" t="inlineStr">
        <is>
          <t>fondo-dia</t>
        </is>
      </c>
    </row>
    <row r="9675">
      <c r="A9675" t="inlineStr">
        <is>
          <t>PRAGMA</t>
        </is>
      </c>
      <c r="B9675" t="inlineStr">
        <is>
          <t>M5</t>
        </is>
      </c>
      <c r="C9675" t="inlineStr">
        <is>
          <t>Ipiales</t>
        </is>
      </c>
      <c r="D9675" t="inlineStr">
        <is>
          <t>IPIALES|TRANSPORTADORA_002</t>
        </is>
      </c>
      <c r="E9675" t="inlineStr">
        <is>
          <t>ingreso_efectivo_clientes</t>
        </is>
      </c>
      <c r="F9675" s="23" t="n">
        <v>46278</v>
      </c>
      <c r="G9675" s="24">
        <f>F9675-DATE(2026,8,31)</f>
        <v>13</v>
      </c>
      <c r="H9675" s="25" t="n">
        <v>333662960</v>
      </c>
      <c r="I9675" t="inlineStr">
        <is>
          <t>fondo-dia</t>
        </is>
      </c>
    </row>
    <row r="9676">
      <c r="A9676" t="inlineStr">
        <is>
          <t>PRAGMA</t>
        </is>
      </c>
      <c r="B9676" t="inlineStr">
        <is>
          <t>M5</t>
        </is>
      </c>
      <c r="C9676" t="inlineStr">
        <is>
          <t>Ipiales</t>
        </is>
      </c>
      <c r="D9676" t="inlineStr">
        <is>
          <t>IPIALES|TRANSPORTADORA_002</t>
        </is>
      </c>
      <c r="E9676" t="inlineStr">
        <is>
          <t>ingreso_efectivo_clientes</t>
        </is>
      </c>
      <c r="F9676" s="23" t="n">
        <v>46279</v>
      </c>
      <c r="G9676" s="24">
        <f>F9676-DATE(2026,8,31)</f>
        <v>14</v>
      </c>
      <c r="H9676" s="25" t="n">
        <v>9818181871</v>
      </c>
      <c r="I9676" t="inlineStr">
        <is>
          <t>fondo-dia</t>
        </is>
      </c>
    </row>
    <row r="9677">
      <c r="A9677" t="inlineStr">
        <is>
          <t>PRAGMA</t>
        </is>
      </c>
      <c r="B9677" t="inlineStr">
        <is>
          <t>M5</t>
        </is>
      </c>
      <c r="C9677" t="inlineStr">
        <is>
          <t>Ipiales</t>
        </is>
      </c>
      <c r="D9677" t="inlineStr">
        <is>
          <t>IPIALES|TRANSPORTADORA_002</t>
        </is>
      </c>
      <c r="E9677" t="inlineStr">
        <is>
          <t>ingreso_efectivo_clientes</t>
        </is>
      </c>
      <c r="F9677" s="23" t="n">
        <v>46280</v>
      </c>
      <c r="G9677" s="24">
        <f>F9677-DATE(2026,8,31)</f>
        <v>15</v>
      </c>
      <c r="H9677" s="25" t="n">
        <v>7794516660</v>
      </c>
      <c r="I9677" t="inlineStr">
        <is>
          <t>fondo-dia</t>
        </is>
      </c>
    </row>
    <row r="9678">
      <c r="A9678" t="inlineStr">
        <is>
          <t>PRAGMA</t>
        </is>
      </c>
      <c r="B9678" t="inlineStr">
        <is>
          <t>M5</t>
        </is>
      </c>
      <c r="C9678" t="inlineStr">
        <is>
          <t>Pasto</t>
        </is>
      </c>
      <c r="D9678" t="inlineStr">
        <is>
          <t>PASTO|TRANSPORTADORA_001</t>
        </is>
      </c>
      <c r="E9678" t="inlineStr">
        <is>
          <t>ingreso_efectivo_clientes</t>
        </is>
      </c>
      <c r="F9678" s="23" t="n">
        <v>46266</v>
      </c>
      <c r="G9678" s="24">
        <f>F9678-DATE(2026,8,31)</f>
        <v>1</v>
      </c>
      <c r="H9678" s="25" t="n">
        <v>1882264837</v>
      </c>
      <c r="I9678" t="inlineStr">
        <is>
          <t>fondo-dia</t>
        </is>
      </c>
    </row>
    <row r="9679">
      <c r="A9679" t="inlineStr">
        <is>
          <t>PRAGMA</t>
        </is>
      </c>
      <c r="B9679" t="inlineStr">
        <is>
          <t>M5</t>
        </is>
      </c>
      <c r="C9679" t="inlineStr">
        <is>
          <t>Pasto</t>
        </is>
      </c>
      <c r="D9679" t="inlineStr">
        <is>
          <t>PASTO|TRANSPORTADORA_001</t>
        </is>
      </c>
      <c r="E9679" t="inlineStr">
        <is>
          <t>ingreso_efectivo_clientes</t>
        </is>
      </c>
      <c r="F9679" s="23" t="n">
        <v>46267</v>
      </c>
      <c r="G9679" s="24">
        <f>F9679-DATE(2026,8,31)</f>
        <v>2</v>
      </c>
      <c r="H9679" s="25" t="n">
        <v>1927018297</v>
      </c>
      <c r="I9679" t="inlineStr">
        <is>
          <t>fondo-dia</t>
        </is>
      </c>
    </row>
    <row r="9680">
      <c r="A9680" t="inlineStr">
        <is>
          <t>PRAGMA</t>
        </is>
      </c>
      <c r="B9680" t="inlineStr">
        <is>
          <t>M5</t>
        </is>
      </c>
      <c r="C9680" t="inlineStr">
        <is>
          <t>Pasto</t>
        </is>
      </c>
      <c r="D9680" t="inlineStr">
        <is>
          <t>PASTO|TRANSPORTADORA_001</t>
        </is>
      </c>
      <c r="E9680" t="inlineStr">
        <is>
          <t>ingreso_efectivo_clientes</t>
        </is>
      </c>
      <c r="F9680" s="23" t="n">
        <v>46268</v>
      </c>
      <c r="G9680" s="24">
        <f>F9680-DATE(2026,8,31)</f>
        <v>3</v>
      </c>
      <c r="H9680" s="25" t="n">
        <v>2242379339</v>
      </c>
      <c r="I9680" t="inlineStr">
        <is>
          <t>fondo-dia</t>
        </is>
      </c>
    </row>
    <row r="9681">
      <c r="A9681" t="inlineStr">
        <is>
          <t>PRAGMA</t>
        </is>
      </c>
      <c r="B9681" t="inlineStr">
        <is>
          <t>M5</t>
        </is>
      </c>
      <c r="C9681" t="inlineStr">
        <is>
          <t>Pasto</t>
        </is>
      </c>
      <c r="D9681" t="inlineStr">
        <is>
          <t>PASTO|TRANSPORTADORA_001</t>
        </is>
      </c>
      <c r="E9681" t="inlineStr">
        <is>
          <t>ingreso_efectivo_clientes</t>
        </is>
      </c>
      <c r="F9681" s="23" t="n">
        <v>46269</v>
      </c>
      <c r="G9681" s="24">
        <f>F9681-DATE(2026,8,31)</f>
        <v>4</v>
      </c>
      <c r="H9681" s="25" t="n">
        <v>1446223708</v>
      </c>
      <c r="I9681" t="inlineStr">
        <is>
          <t>fondo-dia</t>
        </is>
      </c>
    </row>
    <row r="9682">
      <c r="A9682" t="inlineStr">
        <is>
          <t>PRAGMA</t>
        </is>
      </c>
      <c r="B9682" t="inlineStr">
        <is>
          <t>M5</t>
        </is>
      </c>
      <c r="C9682" t="inlineStr">
        <is>
          <t>Pasto</t>
        </is>
      </c>
      <c r="D9682" t="inlineStr">
        <is>
          <t>PASTO|TRANSPORTADORA_001</t>
        </is>
      </c>
      <c r="E9682" t="inlineStr">
        <is>
          <t>ingreso_efectivo_clientes</t>
        </is>
      </c>
      <c r="F9682" s="23" t="n">
        <v>46270</v>
      </c>
      <c r="G9682" s="24">
        <f>F9682-DATE(2026,8,31)</f>
        <v>5</v>
      </c>
      <c r="H9682" s="25" t="n">
        <v>431800137</v>
      </c>
      <c r="I9682" t="inlineStr">
        <is>
          <t>fondo-dia</t>
        </is>
      </c>
    </row>
    <row r="9683">
      <c r="A9683" t="inlineStr">
        <is>
          <t>PRAGMA</t>
        </is>
      </c>
      <c r="B9683" t="inlineStr">
        <is>
          <t>M5</t>
        </is>
      </c>
      <c r="C9683" t="inlineStr">
        <is>
          <t>Pasto</t>
        </is>
      </c>
      <c r="D9683" t="inlineStr">
        <is>
          <t>PASTO|TRANSPORTADORA_001</t>
        </is>
      </c>
      <c r="E9683" t="inlineStr">
        <is>
          <t>ingreso_efectivo_clientes</t>
        </is>
      </c>
      <c r="F9683" s="23" t="n">
        <v>46271</v>
      </c>
      <c r="G9683" s="24">
        <f>F9683-DATE(2026,8,31)</f>
        <v>6</v>
      </c>
      <c r="H9683" s="25" t="n">
        <v>84194648</v>
      </c>
      <c r="I9683" t="inlineStr">
        <is>
          <t>fondo-dia</t>
        </is>
      </c>
    </row>
    <row r="9684">
      <c r="A9684" t="inlineStr">
        <is>
          <t>PRAGMA</t>
        </is>
      </c>
      <c r="B9684" t="inlineStr">
        <is>
          <t>M5</t>
        </is>
      </c>
      <c r="C9684" t="inlineStr">
        <is>
          <t>Pasto</t>
        </is>
      </c>
      <c r="D9684" t="inlineStr">
        <is>
          <t>PASTO|TRANSPORTADORA_001</t>
        </is>
      </c>
      <c r="E9684" t="inlineStr">
        <is>
          <t>ingreso_efectivo_clientes</t>
        </is>
      </c>
      <c r="F9684" s="23" t="n">
        <v>46272</v>
      </c>
      <c r="G9684" s="24">
        <f>F9684-DATE(2026,8,31)</f>
        <v>7</v>
      </c>
      <c r="H9684" s="25" t="n">
        <v>2031860342</v>
      </c>
      <c r="I9684" t="inlineStr">
        <is>
          <t>fondo-dia</t>
        </is>
      </c>
    </row>
    <row r="9685">
      <c r="A9685" t="inlineStr">
        <is>
          <t>PRAGMA</t>
        </is>
      </c>
      <c r="B9685" t="inlineStr">
        <is>
          <t>M5</t>
        </is>
      </c>
      <c r="C9685" t="inlineStr">
        <is>
          <t>Pasto</t>
        </is>
      </c>
      <c r="D9685" t="inlineStr">
        <is>
          <t>PASTO|TRANSPORTADORA_001</t>
        </is>
      </c>
      <c r="E9685" t="inlineStr">
        <is>
          <t>ingreso_efectivo_clientes</t>
        </is>
      </c>
      <c r="F9685" s="23" t="n">
        <v>46273</v>
      </c>
      <c r="G9685" s="24">
        <f>F9685-DATE(2026,8,31)</f>
        <v>8</v>
      </c>
      <c r="H9685" s="25" t="n">
        <v>1776303575</v>
      </c>
      <c r="I9685" t="inlineStr">
        <is>
          <t>fondo-dia</t>
        </is>
      </c>
    </row>
    <row r="9686">
      <c r="A9686" t="inlineStr">
        <is>
          <t>PRAGMA</t>
        </is>
      </c>
      <c r="B9686" t="inlineStr">
        <is>
          <t>M5</t>
        </is>
      </c>
      <c r="C9686" t="inlineStr">
        <is>
          <t>Pasto</t>
        </is>
      </c>
      <c r="D9686" t="inlineStr">
        <is>
          <t>PASTO|TRANSPORTADORA_001</t>
        </is>
      </c>
      <c r="E9686" t="inlineStr">
        <is>
          <t>ingreso_efectivo_clientes</t>
        </is>
      </c>
      <c r="F9686" s="23" t="n">
        <v>46274</v>
      </c>
      <c r="G9686" s="24">
        <f>F9686-DATE(2026,8,31)</f>
        <v>9</v>
      </c>
      <c r="H9686" s="25" t="n">
        <v>1801039192</v>
      </c>
      <c r="I9686" t="inlineStr">
        <is>
          <t>fondo-dia</t>
        </is>
      </c>
    </row>
    <row r="9687">
      <c r="A9687" t="inlineStr">
        <is>
          <t>PRAGMA</t>
        </is>
      </c>
      <c r="B9687" t="inlineStr">
        <is>
          <t>M5</t>
        </is>
      </c>
      <c r="C9687" t="inlineStr">
        <is>
          <t>Pasto</t>
        </is>
      </c>
      <c r="D9687" t="inlineStr">
        <is>
          <t>PASTO|TRANSPORTADORA_001</t>
        </is>
      </c>
      <c r="E9687" t="inlineStr">
        <is>
          <t>ingreso_efectivo_clientes</t>
        </is>
      </c>
      <c r="F9687" s="23" t="n">
        <v>46275</v>
      </c>
      <c r="G9687" s="24">
        <f>F9687-DATE(2026,8,31)</f>
        <v>10</v>
      </c>
      <c r="H9687" s="25" t="n">
        <v>1652179867</v>
      </c>
      <c r="I9687" t="inlineStr">
        <is>
          <t>fondo-dia</t>
        </is>
      </c>
    </row>
    <row r="9688">
      <c r="A9688" t="inlineStr">
        <is>
          <t>PRAGMA</t>
        </is>
      </c>
      <c r="B9688" t="inlineStr">
        <is>
          <t>M5</t>
        </is>
      </c>
      <c r="C9688" t="inlineStr">
        <is>
          <t>Pasto</t>
        </is>
      </c>
      <c r="D9688" t="inlineStr">
        <is>
          <t>PASTO|TRANSPORTADORA_001</t>
        </is>
      </c>
      <c r="E9688" t="inlineStr">
        <is>
          <t>ingreso_efectivo_clientes</t>
        </is>
      </c>
      <c r="F9688" s="23" t="n">
        <v>46276</v>
      </c>
      <c r="G9688" s="24">
        <f>F9688-DATE(2026,8,31)</f>
        <v>11</v>
      </c>
      <c r="H9688" s="25" t="n">
        <v>1218244088</v>
      </c>
      <c r="I9688" t="inlineStr">
        <is>
          <t>fondo-dia</t>
        </is>
      </c>
    </row>
    <row r="9689">
      <c r="A9689" t="inlineStr">
        <is>
          <t>PRAGMA</t>
        </is>
      </c>
      <c r="B9689" t="inlineStr">
        <is>
          <t>M5</t>
        </is>
      </c>
      <c r="C9689" t="inlineStr">
        <is>
          <t>Pasto</t>
        </is>
      </c>
      <c r="D9689" t="inlineStr">
        <is>
          <t>PASTO|TRANSPORTADORA_001</t>
        </is>
      </c>
      <c r="E9689" t="inlineStr">
        <is>
          <t>ingreso_efectivo_clientes</t>
        </is>
      </c>
      <c r="F9689" s="23" t="n">
        <v>46277</v>
      </c>
      <c r="G9689" s="24">
        <f>F9689-DATE(2026,8,31)</f>
        <v>12</v>
      </c>
      <c r="H9689" s="25" t="n">
        <v>362201998</v>
      </c>
      <c r="I9689" t="inlineStr">
        <is>
          <t>fondo-dia</t>
        </is>
      </c>
    </row>
    <row r="9690">
      <c r="A9690" t="inlineStr">
        <is>
          <t>PRAGMA</t>
        </is>
      </c>
      <c r="B9690" t="inlineStr">
        <is>
          <t>M5</t>
        </is>
      </c>
      <c r="C9690" t="inlineStr">
        <is>
          <t>Pasto</t>
        </is>
      </c>
      <c r="D9690" t="inlineStr">
        <is>
          <t>PASTO|TRANSPORTADORA_001</t>
        </is>
      </c>
      <c r="E9690" t="inlineStr">
        <is>
          <t>ingreso_efectivo_clientes</t>
        </is>
      </c>
      <c r="F9690" s="23" t="n">
        <v>46278</v>
      </c>
      <c r="G9690" s="24">
        <f>F9690-DATE(2026,8,31)</f>
        <v>13</v>
      </c>
      <c r="H9690" s="25" t="n">
        <v>59145867</v>
      </c>
      <c r="I9690" t="inlineStr">
        <is>
          <t>fondo-dia</t>
        </is>
      </c>
    </row>
    <row r="9691">
      <c r="A9691" t="inlineStr">
        <is>
          <t>PRAGMA</t>
        </is>
      </c>
      <c r="B9691" t="inlineStr">
        <is>
          <t>M5</t>
        </is>
      </c>
      <c r="C9691" t="inlineStr">
        <is>
          <t>Pasto</t>
        </is>
      </c>
      <c r="D9691" t="inlineStr">
        <is>
          <t>PASTO|TRANSPORTADORA_001</t>
        </is>
      </c>
      <c r="E9691" t="inlineStr">
        <is>
          <t>ingreso_efectivo_clientes</t>
        </is>
      </c>
      <c r="F9691" s="23" t="n">
        <v>46279</v>
      </c>
      <c r="G9691" s="24">
        <f>F9691-DATE(2026,8,31)</f>
        <v>14</v>
      </c>
      <c r="H9691" s="25" t="n">
        <v>1605541947</v>
      </c>
      <c r="I9691" t="inlineStr">
        <is>
          <t>fondo-dia</t>
        </is>
      </c>
    </row>
    <row r="9692">
      <c r="A9692" t="inlineStr">
        <is>
          <t>PRAGMA</t>
        </is>
      </c>
      <c r="B9692" t="inlineStr">
        <is>
          <t>M5</t>
        </is>
      </c>
      <c r="C9692" t="inlineStr">
        <is>
          <t>Pasto</t>
        </is>
      </c>
      <c r="D9692" t="inlineStr">
        <is>
          <t>PASTO|TRANSPORTADORA_001</t>
        </is>
      </c>
      <c r="E9692" t="inlineStr">
        <is>
          <t>ingreso_efectivo_clientes</t>
        </is>
      </c>
      <c r="F9692" s="23" t="n">
        <v>46280</v>
      </c>
      <c r="G9692" s="24">
        <f>F9692-DATE(2026,8,31)</f>
        <v>15</v>
      </c>
      <c r="H9692" s="25" t="n">
        <v>1745879459</v>
      </c>
      <c r="I9692" t="inlineStr">
        <is>
          <t>fondo-dia</t>
        </is>
      </c>
    </row>
  </sheetData>
  <autoFilter ref="A2:I13"/>
  <mergeCells count="1">
    <mergeCell ref="A1:I1"/>
  </mergeCells>
  <dataValidations count="3">
    <dataValidation sqref="B3:B9692" showDropDown="0" showInputMessage="0" showErrorMessage="0" allowBlank="1" type="list">
      <formula1>"M1,M2,M3,M4,M5"</formula1>
      <formula2>0</formula2>
    </dataValidation>
    <dataValidation sqref="E3:E9692" showDropDown="0" showInputMessage="0" showErrorMessage="0" allowBlank="1" type="list">
      <formula1>"pagado,cash_in,entradas,salidas,ingreso_efectivo_cbr,ingreso_efectivo_clientes"</formula1>
      <formula2>0</formula2>
    </dataValidation>
    <dataValidation sqref="I3:I9692" showDropDown="0" showInputMessage="0" showErrorMessage="0" allowBlank="1" type="list">
      <formula1>"entidad-dia,fondo-dia"</formula1>
      <formula2>0</formula2>
    </dataValidation>
  </dataValidations>
  <pageMargins left="0.75" right="0.75" top="1" bottom="1" header="0.511811023622047" footer="0.511811023622047"/>
  <pageSetup orientation="portrait" fitToHeight="0" horizontalDpi="300" verticalDpi="300"/>
</worksheet>
</file>

<file path=xl/worksheets/sheet2.xml><?xml version="1.0" encoding="utf-8"?>
<worksheet xmlns="http://schemas.openxmlformats.org/spreadsheetml/2006/main">
  <sheetPr>
    <tabColor rgb="FFFDDA24"/>
    <outlinePr summaryBelow="1" summaryRight="1"/>
    <pageSetUpPr fitToPage="1"/>
  </sheetPr>
  <dimension ref="A1:P2594"/>
  <sheetViews>
    <sheetView showGridLines="0" zoomScaleNormal="100" workbookViewId="0">
      <pane ySplit="2" topLeftCell="A3" activePane="bottomLeft" state="frozen"/>
      <selection pane="bottomLeft" activeCell="O2" sqref="O2"/>
    </sheetView>
  </sheetViews>
  <sheetFormatPr baseColWidth="10" defaultColWidth="8.7265625" defaultRowHeight="15" customHeight="1"/>
  <cols>
    <col width="17" customWidth="1" min="1" max="1"/>
    <col width="8" customWidth="1" min="2" max="2"/>
    <col width="10" customWidth="1" min="3" max="3"/>
    <col width="22" customWidth="1" min="4" max="4"/>
    <col width="18" customWidth="1" min="5" max="5"/>
    <col width="14" customWidth="1" min="6" max="7"/>
    <col width="17" customWidth="1" min="8" max="8"/>
    <col width="11" customWidth="1" min="9" max="9"/>
    <col width="34" customWidth="1" min="10" max="10"/>
    <col width="60" customWidth="1" min="11" max="11"/>
    <col width="17" customWidth="1" min="12" max="12"/>
    <col width="18" customWidth="1" min="13" max="13"/>
    <col width="16" customWidth="1" min="14" max="14"/>
    <col width="18" customWidth="1" min="15" max="15"/>
    <col width="16" customWidth="1" min="16" max="16"/>
  </cols>
  <sheetData>
    <row r="1" ht="26" customHeight="1">
      <c r="A1" s="21" t="inlineStr">
        <is>
          <t>Hoja 02 – Plan operativo</t>
        </is>
      </c>
    </row>
    <row r="2" ht="39.75" customHeight="1" thickBot="1">
      <c r="A2" s="1" t="inlineStr">
        <is>
          <t>id_proveedor</t>
        </is>
      </c>
      <c r="B2" s="1" t="inlineStr">
        <is>
          <t>modelo</t>
        </is>
      </c>
      <c r="C2" s="1" t="inlineStr">
        <is>
          <t>ciudad</t>
        </is>
      </c>
      <c r="D2" s="1" t="inlineStr">
        <is>
          <t>id_entidad</t>
        </is>
      </c>
      <c r="E2" s="1" t="inlineStr">
        <is>
          <t>tipo_administracion</t>
        </is>
      </c>
      <c r="F2" s="1" t="inlineStr">
        <is>
          <t>fecha_accion_sugerida</t>
        </is>
      </c>
      <c r="G2" s="1" t="inlineStr">
        <is>
          <t>accion_sugerida</t>
        </is>
      </c>
      <c r="H2" s="1" t="inlineStr">
        <is>
          <t>monto_sugerido_cop</t>
        </is>
      </c>
      <c r="I2" s="1" t="inlineStr">
        <is>
          <t>nivel_riesgo</t>
        </is>
      </c>
      <c r="J2" s="1" t="inlineStr">
        <is>
          <t>regla_aplicada</t>
        </is>
      </c>
      <c r="K2" s="1" t="inlineStr">
        <is>
          <t>explicacion_funcional</t>
        </is>
      </c>
      <c r="L2" s="1" t="inlineStr">
        <is>
          <t>cupo_entidad_cop</t>
        </is>
      </c>
      <c r="M2" s="1" t="inlineStr">
        <is>
          <t>saldo_antes_accion_cop</t>
        </is>
      </c>
      <c r="N2" s="1" t="inlineStr">
        <is>
          <t>porcentaje_ocupacion_antes</t>
        </is>
      </c>
      <c r="O2" s="1" t="inlineStr">
        <is>
          <t>saldo_despues_accion_cop</t>
        </is>
      </c>
      <c r="P2" s="1" t="inlineStr">
        <is>
          <t>costo_estimado_cop</t>
        </is>
      </c>
    </row>
    <row r="3" ht="61.5" customHeight="1" thickTop="1">
      <c r="A3" t="inlineStr">
        <is>
          <t>PRAGMA</t>
        </is>
      </c>
      <c r="B3" t="inlineStr">
        <is>
          <t>M1</t>
        </is>
      </c>
      <c r="C3" t="inlineStr">
        <is>
          <t>Cali</t>
        </is>
      </c>
      <c r="D3" t="inlineStr">
        <is>
          <t>1049</t>
        </is>
      </c>
      <c r="E3" t="inlineStr">
        <is>
          <t>TDV</t>
        </is>
      </c>
      <c r="F3" s="23" t="n">
        <v>46268</v>
      </c>
      <c r="G3" t="inlineStr">
        <is>
          <t>provision</t>
        </is>
      </c>
      <c r="H3" s="26" t="n">
        <v>317246127</v>
      </c>
      <c r="I3" t="inlineStr">
        <is>
          <t>bajo</t>
        </is>
      </c>
      <c r="J3" t="inlineStr">
        <is>
          <t>RN-11 y RN-34: provision hasta el cupo operativo antes de bajar del 8 %</t>
        </is>
      </c>
      <c r="K3" t="inlineStr">
        <is>
          <t>Provision en la manana, antes del pagado: con el pronostico, sin provision el saldo bajaria del 8 % del cupo ese dia. Lleva el saldo de 182.753.873 a 500.000.000 COP (cupo 500.000.000). Equipo administrado por TDV.</t>
        </is>
      </c>
      <c r="L3" s="26" t="n">
        <v>500000000</v>
      </c>
      <c r="M3" s="26" t="n">
        <v>182753873</v>
      </c>
      <c r="N3" s="27">
        <f>IF(ISNUMBER(M3),M3/L3,"No aplica")</f>
        <v>0.365507746</v>
      </c>
      <c r="O3" s="25">
        <f>IF(G3="provision",M3+H3,IF(G3="recoleccion",M3-H3,"No aplica"))</f>
        <v>500000000</v>
      </c>
      <c r="P3" s="26" t="n">
        <v>141425</v>
      </c>
    </row>
    <row r="4" ht="61.5" customHeight="1">
      <c r="A4" t="inlineStr">
        <is>
          <t>PRAGMA</t>
        </is>
      </c>
      <c r="B4" t="inlineStr">
        <is>
          <t>M1</t>
        </is>
      </c>
      <c r="C4" t="inlineStr">
        <is>
          <t>Cali</t>
        </is>
      </c>
      <c r="D4" t="inlineStr">
        <is>
          <t>1049</t>
        </is>
      </c>
      <c r="E4" t="inlineStr">
        <is>
          <t>TDV</t>
        </is>
      </c>
      <c r="F4" s="23" t="n">
        <v>46271</v>
      </c>
      <c r="G4" t="inlineStr">
        <is>
          <t>provision</t>
        </is>
      </c>
      <c r="H4" s="26" t="n">
        <v>432342204</v>
      </c>
      <c r="I4" t="inlineStr">
        <is>
          <t>bajo</t>
        </is>
      </c>
      <c r="J4" t="inlineStr">
        <is>
          <t>RN-11 y RN-34: provision hasta el cupo operativo antes de bajar del 8 %</t>
        </is>
      </c>
      <c r="K4" t="inlineStr">
        <is>
          <t>Provision en la manana, antes del pagado: con el pronostico, sin provision el saldo bajaria del 8 % del cupo ese dia. Lleva el saldo de 67.657.796 a 500.000.000 COP (cupo 500.000.000). Equipo administrado por TDV.</t>
        </is>
      </c>
      <c r="L4" s="26" t="n">
        <v>500000000</v>
      </c>
      <c r="M4" s="26" t="n">
        <v>67657796</v>
      </c>
      <c r="N4" s="27">
        <f>IF(ISNUMBER(M4),M4/L4,"No aplica")</f>
        <v>0.135315592</v>
      </c>
      <c r="O4" s="25">
        <f>IF(G4="provision",M4+H4,IF(G4="recoleccion",M4-H4,"No aplica"))</f>
        <v>500000000</v>
      </c>
      <c r="P4" s="26" t="n">
        <v>240402</v>
      </c>
    </row>
    <row r="5" ht="61.5" customHeight="1">
      <c r="A5" t="inlineStr">
        <is>
          <t>PRAGMA</t>
        </is>
      </c>
      <c r="B5" t="inlineStr">
        <is>
          <t>M1</t>
        </is>
      </c>
      <c r="C5" t="inlineStr">
        <is>
          <t>Cali</t>
        </is>
      </c>
      <c r="D5" t="inlineStr">
        <is>
          <t>1049</t>
        </is>
      </c>
      <c r="E5" t="inlineStr">
        <is>
          <t>TDV</t>
        </is>
      </c>
      <c r="F5" s="23" t="n">
        <v>46275</v>
      </c>
      <c r="G5" t="inlineStr">
        <is>
          <t>provision</t>
        </is>
      </c>
      <c r="H5" s="26" t="n">
        <v>410165680</v>
      </c>
      <c r="I5" t="inlineStr">
        <is>
          <t>bajo</t>
        </is>
      </c>
      <c r="J5" t="inlineStr">
        <is>
          <t>RN-11 y RN-34: provision hasta el cupo operativo antes de bajar del 8 %</t>
        </is>
      </c>
      <c r="K5" t="inlineStr">
        <is>
          <t>Provision en la manana, antes del pagado: con el pronostico, sin provision el saldo bajaria del 8 % del cupo ese dia. Lleva el saldo de 89.834.320 a 500.000.000 COP (cupo 500.000.000). Equipo administrado por TDV.</t>
        </is>
      </c>
      <c r="L5" s="26" t="n">
        <v>500000000</v>
      </c>
      <c r="M5" s="26" t="n">
        <v>89834320</v>
      </c>
      <c r="N5" s="27">
        <f>IF(ISNUMBER(M5),M5/L5,"No aplica")</f>
        <v>0.17966864</v>
      </c>
      <c r="O5" s="25">
        <f>IF(G5="provision",M5+H5,IF(G5="recoleccion",M5-H5,"No aplica"))</f>
        <v>500000000</v>
      </c>
      <c r="P5" s="26" t="n">
        <v>177385</v>
      </c>
    </row>
    <row r="6" ht="61.5" customHeight="1">
      <c r="A6" t="inlineStr">
        <is>
          <t>PRAGMA</t>
        </is>
      </c>
      <c r="B6" t="inlineStr">
        <is>
          <t>M1</t>
        </is>
      </c>
      <c r="C6" t="inlineStr">
        <is>
          <t>Cali</t>
        </is>
      </c>
      <c r="D6" t="inlineStr">
        <is>
          <t>1049</t>
        </is>
      </c>
      <c r="E6" t="inlineStr">
        <is>
          <t>TDV</t>
        </is>
      </c>
      <c r="F6" s="23" t="n">
        <v>46279</v>
      </c>
      <c r="G6" t="inlineStr">
        <is>
          <t>provision</t>
        </is>
      </c>
      <c r="H6" s="26" t="n">
        <v>405513323</v>
      </c>
      <c r="I6" t="inlineStr">
        <is>
          <t>bajo</t>
        </is>
      </c>
      <c r="J6" t="inlineStr">
        <is>
          <t>RN-11 y RN-34: provision hasta el cupo operativo antes de bajar del 8 %</t>
        </is>
      </c>
      <c r="K6" t="inlineStr">
        <is>
          <t>Provision en la manana, antes del pagado: con el pronostico, sin provision el saldo bajaria del 8 % del cupo ese dia. Lleva el saldo de 94.486.677 a 500.000.000 COP (cupo 500.000.000). Equipo administrado por TDV.</t>
        </is>
      </c>
      <c r="L6" s="26" t="n">
        <v>500000000</v>
      </c>
      <c r="M6" s="26" t="n">
        <v>94486677</v>
      </c>
      <c r="N6" s="27">
        <f>IF(ISNUMBER(M6),M6/L6,"No aplica")</f>
        <v>0.188973354</v>
      </c>
      <c r="O6" s="25">
        <f>IF(G6="provision",M6+H6,IF(G6="recoleccion",M6-H6,"No aplica"))</f>
        <v>500000000</v>
      </c>
      <c r="P6" s="26" t="n">
        <v>175585</v>
      </c>
    </row>
    <row r="7" ht="61.5" customHeight="1">
      <c r="A7" t="inlineStr">
        <is>
          <t>PRAGMA</t>
        </is>
      </c>
      <c r="B7" t="inlineStr">
        <is>
          <t>M1</t>
        </is>
      </c>
      <c r="C7" t="inlineStr">
        <is>
          <t>Cali</t>
        </is>
      </c>
      <c r="D7" t="inlineStr">
        <is>
          <t>1050</t>
        </is>
      </c>
      <c r="E7" t="inlineStr">
        <is>
          <t>TDV</t>
        </is>
      </c>
      <c r="F7" s="23" t="n">
        <v>46266</v>
      </c>
      <c r="G7" t="inlineStr">
        <is>
          <t>sin_accion</t>
        </is>
      </c>
      <c r="H7" s="26" t="n">
        <v>0</v>
      </c>
      <c r="I7" t="inlineStr">
        <is>
          <t>bajo</t>
        </is>
      </c>
      <c r="J7" t="inlineStr">
        <is>
          <t>RN-02: una fila sin_accion</t>
        </is>
      </c>
      <c r="K7" t="inlineStr">
        <is>
          <t>Sin accion en el horizonte: con el pronostico, el saldo se mantiene entre el umbral de agotamiento y el cupo sin necesidad de provision ni recoleccion.</t>
        </is>
      </c>
      <c r="L7" s="26" t="n">
        <v>500000000</v>
      </c>
      <c r="M7" s="26" t="inlineStr">
        <is>
          <t>No aplica</t>
        </is>
      </c>
      <c r="N7" s="27" t="str">
        <f>IF(ISNUMBER(M7),M7/L7,"No aplica")</f>
        <v>No aplica</v>
      </c>
      <c r="O7" s="25" t="str">
        <f>IF(G7="provision",M7+H7,IF(G7="recoleccion",M7-H7,"No aplica"))</f>
        <v>No aplica</v>
      </c>
      <c r="P7" s="26" t="inlineStr">
        <is>
          <t>No aplica</t>
        </is>
      </c>
    </row>
    <row r="8" ht="61.5" customHeight="1">
      <c r="A8" t="inlineStr">
        <is>
          <t>PRAGMA</t>
        </is>
      </c>
      <c r="B8" t="inlineStr">
        <is>
          <t>M1</t>
        </is>
      </c>
      <c r="C8" t="inlineStr">
        <is>
          <t>Cali</t>
        </is>
      </c>
      <c r="D8" t="inlineStr">
        <is>
          <t>1085</t>
        </is>
      </c>
      <c r="E8" t="inlineStr">
        <is>
          <t>TDV</t>
        </is>
      </c>
      <c r="F8" s="23" t="n">
        <v>46279</v>
      </c>
      <c r="G8" t="inlineStr">
        <is>
          <t>provision</t>
        </is>
      </c>
      <c r="H8" s="26" t="n">
        <v>458920749</v>
      </c>
      <c r="I8" t="inlineStr">
        <is>
          <t>bajo</t>
        </is>
      </c>
      <c r="J8" t="inlineStr">
        <is>
          <t>RN-11 y RN-34: provision hasta el cupo operativo antes de bajar del 8 %</t>
        </is>
      </c>
      <c r="K8" t="inlineStr">
        <is>
          <t>Provision en la manana, antes del pagado: con el pronostico, sin provision el saldo bajaria del 8 % del cupo ese dia. Lleva el saldo de 41.079.251 a 500.000.000 COP (cupo 500.000.000). Equipo administrado por TDV.</t>
        </is>
      </c>
      <c r="L8" s="26" t="n">
        <v>500000000</v>
      </c>
      <c r="M8" s="26" t="n">
        <v>41079251</v>
      </c>
      <c r="N8" s="27">
        <f>IF(ISNUMBER(M8),M8/L8,"No aplica")</f>
        <v>0.082158502</v>
      </c>
      <c r="O8" s="25">
        <f>IF(G8="provision",M8+H8,IF(G8="recoleccion",M8-H8,"No aplica"))</f>
        <v>500000000</v>
      </c>
      <c r="P8" s="26" t="n">
        <v>165150</v>
      </c>
    </row>
    <row r="9" ht="61.5" customHeight="1">
      <c r="A9" t="inlineStr">
        <is>
          <t>PRAGMA</t>
        </is>
      </c>
      <c r="B9" t="inlineStr">
        <is>
          <t>M1</t>
        </is>
      </c>
      <c r="C9" t="inlineStr">
        <is>
          <t>Cali</t>
        </is>
      </c>
      <c r="D9" t="inlineStr">
        <is>
          <t>1086</t>
        </is>
      </c>
      <c r="E9" t="inlineStr">
        <is>
          <t>TDV</t>
        </is>
      </c>
      <c r="F9" s="23" t="n">
        <v>46277</v>
      </c>
      <c r="G9" t="inlineStr">
        <is>
          <t>provision</t>
        </is>
      </c>
      <c r="H9" s="26" t="n">
        <v>423115040</v>
      </c>
      <c r="I9" t="inlineStr">
        <is>
          <t>bajo</t>
        </is>
      </c>
      <c r="J9" t="inlineStr">
        <is>
          <t>RN-11 y RN-34: provision hasta el cupo operativo antes de bajar del 8 %</t>
        </is>
      </c>
      <c r="K9" t="inlineStr">
        <is>
          <t>Provision en la manana, antes del pagado: con el pronostico, sin provision el saldo bajaria del 8 % del cupo ese dia. Lleva el saldo de 76.884.960 a 500.000.000 COP (cupo 500.000.000). Equipo administrado por TDV.</t>
        </is>
      </c>
      <c r="L9" s="26" t="n">
        <v>500000000</v>
      </c>
      <c r="M9" s="26" t="n">
        <v>76884960</v>
      </c>
      <c r="N9" s="27">
        <f>IF(ISNUMBER(M9),M9/L9,"No aplica")</f>
        <v>0.15376992</v>
      </c>
      <c r="O9" s="25">
        <f>IF(G9="provision",M9+H9,IF(G9="recoleccion",M9-H9,"No aplica"))</f>
        <v>500000000</v>
      </c>
      <c r="P9" s="26" t="n">
        <v>153585</v>
      </c>
    </row>
    <row r="10" ht="61.5" customHeight="1">
      <c r="A10" t="inlineStr">
        <is>
          <t>PRAGMA</t>
        </is>
      </c>
      <c r="B10" t="inlineStr">
        <is>
          <t>M1</t>
        </is>
      </c>
      <c r="C10" t="inlineStr">
        <is>
          <t>Cali</t>
        </is>
      </c>
      <c r="D10" t="inlineStr">
        <is>
          <t>1105</t>
        </is>
      </c>
      <c r="E10" t="inlineStr">
        <is>
          <t>TDV</t>
        </is>
      </c>
      <c r="F10" s="23" t="n">
        <v>46270</v>
      </c>
      <c r="G10" t="inlineStr">
        <is>
          <t>provision</t>
        </is>
      </c>
      <c r="H10" s="26" t="n">
        <v>430609064</v>
      </c>
      <c r="I10" t="inlineStr">
        <is>
          <t>bajo</t>
        </is>
      </c>
      <c r="J10" t="inlineStr">
        <is>
          <t>RN-11 y RN-34: provision hasta el cupo operativo antes de bajar del 8 %</t>
        </is>
      </c>
      <c r="K10" t="inlineStr">
        <is>
          <t>Provision en la manana, antes del pagado: con el pronostico, sin provision el saldo bajaria del 8 % del cupo ese dia. Lleva el saldo de 69.390.936 a 500.000.000 COP (cupo 500.000.000). Equipo administrado por TDV.</t>
        </is>
      </c>
      <c r="L10" s="26" t="n">
        <v>500000000</v>
      </c>
      <c r="M10" s="26" t="n">
        <v>69390936</v>
      </c>
      <c r="N10" s="27">
        <f>IF(ISNUMBER(M10),M10/L10,"No aplica")</f>
        <v>0.138781872</v>
      </c>
      <c r="O10" s="25">
        <f>IF(G10="provision",M10+H10,IF(G10="recoleccion",M10-H10,"No aplica"))</f>
        <v>500000000</v>
      </c>
      <c r="P10" s="26" t="n">
        <v>142853</v>
      </c>
    </row>
    <row r="11" ht="61.5" customHeight="1">
      <c r="A11" t="inlineStr">
        <is>
          <t>PRAGMA</t>
        </is>
      </c>
      <c r="B11" t="inlineStr">
        <is>
          <t>M1</t>
        </is>
      </c>
      <c r="C11" t="inlineStr">
        <is>
          <t>Cali</t>
        </is>
      </c>
      <c r="D11" t="inlineStr">
        <is>
          <t>1105</t>
        </is>
      </c>
      <c r="E11" t="inlineStr">
        <is>
          <t>TDV</t>
        </is>
      </c>
      <c r="F11" s="23" t="n">
        <v>46275</v>
      </c>
      <c r="G11" t="inlineStr">
        <is>
          <t>provision</t>
        </is>
      </c>
      <c r="H11" s="26" t="n">
        <v>421103368</v>
      </c>
      <c r="I11" t="inlineStr">
        <is>
          <t>bajo</t>
        </is>
      </c>
      <c r="J11" t="inlineStr">
        <is>
          <t>RN-11 y RN-34: provision hasta el cupo operativo antes de bajar del 8 %</t>
        </is>
      </c>
      <c r="K11" t="inlineStr">
        <is>
          <t>Provision en la manana, antes del pagado: con el pronostico, sin provision el saldo bajaria del 8 % del cupo ese dia. Lleva el saldo de 78.896.632 a 500.000.000 COP (cupo 500.000.000). Equipo administrado por TDV.</t>
        </is>
      </c>
      <c r="L11" s="26" t="n">
        <v>500000000</v>
      </c>
      <c r="M11" s="26" t="n">
        <v>78896632</v>
      </c>
      <c r="N11" s="27">
        <f>IF(ISNUMBER(M11),M11/L11,"No aplica")</f>
        <v>0.157793264</v>
      </c>
      <c r="O11" s="25">
        <f>IF(G11="provision",M11+H11,IF(G11="recoleccion",M11-H11,"No aplica"))</f>
        <v>500000000</v>
      </c>
      <c r="P11" s="26" t="n">
        <v>140058</v>
      </c>
    </row>
    <row r="12" ht="61.5" customHeight="1">
      <c r="A12" t="inlineStr">
        <is>
          <t>PRAGMA</t>
        </is>
      </c>
      <c r="B12" t="inlineStr">
        <is>
          <t>M1</t>
        </is>
      </c>
      <c r="C12" t="inlineStr">
        <is>
          <t>Cali</t>
        </is>
      </c>
      <c r="D12" t="inlineStr">
        <is>
          <t>1105</t>
        </is>
      </c>
      <c r="E12" t="inlineStr">
        <is>
          <t>TDV</t>
        </is>
      </c>
      <c r="F12" s="23" t="n">
        <v>46280</v>
      </c>
      <c r="G12" t="inlineStr">
        <is>
          <t>provision</t>
        </is>
      </c>
      <c r="H12" s="26" t="n">
        <v>357260628</v>
      </c>
      <c r="I12" t="inlineStr">
        <is>
          <t>bajo</t>
        </is>
      </c>
      <c r="J12" t="inlineStr">
        <is>
          <t>RN-11 y RN-34: provision hasta el cupo operativo antes de bajar del 8 %</t>
        </is>
      </c>
      <c r="K12" t="inlineStr">
        <is>
          <t>Provision en la manana, antes del pagado: con el pronostico, sin provision el saldo bajaria del 8 % del cupo ese dia. Lleva el saldo de 142.739.372 a 500.000.000 COP (cupo 500.000.000). Equipo administrado por TDV.</t>
        </is>
      </c>
      <c r="L12" s="26" t="n">
        <v>500000000</v>
      </c>
      <c r="M12" s="26" t="n">
        <v>142739372</v>
      </c>
      <c r="N12" s="27">
        <f>IF(ISNUMBER(M12),M12/L12,"No aplica")</f>
        <v>0.285478744</v>
      </c>
      <c r="O12" s="25">
        <f>IF(G12="provision",M12+H12,IF(G12="recoleccion",M12-H12,"No aplica"))</f>
        <v>500000000</v>
      </c>
      <c r="P12" s="26" t="n">
        <v>121289</v>
      </c>
    </row>
    <row r="13" ht="61.5" customHeight="1">
      <c r="A13" t="inlineStr">
        <is>
          <t>PRAGMA</t>
        </is>
      </c>
      <c r="B13" t="inlineStr">
        <is>
          <t>M1</t>
        </is>
      </c>
      <c r="C13" t="inlineStr">
        <is>
          <t>Cali</t>
        </is>
      </c>
      <c r="D13" t="inlineStr">
        <is>
          <t>1120</t>
        </is>
      </c>
      <c r="E13" t="inlineStr">
        <is>
          <t>TDV</t>
        </is>
      </c>
      <c r="F13" s="23" t="n">
        <v>46266</v>
      </c>
      <c r="G13" t="inlineStr">
        <is>
          <t>sin_accion</t>
        </is>
      </c>
      <c r="H13" s="26" t="n">
        <v>0</v>
      </c>
      <c r="I13" t="inlineStr">
        <is>
          <t>bajo</t>
        </is>
      </c>
      <c r="J13" t="inlineStr">
        <is>
          <t>RN-02: una fila sin_accion</t>
        </is>
      </c>
      <c r="K13" t="inlineStr">
        <is>
          <t>Sin accion en el horizonte: con el pronostico, el saldo se mantiene entre el umbral de agotamiento y el cupo sin necesidad de provision ni recoleccion.</t>
        </is>
      </c>
      <c r="L13" s="26" t="n">
        <v>411000000</v>
      </c>
      <c r="M13" s="26" t="inlineStr">
        <is>
          <t>No aplica</t>
        </is>
      </c>
      <c r="N13" s="27" t="str">
        <f>IF(ISNUMBER(M13),M13/L13,"No aplica")</f>
        <v>No aplica</v>
      </c>
      <c r="O13" s="25" t="str">
        <f>IF(G13="provision",M13+H13,IF(G13="recoleccion",M13-H13,"No aplica"))</f>
        <v>No aplica</v>
      </c>
      <c r="P13" s="26" t="inlineStr">
        <is>
          <t>No aplica</t>
        </is>
      </c>
    </row>
    <row r="14" ht="61.5" customHeight="1">
      <c r="A14" t="inlineStr">
        <is>
          <t>PRAGMA</t>
        </is>
      </c>
      <c r="B14" t="inlineStr">
        <is>
          <t>M1</t>
        </is>
      </c>
      <c r="C14" t="inlineStr">
        <is>
          <t>Cali</t>
        </is>
      </c>
      <c r="D14" t="inlineStr">
        <is>
          <t>1121</t>
        </is>
      </c>
      <c r="E14" t="inlineStr">
        <is>
          <t>TDV</t>
        </is>
      </c>
      <c r="F14" s="23" t="n">
        <v>46266</v>
      </c>
      <c r="G14" t="inlineStr">
        <is>
          <t>sin_accion</t>
        </is>
      </c>
      <c r="H14" s="26" t="n">
        <v>0</v>
      </c>
      <c r="I14" t="inlineStr">
        <is>
          <t>bajo</t>
        </is>
      </c>
      <c r="J14" t="inlineStr">
        <is>
          <t>RN-02: una fila sin_accion</t>
        </is>
      </c>
      <c r="K14" t="inlineStr">
        <is>
          <t>Sin accion en el horizonte: con el pronostico, el saldo se mantiene entre el umbral de agotamiento y el cupo sin necesidad de provision ni recoleccion.</t>
        </is>
      </c>
      <c r="L14" s="26" t="n">
        <v>411000000</v>
      </c>
      <c r="M14" s="26" t="inlineStr">
        <is>
          <t>No aplica</t>
        </is>
      </c>
      <c r="N14" s="27" t="str">
        <f>IF(ISNUMBER(M14),M14/L14,"No aplica")</f>
        <v>No aplica</v>
      </c>
      <c r="O14" s="25" t="str">
        <f>IF(G14="provision",M14+H14,IF(G14="recoleccion",M14-H14,"No aplica"))</f>
        <v>No aplica</v>
      </c>
      <c r="P14" s="26" t="inlineStr">
        <is>
          <t>No aplica</t>
        </is>
      </c>
    </row>
    <row r="15" ht="61.5" customHeight="1">
      <c r="A15" t="inlineStr">
        <is>
          <t>PRAGMA</t>
        </is>
      </c>
      <c r="B15" t="inlineStr">
        <is>
          <t>M1</t>
        </is>
      </c>
      <c r="C15" t="inlineStr">
        <is>
          <t>Cali</t>
        </is>
      </c>
      <c r="D15" t="inlineStr">
        <is>
          <t>1122</t>
        </is>
      </c>
      <c r="E15" t="inlineStr">
        <is>
          <t>TDV</t>
        </is>
      </c>
      <c r="F15" s="23" t="n">
        <v>46266</v>
      </c>
      <c r="G15" t="inlineStr">
        <is>
          <t>sin_accion</t>
        </is>
      </c>
      <c r="H15" s="26" t="n">
        <v>0</v>
      </c>
      <c r="I15" t="inlineStr">
        <is>
          <t>bajo</t>
        </is>
      </c>
      <c r="J15" t="inlineStr">
        <is>
          <t>RN-02: una fila sin_accion</t>
        </is>
      </c>
      <c r="K15" t="inlineStr">
        <is>
          <t>Sin accion en el horizonte: con el pronostico, el saldo se mantiene entre el umbral de agotamiento y el cupo sin necesidad de provision ni recoleccion.</t>
        </is>
      </c>
      <c r="L15" s="26" t="n">
        <v>411000000</v>
      </c>
      <c r="M15" s="26" t="inlineStr">
        <is>
          <t>No aplica</t>
        </is>
      </c>
      <c r="N15" s="27" t="str">
        <f>IF(ISNUMBER(M15),M15/L15,"No aplica")</f>
        <v>No aplica</v>
      </c>
      <c r="O15" s="25" t="str">
        <f>IF(G15="provision",M15+H15,IF(G15="recoleccion",M15-H15,"No aplica"))</f>
        <v>No aplica</v>
      </c>
      <c r="P15" s="26" t="inlineStr">
        <is>
          <t>No aplica</t>
        </is>
      </c>
    </row>
    <row r="16" ht="61.5" customHeight="1">
      <c r="A16" t="inlineStr">
        <is>
          <t>PRAGMA</t>
        </is>
      </c>
      <c r="B16" t="inlineStr">
        <is>
          <t>M1</t>
        </is>
      </c>
      <c r="C16" t="inlineStr">
        <is>
          <t>Cali</t>
        </is>
      </c>
      <c r="D16" t="inlineStr">
        <is>
          <t>1124</t>
        </is>
      </c>
      <c r="E16" t="inlineStr">
        <is>
          <t>TDV</t>
        </is>
      </c>
      <c r="F16" s="23" t="n">
        <v>46267</v>
      </c>
      <c r="G16" t="inlineStr">
        <is>
          <t>provision</t>
        </is>
      </c>
      <c r="H16" s="26" t="n">
        <v>223713144</v>
      </c>
      <c r="I16" t="inlineStr">
        <is>
          <t>bajo</t>
        </is>
      </c>
      <c r="J16" t="inlineStr">
        <is>
          <t>RN-11 y RN-34: provision hasta el cupo operativo antes de bajar del 8 %</t>
        </is>
      </c>
      <c r="K16" t="inlineStr">
        <is>
          <t>Provision en la manana, antes del pagado: con el pronostico, sin provision el saldo bajaria del 8 % del cupo ese dia. Lleva el saldo de 187.286.856 a 411.000.000 COP (cupo 411.000.000). Equipo administrado por TDV.</t>
        </is>
      </c>
      <c r="L16" s="26" t="n">
        <v>411000000</v>
      </c>
      <c r="M16" s="26" t="n">
        <v>187286856</v>
      </c>
      <c r="N16" s="27">
        <f>IF(ISNUMBER(M16),M16/L16,"No aplica")</f>
        <v>0.45568578102189783</v>
      </c>
      <c r="O16" s="25">
        <f>IF(G16="provision",M16+H16,IF(G16="recoleccion",M16-H16,"No aplica"))</f>
        <v>411000000</v>
      </c>
      <c r="P16" s="26" t="n">
        <v>89178</v>
      </c>
    </row>
    <row r="17">
      <c r="A17" t="inlineStr">
        <is>
          <t>PRAGMA</t>
        </is>
      </c>
      <c r="B17" t="inlineStr">
        <is>
          <t>M1</t>
        </is>
      </c>
      <c r="C17" t="inlineStr">
        <is>
          <t>Cali</t>
        </is>
      </c>
      <c r="D17" t="inlineStr">
        <is>
          <t>1124</t>
        </is>
      </c>
      <c r="E17" t="inlineStr">
        <is>
          <t>TDV</t>
        </is>
      </c>
      <c r="F17" s="23" t="n">
        <v>46269</v>
      </c>
      <c r="G17" t="inlineStr">
        <is>
          <t>provision</t>
        </is>
      </c>
      <c r="H17" s="26" t="n">
        <v>342249035</v>
      </c>
      <c r="I17" t="inlineStr">
        <is>
          <t>bajo</t>
        </is>
      </c>
      <c r="J17" t="inlineStr">
        <is>
          <t>RN-11 y RN-34: provision hasta el cupo operativo antes de bajar del 8 %</t>
        </is>
      </c>
      <c r="K17" t="inlineStr">
        <is>
          <t>Provision en la manana, antes del pagado: con el pronostico, sin provision el saldo bajaria del 8 % del cupo ese dia. Lleva el saldo de 68.750.965 a 411.000.000 COP (cupo 411.000.000). Equipo administrado por TDV.</t>
        </is>
      </c>
      <c r="L17" s="26" t="n">
        <v>411000000</v>
      </c>
      <c r="M17" s="26" t="n">
        <v>68750965</v>
      </c>
      <c r="N17" s="27">
        <f>IF(ISNUMBER(M17),M17/L17,"No aplica")</f>
        <v>0.16727728710462286</v>
      </c>
      <c r="O17" s="25">
        <f>IF(G17="provision",M17+H17,IF(G17="recoleccion",M17-H17,"No aplica"))</f>
        <v>411000000</v>
      </c>
      <c r="P17" s="26" t="n">
        <v>127465</v>
      </c>
    </row>
    <row r="18">
      <c r="A18" t="inlineStr">
        <is>
          <t>PRAGMA</t>
        </is>
      </c>
      <c r="B18" t="inlineStr">
        <is>
          <t>M1</t>
        </is>
      </c>
      <c r="C18" t="inlineStr">
        <is>
          <t>Cali</t>
        </is>
      </c>
      <c r="D18" t="inlineStr">
        <is>
          <t>1124</t>
        </is>
      </c>
      <c r="E18" t="inlineStr">
        <is>
          <t>TDV</t>
        </is>
      </c>
      <c r="F18" s="23" t="n">
        <v>46271</v>
      </c>
      <c r="G18" t="inlineStr">
        <is>
          <t>provision</t>
        </is>
      </c>
      <c r="H18" s="26" t="n">
        <v>324898649</v>
      </c>
      <c r="I18" t="inlineStr">
        <is>
          <t>bajo</t>
        </is>
      </c>
      <c r="J18" t="inlineStr">
        <is>
          <t>RN-11 y RN-34: provision hasta el cupo operativo antes de bajar del 8 %</t>
        </is>
      </c>
      <c r="K18" t="inlineStr">
        <is>
          <t>Provision en la manana, antes del pagado: con el pronostico, sin provision el saldo bajaria del 8 % del cupo ese dia. Lleva el saldo de 86.101.351 a 411.000.000 COP (cupo 411.000.000). Equipo administrado por TDV.</t>
        </is>
      </c>
      <c r="L18" s="26" t="n">
        <v>411000000</v>
      </c>
      <c r="M18" s="26" t="n">
        <v>86101351</v>
      </c>
      <c r="N18" s="27">
        <f>IF(ISNUMBER(M18),M18/L18,"No aplica")</f>
        <v>0.20949233819951338</v>
      </c>
      <c r="O18" s="25">
        <f>IF(G18="provision",M18+H18,IF(G18="recoleccion",M18-H18,"No aplica"))</f>
        <v>411000000</v>
      </c>
      <c r="P18" s="26" t="n">
        <v>158677</v>
      </c>
    </row>
    <row r="19">
      <c r="A19" t="inlineStr">
        <is>
          <t>PRAGMA</t>
        </is>
      </c>
      <c r="B19" t="inlineStr">
        <is>
          <t>M1</t>
        </is>
      </c>
      <c r="C19" t="inlineStr">
        <is>
          <t>Cali</t>
        </is>
      </c>
      <c r="D19" t="inlineStr">
        <is>
          <t>1124</t>
        </is>
      </c>
      <c r="E19" t="inlineStr">
        <is>
          <t>TDV</t>
        </is>
      </c>
      <c r="F19" s="23" t="n">
        <v>46274</v>
      </c>
      <c r="G19" t="inlineStr">
        <is>
          <t>provision</t>
        </is>
      </c>
      <c r="H19" s="26" t="n">
        <v>338329158</v>
      </c>
      <c r="I19" t="inlineStr">
        <is>
          <t>bajo</t>
        </is>
      </c>
      <c r="J19" t="inlineStr">
        <is>
          <t>RN-11 y RN-34: provision hasta el cupo operativo antes de bajar del 8 %</t>
        </is>
      </c>
      <c r="K19" t="inlineStr">
        <is>
          <t>Provision en la manana, antes del pagado: con el pronostico, sin provision el saldo bajaria del 8 % del cupo ese dia. Lleva el saldo de 72.670.842 a 411.000.000 COP (cupo 411.000.000). Equipo administrado por TDV.</t>
        </is>
      </c>
      <c r="L19" s="26" t="n">
        <v>411000000</v>
      </c>
      <c r="M19" s="26" t="n">
        <v>72670842</v>
      </c>
      <c r="N19" s="27">
        <f>IF(ISNUMBER(M19),M19/L19,"No aplica")</f>
        <v>0.176814700729927</v>
      </c>
      <c r="O19" s="25">
        <f>IF(G19="provision",M19+H19,IF(G19="recoleccion",M19-H19,"No aplica"))</f>
        <v>411000000</v>
      </c>
      <c r="P19" s="26" t="n">
        <v>126199</v>
      </c>
    </row>
    <row r="20">
      <c r="A20" t="inlineStr">
        <is>
          <t>PRAGMA</t>
        </is>
      </c>
      <c r="B20" t="inlineStr">
        <is>
          <t>M1</t>
        </is>
      </c>
      <c r="C20" t="inlineStr">
        <is>
          <t>Cali</t>
        </is>
      </c>
      <c r="D20" t="inlineStr">
        <is>
          <t>1124</t>
        </is>
      </c>
      <c r="E20" t="inlineStr">
        <is>
          <t>TDV</t>
        </is>
      </c>
      <c r="F20" s="23" t="n">
        <v>46277</v>
      </c>
      <c r="G20" t="inlineStr">
        <is>
          <t>provision</t>
        </is>
      </c>
      <c r="H20" s="26" t="n">
        <v>348291603</v>
      </c>
      <c r="I20" t="inlineStr">
        <is>
          <t>bajo</t>
        </is>
      </c>
      <c r="J20" t="inlineStr">
        <is>
          <t>RN-11 y RN-34: provision hasta el cupo operativo antes de bajar del 8 %</t>
        </is>
      </c>
      <c r="K20" t="inlineStr">
        <is>
          <t>Provision en la manana, antes del pagado: con el pronostico, sin provision el saldo bajaria del 8 % del cupo ese dia. Lleva el saldo de 62.708.397 a 411.000.000 COP (cupo 411.000.000). Equipo administrado por TDV.</t>
        </is>
      </c>
      <c r="L20" s="26" t="n">
        <v>411000000</v>
      </c>
      <c r="M20" s="26" t="n">
        <v>62708397</v>
      </c>
      <c r="N20" s="27">
        <f>IF(ISNUMBER(M20),M20/L20,"No aplica")</f>
        <v>0.15257517518248176</v>
      </c>
      <c r="O20" s="25">
        <f>IF(G20="provision",M20+H20,IF(G20="recoleccion",M20-H20,"No aplica"))</f>
        <v>411000000</v>
      </c>
      <c r="P20" s="26" t="n">
        <v>129417</v>
      </c>
    </row>
    <row r="21">
      <c r="A21" t="inlineStr">
        <is>
          <t>PRAGMA</t>
        </is>
      </c>
      <c r="B21" t="inlineStr">
        <is>
          <t>M1</t>
        </is>
      </c>
      <c r="C21" t="inlineStr">
        <is>
          <t>Cali</t>
        </is>
      </c>
      <c r="D21" t="inlineStr">
        <is>
          <t>1124</t>
        </is>
      </c>
      <c r="E21" t="inlineStr">
        <is>
          <t>TDV</t>
        </is>
      </c>
      <c r="F21" s="23" t="n">
        <v>46280</v>
      </c>
      <c r="G21" t="inlineStr">
        <is>
          <t>provision</t>
        </is>
      </c>
      <c r="H21" s="26" t="n">
        <v>326860585</v>
      </c>
      <c r="I21" t="inlineStr">
        <is>
          <t>bajo</t>
        </is>
      </c>
      <c r="J21" t="inlineStr">
        <is>
          <t>RN-11 y RN-34: provision hasta el cupo operativo antes de bajar del 8 %</t>
        </is>
      </c>
      <c r="K21" t="inlineStr">
        <is>
          <t>Provision en la manana, antes del pagado: con el pronostico, sin provision el saldo bajaria del 8 % del cupo ese dia. Lleva el saldo de 84.139.415 a 411.000.000 COP (cupo 411.000.000). Equipo administrado por TDV.</t>
        </is>
      </c>
      <c r="L21" s="26" t="n">
        <v>411000000</v>
      </c>
      <c r="M21" s="26" t="n">
        <v>84139415</v>
      </c>
      <c r="N21" s="27">
        <f>IF(ISNUMBER(M21),M21/L21,"No aplica")</f>
        <v>0.20471877128953772</v>
      </c>
      <c r="O21" s="25">
        <f>IF(G21="provision",M21+H21,IF(G21="recoleccion",M21-H21,"No aplica"))</f>
        <v>411000000</v>
      </c>
      <c r="P21" s="26" t="n">
        <v>122495</v>
      </c>
    </row>
    <row r="22">
      <c r="A22" t="inlineStr">
        <is>
          <t>PRAGMA</t>
        </is>
      </c>
      <c r="B22" t="inlineStr">
        <is>
          <t>M1</t>
        </is>
      </c>
      <c r="C22" t="inlineStr">
        <is>
          <t>Cali</t>
        </is>
      </c>
      <c r="D22" t="inlineStr">
        <is>
          <t>1150</t>
        </is>
      </c>
      <c r="E22" t="inlineStr">
        <is>
          <t>TDV</t>
        </is>
      </c>
      <c r="F22" s="23" t="n">
        <v>46268</v>
      </c>
      <c r="G22" t="inlineStr">
        <is>
          <t>provision</t>
        </is>
      </c>
      <c r="H22" s="26" t="n">
        <v>363169903</v>
      </c>
      <c r="I22" t="inlineStr">
        <is>
          <t>bajo</t>
        </is>
      </c>
      <c r="J22" t="inlineStr">
        <is>
          <t>RN-11 y RN-34: provision hasta el cupo operativo antes de bajar del 8 %</t>
        </is>
      </c>
      <c r="K22" t="inlineStr">
        <is>
          <t>Provision en la manana, antes del pagado: con el pronostico, sin provision el saldo bajaria del 8 % del cupo ese dia. Lleva el saldo de 47.830.097 a 411.000.000 COP (cupo 411.000.000). Equipo administrado por TDV.</t>
        </is>
      </c>
      <c r="L22" s="26" t="n">
        <v>411000000</v>
      </c>
      <c r="M22" s="26" t="n">
        <v>47830097</v>
      </c>
      <c r="N22" s="27">
        <f>IF(ISNUMBER(M22),M22/L22,"No aplica")</f>
        <v>0.11637493187347932</v>
      </c>
      <c r="O22" s="25">
        <f>IF(G22="provision",M22+H22,IF(G22="recoleccion",M22-H22,"No aplica"))</f>
        <v>411000000</v>
      </c>
      <c r="P22" s="26" t="n">
        <v>179301</v>
      </c>
    </row>
    <row r="23">
      <c r="A23" t="inlineStr">
        <is>
          <t>PRAGMA</t>
        </is>
      </c>
      <c r="B23" t="inlineStr">
        <is>
          <t>M1</t>
        </is>
      </c>
      <c r="C23" t="inlineStr">
        <is>
          <t>Cali</t>
        </is>
      </c>
      <c r="D23" t="inlineStr">
        <is>
          <t>1150</t>
        </is>
      </c>
      <c r="E23" t="inlineStr">
        <is>
          <t>TDV</t>
        </is>
      </c>
      <c r="F23" s="23" t="n">
        <v>46270</v>
      </c>
      <c r="G23" t="inlineStr">
        <is>
          <t>provision</t>
        </is>
      </c>
      <c r="H23" s="26" t="n">
        <v>293290492</v>
      </c>
      <c r="I23" t="inlineStr">
        <is>
          <t>bajo</t>
        </is>
      </c>
      <c r="J23" t="inlineStr">
        <is>
          <t>RN-11 y RN-34: provision hasta el cupo operativo antes de bajar del 8 %</t>
        </is>
      </c>
      <c r="K23" t="inlineStr">
        <is>
          <t>Provision en la manana, antes del pagado: con el pronostico, sin provision el saldo bajaria del 8 % del cupo ese dia. Lleva el saldo de 117.709.508 a 411.000.000 COP (cupo 411.000.000). Equipo administrado por TDV.</t>
        </is>
      </c>
      <c r="L23" s="26" t="n">
        <v>411000000</v>
      </c>
      <c r="M23" s="26" t="n">
        <v>117709508</v>
      </c>
      <c r="N23" s="27">
        <f>IF(ISNUMBER(M23),M23/L23,"No aplica")</f>
        <v>0.2863978296836983</v>
      </c>
      <c r="O23" s="25">
        <f>IF(G23="provision",M23+H23,IF(G23="recoleccion",M23-H23,"No aplica"))</f>
        <v>411000000</v>
      </c>
      <c r="P23" s="26" t="n">
        <v>148414</v>
      </c>
    </row>
    <row r="24">
      <c r="A24" t="inlineStr">
        <is>
          <t>PRAGMA</t>
        </is>
      </c>
      <c r="B24" t="inlineStr">
        <is>
          <t>M1</t>
        </is>
      </c>
      <c r="C24" t="inlineStr">
        <is>
          <t>Cali</t>
        </is>
      </c>
      <c r="D24" t="inlineStr">
        <is>
          <t>1150</t>
        </is>
      </c>
      <c r="E24" t="inlineStr">
        <is>
          <t>TDV</t>
        </is>
      </c>
      <c r="F24" s="23" t="n">
        <v>46274</v>
      </c>
      <c r="G24" t="inlineStr">
        <is>
          <t>provision</t>
        </is>
      </c>
      <c r="H24" s="26" t="n">
        <v>351540565</v>
      </c>
      <c r="I24" t="inlineStr">
        <is>
          <t>bajo</t>
        </is>
      </c>
      <c r="J24" t="inlineStr">
        <is>
          <t>RN-11 y RN-34: provision hasta el cupo operativo antes de bajar del 8 %</t>
        </is>
      </c>
      <c r="K24" t="inlineStr">
        <is>
          <t>Provision en la manana, antes del pagado: con el pronostico, sin provision el saldo bajaria del 8 % del cupo ese dia. Lleva el saldo de 59.459.435 a 411.000.000 COP (cupo 411.000.000). Equipo administrado por TDV.</t>
        </is>
      </c>
      <c r="L24" s="26" t="n">
        <v>411000000</v>
      </c>
      <c r="M24" s="26" t="n">
        <v>59459435</v>
      </c>
      <c r="N24" s="27">
        <f>IF(ISNUMBER(M24),M24/L24,"No aplica")</f>
        <v>0.14467015815085157</v>
      </c>
      <c r="O24" s="25">
        <f>IF(G24="provision",M24+H24,IF(G24="recoleccion",M24-H24,"No aplica"))</f>
        <v>411000000</v>
      </c>
      <c r="P24" s="26" t="n">
        <v>174161</v>
      </c>
    </row>
    <row r="25">
      <c r="A25" t="inlineStr">
        <is>
          <t>PRAGMA</t>
        </is>
      </c>
      <c r="B25" t="inlineStr">
        <is>
          <t>M1</t>
        </is>
      </c>
      <c r="C25" t="inlineStr">
        <is>
          <t>Cali</t>
        </is>
      </c>
      <c r="D25" t="inlineStr">
        <is>
          <t>1150</t>
        </is>
      </c>
      <c r="E25" t="inlineStr">
        <is>
          <t>TDV</t>
        </is>
      </c>
      <c r="F25" s="23" t="n">
        <v>46277</v>
      </c>
      <c r="G25" t="inlineStr">
        <is>
          <t>provision</t>
        </is>
      </c>
      <c r="H25" s="26" t="n">
        <v>332216938</v>
      </c>
      <c r="I25" t="inlineStr">
        <is>
          <t>bajo</t>
        </is>
      </c>
      <c r="J25" t="inlineStr">
        <is>
          <t>RN-11 y RN-34: provision hasta el cupo operativo antes de bajar del 8 %</t>
        </is>
      </c>
      <c r="K25" t="inlineStr">
        <is>
          <t>Provision en la manana, antes del pagado: con el pronostico, sin provision el saldo bajaria del 8 % del cupo ese dia. Lleva el saldo de 78.783.062 a 411.000.000 COP (cupo 411.000.000). Equipo administrado por TDV.</t>
        </is>
      </c>
      <c r="L25" s="26" t="n">
        <v>411000000</v>
      </c>
      <c r="M25" s="26" t="n">
        <v>78783062</v>
      </c>
      <c r="N25" s="27">
        <f>IF(ISNUMBER(M25),M25/L25,"No aplica")</f>
        <v>0.19168628223844283</v>
      </c>
      <c r="O25" s="25">
        <f>IF(G25="provision",M25+H25,IF(G25="recoleccion",M25-H25,"No aplica"))</f>
        <v>411000000</v>
      </c>
      <c r="P25" s="26" t="n">
        <v>165620</v>
      </c>
    </row>
    <row r="26">
      <c r="A26" t="inlineStr">
        <is>
          <t>PRAGMA</t>
        </is>
      </c>
      <c r="B26" t="inlineStr">
        <is>
          <t>M1</t>
        </is>
      </c>
      <c r="C26" t="inlineStr">
        <is>
          <t>Cali</t>
        </is>
      </c>
      <c r="D26" t="inlineStr">
        <is>
          <t>1155</t>
        </is>
      </c>
      <c r="E26" t="inlineStr">
        <is>
          <t>TDV</t>
        </is>
      </c>
      <c r="F26" s="23" t="n">
        <v>46266</v>
      </c>
      <c r="G26" t="inlineStr">
        <is>
          <t>sin_accion</t>
        </is>
      </c>
      <c r="H26" s="26" t="n">
        <v>0</v>
      </c>
      <c r="I26" t="inlineStr">
        <is>
          <t>bajo</t>
        </is>
      </c>
      <c r="J26" t="inlineStr">
        <is>
          <t>RN-02: una fila sin_accion</t>
        </is>
      </c>
      <c r="K26" t="inlineStr">
        <is>
          <t>Sin accion en el horizonte: con el pronostico, el saldo se mantiene entre el umbral de agotamiento y el cupo sin necesidad de provision ni recoleccion.</t>
        </is>
      </c>
      <c r="L26" s="26" t="n">
        <v>411000000</v>
      </c>
      <c r="M26" s="26" t="inlineStr">
        <is>
          <t>No aplica</t>
        </is>
      </c>
      <c r="N26" s="27" t="str">
        <f>IF(ISNUMBER(M26),M26/L26,"No aplica")</f>
        <v>No aplica</v>
      </c>
      <c r="O26" s="25" t="str">
        <f>IF(G26="provision",M26+H26,IF(G26="recoleccion",M26-H26,"No aplica"))</f>
        <v>No aplica</v>
      </c>
      <c r="P26" s="26" t="inlineStr">
        <is>
          <t>No aplica</t>
        </is>
      </c>
    </row>
    <row r="27">
      <c r="A27" t="inlineStr">
        <is>
          <t>PRAGMA</t>
        </is>
      </c>
      <c r="B27" t="inlineStr">
        <is>
          <t>M1</t>
        </is>
      </c>
      <c r="C27" t="inlineStr">
        <is>
          <t>Cali</t>
        </is>
      </c>
      <c r="D27" t="inlineStr">
        <is>
          <t>1160</t>
        </is>
      </c>
      <c r="E27" t="inlineStr">
        <is>
          <t>Sucursal</t>
        </is>
      </c>
      <c r="F27" s="23" t="n">
        <v>46268</v>
      </c>
      <c r="G27" t="inlineStr">
        <is>
          <t>provision</t>
        </is>
      </c>
      <c r="H27" s="26" t="n">
        <v>396176537</v>
      </c>
      <c r="I27" t="inlineStr">
        <is>
          <t>bajo</t>
        </is>
      </c>
      <c r="J27" t="inlineStr">
        <is>
          <t>RN-11 y RN-34: provision hasta el cupo operativo antes de bajar del 8 %</t>
        </is>
      </c>
      <c r="K27" t="inlineStr">
        <is>
          <t>Provision en la manana, antes del pagado: con el pronostico, sin provision el saldo bajaria del 8 % del cupo ese dia. Lleva el saldo de 44.823.463 a 441.000.000 COP (cupo 441.000.000). Equipo administrado por Sucursal. Sin tarifa TDV (administrado por la sucursal): costo 0 declarado.</t>
        </is>
      </c>
      <c r="L27" s="26" t="n">
        <v>441000000</v>
      </c>
      <c r="M27" s="26" t="n">
        <v>44823463</v>
      </c>
      <c r="N27" s="27">
        <f>IF(ISNUMBER(M27),M27/L27,"No aplica")</f>
        <v>0.10164050566893423</v>
      </c>
      <c r="O27" s="25">
        <f>IF(G27="provision",M27+H27,IF(G27="recoleccion",M27-H27,"No aplica"))</f>
        <v>441000000</v>
      </c>
      <c r="P27" s="26" t="n">
        <v>0</v>
      </c>
    </row>
    <row r="28">
      <c r="A28" t="inlineStr">
        <is>
          <t>PRAGMA</t>
        </is>
      </c>
      <c r="B28" t="inlineStr">
        <is>
          <t>M1</t>
        </is>
      </c>
      <c r="C28" t="inlineStr">
        <is>
          <t>Cali</t>
        </is>
      </c>
      <c r="D28" t="inlineStr">
        <is>
          <t>1160</t>
        </is>
      </c>
      <c r="E28" t="inlineStr">
        <is>
          <t>Sucursal</t>
        </is>
      </c>
      <c r="F28" s="23" t="n">
        <v>46270</v>
      </c>
      <c r="G28" t="inlineStr">
        <is>
          <t>provision</t>
        </is>
      </c>
      <c r="H28" s="26" t="n">
        <v>330581086</v>
      </c>
      <c r="I28" t="inlineStr">
        <is>
          <t>bajo</t>
        </is>
      </c>
      <c r="J28" t="inlineStr">
        <is>
          <t>RN-11 y RN-34: provision hasta el cupo operativo antes de bajar del 8 %</t>
        </is>
      </c>
      <c r="K28" t="inlineStr">
        <is>
          <t>Provision en la manana, antes del pagado: con el pronostico, sin provision el saldo bajaria del 8 % del cupo ese dia. Lleva el saldo de 110.418.914 a 441.000.000 COP (cupo 441.000.000). Equipo administrado por Sucursal. Sin tarifa TDV (administrado por la sucursal): costo 0 declarado.</t>
        </is>
      </c>
      <c r="L28" s="26" t="n">
        <v>441000000</v>
      </c>
      <c r="M28" s="26" t="n">
        <v>110418914</v>
      </c>
      <c r="N28" s="27">
        <f>IF(ISNUMBER(M28),M28/L28,"No aplica")</f>
        <v>0.25038302494331066</v>
      </c>
      <c r="O28" s="25">
        <f>IF(G28="provision",M28+H28,IF(G28="recoleccion",M28-H28,"No aplica"))</f>
        <v>441000000</v>
      </c>
      <c r="P28" s="26" t="n">
        <v>0</v>
      </c>
    </row>
    <row r="29">
      <c r="A29" t="inlineStr">
        <is>
          <t>PRAGMA</t>
        </is>
      </c>
      <c r="B29" t="inlineStr">
        <is>
          <t>M1</t>
        </is>
      </c>
      <c r="C29" t="inlineStr">
        <is>
          <t>Cali</t>
        </is>
      </c>
      <c r="D29" t="inlineStr">
        <is>
          <t>1160</t>
        </is>
      </c>
      <c r="E29" t="inlineStr">
        <is>
          <t>Sucursal</t>
        </is>
      </c>
      <c r="F29" s="23" t="n">
        <v>46273</v>
      </c>
      <c r="G29" t="inlineStr">
        <is>
          <t>provision</t>
        </is>
      </c>
      <c r="H29" s="26" t="n">
        <v>334974569</v>
      </c>
      <c r="I29" t="inlineStr">
        <is>
          <t>bajo</t>
        </is>
      </c>
      <c r="J29" t="inlineStr">
        <is>
          <t>RN-11 y RN-34: provision hasta el cupo operativo antes de bajar del 8 %</t>
        </is>
      </c>
      <c r="K29" t="inlineStr">
        <is>
          <t>Provision en la manana, antes del pagado: con el pronostico, sin provision el saldo bajaria del 8 % del cupo ese dia. Lleva el saldo de 106.025.431 a 441.000.000 COP (cupo 441.000.000). Equipo administrado por Sucursal. Sin tarifa TDV (administrado por la sucursal): costo 0 declarado.</t>
        </is>
      </c>
      <c r="L29" s="26" t="n">
        <v>441000000</v>
      </c>
      <c r="M29" s="26" t="n">
        <v>106025431</v>
      </c>
      <c r="N29" s="27">
        <f>IF(ISNUMBER(M29),M29/L29,"No aplica")</f>
        <v>0.2404204784580499</v>
      </c>
      <c r="O29" s="25">
        <f>IF(G29="provision",M29+H29,IF(G29="recoleccion",M29-H29,"No aplica"))</f>
        <v>441000000</v>
      </c>
      <c r="P29" s="26" t="n">
        <v>0</v>
      </c>
    </row>
    <row r="30">
      <c r="A30" t="inlineStr">
        <is>
          <t>PRAGMA</t>
        </is>
      </c>
      <c r="B30" t="inlineStr">
        <is>
          <t>M1</t>
        </is>
      </c>
      <c r="C30" t="inlineStr">
        <is>
          <t>Cali</t>
        </is>
      </c>
      <c r="D30" t="inlineStr">
        <is>
          <t>1160</t>
        </is>
      </c>
      <c r="E30" t="inlineStr">
        <is>
          <t>Sucursal</t>
        </is>
      </c>
      <c r="F30" s="23" t="n">
        <v>46275</v>
      </c>
      <c r="G30" t="inlineStr">
        <is>
          <t>provision</t>
        </is>
      </c>
      <c r="H30" s="26" t="n">
        <v>278541134</v>
      </c>
      <c r="I30" t="inlineStr">
        <is>
          <t>bajo</t>
        </is>
      </c>
      <c r="J30" t="inlineStr">
        <is>
          <t>RN-11 y RN-34: provision hasta el cupo operativo antes de bajar del 8 %</t>
        </is>
      </c>
      <c r="K30" t="inlineStr">
        <is>
          <t>Provision en la manana, antes del pagado: con el pronostico, sin provision el saldo bajaria del 8 % del cupo ese dia. Lleva el saldo de 162.458.866 a 441.000.000 COP (cupo 441.000.000). Equipo administrado por Sucursal. Sin tarifa TDV (administrado por la sucursal): costo 0 declarado.</t>
        </is>
      </c>
      <c r="L30" s="26" t="n">
        <v>441000000</v>
      </c>
      <c r="M30" s="26" t="n">
        <v>162458866</v>
      </c>
      <c r="N30" s="27">
        <f>IF(ISNUMBER(M30),M30/L30,"No aplica")</f>
        <v>0.36838745124716554</v>
      </c>
      <c r="O30" s="25">
        <f>IF(G30="provision",M30+H30,IF(G30="recoleccion",M30-H30,"No aplica"))</f>
        <v>441000000</v>
      </c>
      <c r="P30" s="26" t="n">
        <v>0</v>
      </c>
    </row>
    <row r="31">
      <c r="A31" t="inlineStr">
        <is>
          <t>PRAGMA</t>
        </is>
      </c>
      <c r="B31" t="inlineStr">
        <is>
          <t>M1</t>
        </is>
      </c>
      <c r="C31" t="inlineStr">
        <is>
          <t>Cali</t>
        </is>
      </c>
      <c r="D31" t="inlineStr">
        <is>
          <t>1160</t>
        </is>
      </c>
      <c r="E31" t="inlineStr">
        <is>
          <t>Sucursal</t>
        </is>
      </c>
      <c r="F31" s="23" t="n">
        <v>46278</v>
      </c>
      <c r="G31" t="inlineStr">
        <is>
          <t>provision</t>
        </is>
      </c>
      <c r="H31" s="26" t="n">
        <v>383006508</v>
      </c>
      <c r="I31" t="inlineStr">
        <is>
          <t>bajo</t>
        </is>
      </c>
      <c r="J31" t="inlineStr">
        <is>
          <t>RN-11 y RN-34: provision hasta el cupo operativo antes de bajar del 8 %</t>
        </is>
      </c>
      <c r="K31" t="inlineStr">
        <is>
          <t>Provision en la manana, antes del pagado: con el pronostico, sin provision el saldo bajaria del 8 % del cupo ese dia. Lleva el saldo de 57.993.492 a 441.000.000 COP (cupo 441.000.000). Equipo administrado por Sucursal. Sin tarifa TDV (administrado por la sucursal): costo 0 declarado.</t>
        </is>
      </c>
      <c r="L31" s="26" t="n">
        <v>441000000</v>
      </c>
      <c r="M31" s="26" t="n">
        <v>57993492</v>
      </c>
      <c r="N31" s="27">
        <f>IF(ISNUMBER(M31),M31/L31,"No aplica")</f>
        <v>0.1315045170068027</v>
      </c>
      <c r="O31" s="25">
        <f>IF(G31="provision",M31+H31,IF(G31="recoleccion",M31-H31,"No aplica"))</f>
        <v>441000000</v>
      </c>
      <c r="P31" s="26" t="n">
        <v>0</v>
      </c>
    </row>
    <row r="32">
      <c r="A32" t="inlineStr">
        <is>
          <t>PRAGMA</t>
        </is>
      </c>
      <c r="B32" t="inlineStr">
        <is>
          <t>M1</t>
        </is>
      </c>
      <c r="C32" t="inlineStr">
        <is>
          <t>Cali</t>
        </is>
      </c>
      <c r="D32" t="inlineStr">
        <is>
          <t>1161</t>
        </is>
      </c>
      <c r="E32" t="inlineStr">
        <is>
          <t>Sucursal</t>
        </is>
      </c>
      <c r="F32" s="23" t="n">
        <v>46268</v>
      </c>
      <c r="G32" t="inlineStr">
        <is>
          <t>provision</t>
        </is>
      </c>
      <c r="H32" s="26" t="n">
        <v>340679448</v>
      </c>
      <c r="I32" t="inlineStr">
        <is>
          <t>bajo</t>
        </is>
      </c>
      <c r="J32" t="inlineStr">
        <is>
          <t>RN-11 y RN-34: provision hasta el cupo operativo antes de bajar del 8 %</t>
        </is>
      </c>
      <c r="K32" t="inlineStr">
        <is>
          <t>Provision en la manana, antes del pagado: con el pronostico, sin provision el saldo bajaria del 8 % del cupo ese dia. Lleva el saldo de 100.320.552 a 441.000.000 COP (cupo 441.000.000). Equipo administrado por Sucursal. Sin tarifa TDV (administrado por la sucursal): costo 0 declarado.</t>
        </is>
      </c>
      <c r="L32" s="26" t="n">
        <v>441000000</v>
      </c>
      <c r="M32" s="26" t="n">
        <v>100320552</v>
      </c>
      <c r="N32" s="27">
        <f>IF(ISNUMBER(M32),M32/L32,"No aplica")</f>
        <v>0.22748424489795918</v>
      </c>
      <c r="O32" s="25">
        <f>IF(G32="provision",M32+H32,IF(G32="recoleccion",M32-H32,"No aplica"))</f>
        <v>441000000</v>
      </c>
      <c r="P32" s="26" t="n">
        <v>0</v>
      </c>
    </row>
    <row r="33">
      <c r="A33" t="inlineStr">
        <is>
          <t>PRAGMA</t>
        </is>
      </c>
      <c r="B33" t="inlineStr">
        <is>
          <t>M1</t>
        </is>
      </c>
      <c r="C33" t="inlineStr">
        <is>
          <t>Cali</t>
        </is>
      </c>
      <c r="D33" t="inlineStr">
        <is>
          <t>1161</t>
        </is>
      </c>
      <c r="E33" t="inlineStr">
        <is>
          <t>Sucursal</t>
        </is>
      </c>
      <c r="F33" s="23" t="n">
        <v>46271</v>
      </c>
      <c r="G33" t="inlineStr">
        <is>
          <t>provision</t>
        </is>
      </c>
      <c r="H33" s="26" t="n">
        <v>386820517</v>
      </c>
      <c r="I33" t="inlineStr">
        <is>
          <t>bajo</t>
        </is>
      </c>
      <c r="J33" t="inlineStr">
        <is>
          <t>RN-11 y RN-34: provision hasta el cupo operativo antes de bajar del 8 %</t>
        </is>
      </c>
      <c r="K33" t="inlineStr">
        <is>
          <t>Provision en la manana, antes del pagado: con el pronostico, sin provision el saldo bajaria del 8 % del cupo ese dia. Lleva el saldo de 54.179.483 a 441.000.000 COP (cupo 441.000.000). Equipo administrado por Sucursal. Sin tarifa TDV (administrado por la sucursal): costo 0 declarado.</t>
        </is>
      </c>
      <c r="L33" s="26" t="n">
        <v>441000000</v>
      </c>
      <c r="M33" s="26" t="n">
        <v>54179483</v>
      </c>
      <c r="N33" s="27">
        <f>IF(ISNUMBER(M33),M33/L33,"No aplica")</f>
        <v>0.12285597052154194</v>
      </c>
      <c r="O33" s="25">
        <f>IF(G33="provision",M33+H33,IF(G33="recoleccion",M33-H33,"No aplica"))</f>
        <v>441000000</v>
      </c>
      <c r="P33" s="26" t="n">
        <v>0</v>
      </c>
    </row>
    <row r="34">
      <c r="A34" t="inlineStr">
        <is>
          <t>PRAGMA</t>
        </is>
      </c>
      <c r="B34" t="inlineStr">
        <is>
          <t>M1</t>
        </is>
      </c>
      <c r="C34" t="inlineStr">
        <is>
          <t>Cali</t>
        </is>
      </c>
      <c r="D34" t="inlineStr">
        <is>
          <t>1161</t>
        </is>
      </c>
      <c r="E34" t="inlineStr">
        <is>
          <t>Sucursal</t>
        </is>
      </c>
      <c r="F34" s="23" t="n">
        <v>46274</v>
      </c>
      <c r="G34" t="inlineStr">
        <is>
          <t>provision</t>
        </is>
      </c>
      <c r="H34" s="26" t="n">
        <v>296040563</v>
      </c>
      <c r="I34" t="inlineStr">
        <is>
          <t>bajo</t>
        </is>
      </c>
      <c r="J34" t="inlineStr">
        <is>
          <t>RN-11 y RN-34: provision hasta el cupo operativo antes de bajar del 8 %</t>
        </is>
      </c>
      <c r="K34" t="inlineStr">
        <is>
          <t>Provision en la manana, antes del pagado: con el pronostico, sin provision el saldo bajaria del 8 % del cupo ese dia. Lleva el saldo de 144.959.437 a 441.000.000 COP (cupo 441.000.000). Equipo administrado por Sucursal. Sin tarifa TDV (administrado por la sucursal): costo 0 declarado.</t>
        </is>
      </c>
      <c r="L34" s="26" t="n">
        <v>441000000</v>
      </c>
      <c r="M34" s="26" t="n">
        <v>144959437</v>
      </c>
      <c r="N34" s="27">
        <f>IF(ISNUMBER(M34),M34/L34,"No aplica")</f>
        <v>0.32870620634920633</v>
      </c>
      <c r="O34" s="25">
        <f>IF(G34="provision",M34+H34,IF(G34="recoleccion",M34-H34,"No aplica"))</f>
        <v>441000000</v>
      </c>
      <c r="P34" s="26" t="n">
        <v>0</v>
      </c>
    </row>
    <row r="35">
      <c r="A35" t="inlineStr">
        <is>
          <t>PRAGMA</t>
        </is>
      </c>
      <c r="B35" t="inlineStr">
        <is>
          <t>M1</t>
        </is>
      </c>
      <c r="C35" t="inlineStr">
        <is>
          <t>Cali</t>
        </is>
      </c>
      <c r="D35" t="inlineStr">
        <is>
          <t>1161</t>
        </is>
      </c>
      <c r="E35" t="inlineStr">
        <is>
          <t>Sucursal</t>
        </is>
      </c>
      <c r="F35" s="23" t="n">
        <v>46277</v>
      </c>
      <c r="G35" t="inlineStr">
        <is>
          <t>provision</t>
        </is>
      </c>
      <c r="H35" s="26" t="n">
        <v>332655349</v>
      </c>
      <c r="I35" t="inlineStr">
        <is>
          <t>bajo</t>
        </is>
      </c>
      <c r="J35" t="inlineStr">
        <is>
          <t>RN-11 y RN-34: provision hasta el cupo operativo antes de bajar del 8 %</t>
        </is>
      </c>
      <c r="K35" t="inlineStr">
        <is>
          <t>Provision en la manana, antes del pagado: con el pronostico, sin provision el saldo bajaria del 8 % del cupo ese dia. Lleva el saldo de 108.344.651 a 441.000.000 COP (cupo 441.000.000). Equipo administrado por Sucursal. Sin tarifa TDV (administrado por la sucursal): costo 0 declarado.</t>
        </is>
      </c>
      <c r="L35" s="26" t="n">
        <v>441000000</v>
      </c>
      <c r="M35" s="26" t="n">
        <v>108344651</v>
      </c>
      <c r="N35" s="27">
        <f>IF(ISNUMBER(M35),M35/L35,"No aplica")</f>
        <v>0.2456794807256236</v>
      </c>
      <c r="O35" s="25">
        <f>IF(G35="provision",M35+H35,IF(G35="recoleccion",M35-H35,"No aplica"))</f>
        <v>441000000</v>
      </c>
      <c r="P35" s="26" t="n">
        <v>0</v>
      </c>
    </row>
    <row r="36">
      <c r="A36" t="inlineStr">
        <is>
          <t>PRAGMA</t>
        </is>
      </c>
      <c r="B36" t="inlineStr">
        <is>
          <t>M1</t>
        </is>
      </c>
      <c r="C36" t="inlineStr">
        <is>
          <t>Cali</t>
        </is>
      </c>
      <c r="D36" t="inlineStr">
        <is>
          <t>1161</t>
        </is>
      </c>
      <c r="E36" t="inlineStr">
        <is>
          <t>Sucursal</t>
        </is>
      </c>
      <c r="F36" s="23" t="n">
        <v>46280</v>
      </c>
      <c r="G36" t="inlineStr">
        <is>
          <t>provision</t>
        </is>
      </c>
      <c r="H36" s="26" t="n">
        <v>283192872</v>
      </c>
      <c r="I36" t="inlineStr">
        <is>
          <t>bajo</t>
        </is>
      </c>
      <c r="J36" t="inlineStr">
        <is>
          <t>RN-11 y RN-34: provision hasta el cupo operativo antes de bajar del 8 %</t>
        </is>
      </c>
      <c r="K36" t="inlineStr">
        <is>
          <t>Provision en la manana, antes del pagado: con el pronostico, sin provision el saldo bajaria del 8 % del cupo ese dia. Lleva el saldo de 157.807.128 a 441.000.000 COP (cupo 441.000.000). Equipo administrado por Sucursal. Sin tarifa TDV (administrado por la sucursal): costo 0 declarado.</t>
        </is>
      </c>
      <c r="L36" s="26" t="n">
        <v>441000000</v>
      </c>
      <c r="M36" s="26" t="n">
        <v>157807128</v>
      </c>
      <c r="N36" s="27">
        <f>IF(ISNUMBER(M36),M36/L36,"No aplica")</f>
        <v>0.3578392925170068</v>
      </c>
      <c r="O36" s="25">
        <f>IF(G36="provision",M36+H36,IF(G36="recoleccion",M36-H36,"No aplica"))</f>
        <v>441000000</v>
      </c>
      <c r="P36" s="26" t="n">
        <v>0</v>
      </c>
    </row>
    <row r="37">
      <c r="A37" t="inlineStr">
        <is>
          <t>PRAGMA</t>
        </is>
      </c>
      <c r="B37" t="inlineStr">
        <is>
          <t>M1</t>
        </is>
      </c>
      <c r="C37" t="inlineStr">
        <is>
          <t>Cali</t>
        </is>
      </c>
      <c r="D37" t="inlineStr">
        <is>
          <t>1162</t>
        </is>
      </c>
      <c r="E37" t="inlineStr">
        <is>
          <t>Sucursal</t>
        </is>
      </c>
      <c r="F37" s="23" t="n">
        <v>46267</v>
      </c>
      <c r="G37" t="inlineStr">
        <is>
          <t>provision</t>
        </is>
      </c>
      <c r="H37" s="26" t="n">
        <v>233080553</v>
      </c>
      <c r="I37" t="inlineStr">
        <is>
          <t>bajo</t>
        </is>
      </c>
      <c r="J37" t="inlineStr">
        <is>
          <t>RN-11 y RN-34: provision hasta el cupo operativo antes de bajar del 8 %</t>
        </is>
      </c>
      <c r="K37" t="inlineStr">
        <is>
          <t>Provision en la manana, antes del pagado: con el pronostico, sin provision el saldo bajaria del 8 % del cupo ese dia. Lleva el saldo de 207.919.447 a 441.000.000 COP (cupo 441.000.000). Equipo administrado por Sucursal. Sin tarifa TDV (administrado por la sucursal): costo 0 declarado.</t>
        </is>
      </c>
      <c r="L37" s="26" t="n">
        <v>441000000</v>
      </c>
      <c r="M37" s="26" t="n">
        <v>207919447</v>
      </c>
      <c r="N37" s="27">
        <f>IF(ISNUMBER(M37),M37/L37,"No aplica")</f>
        <v>0.47147266893424034</v>
      </c>
      <c r="O37" s="25">
        <f>IF(G37="provision",M37+H37,IF(G37="recoleccion",M37-H37,"No aplica"))</f>
        <v>441000000</v>
      </c>
      <c r="P37" s="26" t="n">
        <v>0</v>
      </c>
    </row>
    <row r="38">
      <c r="A38" t="inlineStr">
        <is>
          <t>PRAGMA</t>
        </is>
      </c>
      <c r="B38" t="inlineStr">
        <is>
          <t>M1</t>
        </is>
      </c>
      <c r="C38" t="inlineStr">
        <is>
          <t>Cali</t>
        </is>
      </c>
      <c r="D38" t="inlineStr">
        <is>
          <t>1162</t>
        </is>
      </c>
      <c r="E38" t="inlineStr">
        <is>
          <t>Sucursal</t>
        </is>
      </c>
      <c r="F38" s="23" t="n">
        <v>46269</v>
      </c>
      <c r="G38" t="inlineStr">
        <is>
          <t>provision</t>
        </is>
      </c>
      <c r="H38" s="26" t="n">
        <v>378661059</v>
      </c>
      <c r="I38" t="inlineStr">
        <is>
          <t>bajo</t>
        </is>
      </c>
      <c r="J38" t="inlineStr">
        <is>
          <t>RN-11 y RN-34: provision hasta el cupo operativo antes de bajar del 8 %</t>
        </is>
      </c>
      <c r="K38" t="inlineStr">
        <is>
          <t>Provision en la manana, antes del pagado: con el pronostico, sin provision el saldo bajaria del 8 % del cupo ese dia. Lleva el saldo de 62.338.941 a 441.000.000 COP (cupo 441.000.000). Equipo administrado por Sucursal. Sin tarifa TDV (administrado por la sucursal): costo 0 declarado.</t>
        </is>
      </c>
      <c r="L38" s="26" t="n">
        <v>441000000</v>
      </c>
      <c r="M38" s="26" t="n">
        <v>62338941</v>
      </c>
      <c r="N38" s="27">
        <f>IF(ISNUMBER(M38),M38/L38,"No aplica")</f>
        <v>0.14135814285714285</v>
      </c>
      <c r="O38" s="25">
        <f>IF(G38="provision",M38+H38,IF(G38="recoleccion",M38-H38,"No aplica"))</f>
        <v>441000000</v>
      </c>
      <c r="P38" s="26" t="n">
        <v>0</v>
      </c>
    </row>
    <row r="39">
      <c r="A39" t="inlineStr">
        <is>
          <t>PRAGMA</t>
        </is>
      </c>
      <c r="B39" t="inlineStr">
        <is>
          <t>M1</t>
        </is>
      </c>
      <c r="C39" t="inlineStr">
        <is>
          <t>Cali</t>
        </is>
      </c>
      <c r="D39" t="inlineStr">
        <is>
          <t>1162</t>
        </is>
      </c>
      <c r="E39" t="inlineStr">
        <is>
          <t>Sucursal</t>
        </is>
      </c>
      <c r="F39" s="23" t="n">
        <v>46271</v>
      </c>
      <c r="G39" t="inlineStr">
        <is>
          <t>provision</t>
        </is>
      </c>
      <c r="H39" s="26" t="n">
        <v>351835219</v>
      </c>
      <c r="I39" t="inlineStr">
        <is>
          <t>bajo</t>
        </is>
      </c>
      <c r="J39" t="inlineStr">
        <is>
          <t>RN-11 y RN-34: provision hasta el cupo operativo antes de bajar del 8 %</t>
        </is>
      </c>
      <c r="K39" t="inlineStr">
        <is>
          <t>Provision en la manana, antes del pagado: con el pronostico, sin provision el saldo bajaria del 8 % del cupo ese dia. Lleva el saldo de 89.164.781 a 441.000.000 COP (cupo 441.000.000). Equipo administrado por Sucursal. Sin tarifa TDV (administrado por la sucursal): costo 0 declarado.</t>
        </is>
      </c>
      <c r="L39" s="26" t="n">
        <v>441000000</v>
      </c>
      <c r="M39" s="26" t="n">
        <v>89164781</v>
      </c>
      <c r="N39" s="27">
        <f>IF(ISNUMBER(M39),M39/L39,"No aplica")</f>
        <v>0.2021877120181406</v>
      </c>
      <c r="O39" s="25">
        <f>IF(G39="provision",M39+H39,IF(G39="recoleccion",M39-H39,"No aplica"))</f>
        <v>441000000</v>
      </c>
      <c r="P39" s="26" t="n">
        <v>0</v>
      </c>
    </row>
    <row r="40">
      <c r="A40" t="inlineStr">
        <is>
          <t>PRAGMA</t>
        </is>
      </c>
      <c r="B40" t="inlineStr">
        <is>
          <t>M1</t>
        </is>
      </c>
      <c r="C40" t="inlineStr">
        <is>
          <t>Cali</t>
        </is>
      </c>
      <c r="D40" t="inlineStr">
        <is>
          <t>1162</t>
        </is>
      </c>
      <c r="E40" t="inlineStr">
        <is>
          <t>Sucursal</t>
        </is>
      </c>
      <c r="F40" s="23" t="n">
        <v>46274</v>
      </c>
      <c r="G40" t="inlineStr">
        <is>
          <t>provision</t>
        </is>
      </c>
      <c r="H40" s="26" t="n">
        <v>355934693</v>
      </c>
      <c r="I40" t="inlineStr">
        <is>
          <t>bajo</t>
        </is>
      </c>
      <c r="J40" t="inlineStr">
        <is>
          <t>RN-11 y RN-34: provision hasta el cupo operativo antes de bajar del 8 %</t>
        </is>
      </c>
      <c r="K40" t="inlineStr">
        <is>
          <t>Provision en la manana, antes del pagado: con el pronostico, sin provision el saldo bajaria del 8 % del cupo ese dia. Lleva el saldo de 85.065.307 a 441.000.000 COP (cupo 441.000.000). Equipo administrado por Sucursal. Sin tarifa TDV (administrado por la sucursal): costo 0 declarado.</t>
        </is>
      </c>
      <c r="L40" s="26" t="n">
        <v>441000000</v>
      </c>
      <c r="M40" s="26" t="n">
        <v>85065307</v>
      </c>
      <c r="N40" s="27">
        <f>IF(ISNUMBER(M40),M40/L40,"No aplica")</f>
        <v>0.19289185260770975</v>
      </c>
      <c r="O40" s="25">
        <f>IF(G40="provision",M40+H40,IF(G40="recoleccion",M40-H40,"No aplica"))</f>
        <v>441000000</v>
      </c>
      <c r="P40" s="26" t="n">
        <v>0</v>
      </c>
    </row>
    <row r="41">
      <c r="A41" t="inlineStr">
        <is>
          <t>PRAGMA</t>
        </is>
      </c>
      <c r="B41" t="inlineStr">
        <is>
          <t>M1</t>
        </is>
      </c>
      <c r="C41" t="inlineStr">
        <is>
          <t>Cali</t>
        </is>
      </c>
      <c r="D41" t="inlineStr">
        <is>
          <t>1162</t>
        </is>
      </c>
      <c r="E41" t="inlineStr">
        <is>
          <t>Sucursal</t>
        </is>
      </c>
      <c r="F41" s="23" t="n">
        <v>46276</v>
      </c>
      <c r="G41" t="inlineStr">
        <is>
          <t>provision</t>
        </is>
      </c>
      <c r="H41" s="26" t="n">
        <v>302930375</v>
      </c>
      <c r="I41" t="inlineStr">
        <is>
          <t>bajo</t>
        </is>
      </c>
      <c r="J41" t="inlineStr">
        <is>
          <t>RN-11 y RN-34: provision hasta el cupo operativo antes de bajar del 8 %</t>
        </is>
      </c>
      <c r="K41" t="inlineStr">
        <is>
          <t>Provision en la manana, antes del pagado: con el pronostico, sin provision el saldo bajaria del 8 % del cupo ese dia. Lleva el saldo de 138.069.625 a 441.000.000 COP (cupo 441.000.000). Equipo administrado por Sucursal. Sin tarifa TDV (administrado por la sucursal): costo 0 declarado.</t>
        </is>
      </c>
      <c r="L41" s="26" t="n">
        <v>441000000</v>
      </c>
      <c r="M41" s="26" t="n">
        <v>138069625</v>
      </c>
      <c r="N41" s="27">
        <f>IF(ISNUMBER(M41),M41/L41,"No aplica")</f>
        <v>0.31308304988662133</v>
      </c>
      <c r="O41" s="25">
        <f>IF(G41="provision",M41+H41,IF(G41="recoleccion",M41-H41,"No aplica"))</f>
        <v>441000000</v>
      </c>
      <c r="P41" s="26" t="n">
        <v>0</v>
      </c>
    </row>
    <row r="42">
      <c r="A42" t="inlineStr">
        <is>
          <t>PRAGMA</t>
        </is>
      </c>
      <c r="B42" t="inlineStr">
        <is>
          <t>M1</t>
        </is>
      </c>
      <c r="C42" t="inlineStr">
        <is>
          <t>Cali</t>
        </is>
      </c>
      <c r="D42" t="inlineStr">
        <is>
          <t>1162</t>
        </is>
      </c>
      <c r="E42" t="inlineStr">
        <is>
          <t>Sucursal</t>
        </is>
      </c>
      <c r="F42" s="23" t="n">
        <v>46279</v>
      </c>
      <c r="G42" t="inlineStr">
        <is>
          <t>provision</t>
        </is>
      </c>
      <c r="H42" s="26" t="n">
        <v>358458950</v>
      </c>
      <c r="I42" t="inlineStr">
        <is>
          <t>bajo</t>
        </is>
      </c>
      <c r="J42" t="inlineStr">
        <is>
          <t>RN-11 y RN-34: provision hasta el cupo operativo antes de bajar del 8 %</t>
        </is>
      </c>
      <c r="K42" t="inlineStr">
        <is>
          <t>Provision en la manana, antes del pagado: con el pronostico, sin provision el saldo bajaria del 8 % del cupo ese dia. Lleva el saldo de 82.541.050 a 441.000.000 COP (cupo 441.000.000). Equipo administrado por Sucursal. Sin tarifa TDV (administrado por la sucursal): costo 0 declarado.</t>
        </is>
      </c>
      <c r="L42" s="26" t="n">
        <v>441000000</v>
      </c>
      <c r="M42" s="26" t="n">
        <v>82541050</v>
      </c>
      <c r="N42" s="27">
        <f>IF(ISNUMBER(M42),M42/L42,"No aplica")</f>
        <v>0.18716791383219955</v>
      </c>
      <c r="O42" s="25">
        <f>IF(G42="provision",M42+H42,IF(G42="recoleccion",M42-H42,"No aplica"))</f>
        <v>441000000</v>
      </c>
      <c r="P42" s="26" t="n">
        <v>0</v>
      </c>
    </row>
    <row r="43">
      <c r="A43" t="inlineStr">
        <is>
          <t>PRAGMA</t>
        </is>
      </c>
      <c r="B43" t="inlineStr">
        <is>
          <t>M1</t>
        </is>
      </c>
      <c r="C43" t="inlineStr">
        <is>
          <t>Cali</t>
        </is>
      </c>
      <c r="D43" t="inlineStr">
        <is>
          <t>1165</t>
        </is>
      </c>
      <c r="E43" t="inlineStr">
        <is>
          <t>TDV</t>
        </is>
      </c>
      <c r="F43" s="23" t="n">
        <v>46269</v>
      </c>
      <c r="G43" t="inlineStr">
        <is>
          <t>provision</t>
        </is>
      </c>
      <c r="H43" s="26" t="n">
        <v>347248969</v>
      </c>
      <c r="I43" t="inlineStr">
        <is>
          <t>bajo</t>
        </is>
      </c>
      <c r="J43" t="inlineStr">
        <is>
          <t>RN-11 y RN-34: provision hasta el cupo operativo antes de bajar del 8 %</t>
        </is>
      </c>
      <c r="K43" t="inlineStr">
        <is>
          <t>Provision en la manana, antes del pagado: con el pronostico, sin provision el saldo bajaria del 8 % del cupo ese dia. Lleva el saldo de 152.751.031 a 500.000.000 COP (cupo 500.000.000). Equipo administrado por TDV.</t>
        </is>
      </c>
      <c r="L43" s="26" t="n">
        <v>500000000</v>
      </c>
      <c r="M43" s="26" t="n">
        <v>152751031</v>
      </c>
      <c r="N43" s="27">
        <f>IF(ISNUMBER(M43),M43/L43,"No aplica")</f>
        <v>0.305502062</v>
      </c>
      <c r="O43" s="25">
        <f>IF(G43="provision",M43+H43,IF(G43="recoleccion",M43-H43,"No aplica"))</f>
        <v>500000000</v>
      </c>
      <c r="P43" s="26" t="n">
        <v>129080</v>
      </c>
    </row>
    <row r="44">
      <c r="A44" t="inlineStr">
        <is>
          <t>PRAGMA</t>
        </is>
      </c>
      <c r="B44" t="inlineStr">
        <is>
          <t>M1</t>
        </is>
      </c>
      <c r="C44" t="inlineStr">
        <is>
          <t>Cali</t>
        </is>
      </c>
      <c r="D44" t="inlineStr">
        <is>
          <t>1165</t>
        </is>
      </c>
      <c r="E44" t="inlineStr">
        <is>
          <t>TDV</t>
        </is>
      </c>
      <c r="F44" s="23" t="n">
        <v>46274</v>
      </c>
      <c r="G44" t="inlineStr">
        <is>
          <t>provision</t>
        </is>
      </c>
      <c r="H44" s="26" t="n">
        <v>440359725</v>
      </c>
      <c r="I44" t="inlineStr">
        <is>
          <t>bajo</t>
        </is>
      </c>
      <c r="J44" t="inlineStr">
        <is>
          <t>RN-11 y RN-34: provision hasta el cupo operativo antes de bajar del 8 %</t>
        </is>
      </c>
      <c r="K44" t="inlineStr">
        <is>
          <t>Provision en la manana, antes del pagado: con el pronostico, sin provision el saldo bajaria del 8 % del cupo ese dia. Lleva el saldo de 59.640.275 a 500.000.000 COP (cupo 500.000.000). Equipo administrado por TDV.</t>
        </is>
      </c>
      <c r="L44" s="26" t="n">
        <v>500000000</v>
      </c>
      <c r="M44" s="26" t="n">
        <v>59640275</v>
      </c>
      <c r="N44" s="27">
        <f>IF(ISNUMBER(M44),M44/L44,"No aplica")</f>
        <v>0.11928055</v>
      </c>
      <c r="O44" s="25">
        <f>IF(G44="provision",M44+H44,IF(G44="recoleccion",M44-H44,"No aplica"))</f>
        <v>500000000</v>
      </c>
      <c r="P44" s="26" t="n">
        <v>159155</v>
      </c>
    </row>
    <row r="45">
      <c r="A45" t="inlineStr">
        <is>
          <t>PRAGMA</t>
        </is>
      </c>
      <c r="B45" t="inlineStr">
        <is>
          <t>M1</t>
        </is>
      </c>
      <c r="C45" t="inlineStr">
        <is>
          <t>Cali</t>
        </is>
      </c>
      <c r="D45" t="inlineStr">
        <is>
          <t>1165</t>
        </is>
      </c>
      <c r="E45" t="inlineStr">
        <is>
          <t>TDV</t>
        </is>
      </c>
      <c r="F45" s="23" t="n">
        <v>46280</v>
      </c>
      <c r="G45" t="inlineStr">
        <is>
          <t>provision</t>
        </is>
      </c>
      <c r="H45" s="26" t="n">
        <v>416663676</v>
      </c>
      <c r="I45" t="inlineStr">
        <is>
          <t>bajo</t>
        </is>
      </c>
      <c r="J45" t="inlineStr">
        <is>
          <t>RN-11 y RN-34: provision hasta el cupo operativo antes de bajar del 8 %</t>
        </is>
      </c>
      <c r="K45" t="inlineStr">
        <is>
          <t>Provision en la manana, antes del pagado: con el pronostico, sin provision el saldo bajaria del 8 % del cupo ese dia. Lleva el saldo de 83.336.324 a 500.000.000 COP (cupo 500.000.000). Equipo administrado por TDV.</t>
        </is>
      </c>
      <c r="L45" s="26" t="n">
        <v>500000000</v>
      </c>
      <c r="M45" s="26" t="n">
        <v>83336324</v>
      </c>
      <c r="N45" s="27">
        <f>IF(ISNUMBER(M45),M45/L45,"No aplica")</f>
        <v>0.166672648</v>
      </c>
      <c r="O45" s="25">
        <f>IF(G45="provision",M45+H45,IF(G45="recoleccion",M45-H45,"No aplica"))</f>
        <v>500000000</v>
      </c>
      <c r="P45" s="26" t="n">
        <v>151501</v>
      </c>
    </row>
    <row r="46">
      <c r="A46" t="inlineStr">
        <is>
          <t>PRAGMA</t>
        </is>
      </c>
      <c r="B46" t="inlineStr">
        <is>
          <t>M1</t>
        </is>
      </c>
      <c r="C46" t="inlineStr">
        <is>
          <t>Cali</t>
        </is>
      </c>
      <c r="D46" t="inlineStr">
        <is>
          <t>1166</t>
        </is>
      </c>
      <c r="E46" t="inlineStr">
        <is>
          <t>Sucursal</t>
        </is>
      </c>
      <c r="F46" s="23" t="n">
        <v>46271</v>
      </c>
      <c r="G46" t="inlineStr">
        <is>
          <t>provision</t>
        </is>
      </c>
      <c r="H46" s="26" t="n">
        <v>367584497</v>
      </c>
      <c r="I46" t="inlineStr">
        <is>
          <t>bajo</t>
        </is>
      </c>
      <c r="J46" t="inlineStr">
        <is>
          <t>RN-11 y RN-34: provision hasta el cupo operativo antes de bajar del 8 %</t>
        </is>
      </c>
      <c r="K46" t="inlineStr">
        <is>
          <t>Provision en la manana, antes del pagado: con el pronostico, sin provision el saldo bajaria del 8 % del cupo ese dia. Lleva el saldo de 37.415.503 a 405.000.000 COP (cupo 405.000.000). Equipo administrado por Sucursal. Sin tarifa TDV (administrado por la sucursal): costo 0 declarado.</t>
        </is>
      </c>
      <c r="L46" s="26" t="n">
        <v>405000000</v>
      </c>
      <c r="M46" s="26" t="n">
        <v>37415503</v>
      </c>
      <c r="N46" s="27">
        <f>IF(ISNUMBER(M46),M46/L46,"No aplica")</f>
        <v>0.09238395802469136</v>
      </c>
      <c r="O46" s="25">
        <f>IF(G46="provision",M46+H46,IF(G46="recoleccion",M46-H46,"No aplica"))</f>
        <v>405000000</v>
      </c>
      <c r="P46" s="26" t="n">
        <v>0</v>
      </c>
    </row>
    <row r="47">
      <c r="A47" t="inlineStr">
        <is>
          <t>PRAGMA</t>
        </is>
      </c>
      <c r="B47" t="inlineStr">
        <is>
          <t>M1</t>
        </is>
      </c>
      <c r="C47" t="inlineStr">
        <is>
          <t>Cali</t>
        </is>
      </c>
      <c r="D47" t="inlineStr">
        <is>
          <t>1166</t>
        </is>
      </c>
      <c r="E47" t="inlineStr">
        <is>
          <t>Sucursal</t>
        </is>
      </c>
      <c r="F47" s="23" t="n">
        <v>46278</v>
      </c>
      <c r="G47" t="inlineStr">
        <is>
          <t>provision</t>
        </is>
      </c>
      <c r="H47" s="26" t="n">
        <v>372457133</v>
      </c>
      <c r="I47" t="inlineStr">
        <is>
          <t>bajo</t>
        </is>
      </c>
      <c r="J47" t="inlineStr">
        <is>
          <t>RN-11 y RN-34: provision hasta el cupo operativo antes de bajar del 8 %</t>
        </is>
      </c>
      <c r="K47" t="inlineStr">
        <is>
          <t>Provision en la manana, antes del pagado: con el pronostico, sin provision el saldo bajaria del 8 % del cupo ese dia. Lleva el saldo de 32.542.867 a 405.000.000 COP (cupo 405.000.000). Equipo administrado por Sucursal. Sin tarifa TDV (administrado por la sucursal): costo 0 declarado.</t>
        </is>
      </c>
      <c r="L47" s="26" t="n">
        <v>405000000</v>
      </c>
      <c r="M47" s="26" t="n">
        <v>32542867</v>
      </c>
      <c r="N47" s="27">
        <f>IF(ISNUMBER(M47),M47/L47,"No aplica")</f>
        <v>0.08035275802469136</v>
      </c>
      <c r="O47" s="25">
        <f>IF(G47="provision",M47+H47,IF(G47="recoleccion",M47-H47,"No aplica"))</f>
        <v>405000000</v>
      </c>
      <c r="P47" s="26" t="n">
        <v>0</v>
      </c>
    </row>
    <row r="48">
      <c r="A48" t="inlineStr">
        <is>
          <t>PRAGMA</t>
        </is>
      </c>
      <c r="B48" t="inlineStr">
        <is>
          <t>M1</t>
        </is>
      </c>
      <c r="C48" t="inlineStr">
        <is>
          <t>Cali</t>
        </is>
      </c>
      <c r="D48" t="inlineStr">
        <is>
          <t>1167</t>
        </is>
      </c>
      <c r="E48" t="inlineStr">
        <is>
          <t>Sucursal</t>
        </is>
      </c>
      <c r="F48" s="23" t="n">
        <v>46273</v>
      </c>
      <c r="G48" t="inlineStr">
        <is>
          <t>provision</t>
        </is>
      </c>
      <c r="H48" s="26" t="n">
        <v>338403169</v>
      </c>
      <c r="I48" t="inlineStr">
        <is>
          <t>bajo</t>
        </is>
      </c>
      <c r="J48" t="inlineStr">
        <is>
          <t>RN-11 y RN-34: provision hasta el cupo operativo antes de bajar del 8 %</t>
        </is>
      </c>
      <c r="K48" t="inlineStr">
        <is>
          <t>Provision en la manana, antes del pagado: con el pronostico, sin provision el saldo bajaria del 8 % del cupo ese dia. Lleva el saldo de 66.596.831 a 405.000.000 COP (cupo 405.000.000). Equipo administrado por Sucursal. Sin tarifa TDV (administrado por la sucursal): costo 0 declarado.</t>
        </is>
      </c>
      <c r="L48" s="26" t="n">
        <v>405000000</v>
      </c>
      <c r="M48" s="26" t="n">
        <v>66596831</v>
      </c>
      <c r="N48" s="27">
        <f>IF(ISNUMBER(M48),M48/L48,"No aplica")</f>
        <v>0.16443661975308643</v>
      </c>
      <c r="O48" s="25">
        <f>IF(G48="provision",M48+H48,IF(G48="recoleccion",M48-H48,"No aplica"))</f>
        <v>405000000</v>
      </c>
      <c r="P48" s="26" t="n">
        <v>0</v>
      </c>
    </row>
    <row r="49">
      <c r="A49" t="inlineStr">
        <is>
          <t>PRAGMA</t>
        </is>
      </c>
      <c r="B49" t="inlineStr">
        <is>
          <t>M1</t>
        </is>
      </c>
      <c r="C49" t="inlineStr">
        <is>
          <t>Cali</t>
        </is>
      </c>
      <c r="D49" t="inlineStr">
        <is>
          <t>1168</t>
        </is>
      </c>
      <c r="E49" t="inlineStr">
        <is>
          <t>TDV</t>
        </is>
      </c>
      <c r="F49" s="23" t="n">
        <v>46273</v>
      </c>
      <c r="G49" t="inlineStr">
        <is>
          <t>provision</t>
        </is>
      </c>
      <c r="H49" s="26" t="n">
        <v>442999148</v>
      </c>
      <c r="I49" t="inlineStr">
        <is>
          <t>bajo</t>
        </is>
      </c>
      <c r="J49" t="inlineStr">
        <is>
          <t>RN-11 y RN-34: provision hasta el cupo operativo antes de bajar del 8 %</t>
        </is>
      </c>
      <c r="K49" t="inlineStr">
        <is>
          <t>Provision en la manana, antes del pagado: con el pronostico, sin provision el saldo bajaria del 8 % del cupo ese dia. Lleva el saldo de 57.000.852 a 500.000.000 COP (cupo 500.000.000). Equipo administrado por TDV.</t>
        </is>
      </c>
      <c r="L49" s="26" t="n">
        <v>500000000</v>
      </c>
      <c r="M49" s="26" t="n">
        <v>57000852</v>
      </c>
      <c r="N49" s="27">
        <f>IF(ISNUMBER(M49),M49/L49,"No aplica")</f>
        <v>0.114001704</v>
      </c>
      <c r="O49" s="25">
        <f>IF(G49="provision",M49+H49,IF(G49="recoleccion",M49-H49,"No aplica"))</f>
        <v>500000000</v>
      </c>
      <c r="P49" s="26" t="n">
        <v>160008</v>
      </c>
    </row>
    <row r="50">
      <c r="A50" t="inlineStr">
        <is>
          <t>PRAGMA</t>
        </is>
      </c>
      <c r="B50" t="inlineStr">
        <is>
          <t>M1</t>
        </is>
      </c>
      <c r="C50" t="inlineStr">
        <is>
          <t>Cali</t>
        </is>
      </c>
      <c r="D50" t="inlineStr">
        <is>
          <t>117</t>
        </is>
      </c>
      <c r="E50" t="inlineStr">
        <is>
          <t>TDV</t>
        </is>
      </c>
      <c r="F50" s="23" t="n">
        <v>46269</v>
      </c>
      <c r="G50" t="inlineStr">
        <is>
          <t>provision</t>
        </is>
      </c>
      <c r="H50" s="26" t="n">
        <v>400818162</v>
      </c>
      <c r="I50" t="inlineStr">
        <is>
          <t>bajo</t>
        </is>
      </c>
      <c r="J50" t="inlineStr">
        <is>
          <t>RN-11 y RN-34: provision hasta el cupo operativo antes de bajar del 8 %</t>
        </is>
      </c>
      <c r="K50" t="inlineStr">
        <is>
          <t>Provision en la manana, antes del pagado: con el pronostico, sin provision el saldo bajaria del 8 % del cupo ese dia. Lleva el saldo de 99.181.838 a 500.000.000 COP (cupo 500.000.000). Equipo administrado por TDV.</t>
        </is>
      </c>
      <c r="L50" s="26" t="n">
        <v>500000000</v>
      </c>
      <c r="M50" s="26" t="n">
        <v>99181838</v>
      </c>
      <c r="N50" s="27">
        <f>IF(ISNUMBER(M50),M50/L50,"No aplica")</f>
        <v>0.198363676</v>
      </c>
      <c r="O50" s="25">
        <f>IF(G50="provision",M50+H50,IF(G50="recoleccion",M50-H50,"No aplica"))</f>
        <v>500000000</v>
      </c>
      <c r="P50" s="26" t="n">
        <v>195942</v>
      </c>
    </row>
    <row r="51">
      <c r="A51" t="inlineStr">
        <is>
          <t>PRAGMA</t>
        </is>
      </c>
      <c r="B51" t="inlineStr">
        <is>
          <t>M1</t>
        </is>
      </c>
      <c r="C51" t="inlineStr">
        <is>
          <t>Cali</t>
        </is>
      </c>
      <c r="D51" t="inlineStr">
        <is>
          <t>117</t>
        </is>
      </c>
      <c r="E51" t="inlineStr">
        <is>
          <t>TDV</t>
        </is>
      </c>
      <c r="F51" s="23" t="n">
        <v>46274</v>
      </c>
      <c r="G51" t="inlineStr">
        <is>
          <t>provision</t>
        </is>
      </c>
      <c r="H51" s="26" t="n">
        <v>385439097</v>
      </c>
      <c r="I51" t="inlineStr">
        <is>
          <t>bajo</t>
        </is>
      </c>
      <c r="J51" t="inlineStr">
        <is>
          <t>RN-11 y RN-34: provision hasta el cupo operativo antes de bajar del 8 %</t>
        </is>
      </c>
      <c r="K51" t="inlineStr">
        <is>
          <t>Provision en la manana, antes del pagado: con el pronostico, sin provision el saldo bajaria del 8 % del cupo ese dia. Lleva el saldo de 114.560.903 a 500.000.000 COP (cupo 500.000.000). Equipo administrado por TDV.</t>
        </is>
      </c>
      <c r="L51" s="26" t="n">
        <v>500000000</v>
      </c>
      <c r="M51" s="26" t="n">
        <v>114560903</v>
      </c>
      <c r="N51" s="27">
        <f>IF(ISNUMBER(M51),M51/L51,"No aplica")</f>
        <v>0.229121806</v>
      </c>
      <c r="O51" s="25">
        <f>IF(G51="provision",M51+H51,IF(G51="recoleccion",M51-H51,"No aplica"))</f>
        <v>500000000</v>
      </c>
      <c r="P51" s="26" t="n">
        <v>189144</v>
      </c>
    </row>
    <row r="52">
      <c r="A52" t="inlineStr">
        <is>
          <t>PRAGMA</t>
        </is>
      </c>
      <c r="B52" t="inlineStr">
        <is>
          <t>M1</t>
        </is>
      </c>
      <c r="C52" t="inlineStr">
        <is>
          <t>Cali</t>
        </is>
      </c>
      <c r="D52" t="inlineStr">
        <is>
          <t>117</t>
        </is>
      </c>
      <c r="E52" t="inlineStr">
        <is>
          <t>TDV</t>
        </is>
      </c>
      <c r="F52" s="23" t="n">
        <v>46280</v>
      </c>
      <c r="G52" t="inlineStr">
        <is>
          <t>provision</t>
        </is>
      </c>
      <c r="H52" s="26" t="n">
        <v>439139923</v>
      </c>
      <c r="I52" t="inlineStr">
        <is>
          <t>bajo</t>
        </is>
      </c>
      <c r="J52" t="inlineStr">
        <is>
          <t>RN-11 y RN-34: provision hasta el cupo operativo antes de bajar del 8 %</t>
        </is>
      </c>
      <c r="K52" t="inlineStr">
        <is>
          <t>Provision en la manana, antes del pagado: con el pronostico, sin provision el saldo bajaria del 8 % del cupo ese dia. Lleva el saldo de 60.860.077 a 500.000.000 COP (cupo 500.000.000). Equipo administrado por TDV.</t>
        </is>
      </c>
      <c r="L52" s="26" t="n">
        <v>500000000</v>
      </c>
      <c r="M52" s="26" t="n">
        <v>60860077</v>
      </c>
      <c r="N52" s="27">
        <f>IF(ISNUMBER(M52),M52/L52,"No aplica")</f>
        <v>0.121720154</v>
      </c>
      <c r="O52" s="25">
        <f>IF(G52="provision",M52+H52,IF(G52="recoleccion",M52-H52,"No aplica"))</f>
        <v>500000000</v>
      </c>
      <c r="P52" s="26" t="n">
        <v>212880</v>
      </c>
    </row>
    <row r="53">
      <c r="A53" t="inlineStr">
        <is>
          <t>PRAGMA</t>
        </is>
      </c>
      <c r="B53" t="inlineStr">
        <is>
          <t>M1</t>
        </is>
      </c>
      <c r="C53" t="inlineStr">
        <is>
          <t>Ipiales</t>
        </is>
      </c>
      <c r="D53" t="inlineStr">
        <is>
          <t>1224</t>
        </is>
      </c>
      <c r="E53" t="inlineStr">
        <is>
          <t>TDV</t>
        </is>
      </c>
      <c r="F53" s="23" t="n">
        <v>46268</v>
      </c>
      <c r="G53" t="inlineStr">
        <is>
          <t>provision</t>
        </is>
      </c>
      <c r="H53" s="26" t="n">
        <v>304223728</v>
      </c>
      <c r="I53" t="inlineStr">
        <is>
          <t>bajo</t>
        </is>
      </c>
      <c r="J53" t="inlineStr">
        <is>
          <t>RN-11 y RN-34: provision hasta el cupo operativo antes de bajar del 8 %</t>
        </is>
      </c>
      <c r="K53" t="inlineStr">
        <is>
          <t>Provision en la manana, antes del pagado: con el pronostico, sin provision el saldo bajaria del 8 % del cupo ese dia. Lleva el saldo de 106.776.272 a 411.000.000 COP (cupo 411.000.000). Equipo administrado por TDV.</t>
        </is>
      </c>
      <c r="L53" s="26" t="n">
        <v>411000000</v>
      </c>
      <c r="M53" s="26" t="n">
        <v>106776272</v>
      </c>
      <c r="N53" s="27">
        <f>IF(ISNUMBER(M53),M53/L53,"No aplica")</f>
        <v>0.2597962822384428</v>
      </c>
      <c r="O53" s="25">
        <f>IF(G53="provision",M53+H53,IF(G53="recoleccion",M53-H53,"No aplica"))</f>
        <v>411000000</v>
      </c>
      <c r="P53" s="26" t="n">
        <v>112564</v>
      </c>
    </row>
    <row r="54">
      <c r="A54" t="inlineStr">
        <is>
          <t>PRAGMA</t>
        </is>
      </c>
      <c r="B54" t="inlineStr">
        <is>
          <t>M1</t>
        </is>
      </c>
      <c r="C54" t="inlineStr">
        <is>
          <t>Ipiales</t>
        </is>
      </c>
      <c r="D54" t="inlineStr">
        <is>
          <t>1224</t>
        </is>
      </c>
      <c r="E54" t="inlineStr">
        <is>
          <t>TDV</t>
        </is>
      </c>
      <c r="F54" s="23" t="n">
        <v>46270</v>
      </c>
      <c r="G54" t="inlineStr">
        <is>
          <t>provision</t>
        </is>
      </c>
      <c r="H54" s="26" t="n">
        <v>260738682</v>
      </c>
      <c r="I54" t="inlineStr">
        <is>
          <t>bajo</t>
        </is>
      </c>
      <c r="J54" t="inlineStr">
        <is>
          <t>RN-11 y RN-34: provision hasta el cupo operativo antes de bajar del 8 %</t>
        </is>
      </c>
      <c r="K54" t="inlineStr">
        <is>
          <t>Provision en la manana, antes del pagado: con el pronostico, sin provision el saldo bajaria del 8 % del cupo ese dia. Lleva el saldo de 150.261.318 a 411.000.000 COP (cupo 411.000.000). Equipo administrado por TDV.</t>
        </is>
      </c>
      <c r="L54" s="26" t="n">
        <v>411000000</v>
      </c>
      <c r="M54" s="26" t="n">
        <v>150261318</v>
      </c>
      <c r="N54" s="27">
        <f>IF(ISNUMBER(M54),M54/L54,"No aplica")</f>
        <v>0.36559931386861316</v>
      </c>
      <c r="O54" s="25">
        <f>IF(G54="provision",M54+H54,IF(G54="recoleccion",M54-H54,"No aplica"))</f>
        <v>411000000</v>
      </c>
      <c r="P54" s="26" t="n">
        <v>98953</v>
      </c>
    </row>
    <row r="55">
      <c r="A55" t="inlineStr">
        <is>
          <t>PRAGMA</t>
        </is>
      </c>
      <c r="B55" t="inlineStr">
        <is>
          <t>M1</t>
        </is>
      </c>
      <c r="C55" t="inlineStr">
        <is>
          <t>Ipiales</t>
        </is>
      </c>
      <c r="D55" t="inlineStr">
        <is>
          <t>1224</t>
        </is>
      </c>
      <c r="E55" t="inlineStr">
        <is>
          <t>TDV</t>
        </is>
      </c>
      <c r="F55" s="23" t="n">
        <v>46273</v>
      </c>
      <c r="G55" t="inlineStr">
        <is>
          <t>provision</t>
        </is>
      </c>
      <c r="H55" s="26" t="n">
        <v>328775520</v>
      </c>
      <c r="I55" t="inlineStr">
        <is>
          <t>bajo</t>
        </is>
      </c>
      <c r="J55" t="inlineStr">
        <is>
          <t>RN-11 y RN-34: provision hasta el cupo operativo antes de bajar del 8 %</t>
        </is>
      </c>
      <c r="K55" t="inlineStr">
        <is>
          <t>Provision en la manana, antes del pagado: con el pronostico, sin provision el saldo bajaria del 8 % del cupo ese dia. Lleva el saldo de 82.224.480 a 411.000.000 COP (cupo 411.000.000). Equipo administrado por TDV.</t>
        </is>
      </c>
      <c r="L55" s="26" t="n">
        <v>411000000</v>
      </c>
      <c r="M55" s="26" t="n">
        <v>82224480</v>
      </c>
      <c r="N55" s="27">
        <f>IF(ISNUMBER(M55),M55/L55,"No aplica")</f>
        <v>0.20005956204379563</v>
      </c>
      <c r="O55" s="25">
        <f>IF(G55="provision",M55+H55,IF(G55="recoleccion",M55-H55,"No aplica"))</f>
        <v>411000000</v>
      </c>
      <c r="P55" s="26" t="n">
        <v>120249</v>
      </c>
    </row>
    <row r="56">
      <c r="A56" t="inlineStr">
        <is>
          <t>PRAGMA</t>
        </is>
      </c>
      <c r="B56" t="inlineStr">
        <is>
          <t>M1</t>
        </is>
      </c>
      <c r="C56" t="inlineStr">
        <is>
          <t>Ipiales</t>
        </is>
      </c>
      <c r="D56" t="inlineStr">
        <is>
          <t>1224</t>
        </is>
      </c>
      <c r="E56" t="inlineStr">
        <is>
          <t>TDV</t>
        </is>
      </c>
      <c r="F56" s="23" t="n">
        <v>46276</v>
      </c>
      <c r="G56" t="inlineStr">
        <is>
          <t>provision</t>
        </is>
      </c>
      <c r="H56" s="26" t="n">
        <v>313267028</v>
      </c>
      <c r="I56" t="inlineStr">
        <is>
          <t>bajo</t>
        </is>
      </c>
      <c r="J56" t="inlineStr">
        <is>
          <t>RN-11 y RN-34: provision hasta el cupo operativo antes de bajar del 8 %</t>
        </is>
      </c>
      <c r="K56" t="inlineStr">
        <is>
          <t>Provision en la manana, antes del pagado: con el pronostico, sin provision el saldo bajaria del 8 % del cupo ese dia. Lleva el saldo de 97.732.972 a 411.000.000 COP (cupo 411.000.000). Equipo administrado por TDV.</t>
        </is>
      </c>
      <c r="L56" s="26" t="n">
        <v>411000000</v>
      </c>
      <c r="M56" s="26" t="n">
        <v>97732972</v>
      </c>
      <c r="N56" s="27">
        <f>IF(ISNUMBER(M56),M56/L56,"No aplica")</f>
        <v>0.2377931192214112</v>
      </c>
      <c r="O56" s="25">
        <f>IF(G56="provision",M56+H56,IF(G56="recoleccion",M56-H56,"No aplica"))</f>
        <v>411000000</v>
      </c>
      <c r="P56" s="26" t="n">
        <v>115395</v>
      </c>
    </row>
    <row r="57">
      <c r="A57" t="inlineStr">
        <is>
          <t>PRAGMA</t>
        </is>
      </c>
      <c r="B57" t="inlineStr">
        <is>
          <t>M1</t>
        </is>
      </c>
      <c r="C57" t="inlineStr">
        <is>
          <t>Ipiales</t>
        </is>
      </c>
      <c r="D57" t="inlineStr">
        <is>
          <t>1224</t>
        </is>
      </c>
      <c r="E57" t="inlineStr">
        <is>
          <t>TDV</t>
        </is>
      </c>
      <c r="F57" s="23" t="n">
        <v>46279</v>
      </c>
      <c r="G57" t="inlineStr">
        <is>
          <t>provision</t>
        </is>
      </c>
      <c r="H57" s="26" t="n">
        <v>290831674</v>
      </c>
      <c r="I57" t="inlineStr">
        <is>
          <t>bajo</t>
        </is>
      </c>
      <c r="J57" t="inlineStr">
        <is>
          <t>RN-11 y RN-34: provision hasta el cupo operativo antes de bajar del 8 %</t>
        </is>
      </c>
      <c r="K57" t="inlineStr">
        <is>
          <t>Provision en la manana, antes del pagado: con el pronostico, sin provision el saldo bajaria del 8 % del cupo ese dia. Lleva el saldo de 120.168.326 a 411.000.000 COP (cupo 411.000.000). Equipo administrado por TDV.</t>
        </is>
      </c>
      <c r="L57" s="26" t="n">
        <v>411000000</v>
      </c>
      <c r="M57" s="26" t="n">
        <v>120168326</v>
      </c>
      <c r="N57" s="27">
        <f>IF(ISNUMBER(M57),M57/L57,"No aplica")</f>
        <v>0.29238035523114353</v>
      </c>
      <c r="O57" s="25">
        <f>IF(G57="provision",M57+H57,IF(G57="recoleccion",M57-H57,"No aplica"))</f>
        <v>411000000</v>
      </c>
      <c r="P57" s="26" t="n">
        <v>108372</v>
      </c>
    </row>
    <row r="58">
      <c r="A58" t="inlineStr">
        <is>
          <t>PRAGMA</t>
        </is>
      </c>
      <c r="B58" t="inlineStr">
        <is>
          <t>M1</t>
        </is>
      </c>
      <c r="C58" t="inlineStr">
        <is>
          <t>Cali</t>
        </is>
      </c>
      <c r="D58" t="inlineStr">
        <is>
          <t>1270</t>
        </is>
      </c>
      <c r="E58" t="inlineStr">
        <is>
          <t>TDV</t>
        </is>
      </c>
      <c r="F58" s="23" t="n">
        <v>46267</v>
      </c>
      <c r="G58" t="inlineStr">
        <is>
          <t>provision</t>
        </is>
      </c>
      <c r="H58" s="26" t="n">
        <v>230239619</v>
      </c>
      <c r="I58" t="inlineStr">
        <is>
          <t>bajo</t>
        </is>
      </c>
      <c r="J58" t="inlineStr">
        <is>
          <t>RN-11 y RN-34: provision hasta el cupo operativo antes de bajar del 8 %</t>
        </is>
      </c>
      <c r="K58" t="inlineStr">
        <is>
          <t>Provision en la manana, antes del pagado: con el pronostico, sin provision el saldo bajaria del 8 % del cupo ese dia. Lleva el saldo de 174.760.381 a 405.000.000 COP (cupo 405.000.000). Equipo administrado por TDV.</t>
        </is>
      </c>
      <c r="L58" s="26" t="n">
        <v>405000000</v>
      </c>
      <c r="M58" s="26" t="n">
        <v>174760381</v>
      </c>
      <c r="N58" s="27">
        <f>IF(ISNUMBER(M58),M58/L58,"No aplica")</f>
        <v>0.4315071135802469</v>
      </c>
      <c r="O58" s="25">
        <f>IF(G58="provision",M58+H58,IF(G58="recoleccion",M58-H58,"No aplica"))</f>
        <v>405000000</v>
      </c>
      <c r="P58" s="26" t="n">
        <v>104316</v>
      </c>
    </row>
    <row r="59">
      <c r="A59" t="inlineStr">
        <is>
          <t>PRAGMA</t>
        </is>
      </c>
      <c r="B59" t="inlineStr">
        <is>
          <t>M1</t>
        </is>
      </c>
      <c r="C59" t="inlineStr">
        <is>
          <t>Cali</t>
        </is>
      </c>
      <c r="D59" t="inlineStr">
        <is>
          <t>1270</t>
        </is>
      </c>
      <c r="E59" t="inlineStr">
        <is>
          <t>TDV</t>
        </is>
      </c>
      <c r="F59" s="23" t="n">
        <v>46269</v>
      </c>
      <c r="G59" t="inlineStr">
        <is>
          <t>provision</t>
        </is>
      </c>
      <c r="H59" s="26" t="n">
        <v>355259970</v>
      </c>
      <c r="I59" t="inlineStr">
        <is>
          <t>bajo</t>
        </is>
      </c>
      <c r="J59" t="inlineStr">
        <is>
          <t>RN-11 y RN-34: provision hasta el cupo operativo antes de bajar del 8 %</t>
        </is>
      </c>
      <c r="K59" t="inlineStr">
        <is>
          <t>Provision en la manana, antes del pagado: con el pronostico, sin provision el saldo bajaria del 8 % del cupo ese dia. Lleva el saldo de 49.740.030 a 405.000.000 COP (cupo 405.000.000). Equipo administrado por TDV.</t>
        </is>
      </c>
      <c r="L59" s="26" t="n">
        <v>405000000</v>
      </c>
      <c r="M59" s="26" t="n">
        <v>49740030</v>
      </c>
      <c r="N59" s="27">
        <f>IF(ISNUMBER(M59),M59/L59,"No aplica")</f>
        <v>0.12281488888888889</v>
      </c>
      <c r="O59" s="25">
        <f>IF(G59="provision",M59+H59,IF(G59="recoleccion",M59-H59,"No aplica"))</f>
        <v>405000000</v>
      </c>
      <c r="P59" s="26" t="n">
        <v>151324</v>
      </c>
    </row>
    <row r="60">
      <c r="A60" t="inlineStr">
        <is>
          <t>PRAGMA</t>
        </is>
      </c>
      <c r="B60" t="inlineStr">
        <is>
          <t>M1</t>
        </is>
      </c>
      <c r="C60" t="inlineStr">
        <is>
          <t>Cali</t>
        </is>
      </c>
      <c r="D60" t="inlineStr">
        <is>
          <t>1270</t>
        </is>
      </c>
      <c r="E60" t="inlineStr">
        <is>
          <t>TDV</t>
        </is>
      </c>
      <c r="F60" s="23" t="n">
        <v>46271</v>
      </c>
      <c r="G60" t="inlineStr">
        <is>
          <t>provision</t>
        </is>
      </c>
      <c r="H60" s="26" t="n">
        <v>368995860</v>
      </c>
      <c r="I60" t="inlineStr">
        <is>
          <t>bajo</t>
        </is>
      </c>
      <c r="J60" t="inlineStr">
        <is>
          <t>RN-11 y RN-34: provision hasta el cupo operativo antes de bajar del 8 %</t>
        </is>
      </c>
      <c r="K60" t="inlineStr">
        <is>
          <t>Provision en la manana, antes del pagado: con el pronostico, sin provision el saldo bajaria del 8 % del cupo ese dia. Lleva el saldo de 36.004.140 a 405.000.000 COP (cupo 405.000.000). Equipo administrado por TDV.</t>
        </is>
      </c>
      <c r="L60" s="26" t="n">
        <v>405000000</v>
      </c>
      <c r="M60" s="26" t="n">
        <v>36004140</v>
      </c>
      <c r="N60" s="27">
        <f>IF(ISNUMBER(M60),M60/L60,"No aplica")</f>
        <v>0.08889911111111111</v>
      </c>
      <c r="O60" s="25">
        <f>IF(G60="provision",M60+H60,IF(G60="recoleccion",M60-H60,"No aplica"))</f>
        <v>405000000</v>
      </c>
      <c r="P60" s="26" t="n">
        <v>208306</v>
      </c>
    </row>
    <row r="61">
      <c r="A61" t="inlineStr">
        <is>
          <t>PRAGMA</t>
        </is>
      </c>
      <c r="B61" t="inlineStr">
        <is>
          <t>M1</t>
        </is>
      </c>
      <c r="C61" t="inlineStr">
        <is>
          <t>Cali</t>
        </is>
      </c>
      <c r="D61" t="inlineStr">
        <is>
          <t>1270</t>
        </is>
      </c>
      <c r="E61" t="inlineStr">
        <is>
          <t>TDV</t>
        </is>
      </c>
      <c r="F61" s="23" t="n">
        <v>46274</v>
      </c>
      <c r="G61" t="inlineStr">
        <is>
          <t>provision</t>
        </is>
      </c>
      <c r="H61" s="26" t="n">
        <v>354371382</v>
      </c>
      <c r="I61" t="inlineStr">
        <is>
          <t>bajo</t>
        </is>
      </c>
      <c r="J61" t="inlineStr">
        <is>
          <t>RN-11 y RN-34: provision hasta el cupo operativo antes de bajar del 8 %</t>
        </is>
      </c>
      <c r="K61" t="inlineStr">
        <is>
          <t>Provision en la manana, antes del pagado: con el pronostico, sin provision el saldo bajaria del 8 % del cupo ese dia. Lleva el saldo de 50.628.618 a 405.000.000 COP (cupo 405.000.000). Equipo administrado por TDV.</t>
        </is>
      </c>
      <c r="L61" s="26" t="n">
        <v>405000000</v>
      </c>
      <c r="M61" s="26" t="n">
        <v>50628618</v>
      </c>
      <c r="N61" s="27">
        <f>IF(ISNUMBER(M61),M61/L61,"No aplica")</f>
        <v>0.12500893333333332</v>
      </c>
      <c r="O61" s="25">
        <f>IF(G61="provision",M61+H61,IF(G61="recoleccion",M61-H61,"No aplica"))</f>
        <v>405000000</v>
      </c>
      <c r="P61" s="26" t="n">
        <v>150990</v>
      </c>
    </row>
    <row r="62">
      <c r="A62" t="inlineStr">
        <is>
          <t>PRAGMA</t>
        </is>
      </c>
      <c r="B62" t="inlineStr">
        <is>
          <t>M1</t>
        </is>
      </c>
      <c r="C62" t="inlineStr">
        <is>
          <t>Cali</t>
        </is>
      </c>
      <c r="D62" t="inlineStr">
        <is>
          <t>1270</t>
        </is>
      </c>
      <c r="E62" t="inlineStr">
        <is>
          <t>TDV</t>
        </is>
      </c>
      <c r="F62" s="23" t="n">
        <v>46277</v>
      </c>
      <c r="G62" t="inlineStr">
        <is>
          <t>provision</t>
        </is>
      </c>
      <c r="H62" s="26" t="n">
        <v>362665309</v>
      </c>
      <c r="I62" t="inlineStr">
        <is>
          <t>bajo</t>
        </is>
      </c>
      <c r="J62" t="inlineStr">
        <is>
          <t>RN-11 y RN-34: provision hasta el cupo operativo antes de bajar del 8 %</t>
        </is>
      </c>
      <c r="K62" t="inlineStr">
        <is>
          <t>Provision en la manana, antes del pagado: con el pronostico, sin provision el saldo bajaria del 8 % del cupo ese dia. Lleva el saldo de 42.334.691 a 405.000.000 COP (cupo 405.000.000). Equipo administrado por TDV.</t>
        </is>
      </c>
      <c r="L62" s="26" t="n">
        <v>405000000</v>
      </c>
      <c r="M62" s="26" t="n">
        <v>42334691</v>
      </c>
      <c r="N62" s="27">
        <f>IF(ISNUMBER(M62),M62/L62,"No aplica")</f>
        <v>0.10453010123456791</v>
      </c>
      <c r="O62" s="25">
        <f>IF(G62="provision",M62+H62,IF(G62="recoleccion",M62-H62,"No aplica"))</f>
        <v>405000000</v>
      </c>
      <c r="P62" s="26" t="n">
        <v>154108</v>
      </c>
    </row>
    <row r="63">
      <c r="A63" t="inlineStr">
        <is>
          <t>PRAGMA</t>
        </is>
      </c>
      <c r="B63" t="inlineStr">
        <is>
          <t>M1</t>
        </is>
      </c>
      <c r="C63" t="inlineStr">
        <is>
          <t>Cali</t>
        </is>
      </c>
      <c r="D63" t="inlineStr">
        <is>
          <t>1270</t>
        </is>
      </c>
      <c r="E63" t="inlineStr">
        <is>
          <t>TDV</t>
        </is>
      </c>
      <c r="F63" s="23" t="n">
        <v>46280</v>
      </c>
      <c r="G63" t="inlineStr">
        <is>
          <t>provision</t>
        </is>
      </c>
      <c r="H63" s="26" t="n">
        <v>359717705</v>
      </c>
      <c r="I63" t="inlineStr">
        <is>
          <t>bajo</t>
        </is>
      </c>
      <c r="J63" t="inlineStr">
        <is>
          <t>RN-11 y RN-34: provision hasta el cupo operativo antes de bajar del 8 %</t>
        </is>
      </c>
      <c r="K63" t="inlineStr">
        <is>
          <t>Provision en la manana, antes del pagado: con el pronostico, sin provision el saldo bajaria del 8 % del cupo ese dia. Lleva el saldo de 45.282.295 a 405.000.000 COP (cupo 405.000.000). Equipo administrado por TDV.</t>
        </is>
      </c>
      <c r="L63" s="26" t="n">
        <v>405000000</v>
      </c>
      <c r="M63" s="26" t="n">
        <v>45282295</v>
      </c>
      <c r="N63" s="27">
        <f>IF(ISNUMBER(M63),M63/L63,"No aplica")</f>
        <v>0.11180813580246914</v>
      </c>
      <c r="O63" s="25">
        <f>IF(G63="provision",M63+H63,IF(G63="recoleccion",M63-H63,"No aplica"))</f>
        <v>405000000</v>
      </c>
      <c r="P63" s="26" t="n">
        <v>153000</v>
      </c>
    </row>
    <row r="64">
      <c r="A64" t="inlineStr">
        <is>
          <t>PRAGMA</t>
        </is>
      </c>
      <c r="B64" t="inlineStr">
        <is>
          <t>M1</t>
        </is>
      </c>
      <c r="C64" t="inlineStr">
        <is>
          <t>Cali</t>
        </is>
      </c>
      <c r="D64" t="inlineStr">
        <is>
          <t>1271</t>
        </is>
      </c>
      <c r="E64" t="inlineStr">
        <is>
          <t>TDV</t>
        </is>
      </c>
      <c r="F64" s="23" t="n">
        <v>46267</v>
      </c>
      <c r="G64" t="inlineStr">
        <is>
          <t>provision</t>
        </is>
      </c>
      <c r="H64" s="26" t="n">
        <v>241707867</v>
      </c>
      <c r="I64" t="inlineStr">
        <is>
          <t>bajo</t>
        </is>
      </c>
      <c r="J64" t="inlineStr">
        <is>
          <t>RN-11 y RN-34: provision hasta el cupo operativo antes de bajar del 8 %</t>
        </is>
      </c>
      <c r="K64" t="inlineStr">
        <is>
          <t>Provision en la manana, antes del pagado: con el pronostico, sin provision el saldo bajaria del 8 % del cupo ese dia. Lleva el saldo de 169.292.133 a 411.000.000 COP (cupo 411.000.000). Equipo administrado por TDV.</t>
        </is>
      </c>
      <c r="L64" s="26" t="n">
        <v>411000000</v>
      </c>
      <c r="M64" s="26" t="n">
        <v>169292133</v>
      </c>
      <c r="N64" s="27">
        <f>IF(ISNUMBER(M64),M64/L64,"No aplica")</f>
        <v>0.411903</v>
      </c>
      <c r="O64" s="25">
        <f>IF(G64="provision",M64+H64,IF(G64="recoleccion",M64-H64,"No aplica"))</f>
        <v>411000000</v>
      </c>
      <c r="P64" s="26" t="n">
        <v>108628</v>
      </c>
    </row>
    <row r="65">
      <c r="A65" t="inlineStr">
        <is>
          <t>PRAGMA</t>
        </is>
      </c>
      <c r="B65" t="inlineStr">
        <is>
          <t>M1</t>
        </is>
      </c>
      <c r="C65" t="inlineStr">
        <is>
          <t>Cali</t>
        </is>
      </c>
      <c r="D65" t="inlineStr">
        <is>
          <t>1271</t>
        </is>
      </c>
      <c r="E65" t="inlineStr">
        <is>
          <t>TDV</t>
        </is>
      </c>
      <c r="F65" s="23" t="n">
        <v>46269</v>
      </c>
      <c r="G65" t="inlineStr">
        <is>
          <t>provision</t>
        </is>
      </c>
      <c r="H65" s="26" t="n">
        <v>365537529</v>
      </c>
      <c r="I65" t="inlineStr">
        <is>
          <t>bajo</t>
        </is>
      </c>
      <c r="J65" t="inlineStr">
        <is>
          <t>RN-11 y RN-34: provision hasta el cupo operativo antes de bajar del 8 %</t>
        </is>
      </c>
      <c r="K65" t="inlineStr">
        <is>
          <t>Provision en la manana, antes del pagado: con el pronostico, sin provision el saldo bajaria del 8 % del cupo ese dia. Lleva el saldo de 45.462.471 a 411.000.000 COP (cupo 411.000.000). Equipo administrado por TDV.</t>
        </is>
      </c>
      <c r="L65" s="26" t="n">
        <v>411000000</v>
      </c>
      <c r="M65" s="26" t="n">
        <v>45462471</v>
      </c>
      <c r="N65" s="27">
        <f>IF(ISNUMBER(M65),M65/L65,"No aplica")</f>
        <v>0.11061428467153285</v>
      </c>
      <c r="O65" s="25">
        <f>IF(G65="provision",M65+H65,IF(G65="recoleccion",M65-H65,"No aplica"))</f>
        <v>411000000</v>
      </c>
      <c r="P65" s="26" t="n">
        <v>155188</v>
      </c>
    </row>
    <row r="66">
      <c r="A66" t="inlineStr">
        <is>
          <t>PRAGMA</t>
        </is>
      </c>
      <c r="B66" t="inlineStr">
        <is>
          <t>M1</t>
        </is>
      </c>
      <c r="C66" t="inlineStr">
        <is>
          <t>Cali</t>
        </is>
      </c>
      <c r="D66" t="inlineStr">
        <is>
          <t>1271</t>
        </is>
      </c>
      <c r="E66" t="inlineStr">
        <is>
          <t>TDV</t>
        </is>
      </c>
      <c r="F66" s="23" t="n">
        <v>46271</v>
      </c>
      <c r="G66" t="inlineStr">
        <is>
          <t>provision</t>
        </is>
      </c>
      <c r="H66" s="26" t="n">
        <v>364601865</v>
      </c>
      <c r="I66" t="inlineStr">
        <is>
          <t>bajo</t>
        </is>
      </c>
      <c r="J66" t="inlineStr">
        <is>
          <t>RN-11 y RN-34: provision hasta el cupo operativo antes de bajar del 8 %</t>
        </is>
      </c>
      <c r="K66" t="inlineStr">
        <is>
          <t>Provision en la manana, antes del pagado: con el pronostico, sin provision el saldo bajaria del 8 % del cupo ese dia. Lleva el saldo de 46.398.135 a 411.000.000 COP (cupo 411.000.000). Equipo administrado por TDV.</t>
        </is>
      </c>
      <c r="L66" s="26" t="n">
        <v>411000000</v>
      </c>
      <c r="M66" s="26" t="n">
        <v>46398135</v>
      </c>
      <c r="N66" s="27">
        <f>IF(ISNUMBER(M66),M66/L66,"No aplica")</f>
        <v>0.11289083941605839</v>
      </c>
      <c r="O66" s="25">
        <f>IF(G66="provision",M66+H66,IF(G66="recoleccion",M66-H66,"No aplica"))</f>
        <v>411000000</v>
      </c>
      <c r="P66" s="26" t="n">
        <v>206100</v>
      </c>
    </row>
    <row r="67">
      <c r="A67" t="inlineStr">
        <is>
          <t>PRAGMA</t>
        </is>
      </c>
      <c r="B67" t="inlineStr">
        <is>
          <t>M1</t>
        </is>
      </c>
      <c r="C67" t="inlineStr">
        <is>
          <t>Cali</t>
        </is>
      </c>
      <c r="D67" t="inlineStr">
        <is>
          <t>1271</t>
        </is>
      </c>
      <c r="E67" t="inlineStr">
        <is>
          <t>TDV</t>
        </is>
      </c>
      <c r="F67" s="23" t="n">
        <v>46273</v>
      </c>
      <c r="G67" t="inlineStr">
        <is>
          <t>provision</t>
        </is>
      </c>
      <c r="H67" s="26" t="n">
        <v>272686915</v>
      </c>
      <c r="I67" t="inlineStr">
        <is>
          <t>bajo</t>
        </is>
      </c>
      <c r="J67" t="inlineStr">
        <is>
          <t>RN-11 y RN-34: provision hasta el cupo operativo antes de bajar del 8 %</t>
        </is>
      </c>
      <c r="K67" t="inlineStr">
        <is>
          <t>Provision en la manana, antes del pagado: con el pronostico, sin provision el saldo bajaria del 8 % del cupo ese dia. Lleva el saldo de 138.313.085 a 411.000.000 COP (cupo 411.000.000). Equipo administrado por TDV.</t>
        </is>
      </c>
      <c r="L67" s="26" t="n">
        <v>411000000</v>
      </c>
      <c r="M67" s="26" t="n">
        <v>138313085</v>
      </c>
      <c r="N67" s="27">
        <f>IF(ISNUMBER(M67),M67/L67,"No aplica")</f>
        <v>0.3365281873479319</v>
      </c>
      <c r="O67" s="25">
        <f>IF(G67="provision",M67+H67,IF(G67="recoleccion",M67-H67,"No aplica"))</f>
        <v>411000000</v>
      </c>
      <c r="P67" s="26" t="n">
        <v>120276</v>
      </c>
    </row>
    <row r="68">
      <c r="A68" t="inlineStr">
        <is>
          <t>PRAGMA</t>
        </is>
      </c>
      <c r="B68" t="inlineStr">
        <is>
          <t>M1</t>
        </is>
      </c>
      <c r="C68" t="inlineStr">
        <is>
          <t>Cali</t>
        </is>
      </c>
      <c r="D68" t="inlineStr">
        <is>
          <t>1271</t>
        </is>
      </c>
      <c r="E68" t="inlineStr">
        <is>
          <t>TDV</t>
        </is>
      </c>
      <c r="F68" s="23" t="n">
        <v>46275</v>
      </c>
      <c r="G68" t="inlineStr">
        <is>
          <t>provision</t>
        </is>
      </c>
      <c r="H68" s="26" t="n">
        <v>272696507</v>
      </c>
      <c r="I68" t="inlineStr">
        <is>
          <t>bajo</t>
        </is>
      </c>
      <c r="J68" t="inlineStr">
        <is>
          <t>RN-11 y RN-34: provision hasta el cupo operativo antes de bajar del 8 %</t>
        </is>
      </c>
      <c r="K68" t="inlineStr">
        <is>
          <t>Provision en la manana, antes del pagado: con el pronostico, sin provision el saldo bajaria del 8 % del cupo ese dia. Lleva el saldo de 138.303.493 a 411.000.000 COP (cupo 411.000.000). Equipo administrado por TDV.</t>
        </is>
      </c>
      <c r="L68" s="26" t="n">
        <v>411000000</v>
      </c>
      <c r="M68" s="26" t="n">
        <v>138303493</v>
      </c>
      <c r="N68" s="27">
        <f>IF(ISNUMBER(M68),M68/L68,"No aplica")</f>
        <v>0.3365048491484185</v>
      </c>
      <c r="O68" s="25">
        <f>IF(G68="provision",M68+H68,IF(G68="recoleccion",M68-H68,"No aplica"))</f>
        <v>411000000</v>
      </c>
      <c r="P68" s="26" t="n">
        <v>120280</v>
      </c>
    </row>
    <row r="69">
      <c r="A69" t="inlineStr">
        <is>
          <t>PRAGMA</t>
        </is>
      </c>
      <c r="B69" t="inlineStr">
        <is>
          <t>M1</t>
        </is>
      </c>
      <c r="C69" t="inlineStr">
        <is>
          <t>Cali</t>
        </is>
      </c>
      <c r="D69" t="inlineStr">
        <is>
          <t>1271</t>
        </is>
      </c>
      <c r="E69" t="inlineStr">
        <is>
          <t>TDV</t>
        </is>
      </c>
      <c r="F69" s="23" t="n">
        <v>46277</v>
      </c>
      <c r="G69" t="inlineStr">
        <is>
          <t>provision</t>
        </is>
      </c>
      <c r="H69" s="26" t="n">
        <v>251499396</v>
      </c>
      <c r="I69" t="inlineStr">
        <is>
          <t>bajo</t>
        </is>
      </c>
      <c r="J69" t="inlineStr">
        <is>
          <t>RN-11 y RN-34: provision hasta el cupo operativo antes de bajar del 8 %</t>
        </is>
      </c>
      <c r="K69" t="inlineStr">
        <is>
          <t>Provision en la manana, antes del pagado: con el pronostico, sin provision el saldo bajaria del 8 % del cupo ese dia. Lleva el saldo de 159.500.604 a 411.000.000 COP (cupo 411.000.000). Equipo administrado por TDV.</t>
        </is>
      </c>
      <c r="L69" s="26" t="n">
        <v>411000000</v>
      </c>
      <c r="M69" s="26" t="n">
        <v>159500604</v>
      </c>
      <c r="N69" s="27">
        <f>IF(ISNUMBER(M69),M69/L69,"No aplica")</f>
        <v>0.38807932846715326</v>
      </c>
      <c r="O69" s="25">
        <f>IF(G69="provision",M69+H69,IF(G69="recoleccion",M69-H69,"No aplica"))</f>
        <v>411000000</v>
      </c>
      <c r="P69" s="26" t="n">
        <v>112310</v>
      </c>
    </row>
    <row r="70">
      <c r="A70" t="inlineStr">
        <is>
          <t>PRAGMA</t>
        </is>
      </c>
      <c r="B70" t="inlineStr">
        <is>
          <t>M1</t>
        </is>
      </c>
      <c r="C70" t="inlineStr">
        <is>
          <t>Cali</t>
        </is>
      </c>
      <c r="D70" t="inlineStr">
        <is>
          <t>1271</t>
        </is>
      </c>
      <c r="E70" t="inlineStr">
        <is>
          <t>TDV</t>
        </is>
      </c>
      <c r="F70" s="23" t="n">
        <v>46279</v>
      </c>
      <c r="G70" t="inlineStr">
        <is>
          <t>provision</t>
        </is>
      </c>
      <c r="H70" s="26" t="n">
        <v>253807199</v>
      </c>
      <c r="I70" t="inlineStr">
        <is>
          <t>bajo</t>
        </is>
      </c>
      <c r="J70" t="inlineStr">
        <is>
          <t>RN-11 y RN-34: provision hasta el cupo operativo antes de bajar del 8 %</t>
        </is>
      </c>
      <c r="K70" t="inlineStr">
        <is>
          <t>Provision en la manana, antes del pagado: con el pronostico, sin provision el saldo bajaria del 8 % del cupo ese dia. Lleva el saldo de 157.192.801 a 411.000.000 COP (cupo 411.000.000). Equipo administrado por TDV.</t>
        </is>
      </c>
      <c r="L70" s="26" t="n">
        <v>411000000</v>
      </c>
      <c r="M70" s="26" t="n">
        <v>157192801</v>
      </c>
      <c r="N70" s="27">
        <f>IF(ISNUMBER(M70),M70/L70,"No aplica")</f>
        <v>0.38246423600973234</v>
      </c>
      <c r="O70" s="25">
        <f>IF(G70="provision",M70+H70,IF(G70="recoleccion",M70-H70,"No aplica"))</f>
        <v>411000000</v>
      </c>
      <c r="P70" s="26" t="n">
        <v>113178</v>
      </c>
    </row>
    <row r="71">
      <c r="A71" t="inlineStr">
        <is>
          <t>PRAGMA</t>
        </is>
      </c>
      <c r="B71" t="inlineStr">
        <is>
          <t>M1</t>
        </is>
      </c>
      <c r="C71" t="inlineStr">
        <is>
          <t>Cali</t>
        </is>
      </c>
      <c r="D71" t="inlineStr">
        <is>
          <t>1302</t>
        </is>
      </c>
      <c r="E71" t="inlineStr">
        <is>
          <t>TDV</t>
        </is>
      </c>
      <c r="F71" s="23" t="n">
        <v>46270</v>
      </c>
      <c r="G71" t="inlineStr">
        <is>
          <t>provision</t>
        </is>
      </c>
      <c r="H71" s="26" t="n">
        <v>341391655</v>
      </c>
      <c r="I71" t="inlineStr">
        <is>
          <t>bajo</t>
        </is>
      </c>
      <c r="J71" t="inlineStr">
        <is>
          <t>RN-11 y RN-34: provision hasta el cupo operativo antes de bajar del 8 %</t>
        </is>
      </c>
      <c r="K71" t="inlineStr">
        <is>
          <t>Provision en la manana, antes del pagado: con el pronostico, sin provision el saldo bajaria del 8 % del cupo ese dia. Lleva el saldo de 69.608.345 a 411.000.000 COP (cupo 411.000.000). Equipo administrado por TDV.</t>
        </is>
      </c>
      <c r="L71" s="26" t="n">
        <v>411000000</v>
      </c>
      <c r="M71" s="26" t="n">
        <v>69608345</v>
      </c>
      <c r="N71" s="27">
        <f>IF(ISNUMBER(M71),M71/L71,"No aplica")</f>
        <v>0.1693633698296837</v>
      </c>
      <c r="O71" s="25">
        <f>IF(G71="provision",M71+H71,IF(G71="recoleccion",M71-H71,"No aplica"))</f>
        <v>411000000</v>
      </c>
      <c r="P71" s="26" t="n">
        <v>169675</v>
      </c>
    </row>
    <row r="72">
      <c r="A72" t="inlineStr">
        <is>
          <t>PRAGMA</t>
        </is>
      </c>
      <c r="B72" t="inlineStr">
        <is>
          <t>M1</t>
        </is>
      </c>
      <c r="C72" t="inlineStr">
        <is>
          <t>Cali</t>
        </is>
      </c>
      <c r="D72" t="inlineStr">
        <is>
          <t>1302</t>
        </is>
      </c>
      <c r="E72" t="inlineStr">
        <is>
          <t>TDV</t>
        </is>
      </c>
      <c r="F72" s="23" t="n">
        <v>46275</v>
      </c>
      <c r="G72" t="inlineStr">
        <is>
          <t>provision</t>
        </is>
      </c>
      <c r="H72" s="26" t="n">
        <v>319007158</v>
      </c>
      <c r="I72" t="inlineStr">
        <is>
          <t>bajo</t>
        </is>
      </c>
      <c r="J72" t="inlineStr">
        <is>
          <t>RN-11 y RN-34: provision hasta el cupo operativo antes de bajar del 8 %</t>
        </is>
      </c>
      <c r="K72" t="inlineStr">
        <is>
          <t>Provision en la manana, antes del pagado: con el pronostico, sin provision el saldo bajaria del 8 % del cupo ese dia. Lleva el saldo de 91.992.842 a 411.000.000 COP (cupo 411.000.000). Equipo administrado por TDV.</t>
        </is>
      </c>
      <c r="L72" s="26" t="n">
        <v>411000000</v>
      </c>
      <c r="M72" s="26" t="n">
        <v>91992842</v>
      </c>
      <c r="N72" s="27">
        <f>IF(ISNUMBER(M72),M72/L72,"No aplica")</f>
        <v>0.22382686618004866</v>
      </c>
      <c r="O72" s="25">
        <f>IF(G72="provision",M72+H72,IF(G72="recoleccion",M72-H72,"No aplica"))</f>
        <v>411000000</v>
      </c>
      <c r="P72" s="26" t="n">
        <v>159781</v>
      </c>
    </row>
    <row r="73">
      <c r="A73" t="inlineStr">
        <is>
          <t>PRAGMA</t>
        </is>
      </c>
      <c r="B73" t="inlineStr">
        <is>
          <t>M1</t>
        </is>
      </c>
      <c r="C73" t="inlineStr">
        <is>
          <t>Cali</t>
        </is>
      </c>
      <c r="D73" t="inlineStr">
        <is>
          <t>1302</t>
        </is>
      </c>
      <c r="E73" t="inlineStr">
        <is>
          <t>TDV</t>
        </is>
      </c>
      <c r="F73" s="23" t="n">
        <v>46280</v>
      </c>
      <c r="G73" t="inlineStr">
        <is>
          <t>provision</t>
        </is>
      </c>
      <c r="H73" s="26" t="n">
        <v>313974062</v>
      </c>
      <c r="I73" t="inlineStr">
        <is>
          <t>bajo</t>
        </is>
      </c>
      <c r="J73" t="inlineStr">
        <is>
          <t>RN-11 y RN-34: provision hasta el cupo operativo antes de bajar del 8 %</t>
        </is>
      </c>
      <c r="K73" t="inlineStr">
        <is>
          <t>Provision en la manana, antes del pagado: con el pronostico, sin provision el saldo bajaria del 8 % del cupo ese dia. Lleva el saldo de 97.025.938 a 411.000.000 COP (cupo 411.000.000). Equipo administrado por TDV.</t>
        </is>
      </c>
      <c r="L73" s="26" t="n">
        <v>411000000</v>
      </c>
      <c r="M73" s="26" t="n">
        <v>97025938</v>
      </c>
      <c r="N73" s="27">
        <f>IF(ISNUMBER(M73),M73/L73,"No aplica")</f>
        <v>0.23607284184914842</v>
      </c>
      <c r="O73" s="25">
        <f>IF(G73="provision",M73+H73,IF(G73="recoleccion",M73-H73,"No aplica"))</f>
        <v>411000000</v>
      </c>
      <c r="P73" s="26" t="n">
        <v>157557</v>
      </c>
    </row>
    <row r="74">
      <c r="A74" t="inlineStr">
        <is>
          <t>PRAGMA</t>
        </is>
      </c>
      <c r="B74" t="inlineStr">
        <is>
          <t>M1</t>
        </is>
      </c>
      <c r="C74" t="inlineStr">
        <is>
          <t>Cali</t>
        </is>
      </c>
      <c r="D74" t="inlineStr">
        <is>
          <t>134</t>
        </is>
      </c>
      <c r="E74" t="inlineStr">
        <is>
          <t>TDV</t>
        </is>
      </c>
      <c r="F74" s="23" t="n">
        <v>46267</v>
      </c>
      <c r="G74" t="inlineStr">
        <is>
          <t>provision</t>
        </is>
      </c>
      <c r="H74" s="26" t="n">
        <v>223864839</v>
      </c>
      <c r="I74" t="inlineStr">
        <is>
          <t>bajo</t>
        </is>
      </c>
      <c r="J74" t="inlineStr">
        <is>
          <t>RN-11 y RN-34: provision hasta el cupo operativo antes de bajar del 8 %</t>
        </is>
      </c>
      <c r="K74" t="inlineStr">
        <is>
          <t>Provision en la manana, antes del pagado: con el pronostico, sin provision el saldo bajaria del 8 % del cupo ese dia. Lleva el saldo de 181.135.161 a 405.000.000 COP (cupo 405.000.000). Equipo administrado por TDV.</t>
        </is>
      </c>
      <c r="L74" s="26" t="n">
        <v>405000000</v>
      </c>
      <c r="M74" s="26" t="n">
        <v>181135161</v>
      </c>
      <c r="N74" s="27">
        <f>IF(ISNUMBER(M74),M74/L74,"No aplica")</f>
        <v>0.4472473111111111</v>
      </c>
      <c r="O74" s="25">
        <f>IF(G74="provision",M74+H74,IF(G74="recoleccion",M74-H74,"No aplica"))</f>
        <v>405000000</v>
      </c>
      <c r="P74" s="26" t="n">
        <v>78241</v>
      </c>
    </row>
    <row r="75">
      <c r="A75" t="inlineStr">
        <is>
          <t>PRAGMA</t>
        </is>
      </c>
      <c r="B75" t="inlineStr">
        <is>
          <t>M1</t>
        </is>
      </c>
      <c r="C75" t="inlineStr">
        <is>
          <t>Cali</t>
        </is>
      </c>
      <c r="D75" t="inlineStr">
        <is>
          <t>134</t>
        </is>
      </c>
      <c r="E75" t="inlineStr">
        <is>
          <t>TDV</t>
        </is>
      </c>
      <c r="F75" s="23" t="n">
        <v>46269</v>
      </c>
      <c r="G75" t="inlineStr">
        <is>
          <t>provision</t>
        </is>
      </c>
      <c r="H75" s="26" t="n">
        <v>322720356</v>
      </c>
      <c r="I75" t="inlineStr">
        <is>
          <t>bajo</t>
        </is>
      </c>
      <c r="J75" t="inlineStr">
        <is>
          <t>RN-11 y RN-34: provision hasta el cupo operativo antes de bajar del 8 %</t>
        </is>
      </c>
      <c r="K75" t="inlineStr">
        <is>
          <t>Provision en la manana, antes del pagado: con el pronostico, sin provision el saldo bajaria del 8 % del cupo ese dia. Lleva el saldo de 82.279.644 a 405.000.000 COP (cupo 405.000.000). Equipo administrado por TDV.</t>
        </is>
      </c>
      <c r="L75" s="26" t="n">
        <v>405000000</v>
      </c>
      <c r="M75" s="26" t="n">
        <v>82279644</v>
      </c>
      <c r="N75" s="27">
        <f>IF(ISNUMBER(M75),M75/L75,"No aplica")</f>
        <v>0.20315961481481482</v>
      </c>
      <c r="O75" s="25">
        <f>IF(G75="provision",M75+H75,IF(G75="recoleccion",M75-H75,"No aplica"))</f>
        <v>405000000</v>
      </c>
      <c r="P75" s="26" t="n">
        <v>105921</v>
      </c>
    </row>
    <row r="76">
      <c r="A76" t="inlineStr">
        <is>
          <t>PRAGMA</t>
        </is>
      </c>
      <c r="B76" t="inlineStr">
        <is>
          <t>M1</t>
        </is>
      </c>
      <c r="C76" t="inlineStr">
        <is>
          <t>Cali</t>
        </is>
      </c>
      <c r="D76" t="inlineStr">
        <is>
          <t>134</t>
        </is>
      </c>
      <c r="E76" t="inlineStr">
        <is>
          <t>TDV</t>
        </is>
      </c>
      <c r="F76" s="23" t="n">
        <v>46271</v>
      </c>
      <c r="G76" t="inlineStr">
        <is>
          <t>provision</t>
        </is>
      </c>
      <c r="H76" s="26" t="n">
        <v>321914892</v>
      </c>
      <c r="I76" t="inlineStr">
        <is>
          <t>bajo</t>
        </is>
      </c>
      <c r="J76" t="inlineStr">
        <is>
          <t>RN-11 y RN-34: provision hasta el cupo operativo antes de bajar del 8 %</t>
        </is>
      </c>
      <c r="K76" t="inlineStr">
        <is>
          <t>Provision en la manana, antes del pagado: con el pronostico, sin provision el saldo bajaria del 8 % del cupo ese dia. Lleva el saldo de 83.085.108 a 405.000.000 COP (cupo 405.000.000). Equipo administrado por TDV.</t>
        </is>
      </c>
      <c r="L76" s="26" t="n">
        <v>405000000</v>
      </c>
      <c r="M76" s="26" t="n">
        <v>83085108</v>
      </c>
      <c r="N76" s="27">
        <f>IF(ISNUMBER(M76),M76/L76,"No aplica")</f>
        <v>0.20514841481481483</v>
      </c>
      <c r="O76" s="25">
        <f>IF(G76="provision",M76+H76,IF(G76="recoleccion",M76-H76,"No aplica"))</f>
        <v>405000000</v>
      </c>
      <c r="P76" s="26" t="n">
        <v>143322</v>
      </c>
    </row>
    <row r="77">
      <c r="A77" t="inlineStr">
        <is>
          <t>PRAGMA</t>
        </is>
      </c>
      <c r="B77" t="inlineStr">
        <is>
          <t>M1</t>
        </is>
      </c>
      <c r="C77" t="inlineStr">
        <is>
          <t>Cali</t>
        </is>
      </c>
      <c r="D77" t="inlineStr">
        <is>
          <t>134</t>
        </is>
      </c>
      <c r="E77" t="inlineStr">
        <is>
          <t>TDV</t>
        </is>
      </c>
      <c r="F77" s="23" t="n">
        <v>46274</v>
      </c>
      <c r="G77" t="inlineStr">
        <is>
          <t>provision</t>
        </is>
      </c>
      <c r="H77" s="26" t="n">
        <v>341985146</v>
      </c>
      <c r="I77" t="inlineStr">
        <is>
          <t>bajo</t>
        </is>
      </c>
      <c r="J77" t="inlineStr">
        <is>
          <t>RN-11 y RN-34: provision hasta el cupo operativo antes de bajar del 8 %</t>
        </is>
      </c>
      <c r="K77" t="inlineStr">
        <is>
          <t>Provision en la manana, antes del pagado: con el pronostico, sin provision el saldo bajaria del 8 % del cupo ese dia. Lleva el saldo de 63.014.854 a 405.000.000 COP (cupo 405.000.000). Equipo administrado por TDV.</t>
        </is>
      </c>
      <c r="L77" s="26" t="n">
        <v>405000000</v>
      </c>
      <c r="M77" s="26" t="n">
        <v>63014854</v>
      </c>
      <c r="N77" s="27">
        <f>IF(ISNUMBER(M77),M77/L77,"No aplica")</f>
        <v>0.15559223209876544</v>
      </c>
      <c r="O77" s="25">
        <f>IF(G77="provision",M77+H77,IF(G77="recoleccion",M77-H77,"No aplica"))</f>
        <v>405000000</v>
      </c>
      <c r="P77" s="26" t="n">
        <v>111315</v>
      </c>
    </row>
    <row r="78">
      <c r="A78" t="inlineStr">
        <is>
          <t>PRAGMA</t>
        </is>
      </c>
      <c r="B78" t="inlineStr">
        <is>
          <t>M1</t>
        </is>
      </c>
      <c r="C78" t="inlineStr">
        <is>
          <t>Cali</t>
        </is>
      </c>
      <c r="D78" t="inlineStr">
        <is>
          <t>134</t>
        </is>
      </c>
      <c r="E78" t="inlineStr">
        <is>
          <t>TDV</t>
        </is>
      </c>
      <c r="F78" s="23" t="n">
        <v>46277</v>
      </c>
      <c r="G78" t="inlineStr">
        <is>
          <t>provision</t>
        </is>
      </c>
      <c r="H78" s="26" t="n">
        <v>329043437</v>
      </c>
      <c r="I78" t="inlineStr">
        <is>
          <t>bajo</t>
        </is>
      </c>
      <c r="J78" t="inlineStr">
        <is>
          <t>RN-11 y RN-34: provision hasta el cupo operativo antes de bajar del 8 %</t>
        </is>
      </c>
      <c r="K78" t="inlineStr">
        <is>
          <t>Provision en la manana, antes del pagado: con el pronostico, sin provision el saldo bajaria del 8 % del cupo ese dia. Lleva el saldo de 75.956.563 a 405.000.000 COP (cupo 405.000.000). Equipo administrado por TDV.</t>
        </is>
      </c>
      <c r="L78" s="26" t="n">
        <v>405000000</v>
      </c>
      <c r="M78" s="26" t="n">
        <v>75956563</v>
      </c>
      <c r="N78" s="27">
        <f>IF(ISNUMBER(M78),M78/L78,"No aplica")</f>
        <v>0.18754706913580246</v>
      </c>
      <c r="O78" s="25">
        <f>IF(G78="provision",M78+H78,IF(G78="recoleccion",M78-H78,"No aplica"))</f>
        <v>405000000</v>
      </c>
      <c r="P78" s="26" t="n">
        <v>107691</v>
      </c>
    </row>
    <row r="79">
      <c r="A79" t="inlineStr">
        <is>
          <t>PRAGMA</t>
        </is>
      </c>
      <c r="B79" t="inlineStr">
        <is>
          <t>M1</t>
        </is>
      </c>
      <c r="C79" t="inlineStr">
        <is>
          <t>Cali</t>
        </is>
      </c>
      <c r="D79" t="inlineStr">
        <is>
          <t>134</t>
        </is>
      </c>
      <c r="E79" t="inlineStr">
        <is>
          <t>TDV</t>
        </is>
      </c>
      <c r="F79" s="23" t="n">
        <v>46280</v>
      </c>
      <c r="G79" t="inlineStr">
        <is>
          <t>provision</t>
        </is>
      </c>
      <c r="H79" s="26" t="n">
        <v>317359347</v>
      </c>
      <c r="I79" t="inlineStr">
        <is>
          <t>bajo</t>
        </is>
      </c>
      <c r="J79" t="inlineStr">
        <is>
          <t>RN-11 y RN-34: provision hasta el cupo operativo antes de bajar del 8 %</t>
        </is>
      </c>
      <c r="K79" t="inlineStr">
        <is>
          <t>Provision en la manana, antes del pagado: con el pronostico, sin provision el saldo bajaria del 8 % del cupo ese dia. Lleva el saldo de 87.640.653 a 405.000.000 COP (cupo 405.000.000). Equipo administrado por TDV.</t>
        </is>
      </c>
      <c r="L79" s="26" t="n">
        <v>405000000</v>
      </c>
      <c r="M79" s="26" t="n">
        <v>87640653</v>
      </c>
      <c r="N79" s="27">
        <f>IF(ISNUMBER(M79),M79/L79,"No aplica")</f>
        <v>0.21639667407407406</v>
      </c>
      <c r="O79" s="25">
        <f>IF(G79="provision",M79+H79,IF(G79="recoleccion",M79-H79,"No aplica"))</f>
        <v>405000000</v>
      </c>
      <c r="P79" s="26" t="n">
        <v>104420</v>
      </c>
    </row>
    <row r="80">
      <c r="A80" t="inlineStr">
        <is>
          <t>PRAGMA</t>
        </is>
      </c>
      <c r="B80" t="inlineStr">
        <is>
          <t>M1</t>
        </is>
      </c>
      <c r="C80" t="inlineStr">
        <is>
          <t>Cali</t>
        </is>
      </c>
      <c r="D80" t="inlineStr">
        <is>
          <t>1388</t>
        </is>
      </c>
      <c r="E80" t="inlineStr">
        <is>
          <t>TDV</t>
        </is>
      </c>
      <c r="F80" s="23" t="n">
        <v>46274</v>
      </c>
      <c r="G80" t="inlineStr">
        <is>
          <t>provision</t>
        </is>
      </c>
      <c r="H80" s="26" t="n">
        <v>443940337</v>
      </c>
      <c r="I80" t="inlineStr">
        <is>
          <t>bajo</t>
        </is>
      </c>
      <c r="J80" t="inlineStr">
        <is>
          <t>RN-11 y RN-34: provision hasta el cupo operativo antes de bajar del 8 %</t>
        </is>
      </c>
      <c r="K80" t="inlineStr">
        <is>
          <t>Provision en la manana, antes del pagado: con el pronostico, sin provision el saldo bajaria del 8 % del cupo ese dia. Lleva el saldo de 56.059.663 a 500.000.000 COP (cupo 500.000.000). Equipo administrado por TDV.</t>
        </is>
      </c>
      <c r="L80" s="26" t="n">
        <v>500000000</v>
      </c>
      <c r="M80" s="26" t="n">
        <v>56059663</v>
      </c>
      <c r="N80" s="27">
        <f>IF(ISNUMBER(M80),M80/L80,"No aplica")</f>
        <v>0.112119326</v>
      </c>
      <c r="O80" s="25">
        <f>IF(G80="provision",M80+H80,IF(G80="recoleccion",M80-H80,"No aplica"))</f>
        <v>500000000</v>
      </c>
      <c r="P80" s="26" t="n">
        <v>219608</v>
      </c>
    </row>
    <row r="81">
      <c r="A81" t="inlineStr">
        <is>
          <t>PRAGMA</t>
        </is>
      </c>
      <c r="B81" t="inlineStr">
        <is>
          <t>M1</t>
        </is>
      </c>
      <c r="C81" t="inlineStr">
        <is>
          <t>Cali</t>
        </is>
      </c>
      <c r="D81" t="inlineStr">
        <is>
          <t>1389</t>
        </is>
      </c>
      <c r="E81" t="inlineStr">
        <is>
          <t>TDV</t>
        </is>
      </c>
      <c r="F81" s="23" t="n">
        <v>46275</v>
      </c>
      <c r="G81" t="inlineStr">
        <is>
          <t>provision</t>
        </is>
      </c>
      <c r="H81" s="26" t="n">
        <v>441579999</v>
      </c>
      <c r="I81" t="inlineStr">
        <is>
          <t>bajo</t>
        </is>
      </c>
      <c r="J81" t="inlineStr">
        <is>
          <t>RN-11 y RN-34: provision hasta el cupo operativo antes de bajar del 8 %</t>
        </is>
      </c>
      <c r="K81" t="inlineStr">
        <is>
          <t>Provision en la manana, antes del pagado: con el pronostico, sin provision el saldo bajaria del 8 % del cupo ese dia. Lleva el saldo de 58.420.001 a 500.000.000 COP (cupo 500.000.000). Equipo administrado por TDV.</t>
        </is>
      </c>
      <c r="L81" s="26" t="n">
        <v>500000000</v>
      </c>
      <c r="M81" s="26" t="n">
        <v>58420001</v>
      </c>
      <c r="N81" s="27">
        <f>IF(ISNUMBER(M81),M81/L81,"No aplica")</f>
        <v>0.116840002</v>
      </c>
      <c r="O81" s="25">
        <f>IF(G81="provision",M81+H81,IF(G81="recoleccion",M81-H81,"No aplica"))</f>
        <v>500000000</v>
      </c>
      <c r="P81" s="26" t="n">
        <v>218541</v>
      </c>
    </row>
    <row r="82">
      <c r="A82" t="inlineStr">
        <is>
          <t>PRAGMA</t>
        </is>
      </c>
      <c r="B82" t="inlineStr">
        <is>
          <t>M1</t>
        </is>
      </c>
      <c r="C82" t="inlineStr">
        <is>
          <t>Cali</t>
        </is>
      </c>
      <c r="D82" t="inlineStr">
        <is>
          <t>1390</t>
        </is>
      </c>
      <c r="E82" t="inlineStr">
        <is>
          <t>TDV</t>
        </is>
      </c>
      <c r="F82" s="23" t="n">
        <v>46266</v>
      </c>
      <c r="G82" t="inlineStr">
        <is>
          <t>sin_accion</t>
        </is>
      </c>
      <c r="H82" s="26" t="n">
        <v>0</v>
      </c>
      <c r="I82" t="inlineStr">
        <is>
          <t>bajo</t>
        </is>
      </c>
      <c r="J82" t="inlineStr">
        <is>
          <t>RN-02: una fila sin_accion</t>
        </is>
      </c>
      <c r="K82" t="inlineStr">
        <is>
          <t>Sin accion en el horizonte: con el pronostico, el saldo se mantiene entre el umbral de agotamiento y el cupo sin necesidad de provision ni recoleccion.</t>
        </is>
      </c>
      <c r="L82" s="26" t="n">
        <v>500000000</v>
      </c>
      <c r="M82" s="26" t="inlineStr">
        <is>
          <t>No aplica</t>
        </is>
      </c>
      <c r="N82" s="27" t="str">
        <f>IF(ISNUMBER(M82),M82/L82,"No aplica")</f>
        <v>No aplica</v>
      </c>
      <c r="O82" s="25" t="str">
        <f>IF(G82="provision",M82+H82,IF(G82="recoleccion",M82-H82,"No aplica"))</f>
        <v>No aplica</v>
      </c>
      <c r="P82" s="26" t="inlineStr">
        <is>
          <t>No aplica</t>
        </is>
      </c>
    </row>
    <row r="83">
      <c r="A83" t="inlineStr">
        <is>
          <t>PRAGMA</t>
        </is>
      </c>
      <c r="B83" t="inlineStr">
        <is>
          <t>M1</t>
        </is>
      </c>
      <c r="C83" t="inlineStr">
        <is>
          <t>Cali</t>
        </is>
      </c>
      <c r="D83" t="inlineStr">
        <is>
          <t>1391</t>
        </is>
      </c>
      <c r="E83" t="inlineStr">
        <is>
          <t>TDV</t>
        </is>
      </c>
      <c r="F83" s="23" t="n">
        <v>46276</v>
      </c>
      <c r="G83" t="inlineStr">
        <is>
          <t>provision</t>
        </is>
      </c>
      <c r="H83" s="26" t="n">
        <v>454090763</v>
      </c>
      <c r="I83" t="inlineStr">
        <is>
          <t>bajo</t>
        </is>
      </c>
      <c r="J83" t="inlineStr">
        <is>
          <t>RN-11 y RN-34: provision hasta el cupo operativo antes de bajar del 8 %</t>
        </is>
      </c>
      <c r="K83" t="inlineStr">
        <is>
          <t>Provision en la manana, antes del pagado: con el pronostico, sin provision el saldo bajaria del 8 % del cupo ese dia. Lleva el saldo de 45.909.237 a 500.000.000 COP (cupo 500.000.000). Equipo administrado por TDV.</t>
        </is>
      </c>
      <c r="L83" s="26" t="n">
        <v>500000000</v>
      </c>
      <c r="M83" s="26" t="n">
        <v>45909237</v>
      </c>
      <c r="N83" s="27">
        <f>IF(ISNUMBER(M83),M83/L83,"No aplica")</f>
        <v>0.091818474</v>
      </c>
      <c r="O83" s="25">
        <f>IF(G83="provision",M83+H83,IF(G83="recoleccion",M83-H83,"No aplica"))</f>
        <v>500000000</v>
      </c>
      <c r="P83" s="26" t="n">
        <v>224196</v>
      </c>
    </row>
    <row r="84">
      <c r="A84" t="inlineStr">
        <is>
          <t>PRAGMA</t>
        </is>
      </c>
      <c r="B84" t="inlineStr">
        <is>
          <t>M1</t>
        </is>
      </c>
      <c r="C84" t="inlineStr">
        <is>
          <t>Cali</t>
        </is>
      </c>
      <c r="D84" t="inlineStr">
        <is>
          <t>1392</t>
        </is>
      </c>
      <c r="E84" t="inlineStr">
        <is>
          <t>TDV</t>
        </is>
      </c>
      <c r="F84" s="23" t="n">
        <v>46276</v>
      </c>
      <c r="G84" t="inlineStr">
        <is>
          <t>provision</t>
        </is>
      </c>
      <c r="H84" s="26" t="n">
        <v>428390257</v>
      </c>
      <c r="I84" t="inlineStr">
        <is>
          <t>bajo</t>
        </is>
      </c>
      <c r="J84" t="inlineStr">
        <is>
          <t>RN-11 y RN-34: provision hasta el cupo operativo antes de bajar del 8 %</t>
        </is>
      </c>
      <c r="K84" t="inlineStr">
        <is>
          <t>Provision en la manana, antes del pagado: con el pronostico, sin provision el saldo bajaria del 8 % del cupo ese dia. Lleva el saldo de 71.609.743 a 500.000.000 COP (cupo 500.000.000). Equipo administrado por TDV.</t>
        </is>
      </c>
      <c r="L84" s="26" t="n">
        <v>500000000</v>
      </c>
      <c r="M84" s="26" t="n">
        <v>71609743</v>
      </c>
      <c r="N84" s="27">
        <f>IF(ISNUMBER(M84),M84/L84,"No aplica")</f>
        <v>0.143219486</v>
      </c>
      <c r="O84" s="25">
        <f>IF(G84="provision",M84+H84,IF(G84="recoleccion",M84-H84,"No aplica"))</f>
        <v>500000000</v>
      </c>
      <c r="P84" s="26" t="n">
        <v>212579</v>
      </c>
    </row>
    <row r="85">
      <c r="A85" t="inlineStr">
        <is>
          <t>PRAGMA</t>
        </is>
      </c>
      <c r="B85" t="inlineStr">
        <is>
          <t>M1</t>
        </is>
      </c>
      <c r="C85" t="inlineStr">
        <is>
          <t>Cali</t>
        </is>
      </c>
      <c r="D85" t="inlineStr">
        <is>
          <t>1393</t>
        </is>
      </c>
      <c r="E85" t="inlineStr">
        <is>
          <t>TDV</t>
        </is>
      </c>
      <c r="F85" s="23" t="n">
        <v>46275</v>
      </c>
      <c r="G85" t="inlineStr">
        <is>
          <t>provision</t>
        </is>
      </c>
      <c r="H85" s="26" t="n">
        <v>448538856</v>
      </c>
      <c r="I85" t="inlineStr">
        <is>
          <t>bajo</t>
        </is>
      </c>
      <c r="J85" t="inlineStr">
        <is>
          <t>RN-11 y RN-34: provision hasta el cupo operativo antes de bajar del 8 %</t>
        </is>
      </c>
      <c r="K85" t="inlineStr">
        <is>
          <t>Provision en la manana, antes del pagado: con el pronostico, sin provision el saldo bajaria del 8 % del cupo ese dia. Lleva el saldo de 51.461.144 a 500.000.000 COP (cupo 500.000.000). Equipo administrado por TDV.</t>
        </is>
      </c>
      <c r="L85" s="26" t="n">
        <v>500000000</v>
      </c>
      <c r="M85" s="26" t="n">
        <v>51461144</v>
      </c>
      <c r="N85" s="27">
        <f>IF(ISNUMBER(M85),M85/L85,"No aplica")</f>
        <v>0.102922288</v>
      </c>
      <c r="O85" s="25">
        <f>IF(G85="provision",M85+H85,IF(G85="recoleccion",M85-H85,"No aplica"))</f>
        <v>500000000</v>
      </c>
      <c r="P85" s="26" t="n">
        <v>221687</v>
      </c>
    </row>
    <row r="86">
      <c r="A86" t="inlineStr">
        <is>
          <t>PRAGMA</t>
        </is>
      </c>
      <c r="B86" t="inlineStr">
        <is>
          <t>M1</t>
        </is>
      </c>
      <c r="C86" t="inlineStr">
        <is>
          <t>Cali</t>
        </is>
      </c>
      <c r="D86" t="inlineStr">
        <is>
          <t>1398</t>
        </is>
      </c>
      <c r="E86" t="inlineStr">
        <is>
          <t>TDV</t>
        </is>
      </c>
      <c r="F86" s="23" t="n">
        <v>46268</v>
      </c>
      <c r="G86" t="inlineStr">
        <is>
          <t>provision</t>
        </is>
      </c>
      <c r="H86" s="26" t="n">
        <v>277718412</v>
      </c>
      <c r="I86" t="inlineStr">
        <is>
          <t>bajo</t>
        </is>
      </c>
      <c r="J86" t="inlineStr">
        <is>
          <t>RN-11 y RN-34: provision hasta el cupo operativo antes de bajar del 8 %</t>
        </is>
      </c>
      <c r="K86" t="inlineStr">
        <is>
          <t>Provision en la manana, antes del pagado: con el pronostico, sin provision el saldo bajaria del 8 % del cupo ese dia. Lleva el saldo de 133.281.588 a 411.000.000 COP (cupo 411.000.000). Equipo administrado por TDV.</t>
        </is>
      </c>
      <c r="L86" s="26" t="n">
        <v>411000000</v>
      </c>
      <c r="M86" s="26" t="n">
        <v>133281588</v>
      </c>
      <c r="N86" s="27">
        <f>IF(ISNUMBER(M86),M86/L86,"No aplica")</f>
        <v>0.32428610218978104</v>
      </c>
      <c r="O86" s="25">
        <f>IF(G86="provision",M86+H86,IF(G86="recoleccion",M86-H86,"No aplica"))</f>
        <v>411000000</v>
      </c>
      <c r="P86" s="26" t="n">
        <v>97903</v>
      </c>
    </row>
    <row r="87">
      <c r="A87" t="inlineStr">
        <is>
          <t>PRAGMA</t>
        </is>
      </c>
      <c r="B87" t="inlineStr">
        <is>
          <t>M1</t>
        </is>
      </c>
      <c r="C87" t="inlineStr">
        <is>
          <t>Cali</t>
        </is>
      </c>
      <c r="D87" t="inlineStr">
        <is>
          <t>1398</t>
        </is>
      </c>
      <c r="E87" t="inlineStr">
        <is>
          <t>TDV</t>
        </is>
      </c>
      <c r="F87" s="23" t="n">
        <v>46271</v>
      </c>
      <c r="G87" t="inlineStr">
        <is>
          <t>provision</t>
        </is>
      </c>
      <c r="H87" s="26" t="n">
        <v>338062746</v>
      </c>
      <c r="I87" t="inlineStr">
        <is>
          <t>bajo</t>
        </is>
      </c>
      <c r="J87" t="inlineStr">
        <is>
          <t>RN-11 y RN-34: provision hasta el cupo operativo antes de bajar del 8 %</t>
        </is>
      </c>
      <c r="K87" t="inlineStr">
        <is>
          <t>Provision en la manana, antes del pagado: con el pronostico, sin provision el saldo bajaria del 8 % del cupo ese dia. Lleva el saldo de 72.937.254 a 411.000.000 COP (cupo 411.000.000). Equipo administrado por TDV.</t>
        </is>
      </c>
      <c r="L87" s="26" t="n">
        <v>411000000</v>
      </c>
      <c r="M87" s="26" t="n">
        <v>72937254</v>
      </c>
      <c r="N87" s="27">
        <f>IF(ISNUMBER(M87),M87/L87,"No aplica")</f>
        <v>0.17746290510948906</v>
      </c>
      <c r="O87" s="25">
        <f>IF(G87="provision",M87+H87,IF(G87="recoleccion",M87-H87,"No aplica"))</f>
        <v>411000000</v>
      </c>
      <c r="P87" s="26" t="n">
        <v>157326</v>
      </c>
    </row>
    <row r="88">
      <c r="A88" t="inlineStr">
        <is>
          <t>PRAGMA</t>
        </is>
      </c>
      <c r="B88" t="inlineStr">
        <is>
          <t>M1</t>
        </is>
      </c>
      <c r="C88" t="inlineStr">
        <is>
          <t>Cali</t>
        </is>
      </c>
      <c r="D88" t="inlineStr">
        <is>
          <t>1398</t>
        </is>
      </c>
      <c r="E88" t="inlineStr">
        <is>
          <t>TDV</t>
        </is>
      </c>
      <c r="F88" s="23" t="n">
        <v>46275</v>
      </c>
      <c r="G88" t="inlineStr">
        <is>
          <t>provision</t>
        </is>
      </c>
      <c r="H88" s="26" t="n">
        <v>315887729</v>
      </c>
      <c r="I88" t="inlineStr">
        <is>
          <t>bajo</t>
        </is>
      </c>
      <c r="J88" t="inlineStr">
        <is>
          <t>RN-11 y RN-34: provision hasta el cupo operativo antes de bajar del 8 %</t>
        </is>
      </c>
      <c r="K88" t="inlineStr">
        <is>
          <t>Provision en la manana, antes del pagado: con el pronostico, sin provision el saldo bajaria del 8 % del cupo ese dia. Lleva el saldo de 95.112.271 a 411.000.000 COP (cupo 411.000.000). Equipo administrado por TDV.</t>
        </is>
      </c>
      <c r="L88" s="26" t="n">
        <v>411000000</v>
      </c>
      <c r="M88" s="26" t="n">
        <v>95112271</v>
      </c>
      <c r="N88" s="27">
        <f>IF(ISNUMBER(M88),M88/L88,"No aplica")</f>
        <v>0.23141671776155717</v>
      </c>
      <c r="O88" s="25">
        <f>IF(G88="provision",M88+H88,IF(G88="recoleccion",M88-H88,"No aplica"))</f>
        <v>411000000</v>
      </c>
      <c r="P88" s="26" t="n">
        <v>109125</v>
      </c>
    </row>
    <row r="89">
      <c r="A89" t="inlineStr">
        <is>
          <t>PRAGMA</t>
        </is>
      </c>
      <c r="B89" t="inlineStr">
        <is>
          <t>M1</t>
        </is>
      </c>
      <c r="C89" t="inlineStr">
        <is>
          <t>Cali</t>
        </is>
      </c>
      <c r="D89" t="inlineStr">
        <is>
          <t>1398</t>
        </is>
      </c>
      <c r="E89" t="inlineStr">
        <is>
          <t>TDV</t>
        </is>
      </c>
      <c r="F89" s="23" t="n">
        <v>46280</v>
      </c>
      <c r="G89" t="inlineStr">
        <is>
          <t>provision</t>
        </is>
      </c>
      <c r="H89" s="26" t="n">
        <v>366277408</v>
      </c>
      <c r="I89" t="inlineStr">
        <is>
          <t>bajo</t>
        </is>
      </c>
      <c r="J89" t="inlineStr">
        <is>
          <t>RN-11 y RN-34: provision hasta el cupo operativo antes de bajar del 8 %</t>
        </is>
      </c>
      <c r="K89" t="inlineStr">
        <is>
          <t>Provision en la manana, antes del pagado: con el pronostico, sin provision el saldo bajaria del 8 % del cupo ese dia. Lleva el saldo de 44.722.592 a 411.000.000 COP (cupo 411.000.000). Equipo administrado por TDV.</t>
        </is>
      </c>
      <c r="L89" s="26" t="n">
        <v>411000000</v>
      </c>
      <c r="M89" s="26" t="n">
        <v>44722592</v>
      </c>
      <c r="N89" s="27">
        <f>IF(ISNUMBER(M89),M89/L89,"No aplica")</f>
        <v>0.10881409245742092</v>
      </c>
      <c r="O89" s="25">
        <f>IF(G89="provision",M89+H89,IF(G89="recoleccion",M89-H89,"No aplica"))</f>
        <v>411000000</v>
      </c>
      <c r="P89" s="26" t="n">
        <v>123940</v>
      </c>
    </row>
    <row r="90">
      <c r="A90" t="inlineStr">
        <is>
          <t>PRAGMA</t>
        </is>
      </c>
      <c r="B90" t="inlineStr">
        <is>
          <t>M1</t>
        </is>
      </c>
      <c r="C90" t="inlineStr">
        <is>
          <t>Cali</t>
        </is>
      </c>
      <c r="D90" t="inlineStr">
        <is>
          <t>1399</t>
        </is>
      </c>
      <c r="E90" t="inlineStr">
        <is>
          <t>TDV</t>
        </is>
      </c>
      <c r="F90" s="23" t="n">
        <v>46269</v>
      </c>
      <c r="G90" t="inlineStr">
        <is>
          <t>provision</t>
        </is>
      </c>
      <c r="H90" s="26" t="n">
        <v>348091244</v>
      </c>
      <c r="I90" t="inlineStr">
        <is>
          <t>bajo</t>
        </is>
      </c>
      <c r="J90" t="inlineStr">
        <is>
          <t>RN-11 y RN-34: provision hasta el cupo operativo antes de bajar del 8 %</t>
        </is>
      </c>
      <c r="K90" t="inlineStr">
        <is>
          <t>Provision en la manana, antes del pagado: con el pronostico, sin provision el saldo bajaria del 8 % del cupo ese dia. Lleva el saldo de 62.908.756 a 411.000.000 COP (cupo 411.000.000). Equipo administrado por TDV.</t>
        </is>
      </c>
      <c r="L90" s="26" t="n">
        <v>411000000</v>
      </c>
      <c r="M90" s="26" t="n">
        <v>62908756</v>
      </c>
      <c r="N90" s="27">
        <f>IF(ISNUMBER(M90),M90/L90,"No aplica")</f>
        <v>0.15306266666666668</v>
      </c>
      <c r="O90" s="25">
        <f>IF(G90="provision",M90+H90,IF(G90="recoleccion",M90-H90,"No aplica"))</f>
        <v>411000000</v>
      </c>
      <c r="P90" s="26" t="n">
        <v>118593</v>
      </c>
    </row>
    <row r="91">
      <c r="A91" t="inlineStr">
        <is>
          <t>PRAGMA</t>
        </is>
      </c>
      <c r="B91" t="inlineStr">
        <is>
          <t>M1</t>
        </is>
      </c>
      <c r="C91" t="inlineStr">
        <is>
          <t>Cali</t>
        </is>
      </c>
      <c r="D91" t="inlineStr">
        <is>
          <t>1399</t>
        </is>
      </c>
      <c r="E91" t="inlineStr">
        <is>
          <t>TDV</t>
        </is>
      </c>
      <c r="F91" s="23" t="n">
        <v>46273</v>
      </c>
      <c r="G91" t="inlineStr">
        <is>
          <t>provision</t>
        </is>
      </c>
      <c r="H91" s="26" t="n">
        <v>341928675</v>
      </c>
      <c r="I91" t="inlineStr">
        <is>
          <t>bajo</t>
        </is>
      </c>
      <c r="J91" t="inlineStr">
        <is>
          <t>RN-11 y RN-34: provision hasta el cupo operativo antes de bajar del 8 %</t>
        </is>
      </c>
      <c r="K91" t="inlineStr">
        <is>
          <t>Provision en la manana, antes del pagado: con el pronostico, sin provision el saldo bajaria del 8 % del cupo ese dia. Lleva el saldo de 69.071.325 a 411.000.000 COP (cupo 411.000.000). Equipo administrado por TDV.</t>
        </is>
      </c>
      <c r="L91" s="26" t="n">
        <v>411000000</v>
      </c>
      <c r="M91" s="26" t="n">
        <v>69071325</v>
      </c>
      <c r="N91" s="27">
        <f>IF(ISNUMBER(M91),M91/L91,"No aplica")</f>
        <v>0.16805675182481752</v>
      </c>
      <c r="O91" s="25">
        <f>IF(G91="provision",M91+H91,IF(G91="recoleccion",M91-H91,"No aplica"))</f>
        <v>411000000</v>
      </c>
      <c r="P91" s="26" t="n">
        <v>116781</v>
      </c>
    </row>
    <row r="92">
      <c r="A92" t="inlineStr">
        <is>
          <t>PRAGMA</t>
        </is>
      </c>
      <c r="B92" t="inlineStr">
        <is>
          <t>M1</t>
        </is>
      </c>
      <c r="C92" t="inlineStr">
        <is>
          <t>Cali</t>
        </is>
      </c>
      <c r="D92" t="inlineStr">
        <is>
          <t>1399</t>
        </is>
      </c>
      <c r="E92" t="inlineStr">
        <is>
          <t>TDV</t>
        </is>
      </c>
      <c r="F92" s="23" t="n">
        <v>46279</v>
      </c>
      <c r="G92" t="inlineStr">
        <is>
          <t>provision</t>
        </is>
      </c>
      <c r="H92" s="26" t="n">
        <v>376649281</v>
      </c>
      <c r="I92" t="inlineStr">
        <is>
          <t>bajo</t>
        </is>
      </c>
      <c r="J92" t="inlineStr">
        <is>
          <t>RN-11 y RN-34: provision hasta el cupo operativo antes de bajar del 8 %</t>
        </is>
      </c>
      <c r="K92" t="inlineStr">
        <is>
          <t>Provision en la manana, antes del pagado: con el pronostico, sin provision el saldo bajaria del 8 % del cupo ese dia. Lleva el saldo de 34.350.719 a 411.000.000 COP (cupo 411.000.000). Equipo administrado por TDV.</t>
        </is>
      </c>
      <c r="L92" s="26" t="n">
        <v>411000000</v>
      </c>
      <c r="M92" s="26" t="n">
        <v>34350719</v>
      </c>
      <c r="N92" s="27">
        <f>IF(ISNUMBER(M92),M92/L92,"No aplica")</f>
        <v>0.08357839172749391</v>
      </c>
      <c r="O92" s="25">
        <f>IF(G92="provision",M92+H92,IF(G92="recoleccion",M92-H92,"No aplica"))</f>
        <v>411000000</v>
      </c>
      <c r="P92" s="26" t="n">
        <v>126989</v>
      </c>
    </row>
    <row r="93">
      <c r="A93" t="inlineStr">
        <is>
          <t>PRAGMA</t>
        </is>
      </c>
      <c r="B93" t="inlineStr">
        <is>
          <t>M1</t>
        </is>
      </c>
      <c r="C93" t="inlineStr">
        <is>
          <t>Cali</t>
        </is>
      </c>
      <c r="D93" t="inlineStr">
        <is>
          <t>1400</t>
        </is>
      </c>
      <c r="E93" t="inlineStr">
        <is>
          <t>TDV</t>
        </is>
      </c>
      <c r="F93" s="23" t="n">
        <v>46274</v>
      </c>
      <c r="G93" t="inlineStr">
        <is>
          <t>provision</t>
        </is>
      </c>
      <c r="H93" s="26" t="n">
        <v>370496821</v>
      </c>
      <c r="I93" t="inlineStr">
        <is>
          <t>bajo</t>
        </is>
      </c>
      <c r="J93" t="inlineStr">
        <is>
          <t>RN-11 y RN-34: provision hasta el cupo operativo antes de bajar del 8 %</t>
        </is>
      </c>
      <c r="K93" t="inlineStr">
        <is>
          <t>Provision en la manana, antes del pagado: con el pronostico, sin provision el saldo bajaria del 8 % del cupo ese dia. Lleva el saldo de 40.503.179 a 411.000.000 COP (cupo 411.000.000). Equipo administrado por TDV.</t>
        </is>
      </c>
      <c r="L93" s="26" t="n">
        <v>411000000</v>
      </c>
      <c r="M93" s="26" t="n">
        <v>40503179</v>
      </c>
      <c r="N93" s="27">
        <f>IF(ISNUMBER(M93),M93/L93,"No aplica")</f>
        <v>0.09854788077858881</v>
      </c>
      <c r="O93" s="25">
        <f>IF(G93="provision",M93+H93,IF(G93="recoleccion",M93-H93,"No aplica"))</f>
        <v>411000000</v>
      </c>
      <c r="P93" s="26" t="n">
        <v>125180</v>
      </c>
    </row>
    <row r="94">
      <c r="A94" t="inlineStr">
        <is>
          <t>PRAGMA</t>
        </is>
      </c>
      <c r="B94" t="inlineStr">
        <is>
          <t>M1</t>
        </is>
      </c>
      <c r="C94" t="inlineStr">
        <is>
          <t>Cali</t>
        </is>
      </c>
      <c r="D94" t="inlineStr">
        <is>
          <t>1476</t>
        </is>
      </c>
      <c r="E94" t="inlineStr">
        <is>
          <t>Sucursal</t>
        </is>
      </c>
      <c r="F94" s="23" t="n">
        <v>46274</v>
      </c>
      <c r="G94" t="inlineStr">
        <is>
          <t>provision</t>
        </is>
      </c>
      <c r="H94" s="26" t="n">
        <v>367281851</v>
      </c>
      <c r="I94" t="inlineStr">
        <is>
          <t>bajo</t>
        </is>
      </c>
      <c r="J94" t="inlineStr">
        <is>
          <t>RN-11 y RN-34: provision hasta el cupo operativo antes de bajar del 8 %</t>
        </is>
      </c>
      <c r="K94" t="inlineStr">
        <is>
          <t>Provision en la manana, antes del pagado: con el pronostico, sin provision el saldo bajaria del 8 % del cupo ese dia. Lleva el saldo de 43.718.149 a 411.000.000 COP (cupo 411.000.000). Equipo administrado por Sucursal. Sin tarifa TDV (administrado por la sucursal): costo 0 declarado.</t>
        </is>
      </c>
      <c r="L94" s="26" t="n">
        <v>411000000</v>
      </c>
      <c r="M94" s="26" t="n">
        <v>43718149</v>
      </c>
      <c r="N94" s="27">
        <f>IF(ISNUMBER(M94),M94/L94,"No aplica")</f>
        <v>0.10637019221411192</v>
      </c>
      <c r="O94" s="25">
        <f>IF(G94="provision",M94+H94,IF(G94="recoleccion",M94-H94,"No aplica"))</f>
        <v>411000000</v>
      </c>
      <c r="P94" s="26" t="n">
        <v>0</v>
      </c>
    </row>
    <row r="95">
      <c r="A95" t="inlineStr">
        <is>
          <t>PRAGMA</t>
        </is>
      </c>
      <c r="B95" t="inlineStr">
        <is>
          <t>M1</t>
        </is>
      </c>
      <c r="C95" t="inlineStr">
        <is>
          <t>Cali</t>
        </is>
      </c>
      <c r="D95" t="inlineStr">
        <is>
          <t>1477</t>
        </is>
      </c>
      <c r="E95" t="inlineStr">
        <is>
          <t>Sucursal</t>
        </is>
      </c>
      <c r="F95" s="23" t="n">
        <v>46271</v>
      </c>
      <c r="G95" t="inlineStr">
        <is>
          <t>provision</t>
        </is>
      </c>
      <c r="H95" s="26" t="n">
        <v>339834215</v>
      </c>
      <c r="I95" t="inlineStr">
        <is>
          <t>bajo</t>
        </is>
      </c>
      <c r="J95" t="inlineStr">
        <is>
          <t>RN-11 y RN-34: provision hasta el cupo operativo antes de bajar del 8 %</t>
        </is>
      </c>
      <c r="K95" t="inlineStr">
        <is>
          <t>Provision en la manana, antes del pagado: con el pronostico, sin provision el saldo bajaria del 8 % del cupo ese dia. Lleva el saldo de 71.165.785 a 411.000.000 COP (cupo 411.000.000). Equipo administrado por Sucursal. Sin tarifa TDV (administrado por la sucursal): costo 0 declarado.</t>
        </is>
      </c>
      <c r="L95" s="26" t="n">
        <v>411000000</v>
      </c>
      <c r="M95" s="26" t="n">
        <v>71165785</v>
      </c>
      <c r="N95" s="27">
        <f>IF(ISNUMBER(M95),M95/L95,"No aplica")</f>
        <v>0.17315276155717763</v>
      </c>
      <c r="O95" s="25">
        <f>IF(G95="provision",M95+H95,IF(G95="recoleccion",M95-H95,"No aplica"))</f>
        <v>411000000</v>
      </c>
      <c r="P95" s="26" t="n">
        <v>0</v>
      </c>
    </row>
    <row r="96">
      <c r="A96" t="inlineStr">
        <is>
          <t>PRAGMA</t>
        </is>
      </c>
      <c r="B96" t="inlineStr">
        <is>
          <t>M1</t>
        </is>
      </c>
      <c r="C96" t="inlineStr">
        <is>
          <t>Cali</t>
        </is>
      </c>
      <c r="D96" t="inlineStr">
        <is>
          <t>1477</t>
        </is>
      </c>
      <c r="E96" t="inlineStr">
        <is>
          <t>Sucursal</t>
        </is>
      </c>
      <c r="F96" s="23" t="n">
        <v>46279</v>
      </c>
      <c r="G96" t="inlineStr">
        <is>
          <t>provision</t>
        </is>
      </c>
      <c r="H96" s="26" t="n">
        <v>342301122</v>
      </c>
      <c r="I96" t="inlineStr">
        <is>
          <t>bajo</t>
        </is>
      </c>
      <c r="J96" t="inlineStr">
        <is>
          <t>RN-11 y RN-34: provision hasta el cupo operativo antes de bajar del 8 %</t>
        </is>
      </c>
      <c r="K96" t="inlineStr">
        <is>
          <t>Provision en la manana, antes del pagado: con el pronostico, sin provision el saldo bajaria del 8 % del cupo ese dia. Lleva el saldo de 68.698.878 a 411.000.000 COP (cupo 411.000.000). Equipo administrado por Sucursal. Sin tarifa TDV (administrado por la sucursal): costo 0 declarado.</t>
        </is>
      </c>
      <c r="L96" s="26" t="n">
        <v>411000000</v>
      </c>
      <c r="M96" s="26" t="n">
        <v>68698878</v>
      </c>
      <c r="N96" s="27">
        <f>IF(ISNUMBER(M96),M96/L96,"No aplica")</f>
        <v>0.16715055474452556</v>
      </c>
      <c r="O96" s="25">
        <f>IF(G96="provision",M96+H96,IF(G96="recoleccion",M96-H96,"No aplica"))</f>
        <v>411000000</v>
      </c>
      <c r="P96" s="26" t="n">
        <v>0</v>
      </c>
    </row>
    <row r="97">
      <c r="A97" t="inlineStr">
        <is>
          <t>PRAGMA</t>
        </is>
      </c>
      <c r="B97" t="inlineStr">
        <is>
          <t>M1</t>
        </is>
      </c>
      <c r="C97" t="inlineStr">
        <is>
          <t>Cali</t>
        </is>
      </c>
      <c r="D97" t="inlineStr">
        <is>
          <t>1479</t>
        </is>
      </c>
      <c r="E97" t="inlineStr">
        <is>
          <t>TDV</t>
        </is>
      </c>
      <c r="F97" s="23" t="n">
        <v>46278</v>
      </c>
      <c r="G97" t="inlineStr">
        <is>
          <t>provision</t>
        </is>
      </c>
      <c r="H97" s="26" t="n">
        <v>369520207</v>
      </c>
      <c r="I97" t="inlineStr">
        <is>
          <t>bajo</t>
        </is>
      </c>
      <c r="J97" t="inlineStr">
        <is>
          <t>RN-11 y RN-34: provision hasta el cupo operativo antes de bajar del 8 %</t>
        </is>
      </c>
      <c r="K97" t="inlineStr">
        <is>
          <t>Provision en la manana, antes del pagado: con el pronostico, sin provision el saldo bajaria del 8 % del cupo ese dia. Lleva el saldo de 41.479.793 a 411.000.000 COP (cupo 411.000.000). Equipo administrado por TDV.</t>
        </is>
      </c>
      <c r="L97" s="26" t="n">
        <v>411000000</v>
      </c>
      <c r="M97" s="26" t="n">
        <v>41479793</v>
      </c>
      <c r="N97" s="27">
        <f>IF(ISNUMBER(M97),M97/L97,"No aplica")</f>
        <v>0.10092407055961071</v>
      </c>
      <c r="O97" s="25">
        <f>IF(G97="provision",M97+H97,IF(G97="recoleccion",M97-H97,"No aplica"))</f>
        <v>411000000</v>
      </c>
      <c r="P97" s="26" t="n">
        <v>254626</v>
      </c>
    </row>
    <row r="98">
      <c r="A98" t="inlineStr">
        <is>
          <t>PRAGMA</t>
        </is>
      </c>
      <c r="B98" t="inlineStr">
        <is>
          <t>M1</t>
        </is>
      </c>
      <c r="C98" t="inlineStr">
        <is>
          <t>Cali</t>
        </is>
      </c>
      <c r="D98" t="inlineStr">
        <is>
          <t>1480</t>
        </is>
      </c>
      <c r="E98" t="inlineStr">
        <is>
          <t>TDV</t>
        </is>
      </c>
      <c r="F98" s="23" t="n">
        <v>46266</v>
      </c>
      <c r="G98" t="inlineStr">
        <is>
          <t>sin_accion</t>
        </is>
      </c>
      <c r="H98" s="26" t="n">
        <v>0</v>
      </c>
      <c r="I98" t="inlineStr">
        <is>
          <t>bajo</t>
        </is>
      </c>
      <c r="J98" t="inlineStr">
        <is>
          <t>RN-02: una fila sin_accion</t>
        </is>
      </c>
      <c r="K98" t="inlineStr">
        <is>
          <t>Sin accion en el horizonte: con el pronostico, el saldo se mantiene entre el umbral de agotamiento y el cupo sin necesidad de provision ni recoleccion.</t>
        </is>
      </c>
      <c r="L98" s="26" t="n">
        <v>411000000</v>
      </c>
      <c r="M98" s="26" t="inlineStr">
        <is>
          <t>No aplica</t>
        </is>
      </c>
      <c r="N98" s="27" t="str">
        <f>IF(ISNUMBER(M98),M98/L98,"No aplica")</f>
        <v>No aplica</v>
      </c>
      <c r="O98" s="25" t="str">
        <f>IF(G98="provision",M98+H98,IF(G98="recoleccion",M98-H98,"No aplica"))</f>
        <v>No aplica</v>
      </c>
      <c r="P98" s="26" t="inlineStr">
        <is>
          <t>No aplica</t>
        </is>
      </c>
    </row>
    <row r="99">
      <c r="A99" t="inlineStr">
        <is>
          <t>PRAGMA</t>
        </is>
      </c>
      <c r="B99" t="inlineStr">
        <is>
          <t>M1</t>
        </is>
      </c>
      <c r="C99" t="inlineStr">
        <is>
          <t>Cali</t>
        </is>
      </c>
      <c r="D99" t="inlineStr">
        <is>
          <t>1499</t>
        </is>
      </c>
      <c r="E99" t="inlineStr">
        <is>
          <t>TDV</t>
        </is>
      </c>
      <c r="F99" s="23" t="n">
        <v>46270</v>
      </c>
      <c r="G99" t="inlineStr">
        <is>
          <t>provision</t>
        </is>
      </c>
      <c r="H99" s="26" t="n">
        <v>329672086</v>
      </c>
      <c r="I99" t="inlineStr">
        <is>
          <t>bajo</t>
        </is>
      </c>
      <c r="J99" t="inlineStr">
        <is>
          <t>RN-11 y RN-34: provision hasta el cupo operativo antes de bajar del 8 %</t>
        </is>
      </c>
      <c r="K99" t="inlineStr">
        <is>
          <t>Provision en la manana, antes del pagado: con el pronostico, sin provision el saldo bajaria del 8 % del cupo ese dia. Lleva el saldo de 81.327.914 a 411.000.000 COP (cupo 411.000.000). Equipo administrado por TDV.</t>
        </is>
      </c>
      <c r="L99" s="26" t="n">
        <v>411000000</v>
      </c>
      <c r="M99" s="26" t="n">
        <v>81327914</v>
      </c>
      <c r="N99" s="27">
        <f>IF(ISNUMBER(M99),M99/L99,"No aplica")</f>
        <v>0.19787813625304138</v>
      </c>
      <c r="O99" s="25">
        <f>IF(G99="provision",M99+H99,IF(G99="recoleccion",M99-H99,"No aplica"))</f>
        <v>411000000</v>
      </c>
      <c r="P99" s="26" t="n">
        <v>125183</v>
      </c>
    </row>
    <row r="100">
      <c r="A100" t="inlineStr">
        <is>
          <t>PRAGMA</t>
        </is>
      </c>
      <c r="B100" t="inlineStr">
        <is>
          <t>M1</t>
        </is>
      </c>
      <c r="C100" t="inlineStr">
        <is>
          <t>Cali</t>
        </is>
      </c>
      <c r="D100" t="inlineStr">
        <is>
          <t>1499</t>
        </is>
      </c>
      <c r="E100" t="inlineStr">
        <is>
          <t>TDV</t>
        </is>
      </c>
      <c r="F100" s="23" t="n">
        <v>46279</v>
      </c>
      <c r="G100" t="inlineStr">
        <is>
          <t>provision</t>
        </is>
      </c>
      <c r="H100" s="26" t="n">
        <v>339937412</v>
      </c>
      <c r="I100" t="inlineStr">
        <is>
          <t>bajo</t>
        </is>
      </c>
      <c r="J100" t="inlineStr">
        <is>
          <t>RN-11 y RN-34: provision hasta el cupo operativo antes de bajar del 8 %</t>
        </is>
      </c>
      <c r="K100" t="inlineStr">
        <is>
          <t>Provision en la manana, antes del pagado: con el pronostico, sin provision el saldo bajaria del 8 % del cupo ese dia. Lleva el saldo de 71.062.588 a 411.000.000 COP (cupo 411.000.000). Equipo administrado por TDV.</t>
        </is>
      </c>
      <c r="L100" s="26" t="n">
        <v>411000000</v>
      </c>
      <c r="M100" s="26" t="n">
        <v>71062588</v>
      </c>
      <c r="N100" s="27">
        <f>IF(ISNUMBER(M100),M100/L100,"No aplica")</f>
        <v>0.17290167396593675</v>
      </c>
      <c r="O100" s="25">
        <f>IF(G100="provision",M100+H100,IF(G100="recoleccion",M100-H100,"No aplica"))</f>
        <v>411000000</v>
      </c>
      <c r="P100" s="26" t="n">
        <v>128530</v>
      </c>
    </row>
    <row r="101">
      <c r="A101" t="inlineStr">
        <is>
          <t>PRAGMA</t>
        </is>
      </c>
      <c r="B101" t="inlineStr">
        <is>
          <t>M1</t>
        </is>
      </c>
      <c r="C101" t="inlineStr">
        <is>
          <t>Cali</t>
        </is>
      </c>
      <c r="D101" t="inlineStr">
        <is>
          <t>1500</t>
        </is>
      </c>
      <c r="E101" t="inlineStr">
        <is>
          <t>TDV</t>
        </is>
      </c>
      <c r="F101" s="23" t="n">
        <v>46270</v>
      </c>
      <c r="G101" t="inlineStr">
        <is>
          <t>provision</t>
        </is>
      </c>
      <c r="H101" s="26" t="n">
        <v>323485955</v>
      </c>
      <c r="I101" t="inlineStr">
        <is>
          <t>bajo</t>
        </is>
      </c>
      <c r="J101" t="inlineStr">
        <is>
          <t>RN-11 y RN-34: provision hasta el cupo operativo antes de bajar del 8 %</t>
        </is>
      </c>
      <c r="K101" t="inlineStr">
        <is>
          <t>Provision en la manana, antes del pagado: con el pronostico, sin provision el saldo bajaria del 8 % del cupo ese dia. Lleva el saldo de 87.514.045 a 411.000.000 COP (cupo 411.000.000). Equipo administrado por TDV.</t>
        </is>
      </c>
      <c r="L101" s="26" t="n">
        <v>411000000</v>
      </c>
      <c r="M101" s="26" t="n">
        <v>87514045</v>
      </c>
      <c r="N101" s="27">
        <f>IF(ISNUMBER(M101),M101/L101,"No aplica")</f>
        <v>0.2129295498783455</v>
      </c>
      <c r="O101" s="25">
        <f>IF(G101="provision",M101+H101,IF(G101="recoleccion",M101-H101,"No aplica"))</f>
        <v>411000000</v>
      </c>
      <c r="P101" s="26" t="n">
        <v>123166</v>
      </c>
    </row>
    <row r="102">
      <c r="A102" t="inlineStr">
        <is>
          <t>PRAGMA</t>
        </is>
      </c>
      <c r="B102" t="inlineStr">
        <is>
          <t>M1</t>
        </is>
      </c>
      <c r="C102" t="inlineStr">
        <is>
          <t>Cali</t>
        </is>
      </c>
      <c r="D102" t="inlineStr">
        <is>
          <t>1500</t>
        </is>
      </c>
      <c r="E102" t="inlineStr">
        <is>
          <t>TDV</t>
        </is>
      </c>
      <c r="F102" s="23" t="n">
        <v>46277</v>
      </c>
      <c r="G102" t="inlineStr">
        <is>
          <t>provision</t>
        </is>
      </c>
      <c r="H102" s="26" t="n">
        <v>354249406</v>
      </c>
      <c r="I102" t="inlineStr">
        <is>
          <t>bajo</t>
        </is>
      </c>
      <c r="J102" t="inlineStr">
        <is>
          <t>RN-11 y RN-34: provision hasta el cupo operativo antes de bajar del 8 %</t>
        </is>
      </c>
      <c r="K102" t="inlineStr">
        <is>
          <t>Provision en la manana, antes del pagado: con el pronostico, sin provision el saldo bajaria del 8 % del cupo ese dia. Lleva el saldo de 56.750.594 a 411.000.000 COP (cupo 411.000.000). Equipo administrado por TDV.</t>
        </is>
      </c>
      <c r="L102" s="26" t="n">
        <v>411000000</v>
      </c>
      <c r="M102" s="26" t="n">
        <v>56750594</v>
      </c>
      <c r="N102" s="27">
        <f>IF(ISNUMBER(M102),M102/L102,"No aplica")</f>
        <v>0.13807930413625305</v>
      </c>
      <c r="O102" s="25">
        <f>IF(G102="provision",M102+H102,IF(G102="recoleccion",M102-H102,"No aplica"))</f>
        <v>411000000</v>
      </c>
      <c r="P102" s="26" t="n">
        <v>133195</v>
      </c>
    </row>
    <row r="103">
      <c r="A103" t="inlineStr">
        <is>
          <t>PRAGMA</t>
        </is>
      </c>
      <c r="B103" t="inlineStr">
        <is>
          <t>M1</t>
        </is>
      </c>
      <c r="C103" t="inlineStr">
        <is>
          <t>Cali</t>
        </is>
      </c>
      <c r="D103" t="inlineStr">
        <is>
          <t>1501</t>
        </is>
      </c>
      <c r="E103" t="inlineStr">
        <is>
          <t>TDV</t>
        </is>
      </c>
      <c r="F103" s="23" t="n">
        <v>46269</v>
      </c>
      <c r="G103" t="inlineStr">
        <is>
          <t>provision</t>
        </is>
      </c>
      <c r="H103" s="26" t="n">
        <v>337081951</v>
      </c>
      <c r="I103" t="inlineStr">
        <is>
          <t>bajo</t>
        </is>
      </c>
      <c r="J103" t="inlineStr">
        <is>
          <t>RN-11 y RN-34: provision hasta el cupo operativo antes de bajar del 8 %</t>
        </is>
      </c>
      <c r="K103" t="inlineStr">
        <is>
          <t>Provision en la manana, antes del pagado: con el pronostico, sin provision el saldo bajaria del 8 % del cupo ese dia. Lleva el saldo de 73.918.049 a 411.000.000 COP (cupo 411.000.000). Equipo administrado por TDV.</t>
        </is>
      </c>
      <c r="L103" s="26" t="n">
        <v>411000000</v>
      </c>
      <c r="M103" s="26" t="n">
        <v>73918049</v>
      </c>
      <c r="N103" s="27">
        <f>IF(ISNUMBER(M103),M103/L103,"No aplica")</f>
        <v>0.17984926763990267</v>
      </c>
      <c r="O103" s="25">
        <f>IF(G103="provision",M103+H103,IF(G103="recoleccion",M103-H103,"No aplica"))</f>
        <v>411000000</v>
      </c>
      <c r="P103" s="26" t="n">
        <v>127599</v>
      </c>
    </row>
    <row r="104">
      <c r="A104" t="inlineStr">
        <is>
          <t>PRAGMA</t>
        </is>
      </c>
      <c r="B104" t="inlineStr">
        <is>
          <t>M1</t>
        </is>
      </c>
      <c r="C104" t="inlineStr">
        <is>
          <t>Cali</t>
        </is>
      </c>
      <c r="D104" t="inlineStr">
        <is>
          <t>1501</t>
        </is>
      </c>
      <c r="E104" t="inlineStr">
        <is>
          <t>TDV</t>
        </is>
      </c>
      <c r="F104" s="23" t="n">
        <v>46273</v>
      </c>
      <c r="G104" t="inlineStr">
        <is>
          <t>provision</t>
        </is>
      </c>
      <c r="H104" s="26" t="n">
        <v>313381974</v>
      </c>
      <c r="I104" t="inlineStr">
        <is>
          <t>bajo</t>
        </is>
      </c>
      <c r="J104" t="inlineStr">
        <is>
          <t>RN-11 y RN-34: provision hasta el cupo operativo antes de bajar del 8 %</t>
        </is>
      </c>
      <c r="K104" t="inlineStr">
        <is>
          <t>Provision en la manana, antes del pagado: con el pronostico, sin provision el saldo bajaria del 8 % del cupo ese dia. Lleva el saldo de 97.618.026 a 411.000.000 COP (cupo 411.000.000). Equipo administrado por TDV.</t>
        </is>
      </c>
      <c r="L104" s="26" t="n">
        <v>411000000</v>
      </c>
      <c r="M104" s="26" t="n">
        <v>97618026</v>
      </c>
      <c r="N104" s="27">
        <f>IF(ISNUMBER(M104),M104/L104,"No aplica")</f>
        <v>0.23751344525547446</v>
      </c>
      <c r="O104" s="25">
        <f>IF(G104="provision",M104+H104,IF(G104="recoleccion",M104-H104,"No aplica"))</f>
        <v>411000000</v>
      </c>
      <c r="P104" s="26" t="n">
        <v>119873</v>
      </c>
    </row>
    <row r="105">
      <c r="A105" t="inlineStr">
        <is>
          <t>PRAGMA</t>
        </is>
      </c>
      <c r="B105" t="inlineStr">
        <is>
          <t>M1</t>
        </is>
      </c>
      <c r="C105" t="inlineStr">
        <is>
          <t>Cali</t>
        </is>
      </c>
      <c r="D105" t="inlineStr">
        <is>
          <t>1501</t>
        </is>
      </c>
      <c r="E105" t="inlineStr">
        <is>
          <t>TDV</t>
        </is>
      </c>
      <c r="F105" s="23" t="n">
        <v>46279</v>
      </c>
      <c r="G105" t="inlineStr">
        <is>
          <t>provision</t>
        </is>
      </c>
      <c r="H105" s="26" t="n">
        <v>374768285</v>
      </c>
      <c r="I105" t="inlineStr">
        <is>
          <t>bajo</t>
        </is>
      </c>
      <c r="J105" t="inlineStr">
        <is>
          <t>RN-11 y RN-34: provision hasta el cupo operativo antes de bajar del 8 %</t>
        </is>
      </c>
      <c r="K105" t="inlineStr">
        <is>
          <t>Provision en la manana, antes del pagado: con el pronostico, sin provision el saldo bajaria del 8 % del cupo ese dia. Lleva el saldo de 36.231.715 a 411.000.000 COP (cupo 411.000.000). Equipo administrado por TDV.</t>
        </is>
      </c>
      <c r="L105" s="26" t="n">
        <v>411000000</v>
      </c>
      <c r="M105" s="26" t="n">
        <v>36231715</v>
      </c>
      <c r="N105" s="27">
        <f>IF(ISNUMBER(M105),M105/L105,"No aplica")</f>
        <v>0.08815502433090025</v>
      </c>
      <c r="O105" s="25">
        <f>IF(G105="provision",M105+H105,IF(G105="recoleccion",M105-H105,"No aplica"))</f>
        <v>411000000</v>
      </c>
      <c r="P105" s="26" t="n">
        <v>139884</v>
      </c>
    </row>
    <row r="106">
      <c r="A106" t="inlineStr">
        <is>
          <t>PRAGMA</t>
        </is>
      </c>
      <c r="B106" t="inlineStr">
        <is>
          <t>M1</t>
        </is>
      </c>
      <c r="C106" t="inlineStr">
        <is>
          <t>Cali</t>
        </is>
      </c>
      <c r="D106" t="inlineStr">
        <is>
          <t>1502</t>
        </is>
      </c>
      <c r="E106" t="inlineStr">
        <is>
          <t>TDV</t>
        </is>
      </c>
      <c r="F106" s="23" t="n">
        <v>46269</v>
      </c>
      <c r="G106" t="inlineStr">
        <is>
          <t>provision</t>
        </is>
      </c>
      <c r="H106" s="26" t="n">
        <v>348352608</v>
      </c>
      <c r="I106" t="inlineStr">
        <is>
          <t>bajo</t>
        </is>
      </c>
      <c r="J106" t="inlineStr">
        <is>
          <t>RN-11 y RN-34: provision hasta el cupo operativo antes de bajar del 8 %</t>
        </is>
      </c>
      <c r="K106" t="inlineStr">
        <is>
          <t>Provision en la manana, antes del pagado: con el pronostico, sin provision el saldo bajaria del 8 % del cupo ese dia. Lleva el saldo de 62.647.392 a 411.000.000 COP (cupo 411.000.000). Equipo administrado por TDV.</t>
        </is>
      </c>
      <c r="L106" s="26" t="n">
        <v>411000000</v>
      </c>
      <c r="M106" s="26" t="n">
        <v>62647392</v>
      </c>
      <c r="N106" s="27">
        <f>IF(ISNUMBER(M106),M106/L106,"No aplica")</f>
        <v>0.15242674452554744</v>
      </c>
      <c r="O106" s="25">
        <f>IF(G106="provision",M106+H106,IF(G106="recoleccion",M106-H106,"No aplica"))</f>
        <v>411000000</v>
      </c>
      <c r="P106" s="26" t="n">
        <v>131273</v>
      </c>
    </row>
    <row r="107">
      <c r="A107" t="inlineStr">
        <is>
          <t>PRAGMA</t>
        </is>
      </c>
      <c r="B107" t="inlineStr">
        <is>
          <t>M1</t>
        </is>
      </c>
      <c r="C107" t="inlineStr">
        <is>
          <t>Cali</t>
        </is>
      </c>
      <c r="D107" t="inlineStr">
        <is>
          <t>1502</t>
        </is>
      </c>
      <c r="E107" t="inlineStr">
        <is>
          <t>TDV</t>
        </is>
      </c>
      <c r="F107" s="23" t="n">
        <v>46273</v>
      </c>
      <c r="G107" t="inlineStr">
        <is>
          <t>provision</t>
        </is>
      </c>
      <c r="H107" s="26" t="n">
        <v>355142139</v>
      </c>
      <c r="I107" t="inlineStr">
        <is>
          <t>bajo</t>
        </is>
      </c>
      <c r="J107" t="inlineStr">
        <is>
          <t>RN-11 y RN-34: provision hasta el cupo operativo antes de bajar del 8 %</t>
        </is>
      </c>
      <c r="K107" t="inlineStr">
        <is>
          <t>Provision en la manana, antes del pagado: con el pronostico, sin provision el saldo bajaria del 8 % del cupo ese dia. Lleva el saldo de 55.857.861 a 411.000.000 COP (cupo 411.000.000). Equipo administrado por TDV.</t>
        </is>
      </c>
      <c r="L107" s="26" t="n">
        <v>411000000</v>
      </c>
      <c r="M107" s="26" t="n">
        <v>55857861</v>
      </c>
      <c r="N107" s="27">
        <f>IF(ISNUMBER(M107),M107/L107,"No aplica")</f>
        <v>0.13590720437956205</v>
      </c>
      <c r="O107" s="25">
        <f>IF(G107="provision",M107+H107,IF(G107="recoleccion",M107-H107,"No aplica"))</f>
        <v>411000000</v>
      </c>
      <c r="P107" s="26" t="n">
        <v>133486</v>
      </c>
    </row>
    <row r="108">
      <c r="A108" t="inlineStr">
        <is>
          <t>PRAGMA</t>
        </is>
      </c>
      <c r="B108" t="inlineStr">
        <is>
          <t>M1</t>
        </is>
      </c>
      <c r="C108" t="inlineStr">
        <is>
          <t>Cali</t>
        </is>
      </c>
      <c r="D108" t="inlineStr">
        <is>
          <t>1502</t>
        </is>
      </c>
      <c r="E108" t="inlineStr">
        <is>
          <t>TDV</t>
        </is>
      </c>
      <c r="F108" s="23" t="n">
        <v>46278</v>
      </c>
      <c r="G108" t="inlineStr">
        <is>
          <t>provision</t>
        </is>
      </c>
      <c r="H108" s="26" t="n">
        <v>360252995</v>
      </c>
      <c r="I108" t="inlineStr">
        <is>
          <t>bajo</t>
        </is>
      </c>
      <c r="J108" t="inlineStr">
        <is>
          <t>RN-11 y RN-34: provision hasta el cupo operativo antes de bajar del 8 %</t>
        </is>
      </c>
      <c r="K108" t="inlineStr">
        <is>
          <t>Provision en la manana, antes del pagado: con el pronostico, sin provision el saldo bajaria del 8 % del cupo ese dia. Lleva el saldo de 50.747.005 a 411.000.000 COP (cupo 411.000.000). Equipo administrado por TDV.</t>
        </is>
      </c>
      <c r="L108" s="26" t="n">
        <v>411000000</v>
      </c>
      <c r="M108" s="26" t="n">
        <v>50747005</v>
      </c>
      <c r="N108" s="27">
        <f>IF(ISNUMBER(M108),M108/L108,"No aplica")</f>
        <v>0.12347203163017031</v>
      </c>
      <c r="O108" s="25">
        <f>IF(G108="provision",M108+H108,IF(G108="recoleccion",M108-H108,"No aplica"))</f>
        <v>411000000</v>
      </c>
      <c r="P108" s="26" t="n">
        <v>183135</v>
      </c>
    </row>
    <row r="109">
      <c r="A109" t="inlineStr">
        <is>
          <t>PRAGMA</t>
        </is>
      </c>
      <c r="B109" t="inlineStr">
        <is>
          <t>M1</t>
        </is>
      </c>
      <c r="C109" t="inlineStr">
        <is>
          <t>Cali</t>
        </is>
      </c>
      <c r="D109" t="inlineStr">
        <is>
          <t>1503</t>
        </is>
      </c>
      <c r="E109" t="inlineStr">
        <is>
          <t>TDV</t>
        </is>
      </c>
      <c r="F109" s="23" t="n">
        <v>46269</v>
      </c>
      <c r="G109" t="inlineStr">
        <is>
          <t>provision</t>
        </is>
      </c>
      <c r="H109" s="26" t="n">
        <v>371908052</v>
      </c>
      <c r="I109" t="inlineStr">
        <is>
          <t>bajo</t>
        </is>
      </c>
      <c r="J109" t="inlineStr">
        <is>
          <t>RN-11 y RN-34: provision hasta el cupo operativo antes de bajar del 8 %</t>
        </is>
      </c>
      <c r="K109" t="inlineStr">
        <is>
          <t>Provision en la manana, antes del pagado: con el pronostico, sin provision el saldo bajaria del 8 % del cupo ese dia. Lleva el saldo de 39.091.948 a 411.000.000 COP (cupo 411.000.000). Equipo administrado por TDV.</t>
        </is>
      </c>
      <c r="L109" s="26" t="n">
        <v>411000000</v>
      </c>
      <c r="M109" s="26" t="n">
        <v>39091948</v>
      </c>
      <c r="N109" s="27">
        <f>IF(ISNUMBER(M109),M109/L109,"No aplica")</f>
        <v>0.09511422871046228</v>
      </c>
      <c r="O109" s="25">
        <f>IF(G109="provision",M109+H109,IF(G109="recoleccion",M109-H109,"No aplica"))</f>
        <v>411000000</v>
      </c>
      <c r="P109" s="26" t="n">
        <v>138952</v>
      </c>
    </row>
    <row r="110">
      <c r="A110" t="inlineStr">
        <is>
          <t>PRAGMA</t>
        </is>
      </c>
      <c r="B110" t="inlineStr">
        <is>
          <t>M1</t>
        </is>
      </c>
      <c r="C110" t="inlineStr">
        <is>
          <t>Cali</t>
        </is>
      </c>
      <c r="D110" t="inlineStr">
        <is>
          <t>1503</t>
        </is>
      </c>
      <c r="E110" t="inlineStr">
        <is>
          <t>TDV</t>
        </is>
      </c>
      <c r="F110" s="23" t="n">
        <v>46273</v>
      </c>
      <c r="G110" t="inlineStr">
        <is>
          <t>provision</t>
        </is>
      </c>
      <c r="H110" s="26" t="n">
        <v>348129508</v>
      </c>
      <c r="I110" t="inlineStr">
        <is>
          <t>bajo</t>
        </is>
      </c>
      <c r="J110" t="inlineStr">
        <is>
          <t>RN-11 y RN-34: provision hasta el cupo operativo antes de bajar del 8 %</t>
        </is>
      </c>
      <c r="K110" t="inlineStr">
        <is>
          <t>Provision en la manana, antes del pagado: con el pronostico, sin provision el saldo bajaria del 8 % del cupo ese dia. Lleva el saldo de 62.870.492 a 411.000.000 COP (cupo 411.000.000). Equipo administrado por TDV.</t>
        </is>
      </c>
      <c r="L110" s="26" t="n">
        <v>411000000</v>
      </c>
      <c r="M110" s="26" t="n">
        <v>62870492</v>
      </c>
      <c r="N110" s="27">
        <f>IF(ISNUMBER(M110),M110/L110,"No aplica")</f>
        <v>0.15296956690997568</v>
      </c>
      <c r="O110" s="25">
        <f>IF(G110="provision",M110+H110,IF(G110="recoleccion",M110-H110,"No aplica"))</f>
        <v>411000000</v>
      </c>
      <c r="P110" s="26" t="n">
        <v>131200</v>
      </c>
    </row>
    <row r="111">
      <c r="A111" t="inlineStr">
        <is>
          <t>PRAGMA</t>
        </is>
      </c>
      <c r="B111" t="inlineStr">
        <is>
          <t>M1</t>
        </is>
      </c>
      <c r="C111" t="inlineStr">
        <is>
          <t>Cali</t>
        </is>
      </c>
      <c r="D111" t="inlineStr">
        <is>
          <t>1503</t>
        </is>
      </c>
      <c r="E111" t="inlineStr">
        <is>
          <t>TDV</t>
        </is>
      </c>
      <c r="F111" s="23" t="n">
        <v>46277</v>
      </c>
      <c r="G111" t="inlineStr">
        <is>
          <t>provision</t>
        </is>
      </c>
      <c r="H111" s="26" t="n">
        <v>303748778</v>
      </c>
      <c r="I111" t="inlineStr">
        <is>
          <t>bajo</t>
        </is>
      </c>
      <c r="J111" t="inlineStr">
        <is>
          <t>RN-11 y RN-34: provision hasta el cupo operativo antes de bajar del 8 %</t>
        </is>
      </c>
      <c r="K111" t="inlineStr">
        <is>
          <t>Provision en la manana, antes del pagado: con el pronostico, sin provision el saldo bajaria del 8 % del cupo ese dia. Lleva el saldo de 107.251.222 a 411.000.000 COP (cupo 411.000.000). Equipo administrado por TDV.</t>
        </is>
      </c>
      <c r="L111" s="26" t="n">
        <v>411000000</v>
      </c>
      <c r="M111" s="26" t="n">
        <v>107251222</v>
      </c>
      <c r="N111" s="27">
        <f>IF(ISNUMBER(M111),M111/L111,"No aplica")</f>
        <v>0.26095187834549877</v>
      </c>
      <c r="O111" s="25">
        <f>IF(G111="provision",M111+H111,IF(G111="recoleccion",M111-H111,"No aplica"))</f>
        <v>411000000</v>
      </c>
      <c r="P111" s="26" t="n">
        <v>116732</v>
      </c>
    </row>
    <row r="112">
      <c r="A112" t="inlineStr">
        <is>
          <t>PRAGMA</t>
        </is>
      </c>
      <c r="B112" t="inlineStr">
        <is>
          <t>M1</t>
        </is>
      </c>
      <c r="C112" t="inlineStr">
        <is>
          <t>Cali</t>
        </is>
      </c>
      <c r="D112" t="inlineStr">
        <is>
          <t>1504</t>
        </is>
      </c>
      <c r="E112" t="inlineStr">
        <is>
          <t>TDV</t>
        </is>
      </c>
      <c r="F112" s="23" t="n">
        <v>46269</v>
      </c>
      <c r="G112" t="inlineStr">
        <is>
          <t>provision</t>
        </is>
      </c>
      <c r="H112" s="26" t="n">
        <v>376303605</v>
      </c>
      <c r="I112" t="inlineStr">
        <is>
          <t>bajo</t>
        </is>
      </c>
      <c r="J112" t="inlineStr">
        <is>
          <t>RN-11 y RN-34: provision hasta el cupo operativo antes de bajar del 8 %</t>
        </is>
      </c>
      <c r="K112" t="inlineStr">
        <is>
          <t>Provision en la manana, antes del pagado: con el pronostico, sin provision el saldo bajaria del 8 % del cupo ese dia. Lleva el saldo de 34.696.395 a 411.000.000 COP (cupo 411.000.000). Equipo administrado por TDV.</t>
        </is>
      </c>
      <c r="L112" s="26" t="n">
        <v>411000000</v>
      </c>
      <c r="M112" s="26" t="n">
        <v>34696395</v>
      </c>
      <c r="N112" s="27">
        <f>IF(ISNUMBER(M112),M112/L112,"No aplica")</f>
        <v>0.08441945255474452</v>
      </c>
      <c r="O112" s="25">
        <f>IF(G112="provision",M112+H112,IF(G112="recoleccion",M112-H112,"No aplica"))</f>
        <v>411000000</v>
      </c>
      <c r="P112" s="26" t="n">
        <v>140385</v>
      </c>
    </row>
    <row r="113">
      <c r="A113" t="inlineStr">
        <is>
          <t>PRAGMA</t>
        </is>
      </c>
      <c r="B113" t="inlineStr">
        <is>
          <t>M1</t>
        </is>
      </c>
      <c r="C113" t="inlineStr">
        <is>
          <t>Cali</t>
        </is>
      </c>
      <c r="D113" t="inlineStr">
        <is>
          <t>1504</t>
        </is>
      </c>
      <c r="E113" t="inlineStr">
        <is>
          <t>TDV</t>
        </is>
      </c>
      <c r="F113" s="23" t="n">
        <v>46273</v>
      </c>
      <c r="G113" t="inlineStr">
        <is>
          <t>provision</t>
        </is>
      </c>
      <c r="H113" s="26" t="n">
        <v>372059378</v>
      </c>
      <c r="I113" t="inlineStr">
        <is>
          <t>bajo</t>
        </is>
      </c>
      <c r="J113" t="inlineStr">
        <is>
          <t>RN-11 y RN-34: provision hasta el cupo operativo antes de bajar del 8 %</t>
        </is>
      </c>
      <c r="K113" t="inlineStr">
        <is>
          <t>Provision en la manana, antes del pagado: con el pronostico, sin provision el saldo bajaria del 8 % del cupo ese dia. Lleva el saldo de 38.940.622 a 411.000.000 COP (cupo 411.000.000). Equipo administrado por TDV.</t>
        </is>
      </c>
      <c r="L113" s="26" t="n">
        <v>411000000</v>
      </c>
      <c r="M113" s="26" t="n">
        <v>38940622</v>
      </c>
      <c r="N113" s="27">
        <f>IF(ISNUMBER(M113),M113/L113,"No aplica")</f>
        <v>0.09474603892944039</v>
      </c>
      <c r="O113" s="25">
        <f>IF(G113="provision",M113+H113,IF(G113="recoleccion",M113-H113,"No aplica"))</f>
        <v>411000000</v>
      </c>
      <c r="P113" s="26" t="n">
        <v>139001</v>
      </c>
    </row>
    <row r="114">
      <c r="A114" t="inlineStr">
        <is>
          <t>PRAGMA</t>
        </is>
      </c>
      <c r="B114" t="inlineStr">
        <is>
          <t>M1</t>
        </is>
      </c>
      <c r="C114" t="inlineStr">
        <is>
          <t>Cali</t>
        </is>
      </c>
      <c r="D114" t="inlineStr">
        <is>
          <t>1504</t>
        </is>
      </c>
      <c r="E114" t="inlineStr">
        <is>
          <t>TDV</t>
        </is>
      </c>
      <c r="F114" s="23" t="n">
        <v>46277</v>
      </c>
      <c r="G114" t="inlineStr">
        <is>
          <t>provision</t>
        </is>
      </c>
      <c r="H114" s="26" t="n">
        <v>323686082</v>
      </c>
      <c r="I114" t="inlineStr">
        <is>
          <t>bajo</t>
        </is>
      </c>
      <c r="J114" t="inlineStr">
        <is>
          <t>RN-11 y RN-34: provision hasta el cupo operativo antes de bajar del 8 %</t>
        </is>
      </c>
      <c r="K114" t="inlineStr">
        <is>
          <t>Provision en la manana, antes del pagado: con el pronostico, sin provision el saldo bajaria del 8 % del cupo ese dia. Lleva el saldo de 87.313.918 a 411.000.000 COP (cupo 411.000.000). Equipo administrado por TDV.</t>
        </is>
      </c>
      <c r="L114" s="26" t="n">
        <v>411000000</v>
      </c>
      <c r="M114" s="26" t="n">
        <v>87313918</v>
      </c>
      <c r="N114" s="27">
        <f>IF(ISNUMBER(M114),M114/L114,"No aplica")</f>
        <v>0.21244262287104623</v>
      </c>
      <c r="O114" s="25">
        <f>IF(G114="provision",M114+H114,IF(G114="recoleccion",M114-H114,"No aplica"))</f>
        <v>411000000</v>
      </c>
      <c r="P114" s="26" t="n">
        <v>123232</v>
      </c>
    </row>
    <row r="115">
      <c r="A115" t="inlineStr">
        <is>
          <t>PRAGMA</t>
        </is>
      </c>
      <c r="B115" t="inlineStr">
        <is>
          <t>M1</t>
        </is>
      </c>
      <c r="C115" t="inlineStr">
        <is>
          <t>Cali</t>
        </is>
      </c>
      <c r="D115" t="inlineStr">
        <is>
          <t>1516</t>
        </is>
      </c>
      <c r="E115" t="inlineStr">
        <is>
          <t>TDV</t>
        </is>
      </c>
      <c r="F115" s="23" t="n">
        <v>46269</v>
      </c>
      <c r="G115" t="inlineStr">
        <is>
          <t>provision</t>
        </is>
      </c>
      <c r="H115" s="26" t="n">
        <v>375396003</v>
      </c>
      <c r="I115" t="inlineStr">
        <is>
          <t>bajo</t>
        </is>
      </c>
      <c r="J115" t="inlineStr">
        <is>
          <t>RN-11 y RN-34: provision hasta el cupo operativo antes de bajar del 8 %</t>
        </is>
      </c>
      <c r="K115" t="inlineStr">
        <is>
          <t>Provision en la manana, antes del pagado: con el pronostico, sin provision el saldo bajaria del 8 % del cupo ese dia. Lleva el saldo de 35.603.997 a 411.000.000 COP (cupo 411.000.000). Equipo administrado por TDV.</t>
        </is>
      </c>
      <c r="L115" s="26" t="n">
        <v>411000000</v>
      </c>
      <c r="M115" s="26" t="n">
        <v>35603997</v>
      </c>
      <c r="N115" s="27">
        <f>IF(ISNUMBER(M115),M115/L115,"No aplica")</f>
        <v>0.0866277299270073</v>
      </c>
      <c r="O115" s="25">
        <f>IF(G115="provision",M115+H115,IF(G115="recoleccion",M115-H115,"No aplica"))</f>
        <v>411000000</v>
      </c>
      <c r="P115" s="26" t="n">
        <v>126620</v>
      </c>
    </row>
    <row r="116">
      <c r="A116" t="inlineStr">
        <is>
          <t>PRAGMA</t>
        </is>
      </c>
      <c r="B116" t="inlineStr">
        <is>
          <t>M1</t>
        </is>
      </c>
      <c r="C116" t="inlineStr">
        <is>
          <t>Cali</t>
        </is>
      </c>
      <c r="D116" t="inlineStr">
        <is>
          <t>1516</t>
        </is>
      </c>
      <c r="E116" t="inlineStr">
        <is>
          <t>TDV</t>
        </is>
      </c>
      <c r="F116" s="23" t="n">
        <v>46272</v>
      </c>
      <c r="G116" t="inlineStr">
        <is>
          <t>provision</t>
        </is>
      </c>
      <c r="H116" s="26" t="n">
        <v>300360568</v>
      </c>
      <c r="I116" t="inlineStr">
        <is>
          <t>bajo</t>
        </is>
      </c>
      <c r="J116" t="inlineStr">
        <is>
          <t>RN-11 y RN-34: provision hasta el cupo operativo antes de bajar del 8 %</t>
        </is>
      </c>
      <c r="K116" t="inlineStr">
        <is>
          <t>Provision en la manana, antes del pagado: con el pronostico, sin provision el saldo bajaria del 8 % del cupo ese dia. Lleva el saldo de 110.639.432 a 411.000.000 COP (cupo 411.000.000). Equipo administrado por TDV.</t>
        </is>
      </c>
      <c r="L116" s="26" t="n">
        <v>411000000</v>
      </c>
      <c r="M116" s="26" t="n">
        <v>110639432</v>
      </c>
      <c r="N116" s="27">
        <f>IF(ISNUMBER(M116),M116/L116,"No aplica")</f>
        <v>0.269195698296837</v>
      </c>
      <c r="O116" s="25">
        <f>IF(G116="provision",M116+H116,IF(G116="recoleccion",M116-H116,"No aplica"))</f>
        <v>411000000</v>
      </c>
      <c r="P116" s="26" t="n">
        <v>104560</v>
      </c>
    </row>
    <row r="117">
      <c r="A117" t="inlineStr">
        <is>
          <t>PRAGMA</t>
        </is>
      </c>
      <c r="B117" t="inlineStr">
        <is>
          <t>M1</t>
        </is>
      </c>
      <c r="C117" t="inlineStr">
        <is>
          <t>Cali</t>
        </is>
      </c>
      <c r="D117" t="inlineStr">
        <is>
          <t>1516</t>
        </is>
      </c>
      <c r="E117" t="inlineStr">
        <is>
          <t>TDV</t>
        </is>
      </c>
      <c r="F117" s="23" t="n">
        <v>46276</v>
      </c>
      <c r="G117" t="inlineStr">
        <is>
          <t>provision</t>
        </is>
      </c>
      <c r="H117" s="26" t="n">
        <v>309059686</v>
      </c>
      <c r="I117" t="inlineStr">
        <is>
          <t>bajo</t>
        </is>
      </c>
      <c r="J117" t="inlineStr">
        <is>
          <t>RN-11 y RN-34: provision hasta el cupo operativo antes de bajar del 8 %</t>
        </is>
      </c>
      <c r="K117" t="inlineStr">
        <is>
          <t>Provision en la manana, antes del pagado: con el pronostico, sin provision el saldo bajaria del 8 % del cupo ese dia. Lleva el saldo de 101.940.314 a 411.000.000 COP (cupo 411.000.000). Equipo administrado por TDV.</t>
        </is>
      </c>
      <c r="L117" s="26" t="n">
        <v>411000000</v>
      </c>
      <c r="M117" s="26" t="n">
        <v>101940314</v>
      </c>
      <c r="N117" s="27">
        <f>IF(ISNUMBER(M117),M117/L117,"No aplica")</f>
        <v>0.2480299610705596</v>
      </c>
      <c r="O117" s="25">
        <f>IF(G117="provision",M117+H117,IF(G117="recoleccion",M117-H117,"No aplica"))</f>
        <v>411000000</v>
      </c>
      <c r="P117" s="26" t="n">
        <v>107118</v>
      </c>
    </row>
    <row r="118">
      <c r="A118" t="inlineStr">
        <is>
          <t>PRAGMA</t>
        </is>
      </c>
      <c r="B118" t="inlineStr">
        <is>
          <t>M1</t>
        </is>
      </c>
      <c r="C118" t="inlineStr">
        <is>
          <t>Cali</t>
        </is>
      </c>
      <c r="D118" t="inlineStr">
        <is>
          <t>1516</t>
        </is>
      </c>
      <c r="E118" t="inlineStr">
        <is>
          <t>TDV</t>
        </is>
      </c>
      <c r="F118" s="23" t="n">
        <v>46280</v>
      </c>
      <c r="G118" t="inlineStr">
        <is>
          <t>provision</t>
        </is>
      </c>
      <c r="H118" s="26" t="n">
        <v>294549937</v>
      </c>
      <c r="I118" t="inlineStr">
        <is>
          <t>bajo</t>
        </is>
      </c>
      <c r="J118" t="inlineStr">
        <is>
          <t>RN-11 y RN-34: provision hasta el cupo operativo antes de bajar del 8 %</t>
        </is>
      </c>
      <c r="K118" t="inlineStr">
        <is>
          <t>Provision en la manana, antes del pagado: con el pronostico, sin provision el saldo bajaria del 8 % del cupo ese dia. Lleva el saldo de 116.450.063 a 411.000.000 COP (cupo 411.000.000). Equipo administrado por TDV.</t>
        </is>
      </c>
      <c r="L118" s="26" t="n">
        <v>411000000</v>
      </c>
      <c r="M118" s="26" t="n">
        <v>116450063</v>
      </c>
      <c r="N118" s="27">
        <f>IF(ISNUMBER(M118),M118/L118,"No aplica")</f>
        <v>0.2833334866180049</v>
      </c>
      <c r="O118" s="25">
        <f>IF(G118="provision",M118+H118,IF(G118="recoleccion",M118-H118,"No aplica"))</f>
        <v>411000000</v>
      </c>
      <c r="P118" s="26" t="n">
        <v>102852</v>
      </c>
    </row>
    <row r="119">
      <c r="A119" t="inlineStr">
        <is>
          <t>PRAGMA</t>
        </is>
      </c>
      <c r="B119" t="inlineStr">
        <is>
          <t>M1</t>
        </is>
      </c>
      <c r="C119" t="inlineStr">
        <is>
          <t>Cali</t>
        </is>
      </c>
      <c r="D119" t="inlineStr">
        <is>
          <t>1517</t>
        </is>
      </c>
      <c r="E119" t="inlineStr">
        <is>
          <t>TDV</t>
        </is>
      </c>
      <c r="F119" s="23" t="n">
        <v>46268</v>
      </c>
      <c r="G119" t="inlineStr">
        <is>
          <t>provision</t>
        </is>
      </c>
      <c r="H119" s="26" t="n">
        <v>292687783</v>
      </c>
      <c r="I119" t="inlineStr">
        <is>
          <t>bajo</t>
        </is>
      </c>
      <c r="J119" t="inlineStr">
        <is>
          <t>RN-11 y RN-34: provision hasta el cupo operativo antes de bajar del 8 %</t>
        </is>
      </c>
      <c r="K119" t="inlineStr">
        <is>
          <t>Provision en la manana, antes del pagado: con el pronostico, sin provision el saldo bajaria del 8 % del cupo ese dia. Lleva el saldo de 118.312.217 a 411.000.000 COP (cupo 411.000.000). Equipo administrado por TDV.</t>
        </is>
      </c>
      <c r="L119" s="26" t="n">
        <v>411000000</v>
      </c>
      <c r="M119" s="26" t="n">
        <v>118312217</v>
      </c>
      <c r="N119" s="27">
        <f>IF(ISNUMBER(M119),M119/L119,"No aplica")</f>
        <v>0.28786427493917277</v>
      </c>
      <c r="O119" s="25">
        <f>IF(G119="provision",M119+H119,IF(G119="recoleccion",M119-H119,"No aplica"))</f>
        <v>411000000</v>
      </c>
      <c r="P119" s="26" t="n">
        <v>102304</v>
      </c>
    </row>
    <row r="120">
      <c r="A120" t="inlineStr">
        <is>
          <t>PRAGMA</t>
        </is>
      </c>
      <c r="B120" t="inlineStr">
        <is>
          <t>M1</t>
        </is>
      </c>
      <c r="C120" t="inlineStr">
        <is>
          <t>Cali</t>
        </is>
      </c>
      <c r="D120" t="inlineStr">
        <is>
          <t>1517</t>
        </is>
      </c>
      <c r="E120" t="inlineStr">
        <is>
          <t>TDV</t>
        </is>
      </c>
      <c r="F120" s="23" t="n">
        <v>46271</v>
      </c>
      <c r="G120" t="inlineStr">
        <is>
          <t>provision</t>
        </is>
      </c>
      <c r="H120" s="26" t="n">
        <v>363776070</v>
      </c>
      <c r="I120" t="inlineStr">
        <is>
          <t>bajo</t>
        </is>
      </c>
      <c r="J120" t="inlineStr">
        <is>
          <t>RN-11 y RN-34: provision hasta el cupo operativo antes de bajar del 8 %</t>
        </is>
      </c>
      <c r="K120" t="inlineStr">
        <is>
          <t>Provision en la manana, antes del pagado: con el pronostico, sin provision el saldo bajaria del 8 % del cupo ese dia. Lleva el saldo de 47.223.930 a 411.000.000 COP (cupo 411.000.000). Equipo administrado por TDV.</t>
        </is>
      </c>
      <c r="L120" s="26" t="n">
        <v>411000000</v>
      </c>
      <c r="M120" s="26" t="n">
        <v>47223930</v>
      </c>
      <c r="N120" s="27">
        <f>IF(ISNUMBER(M120),M120/L120,"No aplica")</f>
        <v>0.11490007299270073</v>
      </c>
      <c r="O120" s="25">
        <f>IF(G120="provision",M120+H120,IF(G120="recoleccion",M120-H120,"No aplica"))</f>
        <v>411000000</v>
      </c>
      <c r="P120" s="26" t="n">
        <v>167586</v>
      </c>
    </row>
    <row r="121">
      <c r="A121" t="inlineStr">
        <is>
          <t>PRAGMA</t>
        </is>
      </c>
      <c r="B121" t="inlineStr">
        <is>
          <t>M1</t>
        </is>
      </c>
      <c r="C121" t="inlineStr">
        <is>
          <t>Cali</t>
        </is>
      </c>
      <c r="D121" t="inlineStr">
        <is>
          <t>1517</t>
        </is>
      </c>
      <c r="E121" t="inlineStr">
        <is>
          <t>TDV</t>
        </is>
      </c>
      <c r="F121" s="23" t="n">
        <v>46275</v>
      </c>
      <c r="G121" t="inlineStr">
        <is>
          <t>provision</t>
        </is>
      </c>
      <c r="H121" s="26" t="n">
        <v>354247662</v>
      </c>
      <c r="I121" t="inlineStr">
        <is>
          <t>bajo</t>
        </is>
      </c>
      <c r="J121" t="inlineStr">
        <is>
          <t>RN-11 y RN-34: provision hasta el cupo operativo antes de bajar del 8 %</t>
        </is>
      </c>
      <c r="K121" t="inlineStr">
        <is>
          <t>Provision en la manana, antes del pagado: con el pronostico, sin provision el saldo bajaria del 8 % del cupo ese dia. Lleva el saldo de 56.752.338 a 411.000.000 COP (cupo 411.000.000). Equipo administrado por TDV.</t>
        </is>
      </c>
      <c r="L121" s="26" t="n">
        <v>411000000</v>
      </c>
      <c r="M121" s="26" t="n">
        <v>56752338</v>
      </c>
      <c r="N121" s="27">
        <f>IF(ISNUMBER(M121),M121/L121,"No aplica")</f>
        <v>0.13808354744525547</v>
      </c>
      <c r="O121" s="25">
        <f>IF(G121="provision",M121+H121,IF(G121="recoleccion",M121-H121,"No aplica"))</f>
        <v>411000000</v>
      </c>
      <c r="P121" s="26" t="n">
        <v>120403</v>
      </c>
    </row>
    <row r="122">
      <c r="A122" t="inlineStr">
        <is>
          <t>PRAGMA</t>
        </is>
      </c>
      <c r="B122" t="inlineStr">
        <is>
          <t>M1</t>
        </is>
      </c>
      <c r="C122" t="inlineStr">
        <is>
          <t>Cali</t>
        </is>
      </c>
      <c r="D122" t="inlineStr">
        <is>
          <t>1517</t>
        </is>
      </c>
      <c r="E122" t="inlineStr">
        <is>
          <t>TDV</t>
        </is>
      </c>
      <c r="F122" s="23" t="n">
        <v>46279</v>
      </c>
      <c r="G122" t="inlineStr">
        <is>
          <t>provision</t>
        </is>
      </c>
      <c r="H122" s="26" t="n">
        <v>323948685</v>
      </c>
      <c r="I122" t="inlineStr">
        <is>
          <t>bajo</t>
        </is>
      </c>
      <c r="J122" t="inlineStr">
        <is>
          <t>RN-11 y RN-34: provision hasta el cupo operativo antes de bajar del 8 %</t>
        </is>
      </c>
      <c r="K122" t="inlineStr">
        <is>
          <t>Provision en la manana, antes del pagado: con el pronostico, sin provision el saldo bajaria del 8 % del cupo ese dia. Lleva el saldo de 87.051.315 a 411.000.000 COP (cupo 411.000.000). Equipo administrado por TDV.</t>
        </is>
      </c>
      <c r="L122" s="26" t="n">
        <v>411000000</v>
      </c>
      <c r="M122" s="26" t="n">
        <v>87051315</v>
      </c>
      <c r="N122" s="27">
        <f>IF(ISNUMBER(M122),M122/L122,"No aplica")</f>
        <v>0.21180368613138686</v>
      </c>
      <c r="O122" s="25">
        <f>IF(G122="provision",M122+H122,IF(G122="recoleccion",M122-H122,"No aplica"))</f>
        <v>411000000</v>
      </c>
      <c r="P122" s="26" t="n">
        <v>111495</v>
      </c>
    </row>
    <row r="123">
      <c r="A123" t="inlineStr">
        <is>
          <t>PRAGMA</t>
        </is>
      </c>
      <c r="B123" t="inlineStr">
        <is>
          <t>M1</t>
        </is>
      </c>
      <c r="C123" t="inlineStr">
        <is>
          <t>Cali</t>
        </is>
      </c>
      <c r="D123" t="inlineStr">
        <is>
          <t>1518</t>
        </is>
      </c>
      <c r="E123" t="inlineStr">
        <is>
          <t>TDV</t>
        </is>
      </c>
      <c r="F123" s="23" t="n">
        <v>46269</v>
      </c>
      <c r="G123" t="inlineStr">
        <is>
          <t>provision</t>
        </is>
      </c>
      <c r="H123" s="26" t="n">
        <v>349526832</v>
      </c>
      <c r="I123" t="inlineStr">
        <is>
          <t>bajo</t>
        </is>
      </c>
      <c r="J123" t="inlineStr">
        <is>
          <t>RN-11 y RN-34: provision hasta el cupo operativo antes de bajar del 8 %</t>
        </is>
      </c>
      <c r="K123" t="inlineStr">
        <is>
          <t>Provision en la manana, antes del pagado: con el pronostico, sin provision el saldo bajaria del 8 % del cupo ese dia. Lleva el saldo de 61.473.168 a 411.000.000 COP (cupo 411.000.000). Equipo administrado por TDV.</t>
        </is>
      </c>
      <c r="L123" s="26" t="n">
        <v>411000000</v>
      </c>
      <c r="M123" s="26" t="n">
        <v>61473168</v>
      </c>
      <c r="N123" s="27">
        <f>IF(ISNUMBER(M123),M123/L123,"No aplica")</f>
        <v>0.14956975182481752</v>
      </c>
      <c r="O123" s="25">
        <f>IF(G123="provision",M123+H123,IF(G123="recoleccion",M123-H123,"No aplica"))</f>
        <v>411000000</v>
      </c>
      <c r="P123" s="26" t="n">
        <v>119015</v>
      </c>
    </row>
    <row r="124">
      <c r="A124" t="inlineStr">
        <is>
          <t>PRAGMA</t>
        </is>
      </c>
      <c r="B124" t="inlineStr">
        <is>
          <t>M1</t>
        </is>
      </c>
      <c r="C124" t="inlineStr">
        <is>
          <t>Cali</t>
        </is>
      </c>
      <c r="D124" t="inlineStr">
        <is>
          <t>1518</t>
        </is>
      </c>
      <c r="E124" t="inlineStr">
        <is>
          <t>TDV</t>
        </is>
      </c>
      <c r="F124" s="23" t="n">
        <v>46273</v>
      </c>
      <c r="G124" t="inlineStr">
        <is>
          <t>provision</t>
        </is>
      </c>
      <c r="H124" s="26" t="n">
        <v>374394920</v>
      </c>
      <c r="I124" t="inlineStr">
        <is>
          <t>bajo</t>
        </is>
      </c>
      <c r="J124" t="inlineStr">
        <is>
          <t>RN-11 y RN-34: provision hasta el cupo operativo antes de bajar del 8 %</t>
        </is>
      </c>
      <c r="K124" t="inlineStr">
        <is>
          <t>Provision en la manana, antes del pagado: con el pronostico, sin provision el saldo bajaria del 8 % del cupo ese dia. Lleva el saldo de 36.605.080 a 411.000.000 COP (cupo 411.000.000). Equipo administrado por TDV.</t>
        </is>
      </c>
      <c r="L124" s="26" t="n">
        <v>411000000</v>
      </c>
      <c r="M124" s="26" t="n">
        <v>36605080</v>
      </c>
      <c r="N124" s="27">
        <f>IF(ISNUMBER(M124),M124/L124,"No aplica")</f>
        <v>0.08906345498783455</v>
      </c>
      <c r="O124" s="25">
        <f>IF(G124="provision",M124+H124,IF(G124="recoleccion",M124-H124,"No aplica"))</f>
        <v>411000000</v>
      </c>
      <c r="P124" s="26" t="n">
        <v>126326</v>
      </c>
    </row>
    <row r="125">
      <c r="A125" t="inlineStr">
        <is>
          <t>PRAGMA</t>
        </is>
      </c>
      <c r="B125" t="inlineStr">
        <is>
          <t>M1</t>
        </is>
      </c>
      <c r="C125" t="inlineStr">
        <is>
          <t>Cali</t>
        </is>
      </c>
      <c r="D125" t="inlineStr">
        <is>
          <t>1518</t>
        </is>
      </c>
      <c r="E125" t="inlineStr">
        <is>
          <t>TDV</t>
        </is>
      </c>
      <c r="F125" s="23" t="n">
        <v>46278</v>
      </c>
      <c r="G125" t="inlineStr">
        <is>
          <t>provision</t>
        </is>
      </c>
      <c r="H125" s="26" t="n">
        <v>354073732</v>
      </c>
      <c r="I125" t="inlineStr">
        <is>
          <t>bajo</t>
        </is>
      </c>
      <c r="J125" t="inlineStr">
        <is>
          <t>RN-11 y RN-34: provision hasta el cupo operativo antes de bajar del 8 %</t>
        </is>
      </c>
      <c r="K125" t="inlineStr">
        <is>
          <t>Provision en la manana, antes del pagado: con el pronostico, sin provision el saldo bajaria del 8 % del cupo ese dia. Lleva el saldo de 56.926.268 a 411.000.000 COP (cupo 411.000.000). Equipo administrado por TDV.</t>
        </is>
      </c>
      <c r="L125" s="26" t="n">
        <v>411000000</v>
      </c>
      <c r="M125" s="26" t="n">
        <v>56926268</v>
      </c>
      <c r="N125" s="27">
        <f>IF(ISNUMBER(M125),M125/L125,"No aplica")</f>
        <v>0.13850673479318734</v>
      </c>
      <c r="O125" s="25">
        <f>IF(G125="provision",M125+H125,IF(G125="recoleccion",M125-H125,"No aplica"))</f>
        <v>411000000</v>
      </c>
      <c r="P125" s="26" t="n">
        <v>163714</v>
      </c>
    </row>
    <row r="126">
      <c r="A126" t="inlineStr">
        <is>
          <t>PRAGMA</t>
        </is>
      </c>
      <c r="B126" t="inlineStr">
        <is>
          <t>M1</t>
        </is>
      </c>
      <c r="C126" t="inlineStr">
        <is>
          <t>Cali</t>
        </is>
      </c>
      <c r="D126" t="inlineStr">
        <is>
          <t>1547</t>
        </is>
      </c>
      <c r="E126" t="inlineStr">
        <is>
          <t>TDV</t>
        </is>
      </c>
      <c r="F126" s="23" t="n">
        <v>46268</v>
      </c>
      <c r="G126" t="inlineStr">
        <is>
          <t>provision</t>
        </is>
      </c>
      <c r="H126" s="26" t="n">
        <v>345123098</v>
      </c>
      <c r="I126" t="inlineStr">
        <is>
          <t>bajo</t>
        </is>
      </c>
      <c r="J126" t="inlineStr">
        <is>
          <t>RN-11 y RN-34: provision hasta el cupo operativo antes de bajar del 8 %</t>
        </is>
      </c>
      <c r="K126" t="inlineStr">
        <is>
          <t>Provision en la manana, antes del pagado: con el pronostico, sin provision el saldo bajaria del 8 % del cupo ese dia. Lleva el saldo de 65.876.902 a 411.000.000 COP (cupo 411.000.000). Equipo administrado por TDV.</t>
        </is>
      </c>
      <c r="L126" s="26" t="n">
        <v>411000000</v>
      </c>
      <c r="M126" s="26" t="n">
        <v>65876902</v>
      </c>
      <c r="N126" s="27">
        <f>IF(ISNUMBER(M126),M126/L126,"No aplica")</f>
        <v>0.16028443309002433</v>
      </c>
      <c r="O126" s="25">
        <f>IF(G126="provision",M126+H126,IF(G126="recoleccion",M126-H126,"No aplica"))</f>
        <v>411000000</v>
      </c>
      <c r="P126" s="26" t="n">
        <v>125366</v>
      </c>
    </row>
    <row r="127">
      <c r="A127" t="inlineStr">
        <is>
          <t>PRAGMA</t>
        </is>
      </c>
      <c r="B127" t="inlineStr">
        <is>
          <t>M1</t>
        </is>
      </c>
      <c r="C127" t="inlineStr">
        <is>
          <t>Cali</t>
        </is>
      </c>
      <c r="D127" t="inlineStr">
        <is>
          <t>1547</t>
        </is>
      </c>
      <c r="E127" t="inlineStr">
        <is>
          <t>TDV</t>
        </is>
      </c>
      <c r="F127" s="23" t="n">
        <v>46270</v>
      </c>
      <c r="G127" t="inlineStr">
        <is>
          <t>provision</t>
        </is>
      </c>
      <c r="H127" s="26" t="n">
        <v>291639131</v>
      </c>
      <c r="I127" t="inlineStr">
        <is>
          <t>bajo</t>
        </is>
      </c>
      <c r="J127" t="inlineStr">
        <is>
          <t>RN-11 y RN-34: provision hasta el cupo operativo antes de bajar del 8 %</t>
        </is>
      </c>
      <c r="K127" t="inlineStr">
        <is>
          <t>Provision en la manana, antes del pagado: con el pronostico, sin provision el saldo bajaria del 8 % del cupo ese dia. Lleva el saldo de 119.360.869 a 411.000.000 COP (cupo 411.000.000). Equipo administrado por TDV.</t>
        </is>
      </c>
      <c r="L127" s="26" t="n">
        <v>411000000</v>
      </c>
      <c r="M127" s="26" t="n">
        <v>119360869</v>
      </c>
      <c r="N127" s="27">
        <f>IF(ISNUMBER(M127),M127/L127,"No aplica")</f>
        <v>0.2904157396593674</v>
      </c>
      <c r="O127" s="25">
        <f>IF(G127="provision",M127+H127,IF(G127="recoleccion",M127-H127,"No aplica"))</f>
        <v>411000000</v>
      </c>
      <c r="P127" s="26" t="n">
        <v>108625</v>
      </c>
    </row>
    <row r="128">
      <c r="A128" t="inlineStr">
        <is>
          <t>PRAGMA</t>
        </is>
      </c>
      <c r="B128" t="inlineStr">
        <is>
          <t>M1</t>
        </is>
      </c>
      <c r="C128" t="inlineStr">
        <is>
          <t>Cali</t>
        </is>
      </c>
      <c r="D128" t="inlineStr">
        <is>
          <t>1547</t>
        </is>
      </c>
      <c r="E128" t="inlineStr">
        <is>
          <t>TDV</t>
        </is>
      </c>
      <c r="F128" s="23" t="n">
        <v>46273</v>
      </c>
      <c r="G128" t="inlineStr">
        <is>
          <t>provision</t>
        </is>
      </c>
      <c r="H128" s="26" t="n">
        <v>307920954</v>
      </c>
      <c r="I128" t="inlineStr">
        <is>
          <t>bajo</t>
        </is>
      </c>
      <c r="J128" t="inlineStr">
        <is>
          <t>RN-11 y RN-34: provision hasta el cupo operativo antes de bajar del 8 %</t>
        </is>
      </c>
      <c r="K128" t="inlineStr">
        <is>
          <t>Provision en la manana, antes del pagado: con el pronostico, sin provision el saldo bajaria del 8 % del cupo ese dia. Lleva el saldo de 103.079.046 a 411.000.000 COP (cupo 411.000.000). Equipo administrado por TDV.</t>
        </is>
      </c>
      <c r="L128" s="26" t="n">
        <v>411000000</v>
      </c>
      <c r="M128" s="26" t="n">
        <v>103079046</v>
      </c>
      <c r="N128" s="27">
        <f>IF(ISNUMBER(M128),M128/L128,"No aplica")</f>
        <v>0.25080059854014597</v>
      </c>
      <c r="O128" s="25">
        <f>IF(G128="provision",M128+H128,IF(G128="recoleccion",M128-H128,"No aplica"))</f>
        <v>411000000</v>
      </c>
      <c r="P128" s="26" t="n">
        <v>113721</v>
      </c>
    </row>
    <row r="129">
      <c r="A129" t="inlineStr">
        <is>
          <t>PRAGMA</t>
        </is>
      </c>
      <c r="B129" t="inlineStr">
        <is>
          <t>M1</t>
        </is>
      </c>
      <c r="C129" t="inlineStr">
        <is>
          <t>Cali</t>
        </is>
      </c>
      <c r="D129" t="inlineStr">
        <is>
          <t>1547</t>
        </is>
      </c>
      <c r="E129" t="inlineStr">
        <is>
          <t>TDV</t>
        </is>
      </c>
      <c r="F129" s="23" t="n">
        <v>46276</v>
      </c>
      <c r="G129" t="inlineStr">
        <is>
          <t>provision</t>
        </is>
      </c>
      <c r="H129" s="26" t="n">
        <v>320862033</v>
      </c>
      <c r="I129" t="inlineStr">
        <is>
          <t>bajo</t>
        </is>
      </c>
      <c r="J129" t="inlineStr">
        <is>
          <t>RN-11 y RN-34: provision hasta el cupo operativo antes de bajar del 8 %</t>
        </is>
      </c>
      <c r="K129" t="inlineStr">
        <is>
          <t>Provision en la manana, antes del pagado: con el pronostico, sin provision el saldo bajaria del 8 % del cupo ese dia. Lleva el saldo de 90.137.967 a 411.000.000 COP (cupo 411.000.000). Equipo administrado por TDV.</t>
        </is>
      </c>
      <c r="L129" s="26" t="n">
        <v>411000000</v>
      </c>
      <c r="M129" s="26" t="n">
        <v>90137967</v>
      </c>
      <c r="N129" s="27">
        <f>IF(ISNUMBER(M129),M129/L129,"No aplica")</f>
        <v>0.21931378832116788</v>
      </c>
      <c r="O129" s="25">
        <f>IF(G129="provision",M129+H129,IF(G129="recoleccion",M129-H129,"No aplica"))</f>
        <v>411000000</v>
      </c>
      <c r="P129" s="26" t="n">
        <v>117772</v>
      </c>
    </row>
    <row r="130">
      <c r="A130" t="inlineStr">
        <is>
          <t>PRAGMA</t>
        </is>
      </c>
      <c r="B130" t="inlineStr">
        <is>
          <t>M1</t>
        </is>
      </c>
      <c r="C130" t="inlineStr">
        <is>
          <t>Cali</t>
        </is>
      </c>
      <c r="D130" t="inlineStr">
        <is>
          <t>1547</t>
        </is>
      </c>
      <c r="E130" t="inlineStr">
        <is>
          <t>TDV</t>
        </is>
      </c>
      <c r="F130" s="23" t="n">
        <v>46279</v>
      </c>
      <c r="G130" t="inlineStr">
        <is>
          <t>provision</t>
        </is>
      </c>
      <c r="H130" s="26" t="n">
        <v>279809349</v>
      </c>
      <c r="I130" t="inlineStr">
        <is>
          <t>bajo</t>
        </is>
      </c>
      <c r="J130" t="inlineStr">
        <is>
          <t>RN-11 y RN-34: provision hasta el cupo operativo antes de bajar del 8 %</t>
        </is>
      </c>
      <c r="K130" t="inlineStr">
        <is>
          <t>Provision en la manana, antes del pagado: con el pronostico, sin provision el saldo bajaria del 8 % del cupo ese dia. Lleva el saldo de 131.190.651 a 411.000.000 COP (cupo 411.000.000). Equipo administrado por TDV.</t>
        </is>
      </c>
      <c r="L130" s="26" t="n">
        <v>411000000</v>
      </c>
      <c r="M130" s="26" t="n">
        <v>131190651</v>
      </c>
      <c r="N130" s="27">
        <f>IF(ISNUMBER(M130),M130/L130,"No aplica")</f>
        <v>0.3191986642335766</v>
      </c>
      <c r="O130" s="25">
        <f>IF(G130="provision",M130+H130,IF(G130="recoleccion",M130-H130,"No aplica"))</f>
        <v>411000000</v>
      </c>
      <c r="P130" s="26" t="n">
        <v>104922</v>
      </c>
    </row>
    <row r="131">
      <c r="A131" t="inlineStr">
        <is>
          <t>PRAGMA</t>
        </is>
      </c>
      <c r="B131" t="inlineStr">
        <is>
          <t>M1</t>
        </is>
      </c>
      <c r="C131" t="inlineStr">
        <is>
          <t>Cali</t>
        </is>
      </c>
      <c r="D131" t="inlineStr">
        <is>
          <t>1549</t>
        </is>
      </c>
      <c r="E131" t="inlineStr">
        <is>
          <t>TDV</t>
        </is>
      </c>
      <c r="F131" s="23" t="n">
        <v>46268</v>
      </c>
      <c r="G131" t="inlineStr">
        <is>
          <t>provision</t>
        </is>
      </c>
      <c r="H131" s="26" t="n">
        <v>367136201</v>
      </c>
      <c r="I131" t="inlineStr">
        <is>
          <t>bajo</t>
        </is>
      </c>
      <c r="J131" t="inlineStr">
        <is>
          <t>RN-11 y RN-34: provision hasta el cupo operativo antes de bajar del 8 %</t>
        </is>
      </c>
      <c r="K131" t="inlineStr">
        <is>
          <t>Provision en la manana, antes del pagado: con el pronostico, sin provision el saldo bajaria del 8 % del cupo ese dia. Lleva el saldo de 43.863.799 a 411.000.000 COP (cupo 411.000.000). Equipo administrado por TDV.</t>
        </is>
      </c>
      <c r="L131" s="26" t="n">
        <v>411000000</v>
      </c>
      <c r="M131" s="26" t="n">
        <v>43863799</v>
      </c>
      <c r="N131" s="27">
        <f>IF(ISNUMBER(M131),M131/L131,"No aplica")</f>
        <v>0.10672457177615571</v>
      </c>
      <c r="O131" s="25">
        <f>IF(G131="provision",M131+H131,IF(G131="recoleccion",M131-H131,"No aplica"))</f>
        <v>411000000</v>
      </c>
      <c r="P131" s="26" t="n">
        <v>132256</v>
      </c>
    </row>
    <row r="132">
      <c r="A132" t="inlineStr">
        <is>
          <t>PRAGMA</t>
        </is>
      </c>
      <c r="B132" t="inlineStr">
        <is>
          <t>M1</t>
        </is>
      </c>
      <c r="C132" t="inlineStr">
        <is>
          <t>Cali</t>
        </is>
      </c>
      <c r="D132" t="inlineStr">
        <is>
          <t>1549</t>
        </is>
      </c>
      <c r="E132" t="inlineStr">
        <is>
          <t>TDV</t>
        </is>
      </c>
      <c r="F132" s="23" t="n">
        <v>46270</v>
      </c>
      <c r="G132" t="inlineStr">
        <is>
          <t>provision</t>
        </is>
      </c>
      <c r="H132" s="26" t="n">
        <v>300749244</v>
      </c>
      <c r="I132" t="inlineStr">
        <is>
          <t>bajo</t>
        </is>
      </c>
      <c r="J132" t="inlineStr">
        <is>
          <t>RN-11 y RN-34: provision hasta el cupo operativo antes de bajar del 8 %</t>
        </is>
      </c>
      <c r="K132" t="inlineStr">
        <is>
          <t>Provision en la manana, antes del pagado: con el pronostico, sin provision el saldo bajaria del 8 % del cupo ese dia. Lleva el saldo de 110.250.756 a 411.000.000 COP (cupo 411.000.000). Equipo administrado por TDV.</t>
        </is>
      </c>
      <c r="L132" s="26" t="n">
        <v>411000000</v>
      </c>
      <c r="M132" s="26" t="n">
        <v>110250756</v>
      </c>
      <c r="N132" s="27">
        <f>IF(ISNUMBER(M132),M132/L132,"No aplica")</f>
        <v>0.26825001459854014</v>
      </c>
      <c r="O132" s="25">
        <f>IF(G132="provision",M132+H132,IF(G132="recoleccion",M132-H132,"No aplica"))</f>
        <v>411000000</v>
      </c>
      <c r="P132" s="26" t="n">
        <v>111477</v>
      </c>
    </row>
    <row r="133">
      <c r="A133" t="inlineStr">
        <is>
          <t>PRAGMA</t>
        </is>
      </c>
      <c r="B133" t="inlineStr">
        <is>
          <t>M1</t>
        </is>
      </c>
      <c r="C133" t="inlineStr">
        <is>
          <t>Cali</t>
        </is>
      </c>
      <c r="D133" t="inlineStr">
        <is>
          <t>1549</t>
        </is>
      </c>
      <c r="E133" t="inlineStr">
        <is>
          <t>TDV</t>
        </is>
      </c>
      <c r="F133" s="23" t="n">
        <v>46273</v>
      </c>
      <c r="G133" t="inlineStr">
        <is>
          <t>provision</t>
        </is>
      </c>
      <c r="H133" s="26" t="n">
        <v>374768572</v>
      </c>
      <c r="I133" t="inlineStr">
        <is>
          <t>bajo</t>
        </is>
      </c>
      <c r="J133" t="inlineStr">
        <is>
          <t>RN-11 y RN-34: provision hasta el cupo operativo antes de bajar del 8 %</t>
        </is>
      </c>
      <c r="K133" t="inlineStr">
        <is>
          <t>Provision en la manana, antes del pagado: con el pronostico, sin provision el saldo bajaria del 8 % del cupo ese dia. Lleva el saldo de 36.231.428 a 411.000.000 COP (cupo 411.000.000). Equipo administrado por TDV.</t>
        </is>
      </c>
      <c r="L133" s="26" t="n">
        <v>411000000</v>
      </c>
      <c r="M133" s="26" t="n">
        <v>36231428</v>
      </c>
      <c r="N133" s="27">
        <f>IF(ISNUMBER(M133),M133/L133,"No aplica")</f>
        <v>0.08815432603406326</v>
      </c>
      <c r="O133" s="25">
        <f>IF(G133="provision",M133+H133,IF(G133="recoleccion",M133-H133,"No aplica"))</f>
        <v>411000000</v>
      </c>
      <c r="P133" s="26" t="n">
        <v>134645</v>
      </c>
    </row>
    <row r="134">
      <c r="A134" t="inlineStr">
        <is>
          <t>PRAGMA</t>
        </is>
      </c>
      <c r="B134" t="inlineStr">
        <is>
          <t>M1</t>
        </is>
      </c>
      <c r="C134" t="inlineStr">
        <is>
          <t>Cali</t>
        </is>
      </c>
      <c r="D134" t="inlineStr">
        <is>
          <t>1549</t>
        </is>
      </c>
      <c r="E134" t="inlineStr">
        <is>
          <t>TDV</t>
        </is>
      </c>
      <c r="F134" s="23" t="n">
        <v>46276</v>
      </c>
      <c r="G134" t="inlineStr">
        <is>
          <t>provision</t>
        </is>
      </c>
      <c r="H134" s="26" t="n">
        <v>360036298</v>
      </c>
      <c r="I134" t="inlineStr">
        <is>
          <t>bajo</t>
        </is>
      </c>
      <c r="J134" t="inlineStr">
        <is>
          <t>RN-11 y RN-34: provision hasta el cupo operativo antes de bajar del 8 %</t>
        </is>
      </c>
      <c r="K134" t="inlineStr">
        <is>
          <t>Provision en la manana, antes del pagado: con el pronostico, sin provision el saldo bajaria del 8 % del cupo ese dia. Lleva el saldo de 50.963.702 a 411.000.000 COP (cupo 411.000.000). Equipo administrado por TDV.</t>
        </is>
      </c>
      <c r="L134" s="26" t="n">
        <v>411000000</v>
      </c>
      <c r="M134" s="26" t="n">
        <v>50963702</v>
      </c>
      <c r="N134" s="27">
        <f>IF(ISNUMBER(M134),M134/L134,"No aplica")</f>
        <v>0.12399927493917275</v>
      </c>
      <c r="O134" s="25">
        <f>IF(G134="provision",M134+H134,IF(G134="recoleccion",M134-H134,"No aplica"))</f>
        <v>411000000</v>
      </c>
      <c r="P134" s="26" t="n">
        <v>130033</v>
      </c>
    </row>
    <row r="135">
      <c r="A135" t="inlineStr">
        <is>
          <t>PRAGMA</t>
        </is>
      </c>
      <c r="B135" t="inlineStr">
        <is>
          <t>M1</t>
        </is>
      </c>
      <c r="C135" t="inlineStr">
        <is>
          <t>Cali</t>
        </is>
      </c>
      <c r="D135" t="inlineStr">
        <is>
          <t>1549</t>
        </is>
      </c>
      <c r="E135" t="inlineStr">
        <is>
          <t>TDV</t>
        </is>
      </c>
      <c r="F135" s="23" t="n">
        <v>46279</v>
      </c>
      <c r="G135" t="inlineStr">
        <is>
          <t>provision</t>
        </is>
      </c>
      <c r="H135" s="26" t="n">
        <v>299236193</v>
      </c>
      <c r="I135" t="inlineStr">
        <is>
          <t>bajo</t>
        </is>
      </c>
      <c r="J135" t="inlineStr">
        <is>
          <t>RN-11 y RN-34: provision hasta el cupo operativo antes de bajar del 8 %</t>
        </is>
      </c>
      <c r="K135" t="inlineStr">
        <is>
          <t>Provision en la manana, antes del pagado: con el pronostico, sin provision el saldo bajaria del 8 % del cupo ese dia. Lleva el saldo de 111.763.807 a 411.000.000 COP (cupo 411.000.000). Equipo administrado por TDV.</t>
        </is>
      </c>
      <c r="L135" s="26" t="n">
        <v>411000000</v>
      </c>
      <c r="M135" s="26" t="n">
        <v>111763807</v>
      </c>
      <c r="N135" s="27">
        <f>IF(ISNUMBER(M135),M135/L135,"No aplica")</f>
        <v>0.271931403892944</v>
      </c>
      <c r="O135" s="25">
        <f>IF(G135="provision",M135+H135,IF(G135="recoleccion",M135-H135,"No aplica"))</f>
        <v>411000000</v>
      </c>
      <c r="P135" s="26" t="n">
        <v>111003</v>
      </c>
    </row>
    <row r="136">
      <c r="A136" t="inlineStr">
        <is>
          <t>PRAGMA</t>
        </is>
      </c>
      <c r="B136" t="inlineStr">
        <is>
          <t>M1</t>
        </is>
      </c>
      <c r="C136" t="inlineStr">
        <is>
          <t>Cali</t>
        </is>
      </c>
      <c r="D136" t="inlineStr">
        <is>
          <t>161</t>
        </is>
      </c>
      <c r="E136" t="inlineStr">
        <is>
          <t>TDV</t>
        </is>
      </c>
      <c r="F136" s="23" t="n">
        <v>46266</v>
      </c>
      <c r="G136" t="inlineStr">
        <is>
          <t>sin_accion</t>
        </is>
      </c>
      <c r="H136" s="26" t="n">
        <v>0</v>
      </c>
      <c r="I136" t="inlineStr">
        <is>
          <t>bajo</t>
        </is>
      </c>
      <c r="J136" t="inlineStr">
        <is>
          <t>RN-02: una fila sin_accion</t>
        </is>
      </c>
      <c r="K136" t="inlineStr">
        <is>
          <t>Sin accion en el horizonte: con el pronostico, el saldo se mantiene entre el umbral de agotamiento y el cupo sin necesidad de provision ni recoleccion.</t>
        </is>
      </c>
      <c r="L136" s="26" t="n">
        <v>500000000</v>
      </c>
      <c r="M136" s="26" t="inlineStr">
        <is>
          <t>No aplica</t>
        </is>
      </c>
      <c r="N136" s="27" t="str">
        <f>IF(ISNUMBER(M136),M136/L136,"No aplica")</f>
        <v>No aplica</v>
      </c>
      <c r="O136" s="25" t="str">
        <f>IF(G136="provision",M136+H136,IF(G136="recoleccion",M136-H136,"No aplica"))</f>
        <v>No aplica</v>
      </c>
      <c r="P136" s="26" t="inlineStr">
        <is>
          <t>No aplica</t>
        </is>
      </c>
    </row>
    <row r="137">
      <c r="A137" t="inlineStr">
        <is>
          <t>PRAGMA</t>
        </is>
      </c>
      <c r="B137" t="inlineStr">
        <is>
          <t>M1</t>
        </is>
      </c>
      <c r="C137" t="inlineStr">
        <is>
          <t>Cali</t>
        </is>
      </c>
      <c r="D137" t="inlineStr">
        <is>
          <t>163</t>
        </is>
      </c>
      <c r="E137" t="inlineStr">
        <is>
          <t>TDV</t>
        </is>
      </c>
      <c r="F137" s="23" t="n">
        <v>46266</v>
      </c>
      <c r="G137" t="inlineStr">
        <is>
          <t>sin_accion</t>
        </is>
      </c>
      <c r="H137" s="26" t="n">
        <v>0</v>
      </c>
      <c r="I137" t="inlineStr">
        <is>
          <t>bajo</t>
        </is>
      </c>
      <c r="J137" t="inlineStr">
        <is>
          <t>RN-02: una fila sin_accion</t>
        </is>
      </c>
      <c r="K137" t="inlineStr">
        <is>
          <t>Sin accion en el horizonte: con el pronostico, el saldo se mantiene entre el umbral de agotamiento y el cupo sin necesidad de provision ni recoleccion.</t>
        </is>
      </c>
      <c r="L137" s="26" t="n">
        <v>500000000</v>
      </c>
      <c r="M137" s="26" t="inlineStr">
        <is>
          <t>No aplica</t>
        </is>
      </c>
      <c r="N137" s="27" t="str">
        <f>IF(ISNUMBER(M137),M137/L137,"No aplica")</f>
        <v>No aplica</v>
      </c>
      <c r="O137" s="25" t="str">
        <f>IF(G137="provision",M137+H137,IF(G137="recoleccion",M137-H137,"No aplica"))</f>
        <v>No aplica</v>
      </c>
      <c r="P137" s="26" t="inlineStr">
        <is>
          <t>No aplica</t>
        </is>
      </c>
    </row>
    <row r="138">
      <c r="A138" t="inlineStr">
        <is>
          <t>PRAGMA</t>
        </is>
      </c>
      <c r="B138" t="inlineStr">
        <is>
          <t>M1</t>
        </is>
      </c>
      <c r="C138" t="inlineStr">
        <is>
          <t>Cali</t>
        </is>
      </c>
      <c r="D138" t="inlineStr">
        <is>
          <t>1632</t>
        </is>
      </c>
      <c r="E138" t="inlineStr">
        <is>
          <t>TDV</t>
        </is>
      </c>
      <c r="F138" s="23" t="n">
        <v>46268</v>
      </c>
      <c r="G138" t="inlineStr">
        <is>
          <t>provision</t>
        </is>
      </c>
      <c r="H138" s="26" t="n">
        <v>383230064</v>
      </c>
      <c r="I138" t="inlineStr">
        <is>
          <t>bajo</t>
        </is>
      </c>
      <c r="J138" t="inlineStr">
        <is>
          <t>RN-11 y RN-34: provision hasta el cupo operativo antes de bajar del 8 %</t>
        </is>
      </c>
      <c r="K138" t="inlineStr">
        <is>
          <t>Provision en la manana, antes del pagado: con el pronostico, sin provision el saldo bajaria del 8 % del cupo ese dia. Lleva el saldo de 116.769.936 a 500.000.000 COP (cupo 500.000.000). Equipo administrado por TDV.</t>
        </is>
      </c>
      <c r="L138" s="26" t="n">
        <v>500000000</v>
      </c>
      <c r="M138" s="26" t="n">
        <v>116769936</v>
      </c>
      <c r="N138" s="27">
        <f>IF(ISNUMBER(M138),M138/L138,"No aplica")</f>
        <v>0.233539872</v>
      </c>
      <c r="O138" s="25">
        <f>IF(G138="provision",M138+H138,IF(G138="recoleccion",M138-H138,"No aplica"))</f>
        <v>500000000</v>
      </c>
      <c r="P138" s="26" t="n">
        <v>188168</v>
      </c>
    </row>
    <row r="139">
      <c r="A139" t="inlineStr">
        <is>
          <t>PRAGMA</t>
        </is>
      </c>
      <c r="B139" t="inlineStr">
        <is>
          <t>M1</t>
        </is>
      </c>
      <c r="C139" t="inlineStr">
        <is>
          <t>Cali</t>
        </is>
      </c>
      <c r="D139" t="inlineStr">
        <is>
          <t>1632</t>
        </is>
      </c>
      <c r="E139" t="inlineStr">
        <is>
          <t>TDV</t>
        </is>
      </c>
      <c r="F139" s="23" t="n">
        <v>46270</v>
      </c>
      <c r="G139" t="inlineStr">
        <is>
          <t>provision</t>
        </is>
      </c>
      <c r="H139" s="26" t="n">
        <v>300847135</v>
      </c>
      <c r="I139" t="inlineStr">
        <is>
          <t>bajo</t>
        </is>
      </c>
      <c r="J139" t="inlineStr">
        <is>
          <t>RN-11 y RN-34: provision hasta el cupo operativo antes de bajar del 8 %</t>
        </is>
      </c>
      <c r="K139" t="inlineStr">
        <is>
          <t>Provision en la manana, antes del pagado: con el pronostico, sin provision el saldo bajaria del 8 % del cupo ese dia. Lleva el saldo de 199.152.865 a 500.000.000 COP (cupo 500.000.000). Equipo administrado por TDV.</t>
        </is>
      </c>
      <c r="L139" s="26" t="n">
        <v>500000000</v>
      </c>
      <c r="M139" s="26" t="n">
        <v>199152865</v>
      </c>
      <c r="N139" s="27">
        <f>IF(ISNUMBER(M139),M139/L139,"No aplica")</f>
        <v>0.39830573</v>
      </c>
      <c r="O139" s="25">
        <f>IF(G139="provision",M139+H139,IF(G139="recoleccion",M139-H139,"No aplica"))</f>
        <v>500000000</v>
      </c>
      <c r="P139" s="26" t="n">
        <v>151754</v>
      </c>
    </row>
    <row r="140">
      <c r="A140" t="inlineStr">
        <is>
          <t>PRAGMA</t>
        </is>
      </c>
      <c r="B140" t="inlineStr">
        <is>
          <t>M1</t>
        </is>
      </c>
      <c r="C140" t="inlineStr">
        <is>
          <t>Cali</t>
        </is>
      </c>
      <c r="D140" t="inlineStr">
        <is>
          <t>1632</t>
        </is>
      </c>
      <c r="E140" t="inlineStr">
        <is>
          <t>TDV</t>
        </is>
      </c>
      <c r="F140" s="23" t="n">
        <v>46273</v>
      </c>
      <c r="G140" t="inlineStr">
        <is>
          <t>provision</t>
        </is>
      </c>
      <c r="H140" s="26" t="n">
        <v>398796642</v>
      </c>
      <c r="I140" t="inlineStr">
        <is>
          <t>bajo</t>
        </is>
      </c>
      <c r="J140" t="inlineStr">
        <is>
          <t>RN-11 y RN-34: provision hasta el cupo operativo antes de bajar del 8 %</t>
        </is>
      </c>
      <c r="K140" t="inlineStr">
        <is>
          <t>Provision en la manana, antes del pagado: con el pronostico, sin provision el saldo bajaria del 8 % del cupo ese dia. Lleva el saldo de 101.203.358 a 500.000.000 COP (cupo 500.000.000). Equipo administrado por TDV.</t>
        </is>
      </c>
      <c r="L140" s="26" t="n">
        <v>500000000</v>
      </c>
      <c r="M140" s="26" t="n">
        <v>101203358</v>
      </c>
      <c r="N140" s="27">
        <f>IF(ISNUMBER(M140),M140/L140,"No aplica")</f>
        <v>0.202406716</v>
      </c>
      <c r="O140" s="25">
        <f>IF(G140="provision",M140+H140,IF(G140="recoleccion",M140-H140,"No aplica"))</f>
        <v>500000000</v>
      </c>
      <c r="P140" s="26" t="n">
        <v>195048</v>
      </c>
    </row>
    <row r="141">
      <c r="A141" t="inlineStr">
        <is>
          <t>PRAGMA</t>
        </is>
      </c>
      <c r="B141" t="inlineStr">
        <is>
          <t>M1</t>
        </is>
      </c>
      <c r="C141" t="inlineStr">
        <is>
          <t>Cali</t>
        </is>
      </c>
      <c r="D141" t="inlineStr">
        <is>
          <t>1632</t>
        </is>
      </c>
      <c r="E141" t="inlineStr">
        <is>
          <t>TDV</t>
        </is>
      </c>
      <c r="F141" s="23" t="n">
        <v>46277</v>
      </c>
      <c r="G141" t="inlineStr">
        <is>
          <t>provision</t>
        </is>
      </c>
      <c r="H141" s="26" t="n">
        <v>443647319</v>
      </c>
      <c r="I141" t="inlineStr">
        <is>
          <t>bajo</t>
        </is>
      </c>
      <c r="J141" t="inlineStr">
        <is>
          <t>RN-11 y RN-34: provision hasta el cupo operativo antes de bajar del 8 %</t>
        </is>
      </c>
      <c r="K141" t="inlineStr">
        <is>
          <t>Provision en la manana, antes del pagado: con el pronostico, sin provision el saldo bajaria del 8 % del cupo ese dia. Lleva el saldo de 56.352.681 a 500.000.000 COP (cupo 500.000.000). Equipo administrado por TDV.</t>
        </is>
      </c>
      <c r="L141" s="26" t="n">
        <v>500000000</v>
      </c>
      <c r="M141" s="26" t="n">
        <v>56352681</v>
      </c>
      <c r="N141" s="27">
        <f>IF(ISNUMBER(M141),M141/L141,"No aplica")</f>
        <v>0.112705362</v>
      </c>
      <c r="O141" s="25">
        <f>IF(G141="provision",M141+H141,IF(G141="recoleccion",M141-H141,"No aplica"))</f>
        <v>500000000</v>
      </c>
      <c r="P141" s="26" t="n">
        <v>214872</v>
      </c>
    </row>
    <row r="142">
      <c r="A142" t="inlineStr">
        <is>
          <t>PRAGMA</t>
        </is>
      </c>
      <c r="B142" t="inlineStr">
        <is>
          <t>M1</t>
        </is>
      </c>
      <c r="C142" t="inlineStr">
        <is>
          <t>Cali</t>
        </is>
      </c>
      <c r="D142" t="inlineStr">
        <is>
          <t>1632</t>
        </is>
      </c>
      <c r="E142" t="inlineStr">
        <is>
          <t>TDV</t>
        </is>
      </c>
      <c r="F142" s="23" t="n">
        <v>46280</v>
      </c>
      <c r="G142" t="inlineStr">
        <is>
          <t>provision</t>
        </is>
      </c>
      <c r="H142" s="26" t="n">
        <v>329695262</v>
      </c>
      <c r="I142" t="inlineStr">
        <is>
          <t>bajo</t>
        </is>
      </c>
      <c r="J142" t="inlineStr">
        <is>
          <t>RN-11 y RN-34: provision hasta el cupo operativo antes de bajar del 8 %</t>
        </is>
      </c>
      <c r="K142" t="inlineStr">
        <is>
          <t>Provision en la manana, antes del pagado: con el pronostico, sin provision el saldo bajaria del 8 % del cupo ese dia. Lleva el saldo de 170.304.738 a 500.000.000 COP (cupo 500.000.000). Equipo administrado por TDV.</t>
        </is>
      </c>
      <c r="L142" s="26" t="n">
        <v>500000000</v>
      </c>
      <c r="M142" s="26" t="n">
        <v>170304738</v>
      </c>
      <c r="N142" s="27">
        <f>IF(ISNUMBER(M142),M142/L142,"No aplica")</f>
        <v>0.340609476</v>
      </c>
      <c r="O142" s="25">
        <f>IF(G142="provision",M142+H142,IF(G142="recoleccion",M142-H142,"No aplica"))</f>
        <v>500000000</v>
      </c>
      <c r="P142" s="26" t="n">
        <v>164505</v>
      </c>
    </row>
    <row r="143">
      <c r="A143" t="inlineStr">
        <is>
          <t>PRAGMA</t>
        </is>
      </c>
      <c r="B143" t="inlineStr">
        <is>
          <t>M1</t>
        </is>
      </c>
      <c r="C143" t="inlineStr">
        <is>
          <t>Cali</t>
        </is>
      </c>
      <c r="D143" t="inlineStr">
        <is>
          <t>180</t>
        </is>
      </c>
      <c r="E143" t="inlineStr">
        <is>
          <t>TDV</t>
        </is>
      </c>
      <c r="F143" s="23" t="n">
        <v>46269</v>
      </c>
      <c r="G143" t="inlineStr">
        <is>
          <t>provision</t>
        </is>
      </c>
      <c r="H143" s="26" t="n">
        <v>385920632</v>
      </c>
      <c r="I143" t="inlineStr">
        <is>
          <t>bajo</t>
        </is>
      </c>
      <c r="J143" t="inlineStr">
        <is>
          <t>RN-11 y RN-34: provision hasta el cupo operativo antes de bajar del 8 %</t>
        </is>
      </c>
      <c r="K143" t="inlineStr">
        <is>
          <t>Provision en la manana, antes del pagado: con el pronostico, sin provision el saldo bajaria del 8 % del cupo ese dia. Lleva el saldo de 114.079.368 a 500.000.000 COP (cupo 500.000.000). Equipo administrado por TDV.</t>
        </is>
      </c>
      <c r="L143" s="26" t="n">
        <v>500000000</v>
      </c>
      <c r="M143" s="26" t="n">
        <v>114079368</v>
      </c>
      <c r="N143" s="27">
        <f>IF(ISNUMBER(M143),M143/L143,"No aplica")</f>
        <v>0.228158736</v>
      </c>
      <c r="O143" s="25">
        <f>IF(G143="provision",M143+H143,IF(G143="recoleccion",M143-H143,"No aplica"))</f>
        <v>500000000</v>
      </c>
      <c r="P143" s="26" t="n">
        <v>129715</v>
      </c>
    </row>
    <row r="144">
      <c r="A144" t="inlineStr">
        <is>
          <t>PRAGMA</t>
        </is>
      </c>
      <c r="B144" t="inlineStr">
        <is>
          <t>M1</t>
        </is>
      </c>
      <c r="C144" t="inlineStr">
        <is>
          <t>Cali</t>
        </is>
      </c>
      <c r="D144" t="inlineStr">
        <is>
          <t>180</t>
        </is>
      </c>
      <c r="E144" t="inlineStr">
        <is>
          <t>TDV</t>
        </is>
      </c>
      <c r="F144" s="23" t="n">
        <v>46273</v>
      </c>
      <c r="G144" t="inlineStr">
        <is>
          <t>provision</t>
        </is>
      </c>
      <c r="H144" s="26" t="n">
        <v>417934669</v>
      </c>
      <c r="I144" t="inlineStr">
        <is>
          <t>bajo</t>
        </is>
      </c>
      <c r="J144" t="inlineStr">
        <is>
          <t>RN-11 y RN-34: provision hasta el cupo operativo antes de bajar del 8 %</t>
        </is>
      </c>
      <c r="K144" t="inlineStr">
        <is>
          <t>Provision en la manana, antes del pagado: con el pronostico, sin provision el saldo bajaria del 8 % del cupo ese dia. Lleva el saldo de 82.065.331 a 500.000.000 COP (cupo 500.000.000). Equipo administrado por TDV.</t>
        </is>
      </c>
      <c r="L144" s="26" t="n">
        <v>500000000</v>
      </c>
      <c r="M144" s="26" t="n">
        <v>82065331</v>
      </c>
      <c r="N144" s="27">
        <f>IF(ISNUMBER(M144),M144/L144,"No aplica")</f>
        <v>0.164130662</v>
      </c>
      <c r="O144" s="25">
        <f>IF(G144="provision",M144+H144,IF(G144="recoleccion",M144-H144,"No aplica"))</f>
        <v>500000000</v>
      </c>
      <c r="P144" s="26" t="n">
        <v>139127</v>
      </c>
    </row>
    <row r="145">
      <c r="A145" t="inlineStr">
        <is>
          <t>PRAGMA</t>
        </is>
      </c>
      <c r="B145" t="inlineStr">
        <is>
          <t>M1</t>
        </is>
      </c>
      <c r="C145" t="inlineStr">
        <is>
          <t>Cali</t>
        </is>
      </c>
      <c r="D145" t="inlineStr">
        <is>
          <t>180</t>
        </is>
      </c>
      <c r="E145" t="inlineStr">
        <is>
          <t>TDV</t>
        </is>
      </c>
      <c r="F145" s="23" t="n">
        <v>46277</v>
      </c>
      <c r="G145" t="inlineStr">
        <is>
          <t>provision</t>
        </is>
      </c>
      <c r="H145" s="26" t="n">
        <v>380445718</v>
      </c>
      <c r="I145" t="inlineStr">
        <is>
          <t>bajo</t>
        </is>
      </c>
      <c r="J145" t="inlineStr">
        <is>
          <t>RN-11 y RN-34: provision hasta el cupo operativo antes de bajar del 8 %</t>
        </is>
      </c>
      <c r="K145" t="inlineStr">
        <is>
          <t>Provision en la manana, antes del pagado: con el pronostico, sin provision el saldo bajaria del 8 % del cupo ese dia. Lleva el saldo de 119.554.282 a 500.000.000 COP (cupo 500.000.000). Equipo administrado por TDV.</t>
        </is>
      </c>
      <c r="L145" s="26" t="n">
        <v>500000000</v>
      </c>
      <c r="M145" s="26" t="n">
        <v>119554282</v>
      </c>
      <c r="N145" s="27">
        <f>IF(ISNUMBER(M145),M145/L145,"No aplica")</f>
        <v>0.239108564</v>
      </c>
      <c r="O145" s="25">
        <f>IF(G145="provision",M145+H145,IF(G145="recoleccion",M145-H145,"No aplica"))</f>
        <v>500000000</v>
      </c>
      <c r="P145" s="26" t="n">
        <v>128105</v>
      </c>
    </row>
    <row r="146">
      <c r="A146" t="inlineStr">
        <is>
          <t>PRAGMA</t>
        </is>
      </c>
      <c r="B146" t="inlineStr">
        <is>
          <t>M1</t>
        </is>
      </c>
      <c r="C146" t="inlineStr">
        <is>
          <t>Cali</t>
        </is>
      </c>
      <c r="D146" t="inlineStr">
        <is>
          <t>1915</t>
        </is>
      </c>
      <c r="E146" t="inlineStr">
        <is>
          <t>TDV</t>
        </is>
      </c>
      <c r="F146" s="23" t="n">
        <v>46268</v>
      </c>
      <c r="G146" t="inlineStr">
        <is>
          <t>provision</t>
        </is>
      </c>
      <c r="H146" s="26" t="n">
        <v>299583474</v>
      </c>
      <c r="I146" t="inlineStr">
        <is>
          <t>bajo</t>
        </is>
      </c>
      <c r="J146" t="inlineStr">
        <is>
          <t>RN-11 y RN-34: provision hasta el cupo operativo antes de bajar del 8 %</t>
        </is>
      </c>
      <c r="K146" t="inlineStr">
        <is>
          <t>Provision en la manana, antes del pagado: con el pronostico, sin provision el saldo bajaria del 8 % del cupo ese dia. Lleva el saldo de 111.416.526 a 411.000.000 COP (cupo 411.000.000). Equipo administrado por TDV.</t>
        </is>
      </c>
      <c r="L146" s="26" t="n">
        <v>411000000</v>
      </c>
      <c r="M146" s="26" t="n">
        <v>111416526</v>
      </c>
      <c r="N146" s="27">
        <f>IF(ISNUMBER(M146),M146/L146,"No aplica")</f>
        <v>0.2710864379562044</v>
      </c>
      <c r="O146" s="25">
        <f>IF(G146="provision",M146+H146,IF(G146="recoleccion",M146-H146,"No aplica"))</f>
        <v>411000000</v>
      </c>
      <c r="P146" s="26" t="n">
        <v>134590</v>
      </c>
    </row>
    <row r="147">
      <c r="A147" t="inlineStr">
        <is>
          <t>PRAGMA</t>
        </is>
      </c>
      <c r="B147" t="inlineStr">
        <is>
          <t>M1</t>
        </is>
      </c>
      <c r="C147" t="inlineStr">
        <is>
          <t>Cali</t>
        </is>
      </c>
      <c r="D147" t="inlineStr">
        <is>
          <t>1915</t>
        </is>
      </c>
      <c r="E147" t="inlineStr">
        <is>
          <t>TDV</t>
        </is>
      </c>
      <c r="F147" s="23" t="n">
        <v>46270</v>
      </c>
      <c r="G147" t="inlineStr">
        <is>
          <t>provision</t>
        </is>
      </c>
      <c r="H147" s="26" t="n">
        <v>264994473</v>
      </c>
      <c r="I147" t="inlineStr">
        <is>
          <t>bajo</t>
        </is>
      </c>
      <c r="J147" t="inlineStr">
        <is>
          <t>RN-11 y RN-34: provision hasta el cupo operativo antes de bajar del 8 %</t>
        </is>
      </c>
      <c r="K147" t="inlineStr">
        <is>
          <t>Provision en la manana, antes del pagado: con el pronostico, sin provision el saldo bajaria del 8 % del cupo ese dia. Lleva el saldo de 146.005.527 a 411.000.000 COP (cupo 411.000.000). Equipo administrado por TDV.</t>
        </is>
      </c>
      <c r="L147" s="26" t="n">
        <v>411000000</v>
      </c>
      <c r="M147" s="26" t="n">
        <v>146005527</v>
      </c>
      <c r="N147" s="27">
        <f>IF(ISNUMBER(M147),M147/L147,"No aplica")</f>
        <v>0.35524459124087593</v>
      </c>
      <c r="O147" s="25">
        <f>IF(G147="provision",M147+H147,IF(G147="recoleccion",M147-H147,"No aplica"))</f>
        <v>411000000</v>
      </c>
      <c r="P147" s="26" t="n">
        <v>121204</v>
      </c>
    </row>
    <row r="148">
      <c r="A148" t="inlineStr">
        <is>
          <t>PRAGMA</t>
        </is>
      </c>
      <c r="B148" t="inlineStr">
        <is>
          <t>M1</t>
        </is>
      </c>
      <c r="C148" t="inlineStr">
        <is>
          <t>Cali</t>
        </is>
      </c>
      <c r="D148" t="inlineStr">
        <is>
          <t>1915</t>
        </is>
      </c>
      <c r="E148" t="inlineStr">
        <is>
          <t>TDV</t>
        </is>
      </c>
      <c r="F148" s="23" t="n">
        <v>46274</v>
      </c>
      <c r="G148" t="inlineStr">
        <is>
          <t>provision</t>
        </is>
      </c>
      <c r="H148" s="26" t="n">
        <v>377926949</v>
      </c>
      <c r="I148" t="inlineStr">
        <is>
          <t>bajo</t>
        </is>
      </c>
      <c r="J148" t="inlineStr">
        <is>
          <t>RN-11 y RN-34: provision hasta el cupo operativo antes de bajar del 8 %</t>
        </is>
      </c>
      <c r="K148" t="inlineStr">
        <is>
          <t>Provision en la manana, antes del pagado: con el pronostico, sin provision el saldo bajaria del 8 % del cupo ese dia. Lleva el saldo de 33.073.051 a 411.000.000 COP (cupo 411.000.000). Equipo administrado por TDV.</t>
        </is>
      </c>
      <c r="L148" s="26" t="n">
        <v>411000000</v>
      </c>
      <c r="M148" s="26" t="n">
        <v>33073051</v>
      </c>
      <c r="N148" s="27">
        <f>IF(ISNUMBER(M148),M148/L148,"No aplica")</f>
        <v>0.08046971046228711</v>
      </c>
      <c r="O148" s="25">
        <f>IF(G148="provision",M148+H148,IF(G148="recoleccion",M148-H148,"No aplica"))</f>
        <v>411000000</v>
      </c>
      <c r="P148" s="26" t="n">
        <v>164909</v>
      </c>
    </row>
    <row r="149">
      <c r="A149" t="inlineStr">
        <is>
          <t>PRAGMA</t>
        </is>
      </c>
      <c r="B149" t="inlineStr">
        <is>
          <t>M1</t>
        </is>
      </c>
      <c r="C149" t="inlineStr">
        <is>
          <t>Cali</t>
        </is>
      </c>
      <c r="D149" t="inlineStr">
        <is>
          <t>1915</t>
        </is>
      </c>
      <c r="E149" t="inlineStr">
        <is>
          <t>TDV</t>
        </is>
      </c>
      <c r="F149" s="23" t="n">
        <v>46277</v>
      </c>
      <c r="G149" t="inlineStr">
        <is>
          <t>provision</t>
        </is>
      </c>
      <c r="H149" s="26" t="n">
        <v>284501798</v>
      </c>
      <c r="I149" t="inlineStr">
        <is>
          <t>bajo</t>
        </is>
      </c>
      <c r="J149" t="inlineStr">
        <is>
          <t>RN-11 y RN-34: provision hasta el cupo operativo antes de bajar del 8 %</t>
        </is>
      </c>
      <c r="K149" t="inlineStr">
        <is>
          <t>Provision en la manana, antes del pagado: con el pronostico, sin provision el saldo bajaria del 8 % del cupo ese dia. Lleva el saldo de 126.498.202 a 411.000.000 COP (cupo 411.000.000). Equipo administrado por TDV.</t>
        </is>
      </c>
      <c r="L149" s="26" t="n">
        <v>411000000</v>
      </c>
      <c r="M149" s="26" t="n">
        <v>126498202</v>
      </c>
      <c r="N149" s="27">
        <f>IF(ISNUMBER(M149),M149/L149,"No aplica")</f>
        <v>0.3077815133819951</v>
      </c>
      <c r="O149" s="25">
        <f>IF(G149="provision",M149+H149,IF(G149="recoleccion",M149-H149,"No aplica"))</f>
        <v>411000000</v>
      </c>
      <c r="P149" s="26" t="n">
        <v>128753</v>
      </c>
    </row>
    <row r="150">
      <c r="A150" t="inlineStr">
        <is>
          <t>PRAGMA</t>
        </is>
      </c>
      <c r="B150" t="inlineStr">
        <is>
          <t>M1</t>
        </is>
      </c>
      <c r="C150" t="inlineStr">
        <is>
          <t>Pasto</t>
        </is>
      </c>
      <c r="D150" t="inlineStr">
        <is>
          <t>1955</t>
        </is>
      </c>
      <c r="E150" t="inlineStr">
        <is>
          <t>Sucursal</t>
        </is>
      </c>
      <c r="F150" s="23" t="n">
        <v>46269</v>
      </c>
      <c r="G150" t="inlineStr">
        <is>
          <t>provision</t>
        </is>
      </c>
      <c r="H150" s="26" t="n">
        <v>357864279</v>
      </c>
      <c r="I150" t="inlineStr">
        <is>
          <t>bajo</t>
        </is>
      </c>
      <c r="J150" t="inlineStr">
        <is>
          <t>RN-11 y RN-34: provision hasta el cupo operativo antes de bajar del 8 %</t>
        </is>
      </c>
      <c r="K150" t="inlineStr">
        <is>
          <t>Provision en la manana, antes del pagado: con el pronostico, sin provision el saldo bajaria del 8 % del cupo ese dia. Lleva el saldo de 83.135.721 a 441.000.000 COP (cupo 441.000.000). Equipo administrado por Sucursal. Sin tarifa TDV (administrado por la sucursal): costo 0 declarado.</t>
        </is>
      </c>
      <c r="L150" s="26" t="n">
        <v>441000000</v>
      </c>
      <c r="M150" s="26" t="n">
        <v>83135721</v>
      </c>
      <c r="N150" s="27">
        <f>IF(ISNUMBER(M150),M150/L150,"No aplica")</f>
        <v>0.18851637414965985</v>
      </c>
      <c r="O150" s="25">
        <f>IF(G150="provision",M150+H150,IF(G150="recoleccion",M150-H150,"No aplica"))</f>
        <v>441000000</v>
      </c>
      <c r="P150" s="26" t="n">
        <v>0</v>
      </c>
    </row>
    <row r="151">
      <c r="A151" t="inlineStr">
        <is>
          <t>PRAGMA</t>
        </is>
      </c>
      <c r="B151" t="inlineStr">
        <is>
          <t>M1</t>
        </is>
      </c>
      <c r="C151" t="inlineStr">
        <is>
          <t>Pasto</t>
        </is>
      </c>
      <c r="D151" t="inlineStr">
        <is>
          <t>1955</t>
        </is>
      </c>
      <c r="E151" t="inlineStr">
        <is>
          <t>Sucursal</t>
        </is>
      </c>
      <c r="F151" s="23" t="n">
        <v>46272</v>
      </c>
      <c r="G151" t="inlineStr">
        <is>
          <t>provision</t>
        </is>
      </c>
      <c r="H151" s="26" t="n">
        <v>316999472</v>
      </c>
      <c r="I151" t="inlineStr">
        <is>
          <t>bajo</t>
        </is>
      </c>
      <c r="J151" t="inlineStr">
        <is>
          <t>RN-11 y RN-34: provision hasta el cupo operativo antes de bajar del 8 %</t>
        </is>
      </c>
      <c r="K151" t="inlineStr">
        <is>
          <t>Provision en la manana, antes del pagado: con el pronostico, sin provision el saldo bajaria del 8 % del cupo ese dia. Lleva el saldo de 124.000.528 a 441.000.000 COP (cupo 441.000.000). Equipo administrado por Sucursal. Sin tarifa TDV (administrado por la sucursal): costo 0 declarado.</t>
        </is>
      </c>
      <c r="L151" s="26" t="n">
        <v>441000000</v>
      </c>
      <c r="M151" s="26" t="n">
        <v>124000528</v>
      </c>
      <c r="N151" s="27">
        <f>IF(ISNUMBER(M151),M151/L151,"No aplica")</f>
        <v>0.28118033560090705</v>
      </c>
      <c r="O151" s="25">
        <f>IF(G151="provision",M151+H151,IF(G151="recoleccion",M151-H151,"No aplica"))</f>
        <v>441000000</v>
      </c>
      <c r="P151" s="26" t="n">
        <v>0</v>
      </c>
    </row>
    <row r="152">
      <c r="A152" t="inlineStr">
        <is>
          <t>PRAGMA</t>
        </is>
      </c>
      <c r="B152" t="inlineStr">
        <is>
          <t>M1</t>
        </is>
      </c>
      <c r="C152" t="inlineStr">
        <is>
          <t>Pasto</t>
        </is>
      </c>
      <c r="D152" t="inlineStr">
        <is>
          <t>1955</t>
        </is>
      </c>
      <c r="E152" t="inlineStr">
        <is>
          <t>Sucursal</t>
        </is>
      </c>
      <c r="F152" s="23" t="n">
        <v>46276</v>
      </c>
      <c r="G152" t="inlineStr">
        <is>
          <t>provision</t>
        </is>
      </c>
      <c r="H152" s="26" t="n">
        <v>352875807</v>
      </c>
      <c r="I152" t="inlineStr">
        <is>
          <t>bajo</t>
        </is>
      </c>
      <c r="J152" t="inlineStr">
        <is>
          <t>RN-11 y RN-34: provision hasta el cupo operativo antes de bajar del 8 %</t>
        </is>
      </c>
      <c r="K152" t="inlineStr">
        <is>
          <t>Provision en la manana, antes del pagado: con el pronostico, sin provision el saldo bajaria del 8 % del cupo ese dia. Lleva el saldo de 88.124.193 a 441.000.000 COP (cupo 441.000.000). Equipo administrado por Sucursal. Sin tarifa TDV (administrado por la sucursal): costo 0 declarado.</t>
        </is>
      </c>
      <c r="L152" s="26" t="n">
        <v>441000000</v>
      </c>
      <c r="M152" s="26" t="n">
        <v>88124193</v>
      </c>
      <c r="N152" s="27">
        <f>IF(ISNUMBER(M152),M152/L152,"No aplica")</f>
        <v>0.19982810204081633</v>
      </c>
      <c r="O152" s="25">
        <f>IF(G152="provision",M152+H152,IF(G152="recoleccion",M152-H152,"No aplica"))</f>
        <v>441000000</v>
      </c>
      <c r="P152" s="26" t="n">
        <v>0</v>
      </c>
    </row>
    <row r="153">
      <c r="A153" t="inlineStr">
        <is>
          <t>PRAGMA</t>
        </is>
      </c>
      <c r="B153" t="inlineStr">
        <is>
          <t>M1</t>
        </is>
      </c>
      <c r="C153" t="inlineStr">
        <is>
          <t>Pasto</t>
        </is>
      </c>
      <c r="D153" t="inlineStr">
        <is>
          <t>1955</t>
        </is>
      </c>
      <c r="E153" t="inlineStr">
        <is>
          <t>Sucursal</t>
        </is>
      </c>
      <c r="F153" s="23" t="n">
        <v>46280</v>
      </c>
      <c r="G153" t="inlineStr">
        <is>
          <t>provision</t>
        </is>
      </c>
      <c r="H153" s="26" t="n">
        <v>341181143</v>
      </c>
      <c r="I153" t="inlineStr">
        <is>
          <t>bajo</t>
        </is>
      </c>
      <c r="J153" t="inlineStr">
        <is>
          <t>RN-11 y RN-34: provision hasta el cupo operativo antes de bajar del 8 %</t>
        </is>
      </c>
      <c r="K153" t="inlineStr">
        <is>
          <t>Provision en la manana, antes del pagado: con el pronostico, sin provision el saldo bajaria del 8 % del cupo ese dia. Lleva el saldo de 99.818.857 a 441.000.000 COP (cupo 441.000.000). Equipo administrado por Sucursal. Sin tarifa TDV (administrado por la sucursal): costo 0 declarado.</t>
        </is>
      </c>
      <c r="L153" s="26" t="n">
        <v>441000000</v>
      </c>
      <c r="M153" s="26" t="n">
        <v>99818857</v>
      </c>
      <c r="N153" s="27">
        <f>IF(ISNUMBER(M153),M153/L153,"No aplica")</f>
        <v>0.22634661451247165</v>
      </c>
      <c r="O153" s="25">
        <f>IF(G153="provision",M153+H153,IF(G153="recoleccion",M153-H153,"No aplica"))</f>
        <v>441000000</v>
      </c>
      <c r="P153" s="26" t="n">
        <v>0</v>
      </c>
    </row>
    <row r="154">
      <c r="A154" t="inlineStr">
        <is>
          <t>PRAGMA</t>
        </is>
      </c>
      <c r="B154" t="inlineStr">
        <is>
          <t>M1</t>
        </is>
      </c>
      <c r="C154" t="inlineStr">
        <is>
          <t>Cali</t>
        </is>
      </c>
      <c r="D154" t="inlineStr">
        <is>
          <t>1987</t>
        </is>
      </c>
      <c r="E154" t="inlineStr">
        <is>
          <t>TDV</t>
        </is>
      </c>
      <c r="F154" s="23" t="n">
        <v>46268</v>
      </c>
      <c r="G154" t="inlineStr">
        <is>
          <t>provision</t>
        </is>
      </c>
      <c r="H154" s="26" t="n">
        <v>288672640</v>
      </c>
      <c r="I154" t="inlineStr">
        <is>
          <t>bajo</t>
        </is>
      </c>
      <c r="J154" t="inlineStr">
        <is>
          <t>RN-11 y RN-34: provision hasta el cupo operativo antes de bajar del 8 %</t>
        </is>
      </c>
      <c r="K154" t="inlineStr">
        <is>
          <t>Provision en la manana, antes del pagado: con el pronostico, sin provision el saldo bajaria del 8 % del cupo ese dia. Lleva el saldo de 116.327.360 a 405.000.000 COP (cupo 405.000.000). Equipo administrado por TDV.</t>
        </is>
      </c>
      <c r="L154" s="26" t="n">
        <v>405000000</v>
      </c>
      <c r="M154" s="26" t="n">
        <v>116327360</v>
      </c>
      <c r="N154" s="27">
        <f>IF(ISNUMBER(M154),M154/L154,"No aplica")</f>
        <v>0.28722804938271607</v>
      </c>
      <c r="O154" s="25">
        <f>IF(G154="provision",M154+H154,IF(G154="recoleccion",M154-H154,"No aplica"))</f>
        <v>405000000</v>
      </c>
      <c r="P154" s="26" t="n">
        <v>149427</v>
      </c>
    </row>
    <row r="155">
      <c r="A155" t="inlineStr">
        <is>
          <t>PRAGMA</t>
        </is>
      </c>
      <c r="B155" t="inlineStr">
        <is>
          <t>M1</t>
        </is>
      </c>
      <c r="C155" t="inlineStr">
        <is>
          <t>Cali</t>
        </is>
      </c>
      <c r="D155" t="inlineStr">
        <is>
          <t>1987</t>
        </is>
      </c>
      <c r="E155" t="inlineStr">
        <is>
          <t>TDV</t>
        </is>
      </c>
      <c r="F155" s="23" t="n">
        <v>46271</v>
      </c>
      <c r="G155" t="inlineStr">
        <is>
          <t>provision</t>
        </is>
      </c>
      <c r="H155" s="26" t="n">
        <v>355742626</v>
      </c>
      <c r="I155" t="inlineStr">
        <is>
          <t>bajo</t>
        </is>
      </c>
      <c r="J155" t="inlineStr">
        <is>
          <t>RN-11 y RN-34: provision hasta el cupo operativo antes de bajar del 8 %</t>
        </is>
      </c>
      <c r="K155" t="inlineStr">
        <is>
          <t>Provision en la manana, antes del pagado: con el pronostico, sin provision el saldo bajaria del 8 % del cupo ese dia. Lleva el saldo de 49.257.374 a 405.000.000 COP (cupo 405.000.000). Equipo administrado por TDV.</t>
        </is>
      </c>
      <c r="L155" s="26" t="n">
        <v>405000000</v>
      </c>
      <c r="M155" s="26" t="n">
        <v>49257374</v>
      </c>
      <c r="N155" s="27">
        <f>IF(ISNUMBER(M155),M155/L155,"No aplica")</f>
        <v>0.12162314567901235</v>
      </c>
      <c r="O155" s="25">
        <f>IF(G155="provision",M155+H155,IF(G155="recoleccion",M155-H155,"No aplica"))</f>
        <v>405000000</v>
      </c>
      <c r="P155" s="26" t="n">
        <v>246083</v>
      </c>
    </row>
    <row r="156">
      <c r="A156" t="inlineStr">
        <is>
          <t>PRAGMA</t>
        </is>
      </c>
      <c r="B156" t="inlineStr">
        <is>
          <t>M1</t>
        </is>
      </c>
      <c r="C156" t="inlineStr">
        <is>
          <t>Cali</t>
        </is>
      </c>
      <c r="D156" t="inlineStr">
        <is>
          <t>1987</t>
        </is>
      </c>
      <c r="E156" t="inlineStr">
        <is>
          <t>TDV</t>
        </is>
      </c>
      <c r="F156" s="23" t="n">
        <v>46275</v>
      </c>
      <c r="G156" t="inlineStr">
        <is>
          <t>provision</t>
        </is>
      </c>
      <c r="H156" s="26" t="n">
        <v>339775816</v>
      </c>
      <c r="I156" t="inlineStr">
        <is>
          <t>bajo</t>
        </is>
      </c>
      <c r="J156" t="inlineStr">
        <is>
          <t>RN-11 y RN-34: provision hasta el cupo operativo antes de bajar del 8 %</t>
        </is>
      </c>
      <c r="K156" t="inlineStr">
        <is>
          <t>Provision en la manana, antes del pagado: con el pronostico, sin provision el saldo bajaria del 8 % del cupo ese dia. Lleva el saldo de 65.224.184 a 405.000.000 COP (cupo 405.000.000). Equipo administrado por TDV.</t>
        </is>
      </c>
      <c r="L156" s="26" t="n">
        <v>405000000</v>
      </c>
      <c r="M156" s="26" t="n">
        <v>65224184</v>
      </c>
      <c r="N156" s="27">
        <f>IF(ISNUMBER(M156),M156/L156,"No aplica")</f>
        <v>0.16104736790123456</v>
      </c>
      <c r="O156" s="25">
        <f>IF(G156="provision",M156+H156,IF(G156="recoleccion",M156-H156,"No aplica"))</f>
        <v>405000000</v>
      </c>
      <c r="P156" s="26" t="n">
        <v>172526</v>
      </c>
    </row>
    <row r="157">
      <c r="A157" t="inlineStr">
        <is>
          <t>PRAGMA</t>
        </is>
      </c>
      <c r="B157" t="inlineStr">
        <is>
          <t>M1</t>
        </is>
      </c>
      <c r="C157" t="inlineStr">
        <is>
          <t>Cali</t>
        </is>
      </c>
      <c r="D157" t="inlineStr">
        <is>
          <t>1987</t>
        </is>
      </c>
      <c r="E157" t="inlineStr">
        <is>
          <t>TDV</t>
        </is>
      </c>
      <c r="F157" s="23" t="n">
        <v>46279</v>
      </c>
      <c r="G157" t="inlineStr">
        <is>
          <t>provision</t>
        </is>
      </c>
      <c r="H157" s="26" t="n">
        <v>317710489</v>
      </c>
      <c r="I157" t="inlineStr">
        <is>
          <t>bajo</t>
        </is>
      </c>
      <c r="J157" t="inlineStr">
        <is>
          <t>RN-11 y RN-34: provision hasta el cupo operativo antes de bajar del 8 %</t>
        </is>
      </c>
      <c r="K157" t="inlineStr">
        <is>
          <t>Provision en la manana, antes del pagado: con el pronostico, sin provision el saldo bajaria del 8 % del cupo ese dia. Lleva el saldo de 87.289.511 a 405.000.000 COP (cupo 405.000.000). Equipo administrado por TDV.</t>
        </is>
      </c>
      <c r="L157" s="26" t="n">
        <v>405000000</v>
      </c>
      <c r="M157" s="26" t="n">
        <v>87289511</v>
      </c>
      <c r="N157" s="27">
        <f>IF(ISNUMBER(M157),M157/L157,"No aplica")</f>
        <v>0.21552965679012345</v>
      </c>
      <c r="O157" s="25">
        <f>IF(G157="provision",M157+H157,IF(G157="recoleccion",M157-H157,"No aplica"))</f>
        <v>405000000</v>
      </c>
      <c r="P157" s="26" t="n">
        <v>162552</v>
      </c>
    </row>
    <row r="158">
      <c r="A158" t="inlineStr">
        <is>
          <t>PRAGMA</t>
        </is>
      </c>
      <c r="B158" t="inlineStr">
        <is>
          <t>M1</t>
        </is>
      </c>
      <c r="C158" t="inlineStr">
        <is>
          <t>Ipiales</t>
        </is>
      </c>
      <c r="D158" t="inlineStr">
        <is>
          <t>20</t>
        </is>
      </c>
      <c r="E158" t="inlineStr">
        <is>
          <t>TDV</t>
        </is>
      </c>
      <c r="F158" s="23" t="n">
        <v>46266</v>
      </c>
      <c r="G158" t="inlineStr">
        <is>
          <t>sin_accion</t>
        </is>
      </c>
      <c r="H158" s="26" t="n">
        <v>0</v>
      </c>
      <c r="I158" t="inlineStr">
        <is>
          <t>bajo</t>
        </is>
      </c>
      <c r="J158" t="inlineStr">
        <is>
          <t>RN-02: una fila sin_accion</t>
        </is>
      </c>
      <c r="K158" t="inlineStr">
        <is>
          <t>Sin accion en el horizonte: con el pronostico, el saldo se mantiene entre el umbral de agotamiento y el cupo sin necesidad de provision ni recoleccion.</t>
        </is>
      </c>
      <c r="L158" s="26" t="n">
        <v>411000000</v>
      </c>
      <c r="M158" s="26" t="inlineStr">
        <is>
          <t>No aplica</t>
        </is>
      </c>
      <c r="N158" s="27" t="str">
        <f>IF(ISNUMBER(M158),M158/L158,"No aplica")</f>
        <v>No aplica</v>
      </c>
      <c r="O158" s="25" t="str">
        <f>IF(G158="provision",M158+H158,IF(G158="recoleccion",M158-H158,"No aplica"))</f>
        <v>No aplica</v>
      </c>
      <c r="P158" s="26" t="inlineStr">
        <is>
          <t>No aplica</t>
        </is>
      </c>
    </row>
    <row r="159">
      <c r="A159" t="inlineStr">
        <is>
          <t>PRAGMA</t>
        </is>
      </c>
      <c r="B159" t="inlineStr">
        <is>
          <t>M1</t>
        </is>
      </c>
      <c r="C159" t="inlineStr">
        <is>
          <t>Cali</t>
        </is>
      </c>
      <c r="D159" t="inlineStr">
        <is>
          <t>2027</t>
        </is>
      </c>
      <c r="E159" t="inlineStr">
        <is>
          <t>TDV</t>
        </is>
      </c>
      <c r="F159" s="23" t="n">
        <v>46268</v>
      </c>
      <c r="G159" t="inlineStr">
        <is>
          <t>provision</t>
        </is>
      </c>
      <c r="H159" s="26" t="n">
        <v>350635146</v>
      </c>
      <c r="I159" t="inlineStr">
        <is>
          <t>bajo</t>
        </is>
      </c>
      <c r="J159" t="inlineStr">
        <is>
          <t>RN-11 y RN-34: provision hasta el cupo operativo antes de bajar del 8 %</t>
        </is>
      </c>
      <c r="K159" t="inlineStr">
        <is>
          <t>Provision en la manana, antes del pagado: con el pronostico, sin provision el saldo bajaria del 8 % del cupo ese dia. Lleva el saldo de 60.364.854 a 411.000.000 COP (cupo 411.000.000). Equipo administrado por TDV.</t>
        </is>
      </c>
      <c r="L159" s="26" t="n">
        <v>411000000</v>
      </c>
      <c r="M159" s="26" t="n">
        <v>60364854</v>
      </c>
      <c r="N159" s="27">
        <f>IF(ISNUMBER(M159),M159/L159,"No aplica")</f>
        <v>0.14687312408759123</v>
      </c>
      <c r="O159" s="25">
        <f>IF(G159="provision",M159+H159,IF(G159="recoleccion",M159-H159,"No aplica"))</f>
        <v>411000000</v>
      </c>
      <c r="P159" s="26" t="n">
        <v>173761</v>
      </c>
    </row>
    <row r="160">
      <c r="A160" t="inlineStr">
        <is>
          <t>PRAGMA</t>
        </is>
      </c>
      <c r="B160" t="inlineStr">
        <is>
          <t>M1</t>
        </is>
      </c>
      <c r="C160" t="inlineStr">
        <is>
          <t>Cali</t>
        </is>
      </c>
      <c r="D160" t="inlineStr">
        <is>
          <t>2027</t>
        </is>
      </c>
      <c r="E160" t="inlineStr">
        <is>
          <t>TDV</t>
        </is>
      </c>
      <c r="F160" s="23" t="n">
        <v>46270</v>
      </c>
      <c r="G160" t="inlineStr">
        <is>
          <t>provision</t>
        </is>
      </c>
      <c r="H160" s="26" t="n">
        <v>297966998</v>
      </c>
      <c r="I160" t="inlineStr">
        <is>
          <t>bajo</t>
        </is>
      </c>
      <c r="J160" t="inlineStr">
        <is>
          <t>RN-11 y RN-34: provision hasta el cupo operativo antes de bajar del 8 %</t>
        </is>
      </c>
      <c r="K160" t="inlineStr">
        <is>
          <t>Provision en la manana, antes del pagado: con el pronostico, sin provision el saldo bajaria del 8 % del cupo ese dia. Lleva el saldo de 113.033.002 a 411.000.000 COP (cupo 411.000.000). Equipo administrado por TDV.</t>
        </is>
      </c>
      <c r="L160" s="26" t="n">
        <v>411000000</v>
      </c>
      <c r="M160" s="26" t="n">
        <v>113033002</v>
      </c>
      <c r="N160" s="27">
        <f>IF(ISNUMBER(M160),M160/L160,"No aplica")</f>
        <v>0.2750194695863747</v>
      </c>
      <c r="O160" s="25">
        <f>IF(G160="provision",M160+H160,IF(G160="recoleccion",M160-H160,"No aplica"))</f>
        <v>411000000</v>
      </c>
      <c r="P160" s="26" t="n">
        <v>150481</v>
      </c>
    </row>
    <row r="161">
      <c r="A161" t="inlineStr">
        <is>
          <t>PRAGMA</t>
        </is>
      </c>
      <c r="B161" t="inlineStr">
        <is>
          <t>M1</t>
        </is>
      </c>
      <c r="C161" t="inlineStr">
        <is>
          <t>Cali</t>
        </is>
      </c>
      <c r="D161" t="inlineStr">
        <is>
          <t>2027</t>
        </is>
      </c>
      <c r="E161" t="inlineStr">
        <is>
          <t>TDV</t>
        </is>
      </c>
      <c r="F161" s="23" t="n">
        <v>46272</v>
      </c>
      <c r="G161" t="inlineStr">
        <is>
          <t>provision</t>
        </is>
      </c>
      <c r="H161" s="26" t="n">
        <v>290540297</v>
      </c>
      <c r="I161" t="inlineStr">
        <is>
          <t>bajo</t>
        </is>
      </c>
      <c r="J161" t="inlineStr">
        <is>
          <t>RN-11 y RN-34: provision hasta el cupo operativo antes de bajar del 8 %</t>
        </is>
      </c>
      <c r="K161" t="inlineStr">
        <is>
          <t>Provision en la manana, antes del pagado: con el pronostico, sin provision el saldo bajaria del 8 % del cupo ese dia. Lleva el saldo de 120.459.703 a 411.000.000 COP (cupo 411.000.000). Equipo administrado por TDV.</t>
        </is>
      </c>
      <c r="L161" s="26" t="n">
        <v>411000000</v>
      </c>
      <c r="M161" s="26" t="n">
        <v>120459703</v>
      </c>
      <c r="N161" s="27">
        <f>IF(ISNUMBER(M161),M161/L161,"No aplica")</f>
        <v>0.293089301703163</v>
      </c>
      <c r="O161" s="25">
        <f>IF(G161="provision",M161+H161,IF(G161="recoleccion",M161-H161,"No aplica"))</f>
        <v>411000000</v>
      </c>
      <c r="P161" s="26" t="n">
        <v>147199</v>
      </c>
    </row>
    <row r="162">
      <c r="A162" t="inlineStr">
        <is>
          <t>PRAGMA</t>
        </is>
      </c>
      <c r="B162" t="inlineStr">
        <is>
          <t>M1</t>
        </is>
      </c>
      <c r="C162" t="inlineStr">
        <is>
          <t>Cali</t>
        </is>
      </c>
      <c r="D162" t="inlineStr">
        <is>
          <t>2027</t>
        </is>
      </c>
      <c r="E162" t="inlineStr">
        <is>
          <t>TDV</t>
        </is>
      </c>
      <c r="F162" s="23" t="n">
        <v>46275</v>
      </c>
      <c r="G162" t="inlineStr">
        <is>
          <t>provision</t>
        </is>
      </c>
      <c r="H162" s="26" t="n">
        <v>335888870</v>
      </c>
      <c r="I162" t="inlineStr">
        <is>
          <t>bajo</t>
        </is>
      </c>
      <c r="J162" t="inlineStr">
        <is>
          <t>RN-11 y RN-34: provision hasta el cupo operativo antes de bajar del 8 %</t>
        </is>
      </c>
      <c r="K162" t="inlineStr">
        <is>
          <t>Provision en la manana, antes del pagado: con el pronostico, sin provision el saldo bajaria del 8 % del cupo ese dia. Lleva el saldo de 75.111.130 a 411.000.000 COP (cupo 411.000.000). Equipo administrado por TDV.</t>
        </is>
      </c>
      <c r="L162" s="26" t="n">
        <v>411000000</v>
      </c>
      <c r="M162" s="26" t="n">
        <v>75111130</v>
      </c>
      <c r="N162" s="27">
        <f>IF(ISNUMBER(M162),M162/L162,"No aplica")</f>
        <v>0.18275214111922142</v>
      </c>
      <c r="O162" s="25">
        <f>IF(G162="provision",M162+H162,IF(G162="recoleccion",M162-H162,"No aplica"))</f>
        <v>411000000</v>
      </c>
      <c r="P162" s="26" t="n">
        <v>167243</v>
      </c>
    </row>
    <row r="163">
      <c r="A163" t="inlineStr">
        <is>
          <t>PRAGMA</t>
        </is>
      </c>
      <c r="B163" t="inlineStr">
        <is>
          <t>M1</t>
        </is>
      </c>
      <c r="C163" t="inlineStr">
        <is>
          <t>Cali</t>
        </is>
      </c>
      <c r="D163" t="inlineStr">
        <is>
          <t>2027</t>
        </is>
      </c>
      <c r="E163" t="inlineStr">
        <is>
          <t>TDV</t>
        </is>
      </c>
      <c r="F163" s="23" t="n">
        <v>46278</v>
      </c>
      <c r="G163" t="inlineStr">
        <is>
          <t>provision</t>
        </is>
      </c>
      <c r="H163" s="26" t="n">
        <v>355312006</v>
      </c>
      <c r="I163" t="inlineStr">
        <is>
          <t>bajo</t>
        </is>
      </c>
      <c r="J163" t="inlineStr">
        <is>
          <t>RN-11 y RN-34: provision hasta el cupo operativo antes de bajar del 8 %</t>
        </is>
      </c>
      <c r="K163" t="inlineStr">
        <is>
          <t>Provision en la manana, antes del pagado: con el pronostico, sin provision el saldo bajaria del 8 % del cupo ese dia. Lleva el saldo de 55.687.994 a 411.000.000 COP (cupo 411.000.000). Equipo administrado por TDV.</t>
        </is>
      </c>
      <c r="L163" s="26" t="n">
        <v>411000000</v>
      </c>
      <c r="M163" s="26" t="n">
        <v>55687994</v>
      </c>
      <c r="N163" s="27">
        <f>IF(ISNUMBER(M163),M163/L163,"No aplica")</f>
        <v>0.13549390267639902</v>
      </c>
      <c r="O163" s="25">
        <f>IF(G163="provision",M163+H163,IF(G163="recoleccion",M163-H163,"No aplica"))</f>
        <v>411000000</v>
      </c>
      <c r="P163" s="26" t="n">
        <v>232570</v>
      </c>
    </row>
    <row r="164">
      <c r="A164" t="inlineStr">
        <is>
          <t>PRAGMA</t>
        </is>
      </c>
      <c r="B164" t="inlineStr">
        <is>
          <t>M1</t>
        </is>
      </c>
      <c r="C164" t="inlineStr">
        <is>
          <t>Cali</t>
        </is>
      </c>
      <c r="D164" t="inlineStr">
        <is>
          <t>2036</t>
        </is>
      </c>
      <c r="E164" t="inlineStr">
        <is>
          <t>TDV</t>
        </is>
      </c>
      <c r="F164" s="23" t="n">
        <v>46270</v>
      </c>
      <c r="G164" t="inlineStr">
        <is>
          <t>provision</t>
        </is>
      </c>
      <c r="H164" s="26" t="n">
        <v>317862479</v>
      </c>
      <c r="I164" t="inlineStr">
        <is>
          <t>bajo</t>
        </is>
      </c>
      <c r="J164" t="inlineStr">
        <is>
          <t>RN-11 y RN-34: provision hasta el cupo operativo antes de bajar del 8 %</t>
        </is>
      </c>
      <c r="K164" t="inlineStr">
        <is>
          <t>Provision en la manana, antes del pagado: con el pronostico, sin provision el saldo bajaria del 8 % del cupo ese dia. Lleva el saldo de 93.137.521 a 411.000.000 COP (cupo 411.000.000). Equipo administrado por TDV.</t>
        </is>
      </c>
      <c r="L164" s="26" t="n">
        <v>411000000</v>
      </c>
      <c r="M164" s="26" t="n">
        <v>93137521</v>
      </c>
      <c r="N164" s="27">
        <f>IF(ISNUMBER(M164),M164/L164,"No aplica")</f>
        <v>0.22661197323600973</v>
      </c>
      <c r="O164" s="25">
        <f>IF(G164="provision",M164+H164,IF(G164="recoleccion",M164-H164,"No aplica"))</f>
        <v>411000000</v>
      </c>
      <c r="P164" s="26" t="n">
        <v>162621</v>
      </c>
    </row>
    <row r="165">
      <c r="A165" t="inlineStr">
        <is>
          <t>PRAGMA</t>
        </is>
      </c>
      <c r="B165" t="inlineStr">
        <is>
          <t>M1</t>
        </is>
      </c>
      <c r="C165" t="inlineStr">
        <is>
          <t>Cali</t>
        </is>
      </c>
      <c r="D165" t="inlineStr">
        <is>
          <t>2036</t>
        </is>
      </c>
      <c r="E165" t="inlineStr">
        <is>
          <t>TDV</t>
        </is>
      </c>
      <c r="F165" s="23" t="n">
        <v>46276</v>
      </c>
      <c r="G165" t="inlineStr">
        <is>
          <t>provision</t>
        </is>
      </c>
      <c r="H165" s="26" t="n">
        <v>340577364</v>
      </c>
      <c r="I165" t="inlineStr">
        <is>
          <t>bajo</t>
        </is>
      </c>
      <c r="J165" t="inlineStr">
        <is>
          <t>RN-11 y RN-34: provision hasta el cupo operativo antes de bajar del 8 %</t>
        </is>
      </c>
      <c r="K165" t="inlineStr">
        <is>
          <t>Provision en la manana, antes del pagado: con el pronostico, sin provision el saldo bajaria del 8 % del cupo ese dia. Lleva el saldo de 70.422.636 a 411.000.000 COP (cupo 411.000.000). Equipo administrado por TDV.</t>
        </is>
      </c>
      <c r="L165" s="26" t="n">
        <v>411000000</v>
      </c>
      <c r="M165" s="26" t="n">
        <v>70422636</v>
      </c>
      <c r="N165" s="27">
        <f>IF(ISNUMBER(M165),M165/L165,"No aplica")</f>
        <v>0.17134461313868612</v>
      </c>
      <c r="O165" s="25">
        <f>IF(G165="provision",M165+H165,IF(G165="recoleccion",M165-H165,"No aplica"))</f>
        <v>411000000</v>
      </c>
      <c r="P165" s="26" t="n">
        <v>172888</v>
      </c>
    </row>
    <row r="166">
      <c r="A166" t="inlineStr">
        <is>
          <t>PRAGMA</t>
        </is>
      </c>
      <c r="B166" t="inlineStr">
        <is>
          <t>M1</t>
        </is>
      </c>
      <c r="C166" t="inlineStr">
        <is>
          <t>Cali</t>
        </is>
      </c>
      <c r="D166" t="inlineStr">
        <is>
          <t>2037</t>
        </is>
      </c>
      <c r="E166" t="inlineStr">
        <is>
          <t>TDV</t>
        </is>
      </c>
      <c r="F166" s="23" t="n">
        <v>46270</v>
      </c>
      <c r="G166" t="inlineStr">
        <is>
          <t>provision</t>
        </is>
      </c>
      <c r="H166" s="26" t="n">
        <v>348999818</v>
      </c>
      <c r="I166" t="inlineStr">
        <is>
          <t>bajo</t>
        </is>
      </c>
      <c r="J166" t="inlineStr">
        <is>
          <t>RN-11 y RN-34: provision hasta el cupo operativo antes de bajar del 8 %</t>
        </is>
      </c>
      <c r="K166" t="inlineStr">
        <is>
          <t>Provision en la manana, antes del pagado: con el pronostico, sin provision el saldo bajaria del 8 % del cupo ese dia. Lleva el saldo de 62.000.182 a 411.000.000 COP (cupo 411.000.000). Equipo administrado por TDV.</t>
        </is>
      </c>
      <c r="L166" s="26" t="n">
        <v>411000000</v>
      </c>
      <c r="M166" s="26" t="n">
        <v>62000182</v>
      </c>
      <c r="N166" s="27">
        <f>IF(ISNUMBER(M166),M166/L166,"No aplica")</f>
        <v>0.15085202433090025</v>
      </c>
      <c r="O166" s="25">
        <f>IF(G166="provision",M166+H166,IF(G166="recoleccion",M166-H166,"No aplica"))</f>
        <v>411000000</v>
      </c>
      <c r="P166" s="26" t="n">
        <v>176695</v>
      </c>
    </row>
    <row r="167">
      <c r="A167" t="inlineStr">
        <is>
          <t>PRAGMA</t>
        </is>
      </c>
      <c r="B167" t="inlineStr">
        <is>
          <t>M1</t>
        </is>
      </c>
      <c r="C167" t="inlineStr">
        <is>
          <t>Cali</t>
        </is>
      </c>
      <c r="D167" t="inlineStr">
        <is>
          <t>2037</t>
        </is>
      </c>
      <c r="E167" t="inlineStr">
        <is>
          <t>TDV</t>
        </is>
      </c>
      <c r="F167" s="23" t="n">
        <v>46276</v>
      </c>
      <c r="G167" t="inlineStr">
        <is>
          <t>provision</t>
        </is>
      </c>
      <c r="H167" s="26" t="n">
        <v>368494773</v>
      </c>
      <c r="I167" t="inlineStr">
        <is>
          <t>bajo</t>
        </is>
      </c>
      <c r="J167" t="inlineStr">
        <is>
          <t>RN-11 y RN-34: provision hasta el cupo operativo antes de bajar del 8 %</t>
        </is>
      </c>
      <c r="K167" t="inlineStr">
        <is>
          <t>Provision en la manana, antes del pagado: con el pronostico, sin provision el saldo bajaria del 8 % del cupo ese dia. Lleva el saldo de 42.505.227 a 411.000.000 COP (cupo 411.000.000). Equipo administrado por TDV.</t>
        </is>
      </c>
      <c r="L167" s="26" t="n">
        <v>411000000</v>
      </c>
      <c r="M167" s="26" t="n">
        <v>42505227</v>
      </c>
      <c r="N167" s="27">
        <f>IF(ISNUMBER(M167),M167/L167,"No aplica")</f>
        <v>0.10341904379562043</v>
      </c>
      <c r="O167" s="25">
        <f>IF(G167="provision",M167+H167,IF(G167="recoleccion",M167-H167,"No aplica"))</f>
        <v>411000000</v>
      </c>
      <c r="P167" s="26" t="n">
        <v>185507</v>
      </c>
    </row>
    <row r="168">
      <c r="A168" t="inlineStr">
        <is>
          <t>PRAGMA</t>
        </is>
      </c>
      <c r="B168" t="inlineStr">
        <is>
          <t>M1</t>
        </is>
      </c>
      <c r="C168" t="inlineStr">
        <is>
          <t>Cali</t>
        </is>
      </c>
      <c r="D168" t="inlineStr">
        <is>
          <t>2042</t>
        </is>
      </c>
      <c r="E168" t="inlineStr">
        <is>
          <t>TDV</t>
        </is>
      </c>
      <c r="F168" s="23" t="n">
        <v>46268</v>
      </c>
      <c r="G168" t="inlineStr">
        <is>
          <t>provision</t>
        </is>
      </c>
      <c r="H168" s="26" t="n">
        <v>320398186</v>
      </c>
      <c r="I168" t="inlineStr">
        <is>
          <t>bajo</t>
        </is>
      </c>
      <c r="J168" t="inlineStr">
        <is>
          <t>RN-11 y RN-34: provision hasta el cupo operativo antes de bajar del 8 %</t>
        </is>
      </c>
      <c r="K168" t="inlineStr">
        <is>
          <t>Provision en la manana, antes del pagado: con el pronostico, sin provision el saldo bajaria del 8 % del cupo ese dia. Lleva el saldo de 90.601.814 a 411.000.000 COP (cupo 411.000.000). Equipo administrado por TDV.</t>
        </is>
      </c>
      <c r="L168" s="26" t="n">
        <v>411000000</v>
      </c>
      <c r="M168" s="26" t="n">
        <v>90601814</v>
      </c>
      <c r="N168" s="27">
        <f>IF(ISNUMBER(M168),M168/L168,"No aplica")</f>
        <v>0.2204423698296837</v>
      </c>
      <c r="O168" s="25">
        <f>IF(G168="provision",M168+H168,IF(G168="recoleccion",M168-H168,"No aplica"))</f>
        <v>411000000</v>
      </c>
      <c r="P168" s="26" t="n">
        <v>163106</v>
      </c>
    </row>
    <row r="169">
      <c r="A169" t="inlineStr">
        <is>
          <t>PRAGMA</t>
        </is>
      </c>
      <c r="B169" t="inlineStr">
        <is>
          <t>M1</t>
        </is>
      </c>
      <c r="C169" t="inlineStr">
        <is>
          <t>Cali</t>
        </is>
      </c>
      <c r="D169" t="inlineStr">
        <is>
          <t>2042</t>
        </is>
      </c>
      <c r="E169" t="inlineStr">
        <is>
          <t>TDV</t>
        </is>
      </c>
      <c r="F169" s="23" t="n">
        <v>46270</v>
      </c>
      <c r="G169" t="inlineStr">
        <is>
          <t>provision</t>
        </is>
      </c>
      <c r="H169" s="26" t="n">
        <v>265207631</v>
      </c>
      <c r="I169" t="inlineStr">
        <is>
          <t>bajo</t>
        </is>
      </c>
      <c r="J169" t="inlineStr">
        <is>
          <t>RN-11 y RN-34: provision hasta el cupo operativo antes de bajar del 8 %</t>
        </is>
      </c>
      <c r="K169" t="inlineStr">
        <is>
          <t>Provision en la manana, antes del pagado: con el pronostico, sin provision el saldo bajaria del 8 % del cupo ese dia. Lleva el saldo de 145.792.369 a 411.000.000 COP (cupo 411.000.000). Equipo administrado por TDV.</t>
        </is>
      </c>
      <c r="L169" s="26" t="n">
        <v>411000000</v>
      </c>
      <c r="M169" s="26" t="n">
        <v>145792369</v>
      </c>
      <c r="N169" s="27">
        <f>IF(ISNUMBER(M169),M169/L169,"No aplica")</f>
        <v>0.3547259586374696</v>
      </c>
      <c r="O169" s="25">
        <f>IF(G169="provision",M169+H169,IF(G169="recoleccion",M169-H169,"No aplica"))</f>
        <v>411000000</v>
      </c>
      <c r="P169" s="26" t="n">
        <v>138160</v>
      </c>
    </row>
    <row r="170">
      <c r="A170" t="inlineStr">
        <is>
          <t>PRAGMA</t>
        </is>
      </c>
      <c r="B170" t="inlineStr">
        <is>
          <t>M1</t>
        </is>
      </c>
      <c r="C170" t="inlineStr">
        <is>
          <t>Cali</t>
        </is>
      </c>
      <c r="D170" t="inlineStr">
        <is>
          <t>2042</t>
        </is>
      </c>
      <c r="E170" t="inlineStr">
        <is>
          <t>TDV</t>
        </is>
      </c>
      <c r="F170" s="23" t="n">
        <v>46273</v>
      </c>
      <c r="G170" t="inlineStr">
        <is>
          <t>provision</t>
        </is>
      </c>
      <c r="H170" s="26" t="n">
        <v>315075370</v>
      </c>
      <c r="I170" t="inlineStr">
        <is>
          <t>bajo</t>
        </is>
      </c>
      <c r="J170" t="inlineStr">
        <is>
          <t>RN-11 y RN-34: provision hasta el cupo operativo antes de bajar del 8 %</t>
        </is>
      </c>
      <c r="K170" t="inlineStr">
        <is>
          <t>Provision en la manana, antes del pagado: con el pronostico, sin provision el saldo bajaria del 8 % del cupo ese dia. Lleva el saldo de 95.924.630 a 411.000.000 COP (cupo 411.000.000). Equipo administrado por TDV.</t>
        </is>
      </c>
      <c r="L170" s="26" t="n">
        <v>411000000</v>
      </c>
      <c r="M170" s="26" t="n">
        <v>95924630</v>
      </c>
      <c r="N170" s="27">
        <f>IF(ISNUMBER(M170),M170/L170,"No aplica")</f>
        <v>0.2333932603406326</v>
      </c>
      <c r="O170" s="25">
        <f>IF(G170="provision",M170+H170,IF(G170="recoleccion",M170-H170,"No aplica"))</f>
        <v>411000000</v>
      </c>
      <c r="P170" s="26" t="n">
        <v>160700</v>
      </c>
    </row>
    <row r="171">
      <c r="A171" t="inlineStr">
        <is>
          <t>PRAGMA</t>
        </is>
      </c>
      <c r="B171" t="inlineStr">
        <is>
          <t>M1</t>
        </is>
      </c>
      <c r="C171" t="inlineStr">
        <is>
          <t>Cali</t>
        </is>
      </c>
      <c r="D171" t="inlineStr">
        <is>
          <t>2042</t>
        </is>
      </c>
      <c r="E171" t="inlineStr">
        <is>
          <t>TDV</t>
        </is>
      </c>
      <c r="F171" s="23" t="n">
        <v>46276</v>
      </c>
      <c r="G171" t="inlineStr">
        <is>
          <t>provision</t>
        </is>
      </c>
      <c r="H171" s="26" t="n">
        <v>328478089</v>
      </c>
      <c r="I171" t="inlineStr">
        <is>
          <t>bajo</t>
        </is>
      </c>
      <c r="J171" t="inlineStr">
        <is>
          <t>RN-11 y RN-34: provision hasta el cupo operativo antes de bajar del 8 %</t>
        </is>
      </c>
      <c r="K171" t="inlineStr">
        <is>
          <t>Provision en la manana, antes del pagado: con el pronostico, sin provision el saldo bajaria del 8 % del cupo ese dia. Lleva el saldo de 82.521.911 a 411.000.000 COP (cupo 411.000.000). Equipo administrado por TDV.</t>
        </is>
      </c>
      <c r="L171" s="26" t="n">
        <v>411000000</v>
      </c>
      <c r="M171" s="26" t="n">
        <v>82521911</v>
      </c>
      <c r="N171" s="27">
        <f>IF(ISNUMBER(M171),M171/L171,"No aplica")</f>
        <v>0.2007832384428224</v>
      </c>
      <c r="O171" s="25">
        <f>IF(G171="provision",M171+H171,IF(G171="recoleccion",M171-H171,"No aplica"))</f>
        <v>411000000</v>
      </c>
      <c r="P171" s="26" t="n">
        <v>166758</v>
      </c>
    </row>
    <row r="172">
      <c r="A172" t="inlineStr">
        <is>
          <t>PRAGMA</t>
        </is>
      </c>
      <c r="B172" t="inlineStr">
        <is>
          <t>M1</t>
        </is>
      </c>
      <c r="C172" t="inlineStr">
        <is>
          <t>Cali</t>
        </is>
      </c>
      <c r="D172" t="inlineStr">
        <is>
          <t>2042</t>
        </is>
      </c>
      <c r="E172" t="inlineStr">
        <is>
          <t>TDV</t>
        </is>
      </c>
      <c r="F172" s="23" t="n">
        <v>46279</v>
      </c>
      <c r="G172" t="inlineStr">
        <is>
          <t>provision</t>
        </is>
      </c>
      <c r="H172" s="26" t="n">
        <v>303098730</v>
      </c>
      <c r="I172" t="inlineStr">
        <is>
          <t>bajo</t>
        </is>
      </c>
      <c r="J172" t="inlineStr">
        <is>
          <t>RN-11 y RN-34: provision hasta el cupo operativo antes de bajar del 8 %</t>
        </is>
      </c>
      <c r="K172" t="inlineStr">
        <is>
          <t>Provision en la manana, antes del pagado: con el pronostico, sin provision el saldo bajaria del 8 % del cupo ese dia. Lleva el saldo de 107.901.270 a 411.000.000 COP (cupo 411.000.000). Equipo administrado por TDV.</t>
        </is>
      </c>
      <c r="L172" s="26" t="n">
        <v>411000000</v>
      </c>
      <c r="M172" s="26" t="n">
        <v>107901270</v>
      </c>
      <c r="N172" s="27">
        <f>IF(ISNUMBER(M172),M172/L172,"No aplica")</f>
        <v>0.262533503649635</v>
      </c>
      <c r="O172" s="25">
        <f>IF(G172="provision",M172+H172,IF(G172="recoleccion",M172-H172,"No aplica"))</f>
        <v>411000000</v>
      </c>
      <c r="P172" s="26" t="n">
        <v>155287</v>
      </c>
    </row>
    <row r="173">
      <c r="A173" t="inlineStr">
        <is>
          <t>PRAGMA</t>
        </is>
      </c>
      <c r="B173" t="inlineStr">
        <is>
          <t>M1</t>
        </is>
      </c>
      <c r="C173" t="inlineStr">
        <is>
          <t>Cali</t>
        </is>
      </c>
      <c r="D173" t="inlineStr">
        <is>
          <t>2099</t>
        </is>
      </c>
      <c r="E173" t="inlineStr">
        <is>
          <t>TDV</t>
        </is>
      </c>
      <c r="F173" s="23" t="n">
        <v>46266</v>
      </c>
      <c r="G173" t="inlineStr">
        <is>
          <t>sin_accion</t>
        </is>
      </c>
      <c r="H173" s="26" t="n">
        <v>0</v>
      </c>
      <c r="I173" t="inlineStr">
        <is>
          <t>bajo</t>
        </is>
      </c>
      <c r="J173" t="inlineStr">
        <is>
          <t>RN-02: una fila sin_accion</t>
        </is>
      </c>
      <c r="K173" t="inlineStr">
        <is>
          <t>Sin accion en el horizonte: con el pronostico, el saldo se mantiene entre el umbral de agotamiento y el cupo sin necesidad de provision ni recoleccion.</t>
        </is>
      </c>
      <c r="L173" s="26" t="n">
        <v>405000000</v>
      </c>
      <c r="M173" s="26" t="inlineStr">
        <is>
          <t>No aplica</t>
        </is>
      </c>
      <c r="N173" s="27" t="str">
        <f>IF(ISNUMBER(M173),M173/L173,"No aplica")</f>
        <v>No aplica</v>
      </c>
      <c r="O173" s="25" t="str">
        <f>IF(G173="provision",M173+H173,IF(G173="recoleccion",M173-H173,"No aplica"))</f>
        <v>No aplica</v>
      </c>
      <c r="P173" s="26" t="inlineStr">
        <is>
          <t>No aplica</t>
        </is>
      </c>
    </row>
    <row r="174">
      <c r="A174" t="inlineStr">
        <is>
          <t>PRAGMA</t>
        </is>
      </c>
      <c r="B174" t="inlineStr">
        <is>
          <t>M1</t>
        </is>
      </c>
      <c r="C174" t="inlineStr">
        <is>
          <t>Cali</t>
        </is>
      </c>
      <c r="D174" t="inlineStr">
        <is>
          <t>2115</t>
        </is>
      </c>
      <c r="E174" t="inlineStr">
        <is>
          <t>TDV</t>
        </is>
      </c>
      <c r="F174" s="23" t="n">
        <v>46269</v>
      </c>
      <c r="G174" t="inlineStr">
        <is>
          <t>provision</t>
        </is>
      </c>
      <c r="H174" s="26" t="n">
        <v>334363571</v>
      </c>
      <c r="I174" t="inlineStr">
        <is>
          <t>bajo</t>
        </is>
      </c>
      <c r="J174" t="inlineStr">
        <is>
          <t>RN-11 y RN-34: provision hasta el cupo operativo antes de bajar del 8 %</t>
        </is>
      </c>
      <c r="K174" t="inlineStr">
        <is>
          <t>Provision en la manana, antes del pagado: con el pronostico, sin provision el saldo bajaria del 8 % del cupo ese dia. Lleva el saldo de 76.636.429 a 411.000.000 COP (cupo 411.000.000). Equipo administrado por TDV.</t>
        </is>
      </c>
      <c r="L174" s="26" t="n">
        <v>411000000</v>
      </c>
      <c r="M174" s="26" t="n">
        <v>76636429</v>
      </c>
      <c r="N174" s="27">
        <f>IF(ISNUMBER(M174),M174/L174,"No aplica")</f>
        <v>0.1864633309002433</v>
      </c>
      <c r="O174" s="25">
        <f>IF(G174="provision",M174+H174,IF(G174="recoleccion",M174-H174,"No aplica"))</f>
        <v>411000000</v>
      </c>
      <c r="P174" s="26" t="n">
        <v>148050</v>
      </c>
    </row>
    <row r="175">
      <c r="A175" t="inlineStr">
        <is>
          <t>PRAGMA</t>
        </is>
      </c>
      <c r="B175" t="inlineStr">
        <is>
          <t>M1</t>
        </is>
      </c>
      <c r="C175" t="inlineStr">
        <is>
          <t>Cali</t>
        </is>
      </c>
      <c r="D175" t="inlineStr">
        <is>
          <t>2115</t>
        </is>
      </c>
      <c r="E175" t="inlineStr">
        <is>
          <t>TDV</t>
        </is>
      </c>
      <c r="F175" s="23" t="n">
        <v>46273</v>
      </c>
      <c r="G175" t="inlineStr">
        <is>
          <t>provision</t>
        </is>
      </c>
      <c r="H175" s="26" t="n">
        <v>324644605</v>
      </c>
      <c r="I175" t="inlineStr">
        <is>
          <t>bajo</t>
        </is>
      </c>
      <c r="J175" t="inlineStr">
        <is>
          <t>RN-11 y RN-34: provision hasta el cupo operativo antes de bajar del 8 %</t>
        </is>
      </c>
      <c r="K175" t="inlineStr">
        <is>
          <t>Provision en la manana, antes del pagado: con el pronostico, sin provision el saldo bajaria del 8 % del cupo ese dia. Lleva el saldo de 86.355.395 a 411.000.000 COP (cupo 411.000.000). Equipo administrado por TDV.</t>
        </is>
      </c>
      <c r="L175" s="26" t="n">
        <v>411000000</v>
      </c>
      <c r="M175" s="26" t="n">
        <v>86355395</v>
      </c>
      <c r="N175" s="27">
        <f>IF(ISNUMBER(M175),M175/L175,"No aplica")</f>
        <v>0.2101104501216545</v>
      </c>
      <c r="O175" s="25">
        <f>IF(G175="provision",M175+H175,IF(G175="recoleccion",M175-H175,"No aplica"))</f>
        <v>411000000</v>
      </c>
      <c r="P175" s="26" t="n">
        <v>144288</v>
      </c>
    </row>
    <row r="176">
      <c r="A176" t="inlineStr">
        <is>
          <t>PRAGMA</t>
        </is>
      </c>
      <c r="B176" t="inlineStr">
        <is>
          <t>M1</t>
        </is>
      </c>
      <c r="C176" t="inlineStr">
        <is>
          <t>Cali</t>
        </is>
      </c>
      <c r="D176" t="inlineStr">
        <is>
          <t>2115</t>
        </is>
      </c>
      <c r="E176" t="inlineStr">
        <is>
          <t>TDV</t>
        </is>
      </c>
      <c r="F176" s="23" t="n">
        <v>46277</v>
      </c>
      <c r="G176" t="inlineStr">
        <is>
          <t>provision</t>
        </is>
      </c>
      <c r="H176" s="26" t="n">
        <v>293478760</v>
      </c>
      <c r="I176" t="inlineStr">
        <is>
          <t>bajo</t>
        </is>
      </c>
      <c r="J176" t="inlineStr">
        <is>
          <t>RN-11 y RN-34: provision hasta el cupo operativo antes de bajar del 8 %</t>
        </is>
      </c>
      <c r="K176" t="inlineStr">
        <is>
          <t>Provision en la manana, antes del pagado: con el pronostico, sin provision el saldo bajaria del 8 % del cupo ese dia. Lleva el saldo de 117.521.240 a 411.000.000 COP (cupo 411.000.000). Equipo administrado por TDV.</t>
        </is>
      </c>
      <c r="L176" s="26" t="n">
        <v>411000000</v>
      </c>
      <c r="M176" s="26" t="n">
        <v>117521240</v>
      </c>
      <c r="N176" s="27">
        <f>IF(ISNUMBER(M176),M176/L176,"No aplica")</f>
        <v>0.2859397566909976</v>
      </c>
      <c r="O176" s="25">
        <f>IF(G176="provision",M176+H176,IF(G176="recoleccion",M176-H176,"No aplica"))</f>
        <v>411000000</v>
      </c>
      <c r="P176" s="26" t="n">
        <v>132227</v>
      </c>
    </row>
    <row r="177">
      <c r="A177" t="inlineStr">
        <is>
          <t>PRAGMA</t>
        </is>
      </c>
      <c r="B177" t="inlineStr">
        <is>
          <t>M1</t>
        </is>
      </c>
      <c r="C177" t="inlineStr">
        <is>
          <t>Cali</t>
        </is>
      </c>
      <c r="D177" t="inlineStr">
        <is>
          <t>2122</t>
        </is>
      </c>
      <c r="E177" t="inlineStr">
        <is>
          <t>TDV</t>
        </is>
      </c>
      <c r="F177" s="23" t="n">
        <v>46266</v>
      </c>
      <c r="G177" t="inlineStr">
        <is>
          <t>sin_accion</t>
        </is>
      </c>
      <c r="H177" s="26" t="n">
        <v>0</v>
      </c>
      <c r="I177" t="inlineStr">
        <is>
          <t>bajo</t>
        </is>
      </c>
      <c r="J177" t="inlineStr">
        <is>
          <t>RN-02: una fila sin_accion</t>
        </is>
      </c>
      <c r="K177" t="inlineStr">
        <is>
          <t>Sin accion en el horizonte: con el pronostico, el saldo se mantiene entre el umbral de agotamiento y el cupo sin necesidad de provision ni recoleccion.</t>
        </is>
      </c>
      <c r="L177" s="26" t="n">
        <v>500000000</v>
      </c>
      <c r="M177" s="26" t="inlineStr">
        <is>
          <t>No aplica</t>
        </is>
      </c>
      <c r="N177" s="27" t="str">
        <f>IF(ISNUMBER(M177),M177/L177,"No aplica")</f>
        <v>No aplica</v>
      </c>
      <c r="O177" s="25" t="str">
        <f>IF(G177="provision",M177+H177,IF(G177="recoleccion",M177-H177,"No aplica"))</f>
        <v>No aplica</v>
      </c>
      <c r="P177" s="26" t="inlineStr">
        <is>
          <t>No aplica</t>
        </is>
      </c>
    </row>
    <row r="178">
      <c r="A178" t="inlineStr">
        <is>
          <t>PRAGMA</t>
        </is>
      </c>
      <c r="B178" t="inlineStr">
        <is>
          <t>M1</t>
        </is>
      </c>
      <c r="C178" t="inlineStr">
        <is>
          <t>Cali</t>
        </is>
      </c>
      <c r="D178" t="inlineStr">
        <is>
          <t>2140</t>
        </is>
      </c>
      <c r="E178" t="inlineStr">
        <is>
          <t>TDV</t>
        </is>
      </c>
      <c r="F178" s="23" t="n">
        <v>46273</v>
      </c>
      <c r="G178" t="inlineStr">
        <is>
          <t>provision</t>
        </is>
      </c>
      <c r="H178" s="26" t="n">
        <v>456677434</v>
      </c>
      <c r="I178" t="inlineStr">
        <is>
          <t>bajo</t>
        </is>
      </c>
      <c r="J178" t="inlineStr">
        <is>
          <t>RN-11 y RN-34: provision hasta el cupo operativo antes de bajar del 8 %</t>
        </is>
      </c>
      <c r="K178" t="inlineStr">
        <is>
          <t>Provision en la manana, antes del pagado: con el pronostico, sin provision el saldo bajaria del 8 % del cupo ese dia. Lleva el saldo de 43.322.566 a 500.000.000 COP (cupo 500.000.000). Equipo administrado por TDV.</t>
        </is>
      </c>
      <c r="L178" s="26" t="n">
        <v>500000000</v>
      </c>
      <c r="M178" s="26" t="n">
        <v>43322566</v>
      </c>
      <c r="N178" s="27">
        <f>IF(ISNUMBER(M178),M178/L178,"No aplica")</f>
        <v>0.086645132</v>
      </c>
      <c r="O178" s="25">
        <f>IF(G178="provision",M178+H178,IF(G178="recoleccion",M178-H178,"No aplica"))</f>
        <v>500000000</v>
      </c>
      <c r="P178" s="26" t="n">
        <v>225365</v>
      </c>
    </row>
    <row r="179">
      <c r="A179" t="inlineStr">
        <is>
          <t>PRAGMA</t>
        </is>
      </c>
      <c r="B179" t="inlineStr">
        <is>
          <t>M1</t>
        </is>
      </c>
      <c r="C179" t="inlineStr">
        <is>
          <t>Cali</t>
        </is>
      </c>
      <c r="D179" t="inlineStr">
        <is>
          <t>2141</t>
        </is>
      </c>
      <c r="E179" t="inlineStr">
        <is>
          <t>TDV</t>
        </is>
      </c>
      <c r="F179" s="23" t="n">
        <v>46269</v>
      </c>
      <c r="G179" t="inlineStr">
        <is>
          <t>provision</t>
        </is>
      </c>
      <c r="H179" s="26" t="n">
        <v>442376948</v>
      </c>
      <c r="I179" t="inlineStr">
        <is>
          <t>bajo</t>
        </is>
      </c>
      <c r="J179" t="inlineStr">
        <is>
          <t>RN-11 y RN-34: provision hasta el cupo operativo antes de bajar del 8 %</t>
        </is>
      </c>
      <c r="K179" t="inlineStr">
        <is>
          <t>Provision en la manana, antes del pagado: con el pronostico, sin provision el saldo bajaria del 8 % del cupo ese dia. Lleva el saldo de 57.623.052 a 500.000.000 COP (cupo 500.000.000). Equipo administrado por TDV.</t>
        </is>
      </c>
      <c r="L179" s="26" t="n">
        <v>500000000</v>
      </c>
      <c r="M179" s="26" t="n">
        <v>57623052</v>
      </c>
      <c r="N179" s="27">
        <f>IF(ISNUMBER(M179),M179/L179,"No aplica")</f>
        <v>0.115246104</v>
      </c>
      <c r="O179" s="25">
        <f>IF(G179="provision",M179+H179,IF(G179="recoleccion",M179-H179,"No aplica"))</f>
        <v>500000000</v>
      </c>
      <c r="P179" s="26" t="n">
        <v>214311</v>
      </c>
    </row>
    <row r="180">
      <c r="A180" t="inlineStr">
        <is>
          <t>PRAGMA</t>
        </is>
      </c>
      <c r="B180" t="inlineStr">
        <is>
          <t>M1</t>
        </is>
      </c>
      <c r="C180" t="inlineStr">
        <is>
          <t>Cali</t>
        </is>
      </c>
      <c r="D180" t="inlineStr">
        <is>
          <t>2141</t>
        </is>
      </c>
      <c r="E180" t="inlineStr">
        <is>
          <t>TDV</t>
        </is>
      </c>
      <c r="F180" s="23" t="n">
        <v>46273</v>
      </c>
      <c r="G180" t="inlineStr">
        <is>
          <t>provision</t>
        </is>
      </c>
      <c r="H180" s="26" t="n">
        <v>457108951</v>
      </c>
      <c r="I180" t="inlineStr">
        <is>
          <t>bajo</t>
        </is>
      </c>
      <c r="J180" t="inlineStr">
        <is>
          <t>RN-11 y RN-34: provision hasta el cupo operativo antes de bajar del 8 %</t>
        </is>
      </c>
      <c r="K180" t="inlineStr">
        <is>
          <t>Provision en la manana, antes del pagado: con el pronostico, sin provision el saldo bajaria del 8 % del cupo ese dia. Lleva el saldo de 42.891.049 a 500.000.000 COP (cupo 500.000.000). Equipo administrado por TDV.</t>
        </is>
      </c>
      <c r="L180" s="26" t="n">
        <v>500000000</v>
      </c>
      <c r="M180" s="26" t="n">
        <v>42891049</v>
      </c>
      <c r="N180" s="27">
        <f>IF(ISNUMBER(M180),M180/L180,"No aplica")</f>
        <v>0.085782098</v>
      </c>
      <c r="O180" s="25">
        <f>IF(G180="provision",M180+H180,IF(G180="recoleccion",M180-H180,"No aplica"))</f>
        <v>500000000</v>
      </c>
      <c r="P180" s="26" t="n">
        <v>220822</v>
      </c>
    </row>
    <row r="181">
      <c r="A181" t="inlineStr">
        <is>
          <t>PRAGMA</t>
        </is>
      </c>
      <c r="B181" t="inlineStr">
        <is>
          <t>M1</t>
        </is>
      </c>
      <c r="C181" t="inlineStr">
        <is>
          <t>Cali</t>
        </is>
      </c>
      <c r="D181" t="inlineStr">
        <is>
          <t>2141</t>
        </is>
      </c>
      <c r="E181" t="inlineStr">
        <is>
          <t>TDV</t>
        </is>
      </c>
      <c r="F181" s="23" t="n">
        <v>46277</v>
      </c>
      <c r="G181" t="inlineStr">
        <is>
          <t>provision</t>
        </is>
      </c>
      <c r="H181" s="26" t="n">
        <v>401614458</v>
      </c>
      <c r="I181" t="inlineStr">
        <is>
          <t>bajo</t>
        </is>
      </c>
      <c r="J181" t="inlineStr">
        <is>
          <t>RN-11 y RN-34: provision hasta el cupo operativo antes de bajar del 8 %</t>
        </is>
      </c>
      <c r="K181" t="inlineStr">
        <is>
          <t>Provision en la manana, antes del pagado: con el pronostico, sin provision el saldo bajaria del 8 % del cupo ese dia. Lleva el saldo de 98.385.542 a 500.000.000 COP (cupo 500.000.000). Equipo administrado por TDV.</t>
        </is>
      </c>
      <c r="L181" s="26" t="n">
        <v>500000000</v>
      </c>
      <c r="M181" s="26" t="n">
        <v>98385542</v>
      </c>
      <c r="N181" s="27">
        <f>IF(ISNUMBER(M181),M181/L181,"No aplica")</f>
        <v>0.196771084</v>
      </c>
      <c r="O181" s="25">
        <f>IF(G181="provision",M181+H181,IF(G181="recoleccion",M181-H181,"No aplica"))</f>
        <v>500000000</v>
      </c>
      <c r="P181" s="26" t="n">
        <v>196294</v>
      </c>
    </row>
    <row r="182">
      <c r="A182" t="inlineStr">
        <is>
          <t>PRAGMA</t>
        </is>
      </c>
      <c r="B182" t="inlineStr">
        <is>
          <t>M1</t>
        </is>
      </c>
      <c r="C182" t="inlineStr">
        <is>
          <t>Cali</t>
        </is>
      </c>
      <c r="D182" t="inlineStr">
        <is>
          <t>2143</t>
        </is>
      </c>
      <c r="E182" t="inlineStr">
        <is>
          <t>TDV</t>
        </is>
      </c>
      <c r="F182" s="23" t="n">
        <v>46270</v>
      </c>
      <c r="G182" t="inlineStr">
        <is>
          <t>provision</t>
        </is>
      </c>
      <c r="H182" s="26" t="n">
        <v>394732913</v>
      </c>
      <c r="I182" t="inlineStr">
        <is>
          <t>bajo</t>
        </is>
      </c>
      <c r="J182" t="inlineStr">
        <is>
          <t>RN-11 y RN-34: provision hasta el cupo operativo antes de bajar del 8 %</t>
        </is>
      </c>
      <c r="K182" t="inlineStr">
        <is>
          <t>Provision en la manana, antes del pagado: con el pronostico, sin provision el saldo bajaria del 8 % del cupo ese dia. Lleva el saldo de 105.267.087 a 500.000.000 COP (cupo 500.000.000). Equipo administrado por TDV.</t>
        </is>
      </c>
      <c r="L182" s="26" t="n">
        <v>500000000</v>
      </c>
      <c r="M182" s="26" t="n">
        <v>105267087</v>
      </c>
      <c r="N182" s="27">
        <f>IF(ISNUMBER(M182),M182/L182,"No aplica")</f>
        <v>0.210534174</v>
      </c>
      <c r="O182" s="25">
        <f>IF(G182="provision",M182+H182,IF(G182="recoleccion",M182-H182,"No aplica"))</f>
        <v>500000000</v>
      </c>
      <c r="P182" s="26" t="n">
        <v>196705</v>
      </c>
    </row>
    <row r="183">
      <c r="A183" t="inlineStr">
        <is>
          <t>PRAGMA</t>
        </is>
      </c>
      <c r="B183" t="inlineStr">
        <is>
          <t>M1</t>
        </is>
      </c>
      <c r="C183" t="inlineStr">
        <is>
          <t>Cali</t>
        </is>
      </c>
      <c r="D183" t="inlineStr">
        <is>
          <t>2143</t>
        </is>
      </c>
      <c r="E183" t="inlineStr">
        <is>
          <t>TDV</t>
        </is>
      </c>
      <c r="F183" s="23" t="n">
        <v>46276</v>
      </c>
      <c r="G183" t="inlineStr">
        <is>
          <t>provision</t>
        </is>
      </c>
      <c r="H183" s="26" t="n">
        <v>405134900</v>
      </c>
      <c r="I183" t="inlineStr">
        <is>
          <t>bajo</t>
        </is>
      </c>
      <c r="J183" t="inlineStr">
        <is>
          <t>RN-11 y RN-34: provision hasta el cupo operativo antes de bajar del 8 %</t>
        </is>
      </c>
      <c r="K183" t="inlineStr">
        <is>
          <t>Provision en la manana, antes del pagado: con el pronostico, sin provision el saldo bajaria del 8 % del cupo ese dia. Lleva el saldo de 94.865.100 a 500.000.000 COP (cupo 500.000.000). Equipo administrado por TDV.</t>
        </is>
      </c>
      <c r="L183" s="26" t="n">
        <v>500000000</v>
      </c>
      <c r="M183" s="26" t="n">
        <v>94865100</v>
      </c>
      <c r="N183" s="27">
        <f>IF(ISNUMBER(M183),M183/L183,"No aplica")</f>
        <v>0.1897302</v>
      </c>
      <c r="O183" s="25">
        <f>IF(G183="provision",M183+H183,IF(G183="recoleccion",M183-H183,"No aplica"))</f>
        <v>500000000</v>
      </c>
      <c r="P183" s="26" t="n">
        <v>201407</v>
      </c>
    </row>
    <row r="184">
      <c r="A184" t="inlineStr">
        <is>
          <t>PRAGMA</t>
        </is>
      </c>
      <c r="B184" t="inlineStr">
        <is>
          <t>M1</t>
        </is>
      </c>
      <c r="C184" t="inlineStr">
        <is>
          <t>Cali</t>
        </is>
      </c>
      <c r="D184" t="inlineStr">
        <is>
          <t>2147</t>
        </is>
      </c>
      <c r="E184" t="inlineStr">
        <is>
          <t>TDV</t>
        </is>
      </c>
      <c r="F184" s="23" t="n">
        <v>46272</v>
      </c>
      <c r="G184" t="inlineStr">
        <is>
          <t>provision</t>
        </is>
      </c>
      <c r="H184" s="26" t="n">
        <v>451568960</v>
      </c>
      <c r="I184" t="inlineStr">
        <is>
          <t>bajo</t>
        </is>
      </c>
      <c r="J184" t="inlineStr">
        <is>
          <t>RN-11 y RN-34: provision hasta el cupo operativo antes de bajar del 8 %</t>
        </is>
      </c>
      <c r="K184" t="inlineStr">
        <is>
          <t>Provision en la manana, antes del pagado: con el pronostico, sin provision el saldo bajaria del 8 % del cupo ese dia. Lleva el saldo de 48.431.040 a 500.000.000 COP (cupo 500.000.000). Equipo administrado por TDV.</t>
        </is>
      </c>
      <c r="L184" s="26" t="n">
        <v>500000000</v>
      </c>
      <c r="M184" s="26" t="n">
        <v>48431040</v>
      </c>
      <c r="N184" s="27">
        <f>IF(ISNUMBER(M184),M184/L184,"No aplica")</f>
        <v>0.09686208</v>
      </c>
      <c r="O184" s="25">
        <f>IF(G184="provision",M184+H184,IF(G184="recoleccion",M184-H184,"No aplica"))</f>
        <v>500000000</v>
      </c>
      <c r="P184" s="26" t="n">
        <v>193408</v>
      </c>
    </row>
    <row r="185">
      <c r="A185" t="inlineStr">
        <is>
          <t>PRAGMA</t>
        </is>
      </c>
      <c r="B185" t="inlineStr">
        <is>
          <t>M1</t>
        </is>
      </c>
      <c r="C185" t="inlineStr">
        <is>
          <t>Cali</t>
        </is>
      </c>
      <c r="D185" t="inlineStr">
        <is>
          <t>2147</t>
        </is>
      </c>
      <c r="E185" t="inlineStr">
        <is>
          <t>TDV</t>
        </is>
      </c>
      <c r="F185" s="23" t="n">
        <v>46280</v>
      </c>
      <c r="G185" t="inlineStr">
        <is>
          <t>provision</t>
        </is>
      </c>
      <c r="H185" s="26" t="n">
        <v>399809553</v>
      </c>
      <c r="I185" t="inlineStr">
        <is>
          <t>bajo</t>
        </is>
      </c>
      <c r="J185" t="inlineStr">
        <is>
          <t>RN-11 y RN-34: provision hasta el cupo operativo antes de bajar del 8 %</t>
        </is>
      </c>
      <c r="K185" t="inlineStr">
        <is>
          <t>Provision en la manana, antes del pagado: con el pronostico, sin provision el saldo bajaria del 8 % del cupo ese dia. Lleva el saldo de 100.190.447 a 500.000.000 COP (cupo 500.000.000). Equipo administrado por TDV.</t>
        </is>
      </c>
      <c r="L185" s="26" t="n">
        <v>500000000</v>
      </c>
      <c r="M185" s="26" t="n">
        <v>100190447</v>
      </c>
      <c r="N185" s="27">
        <f>IF(ISNUMBER(M185),M185/L185,"No aplica")</f>
        <v>0.200380894</v>
      </c>
      <c r="O185" s="25">
        <f>IF(G185="provision",M185+H185,IF(G185="recoleccion",M185-H185,"No aplica"))</f>
        <v>500000000</v>
      </c>
      <c r="P185" s="26" t="n">
        <v>173377</v>
      </c>
    </row>
    <row r="186">
      <c r="A186" t="inlineStr">
        <is>
          <t>PRAGMA</t>
        </is>
      </c>
      <c r="B186" t="inlineStr">
        <is>
          <t>M1</t>
        </is>
      </c>
      <c r="C186" t="inlineStr">
        <is>
          <t>Cali</t>
        </is>
      </c>
      <c r="D186" t="inlineStr">
        <is>
          <t>2148</t>
        </is>
      </c>
      <c r="E186" t="inlineStr">
        <is>
          <t>TDV</t>
        </is>
      </c>
      <c r="F186" s="23" t="n">
        <v>46271</v>
      </c>
      <c r="G186" t="inlineStr">
        <is>
          <t>provision</t>
        </is>
      </c>
      <c r="H186" s="26" t="n">
        <v>412940755</v>
      </c>
      <c r="I186" t="inlineStr">
        <is>
          <t>bajo</t>
        </is>
      </c>
      <c r="J186" t="inlineStr">
        <is>
          <t>RN-11 y RN-34: provision hasta el cupo operativo antes de bajar del 8 %</t>
        </is>
      </c>
      <c r="K186" t="inlineStr">
        <is>
          <t>Provision en la manana, antes del pagado: con el pronostico, sin provision el saldo bajaria del 8 % del cupo ese dia. Lleva el saldo de 87.059.245 a 500.000.000 COP (cupo 500.000.000). Equipo administrado por TDV.</t>
        </is>
      </c>
      <c r="L186" s="26" t="n">
        <v>500000000</v>
      </c>
      <c r="M186" s="26" t="n">
        <v>87059245</v>
      </c>
      <c r="N186" s="27">
        <f>IF(ISNUMBER(M186),M186/L186,"No aplica")</f>
        <v>0.17411849</v>
      </c>
      <c r="O186" s="25">
        <f>IF(G186="provision",M186+H186,IF(G186="recoleccion",M186-H186,"No aplica"))</f>
        <v>500000000</v>
      </c>
      <c r="P186" s="26" t="n">
        <v>230662</v>
      </c>
    </row>
    <row r="187">
      <c r="A187" t="inlineStr">
        <is>
          <t>PRAGMA</t>
        </is>
      </c>
      <c r="B187" t="inlineStr">
        <is>
          <t>M1</t>
        </is>
      </c>
      <c r="C187" t="inlineStr">
        <is>
          <t>Cali</t>
        </is>
      </c>
      <c r="D187" t="inlineStr">
        <is>
          <t>2148</t>
        </is>
      </c>
      <c r="E187" t="inlineStr">
        <is>
          <t>TDV</t>
        </is>
      </c>
      <c r="F187" s="23" t="n">
        <v>46279</v>
      </c>
      <c r="G187" t="inlineStr">
        <is>
          <t>provision</t>
        </is>
      </c>
      <c r="H187" s="26" t="n">
        <v>412570868</v>
      </c>
      <c r="I187" t="inlineStr">
        <is>
          <t>bajo</t>
        </is>
      </c>
      <c r="J187" t="inlineStr">
        <is>
          <t>RN-11 y RN-34: provision hasta el cupo operativo antes de bajar del 8 %</t>
        </is>
      </c>
      <c r="K187" t="inlineStr">
        <is>
          <t>Provision en la manana, antes del pagado: con el pronostico, sin provision el saldo bajaria del 8 % del cupo ese dia. Lleva el saldo de 87.429.132 a 500.000.000 COP (cupo 500.000.000). Equipo administrado por TDV.</t>
        </is>
      </c>
      <c r="L187" s="26" t="n">
        <v>500000000</v>
      </c>
      <c r="M187" s="26" t="n">
        <v>87429132</v>
      </c>
      <c r="N187" s="27">
        <f>IF(ISNUMBER(M187),M187/L187,"No aplica")</f>
        <v>0.174858264</v>
      </c>
      <c r="O187" s="25">
        <f>IF(G187="provision",M187+H187,IF(G187="recoleccion",M187-H187,"No aplica"))</f>
        <v>500000000</v>
      </c>
      <c r="P187" s="26" t="n">
        <v>178316</v>
      </c>
    </row>
    <row r="188">
      <c r="A188" t="inlineStr">
        <is>
          <t>PRAGMA</t>
        </is>
      </c>
      <c r="B188" t="inlineStr">
        <is>
          <t>M1</t>
        </is>
      </c>
      <c r="C188" t="inlineStr">
        <is>
          <t>Pasto</t>
        </is>
      </c>
      <c r="D188" t="inlineStr">
        <is>
          <t>2149</t>
        </is>
      </c>
      <c r="E188" t="inlineStr">
        <is>
          <t>TDV</t>
        </is>
      </c>
      <c r="F188" s="23" t="n">
        <v>46267</v>
      </c>
      <c r="G188" t="inlineStr">
        <is>
          <t>provision</t>
        </is>
      </c>
      <c r="H188" s="26" t="n">
        <v>220585991</v>
      </c>
      <c r="I188" t="inlineStr">
        <is>
          <t>bajo</t>
        </is>
      </c>
      <c r="J188" t="inlineStr">
        <is>
          <t>RN-11 y RN-34: provision hasta el cupo operativo antes de bajar del 8 %</t>
        </is>
      </c>
      <c r="K188" t="inlineStr">
        <is>
          <t>Provision en la manana, antes del pagado: con el pronostico, sin provision el saldo bajaria del 8 % del cupo ese dia. Lleva el saldo de 190.414.009 a 411.000.000 COP (cupo 411.000.000). Equipo administrado por TDV.</t>
        </is>
      </c>
      <c r="L188" s="26" t="n">
        <v>411000000</v>
      </c>
      <c r="M188" s="26" t="n">
        <v>190414009</v>
      </c>
      <c r="N188" s="27">
        <f>IF(ISNUMBER(M188),M188/L188,"No aplica")</f>
        <v>0.46329442579075425</v>
      </c>
      <c r="O188" s="25">
        <f>IF(G188="provision",M188+H188,IF(G188="recoleccion",M188-H188,"No aplica"))</f>
        <v>411000000</v>
      </c>
      <c r="P188" s="26" t="n">
        <v>77323</v>
      </c>
    </row>
    <row r="189">
      <c r="A189" t="inlineStr">
        <is>
          <t>PRAGMA</t>
        </is>
      </c>
      <c r="B189" t="inlineStr">
        <is>
          <t>M1</t>
        </is>
      </c>
      <c r="C189" t="inlineStr">
        <is>
          <t>Pasto</t>
        </is>
      </c>
      <c r="D189" t="inlineStr">
        <is>
          <t>2149</t>
        </is>
      </c>
      <c r="E189" t="inlineStr">
        <is>
          <t>TDV</t>
        </is>
      </c>
      <c r="F189" s="23" t="n">
        <v>46269</v>
      </c>
      <c r="G189" t="inlineStr">
        <is>
          <t>provision</t>
        </is>
      </c>
      <c r="H189" s="26" t="n">
        <v>366584199</v>
      </c>
      <c r="I189" t="inlineStr">
        <is>
          <t>bajo</t>
        </is>
      </c>
      <c r="J189" t="inlineStr">
        <is>
          <t>RN-11 y RN-34: provision hasta el cupo operativo antes de bajar del 8 %</t>
        </is>
      </c>
      <c r="K189" t="inlineStr">
        <is>
          <t>Provision en la manana, antes del pagado: con el pronostico, sin provision el saldo bajaria del 8 % del cupo ese dia. Lleva el saldo de 44.415.801 a 411.000.000 COP (cupo 411.000.000). Equipo administrado por TDV.</t>
        </is>
      </c>
      <c r="L189" s="26" t="n">
        <v>411000000</v>
      </c>
      <c r="M189" s="26" t="n">
        <v>44415801</v>
      </c>
      <c r="N189" s="27">
        <f>IF(ISNUMBER(M189),M189/L189,"No aplica")</f>
        <v>0.10806764233576642</v>
      </c>
      <c r="O189" s="25">
        <f>IF(G189="provision",M189+H189,IF(G189="recoleccion",M189-H189,"No aplica"))</f>
        <v>411000000</v>
      </c>
      <c r="P189" s="26" t="n">
        <v>118203</v>
      </c>
    </row>
    <row r="190">
      <c r="A190" t="inlineStr">
        <is>
          <t>PRAGMA</t>
        </is>
      </c>
      <c r="B190" t="inlineStr">
        <is>
          <t>M1</t>
        </is>
      </c>
      <c r="C190" t="inlineStr">
        <is>
          <t>Pasto</t>
        </is>
      </c>
      <c r="D190" t="inlineStr">
        <is>
          <t>2149</t>
        </is>
      </c>
      <c r="E190" t="inlineStr">
        <is>
          <t>TDV</t>
        </is>
      </c>
      <c r="F190" s="23" t="n">
        <v>46271</v>
      </c>
      <c r="G190" t="inlineStr">
        <is>
          <t>provision</t>
        </is>
      </c>
      <c r="H190" s="26" t="n">
        <v>353600821</v>
      </c>
      <c r="I190" t="inlineStr">
        <is>
          <t>bajo</t>
        </is>
      </c>
      <c r="J190" t="inlineStr">
        <is>
          <t>RN-11 y RN-34: provision hasta el cupo operativo antes de bajar del 8 %</t>
        </is>
      </c>
      <c r="K190" t="inlineStr">
        <is>
          <t>Provision en la manana, antes del pagado: con el pronostico, sin provision el saldo bajaria del 8 % del cupo ese dia. Lleva el saldo de 57.399.179 a 411.000.000 COP (cupo 411.000.000). Equipo administrado por TDV.</t>
        </is>
      </c>
      <c r="L190" s="26" t="n">
        <v>411000000</v>
      </c>
      <c r="M190" s="26" t="n">
        <v>57399179</v>
      </c>
      <c r="N190" s="27">
        <f>IF(ISNUMBER(M190),M190/L190,"No aplica")</f>
        <v>0.1396573698296837</v>
      </c>
      <c r="O190" s="25">
        <f>IF(G190="provision",M190+H190,IF(G190="recoleccion",M190-H190,"No aplica"))</f>
        <v>411000000</v>
      </c>
      <c r="P190" s="26" t="n">
        <v>155331</v>
      </c>
    </row>
    <row r="191">
      <c r="A191" t="inlineStr">
        <is>
          <t>PRAGMA</t>
        </is>
      </c>
      <c r="B191" t="inlineStr">
        <is>
          <t>M1</t>
        </is>
      </c>
      <c r="C191" t="inlineStr">
        <is>
          <t>Pasto</t>
        </is>
      </c>
      <c r="D191" t="inlineStr">
        <is>
          <t>2149</t>
        </is>
      </c>
      <c r="E191" t="inlineStr">
        <is>
          <t>TDV</t>
        </is>
      </c>
      <c r="F191" s="23" t="n">
        <v>46273</v>
      </c>
      <c r="G191" t="inlineStr">
        <is>
          <t>provision</t>
        </is>
      </c>
      <c r="H191" s="26" t="n">
        <v>268019885</v>
      </c>
      <c r="I191" t="inlineStr">
        <is>
          <t>bajo</t>
        </is>
      </c>
      <c r="J191" t="inlineStr">
        <is>
          <t>RN-11 y RN-34: provision hasta el cupo operativo antes de bajar del 8 %</t>
        </is>
      </c>
      <c r="K191" t="inlineStr">
        <is>
          <t>Provision en la manana, antes del pagado: con el pronostico, sin provision el saldo bajaria del 8 % del cupo ese dia. Lleva el saldo de 142.980.115 a 411.000.000 COP (cupo 411.000.000). Equipo administrado por TDV.</t>
        </is>
      </c>
      <c r="L191" s="26" t="n">
        <v>411000000</v>
      </c>
      <c r="M191" s="26" t="n">
        <v>142980115</v>
      </c>
      <c r="N191" s="27">
        <f>IF(ISNUMBER(M191),M191/L191,"No aplica")</f>
        <v>0.3478834914841849</v>
      </c>
      <c r="O191" s="25">
        <f>IF(G191="provision",M191+H191,IF(G191="recoleccion",M191-H191,"No aplica"))</f>
        <v>411000000</v>
      </c>
      <c r="P191" s="26" t="n">
        <v>90605</v>
      </c>
    </row>
    <row r="192">
      <c r="A192" t="inlineStr">
        <is>
          <t>PRAGMA</t>
        </is>
      </c>
      <c r="B192" t="inlineStr">
        <is>
          <t>M1</t>
        </is>
      </c>
      <c r="C192" t="inlineStr">
        <is>
          <t>Pasto</t>
        </is>
      </c>
      <c r="D192" t="inlineStr">
        <is>
          <t>2149</t>
        </is>
      </c>
      <c r="E192" t="inlineStr">
        <is>
          <t>TDV</t>
        </is>
      </c>
      <c r="F192" s="23" t="n">
        <v>46275</v>
      </c>
      <c r="G192" t="inlineStr">
        <is>
          <t>provision</t>
        </is>
      </c>
      <c r="H192" s="26" t="n">
        <v>284909906</v>
      </c>
      <c r="I192" t="inlineStr">
        <is>
          <t>bajo</t>
        </is>
      </c>
      <c r="J192" t="inlineStr">
        <is>
          <t>RN-11 y RN-34: provision hasta el cupo operativo antes de bajar del 8 %</t>
        </is>
      </c>
      <c r="K192" t="inlineStr">
        <is>
          <t>Provision en la manana, antes del pagado: con el pronostico, sin provision el saldo bajaria del 8 % del cupo ese dia. Lleva el saldo de 126.090.094 a 411.000.000 COP (cupo 411.000.000). Equipo administrado por TDV.</t>
        </is>
      </c>
      <c r="L192" s="26" t="n">
        <v>411000000</v>
      </c>
      <c r="M192" s="26" t="n">
        <v>126090094</v>
      </c>
      <c r="N192" s="27">
        <f>IF(ISNUMBER(M192),M192/L192,"No aplica")</f>
        <v>0.3067885498783455</v>
      </c>
      <c r="O192" s="25">
        <f>IF(G192="provision",M192+H192,IF(G192="recoleccion",M192-H192,"No aplica"))</f>
        <v>411000000</v>
      </c>
      <c r="P192" s="26" t="n">
        <v>95334</v>
      </c>
    </row>
    <row r="193">
      <c r="A193" t="inlineStr">
        <is>
          <t>PRAGMA</t>
        </is>
      </c>
      <c r="B193" t="inlineStr">
        <is>
          <t>M1</t>
        </is>
      </c>
      <c r="C193" t="inlineStr">
        <is>
          <t>Pasto</t>
        </is>
      </c>
      <c r="D193" t="inlineStr">
        <is>
          <t>2149</t>
        </is>
      </c>
      <c r="E193" t="inlineStr">
        <is>
          <t>TDV</t>
        </is>
      </c>
      <c r="F193" s="23" t="n">
        <v>46277</v>
      </c>
      <c r="G193" t="inlineStr">
        <is>
          <t>provision</t>
        </is>
      </c>
      <c r="H193" s="26" t="n">
        <v>280584608</v>
      </c>
      <c r="I193" t="inlineStr">
        <is>
          <t>bajo</t>
        </is>
      </c>
      <c r="J193" t="inlineStr">
        <is>
          <t>RN-11 y RN-34: provision hasta el cupo operativo antes de bajar del 8 %</t>
        </is>
      </c>
      <c r="K193" t="inlineStr">
        <is>
          <t>Provision en la manana, antes del pagado: con el pronostico, sin provision el saldo bajaria del 8 % del cupo ese dia. Lleva el saldo de 130.415.392 a 411.000.000 COP (cupo 411.000.000). Equipo administrado por TDV.</t>
        </is>
      </c>
      <c r="L193" s="26" t="n">
        <v>411000000</v>
      </c>
      <c r="M193" s="26" t="n">
        <v>130415392</v>
      </c>
      <c r="N193" s="27">
        <f>IF(ISNUMBER(M193),M193/L193,"No aplica")</f>
        <v>0.3173123892944039</v>
      </c>
      <c r="O193" s="25">
        <f>IF(G193="provision",M193+H193,IF(G193="recoleccion",M193-H193,"No aplica"))</f>
        <v>411000000</v>
      </c>
      <c r="P193" s="26" t="n">
        <v>94123</v>
      </c>
    </row>
    <row r="194">
      <c r="A194" t="inlineStr">
        <is>
          <t>PRAGMA</t>
        </is>
      </c>
      <c r="B194" t="inlineStr">
        <is>
          <t>M1</t>
        </is>
      </c>
      <c r="C194" t="inlineStr">
        <is>
          <t>Pasto</t>
        </is>
      </c>
      <c r="D194" t="inlineStr">
        <is>
          <t>2149</t>
        </is>
      </c>
      <c r="E194" t="inlineStr">
        <is>
          <t>TDV</t>
        </is>
      </c>
      <c r="F194" s="23" t="n">
        <v>46280</v>
      </c>
      <c r="G194" t="inlineStr">
        <is>
          <t>provision</t>
        </is>
      </c>
      <c r="H194" s="26" t="n">
        <v>344998248</v>
      </c>
      <c r="I194" t="inlineStr">
        <is>
          <t>bajo</t>
        </is>
      </c>
      <c r="J194" t="inlineStr">
        <is>
          <t>RN-11 y RN-34: provision hasta el cupo operativo antes de bajar del 8 %</t>
        </is>
      </c>
      <c r="K194" t="inlineStr">
        <is>
          <t>Provision en la manana, antes del pagado: con el pronostico, sin provision el saldo bajaria del 8 % del cupo ese dia. Lleva el saldo de 66.001.752 a 411.000.000 COP (cupo 411.000.000). Equipo administrado por TDV.</t>
        </is>
      </c>
      <c r="L194" s="26" t="n">
        <v>411000000</v>
      </c>
      <c r="M194" s="26" t="n">
        <v>66001752</v>
      </c>
      <c r="N194" s="27">
        <f>IF(ISNUMBER(M194),M194/L194,"No aplica")</f>
        <v>0.16058820437956203</v>
      </c>
      <c r="O194" s="25">
        <f>IF(G194="provision",M194+H194,IF(G194="recoleccion",M194-H194,"No aplica"))</f>
        <v>411000000</v>
      </c>
      <c r="P194" s="26" t="n">
        <v>112159</v>
      </c>
    </row>
    <row r="195">
      <c r="A195" t="inlineStr">
        <is>
          <t>PRAGMA</t>
        </is>
      </c>
      <c r="B195" t="inlineStr">
        <is>
          <t>M1</t>
        </is>
      </c>
      <c r="C195" t="inlineStr">
        <is>
          <t>Cali</t>
        </is>
      </c>
      <c r="D195" t="inlineStr">
        <is>
          <t>2187</t>
        </is>
      </c>
      <c r="E195" t="inlineStr">
        <is>
          <t>TDV</t>
        </is>
      </c>
      <c r="F195" s="23" t="n">
        <v>46268</v>
      </c>
      <c r="G195" t="inlineStr">
        <is>
          <t>provision</t>
        </is>
      </c>
      <c r="H195" s="26" t="n">
        <v>282684686</v>
      </c>
      <c r="I195" t="inlineStr">
        <is>
          <t>bajo</t>
        </is>
      </c>
      <c r="J195" t="inlineStr">
        <is>
          <t>RN-11 y RN-34: provision hasta el cupo operativo antes de bajar del 8 %</t>
        </is>
      </c>
      <c r="K195" t="inlineStr">
        <is>
          <t>Provision en la manana, antes del pagado: con el pronostico, sin provision el saldo bajaria del 8 % del cupo ese dia. Lleva el saldo de 128.315.314 a 411.000.000 COP (cupo 411.000.000). Equipo administrado por TDV.</t>
        </is>
      </c>
      <c r="L195" s="26" t="n">
        <v>411000000</v>
      </c>
      <c r="M195" s="26" t="n">
        <v>128315314</v>
      </c>
      <c r="N195" s="27">
        <f>IF(ISNUMBER(M195),M195/L195,"No aplica")</f>
        <v>0.3122027104622871</v>
      </c>
      <c r="O195" s="25">
        <f>IF(G195="provision",M195+H195,IF(G195="recoleccion",M195-H195,"No aplica"))</f>
        <v>411000000</v>
      </c>
      <c r="P195" s="26" t="n">
        <v>128050</v>
      </c>
    </row>
    <row r="196">
      <c r="A196" t="inlineStr">
        <is>
          <t>PRAGMA</t>
        </is>
      </c>
      <c r="B196" t="inlineStr">
        <is>
          <t>M1</t>
        </is>
      </c>
      <c r="C196" t="inlineStr">
        <is>
          <t>Cali</t>
        </is>
      </c>
      <c r="D196" t="inlineStr">
        <is>
          <t>2187</t>
        </is>
      </c>
      <c r="E196" t="inlineStr">
        <is>
          <t>TDV</t>
        </is>
      </c>
      <c r="F196" s="23" t="n">
        <v>46270</v>
      </c>
      <c r="G196" t="inlineStr">
        <is>
          <t>provision</t>
        </is>
      </c>
      <c r="H196" s="26" t="n">
        <v>258917411</v>
      </c>
      <c r="I196" t="inlineStr">
        <is>
          <t>bajo</t>
        </is>
      </c>
      <c r="J196" t="inlineStr">
        <is>
          <t>RN-11 y RN-34: provision hasta el cupo operativo antes de bajar del 8 %</t>
        </is>
      </c>
      <c r="K196" t="inlineStr">
        <is>
          <t>Provision en la manana, antes del pagado: con el pronostico, sin provision el saldo bajaria del 8 % del cupo ese dia. Lleva el saldo de 152.082.589 a 411.000.000 COP (cupo 411.000.000). Equipo administrado por TDV.</t>
        </is>
      </c>
      <c r="L196" s="26" t="n">
        <v>411000000</v>
      </c>
      <c r="M196" s="26" t="n">
        <v>152082589</v>
      </c>
      <c r="N196" s="27">
        <f>IF(ISNUMBER(M196),M196/L196,"No aplica")</f>
        <v>0.3700306301703163</v>
      </c>
      <c r="O196" s="25">
        <f>IF(G196="provision",M196+H196,IF(G196="recoleccion",M196-H196,"No aplica"))</f>
        <v>411000000</v>
      </c>
      <c r="P196" s="26" t="n">
        <v>118852</v>
      </c>
    </row>
    <row r="197">
      <c r="A197" t="inlineStr">
        <is>
          <t>PRAGMA</t>
        </is>
      </c>
      <c r="B197" t="inlineStr">
        <is>
          <t>M1</t>
        </is>
      </c>
      <c r="C197" t="inlineStr">
        <is>
          <t>Cali</t>
        </is>
      </c>
      <c r="D197" t="inlineStr">
        <is>
          <t>2187</t>
        </is>
      </c>
      <c r="E197" t="inlineStr">
        <is>
          <t>TDV</t>
        </is>
      </c>
      <c r="F197" s="23" t="n">
        <v>46273</v>
      </c>
      <c r="G197" t="inlineStr">
        <is>
          <t>provision</t>
        </is>
      </c>
      <c r="H197" s="26" t="n">
        <v>365926039</v>
      </c>
      <c r="I197" t="inlineStr">
        <is>
          <t>bajo</t>
        </is>
      </c>
      <c r="J197" t="inlineStr">
        <is>
          <t>RN-11 y RN-34: provision hasta el cupo operativo antes de bajar del 8 %</t>
        </is>
      </c>
      <c r="K197" t="inlineStr">
        <is>
          <t>Provision en la manana, antes del pagado: con el pronostico, sin provision el saldo bajaria del 8 % del cupo ese dia. Lleva el saldo de 45.073.961 a 411.000.000 COP (cupo 411.000.000). Equipo administrado por TDV.</t>
        </is>
      </c>
      <c r="L197" s="26" t="n">
        <v>411000000</v>
      </c>
      <c r="M197" s="26" t="n">
        <v>45073961</v>
      </c>
      <c r="N197" s="27">
        <f>IF(ISNUMBER(M197),M197/L197,"No aplica")</f>
        <v>0.10966900486618004</v>
      </c>
      <c r="O197" s="25">
        <f>IF(G197="provision",M197+H197,IF(G197="recoleccion",M197-H197,"No aplica"))</f>
        <v>411000000</v>
      </c>
      <c r="P197" s="26" t="n">
        <v>160264</v>
      </c>
    </row>
    <row r="198">
      <c r="A198" t="inlineStr">
        <is>
          <t>PRAGMA</t>
        </is>
      </c>
      <c r="B198" t="inlineStr">
        <is>
          <t>M1</t>
        </is>
      </c>
      <c r="C198" t="inlineStr">
        <is>
          <t>Cali</t>
        </is>
      </c>
      <c r="D198" t="inlineStr">
        <is>
          <t>2187</t>
        </is>
      </c>
      <c r="E198" t="inlineStr">
        <is>
          <t>TDV</t>
        </is>
      </c>
      <c r="F198" s="23" t="n">
        <v>46276</v>
      </c>
      <c r="G198" t="inlineStr">
        <is>
          <t>provision</t>
        </is>
      </c>
      <c r="H198" s="26" t="n">
        <v>295680845</v>
      </c>
      <c r="I198" t="inlineStr">
        <is>
          <t>bajo</t>
        </is>
      </c>
      <c r="J198" t="inlineStr">
        <is>
          <t>RN-11 y RN-34: provision hasta el cupo operativo antes de bajar del 8 %</t>
        </is>
      </c>
      <c r="K198" t="inlineStr">
        <is>
          <t>Provision en la manana, antes del pagado: con el pronostico, sin provision el saldo bajaria del 8 % del cupo ese dia. Lleva el saldo de 115.319.155 a 411.000.000 COP (cupo 411.000.000). Equipo administrado por TDV.</t>
        </is>
      </c>
      <c r="L198" s="26" t="n">
        <v>411000000</v>
      </c>
      <c r="M198" s="26" t="n">
        <v>115319155</v>
      </c>
      <c r="N198" s="27">
        <f>IF(ISNUMBER(M198),M198/L198,"No aplica")</f>
        <v>0.2805818856447689</v>
      </c>
      <c r="O198" s="25">
        <f>IF(G198="provision",M198+H198,IF(G198="recoleccion",M198-H198,"No aplica"))</f>
        <v>411000000</v>
      </c>
      <c r="P198" s="26" t="n">
        <v>133079</v>
      </c>
    </row>
    <row r="199">
      <c r="A199" t="inlineStr">
        <is>
          <t>PRAGMA</t>
        </is>
      </c>
      <c r="B199" t="inlineStr">
        <is>
          <t>M1</t>
        </is>
      </c>
      <c r="C199" t="inlineStr">
        <is>
          <t>Cali</t>
        </is>
      </c>
      <c r="D199" t="inlineStr">
        <is>
          <t>2187</t>
        </is>
      </c>
      <c r="E199" t="inlineStr">
        <is>
          <t>TDV</t>
        </is>
      </c>
      <c r="F199" s="23" t="n">
        <v>46279</v>
      </c>
      <c r="G199" t="inlineStr">
        <is>
          <t>provision</t>
        </is>
      </c>
      <c r="H199" s="26" t="n">
        <v>292970549</v>
      </c>
      <c r="I199" t="inlineStr">
        <is>
          <t>bajo</t>
        </is>
      </c>
      <c r="J199" t="inlineStr">
        <is>
          <t>RN-11 y RN-34: provision hasta el cupo operativo antes de bajar del 8 %</t>
        </is>
      </c>
      <c r="K199" t="inlineStr">
        <is>
          <t>Provision en la manana, antes del pagado: con el pronostico, sin provision el saldo bajaria del 8 % del cupo ese dia. Lleva el saldo de 118.029.451 a 411.000.000 COP (cupo 411.000.000). Equipo administrado por TDV.</t>
        </is>
      </c>
      <c r="L199" s="26" t="n">
        <v>411000000</v>
      </c>
      <c r="M199" s="26" t="n">
        <v>118029451</v>
      </c>
      <c r="N199" s="27">
        <f>IF(ISNUMBER(M199),M199/L199,"No aplica")</f>
        <v>0.2871762798053528</v>
      </c>
      <c r="O199" s="25">
        <f>IF(G199="provision",M199+H199,IF(G199="recoleccion",M199-H199,"No aplica"))</f>
        <v>411000000</v>
      </c>
      <c r="P199" s="26" t="n">
        <v>132031</v>
      </c>
    </row>
    <row r="200">
      <c r="A200" t="inlineStr">
        <is>
          <t>PRAGMA</t>
        </is>
      </c>
      <c r="B200" t="inlineStr">
        <is>
          <t>M1</t>
        </is>
      </c>
      <c r="C200" t="inlineStr">
        <is>
          <t>Cali</t>
        </is>
      </c>
      <c r="D200" t="inlineStr">
        <is>
          <t>2204</t>
        </is>
      </c>
      <c r="E200" t="inlineStr">
        <is>
          <t>TDV</t>
        </is>
      </c>
      <c r="F200" s="23" t="n">
        <v>46268</v>
      </c>
      <c r="G200" t="inlineStr">
        <is>
          <t>provision</t>
        </is>
      </c>
      <c r="H200" s="26" t="n">
        <v>305934245</v>
      </c>
      <c r="I200" t="inlineStr">
        <is>
          <t>bajo</t>
        </is>
      </c>
      <c r="J200" t="inlineStr">
        <is>
          <t>RN-11 y RN-34: provision hasta el cupo operativo antes de bajar del 8 %</t>
        </is>
      </c>
      <c r="K200" t="inlineStr">
        <is>
          <t>Provision en la manana, antes del pagado: con el pronostico, sin provision el saldo bajaria del 8 % del cupo ese dia. Lleva el saldo de 105.065.755 a 411.000.000 COP (cupo 411.000.000). Equipo administrado por TDV.</t>
        </is>
      </c>
      <c r="L200" s="26" t="n">
        <v>411000000</v>
      </c>
      <c r="M200" s="26" t="n">
        <v>105065755</v>
      </c>
      <c r="N200" s="27">
        <f>IF(ISNUMBER(M200),M200/L200,"No aplica")</f>
        <v>0.2556344403892944</v>
      </c>
      <c r="O200" s="25">
        <f>IF(G200="provision",M200+H200,IF(G200="recoleccion",M200-H200,"No aplica"))</f>
        <v>411000000</v>
      </c>
      <c r="P200" s="26" t="n">
        <v>137048</v>
      </c>
    </row>
    <row r="201">
      <c r="A201" t="inlineStr">
        <is>
          <t>PRAGMA</t>
        </is>
      </c>
      <c r="B201" t="inlineStr">
        <is>
          <t>M1</t>
        </is>
      </c>
      <c r="C201" t="inlineStr">
        <is>
          <t>Cali</t>
        </is>
      </c>
      <c r="D201" t="inlineStr">
        <is>
          <t>2204</t>
        </is>
      </c>
      <c r="E201" t="inlineStr">
        <is>
          <t>TDV</t>
        </is>
      </c>
      <c r="F201" s="23" t="n">
        <v>46271</v>
      </c>
      <c r="G201" t="inlineStr">
        <is>
          <t>provision</t>
        </is>
      </c>
      <c r="H201" s="26" t="n">
        <v>364712296</v>
      </c>
      <c r="I201" t="inlineStr">
        <is>
          <t>bajo</t>
        </is>
      </c>
      <c r="J201" t="inlineStr">
        <is>
          <t>RN-11 y RN-34: provision hasta el cupo operativo antes de bajar del 8 %</t>
        </is>
      </c>
      <c r="K201" t="inlineStr">
        <is>
          <t>Provision en la manana, antes del pagado: con el pronostico, sin provision el saldo bajaria del 8 % del cupo ese dia. Lleva el saldo de 46.287.704 a 411.000.000 COP (cupo 411.000.000). Equipo administrado por TDV.</t>
        </is>
      </c>
      <c r="L201" s="26" t="n">
        <v>411000000</v>
      </c>
      <c r="M201" s="26" t="n">
        <v>46287704</v>
      </c>
      <c r="N201" s="27">
        <f>IF(ISNUMBER(M201),M201/L201,"No aplica")</f>
        <v>0.1126221508515815</v>
      </c>
      <c r="O201" s="25">
        <f>IF(G201="provision",M201+H201,IF(G201="recoleccion",M201-H201,"No aplica"))</f>
        <v>411000000</v>
      </c>
      <c r="P201" s="26" t="n">
        <v>206452</v>
      </c>
    </row>
    <row r="202">
      <c r="A202" t="inlineStr">
        <is>
          <t>PRAGMA</t>
        </is>
      </c>
      <c r="B202" t="inlineStr">
        <is>
          <t>M1</t>
        </is>
      </c>
      <c r="C202" t="inlineStr">
        <is>
          <t>Cali</t>
        </is>
      </c>
      <c r="D202" t="inlineStr">
        <is>
          <t>2204</t>
        </is>
      </c>
      <c r="E202" t="inlineStr">
        <is>
          <t>TDV</t>
        </is>
      </c>
      <c r="F202" s="23" t="n">
        <v>46275</v>
      </c>
      <c r="G202" t="inlineStr">
        <is>
          <t>provision</t>
        </is>
      </c>
      <c r="H202" s="26" t="n">
        <v>354152321</v>
      </c>
      <c r="I202" t="inlineStr">
        <is>
          <t>bajo</t>
        </is>
      </c>
      <c r="J202" t="inlineStr">
        <is>
          <t>RN-11 y RN-34: provision hasta el cupo operativo antes de bajar del 8 %</t>
        </is>
      </c>
      <c r="K202" t="inlineStr">
        <is>
          <t>Provision en la manana, antes del pagado: con el pronostico, sin provision el saldo bajaria del 8 % del cupo ese dia. Lleva el saldo de 56.847.679 a 411.000.000 COP (cupo 411.000.000). Equipo administrado por TDV.</t>
        </is>
      </c>
      <c r="L202" s="26" t="n">
        <v>411000000</v>
      </c>
      <c r="M202" s="26" t="n">
        <v>56847679</v>
      </c>
      <c r="N202" s="27">
        <f>IF(ISNUMBER(M202),M202/L202,"No aplica")</f>
        <v>0.1383155206812652</v>
      </c>
      <c r="O202" s="25">
        <f>IF(G202="provision",M202+H202,IF(G202="recoleccion",M202-H202,"No aplica"))</f>
        <v>411000000</v>
      </c>
      <c r="P202" s="26" t="n">
        <v>155708</v>
      </c>
    </row>
    <row r="203">
      <c r="A203" t="inlineStr">
        <is>
          <t>PRAGMA</t>
        </is>
      </c>
      <c r="B203" t="inlineStr">
        <is>
          <t>M1</t>
        </is>
      </c>
      <c r="C203" t="inlineStr">
        <is>
          <t>Cali</t>
        </is>
      </c>
      <c r="D203" t="inlineStr">
        <is>
          <t>2204</t>
        </is>
      </c>
      <c r="E203" t="inlineStr">
        <is>
          <t>TDV</t>
        </is>
      </c>
      <c r="F203" s="23" t="n">
        <v>46279</v>
      </c>
      <c r="G203" t="inlineStr">
        <is>
          <t>provision</t>
        </is>
      </c>
      <c r="H203" s="26" t="n">
        <v>343391948</v>
      </c>
      <c r="I203" t="inlineStr">
        <is>
          <t>bajo</t>
        </is>
      </c>
      <c r="J203" t="inlineStr">
        <is>
          <t>RN-11 y RN-34: provision hasta el cupo operativo antes de bajar del 8 %</t>
        </is>
      </c>
      <c r="K203" t="inlineStr">
        <is>
          <t>Provision en la manana, antes del pagado: con el pronostico, sin provision el saldo bajaria del 8 % del cupo ese dia. Lleva el saldo de 67.608.052 a 411.000.000 COP (cupo 411.000.000). Equipo administrado por TDV.</t>
        </is>
      </c>
      <c r="L203" s="26" t="n">
        <v>411000000</v>
      </c>
      <c r="M203" s="26" t="n">
        <v>67608052</v>
      </c>
      <c r="N203" s="27">
        <f>IF(ISNUMBER(M203),M203/L203,"No aplica")</f>
        <v>0.16449647688564478</v>
      </c>
      <c r="O203" s="25">
        <f>IF(G203="provision",M203+H203,IF(G203="recoleccion",M203-H203,"No aplica"))</f>
        <v>411000000</v>
      </c>
      <c r="P203" s="26" t="n">
        <v>151544</v>
      </c>
    </row>
    <row r="204">
      <c r="A204" t="inlineStr">
        <is>
          <t>PRAGMA</t>
        </is>
      </c>
      <c r="B204" t="inlineStr">
        <is>
          <t>M1</t>
        </is>
      </c>
      <c r="C204" t="inlineStr">
        <is>
          <t>Cali</t>
        </is>
      </c>
      <c r="D204" t="inlineStr">
        <is>
          <t>2215</t>
        </is>
      </c>
      <c r="E204" t="inlineStr">
        <is>
          <t>Sucursal</t>
        </is>
      </c>
      <c r="F204" s="23" t="n">
        <v>46268</v>
      </c>
      <c r="G204" t="inlineStr">
        <is>
          <t>provision</t>
        </is>
      </c>
      <c r="H204" s="26" t="n">
        <v>350438126</v>
      </c>
      <c r="I204" t="inlineStr">
        <is>
          <t>bajo</t>
        </is>
      </c>
      <c r="J204" t="inlineStr">
        <is>
          <t>RN-11 y RN-34: provision hasta el cupo operativo antes de bajar del 8 %</t>
        </is>
      </c>
      <c r="K204" t="inlineStr">
        <is>
          <t>Provision en la manana, antes del pagado: con el pronostico, sin provision el saldo bajaria del 8 % del cupo ese dia. Lleva el saldo de 54.561.874 a 405.000.000 COP (cupo 405.000.000). Equipo administrado por Sucursal. Sin tarifa TDV (administrado por la sucursal): costo 0 declarado.</t>
        </is>
      </c>
      <c r="L204" s="26" t="n">
        <v>405000000</v>
      </c>
      <c r="M204" s="26" t="n">
        <v>54561874</v>
      </c>
      <c r="N204" s="27">
        <f>IF(ISNUMBER(M204),M204/L204,"No aplica")</f>
        <v>0.13472067654320988</v>
      </c>
      <c r="O204" s="25">
        <f>IF(G204="provision",M204+H204,IF(G204="recoleccion",M204-H204,"No aplica"))</f>
        <v>405000000</v>
      </c>
      <c r="P204" s="26" t="n">
        <v>0</v>
      </c>
    </row>
    <row r="205">
      <c r="A205" t="inlineStr">
        <is>
          <t>PRAGMA</t>
        </is>
      </c>
      <c r="B205" t="inlineStr">
        <is>
          <t>M1</t>
        </is>
      </c>
      <c r="C205" t="inlineStr">
        <is>
          <t>Cali</t>
        </is>
      </c>
      <c r="D205" t="inlineStr">
        <is>
          <t>2215</t>
        </is>
      </c>
      <c r="E205" t="inlineStr">
        <is>
          <t>Sucursal</t>
        </is>
      </c>
      <c r="F205" s="23" t="n">
        <v>46270</v>
      </c>
      <c r="G205" t="inlineStr">
        <is>
          <t>provision</t>
        </is>
      </c>
      <c r="H205" s="26" t="n">
        <v>287320258</v>
      </c>
      <c r="I205" t="inlineStr">
        <is>
          <t>bajo</t>
        </is>
      </c>
      <c r="J205" t="inlineStr">
        <is>
          <t>RN-11 y RN-34: provision hasta el cupo operativo antes de bajar del 8 %</t>
        </is>
      </c>
      <c r="K205" t="inlineStr">
        <is>
          <t>Provision en la manana, antes del pagado: con el pronostico, sin provision el saldo bajaria del 8 % del cupo ese dia. Lleva el saldo de 117.679.742 a 405.000.000 COP (cupo 405.000.000). Equipo administrado por Sucursal. Sin tarifa TDV (administrado por la sucursal): costo 0 declarado.</t>
        </is>
      </c>
      <c r="L205" s="26" t="n">
        <v>405000000</v>
      </c>
      <c r="M205" s="26" t="n">
        <v>117679742</v>
      </c>
      <c r="N205" s="27">
        <f>IF(ISNUMBER(M205),M205/L205,"No aplica")</f>
        <v>0.2905672641975309</v>
      </c>
      <c r="O205" s="25">
        <f>IF(G205="provision",M205+H205,IF(G205="recoleccion",M205-H205,"No aplica"))</f>
        <v>405000000</v>
      </c>
      <c r="P205" s="26" t="n">
        <v>0</v>
      </c>
    </row>
    <row r="206">
      <c r="A206" t="inlineStr">
        <is>
          <t>PRAGMA</t>
        </is>
      </c>
      <c r="B206" t="inlineStr">
        <is>
          <t>M1</t>
        </is>
      </c>
      <c r="C206" t="inlineStr">
        <is>
          <t>Cali</t>
        </is>
      </c>
      <c r="D206" t="inlineStr">
        <is>
          <t>2215</t>
        </is>
      </c>
      <c r="E206" t="inlineStr">
        <is>
          <t>Sucursal</t>
        </is>
      </c>
      <c r="F206" s="23" t="n">
        <v>46273</v>
      </c>
      <c r="G206" t="inlineStr">
        <is>
          <t>provision</t>
        </is>
      </c>
      <c r="H206" s="26" t="n">
        <v>370935300</v>
      </c>
      <c r="I206" t="inlineStr">
        <is>
          <t>bajo</t>
        </is>
      </c>
      <c r="J206" t="inlineStr">
        <is>
          <t>RN-11 y RN-34: provision hasta el cupo operativo antes de bajar del 8 %</t>
        </is>
      </c>
      <c r="K206" t="inlineStr">
        <is>
          <t>Provision en la manana, antes del pagado: con el pronostico, sin provision el saldo bajaria del 8 % del cupo ese dia. Lleva el saldo de 34.064.700 a 405.000.000 COP (cupo 405.000.000). Equipo administrado por Sucursal. Sin tarifa TDV (administrado por la sucursal): costo 0 declarado.</t>
        </is>
      </c>
      <c r="L206" s="26" t="n">
        <v>405000000</v>
      </c>
      <c r="M206" s="26" t="n">
        <v>34064700</v>
      </c>
      <c r="N206" s="27">
        <f>IF(ISNUMBER(M206),M206/L206,"No aplica")</f>
        <v>0.08411037037037038</v>
      </c>
      <c r="O206" s="25">
        <f>IF(G206="provision",M206+H206,IF(G206="recoleccion",M206-H206,"No aplica"))</f>
        <v>405000000</v>
      </c>
      <c r="P206" s="26" t="n">
        <v>0</v>
      </c>
    </row>
    <row r="207">
      <c r="A207" t="inlineStr">
        <is>
          <t>PRAGMA</t>
        </is>
      </c>
      <c r="B207" t="inlineStr">
        <is>
          <t>M1</t>
        </is>
      </c>
      <c r="C207" t="inlineStr">
        <is>
          <t>Cali</t>
        </is>
      </c>
      <c r="D207" t="inlineStr">
        <is>
          <t>2215</t>
        </is>
      </c>
      <c r="E207" t="inlineStr">
        <is>
          <t>Sucursal</t>
        </is>
      </c>
      <c r="F207" s="23" t="n">
        <v>46276</v>
      </c>
      <c r="G207" t="inlineStr">
        <is>
          <t>provision</t>
        </is>
      </c>
      <c r="H207" s="26" t="n">
        <v>302846895</v>
      </c>
      <c r="I207" t="inlineStr">
        <is>
          <t>bajo</t>
        </is>
      </c>
      <c r="J207" t="inlineStr">
        <is>
          <t>RN-11 y RN-34: provision hasta el cupo operativo antes de bajar del 8 %</t>
        </is>
      </c>
      <c r="K207" t="inlineStr">
        <is>
          <t>Provision en la manana, antes del pagado: con el pronostico, sin provision el saldo bajaria del 8 % del cupo ese dia. Lleva el saldo de 102.153.105 a 405.000.000 COP (cupo 405.000.000). Equipo administrado por Sucursal. Sin tarifa TDV (administrado por la sucursal): costo 0 declarado.</t>
        </is>
      </c>
      <c r="L207" s="26" t="n">
        <v>405000000</v>
      </c>
      <c r="M207" s="26" t="n">
        <v>102153105</v>
      </c>
      <c r="N207" s="27">
        <f>IF(ISNUMBER(M207),M207/L207,"No aplica")</f>
        <v>0.25222988888888886</v>
      </c>
      <c r="O207" s="25">
        <f>IF(G207="provision",M207+H207,IF(G207="recoleccion",M207-H207,"No aplica"))</f>
        <v>405000000</v>
      </c>
      <c r="P207" s="26" t="n">
        <v>0</v>
      </c>
    </row>
    <row r="208">
      <c r="A208" t="inlineStr">
        <is>
          <t>PRAGMA</t>
        </is>
      </c>
      <c r="B208" t="inlineStr">
        <is>
          <t>M1</t>
        </is>
      </c>
      <c r="C208" t="inlineStr">
        <is>
          <t>Cali</t>
        </is>
      </c>
      <c r="D208" t="inlineStr">
        <is>
          <t>2215</t>
        </is>
      </c>
      <c r="E208" t="inlineStr">
        <is>
          <t>Sucursal</t>
        </is>
      </c>
      <c r="F208" s="23" t="n">
        <v>46279</v>
      </c>
      <c r="G208" t="inlineStr">
        <is>
          <t>provision</t>
        </is>
      </c>
      <c r="H208" s="26" t="n">
        <v>307757444</v>
      </c>
      <c r="I208" t="inlineStr">
        <is>
          <t>bajo</t>
        </is>
      </c>
      <c r="J208" t="inlineStr">
        <is>
          <t>RN-11 y RN-34: provision hasta el cupo operativo antes de bajar del 8 %</t>
        </is>
      </c>
      <c r="K208" t="inlineStr">
        <is>
          <t>Provision en la manana, antes del pagado: con el pronostico, sin provision el saldo bajaria del 8 % del cupo ese dia. Lleva el saldo de 97.242.556 a 405.000.000 COP (cupo 405.000.000). Equipo administrado por Sucursal. Sin tarifa TDV (administrado por la sucursal): costo 0 declarado.</t>
        </is>
      </c>
      <c r="L208" s="26" t="n">
        <v>405000000</v>
      </c>
      <c r="M208" s="26" t="n">
        <v>97242556</v>
      </c>
      <c r="N208" s="27">
        <f>IF(ISNUMBER(M208),M208/L208,"No aplica")</f>
        <v>0.24010507654320987</v>
      </c>
      <c r="O208" s="25">
        <f>IF(G208="provision",M208+H208,IF(G208="recoleccion",M208-H208,"No aplica"))</f>
        <v>405000000</v>
      </c>
      <c r="P208" s="26" t="n">
        <v>0</v>
      </c>
    </row>
    <row r="209">
      <c r="A209" t="inlineStr">
        <is>
          <t>PRAGMA</t>
        </is>
      </c>
      <c r="B209" t="inlineStr">
        <is>
          <t>M1</t>
        </is>
      </c>
      <c r="C209" t="inlineStr">
        <is>
          <t>Cali</t>
        </is>
      </c>
      <c r="D209" t="inlineStr">
        <is>
          <t>2219</t>
        </is>
      </c>
      <c r="E209" t="inlineStr">
        <is>
          <t>TDV</t>
        </is>
      </c>
      <c r="F209" s="23" t="n">
        <v>46274</v>
      </c>
      <c r="G209" t="inlineStr">
        <is>
          <t>provision</t>
        </is>
      </c>
      <c r="H209" s="26" t="n">
        <v>449726945</v>
      </c>
      <c r="I209" t="inlineStr">
        <is>
          <t>bajo</t>
        </is>
      </c>
      <c r="J209" t="inlineStr">
        <is>
          <t>RN-11 y RN-34: provision hasta el cupo operativo antes de bajar del 8 %</t>
        </is>
      </c>
      <c r="K209" t="inlineStr">
        <is>
          <t>Provision en la manana, antes del pagado: con el pronostico, sin provision el saldo bajaria del 8 % del cupo ese dia. Lleva el saldo de 50.273.055 a 500.000.000 COP (cupo 500.000.000). Equipo administrado por TDV.</t>
        </is>
      </c>
      <c r="L209" s="26" t="n">
        <v>500000000</v>
      </c>
      <c r="M209" s="26" t="n">
        <v>50273055</v>
      </c>
      <c r="N209" s="27">
        <f>IF(ISNUMBER(M209),M209/L209,"No aplica")</f>
        <v>0.10054611</v>
      </c>
      <c r="O209" s="25">
        <f>IF(G209="provision",M209+H209,IF(G209="recoleccion",M209-H209,"No aplica"))</f>
        <v>500000000</v>
      </c>
      <c r="P209" s="26" t="n">
        <v>217559</v>
      </c>
    </row>
    <row r="210">
      <c r="A210" t="inlineStr">
        <is>
          <t>PRAGMA</t>
        </is>
      </c>
      <c r="B210" t="inlineStr">
        <is>
          <t>M1</t>
        </is>
      </c>
      <c r="C210" t="inlineStr">
        <is>
          <t>Cali</t>
        </is>
      </c>
      <c r="D210" t="inlineStr">
        <is>
          <t>2226</t>
        </is>
      </c>
      <c r="E210" t="inlineStr">
        <is>
          <t>Sucursal</t>
        </is>
      </c>
      <c r="F210" s="23" t="n">
        <v>46268</v>
      </c>
      <c r="G210" t="inlineStr">
        <is>
          <t>provision</t>
        </is>
      </c>
      <c r="H210" s="26" t="n">
        <v>313555539</v>
      </c>
      <c r="I210" t="inlineStr">
        <is>
          <t>bajo</t>
        </is>
      </c>
      <c r="J210" t="inlineStr">
        <is>
          <t>RN-11 y RN-34: provision hasta el cupo operativo antes de bajar del 8 %</t>
        </is>
      </c>
      <c r="K210" t="inlineStr">
        <is>
          <t>Provision en la manana, antes del pagado: con el pronostico, sin provision el saldo bajaria del 8 % del cupo ese dia. Lleva el saldo de 91.444.461 a 405.000.000 COP (cupo 405.000.000). Equipo administrado por Sucursal. Sin tarifa TDV (administrado por la sucursal): costo 0 declarado.</t>
        </is>
      </c>
      <c r="L210" s="26" t="n">
        <v>405000000</v>
      </c>
      <c r="M210" s="26" t="n">
        <v>91444461</v>
      </c>
      <c r="N210" s="27">
        <f>IF(ISNUMBER(M210),M210/L210,"No aplica")</f>
        <v>0.2257887925925926</v>
      </c>
      <c r="O210" s="25">
        <f>IF(G210="provision",M210+H210,IF(G210="recoleccion",M210-H210,"No aplica"))</f>
        <v>405000000</v>
      </c>
      <c r="P210" s="26" t="n">
        <v>0</v>
      </c>
    </row>
    <row r="211">
      <c r="A211" t="inlineStr">
        <is>
          <t>PRAGMA</t>
        </is>
      </c>
      <c r="B211" t="inlineStr">
        <is>
          <t>M1</t>
        </is>
      </c>
      <c r="C211" t="inlineStr">
        <is>
          <t>Cali</t>
        </is>
      </c>
      <c r="D211" t="inlineStr">
        <is>
          <t>2226</t>
        </is>
      </c>
      <c r="E211" t="inlineStr">
        <is>
          <t>Sucursal</t>
        </is>
      </c>
      <c r="F211" s="23" t="n">
        <v>46270</v>
      </c>
      <c r="G211" t="inlineStr">
        <is>
          <t>provision</t>
        </is>
      </c>
      <c r="H211" s="26" t="n">
        <v>259889050</v>
      </c>
      <c r="I211" t="inlineStr">
        <is>
          <t>bajo</t>
        </is>
      </c>
      <c r="J211" t="inlineStr">
        <is>
          <t>RN-11 y RN-34: provision hasta el cupo operativo antes de bajar del 8 %</t>
        </is>
      </c>
      <c r="K211" t="inlineStr">
        <is>
          <t>Provision en la manana, antes del pagado: con el pronostico, sin provision el saldo bajaria del 8 % del cupo ese dia. Lleva el saldo de 145.110.950 a 405.000.000 COP (cupo 405.000.000). Equipo administrado por Sucursal. Sin tarifa TDV (administrado por la sucursal): costo 0 declarado.</t>
        </is>
      </c>
      <c r="L211" s="26" t="n">
        <v>405000000</v>
      </c>
      <c r="M211" s="26" t="n">
        <v>145110950</v>
      </c>
      <c r="N211" s="27">
        <f>IF(ISNUMBER(M211),M211/L211,"No aplica")</f>
        <v>0.35829864197530864</v>
      </c>
      <c r="O211" s="25">
        <f>IF(G211="provision",M211+H211,IF(G211="recoleccion",M211-H211,"No aplica"))</f>
        <v>405000000</v>
      </c>
      <c r="P211" s="26" t="n">
        <v>0</v>
      </c>
    </row>
    <row r="212">
      <c r="A212" t="inlineStr">
        <is>
          <t>PRAGMA</t>
        </is>
      </c>
      <c r="B212" t="inlineStr">
        <is>
          <t>M1</t>
        </is>
      </c>
      <c r="C212" t="inlineStr">
        <is>
          <t>Cali</t>
        </is>
      </c>
      <c r="D212" t="inlineStr">
        <is>
          <t>2226</t>
        </is>
      </c>
      <c r="E212" t="inlineStr">
        <is>
          <t>Sucursal</t>
        </is>
      </c>
      <c r="F212" s="23" t="n">
        <v>46273</v>
      </c>
      <c r="G212" t="inlineStr">
        <is>
          <t>provision</t>
        </is>
      </c>
      <c r="H212" s="26" t="n">
        <v>344036673</v>
      </c>
      <c r="I212" t="inlineStr">
        <is>
          <t>bajo</t>
        </is>
      </c>
      <c r="J212" t="inlineStr">
        <is>
          <t>RN-11 y RN-34: provision hasta el cupo operativo antes de bajar del 8 %</t>
        </is>
      </c>
      <c r="K212" t="inlineStr">
        <is>
          <t>Provision en la manana, antes del pagado: con el pronostico, sin provision el saldo bajaria del 8 % del cupo ese dia. Lleva el saldo de 60.963.327 a 405.000.000 COP (cupo 405.000.000). Equipo administrado por Sucursal. Sin tarifa TDV (administrado por la sucursal): costo 0 declarado.</t>
        </is>
      </c>
      <c r="L212" s="26" t="n">
        <v>405000000</v>
      </c>
      <c r="M212" s="26" t="n">
        <v>60963327</v>
      </c>
      <c r="N212" s="27">
        <f>IF(ISNUMBER(M212),M212/L212,"No aplica")</f>
        <v>0.15052673333333333</v>
      </c>
      <c r="O212" s="25">
        <f>IF(G212="provision",M212+H212,IF(G212="recoleccion",M212-H212,"No aplica"))</f>
        <v>405000000</v>
      </c>
      <c r="P212" s="26" t="n">
        <v>0</v>
      </c>
    </row>
    <row r="213">
      <c r="A213" t="inlineStr">
        <is>
          <t>PRAGMA</t>
        </is>
      </c>
      <c r="B213" t="inlineStr">
        <is>
          <t>M1</t>
        </is>
      </c>
      <c r="C213" t="inlineStr">
        <is>
          <t>Cali</t>
        </is>
      </c>
      <c r="D213" t="inlineStr">
        <is>
          <t>2226</t>
        </is>
      </c>
      <c r="E213" t="inlineStr">
        <is>
          <t>Sucursal</t>
        </is>
      </c>
      <c r="F213" s="23" t="n">
        <v>46276</v>
      </c>
      <c r="G213" t="inlineStr">
        <is>
          <t>provision</t>
        </is>
      </c>
      <c r="H213" s="26" t="n">
        <v>285703035</v>
      </c>
      <c r="I213" t="inlineStr">
        <is>
          <t>bajo</t>
        </is>
      </c>
      <c r="J213" t="inlineStr">
        <is>
          <t>RN-11 y RN-34: provision hasta el cupo operativo antes de bajar del 8 %</t>
        </is>
      </c>
      <c r="K213" t="inlineStr">
        <is>
          <t>Provision en la manana, antes del pagado: con el pronostico, sin provision el saldo bajaria del 8 % del cupo ese dia. Lleva el saldo de 119.296.965 a 405.000.000 COP (cupo 405.000.000). Equipo administrado por Sucursal. Sin tarifa TDV (administrado por la sucursal): costo 0 declarado.</t>
        </is>
      </c>
      <c r="L213" s="26" t="n">
        <v>405000000</v>
      </c>
      <c r="M213" s="26" t="n">
        <v>119296965</v>
      </c>
      <c r="N213" s="27">
        <f>IF(ISNUMBER(M213),M213/L213,"No aplica")</f>
        <v>0.2945604074074074</v>
      </c>
      <c r="O213" s="25">
        <f>IF(G213="provision",M213+H213,IF(G213="recoleccion",M213-H213,"No aplica"))</f>
        <v>405000000</v>
      </c>
      <c r="P213" s="26" t="n">
        <v>0</v>
      </c>
    </row>
    <row r="214">
      <c r="A214" t="inlineStr">
        <is>
          <t>PRAGMA</t>
        </is>
      </c>
      <c r="B214" t="inlineStr">
        <is>
          <t>M1</t>
        </is>
      </c>
      <c r="C214" t="inlineStr">
        <is>
          <t>Cali</t>
        </is>
      </c>
      <c r="D214" t="inlineStr">
        <is>
          <t>2226</t>
        </is>
      </c>
      <c r="E214" t="inlineStr">
        <is>
          <t>Sucursal</t>
        </is>
      </c>
      <c r="F214" s="23" t="n">
        <v>46279</v>
      </c>
      <c r="G214" t="inlineStr">
        <is>
          <t>provision</t>
        </is>
      </c>
      <c r="H214" s="26" t="n">
        <v>305342601</v>
      </c>
      <c r="I214" t="inlineStr">
        <is>
          <t>bajo</t>
        </is>
      </c>
      <c r="J214" t="inlineStr">
        <is>
          <t>RN-11 y RN-34: provision hasta el cupo operativo antes de bajar del 8 %</t>
        </is>
      </c>
      <c r="K214" t="inlineStr">
        <is>
          <t>Provision en la manana, antes del pagado: con el pronostico, sin provision el saldo bajaria del 8 % del cupo ese dia. Lleva el saldo de 99.657.399 a 405.000.000 COP (cupo 405.000.000). Equipo administrado por Sucursal. Sin tarifa TDV (administrado por la sucursal): costo 0 declarado.</t>
        </is>
      </c>
      <c r="L214" s="26" t="n">
        <v>405000000</v>
      </c>
      <c r="M214" s="26" t="n">
        <v>99657399</v>
      </c>
      <c r="N214" s="27">
        <f>IF(ISNUMBER(M214),M214/L214,"No aplica")</f>
        <v>0.24606765185185187</v>
      </c>
      <c r="O214" s="25">
        <f>IF(G214="provision",M214+H214,IF(G214="recoleccion",M214-H214,"No aplica"))</f>
        <v>405000000</v>
      </c>
      <c r="P214" s="26" t="n">
        <v>0</v>
      </c>
    </row>
    <row r="215">
      <c r="A215" t="inlineStr">
        <is>
          <t>PRAGMA</t>
        </is>
      </c>
      <c r="B215" t="inlineStr">
        <is>
          <t>M1</t>
        </is>
      </c>
      <c r="C215" t="inlineStr">
        <is>
          <t>Cali</t>
        </is>
      </c>
      <c r="D215" t="inlineStr">
        <is>
          <t>2299</t>
        </is>
      </c>
      <c r="E215" t="inlineStr">
        <is>
          <t>TDV</t>
        </is>
      </c>
      <c r="F215" s="23" t="n">
        <v>46268</v>
      </c>
      <c r="G215" t="inlineStr">
        <is>
          <t>provision</t>
        </is>
      </c>
      <c r="H215" s="26" t="n">
        <v>282722501</v>
      </c>
      <c r="I215" t="inlineStr">
        <is>
          <t>bajo</t>
        </is>
      </c>
      <c r="J215" t="inlineStr">
        <is>
          <t>RN-11 y RN-34: provision hasta el cupo operativo antes de bajar del 8 %</t>
        </is>
      </c>
      <c r="K215" t="inlineStr">
        <is>
          <t>Provision en la manana, antes del pagado: con el pronostico, sin provision el saldo bajaria del 8 % del cupo ese dia. Lleva el saldo de 122.277.499 a 405.000.000 COP (cupo 405.000.000). Equipo administrado por TDV.</t>
        </is>
      </c>
      <c r="L215" s="26" t="n">
        <v>405000000</v>
      </c>
      <c r="M215" s="26" t="n">
        <v>122277499</v>
      </c>
      <c r="N215" s="27">
        <f>IF(ISNUMBER(M215),M215/L215,"No aplica")</f>
        <v>0.30191975061728393</v>
      </c>
      <c r="O215" s="25">
        <f>IF(G215="provision",M215+H215,IF(G215="recoleccion",M215-H215,"No aplica"))</f>
        <v>405000000</v>
      </c>
      <c r="P215" s="26" t="n">
        <v>99374</v>
      </c>
    </row>
    <row r="216">
      <c r="A216" t="inlineStr">
        <is>
          <t>PRAGMA</t>
        </is>
      </c>
      <c r="B216" t="inlineStr">
        <is>
          <t>M1</t>
        </is>
      </c>
      <c r="C216" t="inlineStr">
        <is>
          <t>Cali</t>
        </is>
      </c>
      <c r="D216" t="inlineStr">
        <is>
          <t>2299</t>
        </is>
      </c>
      <c r="E216" t="inlineStr">
        <is>
          <t>TDV</t>
        </is>
      </c>
      <c r="F216" s="23" t="n">
        <v>46270</v>
      </c>
      <c r="G216" t="inlineStr">
        <is>
          <t>provision</t>
        </is>
      </c>
      <c r="H216" s="26" t="n">
        <v>240733895</v>
      </c>
      <c r="I216" t="inlineStr">
        <is>
          <t>bajo</t>
        </is>
      </c>
      <c r="J216" t="inlineStr">
        <is>
          <t>RN-11 y RN-34: provision hasta el cupo operativo antes de bajar del 8 %</t>
        </is>
      </c>
      <c r="K216" t="inlineStr">
        <is>
          <t>Provision en la manana, antes del pagado: con el pronostico, sin provision el saldo bajaria del 8 % del cupo ese dia. Lleva el saldo de 164.266.105 a 405.000.000 COP (cupo 405.000.000). Equipo administrado por TDV.</t>
        </is>
      </c>
      <c r="L216" s="26" t="n">
        <v>405000000</v>
      </c>
      <c r="M216" s="26" t="n">
        <v>164266105</v>
      </c>
      <c r="N216" s="27">
        <f>IF(ISNUMBER(M216),M216/L216,"No aplica")</f>
        <v>0.40559532098765433</v>
      </c>
      <c r="O216" s="25">
        <f>IF(G216="provision",M216+H216,IF(G216="recoleccion",M216-H216,"No aplica"))</f>
        <v>405000000</v>
      </c>
      <c r="P216" s="26" t="n">
        <v>87030</v>
      </c>
    </row>
    <row r="217">
      <c r="A217" t="inlineStr">
        <is>
          <t>PRAGMA</t>
        </is>
      </c>
      <c r="B217" t="inlineStr">
        <is>
          <t>M1</t>
        </is>
      </c>
      <c r="C217" t="inlineStr">
        <is>
          <t>Cali</t>
        </is>
      </c>
      <c r="D217" t="inlineStr">
        <is>
          <t>2299</t>
        </is>
      </c>
      <c r="E217" t="inlineStr">
        <is>
          <t>TDV</t>
        </is>
      </c>
      <c r="F217" s="23" t="n">
        <v>46273</v>
      </c>
      <c r="G217" t="inlineStr">
        <is>
          <t>provision</t>
        </is>
      </c>
      <c r="H217" s="26" t="n">
        <v>331356731</v>
      </c>
      <c r="I217" t="inlineStr">
        <is>
          <t>bajo</t>
        </is>
      </c>
      <c r="J217" t="inlineStr">
        <is>
          <t>RN-11 y RN-34: provision hasta el cupo operativo antes de bajar del 8 %</t>
        </is>
      </c>
      <c r="K217" t="inlineStr">
        <is>
          <t>Provision en la manana, antes del pagado: con el pronostico, sin provision el saldo bajaria del 8 % del cupo ese dia. Lleva el saldo de 73.643.269 a 405.000.000 COP (cupo 405.000.000). Equipo administrado por TDV.</t>
        </is>
      </c>
      <c r="L217" s="26" t="n">
        <v>405000000</v>
      </c>
      <c r="M217" s="26" t="n">
        <v>73643269</v>
      </c>
      <c r="N217" s="27">
        <f>IF(ISNUMBER(M217),M217/L217,"No aplica")</f>
        <v>0.18183523209876543</v>
      </c>
      <c r="O217" s="25">
        <f>IF(G217="provision",M217+H217,IF(G217="recoleccion",M217-H217,"No aplica"))</f>
        <v>405000000</v>
      </c>
      <c r="P217" s="26" t="n">
        <v>113673</v>
      </c>
    </row>
    <row r="218">
      <c r="A218" t="inlineStr">
        <is>
          <t>PRAGMA</t>
        </is>
      </c>
      <c r="B218" t="inlineStr">
        <is>
          <t>M1</t>
        </is>
      </c>
      <c r="C218" t="inlineStr">
        <is>
          <t>Cali</t>
        </is>
      </c>
      <c r="D218" t="inlineStr">
        <is>
          <t>2299</t>
        </is>
      </c>
      <c r="E218" t="inlineStr">
        <is>
          <t>TDV</t>
        </is>
      </c>
      <c r="F218" s="23" t="n">
        <v>46277</v>
      </c>
      <c r="G218" t="inlineStr">
        <is>
          <t>provision</t>
        </is>
      </c>
      <c r="H218" s="26" t="n">
        <v>346143180</v>
      </c>
      <c r="I218" t="inlineStr">
        <is>
          <t>bajo</t>
        </is>
      </c>
      <c r="J218" t="inlineStr">
        <is>
          <t>RN-11 y RN-34: provision hasta el cupo operativo antes de bajar del 8 %</t>
        </is>
      </c>
      <c r="K218" t="inlineStr">
        <is>
          <t>Provision en la manana, antes del pagado: con el pronostico, sin provision el saldo bajaria del 8 % del cupo ese dia. Lleva el saldo de 58.856.820 a 405.000.000 COP (cupo 405.000.000). Equipo administrado por TDV.</t>
        </is>
      </c>
      <c r="L218" s="26" t="n">
        <v>405000000</v>
      </c>
      <c r="M218" s="26" t="n">
        <v>58856820</v>
      </c>
      <c r="N218" s="27">
        <f>IF(ISNUMBER(M218),M218/L218,"No aplica")</f>
        <v>0.14532548148148147</v>
      </c>
      <c r="O218" s="25">
        <f>IF(G218="provision",M218+H218,IF(G218="recoleccion",M218-H218,"No aplica"))</f>
        <v>405000000</v>
      </c>
      <c r="P218" s="26" t="n">
        <v>118020</v>
      </c>
    </row>
    <row r="219">
      <c r="A219" t="inlineStr">
        <is>
          <t>PRAGMA</t>
        </is>
      </c>
      <c r="B219" t="inlineStr">
        <is>
          <t>M1</t>
        </is>
      </c>
      <c r="C219" t="inlineStr">
        <is>
          <t>Cali</t>
        </is>
      </c>
      <c r="D219" t="inlineStr">
        <is>
          <t>2299</t>
        </is>
      </c>
      <c r="E219" t="inlineStr">
        <is>
          <t>TDV</t>
        </is>
      </c>
      <c r="F219" s="23" t="n">
        <v>46280</v>
      </c>
      <c r="G219" t="inlineStr">
        <is>
          <t>provision</t>
        </is>
      </c>
      <c r="H219" s="26" t="n">
        <v>259547256</v>
      </c>
      <c r="I219" t="inlineStr">
        <is>
          <t>bajo</t>
        </is>
      </c>
      <c r="J219" t="inlineStr">
        <is>
          <t>RN-11 y RN-34: provision hasta el cupo operativo antes de bajar del 8 %</t>
        </is>
      </c>
      <c r="K219" t="inlineStr">
        <is>
          <t>Provision en la manana, antes del pagado: con el pronostico, sin provision el saldo bajaria del 8 % del cupo ese dia. Lleva el saldo de 145.452.744 a 405.000.000 COP (cupo 405.000.000). Equipo administrado por TDV.</t>
        </is>
      </c>
      <c r="L219" s="26" t="n">
        <v>405000000</v>
      </c>
      <c r="M219" s="26" t="n">
        <v>145452744</v>
      </c>
      <c r="N219" s="27">
        <f>IF(ISNUMBER(M219),M219/L219,"No aplica")</f>
        <v>0.3591425777777778</v>
      </c>
      <c r="O219" s="25">
        <f>IF(G219="provision",M219+H219,IF(G219="recoleccion",M219-H219,"No aplica"))</f>
        <v>405000000</v>
      </c>
      <c r="P219" s="26" t="n">
        <v>92561</v>
      </c>
    </row>
    <row r="220">
      <c r="A220" t="inlineStr">
        <is>
          <t>PRAGMA</t>
        </is>
      </c>
      <c r="B220" t="inlineStr">
        <is>
          <t>M1</t>
        </is>
      </c>
      <c r="C220" t="inlineStr">
        <is>
          <t>Cali</t>
        </is>
      </c>
      <c r="D220" t="inlineStr">
        <is>
          <t>2319</t>
        </is>
      </c>
      <c r="E220" t="inlineStr">
        <is>
          <t>TDV</t>
        </is>
      </c>
      <c r="F220" s="23" t="n">
        <v>46266</v>
      </c>
      <c r="G220" t="inlineStr">
        <is>
          <t>sin_accion</t>
        </is>
      </c>
      <c r="H220" s="26" t="n">
        <v>0</v>
      </c>
      <c r="I220" t="inlineStr">
        <is>
          <t>bajo</t>
        </is>
      </c>
      <c r="J220" t="inlineStr">
        <is>
          <t>RN-02: una fila sin_accion</t>
        </is>
      </c>
      <c r="K220" t="inlineStr">
        <is>
          <t>Sin accion en el horizonte: con el pronostico, el saldo se mantiene entre el umbral de agotamiento y el cupo sin necesidad de provision ni recoleccion.</t>
        </is>
      </c>
      <c r="L220" s="26" t="n">
        <v>500000000</v>
      </c>
      <c r="M220" s="26" t="inlineStr">
        <is>
          <t>No aplica</t>
        </is>
      </c>
      <c r="N220" s="27" t="str">
        <f>IF(ISNUMBER(M220),M220/L220,"No aplica")</f>
        <v>No aplica</v>
      </c>
      <c r="O220" s="25" t="str">
        <f>IF(G220="provision",M220+H220,IF(G220="recoleccion",M220-H220,"No aplica"))</f>
        <v>No aplica</v>
      </c>
      <c r="P220" s="26" t="inlineStr">
        <is>
          <t>No aplica</t>
        </is>
      </c>
    </row>
    <row r="221">
      <c r="A221" t="inlineStr">
        <is>
          <t>PRAGMA</t>
        </is>
      </c>
      <c r="B221" t="inlineStr">
        <is>
          <t>M1</t>
        </is>
      </c>
      <c r="C221" t="inlineStr">
        <is>
          <t>Cali</t>
        </is>
      </c>
      <c r="D221" t="inlineStr">
        <is>
          <t>2343</t>
        </is>
      </c>
      <c r="E221" t="inlineStr">
        <is>
          <t>TDV</t>
        </is>
      </c>
      <c r="F221" s="23" t="n">
        <v>46268</v>
      </c>
      <c r="G221" t="inlineStr">
        <is>
          <t>provision</t>
        </is>
      </c>
      <c r="H221" s="26" t="n">
        <v>327048134</v>
      </c>
      <c r="I221" t="inlineStr">
        <is>
          <t>bajo</t>
        </is>
      </c>
      <c r="J221" t="inlineStr">
        <is>
          <t>RN-11 y RN-34: provision hasta el cupo operativo antes de bajar del 8 %</t>
        </is>
      </c>
      <c r="K221" t="inlineStr">
        <is>
          <t>Provision en la manana, antes del pagado: con el pronostico, sin provision el saldo bajaria del 8 % del cupo ese dia. Lleva el saldo de 83.951.866 a 411.000.000 COP (cupo 411.000.000). Equipo administrado por TDV.</t>
        </is>
      </c>
      <c r="L221" s="26" t="n">
        <v>411000000</v>
      </c>
      <c r="M221" s="26" t="n">
        <v>83951866</v>
      </c>
      <c r="N221" s="27">
        <f>IF(ISNUMBER(M221),M221/L221,"No aplica")</f>
        <v>0.20426244768856447</v>
      </c>
      <c r="O221" s="25">
        <f>IF(G221="provision",M221+H221,IF(G221="recoleccion",M221-H221,"No aplica"))</f>
        <v>411000000</v>
      </c>
      <c r="P221" s="26" t="n">
        <v>112406</v>
      </c>
    </row>
    <row r="222">
      <c r="A222" t="inlineStr">
        <is>
          <t>PRAGMA</t>
        </is>
      </c>
      <c r="B222" t="inlineStr">
        <is>
          <t>M1</t>
        </is>
      </c>
      <c r="C222" t="inlineStr">
        <is>
          <t>Cali</t>
        </is>
      </c>
      <c r="D222" t="inlineStr">
        <is>
          <t>2343</t>
        </is>
      </c>
      <c r="E222" t="inlineStr">
        <is>
          <t>TDV</t>
        </is>
      </c>
      <c r="F222" s="23" t="n">
        <v>46270</v>
      </c>
      <c r="G222" t="inlineStr">
        <is>
          <t>provision</t>
        </is>
      </c>
      <c r="H222" s="26" t="n">
        <v>260707166</v>
      </c>
      <c r="I222" t="inlineStr">
        <is>
          <t>bajo</t>
        </is>
      </c>
      <c r="J222" t="inlineStr">
        <is>
          <t>RN-11 y RN-34: provision hasta el cupo operativo antes de bajar del 8 %</t>
        </is>
      </c>
      <c r="K222" t="inlineStr">
        <is>
          <t>Provision en la manana, antes del pagado: con el pronostico, sin provision el saldo bajaria del 8 % del cupo ese dia. Lleva el saldo de 150.292.834 a 411.000.000 COP (cupo 411.000.000). Equipo administrado por TDV.</t>
        </is>
      </c>
      <c r="L222" s="26" t="n">
        <v>411000000</v>
      </c>
      <c r="M222" s="26" t="n">
        <v>150292834</v>
      </c>
      <c r="N222" s="27">
        <f>IF(ISNUMBER(M222),M222/L222,"No aplica")</f>
        <v>0.36567599513381993</v>
      </c>
      <c r="O222" s="25">
        <f>IF(G222="provision",M222+H222,IF(G222="recoleccion",M222-H222,"No aplica"))</f>
        <v>411000000</v>
      </c>
      <c r="P222" s="26" t="n">
        <v>92902</v>
      </c>
    </row>
    <row r="223">
      <c r="A223" t="inlineStr">
        <is>
          <t>PRAGMA</t>
        </is>
      </c>
      <c r="B223" t="inlineStr">
        <is>
          <t>M1</t>
        </is>
      </c>
      <c r="C223" t="inlineStr">
        <is>
          <t>Cali</t>
        </is>
      </c>
      <c r="D223" t="inlineStr">
        <is>
          <t>2343</t>
        </is>
      </c>
      <c r="E223" t="inlineStr">
        <is>
          <t>TDV</t>
        </is>
      </c>
      <c r="F223" s="23" t="n">
        <v>46273</v>
      </c>
      <c r="G223" t="inlineStr">
        <is>
          <t>provision</t>
        </is>
      </c>
      <c r="H223" s="26" t="n">
        <v>370886771</v>
      </c>
      <c r="I223" t="inlineStr">
        <is>
          <t>bajo</t>
        </is>
      </c>
      <c r="J223" t="inlineStr">
        <is>
          <t>RN-11 y RN-34: provision hasta el cupo operativo antes de bajar del 8 %</t>
        </is>
      </c>
      <c r="K223" t="inlineStr">
        <is>
          <t>Provision en la manana, antes del pagado: con el pronostico, sin provision el saldo bajaria del 8 % del cupo ese dia. Lleva el saldo de 40.113.229 a 411.000.000 COP (cupo 411.000.000). Equipo administrado por TDV.</t>
        </is>
      </c>
      <c r="L223" s="26" t="n">
        <v>411000000</v>
      </c>
      <c r="M223" s="26" t="n">
        <v>40113229</v>
      </c>
      <c r="N223" s="27">
        <f>IF(ISNUMBER(M223),M223/L223,"No aplica")</f>
        <v>0.09759909732360098</v>
      </c>
      <c r="O223" s="25">
        <f>IF(G223="provision",M223+H223,IF(G223="recoleccion",M223-H223,"No aplica"))</f>
        <v>411000000</v>
      </c>
      <c r="P223" s="26" t="n">
        <v>125295</v>
      </c>
    </row>
    <row r="224">
      <c r="A224" t="inlineStr">
        <is>
          <t>PRAGMA</t>
        </is>
      </c>
      <c r="B224" t="inlineStr">
        <is>
          <t>M1</t>
        </is>
      </c>
      <c r="C224" t="inlineStr">
        <is>
          <t>Cali</t>
        </is>
      </c>
      <c r="D224" t="inlineStr">
        <is>
          <t>2343</t>
        </is>
      </c>
      <c r="E224" t="inlineStr">
        <is>
          <t>TDV</t>
        </is>
      </c>
      <c r="F224" s="23" t="n">
        <v>46276</v>
      </c>
      <c r="G224" t="inlineStr">
        <is>
          <t>provision</t>
        </is>
      </c>
      <c r="H224" s="26" t="n">
        <v>296424136</v>
      </c>
      <c r="I224" t="inlineStr">
        <is>
          <t>bajo</t>
        </is>
      </c>
      <c r="J224" t="inlineStr">
        <is>
          <t>RN-11 y RN-34: provision hasta el cupo operativo antes de bajar del 8 %</t>
        </is>
      </c>
      <c r="K224" t="inlineStr">
        <is>
          <t>Provision en la manana, antes del pagado: con el pronostico, sin provision el saldo bajaria del 8 % del cupo ese dia. Lleva el saldo de 114.575.864 a 411.000.000 COP (cupo 411.000.000). Equipo administrado por TDV.</t>
        </is>
      </c>
      <c r="L224" s="26" t="n">
        <v>411000000</v>
      </c>
      <c r="M224" s="26" t="n">
        <v>114575864</v>
      </c>
      <c r="N224" s="27">
        <f>IF(ISNUMBER(M224),M224/L224,"No aplica")</f>
        <v>0.27877339172749394</v>
      </c>
      <c r="O224" s="25">
        <f>IF(G224="provision",M224+H224,IF(G224="recoleccion",M224-H224,"No aplica"))</f>
        <v>411000000</v>
      </c>
      <c r="P224" s="26" t="n">
        <v>103403</v>
      </c>
    </row>
    <row r="225">
      <c r="A225" t="inlineStr">
        <is>
          <t>PRAGMA</t>
        </is>
      </c>
      <c r="B225" t="inlineStr">
        <is>
          <t>M1</t>
        </is>
      </c>
      <c r="C225" t="inlineStr">
        <is>
          <t>Cali</t>
        </is>
      </c>
      <c r="D225" t="inlineStr">
        <is>
          <t>2343</t>
        </is>
      </c>
      <c r="E225" t="inlineStr">
        <is>
          <t>TDV</t>
        </is>
      </c>
      <c r="F225" s="23" t="n">
        <v>46279</v>
      </c>
      <c r="G225" t="inlineStr">
        <is>
          <t>provision</t>
        </is>
      </c>
      <c r="H225" s="26" t="n">
        <v>307625079</v>
      </c>
      <c r="I225" t="inlineStr">
        <is>
          <t>bajo</t>
        </is>
      </c>
      <c r="J225" t="inlineStr">
        <is>
          <t>RN-11 y RN-34: provision hasta el cupo operativo antes de bajar del 8 %</t>
        </is>
      </c>
      <c r="K225" t="inlineStr">
        <is>
          <t>Provision en la manana, antes del pagado: con el pronostico, sin provision el saldo bajaria del 8 % del cupo ese dia. Lleva el saldo de 103.374.921 a 411.000.000 COP (cupo 411.000.000). Equipo administrado por TDV.</t>
        </is>
      </c>
      <c r="L225" s="26" t="n">
        <v>411000000</v>
      </c>
      <c r="M225" s="26" t="n">
        <v>103374921</v>
      </c>
      <c r="N225" s="27">
        <f>IF(ISNUMBER(M225),M225/L225,"No aplica")</f>
        <v>0.25152048905109486</v>
      </c>
      <c r="O225" s="25">
        <f>IF(G225="provision",M225+H225,IF(G225="recoleccion",M225-H225,"No aplica"))</f>
        <v>411000000</v>
      </c>
      <c r="P225" s="26" t="n">
        <v>106696</v>
      </c>
    </row>
    <row r="226">
      <c r="A226" t="inlineStr">
        <is>
          <t>PRAGMA</t>
        </is>
      </c>
      <c r="B226" t="inlineStr">
        <is>
          <t>M1</t>
        </is>
      </c>
      <c r="C226" t="inlineStr">
        <is>
          <t>Cali</t>
        </is>
      </c>
      <c r="D226" t="inlineStr">
        <is>
          <t>2362</t>
        </is>
      </c>
      <c r="E226" t="inlineStr">
        <is>
          <t>TDV</t>
        </is>
      </c>
      <c r="F226" s="23" t="n">
        <v>46266</v>
      </c>
      <c r="G226" t="inlineStr">
        <is>
          <t>sin_accion</t>
        </is>
      </c>
      <c r="H226" s="26" t="n">
        <v>0</v>
      </c>
      <c r="I226" t="inlineStr">
        <is>
          <t>bajo</t>
        </is>
      </c>
      <c r="J226" t="inlineStr">
        <is>
          <t>RN-02: una fila sin_accion</t>
        </is>
      </c>
      <c r="K226" t="inlineStr">
        <is>
          <t>Sin accion en el horizonte: con el pronostico, el saldo se mantiene entre el umbral de agotamiento y el cupo sin necesidad de provision ni recoleccion.</t>
        </is>
      </c>
      <c r="L226" s="26" t="n">
        <v>500000000</v>
      </c>
      <c r="M226" s="26" t="inlineStr">
        <is>
          <t>No aplica</t>
        </is>
      </c>
      <c r="N226" s="27" t="str">
        <f>IF(ISNUMBER(M226),M226/L226,"No aplica")</f>
        <v>No aplica</v>
      </c>
      <c r="O226" s="25" t="str">
        <f>IF(G226="provision",M226+H226,IF(G226="recoleccion",M226-H226,"No aplica"))</f>
        <v>No aplica</v>
      </c>
      <c r="P226" s="26" t="inlineStr">
        <is>
          <t>No aplica</t>
        </is>
      </c>
    </row>
    <row r="227">
      <c r="A227" t="inlineStr">
        <is>
          <t>PRAGMA</t>
        </is>
      </c>
      <c r="B227" t="inlineStr">
        <is>
          <t>M1</t>
        </is>
      </c>
      <c r="C227" t="inlineStr">
        <is>
          <t>Cali</t>
        </is>
      </c>
      <c r="D227" t="inlineStr">
        <is>
          <t>2381</t>
        </is>
      </c>
      <c r="E227" t="inlineStr">
        <is>
          <t>TDV</t>
        </is>
      </c>
      <c r="F227" s="23" t="n">
        <v>46267</v>
      </c>
      <c r="G227" t="inlineStr">
        <is>
          <t>provision</t>
        </is>
      </c>
      <c r="H227" s="26" t="n">
        <v>215785353</v>
      </c>
      <c r="I227" t="inlineStr">
        <is>
          <t>bajo</t>
        </is>
      </c>
      <c r="J227" t="inlineStr">
        <is>
          <t>RN-11 y RN-34: provision hasta el cupo operativo antes de bajar del 8 %</t>
        </is>
      </c>
      <c r="K227" t="inlineStr">
        <is>
          <t>Provision en la manana, antes del pagado: con el pronostico, sin provision el saldo bajaria del 8 % del cupo ese dia. Lleva el saldo de 195.214.647 a 411.000.000 COP (cupo 411.000.000). Equipo administrado por TDV.</t>
        </is>
      </c>
      <c r="L227" s="26" t="n">
        <v>411000000</v>
      </c>
      <c r="M227" s="26" t="n">
        <v>195214647</v>
      </c>
      <c r="N227" s="27">
        <f>IF(ISNUMBER(M227),M227/L227,"No aplica")</f>
        <v>0.4749748102189781</v>
      </c>
      <c r="O227" s="25">
        <f>IF(G227="provision",M227+H227,IF(G227="recoleccion",M227-H227,"No aplica"))</f>
        <v>411000000</v>
      </c>
      <c r="P227" s="26" t="n">
        <v>86618</v>
      </c>
    </row>
    <row r="228">
      <c r="A228" t="inlineStr">
        <is>
          <t>PRAGMA</t>
        </is>
      </c>
      <c r="B228" t="inlineStr">
        <is>
          <t>M1</t>
        </is>
      </c>
      <c r="C228" t="inlineStr">
        <is>
          <t>Cali</t>
        </is>
      </c>
      <c r="D228" t="inlineStr">
        <is>
          <t>2381</t>
        </is>
      </c>
      <c r="E228" t="inlineStr">
        <is>
          <t>TDV</t>
        </is>
      </c>
      <c r="F228" s="23" t="n">
        <v>46269</v>
      </c>
      <c r="G228" t="inlineStr">
        <is>
          <t>provision</t>
        </is>
      </c>
      <c r="H228" s="26" t="n">
        <v>344616673</v>
      </c>
      <c r="I228" t="inlineStr">
        <is>
          <t>bajo</t>
        </is>
      </c>
      <c r="J228" t="inlineStr">
        <is>
          <t>RN-11 y RN-34: provision hasta el cupo operativo antes de bajar del 8 %</t>
        </is>
      </c>
      <c r="K228" t="inlineStr">
        <is>
          <t>Provision en la manana, antes del pagado: con el pronostico, sin provision el saldo bajaria del 8 % del cupo ese dia. Lleva el saldo de 66.383.327 a 411.000.000 COP (cupo 411.000.000). Equipo administrado por TDV.</t>
        </is>
      </c>
      <c r="L228" s="26" t="n">
        <v>411000000</v>
      </c>
      <c r="M228" s="26" t="n">
        <v>66383327</v>
      </c>
      <c r="N228" s="27">
        <f>IF(ISNUMBER(M228),M228/L228,"No aplica")</f>
        <v>0.16151661070559611</v>
      </c>
      <c r="O228" s="25">
        <f>IF(G228="provision",M228+H228,IF(G228="recoleccion",M228-H228,"No aplica"))</f>
        <v>411000000</v>
      </c>
      <c r="P228" s="26" t="n">
        <v>128230</v>
      </c>
    </row>
    <row r="229">
      <c r="A229" t="inlineStr">
        <is>
          <t>PRAGMA</t>
        </is>
      </c>
      <c r="B229" t="inlineStr">
        <is>
          <t>M1</t>
        </is>
      </c>
      <c r="C229" t="inlineStr">
        <is>
          <t>Cali</t>
        </is>
      </c>
      <c r="D229" t="inlineStr">
        <is>
          <t>2381</t>
        </is>
      </c>
      <c r="E229" t="inlineStr">
        <is>
          <t>TDV</t>
        </is>
      </c>
      <c r="F229" s="23" t="n">
        <v>46271</v>
      </c>
      <c r="G229" t="inlineStr">
        <is>
          <t>provision</t>
        </is>
      </c>
      <c r="H229" s="26" t="n">
        <v>335346567</v>
      </c>
      <c r="I229" t="inlineStr">
        <is>
          <t>bajo</t>
        </is>
      </c>
      <c r="J229" t="inlineStr">
        <is>
          <t>RN-11 y RN-34: provision hasta el cupo operativo antes de bajar del 8 %</t>
        </is>
      </c>
      <c r="K229" t="inlineStr">
        <is>
          <t>Provision en la manana, antes del pagado: con el pronostico, sin provision el saldo bajaria del 8 % del cupo ese dia. Lleva el saldo de 75.653.433 a 411.000.000 COP (cupo 411.000.000). Equipo administrado por TDV.</t>
        </is>
      </c>
      <c r="L229" s="26" t="n">
        <v>411000000</v>
      </c>
      <c r="M229" s="26" t="n">
        <v>75653433</v>
      </c>
      <c r="N229" s="27">
        <f>IF(ISNUMBER(M229),M229/L229,"No aplica")</f>
        <v>0.18407161313868614</v>
      </c>
      <c r="O229" s="25">
        <f>IF(G229="provision",M229+H229,IF(G229="recoleccion",M229-H229,"No aplica"))</f>
        <v>411000000</v>
      </c>
      <c r="P229" s="26" t="n">
        <v>163054</v>
      </c>
    </row>
    <row r="230">
      <c r="A230" t="inlineStr">
        <is>
          <t>PRAGMA</t>
        </is>
      </c>
      <c r="B230" t="inlineStr">
        <is>
          <t>M1</t>
        </is>
      </c>
      <c r="C230" t="inlineStr">
        <is>
          <t>Cali</t>
        </is>
      </c>
      <c r="D230" t="inlineStr">
        <is>
          <t>2381</t>
        </is>
      </c>
      <c r="E230" t="inlineStr">
        <is>
          <t>TDV</t>
        </is>
      </c>
      <c r="F230" s="23" t="n">
        <v>46274</v>
      </c>
      <c r="G230" t="inlineStr">
        <is>
          <t>provision</t>
        </is>
      </c>
      <c r="H230" s="26" t="n">
        <v>375338518</v>
      </c>
      <c r="I230" t="inlineStr">
        <is>
          <t>bajo</t>
        </is>
      </c>
      <c r="J230" t="inlineStr">
        <is>
          <t>RN-11 y RN-34: provision hasta el cupo operativo antes de bajar del 8 %</t>
        </is>
      </c>
      <c r="K230" t="inlineStr">
        <is>
          <t>Provision en la manana, antes del pagado: con el pronostico, sin provision el saldo bajaria del 8 % del cupo ese dia. Lleva el saldo de 35.661.482 a 411.000.000 COP (cupo 411.000.000). Equipo administrado por TDV.</t>
        </is>
      </c>
      <c r="L230" s="26" t="n">
        <v>411000000</v>
      </c>
      <c r="M230" s="26" t="n">
        <v>35661482</v>
      </c>
      <c r="N230" s="27">
        <f>IF(ISNUMBER(M230),M230/L230,"No aplica")</f>
        <v>0.08676759610705596</v>
      </c>
      <c r="O230" s="25">
        <f>IF(G230="provision",M230+H230,IF(G230="recoleccion",M230-H230,"No aplica"))</f>
        <v>411000000</v>
      </c>
      <c r="P230" s="26" t="n">
        <v>138153</v>
      </c>
    </row>
    <row r="231">
      <c r="A231" t="inlineStr">
        <is>
          <t>PRAGMA</t>
        </is>
      </c>
      <c r="B231" t="inlineStr">
        <is>
          <t>M1</t>
        </is>
      </c>
      <c r="C231" t="inlineStr">
        <is>
          <t>Cali</t>
        </is>
      </c>
      <c r="D231" t="inlineStr">
        <is>
          <t>2381</t>
        </is>
      </c>
      <c r="E231" t="inlineStr">
        <is>
          <t>TDV</t>
        </is>
      </c>
      <c r="F231" s="23" t="n">
        <v>46276</v>
      </c>
      <c r="G231" t="inlineStr">
        <is>
          <t>provision</t>
        </is>
      </c>
      <c r="H231" s="26" t="n">
        <v>253801482</v>
      </c>
      <c r="I231" t="inlineStr">
        <is>
          <t>bajo</t>
        </is>
      </c>
      <c r="J231" t="inlineStr">
        <is>
          <t>RN-11 y RN-34: provision hasta el cupo operativo antes de bajar del 8 %</t>
        </is>
      </c>
      <c r="K231" t="inlineStr">
        <is>
          <t>Provision en la manana, antes del pagado: con el pronostico, sin provision el saldo bajaria del 8 % del cupo ese dia. Lleva el saldo de 157.198.518 a 411.000.000 COP (cupo 411.000.000). Equipo administrado por TDV.</t>
        </is>
      </c>
      <c r="L231" s="26" t="n">
        <v>411000000</v>
      </c>
      <c r="M231" s="26" t="n">
        <v>157198518</v>
      </c>
      <c r="N231" s="27">
        <f>IF(ISNUMBER(M231),M231/L231,"No aplica")</f>
        <v>0.3824781459854015</v>
      </c>
      <c r="O231" s="25">
        <f>IF(G231="provision",M231+H231,IF(G231="recoleccion",M231-H231,"No aplica"))</f>
        <v>411000000</v>
      </c>
      <c r="P231" s="26" t="n">
        <v>98897</v>
      </c>
    </row>
    <row r="232">
      <c r="A232" t="inlineStr">
        <is>
          <t>PRAGMA</t>
        </is>
      </c>
      <c r="B232" t="inlineStr">
        <is>
          <t>M1</t>
        </is>
      </c>
      <c r="C232" t="inlineStr">
        <is>
          <t>Cali</t>
        </is>
      </c>
      <c r="D232" t="inlineStr">
        <is>
          <t>2381</t>
        </is>
      </c>
      <c r="E232" t="inlineStr">
        <is>
          <t>TDV</t>
        </is>
      </c>
      <c r="F232" s="23" t="n">
        <v>46279</v>
      </c>
      <c r="G232" t="inlineStr">
        <is>
          <t>provision</t>
        </is>
      </c>
      <c r="H232" s="26" t="n">
        <v>357815956</v>
      </c>
      <c r="I232" t="inlineStr">
        <is>
          <t>bajo</t>
        </is>
      </c>
      <c r="J232" t="inlineStr">
        <is>
          <t>RN-11 y RN-34: provision hasta el cupo operativo antes de bajar del 8 %</t>
        </is>
      </c>
      <c r="K232" t="inlineStr">
        <is>
          <t>Provision en la manana, antes del pagado: con el pronostico, sin provision el saldo bajaria del 8 % del cupo ese dia. Lleva el saldo de 53.184.044 a 411.000.000 COP (cupo 411.000.000). Equipo administrado por TDV.</t>
        </is>
      </c>
      <c r="L232" s="26" t="n">
        <v>411000000</v>
      </c>
      <c r="M232" s="26" t="n">
        <v>53184044</v>
      </c>
      <c r="N232" s="27">
        <f>IF(ISNUMBER(M232),M232/L232,"No aplica")</f>
        <v>0.12940156690997567</v>
      </c>
      <c r="O232" s="25">
        <f>IF(G232="provision",M232+H232,IF(G232="recoleccion",M232-H232,"No aplica"))</f>
        <v>411000000</v>
      </c>
      <c r="P232" s="26" t="n">
        <v>132494</v>
      </c>
    </row>
    <row r="233">
      <c r="A233" t="inlineStr">
        <is>
          <t>PRAGMA</t>
        </is>
      </c>
      <c r="B233" t="inlineStr">
        <is>
          <t>M1</t>
        </is>
      </c>
      <c r="C233" t="inlineStr">
        <is>
          <t>Cali</t>
        </is>
      </c>
      <c r="D233" t="inlineStr">
        <is>
          <t>24</t>
        </is>
      </c>
      <c r="E233" t="inlineStr">
        <is>
          <t>TDV</t>
        </is>
      </c>
      <c r="F233" s="23" t="n">
        <v>46272</v>
      </c>
      <c r="G233" t="inlineStr">
        <is>
          <t>provision</t>
        </is>
      </c>
      <c r="H233" s="26" t="n">
        <v>436123539</v>
      </c>
      <c r="I233" t="inlineStr">
        <is>
          <t>bajo</t>
        </is>
      </c>
      <c r="J233" t="inlineStr">
        <is>
          <t>RN-11 y RN-34: provision hasta el cupo operativo antes de bajar del 8 %</t>
        </is>
      </c>
      <c r="K233" t="inlineStr">
        <is>
          <t>Provision en la manana, antes del pagado: con el pronostico, sin provision el saldo bajaria del 8 % del cupo ese dia. Lleva el saldo de 63.876.461 a 500.000.000 COP (cupo 500.000.000). Equipo administrado por TDV.</t>
        </is>
      </c>
      <c r="L233" s="26" t="n">
        <v>500000000</v>
      </c>
      <c r="M233" s="26" t="n">
        <v>63876461</v>
      </c>
      <c r="N233" s="27">
        <f>IF(ISNUMBER(M233),M233/L233,"No aplica")</f>
        <v>0.127752922</v>
      </c>
      <c r="O233" s="25">
        <f>IF(G233="provision",M233+H233,IF(G233="recoleccion",M233-H233,"No aplica"))</f>
        <v>500000000</v>
      </c>
      <c r="P233" s="26" t="n">
        <v>235710</v>
      </c>
    </row>
    <row r="234">
      <c r="A234" t="inlineStr">
        <is>
          <t>PRAGMA</t>
        </is>
      </c>
      <c r="B234" t="inlineStr">
        <is>
          <t>M1</t>
        </is>
      </c>
      <c r="C234" t="inlineStr">
        <is>
          <t>Cali</t>
        </is>
      </c>
      <c r="D234" t="inlineStr">
        <is>
          <t>24</t>
        </is>
      </c>
      <c r="E234" t="inlineStr">
        <is>
          <t>TDV</t>
        </is>
      </c>
      <c r="F234" s="23" t="n">
        <v>46280</v>
      </c>
      <c r="G234" t="inlineStr">
        <is>
          <t>provision</t>
        </is>
      </c>
      <c r="H234" s="26" t="n">
        <v>410600963</v>
      </c>
      <c r="I234" t="inlineStr">
        <is>
          <t>bajo</t>
        </is>
      </c>
      <c r="J234" t="inlineStr">
        <is>
          <t>RN-11 y RN-34: provision hasta el cupo operativo antes de bajar del 8 %</t>
        </is>
      </c>
      <c r="K234" t="inlineStr">
        <is>
          <t>Provision en la manana, antes del pagado: con el pronostico, sin provision el saldo bajaria del 8 % del cupo ese dia. Lleva el saldo de 89.399.037 a 500.000.000 COP (cupo 500.000.000). Equipo administrado por TDV.</t>
        </is>
      </c>
      <c r="L234" s="26" t="n">
        <v>500000000</v>
      </c>
      <c r="M234" s="26" t="n">
        <v>89399037</v>
      </c>
      <c r="N234" s="27">
        <f>IF(ISNUMBER(M234),M234/L234,"No aplica")</f>
        <v>0.178798074</v>
      </c>
      <c r="O234" s="25">
        <f>IF(G234="provision",M234+H234,IF(G234="recoleccion",M234-H234,"No aplica"))</f>
        <v>500000000</v>
      </c>
      <c r="P234" s="26" t="n">
        <v>223357</v>
      </c>
    </row>
    <row r="235">
      <c r="A235" t="inlineStr">
        <is>
          <t>PRAGMA</t>
        </is>
      </c>
      <c r="B235" t="inlineStr">
        <is>
          <t>M1</t>
        </is>
      </c>
      <c r="C235" t="inlineStr">
        <is>
          <t>Cali</t>
        </is>
      </c>
      <c r="D235" t="inlineStr">
        <is>
          <t>2480</t>
        </is>
      </c>
      <c r="E235" t="inlineStr">
        <is>
          <t>TDV</t>
        </is>
      </c>
      <c r="F235" s="23" t="n">
        <v>46269</v>
      </c>
      <c r="G235" t="inlineStr">
        <is>
          <t>provision</t>
        </is>
      </c>
      <c r="H235" s="26" t="n">
        <v>337603036</v>
      </c>
      <c r="I235" t="inlineStr">
        <is>
          <t>bajo</t>
        </is>
      </c>
      <c r="J235" t="inlineStr">
        <is>
          <t>RN-11 y RN-34: provision hasta el cupo operativo antes de bajar del 8 %</t>
        </is>
      </c>
      <c r="K235" t="inlineStr">
        <is>
          <t>Provision en la manana, antes del pagado: con el pronostico, sin provision el saldo bajaria del 8 % del cupo ese dia. Lleva el saldo de 73.396.964 a 411.000.000 COP (cupo 411.000.000). Equipo administrado por TDV.</t>
        </is>
      </c>
      <c r="L235" s="26" t="n">
        <v>411000000</v>
      </c>
      <c r="M235" s="26" t="n">
        <v>73396964</v>
      </c>
      <c r="N235" s="27">
        <f>IF(ISNUMBER(M235),M235/L235,"No aplica")</f>
        <v>0.1785814209245742</v>
      </c>
      <c r="O235" s="25">
        <f>IF(G235="provision",M235+H235,IF(G235="recoleccion",M235-H235,"No aplica"))</f>
        <v>411000000</v>
      </c>
      <c r="P235" s="26" t="n">
        <v>149303</v>
      </c>
    </row>
    <row r="236">
      <c r="A236" t="inlineStr">
        <is>
          <t>PRAGMA</t>
        </is>
      </c>
      <c r="B236" t="inlineStr">
        <is>
          <t>M1</t>
        </is>
      </c>
      <c r="C236" t="inlineStr">
        <is>
          <t>Cali</t>
        </is>
      </c>
      <c r="D236" t="inlineStr">
        <is>
          <t>2480</t>
        </is>
      </c>
      <c r="E236" t="inlineStr">
        <is>
          <t>TDV</t>
        </is>
      </c>
      <c r="F236" s="23" t="n">
        <v>46273</v>
      </c>
      <c r="G236" t="inlineStr">
        <is>
          <t>provision</t>
        </is>
      </c>
      <c r="H236" s="26" t="n">
        <v>363553379</v>
      </c>
      <c r="I236" t="inlineStr">
        <is>
          <t>bajo</t>
        </is>
      </c>
      <c r="J236" t="inlineStr">
        <is>
          <t>RN-11 y RN-34: provision hasta el cupo operativo antes de bajar del 8 %</t>
        </is>
      </c>
      <c r="K236" t="inlineStr">
        <is>
          <t>Provision en la manana, antes del pagado: con el pronostico, sin provision el saldo bajaria del 8 % del cupo ese dia. Lleva el saldo de 47.446.621 a 411.000.000 COP (cupo 411.000.000). Equipo administrado por TDV.</t>
        </is>
      </c>
      <c r="L236" s="26" t="n">
        <v>411000000</v>
      </c>
      <c r="M236" s="26" t="n">
        <v>47446621</v>
      </c>
      <c r="N236" s="27">
        <f>IF(ISNUMBER(M236),M236/L236,"No aplica")</f>
        <v>0.115441900243309</v>
      </c>
      <c r="O236" s="25">
        <f>IF(G236="provision",M236+H236,IF(G236="recoleccion",M236-H236,"No aplica"))</f>
        <v>411000000</v>
      </c>
      <c r="P236" s="26" t="n">
        <v>159346</v>
      </c>
    </row>
    <row r="237">
      <c r="A237" t="inlineStr">
        <is>
          <t>PRAGMA</t>
        </is>
      </c>
      <c r="B237" t="inlineStr">
        <is>
          <t>M1</t>
        </is>
      </c>
      <c r="C237" t="inlineStr">
        <is>
          <t>Cali</t>
        </is>
      </c>
      <c r="D237" t="inlineStr">
        <is>
          <t>2480</t>
        </is>
      </c>
      <c r="E237" t="inlineStr">
        <is>
          <t>TDV</t>
        </is>
      </c>
      <c r="F237" s="23" t="n">
        <v>46278</v>
      </c>
      <c r="G237" t="inlineStr">
        <is>
          <t>provision</t>
        </is>
      </c>
      <c r="H237" s="26" t="n">
        <v>367880657</v>
      </c>
      <c r="I237" t="inlineStr">
        <is>
          <t>bajo</t>
        </is>
      </c>
      <c r="J237" t="inlineStr">
        <is>
          <t>RN-11 y RN-34: provision hasta el cupo operativo antes de bajar del 8 %</t>
        </is>
      </c>
      <c r="K237" t="inlineStr">
        <is>
          <t>Provision en la manana, antes del pagado: con el pronostico, sin provision el saldo bajaria del 8 % del cupo ese dia. Lleva el saldo de 43.119.343 a 411.000.000 COP (cupo 411.000.000). Equipo administrado por TDV.</t>
        </is>
      </c>
      <c r="L237" s="26" t="n">
        <v>411000000</v>
      </c>
      <c r="M237" s="26" t="n">
        <v>43119343</v>
      </c>
      <c r="N237" s="27">
        <f>IF(ISNUMBER(M237),M237/L237,"No aplica")</f>
        <v>0.10491324330900244</v>
      </c>
      <c r="O237" s="25">
        <f>IF(G237="provision",M237+H237,IF(G237="recoleccion",M237-H237,"No aplica"))</f>
        <v>411000000</v>
      </c>
      <c r="P237" s="26" t="n">
        <v>208042</v>
      </c>
    </row>
    <row r="238">
      <c r="A238" t="inlineStr">
        <is>
          <t>PRAGMA</t>
        </is>
      </c>
      <c r="B238" t="inlineStr">
        <is>
          <t>M1</t>
        </is>
      </c>
      <c r="C238" t="inlineStr">
        <is>
          <t>Pasto</t>
        </is>
      </c>
      <c r="D238" t="inlineStr">
        <is>
          <t>2481</t>
        </is>
      </c>
      <c r="E238" t="inlineStr">
        <is>
          <t>TDV</t>
        </is>
      </c>
      <c r="F238" s="23" t="n">
        <v>46270</v>
      </c>
      <c r="G238" t="inlineStr">
        <is>
          <t>provision</t>
        </is>
      </c>
      <c r="H238" s="26" t="n">
        <v>442505510</v>
      </c>
      <c r="I238" t="inlineStr">
        <is>
          <t>bajo</t>
        </is>
      </c>
      <c r="J238" t="inlineStr">
        <is>
          <t>RN-11 y RN-34: provision hasta el cupo operativo antes de bajar del 8 %</t>
        </is>
      </c>
      <c r="K238" t="inlineStr">
        <is>
          <t>Provision en la manana, antes del pagado: con el pronostico, sin provision el saldo bajaria del 8 % del cupo ese dia. Lleva el saldo de 57.494.490 a 500.000.000 COP (cupo 500.000.000). Equipo administrado por TDV.</t>
        </is>
      </c>
      <c r="L238" s="26" t="n">
        <v>500000000</v>
      </c>
      <c r="M238" s="26" t="n">
        <v>57494490</v>
      </c>
      <c r="N238" s="27">
        <f>IF(ISNUMBER(M238),M238/L238,"No aplica")</f>
        <v>0.11498898</v>
      </c>
      <c r="O238" s="25">
        <f>IF(G238="provision",M238+H238,IF(G238="recoleccion",M238-H238,"No aplica"))</f>
        <v>500000000</v>
      </c>
      <c r="P238" s="26" t="n">
        <v>139461</v>
      </c>
    </row>
    <row r="239">
      <c r="A239" t="inlineStr">
        <is>
          <t>PRAGMA</t>
        </is>
      </c>
      <c r="B239" t="inlineStr">
        <is>
          <t>M1</t>
        </is>
      </c>
      <c r="C239" t="inlineStr">
        <is>
          <t>Pasto</t>
        </is>
      </c>
      <c r="D239" t="inlineStr">
        <is>
          <t>2481</t>
        </is>
      </c>
      <c r="E239" t="inlineStr">
        <is>
          <t>TDV</t>
        </is>
      </c>
      <c r="F239" s="23" t="n">
        <v>46276</v>
      </c>
      <c r="G239" t="inlineStr">
        <is>
          <t>provision</t>
        </is>
      </c>
      <c r="H239" s="26" t="n">
        <v>425667014</v>
      </c>
      <c r="I239" t="inlineStr">
        <is>
          <t>bajo</t>
        </is>
      </c>
      <c r="J239" t="inlineStr">
        <is>
          <t>RN-11 y RN-34: provision hasta el cupo operativo antes de bajar del 8 %</t>
        </is>
      </c>
      <c r="K239" t="inlineStr">
        <is>
          <t>Provision en la manana, antes del pagado: con el pronostico, sin provision el saldo bajaria del 8 % del cupo ese dia. Lleva el saldo de 74.332.986 a 500.000.000 COP (cupo 500.000.000). Equipo administrado por TDV.</t>
        </is>
      </c>
      <c r="L239" s="26" t="n">
        <v>500000000</v>
      </c>
      <c r="M239" s="26" t="n">
        <v>74332986</v>
      </c>
      <c r="N239" s="27">
        <f>IF(ISNUMBER(M239),M239/L239,"No aplica")</f>
        <v>0.148665972</v>
      </c>
      <c r="O239" s="25">
        <f>IF(G239="provision",M239+H239,IF(G239="recoleccion",M239-H239,"No aplica"))</f>
        <v>500000000</v>
      </c>
      <c r="P239" s="26" t="n">
        <v>134746</v>
      </c>
    </row>
    <row r="240">
      <c r="A240" t="inlineStr">
        <is>
          <t>PRAGMA</t>
        </is>
      </c>
      <c r="B240" t="inlineStr">
        <is>
          <t>M1</t>
        </is>
      </c>
      <c r="C240" t="inlineStr">
        <is>
          <t>Pasto</t>
        </is>
      </c>
      <c r="D240" t="inlineStr">
        <is>
          <t>2482</t>
        </is>
      </c>
      <c r="E240" t="inlineStr">
        <is>
          <t>Sucursal</t>
        </is>
      </c>
      <c r="F240" s="23" t="n">
        <v>46270</v>
      </c>
      <c r="G240" t="inlineStr">
        <is>
          <t>provision</t>
        </is>
      </c>
      <c r="H240" s="26" t="n">
        <v>420672023</v>
      </c>
      <c r="I240" t="inlineStr">
        <is>
          <t>bajo</t>
        </is>
      </c>
      <c r="J240" t="inlineStr">
        <is>
          <t>RN-11 y RN-34: provision hasta el cupo operativo antes de bajar del 8 %</t>
        </is>
      </c>
      <c r="K240" t="inlineStr">
        <is>
          <t>Provision en la manana, antes del pagado: con el pronostico, sin provision el saldo bajaria del 8 % del cupo ese dia. Lleva el saldo de 79.327.977 a 500.000.000 COP (cupo 500.000.000). Equipo administrado por Sucursal. Sin tarifa TDV (administrado por la sucursal): costo 0 declarado.</t>
        </is>
      </c>
      <c r="L240" s="26" t="n">
        <v>500000000</v>
      </c>
      <c r="M240" s="26" t="n">
        <v>79327977</v>
      </c>
      <c r="N240" s="27">
        <f>IF(ISNUMBER(M240),M240/L240,"No aplica")</f>
        <v>0.158655954</v>
      </c>
      <c r="O240" s="25">
        <f>IF(G240="provision",M240+H240,IF(G240="recoleccion",M240-H240,"No aplica"))</f>
        <v>500000000</v>
      </c>
      <c r="P240" s="26" t="n">
        <v>0</v>
      </c>
    </row>
    <row r="241">
      <c r="A241" t="inlineStr">
        <is>
          <t>PRAGMA</t>
        </is>
      </c>
      <c r="B241" t="inlineStr">
        <is>
          <t>M1</t>
        </is>
      </c>
      <c r="C241" t="inlineStr">
        <is>
          <t>Pasto</t>
        </is>
      </c>
      <c r="D241" t="inlineStr">
        <is>
          <t>2482</t>
        </is>
      </c>
      <c r="E241" t="inlineStr">
        <is>
          <t>Sucursal</t>
        </is>
      </c>
      <c r="F241" s="23" t="n">
        <v>46276</v>
      </c>
      <c r="G241" t="inlineStr">
        <is>
          <t>provision</t>
        </is>
      </c>
      <c r="H241" s="26" t="n">
        <v>420659299</v>
      </c>
      <c r="I241" t="inlineStr">
        <is>
          <t>bajo</t>
        </is>
      </c>
      <c r="J241" t="inlineStr">
        <is>
          <t>RN-11 y RN-34: provision hasta el cupo operativo antes de bajar del 8 %</t>
        </is>
      </c>
      <c r="K241" t="inlineStr">
        <is>
          <t>Provision en la manana, antes del pagado: con el pronostico, sin provision el saldo bajaria del 8 % del cupo ese dia. Lleva el saldo de 79.340.701 a 500.000.000 COP (cupo 500.000.000). Equipo administrado por Sucursal. Sin tarifa TDV (administrado por la sucursal): costo 0 declarado.</t>
        </is>
      </c>
      <c r="L241" s="26" t="n">
        <v>500000000</v>
      </c>
      <c r="M241" s="26" t="n">
        <v>79340701</v>
      </c>
      <c r="N241" s="27">
        <f>IF(ISNUMBER(M241),M241/L241,"No aplica")</f>
        <v>0.158681402</v>
      </c>
      <c r="O241" s="25">
        <f>IF(G241="provision",M241+H241,IF(G241="recoleccion",M241-H241,"No aplica"))</f>
        <v>500000000</v>
      </c>
      <c r="P241" s="26" t="n">
        <v>0</v>
      </c>
    </row>
    <row r="242">
      <c r="A242" t="inlineStr">
        <is>
          <t>PRAGMA</t>
        </is>
      </c>
      <c r="B242" t="inlineStr">
        <is>
          <t>M1</t>
        </is>
      </c>
      <c r="C242" t="inlineStr">
        <is>
          <t>Pasto</t>
        </is>
      </c>
      <c r="D242" t="inlineStr">
        <is>
          <t>2483</t>
        </is>
      </c>
      <c r="E242" t="inlineStr">
        <is>
          <t>Sucursal</t>
        </is>
      </c>
      <c r="F242" s="23" t="n">
        <v>46270</v>
      </c>
      <c r="G242" t="inlineStr">
        <is>
          <t>provision</t>
        </is>
      </c>
      <c r="H242" s="26" t="n">
        <v>443660303</v>
      </c>
      <c r="I242" t="inlineStr">
        <is>
          <t>bajo</t>
        </is>
      </c>
      <c r="J242" t="inlineStr">
        <is>
          <t>RN-11 y RN-34: provision hasta el cupo operativo antes de bajar del 8 %</t>
        </is>
      </c>
      <c r="K242" t="inlineStr">
        <is>
          <t>Provision en la manana, antes del pagado: con el pronostico, sin provision el saldo bajaria del 8 % del cupo ese dia. Lleva el saldo de 56.339.697 a 500.000.000 COP (cupo 500.000.000). Equipo administrado por Sucursal. Sin tarifa TDV (administrado por la sucursal): costo 0 declarado.</t>
        </is>
      </c>
      <c r="L242" s="26" t="n">
        <v>500000000</v>
      </c>
      <c r="M242" s="26" t="n">
        <v>56339697</v>
      </c>
      <c r="N242" s="27">
        <f>IF(ISNUMBER(M242),M242/L242,"No aplica")</f>
        <v>0.112679394</v>
      </c>
      <c r="O242" s="25">
        <f>IF(G242="provision",M242+H242,IF(G242="recoleccion",M242-H242,"No aplica"))</f>
        <v>500000000</v>
      </c>
      <c r="P242" s="26" t="n">
        <v>0</v>
      </c>
    </row>
    <row r="243">
      <c r="A243" t="inlineStr">
        <is>
          <t>PRAGMA</t>
        </is>
      </c>
      <c r="B243" t="inlineStr">
        <is>
          <t>M1</t>
        </is>
      </c>
      <c r="C243" t="inlineStr">
        <is>
          <t>Pasto</t>
        </is>
      </c>
      <c r="D243" t="inlineStr">
        <is>
          <t>2483</t>
        </is>
      </c>
      <c r="E243" t="inlineStr">
        <is>
          <t>Sucursal</t>
        </is>
      </c>
      <c r="F243" s="23" t="n">
        <v>46276</v>
      </c>
      <c r="G243" t="inlineStr">
        <is>
          <t>provision</t>
        </is>
      </c>
      <c r="H243" s="26" t="n">
        <v>434383103</v>
      </c>
      <c r="I243" t="inlineStr">
        <is>
          <t>bajo</t>
        </is>
      </c>
      <c r="J243" t="inlineStr">
        <is>
          <t>RN-11 y RN-34: provision hasta el cupo operativo antes de bajar del 8 %</t>
        </is>
      </c>
      <c r="K243" t="inlineStr">
        <is>
          <t>Provision en la manana, antes del pagado: con el pronostico, sin provision el saldo bajaria del 8 % del cupo ese dia. Lleva el saldo de 65.616.897 a 500.000.000 COP (cupo 500.000.000). Equipo administrado por Sucursal. Sin tarifa TDV (administrado por la sucursal): costo 0 declarado.</t>
        </is>
      </c>
      <c r="L243" s="26" t="n">
        <v>500000000</v>
      </c>
      <c r="M243" s="26" t="n">
        <v>65616897</v>
      </c>
      <c r="N243" s="27">
        <f>IF(ISNUMBER(M243),M243/L243,"No aplica")</f>
        <v>0.131233794</v>
      </c>
      <c r="O243" s="25">
        <f>IF(G243="provision",M243+H243,IF(G243="recoleccion",M243-H243,"No aplica"))</f>
        <v>500000000</v>
      </c>
      <c r="P243" s="26" t="n">
        <v>0</v>
      </c>
    </row>
    <row r="244">
      <c r="A244" t="inlineStr">
        <is>
          <t>PRAGMA</t>
        </is>
      </c>
      <c r="B244" t="inlineStr">
        <is>
          <t>M1</t>
        </is>
      </c>
      <c r="C244" t="inlineStr">
        <is>
          <t>Cali</t>
        </is>
      </c>
      <c r="D244" t="inlineStr">
        <is>
          <t>2490</t>
        </is>
      </c>
      <c r="E244" t="inlineStr">
        <is>
          <t>TDV</t>
        </is>
      </c>
      <c r="F244" s="23" t="n">
        <v>46274</v>
      </c>
      <c r="G244" t="inlineStr">
        <is>
          <t>provision</t>
        </is>
      </c>
      <c r="H244" s="26" t="n">
        <v>449706982</v>
      </c>
      <c r="I244" t="inlineStr">
        <is>
          <t>bajo</t>
        </is>
      </c>
      <c r="J244" t="inlineStr">
        <is>
          <t>RN-11 y RN-34: provision hasta el cupo operativo antes de bajar del 8 %</t>
        </is>
      </c>
      <c r="K244" t="inlineStr">
        <is>
          <t>Provision en la manana, antes del pagado: con el pronostico, sin provision el saldo bajaria del 8 % del cupo ese dia. Lleva el saldo de 50.293.018 a 500.000.000 COP (cupo 500.000.000). Equipo administrado por TDV.</t>
        </is>
      </c>
      <c r="L244" s="26" t="n">
        <v>500000000</v>
      </c>
      <c r="M244" s="26" t="n">
        <v>50293018</v>
      </c>
      <c r="N244" s="27">
        <f>IF(ISNUMBER(M244),M244/L244,"No aplica")</f>
        <v>0.100586036</v>
      </c>
      <c r="O244" s="25">
        <f>IF(G244="provision",M244+H244,IF(G244="recoleccion",M244-H244,"No aplica"))</f>
        <v>500000000</v>
      </c>
      <c r="P244" s="26" t="n">
        <v>217550</v>
      </c>
    </row>
    <row r="245">
      <c r="A245" t="inlineStr">
        <is>
          <t>PRAGMA</t>
        </is>
      </c>
      <c r="B245" t="inlineStr">
        <is>
          <t>M1</t>
        </is>
      </c>
      <c r="C245" t="inlineStr">
        <is>
          <t>Cali</t>
        </is>
      </c>
      <c r="D245" t="inlineStr">
        <is>
          <t>25</t>
        </is>
      </c>
      <c r="E245" t="inlineStr">
        <is>
          <t>TDV</t>
        </is>
      </c>
      <c r="F245" s="23" t="n">
        <v>46272</v>
      </c>
      <c r="G245" t="inlineStr">
        <is>
          <t>provision</t>
        </is>
      </c>
      <c r="H245" s="26" t="n">
        <v>432723572</v>
      </c>
      <c r="I245" t="inlineStr">
        <is>
          <t>bajo</t>
        </is>
      </c>
      <c r="J245" t="inlineStr">
        <is>
          <t>RN-11 y RN-34: provision hasta el cupo operativo antes de bajar del 8 %</t>
        </is>
      </c>
      <c r="K245" t="inlineStr">
        <is>
          <t>Provision en la manana, antes del pagado: con el pronostico, sin provision el saldo bajaria del 8 % del cupo ese dia. Lleva el saldo de 67.276.428 a 500.000.000 COP (cupo 500.000.000). Equipo administrado por TDV.</t>
        </is>
      </c>
      <c r="L245" s="26" t="n">
        <v>500000000</v>
      </c>
      <c r="M245" s="26" t="n">
        <v>67276428</v>
      </c>
      <c r="N245" s="27">
        <f>IF(ISNUMBER(M245),M245/L245,"No aplica")</f>
        <v>0.134552856</v>
      </c>
      <c r="O245" s="25">
        <f>IF(G245="provision",M245+H245,IF(G245="recoleccion",M245-H245,"No aplica"))</f>
        <v>500000000</v>
      </c>
      <c r="P245" s="26" t="n">
        <v>234064</v>
      </c>
    </row>
    <row r="246">
      <c r="A246" t="inlineStr">
        <is>
          <t>PRAGMA</t>
        </is>
      </c>
      <c r="B246" t="inlineStr">
        <is>
          <t>M1</t>
        </is>
      </c>
      <c r="C246" t="inlineStr">
        <is>
          <t>Cali</t>
        </is>
      </c>
      <c r="D246" t="inlineStr">
        <is>
          <t>25</t>
        </is>
      </c>
      <c r="E246" t="inlineStr">
        <is>
          <t>TDV</t>
        </is>
      </c>
      <c r="F246" s="23" t="n">
        <v>46280</v>
      </c>
      <c r="G246" t="inlineStr">
        <is>
          <t>provision</t>
        </is>
      </c>
      <c r="H246" s="26" t="n">
        <v>394571248</v>
      </c>
      <c r="I246" t="inlineStr">
        <is>
          <t>bajo</t>
        </is>
      </c>
      <c r="J246" t="inlineStr">
        <is>
          <t>RN-11 y RN-34: provision hasta el cupo operativo antes de bajar del 8 %</t>
        </is>
      </c>
      <c r="K246" t="inlineStr">
        <is>
          <t>Provision en la manana, antes del pagado: con el pronostico, sin provision el saldo bajaria del 8 % del cupo ese dia. Lleva el saldo de 105.428.752 a 500.000.000 COP (cupo 500.000.000). Equipo administrado por TDV.</t>
        </is>
      </c>
      <c r="L246" s="26" t="n">
        <v>500000000</v>
      </c>
      <c r="M246" s="26" t="n">
        <v>105428752</v>
      </c>
      <c r="N246" s="27">
        <f>IF(ISNUMBER(M246),M246/L246,"No aplica")</f>
        <v>0.210857504</v>
      </c>
      <c r="O246" s="25">
        <f>IF(G246="provision",M246+H246,IF(G246="recoleccion",M246-H246,"No aplica"))</f>
        <v>500000000</v>
      </c>
      <c r="P246" s="26" t="n">
        <v>215598</v>
      </c>
    </row>
    <row r="247">
      <c r="A247" t="inlineStr">
        <is>
          <t>PRAGMA</t>
        </is>
      </c>
      <c r="B247" t="inlineStr">
        <is>
          <t>M1</t>
        </is>
      </c>
      <c r="C247" t="inlineStr">
        <is>
          <t>Cali</t>
        </is>
      </c>
      <c r="D247" t="inlineStr">
        <is>
          <t>2527</t>
        </is>
      </c>
      <c r="E247" t="inlineStr">
        <is>
          <t>TDV</t>
        </is>
      </c>
      <c r="F247" s="23" t="n">
        <v>46267</v>
      </c>
      <c r="G247" t="inlineStr">
        <is>
          <t>provision</t>
        </is>
      </c>
      <c r="H247" s="26" t="n">
        <v>259190250</v>
      </c>
      <c r="I247" t="inlineStr">
        <is>
          <t>bajo</t>
        </is>
      </c>
      <c r="J247" t="inlineStr">
        <is>
          <t>RN-11 y RN-34: provision hasta el cupo operativo antes de bajar del 8 %</t>
        </is>
      </c>
      <c r="K247" t="inlineStr">
        <is>
          <t>Provision en la manana, antes del pagado: con el pronostico, sin provision el saldo bajaria del 8 % del cupo ese dia. Lleva el saldo de 151.809.750 a 411.000.000 COP (cupo 411.000.000). Equipo administrado por TDV.</t>
        </is>
      </c>
      <c r="L247" s="26" t="n">
        <v>411000000</v>
      </c>
      <c r="M247" s="26" t="n">
        <v>151809750</v>
      </c>
      <c r="N247" s="27">
        <f>IF(ISNUMBER(M247),M247/L247,"No aplica")</f>
        <v>0.36936678832116787</v>
      </c>
      <c r="O247" s="25">
        <f>IF(G247="provision",M247+H247,IF(G247="recoleccion",M247-H247,"No aplica"))</f>
        <v>411000000</v>
      </c>
      <c r="P247" s="26" t="n">
        <v>133342</v>
      </c>
    </row>
    <row r="248">
      <c r="A248" t="inlineStr">
        <is>
          <t>PRAGMA</t>
        </is>
      </c>
      <c r="B248" t="inlineStr">
        <is>
          <t>M1</t>
        </is>
      </c>
      <c r="C248" t="inlineStr">
        <is>
          <t>Cali</t>
        </is>
      </c>
      <c r="D248" t="inlineStr">
        <is>
          <t>2527</t>
        </is>
      </c>
      <c r="E248" t="inlineStr">
        <is>
          <t>TDV</t>
        </is>
      </c>
      <c r="F248" s="23" t="n">
        <v>46268</v>
      </c>
      <c r="G248" t="inlineStr">
        <is>
          <t>provision</t>
        </is>
      </c>
      <c r="H248" s="26" t="n">
        <v>224934701</v>
      </c>
      <c r="I248" t="inlineStr">
        <is>
          <t>bajo</t>
        </is>
      </c>
      <c r="J248" t="inlineStr">
        <is>
          <t>RN-11 y RN-34: provision hasta el cupo operativo antes de bajar del 8 %</t>
        </is>
      </c>
      <c r="K248" t="inlineStr">
        <is>
          <t>Provision en la manana, antes del pagado: con el pronostico, sin provision el saldo bajaria del 8 % del cupo ese dia. Lleva el saldo de 186.065.299 a 411.000.000 COP (cupo 411.000.000). Equipo administrado por TDV.</t>
        </is>
      </c>
      <c r="L248" s="26" t="n">
        <v>411000000</v>
      </c>
      <c r="M248" s="26" t="n">
        <v>186065299</v>
      </c>
      <c r="N248" s="27">
        <f>IF(ISNUMBER(M248),M248/L248,"No aplica")</f>
        <v>0.4527136228710462</v>
      </c>
      <c r="O248" s="25">
        <f>IF(G248="provision",M248+H248,IF(G248="recoleccion",M248-H248,"No aplica"))</f>
        <v>411000000</v>
      </c>
      <c r="P248" s="26" t="n">
        <v>118201</v>
      </c>
    </row>
    <row r="249">
      <c r="A249" t="inlineStr">
        <is>
          <t>PRAGMA</t>
        </is>
      </c>
      <c r="B249" t="inlineStr">
        <is>
          <t>M1</t>
        </is>
      </c>
      <c r="C249" t="inlineStr">
        <is>
          <t>Cali</t>
        </is>
      </c>
      <c r="D249" t="inlineStr">
        <is>
          <t>2527</t>
        </is>
      </c>
      <c r="E249" t="inlineStr">
        <is>
          <t>TDV</t>
        </is>
      </c>
      <c r="F249" s="23" t="n">
        <v>46269</v>
      </c>
      <c r="G249" t="inlineStr">
        <is>
          <t>provision</t>
        </is>
      </c>
      <c r="H249" s="26" t="n">
        <v>216212540</v>
      </c>
      <c r="I249" t="inlineStr">
        <is>
          <t>bajo</t>
        </is>
      </c>
      <c r="J249" t="inlineStr">
        <is>
          <t>RN-11 y RN-34: provision hasta el cupo operativo antes de bajar del 8 %</t>
        </is>
      </c>
      <c r="K249" t="inlineStr">
        <is>
          <t>Provision en la manana, antes del pagado: con el pronostico, sin provision el saldo bajaria del 8 % del cupo ese dia. Lleva el saldo de 194.787.460 a 411.000.000 COP (cupo 411.000.000). Equipo administrado por TDV.</t>
        </is>
      </c>
      <c r="L249" s="26" t="n">
        <v>411000000</v>
      </c>
      <c r="M249" s="26" t="n">
        <v>194787460</v>
      </c>
      <c r="N249" s="27">
        <f>IF(ISNUMBER(M249),M249/L249,"No aplica")</f>
        <v>0.47393542579075426</v>
      </c>
      <c r="O249" s="25">
        <f>IF(G249="provision",M249+H249,IF(G249="recoleccion",M249-H249,"No aplica"))</f>
        <v>411000000</v>
      </c>
      <c r="P249" s="26" t="n">
        <v>114346</v>
      </c>
    </row>
    <row r="250">
      <c r="A250" t="inlineStr">
        <is>
          <t>PRAGMA</t>
        </is>
      </c>
      <c r="B250" t="inlineStr">
        <is>
          <t>M1</t>
        </is>
      </c>
      <c r="C250" t="inlineStr">
        <is>
          <t>Cali</t>
        </is>
      </c>
      <c r="D250" t="inlineStr">
        <is>
          <t>2527</t>
        </is>
      </c>
      <c r="E250" t="inlineStr">
        <is>
          <t>TDV</t>
        </is>
      </c>
      <c r="F250" s="23" t="n">
        <v>46270</v>
      </c>
      <c r="G250" t="inlineStr">
        <is>
          <t>provision</t>
        </is>
      </c>
      <c r="H250" s="26" t="n">
        <v>216323677</v>
      </c>
      <c r="I250" t="inlineStr">
        <is>
          <t>bajo</t>
        </is>
      </c>
      <c r="J250" t="inlineStr">
        <is>
          <t>RN-11 y RN-34: provision hasta el cupo operativo antes de bajar del 8 %</t>
        </is>
      </c>
      <c r="K250" t="inlineStr">
        <is>
          <t>Provision en la manana, antes del pagado: con el pronostico, sin provision el saldo bajaria del 8 % del cupo ese dia. Lleva el saldo de 194.676.323 a 411.000.000 COP (cupo 411.000.000). Equipo administrado por TDV.</t>
        </is>
      </c>
      <c r="L250" s="26" t="n">
        <v>411000000</v>
      </c>
      <c r="M250" s="26" t="n">
        <v>194676323</v>
      </c>
      <c r="N250" s="27">
        <f>IF(ISNUMBER(M250),M250/L250,"No aplica")</f>
        <v>0.47366501946472017</v>
      </c>
      <c r="O250" s="25">
        <f>IF(G250="provision",M250+H250,IF(G250="recoleccion",M250-H250,"No aplica"))</f>
        <v>411000000</v>
      </c>
      <c r="P250" s="26" t="n">
        <v>114395</v>
      </c>
    </row>
    <row r="251">
      <c r="A251" t="inlineStr">
        <is>
          <t>PRAGMA</t>
        </is>
      </c>
      <c r="B251" t="inlineStr">
        <is>
          <t>M1</t>
        </is>
      </c>
      <c r="C251" t="inlineStr">
        <is>
          <t>Cali</t>
        </is>
      </c>
      <c r="D251" t="inlineStr">
        <is>
          <t>2527</t>
        </is>
      </c>
      <c r="E251" t="inlineStr">
        <is>
          <t>TDV</t>
        </is>
      </c>
      <c r="F251" s="23" t="n">
        <v>46272</v>
      </c>
      <c r="G251" t="inlineStr">
        <is>
          <t>provision</t>
        </is>
      </c>
      <c r="H251" s="26" t="n">
        <v>198830739</v>
      </c>
      <c r="I251" t="inlineStr">
        <is>
          <t>bajo</t>
        </is>
      </c>
      <c r="J251" t="inlineStr">
        <is>
          <t>RN-11 y RN-34: provision hasta el cupo operativo antes de bajar del 8 %</t>
        </is>
      </c>
      <c r="K251" t="inlineStr">
        <is>
          <t>Provision en la manana, antes del pagado: con el pronostico, sin provision el saldo bajaria del 8 % del cupo ese dia. Lleva el saldo de 212.169.261 a 411.000.000 COP (cupo 411.000.000). Equipo administrado por TDV.</t>
        </is>
      </c>
      <c r="L251" s="26" t="n">
        <v>411000000</v>
      </c>
      <c r="M251" s="26" t="n">
        <v>212169261</v>
      </c>
      <c r="N251" s="27">
        <f>IF(ISNUMBER(M251),M251/L251,"No aplica")</f>
        <v>0.5162269124087592</v>
      </c>
      <c r="O251" s="25">
        <f>IF(G251="provision",M251+H251,IF(G251="recoleccion",M251-H251,"No aplica"))</f>
        <v>411000000</v>
      </c>
      <c r="P251" s="26" t="n">
        <v>106663</v>
      </c>
    </row>
    <row r="252">
      <c r="A252" t="inlineStr">
        <is>
          <t>PRAGMA</t>
        </is>
      </c>
      <c r="B252" t="inlineStr">
        <is>
          <t>M1</t>
        </is>
      </c>
      <c r="C252" t="inlineStr">
        <is>
          <t>Cali</t>
        </is>
      </c>
      <c r="D252" t="inlineStr">
        <is>
          <t>2527</t>
        </is>
      </c>
      <c r="E252" t="inlineStr">
        <is>
          <t>TDV</t>
        </is>
      </c>
      <c r="F252" s="23" t="n">
        <v>46273</v>
      </c>
      <c r="G252" t="inlineStr">
        <is>
          <t>provision</t>
        </is>
      </c>
      <c r="H252" s="26" t="n">
        <v>201558734</v>
      </c>
      <c r="I252" t="inlineStr">
        <is>
          <t>bajo</t>
        </is>
      </c>
      <c r="J252" t="inlineStr">
        <is>
          <t>RN-11 y RN-34: provision hasta el cupo operativo antes de bajar del 8 %</t>
        </is>
      </c>
      <c r="K252" t="inlineStr">
        <is>
          <t>Provision en la manana, antes del pagado: con el pronostico, sin provision el saldo bajaria del 8 % del cupo ese dia. Lleva el saldo de 209.441.266 a 411.000.000 COP (cupo 411.000.000). Equipo administrado por TDV.</t>
        </is>
      </c>
      <c r="L252" s="26" t="n">
        <v>411000000</v>
      </c>
      <c r="M252" s="26" t="n">
        <v>209441266</v>
      </c>
      <c r="N252" s="27">
        <f>IF(ISNUMBER(M252),M252/L252,"No aplica")</f>
        <v>0.5095894549878346</v>
      </c>
      <c r="O252" s="25">
        <f>IF(G252="provision",M252+H252,IF(G252="recoleccion",M252-H252,"No aplica"))</f>
        <v>411000000</v>
      </c>
      <c r="P252" s="26" t="n">
        <v>107869</v>
      </c>
    </row>
    <row r="253">
      <c r="A253" t="inlineStr">
        <is>
          <t>PRAGMA</t>
        </is>
      </c>
      <c r="B253" t="inlineStr">
        <is>
          <t>M1</t>
        </is>
      </c>
      <c r="C253" t="inlineStr">
        <is>
          <t>Cali</t>
        </is>
      </c>
      <c r="D253" t="inlineStr">
        <is>
          <t>2527</t>
        </is>
      </c>
      <c r="E253" t="inlineStr">
        <is>
          <t>TDV</t>
        </is>
      </c>
      <c r="F253" s="23" t="n">
        <v>46275</v>
      </c>
      <c r="G253" t="inlineStr">
        <is>
          <t>provision</t>
        </is>
      </c>
      <c r="H253" s="26" t="n">
        <v>373909221</v>
      </c>
      <c r="I253" t="inlineStr">
        <is>
          <t>bajo</t>
        </is>
      </c>
      <c r="J253" t="inlineStr">
        <is>
          <t>RN-11 y RN-34: provision hasta el cupo operativo antes de bajar del 8 %</t>
        </is>
      </c>
      <c r="K253" t="inlineStr">
        <is>
          <t>Provision en la manana, antes del pagado: con el pronostico, sin provision el saldo bajaria del 8 % del cupo ese dia. Lleva el saldo de 37.090.779 a 411.000.000 COP (cupo 411.000.000). Equipo administrado por TDV.</t>
        </is>
      </c>
      <c r="L253" s="26" t="n">
        <v>411000000</v>
      </c>
      <c r="M253" s="26" t="n">
        <v>37090779</v>
      </c>
      <c r="N253" s="27">
        <f>IF(ISNUMBER(M253),M253/L253,"No aplica")</f>
        <v>0.09024520437956204</v>
      </c>
      <c r="O253" s="25">
        <f>IF(G253="provision",M253+H253,IF(G253="recoleccion",M253-H253,"No aplica"))</f>
        <v>411000000</v>
      </c>
      <c r="P253" s="26" t="n">
        <v>184048</v>
      </c>
    </row>
    <row r="254">
      <c r="A254" t="inlineStr">
        <is>
          <t>PRAGMA</t>
        </is>
      </c>
      <c r="B254" t="inlineStr">
        <is>
          <t>M1</t>
        </is>
      </c>
      <c r="C254" t="inlineStr">
        <is>
          <t>Cali</t>
        </is>
      </c>
      <c r="D254" t="inlineStr">
        <is>
          <t>2527</t>
        </is>
      </c>
      <c r="E254" t="inlineStr">
        <is>
          <t>TDV</t>
        </is>
      </c>
      <c r="F254" s="23" t="n">
        <v>46276</v>
      </c>
      <c r="G254" t="inlineStr">
        <is>
          <t>provision</t>
        </is>
      </c>
      <c r="H254" s="26" t="n">
        <v>188239921</v>
      </c>
      <c r="I254" t="inlineStr">
        <is>
          <t>bajo</t>
        </is>
      </c>
      <c r="J254" t="inlineStr">
        <is>
          <t>RN-11 y RN-34: provision hasta el cupo operativo antes de bajar del 8 %</t>
        </is>
      </c>
      <c r="K254" t="inlineStr">
        <is>
          <t>Provision en la manana, antes del pagado: con el pronostico, sin provision el saldo bajaria del 8 % del cupo ese dia. Lleva el saldo de 222.760.079 a 411.000.000 COP (cupo 411.000.000). Equipo administrado por TDV.</t>
        </is>
      </c>
      <c r="L254" s="26" t="n">
        <v>411000000</v>
      </c>
      <c r="M254" s="26" t="n">
        <v>222760079</v>
      </c>
      <c r="N254" s="27">
        <f>IF(ISNUMBER(M254),M254/L254,"No aplica")</f>
        <v>0.5419953260340633</v>
      </c>
      <c r="O254" s="25">
        <f>IF(G254="provision",M254+H254,IF(G254="recoleccion",M254-H254,"No aplica"))</f>
        <v>411000000</v>
      </c>
      <c r="P254" s="26" t="n">
        <v>101982</v>
      </c>
    </row>
    <row r="255">
      <c r="A255" t="inlineStr">
        <is>
          <t>PRAGMA</t>
        </is>
      </c>
      <c r="B255" t="inlineStr">
        <is>
          <t>M1</t>
        </is>
      </c>
      <c r="C255" t="inlineStr">
        <is>
          <t>Cali</t>
        </is>
      </c>
      <c r="D255" t="inlineStr">
        <is>
          <t>2527</t>
        </is>
      </c>
      <c r="E255" t="inlineStr">
        <is>
          <t>TDV</t>
        </is>
      </c>
      <c r="F255" s="23" t="n">
        <v>46279</v>
      </c>
      <c r="G255" t="inlineStr">
        <is>
          <t>provision</t>
        </is>
      </c>
      <c r="H255" s="26" t="n">
        <v>372408177</v>
      </c>
      <c r="I255" t="inlineStr">
        <is>
          <t>bajo</t>
        </is>
      </c>
      <c r="J255" t="inlineStr">
        <is>
          <t>RN-11 y RN-34: provision hasta el cupo operativo antes de bajar del 8 %</t>
        </is>
      </c>
      <c r="K255" t="inlineStr">
        <is>
          <t>Provision en la manana, antes del pagado: con el pronostico, sin provision el saldo bajaria del 8 % del cupo ese dia. Lleva el saldo de 38.591.823 a 411.000.000 COP (cupo 411.000.000). Equipo administrado por TDV.</t>
        </is>
      </c>
      <c r="L255" s="26" t="n">
        <v>411000000</v>
      </c>
      <c r="M255" s="26" t="n">
        <v>38591823</v>
      </c>
      <c r="N255" s="27">
        <f>IF(ISNUMBER(M255),M255/L255,"No aplica")</f>
        <v>0.09389737956204379</v>
      </c>
      <c r="O255" s="25">
        <f>IF(G255="provision",M255+H255,IF(G255="recoleccion",M255-H255,"No aplica"))</f>
        <v>411000000</v>
      </c>
      <c r="P255" s="26" t="n">
        <v>183384</v>
      </c>
    </row>
    <row r="256">
      <c r="A256" t="inlineStr">
        <is>
          <t>PRAGMA</t>
        </is>
      </c>
      <c r="B256" t="inlineStr">
        <is>
          <t>M1</t>
        </is>
      </c>
      <c r="C256" t="inlineStr">
        <is>
          <t>Cali</t>
        </is>
      </c>
      <c r="D256" t="inlineStr">
        <is>
          <t>2527</t>
        </is>
      </c>
      <c r="E256" t="inlineStr">
        <is>
          <t>TDV</t>
        </is>
      </c>
      <c r="F256" s="23" t="n">
        <v>46280</v>
      </c>
      <c r="G256" t="inlineStr">
        <is>
          <t>provision</t>
        </is>
      </c>
      <c r="H256" s="26" t="n">
        <v>188551420</v>
      </c>
      <c r="I256" t="inlineStr">
        <is>
          <t>bajo</t>
        </is>
      </c>
      <c r="J256" t="inlineStr">
        <is>
          <t>RN-11 y RN-34: provision hasta el cupo operativo antes de bajar del 8 %</t>
        </is>
      </c>
      <c r="K256" t="inlineStr">
        <is>
          <t>Provision en la manana, antes del pagado: con el pronostico, sin provision el saldo bajaria del 8 % del cupo ese dia. Lleva el saldo de 222.448.580 a 411.000.000 COP (cupo 411.000.000). Equipo administrado por TDV.</t>
        </is>
      </c>
      <c r="L256" s="26" t="n">
        <v>411000000</v>
      </c>
      <c r="M256" s="26" t="n">
        <v>222448580</v>
      </c>
      <c r="N256" s="27">
        <f>IF(ISNUMBER(M256),M256/L256,"No aplica")</f>
        <v>0.5412374209245742</v>
      </c>
      <c r="O256" s="25">
        <f>IF(G256="provision",M256+H256,IF(G256="recoleccion",M256-H256,"No aplica"))</f>
        <v>411000000</v>
      </c>
      <c r="P256" s="26" t="n">
        <v>102120</v>
      </c>
    </row>
    <row r="257">
      <c r="A257" t="inlineStr">
        <is>
          <t>PRAGMA</t>
        </is>
      </c>
      <c r="B257" t="inlineStr">
        <is>
          <t>M1</t>
        </is>
      </c>
      <c r="C257" t="inlineStr">
        <is>
          <t>Cali</t>
        </is>
      </c>
      <c r="D257" t="inlineStr">
        <is>
          <t>2537</t>
        </is>
      </c>
      <c r="E257" t="inlineStr">
        <is>
          <t>TDV</t>
        </is>
      </c>
      <c r="F257" s="23" t="n">
        <v>46270</v>
      </c>
      <c r="G257" t="inlineStr">
        <is>
          <t>provision</t>
        </is>
      </c>
      <c r="H257" s="26" t="n">
        <v>430759863</v>
      </c>
      <c r="I257" t="inlineStr">
        <is>
          <t>bajo</t>
        </is>
      </c>
      <c r="J257" t="inlineStr">
        <is>
          <t>RN-11 y RN-34: provision hasta el cupo operativo antes de bajar del 8 %</t>
        </is>
      </c>
      <c r="K257" t="inlineStr">
        <is>
          <t>Provision en la manana, antes del pagado: con el pronostico, sin provision el saldo bajaria del 8 % del cupo ese dia. Lleva el saldo de 69.240.137 a 500.000.000 COP (cupo 500.000.000). Equipo administrado por TDV.</t>
        </is>
      </c>
      <c r="L257" s="26" t="n">
        <v>500000000</v>
      </c>
      <c r="M257" s="26" t="n">
        <v>69240137</v>
      </c>
      <c r="N257" s="27">
        <f>IF(ISNUMBER(M257),M257/L257,"No aplica")</f>
        <v>0.138480274</v>
      </c>
      <c r="O257" s="25">
        <f>IF(G257="provision",M257+H257,IF(G257="recoleccion",M257-H257,"No aplica"))</f>
        <v>500000000</v>
      </c>
      <c r="P257" s="26" t="n">
        <v>209176</v>
      </c>
    </row>
    <row r="258">
      <c r="A258" t="inlineStr">
        <is>
          <t>PRAGMA</t>
        </is>
      </c>
      <c r="B258" t="inlineStr">
        <is>
          <t>M1</t>
        </is>
      </c>
      <c r="C258" t="inlineStr">
        <is>
          <t>Cali</t>
        </is>
      </c>
      <c r="D258" t="inlineStr">
        <is>
          <t>2537</t>
        </is>
      </c>
      <c r="E258" t="inlineStr">
        <is>
          <t>TDV</t>
        </is>
      </c>
      <c r="F258" s="23" t="n">
        <v>46277</v>
      </c>
      <c r="G258" t="inlineStr">
        <is>
          <t>provision</t>
        </is>
      </c>
      <c r="H258" s="26" t="n">
        <v>441088988</v>
      </c>
      <c r="I258" t="inlineStr">
        <is>
          <t>bajo</t>
        </is>
      </c>
      <c r="J258" t="inlineStr">
        <is>
          <t>RN-11 y RN-34: provision hasta el cupo operativo antes de bajar del 8 %</t>
        </is>
      </c>
      <c r="K258" t="inlineStr">
        <is>
          <t>Provision en la manana, antes del pagado: con el pronostico, sin provision el saldo bajaria del 8 % del cupo ese dia. Lleva el saldo de 58.911.012 a 500.000.000 COP (cupo 500.000.000). Equipo administrado por TDV.</t>
        </is>
      </c>
      <c r="L258" s="26" t="n">
        <v>500000000</v>
      </c>
      <c r="M258" s="26" t="n">
        <v>58911012</v>
      </c>
      <c r="N258" s="27">
        <f>IF(ISNUMBER(M258),M258/L258,"No aplica")</f>
        <v>0.117822024</v>
      </c>
      <c r="O258" s="25">
        <f>IF(G258="provision",M258+H258,IF(G258="recoleccion",M258-H258,"No aplica"))</f>
        <v>500000000</v>
      </c>
      <c r="P258" s="26" t="n">
        <v>213741</v>
      </c>
    </row>
    <row r="259">
      <c r="A259" t="inlineStr">
        <is>
          <t>PRAGMA</t>
        </is>
      </c>
      <c r="B259" t="inlineStr">
        <is>
          <t>M1</t>
        </is>
      </c>
      <c r="C259" t="inlineStr">
        <is>
          <t>Cali</t>
        </is>
      </c>
      <c r="D259" t="inlineStr">
        <is>
          <t>2541</t>
        </is>
      </c>
      <c r="E259" t="inlineStr">
        <is>
          <t>TDV</t>
        </is>
      </c>
      <c r="F259" s="23" t="n">
        <v>46269</v>
      </c>
      <c r="G259" t="inlineStr">
        <is>
          <t>provision</t>
        </is>
      </c>
      <c r="H259" s="26" t="n">
        <v>345267800</v>
      </c>
      <c r="I259" t="inlineStr">
        <is>
          <t>bajo</t>
        </is>
      </c>
      <c r="J259" t="inlineStr">
        <is>
          <t>RN-11 y RN-34: provision hasta el cupo operativo antes de bajar del 8 %</t>
        </is>
      </c>
      <c r="K259" t="inlineStr">
        <is>
          <t>Provision en la manana, antes del pagado: con el pronostico, sin provision el saldo bajaria del 8 % del cupo ese dia. Lleva el saldo de 65.732.200 a 411.000.000 COP (cupo 411.000.000). Equipo administrado por TDV.</t>
        </is>
      </c>
      <c r="L259" s="26" t="n">
        <v>411000000</v>
      </c>
      <c r="M259" s="26" t="n">
        <v>65732200</v>
      </c>
      <c r="N259" s="27">
        <f>IF(ISNUMBER(M259),M259/L259,"No aplica")</f>
        <v>0.1599323600973236</v>
      </c>
      <c r="O259" s="25">
        <f>IF(G259="provision",M259+H259,IF(G259="recoleccion",M259-H259,"No aplica"))</f>
        <v>411000000</v>
      </c>
      <c r="P259" s="26" t="n">
        <v>149449</v>
      </c>
    </row>
    <row r="260">
      <c r="A260" t="inlineStr">
        <is>
          <t>PRAGMA</t>
        </is>
      </c>
      <c r="B260" t="inlineStr">
        <is>
          <t>M1</t>
        </is>
      </c>
      <c r="C260" t="inlineStr">
        <is>
          <t>Cali</t>
        </is>
      </c>
      <c r="D260" t="inlineStr">
        <is>
          <t>2541</t>
        </is>
      </c>
      <c r="E260" t="inlineStr">
        <is>
          <t>TDV</t>
        </is>
      </c>
      <c r="F260" s="23" t="n">
        <v>46273</v>
      </c>
      <c r="G260" t="inlineStr">
        <is>
          <t>provision</t>
        </is>
      </c>
      <c r="H260" s="26" t="n">
        <v>330826786</v>
      </c>
      <c r="I260" t="inlineStr">
        <is>
          <t>bajo</t>
        </is>
      </c>
      <c r="J260" t="inlineStr">
        <is>
          <t>RN-11 y RN-34: provision hasta el cupo operativo antes de bajar del 8 %</t>
        </is>
      </c>
      <c r="K260" t="inlineStr">
        <is>
          <t>Provision en la manana, antes del pagado: con el pronostico, sin provision el saldo bajaria del 8 % del cupo ese dia. Lleva el saldo de 80.173.214 a 411.000.000 COP (cupo 411.000.000). Equipo administrado por TDV.</t>
        </is>
      </c>
      <c r="L260" s="26" t="n">
        <v>411000000</v>
      </c>
      <c r="M260" s="26" t="n">
        <v>80173214</v>
      </c>
      <c r="N260" s="27">
        <f>IF(ISNUMBER(M260),M260/L260,"No aplica")</f>
        <v>0.19506864720194647</v>
      </c>
      <c r="O260" s="25">
        <f>IF(G260="provision",M260+H260,IF(G260="recoleccion",M260-H260,"No aplica"))</f>
        <v>411000000</v>
      </c>
      <c r="P260" s="26" t="n">
        <v>143991</v>
      </c>
    </row>
    <row r="261">
      <c r="A261" t="inlineStr">
        <is>
          <t>PRAGMA</t>
        </is>
      </c>
      <c r="B261" t="inlineStr">
        <is>
          <t>M1</t>
        </is>
      </c>
      <c r="C261" t="inlineStr">
        <is>
          <t>Cali</t>
        </is>
      </c>
      <c r="D261" t="inlineStr">
        <is>
          <t>2541</t>
        </is>
      </c>
      <c r="E261" t="inlineStr">
        <is>
          <t>TDV</t>
        </is>
      </c>
      <c r="F261" s="23" t="n">
        <v>46278</v>
      </c>
      <c r="G261" t="inlineStr">
        <is>
          <t>provision</t>
        </is>
      </c>
      <c r="H261" s="26" t="n">
        <v>373515187</v>
      </c>
      <c r="I261" t="inlineStr">
        <is>
          <t>bajo</t>
        </is>
      </c>
      <c r="J261" t="inlineStr">
        <is>
          <t>RN-11 y RN-34: provision hasta el cupo operativo antes de bajar del 8 %</t>
        </is>
      </c>
      <c r="K261" t="inlineStr">
        <is>
          <t>Provision en la manana, antes del pagado: con el pronostico, sin provision el saldo bajaria del 8 % del cupo ese dia. Lleva el saldo de 37.484.813 a 411.000.000 COP (cupo 411.000.000). Equipo administrado por TDV.</t>
        </is>
      </c>
      <c r="L261" s="26" t="n">
        <v>411000000</v>
      </c>
      <c r="M261" s="26" t="n">
        <v>37484813</v>
      </c>
      <c r="N261" s="27">
        <f>IF(ISNUMBER(M261),M261/L261,"No aplica")</f>
        <v>0.09120392457420924</v>
      </c>
      <c r="O261" s="25">
        <f>IF(G261="provision",M261+H261,IF(G261="recoleccion",M261-H261,"No aplica"))</f>
        <v>411000000</v>
      </c>
      <c r="P261" s="26" t="n">
        <v>217734</v>
      </c>
    </row>
    <row r="262">
      <c r="A262" t="inlineStr">
        <is>
          <t>PRAGMA</t>
        </is>
      </c>
      <c r="B262" t="inlineStr">
        <is>
          <t>M1</t>
        </is>
      </c>
      <c r="C262" t="inlineStr">
        <is>
          <t>Cali</t>
        </is>
      </c>
      <c r="D262" t="inlineStr">
        <is>
          <t>2592</t>
        </is>
      </c>
      <c r="E262" t="inlineStr">
        <is>
          <t>TDV</t>
        </is>
      </c>
      <c r="F262" s="23" t="n">
        <v>46267</v>
      </c>
      <c r="G262" t="inlineStr">
        <is>
          <t>provision</t>
        </is>
      </c>
      <c r="H262" s="26" t="n">
        <v>219029670</v>
      </c>
      <c r="I262" t="inlineStr">
        <is>
          <t>bajo</t>
        </is>
      </c>
      <c r="J262" t="inlineStr">
        <is>
          <t>RN-11 y RN-34: provision hasta el cupo operativo antes de bajar del 8 %</t>
        </is>
      </c>
      <c r="K262" t="inlineStr">
        <is>
          <t>Provision en la manana, antes del pagado: con el pronostico, sin provision el saldo bajaria del 8 % del cupo ese dia. Lleva el saldo de 191.970.330 a 411.000.000 COP (cupo 411.000.000). Equipo administrado por TDV.</t>
        </is>
      </c>
      <c r="L262" s="26" t="n">
        <v>411000000</v>
      </c>
      <c r="M262" s="26" t="n">
        <v>191970330</v>
      </c>
      <c r="N262" s="27">
        <f>IF(ISNUMBER(M262),M262/L262,"No aplica")</f>
        <v>0.467081094890511</v>
      </c>
      <c r="O262" s="25">
        <f>IF(G262="provision",M262+H262,IF(G262="recoleccion",M262-H262,"No aplica"))</f>
        <v>411000000</v>
      </c>
      <c r="P262" s="26" t="n">
        <v>101731</v>
      </c>
    </row>
    <row r="263">
      <c r="A263" t="inlineStr">
        <is>
          <t>PRAGMA</t>
        </is>
      </c>
      <c r="B263" t="inlineStr">
        <is>
          <t>M1</t>
        </is>
      </c>
      <c r="C263" t="inlineStr">
        <is>
          <t>Cali</t>
        </is>
      </c>
      <c r="D263" t="inlineStr">
        <is>
          <t>2592</t>
        </is>
      </c>
      <c r="E263" t="inlineStr">
        <is>
          <t>TDV</t>
        </is>
      </c>
      <c r="F263" s="23" t="n">
        <v>46269</v>
      </c>
      <c r="G263" t="inlineStr">
        <is>
          <t>provision</t>
        </is>
      </c>
      <c r="H263" s="26" t="n">
        <v>322041726</v>
      </c>
      <c r="I263" t="inlineStr">
        <is>
          <t>bajo</t>
        </is>
      </c>
      <c r="J263" t="inlineStr">
        <is>
          <t>RN-11 y RN-34: provision hasta el cupo operativo antes de bajar del 8 %</t>
        </is>
      </c>
      <c r="K263" t="inlineStr">
        <is>
          <t>Provision en la manana, antes del pagado: con el pronostico, sin provision el saldo bajaria del 8 % del cupo ese dia. Lleva el saldo de 88.958.274 a 411.000.000 COP (cupo 411.000.000). Equipo administrado por TDV.</t>
        </is>
      </c>
      <c r="L263" s="26" t="n">
        <v>411000000</v>
      </c>
      <c r="M263" s="26" t="n">
        <v>88958274</v>
      </c>
      <c r="N263" s="27">
        <f>IF(ISNUMBER(M263),M263/L263,"No aplica")</f>
        <v>0.2164434890510949</v>
      </c>
      <c r="O263" s="25">
        <f>IF(G263="provision",M263+H263,IF(G263="recoleccion",M263-H263,"No aplica"))</f>
        <v>411000000</v>
      </c>
      <c r="P263" s="26" t="n">
        <v>140670</v>
      </c>
    </row>
    <row r="264">
      <c r="A264" t="inlineStr">
        <is>
          <t>PRAGMA</t>
        </is>
      </c>
      <c r="B264" t="inlineStr">
        <is>
          <t>M1</t>
        </is>
      </c>
      <c r="C264" t="inlineStr">
        <is>
          <t>Cali</t>
        </is>
      </c>
      <c r="D264" t="inlineStr">
        <is>
          <t>2592</t>
        </is>
      </c>
      <c r="E264" t="inlineStr">
        <is>
          <t>TDV</t>
        </is>
      </c>
      <c r="F264" s="23" t="n">
        <v>46271</v>
      </c>
      <c r="G264" t="inlineStr">
        <is>
          <t>provision</t>
        </is>
      </c>
      <c r="H264" s="26" t="n">
        <v>334346843</v>
      </c>
      <c r="I264" t="inlineStr">
        <is>
          <t>bajo</t>
        </is>
      </c>
      <c r="J264" t="inlineStr">
        <is>
          <t>RN-11 y RN-34: provision hasta el cupo operativo antes de bajar del 8 %</t>
        </is>
      </c>
      <c r="K264" t="inlineStr">
        <is>
          <t>Provision en la manana, antes del pagado: con el pronostico, sin provision el saldo bajaria del 8 % del cupo ese dia. Lleva el saldo de 76.653.157 a 411.000.000 COP (cupo 411.000.000). Equipo administrado por TDV.</t>
        </is>
      </c>
      <c r="L264" s="26" t="n">
        <v>411000000</v>
      </c>
      <c r="M264" s="26" t="n">
        <v>76653157</v>
      </c>
      <c r="N264" s="27">
        <f>IF(ISNUMBER(M264),M264/L264,"No aplica")</f>
        <v>0.18650403163017032</v>
      </c>
      <c r="O264" s="25">
        <f>IF(G264="provision",M264+H264,IF(G264="recoleccion",M264-H264,"No aplica"))</f>
        <v>411000000</v>
      </c>
      <c r="P264" s="26" t="n">
        <v>197563</v>
      </c>
    </row>
    <row r="265">
      <c r="A265" t="inlineStr">
        <is>
          <t>PRAGMA</t>
        </is>
      </c>
      <c r="B265" t="inlineStr">
        <is>
          <t>M1</t>
        </is>
      </c>
      <c r="C265" t="inlineStr">
        <is>
          <t>Cali</t>
        </is>
      </c>
      <c r="D265" t="inlineStr">
        <is>
          <t>2592</t>
        </is>
      </c>
      <c r="E265" t="inlineStr">
        <is>
          <t>TDV</t>
        </is>
      </c>
      <c r="F265" s="23" t="n">
        <v>46273</v>
      </c>
      <c r="G265" t="inlineStr">
        <is>
          <t>provision</t>
        </is>
      </c>
      <c r="H265" s="26" t="n">
        <v>253672429</v>
      </c>
      <c r="I265" t="inlineStr">
        <is>
          <t>bajo</t>
        </is>
      </c>
      <c r="J265" t="inlineStr">
        <is>
          <t>RN-11 y RN-34: provision hasta el cupo operativo antes de bajar del 8 %</t>
        </is>
      </c>
      <c r="K265" t="inlineStr">
        <is>
          <t>Provision en la manana, antes del pagado: con el pronostico, sin provision el saldo bajaria del 8 % del cupo ese dia. Lleva el saldo de 157.327.571 a 411.000.000 COP (cupo 411.000.000). Equipo administrado por TDV.</t>
        </is>
      </c>
      <c r="L265" s="26" t="n">
        <v>411000000</v>
      </c>
      <c r="M265" s="26" t="n">
        <v>157327571</v>
      </c>
      <c r="N265" s="27">
        <f>IF(ISNUMBER(M265),M265/L265,"No aplica")</f>
        <v>0.38279214355231145</v>
      </c>
      <c r="O265" s="25">
        <f>IF(G265="provision",M265+H265,IF(G265="recoleccion",M265-H265,"No aplica"))</f>
        <v>411000000</v>
      </c>
      <c r="P265" s="26" t="n">
        <v>114826</v>
      </c>
    </row>
    <row r="266">
      <c r="A266" t="inlineStr">
        <is>
          <t>PRAGMA</t>
        </is>
      </c>
      <c r="B266" t="inlineStr">
        <is>
          <t>M1</t>
        </is>
      </c>
      <c r="C266" t="inlineStr">
        <is>
          <t>Cali</t>
        </is>
      </c>
      <c r="D266" t="inlineStr">
        <is>
          <t>2592</t>
        </is>
      </c>
      <c r="E266" t="inlineStr">
        <is>
          <t>TDV</t>
        </is>
      </c>
      <c r="F266" s="23" t="n">
        <v>46276</v>
      </c>
      <c r="G266" t="inlineStr">
        <is>
          <t>provision</t>
        </is>
      </c>
      <c r="H266" s="26" t="n">
        <v>363157119</v>
      </c>
      <c r="I266" t="inlineStr">
        <is>
          <t>bajo</t>
        </is>
      </c>
      <c r="J266" t="inlineStr">
        <is>
          <t>RN-11 y RN-34: provision hasta el cupo operativo antes de bajar del 8 %</t>
        </is>
      </c>
      <c r="K266" t="inlineStr">
        <is>
          <t>Provision en la manana, antes del pagado: con el pronostico, sin provision el saldo bajaria del 8 % del cupo ese dia. Lleva el saldo de 47.842.881 a 411.000.000 COP (cupo 411.000.000). Equipo administrado por TDV.</t>
        </is>
      </c>
      <c r="L266" s="26" t="n">
        <v>411000000</v>
      </c>
      <c r="M266" s="26" t="n">
        <v>47842881</v>
      </c>
      <c r="N266" s="27">
        <f>IF(ISNUMBER(M266),M266/L266,"No aplica")</f>
        <v>0.11640603649635037</v>
      </c>
      <c r="O266" s="25">
        <f>IF(G266="provision",M266+H266,IF(G266="recoleccion",M266-H266,"No aplica"))</f>
        <v>411000000</v>
      </c>
      <c r="P266" s="26" t="n">
        <v>156211</v>
      </c>
    </row>
    <row r="267">
      <c r="A267" t="inlineStr">
        <is>
          <t>PRAGMA</t>
        </is>
      </c>
      <c r="B267" t="inlineStr">
        <is>
          <t>M1</t>
        </is>
      </c>
      <c r="C267" t="inlineStr">
        <is>
          <t>Cali</t>
        </is>
      </c>
      <c r="D267" t="inlineStr">
        <is>
          <t>2592</t>
        </is>
      </c>
      <c r="E267" t="inlineStr">
        <is>
          <t>TDV</t>
        </is>
      </c>
      <c r="F267" s="23" t="n">
        <v>46279</v>
      </c>
      <c r="G267" t="inlineStr">
        <is>
          <t>provision</t>
        </is>
      </c>
      <c r="H267" s="26" t="n">
        <v>357235494</v>
      </c>
      <c r="I267" t="inlineStr">
        <is>
          <t>bajo</t>
        </is>
      </c>
      <c r="J267" t="inlineStr">
        <is>
          <t>RN-11 y RN-34: provision hasta el cupo operativo antes de bajar del 8 %</t>
        </is>
      </c>
      <c r="K267" t="inlineStr">
        <is>
          <t>Provision en la manana, antes del pagado: con el pronostico, sin provision el saldo bajaria del 8 % del cupo ese dia. Lleva el saldo de 53.764.506 a 411.000.000 COP (cupo 411.000.000). Equipo administrado por TDV.</t>
        </is>
      </c>
      <c r="L267" s="26" t="n">
        <v>411000000</v>
      </c>
      <c r="M267" s="26" t="n">
        <v>53764506</v>
      </c>
      <c r="N267" s="27">
        <f>IF(ISNUMBER(M267),M267/L267,"No aplica")</f>
        <v>0.13081388321167883</v>
      </c>
      <c r="O267" s="25">
        <f>IF(G267="provision",M267+H267,IF(G267="recoleccion",M267-H267,"No aplica"))</f>
        <v>411000000</v>
      </c>
      <c r="P267" s="26" t="n">
        <v>153973</v>
      </c>
    </row>
    <row r="268">
      <c r="A268" t="inlineStr">
        <is>
          <t>PRAGMA</t>
        </is>
      </c>
      <c r="B268" t="inlineStr">
        <is>
          <t>M1</t>
        </is>
      </c>
      <c r="C268" t="inlineStr">
        <is>
          <t>Cali</t>
        </is>
      </c>
      <c r="D268" t="inlineStr">
        <is>
          <t>26</t>
        </is>
      </c>
      <c r="E268" t="inlineStr">
        <is>
          <t>TDV</t>
        </is>
      </c>
      <c r="F268" s="23" t="n">
        <v>46271</v>
      </c>
      <c r="G268" t="inlineStr">
        <is>
          <t>provision</t>
        </is>
      </c>
      <c r="H268" s="26" t="n">
        <v>417444201</v>
      </c>
      <c r="I268" t="inlineStr">
        <is>
          <t>bajo</t>
        </is>
      </c>
      <c r="J268" t="inlineStr">
        <is>
          <t>RN-11 y RN-34: provision hasta el cupo operativo antes de bajar del 8 %</t>
        </is>
      </c>
      <c r="K268" t="inlineStr">
        <is>
          <t>Provision en la manana, antes del pagado: con el pronostico, sin provision el saldo bajaria del 8 % del cupo ese dia. Lleva el saldo de 82.555.799 a 500.000.000 COP (cupo 500.000.000). Equipo administrado por TDV.</t>
        </is>
      </c>
      <c r="L268" s="26" t="n">
        <v>500000000</v>
      </c>
      <c r="M268" s="26" t="n">
        <v>82555799</v>
      </c>
      <c r="N268" s="27">
        <f>IF(ISNUMBER(M268),M268/L268,"No aplica")</f>
        <v>0.165111598</v>
      </c>
      <c r="O268" s="25">
        <f>IF(G268="provision",M268+H268,IF(G268="recoleccion",M268-H268,"No aplica"))</f>
        <v>500000000</v>
      </c>
      <c r="P268" s="26" t="n">
        <v>301266</v>
      </c>
    </row>
    <row r="269">
      <c r="A269" t="inlineStr">
        <is>
          <t>PRAGMA</t>
        </is>
      </c>
      <c r="B269" t="inlineStr">
        <is>
          <t>M1</t>
        </is>
      </c>
      <c r="C269" t="inlineStr">
        <is>
          <t>Cali</t>
        </is>
      </c>
      <c r="D269" t="inlineStr">
        <is>
          <t>26</t>
        </is>
      </c>
      <c r="E269" t="inlineStr">
        <is>
          <t>TDV</t>
        </is>
      </c>
      <c r="F269" s="23" t="n">
        <v>46279</v>
      </c>
      <c r="G269" t="inlineStr">
        <is>
          <t>provision</t>
        </is>
      </c>
      <c r="H269" s="26" t="n">
        <v>436867060</v>
      </c>
      <c r="I269" t="inlineStr">
        <is>
          <t>bajo</t>
        </is>
      </c>
      <c r="J269" t="inlineStr">
        <is>
          <t>RN-11 y RN-34: provision hasta el cupo operativo antes de bajar del 8 %</t>
        </is>
      </c>
      <c r="K269" t="inlineStr">
        <is>
          <t>Provision en la manana, antes del pagado: con el pronostico, sin provision el saldo bajaria del 8 % del cupo ese dia. Lleva el saldo de 63.132.940 a 500.000.000 COP (cupo 500.000.000). Equipo administrado por TDV.</t>
        </is>
      </c>
      <c r="L269" s="26" t="n">
        <v>500000000</v>
      </c>
      <c r="M269" s="26" t="n">
        <v>63132940</v>
      </c>
      <c r="N269" s="27">
        <f>IF(ISNUMBER(M269),M269/L269,"No aplica")</f>
        <v>0.12626588</v>
      </c>
      <c r="O269" s="25">
        <f>IF(G269="provision",M269+H269,IF(G269="recoleccion",M269-H269,"No aplica"))</f>
        <v>500000000</v>
      </c>
      <c r="P269" s="26" t="n">
        <v>236070</v>
      </c>
    </row>
    <row r="270">
      <c r="A270" t="inlineStr">
        <is>
          <t>PRAGMA</t>
        </is>
      </c>
      <c r="B270" t="inlineStr">
        <is>
          <t>M1</t>
        </is>
      </c>
      <c r="C270" t="inlineStr">
        <is>
          <t>Cali</t>
        </is>
      </c>
      <c r="D270" t="inlineStr">
        <is>
          <t>2635</t>
        </is>
      </c>
      <c r="E270" t="inlineStr">
        <is>
          <t>TDV</t>
        </is>
      </c>
      <c r="F270" s="23" t="n">
        <v>46268</v>
      </c>
      <c r="G270" t="inlineStr">
        <is>
          <t>provision</t>
        </is>
      </c>
      <c r="H270" s="26" t="n">
        <v>353244121</v>
      </c>
      <c r="I270" t="inlineStr">
        <is>
          <t>bajo</t>
        </is>
      </c>
      <c r="J270" t="inlineStr">
        <is>
          <t>RN-11 y RN-34: provision hasta el cupo operativo antes de bajar del 8 %</t>
        </is>
      </c>
      <c r="K270" t="inlineStr">
        <is>
          <t>Provision en la manana, antes del pagado: con el pronostico, sin provision el saldo bajaria del 8 % del cupo ese dia. Lleva el saldo de 57.755.879 a 411.000.000 COP (cupo 411.000.000). Equipo administrado por TDV.</t>
        </is>
      </c>
      <c r="L270" s="26" t="n">
        <v>411000000</v>
      </c>
      <c r="M270" s="26" t="n">
        <v>57755879</v>
      </c>
      <c r="N270" s="27">
        <f>IF(ISNUMBER(M270),M270/L270,"No aplica")</f>
        <v>0.14052525304136254</v>
      </c>
      <c r="O270" s="25">
        <f>IF(G270="provision",M270+H270,IF(G270="recoleccion",M270-H270,"No aplica"))</f>
        <v>411000000</v>
      </c>
      <c r="P270" s="26" t="n">
        <v>131017</v>
      </c>
    </row>
    <row r="271">
      <c r="A271" t="inlineStr">
        <is>
          <t>PRAGMA</t>
        </is>
      </c>
      <c r="B271" t="inlineStr">
        <is>
          <t>M1</t>
        </is>
      </c>
      <c r="C271" t="inlineStr">
        <is>
          <t>Cali</t>
        </is>
      </c>
      <c r="D271" t="inlineStr">
        <is>
          <t>2635</t>
        </is>
      </c>
      <c r="E271" t="inlineStr">
        <is>
          <t>TDV</t>
        </is>
      </c>
      <c r="F271" s="23" t="n">
        <v>46270</v>
      </c>
      <c r="G271" t="inlineStr">
        <is>
          <t>provision</t>
        </is>
      </c>
      <c r="H271" s="26" t="n">
        <v>291581121</v>
      </c>
      <c r="I271" t="inlineStr">
        <is>
          <t>bajo</t>
        </is>
      </c>
      <c r="J271" t="inlineStr">
        <is>
          <t>RN-11 y RN-34: provision hasta el cupo operativo antes de bajar del 8 %</t>
        </is>
      </c>
      <c r="K271" t="inlineStr">
        <is>
          <t>Provision en la manana, antes del pagado: con el pronostico, sin provision el saldo bajaria del 8 % del cupo ese dia. Lleva el saldo de 119.418.879 a 411.000.000 COP (cupo 411.000.000). Equipo administrado por TDV.</t>
        </is>
      </c>
      <c r="L271" s="26" t="n">
        <v>411000000</v>
      </c>
      <c r="M271" s="26" t="n">
        <v>119418879</v>
      </c>
      <c r="N271" s="27">
        <f>IF(ISNUMBER(M271),M271/L271,"No aplica")</f>
        <v>0.29055688321167883</v>
      </c>
      <c r="O271" s="25">
        <f>IF(G271="provision",M271+H271,IF(G271="recoleccion",M271-H271,"No aplica"))</f>
        <v>411000000</v>
      </c>
      <c r="P271" s="26" t="n">
        <v>111100</v>
      </c>
    </row>
    <row r="272">
      <c r="A272" t="inlineStr">
        <is>
          <t>PRAGMA</t>
        </is>
      </c>
      <c r="B272" t="inlineStr">
        <is>
          <t>M1</t>
        </is>
      </c>
      <c r="C272" t="inlineStr">
        <is>
          <t>Cali</t>
        </is>
      </c>
      <c r="D272" t="inlineStr">
        <is>
          <t>2635</t>
        </is>
      </c>
      <c r="E272" t="inlineStr">
        <is>
          <t>TDV</t>
        </is>
      </c>
      <c r="F272" s="23" t="n">
        <v>46273</v>
      </c>
      <c r="G272" t="inlineStr">
        <is>
          <t>provision</t>
        </is>
      </c>
      <c r="H272" s="26" t="n">
        <v>376543349</v>
      </c>
      <c r="I272" t="inlineStr">
        <is>
          <t>bajo</t>
        </is>
      </c>
      <c r="J272" t="inlineStr">
        <is>
          <t>RN-11 y RN-34: provision hasta el cupo operativo antes de bajar del 8 %</t>
        </is>
      </c>
      <c r="K272" t="inlineStr">
        <is>
          <t>Provision en la manana, antes del pagado: con el pronostico, sin provision el saldo bajaria del 8 % del cupo ese dia. Lleva el saldo de 34.456.651 a 411.000.000 COP (cupo 411.000.000). Equipo administrado por TDV.</t>
        </is>
      </c>
      <c r="L272" s="26" t="n">
        <v>411000000</v>
      </c>
      <c r="M272" s="26" t="n">
        <v>34456651</v>
      </c>
      <c r="N272" s="27">
        <f>IF(ISNUMBER(M272),M272/L272,"No aplica")</f>
        <v>0.08383613381995134</v>
      </c>
      <c r="O272" s="25">
        <f>IF(G272="provision",M272+H272,IF(G272="recoleccion",M272-H272,"No aplica"))</f>
        <v>411000000</v>
      </c>
      <c r="P272" s="26" t="n">
        <v>138543</v>
      </c>
    </row>
    <row r="273">
      <c r="A273" t="inlineStr">
        <is>
          <t>PRAGMA</t>
        </is>
      </c>
      <c r="B273" t="inlineStr">
        <is>
          <t>M1</t>
        </is>
      </c>
      <c r="C273" t="inlineStr">
        <is>
          <t>Cali</t>
        </is>
      </c>
      <c r="D273" t="inlineStr">
        <is>
          <t>2635</t>
        </is>
      </c>
      <c r="E273" t="inlineStr">
        <is>
          <t>TDV</t>
        </is>
      </c>
      <c r="F273" s="23" t="n">
        <v>46276</v>
      </c>
      <c r="G273" t="inlineStr">
        <is>
          <t>provision</t>
        </is>
      </c>
      <c r="H273" s="26" t="n">
        <v>328050296</v>
      </c>
      <c r="I273" t="inlineStr">
        <is>
          <t>bajo</t>
        </is>
      </c>
      <c r="J273" t="inlineStr">
        <is>
          <t>RN-11 y RN-34: provision hasta el cupo operativo antes de bajar del 8 %</t>
        </is>
      </c>
      <c r="K273" t="inlineStr">
        <is>
          <t>Provision en la manana, antes del pagado: con el pronostico, sin provision el saldo bajaria del 8 % del cupo ese dia. Lleva el saldo de 82.949.704 a 411.000.000 COP (cupo 411.000.000). Equipo administrado por TDV.</t>
        </is>
      </c>
      <c r="L273" s="26" t="n">
        <v>411000000</v>
      </c>
      <c r="M273" s="26" t="n">
        <v>82949704</v>
      </c>
      <c r="N273" s="27">
        <f>IF(ISNUMBER(M273),M273/L273,"No aplica")</f>
        <v>0.20182409732360096</v>
      </c>
      <c r="O273" s="25">
        <f>IF(G273="provision",M273+H273,IF(G273="recoleccion",M273-H273,"No aplica"))</f>
        <v>411000000</v>
      </c>
      <c r="P273" s="26" t="n">
        <v>122879</v>
      </c>
    </row>
    <row r="274">
      <c r="A274" t="inlineStr">
        <is>
          <t>PRAGMA</t>
        </is>
      </c>
      <c r="B274" t="inlineStr">
        <is>
          <t>M1</t>
        </is>
      </c>
      <c r="C274" t="inlineStr">
        <is>
          <t>Cali</t>
        </is>
      </c>
      <c r="D274" t="inlineStr">
        <is>
          <t>2635</t>
        </is>
      </c>
      <c r="E274" t="inlineStr">
        <is>
          <t>TDV</t>
        </is>
      </c>
      <c r="F274" s="23" t="n">
        <v>46279</v>
      </c>
      <c r="G274" t="inlineStr">
        <is>
          <t>provision</t>
        </is>
      </c>
      <c r="H274" s="26" t="n">
        <v>327725988</v>
      </c>
      <c r="I274" t="inlineStr">
        <is>
          <t>bajo</t>
        </is>
      </c>
      <c r="J274" t="inlineStr">
        <is>
          <t>RN-11 y RN-34: provision hasta el cupo operativo antes de bajar del 8 %</t>
        </is>
      </c>
      <c r="K274" t="inlineStr">
        <is>
          <t>Provision en la manana, antes del pagado: con el pronostico, sin provision el saldo bajaria del 8 % del cupo ese dia. Lleva el saldo de 83.274.012 a 411.000.000 COP (cupo 411.000.000). Equipo administrado por TDV.</t>
        </is>
      </c>
      <c r="L274" s="26" t="n">
        <v>411000000</v>
      </c>
      <c r="M274" s="26" t="n">
        <v>83274012</v>
      </c>
      <c r="N274" s="27">
        <f>IF(ISNUMBER(M274),M274/L274,"No aplica")</f>
        <v>0.20261316788321168</v>
      </c>
      <c r="O274" s="25">
        <f>IF(G274="provision",M274+H274,IF(G274="recoleccion",M274-H274,"No aplica"))</f>
        <v>411000000</v>
      </c>
      <c r="P274" s="26" t="n">
        <v>122774</v>
      </c>
    </row>
    <row r="275">
      <c r="A275" t="inlineStr">
        <is>
          <t>PRAGMA</t>
        </is>
      </c>
      <c r="B275" t="inlineStr">
        <is>
          <t>M1</t>
        </is>
      </c>
      <c r="C275" t="inlineStr">
        <is>
          <t>Cali</t>
        </is>
      </c>
      <c r="D275" t="inlineStr">
        <is>
          <t>2687</t>
        </is>
      </c>
      <c r="E275" t="inlineStr">
        <is>
          <t>TDV</t>
        </is>
      </c>
      <c r="F275" s="23" t="n">
        <v>46280</v>
      </c>
      <c r="G275" t="inlineStr">
        <is>
          <t>provision</t>
        </is>
      </c>
      <c r="H275" s="26" t="n">
        <v>449706539</v>
      </c>
      <c r="I275" t="inlineStr">
        <is>
          <t>bajo</t>
        </is>
      </c>
      <c r="J275" t="inlineStr">
        <is>
          <t>RN-11 y RN-34: provision hasta el cupo operativo antes de bajar del 8 %</t>
        </is>
      </c>
      <c r="K275" t="inlineStr">
        <is>
          <t>Provision en la manana, antes del pagado: con el pronostico, sin provision el saldo bajaria del 8 % del cupo ese dia. Lleva el saldo de 50.293.461 a 500.000.000 COP (cupo 500.000.000). Equipo administrado por TDV.</t>
        </is>
      </c>
      <c r="L275" s="26" t="n">
        <v>500000000</v>
      </c>
      <c r="M275" s="26" t="n">
        <v>50293461</v>
      </c>
      <c r="N275" s="27">
        <f>IF(ISNUMBER(M275),M275/L275,"No aplica")</f>
        <v>0.100586922</v>
      </c>
      <c r="O275" s="25">
        <f>IF(G275="provision",M275+H275,IF(G275="recoleccion",M275-H275,"No aplica"))</f>
        <v>500000000</v>
      </c>
      <c r="P275" s="26" t="n">
        <v>217550</v>
      </c>
    </row>
    <row r="276">
      <c r="A276" t="inlineStr">
        <is>
          <t>PRAGMA</t>
        </is>
      </c>
      <c r="B276" t="inlineStr">
        <is>
          <t>M1</t>
        </is>
      </c>
      <c r="C276" t="inlineStr">
        <is>
          <t>Pasto</t>
        </is>
      </c>
      <c r="D276" t="inlineStr">
        <is>
          <t>2691</t>
        </is>
      </c>
      <c r="E276" t="inlineStr">
        <is>
          <t>Sucursal</t>
        </is>
      </c>
      <c r="F276" s="23" t="n">
        <v>46269</v>
      </c>
      <c r="G276" t="inlineStr">
        <is>
          <t>provision</t>
        </is>
      </c>
      <c r="H276" s="26" t="n">
        <v>349583520</v>
      </c>
      <c r="I276" t="inlineStr">
        <is>
          <t>bajo</t>
        </is>
      </c>
      <c r="J276" t="inlineStr">
        <is>
          <t>RN-11 y RN-34: provision hasta el cupo operativo antes de bajar del 8 %</t>
        </is>
      </c>
      <c r="K276" t="inlineStr">
        <is>
          <t>Provision en la manana, antes del pagado: con el pronostico, sin provision el saldo bajaria del 8 % del cupo ese dia. Lleva el saldo de 100.416.480 a 450.000.000 COP (cupo 450.000.000). Equipo administrado por Sucursal. Sin tarifa TDV (administrado por la sucursal): costo 0 declarado.</t>
        </is>
      </c>
      <c r="L276" s="26" t="n">
        <v>450000000</v>
      </c>
      <c r="M276" s="26" t="n">
        <v>100416480</v>
      </c>
      <c r="N276" s="27">
        <f>IF(ISNUMBER(M276),M276/L276,"No aplica")</f>
        <v>0.22314773333333332</v>
      </c>
      <c r="O276" s="25">
        <f>IF(G276="provision",M276+H276,IF(G276="recoleccion",M276-H276,"No aplica"))</f>
        <v>450000000</v>
      </c>
      <c r="P276" s="26" t="n">
        <v>0</v>
      </c>
    </row>
    <row r="277">
      <c r="A277" t="inlineStr">
        <is>
          <t>PRAGMA</t>
        </is>
      </c>
      <c r="B277" t="inlineStr">
        <is>
          <t>M1</t>
        </is>
      </c>
      <c r="C277" t="inlineStr">
        <is>
          <t>Pasto</t>
        </is>
      </c>
      <c r="D277" t="inlineStr">
        <is>
          <t>2691</t>
        </is>
      </c>
      <c r="E277" t="inlineStr">
        <is>
          <t>Sucursal</t>
        </is>
      </c>
      <c r="F277" s="23" t="n">
        <v>46273</v>
      </c>
      <c r="G277" t="inlineStr">
        <is>
          <t>provision</t>
        </is>
      </c>
      <c r="H277" s="26" t="n">
        <v>379434983</v>
      </c>
      <c r="I277" t="inlineStr">
        <is>
          <t>bajo</t>
        </is>
      </c>
      <c r="J277" t="inlineStr">
        <is>
          <t>RN-11 y RN-34: provision hasta el cupo operativo antes de bajar del 8 %</t>
        </is>
      </c>
      <c r="K277" t="inlineStr">
        <is>
          <t>Provision en la manana, antes del pagado: con el pronostico, sin provision el saldo bajaria del 8 % del cupo ese dia. Lleva el saldo de 70.565.017 a 450.000.000 COP (cupo 450.000.000). Equipo administrado por Sucursal. Sin tarifa TDV (administrado por la sucursal): costo 0 declarado.</t>
        </is>
      </c>
      <c r="L277" s="26" t="n">
        <v>450000000</v>
      </c>
      <c r="M277" s="26" t="n">
        <v>70565017</v>
      </c>
      <c r="N277" s="27">
        <f>IF(ISNUMBER(M277),M277/L277,"No aplica")</f>
        <v>0.1568111488888889</v>
      </c>
      <c r="O277" s="25">
        <f>IF(G277="provision",M277+H277,IF(G277="recoleccion",M277-H277,"No aplica"))</f>
        <v>450000000</v>
      </c>
      <c r="P277" s="26" t="n">
        <v>0</v>
      </c>
    </row>
    <row r="278">
      <c r="A278" t="inlineStr">
        <is>
          <t>PRAGMA</t>
        </is>
      </c>
      <c r="B278" t="inlineStr">
        <is>
          <t>M1</t>
        </is>
      </c>
      <c r="C278" t="inlineStr">
        <is>
          <t>Pasto</t>
        </is>
      </c>
      <c r="D278" t="inlineStr">
        <is>
          <t>2691</t>
        </is>
      </c>
      <c r="E278" t="inlineStr">
        <is>
          <t>Sucursal</t>
        </is>
      </c>
      <c r="F278" s="23" t="n">
        <v>46278</v>
      </c>
      <c r="G278" t="inlineStr">
        <is>
          <t>provision</t>
        </is>
      </c>
      <c r="H278" s="26" t="n">
        <v>406257457</v>
      </c>
      <c r="I278" t="inlineStr">
        <is>
          <t>bajo</t>
        </is>
      </c>
      <c r="J278" t="inlineStr">
        <is>
          <t>RN-11 y RN-34: provision hasta el cupo operativo antes de bajar del 8 %</t>
        </is>
      </c>
      <c r="K278" t="inlineStr">
        <is>
          <t>Provision en la manana, antes del pagado: con el pronostico, sin provision el saldo bajaria del 8 % del cupo ese dia. Lleva el saldo de 43.742.543 a 450.000.000 COP (cupo 450.000.000). Equipo administrado por Sucursal. Sin tarifa TDV (administrado por la sucursal): costo 0 declarado.</t>
        </is>
      </c>
      <c r="L278" s="26" t="n">
        <v>450000000</v>
      </c>
      <c r="M278" s="26" t="n">
        <v>43742543</v>
      </c>
      <c r="N278" s="27">
        <f>IF(ISNUMBER(M278),M278/L278,"No aplica")</f>
        <v>0.09720565111111111</v>
      </c>
      <c r="O278" s="25">
        <f>IF(G278="provision",M278+H278,IF(G278="recoleccion",M278-H278,"No aplica"))</f>
        <v>450000000</v>
      </c>
      <c r="P278" s="26" t="n">
        <v>0</v>
      </c>
    </row>
    <row r="279">
      <c r="A279" t="inlineStr">
        <is>
          <t>PRAGMA</t>
        </is>
      </c>
      <c r="B279" t="inlineStr">
        <is>
          <t>M1</t>
        </is>
      </c>
      <c r="C279" t="inlineStr">
        <is>
          <t>Cali</t>
        </is>
      </c>
      <c r="D279" t="inlineStr">
        <is>
          <t>2720</t>
        </is>
      </c>
      <c r="E279" t="inlineStr">
        <is>
          <t>TDV</t>
        </is>
      </c>
      <c r="F279" s="23" t="n">
        <v>46268</v>
      </c>
      <c r="G279" t="inlineStr">
        <is>
          <t>provision</t>
        </is>
      </c>
      <c r="H279" s="26" t="n">
        <v>345851033</v>
      </c>
      <c r="I279" t="inlineStr">
        <is>
          <t>bajo</t>
        </is>
      </c>
      <c r="J279" t="inlineStr">
        <is>
          <t>RN-11 y RN-34: provision hasta el cupo operativo antes de bajar del 8 %</t>
        </is>
      </c>
      <c r="K279" t="inlineStr">
        <is>
          <t>Provision en la manana, antes del pagado: con el pronostico, sin provision el saldo bajaria del 8 % del cupo ese dia. Lleva el saldo de 154.148.967 a 500.000.000 COP (cupo 500.000.000). Equipo administrado por TDV.</t>
        </is>
      </c>
      <c r="L279" s="26" t="n">
        <v>500000000</v>
      </c>
      <c r="M279" s="26" t="n">
        <v>154148967</v>
      </c>
      <c r="N279" s="27">
        <f>IF(ISNUMBER(M279),M279/L279,"No aplica")</f>
        <v>0.308297934</v>
      </c>
      <c r="O279" s="25">
        <f>IF(G279="provision",M279+H279,IF(G279="recoleccion",M279-H279,"No aplica"))</f>
        <v>500000000</v>
      </c>
      <c r="P279" s="26" t="n">
        <v>147786</v>
      </c>
    </row>
    <row r="280">
      <c r="A280" t="inlineStr">
        <is>
          <t>PRAGMA</t>
        </is>
      </c>
      <c r="B280" t="inlineStr">
        <is>
          <t>M1</t>
        </is>
      </c>
      <c r="C280" t="inlineStr">
        <is>
          <t>Cali</t>
        </is>
      </c>
      <c r="D280" t="inlineStr">
        <is>
          <t>2720</t>
        </is>
      </c>
      <c r="E280" t="inlineStr">
        <is>
          <t>TDV</t>
        </is>
      </c>
      <c r="F280" s="23" t="n">
        <v>46271</v>
      </c>
      <c r="G280" t="inlineStr">
        <is>
          <t>provision</t>
        </is>
      </c>
      <c r="H280" s="26" t="n">
        <v>430157227</v>
      </c>
      <c r="I280" t="inlineStr">
        <is>
          <t>bajo</t>
        </is>
      </c>
      <c r="J280" t="inlineStr">
        <is>
          <t>RN-11 y RN-34: provision hasta el cupo operativo antes de bajar del 8 %</t>
        </is>
      </c>
      <c r="K280" t="inlineStr">
        <is>
          <t>Provision en la manana, antes del pagado: con el pronostico, sin provision el saldo bajaria del 8 % del cupo ese dia. Lleva el saldo de 69.842.773 a 500.000.000 COP (cupo 500.000.000). Equipo administrado por TDV.</t>
        </is>
      </c>
      <c r="L280" s="26" t="n">
        <v>500000000</v>
      </c>
      <c r="M280" s="26" t="n">
        <v>69842773</v>
      </c>
      <c r="N280" s="27">
        <f>IF(ISNUMBER(M280),M280/L280,"No aplica")</f>
        <v>0.139685546</v>
      </c>
      <c r="O280" s="25">
        <f>IF(G280="provision",M280+H280,IF(G280="recoleccion",M280-H280,"No aplica"))</f>
        <v>500000000</v>
      </c>
      <c r="P280" s="26" t="n">
        <v>239009</v>
      </c>
    </row>
    <row r="281">
      <c r="A281" t="inlineStr">
        <is>
          <t>PRAGMA</t>
        </is>
      </c>
      <c r="B281" t="inlineStr">
        <is>
          <t>M1</t>
        </is>
      </c>
      <c r="C281" t="inlineStr">
        <is>
          <t>Cali</t>
        </is>
      </c>
      <c r="D281" t="inlineStr">
        <is>
          <t>2720</t>
        </is>
      </c>
      <c r="E281" t="inlineStr">
        <is>
          <t>TDV</t>
        </is>
      </c>
      <c r="F281" s="23" t="n">
        <v>46275</v>
      </c>
      <c r="G281" t="inlineStr">
        <is>
          <t>provision</t>
        </is>
      </c>
      <c r="H281" s="26" t="n">
        <v>359834795</v>
      </c>
      <c r="I281" t="inlineStr">
        <is>
          <t>bajo</t>
        </is>
      </c>
      <c r="J281" t="inlineStr">
        <is>
          <t>RN-11 y RN-34: provision hasta el cupo operativo antes de bajar del 8 %</t>
        </is>
      </c>
      <c r="K281" t="inlineStr">
        <is>
          <t>Provision en la manana, antes del pagado: con el pronostico, sin provision el saldo bajaria del 8 % del cupo ese dia. Lleva el saldo de 140.165.205 a 500.000.000 COP (cupo 500.000.000). Equipo administrado por TDV.</t>
        </is>
      </c>
      <c r="L281" s="26" t="n">
        <v>500000000</v>
      </c>
      <c r="M281" s="26" t="n">
        <v>140165205</v>
      </c>
      <c r="N281" s="27">
        <f>IF(ISNUMBER(M281),M281/L281,"No aplica")</f>
        <v>0.28033041</v>
      </c>
      <c r="O281" s="25">
        <f>IF(G281="provision",M281+H281,IF(G281="recoleccion",M281-H281,"No aplica"))</f>
        <v>500000000</v>
      </c>
      <c r="P281" s="26" t="n">
        <v>153044</v>
      </c>
    </row>
    <row r="282">
      <c r="A282" t="inlineStr">
        <is>
          <t>PRAGMA</t>
        </is>
      </c>
      <c r="B282" t="inlineStr">
        <is>
          <t>M1</t>
        </is>
      </c>
      <c r="C282" t="inlineStr">
        <is>
          <t>Cali</t>
        </is>
      </c>
      <c r="D282" t="inlineStr">
        <is>
          <t>2720</t>
        </is>
      </c>
      <c r="E282" t="inlineStr">
        <is>
          <t>TDV</t>
        </is>
      </c>
      <c r="F282" s="23" t="n">
        <v>46279</v>
      </c>
      <c r="G282" t="inlineStr">
        <is>
          <t>provision</t>
        </is>
      </c>
      <c r="H282" s="26" t="n">
        <v>388275031</v>
      </c>
      <c r="I282" t="inlineStr">
        <is>
          <t>bajo</t>
        </is>
      </c>
      <c r="J282" t="inlineStr">
        <is>
          <t>RN-11 y RN-34: provision hasta el cupo operativo antes de bajar del 8 %</t>
        </is>
      </c>
      <c r="K282" t="inlineStr">
        <is>
          <t>Provision en la manana, antes del pagado: con el pronostico, sin provision el saldo bajaria del 8 % del cupo ese dia. Lleva el saldo de 111.724.969 a 500.000.000 COP (cupo 500.000.000). Equipo administrado por TDV.</t>
        </is>
      </c>
      <c r="L282" s="26" t="n">
        <v>500000000</v>
      </c>
      <c r="M282" s="26" t="n">
        <v>111724969</v>
      </c>
      <c r="N282" s="27">
        <f>IF(ISNUMBER(M282),M282/L282,"No aplica")</f>
        <v>0.223449938</v>
      </c>
      <c r="O282" s="25">
        <f>IF(G282="provision",M282+H282,IF(G282="recoleccion",M282-H282,"No aplica"))</f>
        <v>500000000</v>
      </c>
      <c r="P282" s="26" t="n">
        <v>163737</v>
      </c>
    </row>
    <row r="283">
      <c r="A283" t="inlineStr">
        <is>
          <t>PRAGMA</t>
        </is>
      </c>
      <c r="B283" t="inlineStr">
        <is>
          <t>M1</t>
        </is>
      </c>
      <c r="C283" t="inlineStr">
        <is>
          <t>Cali</t>
        </is>
      </c>
      <c r="D283" t="inlineStr">
        <is>
          <t>2721</t>
        </is>
      </c>
      <c r="E283" t="inlineStr">
        <is>
          <t>TDV</t>
        </is>
      </c>
      <c r="F283" s="23" t="n">
        <v>46268</v>
      </c>
      <c r="G283" t="inlineStr">
        <is>
          <t>provision</t>
        </is>
      </c>
      <c r="H283" s="26" t="n">
        <v>303758184</v>
      </c>
      <c r="I283" t="inlineStr">
        <is>
          <t>bajo</t>
        </is>
      </c>
      <c r="J283" t="inlineStr">
        <is>
          <t>RN-11 y RN-34: provision hasta el cupo operativo antes de bajar del 8 %</t>
        </is>
      </c>
      <c r="K283" t="inlineStr">
        <is>
          <t>Provision en la manana, antes del pagado: con el pronostico, sin provision el saldo bajaria del 8 % del cupo ese dia. Lleva el saldo de 107.241.816 a 411.000.000 COP (cupo 411.000.000). Equipo administrado por TDV.</t>
        </is>
      </c>
      <c r="L283" s="26" t="n">
        <v>411000000</v>
      </c>
      <c r="M283" s="26" t="n">
        <v>107241816</v>
      </c>
      <c r="N283" s="27">
        <f>IF(ISNUMBER(M283),M283/L283,"No aplica")</f>
        <v>0.26092899270072994</v>
      </c>
      <c r="O283" s="25">
        <f>IF(G283="provision",M283+H283,IF(G283="recoleccion",M283-H283,"No aplica"))</f>
        <v>411000000</v>
      </c>
      <c r="P283" s="26" t="n">
        <v>153041</v>
      </c>
    </row>
    <row r="284">
      <c r="A284" t="inlineStr">
        <is>
          <t>PRAGMA</t>
        </is>
      </c>
      <c r="B284" t="inlineStr">
        <is>
          <t>M1</t>
        </is>
      </c>
      <c r="C284" t="inlineStr">
        <is>
          <t>Cali</t>
        </is>
      </c>
      <c r="D284" t="inlineStr">
        <is>
          <t>2721</t>
        </is>
      </c>
      <c r="E284" t="inlineStr">
        <is>
          <t>TDV</t>
        </is>
      </c>
      <c r="F284" s="23" t="n">
        <v>46272</v>
      </c>
      <c r="G284" t="inlineStr">
        <is>
          <t>provision</t>
        </is>
      </c>
      <c r="H284" s="26" t="n">
        <v>371253784</v>
      </c>
      <c r="I284" t="inlineStr">
        <is>
          <t>bajo</t>
        </is>
      </c>
      <c r="J284" t="inlineStr">
        <is>
          <t>RN-11 y RN-34: provision hasta el cupo operativo antes de bajar del 8 %</t>
        </is>
      </c>
      <c r="K284" t="inlineStr">
        <is>
          <t>Provision en la manana, antes del pagado: con el pronostico, sin provision el saldo bajaria del 8 % del cupo ese dia. Lleva el saldo de 39.746.216 a 411.000.000 COP (cupo 411.000.000). Equipo administrado por TDV.</t>
        </is>
      </c>
      <c r="L284" s="26" t="n">
        <v>411000000</v>
      </c>
      <c r="M284" s="26" t="n">
        <v>39746216</v>
      </c>
      <c r="N284" s="27">
        <f>IF(ISNUMBER(M284),M284/L284,"No aplica")</f>
        <v>0.09670612165450122</v>
      </c>
      <c r="O284" s="25">
        <f>IF(G284="provision",M284+H284,IF(G284="recoleccion",M284-H284,"No aplica"))</f>
        <v>411000000</v>
      </c>
      <c r="P284" s="26" t="n">
        <v>182874</v>
      </c>
    </row>
    <row r="285">
      <c r="A285" t="inlineStr">
        <is>
          <t>PRAGMA</t>
        </is>
      </c>
      <c r="B285" t="inlineStr">
        <is>
          <t>M1</t>
        </is>
      </c>
      <c r="C285" t="inlineStr">
        <is>
          <t>Cali</t>
        </is>
      </c>
      <c r="D285" t="inlineStr">
        <is>
          <t>2721</t>
        </is>
      </c>
      <c r="E285" t="inlineStr">
        <is>
          <t>TDV</t>
        </is>
      </c>
      <c r="F285" s="23" t="n">
        <v>46276</v>
      </c>
      <c r="G285" t="inlineStr">
        <is>
          <t>provision</t>
        </is>
      </c>
      <c r="H285" s="26" t="n">
        <v>357680485</v>
      </c>
      <c r="I285" t="inlineStr">
        <is>
          <t>bajo</t>
        </is>
      </c>
      <c r="J285" t="inlineStr">
        <is>
          <t>RN-11 y RN-34: provision hasta el cupo operativo antes de bajar del 8 %</t>
        </is>
      </c>
      <c r="K285" t="inlineStr">
        <is>
          <t>Provision en la manana, antes del pagado: con el pronostico, sin provision el saldo bajaria del 8 % del cupo ese dia. Lleva el saldo de 53.319.515 a 411.000.000 COP (cupo 411.000.000). Equipo administrado por TDV.</t>
        </is>
      </c>
      <c r="L285" s="26" t="n">
        <v>411000000</v>
      </c>
      <c r="M285" s="26" t="n">
        <v>53319515</v>
      </c>
      <c r="N285" s="27">
        <f>IF(ISNUMBER(M285),M285/L285,"No aplica")</f>
        <v>0.1297311800486618</v>
      </c>
      <c r="O285" s="25">
        <f>IF(G285="provision",M285+H285,IF(G285="recoleccion",M285-H285,"No aplica"))</f>
        <v>411000000</v>
      </c>
      <c r="P285" s="26" t="n">
        <v>176875</v>
      </c>
    </row>
    <row r="286">
      <c r="A286" t="inlineStr">
        <is>
          <t>PRAGMA</t>
        </is>
      </c>
      <c r="B286" t="inlineStr">
        <is>
          <t>M1</t>
        </is>
      </c>
      <c r="C286" t="inlineStr">
        <is>
          <t>Cali</t>
        </is>
      </c>
      <c r="D286" t="inlineStr">
        <is>
          <t>2721</t>
        </is>
      </c>
      <c r="E286" t="inlineStr">
        <is>
          <t>TDV</t>
        </is>
      </c>
      <c r="F286" s="23" t="n">
        <v>46280</v>
      </c>
      <c r="G286" t="inlineStr">
        <is>
          <t>provision</t>
        </is>
      </c>
      <c r="H286" s="26" t="n">
        <v>258528676</v>
      </c>
      <c r="I286" t="inlineStr">
        <is>
          <t>bajo</t>
        </is>
      </c>
      <c r="J286" t="inlineStr">
        <is>
          <t>RN-11 y RN-34: provision hasta el cupo operativo antes de bajar del 8 %</t>
        </is>
      </c>
      <c r="K286" t="inlineStr">
        <is>
          <t>Provision en la manana, antes del pagado: con el pronostico, sin provision el saldo bajaria del 8 % del cupo ese dia. Lleva el saldo de 152.471.324 a 411.000.000 COP (cupo 411.000.000). Equipo administrado por TDV.</t>
        </is>
      </c>
      <c r="L286" s="26" t="n">
        <v>411000000</v>
      </c>
      <c r="M286" s="26" t="n">
        <v>152471324</v>
      </c>
      <c r="N286" s="27">
        <f>IF(ISNUMBER(M286),M286/L286,"No aplica")</f>
        <v>0.37097645742092455</v>
      </c>
      <c r="O286" s="25">
        <f>IF(G286="provision",M286+H286,IF(G286="recoleccion",M286-H286,"No aplica"))</f>
        <v>411000000</v>
      </c>
      <c r="P286" s="26" t="n">
        <v>133050</v>
      </c>
    </row>
    <row r="287">
      <c r="A287" t="inlineStr">
        <is>
          <t>PRAGMA</t>
        </is>
      </c>
      <c r="B287" t="inlineStr">
        <is>
          <t>M1</t>
        </is>
      </c>
      <c r="C287" t="inlineStr">
        <is>
          <t>Cali</t>
        </is>
      </c>
      <c r="D287" t="inlineStr">
        <is>
          <t>2741</t>
        </is>
      </c>
      <c r="E287" t="inlineStr">
        <is>
          <t>TDV</t>
        </is>
      </c>
      <c r="F287" s="23" t="n">
        <v>46268</v>
      </c>
      <c r="G287" t="inlineStr">
        <is>
          <t>provision</t>
        </is>
      </c>
      <c r="H287" s="26" t="n">
        <v>307609125</v>
      </c>
      <c r="I287" t="inlineStr">
        <is>
          <t>bajo</t>
        </is>
      </c>
      <c r="J287" t="inlineStr">
        <is>
          <t>RN-11 y RN-34: provision hasta el cupo operativo antes de bajar del 8 %</t>
        </is>
      </c>
      <c r="K287" t="inlineStr">
        <is>
          <t>Provision en la manana, antes del pagado: con el pronostico, sin provision el saldo bajaria del 8 % del cupo ese dia. Lleva el saldo de 97.390.875 a 405.000.000 COP (cupo 405.000.000). Equipo administrado por TDV.</t>
        </is>
      </c>
      <c r="L287" s="26" t="n">
        <v>405000000</v>
      </c>
      <c r="M287" s="26" t="n">
        <v>97390875</v>
      </c>
      <c r="N287" s="27">
        <f>IF(ISNUMBER(M287),M287/L287,"No aplica")</f>
        <v>0.2404712962962963</v>
      </c>
      <c r="O287" s="25">
        <f>IF(G287="provision",M287+H287,IF(G287="recoleccion",M287-H287,"No aplica"))</f>
        <v>405000000</v>
      </c>
      <c r="P287" s="26" t="n">
        <v>182597</v>
      </c>
    </row>
    <row r="288">
      <c r="A288" t="inlineStr">
        <is>
          <t>PRAGMA</t>
        </is>
      </c>
      <c r="B288" t="inlineStr">
        <is>
          <t>M1</t>
        </is>
      </c>
      <c r="C288" t="inlineStr">
        <is>
          <t>Cali</t>
        </is>
      </c>
      <c r="D288" t="inlineStr">
        <is>
          <t>2741</t>
        </is>
      </c>
      <c r="E288" t="inlineStr">
        <is>
          <t>TDV</t>
        </is>
      </c>
      <c r="F288" s="23" t="n">
        <v>46270</v>
      </c>
      <c r="G288" t="inlineStr">
        <is>
          <t>provision</t>
        </is>
      </c>
      <c r="H288" s="26" t="n">
        <v>258219278</v>
      </c>
      <c r="I288" t="inlineStr">
        <is>
          <t>bajo</t>
        </is>
      </c>
      <c r="J288" t="inlineStr">
        <is>
          <t>RN-11 y RN-34: provision hasta el cupo operativo antes de bajar del 8 %</t>
        </is>
      </c>
      <c r="K288" t="inlineStr">
        <is>
          <t>Provision en la manana, antes del pagado: con el pronostico, sin provision el saldo bajaria del 8 % del cupo ese dia. Lleva el saldo de 146.780.722 a 405.000.000 COP (cupo 405.000.000). Equipo administrado por TDV.</t>
        </is>
      </c>
      <c r="L288" s="26" t="n">
        <v>405000000</v>
      </c>
      <c r="M288" s="26" t="n">
        <v>146780722</v>
      </c>
      <c r="N288" s="27">
        <f>IF(ISNUMBER(M288),M288/L288,"No aplica")</f>
        <v>0.36242153580246916</v>
      </c>
      <c r="O288" s="25">
        <f>IF(G288="provision",M288+H288,IF(G288="recoleccion",M288-H288,"No aplica"))</f>
        <v>405000000</v>
      </c>
      <c r="P288" s="26" t="n">
        <v>163335</v>
      </c>
    </row>
    <row r="289">
      <c r="A289" t="inlineStr">
        <is>
          <t>PRAGMA</t>
        </is>
      </c>
      <c r="B289" t="inlineStr">
        <is>
          <t>M1</t>
        </is>
      </c>
      <c r="C289" t="inlineStr">
        <is>
          <t>Cali</t>
        </is>
      </c>
      <c r="D289" t="inlineStr">
        <is>
          <t>2741</t>
        </is>
      </c>
      <c r="E289" t="inlineStr">
        <is>
          <t>TDV</t>
        </is>
      </c>
      <c r="F289" s="23" t="n">
        <v>46273</v>
      </c>
      <c r="G289" t="inlineStr">
        <is>
          <t>provision</t>
        </is>
      </c>
      <c r="H289" s="26" t="n">
        <v>325230206</v>
      </c>
      <c r="I289" t="inlineStr">
        <is>
          <t>bajo</t>
        </is>
      </c>
      <c r="J289" t="inlineStr">
        <is>
          <t>RN-11 y RN-34: provision hasta el cupo operativo antes de bajar del 8 %</t>
        </is>
      </c>
      <c r="K289" t="inlineStr">
        <is>
          <t>Provision en la manana, antes del pagado: con el pronostico, sin provision el saldo bajaria del 8 % del cupo ese dia. Lleva el saldo de 79.769.794 a 405.000.000 COP (cupo 405.000.000). Equipo administrado por TDV.</t>
        </is>
      </c>
      <c r="L289" s="26" t="n">
        <v>405000000</v>
      </c>
      <c r="M289" s="26" t="n">
        <v>79769794</v>
      </c>
      <c r="N289" s="27">
        <f>IF(ISNUMBER(M289),M289/L289,"No aplica")</f>
        <v>0.19696245432098766</v>
      </c>
      <c r="O289" s="25">
        <f>IF(G289="provision",M289+H289,IF(G289="recoleccion",M289-H289,"No aplica"))</f>
        <v>405000000</v>
      </c>
      <c r="P289" s="26" t="n">
        <v>189469</v>
      </c>
    </row>
    <row r="290">
      <c r="A290" t="inlineStr">
        <is>
          <t>PRAGMA</t>
        </is>
      </c>
      <c r="B290" t="inlineStr">
        <is>
          <t>M1</t>
        </is>
      </c>
      <c r="C290" t="inlineStr">
        <is>
          <t>Cali</t>
        </is>
      </c>
      <c r="D290" t="inlineStr">
        <is>
          <t>2741</t>
        </is>
      </c>
      <c r="E290" t="inlineStr">
        <is>
          <t>TDV</t>
        </is>
      </c>
      <c r="F290" s="23" t="n">
        <v>46278</v>
      </c>
      <c r="G290" t="inlineStr">
        <is>
          <t>provision</t>
        </is>
      </c>
      <c r="H290" s="26" t="n">
        <v>370009818</v>
      </c>
      <c r="I290" t="inlineStr">
        <is>
          <t>bajo</t>
        </is>
      </c>
      <c r="J290" t="inlineStr">
        <is>
          <t>RN-11 y RN-34: provision hasta el cupo operativo antes de bajar del 8 %</t>
        </is>
      </c>
      <c r="K290" t="inlineStr">
        <is>
          <t>Provision en la manana, antes del pagado: con el pronostico, sin provision el saldo bajaria del 8 % del cupo ese dia. Lleva el saldo de 34.990.182 a 405.000.000 COP (cupo 405.000.000). Equipo administrado por TDV.</t>
        </is>
      </c>
      <c r="L290" s="26" t="n">
        <v>405000000</v>
      </c>
      <c r="M290" s="26" t="n">
        <v>34990182</v>
      </c>
      <c r="N290" s="27">
        <f>IF(ISNUMBER(M290),M290/L290,"No aplica")</f>
        <v>0.08639551111111111</v>
      </c>
      <c r="O290" s="25">
        <f>IF(G290="provision",M290+H290,IF(G290="recoleccion",M290-H290,"No aplica"))</f>
        <v>405000000</v>
      </c>
      <c r="P290" s="26" t="n">
        <v>275241</v>
      </c>
    </row>
    <row r="291">
      <c r="A291" t="inlineStr">
        <is>
          <t>PRAGMA</t>
        </is>
      </c>
      <c r="B291" t="inlineStr">
        <is>
          <t>M1</t>
        </is>
      </c>
      <c r="C291" t="inlineStr">
        <is>
          <t>Pasto</t>
        </is>
      </c>
      <c r="D291" t="inlineStr">
        <is>
          <t>2760</t>
        </is>
      </c>
      <c r="E291" t="inlineStr">
        <is>
          <t>TDV</t>
        </is>
      </c>
      <c r="F291" s="23" t="n">
        <v>46270</v>
      </c>
      <c r="G291" t="inlineStr">
        <is>
          <t>provision</t>
        </is>
      </c>
      <c r="H291" s="26" t="n">
        <v>394131955</v>
      </c>
      <c r="I291" t="inlineStr">
        <is>
          <t>bajo</t>
        </is>
      </c>
      <c r="J291" t="inlineStr">
        <is>
          <t>RN-11 y RN-34: provision hasta el cupo operativo antes de bajar del 8 %</t>
        </is>
      </c>
      <c r="K291" t="inlineStr">
        <is>
          <t>Provision en la manana, antes del pagado: con el pronostico, sin provision el saldo bajaria del 8 % del cupo ese dia. Lleva el saldo de 105.868.045 a 500.000.000 COP (cupo 500.000.000). Equipo administrado por TDV.</t>
        </is>
      </c>
      <c r="L291" s="26" t="n">
        <v>500000000</v>
      </c>
      <c r="M291" s="26" t="n">
        <v>105868045</v>
      </c>
      <c r="N291" s="27">
        <f>IF(ISNUMBER(M291),M291/L291,"No aplica")</f>
        <v>0.21173609</v>
      </c>
      <c r="O291" s="25">
        <f>IF(G291="provision",M291+H291,IF(G291="recoleccion",M291-H291,"No aplica"))</f>
        <v>500000000</v>
      </c>
      <c r="P291" s="26" t="n">
        <v>125916</v>
      </c>
    </row>
    <row r="292">
      <c r="A292" t="inlineStr">
        <is>
          <t>PRAGMA</t>
        </is>
      </c>
      <c r="B292" t="inlineStr">
        <is>
          <t>M1</t>
        </is>
      </c>
      <c r="C292" t="inlineStr">
        <is>
          <t>Pasto</t>
        </is>
      </c>
      <c r="D292" t="inlineStr">
        <is>
          <t>2760</t>
        </is>
      </c>
      <c r="E292" t="inlineStr">
        <is>
          <t>TDV</t>
        </is>
      </c>
      <c r="F292" s="23" t="n">
        <v>46276</v>
      </c>
      <c r="G292" t="inlineStr">
        <is>
          <t>provision</t>
        </is>
      </c>
      <c r="H292" s="26" t="n">
        <v>412411268</v>
      </c>
      <c r="I292" t="inlineStr">
        <is>
          <t>bajo</t>
        </is>
      </c>
      <c r="J292" t="inlineStr">
        <is>
          <t>RN-11 y RN-34: provision hasta el cupo operativo antes de bajar del 8 %</t>
        </is>
      </c>
      <c r="K292" t="inlineStr">
        <is>
          <t>Provision en la manana, antes del pagado: con el pronostico, sin provision el saldo bajaria del 8 % del cupo ese dia. Lleva el saldo de 87.588.732 a 500.000.000 COP (cupo 500.000.000). Equipo administrado por TDV.</t>
        </is>
      </c>
      <c r="L292" s="26" t="n">
        <v>500000000</v>
      </c>
      <c r="M292" s="26" t="n">
        <v>87588732</v>
      </c>
      <c r="N292" s="27">
        <f>IF(ISNUMBER(M292),M292/L292,"No aplica")</f>
        <v>0.175177464</v>
      </c>
      <c r="O292" s="25">
        <f>IF(G292="provision",M292+H292,IF(G292="recoleccion",M292-H292,"No aplica"))</f>
        <v>500000000</v>
      </c>
      <c r="P292" s="26" t="n">
        <v>131034</v>
      </c>
    </row>
    <row r="293">
      <c r="A293" t="inlineStr">
        <is>
          <t>PRAGMA</t>
        </is>
      </c>
      <c r="B293" t="inlineStr">
        <is>
          <t>M1</t>
        </is>
      </c>
      <c r="C293" t="inlineStr">
        <is>
          <t>Cali</t>
        </is>
      </c>
      <c r="D293" t="inlineStr">
        <is>
          <t>2790</t>
        </is>
      </c>
      <c r="E293" t="inlineStr">
        <is>
          <t>TDV</t>
        </is>
      </c>
      <c r="F293" s="23" t="n">
        <v>46270</v>
      </c>
      <c r="G293" t="inlineStr">
        <is>
          <t>provision</t>
        </is>
      </c>
      <c r="H293" s="26" t="n">
        <v>408648191</v>
      </c>
      <c r="I293" t="inlineStr">
        <is>
          <t>bajo</t>
        </is>
      </c>
      <c r="J293" t="inlineStr">
        <is>
          <t>RN-11 y RN-34: provision hasta el cupo operativo antes de bajar del 8 %</t>
        </is>
      </c>
      <c r="K293" t="inlineStr">
        <is>
          <t>Provision en la manana, antes del pagado: con el pronostico, sin provision el saldo bajaria del 8 % del cupo ese dia. Lleva el saldo de 91.351.809 a 500.000.000 COP (cupo 500.000.000). Equipo administrado por TDV.</t>
        </is>
      </c>
      <c r="L293" s="26" t="n">
        <v>500000000</v>
      </c>
      <c r="M293" s="26" t="n">
        <v>91351809</v>
      </c>
      <c r="N293" s="27">
        <f>IF(ISNUMBER(M293),M293/L293,"No aplica")</f>
        <v>0.182703618</v>
      </c>
      <c r="O293" s="25">
        <f>IF(G293="provision",M293+H293,IF(G293="recoleccion",M293-H293,"No aplica"))</f>
        <v>500000000</v>
      </c>
      <c r="P293" s="26" t="n">
        <v>199403</v>
      </c>
    </row>
    <row r="294">
      <c r="A294" t="inlineStr">
        <is>
          <t>PRAGMA</t>
        </is>
      </c>
      <c r="B294" t="inlineStr">
        <is>
          <t>M1</t>
        </is>
      </c>
      <c r="C294" t="inlineStr">
        <is>
          <t>Cali</t>
        </is>
      </c>
      <c r="D294" t="inlineStr">
        <is>
          <t>2790</t>
        </is>
      </c>
      <c r="E294" t="inlineStr">
        <is>
          <t>TDV</t>
        </is>
      </c>
      <c r="F294" s="23" t="n">
        <v>46276</v>
      </c>
      <c r="G294" t="inlineStr">
        <is>
          <t>provision</t>
        </is>
      </c>
      <c r="H294" s="26" t="n">
        <v>413672582</v>
      </c>
      <c r="I294" t="inlineStr">
        <is>
          <t>bajo</t>
        </is>
      </c>
      <c r="J294" t="inlineStr">
        <is>
          <t>RN-11 y RN-34: provision hasta el cupo operativo antes de bajar del 8 %</t>
        </is>
      </c>
      <c r="K294" t="inlineStr">
        <is>
          <t>Provision en la manana, antes del pagado: con el pronostico, sin provision el saldo bajaria del 8 % del cupo ese dia. Lleva el saldo de 86.327.418 a 500.000.000 COP (cupo 500.000.000). Equipo administrado por TDV.</t>
        </is>
      </c>
      <c r="L294" s="26" t="n">
        <v>500000000</v>
      </c>
      <c r="M294" s="26" t="n">
        <v>86327418</v>
      </c>
      <c r="N294" s="27">
        <f>IF(ISNUMBER(M294),M294/L294,"No aplica")</f>
        <v>0.172654836</v>
      </c>
      <c r="O294" s="25">
        <f>IF(G294="provision",M294+H294,IF(G294="recoleccion",M294-H294,"No aplica"))</f>
        <v>500000000</v>
      </c>
      <c r="P294" s="26" t="n">
        <v>201623</v>
      </c>
    </row>
    <row r="295">
      <c r="A295" t="inlineStr">
        <is>
          <t>PRAGMA</t>
        </is>
      </c>
      <c r="B295" t="inlineStr">
        <is>
          <t>M1</t>
        </is>
      </c>
      <c r="C295" t="inlineStr">
        <is>
          <t>Cali</t>
        </is>
      </c>
      <c r="D295" t="inlineStr">
        <is>
          <t>2805</t>
        </is>
      </c>
      <c r="E295" t="inlineStr">
        <is>
          <t>TDV</t>
        </is>
      </c>
      <c r="F295" s="23" t="n">
        <v>46266</v>
      </c>
      <c r="G295" t="inlineStr">
        <is>
          <t>sin_accion</t>
        </is>
      </c>
      <c r="H295" s="26" t="n">
        <v>0</v>
      </c>
      <c r="I295" t="inlineStr">
        <is>
          <t>bajo</t>
        </is>
      </c>
      <c r="J295" t="inlineStr">
        <is>
          <t>RN-02: una fila sin_accion</t>
        </is>
      </c>
      <c r="K295" t="inlineStr">
        <is>
          <t>Sin accion en el horizonte: con el pronostico, el saldo se mantiene entre el umbral de agotamiento y el cupo sin necesidad de provision ni recoleccion.</t>
        </is>
      </c>
      <c r="L295" s="26" t="n">
        <v>500000000</v>
      </c>
      <c r="M295" s="26" t="inlineStr">
        <is>
          <t>No aplica</t>
        </is>
      </c>
      <c r="N295" s="27" t="str">
        <f>IF(ISNUMBER(M295),M295/L295,"No aplica")</f>
        <v>No aplica</v>
      </c>
      <c r="O295" s="25" t="str">
        <f>IF(G295="provision",M295+H295,IF(G295="recoleccion",M295-H295,"No aplica"))</f>
        <v>No aplica</v>
      </c>
      <c r="P295" s="26" t="inlineStr">
        <is>
          <t>No aplica</t>
        </is>
      </c>
    </row>
    <row r="296">
      <c r="A296" t="inlineStr">
        <is>
          <t>PRAGMA</t>
        </is>
      </c>
      <c r="B296" t="inlineStr">
        <is>
          <t>M1</t>
        </is>
      </c>
      <c r="C296" t="inlineStr">
        <is>
          <t>Cali</t>
        </is>
      </c>
      <c r="D296" t="inlineStr">
        <is>
          <t>2863</t>
        </is>
      </c>
      <c r="E296" t="inlineStr">
        <is>
          <t>TDV</t>
        </is>
      </c>
      <c r="F296" s="23" t="n">
        <v>46266</v>
      </c>
      <c r="G296" t="inlineStr">
        <is>
          <t>sin_accion</t>
        </is>
      </c>
      <c r="H296" s="26" t="n">
        <v>0</v>
      </c>
      <c r="I296" t="inlineStr">
        <is>
          <t>bajo</t>
        </is>
      </c>
      <c r="J296" t="inlineStr">
        <is>
          <t>RN-02: una fila sin_accion</t>
        </is>
      </c>
      <c r="K296" t="inlineStr">
        <is>
          <t>Sin accion en el horizonte: con el pronostico, el saldo se mantiene entre el umbral de agotamiento y el cupo sin necesidad de provision ni recoleccion.</t>
        </is>
      </c>
      <c r="L296" s="26" t="n">
        <v>500000000</v>
      </c>
      <c r="M296" s="26" t="inlineStr">
        <is>
          <t>No aplica</t>
        </is>
      </c>
      <c r="N296" s="27" t="str">
        <f>IF(ISNUMBER(M296),M296/L296,"No aplica")</f>
        <v>No aplica</v>
      </c>
      <c r="O296" s="25" t="str">
        <f>IF(G296="provision",M296+H296,IF(G296="recoleccion",M296-H296,"No aplica"))</f>
        <v>No aplica</v>
      </c>
      <c r="P296" s="26" t="inlineStr">
        <is>
          <t>No aplica</t>
        </is>
      </c>
    </row>
    <row r="297">
      <c r="A297" t="inlineStr">
        <is>
          <t>PRAGMA</t>
        </is>
      </c>
      <c r="B297" t="inlineStr">
        <is>
          <t>M1</t>
        </is>
      </c>
      <c r="C297" t="inlineStr">
        <is>
          <t>Cali</t>
        </is>
      </c>
      <c r="D297" t="inlineStr">
        <is>
          <t>2866</t>
        </is>
      </c>
      <c r="E297" t="inlineStr">
        <is>
          <t>TDV</t>
        </is>
      </c>
      <c r="F297" s="23" t="n">
        <v>46268</v>
      </c>
      <c r="G297" t="inlineStr">
        <is>
          <t>provision</t>
        </is>
      </c>
      <c r="H297" s="26" t="n">
        <v>367740066</v>
      </c>
      <c r="I297" t="inlineStr">
        <is>
          <t>bajo</t>
        </is>
      </c>
      <c r="J297" t="inlineStr">
        <is>
          <t>RN-11 y RN-34: provision hasta el cupo operativo antes de bajar del 8 %</t>
        </is>
      </c>
      <c r="K297" t="inlineStr">
        <is>
          <t>Provision en la manana, antes del pagado: con el pronostico, sin provision el saldo bajaria del 8 % del cupo ese dia. Lleva el saldo de 132.259.934 a 500.000.000 COP (cupo 500.000.000). Equipo administrado por TDV.</t>
        </is>
      </c>
      <c r="L297" s="26" t="n">
        <v>500000000</v>
      </c>
      <c r="M297" s="26" t="n">
        <v>132259934</v>
      </c>
      <c r="N297" s="27">
        <f>IF(ISNUMBER(M297),M297/L297,"No aplica")</f>
        <v>0.264519868</v>
      </c>
      <c r="O297" s="25">
        <f>IF(G297="provision",M297+H297,IF(G297="recoleccion",M297-H297,"No aplica"))</f>
        <v>500000000</v>
      </c>
      <c r="P297" s="26" t="n">
        <v>135699</v>
      </c>
    </row>
    <row r="298">
      <c r="A298" t="inlineStr">
        <is>
          <t>PRAGMA</t>
        </is>
      </c>
      <c r="B298" t="inlineStr">
        <is>
          <t>M1</t>
        </is>
      </c>
      <c r="C298" t="inlineStr">
        <is>
          <t>Cali</t>
        </is>
      </c>
      <c r="D298" t="inlineStr">
        <is>
          <t>2866</t>
        </is>
      </c>
      <c r="E298" t="inlineStr">
        <is>
          <t>TDV</t>
        </is>
      </c>
      <c r="F298" s="23" t="n">
        <v>46271</v>
      </c>
      <c r="G298" t="inlineStr">
        <is>
          <t>provision</t>
        </is>
      </c>
      <c r="H298" s="26" t="n">
        <v>435814344</v>
      </c>
      <c r="I298" t="inlineStr">
        <is>
          <t>bajo</t>
        </is>
      </c>
      <c r="J298" t="inlineStr">
        <is>
          <t>RN-11 y RN-34: provision hasta el cupo operativo antes de bajar del 8 %</t>
        </is>
      </c>
      <c r="K298" t="inlineStr">
        <is>
          <t>Provision en la manana, antes del pagado: con el pronostico, sin provision el saldo bajaria del 8 % del cupo ese dia. Lleva el saldo de 64.185.656 a 500.000.000 COP (cupo 500.000.000). Equipo administrado por TDV.</t>
        </is>
      </c>
      <c r="L298" s="26" t="n">
        <v>500000000</v>
      </c>
      <c r="M298" s="26" t="n">
        <v>64185656</v>
      </c>
      <c r="N298" s="27">
        <f>IF(ISNUMBER(M298),M298/L298,"No aplica")</f>
        <v>0.128371312</v>
      </c>
      <c r="O298" s="25">
        <f>IF(G298="provision",M298+H298,IF(G298="recoleccion",M298-H298,"No aplica"))</f>
        <v>500000000</v>
      </c>
      <c r="P298" s="26" t="n">
        <v>205150</v>
      </c>
    </row>
    <row r="299">
      <c r="A299" t="inlineStr">
        <is>
          <t>PRAGMA</t>
        </is>
      </c>
      <c r="B299" t="inlineStr">
        <is>
          <t>M1</t>
        </is>
      </c>
      <c r="C299" t="inlineStr">
        <is>
          <t>Cali</t>
        </is>
      </c>
      <c r="D299" t="inlineStr">
        <is>
          <t>2866</t>
        </is>
      </c>
      <c r="E299" t="inlineStr">
        <is>
          <t>TDV</t>
        </is>
      </c>
      <c r="F299" s="23" t="n">
        <v>46276</v>
      </c>
      <c r="G299" t="inlineStr">
        <is>
          <t>provision</t>
        </is>
      </c>
      <c r="H299" s="26" t="n">
        <v>453630949</v>
      </c>
      <c r="I299" t="inlineStr">
        <is>
          <t>bajo</t>
        </is>
      </c>
      <c r="J299" t="inlineStr">
        <is>
          <t>RN-11 y RN-34: provision hasta el cupo operativo antes de bajar del 8 %</t>
        </is>
      </c>
      <c r="K299" t="inlineStr">
        <is>
          <t>Provision en la manana, antes del pagado: con el pronostico, sin provision el saldo bajaria del 8 % del cupo ese dia. Lleva el saldo de 46.369.051 a 500.000.000 COP (cupo 500.000.000). Equipo administrado por TDV.</t>
        </is>
      </c>
      <c r="L299" s="26" t="n">
        <v>500000000</v>
      </c>
      <c r="M299" s="26" t="n">
        <v>46369051</v>
      </c>
      <c r="N299" s="27">
        <f>IF(ISNUMBER(M299),M299/L299,"No aplica")</f>
        <v>0.092738102</v>
      </c>
      <c r="O299" s="25">
        <f>IF(G299="provision",M299+H299,IF(G299="recoleccion",M299-H299,"No aplica"))</f>
        <v>500000000</v>
      </c>
      <c r="P299" s="26" t="n">
        <v>163442</v>
      </c>
    </row>
    <row r="300">
      <c r="A300" t="inlineStr">
        <is>
          <t>PRAGMA</t>
        </is>
      </c>
      <c r="B300" t="inlineStr">
        <is>
          <t>M1</t>
        </is>
      </c>
      <c r="C300" t="inlineStr">
        <is>
          <t>Cali</t>
        </is>
      </c>
      <c r="D300" t="inlineStr">
        <is>
          <t>2866</t>
        </is>
      </c>
      <c r="E300" t="inlineStr">
        <is>
          <t>TDV</t>
        </is>
      </c>
      <c r="F300" s="23" t="n">
        <v>46280</v>
      </c>
      <c r="G300" t="inlineStr">
        <is>
          <t>provision</t>
        </is>
      </c>
      <c r="H300" s="26" t="n">
        <v>345397086</v>
      </c>
      <c r="I300" t="inlineStr">
        <is>
          <t>bajo</t>
        </is>
      </c>
      <c r="J300" t="inlineStr">
        <is>
          <t>RN-11 y RN-34: provision hasta el cupo operativo antes de bajar del 8 %</t>
        </is>
      </c>
      <c r="K300" t="inlineStr">
        <is>
          <t>Provision en la manana, antes del pagado: con el pronostico, sin provision el saldo bajaria del 8 % del cupo ese dia. Lleva el saldo de 154.602.914 a 500.000.000 COP (cupo 500.000.000). Equipo administrado por TDV.</t>
        </is>
      </c>
      <c r="L300" s="26" t="n">
        <v>500000000</v>
      </c>
      <c r="M300" s="26" t="n">
        <v>154602914</v>
      </c>
      <c r="N300" s="27">
        <f>IF(ISNUMBER(M300),M300/L300,"No aplica")</f>
        <v>0.309205828</v>
      </c>
      <c r="O300" s="25">
        <f>IF(G300="provision",M300+H300,IF(G300="recoleccion",M300-H300,"No aplica"))</f>
        <v>500000000</v>
      </c>
      <c r="P300" s="26" t="n">
        <v>128482</v>
      </c>
    </row>
    <row r="301">
      <c r="A301" t="inlineStr">
        <is>
          <t>PRAGMA</t>
        </is>
      </c>
      <c r="B301" t="inlineStr">
        <is>
          <t>M1</t>
        </is>
      </c>
      <c r="C301" t="inlineStr">
        <is>
          <t>Cali</t>
        </is>
      </c>
      <c r="D301" t="inlineStr">
        <is>
          <t>2867</t>
        </is>
      </c>
      <c r="E301" t="inlineStr">
        <is>
          <t>TDV</t>
        </is>
      </c>
      <c r="F301" s="23" t="n">
        <v>46268</v>
      </c>
      <c r="G301" t="inlineStr">
        <is>
          <t>provision</t>
        </is>
      </c>
      <c r="H301" s="26" t="n">
        <v>356361795</v>
      </c>
      <c r="I301" t="inlineStr">
        <is>
          <t>bajo</t>
        </is>
      </c>
      <c r="J301" t="inlineStr">
        <is>
          <t>RN-11 y RN-34: provision hasta el cupo operativo antes de bajar del 8 %</t>
        </is>
      </c>
      <c r="K301" t="inlineStr">
        <is>
          <t>Provision en la manana, antes del pagado: con el pronostico, sin provision el saldo bajaria del 8 % del cupo ese dia. Lleva el saldo de 54.638.205 a 411.000.000 COP (cupo 411.000.000). Equipo administrado por TDV.</t>
        </is>
      </c>
      <c r="L301" s="26" t="n">
        <v>411000000</v>
      </c>
      <c r="M301" s="26" t="n">
        <v>54638205</v>
      </c>
      <c r="N301" s="27">
        <f>IF(ISNUMBER(M301),M301/L301,"No aplica")</f>
        <v>0.13293967153284672</v>
      </c>
      <c r="O301" s="25">
        <f>IF(G301="provision",M301+H301,IF(G301="recoleccion",M301-H301,"No aplica"))</f>
        <v>411000000</v>
      </c>
      <c r="P301" s="26" t="n">
        <v>132024</v>
      </c>
    </row>
    <row r="302">
      <c r="A302" t="inlineStr">
        <is>
          <t>PRAGMA</t>
        </is>
      </c>
      <c r="B302" t="inlineStr">
        <is>
          <t>M1</t>
        </is>
      </c>
      <c r="C302" t="inlineStr">
        <is>
          <t>Cali</t>
        </is>
      </c>
      <c r="D302" t="inlineStr">
        <is>
          <t>2867</t>
        </is>
      </c>
      <c r="E302" t="inlineStr">
        <is>
          <t>TDV</t>
        </is>
      </c>
      <c r="F302" s="23" t="n">
        <v>46270</v>
      </c>
      <c r="G302" t="inlineStr">
        <is>
          <t>provision</t>
        </is>
      </c>
      <c r="H302" s="26" t="n">
        <v>278179829</v>
      </c>
      <c r="I302" t="inlineStr">
        <is>
          <t>bajo</t>
        </is>
      </c>
      <c r="J302" t="inlineStr">
        <is>
          <t>RN-11 y RN-34: provision hasta el cupo operativo antes de bajar del 8 %</t>
        </is>
      </c>
      <c r="K302" t="inlineStr">
        <is>
          <t>Provision en la manana, antes del pagado: con el pronostico, sin provision el saldo bajaria del 8 % del cupo ese dia. Lleva el saldo de 132.820.171 a 411.000.000 COP (cupo 411.000.000). Equipo administrado por TDV.</t>
        </is>
      </c>
      <c r="L302" s="26" t="n">
        <v>411000000</v>
      </c>
      <c r="M302" s="26" t="n">
        <v>132820171</v>
      </c>
      <c r="N302" s="27">
        <f>IF(ISNUMBER(M302),M302/L302,"No aplica")</f>
        <v>0.3231634330900243</v>
      </c>
      <c r="O302" s="25">
        <f>IF(G302="provision",M302+H302,IF(G302="recoleccion",M302-H302,"No aplica"))</f>
        <v>411000000</v>
      </c>
      <c r="P302" s="26" t="n">
        <v>106771</v>
      </c>
    </row>
    <row r="303">
      <c r="A303" t="inlineStr">
        <is>
          <t>PRAGMA</t>
        </is>
      </c>
      <c r="B303" t="inlineStr">
        <is>
          <t>M1</t>
        </is>
      </c>
      <c r="C303" t="inlineStr">
        <is>
          <t>Cali</t>
        </is>
      </c>
      <c r="D303" t="inlineStr">
        <is>
          <t>2867</t>
        </is>
      </c>
      <c r="E303" t="inlineStr">
        <is>
          <t>TDV</t>
        </is>
      </c>
      <c r="F303" s="23" t="n">
        <v>46273</v>
      </c>
      <c r="G303" t="inlineStr">
        <is>
          <t>provision</t>
        </is>
      </c>
      <c r="H303" s="26" t="n">
        <v>312303262</v>
      </c>
      <c r="I303" t="inlineStr">
        <is>
          <t>bajo</t>
        </is>
      </c>
      <c r="J303" t="inlineStr">
        <is>
          <t>RN-11 y RN-34: provision hasta el cupo operativo antes de bajar del 8 %</t>
        </is>
      </c>
      <c r="K303" t="inlineStr">
        <is>
          <t>Provision en la manana, antes del pagado: con el pronostico, sin provision el saldo bajaria del 8 % del cupo ese dia. Lleva el saldo de 98.696.738 a 411.000.000 COP (cupo 411.000.000). Equipo administrado por TDV.</t>
        </is>
      </c>
      <c r="L303" s="26" t="n">
        <v>411000000</v>
      </c>
      <c r="M303" s="26" t="n">
        <v>98696738</v>
      </c>
      <c r="N303" s="27">
        <f>IF(ISNUMBER(M303),M303/L303,"No aplica")</f>
        <v>0.2401380486618005</v>
      </c>
      <c r="O303" s="25">
        <f>IF(G303="provision",M303+H303,IF(G303="recoleccion",M303-H303,"No aplica"))</f>
        <v>411000000</v>
      </c>
      <c r="P303" s="26" t="n">
        <v>117793</v>
      </c>
    </row>
    <row r="304">
      <c r="A304" t="inlineStr">
        <is>
          <t>PRAGMA</t>
        </is>
      </c>
      <c r="B304" t="inlineStr">
        <is>
          <t>M1</t>
        </is>
      </c>
      <c r="C304" t="inlineStr">
        <is>
          <t>Cali</t>
        </is>
      </c>
      <c r="D304" t="inlineStr">
        <is>
          <t>2867</t>
        </is>
      </c>
      <c r="E304" t="inlineStr">
        <is>
          <t>TDV</t>
        </is>
      </c>
      <c r="F304" s="23" t="n">
        <v>46276</v>
      </c>
      <c r="G304" t="inlineStr">
        <is>
          <t>provision</t>
        </is>
      </c>
      <c r="H304" s="26" t="n">
        <v>288345106</v>
      </c>
      <c r="I304" t="inlineStr">
        <is>
          <t>bajo</t>
        </is>
      </c>
      <c r="J304" t="inlineStr">
        <is>
          <t>RN-11 y RN-34: provision hasta el cupo operativo antes de bajar del 8 %</t>
        </is>
      </c>
      <c r="K304" t="inlineStr">
        <is>
          <t>Provision en la manana, antes del pagado: con el pronostico, sin provision el saldo bajaria del 8 % del cupo ese dia. Lleva el saldo de 122.654.894 a 411.000.000 COP (cupo 411.000.000). Equipo administrado por TDV.</t>
        </is>
      </c>
      <c r="L304" s="26" t="n">
        <v>411000000</v>
      </c>
      <c r="M304" s="26" t="n">
        <v>122654894</v>
      </c>
      <c r="N304" s="27">
        <f>IF(ISNUMBER(M304),M304/L304,"No aplica")</f>
        <v>0.298430399026764</v>
      </c>
      <c r="O304" s="25">
        <f>IF(G304="provision",M304+H304,IF(G304="recoleccion",M304-H304,"No aplica"))</f>
        <v>411000000</v>
      </c>
      <c r="P304" s="26" t="n">
        <v>110054</v>
      </c>
    </row>
    <row r="305">
      <c r="A305" t="inlineStr">
        <is>
          <t>PRAGMA</t>
        </is>
      </c>
      <c r="B305" t="inlineStr">
        <is>
          <t>M1</t>
        </is>
      </c>
      <c r="C305" t="inlineStr">
        <is>
          <t>Cali</t>
        </is>
      </c>
      <c r="D305" t="inlineStr">
        <is>
          <t>2867</t>
        </is>
      </c>
      <c r="E305" t="inlineStr">
        <is>
          <t>TDV</t>
        </is>
      </c>
      <c r="F305" s="23" t="n">
        <v>46280</v>
      </c>
      <c r="G305" t="inlineStr">
        <is>
          <t>provision</t>
        </is>
      </c>
      <c r="H305" s="26" t="n">
        <v>357319415</v>
      </c>
      <c r="I305" t="inlineStr">
        <is>
          <t>bajo</t>
        </is>
      </c>
      <c r="J305" t="inlineStr">
        <is>
          <t>RN-11 y RN-34: provision hasta el cupo operativo antes de bajar del 8 %</t>
        </is>
      </c>
      <c r="K305" t="inlineStr">
        <is>
          <t>Provision en la manana, antes del pagado: con el pronostico, sin provision el saldo bajaria del 8 % del cupo ese dia. Lleva el saldo de 53.680.585 a 411.000.000 COP (cupo 411.000.000). Equipo administrado por TDV.</t>
        </is>
      </c>
      <c r="L305" s="26" t="n">
        <v>411000000</v>
      </c>
      <c r="M305" s="26" t="n">
        <v>53680585</v>
      </c>
      <c r="N305" s="27">
        <f>IF(ISNUMBER(M305),M305/L305,"No aplica")</f>
        <v>0.13060969586374696</v>
      </c>
      <c r="O305" s="25">
        <f>IF(G305="provision",M305+H305,IF(G305="recoleccion",M305-H305,"No aplica"))</f>
        <v>411000000</v>
      </c>
      <c r="P305" s="26" t="n">
        <v>132333</v>
      </c>
    </row>
    <row r="306">
      <c r="A306" t="inlineStr">
        <is>
          <t>PRAGMA</t>
        </is>
      </c>
      <c r="B306" t="inlineStr">
        <is>
          <t>M1</t>
        </is>
      </c>
      <c r="C306" t="inlineStr">
        <is>
          <t>Cali</t>
        </is>
      </c>
      <c r="D306" t="inlineStr">
        <is>
          <t>2899</t>
        </is>
      </c>
      <c r="E306" t="inlineStr">
        <is>
          <t>TDV</t>
        </is>
      </c>
      <c r="F306" s="23" t="n">
        <v>46269</v>
      </c>
      <c r="G306" t="inlineStr">
        <is>
          <t>provision</t>
        </is>
      </c>
      <c r="H306" s="26" t="n">
        <v>417542924</v>
      </c>
      <c r="I306" t="inlineStr">
        <is>
          <t>bajo</t>
        </is>
      </c>
      <c r="J306" t="inlineStr">
        <is>
          <t>RN-11 y RN-34: provision hasta el cupo operativo antes de bajar del 8 %</t>
        </is>
      </c>
      <c r="K306" t="inlineStr">
        <is>
          <t>Provision en la manana, antes del pagado: con el pronostico, sin provision el saldo bajaria del 8 % del cupo ese dia. Lleva el saldo de 82.457.076 a 500.000.000 COP (cupo 500.000.000). Equipo administrado por TDV.</t>
        </is>
      </c>
      <c r="L306" s="26" t="n">
        <v>500000000</v>
      </c>
      <c r="M306" s="26" t="n">
        <v>82457076</v>
      </c>
      <c r="N306" s="27">
        <f>IF(ISNUMBER(M306),M306/L306,"No aplica")</f>
        <v>0.164914152</v>
      </c>
      <c r="O306" s="25">
        <f>IF(G306="provision",M306+H306,IF(G306="recoleccion",M306-H306,"No aplica"))</f>
        <v>500000000</v>
      </c>
      <c r="P306" s="26" t="n">
        <v>153829</v>
      </c>
    </row>
    <row r="307">
      <c r="A307" t="inlineStr">
        <is>
          <t>PRAGMA</t>
        </is>
      </c>
      <c r="B307" t="inlineStr">
        <is>
          <t>M1</t>
        </is>
      </c>
      <c r="C307" t="inlineStr">
        <is>
          <t>Cali</t>
        </is>
      </c>
      <c r="D307" t="inlineStr">
        <is>
          <t>2899</t>
        </is>
      </c>
      <c r="E307" t="inlineStr">
        <is>
          <t>TDV</t>
        </is>
      </c>
      <c r="F307" s="23" t="n">
        <v>46273</v>
      </c>
      <c r="G307" t="inlineStr">
        <is>
          <t>provision</t>
        </is>
      </c>
      <c r="H307" s="26" t="n">
        <v>447297275</v>
      </c>
      <c r="I307" t="inlineStr">
        <is>
          <t>bajo</t>
        </is>
      </c>
      <c r="J307" t="inlineStr">
        <is>
          <t>RN-11 y RN-34: provision hasta el cupo operativo antes de bajar del 8 %</t>
        </is>
      </c>
      <c r="K307" t="inlineStr">
        <is>
          <t>Provision en la manana, antes del pagado: con el pronostico, sin provision el saldo bajaria del 8 % del cupo ese dia. Lleva el saldo de 52.702.725 a 500.000.000 COP (cupo 500.000.000). Equipo administrado por TDV.</t>
        </is>
      </c>
      <c r="L307" s="26" t="n">
        <v>500000000</v>
      </c>
      <c r="M307" s="26" t="n">
        <v>52702725</v>
      </c>
      <c r="N307" s="27">
        <f>IF(ISNUMBER(M307),M307/L307,"No aplica")</f>
        <v>0.10540545</v>
      </c>
      <c r="O307" s="25">
        <f>IF(G307="provision",M307+H307,IF(G307="recoleccion",M307-H307,"No aplica"))</f>
        <v>500000000</v>
      </c>
      <c r="P307" s="26" t="n">
        <v>163529</v>
      </c>
    </row>
    <row r="308">
      <c r="A308" t="inlineStr">
        <is>
          <t>PRAGMA</t>
        </is>
      </c>
      <c r="B308" t="inlineStr">
        <is>
          <t>M1</t>
        </is>
      </c>
      <c r="C308" t="inlineStr">
        <is>
          <t>Cali</t>
        </is>
      </c>
      <c r="D308" t="inlineStr">
        <is>
          <t>2899</t>
        </is>
      </c>
      <c r="E308" t="inlineStr">
        <is>
          <t>TDV</t>
        </is>
      </c>
      <c r="F308" s="23" t="n">
        <v>46278</v>
      </c>
      <c r="G308" t="inlineStr">
        <is>
          <t>provision</t>
        </is>
      </c>
      <c r="H308" s="26" t="n">
        <v>452940628</v>
      </c>
      <c r="I308" t="inlineStr">
        <is>
          <t>bajo</t>
        </is>
      </c>
      <c r="J308" t="inlineStr">
        <is>
          <t>RN-11 y RN-34: provision hasta el cupo operativo antes de bajar del 8 %</t>
        </is>
      </c>
      <c r="K308" t="inlineStr">
        <is>
          <t>Provision en la manana, antes del pagado: con el pronostico, sin provision el saldo bajaria del 8 % del cupo ese dia. Lleva el saldo de 47.059.372 a 500.000.000 COP (cupo 500.000.000). Equipo administrado por TDV.</t>
        </is>
      </c>
      <c r="L308" s="26" t="n">
        <v>500000000</v>
      </c>
      <c r="M308" s="26" t="n">
        <v>47059372</v>
      </c>
      <c r="N308" s="27">
        <f>IF(ISNUMBER(M308),M308/L308,"No aplica")</f>
        <v>0.094118744</v>
      </c>
      <c r="O308" s="25">
        <f>IF(G308="provision",M308+H308,IF(G308="recoleccion",M308-H308,"No aplica"))</f>
        <v>500000000</v>
      </c>
      <c r="P308" s="26" t="n">
        <v>224010</v>
      </c>
    </row>
    <row r="309">
      <c r="A309" t="inlineStr">
        <is>
          <t>PRAGMA</t>
        </is>
      </c>
      <c r="B309" t="inlineStr">
        <is>
          <t>M1</t>
        </is>
      </c>
      <c r="C309" t="inlineStr">
        <is>
          <t>Cali</t>
        </is>
      </c>
      <c r="D309" t="inlineStr">
        <is>
          <t>2903</t>
        </is>
      </c>
      <c r="E309" t="inlineStr">
        <is>
          <t>TDV</t>
        </is>
      </c>
      <c r="F309" s="23" t="n">
        <v>46277</v>
      </c>
      <c r="G309" t="inlineStr">
        <is>
          <t>provision</t>
        </is>
      </c>
      <c r="H309" s="26" t="n">
        <v>453382255</v>
      </c>
      <c r="I309" t="inlineStr">
        <is>
          <t>bajo</t>
        </is>
      </c>
      <c r="J309" t="inlineStr">
        <is>
          <t>RN-11 y RN-34: provision hasta el cupo operativo antes de bajar del 8 %</t>
        </is>
      </c>
      <c r="K309" t="inlineStr">
        <is>
          <t>Provision en la manana, antes del pagado: con el pronostico, sin provision el saldo bajaria del 8 % del cupo ese dia. Lleva el saldo de 46.617.745 a 500.000.000 COP (cupo 500.000.000). Equipo administrado por TDV.</t>
        </is>
      </c>
      <c r="L309" s="26" t="n">
        <v>500000000</v>
      </c>
      <c r="M309" s="26" t="n">
        <v>46617745</v>
      </c>
      <c r="N309" s="27">
        <f>IF(ISNUMBER(M309),M309/L309,"No aplica")</f>
        <v>0.09323549</v>
      </c>
      <c r="O309" s="25">
        <f>IF(G309="provision",M309+H309,IF(G309="recoleccion",M309-H309,"No aplica"))</f>
        <v>500000000</v>
      </c>
      <c r="P309" s="26" t="n">
        <v>185910</v>
      </c>
    </row>
    <row r="310">
      <c r="A310" t="inlineStr">
        <is>
          <t>PRAGMA</t>
        </is>
      </c>
      <c r="B310" t="inlineStr">
        <is>
          <t>M1</t>
        </is>
      </c>
      <c r="C310" t="inlineStr">
        <is>
          <t>Cali</t>
        </is>
      </c>
      <c r="D310" t="inlineStr">
        <is>
          <t>2904</t>
        </is>
      </c>
      <c r="E310" t="inlineStr">
        <is>
          <t>TDV</t>
        </is>
      </c>
      <c r="F310" s="23" t="n">
        <v>46273</v>
      </c>
      <c r="G310" t="inlineStr">
        <is>
          <t>provision</t>
        </is>
      </c>
      <c r="H310" s="26" t="n">
        <v>436699436</v>
      </c>
      <c r="I310" t="inlineStr">
        <is>
          <t>bajo</t>
        </is>
      </c>
      <c r="J310" t="inlineStr">
        <is>
          <t>RN-11 y RN-34: provision hasta el cupo operativo antes de bajar del 8 %</t>
        </is>
      </c>
      <c r="K310" t="inlineStr">
        <is>
          <t>Provision en la manana, antes del pagado: con el pronostico, sin provision el saldo bajaria del 8 % del cupo ese dia. Lleva el saldo de 63.300.564 a 500.000.000 COP (cupo 500.000.000). Equipo administrado por TDV.</t>
        </is>
      </c>
      <c r="L310" s="26" t="n">
        <v>500000000</v>
      </c>
      <c r="M310" s="26" t="n">
        <v>63300564</v>
      </c>
      <c r="N310" s="27">
        <f>IF(ISNUMBER(M310),M310/L310,"No aplica")</f>
        <v>0.126601128</v>
      </c>
      <c r="O310" s="25">
        <f>IF(G310="provision",M310+H310,IF(G310="recoleccion",M310-H310,"No aplica"))</f>
        <v>500000000</v>
      </c>
      <c r="P310" s="26" t="n">
        <v>179937</v>
      </c>
    </row>
    <row r="311">
      <c r="A311" t="inlineStr">
        <is>
          <t>PRAGMA</t>
        </is>
      </c>
      <c r="B311" t="inlineStr">
        <is>
          <t>M1</t>
        </is>
      </c>
      <c r="C311" t="inlineStr">
        <is>
          <t>Pasto</t>
        </is>
      </c>
      <c r="D311" t="inlineStr">
        <is>
          <t>2917</t>
        </is>
      </c>
      <c r="E311" t="inlineStr">
        <is>
          <t>TDV</t>
        </is>
      </c>
      <c r="F311" s="23" t="n">
        <v>46274</v>
      </c>
      <c r="G311" t="inlineStr">
        <is>
          <t>provision</t>
        </is>
      </c>
      <c r="H311" s="26" t="n">
        <v>423258168</v>
      </c>
      <c r="I311" t="inlineStr">
        <is>
          <t>bajo</t>
        </is>
      </c>
      <c r="J311" t="inlineStr">
        <is>
          <t>RN-11 y RN-34: provision hasta el cupo operativo antes de bajar del 8 %</t>
        </is>
      </c>
      <c r="K311" t="inlineStr">
        <is>
          <t>Provision en la manana, antes del pagado: con el pronostico, sin provision el saldo bajaria del 8 % del cupo ese dia. Lleva el saldo de 76.741.832 a 500.000.000 COP (cupo 500.000.000). Equipo administrado por TDV.</t>
        </is>
      </c>
      <c r="L311" s="26" t="n">
        <v>500000000</v>
      </c>
      <c r="M311" s="26" t="n">
        <v>76741832</v>
      </c>
      <c r="N311" s="27">
        <f>IF(ISNUMBER(M311),M311/L311,"No aplica")</f>
        <v>0.153483664</v>
      </c>
      <c r="O311" s="25">
        <f>IF(G311="provision",M311+H311,IF(G311="recoleccion",M311-H311,"No aplica"))</f>
        <v>500000000</v>
      </c>
      <c r="P311" s="26" t="n">
        <v>134071</v>
      </c>
    </row>
    <row r="312">
      <c r="A312" t="inlineStr">
        <is>
          <t>PRAGMA</t>
        </is>
      </c>
      <c r="B312" t="inlineStr">
        <is>
          <t>M1</t>
        </is>
      </c>
      <c r="C312" t="inlineStr">
        <is>
          <t>Cali</t>
        </is>
      </c>
      <c r="D312" t="inlineStr">
        <is>
          <t>2921</t>
        </is>
      </c>
      <c r="E312" t="inlineStr">
        <is>
          <t>TDV</t>
        </is>
      </c>
      <c r="F312" s="23" t="n">
        <v>46268</v>
      </c>
      <c r="G312" t="inlineStr">
        <is>
          <t>provision</t>
        </is>
      </c>
      <c r="H312" s="26" t="n">
        <v>291996994</v>
      </c>
      <c r="I312" t="inlineStr">
        <is>
          <t>bajo</t>
        </is>
      </c>
      <c r="J312" t="inlineStr">
        <is>
          <t>RN-11 y RN-34: provision hasta el cupo operativo antes de bajar del 8 %</t>
        </is>
      </c>
      <c r="K312" t="inlineStr">
        <is>
          <t>Provision en la manana, antes del pagado: con el pronostico, sin provision el saldo bajaria del 8 % del cupo ese dia. Lleva el saldo de 119.003.006 a 411.000.000 COP (cupo 411.000.000). Equipo administrado por TDV.</t>
        </is>
      </c>
      <c r="L312" s="26" t="n">
        <v>411000000</v>
      </c>
      <c r="M312" s="26" t="n">
        <v>119003006</v>
      </c>
      <c r="N312" s="27">
        <f>IF(ISNUMBER(M312),M312/L312,"No aplica")</f>
        <v>0.28954502676399024</v>
      </c>
      <c r="O312" s="25">
        <f>IF(G312="provision",M312+H312,IF(G312="recoleccion",M312-H312,"No aplica"))</f>
        <v>411000000</v>
      </c>
      <c r="P312" s="26" t="n">
        <v>102101</v>
      </c>
    </row>
    <row r="313">
      <c r="A313" t="inlineStr">
        <is>
          <t>PRAGMA</t>
        </is>
      </c>
      <c r="B313" t="inlineStr">
        <is>
          <t>M1</t>
        </is>
      </c>
      <c r="C313" t="inlineStr">
        <is>
          <t>Cali</t>
        </is>
      </c>
      <c r="D313" t="inlineStr">
        <is>
          <t>2921</t>
        </is>
      </c>
      <c r="E313" t="inlineStr">
        <is>
          <t>TDV</t>
        </is>
      </c>
      <c r="F313" s="23" t="n">
        <v>46271</v>
      </c>
      <c r="G313" t="inlineStr">
        <is>
          <t>provision</t>
        </is>
      </c>
      <c r="H313" s="26" t="n">
        <v>356878957</v>
      </c>
      <c r="I313" t="inlineStr">
        <is>
          <t>bajo</t>
        </is>
      </c>
      <c r="J313" t="inlineStr">
        <is>
          <t>RN-11 y RN-34: provision hasta el cupo operativo antes de bajar del 8 %</t>
        </is>
      </c>
      <c r="K313" t="inlineStr">
        <is>
          <t>Provision en la manana, antes del pagado: con el pronostico, sin provision el saldo bajaria del 8 % del cupo ese dia. Lleva el saldo de 54.121.043 a 411.000.000 COP (cupo 411.000.000). Equipo administrado por TDV.</t>
        </is>
      </c>
      <c r="L313" s="26" t="n">
        <v>411000000</v>
      </c>
      <c r="M313" s="26" t="n">
        <v>54121043</v>
      </c>
      <c r="N313" s="27">
        <f>IF(ISNUMBER(M313),M313/L313,"No aplica")</f>
        <v>0.1316813698296837</v>
      </c>
      <c r="O313" s="25">
        <f>IF(G313="provision",M313+H313,IF(G313="recoleccion",M313-H313,"No aplica"))</f>
        <v>411000000</v>
      </c>
      <c r="P313" s="26" t="n">
        <v>164834</v>
      </c>
    </row>
    <row r="314">
      <c r="A314" t="inlineStr">
        <is>
          <t>PRAGMA</t>
        </is>
      </c>
      <c r="B314" t="inlineStr">
        <is>
          <t>M1</t>
        </is>
      </c>
      <c r="C314" t="inlineStr">
        <is>
          <t>Cali</t>
        </is>
      </c>
      <c r="D314" t="inlineStr">
        <is>
          <t>2921</t>
        </is>
      </c>
      <c r="E314" t="inlineStr">
        <is>
          <t>TDV</t>
        </is>
      </c>
      <c r="F314" s="23" t="n">
        <v>46275</v>
      </c>
      <c r="G314" t="inlineStr">
        <is>
          <t>provision</t>
        </is>
      </c>
      <c r="H314" s="26" t="n">
        <v>361452203</v>
      </c>
      <c r="I314" t="inlineStr">
        <is>
          <t>bajo</t>
        </is>
      </c>
      <c r="J314" t="inlineStr">
        <is>
          <t>RN-11 y RN-34: provision hasta el cupo operativo antes de bajar del 8 %</t>
        </is>
      </c>
      <c r="K314" t="inlineStr">
        <is>
          <t>Provision en la manana, antes del pagado: con el pronostico, sin provision el saldo bajaria del 8 % del cupo ese dia. Lleva el saldo de 49.547.797 a 411.000.000 COP (cupo 411.000.000). Equipo administrado por TDV.</t>
        </is>
      </c>
      <c r="L314" s="26" t="n">
        <v>411000000</v>
      </c>
      <c r="M314" s="26" t="n">
        <v>49547797</v>
      </c>
      <c r="N314" s="27">
        <f>IF(ISNUMBER(M314),M314/L314,"No aplica")</f>
        <v>0.1205542506082725</v>
      </c>
      <c r="O314" s="25">
        <f>IF(G314="provision",M314+H314,IF(G314="recoleccion",M314-H314,"No aplica"))</f>
        <v>411000000</v>
      </c>
      <c r="P314" s="26" t="n">
        <v>122521</v>
      </c>
    </row>
    <row r="315">
      <c r="A315" t="inlineStr">
        <is>
          <t>PRAGMA</t>
        </is>
      </c>
      <c r="B315" t="inlineStr">
        <is>
          <t>M1</t>
        </is>
      </c>
      <c r="C315" t="inlineStr">
        <is>
          <t>Cali</t>
        </is>
      </c>
      <c r="D315" t="inlineStr">
        <is>
          <t>2921</t>
        </is>
      </c>
      <c r="E315" t="inlineStr">
        <is>
          <t>TDV</t>
        </is>
      </c>
      <c r="F315" s="23" t="n">
        <v>46279</v>
      </c>
      <c r="G315" t="inlineStr">
        <is>
          <t>provision</t>
        </is>
      </c>
      <c r="H315" s="26" t="n">
        <v>319869989</v>
      </c>
      <c r="I315" t="inlineStr">
        <is>
          <t>bajo</t>
        </is>
      </c>
      <c r="J315" t="inlineStr">
        <is>
          <t>RN-11 y RN-34: provision hasta el cupo operativo antes de bajar del 8 %</t>
        </is>
      </c>
      <c r="K315" t="inlineStr">
        <is>
          <t>Provision en la manana, antes del pagado: con el pronostico, sin provision el saldo bajaria del 8 % del cupo ese dia. Lleva el saldo de 91.130.011 a 411.000.000 COP (cupo 411.000.000). Equipo administrado por TDV.</t>
        </is>
      </c>
      <c r="L315" s="26" t="n">
        <v>411000000</v>
      </c>
      <c r="M315" s="26" t="n">
        <v>91130011</v>
      </c>
      <c r="N315" s="27">
        <f>IF(ISNUMBER(M315),M315/L315,"No aplica")</f>
        <v>0.2217275206812652</v>
      </c>
      <c r="O315" s="25">
        <f>IF(G315="provision",M315+H315,IF(G315="recoleccion",M315-H315,"No aplica"))</f>
        <v>411000000</v>
      </c>
      <c r="P315" s="26" t="n">
        <v>110296</v>
      </c>
    </row>
    <row r="316">
      <c r="A316" t="inlineStr">
        <is>
          <t>PRAGMA</t>
        </is>
      </c>
      <c r="B316" t="inlineStr">
        <is>
          <t>M1</t>
        </is>
      </c>
      <c r="C316" t="inlineStr">
        <is>
          <t>Cali</t>
        </is>
      </c>
      <c r="D316" t="inlineStr">
        <is>
          <t>2970</t>
        </is>
      </c>
      <c r="E316" t="inlineStr">
        <is>
          <t>TDV</t>
        </is>
      </c>
      <c r="F316" s="23" t="n">
        <v>46271</v>
      </c>
      <c r="G316" t="inlineStr">
        <is>
          <t>provision</t>
        </is>
      </c>
      <c r="H316" s="26" t="n">
        <v>354020835</v>
      </c>
      <c r="I316" t="inlineStr">
        <is>
          <t>bajo</t>
        </is>
      </c>
      <c r="J316" t="inlineStr">
        <is>
          <t>RN-11 y RN-34: provision hasta el cupo operativo antes de bajar del 8 %</t>
        </is>
      </c>
      <c r="K316" t="inlineStr">
        <is>
          <t>Provision en la manana, antes del pagado: con el pronostico, sin provision el saldo bajaria del 8 % del cupo ese dia. Lleva el saldo de 50.979.165 a 405.000.000 COP (cupo 405.000.000). Equipo administrado por TDV.</t>
        </is>
      </c>
      <c r="L316" s="26" t="n">
        <v>405000000</v>
      </c>
      <c r="M316" s="26" t="n">
        <v>50979165</v>
      </c>
      <c r="N316" s="27">
        <f>IF(ISNUMBER(M316),M316/L316,"No aplica")</f>
        <v>0.12587448148148148</v>
      </c>
      <c r="O316" s="25">
        <f>IF(G316="provision",M316+H316,IF(G316="recoleccion",M316-H316,"No aplica"))</f>
        <v>405000000</v>
      </c>
      <c r="P316" s="26" t="n">
        <v>155490</v>
      </c>
    </row>
    <row r="317">
      <c r="A317" t="inlineStr">
        <is>
          <t>PRAGMA</t>
        </is>
      </c>
      <c r="B317" t="inlineStr">
        <is>
          <t>M1</t>
        </is>
      </c>
      <c r="C317" t="inlineStr">
        <is>
          <t>Cali</t>
        </is>
      </c>
      <c r="D317" t="inlineStr">
        <is>
          <t>2970</t>
        </is>
      </c>
      <c r="E317" t="inlineStr">
        <is>
          <t>TDV</t>
        </is>
      </c>
      <c r="F317" s="23" t="n">
        <v>46280</v>
      </c>
      <c r="G317" t="inlineStr">
        <is>
          <t>provision</t>
        </is>
      </c>
      <c r="H317" s="26" t="n">
        <v>356327643</v>
      </c>
      <c r="I317" t="inlineStr">
        <is>
          <t>bajo</t>
        </is>
      </c>
      <c r="J317" t="inlineStr">
        <is>
          <t>RN-11 y RN-34: provision hasta el cupo operativo antes de bajar del 8 %</t>
        </is>
      </c>
      <c r="K317" t="inlineStr">
        <is>
          <t>Provision en la manana, antes del pagado: con el pronostico, sin provision el saldo bajaria del 8 % del cupo ese dia. Lleva el saldo de 48.672.357 a 405.000.000 COP (cupo 405.000.000). Equipo administrado por TDV.</t>
        </is>
      </c>
      <c r="L317" s="26" t="n">
        <v>405000000</v>
      </c>
      <c r="M317" s="26" t="n">
        <v>48672357</v>
      </c>
      <c r="N317" s="27">
        <f>IF(ISNUMBER(M317),M317/L317,"No aplica")</f>
        <v>0.12017865925925926</v>
      </c>
      <c r="O317" s="25">
        <f>IF(G317="provision",M317+H317,IF(G317="recoleccion",M317-H317,"No aplica"))</f>
        <v>405000000</v>
      </c>
      <c r="P317" s="26" t="n">
        <v>115331</v>
      </c>
    </row>
    <row r="318">
      <c r="A318" t="inlineStr">
        <is>
          <t>PRAGMA</t>
        </is>
      </c>
      <c r="B318" t="inlineStr">
        <is>
          <t>M1</t>
        </is>
      </c>
      <c r="C318" t="inlineStr">
        <is>
          <t>Cali</t>
        </is>
      </c>
      <c r="D318" t="inlineStr">
        <is>
          <t>2993</t>
        </is>
      </c>
      <c r="E318" t="inlineStr">
        <is>
          <t>TDV</t>
        </is>
      </c>
      <c r="F318" s="23" t="n">
        <v>46268</v>
      </c>
      <c r="G318" t="inlineStr">
        <is>
          <t>provision</t>
        </is>
      </c>
      <c r="H318" s="26" t="n">
        <v>294960572</v>
      </c>
      <c r="I318" t="inlineStr">
        <is>
          <t>bajo</t>
        </is>
      </c>
      <c r="J318" t="inlineStr">
        <is>
          <t>RN-11 y RN-34: provision hasta el cupo operativo antes de bajar del 8 %</t>
        </is>
      </c>
      <c r="K318" t="inlineStr">
        <is>
          <t>Provision en la manana, antes del pagado: con el pronostico, sin provision el saldo bajaria del 8 % del cupo ese dia. Lleva el saldo de 116.039.428 a 411.000.000 COP (cupo 411.000.000). Equipo administrado por TDV.</t>
        </is>
      </c>
      <c r="L318" s="26" t="n">
        <v>411000000</v>
      </c>
      <c r="M318" s="26" t="n">
        <v>116039428</v>
      </c>
      <c r="N318" s="27">
        <f>IF(ISNUMBER(M318),M318/L318,"No aplica")</f>
        <v>0.28233437469586375</v>
      </c>
      <c r="O318" s="25">
        <f>IF(G318="provision",M318+H318,IF(G318="recoleccion",M318-H318,"No aplica"))</f>
        <v>411000000</v>
      </c>
      <c r="P318" s="26" t="n">
        <v>149153</v>
      </c>
    </row>
    <row r="319">
      <c r="A319" t="inlineStr">
        <is>
          <t>PRAGMA</t>
        </is>
      </c>
      <c r="B319" t="inlineStr">
        <is>
          <t>M1</t>
        </is>
      </c>
      <c r="C319" t="inlineStr">
        <is>
          <t>Cali</t>
        </is>
      </c>
      <c r="D319" t="inlineStr">
        <is>
          <t>2993</t>
        </is>
      </c>
      <c r="E319" t="inlineStr">
        <is>
          <t>TDV</t>
        </is>
      </c>
      <c r="F319" s="23" t="n">
        <v>46271</v>
      </c>
      <c r="G319" t="inlineStr">
        <is>
          <t>provision</t>
        </is>
      </c>
      <c r="H319" s="26" t="n">
        <v>357077354</v>
      </c>
      <c r="I319" t="inlineStr">
        <is>
          <t>bajo</t>
        </is>
      </c>
      <c r="J319" t="inlineStr">
        <is>
          <t>RN-11 y RN-34: provision hasta el cupo operativo antes de bajar del 8 %</t>
        </is>
      </c>
      <c r="K319" t="inlineStr">
        <is>
          <t>Provision en la manana, antes del pagado: con el pronostico, sin provision el saldo bajaria del 8 % del cupo ese dia. Lleva el saldo de 53.922.646 a 411.000.000 COP (cupo 411.000.000). Equipo administrado por TDV.</t>
        </is>
      </c>
      <c r="L319" s="26" t="n">
        <v>411000000</v>
      </c>
      <c r="M319" s="26" t="n">
        <v>53922646</v>
      </c>
      <c r="N319" s="27">
        <f>IF(ISNUMBER(M319),M319/L319,"No aplica")</f>
        <v>0.13119865206812653</v>
      </c>
      <c r="O319" s="25">
        <f>IF(G319="provision",M319+H319,IF(G319="recoleccion",M319-H319,"No aplica"))</f>
        <v>411000000</v>
      </c>
      <c r="P319" s="26" t="n">
        <v>233599</v>
      </c>
    </row>
    <row r="320">
      <c r="A320" t="inlineStr">
        <is>
          <t>PRAGMA</t>
        </is>
      </c>
      <c r="B320" t="inlineStr">
        <is>
          <t>M1</t>
        </is>
      </c>
      <c r="C320" t="inlineStr">
        <is>
          <t>Cali</t>
        </is>
      </c>
      <c r="D320" t="inlineStr">
        <is>
          <t>2993</t>
        </is>
      </c>
      <c r="E320" t="inlineStr">
        <is>
          <t>TDV</t>
        </is>
      </c>
      <c r="F320" s="23" t="n">
        <v>46275</v>
      </c>
      <c r="G320" t="inlineStr">
        <is>
          <t>provision</t>
        </is>
      </c>
      <c r="H320" s="26" t="n">
        <v>350655171</v>
      </c>
      <c r="I320" t="inlineStr">
        <is>
          <t>bajo</t>
        </is>
      </c>
      <c r="J320" t="inlineStr">
        <is>
          <t>RN-11 y RN-34: provision hasta el cupo operativo antes de bajar del 8 %</t>
        </is>
      </c>
      <c r="K320" t="inlineStr">
        <is>
          <t>Provision en la manana, antes del pagado: con el pronostico, sin provision el saldo bajaria del 8 % del cupo ese dia. Lleva el saldo de 60.344.829 a 411.000.000 COP (cupo 411.000.000). Equipo administrado por TDV.</t>
        </is>
      </c>
      <c r="L320" s="26" t="n">
        <v>411000000</v>
      </c>
      <c r="M320" s="26" t="n">
        <v>60344829</v>
      </c>
      <c r="N320" s="27">
        <f>IF(ISNUMBER(M320),M320/L320,"No aplica")</f>
        <v>0.146824401459854</v>
      </c>
      <c r="O320" s="25">
        <f>IF(G320="provision",M320+H320,IF(G320="recoleccion",M320-H320,"No aplica"))</f>
        <v>411000000</v>
      </c>
      <c r="P320" s="26" t="n">
        <v>173770</v>
      </c>
    </row>
    <row r="321">
      <c r="A321" t="inlineStr">
        <is>
          <t>PRAGMA</t>
        </is>
      </c>
      <c r="B321" t="inlineStr">
        <is>
          <t>M1</t>
        </is>
      </c>
      <c r="C321" t="inlineStr">
        <is>
          <t>Cali</t>
        </is>
      </c>
      <c r="D321" t="inlineStr">
        <is>
          <t>2993</t>
        </is>
      </c>
      <c r="E321" t="inlineStr">
        <is>
          <t>TDV</t>
        </is>
      </c>
      <c r="F321" s="23" t="n">
        <v>46279</v>
      </c>
      <c r="G321" t="inlineStr">
        <is>
          <t>provision</t>
        </is>
      </c>
      <c r="H321" s="26" t="n">
        <v>329755387</v>
      </c>
      <c r="I321" t="inlineStr">
        <is>
          <t>bajo</t>
        </is>
      </c>
      <c r="J321" t="inlineStr">
        <is>
          <t>RN-11 y RN-34: provision hasta el cupo operativo antes de bajar del 8 %</t>
        </is>
      </c>
      <c r="K321" t="inlineStr">
        <is>
          <t>Provision en la manana, antes del pagado: con el pronostico, sin provision el saldo bajaria del 8 % del cupo ese dia. Lleva el saldo de 81.244.613 a 411.000.000 COP (cupo 411.000.000). Equipo administrado por TDV.</t>
        </is>
      </c>
      <c r="L321" s="26" t="n">
        <v>411000000</v>
      </c>
      <c r="M321" s="26" t="n">
        <v>81244613</v>
      </c>
      <c r="N321" s="27">
        <f>IF(ISNUMBER(M321),M321/L321,"No aplica")</f>
        <v>0.19767545742092457</v>
      </c>
      <c r="O321" s="25">
        <f>IF(G321="provision",M321+H321,IF(G321="recoleccion",M321-H321,"No aplica"))</f>
        <v>411000000</v>
      </c>
      <c r="P321" s="26" t="n">
        <v>164532</v>
      </c>
    </row>
    <row r="322">
      <c r="A322" t="inlineStr">
        <is>
          <t>PRAGMA</t>
        </is>
      </c>
      <c r="B322" t="inlineStr">
        <is>
          <t>M1</t>
        </is>
      </c>
      <c r="C322" t="inlineStr">
        <is>
          <t>Cali</t>
        </is>
      </c>
      <c r="D322" t="inlineStr">
        <is>
          <t>3043</t>
        </is>
      </c>
      <c r="E322" t="inlineStr">
        <is>
          <t>TDV</t>
        </is>
      </c>
      <c r="F322" s="23" t="n">
        <v>46266</v>
      </c>
      <c r="G322" t="inlineStr">
        <is>
          <t>sin_accion</t>
        </is>
      </c>
      <c r="H322" s="26" t="n">
        <v>0</v>
      </c>
      <c r="I322" t="inlineStr">
        <is>
          <t>bajo</t>
        </is>
      </c>
      <c r="J322" t="inlineStr">
        <is>
          <t>RN-02: una fila sin_accion</t>
        </is>
      </c>
      <c r="K322" t="inlineStr">
        <is>
          <t>Sin accion en el horizonte: con el pronostico, el saldo se mantiene entre el umbral de agotamiento y el cupo sin necesidad de provision ni recoleccion.</t>
        </is>
      </c>
      <c r="L322" s="26" t="n">
        <v>500000000</v>
      </c>
      <c r="M322" s="26" t="inlineStr">
        <is>
          <t>No aplica</t>
        </is>
      </c>
      <c r="N322" s="27" t="str">
        <f>IF(ISNUMBER(M322),M322/L322,"No aplica")</f>
        <v>No aplica</v>
      </c>
      <c r="O322" s="25" t="str">
        <f>IF(G322="provision",M322+H322,IF(G322="recoleccion",M322-H322,"No aplica"))</f>
        <v>No aplica</v>
      </c>
      <c r="P322" s="26" t="inlineStr">
        <is>
          <t>No aplica</t>
        </is>
      </c>
    </row>
    <row r="323">
      <c r="A323" t="inlineStr">
        <is>
          <t>PRAGMA</t>
        </is>
      </c>
      <c r="B323" t="inlineStr">
        <is>
          <t>M1</t>
        </is>
      </c>
      <c r="C323" t="inlineStr">
        <is>
          <t>Cali</t>
        </is>
      </c>
      <c r="D323" t="inlineStr">
        <is>
          <t>3049</t>
        </is>
      </c>
      <c r="E323" t="inlineStr">
        <is>
          <t>TDV</t>
        </is>
      </c>
      <c r="F323" s="23" t="n">
        <v>46270</v>
      </c>
      <c r="G323" t="inlineStr">
        <is>
          <t>provision</t>
        </is>
      </c>
      <c r="H323" s="26" t="n">
        <v>353282291</v>
      </c>
      <c r="I323" t="inlineStr">
        <is>
          <t>bajo</t>
        </is>
      </c>
      <c r="J323" t="inlineStr">
        <is>
          <t>RN-11 y RN-34: provision hasta el cupo operativo antes de bajar del 8 %</t>
        </is>
      </c>
      <c r="K323" t="inlineStr">
        <is>
          <t>Provision en la manana, antes del pagado: con el pronostico, sin provision el saldo bajaria del 8 % del cupo ese dia. Lleva el saldo de 57.717.709 a 411.000.000 COP (cupo 411.000.000). Equipo administrado por TDV.</t>
        </is>
      </c>
      <c r="L323" s="26" t="n">
        <v>411000000</v>
      </c>
      <c r="M323" s="26" t="n">
        <v>57717709</v>
      </c>
      <c r="N323" s="27">
        <f>IF(ISNUMBER(M323),M323/L323,"No aplica")</f>
        <v>0.14043238199513383</v>
      </c>
      <c r="O323" s="25">
        <f>IF(G323="provision",M323+H323,IF(G323="recoleccion",M323-H323,"No aplica"))</f>
        <v>411000000</v>
      </c>
      <c r="P323" s="26" t="n">
        <v>174931</v>
      </c>
    </row>
    <row r="324">
      <c r="A324" t="inlineStr">
        <is>
          <t>PRAGMA</t>
        </is>
      </c>
      <c r="B324" t="inlineStr">
        <is>
          <t>M1</t>
        </is>
      </c>
      <c r="C324" t="inlineStr">
        <is>
          <t>Cali</t>
        </is>
      </c>
      <c r="D324" t="inlineStr">
        <is>
          <t>3049</t>
        </is>
      </c>
      <c r="E324" t="inlineStr">
        <is>
          <t>TDV</t>
        </is>
      </c>
      <c r="F324" s="23" t="n">
        <v>46275</v>
      </c>
      <c r="G324" t="inlineStr">
        <is>
          <t>provision</t>
        </is>
      </c>
      <c r="H324" s="26" t="n">
        <v>330367656</v>
      </c>
      <c r="I324" t="inlineStr">
        <is>
          <t>bajo</t>
        </is>
      </c>
      <c r="J324" t="inlineStr">
        <is>
          <t>RN-11 y RN-34: provision hasta el cupo operativo antes de bajar del 8 %</t>
        </is>
      </c>
      <c r="K324" t="inlineStr">
        <is>
          <t>Provision en la manana, antes del pagado: con el pronostico, sin provision el saldo bajaria del 8 % del cupo ese dia. Lleva el saldo de 80.632.344 a 411.000.000 COP (cupo 411.000.000). Equipo administrado por TDV.</t>
        </is>
      </c>
      <c r="L324" s="26" t="n">
        <v>411000000</v>
      </c>
      <c r="M324" s="26" t="n">
        <v>80632344</v>
      </c>
      <c r="N324" s="27">
        <f>IF(ISNUMBER(M324),M324/L324,"No aplica")</f>
        <v>0.1961857518248175</v>
      </c>
      <c r="O324" s="25">
        <f>IF(G324="provision",M324+H324,IF(G324="recoleccion",M324-H324,"No aplica"))</f>
        <v>411000000</v>
      </c>
      <c r="P324" s="26" t="n">
        <v>164803</v>
      </c>
    </row>
    <row r="325">
      <c r="A325" t="inlineStr">
        <is>
          <t>PRAGMA</t>
        </is>
      </c>
      <c r="B325" t="inlineStr">
        <is>
          <t>M1</t>
        </is>
      </c>
      <c r="C325" t="inlineStr">
        <is>
          <t>Cali</t>
        </is>
      </c>
      <c r="D325" t="inlineStr">
        <is>
          <t>3049</t>
        </is>
      </c>
      <c r="E325" t="inlineStr">
        <is>
          <t>TDV</t>
        </is>
      </c>
      <c r="F325" s="23" t="n">
        <v>46280</v>
      </c>
      <c r="G325" t="inlineStr">
        <is>
          <t>provision</t>
        </is>
      </c>
      <c r="H325" s="26" t="n">
        <v>318759333</v>
      </c>
      <c r="I325" t="inlineStr">
        <is>
          <t>bajo</t>
        </is>
      </c>
      <c r="J325" t="inlineStr">
        <is>
          <t>RN-11 y RN-34: provision hasta el cupo operativo antes de bajar del 8 %</t>
        </is>
      </c>
      <c r="K325" t="inlineStr">
        <is>
          <t>Provision en la manana, antes del pagado: con el pronostico, sin provision el saldo bajaria del 8 % del cupo ese dia. Lleva el saldo de 92.240.667 a 411.000.000 COP (cupo 411.000.000). Equipo administrado por TDV.</t>
        </is>
      </c>
      <c r="L325" s="26" t="n">
        <v>411000000</v>
      </c>
      <c r="M325" s="26" t="n">
        <v>92240667</v>
      </c>
      <c r="N325" s="27">
        <f>IF(ISNUMBER(M325),M325/L325,"No aplica")</f>
        <v>0.22442984671532848</v>
      </c>
      <c r="O325" s="25">
        <f>IF(G325="provision",M325+H325,IF(G325="recoleccion",M325-H325,"No aplica"))</f>
        <v>411000000</v>
      </c>
      <c r="P325" s="26" t="n">
        <v>159672</v>
      </c>
    </row>
    <row r="326">
      <c r="A326" t="inlineStr">
        <is>
          <t>PRAGMA</t>
        </is>
      </c>
      <c r="B326" t="inlineStr">
        <is>
          <t>M1</t>
        </is>
      </c>
      <c r="C326" t="inlineStr">
        <is>
          <t>Cali</t>
        </is>
      </c>
      <c r="D326" t="inlineStr">
        <is>
          <t>3055</t>
        </is>
      </c>
      <c r="E326" t="inlineStr">
        <is>
          <t>TDV</t>
        </is>
      </c>
      <c r="F326" s="23" t="n">
        <v>46268</v>
      </c>
      <c r="G326" t="inlineStr">
        <is>
          <t>provision</t>
        </is>
      </c>
      <c r="H326" s="26" t="n">
        <v>320562194</v>
      </c>
      <c r="I326" t="inlineStr">
        <is>
          <t>bajo</t>
        </is>
      </c>
      <c r="J326" t="inlineStr">
        <is>
          <t>RN-11 y RN-34: provision hasta el cupo operativo antes de bajar del 8 %</t>
        </is>
      </c>
      <c r="K326" t="inlineStr">
        <is>
          <t>Provision en la manana, antes del pagado: con el pronostico, sin provision el saldo bajaria del 8 % del cupo ese dia. Lleva el saldo de 90.437.806 a 411.000.000 COP (cupo 411.000.000). Equipo administrado por TDV.</t>
        </is>
      </c>
      <c r="L326" s="26" t="n">
        <v>411000000</v>
      </c>
      <c r="M326" s="26" t="n">
        <v>90437806</v>
      </c>
      <c r="N326" s="27">
        <f>IF(ISNUMBER(M326),M326/L326,"No aplica")</f>
        <v>0.22004332360097323</v>
      </c>
      <c r="O326" s="25">
        <f>IF(G326="provision",M326+H326,IF(G326="recoleccion",M326-H326,"No aplica"))</f>
        <v>411000000</v>
      </c>
      <c r="P326" s="26" t="n">
        <v>117678</v>
      </c>
    </row>
    <row r="327">
      <c r="A327" t="inlineStr">
        <is>
          <t>PRAGMA</t>
        </is>
      </c>
      <c r="B327" t="inlineStr">
        <is>
          <t>M1</t>
        </is>
      </c>
      <c r="C327" t="inlineStr">
        <is>
          <t>Cali</t>
        </is>
      </c>
      <c r="D327" t="inlineStr">
        <is>
          <t>3055</t>
        </is>
      </c>
      <c r="E327" t="inlineStr">
        <is>
          <t>TDV</t>
        </is>
      </c>
      <c r="F327" s="23" t="n">
        <v>46270</v>
      </c>
      <c r="G327" t="inlineStr">
        <is>
          <t>provision</t>
        </is>
      </c>
      <c r="H327" s="26" t="n">
        <v>248140906</v>
      </c>
      <c r="I327" t="inlineStr">
        <is>
          <t>bajo</t>
        </is>
      </c>
      <c r="J327" t="inlineStr">
        <is>
          <t>RN-11 y RN-34: provision hasta el cupo operativo antes de bajar del 8 %</t>
        </is>
      </c>
      <c r="K327" t="inlineStr">
        <is>
          <t>Provision en la manana, antes del pagado: con el pronostico, sin provision el saldo bajaria del 8 % del cupo ese dia. Lleva el saldo de 162.859.094 a 411.000.000 COP (cupo 411.000.000). Equipo administrado por TDV.</t>
        </is>
      </c>
      <c r="L327" s="26" t="n">
        <v>411000000</v>
      </c>
      <c r="M327" s="26" t="n">
        <v>162859094</v>
      </c>
      <c r="N327" s="27">
        <f>IF(ISNUMBER(M327),M327/L327,"No aplica")</f>
        <v>0.39625083698296837</v>
      </c>
      <c r="O327" s="25">
        <f>IF(G327="provision",M327+H327,IF(G327="recoleccion",M327-H327,"No aplica"))</f>
        <v>411000000</v>
      </c>
      <c r="P327" s="26" t="n">
        <v>95010</v>
      </c>
    </row>
    <row r="328">
      <c r="A328" t="inlineStr">
        <is>
          <t>PRAGMA</t>
        </is>
      </c>
      <c r="B328" t="inlineStr">
        <is>
          <t>M1</t>
        </is>
      </c>
      <c r="C328" t="inlineStr">
        <is>
          <t>Cali</t>
        </is>
      </c>
      <c r="D328" t="inlineStr">
        <is>
          <t>3055</t>
        </is>
      </c>
      <c r="E328" t="inlineStr">
        <is>
          <t>TDV</t>
        </is>
      </c>
      <c r="F328" s="23" t="n">
        <v>46273</v>
      </c>
      <c r="G328" t="inlineStr">
        <is>
          <t>provision</t>
        </is>
      </c>
      <c r="H328" s="26" t="n">
        <v>334924558</v>
      </c>
      <c r="I328" t="inlineStr">
        <is>
          <t>bajo</t>
        </is>
      </c>
      <c r="J328" t="inlineStr">
        <is>
          <t>RN-11 y RN-34: provision hasta el cupo operativo antes de bajar del 8 %</t>
        </is>
      </c>
      <c r="K328" t="inlineStr">
        <is>
          <t>Provision en la manana, antes del pagado: con el pronostico, sin provision el saldo bajaria del 8 % del cupo ese dia. Lleva el saldo de 76.075.442 a 411.000.000 COP (cupo 411.000.000). Equipo administrado por TDV.</t>
        </is>
      </c>
      <c r="L328" s="26" t="n">
        <v>411000000</v>
      </c>
      <c r="M328" s="26" t="n">
        <v>76075442</v>
      </c>
      <c r="N328" s="27">
        <f>IF(ISNUMBER(M328),M328/L328,"No aplica")</f>
        <v>0.18509839902676398</v>
      </c>
      <c r="O328" s="25">
        <f>IF(G328="provision",M328+H328,IF(G328="recoleccion",M328-H328,"No aplica"))</f>
        <v>411000000</v>
      </c>
      <c r="P328" s="26" t="n">
        <v>122173</v>
      </c>
    </row>
    <row r="329">
      <c r="A329" t="inlineStr">
        <is>
          <t>PRAGMA</t>
        </is>
      </c>
      <c r="B329" t="inlineStr">
        <is>
          <t>M1</t>
        </is>
      </c>
      <c r="C329" t="inlineStr">
        <is>
          <t>Cali</t>
        </is>
      </c>
      <c r="D329" t="inlineStr">
        <is>
          <t>3055</t>
        </is>
      </c>
      <c r="E329" t="inlineStr">
        <is>
          <t>TDV</t>
        </is>
      </c>
      <c r="F329" s="23" t="n">
        <v>46277</v>
      </c>
      <c r="G329" t="inlineStr">
        <is>
          <t>provision</t>
        </is>
      </c>
      <c r="H329" s="26" t="n">
        <v>348932054</v>
      </c>
      <c r="I329" t="inlineStr">
        <is>
          <t>bajo</t>
        </is>
      </c>
      <c r="J329" t="inlineStr">
        <is>
          <t>RN-11 y RN-34: provision hasta el cupo operativo antes de bajar del 8 %</t>
        </is>
      </c>
      <c r="K329" t="inlineStr">
        <is>
          <t>Provision en la manana, antes del pagado: con el pronostico, sin provision el saldo bajaria del 8 % del cupo ese dia. Lleva el saldo de 62.067.946 a 411.000.000 COP (cupo 411.000.000). Equipo administrado por TDV.</t>
        </is>
      </c>
      <c r="L329" s="26" t="n">
        <v>411000000</v>
      </c>
      <c r="M329" s="26" t="n">
        <v>62067946</v>
      </c>
      <c r="N329" s="27">
        <f>IF(ISNUMBER(M329),M329/L329,"No aplica")</f>
        <v>0.151016900243309</v>
      </c>
      <c r="O329" s="25">
        <f>IF(G329="provision",M329+H329,IF(G329="recoleccion",M329-H329,"No aplica"))</f>
        <v>411000000</v>
      </c>
      <c r="P329" s="26" t="n">
        <v>126558</v>
      </c>
    </row>
    <row r="330">
      <c r="A330" t="inlineStr">
        <is>
          <t>PRAGMA</t>
        </is>
      </c>
      <c r="B330" t="inlineStr">
        <is>
          <t>M1</t>
        </is>
      </c>
      <c r="C330" t="inlineStr">
        <is>
          <t>Cali</t>
        </is>
      </c>
      <c r="D330" t="inlineStr">
        <is>
          <t>3055</t>
        </is>
      </c>
      <c r="E330" t="inlineStr">
        <is>
          <t>TDV</t>
        </is>
      </c>
      <c r="F330" s="23" t="n">
        <v>46280</v>
      </c>
      <c r="G330" t="inlineStr">
        <is>
          <t>provision</t>
        </is>
      </c>
      <c r="H330" s="26" t="n">
        <v>290969894</v>
      </c>
      <c r="I330" t="inlineStr">
        <is>
          <t>bajo</t>
        </is>
      </c>
      <c r="J330" t="inlineStr">
        <is>
          <t>RN-11 y RN-34: provision hasta el cupo operativo antes de bajar del 8 %</t>
        </is>
      </c>
      <c r="K330" t="inlineStr">
        <is>
          <t>Provision en la manana, antes del pagado: con el pronostico, sin provision el saldo bajaria del 8 % del cupo ese dia. Lleva el saldo de 120.030.106 a 411.000.000 COP (cupo 411.000.000). Equipo administrado por TDV.</t>
        </is>
      </c>
      <c r="L330" s="26" t="n">
        <v>411000000</v>
      </c>
      <c r="M330" s="26" t="n">
        <v>120030106</v>
      </c>
      <c r="N330" s="27">
        <f>IF(ISNUMBER(M330),M330/L330,"No aplica")</f>
        <v>0.2920440535279805</v>
      </c>
      <c r="O330" s="25">
        <f>IF(G330="provision",M330+H330,IF(G330="recoleccion",M330-H330,"No aplica"))</f>
        <v>411000000</v>
      </c>
      <c r="P330" s="26" t="n">
        <v>108416</v>
      </c>
    </row>
    <row r="331">
      <c r="A331" t="inlineStr">
        <is>
          <t>PRAGMA</t>
        </is>
      </c>
      <c r="B331" t="inlineStr">
        <is>
          <t>M1</t>
        </is>
      </c>
      <c r="C331" t="inlineStr">
        <is>
          <t>Cali</t>
        </is>
      </c>
      <c r="D331" t="inlineStr">
        <is>
          <t>3099</t>
        </is>
      </c>
      <c r="E331" t="inlineStr">
        <is>
          <t>TDV</t>
        </is>
      </c>
      <c r="F331" s="23" t="n">
        <v>46266</v>
      </c>
      <c r="G331" t="inlineStr">
        <is>
          <t>sin_accion</t>
        </is>
      </c>
      <c r="H331" s="26" t="n">
        <v>0</v>
      </c>
      <c r="I331" t="inlineStr">
        <is>
          <t>bajo</t>
        </is>
      </c>
      <c r="J331" t="inlineStr">
        <is>
          <t>RN-02: una fila sin_accion</t>
        </is>
      </c>
      <c r="K331" t="inlineStr">
        <is>
          <t>Sin accion en el horizonte: con el pronostico, el saldo se mantiene entre el umbral de agotamiento y el cupo sin necesidad de provision ni recoleccion.</t>
        </is>
      </c>
      <c r="L331" s="26" t="n">
        <v>500000000</v>
      </c>
      <c r="M331" s="26" t="inlineStr">
        <is>
          <t>No aplica</t>
        </is>
      </c>
      <c r="N331" s="27" t="str">
        <f>IF(ISNUMBER(M331),M331/L331,"No aplica")</f>
        <v>No aplica</v>
      </c>
      <c r="O331" s="25" t="str">
        <f>IF(G331="provision",M331+H331,IF(G331="recoleccion",M331-H331,"No aplica"))</f>
        <v>No aplica</v>
      </c>
      <c r="P331" s="26" t="inlineStr">
        <is>
          <t>No aplica</t>
        </is>
      </c>
    </row>
    <row r="332">
      <c r="A332" t="inlineStr">
        <is>
          <t>PRAGMA</t>
        </is>
      </c>
      <c r="B332" t="inlineStr">
        <is>
          <t>M1</t>
        </is>
      </c>
      <c r="C332" t="inlineStr">
        <is>
          <t>Cali</t>
        </is>
      </c>
      <c r="D332" t="inlineStr">
        <is>
          <t>310</t>
        </is>
      </c>
      <c r="E332" t="inlineStr">
        <is>
          <t>TDV</t>
        </is>
      </c>
      <c r="F332" s="23" t="n">
        <v>46271</v>
      </c>
      <c r="G332" t="inlineStr">
        <is>
          <t>provision</t>
        </is>
      </c>
      <c r="H332" s="26" t="n">
        <v>363896755</v>
      </c>
      <c r="I332" t="inlineStr">
        <is>
          <t>bajo</t>
        </is>
      </c>
      <c r="J332" t="inlineStr">
        <is>
          <t>RN-11 y RN-34: provision hasta el cupo operativo antes de bajar del 8 %</t>
        </is>
      </c>
      <c r="K332" t="inlineStr">
        <is>
          <t>Provision en la manana, antes del pagado: con el pronostico, sin provision el saldo bajaria del 8 % del cupo ese dia. Lleva el saldo de 47.103.245 a 411.000.000 COP (cupo 411.000.000). Equipo administrado por TDV.</t>
        </is>
      </c>
      <c r="L332" s="26" t="n">
        <v>411000000</v>
      </c>
      <c r="M332" s="26" t="n">
        <v>47103245</v>
      </c>
      <c r="N332" s="27">
        <f>IF(ISNUMBER(M332),M332/L332,"No aplica")</f>
        <v>0.11460643552311435</v>
      </c>
      <c r="O332" s="25">
        <f>IF(G332="provision",M332+H332,IF(G332="recoleccion",M332-H332,"No aplica"))</f>
        <v>411000000</v>
      </c>
      <c r="P332" s="26" t="n">
        <v>265082</v>
      </c>
    </row>
    <row r="333">
      <c r="A333" t="inlineStr">
        <is>
          <t>PRAGMA</t>
        </is>
      </c>
      <c r="B333" t="inlineStr">
        <is>
          <t>M1</t>
        </is>
      </c>
      <c r="C333" t="inlineStr">
        <is>
          <t>Cali</t>
        </is>
      </c>
      <c r="D333" t="inlineStr">
        <is>
          <t>310</t>
        </is>
      </c>
      <c r="E333" t="inlineStr">
        <is>
          <t>TDV</t>
        </is>
      </c>
      <c r="F333" s="23" t="n">
        <v>46279</v>
      </c>
      <c r="G333" t="inlineStr">
        <is>
          <t>provision</t>
        </is>
      </c>
      <c r="H333" s="26" t="n">
        <v>369606929</v>
      </c>
      <c r="I333" t="inlineStr">
        <is>
          <t>bajo</t>
        </is>
      </c>
      <c r="J333" t="inlineStr">
        <is>
          <t>RN-11 y RN-34: provision hasta el cupo operativo antes de bajar del 8 %</t>
        </is>
      </c>
      <c r="K333" t="inlineStr">
        <is>
          <t>Provision en la manana, antes del pagado: con el pronostico, sin provision el saldo bajaria del 8 % del cupo ese dia. Lleva el saldo de 41.393.071 a 411.000.000 COP (cupo 411.000.000). Equipo administrado por TDV.</t>
        </is>
      </c>
      <c r="L333" s="26" t="n">
        <v>411000000</v>
      </c>
      <c r="M333" s="26" t="n">
        <v>41393071</v>
      </c>
      <c r="N333" s="27">
        <f>IF(ISNUMBER(M333),M333/L333,"No aplica")</f>
        <v>0.10071306812652069</v>
      </c>
      <c r="O333" s="25">
        <f>IF(G333="provision",M333+H333,IF(G333="recoleccion",M333-H333,"No aplica"))</f>
        <v>411000000</v>
      </c>
      <c r="P333" s="26" t="n">
        <v>195131</v>
      </c>
    </row>
    <row r="334">
      <c r="A334" t="inlineStr">
        <is>
          <t>PRAGMA</t>
        </is>
      </c>
      <c r="B334" t="inlineStr">
        <is>
          <t>M1</t>
        </is>
      </c>
      <c r="C334" t="inlineStr">
        <is>
          <t>Cali</t>
        </is>
      </c>
      <c r="D334" t="inlineStr">
        <is>
          <t>3136</t>
        </is>
      </c>
      <c r="E334" t="inlineStr">
        <is>
          <t>Sucursal</t>
        </is>
      </c>
      <c r="F334" s="23" t="n">
        <v>46268</v>
      </c>
      <c r="G334" t="inlineStr">
        <is>
          <t>provision</t>
        </is>
      </c>
      <c r="H334" s="26" t="n">
        <v>327226910</v>
      </c>
      <c r="I334" t="inlineStr">
        <is>
          <t>bajo</t>
        </is>
      </c>
      <c r="J334" t="inlineStr">
        <is>
          <t>RN-11 y RN-34: provision hasta el cupo operativo antes de bajar del 8 %</t>
        </is>
      </c>
      <c r="K334" t="inlineStr">
        <is>
          <t>Provision en la manana, antes del pagado: con el pronostico, sin provision el saldo bajaria del 8 % del cupo ese dia. Lleva el saldo de 122.773.090 a 450.000.000 COP (cupo 450.000.000). Equipo administrado por Sucursal. Sin tarifa TDV (administrado por la sucursal): costo 0 declarado.</t>
        </is>
      </c>
      <c r="L334" s="26" t="n">
        <v>450000000</v>
      </c>
      <c r="M334" s="26" t="n">
        <v>122773090</v>
      </c>
      <c r="N334" s="27">
        <f>IF(ISNUMBER(M334),M334/L334,"No aplica")</f>
        <v>0.2728290888888889</v>
      </c>
      <c r="O334" s="25">
        <f>IF(G334="provision",M334+H334,IF(G334="recoleccion",M334-H334,"No aplica"))</f>
        <v>450000000</v>
      </c>
      <c r="P334" s="26" t="n">
        <v>0</v>
      </c>
    </row>
    <row r="335">
      <c r="A335" t="inlineStr">
        <is>
          <t>PRAGMA</t>
        </is>
      </c>
      <c r="B335" t="inlineStr">
        <is>
          <t>M1</t>
        </is>
      </c>
      <c r="C335" t="inlineStr">
        <is>
          <t>Cali</t>
        </is>
      </c>
      <c r="D335" t="inlineStr">
        <is>
          <t>3136</t>
        </is>
      </c>
      <c r="E335" t="inlineStr">
        <is>
          <t>Sucursal</t>
        </is>
      </c>
      <c r="F335" s="23" t="n">
        <v>46271</v>
      </c>
      <c r="G335" t="inlineStr">
        <is>
          <t>provision</t>
        </is>
      </c>
      <c r="H335" s="26" t="n">
        <v>399821672</v>
      </c>
      <c r="I335" t="inlineStr">
        <is>
          <t>bajo</t>
        </is>
      </c>
      <c r="J335" t="inlineStr">
        <is>
          <t>RN-11 y RN-34: provision hasta el cupo operativo antes de bajar del 8 %</t>
        </is>
      </c>
      <c r="K335" t="inlineStr">
        <is>
          <t>Provision en la manana, antes del pagado: con el pronostico, sin provision el saldo bajaria del 8 % del cupo ese dia. Lleva el saldo de 50.178.328 a 450.000.000 COP (cupo 450.000.000). Equipo administrado por Sucursal. Sin tarifa TDV (administrado por la sucursal): costo 0 declarado.</t>
        </is>
      </c>
      <c r="L335" s="26" t="n">
        <v>450000000</v>
      </c>
      <c r="M335" s="26" t="n">
        <v>50178328</v>
      </c>
      <c r="N335" s="27">
        <f>IF(ISNUMBER(M335),M335/L335,"No aplica")</f>
        <v>0.11150739555555556</v>
      </c>
      <c r="O335" s="25">
        <f>IF(G335="provision",M335+H335,IF(G335="recoleccion",M335-H335,"No aplica"))</f>
        <v>450000000</v>
      </c>
      <c r="P335" s="26" t="n">
        <v>0</v>
      </c>
    </row>
    <row r="336">
      <c r="A336" t="inlineStr">
        <is>
          <t>PRAGMA</t>
        </is>
      </c>
      <c r="B336" t="inlineStr">
        <is>
          <t>M1</t>
        </is>
      </c>
      <c r="C336" t="inlineStr">
        <is>
          <t>Cali</t>
        </is>
      </c>
      <c r="D336" t="inlineStr">
        <is>
          <t>3136</t>
        </is>
      </c>
      <c r="E336" t="inlineStr">
        <is>
          <t>Sucursal</t>
        </is>
      </c>
      <c r="F336" s="23" t="n">
        <v>46275</v>
      </c>
      <c r="G336" t="inlineStr">
        <is>
          <t>provision</t>
        </is>
      </c>
      <c r="H336" s="26" t="n">
        <v>396218211</v>
      </c>
      <c r="I336" t="inlineStr">
        <is>
          <t>bajo</t>
        </is>
      </c>
      <c r="J336" t="inlineStr">
        <is>
          <t>RN-11 y RN-34: provision hasta el cupo operativo antes de bajar del 8 %</t>
        </is>
      </c>
      <c r="K336" t="inlineStr">
        <is>
          <t>Provision en la manana, antes del pagado: con el pronostico, sin provision el saldo bajaria del 8 % del cupo ese dia. Lleva el saldo de 53.781.789 a 450.000.000 COP (cupo 450.000.000). Equipo administrado por Sucursal. Sin tarifa TDV (administrado por la sucursal): costo 0 declarado.</t>
        </is>
      </c>
      <c r="L336" s="26" t="n">
        <v>450000000</v>
      </c>
      <c r="M336" s="26" t="n">
        <v>53781789</v>
      </c>
      <c r="N336" s="27">
        <f>IF(ISNUMBER(M336),M336/L336,"No aplica")</f>
        <v>0.11951508666666667</v>
      </c>
      <c r="O336" s="25">
        <f>IF(G336="provision",M336+H336,IF(G336="recoleccion",M336-H336,"No aplica"))</f>
        <v>450000000</v>
      </c>
      <c r="P336" s="26" t="n">
        <v>0</v>
      </c>
    </row>
    <row r="337">
      <c r="A337" t="inlineStr">
        <is>
          <t>PRAGMA</t>
        </is>
      </c>
      <c r="B337" t="inlineStr">
        <is>
          <t>M1</t>
        </is>
      </c>
      <c r="C337" t="inlineStr">
        <is>
          <t>Cali</t>
        </is>
      </c>
      <c r="D337" t="inlineStr">
        <is>
          <t>3136</t>
        </is>
      </c>
      <c r="E337" t="inlineStr">
        <is>
          <t>Sucursal</t>
        </is>
      </c>
      <c r="F337" s="23" t="n">
        <v>46279</v>
      </c>
      <c r="G337" t="inlineStr">
        <is>
          <t>provision</t>
        </is>
      </c>
      <c r="H337" s="26" t="n">
        <v>372578419</v>
      </c>
      <c r="I337" t="inlineStr">
        <is>
          <t>bajo</t>
        </is>
      </c>
      <c r="J337" t="inlineStr">
        <is>
          <t>RN-11 y RN-34: provision hasta el cupo operativo antes de bajar del 8 %</t>
        </is>
      </c>
      <c r="K337" t="inlineStr">
        <is>
          <t>Provision en la manana, antes del pagado: con el pronostico, sin provision el saldo bajaria del 8 % del cupo ese dia. Lleva el saldo de 77.421.581 a 450.000.000 COP (cupo 450.000.000). Equipo administrado por Sucursal. Sin tarifa TDV (administrado por la sucursal): costo 0 declarado.</t>
        </is>
      </c>
      <c r="L337" s="26" t="n">
        <v>450000000</v>
      </c>
      <c r="M337" s="26" t="n">
        <v>77421581</v>
      </c>
      <c r="N337" s="27">
        <f>IF(ISNUMBER(M337),M337/L337,"No aplica")</f>
        <v>0.1720479577777778</v>
      </c>
      <c r="O337" s="25">
        <f>IF(G337="provision",M337+H337,IF(G337="recoleccion",M337-H337,"No aplica"))</f>
        <v>450000000</v>
      </c>
      <c r="P337" s="26" t="n">
        <v>0</v>
      </c>
    </row>
    <row r="338">
      <c r="A338" t="inlineStr">
        <is>
          <t>PRAGMA</t>
        </is>
      </c>
      <c r="B338" t="inlineStr">
        <is>
          <t>M1</t>
        </is>
      </c>
      <c r="C338" t="inlineStr">
        <is>
          <t>Cali</t>
        </is>
      </c>
      <c r="D338" t="inlineStr">
        <is>
          <t>3167</t>
        </is>
      </c>
      <c r="E338" t="inlineStr">
        <is>
          <t>TDV</t>
        </is>
      </c>
      <c r="F338" s="23" t="n">
        <v>46268</v>
      </c>
      <c r="G338" t="inlineStr">
        <is>
          <t>provision</t>
        </is>
      </c>
      <c r="H338" s="26" t="n">
        <v>345182679</v>
      </c>
      <c r="I338" t="inlineStr">
        <is>
          <t>bajo</t>
        </is>
      </c>
      <c r="J338" t="inlineStr">
        <is>
          <t>RN-11 y RN-34: provision hasta el cupo operativo antes de bajar del 8 %</t>
        </is>
      </c>
      <c r="K338" t="inlineStr">
        <is>
          <t>Provision en la manana, antes del pagado: con el pronostico, sin provision el saldo bajaria del 8 % del cupo ese dia. Lleva el saldo de 65.817.321 a 411.000.000 COP (cupo 411.000.000). Equipo administrado por TDV.</t>
        </is>
      </c>
      <c r="L338" s="26" t="n">
        <v>411000000</v>
      </c>
      <c r="M338" s="26" t="n">
        <v>65817321</v>
      </c>
      <c r="N338" s="27">
        <f>IF(ISNUMBER(M338),M338/L338,"No aplica")</f>
        <v>0.16013946715328467</v>
      </c>
      <c r="O338" s="25">
        <f>IF(G338="provision",M338+H338,IF(G338="recoleccion",M338-H338,"No aplica"))</f>
        <v>411000000</v>
      </c>
      <c r="P338" s="26" t="n">
        <v>197250</v>
      </c>
    </row>
    <row r="339">
      <c r="A339" t="inlineStr">
        <is>
          <t>PRAGMA</t>
        </is>
      </c>
      <c r="B339" t="inlineStr">
        <is>
          <t>M1</t>
        </is>
      </c>
      <c r="C339" t="inlineStr">
        <is>
          <t>Cali</t>
        </is>
      </c>
      <c r="D339" t="inlineStr">
        <is>
          <t>3167</t>
        </is>
      </c>
      <c r="E339" t="inlineStr">
        <is>
          <t>TDV</t>
        </is>
      </c>
      <c r="F339" s="23" t="n">
        <v>46270</v>
      </c>
      <c r="G339" t="inlineStr">
        <is>
          <t>provision</t>
        </is>
      </c>
      <c r="H339" s="26" t="n">
        <v>282324611</v>
      </c>
      <c r="I339" t="inlineStr">
        <is>
          <t>bajo</t>
        </is>
      </c>
      <c r="J339" t="inlineStr">
        <is>
          <t>RN-11 y RN-34: provision hasta el cupo operativo antes de bajar del 8 %</t>
        </is>
      </c>
      <c r="K339" t="inlineStr">
        <is>
          <t>Provision en la manana, antes del pagado: con el pronostico, sin provision el saldo bajaria del 8 % del cupo ese dia. Lleva el saldo de 128.675.389 a 411.000.000 COP (cupo 411.000.000). Equipo administrado por TDV.</t>
        </is>
      </c>
      <c r="L339" s="26" t="n">
        <v>411000000</v>
      </c>
      <c r="M339" s="26" t="n">
        <v>128675389</v>
      </c>
      <c r="N339" s="27">
        <f>IF(ISNUMBER(M339),M339/L339,"No aplica")</f>
        <v>0.31307880535279803</v>
      </c>
      <c r="O339" s="25">
        <f>IF(G339="provision",M339+H339,IF(G339="recoleccion",M339-H339,"No aplica"))</f>
        <v>411000000</v>
      </c>
      <c r="P339" s="26" t="n">
        <v>172736</v>
      </c>
    </row>
    <row r="340">
      <c r="A340" t="inlineStr">
        <is>
          <t>PRAGMA</t>
        </is>
      </c>
      <c r="B340" t="inlineStr">
        <is>
          <t>M1</t>
        </is>
      </c>
      <c r="C340" t="inlineStr">
        <is>
          <t>Cali</t>
        </is>
      </c>
      <c r="D340" t="inlineStr">
        <is>
          <t>3167</t>
        </is>
      </c>
      <c r="E340" t="inlineStr">
        <is>
          <t>TDV</t>
        </is>
      </c>
      <c r="F340" s="23" t="n">
        <v>46273</v>
      </c>
      <c r="G340" t="inlineStr">
        <is>
          <t>provision</t>
        </is>
      </c>
      <c r="H340" s="26" t="n">
        <v>350695780</v>
      </c>
      <c r="I340" t="inlineStr">
        <is>
          <t>bajo</t>
        </is>
      </c>
      <c r="J340" t="inlineStr">
        <is>
          <t>RN-11 y RN-34: provision hasta el cupo operativo antes de bajar del 8 %</t>
        </is>
      </c>
      <c r="K340" t="inlineStr">
        <is>
          <t>Provision en la manana, antes del pagado: con el pronostico, sin provision el saldo bajaria del 8 % del cupo ese dia. Lleva el saldo de 60.304.220 a 411.000.000 COP (cupo 411.000.000). Equipo administrado por TDV.</t>
        </is>
      </c>
      <c r="L340" s="26" t="n">
        <v>411000000</v>
      </c>
      <c r="M340" s="26" t="n">
        <v>60304220</v>
      </c>
      <c r="N340" s="27">
        <f>IF(ISNUMBER(M340),M340/L340,"No aplica")</f>
        <v>0.14672559610705596</v>
      </c>
      <c r="O340" s="25">
        <f>IF(G340="provision",M340+H340,IF(G340="recoleccion",M340-H340,"No aplica"))</f>
        <v>411000000</v>
      </c>
      <c r="P340" s="26" t="n">
        <v>199400</v>
      </c>
    </row>
    <row r="341">
      <c r="A341" t="inlineStr">
        <is>
          <t>PRAGMA</t>
        </is>
      </c>
      <c r="B341" t="inlineStr">
        <is>
          <t>M1</t>
        </is>
      </c>
      <c r="C341" t="inlineStr">
        <is>
          <t>Cali</t>
        </is>
      </c>
      <c r="D341" t="inlineStr">
        <is>
          <t>3167</t>
        </is>
      </c>
      <c r="E341" t="inlineStr">
        <is>
          <t>TDV</t>
        </is>
      </c>
      <c r="F341" s="23" t="n">
        <v>46276</v>
      </c>
      <c r="G341" t="inlineStr">
        <is>
          <t>provision</t>
        </is>
      </c>
      <c r="H341" s="26" t="n">
        <v>291461728</v>
      </c>
      <c r="I341" t="inlineStr">
        <is>
          <t>bajo</t>
        </is>
      </c>
      <c r="J341" t="inlineStr">
        <is>
          <t>RN-11 y RN-34: provision hasta el cupo operativo antes de bajar del 8 %</t>
        </is>
      </c>
      <c r="K341" t="inlineStr">
        <is>
          <t>Provision en la manana, antes del pagado: con el pronostico, sin provision el saldo bajaria del 8 % del cupo ese dia. Lleva el saldo de 119.538.272 a 411.000.000 COP (cupo 411.000.000). Equipo administrado por TDV.</t>
        </is>
      </c>
      <c r="L341" s="26" t="n">
        <v>411000000</v>
      </c>
      <c r="M341" s="26" t="n">
        <v>119538272</v>
      </c>
      <c r="N341" s="27">
        <f>IF(ISNUMBER(M341),M341/L341,"No aplica")</f>
        <v>0.29084737712895375</v>
      </c>
      <c r="O341" s="25">
        <f>IF(G341="provision",M341+H341,IF(G341="recoleccion",M341-H341,"No aplica"))</f>
        <v>411000000</v>
      </c>
      <c r="P341" s="26" t="n">
        <v>176299</v>
      </c>
    </row>
    <row r="342">
      <c r="A342" t="inlineStr">
        <is>
          <t>PRAGMA</t>
        </is>
      </c>
      <c r="B342" t="inlineStr">
        <is>
          <t>M1</t>
        </is>
      </c>
      <c r="C342" t="inlineStr">
        <is>
          <t>Cali</t>
        </is>
      </c>
      <c r="D342" t="inlineStr">
        <is>
          <t>3167</t>
        </is>
      </c>
      <c r="E342" t="inlineStr">
        <is>
          <t>TDV</t>
        </is>
      </c>
      <c r="F342" s="23" t="n">
        <v>46279</v>
      </c>
      <c r="G342" t="inlineStr">
        <is>
          <t>provision</t>
        </is>
      </c>
      <c r="H342" s="26" t="n">
        <v>303306662</v>
      </c>
      <c r="I342" t="inlineStr">
        <is>
          <t>bajo</t>
        </is>
      </c>
      <c r="J342" t="inlineStr">
        <is>
          <t>RN-11 y RN-34: provision hasta el cupo operativo antes de bajar del 8 %</t>
        </is>
      </c>
      <c r="K342" t="inlineStr">
        <is>
          <t>Provision en la manana, antes del pagado: con el pronostico, sin provision el saldo bajaria del 8 % del cupo ese dia. Lleva el saldo de 107.693.338 a 411.000.000 COP (cupo 411.000.000). Equipo administrado por TDV.</t>
        </is>
      </c>
      <c r="L342" s="26" t="n">
        <v>411000000</v>
      </c>
      <c r="M342" s="26" t="n">
        <v>107693338</v>
      </c>
      <c r="N342" s="27">
        <f>IF(ISNUMBER(M342),M342/L342,"No aplica")</f>
        <v>0.26202758637469586</v>
      </c>
      <c r="O342" s="25">
        <f>IF(G342="provision",M342+H342,IF(G342="recoleccion",M342-H342,"No aplica"))</f>
        <v>411000000</v>
      </c>
      <c r="P342" s="26" t="n">
        <v>180919</v>
      </c>
    </row>
    <row r="343">
      <c r="A343" t="inlineStr">
        <is>
          <t>PRAGMA</t>
        </is>
      </c>
      <c r="B343" t="inlineStr">
        <is>
          <t>M1</t>
        </is>
      </c>
      <c r="C343" t="inlineStr">
        <is>
          <t>Cali</t>
        </is>
      </c>
      <c r="D343" t="inlineStr">
        <is>
          <t>3250</t>
        </is>
      </c>
      <c r="E343" t="inlineStr">
        <is>
          <t>TDV</t>
        </is>
      </c>
      <c r="F343" s="23" t="n">
        <v>46270</v>
      </c>
      <c r="G343" t="inlineStr">
        <is>
          <t>provision</t>
        </is>
      </c>
      <c r="H343" s="26" t="n">
        <v>446632302</v>
      </c>
      <c r="I343" t="inlineStr">
        <is>
          <t>bajo</t>
        </is>
      </c>
      <c r="J343" t="inlineStr">
        <is>
          <t>RN-11 y RN-34: provision hasta el cupo operativo antes de bajar del 8 %</t>
        </is>
      </c>
      <c r="K343" t="inlineStr">
        <is>
          <t>Provision en la manana, antes del pagado: con el pronostico, sin provision el saldo bajaria del 8 % del cupo ese dia. Lleva el saldo de 53.367.698 a 500.000.000 COP (cupo 500.000.000). Equipo administrado por TDV.</t>
        </is>
      </c>
      <c r="L343" s="26" t="n">
        <v>500000000</v>
      </c>
      <c r="M343" s="26" t="n">
        <v>53367698</v>
      </c>
      <c r="N343" s="27">
        <f>IF(ISNUMBER(M343),M343/L343,"No aplica")</f>
        <v>0.106735396</v>
      </c>
      <c r="O343" s="25">
        <f>IF(G343="provision",M343+H343,IF(G343="recoleccion",M343-H343,"No aplica"))</f>
        <v>500000000</v>
      </c>
      <c r="P343" s="26" t="n">
        <v>216191</v>
      </c>
    </row>
    <row r="344">
      <c r="A344" t="inlineStr">
        <is>
          <t>PRAGMA</t>
        </is>
      </c>
      <c r="B344" t="inlineStr">
        <is>
          <t>M1</t>
        </is>
      </c>
      <c r="C344" t="inlineStr">
        <is>
          <t>Cali</t>
        </is>
      </c>
      <c r="D344" t="inlineStr">
        <is>
          <t>3250</t>
        </is>
      </c>
      <c r="E344" t="inlineStr">
        <is>
          <t>TDV</t>
        </is>
      </c>
      <c r="F344" s="23" t="n">
        <v>46276</v>
      </c>
      <c r="G344" t="inlineStr">
        <is>
          <t>provision</t>
        </is>
      </c>
      <c r="H344" s="26" t="n">
        <v>432485589</v>
      </c>
      <c r="I344" t="inlineStr">
        <is>
          <t>bajo</t>
        </is>
      </c>
      <c r="J344" t="inlineStr">
        <is>
          <t>RN-11 y RN-34: provision hasta el cupo operativo antes de bajar del 8 %</t>
        </is>
      </c>
      <c r="K344" t="inlineStr">
        <is>
          <t>Provision en la manana, antes del pagado: con el pronostico, sin provision el saldo bajaria del 8 % del cupo ese dia. Lleva el saldo de 67.514.411 a 500.000.000 COP (cupo 500.000.000). Equipo administrado por TDV.</t>
        </is>
      </c>
      <c r="L344" s="26" t="n">
        <v>500000000</v>
      </c>
      <c r="M344" s="26" t="n">
        <v>67514411</v>
      </c>
      <c r="N344" s="27">
        <f>IF(ISNUMBER(M344),M344/L344,"No aplica")</f>
        <v>0.135028822</v>
      </c>
      <c r="O344" s="25">
        <f>IF(G344="provision",M344+H344,IF(G344="recoleccion",M344-H344,"No aplica"))</f>
        <v>500000000</v>
      </c>
      <c r="P344" s="26" t="n">
        <v>209939</v>
      </c>
    </row>
    <row r="345">
      <c r="A345" t="inlineStr">
        <is>
          <t>PRAGMA</t>
        </is>
      </c>
      <c r="B345" t="inlineStr">
        <is>
          <t>M1</t>
        </is>
      </c>
      <c r="C345" t="inlineStr">
        <is>
          <t>Cali</t>
        </is>
      </c>
      <c r="D345" t="inlineStr">
        <is>
          <t>3251</t>
        </is>
      </c>
      <c r="E345" t="inlineStr">
        <is>
          <t>TDV</t>
        </is>
      </c>
      <c r="F345" s="23" t="n">
        <v>46267</v>
      </c>
      <c r="G345" t="inlineStr">
        <is>
          <t>provision</t>
        </is>
      </c>
      <c r="H345" s="26" t="n">
        <v>216092451</v>
      </c>
      <c r="I345" t="inlineStr">
        <is>
          <t>bajo</t>
        </is>
      </c>
      <c r="J345" t="inlineStr">
        <is>
          <t>RN-11 y RN-34: provision hasta el cupo operativo antes de bajar del 8 %</t>
        </is>
      </c>
      <c r="K345" t="inlineStr">
        <is>
          <t>Provision en la manana, antes del pagado: con el pronostico, sin provision el saldo bajaria del 8 % del cupo ese dia. Lleva el saldo de 194.907.549 a 411.000.000 COP (cupo 411.000.000). Equipo administrado por TDV.</t>
        </is>
      </c>
      <c r="L345" s="26" t="n">
        <v>411000000</v>
      </c>
      <c r="M345" s="26" t="n">
        <v>194907549</v>
      </c>
      <c r="N345" s="27">
        <f>IF(ISNUMBER(M345),M345/L345,"No aplica")</f>
        <v>0.4742276131386861</v>
      </c>
      <c r="O345" s="25">
        <f>IF(G345="provision",M345+H345,IF(G345="recoleccion",M345-H345,"No aplica"))</f>
        <v>411000000</v>
      </c>
      <c r="P345" s="26" t="n">
        <v>114293</v>
      </c>
    </row>
    <row r="346">
      <c r="A346" t="inlineStr">
        <is>
          <t>PRAGMA</t>
        </is>
      </c>
      <c r="B346" t="inlineStr">
        <is>
          <t>M1</t>
        </is>
      </c>
      <c r="C346" t="inlineStr">
        <is>
          <t>Cali</t>
        </is>
      </c>
      <c r="D346" t="inlineStr">
        <is>
          <t>3251</t>
        </is>
      </c>
      <c r="E346" t="inlineStr">
        <is>
          <t>TDV</t>
        </is>
      </c>
      <c r="F346" s="23" t="n">
        <v>46269</v>
      </c>
      <c r="G346" t="inlineStr">
        <is>
          <t>provision</t>
        </is>
      </c>
      <c r="H346" s="26" t="n">
        <v>339520809</v>
      </c>
      <c r="I346" t="inlineStr">
        <is>
          <t>bajo</t>
        </is>
      </c>
      <c r="J346" t="inlineStr">
        <is>
          <t>RN-11 y RN-34: provision hasta el cupo operativo antes de bajar del 8 %</t>
        </is>
      </c>
      <c r="K346" t="inlineStr">
        <is>
          <t>Provision en la manana, antes del pagado: con el pronostico, sin provision el saldo bajaria del 8 % del cupo ese dia. Lleva el saldo de 71.479.191 a 411.000.000 COP (cupo 411.000.000). Equipo administrado por TDV.</t>
        </is>
      </c>
      <c r="L346" s="26" t="n">
        <v>411000000</v>
      </c>
      <c r="M346" s="26" t="n">
        <v>71479191</v>
      </c>
      <c r="N346" s="27">
        <f>IF(ISNUMBER(M346),M346/L346,"No aplica")</f>
        <v>0.17391530656934306</v>
      </c>
      <c r="O346" s="25">
        <f>IF(G346="provision",M346+H346,IF(G346="recoleccion",M346-H346,"No aplica"))</f>
        <v>411000000</v>
      </c>
      <c r="P346" s="26" t="n">
        <v>168848</v>
      </c>
    </row>
    <row r="347">
      <c r="A347" t="inlineStr">
        <is>
          <t>PRAGMA</t>
        </is>
      </c>
      <c r="B347" t="inlineStr">
        <is>
          <t>M1</t>
        </is>
      </c>
      <c r="C347" t="inlineStr">
        <is>
          <t>Cali</t>
        </is>
      </c>
      <c r="D347" t="inlineStr">
        <is>
          <t>3251</t>
        </is>
      </c>
      <c r="E347" t="inlineStr">
        <is>
          <t>TDV</t>
        </is>
      </c>
      <c r="F347" s="23" t="n">
        <v>46271</v>
      </c>
      <c r="G347" t="inlineStr">
        <is>
          <t>provision</t>
        </is>
      </c>
      <c r="H347" s="26" t="n">
        <v>359440776</v>
      </c>
      <c r="I347" t="inlineStr">
        <is>
          <t>bajo</t>
        </is>
      </c>
      <c r="J347" t="inlineStr">
        <is>
          <t>RN-11 y RN-34: provision hasta el cupo operativo antes de bajar del 8 %</t>
        </is>
      </c>
      <c r="K347" t="inlineStr">
        <is>
          <t>Provision en la manana, antes del pagado: con el pronostico, sin provision el saldo bajaria del 8 % del cupo ese dia. Lleva el saldo de 51.559.224 a 411.000.000 COP (cupo 411.000.000). Equipo administrado por TDV.</t>
        </is>
      </c>
      <c r="L347" s="26" t="n">
        <v>411000000</v>
      </c>
      <c r="M347" s="26" t="n">
        <v>51559224</v>
      </c>
      <c r="N347" s="27">
        <f>IF(ISNUMBER(M347),M347/L347,"No aplica")</f>
        <v>0.12544823357664234</v>
      </c>
      <c r="O347" s="25">
        <f>IF(G347="provision",M347+H347,IF(G347="recoleccion",M347-H347,"No aplica"))</f>
        <v>411000000</v>
      </c>
      <c r="P347" s="26" t="n">
        <v>234977</v>
      </c>
    </row>
    <row r="348">
      <c r="A348" t="inlineStr">
        <is>
          <t>PRAGMA</t>
        </is>
      </c>
      <c r="B348" t="inlineStr">
        <is>
          <t>M1</t>
        </is>
      </c>
      <c r="C348" t="inlineStr">
        <is>
          <t>Cali</t>
        </is>
      </c>
      <c r="D348" t="inlineStr">
        <is>
          <t>3251</t>
        </is>
      </c>
      <c r="E348" t="inlineStr">
        <is>
          <t>TDV</t>
        </is>
      </c>
      <c r="F348" s="23" t="n">
        <v>46273</v>
      </c>
      <c r="G348" t="inlineStr">
        <is>
          <t>provision</t>
        </is>
      </c>
      <c r="H348" s="26" t="n">
        <v>279568475</v>
      </c>
      <c r="I348" t="inlineStr">
        <is>
          <t>bajo</t>
        </is>
      </c>
      <c r="J348" t="inlineStr">
        <is>
          <t>RN-11 y RN-34: provision hasta el cupo operativo antes de bajar del 8 %</t>
        </is>
      </c>
      <c r="K348" t="inlineStr">
        <is>
          <t>Provision en la manana, antes del pagado: con el pronostico, sin provision el saldo bajaria del 8 % del cupo ese dia. Lleva el saldo de 131.431.525 a 411.000.000 COP (cupo 411.000.000). Equipo administrado por TDV.</t>
        </is>
      </c>
      <c r="L348" s="26" t="n">
        <v>411000000</v>
      </c>
      <c r="M348" s="26" t="n">
        <v>131431525</v>
      </c>
      <c r="N348" s="27">
        <f>IF(ISNUMBER(M348),M348/L348,"No aplica")</f>
        <v>0.3197847323600973</v>
      </c>
      <c r="O348" s="25">
        <f>IF(G348="provision",M348+H348,IF(G348="recoleccion",M348-H348,"No aplica"))</f>
        <v>411000000</v>
      </c>
      <c r="P348" s="26" t="n">
        <v>142349</v>
      </c>
    </row>
    <row r="349">
      <c r="A349" t="inlineStr">
        <is>
          <t>PRAGMA</t>
        </is>
      </c>
      <c r="B349" t="inlineStr">
        <is>
          <t>M1</t>
        </is>
      </c>
      <c r="C349" t="inlineStr">
        <is>
          <t>Cali</t>
        </is>
      </c>
      <c r="D349" t="inlineStr">
        <is>
          <t>3251</t>
        </is>
      </c>
      <c r="E349" t="inlineStr">
        <is>
          <t>TDV</t>
        </is>
      </c>
      <c r="F349" s="23" t="n">
        <v>46276</v>
      </c>
      <c r="G349" t="inlineStr">
        <is>
          <t>provision</t>
        </is>
      </c>
      <c r="H349" s="26" t="n">
        <v>372630016</v>
      </c>
      <c r="I349" t="inlineStr">
        <is>
          <t>bajo</t>
        </is>
      </c>
      <c r="J349" t="inlineStr">
        <is>
          <t>RN-11 y RN-34: provision hasta el cupo operativo antes de bajar del 8 %</t>
        </is>
      </c>
      <c r="K349" t="inlineStr">
        <is>
          <t>Provision en la manana, antes del pagado: con el pronostico, sin provision el saldo bajaria del 8 % del cupo ese dia. Lleva el saldo de 38.369.984 a 411.000.000 COP (cupo 411.000.000). Equipo administrado por TDV.</t>
        </is>
      </c>
      <c r="L349" s="26" t="n">
        <v>411000000</v>
      </c>
      <c r="M349" s="26" t="n">
        <v>38369984</v>
      </c>
      <c r="N349" s="27">
        <f>IF(ISNUMBER(M349),M349/L349,"No aplica")</f>
        <v>0.09335762530413626</v>
      </c>
      <c r="O349" s="25">
        <f>IF(G349="provision",M349+H349,IF(G349="recoleccion",M349-H349,"No aplica"))</f>
        <v>411000000</v>
      </c>
      <c r="P349" s="26" t="n">
        <v>183482</v>
      </c>
    </row>
    <row r="350">
      <c r="A350" t="inlineStr">
        <is>
          <t>PRAGMA</t>
        </is>
      </c>
      <c r="B350" t="inlineStr">
        <is>
          <t>M1</t>
        </is>
      </c>
      <c r="C350" t="inlineStr">
        <is>
          <t>Cali</t>
        </is>
      </c>
      <c r="D350" t="inlineStr">
        <is>
          <t>3251</t>
        </is>
      </c>
      <c r="E350" t="inlineStr">
        <is>
          <t>TDV</t>
        </is>
      </c>
      <c r="F350" s="23" t="n">
        <v>46279</v>
      </c>
      <c r="G350" t="inlineStr">
        <is>
          <t>provision</t>
        </is>
      </c>
      <c r="H350" s="26" t="n">
        <v>376320448</v>
      </c>
      <c r="I350" t="inlineStr">
        <is>
          <t>bajo</t>
        </is>
      </c>
      <c r="J350" t="inlineStr">
        <is>
          <t>RN-11 y RN-34: provision hasta el cupo operativo antes de bajar del 8 %</t>
        </is>
      </c>
      <c r="K350" t="inlineStr">
        <is>
          <t>Provision en la manana, antes del pagado: con el pronostico, sin provision el saldo bajaria del 8 % del cupo ese dia. Lleva el saldo de 34.679.552 a 411.000.000 COP (cupo 411.000.000). Equipo administrado por TDV.</t>
        </is>
      </c>
      <c r="L350" s="26" t="n">
        <v>411000000</v>
      </c>
      <c r="M350" s="26" t="n">
        <v>34679552</v>
      </c>
      <c r="N350" s="27">
        <f>IF(ISNUMBER(M350),M350/L350,"No aplica")</f>
        <v>0.08437847201946472</v>
      </c>
      <c r="O350" s="25">
        <f>IF(G350="provision",M350+H350,IF(G350="recoleccion",M350-H350,"No aplica"))</f>
        <v>411000000</v>
      </c>
      <c r="P350" s="26" t="n">
        <v>185114</v>
      </c>
    </row>
    <row r="351">
      <c r="A351" t="inlineStr">
        <is>
          <t>PRAGMA</t>
        </is>
      </c>
      <c r="B351" t="inlineStr">
        <is>
          <t>M1</t>
        </is>
      </c>
      <c r="C351" t="inlineStr">
        <is>
          <t>Cali</t>
        </is>
      </c>
      <c r="D351" t="inlineStr">
        <is>
          <t>3341</t>
        </is>
      </c>
      <c r="E351" t="inlineStr">
        <is>
          <t>TDV</t>
        </is>
      </c>
      <c r="F351" s="23" t="n">
        <v>46266</v>
      </c>
      <c r="G351" t="inlineStr">
        <is>
          <t>sin_accion</t>
        </is>
      </c>
      <c r="H351" s="26" t="n">
        <v>0</v>
      </c>
      <c r="I351" t="inlineStr">
        <is>
          <t>bajo</t>
        </is>
      </c>
      <c r="J351" t="inlineStr">
        <is>
          <t>RN-02: una fila sin_accion</t>
        </is>
      </c>
      <c r="K351" t="inlineStr">
        <is>
          <t>Sin accion en el horizonte: con el pronostico, el saldo se mantiene entre el umbral de agotamiento y el cupo sin necesidad de provision ni recoleccion.</t>
        </is>
      </c>
      <c r="L351" s="26" t="n">
        <v>500000000</v>
      </c>
      <c r="M351" s="26" t="inlineStr">
        <is>
          <t>No aplica</t>
        </is>
      </c>
      <c r="N351" s="27" t="str">
        <f>IF(ISNUMBER(M351),M351/L351,"No aplica")</f>
        <v>No aplica</v>
      </c>
      <c r="O351" s="25" t="str">
        <f>IF(G351="provision",M351+H351,IF(G351="recoleccion",M351-H351,"No aplica"))</f>
        <v>No aplica</v>
      </c>
      <c r="P351" s="26" t="inlineStr">
        <is>
          <t>No aplica</t>
        </is>
      </c>
    </row>
    <row r="352">
      <c r="A352" t="inlineStr">
        <is>
          <t>PRAGMA</t>
        </is>
      </c>
      <c r="B352" t="inlineStr">
        <is>
          <t>M1</t>
        </is>
      </c>
      <c r="C352" t="inlineStr">
        <is>
          <t>Cali</t>
        </is>
      </c>
      <c r="D352" t="inlineStr">
        <is>
          <t>3465</t>
        </is>
      </c>
      <c r="E352" t="inlineStr">
        <is>
          <t>TDV</t>
        </is>
      </c>
      <c r="F352" s="23" t="n">
        <v>46267</v>
      </c>
      <c r="G352" t="inlineStr">
        <is>
          <t>provision</t>
        </is>
      </c>
      <c r="H352" s="26" t="n">
        <v>361622004</v>
      </c>
      <c r="I352" t="inlineStr">
        <is>
          <t>bajo</t>
        </is>
      </c>
      <c r="J352" t="inlineStr">
        <is>
          <t>RN-11 y RN-34: provision hasta el cupo operativo antes de bajar del 8 %</t>
        </is>
      </c>
      <c r="K352" t="inlineStr">
        <is>
          <t>Provision en la manana, antes del pagado: con el pronostico, sin provision el saldo bajaria del 8 % del cupo ese dia. Lleva el saldo de 49.377.996 a 411.000.000 COP (cupo 411.000.000). Equipo administrado por TDV.</t>
        </is>
      </c>
      <c r="L352" s="26" t="n">
        <v>411000000</v>
      </c>
      <c r="M352" s="26" t="n">
        <v>49377996</v>
      </c>
      <c r="N352" s="27">
        <f>IF(ISNUMBER(M352),M352/L352,"No aplica")</f>
        <v>0.1201411094890511</v>
      </c>
      <c r="O352" s="25">
        <f>IF(G352="provision",M352+H352,IF(G352="recoleccion",M352-H352,"No aplica"))</f>
        <v>411000000</v>
      </c>
      <c r="P352" s="26" t="n">
        <v>152033</v>
      </c>
    </row>
    <row r="353">
      <c r="A353" t="inlineStr">
        <is>
          <t>PRAGMA</t>
        </is>
      </c>
      <c r="B353" t="inlineStr">
        <is>
          <t>M1</t>
        </is>
      </c>
      <c r="C353" t="inlineStr">
        <is>
          <t>Cali</t>
        </is>
      </c>
      <c r="D353" t="inlineStr">
        <is>
          <t>3465</t>
        </is>
      </c>
      <c r="E353" t="inlineStr">
        <is>
          <t>TDV</t>
        </is>
      </c>
      <c r="F353" s="23" t="n">
        <v>46268</v>
      </c>
      <c r="G353" t="inlineStr">
        <is>
          <t>provision</t>
        </is>
      </c>
      <c r="H353" s="26" t="n">
        <v>326301650</v>
      </c>
      <c r="I353" t="inlineStr">
        <is>
          <t>bajo</t>
        </is>
      </c>
      <c r="J353" t="inlineStr">
        <is>
          <t>RN-11 y RN-34: provision hasta el cupo operativo antes de bajar del 8 %</t>
        </is>
      </c>
      <c r="K353" t="inlineStr">
        <is>
          <t>Provision en la manana, antes del pagado: con el pronostico, sin provision el saldo bajaria del 8 % del cupo ese dia. Lleva el saldo de 84.698.350 a 411.000.000 COP (cupo 411.000.000). Equipo administrado por TDV.</t>
        </is>
      </c>
      <c r="L353" s="26" t="n">
        <v>411000000</v>
      </c>
      <c r="M353" s="26" t="n">
        <v>84698350</v>
      </c>
      <c r="N353" s="27">
        <f>IF(ISNUMBER(M353),M353/L353,"No aplica")</f>
        <v>0.2060787104622871</v>
      </c>
      <c r="O353" s="25">
        <f>IF(G353="provision",M353+H353,IF(G353="recoleccion",M353-H353,"No aplica"))</f>
        <v>411000000</v>
      </c>
      <c r="P353" s="26" t="n">
        <v>139388</v>
      </c>
    </row>
    <row r="354">
      <c r="A354" t="inlineStr">
        <is>
          <t>PRAGMA</t>
        </is>
      </c>
      <c r="B354" t="inlineStr">
        <is>
          <t>M1</t>
        </is>
      </c>
      <c r="C354" t="inlineStr">
        <is>
          <t>Cali</t>
        </is>
      </c>
      <c r="D354" t="inlineStr">
        <is>
          <t>3465</t>
        </is>
      </c>
      <c r="E354" t="inlineStr">
        <is>
          <t>TDV</t>
        </is>
      </c>
      <c r="F354" s="23" t="n">
        <v>46269</v>
      </c>
      <c r="G354" t="inlineStr">
        <is>
          <t>provision</t>
        </is>
      </c>
      <c r="H354" s="26" t="n">
        <v>311369724</v>
      </c>
      <c r="I354" t="inlineStr">
        <is>
          <t>bajo</t>
        </is>
      </c>
      <c r="J354" t="inlineStr">
        <is>
          <t>RN-11 y RN-34: provision hasta el cupo operativo antes de bajar del 8 %</t>
        </is>
      </c>
      <c r="K354" t="inlineStr">
        <is>
          <t>Provision en la manana, antes del pagado: con el pronostico, sin provision el saldo bajaria del 8 % del cupo ese dia. Lleva el saldo de 99.630.276 a 411.000.000 COP (cupo 411.000.000). Equipo administrado por TDV.</t>
        </is>
      </c>
      <c r="L354" s="26" t="n">
        <v>411000000</v>
      </c>
      <c r="M354" s="26" t="n">
        <v>99630276</v>
      </c>
      <c r="N354" s="27">
        <f>IF(ISNUMBER(M354),M354/L354,"No aplica")</f>
        <v>0.2424094306569343</v>
      </c>
      <c r="O354" s="25">
        <f>IF(G354="provision",M354+H354,IF(G354="recoleccion",M354-H354,"No aplica"))</f>
        <v>411000000</v>
      </c>
      <c r="P354" s="26" t="n">
        <v>134042</v>
      </c>
    </row>
    <row r="355">
      <c r="A355" t="inlineStr">
        <is>
          <t>PRAGMA</t>
        </is>
      </c>
      <c r="B355" t="inlineStr">
        <is>
          <t>M1</t>
        </is>
      </c>
      <c r="C355" t="inlineStr">
        <is>
          <t>Cali</t>
        </is>
      </c>
      <c r="D355" t="inlineStr">
        <is>
          <t>3465</t>
        </is>
      </c>
      <c r="E355" t="inlineStr">
        <is>
          <t>TDV</t>
        </is>
      </c>
      <c r="F355" s="23" t="n">
        <v>46270</v>
      </c>
      <c r="G355" t="inlineStr">
        <is>
          <t>provision</t>
        </is>
      </c>
      <c r="H355" s="26" t="n">
        <v>310936603</v>
      </c>
      <c r="I355" t="inlineStr">
        <is>
          <t>bajo</t>
        </is>
      </c>
      <c r="J355" t="inlineStr">
        <is>
          <t>RN-11 y RN-34: provision hasta el cupo operativo antes de bajar del 8 %</t>
        </is>
      </c>
      <c r="K355" t="inlineStr">
        <is>
          <t>Provision en la manana, antes del pagado: con el pronostico, sin provision el saldo bajaria del 8 % del cupo ese dia. Lleva el saldo de 100.063.397 a 411.000.000 COP (cupo 411.000.000). Equipo administrado por TDV.</t>
        </is>
      </c>
      <c r="L355" s="26" t="n">
        <v>411000000</v>
      </c>
      <c r="M355" s="26" t="n">
        <v>100063397</v>
      </c>
      <c r="N355" s="27">
        <f>IF(ISNUMBER(M355),M355/L355,"No aplica")</f>
        <v>0.24346325304136254</v>
      </c>
      <c r="O355" s="25">
        <f>IF(G355="provision",M355+H355,IF(G355="recoleccion",M355-H355,"No aplica"))</f>
        <v>411000000</v>
      </c>
      <c r="P355" s="26" t="n">
        <v>133887</v>
      </c>
    </row>
    <row r="356">
      <c r="A356" t="inlineStr">
        <is>
          <t>PRAGMA</t>
        </is>
      </c>
      <c r="B356" t="inlineStr">
        <is>
          <t>M1</t>
        </is>
      </c>
      <c r="C356" t="inlineStr">
        <is>
          <t>Cali</t>
        </is>
      </c>
      <c r="D356" t="inlineStr">
        <is>
          <t>3465</t>
        </is>
      </c>
      <c r="E356" t="inlineStr">
        <is>
          <t>TDV</t>
        </is>
      </c>
      <c r="F356" s="23" t="n">
        <v>46271</v>
      </c>
      <c r="G356" t="inlineStr">
        <is>
          <t>provision</t>
        </is>
      </c>
      <c r="H356" s="26" t="n">
        <v>307915441</v>
      </c>
      <c r="I356" t="inlineStr">
        <is>
          <t>bajo</t>
        </is>
      </c>
      <c r="J356" t="inlineStr">
        <is>
          <t>RN-11 y RN-34: provision hasta el cupo operativo antes de bajar del 8 %</t>
        </is>
      </c>
      <c r="K356" t="inlineStr">
        <is>
          <t>Provision en la manana, antes del pagado: con el pronostico, sin provision el saldo bajaria del 8 % del cupo ese dia. Lleva el saldo de 103.084.559 a 411.000.000 COP (cupo 411.000.000). Equipo administrado por TDV.</t>
        </is>
      </c>
      <c r="L356" s="26" t="n">
        <v>411000000</v>
      </c>
      <c r="M356" s="26" t="n">
        <v>103084559</v>
      </c>
      <c r="N356" s="27">
        <f>IF(ISNUMBER(M356),M356/L356,"No aplica")</f>
        <v>0.25081401216545013</v>
      </c>
      <c r="O356" s="25">
        <f>IF(G356="provision",M356+H356,IF(G356="recoleccion",M356-H356,"No aplica"))</f>
        <v>411000000</v>
      </c>
      <c r="P356" s="26" t="n">
        <v>176220</v>
      </c>
    </row>
    <row r="357">
      <c r="A357" t="inlineStr">
        <is>
          <t>PRAGMA</t>
        </is>
      </c>
      <c r="B357" t="inlineStr">
        <is>
          <t>M1</t>
        </is>
      </c>
      <c r="C357" t="inlineStr">
        <is>
          <t>Cali</t>
        </is>
      </c>
      <c r="D357" t="inlineStr">
        <is>
          <t>3465</t>
        </is>
      </c>
      <c r="E357" t="inlineStr">
        <is>
          <t>TDV</t>
        </is>
      </c>
      <c r="F357" s="23" t="n">
        <v>46272</v>
      </c>
      <c r="G357" t="inlineStr">
        <is>
          <t>provision</t>
        </is>
      </c>
      <c r="H357" s="26" t="n">
        <v>151717736</v>
      </c>
      <c r="I357" t="inlineStr">
        <is>
          <t>bajo</t>
        </is>
      </c>
      <c r="J357" t="inlineStr">
        <is>
          <t>RN-11 y RN-34: provision hasta el cupo operativo antes de bajar del 8 %</t>
        </is>
      </c>
      <c r="K357" t="inlineStr">
        <is>
          <t>Provision en la manana, antes del pagado: con el pronostico, sin provision el saldo bajaria del 8 % del cupo ese dia. Lleva el saldo de 259.282.264 a 411.000.000 COP (cupo 411.000.000). Equipo administrado por TDV.</t>
        </is>
      </c>
      <c r="L357" s="26" t="n">
        <v>411000000</v>
      </c>
      <c r="M357" s="26" t="n">
        <v>259282264</v>
      </c>
      <c r="N357" s="27">
        <f>IF(ISNUMBER(M357),M357/L357,"No aplica")</f>
        <v>0.6308570900243309</v>
      </c>
      <c r="O357" s="25">
        <f>IF(G357="provision",M357+H357,IF(G357="recoleccion",M357-H357,"No aplica"))</f>
        <v>411000000</v>
      </c>
      <c r="P357" s="26" t="n">
        <v>76887</v>
      </c>
    </row>
    <row r="358">
      <c r="A358" t="inlineStr">
        <is>
          <t>PRAGMA</t>
        </is>
      </c>
      <c r="B358" t="inlineStr">
        <is>
          <t>M1</t>
        </is>
      </c>
      <c r="C358" t="inlineStr">
        <is>
          <t>Cali</t>
        </is>
      </c>
      <c r="D358" t="inlineStr">
        <is>
          <t>3465</t>
        </is>
      </c>
      <c r="E358" t="inlineStr">
        <is>
          <t>TDV</t>
        </is>
      </c>
      <c r="F358" s="23" t="n">
        <v>46273</v>
      </c>
      <c r="G358" t="inlineStr">
        <is>
          <t>provision</t>
        </is>
      </c>
      <c r="H358" s="26" t="n">
        <v>249327132</v>
      </c>
      <c r="I358" t="inlineStr">
        <is>
          <t>bajo</t>
        </is>
      </c>
      <c r="J358" t="inlineStr">
        <is>
          <t>RN-11 y RN-34: provision hasta el cupo operativo antes de bajar del 8 %</t>
        </is>
      </c>
      <c r="K358" t="inlineStr">
        <is>
          <t>Provision en la manana, antes del pagado: con el pronostico, sin provision el saldo bajaria del 8 % del cupo ese dia. Lleva el saldo de 161.672.868 a 411.000.000 COP (cupo 411.000.000). Equipo administrado por TDV.</t>
        </is>
      </c>
      <c r="L358" s="26" t="n">
        <v>411000000</v>
      </c>
      <c r="M358" s="26" t="n">
        <v>161672868</v>
      </c>
      <c r="N358" s="27">
        <f>IF(ISNUMBER(M358),M358/L358,"No aplica")</f>
        <v>0.3933646423357664</v>
      </c>
      <c r="O358" s="25">
        <f>IF(G358="provision",M358+H358,IF(G358="recoleccion",M358-H358,"No aplica"))</f>
        <v>411000000</v>
      </c>
      <c r="P358" s="26" t="n">
        <v>111831</v>
      </c>
    </row>
    <row r="359">
      <c r="A359" t="inlineStr">
        <is>
          <t>PRAGMA</t>
        </is>
      </c>
      <c r="B359" t="inlineStr">
        <is>
          <t>M1</t>
        </is>
      </c>
      <c r="C359" t="inlineStr">
        <is>
          <t>Cali</t>
        </is>
      </c>
      <c r="D359" t="inlineStr">
        <is>
          <t>3465</t>
        </is>
      </c>
      <c r="E359" t="inlineStr">
        <is>
          <t>TDV</t>
        </is>
      </c>
      <c r="F359" s="23" t="n">
        <v>46274</v>
      </c>
      <c r="G359" t="inlineStr">
        <is>
          <t>provision</t>
        </is>
      </c>
      <c r="H359" s="26" t="n">
        <v>222699356</v>
      </c>
      <c r="I359" t="inlineStr">
        <is>
          <t>bajo</t>
        </is>
      </c>
      <c r="J359" t="inlineStr">
        <is>
          <t>RN-11 y RN-34: provision hasta el cupo operativo antes de bajar del 8 %</t>
        </is>
      </c>
      <c r="K359" t="inlineStr">
        <is>
          <t>Provision en la manana, antes del pagado: con el pronostico, sin provision el saldo bajaria del 8 % del cupo ese dia. Lleva el saldo de 188.300.644 a 411.000.000 COP (cupo 411.000.000). Equipo administrado por TDV.</t>
        </is>
      </c>
      <c r="L359" s="26" t="n">
        <v>411000000</v>
      </c>
      <c r="M359" s="26" t="n">
        <v>188300644</v>
      </c>
      <c r="N359" s="27">
        <f>IF(ISNUMBER(M359),M359/L359,"No aplica")</f>
        <v>0.4581524184914842</v>
      </c>
      <c r="O359" s="25">
        <f>IF(G359="provision",M359+H359,IF(G359="recoleccion",M359-H359,"No aplica"))</f>
        <v>411000000</v>
      </c>
      <c r="P359" s="26" t="n">
        <v>102298</v>
      </c>
    </row>
    <row r="360">
      <c r="A360" t="inlineStr">
        <is>
          <t>PRAGMA</t>
        </is>
      </c>
      <c r="B360" t="inlineStr">
        <is>
          <t>M1</t>
        </is>
      </c>
      <c r="C360" t="inlineStr">
        <is>
          <t>Cali</t>
        </is>
      </c>
      <c r="D360" t="inlineStr">
        <is>
          <t>3465</t>
        </is>
      </c>
      <c r="E360" t="inlineStr">
        <is>
          <t>TDV</t>
        </is>
      </c>
      <c r="F360" s="23" t="n">
        <v>46275</v>
      </c>
      <c r="G360" t="inlineStr">
        <is>
          <t>provision</t>
        </is>
      </c>
      <c r="H360" s="26" t="n">
        <v>236437113</v>
      </c>
      <c r="I360" t="inlineStr">
        <is>
          <t>bajo</t>
        </is>
      </c>
      <c r="J360" t="inlineStr">
        <is>
          <t>RN-11 y RN-34: provision hasta el cupo operativo antes de bajar del 8 %</t>
        </is>
      </c>
      <c r="K360" t="inlineStr">
        <is>
          <t>Provision en la manana, antes del pagado: con el pronostico, sin provision el saldo bajaria del 8 % del cupo ese dia. Lleva el saldo de 174.562.887 a 411.000.000 COP (cupo 411.000.000). Equipo administrado por TDV.</t>
        </is>
      </c>
      <c r="L360" s="26" t="n">
        <v>411000000</v>
      </c>
      <c r="M360" s="26" t="n">
        <v>174562887</v>
      </c>
      <c r="N360" s="27">
        <f>IF(ISNUMBER(M360),M360/L360,"No aplica")</f>
        <v>0.4247272189781022</v>
      </c>
      <c r="O360" s="25">
        <f>IF(G360="provision",M360+H360,IF(G360="recoleccion",M360-H360,"No aplica"))</f>
        <v>411000000</v>
      </c>
      <c r="P360" s="26" t="n">
        <v>107216</v>
      </c>
    </row>
    <row r="361">
      <c r="A361" t="inlineStr">
        <is>
          <t>PRAGMA</t>
        </is>
      </c>
      <c r="B361" t="inlineStr">
        <is>
          <t>M1</t>
        </is>
      </c>
      <c r="C361" t="inlineStr">
        <is>
          <t>Cali</t>
        </is>
      </c>
      <c r="D361" t="inlineStr">
        <is>
          <t>3465</t>
        </is>
      </c>
      <c r="E361" t="inlineStr">
        <is>
          <t>TDV</t>
        </is>
      </c>
      <c r="F361" s="23" t="n">
        <v>46276</v>
      </c>
      <c r="G361" t="inlineStr">
        <is>
          <t>provision</t>
        </is>
      </c>
      <c r="H361" s="26" t="n">
        <v>253606240</v>
      </c>
      <c r="I361" t="inlineStr">
        <is>
          <t>bajo</t>
        </is>
      </c>
      <c r="J361" t="inlineStr">
        <is>
          <t>RN-11 y RN-34: provision hasta el cupo operativo antes de bajar del 8 %</t>
        </is>
      </c>
      <c r="K361" t="inlineStr">
        <is>
          <t>Provision en la manana, antes del pagado: con el pronostico, sin provision el saldo bajaria del 8 % del cupo ese dia. Lleva el saldo de 157.393.760 a 411.000.000 COP (cupo 411.000.000). Equipo administrado por TDV.</t>
        </is>
      </c>
      <c r="L361" s="26" t="n">
        <v>411000000</v>
      </c>
      <c r="M361" s="26" t="n">
        <v>157393760</v>
      </c>
      <c r="N361" s="27">
        <f>IF(ISNUMBER(M361),M361/L361,"No aplica")</f>
        <v>0.3829531873479319</v>
      </c>
      <c r="O361" s="25">
        <f>IF(G361="provision",M361+H361,IF(G361="recoleccion",M361-H361,"No aplica"))</f>
        <v>411000000</v>
      </c>
      <c r="P361" s="26" t="n">
        <v>113363</v>
      </c>
    </row>
    <row r="362">
      <c r="A362" t="inlineStr">
        <is>
          <t>PRAGMA</t>
        </is>
      </c>
      <c r="B362" t="inlineStr">
        <is>
          <t>M1</t>
        </is>
      </c>
      <c r="C362" t="inlineStr">
        <is>
          <t>Cali</t>
        </is>
      </c>
      <c r="D362" t="inlineStr">
        <is>
          <t>3465</t>
        </is>
      </c>
      <c r="E362" t="inlineStr">
        <is>
          <t>TDV</t>
        </is>
      </c>
      <c r="F362" s="23" t="n">
        <v>46277</v>
      </c>
      <c r="G362" t="inlineStr">
        <is>
          <t>provision</t>
        </is>
      </c>
      <c r="H362" s="26" t="n">
        <v>273398612</v>
      </c>
      <c r="I362" t="inlineStr">
        <is>
          <t>bajo</t>
        </is>
      </c>
      <c r="J362" t="inlineStr">
        <is>
          <t>RN-11 y RN-34: provision hasta el cupo operativo antes de bajar del 8 %</t>
        </is>
      </c>
      <c r="K362" t="inlineStr">
        <is>
          <t>Provision en la manana, antes del pagado: con el pronostico, sin provision el saldo bajaria del 8 % del cupo ese dia. Lleva el saldo de 137.601.388 a 411.000.000 COP (cupo 411.000.000). Equipo administrado por TDV.</t>
        </is>
      </c>
      <c r="L362" s="26" t="n">
        <v>411000000</v>
      </c>
      <c r="M362" s="26" t="n">
        <v>137601388</v>
      </c>
      <c r="N362" s="27">
        <f>IF(ISNUMBER(M362),M362/L362,"No aplica")</f>
        <v>0.33479656447688566</v>
      </c>
      <c r="O362" s="25">
        <f>IF(G362="provision",M362+H362,IF(G362="recoleccion",M362-H362,"No aplica"))</f>
        <v>411000000</v>
      </c>
      <c r="P362" s="26" t="n">
        <v>120449</v>
      </c>
    </row>
    <row r="363">
      <c r="A363" t="inlineStr">
        <is>
          <t>PRAGMA</t>
        </is>
      </c>
      <c r="B363" t="inlineStr">
        <is>
          <t>M1</t>
        </is>
      </c>
      <c r="C363" t="inlineStr">
        <is>
          <t>Cali</t>
        </is>
      </c>
      <c r="D363" t="inlineStr">
        <is>
          <t>3465</t>
        </is>
      </c>
      <c r="E363" t="inlineStr">
        <is>
          <t>TDV</t>
        </is>
      </c>
      <c r="F363" s="23" t="n">
        <v>46278</v>
      </c>
      <c r="G363" t="inlineStr">
        <is>
          <t>provision</t>
        </is>
      </c>
      <c r="H363" s="26" t="n">
        <v>267838315</v>
      </c>
      <c r="I363" t="inlineStr">
        <is>
          <t>bajo</t>
        </is>
      </c>
      <c r="J363" t="inlineStr">
        <is>
          <t>RN-11 y RN-34: provision hasta el cupo operativo antes de bajar del 8 %</t>
        </is>
      </c>
      <c r="K363" t="inlineStr">
        <is>
          <t>Provision en la manana, antes del pagado: con el pronostico, sin provision el saldo bajaria del 8 % del cupo ese dia. Lleva el saldo de 143.161.685 a 411.000.000 COP (cupo 411.000.000). Equipo administrado por TDV.</t>
        </is>
      </c>
      <c r="L363" s="26" t="n">
        <v>411000000</v>
      </c>
      <c r="M363" s="26" t="n">
        <v>143161685</v>
      </c>
      <c r="N363" s="27">
        <f>IF(ISNUMBER(M363),M363/L363,"No aplica")</f>
        <v>0.3483252676399027</v>
      </c>
      <c r="O363" s="25">
        <f>IF(G363="provision",M363+H363,IF(G363="recoleccion",M363-H363,"No aplica"))</f>
        <v>411000000</v>
      </c>
      <c r="P363" s="26" t="n">
        <v>157103</v>
      </c>
    </row>
    <row r="364">
      <c r="A364" t="inlineStr">
        <is>
          <t>PRAGMA</t>
        </is>
      </c>
      <c r="B364" t="inlineStr">
        <is>
          <t>M1</t>
        </is>
      </c>
      <c r="C364" t="inlineStr">
        <is>
          <t>Cali</t>
        </is>
      </c>
      <c r="D364" t="inlineStr">
        <is>
          <t>3465</t>
        </is>
      </c>
      <c r="E364" t="inlineStr">
        <is>
          <t>TDV</t>
        </is>
      </c>
      <c r="F364" s="23" t="n">
        <v>46280</v>
      </c>
      <c r="G364" t="inlineStr">
        <is>
          <t>provision</t>
        </is>
      </c>
      <c r="H364" s="26" t="n">
        <v>359971736</v>
      </c>
      <c r="I364" t="inlineStr">
        <is>
          <t>bajo</t>
        </is>
      </c>
      <c r="J364" t="inlineStr">
        <is>
          <t>RN-11 y RN-34: provision hasta el cupo operativo antes de bajar del 8 %</t>
        </is>
      </c>
      <c r="K364" t="inlineStr">
        <is>
          <t>Provision en la manana, antes del pagado: con el pronostico, sin provision el saldo bajaria del 8 % del cupo ese dia. Lleva el saldo de 51.028.264 a 411.000.000 COP (cupo 411.000.000). Equipo administrado por TDV.</t>
        </is>
      </c>
      <c r="L364" s="26" t="n">
        <v>411000000</v>
      </c>
      <c r="M364" s="26" t="n">
        <v>51028264</v>
      </c>
      <c r="N364" s="27">
        <f>IF(ISNUMBER(M364),M364/L364,"No aplica")</f>
        <v>0.1241563600973236</v>
      </c>
      <c r="O364" s="25">
        <f>IF(G364="provision",M364+H364,IF(G364="recoleccion",M364-H364,"No aplica"))</f>
        <v>411000000</v>
      </c>
      <c r="P364" s="26" t="n">
        <v>151442</v>
      </c>
    </row>
    <row r="365">
      <c r="A365" t="inlineStr">
        <is>
          <t>PRAGMA</t>
        </is>
      </c>
      <c r="B365" t="inlineStr">
        <is>
          <t>M1</t>
        </is>
      </c>
      <c r="C365" t="inlineStr">
        <is>
          <t>Cali</t>
        </is>
      </c>
      <c r="D365" t="inlineStr">
        <is>
          <t>347</t>
        </is>
      </c>
      <c r="E365" t="inlineStr">
        <is>
          <t>TDV</t>
        </is>
      </c>
      <c r="F365" s="23" t="n">
        <v>46270</v>
      </c>
      <c r="G365" t="inlineStr">
        <is>
          <t>provision</t>
        </is>
      </c>
      <c r="H365" s="26" t="n">
        <v>365945566</v>
      </c>
      <c r="I365" t="inlineStr">
        <is>
          <t>bajo</t>
        </is>
      </c>
      <c r="J365" t="inlineStr">
        <is>
          <t>RN-11 y RN-34: provision hasta el cupo operativo antes de bajar del 8 %</t>
        </is>
      </c>
      <c r="K365" t="inlineStr">
        <is>
          <t>Provision en la manana, antes del pagado: con el pronostico, sin provision el saldo bajaria del 8 % del cupo ese dia. Lleva el saldo de 45.054.434 a 411.000.000 COP (cupo 411.000.000). Equipo administrado por TDV.</t>
        </is>
      </c>
      <c r="L365" s="26" t="n">
        <v>411000000</v>
      </c>
      <c r="M365" s="26" t="n">
        <v>45054434</v>
      </c>
      <c r="N365" s="27">
        <f>IF(ISNUMBER(M365),M365/L365,"No aplica")</f>
        <v>0.10962149391727494</v>
      </c>
      <c r="O365" s="25">
        <f>IF(G365="provision",M365+H365,IF(G365="recoleccion",M365-H365,"No aplica"))</f>
        <v>411000000</v>
      </c>
      <c r="P365" s="26" t="n">
        <v>183693</v>
      </c>
    </row>
    <row r="366">
      <c r="A366" t="inlineStr">
        <is>
          <t>PRAGMA</t>
        </is>
      </c>
      <c r="B366" t="inlineStr">
        <is>
          <t>M1</t>
        </is>
      </c>
      <c r="C366" t="inlineStr">
        <is>
          <t>Cali</t>
        </is>
      </c>
      <c r="D366" t="inlineStr">
        <is>
          <t>347</t>
        </is>
      </c>
      <c r="E366" t="inlineStr">
        <is>
          <t>TDV</t>
        </is>
      </c>
      <c r="F366" s="23" t="n">
        <v>46275</v>
      </c>
      <c r="G366" t="inlineStr">
        <is>
          <t>provision</t>
        </is>
      </c>
      <c r="H366" s="26" t="n">
        <v>339784308</v>
      </c>
      <c r="I366" t="inlineStr">
        <is>
          <t>bajo</t>
        </is>
      </c>
      <c r="J366" t="inlineStr">
        <is>
          <t>RN-11 y RN-34: provision hasta el cupo operativo antes de bajar del 8 %</t>
        </is>
      </c>
      <c r="K366" t="inlineStr">
        <is>
          <t>Provision en la manana, antes del pagado: con el pronostico, sin provision el saldo bajaria del 8 % del cupo ese dia. Lleva el saldo de 71.215.692 a 411.000.000 COP (cupo 411.000.000). Equipo administrado por TDV.</t>
        </is>
      </c>
      <c r="L366" s="26" t="n">
        <v>411000000</v>
      </c>
      <c r="M366" s="26" t="n">
        <v>71215692</v>
      </c>
      <c r="N366" s="27">
        <f>IF(ISNUMBER(M366),M366/L366,"No aplica")</f>
        <v>0.1732741897810219</v>
      </c>
      <c r="O366" s="25">
        <f>IF(G366="provision",M366+H366,IF(G366="recoleccion",M366-H366,"No aplica"))</f>
        <v>411000000</v>
      </c>
      <c r="P366" s="26" t="n">
        <v>171869</v>
      </c>
    </row>
    <row r="367">
      <c r="A367" t="inlineStr">
        <is>
          <t>PRAGMA</t>
        </is>
      </c>
      <c r="B367" t="inlineStr">
        <is>
          <t>M1</t>
        </is>
      </c>
      <c r="C367" t="inlineStr">
        <is>
          <t>Cali</t>
        </is>
      </c>
      <c r="D367" t="inlineStr">
        <is>
          <t>347</t>
        </is>
      </c>
      <c r="E367" t="inlineStr">
        <is>
          <t>TDV</t>
        </is>
      </c>
      <c r="F367" s="23" t="n">
        <v>46280</v>
      </c>
      <c r="G367" t="inlineStr">
        <is>
          <t>provision</t>
        </is>
      </c>
      <c r="H367" s="26" t="n">
        <v>303639843</v>
      </c>
      <c r="I367" t="inlineStr">
        <is>
          <t>bajo</t>
        </is>
      </c>
      <c r="J367" t="inlineStr">
        <is>
          <t>RN-11 y RN-34: provision hasta el cupo operativo antes de bajar del 8 %</t>
        </is>
      </c>
      <c r="K367" t="inlineStr">
        <is>
          <t>Provision en la manana, antes del pagado: con el pronostico, sin provision el saldo bajaria del 8 % del cupo ese dia. Lleva el saldo de 107.360.157 a 411.000.000 COP (cupo 411.000.000). Equipo administrado por TDV.</t>
        </is>
      </c>
      <c r="L367" s="26" t="n">
        <v>411000000</v>
      </c>
      <c r="M367" s="26" t="n">
        <v>107360157</v>
      </c>
      <c r="N367" s="27">
        <f>IF(ISNUMBER(M367),M367/L367,"No aplica")</f>
        <v>0.26121692700729926</v>
      </c>
      <c r="O367" s="25">
        <f>IF(G367="provision",M367+H367,IF(G367="recoleccion",M367-H367,"No aplica"))</f>
        <v>411000000</v>
      </c>
      <c r="P367" s="26" t="n">
        <v>155531</v>
      </c>
    </row>
    <row r="368">
      <c r="A368" t="inlineStr">
        <is>
          <t>PRAGMA</t>
        </is>
      </c>
      <c r="B368" t="inlineStr">
        <is>
          <t>M1</t>
        </is>
      </c>
      <c r="C368" t="inlineStr">
        <is>
          <t>Cali</t>
        </is>
      </c>
      <c r="D368" t="inlineStr">
        <is>
          <t>3497</t>
        </is>
      </c>
      <c r="E368" t="inlineStr">
        <is>
          <t>Sucursal</t>
        </is>
      </c>
      <c r="F368" s="23" t="n">
        <v>46268</v>
      </c>
      <c r="G368" t="inlineStr">
        <is>
          <t>provision</t>
        </is>
      </c>
      <c r="H368" s="26" t="n">
        <v>371640138</v>
      </c>
      <c r="I368" t="inlineStr">
        <is>
          <t>bajo</t>
        </is>
      </c>
      <c r="J368" t="inlineStr">
        <is>
          <t>RN-11 y RN-34: provision hasta el cupo operativo antes de bajar del 8 %</t>
        </is>
      </c>
      <c r="K368" t="inlineStr">
        <is>
          <t>Provision en la manana, antes del pagado: con el pronostico, sin provision el saldo bajaria del 8 % del cupo ese dia. Lleva el saldo de 78.359.862 a 450.000.000 COP (cupo 450.000.000). Equipo administrado por Sucursal. Sin tarifa TDV (administrado por la sucursal): costo 0 declarado.</t>
        </is>
      </c>
      <c r="L368" s="26" t="n">
        <v>450000000</v>
      </c>
      <c r="M368" s="26" t="n">
        <v>78359862</v>
      </c>
      <c r="N368" s="27">
        <f>IF(ISNUMBER(M368),M368/L368,"No aplica")</f>
        <v>0.17413302666666666</v>
      </c>
      <c r="O368" s="25">
        <f>IF(G368="provision",M368+H368,IF(G368="recoleccion",M368-H368,"No aplica"))</f>
        <v>450000000</v>
      </c>
      <c r="P368" s="26" t="n">
        <v>0</v>
      </c>
    </row>
    <row r="369">
      <c r="A369" t="inlineStr">
        <is>
          <t>PRAGMA</t>
        </is>
      </c>
      <c r="B369" t="inlineStr">
        <is>
          <t>M1</t>
        </is>
      </c>
      <c r="C369" t="inlineStr">
        <is>
          <t>Cali</t>
        </is>
      </c>
      <c r="D369" t="inlineStr">
        <is>
          <t>3497</t>
        </is>
      </c>
      <c r="E369" t="inlineStr">
        <is>
          <t>Sucursal</t>
        </is>
      </c>
      <c r="F369" s="23" t="n">
        <v>46270</v>
      </c>
      <c r="G369" t="inlineStr">
        <is>
          <t>provision</t>
        </is>
      </c>
      <c r="H369" s="26" t="n">
        <v>285610150</v>
      </c>
      <c r="I369" t="inlineStr">
        <is>
          <t>bajo</t>
        </is>
      </c>
      <c r="J369" t="inlineStr">
        <is>
          <t>RN-11 y RN-34: provision hasta el cupo operativo antes de bajar del 8 %</t>
        </is>
      </c>
      <c r="K369" t="inlineStr">
        <is>
          <t>Provision en la manana, antes del pagado: con el pronostico, sin provision el saldo bajaria del 8 % del cupo ese dia. Lleva el saldo de 164.389.850 a 450.000.000 COP (cupo 450.000.000). Equipo administrado por Sucursal. Sin tarifa TDV (administrado por la sucursal): costo 0 declarado.</t>
        </is>
      </c>
      <c r="L369" s="26" t="n">
        <v>450000000</v>
      </c>
      <c r="M369" s="26" t="n">
        <v>164389850</v>
      </c>
      <c r="N369" s="27">
        <f>IF(ISNUMBER(M369),M369/L369,"No aplica")</f>
        <v>0.36531077777777776</v>
      </c>
      <c r="O369" s="25">
        <f>IF(G369="provision",M369+H369,IF(G369="recoleccion",M369-H369,"No aplica"))</f>
        <v>450000000</v>
      </c>
      <c r="P369" s="26" t="n">
        <v>0</v>
      </c>
    </row>
    <row r="370">
      <c r="A370" t="inlineStr">
        <is>
          <t>PRAGMA</t>
        </is>
      </c>
      <c r="B370" t="inlineStr">
        <is>
          <t>M1</t>
        </is>
      </c>
      <c r="C370" t="inlineStr">
        <is>
          <t>Cali</t>
        </is>
      </c>
      <c r="D370" t="inlineStr">
        <is>
          <t>3497</t>
        </is>
      </c>
      <c r="E370" t="inlineStr">
        <is>
          <t>Sucursal</t>
        </is>
      </c>
      <c r="F370" s="23" t="n">
        <v>46273</v>
      </c>
      <c r="G370" t="inlineStr">
        <is>
          <t>provision</t>
        </is>
      </c>
      <c r="H370" s="26" t="n">
        <v>355161888</v>
      </c>
      <c r="I370" t="inlineStr">
        <is>
          <t>bajo</t>
        </is>
      </c>
      <c r="J370" t="inlineStr">
        <is>
          <t>RN-11 y RN-34: provision hasta el cupo operativo antes de bajar del 8 %</t>
        </is>
      </c>
      <c r="K370" t="inlineStr">
        <is>
          <t>Provision en la manana, antes del pagado: con el pronostico, sin provision el saldo bajaria del 8 % del cupo ese dia. Lleva el saldo de 94.838.112 a 450.000.000 COP (cupo 450.000.000). Equipo administrado por Sucursal. Sin tarifa TDV (administrado por la sucursal): costo 0 declarado.</t>
        </is>
      </c>
      <c r="L370" s="26" t="n">
        <v>450000000</v>
      </c>
      <c r="M370" s="26" t="n">
        <v>94838112</v>
      </c>
      <c r="N370" s="27">
        <f>IF(ISNUMBER(M370),M370/L370,"No aplica")</f>
        <v>0.21075136</v>
      </c>
      <c r="O370" s="25">
        <f>IF(G370="provision",M370+H370,IF(G370="recoleccion",M370-H370,"No aplica"))</f>
        <v>450000000</v>
      </c>
      <c r="P370" s="26" t="n">
        <v>0</v>
      </c>
    </row>
    <row r="371">
      <c r="A371" t="inlineStr">
        <is>
          <t>PRAGMA</t>
        </is>
      </c>
      <c r="B371" t="inlineStr">
        <is>
          <t>M1</t>
        </is>
      </c>
      <c r="C371" t="inlineStr">
        <is>
          <t>Cali</t>
        </is>
      </c>
      <c r="D371" t="inlineStr">
        <is>
          <t>3497</t>
        </is>
      </c>
      <c r="E371" t="inlineStr">
        <is>
          <t>Sucursal</t>
        </is>
      </c>
      <c r="F371" s="23" t="n">
        <v>46277</v>
      </c>
      <c r="G371" t="inlineStr">
        <is>
          <t>provision</t>
        </is>
      </c>
      <c r="H371" s="26" t="n">
        <v>403788561</v>
      </c>
      <c r="I371" t="inlineStr">
        <is>
          <t>bajo</t>
        </is>
      </c>
      <c r="J371" t="inlineStr">
        <is>
          <t>RN-11 y RN-34: provision hasta el cupo operativo antes de bajar del 8 %</t>
        </is>
      </c>
      <c r="K371" t="inlineStr">
        <is>
          <t>Provision en la manana, antes del pagado: con el pronostico, sin provision el saldo bajaria del 8 % del cupo ese dia. Lleva el saldo de 46.211.439 a 450.000.000 COP (cupo 450.000.000). Equipo administrado por Sucursal. Sin tarifa TDV (administrado por la sucursal): costo 0 declarado.</t>
        </is>
      </c>
      <c r="L371" s="26" t="n">
        <v>450000000</v>
      </c>
      <c r="M371" s="26" t="n">
        <v>46211439</v>
      </c>
      <c r="N371" s="27">
        <f>IF(ISNUMBER(M371),M371/L371,"No aplica")</f>
        <v>0.10269208666666667</v>
      </c>
      <c r="O371" s="25">
        <f>IF(G371="provision",M371+H371,IF(G371="recoleccion",M371-H371,"No aplica"))</f>
        <v>450000000</v>
      </c>
      <c r="P371" s="26" t="n">
        <v>0</v>
      </c>
    </row>
    <row r="372">
      <c r="A372" t="inlineStr">
        <is>
          <t>PRAGMA</t>
        </is>
      </c>
      <c r="B372" t="inlineStr">
        <is>
          <t>M1</t>
        </is>
      </c>
      <c r="C372" t="inlineStr">
        <is>
          <t>Cali</t>
        </is>
      </c>
      <c r="D372" t="inlineStr">
        <is>
          <t>3497</t>
        </is>
      </c>
      <c r="E372" t="inlineStr">
        <is>
          <t>Sucursal</t>
        </is>
      </c>
      <c r="F372" s="23" t="n">
        <v>46280</v>
      </c>
      <c r="G372" t="inlineStr">
        <is>
          <t>provision</t>
        </is>
      </c>
      <c r="H372" s="26" t="n">
        <v>286901683</v>
      </c>
      <c r="I372" t="inlineStr">
        <is>
          <t>bajo</t>
        </is>
      </c>
      <c r="J372" t="inlineStr">
        <is>
          <t>RN-11 y RN-34: provision hasta el cupo operativo antes de bajar del 8 %</t>
        </is>
      </c>
      <c r="K372" t="inlineStr">
        <is>
          <t>Provision en la manana, antes del pagado: con el pronostico, sin provision el saldo bajaria del 8 % del cupo ese dia. Lleva el saldo de 163.098.317 a 450.000.000 COP (cupo 450.000.000). Equipo administrado por Sucursal. Sin tarifa TDV (administrado por la sucursal): costo 0 declarado.</t>
        </is>
      </c>
      <c r="L372" s="26" t="n">
        <v>450000000</v>
      </c>
      <c r="M372" s="26" t="n">
        <v>163098317</v>
      </c>
      <c r="N372" s="27">
        <f>IF(ISNUMBER(M372),M372/L372,"No aplica")</f>
        <v>0.36244070444444443</v>
      </c>
      <c r="O372" s="25">
        <f>IF(G372="provision",M372+H372,IF(G372="recoleccion",M372-H372,"No aplica"))</f>
        <v>450000000</v>
      </c>
      <c r="P372" s="26" t="n">
        <v>0</v>
      </c>
    </row>
    <row r="373">
      <c r="A373" t="inlineStr">
        <is>
          <t>PRAGMA</t>
        </is>
      </c>
      <c r="B373" t="inlineStr">
        <is>
          <t>M1</t>
        </is>
      </c>
      <c r="C373" t="inlineStr">
        <is>
          <t>Cali</t>
        </is>
      </c>
      <c r="D373" t="inlineStr">
        <is>
          <t>3512</t>
        </is>
      </c>
      <c r="E373" t="inlineStr">
        <is>
          <t>TDV</t>
        </is>
      </c>
      <c r="F373" s="23" t="n">
        <v>46266</v>
      </c>
      <c r="G373" t="inlineStr">
        <is>
          <t>sin_accion</t>
        </is>
      </c>
      <c r="H373" s="26" t="n">
        <v>0</v>
      </c>
      <c r="I373" t="inlineStr">
        <is>
          <t>bajo</t>
        </is>
      </c>
      <c r="J373" t="inlineStr">
        <is>
          <t>RN-02: una fila sin_accion</t>
        </is>
      </c>
      <c r="K373" t="inlineStr">
        <is>
          <t>Sin accion en el horizonte: con el pronostico, el saldo se mantiene entre el umbral de agotamiento y el cupo sin necesidad de provision ni recoleccion.</t>
        </is>
      </c>
      <c r="L373" s="26" t="n">
        <v>500000000</v>
      </c>
      <c r="M373" s="26" t="inlineStr">
        <is>
          <t>No aplica</t>
        </is>
      </c>
      <c r="N373" s="27" t="str">
        <f>IF(ISNUMBER(M373),M373/L373,"No aplica")</f>
        <v>No aplica</v>
      </c>
      <c r="O373" s="25" t="str">
        <f>IF(G373="provision",M373+H373,IF(G373="recoleccion",M373-H373,"No aplica"))</f>
        <v>No aplica</v>
      </c>
      <c r="P373" s="26" t="inlineStr">
        <is>
          <t>No aplica</t>
        </is>
      </c>
    </row>
    <row r="374">
      <c r="A374" t="inlineStr">
        <is>
          <t>PRAGMA</t>
        </is>
      </c>
      <c r="B374" t="inlineStr">
        <is>
          <t>M1</t>
        </is>
      </c>
      <c r="C374" t="inlineStr">
        <is>
          <t>Cali</t>
        </is>
      </c>
      <c r="D374" t="inlineStr">
        <is>
          <t>3568</t>
        </is>
      </c>
      <c r="E374" t="inlineStr">
        <is>
          <t>TDV</t>
        </is>
      </c>
      <c r="F374" s="23" t="n">
        <v>46269</v>
      </c>
      <c r="G374" t="inlineStr">
        <is>
          <t>provision</t>
        </is>
      </c>
      <c r="H374" s="26" t="n">
        <v>349103640</v>
      </c>
      <c r="I374" t="inlineStr">
        <is>
          <t>bajo</t>
        </is>
      </c>
      <c r="J374" t="inlineStr">
        <is>
          <t>RN-11 y RN-34: provision hasta el cupo operativo antes de bajar del 8 %</t>
        </is>
      </c>
      <c r="K374" t="inlineStr">
        <is>
          <t>Provision en la manana, antes del pagado: con el pronostico, sin provision el saldo bajaria del 8 % del cupo ese dia. Lleva el saldo de 61.896.360 a 411.000.000 COP (cupo 411.000.000). Equipo administrado por TDV.</t>
        </is>
      </c>
      <c r="L374" s="26" t="n">
        <v>411000000</v>
      </c>
      <c r="M374" s="26" t="n">
        <v>61896360</v>
      </c>
      <c r="N374" s="27">
        <f>IF(ISNUMBER(M374),M374/L374,"No aplica")</f>
        <v>0.15059941605839416</v>
      </c>
      <c r="O374" s="25">
        <f>IF(G374="provision",M374+H374,IF(G374="recoleccion",M374-H374,"No aplica"))</f>
        <v>411000000</v>
      </c>
      <c r="P374" s="26" t="n">
        <v>185433</v>
      </c>
    </row>
    <row r="375">
      <c r="A375" t="inlineStr">
        <is>
          <t>PRAGMA</t>
        </is>
      </c>
      <c r="B375" t="inlineStr">
        <is>
          <t>M1</t>
        </is>
      </c>
      <c r="C375" t="inlineStr">
        <is>
          <t>Cali</t>
        </is>
      </c>
      <c r="D375" t="inlineStr">
        <is>
          <t>3568</t>
        </is>
      </c>
      <c r="E375" t="inlineStr">
        <is>
          <t>TDV</t>
        </is>
      </c>
      <c r="F375" s="23" t="n">
        <v>46272</v>
      </c>
      <c r="G375" t="inlineStr">
        <is>
          <t>provision</t>
        </is>
      </c>
      <c r="H375" s="26" t="n">
        <v>304656082</v>
      </c>
      <c r="I375" t="inlineStr">
        <is>
          <t>bajo</t>
        </is>
      </c>
      <c r="J375" t="inlineStr">
        <is>
          <t>RN-11 y RN-34: provision hasta el cupo operativo antes de bajar del 8 %</t>
        </is>
      </c>
      <c r="K375" t="inlineStr">
        <is>
          <t>Provision en la manana, antes del pagado: con el pronostico, sin provision el saldo bajaria del 8 % del cupo ese dia. Lleva el saldo de 106.343.918 a 411.000.000 COP (cupo 411.000.000). Equipo administrado por TDV.</t>
        </is>
      </c>
      <c r="L375" s="26" t="n">
        <v>411000000</v>
      </c>
      <c r="M375" s="26" t="n">
        <v>106343918</v>
      </c>
      <c r="N375" s="27">
        <f>IF(ISNUMBER(M375),M375/L375,"No aplica")</f>
        <v>0.2587443260340633</v>
      </c>
      <c r="O375" s="25">
        <f>IF(G375="provision",M375+H375,IF(G375="recoleccion",M375-H375,"No aplica"))</f>
        <v>411000000</v>
      </c>
      <c r="P375" s="26" t="n">
        <v>164409</v>
      </c>
    </row>
    <row r="376">
      <c r="A376" t="inlineStr">
        <is>
          <t>PRAGMA</t>
        </is>
      </c>
      <c r="B376" t="inlineStr">
        <is>
          <t>M1</t>
        </is>
      </c>
      <c r="C376" t="inlineStr">
        <is>
          <t>Cali</t>
        </is>
      </c>
      <c r="D376" t="inlineStr">
        <is>
          <t>3568</t>
        </is>
      </c>
      <c r="E376" t="inlineStr">
        <is>
          <t>TDV</t>
        </is>
      </c>
      <c r="F376" s="23" t="n">
        <v>46277</v>
      </c>
      <c r="G376" t="inlineStr">
        <is>
          <t>provision</t>
        </is>
      </c>
      <c r="H376" s="26" t="n">
        <v>366558733</v>
      </c>
      <c r="I376" t="inlineStr">
        <is>
          <t>bajo</t>
        </is>
      </c>
      <c r="J376" t="inlineStr">
        <is>
          <t>RN-11 y RN-34: provision hasta el cupo operativo antes de bajar del 8 %</t>
        </is>
      </c>
      <c r="K376" t="inlineStr">
        <is>
          <t>Provision en la manana, antes del pagado: con el pronostico, sin provision el saldo bajaria del 8 % del cupo ese dia. Lleva el saldo de 44.441.267 a 411.000.000 COP (cupo 411.000.000). Equipo administrado por TDV.</t>
        </is>
      </c>
      <c r="L376" s="26" t="n">
        <v>411000000</v>
      </c>
      <c r="M376" s="26" t="n">
        <v>44441267</v>
      </c>
      <c r="N376" s="27">
        <f>IF(ISNUMBER(M376),M376/L376,"No aplica")</f>
        <v>0.10812960340632603</v>
      </c>
      <c r="O376" s="25">
        <f>IF(G376="provision",M376+H376,IF(G376="recoleccion",M376-H376,"No aplica"))</f>
        <v>411000000</v>
      </c>
      <c r="P376" s="26" t="n">
        <v>193689</v>
      </c>
    </row>
    <row r="377">
      <c r="A377" t="inlineStr">
        <is>
          <t>PRAGMA</t>
        </is>
      </c>
      <c r="B377" t="inlineStr">
        <is>
          <t>M1</t>
        </is>
      </c>
      <c r="C377" t="inlineStr">
        <is>
          <t>Cali</t>
        </is>
      </c>
      <c r="D377" t="inlineStr">
        <is>
          <t>3571</t>
        </is>
      </c>
      <c r="E377" t="inlineStr">
        <is>
          <t>TDV</t>
        </is>
      </c>
      <c r="F377" s="23" t="n">
        <v>46271</v>
      </c>
      <c r="G377" t="inlineStr">
        <is>
          <t>provision</t>
        </is>
      </c>
      <c r="H377" s="26" t="n">
        <v>405365459</v>
      </c>
      <c r="I377" t="inlineStr">
        <is>
          <t>bajo</t>
        </is>
      </c>
      <c r="J377" t="inlineStr">
        <is>
          <t>RN-11 y RN-34: provision hasta el cupo operativo antes de bajar del 8 %</t>
        </is>
      </c>
      <c r="K377" t="inlineStr">
        <is>
          <t>Provision en la manana, antes del pagado: con el pronostico, sin provision el saldo bajaria del 8 % del cupo ese dia. Lleva el saldo de 94.634.541 a 500.000.000 COP (cupo 500.000.000). Equipo administrado por TDV.</t>
        </is>
      </c>
      <c r="L377" s="26" t="n">
        <v>500000000</v>
      </c>
      <c r="M377" s="26" t="n">
        <v>94634541</v>
      </c>
      <c r="N377" s="27">
        <f>IF(ISNUMBER(M377),M377/L377,"No aplica")</f>
        <v>0.189269082</v>
      </c>
      <c r="O377" s="25">
        <f>IF(G377="provision",M377+H377,IF(G377="recoleccion",M377-H377,"No aplica"))</f>
        <v>500000000</v>
      </c>
      <c r="P377" s="26" t="n">
        <v>184180</v>
      </c>
    </row>
    <row r="378">
      <c r="A378" t="inlineStr">
        <is>
          <t>PRAGMA</t>
        </is>
      </c>
      <c r="B378" t="inlineStr">
        <is>
          <t>M1</t>
        </is>
      </c>
      <c r="C378" t="inlineStr">
        <is>
          <t>Cali</t>
        </is>
      </c>
      <c r="D378" t="inlineStr">
        <is>
          <t>3571</t>
        </is>
      </c>
      <c r="E378" t="inlineStr">
        <is>
          <t>TDV</t>
        </is>
      </c>
      <c r="F378" s="23" t="n">
        <v>46280</v>
      </c>
      <c r="G378" t="inlineStr">
        <is>
          <t>provision</t>
        </is>
      </c>
      <c r="H378" s="26" t="n">
        <v>451486640</v>
      </c>
      <c r="I378" t="inlineStr">
        <is>
          <t>bajo</t>
        </is>
      </c>
      <c r="J378" t="inlineStr">
        <is>
          <t>RN-11 y RN-34: provision hasta el cupo operativo antes de bajar del 8 %</t>
        </is>
      </c>
      <c r="K378" t="inlineStr">
        <is>
          <t>Provision en la manana, antes del pagado: con el pronostico, sin provision el saldo bajaria del 8 % del cupo ese dia. Lleva el saldo de 48.513.360 a 500.000.000 COP (cupo 500.000.000). Equipo administrado por TDV.</t>
        </is>
      </c>
      <c r="L378" s="26" t="n">
        <v>500000000</v>
      </c>
      <c r="M378" s="26" t="n">
        <v>48513360</v>
      </c>
      <c r="N378" s="27">
        <f>IF(ISNUMBER(M378),M378/L378,"No aplica")</f>
        <v>0.09702672</v>
      </c>
      <c r="O378" s="25">
        <f>IF(G378="provision",M378+H378,IF(G378="recoleccion",M378-H378,"No aplica"))</f>
        <v>500000000</v>
      </c>
      <c r="P378" s="26" t="n">
        <v>148991</v>
      </c>
    </row>
    <row r="379">
      <c r="A379" t="inlineStr">
        <is>
          <t>PRAGMA</t>
        </is>
      </c>
      <c r="B379" t="inlineStr">
        <is>
          <t>M1</t>
        </is>
      </c>
      <c r="C379" t="inlineStr">
        <is>
          <t>Cali</t>
        </is>
      </c>
      <c r="D379" t="inlineStr">
        <is>
          <t>3601</t>
        </is>
      </c>
      <c r="E379" t="inlineStr">
        <is>
          <t>TDV</t>
        </is>
      </c>
      <c r="F379" s="23" t="n">
        <v>46266</v>
      </c>
      <c r="G379" t="inlineStr">
        <is>
          <t>sin_accion</t>
        </is>
      </c>
      <c r="H379" s="26" t="n">
        <v>0</v>
      </c>
      <c r="I379" t="inlineStr">
        <is>
          <t>bajo</t>
        </is>
      </c>
      <c r="J379" t="inlineStr">
        <is>
          <t>RN-02: una fila sin_accion</t>
        </is>
      </c>
      <c r="K379" t="inlineStr">
        <is>
          <t>Sin accion en el horizonte: con el pronostico, el saldo se mantiene entre el umbral de agotamiento y el cupo sin necesidad de provision ni recoleccion.</t>
        </is>
      </c>
      <c r="L379" s="26" t="n">
        <v>411000000</v>
      </c>
      <c r="M379" s="26" t="inlineStr">
        <is>
          <t>No aplica</t>
        </is>
      </c>
      <c r="N379" s="27" t="str">
        <f>IF(ISNUMBER(M379),M379/L379,"No aplica")</f>
        <v>No aplica</v>
      </c>
      <c r="O379" s="25" t="str">
        <f>IF(G379="provision",M379+H379,IF(G379="recoleccion",M379-H379,"No aplica"))</f>
        <v>No aplica</v>
      </c>
      <c r="P379" s="26" t="inlineStr">
        <is>
          <t>No aplica</t>
        </is>
      </c>
    </row>
    <row r="380">
      <c r="A380" t="inlineStr">
        <is>
          <t>PRAGMA</t>
        </is>
      </c>
      <c r="B380" t="inlineStr">
        <is>
          <t>M1</t>
        </is>
      </c>
      <c r="C380" t="inlineStr">
        <is>
          <t>Cali</t>
        </is>
      </c>
      <c r="D380" t="inlineStr">
        <is>
          <t>3668</t>
        </is>
      </c>
      <c r="E380" t="inlineStr">
        <is>
          <t>TDV</t>
        </is>
      </c>
      <c r="F380" s="23" t="n">
        <v>46269</v>
      </c>
      <c r="G380" t="inlineStr">
        <is>
          <t>provision</t>
        </is>
      </c>
      <c r="H380" s="26" t="n">
        <v>380445649</v>
      </c>
      <c r="I380" t="inlineStr">
        <is>
          <t>bajo</t>
        </is>
      </c>
      <c r="J380" t="inlineStr">
        <is>
          <t>RN-11 y RN-34: provision hasta el cupo operativo antes de bajar del 8 %</t>
        </is>
      </c>
      <c r="K380" t="inlineStr">
        <is>
          <t>Provision en la manana, antes del pagado: con el pronostico, sin provision el saldo bajaria del 8 % del cupo ese dia. Lleva el saldo de 119.554.351 a 500.000.000 COP (cupo 500.000.000). Equipo administrado por TDV.</t>
        </is>
      </c>
      <c r="L380" s="26" t="n">
        <v>500000000</v>
      </c>
      <c r="M380" s="26" t="n">
        <v>119554351</v>
      </c>
      <c r="N380" s="27">
        <f>IF(ISNUMBER(M380),M380/L380,"No aplica")</f>
        <v>0.239108702</v>
      </c>
      <c r="O380" s="25">
        <f>IF(G380="provision",M380+H380,IF(G380="recoleccion",M380-H380,"No aplica"))</f>
        <v>500000000</v>
      </c>
      <c r="P380" s="26" t="n">
        <v>159799</v>
      </c>
    </row>
    <row r="381">
      <c r="A381" t="inlineStr">
        <is>
          <t>PRAGMA</t>
        </is>
      </c>
      <c r="B381" t="inlineStr">
        <is>
          <t>M1</t>
        </is>
      </c>
      <c r="C381" t="inlineStr">
        <is>
          <t>Cali</t>
        </is>
      </c>
      <c r="D381" t="inlineStr">
        <is>
          <t>3668</t>
        </is>
      </c>
      <c r="E381" t="inlineStr">
        <is>
          <t>TDV</t>
        </is>
      </c>
      <c r="F381" s="23" t="n">
        <v>46274</v>
      </c>
      <c r="G381" t="inlineStr">
        <is>
          <t>provision</t>
        </is>
      </c>
      <c r="H381" s="26" t="n">
        <v>407972259</v>
      </c>
      <c r="I381" t="inlineStr">
        <is>
          <t>bajo</t>
        </is>
      </c>
      <c r="J381" t="inlineStr">
        <is>
          <t>RN-11 y RN-34: provision hasta el cupo operativo antes de bajar del 8 %</t>
        </is>
      </c>
      <c r="K381" t="inlineStr">
        <is>
          <t>Provision en la manana, antes del pagado: con el pronostico, sin provision el saldo bajaria del 8 % del cupo ese dia. Lleva el saldo de 92.027.741 a 500.000.000 COP (cupo 500.000.000). Equipo administrado por TDV.</t>
        </is>
      </c>
      <c r="L381" s="26" t="n">
        <v>500000000</v>
      </c>
      <c r="M381" s="26" t="n">
        <v>92027741</v>
      </c>
      <c r="N381" s="27">
        <f>IF(ISNUMBER(M381),M381/L381,"No aplica")</f>
        <v>0.184055482</v>
      </c>
      <c r="O381" s="25">
        <f>IF(G381="provision",M381+H381,IF(G381="recoleccion",M381-H381,"No aplica"))</f>
        <v>500000000</v>
      </c>
      <c r="P381" s="26" t="n">
        <v>169653</v>
      </c>
    </row>
    <row r="382">
      <c r="A382" t="inlineStr">
        <is>
          <t>PRAGMA</t>
        </is>
      </c>
      <c r="B382" t="inlineStr">
        <is>
          <t>M1</t>
        </is>
      </c>
      <c r="C382" t="inlineStr">
        <is>
          <t>Cali</t>
        </is>
      </c>
      <c r="D382" t="inlineStr">
        <is>
          <t>3668</t>
        </is>
      </c>
      <c r="E382" t="inlineStr">
        <is>
          <t>TDV</t>
        </is>
      </c>
      <c r="F382" s="23" t="n">
        <v>46280</v>
      </c>
      <c r="G382" t="inlineStr">
        <is>
          <t>provision</t>
        </is>
      </c>
      <c r="H382" s="26" t="n">
        <v>434237493</v>
      </c>
      <c r="I382" t="inlineStr">
        <is>
          <t>bajo</t>
        </is>
      </c>
      <c r="J382" t="inlineStr">
        <is>
          <t>RN-11 y RN-34: provision hasta el cupo operativo antes de bajar del 8 %</t>
        </is>
      </c>
      <c r="K382" t="inlineStr">
        <is>
          <t>Provision en la manana, antes del pagado: con el pronostico, sin provision el saldo bajaria del 8 % del cupo ese dia. Lleva el saldo de 65.762.507 a 500.000.000 COP (cupo 500.000.000). Equipo administrado por TDV.</t>
        </is>
      </c>
      <c r="L382" s="26" t="n">
        <v>500000000</v>
      </c>
      <c r="M382" s="26" t="n">
        <v>65762507</v>
      </c>
      <c r="N382" s="27">
        <f>IF(ISNUMBER(M382),M382/L382,"No aplica")</f>
        <v>0.131525014</v>
      </c>
      <c r="O382" s="25">
        <f>IF(G382="provision",M382+H382,IF(G382="recoleccion",M382-H382,"No aplica"))</f>
        <v>500000000</v>
      </c>
      <c r="P382" s="26" t="n">
        <v>179056</v>
      </c>
    </row>
    <row r="383">
      <c r="A383" t="inlineStr">
        <is>
          <t>PRAGMA</t>
        </is>
      </c>
      <c r="B383" t="inlineStr">
        <is>
          <t>M1</t>
        </is>
      </c>
      <c r="C383" t="inlineStr">
        <is>
          <t>Cali</t>
        </is>
      </c>
      <c r="D383" t="inlineStr">
        <is>
          <t>3692</t>
        </is>
      </c>
      <c r="E383" t="inlineStr">
        <is>
          <t>TDV</t>
        </is>
      </c>
      <c r="F383" s="23" t="n">
        <v>46271</v>
      </c>
      <c r="G383" t="inlineStr">
        <is>
          <t>provision</t>
        </is>
      </c>
      <c r="H383" s="26" t="n">
        <v>374961144</v>
      </c>
      <c r="I383" t="inlineStr">
        <is>
          <t>bajo</t>
        </is>
      </c>
      <c r="J383" t="inlineStr">
        <is>
          <t>RN-11 y RN-34: provision hasta el cupo operativo antes de bajar del 8 %</t>
        </is>
      </c>
      <c r="K383" t="inlineStr">
        <is>
          <t>Provision en la manana, antes del pagado: con el pronostico, sin provision el saldo bajaria del 8 % del cupo ese dia. Lleva el saldo de 36.038.856 a 411.000.000 COP (cupo 411.000.000). Equipo administrado por TDV.</t>
        </is>
      </c>
      <c r="L383" s="26" t="n">
        <v>411000000</v>
      </c>
      <c r="M383" s="26" t="n">
        <v>36038856</v>
      </c>
      <c r="N383" s="27">
        <f>IF(ISNUMBER(M383),M383/L383,"No aplica")</f>
        <v>0.08768578102189781</v>
      </c>
      <c r="O383" s="25">
        <f>IF(G383="provision",M383+H383,IF(G383="recoleccion",M383-H383,"No aplica"))</f>
        <v>411000000</v>
      </c>
      <c r="P383" s="26" t="n">
        <v>172048</v>
      </c>
    </row>
    <row r="384">
      <c r="A384" t="inlineStr">
        <is>
          <t>PRAGMA</t>
        </is>
      </c>
      <c r="B384" t="inlineStr">
        <is>
          <t>M1</t>
        </is>
      </c>
      <c r="C384" t="inlineStr">
        <is>
          <t>Cali</t>
        </is>
      </c>
      <c r="D384" t="inlineStr">
        <is>
          <t>3692</t>
        </is>
      </c>
      <c r="E384" t="inlineStr">
        <is>
          <t>TDV</t>
        </is>
      </c>
      <c r="F384" s="23" t="n">
        <v>46280</v>
      </c>
      <c r="G384" t="inlineStr">
        <is>
          <t>provision</t>
        </is>
      </c>
      <c r="H384" s="26" t="n">
        <v>337954352</v>
      </c>
      <c r="I384" t="inlineStr">
        <is>
          <t>bajo</t>
        </is>
      </c>
      <c r="J384" t="inlineStr">
        <is>
          <t>RN-11 y RN-34: provision hasta el cupo operativo antes de bajar del 8 %</t>
        </is>
      </c>
      <c r="K384" t="inlineStr">
        <is>
          <t>Provision en la manana, antes del pagado: con el pronostico, sin provision el saldo bajaria del 8 % del cupo ese dia. Lleva el saldo de 73.045.648 a 411.000.000 COP (cupo 411.000.000). Equipo administrado por TDV.</t>
        </is>
      </c>
      <c r="L384" s="26" t="n">
        <v>411000000</v>
      </c>
      <c r="M384" s="26" t="n">
        <v>73045648</v>
      </c>
      <c r="N384" s="27">
        <f>IF(ISNUMBER(M384),M384/L384,"No aplica")</f>
        <v>0.17772663746958636</v>
      </c>
      <c r="O384" s="25">
        <f>IF(G384="provision",M384+H384,IF(G384="recoleccion",M384-H384,"No aplica"))</f>
        <v>411000000</v>
      </c>
      <c r="P384" s="26" t="n">
        <v>115613</v>
      </c>
    </row>
    <row r="385">
      <c r="A385" t="inlineStr">
        <is>
          <t>PRAGMA</t>
        </is>
      </c>
      <c r="B385" t="inlineStr">
        <is>
          <t>M1</t>
        </is>
      </c>
      <c r="C385" t="inlineStr">
        <is>
          <t>Cali</t>
        </is>
      </c>
      <c r="D385" t="inlineStr">
        <is>
          <t>3695</t>
        </is>
      </c>
      <c r="E385" t="inlineStr">
        <is>
          <t>TDV</t>
        </is>
      </c>
      <c r="F385" s="23" t="n">
        <v>46269</v>
      </c>
      <c r="G385" t="inlineStr">
        <is>
          <t>provision</t>
        </is>
      </c>
      <c r="H385" s="26" t="n">
        <v>365738875</v>
      </c>
      <c r="I385" t="inlineStr">
        <is>
          <t>bajo</t>
        </is>
      </c>
      <c r="J385" t="inlineStr">
        <is>
          <t>RN-11 y RN-34: provision hasta el cupo operativo antes de bajar del 8 %</t>
        </is>
      </c>
      <c r="K385" t="inlineStr">
        <is>
          <t>Provision en la manana, antes del pagado: con el pronostico, sin provision el saldo bajaria del 8 % del cupo ese dia. Lleva el saldo de 45.261.125 a 411.000.000 COP (cupo 411.000.000). Equipo administrado por TDV.</t>
        </is>
      </c>
      <c r="L385" s="26" t="n">
        <v>411000000</v>
      </c>
      <c r="M385" s="26" t="n">
        <v>45261125</v>
      </c>
      <c r="N385" s="27">
        <f>IF(ISNUMBER(M385),M385/L385,"No aplica")</f>
        <v>0.11012439172749391</v>
      </c>
      <c r="O385" s="25">
        <f>IF(G385="provision",M385+H385,IF(G385="recoleccion",M385-H385,"No aplica"))</f>
        <v>411000000</v>
      </c>
      <c r="P385" s="26" t="n">
        <v>123781</v>
      </c>
    </row>
    <row r="386">
      <c r="A386" t="inlineStr">
        <is>
          <t>PRAGMA</t>
        </is>
      </c>
      <c r="B386" t="inlineStr">
        <is>
          <t>M1</t>
        </is>
      </c>
      <c r="C386" t="inlineStr">
        <is>
          <t>Cali</t>
        </is>
      </c>
      <c r="D386" t="inlineStr">
        <is>
          <t>3695</t>
        </is>
      </c>
      <c r="E386" t="inlineStr">
        <is>
          <t>TDV</t>
        </is>
      </c>
      <c r="F386" s="23" t="n">
        <v>46273</v>
      </c>
      <c r="G386" t="inlineStr">
        <is>
          <t>provision</t>
        </is>
      </c>
      <c r="H386" s="26" t="n">
        <v>356206359</v>
      </c>
      <c r="I386" t="inlineStr">
        <is>
          <t>bajo</t>
        </is>
      </c>
      <c r="J386" t="inlineStr">
        <is>
          <t>RN-11 y RN-34: provision hasta el cupo operativo antes de bajar del 8 %</t>
        </is>
      </c>
      <c r="K386" t="inlineStr">
        <is>
          <t>Provision en la manana, antes del pagado: con el pronostico, sin provision el saldo bajaria del 8 % del cupo ese dia. Lleva el saldo de 54.793.641 a 411.000.000 COP (cupo 411.000.000). Equipo administrado por TDV.</t>
        </is>
      </c>
      <c r="L386" s="26" t="n">
        <v>411000000</v>
      </c>
      <c r="M386" s="26" t="n">
        <v>54793641</v>
      </c>
      <c r="N386" s="27">
        <f>IF(ISNUMBER(M386),M386/L386,"No aplica")</f>
        <v>0.1333178613138686</v>
      </c>
      <c r="O386" s="25">
        <f>IF(G386="provision",M386+H386,IF(G386="recoleccion",M386-H386,"No aplica"))</f>
        <v>411000000</v>
      </c>
      <c r="P386" s="26" t="n">
        <v>120979</v>
      </c>
    </row>
    <row r="387">
      <c r="A387" t="inlineStr">
        <is>
          <t>PRAGMA</t>
        </is>
      </c>
      <c r="B387" t="inlineStr">
        <is>
          <t>M1</t>
        </is>
      </c>
      <c r="C387" t="inlineStr">
        <is>
          <t>Cali</t>
        </is>
      </c>
      <c r="D387" t="inlineStr">
        <is>
          <t>3695</t>
        </is>
      </c>
      <c r="E387" t="inlineStr">
        <is>
          <t>TDV</t>
        </is>
      </c>
      <c r="F387" s="23" t="n">
        <v>46278</v>
      </c>
      <c r="G387" t="inlineStr">
        <is>
          <t>provision</t>
        </is>
      </c>
      <c r="H387" s="26" t="n">
        <v>333818129</v>
      </c>
      <c r="I387" t="inlineStr">
        <is>
          <t>bajo</t>
        </is>
      </c>
      <c r="J387" t="inlineStr">
        <is>
          <t>RN-11 y RN-34: provision hasta el cupo operativo antes de bajar del 8 %</t>
        </is>
      </c>
      <c r="K387" t="inlineStr">
        <is>
          <t>Provision en la manana, antes del pagado: con el pronostico, sin provision el saldo bajaria del 8 % del cupo ese dia. Lleva el saldo de 77.181.871 a 411.000.000 COP (cupo 411.000.000). Equipo administrado por TDV.</t>
        </is>
      </c>
      <c r="L387" s="26" t="n">
        <v>411000000</v>
      </c>
      <c r="M387" s="26" t="n">
        <v>77181871</v>
      </c>
      <c r="N387" s="27">
        <f>IF(ISNUMBER(M387),M387/L387,"No aplica")</f>
        <v>0.1877904403892944</v>
      </c>
      <c r="O387" s="25">
        <f>IF(G387="provision",M387+H387,IF(G387="recoleccion",M387-H387,"No aplica"))</f>
        <v>411000000</v>
      </c>
      <c r="P387" s="26" t="n">
        <v>155632</v>
      </c>
    </row>
    <row r="388">
      <c r="A388" t="inlineStr">
        <is>
          <t>PRAGMA</t>
        </is>
      </c>
      <c r="B388" t="inlineStr">
        <is>
          <t>M1</t>
        </is>
      </c>
      <c r="C388" t="inlineStr">
        <is>
          <t>Cali</t>
        </is>
      </c>
      <c r="D388" t="inlineStr">
        <is>
          <t>3724</t>
        </is>
      </c>
      <c r="E388" t="inlineStr">
        <is>
          <t>TDV</t>
        </is>
      </c>
      <c r="F388" s="23" t="n">
        <v>46266</v>
      </c>
      <c r="G388" t="inlineStr">
        <is>
          <t>sin_accion</t>
        </is>
      </c>
      <c r="H388" s="26" t="n">
        <v>0</v>
      </c>
      <c r="I388" t="inlineStr">
        <is>
          <t>bajo</t>
        </is>
      </c>
      <c r="J388" t="inlineStr">
        <is>
          <t>RN-02: una fila sin_accion</t>
        </is>
      </c>
      <c r="K388" t="inlineStr">
        <is>
          <t>Sin accion en el horizonte: con el pronostico, el saldo se mantiene entre el umbral de agotamiento y el cupo sin necesidad de provision ni recoleccion.</t>
        </is>
      </c>
      <c r="L388" s="26" t="n">
        <v>500000000</v>
      </c>
      <c r="M388" s="26" t="inlineStr">
        <is>
          <t>No aplica</t>
        </is>
      </c>
      <c r="N388" s="27" t="str">
        <f>IF(ISNUMBER(M388),M388/L388,"No aplica")</f>
        <v>No aplica</v>
      </c>
      <c r="O388" s="25" t="str">
        <f>IF(G388="provision",M388+H388,IF(G388="recoleccion",M388-H388,"No aplica"))</f>
        <v>No aplica</v>
      </c>
      <c r="P388" s="26" t="inlineStr">
        <is>
          <t>No aplica</t>
        </is>
      </c>
    </row>
    <row r="389">
      <c r="A389" t="inlineStr">
        <is>
          <t>PRAGMA</t>
        </is>
      </c>
      <c r="B389" t="inlineStr">
        <is>
          <t>M1</t>
        </is>
      </c>
      <c r="C389" t="inlineStr">
        <is>
          <t>Cali</t>
        </is>
      </c>
      <c r="D389" t="inlineStr">
        <is>
          <t>3781</t>
        </is>
      </c>
      <c r="E389" t="inlineStr">
        <is>
          <t>TDV</t>
        </is>
      </c>
      <c r="F389" s="23" t="n">
        <v>46268</v>
      </c>
      <c r="G389" t="inlineStr">
        <is>
          <t>provision</t>
        </is>
      </c>
      <c r="H389" s="26" t="n">
        <v>343240796</v>
      </c>
      <c r="I389" t="inlineStr">
        <is>
          <t>bajo</t>
        </is>
      </c>
      <c r="J389" t="inlineStr">
        <is>
          <t>RN-11 y RN-34: provision hasta el cupo operativo antes de bajar del 8 %</t>
        </is>
      </c>
      <c r="K389" t="inlineStr">
        <is>
          <t>Provision en la manana, antes del pagado: con el pronostico, sin provision el saldo bajaria del 8 % del cupo ese dia. Lleva el saldo de 61.759.204 a 405.000.000 COP (cupo 405.000.000). Equipo administrado por TDV.</t>
        </is>
      </c>
      <c r="L389" s="26" t="n">
        <v>405000000</v>
      </c>
      <c r="M389" s="26" t="n">
        <v>61759204</v>
      </c>
      <c r="N389" s="27">
        <f>IF(ISNUMBER(M389),M389/L389,"No aplica")</f>
        <v>0.15249186172839507</v>
      </c>
      <c r="O389" s="25">
        <f>IF(G389="provision",M389+H389,IF(G389="recoleccion",M389-H389,"No aplica"))</f>
        <v>405000000</v>
      </c>
      <c r="P389" s="26" t="n">
        <v>182660</v>
      </c>
    </row>
    <row r="390">
      <c r="A390" t="inlineStr">
        <is>
          <t>PRAGMA</t>
        </is>
      </c>
      <c r="B390" t="inlineStr">
        <is>
          <t>M1</t>
        </is>
      </c>
      <c r="C390" t="inlineStr">
        <is>
          <t>Cali</t>
        </is>
      </c>
      <c r="D390" t="inlineStr">
        <is>
          <t>3781</t>
        </is>
      </c>
      <c r="E390" t="inlineStr">
        <is>
          <t>TDV</t>
        </is>
      </c>
      <c r="F390" s="23" t="n">
        <v>46270</v>
      </c>
      <c r="G390" t="inlineStr">
        <is>
          <t>provision</t>
        </is>
      </c>
      <c r="H390" s="26" t="n">
        <v>268679471</v>
      </c>
      <c r="I390" t="inlineStr">
        <is>
          <t>bajo</t>
        </is>
      </c>
      <c r="J390" t="inlineStr">
        <is>
          <t>RN-11 y RN-34: provision hasta el cupo operativo antes de bajar del 8 %</t>
        </is>
      </c>
      <c r="K390" t="inlineStr">
        <is>
          <t>Provision en la manana, antes del pagado: con el pronostico, sin provision el saldo bajaria del 8 % del cupo ese dia. Lleva el saldo de 136.320.529 a 405.000.000 COP (cupo 405.000.000). Equipo administrado por TDV.</t>
        </is>
      </c>
      <c r="L390" s="26" t="n">
        <v>405000000</v>
      </c>
      <c r="M390" s="26" t="n">
        <v>136320529</v>
      </c>
      <c r="N390" s="27">
        <f>IF(ISNUMBER(M390),M390/L390,"No aplica")</f>
        <v>0.3365938987654321</v>
      </c>
      <c r="O390" s="25">
        <f>IF(G390="provision",M390+H390,IF(G390="recoleccion",M390-H390,"No aplica"))</f>
        <v>405000000</v>
      </c>
      <c r="P390" s="26" t="n">
        <v>147392</v>
      </c>
    </row>
    <row r="391">
      <c r="A391" t="inlineStr">
        <is>
          <t>PRAGMA</t>
        </is>
      </c>
      <c r="B391" t="inlineStr">
        <is>
          <t>M1</t>
        </is>
      </c>
      <c r="C391" t="inlineStr">
        <is>
          <t>Cali</t>
        </is>
      </c>
      <c r="D391" t="inlineStr">
        <is>
          <t>3781</t>
        </is>
      </c>
      <c r="E391" t="inlineStr">
        <is>
          <t>TDV</t>
        </is>
      </c>
      <c r="F391" s="23" t="n">
        <v>46273</v>
      </c>
      <c r="G391" t="inlineStr">
        <is>
          <t>provision</t>
        </is>
      </c>
      <c r="H391" s="26" t="n">
        <v>354319999</v>
      </c>
      <c r="I391" t="inlineStr">
        <is>
          <t>bajo</t>
        </is>
      </c>
      <c r="J391" t="inlineStr">
        <is>
          <t>RN-11 y RN-34: provision hasta el cupo operativo antes de bajar del 8 %</t>
        </is>
      </c>
      <c r="K391" t="inlineStr">
        <is>
          <t>Provision en la manana, antes del pagado: con el pronostico, sin provision el saldo bajaria del 8 % del cupo ese dia. Lleva el saldo de 50.680.001 a 405.000.000 COP (cupo 405.000.000). Equipo administrado por TDV.</t>
        </is>
      </c>
      <c r="L391" s="26" t="n">
        <v>405000000</v>
      </c>
      <c r="M391" s="26" t="n">
        <v>50680001</v>
      </c>
      <c r="N391" s="27">
        <f>IF(ISNUMBER(M391),M391/L391,"No aplica")</f>
        <v>0.12513580493827162</v>
      </c>
      <c r="O391" s="25">
        <f>IF(G391="provision",M391+H391,IF(G391="recoleccion",M391-H391,"No aplica"))</f>
        <v>405000000</v>
      </c>
      <c r="P391" s="26" t="n">
        <v>187900</v>
      </c>
    </row>
    <row r="392">
      <c r="A392" t="inlineStr">
        <is>
          <t>PRAGMA</t>
        </is>
      </c>
      <c r="B392" t="inlineStr">
        <is>
          <t>M1</t>
        </is>
      </c>
      <c r="C392" t="inlineStr">
        <is>
          <t>Cali</t>
        </is>
      </c>
      <c r="D392" t="inlineStr">
        <is>
          <t>3781</t>
        </is>
      </c>
      <c r="E392" t="inlineStr">
        <is>
          <t>TDV</t>
        </is>
      </c>
      <c r="F392" s="23" t="n">
        <v>46276</v>
      </c>
      <c r="G392" t="inlineStr">
        <is>
          <t>provision</t>
        </is>
      </c>
      <c r="H392" s="26" t="n">
        <v>301076791</v>
      </c>
      <c r="I392" t="inlineStr">
        <is>
          <t>bajo</t>
        </is>
      </c>
      <c r="J392" t="inlineStr">
        <is>
          <t>RN-11 y RN-34: provision hasta el cupo operativo antes de bajar del 8 %</t>
        </is>
      </c>
      <c r="K392" t="inlineStr">
        <is>
          <t>Provision en la manana, antes del pagado: con el pronostico, sin provision el saldo bajaria del 8 % del cupo ese dia. Lleva el saldo de 103.923.209 a 405.000.000 COP (cupo 405.000.000). Equipo administrado por TDV.</t>
        </is>
      </c>
      <c r="L392" s="26" t="n">
        <v>405000000</v>
      </c>
      <c r="M392" s="26" t="n">
        <v>103923209</v>
      </c>
      <c r="N392" s="27">
        <f>IF(ISNUMBER(M392),M392/L392,"No aplica")</f>
        <v>0.2566005160493827</v>
      </c>
      <c r="O392" s="25">
        <f>IF(G392="provision",M392+H392,IF(G392="recoleccion",M392-H392,"No aplica"))</f>
        <v>405000000</v>
      </c>
      <c r="P392" s="26" t="n">
        <v>162716</v>
      </c>
    </row>
    <row r="393">
      <c r="A393" t="inlineStr">
        <is>
          <t>PRAGMA</t>
        </is>
      </c>
      <c r="B393" t="inlineStr">
        <is>
          <t>M1</t>
        </is>
      </c>
      <c r="C393" t="inlineStr">
        <is>
          <t>Cali</t>
        </is>
      </c>
      <c r="D393" t="inlineStr">
        <is>
          <t>3781</t>
        </is>
      </c>
      <c r="E393" t="inlineStr">
        <is>
          <t>TDV</t>
        </is>
      </c>
      <c r="F393" s="23" t="n">
        <v>46279</v>
      </c>
      <c r="G393" t="inlineStr">
        <is>
          <t>provision</t>
        </is>
      </c>
      <c r="H393" s="26" t="n">
        <v>288322615</v>
      </c>
      <c r="I393" t="inlineStr">
        <is>
          <t>bajo</t>
        </is>
      </c>
      <c r="J393" t="inlineStr">
        <is>
          <t>RN-11 y RN-34: provision hasta el cupo operativo antes de bajar del 8 %</t>
        </is>
      </c>
      <c r="K393" t="inlineStr">
        <is>
          <t>Provision en la manana, antes del pagado: con el pronostico, sin provision el saldo bajaria del 8 % del cupo ese dia. Lleva el saldo de 116.677.385 a 405.000.000 COP (cupo 405.000.000). Equipo administrado por TDV.</t>
        </is>
      </c>
      <c r="L393" s="26" t="n">
        <v>405000000</v>
      </c>
      <c r="M393" s="26" t="n">
        <v>116677385</v>
      </c>
      <c r="N393" s="27">
        <f>IF(ISNUMBER(M393),M393/L393,"No aplica")</f>
        <v>0.2880923086419753</v>
      </c>
      <c r="O393" s="25">
        <f>IF(G393="provision",M393+H393,IF(G393="recoleccion",M393-H393,"No aplica"))</f>
        <v>405000000</v>
      </c>
      <c r="P393" s="26" t="n">
        <v>156684</v>
      </c>
    </row>
    <row r="394">
      <c r="A394" t="inlineStr">
        <is>
          <t>PRAGMA</t>
        </is>
      </c>
      <c r="B394" t="inlineStr">
        <is>
          <t>M1</t>
        </is>
      </c>
      <c r="C394" t="inlineStr">
        <is>
          <t>Cali</t>
        </is>
      </c>
      <c r="D394" t="inlineStr">
        <is>
          <t>3815</t>
        </is>
      </c>
      <c r="E394" t="inlineStr">
        <is>
          <t>TDV</t>
        </is>
      </c>
      <c r="F394" s="23" t="n">
        <v>46266</v>
      </c>
      <c r="G394" t="inlineStr">
        <is>
          <t>sin_accion</t>
        </is>
      </c>
      <c r="H394" s="26" t="n">
        <v>0</v>
      </c>
      <c r="I394" t="inlineStr">
        <is>
          <t>bajo</t>
        </is>
      </c>
      <c r="J394" t="inlineStr">
        <is>
          <t>RN-02: una fila sin_accion</t>
        </is>
      </c>
      <c r="K394" t="inlineStr">
        <is>
          <t>Sin accion en el horizonte: con el pronostico, el saldo se mantiene entre el umbral de agotamiento y el cupo sin necesidad de provision ni recoleccion.</t>
        </is>
      </c>
      <c r="L394" s="26" t="n">
        <v>500000000</v>
      </c>
      <c r="M394" s="26" t="inlineStr">
        <is>
          <t>No aplica</t>
        </is>
      </c>
      <c r="N394" s="27" t="str">
        <f>IF(ISNUMBER(M394),M394/L394,"No aplica")</f>
        <v>No aplica</v>
      </c>
      <c r="O394" s="25" t="str">
        <f>IF(G394="provision",M394+H394,IF(G394="recoleccion",M394-H394,"No aplica"))</f>
        <v>No aplica</v>
      </c>
      <c r="P394" s="26" t="inlineStr">
        <is>
          <t>No aplica</t>
        </is>
      </c>
    </row>
    <row r="395">
      <c r="A395" t="inlineStr">
        <is>
          <t>PRAGMA</t>
        </is>
      </c>
      <c r="B395" t="inlineStr">
        <is>
          <t>M1</t>
        </is>
      </c>
      <c r="C395" t="inlineStr">
        <is>
          <t>Ipiales</t>
        </is>
      </c>
      <c r="D395" t="inlineStr">
        <is>
          <t>3869</t>
        </is>
      </c>
      <c r="E395" t="inlineStr">
        <is>
          <t>TDV</t>
        </is>
      </c>
      <c r="F395" s="23" t="n">
        <v>46270</v>
      </c>
      <c r="G395" t="inlineStr">
        <is>
          <t>provision</t>
        </is>
      </c>
      <c r="H395" s="26" t="n">
        <v>398491931</v>
      </c>
      <c r="I395" t="inlineStr">
        <is>
          <t>bajo</t>
        </is>
      </c>
      <c r="J395" t="inlineStr">
        <is>
          <t>RN-11 y RN-34: provision hasta el cupo operativo antes de bajar del 8 %</t>
        </is>
      </c>
      <c r="K395" t="inlineStr">
        <is>
          <t>Provision en la manana, antes del pagado: con el pronostico, sin provision el saldo bajaria del 8 % del cupo ese dia. Lleva el saldo de 101.508.069 a 500.000.000 COP (cupo 500.000.000). Equipo administrado por TDV.</t>
        </is>
      </c>
      <c r="L395" s="26" t="n">
        <v>500000000</v>
      </c>
      <c r="M395" s="26" t="n">
        <v>101508069</v>
      </c>
      <c r="N395" s="27">
        <f>IF(ISNUMBER(M395),M395/L395,"No aplica")</f>
        <v>0.203016138</v>
      </c>
      <c r="O395" s="25">
        <f>IF(G395="provision",M395+H395,IF(G395="recoleccion",M395-H395,"No aplica"))</f>
        <v>500000000</v>
      </c>
      <c r="P395" s="26" t="n">
        <v>142070</v>
      </c>
    </row>
    <row r="396">
      <c r="A396" t="inlineStr">
        <is>
          <t>PRAGMA</t>
        </is>
      </c>
      <c r="B396" t="inlineStr">
        <is>
          <t>M1</t>
        </is>
      </c>
      <c r="C396" t="inlineStr">
        <is>
          <t>Ipiales</t>
        </is>
      </c>
      <c r="D396" t="inlineStr">
        <is>
          <t>3869</t>
        </is>
      </c>
      <c r="E396" t="inlineStr">
        <is>
          <t>TDV</t>
        </is>
      </c>
      <c r="F396" s="23" t="n">
        <v>46276</v>
      </c>
      <c r="G396" t="inlineStr">
        <is>
          <t>provision</t>
        </is>
      </c>
      <c r="H396" s="26" t="n">
        <v>428897030</v>
      </c>
      <c r="I396" t="inlineStr">
        <is>
          <t>bajo</t>
        </is>
      </c>
      <c r="J396" t="inlineStr">
        <is>
          <t>RN-11 y RN-34: provision hasta el cupo operativo antes de bajar del 8 %</t>
        </is>
      </c>
      <c r="K396" t="inlineStr">
        <is>
          <t>Provision en la manana, antes del pagado: con el pronostico, sin provision el saldo bajaria del 8 % del cupo ese dia. Lleva el saldo de 71.102.970 a 500.000.000 COP (cupo 500.000.000). Equipo administrado por TDV.</t>
        </is>
      </c>
      <c r="L396" s="26" t="n">
        <v>500000000</v>
      </c>
      <c r="M396" s="26" t="n">
        <v>71102970</v>
      </c>
      <c r="N396" s="27">
        <f>IF(ISNUMBER(M396),M396/L396,"No aplica")</f>
        <v>0.14220594</v>
      </c>
      <c r="O396" s="25">
        <f>IF(G396="provision",M396+H396,IF(G396="recoleccion",M396-H396,"No aplica"))</f>
        <v>500000000</v>
      </c>
      <c r="P396" s="26" t="n">
        <v>151587</v>
      </c>
    </row>
    <row r="397">
      <c r="A397" t="inlineStr">
        <is>
          <t>PRAGMA</t>
        </is>
      </c>
      <c r="B397" t="inlineStr">
        <is>
          <t>M1</t>
        </is>
      </c>
      <c r="C397" t="inlineStr">
        <is>
          <t>Pasto</t>
        </is>
      </c>
      <c r="D397" t="inlineStr">
        <is>
          <t>3917</t>
        </is>
      </c>
      <c r="E397" t="inlineStr">
        <is>
          <t>TDV</t>
        </is>
      </c>
      <c r="F397" s="23" t="n">
        <v>46268</v>
      </c>
      <c r="G397" t="inlineStr">
        <is>
          <t>provision</t>
        </is>
      </c>
      <c r="H397" s="26" t="n">
        <v>328448473</v>
      </c>
      <c r="I397" t="inlineStr">
        <is>
          <t>bajo</t>
        </is>
      </c>
      <c r="J397" t="inlineStr">
        <is>
          <t>RN-11 y RN-34: provision hasta el cupo operativo antes de bajar del 8 %</t>
        </is>
      </c>
      <c r="K397" t="inlineStr">
        <is>
          <t>Provision en la manana, antes del pagado: con el pronostico, sin provision el saldo bajaria del 8 % del cupo ese dia. Lleva el saldo de 82.551.527 a 411.000.000 COP (cupo 411.000.000). Equipo administrado por TDV.</t>
        </is>
      </c>
      <c r="L397" s="26" t="n">
        <v>411000000</v>
      </c>
      <c r="M397" s="26" t="n">
        <v>82551527</v>
      </c>
      <c r="N397" s="27">
        <f>IF(ISNUMBER(M397),M397/L397,"No aplica")</f>
        <v>0.20085529683698297</v>
      </c>
      <c r="O397" s="25">
        <f>IF(G397="provision",M397+H397,IF(G397="recoleccion",M397-H397,"No aplica"))</f>
        <v>411000000</v>
      </c>
      <c r="P397" s="26" t="n">
        <v>107525</v>
      </c>
    </row>
    <row r="398">
      <c r="A398" t="inlineStr">
        <is>
          <t>PRAGMA</t>
        </is>
      </c>
      <c r="B398" t="inlineStr">
        <is>
          <t>M1</t>
        </is>
      </c>
      <c r="C398" t="inlineStr">
        <is>
          <t>Pasto</t>
        </is>
      </c>
      <c r="D398" t="inlineStr">
        <is>
          <t>3917</t>
        </is>
      </c>
      <c r="E398" t="inlineStr">
        <is>
          <t>TDV</t>
        </is>
      </c>
      <c r="F398" s="23" t="n">
        <v>46270</v>
      </c>
      <c r="G398" t="inlineStr">
        <is>
          <t>provision</t>
        </is>
      </c>
      <c r="H398" s="26" t="n">
        <v>255527169</v>
      </c>
      <c r="I398" t="inlineStr">
        <is>
          <t>bajo</t>
        </is>
      </c>
      <c r="J398" t="inlineStr">
        <is>
          <t>RN-11 y RN-34: provision hasta el cupo operativo antes de bajar del 8 %</t>
        </is>
      </c>
      <c r="K398" t="inlineStr">
        <is>
          <t>Provision en la manana, antes del pagado: con el pronostico, sin provision el saldo bajaria del 8 % del cupo ese dia. Lleva el saldo de 155.472.831 a 411.000.000 COP (cupo 411.000.000). Equipo administrado por TDV.</t>
        </is>
      </c>
      <c r="L398" s="26" t="n">
        <v>411000000</v>
      </c>
      <c r="M398" s="26" t="n">
        <v>155472831</v>
      </c>
      <c r="N398" s="27">
        <f>IF(ISNUMBER(M398),M398/L398,"No aplica")</f>
        <v>0.3782793941605839</v>
      </c>
      <c r="O398" s="25">
        <f>IF(G398="provision",M398+H398,IF(G398="recoleccion",M398-H398,"No aplica"))</f>
        <v>411000000</v>
      </c>
      <c r="P398" s="26" t="n">
        <v>87107</v>
      </c>
    </row>
    <row r="399">
      <c r="A399" t="inlineStr">
        <is>
          <t>PRAGMA</t>
        </is>
      </c>
      <c r="B399" t="inlineStr">
        <is>
          <t>M1</t>
        </is>
      </c>
      <c r="C399" t="inlineStr">
        <is>
          <t>Pasto</t>
        </is>
      </c>
      <c r="D399" t="inlineStr">
        <is>
          <t>3917</t>
        </is>
      </c>
      <c r="E399" t="inlineStr">
        <is>
          <t>TDV</t>
        </is>
      </c>
      <c r="F399" s="23" t="n">
        <v>46272</v>
      </c>
      <c r="G399" t="inlineStr">
        <is>
          <t>provision</t>
        </is>
      </c>
      <c r="H399" s="26" t="n">
        <v>290309011</v>
      </c>
      <c r="I399" t="inlineStr">
        <is>
          <t>bajo</t>
        </is>
      </c>
      <c r="J399" t="inlineStr">
        <is>
          <t>RN-11 y RN-34: provision hasta el cupo operativo antes de bajar del 8 %</t>
        </is>
      </c>
      <c r="K399" t="inlineStr">
        <is>
          <t>Provision en la manana, antes del pagado: con el pronostico, sin provision el saldo bajaria del 8 % del cupo ese dia. Lleva el saldo de 120.690.989 a 411.000.000 COP (cupo 411.000.000). Equipo administrado por TDV.</t>
        </is>
      </c>
      <c r="L399" s="26" t="n">
        <v>411000000</v>
      </c>
      <c r="M399" s="26" t="n">
        <v>120690989</v>
      </c>
      <c r="N399" s="27">
        <f>IF(ISNUMBER(M399),M399/L399,"No aplica")</f>
        <v>0.2936520413625304</v>
      </c>
      <c r="O399" s="25">
        <f>IF(G399="provision",M399+H399,IF(G399="recoleccion",M399-H399,"No aplica"))</f>
        <v>411000000</v>
      </c>
      <c r="P399" s="26" t="n">
        <v>96846</v>
      </c>
    </row>
    <row r="400">
      <c r="A400" t="inlineStr">
        <is>
          <t>PRAGMA</t>
        </is>
      </c>
      <c r="B400" t="inlineStr">
        <is>
          <t>M1</t>
        </is>
      </c>
      <c r="C400" t="inlineStr">
        <is>
          <t>Pasto</t>
        </is>
      </c>
      <c r="D400" t="inlineStr">
        <is>
          <t>3917</t>
        </is>
      </c>
      <c r="E400" t="inlineStr">
        <is>
          <t>TDV</t>
        </is>
      </c>
      <c r="F400" s="23" t="n">
        <v>46275</v>
      </c>
      <c r="G400" t="inlineStr">
        <is>
          <t>provision</t>
        </is>
      </c>
      <c r="H400" s="26" t="n">
        <v>329349065</v>
      </c>
      <c r="I400" t="inlineStr">
        <is>
          <t>bajo</t>
        </is>
      </c>
      <c r="J400" t="inlineStr">
        <is>
          <t>RN-11 y RN-34: provision hasta el cupo operativo antes de bajar del 8 %</t>
        </is>
      </c>
      <c r="K400" t="inlineStr">
        <is>
          <t>Provision en la manana, antes del pagado: con el pronostico, sin provision el saldo bajaria del 8 % del cupo ese dia. Lleva el saldo de 81.650.935 a 411.000.000 COP (cupo 411.000.000). Equipo administrado por TDV.</t>
        </is>
      </c>
      <c r="L400" s="26" t="n">
        <v>411000000</v>
      </c>
      <c r="M400" s="26" t="n">
        <v>81650935</v>
      </c>
      <c r="N400" s="27">
        <f>IF(ISNUMBER(M400),M400/L400,"No aplica")</f>
        <v>0.19866407542579076</v>
      </c>
      <c r="O400" s="25">
        <f>IF(G400="provision",M400+H400,IF(G400="recoleccion",M400-H400,"No aplica"))</f>
        <v>411000000</v>
      </c>
      <c r="P400" s="26" t="n">
        <v>107777</v>
      </c>
    </row>
    <row r="401">
      <c r="A401" t="inlineStr">
        <is>
          <t>PRAGMA</t>
        </is>
      </c>
      <c r="B401" t="inlineStr">
        <is>
          <t>M1</t>
        </is>
      </c>
      <c r="C401" t="inlineStr">
        <is>
          <t>Pasto</t>
        </is>
      </c>
      <c r="D401" t="inlineStr">
        <is>
          <t>3917</t>
        </is>
      </c>
      <c r="E401" t="inlineStr">
        <is>
          <t>TDV</t>
        </is>
      </c>
      <c r="F401" s="23" t="n">
        <v>46278</v>
      </c>
      <c r="G401" t="inlineStr">
        <is>
          <t>provision</t>
        </is>
      </c>
      <c r="H401" s="26" t="n">
        <v>314492584</v>
      </c>
      <c r="I401" t="inlineStr">
        <is>
          <t>bajo</t>
        </is>
      </c>
      <c r="J401" t="inlineStr">
        <is>
          <t>RN-11 y RN-34: provision hasta el cupo operativo antes de bajar del 8 %</t>
        </is>
      </c>
      <c r="K401" t="inlineStr">
        <is>
          <t>Provision en la manana, antes del pagado: con el pronostico, sin provision el saldo bajaria del 8 % del cupo ese dia. Lleva el saldo de 96.507.416 a 411.000.000 COP (cupo 411.000.000). Equipo administrado por TDV.</t>
        </is>
      </c>
      <c r="L401" s="26" t="n">
        <v>411000000</v>
      </c>
      <c r="M401" s="26" t="n">
        <v>96507416</v>
      </c>
      <c r="N401" s="27">
        <f>IF(ISNUMBER(M401),M401/L401,"No aplica")</f>
        <v>0.23481123114355232</v>
      </c>
      <c r="O401" s="25">
        <f>IF(G401="provision",M401+H401,IF(G401="recoleccion",M401-H401,"No aplica"))</f>
        <v>411000000</v>
      </c>
      <c r="P401" s="26" t="n">
        <v>140509</v>
      </c>
    </row>
    <row r="402">
      <c r="A402" t="inlineStr">
        <is>
          <t>PRAGMA</t>
        </is>
      </c>
      <c r="B402" t="inlineStr">
        <is>
          <t>M1</t>
        </is>
      </c>
      <c r="C402" t="inlineStr">
        <is>
          <t>Pasto</t>
        </is>
      </c>
      <c r="D402" t="inlineStr">
        <is>
          <t>3918</t>
        </is>
      </c>
      <c r="E402" t="inlineStr">
        <is>
          <t>Sucursal</t>
        </is>
      </c>
      <c r="F402" s="23" t="n">
        <v>46268</v>
      </c>
      <c r="G402" t="inlineStr">
        <is>
          <t>provision</t>
        </is>
      </c>
      <c r="H402" s="26" t="n">
        <v>313985259</v>
      </c>
      <c r="I402" t="inlineStr">
        <is>
          <t>bajo</t>
        </is>
      </c>
      <c r="J402" t="inlineStr">
        <is>
          <t>RN-11 y RN-34: provision hasta el cupo operativo antes de bajar del 8 %</t>
        </is>
      </c>
      <c r="K402" t="inlineStr">
        <is>
          <t>Provision en la manana, antes del pagado: con el pronostico, sin provision el saldo bajaria del 8 % del cupo ese dia. Lleva el saldo de 97.014.741 a 411.000.000 COP (cupo 411.000.000). Equipo administrado por Sucursal. Sin tarifa TDV (administrado por la sucursal): costo 0 declarado.</t>
        </is>
      </c>
      <c r="L402" s="26" t="n">
        <v>411000000</v>
      </c>
      <c r="M402" s="26" t="n">
        <v>97014741</v>
      </c>
      <c r="N402" s="27">
        <f>IF(ISNUMBER(M402),M402/L402,"No aplica")</f>
        <v>0.23604559854014598</v>
      </c>
      <c r="O402" s="25">
        <f>IF(G402="provision",M402+H402,IF(G402="recoleccion",M402-H402,"No aplica"))</f>
        <v>411000000</v>
      </c>
      <c r="P402" s="26" t="n">
        <v>0</v>
      </c>
    </row>
    <row r="403">
      <c r="A403" t="inlineStr">
        <is>
          <t>PRAGMA</t>
        </is>
      </c>
      <c r="B403" t="inlineStr">
        <is>
          <t>M1</t>
        </is>
      </c>
      <c r="C403" t="inlineStr">
        <is>
          <t>Pasto</t>
        </is>
      </c>
      <c r="D403" t="inlineStr">
        <is>
          <t>3918</t>
        </is>
      </c>
      <c r="E403" t="inlineStr">
        <is>
          <t>Sucursal</t>
        </is>
      </c>
      <c r="F403" s="23" t="n">
        <v>46270</v>
      </c>
      <c r="G403" t="inlineStr">
        <is>
          <t>provision</t>
        </is>
      </c>
      <c r="H403" s="26" t="n">
        <v>249272121</v>
      </c>
      <c r="I403" t="inlineStr">
        <is>
          <t>bajo</t>
        </is>
      </c>
      <c r="J403" t="inlineStr">
        <is>
          <t>RN-11 y RN-34: provision hasta el cupo operativo antes de bajar del 8 %</t>
        </is>
      </c>
      <c r="K403" t="inlineStr">
        <is>
          <t>Provision en la manana, antes del pagado: con el pronostico, sin provision el saldo bajaria del 8 % del cupo ese dia. Lleva el saldo de 161.727.879 a 411.000.000 COP (cupo 411.000.000). Equipo administrado por Sucursal. Sin tarifa TDV (administrado por la sucursal): costo 0 declarado.</t>
        </is>
      </c>
      <c r="L403" s="26" t="n">
        <v>411000000</v>
      </c>
      <c r="M403" s="26" t="n">
        <v>161727879</v>
      </c>
      <c r="N403" s="27">
        <f>IF(ISNUMBER(M403),M403/L403,"No aplica")</f>
        <v>0.3934984890510949</v>
      </c>
      <c r="O403" s="25">
        <f>IF(G403="provision",M403+H403,IF(G403="recoleccion",M403-H403,"No aplica"))</f>
        <v>411000000</v>
      </c>
      <c r="P403" s="26" t="n">
        <v>0</v>
      </c>
    </row>
    <row r="404">
      <c r="A404" t="inlineStr">
        <is>
          <t>PRAGMA</t>
        </is>
      </c>
      <c r="B404" t="inlineStr">
        <is>
          <t>M1</t>
        </is>
      </c>
      <c r="C404" t="inlineStr">
        <is>
          <t>Pasto</t>
        </is>
      </c>
      <c r="D404" t="inlineStr">
        <is>
          <t>3918</t>
        </is>
      </c>
      <c r="E404" t="inlineStr">
        <is>
          <t>Sucursal</t>
        </is>
      </c>
      <c r="F404" s="23" t="n">
        <v>46272</v>
      </c>
      <c r="G404" t="inlineStr">
        <is>
          <t>provision</t>
        </is>
      </c>
      <c r="H404" s="26" t="n">
        <v>268569046</v>
      </c>
      <c r="I404" t="inlineStr">
        <is>
          <t>bajo</t>
        </is>
      </c>
      <c r="J404" t="inlineStr">
        <is>
          <t>RN-11 y RN-34: provision hasta el cupo operativo antes de bajar del 8 %</t>
        </is>
      </c>
      <c r="K404" t="inlineStr">
        <is>
          <t>Provision en la manana, antes del pagado: con el pronostico, sin provision el saldo bajaria del 8 % del cupo ese dia. Lleva el saldo de 142.430.954 a 411.000.000 COP (cupo 411.000.000). Equipo administrado por Sucursal. Sin tarifa TDV (administrado por la sucursal): costo 0 declarado.</t>
        </is>
      </c>
      <c r="L404" s="26" t="n">
        <v>411000000</v>
      </c>
      <c r="M404" s="26" t="n">
        <v>142430954</v>
      </c>
      <c r="N404" s="27">
        <f>IF(ISNUMBER(M404),M404/L404,"No aplica")</f>
        <v>0.3465473333333333</v>
      </c>
      <c r="O404" s="25">
        <f>IF(G404="provision",M404+H404,IF(G404="recoleccion",M404-H404,"No aplica"))</f>
        <v>411000000</v>
      </c>
      <c r="P404" s="26" t="n">
        <v>0</v>
      </c>
    </row>
    <row r="405">
      <c r="A405" t="inlineStr">
        <is>
          <t>PRAGMA</t>
        </is>
      </c>
      <c r="B405" t="inlineStr">
        <is>
          <t>M1</t>
        </is>
      </c>
      <c r="C405" t="inlineStr">
        <is>
          <t>Pasto</t>
        </is>
      </c>
      <c r="D405" t="inlineStr">
        <is>
          <t>3918</t>
        </is>
      </c>
      <c r="E405" t="inlineStr">
        <is>
          <t>Sucursal</t>
        </is>
      </c>
      <c r="F405" s="23" t="n">
        <v>46275</v>
      </c>
      <c r="G405" t="inlineStr">
        <is>
          <t>provision</t>
        </is>
      </c>
      <c r="H405" s="26" t="n">
        <v>317243602</v>
      </c>
      <c r="I405" t="inlineStr">
        <is>
          <t>bajo</t>
        </is>
      </c>
      <c r="J405" t="inlineStr">
        <is>
          <t>RN-11 y RN-34: provision hasta el cupo operativo antes de bajar del 8 %</t>
        </is>
      </c>
      <c r="K405" t="inlineStr">
        <is>
          <t>Provision en la manana, antes del pagado: con el pronostico, sin provision el saldo bajaria del 8 % del cupo ese dia. Lleva el saldo de 93.756.398 a 411.000.000 COP (cupo 411.000.000). Equipo administrado por Sucursal. Sin tarifa TDV (administrado por la sucursal): costo 0 declarado.</t>
        </is>
      </c>
      <c r="L405" s="26" t="n">
        <v>411000000</v>
      </c>
      <c r="M405" s="26" t="n">
        <v>93756398</v>
      </c>
      <c r="N405" s="27">
        <f>IF(ISNUMBER(M405),M405/L405,"No aplica")</f>
        <v>0.22811775669099757</v>
      </c>
      <c r="O405" s="25">
        <f>IF(G405="provision",M405+H405,IF(G405="recoleccion",M405-H405,"No aplica"))</f>
        <v>411000000</v>
      </c>
      <c r="P405" s="26" t="n">
        <v>0</v>
      </c>
    </row>
    <row r="406">
      <c r="A406" t="inlineStr">
        <is>
          <t>PRAGMA</t>
        </is>
      </c>
      <c r="B406" t="inlineStr">
        <is>
          <t>M1</t>
        </is>
      </c>
      <c r="C406" t="inlineStr">
        <is>
          <t>Pasto</t>
        </is>
      </c>
      <c r="D406" t="inlineStr">
        <is>
          <t>3918</t>
        </is>
      </c>
      <c r="E406" t="inlineStr">
        <is>
          <t>Sucursal</t>
        </is>
      </c>
      <c r="F406" s="23" t="n">
        <v>46278</v>
      </c>
      <c r="G406" t="inlineStr">
        <is>
          <t>provision</t>
        </is>
      </c>
      <c r="H406" s="26" t="n">
        <v>302248223</v>
      </c>
      <c r="I406" t="inlineStr">
        <is>
          <t>bajo</t>
        </is>
      </c>
      <c r="J406" t="inlineStr">
        <is>
          <t>RN-11 y RN-34: provision hasta el cupo operativo antes de bajar del 8 %</t>
        </is>
      </c>
      <c r="K406" t="inlineStr">
        <is>
          <t>Provision en la manana, antes del pagado: con el pronostico, sin provision el saldo bajaria del 8 % del cupo ese dia. Lleva el saldo de 108.751.777 a 411.000.000 COP (cupo 411.000.000). Equipo administrado por Sucursal. Sin tarifa TDV (administrado por la sucursal): costo 0 declarado.</t>
        </is>
      </c>
      <c r="L406" s="26" t="n">
        <v>411000000</v>
      </c>
      <c r="M406" s="26" t="n">
        <v>108751777</v>
      </c>
      <c r="N406" s="27">
        <f>IF(ISNUMBER(M406),M406/L406,"No aplica")</f>
        <v>0.2646028637469586</v>
      </c>
      <c r="O406" s="25">
        <f>IF(G406="provision",M406+H406,IF(G406="recoleccion",M406-H406,"No aplica"))</f>
        <v>411000000</v>
      </c>
      <c r="P406" s="26" t="n">
        <v>0</v>
      </c>
    </row>
    <row r="407">
      <c r="A407" t="inlineStr">
        <is>
          <t>PRAGMA</t>
        </is>
      </c>
      <c r="B407" t="inlineStr">
        <is>
          <t>M1</t>
        </is>
      </c>
      <c r="C407" t="inlineStr">
        <is>
          <t>Cali</t>
        </is>
      </c>
      <c r="D407" t="inlineStr">
        <is>
          <t>3930</t>
        </is>
      </c>
      <c r="E407" t="inlineStr">
        <is>
          <t>TDV</t>
        </is>
      </c>
      <c r="F407" s="23" t="n">
        <v>46266</v>
      </c>
      <c r="G407" t="inlineStr">
        <is>
          <t>sin_accion</t>
        </is>
      </c>
      <c r="H407" s="26" t="n">
        <v>0</v>
      </c>
      <c r="I407" t="inlineStr">
        <is>
          <t>bajo</t>
        </is>
      </c>
      <c r="J407" t="inlineStr">
        <is>
          <t>RN-02: una fila sin_accion</t>
        </is>
      </c>
      <c r="K407" t="inlineStr">
        <is>
          <t>Sin accion en el horizonte: con el pronostico, el saldo se mantiene entre el umbral de agotamiento y el cupo sin necesidad de provision ni recoleccion.</t>
        </is>
      </c>
      <c r="L407" s="26" t="n">
        <v>500000000</v>
      </c>
      <c r="M407" s="26" t="inlineStr">
        <is>
          <t>No aplica</t>
        </is>
      </c>
      <c r="N407" s="27" t="str">
        <f>IF(ISNUMBER(M407),M407/L407,"No aplica")</f>
        <v>No aplica</v>
      </c>
      <c r="O407" s="25" t="str">
        <f>IF(G407="provision",M407+H407,IF(G407="recoleccion",M407-H407,"No aplica"))</f>
        <v>No aplica</v>
      </c>
      <c r="P407" s="26" t="inlineStr">
        <is>
          <t>No aplica</t>
        </is>
      </c>
    </row>
    <row r="408">
      <c r="A408" t="inlineStr">
        <is>
          <t>PRAGMA</t>
        </is>
      </c>
      <c r="B408" t="inlineStr">
        <is>
          <t>M1</t>
        </is>
      </c>
      <c r="C408" t="inlineStr">
        <is>
          <t>Cali</t>
        </is>
      </c>
      <c r="D408" t="inlineStr">
        <is>
          <t>3942</t>
        </is>
      </c>
      <c r="E408" t="inlineStr">
        <is>
          <t>TDV</t>
        </is>
      </c>
      <c r="F408" s="23" t="n">
        <v>46269</v>
      </c>
      <c r="G408" t="inlineStr">
        <is>
          <t>provision</t>
        </is>
      </c>
      <c r="H408" s="26" t="n">
        <v>367389131</v>
      </c>
      <c r="I408" t="inlineStr">
        <is>
          <t>bajo</t>
        </is>
      </c>
      <c r="J408" t="inlineStr">
        <is>
          <t>RN-11 y RN-34: provision hasta el cupo operativo antes de bajar del 8 %</t>
        </is>
      </c>
      <c r="K408" t="inlineStr">
        <is>
          <t>Provision en la manana, antes del pagado: con el pronostico, sin provision el saldo bajaria del 8 % del cupo ese dia. Lleva el saldo de 37.610.869 a 405.000.000 COP (cupo 405.000.000). Equipo administrado por TDV.</t>
        </is>
      </c>
      <c r="L408" s="26" t="n">
        <v>405000000</v>
      </c>
      <c r="M408" s="26" t="n">
        <v>37610869</v>
      </c>
      <c r="N408" s="27">
        <f>IF(ISNUMBER(M408),M408/L408,"No aplica")</f>
        <v>0.09286634320987654</v>
      </c>
      <c r="O408" s="25">
        <f>IF(G408="provision",M408+H408,IF(G408="recoleccion",M408-H408,"No aplica"))</f>
        <v>405000000</v>
      </c>
      <c r="P408" s="26" t="n">
        <v>181166</v>
      </c>
    </row>
    <row r="409">
      <c r="A409" t="inlineStr">
        <is>
          <t>PRAGMA</t>
        </is>
      </c>
      <c r="B409" t="inlineStr">
        <is>
          <t>M1</t>
        </is>
      </c>
      <c r="C409" t="inlineStr">
        <is>
          <t>Cali</t>
        </is>
      </c>
      <c r="D409" t="inlineStr">
        <is>
          <t>3942</t>
        </is>
      </c>
      <c r="E409" t="inlineStr">
        <is>
          <t>TDV</t>
        </is>
      </c>
      <c r="F409" s="23" t="n">
        <v>46272</v>
      </c>
      <c r="G409" t="inlineStr">
        <is>
          <t>provision</t>
        </is>
      </c>
      <c r="H409" s="26" t="n">
        <v>304939990</v>
      </c>
      <c r="I409" t="inlineStr">
        <is>
          <t>bajo</t>
        </is>
      </c>
      <c r="J409" t="inlineStr">
        <is>
          <t>RN-11 y RN-34: provision hasta el cupo operativo antes de bajar del 8 %</t>
        </is>
      </c>
      <c r="K409" t="inlineStr">
        <is>
          <t>Provision en la manana, antes del pagado: con el pronostico, sin provision el saldo bajaria del 8 % del cupo ese dia. Lleva el saldo de 100.060.010 a 405.000.000 COP (cupo 405.000.000). Equipo administrado por TDV.</t>
        </is>
      </c>
      <c r="L409" s="26" t="n">
        <v>405000000</v>
      </c>
      <c r="M409" s="26" t="n">
        <v>100060010</v>
      </c>
      <c r="N409" s="27">
        <f>IF(ISNUMBER(M409),M409/L409,"No aplica")</f>
        <v>0.24706175308641976</v>
      </c>
      <c r="O409" s="25">
        <f>IF(G409="provision",M409+H409,IF(G409="recoleccion",M409-H409,"No aplica"))</f>
        <v>405000000</v>
      </c>
      <c r="P409" s="26" t="n">
        <v>153563</v>
      </c>
    </row>
    <row r="410">
      <c r="A410" t="inlineStr">
        <is>
          <t>PRAGMA</t>
        </is>
      </c>
      <c r="B410" t="inlineStr">
        <is>
          <t>M1</t>
        </is>
      </c>
      <c r="C410" t="inlineStr">
        <is>
          <t>Cali</t>
        </is>
      </c>
      <c r="D410" t="inlineStr">
        <is>
          <t>3942</t>
        </is>
      </c>
      <c r="E410" t="inlineStr">
        <is>
          <t>TDV</t>
        </is>
      </c>
      <c r="F410" s="23" t="n">
        <v>46276</v>
      </c>
      <c r="G410" t="inlineStr">
        <is>
          <t>provision</t>
        </is>
      </c>
      <c r="H410" s="26" t="n">
        <v>317702337</v>
      </c>
      <c r="I410" t="inlineStr">
        <is>
          <t>bajo</t>
        </is>
      </c>
      <c r="J410" t="inlineStr">
        <is>
          <t>RN-11 y RN-34: provision hasta el cupo operativo antes de bajar del 8 %</t>
        </is>
      </c>
      <c r="K410" t="inlineStr">
        <is>
          <t>Provision en la manana, antes del pagado: con el pronostico, sin provision el saldo bajaria del 8 % del cupo ese dia. Lleva el saldo de 87.297.663 a 405.000.000 COP (cupo 405.000.000). Equipo administrado por TDV.</t>
        </is>
      </c>
      <c r="L410" s="26" t="n">
        <v>405000000</v>
      </c>
      <c r="M410" s="26" t="n">
        <v>87297663</v>
      </c>
      <c r="N410" s="27">
        <f>IF(ISNUMBER(M410),M410/L410,"No aplica")</f>
        <v>0.2155497851851852</v>
      </c>
      <c r="O410" s="25">
        <f>IF(G410="provision",M410+H410,IF(G410="recoleccion",M410-H410,"No aplica"))</f>
        <v>405000000</v>
      </c>
      <c r="P410" s="26" t="n">
        <v>159204</v>
      </c>
    </row>
    <row r="411">
      <c r="A411" t="inlineStr">
        <is>
          <t>PRAGMA</t>
        </is>
      </c>
      <c r="B411" t="inlineStr">
        <is>
          <t>M1</t>
        </is>
      </c>
      <c r="C411" t="inlineStr">
        <is>
          <t>Cali</t>
        </is>
      </c>
      <c r="D411" t="inlineStr">
        <is>
          <t>3942</t>
        </is>
      </c>
      <c r="E411" t="inlineStr">
        <is>
          <t>TDV</t>
        </is>
      </c>
      <c r="F411" s="23" t="n">
        <v>46280</v>
      </c>
      <c r="G411" t="inlineStr">
        <is>
          <t>provision</t>
        </is>
      </c>
      <c r="H411" s="26" t="n">
        <v>322179322</v>
      </c>
      <c r="I411" t="inlineStr">
        <is>
          <t>bajo</t>
        </is>
      </c>
      <c r="J411" t="inlineStr">
        <is>
          <t>RN-11 y RN-34: provision hasta el cupo operativo antes de bajar del 8 %</t>
        </is>
      </c>
      <c r="K411" t="inlineStr">
        <is>
          <t>Provision en la manana, antes del pagado: con el pronostico, sin provision el saldo bajaria del 8 % del cupo ese dia. Lleva el saldo de 82.820.678 a 405.000.000 COP (cupo 405.000.000). Equipo administrado por TDV.</t>
        </is>
      </c>
      <c r="L411" s="26" t="n">
        <v>405000000</v>
      </c>
      <c r="M411" s="26" t="n">
        <v>82820678</v>
      </c>
      <c r="N411" s="27">
        <f>IF(ISNUMBER(M411),M411/L411,"No aplica")</f>
        <v>0.2044955012345679</v>
      </c>
      <c r="O411" s="25">
        <f>IF(G411="provision",M411+H411,IF(G411="recoleccion",M411-H411,"No aplica"))</f>
        <v>405000000</v>
      </c>
      <c r="P411" s="26" t="n">
        <v>161183</v>
      </c>
    </row>
    <row r="412">
      <c r="A412" t="inlineStr">
        <is>
          <t>PRAGMA</t>
        </is>
      </c>
      <c r="B412" t="inlineStr">
        <is>
          <t>M1</t>
        </is>
      </c>
      <c r="C412" t="inlineStr">
        <is>
          <t>Cali</t>
        </is>
      </c>
      <c r="D412" t="inlineStr">
        <is>
          <t>3946</t>
        </is>
      </c>
      <c r="E412" t="inlineStr">
        <is>
          <t>TDV</t>
        </is>
      </c>
      <c r="F412" s="23" t="n">
        <v>46268</v>
      </c>
      <c r="G412" t="inlineStr">
        <is>
          <t>provision</t>
        </is>
      </c>
      <c r="H412" s="26" t="n">
        <v>333048337</v>
      </c>
      <c r="I412" t="inlineStr">
        <is>
          <t>bajo</t>
        </is>
      </c>
      <c r="J412" t="inlineStr">
        <is>
          <t>RN-11 y RN-34: provision hasta el cupo operativo antes de bajar del 8 %</t>
        </is>
      </c>
      <c r="K412" t="inlineStr">
        <is>
          <t>Provision en la manana, antes del pagado: con el pronostico, sin provision el saldo bajaria del 8 % del cupo ese dia. Lleva el saldo de 77.951.663 a 411.000.000 COP (cupo 411.000.000). Equipo administrado por TDV.</t>
        </is>
      </c>
      <c r="L412" s="26" t="n">
        <v>411000000</v>
      </c>
      <c r="M412" s="26" t="n">
        <v>77951663</v>
      </c>
      <c r="N412" s="27">
        <f>IF(ISNUMBER(M412),M412/L412,"No aplica")</f>
        <v>0.18966341362530414</v>
      </c>
      <c r="O412" s="25">
        <f>IF(G412="provision",M412+H412,IF(G412="recoleccion",M412-H412,"No aplica"))</f>
        <v>411000000</v>
      </c>
      <c r="P412" s="26" t="n">
        <v>165987</v>
      </c>
    </row>
    <row r="413">
      <c r="A413" t="inlineStr">
        <is>
          <t>PRAGMA</t>
        </is>
      </c>
      <c r="B413" t="inlineStr">
        <is>
          <t>M1</t>
        </is>
      </c>
      <c r="C413" t="inlineStr">
        <is>
          <t>Cali</t>
        </is>
      </c>
      <c r="D413" t="inlineStr">
        <is>
          <t>3946</t>
        </is>
      </c>
      <c r="E413" t="inlineStr">
        <is>
          <t>TDV</t>
        </is>
      </c>
      <c r="F413" s="23" t="n">
        <v>46270</v>
      </c>
      <c r="G413" t="inlineStr">
        <is>
          <t>provision</t>
        </is>
      </c>
      <c r="H413" s="26" t="n">
        <v>270975672</v>
      </c>
      <c r="I413" t="inlineStr">
        <is>
          <t>bajo</t>
        </is>
      </c>
      <c r="J413" t="inlineStr">
        <is>
          <t>RN-11 y RN-34: provision hasta el cupo operativo antes de bajar del 8 %</t>
        </is>
      </c>
      <c r="K413" t="inlineStr">
        <is>
          <t>Provision en la manana, antes del pagado: con el pronostico, sin provision el saldo bajaria del 8 % del cupo ese dia. Lleva el saldo de 140.024.328 a 411.000.000 COP (cupo 411.000.000). Equipo administrado por TDV.</t>
        </is>
      </c>
      <c r="L413" s="26" t="n">
        <v>411000000</v>
      </c>
      <c r="M413" s="26" t="n">
        <v>140024328</v>
      </c>
      <c r="N413" s="27">
        <f>IF(ISNUMBER(M413),M413/L413,"No aplica")</f>
        <v>0.34069179562043794</v>
      </c>
      <c r="O413" s="25">
        <f>IF(G413="provision",M413+H413,IF(G413="recoleccion",M413-H413,"No aplica"))</f>
        <v>411000000</v>
      </c>
      <c r="P413" s="26" t="n">
        <v>138551</v>
      </c>
    </row>
    <row r="414">
      <c r="A414" t="inlineStr">
        <is>
          <t>PRAGMA</t>
        </is>
      </c>
      <c r="B414" t="inlineStr">
        <is>
          <t>M1</t>
        </is>
      </c>
      <c r="C414" t="inlineStr">
        <is>
          <t>Cali</t>
        </is>
      </c>
      <c r="D414" t="inlineStr">
        <is>
          <t>3946</t>
        </is>
      </c>
      <c r="E414" t="inlineStr">
        <is>
          <t>TDV</t>
        </is>
      </c>
      <c r="F414" s="23" t="n">
        <v>46273</v>
      </c>
      <c r="G414" t="inlineStr">
        <is>
          <t>provision</t>
        </is>
      </c>
      <c r="H414" s="26" t="n">
        <v>349959256</v>
      </c>
      <c r="I414" t="inlineStr">
        <is>
          <t>bajo</t>
        </is>
      </c>
      <c r="J414" t="inlineStr">
        <is>
          <t>RN-11 y RN-34: provision hasta el cupo operativo antes de bajar del 8 %</t>
        </is>
      </c>
      <c r="K414" t="inlineStr">
        <is>
          <t>Provision en la manana, antes del pagado: con el pronostico, sin provision el saldo bajaria del 8 % del cupo ese dia. Lleva el saldo de 61.040.744 a 411.000.000 COP (cupo 411.000.000). Equipo administrado por TDV.</t>
        </is>
      </c>
      <c r="L414" s="26" t="n">
        <v>411000000</v>
      </c>
      <c r="M414" s="26" t="n">
        <v>61040744</v>
      </c>
      <c r="N414" s="27">
        <f>IF(ISNUMBER(M414),M414/L414,"No aplica")</f>
        <v>0.14851762530413626</v>
      </c>
      <c r="O414" s="25">
        <f>IF(G414="provision",M414+H414,IF(G414="recoleccion",M414-H414,"No aplica"))</f>
        <v>411000000</v>
      </c>
      <c r="P414" s="26" t="n">
        <v>173462</v>
      </c>
    </row>
    <row r="415">
      <c r="A415" t="inlineStr">
        <is>
          <t>PRAGMA</t>
        </is>
      </c>
      <c r="B415" t="inlineStr">
        <is>
          <t>M1</t>
        </is>
      </c>
      <c r="C415" t="inlineStr">
        <is>
          <t>Cali</t>
        </is>
      </c>
      <c r="D415" t="inlineStr">
        <is>
          <t>3946</t>
        </is>
      </c>
      <c r="E415" t="inlineStr">
        <is>
          <t>TDV</t>
        </is>
      </c>
      <c r="F415" s="23" t="n">
        <v>46276</v>
      </c>
      <c r="G415" t="inlineStr">
        <is>
          <t>provision</t>
        </is>
      </c>
      <c r="H415" s="26" t="n">
        <v>294595013</v>
      </c>
      <c r="I415" t="inlineStr">
        <is>
          <t>bajo</t>
        </is>
      </c>
      <c r="J415" t="inlineStr">
        <is>
          <t>RN-11 y RN-34: provision hasta el cupo operativo antes de bajar del 8 %</t>
        </is>
      </c>
      <c r="K415" t="inlineStr">
        <is>
          <t>Provision en la manana, antes del pagado: con el pronostico, sin provision el saldo bajaria del 8 % del cupo ese dia. Lleva el saldo de 116.404.987 a 411.000.000 COP (cupo 411.000.000). Equipo administrado por TDV.</t>
        </is>
      </c>
      <c r="L415" s="26" t="n">
        <v>411000000</v>
      </c>
      <c r="M415" s="26" t="n">
        <v>116404987</v>
      </c>
      <c r="N415" s="27">
        <f>IF(ISNUMBER(M415),M415/L415,"No aplica")</f>
        <v>0.28322381265206814</v>
      </c>
      <c r="O415" s="25">
        <f>IF(G415="provision",M415+H415,IF(G415="recoleccion",M415-H415,"No aplica"))</f>
        <v>411000000</v>
      </c>
      <c r="P415" s="26" t="n">
        <v>148991</v>
      </c>
    </row>
    <row r="416">
      <c r="A416" t="inlineStr">
        <is>
          <t>PRAGMA</t>
        </is>
      </c>
      <c r="B416" t="inlineStr">
        <is>
          <t>M1</t>
        </is>
      </c>
      <c r="C416" t="inlineStr">
        <is>
          <t>Cali</t>
        </is>
      </c>
      <c r="D416" t="inlineStr">
        <is>
          <t>3946</t>
        </is>
      </c>
      <c r="E416" t="inlineStr">
        <is>
          <t>TDV</t>
        </is>
      </c>
      <c r="F416" s="23" t="n">
        <v>46279</v>
      </c>
      <c r="G416" t="inlineStr">
        <is>
          <t>provision</t>
        </is>
      </c>
      <c r="H416" s="26" t="n">
        <v>288848204</v>
      </c>
      <c r="I416" t="inlineStr">
        <is>
          <t>bajo</t>
        </is>
      </c>
      <c r="J416" t="inlineStr">
        <is>
          <t>RN-11 y RN-34: provision hasta el cupo operativo antes de bajar del 8 %</t>
        </is>
      </c>
      <c r="K416" t="inlineStr">
        <is>
          <t>Provision en la manana, antes del pagado: con el pronostico, sin provision el saldo bajaria del 8 % del cupo ese dia. Lleva el saldo de 122.151.796 a 411.000.000 COP (cupo 411.000.000). Equipo administrado por TDV.</t>
        </is>
      </c>
      <c r="L416" s="26" t="n">
        <v>411000000</v>
      </c>
      <c r="M416" s="26" t="n">
        <v>122151796</v>
      </c>
      <c r="N416" s="27">
        <f>IF(ISNUMBER(M416),M416/L416,"No aplica")</f>
        <v>0.2972063163017032</v>
      </c>
      <c r="O416" s="25">
        <f>IF(G416="provision",M416+H416,IF(G416="recoleccion",M416-H416,"No aplica"))</f>
        <v>411000000</v>
      </c>
      <c r="P416" s="26" t="n">
        <v>146451</v>
      </c>
    </row>
    <row r="417">
      <c r="A417" t="inlineStr">
        <is>
          <t>PRAGMA</t>
        </is>
      </c>
      <c r="B417" t="inlineStr">
        <is>
          <t>M1</t>
        </is>
      </c>
      <c r="C417" t="inlineStr">
        <is>
          <t>Pasto</t>
        </is>
      </c>
      <c r="D417" t="inlineStr">
        <is>
          <t>3952</t>
        </is>
      </c>
      <c r="E417" t="inlineStr">
        <is>
          <t>TDV</t>
        </is>
      </c>
      <c r="F417" s="23" t="n">
        <v>46269</v>
      </c>
      <c r="G417" t="inlineStr">
        <is>
          <t>provision</t>
        </is>
      </c>
      <c r="H417" s="26" t="n">
        <v>367121112</v>
      </c>
      <c r="I417" t="inlineStr">
        <is>
          <t>bajo</t>
        </is>
      </c>
      <c r="J417" t="inlineStr">
        <is>
          <t>RN-11 y RN-34: provision hasta el cupo operativo antes de bajar del 8 %</t>
        </is>
      </c>
      <c r="K417" t="inlineStr">
        <is>
          <t>Provision en la manana, antes del pagado: con el pronostico, sin provision el saldo bajaria del 8 % del cupo ese dia. Lleva el saldo de 43.878.888 a 411.000.000 COP (cupo 411.000.000). Equipo administrado por TDV.</t>
        </is>
      </c>
      <c r="L417" s="26" t="n">
        <v>411000000</v>
      </c>
      <c r="M417" s="26" t="n">
        <v>43878888</v>
      </c>
      <c r="N417" s="27">
        <f>IF(ISNUMBER(M417),M417/L417,"No aplica")</f>
        <v>0.10676128467153284</v>
      </c>
      <c r="O417" s="25">
        <f>IF(G417="provision",M417+H417,IF(G417="recoleccion",M417-H417,"No aplica"))</f>
        <v>411000000</v>
      </c>
      <c r="P417" s="26" t="n">
        <v>118353</v>
      </c>
    </row>
    <row r="418">
      <c r="A418" t="inlineStr">
        <is>
          <t>PRAGMA</t>
        </is>
      </c>
      <c r="B418" t="inlineStr">
        <is>
          <t>M1</t>
        </is>
      </c>
      <c r="C418" t="inlineStr">
        <is>
          <t>Pasto</t>
        </is>
      </c>
      <c r="D418" t="inlineStr">
        <is>
          <t>3952</t>
        </is>
      </c>
      <c r="E418" t="inlineStr">
        <is>
          <t>TDV</t>
        </is>
      </c>
      <c r="F418" s="23" t="n">
        <v>46273</v>
      </c>
      <c r="G418" t="inlineStr">
        <is>
          <t>provision</t>
        </is>
      </c>
      <c r="H418" s="26" t="n">
        <v>333099384</v>
      </c>
      <c r="I418" t="inlineStr">
        <is>
          <t>bajo</t>
        </is>
      </c>
      <c r="J418" t="inlineStr">
        <is>
          <t>RN-11 y RN-34: provision hasta el cupo operativo antes de bajar del 8 %</t>
        </is>
      </c>
      <c r="K418" t="inlineStr">
        <is>
          <t>Provision en la manana, antes del pagado: con el pronostico, sin provision el saldo bajaria del 8 % del cupo ese dia. Lleva el saldo de 77.900.616 a 411.000.000 COP (cupo 411.000.000). Equipo administrado por TDV.</t>
        </is>
      </c>
      <c r="L418" s="26" t="n">
        <v>411000000</v>
      </c>
      <c r="M418" s="26" t="n">
        <v>77900616</v>
      </c>
      <c r="N418" s="27">
        <f>IF(ISNUMBER(M418),M418/L418,"No aplica")</f>
        <v>0.18953921167883211</v>
      </c>
      <c r="O418" s="25">
        <f>IF(G418="provision",M418+H418,IF(G418="recoleccion",M418-H418,"No aplica"))</f>
        <v>411000000</v>
      </c>
      <c r="P418" s="26" t="n">
        <v>108827</v>
      </c>
    </row>
    <row r="419">
      <c r="A419" t="inlineStr">
        <is>
          <t>PRAGMA</t>
        </is>
      </c>
      <c r="B419" t="inlineStr">
        <is>
          <t>M1</t>
        </is>
      </c>
      <c r="C419" t="inlineStr">
        <is>
          <t>Pasto</t>
        </is>
      </c>
      <c r="D419" t="inlineStr">
        <is>
          <t>3952</t>
        </is>
      </c>
      <c r="E419" t="inlineStr">
        <is>
          <t>TDV</t>
        </is>
      </c>
      <c r="F419" s="23" t="n">
        <v>46277</v>
      </c>
      <c r="G419" t="inlineStr">
        <is>
          <t>provision</t>
        </is>
      </c>
      <c r="H419" s="26" t="n">
        <v>339287896</v>
      </c>
      <c r="I419" t="inlineStr">
        <is>
          <t>bajo</t>
        </is>
      </c>
      <c r="J419" t="inlineStr">
        <is>
          <t>RN-11 y RN-34: provision hasta el cupo operativo antes de bajar del 8 %</t>
        </is>
      </c>
      <c r="K419" t="inlineStr">
        <is>
          <t>Provision en la manana, antes del pagado: con el pronostico, sin provision el saldo bajaria del 8 % del cupo ese dia. Lleva el saldo de 71.712.104 a 411.000.000 COP (cupo 411.000.000). Equipo administrado por TDV.</t>
        </is>
      </c>
      <c r="L419" s="26" t="n">
        <v>411000000</v>
      </c>
      <c r="M419" s="26" t="n">
        <v>71712104</v>
      </c>
      <c r="N419" s="27">
        <f>IF(ISNUMBER(M419),M419/L419,"No aplica")</f>
        <v>0.17448200486618004</v>
      </c>
      <c r="O419" s="25">
        <f>IF(G419="provision",M419+H419,IF(G419="recoleccion",M419-H419,"No aplica"))</f>
        <v>411000000</v>
      </c>
      <c r="P419" s="26" t="n">
        <v>110560</v>
      </c>
    </row>
    <row r="420">
      <c r="A420" t="inlineStr">
        <is>
          <t>PRAGMA</t>
        </is>
      </c>
      <c r="B420" t="inlineStr">
        <is>
          <t>M1</t>
        </is>
      </c>
      <c r="C420" t="inlineStr">
        <is>
          <t>Cali</t>
        </is>
      </c>
      <c r="D420" t="inlineStr">
        <is>
          <t>3962</t>
        </is>
      </c>
      <c r="E420" t="inlineStr">
        <is>
          <t>TDV</t>
        </is>
      </c>
      <c r="F420" s="23" t="n">
        <v>46266</v>
      </c>
      <c r="G420" t="inlineStr">
        <is>
          <t>sin_accion</t>
        </is>
      </c>
      <c r="H420" s="26" t="n">
        <v>0</v>
      </c>
      <c r="I420" t="inlineStr">
        <is>
          <t>bajo</t>
        </is>
      </c>
      <c r="J420" t="inlineStr">
        <is>
          <t>RN-02: una fila sin_accion</t>
        </is>
      </c>
      <c r="K420" t="inlineStr">
        <is>
          <t>Sin accion en el horizonte: con el pronostico, el saldo se mantiene entre el umbral de agotamiento y el cupo sin necesidad de provision ni recoleccion.</t>
        </is>
      </c>
      <c r="L420" s="26" t="n">
        <v>500000000</v>
      </c>
      <c r="M420" s="26" t="inlineStr">
        <is>
          <t>No aplica</t>
        </is>
      </c>
      <c r="N420" s="27" t="str">
        <f>IF(ISNUMBER(M420),M420/L420,"No aplica")</f>
        <v>No aplica</v>
      </c>
      <c r="O420" s="25" t="str">
        <f>IF(G420="provision",M420+H420,IF(G420="recoleccion",M420-H420,"No aplica"))</f>
        <v>No aplica</v>
      </c>
      <c r="P420" s="26" t="inlineStr">
        <is>
          <t>No aplica</t>
        </is>
      </c>
    </row>
    <row r="421">
      <c r="A421" t="inlineStr">
        <is>
          <t>PRAGMA</t>
        </is>
      </c>
      <c r="B421" t="inlineStr">
        <is>
          <t>M1</t>
        </is>
      </c>
      <c r="C421" t="inlineStr">
        <is>
          <t>Cali</t>
        </is>
      </c>
      <c r="D421" t="inlineStr">
        <is>
          <t>4005</t>
        </is>
      </c>
      <c r="E421" t="inlineStr">
        <is>
          <t>TDV</t>
        </is>
      </c>
      <c r="F421" s="23" t="n">
        <v>46268</v>
      </c>
      <c r="G421" t="inlineStr">
        <is>
          <t>provision</t>
        </is>
      </c>
      <c r="H421" s="26" t="n">
        <v>296955518</v>
      </c>
      <c r="I421" t="inlineStr">
        <is>
          <t>bajo</t>
        </is>
      </c>
      <c r="J421" t="inlineStr">
        <is>
          <t>RN-11 y RN-34: provision hasta el cupo operativo antes de bajar del 8 %</t>
        </is>
      </c>
      <c r="K421" t="inlineStr">
        <is>
          <t>Provision en la manana, antes del pagado: con el pronostico, sin provision el saldo bajaria del 8 % del cupo ese dia. Lleva el saldo de 108.044.482 a 405.000.000 COP (cupo 405.000.000). Equipo administrado por TDV.</t>
        </is>
      </c>
      <c r="L421" s="26" t="n">
        <v>405000000</v>
      </c>
      <c r="M421" s="26" t="n">
        <v>108044482</v>
      </c>
      <c r="N421" s="27">
        <f>IF(ISNUMBER(M421),M421/L421,"No aplica")</f>
        <v>0.2667764987654321</v>
      </c>
      <c r="O421" s="25">
        <f>IF(G421="provision",M421+H421,IF(G421="recoleccion",M421-H421,"No aplica"))</f>
        <v>405000000</v>
      </c>
      <c r="P421" s="26" t="n">
        <v>128882</v>
      </c>
    </row>
    <row r="422">
      <c r="A422" t="inlineStr">
        <is>
          <t>PRAGMA</t>
        </is>
      </c>
      <c r="B422" t="inlineStr">
        <is>
          <t>M1</t>
        </is>
      </c>
      <c r="C422" t="inlineStr">
        <is>
          <t>Cali</t>
        </is>
      </c>
      <c r="D422" t="inlineStr">
        <is>
          <t>4005</t>
        </is>
      </c>
      <c r="E422" t="inlineStr">
        <is>
          <t>TDV</t>
        </is>
      </c>
      <c r="F422" s="23" t="n">
        <v>46272</v>
      </c>
      <c r="G422" t="inlineStr">
        <is>
          <t>provision</t>
        </is>
      </c>
      <c r="H422" s="26" t="n">
        <v>369643646</v>
      </c>
      <c r="I422" t="inlineStr">
        <is>
          <t>bajo</t>
        </is>
      </c>
      <c r="J422" t="inlineStr">
        <is>
          <t>RN-11 y RN-34: provision hasta el cupo operativo antes de bajar del 8 %</t>
        </is>
      </c>
      <c r="K422" t="inlineStr">
        <is>
          <t>Provision en la manana, antes del pagado: con el pronostico, sin provision el saldo bajaria del 8 % del cupo ese dia. Lleva el saldo de 35.356.354 a 405.000.000 COP (cupo 405.000.000). Equipo administrado por TDV.</t>
        </is>
      </c>
      <c r="L422" s="26" t="n">
        <v>405000000</v>
      </c>
      <c r="M422" s="26" t="n">
        <v>35356354</v>
      </c>
      <c r="N422" s="27">
        <f>IF(ISNUMBER(M422),M422/L422,"No aplica")</f>
        <v>0.08729963950617284</v>
      </c>
      <c r="O422" s="25">
        <f>IF(G422="provision",M422+H422,IF(G422="recoleccion",M422-H422,"No aplica"))</f>
        <v>405000000</v>
      </c>
      <c r="P422" s="26" t="n">
        <v>154904</v>
      </c>
    </row>
    <row r="423">
      <c r="A423" t="inlineStr">
        <is>
          <t>PRAGMA</t>
        </is>
      </c>
      <c r="B423" t="inlineStr">
        <is>
          <t>M1</t>
        </is>
      </c>
      <c r="C423" t="inlineStr">
        <is>
          <t>Cali</t>
        </is>
      </c>
      <c r="D423" t="inlineStr">
        <is>
          <t>4005</t>
        </is>
      </c>
      <c r="E423" t="inlineStr">
        <is>
          <t>TDV</t>
        </is>
      </c>
      <c r="F423" s="23" t="n">
        <v>46275</v>
      </c>
      <c r="G423" t="inlineStr">
        <is>
          <t>provision</t>
        </is>
      </c>
      <c r="H423" s="26" t="n">
        <v>294536234</v>
      </c>
      <c r="I423" t="inlineStr">
        <is>
          <t>bajo</t>
        </is>
      </c>
      <c r="J423" t="inlineStr">
        <is>
          <t>RN-11 y RN-34: provision hasta el cupo operativo antes de bajar del 8 %</t>
        </is>
      </c>
      <c r="K423" t="inlineStr">
        <is>
          <t>Provision en la manana, antes del pagado: con el pronostico, sin provision el saldo bajaria del 8 % del cupo ese dia. Lleva el saldo de 110.463.766 a 405.000.000 COP (cupo 405.000.000). Equipo administrado por TDV.</t>
        </is>
      </c>
      <c r="L423" s="26" t="n">
        <v>405000000</v>
      </c>
      <c r="M423" s="26" t="n">
        <v>110463766</v>
      </c>
      <c r="N423" s="27">
        <f>IF(ISNUMBER(M423),M423/L423,"No aplica")</f>
        <v>0.2727500395061728</v>
      </c>
      <c r="O423" s="25">
        <f>IF(G423="provision",M423+H423,IF(G423="recoleccion",M423-H423,"No aplica"))</f>
        <v>405000000</v>
      </c>
      <c r="P423" s="26" t="n">
        <v>128016</v>
      </c>
    </row>
    <row r="424">
      <c r="A424" t="inlineStr">
        <is>
          <t>PRAGMA</t>
        </is>
      </c>
      <c r="B424" t="inlineStr">
        <is>
          <t>M1</t>
        </is>
      </c>
      <c r="C424" t="inlineStr">
        <is>
          <t>Cali</t>
        </is>
      </c>
      <c r="D424" t="inlineStr">
        <is>
          <t>4005</t>
        </is>
      </c>
      <c r="E424" t="inlineStr">
        <is>
          <t>TDV</t>
        </is>
      </c>
      <c r="F424" s="23" t="n">
        <v>46280</v>
      </c>
      <c r="G424" t="inlineStr">
        <is>
          <t>provision</t>
        </is>
      </c>
      <c r="H424" s="26" t="n">
        <v>353245864</v>
      </c>
      <c r="I424" t="inlineStr">
        <is>
          <t>bajo</t>
        </is>
      </c>
      <c r="J424" t="inlineStr">
        <is>
          <t>RN-11 y RN-34: provision hasta el cupo operativo antes de bajar del 8 %</t>
        </is>
      </c>
      <c r="K424" t="inlineStr">
        <is>
          <t>Provision en la manana, antes del pagado: con el pronostico, sin provision el saldo bajaria del 8 % del cupo ese dia. Lleva el saldo de 51.754.136 a 405.000.000 COP (cupo 405.000.000). Equipo administrado por TDV.</t>
        </is>
      </c>
      <c r="L424" s="26" t="n">
        <v>405000000</v>
      </c>
      <c r="M424" s="26" t="n">
        <v>51754136</v>
      </c>
      <c r="N424" s="27">
        <f>IF(ISNUMBER(M424),M424/L424,"No aplica")</f>
        <v>0.1277879901234568</v>
      </c>
      <c r="O424" s="25">
        <f>IF(G424="provision",M424+H424,IF(G424="recoleccion",M424-H424,"No aplica"))</f>
        <v>405000000</v>
      </c>
      <c r="P424" s="26" t="n">
        <v>149034</v>
      </c>
    </row>
    <row r="425">
      <c r="A425" t="inlineStr">
        <is>
          <t>PRAGMA</t>
        </is>
      </c>
      <c r="B425" t="inlineStr">
        <is>
          <t>M1</t>
        </is>
      </c>
      <c r="C425" t="inlineStr">
        <is>
          <t>Cali</t>
        </is>
      </c>
      <c r="D425" t="inlineStr">
        <is>
          <t>4013</t>
        </is>
      </c>
      <c r="E425" t="inlineStr">
        <is>
          <t>Sucursal</t>
        </is>
      </c>
      <c r="F425" s="23" t="n">
        <v>46268</v>
      </c>
      <c r="G425" t="inlineStr">
        <is>
          <t>provision</t>
        </is>
      </c>
      <c r="H425" s="26" t="n">
        <v>397082243</v>
      </c>
      <c r="I425" t="inlineStr">
        <is>
          <t>bajo</t>
        </is>
      </c>
      <c r="J425" t="inlineStr">
        <is>
          <t>RN-11 y RN-34: provision hasta el cupo operativo antes de bajar del 8 %</t>
        </is>
      </c>
      <c r="K425" t="inlineStr">
        <is>
          <t>Provision en la manana, antes del pagado: con el pronostico, sin provision el saldo bajaria del 8 % del cupo ese dia. Lleva el saldo de 43.917.757 a 441.000.000 COP (cupo 441.000.000). Equipo administrado por Sucursal. Sin tarifa TDV (administrado por la sucursal): costo 0 declarado.</t>
        </is>
      </c>
      <c r="L425" s="26" t="n">
        <v>441000000</v>
      </c>
      <c r="M425" s="26" t="n">
        <v>43917757</v>
      </c>
      <c r="N425" s="27">
        <f>IF(ISNUMBER(M425),M425/L425,"No aplica")</f>
        <v>0.09958675056689342</v>
      </c>
      <c r="O425" s="25">
        <f>IF(G425="provision",M425+H425,IF(G425="recoleccion",M425-H425,"No aplica"))</f>
        <v>441000000</v>
      </c>
      <c r="P425" s="26" t="n">
        <v>0</v>
      </c>
    </row>
    <row r="426">
      <c r="A426" t="inlineStr">
        <is>
          <t>PRAGMA</t>
        </is>
      </c>
      <c r="B426" t="inlineStr">
        <is>
          <t>M1</t>
        </is>
      </c>
      <c r="C426" t="inlineStr">
        <is>
          <t>Cali</t>
        </is>
      </c>
      <c r="D426" t="inlineStr">
        <is>
          <t>4013</t>
        </is>
      </c>
      <c r="E426" t="inlineStr">
        <is>
          <t>Sucursal</t>
        </is>
      </c>
      <c r="F426" s="23" t="n">
        <v>46270</v>
      </c>
      <c r="G426" t="inlineStr">
        <is>
          <t>provision</t>
        </is>
      </c>
      <c r="H426" s="26" t="n">
        <v>339357956</v>
      </c>
      <c r="I426" t="inlineStr">
        <is>
          <t>bajo</t>
        </is>
      </c>
      <c r="J426" t="inlineStr">
        <is>
          <t>RN-11 y RN-34: provision hasta el cupo operativo antes de bajar del 8 %</t>
        </is>
      </c>
      <c r="K426" t="inlineStr">
        <is>
          <t>Provision en la manana, antes del pagado: con el pronostico, sin provision el saldo bajaria del 8 % del cupo ese dia. Lleva el saldo de 101.642.044 a 441.000.000 COP (cupo 441.000.000). Equipo administrado por Sucursal. Sin tarifa TDV (administrado por la sucursal): costo 0 declarado.</t>
        </is>
      </c>
      <c r="L426" s="26" t="n">
        <v>441000000</v>
      </c>
      <c r="M426" s="26" t="n">
        <v>101642044</v>
      </c>
      <c r="N426" s="27">
        <f>IF(ISNUMBER(M426),M426/L426,"No aplica")</f>
        <v>0.2304808253968254</v>
      </c>
      <c r="O426" s="25">
        <f>IF(G426="provision",M426+H426,IF(G426="recoleccion",M426-H426,"No aplica"))</f>
        <v>441000000</v>
      </c>
      <c r="P426" s="26" t="n">
        <v>0</v>
      </c>
    </row>
    <row r="427">
      <c r="A427" t="inlineStr">
        <is>
          <t>PRAGMA</t>
        </is>
      </c>
      <c r="B427" t="inlineStr">
        <is>
          <t>M1</t>
        </is>
      </c>
      <c r="C427" t="inlineStr">
        <is>
          <t>Cali</t>
        </is>
      </c>
      <c r="D427" t="inlineStr">
        <is>
          <t>4013</t>
        </is>
      </c>
      <c r="E427" t="inlineStr">
        <is>
          <t>Sucursal</t>
        </is>
      </c>
      <c r="F427" s="23" t="n">
        <v>46272</v>
      </c>
      <c r="G427" t="inlineStr">
        <is>
          <t>provision</t>
        </is>
      </c>
      <c r="H427" s="26" t="n">
        <v>277528214</v>
      </c>
      <c r="I427" t="inlineStr">
        <is>
          <t>bajo</t>
        </is>
      </c>
      <c r="J427" t="inlineStr">
        <is>
          <t>RN-11 y RN-34: provision hasta el cupo operativo antes de bajar del 8 %</t>
        </is>
      </c>
      <c r="K427" t="inlineStr">
        <is>
          <t>Provision en la manana, antes del pagado: con el pronostico, sin provision el saldo bajaria del 8 % del cupo ese dia. Lleva el saldo de 163.471.786 a 441.000.000 COP (cupo 441.000.000). Equipo administrado por Sucursal. Sin tarifa TDV (administrado por la sucursal): costo 0 declarado.</t>
        </is>
      </c>
      <c r="L427" s="26" t="n">
        <v>441000000</v>
      </c>
      <c r="M427" s="26" t="n">
        <v>163471786</v>
      </c>
      <c r="N427" s="27">
        <f>IF(ISNUMBER(M427),M427/L427,"No aplica")</f>
        <v>0.37068432199546486</v>
      </c>
      <c r="O427" s="25">
        <f>IF(G427="provision",M427+H427,IF(G427="recoleccion",M427-H427,"No aplica"))</f>
        <v>441000000</v>
      </c>
      <c r="P427" s="26" t="n">
        <v>0</v>
      </c>
    </row>
    <row r="428">
      <c r="A428" t="inlineStr">
        <is>
          <t>PRAGMA</t>
        </is>
      </c>
      <c r="B428" t="inlineStr">
        <is>
          <t>M1</t>
        </is>
      </c>
      <c r="C428" t="inlineStr">
        <is>
          <t>Cali</t>
        </is>
      </c>
      <c r="D428" t="inlineStr">
        <is>
          <t>4013</t>
        </is>
      </c>
      <c r="E428" t="inlineStr">
        <is>
          <t>Sucursal</t>
        </is>
      </c>
      <c r="F428" s="23" t="n">
        <v>46275</v>
      </c>
      <c r="G428" t="inlineStr">
        <is>
          <t>provision</t>
        </is>
      </c>
      <c r="H428" s="26" t="n">
        <v>362254013</v>
      </c>
      <c r="I428" t="inlineStr">
        <is>
          <t>bajo</t>
        </is>
      </c>
      <c r="J428" t="inlineStr">
        <is>
          <t>RN-11 y RN-34: provision hasta el cupo operativo antes de bajar del 8 %</t>
        </is>
      </c>
      <c r="K428" t="inlineStr">
        <is>
          <t>Provision en la manana, antes del pagado: con el pronostico, sin provision el saldo bajaria del 8 % del cupo ese dia. Lleva el saldo de 78.745.987 a 441.000.000 COP (cupo 441.000.000). Equipo administrado por Sucursal. Sin tarifa TDV (administrado por la sucursal): costo 0 declarado.</t>
        </is>
      </c>
      <c r="L428" s="26" t="n">
        <v>441000000</v>
      </c>
      <c r="M428" s="26" t="n">
        <v>78745987</v>
      </c>
      <c r="N428" s="27">
        <f>IF(ISNUMBER(M428),M428/L428,"No aplica")</f>
        <v>0.17856232879818595</v>
      </c>
      <c r="O428" s="25">
        <f>IF(G428="provision",M428+H428,IF(G428="recoleccion",M428-H428,"No aplica"))</f>
        <v>441000000</v>
      </c>
      <c r="P428" s="26" t="n">
        <v>0</v>
      </c>
    </row>
    <row r="429">
      <c r="A429" t="inlineStr">
        <is>
          <t>PRAGMA</t>
        </is>
      </c>
      <c r="B429" t="inlineStr">
        <is>
          <t>M1</t>
        </is>
      </c>
      <c r="C429" t="inlineStr">
        <is>
          <t>Cali</t>
        </is>
      </c>
      <c r="D429" t="inlineStr">
        <is>
          <t>4013</t>
        </is>
      </c>
      <c r="E429" t="inlineStr">
        <is>
          <t>Sucursal</t>
        </is>
      </c>
      <c r="F429" s="23" t="n">
        <v>46277</v>
      </c>
      <c r="G429" t="inlineStr">
        <is>
          <t>provision</t>
        </is>
      </c>
      <c r="H429" s="26" t="n">
        <v>271923635</v>
      </c>
      <c r="I429" t="inlineStr">
        <is>
          <t>bajo</t>
        </is>
      </c>
      <c r="J429" t="inlineStr">
        <is>
          <t>RN-11 y RN-34: provision hasta el cupo operativo antes de bajar del 8 %</t>
        </is>
      </c>
      <c r="K429" t="inlineStr">
        <is>
          <t>Provision en la manana, antes del pagado: con el pronostico, sin provision el saldo bajaria del 8 % del cupo ese dia. Lleva el saldo de 169.076.365 a 441.000.000 COP (cupo 441.000.000). Equipo administrado por Sucursal. Sin tarifa TDV (administrado por la sucursal): costo 0 declarado.</t>
        </is>
      </c>
      <c r="L429" s="26" t="n">
        <v>441000000</v>
      </c>
      <c r="M429" s="26" t="n">
        <v>169076365</v>
      </c>
      <c r="N429" s="27">
        <f>IF(ISNUMBER(M429),M429/L429,"No aplica")</f>
        <v>0.3833931179138322</v>
      </c>
      <c r="O429" s="25">
        <f>IF(G429="provision",M429+H429,IF(G429="recoleccion",M429-H429,"No aplica"))</f>
        <v>441000000</v>
      </c>
      <c r="P429" s="26" t="n">
        <v>0</v>
      </c>
    </row>
    <row r="430">
      <c r="A430" t="inlineStr">
        <is>
          <t>PRAGMA</t>
        </is>
      </c>
      <c r="B430" t="inlineStr">
        <is>
          <t>M1</t>
        </is>
      </c>
      <c r="C430" t="inlineStr">
        <is>
          <t>Cali</t>
        </is>
      </c>
      <c r="D430" t="inlineStr">
        <is>
          <t>4013</t>
        </is>
      </c>
      <c r="E430" t="inlineStr">
        <is>
          <t>Sucursal</t>
        </is>
      </c>
      <c r="F430" s="23" t="n">
        <v>46280</v>
      </c>
      <c r="G430" t="inlineStr">
        <is>
          <t>provision</t>
        </is>
      </c>
      <c r="H430" s="26" t="n">
        <v>336816801</v>
      </c>
      <c r="I430" t="inlineStr">
        <is>
          <t>bajo</t>
        </is>
      </c>
      <c r="J430" t="inlineStr">
        <is>
          <t>RN-11 y RN-34: provision hasta el cupo operativo antes de bajar del 8 %</t>
        </is>
      </c>
      <c r="K430" t="inlineStr">
        <is>
          <t>Provision en la manana, antes del pagado: con el pronostico, sin provision el saldo bajaria del 8 % del cupo ese dia. Lleva el saldo de 104.183.199 a 441.000.000 COP (cupo 441.000.000). Equipo administrado por Sucursal. Sin tarifa TDV (administrado por la sucursal): costo 0 declarado.</t>
        </is>
      </c>
      <c r="L430" s="26" t="n">
        <v>441000000</v>
      </c>
      <c r="M430" s="26" t="n">
        <v>104183199</v>
      </c>
      <c r="N430" s="27">
        <f>IF(ISNUMBER(M430),M430/L430,"No aplica")</f>
        <v>0.23624308163265306</v>
      </c>
      <c r="O430" s="25">
        <f>IF(G430="provision",M430+H430,IF(G430="recoleccion",M430-H430,"No aplica"))</f>
        <v>441000000</v>
      </c>
      <c r="P430" s="26" t="n">
        <v>0</v>
      </c>
    </row>
    <row r="431">
      <c r="A431" t="inlineStr">
        <is>
          <t>PRAGMA</t>
        </is>
      </c>
      <c r="B431" t="inlineStr">
        <is>
          <t>M1</t>
        </is>
      </c>
      <c r="C431" t="inlineStr">
        <is>
          <t>Cali</t>
        </is>
      </c>
      <c r="D431" t="inlineStr">
        <is>
          <t>4014</t>
        </is>
      </c>
      <c r="E431" t="inlineStr">
        <is>
          <t>Sucursal</t>
        </is>
      </c>
      <c r="F431" s="23" t="n">
        <v>46267</v>
      </c>
      <c r="G431" t="inlineStr">
        <is>
          <t>provision</t>
        </is>
      </c>
      <c r="H431" s="26" t="n">
        <v>229882234</v>
      </c>
      <c r="I431" t="inlineStr">
        <is>
          <t>bajo</t>
        </is>
      </c>
      <c r="J431" t="inlineStr">
        <is>
          <t>RN-11 y RN-34: provision hasta el cupo operativo antes de bajar del 8 %</t>
        </is>
      </c>
      <c r="K431" t="inlineStr">
        <is>
          <t>Provision en la manana, antes del pagado: con el pronostico, sin provision el saldo bajaria del 8 % del cupo ese dia. Lleva el saldo de 211.117.766 a 441.000.000 COP (cupo 441.000.000). Equipo administrado por Sucursal. Sin tarifa TDV (administrado por la sucursal): costo 0 declarado.</t>
        </is>
      </c>
      <c r="L431" s="26" t="n">
        <v>441000000</v>
      </c>
      <c r="M431" s="26" t="n">
        <v>211117766</v>
      </c>
      <c r="N431" s="27">
        <f>IF(ISNUMBER(M431),M431/L431,"No aplica")</f>
        <v>0.4787250929705215</v>
      </c>
      <c r="O431" s="25">
        <f>IF(G431="provision",M431+H431,IF(G431="recoleccion",M431-H431,"No aplica"))</f>
        <v>441000000</v>
      </c>
      <c r="P431" s="26" t="n">
        <v>0</v>
      </c>
    </row>
    <row r="432">
      <c r="A432" t="inlineStr">
        <is>
          <t>PRAGMA</t>
        </is>
      </c>
      <c r="B432" t="inlineStr">
        <is>
          <t>M1</t>
        </is>
      </c>
      <c r="C432" t="inlineStr">
        <is>
          <t>Cali</t>
        </is>
      </c>
      <c r="D432" t="inlineStr">
        <is>
          <t>4014</t>
        </is>
      </c>
      <c r="E432" t="inlineStr">
        <is>
          <t>Sucursal</t>
        </is>
      </c>
      <c r="F432" s="23" t="n">
        <v>46269</v>
      </c>
      <c r="G432" t="inlineStr">
        <is>
          <t>provision</t>
        </is>
      </c>
      <c r="H432" s="26" t="n">
        <v>325173777</v>
      </c>
      <c r="I432" t="inlineStr">
        <is>
          <t>bajo</t>
        </is>
      </c>
      <c r="J432" t="inlineStr">
        <is>
          <t>RN-11 y RN-34: provision hasta el cupo operativo antes de bajar del 8 %</t>
        </is>
      </c>
      <c r="K432" t="inlineStr">
        <is>
          <t>Provision en la manana, antes del pagado: con el pronostico, sin provision el saldo bajaria del 8 % del cupo ese dia. Lleva el saldo de 115.826.223 a 441.000.000 COP (cupo 441.000.000). Equipo administrado por Sucursal. Sin tarifa TDV (administrado por la sucursal): costo 0 declarado.</t>
        </is>
      </c>
      <c r="L432" s="26" t="n">
        <v>441000000</v>
      </c>
      <c r="M432" s="26" t="n">
        <v>115826223</v>
      </c>
      <c r="N432" s="27">
        <f>IF(ISNUMBER(M432),M432/L432,"No aplica")</f>
        <v>0.2626444965986395</v>
      </c>
      <c r="O432" s="25">
        <f>IF(G432="provision",M432+H432,IF(G432="recoleccion",M432-H432,"No aplica"))</f>
        <v>441000000</v>
      </c>
      <c r="P432" s="26" t="n">
        <v>0</v>
      </c>
    </row>
    <row r="433">
      <c r="A433" t="inlineStr">
        <is>
          <t>PRAGMA</t>
        </is>
      </c>
      <c r="B433" t="inlineStr">
        <is>
          <t>M1</t>
        </is>
      </c>
      <c r="C433" t="inlineStr">
        <is>
          <t>Cali</t>
        </is>
      </c>
      <c r="D433" t="inlineStr">
        <is>
          <t>4014</t>
        </is>
      </c>
      <c r="E433" t="inlineStr">
        <is>
          <t>Sucursal</t>
        </is>
      </c>
      <c r="F433" s="23" t="n">
        <v>46272</v>
      </c>
      <c r="G433" t="inlineStr">
        <is>
          <t>provision</t>
        </is>
      </c>
      <c r="H433" s="26" t="n">
        <v>405257869</v>
      </c>
      <c r="I433" t="inlineStr">
        <is>
          <t>bajo</t>
        </is>
      </c>
      <c r="J433" t="inlineStr">
        <is>
          <t>RN-11 y RN-34: provision hasta el cupo operativo antes de bajar del 8 %</t>
        </is>
      </c>
      <c r="K433" t="inlineStr">
        <is>
          <t>Provision en la manana, antes del pagado: con el pronostico, sin provision el saldo bajaria del 8 % del cupo ese dia. Lleva el saldo de 35.742.131 a 441.000.000 COP (cupo 441.000.000). Equipo administrado por Sucursal. Sin tarifa TDV (administrado por la sucursal): costo 0 declarado.</t>
        </is>
      </c>
      <c r="L433" s="26" t="n">
        <v>441000000</v>
      </c>
      <c r="M433" s="26" t="n">
        <v>35742131</v>
      </c>
      <c r="N433" s="27">
        <f>IF(ISNUMBER(M433),M433/L433,"No aplica")</f>
        <v>0.08104791609977324</v>
      </c>
      <c r="O433" s="25">
        <f>IF(G433="provision",M433+H433,IF(G433="recoleccion",M433-H433,"No aplica"))</f>
        <v>441000000</v>
      </c>
      <c r="P433" s="26" t="n">
        <v>0</v>
      </c>
    </row>
    <row r="434">
      <c r="A434" t="inlineStr">
        <is>
          <t>PRAGMA</t>
        </is>
      </c>
      <c r="B434" t="inlineStr">
        <is>
          <t>M1</t>
        </is>
      </c>
      <c r="C434" t="inlineStr">
        <is>
          <t>Cali</t>
        </is>
      </c>
      <c r="D434" t="inlineStr">
        <is>
          <t>4014</t>
        </is>
      </c>
      <c r="E434" t="inlineStr">
        <is>
          <t>Sucursal</t>
        </is>
      </c>
      <c r="F434" s="23" t="n">
        <v>46275</v>
      </c>
      <c r="G434" t="inlineStr">
        <is>
          <t>provision</t>
        </is>
      </c>
      <c r="H434" s="26" t="n">
        <v>355092243</v>
      </c>
      <c r="I434" t="inlineStr">
        <is>
          <t>bajo</t>
        </is>
      </c>
      <c r="J434" t="inlineStr">
        <is>
          <t>RN-11 y RN-34: provision hasta el cupo operativo antes de bajar del 8 %</t>
        </is>
      </c>
      <c r="K434" t="inlineStr">
        <is>
          <t>Provision en la manana, antes del pagado: con el pronostico, sin provision el saldo bajaria del 8 % del cupo ese dia. Lleva el saldo de 85.907.757 a 441.000.000 COP (cupo 441.000.000). Equipo administrado por Sucursal. Sin tarifa TDV (administrado por la sucursal): costo 0 declarado.</t>
        </is>
      </c>
      <c r="L434" s="26" t="n">
        <v>441000000</v>
      </c>
      <c r="M434" s="26" t="n">
        <v>85907757</v>
      </c>
      <c r="N434" s="27">
        <f>IF(ISNUMBER(M434),M434/L434,"No aplica")</f>
        <v>0.19480217006802722</v>
      </c>
      <c r="O434" s="25">
        <f>IF(G434="provision",M434+H434,IF(G434="recoleccion",M434-H434,"No aplica"))</f>
        <v>441000000</v>
      </c>
      <c r="P434" s="26" t="n">
        <v>0</v>
      </c>
    </row>
    <row r="435">
      <c r="A435" t="inlineStr">
        <is>
          <t>PRAGMA</t>
        </is>
      </c>
      <c r="B435" t="inlineStr">
        <is>
          <t>M1</t>
        </is>
      </c>
      <c r="C435" t="inlineStr">
        <is>
          <t>Cali</t>
        </is>
      </c>
      <c r="D435" t="inlineStr">
        <is>
          <t>4014</t>
        </is>
      </c>
      <c r="E435" t="inlineStr">
        <is>
          <t>Sucursal</t>
        </is>
      </c>
      <c r="F435" s="23" t="n">
        <v>46278</v>
      </c>
      <c r="G435" t="inlineStr">
        <is>
          <t>provision</t>
        </is>
      </c>
      <c r="H435" s="26" t="n">
        <v>360570993</v>
      </c>
      <c r="I435" t="inlineStr">
        <is>
          <t>bajo</t>
        </is>
      </c>
      <c r="J435" t="inlineStr">
        <is>
          <t>RN-11 y RN-34: provision hasta el cupo operativo antes de bajar del 8 %</t>
        </is>
      </c>
      <c r="K435" t="inlineStr">
        <is>
          <t>Provision en la manana, antes del pagado: con el pronostico, sin provision el saldo bajaria del 8 % del cupo ese dia. Lleva el saldo de 80.429.007 a 441.000.000 COP (cupo 441.000.000). Equipo administrado por Sucursal. Sin tarifa TDV (administrado por la sucursal): costo 0 declarado.</t>
        </is>
      </c>
      <c r="L435" s="26" t="n">
        <v>441000000</v>
      </c>
      <c r="M435" s="26" t="n">
        <v>80429007</v>
      </c>
      <c r="N435" s="27">
        <f>IF(ISNUMBER(M435),M435/L435,"No aplica")</f>
        <v>0.18237870068027212</v>
      </c>
      <c r="O435" s="25">
        <f>IF(G435="provision",M435+H435,IF(G435="recoleccion",M435-H435,"No aplica"))</f>
        <v>441000000</v>
      </c>
      <c r="P435" s="26" t="n">
        <v>0</v>
      </c>
    </row>
    <row r="436">
      <c r="A436" t="inlineStr">
        <is>
          <t>PRAGMA</t>
        </is>
      </c>
      <c r="B436" t="inlineStr">
        <is>
          <t>M1</t>
        </is>
      </c>
      <c r="C436" t="inlineStr">
        <is>
          <t>Cali</t>
        </is>
      </c>
      <c r="D436" t="inlineStr">
        <is>
          <t>4041</t>
        </is>
      </c>
      <c r="E436" t="inlineStr">
        <is>
          <t>TDV</t>
        </is>
      </c>
      <c r="F436" s="23" t="n">
        <v>46276</v>
      </c>
      <c r="G436" t="inlineStr">
        <is>
          <t>provision</t>
        </is>
      </c>
      <c r="H436" s="26" t="n">
        <v>432385950</v>
      </c>
      <c r="I436" t="inlineStr">
        <is>
          <t>bajo</t>
        </is>
      </c>
      <c r="J436" t="inlineStr">
        <is>
          <t>RN-11 y RN-34: provision hasta el cupo operativo antes de bajar del 8 %</t>
        </is>
      </c>
      <c r="K436" t="inlineStr">
        <is>
          <t>Provision en la manana, antes del pagado: con el pronostico, sin provision el saldo bajaria del 8 % del cupo ese dia. Lleva el saldo de 67.614.050 a 500.000.000 COP (cupo 500.000.000). Equipo administrado por TDV.</t>
        </is>
      </c>
      <c r="L436" s="26" t="n">
        <v>500000000</v>
      </c>
      <c r="M436" s="26" t="n">
        <v>67614050</v>
      </c>
      <c r="N436" s="27">
        <f>IF(ISNUMBER(M436),M436/L436,"No aplica")</f>
        <v>0.1352281</v>
      </c>
      <c r="O436" s="25">
        <f>IF(G436="provision",M436+H436,IF(G436="recoleccion",M436-H436,"No aplica"))</f>
        <v>500000000</v>
      </c>
      <c r="P436" s="26" t="n">
        <v>209895</v>
      </c>
    </row>
    <row r="437">
      <c r="A437" t="inlineStr">
        <is>
          <t>PRAGMA</t>
        </is>
      </c>
      <c r="B437" t="inlineStr">
        <is>
          <t>M1</t>
        </is>
      </c>
      <c r="C437" t="inlineStr">
        <is>
          <t>Cali</t>
        </is>
      </c>
      <c r="D437" t="inlineStr">
        <is>
          <t>4069</t>
        </is>
      </c>
      <c r="E437" t="inlineStr">
        <is>
          <t>TDV</t>
        </is>
      </c>
      <c r="F437" s="23" t="n">
        <v>46267</v>
      </c>
      <c r="G437" t="inlineStr">
        <is>
          <t>provision</t>
        </is>
      </c>
      <c r="H437" s="26" t="n">
        <v>216640316</v>
      </c>
      <c r="I437" t="inlineStr">
        <is>
          <t>bajo</t>
        </is>
      </c>
      <c r="J437" t="inlineStr">
        <is>
          <t>RN-11 y RN-34: provision hasta el cupo operativo antes de bajar del 8 %</t>
        </is>
      </c>
      <c r="K437" t="inlineStr">
        <is>
          <t>Provision en la manana, antes del pagado: con el pronostico, sin provision el saldo bajaria del 8 % del cupo ese dia. Lleva el saldo de 194.359.684 a 411.000.000 COP (cupo 411.000.000). Equipo administrado por TDV.</t>
        </is>
      </c>
      <c r="L437" s="26" t="n">
        <v>411000000</v>
      </c>
      <c r="M437" s="26" t="n">
        <v>194359684</v>
      </c>
      <c r="N437" s="27">
        <f>IF(ISNUMBER(M437),M437/L437,"No aplica")</f>
        <v>0.47289460827250607</v>
      </c>
      <c r="O437" s="25">
        <f>IF(G437="provision",M437+H437,IF(G437="recoleccion",M437-H437,"No aplica"))</f>
        <v>411000000</v>
      </c>
      <c r="P437" s="26" t="n">
        <v>116207</v>
      </c>
    </row>
    <row r="438">
      <c r="A438" t="inlineStr">
        <is>
          <t>PRAGMA</t>
        </is>
      </c>
      <c r="B438" t="inlineStr">
        <is>
          <t>M1</t>
        </is>
      </c>
      <c r="C438" t="inlineStr">
        <is>
          <t>Cali</t>
        </is>
      </c>
      <c r="D438" t="inlineStr">
        <is>
          <t>4069</t>
        </is>
      </c>
      <c r="E438" t="inlineStr">
        <is>
          <t>TDV</t>
        </is>
      </c>
      <c r="F438" s="23" t="n">
        <v>46269</v>
      </c>
      <c r="G438" t="inlineStr">
        <is>
          <t>provision</t>
        </is>
      </c>
      <c r="H438" s="26" t="n">
        <v>324910404</v>
      </c>
      <c r="I438" t="inlineStr">
        <is>
          <t>bajo</t>
        </is>
      </c>
      <c r="J438" t="inlineStr">
        <is>
          <t>RN-11 y RN-34: provision hasta el cupo operativo antes de bajar del 8 %</t>
        </is>
      </c>
      <c r="K438" t="inlineStr">
        <is>
          <t>Provision en la manana, antes del pagado: con el pronostico, sin provision el saldo bajaria del 8 % del cupo ese dia. Lleva el saldo de 86.089.596 a 411.000.000 COP (cupo 411.000.000). Equipo administrado por TDV.</t>
        </is>
      </c>
      <c r="L438" s="26" t="n">
        <v>411000000</v>
      </c>
      <c r="M438" s="26" t="n">
        <v>86089596</v>
      </c>
      <c r="N438" s="27">
        <f>IF(ISNUMBER(M438),M438/L438,"No aplica")</f>
        <v>0.20946373722627737</v>
      </c>
      <c r="O438" s="25">
        <f>IF(G438="provision",M438+H438,IF(G438="recoleccion",M438-H438,"No aplica"))</f>
        <v>411000000</v>
      </c>
      <c r="P438" s="26" t="n">
        <v>165146</v>
      </c>
    </row>
    <row r="439">
      <c r="A439" t="inlineStr">
        <is>
          <t>PRAGMA</t>
        </is>
      </c>
      <c r="B439" t="inlineStr">
        <is>
          <t>M1</t>
        </is>
      </c>
      <c r="C439" t="inlineStr">
        <is>
          <t>Cali</t>
        </is>
      </c>
      <c r="D439" t="inlineStr">
        <is>
          <t>4069</t>
        </is>
      </c>
      <c r="E439" t="inlineStr">
        <is>
          <t>TDV</t>
        </is>
      </c>
      <c r="F439" s="23" t="n">
        <v>46271</v>
      </c>
      <c r="G439" t="inlineStr">
        <is>
          <t>provision</t>
        </is>
      </c>
      <c r="H439" s="26" t="n">
        <v>334493878</v>
      </c>
      <c r="I439" t="inlineStr">
        <is>
          <t>bajo</t>
        </is>
      </c>
      <c r="J439" t="inlineStr">
        <is>
          <t>RN-11 y RN-34: provision hasta el cupo operativo antes de bajar del 8 %</t>
        </is>
      </c>
      <c r="K439" t="inlineStr">
        <is>
          <t>Provision en la manana, antes del pagado: con el pronostico, sin provision el saldo bajaria del 8 % del cupo ese dia. Lleva el saldo de 76.506.122 a 411.000.000 COP (cupo 411.000.000). Equipo administrado por TDV.</t>
        </is>
      </c>
      <c r="L439" s="26" t="n">
        <v>411000000</v>
      </c>
      <c r="M439" s="26" t="n">
        <v>76506122</v>
      </c>
      <c r="N439" s="27">
        <f>IF(ISNUMBER(M439),M439/L439,"No aplica")</f>
        <v>0.18614628223844282</v>
      </c>
      <c r="O439" s="25">
        <f>IF(G439="provision",M439+H439,IF(G439="recoleccion",M439-H439,"No aplica"))</f>
        <v>411000000</v>
      </c>
      <c r="P439" s="26" t="n">
        <v>220050</v>
      </c>
    </row>
    <row r="440">
      <c r="A440" t="inlineStr">
        <is>
          <t>PRAGMA</t>
        </is>
      </c>
      <c r="B440" t="inlineStr">
        <is>
          <t>M1</t>
        </is>
      </c>
      <c r="C440" t="inlineStr">
        <is>
          <t>Cali</t>
        </is>
      </c>
      <c r="D440" t="inlineStr">
        <is>
          <t>4069</t>
        </is>
      </c>
      <c r="E440" t="inlineStr">
        <is>
          <t>TDV</t>
        </is>
      </c>
      <c r="F440" s="23" t="n">
        <v>46274</v>
      </c>
      <c r="G440" t="inlineStr">
        <is>
          <t>provision</t>
        </is>
      </c>
      <c r="H440" s="26" t="n">
        <v>351622019</v>
      </c>
      <c r="I440" t="inlineStr">
        <is>
          <t>bajo</t>
        </is>
      </c>
      <c r="J440" t="inlineStr">
        <is>
          <t>RN-11 y RN-34: provision hasta el cupo operativo antes de bajar del 8 %</t>
        </is>
      </c>
      <c r="K440" t="inlineStr">
        <is>
          <t>Provision en la manana, antes del pagado: con el pronostico, sin provision el saldo bajaria del 8 % del cupo ese dia. Lleva el saldo de 59.377.981 a 411.000.000 COP (cupo 411.000.000). Equipo administrado por TDV.</t>
        </is>
      </c>
      <c r="L440" s="26" t="n">
        <v>411000000</v>
      </c>
      <c r="M440" s="26" t="n">
        <v>59377981</v>
      </c>
      <c r="N440" s="27">
        <f>IF(ISNUMBER(M440),M440/L440,"No aplica")</f>
        <v>0.14447197323600974</v>
      </c>
      <c r="O440" s="25">
        <f>IF(G440="provision",M440+H440,IF(G440="recoleccion",M440-H440,"No aplica"))</f>
        <v>411000000</v>
      </c>
      <c r="P440" s="26" t="n">
        <v>177219</v>
      </c>
    </row>
    <row r="441">
      <c r="A441" t="inlineStr">
        <is>
          <t>PRAGMA</t>
        </is>
      </c>
      <c r="B441" t="inlineStr">
        <is>
          <t>M1</t>
        </is>
      </c>
      <c r="C441" t="inlineStr">
        <is>
          <t>Cali</t>
        </is>
      </c>
      <c r="D441" t="inlineStr">
        <is>
          <t>4069</t>
        </is>
      </c>
      <c r="E441" t="inlineStr">
        <is>
          <t>TDV</t>
        </is>
      </c>
      <c r="F441" s="23" t="n">
        <v>46277</v>
      </c>
      <c r="G441" t="inlineStr">
        <is>
          <t>provision</t>
        </is>
      </c>
      <c r="H441" s="26" t="n">
        <v>341971311</v>
      </c>
      <c r="I441" t="inlineStr">
        <is>
          <t>bajo</t>
        </is>
      </c>
      <c r="J441" t="inlineStr">
        <is>
          <t>RN-11 y RN-34: provision hasta el cupo operativo antes de bajar del 8 %</t>
        </is>
      </c>
      <c r="K441" t="inlineStr">
        <is>
          <t>Provision en la manana, antes del pagado: con el pronostico, sin provision el saldo bajaria del 8 % del cupo ese dia. Lleva el saldo de 69.028.689 a 411.000.000 COP (cupo 411.000.000). Equipo administrado por TDV.</t>
        </is>
      </c>
      <c r="L441" s="26" t="n">
        <v>411000000</v>
      </c>
      <c r="M441" s="26" t="n">
        <v>69028689</v>
      </c>
      <c r="N441" s="27">
        <f>IF(ISNUMBER(M441),M441/L441,"No aplica")</f>
        <v>0.16795301459854015</v>
      </c>
      <c r="O441" s="25">
        <f>IF(G441="provision",M441+H441,IF(G441="recoleccion",M441-H441,"No aplica"))</f>
        <v>411000000</v>
      </c>
      <c r="P441" s="26" t="n">
        <v>172857</v>
      </c>
    </row>
    <row r="442">
      <c r="A442" t="inlineStr">
        <is>
          <t>PRAGMA</t>
        </is>
      </c>
      <c r="B442" t="inlineStr">
        <is>
          <t>M1</t>
        </is>
      </c>
      <c r="C442" t="inlineStr">
        <is>
          <t>Cali</t>
        </is>
      </c>
      <c r="D442" t="inlineStr">
        <is>
          <t>4069</t>
        </is>
      </c>
      <c r="E442" t="inlineStr">
        <is>
          <t>TDV</t>
        </is>
      </c>
      <c r="F442" s="23" t="n">
        <v>46280</v>
      </c>
      <c r="G442" t="inlineStr">
        <is>
          <t>provision</t>
        </is>
      </c>
      <c r="H442" s="26" t="n">
        <v>338308656</v>
      </c>
      <c r="I442" t="inlineStr">
        <is>
          <t>bajo</t>
        </is>
      </c>
      <c r="J442" t="inlineStr">
        <is>
          <t>RN-11 y RN-34: provision hasta el cupo operativo antes de bajar del 8 %</t>
        </is>
      </c>
      <c r="K442" t="inlineStr">
        <is>
          <t>Provision en la manana, antes del pagado: con el pronostico, sin provision el saldo bajaria del 8 % del cupo ese dia. Lleva el saldo de 72.691.344 a 411.000.000 COP (cupo 411.000.000). Equipo administrado por TDV.</t>
        </is>
      </c>
      <c r="L442" s="26" t="n">
        <v>411000000</v>
      </c>
      <c r="M442" s="26" t="n">
        <v>72691344</v>
      </c>
      <c r="N442" s="27">
        <f>IF(ISNUMBER(M442),M442/L442,"No aplica")</f>
        <v>0.17686458394160584</v>
      </c>
      <c r="O442" s="25">
        <f>IF(G442="provision",M442+H442,IF(G442="recoleccion",M442-H442,"No aplica"))</f>
        <v>411000000</v>
      </c>
      <c r="P442" s="26" t="n">
        <v>171202</v>
      </c>
    </row>
    <row r="443">
      <c r="A443" t="inlineStr">
        <is>
          <t>PRAGMA</t>
        </is>
      </c>
      <c r="B443" t="inlineStr">
        <is>
          <t>M1</t>
        </is>
      </c>
      <c r="C443" t="inlineStr">
        <is>
          <t>Cali</t>
        </is>
      </c>
      <c r="D443" t="inlineStr">
        <is>
          <t>4089</t>
        </is>
      </c>
      <c r="E443" t="inlineStr">
        <is>
          <t>TDV</t>
        </is>
      </c>
      <c r="F443" s="23" t="n">
        <v>46268</v>
      </c>
      <c r="G443" t="inlineStr">
        <is>
          <t>provision</t>
        </is>
      </c>
      <c r="H443" s="26" t="n">
        <v>337742376</v>
      </c>
      <c r="I443" t="inlineStr">
        <is>
          <t>bajo</t>
        </is>
      </c>
      <c r="J443" t="inlineStr">
        <is>
          <t>RN-11 y RN-34: provision hasta el cupo operativo antes de bajar del 8 %</t>
        </is>
      </c>
      <c r="K443" t="inlineStr">
        <is>
          <t>Provision en la manana, antes del pagado: con el pronostico, sin provision el saldo bajaria del 8 % del cupo ese dia. Lleva el saldo de 162.257.624 a 500.000.000 COP (cupo 500.000.000). Equipo administrado por TDV.</t>
        </is>
      </c>
      <c r="L443" s="26" t="n">
        <v>500000000</v>
      </c>
      <c r="M443" s="26" t="n">
        <v>162257624</v>
      </c>
      <c r="N443" s="27">
        <f>IF(ISNUMBER(M443),M443/L443,"No aplica")</f>
        <v>0.324515248</v>
      </c>
      <c r="O443" s="25">
        <f>IF(G443="provision",M443+H443,IF(G443="recoleccion",M443-H443,"No aplica"))</f>
        <v>500000000</v>
      </c>
      <c r="P443" s="26" t="n">
        <v>168062</v>
      </c>
    </row>
    <row r="444">
      <c r="A444" t="inlineStr">
        <is>
          <t>PRAGMA</t>
        </is>
      </c>
      <c r="B444" t="inlineStr">
        <is>
          <t>M1</t>
        </is>
      </c>
      <c r="C444" t="inlineStr">
        <is>
          <t>Cali</t>
        </is>
      </c>
      <c r="D444" t="inlineStr">
        <is>
          <t>4089</t>
        </is>
      </c>
      <c r="E444" t="inlineStr">
        <is>
          <t>TDV</t>
        </is>
      </c>
      <c r="F444" s="23" t="n">
        <v>46271</v>
      </c>
      <c r="G444" t="inlineStr">
        <is>
          <t>provision</t>
        </is>
      </c>
      <c r="H444" s="26" t="n">
        <v>439515433</v>
      </c>
      <c r="I444" t="inlineStr">
        <is>
          <t>bajo</t>
        </is>
      </c>
      <c r="J444" t="inlineStr">
        <is>
          <t>RN-11 y RN-34: provision hasta el cupo operativo antes de bajar del 8 %</t>
        </is>
      </c>
      <c r="K444" t="inlineStr">
        <is>
          <t>Provision en la manana, antes del pagado: con el pronostico, sin provision el saldo bajaria del 8 % del cupo ese dia. Lleva el saldo de 60.484.567 a 500.000.000 COP (cupo 500.000.000). Equipo administrado por TDV.</t>
        </is>
      </c>
      <c r="L444" s="26" t="n">
        <v>500000000</v>
      </c>
      <c r="M444" s="26" t="n">
        <v>60484567</v>
      </c>
      <c r="N444" s="27">
        <f>IF(ISNUMBER(M444),M444/L444,"No aplica")</f>
        <v>0.120969134</v>
      </c>
      <c r="O444" s="25">
        <f>IF(G444="provision",M444+H444,IF(G444="recoleccion",M444-H444,"No aplica"))</f>
        <v>500000000</v>
      </c>
      <c r="P444" s="26" t="n">
        <v>281660</v>
      </c>
    </row>
    <row r="445">
      <c r="A445" t="inlineStr">
        <is>
          <t>PRAGMA</t>
        </is>
      </c>
      <c r="B445" t="inlineStr">
        <is>
          <t>M1</t>
        </is>
      </c>
      <c r="C445" t="inlineStr">
        <is>
          <t>Cali</t>
        </is>
      </c>
      <c r="D445" t="inlineStr">
        <is>
          <t>4089</t>
        </is>
      </c>
      <c r="E445" t="inlineStr">
        <is>
          <t>TDV</t>
        </is>
      </c>
      <c r="F445" s="23" t="n">
        <v>46275</v>
      </c>
      <c r="G445" t="inlineStr">
        <is>
          <t>provision</t>
        </is>
      </c>
      <c r="H445" s="26" t="n">
        <v>433624685</v>
      </c>
      <c r="I445" t="inlineStr">
        <is>
          <t>bajo</t>
        </is>
      </c>
      <c r="J445" t="inlineStr">
        <is>
          <t>RN-11 y RN-34: provision hasta el cupo operativo antes de bajar del 8 %</t>
        </is>
      </c>
      <c r="K445" t="inlineStr">
        <is>
          <t>Provision en la manana, antes del pagado: con el pronostico, sin provision el saldo bajaria del 8 % del cupo ese dia. Lleva el saldo de 66.375.315 a 500.000.000 COP (cupo 500.000.000). Equipo administrado por TDV.</t>
        </is>
      </c>
      <c r="L445" s="26" t="n">
        <v>500000000</v>
      </c>
      <c r="M445" s="26" t="n">
        <v>66375315</v>
      </c>
      <c r="N445" s="27">
        <f>IF(ISNUMBER(M445),M445/L445,"No aplica")</f>
        <v>0.13275063</v>
      </c>
      <c r="O445" s="25">
        <f>IF(G445="provision",M445+H445,IF(G445="recoleccion",M445-H445,"No aplica"))</f>
        <v>500000000</v>
      </c>
      <c r="P445" s="26" t="n">
        <v>210442</v>
      </c>
    </row>
    <row r="446">
      <c r="A446" t="inlineStr">
        <is>
          <t>PRAGMA</t>
        </is>
      </c>
      <c r="B446" t="inlineStr">
        <is>
          <t>M1</t>
        </is>
      </c>
      <c r="C446" t="inlineStr">
        <is>
          <t>Cali</t>
        </is>
      </c>
      <c r="D446" t="inlineStr">
        <is>
          <t>4089</t>
        </is>
      </c>
      <c r="E446" t="inlineStr">
        <is>
          <t>TDV</t>
        </is>
      </c>
      <c r="F446" s="23" t="n">
        <v>46279</v>
      </c>
      <c r="G446" t="inlineStr">
        <is>
          <t>provision</t>
        </is>
      </c>
      <c r="H446" s="26" t="n">
        <v>409963791</v>
      </c>
      <c r="I446" t="inlineStr">
        <is>
          <t>bajo</t>
        </is>
      </c>
      <c r="J446" t="inlineStr">
        <is>
          <t>RN-11 y RN-34: provision hasta el cupo operativo antes de bajar del 8 %</t>
        </is>
      </c>
      <c r="K446" t="inlineStr">
        <is>
          <t>Provision en la manana, antes del pagado: con el pronostico, sin provision el saldo bajaria del 8 % del cupo ese dia. Lleva el saldo de 90.036.209 a 500.000.000 COP (cupo 500.000.000). Equipo administrado por TDV.</t>
        </is>
      </c>
      <c r="L446" s="26" t="n">
        <v>500000000</v>
      </c>
      <c r="M446" s="26" t="n">
        <v>90036209</v>
      </c>
      <c r="N446" s="27">
        <f>IF(ISNUMBER(M446),M446/L446,"No aplica")</f>
        <v>0.180072418</v>
      </c>
      <c r="O446" s="25">
        <f>IF(G446="provision",M446+H446,IF(G446="recoleccion",M446-H446,"No aplica"))</f>
        <v>500000000</v>
      </c>
      <c r="P446" s="26" t="n">
        <v>199984</v>
      </c>
    </row>
    <row r="447">
      <c r="A447" t="inlineStr">
        <is>
          <t>PRAGMA</t>
        </is>
      </c>
      <c r="B447" t="inlineStr">
        <is>
          <t>M1</t>
        </is>
      </c>
      <c r="C447" t="inlineStr">
        <is>
          <t>Cali</t>
        </is>
      </c>
      <c r="D447" t="inlineStr">
        <is>
          <t>4092</t>
        </is>
      </c>
      <c r="E447" t="inlineStr">
        <is>
          <t>TDV</t>
        </is>
      </c>
      <c r="F447" s="23" t="n">
        <v>46276</v>
      </c>
      <c r="G447" t="inlineStr">
        <is>
          <t>provision</t>
        </is>
      </c>
      <c r="H447" s="26" t="n">
        <v>351728921</v>
      </c>
      <c r="I447" t="inlineStr">
        <is>
          <t>bajo</t>
        </is>
      </c>
      <c r="J447" t="inlineStr">
        <is>
          <t>RN-11 y RN-34: provision hasta el cupo operativo antes de bajar del 8 %</t>
        </is>
      </c>
      <c r="K447" t="inlineStr">
        <is>
          <t>Provision en la manana, antes del pagado: con el pronostico, sin provision el saldo bajaria del 8 % del cupo ese dia. Lleva el saldo de 53.271.079 a 405.000.000 COP (cupo 405.000.000). Equipo administrado por TDV.</t>
        </is>
      </c>
      <c r="L447" s="26" t="n">
        <v>405000000</v>
      </c>
      <c r="M447" s="26" t="n">
        <v>53271079</v>
      </c>
      <c r="N447" s="27">
        <f>IF(ISNUMBER(M447),M447/L447,"No aplica")</f>
        <v>0.13153352839506172</v>
      </c>
      <c r="O447" s="25">
        <f>IF(G447="provision",M447+H447,IF(G447="recoleccion",M447-H447,"No aplica"))</f>
        <v>405000000</v>
      </c>
      <c r="P447" s="26" t="n">
        <v>174244</v>
      </c>
    </row>
    <row r="448">
      <c r="A448" t="inlineStr">
        <is>
          <t>PRAGMA</t>
        </is>
      </c>
      <c r="B448" t="inlineStr">
        <is>
          <t>M1</t>
        </is>
      </c>
      <c r="C448" t="inlineStr">
        <is>
          <t>Cali</t>
        </is>
      </c>
      <c r="D448" t="inlineStr">
        <is>
          <t>4094</t>
        </is>
      </c>
      <c r="E448" t="inlineStr">
        <is>
          <t>TDV</t>
        </is>
      </c>
      <c r="F448" s="23" t="n">
        <v>46268</v>
      </c>
      <c r="G448" t="inlineStr">
        <is>
          <t>provision</t>
        </is>
      </c>
      <c r="H448" s="26" t="n">
        <v>343882121</v>
      </c>
      <c r="I448" t="inlineStr">
        <is>
          <t>bajo</t>
        </is>
      </c>
      <c r="J448" t="inlineStr">
        <is>
          <t>RN-11 y RN-34: provision hasta el cupo operativo antes de bajar del 8 %</t>
        </is>
      </c>
      <c r="K448" t="inlineStr">
        <is>
          <t>Provision en la manana, antes del pagado: con el pronostico, sin provision el saldo bajaria del 8 % del cupo ese dia. Lleva el saldo de 67.117.879 a 411.000.000 COP (cupo 411.000.000). Equipo administrado por TDV.</t>
        </is>
      </c>
      <c r="L448" s="26" t="n">
        <v>411000000</v>
      </c>
      <c r="M448" s="26" t="n">
        <v>67117879</v>
      </c>
      <c r="N448" s="27">
        <f>IF(ISNUMBER(M448),M448/L448,"No aplica")</f>
        <v>0.16330384184914842</v>
      </c>
      <c r="O448" s="25">
        <f>IF(G448="provision",M448+H448,IF(G448="recoleccion",M448-H448,"No aplica"))</f>
        <v>411000000</v>
      </c>
      <c r="P448" s="26" t="n">
        <v>127993</v>
      </c>
    </row>
    <row r="449">
      <c r="A449" t="inlineStr">
        <is>
          <t>PRAGMA</t>
        </is>
      </c>
      <c r="B449" t="inlineStr">
        <is>
          <t>M1</t>
        </is>
      </c>
      <c r="C449" t="inlineStr">
        <is>
          <t>Cali</t>
        </is>
      </c>
      <c r="D449" t="inlineStr">
        <is>
          <t>4094</t>
        </is>
      </c>
      <c r="E449" t="inlineStr">
        <is>
          <t>TDV</t>
        </is>
      </c>
      <c r="F449" s="23" t="n">
        <v>46270</v>
      </c>
      <c r="G449" t="inlineStr">
        <is>
          <t>provision</t>
        </is>
      </c>
      <c r="H449" s="26" t="n">
        <v>274615470</v>
      </c>
      <c r="I449" t="inlineStr">
        <is>
          <t>bajo</t>
        </is>
      </c>
      <c r="J449" t="inlineStr">
        <is>
          <t>RN-11 y RN-34: provision hasta el cupo operativo antes de bajar del 8 %</t>
        </is>
      </c>
      <c r="K449" t="inlineStr">
        <is>
          <t>Provision en la manana, antes del pagado: con el pronostico, sin provision el saldo bajaria del 8 % del cupo ese dia. Lleva el saldo de 136.384.530 a 411.000.000 COP (cupo 411.000.000). Equipo administrado por TDV.</t>
        </is>
      </c>
      <c r="L449" s="26" t="n">
        <v>411000000</v>
      </c>
      <c r="M449" s="26" t="n">
        <v>136384530</v>
      </c>
      <c r="N449" s="27">
        <f>IF(ISNUMBER(M449),M449/L449,"No aplica")</f>
        <v>0.3318358394160584</v>
      </c>
      <c r="O449" s="25">
        <f>IF(G449="provision",M449+H449,IF(G449="recoleccion",M449-H449,"No aplica"))</f>
        <v>411000000</v>
      </c>
      <c r="P449" s="26" t="n">
        <v>105620</v>
      </c>
    </row>
    <row r="450">
      <c r="A450" t="inlineStr">
        <is>
          <t>PRAGMA</t>
        </is>
      </c>
      <c r="B450" t="inlineStr">
        <is>
          <t>M1</t>
        </is>
      </c>
      <c r="C450" t="inlineStr">
        <is>
          <t>Cali</t>
        </is>
      </c>
      <c r="D450" t="inlineStr">
        <is>
          <t>4094</t>
        </is>
      </c>
      <c r="E450" t="inlineStr">
        <is>
          <t>TDV</t>
        </is>
      </c>
      <c r="F450" s="23" t="n">
        <v>46272</v>
      </c>
      <c r="G450" t="inlineStr">
        <is>
          <t>provision</t>
        </is>
      </c>
      <c r="H450" s="26" t="n">
        <v>293522701</v>
      </c>
      <c r="I450" t="inlineStr">
        <is>
          <t>bajo</t>
        </is>
      </c>
      <c r="J450" t="inlineStr">
        <is>
          <t>RN-11 y RN-34: provision hasta el cupo operativo antes de bajar del 8 %</t>
        </is>
      </c>
      <c r="K450" t="inlineStr">
        <is>
          <t>Provision en la manana, antes del pagado: con el pronostico, sin provision el saldo bajaria del 8 % del cupo ese dia. Lleva el saldo de 117.477.299 a 411.000.000 COP (cupo 411.000.000). Equipo administrado por TDV.</t>
        </is>
      </c>
      <c r="L450" s="26" t="n">
        <v>411000000</v>
      </c>
      <c r="M450" s="26" t="n">
        <v>117477299</v>
      </c>
      <c r="N450" s="27">
        <f>IF(ISNUMBER(M450),M450/L450,"No aplica")</f>
        <v>0.28583284428223843</v>
      </c>
      <c r="O450" s="25">
        <f>IF(G450="provision",M450+H450,IF(G450="recoleccion",M450-H450,"No aplica"))</f>
        <v>411000000</v>
      </c>
      <c r="P450" s="26" t="n">
        <v>111727</v>
      </c>
    </row>
    <row r="451">
      <c r="A451" t="inlineStr">
        <is>
          <t>PRAGMA</t>
        </is>
      </c>
      <c r="B451" t="inlineStr">
        <is>
          <t>M1</t>
        </is>
      </c>
      <c r="C451" t="inlineStr">
        <is>
          <t>Cali</t>
        </is>
      </c>
      <c r="D451" t="inlineStr">
        <is>
          <t>4094</t>
        </is>
      </c>
      <c r="E451" t="inlineStr">
        <is>
          <t>TDV</t>
        </is>
      </c>
      <c r="F451" s="23" t="n">
        <v>46275</v>
      </c>
      <c r="G451" t="inlineStr">
        <is>
          <t>provision</t>
        </is>
      </c>
      <c r="H451" s="26" t="n">
        <v>331405282</v>
      </c>
      <c r="I451" t="inlineStr">
        <is>
          <t>bajo</t>
        </is>
      </c>
      <c r="J451" t="inlineStr">
        <is>
          <t>RN-11 y RN-34: provision hasta el cupo operativo antes de bajar del 8 %</t>
        </is>
      </c>
      <c r="K451" t="inlineStr">
        <is>
          <t>Provision en la manana, antes del pagado: con el pronostico, sin provision el saldo bajaria del 8 % del cupo ese dia. Lleva el saldo de 79.594.718 a 411.000.000 COP (cupo 411.000.000). Equipo administrado por TDV.</t>
        </is>
      </c>
      <c r="L451" s="26" t="n">
        <v>411000000</v>
      </c>
      <c r="M451" s="26" t="n">
        <v>79594718</v>
      </c>
      <c r="N451" s="27">
        <f>IF(ISNUMBER(M451),M451/L451,"No aplica")</f>
        <v>0.19366111435523115</v>
      </c>
      <c r="O451" s="25">
        <f>IF(G451="provision",M451+H451,IF(G451="recoleccion",M451-H451,"No aplica"))</f>
        <v>411000000</v>
      </c>
      <c r="P451" s="26" t="n">
        <v>123963</v>
      </c>
    </row>
    <row r="452">
      <c r="A452" t="inlineStr">
        <is>
          <t>PRAGMA</t>
        </is>
      </c>
      <c r="B452" t="inlineStr">
        <is>
          <t>M1</t>
        </is>
      </c>
      <c r="C452" t="inlineStr">
        <is>
          <t>Cali</t>
        </is>
      </c>
      <c r="D452" t="inlineStr">
        <is>
          <t>4094</t>
        </is>
      </c>
      <c r="E452" t="inlineStr">
        <is>
          <t>TDV</t>
        </is>
      </c>
      <c r="F452" s="23" t="n">
        <v>46278</v>
      </c>
      <c r="G452" t="inlineStr">
        <is>
          <t>provision</t>
        </is>
      </c>
      <c r="H452" s="26" t="n">
        <v>332118366</v>
      </c>
      <c r="I452" t="inlineStr">
        <is>
          <t>bajo</t>
        </is>
      </c>
      <c r="J452" t="inlineStr">
        <is>
          <t>RN-11 y RN-34: provision hasta el cupo operativo antes de bajar del 8 %</t>
        </is>
      </c>
      <c r="K452" t="inlineStr">
        <is>
          <t>Provision en la manana, antes del pagado: con el pronostico, sin provision el saldo bajaria del 8 % del cupo ese dia. Lleva el saldo de 78.881.634 a 411.000.000 COP (cupo 411.000.000). Equipo administrado por TDV.</t>
        </is>
      </c>
      <c r="L452" s="26" t="n">
        <v>411000000</v>
      </c>
      <c r="M452" s="26" t="n">
        <v>78881634</v>
      </c>
      <c r="N452" s="27">
        <f>IF(ISNUMBER(M452),M452/L452,"No aplica")</f>
        <v>0.19192611678832117</v>
      </c>
      <c r="O452" s="25">
        <f>IF(G452="provision",M452+H452,IF(G452="recoleccion",M452-H452,"No aplica"))</f>
        <v>411000000</v>
      </c>
      <c r="P452" s="26" t="n">
        <v>161702</v>
      </c>
    </row>
    <row r="453">
      <c r="A453" t="inlineStr">
        <is>
          <t>PRAGMA</t>
        </is>
      </c>
      <c r="B453" t="inlineStr">
        <is>
          <t>M1</t>
        </is>
      </c>
      <c r="C453" t="inlineStr">
        <is>
          <t>Cali</t>
        </is>
      </c>
      <c r="D453" t="inlineStr">
        <is>
          <t>4095</t>
        </is>
      </c>
      <c r="E453" t="inlineStr">
        <is>
          <t>TDV</t>
        </is>
      </c>
      <c r="F453" s="23" t="n">
        <v>46268</v>
      </c>
      <c r="G453" t="inlineStr">
        <is>
          <t>provision</t>
        </is>
      </c>
      <c r="H453" s="26" t="n">
        <v>365819659</v>
      </c>
      <c r="I453" t="inlineStr">
        <is>
          <t>bajo</t>
        </is>
      </c>
      <c r="J453" t="inlineStr">
        <is>
          <t>RN-11 y RN-34: provision hasta el cupo operativo antes de bajar del 8 %</t>
        </is>
      </c>
      <c r="K453" t="inlineStr">
        <is>
          <t>Provision en la manana, antes del pagado: con el pronostico, sin provision el saldo bajaria del 8 % del cupo ese dia. Lleva el saldo de 45.180.341 a 411.000.000 COP (cupo 411.000.000). Equipo administrado por TDV.</t>
        </is>
      </c>
      <c r="L453" s="26" t="n">
        <v>411000000</v>
      </c>
      <c r="M453" s="26" t="n">
        <v>45180341</v>
      </c>
      <c r="N453" s="27">
        <f>IF(ISNUMBER(M453),M453/L453,"No aplica")</f>
        <v>0.10992783698296837</v>
      </c>
      <c r="O453" s="25">
        <f>IF(G453="provision",M453+H453,IF(G453="recoleccion",M453-H453,"No aplica"))</f>
        <v>411000000</v>
      </c>
      <c r="P453" s="26" t="n">
        <v>135079</v>
      </c>
    </row>
    <row r="454">
      <c r="A454" t="inlineStr">
        <is>
          <t>PRAGMA</t>
        </is>
      </c>
      <c r="B454" t="inlineStr">
        <is>
          <t>M1</t>
        </is>
      </c>
      <c r="C454" t="inlineStr">
        <is>
          <t>Cali</t>
        </is>
      </c>
      <c r="D454" t="inlineStr">
        <is>
          <t>4095</t>
        </is>
      </c>
      <c r="E454" t="inlineStr">
        <is>
          <t>TDV</t>
        </is>
      </c>
      <c r="F454" s="23" t="n">
        <v>46270</v>
      </c>
      <c r="G454" t="inlineStr">
        <is>
          <t>provision</t>
        </is>
      </c>
      <c r="H454" s="26" t="n">
        <v>304367109</v>
      </c>
      <c r="I454" t="inlineStr">
        <is>
          <t>bajo</t>
        </is>
      </c>
      <c r="J454" t="inlineStr">
        <is>
          <t>RN-11 y RN-34: provision hasta el cupo operativo antes de bajar del 8 %</t>
        </is>
      </c>
      <c r="K454" t="inlineStr">
        <is>
          <t>Provision en la manana, antes del pagado: con el pronostico, sin provision el saldo bajaria del 8 % del cupo ese dia. Lleva el saldo de 106.632.891 a 411.000.000 COP (cupo 411.000.000). Equipo administrado por TDV.</t>
        </is>
      </c>
      <c r="L454" s="26" t="n">
        <v>411000000</v>
      </c>
      <c r="M454" s="26" t="n">
        <v>106632891</v>
      </c>
      <c r="N454" s="27">
        <f>IF(ISNUMBER(M454),M454/L454,"No aplica")</f>
        <v>0.25944742335766424</v>
      </c>
      <c r="O454" s="25">
        <f>IF(G454="provision",M454+H454,IF(G454="recoleccion",M454-H454,"No aplica"))</f>
        <v>411000000</v>
      </c>
      <c r="P454" s="26" t="n">
        <v>115230</v>
      </c>
    </row>
    <row r="455">
      <c r="A455" t="inlineStr">
        <is>
          <t>PRAGMA</t>
        </is>
      </c>
      <c r="B455" t="inlineStr">
        <is>
          <t>M1</t>
        </is>
      </c>
      <c r="C455" t="inlineStr">
        <is>
          <t>Cali</t>
        </is>
      </c>
      <c r="D455" t="inlineStr">
        <is>
          <t>4095</t>
        </is>
      </c>
      <c r="E455" t="inlineStr">
        <is>
          <t>TDV</t>
        </is>
      </c>
      <c r="F455" s="23" t="n">
        <v>46272</v>
      </c>
      <c r="G455" t="inlineStr">
        <is>
          <t>provision</t>
        </is>
      </c>
      <c r="H455" s="26" t="n">
        <v>308746319</v>
      </c>
      <c r="I455" t="inlineStr">
        <is>
          <t>bajo</t>
        </is>
      </c>
      <c r="J455" t="inlineStr">
        <is>
          <t>RN-11 y RN-34: provision hasta el cupo operativo antes de bajar del 8 %</t>
        </is>
      </c>
      <c r="K455" t="inlineStr">
        <is>
          <t>Provision en la manana, antes del pagado: con el pronostico, sin provision el saldo bajaria del 8 % del cupo ese dia. Lleva el saldo de 102.253.681 a 411.000.000 COP (cupo 411.000.000). Equipo administrado por TDV.</t>
        </is>
      </c>
      <c r="L455" s="26" t="n">
        <v>411000000</v>
      </c>
      <c r="M455" s="26" t="n">
        <v>102253681</v>
      </c>
      <c r="N455" s="27">
        <f>IF(ISNUMBER(M455),M455/L455,"No aplica")</f>
        <v>0.24879241119221412</v>
      </c>
      <c r="O455" s="25">
        <f>IF(G455="provision",M455+H455,IF(G455="recoleccion",M455-H455,"No aplica"))</f>
        <v>411000000</v>
      </c>
      <c r="P455" s="26" t="n">
        <v>116644</v>
      </c>
    </row>
    <row r="456">
      <c r="A456" t="inlineStr">
        <is>
          <t>PRAGMA</t>
        </is>
      </c>
      <c r="B456" t="inlineStr">
        <is>
          <t>M1</t>
        </is>
      </c>
      <c r="C456" t="inlineStr">
        <is>
          <t>Cali</t>
        </is>
      </c>
      <c r="D456" t="inlineStr">
        <is>
          <t>4095</t>
        </is>
      </c>
      <c r="E456" t="inlineStr">
        <is>
          <t>TDV</t>
        </is>
      </c>
      <c r="F456" s="23" t="n">
        <v>46275</v>
      </c>
      <c r="G456" t="inlineStr">
        <is>
          <t>provision</t>
        </is>
      </c>
      <c r="H456" s="26" t="n">
        <v>334016357</v>
      </c>
      <c r="I456" t="inlineStr">
        <is>
          <t>bajo</t>
        </is>
      </c>
      <c r="J456" t="inlineStr">
        <is>
          <t>RN-11 y RN-34: provision hasta el cupo operativo antes de bajar del 8 %</t>
        </is>
      </c>
      <c r="K456" t="inlineStr">
        <is>
          <t>Provision en la manana, antes del pagado: con el pronostico, sin provision el saldo bajaria del 8 % del cupo ese dia. Lleva el saldo de 76.983.643 a 411.000.000 COP (cupo 411.000.000). Equipo administrado por TDV.</t>
        </is>
      </c>
      <c r="L456" s="26" t="n">
        <v>411000000</v>
      </c>
      <c r="M456" s="26" t="n">
        <v>76983643</v>
      </c>
      <c r="N456" s="27">
        <f>IF(ISNUMBER(M456),M456/L456,"No aplica")</f>
        <v>0.18730813381995134</v>
      </c>
      <c r="O456" s="25">
        <f>IF(G456="provision",M456+H456,IF(G456="recoleccion",M456-H456,"No aplica"))</f>
        <v>411000000</v>
      </c>
      <c r="P456" s="26" t="n">
        <v>124806</v>
      </c>
    </row>
    <row r="457">
      <c r="A457" t="inlineStr">
        <is>
          <t>PRAGMA</t>
        </is>
      </c>
      <c r="B457" t="inlineStr">
        <is>
          <t>M1</t>
        </is>
      </c>
      <c r="C457" t="inlineStr">
        <is>
          <t>Cali</t>
        </is>
      </c>
      <c r="D457" t="inlineStr">
        <is>
          <t>4095</t>
        </is>
      </c>
      <c r="E457" t="inlineStr">
        <is>
          <t>TDV</t>
        </is>
      </c>
      <c r="F457" s="23" t="n">
        <v>46278</v>
      </c>
      <c r="G457" t="inlineStr">
        <is>
          <t>provision</t>
        </is>
      </c>
      <c r="H457" s="26" t="n">
        <v>345965811</v>
      </c>
      <c r="I457" t="inlineStr">
        <is>
          <t>bajo</t>
        </is>
      </c>
      <c r="J457" t="inlineStr">
        <is>
          <t>RN-11 y RN-34: provision hasta el cupo operativo antes de bajar del 8 %</t>
        </is>
      </c>
      <c r="K457" t="inlineStr">
        <is>
          <t>Provision en la manana, antes del pagado: con el pronostico, sin provision el saldo bajaria del 8 % del cupo ese dia. Lleva el saldo de 65.034.189 a 411.000.000 COP (cupo 411.000.000). Equipo administrado por TDV.</t>
        </is>
      </c>
      <c r="L457" s="26" t="n">
        <v>411000000</v>
      </c>
      <c r="M457" s="26" t="n">
        <v>65034189</v>
      </c>
      <c r="N457" s="27">
        <f>IF(ISNUMBER(M457),M457/L457,"No aplica")</f>
        <v>0.15823403649635037</v>
      </c>
      <c r="O457" s="25">
        <f>IF(G457="provision",M457+H457,IF(G457="recoleccion",M457-H457,"No aplica"))</f>
        <v>411000000</v>
      </c>
      <c r="P457" s="26" t="n">
        <v>167504</v>
      </c>
    </row>
    <row r="458">
      <c r="A458" t="inlineStr">
        <is>
          <t>PRAGMA</t>
        </is>
      </c>
      <c r="B458" t="inlineStr">
        <is>
          <t>M1</t>
        </is>
      </c>
      <c r="C458" t="inlineStr">
        <is>
          <t>Cali</t>
        </is>
      </c>
      <c r="D458" t="inlineStr">
        <is>
          <t>4096</t>
        </is>
      </c>
      <c r="E458" t="inlineStr">
        <is>
          <t>TDV</t>
        </is>
      </c>
      <c r="F458" s="23" t="n">
        <v>46268</v>
      </c>
      <c r="G458" t="inlineStr">
        <is>
          <t>provision</t>
        </is>
      </c>
      <c r="H458" s="26" t="n">
        <v>345214846</v>
      </c>
      <c r="I458" t="inlineStr">
        <is>
          <t>bajo</t>
        </is>
      </c>
      <c r="J458" t="inlineStr">
        <is>
          <t>RN-11 y RN-34: provision hasta el cupo operativo antes de bajar del 8 %</t>
        </is>
      </c>
      <c r="K458" t="inlineStr">
        <is>
          <t>Provision en la manana, antes del pagado: con el pronostico, sin provision el saldo bajaria del 8 % del cupo ese dia. Lleva el saldo de 65.785.154 a 411.000.000 COP (cupo 411.000.000). Equipo administrado por TDV.</t>
        </is>
      </c>
      <c r="L458" s="26" t="n">
        <v>411000000</v>
      </c>
      <c r="M458" s="26" t="n">
        <v>65785154</v>
      </c>
      <c r="N458" s="27">
        <f>IF(ISNUMBER(M458),M458/L458,"No aplica")</f>
        <v>0.16006120194647203</v>
      </c>
      <c r="O458" s="25">
        <f>IF(G458="provision",M458+H458,IF(G458="recoleccion",M458-H458,"No aplica"))</f>
        <v>411000000</v>
      </c>
      <c r="P458" s="26" t="n">
        <v>128423</v>
      </c>
    </row>
    <row r="459">
      <c r="A459" t="inlineStr">
        <is>
          <t>PRAGMA</t>
        </is>
      </c>
      <c r="B459" t="inlineStr">
        <is>
          <t>M1</t>
        </is>
      </c>
      <c r="C459" t="inlineStr">
        <is>
          <t>Cali</t>
        </is>
      </c>
      <c r="D459" t="inlineStr">
        <is>
          <t>4096</t>
        </is>
      </c>
      <c r="E459" t="inlineStr">
        <is>
          <t>TDV</t>
        </is>
      </c>
      <c r="F459" s="23" t="n">
        <v>46270</v>
      </c>
      <c r="G459" t="inlineStr">
        <is>
          <t>provision</t>
        </is>
      </c>
      <c r="H459" s="26" t="n">
        <v>279702466</v>
      </c>
      <c r="I459" t="inlineStr">
        <is>
          <t>bajo</t>
        </is>
      </c>
      <c r="J459" t="inlineStr">
        <is>
          <t>RN-11 y RN-34: provision hasta el cupo operativo antes de bajar del 8 %</t>
        </is>
      </c>
      <c r="K459" t="inlineStr">
        <is>
          <t>Provision en la manana, antes del pagado: con el pronostico, sin provision el saldo bajaria del 8 % del cupo ese dia. Lleva el saldo de 131.297.534 a 411.000.000 COP (cupo 411.000.000). Equipo administrado por TDV.</t>
        </is>
      </c>
      <c r="L459" s="26" t="n">
        <v>411000000</v>
      </c>
      <c r="M459" s="26" t="n">
        <v>131297534</v>
      </c>
      <c r="N459" s="27">
        <f>IF(ISNUMBER(M459),M459/L459,"No aplica")</f>
        <v>0.3194587201946472</v>
      </c>
      <c r="O459" s="25">
        <f>IF(G459="provision",M459+H459,IF(G459="recoleccion",M459-H459,"No aplica"))</f>
        <v>411000000</v>
      </c>
      <c r="P459" s="26" t="n">
        <v>107263</v>
      </c>
    </row>
    <row r="460">
      <c r="A460" t="inlineStr">
        <is>
          <t>PRAGMA</t>
        </is>
      </c>
      <c r="B460" t="inlineStr">
        <is>
          <t>M1</t>
        </is>
      </c>
      <c r="C460" t="inlineStr">
        <is>
          <t>Cali</t>
        </is>
      </c>
      <c r="D460" t="inlineStr">
        <is>
          <t>4096</t>
        </is>
      </c>
      <c r="E460" t="inlineStr">
        <is>
          <t>TDV</t>
        </is>
      </c>
      <c r="F460" s="23" t="n">
        <v>46272</v>
      </c>
      <c r="G460" t="inlineStr">
        <is>
          <t>provision</t>
        </is>
      </c>
      <c r="H460" s="26" t="n">
        <v>284571780</v>
      </c>
      <c r="I460" t="inlineStr">
        <is>
          <t>bajo</t>
        </is>
      </c>
      <c r="J460" t="inlineStr">
        <is>
          <t>RN-11 y RN-34: provision hasta el cupo operativo antes de bajar del 8 %</t>
        </is>
      </c>
      <c r="K460" t="inlineStr">
        <is>
          <t>Provision en la manana, antes del pagado: con el pronostico, sin provision el saldo bajaria del 8 % del cupo ese dia. Lleva el saldo de 126.428.220 a 411.000.000 COP (cupo 411.000.000). Equipo administrado por TDV.</t>
        </is>
      </c>
      <c r="L460" s="26" t="n">
        <v>411000000</v>
      </c>
      <c r="M460" s="26" t="n">
        <v>126428220</v>
      </c>
      <c r="N460" s="27">
        <f>IF(ISNUMBER(M460),M460/L460,"No aplica")</f>
        <v>0.3076112408759124</v>
      </c>
      <c r="O460" s="25">
        <f>IF(G460="provision",M460+H460,IF(G460="recoleccion",M460-H460,"No aplica"))</f>
        <v>411000000</v>
      </c>
      <c r="P460" s="26" t="n">
        <v>108836</v>
      </c>
    </row>
    <row r="461">
      <c r="A461" t="inlineStr">
        <is>
          <t>PRAGMA</t>
        </is>
      </c>
      <c r="B461" t="inlineStr">
        <is>
          <t>M1</t>
        </is>
      </c>
      <c r="C461" t="inlineStr">
        <is>
          <t>Cali</t>
        </is>
      </c>
      <c r="D461" t="inlineStr">
        <is>
          <t>4096</t>
        </is>
      </c>
      <c r="E461" t="inlineStr">
        <is>
          <t>TDV</t>
        </is>
      </c>
      <c r="F461" s="23" t="n">
        <v>46275</v>
      </c>
      <c r="G461" t="inlineStr">
        <is>
          <t>provision</t>
        </is>
      </c>
      <c r="H461" s="26" t="n">
        <v>304619434</v>
      </c>
      <c r="I461" t="inlineStr">
        <is>
          <t>bajo</t>
        </is>
      </c>
      <c r="J461" t="inlineStr">
        <is>
          <t>RN-11 y RN-34: provision hasta el cupo operativo antes de bajar del 8 %</t>
        </is>
      </c>
      <c r="K461" t="inlineStr">
        <is>
          <t>Provision en la manana, antes del pagado: con el pronostico, sin provision el saldo bajaria del 8 % del cupo ese dia. Lleva el saldo de 106.380.566 a 411.000.000 COP (cupo 411.000.000). Equipo administrado por TDV.</t>
        </is>
      </c>
      <c r="L461" s="26" t="n">
        <v>411000000</v>
      </c>
      <c r="M461" s="26" t="n">
        <v>106380566</v>
      </c>
      <c r="N461" s="27">
        <f>IF(ISNUMBER(M461),M461/L461,"No aplica")</f>
        <v>0.25883349391727495</v>
      </c>
      <c r="O461" s="25">
        <f>IF(G461="provision",M461+H461,IF(G461="recoleccion",M461-H461,"No aplica"))</f>
        <v>411000000</v>
      </c>
      <c r="P461" s="26" t="n">
        <v>115311</v>
      </c>
    </row>
    <row r="462">
      <c r="A462" t="inlineStr">
        <is>
          <t>PRAGMA</t>
        </is>
      </c>
      <c r="B462" t="inlineStr">
        <is>
          <t>M1</t>
        </is>
      </c>
      <c r="C462" t="inlineStr">
        <is>
          <t>Cali</t>
        </is>
      </c>
      <c r="D462" t="inlineStr">
        <is>
          <t>4096</t>
        </is>
      </c>
      <c r="E462" t="inlineStr">
        <is>
          <t>TDV</t>
        </is>
      </c>
      <c r="F462" s="23" t="n">
        <v>46278</v>
      </c>
      <c r="G462" t="inlineStr">
        <is>
          <t>provision</t>
        </is>
      </c>
      <c r="H462" s="26" t="n">
        <v>322839985</v>
      </c>
      <c r="I462" t="inlineStr">
        <is>
          <t>bajo</t>
        </is>
      </c>
      <c r="J462" t="inlineStr">
        <is>
          <t>RN-11 y RN-34: provision hasta el cupo operativo antes de bajar del 8 %</t>
        </is>
      </c>
      <c r="K462" t="inlineStr">
        <is>
          <t>Provision en la manana, antes del pagado: con el pronostico, sin provision el saldo bajaria del 8 % del cupo ese dia. Lleva el saldo de 88.160.015 a 411.000.000 COP (cupo 411.000.000). Equipo administrado por TDV.</t>
        </is>
      </c>
      <c r="L462" s="26" t="n">
        <v>411000000</v>
      </c>
      <c r="M462" s="26" t="n">
        <v>88160015</v>
      </c>
      <c r="N462" s="27">
        <f>IF(ISNUMBER(M462),M462/L462,"No aplica")</f>
        <v>0.21450125304136253</v>
      </c>
      <c r="O462" s="25">
        <f>IF(G462="provision",M462+H462,IF(G462="recoleccion",M462-H462,"No aplica"))</f>
        <v>411000000</v>
      </c>
      <c r="P462" s="26" t="n">
        <v>157814</v>
      </c>
    </row>
    <row r="463">
      <c r="A463" t="inlineStr">
        <is>
          <t>PRAGMA</t>
        </is>
      </c>
      <c r="B463" t="inlineStr">
        <is>
          <t>M1</t>
        </is>
      </c>
      <c r="C463" t="inlineStr">
        <is>
          <t>Cali</t>
        </is>
      </c>
      <c r="D463" t="inlineStr">
        <is>
          <t>4098</t>
        </is>
      </c>
      <c r="E463" t="inlineStr">
        <is>
          <t>TDV</t>
        </is>
      </c>
      <c r="F463" s="23" t="n">
        <v>46267</v>
      </c>
      <c r="G463" t="inlineStr">
        <is>
          <t>provision</t>
        </is>
      </c>
      <c r="H463" s="26" t="n">
        <v>232233418</v>
      </c>
      <c r="I463" t="inlineStr">
        <is>
          <t>bajo</t>
        </is>
      </c>
      <c r="J463" t="inlineStr">
        <is>
          <t>RN-11 y RN-34: provision hasta el cupo operativo antes de bajar del 8 %</t>
        </is>
      </c>
      <c r="K463" t="inlineStr">
        <is>
          <t>Provision en la manana, antes del pagado: con el pronostico, sin provision el saldo bajaria del 8 % del cupo ese dia. Lleva el saldo de 178.766.582 a 411.000.000 COP (cupo 411.000.000). Equipo administrado por TDV.</t>
        </is>
      </c>
      <c r="L463" s="26" t="n">
        <v>411000000</v>
      </c>
      <c r="M463" s="26" t="n">
        <v>178766582</v>
      </c>
      <c r="N463" s="27">
        <f>IF(ISNUMBER(M463),M463/L463,"No aplica")</f>
        <v>0.43495518734793187</v>
      </c>
      <c r="O463" s="25">
        <f>IF(G463="provision",M463+H463,IF(G463="recoleccion",M463-H463,"No aplica"))</f>
        <v>411000000</v>
      </c>
      <c r="P463" s="26" t="n">
        <v>91930</v>
      </c>
    </row>
    <row r="464">
      <c r="A464" t="inlineStr">
        <is>
          <t>PRAGMA</t>
        </is>
      </c>
      <c r="B464" t="inlineStr">
        <is>
          <t>M1</t>
        </is>
      </c>
      <c r="C464" t="inlineStr">
        <is>
          <t>Cali</t>
        </is>
      </c>
      <c r="D464" t="inlineStr">
        <is>
          <t>4098</t>
        </is>
      </c>
      <c r="E464" t="inlineStr">
        <is>
          <t>TDV</t>
        </is>
      </c>
      <c r="F464" s="23" t="n">
        <v>46269</v>
      </c>
      <c r="G464" t="inlineStr">
        <is>
          <t>provision</t>
        </is>
      </c>
      <c r="H464" s="26" t="n">
        <v>334938134</v>
      </c>
      <c r="I464" t="inlineStr">
        <is>
          <t>bajo</t>
        </is>
      </c>
      <c r="J464" t="inlineStr">
        <is>
          <t>RN-11 y RN-34: provision hasta el cupo operativo antes de bajar del 8 %</t>
        </is>
      </c>
      <c r="K464" t="inlineStr">
        <is>
          <t>Provision en la manana, antes del pagado: con el pronostico, sin provision el saldo bajaria del 8 % del cupo ese dia. Lleva el saldo de 76.061.866 a 411.000.000 COP (cupo 411.000.000). Equipo administrado por TDV.</t>
        </is>
      </c>
      <c r="L464" s="26" t="n">
        <v>411000000</v>
      </c>
      <c r="M464" s="26" t="n">
        <v>76061866</v>
      </c>
      <c r="N464" s="27">
        <f>IF(ISNUMBER(M464),M464/L464,"No aplica")</f>
        <v>0.18506536739659368</v>
      </c>
      <c r="O464" s="25">
        <f>IF(G464="provision",M464+H464,IF(G464="recoleccion",M464-H464,"No aplica"))</f>
        <v>411000000</v>
      </c>
      <c r="P464" s="26" t="n">
        <v>125104</v>
      </c>
    </row>
    <row r="465">
      <c r="A465" t="inlineStr">
        <is>
          <t>PRAGMA</t>
        </is>
      </c>
      <c r="B465" t="inlineStr">
        <is>
          <t>M1</t>
        </is>
      </c>
      <c r="C465" t="inlineStr">
        <is>
          <t>Cali</t>
        </is>
      </c>
      <c r="D465" t="inlineStr">
        <is>
          <t>4098</t>
        </is>
      </c>
      <c r="E465" t="inlineStr">
        <is>
          <t>TDV</t>
        </is>
      </c>
      <c r="F465" s="23" t="n">
        <v>46271</v>
      </c>
      <c r="G465" t="inlineStr">
        <is>
          <t>provision</t>
        </is>
      </c>
      <c r="H465" s="26" t="n">
        <v>357931408</v>
      </c>
      <c r="I465" t="inlineStr">
        <is>
          <t>bajo</t>
        </is>
      </c>
      <c r="J465" t="inlineStr">
        <is>
          <t>RN-11 y RN-34: provision hasta el cupo operativo antes de bajar del 8 %</t>
        </is>
      </c>
      <c r="K465" t="inlineStr">
        <is>
          <t>Provision en la manana, antes del pagado: con el pronostico, sin provision el saldo bajaria del 8 % del cupo ese dia. Lleva el saldo de 53.068.592 a 411.000.000 COP (cupo 411.000.000). Equipo administrado por TDV.</t>
        </is>
      </c>
      <c r="L465" s="26" t="n">
        <v>411000000</v>
      </c>
      <c r="M465" s="26" t="n">
        <v>53068592</v>
      </c>
      <c r="N465" s="27">
        <f>IF(ISNUMBER(M465),M465/L465,"No aplica")</f>
        <v>0.12912066180048662</v>
      </c>
      <c r="O465" s="25">
        <f>IF(G465="provision",M465+H465,IF(G465="recoleccion",M465-H465,"No aplica"))</f>
        <v>411000000</v>
      </c>
      <c r="P465" s="26" t="n">
        <v>172517</v>
      </c>
    </row>
    <row r="466">
      <c r="A466" t="inlineStr">
        <is>
          <t>PRAGMA</t>
        </is>
      </c>
      <c r="B466" t="inlineStr">
        <is>
          <t>M1</t>
        </is>
      </c>
      <c r="C466" t="inlineStr">
        <is>
          <t>Cali</t>
        </is>
      </c>
      <c r="D466" t="inlineStr">
        <is>
          <t>4098</t>
        </is>
      </c>
      <c r="E466" t="inlineStr">
        <is>
          <t>TDV</t>
        </is>
      </c>
      <c r="F466" s="23" t="n">
        <v>46273</v>
      </c>
      <c r="G466" t="inlineStr">
        <is>
          <t>provision</t>
        </is>
      </c>
      <c r="H466" s="26" t="n">
        <v>281512768</v>
      </c>
      <c r="I466" t="inlineStr">
        <is>
          <t>bajo</t>
        </is>
      </c>
      <c r="J466" t="inlineStr">
        <is>
          <t>RN-11 y RN-34: provision hasta el cupo operativo antes de bajar del 8 %</t>
        </is>
      </c>
      <c r="K466" t="inlineStr">
        <is>
          <t>Provision en la manana, antes del pagado: con el pronostico, sin provision el saldo bajaria del 8 % del cupo ese dia. Lleva el saldo de 129.487.232 a 411.000.000 COP (cupo 411.000.000). Equipo administrado por TDV.</t>
        </is>
      </c>
      <c r="L466" s="26" t="n">
        <v>411000000</v>
      </c>
      <c r="M466" s="26" t="n">
        <v>129487232</v>
      </c>
      <c r="N466" s="27">
        <f>IF(ISNUMBER(M466),M466/L466,"No aplica")</f>
        <v>0.31505409245742094</v>
      </c>
      <c r="O466" s="25">
        <f>IF(G466="provision",M466+H466,IF(G466="recoleccion",M466-H466,"No aplica"))</f>
        <v>411000000</v>
      </c>
      <c r="P466" s="26" t="n">
        <v>107848</v>
      </c>
    </row>
    <row r="467">
      <c r="A467" t="inlineStr">
        <is>
          <t>PRAGMA</t>
        </is>
      </c>
      <c r="B467" t="inlineStr">
        <is>
          <t>M1</t>
        </is>
      </c>
      <c r="C467" t="inlineStr">
        <is>
          <t>Cali</t>
        </is>
      </c>
      <c r="D467" t="inlineStr">
        <is>
          <t>4098</t>
        </is>
      </c>
      <c r="E467" t="inlineStr">
        <is>
          <t>TDV</t>
        </is>
      </c>
      <c r="F467" s="23" t="n">
        <v>46276</v>
      </c>
      <c r="G467" t="inlineStr">
        <is>
          <t>provision</t>
        </is>
      </c>
      <c r="H467" s="26" t="n">
        <v>361928385</v>
      </c>
      <c r="I467" t="inlineStr">
        <is>
          <t>bajo</t>
        </is>
      </c>
      <c r="J467" t="inlineStr">
        <is>
          <t>RN-11 y RN-34: provision hasta el cupo operativo antes de bajar del 8 %</t>
        </is>
      </c>
      <c r="K467" t="inlineStr">
        <is>
          <t>Provision en la manana, antes del pagado: con el pronostico, sin provision el saldo bajaria del 8 % del cupo ese dia. Lleva el saldo de 49.071.615 a 411.000.000 COP (cupo 411.000.000). Equipo administrado por TDV.</t>
        </is>
      </c>
      <c r="L467" s="26" t="n">
        <v>411000000</v>
      </c>
      <c r="M467" s="26" t="n">
        <v>49071615</v>
      </c>
      <c r="N467" s="27">
        <f>IF(ISNUMBER(M467),M467/L467,"No aplica")</f>
        <v>0.11939565693430657</v>
      </c>
      <c r="O467" s="25">
        <f>IF(G467="provision",M467+H467,IF(G467="recoleccion",M467-H467,"No aplica"))</f>
        <v>411000000</v>
      </c>
      <c r="P467" s="26" t="n">
        <v>133822</v>
      </c>
    </row>
    <row r="468">
      <c r="A468" t="inlineStr">
        <is>
          <t>PRAGMA</t>
        </is>
      </c>
      <c r="B468" t="inlineStr">
        <is>
          <t>M1</t>
        </is>
      </c>
      <c r="C468" t="inlineStr">
        <is>
          <t>Cali</t>
        </is>
      </c>
      <c r="D468" t="inlineStr">
        <is>
          <t>4098</t>
        </is>
      </c>
      <c r="E468" t="inlineStr">
        <is>
          <t>TDV</t>
        </is>
      </c>
      <c r="F468" s="23" t="n">
        <v>46278</v>
      </c>
      <c r="G468" t="inlineStr">
        <is>
          <t>provision</t>
        </is>
      </c>
      <c r="H468" s="26" t="n">
        <v>282711411</v>
      </c>
      <c r="I468" t="inlineStr">
        <is>
          <t>bajo</t>
        </is>
      </c>
      <c r="J468" t="inlineStr">
        <is>
          <t>RN-11 y RN-34: provision hasta el cupo operativo antes de bajar del 8 %</t>
        </is>
      </c>
      <c r="K468" t="inlineStr">
        <is>
          <t>Provision en la manana, antes del pagado: con el pronostico, sin provision el saldo bajaria del 8 % del cupo ese dia. Lleva el saldo de 128.288.589 a 411.000.000 COP (cupo 411.000.000). Equipo administrado por TDV.</t>
        </is>
      </c>
      <c r="L468" s="26" t="n">
        <v>411000000</v>
      </c>
      <c r="M468" s="26" t="n">
        <v>128288589</v>
      </c>
      <c r="N468" s="27">
        <f>IF(ISNUMBER(M468),M468/L468,"No aplica")</f>
        <v>0.31213768613138687</v>
      </c>
      <c r="O468" s="25">
        <f>IF(G468="provision",M468+H468,IF(G468="recoleccion",M468-H468,"No aplica"))</f>
        <v>411000000</v>
      </c>
      <c r="P468" s="26" t="n">
        <v>141000</v>
      </c>
    </row>
    <row r="469">
      <c r="A469" t="inlineStr">
        <is>
          <t>PRAGMA</t>
        </is>
      </c>
      <c r="B469" t="inlineStr">
        <is>
          <t>M1</t>
        </is>
      </c>
      <c r="C469" t="inlineStr">
        <is>
          <t>Cali</t>
        </is>
      </c>
      <c r="D469" t="inlineStr">
        <is>
          <t>4098</t>
        </is>
      </c>
      <c r="E469" t="inlineStr">
        <is>
          <t>TDV</t>
        </is>
      </c>
      <c r="F469" s="23" t="n">
        <v>46280</v>
      </c>
      <c r="G469" t="inlineStr">
        <is>
          <t>provision</t>
        </is>
      </c>
      <c r="H469" s="26" t="n">
        <v>244018769</v>
      </c>
      <c r="I469" t="inlineStr">
        <is>
          <t>bajo</t>
        </is>
      </c>
      <c r="J469" t="inlineStr">
        <is>
          <t>RN-11 y RN-34: provision hasta el cupo operativo antes de bajar del 8 %</t>
        </is>
      </c>
      <c r="K469" t="inlineStr">
        <is>
          <t>Provision en la manana, antes del pagado: con el pronostico, sin provision el saldo bajaria del 8 % del cupo ese dia. Lleva el saldo de 166.981.231 a 411.000.000 COP (cupo 411.000.000). Equipo administrado por TDV.</t>
        </is>
      </c>
      <c r="L469" s="26" t="n">
        <v>411000000</v>
      </c>
      <c r="M469" s="26" t="n">
        <v>166981231</v>
      </c>
      <c r="N469" s="27">
        <f>IF(ISNUMBER(M469),M469/L469,"No aplica")</f>
        <v>0.4062803673965937</v>
      </c>
      <c r="O469" s="25">
        <f>IF(G469="provision",M469+H469,IF(G469="recoleccion",M469-H469,"No aplica"))</f>
        <v>411000000</v>
      </c>
      <c r="P469" s="26" t="n">
        <v>95737</v>
      </c>
    </row>
    <row r="470">
      <c r="A470" t="inlineStr">
        <is>
          <t>PRAGMA</t>
        </is>
      </c>
      <c r="B470" t="inlineStr">
        <is>
          <t>M1</t>
        </is>
      </c>
      <c r="C470" t="inlineStr">
        <is>
          <t>Cali</t>
        </is>
      </c>
      <c r="D470" t="inlineStr">
        <is>
          <t>4099</t>
        </is>
      </c>
      <c r="E470" t="inlineStr">
        <is>
          <t>TDV</t>
        </is>
      </c>
      <c r="F470" s="23" t="n">
        <v>46267</v>
      </c>
      <c r="G470" t="inlineStr">
        <is>
          <t>provision</t>
        </is>
      </c>
      <c r="H470" s="26" t="n">
        <v>233609743</v>
      </c>
      <c r="I470" t="inlineStr">
        <is>
          <t>bajo</t>
        </is>
      </c>
      <c r="J470" t="inlineStr">
        <is>
          <t>RN-11 y RN-34: provision hasta el cupo operativo antes de bajar del 8 %</t>
        </is>
      </c>
      <c r="K470" t="inlineStr">
        <is>
          <t>Provision en la manana, antes del pagado: con el pronostico, sin provision el saldo bajaria del 8 % del cupo ese dia. Lleva el saldo de 177.390.257 a 411.000.000 COP (cupo 411.000.000). Equipo administrado por TDV.</t>
        </is>
      </c>
      <c r="L470" s="26" t="n">
        <v>411000000</v>
      </c>
      <c r="M470" s="26" t="n">
        <v>177390257</v>
      </c>
      <c r="N470" s="27">
        <f>IF(ISNUMBER(M470),M470/L470,"No aplica")</f>
        <v>0.43160646472019465</v>
      </c>
      <c r="O470" s="25">
        <f>IF(G470="provision",M470+H470,IF(G470="recoleccion",M470-H470,"No aplica"))</f>
        <v>411000000</v>
      </c>
      <c r="P470" s="26" t="n">
        <v>92375</v>
      </c>
    </row>
    <row r="471">
      <c r="A471" t="inlineStr">
        <is>
          <t>PRAGMA</t>
        </is>
      </c>
      <c r="B471" t="inlineStr">
        <is>
          <t>M1</t>
        </is>
      </c>
      <c r="C471" t="inlineStr">
        <is>
          <t>Cali</t>
        </is>
      </c>
      <c r="D471" t="inlineStr">
        <is>
          <t>4099</t>
        </is>
      </c>
      <c r="E471" t="inlineStr">
        <is>
          <t>TDV</t>
        </is>
      </c>
      <c r="F471" s="23" t="n">
        <v>46269</v>
      </c>
      <c r="G471" t="inlineStr">
        <is>
          <t>provision</t>
        </is>
      </c>
      <c r="H471" s="26" t="n">
        <v>330579033</v>
      </c>
      <c r="I471" t="inlineStr">
        <is>
          <t>bajo</t>
        </is>
      </c>
      <c r="J471" t="inlineStr">
        <is>
          <t>RN-11 y RN-34: provision hasta el cupo operativo antes de bajar del 8 %</t>
        </is>
      </c>
      <c r="K471" t="inlineStr">
        <is>
          <t>Provision en la manana, antes del pagado: con el pronostico, sin provision el saldo bajaria del 8 % del cupo ese dia. Lleva el saldo de 80.420.967 a 411.000.000 COP (cupo 411.000.000). Equipo administrado por TDV.</t>
        </is>
      </c>
      <c r="L471" s="26" t="n">
        <v>411000000</v>
      </c>
      <c r="M471" s="26" t="n">
        <v>80420967</v>
      </c>
      <c r="N471" s="27">
        <f>IF(ISNUMBER(M471),M471/L471,"No aplica")</f>
        <v>0.19567145255474452</v>
      </c>
      <c r="O471" s="25">
        <f>IF(G471="provision",M471+H471,IF(G471="recoleccion",M471-H471,"No aplica"))</f>
        <v>411000000</v>
      </c>
      <c r="P471" s="26" t="n">
        <v>123696</v>
      </c>
    </row>
    <row r="472">
      <c r="A472" t="inlineStr">
        <is>
          <t>PRAGMA</t>
        </is>
      </c>
      <c r="B472" t="inlineStr">
        <is>
          <t>M1</t>
        </is>
      </c>
      <c r="C472" t="inlineStr">
        <is>
          <t>Cali</t>
        </is>
      </c>
      <c r="D472" t="inlineStr">
        <is>
          <t>4099</t>
        </is>
      </c>
      <c r="E472" t="inlineStr">
        <is>
          <t>TDV</t>
        </is>
      </c>
      <c r="F472" s="23" t="n">
        <v>46271</v>
      </c>
      <c r="G472" t="inlineStr">
        <is>
          <t>provision</t>
        </is>
      </c>
      <c r="H472" s="26" t="n">
        <v>343241440</v>
      </c>
      <c r="I472" t="inlineStr">
        <is>
          <t>bajo</t>
        </is>
      </c>
      <c r="J472" t="inlineStr">
        <is>
          <t>RN-11 y RN-34: provision hasta el cupo operativo antes de bajar del 8 %</t>
        </is>
      </c>
      <c r="K472" t="inlineStr">
        <is>
          <t>Provision en la manana, antes del pagado: con el pronostico, sin provision el saldo bajaria del 8 % del cupo ese dia. Lleva el saldo de 67.758.560 a 411.000.000 COP (cupo 411.000.000). Equipo administrado por TDV.</t>
        </is>
      </c>
      <c r="L472" s="26" t="n">
        <v>411000000</v>
      </c>
      <c r="M472" s="26" t="n">
        <v>67758560</v>
      </c>
      <c r="N472" s="27">
        <f>IF(ISNUMBER(M472),M472/L472,"No aplica")</f>
        <v>0.16486267639902677</v>
      </c>
      <c r="O472" s="25">
        <f>IF(G472="provision",M472+H472,IF(G472="recoleccion",M472-H472,"No aplica"))</f>
        <v>411000000</v>
      </c>
      <c r="P472" s="26" t="n">
        <v>166362</v>
      </c>
    </row>
    <row r="473">
      <c r="A473" t="inlineStr">
        <is>
          <t>PRAGMA</t>
        </is>
      </c>
      <c r="B473" t="inlineStr">
        <is>
          <t>M1</t>
        </is>
      </c>
      <c r="C473" t="inlineStr">
        <is>
          <t>Cali</t>
        </is>
      </c>
      <c r="D473" t="inlineStr">
        <is>
          <t>4099</t>
        </is>
      </c>
      <c r="E473" t="inlineStr">
        <is>
          <t>TDV</t>
        </is>
      </c>
      <c r="F473" s="23" t="n">
        <v>46273</v>
      </c>
      <c r="G473" t="inlineStr">
        <is>
          <t>provision</t>
        </is>
      </c>
      <c r="H473" s="26" t="n">
        <v>271029234</v>
      </c>
      <c r="I473" t="inlineStr">
        <is>
          <t>bajo</t>
        </is>
      </c>
      <c r="J473" t="inlineStr">
        <is>
          <t>RN-11 y RN-34: provision hasta el cupo operativo antes de bajar del 8 %</t>
        </is>
      </c>
      <c r="K473" t="inlineStr">
        <is>
          <t>Provision en la manana, antes del pagado: con el pronostico, sin provision el saldo bajaria del 8 % del cupo ese dia. Lleva el saldo de 139.970.766 a 411.000.000 COP (cupo 411.000.000). Equipo administrado por TDV.</t>
        </is>
      </c>
      <c r="L473" s="26" t="n">
        <v>411000000</v>
      </c>
      <c r="M473" s="26" t="n">
        <v>139970766</v>
      </c>
      <c r="N473" s="27">
        <f>IF(ISNUMBER(M473),M473/L473,"No aplica")</f>
        <v>0.34056147445255475</v>
      </c>
      <c r="O473" s="25">
        <f>IF(G473="provision",M473+H473,IF(G473="recoleccion",M473-H473,"No aplica"))</f>
        <v>411000000</v>
      </c>
      <c r="P473" s="26" t="n">
        <v>104461</v>
      </c>
    </row>
    <row r="474">
      <c r="A474" t="inlineStr">
        <is>
          <t>PRAGMA</t>
        </is>
      </c>
      <c r="B474" t="inlineStr">
        <is>
          <t>M1</t>
        </is>
      </c>
      <c r="C474" t="inlineStr">
        <is>
          <t>Cali</t>
        </is>
      </c>
      <c r="D474" t="inlineStr">
        <is>
          <t>4099</t>
        </is>
      </c>
      <c r="E474" t="inlineStr">
        <is>
          <t>TDV</t>
        </is>
      </c>
      <c r="F474" s="23" t="n">
        <v>46276</v>
      </c>
      <c r="G474" t="inlineStr">
        <is>
          <t>provision</t>
        </is>
      </c>
      <c r="H474" s="26" t="n">
        <v>354727187</v>
      </c>
      <c r="I474" t="inlineStr">
        <is>
          <t>bajo</t>
        </is>
      </c>
      <c r="J474" t="inlineStr">
        <is>
          <t>RN-11 y RN-34: provision hasta el cupo operativo antes de bajar del 8 %</t>
        </is>
      </c>
      <c r="K474" t="inlineStr">
        <is>
          <t>Provision en la manana, antes del pagado: con el pronostico, sin provision el saldo bajaria del 8 % del cupo ese dia. Lleva el saldo de 56.272.813 a 411.000.000 COP (cupo 411.000.000). Equipo administrado por TDV.</t>
        </is>
      </c>
      <c r="L474" s="26" t="n">
        <v>411000000</v>
      </c>
      <c r="M474" s="26" t="n">
        <v>56272813</v>
      </c>
      <c r="N474" s="27">
        <f>IF(ISNUMBER(M474),M474/L474,"No aplica")</f>
        <v>0.1369168199513382</v>
      </c>
      <c r="O474" s="25">
        <f>IF(G474="provision",M474+H474,IF(G474="recoleccion",M474-H474,"No aplica"))</f>
        <v>411000000</v>
      </c>
      <c r="P474" s="26" t="n">
        <v>131496</v>
      </c>
    </row>
    <row r="475">
      <c r="A475" t="inlineStr">
        <is>
          <t>PRAGMA</t>
        </is>
      </c>
      <c r="B475" t="inlineStr">
        <is>
          <t>M1</t>
        </is>
      </c>
      <c r="C475" t="inlineStr">
        <is>
          <t>Cali</t>
        </is>
      </c>
      <c r="D475" t="inlineStr">
        <is>
          <t>4099</t>
        </is>
      </c>
      <c r="E475" t="inlineStr">
        <is>
          <t>TDV</t>
        </is>
      </c>
      <c r="F475" s="23" t="n">
        <v>46278</v>
      </c>
      <c r="G475" t="inlineStr">
        <is>
          <t>provision</t>
        </is>
      </c>
      <c r="H475" s="26" t="n">
        <v>267189942</v>
      </c>
      <c r="I475" t="inlineStr">
        <is>
          <t>bajo</t>
        </is>
      </c>
      <c r="J475" t="inlineStr">
        <is>
          <t>RN-11 y RN-34: provision hasta el cupo operativo antes de bajar del 8 %</t>
        </is>
      </c>
      <c r="K475" t="inlineStr">
        <is>
          <t>Provision en la manana, antes del pagado: con el pronostico, sin provision el saldo bajaria del 8 % del cupo ese dia. Lleva el saldo de 143.810.058 a 411.000.000 COP (cupo 411.000.000). Equipo administrado por TDV.</t>
        </is>
      </c>
      <c r="L475" s="26" t="n">
        <v>411000000</v>
      </c>
      <c r="M475" s="26" t="n">
        <v>143810058</v>
      </c>
      <c r="N475" s="27">
        <f>IF(ISNUMBER(M475),M475/L475,"No aplica")</f>
        <v>0.3499028175182482</v>
      </c>
      <c r="O475" s="25">
        <f>IF(G475="provision",M475+H475,IF(G475="recoleccion",M475-H475,"No aplica"))</f>
        <v>411000000</v>
      </c>
      <c r="P475" s="26" t="n">
        <v>134497</v>
      </c>
    </row>
    <row r="476">
      <c r="A476" t="inlineStr">
        <is>
          <t>PRAGMA</t>
        </is>
      </c>
      <c r="B476" t="inlineStr">
        <is>
          <t>M1</t>
        </is>
      </c>
      <c r="C476" t="inlineStr">
        <is>
          <t>Cali</t>
        </is>
      </c>
      <c r="D476" t="inlineStr">
        <is>
          <t>4099</t>
        </is>
      </c>
      <c r="E476" t="inlineStr">
        <is>
          <t>TDV</t>
        </is>
      </c>
      <c r="F476" s="23" t="n">
        <v>46280</v>
      </c>
      <c r="G476" t="inlineStr">
        <is>
          <t>provision</t>
        </is>
      </c>
      <c r="H476" s="26" t="n">
        <v>233122837</v>
      </c>
      <c r="I476" t="inlineStr">
        <is>
          <t>bajo</t>
        </is>
      </c>
      <c r="J476" t="inlineStr">
        <is>
          <t>RN-11 y RN-34: provision hasta el cupo operativo antes de bajar del 8 %</t>
        </is>
      </c>
      <c r="K476" t="inlineStr">
        <is>
          <t>Provision en la manana, antes del pagado: con el pronostico, sin provision el saldo bajaria del 8 % del cupo ese dia. Lleva el saldo de 177.877.163 a 411.000.000 COP (cupo 411.000.000). Equipo administrado por TDV.</t>
        </is>
      </c>
      <c r="L476" s="26" t="n">
        <v>411000000</v>
      </c>
      <c r="M476" s="26" t="n">
        <v>177877163</v>
      </c>
      <c r="N476" s="27">
        <f>IF(ISNUMBER(M476),M476/L476,"No aplica")</f>
        <v>0.4327911508515815</v>
      </c>
      <c r="O476" s="25">
        <f>IF(G476="provision",M476+H476,IF(G476="recoleccion",M476-H476,"No aplica"))</f>
        <v>411000000</v>
      </c>
      <c r="P476" s="26" t="n">
        <v>92218</v>
      </c>
    </row>
    <row r="477">
      <c r="A477" t="inlineStr">
        <is>
          <t>PRAGMA</t>
        </is>
      </c>
      <c r="B477" t="inlineStr">
        <is>
          <t>M1</t>
        </is>
      </c>
      <c r="C477" t="inlineStr">
        <is>
          <t>Cali</t>
        </is>
      </c>
      <c r="D477" t="inlineStr">
        <is>
          <t>4140</t>
        </is>
      </c>
      <c r="E477" t="inlineStr">
        <is>
          <t>TDV</t>
        </is>
      </c>
      <c r="F477" s="23" t="n">
        <v>46269</v>
      </c>
      <c r="G477" t="inlineStr">
        <is>
          <t>provision</t>
        </is>
      </c>
      <c r="H477" s="26" t="n">
        <v>387936431</v>
      </c>
      <c r="I477" t="inlineStr">
        <is>
          <t>bajo</t>
        </is>
      </c>
      <c r="J477" t="inlineStr">
        <is>
          <t>RN-11 y RN-34: provision hasta el cupo operativo antes de bajar del 8 %</t>
        </is>
      </c>
      <c r="K477" t="inlineStr">
        <is>
          <t>Provision en la manana, antes del pagado: con el pronostico, sin provision el saldo bajaria del 8 % del cupo ese dia. Lleva el saldo de 112.063.569 a 500.000.000 COP (cupo 500.000.000). Equipo administrado por TDV.</t>
        </is>
      </c>
      <c r="L477" s="26" t="n">
        <v>500000000</v>
      </c>
      <c r="M477" s="26" t="n">
        <v>112063569</v>
      </c>
      <c r="N477" s="27">
        <f>IF(ISNUMBER(M477),M477/L477,"No aplica")</f>
        <v>0.224127138</v>
      </c>
      <c r="O477" s="25">
        <f>IF(G477="provision",M477+H477,IF(G477="recoleccion",M477-H477,"No aplica"))</f>
        <v>500000000</v>
      </c>
      <c r="P477" s="26" t="n">
        <v>193633</v>
      </c>
    </row>
    <row r="478">
      <c r="A478" t="inlineStr">
        <is>
          <t>PRAGMA</t>
        </is>
      </c>
      <c r="B478" t="inlineStr">
        <is>
          <t>M1</t>
        </is>
      </c>
      <c r="C478" t="inlineStr">
        <is>
          <t>Cali</t>
        </is>
      </c>
      <c r="D478" t="inlineStr">
        <is>
          <t>4140</t>
        </is>
      </c>
      <c r="E478" t="inlineStr">
        <is>
          <t>TDV</t>
        </is>
      </c>
      <c r="F478" s="23" t="n">
        <v>46274</v>
      </c>
      <c r="G478" t="inlineStr">
        <is>
          <t>provision</t>
        </is>
      </c>
      <c r="H478" s="26" t="n">
        <v>447945256</v>
      </c>
      <c r="I478" t="inlineStr">
        <is>
          <t>bajo</t>
        </is>
      </c>
      <c r="J478" t="inlineStr">
        <is>
          <t>RN-11 y RN-34: provision hasta el cupo operativo antes de bajar del 8 %</t>
        </is>
      </c>
      <c r="K478" t="inlineStr">
        <is>
          <t>Provision en la manana, antes del pagado: con el pronostico, sin provision el saldo bajaria del 8 % del cupo ese dia. Lleva el saldo de 52.054.744 a 500.000.000 COP (cupo 500.000.000). Equipo administrado por TDV.</t>
        </is>
      </c>
      <c r="L478" s="26" t="n">
        <v>500000000</v>
      </c>
      <c r="M478" s="26" t="n">
        <v>52054744</v>
      </c>
      <c r="N478" s="27">
        <f>IF(ISNUMBER(M478),M478/L478,"No aplica")</f>
        <v>0.104109488</v>
      </c>
      <c r="O478" s="25">
        <f>IF(G478="provision",M478+H478,IF(G478="recoleccion",M478-H478,"No aplica"))</f>
        <v>500000000</v>
      </c>
      <c r="P478" s="26" t="n">
        <v>220757</v>
      </c>
    </row>
    <row r="479">
      <c r="A479" t="inlineStr">
        <is>
          <t>PRAGMA</t>
        </is>
      </c>
      <c r="B479" t="inlineStr">
        <is>
          <t>M1</t>
        </is>
      </c>
      <c r="C479" t="inlineStr">
        <is>
          <t>Cali</t>
        </is>
      </c>
      <c r="D479" t="inlineStr">
        <is>
          <t>4140</t>
        </is>
      </c>
      <c r="E479" t="inlineStr">
        <is>
          <t>TDV</t>
        </is>
      </c>
      <c r="F479" s="23" t="n">
        <v>46280</v>
      </c>
      <c r="G479" t="inlineStr">
        <is>
          <t>provision</t>
        </is>
      </c>
      <c r="H479" s="26" t="n">
        <v>449294016</v>
      </c>
      <c r="I479" t="inlineStr">
        <is>
          <t>bajo</t>
        </is>
      </c>
      <c r="J479" t="inlineStr">
        <is>
          <t>RN-11 y RN-34: provision hasta el cupo operativo antes de bajar del 8 %</t>
        </is>
      </c>
      <c r="K479" t="inlineStr">
        <is>
          <t>Provision en la manana, antes del pagado: con el pronostico, sin provision el saldo bajaria del 8 % del cupo ese dia. Lleva el saldo de 50.705.984 a 500.000.000 COP (cupo 500.000.000). Equipo administrado por TDV.</t>
        </is>
      </c>
      <c r="L479" s="26" t="n">
        <v>500000000</v>
      </c>
      <c r="M479" s="26" t="n">
        <v>50705984</v>
      </c>
      <c r="N479" s="27">
        <f>IF(ISNUMBER(M479),M479/L479,"No aplica")</f>
        <v>0.101411968</v>
      </c>
      <c r="O479" s="25">
        <f>IF(G479="provision",M479+H479,IF(G479="recoleccion",M479-H479,"No aplica"))</f>
        <v>500000000</v>
      </c>
      <c r="P479" s="26" t="n">
        <v>221367</v>
      </c>
    </row>
    <row r="480">
      <c r="A480" t="inlineStr">
        <is>
          <t>PRAGMA</t>
        </is>
      </c>
      <c r="B480" t="inlineStr">
        <is>
          <t>M1</t>
        </is>
      </c>
      <c r="C480" t="inlineStr">
        <is>
          <t>Cali</t>
        </is>
      </c>
      <c r="D480" t="inlineStr">
        <is>
          <t>4183</t>
        </is>
      </c>
      <c r="E480" t="inlineStr">
        <is>
          <t>TDV</t>
        </is>
      </c>
      <c r="F480" s="23" t="n">
        <v>46269</v>
      </c>
      <c r="G480" t="inlineStr">
        <is>
          <t>provision</t>
        </is>
      </c>
      <c r="H480" s="26" t="n">
        <v>343521104</v>
      </c>
      <c r="I480" t="inlineStr">
        <is>
          <t>bajo</t>
        </is>
      </c>
      <c r="J480" t="inlineStr">
        <is>
          <t>RN-11 y RN-34: provision hasta el cupo operativo antes de bajar del 8 %</t>
        </is>
      </c>
      <c r="K480" t="inlineStr">
        <is>
          <t>Provision en la manana, antes del pagado: con el pronostico, sin provision el saldo bajaria del 8 % del cupo ese dia. Lleva el saldo de 61.478.896 a 405.000.000 COP (cupo 405.000.000). Equipo administrado por TDV.</t>
        </is>
      </c>
      <c r="L480" s="26" t="n">
        <v>405000000</v>
      </c>
      <c r="M480" s="26" t="n">
        <v>61478896</v>
      </c>
      <c r="N480" s="27">
        <f>IF(ISNUMBER(M480),M480/L480,"No aplica")</f>
        <v>0.15179974320987655</v>
      </c>
      <c r="O480" s="25">
        <f>IF(G480="provision",M480+H480,IF(G480="recoleccion",M480-H480,"No aplica"))</f>
        <v>405000000</v>
      </c>
      <c r="P480" s="26" t="n">
        <v>146910</v>
      </c>
    </row>
    <row r="481">
      <c r="A481" t="inlineStr">
        <is>
          <t>PRAGMA</t>
        </is>
      </c>
      <c r="B481" t="inlineStr">
        <is>
          <t>M1</t>
        </is>
      </c>
      <c r="C481" t="inlineStr">
        <is>
          <t>Cali</t>
        </is>
      </c>
      <c r="D481" t="inlineStr">
        <is>
          <t>4183</t>
        </is>
      </c>
      <c r="E481" t="inlineStr">
        <is>
          <t>TDV</t>
        </is>
      </c>
      <c r="F481" s="23" t="n">
        <v>46274</v>
      </c>
      <c r="G481" t="inlineStr">
        <is>
          <t>provision</t>
        </is>
      </c>
      <c r="H481" s="26" t="n">
        <v>369410233</v>
      </c>
      <c r="I481" t="inlineStr">
        <is>
          <t>bajo</t>
        </is>
      </c>
      <c r="J481" t="inlineStr">
        <is>
          <t>RN-11 y RN-34: provision hasta el cupo operativo antes de bajar del 8 %</t>
        </is>
      </c>
      <c r="K481" t="inlineStr">
        <is>
          <t>Provision en la manana, antes del pagado: con el pronostico, sin provision el saldo bajaria del 8 % del cupo ese dia. Lleva el saldo de 35.589.767 a 405.000.000 COP (cupo 405.000.000). Equipo administrado por TDV.</t>
        </is>
      </c>
      <c r="L481" s="26" t="n">
        <v>405000000</v>
      </c>
      <c r="M481" s="26" t="n">
        <v>35589767</v>
      </c>
      <c r="N481" s="27">
        <f>IF(ISNUMBER(M481),M481/L481,"No aplica")</f>
        <v>0.08787596790123457</v>
      </c>
      <c r="O481" s="25">
        <f>IF(G481="provision",M481+H481,IF(G481="recoleccion",M481-H481,"No aplica"))</f>
        <v>405000000</v>
      </c>
      <c r="P481" s="26" t="n">
        <v>156644</v>
      </c>
    </row>
    <row r="482">
      <c r="A482" t="inlineStr">
        <is>
          <t>PRAGMA</t>
        </is>
      </c>
      <c r="B482" t="inlineStr">
        <is>
          <t>M1</t>
        </is>
      </c>
      <c r="C482" t="inlineStr">
        <is>
          <t>Cali</t>
        </is>
      </c>
      <c r="D482" t="inlineStr">
        <is>
          <t>4183</t>
        </is>
      </c>
      <c r="E482" t="inlineStr">
        <is>
          <t>TDV</t>
        </is>
      </c>
      <c r="F482" s="23" t="n">
        <v>46279</v>
      </c>
      <c r="G482" t="inlineStr">
        <is>
          <t>provision</t>
        </is>
      </c>
      <c r="H482" s="26" t="n">
        <v>333266254</v>
      </c>
      <c r="I482" t="inlineStr">
        <is>
          <t>bajo</t>
        </is>
      </c>
      <c r="J482" t="inlineStr">
        <is>
          <t>RN-11 y RN-34: provision hasta el cupo operativo antes de bajar del 8 %</t>
        </is>
      </c>
      <c r="K482" t="inlineStr">
        <is>
          <t>Provision en la manana, antes del pagado: con el pronostico, sin provision el saldo bajaria del 8 % del cupo ese dia. Lleva el saldo de 71.733.746 a 405.000.000 COP (cupo 405.000.000). Equipo administrado por TDV.</t>
        </is>
      </c>
      <c r="L482" s="26" t="n">
        <v>405000000</v>
      </c>
      <c r="M482" s="26" t="n">
        <v>71733746</v>
      </c>
      <c r="N482" s="27">
        <f>IF(ISNUMBER(M482),M482/L482,"No aplica")</f>
        <v>0.17712036049382715</v>
      </c>
      <c r="O482" s="25">
        <f>IF(G482="provision",M482+H482,IF(G482="recoleccion",M482-H482,"No aplica"))</f>
        <v>405000000</v>
      </c>
      <c r="P482" s="26" t="n">
        <v>143054</v>
      </c>
    </row>
    <row r="483">
      <c r="A483" t="inlineStr">
        <is>
          <t>PRAGMA</t>
        </is>
      </c>
      <c r="B483" t="inlineStr">
        <is>
          <t>M1</t>
        </is>
      </c>
      <c r="C483" t="inlineStr">
        <is>
          <t>Cali</t>
        </is>
      </c>
      <c r="D483" t="inlineStr">
        <is>
          <t>4184</t>
        </is>
      </c>
      <c r="E483" t="inlineStr">
        <is>
          <t>TDV</t>
        </is>
      </c>
      <c r="F483" s="23" t="n">
        <v>46269</v>
      </c>
      <c r="G483" t="inlineStr">
        <is>
          <t>provision</t>
        </is>
      </c>
      <c r="H483" s="26" t="n">
        <v>305844704</v>
      </c>
      <c r="I483" t="inlineStr">
        <is>
          <t>bajo</t>
        </is>
      </c>
      <c r="J483" t="inlineStr">
        <is>
          <t>RN-11 y RN-34: provision hasta el cupo operativo antes de bajar del 8 %</t>
        </is>
      </c>
      <c r="K483" t="inlineStr">
        <is>
          <t>Provision en la manana, antes del pagado: con el pronostico, sin provision el saldo bajaria del 8 % del cupo ese dia. Lleva el saldo de 99.155.296 a 405.000.000 COP (cupo 405.000.000). Equipo administrado por TDV.</t>
        </is>
      </c>
      <c r="L483" s="26" t="n">
        <v>405000000</v>
      </c>
      <c r="M483" s="26" t="n">
        <v>99155296</v>
      </c>
      <c r="N483" s="27">
        <f>IF(ISNUMBER(M483),M483/L483,"No aplica")</f>
        <v>0.24482789135802469</v>
      </c>
      <c r="O483" s="25">
        <f>IF(G483="provision",M483+H483,IF(G483="recoleccion",M483-H483,"No aplica"))</f>
        <v>405000000</v>
      </c>
      <c r="P483" s="26" t="n">
        <v>153963</v>
      </c>
    </row>
    <row r="484">
      <c r="A484" t="inlineStr">
        <is>
          <t>PRAGMA</t>
        </is>
      </c>
      <c r="B484" t="inlineStr">
        <is>
          <t>M1</t>
        </is>
      </c>
      <c r="C484" t="inlineStr">
        <is>
          <t>Cali</t>
        </is>
      </c>
      <c r="D484" t="inlineStr">
        <is>
          <t>4184</t>
        </is>
      </c>
      <c r="E484" t="inlineStr">
        <is>
          <t>TDV</t>
        </is>
      </c>
      <c r="F484" s="23" t="n">
        <v>46273</v>
      </c>
      <c r="G484" t="inlineStr">
        <is>
          <t>provision</t>
        </is>
      </c>
      <c r="H484" s="26" t="n">
        <v>352577762</v>
      </c>
      <c r="I484" t="inlineStr">
        <is>
          <t>bajo</t>
        </is>
      </c>
      <c r="J484" t="inlineStr">
        <is>
          <t>RN-11 y RN-34: provision hasta el cupo operativo antes de bajar del 8 %</t>
        </is>
      </c>
      <c r="K484" t="inlineStr">
        <is>
          <t>Provision en la manana, antes del pagado: con el pronostico, sin provision el saldo bajaria del 8 % del cupo ese dia. Lleva el saldo de 52.422.238 a 405.000.000 COP (cupo 405.000.000). Equipo administrado por TDV.</t>
        </is>
      </c>
      <c r="L484" s="26" t="n">
        <v>405000000</v>
      </c>
      <c r="M484" s="26" t="n">
        <v>52422238</v>
      </c>
      <c r="N484" s="27">
        <f>IF(ISNUMBER(M484),M484/L484,"No aplica")</f>
        <v>0.12943762469135803</v>
      </c>
      <c r="O484" s="25">
        <f>IF(G484="provision",M484+H484,IF(G484="recoleccion",M484-H484,"No aplica"))</f>
        <v>405000000</v>
      </c>
      <c r="P484" s="26" t="n">
        <v>174619</v>
      </c>
    </row>
    <row r="485">
      <c r="A485" t="inlineStr">
        <is>
          <t>PRAGMA</t>
        </is>
      </c>
      <c r="B485" t="inlineStr">
        <is>
          <t>M1</t>
        </is>
      </c>
      <c r="C485" t="inlineStr">
        <is>
          <t>Cali</t>
        </is>
      </c>
      <c r="D485" t="inlineStr">
        <is>
          <t>4184</t>
        </is>
      </c>
      <c r="E485" t="inlineStr">
        <is>
          <t>TDV</t>
        </is>
      </c>
      <c r="F485" s="23" t="n">
        <v>46277</v>
      </c>
      <c r="G485" t="inlineStr">
        <is>
          <t>provision</t>
        </is>
      </c>
      <c r="H485" s="26" t="n">
        <v>297150600</v>
      </c>
      <c r="I485" t="inlineStr">
        <is>
          <t>bajo</t>
        </is>
      </c>
      <c r="J485" t="inlineStr">
        <is>
          <t>RN-11 y RN-34: provision hasta el cupo operativo antes de bajar del 8 %</t>
        </is>
      </c>
      <c r="K485" t="inlineStr">
        <is>
          <t>Provision en la manana, antes del pagado: con el pronostico, sin provision el saldo bajaria del 8 % del cupo ese dia. Lleva el saldo de 107.849.400 a 405.000.000 COP (cupo 405.000.000). Equipo administrado por TDV.</t>
        </is>
      </c>
      <c r="L485" s="26" t="n">
        <v>405000000</v>
      </c>
      <c r="M485" s="26" t="n">
        <v>107849400</v>
      </c>
      <c r="N485" s="27">
        <f>IF(ISNUMBER(M485),M485/L485,"No aplica")</f>
        <v>0.2662948148148148</v>
      </c>
      <c r="O485" s="25">
        <f>IF(G485="provision",M485+H485,IF(G485="recoleccion",M485-H485,"No aplica"))</f>
        <v>405000000</v>
      </c>
      <c r="P485" s="26" t="n">
        <v>150121</v>
      </c>
    </row>
    <row r="486">
      <c r="A486" t="inlineStr">
        <is>
          <t>PRAGMA</t>
        </is>
      </c>
      <c r="B486" t="inlineStr">
        <is>
          <t>M1</t>
        </is>
      </c>
      <c r="C486" t="inlineStr">
        <is>
          <t>Cali</t>
        </is>
      </c>
      <c r="D486" t="inlineStr">
        <is>
          <t>4197</t>
        </is>
      </c>
      <c r="E486" t="inlineStr">
        <is>
          <t>TDV</t>
        </is>
      </c>
      <c r="F486" s="23" t="n">
        <v>46266</v>
      </c>
      <c r="G486" t="inlineStr">
        <is>
          <t>sin_accion</t>
        </is>
      </c>
      <c r="H486" s="26" t="n">
        <v>0</v>
      </c>
      <c r="I486" t="inlineStr">
        <is>
          <t>bajo</t>
        </is>
      </c>
      <c r="J486" t="inlineStr">
        <is>
          <t>RN-02: una fila sin_accion</t>
        </is>
      </c>
      <c r="K486" t="inlineStr">
        <is>
          <t>Sin accion en el horizonte: con el pronostico, el saldo se mantiene entre el umbral de agotamiento y el cupo sin necesidad de provision ni recoleccion.</t>
        </is>
      </c>
      <c r="L486" s="26" t="n">
        <v>500000000</v>
      </c>
      <c r="M486" s="26" t="inlineStr">
        <is>
          <t>No aplica</t>
        </is>
      </c>
      <c r="N486" s="27" t="str">
        <f>IF(ISNUMBER(M486),M486/L486,"No aplica")</f>
        <v>No aplica</v>
      </c>
      <c r="O486" s="25" t="str">
        <f>IF(G486="provision",M486+H486,IF(G486="recoleccion",M486-H486,"No aplica"))</f>
        <v>No aplica</v>
      </c>
      <c r="P486" s="26" t="inlineStr">
        <is>
          <t>No aplica</t>
        </is>
      </c>
    </row>
    <row r="487">
      <c r="A487" t="inlineStr">
        <is>
          <t>PRAGMA</t>
        </is>
      </c>
      <c r="B487" t="inlineStr">
        <is>
          <t>M1</t>
        </is>
      </c>
      <c r="C487" t="inlineStr">
        <is>
          <t>Cali</t>
        </is>
      </c>
      <c r="D487" t="inlineStr">
        <is>
          <t>4257</t>
        </is>
      </c>
      <c r="E487" t="inlineStr">
        <is>
          <t>TDV</t>
        </is>
      </c>
      <c r="F487" s="23" t="n">
        <v>46266</v>
      </c>
      <c r="G487" t="inlineStr">
        <is>
          <t>sin_accion</t>
        </is>
      </c>
      <c r="H487" s="26" t="n">
        <v>0</v>
      </c>
      <c r="I487" t="inlineStr">
        <is>
          <t>bajo</t>
        </is>
      </c>
      <c r="J487" t="inlineStr">
        <is>
          <t>RN-02: una fila sin_accion</t>
        </is>
      </c>
      <c r="K487" t="inlineStr">
        <is>
          <t>Sin accion en el horizonte: con el pronostico, el saldo se mantiene entre el umbral de agotamiento y el cupo sin necesidad de provision ni recoleccion.</t>
        </is>
      </c>
      <c r="L487" s="26" t="n">
        <v>405000000</v>
      </c>
      <c r="M487" s="26" t="inlineStr">
        <is>
          <t>No aplica</t>
        </is>
      </c>
      <c r="N487" s="27" t="str">
        <f>IF(ISNUMBER(M487),M487/L487,"No aplica")</f>
        <v>No aplica</v>
      </c>
      <c r="O487" s="25" t="str">
        <f>IF(G487="provision",M487+H487,IF(G487="recoleccion",M487-H487,"No aplica"))</f>
        <v>No aplica</v>
      </c>
      <c r="P487" s="26" t="inlineStr">
        <is>
          <t>No aplica</t>
        </is>
      </c>
    </row>
    <row r="488">
      <c r="A488" t="inlineStr">
        <is>
          <t>PRAGMA</t>
        </is>
      </c>
      <c r="B488" t="inlineStr">
        <is>
          <t>M1</t>
        </is>
      </c>
      <c r="C488" t="inlineStr">
        <is>
          <t>Cali</t>
        </is>
      </c>
      <c r="D488" t="inlineStr">
        <is>
          <t>4260</t>
        </is>
      </c>
      <c r="E488" t="inlineStr">
        <is>
          <t>TDV</t>
        </is>
      </c>
      <c r="F488" s="23" t="n">
        <v>46266</v>
      </c>
      <c r="G488" t="inlineStr">
        <is>
          <t>sin_accion</t>
        </is>
      </c>
      <c r="H488" s="26" t="n">
        <v>0</v>
      </c>
      <c r="I488" t="inlineStr">
        <is>
          <t>bajo</t>
        </is>
      </c>
      <c r="J488" t="inlineStr">
        <is>
          <t>RN-02: una fila sin_accion</t>
        </is>
      </c>
      <c r="K488" t="inlineStr">
        <is>
          <t>Sin accion en el horizonte: con el pronostico, el saldo se mantiene entre el umbral de agotamiento y el cupo sin necesidad de provision ni recoleccion.</t>
        </is>
      </c>
      <c r="L488" s="26" t="n">
        <v>411000000</v>
      </c>
      <c r="M488" s="26" t="inlineStr">
        <is>
          <t>No aplica</t>
        </is>
      </c>
      <c r="N488" s="27" t="str">
        <f>IF(ISNUMBER(M488),M488/L488,"No aplica")</f>
        <v>No aplica</v>
      </c>
      <c r="O488" s="25" t="str">
        <f>IF(G488="provision",M488+H488,IF(G488="recoleccion",M488-H488,"No aplica"))</f>
        <v>No aplica</v>
      </c>
      <c r="P488" s="26" t="inlineStr">
        <is>
          <t>No aplica</t>
        </is>
      </c>
    </row>
    <row r="489">
      <c r="A489" t="inlineStr">
        <is>
          <t>PRAGMA</t>
        </is>
      </c>
      <c r="B489" t="inlineStr">
        <is>
          <t>M1</t>
        </is>
      </c>
      <c r="C489" t="inlineStr">
        <is>
          <t>Cali</t>
        </is>
      </c>
      <c r="D489" t="inlineStr">
        <is>
          <t>4264</t>
        </is>
      </c>
      <c r="E489" t="inlineStr">
        <is>
          <t>TDV</t>
        </is>
      </c>
      <c r="F489" s="23" t="n">
        <v>46268</v>
      </c>
      <c r="G489" t="inlineStr">
        <is>
          <t>provision</t>
        </is>
      </c>
      <c r="H489" s="26" t="n">
        <v>313106508</v>
      </c>
      <c r="I489" t="inlineStr">
        <is>
          <t>bajo</t>
        </is>
      </c>
      <c r="J489" t="inlineStr">
        <is>
          <t>RN-11 y RN-34: provision hasta el cupo operativo antes de bajar del 8 %</t>
        </is>
      </c>
      <c r="K489" t="inlineStr">
        <is>
          <t>Provision en la manana, antes del pagado: con el pronostico, sin provision el saldo bajaria del 8 % del cupo ese dia. Lleva el saldo de 91.893.492 a 405.000.000 COP (cupo 405.000.000). Equipo administrado por TDV.</t>
        </is>
      </c>
      <c r="L489" s="26" t="n">
        <v>405000000</v>
      </c>
      <c r="M489" s="26" t="n">
        <v>91893492</v>
      </c>
      <c r="N489" s="27">
        <f>IF(ISNUMBER(M489),M489/L489,"No aplica")</f>
        <v>0.22689751111111112</v>
      </c>
      <c r="O489" s="25">
        <f>IF(G489="provision",M489+H489,IF(G489="recoleccion",M489-H489,"No aplica"))</f>
        <v>405000000</v>
      </c>
      <c r="P489" s="26" t="n">
        <v>108307</v>
      </c>
    </row>
    <row r="490">
      <c r="A490" t="inlineStr">
        <is>
          <t>PRAGMA</t>
        </is>
      </c>
      <c r="B490" t="inlineStr">
        <is>
          <t>M1</t>
        </is>
      </c>
      <c r="C490" t="inlineStr">
        <is>
          <t>Cali</t>
        </is>
      </c>
      <c r="D490" t="inlineStr">
        <is>
          <t>4264</t>
        </is>
      </c>
      <c r="E490" t="inlineStr">
        <is>
          <t>TDV</t>
        </is>
      </c>
      <c r="F490" s="23" t="n">
        <v>46270</v>
      </c>
      <c r="G490" t="inlineStr">
        <is>
          <t>provision</t>
        </is>
      </c>
      <c r="H490" s="26" t="n">
        <v>236187463</v>
      </c>
      <c r="I490" t="inlineStr">
        <is>
          <t>bajo</t>
        </is>
      </c>
      <c r="J490" t="inlineStr">
        <is>
          <t>RN-11 y RN-34: provision hasta el cupo operativo antes de bajar del 8 %</t>
        </is>
      </c>
      <c r="K490" t="inlineStr">
        <is>
          <t>Provision en la manana, antes del pagado: con el pronostico, sin provision el saldo bajaria del 8 % del cupo ese dia. Lleva el saldo de 168.812.537 a 405.000.000 COP (cupo 405.000.000). Equipo administrado por TDV.</t>
        </is>
      </c>
      <c r="L490" s="26" t="n">
        <v>405000000</v>
      </c>
      <c r="M490" s="26" t="n">
        <v>168812537</v>
      </c>
      <c r="N490" s="27">
        <f>IF(ISNUMBER(M490),M490/L490,"No aplica")</f>
        <v>0.41682107901234566</v>
      </c>
      <c r="O490" s="25">
        <f>IF(G490="provision",M490+H490,IF(G490="recoleccion",M490-H490,"No aplica"))</f>
        <v>405000000</v>
      </c>
      <c r="P490" s="26" t="n">
        <v>85693</v>
      </c>
    </row>
    <row r="491">
      <c r="A491" t="inlineStr">
        <is>
          <t>PRAGMA</t>
        </is>
      </c>
      <c r="B491" t="inlineStr">
        <is>
          <t>M1</t>
        </is>
      </c>
      <c r="C491" t="inlineStr">
        <is>
          <t>Cali</t>
        </is>
      </c>
      <c r="D491" t="inlineStr">
        <is>
          <t>4264</t>
        </is>
      </c>
      <c r="E491" t="inlineStr">
        <is>
          <t>TDV</t>
        </is>
      </c>
      <c r="F491" s="23" t="n">
        <v>46273</v>
      </c>
      <c r="G491" t="inlineStr">
        <is>
          <t>provision</t>
        </is>
      </c>
      <c r="H491" s="26" t="n">
        <v>355820167</v>
      </c>
      <c r="I491" t="inlineStr">
        <is>
          <t>bajo</t>
        </is>
      </c>
      <c r="J491" t="inlineStr">
        <is>
          <t>RN-11 y RN-34: provision hasta el cupo operativo antes de bajar del 8 %</t>
        </is>
      </c>
      <c r="K491" t="inlineStr">
        <is>
          <t>Provision en la manana, antes del pagado: con el pronostico, sin provision el saldo bajaria del 8 % del cupo ese dia. Lleva el saldo de 49.179.833 a 405.000.000 COP (cupo 405.000.000). Equipo administrado por TDV.</t>
        </is>
      </c>
      <c r="L491" s="26" t="n">
        <v>405000000</v>
      </c>
      <c r="M491" s="26" t="n">
        <v>49179833</v>
      </c>
      <c r="N491" s="27">
        <f>IF(ISNUMBER(M491),M491/L491,"No aplica")</f>
        <v>0.12143168641975309</v>
      </c>
      <c r="O491" s="25">
        <f>IF(G491="provision",M491+H491,IF(G491="recoleccion",M491-H491,"No aplica"))</f>
        <v>405000000</v>
      </c>
      <c r="P491" s="26" t="n">
        <v>120865</v>
      </c>
    </row>
    <row r="492">
      <c r="A492" t="inlineStr">
        <is>
          <t>PRAGMA</t>
        </is>
      </c>
      <c r="B492" t="inlineStr">
        <is>
          <t>M1</t>
        </is>
      </c>
      <c r="C492" t="inlineStr">
        <is>
          <t>Cali</t>
        </is>
      </c>
      <c r="D492" t="inlineStr">
        <is>
          <t>4264</t>
        </is>
      </c>
      <c r="E492" t="inlineStr">
        <is>
          <t>TDV</t>
        </is>
      </c>
      <c r="F492" s="23" t="n">
        <v>46276</v>
      </c>
      <c r="G492" t="inlineStr">
        <is>
          <t>provision</t>
        </is>
      </c>
      <c r="H492" s="26" t="n">
        <v>281977177</v>
      </c>
      <c r="I492" t="inlineStr">
        <is>
          <t>bajo</t>
        </is>
      </c>
      <c r="J492" t="inlineStr">
        <is>
          <t>RN-11 y RN-34: provision hasta el cupo operativo antes de bajar del 8 %</t>
        </is>
      </c>
      <c r="K492" t="inlineStr">
        <is>
          <t>Provision en la manana, antes del pagado: con el pronostico, sin provision el saldo bajaria del 8 % del cupo ese dia. Lleva el saldo de 123.022.823 a 405.000.000 COP (cupo 405.000.000). Equipo administrado por TDV.</t>
        </is>
      </c>
      <c r="L492" s="26" t="n">
        <v>405000000</v>
      </c>
      <c r="M492" s="26" t="n">
        <v>123022823</v>
      </c>
      <c r="N492" s="27">
        <f>IF(ISNUMBER(M492),M492/L492,"No aplica")</f>
        <v>0.30376005679012347</v>
      </c>
      <c r="O492" s="25">
        <f>IF(G492="provision",M492+H492,IF(G492="recoleccion",M492-H492,"No aplica"))</f>
        <v>405000000</v>
      </c>
      <c r="P492" s="26" t="n">
        <v>99155</v>
      </c>
    </row>
    <row r="493">
      <c r="A493" t="inlineStr">
        <is>
          <t>PRAGMA</t>
        </is>
      </c>
      <c r="B493" t="inlineStr">
        <is>
          <t>M1</t>
        </is>
      </c>
      <c r="C493" t="inlineStr">
        <is>
          <t>Cali</t>
        </is>
      </c>
      <c r="D493" t="inlineStr">
        <is>
          <t>4264</t>
        </is>
      </c>
      <c r="E493" t="inlineStr">
        <is>
          <t>TDV</t>
        </is>
      </c>
      <c r="F493" s="23" t="n">
        <v>46279</v>
      </c>
      <c r="G493" t="inlineStr">
        <is>
          <t>provision</t>
        </is>
      </c>
      <c r="H493" s="26" t="n">
        <v>276412675</v>
      </c>
      <c r="I493" t="inlineStr">
        <is>
          <t>bajo</t>
        </is>
      </c>
      <c r="J493" t="inlineStr">
        <is>
          <t>RN-11 y RN-34: provision hasta el cupo operativo antes de bajar del 8 %</t>
        </is>
      </c>
      <c r="K493" t="inlineStr">
        <is>
          <t>Provision en la manana, antes del pagado: con el pronostico, sin provision el saldo bajaria del 8 % del cupo ese dia. Lleva el saldo de 128.587.325 a 405.000.000 COP (cupo 405.000.000). Equipo administrado por TDV.</t>
        </is>
      </c>
      <c r="L493" s="26" t="n">
        <v>405000000</v>
      </c>
      <c r="M493" s="26" t="n">
        <v>128587325</v>
      </c>
      <c r="N493" s="27">
        <f>IF(ISNUMBER(M493),M493/L493,"No aplica")</f>
        <v>0.31749956790123457</v>
      </c>
      <c r="O493" s="25">
        <f>IF(G493="provision",M493+H493,IF(G493="recoleccion",M493-H493,"No aplica"))</f>
        <v>405000000</v>
      </c>
      <c r="P493" s="26" t="n">
        <v>97519</v>
      </c>
    </row>
    <row r="494">
      <c r="A494" t="inlineStr">
        <is>
          <t>PRAGMA</t>
        </is>
      </c>
      <c r="B494" t="inlineStr">
        <is>
          <t>M1</t>
        </is>
      </c>
      <c r="C494" t="inlineStr">
        <is>
          <t>Cali</t>
        </is>
      </c>
      <c r="D494" t="inlineStr">
        <is>
          <t>4270</t>
        </is>
      </c>
      <c r="E494" t="inlineStr">
        <is>
          <t>TDV</t>
        </is>
      </c>
      <c r="F494" s="23" t="n">
        <v>46268</v>
      </c>
      <c r="G494" t="inlineStr">
        <is>
          <t>provision</t>
        </is>
      </c>
      <c r="H494" s="26" t="n">
        <v>313746375</v>
      </c>
      <c r="I494" t="inlineStr">
        <is>
          <t>bajo</t>
        </is>
      </c>
      <c r="J494" t="inlineStr">
        <is>
          <t>RN-11 y RN-34: provision hasta el cupo operativo antes de bajar del 8 %</t>
        </is>
      </c>
      <c r="K494" t="inlineStr">
        <is>
          <t>Provision en la manana, antes del pagado: con el pronostico, sin provision el saldo bajaria del 8 % del cupo ese dia. Lleva el saldo de 97.253.625 a 411.000.000 COP (cupo 411.000.000). Equipo administrado por TDV.</t>
        </is>
      </c>
      <c r="L494" s="26" t="n">
        <v>411000000</v>
      </c>
      <c r="M494" s="26" t="n">
        <v>97253625</v>
      </c>
      <c r="N494" s="27">
        <f>IF(ISNUMBER(M494),M494/L494,"No aplica")</f>
        <v>0.23662682481751826</v>
      </c>
      <c r="O494" s="25">
        <f>IF(G494="provision",M494+H494,IF(G494="recoleccion",M494-H494,"No aplica"))</f>
        <v>411000000</v>
      </c>
      <c r="P494" s="26" t="n">
        <v>118259</v>
      </c>
    </row>
    <row r="495">
      <c r="A495" t="inlineStr">
        <is>
          <t>PRAGMA</t>
        </is>
      </c>
      <c r="B495" t="inlineStr">
        <is>
          <t>M1</t>
        </is>
      </c>
      <c r="C495" t="inlineStr">
        <is>
          <t>Cali</t>
        </is>
      </c>
      <c r="D495" t="inlineStr">
        <is>
          <t>4270</t>
        </is>
      </c>
      <c r="E495" t="inlineStr">
        <is>
          <t>TDV</t>
        </is>
      </c>
      <c r="F495" s="23" t="n">
        <v>46271</v>
      </c>
      <c r="G495" t="inlineStr">
        <is>
          <t>provision</t>
        </is>
      </c>
      <c r="H495" s="26" t="n">
        <v>372375455</v>
      </c>
      <c r="I495" t="inlineStr">
        <is>
          <t>bajo</t>
        </is>
      </c>
      <c r="J495" t="inlineStr">
        <is>
          <t>RN-11 y RN-34: provision hasta el cupo operativo antes de bajar del 8 %</t>
        </is>
      </c>
      <c r="K495" t="inlineStr">
        <is>
          <t>Provision en la manana, antes del pagado: con el pronostico, sin provision el saldo bajaria del 8 % del cupo ese dia. Lleva el saldo de 38.624.545 a 411.000.000 COP (cupo 411.000.000). Equipo administrado por TDV.</t>
        </is>
      </c>
      <c r="L495" s="26" t="n">
        <v>411000000</v>
      </c>
      <c r="M495" s="26" t="n">
        <v>38624545</v>
      </c>
      <c r="N495" s="27">
        <f>IF(ISNUMBER(M495),M495/L495,"No aplica")</f>
        <v>0.09397699513381995</v>
      </c>
      <c r="O495" s="25">
        <f>IF(G495="provision",M495+H495,IF(G495="recoleccion",M495-H495,"No aplica"))</f>
        <v>411000000</v>
      </c>
      <c r="P495" s="26" t="n">
        <v>178569</v>
      </c>
    </row>
    <row r="496">
      <c r="A496" t="inlineStr">
        <is>
          <t>PRAGMA</t>
        </is>
      </c>
      <c r="B496" t="inlineStr">
        <is>
          <t>M1</t>
        </is>
      </c>
      <c r="C496" t="inlineStr">
        <is>
          <t>Cali</t>
        </is>
      </c>
      <c r="D496" t="inlineStr">
        <is>
          <t>4270</t>
        </is>
      </c>
      <c r="E496" t="inlineStr">
        <is>
          <t>TDV</t>
        </is>
      </c>
      <c r="F496" s="23" t="n">
        <v>46274</v>
      </c>
      <c r="G496" t="inlineStr">
        <is>
          <t>provision</t>
        </is>
      </c>
      <c r="H496" s="26" t="n">
        <v>312623517</v>
      </c>
      <c r="I496" t="inlineStr">
        <is>
          <t>bajo</t>
        </is>
      </c>
      <c r="J496" t="inlineStr">
        <is>
          <t>RN-11 y RN-34: provision hasta el cupo operativo antes de bajar del 8 %</t>
        </is>
      </c>
      <c r="K496" t="inlineStr">
        <is>
          <t>Provision en la manana, antes del pagado: con el pronostico, sin provision el saldo bajaria del 8 % del cupo ese dia. Lleva el saldo de 98.376.483 a 411.000.000 COP (cupo 411.000.000). Equipo administrado por TDV.</t>
        </is>
      </c>
      <c r="L496" s="26" t="n">
        <v>411000000</v>
      </c>
      <c r="M496" s="26" t="n">
        <v>98376483</v>
      </c>
      <c r="N496" s="27">
        <f>IF(ISNUMBER(M496),M496/L496,"No aplica")</f>
        <v>0.2393588394160584</v>
      </c>
      <c r="O496" s="25">
        <f>IF(G496="provision",M496+H496,IF(G496="recoleccion",M496-H496,"No aplica"))</f>
        <v>411000000</v>
      </c>
      <c r="P496" s="26" t="n">
        <v>117896</v>
      </c>
    </row>
    <row r="497">
      <c r="A497" t="inlineStr">
        <is>
          <t>PRAGMA</t>
        </is>
      </c>
      <c r="B497" t="inlineStr">
        <is>
          <t>M1</t>
        </is>
      </c>
      <c r="C497" t="inlineStr">
        <is>
          <t>Cali</t>
        </is>
      </c>
      <c r="D497" t="inlineStr">
        <is>
          <t>4270</t>
        </is>
      </c>
      <c r="E497" t="inlineStr">
        <is>
          <t>TDV</t>
        </is>
      </c>
      <c r="F497" s="23" t="n">
        <v>46278</v>
      </c>
      <c r="G497" t="inlineStr">
        <is>
          <t>provision</t>
        </is>
      </c>
      <c r="H497" s="26" t="n">
        <v>350106969</v>
      </c>
      <c r="I497" t="inlineStr">
        <is>
          <t>bajo</t>
        </is>
      </c>
      <c r="J497" t="inlineStr">
        <is>
          <t>RN-11 y RN-34: provision hasta el cupo operativo antes de bajar del 8 %</t>
        </is>
      </c>
      <c r="K497" t="inlineStr">
        <is>
          <t>Provision en la manana, antes del pagado: con el pronostico, sin provision el saldo bajaria del 8 % del cupo ese dia. Lleva el saldo de 60.893.031 a 411.000.000 COP (cupo 411.000.000). Equipo administrado por TDV.</t>
        </is>
      </c>
      <c r="L497" s="26" t="n">
        <v>411000000</v>
      </c>
      <c r="M497" s="26" t="n">
        <v>60893031</v>
      </c>
      <c r="N497" s="27">
        <f>IF(ISNUMBER(M497),M497/L497,"No aplica")</f>
        <v>0.14815822627737227</v>
      </c>
      <c r="O497" s="25">
        <f>IF(G497="provision",M497+H497,IF(G497="recoleccion",M497-H497,"No aplica"))</f>
        <v>411000000</v>
      </c>
      <c r="P497" s="26" t="n">
        <v>169239</v>
      </c>
    </row>
    <row r="498">
      <c r="A498" t="inlineStr">
        <is>
          <t>PRAGMA</t>
        </is>
      </c>
      <c r="B498" t="inlineStr">
        <is>
          <t>M1</t>
        </is>
      </c>
      <c r="C498" t="inlineStr">
        <is>
          <t>Cali</t>
        </is>
      </c>
      <c r="D498" t="inlineStr">
        <is>
          <t>4271</t>
        </is>
      </c>
      <c r="E498" t="inlineStr">
        <is>
          <t>TDV</t>
        </is>
      </c>
      <c r="F498" s="23" t="n">
        <v>46268</v>
      </c>
      <c r="G498" t="inlineStr">
        <is>
          <t>provision</t>
        </is>
      </c>
      <c r="H498" s="26" t="n">
        <v>365672831</v>
      </c>
      <c r="I498" t="inlineStr">
        <is>
          <t>bajo</t>
        </is>
      </c>
      <c r="J498" t="inlineStr">
        <is>
          <t>RN-11 y RN-34: provision hasta el cupo operativo antes de bajar del 8 %</t>
        </is>
      </c>
      <c r="K498" t="inlineStr">
        <is>
          <t>Provision en la manana, antes del pagado: con el pronostico, sin provision el saldo bajaria del 8 % del cupo ese dia. Lleva el saldo de 45.327.169 a 411.000.000 COP (cupo 411.000.000). Equipo administrado por TDV.</t>
        </is>
      </c>
      <c r="L498" s="26" t="n">
        <v>411000000</v>
      </c>
      <c r="M498" s="26" t="n">
        <v>45327169</v>
      </c>
      <c r="N498" s="27">
        <f>IF(ISNUMBER(M498),M498/L498,"No aplica")</f>
        <v>0.11028508272506082</v>
      </c>
      <c r="O498" s="25">
        <f>IF(G498="provision",M498+H498,IF(G498="recoleccion",M498-H498,"No aplica"))</f>
        <v>411000000</v>
      </c>
      <c r="P498" s="26" t="n">
        <v>135031</v>
      </c>
    </row>
    <row r="499">
      <c r="A499" t="inlineStr">
        <is>
          <t>PRAGMA</t>
        </is>
      </c>
      <c r="B499" t="inlineStr">
        <is>
          <t>M1</t>
        </is>
      </c>
      <c r="C499" t="inlineStr">
        <is>
          <t>Cali</t>
        </is>
      </c>
      <c r="D499" t="inlineStr">
        <is>
          <t>4271</t>
        </is>
      </c>
      <c r="E499" t="inlineStr">
        <is>
          <t>TDV</t>
        </is>
      </c>
      <c r="F499" s="23" t="n">
        <v>46270</v>
      </c>
      <c r="G499" t="inlineStr">
        <is>
          <t>provision</t>
        </is>
      </c>
      <c r="H499" s="26" t="n">
        <v>309186644</v>
      </c>
      <c r="I499" t="inlineStr">
        <is>
          <t>bajo</t>
        </is>
      </c>
      <c r="J499" t="inlineStr">
        <is>
          <t>RN-11 y RN-34: provision hasta el cupo operativo antes de bajar del 8 %</t>
        </is>
      </c>
      <c r="K499" t="inlineStr">
        <is>
          <t>Provision en la manana, antes del pagado: con el pronostico, sin provision el saldo bajaria del 8 % del cupo ese dia. Lleva el saldo de 101.813.356 a 411.000.000 COP (cupo 411.000.000). Equipo administrado por TDV.</t>
        </is>
      </c>
      <c r="L499" s="26" t="n">
        <v>411000000</v>
      </c>
      <c r="M499" s="26" t="n">
        <v>101813356</v>
      </c>
      <c r="N499" s="27">
        <f>IF(ISNUMBER(M499),M499/L499,"No aplica")</f>
        <v>0.24772106082725062</v>
      </c>
      <c r="O499" s="25">
        <f>IF(G499="provision",M499+H499,IF(G499="recoleccion",M499-H499,"No aplica"))</f>
        <v>411000000</v>
      </c>
      <c r="P499" s="26" t="n">
        <v>116786</v>
      </c>
    </row>
    <row r="500">
      <c r="A500" t="inlineStr">
        <is>
          <t>PRAGMA</t>
        </is>
      </c>
      <c r="B500" t="inlineStr">
        <is>
          <t>M1</t>
        </is>
      </c>
      <c r="C500" t="inlineStr">
        <is>
          <t>Cali</t>
        </is>
      </c>
      <c r="D500" t="inlineStr">
        <is>
          <t>4271</t>
        </is>
      </c>
      <c r="E500" t="inlineStr">
        <is>
          <t>TDV</t>
        </is>
      </c>
      <c r="F500" s="23" t="n">
        <v>46272</v>
      </c>
      <c r="G500" t="inlineStr">
        <is>
          <t>provision</t>
        </is>
      </c>
      <c r="H500" s="26" t="n">
        <v>302086696</v>
      </c>
      <c r="I500" t="inlineStr">
        <is>
          <t>bajo</t>
        </is>
      </c>
      <c r="J500" t="inlineStr">
        <is>
          <t>RN-11 y RN-34: provision hasta el cupo operativo antes de bajar del 8 %</t>
        </is>
      </c>
      <c r="K500" t="inlineStr">
        <is>
          <t>Provision en la manana, antes del pagado: con el pronostico, sin provision el saldo bajaria del 8 % del cupo ese dia. Lleva el saldo de 108.913.304 a 411.000.000 COP (cupo 411.000.000). Equipo administrado por TDV.</t>
        </is>
      </c>
      <c r="L500" s="26" t="n">
        <v>411000000</v>
      </c>
      <c r="M500" s="26" t="n">
        <v>108913304</v>
      </c>
      <c r="N500" s="27">
        <f>IF(ISNUMBER(M500),M500/L500,"No aplica")</f>
        <v>0.26499587347931874</v>
      </c>
      <c r="O500" s="25">
        <f>IF(G500="provision",M500+H500,IF(G500="recoleccion",M500-H500,"No aplica"))</f>
        <v>411000000</v>
      </c>
      <c r="P500" s="26" t="n">
        <v>114493</v>
      </c>
    </row>
    <row r="501">
      <c r="A501" t="inlineStr">
        <is>
          <t>PRAGMA</t>
        </is>
      </c>
      <c r="B501" t="inlineStr">
        <is>
          <t>M1</t>
        </is>
      </c>
      <c r="C501" t="inlineStr">
        <is>
          <t>Cali</t>
        </is>
      </c>
      <c r="D501" t="inlineStr">
        <is>
          <t>4271</t>
        </is>
      </c>
      <c r="E501" t="inlineStr">
        <is>
          <t>TDV</t>
        </is>
      </c>
      <c r="F501" s="23" t="n">
        <v>46275</v>
      </c>
      <c r="G501" t="inlineStr">
        <is>
          <t>provision</t>
        </is>
      </c>
      <c r="H501" s="26" t="n">
        <v>331384620</v>
      </c>
      <c r="I501" t="inlineStr">
        <is>
          <t>bajo</t>
        </is>
      </c>
      <c r="J501" t="inlineStr">
        <is>
          <t>RN-11 y RN-34: provision hasta el cupo operativo antes de bajar del 8 %</t>
        </is>
      </c>
      <c r="K501" t="inlineStr">
        <is>
          <t>Provision en la manana, antes del pagado: con el pronostico, sin provision el saldo bajaria del 8 % del cupo ese dia. Lleva el saldo de 79.615.380 a 411.000.000 COP (cupo 411.000.000). Equipo administrado por TDV.</t>
        </is>
      </c>
      <c r="L501" s="26" t="n">
        <v>411000000</v>
      </c>
      <c r="M501" s="26" t="n">
        <v>79615380</v>
      </c>
      <c r="N501" s="27">
        <f>IF(ISNUMBER(M501),M501/L501,"No aplica")</f>
        <v>0.19371138686131387</v>
      </c>
      <c r="O501" s="25">
        <f>IF(G501="provision",M501+H501,IF(G501="recoleccion",M501-H501,"No aplica"))</f>
        <v>411000000</v>
      </c>
      <c r="P501" s="26" t="n">
        <v>123956</v>
      </c>
    </row>
    <row r="502">
      <c r="A502" t="inlineStr">
        <is>
          <t>PRAGMA</t>
        </is>
      </c>
      <c r="B502" t="inlineStr">
        <is>
          <t>M1</t>
        </is>
      </c>
      <c r="C502" t="inlineStr">
        <is>
          <t>Cali</t>
        </is>
      </c>
      <c r="D502" t="inlineStr">
        <is>
          <t>4271</t>
        </is>
      </c>
      <c r="E502" t="inlineStr">
        <is>
          <t>TDV</t>
        </is>
      </c>
      <c r="F502" s="23" t="n">
        <v>46278</v>
      </c>
      <c r="G502" t="inlineStr">
        <is>
          <t>provision</t>
        </is>
      </c>
      <c r="H502" s="26" t="n">
        <v>356635170</v>
      </c>
      <c r="I502" t="inlineStr">
        <is>
          <t>bajo</t>
        </is>
      </c>
      <c r="J502" t="inlineStr">
        <is>
          <t>RN-11 y RN-34: provision hasta el cupo operativo antes de bajar del 8 %</t>
        </is>
      </c>
      <c r="K502" t="inlineStr">
        <is>
          <t>Provision en la manana, antes del pagado: con el pronostico, sin provision el saldo bajaria del 8 % del cupo ese dia. Lleva el saldo de 54.364.830 a 411.000.000 COP (cupo 411.000.000). Equipo administrado por TDV.</t>
        </is>
      </c>
      <c r="L502" s="26" t="n">
        <v>411000000</v>
      </c>
      <c r="M502" s="26" t="n">
        <v>54364830</v>
      </c>
      <c r="N502" s="27">
        <f>IF(ISNUMBER(M502),M502/L502,"No aplica")</f>
        <v>0.13227452554744526</v>
      </c>
      <c r="O502" s="25">
        <f>IF(G502="provision",M502+H502,IF(G502="recoleccion",M502-H502,"No aplica"))</f>
        <v>411000000</v>
      </c>
      <c r="P502" s="26" t="n">
        <v>171974</v>
      </c>
    </row>
    <row r="503">
      <c r="A503" t="inlineStr">
        <is>
          <t>PRAGMA</t>
        </is>
      </c>
      <c r="B503" t="inlineStr">
        <is>
          <t>M1</t>
        </is>
      </c>
      <c r="C503" t="inlineStr">
        <is>
          <t>Cali</t>
        </is>
      </c>
      <c r="D503" t="inlineStr">
        <is>
          <t>4272</t>
        </is>
      </c>
      <c r="E503" t="inlineStr">
        <is>
          <t>Sucursal</t>
        </is>
      </c>
      <c r="F503" s="23" t="n">
        <v>46268</v>
      </c>
      <c r="G503" t="inlineStr">
        <is>
          <t>provision</t>
        </is>
      </c>
      <c r="H503" s="26" t="n">
        <v>346128595</v>
      </c>
      <c r="I503" t="inlineStr">
        <is>
          <t>bajo</t>
        </is>
      </c>
      <c r="J503" t="inlineStr">
        <is>
          <t>RN-11 y RN-34: provision hasta el cupo operativo antes de bajar del 8 %</t>
        </is>
      </c>
      <c r="K503" t="inlineStr">
        <is>
          <t>Provision en la manana, antes del pagado: con el pronostico, sin provision el saldo bajaria del 8 % del cupo ese dia. Lleva el saldo de 94.871.405 a 441.000.000 COP (cupo 441.000.000). Equipo administrado por Sucursal. Sin tarifa TDV (administrado por la sucursal): costo 0 declarado.</t>
        </is>
      </c>
      <c r="L503" s="26" t="n">
        <v>441000000</v>
      </c>
      <c r="M503" s="26" t="n">
        <v>94871405</v>
      </c>
      <c r="N503" s="27">
        <f>IF(ISNUMBER(M503),M503/L503,"No aplica")</f>
        <v>0.21512790249433106</v>
      </c>
      <c r="O503" s="25">
        <f>IF(G503="provision",M503+H503,IF(G503="recoleccion",M503-H503,"No aplica"))</f>
        <v>441000000</v>
      </c>
      <c r="P503" s="26" t="n">
        <v>0</v>
      </c>
    </row>
    <row r="504">
      <c r="A504" t="inlineStr">
        <is>
          <t>PRAGMA</t>
        </is>
      </c>
      <c r="B504" t="inlineStr">
        <is>
          <t>M1</t>
        </is>
      </c>
      <c r="C504" t="inlineStr">
        <is>
          <t>Cali</t>
        </is>
      </c>
      <c r="D504" t="inlineStr">
        <is>
          <t>4272</t>
        </is>
      </c>
      <c r="E504" t="inlineStr">
        <is>
          <t>Sucursal</t>
        </is>
      </c>
      <c r="F504" s="23" t="n">
        <v>46270</v>
      </c>
      <c r="G504" t="inlineStr">
        <is>
          <t>provision</t>
        </is>
      </c>
      <c r="H504" s="26" t="n">
        <v>278308958</v>
      </c>
      <c r="I504" t="inlineStr">
        <is>
          <t>bajo</t>
        </is>
      </c>
      <c r="J504" t="inlineStr">
        <is>
          <t>RN-11 y RN-34: provision hasta el cupo operativo antes de bajar del 8 %</t>
        </is>
      </c>
      <c r="K504" t="inlineStr">
        <is>
          <t>Provision en la manana, antes del pagado: con el pronostico, sin provision el saldo bajaria del 8 % del cupo ese dia. Lleva el saldo de 162.691.042 a 441.000.000 COP (cupo 441.000.000). Equipo administrado por Sucursal. Sin tarifa TDV (administrado por la sucursal): costo 0 declarado.</t>
        </is>
      </c>
      <c r="L504" s="26" t="n">
        <v>441000000</v>
      </c>
      <c r="M504" s="26" t="n">
        <v>162691042</v>
      </c>
      <c r="N504" s="27">
        <f>IF(ISNUMBER(M504),M504/L504,"No aplica")</f>
        <v>0.36891392743764173</v>
      </c>
      <c r="O504" s="25">
        <f>IF(G504="provision",M504+H504,IF(G504="recoleccion",M504-H504,"No aplica"))</f>
        <v>441000000</v>
      </c>
      <c r="P504" s="26" t="n">
        <v>0</v>
      </c>
    </row>
    <row r="505">
      <c r="A505" t="inlineStr">
        <is>
          <t>PRAGMA</t>
        </is>
      </c>
      <c r="B505" t="inlineStr">
        <is>
          <t>M1</t>
        </is>
      </c>
      <c r="C505" t="inlineStr">
        <is>
          <t>Cali</t>
        </is>
      </c>
      <c r="D505" t="inlineStr">
        <is>
          <t>4272</t>
        </is>
      </c>
      <c r="E505" t="inlineStr">
        <is>
          <t>Sucursal</t>
        </is>
      </c>
      <c r="F505" s="23" t="n">
        <v>46273</v>
      </c>
      <c r="G505" t="inlineStr">
        <is>
          <t>provision</t>
        </is>
      </c>
      <c r="H505" s="26" t="n">
        <v>361274563</v>
      </c>
      <c r="I505" t="inlineStr">
        <is>
          <t>bajo</t>
        </is>
      </c>
      <c r="J505" t="inlineStr">
        <is>
          <t>RN-11 y RN-34: provision hasta el cupo operativo antes de bajar del 8 %</t>
        </is>
      </c>
      <c r="K505" t="inlineStr">
        <is>
          <t>Provision en la manana, antes del pagado: con el pronostico, sin provision el saldo bajaria del 8 % del cupo ese dia. Lleva el saldo de 79.725.437 a 441.000.000 COP (cupo 441.000.000). Equipo administrado por Sucursal. Sin tarifa TDV (administrado por la sucursal): costo 0 declarado.</t>
        </is>
      </c>
      <c r="L505" s="26" t="n">
        <v>441000000</v>
      </c>
      <c r="M505" s="26" t="n">
        <v>79725437</v>
      </c>
      <c r="N505" s="27">
        <f>IF(ISNUMBER(M505),M505/L505,"No aplica")</f>
        <v>0.1807833038548753</v>
      </c>
      <c r="O505" s="25">
        <f>IF(G505="provision",M505+H505,IF(G505="recoleccion",M505-H505,"No aplica"))</f>
        <v>441000000</v>
      </c>
      <c r="P505" s="26" t="n">
        <v>0</v>
      </c>
    </row>
    <row r="506">
      <c r="A506" t="inlineStr">
        <is>
          <t>PRAGMA</t>
        </is>
      </c>
      <c r="B506" t="inlineStr">
        <is>
          <t>M1</t>
        </is>
      </c>
      <c r="C506" t="inlineStr">
        <is>
          <t>Cali</t>
        </is>
      </c>
      <c r="D506" t="inlineStr">
        <is>
          <t>4272</t>
        </is>
      </c>
      <c r="E506" t="inlineStr">
        <is>
          <t>Sucursal</t>
        </is>
      </c>
      <c r="F506" s="23" t="n">
        <v>46277</v>
      </c>
      <c r="G506" t="inlineStr">
        <is>
          <t>provision</t>
        </is>
      </c>
      <c r="H506" s="26" t="n">
        <v>393809239</v>
      </c>
      <c r="I506" t="inlineStr">
        <is>
          <t>bajo</t>
        </is>
      </c>
      <c r="J506" t="inlineStr">
        <is>
          <t>RN-11 y RN-34: provision hasta el cupo operativo antes de bajar del 8 %</t>
        </is>
      </c>
      <c r="K506" t="inlineStr">
        <is>
          <t>Provision en la manana, antes del pagado: con el pronostico, sin provision el saldo bajaria del 8 % del cupo ese dia. Lleva el saldo de 47.190.761 a 441.000.000 COP (cupo 441.000.000). Equipo administrado por Sucursal. Sin tarifa TDV (administrado por la sucursal): costo 0 declarado.</t>
        </is>
      </c>
      <c r="L506" s="26" t="n">
        <v>441000000</v>
      </c>
      <c r="M506" s="26" t="n">
        <v>47190761</v>
      </c>
      <c r="N506" s="27">
        <f>IF(ISNUMBER(M506),M506/L506,"No aplica")</f>
        <v>0.1070085283446712</v>
      </c>
      <c r="O506" s="25">
        <f>IF(G506="provision",M506+H506,IF(G506="recoleccion",M506-H506,"No aplica"))</f>
        <v>441000000</v>
      </c>
      <c r="P506" s="26" t="n">
        <v>0</v>
      </c>
    </row>
    <row r="507">
      <c r="A507" t="inlineStr">
        <is>
          <t>PRAGMA</t>
        </is>
      </c>
      <c r="B507" t="inlineStr">
        <is>
          <t>M1</t>
        </is>
      </c>
      <c r="C507" t="inlineStr">
        <is>
          <t>Cali</t>
        </is>
      </c>
      <c r="D507" t="inlineStr">
        <is>
          <t>4272</t>
        </is>
      </c>
      <c r="E507" t="inlineStr">
        <is>
          <t>Sucursal</t>
        </is>
      </c>
      <c r="F507" s="23" t="n">
        <v>46280</v>
      </c>
      <c r="G507" t="inlineStr">
        <is>
          <t>provision</t>
        </is>
      </c>
      <c r="H507" s="26" t="n">
        <v>302237199</v>
      </c>
      <c r="I507" t="inlineStr">
        <is>
          <t>bajo</t>
        </is>
      </c>
      <c r="J507" t="inlineStr">
        <is>
          <t>RN-11 y RN-34: provision hasta el cupo operativo antes de bajar del 8 %</t>
        </is>
      </c>
      <c r="K507" t="inlineStr">
        <is>
          <t>Provision en la manana, antes del pagado: con el pronostico, sin provision el saldo bajaria del 8 % del cupo ese dia. Lleva el saldo de 138.762.801 a 441.000.000 COP (cupo 441.000.000). Equipo administrado por Sucursal. Sin tarifa TDV (administrado por la sucursal): costo 0 declarado.</t>
        </is>
      </c>
      <c r="L507" s="26" t="n">
        <v>441000000</v>
      </c>
      <c r="M507" s="26" t="n">
        <v>138762801</v>
      </c>
      <c r="N507" s="27">
        <f>IF(ISNUMBER(M507),M507/L507,"No aplica")</f>
        <v>0.3146548775510204</v>
      </c>
      <c r="O507" s="25">
        <f>IF(G507="provision",M507+H507,IF(G507="recoleccion",M507-H507,"No aplica"))</f>
        <v>441000000</v>
      </c>
      <c r="P507" s="26" t="n">
        <v>0</v>
      </c>
    </row>
    <row r="508">
      <c r="A508" t="inlineStr">
        <is>
          <t>PRAGMA</t>
        </is>
      </c>
      <c r="B508" t="inlineStr">
        <is>
          <t>M1</t>
        </is>
      </c>
      <c r="C508" t="inlineStr">
        <is>
          <t>Cali</t>
        </is>
      </c>
      <c r="D508" t="inlineStr">
        <is>
          <t>4297</t>
        </is>
      </c>
      <c r="E508" t="inlineStr">
        <is>
          <t>TDV</t>
        </is>
      </c>
      <c r="F508" s="23" t="n">
        <v>46267</v>
      </c>
      <c r="G508" t="inlineStr">
        <is>
          <t>provision</t>
        </is>
      </c>
      <c r="H508" s="26" t="n">
        <v>226296297</v>
      </c>
      <c r="I508" t="inlineStr">
        <is>
          <t>bajo</t>
        </is>
      </c>
      <c r="J508" t="inlineStr">
        <is>
          <t>RN-11 y RN-34: provision hasta el cupo operativo antes de bajar del 8 %</t>
        </is>
      </c>
      <c r="K508" t="inlineStr">
        <is>
          <t>Provision en la manana, antes del pagado: con el pronostico, sin provision el saldo bajaria del 8 % del cupo ese dia. Lleva el saldo de 184.703.703 a 411.000.000 COP (cupo 411.000.000). Equipo administrado por TDV.</t>
        </is>
      </c>
      <c r="L508" s="26" t="n">
        <v>411000000</v>
      </c>
      <c r="M508" s="26" t="n">
        <v>184703703</v>
      </c>
      <c r="N508" s="27">
        <f>IF(ISNUMBER(M508),M508/L508,"No aplica")</f>
        <v>0.4494007372262774</v>
      </c>
      <c r="O508" s="25">
        <f>IF(G508="provision",M508+H508,IF(G508="recoleccion",M508-H508,"No aplica"))</f>
        <v>411000000</v>
      </c>
      <c r="P508" s="26" t="n">
        <v>103586</v>
      </c>
    </row>
    <row r="509">
      <c r="A509" t="inlineStr">
        <is>
          <t>PRAGMA</t>
        </is>
      </c>
      <c r="B509" t="inlineStr">
        <is>
          <t>M1</t>
        </is>
      </c>
      <c r="C509" t="inlineStr">
        <is>
          <t>Cali</t>
        </is>
      </c>
      <c r="D509" t="inlineStr">
        <is>
          <t>4297</t>
        </is>
      </c>
      <c r="E509" t="inlineStr">
        <is>
          <t>TDV</t>
        </is>
      </c>
      <c r="F509" s="23" t="n">
        <v>46269</v>
      </c>
      <c r="G509" t="inlineStr">
        <is>
          <t>provision</t>
        </is>
      </c>
      <c r="H509" s="26" t="n">
        <v>307598329</v>
      </c>
      <c r="I509" t="inlineStr">
        <is>
          <t>bajo</t>
        </is>
      </c>
      <c r="J509" t="inlineStr">
        <is>
          <t>RN-11 y RN-34: provision hasta el cupo operativo antes de bajar del 8 %</t>
        </is>
      </c>
      <c r="K509" t="inlineStr">
        <is>
          <t>Provision en la manana, antes del pagado: con el pronostico, sin provision el saldo bajaria del 8 % del cupo ese dia. Lleva el saldo de 103.401.671 a 411.000.000 COP (cupo 411.000.000). Equipo administrado por TDV.</t>
        </is>
      </c>
      <c r="L509" s="26" t="n">
        <v>411000000</v>
      </c>
      <c r="M509" s="26" t="n">
        <v>103401671</v>
      </c>
      <c r="N509" s="27">
        <f>IF(ISNUMBER(M509),M509/L509,"No aplica")</f>
        <v>0.25158557420924577</v>
      </c>
      <c r="O509" s="25">
        <f>IF(G509="provision",M509+H509,IF(G509="recoleccion",M509-H509,"No aplica"))</f>
        <v>411000000</v>
      </c>
      <c r="P509" s="26" t="n">
        <v>132692</v>
      </c>
    </row>
    <row r="510">
      <c r="A510" t="inlineStr">
        <is>
          <t>PRAGMA</t>
        </is>
      </c>
      <c r="B510" t="inlineStr">
        <is>
          <t>M1</t>
        </is>
      </c>
      <c r="C510" t="inlineStr">
        <is>
          <t>Cali</t>
        </is>
      </c>
      <c r="D510" t="inlineStr">
        <is>
          <t>4297</t>
        </is>
      </c>
      <c r="E510" t="inlineStr">
        <is>
          <t>TDV</t>
        </is>
      </c>
      <c r="F510" s="23" t="n">
        <v>46271</v>
      </c>
      <c r="G510" t="inlineStr">
        <is>
          <t>provision</t>
        </is>
      </c>
      <c r="H510" s="26" t="n">
        <v>304708668</v>
      </c>
      <c r="I510" t="inlineStr">
        <is>
          <t>bajo</t>
        </is>
      </c>
      <c r="J510" t="inlineStr">
        <is>
          <t>RN-11 y RN-34: provision hasta el cupo operativo antes de bajar del 8 %</t>
        </is>
      </c>
      <c r="K510" t="inlineStr">
        <is>
          <t>Provision en la manana, antes del pagado: con el pronostico, sin provision el saldo bajaria del 8 % del cupo ese dia. Lleva el saldo de 106.291.332 a 411.000.000 COP (cupo 411.000.000). Equipo administrado por TDV.</t>
        </is>
      </c>
      <c r="L510" s="26" t="n">
        <v>411000000</v>
      </c>
      <c r="M510" s="26" t="n">
        <v>106291332</v>
      </c>
      <c r="N510" s="27">
        <f>IF(ISNUMBER(M510),M510/L510,"No aplica")</f>
        <v>0.2586163795620438</v>
      </c>
      <c r="O510" s="25">
        <f>IF(G510="provision",M510+H510,IF(G510="recoleccion",M510-H510,"No aplica"))</f>
        <v>411000000</v>
      </c>
      <c r="P510" s="26" t="n">
        <v>174690</v>
      </c>
    </row>
    <row r="511">
      <c r="A511" t="inlineStr">
        <is>
          <t>PRAGMA</t>
        </is>
      </c>
      <c r="B511" t="inlineStr">
        <is>
          <t>M1</t>
        </is>
      </c>
      <c r="C511" t="inlineStr">
        <is>
          <t>Cali</t>
        </is>
      </c>
      <c r="D511" t="inlineStr">
        <is>
          <t>4297</t>
        </is>
      </c>
      <c r="E511" t="inlineStr">
        <is>
          <t>TDV</t>
        </is>
      </c>
      <c r="F511" s="23" t="n">
        <v>46274</v>
      </c>
      <c r="G511" t="inlineStr">
        <is>
          <t>provision</t>
        </is>
      </c>
      <c r="H511" s="26" t="n">
        <v>332798418</v>
      </c>
      <c r="I511" t="inlineStr">
        <is>
          <t>bajo</t>
        </is>
      </c>
      <c r="J511" t="inlineStr">
        <is>
          <t>RN-11 y RN-34: provision hasta el cupo operativo antes de bajar del 8 %</t>
        </is>
      </c>
      <c r="K511" t="inlineStr">
        <is>
          <t>Provision en la manana, antes del pagado: con el pronostico, sin provision el saldo bajaria del 8 % del cupo ese dia. Lleva el saldo de 78.201.582 a 411.000.000 COP (cupo 411.000.000). Equipo administrado por TDV.</t>
        </is>
      </c>
      <c r="L511" s="26" t="n">
        <v>411000000</v>
      </c>
      <c r="M511" s="26" t="n">
        <v>78201582</v>
      </c>
      <c r="N511" s="27">
        <f>IF(ISNUMBER(M511),M511/L511,"No aplica")</f>
        <v>0.1902714890510949</v>
      </c>
      <c r="O511" s="25">
        <f>IF(G511="provision",M511+H511,IF(G511="recoleccion",M511-H511,"No aplica"))</f>
        <v>411000000</v>
      </c>
      <c r="P511" s="26" t="n">
        <v>141714</v>
      </c>
    </row>
    <row r="512">
      <c r="A512" t="inlineStr">
        <is>
          <t>PRAGMA</t>
        </is>
      </c>
      <c r="B512" t="inlineStr">
        <is>
          <t>M1</t>
        </is>
      </c>
      <c r="C512" t="inlineStr">
        <is>
          <t>Cali</t>
        </is>
      </c>
      <c r="D512" t="inlineStr">
        <is>
          <t>4297</t>
        </is>
      </c>
      <c r="E512" t="inlineStr">
        <is>
          <t>TDV</t>
        </is>
      </c>
      <c r="F512" s="23" t="n">
        <v>46277</v>
      </c>
      <c r="G512" t="inlineStr">
        <is>
          <t>provision</t>
        </is>
      </c>
      <c r="H512" s="26" t="n">
        <v>294658615</v>
      </c>
      <c r="I512" t="inlineStr">
        <is>
          <t>bajo</t>
        </is>
      </c>
      <c r="J512" t="inlineStr">
        <is>
          <t>RN-11 y RN-34: provision hasta el cupo operativo antes de bajar del 8 %</t>
        </is>
      </c>
      <c r="K512" t="inlineStr">
        <is>
          <t>Provision en la manana, antes del pagado: con el pronostico, sin provision el saldo bajaria del 8 % del cupo ese dia. Lleva el saldo de 116.341.385 a 411.000.000 COP (cupo 411.000.000). Equipo administrado por TDV.</t>
        </is>
      </c>
      <c r="L512" s="26" t="n">
        <v>411000000</v>
      </c>
      <c r="M512" s="26" t="n">
        <v>116341385</v>
      </c>
      <c r="N512" s="27">
        <f>IF(ISNUMBER(M512),M512/L512,"No aplica")</f>
        <v>0.28306906326034065</v>
      </c>
      <c r="O512" s="25">
        <f>IF(G512="provision",M512+H512,IF(G512="recoleccion",M512-H512,"No aplica"))</f>
        <v>411000000</v>
      </c>
      <c r="P512" s="26" t="n">
        <v>128060</v>
      </c>
    </row>
    <row r="513">
      <c r="A513" t="inlineStr">
        <is>
          <t>PRAGMA</t>
        </is>
      </c>
      <c r="B513" t="inlineStr">
        <is>
          <t>M1</t>
        </is>
      </c>
      <c r="C513" t="inlineStr">
        <is>
          <t>Cali</t>
        </is>
      </c>
      <c r="D513" t="inlineStr">
        <is>
          <t>4297</t>
        </is>
      </c>
      <c r="E513" t="inlineStr">
        <is>
          <t>TDV</t>
        </is>
      </c>
      <c r="F513" s="23" t="n">
        <v>46280</v>
      </c>
      <c r="G513" t="inlineStr">
        <is>
          <t>provision</t>
        </is>
      </c>
      <c r="H513" s="26" t="n">
        <v>313566377</v>
      </c>
      <c r="I513" t="inlineStr">
        <is>
          <t>bajo</t>
        </is>
      </c>
      <c r="J513" t="inlineStr">
        <is>
          <t>RN-11 y RN-34: provision hasta el cupo operativo antes de bajar del 8 %</t>
        </is>
      </c>
      <c r="K513" t="inlineStr">
        <is>
          <t>Provision en la manana, antes del pagado: con el pronostico, sin provision el saldo bajaria del 8 % del cupo ese dia. Lleva el saldo de 97.433.623 a 411.000.000 COP (cupo 411.000.000). Equipo administrado por TDV.</t>
        </is>
      </c>
      <c r="L513" s="26" t="n">
        <v>411000000</v>
      </c>
      <c r="M513" s="26" t="n">
        <v>97433623</v>
      </c>
      <c r="N513" s="27">
        <f>IF(ISNUMBER(M513),M513/L513,"No aplica")</f>
        <v>0.23706477615571775</v>
      </c>
      <c r="O513" s="25">
        <f>IF(G513="provision",M513+H513,IF(G513="recoleccion",M513-H513,"No aplica"))</f>
        <v>411000000</v>
      </c>
      <c r="P513" s="26" t="n">
        <v>134829</v>
      </c>
    </row>
    <row r="514">
      <c r="A514" t="inlineStr">
        <is>
          <t>PRAGMA</t>
        </is>
      </c>
      <c r="B514" t="inlineStr">
        <is>
          <t>M1</t>
        </is>
      </c>
      <c r="C514" t="inlineStr">
        <is>
          <t>Cali</t>
        </is>
      </c>
      <c r="D514" t="inlineStr">
        <is>
          <t>4312</t>
        </is>
      </c>
      <c r="E514" t="inlineStr">
        <is>
          <t>Sucursal</t>
        </is>
      </c>
      <c r="F514" s="23" t="n">
        <v>46268</v>
      </c>
      <c r="G514" t="inlineStr">
        <is>
          <t>provision</t>
        </is>
      </c>
      <c r="H514" s="26" t="n">
        <v>254726399</v>
      </c>
      <c r="I514" t="inlineStr">
        <is>
          <t>bajo</t>
        </is>
      </c>
      <c r="J514" t="inlineStr">
        <is>
          <t>RN-11 y RN-34: provision hasta el cupo operativo antes de bajar del 8 %</t>
        </is>
      </c>
      <c r="K514" t="inlineStr">
        <is>
          <t>Provision en la manana, antes del pagado: con el pronostico, sin provision el saldo bajaria del 8 % del cupo ese dia. Lleva el saldo de 105.273.601 a 360.000.000 COP (cupo 360.000.000). Equipo administrado por Sucursal. Sin tarifa TDV (administrado por la sucursal): costo 0 declarado.</t>
        </is>
      </c>
      <c r="L514" s="26" t="n">
        <v>360000000</v>
      </c>
      <c r="M514" s="26" t="n">
        <v>105273601</v>
      </c>
      <c r="N514" s="27">
        <f>IF(ISNUMBER(M514),M514/L514,"No aplica")</f>
        <v>0.29242666944444445</v>
      </c>
      <c r="O514" s="25">
        <f>IF(G514="provision",M514+H514,IF(G514="recoleccion",M514-H514,"No aplica"))</f>
        <v>360000000</v>
      </c>
      <c r="P514" s="26" t="n">
        <v>0</v>
      </c>
    </row>
    <row r="515">
      <c r="A515" t="inlineStr">
        <is>
          <t>PRAGMA</t>
        </is>
      </c>
      <c r="B515" t="inlineStr">
        <is>
          <t>M1</t>
        </is>
      </c>
      <c r="C515" t="inlineStr">
        <is>
          <t>Cali</t>
        </is>
      </c>
      <c r="D515" t="inlineStr">
        <is>
          <t>4312</t>
        </is>
      </c>
      <c r="E515" t="inlineStr">
        <is>
          <t>Sucursal</t>
        </is>
      </c>
      <c r="F515" s="23" t="n">
        <v>46271</v>
      </c>
      <c r="G515" t="inlineStr">
        <is>
          <t>provision</t>
        </is>
      </c>
      <c r="H515" s="26" t="n">
        <v>307213601</v>
      </c>
      <c r="I515" t="inlineStr">
        <is>
          <t>bajo</t>
        </is>
      </c>
      <c r="J515" t="inlineStr">
        <is>
          <t>RN-11 y RN-34: provision hasta el cupo operativo antes de bajar del 8 %</t>
        </is>
      </c>
      <c r="K515" t="inlineStr">
        <is>
          <t>Provision en la manana, antes del pagado: con el pronostico, sin provision el saldo bajaria del 8 % del cupo ese dia. Lleva el saldo de 52.786.399 a 360.000.000 COP (cupo 360.000.000). Equipo administrado por Sucursal. Sin tarifa TDV (administrado por la sucursal): costo 0 declarado.</t>
        </is>
      </c>
      <c r="L515" s="26" t="n">
        <v>360000000</v>
      </c>
      <c r="M515" s="26" t="n">
        <v>52786399</v>
      </c>
      <c r="N515" s="27">
        <f>IF(ISNUMBER(M515),M515/L515,"No aplica")</f>
        <v>0.1466288861111111</v>
      </c>
      <c r="O515" s="25">
        <f>IF(G515="provision",M515+H515,IF(G515="recoleccion",M515-H515,"No aplica"))</f>
        <v>360000000</v>
      </c>
      <c r="P515" s="26" t="n">
        <v>0</v>
      </c>
    </row>
    <row r="516">
      <c r="A516" t="inlineStr">
        <is>
          <t>PRAGMA</t>
        </is>
      </c>
      <c r="B516" t="inlineStr">
        <is>
          <t>M1</t>
        </is>
      </c>
      <c r="C516" t="inlineStr">
        <is>
          <t>Cali</t>
        </is>
      </c>
      <c r="D516" t="inlineStr">
        <is>
          <t>4312</t>
        </is>
      </c>
      <c r="E516" t="inlineStr">
        <is>
          <t>Sucursal</t>
        </is>
      </c>
      <c r="F516" s="23" t="n">
        <v>46275</v>
      </c>
      <c r="G516" t="inlineStr">
        <is>
          <t>provision</t>
        </is>
      </c>
      <c r="H516" s="26" t="n">
        <v>309573210</v>
      </c>
      <c r="I516" t="inlineStr">
        <is>
          <t>bajo</t>
        </is>
      </c>
      <c r="J516" t="inlineStr">
        <is>
          <t>RN-11 y RN-34: provision hasta el cupo operativo antes de bajar del 8 %</t>
        </is>
      </c>
      <c r="K516" t="inlineStr">
        <is>
          <t>Provision en la manana, antes del pagado: con el pronostico, sin provision el saldo bajaria del 8 % del cupo ese dia. Lleva el saldo de 50.426.790 a 360.000.000 COP (cupo 360.000.000). Equipo administrado por Sucursal. Sin tarifa TDV (administrado por la sucursal): costo 0 declarado.</t>
        </is>
      </c>
      <c r="L516" s="26" t="n">
        <v>360000000</v>
      </c>
      <c r="M516" s="26" t="n">
        <v>50426790</v>
      </c>
      <c r="N516" s="27">
        <f>IF(ISNUMBER(M516),M516/L516,"No aplica")</f>
        <v>0.14007441666666667</v>
      </c>
      <c r="O516" s="25">
        <f>IF(G516="provision",M516+H516,IF(G516="recoleccion",M516-H516,"No aplica"))</f>
        <v>360000000</v>
      </c>
      <c r="P516" s="26" t="n">
        <v>0</v>
      </c>
    </row>
    <row r="517">
      <c r="A517" t="inlineStr">
        <is>
          <t>PRAGMA</t>
        </is>
      </c>
      <c r="B517" t="inlineStr">
        <is>
          <t>M1</t>
        </is>
      </c>
      <c r="C517" t="inlineStr">
        <is>
          <t>Cali</t>
        </is>
      </c>
      <c r="D517" t="inlineStr">
        <is>
          <t>4312</t>
        </is>
      </c>
      <c r="E517" t="inlineStr">
        <is>
          <t>Sucursal</t>
        </is>
      </c>
      <c r="F517" s="23" t="n">
        <v>46279</v>
      </c>
      <c r="G517" t="inlineStr">
        <is>
          <t>provision</t>
        </is>
      </c>
      <c r="H517" s="26" t="n">
        <v>299115869</v>
      </c>
      <c r="I517" t="inlineStr">
        <is>
          <t>bajo</t>
        </is>
      </c>
      <c r="J517" t="inlineStr">
        <is>
          <t>RN-11 y RN-34: provision hasta el cupo operativo antes de bajar del 8 %</t>
        </is>
      </c>
      <c r="K517" t="inlineStr">
        <is>
          <t>Provision en la manana, antes del pagado: con el pronostico, sin provision el saldo bajaria del 8 % del cupo ese dia. Lleva el saldo de 60.884.131 a 360.000.000 COP (cupo 360.000.000). Equipo administrado por Sucursal. Sin tarifa TDV (administrado por la sucursal): costo 0 declarado.</t>
        </is>
      </c>
      <c r="L517" s="26" t="n">
        <v>360000000</v>
      </c>
      <c r="M517" s="26" t="n">
        <v>60884131</v>
      </c>
      <c r="N517" s="27">
        <f>IF(ISNUMBER(M517),M517/L517,"No aplica")</f>
        <v>0.1691225861111111</v>
      </c>
      <c r="O517" s="25">
        <f>IF(G517="provision",M517+H517,IF(G517="recoleccion",M517-H517,"No aplica"))</f>
        <v>360000000</v>
      </c>
      <c r="P517" s="26" t="n">
        <v>0</v>
      </c>
    </row>
    <row r="518">
      <c r="A518" t="inlineStr">
        <is>
          <t>PRAGMA</t>
        </is>
      </c>
      <c r="B518" t="inlineStr">
        <is>
          <t>M1</t>
        </is>
      </c>
      <c r="C518" t="inlineStr">
        <is>
          <t>Cali</t>
        </is>
      </c>
      <c r="D518" t="inlineStr">
        <is>
          <t>4317</t>
        </is>
      </c>
      <c r="E518" t="inlineStr">
        <is>
          <t>Sucursal</t>
        </is>
      </c>
      <c r="F518" s="23" t="n">
        <v>46268</v>
      </c>
      <c r="G518" t="inlineStr">
        <is>
          <t>provision</t>
        </is>
      </c>
      <c r="H518" s="26" t="n">
        <v>306044125</v>
      </c>
      <c r="I518" t="inlineStr">
        <is>
          <t>bajo</t>
        </is>
      </c>
      <c r="J518" t="inlineStr">
        <is>
          <t>RN-11 y RN-34: provision hasta el cupo operativo antes de bajar del 8 %</t>
        </is>
      </c>
      <c r="K518" t="inlineStr">
        <is>
          <t>Provision en la manana, antes del pagado: con el pronostico, sin provision el saldo bajaria del 8 % del cupo ese dia. Lleva el saldo de 53.955.875 a 360.000.000 COP (cupo 360.000.000). Equipo administrado por Sucursal. Sin tarifa TDV (administrado por la sucursal): costo 0 declarado.</t>
        </is>
      </c>
      <c r="L518" s="26" t="n">
        <v>360000000</v>
      </c>
      <c r="M518" s="26" t="n">
        <v>53955875</v>
      </c>
      <c r="N518" s="27">
        <f>IF(ISNUMBER(M518),M518/L518,"No aplica")</f>
        <v>0.14987743055555555</v>
      </c>
      <c r="O518" s="25">
        <f>IF(G518="provision",M518+H518,IF(G518="recoleccion",M518-H518,"No aplica"))</f>
        <v>360000000</v>
      </c>
      <c r="P518" s="26" t="n">
        <v>0</v>
      </c>
    </row>
    <row r="519">
      <c r="A519" t="inlineStr">
        <is>
          <t>PRAGMA</t>
        </is>
      </c>
      <c r="B519" t="inlineStr">
        <is>
          <t>M1</t>
        </is>
      </c>
      <c r="C519" t="inlineStr">
        <is>
          <t>Cali</t>
        </is>
      </c>
      <c r="D519" t="inlineStr">
        <is>
          <t>4317</t>
        </is>
      </c>
      <c r="E519" t="inlineStr">
        <is>
          <t>Sucursal</t>
        </is>
      </c>
      <c r="F519" s="23" t="n">
        <v>46270</v>
      </c>
      <c r="G519" t="inlineStr">
        <is>
          <t>provision</t>
        </is>
      </c>
      <c r="H519" s="26" t="n">
        <v>250335453</v>
      </c>
      <c r="I519" t="inlineStr">
        <is>
          <t>bajo</t>
        </is>
      </c>
      <c r="J519" t="inlineStr">
        <is>
          <t>RN-11 y RN-34: provision hasta el cupo operativo antes de bajar del 8 %</t>
        </is>
      </c>
      <c r="K519" t="inlineStr">
        <is>
          <t>Provision en la manana, antes del pagado: con el pronostico, sin provision el saldo bajaria del 8 % del cupo ese dia. Lleva el saldo de 109.664.547 a 360.000.000 COP (cupo 360.000.000). Equipo administrado por Sucursal. Sin tarifa TDV (administrado por la sucursal): costo 0 declarado.</t>
        </is>
      </c>
      <c r="L519" s="26" t="n">
        <v>360000000</v>
      </c>
      <c r="M519" s="26" t="n">
        <v>109664547</v>
      </c>
      <c r="N519" s="27">
        <f>IF(ISNUMBER(M519),M519/L519,"No aplica")</f>
        <v>0.30462374166666667</v>
      </c>
      <c r="O519" s="25">
        <f>IF(G519="provision",M519+H519,IF(G519="recoleccion",M519-H519,"No aplica"))</f>
        <v>360000000</v>
      </c>
      <c r="P519" s="26" t="n">
        <v>0</v>
      </c>
    </row>
    <row r="520">
      <c r="A520" t="inlineStr">
        <is>
          <t>PRAGMA</t>
        </is>
      </c>
      <c r="B520" t="inlineStr">
        <is>
          <t>M1</t>
        </is>
      </c>
      <c r="C520" t="inlineStr">
        <is>
          <t>Cali</t>
        </is>
      </c>
      <c r="D520" t="inlineStr">
        <is>
          <t>4317</t>
        </is>
      </c>
      <c r="E520" t="inlineStr">
        <is>
          <t>Sucursal</t>
        </is>
      </c>
      <c r="F520" s="23" t="n">
        <v>46273</v>
      </c>
      <c r="G520" t="inlineStr">
        <is>
          <t>provision</t>
        </is>
      </c>
      <c r="H520" s="26" t="n">
        <v>323424823</v>
      </c>
      <c r="I520" t="inlineStr">
        <is>
          <t>bajo</t>
        </is>
      </c>
      <c r="J520" t="inlineStr">
        <is>
          <t>RN-11 y RN-34: provision hasta el cupo operativo antes de bajar del 8 %</t>
        </is>
      </c>
      <c r="K520" t="inlineStr">
        <is>
          <t>Provision en la manana, antes del pagado: con el pronostico, sin provision el saldo bajaria del 8 % del cupo ese dia. Lleva el saldo de 36.575.177 a 360.000.000 COP (cupo 360.000.000). Equipo administrado por Sucursal. Sin tarifa TDV (administrado por la sucursal): costo 0 declarado.</t>
        </is>
      </c>
      <c r="L520" s="26" t="n">
        <v>360000000</v>
      </c>
      <c r="M520" s="26" t="n">
        <v>36575177</v>
      </c>
      <c r="N520" s="27">
        <f>IF(ISNUMBER(M520),M520/L520,"No aplica")</f>
        <v>0.10159771388888889</v>
      </c>
      <c r="O520" s="25">
        <f>IF(G520="provision",M520+H520,IF(G520="recoleccion",M520-H520,"No aplica"))</f>
        <v>360000000</v>
      </c>
      <c r="P520" s="26" t="n">
        <v>0</v>
      </c>
    </row>
    <row r="521">
      <c r="A521" t="inlineStr">
        <is>
          <t>PRAGMA</t>
        </is>
      </c>
      <c r="B521" t="inlineStr">
        <is>
          <t>M1</t>
        </is>
      </c>
      <c r="C521" t="inlineStr">
        <is>
          <t>Cali</t>
        </is>
      </c>
      <c r="D521" t="inlineStr">
        <is>
          <t>4317</t>
        </is>
      </c>
      <c r="E521" t="inlineStr">
        <is>
          <t>Sucursal</t>
        </is>
      </c>
      <c r="F521" s="23" t="n">
        <v>46276</v>
      </c>
      <c r="G521" t="inlineStr">
        <is>
          <t>provision</t>
        </is>
      </c>
      <c r="H521" s="26" t="n">
        <v>271819466</v>
      </c>
      <c r="I521" t="inlineStr">
        <is>
          <t>bajo</t>
        </is>
      </c>
      <c r="J521" t="inlineStr">
        <is>
          <t>RN-11 y RN-34: provision hasta el cupo operativo antes de bajar del 8 %</t>
        </is>
      </c>
      <c r="K521" t="inlineStr">
        <is>
          <t>Provision en la manana, antes del pagado: con el pronostico, sin provision el saldo bajaria del 8 % del cupo ese dia. Lleva el saldo de 88.180.534 a 360.000.000 COP (cupo 360.000.000). Equipo administrado por Sucursal. Sin tarifa TDV (administrado por la sucursal): costo 0 declarado.</t>
        </is>
      </c>
      <c r="L521" s="26" t="n">
        <v>360000000</v>
      </c>
      <c r="M521" s="26" t="n">
        <v>88180534</v>
      </c>
      <c r="N521" s="27">
        <f>IF(ISNUMBER(M521),M521/L521,"No aplica")</f>
        <v>0.24494592777777777</v>
      </c>
      <c r="O521" s="25">
        <f>IF(G521="provision",M521+H521,IF(G521="recoleccion",M521-H521,"No aplica"))</f>
        <v>360000000</v>
      </c>
      <c r="P521" s="26" t="n">
        <v>0</v>
      </c>
    </row>
    <row r="522">
      <c r="A522" t="inlineStr">
        <is>
          <t>PRAGMA</t>
        </is>
      </c>
      <c r="B522" t="inlineStr">
        <is>
          <t>M1</t>
        </is>
      </c>
      <c r="C522" t="inlineStr">
        <is>
          <t>Cali</t>
        </is>
      </c>
      <c r="D522" t="inlineStr">
        <is>
          <t>4317</t>
        </is>
      </c>
      <c r="E522" t="inlineStr">
        <is>
          <t>Sucursal</t>
        </is>
      </c>
      <c r="F522" s="23" t="n">
        <v>46279</v>
      </c>
      <c r="G522" t="inlineStr">
        <is>
          <t>provision</t>
        </is>
      </c>
      <c r="H522" s="26" t="n">
        <v>281900600</v>
      </c>
      <c r="I522" t="inlineStr">
        <is>
          <t>bajo</t>
        </is>
      </c>
      <c r="J522" t="inlineStr">
        <is>
          <t>RN-11 y RN-34: provision hasta el cupo operativo antes de bajar del 8 %</t>
        </is>
      </c>
      <c r="K522" t="inlineStr">
        <is>
          <t>Provision en la manana, antes del pagado: con el pronostico, sin provision el saldo bajaria del 8 % del cupo ese dia. Lleva el saldo de 78.099.400 a 360.000.000 COP (cupo 360.000.000). Equipo administrado por Sucursal. Sin tarifa TDV (administrado por la sucursal): costo 0 declarado.</t>
        </is>
      </c>
      <c r="L522" s="26" t="n">
        <v>360000000</v>
      </c>
      <c r="M522" s="26" t="n">
        <v>78099400</v>
      </c>
      <c r="N522" s="27">
        <f>IF(ISNUMBER(M522),M522/L522,"No aplica")</f>
        <v>0.2169427777777778</v>
      </c>
      <c r="O522" s="25">
        <f>IF(G522="provision",M522+H522,IF(G522="recoleccion",M522-H522,"No aplica"))</f>
        <v>360000000</v>
      </c>
      <c r="P522" s="26" t="n">
        <v>0</v>
      </c>
    </row>
    <row r="523">
      <c r="A523" t="inlineStr">
        <is>
          <t>PRAGMA</t>
        </is>
      </c>
      <c r="B523" t="inlineStr">
        <is>
          <t>M1</t>
        </is>
      </c>
      <c r="C523" t="inlineStr">
        <is>
          <t>Cali</t>
        </is>
      </c>
      <c r="D523" t="inlineStr">
        <is>
          <t>4322</t>
        </is>
      </c>
      <c r="E523" t="inlineStr">
        <is>
          <t>TDV</t>
        </is>
      </c>
      <c r="F523" s="23" t="n">
        <v>46268</v>
      </c>
      <c r="G523" t="inlineStr">
        <is>
          <t>provision</t>
        </is>
      </c>
      <c r="H523" s="26" t="n">
        <v>372259033</v>
      </c>
      <c r="I523" t="inlineStr">
        <is>
          <t>bajo</t>
        </is>
      </c>
      <c r="J523" t="inlineStr">
        <is>
          <t>RN-11 y RN-34: provision hasta el cupo operativo antes de bajar del 8 %</t>
        </is>
      </c>
      <c r="K523" t="inlineStr">
        <is>
          <t>Provision en la manana, antes del pagado: con el pronostico, sin provision el saldo bajaria del 8 % del cupo ese dia. Lleva el saldo de 32.740.967 a 405.000.000 COP (cupo 405.000.000). Equipo administrado por TDV.</t>
        </is>
      </c>
      <c r="L523" s="26" t="n">
        <v>405000000</v>
      </c>
      <c r="M523" s="26" t="n">
        <v>32740967</v>
      </c>
      <c r="N523" s="27">
        <f>IF(ISNUMBER(M523),M523/L523,"No aplica")</f>
        <v>0.08084189382716049</v>
      </c>
      <c r="O523" s="25">
        <f>IF(G523="provision",M523+H523,IF(G523="recoleccion",M523-H523,"No aplica"))</f>
        <v>405000000</v>
      </c>
      <c r="P523" s="26" t="n">
        <v>183318</v>
      </c>
    </row>
    <row r="524">
      <c r="A524" t="inlineStr">
        <is>
          <t>PRAGMA</t>
        </is>
      </c>
      <c r="B524" t="inlineStr">
        <is>
          <t>M1</t>
        </is>
      </c>
      <c r="C524" t="inlineStr">
        <is>
          <t>Cali</t>
        </is>
      </c>
      <c r="D524" t="inlineStr">
        <is>
          <t>4322</t>
        </is>
      </c>
      <c r="E524" t="inlineStr">
        <is>
          <t>TDV</t>
        </is>
      </c>
      <c r="F524" s="23" t="n">
        <v>46270</v>
      </c>
      <c r="G524" t="inlineStr">
        <is>
          <t>provision</t>
        </is>
      </c>
      <c r="H524" s="26" t="n">
        <v>302684642</v>
      </c>
      <c r="I524" t="inlineStr">
        <is>
          <t>bajo</t>
        </is>
      </c>
      <c r="J524" t="inlineStr">
        <is>
          <t>RN-11 y RN-34: provision hasta el cupo operativo antes de bajar del 8 %</t>
        </is>
      </c>
      <c r="K524" t="inlineStr">
        <is>
          <t>Provision en la manana, antes del pagado: con el pronostico, sin provision el saldo bajaria del 8 % del cupo ese dia. Lleva el saldo de 102.315.358 a 405.000.000 COP (cupo 405.000.000). Equipo administrado por TDV.</t>
        </is>
      </c>
      <c r="L524" s="26" t="n">
        <v>405000000</v>
      </c>
      <c r="M524" s="26" t="n">
        <v>102315358</v>
      </c>
      <c r="N524" s="27">
        <f>IF(ISNUMBER(M524),M524/L524,"No aplica")</f>
        <v>0.2526305135802469</v>
      </c>
      <c r="O524" s="25">
        <f>IF(G524="provision",M524+H524,IF(G524="recoleccion",M524-H524,"No aplica"))</f>
        <v>405000000</v>
      </c>
      <c r="P524" s="26" t="n">
        <v>152567</v>
      </c>
    </row>
    <row r="525">
      <c r="A525" t="inlineStr">
        <is>
          <t>PRAGMA</t>
        </is>
      </c>
      <c r="B525" t="inlineStr">
        <is>
          <t>M1</t>
        </is>
      </c>
      <c r="C525" t="inlineStr">
        <is>
          <t>Cali</t>
        </is>
      </c>
      <c r="D525" t="inlineStr">
        <is>
          <t>4322</t>
        </is>
      </c>
      <c r="E525" t="inlineStr">
        <is>
          <t>TDV</t>
        </is>
      </c>
      <c r="F525" s="23" t="n">
        <v>46272</v>
      </c>
      <c r="G525" t="inlineStr">
        <is>
          <t>provision</t>
        </is>
      </c>
      <c r="H525" s="26" t="n">
        <v>322580663</v>
      </c>
      <c r="I525" t="inlineStr">
        <is>
          <t>bajo</t>
        </is>
      </c>
      <c r="J525" t="inlineStr">
        <is>
          <t>RN-11 y RN-34: provision hasta el cupo operativo antes de bajar del 8 %</t>
        </is>
      </c>
      <c r="K525" t="inlineStr">
        <is>
          <t>Provision en la manana, antes del pagado: con el pronostico, sin provision el saldo bajaria del 8 % del cupo ese dia. Lleva el saldo de 82.419.337 a 405.000.000 COP (cupo 405.000.000). Equipo administrado por TDV.</t>
        </is>
      </c>
      <c r="L525" s="26" t="n">
        <v>405000000</v>
      </c>
      <c r="M525" s="26" t="n">
        <v>82419337</v>
      </c>
      <c r="N525" s="27">
        <f>IF(ISNUMBER(M525),M525/L525,"No aplica")</f>
        <v>0.20350453580246913</v>
      </c>
      <c r="O525" s="25">
        <f>IF(G525="provision",M525+H525,IF(G525="recoleccion",M525-H525,"No aplica"))</f>
        <v>405000000</v>
      </c>
      <c r="P525" s="26" t="n">
        <v>161361</v>
      </c>
    </row>
    <row r="526">
      <c r="A526" t="inlineStr">
        <is>
          <t>PRAGMA</t>
        </is>
      </c>
      <c r="B526" t="inlineStr">
        <is>
          <t>M1</t>
        </is>
      </c>
      <c r="C526" t="inlineStr">
        <is>
          <t>Cali</t>
        </is>
      </c>
      <c r="D526" t="inlineStr">
        <is>
          <t>4322</t>
        </is>
      </c>
      <c r="E526" t="inlineStr">
        <is>
          <t>TDV</t>
        </is>
      </c>
      <c r="F526" s="23" t="n">
        <v>46275</v>
      </c>
      <c r="G526" t="inlineStr">
        <is>
          <t>provision</t>
        </is>
      </c>
      <c r="H526" s="26" t="n">
        <v>333072314</v>
      </c>
      <c r="I526" t="inlineStr">
        <is>
          <t>bajo</t>
        </is>
      </c>
      <c r="J526" t="inlineStr">
        <is>
          <t>RN-11 y RN-34: provision hasta el cupo operativo antes de bajar del 8 %</t>
        </is>
      </c>
      <c r="K526" t="inlineStr">
        <is>
          <t>Provision en la manana, antes del pagado: con el pronostico, sin provision el saldo bajaria del 8 % del cupo ese dia. Lleva el saldo de 71.927.686 a 405.000.000 COP (cupo 405.000.000). Equipo administrado por TDV.</t>
        </is>
      </c>
      <c r="L526" s="26" t="n">
        <v>405000000</v>
      </c>
      <c r="M526" s="26" t="n">
        <v>71927686</v>
      </c>
      <c r="N526" s="27">
        <f>IF(ISNUMBER(M526),M526/L526,"No aplica")</f>
        <v>0.17759922469135803</v>
      </c>
      <c r="O526" s="25">
        <f>IF(G526="provision",M526+H526,IF(G526="recoleccion",M526-H526,"No aplica"))</f>
        <v>405000000</v>
      </c>
      <c r="P526" s="26" t="n">
        <v>165998</v>
      </c>
    </row>
    <row r="527">
      <c r="A527" t="inlineStr">
        <is>
          <t>PRAGMA</t>
        </is>
      </c>
      <c r="B527" t="inlineStr">
        <is>
          <t>M1</t>
        </is>
      </c>
      <c r="C527" t="inlineStr">
        <is>
          <t>Cali</t>
        </is>
      </c>
      <c r="D527" t="inlineStr">
        <is>
          <t>4322</t>
        </is>
      </c>
      <c r="E527" t="inlineStr">
        <is>
          <t>TDV</t>
        </is>
      </c>
      <c r="F527" s="23" t="n">
        <v>46278</v>
      </c>
      <c r="G527" t="inlineStr">
        <is>
          <t>provision</t>
        </is>
      </c>
      <c r="H527" s="26" t="n">
        <v>323091652</v>
      </c>
      <c r="I527" t="inlineStr">
        <is>
          <t>bajo</t>
        </is>
      </c>
      <c r="J527" t="inlineStr">
        <is>
          <t>RN-11 y RN-34: provision hasta el cupo operativo antes de bajar del 8 %</t>
        </is>
      </c>
      <c r="K527" t="inlineStr">
        <is>
          <t>Provision en la manana, antes del pagado: con el pronostico, sin provision el saldo bajaria del 8 % del cupo ese dia. Lleva el saldo de 81.908.348 a 405.000.000 COP (cupo 405.000.000). Equipo administrado por TDV.</t>
        </is>
      </c>
      <c r="L527" s="26" t="n">
        <v>405000000</v>
      </c>
      <c r="M527" s="26" t="n">
        <v>81908348</v>
      </c>
      <c r="N527" s="27">
        <f>IF(ISNUMBER(M527),M527/L527,"No aplica")</f>
        <v>0.20224283456790124</v>
      </c>
      <c r="O527" s="25">
        <f>IF(G527="provision",M527+H527,IF(G527="recoleccion",M527-H527,"No aplica"))</f>
        <v>405000000</v>
      </c>
      <c r="P527" s="26" t="n">
        <v>213785</v>
      </c>
    </row>
    <row r="528">
      <c r="A528" t="inlineStr">
        <is>
          <t>PRAGMA</t>
        </is>
      </c>
      <c r="B528" t="inlineStr">
        <is>
          <t>M1</t>
        </is>
      </c>
      <c r="C528" t="inlineStr">
        <is>
          <t>Cali</t>
        </is>
      </c>
      <c r="D528" t="inlineStr">
        <is>
          <t>4350</t>
        </is>
      </c>
      <c r="E528" t="inlineStr">
        <is>
          <t>TDV</t>
        </is>
      </c>
      <c r="F528" s="23" t="n">
        <v>46268</v>
      </c>
      <c r="G528" t="inlineStr">
        <is>
          <t>provision</t>
        </is>
      </c>
      <c r="H528" s="26" t="n">
        <v>321754450</v>
      </c>
      <c r="I528" t="inlineStr">
        <is>
          <t>bajo</t>
        </is>
      </c>
      <c r="J528" t="inlineStr">
        <is>
          <t>RN-11 y RN-34: provision hasta el cupo operativo antes de bajar del 8 %</t>
        </is>
      </c>
      <c r="K528" t="inlineStr">
        <is>
          <t>Provision en la manana, antes del pagado: con el pronostico, sin provision el saldo bajaria del 8 % del cupo ese dia. Lleva el saldo de 83.245.550 a 405.000.000 COP (cupo 405.000.000). Equipo administrado por TDV.</t>
        </is>
      </c>
      <c r="L528" s="26" t="n">
        <v>405000000</v>
      </c>
      <c r="M528" s="26" t="n">
        <v>83245550</v>
      </c>
      <c r="N528" s="27">
        <f>IF(ISNUMBER(M528),M528/L528,"No aplica")</f>
        <v>0.20554456790123457</v>
      </c>
      <c r="O528" s="25">
        <f>IF(G528="provision",M528+H528,IF(G528="recoleccion",M528-H528,"No aplica"))</f>
        <v>405000000</v>
      </c>
      <c r="P528" s="26" t="n">
        <v>120846</v>
      </c>
    </row>
    <row r="529">
      <c r="A529" t="inlineStr">
        <is>
          <t>PRAGMA</t>
        </is>
      </c>
      <c r="B529" t="inlineStr">
        <is>
          <t>M1</t>
        </is>
      </c>
      <c r="C529" t="inlineStr">
        <is>
          <t>Cali</t>
        </is>
      </c>
      <c r="D529" t="inlineStr">
        <is>
          <t>4350</t>
        </is>
      </c>
      <c r="E529" t="inlineStr">
        <is>
          <t>TDV</t>
        </is>
      </c>
      <c r="F529" s="23" t="n">
        <v>46270</v>
      </c>
      <c r="G529" t="inlineStr">
        <is>
          <t>provision</t>
        </is>
      </c>
      <c r="H529" s="26" t="n">
        <v>261410648</v>
      </c>
      <c r="I529" t="inlineStr">
        <is>
          <t>bajo</t>
        </is>
      </c>
      <c r="J529" t="inlineStr">
        <is>
          <t>RN-11 y RN-34: provision hasta el cupo operativo antes de bajar del 8 %</t>
        </is>
      </c>
      <c r="K529" t="inlineStr">
        <is>
          <t>Provision en la manana, antes del pagado: con el pronostico, sin provision el saldo bajaria del 8 % del cupo ese dia. Lleva el saldo de 143.589.352 a 405.000.000 COP (cupo 405.000.000). Equipo administrado por TDV.</t>
        </is>
      </c>
      <c r="L529" s="26" t="n">
        <v>405000000</v>
      </c>
      <c r="M529" s="26" t="n">
        <v>143589352</v>
      </c>
      <c r="N529" s="27">
        <f>IF(ISNUMBER(M529),M529/L529,"No aplica")</f>
        <v>0.3545416098765432</v>
      </c>
      <c r="O529" s="25">
        <f>IF(G529="provision",M529+H529,IF(G529="recoleccion",M529-H529,"No aplica"))</f>
        <v>405000000</v>
      </c>
      <c r="P529" s="26" t="n">
        <v>101355</v>
      </c>
    </row>
    <row r="530">
      <c r="A530" t="inlineStr">
        <is>
          <t>PRAGMA</t>
        </is>
      </c>
      <c r="B530" t="inlineStr">
        <is>
          <t>M1</t>
        </is>
      </c>
      <c r="C530" t="inlineStr">
        <is>
          <t>Cali</t>
        </is>
      </c>
      <c r="D530" t="inlineStr">
        <is>
          <t>4350</t>
        </is>
      </c>
      <c r="E530" t="inlineStr">
        <is>
          <t>TDV</t>
        </is>
      </c>
      <c r="F530" s="23" t="n">
        <v>46273</v>
      </c>
      <c r="G530" t="inlineStr">
        <is>
          <t>provision</t>
        </is>
      </c>
      <c r="H530" s="26" t="n">
        <v>363899861</v>
      </c>
      <c r="I530" t="inlineStr">
        <is>
          <t>bajo</t>
        </is>
      </c>
      <c r="J530" t="inlineStr">
        <is>
          <t>RN-11 y RN-34: provision hasta el cupo operativo antes de bajar del 8 %</t>
        </is>
      </c>
      <c r="K530" t="inlineStr">
        <is>
          <t>Provision en la manana, antes del pagado: con el pronostico, sin provision el saldo bajaria del 8 % del cupo ese dia. Lleva el saldo de 41.100.139 a 405.000.000 COP (cupo 405.000.000). Equipo administrado por TDV.</t>
        </is>
      </c>
      <c r="L530" s="26" t="n">
        <v>405000000</v>
      </c>
      <c r="M530" s="26" t="n">
        <v>41100139</v>
      </c>
      <c r="N530" s="27">
        <f>IF(ISNUMBER(M530),M530/L530,"No aplica")</f>
        <v>0.10148182469135802</v>
      </c>
      <c r="O530" s="25">
        <f>IF(G530="provision",M530+H530,IF(G530="recoleccion",M530-H530,"No aplica"))</f>
        <v>405000000</v>
      </c>
      <c r="P530" s="26" t="n">
        <v>134459</v>
      </c>
    </row>
    <row r="531">
      <c r="A531" t="inlineStr">
        <is>
          <t>PRAGMA</t>
        </is>
      </c>
      <c r="B531" t="inlineStr">
        <is>
          <t>M1</t>
        </is>
      </c>
      <c r="C531" t="inlineStr">
        <is>
          <t>Cali</t>
        </is>
      </c>
      <c r="D531" t="inlineStr">
        <is>
          <t>4350</t>
        </is>
      </c>
      <c r="E531" t="inlineStr">
        <is>
          <t>TDV</t>
        </is>
      </c>
      <c r="F531" s="23" t="n">
        <v>46276</v>
      </c>
      <c r="G531" t="inlineStr">
        <is>
          <t>provision</t>
        </is>
      </c>
      <c r="H531" s="26" t="n">
        <v>307607965</v>
      </c>
      <c r="I531" t="inlineStr">
        <is>
          <t>bajo</t>
        </is>
      </c>
      <c r="J531" t="inlineStr">
        <is>
          <t>RN-11 y RN-34: provision hasta el cupo operativo antes de bajar del 8 %</t>
        </is>
      </c>
      <c r="K531" t="inlineStr">
        <is>
          <t>Provision en la manana, antes del pagado: con el pronostico, sin provision el saldo bajaria del 8 % del cupo ese dia. Lleva el saldo de 97.392.035 a 405.000.000 COP (cupo 405.000.000). Equipo administrado por TDV.</t>
        </is>
      </c>
      <c r="L531" s="26" t="n">
        <v>405000000</v>
      </c>
      <c r="M531" s="26" t="n">
        <v>97392035</v>
      </c>
      <c r="N531" s="27">
        <f>IF(ISNUMBER(M531),M531/L531,"No aplica")</f>
        <v>0.24047416049382717</v>
      </c>
      <c r="O531" s="25">
        <f>IF(G531="provision",M531+H531,IF(G531="recoleccion",M531-H531,"No aplica"))</f>
        <v>405000000</v>
      </c>
      <c r="P531" s="26" t="n">
        <v>116276</v>
      </c>
    </row>
    <row r="532">
      <c r="A532" t="inlineStr">
        <is>
          <t>PRAGMA</t>
        </is>
      </c>
      <c r="B532" t="inlineStr">
        <is>
          <t>M1</t>
        </is>
      </c>
      <c r="C532" t="inlineStr">
        <is>
          <t>Cali</t>
        </is>
      </c>
      <c r="D532" t="inlineStr">
        <is>
          <t>4350</t>
        </is>
      </c>
      <c r="E532" t="inlineStr">
        <is>
          <t>TDV</t>
        </is>
      </c>
      <c r="F532" s="23" t="n">
        <v>46279</v>
      </c>
      <c r="G532" t="inlineStr">
        <is>
          <t>provision</t>
        </is>
      </c>
      <c r="H532" s="26" t="n">
        <v>311557194</v>
      </c>
      <c r="I532" t="inlineStr">
        <is>
          <t>bajo</t>
        </is>
      </c>
      <c r="J532" t="inlineStr">
        <is>
          <t>RN-11 y RN-34: provision hasta el cupo operativo antes de bajar del 8 %</t>
        </is>
      </c>
      <c r="K532" t="inlineStr">
        <is>
          <t>Provision en la manana, antes del pagado: con el pronostico, sin provision el saldo bajaria del 8 % del cupo ese dia. Lleva el saldo de 93.442.806 a 405.000.000 COP (cupo 405.000.000). Equipo administrado por TDV.</t>
        </is>
      </c>
      <c r="L532" s="26" t="n">
        <v>405000000</v>
      </c>
      <c r="M532" s="26" t="n">
        <v>93442806</v>
      </c>
      <c r="N532" s="27">
        <f>IF(ISNUMBER(M532),M532/L532,"No aplica")</f>
        <v>0.23072297777777778</v>
      </c>
      <c r="O532" s="25">
        <f>IF(G532="provision",M532+H532,IF(G532="recoleccion",M532-H532,"No aplica"))</f>
        <v>405000000</v>
      </c>
      <c r="P532" s="26" t="n">
        <v>117552</v>
      </c>
    </row>
    <row r="533">
      <c r="A533" t="inlineStr">
        <is>
          <t>PRAGMA</t>
        </is>
      </c>
      <c r="B533" t="inlineStr">
        <is>
          <t>M1</t>
        </is>
      </c>
      <c r="C533" t="inlineStr">
        <is>
          <t>Cali</t>
        </is>
      </c>
      <c r="D533" t="inlineStr">
        <is>
          <t>4446</t>
        </is>
      </c>
      <c r="E533" t="inlineStr">
        <is>
          <t>TDV</t>
        </is>
      </c>
      <c r="F533" s="23" t="n">
        <v>46273</v>
      </c>
      <c r="G533" t="inlineStr">
        <is>
          <t>provision</t>
        </is>
      </c>
      <c r="H533" s="26" t="n">
        <v>358794859</v>
      </c>
      <c r="I533" t="inlineStr">
        <is>
          <t>bajo</t>
        </is>
      </c>
      <c r="J533" t="inlineStr">
        <is>
          <t>RN-11 y RN-34: provision hasta el cupo operativo antes de bajar del 8 %</t>
        </is>
      </c>
      <c r="K533" t="inlineStr">
        <is>
          <t>Provision en la manana, antes del pagado: con el pronostico, sin provision el saldo bajaria del 8 % del cupo ese dia. Lleva el saldo de 46.205.141 a 405.000.000 COP (cupo 405.000.000). Equipo administrado por TDV.</t>
        </is>
      </c>
      <c r="L533" s="26" t="n">
        <v>405000000</v>
      </c>
      <c r="M533" s="26" t="n">
        <v>46205141</v>
      </c>
      <c r="N533" s="27">
        <f>IF(ISNUMBER(M533),M533/L533,"No aplica")</f>
        <v>0.11408676790123456</v>
      </c>
      <c r="O533" s="25">
        <f>IF(G533="provision",M533+H533,IF(G533="recoleccion",M533-H533,"No aplica"))</f>
        <v>405000000</v>
      </c>
      <c r="P533" s="26" t="n">
        <v>177367</v>
      </c>
    </row>
    <row r="534">
      <c r="A534" t="inlineStr">
        <is>
          <t>PRAGMA</t>
        </is>
      </c>
      <c r="B534" t="inlineStr">
        <is>
          <t>M1</t>
        </is>
      </c>
      <c r="C534" t="inlineStr">
        <is>
          <t>Cali</t>
        </is>
      </c>
      <c r="D534" t="inlineStr">
        <is>
          <t>4458</t>
        </is>
      </c>
      <c r="E534" t="inlineStr">
        <is>
          <t>TDV</t>
        </is>
      </c>
      <c r="F534" s="23" t="n">
        <v>46268</v>
      </c>
      <c r="G534" t="inlineStr">
        <is>
          <t>provision</t>
        </is>
      </c>
      <c r="H534" s="26" t="n">
        <v>359068667</v>
      </c>
      <c r="I534" t="inlineStr">
        <is>
          <t>bajo</t>
        </is>
      </c>
      <c r="J534" t="inlineStr">
        <is>
          <t>RN-11 y RN-34: provision hasta el cupo operativo antes de bajar del 8 %</t>
        </is>
      </c>
      <c r="K534" t="inlineStr">
        <is>
          <t>Provision en la manana, antes del pagado: con el pronostico, sin provision el saldo bajaria del 8 % del cupo ese dia. Lleva el saldo de 51.931.333 a 411.000.000 COP (cupo 411.000.000). Equipo administrado por TDV.</t>
        </is>
      </c>
      <c r="L534" s="26" t="n">
        <v>411000000</v>
      </c>
      <c r="M534" s="26" t="n">
        <v>51931333</v>
      </c>
      <c r="N534" s="27">
        <f>IF(ISNUMBER(M534),M534/L534,"No aplica")</f>
        <v>0.12635360827250608</v>
      </c>
      <c r="O534" s="25">
        <f>IF(G534="provision",M534+H534,IF(G534="recoleccion",M534-H534,"No aplica"))</f>
        <v>411000000</v>
      </c>
      <c r="P534" s="26" t="n">
        <v>180585</v>
      </c>
    </row>
    <row r="535">
      <c r="A535" t="inlineStr">
        <is>
          <t>PRAGMA</t>
        </is>
      </c>
      <c r="B535" t="inlineStr">
        <is>
          <t>M1</t>
        </is>
      </c>
      <c r="C535" t="inlineStr">
        <is>
          <t>Cali</t>
        </is>
      </c>
      <c r="D535" t="inlineStr">
        <is>
          <t>4458</t>
        </is>
      </c>
      <c r="E535" t="inlineStr">
        <is>
          <t>TDV</t>
        </is>
      </c>
      <c r="F535" s="23" t="n">
        <v>46270</v>
      </c>
      <c r="G535" t="inlineStr">
        <is>
          <t>provision</t>
        </is>
      </c>
      <c r="H535" s="26" t="n">
        <v>253262031</v>
      </c>
      <c r="I535" t="inlineStr">
        <is>
          <t>bajo</t>
        </is>
      </c>
      <c r="J535" t="inlineStr">
        <is>
          <t>RN-11 y RN-34: provision hasta el cupo operativo antes de bajar del 8 %</t>
        </is>
      </c>
      <c r="K535" t="inlineStr">
        <is>
          <t>Provision en la manana, antes del pagado: con el pronostico, sin provision el saldo bajaria del 8 % del cupo ese dia. Lleva el saldo de 157.737.969 a 411.000.000 COP (cupo 411.000.000). Equipo administrado por TDV.</t>
        </is>
      </c>
      <c r="L535" s="26" t="n">
        <v>411000000</v>
      </c>
      <c r="M535" s="26" t="n">
        <v>157737969</v>
      </c>
      <c r="N535" s="27">
        <f>IF(ISNUMBER(M535),M535/L535,"No aplica")</f>
        <v>0.38379067883211676</v>
      </c>
      <c r="O535" s="25">
        <f>IF(G535="provision",M535+H535,IF(G535="recoleccion",M535-H535,"No aplica"))</f>
        <v>411000000</v>
      </c>
      <c r="P535" s="26" t="n">
        <v>132760</v>
      </c>
    </row>
    <row r="536">
      <c r="A536" t="inlineStr">
        <is>
          <t>PRAGMA</t>
        </is>
      </c>
      <c r="B536" t="inlineStr">
        <is>
          <t>M1</t>
        </is>
      </c>
      <c r="C536" t="inlineStr">
        <is>
          <t>Cali</t>
        </is>
      </c>
      <c r="D536" t="inlineStr">
        <is>
          <t>4458</t>
        </is>
      </c>
      <c r="E536" t="inlineStr">
        <is>
          <t>TDV</t>
        </is>
      </c>
      <c r="F536" s="23" t="n">
        <v>46273</v>
      </c>
      <c r="G536" t="inlineStr">
        <is>
          <t>provision</t>
        </is>
      </c>
      <c r="H536" s="26" t="n">
        <v>345546862</v>
      </c>
      <c r="I536" t="inlineStr">
        <is>
          <t>bajo</t>
        </is>
      </c>
      <c r="J536" t="inlineStr">
        <is>
          <t>RN-11 y RN-34: provision hasta el cupo operativo antes de bajar del 8 %</t>
        </is>
      </c>
      <c r="K536" t="inlineStr">
        <is>
          <t>Provision en la manana, antes del pagado: con el pronostico, sin provision el saldo bajaria del 8 % del cupo ese dia. Lleva el saldo de 65.453.138 a 411.000.000 COP (cupo 411.000.000). Equipo administrado por TDV.</t>
        </is>
      </c>
      <c r="L536" s="26" t="n">
        <v>411000000</v>
      </c>
      <c r="M536" s="26" t="n">
        <v>65453138</v>
      </c>
      <c r="N536" s="27">
        <f>IF(ISNUMBER(M536),M536/L536,"No aplica")</f>
        <v>0.15925337712895377</v>
      </c>
      <c r="O536" s="25">
        <f>IF(G536="provision",M536+H536,IF(G536="recoleccion",M536-H536,"No aplica"))</f>
        <v>411000000</v>
      </c>
      <c r="P536" s="26" t="n">
        <v>174473</v>
      </c>
    </row>
    <row r="537">
      <c r="A537" t="inlineStr">
        <is>
          <t>PRAGMA</t>
        </is>
      </c>
      <c r="B537" t="inlineStr">
        <is>
          <t>M1</t>
        </is>
      </c>
      <c r="C537" t="inlineStr">
        <is>
          <t>Cali</t>
        </is>
      </c>
      <c r="D537" t="inlineStr">
        <is>
          <t>4458</t>
        </is>
      </c>
      <c r="E537" t="inlineStr">
        <is>
          <t>TDV</t>
        </is>
      </c>
      <c r="F537" s="23" t="n">
        <v>46277</v>
      </c>
      <c r="G537" t="inlineStr">
        <is>
          <t>provision</t>
        </is>
      </c>
      <c r="H537" s="26" t="n">
        <v>339592572</v>
      </c>
      <c r="I537" t="inlineStr">
        <is>
          <t>bajo</t>
        </is>
      </c>
      <c r="J537" t="inlineStr">
        <is>
          <t>RN-11 y RN-34: provision hasta el cupo operativo antes de bajar del 8 %</t>
        </is>
      </c>
      <c r="K537" t="inlineStr">
        <is>
          <t>Provision en la manana, antes del pagado: con el pronostico, sin provision el saldo bajaria del 8 % del cupo ese dia. Lleva el saldo de 71.407.428 a 411.000.000 COP (cupo 411.000.000). Equipo administrado por TDV.</t>
        </is>
      </c>
      <c r="L537" s="26" t="n">
        <v>411000000</v>
      </c>
      <c r="M537" s="26" t="n">
        <v>71407428</v>
      </c>
      <c r="N537" s="27">
        <f>IF(ISNUMBER(M537),M537/L537,"No aplica")</f>
        <v>0.173740700729927</v>
      </c>
      <c r="O537" s="25">
        <f>IF(G537="provision",M537+H537,IF(G537="recoleccion",M537-H537,"No aplica"))</f>
        <v>411000000</v>
      </c>
      <c r="P537" s="26" t="n">
        <v>171782</v>
      </c>
    </row>
    <row r="538">
      <c r="A538" t="inlineStr">
        <is>
          <t>PRAGMA</t>
        </is>
      </c>
      <c r="B538" t="inlineStr">
        <is>
          <t>M1</t>
        </is>
      </c>
      <c r="C538" t="inlineStr">
        <is>
          <t>Cali</t>
        </is>
      </c>
      <c r="D538" t="inlineStr">
        <is>
          <t>4458</t>
        </is>
      </c>
      <c r="E538" t="inlineStr">
        <is>
          <t>TDV</t>
        </is>
      </c>
      <c r="F538" s="23" t="n">
        <v>46280</v>
      </c>
      <c r="G538" t="inlineStr">
        <is>
          <t>provision</t>
        </is>
      </c>
      <c r="H538" s="26" t="n">
        <v>272519503</v>
      </c>
      <c r="I538" t="inlineStr">
        <is>
          <t>bajo</t>
        </is>
      </c>
      <c r="J538" t="inlineStr">
        <is>
          <t>RN-11 y RN-34: provision hasta el cupo operativo antes de bajar del 8 %</t>
        </is>
      </c>
      <c r="K538" t="inlineStr">
        <is>
          <t>Provision en la manana, antes del pagado: con el pronostico, sin provision el saldo bajaria del 8 % del cupo ese dia. Lleva el saldo de 138.480.497 a 411.000.000 COP (cupo 411.000.000). Equipo administrado por TDV.</t>
        </is>
      </c>
      <c r="L538" s="26" t="n">
        <v>411000000</v>
      </c>
      <c r="M538" s="26" t="n">
        <v>138480497</v>
      </c>
      <c r="N538" s="27">
        <f>IF(ISNUMBER(M538),M538/L538,"No aplica")</f>
        <v>0.3369355158150852</v>
      </c>
      <c r="O538" s="25">
        <f>IF(G538="provision",M538+H538,IF(G538="recoleccion",M538-H538,"No aplica"))</f>
        <v>411000000</v>
      </c>
      <c r="P538" s="26" t="n">
        <v>141465</v>
      </c>
    </row>
    <row r="539">
      <c r="A539" t="inlineStr">
        <is>
          <t>PRAGMA</t>
        </is>
      </c>
      <c r="B539" t="inlineStr">
        <is>
          <t>M1</t>
        </is>
      </c>
      <c r="C539" t="inlineStr">
        <is>
          <t>Cali</t>
        </is>
      </c>
      <c r="D539" t="inlineStr">
        <is>
          <t>4469</t>
        </is>
      </c>
      <c r="E539" t="inlineStr">
        <is>
          <t>TDV</t>
        </is>
      </c>
      <c r="F539" s="23" t="n">
        <v>46267</v>
      </c>
      <c r="G539" t="inlineStr">
        <is>
          <t>provision</t>
        </is>
      </c>
      <c r="H539" s="26" t="n">
        <v>247755393</v>
      </c>
      <c r="I539" t="inlineStr">
        <is>
          <t>bajo</t>
        </is>
      </c>
      <c r="J539" t="inlineStr">
        <is>
          <t>RN-11 y RN-34: provision hasta el cupo operativo antes de bajar del 8 %</t>
        </is>
      </c>
      <c r="K539" t="inlineStr">
        <is>
          <t>Provision en la manana, antes del pagado: con el pronostico, sin provision el saldo bajaria del 8 % del cupo ese dia. Lleva el saldo de 157.244.607 a 405.000.000 COP (cupo 405.000.000). Equipo administrado por TDV.</t>
        </is>
      </c>
      <c r="L539" s="26" t="n">
        <v>405000000</v>
      </c>
      <c r="M539" s="26" t="n">
        <v>157244607</v>
      </c>
      <c r="N539" s="27">
        <f>IF(ISNUMBER(M539),M539/L539,"No aplica")</f>
        <v>0.3882582888888889</v>
      </c>
      <c r="O539" s="25">
        <f>IF(G539="provision",M539+H539,IF(G539="recoleccion",M539-H539,"No aplica"))</f>
        <v>405000000</v>
      </c>
      <c r="P539" s="26" t="n">
        <v>112295</v>
      </c>
    </row>
    <row r="540">
      <c r="A540" t="inlineStr">
        <is>
          <t>PRAGMA</t>
        </is>
      </c>
      <c r="B540" t="inlineStr">
        <is>
          <t>M1</t>
        </is>
      </c>
      <c r="C540" t="inlineStr">
        <is>
          <t>Cali</t>
        </is>
      </c>
      <c r="D540" t="inlineStr">
        <is>
          <t>4469</t>
        </is>
      </c>
      <c r="E540" t="inlineStr">
        <is>
          <t>TDV</t>
        </is>
      </c>
      <c r="F540" s="23" t="n">
        <v>46269</v>
      </c>
      <c r="G540" t="inlineStr">
        <is>
          <t>provision</t>
        </is>
      </c>
      <c r="H540" s="26" t="n">
        <v>332030381</v>
      </c>
      <c r="I540" t="inlineStr">
        <is>
          <t>bajo</t>
        </is>
      </c>
      <c r="J540" t="inlineStr">
        <is>
          <t>RN-11 y RN-34: provision hasta el cupo operativo antes de bajar del 8 %</t>
        </is>
      </c>
      <c r="K540" t="inlineStr">
        <is>
          <t>Provision en la manana, antes del pagado: con el pronostico, sin provision el saldo bajaria del 8 % del cupo ese dia. Lleva el saldo de 72.969.619 a 405.000.000 COP (cupo 405.000.000). Equipo administrado por TDV.</t>
        </is>
      </c>
      <c r="L540" s="26" t="n">
        <v>405000000</v>
      </c>
      <c r="M540" s="26" t="n">
        <v>72969619</v>
      </c>
      <c r="N540" s="27">
        <f>IF(ISNUMBER(M540),M540/L540,"No aplica")</f>
        <v>0.1801718987654321</v>
      </c>
      <c r="O540" s="25">
        <f>IF(G540="provision",M540+H540,IF(G540="recoleccion",M540-H540,"No aplica"))</f>
        <v>405000000</v>
      </c>
      <c r="P540" s="26" t="n">
        <v>142466</v>
      </c>
    </row>
    <row r="541">
      <c r="A541" t="inlineStr">
        <is>
          <t>PRAGMA</t>
        </is>
      </c>
      <c r="B541" t="inlineStr">
        <is>
          <t>M1</t>
        </is>
      </c>
      <c r="C541" t="inlineStr">
        <is>
          <t>Cali</t>
        </is>
      </c>
      <c r="D541" t="inlineStr">
        <is>
          <t>4469</t>
        </is>
      </c>
      <c r="E541" t="inlineStr">
        <is>
          <t>TDV</t>
        </is>
      </c>
      <c r="F541" s="23" t="n">
        <v>46270</v>
      </c>
      <c r="G541" t="inlineStr">
        <is>
          <t>provision</t>
        </is>
      </c>
      <c r="H541" s="26" t="n">
        <v>175697972</v>
      </c>
      <c r="I541" t="inlineStr">
        <is>
          <t>bajo</t>
        </is>
      </c>
      <c r="J541" t="inlineStr">
        <is>
          <t>RN-11 y RN-34: provision hasta el cupo operativo antes de bajar del 8 %</t>
        </is>
      </c>
      <c r="K541" t="inlineStr">
        <is>
          <t>Provision en la manana, antes del pagado: con el pronostico, sin provision el saldo bajaria del 8 % del cupo ese dia. Lleva el saldo de 229.302.028 a 405.000.000 COP (cupo 405.000.000). Equipo administrado por TDV.</t>
        </is>
      </c>
      <c r="L541" s="26" t="n">
        <v>405000000</v>
      </c>
      <c r="M541" s="26" t="n">
        <v>229302028</v>
      </c>
      <c r="N541" s="27">
        <f>IF(ISNUMBER(M541),M541/L541,"No aplica")</f>
        <v>0.5661778469135802</v>
      </c>
      <c r="O541" s="25">
        <f>IF(G541="provision",M541+H541,IF(G541="recoleccion",M541-H541,"No aplica"))</f>
        <v>405000000</v>
      </c>
      <c r="P541" s="26" t="n">
        <v>86499</v>
      </c>
    </row>
    <row r="542">
      <c r="A542" t="inlineStr">
        <is>
          <t>PRAGMA</t>
        </is>
      </c>
      <c r="B542" t="inlineStr">
        <is>
          <t>M1</t>
        </is>
      </c>
      <c r="C542" t="inlineStr">
        <is>
          <t>Cali</t>
        </is>
      </c>
      <c r="D542" t="inlineStr">
        <is>
          <t>4469</t>
        </is>
      </c>
      <c r="E542" t="inlineStr">
        <is>
          <t>TDV</t>
        </is>
      </c>
      <c r="F542" s="23" t="n">
        <v>46271</v>
      </c>
      <c r="G542" t="inlineStr">
        <is>
          <t>provision</t>
        </is>
      </c>
      <c r="H542" s="26" t="n">
        <v>210248841</v>
      </c>
      <c r="I542" t="inlineStr">
        <is>
          <t>bajo</t>
        </is>
      </c>
      <c r="J542" t="inlineStr">
        <is>
          <t>RN-11 y RN-34: provision hasta el cupo operativo antes de bajar del 8 %</t>
        </is>
      </c>
      <c r="K542" t="inlineStr">
        <is>
          <t>Provision en la manana, antes del pagado: con el pronostico, sin provision el saldo bajaria del 8 % del cupo ese dia. Lleva el saldo de 194.751.159 a 405.000.000 COP (cupo 405.000.000). Equipo administrado por TDV.</t>
        </is>
      </c>
      <c r="L542" s="26" t="n">
        <v>405000000</v>
      </c>
      <c r="M542" s="26" t="n">
        <v>194751159</v>
      </c>
      <c r="N542" s="27">
        <f>IF(ISNUMBER(M542),M542/L542,"No aplica")</f>
        <v>0.48086705925925927</v>
      </c>
      <c r="O542" s="25">
        <f>IF(G542="provision",M542+H542,IF(G542="recoleccion",M542-H542,"No aplica"))</f>
        <v>405000000</v>
      </c>
      <c r="P542" s="26" t="n">
        <v>130968</v>
      </c>
    </row>
    <row r="543">
      <c r="A543" t="inlineStr">
        <is>
          <t>PRAGMA</t>
        </is>
      </c>
      <c r="B543" t="inlineStr">
        <is>
          <t>M1</t>
        </is>
      </c>
      <c r="C543" t="inlineStr">
        <is>
          <t>Cali</t>
        </is>
      </c>
      <c r="D543" t="inlineStr">
        <is>
          <t>4469</t>
        </is>
      </c>
      <c r="E543" t="inlineStr">
        <is>
          <t>TDV</t>
        </is>
      </c>
      <c r="F543" s="23" t="n">
        <v>46273</v>
      </c>
      <c r="G543" t="inlineStr">
        <is>
          <t>provision</t>
        </is>
      </c>
      <c r="H543" s="26" t="n">
        <v>299840007</v>
      </c>
      <c r="I543" t="inlineStr">
        <is>
          <t>bajo</t>
        </is>
      </c>
      <c r="J543" t="inlineStr">
        <is>
          <t>RN-11 y RN-34: provision hasta el cupo operativo antes de bajar del 8 %</t>
        </is>
      </c>
      <c r="K543" t="inlineStr">
        <is>
          <t>Provision en la manana, antes del pagado: con el pronostico, sin provision el saldo bajaria del 8 % del cupo ese dia. Lleva el saldo de 105.159.993 a 405.000.000 COP (cupo 405.000.000). Equipo administrado por TDV.</t>
        </is>
      </c>
      <c r="L543" s="26" t="n">
        <v>405000000</v>
      </c>
      <c r="M543" s="26" t="n">
        <v>105159993</v>
      </c>
      <c r="N543" s="27">
        <f>IF(ISNUMBER(M543),M543/L543,"No aplica")</f>
        <v>0.2596543037037037</v>
      </c>
      <c r="O543" s="25">
        <f>IF(G543="provision",M543+H543,IF(G543="recoleccion",M543-H543,"No aplica"))</f>
        <v>405000000</v>
      </c>
      <c r="P543" s="26" t="n">
        <v>130942</v>
      </c>
    </row>
    <row r="544">
      <c r="A544" t="inlineStr">
        <is>
          <t>PRAGMA</t>
        </is>
      </c>
      <c r="B544" t="inlineStr">
        <is>
          <t>M1</t>
        </is>
      </c>
      <c r="C544" t="inlineStr">
        <is>
          <t>Cali</t>
        </is>
      </c>
      <c r="D544" t="inlineStr">
        <is>
          <t>4469</t>
        </is>
      </c>
      <c r="E544" t="inlineStr">
        <is>
          <t>TDV</t>
        </is>
      </c>
      <c r="F544" s="23" t="n">
        <v>46276</v>
      </c>
      <c r="G544" t="inlineStr">
        <is>
          <t>provision</t>
        </is>
      </c>
      <c r="H544" s="26" t="n">
        <v>349912354</v>
      </c>
      <c r="I544" t="inlineStr">
        <is>
          <t>bajo</t>
        </is>
      </c>
      <c r="J544" t="inlineStr">
        <is>
          <t>RN-11 y RN-34: provision hasta el cupo operativo antes de bajar del 8 %</t>
        </is>
      </c>
      <c r="K544" t="inlineStr">
        <is>
          <t>Provision en la manana, antes del pagado: con el pronostico, sin provision el saldo bajaria del 8 % del cupo ese dia. Lleva el saldo de 55.087.646 a 405.000.000 COP (cupo 405.000.000). Equipo administrado por TDV.</t>
        </is>
      </c>
      <c r="L544" s="26" t="n">
        <v>405000000</v>
      </c>
      <c r="M544" s="26" t="n">
        <v>55087646</v>
      </c>
      <c r="N544" s="27">
        <f>IF(ISNUMBER(M544),M544/L544,"No aplica")</f>
        <v>0.1360188790123457</v>
      </c>
      <c r="O544" s="25">
        <f>IF(G544="provision",M544+H544,IF(G544="recoleccion",M544-H544,"No aplica"))</f>
        <v>405000000</v>
      </c>
      <c r="P544" s="26" t="n">
        <v>148868</v>
      </c>
    </row>
    <row r="545">
      <c r="A545" t="inlineStr">
        <is>
          <t>PRAGMA</t>
        </is>
      </c>
      <c r="B545" t="inlineStr">
        <is>
          <t>M1</t>
        </is>
      </c>
      <c r="C545" t="inlineStr">
        <is>
          <t>Cali</t>
        </is>
      </c>
      <c r="D545" t="inlineStr">
        <is>
          <t>4469</t>
        </is>
      </c>
      <c r="E545" t="inlineStr">
        <is>
          <t>TDV</t>
        </is>
      </c>
      <c r="F545" s="23" t="n">
        <v>46278</v>
      </c>
      <c r="G545" t="inlineStr">
        <is>
          <t>provision</t>
        </is>
      </c>
      <c r="H545" s="26" t="n">
        <v>297421419</v>
      </c>
      <c r="I545" t="inlineStr">
        <is>
          <t>bajo</t>
        </is>
      </c>
      <c r="J545" t="inlineStr">
        <is>
          <t>RN-11 y RN-34: provision hasta el cupo operativo antes de bajar del 8 %</t>
        </is>
      </c>
      <c r="K545" t="inlineStr">
        <is>
          <t>Provision en la manana, antes del pagado: con el pronostico, sin provision el saldo bajaria del 8 % del cupo ese dia. Lleva el saldo de 107.578.581 a 405.000.000 COP (cupo 405.000.000). Equipo administrado por TDV.</t>
        </is>
      </c>
      <c r="L545" s="26" t="n">
        <v>405000000</v>
      </c>
      <c r="M545" s="26" t="n">
        <v>107578581</v>
      </c>
      <c r="N545" s="27">
        <f>IF(ISNUMBER(M545),M545/L545,"No aplica")</f>
        <v>0.26562612592592594</v>
      </c>
      <c r="O545" s="25">
        <f>IF(G545="provision",M545+H545,IF(G545="recoleccion",M545-H545,"No aplica"))</f>
        <v>405000000</v>
      </c>
      <c r="P545" s="26" t="n">
        <v>172549</v>
      </c>
    </row>
    <row r="546">
      <c r="A546" t="inlineStr">
        <is>
          <t>PRAGMA</t>
        </is>
      </c>
      <c r="B546" t="inlineStr">
        <is>
          <t>M1</t>
        </is>
      </c>
      <c r="C546" t="inlineStr">
        <is>
          <t>Cali</t>
        </is>
      </c>
      <c r="D546" t="inlineStr">
        <is>
          <t>4469</t>
        </is>
      </c>
      <c r="E546" t="inlineStr">
        <is>
          <t>TDV</t>
        </is>
      </c>
      <c r="F546" s="23" t="n">
        <v>46280</v>
      </c>
      <c r="G546" t="inlineStr">
        <is>
          <t>provision</t>
        </is>
      </c>
      <c r="H546" s="26" t="n">
        <v>262702611</v>
      </c>
      <c r="I546" t="inlineStr">
        <is>
          <t>bajo</t>
        </is>
      </c>
      <c r="J546" t="inlineStr">
        <is>
          <t>RN-11 y RN-34: provision hasta el cupo operativo antes de bajar del 8 %</t>
        </is>
      </c>
      <c r="K546" t="inlineStr">
        <is>
          <t>Provision en la manana, antes del pagado: con el pronostico, sin provision el saldo bajaria del 8 % del cupo ese dia. Lleva el saldo de 142.297.389 a 405.000.000 COP (cupo 405.000.000). Equipo administrado por TDV.</t>
        </is>
      </c>
      <c r="L546" s="26" t="n">
        <v>405000000</v>
      </c>
      <c r="M546" s="26" t="n">
        <v>142297389</v>
      </c>
      <c r="N546" s="27">
        <f>IF(ISNUMBER(M546),M546/L546,"No aplica")</f>
        <v>0.35135157777777776</v>
      </c>
      <c r="O546" s="25">
        <f>IF(G546="provision",M546+H546,IF(G546="recoleccion",M546-H546,"No aplica"))</f>
        <v>405000000</v>
      </c>
      <c r="P546" s="26" t="n">
        <v>117647</v>
      </c>
    </row>
    <row r="547">
      <c r="A547" t="inlineStr">
        <is>
          <t>PRAGMA</t>
        </is>
      </c>
      <c r="B547" t="inlineStr">
        <is>
          <t>M1</t>
        </is>
      </c>
      <c r="C547" t="inlineStr">
        <is>
          <t>Cali</t>
        </is>
      </c>
      <c r="D547" t="inlineStr">
        <is>
          <t>4568</t>
        </is>
      </c>
      <c r="E547" t="inlineStr">
        <is>
          <t>TDV</t>
        </is>
      </c>
      <c r="F547" s="23" t="n">
        <v>46272</v>
      </c>
      <c r="G547" t="inlineStr">
        <is>
          <t>provision</t>
        </is>
      </c>
      <c r="H547" s="26" t="n">
        <v>343808879</v>
      </c>
      <c r="I547" t="inlineStr">
        <is>
          <t>bajo</t>
        </is>
      </c>
      <c r="J547" t="inlineStr">
        <is>
          <t>RN-11 y RN-34: provision hasta el cupo operativo antes de bajar del 8 %</t>
        </is>
      </c>
      <c r="K547" t="inlineStr">
        <is>
          <t>Provision en la manana, antes del pagado: con el pronostico, sin provision el saldo bajaria del 8 % del cupo ese dia. Lleva el saldo de 61.191.121 a 405.000.000 COP (cupo 405.000.000). Equipo administrado por TDV.</t>
        </is>
      </c>
      <c r="L547" s="26" t="n">
        <v>405000000</v>
      </c>
      <c r="M547" s="26" t="n">
        <v>61191121</v>
      </c>
      <c r="N547" s="27">
        <f>IF(ISNUMBER(M547),M547/L547,"No aplica")</f>
        <v>0.151089187654321</v>
      </c>
      <c r="O547" s="25">
        <f>IF(G547="provision",M547+H547,IF(G547="recoleccion",M547-H547,"No aplica"))</f>
        <v>405000000</v>
      </c>
      <c r="P547" s="26" t="n">
        <v>127969</v>
      </c>
    </row>
    <row r="548">
      <c r="A548" t="inlineStr">
        <is>
          <t>PRAGMA</t>
        </is>
      </c>
      <c r="B548" t="inlineStr">
        <is>
          <t>M1</t>
        </is>
      </c>
      <c r="C548" t="inlineStr">
        <is>
          <t>Cali</t>
        </is>
      </c>
      <c r="D548" t="inlineStr">
        <is>
          <t>4568</t>
        </is>
      </c>
      <c r="E548" t="inlineStr">
        <is>
          <t>TDV</t>
        </is>
      </c>
      <c r="F548" s="23" t="n">
        <v>46280</v>
      </c>
      <c r="G548" t="inlineStr">
        <is>
          <t>provision</t>
        </is>
      </c>
      <c r="H548" s="26" t="n">
        <v>348526520</v>
      </c>
      <c r="I548" t="inlineStr">
        <is>
          <t>bajo</t>
        </is>
      </c>
      <c r="J548" t="inlineStr">
        <is>
          <t>RN-11 y RN-34: provision hasta el cupo operativo antes de bajar del 8 %</t>
        </is>
      </c>
      <c r="K548" t="inlineStr">
        <is>
          <t>Provision en la manana, antes del pagado: con el pronostico, sin provision el saldo bajaria del 8 % del cupo ese dia. Lleva el saldo de 56.473.480 a 405.000.000 COP (cupo 405.000.000). Equipo administrado por TDV.</t>
        </is>
      </c>
      <c r="L548" s="26" t="n">
        <v>405000000</v>
      </c>
      <c r="M548" s="26" t="n">
        <v>56473480</v>
      </c>
      <c r="N548" s="27">
        <f>IF(ISNUMBER(M548),M548/L548,"No aplica")</f>
        <v>0.1394406913580247</v>
      </c>
      <c r="O548" s="25">
        <f>IF(G548="provision",M548+H548,IF(G548="recoleccion",M548-H548,"No aplica"))</f>
        <v>405000000</v>
      </c>
      <c r="P548" s="26" t="n">
        <v>129493</v>
      </c>
    </row>
    <row r="549">
      <c r="A549" t="inlineStr">
        <is>
          <t>PRAGMA</t>
        </is>
      </c>
      <c r="B549" t="inlineStr">
        <is>
          <t>M1</t>
        </is>
      </c>
      <c r="C549" t="inlineStr">
        <is>
          <t>Cali</t>
        </is>
      </c>
      <c r="D549" t="inlineStr">
        <is>
          <t>4599</t>
        </is>
      </c>
      <c r="E549" t="inlineStr">
        <is>
          <t>TDV</t>
        </is>
      </c>
      <c r="F549" s="23" t="n">
        <v>46269</v>
      </c>
      <c r="G549" t="inlineStr">
        <is>
          <t>provision</t>
        </is>
      </c>
      <c r="H549" s="26" t="n">
        <v>302007330</v>
      </c>
      <c r="I549" t="inlineStr">
        <is>
          <t>bajo</t>
        </is>
      </c>
      <c r="J549" t="inlineStr">
        <is>
          <t>RN-11 y RN-34: provision hasta el cupo operativo antes de bajar del 8 %</t>
        </is>
      </c>
      <c r="K549" t="inlineStr">
        <is>
          <t>Provision en la manana, antes del pagado: con el pronostico, sin provision el saldo bajaria del 8 % del cupo ese dia. Lleva el saldo de 108.992.670 a 411.000.000 COP (cupo 411.000.000). Equipo administrado por TDV.</t>
        </is>
      </c>
      <c r="L549" s="26" t="n">
        <v>411000000</v>
      </c>
      <c r="M549" s="26" t="n">
        <v>108992670</v>
      </c>
      <c r="N549" s="27">
        <f>IF(ISNUMBER(M549),M549/L549,"No aplica")</f>
        <v>0.2651889781021898</v>
      </c>
      <c r="O549" s="25">
        <f>IF(G549="provision",M549+H549,IF(G549="recoleccion",M549-H549,"No aplica"))</f>
        <v>411000000</v>
      </c>
      <c r="P549" s="26" t="n">
        <v>131301</v>
      </c>
    </row>
    <row r="550">
      <c r="A550" t="inlineStr">
        <is>
          <t>PRAGMA</t>
        </is>
      </c>
      <c r="B550" t="inlineStr">
        <is>
          <t>M1</t>
        </is>
      </c>
      <c r="C550" t="inlineStr">
        <is>
          <t>Cali</t>
        </is>
      </c>
      <c r="D550" t="inlineStr">
        <is>
          <t>4599</t>
        </is>
      </c>
      <c r="E550" t="inlineStr">
        <is>
          <t>TDV</t>
        </is>
      </c>
      <c r="F550" s="23" t="n">
        <v>46274</v>
      </c>
      <c r="G550" t="inlineStr">
        <is>
          <t>provision</t>
        </is>
      </c>
      <c r="H550" s="26" t="n">
        <v>355315085</v>
      </c>
      <c r="I550" t="inlineStr">
        <is>
          <t>bajo</t>
        </is>
      </c>
      <c r="J550" t="inlineStr">
        <is>
          <t>RN-11 y RN-34: provision hasta el cupo operativo antes de bajar del 8 %</t>
        </is>
      </c>
      <c r="K550" t="inlineStr">
        <is>
          <t>Provision en la manana, antes del pagado: con el pronostico, sin provision el saldo bajaria del 8 % del cupo ese dia. Lleva el saldo de 55.684.915 a 411.000.000 COP (cupo 411.000.000). Equipo administrado por TDV.</t>
        </is>
      </c>
      <c r="L550" s="26" t="n">
        <v>411000000</v>
      </c>
      <c r="M550" s="26" t="n">
        <v>55684915</v>
      </c>
      <c r="N550" s="27">
        <f>IF(ISNUMBER(M550),M550/L550,"No aplica")</f>
        <v>0.1354864111922141</v>
      </c>
      <c r="O550" s="25">
        <f>IF(G550="provision",M550+H550,IF(G550="recoleccion",M550-H550,"No aplica"))</f>
        <v>411000000</v>
      </c>
      <c r="P550" s="26" t="n">
        <v>151344</v>
      </c>
    </row>
    <row r="551">
      <c r="A551" t="inlineStr">
        <is>
          <t>PRAGMA</t>
        </is>
      </c>
      <c r="B551" t="inlineStr">
        <is>
          <t>M1</t>
        </is>
      </c>
      <c r="C551" t="inlineStr">
        <is>
          <t>Cali</t>
        </is>
      </c>
      <c r="D551" t="inlineStr">
        <is>
          <t>4599</t>
        </is>
      </c>
      <c r="E551" t="inlineStr">
        <is>
          <t>TDV</t>
        </is>
      </c>
      <c r="F551" s="23" t="n">
        <v>46280</v>
      </c>
      <c r="G551" t="inlineStr">
        <is>
          <t>provision</t>
        </is>
      </c>
      <c r="H551" s="26" t="n">
        <v>359190652</v>
      </c>
      <c r="I551" t="inlineStr">
        <is>
          <t>bajo</t>
        </is>
      </c>
      <c r="J551" t="inlineStr">
        <is>
          <t>RN-11 y RN-34: provision hasta el cupo operativo antes de bajar del 8 %</t>
        </is>
      </c>
      <c r="K551" t="inlineStr">
        <is>
          <t>Provision en la manana, antes del pagado: con el pronostico, sin provision el saldo bajaria del 8 % del cupo ese dia. Lleva el saldo de 51.809.348 a 411.000.000 COP (cupo 411.000.000). Equipo administrado por TDV.</t>
        </is>
      </c>
      <c r="L551" s="26" t="n">
        <v>411000000</v>
      </c>
      <c r="M551" s="26" t="n">
        <v>51809348</v>
      </c>
      <c r="N551" s="27">
        <f>IF(ISNUMBER(M551),M551/L551,"No aplica")</f>
        <v>0.12605680778588807</v>
      </c>
      <c r="O551" s="25">
        <f>IF(G551="provision",M551+H551,IF(G551="recoleccion",M551-H551,"No aplica"))</f>
        <v>411000000</v>
      </c>
      <c r="P551" s="26" t="n">
        <v>152802</v>
      </c>
    </row>
    <row r="552">
      <c r="A552" t="inlineStr">
        <is>
          <t>PRAGMA</t>
        </is>
      </c>
      <c r="B552" t="inlineStr">
        <is>
          <t>M1</t>
        </is>
      </c>
      <c r="C552" t="inlineStr">
        <is>
          <t>Cali</t>
        </is>
      </c>
      <c r="D552" t="inlineStr">
        <is>
          <t>4602</t>
        </is>
      </c>
      <c r="E552" t="inlineStr">
        <is>
          <t>Sucursal</t>
        </is>
      </c>
      <c r="F552" s="23" t="n">
        <v>46273</v>
      </c>
      <c r="G552" t="inlineStr">
        <is>
          <t>provision</t>
        </is>
      </c>
      <c r="H552" s="26" t="n">
        <v>441663869</v>
      </c>
      <c r="I552" t="inlineStr">
        <is>
          <t>bajo</t>
        </is>
      </c>
      <c r="J552" t="inlineStr">
        <is>
          <t>RN-11 y RN-34: provision hasta el cupo operativo antes de bajar del 8 %</t>
        </is>
      </c>
      <c r="K552" t="inlineStr">
        <is>
          <t>Provision en la manana, antes del pagado: con el pronostico, sin provision el saldo bajaria del 8 % del cupo ese dia. Lleva el saldo de 58.336.131 a 500.000.000 COP (cupo 500.000.000). Equipo administrado por Sucursal. Sin tarifa TDV (administrado por la sucursal): costo 0 declarado.</t>
        </is>
      </c>
      <c r="L552" s="26" t="n">
        <v>500000000</v>
      </c>
      <c r="M552" s="26" t="n">
        <v>58336131</v>
      </c>
      <c r="N552" s="27">
        <f>IF(ISNUMBER(M552),M552/L552,"No aplica")</f>
        <v>0.116672262</v>
      </c>
      <c r="O552" s="25">
        <f>IF(G552="provision",M552+H552,IF(G552="recoleccion",M552-H552,"No aplica"))</f>
        <v>500000000</v>
      </c>
      <c r="P552" s="26" t="n">
        <v>0</v>
      </c>
    </row>
    <row r="553">
      <c r="A553" t="inlineStr">
        <is>
          <t>PRAGMA</t>
        </is>
      </c>
      <c r="B553" t="inlineStr">
        <is>
          <t>M1</t>
        </is>
      </c>
      <c r="C553" t="inlineStr">
        <is>
          <t>Cali</t>
        </is>
      </c>
      <c r="D553" t="inlineStr">
        <is>
          <t>4663</t>
        </is>
      </c>
      <c r="E553" t="inlineStr">
        <is>
          <t>Sucursal</t>
        </is>
      </c>
      <c r="F553" s="23" t="n">
        <v>46269</v>
      </c>
      <c r="G553" t="inlineStr">
        <is>
          <t>provision</t>
        </is>
      </c>
      <c r="H553" s="26" t="n">
        <v>343650687</v>
      </c>
      <c r="I553" t="inlineStr">
        <is>
          <t>bajo</t>
        </is>
      </c>
      <c r="J553" t="inlineStr">
        <is>
          <t>RN-11 y RN-34: provision hasta el cupo operativo antes de bajar del 8 %</t>
        </is>
      </c>
      <c r="K553" t="inlineStr">
        <is>
          <t>Provision en la manana, antes del pagado: con el pronostico, sin provision el saldo bajaria del 8 % del cupo ese dia. Lleva el saldo de 61.349.313 a 405.000.000 COP (cupo 405.000.000). Equipo administrado por Sucursal. Sin tarifa TDV (administrado por la sucursal): costo 0 declarado.</t>
        </is>
      </c>
      <c r="L553" s="26" t="n">
        <v>405000000</v>
      </c>
      <c r="M553" s="26" t="n">
        <v>61349313</v>
      </c>
      <c r="N553" s="27">
        <f>IF(ISNUMBER(M553),M553/L553,"No aplica")</f>
        <v>0.15147978518518518</v>
      </c>
      <c r="O553" s="25">
        <f>IF(G553="provision",M553+H553,IF(G553="recoleccion",M553-H553,"No aplica"))</f>
        <v>405000000</v>
      </c>
      <c r="P553" s="26" t="n">
        <v>0</v>
      </c>
    </row>
    <row r="554">
      <c r="A554" t="inlineStr">
        <is>
          <t>PRAGMA</t>
        </is>
      </c>
      <c r="B554" t="inlineStr">
        <is>
          <t>M1</t>
        </is>
      </c>
      <c r="C554" t="inlineStr">
        <is>
          <t>Cali</t>
        </is>
      </c>
      <c r="D554" t="inlineStr">
        <is>
          <t>4663</t>
        </is>
      </c>
      <c r="E554" t="inlineStr">
        <is>
          <t>Sucursal</t>
        </is>
      </c>
      <c r="F554" s="23" t="n">
        <v>46273</v>
      </c>
      <c r="G554" t="inlineStr">
        <is>
          <t>provision</t>
        </is>
      </c>
      <c r="H554" s="26" t="n">
        <v>332135063</v>
      </c>
      <c r="I554" t="inlineStr">
        <is>
          <t>bajo</t>
        </is>
      </c>
      <c r="J554" t="inlineStr">
        <is>
          <t>RN-11 y RN-34: provision hasta el cupo operativo antes de bajar del 8 %</t>
        </is>
      </c>
      <c r="K554" t="inlineStr">
        <is>
          <t>Provision en la manana, antes del pagado: con el pronostico, sin provision el saldo bajaria del 8 % del cupo ese dia. Lleva el saldo de 72.864.937 a 405.000.000 COP (cupo 405.000.000). Equipo administrado por Sucursal. Sin tarifa TDV (administrado por la sucursal): costo 0 declarado.</t>
        </is>
      </c>
      <c r="L554" s="26" t="n">
        <v>405000000</v>
      </c>
      <c r="M554" s="26" t="n">
        <v>72864937</v>
      </c>
      <c r="N554" s="27">
        <f>IF(ISNUMBER(M554),M554/L554,"No aplica")</f>
        <v>0.17991342469135801</v>
      </c>
      <c r="O554" s="25">
        <f>IF(G554="provision",M554+H554,IF(G554="recoleccion",M554-H554,"No aplica"))</f>
        <v>405000000</v>
      </c>
      <c r="P554" s="26" t="n">
        <v>0</v>
      </c>
    </row>
    <row r="555">
      <c r="A555" t="inlineStr">
        <is>
          <t>PRAGMA</t>
        </is>
      </c>
      <c r="B555" t="inlineStr">
        <is>
          <t>M1</t>
        </is>
      </c>
      <c r="C555" t="inlineStr">
        <is>
          <t>Cali</t>
        </is>
      </c>
      <c r="D555" t="inlineStr">
        <is>
          <t>4663</t>
        </is>
      </c>
      <c r="E555" t="inlineStr">
        <is>
          <t>Sucursal</t>
        </is>
      </c>
      <c r="F555" s="23" t="n">
        <v>46277</v>
      </c>
      <c r="G555" t="inlineStr">
        <is>
          <t>provision</t>
        </is>
      </c>
      <c r="H555" s="26" t="n">
        <v>307563470</v>
      </c>
      <c r="I555" t="inlineStr">
        <is>
          <t>bajo</t>
        </is>
      </c>
      <c r="J555" t="inlineStr">
        <is>
          <t>RN-11 y RN-34: provision hasta el cupo operativo antes de bajar del 8 %</t>
        </is>
      </c>
      <c r="K555" t="inlineStr">
        <is>
          <t>Provision en la manana, antes del pagado: con el pronostico, sin provision el saldo bajaria del 8 % del cupo ese dia. Lleva el saldo de 97.436.530 a 405.000.000 COP (cupo 405.000.000). Equipo administrado por Sucursal. Sin tarifa TDV (administrado por la sucursal): costo 0 declarado.</t>
        </is>
      </c>
      <c r="L555" s="26" t="n">
        <v>405000000</v>
      </c>
      <c r="M555" s="26" t="n">
        <v>97436530</v>
      </c>
      <c r="N555" s="27">
        <f>IF(ISNUMBER(M555),M555/L555,"No aplica")</f>
        <v>0.24058402469135803</v>
      </c>
      <c r="O555" s="25">
        <f>IF(G555="provision",M555+H555,IF(G555="recoleccion",M555-H555,"No aplica"))</f>
        <v>405000000</v>
      </c>
      <c r="P555" s="26" t="n">
        <v>0</v>
      </c>
    </row>
    <row r="556">
      <c r="A556" t="inlineStr">
        <is>
          <t>PRAGMA</t>
        </is>
      </c>
      <c r="B556" t="inlineStr">
        <is>
          <t>M1</t>
        </is>
      </c>
      <c r="C556" t="inlineStr">
        <is>
          <t>Cali</t>
        </is>
      </c>
      <c r="D556" t="inlineStr">
        <is>
          <t>472</t>
        </is>
      </c>
      <c r="E556" t="inlineStr">
        <is>
          <t>Sucursal</t>
        </is>
      </c>
      <c r="F556" s="23" t="n">
        <v>46268</v>
      </c>
      <c r="G556" t="inlineStr">
        <is>
          <t>provision</t>
        </is>
      </c>
      <c r="H556" s="26" t="n">
        <v>379815155</v>
      </c>
      <c r="I556" t="inlineStr">
        <is>
          <t>bajo</t>
        </is>
      </c>
      <c r="J556" t="inlineStr">
        <is>
          <t>RN-11 y RN-34: provision hasta el cupo operativo antes de bajar del 8 %</t>
        </is>
      </c>
      <c r="K556" t="inlineStr">
        <is>
          <t>Provision en la manana, antes del pagado: con el pronostico, sin provision el saldo bajaria del 8 % del cupo ese dia. Lleva el saldo de 70.184.845 a 450.000.000 COP (cupo 450.000.000). Equipo administrado por Sucursal. Sin tarifa TDV (administrado por la sucursal): costo 0 declarado.</t>
        </is>
      </c>
      <c r="L556" s="26" t="n">
        <v>450000000</v>
      </c>
      <c r="M556" s="26" t="n">
        <v>70184845</v>
      </c>
      <c r="N556" s="27">
        <f>IF(ISNUMBER(M556),M556/L556,"No aplica")</f>
        <v>0.15596632222222223</v>
      </c>
      <c r="O556" s="25">
        <f>IF(G556="provision",M556+H556,IF(G556="recoleccion",M556-H556,"No aplica"))</f>
        <v>450000000</v>
      </c>
      <c r="P556" s="26" t="n">
        <v>0</v>
      </c>
    </row>
    <row r="557">
      <c r="A557" t="inlineStr">
        <is>
          <t>PRAGMA</t>
        </is>
      </c>
      <c r="B557" t="inlineStr">
        <is>
          <t>M1</t>
        </is>
      </c>
      <c r="C557" t="inlineStr">
        <is>
          <t>Cali</t>
        </is>
      </c>
      <c r="D557" t="inlineStr">
        <is>
          <t>472</t>
        </is>
      </c>
      <c r="E557" t="inlineStr">
        <is>
          <t>Sucursal</t>
        </is>
      </c>
      <c r="F557" s="23" t="n">
        <v>46270</v>
      </c>
      <c r="G557" t="inlineStr">
        <is>
          <t>provision</t>
        </is>
      </c>
      <c r="H557" s="26" t="n">
        <v>307568587</v>
      </c>
      <c r="I557" t="inlineStr">
        <is>
          <t>bajo</t>
        </is>
      </c>
      <c r="J557" t="inlineStr">
        <is>
          <t>RN-11 y RN-34: provision hasta el cupo operativo antes de bajar del 8 %</t>
        </is>
      </c>
      <c r="K557" t="inlineStr">
        <is>
          <t>Provision en la manana, antes del pagado: con el pronostico, sin provision el saldo bajaria del 8 % del cupo ese dia. Lleva el saldo de 142.431.413 a 450.000.000 COP (cupo 450.000.000). Equipo administrado por Sucursal. Sin tarifa TDV (administrado por la sucursal): costo 0 declarado.</t>
        </is>
      </c>
      <c r="L557" s="26" t="n">
        <v>450000000</v>
      </c>
      <c r="M557" s="26" t="n">
        <v>142431413</v>
      </c>
      <c r="N557" s="27">
        <f>IF(ISNUMBER(M557),M557/L557,"No aplica")</f>
        <v>0.3165142511111111</v>
      </c>
      <c r="O557" s="25">
        <f>IF(G557="provision",M557+H557,IF(G557="recoleccion",M557-H557,"No aplica"))</f>
        <v>450000000</v>
      </c>
      <c r="P557" s="26" t="n">
        <v>0</v>
      </c>
    </row>
    <row r="558">
      <c r="A558" t="inlineStr">
        <is>
          <t>PRAGMA</t>
        </is>
      </c>
      <c r="B558" t="inlineStr">
        <is>
          <t>M1</t>
        </is>
      </c>
      <c r="C558" t="inlineStr">
        <is>
          <t>Cali</t>
        </is>
      </c>
      <c r="D558" t="inlineStr">
        <is>
          <t>472</t>
        </is>
      </c>
      <c r="E558" t="inlineStr">
        <is>
          <t>Sucursal</t>
        </is>
      </c>
      <c r="F558" s="23" t="n">
        <v>46273</v>
      </c>
      <c r="G558" t="inlineStr">
        <is>
          <t>provision</t>
        </is>
      </c>
      <c r="H558" s="26" t="n">
        <v>341834508</v>
      </c>
      <c r="I558" t="inlineStr">
        <is>
          <t>bajo</t>
        </is>
      </c>
      <c r="J558" t="inlineStr">
        <is>
          <t>RN-11 y RN-34: provision hasta el cupo operativo antes de bajar del 8 %</t>
        </is>
      </c>
      <c r="K558" t="inlineStr">
        <is>
          <t>Provision en la manana, antes del pagado: con el pronostico, sin provision el saldo bajaria del 8 % del cupo ese dia. Lleva el saldo de 108.165.492 a 450.000.000 COP (cupo 450.000.000). Equipo administrado por Sucursal. Sin tarifa TDV (administrado por la sucursal): costo 0 declarado.</t>
        </is>
      </c>
      <c r="L558" s="26" t="n">
        <v>450000000</v>
      </c>
      <c r="M558" s="26" t="n">
        <v>108165492</v>
      </c>
      <c r="N558" s="27">
        <f>IF(ISNUMBER(M558),M558/L558,"No aplica")</f>
        <v>0.24036776</v>
      </c>
      <c r="O558" s="25">
        <f>IF(G558="provision",M558+H558,IF(G558="recoleccion",M558-H558,"No aplica"))</f>
        <v>450000000</v>
      </c>
      <c r="P558" s="26" t="n">
        <v>0</v>
      </c>
    </row>
    <row r="559">
      <c r="A559" t="inlineStr">
        <is>
          <t>PRAGMA</t>
        </is>
      </c>
      <c r="B559" t="inlineStr">
        <is>
          <t>M1</t>
        </is>
      </c>
      <c r="C559" t="inlineStr">
        <is>
          <t>Cali</t>
        </is>
      </c>
      <c r="D559" t="inlineStr">
        <is>
          <t>472</t>
        </is>
      </c>
      <c r="E559" t="inlineStr">
        <is>
          <t>Sucursal</t>
        </is>
      </c>
      <c r="F559" s="23" t="n">
        <v>46277</v>
      </c>
      <c r="G559" t="inlineStr">
        <is>
          <t>provision</t>
        </is>
      </c>
      <c r="H559" s="26" t="n">
        <v>396864250</v>
      </c>
      <c r="I559" t="inlineStr">
        <is>
          <t>bajo</t>
        </is>
      </c>
      <c r="J559" t="inlineStr">
        <is>
          <t>RN-11 y RN-34: provision hasta el cupo operativo antes de bajar del 8 %</t>
        </is>
      </c>
      <c r="K559" t="inlineStr">
        <is>
          <t>Provision en la manana, antes del pagado: con el pronostico, sin provision el saldo bajaria del 8 % del cupo ese dia. Lleva el saldo de 53.135.750 a 450.000.000 COP (cupo 450.000.000). Equipo administrado por Sucursal. Sin tarifa TDV (administrado por la sucursal): costo 0 declarado.</t>
        </is>
      </c>
      <c r="L559" s="26" t="n">
        <v>450000000</v>
      </c>
      <c r="M559" s="26" t="n">
        <v>53135750</v>
      </c>
      <c r="N559" s="27">
        <f>IF(ISNUMBER(M559),M559/L559,"No aplica")</f>
        <v>0.11807944444444445</v>
      </c>
      <c r="O559" s="25">
        <f>IF(G559="provision",M559+H559,IF(G559="recoleccion",M559-H559,"No aplica"))</f>
        <v>450000000</v>
      </c>
      <c r="P559" s="26" t="n">
        <v>0</v>
      </c>
    </row>
    <row r="560">
      <c r="A560" t="inlineStr">
        <is>
          <t>PRAGMA</t>
        </is>
      </c>
      <c r="B560" t="inlineStr">
        <is>
          <t>M1</t>
        </is>
      </c>
      <c r="C560" t="inlineStr">
        <is>
          <t>Cali</t>
        </is>
      </c>
      <c r="D560" t="inlineStr">
        <is>
          <t>472</t>
        </is>
      </c>
      <c r="E560" t="inlineStr">
        <is>
          <t>Sucursal</t>
        </is>
      </c>
      <c r="F560" s="23" t="n">
        <v>46280</v>
      </c>
      <c r="G560" t="inlineStr">
        <is>
          <t>provision</t>
        </is>
      </c>
      <c r="H560" s="26" t="n">
        <v>286817955</v>
      </c>
      <c r="I560" t="inlineStr">
        <is>
          <t>bajo</t>
        </is>
      </c>
      <c r="J560" t="inlineStr">
        <is>
          <t>RN-11 y RN-34: provision hasta el cupo operativo antes de bajar del 8 %</t>
        </is>
      </c>
      <c r="K560" t="inlineStr">
        <is>
          <t>Provision en la manana, antes del pagado: con el pronostico, sin provision el saldo bajaria del 8 % del cupo ese dia. Lleva el saldo de 163.182.045 a 450.000.000 COP (cupo 450.000.000). Equipo administrado por Sucursal. Sin tarifa TDV (administrado por la sucursal): costo 0 declarado.</t>
        </is>
      </c>
      <c r="L560" s="26" t="n">
        <v>450000000</v>
      </c>
      <c r="M560" s="26" t="n">
        <v>163182045</v>
      </c>
      <c r="N560" s="27">
        <f>IF(ISNUMBER(M560),M560/L560,"No aplica")</f>
        <v>0.36262676666666666</v>
      </c>
      <c r="O560" s="25">
        <f>IF(G560="provision",M560+H560,IF(G560="recoleccion",M560-H560,"No aplica"))</f>
        <v>450000000</v>
      </c>
      <c r="P560" s="26" t="n">
        <v>0</v>
      </c>
    </row>
    <row r="561">
      <c r="A561" t="inlineStr">
        <is>
          <t>PRAGMA</t>
        </is>
      </c>
      <c r="B561" t="inlineStr">
        <is>
          <t>M1</t>
        </is>
      </c>
      <c r="C561" t="inlineStr">
        <is>
          <t>Cali</t>
        </is>
      </c>
      <c r="D561" t="inlineStr">
        <is>
          <t>4781</t>
        </is>
      </c>
      <c r="E561" t="inlineStr">
        <is>
          <t>TDV</t>
        </is>
      </c>
      <c r="F561" s="23" t="n">
        <v>46267</v>
      </c>
      <c r="G561" t="inlineStr">
        <is>
          <t>provision</t>
        </is>
      </c>
      <c r="H561" s="26" t="n">
        <v>303669729</v>
      </c>
      <c r="I561" t="inlineStr">
        <is>
          <t>bajo</t>
        </is>
      </c>
      <c r="J561" t="inlineStr">
        <is>
          <t>RN-11 y RN-34: provision hasta el cupo operativo antes de bajar del 8 %</t>
        </is>
      </c>
      <c r="K561" t="inlineStr">
        <is>
          <t>Provision en la manana, antes del pagado: con el pronostico, sin provision el saldo bajaria del 8 % del cupo ese dia. Lleva el saldo de 107.330.271 a 411.000.000 COP (cupo 411.000.000). Equipo administrado por TDV.</t>
        </is>
      </c>
      <c r="L561" s="26" t="n">
        <v>411000000</v>
      </c>
      <c r="M561" s="26" t="n">
        <v>107330271</v>
      </c>
      <c r="N561" s="27">
        <f>IF(ISNUMBER(M561),M561/L561,"No aplica")</f>
        <v>0.2611442116788321</v>
      </c>
      <c r="O561" s="25">
        <f>IF(G561="provision",M561+H561,IF(G561="recoleccion",M561-H561,"No aplica"))</f>
        <v>411000000</v>
      </c>
      <c r="P561" s="26" t="n">
        <v>115004</v>
      </c>
    </row>
    <row r="562">
      <c r="A562" t="inlineStr">
        <is>
          <t>PRAGMA</t>
        </is>
      </c>
      <c r="B562" t="inlineStr">
        <is>
          <t>M1</t>
        </is>
      </c>
      <c r="C562" t="inlineStr">
        <is>
          <t>Cali</t>
        </is>
      </c>
      <c r="D562" t="inlineStr">
        <is>
          <t>4781</t>
        </is>
      </c>
      <c r="E562" t="inlineStr">
        <is>
          <t>TDV</t>
        </is>
      </c>
      <c r="F562" s="23" t="n">
        <v>46268</v>
      </c>
      <c r="G562" t="inlineStr">
        <is>
          <t>provision</t>
        </is>
      </c>
      <c r="H562" s="26" t="n">
        <v>238955131</v>
      </c>
      <c r="I562" t="inlineStr">
        <is>
          <t>bajo</t>
        </is>
      </c>
      <c r="J562" t="inlineStr">
        <is>
          <t>RN-11 y RN-34: provision hasta el cupo operativo antes de bajar del 8 %</t>
        </is>
      </c>
      <c r="K562" t="inlineStr">
        <is>
          <t>Provision en la manana, antes del pagado: con el pronostico, sin provision el saldo bajaria del 8 % del cupo ese dia. Lleva el saldo de 172.044.869 a 411.000.000 COP (cupo 411.000.000). Equipo administrado por TDV.</t>
        </is>
      </c>
      <c r="L562" s="26" t="n">
        <v>411000000</v>
      </c>
      <c r="M562" s="26" t="n">
        <v>172044869</v>
      </c>
      <c r="N562" s="27">
        <f>IF(ISNUMBER(M562),M562/L562,"No aplica")</f>
        <v>0.41860065450121653</v>
      </c>
      <c r="O562" s="25">
        <f>IF(G562="provision",M562+H562,IF(G562="recoleccion",M562-H562,"No aplica"))</f>
        <v>411000000</v>
      </c>
      <c r="P562" s="26" t="n">
        <v>94102</v>
      </c>
    </row>
    <row r="563">
      <c r="A563" t="inlineStr">
        <is>
          <t>PRAGMA</t>
        </is>
      </c>
      <c r="B563" t="inlineStr">
        <is>
          <t>M1</t>
        </is>
      </c>
      <c r="C563" t="inlineStr">
        <is>
          <t>Cali</t>
        </is>
      </c>
      <c r="D563" t="inlineStr">
        <is>
          <t>4781</t>
        </is>
      </c>
      <c r="E563" t="inlineStr">
        <is>
          <t>TDV</t>
        </is>
      </c>
      <c r="F563" s="23" t="n">
        <v>46269</v>
      </c>
      <c r="G563" t="inlineStr">
        <is>
          <t>provision</t>
        </is>
      </c>
      <c r="H563" s="26" t="n">
        <v>228111217</v>
      </c>
      <c r="I563" t="inlineStr">
        <is>
          <t>bajo</t>
        </is>
      </c>
      <c r="J563" t="inlineStr">
        <is>
          <t>RN-11 y RN-34: provision hasta el cupo operativo antes de bajar del 8 %</t>
        </is>
      </c>
      <c r="K563" t="inlineStr">
        <is>
          <t>Provision en la manana, antes del pagado: con el pronostico, sin provision el saldo bajaria del 8 % del cupo ese dia. Lleva el saldo de 182.888.783 a 411.000.000 COP (cupo 411.000.000). Equipo administrado por TDV.</t>
        </is>
      </c>
      <c r="L563" s="26" t="n">
        <v>411000000</v>
      </c>
      <c r="M563" s="26" t="n">
        <v>182888783</v>
      </c>
      <c r="N563" s="27">
        <f>IF(ISNUMBER(M563),M563/L563,"No aplica")</f>
        <v>0.44498487347931875</v>
      </c>
      <c r="O563" s="25">
        <f>IF(G563="provision",M563+H563,IF(G563="recoleccion",M563-H563,"No aplica"))</f>
        <v>411000000</v>
      </c>
      <c r="P563" s="26" t="n">
        <v>90599</v>
      </c>
    </row>
    <row r="564">
      <c r="A564" t="inlineStr">
        <is>
          <t>PRAGMA</t>
        </is>
      </c>
      <c r="B564" t="inlineStr">
        <is>
          <t>M1</t>
        </is>
      </c>
      <c r="C564" t="inlineStr">
        <is>
          <t>Cali</t>
        </is>
      </c>
      <c r="D564" t="inlineStr">
        <is>
          <t>4781</t>
        </is>
      </c>
      <c r="E564" t="inlineStr">
        <is>
          <t>TDV</t>
        </is>
      </c>
      <c r="F564" s="23" t="n">
        <v>46270</v>
      </c>
      <c r="G564" t="inlineStr">
        <is>
          <t>provision</t>
        </is>
      </c>
      <c r="H564" s="26" t="n">
        <v>239231815</v>
      </c>
      <c r="I564" t="inlineStr">
        <is>
          <t>bajo</t>
        </is>
      </c>
      <c r="J564" t="inlineStr">
        <is>
          <t>RN-11 y RN-34: provision hasta el cupo operativo antes de bajar del 8 %</t>
        </is>
      </c>
      <c r="K564" t="inlineStr">
        <is>
          <t>Provision en la manana, antes del pagado: con el pronostico, sin provision el saldo bajaria del 8 % del cupo ese dia. Lleva el saldo de 171.768.185 a 411.000.000 COP (cupo 411.000.000). Equipo administrado por TDV.</t>
        </is>
      </c>
      <c r="L564" s="26" t="n">
        <v>411000000</v>
      </c>
      <c r="M564" s="26" t="n">
        <v>171768185</v>
      </c>
      <c r="N564" s="27">
        <f>IF(ISNUMBER(M564),M564/L564,"No aplica")</f>
        <v>0.4179274574209246</v>
      </c>
      <c r="O564" s="25">
        <f>IF(G564="provision",M564+H564,IF(G564="recoleccion",M564-H564,"No aplica"))</f>
        <v>411000000</v>
      </c>
      <c r="P564" s="26" t="n">
        <v>94191</v>
      </c>
    </row>
    <row r="565">
      <c r="A565" t="inlineStr">
        <is>
          <t>PRAGMA</t>
        </is>
      </c>
      <c r="B565" t="inlineStr">
        <is>
          <t>M1</t>
        </is>
      </c>
      <c r="C565" t="inlineStr">
        <is>
          <t>Cali</t>
        </is>
      </c>
      <c r="D565" t="inlineStr">
        <is>
          <t>4781</t>
        </is>
      </c>
      <c r="E565" t="inlineStr">
        <is>
          <t>TDV</t>
        </is>
      </c>
      <c r="F565" s="23" t="n">
        <v>46271</v>
      </c>
      <c r="G565" t="inlineStr">
        <is>
          <t>provision</t>
        </is>
      </c>
      <c r="H565" s="26" t="n">
        <v>255592712</v>
      </c>
      <c r="I565" t="inlineStr">
        <is>
          <t>bajo</t>
        </is>
      </c>
      <c r="J565" t="inlineStr">
        <is>
          <t>RN-11 y RN-34: provision hasta el cupo operativo antes de bajar del 8 %</t>
        </is>
      </c>
      <c r="K565" t="inlineStr">
        <is>
          <t>Provision en la manana, antes del pagado: con el pronostico, sin provision el saldo bajaria del 8 % del cupo ese dia. Lleva el saldo de 155.407.288 a 411.000.000 COP (cupo 411.000.000). Equipo administrado por TDV.</t>
        </is>
      </c>
      <c r="L565" s="26" t="n">
        <v>411000000</v>
      </c>
      <c r="M565" s="26" t="n">
        <v>155407288</v>
      </c>
      <c r="N565" s="27">
        <f>IF(ISNUMBER(M565),M565/L565,"No aplica")</f>
        <v>0.3781199221411192</v>
      </c>
      <c r="O565" s="25">
        <f>IF(G565="provision",M565+H565,IF(G565="recoleccion",M565-H565,"No aplica"))</f>
        <v>411000000</v>
      </c>
      <c r="P565" s="26" t="n">
        <v>129637</v>
      </c>
    </row>
    <row r="566">
      <c r="A566" t="inlineStr">
        <is>
          <t>PRAGMA</t>
        </is>
      </c>
      <c r="B566" t="inlineStr">
        <is>
          <t>M1</t>
        </is>
      </c>
      <c r="C566" t="inlineStr">
        <is>
          <t>Cali</t>
        </is>
      </c>
      <c r="D566" t="inlineStr">
        <is>
          <t>4781</t>
        </is>
      </c>
      <c r="E566" t="inlineStr">
        <is>
          <t>TDV</t>
        </is>
      </c>
      <c r="F566" s="23" t="n">
        <v>46273</v>
      </c>
      <c r="G566" t="inlineStr">
        <is>
          <t>provision</t>
        </is>
      </c>
      <c r="H566" s="26" t="n">
        <v>378013447</v>
      </c>
      <c r="I566" t="inlineStr">
        <is>
          <t>bajo</t>
        </is>
      </c>
      <c r="J566" t="inlineStr">
        <is>
          <t>RN-11 y RN-34: provision hasta el cupo operativo antes de bajar del 8 %</t>
        </is>
      </c>
      <c r="K566" t="inlineStr">
        <is>
          <t>Provision en la manana, antes del pagado: con el pronostico, sin provision el saldo bajaria del 8 % del cupo ese dia. Lleva el saldo de 32.986.553 a 411.000.000 COP (cupo 411.000.000). Equipo administrado por TDV.</t>
        </is>
      </c>
      <c r="L566" s="26" t="n">
        <v>411000000</v>
      </c>
      <c r="M566" s="26" t="n">
        <v>32986553</v>
      </c>
      <c r="N566" s="27">
        <f>IF(ISNUMBER(M566),M566/L566,"No aplica")</f>
        <v>0.08025925304136253</v>
      </c>
      <c r="O566" s="25">
        <f>IF(G566="provision",M566+H566,IF(G566="recoleccion",M566-H566,"No aplica"))</f>
        <v>411000000</v>
      </c>
      <c r="P566" s="26" t="n">
        <v>139017</v>
      </c>
    </row>
    <row r="567">
      <c r="A567" t="inlineStr">
        <is>
          <t>PRAGMA</t>
        </is>
      </c>
      <c r="B567" t="inlineStr">
        <is>
          <t>M1</t>
        </is>
      </c>
      <c r="C567" t="inlineStr">
        <is>
          <t>Cali</t>
        </is>
      </c>
      <c r="D567" t="inlineStr">
        <is>
          <t>4781</t>
        </is>
      </c>
      <c r="E567" t="inlineStr">
        <is>
          <t>TDV</t>
        </is>
      </c>
      <c r="F567" s="23" t="n">
        <v>46275</v>
      </c>
      <c r="G567" t="inlineStr">
        <is>
          <t>provision</t>
        </is>
      </c>
      <c r="H567" s="26" t="n">
        <v>365865019</v>
      </c>
      <c r="I567" t="inlineStr">
        <is>
          <t>bajo</t>
        </is>
      </c>
      <c r="J567" t="inlineStr">
        <is>
          <t>RN-11 y RN-34: provision hasta el cupo operativo antes de bajar del 8 %</t>
        </is>
      </c>
      <c r="K567" t="inlineStr">
        <is>
          <t>Provision en la manana, antes del pagado: con el pronostico, sin provision el saldo bajaria del 8 % del cupo ese dia. Lleva el saldo de 45.134.981 a 411.000.000 COP (cupo 411.000.000). Equipo administrado por TDV.</t>
        </is>
      </c>
      <c r="L567" s="26" t="n">
        <v>411000000</v>
      </c>
      <c r="M567" s="26" t="n">
        <v>45134981</v>
      </c>
      <c r="N567" s="27">
        <f>IF(ISNUMBER(M567),M567/L567,"No aplica")</f>
        <v>0.10981747201946472</v>
      </c>
      <c r="O567" s="25">
        <f>IF(G567="provision",M567+H567,IF(G567="recoleccion",M567-H567,"No aplica"))</f>
        <v>411000000</v>
      </c>
      <c r="P567" s="26" t="n">
        <v>135093</v>
      </c>
    </row>
    <row r="568">
      <c r="A568" t="inlineStr">
        <is>
          <t>PRAGMA</t>
        </is>
      </c>
      <c r="B568" t="inlineStr">
        <is>
          <t>M1</t>
        </is>
      </c>
      <c r="C568" t="inlineStr">
        <is>
          <t>Cali</t>
        </is>
      </c>
      <c r="D568" t="inlineStr">
        <is>
          <t>4781</t>
        </is>
      </c>
      <c r="E568" t="inlineStr">
        <is>
          <t>TDV</t>
        </is>
      </c>
      <c r="F568" s="23" t="n">
        <v>46277</v>
      </c>
      <c r="G568" t="inlineStr">
        <is>
          <t>provision</t>
        </is>
      </c>
      <c r="H568" s="26" t="n">
        <v>365990956</v>
      </c>
      <c r="I568" t="inlineStr">
        <is>
          <t>bajo</t>
        </is>
      </c>
      <c r="J568" t="inlineStr">
        <is>
          <t>RN-11 y RN-34: provision hasta el cupo operativo antes de bajar del 8 %</t>
        </is>
      </c>
      <c r="K568" t="inlineStr">
        <is>
          <t>Provision en la manana, antes del pagado: con el pronostico, sin provision el saldo bajaria del 8 % del cupo ese dia. Lleva el saldo de 45.009.044 a 411.000.000 COP (cupo 411.000.000). Equipo administrado por TDV.</t>
        </is>
      </c>
      <c r="L568" s="26" t="n">
        <v>411000000</v>
      </c>
      <c r="M568" s="26" t="n">
        <v>45009044</v>
      </c>
      <c r="N568" s="27">
        <f>IF(ISNUMBER(M568),M568/L568,"No aplica")</f>
        <v>0.10951105596107057</v>
      </c>
      <c r="O568" s="25">
        <f>IF(G568="provision",M568+H568,IF(G568="recoleccion",M568-H568,"No aplica"))</f>
        <v>411000000</v>
      </c>
      <c r="P568" s="26" t="n">
        <v>135134</v>
      </c>
    </row>
    <row r="569">
      <c r="A569" t="inlineStr">
        <is>
          <t>PRAGMA</t>
        </is>
      </c>
      <c r="B569" t="inlineStr">
        <is>
          <t>M1</t>
        </is>
      </c>
      <c r="C569" t="inlineStr">
        <is>
          <t>Cali</t>
        </is>
      </c>
      <c r="D569" t="inlineStr">
        <is>
          <t>4781</t>
        </is>
      </c>
      <c r="E569" t="inlineStr">
        <is>
          <t>TDV</t>
        </is>
      </c>
      <c r="F569" s="23" t="n">
        <v>46279</v>
      </c>
      <c r="G569" t="inlineStr">
        <is>
          <t>provision</t>
        </is>
      </c>
      <c r="H569" s="26" t="n">
        <v>361507757</v>
      </c>
      <c r="I569" t="inlineStr">
        <is>
          <t>bajo</t>
        </is>
      </c>
      <c r="J569" t="inlineStr">
        <is>
          <t>RN-11 y RN-34: provision hasta el cupo operativo antes de bajar del 8 %</t>
        </is>
      </c>
      <c r="K569" t="inlineStr">
        <is>
          <t>Provision en la manana, antes del pagado: con el pronostico, sin provision el saldo bajaria del 8 % del cupo ese dia. Lleva el saldo de 49.492.243 a 411.000.000 COP (cupo 411.000.000). Equipo administrado por TDV.</t>
        </is>
      </c>
      <c r="L569" s="26" t="n">
        <v>411000000</v>
      </c>
      <c r="M569" s="26" t="n">
        <v>49492243</v>
      </c>
      <c r="N569" s="27">
        <f>IF(ISNUMBER(M569),M569/L569,"No aplica")</f>
        <v>0.12041908272506083</v>
      </c>
      <c r="O569" s="25">
        <f>IF(G569="provision",M569+H569,IF(G569="recoleccion",M569-H569,"No aplica"))</f>
        <v>411000000</v>
      </c>
      <c r="P569" s="26" t="n">
        <v>133686</v>
      </c>
    </row>
    <row r="570">
      <c r="A570" t="inlineStr">
        <is>
          <t>PRAGMA</t>
        </is>
      </c>
      <c r="B570" t="inlineStr">
        <is>
          <t>M1</t>
        </is>
      </c>
      <c r="C570" t="inlineStr">
        <is>
          <t>Cali</t>
        </is>
      </c>
      <c r="D570" t="inlineStr">
        <is>
          <t>4781</t>
        </is>
      </c>
      <c r="E570" t="inlineStr">
        <is>
          <t>TDV</t>
        </is>
      </c>
      <c r="F570" s="23" t="n">
        <v>46280</v>
      </c>
      <c r="G570" t="inlineStr">
        <is>
          <t>provision</t>
        </is>
      </c>
      <c r="H570" s="26" t="n">
        <v>169083513</v>
      </c>
      <c r="I570" t="inlineStr">
        <is>
          <t>bajo</t>
        </is>
      </c>
      <c r="J570" t="inlineStr">
        <is>
          <t>RN-11 y RN-34: provision hasta el cupo operativo antes de bajar del 8 %</t>
        </is>
      </c>
      <c r="K570" t="inlineStr">
        <is>
          <t>Provision en la manana, antes del pagado: con el pronostico, sin provision el saldo bajaria del 8 % del cupo ese dia. Lleva el saldo de 241.916.487 a 411.000.000 COP (cupo 411.000.000). Equipo administrado por TDV.</t>
        </is>
      </c>
      <c r="L570" s="26" t="n">
        <v>411000000</v>
      </c>
      <c r="M570" s="26" t="n">
        <v>241916487</v>
      </c>
      <c r="N570" s="27">
        <f>IF(ISNUMBER(M570),M570/L570,"No aplica")</f>
        <v>0.5886045912408759</v>
      </c>
      <c r="O570" s="25">
        <f>IF(G570="provision",M570+H570,IF(G570="recoleccion",M570-H570,"No aplica"))</f>
        <v>411000000</v>
      </c>
      <c r="P570" s="26" t="n">
        <v>71533</v>
      </c>
    </row>
    <row r="571">
      <c r="A571" t="inlineStr">
        <is>
          <t>PRAGMA</t>
        </is>
      </c>
      <c r="B571" t="inlineStr">
        <is>
          <t>M1</t>
        </is>
      </c>
      <c r="C571" t="inlineStr">
        <is>
          <t>Cali</t>
        </is>
      </c>
      <c r="D571" t="inlineStr">
        <is>
          <t>4802</t>
        </is>
      </c>
      <c r="E571" t="inlineStr">
        <is>
          <t>TDV</t>
        </is>
      </c>
      <c r="F571" s="23" t="n">
        <v>46280</v>
      </c>
      <c r="G571" t="inlineStr">
        <is>
          <t>provision</t>
        </is>
      </c>
      <c r="H571" s="26" t="n">
        <v>436680361</v>
      </c>
      <c r="I571" t="inlineStr">
        <is>
          <t>bajo</t>
        </is>
      </c>
      <c r="J571" t="inlineStr">
        <is>
          <t>RN-11 y RN-34: provision hasta el cupo operativo antes de bajar del 8 %</t>
        </is>
      </c>
      <c r="K571" t="inlineStr">
        <is>
          <t>Provision en la manana, antes del pagado: con el pronostico, sin provision el saldo bajaria del 8 % del cupo ese dia. Lleva el saldo de 63.319.639 a 500.000.000 COP (cupo 500.000.000). Equipo administrado por TDV.</t>
        </is>
      </c>
      <c r="L571" s="26" t="n">
        <v>500000000</v>
      </c>
      <c r="M571" s="26" t="n">
        <v>63319639</v>
      </c>
      <c r="N571" s="27">
        <f>IF(ISNUMBER(M571),M571/L571,"No aplica")</f>
        <v>0.126639278</v>
      </c>
      <c r="O571" s="25">
        <f>IF(G571="provision",M571+H571,IF(G571="recoleccion",M571-H571,"No aplica"))</f>
        <v>500000000</v>
      </c>
      <c r="P571" s="26" t="n">
        <v>216327</v>
      </c>
    </row>
    <row r="572">
      <c r="A572" t="inlineStr">
        <is>
          <t>PRAGMA</t>
        </is>
      </c>
      <c r="B572" t="inlineStr">
        <is>
          <t>M1</t>
        </is>
      </c>
      <c r="C572" t="inlineStr">
        <is>
          <t>Cali</t>
        </is>
      </c>
      <c r="D572" t="inlineStr">
        <is>
          <t>4814</t>
        </is>
      </c>
      <c r="E572" t="inlineStr">
        <is>
          <t>TDV</t>
        </is>
      </c>
      <c r="F572" s="23" t="n">
        <v>46269</v>
      </c>
      <c r="G572" t="inlineStr">
        <is>
          <t>provision</t>
        </is>
      </c>
      <c r="H572" s="26" t="n">
        <v>381576922</v>
      </c>
      <c r="I572" t="inlineStr">
        <is>
          <t>bajo</t>
        </is>
      </c>
      <c r="J572" t="inlineStr">
        <is>
          <t>RN-11 y RN-34: provision hasta el cupo operativo antes de bajar del 8 %</t>
        </is>
      </c>
      <c r="K572" t="inlineStr">
        <is>
          <t>Provision en la manana, antes del pagado: con el pronostico, sin provision el saldo bajaria del 8 % del cupo ese dia. Lleva el saldo de 118.423.078 a 500.000.000 COP (cupo 500.000.000). Equipo administrado por TDV.</t>
        </is>
      </c>
      <c r="L572" s="26" t="n">
        <v>500000000</v>
      </c>
      <c r="M572" s="26" t="n">
        <v>118423078</v>
      </c>
      <c r="N572" s="27">
        <f>IF(ISNUMBER(M572),M572/L572,"No aplica")</f>
        <v>0.236846156</v>
      </c>
      <c r="O572" s="25">
        <f>IF(G572="provision",M572+H572,IF(G572="recoleccion",M572-H572,"No aplica"))</f>
        <v>500000000</v>
      </c>
      <c r="P572" s="26" t="n">
        <v>122401</v>
      </c>
    </row>
    <row r="573">
      <c r="A573" t="inlineStr">
        <is>
          <t>PRAGMA</t>
        </is>
      </c>
      <c r="B573" t="inlineStr">
        <is>
          <t>M1</t>
        </is>
      </c>
      <c r="C573" t="inlineStr">
        <is>
          <t>Cali</t>
        </is>
      </c>
      <c r="D573" t="inlineStr">
        <is>
          <t>4814</t>
        </is>
      </c>
      <c r="E573" t="inlineStr">
        <is>
          <t>TDV</t>
        </is>
      </c>
      <c r="F573" s="23" t="n">
        <v>46274</v>
      </c>
      <c r="G573" t="inlineStr">
        <is>
          <t>provision</t>
        </is>
      </c>
      <c r="H573" s="26" t="n">
        <v>454760095</v>
      </c>
      <c r="I573" t="inlineStr">
        <is>
          <t>bajo</t>
        </is>
      </c>
      <c r="J573" t="inlineStr">
        <is>
          <t>RN-11 y RN-34: provision hasta el cupo operativo antes de bajar del 8 %</t>
        </is>
      </c>
      <c r="K573" t="inlineStr">
        <is>
          <t>Provision en la manana, antes del pagado: con el pronostico, sin provision el saldo bajaria del 8 % del cupo ese dia. Lleva el saldo de 45.239.905 a 500.000.000 COP (cupo 500.000.000). Equipo administrado por TDV.</t>
        </is>
      </c>
      <c r="L573" s="26" t="n">
        <v>500000000</v>
      </c>
      <c r="M573" s="26" t="n">
        <v>45239905</v>
      </c>
      <c r="N573" s="27">
        <f>IF(ISNUMBER(M573),M573/L573,"No aplica")</f>
        <v>0.09047981</v>
      </c>
      <c r="O573" s="25">
        <f>IF(G573="provision",M573+H573,IF(G573="recoleccion",M573-H573,"No aplica"))</f>
        <v>500000000</v>
      </c>
      <c r="P573" s="26" t="n">
        <v>142892</v>
      </c>
    </row>
    <row r="574">
      <c r="A574" t="inlineStr">
        <is>
          <t>PRAGMA</t>
        </is>
      </c>
      <c r="B574" t="inlineStr">
        <is>
          <t>M1</t>
        </is>
      </c>
      <c r="C574" t="inlineStr">
        <is>
          <t>Cali</t>
        </is>
      </c>
      <c r="D574" t="inlineStr">
        <is>
          <t>4814</t>
        </is>
      </c>
      <c r="E574" t="inlineStr">
        <is>
          <t>TDV</t>
        </is>
      </c>
      <c r="F574" s="23" t="n">
        <v>46280</v>
      </c>
      <c r="G574" t="inlineStr">
        <is>
          <t>provision</t>
        </is>
      </c>
      <c r="H574" s="26" t="n">
        <v>423767803</v>
      </c>
      <c r="I574" t="inlineStr">
        <is>
          <t>bajo</t>
        </is>
      </c>
      <c r="J574" t="inlineStr">
        <is>
          <t>RN-11 y RN-34: provision hasta el cupo operativo antes de bajar del 8 %</t>
        </is>
      </c>
      <c r="K574" t="inlineStr">
        <is>
          <t>Provision en la manana, antes del pagado: con el pronostico, sin provision el saldo bajaria del 8 % del cupo ese dia. Lleva el saldo de 76.232.197 a 500.000.000 COP (cupo 500.000.000). Equipo administrado por TDV.</t>
        </is>
      </c>
      <c r="L574" s="26" t="n">
        <v>500000000</v>
      </c>
      <c r="M574" s="26" t="n">
        <v>76232197</v>
      </c>
      <c r="N574" s="27">
        <f>IF(ISNUMBER(M574),M574/L574,"No aplica")</f>
        <v>0.152464394</v>
      </c>
      <c r="O574" s="25">
        <f>IF(G574="provision",M574+H574,IF(G574="recoleccion",M574-H574,"No aplica"))</f>
        <v>500000000</v>
      </c>
      <c r="P574" s="26" t="n">
        <v>134214</v>
      </c>
    </row>
    <row r="575">
      <c r="A575" t="inlineStr">
        <is>
          <t>PRAGMA</t>
        </is>
      </c>
      <c r="B575" t="inlineStr">
        <is>
          <t>M1</t>
        </is>
      </c>
      <c r="C575" t="inlineStr">
        <is>
          <t>Cali</t>
        </is>
      </c>
      <c r="D575" t="inlineStr">
        <is>
          <t>4815</t>
        </is>
      </c>
      <c r="E575" t="inlineStr">
        <is>
          <t>TDV</t>
        </is>
      </c>
      <c r="F575" s="23" t="n">
        <v>46269</v>
      </c>
      <c r="G575" t="inlineStr">
        <is>
          <t>provision</t>
        </is>
      </c>
      <c r="H575" s="26" t="n">
        <v>365634719</v>
      </c>
      <c r="I575" t="inlineStr">
        <is>
          <t>bajo</t>
        </is>
      </c>
      <c r="J575" t="inlineStr">
        <is>
          <t>RN-11 y RN-34: provision hasta el cupo operativo antes de bajar del 8 %</t>
        </is>
      </c>
      <c r="K575" t="inlineStr">
        <is>
          <t>Provision en la manana, antes del pagado: con el pronostico, sin provision el saldo bajaria del 8 % del cupo ese dia. Lleva el saldo de 134.365.281 a 500.000.000 COP (cupo 500.000.000). Equipo administrado por TDV.</t>
        </is>
      </c>
      <c r="L575" s="26" t="n">
        <v>500000000</v>
      </c>
      <c r="M575" s="26" t="n">
        <v>134365281</v>
      </c>
      <c r="N575" s="27">
        <f>IF(ISNUMBER(M575),M575/L575,"No aplica")</f>
        <v>0.268730562</v>
      </c>
      <c r="O575" s="25">
        <f>IF(G575="provision",M575+H575,IF(G575="recoleccion",M575-H575,"No aplica"))</f>
        <v>500000000</v>
      </c>
      <c r="P575" s="26" t="n">
        <v>117937</v>
      </c>
    </row>
    <row r="576">
      <c r="A576" t="inlineStr">
        <is>
          <t>PRAGMA</t>
        </is>
      </c>
      <c r="B576" t="inlineStr">
        <is>
          <t>M1</t>
        </is>
      </c>
      <c r="C576" t="inlineStr">
        <is>
          <t>Cali</t>
        </is>
      </c>
      <c r="D576" t="inlineStr">
        <is>
          <t>4815</t>
        </is>
      </c>
      <c r="E576" t="inlineStr">
        <is>
          <t>TDV</t>
        </is>
      </c>
      <c r="F576" s="23" t="n">
        <v>46274</v>
      </c>
      <c r="G576" t="inlineStr">
        <is>
          <t>provision</t>
        </is>
      </c>
      <c r="H576" s="26" t="n">
        <v>452238436</v>
      </c>
      <c r="I576" t="inlineStr">
        <is>
          <t>bajo</t>
        </is>
      </c>
      <c r="J576" t="inlineStr">
        <is>
          <t>RN-11 y RN-34: provision hasta el cupo operativo antes de bajar del 8 %</t>
        </is>
      </c>
      <c r="K576" t="inlineStr">
        <is>
          <t>Provision en la manana, antes del pagado: con el pronostico, sin provision el saldo bajaria del 8 % del cupo ese dia. Lleva el saldo de 47.761.564 a 500.000.000 COP (cupo 500.000.000). Equipo administrado por TDV.</t>
        </is>
      </c>
      <c r="L576" s="26" t="n">
        <v>500000000</v>
      </c>
      <c r="M576" s="26" t="n">
        <v>47761564</v>
      </c>
      <c r="N576" s="27">
        <f>IF(ISNUMBER(M576),M576/L576,"No aplica")</f>
        <v>0.095523128</v>
      </c>
      <c r="O576" s="25">
        <f>IF(G576="provision",M576+H576,IF(G576="recoleccion",M576-H576,"No aplica"))</f>
        <v>500000000</v>
      </c>
      <c r="P576" s="26" t="n">
        <v>142186</v>
      </c>
    </row>
    <row r="577">
      <c r="A577" t="inlineStr">
        <is>
          <t>PRAGMA</t>
        </is>
      </c>
      <c r="B577" t="inlineStr">
        <is>
          <t>M1</t>
        </is>
      </c>
      <c r="C577" t="inlineStr">
        <is>
          <t>Cali</t>
        </is>
      </c>
      <c r="D577" t="inlineStr">
        <is>
          <t>4815</t>
        </is>
      </c>
      <c r="E577" t="inlineStr">
        <is>
          <t>TDV</t>
        </is>
      </c>
      <c r="F577" s="23" t="n">
        <v>46280</v>
      </c>
      <c r="G577" t="inlineStr">
        <is>
          <t>provision</t>
        </is>
      </c>
      <c r="H577" s="26" t="n">
        <v>445400012</v>
      </c>
      <c r="I577" t="inlineStr">
        <is>
          <t>bajo</t>
        </is>
      </c>
      <c r="J577" t="inlineStr">
        <is>
          <t>RN-11 y RN-34: provision hasta el cupo operativo antes de bajar del 8 %</t>
        </is>
      </c>
      <c r="K577" t="inlineStr">
        <is>
          <t>Provision en la manana, antes del pagado: con el pronostico, sin provision el saldo bajaria del 8 % del cupo ese dia. Lleva el saldo de 54.599.988 a 500.000.000 COP (cupo 500.000.000). Equipo administrado por TDV.</t>
        </is>
      </c>
      <c r="L577" s="26" t="n">
        <v>500000000</v>
      </c>
      <c r="M577" s="26" t="n">
        <v>54599988</v>
      </c>
      <c r="N577" s="27">
        <f>IF(ISNUMBER(M577),M577/L577,"No aplica")</f>
        <v>0.109199976</v>
      </c>
      <c r="O577" s="25">
        <f>IF(G577="provision",M577+H577,IF(G577="recoleccion",M577-H577,"No aplica"))</f>
        <v>500000000</v>
      </c>
      <c r="P577" s="26" t="n">
        <v>140271</v>
      </c>
    </row>
    <row r="578">
      <c r="A578" t="inlineStr">
        <is>
          <t>PRAGMA</t>
        </is>
      </c>
      <c r="B578" t="inlineStr">
        <is>
          <t>M1</t>
        </is>
      </c>
      <c r="C578" t="inlineStr">
        <is>
          <t>Cali</t>
        </is>
      </c>
      <c r="D578" t="inlineStr">
        <is>
          <t>483</t>
        </is>
      </c>
      <c r="E578" t="inlineStr">
        <is>
          <t>TDV</t>
        </is>
      </c>
      <c r="F578" s="23" t="n">
        <v>46266</v>
      </c>
      <c r="G578" t="inlineStr">
        <is>
          <t>sin_accion</t>
        </is>
      </c>
      <c r="H578" s="26" t="n">
        <v>0</v>
      </c>
      <c r="I578" t="inlineStr">
        <is>
          <t>bajo</t>
        </is>
      </c>
      <c r="J578" t="inlineStr">
        <is>
          <t>RN-02: una fila sin_accion</t>
        </is>
      </c>
      <c r="K578" t="inlineStr">
        <is>
          <t>Sin accion en el horizonte: con el pronostico, el saldo se mantiene entre el umbral de agotamiento y el cupo sin necesidad de provision ni recoleccion.</t>
        </is>
      </c>
      <c r="L578" s="26" t="n">
        <v>411000000</v>
      </c>
      <c r="M578" s="26" t="inlineStr">
        <is>
          <t>No aplica</t>
        </is>
      </c>
      <c r="N578" s="27" t="str">
        <f>IF(ISNUMBER(M578),M578/L578,"No aplica")</f>
        <v>No aplica</v>
      </c>
      <c r="O578" s="25" t="str">
        <f>IF(G578="provision",M578+H578,IF(G578="recoleccion",M578-H578,"No aplica"))</f>
        <v>No aplica</v>
      </c>
      <c r="P578" s="26" t="inlineStr">
        <is>
          <t>No aplica</t>
        </is>
      </c>
    </row>
    <row r="579">
      <c r="A579" t="inlineStr">
        <is>
          <t>PRAGMA</t>
        </is>
      </c>
      <c r="B579" t="inlineStr">
        <is>
          <t>M1</t>
        </is>
      </c>
      <c r="C579" t="inlineStr">
        <is>
          <t>Cali</t>
        </is>
      </c>
      <c r="D579" t="inlineStr">
        <is>
          <t>4858</t>
        </is>
      </c>
      <c r="E579" t="inlineStr">
        <is>
          <t>Sucursal</t>
        </is>
      </c>
      <c r="F579" s="23" t="n">
        <v>46266</v>
      </c>
      <c r="G579" t="inlineStr">
        <is>
          <t>sin_accion</t>
        </is>
      </c>
      <c r="H579" s="26" t="n">
        <v>0</v>
      </c>
      <c r="I579" t="inlineStr">
        <is>
          <t>bajo</t>
        </is>
      </c>
      <c r="J579" t="inlineStr">
        <is>
          <t>RN-02: una fila sin_accion</t>
        </is>
      </c>
      <c r="K579" t="inlineStr">
        <is>
          <t>Sin accion en el horizonte: con el pronostico, el saldo se mantiene entre el umbral de agotamiento y el cupo sin necesidad de provision ni recoleccion.</t>
        </is>
      </c>
      <c r="L579" s="26" t="n">
        <v>411000000</v>
      </c>
      <c r="M579" s="26" t="inlineStr">
        <is>
          <t>No aplica</t>
        </is>
      </c>
      <c r="N579" s="27" t="str">
        <f>IF(ISNUMBER(M579),M579/L579,"No aplica")</f>
        <v>No aplica</v>
      </c>
      <c r="O579" s="25" t="str">
        <f>IF(G579="provision",M579+H579,IF(G579="recoleccion",M579-H579,"No aplica"))</f>
        <v>No aplica</v>
      </c>
      <c r="P579" s="26" t="inlineStr">
        <is>
          <t>No aplica</t>
        </is>
      </c>
    </row>
    <row r="580">
      <c r="A580" t="inlineStr">
        <is>
          <t>PRAGMA</t>
        </is>
      </c>
      <c r="B580" t="inlineStr">
        <is>
          <t>M1</t>
        </is>
      </c>
      <c r="C580" t="inlineStr">
        <is>
          <t>Pasto</t>
        </is>
      </c>
      <c r="D580" t="inlineStr">
        <is>
          <t>4883</t>
        </is>
      </c>
      <c r="E580" t="inlineStr">
        <is>
          <t>TDV</t>
        </is>
      </c>
      <c r="F580" s="23" t="n">
        <v>46268</v>
      </c>
      <c r="G580" t="inlineStr">
        <is>
          <t>provision</t>
        </is>
      </c>
      <c r="H580" s="26" t="n">
        <v>293342144</v>
      </c>
      <c r="I580" t="inlineStr">
        <is>
          <t>bajo</t>
        </is>
      </c>
      <c r="J580" t="inlineStr">
        <is>
          <t>RN-11 y RN-34: provision hasta el cupo operativo antes de bajar del 8 %</t>
        </is>
      </c>
      <c r="K580" t="inlineStr">
        <is>
          <t>Provision en la manana, antes del pagado: con el pronostico, sin provision el saldo bajaria del 8 % del cupo ese dia. Lleva el saldo de 117.657.856 a 411.000.000 COP (cupo 411.000.000). Equipo administrado por TDV.</t>
        </is>
      </c>
      <c r="L580" s="26" t="n">
        <v>411000000</v>
      </c>
      <c r="M580" s="26" t="n">
        <v>117657856</v>
      </c>
      <c r="N580" s="27">
        <f>IF(ISNUMBER(M580),M580/L580,"No aplica")</f>
        <v>0.28627215571776155</v>
      </c>
      <c r="O580" s="25">
        <f>IF(G580="provision",M580+H580,IF(G580="recoleccion",M580-H580,"No aplica"))</f>
        <v>411000000</v>
      </c>
      <c r="P580" s="26" t="n">
        <v>97695</v>
      </c>
    </row>
    <row r="581">
      <c r="A581" t="inlineStr">
        <is>
          <t>PRAGMA</t>
        </is>
      </c>
      <c r="B581" t="inlineStr">
        <is>
          <t>M1</t>
        </is>
      </c>
      <c r="C581" t="inlineStr">
        <is>
          <t>Pasto</t>
        </is>
      </c>
      <c r="D581" t="inlineStr">
        <is>
          <t>4883</t>
        </is>
      </c>
      <c r="E581" t="inlineStr">
        <is>
          <t>TDV</t>
        </is>
      </c>
      <c r="F581" s="23" t="n">
        <v>46271</v>
      </c>
      <c r="G581" t="inlineStr">
        <is>
          <t>provision</t>
        </is>
      </c>
      <c r="H581" s="26" t="n">
        <v>331248277</v>
      </c>
      <c r="I581" t="inlineStr">
        <is>
          <t>bajo</t>
        </is>
      </c>
      <c r="J581" t="inlineStr">
        <is>
          <t>RN-11 y RN-34: provision hasta el cupo operativo antes de bajar del 8 %</t>
        </is>
      </c>
      <c r="K581" t="inlineStr">
        <is>
          <t>Provision en la manana, antes del pagado: con el pronostico, sin provision el saldo bajaria del 8 % del cupo ese dia. Lleva el saldo de 79.751.723 a 411.000.000 COP (cupo 411.000.000). Equipo administrado por TDV.</t>
        </is>
      </c>
      <c r="L581" s="26" t="n">
        <v>411000000</v>
      </c>
      <c r="M581" s="26" t="n">
        <v>79751723</v>
      </c>
      <c r="N581" s="27">
        <f>IF(ISNUMBER(M581),M581/L581,"No aplica")</f>
        <v>0.19404312165450122</v>
      </c>
      <c r="O581" s="25">
        <f>IF(G581="provision",M581+H581,IF(G581="recoleccion",M581-H581,"No aplica"))</f>
        <v>411000000</v>
      </c>
      <c r="P581" s="26" t="n">
        <v>146859</v>
      </c>
    </row>
    <row r="582">
      <c r="A582" t="inlineStr">
        <is>
          <t>PRAGMA</t>
        </is>
      </c>
      <c r="B582" t="inlineStr">
        <is>
          <t>M1</t>
        </is>
      </c>
      <c r="C582" t="inlineStr">
        <is>
          <t>Pasto</t>
        </is>
      </c>
      <c r="D582" t="inlineStr">
        <is>
          <t>4883</t>
        </is>
      </c>
      <c r="E582" t="inlineStr">
        <is>
          <t>TDV</t>
        </is>
      </c>
      <c r="F582" s="23" t="n">
        <v>46275</v>
      </c>
      <c r="G582" t="inlineStr">
        <is>
          <t>provision</t>
        </is>
      </c>
      <c r="H582" s="26" t="n">
        <v>328738306</v>
      </c>
      <c r="I582" t="inlineStr">
        <is>
          <t>bajo</t>
        </is>
      </c>
      <c r="J582" t="inlineStr">
        <is>
          <t>RN-11 y RN-34: provision hasta el cupo operativo antes de bajar del 8 %</t>
        </is>
      </c>
      <c r="K582" t="inlineStr">
        <is>
          <t>Provision en la manana, antes del pagado: con el pronostico, sin provision el saldo bajaria del 8 % del cupo ese dia. Lleva el saldo de 82.261.694 a 411.000.000 COP (cupo 411.000.000). Equipo administrado por TDV.</t>
        </is>
      </c>
      <c r="L582" s="26" t="n">
        <v>411000000</v>
      </c>
      <c r="M582" s="26" t="n">
        <v>82261694</v>
      </c>
      <c r="N582" s="27">
        <f>IF(ISNUMBER(M582),M582/L582,"No aplica")</f>
        <v>0.20015010705596106</v>
      </c>
      <c r="O582" s="25">
        <f>IF(G582="provision",M582+H582,IF(G582="recoleccion",M582-H582,"No aplica"))</f>
        <v>411000000</v>
      </c>
      <c r="P582" s="26" t="n">
        <v>107606</v>
      </c>
    </row>
    <row r="583">
      <c r="A583" t="inlineStr">
        <is>
          <t>PRAGMA</t>
        </is>
      </c>
      <c r="B583" t="inlineStr">
        <is>
          <t>M1</t>
        </is>
      </c>
      <c r="C583" t="inlineStr">
        <is>
          <t>Pasto</t>
        </is>
      </c>
      <c r="D583" t="inlineStr">
        <is>
          <t>4883</t>
        </is>
      </c>
      <c r="E583" t="inlineStr">
        <is>
          <t>TDV</t>
        </is>
      </c>
      <c r="F583" s="23" t="n">
        <v>46279</v>
      </c>
      <c r="G583" t="inlineStr">
        <is>
          <t>provision</t>
        </is>
      </c>
      <c r="H583" s="26" t="n">
        <v>307085188</v>
      </c>
      <c r="I583" t="inlineStr">
        <is>
          <t>bajo</t>
        </is>
      </c>
      <c r="J583" t="inlineStr">
        <is>
          <t>RN-11 y RN-34: provision hasta el cupo operativo antes de bajar del 8 %</t>
        </is>
      </c>
      <c r="K583" t="inlineStr">
        <is>
          <t>Provision en la manana, antes del pagado: con el pronostico, sin provision el saldo bajaria del 8 % del cupo ese dia. Lleva el saldo de 103.914.812 a 411.000.000 COP (cupo 411.000.000). Equipo administrado por TDV.</t>
        </is>
      </c>
      <c r="L583" s="26" t="n">
        <v>411000000</v>
      </c>
      <c r="M583" s="26" t="n">
        <v>103914812</v>
      </c>
      <c r="N583" s="27">
        <f>IF(ISNUMBER(M583),M583/L583,"No aplica")</f>
        <v>0.25283409245742094</v>
      </c>
      <c r="O583" s="25">
        <f>IF(G583="provision",M583+H583,IF(G583="recoleccion",M583-H583,"No aplica"))</f>
        <v>411000000</v>
      </c>
      <c r="P583" s="26" t="n">
        <v>101543</v>
      </c>
    </row>
    <row r="584">
      <c r="A584" t="inlineStr">
        <is>
          <t>PRAGMA</t>
        </is>
      </c>
      <c r="B584" t="inlineStr">
        <is>
          <t>M1</t>
        </is>
      </c>
      <c r="C584" t="inlineStr">
        <is>
          <t>Cali</t>
        </is>
      </c>
      <c r="D584" t="inlineStr">
        <is>
          <t>4900</t>
        </is>
      </c>
      <c r="E584" t="inlineStr">
        <is>
          <t>TDV</t>
        </is>
      </c>
      <c r="F584" s="23" t="n">
        <v>46266</v>
      </c>
      <c r="G584" t="inlineStr">
        <is>
          <t>sin_accion</t>
        </is>
      </c>
      <c r="H584" s="26" t="n">
        <v>0</v>
      </c>
      <c r="I584" t="inlineStr">
        <is>
          <t>bajo</t>
        </is>
      </c>
      <c r="J584" t="inlineStr">
        <is>
          <t>RN-02: una fila sin_accion</t>
        </is>
      </c>
      <c r="K584" t="inlineStr">
        <is>
          <t>Sin accion en el horizonte: con el pronostico, el saldo se mantiene entre el umbral de agotamiento y el cupo sin necesidad de provision ni recoleccion.</t>
        </is>
      </c>
      <c r="L584" s="26" t="n">
        <v>500000000</v>
      </c>
      <c r="M584" s="26" t="inlineStr">
        <is>
          <t>No aplica</t>
        </is>
      </c>
      <c r="N584" s="27" t="str">
        <f>IF(ISNUMBER(M584),M584/L584,"No aplica")</f>
        <v>No aplica</v>
      </c>
      <c r="O584" s="25" t="str">
        <f>IF(G584="provision",M584+H584,IF(G584="recoleccion",M584-H584,"No aplica"))</f>
        <v>No aplica</v>
      </c>
      <c r="P584" s="26" t="inlineStr">
        <is>
          <t>No aplica</t>
        </is>
      </c>
    </row>
    <row r="585">
      <c r="A585" t="inlineStr">
        <is>
          <t>PRAGMA</t>
        </is>
      </c>
      <c r="B585" t="inlineStr">
        <is>
          <t>M1</t>
        </is>
      </c>
      <c r="C585" t="inlineStr">
        <is>
          <t>Cali</t>
        </is>
      </c>
      <c r="D585" t="inlineStr">
        <is>
          <t>4914</t>
        </is>
      </c>
      <c r="E585" t="inlineStr">
        <is>
          <t>TDV</t>
        </is>
      </c>
      <c r="F585" s="23" t="n">
        <v>46269</v>
      </c>
      <c r="G585" t="inlineStr">
        <is>
          <t>provision</t>
        </is>
      </c>
      <c r="H585" s="26" t="n">
        <v>316837198</v>
      </c>
      <c r="I585" t="inlineStr">
        <is>
          <t>bajo</t>
        </is>
      </c>
      <c r="J585" t="inlineStr">
        <is>
          <t>RN-11 y RN-34: provision hasta el cupo operativo antes de bajar del 8 %</t>
        </is>
      </c>
      <c r="K585" t="inlineStr">
        <is>
          <t>Provision en la manana, antes del pagado: con el pronostico, sin provision el saldo bajaria del 8 % del cupo ese dia. Lleva el saldo de 94.162.802 a 411.000.000 COP (cupo 411.000.000). Equipo administrado por TDV.</t>
        </is>
      </c>
      <c r="L585" s="26" t="n">
        <v>411000000</v>
      </c>
      <c r="M585" s="26" t="n">
        <v>94162802</v>
      </c>
      <c r="N585" s="27">
        <f>IF(ISNUMBER(M585),M585/L585,"No aplica")</f>
        <v>0.22910657420924574</v>
      </c>
      <c r="O585" s="25">
        <f>IF(G585="provision",M585+H585,IF(G585="recoleccion",M585-H585,"No aplica"))</f>
        <v>411000000</v>
      </c>
      <c r="P585" s="26" t="n">
        <v>158822</v>
      </c>
    </row>
    <row r="586">
      <c r="A586" t="inlineStr">
        <is>
          <t>PRAGMA</t>
        </is>
      </c>
      <c r="B586" t="inlineStr">
        <is>
          <t>M1</t>
        </is>
      </c>
      <c r="C586" t="inlineStr">
        <is>
          <t>Cali</t>
        </is>
      </c>
      <c r="D586" t="inlineStr">
        <is>
          <t>4914</t>
        </is>
      </c>
      <c r="E586" t="inlineStr">
        <is>
          <t>TDV</t>
        </is>
      </c>
      <c r="F586" s="23" t="n">
        <v>46274</v>
      </c>
      <c r="G586" t="inlineStr">
        <is>
          <t>provision</t>
        </is>
      </c>
      <c r="H586" s="26" t="n">
        <v>337856954</v>
      </c>
      <c r="I586" t="inlineStr">
        <is>
          <t>bajo</t>
        </is>
      </c>
      <c r="J586" t="inlineStr">
        <is>
          <t>RN-11 y RN-34: provision hasta el cupo operativo antes de bajar del 8 %</t>
        </is>
      </c>
      <c r="K586" t="inlineStr">
        <is>
          <t>Provision en la manana, antes del pagado: con el pronostico, sin provision el saldo bajaria del 8 % del cupo ese dia. Lleva el saldo de 73.143.046 a 411.000.000 COP (cupo 411.000.000). Equipo administrado por TDV.</t>
        </is>
      </c>
      <c r="L586" s="26" t="n">
        <v>411000000</v>
      </c>
      <c r="M586" s="26" t="n">
        <v>73143046</v>
      </c>
      <c r="N586" s="27">
        <f>IF(ISNUMBER(M586),M586/L586,"No aplica")</f>
        <v>0.17796361557177615</v>
      </c>
      <c r="O586" s="25">
        <f>IF(G586="provision",M586+H586,IF(G586="recoleccion",M586-H586,"No aplica"))</f>
        <v>411000000</v>
      </c>
      <c r="P586" s="26" t="n">
        <v>168113</v>
      </c>
    </row>
    <row r="587">
      <c r="A587" t="inlineStr">
        <is>
          <t>PRAGMA</t>
        </is>
      </c>
      <c r="B587" t="inlineStr">
        <is>
          <t>M1</t>
        </is>
      </c>
      <c r="C587" t="inlineStr">
        <is>
          <t>Cali</t>
        </is>
      </c>
      <c r="D587" t="inlineStr">
        <is>
          <t>4914</t>
        </is>
      </c>
      <c r="E587" t="inlineStr">
        <is>
          <t>TDV</t>
        </is>
      </c>
      <c r="F587" s="23" t="n">
        <v>46279</v>
      </c>
      <c r="G587" t="inlineStr">
        <is>
          <t>provision</t>
        </is>
      </c>
      <c r="H587" s="26" t="n">
        <v>315066467</v>
      </c>
      <c r="I587" t="inlineStr">
        <is>
          <t>bajo</t>
        </is>
      </c>
      <c r="J587" t="inlineStr">
        <is>
          <t>RN-11 y RN-34: provision hasta el cupo operativo antes de bajar del 8 %</t>
        </is>
      </c>
      <c r="K587" t="inlineStr">
        <is>
          <t>Provision en la manana, antes del pagado: con el pronostico, sin provision el saldo bajaria del 8 % del cupo ese dia. Lleva el saldo de 95.933.533 a 411.000.000 COP (cupo 411.000.000). Equipo administrado por TDV.</t>
        </is>
      </c>
      <c r="L587" s="26" t="n">
        <v>411000000</v>
      </c>
      <c r="M587" s="26" t="n">
        <v>95933533</v>
      </c>
      <c r="N587" s="27">
        <f>IF(ISNUMBER(M587),M587/L587,"No aplica")</f>
        <v>0.23341492214111922</v>
      </c>
      <c r="O587" s="25">
        <f>IF(G587="provision",M587+H587,IF(G587="recoleccion",M587-H587,"No aplica"))</f>
        <v>411000000</v>
      </c>
      <c r="P587" s="26" t="n">
        <v>158039</v>
      </c>
    </row>
    <row r="588">
      <c r="A588" t="inlineStr">
        <is>
          <t>PRAGMA</t>
        </is>
      </c>
      <c r="B588" t="inlineStr">
        <is>
          <t>M1</t>
        </is>
      </c>
      <c r="C588" t="inlineStr">
        <is>
          <t>Pasto</t>
        </is>
      </c>
      <c r="D588" t="inlineStr">
        <is>
          <t>4920</t>
        </is>
      </c>
      <c r="E588" t="inlineStr">
        <is>
          <t>Sucursal</t>
        </is>
      </c>
      <c r="F588" s="23" t="n">
        <v>46268</v>
      </c>
      <c r="G588" t="inlineStr">
        <is>
          <t>provision</t>
        </is>
      </c>
      <c r="H588" s="26" t="n">
        <v>307544304</v>
      </c>
      <c r="I588" t="inlineStr">
        <is>
          <t>bajo</t>
        </is>
      </c>
      <c r="J588" t="inlineStr">
        <is>
          <t>RN-11 y RN-34: provision hasta el cupo operativo antes de bajar del 8 %</t>
        </is>
      </c>
      <c r="K588" t="inlineStr">
        <is>
          <t>Provision en la manana, antes del pagado: con el pronostico, sin provision el saldo bajaria del 8 % del cupo ese dia. Lleva el saldo de 133.455.696 a 441.000.000 COP (cupo 441.000.000). Equipo administrado por Sucursal. Sin tarifa TDV (administrado por la sucursal): costo 0 declarado.</t>
        </is>
      </c>
      <c r="L588" s="26" t="n">
        <v>441000000</v>
      </c>
      <c r="M588" s="26" t="n">
        <v>133455696</v>
      </c>
      <c r="N588" s="27">
        <f>IF(ISNUMBER(M588),M588/L588,"No aplica")</f>
        <v>0.30262062585034016</v>
      </c>
      <c r="O588" s="25">
        <f>IF(G588="provision",M588+H588,IF(G588="recoleccion",M588-H588,"No aplica"))</f>
        <v>441000000</v>
      </c>
      <c r="P588" s="26" t="n">
        <v>0</v>
      </c>
    </row>
    <row r="589">
      <c r="A589" t="inlineStr">
        <is>
          <t>PRAGMA</t>
        </is>
      </c>
      <c r="B589" t="inlineStr">
        <is>
          <t>M1</t>
        </is>
      </c>
      <c r="C589" t="inlineStr">
        <is>
          <t>Pasto</t>
        </is>
      </c>
      <c r="D589" t="inlineStr">
        <is>
          <t>4920</t>
        </is>
      </c>
      <c r="E589" t="inlineStr">
        <is>
          <t>Sucursal</t>
        </is>
      </c>
      <c r="F589" s="23" t="n">
        <v>46271</v>
      </c>
      <c r="G589" t="inlineStr">
        <is>
          <t>provision</t>
        </is>
      </c>
      <c r="H589" s="26" t="n">
        <v>354292665</v>
      </c>
      <c r="I589" t="inlineStr">
        <is>
          <t>bajo</t>
        </is>
      </c>
      <c r="J589" t="inlineStr">
        <is>
          <t>RN-11 y RN-34: provision hasta el cupo operativo antes de bajar del 8 %</t>
        </is>
      </c>
      <c r="K589" t="inlineStr">
        <is>
          <t>Provision en la manana, antes del pagado: con el pronostico, sin provision el saldo bajaria del 8 % del cupo ese dia. Lleva el saldo de 86.707.335 a 441.000.000 COP (cupo 441.000.000). Equipo administrado por Sucursal. Sin tarifa TDV (administrado por la sucursal): costo 0 declarado.</t>
        </is>
      </c>
      <c r="L589" s="26" t="n">
        <v>441000000</v>
      </c>
      <c r="M589" s="26" t="n">
        <v>86707335</v>
      </c>
      <c r="N589" s="27">
        <f>IF(ISNUMBER(M589),M589/L589,"No aplica")</f>
        <v>0.19661527210884353</v>
      </c>
      <c r="O589" s="25">
        <f>IF(G589="provision",M589+H589,IF(G589="recoleccion",M589-H589,"No aplica"))</f>
        <v>441000000</v>
      </c>
      <c r="P589" s="26" t="n">
        <v>0</v>
      </c>
    </row>
    <row r="590">
      <c r="A590" t="inlineStr">
        <is>
          <t>PRAGMA</t>
        </is>
      </c>
      <c r="B590" t="inlineStr">
        <is>
          <t>M1</t>
        </is>
      </c>
      <c r="C590" t="inlineStr">
        <is>
          <t>Pasto</t>
        </is>
      </c>
      <c r="D590" t="inlineStr">
        <is>
          <t>4920</t>
        </is>
      </c>
      <c r="E590" t="inlineStr">
        <is>
          <t>Sucursal</t>
        </is>
      </c>
      <c r="F590" s="23" t="n">
        <v>46275</v>
      </c>
      <c r="G590" t="inlineStr">
        <is>
          <t>provision</t>
        </is>
      </c>
      <c r="H590" s="26" t="n">
        <v>368285359</v>
      </c>
      <c r="I590" t="inlineStr">
        <is>
          <t>bajo</t>
        </is>
      </c>
      <c r="J590" t="inlineStr">
        <is>
          <t>RN-11 y RN-34: provision hasta el cupo operativo antes de bajar del 8 %</t>
        </is>
      </c>
      <c r="K590" t="inlineStr">
        <is>
          <t>Provision en la manana, antes del pagado: con el pronostico, sin provision el saldo bajaria del 8 % del cupo ese dia. Lleva el saldo de 72.714.641 a 441.000.000 COP (cupo 441.000.000). Equipo administrado por Sucursal. Sin tarifa TDV (administrado por la sucursal): costo 0 declarado.</t>
        </is>
      </c>
      <c r="L590" s="26" t="n">
        <v>441000000</v>
      </c>
      <c r="M590" s="26" t="n">
        <v>72714641</v>
      </c>
      <c r="N590" s="27">
        <f>IF(ISNUMBER(M590),M590/L590,"No aplica")</f>
        <v>0.16488580725623583</v>
      </c>
      <c r="O590" s="25">
        <f>IF(G590="provision",M590+H590,IF(G590="recoleccion",M590-H590,"No aplica"))</f>
        <v>441000000</v>
      </c>
      <c r="P590" s="26" t="n">
        <v>0</v>
      </c>
    </row>
    <row r="591">
      <c r="A591" t="inlineStr">
        <is>
          <t>PRAGMA</t>
        </is>
      </c>
      <c r="B591" t="inlineStr">
        <is>
          <t>M1</t>
        </is>
      </c>
      <c r="C591" t="inlineStr">
        <is>
          <t>Pasto</t>
        </is>
      </c>
      <c r="D591" t="inlineStr">
        <is>
          <t>4920</t>
        </is>
      </c>
      <c r="E591" t="inlineStr">
        <is>
          <t>Sucursal</t>
        </is>
      </c>
      <c r="F591" s="23" t="n">
        <v>46280</v>
      </c>
      <c r="G591" t="inlineStr">
        <is>
          <t>provision</t>
        </is>
      </c>
      <c r="H591" s="26" t="n">
        <v>397290103</v>
      </c>
      <c r="I591" t="inlineStr">
        <is>
          <t>bajo</t>
        </is>
      </c>
      <c r="J591" t="inlineStr">
        <is>
          <t>RN-11 y RN-34: provision hasta el cupo operativo antes de bajar del 8 %</t>
        </is>
      </c>
      <c r="K591" t="inlineStr">
        <is>
          <t>Provision en la manana, antes del pagado: con el pronostico, sin provision el saldo bajaria del 8 % del cupo ese dia. Lleva el saldo de 43.709.897 a 441.000.000 COP (cupo 441.000.000). Equipo administrado por Sucursal. Sin tarifa TDV (administrado por la sucursal): costo 0 declarado.</t>
        </is>
      </c>
      <c r="L591" s="26" t="n">
        <v>441000000</v>
      </c>
      <c r="M591" s="26" t="n">
        <v>43709897</v>
      </c>
      <c r="N591" s="27">
        <f>IF(ISNUMBER(M591),M591/L591,"No aplica")</f>
        <v>0.0991154126984127</v>
      </c>
      <c r="O591" s="25">
        <f>IF(G591="provision",M591+H591,IF(G591="recoleccion",M591-H591,"No aplica"))</f>
        <v>441000000</v>
      </c>
      <c r="P591" s="26" t="n">
        <v>0</v>
      </c>
    </row>
    <row r="592">
      <c r="A592" t="inlineStr">
        <is>
          <t>PRAGMA</t>
        </is>
      </c>
      <c r="B592" t="inlineStr">
        <is>
          <t>M1</t>
        </is>
      </c>
      <c r="C592" t="inlineStr">
        <is>
          <t>Cali</t>
        </is>
      </c>
      <c r="D592" t="inlineStr">
        <is>
          <t>4941</t>
        </is>
      </c>
      <c r="E592" t="inlineStr">
        <is>
          <t>TDV</t>
        </is>
      </c>
      <c r="F592" s="23" t="n">
        <v>46274</v>
      </c>
      <c r="G592" t="inlineStr">
        <is>
          <t>provision</t>
        </is>
      </c>
      <c r="H592" s="26" t="n">
        <v>371625720</v>
      </c>
      <c r="I592" t="inlineStr">
        <is>
          <t>bajo</t>
        </is>
      </c>
      <c r="J592" t="inlineStr">
        <is>
          <t>RN-11 y RN-34: provision hasta el cupo operativo antes de bajar del 8 %</t>
        </is>
      </c>
      <c r="K592" t="inlineStr">
        <is>
          <t>Provision en la manana, antes del pagado: con el pronostico, sin provision el saldo bajaria del 8 % del cupo ese dia. Lleva el saldo de 39.374.280 a 411.000.000 COP (cupo 411.000.000). Equipo administrado por TDV.</t>
        </is>
      </c>
      <c r="L592" s="26" t="n">
        <v>411000000</v>
      </c>
      <c r="M592" s="26" t="n">
        <v>39374280</v>
      </c>
      <c r="N592" s="27">
        <f>IF(ISNUMBER(M592),M592/L592,"No aplica")</f>
        <v>0.09580116788321168</v>
      </c>
      <c r="O592" s="25">
        <f>IF(G592="provision",M592+H592,IF(G592="recoleccion",M592-H592,"No aplica"))</f>
        <v>411000000</v>
      </c>
      <c r="P592" s="26" t="n">
        <v>183039</v>
      </c>
    </row>
    <row r="593">
      <c r="A593" t="inlineStr">
        <is>
          <t>PRAGMA</t>
        </is>
      </c>
      <c r="B593" t="inlineStr">
        <is>
          <t>M1</t>
        </is>
      </c>
      <c r="C593" t="inlineStr">
        <is>
          <t>Cali</t>
        </is>
      </c>
      <c r="D593" t="inlineStr">
        <is>
          <t>4959</t>
        </is>
      </c>
      <c r="E593" t="inlineStr">
        <is>
          <t>TDV</t>
        </is>
      </c>
      <c r="F593" s="23" t="n">
        <v>46269</v>
      </c>
      <c r="G593" t="inlineStr">
        <is>
          <t>provision</t>
        </is>
      </c>
      <c r="H593" s="26" t="n">
        <v>423290314</v>
      </c>
      <c r="I593" t="inlineStr">
        <is>
          <t>bajo</t>
        </is>
      </c>
      <c r="J593" t="inlineStr">
        <is>
          <t>RN-11 y RN-34: provision hasta el cupo operativo antes de bajar del 8 %</t>
        </is>
      </c>
      <c r="K593" t="inlineStr">
        <is>
          <t>Provision en la manana, antes del pagado: con el pronostico, sin provision el saldo bajaria del 8 % del cupo ese dia. Lleva el saldo de 76.709.686 a 500.000.000 COP (cupo 500.000.000). Equipo administrado por TDV.</t>
        </is>
      </c>
      <c r="L593" s="26" t="n">
        <v>500000000</v>
      </c>
      <c r="M593" s="26" t="n">
        <v>76709686</v>
      </c>
      <c r="N593" s="27">
        <f>IF(ISNUMBER(M593),M593/L593,"No aplica")</f>
        <v>0.153419372</v>
      </c>
      <c r="O593" s="25">
        <f>IF(G593="provision",M593+H593,IF(G593="recoleccion",M593-H593,"No aplica"))</f>
        <v>500000000</v>
      </c>
      <c r="P593" s="26" t="n">
        <v>134080</v>
      </c>
    </row>
    <row r="594">
      <c r="A594" t="inlineStr">
        <is>
          <t>PRAGMA</t>
        </is>
      </c>
      <c r="B594" t="inlineStr">
        <is>
          <t>M1</t>
        </is>
      </c>
      <c r="C594" t="inlineStr">
        <is>
          <t>Cali</t>
        </is>
      </c>
      <c r="D594" t="inlineStr">
        <is>
          <t>4959</t>
        </is>
      </c>
      <c r="E594" t="inlineStr">
        <is>
          <t>TDV</t>
        </is>
      </c>
      <c r="F594" s="23" t="n">
        <v>46273</v>
      </c>
      <c r="G594" t="inlineStr">
        <is>
          <t>provision</t>
        </is>
      </c>
      <c r="H594" s="26" t="n">
        <v>439912589</v>
      </c>
      <c r="I594" t="inlineStr">
        <is>
          <t>bajo</t>
        </is>
      </c>
      <c r="J594" t="inlineStr">
        <is>
          <t>RN-11 y RN-34: provision hasta el cupo operativo antes de bajar del 8 %</t>
        </is>
      </c>
      <c r="K594" t="inlineStr">
        <is>
          <t>Provision en la manana, antes del pagado: con el pronostico, sin provision el saldo bajaria del 8 % del cupo ese dia. Lleva el saldo de 60.087.411 a 500.000.000 COP (cupo 500.000.000). Equipo administrado por TDV.</t>
        </is>
      </c>
      <c r="L594" s="26" t="n">
        <v>500000000</v>
      </c>
      <c r="M594" s="26" t="n">
        <v>60087411</v>
      </c>
      <c r="N594" s="27">
        <f>IF(ISNUMBER(M594),M594/L594,"No aplica")</f>
        <v>0.120174822</v>
      </c>
      <c r="O594" s="25">
        <f>IF(G594="provision",M594+H594,IF(G594="recoleccion",M594-H594,"No aplica"))</f>
        <v>500000000</v>
      </c>
      <c r="P594" s="26" t="n">
        <v>138735</v>
      </c>
    </row>
    <row r="595">
      <c r="A595" t="inlineStr">
        <is>
          <t>PRAGMA</t>
        </is>
      </c>
      <c r="B595" t="inlineStr">
        <is>
          <t>M1</t>
        </is>
      </c>
      <c r="C595" t="inlineStr">
        <is>
          <t>Cali</t>
        </is>
      </c>
      <c r="D595" t="inlineStr">
        <is>
          <t>4959</t>
        </is>
      </c>
      <c r="E595" t="inlineStr">
        <is>
          <t>TDV</t>
        </is>
      </c>
      <c r="F595" s="23" t="n">
        <v>46278</v>
      </c>
      <c r="G595" t="inlineStr">
        <is>
          <t>provision</t>
        </is>
      </c>
      <c r="H595" s="26" t="n">
        <v>436254705</v>
      </c>
      <c r="I595" t="inlineStr">
        <is>
          <t>bajo</t>
        </is>
      </c>
      <c r="J595" t="inlineStr">
        <is>
          <t>RN-11 y RN-34: provision hasta el cupo operativo antes de bajar del 8 %</t>
        </is>
      </c>
      <c r="K595" t="inlineStr">
        <is>
          <t>Provision en la manana, antes del pagado: con el pronostico, sin provision el saldo bajaria del 8 % del cupo ese dia. Lleva el saldo de 63.745.295 a 500.000.000 COP (cupo 500.000.000). Equipo administrado por TDV.</t>
        </is>
      </c>
      <c r="L595" s="26" t="n">
        <v>500000000</v>
      </c>
      <c r="M595" s="26" t="n">
        <v>63745295</v>
      </c>
      <c r="N595" s="27">
        <f>IF(ISNUMBER(M595),M595/L595,"No aplica")</f>
        <v>0.12749059</v>
      </c>
      <c r="O595" s="25">
        <f>IF(G595="provision",M595+H595,IF(G595="recoleccion",M595-H595,"No aplica"))</f>
        <v>500000000</v>
      </c>
      <c r="P595" s="26" t="n">
        <v>186657</v>
      </c>
    </row>
    <row r="596">
      <c r="A596" t="inlineStr">
        <is>
          <t>PRAGMA</t>
        </is>
      </c>
      <c r="B596" t="inlineStr">
        <is>
          <t>M1</t>
        </is>
      </c>
      <c r="C596" t="inlineStr">
        <is>
          <t>Cali</t>
        </is>
      </c>
      <c r="D596" t="inlineStr">
        <is>
          <t>4980</t>
        </is>
      </c>
      <c r="E596" t="inlineStr">
        <is>
          <t>TDV</t>
        </is>
      </c>
      <c r="F596" s="23" t="n">
        <v>46269</v>
      </c>
      <c r="G596" t="inlineStr">
        <is>
          <t>provision</t>
        </is>
      </c>
      <c r="H596" s="26" t="n">
        <v>348880037</v>
      </c>
      <c r="I596" t="inlineStr">
        <is>
          <t>bajo</t>
        </is>
      </c>
      <c r="J596" t="inlineStr">
        <is>
          <t>RN-11 y RN-34: provision hasta el cupo operativo antes de bajar del 8 %</t>
        </is>
      </c>
      <c r="K596" t="inlineStr">
        <is>
          <t>Provision en la manana, antes del pagado: con el pronostico, sin provision el saldo bajaria del 8 % del cupo ese dia. Lleva el saldo de 62.119.963 a 411.000.000 COP (cupo 411.000.000). Equipo administrado por TDV.</t>
        </is>
      </c>
      <c r="L596" s="26" t="n">
        <v>411000000</v>
      </c>
      <c r="M596" s="26" t="n">
        <v>62119963</v>
      </c>
      <c r="N596" s="27">
        <f>IF(ISNUMBER(M596),M596/L596,"No aplica")</f>
        <v>0.15114346228710462</v>
      </c>
      <c r="O596" s="25">
        <f>IF(G596="provision",M596+H596,IF(G596="recoleccion",M596-H596,"No aplica"))</f>
        <v>411000000</v>
      </c>
      <c r="P596" s="26" t="n">
        <v>129607</v>
      </c>
    </row>
    <row r="597">
      <c r="A597" t="inlineStr">
        <is>
          <t>PRAGMA</t>
        </is>
      </c>
      <c r="B597" t="inlineStr">
        <is>
          <t>M1</t>
        </is>
      </c>
      <c r="C597" t="inlineStr">
        <is>
          <t>Cali</t>
        </is>
      </c>
      <c r="D597" t="inlineStr">
        <is>
          <t>4980</t>
        </is>
      </c>
      <c r="E597" t="inlineStr">
        <is>
          <t>TDV</t>
        </is>
      </c>
      <c r="F597" s="23" t="n">
        <v>46273</v>
      </c>
      <c r="G597" t="inlineStr">
        <is>
          <t>provision</t>
        </is>
      </c>
      <c r="H597" s="26" t="n">
        <v>337699322</v>
      </c>
      <c r="I597" t="inlineStr">
        <is>
          <t>bajo</t>
        </is>
      </c>
      <c r="J597" t="inlineStr">
        <is>
          <t>RN-11 y RN-34: provision hasta el cupo operativo antes de bajar del 8 %</t>
        </is>
      </c>
      <c r="K597" t="inlineStr">
        <is>
          <t>Provision en la manana, antes del pagado: con el pronostico, sin provision el saldo bajaria del 8 % del cupo ese dia. Lleva el saldo de 73.300.678 a 411.000.000 COP (cupo 411.000.000). Equipo administrado por TDV.</t>
        </is>
      </c>
      <c r="L597" s="26" t="n">
        <v>411000000</v>
      </c>
      <c r="M597" s="26" t="n">
        <v>73300678</v>
      </c>
      <c r="N597" s="27">
        <f>IF(ISNUMBER(M597),M597/L597,"No aplica")</f>
        <v>0.17834714841849147</v>
      </c>
      <c r="O597" s="25">
        <f>IF(G597="provision",M597+H597,IF(G597="recoleccion",M597-H597,"No aplica"))</f>
        <v>411000000</v>
      </c>
      <c r="P597" s="26" t="n">
        <v>125996</v>
      </c>
    </row>
    <row r="598">
      <c r="A598" t="inlineStr">
        <is>
          <t>PRAGMA</t>
        </is>
      </c>
      <c r="B598" t="inlineStr">
        <is>
          <t>M1</t>
        </is>
      </c>
      <c r="C598" t="inlineStr">
        <is>
          <t>Cali</t>
        </is>
      </c>
      <c r="D598" t="inlineStr">
        <is>
          <t>4980</t>
        </is>
      </c>
      <c r="E598" t="inlineStr">
        <is>
          <t>TDV</t>
        </is>
      </c>
      <c r="F598" s="23" t="n">
        <v>46279</v>
      </c>
      <c r="G598" t="inlineStr">
        <is>
          <t>provision</t>
        </is>
      </c>
      <c r="H598" s="26" t="n">
        <v>370972748</v>
      </c>
      <c r="I598" t="inlineStr">
        <is>
          <t>bajo</t>
        </is>
      </c>
      <c r="J598" t="inlineStr">
        <is>
          <t>RN-11 y RN-34: provision hasta el cupo operativo antes de bajar del 8 %</t>
        </is>
      </c>
      <c r="K598" t="inlineStr">
        <is>
          <t>Provision en la manana, antes del pagado: con el pronostico, sin provision el saldo bajaria del 8 % del cupo ese dia. Lleva el saldo de 40.027.252 a 411.000.000 COP (cupo 411.000.000). Equipo administrado por TDV.</t>
        </is>
      </c>
      <c r="L598" s="26" t="n">
        <v>411000000</v>
      </c>
      <c r="M598" s="26" t="n">
        <v>40027252</v>
      </c>
      <c r="N598" s="27">
        <f>IF(ISNUMBER(M598),M598/L598,"No aplica")</f>
        <v>0.09738990754257908</v>
      </c>
      <c r="O598" s="25">
        <f>IF(G598="provision",M598+H598,IF(G598="recoleccion",M598-H598,"No aplica"))</f>
        <v>411000000</v>
      </c>
      <c r="P598" s="26" t="n">
        <v>136743</v>
      </c>
    </row>
    <row r="599">
      <c r="A599" t="inlineStr">
        <is>
          <t>PRAGMA</t>
        </is>
      </c>
      <c r="B599" t="inlineStr">
        <is>
          <t>M1</t>
        </is>
      </c>
      <c r="C599" t="inlineStr">
        <is>
          <t>Cali</t>
        </is>
      </c>
      <c r="D599" t="inlineStr">
        <is>
          <t>4995</t>
        </is>
      </c>
      <c r="E599" t="inlineStr">
        <is>
          <t>Sucursal</t>
        </is>
      </c>
      <c r="F599" s="23" t="n">
        <v>46268</v>
      </c>
      <c r="G599" t="inlineStr">
        <is>
          <t>provision</t>
        </is>
      </c>
      <c r="H599" s="26" t="n">
        <v>311215892</v>
      </c>
      <c r="I599" t="inlineStr">
        <is>
          <t>bajo</t>
        </is>
      </c>
      <c r="J599" t="inlineStr">
        <is>
          <t>RN-11 y RN-34: provision hasta el cupo operativo antes de bajar del 8 %</t>
        </is>
      </c>
      <c r="K599" t="inlineStr">
        <is>
          <t>Provision en la manana, antes del pagado: con el pronostico, sin provision el saldo bajaria del 8 % del cupo ese dia. Lleva el saldo de 48.784.108 a 360.000.000 COP (cupo 360.000.000). Equipo administrado por Sucursal. Sin tarifa TDV (administrado por la sucursal): costo 0 declarado.</t>
        </is>
      </c>
      <c r="L599" s="26" t="n">
        <v>360000000</v>
      </c>
      <c r="M599" s="26" t="n">
        <v>48784108</v>
      </c>
      <c r="N599" s="27">
        <f>IF(ISNUMBER(M599),M599/L599,"No aplica")</f>
        <v>0.13551141111111112</v>
      </c>
      <c r="O599" s="25">
        <f>IF(G599="provision",M599+H599,IF(G599="recoleccion",M599-H599,"No aplica"))</f>
        <v>360000000</v>
      </c>
      <c r="P599" s="26" t="n">
        <v>0</v>
      </c>
    </row>
    <row r="600">
      <c r="A600" t="inlineStr">
        <is>
          <t>PRAGMA</t>
        </is>
      </c>
      <c r="B600" t="inlineStr">
        <is>
          <t>M1</t>
        </is>
      </c>
      <c r="C600" t="inlineStr">
        <is>
          <t>Cali</t>
        </is>
      </c>
      <c r="D600" t="inlineStr">
        <is>
          <t>4995</t>
        </is>
      </c>
      <c r="E600" t="inlineStr">
        <is>
          <t>Sucursal</t>
        </is>
      </c>
      <c r="F600" s="23" t="n">
        <v>46270</v>
      </c>
      <c r="G600" t="inlineStr">
        <is>
          <t>provision</t>
        </is>
      </c>
      <c r="H600" s="26" t="n">
        <v>251868877</v>
      </c>
      <c r="I600" t="inlineStr">
        <is>
          <t>bajo</t>
        </is>
      </c>
      <c r="J600" t="inlineStr">
        <is>
          <t>RN-11 y RN-34: provision hasta el cupo operativo antes de bajar del 8 %</t>
        </is>
      </c>
      <c r="K600" t="inlineStr">
        <is>
          <t>Provision en la manana, antes del pagado: con el pronostico, sin provision el saldo bajaria del 8 % del cupo ese dia. Lleva el saldo de 108.131.123 a 360.000.000 COP (cupo 360.000.000). Equipo administrado por Sucursal. Sin tarifa TDV (administrado por la sucursal): costo 0 declarado.</t>
        </is>
      </c>
      <c r="L600" s="26" t="n">
        <v>360000000</v>
      </c>
      <c r="M600" s="26" t="n">
        <v>108131123</v>
      </c>
      <c r="N600" s="27">
        <f>IF(ISNUMBER(M600),M600/L600,"No aplica")</f>
        <v>0.30036423055555556</v>
      </c>
      <c r="O600" s="25">
        <f>IF(G600="provision",M600+H600,IF(G600="recoleccion",M600-H600,"No aplica"))</f>
        <v>360000000</v>
      </c>
      <c r="P600" s="26" t="n">
        <v>0</v>
      </c>
    </row>
    <row r="601">
      <c r="A601" t="inlineStr">
        <is>
          <t>PRAGMA</t>
        </is>
      </c>
      <c r="B601" t="inlineStr">
        <is>
          <t>M1</t>
        </is>
      </c>
      <c r="C601" t="inlineStr">
        <is>
          <t>Cali</t>
        </is>
      </c>
      <c r="D601" t="inlineStr">
        <is>
          <t>4995</t>
        </is>
      </c>
      <c r="E601" t="inlineStr">
        <is>
          <t>Sucursal</t>
        </is>
      </c>
      <c r="F601" s="23" t="n">
        <v>46273</v>
      </c>
      <c r="G601" t="inlineStr">
        <is>
          <t>provision</t>
        </is>
      </c>
      <c r="H601" s="26" t="n">
        <v>319920823</v>
      </c>
      <c r="I601" t="inlineStr">
        <is>
          <t>bajo</t>
        </is>
      </c>
      <c r="J601" t="inlineStr">
        <is>
          <t>RN-11 y RN-34: provision hasta el cupo operativo antes de bajar del 8 %</t>
        </is>
      </c>
      <c r="K601" t="inlineStr">
        <is>
          <t>Provision en la manana, antes del pagado: con el pronostico, sin provision el saldo bajaria del 8 % del cupo ese dia. Lleva el saldo de 40.079.177 a 360.000.000 COP (cupo 360.000.000). Equipo administrado por Sucursal. Sin tarifa TDV (administrado por la sucursal): costo 0 declarado.</t>
        </is>
      </c>
      <c r="L601" s="26" t="n">
        <v>360000000</v>
      </c>
      <c r="M601" s="26" t="n">
        <v>40079177</v>
      </c>
      <c r="N601" s="27">
        <f>IF(ISNUMBER(M601),M601/L601,"No aplica")</f>
        <v>0.11133104722222223</v>
      </c>
      <c r="O601" s="25">
        <f>IF(G601="provision",M601+H601,IF(G601="recoleccion",M601-H601,"No aplica"))</f>
        <v>360000000</v>
      </c>
      <c r="P601" s="26" t="n">
        <v>0</v>
      </c>
    </row>
    <row r="602">
      <c r="A602" t="inlineStr">
        <is>
          <t>PRAGMA</t>
        </is>
      </c>
      <c r="B602" t="inlineStr">
        <is>
          <t>M1</t>
        </is>
      </c>
      <c r="C602" t="inlineStr">
        <is>
          <t>Cali</t>
        </is>
      </c>
      <c r="D602" t="inlineStr">
        <is>
          <t>4995</t>
        </is>
      </c>
      <c r="E602" t="inlineStr">
        <is>
          <t>Sucursal</t>
        </is>
      </c>
      <c r="F602" s="23" t="n">
        <v>46276</v>
      </c>
      <c r="G602" t="inlineStr">
        <is>
          <t>provision</t>
        </is>
      </c>
      <c r="H602" s="26" t="n">
        <v>264063599</v>
      </c>
      <c r="I602" t="inlineStr">
        <is>
          <t>bajo</t>
        </is>
      </c>
      <c r="J602" t="inlineStr">
        <is>
          <t>RN-11 y RN-34: provision hasta el cupo operativo antes de bajar del 8 %</t>
        </is>
      </c>
      <c r="K602" t="inlineStr">
        <is>
          <t>Provision en la manana, antes del pagado: con el pronostico, sin provision el saldo bajaria del 8 % del cupo ese dia. Lleva el saldo de 95.936.401 a 360.000.000 COP (cupo 360.000.000). Equipo administrado por Sucursal. Sin tarifa TDV (administrado por la sucursal): costo 0 declarado.</t>
        </is>
      </c>
      <c r="L602" s="26" t="n">
        <v>360000000</v>
      </c>
      <c r="M602" s="26" t="n">
        <v>95936401</v>
      </c>
      <c r="N602" s="27">
        <f>IF(ISNUMBER(M602),M602/L602,"No aplica")</f>
        <v>0.2664900027777778</v>
      </c>
      <c r="O602" s="25">
        <f>IF(G602="provision",M602+H602,IF(G602="recoleccion",M602-H602,"No aplica"))</f>
        <v>360000000</v>
      </c>
      <c r="P602" s="26" t="n">
        <v>0</v>
      </c>
    </row>
    <row r="603">
      <c r="A603" t="inlineStr">
        <is>
          <t>PRAGMA</t>
        </is>
      </c>
      <c r="B603" t="inlineStr">
        <is>
          <t>M1</t>
        </is>
      </c>
      <c r="C603" t="inlineStr">
        <is>
          <t>Cali</t>
        </is>
      </c>
      <c r="D603" t="inlineStr">
        <is>
          <t>4995</t>
        </is>
      </c>
      <c r="E603" t="inlineStr">
        <is>
          <t>Sucursal</t>
        </is>
      </c>
      <c r="F603" s="23" t="n">
        <v>46279</v>
      </c>
      <c r="G603" t="inlineStr">
        <is>
          <t>provision</t>
        </is>
      </c>
      <c r="H603" s="26" t="n">
        <v>277339486</v>
      </c>
      <c r="I603" t="inlineStr">
        <is>
          <t>bajo</t>
        </is>
      </c>
      <c r="J603" t="inlineStr">
        <is>
          <t>RN-11 y RN-34: provision hasta el cupo operativo antes de bajar del 8 %</t>
        </is>
      </c>
      <c r="K603" t="inlineStr">
        <is>
          <t>Provision en la manana, antes del pagado: con el pronostico, sin provision el saldo bajaria del 8 % del cupo ese dia. Lleva el saldo de 82.660.514 a 360.000.000 COP (cupo 360.000.000). Equipo administrado por Sucursal. Sin tarifa TDV (administrado por la sucursal): costo 0 declarado.</t>
        </is>
      </c>
      <c r="L603" s="26" t="n">
        <v>360000000</v>
      </c>
      <c r="M603" s="26" t="n">
        <v>82660514</v>
      </c>
      <c r="N603" s="27">
        <f>IF(ISNUMBER(M603),M603/L603,"No aplica")</f>
        <v>0.22961253888888888</v>
      </c>
      <c r="O603" s="25">
        <f>IF(G603="provision",M603+H603,IF(G603="recoleccion",M603-H603,"No aplica"))</f>
        <v>360000000</v>
      </c>
      <c r="P603" s="26" t="n">
        <v>0</v>
      </c>
    </row>
    <row r="604">
      <c r="A604" t="inlineStr">
        <is>
          <t>PRAGMA</t>
        </is>
      </c>
      <c r="B604" t="inlineStr">
        <is>
          <t>M1</t>
        </is>
      </c>
      <c r="C604" t="inlineStr">
        <is>
          <t>Cali</t>
        </is>
      </c>
      <c r="D604" t="inlineStr">
        <is>
          <t>5256</t>
        </is>
      </c>
      <c r="E604" t="inlineStr">
        <is>
          <t>TDV</t>
        </is>
      </c>
      <c r="F604" s="23" t="n">
        <v>46266</v>
      </c>
      <c r="G604" t="inlineStr">
        <is>
          <t>sin_accion</t>
        </is>
      </c>
      <c r="H604" s="26" t="n">
        <v>0</v>
      </c>
      <c r="I604" t="inlineStr">
        <is>
          <t>bajo</t>
        </is>
      </c>
      <c r="J604" t="inlineStr">
        <is>
          <t>RN-02: una fila sin_accion</t>
        </is>
      </c>
      <c r="K604" t="inlineStr">
        <is>
          <t>Sin accion en el horizonte: con el pronostico, el saldo se mantiene entre el umbral de agotamiento y el cupo sin necesidad de provision ni recoleccion.</t>
        </is>
      </c>
      <c r="L604" s="26" t="n">
        <v>411000000</v>
      </c>
      <c r="M604" s="26" t="inlineStr">
        <is>
          <t>No aplica</t>
        </is>
      </c>
      <c r="N604" s="27" t="str">
        <f>IF(ISNUMBER(M604),M604/L604,"No aplica")</f>
        <v>No aplica</v>
      </c>
      <c r="O604" s="25" t="str">
        <f>IF(G604="provision",M604+H604,IF(G604="recoleccion",M604-H604,"No aplica"))</f>
        <v>No aplica</v>
      </c>
      <c r="P604" s="26" t="inlineStr">
        <is>
          <t>No aplica</t>
        </is>
      </c>
    </row>
    <row r="605">
      <c r="A605" t="inlineStr">
        <is>
          <t>PRAGMA</t>
        </is>
      </c>
      <c r="B605" t="inlineStr">
        <is>
          <t>M1</t>
        </is>
      </c>
      <c r="C605" t="inlineStr">
        <is>
          <t>Cali</t>
        </is>
      </c>
      <c r="D605" t="inlineStr">
        <is>
          <t>5279</t>
        </is>
      </c>
      <c r="E605" t="inlineStr">
        <is>
          <t>TDV</t>
        </is>
      </c>
      <c r="F605" s="23" t="n">
        <v>46270</v>
      </c>
      <c r="G605" t="inlineStr">
        <is>
          <t>provision</t>
        </is>
      </c>
      <c r="H605" s="26" t="n">
        <v>352171237</v>
      </c>
      <c r="I605" t="inlineStr">
        <is>
          <t>bajo</t>
        </is>
      </c>
      <c r="J605" t="inlineStr">
        <is>
          <t>RN-11 y RN-34: provision hasta el cupo operativo antes de bajar del 8 %</t>
        </is>
      </c>
      <c r="K605" t="inlineStr">
        <is>
          <t>Provision en la manana, antes del pagado: con el pronostico, sin provision el saldo bajaria del 8 % del cupo ese dia. Lleva el saldo de 58.828.763 a 411.000.000 COP (cupo 411.000.000). Equipo administrado por TDV.</t>
        </is>
      </c>
      <c r="L605" s="26" t="n">
        <v>411000000</v>
      </c>
      <c r="M605" s="26" t="n">
        <v>58828763</v>
      </c>
      <c r="N605" s="27">
        <f>IF(ISNUMBER(M605),M605/L605,"No aplica")</f>
        <v>0.14313567639902677</v>
      </c>
      <c r="O605" s="25">
        <f>IF(G605="provision",M605+H605,IF(G605="recoleccion",M605-H605,"No aplica"))</f>
        <v>411000000</v>
      </c>
      <c r="P605" s="26" t="n">
        <v>119792</v>
      </c>
    </row>
    <row r="606">
      <c r="A606" t="inlineStr">
        <is>
          <t>PRAGMA</t>
        </is>
      </c>
      <c r="B606" t="inlineStr">
        <is>
          <t>M1</t>
        </is>
      </c>
      <c r="C606" t="inlineStr">
        <is>
          <t>Cali</t>
        </is>
      </c>
      <c r="D606" t="inlineStr">
        <is>
          <t>5279</t>
        </is>
      </c>
      <c r="E606" t="inlineStr">
        <is>
          <t>TDV</t>
        </is>
      </c>
      <c r="F606" s="23" t="n">
        <v>46275</v>
      </c>
      <c r="G606" t="inlineStr">
        <is>
          <t>provision</t>
        </is>
      </c>
      <c r="H606" s="26" t="n">
        <v>326227467</v>
      </c>
      <c r="I606" t="inlineStr">
        <is>
          <t>bajo</t>
        </is>
      </c>
      <c r="J606" t="inlineStr">
        <is>
          <t>RN-11 y RN-34: provision hasta el cupo operativo antes de bajar del 8 %</t>
        </is>
      </c>
      <c r="K606" t="inlineStr">
        <is>
          <t>Provision en la manana, antes del pagado: con el pronostico, sin provision el saldo bajaria del 8 % del cupo ese dia. Lleva el saldo de 84.772.533 a 411.000.000 COP (cupo 411.000.000). Equipo administrado por TDV.</t>
        </is>
      </c>
      <c r="L606" s="26" t="n">
        <v>411000000</v>
      </c>
      <c r="M606" s="26" t="n">
        <v>84772533</v>
      </c>
      <c r="N606" s="27">
        <f>IF(ISNUMBER(M606),M606/L606,"No aplica")</f>
        <v>0.20625920437956205</v>
      </c>
      <c r="O606" s="25">
        <f>IF(G606="provision",M606+H606,IF(G606="recoleccion",M606-H606,"No aplica"))</f>
        <v>411000000</v>
      </c>
      <c r="P606" s="26" t="n">
        <v>112165</v>
      </c>
    </row>
    <row r="607">
      <c r="A607" t="inlineStr">
        <is>
          <t>PRAGMA</t>
        </is>
      </c>
      <c r="B607" t="inlineStr">
        <is>
          <t>M1</t>
        </is>
      </c>
      <c r="C607" t="inlineStr">
        <is>
          <t>Cali</t>
        </is>
      </c>
      <c r="D607" t="inlineStr">
        <is>
          <t>5279</t>
        </is>
      </c>
      <c r="E607" t="inlineStr">
        <is>
          <t>TDV</t>
        </is>
      </c>
      <c r="F607" s="23" t="n">
        <v>46280</v>
      </c>
      <c r="G607" t="inlineStr">
        <is>
          <t>provision</t>
        </is>
      </c>
      <c r="H607" s="26" t="n">
        <v>302317735</v>
      </c>
      <c r="I607" t="inlineStr">
        <is>
          <t>bajo</t>
        </is>
      </c>
      <c r="J607" t="inlineStr">
        <is>
          <t>RN-11 y RN-34: provision hasta el cupo operativo antes de bajar del 8 %</t>
        </is>
      </c>
      <c r="K607" t="inlineStr">
        <is>
          <t>Provision en la manana, antes del pagado: con el pronostico, sin provision el saldo bajaria del 8 % del cupo ese dia. Lleva el saldo de 108.682.265 a 411.000.000 COP (cupo 411.000.000). Equipo administrado por TDV.</t>
        </is>
      </c>
      <c r="L607" s="26" t="n">
        <v>411000000</v>
      </c>
      <c r="M607" s="26" t="n">
        <v>108682265</v>
      </c>
      <c r="N607" s="27">
        <f>IF(ISNUMBER(M607),M607/L607,"No aplica")</f>
        <v>0.2644337347931873</v>
      </c>
      <c r="O607" s="25">
        <f>IF(G607="provision",M607+H607,IF(G607="recoleccion",M607-H607,"No aplica"))</f>
        <v>411000000</v>
      </c>
      <c r="P607" s="26" t="n">
        <v>105135</v>
      </c>
    </row>
    <row r="608">
      <c r="A608" t="inlineStr">
        <is>
          <t>PRAGMA</t>
        </is>
      </c>
      <c r="B608" t="inlineStr">
        <is>
          <t>M1</t>
        </is>
      </c>
      <c r="C608" t="inlineStr">
        <is>
          <t>Cali</t>
        </is>
      </c>
      <c r="D608" t="inlineStr">
        <is>
          <t>53</t>
        </is>
      </c>
      <c r="E608" t="inlineStr">
        <is>
          <t>TDV</t>
        </is>
      </c>
      <c r="F608" s="23" t="n">
        <v>46266</v>
      </c>
      <c r="G608" t="inlineStr">
        <is>
          <t>sin_accion</t>
        </is>
      </c>
      <c r="H608" s="26" t="n">
        <v>0</v>
      </c>
      <c r="I608" t="inlineStr">
        <is>
          <t>bajo</t>
        </is>
      </c>
      <c r="J608" t="inlineStr">
        <is>
          <t>RN-02: una fila sin_accion</t>
        </is>
      </c>
      <c r="K608" t="inlineStr">
        <is>
          <t>Sin accion en el horizonte: con el pronostico, el saldo se mantiene entre el umbral de agotamiento y el cupo sin necesidad de provision ni recoleccion.</t>
        </is>
      </c>
      <c r="L608" s="26" t="n">
        <v>500000000</v>
      </c>
      <c r="M608" s="26" t="inlineStr">
        <is>
          <t>No aplica</t>
        </is>
      </c>
      <c r="N608" s="27" t="str">
        <f>IF(ISNUMBER(M608),M608/L608,"No aplica")</f>
        <v>No aplica</v>
      </c>
      <c r="O608" s="25" t="str">
        <f>IF(G608="provision",M608+H608,IF(G608="recoleccion",M608-H608,"No aplica"))</f>
        <v>No aplica</v>
      </c>
      <c r="P608" s="26" t="inlineStr">
        <is>
          <t>No aplica</t>
        </is>
      </c>
    </row>
    <row r="609">
      <c r="A609" t="inlineStr">
        <is>
          <t>PRAGMA</t>
        </is>
      </c>
      <c r="B609" t="inlineStr">
        <is>
          <t>M1</t>
        </is>
      </c>
      <c r="C609" t="inlineStr">
        <is>
          <t>Cali</t>
        </is>
      </c>
      <c r="D609" t="inlineStr">
        <is>
          <t>5306</t>
        </is>
      </c>
      <c r="E609" t="inlineStr">
        <is>
          <t>TDV</t>
        </is>
      </c>
      <c r="F609" s="23" t="n">
        <v>46280</v>
      </c>
      <c r="G609" t="inlineStr">
        <is>
          <t>provision</t>
        </is>
      </c>
      <c r="H609" s="26" t="n">
        <v>350250202</v>
      </c>
      <c r="I609" t="inlineStr">
        <is>
          <t>bajo</t>
        </is>
      </c>
      <c r="J609" t="inlineStr">
        <is>
          <t>RN-11 y RN-34: provision hasta el cupo operativo antes de bajar del 8 %</t>
        </is>
      </c>
      <c r="K609" t="inlineStr">
        <is>
          <t>Provision en la manana, antes del pagado: con el pronostico, sin provision el saldo bajaria del 8 % del cupo ese dia. Lleva el saldo de 60.749.798 a 411.000.000 COP (cupo 411.000.000). Equipo administrado por TDV.</t>
        </is>
      </c>
      <c r="L609" s="26" t="n">
        <v>411000000</v>
      </c>
      <c r="M609" s="26" t="n">
        <v>60749798</v>
      </c>
      <c r="N609" s="27">
        <f>IF(ISNUMBER(M609),M609/L609,"No aplica")</f>
        <v>0.14780972749391727</v>
      </c>
      <c r="O609" s="25">
        <f>IF(G609="provision",M609+H609,IF(G609="recoleccion",M609-H609,"No aplica"))</f>
        <v>411000000</v>
      </c>
      <c r="P609" s="26" t="n">
        <v>173591</v>
      </c>
    </row>
    <row r="610">
      <c r="A610" t="inlineStr">
        <is>
          <t>PRAGMA</t>
        </is>
      </c>
      <c r="B610" t="inlineStr">
        <is>
          <t>M1</t>
        </is>
      </c>
      <c r="C610" t="inlineStr">
        <is>
          <t>Cali</t>
        </is>
      </c>
      <c r="D610" t="inlineStr">
        <is>
          <t>5336</t>
        </is>
      </c>
      <c r="E610" t="inlineStr">
        <is>
          <t>TDV</t>
        </is>
      </c>
      <c r="F610" s="23" t="n">
        <v>46277</v>
      </c>
      <c r="G610" t="inlineStr">
        <is>
          <t>provision</t>
        </is>
      </c>
      <c r="H610" s="26" t="n">
        <v>359244300</v>
      </c>
      <c r="I610" t="inlineStr">
        <is>
          <t>bajo</t>
        </is>
      </c>
      <c r="J610" t="inlineStr">
        <is>
          <t>RN-11 y RN-34: provision hasta el cupo operativo antes de bajar del 8 %</t>
        </is>
      </c>
      <c r="K610" t="inlineStr">
        <is>
          <t>Provision en la manana, antes del pagado: con el pronostico, sin provision el saldo bajaria del 8 % del cupo ese dia. Lleva el saldo de 45.755.700 a 405.000.000 COP (cupo 405.000.000). Equipo administrado por TDV.</t>
        </is>
      </c>
      <c r="L610" s="26" t="n">
        <v>405000000</v>
      </c>
      <c r="M610" s="26" t="n">
        <v>45755700</v>
      </c>
      <c r="N610" s="27">
        <f>IF(ISNUMBER(M610),M610/L610,"No aplica")</f>
        <v>0.11297703703703704</v>
      </c>
      <c r="O610" s="25">
        <f>IF(G610="provision",M610+H610,IF(G610="recoleccion",M610-H610,"No aplica"))</f>
        <v>405000000</v>
      </c>
      <c r="P610" s="26" t="n">
        <v>152822</v>
      </c>
    </row>
    <row r="611">
      <c r="A611" t="inlineStr">
        <is>
          <t>PRAGMA</t>
        </is>
      </c>
      <c r="B611" t="inlineStr">
        <is>
          <t>M1</t>
        </is>
      </c>
      <c r="C611" t="inlineStr">
        <is>
          <t>Cali</t>
        </is>
      </c>
      <c r="D611" t="inlineStr">
        <is>
          <t>5382</t>
        </is>
      </c>
      <c r="E611" t="inlineStr">
        <is>
          <t>Sucursal</t>
        </is>
      </c>
      <c r="F611" s="23" t="n">
        <v>46267</v>
      </c>
      <c r="G611" t="inlineStr">
        <is>
          <t>provision</t>
        </is>
      </c>
      <c r="H611" s="26" t="n">
        <v>277813158</v>
      </c>
      <c r="I611" t="inlineStr">
        <is>
          <t>bajo</t>
        </is>
      </c>
      <c r="J611" t="inlineStr">
        <is>
          <t>RN-11 y RN-34: provision hasta el cupo operativo antes de bajar del 8 %</t>
        </is>
      </c>
      <c r="K611" t="inlineStr">
        <is>
          <t>Provision en la manana, antes del pagado: con el pronostico, sin provision el saldo bajaria del 8 % del cupo ese dia. Lleva el saldo de 172.186.842 a 450.000.000 COP (cupo 450.000.000). Equipo administrado por Sucursal. Sin tarifa TDV (administrado por la sucursal): costo 0 declarado.</t>
        </is>
      </c>
      <c r="L611" s="26" t="n">
        <v>450000000</v>
      </c>
      <c r="M611" s="26" t="n">
        <v>172186842</v>
      </c>
      <c r="N611" s="27">
        <f>IF(ISNUMBER(M611),M611/L611,"No aplica")</f>
        <v>0.38263742666666667</v>
      </c>
      <c r="O611" s="25">
        <f>IF(G611="provision",M611+H611,IF(G611="recoleccion",M611-H611,"No aplica"))</f>
        <v>450000000</v>
      </c>
      <c r="P611" s="26" t="n">
        <v>0</v>
      </c>
    </row>
    <row r="612">
      <c r="A612" t="inlineStr">
        <is>
          <t>PRAGMA</t>
        </is>
      </c>
      <c r="B612" t="inlineStr">
        <is>
          <t>M1</t>
        </is>
      </c>
      <c r="C612" t="inlineStr">
        <is>
          <t>Cali</t>
        </is>
      </c>
      <c r="D612" t="inlineStr">
        <is>
          <t>5382</t>
        </is>
      </c>
      <c r="E612" t="inlineStr">
        <is>
          <t>Sucursal</t>
        </is>
      </c>
      <c r="F612" s="23" t="n">
        <v>46269</v>
      </c>
      <c r="G612" t="inlineStr">
        <is>
          <t>provision</t>
        </is>
      </c>
      <c r="H612" s="26" t="n">
        <v>400286583</v>
      </c>
      <c r="I612" t="inlineStr">
        <is>
          <t>bajo</t>
        </is>
      </c>
      <c r="J612" t="inlineStr">
        <is>
          <t>RN-11 y RN-34: provision hasta el cupo operativo antes de bajar del 8 %</t>
        </is>
      </c>
      <c r="K612" t="inlineStr">
        <is>
          <t>Provision en la manana, antes del pagado: con el pronostico, sin provision el saldo bajaria del 8 % del cupo ese dia. Lleva el saldo de 49.713.417 a 450.000.000 COP (cupo 450.000.000). Equipo administrado por Sucursal. Sin tarifa TDV (administrado por la sucursal): costo 0 declarado.</t>
        </is>
      </c>
      <c r="L612" s="26" t="n">
        <v>450000000</v>
      </c>
      <c r="M612" s="26" t="n">
        <v>49713417</v>
      </c>
      <c r="N612" s="27">
        <f>IF(ISNUMBER(M612),M612/L612,"No aplica")</f>
        <v>0.11047426</v>
      </c>
      <c r="O612" s="25">
        <f>IF(G612="provision",M612+H612,IF(G612="recoleccion",M612-H612,"No aplica"))</f>
        <v>450000000</v>
      </c>
      <c r="P612" s="26" t="n">
        <v>0</v>
      </c>
    </row>
    <row r="613">
      <c r="A613" t="inlineStr">
        <is>
          <t>PRAGMA</t>
        </is>
      </c>
      <c r="B613" t="inlineStr">
        <is>
          <t>M1</t>
        </is>
      </c>
      <c r="C613" t="inlineStr">
        <is>
          <t>Cali</t>
        </is>
      </c>
      <c r="D613" t="inlineStr">
        <is>
          <t>5382</t>
        </is>
      </c>
      <c r="E613" t="inlineStr">
        <is>
          <t>Sucursal</t>
        </is>
      </c>
      <c r="F613" s="23" t="n">
        <v>46271</v>
      </c>
      <c r="G613" t="inlineStr">
        <is>
          <t>provision</t>
        </is>
      </c>
      <c r="H613" s="26" t="n">
        <v>349807972</v>
      </c>
      <c r="I613" t="inlineStr">
        <is>
          <t>bajo</t>
        </is>
      </c>
      <c r="J613" t="inlineStr">
        <is>
          <t>RN-11 y RN-34: provision hasta el cupo operativo antes de bajar del 8 %</t>
        </is>
      </c>
      <c r="K613" t="inlineStr">
        <is>
          <t>Provision en la manana, antes del pagado: con el pronostico, sin provision el saldo bajaria del 8 % del cupo ese dia. Lleva el saldo de 100.192.028 a 450.000.000 COP (cupo 450.000.000). Equipo administrado por Sucursal. Sin tarifa TDV (administrado por la sucursal): costo 0 declarado.</t>
        </is>
      </c>
      <c r="L613" s="26" t="n">
        <v>450000000</v>
      </c>
      <c r="M613" s="26" t="n">
        <v>100192028</v>
      </c>
      <c r="N613" s="27">
        <f>IF(ISNUMBER(M613),M613/L613,"No aplica")</f>
        <v>0.2226489511111111</v>
      </c>
      <c r="O613" s="25">
        <f>IF(G613="provision",M613+H613,IF(G613="recoleccion",M613-H613,"No aplica"))</f>
        <v>450000000</v>
      </c>
      <c r="P613" s="26" t="n">
        <v>0</v>
      </c>
    </row>
    <row r="614">
      <c r="A614" t="inlineStr">
        <is>
          <t>PRAGMA</t>
        </is>
      </c>
      <c r="B614" t="inlineStr">
        <is>
          <t>M1</t>
        </is>
      </c>
      <c r="C614" t="inlineStr">
        <is>
          <t>Cali</t>
        </is>
      </c>
      <c r="D614" t="inlineStr">
        <is>
          <t>5382</t>
        </is>
      </c>
      <c r="E614" t="inlineStr">
        <is>
          <t>Sucursal</t>
        </is>
      </c>
      <c r="F614" s="23" t="n">
        <v>46274</v>
      </c>
      <c r="G614" t="inlineStr">
        <is>
          <t>provision</t>
        </is>
      </c>
      <c r="H614" s="26" t="n">
        <v>323522470</v>
      </c>
      <c r="I614" t="inlineStr">
        <is>
          <t>bajo</t>
        </is>
      </c>
      <c r="J614" t="inlineStr">
        <is>
          <t>RN-11 y RN-34: provision hasta el cupo operativo antes de bajar del 8 %</t>
        </is>
      </c>
      <c r="K614" t="inlineStr">
        <is>
          <t>Provision en la manana, antes del pagado: con el pronostico, sin provision el saldo bajaria del 8 % del cupo ese dia. Lleva el saldo de 126.477.530 a 450.000.000 COP (cupo 450.000.000). Equipo administrado por Sucursal. Sin tarifa TDV (administrado por la sucursal): costo 0 declarado.</t>
        </is>
      </c>
      <c r="L614" s="26" t="n">
        <v>450000000</v>
      </c>
      <c r="M614" s="26" t="n">
        <v>126477530</v>
      </c>
      <c r="N614" s="27">
        <f>IF(ISNUMBER(M614),M614/L614,"No aplica")</f>
        <v>0.2810611777777778</v>
      </c>
      <c r="O614" s="25">
        <f>IF(G614="provision",M614+H614,IF(G614="recoleccion",M614-H614,"No aplica"))</f>
        <v>450000000</v>
      </c>
      <c r="P614" s="26" t="n">
        <v>0</v>
      </c>
    </row>
    <row r="615">
      <c r="A615" t="inlineStr">
        <is>
          <t>PRAGMA</t>
        </is>
      </c>
      <c r="B615" t="inlineStr">
        <is>
          <t>M1</t>
        </is>
      </c>
      <c r="C615" t="inlineStr">
        <is>
          <t>Cali</t>
        </is>
      </c>
      <c r="D615" t="inlineStr">
        <is>
          <t>5382</t>
        </is>
      </c>
      <c r="E615" t="inlineStr">
        <is>
          <t>Sucursal</t>
        </is>
      </c>
      <c r="F615" s="23" t="n">
        <v>46277</v>
      </c>
      <c r="G615" t="inlineStr">
        <is>
          <t>provision</t>
        </is>
      </c>
      <c r="H615" s="26" t="n">
        <v>325745918</v>
      </c>
      <c r="I615" t="inlineStr">
        <is>
          <t>bajo</t>
        </is>
      </c>
      <c r="J615" t="inlineStr">
        <is>
          <t>RN-11 y RN-34: provision hasta el cupo operativo antes de bajar del 8 %</t>
        </is>
      </c>
      <c r="K615" t="inlineStr">
        <is>
          <t>Provision en la manana, antes del pagado: con el pronostico, sin provision el saldo bajaria del 8 % del cupo ese dia. Lleva el saldo de 124.254.082 a 450.000.000 COP (cupo 450.000.000). Equipo administrado por Sucursal. Sin tarifa TDV (administrado por la sucursal): costo 0 declarado.</t>
        </is>
      </c>
      <c r="L615" s="26" t="n">
        <v>450000000</v>
      </c>
      <c r="M615" s="26" t="n">
        <v>124254082</v>
      </c>
      <c r="N615" s="27">
        <f>IF(ISNUMBER(M615),M615/L615,"No aplica")</f>
        <v>0.27612018222222223</v>
      </c>
      <c r="O615" s="25">
        <f>IF(G615="provision",M615+H615,IF(G615="recoleccion",M615-H615,"No aplica"))</f>
        <v>450000000</v>
      </c>
      <c r="P615" s="26" t="n">
        <v>0</v>
      </c>
    </row>
    <row r="616">
      <c r="A616" t="inlineStr">
        <is>
          <t>PRAGMA</t>
        </is>
      </c>
      <c r="B616" t="inlineStr">
        <is>
          <t>M1</t>
        </is>
      </c>
      <c r="C616" t="inlineStr">
        <is>
          <t>Cali</t>
        </is>
      </c>
      <c r="D616" t="inlineStr">
        <is>
          <t>5382</t>
        </is>
      </c>
      <c r="E616" t="inlineStr">
        <is>
          <t>Sucursal</t>
        </is>
      </c>
      <c r="F616" s="23" t="n">
        <v>46280</v>
      </c>
      <c r="G616" t="inlineStr">
        <is>
          <t>provision</t>
        </is>
      </c>
      <c r="H616" s="26" t="n">
        <v>299533910</v>
      </c>
      <c r="I616" t="inlineStr">
        <is>
          <t>bajo</t>
        </is>
      </c>
      <c r="J616" t="inlineStr">
        <is>
          <t>RN-11 y RN-34: provision hasta el cupo operativo antes de bajar del 8 %</t>
        </is>
      </c>
      <c r="K616" t="inlineStr">
        <is>
          <t>Provision en la manana, antes del pagado: con el pronostico, sin provision el saldo bajaria del 8 % del cupo ese dia. Lleva el saldo de 150.466.090 a 450.000.000 COP (cupo 450.000.000). Equipo administrado por Sucursal. Sin tarifa TDV (administrado por la sucursal): costo 0 declarado.</t>
        </is>
      </c>
      <c r="L616" s="26" t="n">
        <v>450000000</v>
      </c>
      <c r="M616" s="26" t="n">
        <v>150466090</v>
      </c>
      <c r="N616" s="27">
        <f>IF(ISNUMBER(M616),M616/L616,"No aplica")</f>
        <v>0.3343690888888889</v>
      </c>
      <c r="O616" s="25">
        <f>IF(G616="provision",M616+H616,IF(G616="recoleccion",M616-H616,"No aplica"))</f>
        <v>450000000</v>
      </c>
      <c r="P616" s="26" t="n">
        <v>0</v>
      </c>
    </row>
    <row r="617">
      <c r="A617" t="inlineStr">
        <is>
          <t>PRAGMA</t>
        </is>
      </c>
      <c r="B617" t="inlineStr">
        <is>
          <t>M1</t>
        </is>
      </c>
      <c r="C617" t="inlineStr">
        <is>
          <t>Cali</t>
        </is>
      </c>
      <c r="D617" t="inlineStr">
        <is>
          <t>5397</t>
        </is>
      </c>
      <c r="E617" t="inlineStr">
        <is>
          <t>TDV</t>
        </is>
      </c>
      <c r="F617" s="23" t="n">
        <v>46268</v>
      </c>
      <c r="G617" t="inlineStr">
        <is>
          <t>provision</t>
        </is>
      </c>
      <c r="H617" s="26" t="n">
        <v>271738058</v>
      </c>
      <c r="I617" t="inlineStr">
        <is>
          <t>bajo</t>
        </is>
      </c>
      <c r="J617" t="inlineStr">
        <is>
          <t>RN-11 y RN-34: provision hasta el cupo operativo antes de bajar del 8 %</t>
        </is>
      </c>
      <c r="K617" t="inlineStr">
        <is>
          <t>Provision en la manana, antes del pagado: con el pronostico, sin provision el saldo bajaria del 8 % del cupo ese dia. Lleva el saldo de 139.261.942 a 411.000.000 COP (cupo 411.000.000). Equipo administrado por TDV.</t>
        </is>
      </c>
      <c r="L617" s="26" t="n">
        <v>411000000</v>
      </c>
      <c r="M617" s="26" t="n">
        <v>139261942</v>
      </c>
      <c r="N617" s="27">
        <f>IF(ISNUMBER(M617),M617/L617,"No aplica")</f>
        <v>0.3388368418491484</v>
      </c>
      <c r="O617" s="25">
        <f>IF(G617="provision",M617+H617,IF(G617="recoleccion",M617-H617,"No aplica"))</f>
        <v>411000000</v>
      </c>
      <c r="P617" s="26" t="n">
        <v>141773</v>
      </c>
    </row>
    <row r="618">
      <c r="A618" t="inlineStr">
        <is>
          <t>PRAGMA</t>
        </is>
      </c>
      <c r="B618" t="inlineStr">
        <is>
          <t>M1</t>
        </is>
      </c>
      <c r="C618" t="inlineStr">
        <is>
          <t>Cali</t>
        </is>
      </c>
      <c r="D618" t="inlineStr">
        <is>
          <t>5397</t>
        </is>
      </c>
      <c r="E618" t="inlineStr">
        <is>
          <t>TDV</t>
        </is>
      </c>
      <c r="F618" s="23" t="n">
        <v>46271</v>
      </c>
      <c r="G618" t="inlineStr">
        <is>
          <t>provision</t>
        </is>
      </c>
      <c r="H618" s="26" t="n">
        <v>344497726</v>
      </c>
      <c r="I618" t="inlineStr">
        <is>
          <t>bajo</t>
        </is>
      </c>
      <c r="J618" t="inlineStr">
        <is>
          <t>RN-11 y RN-34: provision hasta el cupo operativo antes de bajar del 8 %</t>
        </is>
      </c>
      <c r="K618" t="inlineStr">
        <is>
          <t>Provision en la manana, antes del pagado: con el pronostico, sin provision el saldo bajaria del 8 % del cupo ese dia. Lleva el saldo de 66.502.274 a 411.000.000 COP (cupo 411.000.000). Equipo administrado por TDV.</t>
        </is>
      </c>
      <c r="L618" s="26" t="n">
        <v>411000000</v>
      </c>
      <c r="M618" s="26" t="n">
        <v>66502274</v>
      </c>
      <c r="N618" s="27">
        <f>IF(ISNUMBER(M618),M618/L618,"No aplica")</f>
        <v>0.1618060194647202</v>
      </c>
      <c r="O618" s="25">
        <f>IF(G618="provision",M618+H618,IF(G618="recoleccion",M618-H618,"No aplica"))</f>
        <v>411000000</v>
      </c>
      <c r="P618" s="26" t="n">
        <v>239112</v>
      </c>
    </row>
    <row r="619">
      <c r="A619" t="inlineStr">
        <is>
          <t>PRAGMA</t>
        </is>
      </c>
      <c r="B619" t="inlineStr">
        <is>
          <t>M1</t>
        </is>
      </c>
      <c r="C619" t="inlineStr">
        <is>
          <t>Cali</t>
        </is>
      </c>
      <c r="D619" t="inlineStr">
        <is>
          <t>5397</t>
        </is>
      </c>
      <c r="E619" t="inlineStr">
        <is>
          <t>TDV</t>
        </is>
      </c>
      <c r="F619" s="23" t="n">
        <v>46275</v>
      </c>
      <c r="G619" t="inlineStr">
        <is>
          <t>provision</t>
        </is>
      </c>
      <c r="H619" s="26" t="n">
        <v>355184666</v>
      </c>
      <c r="I619" t="inlineStr">
        <is>
          <t>bajo</t>
        </is>
      </c>
      <c r="J619" t="inlineStr">
        <is>
          <t>RN-11 y RN-34: provision hasta el cupo operativo antes de bajar del 8 %</t>
        </is>
      </c>
      <c r="K619" t="inlineStr">
        <is>
          <t>Provision en la manana, antes del pagado: con el pronostico, sin provision el saldo bajaria del 8 % del cupo ese dia. Lleva el saldo de 55.815.334 a 411.000.000 COP (cupo 411.000.000). Equipo administrado por TDV.</t>
        </is>
      </c>
      <c r="L619" s="26" t="n">
        <v>411000000</v>
      </c>
      <c r="M619" s="26" t="n">
        <v>55815334</v>
      </c>
      <c r="N619" s="27">
        <f>IF(ISNUMBER(M619),M619/L619,"No aplica")</f>
        <v>0.13580373236009732</v>
      </c>
      <c r="O619" s="25">
        <f>IF(G619="provision",M619+H619,IF(G619="recoleccion",M619-H619,"No aplica"))</f>
        <v>411000000</v>
      </c>
      <c r="P619" s="26" t="n">
        <v>179490</v>
      </c>
    </row>
    <row r="620">
      <c r="A620" t="inlineStr">
        <is>
          <t>PRAGMA</t>
        </is>
      </c>
      <c r="B620" t="inlineStr">
        <is>
          <t>M1</t>
        </is>
      </c>
      <c r="C620" t="inlineStr">
        <is>
          <t>Cali</t>
        </is>
      </c>
      <c r="D620" t="inlineStr">
        <is>
          <t>5397</t>
        </is>
      </c>
      <c r="E620" t="inlineStr">
        <is>
          <t>TDV</t>
        </is>
      </c>
      <c r="F620" s="23" t="n">
        <v>46279</v>
      </c>
      <c r="G620" t="inlineStr">
        <is>
          <t>provision</t>
        </is>
      </c>
      <c r="H620" s="26" t="n">
        <v>319605643</v>
      </c>
      <c r="I620" t="inlineStr">
        <is>
          <t>bajo</t>
        </is>
      </c>
      <c r="J620" t="inlineStr">
        <is>
          <t>RN-11 y RN-34: provision hasta el cupo operativo antes de bajar del 8 %</t>
        </is>
      </c>
      <c r="K620" t="inlineStr">
        <is>
          <t>Provision en la manana, antes del pagado: con el pronostico, sin provision el saldo bajaria del 8 % del cupo ese dia. Lleva el saldo de 91.394.357 a 411.000.000 COP (cupo 411.000.000). Equipo administrado por TDV.</t>
        </is>
      </c>
      <c r="L620" s="26" t="n">
        <v>411000000</v>
      </c>
      <c r="M620" s="26" t="n">
        <v>91394357</v>
      </c>
      <c r="N620" s="27">
        <f>IF(ISNUMBER(M620),M620/L620,"No aplica")</f>
        <v>0.22237069829683698</v>
      </c>
      <c r="O620" s="25">
        <f>IF(G620="provision",M620+H620,IF(G620="recoleccion",M620-H620,"No aplica"))</f>
        <v>411000000</v>
      </c>
      <c r="P620" s="26" t="n">
        <v>163409</v>
      </c>
    </row>
    <row r="621">
      <c r="A621" t="inlineStr">
        <is>
          <t>PRAGMA</t>
        </is>
      </c>
      <c r="B621" t="inlineStr">
        <is>
          <t>M1</t>
        </is>
      </c>
      <c r="C621" t="inlineStr">
        <is>
          <t>Cali</t>
        </is>
      </c>
      <c r="D621" t="inlineStr">
        <is>
          <t>5406</t>
        </is>
      </c>
      <c r="E621" t="inlineStr">
        <is>
          <t>TDV</t>
        </is>
      </c>
      <c r="F621" s="23" t="n">
        <v>46275</v>
      </c>
      <c r="G621" t="inlineStr">
        <is>
          <t>provision</t>
        </is>
      </c>
      <c r="H621" s="26" t="n">
        <v>345431405</v>
      </c>
      <c r="I621" t="inlineStr">
        <is>
          <t>bajo</t>
        </is>
      </c>
      <c r="J621" t="inlineStr">
        <is>
          <t>RN-11 y RN-34: provision hasta el cupo operativo antes de bajar del 8 %</t>
        </is>
      </c>
      <c r="K621" t="inlineStr">
        <is>
          <t>Provision en la manana, antes del pagado: con el pronostico, sin provision el saldo bajaria del 8 % del cupo ese dia. Lleva el saldo de 59.568.595 a 405.000.000 COP (cupo 405.000.000). Equipo administrado por TDV.</t>
        </is>
      </c>
      <c r="L621" s="26" t="n">
        <v>405000000</v>
      </c>
      <c r="M621" s="26" t="n">
        <v>59568595</v>
      </c>
      <c r="N621" s="27">
        <f>IF(ISNUMBER(M621),M621/L621,"No aplica")</f>
        <v>0.14708295061728396</v>
      </c>
      <c r="O621" s="25">
        <f>IF(G621="provision",M621+H621,IF(G621="recoleccion",M621-H621,"No aplica"))</f>
        <v>405000000</v>
      </c>
      <c r="P621" s="26" t="n">
        <v>175082</v>
      </c>
    </row>
    <row r="622">
      <c r="A622" t="inlineStr">
        <is>
          <t>PRAGMA</t>
        </is>
      </c>
      <c r="B622" t="inlineStr">
        <is>
          <t>M1</t>
        </is>
      </c>
      <c r="C622" t="inlineStr">
        <is>
          <t>Cali</t>
        </is>
      </c>
      <c r="D622" t="inlineStr">
        <is>
          <t>5426</t>
        </is>
      </c>
      <c r="E622" t="inlineStr">
        <is>
          <t>TDV</t>
        </is>
      </c>
      <c r="F622" s="23" t="n">
        <v>46275</v>
      </c>
      <c r="G622" t="inlineStr">
        <is>
          <t>provision</t>
        </is>
      </c>
      <c r="H622" s="26" t="n">
        <v>374624158</v>
      </c>
      <c r="I622" t="inlineStr">
        <is>
          <t>bajo</t>
        </is>
      </c>
      <c r="J622" t="inlineStr">
        <is>
          <t>RN-11 y RN-34: provision hasta el cupo operativo antes de bajar del 8 %</t>
        </is>
      </c>
      <c r="K622" t="inlineStr">
        <is>
          <t>Provision en la manana, antes del pagado: con el pronostico, sin provision el saldo bajaria del 8 % del cupo ese dia. Lleva el saldo de 36.375.842 a 411.000.000 COP (cupo 411.000.000). Equipo administrado por TDV.</t>
        </is>
      </c>
      <c r="L622" s="26" t="n">
        <v>411000000</v>
      </c>
      <c r="M622" s="26" t="n">
        <v>36375842</v>
      </c>
      <c r="N622" s="27">
        <f>IF(ISNUMBER(M622),M622/L622,"No aplica")</f>
        <v>0.08850569829683698</v>
      </c>
      <c r="O622" s="25">
        <f>IF(G622="provision",M622+H622,IF(G622="recoleccion",M622-H622,"No aplica"))</f>
        <v>411000000</v>
      </c>
      <c r="P622" s="26" t="n">
        <v>188277</v>
      </c>
    </row>
    <row r="623">
      <c r="A623" t="inlineStr">
        <is>
          <t>PRAGMA</t>
        </is>
      </c>
      <c r="B623" t="inlineStr">
        <is>
          <t>M1</t>
        </is>
      </c>
      <c r="C623" t="inlineStr">
        <is>
          <t>Cali</t>
        </is>
      </c>
      <c r="D623" t="inlineStr">
        <is>
          <t>5437</t>
        </is>
      </c>
      <c r="E623" t="inlineStr">
        <is>
          <t>TDV</t>
        </is>
      </c>
      <c r="F623" s="23" t="n">
        <v>46270</v>
      </c>
      <c r="G623" t="inlineStr">
        <is>
          <t>provision</t>
        </is>
      </c>
      <c r="H623" s="26" t="n">
        <v>430880067</v>
      </c>
      <c r="I623" t="inlineStr">
        <is>
          <t>bajo</t>
        </is>
      </c>
      <c r="J623" t="inlineStr">
        <is>
          <t>RN-11 y RN-34: provision hasta el cupo operativo antes de bajar del 8 %</t>
        </is>
      </c>
      <c r="K623" t="inlineStr">
        <is>
          <t>Provision en la manana, antes del pagado: con el pronostico, sin provision el saldo bajaria del 8 % del cupo ese dia. Lleva el saldo de 69.119.933 a 500.000.000 COP (cupo 500.000.000). Equipo administrado por TDV.</t>
        </is>
      </c>
      <c r="L623" s="26" t="n">
        <v>500000000</v>
      </c>
      <c r="M623" s="26" t="n">
        <v>69119933</v>
      </c>
      <c r="N623" s="27">
        <f>IF(ISNUMBER(M623),M623/L623,"No aplica")</f>
        <v>0.138239866</v>
      </c>
      <c r="O623" s="25">
        <f>IF(G623="provision",M623+H623,IF(G623="recoleccion",M623-H623,"No aplica"))</f>
        <v>500000000</v>
      </c>
      <c r="P623" s="26" t="n">
        <v>185402</v>
      </c>
    </row>
    <row r="624">
      <c r="A624" t="inlineStr">
        <is>
          <t>PRAGMA</t>
        </is>
      </c>
      <c r="B624" t="inlineStr">
        <is>
          <t>M1</t>
        </is>
      </c>
      <c r="C624" t="inlineStr">
        <is>
          <t>Cali</t>
        </is>
      </c>
      <c r="D624" t="inlineStr">
        <is>
          <t>5437</t>
        </is>
      </c>
      <c r="E624" t="inlineStr">
        <is>
          <t>TDV</t>
        </is>
      </c>
      <c r="F624" s="23" t="n">
        <v>46276</v>
      </c>
      <c r="G624" t="inlineStr">
        <is>
          <t>provision</t>
        </is>
      </c>
      <c r="H624" s="26" t="n">
        <v>407517136</v>
      </c>
      <c r="I624" t="inlineStr">
        <is>
          <t>bajo</t>
        </is>
      </c>
      <c r="J624" t="inlineStr">
        <is>
          <t>RN-11 y RN-34: provision hasta el cupo operativo antes de bajar del 8 %</t>
        </is>
      </c>
      <c r="K624" t="inlineStr">
        <is>
          <t>Provision en la manana, antes del pagado: con el pronostico, sin provision el saldo bajaria del 8 % del cupo ese dia. Lleva el saldo de 92.482.864 a 500.000.000 COP (cupo 500.000.000). Equipo administrado por TDV.</t>
        </is>
      </c>
      <c r="L624" s="26" t="n">
        <v>500000000</v>
      </c>
      <c r="M624" s="26" t="n">
        <v>92482864</v>
      </c>
      <c r="N624" s="27">
        <f>IF(ISNUMBER(M624),M624/L624,"No aplica")</f>
        <v>0.184965728</v>
      </c>
      <c r="O624" s="25">
        <f>IF(G624="provision",M624+H624,IF(G624="recoleccion",M624-H624,"No aplica"))</f>
        <v>500000000</v>
      </c>
      <c r="P624" s="26" t="n">
        <v>176360</v>
      </c>
    </row>
    <row r="625">
      <c r="A625" t="inlineStr">
        <is>
          <t>PRAGMA</t>
        </is>
      </c>
      <c r="B625" t="inlineStr">
        <is>
          <t>M1</t>
        </is>
      </c>
      <c r="C625" t="inlineStr">
        <is>
          <t>Cali</t>
        </is>
      </c>
      <c r="D625" t="inlineStr">
        <is>
          <t>5456</t>
        </is>
      </c>
      <c r="E625" t="inlineStr">
        <is>
          <t>TDV</t>
        </is>
      </c>
      <c r="F625" s="23" t="n">
        <v>46270</v>
      </c>
      <c r="G625" t="inlineStr">
        <is>
          <t>provision</t>
        </is>
      </c>
      <c r="H625" s="26" t="n">
        <v>359501541</v>
      </c>
      <c r="I625" t="inlineStr">
        <is>
          <t>bajo</t>
        </is>
      </c>
      <c r="J625" t="inlineStr">
        <is>
          <t>RN-11 y RN-34: provision hasta el cupo operativo antes de bajar del 8 %</t>
        </is>
      </c>
      <c r="K625" t="inlineStr">
        <is>
          <t>Provision en la manana, antes del pagado: con el pronostico, sin provision el saldo bajaria del 8 % del cupo ese dia. Lleva el saldo de 51.498.459 a 411.000.000 COP (cupo 411.000.000). Equipo administrado por TDV.</t>
        </is>
      </c>
      <c r="L625" s="26" t="n">
        <v>411000000</v>
      </c>
      <c r="M625" s="26" t="n">
        <v>51498459</v>
      </c>
      <c r="N625" s="27">
        <f>IF(ISNUMBER(M625),M625/L625,"No aplica")</f>
        <v>0.12530038686131387</v>
      </c>
      <c r="O625" s="25">
        <f>IF(G625="provision",M625+H625,IF(G625="recoleccion",M625-H625,"No aplica"))</f>
        <v>411000000</v>
      </c>
      <c r="P625" s="26" t="n">
        <v>202835</v>
      </c>
    </row>
    <row r="626">
      <c r="A626" t="inlineStr">
        <is>
          <t>PRAGMA</t>
        </is>
      </c>
      <c r="B626" t="inlineStr">
        <is>
          <t>M1</t>
        </is>
      </c>
      <c r="C626" t="inlineStr">
        <is>
          <t>Cali</t>
        </is>
      </c>
      <c r="D626" t="inlineStr">
        <is>
          <t>5467</t>
        </is>
      </c>
      <c r="E626" t="inlineStr">
        <is>
          <t>TDV</t>
        </is>
      </c>
      <c r="F626" s="23" t="n">
        <v>46268</v>
      </c>
      <c r="G626" t="inlineStr">
        <is>
          <t>provision</t>
        </is>
      </c>
      <c r="H626" s="26" t="n">
        <v>328581446</v>
      </c>
      <c r="I626" t="inlineStr">
        <is>
          <t>bajo</t>
        </is>
      </c>
      <c r="J626" t="inlineStr">
        <is>
          <t>RN-11 y RN-34: provision hasta el cupo operativo antes de bajar del 8 %</t>
        </is>
      </c>
      <c r="K626" t="inlineStr">
        <is>
          <t>Provision en la manana, antes del pagado: con el pronostico, sin provision el saldo bajaria del 8 % del cupo ese dia. Lleva el saldo de 82.418.554 a 411.000.000 COP (cupo 411.000.000). Equipo administrado por TDV.</t>
        </is>
      </c>
      <c r="L626" s="26" t="n">
        <v>411000000</v>
      </c>
      <c r="M626" s="26" t="n">
        <v>82418554</v>
      </c>
      <c r="N626" s="27">
        <f>IF(ISNUMBER(M626),M626/L626,"No aplica")</f>
        <v>0.2005317615571776</v>
      </c>
      <c r="O626" s="25">
        <f>IF(G626="provision",M626+H626,IF(G626="recoleccion",M626-H626,"No aplica"))</f>
        <v>411000000</v>
      </c>
      <c r="P626" s="26" t="n">
        <v>164013</v>
      </c>
    </row>
    <row r="627">
      <c r="A627" t="inlineStr">
        <is>
          <t>PRAGMA</t>
        </is>
      </c>
      <c r="B627" t="inlineStr">
        <is>
          <t>M1</t>
        </is>
      </c>
      <c r="C627" t="inlineStr">
        <is>
          <t>Cali</t>
        </is>
      </c>
      <c r="D627" t="inlineStr">
        <is>
          <t>5467</t>
        </is>
      </c>
      <c r="E627" t="inlineStr">
        <is>
          <t>TDV</t>
        </is>
      </c>
      <c r="F627" s="23" t="n">
        <v>46270</v>
      </c>
      <c r="G627" t="inlineStr">
        <is>
          <t>provision</t>
        </is>
      </c>
      <c r="H627" s="26" t="n">
        <v>269482573</v>
      </c>
      <c r="I627" t="inlineStr">
        <is>
          <t>bajo</t>
        </is>
      </c>
      <c r="J627" t="inlineStr">
        <is>
          <t>RN-11 y RN-34: provision hasta el cupo operativo antes de bajar del 8 %</t>
        </is>
      </c>
      <c r="K627" t="inlineStr">
        <is>
          <t>Provision en la manana, antes del pagado: con el pronostico, sin provision el saldo bajaria del 8 % del cupo ese dia. Lleva el saldo de 141.517.427 a 411.000.000 COP (cupo 411.000.000). Equipo administrado por TDV.</t>
        </is>
      </c>
      <c r="L627" s="26" t="n">
        <v>411000000</v>
      </c>
      <c r="M627" s="26" t="n">
        <v>141517427</v>
      </c>
      <c r="N627" s="27">
        <f>IF(ISNUMBER(M627),M627/L627,"No aplica")</f>
        <v>0.3443246399026764</v>
      </c>
      <c r="O627" s="25">
        <f>IF(G627="provision",M627+H627,IF(G627="recoleccion",M627-H627,"No aplica"))</f>
        <v>411000000</v>
      </c>
      <c r="P627" s="26" t="n">
        <v>137891</v>
      </c>
    </row>
    <row r="628">
      <c r="A628" t="inlineStr">
        <is>
          <t>PRAGMA</t>
        </is>
      </c>
      <c r="B628" t="inlineStr">
        <is>
          <t>M1</t>
        </is>
      </c>
      <c r="C628" t="inlineStr">
        <is>
          <t>Cali</t>
        </is>
      </c>
      <c r="D628" t="inlineStr">
        <is>
          <t>5467</t>
        </is>
      </c>
      <c r="E628" t="inlineStr">
        <is>
          <t>TDV</t>
        </is>
      </c>
      <c r="F628" s="23" t="n">
        <v>46272</v>
      </c>
      <c r="G628" t="inlineStr">
        <is>
          <t>provision</t>
        </is>
      </c>
      <c r="H628" s="26" t="n">
        <v>294241640</v>
      </c>
      <c r="I628" t="inlineStr">
        <is>
          <t>bajo</t>
        </is>
      </c>
      <c r="J628" t="inlineStr">
        <is>
          <t>RN-11 y RN-34: provision hasta el cupo operativo antes de bajar del 8 %</t>
        </is>
      </c>
      <c r="K628" t="inlineStr">
        <is>
          <t>Provision en la manana, antes del pagado: con el pronostico, sin provision el saldo bajaria del 8 % del cupo ese dia. Lleva el saldo de 116.758.360 a 411.000.000 COP (cupo 411.000.000). Equipo administrado por TDV.</t>
        </is>
      </c>
      <c r="L628" s="26" t="n">
        <v>411000000</v>
      </c>
      <c r="M628" s="26" t="n">
        <v>116758360</v>
      </c>
      <c r="N628" s="27">
        <f>IF(ISNUMBER(M628),M628/L628,"No aplica")</f>
        <v>0.284083600973236</v>
      </c>
      <c r="O628" s="25">
        <f>IF(G628="provision",M628+H628,IF(G628="recoleccion",M628-H628,"No aplica"))</f>
        <v>411000000</v>
      </c>
      <c r="P628" s="26" t="n">
        <v>148835</v>
      </c>
    </row>
    <row r="629">
      <c r="A629" t="inlineStr">
        <is>
          <t>PRAGMA</t>
        </is>
      </c>
      <c r="B629" t="inlineStr">
        <is>
          <t>M1</t>
        </is>
      </c>
      <c r="C629" t="inlineStr">
        <is>
          <t>Cali</t>
        </is>
      </c>
      <c r="D629" t="inlineStr">
        <is>
          <t>5467</t>
        </is>
      </c>
      <c r="E629" t="inlineStr">
        <is>
          <t>TDV</t>
        </is>
      </c>
      <c r="F629" s="23" t="n">
        <v>46275</v>
      </c>
      <c r="G629" t="inlineStr">
        <is>
          <t>provision</t>
        </is>
      </c>
      <c r="H629" s="26" t="n">
        <v>345217311</v>
      </c>
      <c r="I629" t="inlineStr">
        <is>
          <t>bajo</t>
        </is>
      </c>
      <c r="J629" t="inlineStr">
        <is>
          <t>RN-11 y RN-34: provision hasta el cupo operativo antes de bajar del 8 %</t>
        </is>
      </c>
      <c r="K629" t="inlineStr">
        <is>
          <t>Provision en la manana, antes del pagado: con el pronostico, sin provision el saldo bajaria del 8 % del cupo ese dia. Lleva el saldo de 65.782.689 a 411.000.000 COP (cupo 411.000.000). Equipo administrado por TDV.</t>
        </is>
      </c>
      <c r="L629" s="26" t="n">
        <v>411000000</v>
      </c>
      <c r="M629" s="26" t="n">
        <v>65782689</v>
      </c>
      <c r="N629" s="27">
        <f>IF(ISNUMBER(M629),M629/L629,"No aplica")</f>
        <v>0.16005520437956205</v>
      </c>
      <c r="O629" s="25">
        <f>IF(G629="provision",M629+H629,IF(G629="recoleccion",M629-H629,"No aplica"))</f>
        <v>411000000</v>
      </c>
      <c r="P629" s="26" t="n">
        <v>171366</v>
      </c>
    </row>
    <row r="630">
      <c r="A630" t="inlineStr">
        <is>
          <t>PRAGMA</t>
        </is>
      </c>
      <c r="B630" t="inlineStr">
        <is>
          <t>M1</t>
        </is>
      </c>
      <c r="C630" t="inlineStr">
        <is>
          <t>Cali</t>
        </is>
      </c>
      <c r="D630" t="inlineStr">
        <is>
          <t>5467</t>
        </is>
      </c>
      <c r="E630" t="inlineStr">
        <is>
          <t>TDV</t>
        </is>
      </c>
      <c r="F630" s="23" t="n">
        <v>46278</v>
      </c>
      <c r="G630" t="inlineStr">
        <is>
          <t>provision</t>
        </is>
      </c>
      <c r="H630" s="26" t="n">
        <v>326307286</v>
      </c>
      <c r="I630" t="inlineStr">
        <is>
          <t>bajo</t>
        </is>
      </c>
      <c r="J630" t="inlineStr">
        <is>
          <t>RN-11 y RN-34: provision hasta el cupo operativo antes de bajar del 8 %</t>
        </is>
      </c>
      <c r="K630" t="inlineStr">
        <is>
          <t>Provision en la manana, antes del pagado: con el pronostico, sin provision el saldo bajaria del 8 % del cupo ese dia. Lleva el saldo de 84.692.714 a 411.000.000 COP (cupo 411.000.000). Equipo administrado por TDV.</t>
        </is>
      </c>
      <c r="L630" s="26" t="n">
        <v>411000000</v>
      </c>
      <c r="M630" s="26" t="n">
        <v>84692714</v>
      </c>
      <c r="N630" s="27">
        <f>IF(ISNUMBER(M630),M630/L630,"No aplica")</f>
        <v>0.20606499756690996</v>
      </c>
      <c r="O630" s="25">
        <f>IF(G630="provision",M630+H630,IF(G630="recoleccion",M630-H630,"No aplica"))</f>
        <v>411000000</v>
      </c>
      <c r="P630" s="26" t="n">
        <v>215660</v>
      </c>
    </row>
    <row r="631">
      <c r="A631" t="inlineStr">
        <is>
          <t>PRAGMA</t>
        </is>
      </c>
      <c r="B631" t="inlineStr">
        <is>
          <t>M1</t>
        </is>
      </c>
      <c r="C631" t="inlineStr">
        <is>
          <t>Cali</t>
        </is>
      </c>
      <c r="D631" t="inlineStr">
        <is>
          <t>5524</t>
        </is>
      </c>
      <c r="E631" t="inlineStr">
        <is>
          <t>TDV</t>
        </is>
      </c>
      <c r="F631" s="23" t="n">
        <v>46268</v>
      </c>
      <c r="G631" t="inlineStr">
        <is>
          <t>provision</t>
        </is>
      </c>
      <c r="H631" s="26" t="n">
        <v>351532760</v>
      </c>
      <c r="I631" t="inlineStr">
        <is>
          <t>bajo</t>
        </is>
      </c>
      <c r="J631" t="inlineStr">
        <is>
          <t>RN-11 y RN-34: provision hasta el cupo operativo antes de bajar del 8 %</t>
        </is>
      </c>
      <c r="K631" t="inlineStr">
        <is>
          <t>Provision en la manana, antes del pagado: con el pronostico, sin provision el saldo bajaria del 8 % del cupo ese dia. Lleva el saldo de 59.467.240 a 411.000.000 COP (cupo 411.000.000). Equipo administrado por TDV.</t>
        </is>
      </c>
      <c r="L631" s="26" t="n">
        <v>411000000</v>
      </c>
      <c r="M631" s="26" t="n">
        <v>59467240</v>
      </c>
      <c r="N631" s="27">
        <f>IF(ISNUMBER(M631),M631/L631,"No aplica")</f>
        <v>0.14468914841849148</v>
      </c>
      <c r="O631" s="25">
        <f>IF(G631="provision",M631+H631,IF(G631="recoleccion",M631-H631,"No aplica"))</f>
        <v>411000000</v>
      </c>
      <c r="P631" s="26" t="n">
        <v>149448</v>
      </c>
    </row>
    <row r="632">
      <c r="A632" t="inlineStr">
        <is>
          <t>PRAGMA</t>
        </is>
      </c>
      <c r="B632" t="inlineStr">
        <is>
          <t>M1</t>
        </is>
      </c>
      <c r="C632" t="inlineStr">
        <is>
          <t>Cali</t>
        </is>
      </c>
      <c r="D632" t="inlineStr">
        <is>
          <t>5524</t>
        </is>
      </c>
      <c r="E632" t="inlineStr">
        <is>
          <t>TDV</t>
        </is>
      </c>
      <c r="F632" s="23" t="n">
        <v>46270</v>
      </c>
      <c r="G632" t="inlineStr">
        <is>
          <t>provision</t>
        </is>
      </c>
      <c r="H632" s="26" t="n">
        <v>312023721</v>
      </c>
      <c r="I632" t="inlineStr">
        <is>
          <t>bajo</t>
        </is>
      </c>
      <c r="J632" t="inlineStr">
        <is>
          <t>RN-11 y RN-34: provision hasta el cupo operativo antes de bajar del 8 %</t>
        </is>
      </c>
      <c r="K632" t="inlineStr">
        <is>
          <t>Provision en la manana, antes del pagado: con el pronostico, sin provision el saldo bajaria del 8 % del cupo ese dia. Lleva el saldo de 98.976.279 a 411.000.000 COP (cupo 411.000.000). Equipo administrado por TDV.</t>
        </is>
      </c>
      <c r="L632" s="26" t="n">
        <v>411000000</v>
      </c>
      <c r="M632" s="26" t="n">
        <v>98976279</v>
      </c>
      <c r="N632" s="27">
        <f>IF(ISNUMBER(M632),M632/L632,"No aplica")</f>
        <v>0.24081819708029198</v>
      </c>
      <c r="O632" s="25">
        <f>IF(G632="provision",M632+H632,IF(G632="recoleccion",M632-H632,"No aplica"))</f>
        <v>411000000</v>
      </c>
      <c r="P632" s="26" t="n">
        <v>135303</v>
      </c>
    </row>
    <row r="633">
      <c r="A633" t="inlineStr">
        <is>
          <t>PRAGMA</t>
        </is>
      </c>
      <c r="B633" t="inlineStr">
        <is>
          <t>M1</t>
        </is>
      </c>
      <c r="C633" t="inlineStr">
        <is>
          <t>Cali</t>
        </is>
      </c>
      <c r="D633" t="inlineStr">
        <is>
          <t>5524</t>
        </is>
      </c>
      <c r="E633" t="inlineStr">
        <is>
          <t>TDV</t>
        </is>
      </c>
      <c r="F633" s="23" t="n">
        <v>46273</v>
      </c>
      <c r="G633" t="inlineStr">
        <is>
          <t>provision</t>
        </is>
      </c>
      <c r="H633" s="26" t="n">
        <v>260285801</v>
      </c>
      <c r="I633" t="inlineStr">
        <is>
          <t>bajo</t>
        </is>
      </c>
      <c r="J633" t="inlineStr">
        <is>
          <t>RN-11 y RN-34: provision hasta el cupo operativo antes de bajar del 8 %</t>
        </is>
      </c>
      <c r="K633" t="inlineStr">
        <is>
          <t>Provision en la manana, antes del pagado: con el pronostico, sin provision el saldo bajaria del 8 % del cupo ese dia. Lleva el saldo de 150.714.199 a 411.000.000 COP (cupo 411.000.000). Equipo administrado por TDV.</t>
        </is>
      </c>
      <c r="L633" s="26" t="n">
        <v>411000000</v>
      </c>
      <c r="M633" s="26" t="n">
        <v>150714199</v>
      </c>
      <c r="N633" s="27">
        <f>IF(ISNUMBER(M633),M633/L633,"No aplica")</f>
        <v>0.36670121411192214</v>
      </c>
      <c r="O633" s="25">
        <f>IF(G633="provision",M633+H633,IF(G633="recoleccion",M633-H633,"No aplica"))</f>
        <v>411000000</v>
      </c>
      <c r="P633" s="26" t="n">
        <v>116781</v>
      </c>
    </row>
    <row r="634">
      <c r="A634" t="inlineStr">
        <is>
          <t>PRAGMA</t>
        </is>
      </c>
      <c r="B634" t="inlineStr">
        <is>
          <t>M1</t>
        </is>
      </c>
      <c r="C634" t="inlineStr">
        <is>
          <t>Cali</t>
        </is>
      </c>
      <c r="D634" t="inlineStr">
        <is>
          <t>5524</t>
        </is>
      </c>
      <c r="E634" t="inlineStr">
        <is>
          <t>TDV</t>
        </is>
      </c>
      <c r="F634" s="23" t="n">
        <v>46276</v>
      </c>
      <c r="G634" t="inlineStr">
        <is>
          <t>provision</t>
        </is>
      </c>
      <c r="H634" s="26" t="n">
        <v>355078818</v>
      </c>
      <c r="I634" t="inlineStr">
        <is>
          <t>bajo</t>
        </is>
      </c>
      <c r="J634" t="inlineStr">
        <is>
          <t>RN-11 y RN-34: provision hasta el cupo operativo antes de bajar del 8 %</t>
        </is>
      </c>
      <c r="K634" t="inlineStr">
        <is>
          <t>Provision en la manana, antes del pagado: con el pronostico, sin provision el saldo bajaria del 8 % del cupo ese dia. Lleva el saldo de 55.921.182 a 411.000.000 COP (cupo 411.000.000). Equipo administrado por TDV.</t>
        </is>
      </c>
      <c r="L634" s="26" t="n">
        <v>411000000</v>
      </c>
      <c r="M634" s="26" t="n">
        <v>55921182</v>
      </c>
      <c r="N634" s="27">
        <f>IF(ISNUMBER(M634),M634/L634,"No aplica")</f>
        <v>0.1360612700729927</v>
      </c>
      <c r="O634" s="25">
        <f>IF(G634="provision",M634+H634,IF(G634="recoleccion",M634-H634,"No aplica"))</f>
        <v>411000000</v>
      </c>
      <c r="P634" s="26" t="n">
        <v>150717</v>
      </c>
    </row>
    <row r="635">
      <c r="A635" t="inlineStr">
        <is>
          <t>PRAGMA</t>
        </is>
      </c>
      <c r="B635" t="inlineStr">
        <is>
          <t>M1</t>
        </is>
      </c>
      <c r="C635" t="inlineStr">
        <is>
          <t>Cali</t>
        </is>
      </c>
      <c r="D635" t="inlineStr">
        <is>
          <t>5524</t>
        </is>
      </c>
      <c r="E635" t="inlineStr">
        <is>
          <t>TDV</t>
        </is>
      </c>
      <c r="F635" s="23" t="n">
        <v>46280</v>
      </c>
      <c r="G635" t="inlineStr">
        <is>
          <t>provision</t>
        </is>
      </c>
      <c r="H635" s="26" t="n">
        <v>354150096</v>
      </c>
      <c r="I635" t="inlineStr">
        <is>
          <t>bajo</t>
        </is>
      </c>
      <c r="J635" t="inlineStr">
        <is>
          <t>RN-11 y RN-34: provision hasta el cupo operativo antes de bajar del 8 %</t>
        </is>
      </c>
      <c r="K635" t="inlineStr">
        <is>
          <t>Provision en la manana, antes del pagado: con el pronostico, sin provision el saldo bajaria del 8 % del cupo ese dia. Lleva el saldo de 56.849.904 a 411.000.000 COP (cupo 411.000.000). Equipo administrado por TDV.</t>
        </is>
      </c>
      <c r="L635" s="26" t="n">
        <v>411000000</v>
      </c>
      <c r="M635" s="26" t="n">
        <v>56849904</v>
      </c>
      <c r="N635" s="27">
        <f>IF(ISNUMBER(M635),M635/L635,"No aplica")</f>
        <v>0.13832093430656933</v>
      </c>
      <c r="O635" s="25">
        <f>IF(G635="provision",M635+H635,IF(G635="recoleccion",M635-H635,"No aplica"))</f>
        <v>411000000</v>
      </c>
      <c r="P635" s="26" t="n">
        <v>150385</v>
      </c>
    </row>
    <row r="636">
      <c r="A636" t="inlineStr">
        <is>
          <t>PRAGMA</t>
        </is>
      </c>
      <c r="B636" t="inlineStr">
        <is>
          <t>M1</t>
        </is>
      </c>
      <c r="C636" t="inlineStr">
        <is>
          <t>Cali</t>
        </is>
      </c>
      <c r="D636" t="inlineStr">
        <is>
          <t>5542</t>
        </is>
      </c>
      <c r="E636" t="inlineStr">
        <is>
          <t>Sucursal</t>
        </is>
      </c>
      <c r="F636" s="23" t="n">
        <v>46269</v>
      </c>
      <c r="G636" t="inlineStr">
        <is>
          <t>provision</t>
        </is>
      </c>
      <c r="H636" s="26" t="n">
        <v>347194179</v>
      </c>
      <c r="I636" t="inlineStr">
        <is>
          <t>bajo</t>
        </is>
      </c>
      <c r="J636" t="inlineStr">
        <is>
          <t>RN-11 y RN-34: provision hasta el cupo operativo antes de bajar del 8 %</t>
        </is>
      </c>
      <c r="K636" t="inlineStr">
        <is>
          <t>Provision en la manana, antes del pagado: con el pronostico, sin provision el saldo bajaria del 8 % del cupo ese dia. Lleva el saldo de 93.805.821 a 441.000.000 COP (cupo 441.000.000). Equipo administrado por Sucursal. Sin tarifa TDV (administrado por la sucursal): costo 0 declarado.</t>
        </is>
      </c>
      <c r="L636" s="26" t="n">
        <v>441000000</v>
      </c>
      <c r="M636" s="26" t="n">
        <v>93805821</v>
      </c>
      <c r="N636" s="27">
        <f>IF(ISNUMBER(M636),M636/L636,"No aplica")</f>
        <v>0.21271161224489796</v>
      </c>
      <c r="O636" s="25">
        <f>IF(G636="provision",M636+H636,IF(G636="recoleccion",M636-H636,"No aplica"))</f>
        <v>441000000</v>
      </c>
      <c r="P636" s="26" t="n">
        <v>0</v>
      </c>
    </row>
    <row r="637">
      <c r="A637" t="inlineStr">
        <is>
          <t>PRAGMA</t>
        </is>
      </c>
      <c r="B637" t="inlineStr">
        <is>
          <t>M1</t>
        </is>
      </c>
      <c r="C637" t="inlineStr">
        <is>
          <t>Cali</t>
        </is>
      </c>
      <c r="D637" t="inlineStr">
        <is>
          <t>5542</t>
        </is>
      </c>
      <c r="E637" t="inlineStr">
        <is>
          <t>Sucursal</t>
        </is>
      </c>
      <c r="F637" s="23" t="n">
        <v>46274</v>
      </c>
      <c r="G637" t="inlineStr">
        <is>
          <t>provision</t>
        </is>
      </c>
      <c r="H637" s="26" t="n">
        <v>388679870</v>
      </c>
      <c r="I637" t="inlineStr">
        <is>
          <t>bajo</t>
        </is>
      </c>
      <c r="J637" t="inlineStr">
        <is>
          <t>RN-11 y RN-34: provision hasta el cupo operativo antes de bajar del 8 %</t>
        </is>
      </c>
      <c r="K637" t="inlineStr">
        <is>
          <t>Provision en la manana, antes del pagado: con el pronostico, sin provision el saldo bajaria del 8 % del cupo ese dia. Lleva el saldo de 52.320.130 a 441.000.000 COP (cupo 441.000.000). Equipo administrado por Sucursal. Sin tarifa TDV (administrado por la sucursal): costo 0 declarado.</t>
        </is>
      </c>
      <c r="L637" s="26" t="n">
        <v>441000000</v>
      </c>
      <c r="M637" s="26" t="n">
        <v>52320130</v>
      </c>
      <c r="N637" s="27">
        <f>IF(ISNUMBER(M637),M637/L637,"No aplica")</f>
        <v>0.11863975056689342</v>
      </c>
      <c r="O637" s="25">
        <f>IF(G637="provision",M637+H637,IF(G637="recoleccion",M637-H637,"No aplica"))</f>
        <v>441000000</v>
      </c>
      <c r="P637" s="26" t="n">
        <v>0</v>
      </c>
    </row>
    <row r="638">
      <c r="A638" t="inlineStr">
        <is>
          <t>PRAGMA</t>
        </is>
      </c>
      <c r="B638" t="inlineStr">
        <is>
          <t>M1</t>
        </is>
      </c>
      <c r="C638" t="inlineStr">
        <is>
          <t>Cali</t>
        </is>
      </c>
      <c r="D638" t="inlineStr">
        <is>
          <t>5542</t>
        </is>
      </c>
      <c r="E638" t="inlineStr">
        <is>
          <t>Sucursal</t>
        </is>
      </c>
      <c r="F638" s="23" t="n">
        <v>46280</v>
      </c>
      <c r="G638" t="inlineStr">
        <is>
          <t>provision</t>
        </is>
      </c>
      <c r="H638" s="26" t="n">
        <v>400016668</v>
      </c>
      <c r="I638" t="inlineStr">
        <is>
          <t>bajo</t>
        </is>
      </c>
      <c r="J638" t="inlineStr">
        <is>
          <t>RN-11 y RN-34: provision hasta el cupo operativo antes de bajar del 8 %</t>
        </is>
      </c>
      <c r="K638" t="inlineStr">
        <is>
          <t>Provision en la manana, antes del pagado: con el pronostico, sin provision el saldo bajaria del 8 % del cupo ese dia. Lleva el saldo de 40.983.332 a 441.000.000 COP (cupo 441.000.000). Equipo administrado por Sucursal. Sin tarifa TDV (administrado por la sucursal): costo 0 declarado.</t>
        </is>
      </c>
      <c r="L638" s="26" t="n">
        <v>441000000</v>
      </c>
      <c r="M638" s="26" t="n">
        <v>40983332</v>
      </c>
      <c r="N638" s="27">
        <f>IF(ISNUMBER(M638),M638/L638,"No aplica")</f>
        <v>0.09293272562358276</v>
      </c>
      <c r="O638" s="25">
        <f>IF(G638="provision",M638+H638,IF(G638="recoleccion",M638-H638,"No aplica"))</f>
        <v>441000000</v>
      </c>
      <c r="P638" s="26" t="n">
        <v>0</v>
      </c>
    </row>
    <row r="639">
      <c r="A639" t="inlineStr">
        <is>
          <t>PRAGMA</t>
        </is>
      </c>
      <c r="B639" t="inlineStr">
        <is>
          <t>M1</t>
        </is>
      </c>
      <c r="C639" t="inlineStr">
        <is>
          <t>Cali</t>
        </is>
      </c>
      <c r="D639" t="inlineStr">
        <is>
          <t>5543</t>
        </is>
      </c>
      <c r="E639" t="inlineStr">
        <is>
          <t>Sucursal</t>
        </is>
      </c>
      <c r="F639" s="23" t="n">
        <v>46268</v>
      </c>
      <c r="G639" t="inlineStr">
        <is>
          <t>provision</t>
        </is>
      </c>
      <c r="H639" s="26" t="n">
        <v>322194857</v>
      </c>
      <c r="I639" t="inlineStr">
        <is>
          <t>bajo</t>
        </is>
      </c>
      <c r="J639" t="inlineStr">
        <is>
          <t>RN-11 y RN-34: provision hasta el cupo operativo antes de bajar del 8 %</t>
        </is>
      </c>
      <c r="K639" t="inlineStr">
        <is>
          <t>Provision en la manana, antes del pagado: con el pronostico, sin provision el saldo bajaria del 8 % del cupo ese dia. Lleva el saldo de 118.805.143 a 441.000.000 COP (cupo 441.000.000). Equipo administrado por Sucursal. Sin tarifa TDV (administrado por la sucursal): costo 0 declarado.</t>
        </is>
      </c>
      <c r="L639" s="26" t="n">
        <v>441000000</v>
      </c>
      <c r="M639" s="26" t="n">
        <v>118805143</v>
      </c>
      <c r="N639" s="27">
        <f>IF(ISNUMBER(M639),M639/L639,"No aplica")</f>
        <v>0.2693994172335601</v>
      </c>
      <c r="O639" s="25">
        <f>IF(G639="provision",M639+H639,IF(G639="recoleccion",M639-H639,"No aplica"))</f>
        <v>441000000</v>
      </c>
      <c r="P639" s="26" t="n">
        <v>0</v>
      </c>
    </row>
    <row r="640">
      <c r="A640" t="inlineStr">
        <is>
          <t>PRAGMA</t>
        </is>
      </c>
      <c r="B640" t="inlineStr">
        <is>
          <t>M1</t>
        </is>
      </c>
      <c r="C640" t="inlineStr">
        <is>
          <t>Cali</t>
        </is>
      </c>
      <c r="D640" t="inlineStr">
        <is>
          <t>5543</t>
        </is>
      </c>
      <c r="E640" t="inlineStr">
        <is>
          <t>Sucursal</t>
        </is>
      </c>
      <c r="F640" s="23" t="n">
        <v>46270</v>
      </c>
      <c r="G640" t="inlineStr">
        <is>
          <t>provision</t>
        </is>
      </c>
      <c r="H640" s="26" t="n">
        <v>274030088</v>
      </c>
      <c r="I640" t="inlineStr">
        <is>
          <t>bajo</t>
        </is>
      </c>
      <c r="J640" t="inlineStr">
        <is>
          <t>RN-11 y RN-34: provision hasta el cupo operativo antes de bajar del 8 %</t>
        </is>
      </c>
      <c r="K640" t="inlineStr">
        <is>
          <t>Provision en la manana, antes del pagado: con el pronostico, sin provision el saldo bajaria del 8 % del cupo ese dia. Lleva el saldo de 166.969.912 a 441.000.000 COP (cupo 441.000.000). Equipo administrado por Sucursal. Sin tarifa TDV (administrado por la sucursal): costo 0 declarado.</t>
        </is>
      </c>
      <c r="L640" s="26" t="n">
        <v>441000000</v>
      </c>
      <c r="M640" s="26" t="n">
        <v>166969912</v>
      </c>
      <c r="N640" s="27">
        <f>IF(ISNUMBER(M640),M640/L640,"No aplica")</f>
        <v>0.3786165804988662</v>
      </c>
      <c r="O640" s="25">
        <f>IF(G640="provision",M640+H640,IF(G640="recoleccion",M640-H640,"No aplica"))</f>
        <v>441000000</v>
      </c>
      <c r="P640" s="26" t="n">
        <v>0</v>
      </c>
    </row>
    <row r="641">
      <c r="A641" t="inlineStr">
        <is>
          <t>PRAGMA</t>
        </is>
      </c>
      <c r="B641" t="inlineStr">
        <is>
          <t>M1</t>
        </is>
      </c>
      <c r="C641" t="inlineStr">
        <is>
          <t>Cali</t>
        </is>
      </c>
      <c r="D641" t="inlineStr">
        <is>
          <t>5543</t>
        </is>
      </c>
      <c r="E641" t="inlineStr">
        <is>
          <t>Sucursal</t>
        </is>
      </c>
      <c r="F641" s="23" t="n">
        <v>46273</v>
      </c>
      <c r="G641" t="inlineStr">
        <is>
          <t>provision</t>
        </is>
      </c>
      <c r="H641" s="26" t="n">
        <v>318557877</v>
      </c>
      <c r="I641" t="inlineStr">
        <is>
          <t>bajo</t>
        </is>
      </c>
      <c r="J641" t="inlineStr">
        <is>
          <t>RN-11 y RN-34: provision hasta el cupo operativo antes de bajar del 8 %</t>
        </is>
      </c>
      <c r="K641" t="inlineStr">
        <is>
          <t>Provision en la manana, antes del pagado: con el pronostico, sin provision el saldo bajaria del 8 % del cupo ese dia. Lleva el saldo de 122.442.123 a 441.000.000 COP (cupo 441.000.000). Equipo administrado por Sucursal. Sin tarifa TDV (administrado por la sucursal): costo 0 declarado.</t>
        </is>
      </c>
      <c r="L641" s="26" t="n">
        <v>441000000</v>
      </c>
      <c r="M641" s="26" t="n">
        <v>122442123</v>
      </c>
      <c r="N641" s="27">
        <f>IF(ISNUMBER(M641),M641/L641,"No aplica")</f>
        <v>0.277646537414966</v>
      </c>
      <c r="O641" s="25">
        <f>IF(G641="provision",M641+H641,IF(G641="recoleccion",M641-H641,"No aplica"))</f>
        <v>441000000</v>
      </c>
      <c r="P641" s="26" t="n">
        <v>0</v>
      </c>
    </row>
    <row r="642">
      <c r="A642" t="inlineStr">
        <is>
          <t>PRAGMA</t>
        </is>
      </c>
      <c r="B642" t="inlineStr">
        <is>
          <t>M1</t>
        </is>
      </c>
      <c r="C642" t="inlineStr">
        <is>
          <t>Cali</t>
        </is>
      </c>
      <c r="D642" t="inlineStr">
        <is>
          <t>5543</t>
        </is>
      </c>
      <c r="E642" t="inlineStr">
        <is>
          <t>Sucursal</t>
        </is>
      </c>
      <c r="F642" s="23" t="n">
        <v>46276</v>
      </c>
      <c r="G642" t="inlineStr">
        <is>
          <t>provision</t>
        </is>
      </c>
      <c r="H642" s="26" t="n">
        <v>320266365</v>
      </c>
      <c r="I642" t="inlineStr">
        <is>
          <t>bajo</t>
        </is>
      </c>
      <c r="J642" t="inlineStr">
        <is>
          <t>RN-11 y RN-34: provision hasta el cupo operativo antes de bajar del 8 %</t>
        </is>
      </c>
      <c r="K642" t="inlineStr">
        <is>
          <t>Provision en la manana, antes del pagado: con el pronostico, sin provision el saldo bajaria del 8 % del cupo ese dia. Lleva el saldo de 120.733.635 a 441.000.000 COP (cupo 441.000.000). Equipo administrado por Sucursal. Sin tarifa TDV (administrado por la sucursal): costo 0 declarado.</t>
        </is>
      </c>
      <c r="L642" s="26" t="n">
        <v>441000000</v>
      </c>
      <c r="M642" s="26" t="n">
        <v>120733635</v>
      </c>
      <c r="N642" s="27">
        <f>IF(ISNUMBER(M642),M642/L642,"No aplica")</f>
        <v>0.2737724149659864</v>
      </c>
      <c r="O642" s="25">
        <f>IF(G642="provision",M642+H642,IF(G642="recoleccion",M642-H642,"No aplica"))</f>
        <v>441000000</v>
      </c>
      <c r="P642" s="26" t="n">
        <v>0</v>
      </c>
    </row>
    <row r="643">
      <c r="A643" t="inlineStr">
        <is>
          <t>PRAGMA</t>
        </is>
      </c>
      <c r="B643" t="inlineStr">
        <is>
          <t>M1</t>
        </is>
      </c>
      <c r="C643" t="inlineStr">
        <is>
          <t>Cali</t>
        </is>
      </c>
      <c r="D643" t="inlineStr">
        <is>
          <t>5543</t>
        </is>
      </c>
      <c r="E643" t="inlineStr">
        <is>
          <t>Sucursal</t>
        </is>
      </c>
      <c r="F643" s="23" t="n">
        <v>46280</v>
      </c>
      <c r="G643" t="inlineStr">
        <is>
          <t>provision</t>
        </is>
      </c>
      <c r="H643" s="26" t="n">
        <v>391351497</v>
      </c>
      <c r="I643" t="inlineStr">
        <is>
          <t>bajo</t>
        </is>
      </c>
      <c r="J643" t="inlineStr">
        <is>
          <t>RN-11 y RN-34: provision hasta el cupo operativo antes de bajar del 8 %</t>
        </is>
      </c>
      <c r="K643" t="inlineStr">
        <is>
          <t>Provision en la manana, antes del pagado: con el pronostico, sin provision el saldo bajaria del 8 % del cupo ese dia. Lleva el saldo de 49.648.503 a 441.000.000 COP (cupo 441.000.000). Equipo administrado por Sucursal. Sin tarifa TDV (administrado por la sucursal): costo 0 declarado.</t>
        </is>
      </c>
      <c r="L643" s="26" t="n">
        <v>441000000</v>
      </c>
      <c r="M643" s="26" t="n">
        <v>49648503</v>
      </c>
      <c r="N643" s="27">
        <f>IF(ISNUMBER(M643),M643/L643,"No aplica")</f>
        <v>0.11258163945578231</v>
      </c>
      <c r="O643" s="25">
        <f>IF(G643="provision",M643+H643,IF(G643="recoleccion",M643-H643,"No aplica"))</f>
        <v>441000000</v>
      </c>
      <c r="P643" s="26" t="n">
        <v>0</v>
      </c>
    </row>
    <row r="644">
      <c r="A644" t="inlineStr">
        <is>
          <t>PRAGMA</t>
        </is>
      </c>
      <c r="B644" t="inlineStr">
        <is>
          <t>M1</t>
        </is>
      </c>
      <c r="C644" t="inlineStr">
        <is>
          <t>Pasto</t>
        </is>
      </c>
      <c r="D644" t="inlineStr">
        <is>
          <t>5562</t>
        </is>
      </c>
      <c r="E644" t="inlineStr">
        <is>
          <t>Sucursal</t>
        </is>
      </c>
      <c r="F644" s="23" t="n">
        <v>46269</v>
      </c>
      <c r="G644" t="inlineStr">
        <is>
          <t>provision</t>
        </is>
      </c>
      <c r="H644" s="26" t="n">
        <v>398935633</v>
      </c>
      <c r="I644" t="inlineStr">
        <is>
          <t>bajo</t>
        </is>
      </c>
      <c r="J644" t="inlineStr">
        <is>
          <t>RN-11 y RN-34: provision hasta el cupo operativo antes de bajar del 8 %</t>
        </is>
      </c>
      <c r="K644" t="inlineStr">
        <is>
          <t>Provision en la manana, antes del pagado: con el pronostico, sin provision el saldo bajaria del 8 % del cupo ese dia. Lleva el saldo de 42.064.367 a 441.000.000 COP (cupo 441.000.000). Equipo administrado por Sucursal. Sin tarifa TDV (administrado por la sucursal): costo 0 declarado.</t>
        </is>
      </c>
      <c r="L644" s="26" t="n">
        <v>441000000</v>
      </c>
      <c r="M644" s="26" t="n">
        <v>42064367</v>
      </c>
      <c r="N644" s="27">
        <f>IF(ISNUMBER(M644),M644/L644,"No aplica")</f>
        <v>0.09538405215419501</v>
      </c>
      <c r="O644" s="25">
        <f>IF(G644="provision",M644+H644,IF(G644="recoleccion",M644-H644,"No aplica"))</f>
        <v>441000000</v>
      </c>
      <c r="P644" s="26" t="n">
        <v>0</v>
      </c>
    </row>
    <row r="645">
      <c r="A645" t="inlineStr">
        <is>
          <t>PRAGMA</t>
        </is>
      </c>
      <c r="B645" t="inlineStr">
        <is>
          <t>M1</t>
        </is>
      </c>
      <c r="C645" t="inlineStr">
        <is>
          <t>Pasto</t>
        </is>
      </c>
      <c r="D645" t="inlineStr">
        <is>
          <t>5562</t>
        </is>
      </c>
      <c r="E645" t="inlineStr">
        <is>
          <t>Sucursal</t>
        </is>
      </c>
      <c r="F645" s="23" t="n">
        <v>46272</v>
      </c>
      <c r="G645" t="inlineStr">
        <is>
          <t>provision</t>
        </is>
      </c>
      <c r="H645" s="26" t="n">
        <v>374728183</v>
      </c>
      <c r="I645" t="inlineStr">
        <is>
          <t>bajo</t>
        </is>
      </c>
      <c r="J645" t="inlineStr">
        <is>
          <t>RN-11 y RN-34: provision hasta el cupo operativo antes de bajar del 8 %</t>
        </is>
      </c>
      <c r="K645" t="inlineStr">
        <is>
          <t>Provision en la manana, antes del pagado: con el pronostico, sin provision el saldo bajaria del 8 % del cupo ese dia. Lleva el saldo de 66.271.817 a 441.000.000 COP (cupo 441.000.000). Equipo administrado por Sucursal. Sin tarifa TDV (administrado por la sucursal): costo 0 declarado.</t>
        </is>
      </c>
      <c r="L645" s="26" t="n">
        <v>441000000</v>
      </c>
      <c r="M645" s="26" t="n">
        <v>66271817</v>
      </c>
      <c r="N645" s="27">
        <f>IF(ISNUMBER(M645),M645/L645,"No aplica")</f>
        <v>0.1502762290249433</v>
      </c>
      <c r="O645" s="25">
        <f>IF(G645="provision",M645+H645,IF(G645="recoleccion",M645-H645,"No aplica"))</f>
        <v>441000000</v>
      </c>
      <c r="P645" s="26" t="n">
        <v>0</v>
      </c>
    </row>
    <row r="646">
      <c r="A646" t="inlineStr">
        <is>
          <t>PRAGMA</t>
        </is>
      </c>
      <c r="B646" t="inlineStr">
        <is>
          <t>M1</t>
        </is>
      </c>
      <c r="C646" t="inlineStr">
        <is>
          <t>Pasto</t>
        </is>
      </c>
      <c r="D646" t="inlineStr">
        <is>
          <t>5562</t>
        </is>
      </c>
      <c r="E646" t="inlineStr">
        <is>
          <t>Sucursal</t>
        </is>
      </c>
      <c r="F646" s="23" t="n">
        <v>46276</v>
      </c>
      <c r="G646" t="inlineStr">
        <is>
          <t>provision</t>
        </is>
      </c>
      <c r="H646" s="26" t="n">
        <v>384730093</v>
      </c>
      <c r="I646" t="inlineStr">
        <is>
          <t>bajo</t>
        </is>
      </c>
      <c r="J646" t="inlineStr">
        <is>
          <t>RN-11 y RN-34: provision hasta el cupo operativo antes de bajar del 8 %</t>
        </is>
      </c>
      <c r="K646" t="inlineStr">
        <is>
          <t>Provision en la manana, antes del pagado: con el pronostico, sin provision el saldo bajaria del 8 % del cupo ese dia. Lleva el saldo de 56.269.907 a 441.000.000 COP (cupo 441.000.000). Equipo administrado por Sucursal. Sin tarifa TDV (administrado por la sucursal): costo 0 declarado.</t>
        </is>
      </c>
      <c r="L646" s="26" t="n">
        <v>441000000</v>
      </c>
      <c r="M646" s="26" t="n">
        <v>56269907</v>
      </c>
      <c r="N646" s="27">
        <f>IF(ISNUMBER(M646),M646/L646,"No aplica")</f>
        <v>0.12759616099773244</v>
      </c>
      <c r="O646" s="25">
        <f>IF(G646="provision",M646+H646,IF(G646="recoleccion",M646-H646,"No aplica"))</f>
        <v>441000000</v>
      </c>
      <c r="P646" s="26" t="n">
        <v>0</v>
      </c>
    </row>
    <row r="647">
      <c r="A647" t="inlineStr">
        <is>
          <t>PRAGMA</t>
        </is>
      </c>
      <c r="B647" t="inlineStr">
        <is>
          <t>M1</t>
        </is>
      </c>
      <c r="C647" t="inlineStr">
        <is>
          <t>Pasto</t>
        </is>
      </c>
      <c r="D647" t="inlineStr">
        <is>
          <t>5562</t>
        </is>
      </c>
      <c r="E647" t="inlineStr">
        <is>
          <t>Sucursal</t>
        </is>
      </c>
      <c r="F647" s="23" t="n">
        <v>46280</v>
      </c>
      <c r="G647" t="inlineStr">
        <is>
          <t>provision</t>
        </is>
      </c>
      <c r="H647" s="26" t="n">
        <v>395342514</v>
      </c>
      <c r="I647" t="inlineStr">
        <is>
          <t>bajo</t>
        </is>
      </c>
      <c r="J647" t="inlineStr">
        <is>
          <t>RN-11 y RN-34: provision hasta el cupo operativo antes de bajar del 8 %</t>
        </is>
      </c>
      <c r="K647" t="inlineStr">
        <is>
          <t>Provision en la manana, antes del pagado: con el pronostico, sin provision el saldo bajaria del 8 % del cupo ese dia. Lleva el saldo de 45.657.486 a 441.000.000 COP (cupo 441.000.000). Equipo administrado por Sucursal. Sin tarifa TDV (administrado por la sucursal): costo 0 declarado.</t>
        </is>
      </c>
      <c r="L647" s="26" t="n">
        <v>441000000</v>
      </c>
      <c r="M647" s="26" t="n">
        <v>45657486</v>
      </c>
      <c r="N647" s="27">
        <f>IF(ISNUMBER(M647),M647/L647,"No aplica")</f>
        <v>0.10353171428571428</v>
      </c>
      <c r="O647" s="25">
        <f>IF(G647="provision",M647+H647,IF(G647="recoleccion",M647-H647,"No aplica"))</f>
        <v>441000000</v>
      </c>
      <c r="P647" s="26" t="n">
        <v>0</v>
      </c>
    </row>
    <row r="648">
      <c r="A648" t="inlineStr">
        <is>
          <t>PRAGMA</t>
        </is>
      </c>
      <c r="B648" t="inlineStr">
        <is>
          <t>M1</t>
        </is>
      </c>
      <c r="C648" t="inlineStr">
        <is>
          <t>Cali</t>
        </is>
      </c>
      <c r="D648" t="inlineStr">
        <is>
          <t>5565</t>
        </is>
      </c>
      <c r="E648" t="inlineStr">
        <is>
          <t>TDV</t>
        </is>
      </c>
      <c r="F648" s="23" t="n">
        <v>46269</v>
      </c>
      <c r="G648" t="inlineStr">
        <is>
          <t>provision</t>
        </is>
      </c>
      <c r="H648" s="26" t="n">
        <v>424198785</v>
      </c>
      <c r="I648" t="inlineStr">
        <is>
          <t>bajo</t>
        </is>
      </c>
      <c r="J648" t="inlineStr">
        <is>
          <t>RN-11 y RN-34: provision hasta el cupo operativo antes de bajar del 8 %</t>
        </is>
      </c>
      <c r="K648" t="inlineStr">
        <is>
          <t>Provision en la manana, antes del pagado: con el pronostico, sin provision el saldo bajaria del 8 % del cupo ese dia. Lleva el saldo de 75.801.215 a 500.000.000 COP (cupo 500.000.000). Equipo administrado por TDV.</t>
        </is>
      </c>
      <c r="L648" s="26" t="n">
        <v>500000000</v>
      </c>
      <c r="M648" s="26" t="n">
        <v>75801215</v>
      </c>
      <c r="N648" s="27">
        <f>IF(ISNUMBER(M648),M648/L648,"No aplica")</f>
        <v>0.15160243</v>
      </c>
      <c r="O648" s="25">
        <f>IF(G648="provision",M648+H648,IF(G648="recoleccion",M648-H648,"No aplica"))</f>
        <v>500000000</v>
      </c>
      <c r="P648" s="26" t="n">
        <v>182816</v>
      </c>
    </row>
    <row r="649">
      <c r="A649" t="inlineStr">
        <is>
          <t>PRAGMA</t>
        </is>
      </c>
      <c r="B649" t="inlineStr">
        <is>
          <t>M1</t>
        </is>
      </c>
      <c r="C649" t="inlineStr">
        <is>
          <t>Cali</t>
        </is>
      </c>
      <c r="D649" t="inlineStr">
        <is>
          <t>5565</t>
        </is>
      </c>
      <c r="E649" t="inlineStr">
        <is>
          <t>TDV</t>
        </is>
      </c>
      <c r="F649" s="23" t="n">
        <v>46273</v>
      </c>
      <c r="G649" t="inlineStr">
        <is>
          <t>provision</t>
        </is>
      </c>
      <c r="H649" s="26" t="n">
        <v>416532355</v>
      </c>
      <c r="I649" t="inlineStr">
        <is>
          <t>bajo</t>
        </is>
      </c>
      <c r="J649" t="inlineStr">
        <is>
          <t>RN-11 y RN-34: provision hasta el cupo operativo antes de bajar del 8 %</t>
        </is>
      </c>
      <c r="K649" t="inlineStr">
        <is>
          <t>Provision en la manana, antes del pagado: con el pronostico, sin provision el saldo bajaria del 8 % del cupo ese dia. Lleva el saldo de 83.467.645 a 500.000.000 COP (cupo 500.000.000). Equipo administrado por TDV.</t>
        </is>
      </c>
      <c r="L649" s="26" t="n">
        <v>500000000</v>
      </c>
      <c r="M649" s="26" t="n">
        <v>83467645</v>
      </c>
      <c r="N649" s="27">
        <f>IF(ISNUMBER(M649),M649/L649,"No aplica")</f>
        <v>0.16693529</v>
      </c>
      <c r="O649" s="25">
        <f>IF(G649="provision",M649+H649,IF(G649="recoleccion",M649-H649,"No aplica"))</f>
        <v>500000000</v>
      </c>
      <c r="P649" s="26" t="n">
        <v>179849</v>
      </c>
    </row>
    <row r="650">
      <c r="A650" t="inlineStr">
        <is>
          <t>PRAGMA</t>
        </is>
      </c>
      <c r="B650" t="inlineStr">
        <is>
          <t>M1</t>
        </is>
      </c>
      <c r="C650" t="inlineStr">
        <is>
          <t>Cali</t>
        </is>
      </c>
      <c r="D650" t="inlineStr">
        <is>
          <t>5565</t>
        </is>
      </c>
      <c r="E650" t="inlineStr">
        <is>
          <t>TDV</t>
        </is>
      </c>
      <c r="F650" s="23" t="n">
        <v>46278</v>
      </c>
      <c r="G650" t="inlineStr">
        <is>
          <t>provision</t>
        </is>
      </c>
      <c r="H650" s="26" t="n">
        <v>424993474</v>
      </c>
      <c r="I650" t="inlineStr">
        <is>
          <t>bajo</t>
        </is>
      </c>
      <c r="J650" t="inlineStr">
        <is>
          <t>RN-11 y RN-34: provision hasta el cupo operativo antes de bajar del 8 %</t>
        </is>
      </c>
      <c r="K650" t="inlineStr">
        <is>
          <t>Provision en la manana, antes del pagado: con el pronostico, sin provision el saldo bajaria del 8 % del cupo ese dia. Lleva el saldo de 75.006.526 a 500.000.000 COP (cupo 500.000.000). Equipo administrado por TDV.</t>
        </is>
      </c>
      <c r="L650" s="26" t="n">
        <v>500000000</v>
      </c>
      <c r="M650" s="26" t="n">
        <v>75006526</v>
      </c>
      <c r="N650" s="27">
        <f>IF(ISNUMBER(M650),M650/L650,"No aplica")</f>
        <v>0.150013052</v>
      </c>
      <c r="O650" s="25">
        <f>IF(G650="provision",M650+H650,IF(G650="recoleccion",M650-H650,"No aplica"))</f>
        <v>500000000</v>
      </c>
      <c r="P650" s="26" t="n">
        <v>236713</v>
      </c>
    </row>
    <row r="651">
      <c r="A651" t="inlineStr">
        <is>
          <t>PRAGMA</t>
        </is>
      </c>
      <c r="B651" t="inlineStr">
        <is>
          <t>M1</t>
        </is>
      </c>
      <c r="C651" t="inlineStr">
        <is>
          <t>Ipiales</t>
        </is>
      </c>
      <c r="D651" t="inlineStr">
        <is>
          <t>5587</t>
        </is>
      </c>
      <c r="E651" t="inlineStr">
        <is>
          <t>TDV</t>
        </is>
      </c>
      <c r="F651" s="23" t="n">
        <v>46269</v>
      </c>
      <c r="G651" t="inlineStr">
        <is>
          <t>provision</t>
        </is>
      </c>
      <c r="H651" s="26" t="n">
        <v>348514265</v>
      </c>
      <c r="I651" t="inlineStr">
        <is>
          <t>bajo</t>
        </is>
      </c>
      <c r="J651" t="inlineStr">
        <is>
          <t>RN-11 y RN-34: provision hasta el cupo operativo antes de bajar del 8 %</t>
        </is>
      </c>
      <c r="K651" t="inlineStr">
        <is>
          <t>Provision en la manana, antes del pagado: con el pronostico, sin provision el saldo bajaria del 8 % del cupo ese dia. Lleva el saldo de 56.485.735 a 405.000.000 COP (cupo 405.000.000). Equipo administrado por TDV.</t>
        </is>
      </c>
      <c r="L651" s="26" t="n">
        <v>405000000</v>
      </c>
      <c r="M651" s="26" t="n">
        <v>56485735</v>
      </c>
      <c r="N651" s="27">
        <f>IF(ISNUMBER(M651),M651/L651,"No aplica")</f>
        <v>0.13947095061728396</v>
      </c>
      <c r="O651" s="25">
        <f>IF(G651="provision",M651+H651,IF(G651="recoleccion",M651-H651,"No aplica"))</f>
        <v>405000000</v>
      </c>
      <c r="P651" s="26" t="n">
        <v>126427</v>
      </c>
    </row>
    <row r="652">
      <c r="A652" t="inlineStr">
        <is>
          <t>PRAGMA</t>
        </is>
      </c>
      <c r="B652" t="inlineStr">
        <is>
          <t>M1</t>
        </is>
      </c>
      <c r="C652" t="inlineStr">
        <is>
          <t>Ipiales</t>
        </is>
      </c>
      <c r="D652" t="inlineStr">
        <is>
          <t>5587</t>
        </is>
      </c>
      <c r="E652" t="inlineStr">
        <is>
          <t>TDV</t>
        </is>
      </c>
      <c r="F652" s="23" t="n">
        <v>46272</v>
      </c>
      <c r="G652" t="inlineStr">
        <is>
          <t>provision</t>
        </is>
      </c>
      <c r="H652" s="26" t="n">
        <v>303322900</v>
      </c>
      <c r="I652" t="inlineStr">
        <is>
          <t>bajo</t>
        </is>
      </c>
      <c r="J652" t="inlineStr">
        <is>
          <t>RN-11 y RN-34: provision hasta el cupo operativo antes de bajar del 8 %</t>
        </is>
      </c>
      <c r="K652" t="inlineStr">
        <is>
          <t>Provision en la manana, antes del pagado: con el pronostico, sin provision el saldo bajaria del 8 % del cupo ese dia. Lleva el saldo de 101.677.100 a 405.000.000 COP (cupo 405.000.000). Equipo administrado por TDV.</t>
        </is>
      </c>
      <c r="L652" s="26" t="n">
        <v>405000000</v>
      </c>
      <c r="M652" s="26" t="n">
        <v>101677100</v>
      </c>
      <c r="N652" s="27">
        <f>IF(ISNUMBER(M652),M652/L652,"No aplica")</f>
        <v>0.2510545679012346</v>
      </c>
      <c r="O652" s="25">
        <f>IF(G652="provision",M652+H652,IF(G652="recoleccion",M652-H652,"No aplica"))</f>
        <v>405000000</v>
      </c>
      <c r="P652" s="26" t="n">
        <v>112282</v>
      </c>
    </row>
    <row r="653">
      <c r="A653" t="inlineStr">
        <is>
          <t>PRAGMA</t>
        </is>
      </c>
      <c r="B653" t="inlineStr">
        <is>
          <t>M1</t>
        </is>
      </c>
      <c r="C653" t="inlineStr">
        <is>
          <t>Ipiales</t>
        </is>
      </c>
      <c r="D653" t="inlineStr">
        <is>
          <t>5587</t>
        </is>
      </c>
      <c r="E653" t="inlineStr">
        <is>
          <t>TDV</t>
        </is>
      </c>
      <c r="F653" s="23" t="n">
        <v>46276</v>
      </c>
      <c r="G653" t="inlineStr">
        <is>
          <t>provision</t>
        </is>
      </c>
      <c r="H653" s="26" t="n">
        <v>355575614</v>
      </c>
      <c r="I653" t="inlineStr">
        <is>
          <t>bajo</t>
        </is>
      </c>
      <c r="J653" t="inlineStr">
        <is>
          <t>RN-11 y RN-34: provision hasta el cupo operativo antes de bajar del 8 %</t>
        </is>
      </c>
      <c r="K653" t="inlineStr">
        <is>
          <t>Provision en la manana, antes del pagado: con el pronostico, sin provision el saldo bajaria del 8 % del cupo ese dia. Lleva el saldo de 49.424.386 a 405.000.000 COP (cupo 405.000.000). Equipo administrado por TDV.</t>
        </is>
      </c>
      <c r="L653" s="26" t="n">
        <v>405000000</v>
      </c>
      <c r="M653" s="26" t="n">
        <v>49424386</v>
      </c>
      <c r="N653" s="27">
        <f>IF(ISNUMBER(M653),M653/L653,"No aplica")</f>
        <v>0.12203552098765433</v>
      </c>
      <c r="O653" s="25">
        <f>IF(G653="provision",M653+H653,IF(G653="recoleccion",M653-H653,"No aplica"))</f>
        <v>405000000</v>
      </c>
      <c r="P653" s="26" t="n">
        <v>128637</v>
      </c>
    </row>
    <row r="654">
      <c r="A654" t="inlineStr">
        <is>
          <t>PRAGMA</t>
        </is>
      </c>
      <c r="B654" t="inlineStr">
        <is>
          <t>M1</t>
        </is>
      </c>
      <c r="C654" t="inlineStr">
        <is>
          <t>Ipiales</t>
        </is>
      </c>
      <c r="D654" t="inlineStr">
        <is>
          <t>5587</t>
        </is>
      </c>
      <c r="E654" t="inlineStr">
        <is>
          <t>TDV</t>
        </is>
      </c>
      <c r="F654" s="23" t="n">
        <v>46280</v>
      </c>
      <c r="G654" t="inlineStr">
        <is>
          <t>provision</t>
        </is>
      </c>
      <c r="H654" s="26" t="n">
        <v>329640387</v>
      </c>
      <c r="I654" t="inlineStr">
        <is>
          <t>bajo</t>
        </is>
      </c>
      <c r="J654" t="inlineStr">
        <is>
          <t>RN-11 y RN-34: provision hasta el cupo operativo antes de bajar del 8 %</t>
        </is>
      </c>
      <c r="K654" t="inlineStr">
        <is>
          <t>Provision en la manana, antes del pagado: con el pronostico, sin provision el saldo bajaria del 8 % del cupo ese dia. Lleva el saldo de 75.359.613 a 405.000.000 COP (cupo 405.000.000). Equipo administrado por TDV.</t>
        </is>
      </c>
      <c r="L654" s="26" t="n">
        <v>405000000</v>
      </c>
      <c r="M654" s="26" t="n">
        <v>75359613</v>
      </c>
      <c r="N654" s="27">
        <f>IF(ISNUMBER(M654),M654/L654,"No aplica")</f>
        <v>0.18607311851851852</v>
      </c>
      <c r="O654" s="25">
        <f>IF(G654="provision",M654+H654,IF(G654="recoleccion",M654-H654,"No aplica"))</f>
        <v>405000000</v>
      </c>
      <c r="P654" s="26" t="n">
        <v>120519</v>
      </c>
    </row>
    <row r="655">
      <c r="A655" t="inlineStr">
        <is>
          <t>PRAGMA</t>
        </is>
      </c>
      <c r="B655" t="inlineStr">
        <is>
          <t>M1</t>
        </is>
      </c>
      <c r="C655" t="inlineStr">
        <is>
          <t>Cali</t>
        </is>
      </c>
      <c r="D655" t="inlineStr">
        <is>
          <t>5605</t>
        </is>
      </c>
      <c r="E655" t="inlineStr">
        <is>
          <t>TDV</t>
        </is>
      </c>
      <c r="F655" s="23" t="n">
        <v>46276</v>
      </c>
      <c r="G655" t="inlineStr">
        <is>
          <t>provision</t>
        </is>
      </c>
      <c r="H655" s="26" t="n">
        <v>376385397</v>
      </c>
      <c r="I655" t="inlineStr">
        <is>
          <t>bajo</t>
        </is>
      </c>
      <c r="J655" t="inlineStr">
        <is>
          <t>RN-11 y RN-34: provision hasta el cupo operativo antes de bajar del 8 %</t>
        </is>
      </c>
      <c r="K655" t="inlineStr">
        <is>
          <t>Provision en la manana, antes del pagado: con el pronostico, sin provision el saldo bajaria del 8 % del cupo ese dia. Lleva el saldo de 34.614.603 a 411.000.000 COP (cupo 411.000.000). Equipo administrado por TDV.</t>
        </is>
      </c>
      <c r="L655" s="26" t="n">
        <v>411000000</v>
      </c>
      <c r="M655" s="26" t="n">
        <v>34614603</v>
      </c>
      <c r="N655" s="27">
        <f>IF(ISNUMBER(M655),M655/L655,"No aplica")</f>
        <v>0.08422044525547445</v>
      </c>
      <c r="O655" s="25">
        <f>IF(G655="provision",M655+H655,IF(G655="recoleccion",M655-H655,"No aplica"))</f>
        <v>411000000</v>
      </c>
      <c r="P655" s="26" t="n">
        <v>158345</v>
      </c>
    </row>
    <row r="656">
      <c r="A656" t="inlineStr">
        <is>
          <t>PRAGMA</t>
        </is>
      </c>
      <c r="B656" t="inlineStr">
        <is>
          <t>M1</t>
        </is>
      </c>
      <c r="C656" t="inlineStr">
        <is>
          <t>Cali</t>
        </is>
      </c>
      <c r="D656" t="inlineStr">
        <is>
          <t>5724</t>
        </is>
      </c>
      <c r="E656" t="inlineStr">
        <is>
          <t>TDV</t>
        </is>
      </c>
      <c r="F656" s="23" t="n">
        <v>46274</v>
      </c>
      <c r="G656" t="inlineStr">
        <is>
          <t>provision</t>
        </is>
      </c>
      <c r="H656" s="26" t="n">
        <v>359910270</v>
      </c>
      <c r="I656" t="inlineStr">
        <is>
          <t>bajo</t>
        </is>
      </c>
      <c r="J656" t="inlineStr">
        <is>
          <t>RN-11 y RN-34: provision hasta el cupo operativo antes de bajar del 8 %</t>
        </is>
      </c>
      <c r="K656" t="inlineStr">
        <is>
          <t>Provision en la manana, antes del pagado: con el pronostico, sin provision el saldo bajaria del 8 % del cupo ese dia. Lleva el saldo de 51.089.730 a 411.000.000 COP (cupo 411.000.000). Equipo administrado por TDV.</t>
        </is>
      </c>
      <c r="L656" s="26" t="n">
        <v>411000000</v>
      </c>
      <c r="M656" s="26" t="n">
        <v>51089730</v>
      </c>
      <c r="N656" s="27">
        <f>IF(ISNUMBER(M656),M656/L656,"No aplica")</f>
        <v>0.12430591240875913</v>
      </c>
      <c r="O656" s="25">
        <f>IF(G656="provision",M656+H656,IF(G656="recoleccion",M656-H656,"No aplica"))</f>
        <v>411000000</v>
      </c>
      <c r="P656" s="26" t="n">
        <v>177860</v>
      </c>
    </row>
    <row r="657">
      <c r="A657" t="inlineStr">
        <is>
          <t>PRAGMA</t>
        </is>
      </c>
      <c r="B657" t="inlineStr">
        <is>
          <t>M1</t>
        </is>
      </c>
      <c r="C657" t="inlineStr">
        <is>
          <t>Cali</t>
        </is>
      </c>
      <c r="D657" t="inlineStr">
        <is>
          <t>5767</t>
        </is>
      </c>
      <c r="E657" t="inlineStr">
        <is>
          <t>Sucursal</t>
        </is>
      </c>
      <c r="F657" s="23" t="n">
        <v>46267</v>
      </c>
      <c r="G657" t="inlineStr">
        <is>
          <t>provision</t>
        </is>
      </c>
      <c r="H657" s="26" t="n">
        <v>225828082</v>
      </c>
      <c r="I657" t="inlineStr">
        <is>
          <t>bajo</t>
        </is>
      </c>
      <c r="J657" t="inlineStr">
        <is>
          <t>RN-11 y RN-34: provision hasta el cupo operativo antes de bajar del 8 %</t>
        </is>
      </c>
      <c r="K657" t="inlineStr">
        <is>
          <t>Provision en la manana, antes del pagado: con el pronostico, sin provision el saldo bajaria del 8 % del cupo ese dia. Lleva el saldo de 215.171.918 a 441.000.000 COP (cupo 441.000.000). Equipo administrado por Sucursal. Sin tarifa TDV (administrado por la sucursal): costo 0 declarado.</t>
        </is>
      </c>
      <c r="L657" s="26" t="n">
        <v>441000000</v>
      </c>
      <c r="M657" s="26" t="n">
        <v>215171918</v>
      </c>
      <c r="N657" s="27">
        <f>IF(ISNUMBER(M657),M657/L657,"No aplica")</f>
        <v>0.4879181814058957</v>
      </c>
      <c r="O657" s="25">
        <f>IF(G657="provision",M657+H657,IF(G657="recoleccion",M657-H657,"No aplica"))</f>
        <v>441000000</v>
      </c>
      <c r="P657" s="26" t="n">
        <v>0</v>
      </c>
    </row>
    <row r="658">
      <c r="A658" t="inlineStr">
        <is>
          <t>PRAGMA</t>
        </is>
      </c>
      <c r="B658" t="inlineStr">
        <is>
          <t>M1</t>
        </is>
      </c>
      <c r="C658" t="inlineStr">
        <is>
          <t>Cali</t>
        </is>
      </c>
      <c r="D658" t="inlineStr">
        <is>
          <t>5767</t>
        </is>
      </c>
      <c r="E658" t="inlineStr">
        <is>
          <t>Sucursal</t>
        </is>
      </c>
      <c r="F658" s="23" t="n">
        <v>46269</v>
      </c>
      <c r="G658" t="inlineStr">
        <is>
          <t>provision</t>
        </is>
      </c>
      <c r="H658" s="26" t="n">
        <v>364334766</v>
      </c>
      <c r="I658" t="inlineStr">
        <is>
          <t>bajo</t>
        </is>
      </c>
      <c r="J658" t="inlineStr">
        <is>
          <t>RN-11 y RN-34: provision hasta el cupo operativo antes de bajar del 8 %</t>
        </is>
      </c>
      <c r="K658" t="inlineStr">
        <is>
          <t>Provision en la manana, antes del pagado: con el pronostico, sin provision el saldo bajaria del 8 % del cupo ese dia. Lleva el saldo de 76.665.234 a 441.000.000 COP (cupo 441.000.000). Equipo administrado por Sucursal. Sin tarifa TDV (administrado por la sucursal): costo 0 declarado.</t>
        </is>
      </c>
      <c r="L658" s="26" t="n">
        <v>441000000</v>
      </c>
      <c r="M658" s="26" t="n">
        <v>76665234</v>
      </c>
      <c r="N658" s="27">
        <f>IF(ISNUMBER(M658),M658/L658,"No aplica")</f>
        <v>0.1738440680272109</v>
      </c>
      <c r="O658" s="25">
        <f>IF(G658="provision",M658+H658,IF(G658="recoleccion",M658-H658,"No aplica"))</f>
        <v>441000000</v>
      </c>
      <c r="P658" s="26" t="n">
        <v>0</v>
      </c>
    </row>
    <row r="659">
      <c r="A659" t="inlineStr">
        <is>
          <t>PRAGMA</t>
        </is>
      </c>
      <c r="B659" t="inlineStr">
        <is>
          <t>M1</t>
        </is>
      </c>
      <c r="C659" t="inlineStr">
        <is>
          <t>Cali</t>
        </is>
      </c>
      <c r="D659" t="inlineStr">
        <is>
          <t>5767</t>
        </is>
      </c>
      <c r="E659" t="inlineStr">
        <is>
          <t>Sucursal</t>
        </is>
      </c>
      <c r="F659" s="23" t="n">
        <v>46272</v>
      </c>
      <c r="G659" t="inlineStr">
        <is>
          <t>provision</t>
        </is>
      </c>
      <c r="H659" s="26" t="n">
        <v>404032513</v>
      </c>
      <c r="I659" t="inlineStr">
        <is>
          <t>bajo</t>
        </is>
      </c>
      <c r="J659" t="inlineStr">
        <is>
          <t>RN-11 y RN-34: provision hasta el cupo operativo antes de bajar del 8 %</t>
        </is>
      </c>
      <c r="K659" t="inlineStr">
        <is>
          <t>Provision en la manana, antes del pagado: con el pronostico, sin provision el saldo bajaria del 8 % del cupo ese dia. Lleva el saldo de 36.967.487 a 441.000.000 COP (cupo 441.000.000). Equipo administrado por Sucursal. Sin tarifa TDV (administrado por la sucursal): costo 0 declarado.</t>
        </is>
      </c>
      <c r="L659" s="26" t="n">
        <v>441000000</v>
      </c>
      <c r="M659" s="26" t="n">
        <v>36967487</v>
      </c>
      <c r="N659" s="27">
        <f>IF(ISNUMBER(M659),M659/L659,"No aplica")</f>
        <v>0.08382650113378685</v>
      </c>
      <c r="O659" s="25">
        <f>IF(G659="provision",M659+H659,IF(G659="recoleccion",M659-H659,"No aplica"))</f>
        <v>441000000</v>
      </c>
      <c r="P659" s="26" t="n">
        <v>0</v>
      </c>
    </row>
    <row r="660">
      <c r="A660" t="inlineStr">
        <is>
          <t>PRAGMA</t>
        </is>
      </c>
      <c r="B660" t="inlineStr">
        <is>
          <t>M1</t>
        </is>
      </c>
      <c r="C660" t="inlineStr">
        <is>
          <t>Cali</t>
        </is>
      </c>
      <c r="D660" t="inlineStr">
        <is>
          <t>5767</t>
        </is>
      </c>
      <c r="E660" t="inlineStr">
        <is>
          <t>Sucursal</t>
        </is>
      </c>
      <c r="F660" s="23" t="n">
        <v>46275</v>
      </c>
      <c r="G660" t="inlineStr">
        <is>
          <t>provision</t>
        </is>
      </c>
      <c r="H660" s="26" t="n">
        <v>387551965</v>
      </c>
      <c r="I660" t="inlineStr">
        <is>
          <t>bajo</t>
        </is>
      </c>
      <c r="J660" t="inlineStr">
        <is>
          <t>RN-11 y RN-34: provision hasta el cupo operativo antes de bajar del 8 %</t>
        </is>
      </c>
      <c r="K660" t="inlineStr">
        <is>
          <t>Provision en la manana, antes del pagado: con el pronostico, sin provision el saldo bajaria del 8 % del cupo ese dia. Lleva el saldo de 53.448.035 a 441.000.000 COP (cupo 441.000.000). Equipo administrado por Sucursal. Sin tarifa TDV (administrado por la sucursal): costo 0 declarado.</t>
        </is>
      </c>
      <c r="L660" s="26" t="n">
        <v>441000000</v>
      </c>
      <c r="M660" s="26" t="n">
        <v>53448035</v>
      </c>
      <c r="N660" s="27">
        <f>IF(ISNUMBER(M660),M660/L660,"No aplica")</f>
        <v>0.12119735827664399</v>
      </c>
      <c r="O660" s="25">
        <f>IF(G660="provision",M660+H660,IF(G660="recoleccion",M660-H660,"No aplica"))</f>
        <v>441000000</v>
      </c>
      <c r="P660" s="26" t="n">
        <v>0</v>
      </c>
    </row>
    <row r="661">
      <c r="A661" t="inlineStr">
        <is>
          <t>PRAGMA</t>
        </is>
      </c>
      <c r="B661" t="inlineStr">
        <is>
          <t>M1</t>
        </is>
      </c>
      <c r="C661" t="inlineStr">
        <is>
          <t>Cali</t>
        </is>
      </c>
      <c r="D661" t="inlineStr">
        <is>
          <t>5767</t>
        </is>
      </c>
      <c r="E661" t="inlineStr">
        <is>
          <t>Sucursal</t>
        </is>
      </c>
      <c r="F661" s="23" t="n">
        <v>46277</v>
      </c>
      <c r="G661" t="inlineStr">
        <is>
          <t>provision</t>
        </is>
      </c>
      <c r="H661" s="26" t="n">
        <v>286257169</v>
      </c>
      <c r="I661" t="inlineStr">
        <is>
          <t>bajo</t>
        </is>
      </c>
      <c r="J661" t="inlineStr">
        <is>
          <t>RN-11 y RN-34: provision hasta el cupo operativo antes de bajar del 8 %</t>
        </is>
      </c>
      <c r="K661" t="inlineStr">
        <is>
          <t>Provision en la manana, antes del pagado: con el pronostico, sin provision el saldo bajaria del 8 % del cupo ese dia. Lleva el saldo de 154.742.831 a 441.000.000 COP (cupo 441.000.000). Equipo administrado por Sucursal. Sin tarifa TDV (administrado por la sucursal): costo 0 declarado.</t>
        </is>
      </c>
      <c r="L661" s="26" t="n">
        <v>441000000</v>
      </c>
      <c r="M661" s="26" t="n">
        <v>154742831</v>
      </c>
      <c r="N661" s="27">
        <f>IF(ISNUMBER(M661),M661/L661,"No aplica")</f>
        <v>0.3508907732426304</v>
      </c>
      <c r="O661" s="25">
        <f>IF(G661="provision",M661+H661,IF(G661="recoleccion",M661-H661,"No aplica"))</f>
        <v>441000000</v>
      </c>
      <c r="P661" s="26" t="n">
        <v>0</v>
      </c>
    </row>
    <row r="662">
      <c r="A662" t="inlineStr">
        <is>
          <t>PRAGMA</t>
        </is>
      </c>
      <c r="B662" t="inlineStr">
        <is>
          <t>M1</t>
        </is>
      </c>
      <c r="C662" t="inlineStr">
        <is>
          <t>Cali</t>
        </is>
      </c>
      <c r="D662" t="inlineStr">
        <is>
          <t>5767</t>
        </is>
      </c>
      <c r="E662" t="inlineStr">
        <is>
          <t>Sucursal</t>
        </is>
      </c>
      <c r="F662" s="23" t="n">
        <v>46280</v>
      </c>
      <c r="G662" t="inlineStr">
        <is>
          <t>provision</t>
        </is>
      </c>
      <c r="H662" s="26" t="n">
        <v>315309468</v>
      </c>
      <c r="I662" t="inlineStr">
        <is>
          <t>bajo</t>
        </is>
      </c>
      <c r="J662" t="inlineStr">
        <is>
          <t>RN-11 y RN-34: provision hasta el cupo operativo antes de bajar del 8 %</t>
        </is>
      </c>
      <c r="K662" t="inlineStr">
        <is>
          <t>Provision en la manana, antes del pagado: con el pronostico, sin provision el saldo bajaria del 8 % del cupo ese dia. Lleva el saldo de 125.690.532 a 441.000.000 COP (cupo 441.000.000). Equipo administrado por Sucursal. Sin tarifa TDV (administrado por la sucursal): costo 0 declarado.</t>
        </is>
      </c>
      <c r="L662" s="26" t="n">
        <v>441000000</v>
      </c>
      <c r="M662" s="26" t="n">
        <v>125690532</v>
      </c>
      <c r="N662" s="27">
        <f>IF(ISNUMBER(M662),M662/L662,"No aplica")</f>
        <v>0.28501254421768707</v>
      </c>
      <c r="O662" s="25">
        <f>IF(G662="provision",M662+H662,IF(G662="recoleccion",M662-H662,"No aplica"))</f>
        <v>441000000</v>
      </c>
      <c r="P662" s="26" t="n">
        <v>0</v>
      </c>
    </row>
    <row r="663">
      <c r="A663" t="inlineStr">
        <is>
          <t>PRAGMA</t>
        </is>
      </c>
      <c r="B663" t="inlineStr">
        <is>
          <t>M1</t>
        </is>
      </c>
      <c r="C663" t="inlineStr">
        <is>
          <t>Cali</t>
        </is>
      </c>
      <c r="D663" t="inlineStr">
        <is>
          <t>5778</t>
        </is>
      </c>
      <c r="E663" t="inlineStr">
        <is>
          <t>TDV</t>
        </is>
      </c>
      <c r="F663" s="23" t="n">
        <v>46266</v>
      </c>
      <c r="G663" t="inlineStr">
        <is>
          <t>sin_accion</t>
        </is>
      </c>
      <c r="H663" s="26" t="n">
        <v>0</v>
      </c>
      <c r="I663" t="inlineStr">
        <is>
          <t>bajo</t>
        </is>
      </c>
      <c r="J663" t="inlineStr">
        <is>
          <t>RN-02: una fila sin_accion</t>
        </is>
      </c>
      <c r="K663" t="inlineStr">
        <is>
          <t>Sin accion en el horizonte: con el pronostico, el saldo se mantiene entre el umbral de agotamiento y el cupo sin necesidad de provision ni recoleccion.</t>
        </is>
      </c>
      <c r="L663" s="26" t="n">
        <v>405000000</v>
      </c>
      <c r="M663" s="26" t="inlineStr">
        <is>
          <t>No aplica</t>
        </is>
      </c>
      <c r="N663" s="27" t="str">
        <f>IF(ISNUMBER(M663),M663/L663,"No aplica")</f>
        <v>No aplica</v>
      </c>
      <c r="O663" s="25" t="str">
        <f>IF(G663="provision",M663+H663,IF(G663="recoleccion",M663-H663,"No aplica"))</f>
        <v>No aplica</v>
      </c>
      <c r="P663" s="26" t="inlineStr">
        <is>
          <t>No aplica</t>
        </is>
      </c>
    </row>
    <row r="664">
      <c r="A664" t="inlineStr">
        <is>
          <t>PRAGMA</t>
        </is>
      </c>
      <c r="B664" t="inlineStr">
        <is>
          <t>M1</t>
        </is>
      </c>
      <c r="C664" t="inlineStr">
        <is>
          <t>Cali</t>
        </is>
      </c>
      <c r="D664" t="inlineStr">
        <is>
          <t>5792</t>
        </is>
      </c>
      <c r="E664" t="inlineStr">
        <is>
          <t>TDV</t>
        </is>
      </c>
      <c r="F664" s="23" t="n">
        <v>46269</v>
      </c>
      <c r="G664" t="inlineStr">
        <is>
          <t>provision</t>
        </is>
      </c>
      <c r="H664" s="26" t="n">
        <v>321266690</v>
      </c>
      <c r="I664" t="inlineStr">
        <is>
          <t>bajo</t>
        </is>
      </c>
      <c r="J664" t="inlineStr">
        <is>
          <t>RN-11 y RN-34: provision hasta el cupo operativo antes de bajar del 8 %</t>
        </is>
      </c>
      <c r="K664" t="inlineStr">
        <is>
          <t>Provision en la manana, antes del pagado: con el pronostico, sin provision el saldo bajaria del 8 % del cupo ese dia. Lleva el saldo de 89.733.310 a 411.000.000 COP (cupo 411.000.000). Equipo administrado por TDV.</t>
        </is>
      </c>
      <c r="L664" s="26" t="n">
        <v>411000000</v>
      </c>
      <c r="M664" s="26" t="n">
        <v>89733310</v>
      </c>
      <c r="N664" s="27">
        <f>IF(ISNUMBER(M664),M664/L664,"No aplica")</f>
        <v>0.2183292214111922</v>
      </c>
      <c r="O664" s="25">
        <f>IF(G664="provision",M664+H664,IF(G664="recoleccion",M664-H664,"No aplica"))</f>
        <v>411000000</v>
      </c>
      <c r="P664" s="26" t="n">
        <v>120688</v>
      </c>
    </row>
    <row r="665">
      <c r="A665" t="inlineStr">
        <is>
          <t>PRAGMA</t>
        </is>
      </c>
      <c r="B665" t="inlineStr">
        <is>
          <t>M1</t>
        </is>
      </c>
      <c r="C665" t="inlineStr">
        <is>
          <t>Cali</t>
        </is>
      </c>
      <c r="D665" t="inlineStr">
        <is>
          <t>5792</t>
        </is>
      </c>
      <c r="E665" t="inlineStr">
        <is>
          <t>TDV</t>
        </is>
      </c>
      <c r="F665" s="23" t="n">
        <v>46273</v>
      </c>
      <c r="G665" t="inlineStr">
        <is>
          <t>provision</t>
        </is>
      </c>
      <c r="H665" s="26" t="n">
        <v>326078079</v>
      </c>
      <c r="I665" t="inlineStr">
        <is>
          <t>bajo</t>
        </is>
      </c>
      <c r="J665" t="inlineStr">
        <is>
          <t>RN-11 y RN-34: provision hasta el cupo operativo antes de bajar del 8 %</t>
        </is>
      </c>
      <c r="K665" t="inlineStr">
        <is>
          <t>Provision en la manana, antes del pagado: con el pronostico, sin provision el saldo bajaria del 8 % del cupo ese dia. Lleva el saldo de 84.921.921 a 411.000.000 COP (cupo 411.000.000). Equipo administrado por TDV.</t>
        </is>
      </c>
      <c r="L665" s="26" t="n">
        <v>411000000</v>
      </c>
      <c r="M665" s="26" t="n">
        <v>84921921</v>
      </c>
      <c r="N665" s="27">
        <f>IF(ISNUMBER(M665),M665/L665,"No aplica")</f>
        <v>0.2066226788321168</v>
      </c>
      <c r="O665" s="25">
        <f>IF(G665="provision",M665+H665,IF(G665="recoleccion",M665-H665,"No aplica"))</f>
        <v>411000000</v>
      </c>
      <c r="P665" s="26" t="n">
        <v>122242</v>
      </c>
    </row>
    <row r="666">
      <c r="A666" t="inlineStr">
        <is>
          <t>PRAGMA</t>
        </is>
      </c>
      <c r="B666" t="inlineStr">
        <is>
          <t>M1</t>
        </is>
      </c>
      <c r="C666" t="inlineStr">
        <is>
          <t>Cali</t>
        </is>
      </c>
      <c r="D666" t="inlineStr">
        <is>
          <t>5792</t>
        </is>
      </c>
      <c r="E666" t="inlineStr">
        <is>
          <t>TDV</t>
        </is>
      </c>
      <c r="F666" s="23" t="n">
        <v>46279</v>
      </c>
      <c r="G666" t="inlineStr">
        <is>
          <t>provision</t>
        </is>
      </c>
      <c r="H666" s="26" t="n">
        <v>349938736</v>
      </c>
      <c r="I666" t="inlineStr">
        <is>
          <t>bajo</t>
        </is>
      </c>
      <c r="J666" t="inlineStr">
        <is>
          <t>RN-11 y RN-34: provision hasta el cupo operativo antes de bajar del 8 %</t>
        </is>
      </c>
      <c r="K666" t="inlineStr">
        <is>
          <t>Provision en la manana, antes del pagado: con el pronostico, sin provision el saldo bajaria del 8 % del cupo ese dia. Lleva el saldo de 61.061.264 a 411.000.000 COP (cupo 411.000.000). Equipo administrado por TDV.</t>
        </is>
      </c>
      <c r="L666" s="26" t="n">
        <v>411000000</v>
      </c>
      <c r="M666" s="26" t="n">
        <v>61061264</v>
      </c>
      <c r="N666" s="27">
        <f>IF(ISNUMBER(M666),M666/L666,"No aplica")</f>
        <v>0.14856755231143554</v>
      </c>
      <c r="O666" s="25">
        <f>IF(G666="provision",M666+H666,IF(G666="recoleccion",M666-H666,"No aplica"))</f>
        <v>411000000</v>
      </c>
      <c r="P666" s="26" t="n">
        <v>129949</v>
      </c>
    </row>
    <row r="667">
      <c r="A667" t="inlineStr">
        <is>
          <t>PRAGMA</t>
        </is>
      </c>
      <c r="B667" t="inlineStr">
        <is>
          <t>M1</t>
        </is>
      </c>
      <c r="C667" t="inlineStr">
        <is>
          <t>Cali</t>
        </is>
      </c>
      <c r="D667" t="inlineStr">
        <is>
          <t>5793</t>
        </is>
      </c>
      <c r="E667" t="inlineStr">
        <is>
          <t>TDV</t>
        </is>
      </c>
      <c r="F667" s="23" t="n">
        <v>46267</v>
      </c>
      <c r="G667" t="inlineStr">
        <is>
          <t>provision</t>
        </is>
      </c>
      <c r="H667" s="26" t="n">
        <v>232032458</v>
      </c>
      <c r="I667" t="inlineStr">
        <is>
          <t>bajo</t>
        </is>
      </c>
      <c r="J667" t="inlineStr">
        <is>
          <t>RN-11 y RN-34: provision hasta el cupo operativo antes de bajar del 8 %</t>
        </is>
      </c>
      <c r="K667" t="inlineStr">
        <is>
          <t>Provision en la manana, antes del pagado: con el pronostico, sin provision el saldo bajaria del 8 % del cupo ese dia. Lleva el saldo de 178.967.542 a 411.000.000 COP (cupo 411.000.000). Equipo administrado por TDV.</t>
        </is>
      </c>
      <c r="L667" s="26" t="n">
        <v>411000000</v>
      </c>
      <c r="M667" s="26" t="n">
        <v>178967542</v>
      </c>
      <c r="N667" s="27">
        <f>IF(ISNUMBER(M667),M667/L667,"No aplica")</f>
        <v>0.4354441411192214</v>
      </c>
      <c r="O667" s="25">
        <f>IF(G667="provision",M667+H667,IF(G667="recoleccion",M667-H667,"No aplica"))</f>
        <v>411000000</v>
      </c>
      <c r="P667" s="26" t="n">
        <v>91865</v>
      </c>
    </row>
    <row r="668">
      <c r="A668" t="inlineStr">
        <is>
          <t>PRAGMA</t>
        </is>
      </c>
      <c r="B668" t="inlineStr">
        <is>
          <t>M1</t>
        </is>
      </c>
      <c r="C668" t="inlineStr">
        <is>
          <t>Cali</t>
        </is>
      </c>
      <c r="D668" t="inlineStr">
        <is>
          <t>5793</t>
        </is>
      </c>
      <c r="E668" t="inlineStr">
        <is>
          <t>TDV</t>
        </is>
      </c>
      <c r="F668" s="23" t="n">
        <v>46269</v>
      </c>
      <c r="G668" t="inlineStr">
        <is>
          <t>provision</t>
        </is>
      </c>
      <c r="H668" s="26" t="n">
        <v>346327807</v>
      </c>
      <c r="I668" t="inlineStr">
        <is>
          <t>bajo</t>
        </is>
      </c>
      <c r="J668" t="inlineStr">
        <is>
          <t>RN-11 y RN-34: provision hasta el cupo operativo antes de bajar del 8 %</t>
        </is>
      </c>
      <c r="K668" t="inlineStr">
        <is>
          <t>Provision en la manana, antes del pagado: con el pronostico, sin provision el saldo bajaria del 8 % del cupo ese dia. Lleva el saldo de 64.672.193 a 411.000.000 COP (cupo 411.000.000). Equipo administrado por TDV.</t>
        </is>
      </c>
      <c r="L668" s="26" t="n">
        <v>411000000</v>
      </c>
      <c r="M668" s="26" t="n">
        <v>64672193</v>
      </c>
      <c r="N668" s="27">
        <f>IF(ISNUMBER(M668),M668/L668,"No aplica")</f>
        <v>0.15735326763990268</v>
      </c>
      <c r="O668" s="25">
        <f>IF(G668="provision",M668+H668,IF(G668="recoleccion",M668-H668,"No aplica"))</f>
        <v>411000000</v>
      </c>
      <c r="P668" s="26" t="n">
        <v>128783</v>
      </c>
    </row>
    <row r="669">
      <c r="A669" t="inlineStr">
        <is>
          <t>PRAGMA</t>
        </is>
      </c>
      <c r="B669" t="inlineStr">
        <is>
          <t>M1</t>
        </is>
      </c>
      <c r="C669" t="inlineStr">
        <is>
          <t>Cali</t>
        </is>
      </c>
      <c r="D669" t="inlineStr">
        <is>
          <t>5793</t>
        </is>
      </c>
      <c r="E669" t="inlineStr">
        <is>
          <t>TDV</t>
        </is>
      </c>
      <c r="F669" s="23" t="n">
        <v>46271</v>
      </c>
      <c r="G669" t="inlineStr">
        <is>
          <t>provision</t>
        </is>
      </c>
      <c r="H669" s="26" t="n">
        <v>355907512</v>
      </c>
      <c r="I669" t="inlineStr">
        <is>
          <t>bajo</t>
        </is>
      </c>
      <c r="J669" t="inlineStr">
        <is>
          <t>RN-11 y RN-34: provision hasta el cupo operativo antes de bajar del 8 %</t>
        </is>
      </c>
      <c r="K669" t="inlineStr">
        <is>
          <t>Provision en la manana, antes del pagado: con el pronostico, sin provision el saldo bajaria del 8 % del cupo ese dia. Lleva el saldo de 55.092.488 a 411.000.000 COP (cupo 411.000.000). Equipo administrado por TDV.</t>
        </is>
      </c>
      <c r="L669" s="26" t="n">
        <v>411000000</v>
      </c>
      <c r="M669" s="26" t="n">
        <v>55092488</v>
      </c>
      <c r="N669" s="27">
        <f>IF(ISNUMBER(M669),M669/L669,"No aplica")</f>
        <v>0.13404498296836984</v>
      </c>
      <c r="O669" s="25">
        <f>IF(G669="provision",M669+H669,IF(G669="recoleccion",M669-H669,"No aplica"))</f>
        <v>411000000</v>
      </c>
      <c r="P669" s="26" t="n">
        <v>171669</v>
      </c>
    </row>
    <row r="670">
      <c r="A670" t="inlineStr">
        <is>
          <t>PRAGMA</t>
        </is>
      </c>
      <c r="B670" t="inlineStr">
        <is>
          <t>M1</t>
        </is>
      </c>
      <c r="C670" t="inlineStr">
        <is>
          <t>Cali</t>
        </is>
      </c>
      <c r="D670" t="inlineStr">
        <is>
          <t>5793</t>
        </is>
      </c>
      <c r="E670" t="inlineStr">
        <is>
          <t>TDV</t>
        </is>
      </c>
      <c r="F670" s="23" t="n">
        <v>46273</v>
      </c>
      <c r="G670" t="inlineStr">
        <is>
          <t>provision</t>
        </is>
      </c>
      <c r="H670" s="26" t="n">
        <v>242916351</v>
      </c>
      <c r="I670" t="inlineStr">
        <is>
          <t>bajo</t>
        </is>
      </c>
      <c r="J670" t="inlineStr">
        <is>
          <t>RN-11 y RN-34: provision hasta el cupo operativo antes de bajar del 8 %</t>
        </is>
      </c>
      <c r="K670" t="inlineStr">
        <is>
          <t>Provision en la manana, antes del pagado: con el pronostico, sin provision el saldo bajaria del 8 % del cupo ese dia. Lleva el saldo de 168.083.649 a 411.000.000 COP (cupo 411.000.000). Equipo administrado por TDV.</t>
        </is>
      </c>
      <c r="L670" s="26" t="n">
        <v>411000000</v>
      </c>
      <c r="M670" s="26" t="n">
        <v>168083649</v>
      </c>
      <c r="N670" s="27">
        <f>IF(ISNUMBER(M670),M670/L670,"No aplica")</f>
        <v>0.4089626496350365</v>
      </c>
      <c r="O670" s="25">
        <f>IF(G670="provision",M670+H670,IF(G670="recoleccion",M670-H670,"No aplica"))</f>
        <v>411000000</v>
      </c>
      <c r="P670" s="26" t="n">
        <v>95381</v>
      </c>
    </row>
    <row r="671">
      <c r="A671" t="inlineStr">
        <is>
          <t>PRAGMA</t>
        </is>
      </c>
      <c r="B671" t="inlineStr">
        <is>
          <t>M1</t>
        </is>
      </c>
      <c r="C671" t="inlineStr">
        <is>
          <t>Cali</t>
        </is>
      </c>
      <c r="D671" t="inlineStr">
        <is>
          <t>5793</t>
        </is>
      </c>
      <c r="E671" t="inlineStr">
        <is>
          <t>TDV</t>
        </is>
      </c>
      <c r="F671" s="23" t="n">
        <v>46275</v>
      </c>
      <c r="G671" t="inlineStr">
        <is>
          <t>provision</t>
        </is>
      </c>
      <c r="H671" s="26" t="n">
        <v>266968732</v>
      </c>
      <c r="I671" t="inlineStr">
        <is>
          <t>bajo</t>
        </is>
      </c>
      <c r="J671" t="inlineStr">
        <is>
          <t>RN-11 y RN-34: provision hasta el cupo operativo antes de bajar del 8 %</t>
        </is>
      </c>
      <c r="K671" t="inlineStr">
        <is>
          <t>Provision en la manana, antes del pagado: con el pronostico, sin provision el saldo bajaria del 8 % del cupo ese dia. Lleva el saldo de 144.031.268 a 411.000.000 COP (cupo 411.000.000). Equipo administrado por TDV.</t>
        </is>
      </c>
      <c r="L671" s="26" t="n">
        <v>411000000</v>
      </c>
      <c r="M671" s="26" t="n">
        <v>144031268</v>
      </c>
      <c r="N671" s="27">
        <f>IF(ISNUMBER(M671),M671/L671,"No aplica")</f>
        <v>0.3504410413625304</v>
      </c>
      <c r="O671" s="25">
        <f>IF(G671="provision",M671+H671,IF(G671="recoleccion",M671-H671,"No aplica"))</f>
        <v>411000000</v>
      </c>
      <c r="P671" s="26" t="n">
        <v>103150</v>
      </c>
    </row>
    <row r="672">
      <c r="A672" t="inlineStr">
        <is>
          <t>PRAGMA</t>
        </is>
      </c>
      <c r="B672" t="inlineStr">
        <is>
          <t>M1</t>
        </is>
      </c>
      <c r="C672" t="inlineStr">
        <is>
          <t>Cali</t>
        </is>
      </c>
      <c r="D672" t="inlineStr">
        <is>
          <t>5793</t>
        </is>
      </c>
      <c r="E672" t="inlineStr">
        <is>
          <t>TDV</t>
        </is>
      </c>
      <c r="F672" s="23" t="n">
        <v>46277</v>
      </c>
      <c r="G672" t="inlineStr">
        <is>
          <t>provision</t>
        </is>
      </c>
      <c r="H672" s="26" t="n">
        <v>252208723</v>
      </c>
      <c r="I672" t="inlineStr">
        <is>
          <t>bajo</t>
        </is>
      </c>
      <c r="J672" t="inlineStr">
        <is>
          <t>RN-11 y RN-34: provision hasta el cupo operativo antes de bajar del 8 %</t>
        </is>
      </c>
      <c r="K672" t="inlineStr">
        <is>
          <t>Provision en la manana, antes del pagado: con el pronostico, sin provision el saldo bajaria del 8 % del cupo ese dia. Lleva el saldo de 158.791.277 a 411.000.000 COP (cupo 411.000.000). Equipo administrado por TDV.</t>
        </is>
      </c>
      <c r="L672" s="26" t="n">
        <v>411000000</v>
      </c>
      <c r="M672" s="26" t="n">
        <v>158791277</v>
      </c>
      <c r="N672" s="27">
        <f>IF(ISNUMBER(M672),M672/L672,"No aplica")</f>
        <v>0.38635347201946474</v>
      </c>
      <c r="O672" s="25">
        <f>IF(G672="provision",M672+H672,IF(G672="recoleccion",M672-H672,"No aplica"))</f>
        <v>411000000</v>
      </c>
      <c r="P672" s="26" t="n">
        <v>98382</v>
      </c>
    </row>
    <row r="673">
      <c r="A673" t="inlineStr">
        <is>
          <t>PRAGMA</t>
        </is>
      </c>
      <c r="B673" t="inlineStr">
        <is>
          <t>M1</t>
        </is>
      </c>
      <c r="C673" t="inlineStr">
        <is>
          <t>Cali</t>
        </is>
      </c>
      <c r="D673" t="inlineStr">
        <is>
          <t>5793</t>
        </is>
      </c>
      <c r="E673" t="inlineStr">
        <is>
          <t>TDV</t>
        </is>
      </c>
      <c r="F673" s="23" t="n">
        <v>46280</v>
      </c>
      <c r="G673" t="inlineStr">
        <is>
          <t>provision</t>
        </is>
      </c>
      <c r="H673" s="26" t="n">
        <v>360066082</v>
      </c>
      <c r="I673" t="inlineStr">
        <is>
          <t>bajo</t>
        </is>
      </c>
      <c r="J673" t="inlineStr">
        <is>
          <t>RN-11 y RN-34: provision hasta el cupo operativo antes de bajar del 8 %</t>
        </is>
      </c>
      <c r="K673" t="inlineStr">
        <is>
          <t>Provision en la manana, antes del pagado: con el pronostico, sin provision el saldo bajaria del 8 % del cupo ese dia. Lleva el saldo de 50.933.918 a 411.000.000 COP (cupo 411.000.000). Equipo administrado por TDV.</t>
        </is>
      </c>
      <c r="L673" s="26" t="n">
        <v>411000000</v>
      </c>
      <c r="M673" s="26" t="n">
        <v>50933918</v>
      </c>
      <c r="N673" s="27">
        <f>IF(ISNUMBER(M673),M673/L673,"No aplica")</f>
        <v>0.12392680778588808</v>
      </c>
      <c r="O673" s="25">
        <f>IF(G673="provision",M673+H673,IF(G673="recoleccion",M673-H673,"No aplica"))</f>
        <v>411000000</v>
      </c>
      <c r="P673" s="26" t="n">
        <v>133220</v>
      </c>
    </row>
    <row r="674">
      <c r="A674" t="inlineStr">
        <is>
          <t>PRAGMA</t>
        </is>
      </c>
      <c r="B674" t="inlineStr">
        <is>
          <t>M1</t>
        </is>
      </c>
      <c r="C674" t="inlineStr">
        <is>
          <t>Cali</t>
        </is>
      </c>
      <c r="D674" t="inlineStr">
        <is>
          <t>5794</t>
        </is>
      </c>
      <c r="E674" t="inlineStr">
        <is>
          <t>TDV</t>
        </is>
      </c>
      <c r="F674" s="23" t="n">
        <v>46268</v>
      </c>
      <c r="G674" t="inlineStr">
        <is>
          <t>provision</t>
        </is>
      </c>
      <c r="H674" s="26" t="n">
        <v>333953766</v>
      </c>
      <c r="I674" t="inlineStr">
        <is>
          <t>bajo</t>
        </is>
      </c>
      <c r="J674" t="inlineStr">
        <is>
          <t>RN-11 y RN-34: provision hasta el cupo operativo antes de bajar del 8 %</t>
        </is>
      </c>
      <c r="K674" t="inlineStr">
        <is>
          <t>Provision en la manana, antes del pagado: con el pronostico, sin provision el saldo bajaria del 8 % del cupo ese dia. Lleva el saldo de 166.046.234 a 500.000.000 COP (cupo 500.000.000). Equipo administrado por TDV.</t>
        </is>
      </c>
      <c r="L674" s="26" t="n">
        <v>500000000</v>
      </c>
      <c r="M674" s="26" t="n">
        <v>166046234</v>
      </c>
      <c r="N674" s="27">
        <f>IF(ISNUMBER(M674),M674/L674,"No aplica")</f>
        <v>0.332092468</v>
      </c>
      <c r="O674" s="25">
        <f>IF(G674="provision",M674+H674,IF(G674="recoleccion",M674-H674,"No aplica"))</f>
        <v>500000000</v>
      </c>
      <c r="P674" s="26" t="n">
        <v>109066</v>
      </c>
    </row>
    <row r="675">
      <c r="A675" t="inlineStr">
        <is>
          <t>PRAGMA</t>
        </is>
      </c>
      <c r="B675" t="inlineStr">
        <is>
          <t>M1</t>
        </is>
      </c>
      <c r="C675" t="inlineStr">
        <is>
          <t>Cali</t>
        </is>
      </c>
      <c r="D675" t="inlineStr">
        <is>
          <t>5794</t>
        </is>
      </c>
      <c r="E675" t="inlineStr">
        <is>
          <t>TDV</t>
        </is>
      </c>
      <c r="F675" s="23" t="n">
        <v>46271</v>
      </c>
      <c r="G675" t="inlineStr">
        <is>
          <t>provision</t>
        </is>
      </c>
      <c r="H675" s="26" t="n">
        <v>412632512</v>
      </c>
      <c r="I675" t="inlineStr">
        <is>
          <t>bajo</t>
        </is>
      </c>
      <c r="J675" t="inlineStr">
        <is>
          <t>RN-11 y RN-34: provision hasta el cupo operativo antes de bajar del 8 %</t>
        </is>
      </c>
      <c r="K675" t="inlineStr">
        <is>
          <t>Provision en la manana, antes del pagado: con el pronostico, sin provision el saldo bajaria del 8 % del cupo ese dia. Lleva el saldo de 87.367.488 a 500.000.000 COP (cupo 500.000.000). Equipo administrado por TDV.</t>
        </is>
      </c>
      <c r="L675" s="26" t="n">
        <v>500000000</v>
      </c>
      <c r="M675" s="26" t="n">
        <v>87367488</v>
      </c>
      <c r="N675" s="27">
        <f>IF(ISNUMBER(M675),M675/L675,"No aplica")</f>
        <v>0.174734976</v>
      </c>
      <c r="O675" s="25">
        <f>IF(G675="provision",M675+H675,IF(G675="recoleccion",M675-H675,"No aplica"))</f>
        <v>500000000</v>
      </c>
      <c r="P675" s="26" t="n">
        <v>177704</v>
      </c>
    </row>
    <row r="676">
      <c r="A676" t="inlineStr">
        <is>
          <t>PRAGMA</t>
        </is>
      </c>
      <c r="B676" t="inlineStr">
        <is>
          <t>M1</t>
        </is>
      </c>
      <c r="C676" t="inlineStr">
        <is>
          <t>Cali</t>
        </is>
      </c>
      <c r="D676" t="inlineStr">
        <is>
          <t>5794</t>
        </is>
      </c>
      <c r="E676" t="inlineStr">
        <is>
          <t>TDV</t>
        </is>
      </c>
      <c r="F676" s="23" t="n">
        <v>46275</v>
      </c>
      <c r="G676" t="inlineStr">
        <is>
          <t>provision</t>
        </is>
      </c>
      <c r="H676" s="26" t="n">
        <v>392496610</v>
      </c>
      <c r="I676" t="inlineStr">
        <is>
          <t>bajo</t>
        </is>
      </c>
      <c r="J676" t="inlineStr">
        <is>
          <t>RN-11 y RN-34: provision hasta el cupo operativo antes de bajar del 8 %</t>
        </is>
      </c>
      <c r="K676" t="inlineStr">
        <is>
          <t>Provision en la manana, antes del pagado: con el pronostico, sin provision el saldo bajaria del 8 % del cupo ese dia. Lleva el saldo de 107.503.390 a 500.000.000 COP (cupo 500.000.000). Equipo administrado por TDV.</t>
        </is>
      </c>
      <c r="L676" s="26" t="n">
        <v>500000000</v>
      </c>
      <c r="M676" s="26" t="n">
        <v>107503390</v>
      </c>
      <c r="N676" s="27">
        <f>IF(ISNUMBER(M676),M676/L676,"No aplica")</f>
        <v>0.21500678</v>
      </c>
      <c r="O676" s="25">
        <f>IF(G676="provision",M676+H676,IF(G676="recoleccion",M676-H676,"No aplica"))</f>
        <v>500000000</v>
      </c>
      <c r="P676" s="26" t="n">
        <v>125458</v>
      </c>
    </row>
    <row r="677">
      <c r="A677" t="inlineStr">
        <is>
          <t>PRAGMA</t>
        </is>
      </c>
      <c r="B677" t="inlineStr">
        <is>
          <t>M1</t>
        </is>
      </c>
      <c r="C677" t="inlineStr">
        <is>
          <t>Cali</t>
        </is>
      </c>
      <c r="D677" t="inlineStr">
        <is>
          <t>5794</t>
        </is>
      </c>
      <c r="E677" t="inlineStr">
        <is>
          <t>TDV</t>
        </is>
      </c>
      <c r="F677" s="23" t="n">
        <v>46279</v>
      </c>
      <c r="G677" t="inlineStr">
        <is>
          <t>provision</t>
        </is>
      </c>
      <c r="H677" s="26" t="n">
        <v>375784109</v>
      </c>
      <c r="I677" t="inlineStr">
        <is>
          <t>bajo</t>
        </is>
      </c>
      <c r="J677" t="inlineStr">
        <is>
          <t>RN-11 y RN-34: provision hasta el cupo operativo antes de bajar del 8 %</t>
        </is>
      </c>
      <c r="K677" t="inlineStr">
        <is>
          <t>Provision en la manana, antes del pagado: con el pronostico, sin provision el saldo bajaria del 8 % del cupo ese dia. Lleva el saldo de 124.215.891 a 500.000.000 COP (cupo 500.000.000). Equipo administrado por TDV.</t>
        </is>
      </c>
      <c r="L677" s="26" t="n">
        <v>500000000</v>
      </c>
      <c r="M677" s="26" t="n">
        <v>124215891</v>
      </c>
      <c r="N677" s="27">
        <f>IF(ISNUMBER(M677),M677/L677,"No aplica")</f>
        <v>0.248431782</v>
      </c>
      <c r="O677" s="25">
        <f>IF(G677="provision",M677+H677,IF(G677="recoleccion",M677-H677,"No aplica"))</f>
        <v>500000000</v>
      </c>
      <c r="P677" s="26" t="n">
        <v>120779</v>
      </c>
    </row>
    <row r="678">
      <c r="A678" t="inlineStr">
        <is>
          <t>PRAGMA</t>
        </is>
      </c>
      <c r="B678" t="inlineStr">
        <is>
          <t>M1</t>
        </is>
      </c>
      <c r="C678" t="inlineStr">
        <is>
          <t>Cali</t>
        </is>
      </c>
      <c r="D678" t="inlineStr">
        <is>
          <t>5800</t>
        </is>
      </c>
      <c r="E678" t="inlineStr">
        <is>
          <t>Sucursal</t>
        </is>
      </c>
      <c r="F678" s="23" t="n">
        <v>46267</v>
      </c>
      <c r="G678" t="inlineStr">
        <is>
          <t>provision</t>
        </is>
      </c>
      <c r="H678" s="26" t="n">
        <v>327514854</v>
      </c>
      <c r="I678" t="inlineStr">
        <is>
          <t>bajo</t>
        </is>
      </c>
      <c r="J678" t="inlineStr">
        <is>
          <t>RN-11 y RN-34: provision hasta el cupo operativo antes de bajar del 8 %</t>
        </is>
      </c>
      <c r="K678" t="inlineStr">
        <is>
          <t>Provision en la manana, antes del pagado: con el pronostico, sin provision el saldo bajaria del 8 % del cupo ese dia. Lleva el saldo de 122.485.146 a 450.000.000 COP (cupo 450.000.000). Equipo administrado por Sucursal. Sin tarifa TDV (administrado por la sucursal): costo 0 declarado.</t>
        </is>
      </c>
      <c r="L678" s="26" t="n">
        <v>450000000</v>
      </c>
      <c r="M678" s="26" t="n">
        <v>122485146</v>
      </c>
      <c r="N678" s="27">
        <f>IF(ISNUMBER(M678),M678/L678,"No aplica")</f>
        <v>0.27218921333333335</v>
      </c>
      <c r="O678" s="25">
        <f>IF(G678="provision",M678+H678,IF(G678="recoleccion",M678-H678,"No aplica"))</f>
        <v>450000000</v>
      </c>
      <c r="P678" s="26" t="n">
        <v>0</v>
      </c>
    </row>
    <row r="679">
      <c r="A679" t="inlineStr">
        <is>
          <t>PRAGMA</t>
        </is>
      </c>
      <c r="B679" t="inlineStr">
        <is>
          <t>M1</t>
        </is>
      </c>
      <c r="C679" t="inlineStr">
        <is>
          <t>Cali</t>
        </is>
      </c>
      <c r="D679" t="inlineStr">
        <is>
          <t>5800</t>
        </is>
      </c>
      <c r="E679" t="inlineStr">
        <is>
          <t>Sucursal</t>
        </is>
      </c>
      <c r="F679" s="23" t="n">
        <v>46269</v>
      </c>
      <c r="G679" t="inlineStr">
        <is>
          <t>provision</t>
        </is>
      </c>
      <c r="H679" s="26" t="n">
        <v>380004181</v>
      </c>
      <c r="I679" t="inlineStr">
        <is>
          <t>bajo</t>
        </is>
      </c>
      <c r="J679" t="inlineStr">
        <is>
          <t>RN-11 y RN-34: provision hasta el cupo operativo antes de bajar del 8 %</t>
        </is>
      </c>
      <c r="K679" t="inlineStr">
        <is>
          <t>Provision en la manana, antes del pagado: con el pronostico, sin provision el saldo bajaria del 8 % del cupo ese dia. Lleva el saldo de 69.995.819 a 450.000.000 COP (cupo 450.000.000). Equipo administrado por Sucursal. Sin tarifa TDV (administrado por la sucursal): costo 0 declarado.</t>
        </is>
      </c>
      <c r="L679" s="26" t="n">
        <v>450000000</v>
      </c>
      <c r="M679" s="26" t="n">
        <v>69995819</v>
      </c>
      <c r="N679" s="27">
        <f>IF(ISNUMBER(M679),M679/L679,"No aplica")</f>
        <v>0.15554626444444444</v>
      </c>
      <c r="O679" s="25">
        <f>IF(G679="provision",M679+H679,IF(G679="recoleccion",M679-H679,"No aplica"))</f>
        <v>450000000</v>
      </c>
      <c r="P679" s="26" t="n">
        <v>0</v>
      </c>
    </row>
    <row r="680">
      <c r="A680" t="inlineStr">
        <is>
          <t>PRAGMA</t>
        </is>
      </c>
      <c r="B680" t="inlineStr">
        <is>
          <t>M1</t>
        </is>
      </c>
      <c r="C680" t="inlineStr">
        <is>
          <t>Cali</t>
        </is>
      </c>
      <c r="D680" t="inlineStr">
        <is>
          <t>5800</t>
        </is>
      </c>
      <c r="E680" t="inlineStr">
        <is>
          <t>Sucursal</t>
        </is>
      </c>
      <c r="F680" s="23" t="n">
        <v>46271</v>
      </c>
      <c r="G680" t="inlineStr">
        <is>
          <t>provision</t>
        </is>
      </c>
      <c r="H680" s="26" t="n">
        <v>393004931</v>
      </c>
      <c r="I680" t="inlineStr">
        <is>
          <t>bajo</t>
        </is>
      </c>
      <c r="J680" t="inlineStr">
        <is>
          <t>RN-11 y RN-34: provision hasta el cupo operativo antes de bajar del 8 %</t>
        </is>
      </c>
      <c r="K680" t="inlineStr">
        <is>
          <t>Provision en la manana, antes del pagado: con el pronostico, sin provision el saldo bajaria del 8 % del cupo ese dia. Lleva el saldo de 56.995.069 a 450.000.000 COP (cupo 450.000.000). Equipo administrado por Sucursal. Sin tarifa TDV (administrado por la sucursal): costo 0 declarado.</t>
        </is>
      </c>
      <c r="L680" s="26" t="n">
        <v>450000000</v>
      </c>
      <c r="M680" s="26" t="n">
        <v>56995069</v>
      </c>
      <c r="N680" s="27">
        <f>IF(ISNUMBER(M680),M680/L680,"No aplica")</f>
        <v>0.12665570888888888</v>
      </c>
      <c r="O680" s="25">
        <f>IF(G680="provision",M680+H680,IF(G680="recoleccion",M680-H680,"No aplica"))</f>
        <v>450000000</v>
      </c>
      <c r="P680" s="26" t="n">
        <v>0</v>
      </c>
    </row>
    <row r="681">
      <c r="A681" t="inlineStr">
        <is>
          <t>PRAGMA</t>
        </is>
      </c>
      <c r="B681" t="inlineStr">
        <is>
          <t>M1</t>
        </is>
      </c>
      <c r="C681" t="inlineStr">
        <is>
          <t>Cali</t>
        </is>
      </c>
      <c r="D681" t="inlineStr">
        <is>
          <t>5800</t>
        </is>
      </c>
      <c r="E681" t="inlineStr">
        <is>
          <t>Sucursal</t>
        </is>
      </c>
      <c r="F681" s="23" t="n">
        <v>46275</v>
      </c>
      <c r="G681" t="inlineStr">
        <is>
          <t>provision</t>
        </is>
      </c>
      <c r="H681" s="26" t="n">
        <v>397861587</v>
      </c>
      <c r="I681" t="inlineStr">
        <is>
          <t>bajo</t>
        </is>
      </c>
      <c r="J681" t="inlineStr">
        <is>
          <t>RN-11 y RN-34: provision hasta el cupo operativo antes de bajar del 8 %</t>
        </is>
      </c>
      <c r="K681" t="inlineStr">
        <is>
          <t>Provision en la manana, antes del pagado: con el pronostico, sin provision el saldo bajaria del 8 % del cupo ese dia. Lleva el saldo de 52.138.413 a 450.000.000 COP (cupo 450.000.000). Equipo administrado por Sucursal. Sin tarifa TDV (administrado por la sucursal): costo 0 declarado.</t>
        </is>
      </c>
      <c r="L681" s="26" t="n">
        <v>450000000</v>
      </c>
      <c r="M681" s="26" t="n">
        <v>52138413</v>
      </c>
      <c r="N681" s="27">
        <f>IF(ISNUMBER(M681),M681/L681,"No aplica")</f>
        <v>0.11586314</v>
      </c>
      <c r="O681" s="25">
        <f>IF(G681="provision",M681+H681,IF(G681="recoleccion",M681-H681,"No aplica"))</f>
        <v>450000000</v>
      </c>
      <c r="P681" s="26" t="n">
        <v>0</v>
      </c>
    </row>
    <row r="682">
      <c r="A682" t="inlineStr">
        <is>
          <t>PRAGMA</t>
        </is>
      </c>
      <c r="B682" t="inlineStr">
        <is>
          <t>M1</t>
        </is>
      </c>
      <c r="C682" t="inlineStr">
        <is>
          <t>Cali</t>
        </is>
      </c>
      <c r="D682" t="inlineStr">
        <is>
          <t>5800</t>
        </is>
      </c>
      <c r="E682" t="inlineStr">
        <is>
          <t>Sucursal</t>
        </is>
      </c>
      <c r="F682" s="23" t="n">
        <v>46279</v>
      </c>
      <c r="G682" t="inlineStr">
        <is>
          <t>provision</t>
        </is>
      </c>
      <c r="H682" s="26" t="n">
        <v>392302907</v>
      </c>
      <c r="I682" t="inlineStr">
        <is>
          <t>bajo</t>
        </is>
      </c>
      <c r="J682" t="inlineStr">
        <is>
          <t>RN-11 y RN-34: provision hasta el cupo operativo antes de bajar del 8 %</t>
        </is>
      </c>
      <c r="K682" t="inlineStr">
        <is>
          <t>Provision en la manana, antes del pagado: con el pronostico, sin provision el saldo bajaria del 8 % del cupo ese dia. Lleva el saldo de 57.697.093 a 450.000.000 COP (cupo 450.000.000). Equipo administrado por Sucursal. Sin tarifa TDV (administrado por la sucursal): costo 0 declarado.</t>
        </is>
      </c>
      <c r="L682" s="26" t="n">
        <v>450000000</v>
      </c>
      <c r="M682" s="26" t="n">
        <v>57697093</v>
      </c>
      <c r="N682" s="27">
        <f>IF(ISNUMBER(M682),M682/L682,"No aplica")</f>
        <v>0.12821576222222222</v>
      </c>
      <c r="O682" s="25">
        <f>IF(G682="provision",M682+H682,IF(G682="recoleccion",M682-H682,"No aplica"))</f>
        <v>450000000</v>
      </c>
      <c r="P682" s="26" t="n">
        <v>0</v>
      </c>
    </row>
    <row r="683">
      <c r="A683" t="inlineStr">
        <is>
          <t>PRAGMA</t>
        </is>
      </c>
      <c r="B683" t="inlineStr">
        <is>
          <t>M1</t>
        </is>
      </c>
      <c r="C683" t="inlineStr">
        <is>
          <t>Cali</t>
        </is>
      </c>
      <c r="D683" t="inlineStr">
        <is>
          <t>5829</t>
        </is>
      </c>
      <c r="E683" t="inlineStr">
        <is>
          <t>TDV</t>
        </is>
      </c>
      <c r="F683" s="23" t="n">
        <v>46269</v>
      </c>
      <c r="G683" t="inlineStr">
        <is>
          <t>provision</t>
        </is>
      </c>
      <c r="H683" s="26" t="n">
        <v>375625076</v>
      </c>
      <c r="I683" t="inlineStr">
        <is>
          <t>bajo</t>
        </is>
      </c>
      <c r="J683" t="inlineStr">
        <is>
          <t>RN-11 y RN-34: provision hasta el cupo operativo antes de bajar del 8 %</t>
        </is>
      </c>
      <c r="K683" t="inlineStr">
        <is>
          <t>Provision en la manana, antes del pagado: con el pronostico, sin provision el saldo bajaria del 8 % del cupo ese dia. Lleva el saldo de 124.374.924 a 500.000.000 COP (cupo 500.000.000). Equipo administrado por TDV.</t>
        </is>
      </c>
      <c r="L683" s="26" t="n">
        <v>500000000</v>
      </c>
      <c r="M683" s="26" t="n">
        <v>124374924</v>
      </c>
      <c r="N683" s="27">
        <f>IF(ISNUMBER(M683),M683/L683,"No aplica")</f>
        <v>0.248749848</v>
      </c>
      <c r="O683" s="25">
        <f>IF(G683="provision",M683+H683,IF(G683="recoleccion",M683-H683,"No aplica"))</f>
        <v>500000000</v>
      </c>
      <c r="P683" s="26" t="n">
        <v>158981</v>
      </c>
    </row>
    <row r="684">
      <c r="A684" t="inlineStr">
        <is>
          <t>PRAGMA</t>
        </is>
      </c>
      <c r="B684" t="inlineStr">
        <is>
          <t>M1</t>
        </is>
      </c>
      <c r="C684" t="inlineStr">
        <is>
          <t>Cali</t>
        </is>
      </c>
      <c r="D684" t="inlineStr">
        <is>
          <t>5829</t>
        </is>
      </c>
      <c r="E684" t="inlineStr">
        <is>
          <t>TDV</t>
        </is>
      </c>
      <c r="F684" s="23" t="n">
        <v>46273</v>
      </c>
      <c r="G684" t="inlineStr">
        <is>
          <t>provision</t>
        </is>
      </c>
      <c r="H684" s="26" t="n">
        <v>392508992</v>
      </c>
      <c r="I684" t="inlineStr">
        <is>
          <t>bajo</t>
        </is>
      </c>
      <c r="J684" t="inlineStr">
        <is>
          <t>RN-11 y RN-34: provision hasta el cupo operativo antes de bajar del 8 %</t>
        </is>
      </c>
      <c r="K684" t="inlineStr">
        <is>
          <t>Provision en la manana, antes del pagado: con el pronostico, sin provision el saldo bajaria del 8 % del cupo ese dia. Lleva el saldo de 107.491.008 a 500.000.000 COP (cupo 500.000.000). Equipo administrado por TDV.</t>
        </is>
      </c>
      <c r="L684" s="26" t="n">
        <v>500000000</v>
      </c>
      <c r="M684" s="26" t="n">
        <v>107491008</v>
      </c>
      <c r="N684" s="27">
        <f>IF(ISNUMBER(M684),M684/L684,"No aplica")</f>
        <v>0.214982016</v>
      </c>
      <c r="O684" s="25">
        <f>IF(G684="provision",M684+H684,IF(G684="recoleccion",M684-H684,"No aplica"))</f>
        <v>500000000</v>
      </c>
      <c r="P684" s="26" t="n">
        <v>165329</v>
      </c>
    </row>
    <row r="685">
      <c r="A685" t="inlineStr">
        <is>
          <t>PRAGMA</t>
        </is>
      </c>
      <c r="B685" t="inlineStr">
        <is>
          <t>M1</t>
        </is>
      </c>
      <c r="C685" t="inlineStr">
        <is>
          <t>Cali</t>
        </is>
      </c>
      <c r="D685" t="inlineStr">
        <is>
          <t>5829</t>
        </is>
      </c>
      <c r="E685" t="inlineStr">
        <is>
          <t>TDV</t>
        </is>
      </c>
      <c r="F685" s="23" t="n">
        <v>46278</v>
      </c>
      <c r="G685" t="inlineStr">
        <is>
          <t>provision</t>
        </is>
      </c>
      <c r="H685" s="26" t="n">
        <v>403132115</v>
      </c>
      <c r="I685" t="inlineStr">
        <is>
          <t>bajo</t>
        </is>
      </c>
      <c r="J685" t="inlineStr">
        <is>
          <t>RN-11 y RN-34: provision hasta el cupo operativo antes de bajar del 8 %</t>
        </is>
      </c>
      <c r="K685" t="inlineStr">
        <is>
          <t>Provision en la manana, antes del pagado: con el pronostico, sin provision el saldo bajaria del 8 % del cupo ese dia. Lleva el saldo de 96.867.885 a 500.000.000 COP (cupo 500.000.000). Equipo administrado por TDV.</t>
        </is>
      </c>
      <c r="L685" s="26" t="n">
        <v>500000000</v>
      </c>
      <c r="M685" s="26" t="n">
        <v>96867885</v>
      </c>
      <c r="N685" s="27">
        <f>IF(ISNUMBER(M685),M685/L685,"No aplica")</f>
        <v>0.19373577</v>
      </c>
      <c r="O685" s="25">
        <f>IF(G685="provision",M685+H685,IF(G685="recoleccion",M685-H685,"No aplica"))</f>
        <v>500000000</v>
      </c>
      <c r="P685" s="26" t="n">
        <v>225442</v>
      </c>
    </row>
    <row r="686">
      <c r="A686" t="inlineStr">
        <is>
          <t>PRAGMA</t>
        </is>
      </c>
      <c r="B686" t="inlineStr">
        <is>
          <t>M1</t>
        </is>
      </c>
      <c r="C686" t="inlineStr">
        <is>
          <t>Cali</t>
        </is>
      </c>
      <c r="D686" t="inlineStr">
        <is>
          <t>5830</t>
        </is>
      </c>
      <c r="E686" t="inlineStr">
        <is>
          <t>TDV</t>
        </is>
      </c>
      <c r="F686" s="23" t="n">
        <v>46269</v>
      </c>
      <c r="G686" t="inlineStr">
        <is>
          <t>provision</t>
        </is>
      </c>
      <c r="H686" s="26" t="n">
        <v>356129226</v>
      </c>
      <c r="I686" t="inlineStr">
        <is>
          <t>bajo</t>
        </is>
      </c>
      <c r="J686" t="inlineStr">
        <is>
          <t>RN-11 y RN-34: provision hasta el cupo operativo antes de bajar del 8 %</t>
        </is>
      </c>
      <c r="K686" t="inlineStr">
        <is>
          <t>Provision en la manana, antes del pagado: con el pronostico, sin provision el saldo bajaria del 8 % del cupo ese dia. Lleva el saldo de 54.870.774 a 411.000.000 COP (cupo 411.000.000). Equipo administrado por TDV.</t>
        </is>
      </c>
      <c r="L686" s="26" t="n">
        <v>411000000</v>
      </c>
      <c r="M686" s="26" t="n">
        <v>54870774</v>
      </c>
      <c r="N686" s="27">
        <f>IF(ISNUMBER(M686),M686/L686,"No aplica")</f>
        <v>0.13350553284671532</v>
      </c>
      <c r="O686" s="25">
        <f>IF(G686="provision",M686+H686,IF(G686="recoleccion",M686-H686,"No aplica"))</f>
        <v>411000000</v>
      </c>
      <c r="P686" s="26" t="n">
        <v>151651</v>
      </c>
    </row>
    <row r="687">
      <c r="A687" t="inlineStr">
        <is>
          <t>PRAGMA</t>
        </is>
      </c>
      <c r="B687" t="inlineStr">
        <is>
          <t>M1</t>
        </is>
      </c>
      <c r="C687" t="inlineStr">
        <is>
          <t>Cali</t>
        </is>
      </c>
      <c r="D687" t="inlineStr">
        <is>
          <t>5830</t>
        </is>
      </c>
      <c r="E687" t="inlineStr">
        <is>
          <t>TDV</t>
        </is>
      </c>
      <c r="F687" s="23" t="n">
        <v>46273</v>
      </c>
      <c r="G687" t="inlineStr">
        <is>
          <t>provision</t>
        </is>
      </c>
      <c r="H687" s="26" t="n">
        <v>336398002</v>
      </c>
      <c r="I687" t="inlineStr">
        <is>
          <t>bajo</t>
        </is>
      </c>
      <c r="J687" t="inlineStr">
        <is>
          <t>RN-11 y RN-34: provision hasta el cupo operativo antes de bajar del 8 %</t>
        </is>
      </c>
      <c r="K687" t="inlineStr">
        <is>
          <t>Provision en la manana, antes del pagado: con el pronostico, sin provision el saldo bajaria del 8 % del cupo ese dia. Lleva el saldo de 74.601.998 a 411.000.000 COP (cupo 411.000.000). Equipo administrado por TDV.</t>
        </is>
      </c>
      <c r="L687" s="26" t="n">
        <v>411000000</v>
      </c>
      <c r="M687" s="26" t="n">
        <v>74601998</v>
      </c>
      <c r="N687" s="27">
        <f>IF(ISNUMBER(M687),M687/L687,"No aplica")</f>
        <v>0.18151337712895377</v>
      </c>
      <c r="O687" s="25">
        <f>IF(G687="provision",M687+H687,IF(G687="recoleccion",M687-H687,"No aplica"))</f>
        <v>411000000</v>
      </c>
      <c r="P687" s="26" t="n">
        <v>144232</v>
      </c>
    </row>
    <row r="688">
      <c r="A688" t="inlineStr">
        <is>
          <t>PRAGMA</t>
        </is>
      </c>
      <c r="B688" t="inlineStr">
        <is>
          <t>M1</t>
        </is>
      </c>
      <c r="C688" t="inlineStr">
        <is>
          <t>Cali</t>
        </is>
      </c>
      <c r="D688" t="inlineStr">
        <is>
          <t>5830</t>
        </is>
      </c>
      <c r="E688" t="inlineStr">
        <is>
          <t>TDV</t>
        </is>
      </c>
      <c r="F688" s="23" t="n">
        <v>46278</v>
      </c>
      <c r="G688" t="inlineStr">
        <is>
          <t>provision</t>
        </is>
      </c>
      <c r="H688" s="26" t="n">
        <v>359538866</v>
      </c>
      <c r="I688" t="inlineStr">
        <is>
          <t>bajo</t>
        </is>
      </c>
      <c r="J688" t="inlineStr">
        <is>
          <t>RN-11 y RN-34: provision hasta el cupo operativo antes de bajar del 8 %</t>
        </is>
      </c>
      <c r="K688" t="inlineStr">
        <is>
          <t>Provision en la manana, antes del pagado: con el pronostico, sin provision el saldo bajaria del 8 % del cupo ese dia. Lleva el saldo de 51.461.134 a 411.000.000 COP (cupo 411.000.000). Equipo administrado por TDV.</t>
        </is>
      </c>
      <c r="L688" s="26" t="n">
        <v>411000000</v>
      </c>
      <c r="M688" s="26" t="n">
        <v>51461134</v>
      </c>
      <c r="N688" s="27">
        <f>IF(ISNUMBER(M688),M688/L688,"No aplica")</f>
        <v>0.12520957177615571</v>
      </c>
      <c r="O688" s="25">
        <f>IF(G688="provision",M688+H688,IF(G688="recoleccion",M688-H688,"No aplica"))</f>
        <v>411000000</v>
      </c>
      <c r="P688" s="26" t="n">
        <v>203559</v>
      </c>
    </row>
    <row r="689">
      <c r="A689" t="inlineStr">
        <is>
          <t>PRAGMA</t>
        </is>
      </c>
      <c r="B689" t="inlineStr">
        <is>
          <t>M1</t>
        </is>
      </c>
      <c r="C689" t="inlineStr">
        <is>
          <t>Cali</t>
        </is>
      </c>
      <c r="D689" t="inlineStr">
        <is>
          <t>5831</t>
        </is>
      </c>
      <c r="E689" t="inlineStr">
        <is>
          <t>TDV</t>
        </is>
      </c>
      <c r="F689" s="23" t="n">
        <v>46269</v>
      </c>
      <c r="G689" t="inlineStr">
        <is>
          <t>provision</t>
        </is>
      </c>
      <c r="H689" s="26" t="n">
        <v>348115166</v>
      </c>
      <c r="I689" t="inlineStr">
        <is>
          <t>bajo</t>
        </is>
      </c>
      <c r="J689" t="inlineStr">
        <is>
          <t>RN-11 y RN-34: provision hasta el cupo operativo antes de bajar del 8 %</t>
        </is>
      </c>
      <c r="K689" t="inlineStr">
        <is>
          <t>Provision en la manana, antes del pagado: con el pronostico, sin provision el saldo bajaria del 8 % del cupo ese dia. Lleva el saldo de 62.884.834 a 411.000.000 COP (cupo 411.000.000). Equipo administrado por TDV.</t>
        </is>
      </c>
      <c r="L689" s="26" t="n">
        <v>411000000</v>
      </c>
      <c r="M689" s="26" t="n">
        <v>62884834</v>
      </c>
      <c r="N689" s="27">
        <f>IF(ISNUMBER(M689),M689/L689,"No aplica")</f>
        <v>0.15300446228710463</v>
      </c>
      <c r="O689" s="25">
        <f>IF(G689="provision",M689+H689,IF(G689="recoleccion",M689-H689,"No aplica"))</f>
        <v>411000000</v>
      </c>
      <c r="P689" s="26" t="n">
        <v>148637</v>
      </c>
    </row>
    <row r="690">
      <c r="A690" t="inlineStr">
        <is>
          <t>PRAGMA</t>
        </is>
      </c>
      <c r="B690" t="inlineStr">
        <is>
          <t>M1</t>
        </is>
      </c>
      <c r="C690" t="inlineStr">
        <is>
          <t>Cali</t>
        </is>
      </c>
      <c r="D690" t="inlineStr">
        <is>
          <t>5831</t>
        </is>
      </c>
      <c r="E690" t="inlineStr">
        <is>
          <t>TDV</t>
        </is>
      </c>
      <c r="F690" s="23" t="n">
        <v>46273</v>
      </c>
      <c r="G690" t="inlineStr">
        <is>
          <t>provision</t>
        </is>
      </c>
      <c r="H690" s="26" t="n">
        <v>344851522</v>
      </c>
      <c r="I690" t="inlineStr">
        <is>
          <t>bajo</t>
        </is>
      </c>
      <c r="J690" t="inlineStr">
        <is>
          <t>RN-11 y RN-34: provision hasta el cupo operativo antes de bajar del 8 %</t>
        </is>
      </c>
      <c r="K690" t="inlineStr">
        <is>
          <t>Provision en la manana, antes del pagado: con el pronostico, sin provision el saldo bajaria del 8 % del cupo ese dia. Lleva el saldo de 66.148.478 a 411.000.000 COP (cupo 411.000.000). Equipo administrado por TDV.</t>
        </is>
      </c>
      <c r="L690" s="26" t="n">
        <v>411000000</v>
      </c>
      <c r="M690" s="26" t="n">
        <v>66148478</v>
      </c>
      <c r="N690" s="27">
        <f>IF(ISNUMBER(M690),M690/L690,"No aplica")</f>
        <v>0.16094520194647202</v>
      </c>
      <c r="O690" s="25">
        <f>IF(G690="provision",M690+H690,IF(G690="recoleccion",M690-H690,"No aplica"))</f>
        <v>411000000</v>
      </c>
      <c r="P690" s="26" t="n">
        <v>147410</v>
      </c>
    </row>
    <row r="691">
      <c r="A691" t="inlineStr">
        <is>
          <t>PRAGMA</t>
        </is>
      </c>
      <c r="B691" t="inlineStr">
        <is>
          <t>M1</t>
        </is>
      </c>
      <c r="C691" t="inlineStr">
        <is>
          <t>Cali</t>
        </is>
      </c>
      <c r="D691" t="inlineStr">
        <is>
          <t>5831</t>
        </is>
      </c>
      <c r="E691" t="inlineStr">
        <is>
          <t>TDV</t>
        </is>
      </c>
      <c r="F691" s="23" t="n">
        <v>46278</v>
      </c>
      <c r="G691" t="inlineStr">
        <is>
          <t>provision</t>
        </is>
      </c>
      <c r="H691" s="26" t="n">
        <v>370738767</v>
      </c>
      <c r="I691" t="inlineStr">
        <is>
          <t>bajo</t>
        </is>
      </c>
      <c r="J691" t="inlineStr">
        <is>
          <t>RN-11 y RN-34: provision hasta el cupo operativo antes de bajar del 8 %</t>
        </is>
      </c>
      <c r="K691" t="inlineStr">
        <is>
          <t>Provision en la manana, antes del pagado: con el pronostico, sin provision el saldo bajaria del 8 % del cupo ese dia. Lleva el saldo de 40.261.233 a 411.000.000 COP (cupo 411.000.000). Equipo administrado por TDV.</t>
        </is>
      </c>
      <c r="L691" s="26" t="n">
        <v>411000000</v>
      </c>
      <c r="M691" s="26" t="n">
        <v>40261233</v>
      </c>
      <c r="N691" s="27">
        <f>IF(ISNUMBER(M691),M691/L691,"No aplica")</f>
        <v>0.09795920437956204</v>
      </c>
      <c r="O691" s="25">
        <f>IF(G691="provision",M691+H691,IF(G691="recoleccion",M691-H691,"No aplica"))</f>
        <v>411000000</v>
      </c>
      <c r="P691" s="26" t="n">
        <v>209181</v>
      </c>
    </row>
    <row r="692">
      <c r="A692" t="inlineStr">
        <is>
          <t>PRAGMA</t>
        </is>
      </c>
      <c r="B692" t="inlineStr">
        <is>
          <t>M1</t>
        </is>
      </c>
      <c r="C692" t="inlineStr">
        <is>
          <t>Cali</t>
        </is>
      </c>
      <c r="D692" t="inlineStr">
        <is>
          <t>5832</t>
        </is>
      </c>
      <c r="E692" t="inlineStr">
        <is>
          <t>TDV</t>
        </is>
      </c>
      <c r="F692" s="23" t="n">
        <v>46269</v>
      </c>
      <c r="G692" t="inlineStr">
        <is>
          <t>provision</t>
        </is>
      </c>
      <c r="H692" s="26" t="n">
        <v>311957332</v>
      </c>
      <c r="I692" t="inlineStr">
        <is>
          <t>bajo</t>
        </is>
      </c>
      <c r="J692" t="inlineStr">
        <is>
          <t>RN-11 y RN-34: provision hasta el cupo operativo antes de bajar del 8 %</t>
        </is>
      </c>
      <c r="K692" t="inlineStr">
        <is>
          <t>Provision en la manana, antes del pagado: con el pronostico, sin provision el saldo bajaria del 8 % del cupo ese dia. Lleva el saldo de 99.042.668 a 411.000.000 COP (cupo 411.000.000). Equipo administrado por TDV.</t>
        </is>
      </c>
      <c r="L692" s="26" t="n">
        <v>411000000</v>
      </c>
      <c r="M692" s="26" t="n">
        <v>99042668</v>
      </c>
      <c r="N692" s="27">
        <f>IF(ISNUMBER(M692),M692/L692,"No aplica")</f>
        <v>0.24097972749391727</v>
      </c>
      <c r="O692" s="25">
        <f>IF(G692="provision",M692+H692,IF(G692="recoleccion",M692-H692,"No aplica"))</f>
        <v>411000000</v>
      </c>
      <c r="P692" s="26" t="n">
        <v>135042</v>
      </c>
    </row>
    <row r="693">
      <c r="A693" t="inlineStr">
        <is>
          <t>PRAGMA</t>
        </is>
      </c>
      <c r="B693" t="inlineStr">
        <is>
          <t>M1</t>
        </is>
      </c>
      <c r="C693" t="inlineStr">
        <is>
          <t>Cali</t>
        </is>
      </c>
      <c r="D693" t="inlineStr">
        <is>
          <t>5832</t>
        </is>
      </c>
      <c r="E693" t="inlineStr">
        <is>
          <t>TDV</t>
        </is>
      </c>
      <c r="F693" s="23" t="n">
        <v>46273</v>
      </c>
      <c r="G693" t="inlineStr">
        <is>
          <t>provision</t>
        </is>
      </c>
      <c r="H693" s="26" t="n">
        <v>317274927</v>
      </c>
      <c r="I693" t="inlineStr">
        <is>
          <t>bajo</t>
        </is>
      </c>
      <c r="J693" t="inlineStr">
        <is>
          <t>RN-11 y RN-34: provision hasta el cupo operativo antes de bajar del 8 %</t>
        </is>
      </c>
      <c r="K693" t="inlineStr">
        <is>
          <t>Provision en la manana, antes del pagado: con el pronostico, sin provision el saldo bajaria del 8 % del cupo ese dia. Lleva el saldo de 93.725.073 a 411.000.000 COP (cupo 411.000.000). Equipo administrado por TDV.</t>
        </is>
      </c>
      <c r="L693" s="26" t="n">
        <v>411000000</v>
      </c>
      <c r="M693" s="26" t="n">
        <v>93725073</v>
      </c>
      <c r="N693" s="27">
        <f>IF(ISNUMBER(M693),M693/L693,"No aplica")</f>
        <v>0.2280415401459854</v>
      </c>
      <c r="O693" s="25">
        <f>IF(G693="provision",M693+H693,IF(G693="recoleccion",M693-H693,"No aplica"))</f>
        <v>411000000</v>
      </c>
      <c r="P693" s="26" t="n">
        <v>137041</v>
      </c>
    </row>
    <row r="694">
      <c r="A694" t="inlineStr">
        <is>
          <t>PRAGMA</t>
        </is>
      </c>
      <c r="B694" t="inlineStr">
        <is>
          <t>M1</t>
        </is>
      </c>
      <c r="C694" t="inlineStr">
        <is>
          <t>Cali</t>
        </is>
      </c>
      <c r="D694" t="inlineStr">
        <is>
          <t>5832</t>
        </is>
      </c>
      <c r="E694" t="inlineStr">
        <is>
          <t>TDV</t>
        </is>
      </c>
      <c r="F694" s="23" t="n">
        <v>46279</v>
      </c>
      <c r="G694" t="inlineStr">
        <is>
          <t>provision</t>
        </is>
      </c>
      <c r="H694" s="26" t="n">
        <v>374449805</v>
      </c>
      <c r="I694" t="inlineStr">
        <is>
          <t>bajo</t>
        </is>
      </c>
      <c r="J694" t="inlineStr">
        <is>
          <t>RN-11 y RN-34: provision hasta el cupo operativo antes de bajar del 8 %</t>
        </is>
      </c>
      <c r="K694" t="inlineStr">
        <is>
          <t>Provision en la manana, antes del pagado: con el pronostico, sin provision el saldo bajaria del 8 % del cupo ese dia. Lleva el saldo de 36.550.195 a 411.000.000 COP (cupo 411.000.000). Equipo administrado por TDV.</t>
        </is>
      </c>
      <c r="L694" s="26" t="n">
        <v>411000000</v>
      </c>
      <c r="M694" s="26" t="n">
        <v>36550195</v>
      </c>
      <c r="N694" s="27">
        <f>IF(ISNUMBER(M694),M694/L694,"No aplica")</f>
        <v>0.08892991484184914</v>
      </c>
      <c r="O694" s="25">
        <f>IF(G694="provision",M694+H694,IF(G694="recoleccion",M694-H694,"No aplica"))</f>
        <v>411000000</v>
      </c>
      <c r="P694" s="26" t="n">
        <v>158539</v>
      </c>
    </row>
    <row r="695">
      <c r="A695" t="inlineStr">
        <is>
          <t>PRAGMA</t>
        </is>
      </c>
      <c r="B695" t="inlineStr">
        <is>
          <t>M1</t>
        </is>
      </c>
      <c r="C695" t="inlineStr">
        <is>
          <t>Cali</t>
        </is>
      </c>
      <c r="D695" t="inlineStr">
        <is>
          <t>5882</t>
        </is>
      </c>
      <c r="E695" t="inlineStr">
        <is>
          <t>TDV</t>
        </is>
      </c>
      <c r="F695" s="23" t="n">
        <v>46268</v>
      </c>
      <c r="G695" t="inlineStr">
        <is>
          <t>provision</t>
        </is>
      </c>
      <c r="H695" s="26" t="n">
        <v>289204472</v>
      </c>
      <c r="I695" t="inlineStr">
        <is>
          <t>bajo</t>
        </is>
      </c>
      <c r="J695" t="inlineStr">
        <is>
          <t>RN-11 y RN-34: provision hasta el cupo operativo antes de bajar del 8 %</t>
        </is>
      </c>
      <c r="K695" t="inlineStr">
        <is>
          <t>Provision en la manana, antes del pagado: con el pronostico, sin provision el saldo bajaria del 8 % del cupo ese dia. Lleva el saldo de 115.795.528 a 405.000.000 COP (cupo 405.000.000). Equipo administrado por TDV.</t>
        </is>
      </c>
      <c r="L695" s="26" t="n">
        <v>405000000</v>
      </c>
      <c r="M695" s="26" t="n">
        <v>115795528</v>
      </c>
      <c r="N695" s="27">
        <f>IF(ISNUMBER(M695),M695/L695,"No aplica")</f>
        <v>0.28591488395061726</v>
      </c>
      <c r="O695" s="25">
        <f>IF(G695="provision",M695+H695,IF(G695="recoleccion",M695-H695,"No aplica"))</f>
        <v>405000000</v>
      </c>
      <c r="P695" s="26" t="n">
        <v>127134</v>
      </c>
    </row>
    <row r="696">
      <c r="A696" t="inlineStr">
        <is>
          <t>PRAGMA</t>
        </is>
      </c>
      <c r="B696" t="inlineStr">
        <is>
          <t>M1</t>
        </is>
      </c>
      <c r="C696" t="inlineStr">
        <is>
          <t>Cali</t>
        </is>
      </c>
      <c r="D696" t="inlineStr">
        <is>
          <t>5882</t>
        </is>
      </c>
      <c r="E696" t="inlineStr">
        <is>
          <t>TDV</t>
        </is>
      </c>
      <c r="F696" s="23" t="n">
        <v>46271</v>
      </c>
      <c r="G696" t="inlineStr">
        <is>
          <t>provision</t>
        </is>
      </c>
      <c r="H696" s="26" t="n">
        <v>365801797</v>
      </c>
      <c r="I696" t="inlineStr">
        <is>
          <t>bajo</t>
        </is>
      </c>
      <c r="J696" t="inlineStr">
        <is>
          <t>RN-11 y RN-34: provision hasta el cupo operativo antes de bajar del 8 %</t>
        </is>
      </c>
      <c r="K696" t="inlineStr">
        <is>
          <t>Provision en la manana, antes del pagado: con el pronostico, sin provision el saldo bajaria del 8 % del cupo ese dia. Lleva el saldo de 39.198.203 a 405.000.000 COP (cupo 405.000.000). Equipo administrado por TDV.</t>
        </is>
      </c>
      <c r="L696" s="26" t="n">
        <v>405000000</v>
      </c>
      <c r="M696" s="26" t="n">
        <v>39198203</v>
      </c>
      <c r="N696" s="27">
        <f>IF(ISNUMBER(M696),M696/L696,"No aplica")</f>
        <v>0.09678568641975309</v>
      </c>
      <c r="O696" s="25">
        <f>IF(G696="provision",M696+H696,IF(G696="recoleccion",M696-H696,"No aplica"))</f>
        <v>405000000</v>
      </c>
      <c r="P696" s="26" t="n">
        <v>205166</v>
      </c>
    </row>
    <row r="697">
      <c r="A697" t="inlineStr">
        <is>
          <t>PRAGMA</t>
        </is>
      </c>
      <c r="B697" t="inlineStr">
        <is>
          <t>M1</t>
        </is>
      </c>
      <c r="C697" t="inlineStr">
        <is>
          <t>Cali</t>
        </is>
      </c>
      <c r="D697" t="inlineStr">
        <is>
          <t>5882</t>
        </is>
      </c>
      <c r="E697" t="inlineStr">
        <is>
          <t>TDV</t>
        </is>
      </c>
      <c r="F697" s="23" t="n">
        <v>46275</v>
      </c>
      <c r="G697" t="inlineStr">
        <is>
          <t>provision</t>
        </is>
      </c>
      <c r="H697" s="26" t="n">
        <v>363721272</v>
      </c>
      <c r="I697" t="inlineStr">
        <is>
          <t>bajo</t>
        </is>
      </c>
      <c r="J697" t="inlineStr">
        <is>
          <t>RN-11 y RN-34: provision hasta el cupo operativo antes de bajar del 8 %</t>
        </is>
      </c>
      <c r="K697" t="inlineStr">
        <is>
          <t>Provision en la manana, antes del pagado: con el pronostico, sin provision el saldo bajaria del 8 % del cupo ese dia. Lleva el saldo de 41.278.728 a 405.000.000 COP (cupo 405.000.000). Equipo administrado por TDV.</t>
        </is>
      </c>
      <c r="L697" s="26" t="n">
        <v>405000000</v>
      </c>
      <c r="M697" s="26" t="n">
        <v>41278728</v>
      </c>
      <c r="N697" s="27">
        <f>IF(ISNUMBER(M697),M697/L697,"No aplica")</f>
        <v>0.10192278518518519</v>
      </c>
      <c r="O697" s="25">
        <f>IF(G697="provision",M697+H697,IF(G697="recoleccion",M697-H697,"No aplica"))</f>
        <v>405000000</v>
      </c>
      <c r="P697" s="26" t="n">
        <v>153811</v>
      </c>
    </row>
    <row r="698">
      <c r="A698" t="inlineStr">
        <is>
          <t>PRAGMA</t>
        </is>
      </c>
      <c r="B698" t="inlineStr">
        <is>
          <t>M1</t>
        </is>
      </c>
      <c r="C698" t="inlineStr">
        <is>
          <t>Cali</t>
        </is>
      </c>
      <c r="D698" t="inlineStr">
        <is>
          <t>5882</t>
        </is>
      </c>
      <c r="E698" t="inlineStr">
        <is>
          <t>TDV</t>
        </is>
      </c>
      <c r="F698" s="23" t="n">
        <v>46278</v>
      </c>
      <c r="G698" t="inlineStr">
        <is>
          <t>provision</t>
        </is>
      </c>
      <c r="H698" s="26" t="n">
        <v>289766685</v>
      </c>
      <c r="I698" t="inlineStr">
        <is>
          <t>bajo</t>
        </is>
      </c>
      <c r="J698" t="inlineStr">
        <is>
          <t>RN-11 y RN-34: provision hasta el cupo operativo antes de bajar del 8 %</t>
        </is>
      </c>
      <c r="K698" t="inlineStr">
        <is>
          <t>Provision en la manana, antes del pagado: con el pronostico, sin provision el saldo bajaria del 8 % del cupo ese dia. Lleva el saldo de 115.233.315 a 405.000.000 COP (cupo 405.000.000). Equipo administrado por TDV.</t>
        </is>
      </c>
      <c r="L698" s="26" t="n">
        <v>405000000</v>
      </c>
      <c r="M698" s="26" t="n">
        <v>115233315</v>
      </c>
      <c r="N698" s="27">
        <f>IF(ISNUMBER(M698),M698/L698,"No aplica")</f>
        <v>0.2845267037037037</v>
      </c>
      <c r="O698" s="25">
        <f>IF(G698="provision",M698+H698,IF(G698="recoleccion",M698-H698,"No aplica"))</f>
        <v>405000000</v>
      </c>
      <c r="P698" s="26" t="n">
        <v>168898</v>
      </c>
    </row>
    <row r="699">
      <c r="A699" t="inlineStr">
        <is>
          <t>PRAGMA</t>
        </is>
      </c>
      <c r="B699" t="inlineStr">
        <is>
          <t>M1</t>
        </is>
      </c>
      <c r="C699" t="inlineStr">
        <is>
          <t>Cali</t>
        </is>
      </c>
      <c r="D699" t="inlineStr">
        <is>
          <t>5886</t>
        </is>
      </c>
      <c r="E699" t="inlineStr">
        <is>
          <t>TDV</t>
        </is>
      </c>
      <c r="F699" s="23" t="n">
        <v>46268</v>
      </c>
      <c r="G699" t="inlineStr">
        <is>
          <t>provision</t>
        </is>
      </c>
      <c r="H699" s="26" t="n">
        <v>281855344</v>
      </c>
      <c r="I699" t="inlineStr">
        <is>
          <t>bajo</t>
        </is>
      </c>
      <c r="J699" t="inlineStr">
        <is>
          <t>RN-11 y RN-34: provision hasta el cupo operativo antes de bajar del 8 %</t>
        </is>
      </c>
      <c r="K699" t="inlineStr">
        <is>
          <t>Provision en la manana, antes del pagado: con el pronostico, sin provision el saldo bajaria del 8 % del cupo ese dia. Lleva el saldo de 129.144.656 a 411.000.000 COP (cupo 411.000.000). Equipo administrado por TDV.</t>
        </is>
      </c>
      <c r="L699" s="26" t="n">
        <v>411000000</v>
      </c>
      <c r="M699" s="26" t="n">
        <v>129144656</v>
      </c>
      <c r="N699" s="27">
        <f>IF(ISNUMBER(M699),M699/L699,"No aplica")</f>
        <v>0.31422057420924576</v>
      </c>
      <c r="O699" s="25">
        <f>IF(G699="provision",M699+H699,IF(G699="recoleccion",M699-H699,"No aplica"))</f>
        <v>411000000</v>
      </c>
      <c r="P699" s="26" t="n">
        <v>99119</v>
      </c>
    </row>
    <row r="700">
      <c r="A700" t="inlineStr">
        <is>
          <t>PRAGMA</t>
        </is>
      </c>
      <c r="B700" t="inlineStr">
        <is>
          <t>M1</t>
        </is>
      </c>
      <c r="C700" t="inlineStr">
        <is>
          <t>Cali</t>
        </is>
      </c>
      <c r="D700" t="inlineStr">
        <is>
          <t>5886</t>
        </is>
      </c>
      <c r="E700" t="inlineStr">
        <is>
          <t>TDV</t>
        </is>
      </c>
      <c r="F700" s="23" t="n">
        <v>46271</v>
      </c>
      <c r="G700" t="inlineStr">
        <is>
          <t>provision</t>
        </is>
      </c>
      <c r="H700" s="26" t="n">
        <v>337263626</v>
      </c>
      <c r="I700" t="inlineStr">
        <is>
          <t>bajo</t>
        </is>
      </c>
      <c r="J700" t="inlineStr">
        <is>
          <t>RN-11 y RN-34: provision hasta el cupo operativo antes de bajar del 8 %</t>
        </is>
      </c>
      <c r="K700" t="inlineStr">
        <is>
          <t>Provision en la manana, antes del pagado: con el pronostico, sin provision el saldo bajaria del 8 % del cupo ese dia. Lleva el saldo de 73.736.374 a 411.000.000 COP (cupo 411.000.000). Equipo administrado por TDV.</t>
        </is>
      </c>
      <c r="L700" s="26" t="n">
        <v>411000000</v>
      </c>
      <c r="M700" s="26" t="n">
        <v>73736374</v>
      </c>
      <c r="N700" s="27">
        <f>IF(ISNUMBER(M700),M700/L700,"No aplica")</f>
        <v>0.17940723600973235</v>
      </c>
      <c r="O700" s="25">
        <f>IF(G700="provision",M700+H700,IF(G700="recoleccion",M700-H700,"No aplica"))</f>
        <v>411000000</v>
      </c>
      <c r="P700" s="26" t="n">
        <v>157007</v>
      </c>
    </row>
    <row r="701">
      <c r="A701" t="inlineStr">
        <is>
          <t>PRAGMA</t>
        </is>
      </c>
      <c r="B701" t="inlineStr">
        <is>
          <t>M1</t>
        </is>
      </c>
      <c r="C701" t="inlineStr">
        <is>
          <t>Cali</t>
        </is>
      </c>
      <c r="D701" t="inlineStr">
        <is>
          <t>5886</t>
        </is>
      </c>
      <c r="E701" t="inlineStr">
        <is>
          <t>TDV</t>
        </is>
      </c>
      <c r="F701" s="23" t="n">
        <v>46275</v>
      </c>
      <c r="G701" t="inlineStr">
        <is>
          <t>provision</t>
        </is>
      </c>
      <c r="H701" s="26" t="n">
        <v>354000747</v>
      </c>
      <c r="I701" t="inlineStr">
        <is>
          <t>bajo</t>
        </is>
      </c>
      <c r="J701" t="inlineStr">
        <is>
          <t>RN-11 y RN-34: provision hasta el cupo operativo antes de bajar del 8 %</t>
        </is>
      </c>
      <c r="K701" t="inlineStr">
        <is>
          <t>Provision en la manana, antes del pagado: con el pronostico, sin provision el saldo bajaria del 8 % del cupo ese dia. Lleva el saldo de 56.999.253 a 411.000.000 COP (cupo 411.000.000). Equipo administrado por TDV.</t>
        </is>
      </c>
      <c r="L701" s="26" t="n">
        <v>411000000</v>
      </c>
      <c r="M701" s="26" t="n">
        <v>56999253</v>
      </c>
      <c r="N701" s="27">
        <f>IF(ISNUMBER(M701),M701/L701,"No aplica")</f>
        <v>0.13868431386861313</v>
      </c>
      <c r="O701" s="25">
        <f>IF(G701="provision",M701+H701,IF(G701="recoleccion",M701-H701,"No aplica"))</f>
        <v>411000000</v>
      </c>
      <c r="P701" s="26" t="n">
        <v>120330</v>
      </c>
    </row>
    <row r="702">
      <c r="A702" t="inlineStr">
        <is>
          <t>PRAGMA</t>
        </is>
      </c>
      <c r="B702" t="inlineStr">
        <is>
          <t>M1</t>
        </is>
      </c>
      <c r="C702" t="inlineStr">
        <is>
          <t>Cali</t>
        </is>
      </c>
      <c r="D702" t="inlineStr">
        <is>
          <t>5886</t>
        </is>
      </c>
      <c r="E702" t="inlineStr">
        <is>
          <t>TDV</t>
        </is>
      </c>
      <c r="F702" s="23" t="n">
        <v>46279</v>
      </c>
      <c r="G702" t="inlineStr">
        <is>
          <t>provision</t>
        </is>
      </c>
      <c r="H702" s="26" t="n">
        <v>305321378</v>
      </c>
      <c r="I702" t="inlineStr">
        <is>
          <t>bajo</t>
        </is>
      </c>
      <c r="J702" t="inlineStr">
        <is>
          <t>RN-11 y RN-34: provision hasta el cupo operativo antes de bajar del 8 %</t>
        </is>
      </c>
      <c r="K702" t="inlineStr">
        <is>
          <t>Provision en la manana, antes del pagado: con el pronostico, sin provision el saldo bajaria del 8 % del cupo ese dia. Lleva el saldo de 105.678.622 a 411.000.000 COP (cupo 411.000.000). Equipo administrado por TDV.</t>
        </is>
      </c>
      <c r="L702" s="26" t="n">
        <v>411000000</v>
      </c>
      <c r="M702" s="26" t="n">
        <v>105678622</v>
      </c>
      <c r="N702" s="27">
        <f>IF(ISNUMBER(M702),M702/L702,"No aplica")</f>
        <v>0.257125600973236</v>
      </c>
      <c r="O702" s="25">
        <f>IF(G702="provision",M702+H702,IF(G702="recoleccion",M702-H702,"No aplica"))</f>
        <v>411000000</v>
      </c>
      <c r="P702" s="26" t="n">
        <v>106018</v>
      </c>
    </row>
    <row r="703">
      <c r="A703" t="inlineStr">
        <is>
          <t>PRAGMA</t>
        </is>
      </c>
      <c r="B703" t="inlineStr">
        <is>
          <t>M1</t>
        </is>
      </c>
      <c r="C703" t="inlineStr">
        <is>
          <t>Cali</t>
        </is>
      </c>
      <c r="D703" t="inlineStr">
        <is>
          <t>5887</t>
        </is>
      </c>
      <c r="E703" t="inlineStr">
        <is>
          <t>TDV</t>
        </is>
      </c>
      <c r="F703" s="23" t="n">
        <v>46269</v>
      </c>
      <c r="G703" t="inlineStr">
        <is>
          <t>provision</t>
        </is>
      </c>
      <c r="H703" s="26" t="n">
        <v>369411802</v>
      </c>
      <c r="I703" t="inlineStr">
        <is>
          <t>bajo</t>
        </is>
      </c>
      <c r="J703" t="inlineStr">
        <is>
          <t>RN-11 y RN-34: provision hasta el cupo operativo antes de bajar del 8 %</t>
        </is>
      </c>
      <c r="K703" t="inlineStr">
        <is>
          <t>Provision en la manana, antes del pagado: con el pronostico, sin provision el saldo bajaria del 8 % del cupo ese dia. Lleva el saldo de 41.588.198 a 411.000.000 COP (cupo 411.000.000). Equipo administrado por TDV.</t>
        </is>
      </c>
      <c r="L703" s="26" t="n">
        <v>411000000</v>
      </c>
      <c r="M703" s="26" t="n">
        <v>41588198</v>
      </c>
      <c r="N703" s="27">
        <f>IF(ISNUMBER(M703),M703/L703,"No aplica")</f>
        <v>0.1011878296836983</v>
      </c>
      <c r="O703" s="25">
        <f>IF(G703="provision",M703+H703,IF(G703="recoleccion",M703-H703,"No aplica"))</f>
        <v>411000000</v>
      </c>
      <c r="P703" s="26" t="n">
        <v>138138</v>
      </c>
    </row>
    <row r="704">
      <c r="A704" t="inlineStr">
        <is>
          <t>PRAGMA</t>
        </is>
      </c>
      <c r="B704" t="inlineStr">
        <is>
          <t>M1</t>
        </is>
      </c>
      <c r="C704" t="inlineStr">
        <is>
          <t>Cali</t>
        </is>
      </c>
      <c r="D704" t="inlineStr">
        <is>
          <t>5887</t>
        </is>
      </c>
      <c r="E704" t="inlineStr">
        <is>
          <t>TDV</t>
        </is>
      </c>
      <c r="F704" s="23" t="n">
        <v>46272</v>
      </c>
      <c r="G704" t="inlineStr">
        <is>
          <t>provision</t>
        </is>
      </c>
      <c r="H704" s="26" t="n">
        <v>316350863</v>
      </c>
      <c r="I704" t="inlineStr">
        <is>
          <t>bajo</t>
        </is>
      </c>
      <c r="J704" t="inlineStr">
        <is>
          <t>RN-11 y RN-34: provision hasta el cupo operativo antes de bajar del 8 %</t>
        </is>
      </c>
      <c r="K704" t="inlineStr">
        <is>
          <t>Provision en la manana, antes del pagado: con el pronostico, sin provision el saldo bajaria del 8 % del cupo ese dia. Lleva el saldo de 94.649.137 a 411.000.000 COP (cupo 411.000.000). Equipo administrado por TDV.</t>
        </is>
      </c>
      <c r="L704" s="26" t="n">
        <v>411000000</v>
      </c>
      <c r="M704" s="26" t="n">
        <v>94649137</v>
      </c>
      <c r="N704" s="27">
        <f>IF(ISNUMBER(M704),M704/L704,"No aplica")</f>
        <v>0.23028987104622872</v>
      </c>
      <c r="O704" s="25">
        <f>IF(G704="provision",M704+H704,IF(G704="recoleccion",M704-H704,"No aplica"))</f>
        <v>411000000</v>
      </c>
      <c r="P704" s="26" t="n">
        <v>120840</v>
      </c>
    </row>
    <row r="705">
      <c r="A705" t="inlineStr">
        <is>
          <t>PRAGMA</t>
        </is>
      </c>
      <c r="B705" t="inlineStr">
        <is>
          <t>M1</t>
        </is>
      </c>
      <c r="C705" t="inlineStr">
        <is>
          <t>Cali</t>
        </is>
      </c>
      <c r="D705" t="inlineStr">
        <is>
          <t>5887</t>
        </is>
      </c>
      <c r="E705" t="inlineStr">
        <is>
          <t>TDV</t>
        </is>
      </c>
      <c r="F705" s="23" t="n">
        <v>46277</v>
      </c>
      <c r="G705" t="inlineStr">
        <is>
          <t>provision</t>
        </is>
      </c>
      <c r="H705" s="26" t="n">
        <v>371944266</v>
      </c>
      <c r="I705" t="inlineStr">
        <is>
          <t>bajo</t>
        </is>
      </c>
      <c r="J705" t="inlineStr">
        <is>
          <t>RN-11 y RN-34: provision hasta el cupo operativo antes de bajar del 8 %</t>
        </is>
      </c>
      <c r="K705" t="inlineStr">
        <is>
          <t>Provision en la manana, antes del pagado: con el pronostico, sin provision el saldo bajaria del 8 % del cupo ese dia. Lleva el saldo de 39.055.734 a 411.000.000 COP (cupo 411.000.000). Equipo administrado por TDV.</t>
        </is>
      </c>
      <c r="L705" s="26" t="n">
        <v>411000000</v>
      </c>
      <c r="M705" s="26" t="n">
        <v>39055734</v>
      </c>
      <c r="N705" s="27">
        <f>IF(ISNUMBER(M705),M705/L705,"No aplica")</f>
        <v>0.09502611678832117</v>
      </c>
      <c r="O705" s="25">
        <f>IF(G705="provision",M705+H705,IF(G705="recoleccion",M705-H705,"No aplica"))</f>
        <v>411000000</v>
      </c>
      <c r="P705" s="26" t="n">
        <v>138964</v>
      </c>
    </row>
    <row r="706">
      <c r="A706" t="inlineStr">
        <is>
          <t>PRAGMA</t>
        </is>
      </c>
      <c r="B706" t="inlineStr">
        <is>
          <t>M1</t>
        </is>
      </c>
      <c r="C706" t="inlineStr">
        <is>
          <t>Cali</t>
        </is>
      </c>
      <c r="D706" t="inlineStr">
        <is>
          <t>5889</t>
        </is>
      </c>
      <c r="E706" t="inlineStr">
        <is>
          <t>TDV</t>
        </is>
      </c>
      <c r="F706" s="23" t="n">
        <v>46277</v>
      </c>
      <c r="G706" t="inlineStr">
        <is>
          <t>provision</t>
        </is>
      </c>
      <c r="H706" s="26" t="n">
        <v>369050233</v>
      </c>
      <c r="I706" t="inlineStr">
        <is>
          <t>bajo</t>
        </is>
      </c>
      <c r="J706" t="inlineStr">
        <is>
          <t>RN-11 y RN-34: provision hasta el cupo operativo antes de bajar del 8 %</t>
        </is>
      </c>
      <c r="K706" t="inlineStr">
        <is>
          <t>Provision en la manana, antes del pagado: con el pronostico, sin provision el saldo bajaria del 8 % del cupo ese dia. Lleva el saldo de 41.949.767 a 411.000.000 COP (cupo 411.000.000). Equipo administrado por TDV.</t>
        </is>
      </c>
      <c r="L706" s="26" t="n">
        <v>411000000</v>
      </c>
      <c r="M706" s="26" t="n">
        <v>41949767</v>
      </c>
      <c r="N706" s="27">
        <f>IF(ISNUMBER(M706),M706/L706,"No aplica")</f>
        <v>0.1020675596107056</v>
      </c>
      <c r="O706" s="25">
        <f>IF(G706="provision",M706+H706,IF(G706="recoleccion",M706-H706,"No aplica"))</f>
        <v>411000000</v>
      </c>
      <c r="P706" s="26" t="n">
        <v>136122</v>
      </c>
    </row>
    <row r="707">
      <c r="A707" t="inlineStr">
        <is>
          <t>PRAGMA</t>
        </is>
      </c>
      <c r="B707" t="inlineStr">
        <is>
          <t>M1</t>
        </is>
      </c>
      <c r="C707" t="inlineStr">
        <is>
          <t>Cali</t>
        </is>
      </c>
      <c r="D707" t="inlineStr">
        <is>
          <t>5923</t>
        </is>
      </c>
      <c r="E707" t="inlineStr">
        <is>
          <t>TDV</t>
        </is>
      </c>
      <c r="F707" s="23" t="n">
        <v>46268</v>
      </c>
      <c r="G707" t="inlineStr">
        <is>
          <t>provision</t>
        </is>
      </c>
      <c r="H707" s="26" t="n">
        <v>306777184</v>
      </c>
      <c r="I707" t="inlineStr">
        <is>
          <t>bajo</t>
        </is>
      </c>
      <c r="J707" t="inlineStr">
        <is>
          <t>RN-11 y RN-34: provision hasta el cupo operativo antes de bajar del 8 %</t>
        </is>
      </c>
      <c r="K707" t="inlineStr">
        <is>
          <t>Provision en la manana, antes del pagado: con el pronostico, sin provision el saldo bajaria del 8 % del cupo ese dia. Lleva el saldo de 104.222.816 a 411.000.000 COP (cupo 411.000.000). Equipo administrado por TDV.</t>
        </is>
      </c>
      <c r="L707" s="26" t="n">
        <v>411000000</v>
      </c>
      <c r="M707" s="26" t="n">
        <v>104222816</v>
      </c>
      <c r="N707" s="27">
        <f>IF(ISNUMBER(M707),M707/L707,"No aplica")</f>
        <v>0.2535834939172749</v>
      </c>
      <c r="O707" s="25">
        <f>IF(G707="provision",M707+H707,IF(G707="recoleccion",M707-H707,"No aplica"))</f>
        <v>411000000</v>
      </c>
      <c r="P707" s="26" t="n">
        <v>106446</v>
      </c>
    </row>
    <row r="708">
      <c r="A708" t="inlineStr">
        <is>
          <t>PRAGMA</t>
        </is>
      </c>
      <c r="B708" t="inlineStr">
        <is>
          <t>M1</t>
        </is>
      </c>
      <c r="C708" t="inlineStr">
        <is>
          <t>Cali</t>
        </is>
      </c>
      <c r="D708" t="inlineStr">
        <is>
          <t>5923</t>
        </is>
      </c>
      <c r="E708" t="inlineStr">
        <is>
          <t>TDV</t>
        </is>
      </c>
      <c r="F708" s="23" t="n">
        <v>46270</v>
      </c>
      <c r="G708" t="inlineStr">
        <is>
          <t>provision</t>
        </is>
      </c>
      <c r="H708" s="26" t="n">
        <v>245265880</v>
      </c>
      <c r="I708" t="inlineStr">
        <is>
          <t>bajo</t>
        </is>
      </c>
      <c r="J708" t="inlineStr">
        <is>
          <t>RN-11 y RN-34: provision hasta el cupo operativo antes de bajar del 8 %</t>
        </is>
      </c>
      <c r="K708" t="inlineStr">
        <is>
          <t>Provision en la manana, antes del pagado: con el pronostico, sin provision el saldo bajaria del 8 % del cupo ese dia. Lleva el saldo de 165.734.120 a 411.000.000 COP (cupo 411.000.000). Equipo administrado por TDV.</t>
        </is>
      </c>
      <c r="L708" s="26" t="n">
        <v>411000000</v>
      </c>
      <c r="M708" s="26" t="n">
        <v>165734120</v>
      </c>
      <c r="N708" s="27">
        <f>IF(ISNUMBER(M708),M708/L708,"No aplica")</f>
        <v>0.4032460340632603</v>
      </c>
      <c r="O708" s="25">
        <f>IF(G708="provision",M708+H708,IF(G708="recoleccion",M708-H708,"No aplica"))</f>
        <v>411000000</v>
      </c>
      <c r="P708" s="26" t="n">
        <v>88362</v>
      </c>
    </row>
    <row r="709">
      <c r="A709" t="inlineStr">
        <is>
          <t>PRAGMA</t>
        </is>
      </c>
      <c r="B709" t="inlineStr">
        <is>
          <t>M1</t>
        </is>
      </c>
      <c r="C709" t="inlineStr">
        <is>
          <t>Cali</t>
        </is>
      </c>
      <c r="D709" t="inlineStr">
        <is>
          <t>5923</t>
        </is>
      </c>
      <c r="E709" t="inlineStr">
        <is>
          <t>TDV</t>
        </is>
      </c>
      <c r="F709" s="23" t="n">
        <v>46273</v>
      </c>
      <c r="G709" t="inlineStr">
        <is>
          <t>provision</t>
        </is>
      </c>
      <c r="H709" s="26" t="n">
        <v>346216705</v>
      </c>
      <c r="I709" t="inlineStr">
        <is>
          <t>bajo</t>
        </is>
      </c>
      <c r="J709" t="inlineStr">
        <is>
          <t>RN-11 y RN-34: provision hasta el cupo operativo antes de bajar del 8 %</t>
        </is>
      </c>
      <c r="K709" t="inlineStr">
        <is>
          <t>Provision en la manana, antes del pagado: con el pronostico, sin provision el saldo bajaria del 8 % del cupo ese dia. Lleva el saldo de 64.783.295 a 411.000.000 COP (cupo 411.000.000). Equipo administrado por TDV.</t>
        </is>
      </c>
      <c r="L709" s="26" t="n">
        <v>411000000</v>
      </c>
      <c r="M709" s="26" t="n">
        <v>64783295</v>
      </c>
      <c r="N709" s="27">
        <f>IF(ISNUMBER(M709),M709/L709,"No aplica")</f>
        <v>0.15762358880778587</v>
      </c>
      <c r="O709" s="25">
        <f>IF(G709="provision",M709+H709,IF(G709="recoleccion",M709-H709,"No aplica"))</f>
        <v>411000000</v>
      </c>
      <c r="P709" s="26" t="n">
        <v>118042</v>
      </c>
    </row>
    <row r="710">
      <c r="A710" t="inlineStr">
        <is>
          <t>PRAGMA</t>
        </is>
      </c>
      <c r="B710" t="inlineStr">
        <is>
          <t>M1</t>
        </is>
      </c>
      <c r="C710" t="inlineStr">
        <is>
          <t>Cali</t>
        </is>
      </c>
      <c r="D710" t="inlineStr">
        <is>
          <t>5923</t>
        </is>
      </c>
      <c r="E710" t="inlineStr">
        <is>
          <t>TDV</t>
        </is>
      </c>
      <c r="F710" s="23" t="n">
        <v>46277</v>
      </c>
      <c r="G710" t="inlineStr">
        <is>
          <t>provision</t>
        </is>
      </c>
      <c r="H710" s="26" t="n">
        <v>342186856</v>
      </c>
      <c r="I710" t="inlineStr">
        <is>
          <t>bajo</t>
        </is>
      </c>
      <c r="J710" t="inlineStr">
        <is>
          <t>RN-11 y RN-34: provision hasta el cupo operativo antes de bajar del 8 %</t>
        </is>
      </c>
      <c r="K710" t="inlineStr">
        <is>
          <t>Provision en la manana, antes del pagado: con el pronostico, sin provision el saldo bajaria del 8 % del cupo ese dia. Lleva el saldo de 68.813.144 a 411.000.000 COP (cupo 411.000.000). Equipo administrado por TDV.</t>
        </is>
      </c>
      <c r="L710" s="26" t="n">
        <v>411000000</v>
      </c>
      <c r="M710" s="26" t="n">
        <v>68813144</v>
      </c>
      <c r="N710" s="27">
        <f>IF(ISNUMBER(M710),M710/L710,"No aplica")</f>
        <v>0.16742857420924573</v>
      </c>
      <c r="O710" s="25">
        <f>IF(G710="provision",M710+H710,IF(G710="recoleccion",M710-H710,"No aplica"))</f>
        <v>411000000</v>
      </c>
      <c r="P710" s="26" t="n">
        <v>116857</v>
      </c>
    </row>
    <row r="711">
      <c r="A711" t="inlineStr">
        <is>
          <t>PRAGMA</t>
        </is>
      </c>
      <c r="B711" t="inlineStr">
        <is>
          <t>M1</t>
        </is>
      </c>
      <c r="C711" t="inlineStr">
        <is>
          <t>Cali</t>
        </is>
      </c>
      <c r="D711" t="inlineStr">
        <is>
          <t>5923</t>
        </is>
      </c>
      <c r="E711" t="inlineStr">
        <is>
          <t>TDV</t>
        </is>
      </c>
      <c r="F711" s="23" t="n">
        <v>46280</v>
      </c>
      <c r="G711" t="inlineStr">
        <is>
          <t>provision</t>
        </is>
      </c>
      <c r="H711" s="26" t="n">
        <v>279528063</v>
      </c>
      <c r="I711" t="inlineStr">
        <is>
          <t>bajo</t>
        </is>
      </c>
      <c r="J711" t="inlineStr">
        <is>
          <t>RN-11 y RN-34: provision hasta el cupo operativo antes de bajar del 8 %</t>
        </is>
      </c>
      <c r="K711" t="inlineStr">
        <is>
          <t>Provision en la manana, antes del pagado: con el pronostico, sin provision el saldo bajaria del 8 % del cupo ese dia. Lleva el saldo de 131.471.937 a 411.000.000 COP (cupo 411.000.000). Equipo administrado por TDV.</t>
        </is>
      </c>
      <c r="L711" s="26" t="n">
        <v>411000000</v>
      </c>
      <c r="M711" s="26" t="n">
        <v>131471937</v>
      </c>
      <c r="N711" s="27">
        <f>IF(ISNUMBER(M711),M711/L711,"No aplica")</f>
        <v>0.3198830583941606</v>
      </c>
      <c r="O711" s="25">
        <f>IF(G711="provision",M711+H711,IF(G711="recoleccion",M711-H711,"No aplica"))</f>
        <v>411000000</v>
      </c>
      <c r="P711" s="26" t="n">
        <v>98435</v>
      </c>
    </row>
    <row r="712">
      <c r="A712" t="inlineStr">
        <is>
          <t>PRAGMA</t>
        </is>
      </c>
      <c r="B712" t="inlineStr">
        <is>
          <t>M1</t>
        </is>
      </c>
      <c r="C712" t="inlineStr">
        <is>
          <t>Cali</t>
        </is>
      </c>
      <c r="D712" t="inlineStr">
        <is>
          <t>5932</t>
        </is>
      </c>
      <c r="E712" t="inlineStr">
        <is>
          <t>TDV</t>
        </is>
      </c>
      <c r="F712" s="23" t="n">
        <v>46269</v>
      </c>
      <c r="G712" t="inlineStr">
        <is>
          <t>provision</t>
        </is>
      </c>
      <c r="H712" s="26" t="n">
        <v>365640658</v>
      </c>
      <c r="I712" t="inlineStr">
        <is>
          <t>bajo</t>
        </is>
      </c>
      <c r="J712" t="inlineStr">
        <is>
          <t>RN-11 y RN-34: provision hasta el cupo operativo antes de bajar del 8 %</t>
        </is>
      </c>
      <c r="K712" t="inlineStr">
        <is>
          <t>Provision en la manana, antes del pagado: con el pronostico, sin provision el saldo bajaria del 8 % del cupo ese dia. Lleva el saldo de 39.359.342 a 405.000.000 COP (cupo 405.000.000). Equipo administrado por TDV.</t>
        </is>
      </c>
      <c r="L712" s="26" t="n">
        <v>405000000</v>
      </c>
      <c r="M712" s="26" t="n">
        <v>39359342</v>
      </c>
      <c r="N712" s="27">
        <f>IF(ISNUMBER(M712),M712/L712,"No aplica")</f>
        <v>0.09718356049382716</v>
      </c>
      <c r="O712" s="25">
        <f>IF(G712="provision",M712+H712,IF(G712="recoleccion",M712-H712,"No aplica"))</f>
        <v>405000000</v>
      </c>
      <c r="P712" s="26" t="n">
        <v>135021</v>
      </c>
    </row>
    <row r="713">
      <c r="A713" t="inlineStr">
        <is>
          <t>PRAGMA</t>
        </is>
      </c>
      <c r="B713" t="inlineStr">
        <is>
          <t>M1</t>
        </is>
      </c>
      <c r="C713" t="inlineStr">
        <is>
          <t>Cali</t>
        </is>
      </c>
      <c r="D713" t="inlineStr">
        <is>
          <t>5932</t>
        </is>
      </c>
      <c r="E713" t="inlineStr">
        <is>
          <t>TDV</t>
        </is>
      </c>
      <c r="F713" s="23" t="n">
        <v>46273</v>
      </c>
      <c r="G713" t="inlineStr">
        <is>
          <t>provision</t>
        </is>
      </c>
      <c r="H713" s="26" t="n">
        <v>360069151</v>
      </c>
      <c r="I713" t="inlineStr">
        <is>
          <t>bajo</t>
        </is>
      </c>
      <c r="J713" t="inlineStr">
        <is>
          <t>RN-11 y RN-34: provision hasta el cupo operativo antes de bajar del 8 %</t>
        </is>
      </c>
      <c r="K713" t="inlineStr">
        <is>
          <t>Provision en la manana, antes del pagado: con el pronostico, sin provision el saldo bajaria del 8 % del cupo ese dia. Lleva el saldo de 44.930.849 a 405.000.000 COP (cupo 405.000.000). Equipo administrado por TDV.</t>
        </is>
      </c>
      <c r="L713" s="26" t="n">
        <v>405000000</v>
      </c>
      <c r="M713" s="26" t="n">
        <v>44930849</v>
      </c>
      <c r="N713" s="27">
        <f>IF(ISNUMBER(M713),M713/L713,"No aplica")</f>
        <v>0.11094036790123457</v>
      </c>
      <c r="O713" s="25">
        <f>IF(G713="provision",M713+H713,IF(G713="recoleccion",M713-H713,"No aplica"))</f>
        <v>405000000</v>
      </c>
      <c r="P713" s="26" t="n">
        <v>133221</v>
      </c>
    </row>
    <row r="714">
      <c r="A714" t="inlineStr">
        <is>
          <t>PRAGMA</t>
        </is>
      </c>
      <c r="B714" t="inlineStr">
        <is>
          <t>M1</t>
        </is>
      </c>
      <c r="C714" t="inlineStr">
        <is>
          <t>Cali</t>
        </is>
      </c>
      <c r="D714" t="inlineStr">
        <is>
          <t>5932</t>
        </is>
      </c>
      <c r="E714" t="inlineStr">
        <is>
          <t>TDV</t>
        </is>
      </c>
      <c r="F714" s="23" t="n">
        <v>46278</v>
      </c>
      <c r="G714" t="inlineStr">
        <is>
          <t>provision</t>
        </is>
      </c>
      <c r="H714" s="26" t="n">
        <v>342612690</v>
      </c>
      <c r="I714" t="inlineStr">
        <is>
          <t>bajo</t>
        </is>
      </c>
      <c r="J714" t="inlineStr">
        <is>
          <t>RN-11 y RN-34: provision hasta el cupo operativo antes de bajar del 8 %</t>
        </is>
      </c>
      <c r="K714" t="inlineStr">
        <is>
          <t>Provision en la manana, antes del pagado: con el pronostico, sin provision el saldo bajaria del 8 % del cupo ese dia. Lleva el saldo de 62.387.310 a 405.000.000 COP (cupo 405.000.000). Equipo administrado por TDV.</t>
        </is>
      </c>
      <c r="L714" s="26" t="n">
        <v>405000000</v>
      </c>
      <c r="M714" s="26" t="n">
        <v>62387310</v>
      </c>
      <c r="N714" s="27">
        <f>IF(ISNUMBER(M714),M714/L714,"No aplica")</f>
        <v>0.15404274074074073</v>
      </c>
      <c r="O714" s="25">
        <f>IF(G714="provision",M714+H714,IF(G714="recoleccion",M714-H714,"No aplica"))</f>
        <v>405000000</v>
      </c>
      <c r="P714" s="26" t="n">
        <v>166099</v>
      </c>
    </row>
    <row r="715">
      <c r="A715" t="inlineStr">
        <is>
          <t>PRAGMA</t>
        </is>
      </c>
      <c r="B715" t="inlineStr">
        <is>
          <t>M1</t>
        </is>
      </c>
      <c r="C715" t="inlineStr">
        <is>
          <t>Cali</t>
        </is>
      </c>
      <c r="D715" t="inlineStr">
        <is>
          <t>5995</t>
        </is>
      </c>
      <c r="E715" t="inlineStr">
        <is>
          <t>TDV</t>
        </is>
      </c>
      <c r="F715" s="23" t="n">
        <v>46270</v>
      </c>
      <c r="G715" t="inlineStr">
        <is>
          <t>provision</t>
        </is>
      </c>
      <c r="H715" s="26" t="n">
        <v>428522358</v>
      </c>
      <c r="I715" t="inlineStr">
        <is>
          <t>bajo</t>
        </is>
      </c>
      <c r="J715" t="inlineStr">
        <is>
          <t>RN-11 y RN-34: provision hasta el cupo operativo antes de bajar del 8 %</t>
        </is>
      </c>
      <c r="K715" t="inlineStr">
        <is>
          <t>Provision en la manana, antes del pagado: con el pronostico, sin provision el saldo bajaria del 8 % del cupo ese dia. Lleva el saldo de 71.477.642 a 500.000.000 COP (cupo 500.000.000). Equipo administrado por TDV.</t>
        </is>
      </c>
      <c r="L715" s="26" t="n">
        <v>500000000</v>
      </c>
      <c r="M715" s="26" t="n">
        <v>71477642</v>
      </c>
      <c r="N715" s="27">
        <f>IF(ISNUMBER(M715),M715/L715,"No aplica")</f>
        <v>0.142955284</v>
      </c>
      <c r="O715" s="25">
        <f>IF(G715="provision",M715+H715,IF(G715="recoleccion",M715-H715,"No aplica"))</f>
        <v>500000000</v>
      </c>
      <c r="P715" s="26" t="n">
        <v>177010</v>
      </c>
    </row>
    <row r="716">
      <c r="A716" t="inlineStr">
        <is>
          <t>PRAGMA</t>
        </is>
      </c>
      <c r="B716" t="inlineStr">
        <is>
          <t>M1</t>
        </is>
      </c>
      <c r="C716" t="inlineStr">
        <is>
          <t>Cali</t>
        </is>
      </c>
      <c r="D716" t="inlineStr">
        <is>
          <t>5995</t>
        </is>
      </c>
      <c r="E716" t="inlineStr">
        <is>
          <t>TDV</t>
        </is>
      </c>
      <c r="F716" s="23" t="n">
        <v>46277</v>
      </c>
      <c r="G716" t="inlineStr">
        <is>
          <t>provision</t>
        </is>
      </c>
      <c r="H716" s="26" t="n">
        <v>437536141</v>
      </c>
      <c r="I716" t="inlineStr">
        <is>
          <t>bajo</t>
        </is>
      </c>
      <c r="J716" t="inlineStr">
        <is>
          <t>RN-11 y RN-34: provision hasta el cupo operativo antes de bajar del 8 %</t>
        </is>
      </c>
      <c r="K716" t="inlineStr">
        <is>
          <t>Provision en la manana, antes del pagado: con el pronostico, sin provision el saldo bajaria del 8 % del cupo ese dia. Lleva el saldo de 62.463.859 a 500.000.000 COP (cupo 500.000.000). Equipo administrado por TDV.</t>
        </is>
      </c>
      <c r="L716" s="26" t="n">
        <v>500000000</v>
      </c>
      <c r="M716" s="26" t="n">
        <v>62463859</v>
      </c>
      <c r="N716" s="27">
        <f>IF(ISNUMBER(M716),M716/L716,"No aplica")</f>
        <v>0.124927718</v>
      </c>
      <c r="O716" s="25">
        <f>IF(G716="provision",M716+H716,IF(G716="recoleccion",M716-H716,"No aplica"))</f>
        <v>500000000</v>
      </c>
      <c r="P716" s="26" t="n">
        <v>180237</v>
      </c>
    </row>
    <row r="717">
      <c r="A717" t="inlineStr">
        <is>
          <t>PRAGMA</t>
        </is>
      </c>
      <c r="B717" t="inlineStr">
        <is>
          <t>M1</t>
        </is>
      </c>
      <c r="C717" t="inlineStr">
        <is>
          <t>Cali</t>
        </is>
      </c>
      <c r="D717" t="inlineStr">
        <is>
          <t>6001</t>
        </is>
      </c>
      <c r="E717" t="inlineStr">
        <is>
          <t>TDV</t>
        </is>
      </c>
      <c r="F717" s="23" t="n">
        <v>46271</v>
      </c>
      <c r="G717" t="inlineStr">
        <is>
          <t>provision</t>
        </is>
      </c>
      <c r="H717" s="26" t="n">
        <v>424960904</v>
      </c>
      <c r="I717" t="inlineStr">
        <is>
          <t>bajo</t>
        </is>
      </c>
      <c r="J717" t="inlineStr">
        <is>
          <t>RN-11 y RN-34: provision hasta el cupo operativo antes de bajar del 8 %</t>
        </is>
      </c>
      <c r="K717" t="inlineStr">
        <is>
          <t>Provision en la manana, antes del pagado: con el pronostico, sin provision el saldo bajaria del 8 % del cupo ese dia. Lleva el saldo de 75.039.096 a 500.000.000 COP (cupo 500.000.000). Equipo administrado por TDV.</t>
        </is>
      </c>
      <c r="L717" s="26" t="n">
        <v>500000000</v>
      </c>
      <c r="M717" s="26" t="n">
        <v>75039096</v>
      </c>
      <c r="N717" s="27">
        <f>IF(ISNUMBER(M717),M717/L717,"No aplica")</f>
        <v>0.150078192</v>
      </c>
      <c r="O717" s="25">
        <f>IF(G717="provision",M717+H717,IF(G717="recoleccion",M717-H717,"No aplica"))</f>
        <v>500000000</v>
      </c>
      <c r="P717" s="26" t="n">
        <v>182376</v>
      </c>
    </row>
    <row r="718">
      <c r="A718" t="inlineStr">
        <is>
          <t>PRAGMA</t>
        </is>
      </c>
      <c r="B718" t="inlineStr">
        <is>
          <t>M1</t>
        </is>
      </c>
      <c r="C718" t="inlineStr">
        <is>
          <t>Cali</t>
        </is>
      </c>
      <c r="D718" t="inlineStr">
        <is>
          <t>6001</t>
        </is>
      </c>
      <c r="E718" t="inlineStr">
        <is>
          <t>TDV</t>
        </is>
      </c>
      <c r="F718" s="23" t="n">
        <v>46279</v>
      </c>
      <c r="G718" t="inlineStr">
        <is>
          <t>provision</t>
        </is>
      </c>
      <c r="H718" s="26" t="n">
        <v>438229842</v>
      </c>
      <c r="I718" t="inlineStr">
        <is>
          <t>bajo</t>
        </is>
      </c>
      <c r="J718" t="inlineStr">
        <is>
          <t>RN-11 y RN-34: provision hasta el cupo operativo antes de bajar del 8 %</t>
        </is>
      </c>
      <c r="K718" t="inlineStr">
        <is>
          <t>Provision en la manana, antes del pagado: con el pronostico, sin provision el saldo bajaria del 8 % del cupo ese dia. Lleva el saldo de 61.770.158 a 500.000.000 COP (cupo 500.000.000). Equipo administrado por TDV.</t>
        </is>
      </c>
      <c r="L718" s="26" t="n">
        <v>500000000</v>
      </c>
      <c r="M718" s="26" t="n">
        <v>61770158</v>
      </c>
      <c r="N718" s="27">
        <f>IF(ISNUMBER(M718),M718/L718,"No aplica")</f>
        <v>0.123540316</v>
      </c>
      <c r="O718" s="25">
        <f>IF(G718="provision",M718+H718,IF(G718="recoleccion",M718-H718,"No aplica"))</f>
        <v>500000000</v>
      </c>
      <c r="P718" s="26" t="n">
        <v>138263</v>
      </c>
    </row>
    <row r="719">
      <c r="A719" t="inlineStr">
        <is>
          <t>PRAGMA</t>
        </is>
      </c>
      <c r="B719" t="inlineStr">
        <is>
          <t>M1</t>
        </is>
      </c>
      <c r="C719" t="inlineStr">
        <is>
          <t>Cali</t>
        </is>
      </c>
      <c r="D719" t="inlineStr">
        <is>
          <t>6042</t>
        </is>
      </c>
      <c r="E719" t="inlineStr">
        <is>
          <t>TDV</t>
        </is>
      </c>
      <c r="F719" s="23" t="n">
        <v>46268</v>
      </c>
      <c r="G719" t="inlineStr">
        <is>
          <t>provision</t>
        </is>
      </c>
      <c r="H719" s="26" t="n">
        <v>305833395</v>
      </c>
      <c r="I719" t="inlineStr">
        <is>
          <t>bajo</t>
        </is>
      </c>
      <c r="J719" t="inlineStr">
        <is>
          <t>RN-11 y RN-34: provision hasta el cupo operativo antes de bajar del 8 %</t>
        </is>
      </c>
      <c r="K719" t="inlineStr">
        <is>
          <t>Provision en la manana, antes del pagado: con el pronostico, sin provision el saldo bajaria del 8 % del cupo ese dia. Lleva el saldo de 105.166.605 a 411.000.000 COP (cupo 411.000.000). Equipo administrado por TDV.</t>
        </is>
      </c>
      <c r="L719" s="26" t="n">
        <v>411000000</v>
      </c>
      <c r="M719" s="26" t="n">
        <v>105166605</v>
      </c>
      <c r="N719" s="27">
        <f>IF(ISNUMBER(M719),M719/L719,"No aplica")</f>
        <v>0.2558798175182482</v>
      </c>
      <c r="O719" s="25">
        <f>IF(G719="provision",M719+H719,IF(G719="recoleccion",M719-H719,"No aplica"))</f>
        <v>411000000</v>
      </c>
      <c r="P719" s="26" t="n">
        <v>117412</v>
      </c>
    </row>
    <row r="720">
      <c r="A720" t="inlineStr">
        <is>
          <t>PRAGMA</t>
        </is>
      </c>
      <c r="B720" t="inlineStr">
        <is>
          <t>M1</t>
        </is>
      </c>
      <c r="C720" t="inlineStr">
        <is>
          <t>Cali</t>
        </is>
      </c>
      <c r="D720" t="inlineStr">
        <is>
          <t>6042</t>
        </is>
      </c>
      <c r="E720" t="inlineStr">
        <is>
          <t>TDV</t>
        </is>
      </c>
      <c r="F720" s="23" t="n">
        <v>46270</v>
      </c>
      <c r="G720" t="inlineStr">
        <is>
          <t>provision</t>
        </is>
      </c>
      <c r="H720" s="26" t="n">
        <v>260310473</v>
      </c>
      <c r="I720" t="inlineStr">
        <is>
          <t>bajo</t>
        </is>
      </c>
      <c r="J720" t="inlineStr">
        <is>
          <t>RN-11 y RN-34: provision hasta el cupo operativo antes de bajar del 8 %</t>
        </is>
      </c>
      <c r="K720" t="inlineStr">
        <is>
          <t>Provision en la manana, antes del pagado: con el pronostico, sin provision el saldo bajaria del 8 % del cupo ese dia. Lleva el saldo de 150.689.527 a 411.000.000 COP (cupo 411.000.000). Equipo administrado por TDV.</t>
        </is>
      </c>
      <c r="L720" s="26" t="n">
        <v>411000000</v>
      </c>
      <c r="M720" s="26" t="n">
        <v>150689527</v>
      </c>
      <c r="N720" s="27">
        <f>IF(ISNUMBER(M720),M720/L720,"No aplica")</f>
        <v>0.3666411849148418</v>
      </c>
      <c r="O720" s="25">
        <f>IF(G720="provision",M720+H720,IF(G720="recoleccion",M720-H720,"No aplica"))</f>
        <v>411000000</v>
      </c>
      <c r="P720" s="26" t="n">
        <v>102571</v>
      </c>
    </row>
    <row r="721">
      <c r="A721" t="inlineStr">
        <is>
          <t>PRAGMA</t>
        </is>
      </c>
      <c r="B721" t="inlineStr">
        <is>
          <t>M1</t>
        </is>
      </c>
      <c r="C721" t="inlineStr">
        <is>
          <t>Cali</t>
        </is>
      </c>
      <c r="D721" t="inlineStr">
        <is>
          <t>6042</t>
        </is>
      </c>
      <c r="E721" t="inlineStr">
        <is>
          <t>TDV</t>
        </is>
      </c>
      <c r="F721" s="23" t="n">
        <v>46272</v>
      </c>
      <c r="G721" t="inlineStr">
        <is>
          <t>provision</t>
        </is>
      </c>
      <c r="H721" s="26" t="n">
        <v>264836672</v>
      </c>
      <c r="I721" t="inlineStr">
        <is>
          <t>bajo</t>
        </is>
      </c>
      <c r="J721" t="inlineStr">
        <is>
          <t>RN-11 y RN-34: provision hasta el cupo operativo antes de bajar del 8 %</t>
        </is>
      </c>
      <c r="K721" t="inlineStr">
        <is>
          <t>Provision en la manana, antes del pagado: con el pronostico, sin provision el saldo bajaria del 8 % del cupo ese dia. Lleva el saldo de 146.163.328 a 411.000.000 COP (cupo 411.000.000). Equipo administrado por TDV.</t>
        </is>
      </c>
      <c r="L721" s="26" t="n">
        <v>411000000</v>
      </c>
      <c r="M721" s="26" t="n">
        <v>146163328</v>
      </c>
      <c r="N721" s="27">
        <f>IF(ISNUMBER(M721),M721/L721,"No aplica")</f>
        <v>0.35562853527980537</v>
      </c>
      <c r="O721" s="25">
        <f>IF(G721="provision",M721+H721,IF(G721="recoleccion",M721-H721,"No aplica"))</f>
        <v>411000000</v>
      </c>
      <c r="P721" s="26" t="n">
        <v>104047</v>
      </c>
    </row>
    <row r="722">
      <c r="A722" t="inlineStr">
        <is>
          <t>PRAGMA</t>
        </is>
      </c>
      <c r="B722" t="inlineStr">
        <is>
          <t>M1</t>
        </is>
      </c>
      <c r="C722" t="inlineStr">
        <is>
          <t>Cali</t>
        </is>
      </c>
      <c r="D722" t="inlineStr">
        <is>
          <t>6042</t>
        </is>
      </c>
      <c r="E722" t="inlineStr">
        <is>
          <t>TDV</t>
        </is>
      </c>
      <c r="F722" s="23" t="n">
        <v>46275</v>
      </c>
      <c r="G722" t="inlineStr">
        <is>
          <t>provision</t>
        </is>
      </c>
      <c r="H722" s="26" t="n">
        <v>342527091</v>
      </c>
      <c r="I722" t="inlineStr">
        <is>
          <t>bajo</t>
        </is>
      </c>
      <c r="J722" t="inlineStr">
        <is>
          <t>RN-11 y RN-34: provision hasta el cupo operativo antes de bajar del 8 %</t>
        </is>
      </c>
      <c r="K722" t="inlineStr">
        <is>
          <t>Provision en la manana, antes del pagado: con el pronostico, sin provision el saldo bajaria del 8 % del cupo ese dia. Lleva el saldo de 68.472.909 a 411.000.000 COP (cupo 411.000.000). Equipo administrado por TDV.</t>
        </is>
      </c>
      <c r="L722" s="26" t="n">
        <v>411000000</v>
      </c>
      <c r="M722" s="26" t="n">
        <v>68472909</v>
      </c>
      <c r="N722" s="27">
        <f>IF(ISNUMBER(M722),M722/L722,"No aplica")</f>
        <v>0.1666007518248175</v>
      </c>
      <c r="O722" s="25">
        <f>IF(G722="provision",M722+H722,IF(G722="recoleccion",M722-H722,"No aplica"))</f>
        <v>411000000</v>
      </c>
      <c r="P722" s="26" t="n">
        <v>129374</v>
      </c>
    </row>
    <row r="723">
      <c r="A723" t="inlineStr">
        <is>
          <t>PRAGMA</t>
        </is>
      </c>
      <c r="B723" t="inlineStr">
        <is>
          <t>M1</t>
        </is>
      </c>
      <c r="C723" t="inlineStr">
        <is>
          <t>Cali</t>
        </is>
      </c>
      <c r="D723" t="inlineStr">
        <is>
          <t>6042</t>
        </is>
      </c>
      <c r="E723" t="inlineStr">
        <is>
          <t>TDV</t>
        </is>
      </c>
      <c r="F723" s="23" t="n">
        <v>46278</v>
      </c>
      <c r="G723" t="inlineStr">
        <is>
          <t>provision</t>
        </is>
      </c>
      <c r="H723" s="26" t="n">
        <v>306691591</v>
      </c>
      <c r="I723" t="inlineStr">
        <is>
          <t>bajo</t>
        </is>
      </c>
      <c r="J723" t="inlineStr">
        <is>
          <t>RN-11 y RN-34: provision hasta el cupo operativo antes de bajar del 8 %</t>
        </is>
      </c>
      <c r="K723" t="inlineStr">
        <is>
          <t>Provision en la manana, antes del pagado: con el pronostico, sin provision el saldo bajaria del 8 % del cupo ese dia. Lleva el saldo de 104.308.409 a 411.000.000 COP (cupo 411.000.000). Equipo administrado por TDV.</t>
        </is>
      </c>
      <c r="L723" s="26" t="n">
        <v>411000000</v>
      </c>
      <c r="M723" s="26" t="n">
        <v>104308409</v>
      </c>
      <c r="N723" s="27">
        <f>IF(ISNUMBER(M723),M723/L723,"No aplica")</f>
        <v>0.2537917493917275</v>
      </c>
      <c r="O723" s="25">
        <f>IF(G723="provision",M723+H723,IF(G723="recoleccion",M723-H723,"No aplica"))</f>
        <v>411000000</v>
      </c>
      <c r="P723" s="26" t="n">
        <v>159514</v>
      </c>
    </row>
    <row r="724">
      <c r="A724" t="inlineStr">
        <is>
          <t>PRAGMA</t>
        </is>
      </c>
      <c r="B724" t="inlineStr">
        <is>
          <t>M1</t>
        </is>
      </c>
      <c r="C724" t="inlineStr">
        <is>
          <t>Cali</t>
        </is>
      </c>
      <c r="D724" t="inlineStr">
        <is>
          <t>6054</t>
        </is>
      </c>
      <c r="E724" t="inlineStr">
        <is>
          <t>TDV</t>
        </is>
      </c>
      <c r="F724" s="23" t="n">
        <v>46266</v>
      </c>
      <c r="G724" t="inlineStr">
        <is>
          <t>sin_accion</t>
        </is>
      </c>
      <c r="H724" s="26" t="n">
        <v>0</v>
      </c>
      <c r="I724" t="inlineStr">
        <is>
          <t>bajo</t>
        </is>
      </c>
      <c r="J724" t="inlineStr">
        <is>
          <t>RN-02: una fila sin_accion</t>
        </is>
      </c>
      <c r="K724" t="inlineStr">
        <is>
          <t>Sin accion en el horizonte: con el pronostico, el saldo se mantiene entre el umbral de agotamiento y el cupo sin necesidad de provision ni recoleccion.</t>
        </is>
      </c>
      <c r="L724" s="26" t="n">
        <v>411000000</v>
      </c>
      <c r="M724" s="26" t="inlineStr">
        <is>
          <t>No aplica</t>
        </is>
      </c>
      <c r="N724" s="27" t="str">
        <f>IF(ISNUMBER(M724),M724/L724,"No aplica")</f>
        <v>No aplica</v>
      </c>
      <c r="O724" s="25" t="str">
        <f>IF(G724="provision",M724+H724,IF(G724="recoleccion",M724-H724,"No aplica"))</f>
        <v>No aplica</v>
      </c>
      <c r="P724" s="26" t="inlineStr">
        <is>
          <t>No aplica</t>
        </is>
      </c>
    </row>
    <row r="725">
      <c r="A725" t="inlineStr">
        <is>
          <t>PRAGMA</t>
        </is>
      </c>
      <c r="B725" t="inlineStr">
        <is>
          <t>M1</t>
        </is>
      </c>
      <c r="C725" t="inlineStr">
        <is>
          <t>Cali</t>
        </is>
      </c>
      <c r="D725" t="inlineStr">
        <is>
          <t>6057</t>
        </is>
      </c>
      <c r="E725" t="inlineStr">
        <is>
          <t>Sucursal</t>
        </is>
      </c>
      <c r="F725" s="23" t="n">
        <v>46269</v>
      </c>
      <c r="G725" t="inlineStr">
        <is>
          <t>provision</t>
        </is>
      </c>
      <c r="H725" s="26" t="n">
        <v>370862998</v>
      </c>
      <c r="I725" t="inlineStr">
        <is>
          <t>bajo</t>
        </is>
      </c>
      <c r="J725" t="inlineStr">
        <is>
          <t>RN-11 y RN-34: provision hasta el cupo operativo antes de bajar del 8 %</t>
        </is>
      </c>
      <c r="K725" t="inlineStr">
        <is>
          <t>Provision en la manana, antes del pagado: con el pronostico, sin provision el saldo bajaria del 8 % del cupo ese dia. Lleva el saldo de 70.137.002 a 441.000.000 COP (cupo 441.000.000). Equipo administrado por Sucursal. Sin tarifa TDV (administrado por la sucursal): costo 0 declarado.</t>
        </is>
      </c>
      <c r="L725" s="26" t="n">
        <v>441000000</v>
      </c>
      <c r="M725" s="26" t="n">
        <v>70137002</v>
      </c>
      <c r="N725" s="27">
        <f>IF(ISNUMBER(M725),M725/L725,"No aplica")</f>
        <v>0.159040820861678</v>
      </c>
      <c r="O725" s="25">
        <f>IF(G725="provision",M725+H725,IF(G725="recoleccion",M725-H725,"No aplica"))</f>
        <v>441000000</v>
      </c>
      <c r="P725" s="26" t="n">
        <v>0</v>
      </c>
    </row>
    <row r="726">
      <c r="A726" t="inlineStr">
        <is>
          <t>PRAGMA</t>
        </is>
      </c>
      <c r="B726" t="inlineStr">
        <is>
          <t>M1</t>
        </is>
      </c>
      <c r="C726" t="inlineStr">
        <is>
          <t>Cali</t>
        </is>
      </c>
      <c r="D726" t="inlineStr">
        <is>
          <t>6057</t>
        </is>
      </c>
      <c r="E726" t="inlineStr">
        <is>
          <t>Sucursal</t>
        </is>
      </c>
      <c r="F726" s="23" t="n">
        <v>46273</v>
      </c>
      <c r="G726" t="inlineStr">
        <is>
          <t>provision</t>
        </is>
      </c>
      <c r="H726" s="26" t="n">
        <v>393689807</v>
      </c>
      <c r="I726" t="inlineStr">
        <is>
          <t>bajo</t>
        </is>
      </c>
      <c r="J726" t="inlineStr">
        <is>
          <t>RN-11 y RN-34: provision hasta el cupo operativo antes de bajar del 8 %</t>
        </is>
      </c>
      <c r="K726" t="inlineStr">
        <is>
          <t>Provision en la manana, antes del pagado: con el pronostico, sin provision el saldo bajaria del 8 % del cupo ese dia. Lleva el saldo de 47.310.193 a 441.000.000 COP (cupo 441.000.000). Equipo administrado por Sucursal. Sin tarifa TDV (administrado por la sucursal): costo 0 declarado.</t>
        </is>
      </c>
      <c r="L726" s="26" t="n">
        <v>441000000</v>
      </c>
      <c r="M726" s="26" t="n">
        <v>47310193</v>
      </c>
      <c r="N726" s="27">
        <f>IF(ISNUMBER(M726),M726/L726,"No aplica")</f>
        <v>0.10727934920634921</v>
      </c>
      <c r="O726" s="25">
        <f>IF(G726="provision",M726+H726,IF(G726="recoleccion",M726-H726,"No aplica"))</f>
        <v>441000000</v>
      </c>
      <c r="P726" s="26" t="n">
        <v>0</v>
      </c>
    </row>
    <row r="727">
      <c r="A727" t="inlineStr">
        <is>
          <t>PRAGMA</t>
        </is>
      </c>
      <c r="B727" t="inlineStr">
        <is>
          <t>M1</t>
        </is>
      </c>
      <c r="C727" t="inlineStr">
        <is>
          <t>Cali</t>
        </is>
      </c>
      <c r="D727" t="inlineStr">
        <is>
          <t>6057</t>
        </is>
      </c>
      <c r="E727" t="inlineStr">
        <is>
          <t>Sucursal</t>
        </is>
      </c>
      <c r="F727" s="23" t="n">
        <v>46278</v>
      </c>
      <c r="G727" t="inlineStr">
        <is>
          <t>provision</t>
        </is>
      </c>
      <c r="H727" s="26" t="n">
        <v>402078198</v>
      </c>
      <c r="I727" t="inlineStr">
        <is>
          <t>bajo</t>
        </is>
      </c>
      <c r="J727" t="inlineStr">
        <is>
          <t>RN-11 y RN-34: provision hasta el cupo operativo antes de bajar del 8 %</t>
        </is>
      </c>
      <c r="K727" t="inlineStr">
        <is>
          <t>Provision en la manana, antes del pagado: con el pronostico, sin provision el saldo bajaria del 8 % del cupo ese dia. Lleva el saldo de 38.921.802 a 441.000.000 COP (cupo 441.000.000). Equipo administrado por Sucursal. Sin tarifa TDV (administrado por la sucursal): costo 0 declarado.</t>
        </is>
      </c>
      <c r="L727" s="26" t="n">
        <v>441000000</v>
      </c>
      <c r="M727" s="26" t="n">
        <v>38921802</v>
      </c>
      <c r="N727" s="27">
        <f>IF(ISNUMBER(M727),M727/L727,"No aplica")</f>
        <v>0.0882580544217687</v>
      </c>
      <c r="O727" s="25">
        <f>IF(G727="provision",M727+H727,IF(G727="recoleccion",M727-H727,"No aplica"))</f>
        <v>441000000</v>
      </c>
      <c r="P727" s="26" t="n">
        <v>0</v>
      </c>
    </row>
    <row r="728">
      <c r="A728" t="inlineStr">
        <is>
          <t>PRAGMA</t>
        </is>
      </c>
      <c r="B728" t="inlineStr">
        <is>
          <t>M1</t>
        </is>
      </c>
      <c r="C728" t="inlineStr">
        <is>
          <t>Cali</t>
        </is>
      </c>
      <c r="D728" t="inlineStr">
        <is>
          <t>6062</t>
        </is>
      </c>
      <c r="E728" t="inlineStr">
        <is>
          <t>TDV</t>
        </is>
      </c>
      <c r="F728" s="23" t="n">
        <v>46269</v>
      </c>
      <c r="G728" t="inlineStr">
        <is>
          <t>provision</t>
        </is>
      </c>
      <c r="H728" s="26" t="n">
        <v>312971358</v>
      </c>
      <c r="I728" t="inlineStr">
        <is>
          <t>bajo</t>
        </is>
      </c>
      <c r="J728" t="inlineStr">
        <is>
          <t>RN-11 y RN-34: provision hasta el cupo operativo antes de bajar del 8 %</t>
        </is>
      </c>
      <c r="K728" t="inlineStr">
        <is>
          <t>Provision en la manana, antes del pagado: con el pronostico, sin provision el saldo bajaria del 8 % del cupo ese dia. Lleva el saldo de 92.028.642 a 405.000.000 COP (cupo 405.000.000). Equipo administrado por TDV.</t>
        </is>
      </c>
      <c r="L728" s="26" t="n">
        <v>405000000</v>
      </c>
      <c r="M728" s="26" t="n">
        <v>92028642</v>
      </c>
      <c r="N728" s="27">
        <f>IF(ISNUMBER(M728),M728/L728,"No aplica")</f>
        <v>0.2272312148148148</v>
      </c>
      <c r="O728" s="25">
        <f>IF(G728="provision",M728+H728,IF(G728="recoleccion",M728-H728,"No aplica"))</f>
        <v>405000000</v>
      </c>
      <c r="P728" s="26" t="n">
        <v>160410</v>
      </c>
    </row>
    <row r="729">
      <c r="A729" t="inlineStr">
        <is>
          <t>PRAGMA</t>
        </is>
      </c>
      <c r="B729" t="inlineStr">
        <is>
          <t>M1</t>
        </is>
      </c>
      <c r="C729" t="inlineStr">
        <is>
          <t>Cali</t>
        </is>
      </c>
      <c r="D729" t="inlineStr">
        <is>
          <t>6062</t>
        </is>
      </c>
      <c r="E729" t="inlineStr">
        <is>
          <t>TDV</t>
        </is>
      </c>
      <c r="F729" s="23" t="n">
        <v>46274</v>
      </c>
      <c r="G729" t="inlineStr">
        <is>
          <t>provision</t>
        </is>
      </c>
      <c r="H729" s="26" t="n">
        <v>344743659</v>
      </c>
      <c r="I729" t="inlineStr">
        <is>
          <t>bajo</t>
        </is>
      </c>
      <c r="J729" t="inlineStr">
        <is>
          <t>RN-11 y RN-34: provision hasta el cupo operativo antes de bajar del 8 %</t>
        </is>
      </c>
      <c r="K729" t="inlineStr">
        <is>
          <t>Provision en la manana, antes del pagado: con el pronostico, sin provision el saldo bajaria del 8 % del cupo ese dia. Lleva el saldo de 60.256.341 a 405.000.000 COP (cupo 405.000.000). Equipo administrado por TDV.</t>
        </is>
      </c>
      <c r="L729" s="26" t="n">
        <v>405000000</v>
      </c>
      <c r="M729" s="26" t="n">
        <v>60256341</v>
      </c>
      <c r="N729" s="27">
        <f>IF(ISNUMBER(M729),M729/L729,"No aplica")</f>
        <v>0.14878108888888888</v>
      </c>
      <c r="O729" s="25">
        <f>IF(G729="provision",M729+H729,IF(G729="recoleccion",M729-H729,"No aplica"))</f>
        <v>405000000</v>
      </c>
      <c r="P729" s="26" t="n">
        <v>174771</v>
      </c>
    </row>
    <row r="730">
      <c r="A730" t="inlineStr">
        <is>
          <t>PRAGMA</t>
        </is>
      </c>
      <c r="B730" t="inlineStr">
        <is>
          <t>M1</t>
        </is>
      </c>
      <c r="C730" t="inlineStr">
        <is>
          <t>Cali</t>
        </is>
      </c>
      <c r="D730" t="inlineStr">
        <is>
          <t>6062</t>
        </is>
      </c>
      <c r="E730" t="inlineStr">
        <is>
          <t>TDV</t>
        </is>
      </c>
      <c r="F730" s="23" t="n">
        <v>46279</v>
      </c>
      <c r="G730" t="inlineStr">
        <is>
          <t>provision</t>
        </is>
      </c>
      <c r="H730" s="26" t="n">
        <v>304742521</v>
      </c>
      <c r="I730" t="inlineStr">
        <is>
          <t>bajo</t>
        </is>
      </c>
      <c r="J730" t="inlineStr">
        <is>
          <t>RN-11 y RN-34: provision hasta el cupo operativo antes de bajar del 8 %</t>
        </is>
      </c>
      <c r="K730" t="inlineStr">
        <is>
          <t>Provision en la manana, antes del pagado: con el pronostico, sin provision el saldo bajaria del 8 % del cupo ese dia. Lleva el saldo de 100.257.479 a 405.000.000 COP (cupo 405.000.000). Equipo administrado por TDV.</t>
        </is>
      </c>
      <c r="L730" s="26" t="n">
        <v>405000000</v>
      </c>
      <c r="M730" s="26" t="n">
        <v>100257479</v>
      </c>
      <c r="N730" s="27">
        <f>IF(ISNUMBER(M730),M730/L730,"No aplica")</f>
        <v>0.24754933086419753</v>
      </c>
      <c r="O730" s="25">
        <f>IF(G730="provision",M730+H730,IF(G730="recoleccion",M730-H730,"No aplica"))</f>
        <v>405000000</v>
      </c>
      <c r="P730" s="26" t="n">
        <v>156691</v>
      </c>
    </row>
    <row r="731">
      <c r="A731" t="inlineStr">
        <is>
          <t>PRAGMA</t>
        </is>
      </c>
      <c r="B731" t="inlineStr">
        <is>
          <t>M1</t>
        </is>
      </c>
      <c r="C731" t="inlineStr">
        <is>
          <t>Cali</t>
        </is>
      </c>
      <c r="D731" t="inlineStr">
        <is>
          <t>6063</t>
        </is>
      </c>
      <c r="E731" t="inlineStr">
        <is>
          <t>TDV</t>
        </is>
      </c>
      <c r="F731" s="23" t="n">
        <v>46270</v>
      </c>
      <c r="G731" t="inlineStr">
        <is>
          <t>provision</t>
        </is>
      </c>
      <c r="H731" s="26" t="n">
        <v>368546006</v>
      </c>
      <c r="I731" t="inlineStr">
        <is>
          <t>bajo</t>
        </is>
      </c>
      <c r="J731" t="inlineStr">
        <is>
          <t>RN-11 y RN-34: provision hasta el cupo operativo antes de bajar del 8 %</t>
        </is>
      </c>
      <c r="K731" t="inlineStr">
        <is>
          <t>Provision en la manana, antes del pagado: con el pronostico, sin provision el saldo bajaria del 8 % del cupo ese dia. Lleva el saldo de 42.453.994 a 411.000.000 COP (cupo 411.000.000). Equipo administrado por TDV.</t>
        </is>
      </c>
      <c r="L731" s="26" t="n">
        <v>411000000</v>
      </c>
      <c r="M731" s="26" t="n">
        <v>42453994</v>
      </c>
      <c r="N731" s="27">
        <f>IF(ISNUMBER(M731),M731/L731,"No aplica")</f>
        <v>0.10329438929440389</v>
      </c>
      <c r="O731" s="25">
        <f>IF(G731="provision",M731+H731,IF(G731="recoleccion",M731-H731,"No aplica"))</f>
        <v>411000000</v>
      </c>
      <c r="P731" s="26" t="n">
        <v>185530</v>
      </c>
    </row>
    <row r="732">
      <c r="A732" t="inlineStr">
        <is>
          <t>PRAGMA</t>
        </is>
      </c>
      <c r="B732" t="inlineStr">
        <is>
          <t>M1</t>
        </is>
      </c>
      <c r="C732" t="inlineStr">
        <is>
          <t>Cali</t>
        </is>
      </c>
      <c r="D732" t="inlineStr">
        <is>
          <t>6063</t>
        </is>
      </c>
      <c r="E732" t="inlineStr">
        <is>
          <t>TDV</t>
        </is>
      </c>
      <c r="F732" s="23" t="n">
        <v>46275</v>
      </c>
      <c r="G732" t="inlineStr">
        <is>
          <t>provision</t>
        </is>
      </c>
      <c r="H732" s="26" t="n">
        <v>351633574</v>
      </c>
      <c r="I732" t="inlineStr">
        <is>
          <t>bajo</t>
        </is>
      </c>
      <c r="J732" t="inlineStr">
        <is>
          <t>RN-11 y RN-34: provision hasta el cupo operativo antes de bajar del 8 %</t>
        </is>
      </c>
      <c r="K732" t="inlineStr">
        <is>
          <t>Provision en la manana, antes del pagado: con el pronostico, sin provision el saldo bajaria del 8 % del cupo ese dia. Lleva el saldo de 59.366.426 a 411.000.000 COP (cupo 411.000.000). Equipo administrado por TDV.</t>
        </is>
      </c>
      <c r="L732" s="26" t="n">
        <v>411000000</v>
      </c>
      <c r="M732" s="26" t="n">
        <v>59366426</v>
      </c>
      <c r="N732" s="27">
        <f>IF(ISNUMBER(M732),M732/L732,"No aplica")</f>
        <v>0.1444438588807786</v>
      </c>
      <c r="O732" s="25">
        <f>IF(G732="provision",M732+H732,IF(G732="recoleccion",M732-H732,"No aplica"))</f>
        <v>411000000</v>
      </c>
      <c r="P732" s="26" t="n">
        <v>177885</v>
      </c>
    </row>
    <row r="733">
      <c r="A733" t="inlineStr">
        <is>
          <t>PRAGMA</t>
        </is>
      </c>
      <c r="B733" t="inlineStr">
        <is>
          <t>M1</t>
        </is>
      </c>
      <c r="C733" t="inlineStr">
        <is>
          <t>Cali</t>
        </is>
      </c>
      <c r="D733" t="inlineStr">
        <is>
          <t>6063</t>
        </is>
      </c>
      <c r="E733" t="inlineStr">
        <is>
          <t>TDV</t>
        </is>
      </c>
      <c r="F733" s="23" t="n">
        <v>46280</v>
      </c>
      <c r="G733" t="inlineStr">
        <is>
          <t>provision</t>
        </is>
      </c>
      <c r="H733" s="26" t="n">
        <v>312241780</v>
      </c>
      <c r="I733" t="inlineStr">
        <is>
          <t>bajo</t>
        </is>
      </c>
      <c r="J733" t="inlineStr">
        <is>
          <t>RN-11 y RN-34: provision hasta el cupo operativo antes de bajar del 8 %</t>
        </is>
      </c>
      <c r="K733" t="inlineStr">
        <is>
          <t>Provision en la manana, antes del pagado: con el pronostico, sin provision el saldo bajaria del 8 % del cupo ese dia. Lleva el saldo de 98.758.220 a 411.000.000 COP (cupo 411.000.000). Equipo administrado por TDV.</t>
        </is>
      </c>
      <c r="L733" s="26" t="n">
        <v>411000000</v>
      </c>
      <c r="M733" s="26" t="n">
        <v>98758220</v>
      </c>
      <c r="N733" s="27">
        <f>IF(ISNUMBER(M733),M733/L733,"No aplica")</f>
        <v>0.2402876399026764</v>
      </c>
      <c r="O733" s="25">
        <f>IF(G733="provision",M733+H733,IF(G733="recoleccion",M733-H733,"No aplica"))</f>
        <v>411000000</v>
      </c>
      <c r="P733" s="26" t="n">
        <v>160080</v>
      </c>
    </row>
    <row r="734">
      <c r="A734" t="inlineStr">
        <is>
          <t>PRAGMA</t>
        </is>
      </c>
      <c r="B734" t="inlineStr">
        <is>
          <t>M1</t>
        </is>
      </c>
      <c r="C734" t="inlineStr">
        <is>
          <t>Cali</t>
        </is>
      </c>
      <c r="D734" t="inlineStr">
        <is>
          <t>607</t>
        </is>
      </c>
      <c r="E734" t="inlineStr">
        <is>
          <t>TDV</t>
        </is>
      </c>
      <c r="F734" s="23" t="n">
        <v>46273</v>
      </c>
      <c r="G734" t="inlineStr">
        <is>
          <t>provision</t>
        </is>
      </c>
      <c r="H734" s="26" t="n">
        <v>357864047</v>
      </c>
      <c r="I734" t="inlineStr">
        <is>
          <t>bajo</t>
        </is>
      </c>
      <c r="J734" t="inlineStr">
        <is>
          <t>RN-11 y RN-34: provision hasta el cupo operativo antes de bajar del 8 %</t>
        </is>
      </c>
      <c r="K734" t="inlineStr">
        <is>
          <t>Provision en la manana, antes del pagado: con el pronostico, sin provision el saldo bajaria del 8 % del cupo ese dia. Lleva el saldo de 53.135.953 a 411.000.000 COP (cupo 411.000.000). Equipo administrado por TDV.</t>
        </is>
      </c>
      <c r="L734" s="26" t="n">
        <v>411000000</v>
      </c>
      <c r="M734" s="26" t="n">
        <v>53135953</v>
      </c>
      <c r="N734" s="27">
        <f>IF(ISNUMBER(M734),M734/L734,"No aplica")</f>
        <v>0.12928455717761558</v>
      </c>
      <c r="O734" s="25">
        <f>IF(G734="provision",M734+H734,IF(G734="recoleccion",M734-H734,"No aplica"))</f>
        <v>411000000</v>
      </c>
      <c r="P734" s="26" t="n">
        <v>152303</v>
      </c>
    </row>
    <row r="735">
      <c r="A735" t="inlineStr">
        <is>
          <t>PRAGMA</t>
        </is>
      </c>
      <c r="B735" t="inlineStr">
        <is>
          <t>M1</t>
        </is>
      </c>
      <c r="C735" t="inlineStr">
        <is>
          <t>Cali</t>
        </is>
      </c>
      <c r="D735" t="inlineStr">
        <is>
          <t>6098</t>
        </is>
      </c>
      <c r="E735" t="inlineStr">
        <is>
          <t>TDV</t>
        </is>
      </c>
      <c r="F735" s="23" t="n">
        <v>46266</v>
      </c>
      <c r="G735" t="inlineStr">
        <is>
          <t>sin_accion</t>
        </is>
      </c>
      <c r="H735" s="26" t="n">
        <v>0</v>
      </c>
      <c r="I735" t="inlineStr">
        <is>
          <t>bajo</t>
        </is>
      </c>
      <c r="J735" t="inlineStr">
        <is>
          <t>RN-02: una fila sin_accion</t>
        </is>
      </c>
      <c r="K735" t="inlineStr">
        <is>
          <t>Sin accion en el horizonte: con el pronostico, el saldo se mantiene entre el umbral de agotamiento y el cupo sin necesidad de provision ni recoleccion.</t>
        </is>
      </c>
      <c r="L735" s="26" t="n">
        <v>411000000</v>
      </c>
      <c r="M735" s="26" t="inlineStr">
        <is>
          <t>No aplica</t>
        </is>
      </c>
      <c r="N735" s="27" t="str">
        <f>IF(ISNUMBER(M735),M735/L735,"No aplica")</f>
        <v>No aplica</v>
      </c>
      <c r="O735" s="25" t="str">
        <f>IF(G735="provision",M735+H735,IF(G735="recoleccion",M735-H735,"No aplica"))</f>
        <v>No aplica</v>
      </c>
      <c r="P735" s="26" t="inlineStr">
        <is>
          <t>No aplica</t>
        </is>
      </c>
    </row>
    <row r="736">
      <c r="A736" t="inlineStr">
        <is>
          <t>PRAGMA</t>
        </is>
      </c>
      <c r="B736" t="inlineStr">
        <is>
          <t>M1</t>
        </is>
      </c>
      <c r="C736" t="inlineStr">
        <is>
          <t>Cali</t>
        </is>
      </c>
      <c r="D736" t="inlineStr">
        <is>
          <t>6114</t>
        </is>
      </c>
      <c r="E736" t="inlineStr">
        <is>
          <t>TDV</t>
        </is>
      </c>
      <c r="F736" s="23" t="n">
        <v>46280</v>
      </c>
      <c r="G736" t="inlineStr">
        <is>
          <t>provision</t>
        </is>
      </c>
      <c r="H736" s="26" t="n">
        <v>346396272</v>
      </c>
      <c r="I736" t="inlineStr">
        <is>
          <t>bajo</t>
        </is>
      </c>
      <c r="J736" t="inlineStr">
        <is>
          <t>RN-11 y RN-34: provision hasta el cupo operativo antes de bajar del 8 %</t>
        </is>
      </c>
      <c r="K736" t="inlineStr">
        <is>
          <t>Provision en la manana, antes del pagado: con el pronostico, sin provision el saldo bajaria del 8 % del cupo ese dia. Lleva el saldo de 64.603.728 a 411.000.000 COP (cupo 411.000.000). Equipo administrado por TDV.</t>
        </is>
      </c>
      <c r="L736" s="26" t="n">
        <v>411000000</v>
      </c>
      <c r="M736" s="26" t="n">
        <v>64603728</v>
      </c>
      <c r="N736" s="27">
        <f>IF(ISNUMBER(M736),M736/L736,"No aplica")</f>
        <v>0.15718668613138687</v>
      </c>
      <c r="O736" s="25">
        <f>IF(G736="provision",M736+H736,IF(G736="recoleccion",M736-H736,"No aplica"))</f>
        <v>411000000</v>
      </c>
      <c r="P736" s="26" t="n">
        <v>147991</v>
      </c>
    </row>
    <row r="737">
      <c r="A737" t="inlineStr">
        <is>
          <t>PRAGMA</t>
        </is>
      </c>
      <c r="B737" t="inlineStr">
        <is>
          <t>M1</t>
        </is>
      </c>
      <c r="C737" t="inlineStr">
        <is>
          <t>Cali</t>
        </is>
      </c>
      <c r="D737" t="inlineStr">
        <is>
          <t>6119</t>
        </is>
      </c>
      <c r="E737" t="inlineStr">
        <is>
          <t>TDV</t>
        </is>
      </c>
      <c r="F737" s="23" t="n">
        <v>46267</v>
      </c>
      <c r="G737" t="inlineStr">
        <is>
          <t>provision</t>
        </is>
      </c>
      <c r="H737" s="26" t="n">
        <v>259752880</v>
      </c>
      <c r="I737" t="inlineStr">
        <is>
          <t>bajo</t>
        </is>
      </c>
      <c r="J737" t="inlineStr">
        <is>
          <t>RN-11 y RN-34: provision hasta el cupo operativo antes de bajar del 8 %</t>
        </is>
      </c>
      <c r="K737" t="inlineStr">
        <is>
          <t>Provision en la manana, antes del pagado: con el pronostico, sin provision el saldo bajaria del 8 % del cupo ese dia. Lleva el saldo de 151.247.120 a 411.000.000 COP (cupo 411.000.000). Equipo administrado por TDV.</t>
        </is>
      </c>
      <c r="L737" s="26" t="n">
        <v>411000000</v>
      </c>
      <c r="M737" s="26" t="n">
        <v>151247120</v>
      </c>
      <c r="N737" s="27">
        <f>IF(ISNUMBER(M737),M737/L737,"No aplica")</f>
        <v>0.36799785888077857</v>
      </c>
      <c r="O737" s="25">
        <f>IF(G737="provision",M737+H737,IF(G737="recoleccion",M737-H737,"No aplica"))</f>
        <v>411000000</v>
      </c>
      <c r="P737" s="26" t="n">
        <v>115413</v>
      </c>
    </row>
    <row r="738">
      <c r="A738" t="inlineStr">
        <is>
          <t>PRAGMA</t>
        </is>
      </c>
      <c r="B738" t="inlineStr">
        <is>
          <t>M1</t>
        </is>
      </c>
      <c r="C738" t="inlineStr">
        <is>
          <t>Cali</t>
        </is>
      </c>
      <c r="D738" t="inlineStr">
        <is>
          <t>6119</t>
        </is>
      </c>
      <c r="E738" t="inlineStr">
        <is>
          <t>TDV</t>
        </is>
      </c>
      <c r="F738" s="23" t="n">
        <v>46268</v>
      </c>
      <c r="G738" t="inlineStr">
        <is>
          <t>provision</t>
        </is>
      </c>
      <c r="H738" s="26" t="n">
        <v>198699988</v>
      </c>
      <c r="I738" t="inlineStr">
        <is>
          <t>bajo</t>
        </is>
      </c>
      <c r="J738" t="inlineStr">
        <is>
          <t>RN-11 y RN-34: provision hasta el cupo operativo antes de bajar del 8 %</t>
        </is>
      </c>
      <c r="K738" t="inlineStr">
        <is>
          <t>Provision en la manana, antes del pagado: con el pronostico, sin provision el saldo bajaria del 8 % del cupo ese dia. Lleva el saldo de 212.300.012 a 411.000.000 COP (cupo 411.000.000). Equipo administrado por TDV.</t>
        </is>
      </c>
      <c r="L738" s="26" t="n">
        <v>411000000</v>
      </c>
      <c r="M738" s="26" t="n">
        <v>212300012</v>
      </c>
      <c r="N738" s="27">
        <f>IF(ISNUMBER(M738),M738/L738,"No aplica")</f>
        <v>0.5165450413625304</v>
      </c>
      <c r="O738" s="25">
        <f>IF(G738="provision",M738+H738,IF(G738="recoleccion",M738-H738,"No aplica"))</f>
        <v>411000000</v>
      </c>
      <c r="P738" s="26" t="n">
        <v>92457</v>
      </c>
    </row>
    <row r="739">
      <c r="A739" t="inlineStr">
        <is>
          <t>PRAGMA</t>
        </is>
      </c>
      <c r="B739" t="inlineStr">
        <is>
          <t>M1</t>
        </is>
      </c>
      <c r="C739" t="inlineStr">
        <is>
          <t>Cali</t>
        </is>
      </c>
      <c r="D739" t="inlineStr">
        <is>
          <t>6119</t>
        </is>
      </c>
      <c r="E739" t="inlineStr">
        <is>
          <t>TDV</t>
        </is>
      </c>
      <c r="F739" s="23" t="n">
        <v>46270</v>
      </c>
      <c r="G739" t="inlineStr">
        <is>
          <t>provision</t>
        </is>
      </c>
      <c r="H739" s="26" t="n">
        <v>377105733</v>
      </c>
      <c r="I739" t="inlineStr">
        <is>
          <t>bajo</t>
        </is>
      </c>
      <c r="J739" t="inlineStr">
        <is>
          <t>RN-11 y RN-34: provision hasta el cupo operativo antes de bajar del 8 %</t>
        </is>
      </c>
      <c r="K739" t="inlineStr">
        <is>
          <t>Provision en la manana, antes del pagado: con el pronostico, sin provision el saldo bajaria del 8 % del cupo ese dia. Lleva el saldo de 33.894.267 a 411.000.000 COP (cupo 411.000.000). Equipo administrado por TDV.</t>
        </is>
      </c>
      <c r="L739" s="26" t="n">
        <v>411000000</v>
      </c>
      <c r="M739" s="26" t="n">
        <v>33894267</v>
      </c>
      <c r="N739" s="27">
        <f>IF(ISNUMBER(M739),M739/L739,"No aplica")</f>
        <v>0.08246780291970802</v>
      </c>
      <c r="O739" s="25">
        <f>IF(G739="provision",M739+H739,IF(G739="recoleccion",M739-H739,"No aplica"))</f>
        <v>411000000</v>
      </c>
      <c r="P739" s="26" t="n">
        <v>159538</v>
      </c>
    </row>
    <row r="740">
      <c r="A740" t="inlineStr">
        <is>
          <t>PRAGMA</t>
        </is>
      </c>
      <c r="B740" t="inlineStr">
        <is>
          <t>M1</t>
        </is>
      </c>
      <c r="C740" t="inlineStr">
        <is>
          <t>Cali</t>
        </is>
      </c>
      <c r="D740" t="inlineStr">
        <is>
          <t>6119</t>
        </is>
      </c>
      <c r="E740" t="inlineStr">
        <is>
          <t>TDV</t>
        </is>
      </c>
      <c r="F740" s="23" t="n">
        <v>46272</v>
      </c>
      <c r="G740" t="inlineStr">
        <is>
          <t>provision</t>
        </is>
      </c>
      <c r="H740" s="26" t="n">
        <v>343411177</v>
      </c>
      <c r="I740" t="inlineStr">
        <is>
          <t>bajo</t>
        </is>
      </c>
      <c r="J740" t="inlineStr">
        <is>
          <t>RN-11 y RN-34: provision hasta el cupo operativo antes de bajar del 8 %</t>
        </is>
      </c>
      <c r="K740" t="inlineStr">
        <is>
          <t>Provision en la manana, antes del pagado: con el pronostico, sin provision el saldo bajaria del 8 % del cupo ese dia. Lleva el saldo de 67.588.823 a 411.000.000 COP (cupo 411.000.000). Equipo administrado por TDV.</t>
        </is>
      </c>
      <c r="L740" s="26" t="n">
        <v>411000000</v>
      </c>
      <c r="M740" s="26" t="n">
        <v>67588823</v>
      </c>
      <c r="N740" s="27">
        <f>IF(ISNUMBER(M740),M740/L740,"No aplica")</f>
        <v>0.1644496909975669</v>
      </c>
      <c r="O740" s="25">
        <f>IF(G740="provision",M740+H740,IF(G740="recoleccion",M740-H740,"No aplica"))</f>
        <v>411000000</v>
      </c>
      <c r="P740" s="26" t="n">
        <v>146869</v>
      </c>
    </row>
    <row r="741">
      <c r="A741" t="inlineStr">
        <is>
          <t>PRAGMA</t>
        </is>
      </c>
      <c r="B741" t="inlineStr">
        <is>
          <t>M1</t>
        </is>
      </c>
      <c r="C741" t="inlineStr">
        <is>
          <t>Cali</t>
        </is>
      </c>
      <c r="D741" t="inlineStr">
        <is>
          <t>6119</t>
        </is>
      </c>
      <c r="E741" t="inlineStr">
        <is>
          <t>TDV</t>
        </is>
      </c>
      <c r="F741" s="23" t="n">
        <v>46274</v>
      </c>
      <c r="G741" t="inlineStr">
        <is>
          <t>provision</t>
        </is>
      </c>
      <c r="H741" s="26" t="n">
        <v>268377785</v>
      </c>
      <c r="I741" t="inlineStr">
        <is>
          <t>bajo</t>
        </is>
      </c>
      <c r="J741" t="inlineStr">
        <is>
          <t>RN-11 y RN-34: provision hasta el cupo operativo antes de bajar del 8 %</t>
        </is>
      </c>
      <c r="K741" t="inlineStr">
        <is>
          <t>Provision en la manana, antes del pagado: con el pronostico, sin provision el saldo bajaria del 8 % del cupo ese dia. Lleva el saldo de 142.622.215 a 411.000.000 COP (cupo 411.000.000). Equipo administrado por TDV.</t>
        </is>
      </c>
      <c r="L741" s="26" t="n">
        <v>411000000</v>
      </c>
      <c r="M741" s="26" t="n">
        <v>142622215</v>
      </c>
      <c r="N741" s="27">
        <f>IF(ISNUMBER(M741),M741/L741,"No aplica")</f>
        <v>0.34701268856447687</v>
      </c>
      <c r="O741" s="25">
        <f>IF(G741="provision",M741+H741,IF(G741="recoleccion",M741-H741,"No aplica"))</f>
        <v>411000000</v>
      </c>
      <c r="P741" s="26" t="n">
        <v>118656</v>
      </c>
    </row>
    <row r="742">
      <c r="A742" t="inlineStr">
        <is>
          <t>PRAGMA</t>
        </is>
      </c>
      <c r="B742" t="inlineStr">
        <is>
          <t>M1</t>
        </is>
      </c>
      <c r="C742" t="inlineStr">
        <is>
          <t>Cali</t>
        </is>
      </c>
      <c r="D742" t="inlineStr">
        <is>
          <t>6119</t>
        </is>
      </c>
      <c r="E742" t="inlineStr">
        <is>
          <t>TDV</t>
        </is>
      </c>
      <c r="F742" s="23" t="n">
        <v>46276</v>
      </c>
      <c r="G742" t="inlineStr">
        <is>
          <t>provision</t>
        </is>
      </c>
      <c r="H742" s="26" t="n">
        <v>256632228</v>
      </c>
      <c r="I742" t="inlineStr">
        <is>
          <t>bajo</t>
        </is>
      </c>
      <c r="J742" t="inlineStr">
        <is>
          <t>RN-11 y RN-34: provision hasta el cupo operativo antes de bajar del 8 %</t>
        </is>
      </c>
      <c r="K742" t="inlineStr">
        <is>
          <t>Provision en la manana, antes del pagado: con el pronostico, sin provision el saldo bajaria del 8 % del cupo ese dia. Lleva el saldo de 154.367.772 a 411.000.000 COP (cupo 411.000.000). Equipo administrado por TDV.</t>
        </is>
      </c>
      <c r="L742" s="26" t="n">
        <v>411000000</v>
      </c>
      <c r="M742" s="26" t="n">
        <v>154367772</v>
      </c>
      <c r="N742" s="27">
        <f>IF(ISNUMBER(M742),M742/L742,"No aplica")</f>
        <v>0.37559068613138685</v>
      </c>
      <c r="O742" s="25">
        <f>IF(G742="provision",M742+H742,IF(G742="recoleccion",M742-H742,"No aplica"))</f>
        <v>411000000</v>
      </c>
      <c r="P742" s="26" t="n">
        <v>114240</v>
      </c>
    </row>
    <row r="743">
      <c r="A743" t="inlineStr">
        <is>
          <t>PRAGMA</t>
        </is>
      </c>
      <c r="B743" t="inlineStr">
        <is>
          <t>M1</t>
        </is>
      </c>
      <c r="C743" t="inlineStr">
        <is>
          <t>Cali</t>
        </is>
      </c>
      <c r="D743" t="inlineStr">
        <is>
          <t>6119</t>
        </is>
      </c>
      <c r="E743" t="inlineStr">
        <is>
          <t>TDV</t>
        </is>
      </c>
      <c r="F743" s="23" t="n">
        <v>46278</v>
      </c>
      <c r="G743" t="inlineStr">
        <is>
          <t>provision</t>
        </is>
      </c>
      <c r="H743" s="26" t="n">
        <v>301895437</v>
      </c>
      <c r="I743" t="inlineStr">
        <is>
          <t>bajo</t>
        </is>
      </c>
      <c r="J743" t="inlineStr">
        <is>
          <t>RN-11 y RN-34: provision hasta el cupo operativo antes de bajar del 8 %</t>
        </is>
      </c>
      <c r="K743" t="inlineStr">
        <is>
          <t>Provision en la manana, antes del pagado: con el pronostico, sin provision el saldo bajaria del 8 % del cupo ese dia. Lleva el saldo de 109.104.563 a 411.000.000 COP (cupo 411.000.000). Equipo administrado por TDV.</t>
        </is>
      </c>
      <c r="L743" s="26" t="n">
        <v>411000000</v>
      </c>
      <c r="M743" s="26" t="n">
        <v>109104563</v>
      </c>
      <c r="N743" s="27">
        <f>IF(ISNUMBER(M743),M743/L743,"No aplica")</f>
        <v>0.2654612238442822</v>
      </c>
      <c r="O743" s="25">
        <f>IF(G743="provision",M743+H743,IF(G743="recoleccion",M743-H743,"No aplica"))</f>
        <v>411000000</v>
      </c>
      <c r="P743" s="26" t="n">
        <v>174622</v>
      </c>
    </row>
    <row r="744">
      <c r="A744" t="inlineStr">
        <is>
          <t>PRAGMA</t>
        </is>
      </c>
      <c r="B744" t="inlineStr">
        <is>
          <t>M1</t>
        </is>
      </c>
      <c r="C744" t="inlineStr">
        <is>
          <t>Cali</t>
        </is>
      </c>
      <c r="D744" t="inlineStr">
        <is>
          <t>6119</t>
        </is>
      </c>
      <c r="E744" t="inlineStr">
        <is>
          <t>TDV</t>
        </is>
      </c>
      <c r="F744" s="23" t="n">
        <v>46280</v>
      </c>
      <c r="G744" t="inlineStr">
        <is>
          <t>provision</t>
        </is>
      </c>
      <c r="H744" s="26" t="n">
        <v>245945010</v>
      </c>
      <c r="I744" t="inlineStr">
        <is>
          <t>bajo</t>
        </is>
      </c>
      <c r="J744" t="inlineStr">
        <is>
          <t>RN-11 y RN-34: provision hasta el cupo operativo antes de bajar del 8 %</t>
        </is>
      </c>
      <c r="K744" t="inlineStr">
        <is>
          <t>Provision en la manana, antes del pagado: con el pronostico, sin provision el saldo bajaria del 8 % del cupo ese dia. Lleva el saldo de 165.054.990 a 411.000.000 COP (cupo 411.000.000). Equipo administrado por TDV.</t>
        </is>
      </c>
      <c r="L744" s="26" t="n">
        <v>411000000</v>
      </c>
      <c r="M744" s="26" t="n">
        <v>165054990</v>
      </c>
      <c r="N744" s="27">
        <f>IF(ISNUMBER(M744),M744/L744,"No aplica")</f>
        <v>0.4015936496350365</v>
      </c>
      <c r="O744" s="25">
        <f>IF(G744="provision",M744+H744,IF(G744="recoleccion",M744-H744,"No aplica"))</f>
        <v>411000000</v>
      </c>
      <c r="P744" s="26" t="n">
        <v>110221</v>
      </c>
    </row>
    <row r="745">
      <c r="A745" t="inlineStr">
        <is>
          <t>PRAGMA</t>
        </is>
      </c>
      <c r="B745" t="inlineStr">
        <is>
          <t>M1</t>
        </is>
      </c>
      <c r="C745" t="inlineStr">
        <is>
          <t>Cali</t>
        </is>
      </c>
      <c r="D745" t="inlineStr">
        <is>
          <t>6125</t>
        </is>
      </c>
      <c r="E745" t="inlineStr">
        <is>
          <t>TDV</t>
        </is>
      </c>
      <c r="F745" s="23" t="n">
        <v>46270</v>
      </c>
      <c r="G745" t="inlineStr">
        <is>
          <t>provision</t>
        </is>
      </c>
      <c r="H745" s="26" t="n">
        <v>351454372</v>
      </c>
      <c r="I745" t="inlineStr">
        <is>
          <t>bajo</t>
        </is>
      </c>
      <c r="J745" t="inlineStr">
        <is>
          <t>RN-11 y RN-34: provision hasta el cupo operativo antes de bajar del 8 %</t>
        </is>
      </c>
      <c r="K745" t="inlineStr">
        <is>
          <t>Provision en la manana, antes del pagado: con el pronostico, sin provision el saldo bajaria del 8 % del cupo ese dia. Lleva el saldo de 59.545.628 a 411.000.000 COP (cupo 411.000.000). Equipo administrado por TDV.</t>
        </is>
      </c>
      <c r="L745" s="26" t="n">
        <v>411000000</v>
      </c>
      <c r="M745" s="26" t="n">
        <v>59545628</v>
      </c>
      <c r="N745" s="27">
        <f>IF(ISNUMBER(M745),M745/L745,"No aplica")</f>
        <v>0.14487987347931874</v>
      </c>
      <c r="O745" s="25">
        <f>IF(G745="provision",M745+H745,IF(G745="recoleccion",M745-H745,"No aplica"))</f>
        <v>411000000</v>
      </c>
      <c r="P745" s="26" t="n">
        <v>174123</v>
      </c>
    </row>
    <row r="746">
      <c r="A746" t="inlineStr">
        <is>
          <t>PRAGMA</t>
        </is>
      </c>
      <c r="B746" t="inlineStr">
        <is>
          <t>M1</t>
        </is>
      </c>
      <c r="C746" t="inlineStr">
        <is>
          <t>Cali</t>
        </is>
      </c>
      <c r="D746" t="inlineStr">
        <is>
          <t>6125</t>
        </is>
      </c>
      <c r="E746" t="inlineStr">
        <is>
          <t>TDV</t>
        </is>
      </c>
      <c r="F746" s="23" t="n">
        <v>46276</v>
      </c>
      <c r="G746" t="inlineStr">
        <is>
          <t>provision</t>
        </is>
      </c>
      <c r="H746" s="26" t="n">
        <v>351694364</v>
      </c>
      <c r="I746" t="inlineStr">
        <is>
          <t>bajo</t>
        </is>
      </c>
      <c r="J746" t="inlineStr">
        <is>
          <t>RN-11 y RN-34: provision hasta el cupo operativo antes de bajar del 8 %</t>
        </is>
      </c>
      <c r="K746" t="inlineStr">
        <is>
          <t>Provision en la manana, antes del pagado: con el pronostico, sin provision el saldo bajaria del 8 % del cupo ese dia. Lleva el saldo de 59.305.636 a 411.000.000 COP (cupo 411.000.000). Equipo administrado por TDV.</t>
        </is>
      </c>
      <c r="L746" s="26" t="n">
        <v>411000000</v>
      </c>
      <c r="M746" s="26" t="n">
        <v>59305636</v>
      </c>
      <c r="N746" s="27">
        <f>IF(ISNUMBER(M746),M746/L746,"No aplica")</f>
        <v>0.1442959513381995</v>
      </c>
      <c r="O746" s="25">
        <f>IF(G746="provision",M746+H746,IF(G746="recoleccion",M746-H746,"No aplica"))</f>
        <v>411000000</v>
      </c>
      <c r="P746" s="26" t="n">
        <v>174229</v>
      </c>
    </row>
    <row r="747">
      <c r="A747" t="inlineStr">
        <is>
          <t>PRAGMA</t>
        </is>
      </c>
      <c r="B747" t="inlineStr">
        <is>
          <t>M1</t>
        </is>
      </c>
      <c r="C747" t="inlineStr">
        <is>
          <t>Pasto</t>
        </is>
      </c>
      <c r="D747" t="inlineStr">
        <is>
          <t>6127</t>
        </is>
      </c>
      <c r="E747" t="inlineStr">
        <is>
          <t>TDV</t>
        </is>
      </c>
      <c r="F747" s="23" t="n">
        <v>46268</v>
      </c>
      <c r="G747" t="inlineStr">
        <is>
          <t>provision</t>
        </is>
      </c>
      <c r="H747" s="26" t="n">
        <v>283615039</v>
      </c>
      <c r="I747" t="inlineStr">
        <is>
          <t>bajo</t>
        </is>
      </c>
      <c r="J747" t="inlineStr">
        <is>
          <t>RN-11 y RN-34: provision hasta el cupo operativo antes de bajar del 8 %</t>
        </is>
      </c>
      <c r="K747" t="inlineStr">
        <is>
          <t>Provision en la manana, antes del pagado: con el pronostico, sin provision el saldo bajaria del 8 % del cupo ese dia. Lleva el saldo de 127.384.961 a 411.000.000 COP (cupo 411.000.000). Equipo administrado por TDV.</t>
        </is>
      </c>
      <c r="L747" s="26" t="n">
        <v>411000000</v>
      </c>
      <c r="M747" s="26" t="n">
        <v>127384961</v>
      </c>
      <c r="N747" s="27">
        <f>IF(ISNUMBER(M747),M747/L747,"No aplica")</f>
        <v>0.30993907785888075</v>
      </c>
      <c r="O747" s="25">
        <f>IF(G747="provision",M747+H747,IF(G747="recoleccion",M747-H747,"No aplica"))</f>
        <v>411000000</v>
      </c>
      <c r="P747" s="26" t="n">
        <v>94971</v>
      </c>
    </row>
    <row r="748">
      <c r="A748" t="inlineStr">
        <is>
          <t>PRAGMA</t>
        </is>
      </c>
      <c r="B748" t="inlineStr">
        <is>
          <t>M1</t>
        </is>
      </c>
      <c r="C748" t="inlineStr">
        <is>
          <t>Pasto</t>
        </is>
      </c>
      <c r="D748" t="inlineStr">
        <is>
          <t>6127</t>
        </is>
      </c>
      <c r="E748" t="inlineStr">
        <is>
          <t>TDV</t>
        </is>
      </c>
      <c r="F748" s="23" t="n">
        <v>46271</v>
      </c>
      <c r="G748" t="inlineStr">
        <is>
          <t>provision</t>
        </is>
      </c>
      <c r="H748" s="26" t="n">
        <v>332079359</v>
      </c>
      <c r="I748" t="inlineStr">
        <is>
          <t>bajo</t>
        </is>
      </c>
      <c r="J748" t="inlineStr">
        <is>
          <t>RN-11 y RN-34: provision hasta el cupo operativo antes de bajar del 8 %</t>
        </is>
      </c>
      <c r="K748" t="inlineStr">
        <is>
          <t>Provision en la manana, antes del pagado: con el pronostico, sin provision el saldo bajaria del 8 % del cupo ese dia. Lleva el saldo de 78.920.641 a 411.000.000 COP (cupo 411.000.000). Equipo administrado por TDV.</t>
        </is>
      </c>
      <c r="L748" s="26" t="n">
        <v>411000000</v>
      </c>
      <c r="M748" s="26" t="n">
        <v>78920641</v>
      </c>
      <c r="N748" s="27">
        <f>IF(ISNUMBER(M748),M748/L748,"No aplica")</f>
        <v>0.19202102433090024</v>
      </c>
      <c r="O748" s="25">
        <f>IF(G748="provision",M748+H748,IF(G748="recoleccion",M748-H748,"No aplica"))</f>
        <v>411000000</v>
      </c>
      <c r="P748" s="26" t="n">
        <v>147174</v>
      </c>
    </row>
    <row r="749">
      <c r="A749" t="inlineStr">
        <is>
          <t>PRAGMA</t>
        </is>
      </c>
      <c r="B749" t="inlineStr">
        <is>
          <t>M1</t>
        </is>
      </c>
      <c r="C749" t="inlineStr">
        <is>
          <t>Pasto</t>
        </is>
      </c>
      <c r="D749" t="inlineStr">
        <is>
          <t>6127</t>
        </is>
      </c>
      <c r="E749" t="inlineStr">
        <is>
          <t>TDV</t>
        </is>
      </c>
      <c r="F749" s="23" t="n">
        <v>46275</v>
      </c>
      <c r="G749" t="inlineStr">
        <is>
          <t>provision</t>
        </is>
      </c>
      <c r="H749" s="26" t="n">
        <v>341692158</v>
      </c>
      <c r="I749" t="inlineStr">
        <is>
          <t>bajo</t>
        </is>
      </c>
      <c r="J749" t="inlineStr">
        <is>
          <t>RN-11 y RN-34: provision hasta el cupo operativo antes de bajar del 8 %</t>
        </is>
      </c>
      <c r="K749" t="inlineStr">
        <is>
          <t>Provision en la manana, antes del pagado: con el pronostico, sin provision el saldo bajaria del 8 % del cupo ese dia. Lleva el saldo de 69.307.842 a 411.000.000 COP (cupo 411.000.000). Equipo administrado por TDV.</t>
        </is>
      </c>
      <c r="L749" s="26" t="n">
        <v>411000000</v>
      </c>
      <c r="M749" s="26" t="n">
        <v>69307842</v>
      </c>
      <c r="N749" s="27">
        <f>IF(ISNUMBER(M749),M749/L749,"No aplica")</f>
        <v>0.16863221897810218</v>
      </c>
      <c r="O749" s="25">
        <f>IF(G749="provision",M749+H749,IF(G749="recoleccion",M749-H749,"No aplica"))</f>
        <v>411000000</v>
      </c>
      <c r="P749" s="26" t="n">
        <v>111233</v>
      </c>
    </row>
    <row r="750">
      <c r="A750" t="inlineStr">
        <is>
          <t>PRAGMA</t>
        </is>
      </c>
      <c r="B750" t="inlineStr">
        <is>
          <t>M1</t>
        </is>
      </c>
      <c r="C750" t="inlineStr">
        <is>
          <t>Pasto</t>
        </is>
      </c>
      <c r="D750" t="inlineStr">
        <is>
          <t>6127</t>
        </is>
      </c>
      <c r="E750" t="inlineStr">
        <is>
          <t>TDV</t>
        </is>
      </c>
      <c r="F750" s="23" t="n">
        <v>46280</v>
      </c>
      <c r="G750" t="inlineStr">
        <is>
          <t>provision</t>
        </is>
      </c>
      <c r="H750" s="26" t="n">
        <v>372160632</v>
      </c>
      <c r="I750" t="inlineStr">
        <is>
          <t>bajo</t>
        </is>
      </c>
      <c r="J750" t="inlineStr">
        <is>
          <t>RN-11 y RN-34: provision hasta el cupo operativo antes de bajar del 8 %</t>
        </is>
      </c>
      <c r="K750" t="inlineStr">
        <is>
          <t>Provision en la manana, antes del pagado: con el pronostico, sin provision el saldo bajaria del 8 % del cupo ese dia. Lleva el saldo de 38.839.368 a 411.000.000 COP (cupo 411.000.000). Equipo administrado por TDV.</t>
        </is>
      </c>
      <c r="L750" s="26" t="n">
        <v>411000000</v>
      </c>
      <c r="M750" s="26" t="n">
        <v>38839368</v>
      </c>
      <c r="N750" s="27">
        <f>IF(ISNUMBER(M750),M750/L750,"No aplica")</f>
        <v>0.09449967883211678</v>
      </c>
      <c r="O750" s="25">
        <f>IF(G750="provision",M750+H750,IF(G750="recoleccion",M750-H750,"No aplica"))</f>
        <v>411000000</v>
      </c>
      <c r="P750" s="26" t="n">
        <v>119764</v>
      </c>
    </row>
    <row r="751">
      <c r="A751" t="inlineStr">
        <is>
          <t>PRAGMA</t>
        </is>
      </c>
      <c r="B751" t="inlineStr">
        <is>
          <t>M1</t>
        </is>
      </c>
      <c r="C751" t="inlineStr">
        <is>
          <t>Cali</t>
        </is>
      </c>
      <c r="D751" t="inlineStr">
        <is>
          <t>6156</t>
        </is>
      </c>
      <c r="E751" t="inlineStr">
        <is>
          <t>TDV</t>
        </is>
      </c>
      <c r="F751" s="23" t="n">
        <v>46266</v>
      </c>
      <c r="G751" t="inlineStr">
        <is>
          <t>sin_accion</t>
        </is>
      </c>
      <c r="H751" s="26" t="n">
        <v>0</v>
      </c>
      <c r="I751" t="inlineStr">
        <is>
          <t>bajo</t>
        </is>
      </c>
      <c r="J751" t="inlineStr">
        <is>
          <t>RN-02: una fila sin_accion</t>
        </is>
      </c>
      <c r="K751" t="inlineStr">
        <is>
          <t>Sin accion en el horizonte: con el pronostico, el saldo se mantiene entre el umbral de agotamiento y el cupo sin necesidad de provision ni recoleccion.</t>
        </is>
      </c>
      <c r="L751" s="26" t="n">
        <v>500000000</v>
      </c>
      <c r="M751" s="26" t="inlineStr">
        <is>
          <t>No aplica</t>
        </is>
      </c>
      <c r="N751" s="27" t="str">
        <f>IF(ISNUMBER(M751),M751/L751,"No aplica")</f>
        <v>No aplica</v>
      </c>
      <c r="O751" s="25" t="str">
        <f>IF(G751="provision",M751+H751,IF(G751="recoleccion",M751-H751,"No aplica"))</f>
        <v>No aplica</v>
      </c>
      <c r="P751" s="26" t="inlineStr">
        <is>
          <t>No aplica</t>
        </is>
      </c>
    </row>
    <row r="752">
      <c r="A752" t="inlineStr">
        <is>
          <t>PRAGMA</t>
        </is>
      </c>
      <c r="B752" t="inlineStr">
        <is>
          <t>M1</t>
        </is>
      </c>
      <c r="C752" t="inlineStr">
        <is>
          <t>Cali</t>
        </is>
      </c>
      <c r="D752" t="inlineStr">
        <is>
          <t>6206</t>
        </is>
      </c>
      <c r="E752" t="inlineStr">
        <is>
          <t>TDV</t>
        </is>
      </c>
      <c r="F752" s="23" t="n">
        <v>46270</v>
      </c>
      <c r="G752" t="inlineStr">
        <is>
          <t>provision</t>
        </is>
      </c>
      <c r="H752" s="26" t="n">
        <v>365760735</v>
      </c>
      <c r="I752" t="inlineStr">
        <is>
          <t>bajo</t>
        </is>
      </c>
      <c r="J752" t="inlineStr">
        <is>
          <t>RN-11 y RN-34: provision hasta el cupo operativo antes de bajar del 8 %</t>
        </is>
      </c>
      <c r="K752" t="inlineStr">
        <is>
          <t>Provision en la manana, antes del pagado: con el pronostico, sin provision el saldo bajaria del 8 % del cupo ese dia. Lleva el saldo de 45.239.265 a 411.000.000 COP (cupo 411.000.000). Equipo administrado por TDV.</t>
        </is>
      </c>
      <c r="L752" s="26" t="n">
        <v>411000000</v>
      </c>
      <c r="M752" s="26" t="n">
        <v>45239265</v>
      </c>
      <c r="N752" s="27">
        <f>IF(ISNUMBER(M752),M752/L752,"No aplica")</f>
        <v>0.11007120437956204</v>
      </c>
      <c r="O752" s="25">
        <f>IF(G752="provision",M752+H752,IF(G752="recoleccion",M752-H752,"No aplica"))</f>
        <v>411000000</v>
      </c>
      <c r="P752" s="26" t="n">
        <v>136948</v>
      </c>
    </row>
    <row r="753">
      <c r="A753" t="inlineStr">
        <is>
          <t>PRAGMA</t>
        </is>
      </c>
      <c r="B753" t="inlineStr">
        <is>
          <t>M1</t>
        </is>
      </c>
      <c r="C753" t="inlineStr">
        <is>
          <t>Cali</t>
        </is>
      </c>
      <c r="D753" t="inlineStr">
        <is>
          <t>6206</t>
        </is>
      </c>
      <c r="E753" t="inlineStr">
        <is>
          <t>TDV</t>
        </is>
      </c>
      <c r="F753" s="23" t="n">
        <v>46275</v>
      </c>
      <c r="G753" t="inlineStr">
        <is>
          <t>provision</t>
        </is>
      </c>
      <c r="H753" s="26" t="n">
        <v>326787800</v>
      </c>
      <c r="I753" t="inlineStr">
        <is>
          <t>bajo</t>
        </is>
      </c>
      <c r="J753" t="inlineStr">
        <is>
          <t>RN-11 y RN-34: provision hasta el cupo operativo antes de bajar del 8 %</t>
        </is>
      </c>
      <c r="K753" t="inlineStr">
        <is>
          <t>Provision en la manana, antes del pagado: con el pronostico, sin provision el saldo bajaria del 8 % del cupo ese dia. Lleva el saldo de 84.212.200 a 411.000.000 COP (cupo 411.000.000). Equipo administrado por TDV.</t>
        </is>
      </c>
      <c r="L753" s="26" t="n">
        <v>411000000</v>
      </c>
      <c r="M753" s="26" t="n">
        <v>84212200</v>
      </c>
      <c r="N753" s="27">
        <f>IF(ISNUMBER(M753),M753/L753,"No aplica")</f>
        <v>0.20489586374695865</v>
      </c>
      <c r="O753" s="25">
        <f>IF(G753="provision",M753+H753,IF(G753="recoleccion",M753-H753,"No aplica"))</f>
        <v>411000000</v>
      </c>
      <c r="P753" s="26" t="n">
        <v>124243</v>
      </c>
    </row>
    <row r="754">
      <c r="A754" t="inlineStr">
        <is>
          <t>PRAGMA</t>
        </is>
      </c>
      <c r="B754" t="inlineStr">
        <is>
          <t>M1</t>
        </is>
      </c>
      <c r="C754" t="inlineStr">
        <is>
          <t>Cali</t>
        </is>
      </c>
      <c r="D754" t="inlineStr">
        <is>
          <t>6206</t>
        </is>
      </c>
      <c r="E754" t="inlineStr">
        <is>
          <t>TDV</t>
        </is>
      </c>
      <c r="F754" s="23" t="n">
        <v>46280</v>
      </c>
      <c r="G754" t="inlineStr">
        <is>
          <t>provision</t>
        </is>
      </c>
      <c r="H754" s="26" t="n">
        <v>285141246</v>
      </c>
      <c r="I754" t="inlineStr">
        <is>
          <t>bajo</t>
        </is>
      </c>
      <c r="J754" t="inlineStr">
        <is>
          <t>RN-11 y RN-34: provision hasta el cupo operativo antes de bajar del 8 %</t>
        </is>
      </c>
      <c r="K754" t="inlineStr">
        <is>
          <t>Provision en la manana, antes del pagado: con el pronostico, sin provision el saldo bajaria del 8 % del cupo ese dia. Lleva el saldo de 125.858.754 a 411.000.000 COP (cupo 411.000.000). Equipo administrado por TDV.</t>
        </is>
      </c>
      <c r="L754" s="26" t="n">
        <v>411000000</v>
      </c>
      <c r="M754" s="26" t="n">
        <v>125858754</v>
      </c>
      <c r="N754" s="27">
        <f>IF(ISNUMBER(M754),M754/L754,"No aplica")</f>
        <v>0.30622567883211677</v>
      </c>
      <c r="O754" s="25">
        <f>IF(G754="provision",M754+H754,IF(G754="recoleccion",M754-H754,"No aplica"))</f>
        <v>411000000</v>
      </c>
      <c r="P754" s="26" t="n">
        <v>110666</v>
      </c>
    </row>
    <row r="755">
      <c r="A755" t="inlineStr">
        <is>
          <t>PRAGMA</t>
        </is>
      </c>
      <c r="B755" t="inlineStr">
        <is>
          <t>M1</t>
        </is>
      </c>
      <c r="C755" t="inlineStr">
        <is>
          <t>Cali</t>
        </is>
      </c>
      <c r="D755" t="inlineStr">
        <is>
          <t>6265</t>
        </is>
      </c>
      <c r="E755" t="inlineStr">
        <is>
          <t>Sucursal</t>
        </is>
      </c>
      <c r="F755" s="23" t="n">
        <v>46268</v>
      </c>
      <c r="G755" t="inlineStr">
        <is>
          <t>provision</t>
        </is>
      </c>
      <c r="H755" s="26" t="n">
        <v>407763237</v>
      </c>
      <c r="I755" t="inlineStr">
        <is>
          <t>bajo</t>
        </is>
      </c>
      <c r="J755" t="inlineStr">
        <is>
          <t>RN-11 y RN-34: provision hasta el cupo operativo antes de bajar del 8 %</t>
        </is>
      </c>
      <c r="K755" t="inlineStr">
        <is>
          <t>Provision en la manana, antes del pagado: con el pronostico, sin provision el saldo bajaria del 8 % del cupo ese dia. Lleva el saldo de 42.236.763 a 450.000.000 COP (cupo 450.000.000). Equipo administrado por Sucursal. Sin tarifa TDV (administrado por la sucursal): costo 0 declarado.</t>
        </is>
      </c>
      <c r="L755" s="26" t="n">
        <v>450000000</v>
      </c>
      <c r="M755" s="26" t="n">
        <v>42236763</v>
      </c>
      <c r="N755" s="27">
        <f>IF(ISNUMBER(M755),M755/L755,"No aplica")</f>
        <v>0.09385947333333333</v>
      </c>
      <c r="O755" s="25">
        <f>IF(G755="provision",M755+H755,IF(G755="recoleccion",M755-H755,"No aplica"))</f>
        <v>450000000</v>
      </c>
      <c r="P755" s="26" t="n">
        <v>0</v>
      </c>
    </row>
    <row r="756">
      <c r="A756" t="inlineStr">
        <is>
          <t>PRAGMA</t>
        </is>
      </c>
      <c r="B756" t="inlineStr">
        <is>
          <t>M1</t>
        </is>
      </c>
      <c r="C756" t="inlineStr">
        <is>
          <t>Cali</t>
        </is>
      </c>
      <c r="D756" t="inlineStr">
        <is>
          <t>6265</t>
        </is>
      </c>
      <c r="E756" t="inlineStr">
        <is>
          <t>Sucursal</t>
        </is>
      </c>
      <c r="F756" s="23" t="n">
        <v>46270</v>
      </c>
      <c r="G756" t="inlineStr">
        <is>
          <t>provision</t>
        </is>
      </c>
      <c r="H756" s="26" t="n">
        <v>320060965</v>
      </c>
      <c r="I756" t="inlineStr">
        <is>
          <t>bajo</t>
        </is>
      </c>
      <c r="J756" t="inlineStr">
        <is>
          <t>RN-11 y RN-34: provision hasta el cupo operativo antes de bajar del 8 %</t>
        </is>
      </c>
      <c r="K756" t="inlineStr">
        <is>
          <t>Provision en la manana, antes del pagado: con el pronostico, sin provision el saldo bajaria del 8 % del cupo ese dia. Lleva el saldo de 129.939.035 a 450.000.000 COP (cupo 450.000.000). Equipo administrado por Sucursal. Sin tarifa TDV (administrado por la sucursal): costo 0 declarado.</t>
        </is>
      </c>
      <c r="L756" s="26" t="n">
        <v>450000000</v>
      </c>
      <c r="M756" s="26" t="n">
        <v>129939035</v>
      </c>
      <c r="N756" s="27">
        <f>IF(ISNUMBER(M756),M756/L756,"No aplica")</f>
        <v>0.28875341111111114</v>
      </c>
      <c r="O756" s="25">
        <f>IF(G756="provision",M756+H756,IF(G756="recoleccion",M756-H756,"No aplica"))</f>
        <v>450000000</v>
      </c>
      <c r="P756" s="26" t="n">
        <v>0</v>
      </c>
    </row>
    <row r="757">
      <c r="A757" t="inlineStr">
        <is>
          <t>PRAGMA</t>
        </is>
      </c>
      <c r="B757" t="inlineStr">
        <is>
          <t>M1</t>
        </is>
      </c>
      <c r="C757" t="inlineStr">
        <is>
          <t>Cali</t>
        </is>
      </c>
      <c r="D757" t="inlineStr">
        <is>
          <t>6265</t>
        </is>
      </c>
      <c r="E757" t="inlineStr">
        <is>
          <t>Sucursal</t>
        </is>
      </c>
      <c r="F757" s="23" t="n">
        <v>46273</v>
      </c>
      <c r="G757" t="inlineStr">
        <is>
          <t>provision</t>
        </is>
      </c>
      <c r="H757" s="26" t="n">
        <v>370630616</v>
      </c>
      <c r="I757" t="inlineStr">
        <is>
          <t>bajo</t>
        </is>
      </c>
      <c r="J757" t="inlineStr">
        <is>
          <t>RN-11 y RN-34: provision hasta el cupo operativo antes de bajar del 8 %</t>
        </is>
      </c>
      <c r="K757" t="inlineStr">
        <is>
          <t>Provision en la manana, antes del pagado: con el pronostico, sin provision el saldo bajaria del 8 % del cupo ese dia. Lleva el saldo de 79.369.384 a 450.000.000 COP (cupo 450.000.000). Equipo administrado por Sucursal. Sin tarifa TDV (administrado por la sucursal): costo 0 declarado.</t>
        </is>
      </c>
      <c r="L757" s="26" t="n">
        <v>450000000</v>
      </c>
      <c r="M757" s="26" t="n">
        <v>79369384</v>
      </c>
      <c r="N757" s="27">
        <f>IF(ISNUMBER(M757),M757/L757,"No aplica")</f>
        <v>0.1763764088888889</v>
      </c>
      <c r="O757" s="25">
        <f>IF(G757="provision",M757+H757,IF(G757="recoleccion",M757-H757,"No aplica"))</f>
        <v>450000000</v>
      </c>
      <c r="P757" s="26" t="n">
        <v>0</v>
      </c>
    </row>
    <row r="758">
      <c r="A758" t="inlineStr">
        <is>
          <t>PRAGMA</t>
        </is>
      </c>
      <c r="B758" t="inlineStr">
        <is>
          <t>M1</t>
        </is>
      </c>
      <c r="C758" t="inlineStr">
        <is>
          <t>Cali</t>
        </is>
      </c>
      <c r="D758" t="inlineStr">
        <is>
          <t>6265</t>
        </is>
      </c>
      <c r="E758" t="inlineStr">
        <is>
          <t>Sucursal</t>
        </is>
      </c>
      <c r="F758" s="23" t="n">
        <v>46276</v>
      </c>
      <c r="G758" t="inlineStr">
        <is>
          <t>provision</t>
        </is>
      </c>
      <c r="H758" s="26" t="n">
        <v>330666477</v>
      </c>
      <c r="I758" t="inlineStr">
        <is>
          <t>bajo</t>
        </is>
      </c>
      <c r="J758" t="inlineStr">
        <is>
          <t>RN-11 y RN-34: provision hasta el cupo operativo antes de bajar del 8 %</t>
        </is>
      </c>
      <c r="K758" t="inlineStr">
        <is>
          <t>Provision en la manana, antes del pagado: con el pronostico, sin provision el saldo bajaria del 8 % del cupo ese dia. Lleva el saldo de 119.333.523 a 450.000.000 COP (cupo 450.000.000). Equipo administrado por Sucursal. Sin tarifa TDV (administrado por la sucursal): costo 0 declarado.</t>
        </is>
      </c>
      <c r="L758" s="26" t="n">
        <v>450000000</v>
      </c>
      <c r="M758" s="26" t="n">
        <v>119333523</v>
      </c>
      <c r="N758" s="27">
        <f>IF(ISNUMBER(M758),M758/L758,"No aplica")</f>
        <v>0.2651856066666667</v>
      </c>
      <c r="O758" s="25">
        <f>IF(G758="provision",M758+H758,IF(G758="recoleccion",M758-H758,"No aplica"))</f>
        <v>450000000</v>
      </c>
      <c r="P758" s="26" t="n">
        <v>0</v>
      </c>
    </row>
    <row r="759">
      <c r="A759" t="inlineStr">
        <is>
          <t>PRAGMA</t>
        </is>
      </c>
      <c r="B759" t="inlineStr">
        <is>
          <t>M1</t>
        </is>
      </c>
      <c r="C759" t="inlineStr">
        <is>
          <t>Cali</t>
        </is>
      </c>
      <c r="D759" t="inlineStr">
        <is>
          <t>6265</t>
        </is>
      </c>
      <c r="E759" t="inlineStr">
        <is>
          <t>Sucursal</t>
        </is>
      </c>
      <c r="F759" s="23" t="n">
        <v>46279</v>
      </c>
      <c r="G759" t="inlineStr">
        <is>
          <t>provision</t>
        </is>
      </c>
      <c r="H759" s="26" t="n">
        <v>312291464</v>
      </c>
      <c r="I759" t="inlineStr">
        <is>
          <t>bajo</t>
        </is>
      </c>
      <c r="J759" t="inlineStr">
        <is>
          <t>RN-11 y RN-34: provision hasta el cupo operativo antes de bajar del 8 %</t>
        </is>
      </c>
      <c r="K759" t="inlineStr">
        <is>
          <t>Provision en la manana, antes del pagado: con el pronostico, sin provision el saldo bajaria del 8 % del cupo ese dia. Lleva el saldo de 137.708.536 a 450.000.000 COP (cupo 450.000.000). Equipo administrado por Sucursal. Sin tarifa TDV (administrado por la sucursal): costo 0 declarado.</t>
        </is>
      </c>
      <c r="L759" s="26" t="n">
        <v>450000000</v>
      </c>
      <c r="M759" s="26" t="n">
        <v>137708536</v>
      </c>
      <c r="N759" s="27">
        <f>IF(ISNUMBER(M759),M759/L759,"No aplica")</f>
        <v>0.3060189688888889</v>
      </c>
      <c r="O759" s="25">
        <f>IF(G759="provision",M759+H759,IF(G759="recoleccion",M759-H759,"No aplica"))</f>
        <v>450000000</v>
      </c>
      <c r="P759" s="26" t="n">
        <v>0</v>
      </c>
    </row>
    <row r="760">
      <c r="A760" t="inlineStr">
        <is>
          <t>PRAGMA</t>
        </is>
      </c>
      <c r="B760" t="inlineStr">
        <is>
          <t>M1</t>
        </is>
      </c>
      <c r="C760" t="inlineStr">
        <is>
          <t>Cali</t>
        </is>
      </c>
      <c r="D760" t="inlineStr">
        <is>
          <t>6285</t>
        </is>
      </c>
      <c r="E760" t="inlineStr">
        <is>
          <t>TDV</t>
        </is>
      </c>
      <c r="F760" s="23" t="n">
        <v>46270</v>
      </c>
      <c r="G760" t="inlineStr">
        <is>
          <t>provision</t>
        </is>
      </c>
      <c r="H760" s="26" t="n">
        <v>342023406</v>
      </c>
      <c r="I760" t="inlineStr">
        <is>
          <t>bajo</t>
        </is>
      </c>
      <c r="J760" t="inlineStr">
        <is>
          <t>RN-11 y RN-34: provision hasta el cupo operativo antes de bajar del 8 %</t>
        </is>
      </c>
      <c r="K760" t="inlineStr">
        <is>
          <t>Provision en la manana, antes del pagado: con el pronostico, sin provision el saldo bajaria del 8 % del cupo ese dia. Lleva el saldo de 68.976.594 a 411.000.000 COP (cupo 411.000.000). Equipo administrado por TDV.</t>
        </is>
      </c>
      <c r="L760" s="26" t="n">
        <v>411000000</v>
      </c>
      <c r="M760" s="26" t="n">
        <v>68976594</v>
      </c>
      <c r="N760" s="27">
        <f>IF(ISNUMBER(M760),M760/L760,"No aplica")</f>
        <v>0.16782626277372262</v>
      </c>
      <c r="O760" s="25">
        <f>IF(G760="provision",M760+H760,IF(G760="recoleccion",M760-H760,"No aplica"))</f>
        <v>411000000</v>
      </c>
      <c r="P760" s="26" t="n">
        <v>169954</v>
      </c>
    </row>
    <row r="761">
      <c r="A761" t="inlineStr">
        <is>
          <t>PRAGMA</t>
        </is>
      </c>
      <c r="B761" t="inlineStr">
        <is>
          <t>M1</t>
        </is>
      </c>
      <c r="C761" t="inlineStr">
        <is>
          <t>Cali</t>
        </is>
      </c>
      <c r="D761" t="inlineStr">
        <is>
          <t>6285</t>
        </is>
      </c>
      <c r="E761" t="inlineStr">
        <is>
          <t>TDV</t>
        </is>
      </c>
      <c r="F761" s="23" t="n">
        <v>46276</v>
      </c>
      <c r="G761" t="inlineStr">
        <is>
          <t>provision</t>
        </is>
      </c>
      <c r="H761" s="26" t="n">
        <v>356721916</v>
      </c>
      <c r="I761" t="inlineStr">
        <is>
          <t>bajo</t>
        </is>
      </c>
      <c r="J761" t="inlineStr">
        <is>
          <t>RN-11 y RN-34: provision hasta el cupo operativo antes de bajar del 8 %</t>
        </is>
      </c>
      <c r="K761" t="inlineStr">
        <is>
          <t>Provision en la manana, antes del pagado: con el pronostico, sin provision el saldo bajaria del 8 % del cupo ese dia. Lleva el saldo de 54.278.084 a 411.000.000 COP (cupo 411.000.000). Equipo administrado por TDV.</t>
        </is>
      </c>
      <c r="L761" s="26" t="n">
        <v>411000000</v>
      </c>
      <c r="M761" s="26" t="n">
        <v>54278084</v>
      </c>
      <c r="N761" s="27">
        <f>IF(ISNUMBER(M761),M761/L761,"No aplica")</f>
        <v>0.13206346472019465</v>
      </c>
      <c r="O761" s="25">
        <f>IF(G761="provision",M761+H761,IF(G761="recoleccion",M761-H761,"No aplica"))</f>
        <v>411000000</v>
      </c>
      <c r="P761" s="26" t="n">
        <v>176451</v>
      </c>
    </row>
    <row r="762">
      <c r="A762" t="inlineStr">
        <is>
          <t>PRAGMA</t>
        </is>
      </c>
      <c r="B762" t="inlineStr">
        <is>
          <t>M1</t>
        </is>
      </c>
      <c r="C762" t="inlineStr">
        <is>
          <t>Cali</t>
        </is>
      </c>
      <c r="D762" t="inlineStr">
        <is>
          <t>6290</t>
        </is>
      </c>
      <c r="E762" t="inlineStr">
        <is>
          <t>TDV</t>
        </is>
      </c>
      <c r="F762" s="23" t="n">
        <v>46268</v>
      </c>
      <c r="G762" t="inlineStr">
        <is>
          <t>provision</t>
        </is>
      </c>
      <c r="H762" s="26" t="n">
        <v>315408788</v>
      </c>
      <c r="I762" t="inlineStr">
        <is>
          <t>bajo</t>
        </is>
      </c>
      <c r="J762" t="inlineStr">
        <is>
          <t>RN-11 y RN-34: provision hasta el cupo operativo antes de bajar del 8 %</t>
        </is>
      </c>
      <c r="K762" t="inlineStr">
        <is>
          <t>Provision en la manana, antes del pagado: con el pronostico, sin provision el saldo bajaria del 8 % del cupo ese dia. Lleva el saldo de 95.591.212 a 411.000.000 COP (cupo 411.000.000). Equipo administrado por TDV.</t>
        </is>
      </c>
      <c r="L762" s="26" t="n">
        <v>411000000</v>
      </c>
      <c r="M762" s="26" t="n">
        <v>95591212</v>
      </c>
      <c r="N762" s="27">
        <f>IF(ISNUMBER(M762),M762/L762,"No aplica")</f>
        <v>0.23258202433090025</v>
      </c>
      <c r="O762" s="25">
        <f>IF(G762="provision",M762+H762,IF(G762="recoleccion",M762-H762,"No aplica"))</f>
        <v>411000000</v>
      </c>
      <c r="P762" s="26" t="n">
        <v>158191</v>
      </c>
    </row>
    <row r="763">
      <c r="A763" t="inlineStr">
        <is>
          <t>PRAGMA</t>
        </is>
      </c>
      <c r="B763" t="inlineStr">
        <is>
          <t>M1</t>
        </is>
      </c>
      <c r="C763" t="inlineStr">
        <is>
          <t>Cali</t>
        </is>
      </c>
      <c r="D763" t="inlineStr">
        <is>
          <t>6290</t>
        </is>
      </c>
      <c r="E763" t="inlineStr">
        <is>
          <t>TDV</t>
        </is>
      </c>
      <c r="F763" s="23" t="n">
        <v>46271</v>
      </c>
      <c r="G763" t="inlineStr">
        <is>
          <t>provision</t>
        </is>
      </c>
      <c r="H763" s="26" t="n">
        <v>373737664</v>
      </c>
      <c r="I763" t="inlineStr">
        <is>
          <t>bajo</t>
        </is>
      </c>
      <c r="J763" t="inlineStr">
        <is>
          <t>RN-11 y RN-34: provision hasta el cupo operativo antes de bajar del 8 %</t>
        </is>
      </c>
      <c r="K763" t="inlineStr">
        <is>
          <t>Provision en la manana, antes del pagado: con el pronostico, sin provision el saldo bajaria del 8 % del cupo ese dia. Lleva el saldo de 37.262.336 a 411.000.000 COP (cupo 411.000.000). Equipo administrado por TDV.</t>
        </is>
      </c>
      <c r="L763" s="26" t="n">
        <v>411000000</v>
      </c>
      <c r="M763" s="26" t="n">
        <v>37262336</v>
      </c>
      <c r="N763" s="27">
        <f>IF(ISNUMBER(M763),M763/L763,"No aplica")</f>
        <v>0.09066261800486618</v>
      </c>
      <c r="O763" s="25">
        <f>IF(G763="provision",M763+H763,IF(G763="recoleccion",M763-H763,"No aplica"))</f>
        <v>411000000</v>
      </c>
      <c r="P763" s="26" t="n">
        <v>243312</v>
      </c>
    </row>
    <row r="764">
      <c r="A764" t="inlineStr">
        <is>
          <t>PRAGMA</t>
        </is>
      </c>
      <c r="B764" t="inlineStr">
        <is>
          <t>M1</t>
        </is>
      </c>
      <c r="C764" t="inlineStr">
        <is>
          <t>Cali</t>
        </is>
      </c>
      <c r="D764" t="inlineStr">
        <is>
          <t>6290</t>
        </is>
      </c>
      <c r="E764" t="inlineStr">
        <is>
          <t>TDV</t>
        </is>
      </c>
      <c r="F764" s="23" t="n">
        <v>46275</v>
      </c>
      <c r="G764" t="inlineStr">
        <is>
          <t>provision</t>
        </is>
      </c>
      <c r="H764" s="26" t="n">
        <v>320654110</v>
      </c>
      <c r="I764" t="inlineStr">
        <is>
          <t>bajo</t>
        </is>
      </c>
      <c r="J764" t="inlineStr">
        <is>
          <t>RN-11 y RN-34: provision hasta el cupo operativo antes de bajar del 8 %</t>
        </is>
      </c>
      <c r="K764" t="inlineStr">
        <is>
          <t>Provision en la manana, antes del pagado: con el pronostico, sin provision el saldo bajaria del 8 % del cupo ese dia. Lleva el saldo de 90.345.890 a 411.000.000 COP (cupo 411.000.000). Equipo administrado por TDV.</t>
        </is>
      </c>
      <c r="L764" s="26" t="n">
        <v>411000000</v>
      </c>
      <c r="M764" s="26" t="n">
        <v>90345890</v>
      </c>
      <c r="N764" s="27">
        <f>IF(ISNUMBER(M764),M764/L764,"No aplica")</f>
        <v>0.21981968369829682</v>
      </c>
      <c r="O764" s="25">
        <f>IF(G764="provision",M764+H764,IF(G764="recoleccion",M764-H764,"No aplica"))</f>
        <v>411000000</v>
      </c>
      <c r="P764" s="26" t="n">
        <v>160509</v>
      </c>
    </row>
    <row r="765">
      <c r="A765" t="inlineStr">
        <is>
          <t>PRAGMA</t>
        </is>
      </c>
      <c r="B765" t="inlineStr">
        <is>
          <t>M1</t>
        </is>
      </c>
      <c r="C765" t="inlineStr">
        <is>
          <t>Cali</t>
        </is>
      </c>
      <c r="D765" t="inlineStr">
        <is>
          <t>6290</t>
        </is>
      </c>
      <c r="E765" t="inlineStr">
        <is>
          <t>TDV</t>
        </is>
      </c>
      <c r="F765" s="23" t="n">
        <v>46279</v>
      </c>
      <c r="G765" t="inlineStr">
        <is>
          <t>provision</t>
        </is>
      </c>
      <c r="H765" s="26" t="n">
        <v>345190357</v>
      </c>
      <c r="I765" t="inlineStr">
        <is>
          <t>bajo</t>
        </is>
      </c>
      <c r="J765" t="inlineStr">
        <is>
          <t>RN-11 y RN-34: provision hasta el cupo operativo antes de bajar del 8 %</t>
        </is>
      </c>
      <c r="K765" t="inlineStr">
        <is>
          <t>Provision en la manana, antes del pagado: con el pronostico, sin provision el saldo bajaria del 8 % del cupo ese dia. Lleva el saldo de 65.809.643 a 411.000.000 COP (cupo 411.000.000). Equipo administrado por TDV.</t>
        </is>
      </c>
      <c r="L765" s="26" t="n">
        <v>411000000</v>
      </c>
      <c r="M765" s="26" t="n">
        <v>65809643</v>
      </c>
      <c r="N765" s="27">
        <f>IF(ISNUMBER(M765),M765/L765,"No aplica")</f>
        <v>0.16012078588807785</v>
      </c>
      <c r="O765" s="25">
        <f>IF(G765="provision",M765+H765,IF(G765="recoleccion",M765-H765,"No aplica"))</f>
        <v>411000000</v>
      </c>
      <c r="P765" s="26" t="n">
        <v>171354</v>
      </c>
    </row>
    <row r="766">
      <c r="A766" t="inlineStr">
        <is>
          <t>PRAGMA</t>
        </is>
      </c>
      <c r="B766" t="inlineStr">
        <is>
          <t>M1</t>
        </is>
      </c>
      <c r="C766" t="inlineStr">
        <is>
          <t>Cali</t>
        </is>
      </c>
      <c r="D766" t="inlineStr">
        <is>
          <t>6303</t>
        </is>
      </c>
      <c r="E766" t="inlineStr">
        <is>
          <t>TDV</t>
        </is>
      </c>
      <c r="F766" s="23" t="n">
        <v>46269</v>
      </c>
      <c r="G766" t="inlineStr">
        <is>
          <t>provision</t>
        </is>
      </c>
      <c r="H766" s="26" t="n">
        <v>361572589</v>
      </c>
      <c r="I766" t="inlineStr">
        <is>
          <t>bajo</t>
        </is>
      </c>
      <c r="J766" t="inlineStr">
        <is>
          <t>RN-11 y RN-34: provision hasta el cupo operativo antes de bajar del 8 %</t>
        </is>
      </c>
      <c r="K766" t="inlineStr">
        <is>
          <t>Provision en la manana, antes del pagado: con el pronostico, sin provision el saldo bajaria del 8 % del cupo ese dia. Lleva el saldo de 49.427.411 a 411.000.000 COP (cupo 411.000.000). Equipo administrado por TDV.</t>
        </is>
      </c>
      <c r="L766" s="26" t="n">
        <v>411000000</v>
      </c>
      <c r="M766" s="26" t="n">
        <v>49427411</v>
      </c>
      <c r="N766" s="27">
        <f>IF(ISNUMBER(M766),M766/L766,"No aplica")</f>
        <v>0.12026134063260341</v>
      </c>
      <c r="O766" s="25">
        <f>IF(G766="provision",M766+H766,IF(G766="recoleccion",M766-H766,"No aplica"))</f>
        <v>411000000</v>
      </c>
      <c r="P766" s="26" t="n">
        <v>182378</v>
      </c>
    </row>
    <row r="767">
      <c r="A767" t="inlineStr">
        <is>
          <t>PRAGMA</t>
        </is>
      </c>
      <c r="B767" t="inlineStr">
        <is>
          <t>M1</t>
        </is>
      </c>
      <c r="C767" t="inlineStr">
        <is>
          <t>Cali</t>
        </is>
      </c>
      <c r="D767" t="inlineStr">
        <is>
          <t>6303</t>
        </is>
      </c>
      <c r="E767" t="inlineStr">
        <is>
          <t>TDV</t>
        </is>
      </c>
      <c r="F767" s="23" t="n">
        <v>46273</v>
      </c>
      <c r="G767" t="inlineStr">
        <is>
          <t>provision</t>
        </is>
      </c>
      <c r="H767" s="26" t="n">
        <v>351211866</v>
      </c>
      <c r="I767" t="inlineStr">
        <is>
          <t>bajo</t>
        </is>
      </c>
      <c r="J767" t="inlineStr">
        <is>
          <t>RN-11 y RN-34: provision hasta el cupo operativo antes de bajar del 8 %</t>
        </is>
      </c>
      <c r="K767" t="inlineStr">
        <is>
          <t>Provision en la manana, antes del pagado: con el pronostico, sin provision el saldo bajaria del 8 % del cupo ese dia. Lleva el saldo de 59.788.134 a 411.000.000 COP (cupo 411.000.000). Equipo administrado por TDV.</t>
        </is>
      </c>
      <c r="L767" s="26" t="n">
        <v>411000000</v>
      </c>
      <c r="M767" s="26" t="n">
        <v>59788134</v>
      </c>
      <c r="N767" s="27">
        <f>IF(ISNUMBER(M767),M767/L767,"No aplica")</f>
        <v>0.14546991240875912</v>
      </c>
      <c r="O767" s="25">
        <f>IF(G767="provision",M767+H767,IF(G767="recoleccion",M767-H767,"No aplica"))</f>
        <v>411000000</v>
      </c>
      <c r="P767" s="26" t="n">
        <v>177695</v>
      </c>
    </row>
    <row r="768">
      <c r="A768" t="inlineStr">
        <is>
          <t>PRAGMA</t>
        </is>
      </c>
      <c r="B768" t="inlineStr">
        <is>
          <t>M1</t>
        </is>
      </c>
      <c r="C768" t="inlineStr">
        <is>
          <t>Cali</t>
        </is>
      </c>
      <c r="D768" t="inlineStr">
        <is>
          <t>6303</t>
        </is>
      </c>
      <c r="E768" t="inlineStr">
        <is>
          <t>TDV</t>
        </is>
      </c>
      <c r="F768" s="23" t="n">
        <v>46278</v>
      </c>
      <c r="G768" t="inlineStr">
        <is>
          <t>provision</t>
        </is>
      </c>
      <c r="H768" s="26" t="n">
        <v>352627829</v>
      </c>
      <c r="I768" t="inlineStr">
        <is>
          <t>bajo</t>
        </is>
      </c>
      <c r="J768" t="inlineStr">
        <is>
          <t>RN-11 y RN-34: provision hasta el cupo operativo antes de bajar del 8 %</t>
        </is>
      </c>
      <c r="K768" t="inlineStr">
        <is>
          <t>Provision en la manana, antes del pagado: con el pronostico, sin provision el saldo bajaria del 8 % del cupo ese dia. Lleva el saldo de 58.372.171 a 411.000.000 COP (cupo 411.000.000). Equipo administrado por TDV.</t>
        </is>
      </c>
      <c r="L768" s="26" t="n">
        <v>411000000</v>
      </c>
      <c r="M768" s="26" t="n">
        <v>58372171</v>
      </c>
      <c r="N768" s="27">
        <f>IF(ISNUMBER(M768),M768/L768,"No aplica")</f>
        <v>0.14202474695863748</v>
      </c>
      <c r="O768" s="25">
        <f>IF(G768="provision",M768+H768,IF(G768="recoleccion",M768-H768,"No aplica"))</f>
        <v>411000000</v>
      </c>
      <c r="P768" s="26" t="n">
        <v>244152</v>
      </c>
    </row>
    <row r="769">
      <c r="A769" t="inlineStr">
        <is>
          <t>PRAGMA</t>
        </is>
      </c>
      <c r="B769" t="inlineStr">
        <is>
          <t>M1</t>
        </is>
      </c>
      <c r="C769" t="inlineStr">
        <is>
          <t>Pasto</t>
        </is>
      </c>
      <c r="D769" t="inlineStr">
        <is>
          <t>6363</t>
        </is>
      </c>
      <c r="E769" t="inlineStr">
        <is>
          <t>TDV</t>
        </is>
      </c>
      <c r="F769" s="23" t="n">
        <v>46268</v>
      </c>
      <c r="G769" t="inlineStr">
        <is>
          <t>provision</t>
        </is>
      </c>
      <c r="H769" s="26" t="n">
        <v>370623291</v>
      </c>
      <c r="I769" t="inlineStr">
        <is>
          <t>bajo</t>
        </is>
      </c>
      <c r="J769" t="inlineStr">
        <is>
          <t>RN-11 y RN-34: provision hasta el cupo operativo antes de bajar del 8 %</t>
        </is>
      </c>
      <c r="K769" t="inlineStr">
        <is>
          <t>Provision en la manana, antes del pagado: con el pronostico, sin provision el saldo bajaria del 8 % del cupo ese dia. Lleva el saldo de 40.376.709 a 411.000.000 COP (cupo 411.000.000). Equipo administrado por TDV.</t>
        </is>
      </c>
      <c r="L769" s="26" t="n">
        <v>411000000</v>
      </c>
      <c r="M769" s="26" t="n">
        <v>40376709</v>
      </c>
      <c r="N769" s="27">
        <f>IF(ISNUMBER(M769),M769/L769,"No aplica")</f>
        <v>0.09824016788321167</v>
      </c>
      <c r="O769" s="25">
        <f>IF(G769="provision",M769+H769,IF(G769="recoleccion",M769-H769,"No aplica"))</f>
        <v>411000000</v>
      </c>
      <c r="P769" s="26" t="n">
        <v>119334</v>
      </c>
    </row>
    <row r="770">
      <c r="A770" t="inlineStr">
        <is>
          <t>PRAGMA</t>
        </is>
      </c>
      <c r="B770" t="inlineStr">
        <is>
          <t>M1</t>
        </is>
      </c>
      <c r="C770" t="inlineStr">
        <is>
          <t>Pasto</t>
        </is>
      </c>
      <c r="D770" t="inlineStr">
        <is>
          <t>6363</t>
        </is>
      </c>
      <c r="E770" t="inlineStr">
        <is>
          <t>TDV</t>
        </is>
      </c>
      <c r="F770" s="23" t="n">
        <v>46270</v>
      </c>
      <c r="G770" t="inlineStr">
        <is>
          <t>provision</t>
        </is>
      </c>
      <c r="H770" s="26" t="n">
        <v>324013470</v>
      </c>
      <c r="I770" t="inlineStr">
        <is>
          <t>bajo</t>
        </is>
      </c>
      <c r="J770" t="inlineStr">
        <is>
          <t>RN-11 y RN-34: provision hasta el cupo operativo antes de bajar del 8 %</t>
        </is>
      </c>
      <c r="K770" t="inlineStr">
        <is>
          <t>Provision en la manana, antes del pagado: con el pronostico, sin provision el saldo bajaria del 8 % del cupo ese dia. Lleva el saldo de 86.986.530 a 411.000.000 COP (cupo 411.000.000). Equipo administrado por TDV.</t>
        </is>
      </c>
      <c r="L770" s="26" t="n">
        <v>411000000</v>
      </c>
      <c r="M770" s="26" t="n">
        <v>86986530</v>
      </c>
      <c r="N770" s="27">
        <f>IF(ISNUMBER(M770),M770/L770,"No aplica")</f>
        <v>0.2116460583941606</v>
      </c>
      <c r="O770" s="25">
        <f>IF(G770="provision",M770+H770,IF(G770="recoleccion",M770-H770,"No aplica"))</f>
        <v>411000000</v>
      </c>
      <c r="P770" s="26" t="n">
        <v>106283</v>
      </c>
    </row>
    <row r="771">
      <c r="A771" t="inlineStr">
        <is>
          <t>PRAGMA</t>
        </is>
      </c>
      <c r="B771" t="inlineStr">
        <is>
          <t>M1</t>
        </is>
      </c>
      <c r="C771" t="inlineStr">
        <is>
          <t>Pasto</t>
        </is>
      </c>
      <c r="D771" t="inlineStr">
        <is>
          <t>6363</t>
        </is>
      </c>
      <c r="E771" t="inlineStr">
        <is>
          <t>TDV</t>
        </is>
      </c>
      <c r="F771" s="23" t="n">
        <v>46273</v>
      </c>
      <c r="G771" t="inlineStr">
        <is>
          <t>provision</t>
        </is>
      </c>
      <c r="H771" s="26" t="n">
        <v>326293509</v>
      </c>
      <c r="I771" t="inlineStr">
        <is>
          <t>bajo</t>
        </is>
      </c>
      <c r="J771" t="inlineStr">
        <is>
          <t>RN-11 y RN-34: provision hasta el cupo operativo antes de bajar del 8 %</t>
        </is>
      </c>
      <c r="K771" t="inlineStr">
        <is>
          <t>Provision en la manana, antes del pagado: con el pronostico, sin provision el saldo bajaria del 8 % del cupo ese dia. Lleva el saldo de 84.706.491 a 411.000.000 COP (cupo 411.000.000). Equipo administrado por TDV.</t>
        </is>
      </c>
      <c r="L771" s="26" t="n">
        <v>411000000</v>
      </c>
      <c r="M771" s="26" t="n">
        <v>84706491</v>
      </c>
      <c r="N771" s="27">
        <f>IF(ISNUMBER(M771),M771/L771,"No aplica")</f>
        <v>0.20609851824817518</v>
      </c>
      <c r="O771" s="25">
        <f>IF(G771="provision",M771+H771,IF(G771="recoleccion",M771-H771,"No aplica"))</f>
        <v>411000000</v>
      </c>
      <c r="P771" s="26" t="n">
        <v>106921</v>
      </c>
    </row>
    <row r="772">
      <c r="A772" t="inlineStr">
        <is>
          <t>PRAGMA</t>
        </is>
      </c>
      <c r="B772" t="inlineStr">
        <is>
          <t>M1</t>
        </is>
      </c>
      <c r="C772" t="inlineStr">
        <is>
          <t>Pasto</t>
        </is>
      </c>
      <c r="D772" t="inlineStr">
        <is>
          <t>6363</t>
        </is>
      </c>
      <c r="E772" t="inlineStr">
        <is>
          <t>TDV</t>
        </is>
      </c>
      <c r="F772" s="23" t="n">
        <v>46275</v>
      </c>
      <c r="G772" t="inlineStr">
        <is>
          <t>provision</t>
        </is>
      </c>
      <c r="H772" s="26" t="n">
        <v>275868522</v>
      </c>
      <c r="I772" t="inlineStr">
        <is>
          <t>bajo</t>
        </is>
      </c>
      <c r="J772" t="inlineStr">
        <is>
          <t>RN-11 y RN-34: provision hasta el cupo operativo antes de bajar del 8 %</t>
        </is>
      </c>
      <c r="K772" t="inlineStr">
        <is>
          <t>Provision en la manana, antes del pagado: con el pronostico, sin provision el saldo bajaria del 8 % del cupo ese dia. Lleva el saldo de 135.131.478 a 411.000.000 COP (cupo 411.000.000). Equipo administrado por TDV.</t>
        </is>
      </c>
      <c r="L772" s="26" t="n">
        <v>411000000</v>
      </c>
      <c r="M772" s="26" t="n">
        <v>135131478</v>
      </c>
      <c r="N772" s="27">
        <f>IF(ISNUMBER(M772),M772/L772,"No aplica")</f>
        <v>0.32878705109489054</v>
      </c>
      <c r="O772" s="25">
        <f>IF(G772="provision",M772+H772,IF(G772="recoleccion",M772-H772,"No aplica"))</f>
        <v>411000000</v>
      </c>
      <c r="P772" s="26" t="n">
        <v>92802</v>
      </c>
    </row>
    <row r="773">
      <c r="A773" t="inlineStr">
        <is>
          <t>PRAGMA</t>
        </is>
      </c>
      <c r="B773" t="inlineStr">
        <is>
          <t>M1</t>
        </is>
      </c>
      <c r="C773" t="inlineStr">
        <is>
          <t>Pasto</t>
        </is>
      </c>
      <c r="D773" t="inlineStr">
        <is>
          <t>6363</t>
        </is>
      </c>
      <c r="E773" t="inlineStr">
        <is>
          <t>TDV</t>
        </is>
      </c>
      <c r="F773" s="23" t="n">
        <v>46278</v>
      </c>
      <c r="G773" t="inlineStr">
        <is>
          <t>provision</t>
        </is>
      </c>
      <c r="H773" s="26" t="n">
        <v>349074077</v>
      </c>
      <c r="I773" t="inlineStr">
        <is>
          <t>bajo</t>
        </is>
      </c>
      <c r="J773" t="inlineStr">
        <is>
          <t>RN-11 y RN-34: provision hasta el cupo operativo antes de bajar del 8 %</t>
        </is>
      </c>
      <c r="K773" t="inlineStr">
        <is>
          <t>Provision en la manana, antes del pagado: con el pronostico, sin provision el saldo bajaria del 8 % del cupo ese dia. Lleva el saldo de 61.925.923 a 411.000.000 COP (cupo 411.000.000). Equipo administrado por TDV.</t>
        </is>
      </c>
      <c r="L773" s="26" t="n">
        <v>411000000</v>
      </c>
      <c r="M773" s="26" t="n">
        <v>61925923</v>
      </c>
      <c r="N773" s="27">
        <f>IF(ISNUMBER(M773),M773/L773,"No aplica")</f>
        <v>0.15067134549878344</v>
      </c>
      <c r="O773" s="25">
        <f>IF(G773="provision",M773+H773,IF(G773="recoleccion",M773-H773,"No aplica"))</f>
        <v>411000000</v>
      </c>
      <c r="P773" s="26" t="n">
        <v>153615</v>
      </c>
    </row>
    <row r="774">
      <c r="A774" t="inlineStr">
        <is>
          <t>PRAGMA</t>
        </is>
      </c>
      <c r="B774" t="inlineStr">
        <is>
          <t>M1</t>
        </is>
      </c>
      <c r="C774" t="inlineStr">
        <is>
          <t>Pasto</t>
        </is>
      </c>
      <c r="D774" t="inlineStr">
        <is>
          <t>6364</t>
        </is>
      </c>
      <c r="E774" t="inlineStr">
        <is>
          <t>TDV</t>
        </is>
      </c>
      <c r="F774" s="23" t="n">
        <v>46267</v>
      </c>
      <c r="G774" t="inlineStr">
        <is>
          <t>provision</t>
        </is>
      </c>
      <c r="H774" s="26" t="n">
        <v>225327170</v>
      </c>
      <c r="I774" t="inlineStr">
        <is>
          <t>bajo</t>
        </is>
      </c>
      <c r="J774" t="inlineStr">
        <is>
          <t>RN-11 y RN-34: provision hasta el cupo operativo antes de bajar del 8 %</t>
        </is>
      </c>
      <c r="K774" t="inlineStr">
        <is>
          <t>Provision en la manana, antes del pagado: con el pronostico, sin provision el saldo bajaria del 8 % del cupo ese dia. Lleva el saldo de 185.672.830 a 411.000.000 COP (cupo 411.000.000). Equipo administrado por TDV.</t>
        </is>
      </c>
      <c r="L774" s="26" t="n">
        <v>411000000</v>
      </c>
      <c r="M774" s="26" t="n">
        <v>185672830</v>
      </c>
      <c r="N774" s="27">
        <f>IF(ISNUMBER(M774),M774/L774,"No aplica")</f>
        <v>0.4517587104622871</v>
      </c>
      <c r="O774" s="25">
        <f>IF(G774="provision",M774+H774,IF(G774="recoleccion",M774-H774,"No aplica"))</f>
        <v>411000000</v>
      </c>
      <c r="P774" s="26" t="n">
        <v>78651</v>
      </c>
    </row>
    <row r="775">
      <c r="A775" t="inlineStr">
        <is>
          <t>PRAGMA</t>
        </is>
      </c>
      <c r="B775" t="inlineStr">
        <is>
          <t>M1</t>
        </is>
      </c>
      <c r="C775" t="inlineStr">
        <is>
          <t>Pasto</t>
        </is>
      </c>
      <c r="D775" t="inlineStr">
        <is>
          <t>6364</t>
        </is>
      </c>
      <c r="E775" t="inlineStr">
        <is>
          <t>TDV</t>
        </is>
      </c>
      <c r="F775" s="23" t="n">
        <v>46269</v>
      </c>
      <c r="G775" t="inlineStr">
        <is>
          <t>provision</t>
        </is>
      </c>
      <c r="H775" s="26" t="n">
        <v>360207615</v>
      </c>
      <c r="I775" t="inlineStr">
        <is>
          <t>bajo</t>
        </is>
      </c>
      <c r="J775" t="inlineStr">
        <is>
          <t>RN-11 y RN-34: provision hasta el cupo operativo antes de bajar del 8 %</t>
        </is>
      </c>
      <c r="K775" t="inlineStr">
        <is>
          <t>Provision en la manana, antes del pagado: con el pronostico, sin provision el saldo bajaria del 8 % del cupo ese dia. Lleva el saldo de 50.792.385 a 411.000.000 COP (cupo 411.000.000). Equipo administrado por TDV.</t>
        </is>
      </c>
      <c r="L775" s="26" t="n">
        <v>411000000</v>
      </c>
      <c r="M775" s="26" t="n">
        <v>50792385</v>
      </c>
      <c r="N775" s="27">
        <f>IF(ISNUMBER(M775),M775/L775,"No aplica")</f>
        <v>0.12358244525547445</v>
      </c>
      <c r="O775" s="25">
        <f>IF(G775="provision",M775+H775,IF(G775="recoleccion",M775-H775,"No aplica"))</f>
        <v>411000000</v>
      </c>
      <c r="P775" s="26" t="n">
        <v>116417</v>
      </c>
    </row>
    <row r="776">
      <c r="A776" t="inlineStr">
        <is>
          <t>PRAGMA</t>
        </is>
      </c>
      <c r="B776" t="inlineStr">
        <is>
          <t>M1</t>
        </is>
      </c>
      <c r="C776" t="inlineStr">
        <is>
          <t>Pasto</t>
        </is>
      </c>
      <c r="D776" t="inlineStr">
        <is>
          <t>6364</t>
        </is>
      </c>
      <c r="E776" t="inlineStr">
        <is>
          <t>TDV</t>
        </is>
      </c>
      <c r="F776" s="23" t="n">
        <v>46271</v>
      </c>
      <c r="G776" t="inlineStr">
        <is>
          <t>provision</t>
        </is>
      </c>
      <c r="H776" s="26" t="n">
        <v>327943086</v>
      </c>
      <c r="I776" t="inlineStr">
        <is>
          <t>bajo</t>
        </is>
      </c>
      <c r="J776" t="inlineStr">
        <is>
          <t>RN-11 y RN-34: provision hasta el cupo operativo antes de bajar del 8 %</t>
        </is>
      </c>
      <c r="K776" t="inlineStr">
        <is>
          <t>Provision en la manana, antes del pagado: con el pronostico, sin provision el saldo bajaria del 8 % del cupo ese dia. Lleva el saldo de 83.056.914 a 411.000.000 COP (cupo 411.000.000). Equipo administrado por TDV.</t>
        </is>
      </c>
      <c r="L776" s="26" t="n">
        <v>411000000</v>
      </c>
      <c r="M776" s="26" t="n">
        <v>83056914</v>
      </c>
      <c r="N776" s="27">
        <f>IF(ISNUMBER(M776),M776/L776,"No aplica")</f>
        <v>0.2020849489051095</v>
      </c>
      <c r="O776" s="25">
        <f>IF(G776="provision",M776+H776,IF(G776="recoleccion",M776-H776,"No aplica"))</f>
        <v>411000000</v>
      </c>
      <c r="P776" s="26" t="n">
        <v>145606</v>
      </c>
    </row>
    <row r="777">
      <c r="A777" t="inlineStr">
        <is>
          <t>PRAGMA</t>
        </is>
      </c>
      <c r="B777" t="inlineStr">
        <is>
          <t>M1</t>
        </is>
      </c>
      <c r="C777" t="inlineStr">
        <is>
          <t>Pasto</t>
        </is>
      </c>
      <c r="D777" t="inlineStr">
        <is>
          <t>6364</t>
        </is>
      </c>
      <c r="E777" t="inlineStr">
        <is>
          <t>TDV</t>
        </is>
      </c>
      <c r="F777" s="23" t="n">
        <v>46274</v>
      </c>
      <c r="G777" t="inlineStr">
        <is>
          <t>provision</t>
        </is>
      </c>
      <c r="H777" s="26" t="n">
        <v>357605198</v>
      </c>
      <c r="I777" t="inlineStr">
        <is>
          <t>bajo</t>
        </is>
      </c>
      <c r="J777" t="inlineStr">
        <is>
          <t>RN-11 y RN-34: provision hasta el cupo operativo antes de bajar del 8 %</t>
        </is>
      </c>
      <c r="K777" t="inlineStr">
        <is>
          <t>Provision en la manana, antes del pagado: con el pronostico, sin provision el saldo bajaria del 8 % del cupo ese dia. Lleva el saldo de 53.394.802 a 411.000.000 COP (cupo 411.000.000). Equipo administrado por TDV.</t>
        </is>
      </c>
      <c r="L777" s="26" t="n">
        <v>411000000</v>
      </c>
      <c r="M777" s="26" t="n">
        <v>53394802</v>
      </c>
      <c r="N777" s="27">
        <f>IF(ISNUMBER(M777),M777/L777,"No aplica")</f>
        <v>0.1299143600973236</v>
      </c>
      <c r="O777" s="25">
        <f>IF(G777="provision",M777+H777,IF(G777="recoleccion",M777-H777,"No aplica"))</f>
        <v>411000000</v>
      </c>
      <c r="P777" s="26" t="n">
        <v>115688</v>
      </c>
    </row>
    <row r="778">
      <c r="A778" t="inlineStr">
        <is>
          <t>PRAGMA</t>
        </is>
      </c>
      <c r="B778" t="inlineStr">
        <is>
          <t>M1</t>
        </is>
      </c>
      <c r="C778" t="inlineStr">
        <is>
          <t>Pasto</t>
        </is>
      </c>
      <c r="D778" t="inlineStr">
        <is>
          <t>6364</t>
        </is>
      </c>
      <c r="E778" t="inlineStr">
        <is>
          <t>TDV</t>
        </is>
      </c>
      <c r="F778" s="23" t="n">
        <v>46276</v>
      </c>
      <c r="G778" t="inlineStr">
        <is>
          <t>provision</t>
        </is>
      </c>
      <c r="H778" s="26" t="n">
        <v>277846679</v>
      </c>
      <c r="I778" t="inlineStr">
        <is>
          <t>bajo</t>
        </is>
      </c>
      <c r="J778" t="inlineStr">
        <is>
          <t>RN-11 y RN-34: provision hasta el cupo operativo antes de bajar del 8 %</t>
        </is>
      </c>
      <c r="K778" t="inlineStr">
        <is>
          <t>Provision en la manana, antes del pagado: con el pronostico, sin provision el saldo bajaria del 8 % del cupo ese dia. Lleva el saldo de 133.153.321 a 411.000.000 COP (cupo 411.000.000). Equipo administrado por TDV.</t>
        </is>
      </c>
      <c r="L778" s="26" t="n">
        <v>411000000</v>
      </c>
      <c r="M778" s="26" t="n">
        <v>133153321</v>
      </c>
      <c r="N778" s="27">
        <f>IF(ISNUMBER(M778),M778/L778,"No aplica")</f>
        <v>0.32397401703163015</v>
      </c>
      <c r="O778" s="25">
        <f>IF(G778="provision",M778+H778,IF(G778="recoleccion",M778-H778,"No aplica"))</f>
        <v>411000000</v>
      </c>
      <c r="P778" s="26" t="n">
        <v>93356</v>
      </c>
    </row>
    <row r="779">
      <c r="A779" t="inlineStr">
        <is>
          <t>PRAGMA</t>
        </is>
      </c>
      <c r="B779" t="inlineStr">
        <is>
          <t>M1</t>
        </is>
      </c>
      <c r="C779" t="inlineStr">
        <is>
          <t>Pasto</t>
        </is>
      </c>
      <c r="D779" t="inlineStr">
        <is>
          <t>6364</t>
        </is>
      </c>
      <c r="E779" t="inlineStr">
        <is>
          <t>TDV</t>
        </is>
      </c>
      <c r="F779" s="23" t="n">
        <v>46279</v>
      </c>
      <c r="G779" t="inlineStr">
        <is>
          <t>provision</t>
        </is>
      </c>
      <c r="H779" s="26" t="n">
        <v>312245180</v>
      </c>
      <c r="I779" t="inlineStr">
        <is>
          <t>bajo</t>
        </is>
      </c>
      <c r="J779" t="inlineStr">
        <is>
          <t>RN-11 y RN-34: provision hasta el cupo operativo antes de bajar del 8 %</t>
        </is>
      </c>
      <c r="K779" t="inlineStr">
        <is>
          <t>Provision en la manana, antes del pagado: con el pronostico, sin provision el saldo bajaria del 8 % del cupo ese dia. Lleva el saldo de 98.754.820 a 411.000.000 COP (cupo 411.000.000). Equipo administrado por TDV.</t>
        </is>
      </c>
      <c r="L779" s="26" t="n">
        <v>411000000</v>
      </c>
      <c r="M779" s="26" t="n">
        <v>98754820</v>
      </c>
      <c r="N779" s="27">
        <f>IF(ISNUMBER(M779),M779/L779,"No aplica")</f>
        <v>0.24027936739659367</v>
      </c>
      <c r="O779" s="25">
        <f>IF(G779="provision",M779+H779,IF(G779="recoleccion",M779-H779,"No aplica"))</f>
        <v>411000000</v>
      </c>
      <c r="P779" s="26" t="n">
        <v>102988</v>
      </c>
    </row>
    <row r="780">
      <c r="A780" t="inlineStr">
        <is>
          <t>PRAGMA</t>
        </is>
      </c>
      <c r="B780" t="inlineStr">
        <is>
          <t>M1</t>
        </is>
      </c>
      <c r="C780" t="inlineStr">
        <is>
          <t>Pasto</t>
        </is>
      </c>
      <c r="D780" t="inlineStr">
        <is>
          <t>6365</t>
        </is>
      </c>
      <c r="E780" t="inlineStr">
        <is>
          <t>TDV</t>
        </is>
      </c>
      <c r="F780" s="23" t="n">
        <v>46268</v>
      </c>
      <c r="G780" t="inlineStr">
        <is>
          <t>provision</t>
        </is>
      </c>
      <c r="H780" s="26" t="n">
        <v>331045540</v>
      </c>
      <c r="I780" t="inlineStr">
        <is>
          <t>bajo</t>
        </is>
      </c>
      <c r="J780" t="inlineStr">
        <is>
          <t>RN-11 y RN-34: provision hasta el cupo operativo antes de bajar del 8 %</t>
        </is>
      </c>
      <c r="K780" t="inlineStr">
        <is>
          <t>Provision en la manana, antes del pagado: con el pronostico, sin provision el saldo bajaria del 8 % del cupo ese dia. Lleva el saldo de 79.954.460 a 411.000.000 COP (cupo 411.000.000). Equipo administrado por TDV.</t>
        </is>
      </c>
      <c r="L780" s="26" t="n">
        <v>411000000</v>
      </c>
      <c r="M780" s="26" t="n">
        <v>79954460</v>
      </c>
      <c r="N780" s="27">
        <f>IF(ISNUMBER(M780),M780/L780,"No aplica")</f>
        <v>0.19453639902676398</v>
      </c>
      <c r="O780" s="25">
        <f>IF(G780="provision",M780+H780,IF(G780="recoleccion",M780-H780,"No aplica"))</f>
        <v>411000000</v>
      </c>
      <c r="P780" s="26" t="n">
        <v>108252</v>
      </c>
    </row>
    <row r="781">
      <c r="A781" t="inlineStr">
        <is>
          <t>PRAGMA</t>
        </is>
      </c>
      <c r="B781" t="inlineStr">
        <is>
          <t>M1</t>
        </is>
      </c>
      <c r="C781" t="inlineStr">
        <is>
          <t>Pasto</t>
        </is>
      </c>
      <c r="D781" t="inlineStr">
        <is>
          <t>6365</t>
        </is>
      </c>
      <c r="E781" t="inlineStr">
        <is>
          <t>TDV</t>
        </is>
      </c>
      <c r="F781" s="23" t="n">
        <v>46270</v>
      </c>
      <c r="G781" t="inlineStr">
        <is>
          <t>provision</t>
        </is>
      </c>
      <c r="H781" s="26" t="n">
        <v>299123117</v>
      </c>
      <c r="I781" t="inlineStr">
        <is>
          <t>bajo</t>
        </is>
      </c>
      <c r="J781" t="inlineStr">
        <is>
          <t>RN-11 y RN-34: provision hasta el cupo operativo antes de bajar del 8 %</t>
        </is>
      </c>
      <c r="K781" t="inlineStr">
        <is>
          <t>Provision en la manana, antes del pagado: con el pronostico, sin provision el saldo bajaria del 8 % del cupo ese dia. Lleva el saldo de 111.876.883 a 411.000.000 COP (cupo 411.000.000). Equipo administrado por TDV.</t>
        </is>
      </c>
      <c r="L781" s="26" t="n">
        <v>411000000</v>
      </c>
      <c r="M781" s="26" t="n">
        <v>111876883</v>
      </c>
      <c r="N781" s="27">
        <f>IF(ISNUMBER(M781),M781/L781,"No aplica")</f>
        <v>0.2722065279805353</v>
      </c>
      <c r="O781" s="25">
        <f>IF(G781="provision",M781+H781,IF(G781="recoleccion",M781-H781,"No aplica"))</f>
        <v>411000000</v>
      </c>
      <c r="P781" s="26" t="n">
        <v>99313</v>
      </c>
    </row>
    <row r="782">
      <c r="A782" t="inlineStr">
        <is>
          <t>PRAGMA</t>
        </is>
      </c>
      <c r="B782" t="inlineStr">
        <is>
          <t>M1</t>
        </is>
      </c>
      <c r="C782" t="inlineStr">
        <is>
          <t>Pasto</t>
        </is>
      </c>
      <c r="D782" t="inlineStr">
        <is>
          <t>6365</t>
        </is>
      </c>
      <c r="E782" t="inlineStr">
        <is>
          <t>TDV</t>
        </is>
      </c>
      <c r="F782" s="23" t="n">
        <v>46273</v>
      </c>
      <c r="G782" t="inlineStr">
        <is>
          <t>provision</t>
        </is>
      </c>
      <c r="H782" s="26" t="n">
        <v>316960074</v>
      </c>
      <c r="I782" t="inlineStr">
        <is>
          <t>bajo</t>
        </is>
      </c>
      <c r="J782" t="inlineStr">
        <is>
          <t>RN-11 y RN-34: provision hasta el cupo operativo antes de bajar del 8 %</t>
        </is>
      </c>
      <c r="K782" t="inlineStr">
        <is>
          <t>Provision en la manana, antes del pagado: con el pronostico, sin provision el saldo bajaria del 8 % del cupo ese dia. Lleva el saldo de 94.039.926 a 411.000.000 COP (cupo 411.000.000). Equipo administrado por TDV.</t>
        </is>
      </c>
      <c r="L782" s="26" t="n">
        <v>411000000</v>
      </c>
      <c r="M782" s="26" t="n">
        <v>94039926</v>
      </c>
      <c r="N782" s="27">
        <f>IF(ISNUMBER(M782),M782/L782,"No aplica")</f>
        <v>0.22880760583941606</v>
      </c>
      <c r="O782" s="25">
        <f>IF(G782="provision",M782+H782,IF(G782="recoleccion",M782-H782,"No aplica"))</f>
        <v>411000000</v>
      </c>
      <c r="P782" s="26" t="n">
        <v>104308</v>
      </c>
    </row>
    <row r="783">
      <c r="A783" t="inlineStr">
        <is>
          <t>PRAGMA</t>
        </is>
      </c>
      <c r="B783" t="inlineStr">
        <is>
          <t>M1</t>
        </is>
      </c>
      <c r="C783" t="inlineStr">
        <is>
          <t>Pasto</t>
        </is>
      </c>
      <c r="D783" t="inlineStr">
        <is>
          <t>6365</t>
        </is>
      </c>
      <c r="E783" t="inlineStr">
        <is>
          <t>TDV</t>
        </is>
      </c>
      <c r="F783" s="23" t="n">
        <v>46276</v>
      </c>
      <c r="G783" t="inlineStr">
        <is>
          <t>provision</t>
        </is>
      </c>
      <c r="H783" s="26" t="n">
        <v>357726650</v>
      </c>
      <c r="I783" t="inlineStr">
        <is>
          <t>bajo</t>
        </is>
      </c>
      <c r="J783" t="inlineStr">
        <is>
          <t>RN-11 y RN-34: provision hasta el cupo operativo antes de bajar del 8 %</t>
        </is>
      </c>
      <c r="K783" t="inlineStr">
        <is>
          <t>Provision en la manana, antes del pagado: con el pronostico, sin provision el saldo bajaria del 8 % del cupo ese dia. Lleva el saldo de 53.273.350 a 411.000.000 COP (cupo 411.000.000). Equipo administrado por TDV.</t>
        </is>
      </c>
      <c r="L783" s="26" t="n">
        <v>411000000</v>
      </c>
      <c r="M783" s="26" t="n">
        <v>53273350</v>
      </c>
      <c r="N783" s="27">
        <f>IF(ISNUMBER(M783),M783/L783,"No aplica")</f>
        <v>0.12961885644768856</v>
      </c>
      <c r="O783" s="25">
        <f>IF(G783="provision",M783+H783,IF(G783="recoleccion",M783-H783,"No aplica"))</f>
        <v>411000000</v>
      </c>
      <c r="P783" s="26" t="n">
        <v>115722</v>
      </c>
    </row>
    <row r="784">
      <c r="A784" t="inlineStr">
        <is>
          <t>PRAGMA</t>
        </is>
      </c>
      <c r="B784" t="inlineStr">
        <is>
          <t>M1</t>
        </is>
      </c>
      <c r="C784" t="inlineStr">
        <is>
          <t>Pasto</t>
        </is>
      </c>
      <c r="D784" t="inlineStr">
        <is>
          <t>6365</t>
        </is>
      </c>
      <c r="E784" t="inlineStr">
        <is>
          <t>TDV</t>
        </is>
      </c>
      <c r="F784" s="23" t="n">
        <v>46279</v>
      </c>
      <c r="G784" t="inlineStr">
        <is>
          <t>provision</t>
        </is>
      </c>
      <c r="H784" s="26" t="n">
        <v>277454563</v>
      </c>
      <c r="I784" t="inlineStr">
        <is>
          <t>bajo</t>
        </is>
      </c>
      <c r="J784" t="inlineStr">
        <is>
          <t>RN-11 y RN-34: provision hasta el cupo operativo antes de bajar del 8 %</t>
        </is>
      </c>
      <c r="K784" t="inlineStr">
        <is>
          <t>Provision en la manana, antes del pagado: con el pronostico, sin provision el saldo bajaria del 8 % del cupo ese dia. Lleva el saldo de 133.545.437 a 411.000.000 COP (cupo 411.000.000). Equipo administrado por TDV.</t>
        </is>
      </c>
      <c r="L784" s="26" t="n">
        <v>411000000</v>
      </c>
      <c r="M784" s="26" t="n">
        <v>133545437</v>
      </c>
      <c r="N784" s="27">
        <f>IF(ISNUMBER(M784),M784/L784,"No aplica")</f>
        <v>0.3249280705596107</v>
      </c>
      <c r="O784" s="25">
        <f>IF(G784="provision",M784+H784,IF(G784="recoleccion",M784-H784,"No aplica"))</f>
        <v>411000000</v>
      </c>
      <c r="P784" s="26" t="n">
        <v>93246</v>
      </c>
    </row>
    <row r="785">
      <c r="A785" t="inlineStr">
        <is>
          <t>PRAGMA</t>
        </is>
      </c>
      <c r="B785" t="inlineStr">
        <is>
          <t>M1</t>
        </is>
      </c>
      <c r="C785" t="inlineStr">
        <is>
          <t>Cali</t>
        </is>
      </c>
      <c r="D785" t="inlineStr">
        <is>
          <t>6387</t>
        </is>
      </c>
      <c r="E785" t="inlineStr">
        <is>
          <t>TDV</t>
        </is>
      </c>
      <c r="F785" s="23" t="n">
        <v>46270</v>
      </c>
      <c r="G785" t="inlineStr">
        <is>
          <t>provision</t>
        </is>
      </c>
      <c r="H785" s="26" t="n">
        <v>362805272</v>
      </c>
      <c r="I785" t="inlineStr">
        <is>
          <t>bajo</t>
        </is>
      </c>
      <c r="J785" t="inlineStr">
        <is>
          <t>RN-11 y RN-34: provision hasta el cupo operativo antes de bajar del 8 %</t>
        </is>
      </c>
      <c r="K785" t="inlineStr">
        <is>
          <t>Provision en la manana, antes del pagado: con el pronostico, sin provision el saldo bajaria del 8 % del cupo ese dia. Lleva el saldo de 48.194.728 a 411.000.000 COP (cupo 411.000.000). Equipo administrado por TDV.</t>
        </is>
      </c>
      <c r="L785" s="26" t="n">
        <v>411000000</v>
      </c>
      <c r="M785" s="26" t="n">
        <v>48194728</v>
      </c>
      <c r="N785" s="27">
        <f>IF(ISNUMBER(M785),M785/L785,"No aplica")</f>
        <v>0.11726211192214112</v>
      </c>
      <c r="O785" s="25">
        <f>IF(G785="provision",M785+H785,IF(G785="recoleccion",M785-H785,"No aplica"))</f>
        <v>411000000</v>
      </c>
      <c r="P785" s="26" t="n">
        <v>182935</v>
      </c>
    </row>
    <row r="786">
      <c r="A786" t="inlineStr">
        <is>
          <t>PRAGMA</t>
        </is>
      </c>
      <c r="B786" t="inlineStr">
        <is>
          <t>M1</t>
        </is>
      </c>
      <c r="C786" t="inlineStr">
        <is>
          <t>Cali</t>
        </is>
      </c>
      <c r="D786" t="inlineStr">
        <is>
          <t>6387</t>
        </is>
      </c>
      <c r="E786" t="inlineStr">
        <is>
          <t>TDV</t>
        </is>
      </c>
      <c r="F786" s="23" t="n">
        <v>46275</v>
      </c>
      <c r="G786" t="inlineStr">
        <is>
          <t>provision</t>
        </is>
      </c>
      <c r="H786" s="26" t="n">
        <v>327021252</v>
      </c>
      <c r="I786" t="inlineStr">
        <is>
          <t>bajo</t>
        </is>
      </c>
      <c r="J786" t="inlineStr">
        <is>
          <t>RN-11 y RN-34: provision hasta el cupo operativo antes de bajar del 8 %</t>
        </is>
      </c>
      <c r="K786" t="inlineStr">
        <is>
          <t>Provision en la manana, antes del pagado: con el pronostico, sin provision el saldo bajaria del 8 % del cupo ese dia. Lleva el saldo de 83.978.748 a 411.000.000 COP (cupo 411.000.000). Equipo administrado por TDV.</t>
        </is>
      </c>
      <c r="L786" s="26" t="n">
        <v>411000000</v>
      </c>
      <c r="M786" s="26" t="n">
        <v>83978748</v>
      </c>
      <c r="N786" s="27">
        <f>IF(ISNUMBER(M786),M786/L786,"No aplica")</f>
        <v>0.20432785401459855</v>
      </c>
      <c r="O786" s="25">
        <f>IF(G786="provision",M786+H786,IF(G786="recoleccion",M786-H786,"No aplica"))</f>
        <v>411000000</v>
      </c>
      <c r="P786" s="26" t="n">
        <v>166761</v>
      </c>
    </row>
    <row r="787">
      <c r="A787" t="inlineStr">
        <is>
          <t>PRAGMA</t>
        </is>
      </c>
      <c r="B787" t="inlineStr">
        <is>
          <t>M1</t>
        </is>
      </c>
      <c r="C787" t="inlineStr">
        <is>
          <t>Cali</t>
        </is>
      </c>
      <c r="D787" t="inlineStr">
        <is>
          <t>6388</t>
        </is>
      </c>
      <c r="E787" t="inlineStr">
        <is>
          <t>TDV</t>
        </is>
      </c>
      <c r="F787" s="23" t="n">
        <v>46268</v>
      </c>
      <c r="G787" t="inlineStr">
        <is>
          <t>provision</t>
        </is>
      </c>
      <c r="H787" s="26" t="n">
        <v>323493392</v>
      </c>
      <c r="I787" t="inlineStr">
        <is>
          <t>bajo</t>
        </is>
      </c>
      <c r="J787" t="inlineStr">
        <is>
          <t>RN-11 y RN-34: provision hasta el cupo operativo antes de bajar del 8 %</t>
        </is>
      </c>
      <c r="K787" t="inlineStr">
        <is>
          <t>Provision en la manana, antes del pagado: con el pronostico, sin provision el saldo bajaria del 8 % del cupo ese dia. Lleva el saldo de 87.506.608 a 411.000.000 COP (cupo 411.000.000). Equipo administrado por TDV.</t>
        </is>
      </c>
      <c r="L787" s="26" t="n">
        <v>411000000</v>
      </c>
      <c r="M787" s="26" t="n">
        <v>87506608</v>
      </c>
      <c r="N787" s="27">
        <f>IF(ISNUMBER(M787),M787/L787,"No aplica")</f>
        <v>0.21291145498783454</v>
      </c>
      <c r="O787" s="25">
        <f>IF(G787="provision",M787+H787,IF(G787="recoleccion",M787-H787,"No aplica"))</f>
        <v>411000000</v>
      </c>
      <c r="P787" s="26" t="n">
        <v>123169</v>
      </c>
    </row>
    <row r="788">
      <c r="A788" t="inlineStr">
        <is>
          <t>PRAGMA</t>
        </is>
      </c>
      <c r="B788" t="inlineStr">
        <is>
          <t>M1</t>
        </is>
      </c>
      <c r="C788" t="inlineStr">
        <is>
          <t>Cali</t>
        </is>
      </c>
      <c r="D788" t="inlineStr">
        <is>
          <t>6388</t>
        </is>
      </c>
      <c r="E788" t="inlineStr">
        <is>
          <t>TDV</t>
        </is>
      </c>
      <c r="F788" s="23" t="n">
        <v>46270</v>
      </c>
      <c r="G788" t="inlineStr">
        <is>
          <t>provision</t>
        </is>
      </c>
      <c r="H788" s="26" t="n">
        <v>244782052</v>
      </c>
      <c r="I788" t="inlineStr">
        <is>
          <t>bajo</t>
        </is>
      </c>
      <c r="J788" t="inlineStr">
        <is>
          <t>RN-11 y RN-34: provision hasta el cupo operativo antes de bajar del 8 %</t>
        </is>
      </c>
      <c r="K788" t="inlineStr">
        <is>
          <t>Provision en la manana, antes del pagado: con el pronostico, sin provision el saldo bajaria del 8 % del cupo ese dia. Lleva el saldo de 166.217.948 a 411.000.000 COP (cupo 411.000.000). Equipo administrado por TDV.</t>
        </is>
      </c>
      <c r="L788" s="26" t="n">
        <v>411000000</v>
      </c>
      <c r="M788" s="26" t="n">
        <v>166217948</v>
      </c>
      <c r="N788" s="27">
        <f>IF(ISNUMBER(M788),M788/L788,"No aplica")</f>
        <v>0.40442323114355233</v>
      </c>
      <c r="O788" s="25">
        <f>IF(G788="provision",M788+H788,IF(G788="recoleccion",M788-H788,"No aplica"))</f>
        <v>411000000</v>
      </c>
      <c r="P788" s="26" t="n">
        <v>97509</v>
      </c>
    </row>
    <row r="789">
      <c r="A789" t="inlineStr">
        <is>
          <t>PRAGMA</t>
        </is>
      </c>
      <c r="B789" t="inlineStr">
        <is>
          <t>M1</t>
        </is>
      </c>
      <c r="C789" t="inlineStr">
        <is>
          <t>Cali</t>
        </is>
      </c>
      <c r="D789" t="inlineStr">
        <is>
          <t>6388</t>
        </is>
      </c>
      <c r="E789" t="inlineStr">
        <is>
          <t>TDV</t>
        </is>
      </c>
      <c r="F789" s="23" t="n">
        <v>46273</v>
      </c>
      <c r="G789" t="inlineStr">
        <is>
          <t>provision</t>
        </is>
      </c>
      <c r="H789" s="26" t="n">
        <v>328805707</v>
      </c>
      <c r="I789" t="inlineStr">
        <is>
          <t>bajo</t>
        </is>
      </c>
      <c r="J789" t="inlineStr">
        <is>
          <t>RN-11 y RN-34: provision hasta el cupo operativo antes de bajar del 8 %</t>
        </is>
      </c>
      <c r="K789" t="inlineStr">
        <is>
          <t>Provision en la manana, antes del pagado: con el pronostico, sin provision el saldo bajaria del 8 % del cupo ese dia. Lleva el saldo de 82.194.293 a 411.000.000 COP (cupo 411.000.000). Equipo administrado por TDV.</t>
        </is>
      </c>
      <c r="L789" s="26" t="n">
        <v>411000000</v>
      </c>
      <c r="M789" s="26" t="n">
        <v>82194293</v>
      </c>
      <c r="N789" s="27">
        <f>IF(ISNUMBER(M789),M789/L789,"No aplica")</f>
        <v>0.19998611435523114</v>
      </c>
      <c r="O789" s="25">
        <f>IF(G789="provision",M789+H789,IF(G789="recoleccion",M789-H789,"No aplica"))</f>
        <v>411000000</v>
      </c>
      <c r="P789" s="26" t="n">
        <v>124901</v>
      </c>
    </row>
    <row r="790">
      <c r="A790" t="inlineStr">
        <is>
          <t>PRAGMA</t>
        </is>
      </c>
      <c r="B790" t="inlineStr">
        <is>
          <t>M1</t>
        </is>
      </c>
      <c r="C790" t="inlineStr">
        <is>
          <t>Cali</t>
        </is>
      </c>
      <c r="D790" t="inlineStr">
        <is>
          <t>6388</t>
        </is>
      </c>
      <c r="E790" t="inlineStr">
        <is>
          <t>TDV</t>
        </is>
      </c>
      <c r="F790" s="23" t="n">
        <v>46277</v>
      </c>
      <c r="G790" t="inlineStr">
        <is>
          <t>provision</t>
        </is>
      </c>
      <c r="H790" s="26" t="n">
        <v>348225786</v>
      </c>
      <c r="I790" t="inlineStr">
        <is>
          <t>bajo</t>
        </is>
      </c>
      <c r="J790" t="inlineStr">
        <is>
          <t>RN-11 y RN-34: provision hasta el cupo operativo antes de bajar del 8 %</t>
        </is>
      </c>
      <c r="K790" t="inlineStr">
        <is>
          <t>Provision en la manana, antes del pagado: con el pronostico, sin provision el saldo bajaria del 8 % del cupo ese dia. Lleva el saldo de 62.774.214 a 411.000.000 COP (cupo 411.000.000). Equipo administrado por TDV.</t>
        </is>
      </c>
      <c r="L790" s="26" t="n">
        <v>411000000</v>
      </c>
      <c r="M790" s="26" t="n">
        <v>62774214</v>
      </c>
      <c r="N790" s="27">
        <f>IF(ISNUMBER(M790),M790/L790,"No aplica")</f>
        <v>0.15273531386861314</v>
      </c>
      <c r="O790" s="25">
        <f>IF(G790="provision",M790+H790,IF(G790="recoleccion",M790-H790,"No aplica"))</f>
        <v>411000000</v>
      </c>
      <c r="P790" s="26" t="n">
        <v>131232</v>
      </c>
    </row>
    <row r="791">
      <c r="A791" t="inlineStr">
        <is>
          <t>PRAGMA</t>
        </is>
      </c>
      <c r="B791" t="inlineStr">
        <is>
          <t>M1</t>
        </is>
      </c>
      <c r="C791" t="inlineStr">
        <is>
          <t>Cali</t>
        </is>
      </c>
      <c r="D791" t="inlineStr">
        <is>
          <t>6388</t>
        </is>
      </c>
      <c r="E791" t="inlineStr">
        <is>
          <t>TDV</t>
        </is>
      </c>
      <c r="F791" s="23" t="n">
        <v>46280</v>
      </c>
      <c r="G791" t="inlineStr">
        <is>
          <t>provision</t>
        </is>
      </c>
      <c r="H791" s="26" t="n">
        <v>269323125</v>
      </c>
      <c r="I791" t="inlineStr">
        <is>
          <t>bajo</t>
        </is>
      </c>
      <c r="J791" t="inlineStr">
        <is>
          <t>RN-11 y RN-34: provision hasta el cupo operativo antes de bajar del 8 %</t>
        </is>
      </c>
      <c r="K791" t="inlineStr">
        <is>
          <t>Provision en la manana, antes del pagado: con el pronostico, sin provision el saldo bajaria del 8 % del cupo ese dia. Lleva el saldo de 141.676.875 a 411.000.000 COP (cupo 411.000.000). Equipo administrado por TDV.</t>
        </is>
      </c>
      <c r="L791" s="26" t="n">
        <v>411000000</v>
      </c>
      <c r="M791" s="26" t="n">
        <v>141676875</v>
      </c>
      <c r="N791" s="27">
        <f>IF(ISNUMBER(M791),M791/L791,"No aplica")</f>
        <v>0.3447125912408759</v>
      </c>
      <c r="O791" s="25">
        <f>IF(G791="provision",M791+H791,IF(G791="recoleccion",M791-H791,"No aplica"))</f>
        <v>411000000</v>
      </c>
      <c r="P791" s="26" t="n">
        <v>105509</v>
      </c>
    </row>
    <row r="792">
      <c r="A792" t="inlineStr">
        <is>
          <t>PRAGMA</t>
        </is>
      </c>
      <c r="B792" t="inlineStr">
        <is>
          <t>M1</t>
        </is>
      </c>
      <c r="C792" t="inlineStr">
        <is>
          <t>Cali</t>
        </is>
      </c>
      <c r="D792" t="inlineStr">
        <is>
          <t>6389</t>
        </is>
      </c>
      <c r="E792" t="inlineStr">
        <is>
          <t>TDV</t>
        </is>
      </c>
      <c r="F792" s="23" t="n">
        <v>46268</v>
      </c>
      <c r="G792" t="inlineStr">
        <is>
          <t>provision</t>
        </is>
      </c>
      <c r="H792" s="26" t="n">
        <v>322015599</v>
      </c>
      <c r="I792" t="inlineStr">
        <is>
          <t>bajo</t>
        </is>
      </c>
      <c r="J792" t="inlineStr">
        <is>
          <t>RN-11 y RN-34: provision hasta el cupo operativo antes de bajar del 8 %</t>
        </is>
      </c>
      <c r="K792" t="inlineStr">
        <is>
          <t>Provision en la manana, antes del pagado: con el pronostico, sin provision el saldo bajaria del 8 % del cupo ese dia. Lleva el saldo de 88.984.401 a 411.000.000 COP (cupo 411.000.000). Equipo administrado por TDV.</t>
        </is>
      </c>
      <c r="L792" s="26" t="n">
        <v>411000000</v>
      </c>
      <c r="M792" s="26" t="n">
        <v>88984401</v>
      </c>
      <c r="N792" s="27">
        <f>IF(ISNUMBER(M792),M792/L792,"No aplica")</f>
        <v>0.2165070583941606</v>
      </c>
      <c r="O792" s="25">
        <f>IF(G792="provision",M792+H792,IF(G792="recoleccion",M792-H792,"No aplica"))</f>
        <v>411000000</v>
      </c>
      <c r="P792" s="26" t="n">
        <v>163837</v>
      </c>
    </row>
    <row r="793">
      <c r="A793" t="inlineStr">
        <is>
          <t>PRAGMA</t>
        </is>
      </c>
      <c r="B793" t="inlineStr">
        <is>
          <t>M1</t>
        </is>
      </c>
      <c r="C793" t="inlineStr">
        <is>
          <t>Cali</t>
        </is>
      </c>
      <c r="D793" t="inlineStr">
        <is>
          <t>6389</t>
        </is>
      </c>
      <c r="E793" t="inlineStr">
        <is>
          <t>TDV</t>
        </is>
      </c>
      <c r="F793" s="23" t="n">
        <v>46270</v>
      </c>
      <c r="G793" t="inlineStr">
        <is>
          <t>provision</t>
        </is>
      </c>
      <c r="H793" s="26" t="n">
        <v>267342937</v>
      </c>
      <c r="I793" t="inlineStr">
        <is>
          <t>bajo</t>
        </is>
      </c>
      <c r="J793" t="inlineStr">
        <is>
          <t>RN-11 y RN-34: provision hasta el cupo operativo antes de bajar del 8 %</t>
        </is>
      </c>
      <c r="K793" t="inlineStr">
        <is>
          <t>Provision en la manana, antes del pagado: con el pronostico, sin provision el saldo bajaria del 8 % del cupo ese dia. Lleva el saldo de 143.657.063 a 411.000.000 COP (cupo 411.000.000). Equipo administrado por TDV.</t>
        </is>
      </c>
      <c r="L793" s="26" t="n">
        <v>411000000</v>
      </c>
      <c r="M793" s="26" t="n">
        <v>143657063</v>
      </c>
      <c r="N793" s="27">
        <f>IF(ISNUMBER(M793),M793/L793,"No aplica")</f>
        <v>0.3495305669099757</v>
      </c>
      <c r="O793" s="25">
        <f>IF(G793="provision",M793+H793,IF(G793="recoleccion",M793-H793,"No aplica"))</f>
        <v>411000000</v>
      </c>
      <c r="P793" s="26" t="n">
        <v>139125</v>
      </c>
    </row>
    <row r="794">
      <c r="A794" t="inlineStr">
        <is>
          <t>PRAGMA</t>
        </is>
      </c>
      <c r="B794" t="inlineStr">
        <is>
          <t>M1</t>
        </is>
      </c>
      <c r="C794" t="inlineStr">
        <is>
          <t>Cali</t>
        </is>
      </c>
      <c r="D794" t="inlineStr">
        <is>
          <t>6389</t>
        </is>
      </c>
      <c r="E794" t="inlineStr">
        <is>
          <t>TDV</t>
        </is>
      </c>
      <c r="F794" s="23" t="n">
        <v>46273</v>
      </c>
      <c r="G794" t="inlineStr">
        <is>
          <t>provision</t>
        </is>
      </c>
      <c r="H794" s="26" t="n">
        <v>288714686</v>
      </c>
      <c r="I794" t="inlineStr">
        <is>
          <t>bajo</t>
        </is>
      </c>
      <c r="J794" t="inlineStr">
        <is>
          <t>RN-11 y RN-34: provision hasta el cupo operativo antes de bajar del 8 %</t>
        </is>
      </c>
      <c r="K794" t="inlineStr">
        <is>
          <t>Provision en la manana, antes del pagado: con el pronostico, sin provision el saldo bajaria del 8 % del cupo ese dia. Lleva el saldo de 122.285.314 a 411.000.000 COP (cupo 411.000.000). Equipo administrado por TDV.</t>
        </is>
      </c>
      <c r="L794" s="26" t="n">
        <v>411000000</v>
      </c>
      <c r="M794" s="26" t="n">
        <v>122285314</v>
      </c>
      <c r="N794" s="27">
        <f>IF(ISNUMBER(M794),M794/L794,"No aplica")</f>
        <v>0.2975311776155718</v>
      </c>
      <c r="O794" s="25">
        <f>IF(G794="provision",M794+H794,IF(G794="recoleccion",M794-H794,"No aplica"))</f>
        <v>411000000</v>
      </c>
      <c r="P794" s="26" t="n">
        <v>148785</v>
      </c>
    </row>
    <row r="795">
      <c r="A795" t="inlineStr">
        <is>
          <t>PRAGMA</t>
        </is>
      </c>
      <c r="B795" t="inlineStr">
        <is>
          <t>M1</t>
        </is>
      </c>
      <c r="C795" t="inlineStr">
        <is>
          <t>Cali</t>
        </is>
      </c>
      <c r="D795" t="inlineStr">
        <is>
          <t>6389</t>
        </is>
      </c>
      <c r="E795" t="inlineStr">
        <is>
          <t>TDV</t>
        </is>
      </c>
      <c r="F795" s="23" t="n">
        <v>46276</v>
      </c>
      <c r="G795" t="inlineStr">
        <is>
          <t>provision</t>
        </is>
      </c>
      <c r="H795" s="26" t="n">
        <v>316524564</v>
      </c>
      <c r="I795" t="inlineStr">
        <is>
          <t>bajo</t>
        </is>
      </c>
      <c r="J795" t="inlineStr">
        <is>
          <t>RN-11 y RN-34: provision hasta el cupo operativo antes de bajar del 8 %</t>
        </is>
      </c>
      <c r="K795" t="inlineStr">
        <is>
          <t>Provision en la manana, antes del pagado: con el pronostico, sin provision el saldo bajaria del 8 % del cupo ese dia. Lleva el saldo de 94.475.436 a 411.000.000 COP (cupo 411.000.000). Equipo administrado por TDV.</t>
        </is>
      </c>
      <c r="L795" s="26" t="n">
        <v>411000000</v>
      </c>
      <c r="M795" s="26" t="n">
        <v>94475436</v>
      </c>
      <c r="N795" s="27">
        <f>IF(ISNUMBER(M795),M795/L795,"No aplica")</f>
        <v>0.2298672408759124</v>
      </c>
      <c r="O795" s="25">
        <f>IF(G795="provision",M795+H795,IF(G795="recoleccion",M795-H795,"No aplica"))</f>
        <v>411000000</v>
      </c>
      <c r="P795" s="26" t="n">
        <v>161355</v>
      </c>
    </row>
    <row r="796">
      <c r="A796" t="inlineStr">
        <is>
          <t>PRAGMA</t>
        </is>
      </c>
      <c r="B796" t="inlineStr">
        <is>
          <t>M1</t>
        </is>
      </c>
      <c r="C796" t="inlineStr">
        <is>
          <t>Cali</t>
        </is>
      </c>
      <c r="D796" t="inlineStr">
        <is>
          <t>6389</t>
        </is>
      </c>
      <c r="E796" t="inlineStr">
        <is>
          <t>TDV</t>
        </is>
      </c>
      <c r="F796" s="23" t="n">
        <v>46280</v>
      </c>
      <c r="G796" t="inlineStr">
        <is>
          <t>provision</t>
        </is>
      </c>
      <c r="H796" s="26" t="n">
        <v>344735819</v>
      </c>
      <c r="I796" t="inlineStr">
        <is>
          <t>bajo</t>
        </is>
      </c>
      <c r="J796" t="inlineStr">
        <is>
          <t>RN-11 y RN-34: provision hasta el cupo operativo antes de bajar del 8 %</t>
        </is>
      </c>
      <c r="K796" t="inlineStr">
        <is>
          <t>Provision en la manana, antes del pagado: con el pronostico, sin provision el saldo bajaria del 8 % del cupo ese dia. Lleva el saldo de 66.264.181 a 411.000.000 COP (cupo 411.000.000). Equipo administrado por TDV.</t>
        </is>
      </c>
      <c r="L796" s="26" t="n">
        <v>411000000</v>
      </c>
      <c r="M796" s="26" t="n">
        <v>66264181</v>
      </c>
      <c r="N796" s="27">
        <f>IF(ISNUMBER(M796),M796/L796,"No aplica")</f>
        <v>0.16122671776155717</v>
      </c>
      <c r="O796" s="25">
        <f>IF(G796="provision",M796+H796,IF(G796="recoleccion",M796-H796,"No aplica"))</f>
        <v>411000000</v>
      </c>
      <c r="P796" s="26" t="n">
        <v>174107</v>
      </c>
    </row>
    <row r="797">
      <c r="A797" t="inlineStr">
        <is>
          <t>PRAGMA</t>
        </is>
      </c>
      <c r="B797" t="inlineStr">
        <is>
          <t>M1</t>
        </is>
      </c>
      <c r="C797" t="inlineStr">
        <is>
          <t>Pasto</t>
        </is>
      </c>
      <c r="D797" t="inlineStr">
        <is>
          <t>6397</t>
        </is>
      </c>
      <c r="E797" t="inlineStr">
        <is>
          <t>Sucursal</t>
        </is>
      </c>
      <c r="F797" s="23" t="n">
        <v>46269</v>
      </c>
      <c r="G797" t="inlineStr">
        <is>
          <t>provision</t>
        </is>
      </c>
      <c r="H797" s="26" t="n">
        <v>349877345</v>
      </c>
      <c r="I797" t="inlineStr">
        <is>
          <t>bajo</t>
        </is>
      </c>
      <c r="J797" t="inlineStr">
        <is>
          <t>RN-11 y RN-34: provision hasta el cupo operativo antes de bajar del 8 %</t>
        </is>
      </c>
      <c r="K797" t="inlineStr">
        <is>
          <t>Provision en la manana, antes del pagado: con el pronostico, sin provision el saldo bajaria del 8 % del cupo ese dia. Lleva el saldo de 91.122.655 a 441.000.000 COP (cupo 441.000.000). Equipo administrado por Sucursal. Sin tarifa TDV (administrado por la sucursal): costo 0 declarado.</t>
        </is>
      </c>
      <c r="L797" s="26" t="n">
        <v>441000000</v>
      </c>
      <c r="M797" s="26" t="n">
        <v>91122655</v>
      </c>
      <c r="N797" s="27">
        <f>IF(ISNUMBER(M797),M797/L797,"No aplica")</f>
        <v>0.20662733560090704</v>
      </c>
      <c r="O797" s="25">
        <f>IF(G797="provision",M797+H797,IF(G797="recoleccion",M797-H797,"No aplica"))</f>
        <v>441000000</v>
      </c>
      <c r="P797" s="26" t="n">
        <v>0</v>
      </c>
    </row>
    <row r="798">
      <c r="A798" t="inlineStr">
        <is>
          <t>PRAGMA</t>
        </is>
      </c>
      <c r="B798" t="inlineStr">
        <is>
          <t>M1</t>
        </is>
      </c>
      <c r="C798" t="inlineStr">
        <is>
          <t>Pasto</t>
        </is>
      </c>
      <c r="D798" t="inlineStr">
        <is>
          <t>6397</t>
        </is>
      </c>
      <c r="E798" t="inlineStr">
        <is>
          <t>Sucursal</t>
        </is>
      </c>
      <c r="F798" s="23" t="n">
        <v>46273</v>
      </c>
      <c r="G798" t="inlineStr">
        <is>
          <t>provision</t>
        </is>
      </c>
      <c r="H798" s="26" t="n">
        <v>380606495</v>
      </c>
      <c r="I798" t="inlineStr">
        <is>
          <t>bajo</t>
        </is>
      </c>
      <c r="J798" t="inlineStr">
        <is>
          <t>RN-11 y RN-34: provision hasta el cupo operativo antes de bajar del 8 %</t>
        </is>
      </c>
      <c r="K798" t="inlineStr">
        <is>
          <t>Provision en la manana, antes del pagado: con el pronostico, sin provision el saldo bajaria del 8 % del cupo ese dia. Lleva el saldo de 60.393.505 a 441.000.000 COP (cupo 441.000.000). Equipo administrado por Sucursal. Sin tarifa TDV (administrado por la sucursal): costo 0 declarado.</t>
        </is>
      </c>
      <c r="L798" s="26" t="n">
        <v>441000000</v>
      </c>
      <c r="M798" s="26" t="n">
        <v>60393505</v>
      </c>
      <c r="N798" s="27">
        <f>IF(ISNUMBER(M798),M798/L798,"No aplica")</f>
        <v>0.13694672335600908</v>
      </c>
      <c r="O798" s="25">
        <f>IF(G798="provision",M798+H798,IF(G798="recoleccion",M798-H798,"No aplica"))</f>
        <v>441000000</v>
      </c>
      <c r="P798" s="26" t="n">
        <v>0</v>
      </c>
    </row>
    <row r="799">
      <c r="A799" t="inlineStr">
        <is>
          <t>PRAGMA</t>
        </is>
      </c>
      <c r="B799" t="inlineStr">
        <is>
          <t>M1</t>
        </is>
      </c>
      <c r="C799" t="inlineStr">
        <is>
          <t>Pasto</t>
        </is>
      </c>
      <c r="D799" t="inlineStr">
        <is>
          <t>6397</t>
        </is>
      </c>
      <c r="E799" t="inlineStr">
        <is>
          <t>Sucursal</t>
        </is>
      </c>
      <c r="F799" s="23" t="n">
        <v>46278</v>
      </c>
      <c r="G799" t="inlineStr">
        <is>
          <t>provision</t>
        </is>
      </c>
      <c r="H799" s="26" t="n">
        <v>400953612</v>
      </c>
      <c r="I799" t="inlineStr">
        <is>
          <t>bajo</t>
        </is>
      </c>
      <c r="J799" t="inlineStr">
        <is>
          <t>RN-11 y RN-34: provision hasta el cupo operativo antes de bajar del 8 %</t>
        </is>
      </c>
      <c r="K799" t="inlineStr">
        <is>
          <t>Provision en la manana, antes del pagado: con el pronostico, sin provision el saldo bajaria del 8 % del cupo ese dia. Lleva el saldo de 40.046.388 a 441.000.000 COP (cupo 441.000.000). Equipo administrado por Sucursal. Sin tarifa TDV (administrado por la sucursal): costo 0 declarado.</t>
        </is>
      </c>
      <c r="L799" s="26" t="n">
        <v>441000000</v>
      </c>
      <c r="M799" s="26" t="n">
        <v>40046388</v>
      </c>
      <c r="N799" s="27">
        <f>IF(ISNUMBER(M799),M799/L799,"No aplica")</f>
        <v>0.09080813605442177</v>
      </c>
      <c r="O799" s="25">
        <f>IF(G799="provision",M799+H799,IF(G799="recoleccion",M799-H799,"No aplica"))</f>
        <v>441000000</v>
      </c>
      <c r="P799" s="26" t="n">
        <v>0</v>
      </c>
    </row>
    <row r="800">
      <c r="A800" t="inlineStr">
        <is>
          <t>PRAGMA</t>
        </is>
      </c>
      <c r="B800" t="inlineStr">
        <is>
          <t>M1</t>
        </is>
      </c>
      <c r="C800" t="inlineStr">
        <is>
          <t>Cali</t>
        </is>
      </c>
      <c r="D800" t="inlineStr">
        <is>
          <t>6405</t>
        </is>
      </c>
      <c r="E800" t="inlineStr">
        <is>
          <t>Sucursal</t>
        </is>
      </c>
      <c r="F800" s="23" t="n">
        <v>46268</v>
      </c>
      <c r="G800" t="inlineStr">
        <is>
          <t>provision</t>
        </is>
      </c>
      <c r="H800" s="26" t="n">
        <v>371558790</v>
      </c>
      <c r="I800" t="inlineStr">
        <is>
          <t>bajo</t>
        </is>
      </c>
      <c r="J800" t="inlineStr">
        <is>
          <t>RN-11 y RN-34: provision hasta el cupo operativo antes de bajar del 8 %</t>
        </is>
      </c>
      <c r="K800" t="inlineStr">
        <is>
          <t>Provision en la manana, antes del pagado: con el pronostico, sin provision el saldo bajaria del 8 % del cupo ese dia. Lleva el saldo de 69.441.210 a 441.000.000 COP (cupo 441.000.000). Equipo administrado por Sucursal. Sin tarifa TDV (administrado por la sucursal): costo 0 declarado.</t>
        </is>
      </c>
      <c r="L800" s="26" t="n">
        <v>441000000</v>
      </c>
      <c r="M800" s="26" t="n">
        <v>69441210</v>
      </c>
      <c r="N800" s="27">
        <f>IF(ISNUMBER(M800),M800/L800,"No aplica")</f>
        <v>0.1574630612244898</v>
      </c>
      <c r="O800" s="25">
        <f>IF(G800="provision",M800+H800,IF(G800="recoleccion",M800-H800,"No aplica"))</f>
        <v>441000000</v>
      </c>
      <c r="P800" s="26" t="n">
        <v>0</v>
      </c>
    </row>
    <row r="801">
      <c r="A801" t="inlineStr">
        <is>
          <t>PRAGMA</t>
        </is>
      </c>
      <c r="B801" t="inlineStr">
        <is>
          <t>M1</t>
        </is>
      </c>
      <c r="C801" t="inlineStr">
        <is>
          <t>Cali</t>
        </is>
      </c>
      <c r="D801" t="inlineStr">
        <is>
          <t>6405</t>
        </is>
      </c>
      <c r="E801" t="inlineStr">
        <is>
          <t>Sucursal</t>
        </is>
      </c>
      <c r="F801" s="23" t="n">
        <v>46270</v>
      </c>
      <c r="G801" t="inlineStr">
        <is>
          <t>provision</t>
        </is>
      </c>
      <c r="H801" s="26" t="n">
        <v>284822069</v>
      </c>
      <c r="I801" t="inlineStr">
        <is>
          <t>bajo</t>
        </is>
      </c>
      <c r="J801" t="inlineStr">
        <is>
          <t>RN-11 y RN-34: provision hasta el cupo operativo antes de bajar del 8 %</t>
        </is>
      </c>
      <c r="K801" t="inlineStr">
        <is>
          <t>Provision en la manana, antes del pagado: con el pronostico, sin provision el saldo bajaria del 8 % del cupo ese dia. Lleva el saldo de 156.177.931 a 441.000.000 COP (cupo 441.000.000). Equipo administrado por Sucursal. Sin tarifa TDV (administrado por la sucursal): costo 0 declarado.</t>
        </is>
      </c>
      <c r="L801" s="26" t="n">
        <v>441000000</v>
      </c>
      <c r="M801" s="26" t="n">
        <v>156177931</v>
      </c>
      <c r="N801" s="27">
        <f>IF(ISNUMBER(M801),M801/L801,"No aplica")</f>
        <v>0.35414496825396824</v>
      </c>
      <c r="O801" s="25">
        <f>IF(G801="provision",M801+H801,IF(G801="recoleccion",M801-H801,"No aplica"))</f>
        <v>441000000</v>
      </c>
      <c r="P801" s="26" t="n">
        <v>0</v>
      </c>
    </row>
    <row r="802">
      <c r="A802" t="inlineStr">
        <is>
          <t>PRAGMA</t>
        </is>
      </c>
      <c r="B802" t="inlineStr">
        <is>
          <t>M1</t>
        </is>
      </c>
      <c r="C802" t="inlineStr">
        <is>
          <t>Cali</t>
        </is>
      </c>
      <c r="D802" t="inlineStr">
        <is>
          <t>6405</t>
        </is>
      </c>
      <c r="E802" t="inlineStr">
        <is>
          <t>Sucursal</t>
        </is>
      </c>
      <c r="F802" s="23" t="n">
        <v>46273</v>
      </c>
      <c r="G802" t="inlineStr">
        <is>
          <t>provision</t>
        </is>
      </c>
      <c r="H802" s="26" t="n">
        <v>376432334</v>
      </c>
      <c r="I802" t="inlineStr">
        <is>
          <t>bajo</t>
        </is>
      </c>
      <c r="J802" t="inlineStr">
        <is>
          <t>RN-11 y RN-34: provision hasta el cupo operativo antes de bajar del 8 %</t>
        </is>
      </c>
      <c r="K802" t="inlineStr">
        <is>
          <t>Provision en la manana, antes del pagado: con el pronostico, sin provision el saldo bajaria del 8 % del cupo ese dia. Lleva el saldo de 64.567.666 a 441.000.000 COP (cupo 441.000.000). Equipo administrado por Sucursal. Sin tarifa TDV (administrado por la sucursal): costo 0 declarado.</t>
        </is>
      </c>
      <c r="L802" s="26" t="n">
        <v>441000000</v>
      </c>
      <c r="M802" s="26" t="n">
        <v>64567666</v>
      </c>
      <c r="N802" s="27">
        <f>IF(ISNUMBER(M802),M802/L802,"No aplica")</f>
        <v>0.1464119410430839</v>
      </c>
      <c r="O802" s="25">
        <f>IF(G802="provision",M802+H802,IF(G802="recoleccion",M802-H802,"No aplica"))</f>
        <v>441000000</v>
      </c>
      <c r="P802" s="26" t="n">
        <v>0</v>
      </c>
    </row>
    <row r="803">
      <c r="A803" t="inlineStr">
        <is>
          <t>PRAGMA</t>
        </is>
      </c>
      <c r="B803" t="inlineStr">
        <is>
          <t>M1</t>
        </is>
      </c>
      <c r="C803" t="inlineStr">
        <is>
          <t>Cali</t>
        </is>
      </c>
      <c r="D803" t="inlineStr">
        <is>
          <t>6405</t>
        </is>
      </c>
      <c r="E803" t="inlineStr">
        <is>
          <t>Sucursal</t>
        </is>
      </c>
      <c r="F803" s="23" t="n">
        <v>46276</v>
      </c>
      <c r="G803" t="inlineStr">
        <is>
          <t>provision</t>
        </is>
      </c>
      <c r="H803" s="26" t="n">
        <v>318976180</v>
      </c>
      <c r="I803" t="inlineStr">
        <is>
          <t>bajo</t>
        </is>
      </c>
      <c r="J803" t="inlineStr">
        <is>
          <t>RN-11 y RN-34: provision hasta el cupo operativo antes de bajar del 8 %</t>
        </is>
      </c>
      <c r="K803" t="inlineStr">
        <is>
          <t>Provision en la manana, antes del pagado: con el pronostico, sin provision el saldo bajaria del 8 % del cupo ese dia. Lleva el saldo de 122.023.820 a 441.000.000 COP (cupo 441.000.000). Equipo administrado por Sucursal. Sin tarifa TDV (administrado por la sucursal): costo 0 declarado.</t>
        </is>
      </c>
      <c r="L803" s="26" t="n">
        <v>441000000</v>
      </c>
      <c r="M803" s="26" t="n">
        <v>122023820</v>
      </c>
      <c r="N803" s="27">
        <f>IF(ISNUMBER(M803),M803/L803,"No aplica")</f>
        <v>0.27669800453514737</v>
      </c>
      <c r="O803" s="25">
        <f>IF(G803="provision",M803+H803,IF(G803="recoleccion",M803-H803,"No aplica"))</f>
        <v>441000000</v>
      </c>
      <c r="P803" s="26" t="n">
        <v>0</v>
      </c>
    </row>
    <row r="804">
      <c r="A804" t="inlineStr">
        <is>
          <t>PRAGMA</t>
        </is>
      </c>
      <c r="B804" t="inlineStr">
        <is>
          <t>M1</t>
        </is>
      </c>
      <c r="C804" t="inlineStr">
        <is>
          <t>Cali</t>
        </is>
      </c>
      <c r="D804" t="inlineStr">
        <is>
          <t>6405</t>
        </is>
      </c>
      <c r="E804" t="inlineStr">
        <is>
          <t>Sucursal</t>
        </is>
      </c>
      <c r="F804" s="23" t="n">
        <v>46279</v>
      </c>
      <c r="G804" t="inlineStr">
        <is>
          <t>provision</t>
        </is>
      </c>
      <c r="H804" s="26" t="n">
        <v>306898905</v>
      </c>
      <c r="I804" t="inlineStr">
        <is>
          <t>bajo</t>
        </is>
      </c>
      <c r="J804" t="inlineStr">
        <is>
          <t>RN-11 y RN-34: provision hasta el cupo operativo antes de bajar del 8 %</t>
        </is>
      </c>
      <c r="K804" t="inlineStr">
        <is>
          <t>Provision en la manana, antes del pagado: con el pronostico, sin provision el saldo bajaria del 8 % del cupo ese dia. Lleva el saldo de 134.101.095 a 441.000.000 COP (cupo 441.000.000). Equipo administrado por Sucursal. Sin tarifa TDV (administrado por la sucursal): costo 0 declarado.</t>
        </is>
      </c>
      <c r="L804" s="26" t="n">
        <v>441000000</v>
      </c>
      <c r="M804" s="26" t="n">
        <v>134101095</v>
      </c>
      <c r="N804" s="27">
        <f>IF(ISNUMBER(M804),M804/L804,"No aplica")</f>
        <v>0.3040841156462585</v>
      </c>
      <c r="O804" s="25">
        <f>IF(G804="provision",M804+H804,IF(G804="recoleccion",M804-H804,"No aplica"))</f>
        <v>441000000</v>
      </c>
      <c r="P804" s="26" t="n">
        <v>0</v>
      </c>
    </row>
    <row r="805">
      <c r="A805" t="inlineStr">
        <is>
          <t>PRAGMA</t>
        </is>
      </c>
      <c r="B805" t="inlineStr">
        <is>
          <t>M1</t>
        </is>
      </c>
      <c r="C805" t="inlineStr">
        <is>
          <t>Cali</t>
        </is>
      </c>
      <c r="D805" t="inlineStr">
        <is>
          <t>6409</t>
        </is>
      </c>
      <c r="E805" t="inlineStr">
        <is>
          <t>TDV</t>
        </is>
      </c>
      <c r="F805" s="23" t="n">
        <v>46268</v>
      </c>
      <c r="G805" t="inlineStr">
        <is>
          <t>provision</t>
        </is>
      </c>
      <c r="H805" s="26" t="n">
        <v>393282989</v>
      </c>
      <c r="I805" t="inlineStr">
        <is>
          <t>bajo</t>
        </is>
      </c>
      <c r="J805" t="inlineStr">
        <is>
          <t>RN-11 y RN-34: provision hasta el cupo operativo antes de bajar del 8 %</t>
        </is>
      </c>
      <c r="K805" t="inlineStr">
        <is>
          <t>Provision en la manana, antes del pagado: con el pronostico, sin provision el saldo bajaria del 8 % del cupo ese dia. Lleva el saldo de 106.717.011 a 500.000.000 COP (cupo 500.000.000). Equipo administrado por TDV.</t>
        </is>
      </c>
      <c r="L805" s="26" t="n">
        <v>500000000</v>
      </c>
      <c r="M805" s="26" t="n">
        <v>106717011</v>
      </c>
      <c r="N805" s="27">
        <f>IF(ISNUMBER(M805),M805/L805,"No aplica")</f>
        <v>0.213434022</v>
      </c>
      <c r="O805" s="25">
        <f>IF(G805="provision",M805+H805,IF(G805="recoleccion",M805-H805,"No aplica"))</f>
        <v>500000000</v>
      </c>
      <c r="P805" s="26" t="n">
        <v>163367</v>
      </c>
    </row>
    <row r="806">
      <c r="A806" t="inlineStr">
        <is>
          <t>PRAGMA</t>
        </is>
      </c>
      <c r="B806" t="inlineStr">
        <is>
          <t>M1</t>
        </is>
      </c>
      <c r="C806" t="inlineStr">
        <is>
          <t>Cali</t>
        </is>
      </c>
      <c r="D806" t="inlineStr">
        <is>
          <t>6409</t>
        </is>
      </c>
      <c r="E806" t="inlineStr">
        <is>
          <t>TDV</t>
        </is>
      </c>
      <c r="F806" s="23" t="n">
        <v>46270</v>
      </c>
      <c r="G806" t="inlineStr">
        <is>
          <t>provision</t>
        </is>
      </c>
      <c r="H806" s="26" t="n">
        <v>337721438</v>
      </c>
      <c r="I806" t="inlineStr">
        <is>
          <t>bajo</t>
        </is>
      </c>
      <c r="J806" t="inlineStr">
        <is>
          <t>RN-11 y RN-34: provision hasta el cupo operativo antes de bajar del 8 %</t>
        </is>
      </c>
      <c r="K806" t="inlineStr">
        <is>
          <t>Provision en la manana, antes del pagado: con el pronostico, sin provision el saldo bajaria del 8 % del cupo ese dia. Lleva el saldo de 162.278.562 a 500.000.000 COP (cupo 500.000.000). Equipo administrado por TDV.</t>
        </is>
      </c>
      <c r="L806" s="26" t="n">
        <v>500000000</v>
      </c>
      <c r="M806" s="26" t="n">
        <v>162278562</v>
      </c>
      <c r="N806" s="27">
        <f>IF(ISNUMBER(M806),M806/L806,"No aplica")</f>
        <v>0.324557124</v>
      </c>
      <c r="O806" s="25">
        <f>IF(G806="provision",M806+H806,IF(G806="recoleccion",M806-H806,"No aplica"))</f>
        <v>500000000</v>
      </c>
      <c r="P806" s="26" t="n">
        <v>143476</v>
      </c>
    </row>
    <row r="807">
      <c r="A807" t="inlineStr">
        <is>
          <t>PRAGMA</t>
        </is>
      </c>
      <c r="B807" t="inlineStr">
        <is>
          <t>M1</t>
        </is>
      </c>
      <c r="C807" t="inlineStr">
        <is>
          <t>Cali</t>
        </is>
      </c>
      <c r="D807" t="inlineStr">
        <is>
          <t>6409</t>
        </is>
      </c>
      <c r="E807" t="inlineStr">
        <is>
          <t>TDV</t>
        </is>
      </c>
      <c r="F807" s="23" t="n">
        <v>46273</v>
      </c>
      <c r="G807" t="inlineStr">
        <is>
          <t>provision</t>
        </is>
      </c>
      <c r="H807" s="26" t="n">
        <v>379953838</v>
      </c>
      <c r="I807" t="inlineStr">
        <is>
          <t>bajo</t>
        </is>
      </c>
      <c r="J807" t="inlineStr">
        <is>
          <t>RN-11 y RN-34: provision hasta el cupo operativo antes de bajar del 8 %</t>
        </is>
      </c>
      <c r="K807" t="inlineStr">
        <is>
          <t>Provision en la manana, antes del pagado: con el pronostico, sin provision el saldo bajaria del 8 % del cupo ese dia. Lleva el saldo de 120.046.162 a 500.000.000 COP (cupo 500.000.000). Equipo administrado por TDV.</t>
        </is>
      </c>
      <c r="L807" s="26" t="n">
        <v>500000000</v>
      </c>
      <c r="M807" s="26" t="n">
        <v>120046162</v>
      </c>
      <c r="N807" s="27">
        <f>IF(ISNUMBER(M807),M807/L807,"No aplica")</f>
        <v>0.240092324</v>
      </c>
      <c r="O807" s="25">
        <f>IF(G807="provision",M807+H807,IF(G807="recoleccion",M807-H807,"No aplica"))</f>
        <v>500000000</v>
      </c>
      <c r="P807" s="26" t="n">
        <v>158595</v>
      </c>
    </row>
    <row r="808">
      <c r="A808" t="inlineStr">
        <is>
          <t>PRAGMA</t>
        </is>
      </c>
      <c r="B808" t="inlineStr">
        <is>
          <t>M1</t>
        </is>
      </c>
      <c r="C808" t="inlineStr">
        <is>
          <t>Cali</t>
        </is>
      </c>
      <c r="D808" t="inlineStr">
        <is>
          <t>6409</t>
        </is>
      </c>
      <c r="E808" t="inlineStr">
        <is>
          <t>TDV</t>
        </is>
      </c>
      <c r="F808" s="23" t="n">
        <v>46276</v>
      </c>
      <c r="G808" t="inlineStr">
        <is>
          <t>provision</t>
        </is>
      </c>
      <c r="H808" s="26" t="n">
        <v>398943835</v>
      </c>
      <c r="I808" t="inlineStr">
        <is>
          <t>bajo</t>
        </is>
      </c>
      <c r="J808" t="inlineStr">
        <is>
          <t>RN-11 y RN-34: provision hasta el cupo operativo antes de bajar del 8 %</t>
        </is>
      </c>
      <c r="K808" t="inlineStr">
        <is>
          <t>Provision en la manana, antes del pagado: con el pronostico, sin provision el saldo bajaria del 8 % del cupo ese dia. Lleva el saldo de 101.056.165 a 500.000.000 COP (cupo 500.000.000). Equipo administrado por TDV.</t>
        </is>
      </c>
      <c r="L808" s="26" t="n">
        <v>500000000</v>
      </c>
      <c r="M808" s="26" t="n">
        <v>101056165</v>
      </c>
      <c r="N808" s="27">
        <f>IF(ISNUMBER(M808),M808/L808,"No aplica")</f>
        <v>0.20211233</v>
      </c>
      <c r="O808" s="25">
        <f>IF(G808="provision",M808+H808,IF(G808="recoleccion",M808-H808,"No aplica"))</f>
        <v>500000000</v>
      </c>
      <c r="P808" s="26" t="n">
        <v>165394</v>
      </c>
    </row>
    <row r="809">
      <c r="A809" t="inlineStr">
        <is>
          <t>PRAGMA</t>
        </is>
      </c>
      <c r="B809" t="inlineStr">
        <is>
          <t>M1</t>
        </is>
      </c>
      <c r="C809" t="inlineStr">
        <is>
          <t>Cali</t>
        </is>
      </c>
      <c r="D809" t="inlineStr">
        <is>
          <t>6409</t>
        </is>
      </c>
      <c r="E809" t="inlineStr">
        <is>
          <t>TDV</t>
        </is>
      </c>
      <c r="F809" s="23" t="n">
        <v>46279</v>
      </c>
      <c r="G809" t="inlineStr">
        <is>
          <t>provision</t>
        </is>
      </c>
      <c r="H809" s="26" t="n">
        <v>351578300</v>
      </c>
      <c r="I809" t="inlineStr">
        <is>
          <t>bajo</t>
        </is>
      </c>
      <c r="J809" t="inlineStr">
        <is>
          <t>RN-11 y RN-34: provision hasta el cupo operativo antes de bajar del 8 %</t>
        </is>
      </c>
      <c r="K809" t="inlineStr">
        <is>
          <t>Provision en la manana, antes del pagado: con el pronostico, sin provision el saldo bajaria del 8 % del cupo ese dia. Lleva el saldo de 148.421.700 a 500.000.000 COP (cupo 500.000.000). Equipo administrado por TDV.</t>
        </is>
      </c>
      <c r="L809" s="26" t="n">
        <v>500000000</v>
      </c>
      <c r="M809" s="26" t="n">
        <v>148421700</v>
      </c>
      <c r="N809" s="27">
        <f>IF(ISNUMBER(M809),M809/L809,"No aplica")</f>
        <v>0.2968434</v>
      </c>
      <c r="O809" s="25">
        <f>IF(G809="provision",M809+H809,IF(G809="recoleccion",M809-H809,"No aplica"))</f>
        <v>500000000</v>
      </c>
      <c r="P809" s="26" t="n">
        <v>148437</v>
      </c>
    </row>
    <row r="810">
      <c r="A810" t="inlineStr">
        <is>
          <t>PRAGMA</t>
        </is>
      </c>
      <c r="B810" t="inlineStr">
        <is>
          <t>M1</t>
        </is>
      </c>
      <c r="C810" t="inlineStr">
        <is>
          <t>Cali</t>
        </is>
      </c>
      <c r="D810" t="inlineStr">
        <is>
          <t>6447</t>
        </is>
      </c>
      <c r="E810" t="inlineStr">
        <is>
          <t>TDV</t>
        </is>
      </c>
      <c r="F810" s="23" t="n">
        <v>46270</v>
      </c>
      <c r="G810" t="inlineStr">
        <is>
          <t>provision</t>
        </is>
      </c>
      <c r="H810" s="26" t="n">
        <v>344748323</v>
      </c>
      <c r="I810" t="inlineStr">
        <is>
          <t>bajo</t>
        </is>
      </c>
      <c r="J810" t="inlineStr">
        <is>
          <t>RN-11 y RN-34: provision hasta el cupo operativo antes de bajar del 8 %</t>
        </is>
      </c>
      <c r="K810" t="inlineStr">
        <is>
          <t>Provision en la manana, antes del pagado: con el pronostico, sin provision el saldo bajaria del 8 % del cupo ese dia. Lleva el saldo de 66.251.677 a 411.000.000 COP (cupo 411.000.000). Equipo administrado por TDV.</t>
        </is>
      </c>
      <c r="L810" s="26" t="n">
        <v>411000000</v>
      </c>
      <c r="M810" s="26" t="n">
        <v>66251677</v>
      </c>
      <c r="N810" s="27">
        <f>IF(ISNUMBER(M810),M810/L810,"No aplica")</f>
        <v>0.16119629440389294</v>
      </c>
      <c r="O810" s="25">
        <f>IF(G810="provision",M810+H810,IF(G810="recoleccion",M810-H810,"No aplica"))</f>
        <v>411000000</v>
      </c>
      <c r="P810" s="26" t="n">
        <v>174773</v>
      </c>
    </row>
    <row r="811">
      <c r="A811" t="inlineStr">
        <is>
          <t>PRAGMA</t>
        </is>
      </c>
      <c r="B811" t="inlineStr">
        <is>
          <t>M1</t>
        </is>
      </c>
      <c r="C811" t="inlineStr">
        <is>
          <t>Cali</t>
        </is>
      </c>
      <c r="D811" t="inlineStr">
        <is>
          <t>6447</t>
        </is>
      </c>
      <c r="E811" t="inlineStr">
        <is>
          <t>TDV</t>
        </is>
      </c>
      <c r="F811" s="23" t="n">
        <v>46276</v>
      </c>
      <c r="G811" t="inlineStr">
        <is>
          <t>provision</t>
        </is>
      </c>
      <c r="H811" s="26" t="n">
        <v>365724596</v>
      </c>
      <c r="I811" t="inlineStr">
        <is>
          <t>bajo</t>
        </is>
      </c>
      <c r="J811" t="inlineStr">
        <is>
          <t>RN-11 y RN-34: provision hasta el cupo operativo antes de bajar del 8 %</t>
        </is>
      </c>
      <c r="K811" t="inlineStr">
        <is>
          <t>Provision en la manana, antes del pagado: con el pronostico, sin provision el saldo bajaria del 8 % del cupo ese dia. Lleva el saldo de 45.275.404 a 411.000.000 COP (cupo 411.000.000). Equipo administrado por TDV.</t>
        </is>
      </c>
      <c r="L811" s="26" t="n">
        <v>411000000</v>
      </c>
      <c r="M811" s="26" t="n">
        <v>45275404</v>
      </c>
      <c r="N811" s="27">
        <f>IF(ISNUMBER(M811),M811/L811,"No aplica")</f>
        <v>0.11015913381995134</v>
      </c>
      <c r="O811" s="25">
        <f>IF(G811="provision",M811+H811,IF(G811="recoleccion",M811-H811,"No aplica"))</f>
        <v>411000000</v>
      </c>
      <c r="P811" s="26" t="n">
        <v>184255</v>
      </c>
    </row>
    <row r="812">
      <c r="A812" t="inlineStr">
        <is>
          <t>PRAGMA</t>
        </is>
      </c>
      <c r="B812" t="inlineStr">
        <is>
          <t>M1</t>
        </is>
      </c>
      <c r="C812" t="inlineStr">
        <is>
          <t>Cali</t>
        </is>
      </c>
      <c r="D812" t="inlineStr">
        <is>
          <t>6452</t>
        </is>
      </c>
      <c r="E812" t="inlineStr">
        <is>
          <t>Sucursal</t>
        </is>
      </c>
      <c r="F812" s="23" t="n">
        <v>46267</v>
      </c>
      <c r="G812" t="inlineStr">
        <is>
          <t>provision</t>
        </is>
      </c>
      <c r="H812" s="26" t="n">
        <v>199042208</v>
      </c>
      <c r="I812" t="inlineStr">
        <is>
          <t>bajo</t>
        </is>
      </c>
      <c r="J812" t="inlineStr">
        <is>
          <t>RN-11 y RN-34: provision hasta el cupo operativo antes de bajar del 8 %</t>
        </is>
      </c>
      <c r="K812" t="inlineStr">
        <is>
          <t>Provision en la manana, antes del pagado: con el pronostico, sin provision el saldo bajaria del 8 % del cupo ese dia. Lleva el saldo de 160.957.792 a 360.000.000 COP (cupo 360.000.000). Equipo administrado por Sucursal. Sin tarifa TDV (administrado por la sucursal): costo 0 declarado.</t>
        </is>
      </c>
      <c r="L812" s="26" t="n">
        <v>360000000</v>
      </c>
      <c r="M812" s="26" t="n">
        <v>160957792</v>
      </c>
      <c r="N812" s="27">
        <f>IF(ISNUMBER(M812),M812/L812,"No aplica")</f>
        <v>0.4471049777777778</v>
      </c>
      <c r="O812" s="25">
        <f>IF(G812="provision",M812+H812,IF(G812="recoleccion",M812-H812,"No aplica"))</f>
        <v>360000000</v>
      </c>
      <c r="P812" s="26" t="n">
        <v>0</v>
      </c>
    </row>
    <row r="813">
      <c r="A813" t="inlineStr">
        <is>
          <t>PRAGMA</t>
        </is>
      </c>
      <c r="B813" t="inlineStr">
        <is>
          <t>M1</t>
        </is>
      </c>
      <c r="C813" t="inlineStr">
        <is>
          <t>Cali</t>
        </is>
      </c>
      <c r="D813" t="inlineStr">
        <is>
          <t>6452</t>
        </is>
      </c>
      <c r="E813" t="inlineStr">
        <is>
          <t>Sucursal</t>
        </is>
      </c>
      <c r="F813" s="23" t="n">
        <v>46269</v>
      </c>
      <c r="G813" t="inlineStr">
        <is>
          <t>provision</t>
        </is>
      </c>
      <c r="H813" s="26" t="n">
        <v>296183965</v>
      </c>
      <c r="I813" t="inlineStr">
        <is>
          <t>bajo</t>
        </is>
      </c>
      <c r="J813" t="inlineStr">
        <is>
          <t>RN-11 y RN-34: provision hasta el cupo operativo antes de bajar del 8 %</t>
        </is>
      </c>
      <c r="K813" t="inlineStr">
        <is>
          <t>Provision en la manana, antes del pagado: con el pronostico, sin provision el saldo bajaria del 8 % del cupo ese dia. Lleva el saldo de 63.816.035 a 360.000.000 COP (cupo 360.000.000). Equipo administrado por Sucursal. Sin tarifa TDV (administrado por la sucursal): costo 0 declarado.</t>
        </is>
      </c>
      <c r="L813" s="26" t="n">
        <v>360000000</v>
      </c>
      <c r="M813" s="26" t="n">
        <v>63816035</v>
      </c>
      <c r="N813" s="27">
        <f>IF(ISNUMBER(M813),M813/L813,"No aplica")</f>
        <v>0.1772667638888889</v>
      </c>
      <c r="O813" s="25">
        <f>IF(G813="provision",M813+H813,IF(G813="recoleccion",M813-H813,"No aplica"))</f>
        <v>360000000</v>
      </c>
      <c r="P813" s="26" t="n">
        <v>0</v>
      </c>
    </row>
    <row r="814">
      <c r="A814" t="inlineStr">
        <is>
          <t>PRAGMA</t>
        </is>
      </c>
      <c r="B814" t="inlineStr">
        <is>
          <t>M1</t>
        </is>
      </c>
      <c r="C814" t="inlineStr">
        <is>
          <t>Cali</t>
        </is>
      </c>
      <c r="D814" t="inlineStr">
        <is>
          <t>6452</t>
        </is>
      </c>
      <c r="E814" t="inlineStr">
        <is>
          <t>Sucursal</t>
        </is>
      </c>
      <c r="F814" s="23" t="n">
        <v>46271</v>
      </c>
      <c r="G814" t="inlineStr">
        <is>
          <t>provision</t>
        </is>
      </c>
      <c r="H814" s="26" t="n">
        <v>287367583</v>
      </c>
      <c r="I814" t="inlineStr">
        <is>
          <t>bajo</t>
        </is>
      </c>
      <c r="J814" t="inlineStr">
        <is>
          <t>RN-11 y RN-34: provision hasta el cupo operativo antes de bajar del 8 %</t>
        </is>
      </c>
      <c r="K814" t="inlineStr">
        <is>
          <t>Provision en la manana, antes del pagado: con el pronostico, sin provision el saldo bajaria del 8 % del cupo ese dia. Lleva el saldo de 72.632.417 a 360.000.000 COP (cupo 360.000.000). Equipo administrado por Sucursal. Sin tarifa TDV (administrado por la sucursal): costo 0 declarado.</t>
        </is>
      </c>
      <c r="L814" s="26" t="n">
        <v>360000000</v>
      </c>
      <c r="M814" s="26" t="n">
        <v>72632417</v>
      </c>
      <c r="N814" s="27">
        <f>IF(ISNUMBER(M814),M814/L814,"No aplica")</f>
        <v>0.20175671388888888</v>
      </c>
      <c r="O814" s="25">
        <f>IF(G814="provision",M814+H814,IF(G814="recoleccion",M814-H814,"No aplica"))</f>
        <v>360000000</v>
      </c>
      <c r="P814" s="26" t="n">
        <v>0</v>
      </c>
    </row>
    <row r="815">
      <c r="A815" t="inlineStr">
        <is>
          <t>PRAGMA</t>
        </is>
      </c>
      <c r="B815" t="inlineStr">
        <is>
          <t>M1</t>
        </is>
      </c>
      <c r="C815" t="inlineStr">
        <is>
          <t>Cali</t>
        </is>
      </c>
      <c r="D815" t="inlineStr">
        <is>
          <t>6452</t>
        </is>
      </c>
      <c r="E815" t="inlineStr">
        <is>
          <t>Sucursal</t>
        </is>
      </c>
      <c r="F815" s="23" t="n">
        <v>46274</v>
      </c>
      <c r="G815" t="inlineStr">
        <is>
          <t>provision</t>
        </is>
      </c>
      <c r="H815" s="26" t="n">
        <v>280549477</v>
      </c>
      <c r="I815" t="inlineStr">
        <is>
          <t>bajo</t>
        </is>
      </c>
      <c r="J815" t="inlineStr">
        <is>
          <t>RN-11 y RN-34: provision hasta el cupo operativo antes de bajar del 8 %</t>
        </is>
      </c>
      <c r="K815" t="inlineStr">
        <is>
          <t>Provision en la manana, antes del pagado: con el pronostico, sin provision el saldo bajaria del 8 % del cupo ese dia. Lleva el saldo de 79.450.523 a 360.000.000 COP (cupo 360.000.000). Equipo administrado por Sucursal. Sin tarifa TDV (administrado por la sucursal): costo 0 declarado.</t>
        </is>
      </c>
      <c r="L815" s="26" t="n">
        <v>360000000</v>
      </c>
      <c r="M815" s="26" t="n">
        <v>79450523</v>
      </c>
      <c r="N815" s="27">
        <f>IF(ISNUMBER(M815),M815/L815,"No aplica")</f>
        <v>0.22069589722222221</v>
      </c>
      <c r="O815" s="25">
        <f>IF(G815="provision",M815+H815,IF(G815="recoleccion",M815-H815,"No aplica"))</f>
        <v>360000000</v>
      </c>
      <c r="P815" s="26" t="n">
        <v>0</v>
      </c>
    </row>
    <row r="816">
      <c r="A816" t="inlineStr">
        <is>
          <t>PRAGMA</t>
        </is>
      </c>
      <c r="B816" t="inlineStr">
        <is>
          <t>M1</t>
        </is>
      </c>
      <c r="C816" t="inlineStr">
        <is>
          <t>Cali</t>
        </is>
      </c>
      <c r="D816" t="inlineStr">
        <is>
          <t>6452</t>
        </is>
      </c>
      <c r="E816" t="inlineStr">
        <is>
          <t>Sucursal</t>
        </is>
      </c>
      <c r="F816" s="23" t="n">
        <v>46277</v>
      </c>
      <c r="G816" t="inlineStr">
        <is>
          <t>provision</t>
        </is>
      </c>
      <c r="H816" s="26" t="n">
        <v>293767555</v>
      </c>
      <c r="I816" t="inlineStr">
        <is>
          <t>bajo</t>
        </is>
      </c>
      <c r="J816" t="inlineStr">
        <is>
          <t>RN-11 y RN-34: provision hasta el cupo operativo antes de bajar del 8 %</t>
        </is>
      </c>
      <c r="K816" t="inlineStr">
        <is>
          <t>Provision en la manana, antes del pagado: con el pronostico, sin provision el saldo bajaria del 8 % del cupo ese dia. Lleva el saldo de 66.232.445 a 360.000.000 COP (cupo 360.000.000). Equipo administrado por Sucursal. Sin tarifa TDV (administrado por la sucursal): costo 0 declarado.</t>
        </is>
      </c>
      <c r="L816" s="26" t="n">
        <v>360000000</v>
      </c>
      <c r="M816" s="26" t="n">
        <v>66232445</v>
      </c>
      <c r="N816" s="27">
        <f>IF(ISNUMBER(M816),M816/L816,"No aplica")</f>
        <v>0.18397901388888888</v>
      </c>
      <c r="O816" s="25">
        <f>IF(G816="provision",M816+H816,IF(G816="recoleccion",M816-H816,"No aplica"))</f>
        <v>360000000</v>
      </c>
      <c r="P816" s="26" t="n">
        <v>0</v>
      </c>
    </row>
    <row r="817">
      <c r="A817" t="inlineStr">
        <is>
          <t>PRAGMA</t>
        </is>
      </c>
      <c r="B817" t="inlineStr">
        <is>
          <t>M1</t>
        </is>
      </c>
      <c r="C817" t="inlineStr">
        <is>
          <t>Cali</t>
        </is>
      </c>
      <c r="D817" t="inlineStr">
        <is>
          <t>6452</t>
        </is>
      </c>
      <c r="E817" t="inlineStr">
        <is>
          <t>Sucursal</t>
        </is>
      </c>
      <c r="F817" s="23" t="n">
        <v>46280</v>
      </c>
      <c r="G817" t="inlineStr">
        <is>
          <t>provision</t>
        </is>
      </c>
      <c r="H817" s="26" t="n">
        <v>292064781</v>
      </c>
      <c r="I817" t="inlineStr">
        <is>
          <t>bajo</t>
        </is>
      </c>
      <c r="J817" t="inlineStr">
        <is>
          <t>RN-11 y RN-34: provision hasta el cupo operativo antes de bajar del 8 %</t>
        </is>
      </c>
      <c r="K817" t="inlineStr">
        <is>
          <t>Provision en la manana, antes del pagado: con el pronostico, sin provision el saldo bajaria del 8 % del cupo ese dia. Lleva el saldo de 67.935.219 a 360.000.000 COP (cupo 360.000.000). Equipo administrado por Sucursal. Sin tarifa TDV (administrado por la sucursal): costo 0 declarado.</t>
        </is>
      </c>
      <c r="L817" s="26" t="n">
        <v>360000000</v>
      </c>
      <c r="M817" s="26" t="n">
        <v>67935219</v>
      </c>
      <c r="N817" s="27">
        <f>IF(ISNUMBER(M817),M817/L817,"No aplica")</f>
        <v>0.18870894166666666</v>
      </c>
      <c r="O817" s="25">
        <f>IF(G817="provision",M817+H817,IF(G817="recoleccion",M817-H817,"No aplica"))</f>
        <v>360000000</v>
      </c>
      <c r="P817" s="26" t="n">
        <v>0</v>
      </c>
    </row>
    <row r="818">
      <c r="A818" t="inlineStr">
        <is>
          <t>PRAGMA</t>
        </is>
      </c>
      <c r="B818" t="inlineStr">
        <is>
          <t>M1</t>
        </is>
      </c>
      <c r="C818" t="inlineStr">
        <is>
          <t>Cali</t>
        </is>
      </c>
      <c r="D818" t="inlineStr">
        <is>
          <t>6493</t>
        </is>
      </c>
      <c r="E818" t="inlineStr">
        <is>
          <t>TDV</t>
        </is>
      </c>
      <c r="F818" s="23" t="n">
        <v>46267</v>
      </c>
      <c r="G818" t="inlineStr">
        <is>
          <t>provision</t>
        </is>
      </c>
      <c r="H818" s="26" t="n">
        <v>211089749</v>
      </c>
      <c r="I818" t="inlineStr">
        <is>
          <t>bajo</t>
        </is>
      </c>
      <c r="J818" t="inlineStr">
        <is>
          <t>RN-11 y RN-34: provision hasta el cupo operativo antes de bajar del 8 %</t>
        </is>
      </c>
      <c r="K818" t="inlineStr">
        <is>
          <t>Provision en la manana, antes del pagado: con el pronostico, sin provision el saldo bajaria del 8 % del cupo ese dia. Lleva el saldo de 199.910.251 a 411.000.000 COP (cupo 411.000.000). Equipo administrado por TDV.</t>
        </is>
      </c>
      <c r="L818" s="26" t="n">
        <v>411000000</v>
      </c>
      <c r="M818" s="26" t="n">
        <v>199910251</v>
      </c>
      <c r="N818" s="27">
        <f>IF(ISNUMBER(M818),M818/L818,"No aplica")</f>
        <v>0.48639963746958637</v>
      </c>
      <c r="O818" s="25">
        <f>IF(G818="provision",M818+H818,IF(G818="recoleccion",M818-H818,"No aplica"))</f>
        <v>411000000</v>
      </c>
      <c r="P818" s="26" t="n">
        <v>85101</v>
      </c>
    </row>
    <row r="819">
      <c r="A819" t="inlineStr">
        <is>
          <t>PRAGMA</t>
        </is>
      </c>
      <c r="B819" t="inlineStr">
        <is>
          <t>M1</t>
        </is>
      </c>
      <c r="C819" t="inlineStr">
        <is>
          <t>Cali</t>
        </is>
      </c>
      <c r="D819" t="inlineStr">
        <is>
          <t>6493</t>
        </is>
      </c>
      <c r="E819" t="inlineStr">
        <is>
          <t>TDV</t>
        </is>
      </c>
      <c r="F819" s="23" t="n">
        <v>46269</v>
      </c>
      <c r="G819" t="inlineStr">
        <is>
          <t>provision</t>
        </is>
      </c>
      <c r="H819" s="26" t="n">
        <v>330398946</v>
      </c>
      <c r="I819" t="inlineStr">
        <is>
          <t>bajo</t>
        </is>
      </c>
      <c r="J819" t="inlineStr">
        <is>
          <t>RN-11 y RN-34: provision hasta el cupo operativo antes de bajar del 8 %</t>
        </is>
      </c>
      <c r="K819" t="inlineStr">
        <is>
          <t>Provision en la manana, antes del pagado: con el pronostico, sin provision el saldo bajaria del 8 % del cupo ese dia. Lleva el saldo de 80.601.054 a 411.000.000 COP (cupo 411.000.000). Equipo administrado por TDV.</t>
        </is>
      </c>
      <c r="L819" s="26" t="n">
        <v>411000000</v>
      </c>
      <c r="M819" s="26" t="n">
        <v>80601054</v>
      </c>
      <c r="N819" s="27">
        <f>IF(ISNUMBER(M819),M819/L819,"No aplica")</f>
        <v>0.1961096204379562</v>
      </c>
      <c r="O819" s="25">
        <f>IF(G819="provision",M819+H819,IF(G819="recoleccion",M819-H819,"No aplica"))</f>
        <v>411000000</v>
      </c>
      <c r="P819" s="26" t="n">
        <v>123638</v>
      </c>
    </row>
    <row r="820">
      <c r="A820" t="inlineStr">
        <is>
          <t>PRAGMA</t>
        </is>
      </c>
      <c r="B820" t="inlineStr">
        <is>
          <t>M1</t>
        </is>
      </c>
      <c r="C820" t="inlineStr">
        <is>
          <t>Cali</t>
        </is>
      </c>
      <c r="D820" t="inlineStr">
        <is>
          <t>6493</t>
        </is>
      </c>
      <c r="E820" t="inlineStr">
        <is>
          <t>TDV</t>
        </is>
      </c>
      <c r="F820" s="23" t="n">
        <v>46271</v>
      </c>
      <c r="G820" t="inlineStr">
        <is>
          <t>provision</t>
        </is>
      </c>
      <c r="H820" s="26" t="n">
        <v>334836795</v>
      </c>
      <c r="I820" t="inlineStr">
        <is>
          <t>bajo</t>
        </is>
      </c>
      <c r="J820" t="inlineStr">
        <is>
          <t>RN-11 y RN-34: provision hasta el cupo operativo antes de bajar del 8 %</t>
        </is>
      </c>
      <c r="K820" t="inlineStr">
        <is>
          <t>Provision en la manana, antes del pagado: con el pronostico, sin provision el saldo bajaria del 8 % del cupo ese dia. Lleva el saldo de 76.163.205 a 411.000.000 COP (cupo 411.000.000). Equipo administrado por TDV.</t>
        </is>
      </c>
      <c r="L820" s="26" t="n">
        <v>411000000</v>
      </c>
      <c r="M820" s="26" t="n">
        <v>76163205</v>
      </c>
      <c r="N820" s="27">
        <f>IF(ISNUMBER(M820),M820/L820,"No aplica")</f>
        <v>0.18531193430656934</v>
      </c>
      <c r="O820" s="25">
        <f>IF(G820="provision",M820+H820,IF(G820="recoleccion",M820-H820,"No aplica"))</f>
        <v>411000000</v>
      </c>
      <c r="P820" s="26" t="n">
        <v>162841</v>
      </c>
    </row>
    <row r="821">
      <c r="A821" t="inlineStr">
        <is>
          <t>PRAGMA</t>
        </is>
      </c>
      <c r="B821" t="inlineStr">
        <is>
          <t>M1</t>
        </is>
      </c>
      <c r="C821" t="inlineStr">
        <is>
          <t>Cali</t>
        </is>
      </c>
      <c r="D821" t="inlineStr">
        <is>
          <t>6493</t>
        </is>
      </c>
      <c r="E821" t="inlineStr">
        <is>
          <t>TDV</t>
        </is>
      </c>
      <c r="F821" s="23" t="n">
        <v>46273</v>
      </c>
      <c r="G821" t="inlineStr">
        <is>
          <t>provision</t>
        </is>
      </c>
      <c r="H821" s="26" t="n">
        <v>274091144</v>
      </c>
      <c r="I821" t="inlineStr">
        <is>
          <t>bajo</t>
        </is>
      </c>
      <c r="J821" t="inlineStr">
        <is>
          <t>RN-11 y RN-34: provision hasta el cupo operativo antes de bajar del 8 %</t>
        </is>
      </c>
      <c r="K821" t="inlineStr">
        <is>
          <t>Provision en la manana, antes del pagado: con el pronostico, sin provision el saldo bajaria del 8 % del cupo ese dia. Lleva el saldo de 136.908.856 a 411.000.000 COP (cupo 411.000.000). Equipo administrado por TDV.</t>
        </is>
      </c>
      <c r="L821" s="26" t="n">
        <v>411000000</v>
      </c>
      <c r="M821" s="26" t="n">
        <v>136908856</v>
      </c>
      <c r="N821" s="27">
        <f>IF(ISNUMBER(M821),M821/L821,"No aplica")</f>
        <v>0.3331115717761557</v>
      </c>
      <c r="O821" s="25">
        <f>IF(G821="provision",M821+H821,IF(G821="recoleccion",M821-H821,"No aplica"))</f>
        <v>411000000</v>
      </c>
      <c r="P821" s="26" t="n">
        <v>105450</v>
      </c>
    </row>
    <row r="822">
      <c r="A822" t="inlineStr">
        <is>
          <t>PRAGMA</t>
        </is>
      </c>
      <c r="B822" t="inlineStr">
        <is>
          <t>M1</t>
        </is>
      </c>
      <c r="C822" t="inlineStr">
        <is>
          <t>Cali</t>
        </is>
      </c>
      <c r="D822" t="inlineStr">
        <is>
          <t>6493</t>
        </is>
      </c>
      <c r="E822" t="inlineStr">
        <is>
          <t>TDV</t>
        </is>
      </c>
      <c r="F822" s="23" t="n">
        <v>46276</v>
      </c>
      <c r="G822" t="inlineStr">
        <is>
          <t>provision</t>
        </is>
      </c>
      <c r="H822" s="26" t="n">
        <v>330572364</v>
      </c>
      <c r="I822" t="inlineStr">
        <is>
          <t>bajo</t>
        </is>
      </c>
      <c r="J822" t="inlineStr">
        <is>
          <t>RN-11 y RN-34: provision hasta el cupo operativo antes de bajar del 8 %</t>
        </is>
      </c>
      <c r="K822" t="inlineStr">
        <is>
          <t>Provision en la manana, antes del pagado: con el pronostico, sin provision el saldo bajaria del 8 % del cupo ese dia. Lleva el saldo de 80.427.636 a 411.000.000 COP (cupo 411.000.000). Equipo administrado por TDV.</t>
        </is>
      </c>
      <c r="L822" s="26" t="n">
        <v>411000000</v>
      </c>
      <c r="M822" s="26" t="n">
        <v>80427636</v>
      </c>
      <c r="N822" s="27">
        <f>IF(ISNUMBER(M822),M822/L822,"No aplica")</f>
        <v>0.1956876788321168</v>
      </c>
      <c r="O822" s="25">
        <f>IF(G822="provision",M822+H822,IF(G822="recoleccion",M822-H822,"No aplica"))</f>
        <v>411000000</v>
      </c>
      <c r="P822" s="26" t="n">
        <v>123694</v>
      </c>
    </row>
    <row r="823">
      <c r="A823" t="inlineStr">
        <is>
          <t>PRAGMA</t>
        </is>
      </c>
      <c r="B823" t="inlineStr">
        <is>
          <t>M1</t>
        </is>
      </c>
      <c r="C823" t="inlineStr">
        <is>
          <t>Cali</t>
        </is>
      </c>
      <c r="D823" t="inlineStr">
        <is>
          <t>6493</t>
        </is>
      </c>
      <c r="E823" t="inlineStr">
        <is>
          <t>TDV</t>
        </is>
      </c>
      <c r="F823" s="23" t="n">
        <v>46279</v>
      </c>
      <c r="G823" t="inlineStr">
        <is>
          <t>provision</t>
        </is>
      </c>
      <c r="H823" s="26" t="n">
        <v>349144189</v>
      </c>
      <c r="I823" t="inlineStr">
        <is>
          <t>bajo</t>
        </is>
      </c>
      <c r="J823" t="inlineStr">
        <is>
          <t>RN-11 y RN-34: provision hasta el cupo operativo antes de bajar del 8 %</t>
        </is>
      </c>
      <c r="K823" t="inlineStr">
        <is>
          <t>Provision en la manana, antes del pagado: con el pronostico, sin provision el saldo bajaria del 8 % del cupo ese dia. Lleva el saldo de 61.855.811 a 411.000.000 COP (cupo 411.000.000). Equipo administrado por TDV.</t>
        </is>
      </c>
      <c r="L823" s="26" t="n">
        <v>411000000</v>
      </c>
      <c r="M823" s="26" t="n">
        <v>61855811</v>
      </c>
      <c r="N823" s="27">
        <f>IF(ISNUMBER(M823),M823/L823,"No aplica")</f>
        <v>0.15050075669099758</v>
      </c>
      <c r="O823" s="25">
        <f>IF(G823="provision",M823+H823,IF(G823="recoleccion",M823-H823,"No aplica"))</f>
        <v>411000000</v>
      </c>
      <c r="P823" s="26" t="n">
        <v>129693</v>
      </c>
    </row>
    <row r="824">
      <c r="A824" t="inlineStr">
        <is>
          <t>PRAGMA</t>
        </is>
      </c>
      <c r="B824" t="inlineStr">
        <is>
          <t>M1</t>
        </is>
      </c>
      <c r="C824" t="inlineStr">
        <is>
          <t>Cali</t>
        </is>
      </c>
      <c r="D824" t="inlineStr">
        <is>
          <t>6524</t>
        </is>
      </c>
      <c r="E824" t="inlineStr">
        <is>
          <t>TDV</t>
        </is>
      </c>
      <c r="F824" s="23" t="n">
        <v>46267</v>
      </c>
      <c r="G824" t="inlineStr">
        <is>
          <t>provision</t>
        </is>
      </c>
      <c r="H824" s="26" t="n">
        <v>221003514</v>
      </c>
      <c r="I824" t="inlineStr">
        <is>
          <t>bajo</t>
        </is>
      </c>
      <c r="J824" t="inlineStr">
        <is>
          <t>RN-11 y RN-34: provision hasta el cupo operativo antes de bajar del 8 %</t>
        </is>
      </c>
      <c r="K824" t="inlineStr">
        <is>
          <t>Provision en la manana, antes del pagado: con el pronostico, sin provision el saldo bajaria del 8 % del cupo ese dia. Lleva el saldo de 183.996.486 a 405.000.000 COP (cupo 405.000.000). Equipo administrado por TDV.</t>
        </is>
      </c>
      <c r="L824" s="26" t="n">
        <v>405000000</v>
      </c>
      <c r="M824" s="26" t="n">
        <v>183996486</v>
      </c>
      <c r="N824" s="27">
        <f>IF(ISNUMBER(M824),M824/L824,"No aplica")</f>
        <v>0.4543123111111111</v>
      </c>
      <c r="O824" s="25">
        <f>IF(G824="provision",M824+H824,IF(G824="recoleccion",M824-H824,"No aplica"))</f>
        <v>405000000</v>
      </c>
      <c r="P824" s="26" t="n">
        <v>88303</v>
      </c>
    </row>
    <row r="825">
      <c r="A825" t="inlineStr">
        <is>
          <t>PRAGMA</t>
        </is>
      </c>
      <c r="B825" t="inlineStr">
        <is>
          <t>M1</t>
        </is>
      </c>
      <c r="C825" t="inlineStr">
        <is>
          <t>Cali</t>
        </is>
      </c>
      <c r="D825" t="inlineStr">
        <is>
          <t>6524</t>
        </is>
      </c>
      <c r="E825" t="inlineStr">
        <is>
          <t>TDV</t>
        </is>
      </c>
      <c r="F825" s="23" t="n">
        <v>46269</v>
      </c>
      <c r="G825" t="inlineStr">
        <is>
          <t>provision</t>
        </is>
      </c>
      <c r="H825" s="26" t="n">
        <v>325674500</v>
      </c>
      <c r="I825" t="inlineStr">
        <is>
          <t>bajo</t>
        </is>
      </c>
      <c r="J825" t="inlineStr">
        <is>
          <t>RN-11 y RN-34: provision hasta el cupo operativo antes de bajar del 8 %</t>
        </is>
      </c>
      <c r="K825" t="inlineStr">
        <is>
          <t>Provision en la manana, antes del pagado: con el pronostico, sin provision el saldo bajaria del 8 % del cupo ese dia. Lleva el saldo de 79.325.500 a 405.000.000 COP (cupo 405.000.000). Equipo administrado por TDV.</t>
        </is>
      </c>
      <c r="L825" s="26" t="n">
        <v>405000000</v>
      </c>
      <c r="M825" s="26" t="n">
        <v>79325500</v>
      </c>
      <c r="N825" s="27">
        <f>IF(ISNUMBER(M825),M825/L825,"No aplica")</f>
        <v>0.19586543209876542</v>
      </c>
      <c r="O825" s="25">
        <f>IF(G825="provision",M825+H825,IF(G825="recoleccion",M825-H825,"No aplica"))</f>
        <v>405000000</v>
      </c>
      <c r="P825" s="26" t="n">
        <v>122112</v>
      </c>
    </row>
    <row r="826">
      <c r="A826" t="inlineStr">
        <is>
          <t>PRAGMA</t>
        </is>
      </c>
      <c r="B826" t="inlineStr">
        <is>
          <t>M1</t>
        </is>
      </c>
      <c r="C826" t="inlineStr">
        <is>
          <t>Cali</t>
        </is>
      </c>
      <c r="D826" t="inlineStr">
        <is>
          <t>6524</t>
        </is>
      </c>
      <c r="E826" t="inlineStr">
        <is>
          <t>TDV</t>
        </is>
      </c>
      <c r="F826" s="23" t="n">
        <v>46271</v>
      </c>
      <c r="G826" t="inlineStr">
        <is>
          <t>provision</t>
        </is>
      </c>
      <c r="H826" s="26" t="n">
        <v>317388595</v>
      </c>
      <c r="I826" t="inlineStr">
        <is>
          <t>bajo</t>
        </is>
      </c>
      <c r="J826" t="inlineStr">
        <is>
          <t>RN-11 y RN-34: provision hasta el cupo operativo antes de bajar del 8 %</t>
        </is>
      </c>
      <c r="K826" t="inlineStr">
        <is>
          <t>Provision en la manana, antes del pagado: con el pronostico, sin provision el saldo bajaria del 8 % del cupo ese dia. Lleva el saldo de 87.611.405 a 405.000.000 COP (cupo 405.000.000). Equipo administrado por TDV.</t>
        </is>
      </c>
      <c r="L826" s="26" t="n">
        <v>405000000</v>
      </c>
      <c r="M826" s="26" t="n">
        <v>87611405</v>
      </c>
      <c r="N826" s="27">
        <f>IF(ISNUMBER(M826),M826/L826,"No aplica")</f>
        <v>0.21632445679012346</v>
      </c>
      <c r="O826" s="25">
        <f>IF(G826="provision",M826+H826,IF(G826="recoleccion",M826-H826,"No aplica"))</f>
        <v>405000000</v>
      </c>
      <c r="P826" s="26" t="n">
        <v>155530</v>
      </c>
    </row>
    <row r="827">
      <c r="A827" t="inlineStr">
        <is>
          <t>PRAGMA</t>
        </is>
      </c>
      <c r="B827" t="inlineStr">
        <is>
          <t>M1</t>
        </is>
      </c>
      <c r="C827" t="inlineStr">
        <is>
          <t>Cali</t>
        </is>
      </c>
      <c r="D827" t="inlineStr">
        <is>
          <t>6524</t>
        </is>
      </c>
      <c r="E827" t="inlineStr">
        <is>
          <t>TDV</t>
        </is>
      </c>
      <c r="F827" s="23" t="n">
        <v>46274</v>
      </c>
      <c r="G827" t="inlineStr">
        <is>
          <t>provision</t>
        </is>
      </c>
      <c r="H827" s="26" t="n">
        <v>368548177</v>
      </c>
      <c r="I827" t="inlineStr">
        <is>
          <t>bajo</t>
        </is>
      </c>
      <c r="J827" t="inlineStr">
        <is>
          <t>RN-11 y RN-34: provision hasta el cupo operativo antes de bajar del 8 %</t>
        </is>
      </c>
      <c r="K827" t="inlineStr">
        <is>
          <t>Provision en la manana, antes del pagado: con el pronostico, sin provision el saldo bajaria del 8 % del cupo ese dia. Lleva el saldo de 36.451.823 a 405.000.000 COP (cupo 405.000.000). Equipo administrado por TDV.</t>
        </is>
      </c>
      <c r="L827" s="26" t="n">
        <v>405000000</v>
      </c>
      <c r="M827" s="26" t="n">
        <v>36451823</v>
      </c>
      <c r="N827" s="27">
        <f>IF(ISNUMBER(M827),M827/L827,"No aplica")</f>
        <v>0.09000450123456791</v>
      </c>
      <c r="O827" s="25">
        <f>IF(G827="provision",M827+H827,IF(G827="recoleccion",M827-H827,"No aplica"))</f>
        <v>405000000</v>
      </c>
      <c r="P827" s="26" t="n">
        <v>135960</v>
      </c>
    </row>
    <row r="828">
      <c r="A828" t="inlineStr">
        <is>
          <t>PRAGMA</t>
        </is>
      </c>
      <c r="B828" t="inlineStr">
        <is>
          <t>M1</t>
        </is>
      </c>
      <c r="C828" t="inlineStr">
        <is>
          <t>Cali</t>
        </is>
      </c>
      <c r="D828" t="inlineStr">
        <is>
          <t>6524</t>
        </is>
      </c>
      <c r="E828" t="inlineStr">
        <is>
          <t>TDV</t>
        </is>
      </c>
      <c r="F828" s="23" t="n">
        <v>46277</v>
      </c>
      <c r="G828" t="inlineStr">
        <is>
          <t>provision</t>
        </is>
      </c>
      <c r="H828" s="26" t="n">
        <v>342624371</v>
      </c>
      <c r="I828" t="inlineStr">
        <is>
          <t>bajo</t>
        </is>
      </c>
      <c r="J828" t="inlineStr">
        <is>
          <t>RN-11 y RN-34: provision hasta el cupo operativo antes de bajar del 8 %</t>
        </is>
      </c>
      <c r="K828" t="inlineStr">
        <is>
          <t>Provision en la manana, antes del pagado: con el pronostico, sin provision el saldo bajaria del 8 % del cupo ese dia. Lleva el saldo de 62.375.629 a 405.000.000 COP (cupo 405.000.000). Equipo administrado por TDV.</t>
        </is>
      </c>
      <c r="L828" s="26" t="n">
        <v>405000000</v>
      </c>
      <c r="M828" s="26" t="n">
        <v>62375629</v>
      </c>
      <c r="N828" s="27">
        <f>IF(ISNUMBER(M828),M828/L828,"No aplica")</f>
        <v>0.1540138987654321</v>
      </c>
      <c r="O828" s="25">
        <f>IF(G828="provision",M828+H828,IF(G828="recoleccion",M828-H828,"No aplica"))</f>
        <v>405000000</v>
      </c>
      <c r="P828" s="26" t="n">
        <v>127587</v>
      </c>
    </row>
    <row r="829">
      <c r="A829" t="inlineStr">
        <is>
          <t>PRAGMA</t>
        </is>
      </c>
      <c r="B829" t="inlineStr">
        <is>
          <t>M1</t>
        </is>
      </c>
      <c r="C829" t="inlineStr">
        <is>
          <t>Cali</t>
        </is>
      </c>
      <c r="D829" t="inlineStr">
        <is>
          <t>6524</t>
        </is>
      </c>
      <c r="E829" t="inlineStr">
        <is>
          <t>TDV</t>
        </is>
      </c>
      <c r="F829" s="23" t="n">
        <v>46280</v>
      </c>
      <c r="G829" t="inlineStr">
        <is>
          <t>provision</t>
        </is>
      </c>
      <c r="H829" s="26" t="n">
        <v>314179836</v>
      </c>
      <c r="I829" t="inlineStr">
        <is>
          <t>bajo</t>
        </is>
      </c>
      <c r="J829" t="inlineStr">
        <is>
          <t>RN-11 y RN-34: provision hasta el cupo operativo antes de bajar del 8 %</t>
        </is>
      </c>
      <c r="K829" t="inlineStr">
        <is>
          <t>Provision en la manana, antes del pagado: con el pronostico, sin provision el saldo bajaria del 8 % del cupo ese dia. Lleva el saldo de 90.820.164 a 405.000.000 COP (cupo 405.000.000). Equipo administrado por TDV.</t>
        </is>
      </c>
      <c r="L829" s="26" t="n">
        <v>405000000</v>
      </c>
      <c r="M829" s="26" t="n">
        <v>90820164</v>
      </c>
      <c r="N829" s="27">
        <f>IF(ISNUMBER(M829),M829/L829,"No aplica")</f>
        <v>0.2242473185185185</v>
      </c>
      <c r="O829" s="25">
        <f>IF(G829="provision",M829+H829,IF(G829="recoleccion",M829-H829,"No aplica"))</f>
        <v>405000000</v>
      </c>
      <c r="P829" s="26" t="n">
        <v>118399</v>
      </c>
    </row>
    <row r="830">
      <c r="A830" t="inlineStr">
        <is>
          <t>PRAGMA</t>
        </is>
      </c>
      <c r="B830" t="inlineStr">
        <is>
          <t>M1</t>
        </is>
      </c>
      <c r="C830" t="inlineStr">
        <is>
          <t>Cali</t>
        </is>
      </c>
      <c r="D830" t="inlineStr">
        <is>
          <t>6554</t>
        </is>
      </c>
      <c r="E830" t="inlineStr">
        <is>
          <t>TDV</t>
        </is>
      </c>
      <c r="F830" s="23" t="n">
        <v>46269</v>
      </c>
      <c r="G830" t="inlineStr">
        <is>
          <t>provision</t>
        </is>
      </c>
      <c r="H830" s="26" t="n">
        <v>326151520</v>
      </c>
      <c r="I830" t="inlineStr">
        <is>
          <t>bajo</t>
        </is>
      </c>
      <c r="J830" t="inlineStr">
        <is>
          <t>RN-11 y RN-34: provision hasta el cupo operativo antes de bajar del 8 %</t>
        </is>
      </c>
      <c r="K830" t="inlineStr">
        <is>
          <t>Provision en la manana, antes del pagado: con el pronostico, sin provision el saldo bajaria del 8 % del cupo ese dia. Lleva el saldo de 78.848.480 a 405.000.000 COP (cupo 405.000.000). Equipo administrado por TDV.</t>
        </is>
      </c>
      <c r="L830" s="26" t="n">
        <v>405000000</v>
      </c>
      <c r="M830" s="26" t="n">
        <v>78848480</v>
      </c>
      <c r="N830" s="27">
        <f>IF(ISNUMBER(M830),M830/L830,"No aplica")</f>
        <v>0.1946876049382716</v>
      </c>
      <c r="O830" s="25">
        <f>IF(G830="provision",M830+H830,IF(G830="recoleccion",M830-H830,"No aplica"))</f>
        <v>405000000</v>
      </c>
      <c r="P830" s="26" t="n">
        <v>166367</v>
      </c>
    </row>
    <row r="831">
      <c r="A831" t="inlineStr">
        <is>
          <t>PRAGMA</t>
        </is>
      </c>
      <c r="B831" t="inlineStr">
        <is>
          <t>M1</t>
        </is>
      </c>
      <c r="C831" t="inlineStr">
        <is>
          <t>Cali</t>
        </is>
      </c>
      <c r="D831" t="inlineStr">
        <is>
          <t>6554</t>
        </is>
      </c>
      <c r="E831" t="inlineStr">
        <is>
          <t>TDV</t>
        </is>
      </c>
      <c r="F831" s="23" t="n">
        <v>46273</v>
      </c>
      <c r="G831" t="inlineStr">
        <is>
          <t>provision</t>
        </is>
      </c>
      <c r="H831" s="26" t="n">
        <v>333509056</v>
      </c>
      <c r="I831" t="inlineStr">
        <is>
          <t>bajo</t>
        </is>
      </c>
      <c r="J831" t="inlineStr">
        <is>
          <t>RN-11 y RN-34: provision hasta el cupo operativo antes de bajar del 8 %</t>
        </is>
      </c>
      <c r="K831" t="inlineStr">
        <is>
          <t>Provision en la manana, antes del pagado: con el pronostico, sin provision el saldo bajaria del 8 % del cupo ese dia. Lleva el saldo de 71.490.944 a 405.000.000 COP (cupo 405.000.000). Equipo administrado por TDV.</t>
        </is>
      </c>
      <c r="L831" s="26" t="n">
        <v>405000000</v>
      </c>
      <c r="M831" s="26" t="n">
        <v>71490944</v>
      </c>
      <c r="N831" s="27">
        <f>IF(ISNUMBER(M831),M831/L831,"No aplica")</f>
        <v>0.17652084938271606</v>
      </c>
      <c r="O831" s="25">
        <f>IF(G831="provision",M831+H831,IF(G831="recoleccion",M831-H831,"No aplica"))</f>
        <v>405000000</v>
      </c>
      <c r="P831" s="26" t="n">
        <v>169693</v>
      </c>
    </row>
    <row r="832">
      <c r="A832" t="inlineStr">
        <is>
          <t>PRAGMA</t>
        </is>
      </c>
      <c r="B832" t="inlineStr">
        <is>
          <t>M1</t>
        </is>
      </c>
      <c r="C832" t="inlineStr">
        <is>
          <t>Cali</t>
        </is>
      </c>
      <c r="D832" t="inlineStr">
        <is>
          <t>6554</t>
        </is>
      </c>
      <c r="E832" t="inlineStr">
        <is>
          <t>TDV</t>
        </is>
      </c>
      <c r="F832" s="23" t="n">
        <v>46278</v>
      </c>
      <c r="G832" t="inlineStr">
        <is>
          <t>provision</t>
        </is>
      </c>
      <c r="H832" s="26" t="n">
        <v>359653270</v>
      </c>
      <c r="I832" t="inlineStr">
        <is>
          <t>bajo</t>
        </is>
      </c>
      <c r="J832" t="inlineStr">
        <is>
          <t>RN-11 y RN-34: provision hasta el cupo operativo antes de bajar del 8 %</t>
        </is>
      </c>
      <c r="K832" t="inlineStr">
        <is>
          <t>Provision en la manana, antes del pagado: con el pronostico, sin provision el saldo bajaria del 8 % del cupo ese dia. Lleva el saldo de 45.346.730 a 405.000.000 COP (cupo 405.000.000). Equipo administrado por TDV.</t>
        </is>
      </c>
      <c r="L832" s="26" t="n">
        <v>405000000</v>
      </c>
      <c r="M832" s="26" t="n">
        <v>45346730</v>
      </c>
      <c r="N832" s="27">
        <f>IF(ISNUMBER(M832),M832/L832,"No aplica")</f>
        <v>0.11196723456790124</v>
      </c>
      <c r="O832" s="25">
        <f>IF(G832="provision",M832+H832,IF(G832="recoleccion",M832-H832,"No aplica"))</f>
        <v>405000000</v>
      </c>
      <c r="P832" s="26" t="n">
        <v>248508</v>
      </c>
    </row>
    <row r="833">
      <c r="A833" t="inlineStr">
        <is>
          <t>PRAGMA</t>
        </is>
      </c>
      <c r="B833" t="inlineStr">
        <is>
          <t>M1</t>
        </is>
      </c>
      <c r="C833" t="inlineStr">
        <is>
          <t>Cali</t>
        </is>
      </c>
      <c r="D833" t="inlineStr">
        <is>
          <t>6555</t>
        </is>
      </c>
      <c r="E833" t="inlineStr">
        <is>
          <t>TDV</t>
        </is>
      </c>
      <c r="F833" s="23" t="n">
        <v>46269</v>
      </c>
      <c r="G833" t="inlineStr">
        <is>
          <t>provision</t>
        </is>
      </c>
      <c r="H833" s="26" t="n">
        <v>346475939</v>
      </c>
      <c r="I833" t="inlineStr">
        <is>
          <t>bajo</t>
        </is>
      </c>
      <c r="J833" t="inlineStr">
        <is>
          <t>RN-11 y RN-34: provision hasta el cupo operativo antes de bajar del 8 %</t>
        </is>
      </c>
      <c r="K833" t="inlineStr">
        <is>
          <t>Provision en la manana, antes del pagado: con el pronostico, sin provision el saldo bajaria del 8 % del cupo ese dia. Lleva el saldo de 58.524.061 a 405.000.000 COP (cupo 405.000.000). Equipo administrado por TDV.</t>
        </is>
      </c>
      <c r="L833" s="26" t="n">
        <v>405000000</v>
      </c>
      <c r="M833" s="26" t="n">
        <v>58524061</v>
      </c>
      <c r="N833" s="27">
        <f>IF(ISNUMBER(M833),M833/L833,"No aplica")</f>
        <v>0.14450385432098767</v>
      </c>
      <c r="O833" s="25">
        <f>IF(G833="provision",M833+H833,IF(G833="recoleccion",M833-H833,"No aplica"))</f>
        <v>405000000</v>
      </c>
      <c r="P833" s="26" t="n">
        <v>175554</v>
      </c>
    </row>
    <row r="834">
      <c r="A834" t="inlineStr">
        <is>
          <t>PRAGMA</t>
        </is>
      </c>
      <c r="B834" t="inlineStr">
        <is>
          <t>M1</t>
        </is>
      </c>
      <c r="C834" t="inlineStr">
        <is>
          <t>Cali</t>
        </is>
      </c>
      <c r="D834" t="inlineStr">
        <is>
          <t>6555</t>
        </is>
      </c>
      <c r="E834" t="inlineStr">
        <is>
          <t>TDV</t>
        </is>
      </c>
      <c r="F834" s="23" t="n">
        <v>46273</v>
      </c>
      <c r="G834" t="inlineStr">
        <is>
          <t>provision</t>
        </is>
      </c>
      <c r="H834" s="26" t="n">
        <v>319844529</v>
      </c>
      <c r="I834" t="inlineStr">
        <is>
          <t>bajo</t>
        </is>
      </c>
      <c r="J834" t="inlineStr">
        <is>
          <t>RN-11 y RN-34: provision hasta el cupo operativo antes de bajar del 8 %</t>
        </is>
      </c>
      <c r="K834" t="inlineStr">
        <is>
          <t>Provision en la manana, antes del pagado: con el pronostico, sin provision el saldo bajaria del 8 % del cupo ese dia. Lleva el saldo de 85.155.471 a 405.000.000 COP (cupo 405.000.000). Equipo administrado por TDV.</t>
        </is>
      </c>
      <c r="L834" s="26" t="n">
        <v>405000000</v>
      </c>
      <c r="M834" s="26" t="n">
        <v>85155471</v>
      </c>
      <c r="N834" s="27">
        <f>IF(ISNUMBER(M834),M834/L834,"No aplica")</f>
        <v>0.21026042222222222</v>
      </c>
      <c r="O834" s="25">
        <f>IF(G834="provision",M834+H834,IF(G834="recoleccion",M834-H834,"No aplica"))</f>
        <v>405000000</v>
      </c>
      <c r="P834" s="26" t="n">
        <v>163517</v>
      </c>
    </row>
    <row r="835">
      <c r="A835" t="inlineStr">
        <is>
          <t>PRAGMA</t>
        </is>
      </c>
      <c r="B835" t="inlineStr">
        <is>
          <t>M1</t>
        </is>
      </c>
      <c r="C835" t="inlineStr">
        <is>
          <t>Cali</t>
        </is>
      </c>
      <c r="D835" t="inlineStr">
        <is>
          <t>6555</t>
        </is>
      </c>
      <c r="E835" t="inlineStr">
        <is>
          <t>TDV</t>
        </is>
      </c>
      <c r="F835" s="23" t="n">
        <v>46277</v>
      </c>
      <c r="G835" t="inlineStr">
        <is>
          <t>provision</t>
        </is>
      </c>
      <c r="H835" s="26" t="n">
        <v>306146879</v>
      </c>
      <c r="I835" t="inlineStr">
        <is>
          <t>bajo</t>
        </is>
      </c>
      <c r="J835" t="inlineStr">
        <is>
          <t>RN-11 y RN-34: provision hasta el cupo operativo antes de bajar del 8 %</t>
        </is>
      </c>
      <c r="K835" t="inlineStr">
        <is>
          <t>Provision en la manana, antes del pagado: con el pronostico, sin provision el saldo bajaria del 8 % del cupo ese dia. Lleva el saldo de 98.853.121 a 405.000.000 COP (cupo 405.000.000). Equipo administrado por TDV.</t>
        </is>
      </c>
      <c r="L835" s="26" t="n">
        <v>405000000</v>
      </c>
      <c r="M835" s="26" t="n">
        <v>98853121</v>
      </c>
      <c r="N835" s="27">
        <f>IF(ISNUMBER(M835),M835/L835,"No aplica")</f>
        <v>0.24408178024691357</v>
      </c>
      <c r="O835" s="25">
        <f>IF(G835="provision",M835+H835,IF(G835="recoleccion",M835-H835,"No aplica"))</f>
        <v>405000000</v>
      </c>
      <c r="P835" s="26" t="n">
        <v>157325</v>
      </c>
    </row>
    <row r="836">
      <c r="A836" t="inlineStr">
        <is>
          <t>PRAGMA</t>
        </is>
      </c>
      <c r="B836" t="inlineStr">
        <is>
          <t>M1</t>
        </is>
      </c>
      <c r="C836" t="inlineStr">
        <is>
          <t>Cali</t>
        </is>
      </c>
      <c r="D836" t="inlineStr">
        <is>
          <t>6557</t>
        </is>
      </c>
      <c r="E836" t="inlineStr">
        <is>
          <t>TDV</t>
        </is>
      </c>
      <c r="F836" s="23" t="n">
        <v>46270</v>
      </c>
      <c r="G836" t="inlineStr">
        <is>
          <t>provision</t>
        </is>
      </c>
      <c r="H836" s="26" t="n">
        <v>361720189</v>
      </c>
      <c r="I836" t="inlineStr">
        <is>
          <t>bajo</t>
        </is>
      </c>
      <c r="J836" t="inlineStr">
        <is>
          <t>RN-11 y RN-34: provision hasta el cupo operativo antes de bajar del 8 %</t>
        </is>
      </c>
      <c r="K836" t="inlineStr">
        <is>
          <t>Provision en la manana, antes del pagado: con el pronostico, sin provision el saldo bajaria del 8 % del cupo ese dia. Lleva el saldo de 43.279.811 a 405.000.000 COP (cupo 405.000.000). Equipo administrado por TDV.</t>
        </is>
      </c>
      <c r="L836" s="26" t="n">
        <v>405000000</v>
      </c>
      <c r="M836" s="26" t="n">
        <v>43279811</v>
      </c>
      <c r="N836" s="27">
        <f>IF(ISNUMBER(M836),M836/L836,"No aplica")</f>
        <v>0.10686373086419754</v>
      </c>
      <c r="O836" s="25">
        <f>IF(G836="provision",M836+H836,IF(G836="recoleccion",M836-H836,"No aplica"))</f>
        <v>405000000</v>
      </c>
      <c r="P836" s="26" t="n">
        <v>182445</v>
      </c>
    </row>
    <row r="837">
      <c r="A837" t="inlineStr">
        <is>
          <t>PRAGMA</t>
        </is>
      </c>
      <c r="B837" t="inlineStr">
        <is>
          <t>M1</t>
        </is>
      </c>
      <c r="C837" t="inlineStr">
        <is>
          <t>Cali</t>
        </is>
      </c>
      <c r="D837" t="inlineStr">
        <is>
          <t>6557</t>
        </is>
      </c>
      <c r="E837" t="inlineStr">
        <is>
          <t>TDV</t>
        </is>
      </c>
      <c r="F837" s="23" t="n">
        <v>46276</v>
      </c>
      <c r="G837" t="inlineStr">
        <is>
          <t>provision</t>
        </is>
      </c>
      <c r="H837" s="26" t="n">
        <v>331137119</v>
      </c>
      <c r="I837" t="inlineStr">
        <is>
          <t>bajo</t>
        </is>
      </c>
      <c r="J837" t="inlineStr">
        <is>
          <t>RN-11 y RN-34: provision hasta el cupo operativo antes de bajar del 8 %</t>
        </is>
      </c>
      <c r="K837" t="inlineStr">
        <is>
          <t>Provision en la manana, antes del pagado: con el pronostico, sin provision el saldo bajaria del 8 % del cupo ese dia. Lleva el saldo de 73.862.881 a 405.000.000 COP (cupo 405.000.000). Equipo administrado por TDV.</t>
        </is>
      </c>
      <c r="L837" s="26" t="n">
        <v>405000000</v>
      </c>
      <c r="M837" s="26" t="n">
        <v>73862881</v>
      </c>
      <c r="N837" s="27">
        <f>IF(ISNUMBER(M837),M837/L837,"No aplica")</f>
        <v>0.1823774839506173</v>
      </c>
      <c r="O837" s="25">
        <f>IF(G837="provision",M837+H837,IF(G837="recoleccion",M837-H837,"No aplica"))</f>
        <v>405000000</v>
      </c>
      <c r="P837" s="26" t="n">
        <v>168621</v>
      </c>
    </row>
    <row r="838">
      <c r="A838" t="inlineStr">
        <is>
          <t>PRAGMA</t>
        </is>
      </c>
      <c r="B838" t="inlineStr">
        <is>
          <t>M1</t>
        </is>
      </c>
      <c r="C838" t="inlineStr">
        <is>
          <t>Cali</t>
        </is>
      </c>
      <c r="D838" t="inlineStr">
        <is>
          <t>6610</t>
        </is>
      </c>
      <c r="E838" t="inlineStr">
        <is>
          <t>Sucursal</t>
        </is>
      </c>
      <c r="F838" s="23" t="n">
        <v>46268</v>
      </c>
      <c r="G838" t="inlineStr">
        <is>
          <t>provision</t>
        </is>
      </c>
      <c r="H838" s="26" t="n">
        <v>325639310</v>
      </c>
      <c r="I838" t="inlineStr">
        <is>
          <t>bajo</t>
        </is>
      </c>
      <c r="J838" t="inlineStr">
        <is>
          <t>RN-11 y RN-34: provision hasta el cupo operativo antes de bajar del 8 %</t>
        </is>
      </c>
      <c r="K838" t="inlineStr">
        <is>
          <t>Provision en la manana, antes del pagado: con el pronostico, sin provision el saldo bajaria del 8 % del cupo ese dia. Lleva el saldo de 34.360.690 a 360.000.000 COP (cupo 360.000.000). Equipo administrado por Sucursal. Sin tarifa TDV (administrado por la sucursal): costo 0 declarado.</t>
        </is>
      </c>
      <c r="L838" s="26" t="n">
        <v>360000000</v>
      </c>
      <c r="M838" s="26" t="n">
        <v>34360690</v>
      </c>
      <c r="N838" s="27">
        <f>IF(ISNUMBER(M838),M838/L838,"No aplica")</f>
        <v>0.09544636111111111</v>
      </c>
      <c r="O838" s="25">
        <f>IF(G838="provision",M838+H838,IF(G838="recoleccion",M838-H838,"No aplica"))</f>
        <v>360000000</v>
      </c>
      <c r="P838" s="26" t="n">
        <v>0</v>
      </c>
    </row>
    <row r="839">
      <c r="A839" t="inlineStr">
        <is>
          <t>PRAGMA</t>
        </is>
      </c>
      <c r="B839" t="inlineStr">
        <is>
          <t>M1</t>
        </is>
      </c>
      <c r="C839" t="inlineStr">
        <is>
          <t>Cali</t>
        </is>
      </c>
      <c r="D839" t="inlineStr">
        <is>
          <t>6610</t>
        </is>
      </c>
      <c r="E839" t="inlineStr">
        <is>
          <t>Sucursal</t>
        </is>
      </c>
      <c r="F839" s="23" t="n">
        <v>46270</v>
      </c>
      <c r="G839" t="inlineStr">
        <is>
          <t>provision</t>
        </is>
      </c>
      <c r="H839" s="26" t="n">
        <v>271037455</v>
      </c>
      <c r="I839" t="inlineStr">
        <is>
          <t>bajo</t>
        </is>
      </c>
      <c r="J839" t="inlineStr">
        <is>
          <t>RN-11 y RN-34: provision hasta el cupo operativo antes de bajar del 8 %</t>
        </is>
      </c>
      <c r="K839" t="inlineStr">
        <is>
          <t>Provision en la manana, antes del pagado: con el pronostico, sin provision el saldo bajaria del 8 % del cupo ese dia. Lleva el saldo de 88.962.545 a 360.000.000 COP (cupo 360.000.000). Equipo administrado por Sucursal. Sin tarifa TDV (administrado por la sucursal): costo 0 declarado.</t>
        </is>
      </c>
      <c r="L839" s="26" t="n">
        <v>360000000</v>
      </c>
      <c r="M839" s="26" t="n">
        <v>88962545</v>
      </c>
      <c r="N839" s="27">
        <f>IF(ISNUMBER(M839),M839/L839,"No aplica")</f>
        <v>0.24711818055555557</v>
      </c>
      <c r="O839" s="25">
        <f>IF(G839="provision",M839+H839,IF(G839="recoleccion",M839-H839,"No aplica"))</f>
        <v>360000000</v>
      </c>
      <c r="P839" s="26" t="n">
        <v>0</v>
      </c>
    </row>
    <row r="840">
      <c r="A840" t="inlineStr">
        <is>
          <t>PRAGMA</t>
        </is>
      </c>
      <c r="B840" t="inlineStr">
        <is>
          <t>M1</t>
        </is>
      </c>
      <c r="C840" t="inlineStr">
        <is>
          <t>Cali</t>
        </is>
      </c>
      <c r="D840" t="inlineStr">
        <is>
          <t>6610</t>
        </is>
      </c>
      <c r="E840" t="inlineStr">
        <is>
          <t>Sucursal</t>
        </is>
      </c>
      <c r="F840" s="23" t="n">
        <v>46273</v>
      </c>
      <c r="G840" t="inlineStr">
        <is>
          <t>provision</t>
        </is>
      </c>
      <c r="H840" s="26" t="n">
        <v>297448985</v>
      </c>
      <c r="I840" t="inlineStr">
        <is>
          <t>bajo</t>
        </is>
      </c>
      <c r="J840" t="inlineStr">
        <is>
          <t>RN-11 y RN-34: provision hasta el cupo operativo antes de bajar del 8 %</t>
        </is>
      </c>
      <c r="K840" t="inlineStr">
        <is>
          <t>Provision en la manana, antes del pagado: con el pronostico, sin provision el saldo bajaria del 8 % del cupo ese dia. Lleva el saldo de 62.551.015 a 360.000.000 COP (cupo 360.000.000). Equipo administrado por Sucursal. Sin tarifa TDV (administrado por la sucursal): costo 0 declarado.</t>
        </is>
      </c>
      <c r="L840" s="26" t="n">
        <v>360000000</v>
      </c>
      <c r="M840" s="26" t="n">
        <v>62551015</v>
      </c>
      <c r="N840" s="27">
        <f>IF(ISNUMBER(M840),M840/L840,"No aplica")</f>
        <v>0.17375281944444446</v>
      </c>
      <c r="O840" s="25">
        <f>IF(G840="provision",M840+H840,IF(G840="recoleccion",M840-H840,"No aplica"))</f>
        <v>360000000</v>
      </c>
      <c r="P840" s="26" t="n">
        <v>0</v>
      </c>
    </row>
    <row r="841">
      <c r="A841" t="inlineStr">
        <is>
          <t>PRAGMA</t>
        </is>
      </c>
      <c r="B841" t="inlineStr">
        <is>
          <t>M1</t>
        </is>
      </c>
      <c r="C841" t="inlineStr">
        <is>
          <t>Cali</t>
        </is>
      </c>
      <c r="D841" t="inlineStr">
        <is>
          <t>6610</t>
        </is>
      </c>
      <c r="E841" t="inlineStr">
        <is>
          <t>Sucursal</t>
        </is>
      </c>
      <c r="F841" s="23" t="n">
        <v>46276</v>
      </c>
      <c r="G841" t="inlineStr">
        <is>
          <t>provision</t>
        </is>
      </c>
      <c r="H841" s="26" t="n">
        <v>297197107</v>
      </c>
      <c r="I841" t="inlineStr">
        <is>
          <t>bajo</t>
        </is>
      </c>
      <c r="J841" t="inlineStr">
        <is>
          <t>RN-11 y RN-34: provision hasta el cupo operativo antes de bajar del 8 %</t>
        </is>
      </c>
      <c r="K841" t="inlineStr">
        <is>
          <t>Provision en la manana, antes del pagado: con el pronostico, sin provision el saldo bajaria del 8 % del cupo ese dia. Lleva el saldo de 62.802.893 a 360.000.000 COP (cupo 360.000.000). Equipo administrado por Sucursal. Sin tarifa TDV (administrado por la sucursal): costo 0 declarado.</t>
        </is>
      </c>
      <c r="L841" s="26" t="n">
        <v>360000000</v>
      </c>
      <c r="M841" s="26" t="n">
        <v>62802893</v>
      </c>
      <c r="N841" s="27">
        <f>IF(ISNUMBER(M841),M841/L841,"No aplica")</f>
        <v>0.17445248055555557</v>
      </c>
      <c r="O841" s="25">
        <f>IF(G841="provision",M841+H841,IF(G841="recoleccion",M841-H841,"No aplica"))</f>
        <v>360000000</v>
      </c>
      <c r="P841" s="26" t="n">
        <v>0</v>
      </c>
    </row>
    <row r="842">
      <c r="A842" t="inlineStr">
        <is>
          <t>PRAGMA</t>
        </is>
      </c>
      <c r="B842" t="inlineStr">
        <is>
          <t>M1</t>
        </is>
      </c>
      <c r="C842" t="inlineStr">
        <is>
          <t>Cali</t>
        </is>
      </c>
      <c r="D842" t="inlineStr">
        <is>
          <t>6610</t>
        </is>
      </c>
      <c r="E842" t="inlineStr">
        <is>
          <t>Sucursal</t>
        </is>
      </c>
      <c r="F842" s="23" t="n">
        <v>46279</v>
      </c>
      <c r="G842" t="inlineStr">
        <is>
          <t>provision</t>
        </is>
      </c>
      <c r="H842" s="26" t="n">
        <v>276330767</v>
      </c>
      <c r="I842" t="inlineStr">
        <is>
          <t>bajo</t>
        </is>
      </c>
      <c r="J842" t="inlineStr">
        <is>
          <t>RN-11 y RN-34: provision hasta el cupo operativo antes de bajar del 8 %</t>
        </is>
      </c>
      <c r="K842" t="inlineStr">
        <is>
          <t>Provision en la manana, antes del pagado: con el pronostico, sin provision el saldo bajaria del 8 % del cupo ese dia. Lleva el saldo de 83.669.233 a 360.000.000 COP (cupo 360.000.000). Equipo administrado por Sucursal. Sin tarifa TDV (administrado por la sucursal): costo 0 declarado.</t>
        </is>
      </c>
      <c r="L842" s="26" t="n">
        <v>360000000</v>
      </c>
      <c r="M842" s="26" t="n">
        <v>83669233</v>
      </c>
      <c r="N842" s="27">
        <f>IF(ISNUMBER(M842),M842/L842,"No aplica")</f>
        <v>0.2324145361111111</v>
      </c>
      <c r="O842" s="25">
        <f>IF(G842="provision",M842+H842,IF(G842="recoleccion",M842-H842,"No aplica"))</f>
        <v>360000000</v>
      </c>
      <c r="P842" s="26" t="n">
        <v>0</v>
      </c>
    </row>
    <row r="843">
      <c r="A843" t="inlineStr">
        <is>
          <t>PRAGMA</t>
        </is>
      </c>
      <c r="B843" t="inlineStr">
        <is>
          <t>M1</t>
        </is>
      </c>
      <c r="C843" t="inlineStr">
        <is>
          <t>Cali</t>
        </is>
      </c>
      <c r="D843" t="inlineStr">
        <is>
          <t>672</t>
        </is>
      </c>
      <c r="E843" t="inlineStr">
        <is>
          <t>TDV</t>
        </is>
      </c>
      <c r="F843" s="23" t="n">
        <v>46266</v>
      </c>
      <c r="G843" t="inlineStr">
        <is>
          <t>sin_accion</t>
        </is>
      </c>
      <c r="H843" s="26" t="n">
        <v>0</v>
      </c>
      <c r="I843" t="inlineStr">
        <is>
          <t>bajo</t>
        </is>
      </c>
      <c r="J843" t="inlineStr">
        <is>
          <t>RN-02: una fila sin_accion</t>
        </is>
      </c>
      <c r="K843" t="inlineStr">
        <is>
          <t>Sin accion en el horizonte: con el pronostico, el saldo se mantiene entre el umbral de agotamiento y el cupo sin necesidad de provision ni recoleccion.</t>
        </is>
      </c>
      <c r="L843" s="26" t="n">
        <v>500000000</v>
      </c>
      <c r="M843" s="26" t="inlineStr">
        <is>
          <t>No aplica</t>
        </is>
      </c>
      <c r="N843" s="27" t="str">
        <f>IF(ISNUMBER(M843),M843/L843,"No aplica")</f>
        <v>No aplica</v>
      </c>
      <c r="O843" s="25" t="str">
        <f>IF(G843="provision",M843+H843,IF(G843="recoleccion",M843-H843,"No aplica"))</f>
        <v>No aplica</v>
      </c>
      <c r="P843" s="26" t="inlineStr">
        <is>
          <t>No aplica</t>
        </is>
      </c>
    </row>
    <row r="844">
      <c r="A844" t="inlineStr">
        <is>
          <t>PRAGMA</t>
        </is>
      </c>
      <c r="B844" t="inlineStr">
        <is>
          <t>M1</t>
        </is>
      </c>
      <c r="C844" t="inlineStr">
        <is>
          <t>Cali</t>
        </is>
      </c>
      <c r="D844" t="inlineStr">
        <is>
          <t>6754</t>
        </is>
      </c>
      <c r="E844" t="inlineStr">
        <is>
          <t>TDV</t>
        </is>
      </c>
      <c r="F844" s="23" t="n">
        <v>46272</v>
      </c>
      <c r="G844" t="inlineStr">
        <is>
          <t>provision</t>
        </is>
      </c>
      <c r="H844" s="26" t="n">
        <v>372094688</v>
      </c>
      <c r="I844" t="inlineStr">
        <is>
          <t>bajo</t>
        </is>
      </c>
      <c r="J844" t="inlineStr">
        <is>
          <t>RN-11 y RN-34: provision hasta el cupo operativo antes de bajar del 8 %</t>
        </is>
      </c>
      <c r="K844" t="inlineStr">
        <is>
          <t>Provision en la manana, antes del pagado: con el pronostico, sin provision el saldo bajaria del 8 % del cupo ese dia. Lleva el saldo de 32.905.312 a 405.000.000 COP (cupo 405.000.000). Equipo administrado por TDV.</t>
        </is>
      </c>
      <c r="L844" s="26" t="n">
        <v>405000000</v>
      </c>
      <c r="M844" s="26" t="n">
        <v>32905312</v>
      </c>
      <c r="N844" s="27">
        <f>IF(ISNUMBER(M844),M844/L844,"No aplica")</f>
        <v>0.08124768395061728</v>
      </c>
      <c r="O844" s="25">
        <f>IF(G844="provision",M844+H844,IF(G844="recoleccion",M844-H844,"No aplica"))</f>
        <v>405000000</v>
      </c>
      <c r="P844" s="26" t="n">
        <v>187134</v>
      </c>
    </row>
    <row r="845">
      <c r="A845" t="inlineStr">
        <is>
          <t>PRAGMA</t>
        </is>
      </c>
      <c r="B845" t="inlineStr">
        <is>
          <t>M1</t>
        </is>
      </c>
      <c r="C845" t="inlineStr">
        <is>
          <t>Cali</t>
        </is>
      </c>
      <c r="D845" t="inlineStr">
        <is>
          <t>6754</t>
        </is>
      </c>
      <c r="E845" t="inlineStr">
        <is>
          <t>TDV</t>
        </is>
      </c>
      <c r="F845" s="23" t="n">
        <v>46280</v>
      </c>
      <c r="G845" t="inlineStr">
        <is>
          <t>provision</t>
        </is>
      </c>
      <c r="H845" s="26" t="n">
        <v>338683389</v>
      </c>
      <c r="I845" t="inlineStr">
        <is>
          <t>bajo</t>
        </is>
      </c>
      <c r="J845" t="inlineStr">
        <is>
          <t>RN-11 y RN-34: provision hasta el cupo operativo antes de bajar del 8 %</t>
        </is>
      </c>
      <c r="K845" t="inlineStr">
        <is>
          <t>Provision en la manana, antes del pagado: con el pronostico, sin provision el saldo bajaria del 8 % del cupo ese dia. Lleva el saldo de 66.316.611 a 405.000.000 COP (cupo 405.000.000). Equipo administrado por TDV.</t>
        </is>
      </c>
      <c r="L845" s="26" t="n">
        <v>405000000</v>
      </c>
      <c r="M845" s="26" t="n">
        <v>66316611</v>
      </c>
      <c r="N845" s="27">
        <f>IF(ISNUMBER(M845),M845/L845,"No aplica")</f>
        <v>0.16374471851851852</v>
      </c>
      <c r="O845" s="25">
        <f>IF(G845="provision",M845+H845,IF(G845="recoleccion",M845-H845,"No aplica"))</f>
        <v>405000000</v>
      </c>
      <c r="P845" s="26" t="n">
        <v>172032</v>
      </c>
    </row>
    <row r="846">
      <c r="A846" t="inlineStr">
        <is>
          <t>PRAGMA</t>
        </is>
      </c>
      <c r="B846" t="inlineStr">
        <is>
          <t>M1</t>
        </is>
      </c>
      <c r="C846" t="inlineStr">
        <is>
          <t>Cali</t>
        </is>
      </c>
      <c r="D846" t="inlineStr">
        <is>
          <t>683</t>
        </is>
      </c>
      <c r="E846" t="inlineStr">
        <is>
          <t>TDV</t>
        </is>
      </c>
      <c r="F846" s="23" t="n">
        <v>46273</v>
      </c>
      <c r="G846" t="inlineStr">
        <is>
          <t>provision</t>
        </is>
      </c>
      <c r="H846" s="26" t="n">
        <v>375136990</v>
      </c>
      <c r="I846" t="inlineStr">
        <is>
          <t>bajo</t>
        </is>
      </c>
      <c r="J846" t="inlineStr">
        <is>
          <t>RN-11 y RN-34: provision hasta el cupo operativo antes de bajar del 8 %</t>
        </is>
      </c>
      <c r="K846" t="inlineStr">
        <is>
          <t>Provision en la manana, antes del pagado: con el pronostico, sin provision el saldo bajaria del 8 % del cupo ese dia. Lleva el saldo de 35.863.010 a 411.000.000 COP (cupo 411.000.000). Equipo administrado por TDV.</t>
        </is>
      </c>
      <c r="L846" s="26" t="n">
        <v>411000000</v>
      </c>
      <c r="M846" s="26" t="n">
        <v>35863010</v>
      </c>
      <c r="N846" s="27">
        <f>IF(ISNUMBER(M846),M846/L846,"No aplica")</f>
        <v>0.08725793187347931</v>
      </c>
      <c r="O846" s="25">
        <f>IF(G846="provision",M846+H846,IF(G846="recoleccion",M846-H846,"No aplica"))</f>
        <v>411000000</v>
      </c>
      <c r="P846" s="26" t="n">
        <v>158798</v>
      </c>
    </row>
    <row r="847">
      <c r="A847" t="inlineStr">
        <is>
          <t>PRAGMA</t>
        </is>
      </c>
      <c r="B847" t="inlineStr">
        <is>
          <t>M1</t>
        </is>
      </c>
      <c r="C847" t="inlineStr">
        <is>
          <t>Cali</t>
        </is>
      </c>
      <c r="D847" t="inlineStr">
        <is>
          <t>683</t>
        </is>
      </c>
      <c r="E847" t="inlineStr">
        <is>
          <t>TDV</t>
        </is>
      </c>
      <c r="F847" s="23" t="n">
        <v>46280</v>
      </c>
      <c r="G847" t="inlineStr">
        <is>
          <t>provision</t>
        </is>
      </c>
      <c r="H847" s="26" t="n">
        <v>232198642</v>
      </c>
      <c r="I847" t="inlineStr">
        <is>
          <t>bajo</t>
        </is>
      </c>
      <c r="J847" t="inlineStr">
        <is>
          <t>RN-11 y RN-34: provision hasta el cupo operativo antes de bajar del 8 %</t>
        </is>
      </c>
      <c r="K847" t="inlineStr">
        <is>
          <t>Provision en la manana, antes del pagado: con el pronostico, sin provision el saldo bajaria del 8 % del cupo ese dia. Lleva el saldo de 178.801.358 a 411.000.000 COP (cupo 411.000.000). Equipo administrado por TDV.</t>
        </is>
      </c>
      <c r="L847" s="26" t="n">
        <v>411000000</v>
      </c>
      <c r="M847" s="26" t="n">
        <v>178801358</v>
      </c>
      <c r="N847" s="27">
        <f>IF(ISNUMBER(M847),M847/L847,"No aplica")</f>
        <v>0.435039800486618</v>
      </c>
      <c r="O847" s="25">
        <f>IF(G847="provision",M847+H847,IF(G847="recoleccion",M847-H847,"No aplica"))</f>
        <v>411000000</v>
      </c>
      <c r="P847" s="26" t="n">
        <v>105053</v>
      </c>
    </row>
    <row r="848">
      <c r="A848" t="inlineStr">
        <is>
          <t>PRAGMA</t>
        </is>
      </c>
      <c r="B848" t="inlineStr">
        <is>
          <t>M1</t>
        </is>
      </c>
      <c r="C848" t="inlineStr">
        <is>
          <t>Cali</t>
        </is>
      </c>
      <c r="D848" t="inlineStr">
        <is>
          <t>6846</t>
        </is>
      </c>
      <c r="E848" t="inlineStr">
        <is>
          <t>Sucursal</t>
        </is>
      </c>
      <c r="F848" s="23" t="n">
        <v>46269</v>
      </c>
      <c r="G848" t="inlineStr">
        <is>
          <t>provision</t>
        </is>
      </c>
      <c r="H848" s="26" t="n">
        <v>332484544</v>
      </c>
      <c r="I848" t="inlineStr">
        <is>
          <t>bajo</t>
        </is>
      </c>
      <c r="J848" t="inlineStr">
        <is>
          <t>RN-11 y RN-34: provision hasta el cupo operativo antes de bajar del 8 %</t>
        </is>
      </c>
      <c r="K848" t="inlineStr">
        <is>
          <t>Provision en la manana, antes del pagado: con el pronostico, sin provision el saldo bajaria del 8 % del cupo ese dia. Lleva el saldo de 117.515.456 a 450.000.000 COP (cupo 450.000.000). Equipo administrado por Sucursal. Sin tarifa TDV (administrado por la sucursal): costo 0 declarado.</t>
        </is>
      </c>
      <c r="L848" s="26" t="n">
        <v>450000000</v>
      </c>
      <c r="M848" s="26" t="n">
        <v>117515456</v>
      </c>
      <c r="N848" s="27">
        <f>IF(ISNUMBER(M848),M848/L848,"No aplica")</f>
        <v>0.26114545777777776</v>
      </c>
      <c r="O848" s="25">
        <f>IF(G848="provision",M848+H848,IF(G848="recoleccion",M848-H848,"No aplica"))</f>
        <v>450000000</v>
      </c>
      <c r="P848" s="26" t="n">
        <v>0</v>
      </c>
    </row>
    <row r="849">
      <c r="A849" t="inlineStr">
        <is>
          <t>PRAGMA</t>
        </is>
      </c>
      <c r="B849" t="inlineStr">
        <is>
          <t>M1</t>
        </is>
      </c>
      <c r="C849" t="inlineStr">
        <is>
          <t>Cali</t>
        </is>
      </c>
      <c r="D849" t="inlineStr">
        <is>
          <t>6846</t>
        </is>
      </c>
      <c r="E849" t="inlineStr">
        <is>
          <t>Sucursal</t>
        </is>
      </c>
      <c r="F849" s="23" t="n">
        <v>46275</v>
      </c>
      <c r="G849" t="inlineStr">
        <is>
          <t>provision</t>
        </is>
      </c>
      <c r="H849" s="26" t="n">
        <v>362522390</v>
      </c>
      <c r="I849" t="inlineStr">
        <is>
          <t>bajo</t>
        </is>
      </c>
      <c r="J849" t="inlineStr">
        <is>
          <t>RN-11 y RN-34: provision hasta el cupo operativo antes de bajar del 8 %</t>
        </is>
      </c>
      <c r="K849" t="inlineStr">
        <is>
          <t>Provision en la manana, antes del pagado: con el pronostico, sin provision el saldo bajaria del 8 % del cupo ese dia. Lleva el saldo de 87.477.610 a 450.000.000 COP (cupo 450.000.000). Equipo administrado por Sucursal. Sin tarifa TDV (administrado por la sucursal): costo 0 declarado.</t>
        </is>
      </c>
      <c r="L849" s="26" t="n">
        <v>450000000</v>
      </c>
      <c r="M849" s="26" t="n">
        <v>87477610</v>
      </c>
      <c r="N849" s="27">
        <f>IF(ISNUMBER(M849),M849/L849,"No aplica")</f>
        <v>0.1943946888888889</v>
      </c>
      <c r="O849" s="25">
        <f>IF(G849="provision",M849+H849,IF(G849="recoleccion",M849-H849,"No aplica"))</f>
        <v>450000000</v>
      </c>
      <c r="P849" s="26" t="n">
        <v>0</v>
      </c>
    </row>
    <row r="850">
      <c r="A850" t="inlineStr">
        <is>
          <t>PRAGMA</t>
        </is>
      </c>
      <c r="B850" t="inlineStr">
        <is>
          <t>M1</t>
        </is>
      </c>
      <c r="C850" t="inlineStr">
        <is>
          <t>Cali</t>
        </is>
      </c>
      <c r="D850" t="inlineStr">
        <is>
          <t>6847</t>
        </is>
      </c>
      <c r="E850" t="inlineStr">
        <is>
          <t>Sucursal</t>
        </is>
      </c>
      <c r="F850" s="23" t="n">
        <v>46269</v>
      </c>
      <c r="G850" t="inlineStr">
        <is>
          <t>provision</t>
        </is>
      </c>
      <c r="H850" s="26" t="n">
        <v>326393709</v>
      </c>
      <c r="I850" t="inlineStr">
        <is>
          <t>bajo</t>
        </is>
      </c>
      <c r="J850" t="inlineStr">
        <is>
          <t>RN-11 y RN-34: provision hasta el cupo operativo antes de bajar del 8 %</t>
        </is>
      </c>
      <c r="K850" t="inlineStr">
        <is>
          <t>Provision en la manana, antes del pagado: con el pronostico, sin provision el saldo bajaria del 8 % del cupo ese dia. Lleva el saldo de 123.606.291 a 450.000.000 COP (cupo 450.000.000). Equipo administrado por Sucursal. Sin tarifa TDV (administrado por la sucursal): costo 0 declarado.</t>
        </is>
      </c>
      <c r="L850" s="26" t="n">
        <v>450000000</v>
      </c>
      <c r="M850" s="26" t="n">
        <v>123606291</v>
      </c>
      <c r="N850" s="27">
        <f>IF(ISNUMBER(M850),M850/L850,"No aplica")</f>
        <v>0.27468064666666664</v>
      </c>
      <c r="O850" s="25">
        <f>IF(G850="provision",M850+H850,IF(G850="recoleccion",M850-H850,"No aplica"))</f>
        <v>450000000</v>
      </c>
      <c r="P850" s="26" t="n">
        <v>0</v>
      </c>
    </row>
    <row r="851">
      <c r="A851" t="inlineStr">
        <is>
          <t>PRAGMA</t>
        </is>
      </c>
      <c r="B851" t="inlineStr">
        <is>
          <t>M1</t>
        </is>
      </c>
      <c r="C851" t="inlineStr">
        <is>
          <t>Cali</t>
        </is>
      </c>
      <c r="D851" t="inlineStr">
        <is>
          <t>6847</t>
        </is>
      </c>
      <c r="E851" t="inlineStr">
        <is>
          <t>Sucursal</t>
        </is>
      </c>
      <c r="F851" s="23" t="n">
        <v>46276</v>
      </c>
      <c r="G851" t="inlineStr">
        <is>
          <t>provision</t>
        </is>
      </c>
      <c r="H851" s="26" t="n">
        <v>409213242</v>
      </c>
      <c r="I851" t="inlineStr">
        <is>
          <t>bajo</t>
        </is>
      </c>
      <c r="J851" t="inlineStr">
        <is>
          <t>RN-11 y RN-34: provision hasta el cupo operativo antes de bajar del 8 %</t>
        </is>
      </c>
      <c r="K851" t="inlineStr">
        <is>
          <t>Provision en la manana, antes del pagado: con el pronostico, sin provision el saldo bajaria del 8 % del cupo ese dia. Lleva el saldo de 40.786.758 a 450.000.000 COP (cupo 450.000.000). Equipo administrado por Sucursal. Sin tarifa TDV (administrado por la sucursal): costo 0 declarado.</t>
        </is>
      </c>
      <c r="L851" s="26" t="n">
        <v>450000000</v>
      </c>
      <c r="M851" s="26" t="n">
        <v>40786758</v>
      </c>
      <c r="N851" s="27">
        <f>IF(ISNUMBER(M851),M851/L851,"No aplica")</f>
        <v>0.09063724</v>
      </c>
      <c r="O851" s="25">
        <f>IF(G851="provision",M851+H851,IF(G851="recoleccion",M851-H851,"No aplica"))</f>
        <v>450000000</v>
      </c>
      <c r="P851" s="26" t="n">
        <v>0</v>
      </c>
    </row>
    <row r="852">
      <c r="A852" t="inlineStr">
        <is>
          <t>PRAGMA</t>
        </is>
      </c>
      <c r="B852" t="inlineStr">
        <is>
          <t>M1</t>
        </is>
      </c>
      <c r="C852" t="inlineStr">
        <is>
          <t>Pasto</t>
        </is>
      </c>
      <c r="D852" t="inlineStr">
        <is>
          <t>6900</t>
        </is>
      </c>
      <c r="E852" t="inlineStr">
        <is>
          <t>TDV</t>
        </is>
      </c>
      <c r="F852" s="23" t="n">
        <v>46268</v>
      </c>
      <c r="G852" t="inlineStr">
        <is>
          <t>provision</t>
        </is>
      </c>
      <c r="H852" s="26" t="n">
        <v>395069192</v>
      </c>
      <c r="I852" t="inlineStr">
        <is>
          <t>bajo</t>
        </is>
      </c>
      <c r="J852" t="inlineStr">
        <is>
          <t>RN-11 y RN-34: provision hasta el cupo operativo antes de bajar del 8 %</t>
        </is>
      </c>
      <c r="K852" t="inlineStr">
        <is>
          <t>Provision en la manana, antes del pagado: con el pronostico, sin provision el saldo bajaria del 8 % del cupo ese dia. Lleva el saldo de 104.930.808 a 500.000.000 COP (cupo 500.000.000). Equipo administrado por TDV.</t>
        </is>
      </c>
      <c r="L852" s="26" t="n">
        <v>500000000</v>
      </c>
      <c r="M852" s="26" t="n">
        <v>104930808</v>
      </c>
      <c r="N852" s="27">
        <f>IF(ISNUMBER(M852),M852/L852,"No aplica")</f>
        <v>0.209861616</v>
      </c>
      <c r="O852" s="25">
        <f>IF(G852="provision",M852+H852,IF(G852="recoleccion",M852-H852,"No aplica"))</f>
        <v>500000000</v>
      </c>
      <c r="P852" s="26" t="n">
        <v>126178</v>
      </c>
    </row>
    <row r="853">
      <c r="A853" t="inlineStr">
        <is>
          <t>PRAGMA</t>
        </is>
      </c>
      <c r="B853" t="inlineStr">
        <is>
          <t>M1</t>
        </is>
      </c>
      <c r="C853" t="inlineStr">
        <is>
          <t>Pasto</t>
        </is>
      </c>
      <c r="D853" t="inlineStr">
        <is>
          <t>6900</t>
        </is>
      </c>
      <c r="E853" t="inlineStr">
        <is>
          <t>TDV</t>
        </is>
      </c>
      <c r="F853" s="23" t="n">
        <v>46270</v>
      </c>
      <c r="G853" t="inlineStr">
        <is>
          <t>provision</t>
        </is>
      </c>
      <c r="H853" s="26" t="n">
        <v>319466089</v>
      </c>
      <c r="I853" t="inlineStr">
        <is>
          <t>bajo</t>
        </is>
      </c>
      <c r="J853" t="inlineStr">
        <is>
          <t>RN-11 y RN-34: provision hasta el cupo operativo antes de bajar del 8 %</t>
        </is>
      </c>
      <c r="K853" t="inlineStr">
        <is>
          <t>Provision en la manana, antes del pagado: con el pronostico, sin provision el saldo bajaria del 8 % del cupo ese dia. Lleva el saldo de 180.533.911 a 500.000.000 COP (cupo 500.000.000). Equipo administrado por TDV.</t>
        </is>
      </c>
      <c r="L853" s="26" t="n">
        <v>500000000</v>
      </c>
      <c r="M853" s="26" t="n">
        <v>180533911</v>
      </c>
      <c r="N853" s="27">
        <f>IF(ISNUMBER(M853),M853/L853,"No aplica")</f>
        <v>0.361067822</v>
      </c>
      <c r="O853" s="25">
        <f>IF(G853="provision",M853+H853,IF(G853="recoleccion",M853-H853,"No aplica"))</f>
        <v>500000000</v>
      </c>
      <c r="P853" s="26" t="n">
        <v>105010</v>
      </c>
    </row>
    <row r="854">
      <c r="A854" t="inlineStr">
        <is>
          <t>PRAGMA</t>
        </is>
      </c>
      <c r="B854" t="inlineStr">
        <is>
          <t>M1</t>
        </is>
      </c>
      <c r="C854" t="inlineStr">
        <is>
          <t>Pasto</t>
        </is>
      </c>
      <c r="D854" t="inlineStr">
        <is>
          <t>6900</t>
        </is>
      </c>
      <c r="E854" t="inlineStr">
        <is>
          <t>TDV</t>
        </is>
      </c>
      <c r="F854" s="23" t="n">
        <v>46273</v>
      </c>
      <c r="G854" t="inlineStr">
        <is>
          <t>provision</t>
        </is>
      </c>
      <c r="H854" s="26" t="n">
        <v>397664374</v>
      </c>
      <c r="I854" t="inlineStr">
        <is>
          <t>bajo</t>
        </is>
      </c>
      <c r="J854" t="inlineStr">
        <is>
          <t>RN-11 y RN-34: provision hasta el cupo operativo antes de bajar del 8 %</t>
        </is>
      </c>
      <c r="K854" t="inlineStr">
        <is>
          <t>Provision en la manana, antes del pagado: con el pronostico, sin provision el saldo bajaria del 8 % del cupo ese dia. Lleva el saldo de 102.335.626 a 500.000.000 COP (cupo 500.000.000). Equipo administrado por TDV.</t>
        </is>
      </c>
      <c r="L854" s="26" t="n">
        <v>500000000</v>
      </c>
      <c r="M854" s="26" t="n">
        <v>102335626</v>
      </c>
      <c r="N854" s="27">
        <f>IF(ISNUMBER(M854),M854/L854,"No aplica")</f>
        <v>0.204671252</v>
      </c>
      <c r="O854" s="25">
        <f>IF(G854="provision",M854+H854,IF(G854="recoleccion",M854-H854,"No aplica"))</f>
        <v>500000000</v>
      </c>
      <c r="P854" s="26" t="n">
        <v>126905</v>
      </c>
    </row>
    <row r="855">
      <c r="A855" t="inlineStr">
        <is>
          <t>PRAGMA</t>
        </is>
      </c>
      <c r="B855" t="inlineStr">
        <is>
          <t>M1</t>
        </is>
      </c>
      <c r="C855" t="inlineStr">
        <is>
          <t>Pasto</t>
        </is>
      </c>
      <c r="D855" t="inlineStr">
        <is>
          <t>6900</t>
        </is>
      </c>
      <c r="E855" t="inlineStr">
        <is>
          <t>TDV</t>
        </is>
      </c>
      <c r="F855" s="23" t="n">
        <v>46276</v>
      </c>
      <c r="G855" t="inlineStr">
        <is>
          <t>provision</t>
        </is>
      </c>
      <c r="H855" s="26" t="n">
        <v>377977680</v>
      </c>
      <c r="I855" t="inlineStr">
        <is>
          <t>bajo</t>
        </is>
      </c>
      <c r="J855" t="inlineStr">
        <is>
          <t>RN-11 y RN-34: provision hasta el cupo operativo antes de bajar del 8 %</t>
        </is>
      </c>
      <c r="K855" t="inlineStr">
        <is>
          <t>Provision en la manana, antes del pagado: con el pronostico, sin provision el saldo bajaria del 8 % del cupo ese dia. Lleva el saldo de 122.022.320 a 500.000.000 COP (cupo 500.000.000). Equipo administrado por TDV.</t>
        </is>
      </c>
      <c r="L855" s="26" t="n">
        <v>500000000</v>
      </c>
      <c r="M855" s="26" t="n">
        <v>122022320</v>
      </c>
      <c r="N855" s="27">
        <f>IF(ISNUMBER(M855),M855/L855,"No aplica")</f>
        <v>0.24404464</v>
      </c>
      <c r="O855" s="25">
        <f>IF(G855="provision",M855+H855,IF(G855="recoleccion",M855-H855,"No aplica"))</f>
        <v>500000000</v>
      </c>
      <c r="P855" s="26" t="n">
        <v>121393</v>
      </c>
    </row>
    <row r="856">
      <c r="A856" t="inlineStr">
        <is>
          <t>PRAGMA</t>
        </is>
      </c>
      <c r="B856" t="inlineStr">
        <is>
          <t>M1</t>
        </is>
      </c>
      <c r="C856" t="inlineStr">
        <is>
          <t>Pasto</t>
        </is>
      </c>
      <c r="D856" t="inlineStr">
        <is>
          <t>6900</t>
        </is>
      </c>
      <c r="E856" t="inlineStr">
        <is>
          <t>TDV</t>
        </is>
      </c>
      <c r="F856" s="23" t="n">
        <v>46280</v>
      </c>
      <c r="G856" t="inlineStr">
        <is>
          <t>provision</t>
        </is>
      </c>
      <c r="H856" s="26" t="n">
        <v>424112601</v>
      </c>
      <c r="I856" t="inlineStr">
        <is>
          <t>bajo</t>
        </is>
      </c>
      <c r="J856" t="inlineStr">
        <is>
          <t>RN-11 y RN-34: provision hasta el cupo operativo antes de bajar del 8 %</t>
        </is>
      </c>
      <c r="K856" t="inlineStr">
        <is>
          <t>Provision en la manana, antes del pagado: con el pronostico, sin provision el saldo bajaria del 8 % del cupo ese dia. Lleva el saldo de 75.887.399 a 500.000.000 COP (cupo 500.000.000). Equipo administrado por TDV.</t>
        </is>
      </c>
      <c r="L856" s="26" t="n">
        <v>500000000</v>
      </c>
      <c r="M856" s="26" t="n">
        <v>75887399</v>
      </c>
      <c r="N856" s="27">
        <f>IF(ISNUMBER(M856),M856/L856,"No aplica")</f>
        <v>0.151774798</v>
      </c>
      <c r="O856" s="25">
        <f>IF(G856="provision",M856+H856,IF(G856="recoleccion",M856-H856,"No aplica"))</f>
        <v>500000000</v>
      </c>
      <c r="P856" s="26" t="n">
        <v>134311</v>
      </c>
    </row>
    <row r="857">
      <c r="A857" t="inlineStr">
        <is>
          <t>PRAGMA</t>
        </is>
      </c>
      <c r="B857" t="inlineStr">
        <is>
          <t>M1</t>
        </is>
      </c>
      <c r="C857" t="inlineStr">
        <is>
          <t>Cali</t>
        </is>
      </c>
      <c r="D857" t="inlineStr">
        <is>
          <t>6949</t>
        </is>
      </c>
      <c r="E857" t="inlineStr">
        <is>
          <t>TDV</t>
        </is>
      </c>
      <c r="F857" s="23" t="n">
        <v>46270</v>
      </c>
      <c r="G857" t="inlineStr">
        <is>
          <t>provision</t>
        </is>
      </c>
      <c r="H857" s="26" t="n">
        <v>365460567</v>
      </c>
      <c r="I857" t="inlineStr">
        <is>
          <t>bajo</t>
        </is>
      </c>
      <c r="J857" t="inlineStr">
        <is>
          <t>RN-11 y RN-34: provision hasta el cupo operativo antes de bajar del 8 %</t>
        </is>
      </c>
      <c r="K857" t="inlineStr">
        <is>
          <t>Provision en la manana, antes del pagado: con el pronostico, sin provision el saldo bajaria del 8 % del cupo ese dia. Lleva el saldo de 39.539.433 a 405.000.000 COP (cupo 405.000.000). Equipo administrado por TDV.</t>
        </is>
      </c>
      <c r="L857" s="26" t="n">
        <v>405000000</v>
      </c>
      <c r="M857" s="26" t="n">
        <v>39539433</v>
      </c>
      <c r="N857" s="27">
        <f>IF(ISNUMBER(M857),M857/L857,"No aplica")</f>
        <v>0.09762822962962962</v>
      </c>
      <c r="O857" s="25">
        <f>IF(G857="provision",M857+H857,IF(G857="recoleccion",M857-H857,"No aplica"))</f>
        <v>405000000</v>
      </c>
      <c r="P857" s="26" t="n">
        <v>160084</v>
      </c>
    </row>
    <row r="858">
      <c r="A858" t="inlineStr">
        <is>
          <t>PRAGMA</t>
        </is>
      </c>
      <c r="B858" t="inlineStr">
        <is>
          <t>M1</t>
        </is>
      </c>
      <c r="C858" t="inlineStr">
        <is>
          <t>Cali</t>
        </is>
      </c>
      <c r="D858" t="inlineStr">
        <is>
          <t>6949</t>
        </is>
      </c>
      <c r="E858" t="inlineStr">
        <is>
          <t>TDV</t>
        </is>
      </c>
      <c r="F858" s="23" t="n">
        <v>46276</v>
      </c>
      <c r="G858" t="inlineStr">
        <is>
          <t>provision</t>
        </is>
      </c>
      <c r="H858" s="26" t="n">
        <v>341312006</v>
      </c>
      <c r="I858" t="inlineStr">
        <is>
          <t>bajo</t>
        </is>
      </c>
      <c r="J858" t="inlineStr">
        <is>
          <t>RN-11 y RN-34: provision hasta el cupo operativo antes de bajar del 8 %</t>
        </is>
      </c>
      <c r="K858" t="inlineStr">
        <is>
          <t>Provision en la manana, antes del pagado: con el pronostico, sin provision el saldo bajaria del 8 % del cupo ese dia. Lleva el saldo de 63.687.994 a 405.000.000 COP (cupo 405.000.000). Equipo administrado por TDV.</t>
        </is>
      </c>
      <c r="L858" s="26" t="n">
        <v>405000000</v>
      </c>
      <c r="M858" s="26" t="n">
        <v>63687994</v>
      </c>
      <c r="N858" s="27">
        <f>IF(ISNUMBER(M858),M858/L858,"No aplica")</f>
        <v>0.1572543061728395</v>
      </c>
      <c r="O858" s="25">
        <f>IF(G858="provision",M858+H858,IF(G858="recoleccion",M858-H858,"No aplica"))</f>
        <v>405000000</v>
      </c>
      <c r="P858" s="26" t="n">
        <v>150739</v>
      </c>
    </row>
    <row r="859">
      <c r="A859" t="inlineStr">
        <is>
          <t>PRAGMA</t>
        </is>
      </c>
      <c r="B859" t="inlineStr">
        <is>
          <t>M1</t>
        </is>
      </c>
      <c r="C859" t="inlineStr">
        <is>
          <t>Cali</t>
        </is>
      </c>
      <c r="D859" t="inlineStr">
        <is>
          <t>6957</t>
        </is>
      </c>
      <c r="E859" t="inlineStr">
        <is>
          <t>TDV</t>
        </is>
      </c>
      <c r="F859" s="23" t="n">
        <v>46268</v>
      </c>
      <c r="G859" t="inlineStr">
        <is>
          <t>provision</t>
        </is>
      </c>
      <c r="H859" s="26" t="n">
        <v>314006858</v>
      </c>
      <c r="I859" t="inlineStr">
        <is>
          <t>bajo</t>
        </is>
      </c>
      <c r="J859" t="inlineStr">
        <is>
          <t>RN-11 y RN-34: provision hasta el cupo operativo antes de bajar del 8 %</t>
        </is>
      </c>
      <c r="K859" t="inlineStr">
        <is>
          <t>Provision en la manana, antes del pagado: con el pronostico, sin provision el saldo bajaria del 8 % del cupo ese dia. Lleva el saldo de 90.993.142 a 405.000.000 COP (cupo 405.000.000). Equipo administrado por TDV.</t>
        </is>
      </c>
      <c r="L859" s="26" t="n">
        <v>405000000</v>
      </c>
      <c r="M859" s="26" t="n">
        <v>90993142</v>
      </c>
      <c r="N859" s="27">
        <f>IF(ISNUMBER(M859),M859/L859,"No aplica")</f>
        <v>0.22467442469135804</v>
      </c>
      <c r="O859" s="25">
        <f>IF(G859="provision",M859+H859,IF(G859="recoleccion",M859-H859,"No aplica"))</f>
        <v>405000000</v>
      </c>
      <c r="P859" s="26" t="n">
        <v>140172</v>
      </c>
    </row>
    <row r="860">
      <c r="A860" t="inlineStr">
        <is>
          <t>PRAGMA</t>
        </is>
      </c>
      <c r="B860" t="inlineStr">
        <is>
          <t>M1</t>
        </is>
      </c>
      <c r="C860" t="inlineStr">
        <is>
          <t>Cali</t>
        </is>
      </c>
      <c r="D860" t="inlineStr">
        <is>
          <t>6957</t>
        </is>
      </c>
      <c r="E860" t="inlineStr">
        <is>
          <t>TDV</t>
        </is>
      </c>
      <c r="F860" s="23" t="n">
        <v>46271</v>
      </c>
      <c r="G860" t="inlineStr">
        <is>
          <t>provision</t>
        </is>
      </c>
      <c r="H860" s="26" t="n">
        <v>368628487</v>
      </c>
      <c r="I860" t="inlineStr">
        <is>
          <t>bajo</t>
        </is>
      </c>
      <c r="J860" t="inlineStr">
        <is>
          <t>RN-11 y RN-34: provision hasta el cupo operativo antes de bajar del 8 %</t>
        </is>
      </c>
      <c r="K860" t="inlineStr">
        <is>
          <t>Provision en la manana, antes del pagado: con el pronostico, sin provision el saldo bajaria del 8 % del cupo ese dia. Lleva el saldo de 36.371.513 a 405.000.000 COP (cupo 405.000.000). Equipo administrado por TDV.</t>
        </is>
      </c>
      <c r="L860" s="26" t="n">
        <v>405000000</v>
      </c>
      <c r="M860" s="26" t="n">
        <v>36371513</v>
      </c>
      <c r="N860" s="27">
        <f>IF(ISNUMBER(M860),M860/L860,"No aplica")</f>
        <v>0.0898062049382716</v>
      </c>
      <c r="O860" s="25">
        <f>IF(G860="provision",M860+H860,IF(G860="recoleccion",M860-H860,"No aplica"))</f>
        <v>405000000</v>
      </c>
      <c r="P860" s="26" t="n">
        <v>208418</v>
      </c>
    </row>
    <row r="861">
      <c r="A861" t="inlineStr">
        <is>
          <t>PRAGMA</t>
        </is>
      </c>
      <c r="B861" t="inlineStr">
        <is>
          <t>M1</t>
        </is>
      </c>
      <c r="C861" t="inlineStr">
        <is>
          <t>Cali</t>
        </is>
      </c>
      <c r="D861" t="inlineStr">
        <is>
          <t>6957</t>
        </is>
      </c>
      <c r="E861" t="inlineStr">
        <is>
          <t>TDV</t>
        </is>
      </c>
      <c r="F861" s="23" t="n">
        <v>46275</v>
      </c>
      <c r="G861" t="inlineStr">
        <is>
          <t>provision</t>
        </is>
      </c>
      <c r="H861" s="26" t="n">
        <v>352016950</v>
      </c>
      <c r="I861" t="inlineStr">
        <is>
          <t>bajo</t>
        </is>
      </c>
      <c r="J861" t="inlineStr">
        <is>
          <t>RN-11 y RN-34: provision hasta el cupo operativo antes de bajar del 8 %</t>
        </is>
      </c>
      <c r="K861" t="inlineStr">
        <is>
          <t>Provision en la manana, antes del pagado: con el pronostico, sin provision el saldo bajaria del 8 % del cupo ese dia. Lleva el saldo de 52.983.050 a 405.000.000 COP (cupo 405.000.000). Equipo administrado por TDV.</t>
        </is>
      </c>
      <c r="L861" s="26" t="n">
        <v>405000000</v>
      </c>
      <c r="M861" s="26" t="n">
        <v>52983050</v>
      </c>
      <c r="N861" s="27">
        <f>IF(ISNUMBER(M861),M861/L861,"No aplica")</f>
        <v>0.13082234567901235</v>
      </c>
      <c r="O861" s="25">
        <f>IF(G861="provision",M861+H861,IF(G861="recoleccion",M861-H861,"No aplica"))</f>
        <v>405000000</v>
      </c>
      <c r="P861" s="26" t="n">
        <v>154882</v>
      </c>
    </row>
    <row r="862">
      <c r="A862" t="inlineStr">
        <is>
          <t>PRAGMA</t>
        </is>
      </c>
      <c r="B862" t="inlineStr">
        <is>
          <t>M1</t>
        </is>
      </c>
      <c r="C862" t="inlineStr">
        <is>
          <t>Cali</t>
        </is>
      </c>
      <c r="D862" t="inlineStr">
        <is>
          <t>6957</t>
        </is>
      </c>
      <c r="E862" t="inlineStr">
        <is>
          <t>TDV</t>
        </is>
      </c>
      <c r="F862" s="23" t="n">
        <v>46279</v>
      </c>
      <c r="G862" t="inlineStr">
        <is>
          <t>provision</t>
        </is>
      </c>
      <c r="H862" s="26" t="n">
        <v>336085371</v>
      </c>
      <c r="I862" t="inlineStr">
        <is>
          <t>bajo</t>
        </is>
      </c>
      <c r="J862" t="inlineStr">
        <is>
          <t>RN-11 y RN-34: provision hasta el cupo operativo antes de bajar del 8 %</t>
        </is>
      </c>
      <c r="K862" t="inlineStr">
        <is>
          <t>Provision en la manana, antes del pagado: con el pronostico, sin provision el saldo bajaria del 8 % del cupo ese dia. Lleva el saldo de 68.914.629 a 405.000.000 COP (cupo 405.000.000). Equipo administrado por TDV.</t>
        </is>
      </c>
      <c r="L862" s="26" t="n">
        <v>405000000</v>
      </c>
      <c r="M862" s="26" t="n">
        <v>68914629</v>
      </c>
      <c r="N862" s="27">
        <f>IF(ISNUMBER(M862),M862/L862,"No aplica")</f>
        <v>0.17015957777777777</v>
      </c>
      <c r="O862" s="25">
        <f>IF(G862="provision",M862+H862,IF(G862="recoleccion",M862-H862,"No aplica"))</f>
        <v>405000000</v>
      </c>
      <c r="P862" s="26" t="n">
        <v>148716</v>
      </c>
    </row>
    <row r="863">
      <c r="A863" t="inlineStr">
        <is>
          <t>PRAGMA</t>
        </is>
      </c>
      <c r="B863" t="inlineStr">
        <is>
          <t>M1</t>
        </is>
      </c>
      <c r="C863" t="inlineStr">
        <is>
          <t>Cali</t>
        </is>
      </c>
      <c r="D863" t="inlineStr">
        <is>
          <t>6966</t>
        </is>
      </c>
      <c r="E863" t="inlineStr">
        <is>
          <t>TDV</t>
        </is>
      </c>
      <c r="F863" s="23" t="n">
        <v>46276</v>
      </c>
      <c r="G863" t="inlineStr">
        <is>
          <t>provision</t>
        </is>
      </c>
      <c r="H863" s="26" t="n">
        <v>345872519</v>
      </c>
      <c r="I863" t="inlineStr">
        <is>
          <t>bajo</t>
        </is>
      </c>
      <c r="J863" t="inlineStr">
        <is>
          <t>RN-11 y RN-34: provision hasta el cupo operativo antes de bajar del 8 %</t>
        </is>
      </c>
      <c r="K863" t="inlineStr">
        <is>
          <t>Provision en la manana, antes del pagado: con el pronostico, sin provision el saldo bajaria del 8 % del cupo ese dia. Lleva el saldo de 59.127.481 a 405.000.000 COP (cupo 405.000.000). Equipo administrado por TDV.</t>
        </is>
      </c>
      <c r="L863" s="26" t="n">
        <v>405000000</v>
      </c>
      <c r="M863" s="26" t="n">
        <v>59127481</v>
      </c>
      <c r="N863" s="27">
        <f>IF(ISNUMBER(M863),M863/L863,"No aplica")</f>
        <v>0.1459937802469136</v>
      </c>
      <c r="O863" s="25">
        <f>IF(G863="provision",M863+H863,IF(G863="recoleccion",M863-H863,"No aplica"))</f>
        <v>405000000</v>
      </c>
      <c r="P863" s="26" t="n">
        <v>175281</v>
      </c>
    </row>
    <row r="864">
      <c r="A864" t="inlineStr">
        <is>
          <t>PRAGMA</t>
        </is>
      </c>
      <c r="B864" t="inlineStr">
        <is>
          <t>M1</t>
        </is>
      </c>
      <c r="C864" t="inlineStr">
        <is>
          <t>Cali</t>
        </is>
      </c>
      <c r="D864" t="inlineStr">
        <is>
          <t>7037</t>
        </is>
      </c>
      <c r="E864" t="inlineStr">
        <is>
          <t>TDV</t>
        </is>
      </c>
      <c r="F864" s="23" t="n">
        <v>46276</v>
      </c>
      <c r="G864" t="inlineStr">
        <is>
          <t>provision</t>
        </is>
      </c>
      <c r="H864" s="26" t="n">
        <v>355332646</v>
      </c>
      <c r="I864" t="inlineStr">
        <is>
          <t>bajo</t>
        </is>
      </c>
      <c r="J864" t="inlineStr">
        <is>
          <t>RN-11 y RN-34: provision hasta el cupo operativo antes de bajar del 8 %</t>
        </is>
      </c>
      <c r="K864" t="inlineStr">
        <is>
          <t>Provision en la manana, antes del pagado: con el pronostico, sin provision el saldo bajaria del 8 % del cupo ese dia. Lleva el saldo de 49.667.354 a 405.000.000 COP (cupo 405.000.000). Equipo administrado por TDV.</t>
        </is>
      </c>
      <c r="L864" s="26" t="n">
        <v>405000000</v>
      </c>
      <c r="M864" s="26" t="n">
        <v>49667354</v>
      </c>
      <c r="N864" s="27">
        <f>IF(ISNUMBER(M864),M864/L864,"No aplica")</f>
        <v>0.12263544197530864</v>
      </c>
      <c r="O864" s="25">
        <f>IF(G864="provision",M864+H864,IF(G864="recoleccion",M864-H864,"No aplica"))</f>
        <v>405000000</v>
      </c>
      <c r="P864" s="26" t="n">
        <v>179557</v>
      </c>
    </row>
    <row r="865">
      <c r="A865" t="inlineStr">
        <is>
          <t>PRAGMA</t>
        </is>
      </c>
      <c r="B865" t="inlineStr">
        <is>
          <t>M1</t>
        </is>
      </c>
      <c r="C865" t="inlineStr">
        <is>
          <t>Pasto</t>
        </is>
      </c>
      <c r="D865" t="inlineStr">
        <is>
          <t>7047</t>
        </is>
      </c>
      <c r="E865" t="inlineStr">
        <is>
          <t>TDV</t>
        </is>
      </c>
      <c r="F865" s="23" t="n">
        <v>46266</v>
      </c>
      <c r="G865" t="inlineStr">
        <is>
          <t>sin_accion</t>
        </is>
      </c>
      <c r="H865" s="26" t="n">
        <v>0</v>
      </c>
      <c r="I865" t="inlineStr">
        <is>
          <t>bajo</t>
        </is>
      </c>
      <c r="J865" t="inlineStr">
        <is>
          <t>RN-02: una fila sin_accion</t>
        </is>
      </c>
      <c r="K865" t="inlineStr">
        <is>
          <t>Sin accion en el horizonte: con el pronostico, el saldo se mantiene entre el umbral de agotamiento y el cupo sin necesidad de provision ni recoleccion.</t>
        </is>
      </c>
      <c r="L865" s="26" t="n">
        <v>500000000</v>
      </c>
      <c r="M865" s="26" t="inlineStr">
        <is>
          <t>No aplica</t>
        </is>
      </c>
      <c r="N865" s="27" t="str">
        <f>IF(ISNUMBER(M865),M865/L865,"No aplica")</f>
        <v>No aplica</v>
      </c>
      <c r="O865" s="25" t="str">
        <f>IF(G865="provision",M865+H865,IF(G865="recoleccion",M865-H865,"No aplica"))</f>
        <v>No aplica</v>
      </c>
      <c r="P865" s="26" t="inlineStr">
        <is>
          <t>No aplica</t>
        </is>
      </c>
    </row>
    <row r="866">
      <c r="A866" t="inlineStr">
        <is>
          <t>PRAGMA</t>
        </is>
      </c>
      <c r="B866" t="inlineStr">
        <is>
          <t>M1</t>
        </is>
      </c>
      <c r="C866" t="inlineStr">
        <is>
          <t>Cali</t>
        </is>
      </c>
      <c r="D866" t="inlineStr">
        <is>
          <t>7049</t>
        </is>
      </c>
      <c r="E866" t="inlineStr">
        <is>
          <t>TDV</t>
        </is>
      </c>
      <c r="F866" s="23" t="n">
        <v>46270</v>
      </c>
      <c r="G866" t="inlineStr">
        <is>
          <t>provision</t>
        </is>
      </c>
      <c r="H866" s="26" t="n">
        <v>419548552</v>
      </c>
      <c r="I866" t="inlineStr">
        <is>
          <t>bajo</t>
        </is>
      </c>
      <c r="J866" t="inlineStr">
        <is>
          <t>RN-11 y RN-34: provision hasta el cupo operativo antes de bajar del 8 %</t>
        </is>
      </c>
      <c r="K866" t="inlineStr">
        <is>
          <t>Provision en la manana, antes del pagado: con el pronostico, sin provision el saldo bajaria del 8 % del cupo ese dia. Lleva el saldo de 80.451.448 a 500.000.000 COP (cupo 500.000.000). Equipo administrado por TDV.</t>
        </is>
      </c>
      <c r="L866" s="26" t="n">
        <v>500000000</v>
      </c>
      <c r="M866" s="26" t="n">
        <v>80451448</v>
      </c>
      <c r="N866" s="27">
        <f>IF(ISNUMBER(M866),M866/L866,"No aplica")</f>
        <v>0.160902896</v>
      </c>
      <c r="O866" s="25">
        <f>IF(G866="provision",M866+H866,IF(G866="recoleccion",M866-H866,"No aplica"))</f>
        <v>500000000</v>
      </c>
      <c r="P866" s="26" t="n">
        <v>173797</v>
      </c>
    </row>
    <row r="867">
      <c r="A867" t="inlineStr">
        <is>
          <t>PRAGMA</t>
        </is>
      </c>
      <c r="B867" t="inlineStr">
        <is>
          <t>M1</t>
        </is>
      </c>
      <c r="C867" t="inlineStr">
        <is>
          <t>Cali</t>
        </is>
      </c>
      <c r="D867" t="inlineStr">
        <is>
          <t>7049</t>
        </is>
      </c>
      <c r="E867" t="inlineStr">
        <is>
          <t>TDV</t>
        </is>
      </c>
      <c r="F867" s="23" t="n">
        <v>46277</v>
      </c>
      <c r="G867" t="inlineStr">
        <is>
          <t>provision</t>
        </is>
      </c>
      <c r="H867" s="26" t="n">
        <v>415552161</v>
      </c>
      <c r="I867" t="inlineStr">
        <is>
          <t>bajo</t>
        </is>
      </c>
      <c r="J867" t="inlineStr">
        <is>
          <t>RN-11 y RN-34: provision hasta el cupo operativo antes de bajar del 8 %</t>
        </is>
      </c>
      <c r="K867" t="inlineStr">
        <is>
          <t>Provision en la manana, antes del pagado: con el pronostico, sin provision el saldo bajaria del 8 % del cupo ese dia. Lleva el saldo de 84.447.839 a 500.000.000 COP (cupo 500.000.000). Equipo administrado por TDV.</t>
        </is>
      </c>
      <c r="L867" s="26" t="n">
        <v>500000000</v>
      </c>
      <c r="M867" s="26" t="n">
        <v>84447839</v>
      </c>
      <c r="N867" s="27">
        <f>IF(ISNUMBER(M867),M867/L867,"No aplica")</f>
        <v>0.168895678</v>
      </c>
      <c r="O867" s="25">
        <f>IF(G867="provision",M867+H867,IF(G867="recoleccion",M867-H867,"No aplica"))</f>
        <v>500000000</v>
      </c>
      <c r="P867" s="26" t="n">
        <v>172367</v>
      </c>
    </row>
    <row r="868">
      <c r="A868" t="inlineStr">
        <is>
          <t>PRAGMA</t>
        </is>
      </c>
      <c r="B868" t="inlineStr">
        <is>
          <t>M1</t>
        </is>
      </c>
      <c r="C868" t="inlineStr">
        <is>
          <t>Cali</t>
        </is>
      </c>
      <c r="D868" t="inlineStr">
        <is>
          <t>7148</t>
        </is>
      </c>
      <c r="E868" t="inlineStr">
        <is>
          <t>TDV</t>
        </is>
      </c>
      <c r="F868" s="23" t="n">
        <v>46269</v>
      </c>
      <c r="G868" t="inlineStr">
        <is>
          <t>provision</t>
        </is>
      </c>
      <c r="H868" s="26" t="n">
        <v>355560569</v>
      </c>
      <c r="I868" t="inlineStr">
        <is>
          <t>bajo</t>
        </is>
      </c>
      <c r="J868" t="inlineStr">
        <is>
          <t>RN-11 y RN-34: provision hasta el cupo operativo antes de bajar del 8 %</t>
        </is>
      </c>
      <c r="K868" t="inlineStr">
        <is>
          <t>Provision en la manana, antes del pagado: con el pronostico, sin provision el saldo bajaria del 8 % del cupo ese dia. Lleva el saldo de 49.439.431 a 405.000.000 COP (cupo 405.000.000). Equipo administrado por TDV.</t>
        </is>
      </c>
      <c r="L868" s="26" t="n">
        <v>405000000</v>
      </c>
      <c r="M868" s="26" t="n">
        <v>49439431</v>
      </c>
      <c r="N868" s="27">
        <f>IF(ISNUMBER(M868),M868/L868,"No aplica")</f>
        <v>0.12207266913580248</v>
      </c>
      <c r="O868" s="25">
        <f>IF(G868="provision",M868+H868,IF(G868="recoleccion",M868-H868,"No aplica"))</f>
        <v>405000000</v>
      </c>
      <c r="P868" s="26" t="n">
        <v>175938</v>
      </c>
    </row>
    <row r="869">
      <c r="A869" t="inlineStr">
        <is>
          <t>PRAGMA</t>
        </is>
      </c>
      <c r="B869" t="inlineStr">
        <is>
          <t>M1</t>
        </is>
      </c>
      <c r="C869" t="inlineStr">
        <is>
          <t>Cali</t>
        </is>
      </c>
      <c r="D869" t="inlineStr">
        <is>
          <t>7148</t>
        </is>
      </c>
      <c r="E869" t="inlineStr">
        <is>
          <t>TDV</t>
        </is>
      </c>
      <c r="F869" s="23" t="n">
        <v>46273</v>
      </c>
      <c r="G869" t="inlineStr">
        <is>
          <t>provision</t>
        </is>
      </c>
      <c r="H869" s="26" t="n">
        <v>327394528</v>
      </c>
      <c r="I869" t="inlineStr">
        <is>
          <t>bajo</t>
        </is>
      </c>
      <c r="J869" t="inlineStr">
        <is>
          <t>RN-11 y RN-34: provision hasta el cupo operativo antes de bajar del 8 %</t>
        </is>
      </c>
      <c r="K869" t="inlineStr">
        <is>
          <t>Provision en la manana, antes del pagado: con el pronostico, sin provision el saldo bajaria del 8 % del cupo ese dia. Lleva el saldo de 77.605.472 a 405.000.000 COP (cupo 405.000.000). Equipo administrado por TDV.</t>
        </is>
      </c>
      <c r="L869" s="26" t="n">
        <v>405000000</v>
      </c>
      <c r="M869" s="26" t="n">
        <v>77605472</v>
      </c>
      <c r="N869" s="27">
        <f>IF(ISNUMBER(M869),M869/L869,"No aplica")</f>
        <v>0.19161844938271605</v>
      </c>
      <c r="O869" s="25">
        <f>IF(G869="provision",M869+H869,IF(G869="recoleccion",M869-H869,"No aplica"))</f>
        <v>405000000</v>
      </c>
      <c r="P869" s="26" t="n">
        <v>163488</v>
      </c>
    </row>
    <row r="870">
      <c r="A870" t="inlineStr">
        <is>
          <t>PRAGMA</t>
        </is>
      </c>
      <c r="B870" t="inlineStr">
        <is>
          <t>M1</t>
        </is>
      </c>
      <c r="C870" t="inlineStr">
        <is>
          <t>Cali</t>
        </is>
      </c>
      <c r="D870" t="inlineStr">
        <is>
          <t>7148</t>
        </is>
      </c>
      <c r="E870" t="inlineStr">
        <is>
          <t>TDV</t>
        </is>
      </c>
      <c r="F870" s="23" t="n">
        <v>46277</v>
      </c>
      <c r="G870" t="inlineStr">
        <is>
          <t>provision</t>
        </is>
      </c>
      <c r="H870" s="26" t="n">
        <v>341716246</v>
      </c>
      <c r="I870" t="inlineStr">
        <is>
          <t>bajo</t>
        </is>
      </c>
      <c r="J870" t="inlineStr">
        <is>
          <t>RN-11 y RN-34: provision hasta el cupo operativo antes de bajar del 8 %</t>
        </is>
      </c>
      <c r="K870" t="inlineStr">
        <is>
          <t>Provision en la manana, antes del pagado: con el pronostico, sin provision el saldo bajaria del 8 % del cupo ese dia. Lleva el saldo de 63.283.754 a 405.000.000 COP (cupo 405.000.000). Equipo administrado por TDV.</t>
        </is>
      </c>
      <c r="L870" s="26" t="n">
        <v>405000000</v>
      </c>
      <c r="M870" s="26" t="n">
        <v>63283754</v>
      </c>
      <c r="N870" s="27">
        <f>IF(ISNUMBER(M870),M870/L870,"No aplica")</f>
        <v>0.15625618271604938</v>
      </c>
      <c r="O870" s="25">
        <f>IF(G870="provision",M870+H870,IF(G870="recoleccion",M870-H870,"No aplica"))</f>
        <v>405000000</v>
      </c>
      <c r="P870" s="26" t="n">
        <v>169819</v>
      </c>
    </row>
    <row r="871">
      <c r="A871" t="inlineStr">
        <is>
          <t>PRAGMA</t>
        </is>
      </c>
      <c r="B871" t="inlineStr">
        <is>
          <t>M1</t>
        </is>
      </c>
      <c r="C871" t="inlineStr">
        <is>
          <t>Cali</t>
        </is>
      </c>
      <c r="D871" t="inlineStr">
        <is>
          <t>7158</t>
        </is>
      </c>
      <c r="E871" t="inlineStr">
        <is>
          <t>TDV</t>
        </is>
      </c>
      <c r="F871" s="23" t="n">
        <v>46268</v>
      </c>
      <c r="G871" t="inlineStr">
        <is>
          <t>provision</t>
        </is>
      </c>
      <c r="H871" s="26" t="n">
        <v>362064139</v>
      </c>
      <c r="I871" t="inlineStr">
        <is>
          <t>bajo</t>
        </is>
      </c>
      <c r="J871" t="inlineStr">
        <is>
          <t>RN-11 y RN-34: provision hasta el cupo operativo antes de bajar del 8 %</t>
        </is>
      </c>
      <c r="K871" t="inlineStr">
        <is>
          <t>Provision en la manana, antes del pagado: con el pronostico, sin provision el saldo bajaria del 8 % del cupo ese dia. Lleva el saldo de 42.935.861 a 405.000.000 COP (cupo 405.000.000). Equipo administrado por TDV.</t>
        </is>
      </c>
      <c r="L871" s="26" t="n">
        <v>405000000</v>
      </c>
      <c r="M871" s="26" t="n">
        <v>42935861</v>
      </c>
      <c r="N871" s="27">
        <f>IF(ISNUMBER(M871),M871/L871,"No aplica")</f>
        <v>0.10601447160493827</v>
      </c>
      <c r="O871" s="25">
        <f>IF(G871="provision",M871+H871,IF(G871="recoleccion",M871-H871,"No aplica"))</f>
        <v>405000000</v>
      </c>
      <c r="P871" s="26" t="n">
        <v>122701</v>
      </c>
    </row>
    <row r="872">
      <c r="A872" t="inlineStr">
        <is>
          <t>PRAGMA</t>
        </is>
      </c>
      <c r="B872" t="inlineStr">
        <is>
          <t>M1</t>
        </is>
      </c>
      <c r="C872" t="inlineStr">
        <is>
          <t>Cali</t>
        </is>
      </c>
      <c r="D872" t="inlineStr">
        <is>
          <t>7158</t>
        </is>
      </c>
      <c r="E872" t="inlineStr">
        <is>
          <t>TDV</t>
        </is>
      </c>
      <c r="F872" s="23" t="n">
        <v>46270</v>
      </c>
      <c r="G872" t="inlineStr">
        <is>
          <t>provision</t>
        </is>
      </c>
      <c r="H872" s="26" t="n">
        <v>288100027</v>
      </c>
      <c r="I872" t="inlineStr">
        <is>
          <t>bajo</t>
        </is>
      </c>
      <c r="J872" t="inlineStr">
        <is>
          <t>RN-11 y RN-34: provision hasta el cupo operativo antes de bajar del 8 %</t>
        </is>
      </c>
      <c r="K872" t="inlineStr">
        <is>
          <t>Provision en la manana, antes del pagado: con el pronostico, sin provision el saldo bajaria del 8 % del cupo ese dia. Lleva el saldo de 116.899.973 a 405.000.000 COP (cupo 405.000.000). Equipo administrado por TDV.</t>
        </is>
      </c>
      <c r="L872" s="26" t="n">
        <v>405000000</v>
      </c>
      <c r="M872" s="26" t="n">
        <v>116899973</v>
      </c>
      <c r="N872" s="27">
        <f>IF(ISNUMBER(M872),M872/L872,"No aplica")</f>
        <v>0.2886419086419753</v>
      </c>
      <c r="O872" s="25">
        <f>IF(G872="provision",M872+H872,IF(G872="recoleccion",M872-H872,"No aplica"))</f>
        <v>405000000</v>
      </c>
      <c r="P872" s="26" t="n">
        <v>100955</v>
      </c>
    </row>
    <row r="873">
      <c r="A873" t="inlineStr">
        <is>
          <t>PRAGMA</t>
        </is>
      </c>
      <c r="B873" t="inlineStr">
        <is>
          <t>M1</t>
        </is>
      </c>
      <c r="C873" t="inlineStr">
        <is>
          <t>Cali</t>
        </is>
      </c>
      <c r="D873" t="inlineStr">
        <is>
          <t>7158</t>
        </is>
      </c>
      <c r="E873" t="inlineStr">
        <is>
          <t>TDV</t>
        </is>
      </c>
      <c r="F873" s="23" t="n">
        <v>46273</v>
      </c>
      <c r="G873" t="inlineStr">
        <is>
          <t>provision</t>
        </is>
      </c>
      <c r="H873" s="26" t="n">
        <v>365203907</v>
      </c>
      <c r="I873" t="inlineStr">
        <is>
          <t>bajo</t>
        </is>
      </c>
      <c r="J873" t="inlineStr">
        <is>
          <t>RN-11 y RN-34: provision hasta el cupo operativo antes de bajar del 8 %</t>
        </is>
      </c>
      <c r="K873" t="inlineStr">
        <is>
          <t>Provision en la manana, antes del pagado: con el pronostico, sin provision el saldo bajaria del 8 % del cupo ese dia. Lleva el saldo de 39.796.093 a 405.000.000 COP (cupo 405.000.000). Equipo administrado por TDV.</t>
        </is>
      </c>
      <c r="L873" s="26" t="n">
        <v>405000000</v>
      </c>
      <c r="M873" s="26" t="n">
        <v>39796093</v>
      </c>
      <c r="N873" s="27">
        <f>IF(ISNUMBER(M873),M873/L873,"No aplica")</f>
        <v>0.09826195802469136</v>
      </c>
      <c r="O873" s="25">
        <f>IF(G873="provision",M873+H873,IF(G873="recoleccion",M873-H873,"No aplica"))</f>
        <v>405000000</v>
      </c>
      <c r="P873" s="26" t="n">
        <v>123624</v>
      </c>
    </row>
    <row r="874">
      <c r="A874" t="inlineStr">
        <is>
          <t>PRAGMA</t>
        </is>
      </c>
      <c r="B874" t="inlineStr">
        <is>
          <t>M1</t>
        </is>
      </c>
      <c r="C874" t="inlineStr">
        <is>
          <t>Cali</t>
        </is>
      </c>
      <c r="D874" t="inlineStr">
        <is>
          <t>7158</t>
        </is>
      </c>
      <c r="E874" t="inlineStr">
        <is>
          <t>TDV</t>
        </is>
      </c>
      <c r="F874" s="23" t="n">
        <v>46276</v>
      </c>
      <c r="G874" t="inlineStr">
        <is>
          <t>provision</t>
        </is>
      </c>
      <c r="H874" s="26" t="n">
        <v>319735437</v>
      </c>
      <c r="I874" t="inlineStr">
        <is>
          <t>bajo</t>
        </is>
      </c>
      <c r="J874" t="inlineStr">
        <is>
          <t>RN-11 y RN-34: provision hasta el cupo operativo antes de bajar del 8 %</t>
        </is>
      </c>
      <c r="K874" t="inlineStr">
        <is>
          <t>Provision en la manana, antes del pagado: con el pronostico, sin provision el saldo bajaria del 8 % del cupo ese dia. Lleva el saldo de 85.264.563 a 405.000.000 COP (cupo 405.000.000). Equipo administrado por TDV.</t>
        </is>
      </c>
      <c r="L874" s="26" t="n">
        <v>405000000</v>
      </c>
      <c r="M874" s="26" t="n">
        <v>85264563</v>
      </c>
      <c r="N874" s="27">
        <f>IF(ISNUMBER(M874),M874/L874,"No aplica")</f>
        <v>0.2105297851851852</v>
      </c>
      <c r="O874" s="25">
        <f>IF(G874="provision",M874+H874,IF(G874="recoleccion",M874-H874,"No aplica"))</f>
        <v>405000000</v>
      </c>
      <c r="P874" s="26" t="n">
        <v>110256</v>
      </c>
    </row>
    <row r="875">
      <c r="A875" t="inlineStr">
        <is>
          <t>PRAGMA</t>
        </is>
      </c>
      <c r="B875" t="inlineStr">
        <is>
          <t>M1</t>
        </is>
      </c>
      <c r="C875" t="inlineStr">
        <is>
          <t>Cali</t>
        </is>
      </c>
      <c r="D875" t="inlineStr">
        <is>
          <t>7158</t>
        </is>
      </c>
      <c r="E875" t="inlineStr">
        <is>
          <t>TDV</t>
        </is>
      </c>
      <c r="F875" s="23" t="n">
        <v>46279</v>
      </c>
      <c r="G875" t="inlineStr">
        <is>
          <t>provision</t>
        </is>
      </c>
      <c r="H875" s="26" t="n">
        <v>326764771</v>
      </c>
      <c r="I875" t="inlineStr">
        <is>
          <t>bajo</t>
        </is>
      </c>
      <c r="J875" t="inlineStr">
        <is>
          <t>RN-11 y RN-34: provision hasta el cupo operativo antes de bajar del 8 %</t>
        </is>
      </c>
      <c r="K875" t="inlineStr">
        <is>
          <t>Provision en la manana, antes del pagado: con el pronostico, sin provision el saldo bajaria del 8 % del cupo ese dia. Lleva el saldo de 78.235.229 a 405.000.000 COP (cupo 405.000.000). Equipo administrado por TDV.</t>
        </is>
      </c>
      <c r="L875" s="26" t="n">
        <v>405000000</v>
      </c>
      <c r="M875" s="26" t="n">
        <v>78235229</v>
      </c>
      <c r="N875" s="27">
        <f>IF(ISNUMBER(M875),M875/L875,"No aplica")</f>
        <v>0.1931734049382716</v>
      </c>
      <c r="O875" s="25">
        <f>IF(G875="provision",M875+H875,IF(G875="recoleccion",M875-H875,"No aplica"))</f>
        <v>405000000</v>
      </c>
      <c r="P875" s="26" t="n">
        <v>112323</v>
      </c>
    </row>
    <row r="876">
      <c r="A876" t="inlineStr">
        <is>
          <t>PRAGMA</t>
        </is>
      </c>
      <c r="B876" t="inlineStr">
        <is>
          <t>M1</t>
        </is>
      </c>
      <c r="C876" t="inlineStr">
        <is>
          <t>Cali</t>
        </is>
      </c>
      <c r="D876" t="inlineStr">
        <is>
          <t>7163</t>
        </is>
      </c>
      <c r="E876" t="inlineStr">
        <is>
          <t>TDV</t>
        </is>
      </c>
      <c r="F876" s="23" t="n">
        <v>46267</v>
      </c>
      <c r="G876" t="inlineStr">
        <is>
          <t>provision</t>
        </is>
      </c>
      <c r="H876" s="26" t="n">
        <v>210580108</v>
      </c>
      <c r="I876" t="inlineStr">
        <is>
          <t>bajo</t>
        </is>
      </c>
      <c r="J876" t="inlineStr">
        <is>
          <t>RN-11 y RN-34: provision hasta el cupo operativo antes de bajar del 8 %</t>
        </is>
      </c>
      <c r="K876" t="inlineStr">
        <is>
          <t>Provision en la manana, antes del pagado: con el pronostico, sin provision el saldo bajaria del 8 % del cupo ese dia. Lleva el saldo de 194.419.892 a 405.000.000 COP (cupo 405.000.000). Equipo administrado por TDV.</t>
        </is>
      </c>
      <c r="L876" s="26" t="n">
        <v>405000000</v>
      </c>
      <c r="M876" s="26" t="n">
        <v>194419892</v>
      </c>
      <c r="N876" s="27">
        <f>IF(ISNUMBER(M876),M876/L876,"No aplica")</f>
        <v>0.4800491160493827</v>
      </c>
      <c r="O876" s="25">
        <f>IF(G876="provision",M876+H876,IF(G876="recoleccion",M876-H876,"No aplica"))</f>
        <v>405000000</v>
      </c>
      <c r="P876" s="26" t="n">
        <v>113468</v>
      </c>
    </row>
    <row r="877">
      <c r="A877" t="inlineStr">
        <is>
          <t>PRAGMA</t>
        </is>
      </c>
      <c r="B877" t="inlineStr">
        <is>
          <t>M1</t>
        </is>
      </c>
      <c r="C877" t="inlineStr">
        <is>
          <t>Cali</t>
        </is>
      </c>
      <c r="D877" t="inlineStr">
        <is>
          <t>7163</t>
        </is>
      </c>
      <c r="E877" t="inlineStr">
        <is>
          <t>TDV</t>
        </is>
      </c>
      <c r="F877" s="23" t="n">
        <v>46269</v>
      </c>
      <c r="G877" t="inlineStr">
        <is>
          <t>provision</t>
        </is>
      </c>
      <c r="H877" s="26" t="n">
        <v>313310895</v>
      </c>
      <c r="I877" t="inlineStr">
        <is>
          <t>bajo</t>
        </is>
      </c>
      <c r="J877" t="inlineStr">
        <is>
          <t>RN-11 y RN-34: provision hasta el cupo operativo antes de bajar del 8 %</t>
        </is>
      </c>
      <c r="K877" t="inlineStr">
        <is>
          <t>Provision en la manana, antes del pagado: con el pronostico, sin provision el saldo bajaria del 8 % del cupo ese dia. Lleva el saldo de 91.689.105 a 405.000.000 COP (cupo 405.000.000). Equipo administrado por TDV.</t>
        </is>
      </c>
      <c r="L877" s="26" t="n">
        <v>405000000</v>
      </c>
      <c r="M877" s="26" t="n">
        <v>91689105</v>
      </c>
      <c r="N877" s="27">
        <f>IF(ISNUMBER(M877),M877/L877,"No aplica")</f>
        <v>0.22639285185185185</v>
      </c>
      <c r="O877" s="25">
        <f>IF(G877="provision",M877+H877,IF(G877="recoleccion",M877-H877,"No aplica"))</f>
        <v>405000000</v>
      </c>
      <c r="P877" s="26" t="n">
        <v>159903</v>
      </c>
    </row>
    <row r="878">
      <c r="A878" t="inlineStr">
        <is>
          <t>PRAGMA</t>
        </is>
      </c>
      <c r="B878" t="inlineStr">
        <is>
          <t>M1</t>
        </is>
      </c>
      <c r="C878" t="inlineStr">
        <is>
          <t>Cali</t>
        </is>
      </c>
      <c r="D878" t="inlineStr">
        <is>
          <t>7163</t>
        </is>
      </c>
      <c r="E878" t="inlineStr">
        <is>
          <t>TDV</t>
        </is>
      </c>
      <c r="F878" s="23" t="n">
        <v>46271</v>
      </c>
      <c r="G878" t="inlineStr">
        <is>
          <t>provision</t>
        </is>
      </c>
      <c r="H878" s="26" t="n">
        <v>316190779</v>
      </c>
      <c r="I878" t="inlineStr">
        <is>
          <t>bajo</t>
        </is>
      </c>
      <c r="J878" t="inlineStr">
        <is>
          <t>RN-11 y RN-34: provision hasta el cupo operativo antes de bajar del 8 %</t>
        </is>
      </c>
      <c r="K878" t="inlineStr">
        <is>
          <t>Provision en la manana, antes del pagado: con el pronostico, sin provision el saldo bajaria del 8 % del cupo ese dia. Lleva el saldo de 88.809.221 a 405.000.000 COP (cupo 405.000.000). Equipo administrado por TDV.</t>
        </is>
      </c>
      <c r="L878" s="26" t="n">
        <v>405000000</v>
      </c>
      <c r="M878" s="26" t="n">
        <v>88809221</v>
      </c>
      <c r="N878" s="27">
        <f>IF(ISNUMBER(M878),M878/L878,"No aplica")</f>
        <v>0.21928202716049383</v>
      </c>
      <c r="O878" s="25">
        <f>IF(G878="provision",M878+H878,IF(G878="recoleccion",M878-H878,"No aplica"))</f>
        <v>405000000</v>
      </c>
      <c r="P878" s="26" t="n">
        <v>209288</v>
      </c>
    </row>
    <row r="879">
      <c r="A879" t="inlineStr">
        <is>
          <t>PRAGMA</t>
        </is>
      </c>
      <c r="B879" t="inlineStr">
        <is>
          <t>M1</t>
        </is>
      </c>
      <c r="C879" t="inlineStr">
        <is>
          <t>Cali</t>
        </is>
      </c>
      <c r="D879" t="inlineStr">
        <is>
          <t>7163</t>
        </is>
      </c>
      <c r="E879" t="inlineStr">
        <is>
          <t>TDV</t>
        </is>
      </c>
      <c r="F879" s="23" t="n">
        <v>46274</v>
      </c>
      <c r="G879" t="inlineStr">
        <is>
          <t>provision</t>
        </is>
      </c>
      <c r="H879" s="26" t="n">
        <v>354351706</v>
      </c>
      <c r="I879" t="inlineStr">
        <is>
          <t>bajo</t>
        </is>
      </c>
      <c r="J879" t="inlineStr">
        <is>
          <t>RN-11 y RN-34: provision hasta el cupo operativo antes de bajar del 8 %</t>
        </is>
      </c>
      <c r="K879" t="inlineStr">
        <is>
          <t>Provision en la manana, antes del pagado: con el pronostico, sin provision el saldo bajaria del 8 % del cupo ese dia. Lleva el saldo de 50.648.294 a 405.000.000 COP (cupo 405.000.000). Equipo administrado por TDV.</t>
        </is>
      </c>
      <c r="L879" s="26" t="n">
        <v>405000000</v>
      </c>
      <c r="M879" s="26" t="n">
        <v>50648294</v>
      </c>
      <c r="N879" s="27">
        <f>IF(ISNUMBER(M879),M879/L879,"No aplica")</f>
        <v>0.12505751604938273</v>
      </c>
      <c r="O879" s="25">
        <f>IF(G879="provision",M879+H879,IF(G879="recoleccion",M879-H879,"No aplica"))</f>
        <v>405000000</v>
      </c>
      <c r="P879" s="26" t="n">
        <v>178453</v>
      </c>
    </row>
    <row r="880">
      <c r="A880" t="inlineStr">
        <is>
          <t>PRAGMA</t>
        </is>
      </c>
      <c r="B880" t="inlineStr">
        <is>
          <t>M1</t>
        </is>
      </c>
      <c r="C880" t="inlineStr">
        <is>
          <t>Cali</t>
        </is>
      </c>
      <c r="D880" t="inlineStr">
        <is>
          <t>7163</t>
        </is>
      </c>
      <c r="E880" t="inlineStr">
        <is>
          <t>TDV</t>
        </is>
      </c>
      <c r="F880" s="23" t="n">
        <v>46277</v>
      </c>
      <c r="G880" t="inlineStr">
        <is>
          <t>provision</t>
        </is>
      </c>
      <c r="H880" s="26" t="n">
        <v>335946317</v>
      </c>
      <c r="I880" t="inlineStr">
        <is>
          <t>bajo</t>
        </is>
      </c>
      <c r="J880" t="inlineStr">
        <is>
          <t>RN-11 y RN-34: provision hasta el cupo operativo antes de bajar del 8 %</t>
        </is>
      </c>
      <c r="K880" t="inlineStr">
        <is>
          <t>Provision en la manana, antes del pagado: con el pronostico, sin provision el saldo bajaria del 8 % del cupo ese dia. Lleva el saldo de 69.053.683 a 405.000.000 COP (cupo 405.000.000). Equipo administrado por TDV.</t>
        </is>
      </c>
      <c r="L880" s="26" t="n">
        <v>405000000</v>
      </c>
      <c r="M880" s="26" t="n">
        <v>69053683</v>
      </c>
      <c r="N880" s="27">
        <f>IF(ISNUMBER(M880),M880/L880,"No aplica")</f>
        <v>0.17050292098765432</v>
      </c>
      <c r="O880" s="25">
        <f>IF(G880="provision",M880+H880,IF(G880="recoleccion",M880-H880,"No aplica"))</f>
        <v>405000000</v>
      </c>
      <c r="P880" s="26" t="n">
        <v>170134</v>
      </c>
    </row>
    <row r="881">
      <c r="A881" t="inlineStr">
        <is>
          <t>PRAGMA</t>
        </is>
      </c>
      <c r="B881" t="inlineStr">
        <is>
          <t>M1</t>
        </is>
      </c>
      <c r="C881" t="inlineStr">
        <is>
          <t>Cali</t>
        </is>
      </c>
      <c r="D881" t="inlineStr">
        <is>
          <t>7163</t>
        </is>
      </c>
      <c r="E881" t="inlineStr">
        <is>
          <t>TDV</t>
        </is>
      </c>
      <c r="F881" s="23" t="n">
        <v>46280</v>
      </c>
      <c r="G881" t="inlineStr">
        <is>
          <t>provision</t>
        </is>
      </c>
      <c r="H881" s="26" t="n">
        <v>325706875</v>
      </c>
      <c r="I881" t="inlineStr">
        <is>
          <t>bajo</t>
        </is>
      </c>
      <c r="J881" t="inlineStr">
        <is>
          <t>RN-11 y RN-34: provision hasta el cupo operativo antes de bajar del 8 %</t>
        </is>
      </c>
      <c r="K881" t="inlineStr">
        <is>
          <t>Provision en la manana, antes del pagado: con el pronostico, sin provision el saldo bajaria del 8 % del cupo ese dia. Lleva el saldo de 79.293.125 a 405.000.000 COP (cupo 405.000.000). Equipo administrado por TDV.</t>
        </is>
      </c>
      <c r="L881" s="26" t="n">
        <v>405000000</v>
      </c>
      <c r="M881" s="26" t="n">
        <v>79293125</v>
      </c>
      <c r="N881" s="27">
        <f>IF(ISNUMBER(M881),M881/L881,"No aplica")</f>
        <v>0.19578549382716048</v>
      </c>
      <c r="O881" s="25">
        <f>IF(G881="provision",M881+H881,IF(G881="recoleccion",M881-H881,"No aplica"))</f>
        <v>405000000</v>
      </c>
      <c r="P881" s="26" t="n">
        <v>165506</v>
      </c>
    </row>
    <row r="882">
      <c r="A882" t="inlineStr">
        <is>
          <t>PRAGMA</t>
        </is>
      </c>
      <c r="B882" t="inlineStr">
        <is>
          <t>M1</t>
        </is>
      </c>
      <c r="C882" t="inlineStr">
        <is>
          <t>Cali</t>
        </is>
      </c>
      <c r="D882" t="inlineStr">
        <is>
          <t>7220</t>
        </is>
      </c>
      <c r="E882" t="inlineStr">
        <is>
          <t>TDV</t>
        </is>
      </c>
      <c r="F882" s="23" t="n">
        <v>46272</v>
      </c>
      <c r="G882" t="inlineStr">
        <is>
          <t>provision</t>
        </is>
      </c>
      <c r="H882" s="26" t="n">
        <v>427403162</v>
      </c>
      <c r="I882" t="inlineStr">
        <is>
          <t>bajo</t>
        </is>
      </c>
      <c r="J882" t="inlineStr">
        <is>
          <t>RN-11 y RN-34: provision hasta el cupo operativo antes de bajar del 8 %</t>
        </is>
      </c>
      <c r="K882" t="inlineStr">
        <is>
          <t>Provision en la manana, antes del pagado: con el pronostico, sin provision el saldo bajaria del 8 % del cupo ese dia. Lleva el saldo de 72.596.838 a 500.000.000 COP (cupo 500.000.000). Equipo administrado por TDV.</t>
        </is>
      </c>
      <c r="L882" s="26" t="n">
        <v>500000000</v>
      </c>
      <c r="M882" s="26" t="n">
        <v>72596838</v>
      </c>
      <c r="N882" s="27">
        <f>IF(ISNUMBER(M882),M882/L882,"No aplica")</f>
        <v>0.145193676</v>
      </c>
      <c r="O882" s="25">
        <f>IF(G882="provision",M882+H882,IF(G882="recoleccion",M882-H882,"No aplica"))</f>
        <v>500000000</v>
      </c>
      <c r="P882" s="26" t="n">
        <v>154970</v>
      </c>
    </row>
    <row r="883">
      <c r="A883" t="inlineStr">
        <is>
          <t>PRAGMA</t>
        </is>
      </c>
      <c r="B883" t="inlineStr">
        <is>
          <t>M1</t>
        </is>
      </c>
      <c r="C883" t="inlineStr">
        <is>
          <t>Cali</t>
        </is>
      </c>
      <c r="D883" t="inlineStr">
        <is>
          <t>7238</t>
        </is>
      </c>
      <c r="E883" t="inlineStr">
        <is>
          <t>TDV</t>
        </is>
      </c>
      <c r="F883" s="23" t="n">
        <v>46271</v>
      </c>
      <c r="G883" t="inlineStr">
        <is>
          <t>provision</t>
        </is>
      </c>
      <c r="H883" s="26" t="n">
        <v>447093062</v>
      </c>
      <c r="I883" t="inlineStr">
        <is>
          <t>bajo</t>
        </is>
      </c>
      <c r="J883" t="inlineStr">
        <is>
          <t>RN-11 y RN-34: provision hasta el cupo operativo antes de bajar del 8 %</t>
        </is>
      </c>
      <c r="K883" t="inlineStr">
        <is>
          <t>Provision en la manana, antes del pagado: con el pronostico, sin provision el saldo bajaria del 8 % del cupo ese dia. Lleva el saldo de 52.906.938 a 500.000.000 COP (cupo 500.000.000). Equipo administrado por TDV.</t>
        </is>
      </c>
      <c r="L883" s="26" t="n">
        <v>500000000</v>
      </c>
      <c r="M883" s="26" t="n">
        <v>52906938</v>
      </c>
      <c r="N883" s="27">
        <f>IF(ISNUMBER(M883),M883/L883,"No aplica")</f>
        <v>0.105813876</v>
      </c>
      <c r="O883" s="25">
        <f>IF(G883="provision",M883+H883,IF(G883="recoleccion",M883-H883,"No aplica"))</f>
        <v>500000000</v>
      </c>
      <c r="P883" s="26" t="n">
        <v>209876</v>
      </c>
    </row>
    <row r="884">
      <c r="A884" t="inlineStr">
        <is>
          <t>PRAGMA</t>
        </is>
      </c>
      <c r="B884" t="inlineStr">
        <is>
          <t>M1</t>
        </is>
      </c>
      <c r="C884" t="inlineStr">
        <is>
          <t>Cali</t>
        </is>
      </c>
      <c r="D884" t="inlineStr">
        <is>
          <t>7238</t>
        </is>
      </c>
      <c r="E884" t="inlineStr">
        <is>
          <t>TDV</t>
        </is>
      </c>
      <c r="F884" s="23" t="n">
        <v>46279</v>
      </c>
      <c r="G884" t="inlineStr">
        <is>
          <t>provision</t>
        </is>
      </c>
      <c r="H884" s="26" t="n">
        <v>416399836</v>
      </c>
      <c r="I884" t="inlineStr">
        <is>
          <t>bajo</t>
        </is>
      </c>
      <c r="J884" t="inlineStr">
        <is>
          <t>RN-11 y RN-34: provision hasta el cupo operativo antes de bajar del 8 %</t>
        </is>
      </c>
      <c r="K884" t="inlineStr">
        <is>
          <t>Provision en la manana, antes del pagado: con el pronostico, sin provision el saldo bajaria del 8 % del cupo ese dia. Lleva el saldo de 83.600.164 a 500.000.000 COP (cupo 500.000.000). Equipo administrado por TDV.</t>
        </is>
      </c>
      <c r="L884" s="26" t="n">
        <v>500000000</v>
      </c>
      <c r="M884" s="26" t="n">
        <v>83600164</v>
      </c>
      <c r="N884" s="27">
        <f>IF(ISNUMBER(M884),M884/L884,"No aplica")</f>
        <v>0.167200328</v>
      </c>
      <c r="O884" s="25">
        <f>IF(G884="provision",M884+H884,IF(G884="recoleccion",M884-H884,"No aplica"))</f>
        <v>500000000</v>
      </c>
      <c r="P884" s="26" t="n">
        <v>151416</v>
      </c>
    </row>
    <row r="885">
      <c r="A885" t="inlineStr">
        <is>
          <t>PRAGMA</t>
        </is>
      </c>
      <c r="B885" t="inlineStr">
        <is>
          <t>M1</t>
        </is>
      </c>
      <c r="C885" t="inlineStr">
        <is>
          <t>Cali</t>
        </is>
      </c>
      <c r="D885" t="inlineStr">
        <is>
          <t>7243</t>
        </is>
      </c>
      <c r="E885" t="inlineStr">
        <is>
          <t>TDV</t>
        </is>
      </c>
      <c r="F885" s="23" t="n">
        <v>46268</v>
      </c>
      <c r="G885" t="inlineStr">
        <is>
          <t>provision</t>
        </is>
      </c>
      <c r="H885" s="26" t="n">
        <v>289691188</v>
      </c>
      <c r="I885" t="inlineStr">
        <is>
          <t>bajo</t>
        </is>
      </c>
      <c r="J885" t="inlineStr">
        <is>
          <t>RN-11 y RN-34: provision hasta el cupo operativo antes de bajar del 8 %</t>
        </is>
      </c>
      <c r="K885" t="inlineStr">
        <is>
          <t>Provision en la manana, antes del pagado: con el pronostico, sin provision el saldo bajaria del 8 % del cupo ese dia. Lleva el saldo de 115.308.812 a 405.000.000 COP (cupo 405.000.000). Equipo administrado por TDV.</t>
        </is>
      </c>
      <c r="L885" s="26" t="n">
        <v>405000000</v>
      </c>
      <c r="M885" s="26" t="n">
        <v>115308812</v>
      </c>
      <c r="N885" s="27">
        <f>IF(ISNUMBER(M885),M885/L885,"No aplica")</f>
        <v>0.2847131160493827</v>
      </c>
      <c r="O885" s="25">
        <f>IF(G885="provision",M885+H885,IF(G885="recoleccion",M885-H885,"No aplica"))</f>
        <v>405000000</v>
      </c>
      <c r="P885" s="26" t="n">
        <v>110489</v>
      </c>
    </row>
    <row r="886">
      <c r="A886" t="inlineStr">
        <is>
          <t>PRAGMA</t>
        </is>
      </c>
      <c r="B886" t="inlineStr">
        <is>
          <t>M1</t>
        </is>
      </c>
      <c r="C886" t="inlineStr">
        <is>
          <t>Cali</t>
        </is>
      </c>
      <c r="D886" t="inlineStr">
        <is>
          <t>7243</t>
        </is>
      </c>
      <c r="E886" t="inlineStr">
        <is>
          <t>TDV</t>
        </is>
      </c>
      <c r="F886" s="23" t="n">
        <v>46271</v>
      </c>
      <c r="G886" t="inlineStr">
        <is>
          <t>provision</t>
        </is>
      </c>
      <c r="H886" s="26" t="n">
        <v>340911390</v>
      </c>
      <c r="I886" t="inlineStr">
        <is>
          <t>bajo</t>
        </is>
      </c>
      <c r="J886" t="inlineStr">
        <is>
          <t>RN-11 y RN-34: provision hasta el cupo operativo antes de bajar del 8 %</t>
        </is>
      </c>
      <c r="K886" t="inlineStr">
        <is>
          <t>Provision en la manana, antes del pagado: con el pronostico, sin provision el saldo bajaria del 8 % del cupo ese dia. Lleva el saldo de 64.088.610 a 405.000.000 COP (cupo 405.000.000). Equipo administrado por TDV.</t>
        </is>
      </c>
      <c r="L886" s="26" t="n">
        <v>405000000</v>
      </c>
      <c r="M886" s="26" t="n">
        <v>64088610</v>
      </c>
      <c r="N886" s="27">
        <f>IF(ISNUMBER(M886),M886/L886,"No aplica")</f>
        <v>0.15824348148148148</v>
      </c>
      <c r="O886" s="25">
        <f>IF(G886="provision",M886+H886,IF(G886="recoleccion",M886-H886,"No aplica"))</f>
        <v>405000000</v>
      </c>
      <c r="P886" s="26" t="n">
        <v>165386</v>
      </c>
    </row>
    <row r="887">
      <c r="A887" t="inlineStr">
        <is>
          <t>PRAGMA</t>
        </is>
      </c>
      <c r="B887" t="inlineStr">
        <is>
          <t>M1</t>
        </is>
      </c>
      <c r="C887" t="inlineStr">
        <is>
          <t>Cali</t>
        </is>
      </c>
      <c r="D887" t="inlineStr">
        <is>
          <t>7243</t>
        </is>
      </c>
      <c r="E887" t="inlineStr">
        <is>
          <t>TDV</t>
        </is>
      </c>
      <c r="F887" s="23" t="n">
        <v>46276</v>
      </c>
      <c r="G887" t="inlineStr">
        <is>
          <t>provision</t>
        </is>
      </c>
      <c r="H887" s="26" t="n">
        <v>362688036</v>
      </c>
      <c r="I887" t="inlineStr">
        <is>
          <t>bajo</t>
        </is>
      </c>
      <c r="J887" t="inlineStr">
        <is>
          <t>RN-11 y RN-34: provision hasta el cupo operativo antes de bajar del 8 %</t>
        </is>
      </c>
      <c r="K887" t="inlineStr">
        <is>
          <t>Provision en la manana, antes del pagado: con el pronostico, sin provision el saldo bajaria del 8 % del cupo ese dia. Lleva el saldo de 42.311.964 a 405.000.000 COP (cupo 405.000.000). Equipo administrado por TDV.</t>
        </is>
      </c>
      <c r="L887" s="26" t="n">
        <v>405000000</v>
      </c>
      <c r="M887" s="26" t="n">
        <v>42311964</v>
      </c>
      <c r="N887" s="27">
        <f>IF(ISNUMBER(M887),M887/L887,"No aplica")</f>
        <v>0.10447398518518519</v>
      </c>
      <c r="O887" s="25">
        <f>IF(G887="provision",M887+H887,IF(G887="recoleccion",M887-H887,"No aplica"))</f>
        <v>405000000</v>
      </c>
      <c r="P887" s="26" t="n">
        <v>134067</v>
      </c>
    </row>
    <row r="888">
      <c r="A888" t="inlineStr">
        <is>
          <t>PRAGMA</t>
        </is>
      </c>
      <c r="B888" t="inlineStr">
        <is>
          <t>M1</t>
        </is>
      </c>
      <c r="C888" t="inlineStr">
        <is>
          <t>Cali</t>
        </is>
      </c>
      <c r="D888" t="inlineStr">
        <is>
          <t>7243</t>
        </is>
      </c>
      <c r="E888" t="inlineStr">
        <is>
          <t>TDV</t>
        </is>
      </c>
      <c r="F888" s="23" t="n">
        <v>46280</v>
      </c>
      <c r="G888" t="inlineStr">
        <is>
          <t>provision</t>
        </is>
      </c>
      <c r="H888" s="26" t="n">
        <v>289950035</v>
      </c>
      <c r="I888" t="inlineStr">
        <is>
          <t>bajo</t>
        </is>
      </c>
      <c r="J888" t="inlineStr">
        <is>
          <t>RN-11 y RN-34: provision hasta el cupo operativo antes de bajar del 8 %</t>
        </is>
      </c>
      <c r="K888" t="inlineStr">
        <is>
          <t>Provision en la manana, antes del pagado: con el pronostico, sin provision el saldo bajaria del 8 % del cupo ese dia. Lleva el saldo de 115.049.965 a 405.000.000 COP (cupo 405.000.000). Equipo administrado por TDV.</t>
        </is>
      </c>
      <c r="L888" s="26" t="n">
        <v>405000000</v>
      </c>
      <c r="M888" s="26" t="n">
        <v>115049965</v>
      </c>
      <c r="N888" s="27">
        <f>IF(ISNUMBER(M888),M888/L888,"No aplica")</f>
        <v>0.284073987654321</v>
      </c>
      <c r="O888" s="25">
        <f>IF(G888="provision",M888+H888,IF(G888="recoleccion",M888-H888,"No aplica"))</f>
        <v>405000000</v>
      </c>
      <c r="P888" s="26" t="n">
        <v>110573</v>
      </c>
    </row>
    <row r="889">
      <c r="A889" t="inlineStr">
        <is>
          <t>PRAGMA</t>
        </is>
      </c>
      <c r="B889" t="inlineStr">
        <is>
          <t>M1</t>
        </is>
      </c>
      <c r="C889" t="inlineStr">
        <is>
          <t>Cali</t>
        </is>
      </c>
      <c r="D889" t="inlineStr">
        <is>
          <t>7245</t>
        </is>
      </c>
      <c r="E889" t="inlineStr">
        <is>
          <t>TDV</t>
        </is>
      </c>
      <c r="F889" s="23" t="n">
        <v>46269</v>
      </c>
      <c r="G889" t="inlineStr">
        <is>
          <t>provision</t>
        </is>
      </c>
      <c r="H889" s="26" t="n">
        <v>321057032</v>
      </c>
      <c r="I889" t="inlineStr">
        <is>
          <t>bajo</t>
        </is>
      </c>
      <c r="J889" t="inlineStr">
        <is>
          <t>RN-11 y RN-34: provision hasta el cupo operativo antes de bajar del 8 %</t>
        </is>
      </c>
      <c r="K889" t="inlineStr">
        <is>
          <t>Provision en la manana, antes del pagado: con el pronostico, sin provision el saldo bajaria del 8 % del cupo ese dia. Lleva el saldo de 83.942.968 a 405.000.000 COP (cupo 405.000.000). Equipo administrado por TDV.</t>
        </is>
      </c>
      <c r="L889" s="26" t="n">
        <v>405000000</v>
      </c>
      <c r="M889" s="26" t="n">
        <v>83942968</v>
      </c>
      <c r="N889" s="27">
        <f>IF(ISNUMBER(M889),M889/L889,"No aplica")</f>
        <v>0.207266587654321</v>
      </c>
      <c r="O889" s="25">
        <f>IF(G889="provision",M889+H889,IF(G889="recoleccion",M889-H889,"No aplica"))</f>
        <v>405000000</v>
      </c>
      <c r="P889" s="26" t="n">
        <v>138463</v>
      </c>
    </row>
    <row r="890">
      <c r="A890" t="inlineStr">
        <is>
          <t>PRAGMA</t>
        </is>
      </c>
      <c r="B890" t="inlineStr">
        <is>
          <t>M1</t>
        </is>
      </c>
      <c r="C890" t="inlineStr">
        <is>
          <t>Cali</t>
        </is>
      </c>
      <c r="D890" t="inlineStr">
        <is>
          <t>7245</t>
        </is>
      </c>
      <c r="E890" t="inlineStr">
        <is>
          <t>TDV</t>
        </is>
      </c>
      <c r="F890" s="23" t="n">
        <v>46274</v>
      </c>
      <c r="G890" t="inlineStr">
        <is>
          <t>provision</t>
        </is>
      </c>
      <c r="H890" s="26" t="n">
        <v>364145984</v>
      </c>
      <c r="I890" t="inlineStr">
        <is>
          <t>bajo</t>
        </is>
      </c>
      <c r="J890" t="inlineStr">
        <is>
          <t>RN-11 y RN-34: provision hasta el cupo operativo antes de bajar del 8 %</t>
        </is>
      </c>
      <c r="K890" t="inlineStr">
        <is>
          <t>Provision en la manana, antes del pagado: con el pronostico, sin provision el saldo bajaria del 8 % del cupo ese dia. Lleva el saldo de 40.854.016 a 405.000.000 COP (cupo 405.000.000). Equipo administrado por TDV.</t>
        </is>
      </c>
      <c r="L890" s="26" t="n">
        <v>405000000</v>
      </c>
      <c r="M890" s="26" t="n">
        <v>40854016</v>
      </c>
      <c r="N890" s="27">
        <f>IF(ISNUMBER(M890),M890/L890,"No aplica")</f>
        <v>0.10087411358024691</v>
      </c>
      <c r="O890" s="25">
        <f>IF(G890="provision",M890+H890,IF(G890="recoleccion",M890-H890,"No aplica"))</f>
        <v>405000000</v>
      </c>
      <c r="P890" s="26" t="n">
        <v>154665</v>
      </c>
    </row>
    <row r="891">
      <c r="A891" t="inlineStr">
        <is>
          <t>PRAGMA</t>
        </is>
      </c>
      <c r="B891" t="inlineStr">
        <is>
          <t>M1</t>
        </is>
      </c>
      <c r="C891" t="inlineStr">
        <is>
          <t>Cali</t>
        </is>
      </c>
      <c r="D891" t="inlineStr">
        <is>
          <t>7245</t>
        </is>
      </c>
      <c r="E891" t="inlineStr">
        <is>
          <t>TDV</t>
        </is>
      </c>
      <c r="F891" s="23" t="n">
        <v>46280</v>
      </c>
      <c r="G891" t="inlineStr">
        <is>
          <t>provision</t>
        </is>
      </c>
      <c r="H891" s="26" t="n">
        <v>364994066</v>
      </c>
      <c r="I891" t="inlineStr">
        <is>
          <t>bajo</t>
        </is>
      </c>
      <c r="J891" t="inlineStr">
        <is>
          <t>RN-11 y RN-34: provision hasta el cupo operativo antes de bajar del 8 %</t>
        </is>
      </c>
      <c r="K891" t="inlineStr">
        <is>
          <t>Provision en la manana, antes del pagado: con el pronostico, sin provision el saldo bajaria del 8 % del cupo ese dia. Lleva el saldo de 40.005.934 a 405.000.000 COP (cupo 405.000.000). Equipo administrado por TDV.</t>
        </is>
      </c>
      <c r="L891" s="26" t="n">
        <v>405000000</v>
      </c>
      <c r="M891" s="26" t="n">
        <v>40005934</v>
      </c>
      <c r="N891" s="27">
        <f>IF(ISNUMBER(M891),M891/L891,"No aplica")</f>
        <v>0.09878008395061728</v>
      </c>
      <c r="O891" s="25">
        <f>IF(G891="provision",M891+H891,IF(G891="recoleccion",M891-H891,"No aplica"))</f>
        <v>405000000</v>
      </c>
      <c r="P891" s="26" t="n">
        <v>154984</v>
      </c>
    </row>
    <row r="892">
      <c r="A892" t="inlineStr">
        <is>
          <t>PRAGMA</t>
        </is>
      </c>
      <c r="B892" t="inlineStr">
        <is>
          <t>M1</t>
        </is>
      </c>
      <c r="C892" t="inlineStr">
        <is>
          <t>Cali</t>
        </is>
      </c>
      <c r="D892" t="inlineStr">
        <is>
          <t>7354</t>
        </is>
      </c>
      <c r="E892" t="inlineStr">
        <is>
          <t>TDV</t>
        </is>
      </c>
      <c r="F892" s="23" t="n">
        <v>46269</v>
      </c>
      <c r="G892" t="inlineStr">
        <is>
          <t>provision</t>
        </is>
      </c>
      <c r="H892" s="26" t="n">
        <v>295522648</v>
      </c>
      <c r="I892" t="inlineStr">
        <is>
          <t>bajo</t>
        </is>
      </c>
      <c r="J892" t="inlineStr">
        <is>
          <t>RN-11 y RN-34: provision hasta el cupo operativo antes de bajar del 8 %</t>
        </is>
      </c>
      <c r="K892" t="inlineStr">
        <is>
          <t>Provision en la manana, antes del pagado: con el pronostico, sin provision el saldo bajaria del 8 % del cupo ese dia. Lleva el saldo de 115.477.352 a 411.000.000 COP (cupo 411.000.000). Equipo administrado por TDV.</t>
        </is>
      </c>
      <c r="L892" s="26" t="n">
        <v>411000000</v>
      </c>
      <c r="M892" s="26" t="n">
        <v>115477352</v>
      </c>
      <c r="N892" s="27">
        <f>IF(ISNUMBER(M892),M892/L892,"No aplica")</f>
        <v>0.2809667931873479</v>
      </c>
      <c r="O892" s="25">
        <f>IF(G892="provision",M892+H892,IF(G892="recoleccion",M892-H892,"No aplica"))</f>
        <v>411000000</v>
      </c>
      <c r="P892" s="26" t="n">
        <v>103138</v>
      </c>
    </row>
    <row r="893">
      <c r="A893" t="inlineStr">
        <is>
          <t>PRAGMA</t>
        </is>
      </c>
      <c r="B893" t="inlineStr">
        <is>
          <t>M1</t>
        </is>
      </c>
      <c r="C893" t="inlineStr">
        <is>
          <t>Cali</t>
        </is>
      </c>
      <c r="D893" t="inlineStr">
        <is>
          <t>7354</t>
        </is>
      </c>
      <c r="E893" t="inlineStr">
        <is>
          <t>TDV</t>
        </is>
      </c>
      <c r="F893" s="23" t="n">
        <v>46274</v>
      </c>
      <c r="G893" t="inlineStr">
        <is>
          <t>provision</t>
        </is>
      </c>
      <c r="H893" s="26" t="n">
        <v>346212512</v>
      </c>
      <c r="I893" t="inlineStr">
        <is>
          <t>bajo</t>
        </is>
      </c>
      <c r="J893" t="inlineStr">
        <is>
          <t>RN-11 y RN-34: provision hasta el cupo operativo antes de bajar del 8 %</t>
        </is>
      </c>
      <c r="K893" t="inlineStr">
        <is>
          <t>Provision en la manana, antes del pagado: con el pronostico, sin provision el saldo bajaria del 8 % del cupo ese dia. Lleva el saldo de 64.787.488 a 411.000.000 COP (cupo 411.000.000). Equipo administrado por TDV.</t>
        </is>
      </c>
      <c r="L893" s="26" t="n">
        <v>411000000</v>
      </c>
      <c r="M893" s="26" t="n">
        <v>64787488</v>
      </c>
      <c r="N893" s="27">
        <f>IF(ISNUMBER(M893),M893/L893,"No aplica")</f>
        <v>0.1576337907542579</v>
      </c>
      <c r="O893" s="25">
        <f>IF(G893="provision",M893+H893,IF(G893="recoleccion",M893-H893,"No aplica"))</f>
        <v>411000000</v>
      </c>
      <c r="P893" s="26" t="n">
        <v>118040</v>
      </c>
    </row>
    <row r="894">
      <c r="A894" t="inlineStr">
        <is>
          <t>PRAGMA</t>
        </is>
      </c>
      <c r="B894" t="inlineStr">
        <is>
          <t>M1</t>
        </is>
      </c>
      <c r="C894" t="inlineStr">
        <is>
          <t>Cali</t>
        </is>
      </c>
      <c r="D894" t="inlineStr">
        <is>
          <t>7354</t>
        </is>
      </c>
      <c r="E894" t="inlineStr">
        <is>
          <t>TDV</t>
        </is>
      </c>
      <c r="F894" s="23" t="n">
        <v>46280</v>
      </c>
      <c r="G894" t="inlineStr">
        <is>
          <t>provision</t>
        </is>
      </c>
      <c r="H894" s="26" t="n">
        <v>344667502</v>
      </c>
      <c r="I894" t="inlineStr">
        <is>
          <t>bajo</t>
        </is>
      </c>
      <c r="J894" t="inlineStr">
        <is>
          <t>RN-11 y RN-34: provision hasta el cupo operativo antes de bajar del 8 %</t>
        </is>
      </c>
      <c r="K894" t="inlineStr">
        <is>
          <t>Provision en la manana, antes del pagado: con el pronostico, sin provision el saldo bajaria del 8 % del cupo ese dia. Lleva el saldo de 66.332.498 a 411.000.000 COP (cupo 411.000.000). Equipo administrado por TDV.</t>
        </is>
      </c>
      <c r="L894" s="26" t="n">
        <v>411000000</v>
      </c>
      <c r="M894" s="26" t="n">
        <v>66332498</v>
      </c>
      <c r="N894" s="27">
        <f>IF(ISNUMBER(M894),M894/L894,"No aplica")</f>
        <v>0.16139293917274938</v>
      </c>
      <c r="O894" s="25">
        <f>IF(G894="provision",M894+H894,IF(G894="recoleccion",M894-H894,"No aplica"))</f>
        <v>411000000</v>
      </c>
      <c r="P894" s="26" t="n">
        <v>117586</v>
      </c>
    </row>
    <row r="895">
      <c r="A895" t="inlineStr">
        <is>
          <t>PRAGMA</t>
        </is>
      </c>
      <c r="B895" t="inlineStr">
        <is>
          <t>M1</t>
        </is>
      </c>
      <c r="C895" t="inlineStr">
        <is>
          <t>Cali</t>
        </is>
      </c>
      <c r="D895" t="inlineStr">
        <is>
          <t>7355</t>
        </is>
      </c>
      <c r="E895" t="inlineStr">
        <is>
          <t>TDV</t>
        </is>
      </c>
      <c r="F895" s="23" t="n">
        <v>46277</v>
      </c>
      <c r="G895" t="inlineStr">
        <is>
          <t>provision</t>
        </is>
      </c>
      <c r="H895" s="26" t="n">
        <v>456294708</v>
      </c>
      <c r="I895" t="inlineStr">
        <is>
          <t>bajo</t>
        </is>
      </c>
      <c r="J895" t="inlineStr">
        <is>
          <t>RN-11 y RN-34: provision hasta el cupo operativo antes de bajar del 8 %</t>
        </is>
      </c>
      <c r="K895" t="inlineStr">
        <is>
          <t>Provision en la manana, antes del pagado: con el pronostico, sin provision el saldo bajaria del 8 % del cupo ese dia. Lleva el saldo de 43.705.292 a 500.000.000 COP (cupo 500.000.000). Equipo administrado por TDV.</t>
        </is>
      </c>
      <c r="L895" s="26" t="n">
        <v>500000000</v>
      </c>
      <c r="M895" s="26" t="n">
        <v>43705292</v>
      </c>
      <c r="N895" s="27">
        <f>IF(ISNUMBER(M895),M895/L895,"No aplica")</f>
        <v>0.087410584</v>
      </c>
      <c r="O895" s="25">
        <f>IF(G895="provision",M895+H895,IF(G895="recoleccion",M895-H895,"No aplica"))</f>
        <v>500000000</v>
      </c>
      <c r="P895" s="26" t="n">
        <v>150405</v>
      </c>
    </row>
    <row r="896">
      <c r="A896" t="inlineStr">
        <is>
          <t>PRAGMA</t>
        </is>
      </c>
      <c r="B896" t="inlineStr">
        <is>
          <t>M1</t>
        </is>
      </c>
      <c r="C896" t="inlineStr">
        <is>
          <t>Cali</t>
        </is>
      </c>
      <c r="D896" t="inlineStr">
        <is>
          <t>7414</t>
        </is>
      </c>
      <c r="E896" t="inlineStr">
        <is>
          <t>TDV</t>
        </is>
      </c>
      <c r="F896" s="23" t="n">
        <v>46270</v>
      </c>
      <c r="G896" t="inlineStr">
        <is>
          <t>provision</t>
        </is>
      </c>
      <c r="H896" s="26" t="n">
        <v>397303362</v>
      </c>
      <c r="I896" t="inlineStr">
        <is>
          <t>bajo</t>
        </is>
      </c>
      <c r="J896" t="inlineStr">
        <is>
          <t>RN-11 y RN-34: provision hasta el cupo operativo antes de bajar del 8 %</t>
        </is>
      </c>
      <c r="K896" t="inlineStr">
        <is>
          <t>Provision en la manana, antes del pagado: con el pronostico, sin provision el saldo bajaria del 8 % del cupo ese dia. Lleva el saldo de 102.696.638 a 500.000.000 COP (cupo 500.000.000). Equipo administrado por TDV.</t>
        </is>
      </c>
      <c r="L896" s="26" t="n">
        <v>500000000</v>
      </c>
      <c r="M896" s="26" t="n">
        <v>102696638</v>
      </c>
      <c r="N896" s="27">
        <f>IF(ISNUMBER(M896),M896/L896,"No aplica")</f>
        <v>0.205393276</v>
      </c>
      <c r="O896" s="25">
        <f>IF(G896="provision",M896+H896,IF(G896="recoleccion",M896-H896,"No aplica"))</f>
        <v>500000000</v>
      </c>
      <c r="P896" s="26" t="n">
        <v>197867</v>
      </c>
    </row>
    <row r="897">
      <c r="A897" t="inlineStr">
        <is>
          <t>PRAGMA</t>
        </is>
      </c>
      <c r="B897" t="inlineStr">
        <is>
          <t>M1</t>
        </is>
      </c>
      <c r="C897" t="inlineStr">
        <is>
          <t>Cali</t>
        </is>
      </c>
      <c r="D897" t="inlineStr">
        <is>
          <t>7414</t>
        </is>
      </c>
      <c r="E897" t="inlineStr">
        <is>
          <t>TDV</t>
        </is>
      </c>
      <c r="F897" s="23" t="n">
        <v>46276</v>
      </c>
      <c r="G897" t="inlineStr">
        <is>
          <t>provision</t>
        </is>
      </c>
      <c r="H897" s="26" t="n">
        <v>434562811</v>
      </c>
      <c r="I897" t="inlineStr">
        <is>
          <t>bajo</t>
        </is>
      </c>
      <c r="J897" t="inlineStr">
        <is>
          <t>RN-11 y RN-34: provision hasta el cupo operativo antes de bajar del 8 %</t>
        </is>
      </c>
      <c r="K897" t="inlineStr">
        <is>
          <t>Provision en la manana, antes del pagado: con el pronostico, sin provision el saldo bajaria del 8 % del cupo ese dia. Lleva el saldo de 65.437.189 a 500.000.000 COP (cupo 500.000.000). Equipo administrado por TDV.</t>
        </is>
      </c>
      <c r="L897" s="26" t="n">
        <v>500000000</v>
      </c>
      <c r="M897" s="26" t="n">
        <v>65437189</v>
      </c>
      <c r="N897" s="27">
        <f>IF(ISNUMBER(M897),M897/L897,"No aplica")</f>
        <v>0.130874378</v>
      </c>
      <c r="O897" s="25">
        <f>IF(G897="provision",M897+H897,IF(G897="recoleccion",M897-H897,"No aplica"))</f>
        <v>500000000</v>
      </c>
      <c r="P897" s="26" t="n">
        <v>214708</v>
      </c>
    </row>
    <row r="898">
      <c r="A898" t="inlineStr">
        <is>
          <t>PRAGMA</t>
        </is>
      </c>
      <c r="B898" t="inlineStr">
        <is>
          <t>M1</t>
        </is>
      </c>
      <c r="C898" t="inlineStr">
        <is>
          <t>Cali</t>
        </is>
      </c>
      <c r="D898" t="inlineStr">
        <is>
          <t>744</t>
        </is>
      </c>
      <c r="E898" t="inlineStr">
        <is>
          <t>TDV</t>
        </is>
      </c>
      <c r="F898" s="23" t="n">
        <v>46270</v>
      </c>
      <c r="G898" t="inlineStr">
        <is>
          <t>provision</t>
        </is>
      </c>
      <c r="H898" s="26" t="n">
        <v>338804457</v>
      </c>
      <c r="I898" t="inlineStr">
        <is>
          <t>bajo</t>
        </is>
      </c>
      <c r="J898" t="inlineStr">
        <is>
          <t>RN-11 y RN-34: provision hasta el cupo operativo antes de bajar del 8 %</t>
        </is>
      </c>
      <c r="K898" t="inlineStr">
        <is>
          <t>Provision en la manana, antes del pagado: con el pronostico, sin provision el saldo bajaria del 8 % del cupo ese dia. Lleva el saldo de 72.195.543 a 411.000.000 COP (cupo 411.000.000). Equipo administrado por TDV.</t>
        </is>
      </c>
      <c r="L898" s="26" t="n">
        <v>411000000</v>
      </c>
      <c r="M898" s="26" t="n">
        <v>72195543</v>
      </c>
      <c r="N898" s="27">
        <f>IF(ISNUMBER(M898),M898/L898,"No aplica")</f>
        <v>0.17565825547445255</v>
      </c>
      <c r="O898" s="25">
        <f>IF(G898="provision",M898+H898,IF(G898="recoleccion",M898-H898,"No aplica"))</f>
        <v>411000000</v>
      </c>
      <c r="P898" s="26" t="n">
        <v>168532</v>
      </c>
    </row>
    <row r="899">
      <c r="A899" t="inlineStr">
        <is>
          <t>PRAGMA</t>
        </is>
      </c>
      <c r="B899" t="inlineStr">
        <is>
          <t>M1</t>
        </is>
      </c>
      <c r="C899" t="inlineStr">
        <is>
          <t>Cali</t>
        </is>
      </c>
      <c r="D899" t="inlineStr">
        <is>
          <t>744</t>
        </is>
      </c>
      <c r="E899" t="inlineStr">
        <is>
          <t>TDV</t>
        </is>
      </c>
      <c r="F899" s="23" t="n">
        <v>46276</v>
      </c>
      <c r="G899" t="inlineStr">
        <is>
          <t>provision</t>
        </is>
      </c>
      <c r="H899" s="26" t="n">
        <v>346511024</v>
      </c>
      <c r="I899" t="inlineStr">
        <is>
          <t>bajo</t>
        </is>
      </c>
      <c r="J899" t="inlineStr">
        <is>
          <t>RN-11 y RN-34: provision hasta el cupo operativo antes de bajar del 8 %</t>
        </is>
      </c>
      <c r="K899" t="inlineStr">
        <is>
          <t>Provision en la manana, antes del pagado: con el pronostico, sin provision el saldo bajaria del 8 % del cupo ese dia. Lleva el saldo de 64.488.976 a 411.000.000 COP (cupo 411.000.000). Equipo administrado por TDV.</t>
        </is>
      </c>
      <c r="L899" s="26" t="n">
        <v>411000000</v>
      </c>
      <c r="M899" s="26" t="n">
        <v>64488976</v>
      </c>
      <c r="N899" s="27">
        <f>IF(ISNUMBER(M899),M899/L899,"No aplica")</f>
        <v>0.15690748418491485</v>
      </c>
      <c r="O899" s="25">
        <f>IF(G899="provision",M899+H899,IF(G899="recoleccion",M899-H899,"No aplica"))</f>
        <v>411000000</v>
      </c>
      <c r="P899" s="26" t="n">
        <v>171938</v>
      </c>
    </row>
    <row r="900">
      <c r="A900" t="inlineStr">
        <is>
          <t>PRAGMA</t>
        </is>
      </c>
      <c r="B900" t="inlineStr">
        <is>
          <t>M1</t>
        </is>
      </c>
      <c r="C900" t="inlineStr">
        <is>
          <t>Cali</t>
        </is>
      </c>
      <c r="D900" t="inlineStr">
        <is>
          <t>7463</t>
        </is>
      </c>
      <c r="E900" t="inlineStr">
        <is>
          <t>TDV</t>
        </is>
      </c>
      <c r="F900" s="23" t="n">
        <v>46270</v>
      </c>
      <c r="G900" t="inlineStr">
        <is>
          <t>provision</t>
        </is>
      </c>
      <c r="H900" s="26" t="n">
        <v>413281918</v>
      </c>
      <c r="I900" t="inlineStr">
        <is>
          <t>bajo</t>
        </is>
      </c>
      <c r="J900" t="inlineStr">
        <is>
          <t>RN-11 y RN-34: provision hasta el cupo operativo antes de bajar del 8 %</t>
        </is>
      </c>
      <c r="K900" t="inlineStr">
        <is>
          <t>Provision en la manana, antes del pagado: con el pronostico, sin provision el saldo bajaria del 8 % del cupo ese dia. Lleva el saldo de 86.718.082 a 500.000.000 COP (cupo 500.000.000). Equipo administrado por TDV.</t>
        </is>
      </c>
      <c r="L900" s="26" t="n">
        <v>500000000</v>
      </c>
      <c r="M900" s="26" t="n">
        <v>86718082</v>
      </c>
      <c r="N900" s="27">
        <f>IF(ISNUMBER(M900),M900/L900,"No aplica")</f>
        <v>0.173436164</v>
      </c>
      <c r="O900" s="25">
        <f>IF(G900="provision",M900+H900,IF(G900="recoleccion",M900-H900,"No aplica"))</f>
        <v>500000000</v>
      </c>
      <c r="P900" s="26" t="n">
        <v>131278</v>
      </c>
    </row>
    <row r="901">
      <c r="A901" t="inlineStr">
        <is>
          <t>PRAGMA</t>
        </is>
      </c>
      <c r="B901" t="inlineStr">
        <is>
          <t>M1</t>
        </is>
      </c>
      <c r="C901" t="inlineStr">
        <is>
          <t>Cali</t>
        </is>
      </c>
      <c r="D901" t="inlineStr">
        <is>
          <t>7463</t>
        </is>
      </c>
      <c r="E901" t="inlineStr">
        <is>
          <t>TDV</t>
        </is>
      </c>
      <c r="F901" s="23" t="n">
        <v>46276</v>
      </c>
      <c r="G901" t="inlineStr">
        <is>
          <t>provision</t>
        </is>
      </c>
      <c r="H901" s="26" t="n">
        <v>420537969</v>
      </c>
      <c r="I901" t="inlineStr">
        <is>
          <t>bajo</t>
        </is>
      </c>
      <c r="J901" t="inlineStr">
        <is>
          <t>RN-11 y RN-34: provision hasta el cupo operativo antes de bajar del 8 %</t>
        </is>
      </c>
      <c r="K901" t="inlineStr">
        <is>
          <t>Provision en la manana, antes del pagado: con el pronostico, sin provision el saldo bajaria del 8 % del cupo ese dia. Lleva el saldo de 79.462.031 a 500.000.000 COP (cupo 500.000.000). Equipo administrado por TDV.</t>
        </is>
      </c>
      <c r="L901" s="26" t="n">
        <v>500000000</v>
      </c>
      <c r="M901" s="26" t="n">
        <v>79462031</v>
      </c>
      <c r="N901" s="27">
        <f>IF(ISNUMBER(M901),M901/L901,"No aplica")</f>
        <v>0.158924062</v>
      </c>
      <c r="O901" s="25">
        <f>IF(G901="provision",M901+H901,IF(G901="recoleccion",M901-H901,"No aplica"))</f>
        <v>500000000</v>
      </c>
      <c r="P901" s="26" t="n">
        <v>133310</v>
      </c>
    </row>
    <row r="902">
      <c r="A902" t="inlineStr">
        <is>
          <t>PRAGMA</t>
        </is>
      </c>
      <c r="B902" t="inlineStr">
        <is>
          <t>M1</t>
        </is>
      </c>
      <c r="C902" t="inlineStr">
        <is>
          <t>Cali</t>
        </is>
      </c>
      <c r="D902" t="inlineStr">
        <is>
          <t>7464</t>
        </is>
      </c>
      <c r="E902" t="inlineStr">
        <is>
          <t>TDV</t>
        </is>
      </c>
      <c r="F902" s="23" t="n">
        <v>46269</v>
      </c>
      <c r="G902" t="inlineStr">
        <is>
          <t>provision</t>
        </is>
      </c>
      <c r="H902" s="26" t="n">
        <v>373393196</v>
      </c>
      <c r="I902" t="inlineStr">
        <is>
          <t>bajo</t>
        </is>
      </c>
      <c r="J902" t="inlineStr">
        <is>
          <t>RN-11 y RN-34: provision hasta el cupo operativo antes de bajar del 8 %</t>
        </is>
      </c>
      <c r="K902" t="inlineStr">
        <is>
          <t>Provision en la manana, antes del pagado: con el pronostico, sin provision el saldo bajaria del 8 % del cupo ese dia. Lleva el saldo de 126.606.804 a 500.000.000 COP (cupo 500.000.000). Equipo administrado por TDV.</t>
        </is>
      </c>
      <c r="L902" s="26" t="n">
        <v>500000000</v>
      </c>
      <c r="M902" s="26" t="n">
        <v>126606804</v>
      </c>
      <c r="N902" s="27">
        <f>IF(ISNUMBER(M902),M902/L902,"No aplica")</f>
        <v>0.253213608</v>
      </c>
      <c r="O902" s="25">
        <f>IF(G902="provision",M902+H902,IF(G902="recoleccion",M902-H902,"No aplica"))</f>
        <v>500000000</v>
      </c>
      <c r="P902" s="26" t="n">
        <v>120109</v>
      </c>
    </row>
    <row r="903">
      <c r="A903" t="inlineStr">
        <is>
          <t>PRAGMA</t>
        </is>
      </c>
      <c r="B903" t="inlineStr">
        <is>
          <t>M1</t>
        </is>
      </c>
      <c r="C903" t="inlineStr">
        <is>
          <t>Cali</t>
        </is>
      </c>
      <c r="D903" t="inlineStr">
        <is>
          <t>7464</t>
        </is>
      </c>
      <c r="E903" t="inlineStr">
        <is>
          <t>TDV</t>
        </is>
      </c>
      <c r="F903" s="23" t="n">
        <v>46273</v>
      </c>
      <c r="G903" t="inlineStr">
        <is>
          <t>provision</t>
        </is>
      </c>
      <c r="H903" s="26" t="n">
        <v>378399079</v>
      </c>
      <c r="I903" t="inlineStr">
        <is>
          <t>bajo</t>
        </is>
      </c>
      <c r="J903" t="inlineStr">
        <is>
          <t>RN-11 y RN-34: provision hasta el cupo operativo antes de bajar del 8 %</t>
        </is>
      </c>
      <c r="K903" t="inlineStr">
        <is>
          <t>Provision en la manana, antes del pagado: con el pronostico, sin provision el saldo bajaria del 8 % del cupo ese dia. Lleva el saldo de 121.600.921 a 500.000.000 COP (cupo 500.000.000). Equipo administrado por TDV.</t>
        </is>
      </c>
      <c r="L903" s="26" t="n">
        <v>500000000</v>
      </c>
      <c r="M903" s="26" t="n">
        <v>121600921</v>
      </c>
      <c r="N903" s="27">
        <f>IF(ISNUMBER(M903),M903/L903,"No aplica")</f>
        <v>0.243201842</v>
      </c>
      <c r="O903" s="25">
        <f>IF(G903="provision",M903+H903,IF(G903="recoleccion",M903-H903,"No aplica"))</f>
        <v>500000000</v>
      </c>
      <c r="P903" s="26" t="n">
        <v>121511</v>
      </c>
    </row>
    <row r="904">
      <c r="A904" t="inlineStr">
        <is>
          <t>PRAGMA</t>
        </is>
      </c>
      <c r="B904" t="inlineStr">
        <is>
          <t>M1</t>
        </is>
      </c>
      <c r="C904" t="inlineStr">
        <is>
          <t>Cali</t>
        </is>
      </c>
      <c r="D904" t="inlineStr">
        <is>
          <t>7464</t>
        </is>
      </c>
      <c r="E904" t="inlineStr">
        <is>
          <t>TDV</t>
        </is>
      </c>
      <c r="F904" s="23" t="n">
        <v>46278</v>
      </c>
      <c r="G904" t="inlineStr">
        <is>
          <t>provision</t>
        </is>
      </c>
      <c r="H904" s="26" t="n">
        <v>402558908</v>
      </c>
      <c r="I904" t="inlineStr">
        <is>
          <t>bajo</t>
        </is>
      </c>
      <c r="J904" t="inlineStr">
        <is>
          <t>RN-11 y RN-34: provision hasta el cupo operativo antes de bajar del 8 %</t>
        </is>
      </c>
      <c r="K904" t="inlineStr">
        <is>
          <t>Provision en la manana, antes del pagado: con el pronostico, sin provision el saldo bajaria del 8 % del cupo ese dia. Lleva el saldo de 97.441.092 a 500.000.000 COP (cupo 500.000.000). Equipo administrado por TDV.</t>
        </is>
      </c>
      <c r="L904" s="26" t="n">
        <v>500000000</v>
      </c>
      <c r="M904" s="26" t="n">
        <v>97441092</v>
      </c>
      <c r="N904" s="27">
        <f>IF(ISNUMBER(M904),M904/L904,"No aplica")</f>
        <v>0.194882184</v>
      </c>
      <c r="O904" s="25">
        <f>IF(G904="provision",M904+H904,IF(G904="recoleccion",M904-H904,"No aplica"))</f>
        <v>500000000</v>
      </c>
      <c r="P904" s="26" t="n">
        <v>173886</v>
      </c>
    </row>
    <row r="905">
      <c r="A905" t="inlineStr">
        <is>
          <t>PRAGMA</t>
        </is>
      </c>
      <c r="B905" t="inlineStr">
        <is>
          <t>M1</t>
        </is>
      </c>
      <c r="C905" t="inlineStr">
        <is>
          <t>Pasto</t>
        </is>
      </c>
      <c r="D905" t="inlineStr">
        <is>
          <t>748</t>
        </is>
      </c>
      <c r="E905" t="inlineStr">
        <is>
          <t>TDV</t>
        </is>
      </c>
      <c r="F905" s="23" t="n">
        <v>46268</v>
      </c>
      <c r="G905" t="inlineStr">
        <is>
          <t>provision</t>
        </is>
      </c>
      <c r="H905" s="26" t="n">
        <v>341680937</v>
      </c>
      <c r="I905" t="inlineStr">
        <is>
          <t>bajo</t>
        </is>
      </c>
      <c r="J905" t="inlineStr">
        <is>
          <t>RN-11 y RN-34: provision hasta el cupo operativo antes de bajar del 8 %</t>
        </is>
      </c>
      <c r="K905" t="inlineStr">
        <is>
          <t>Provision en la manana, antes del pagado: con el pronostico, sin provision el saldo bajaria del 8 % del cupo ese dia. Lleva el saldo de 69.319.063 a 411.000.000 COP (cupo 411.000.000). Equipo administrado por TDV.</t>
        </is>
      </c>
      <c r="L905" s="26" t="n">
        <v>411000000</v>
      </c>
      <c r="M905" s="26" t="n">
        <v>69319063</v>
      </c>
      <c r="N905" s="27">
        <f>IF(ISNUMBER(M905),M905/L905,"No aplica")</f>
        <v>0.16865952068126522</v>
      </c>
      <c r="O905" s="25">
        <f>IF(G905="provision",M905+H905,IF(G905="recoleccion",M905-H905,"No aplica"))</f>
        <v>411000000</v>
      </c>
      <c r="P905" s="26" t="n">
        <v>111230</v>
      </c>
    </row>
    <row r="906">
      <c r="A906" t="inlineStr">
        <is>
          <t>PRAGMA</t>
        </is>
      </c>
      <c r="B906" t="inlineStr">
        <is>
          <t>M1</t>
        </is>
      </c>
      <c r="C906" t="inlineStr">
        <is>
          <t>Pasto</t>
        </is>
      </c>
      <c r="D906" t="inlineStr">
        <is>
          <t>748</t>
        </is>
      </c>
      <c r="E906" t="inlineStr">
        <is>
          <t>TDV</t>
        </is>
      </c>
      <c r="F906" s="23" t="n">
        <v>46270</v>
      </c>
      <c r="G906" t="inlineStr">
        <is>
          <t>provision</t>
        </is>
      </c>
      <c r="H906" s="26" t="n">
        <v>292021816</v>
      </c>
      <c r="I906" t="inlineStr">
        <is>
          <t>bajo</t>
        </is>
      </c>
      <c r="J906" t="inlineStr">
        <is>
          <t>RN-11 y RN-34: provision hasta el cupo operativo antes de bajar del 8 %</t>
        </is>
      </c>
      <c r="K906" t="inlineStr">
        <is>
          <t>Provision en la manana, antes del pagado: con el pronostico, sin provision el saldo bajaria del 8 % del cupo ese dia. Lleva el saldo de 118.978.184 a 411.000.000 COP (cupo 411.000.000). Equipo administrado por TDV.</t>
        </is>
      </c>
      <c r="L906" s="26" t="n">
        <v>411000000</v>
      </c>
      <c r="M906" s="26" t="n">
        <v>118978184</v>
      </c>
      <c r="N906" s="27">
        <f>IF(ISNUMBER(M906),M906/L906,"No aplica")</f>
        <v>0.28948463260340634</v>
      </c>
      <c r="O906" s="25">
        <f>IF(G906="provision",M906+H906,IF(G906="recoleccion",M906-H906,"No aplica"))</f>
        <v>411000000</v>
      </c>
      <c r="P906" s="26" t="n">
        <v>97325</v>
      </c>
    </row>
    <row r="907">
      <c r="A907" t="inlineStr">
        <is>
          <t>PRAGMA</t>
        </is>
      </c>
      <c r="B907" t="inlineStr">
        <is>
          <t>M1</t>
        </is>
      </c>
      <c r="C907" t="inlineStr">
        <is>
          <t>Pasto</t>
        </is>
      </c>
      <c r="D907" t="inlineStr">
        <is>
          <t>748</t>
        </is>
      </c>
      <c r="E907" t="inlineStr">
        <is>
          <t>TDV</t>
        </is>
      </c>
      <c r="F907" s="23" t="n">
        <v>46273</v>
      </c>
      <c r="G907" t="inlineStr">
        <is>
          <t>provision</t>
        </is>
      </c>
      <c r="H907" s="26" t="n">
        <v>333684274</v>
      </c>
      <c r="I907" t="inlineStr">
        <is>
          <t>bajo</t>
        </is>
      </c>
      <c r="J907" t="inlineStr">
        <is>
          <t>RN-11 y RN-34: provision hasta el cupo operativo antes de bajar del 8 %</t>
        </is>
      </c>
      <c r="K907" t="inlineStr">
        <is>
          <t>Provision en la manana, antes del pagado: con el pronostico, sin provision el saldo bajaria del 8 % del cupo ese dia. Lleva el saldo de 77.315.726 a 411.000.000 COP (cupo 411.000.000). Equipo administrado por TDV.</t>
        </is>
      </c>
      <c r="L907" s="26" t="n">
        <v>411000000</v>
      </c>
      <c r="M907" s="26" t="n">
        <v>77315726</v>
      </c>
      <c r="N907" s="27">
        <f>IF(ISNUMBER(M907),M907/L907,"No aplica")</f>
        <v>0.18811612165450123</v>
      </c>
      <c r="O907" s="25">
        <f>IF(G907="provision",M907+H907,IF(G907="recoleccion",M907-H907,"No aplica"))</f>
        <v>411000000</v>
      </c>
      <c r="P907" s="26" t="n">
        <v>108991</v>
      </c>
    </row>
    <row r="908">
      <c r="A908" t="inlineStr">
        <is>
          <t>PRAGMA</t>
        </is>
      </c>
      <c r="B908" t="inlineStr">
        <is>
          <t>M1</t>
        </is>
      </c>
      <c r="C908" t="inlineStr">
        <is>
          <t>Pasto</t>
        </is>
      </c>
      <c r="D908" t="inlineStr">
        <is>
          <t>748</t>
        </is>
      </c>
      <c r="E908" t="inlineStr">
        <is>
          <t>TDV</t>
        </is>
      </c>
      <c r="F908" s="23" t="n">
        <v>46276</v>
      </c>
      <c r="G908" t="inlineStr">
        <is>
          <t>provision</t>
        </is>
      </c>
      <c r="H908" s="26" t="n">
        <v>335860392</v>
      </c>
      <c r="I908" t="inlineStr">
        <is>
          <t>bajo</t>
        </is>
      </c>
      <c r="J908" t="inlineStr">
        <is>
          <t>RN-11 y RN-34: provision hasta el cupo operativo antes de bajar del 8 %</t>
        </is>
      </c>
      <c r="K908" t="inlineStr">
        <is>
          <t>Provision en la manana, antes del pagado: con el pronostico, sin provision el saldo bajaria del 8 % del cupo ese dia. Lleva el saldo de 75.139.608 a 411.000.000 COP (cupo 411.000.000). Equipo administrado por TDV.</t>
        </is>
      </c>
      <c r="L908" s="26" t="n">
        <v>411000000</v>
      </c>
      <c r="M908" s="26" t="n">
        <v>75139608</v>
      </c>
      <c r="N908" s="27">
        <f>IF(ISNUMBER(M908),M908/L908,"No aplica")</f>
        <v>0.18282143065693432</v>
      </c>
      <c r="O908" s="25">
        <f>IF(G908="provision",M908+H908,IF(G908="recoleccion",M908-H908,"No aplica"))</f>
        <v>411000000</v>
      </c>
      <c r="P908" s="26" t="n">
        <v>109600</v>
      </c>
    </row>
    <row r="909">
      <c r="A909" t="inlineStr">
        <is>
          <t>PRAGMA</t>
        </is>
      </c>
      <c r="B909" t="inlineStr">
        <is>
          <t>M1</t>
        </is>
      </c>
      <c r="C909" t="inlineStr">
        <is>
          <t>Pasto</t>
        </is>
      </c>
      <c r="D909" t="inlineStr">
        <is>
          <t>748</t>
        </is>
      </c>
      <c r="E909" t="inlineStr">
        <is>
          <t>TDV</t>
        </is>
      </c>
      <c r="F909" s="23" t="n">
        <v>46279</v>
      </c>
      <c r="G909" t="inlineStr">
        <is>
          <t>provision</t>
        </is>
      </c>
      <c r="H909" s="26" t="n">
        <v>286395185</v>
      </c>
      <c r="I909" t="inlineStr">
        <is>
          <t>bajo</t>
        </is>
      </c>
      <c r="J909" t="inlineStr">
        <is>
          <t>RN-11 y RN-34: provision hasta el cupo operativo antes de bajar del 8 %</t>
        </is>
      </c>
      <c r="K909" t="inlineStr">
        <is>
          <t>Provision en la manana, antes del pagado: con el pronostico, sin provision el saldo bajaria del 8 % del cupo ese dia. Lleva el saldo de 124.604.815 a 411.000.000 COP (cupo 411.000.000). Equipo administrado por TDV.</t>
        </is>
      </c>
      <c r="L909" s="26" t="n">
        <v>411000000</v>
      </c>
      <c r="M909" s="26" t="n">
        <v>124604815</v>
      </c>
      <c r="N909" s="27">
        <f>IF(ISNUMBER(M909),M909/L909,"No aplica")</f>
        <v>0.30317473236009734</v>
      </c>
      <c r="O909" s="25">
        <f>IF(G909="provision",M909+H909,IF(G909="recoleccion",M909-H909,"No aplica"))</f>
        <v>411000000</v>
      </c>
      <c r="P909" s="26" t="n">
        <v>95750</v>
      </c>
    </row>
    <row r="910">
      <c r="A910" t="inlineStr">
        <is>
          <t>PRAGMA</t>
        </is>
      </c>
      <c r="B910" t="inlineStr">
        <is>
          <t>M1</t>
        </is>
      </c>
      <c r="C910" t="inlineStr">
        <is>
          <t>Ipiales</t>
        </is>
      </c>
      <c r="D910" t="inlineStr">
        <is>
          <t>7484</t>
        </is>
      </c>
      <c r="E910" t="inlineStr">
        <is>
          <t>TDV</t>
        </is>
      </c>
      <c r="F910" s="23" t="n">
        <v>46270</v>
      </c>
      <c r="G910" t="inlineStr">
        <is>
          <t>provision</t>
        </is>
      </c>
      <c r="H910" s="26" t="n">
        <v>323451087</v>
      </c>
      <c r="I910" t="inlineStr">
        <is>
          <t>bajo</t>
        </is>
      </c>
      <c r="J910" t="inlineStr">
        <is>
          <t>RN-11 y RN-34: provision hasta el cupo operativo antes de bajar del 8 %</t>
        </is>
      </c>
      <c r="K910" t="inlineStr">
        <is>
          <t>Provision en la manana, antes del pagado: con el pronostico, sin provision el saldo bajaria del 8 % del cupo ese dia. Lleva el saldo de 87.548.913 a 411.000.000 COP (cupo 411.000.000). Equipo administrado por TDV.</t>
        </is>
      </c>
      <c r="L910" s="26" t="n">
        <v>411000000</v>
      </c>
      <c r="M910" s="26" t="n">
        <v>87548913</v>
      </c>
      <c r="N910" s="27">
        <f>IF(ISNUMBER(M910),M910/L910,"No aplica")</f>
        <v>0.21301438686131388</v>
      </c>
      <c r="O910" s="25">
        <f>IF(G910="provision",M910+H910,IF(G910="recoleccion",M910-H910,"No aplica"))</f>
        <v>411000000</v>
      </c>
      <c r="P910" s="26" t="n">
        <v>118582</v>
      </c>
    </row>
    <row r="911">
      <c r="A911" t="inlineStr">
        <is>
          <t>PRAGMA</t>
        </is>
      </c>
      <c r="B911" t="inlineStr">
        <is>
          <t>M1</t>
        </is>
      </c>
      <c r="C911" t="inlineStr">
        <is>
          <t>Ipiales</t>
        </is>
      </c>
      <c r="D911" t="inlineStr">
        <is>
          <t>7484</t>
        </is>
      </c>
      <c r="E911" t="inlineStr">
        <is>
          <t>TDV</t>
        </is>
      </c>
      <c r="F911" s="23" t="n">
        <v>46275</v>
      </c>
      <c r="G911" t="inlineStr">
        <is>
          <t>provision</t>
        </is>
      </c>
      <c r="H911" s="26" t="n">
        <v>349963442</v>
      </c>
      <c r="I911" t="inlineStr">
        <is>
          <t>bajo</t>
        </is>
      </c>
      <c r="J911" t="inlineStr">
        <is>
          <t>RN-11 y RN-34: provision hasta el cupo operativo antes de bajar del 8 %</t>
        </is>
      </c>
      <c r="K911" t="inlineStr">
        <is>
          <t>Provision en la manana, antes del pagado: con el pronostico, sin provision el saldo bajaria del 8 % del cupo ese dia. Lleva el saldo de 61.036.558 a 411.000.000 COP (cupo 411.000.000). Equipo administrado por TDV.</t>
        </is>
      </c>
      <c r="L911" s="26" t="n">
        <v>411000000</v>
      </c>
      <c r="M911" s="26" t="n">
        <v>61036558</v>
      </c>
      <c r="N911" s="27">
        <f>IF(ISNUMBER(M911),M911/L911,"No aplica")</f>
        <v>0.1485074403892944</v>
      </c>
      <c r="O911" s="25">
        <f>IF(G911="provision",M911+H911,IF(G911="recoleccion",M911-H911,"No aplica"))</f>
        <v>411000000</v>
      </c>
      <c r="P911" s="26" t="n">
        <v>126881</v>
      </c>
    </row>
    <row r="912">
      <c r="A912" t="inlineStr">
        <is>
          <t>PRAGMA</t>
        </is>
      </c>
      <c r="B912" t="inlineStr">
        <is>
          <t>M1</t>
        </is>
      </c>
      <c r="C912" t="inlineStr">
        <is>
          <t>Ipiales</t>
        </is>
      </c>
      <c r="D912" t="inlineStr">
        <is>
          <t>7485</t>
        </is>
      </c>
      <c r="E912" t="inlineStr">
        <is>
          <t>TDV</t>
        </is>
      </c>
      <c r="F912" s="23" t="n">
        <v>46270</v>
      </c>
      <c r="G912" t="inlineStr">
        <is>
          <t>provision</t>
        </is>
      </c>
      <c r="H912" s="26" t="n">
        <v>371339719</v>
      </c>
      <c r="I912" t="inlineStr">
        <is>
          <t>bajo</t>
        </is>
      </c>
      <c r="J912" t="inlineStr">
        <is>
          <t>RN-11 y RN-34: provision hasta el cupo operativo antes de bajar del 8 %</t>
        </is>
      </c>
      <c r="K912" t="inlineStr">
        <is>
          <t>Provision en la manana, antes del pagado: con el pronostico, sin provision el saldo bajaria del 8 % del cupo ese dia. Lleva el saldo de 33.660.281 a 405.000.000 COP (cupo 405.000.000). Equipo administrado por TDV.</t>
        </is>
      </c>
      <c r="L912" s="26" t="n">
        <v>405000000</v>
      </c>
      <c r="M912" s="26" t="n">
        <v>33660281</v>
      </c>
      <c r="N912" s="27">
        <f>IF(ISNUMBER(M912),M912/L912,"No aplica")</f>
        <v>0.08311180493827161</v>
      </c>
      <c r="O912" s="25">
        <f>IF(G912="provision",M912+H912,IF(G912="recoleccion",M912-H912,"No aplica"))</f>
        <v>405000000</v>
      </c>
      <c r="P912" s="26" t="n">
        <v>133571</v>
      </c>
    </row>
    <row r="913">
      <c r="A913" t="inlineStr">
        <is>
          <t>PRAGMA</t>
        </is>
      </c>
      <c r="B913" t="inlineStr">
        <is>
          <t>M1</t>
        </is>
      </c>
      <c r="C913" t="inlineStr">
        <is>
          <t>Ipiales</t>
        </is>
      </c>
      <c r="D913" t="inlineStr">
        <is>
          <t>7485</t>
        </is>
      </c>
      <c r="E913" t="inlineStr">
        <is>
          <t>TDV</t>
        </is>
      </c>
      <c r="F913" s="23" t="n">
        <v>46274</v>
      </c>
      <c r="G913" t="inlineStr">
        <is>
          <t>provision</t>
        </is>
      </c>
      <c r="H913" s="26" t="n">
        <v>336213136</v>
      </c>
      <c r="I913" t="inlineStr">
        <is>
          <t>bajo</t>
        </is>
      </c>
      <c r="J913" t="inlineStr">
        <is>
          <t>RN-11 y RN-34: provision hasta el cupo operativo antes de bajar del 8 %</t>
        </is>
      </c>
      <c r="K913" t="inlineStr">
        <is>
          <t>Provision en la manana, antes del pagado: con el pronostico, sin provision el saldo bajaria del 8 % del cupo ese dia. Lleva el saldo de 68.786.864 a 405.000.000 COP (cupo 405.000.000). Equipo administrado por TDV.</t>
        </is>
      </c>
      <c r="L913" s="26" t="n">
        <v>405000000</v>
      </c>
      <c r="M913" s="26" t="n">
        <v>68786864</v>
      </c>
      <c r="N913" s="27">
        <f>IF(ISNUMBER(M913),M913/L913,"No aplica")</f>
        <v>0.1698441086419753</v>
      </c>
      <c r="O913" s="25">
        <f>IF(G913="provision",M913+H913,IF(G913="recoleccion",M913-H913,"No aplica"))</f>
        <v>405000000</v>
      </c>
      <c r="P913" s="26" t="n">
        <v>122577</v>
      </c>
    </row>
    <row r="914">
      <c r="A914" t="inlineStr">
        <is>
          <t>PRAGMA</t>
        </is>
      </c>
      <c r="B914" t="inlineStr">
        <is>
          <t>M1</t>
        </is>
      </c>
      <c r="C914" t="inlineStr">
        <is>
          <t>Ipiales</t>
        </is>
      </c>
      <c r="D914" t="inlineStr">
        <is>
          <t>7485</t>
        </is>
      </c>
      <c r="E914" t="inlineStr">
        <is>
          <t>TDV</t>
        </is>
      </c>
      <c r="F914" s="23" t="n">
        <v>46279</v>
      </c>
      <c r="G914" t="inlineStr">
        <is>
          <t>provision</t>
        </is>
      </c>
      <c r="H914" s="26" t="n">
        <v>329229039</v>
      </c>
      <c r="I914" t="inlineStr">
        <is>
          <t>bajo</t>
        </is>
      </c>
      <c r="J914" t="inlineStr">
        <is>
          <t>RN-11 y RN-34: provision hasta el cupo operativo antes de bajar del 8 %</t>
        </is>
      </c>
      <c r="K914" t="inlineStr">
        <is>
          <t>Provision en la manana, antes del pagado: con el pronostico, sin provision el saldo bajaria del 8 % del cupo ese dia. Lleva el saldo de 75.770.961 a 405.000.000 COP (cupo 405.000.000). Equipo administrado por TDV.</t>
        </is>
      </c>
      <c r="L914" s="26" t="n">
        <v>405000000</v>
      </c>
      <c r="M914" s="26" t="n">
        <v>75770961</v>
      </c>
      <c r="N914" s="27">
        <f>IF(ISNUMBER(M914),M914/L914,"No aplica")</f>
        <v>0.1870887925925926</v>
      </c>
      <c r="O914" s="25">
        <f>IF(G914="provision",M914+H914,IF(G914="recoleccion",M914-H914,"No aplica"))</f>
        <v>405000000</v>
      </c>
      <c r="P914" s="26" t="n">
        <v>120391</v>
      </c>
    </row>
    <row r="915">
      <c r="A915" t="inlineStr">
        <is>
          <t>PRAGMA</t>
        </is>
      </c>
      <c r="B915" t="inlineStr">
        <is>
          <t>M1</t>
        </is>
      </c>
      <c r="C915" t="inlineStr">
        <is>
          <t>Ipiales</t>
        </is>
      </c>
      <c r="D915" t="inlineStr">
        <is>
          <t>7486</t>
        </is>
      </c>
      <c r="E915" t="inlineStr">
        <is>
          <t>TDV</t>
        </is>
      </c>
      <c r="F915" s="23" t="n">
        <v>46269</v>
      </c>
      <c r="G915" t="inlineStr">
        <is>
          <t>provision</t>
        </is>
      </c>
      <c r="H915" s="26" t="n">
        <v>308387418</v>
      </c>
      <c r="I915" t="inlineStr">
        <is>
          <t>bajo</t>
        </is>
      </c>
      <c r="J915" t="inlineStr">
        <is>
          <t>RN-11 y RN-34: provision hasta el cupo operativo antes de bajar del 8 %</t>
        </is>
      </c>
      <c r="K915" t="inlineStr">
        <is>
          <t>Provision en la manana, antes del pagado: con el pronostico, sin provision el saldo bajaria del 8 % del cupo ese dia. Lleva el saldo de 96.612.582 a 405.000.000 COP (cupo 405.000.000). Equipo administrado por TDV.</t>
        </is>
      </c>
      <c r="L915" s="26" t="n">
        <v>405000000</v>
      </c>
      <c r="M915" s="26" t="n">
        <v>96612582</v>
      </c>
      <c r="N915" s="27">
        <f>IF(ISNUMBER(M915),M915/L915,"No aplica")</f>
        <v>0.23854958518518518</v>
      </c>
      <c r="O915" s="25">
        <f>IF(G915="provision",M915+H915,IF(G915="recoleccion",M915-H915,"No aplica"))</f>
        <v>405000000</v>
      </c>
      <c r="P915" s="26" t="n">
        <v>113867</v>
      </c>
    </row>
    <row r="916">
      <c r="A916" t="inlineStr">
        <is>
          <t>PRAGMA</t>
        </is>
      </c>
      <c r="B916" t="inlineStr">
        <is>
          <t>M1</t>
        </is>
      </c>
      <c r="C916" t="inlineStr">
        <is>
          <t>Ipiales</t>
        </is>
      </c>
      <c r="D916" t="inlineStr">
        <is>
          <t>7486</t>
        </is>
      </c>
      <c r="E916" t="inlineStr">
        <is>
          <t>TDV</t>
        </is>
      </c>
      <c r="F916" s="23" t="n">
        <v>46273</v>
      </c>
      <c r="G916" t="inlineStr">
        <is>
          <t>provision</t>
        </is>
      </c>
      <c r="H916" s="26" t="n">
        <v>370886414</v>
      </c>
      <c r="I916" t="inlineStr">
        <is>
          <t>bajo</t>
        </is>
      </c>
      <c r="J916" t="inlineStr">
        <is>
          <t>RN-11 y RN-34: provision hasta el cupo operativo antes de bajar del 8 %</t>
        </is>
      </c>
      <c r="K916" t="inlineStr">
        <is>
          <t>Provision en la manana, antes del pagado: con el pronostico, sin provision el saldo bajaria del 8 % del cupo ese dia. Lleva el saldo de 34.113.586 a 405.000.000 COP (cupo 405.000.000). Equipo administrado por TDV.</t>
        </is>
      </c>
      <c r="L916" s="26" t="n">
        <v>405000000</v>
      </c>
      <c r="M916" s="26" t="n">
        <v>34113586</v>
      </c>
      <c r="N916" s="27">
        <f>IF(ISNUMBER(M916),M916/L916,"No aplica")</f>
        <v>0.08423107654320988</v>
      </c>
      <c r="O916" s="25">
        <f>IF(G916="provision",M916+H916,IF(G916="recoleccion",M916-H916,"No aplica"))</f>
        <v>405000000</v>
      </c>
      <c r="P916" s="26" t="n">
        <v>133429</v>
      </c>
    </row>
    <row r="917">
      <c r="A917" t="inlineStr">
        <is>
          <t>PRAGMA</t>
        </is>
      </c>
      <c r="B917" t="inlineStr">
        <is>
          <t>M1</t>
        </is>
      </c>
      <c r="C917" t="inlineStr">
        <is>
          <t>Ipiales</t>
        </is>
      </c>
      <c r="D917" t="inlineStr">
        <is>
          <t>7486</t>
        </is>
      </c>
      <c r="E917" t="inlineStr">
        <is>
          <t>TDV</t>
        </is>
      </c>
      <c r="F917" s="23" t="n">
        <v>46278</v>
      </c>
      <c r="G917" t="inlineStr">
        <is>
          <t>provision</t>
        </is>
      </c>
      <c r="H917" s="26" t="n">
        <v>347027891</v>
      </c>
      <c r="I917" t="inlineStr">
        <is>
          <t>bajo</t>
        </is>
      </c>
      <c r="J917" t="inlineStr">
        <is>
          <t>RN-11 y RN-34: provision hasta el cupo operativo antes de bajar del 8 %</t>
        </is>
      </c>
      <c r="K917" t="inlineStr">
        <is>
          <t>Provision en la manana, antes del pagado: con el pronostico, sin provision el saldo bajaria del 8 % del cupo ese dia. Lleva el saldo de 57.972.109 a 405.000.000 COP (cupo 405.000.000). Equipo administrado por TDV.</t>
        </is>
      </c>
      <c r="L917" s="26" t="n">
        <v>405000000</v>
      </c>
      <c r="M917" s="26" t="n">
        <v>57972109</v>
      </c>
      <c r="N917" s="27">
        <f>IF(ISNUMBER(M917),M917/L917,"No aplica")</f>
        <v>0.1431410098765432</v>
      </c>
      <c r="O917" s="25">
        <f>IF(G917="provision",M917+H917,IF(G917="recoleccion",M917-H917,"No aplica"))</f>
        <v>405000000</v>
      </c>
      <c r="P917" s="26" t="n">
        <v>167949</v>
      </c>
    </row>
    <row r="918">
      <c r="A918" t="inlineStr">
        <is>
          <t>PRAGMA</t>
        </is>
      </c>
      <c r="B918" t="inlineStr">
        <is>
          <t>M1</t>
        </is>
      </c>
      <c r="C918" t="inlineStr">
        <is>
          <t>Cali</t>
        </is>
      </c>
      <c r="D918" t="inlineStr">
        <is>
          <t>7488</t>
        </is>
      </c>
      <c r="E918" t="inlineStr">
        <is>
          <t>Sucursal</t>
        </is>
      </c>
      <c r="F918" s="23" t="n">
        <v>46268</v>
      </c>
      <c r="G918" t="inlineStr">
        <is>
          <t>provision</t>
        </is>
      </c>
      <c r="H918" s="26" t="n">
        <v>336023004</v>
      </c>
      <c r="I918" t="inlineStr">
        <is>
          <t>bajo</t>
        </is>
      </c>
      <c r="J918" t="inlineStr">
        <is>
          <t>RN-11 y RN-34: provision hasta el cupo operativo antes de bajar del 8 %</t>
        </is>
      </c>
      <c r="K918" t="inlineStr">
        <is>
          <t>Provision en la manana, antes del pagado: con el pronostico, sin provision el saldo bajaria del 8 % del cupo ese dia. Lleva el saldo de 74.976.996 a 411.000.000 COP (cupo 411.000.000). Equipo administrado por Sucursal. Sin tarifa TDV (administrado por la sucursal): costo 0 declarado.</t>
        </is>
      </c>
      <c r="L918" s="26" t="n">
        <v>411000000</v>
      </c>
      <c r="M918" s="26" t="n">
        <v>74976996</v>
      </c>
      <c r="N918" s="27">
        <f>IF(ISNUMBER(M918),M918/L918,"No aplica")</f>
        <v>0.1824257810218978</v>
      </c>
      <c r="O918" s="25">
        <f>IF(G918="provision",M918+H918,IF(G918="recoleccion",M918-H918,"No aplica"))</f>
        <v>411000000</v>
      </c>
      <c r="P918" s="26" t="n">
        <v>0</v>
      </c>
    </row>
    <row r="919">
      <c r="A919" t="inlineStr">
        <is>
          <t>PRAGMA</t>
        </is>
      </c>
      <c r="B919" t="inlineStr">
        <is>
          <t>M1</t>
        </is>
      </c>
      <c r="C919" t="inlineStr">
        <is>
          <t>Cali</t>
        </is>
      </c>
      <c r="D919" t="inlineStr">
        <is>
          <t>7488</t>
        </is>
      </c>
      <c r="E919" t="inlineStr">
        <is>
          <t>Sucursal</t>
        </is>
      </c>
      <c r="F919" s="23" t="n">
        <v>46271</v>
      </c>
      <c r="G919" t="inlineStr">
        <is>
          <t>provision</t>
        </is>
      </c>
      <c r="H919" s="26" t="n">
        <v>377970378</v>
      </c>
      <c r="I919" t="inlineStr">
        <is>
          <t>bajo</t>
        </is>
      </c>
      <c r="J919" t="inlineStr">
        <is>
          <t>RN-11 y RN-34: provision hasta el cupo operativo antes de bajar del 8 %</t>
        </is>
      </c>
      <c r="K919" t="inlineStr">
        <is>
          <t>Provision en la manana, antes del pagado: con el pronostico, sin provision el saldo bajaria del 8 % del cupo ese dia. Lleva el saldo de 33.029.622 a 411.000.000 COP (cupo 411.000.000). Equipo administrado por Sucursal. Sin tarifa TDV (administrado por la sucursal): costo 0 declarado.</t>
        </is>
      </c>
      <c r="L919" s="26" t="n">
        <v>411000000</v>
      </c>
      <c r="M919" s="26" t="n">
        <v>33029622</v>
      </c>
      <c r="N919" s="27">
        <f>IF(ISNUMBER(M919),M919/L919,"No aplica")</f>
        <v>0.08036404379562044</v>
      </c>
      <c r="O919" s="25">
        <f>IF(G919="provision",M919+H919,IF(G919="recoleccion",M919-H919,"No aplica"))</f>
        <v>411000000</v>
      </c>
      <c r="P919" s="26" t="n">
        <v>0</v>
      </c>
    </row>
    <row r="920">
      <c r="A920" t="inlineStr">
        <is>
          <t>PRAGMA</t>
        </is>
      </c>
      <c r="B920" t="inlineStr">
        <is>
          <t>M1</t>
        </is>
      </c>
      <c r="C920" t="inlineStr">
        <is>
          <t>Cali</t>
        </is>
      </c>
      <c r="D920" t="inlineStr">
        <is>
          <t>7488</t>
        </is>
      </c>
      <c r="E920" t="inlineStr">
        <is>
          <t>Sucursal</t>
        </is>
      </c>
      <c r="F920" s="23" t="n">
        <v>46275</v>
      </c>
      <c r="G920" t="inlineStr">
        <is>
          <t>provision</t>
        </is>
      </c>
      <c r="H920" s="26" t="n">
        <v>349862018</v>
      </c>
      <c r="I920" t="inlineStr">
        <is>
          <t>bajo</t>
        </is>
      </c>
      <c r="J920" t="inlineStr">
        <is>
          <t>RN-11 y RN-34: provision hasta el cupo operativo antes de bajar del 8 %</t>
        </is>
      </c>
      <c r="K920" t="inlineStr">
        <is>
          <t>Provision en la manana, antes del pagado: con el pronostico, sin provision el saldo bajaria del 8 % del cupo ese dia. Lleva el saldo de 61.137.982 a 411.000.000 COP (cupo 411.000.000). Equipo administrado por Sucursal. Sin tarifa TDV (administrado por la sucursal): costo 0 declarado.</t>
        </is>
      </c>
      <c r="L920" s="26" t="n">
        <v>411000000</v>
      </c>
      <c r="M920" s="26" t="n">
        <v>61137982</v>
      </c>
      <c r="N920" s="27">
        <f>IF(ISNUMBER(M920),M920/L920,"No aplica")</f>
        <v>0.14875421411192213</v>
      </c>
      <c r="O920" s="25">
        <f>IF(G920="provision",M920+H920,IF(G920="recoleccion",M920-H920,"No aplica"))</f>
        <v>411000000</v>
      </c>
      <c r="P920" s="26" t="n">
        <v>0</v>
      </c>
    </row>
    <row r="921">
      <c r="A921" t="inlineStr">
        <is>
          <t>PRAGMA</t>
        </is>
      </c>
      <c r="B921" t="inlineStr">
        <is>
          <t>M1</t>
        </is>
      </c>
      <c r="C921" t="inlineStr">
        <is>
          <t>Cali</t>
        </is>
      </c>
      <c r="D921" t="inlineStr">
        <is>
          <t>7488</t>
        </is>
      </c>
      <c r="E921" t="inlineStr">
        <is>
          <t>Sucursal</t>
        </is>
      </c>
      <c r="F921" s="23" t="n">
        <v>46279</v>
      </c>
      <c r="G921" t="inlineStr">
        <is>
          <t>provision</t>
        </is>
      </c>
      <c r="H921" s="26" t="n">
        <v>356317627</v>
      </c>
      <c r="I921" t="inlineStr">
        <is>
          <t>bajo</t>
        </is>
      </c>
      <c r="J921" t="inlineStr">
        <is>
          <t>RN-11 y RN-34: provision hasta el cupo operativo antes de bajar del 8 %</t>
        </is>
      </c>
      <c r="K921" t="inlineStr">
        <is>
          <t>Provision en la manana, antes del pagado: con el pronostico, sin provision el saldo bajaria del 8 % del cupo ese dia. Lleva el saldo de 54.682.373 a 411.000.000 COP (cupo 411.000.000). Equipo administrado por Sucursal. Sin tarifa TDV (administrado por la sucursal): costo 0 declarado.</t>
        </is>
      </c>
      <c r="L921" s="26" t="n">
        <v>411000000</v>
      </c>
      <c r="M921" s="26" t="n">
        <v>54682373</v>
      </c>
      <c r="N921" s="27">
        <f>IF(ISNUMBER(M921),M921/L921,"No aplica")</f>
        <v>0.13304713625304138</v>
      </c>
      <c r="O921" s="25">
        <f>IF(G921="provision",M921+H921,IF(G921="recoleccion",M921-H921,"No aplica"))</f>
        <v>411000000</v>
      </c>
      <c r="P921" s="26" t="n">
        <v>0</v>
      </c>
    </row>
    <row r="922">
      <c r="A922" t="inlineStr">
        <is>
          <t>PRAGMA</t>
        </is>
      </c>
      <c r="B922" t="inlineStr">
        <is>
          <t>M1</t>
        </is>
      </c>
      <c r="C922" t="inlineStr">
        <is>
          <t>Pasto</t>
        </is>
      </c>
      <c r="D922" t="inlineStr">
        <is>
          <t>7682</t>
        </is>
      </c>
      <c r="E922" t="inlineStr">
        <is>
          <t>TDV</t>
        </is>
      </c>
      <c r="F922" s="23" t="n">
        <v>46268</v>
      </c>
      <c r="G922" t="inlineStr">
        <is>
          <t>provision</t>
        </is>
      </c>
      <c r="H922" s="26" t="n">
        <v>352986401</v>
      </c>
      <c r="I922" t="inlineStr">
        <is>
          <t>bajo</t>
        </is>
      </c>
      <c r="J922" t="inlineStr">
        <is>
          <t>RN-11 y RN-34: provision hasta el cupo operativo antes de bajar del 8 %</t>
        </is>
      </c>
      <c r="K922" t="inlineStr">
        <is>
          <t>Provision en la manana, antes del pagado: con el pronostico, sin provision el saldo bajaria del 8 % del cupo ese dia. Lleva el saldo de 147.013.599 a 500.000.000 COP (cupo 500.000.000). Equipo administrado por TDV.</t>
        </is>
      </c>
      <c r="L922" s="26" t="n">
        <v>500000000</v>
      </c>
      <c r="M922" s="26" t="n">
        <v>147013599</v>
      </c>
      <c r="N922" s="27">
        <f>IF(ISNUMBER(M922),M922/L922,"No aplica")</f>
        <v>0.294027198</v>
      </c>
      <c r="O922" s="25">
        <f>IF(G922="provision",M922+H922,IF(G922="recoleccion",M922-H922,"No aplica"))</f>
        <v>500000000</v>
      </c>
      <c r="P922" s="26" t="n">
        <v>114395</v>
      </c>
    </row>
    <row r="923">
      <c r="A923" t="inlineStr">
        <is>
          <t>PRAGMA</t>
        </is>
      </c>
      <c r="B923" t="inlineStr">
        <is>
          <t>M1</t>
        </is>
      </c>
      <c r="C923" t="inlineStr">
        <is>
          <t>Pasto</t>
        </is>
      </c>
      <c r="D923" t="inlineStr">
        <is>
          <t>7682</t>
        </is>
      </c>
      <c r="E923" t="inlineStr">
        <is>
          <t>TDV</t>
        </is>
      </c>
      <c r="F923" s="23" t="n">
        <v>46271</v>
      </c>
      <c r="G923" t="inlineStr">
        <is>
          <t>provision</t>
        </is>
      </c>
      <c r="H923" s="26" t="n">
        <v>412369746</v>
      </c>
      <c r="I923" t="inlineStr">
        <is>
          <t>bajo</t>
        </is>
      </c>
      <c r="J923" t="inlineStr">
        <is>
          <t>RN-11 y RN-34: provision hasta el cupo operativo antes de bajar del 8 %</t>
        </is>
      </c>
      <c r="K923" t="inlineStr">
        <is>
          <t>Provision en la manana, antes del pagado: con el pronostico, sin provision el saldo bajaria del 8 % del cupo ese dia. Lleva el saldo de 87.630.254 a 500.000.000 COP (cupo 500.000.000). Equipo administrado por TDV.</t>
        </is>
      </c>
      <c r="L923" s="26" t="n">
        <v>500000000</v>
      </c>
      <c r="M923" s="26" t="n">
        <v>87630254</v>
      </c>
      <c r="N923" s="27">
        <f>IF(ISNUMBER(M923),M923/L923,"No aplica")</f>
        <v>0.175260508</v>
      </c>
      <c r="O923" s="25">
        <f>IF(G923="provision",M923+H923,IF(G923="recoleccion",M923-H923,"No aplica"))</f>
        <v>500000000</v>
      </c>
      <c r="P923" s="26" t="n">
        <v>177604</v>
      </c>
    </row>
    <row r="924">
      <c r="A924" t="inlineStr">
        <is>
          <t>PRAGMA</t>
        </is>
      </c>
      <c r="B924" t="inlineStr">
        <is>
          <t>M1</t>
        </is>
      </c>
      <c r="C924" t="inlineStr">
        <is>
          <t>Pasto</t>
        </is>
      </c>
      <c r="D924" t="inlineStr">
        <is>
          <t>7682</t>
        </is>
      </c>
      <c r="E924" t="inlineStr">
        <is>
          <t>TDV</t>
        </is>
      </c>
      <c r="F924" s="23" t="n">
        <v>46275</v>
      </c>
      <c r="G924" t="inlineStr">
        <is>
          <t>provision</t>
        </is>
      </c>
      <c r="H924" s="26" t="n">
        <v>430131031</v>
      </c>
      <c r="I924" t="inlineStr">
        <is>
          <t>bajo</t>
        </is>
      </c>
      <c r="J924" t="inlineStr">
        <is>
          <t>RN-11 y RN-34: provision hasta el cupo operativo antes de bajar del 8 %</t>
        </is>
      </c>
      <c r="K924" t="inlineStr">
        <is>
          <t>Provision en la manana, antes del pagado: con el pronostico, sin provision el saldo bajaria del 8 % del cupo ese dia. Lleva el saldo de 69.868.969 a 500.000.000 COP (cupo 500.000.000). Equipo administrado por TDV.</t>
        </is>
      </c>
      <c r="L924" s="26" t="n">
        <v>500000000</v>
      </c>
      <c r="M924" s="26" t="n">
        <v>69868969</v>
      </c>
      <c r="N924" s="27">
        <f>IF(ISNUMBER(M924),M924/L924,"No aplica")</f>
        <v>0.139737938</v>
      </c>
      <c r="O924" s="25">
        <f>IF(G924="provision",M924+H924,IF(G924="recoleccion",M924-H924,"No aplica"))</f>
        <v>500000000</v>
      </c>
      <c r="P924" s="26" t="n">
        <v>135996</v>
      </c>
    </row>
    <row r="925">
      <c r="A925" t="inlineStr">
        <is>
          <t>PRAGMA</t>
        </is>
      </c>
      <c r="B925" t="inlineStr">
        <is>
          <t>M1</t>
        </is>
      </c>
      <c r="C925" t="inlineStr">
        <is>
          <t>Pasto</t>
        </is>
      </c>
      <c r="D925" t="inlineStr">
        <is>
          <t>7682</t>
        </is>
      </c>
      <c r="E925" t="inlineStr">
        <is>
          <t>TDV</t>
        </is>
      </c>
      <c r="F925" s="23" t="n">
        <v>46279</v>
      </c>
      <c r="G925" t="inlineStr">
        <is>
          <t>provision</t>
        </is>
      </c>
      <c r="H925" s="26" t="n">
        <v>374271065</v>
      </c>
      <c r="I925" t="inlineStr">
        <is>
          <t>bajo</t>
        </is>
      </c>
      <c r="J925" t="inlineStr">
        <is>
          <t>RN-11 y RN-34: provision hasta el cupo operativo antes de bajar del 8 %</t>
        </is>
      </c>
      <c r="K925" t="inlineStr">
        <is>
          <t>Provision en la manana, antes del pagado: con el pronostico, sin provision el saldo bajaria del 8 % del cupo ese dia. Lleva el saldo de 125.728.935 a 500.000.000 COP (cupo 500.000.000). Equipo administrado por TDV.</t>
        </is>
      </c>
      <c r="L925" s="26" t="n">
        <v>500000000</v>
      </c>
      <c r="M925" s="26" t="n">
        <v>125728935</v>
      </c>
      <c r="N925" s="27">
        <f>IF(ISNUMBER(M925),M925/L925,"No aplica")</f>
        <v>0.25145787</v>
      </c>
      <c r="O925" s="25">
        <f>IF(G925="provision",M925+H925,IF(G925="recoleccion",M925-H925,"No aplica"))</f>
        <v>500000000</v>
      </c>
      <c r="P925" s="26" t="n">
        <v>120355</v>
      </c>
    </row>
    <row r="926">
      <c r="A926" t="inlineStr">
        <is>
          <t>PRAGMA</t>
        </is>
      </c>
      <c r="B926" t="inlineStr">
        <is>
          <t>M1</t>
        </is>
      </c>
      <c r="C926" t="inlineStr">
        <is>
          <t>Cali</t>
        </is>
      </c>
      <c r="D926" t="inlineStr">
        <is>
          <t>7720</t>
        </is>
      </c>
      <c r="E926" t="inlineStr">
        <is>
          <t>TDV</t>
        </is>
      </c>
      <c r="F926" s="23" t="n">
        <v>46274</v>
      </c>
      <c r="G926" t="inlineStr">
        <is>
          <t>provision</t>
        </is>
      </c>
      <c r="H926" s="26" t="n">
        <v>437974611</v>
      </c>
      <c r="I926" t="inlineStr">
        <is>
          <t>bajo</t>
        </is>
      </c>
      <c r="J926" t="inlineStr">
        <is>
          <t>RN-11 y RN-34: provision hasta el cupo operativo antes de bajar del 8 %</t>
        </is>
      </c>
      <c r="K926" t="inlineStr">
        <is>
          <t>Provision en la manana, antes del pagado: con el pronostico, sin provision el saldo bajaria del 8 % del cupo ese dia. Lleva el saldo de 62.025.389 a 500.000.000 COP (cupo 500.000.000). Equipo administrado por TDV.</t>
        </is>
      </c>
      <c r="L926" s="26" t="n">
        <v>500000000</v>
      </c>
      <c r="M926" s="26" t="n">
        <v>62025389</v>
      </c>
      <c r="N926" s="27">
        <f>IF(ISNUMBER(M926),M926/L926,"No aplica")</f>
        <v>0.124050778</v>
      </c>
      <c r="O926" s="25">
        <f>IF(G926="provision",M926+H926,IF(G926="recoleccion",M926-H926,"No aplica"))</f>
        <v>500000000</v>
      </c>
      <c r="P926" s="26" t="n">
        <v>212365</v>
      </c>
    </row>
    <row r="927">
      <c r="A927" t="inlineStr">
        <is>
          <t>PRAGMA</t>
        </is>
      </c>
      <c r="B927" t="inlineStr">
        <is>
          <t>M1</t>
        </is>
      </c>
      <c r="C927" t="inlineStr">
        <is>
          <t>Cali</t>
        </is>
      </c>
      <c r="D927" t="inlineStr">
        <is>
          <t>7757</t>
        </is>
      </c>
      <c r="E927" t="inlineStr">
        <is>
          <t>TDV</t>
        </is>
      </c>
      <c r="F927" s="23" t="n">
        <v>46266</v>
      </c>
      <c r="G927" t="inlineStr">
        <is>
          <t>sin_accion</t>
        </is>
      </c>
      <c r="H927" s="26" t="n">
        <v>0</v>
      </c>
      <c r="I927" t="inlineStr">
        <is>
          <t>bajo</t>
        </is>
      </c>
      <c r="J927" t="inlineStr">
        <is>
          <t>RN-02: una fila sin_accion</t>
        </is>
      </c>
      <c r="K927" t="inlineStr">
        <is>
          <t>Sin accion en el horizonte: con el pronostico, el saldo se mantiene entre el umbral de agotamiento y el cupo sin necesidad de provision ni recoleccion.</t>
        </is>
      </c>
      <c r="L927" s="26" t="n">
        <v>500000000</v>
      </c>
      <c r="M927" s="26" t="inlineStr">
        <is>
          <t>No aplica</t>
        </is>
      </c>
      <c r="N927" s="27" t="str">
        <f>IF(ISNUMBER(M927),M927/L927,"No aplica")</f>
        <v>No aplica</v>
      </c>
      <c r="O927" s="25" t="str">
        <f>IF(G927="provision",M927+H927,IF(G927="recoleccion",M927-H927,"No aplica"))</f>
        <v>No aplica</v>
      </c>
      <c r="P927" s="26" t="inlineStr">
        <is>
          <t>No aplica</t>
        </is>
      </c>
    </row>
    <row r="928">
      <c r="A928" t="inlineStr">
        <is>
          <t>PRAGMA</t>
        </is>
      </c>
      <c r="B928" t="inlineStr">
        <is>
          <t>M1</t>
        </is>
      </c>
      <c r="C928" t="inlineStr">
        <is>
          <t>Cali</t>
        </is>
      </c>
      <c r="D928" t="inlineStr">
        <is>
          <t>7758</t>
        </is>
      </c>
      <c r="E928" t="inlineStr">
        <is>
          <t>TDV</t>
        </is>
      </c>
      <c r="F928" s="23" t="n">
        <v>46266</v>
      </c>
      <c r="G928" t="inlineStr">
        <is>
          <t>sin_accion</t>
        </is>
      </c>
      <c r="H928" s="26" t="n">
        <v>0</v>
      </c>
      <c r="I928" t="inlineStr">
        <is>
          <t>bajo</t>
        </is>
      </c>
      <c r="J928" t="inlineStr">
        <is>
          <t>RN-02: una fila sin_accion</t>
        </is>
      </c>
      <c r="K928" t="inlineStr">
        <is>
          <t>Sin accion en el horizonte: con el pronostico, el saldo se mantiene entre el umbral de agotamiento y el cupo sin necesidad de provision ni recoleccion.</t>
        </is>
      </c>
      <c r="L928" s="26" t="n">
        <v>500000000</v>
      </c>
      <c r="M928" s="26" t="inlineStr">
        <is>
          <t>No aplica</t>
        </is>
      </c>
      <c r="N928" s="27" t="str">
        <f>IF(ISNUMBER(M928),M928/L928,"No aplica")</f>
        <v>No aplica</v>
      </c>
      <c r="O928" s="25" t="str">
        <f>IF(G928="provision",M928+H928,IF(G928="recoleccion",M928-H928,"No aplica"))</f>
        <v>No aplica</v>
      </c>
      <c r="P928" s="26" t="inlineStr">
        <is>
          <t>No aplica</t>
        </is>
      </c>
    </row>
    <row r="929">
      <c r="A929" t="inlineStr">
        <is>
          <t>PRAGMA</t>
        </is>
      </c>
      <c r="B929" t="inlineStr">
        <is>
          <t>M1</t>
        </is>
      </c>
      <c r="C929" t="inlineStr">
        <is>
          <t>Cali</t>
        </is>
      </c>
      <c r="D929" t="inlineStr">
        <is>
          <t>7759</t>
        </is>
      </c>
      <c r="E929" t="inlineStr">
        <is>
          <t>TDV</t>
        </is>
      </c>
      <c r="F929" s="23" t="n">
        <v>46266</v>
      </c>
      <c r="G929" t="inlineStr">
        <is>
          <t>sin_accion</t>
        </is>
      </c>
      <c r="H929" s="26" t="n">
        <v>0</v>
      </c>
      <c r="I929" t="inlineStr">
        <is>
          <t>bajo</t>
        </is>
      </c>
      <c r="J929" t="inlineStr">
        <is>
          <t>RN-02: una fila sin_accion</t>
        </is>
      </c>
      <c r="K929" t="inlineStr">
        <is>
          <t>Sin accion en el horizonte: con el pronostico, el saldo se mantiene entre el umbral de agotamiento y el cupo sin necesidad de provision ni recoleccion.</t>
        </is>
      </c>
      <c r="L929" s="26" t="n">
        <v>500000000</v>
      </c>
      <c r="M929" s="26" t="inlineStr">
        <is>
          <t>No aplica</t>
        </is>
      </c>
      <c r="N929" s="27" t="str">
        <f>IF(ISNUMBER(M929),M929/L929,"No aplica")</f>
        <v>No aplica</v>
      </c>
      <c r="O929" s="25" t="str">
        <f>IF(G929="provision",M929+H929,IF(G929="recoleccion",M929-H929,"No aplica"))</f>
        <v>No aplica</v>
      </c>
      <c r="P929" s="26" t="inlineStr">
        <is>
          <t>No aplica</t>
        </is>
      </c>
    </row>
    <row r="930">
      <c r="A930" t="inlineStr">
        <is>
          <t>PRAGMA</t>
        </is>
      </c>
      <c r="B930" t="inlineStr">
        <is>
          <t>M1</t>
        </is>
      </c>
      <c r="C930" t="inlineStr">
        <is>
          <t>Cali</t>
        </is>
      </c>
      <c r="D930" t="inlineStr">
        <is>
          <t>7784</t>
        </is>
      </c>
      <c r="E930" t="inlineStr">
        <is>
          <t>TDV</t>
        </is>
      </c>
      <c r="F930" s="23" t="n">
        <v>46266</v>
      </c>
      <c r="G930" t="inlineStr">
        <is>
          <t>sin_accion</t>
        </is>
      </c>
      <c r="H930" s="26" t="n">
        <v>0</v>
      </c>
      <c r="I930" t="inlineStr">
        <is>
          <t>bajo</t>
        </is>
      </c>
      <c r="J930" t="inlineStr">
        <is>
          <t>RN-02: una fila sin_accion</t>
        </is>
      </c>
      <c r="K930" t="inlineStr">
        <is>
          <t>Sin accion en el horizonte: con el pronostico, el saldo se mantiene entre el umbral de agotamiento y el cupo sin necesidad de provision ni recoleccion.</t>
        </is>
      </c>
      <c r="L930" s="26" t="n">
        <v>405000000</v>
      </c>
      <c r="M930" s="26" t="inlineStr">
        <is>
          <t>No aplica</t>
        </is>
      </c>
      <c r="N930" s="27" t="str">
        <f>IF(ISNUMBER(M930),M930/L930,"No aplica")</f>
        <v>No aplica</v>
      </c>
      <c r="O930" s="25" t="str">
        <f>IF(G930="provision",M930+H930,IF(G930="recoleccion",M930-H930,"No aplica"))</f>
        <v>No aplica</v>
      </c>
      <c r="P930" s="26" t="inlineStr">
        <is>
          <t>No aplica</t>
        </is>
      </c>
    </row>
    <row r="931">
      <c r="A931" t="inlineStr">
        <is>
          <t>PRAGMA</t>
        </is>
      </c>
      <c r="B931" t="inlineStr">
        <is>
          <t>M1</t>
        </is>
      </c>
      <c r="C931" t="inlineStr">
        <is>
          <t>Cali</t>
        </is>
      </c>
      <c r="D931" t="inlineStr">
        <is>
          <t>7833</t>
        </is>
      </c>
      <c r="E931" t="inlineStr">
        <is>
          <t>TDV</t>
        </is>
      </c>
      <c r="F931" s="23" t="n">
        <v>46269</v>
      </c>
      <c r="G931" t="inlineStr">
        <is>
          <t>provision</t>
        </is>
      </c>
      <c r="H931" s="26" t="n">
        <v>370286237</v>
      </c>
      <c r="I931" t="inlineStr">
        <is>
          <t>bajo</t>
        </is>
      </c>
      <c r="J931" t="inlineStr">
        <is>
          <t>RN-11 y RN-34: provision hasta el cupo operativo antes de bajar del 8 %</t>
        </is>
      </c>
      <c r="K931" t="inlineStr">
        <is>
          <t>Provision en la manana, antes del pagado: con el pronostico, sin provision el saldo bajaria del 8 % del cupo ese dia. Lleva el saldo de 129.713.763 a 500.000.000 COP (cupo 500.000.000). Equipo administrado por TDV.</t>
        </is>
      </c>
      <c r="L931" s="26" t="n">
        <v>500000000</v>
      </c>
      <c r="M931" s="26" t="n">
        <v>129713763</v>
      </c>
      <c r="N931" s="27">
        <f>IF(ISNUMBER(M931),M931/L931,"No aplica")</f>
        <v>0.259427526</v>
      </c>
      <c r="O931" s="25">
        <f>IF(G931="provision",M931+H931,IF(G931="recoleccion",M931-H931,"No aplica"))</f>
        <v>500000000</v>
      </c>
      <c r="P931" s="26" t="n">
        <v>136521</v>
      </c>
    </row>
    <row r="932">
      <c r="A932" t="inlineStr">
        <is>
          <t>PRAGMA</t>
        </is>
      </c>
      <c r="B932" t="inlineStr">
        <is>
          <t>M1</t>
        </is>
      </c>
      <c r="C932" t="inlineStr">
        <is>
          <t>Cali</t>
        </is>
      </c>
      <c r="D932" t="inlineStr">
        <is>
          <t>7833</t>
        </is>
      </c>
      <c r="E932" t="inlineStr">
        <is>
          <t>TDV</t>
        </is>
      </c>
      <c r="F932" s="23" t="n">
        <v>46273</v>
      </c>
      <c r="G932" t="inlineStr">
        <is>
          <t>provision</t>
        </is>
      </c>
      <c r="H932" s="26" t="n">
        <v>382217411</v>
      </c>
      <c r="I932" t="inlineStr">
        <is>
          <t>bajo</t>
        </is>
      </c>
      <c r="J932" t="inlineStr">
        <is>
          <t>RN-11 y RN-34: provision hasta el cupo operativo antes de bajar del 8 %</t>
        </is>
      </c>
      <c r="K932" t="inlineStr">
        <is>
          <t>Provision en la manana, antes del pagado: con el pronostico, sin provision el saldo bajaria del 8 % del cupo ese dia. Lleva el saldo de 117.782.589 a 500.000.000 COP (cupo 500.000.000). Equipo administrado por TDV.</t>
        </is>
      </c>
      <c r="L932" s="26" t="n">
        <v>500000000</v>
      </c>
      <c r="M932" s="26" t="n">
        <v>117782589</v>
      </c>
      <c r="N932" s="27">
        <f>IF(ISNUMBER(M932),M932/L932,"No aplica")</f>
        <v>0.235565178</v>
      </c>
      <c r="O932" s="25">
        <f>IF(G932="provision",M932+H932,IF(G932="recoleccion",M932-H932,"No aplica"))</f>
        <v>500000000</v>
      </c>
      <c r="P932" s="26" t="n">
        <v>140375</v>
      </c>
    </row>
    <row r="933">
      <c r="A933" t="inlineStr">
        <is>
          <t>PRAGMA</t>
        </is>
      </c>
      <c r="B933" t="inlineStr">
        <is>
          <t>M1</t>
        </is>
      </c>
      <c r="C933" t="inlineStr">
        <is>
          <t>Cali</t>
        </is>
      </c>
      <c r="D933" t="inlineStr">
        <is>
          <t>7833</t>
        </is>
      </c>
      <c r="E933" t="inlineStr">
        <is>
          <t>TDV</t>
        </is>
      </c>
      <c r="F933" s="23" t="n">
        <v>46279</v>
      </c>
      <c r="G933" t="inlineStr">
        <is>
          <t>provision</t>
        </is>
      </c>
      <c r="H933" s="26" t="n">
        <v>449982974</v>
      </c>
      <c r="I933" t="inlineStr">
        <is>
          <t>bajo</t>
        </is>
      </c>
      <c r="J933" t="inlineStr">
        <is>
          <t>RN-11 y RN-34: provision hasta el cupo operativo antes de bajar del 8 %</t>
        </is>
      </c>
      <c r="K933" t="inlineStr">
        <is>
          <t>Provision en la manana, antes del pagado: con el pronostico, sin provision el saldo bajaria del 8 % del cupo ese dia. Lleva el saldo de 50.017.026 a 500.000.000 COP (cupo 500.000.000). Equipo administrado por TDV.</t>
        </is>
      </c>
      <c r="L933" s="26" t="n">
        <v>500000000</v>
      </c>
      <c r="M933" s="26" t="n">
        <v>50017026</v>
      </c>
      <c r="N933" s="27">
        <f>IF(ISNUMBER(M933),M933/L933,"No aplica")</f>
        <v>0.100034052</v>
      </c>
      <c r="O933" s="25">
        <f>IF(G933="provision",M933+H933,IF(G933="recoleccion",M933-H933,"No aplica"))</f>
        <v>500000000</v>
      </c>
      <c r="P933" s="26" t="n">
        <v>162264</v>
      </c>
    </row>
    <row r="934">
      <c r="A934" t="inlineStr">
        <is>
          <t>PRAGMA</t>
        </is>
      </c>
      <c r="B934" t="inlineStr">
        <is>
          <t>M1</t>
        </is>
      </c>
      <c r="C934" t="inlineStr">
        <is>
          <t>Cali</t>
        </is>
      </c>
      <c r="D934" t="inlineStr">
        <is>
          <t>786</t>
        </is>
      </c>
      <c r="E934" t="inlineStr">
        <is>
          <t>Sucursal</t>
        </is>
      </c>
      <c r="F934" s="23" t="n">
        <v>46269</v>
      </c>
      <c r="G934" t="inlineStr">
        <is>
          <t>provision</t>
        </is>
      </c>
      <c r="H934" s="26" t="n">
        <v>322602913</v>
      </c>
      <c r="I934" t="inlineStr">
        <is>
          <t>bajo</t>
        </is>
      </c>
      <c r="J934" t="inlineStr">
        <is>
          <t>RN-11 y RN-34: provision hasta el cupo operativo antes de bajar del 8 %</t>
        </is>
      </c>
      <c r="K934" t="inlineStr">
        <is>
          <t>Provision en la manana, antes del pagado: con el pronostico, sin provision el saldo bajaria del 8 % del cupo ese dia. Lleva el saldo de 88.397.087 a 411.000.000 COP (cupo 411.000.000). Equipo administrado por Sucursal. Sin tarifa TDV (administrado por la sucursal): costo 0 declarado.</t>
        </is>
      </c>
      <c r="L934" s="26" t="n">
        <v>411000000</v>
      </c>
      <c r="M934" s="26" t="n">
        <v>88397087</v>
      </c>
      <c r="N934" s="27">
        <f>IF(ISNUMBER(M934),M934/L934,"No aplica")</f>
        <v>0.2150780705596107</v>
      </c>
      <c r="O934" s="25">
        <f>IF(G934="provision",M934+H934,IF(G934="recoleccion",M934-H934,"No aplica"))</f>
        <v>411000000</v>
      </c>
      <c r="P934" s="26" t="n">
        <v>0</v>
      </c>
    </row>
    <row r="935">
      <c r="A935" t="inlineStr">
        <is>
          <t>PRAGMA</t>
        </is>
      </c>
      <c r="B935" t="inlineStr">
        <is>
          <t>M1</t>
        </is>
      </c>
      <c r="C935" t="inlineStr">
        <is>
          <t>Cali</t>
        </is>
      </c>
      <c r="D935" t="inlineStr">
        <is>
          <t>786</t>
        </is>
      </c>
      <c r="E935" t="inlineStr">
        <is>
          <t>Sucursal</t>
        </is>
      </c>
      <c r="F935" s="23" t="n">
        <v>46274</v>
      </c>
      <c r="G935" t="inlineStr">
        <is>
          <t>provision</t>
        </is>
      </c>
      <c r="H935" s="26" t="n">
        <v>329032359</v>
      </c>
      <c r="I935" t="inlineStr">
        <is>
          <t>bajo</t>
        </is>
      </c>
      <c r="J935" t="inlineStr">
        <is>
          <t>RN-11 y RN-34: provision hasta el cupo operativo antes de bajar del 8 %</t>
        </is>
      </c>
      <c r="K935" t="inlineStr">
        <is>
          <t>Provision en la manana, antes del pagado: con el pronostico, sin provision el saldo bajaria del 8 % del cupo ese dia. Lleva el saldo de 81.967.641 a 411.000.000 COP (cupo 411.000.000). Equipo administrado por Sucursal. Sin tarifa TDV (administrado por la sucursal): costo 0 declarado.</t>
        </is>
      </c>
      <c r="L935" s="26" t="n">
        <v>411000000</v>
      </c>
      <c r="M935" s="26" t="n">
        <v>81967641</v>
      </c>
      <c r="N935" s="27">
        <f>IF(ISNUMBER(M935),M935/L935,"No aplica")</f>
        <v>0.1994346496350365</v>
      </c>
      <c r="O935" s="25">
        <f>IF(G935="provision",M935+H935,IF(G935="recoleccion",M935-H935,"No aplica"))</f>
        <v>411000000</v>
      </c>
      <c r="P935" s="26" t="n">
        <v>0</v>
      </c>
    </row>
    <row r="936">
      <c r="A936" t="inlineStr">
        <is>
          <t>PRAGMA</t>
        </is>
      </c>
      <c r="B936" t="inlineStr">
        <is>
          <t>M1</t>
        </is>
      </c>
      <c r="C936" t="inlineStr">
        <is>
          <t>Cali</t>
        </is>
      </c>
      <c r="D936" t="inlineStr">
        <is>
          <t>786</t>
        </is>
      </c>
      <c r="E936" t="inlineStr">
        <is>
          <t>Sucursal</t>
        </is>
      </c>
      <c r="F936" s="23" t="n">
        <v>46280</v>
      </c>
      <c r="G936" t="inlineStr">
        <is>
          <t>provision</t>
        </is>
      </c>
      <c r="H936" s="26" t="n">
        <v>354743729</v>
      </c>
      <c r="I936" t="inlineStr">
        <is>
          <t>bajo</t>
        </is>
      </c>
      <c r="J936" t="inlineStr">
        <is>
          <t>RN-11 y RN-34: provision hasta el cupo operativo antes de bajar del 8 %</t>
        </is>
      </c>
      <c r="K936" t="inlineStr">
        <is>
          <t>Provision en la manana, antes del pagado: con el pronostico, sin provision el saldo bajaria del 8 % del cupo ese dia. Lleva el saldo de 56.256.271 a 411.000.000 COP (cupo 411.000.000). Equipo administrado por Sucursal. Sin tarifa TDV (administrado por la sucursal): costo 0 declarado.</t>
        </is>
      </c>
      <c r="L936" s="26" t="n">
        <v>411000000</v>
      </c>
      <c r="M936" s="26" t="n">
        <v>56256271</v>
      </c>
      <c r="N936" s="27">
        <f>IF(ISNUMBER(M936),M936/L936,"No aplica")</f>
        <v>0.13687657177615573</v>
      </c>
      <c r="O936" s="25">
        <f>IF(G936="provision",M936+H936,IF(G936="recoleccion",M936-H936,"No aplica"))</f>
        <v>411000000</v>
      </c>
      <c r="P936" s="26" t="n">
        <v>0</v>
      </c>
    </row>
    <row r="937">
      <c r="A937" t="inlineStr">
        <is>
          <t>PRAGMA</t>
        </is>
      </c>
      <c r="B937" t="inlineStr">
        <is>
          <t>M1</t>
        </is>
      </c>
      <c r="C937" t="inlineStr">
        <is>
          <t>Cali</t>
        </is>
      </c>
      <c r="D937" t="inlineStr">
        <is>
          <t>7860</t>
        </is>
      </c>
      <c r="E937" t="inlineStr">
        <is>
          <t>TDV</t>
        </is>
      </c>
      <c r="F937" s="23" t="n">
        <v>46269</v>
      </c>
      <c r="G937" t="inlineStr">
        <is>
          <t>provision</t>
        </is>
      </c>
      <c r="H937" s="26" t="n">
        <v>349603811</v>
      </c>
      <c r="I937" t="inlineStr">
        <is>
          <t>bajo</t>
        </is>
      </c>
      <c r="J937" t="inlineStr">
        <is>
          <t>RN-11 y RN-34: provision hasta el cupo operativo antes de bajar del 8 %</t>
        </is>
      </c>
      <c r="K937" t="inlineStr">
        <is>
          <t>Provision en la manana, antes del pagado: con el pronostico, sin provision el saldo bajaria del 8 % del cupo ese dia. Lleva el saldo de 55.396.189 a 405.000.000 COP (cupo 405.000.000). Equipo administrado por TDV.</t>
        </is>
      </c>
      <c r="L937" s="26" t="n">
        <v>405000000</v>
      </c>
      <c r="M937" s="26" t="n">
        <v>55396189</v>
      </c>
      <c r="N937" s="27">
        <f>IF(ISNUMBER(M937),M937/L937,"No aplica")</f>
        <v>0.1367807135802469</v>
      </c>
      <c r="O937" s="25">
        <f>IF(G937="provision",M937+H937,IF(G937="recoleccion",M937-H937,"No aplica"))</f>
        <v>405000000</v>
      </c>
      <c r="P937" s="26" t="n">
        <v>148757</v>
      </c>
    </row>
    <row r="938">
      <c r="A938" t="inlineStr">
        <is>
          <t>PRAGMA</t>
        </is>
      </c>
      <c r="B938" t="inlineStr">
        <is>
          <t>M1</t>
        </is>
      </c>
      <c r="C938" t="inlineStr">
        <is>
          <t>Cali</t>
        </is>
      </c>
      <c r="D938" t="inlineStr">
        <is>
          <t>7860</t>
        </is>
      </c>
      <c r="E938" t="inlineStr">
        <is>
          <t>TDV</t>
        </is>
      </c>
      <c r="F938" s="23" t="n">
        <v>46274</v>
      </c>
      <c r="G938" t="inlineStr">
        <is>
          <t>provision</t>
        </is>
      </c>
      <c r="H938" s="26" t="n">
        <v>326918575</v>
      </c>
      <c r="I938" t="inlineStr">
        <is>
          <t>bajo</t>
        </is>
      </c>
      <c r="J938" t="inlineStr">
        <is>
          <t>RN-11 y RN-34: provision hasta el cupo operativo antes de bajar del 8 %</t>
        </is>
      </c>
      <c r="K938" t="inlineStr">
        <is>
          <t>Provision en la manana, antes del pagado: con el pronostico, sin provision el saldo bajaria del 8 % del cupo ese dia. Lleva el saldo de 78.081.425 a 405.000.000 COP (cupo 405.000.000). Equipo administrado por TDV.</t>
        </is>
      </c>
      <c r="L938" s="26" t="n">
        <v>405000000</v>
      </c>
      <c r="M938" s="26" t="n">
        <v>78081425</v>
      </c>
      <c r="N938" s="27">
        <f>IF(ISNUMBER(M938),M938/L938,"No aplica")</f>
        <v>0.19279364197530865</v>
      </c>
      <c r="O938" s="25">
        <f>IF(G938="provision",M938+H938,IF(G938="recoleccion",M938-H938,"No aplica"))</f>
        <v>405000000</v>
      </c>
      <c r="P938" s="26" t="n">
        <v>140636</v>
      </c>
    </row>
    <row r="939">
      <c r="A939" t="inlineStr">
        <is>
          <t>PRAGMA</t>
        </is>
      </c>
      <c r="B939" t="inlineStr">
        <is>
          <t>M1</t>
        </is>
      </c>
      <c r="C939" t="inlineStr">
        <is>
          <t>Cali</t>
        </is>
      </c>
      <c r="D939" t="inlineStr">
        <is>
          <t>7860</t>
        </is>
      </c>
      <c r="E939" t="inlineStr">
        <is>
          <t>TDV</t>
        </is>
      </c>
      <c r="F939" s="23" t="n">
        <v>46280</v>
      </c>
      <c r="G939" t="inlineStr">
        <is>
          <t>provision</t>
        </is>
      </c>
      <c r="H939" s="26" t="n">
        <v>364269871</v>
      </c>
      <c r="I939" t="inlineStr">
        <is>
          <t>bajo</t>
        </is>
      </c>
      <c r="J939" t="inlineStr">
        <is>
          <t>RN-11 y RN-34: provision hasta el cupo operativo antes de bajar del 8 %</t>
        </is>
      </c>
      <c r="K939" t="inlineStr">
        <is>
          <t>Provision en la manana, antes del pagado: con el pronostico, sin provision el saldo bajaria del 8 % del cupo ese dia. Lleva el saldo de 40.730.129 a 405.000.000 COP (cupo 405.000.000). Equipo administrado por TDV.</t>
        </is>
      </c>
      <c r="L939" s="26" t="n">
        <v>405000000</v>
      </c>
      <c r="M939" s="26" t="n">
        <v>40730129</v>
      </c>
      <c r="N939" s="27">
        <f>IF(ISNUMBER(M939),M939/L939,"No aplica")</f>
        <v>0.10056821975308641</v>
      </c>
      <c r="O939" s="25">
        <f>IF(G939="provision",M939+H939,IF(G939="recoleccion",M939-H939,"No aplica"))</f>
        <v>405000000</v>
      </c>
      <c r="P939" s="26" t="n">
        <v>154008</v>
      </c>
    </row>
    <row r="940">
      <c r="A940" t="inlineStr">
        <is>
          <t>PRAGMA</t>
        </is>
      </c>
      <c r="B940" t="inlineStr">
        <is>
          <t>M1</t>
        </is>
      </c>
      <c r="C940" t="inlineStr">
        <is>
          <t>Cali</t>
        </is>
      </c>
      <c r="D940" t="inlineStr">
        <is>
          <t>787</t>
        </is>
      </c>
      <c r="E940" t="inlineStr">
        <is>
          <t>Sucursal</t>
        </is>
      </c>
      <c r="F940" s="23" t="n">
        <v>46269</v>
      </c>
      <c r="G940" t="inlineStr">
        <is>
          <t>provision</t>
        </is>
      </c>
      <c r="H940" s="26" t="n">
        <v>341327117</v>
      </c>
      <c r="I940" t="inlineStr">
        <is>
          <t>bajo</t>
        </is>
      </c>
      <c r="J940" t="inlineStr">
        <is>
          <t>RN-11 y RN-34: provision hasta el cupo operativo antes de bajar del 8 %</t>
        </is>
      </c>
      <c r="K940" t="inlineStr">
        <is>
          <t>Provision en la manana, antes del pagado: con el pronostico, sin provision el saldo bajaria del 8 % del cupo ese dia. Lleva el saldo de 69.672.883 a 411.000.000 COP (cupo 411.000.000). Equipo administrado por Sucursal. Sin tarifa TDV (administrado por la sucursal): costo 0 declarado.</t>
        </is>
      </c>
      <c r="L940" s="26" t="n">
        <v>411000000</v>
      </c>
      <c r="M940" s="26" t="n">
        <v>69672883</v>
      </c>
      <c r="N940" s="27">
        <f>IF(ISNUMBER(M940),M940/L940,"No aplica")</f>
        <v>0.16952039659367396</v>
      </c>
      <c r="O940" s="25">
        <f>IF(G940="provision",M940+H940,IF(G940="recoleccion",M940-H940,"No aplica"))</f>
        <v>411000000</v>
      </c>
      <c r="P940" s="26" t="n">
        <v>0</v>
      </c>
    </row>
    <row r="941">
      <c r="A941" t="inlineStr">
        <is>
          <t>PRAGMA</t>
        </is>
      </c>
      <c r="B941" t="inlineStr">
        <is>
          <t>M1</t>
        </is>
      </c>
      <c r="C941" t="inlineStr">
        <is>
          <t>Cali</t>
        </is>
      </c>
      <c r="D941" t="inlineStr">
        <is>
          <t>787</t>
        </is>
      </c>
      <c r="E941" t="inlineStr">
        <is>
          <t>Sucursal</t>
        </is>
      </c>
      <c r="F941" s="23" t="n">
        <v>46274</v>
      </c>
      <c r="G941" t="inlineStr">
        <is>
          <t>provision</t>
        </is>
      </c>
      <c r="H941" s="26" t="n">
        <v>354318769</v>
      </c>
      <c r="I941" t="inlineStr">
        <is>
          <t>bajo</t>
        </is>
      </c>
      <c r="J941" t="inlineStr">
        <is>
          <t>RN-11 y RN-34: provision hasta el cupo operativo antes de bajar del 8 %</t>
        </is>
      </c>
      <c r="K941" t="inlineStr">
        <is>
          <t>Provision en la manana, antes del pagado: con el pronostico, sin provision el saldo bajaria del 8 % del cupo ese dia. Lleva el saldo de 56.681.231 a 411.000.000 COP (cupo 411.000.000). Equipo administrado por Sucursal. Sin tarifa TDV (administrado por la sucursal): costo 0 declarado.</t>
        </is>
      </c>
      <c r="L941" s="26" t="n">
        <v>411000000</v>
      </c>
      <c r="M941" s="26" t="n">
        <v>56681231</v>
      </c>
      <c r="N941" s="27">
        <f>IF(ISNUMBER(M941),M941/L941,"No aplica")</f>
        <v>0.13791053771289538</v>
      </c>
      <c r="O941" s="25">
        <f>IF(G941="provision",M941+H941,IF(G941="recoleccion",M941-H941,"No aplica"))</f>
        <v>411000000</v>
      </c>
      <c r="P941" s="26" t="n">
        <v>0</v>
      </c>
    </row>
    <row r="942">
      <c r="A942" t="inlineStr">
        <is>
          <t>PRAGMA</t>
        </is>
      </c>
      <c r="B942" t="inlineStr">
        <is>
          <t>M1</t>
        </is>
      </c>
      <c r="C942" t="inlineStr">
        <is>
          <t>Cali</t>
        </is>
      </c>
      <c r="D942" t="inlineStr">
        <is>
          <t>787</t>
        </is>
      </c>
      <c r="E942" t="inlineStr">
        <is>
          <t>Sucursal</t>
        </is>
      </c>
      <c r="F942" s="23" t="n">
        <v>46280</v>
      </c>
      <c r="G942" t="inlineStr">
        <is>
          <t>provision</t>
        </is>
      </c>
      <c r="H942" s="26" t="n">
        <v>348990465</v>
      </c>
      <c r="I942" t="inlineStr">
        <is>
          <t>bajo</t>
        </is>
      </c>
      <c r="J942" t="inlineStr">
        <is>
          <t>RN-11 y RN-34: provision hasta el cupo operativo antes de bajar del 8 %</t>
        </is>
      </c>
      <c r="K942" t="inlineStr">
        <is>
          <t>Provision en la manana, antes del pagado: con el pronostico, sin provision el saldo bajaria del 8 % del cupo ese dia. Lleva el saldo de 62.009.535 a 411.000.000 COP (cupo 411.000.000). Equipo administrado por Sucursal. Sin tarifa TDV (administrado por la sucursal): costo 0 declarado.</t>
        </is>
      </c>
      <c r="L942" s="26" t="n">
        <v>411000000</v>
      </c>
      <c r="M942" s="26" t="n">
        <v>62009535</v>
      </c>
      <c r="N942" s="27">
        <f>IF(ISNUMBER(M942),M942/L942,"No aplica")</f>
        <v>0.1508747810218978</v>
      </c>
      <c r="O942" s="25">
        <f>IF(G942="provision",M942+H942,IF(G942="recoleccion",M942-H942,"No aplica"))</f>
        <v>411000000</v>
      </c>
      <c r="P942" s="26" t="n">
        <v>0</v>
      </c>
    </row>
    <row r="943">
      <c r="A943" t="inlineStr">
        <is>
          <t>PRAGMA</t>
        </is>
      </c>
      <c r="B943" t="inlineStr">
        <is>
          <t>M1</t>
        </is>
      </c>
      <c r="C943" t="inlineStr">
        <is>
          <t>Cali</t>
        </is>
      </c>
      <c r="D943" t="inlineStr">
        <is>
          <t>788</t>
        </is>
      </c>
      <c r="E943" t="inlineStr">
        <is>
          <t>Sucursal</t>
        </is>
      </c>
      <c r="F943" s="23" t="n">
        <v>46269</v>
      </c>
      <c r="G943" t="inlineStr">
        <is>
          <t>provision</t>
        </is>
      </c>
      <c r="H943" s="26" t="n">
        <v>301128028</v>
      </c>
      <c r="I943" t="inlineStr">
        <is>
          <t>bajo</t>
        </is>
      </c>
      <c r="J943" t="inlineStr">
        <is>
          <t>RN-11 y RN-34: provision hasta el cupo operativo antes de bajar del 8 %</t>
        </is>
      </c>
      <c r="K943" t="inlineStr">
        <is>
          <t>Provision en la manana, antes del pagado: con el pronostico, sin provision el saldo bajaria del 8 % del cupo ese dia. Lleva el saldo de 109.871.972 a 411.000.000 COP (cupo 411.000.000). Equipo administrado por Sucursal. Sin tarifa TDV (administrado por la sucursal): costo 0 declarado.</t>
        </is>
      </c>
      <c r="L943" s="26" t="n">
        <v>411000000</v>
      </c>
      <c r="M943" s="26" t="n">
        <v>109871972</v>
      </c>
      <c r="N943" s="27">
        <f>IF(ISNUMBER(M943),M943/L943,"No aplica")</f>
        <v>0.267328399026764</v>
      </c>
      <c r="O943" s="25">
        <f>IF(G943="provision",M943+H943,IF(G943="recoleccion",M943-H943,"No aplica"))</f>
        <v>411000000</v>
      </c>
      <c r="P943" s="26" t="n">
        <v>0</v>
      </c>
    </row>
    <row r="944">
      <c r="A944" t="inlineStr">
        <is>
          <t>PRAGMA</t>
        </is>
      </c>
      <c r="B944" t="inlineStr">
        <is>
          <t>M1</t>
        </is>
      </c>
      <c r="C944" t="inlineStr">
        <is>
          <t>Cali</t>
        </is>
      </c>
      <c r="D944" t="inlineStr">
        <is>
          <t>788</t>
        </is>
      </c>
      <c r="E944" t="inlineStr">
        <is>
          <t>Sucursal</t>
        </is>
      </c>
      <c r="F944" s="23" t="n">
        <v>46274</v>
      </c>
      <c r="G944" t="inlineStr">
        <is>
          <t>provision</t>
        </is>
      </c>
      <c r="H944" s="26" t="n">
        <v>315644078</v>
      </c>
      <c r="I944" t="inlineStr">
        <is>
          <t>bajo</t>
        </is>
      </c>
      <c r="J944" t="inlineStr">
        <is>
          <t>RN-11 y RN-34: provision hasta el cupo operativo antes de bajar del 8 %</t>
        </is>
      </c>
      <c r="K944" t="inlineStr">
        <is>
          <t>Provision en la manana, antes del pagado: con el pronostico, sin provision el saldo bajaria del 8 % del cupo ese dia. Lleva el saldo de 95.355.922 a 411.000.000 COP (cupo 411.000.000). Equipo administrado por Sucursal. Sin tarifa TDV (administrado por la sucursal): costo 0 declarado.</t>
        </is>
      </c>
      <c r="L944" s="26" t="n">
        <v>411000000</v>
      </c>
      <c r="M944" s="26" t="n">
        <v>95355922</v>
      </c>
      <c r="N944" s="27">
        <f>IF(ISNUMBER(M944),M944/L944,"No aplica")</f>
        <v>0.23200954257907544</v>
      </c>
      <c r="O944" s="25">
        <f>IF(G944="provision",M944+H944,IF(G944="recoleccion",M944-H944,"No aplica"))</f>
        <v>411000000</v>
      </c>
      <c r="P944" s="26" t="n">
        <v>0</v>
      </c>
    </row>
    <row r="945">
      <c r="A945" t="inlineStr">
        <is>
          <t>PRAGMA</t>
        </is>
      </c>
      <c r="B945" t="inlineStr">
        <is>
          <t>M1</t>
        </is>
      </c>
      <c r="C945" t="inlineStr">
        <is>
          <t>Cali</t>
        </is>
      </c>
      <c r="D945" t="inlineStr">
        <is>
          <t>788</t>
        </is>
      </c>
      <c r="E945" t="inlineStr">
        <is>
          <t>Sucursal</t>
        </is>
      </c>
      <c r="F945" s="23" t="n">
        <v>46280</v>
      </c>
      <c r="G945" t="inlineStr">
        <is>
          <t>provision</t>
        </is>
      </c>
      <c r="H945" s="26" t="n">
        <v>313941644</v>
      </c>
      <c r="I945" t="inlineStr">
        <is>
          <t>bajo</t>
        </is>
      </c>
      <c r="J945" t="inlineStr">
        <is>
          <t>RN-11 y RN-34: provision hasta el cupo operativo antes de bajar del 8 %</t>
        </is>
      </c>
      <c r="K945" t="inlineStr">
        <is>
          <t>Provision en la manana, antes del pagado: con el pronostico, sin provision el saldo bajaria del 8 % del cupo ese dia. Lleva el saldo de 97.058.356 a 411.000.000 COP (cupo 411.000.000). Equipo administrado por Sucursal. Sin tarifa TDV (administrado por la sucursal): costo 0 declarado.</t>
        </is>
      </c>
      <c r="L945" s="26" t="n">
        <v>411000000</v>
      </c>
      <c r="M945" s="26" t="n">
        <v>97058356</v>
      </c>
      <c r="N945" s="27">
        <f>IF(ISNUMBER(M945),M945/L945,"No aplica")</f>
        <v>0.2361517177615572</v>
      </c>
      <c r="O945" s="25">
        <f>IF(G945="provision",M945+H945,IF(G945="recoleccion",M945-H945,"No aplica"))</f>
        <v>411000000</v>
      </c>
      <c r="P945" s="26" t="n">
        <v>0</v>
      </c>
    </row>
    <row r="946">
      <c r="A946" t="inlineStr">
        <is>
          <t>PRAGMA</t>
        </is>
      </c>
      <c r="B946" t="inlineStr">
        <is>
          <t>M1</t>
        </is>
      </c>
      <c r="C946" t="inlineStr">
        <is>
          <t>Cali</t>
        </is>
      </c>
      <c r="D946" t="inlineStr">
        <is>
          <t>7901</t>
        </is>
      </c>
      <c r="E946" t="inlineStr">
        <is>
          <t>TDV</t>
        </is>
      </c>
      <c r="F946" s="23" t="n">
        <v>46266</v>
      </c>
      <c r="G946" t="inlineStr">
        <is>
          <t>sin_accion</t>
        </is>
      </c>
      <c r="H946" s="26" t="n">
        <v>0</v>
      </c>
      <c r="I946" t="inlineStr">
        <is>
          <t>bajo</t>
        </is>
      </c>
      <c r="J946" t="inlineStr">
        <is>
          <t>RN-02: una fila sin_accion</t>
        </is>
      </c>
      <c r="K946" t="inlineStr">
        <is>
          <t>Sin accion en el horizonte: con el pronostico, el saldo se mantiene entre el umbral de agotamiento y el cupo sin necesidad de provision ni recoleccion.</t>
        </is>
      </c>
      <c r="L946" s="26" t="n">
        <v>405000000</v>
      </c>
      <c r="M946" s="26" t="inlineStr">
        <is>
          <t>No aplica</t>
        </is>
      </c>
      <c r="N946" s="27" t="str">
        <f>IF(ISNUMBER(M946),M946/L946,"No aplica")</f>
        <v>No aplica</v>
      </c>
      <c r="O946" s="25" t="str">
        <f>IF(G946="provision",M946+H946,IF(G946="recoleccion",M946-H946,"No aplica"))</f>
        <v>No aplica</v>
      </c>
      <c r="P946" s="26" t="inlineStr">
        <is>
          <t>No aplica</t>
        </is>
      </c>
    </row>
    <row r="947">
      <c r="A947" t="inlineStr">
        <is>
          <t>PRAGMA</t>
        </is>
      </c>
      <c r="B947" t="inlineStr">
        <is>
          <t>M1</t>
        </is>
      </c>
      <c r="C947" t="inlineStr">
        <is>
          <t>Cali</t>
        </is>
      </c>
      <c r="D947" t="inlineStr">
        <is>
          <t>7902</t>
        </is>
      </c>
      <c r="E947" t="inlineStr">
        <is>
          <t>TDV</t>
        </is>
      </c>
      <c r="F947" s="23" t="n">
        <v>46271</v>
      </c>
      <c r="G947" t="inlineStr">
        <is>
          <t>provision</t>
        </is>
      </c>
      <c r="H947" s="26" t="n">
        <v>364117284</v>
      </c>
      <c r="I947" t="inlineStr">
        <is>
          <t>bajo</t>
        </is>
      </c>
      <c r="J947" t="inlineStr">
        <is>
          <t>RN-11 y RN-34: provision hasta el cupo operativo antes de bajar del 8 %</t>
        </is>
      </c>
      <c r="K947" t="inlineStr">
        <is>
          <t>Provision en la manana, antes del pagado: con el pronostico, sin provision el saldo bajaria del 8 % del cupo ese dia. Lleva el saldo de 40.882.716 a 405.000.000 COP (cupo 405.000.000). Equipo administrado por TDV.</t>
        </is>
      </c>
      <c r="L947" s="26" t="n">
        <v>405000000</v>
      </c>
      <c r="M947" s="26" t="n">
        <v>40882716</v>
      </c>
      <c r="N947" s="27">
        <f>IF(ISNUMBER(M947),M947/L947,"No aplica")</f>
        <v>0.10094497777777778</v>
      </c>
      <c r="O947" s="25">
        <f>IF(G947="provision",M947+H947,IF(G947="recoleccion",M947-H947,"No aplica"))</f>
        <v>405000000</v>
      </c>
      <c r="P947" s="26" t="n">
        <v>206153</v>
      </c>
    </row>
    <row r="948">
      <c r="A948" t="inlineStr">
        <is>
          <t>PRAGMA</t>
        </is>
      </c>
      <c r="B948" t="inlineStr">
        <is>
          <t>M1</t>
        </is>
      </c>
      <c r="C948" t="inlineStr">
        <is>
          <t>Cali</t>
        </is>
      </c>
      <c r="D948" t="inlineStr">
        <is>
          <t>7902</t>
        </is>
      </c>
      <c r="E948" t="inlineStr">
        <is>
          <t>TDV</t>
        </is>
      </c>
      <c r="F948" s="23" t="n">
        <v>46279</v>
      </c>
      <c r="G948" t="inlineStr">
        <is>
          <t>provision</t>
        </is>
      </c>
      <c r="H948" s="26" t="n">
        <v>348580793</v>
      </c>
      <c r="I948" t="inlineStr">
        <is>
          <t>bajo</t>
        </is>
      </c>
      <c r="J948" t="inlineStr">
        <is>
          <t>RN-11 y RN-34: provision hasta el cupo operativo antes de bajar del 8 %</t>
        </is>
      </c>
      <c r="K948" t="inlineStr">
        <is>
          <t>Provision en la manana, antes del pagado: con el pronostico, sin provision el saldo bajaria del 8 % del cupo ese dia. Lleva el saldo de 56.419.207 a 405.000.000 COP (cupo 405.000.000). Equipo administrado por TDV.</t>
        </is>
      </c>
      <c r="L948" s="26" t="n">
        <v>405000000</v>
      </c>
      <c r="M948" s="26" t="n">
        <v>56419207</v>
      </c>
      <c r="N948" s="27">
        <f>IF(ISNUMBER(M948),M948/L948,"No aplica")</f>
        <v>0.1393066839506173</v>
      </c>
      <c r="O948" s="25">
        <f>IF(G948="provision",M948+H948,IF(G948="recoleccion",M948-H948,"No aplica"))</f>
        <v>405000000</v>
      </c>
      <c r="P948" s="26" t="n">
        <v>153552</v>
      </c>
    </row>
    <row r="949">
      <c r="A949" t="inlineStr">
        <is>
          <t>PRAGMA</t>
        </is>
      </c>
      <c r="B949" t="inlineStr">
        <is>
          <t>M1</t>
        </is>
      </c>
      <c r="C949" t="inlineStr">
        <is>
          <t>Cali</t>
        </is>
      </c>
      <c r="D949" t="inlineStr">
        <is>
          <t>791</t>
        </is>
      </c>
      <c r="E949" t="inlineStr">
        <is>
          <t>TDV</t>
        </is>
      </c>
      <c r="F949" s="23" t="n">
        <v>46269</v>
      </c>
      <c r="G949" t="inlineStr">
        <is>
          <t>provision</t>
        </is>
      </c>
      <c r="H949" s="26" t="n">
        <v>318011277</v>
      </c>
      <c r="I949" t="inlineStr">
        <is>
          <t>bajo</t>
        </is>
      </c>
      <c r="J949" t="inlineStr">
        <is>
          <t>RN-11 y RN-34: provision hasta el cupo operativo antes de bajar del 8 %</t>
        </is>
      </c>
      <c r="K949" t="inlineStr">
        <is>
          <t>Provision en la manana, antes del pagado: con el pronostico, sin provision el saldo bajaria del 8 % del cupo ese dia. Lleva el saldo de 86.988.723 a 405.000.000 COP (cupo 405.000.000). Equipo administrado por TDV.</t>
        </is>
      </c>
      <c r="L949" s="26" t="n">
        <v>405000000</v>
      </c>
      <c r="M949" s="26" t="n">
        <v>86988723</v>
      </c>
      <c r="N949" s="27">
        <f>IF(ISNUMBER(M949),M949/L949,"No aplica")</f>
        <v>0.21478697037037037</v>
      </c>
      <c r="O949" s="25">
        <f>IF(G949="provision",M949+H949,IF(G949="recoleccion",M949-H949,"No aplica"))</f>
        <v>405000000</v>
      </c>
      <c r="P949" s="26" t="n">
        <v>137447</v>
      </c>
    </row>
    <row r="950">
      <c r="A950" t="inlineStr">
        <is>
          <t>PRAGMA</t>
        </is>
      </c>
      <c r="B950" t="inlineStr">
        <is>
          <t>M1</t>
        </is>
      </c>
      <c r="C950" t="inlineStr">
        <is>
          <t>Cali</t>
        </is>
      </c>
      <c r="D950" t="inlineStr">
        <is>
          <t>791</t>
        </is>
      </c>
      <c r="E950" t="inlineStr">
        <is>
          <t>TDV</t>
        </is>
      </c>
      <c r="F950" s="23" t="n">
        <v>46275</v>
      </c>
      <c r="G950" t="inlineStr">
        <is>
          <t>provision</t>
        </is>
      </c>
      <c r="H950" s="26" t="n">
        <v>356111040</v>
      </c>
      <c r="I950" t="inlineStr">
        <is>
          <t>bajo</t>
        </is>
      </c>
      <c r="J950" t="inlineStr">
        <is>
          <t>RN-11 y RN-34: provision hasta el cupo operativo antes de bajar del 8 %</t>
        </is>
      </c>
      <c r="K950" t="inlineStr">
        <is>
          <t>Provision en la manana, antes del pagado: con el pronostico, sin provision el saldo bajaria del 8 % del cupo ese dia. Lleva el saldo de 48.888.960 a 405.000.000 COP (cupo 405.000.000). Equipo administrado por TDV.</t>
        </is>
      </c>
      <c r="L950" s="26" t="n">
        <v>405000000</v>
      </c>
      <c r="M950" s="26" t="n">
        <v>48888960</v>
      </c>
      <c r="N950" s="27">
        <f>IF(ISNUMBER(M950),M950/L950,"No aplica")</f>
        <v>0.12071348148148148</v>
      </c>
      <c r="O950" s="25">
        <f>IF(G950="provision",M950+H950,IF(G950="recoleccion",M950-H950,"No aplica"))</f>
        <v>405000000</v>
      </c>
      <c r="P950" s="26" t="n">
        <v>151087</v>
      </c>
    </row>
    <row r="951">
      <c r="A951" t="inlineStr">
        <is>
          <t>PRAGMA</t>
        </is>
      </c>
      <c r="B951" t="inlineStr">
        <is>
          <t>M1</t>
        </is>
      </c>
      <c r="C951" t="inlineStr">
        <is>
          <t>Pasto</t>
        </is>
      </c>
      <c r="D951" t="inlineStr">
        <is>
          <t>7980</t>
        </is>
      </c>
      <c r="E951" t="inlineStr">
        <is>
          <t>TDV</t>
        </is>
      </c>
      <c r="F951" s="23" t="n">
        <v>46267</v>
      </c>
      <c r="G951" t="inlineStr">
        <is>
          <t>provision</t>
        </is>
      </c>
      <c r="H951" s="26" t="n">
        <v>227648040</v>
      </c>
      <c r="I951" t="inlineStr">
        <is>
          <t>bajo</t>
        </is>
      </c>
      <c r="J951" t="inlineStr">
        <is>
          <t>RN-11 y RN-34: provision hasta el cupo operativo antes de bajar del 8 %</t>
        </is>
      </c>
      <c r="K951" t="inlineStr">
        <is>
          <t>Provision en la manana, antes del pagado: con el pronostico, sin provision el saldo bajaria del 8 % del cupo ese dia. Lleva el saldo de 183.351.960 a 411.000.000 COP (cupo 411.000.000). Equipo administrado por TDV.</t>
        </is>
      </c>
      <c r="L951" s="26" t="n">
        <v>411000000</v>
      </c>
      <c r="M951" s="26" t="n">
        <v>183351960</v>
      </c>
      <c r="N951" s="27">
        <f>IF(ISNUMBER(M951),M951/L951,"No aplica")</f>
        <v>0.44611182481751827</v>
      </c>
      <c r="O951" s="25">
        <f>IF(G951="provision",M951+H951,IF(G951="recoleccion",M951-H951,"No aplica"))</f>
        <v>411000000</v>
      </c>
      <c r="P951" s="26" t="n">
        <v>79300</v>
      </c>
    </row>
    <row r="952">
      <c r="A952" t="inlineStr">
        <is>
          <t>PRAGMA</t>
        </is>
      </c>
      <c r="B952" t="inlineStr">
        <is>
          <t>M1</t>
        </is>
      </c>
      <c r="C952" t="inlineStr">
        <is>
          <t>Pasto</t>
        </is>
      </c>
      <c r="D952" t="inlineStr">
        <is>
          <t>7980</t>
        </is>
      </c>
      <c r="E952" t="inlineStr">
        <is>
          <t>TDV</t>
        </is>
      </c>
      <c r="F952" s="23" t="n">
        <v>46269</v>
      </c>
      <c r="G952" t="inlineStr">
        <is>
          <t>provision</t>
        </is>
      </c>
      <c r="H952" s="26" t="n">
        <v>373576751</v>
      </c>
      <c r="I952" t="inlineStr">
        <is>
          <t>bajo</t>
        </is>
      </c>
      <c r="J952" t="inlineStr">
        <is>
          <t>RN-11 y RN-34: provision hasta el cupo operativo antes de bajar del 8 %</t>
        </is>
      </c>
      <c r="K952" t="inlineStr">
        <is>
          <t>Provision en la manana, antes del pagado: con el pronostico, sin provision el saldo bajaria del 8 % del cupo ese dia. Lleva el saldo de 37.423.249 a 411.000.000 COP (cupo 411.000.000). Equipo administrado por TDV.</t>
        </is>
      </c>
      <c r="L952" s="26" t="n">
        <v>411000000</v>
      </c>
      <c r="M952" s="26" t="n">
        <v>37423249</v>
      </c>
      <c r="N952" s="27">
        <f>IF(ISNUMBER(M952),M952/L952,"No aplica")</f>
        <v>0.09105413381995134</v>
      </c>
      <c r="O952" s="25">
        <f>IF(G952="provision",M952+H952,IF(G952="recoleccion",M952-H952,"No aplica"))</f>
        <v>411000000</v>
      </c>
      <c r="P952" s="26" t="n">
        <v>120160</v>
      </c>
    </row>
    <row r="953">
      <c r="A953" t="inlineStr">
        <is>
          <t>PRAGMA</t>
        </is>
      </c>
      <c r="B953" t="inlineStr">
        <is>
          <t>M1</t>
        </is>
      </c>
      <c r="C953" t="inlineStr">
        <is>
          <t>Pasto</t>
        </is>
      </c>
      <c r="D953" t="inlineStr">
        <is>
          <t>7980</t>
        </is>
      </c>
      <c r="E953" t="inlineStr">
        <is>
          <t>TDV</t>
        </is>
      </c>
      <c r="F953" s="23" t="n">
        <v>46270</v>
      </c>
      <c r="G953" t="inlineStr">
        <is>
          <t>provision</t>
        </is>
      </c>
      <c r="H953" s="26" t="n">
        <v>186989526</v>
      </c>
      <c r="I953" t="inlineStr">
        <is>
          <t>bajo</t>
        </is>
      </c>
      <c r="J953" t="inlineStr">
        <is>
          <t>RN-11 y RN-34: provision hasta el cupo operativo antes de bajar del 8 %</t>
        </is>
      </c>
      <c r="K953" t="inlineStr">
        <is>
          <t>Provision en la manana, antes del pagado: con el pronostico, sin provision el saldo bajaria del 8 % del cupo ese dia. Lleva el saldo de 224.010.474 a 411.000.000 COP (cupo 411.000.000). Equipo administrado por TDV.</t>
        </is>
      </c>
      <c r="L953" s="26" t="n">
        <v>411000000</v>
      </c>
      <c r="M953" s="26" t="n">
        <v>224010474</v>
      </c>
      <c r="N953" s="27">
        <f>IF(ISNUMBER(M953),M953/L953,"No aplica")</f>
        <v>0.5450376496350365</v>
      </c>
      <c r="O953" s="25">
        <f>IF(G953="provision",M953+H953,IF(G953="recoleccion",M953-H953,"No aplica"))</f>
        <v>411000000</v>
      </c>
      <c r="P953" s="26" t="n">
        <v>67916</v>
      </c>
    </row>
    <row r="954">
      <c r="A954" t="inlineStr">
        <is>
          <t>PRAGMA</t>
        </is>
      </c>
      <c r="B954" t="inlineStr">
        <is>
          <t>M1</t>
        </is>
      </c>
      <c r="C954" t="inlineStr">
        <is>
          <t>Pasto</t>
        </is>
      </c>
      <c r="D954" t="inlineStr">
        <is>
          <t>7980</t>
        </is>
      </c>
      <c r="E954" t="inlineStr">
        <is>
          <t>TDV</t>
        </is>
      </c>
      <c r="F954" s="23" t="n">
        <v>46272</v>
      </c>
      <c r="G954" t="inlineStr">
        <is>
          <t>provision</t>
        </is>
      </c>
      <c r="H954" s="26" t="n">
        <v>361604769</v>
      </c>
      <c r="I954" t="inlineStr">
        <is>
          <t>bajo</t>
        </is>
      </c>
      <c r="J954" t="inlineStr">
        <is>
          <t>RN-11 y RN-34: provision hasta el cupo operativo antes de bajar del 8 %</t>
        </is>
      </c>
      <c r="K954" t="inlineStr">
        <is>
          <t>Provision en la manana, antes del pagado: con el pronostico, sin provision el saldo bajaria del 8 % del cupo ese dia. Lleva el saldo de 49.395.231 a 411.000.000 COP (cupo 411.000.000). Equipo administrado por TDV.</t>
        </is>
      </c>
      <c r="L954" s="26" t="n">
        <v>411000000</v>
      </c>
      <c r="M954" s="26" t="n">
        <v>49395231</v>
      </c>
      <c r="N954" s="27">
        <f>IF(ISNUMBER(M954),M954/L954,"No aplica")</f>
        <v>0.12018304379562043</v>
      </c>
      <c r="O954" s="25">
        <f>IF(G954="provision",M954+H954,IF(G954="recoleccion",M954-H954,"No aplica"))</f>
        <v>411000000</v>
      </c>
      <c r="P954" s="26" t="n">
        <v>116808</v>
      </c>
    </row>
    <row r="955">
      <c r="A955" t="inlineStr">
        <is>
          <t>PRAGMA</t>
        </is>
      </c>
      <c r="B955" t="inlineStr">
        <is>
          <t>M1</t>
        </is>
      </c>
      <c r="C955" t="inlineStr">
        <is>
          <t>Pasto</t>
        </is>
      </c>
      <c r="D955" t="inlineStr">
        <is>
          <t>7980</t>
        </is>
      </c>
      <c r="E955" t="inlineStr">
        <is>
          <t>TDV</t>
        </is>
      </c>
      <c r="F955" s="23" t="n">
        <v>46274</v>
      </c>
      <c r="G955" t="inlineStr">
        <is>
          <t>provision</t>
        </is>
      </c>
      <c r="H955" s="26" t="n">
        <v>330516989</v>
      </c>
      <c r="I955" t="inlineStr">
        <is>
          <t>bajo</t>
        </is>
      </c>
      <c r="J955" t="inlineStr">
        <is>
          <t>RN-11 y RN-34: provision hasta el cupo operativo antes de bajar del 8 %</t>
        </is>
      </c>
      <c r="K955" t="inlineStr">
        <is>
          <t>Provision en la manana, antes del pagado: con el pronostico, sin provision el saldo bajaria del 8 % del cupo ese dia. Lleva el saldo de 80.483.011 a 411.000.000 COP (cupo 411.000.000). Equipo administrado por TDV.</t>
        </is>
      </c>
      <c r="L955" s="26" t="n">
        <v>411000000</v>
      </c>
      <c r="M955" s="26" t="n">
        <v>80483011</v>
      </c>
      <c r="N955" s="27">
        <f>IF(ISNUMBER(M955),M955/L955,"No aplica")</f>
        <v>0.1958224111922141</v>
      </c>
      <c r="O955" s="25">
        <f>IF(G955="provision",M955+H955,IF(G955="recoleccion",M955-H955,"No aplica"))</f>
        <v>411000000</v>
      </c>
      <c r="P955" s="26" t="n">
        <v>108104</v>
      </c>
    </row>
    <row r="956">
      <c r="A956" t="inlineStr">
        <is>
          <t>PRAGMA</t>
        </is>
      </c>
      <c r="B956" t="inlineStr">
        <is>
          <t>M1</t>
        </is>
      </c>
      <c r="C956" t="inlineStr">
        <is>
          <t>Pasto</t>
        </is>
      </c>
      <c r="D956" t="inlineStr">
        <is>
          <t>7980</t>
        </is>
      </c>
      <c r="E956" t="inlineStr">
        <is>
          <t>TDV</t>
        </is>
      </c>
      <c r="F956" s="23" t="n">
        <v>46276</v>
      </c>
      <c r="G956" t="inlineStr">
        <is>
          <t>provision</t>
        </is>
      </c>
      <c r="H956" s="26" t="n">
        <v>280832109</v>
      </c>
      <c r="I956" t="inlineStr">
        <is>
          <t>bajo</t>
        </is>
      </c>
      <c r="J956" t="inlineStr">
        <is>
          <t>RN-11 y RN-34: provision hasta el cupo operativo antes de bajar del 8 %</t>
        </is>
      </c>
      <c r="K956" t="inlineStr">
        <is>
          <t>Provision en la manana, antes del pagado: con el pronostico, sin provision el saldo bajaria del 8 % del cupo ese dia. Lleva el saldo de 130.167.891 a 411.000.000 COP (cupo 411.000.000). Equipo administrado por TDV.</t>
        </is>
      </c>
      <c r="L956" s="26" t="n">
        <v>411000000</v>
      </c>
      <c r="M956" s="26" t="n">
        <v>130167891</v>
      </c>
      <c r="N956" s="27">
        <f>IF(ISNUMBER(M956),M956/L956,"No aplica")</f>
        <v>0.31671019708029197</v>
      </c>
      <c r="O956" s="25">
        <f>IF(G956="provision",M956+H956,IF(G956="recoleccion",M956-H956,"No aplica"))</f>
        <v>411000000</v>
      </c>
      <c r="P956" s="26" t="n">
        <v>94192</v>
      </c>
    </row>
    <row r="957">
      <c r="A957" t="inlineStr">
        <is>
          <t>PRAGMA</t>
        </is>
      </c>
      <c r="B957" t="inlineStr">
        <is>
          <t>M1</t>
        </is>
      </c>
      <c r="C957" t="inlineStr">
        <is>
          <t>Pasto</t>
        </is>
      </c>
      <c r="D957" t="inlineStr">
        <is>
          <t>7980</t>
        </is>
      </c>
      <c r="E957" t="inlineStr">
        <is>
          <t>TDV</t>
        </is>
      </c>
      <c r="F957" s="23" t="n">
        <v>46278</v>
      </c>
      <c r="G957" t="inlineStr">
        <is>
          <t>provision</t>
        </is>
      </c>
      <c r="H957" s="26" t="n">
        <v>308524161</v>
      </c>
      <c r="I957" t="inlineStr">
        <is>
          <t>bajo</t>
        </is>
      </c>
      <c r="J957" t="inlineStr">
        <is>
          <t>RN-11 y RN-34: provision hasta el cupo operativo antes de bajar del 8 %</t>
        </is>
      </c>
      <c r="K957" t="inlineStr">
        <is>
          <t>Provision en la manana, antes del pagado: con el pronostico, sin provision el saldo bajaria del 8 % del cupo ese dia. Lleva el saldo de 102.475.839 a 411.000.000 COP (cupo 411.000.000). Equipo administrado por TDV.</t>
        </is>
      </c>
      <c r="L957" s="26" t="n">
        <v>411000000</v>
      </c>
      <c r="M957" s="26" t="n">
        <v>102475839</v>
      </c>
      <c r="N957" s="27">
        <f>IF(ISNUMBER(M957),M957/L957,"No aplica")</f>
        <v>0.2493329416058394</v>
      </c>
      <c r="O957" s="25">
        <f>IF(G957="provision",M957+H957,IF(G957="recoleccion",M957-H957,"No aplica"))</f>
        <v>411000000</v>
      </c>
      <c r="P957" s="26" t="n">
        <v>138247</v>
      </c>
    </row>
    <row r="958">
      <c r="A958" t="inlineStr">
        <is>
          <t>PRAGMA</t>
        </is>
      </c>
      <c r="B958" t="inlineStr">
        <is>
          <t>M1</t>
        </is>
      </c>
      <c r="C958" t="inlineStr">
        <is>
          <t>Pasto</t>
        </is>
      </c>
      <c r="D958" t="inlineStr">
        <is>
          <t>7980</t>
        </is>
      </c>
      <c r="E958" t="inlineStr">
        <is>
          <t>TDV</t>
        </is>
      </c>
      <c r="F958" s="23" t="n">
        <v>46280</v>
      </c>
      <c r="G958" t="inlineStr">
        <is>
          <t>provision</t>
        </is>
      </c>
      <c r="H958" s="26" t="n">
        <v>259831609</v>
      </c>
      <c r="I958" t="inlineStr">
        <is>
          <t>bajo</t>
        </is>
      </c>
      <c r="J958" t="inlineStr">
        <is>
          <t>RN-11 y RN-34: provision hasta el cupo operativo antes de bajar del 8 %</t>
        </is>
      </c>
      <c r="K958" t="inlineStr">
        <is>
          <t>Provision en la manana, antes del pagado: con el pronostico, sin provision el saldo bajaria del 8 % del cupo ese dia. Lleva el saldo de 151.168.391 a 411.000.000 COP (cupo 411.000.000). Equipo administrado por TDV.</t>
        </is>
      </c>
      <c r="L958" s="26" t="n">
        <v>411000000</v>
      </c>
      <c r="M958" s="26" t="n">
        <v>151168391</v>
      </c>
      <c r="N958" s="27">
        <f>IF(ISNUMBER(M958),M958/L958,"No aplica")</f>
        <v>0.36780630413625304</v>
      </c>
      <c r="O958" s="25">
        <f>IF(G958="provision",M958+H958,IF(G958="recoleccion",M958-H958,"No aplica"))</f>
        <v>411000000</v>
      </c>
      <c r="P958" s="26" t="n">
        <v>88312</v>
      </c>
    </row>
    <row r="959">
      <c r="A959" t="inlineStr">
        <is>
          <t>PRAGMA</t>
        </is>
      </c>
      <c r="B959" t="inlineStr">
        <is>
          <t>M1</t>
        </is>
      </c>
      <c r="C959" t="inlineStr">
        <is>
          <t>Pasto</t>
        </is>
      </c>
      <c r="D959" t="inlineStr">
        <is>
          <t>7983</t>
        </is>
      </c>
      <c r="E959" t="inlineStr">
        <is>
          <t>TDV</t>
        </is>
      </c>
      <c r="F959" s="23" t="n">
        <v>46268</v>
      </c>
      <c r="G959" t="inlineStr">
        <is>
          <t>provision</t>
        </is>
      </c>
      <c r="H959" s="26" t="n">
        <v>355931487</v>
      </c>
      <c r="I959" t="inlineStr">
        <is>
          <t>bajo</t>
        </is>
      </c>
      <c r="J959" t="inlineStr">
        <is>
          <t>RN-11 y RN-34: provision hasta el cupo operativo antes de bajar del 8 %</t>
        </is>
      </c>
      <c r="K959" t="inlineStr">
        <is>
          <t>Provision en la manana, antes del pagado: con el pronostico, sin provision el saldo bajaria del 8 % del cupo ese dia. Lleva el saldo de 55.068.513 a 411.000.000 COP (cupo 411.000.000). Equipo administrado por TDV.</t>
        </is>
      </c>
      <c r="L959" s="26" t="n">
        <v>411000000</v>
      </c>
      <c r="M959" s="26" t="n">
        <v>55068513</v>
      </c>
      <c r="N959" s="27">
        <f>IF(ISNUMBER(M959),M959/L959,"No aplica")</f>
        <v>0.1339866496350365</v>
      </c>
      <c r="O959" s="25">
        <f>IF(G959="provision",M959+H959,IF(G959="recoleccion",M959-H959,"No aplica"))</f>
        <v>411000000</v>
      </c>
      <c r="P959" s="26" t="n">
        <v>115220</v>
      </c>
    </row>
    <row r="960">
      <c r="A960" t="inlineStr">
        <is>
          <t>PRAGMA</t>
        </is>
      </c>
      <c r="B960" t="inlineStr">
        <is>
          <t>M1</t>
        </is>
      </c>
      <c r="C960" t="inlineStr">
        <is>
          <t>Pasto</t>
        </is>
      </c>
      <c r="D960" t="inlineStr">
        <is>
          <t>7983</t>
        </is>
      </c>
      <c r="E960" t="inlineStr">
        <is>
          <t>TDV</t>
        </is>
      </c>
      <c r="F960" s="23" t="n">
        <v>46270</v>
      </c>
      <c r="G960" t="inlineStr">
        <is>
          <t>provision</t>
        </is>
      </c>
      <c r="H960" s="26" t="n">
        <v>294588090</v>
      </c>
      <c r="I960" t="inlineStr">
        <is>
          <t>bajo</t>
        </is>
      </c>
      <c r="J960" t="inlineStr">
        <is>
          <t>RN-11 y RN-34: provision hasta el cupo operativo antes de bajar del 8 %</t>
        </is>
      </c>
      <c r="K960" t="inlineStr">
        <is>
          <t>Provision en la manana, antes del pagado: con el pronostico, sin provision el saldo bajaria del 8 % del cupo ese dia. Lleva el saldo de 116.411.910 a 411.000.000 COP (cupo 411.000.000). Equipo administrado por TDV.</t>
        </is>
      </c>
      <c r="L960" s="26" t="n">
        <v>411000000</v>
      </c>
      <c r="M960" s="26" t="n">
        <v>116411910</v>
      </c>
      <c r="N960" s="27">
        <f>IF(ISNUMBER(M960),M960/L960,"No aplica")</f>
        <v>0.28324065693430656</v>
      </c>
      <c r="O960" s="25">
        <f>IF(G960="provision",M960+H960,IF(G960="recoleccion",M960-H960,"No aplica"))</f>
        <v>411000000</v>
      </c>
      <c r="P960" s="26" t="n">
        <v>98044</v>
      </c>
    </row>
    <row r="961">
      <c r="A961" t="inlineStr">
        <is>
          <t>PRAGMA</t>
        </is>
      </c>
      <c r="B961" t="inlineStr">
        <is>
          <t>M1</t>
        </is>
      </c>
      <c r="C961" t="inlineStr">
        <is>
          <t>Pasto</t>
        </is>
      </c>
      <c r="D961" t="inlineStr">
        <is>
          <t>7983</t>
        </is>
      </c>
      <c r="E961" t="inlineStr">
        <is>
          <t>TDV</t>
        </is>
      </c>
      <c r="F961" s="23" t="n">
        <v>46273</v>
      </c>
      <c r="G961" t="inlineStr">
        <is>
          <t>provision</t>
        </is>
      </c>
      <c r="H961" s="26" t="n">
        <v>362588427</v>
      </c>
      <c r="I961" t="inlineStr">
        <is>
          <t>bajo</t>
        </is>
      </c>
      <c r="J961" t="inlineStr">
        <is>
          <t>RN-11 y RN-34: provision hasta el cupo operativo antes de bajar del 8 %</t>
        </is>
      </c>
      <c r="K961" t="inlineStr">
        <is>
          <t>Provision en la manana, antes del pagado: con el pronostico, sin provision el saldo bajaria del 8 % del cupo ese dia. Lleva el saldo de 48.411.573 a 411.000.000 COP (cupo 411.000.000). Equipo administrado por TDV.</t>
        </is>
      </c>
      <c r="L961" s="26" t="n">
        <v>411000000</v>
      </c>
      <c r="M961" s="26" t="n">
        <v>48411573</v>
      </c>
      <c r="N961" s="27">
        <f>IF(ISNUMBER(M961),M961/L961,"No aplica")</f>
        <v>0.11778971532846716</v>
      </c>
      <c r="O961" s="25">
        <f>IF(G961="provision",M961+H961,IF(G961="recoleccion",M961-H961,"No aplica"))</f>
        <v>411000000</v>
      </c>
      <c r="P961" s="26" t="n">
        <v>117084</v>
      </c>
    </row>
    <row r="962">
      <c r="A962" t="inlineStr">
        <is>
          <t>PRAGMA</t>
        </is>
      </c>
      <c r="B962" t="inlineStr">
        <is>
          <t>M1</t>
        </is>
      </c>
      <c r="C962" t="inlineStr">
        <is>
          <t>Pasto</t>
        </is>
      </c>
      <c r="D962" t="inlineStr">
        <is>
          <t>7983</t>
        </is>
      </c>
      <c r="E962" t="inlineStr">
        <is>
          <t>TDV</t>
        </is>
      </c>
      <c r="F962" s="23" t="n">
        <v>46276</v>
      </c>
      <c r="G962" t="inlineStr">
        <is>
          <t>provision</t>
        </is>
      </c>
      <c r="H962" s="26" t="n">
        <v>340790272</v>
      </c>
      <c r="I962" t="inlineStr">
        <is>
          <t>bajo</t>
        </is>
      </c>
      <c r="J962" t="inlineStr">
        <is>
          <t>RN-11 y RN-34: provision hasta el cupo operativo antes de bajar del 8 %</t>
        </is>
      </c>
      <c r="K962" t="inlineStr">
        <is>
          <t>Provision en la manana, antes del pagado: con el pronostico, sin provision el saldo bajaria del 8 % del cupo ese dia. Lleva el saldo de 70.209.728 a 411.000.000 COP (cupo 411.000.000). Equipo administrado por TDV.</t>
        </is>
      </c>
      <c r="L962" s="26" t="n">
        <v>411000000</v>
      </c>
      <c r="M962" s="26" t="n">
        <v>70209728</v>
      </c>
      <c r="N962" s="27">
        <f>IF(ISNUMBER(M962),M962/L962,"No aplica")</f>
        <v>0.1708265888077859</v>
      </c>
      <c r="O962" s="25">
        <f>IF(G962="provision",M962+H962,IF(G962="recoleccion",M962-H962,"No aplica"))</f>
        <v>411000000</v>
      </c>
      <c r="P962" s="26" t="n">
        <v>110980</v>
      </c>
    </row>
    <row r="963">
      <c r="A963" t="inlineStr">
        <is>
          <t>PRAGMA</t>
        </is>
      </c>
      <c r="B963" t="inlineStr">
        <is>
          <t>M1</t>
        </is>
      </c>
      <c r="C963" t="inlineStr">
        <is>
          <t>Pasto</t>
        </is>
      </c>
      <c r="D963" t="inlineStr">
        <is>
          <t>7983</t>
        </is>
      </c>
      <c r="E963" t="inlineStr">
        <is>
          <t>TDV</t>
        </is>
      </c>
      <c r="F963" s="23" t="n">
        <v>46279</v>
      </c>
      <c r="G963" t="inlineStr">
        <is>
          <t>provision</t>
        </is>
      </c>
      <c r="H963" s="26" t="n">
        <v>304341336</v>
      </c>
      <c r="I963" t="inlineStr">
        <is>
          <t>bajo</t>
        </is>
      </c>
      <c r="J963" t="inlineStr">
        <is>
          <t>RN-11 y RN-34: provision hasta el cupo operativo antes de bajar del 8 %</t>
        </is>
      </c>
      <c r="K963" t="inlineStr">
        <is>
          <t>Provision en la manana, antes del pagado: con el pronostico, sin provision el saldo bajaria del 8 % del cupo ese dia. Lleva el saldo de 106.658.664 a 411.000.000 COP (cupo 411.000.000). Equipo administrado por TDV.</t>
        </is>
      </c>
      <c r="L963" s="26" t="n">
        <v>411000000</v>
      </c>
      <c r="M963" s="26" t="n">
        <v>106658664</v>
      </c>
      <c r="N963" s="27">
        <f>IF(ISNUMBER(M963),M963/L963,"No aplica")</f>
        <v>0.2595101313868613</v>
      </c>
      <c r="O963" s="25">
        <f>IF(G963="provision",M963+H963,IF(G963="recoleccion",M963-H963,"No aplica"))</f>
        <v>411000000</v>
      </c>
      <c r="P963" s="26" t="n">
        <v>100775</v>
      </c>
    </row>
    <row r="964">
      <c r="A964" t="inlineStr">
        <is>
          <t>PRAGMA</t>
        </is>
      </c>
      <c r="B964" t="inlineStr">
        <is>
          <t>M1</t>
        </is>
      </c>
      <c r="C964" t="inlineStr">
        <is>
          <t>Cali</t>
        </is>
      </c>
      <c r="D964" t="inlineStr">
        <is>
          <t>7987</t>
        </is>
      </c>
      <c r="E964" t="inlineStr">
        <is>
          <t>TDV</t>
        </is>
      </c>
      <c r="F964" s="23" t="n">
        <v>46269</v>
      </c>
      <c r="G964" t="inlineStr">
        <is>
          <t>provision</t>
        </is>
      </c>
      <c r="H964" s="26" t="n">
        <v>311086079</v>
      </c>
      <c r="I964" t="inlineStr">
        <is>
          <t>bajo</t>
        </is>
      </c>
      <c r="J964" t="inlineStr">
        <is>
          <t>RN-11 y RN-34: provision hasta el cupo operativo antes de bajar del 8 %</t>
        </is>
      </c>
      <c r="K964" t="inlineStr">
        <is>
          <t>Provision en la manana, antes del pagado: con el pronostico, sin provision el saldo bajaria del 8 % del cupo ese dia. Lleva el saldo de 99.913.921 a 411.000.000 COP (cupo 411.000.000). Equipo administrado por TDV.</t>
        </is>
      </c>
      <c r="L964" s="26" t="n">
        <v>411000000</v>
      </c>
      <c r="M964" s="26" t="n">
        <v>99913921</v>
      </c>
      <c r="N964" s="27">
        <f>IF(ISNUMBER(M964),M964/L964,"No aplica")</f>
        <v>0.24309956447688563</v>
      </c>
      <c r="O964" s="25">
        <f>IF(G964="provision",M964+H964,IF(G964="recoleccion",M964-H964,"No aplica"))</f>
        <v>411000000</v>
      </c>
      <c r="P964" s="26" t="n">
        <v>159558</v>
      </c>
    </row>
    <row r="965">
      <c r="A965" t="inlineStr">
        <is>
          <t>PRAGMA</t>
        </is>
      </c>
      <c r="B965" t="inlineStr">
        <is>
          <t>M1</t>
        </is>
      </c>
      <c r="C965" t="inlineStr">
        <is>
          <t>Cali</t>
        </is>
      </c>
      <c r="D965" t="inlineStr">
        <is>
          <t>7987</t>
        </is>
      </c>
      <c r="E965" t="inlineStr">
        <is>
          <t>TDV</t>
        </is>
      </c>
      <c r="F965" s="23" t="n">
        <v>46274</v>
      </c>
      <c r="G965" t="inlineStr">
        <is>
          <t>provision</t>
        </is>
      </c>
      <c r="H965" s="26" t="n">
        <v>377393231</v>
      </c>
      <c r="I965" t="inlineStr">
        <is>
          <t>bajo</t>
        </is>
      </c>
      <c r="J965" t="inlineStr">
        <is>
          <t>RN-11 y RN-34: provision hasta el cupo operativo antes de bajar del 8 %</t>
        </is>
      </c>
      <c r="K965" t="inlineStr">
        <is>
          <t>Provision en la manana, antes del pagado: con el pronostico, sin provision el saldo bajaria del 8 % del cupo ese dia. Lleva el saldo de 33.606.769 a 411.000.000 COP (cupo 411.000.000). Equipo administrado por TDV.</t>
        </is>
      </c>
      <c r="L965" s="26" t="n">
        <v>411000000</v>
      </c>
      <c r="M965" s="26" t="n">
        <v>33606769</v>
      </c>
      <c r="N965" s="27">
        <f>IF(ISNUMBER(M965),M965/L965,"No aplica")</f>
        <v>0.08176829440389294</v>
      </c>
      <c r="O965" s="25">
        <f>IF(G965="provision",M965+H965,IF(G965="recoleccion",M965-H965,"No aplica"))</f>
        <v>411000000</v>
      </c>
      <c r="P965" s="26" t="n">
        <v>189529</v>
      </c>
    </row>
    <row r="966">
      <c r="A966" t="inlineStr">
        <is>
          <t>PRAGMA</t>
        </is>
      </c>
      <c r="B966" t="inlineStr">
        <is>
          <t>M1</t>
        </is>
      </c>
      <c r="C966" t="inlineStr">
        <is>
          <t>Cali</t>
        </is>
      </c>
      <c r="D966" t="inlineStr">
        <is>
          <t>7987</t>
        </is>
      </c>
      <c r="E966" t="inlineStr">
        <is>
          <t>TDV</t>
        </is>
      </c>
      <c r="F966" s="23" t="n">
        <v>46280</v>
      </c>
      <c r="G966" t="inlineStr">
        <is>
          <t>provision</t>
        </is>
      </c>
      <c r="H966" s="26" t="n">
        <v>360966469</v>
      </c>
      <c r="I966" t="inlineStr">
        <is>
          <t>bajo</t>
        </is>
      </c>
      <c r="J966" t="inlineStr">
        <is>
          <t>RN-11 y RN-34: provision hasta el cupo operativo antes de bajar del 8 %</t>
        </is>
      </c>
      <c r="K966" t="inlineStr">
        <is>
          <t>Provision en la manana, antes del pagado: con el pronostico, sin provision el saldo bajaria del 8 % del cupo ese dia. Lleva el saldo de 50.033.531 a 411.000.000 COP (cupo 411.000.000). Equipo administrado por TDV.</t>
        </is>
      </c>
      <c r="L966" s="26" t="n">
        <v>411000000</v>
      </c>
      <c r="M966" s="26" t="n">
        <v>50033531</v>
      </c>
      <c r="N966" s="27">
        <f>IF(ISNUMBER(M966),M966/L966,"No aplica")</f>
        <v>0.12173608515815085</v>
      </c>
      <c r="O966" s="25">
        <f>IF(G966="provision",M966+H966,IF(G966="recoleccion",M966-H966,"No aplica"))</f>
        <v>411000000</v>
      </c>
      <c r="P966" s="26" t="n">
        <v>182104</v>
      </c>
    </row>
    <row r="967">
      <c r="A967" t="inlineStr">
        <is>
          <t>PRAGMA</t>
        </is>
      </c>
      <c r="B967" t="inlineStr">
        <is>
          <t>M1</t>
        </is>
      </c>
      <c r="C967" t="inlineStr">
        <is>
          <t>Cali</t>
        </is>
      </c>
      <c r="D967" t="inlineStr">
        <is>
          <t>7988</t>
        </is>
      </c>
      <c r="E967" t="inlineStr">
        <is>
          <t>TDV</t>
        </is>
      </c>
      <c r="F967" s="23" t="n">
        <v>46269</v>
      </c>
      <c r="G967" t="inlineStr">
        <is>
          <t>provision</t>
        </is>
      </c>
      <c r="H967" s="26" t="n">
        <v>356347987</v>
      </c>
      <c r="I967" t="inlineStr">
        <is>
          <t>bajo</t>
        </is>
      </c>
      <c r="J967" t="inlineStr">
        <is>
          <t>RN-11 y RN-34: provision hasta el cupo operativo antes de bajar del 8 %</t>
        </is>
      </c>
      <c r="K967" t="inlineStr">
        <is>
          <t>Provision en la manana, antes del pagado: con el pronostico, sin provision el saldo bajaria del 8 % del cupo ese dia. Lleva el saldo de 54.652.013 a 411.000.000 COP (cupo 411.000.000). Equipo administrado por TDV.</t>
        </is>
      </c>
      <c r="L967" s="26" t="n">
        <v>411000000</v>
      </c>
      <c r="M967" s="26" t="n">
        <v>54652013</v>
      </c>
      <c r="N967" s="27">
        <f>IF(ISNUMBER(M967),M967/L967,"No aplica")</f>
        <v>0.13297326763990266</v>
      </c>
      <c r="O967" s="25">
        <f>IF(G967="provision",M967+H967,IF(G967="recoleccion",M967-H967,"No aplica"))</f>
        <v>411000000</v>
      </c>
      <c r="P967" s="26" t="n">
        <v>176286</v>
      </c>
    </row>
    <row r="968">
      <c r="A968" t="inlineStr">
        <is>
          <t>PRAGMA</t>
        </is>
      </c>
      <c r="B968" t="inlineStr">
        <is>
          <t>M1</t>
        </is>
      </c>
      <c r="C968" t="inlineStr">
        <is>
          <t>Cali</t>
        </is>
      </c>
      <c r="D968" t="inlineStr">
        <is>
          <t>7988</t>
        </is>
      </c>
      <c r="E968" t="inlineStr">
        <is>
          <t>TDV</t>
        </is>
      </c>
      <c r="F968" s="23" t="n">
        <v>46274</v>
      </c>
      <c r="G968" t="inlineStr">
        <is>
          <t>provision</t>
        </is>
      </c>
      <c r="H968" s="26" t="n">
        <v>358713779</v>
      </c>
      <c r="I968" t="inlineStr">
        <is>
          <t>bajo</t>
        </is>
      </c>
      <c r="J968" t="inlineStr">
        <is>
          <t>RN-11 y RN-34: provision hasta el cupo operativo antes de bajar del 8 %</t>
        </is>
      </c>
      <c r="K968" t="inlineStr">
        <is>
          <t>Provision en la manana, antes del pagado: con el pronostico, sin provision el saldo bajaria del 8 % del cupo ese dia. Lleva el saldo de 52.286.221 a 411.000.000 COP (cupo 411.000.000). Equipo administrado por TDV.</t>
        </is>
      </c>
      <c r="L968" s="26" t="n">
        <v>411000000</v>
      </c>
      <c r="M968" s="26" t="n">
        <v>52286221</v>
      </c>
      <c r="N968" s="27">
        <f>IF(ISNUMBER(M968),M968/L968,"No aplica")</f>
        <v>0.12721708272506083</v>
      </c>
      <c r="O968" s="25">
        <f>IF(G968="provision",M968+H968,IF(G968="recoleccion",M968-H968,"No aplica"))</f>
        <v>411000000</v>
      </c>
      <c r="P968" s="26" t="n">
        <v>177331</v>
      </c>
    </row>
    <row r="969">
      <c r="A969" t="inlineStr">
        <is>
          <t>PRAGMA</t>
        </is>
      </c>
      <c r="B969" t="inlineStr">
        <is>
          <t>M1</t>
        </is>
      </c>
      <c r="C969" t="inlineStr">
        <is>
          <t>Cali</t>
        </is>
      </c>
      <c r="D969" t="inlineStr">
        <is>
          <t>7988</t>
        </is>
      </c>
      <c r="E969" t="inlineStr">
        <is>
          <t>TDV</t>
        </is>
      </c>
      <c r="F969" s="23" t="n">
        <v>46279</v>
      </c>
      <c r="G969" t="inlineStr">
        <is>
          <t>provision</t>
        </is>
      </c>
      <c r="H969" s="26" t="n">
        <v>315242372</v>
      </c>
      <c r="I969" t="inlineStr">
        <is>
          <t>bajo</t>
        </is>
      </c>
      <c r="J969" t="inlineStr">
        <is>
          <t>RN-11 y RN-34: provision hasta el cupo operativo antes de bajar del 8 %</t>
        </is>
      </c>
      <c r="K969" t="inlineStr">
        <is>
          <t>Provision en la manana, antes del pagado: con el pronostico, sin provision el saldo bajaria del 8 % del cupo ese dia. Lleva el saldo de 95.757.628 a 411.000.000 COP (cupo 411.000.000). Equipo administrado por TDV.</t>
        </is>
      </c>
      <c r="L969" s="26" t="n">
        <v>411000000</v>
      </c>
      <c r="M969" s="26" t="n">
        <v>95757628</v>
      </c>
      <c r="N969" s="27">
        <f>IF(ISNUMBER(M969),M969/L969,"No aplica")</f>
        <v>0.2329869294403893</v>
      </c>
      <c r="O969" s="25">
        <f>IF(G969="provision",M969+H969,IF(G969="recoleccion",M969-H969,"No aplica"))</f>
        <v>411000000</v>
      </c>
      <c r="P969" s="26" t="n">
        <v>158117</v>
      </c>
    </row>
    <row r="970">
      <c r="A970" t="inlineStr">
        <is>
          <t>PRAGMA</t>
        </is>
      </c>
      <c r="B970" t="inlineStr">
        <is>
          <t>M1</t>
        </is>
      </c>
      <c r="C970" t="inlineStr">
        <is>
          <t>Cali</t>
        </is>
      </c>
      <c r="D970" t="inlineStr">
        <is>
          <t>8025</t>
        </is>
      </c>
      <c r="E970" t="inlineStr">
        <is>
          <t>TDV</t>
        </is>
      </c>
      <c r="F970" s="23" t="n">
        <v>46266</v>
      </c>
      <c r="G970" t="inlineStr">
        <is>
          <t>sin_accion</t>
        </is>
      </c>
      <c r="H970" s="26" t="n">
        <v>0</v>
      </c>
      <c r="I970" t="inlineStr">
        <is>
          <t>bajo</t>
        </is>
      </c>
      <c r="J970" t="inlineStr">
        <is>
          <t>RN-02: una fila sin_accion</t>
        </is>
      </c>
      <c r="K970" t="inlineStr">
        <is>
          <t>Sin accion en el horizonte: con el pronostico, el saldo se mantiene entre el umbral de agotamiento y el cupo sin necesidad de provision ni recoleccion.</t>
        </is>
      </c>
      <c r="L970" s="26" t="n">
        <v>500000000</v>
      </c>
      <c r="M970" s="26" t="inlineStr">
        <is>
          <t>No aplica</t>
        </is>
      </c>
      <c r="N970" s="27" t="str">
        <f>IF(ISNUMBER(M970),M970/L970,"No aplica")</f>
        <v>No aplica</v>
      </c>
      <c r="O970" s="25" t="str">
        <f>IF(G970="provision",M970+H970,IF(G970="recoleccion",M970-H970,"No aplica"))</f>
        <v>No aplica</v>
      </c>
      <c r="P970" s="26" t="inlineStr">
        <is>
          <t>No aplica</t>
        </is>
      </c>
    </row>
    <row r="971">
      <c r="A971" t="inlineStr">
        <is>
          <t>PRAGMA</t>
        </is>
      </c>
      <c r="B971" t="inlineStr">
        <is>
          <t>M1</t>
        </is>
      </c>
      <c r="C971" t="inlineStr">
        <is>
          <t>Pasto</t>
        </is>
      </c>
      <c r="D971" t="inlineStr">
        <is>
          <t>8054</t>
        </is>
      </c>
      <c r="E971" t="inlineStr">
        <is>
          <t>TDV</t>
        </is>
      </c>
      <c r="F971" s="23" t="n">
        <v>46269</v>
      </c>
      <c r="G971" t="inlineStr">
        <is>
          <t>provision</t>
        </is>
      </c>
      <c r="H971" s="26" t="n">
        <v>411100216</v>
      </c>
      <c r="I971" t="inlineStr">
        <is>
          <t>bajo</t>
        </is>
      </c>
      <c r="J971" t="inlineStr">
        <is>
          <t>RN-11 y RN-34: provision hasta el cupo operativo antes de bajar del 8 %</t>
        </is>
      </c>
      <c r="K971" t="inlineStr">
        <is>
          <t>Provision en la manana, antes del pagado: con el pronostico, sin provision el saldo bajaria del 8 % del cupo ese dia. Lleva el saldo de 88.899.784 a 500.000.000 COP (cupo 500.000.000). Equipo administrado por TDV.</t>
        </is>
      </c>
      <c r="L971" s="26" t="n">
        <v>500000000</v>
      </c>
      <c r="M971" s="26" t="n">
        <v>88899784</v>
      </c>
      <c r="N971" s="27">
        <f>IF(ISNUMBER(M971),M971/L971,"No aplica")</f>
        <v>0.177799568</v>
      </c>
      <c r="O971" s="25">
        <f>IF(G971="provision",M971+H971,IF(G971="recoleccion",M971-H971,"No aplica"))</f>
        <v>500000000</v>
      </c>
      <c r="P971" s="26" t="n">
        <v>130667</v>
      </c>
    </row>
    <row r="972">
      <c r="A972" t="inlineStr">
        <is>
          <t>PRAGMA</t>
        </is>
      </c>
      <c r="B972" t="inlineStr">
        <is>
          <t>M1</t>
        </is>
      </c>
      <c r="C972" t="inlineStr">
        <is>
          <t>Pasto</t>
        </is>
      </c>
      <c r="D972" t="inlineStr">
        <is>
          <t>8054</t>
        </is>
      </c>
      <c r="E972" t="inlineStr">
        <is>
          <t>TDV</t>
        </is>
      </c>
      <c r="F972" s="23" t="n">
        <v>46272</v>
      </c>
      <c r="G972" t="inlineStr">
        <is>
          <t>provision</t>
        </is>
      </c>
      <c r="H972" s="26" t="n">
        <v>366713156</v>
      </c>
      <c r="I972" t="inlineStr">
        <is>
          <t>bajo</t>
        </is>
      </c>
      <c r="J972" t="inlineStr">
        <is>
          <t>RN-11 y RN-34: provision hasta el cupo operativo antes de bajar del 8 %</t>
        </is>
      </c>
      <c r="K972" t="inlineStr">
        <is>
          <t>Provision en la manana, antes del pagado: con el pronostico, sin provision el saldo bajaria del 8 % del cupo ese dia. Lleva el saldo de 133.286.844 a 500.000.000 COP (cupo 500.000.000). Equipo administrado por TDV.</t>
        </is>
      </c>
      <c r="L972" s="26" t="n">
        <v>500000000</v>
      </c>
      <c r="M972" s="26" t="n">
        <v>133286844</v>
      </c>
      <c r="N972" s="27">
        <f>IF(ISNUMBER(M972),M972/L972,"No aplica")</f>
        <v>0.266573688</v>
      </c>
      <c r="O972" s="25">
        <f>IF(G972="provision",M972+H972,IF(G972="recoleccion",M972-H972,"No aplica"))</f>
        <v>500000000</v>
      </c>
      <c r="P972" s="26" t="n">
        <v>118239</v>
      </c>
    </row>
    <row r="973">
      <c r="A973" t="inlineStr">
        <is>
          <t>PRAGMA</t>
        </is>
      </c>
      <c r="B973" t="inlineStr">
        <is>
          <t>M1</t>
        </is>
      </c>
      <c r="C973" t="inlineStr">
        <is>
          <t>Pasto</t>
        </is>
      </c>
      <c r="D973" t="inlineStr">
        <is>
          <t>8054</t>
        </is>
      </c>
      <c r="E973" t="inlineStr">
        <is>
          <t>TDV</t>
        </is>
      </c>
      <c r="F973" s="23" t="n">
        <v>46276</v>
      </c>
      <c r="G973" t="inlineStr">
        <is>
          <t>provision</t>
        </is>
      </c>
      <c r="H973" s="26" t="n">
        <v>406965830</v>
      </c>
      <c r="I973" t="inlineStr">
        <is>
          <t>bajo</t>
        </is>
      </c>
      <c r="J973" t="inlineStr">
        <is>
          <t>RN-11 y RN-34: provision hasta el cupo operativo antes de bajar del 8 %</t>
        </is>
      </c>
      <c r="K973" t="inlineStr">
        <is>
          <t>Provision en la manana, antes del pagado: con el pronostico, sin provision el saldo bajaria del 8 % del cupo ese dia. Lleva el saldo de 93.034.170 a 500.000.000 COP (cupo 500.000.000). Equipo administrado por TDV.</t>
        </is>
      </c>
      <c r="L973" s="26" t="n">
        <v>500000000</v>
      </c>
      <c r="M973" s="26" t="n">
        <v>93034170</v>
      </c>
      <c r="N973" s="27">
        <f>IF(ISNUMBER(M973),M973/L973,"No aplica")</f>
        <v>0.18606834</v>
      </c>
      <c r="O973" s="25">
        <f>IF(G973="provision",M973+H973,IF(G973="recoleccion",M973-H973,"No aplica"))</f>
        <v>500000000</v>
      </c>
      <c r="P973" s="26" t="n">
        <v>129509</v>
      </c>
    </row>
    <row r="974">
      <c r="A974" t="inlineStr">
        <is>
          <t>PRAGMA</t>
        </is>
      </c>
      <c r="B974" t="inlineStr">
        <is>
          <t>M1</t>
        </is>
      </c>
      <c r="C974" t="inlineStr">
        <is>
          <t>Pasto</t>
        </is>
      </c>
      <c r="D974" t="inlineStr">
        <is>
          <t>8054</t>
        </is>
      </c>
      <c r="E974" t="inlineStr">
        <is>
          <t>TDV</t>
        </is>
      </c>
      <c r="F974" s="23" t="n">
        <v>46280</v>
      </c>
      <c r="G974" t="inlineStr">
        <is>
          <t>provision</t>
        </is>
      </c>
      <c r="H974" s="26" t="n">
        <v>369822276</v>
      </c>
      <c r="I974" t="inlineStr">
        <is>
          <t>bajo</t>
        </is>
      </c>
      <c r="J974" t="inlineStr">
        <is>
          <t>RN-11 y RN-34: provision hasta el cupo operativo antes de bajar del 8 %</t>
        </is>
      </c>
      <c r="K974" t="inlineStr">
        <is>
          <t>Provision en la manana, antes del pagado: con el pronostico, sin provision el saldo bajaria del 8 % del cupo ese dia. Lleva el saldo de 130.177.724 a 500.000.000 COP (cupo 500.000.000). Equipo administrado por TDV.</t>
        </is>
      </c>
      <c r="L974" s="26" t="n">
        <v>500000000</v>
      </c>
      <c r="M974" s="26" t="n">
        <v>130177724</v>
      </c>
      <c r="N974" s="27">
        <f>IF(ISNUMBER(M974),M974/L974,"No aplica")</f>
        <v>0.260355448</v>
      </c>
      <c r="O974" s="25">
        <f>IF(G974="provision",M974+H974,IF(G974="recoleccion",M974-H974,"No aplica"))</f>
        <v>500000000</v>
      </c>
      <c r="P974" s="26" t="n">
        <v>119109</v>
      </c>
    </row>
    <row r="975">
      <c r="A975" t="inlineStr">
        <is>
          <t>PRAGMA</t>
        </is>
      </c>
      <c r="B975" t="inlineStr">
        <is>
          <t>M1</t>
        </is>
      </c>
      <c r="C975" t="inlineStr">
        <is>
          <t>Cali</t>
        </is>
      </c>
      <c r="D975" t="inlineStr">
        <is>
          <t>8064</t>
        </is>
      </c>
      <c r="E975" t="inlineStr">
        <is>
          <t>TDV</t>
        </is>
      </c>
      <c r="F975" s="23" t="n">
        <v>46271</v>
      </c>
      <c r="G975" t="inlineStr">
        <is>
          <t>provision</t>
        </is>
      </c>
      <c r="H975" s="26" t="n">
        <v>430796252</v>
      </c>
      <c r="I975" t="inlineStr">
        <is>
          <t>bajo</t>
        </is>
      </c>
      <c r="J975" t="inlineStr">
        <is>
          <t>RN-11 y RN-34: provision hasta el cupo operativo antes de bajar del 8 %</t>
        </is>
      </c>
      <c r="K975" t="inlineStr">
        <is>
          <t>Provision en la manana, antes del pagado: con el pronostico, sin provision el saldo bajaria del 8 % del cupo ese dia. Lleva el saldo de 69.203.748 a 500.000.000 COP (cupo 500.000.000). Equipo administrado por TDV.</t>
        </is>
      </c>
      <c r="L975" s="26" t="n">
        <v>500000000</v>
      </c>
      <c r="M975" s="26" t="n">
        <v>69203748</v>
      </c>
      <c r="N975" s="27">
        <f>IF(ISNUMBER(M975),M975/L975,"No aplica")</f>
        <v>0.138407496</v>
      </c>
      <c r="O975" s="25">
        <f>IF(G975="provision",M975+H975,IF(G975="recoleccion",M975-H975,"No aplica"))</f>
        <v>500000000</v>
      </c>
      <c r="P975" s="26" t="n">
        <v>184588</v>
      </c>
    </row>
    <row r="976">
      <c r="A976" t="inlineStr">
        <is>
          <t>PRAGMA</t>
        </is>
      </c>
      <c r="B976" t="inlineStr">
        <is>
          <t>M1</t>
        </is>
      </c>
      <c r="C976" t="inlineStr">
        <is>
          <t>Cali</t>
        </is>
      </c>
      <c r="D976" t="inlineStr">
        <is>
          <t>8064</t>
        </is>
      </c>
      <c r="E976" t="inlineStr">
        <is>
          <t>TDV</t>
        </is>
      </c>
      <c r="F976" s="23" t="n">
        <v>46280</v>
      </c>
      <c r="G976" t="inlineStr">
        <is>
          <t>provision</t>
        </is>
      </c>
      <c r="H976" s="26" t="n">
        <v>445387551</v>
      </c>
      <c r="I976" t="inlineStr">
        <is>
          <t>bajo</t>
        </is>
      </c>
      <c r="J976" t="inlineStr">
        <is>
          <t>RN-11 y RN-34: provision hasta el cupo operativo antes de bajar del 8 %</t>
        </is>
      </c>
      <c r="K976" t="inlineStr">
        <is>
          <t>Provision en la manana, antes del pagado: con el pronostico, sin provision el saldo bajaria del 8 % del cupo ese dia. Lleva el saldo de 54.612.449 a 500.000.000 COP (cupo 500.000.000). Equipo administrado por TDV.</t>
        </is>
      </c>
      <c r="L976" s="26" t="n">
        <v>500000000</v>
      </c>
      <c r="M976" s="26" t="n">
        <v>54612449</v>
      </c>
      <c r="N976" s="27">
        <f>IF(ISNUMBER(M976),M976/L976,"No aplica")</f>
        <v>0.109224898</v>
      </c>
      <c r="O976" s="25">
        <f>IF(G976="provision",M976+H976,IF(G976="recoleccion",M976-H976,"No aplica"))</f>
        <v>500000000</v>
      </c>
      <c r="P976" s="26" t="n">
        <v>140268</v>
      </c>
    </row>
    <row r="977">
      <c r="A977" t="inlineStr">
        <is>
          <t>PRAGMA</t>
        </is>
      </c>
      <c r="B977" t="inlineStr">
        <is>
          <t>M1</t>
        </is>
      </c>
      <c r="C977" t="inlineStr">
        <is>
          <t>Cali</t>
        </is>
      </c>
      <c r="D977" t="inlineStr">
        <is>
          <t>8076</t>
        </is>
      </c>
      <c r="E977" t="inlineStr">
        <is>
          <t>TDV</t>
        </is>
      </c>
      <c r="F977" s="23" t="n">
        <v>46271</v>
      </c>
      <c r="G977" t="inlineStr">
        <is>
          <t>provision</t>
        </is>
      </c>
      <c r="H977" s="26" t="n">
        <v>437970332</v>
      </c>
      <c r="I977" t="inlineStr">
        <is>
          <t>bajo</t>
        </is>
      </c>
      <c r="J977" t="inlineStr">
        <is>
          <t>RN-11 y RN-34: provision hasta el cupo operativo antes de bajar del 8 %</t>
        </is>
      </c>
      <c r="K977" t="inlineStr">
        <is>
          <t>Provision en la manana, antes del pagado: con el pronostico, sin provision el saldo bajaria del 8 % del cupo ese dia. Lleva el saldo de 62.029.668 a 500.000.000 COP (cupo 500.000.000). Equipo administrado por TDV.</t>
        </is>
      </c>
      <c r="L977" s="26" t="n">
        <v>500000000</v>
      </c>
      <c r="M977" s="26" t="n">
        <v>62029668</v>
      </c>
      <c r="N977" s="27">
        <f>IF(ISNUMBER(M977),M977/L977,"No aplica")</f>
        <v>0.124059336</v>
      </c>
      <c r="O977" s="25">
        <f>IF(G977="provision",M977+H977,IF(G977="recoleccion",M977-H977,"No aplica"))</f>
        <v>500000000</v>
      </c>
      <c r="P977" s="26" t="n">
        <v>243227</v>
      </c>
    </row>
    <row r="978">
      <c r="A978" t="inlineStr">
        <is>
          <t>PRAGMA</t>
        </is>
      </c>
      <c r="B978" t="inlineStr">
        <is>
          <t>M1</t>
        </is>
      </c>
      <c r="C978" t="inlineStr">
        <is>
          <t>Cali</t>
        </is>
      </c>
      <c r="D978" t="inlineStr">
        <is>
          <t>8076</t>
        </is>
      </c>
      <c r="E978" t="inlineStr">
        <is>
          <t>TDV</t>
        </is>
      </c>
      <c r="F978" s="23" t="n">
        <v>46279</v>
      </c>
      <c r="G978" t="inlineStr">
        <is>
          <t>provision</t>
        </is>
      </c>
      <c r="H978" s="26" t="n">
        <v>405374203</v>
      </c>
      <c r="I978" t="inlineStr">
        <is>
          <t>bajo</t>
        </is>
      </c>
      <c r="J978" t="inlineStr">
        <is>
          <t>RN-11 y RN-34: provision hasta el cupo operativo antes de bajar del 8 %</t>
        </is>
      </c>
      <c r="K978" t="inlineStr">
        <is>
          <t>Provision en la manana, antes del pagado: con el pronostico, sin provision el saldo bajaria del 8 % del cupo ese dia. Lleva el saldo de 94.625.797 a 500.000.000 COP (cupo 500.000.000). Equipo administrado por TDV.</t>
        </is>
      </c>
      <c r="L978" s="26" t="n">
        <v>500000000</v>
      </c>
      <c r="M978" s="26" t="n">
        <v>94625797</v>
      </c>
      <c r="N978" s="27">
        <f>IF(ISNUMBER(M978),M978/L978,"No aplica")</f>
        <v>0.189251594</v>
      </c>
      <c r="O978" s="25">
        <f>IF(G978="provision",M978+H978,IF(G978="recoleccion",M978-H978,"No aplica"))</f>
        <v>500000000</v>
      </c>
      <c r="P978" s="26" t="n">
        <v>175531</v>
      </c>
    </row>
    <row r="979">
      <c r="A979" t="inlineStr">
        <is>
          <t>PRAGMA</t>
        </is>
      </c>
      <c r="B979" t="inlineStr">
        <is>
          <t>M1</t>
        </is>
      </c>
      <c r="C979" t="inlineStr">
        <is>
          <t>Cali</t>
        </is>
      </c>
      <c r="D979" t="inlineStr">
        <is>
          <t>8084</t>
        </is>
      </c>
      <c r="E979" t="inlineStr">
        <is>
          <t>TDV</t>
        </is>
      </c>
      <c r="F979" s="23" t="n">
        <v>46270</v>
      </c>
      <c r="G979" t="inlineStr">
        <is>
          <t>provision</t>
        </is>
      </c>
      <c r="H979" s="26" t="n">
        <v>376445744</v>
      </c>
      <c r="I979" t="inlineStr">
        <is>
          <t>bajo</t>
        </is>
      </c>
      <c r="J979" t="inlineStr">
        <is>
          <t>RN-11 y RN-34: provision hasta el cupo operativo antes de bajar del 8 %</t>
        </is>
      </c>
      <c r="K979" t="inlineStr">
        <is>
          <t>Provision en la manana, antes del pagado: con el pronostico, sin provision el saldo bajaria del 8 % del cupo ese dia. Lleva el saldo de 123.554.256 a 500.000.000 COP (cupo 500.000.000). Equipo administrado por TDV.</t>
        </is>
      </c>
      <c r="L979" s="26" t="n">
        <v>500000000</v>
      </c>
      <c r="M979" s="26" t="n">
        <v>123554256</v>
      </c>
      <c r="N979" s="27">
        <f>IF(ISNUMBER(M979),M979/L979,"No aplica")</f>
        <v>0.247108512</v>
      </c>
      <c r="O979" s="25">
        <f>IF(G979="provision",M979+H979,IF(G979="recoleccion",M979-H979,"No aplica"))</f>
        <v>500000000</v>
      </c>
      <c r="P979" s="26" t="n">
        <v>120964</v>
      </c>
    </row>
    <row r="980">
      <c r="A980" t="inlineStr">
        <is>
          <t>PRAGMA</t>
        </is>
      </c>
      <c r="B980" t="inlineStr">
        <is>
          <t>M1</t>
        </is>
      </c>
      <c r="C980" t="inlineStr">
        <is>
          <t>Cali</t>
        </is>
      </c>
      <c r="D980" t="inlineStr">
        <is>
          <t>8084</t>
        </is>
      </c>
      <c r="E980" t="inlineStr">
        <is>
          <t>TDV</t>
        </is>
      </c>
      <c r="F980" s="23" t="n">
        <v>46277</v>
      </c>
      <c r="G980" t="inlineStr">
        <is>
          <t>provision</t>
        </is>
      </c>
      <c r="H980" s="26" t="n">
        <v>405943556</v>
      </c>
      <c r="I980" t="inlineStr">
        <is>
          <t>bajo</t>
        </is>
      </c>
      <c r="J980" t="inlineStr">
        <is>
          <t>RN-11 y RN-34: provision hasta el cupo operativo antes de bajar del 8 %</t>
        </is>
      </c>
      <c r="K980" t="inlineStr">
        <is>
          <t>Provision en la manana, antes del pagado: con el pronostico, sin provision el saldo bajaria del 8 % del cupo ese dia. Lleva el saldo de 94.056.444 a 500.000.000 COP (cupo 500.000.000). Equipo administrado por TDV.</t>
        </is>
      </c>
      <c r="L980" s="26" t="n">
        <v>500000000</v>
      </c>
      <c r="M980" s="26" t="n">
        <v>94056444</v>
      </c>
      <c r="N980" s="27">
        <f>IF(ISNUMBER(M980),M980/L980,"No aplica")</f>
        <v>0.188112888</v>
      </c>
      <c r="O980" s="25">
        <f>IF(G980="provision",M980+H980,IF(G980="recoleccion",M980-H980,"No aplica"))</f>
        <v>500000000</v>
      </c>
      <c r="P980" s="26" t="n">
        <v>129223</v>
      </c>
    </row>
    <row r="981">
      <c r="A981" t="inlineStr">
        <is>
          <t>PRAGMA</t>
        </is>
      </c>
      <c r="B981" t="inlineStr">
        <is>
          <t>M1</t>
        </is>
      </c>
      <c r="C981" t="inlineStr">
        <is>
          <t>Cali</t>
        </is>
      </c>
      <c r="D981" t="inlineStr">
        <is>
          <t>8085</t>
        </is>
      </c>
      <c r="E981" t="inlineStr">
        <is>
          <t>TDV</t>
        </is>
      </c>
      <c r="F981" s="23" t="n">
        <v>46270</v>
      </c>
      <c r="G981" t="inlineStr">
        <is>
          <t>provision</t>
        </is>
      </c>
      <c r="H981" s="26" t="n">
        <v>413503812</v>
      </c>
      <c r="I981" t="inlineStr">
        <is>
          <t>bajo</t>
        </is>
      </c>
      <c r="J981" t="inlineStr">
        <is>
          <t>RN-11 y RN-34: provision hasta el cupo operativo antes de bajar del 8 %</t>
        </is>
      </c>
      <c r="K981" t="inlineStr">
        <is>
          <t>Provision en la manana, antes del pagado: con el pronostico, sin provision el saldo bajaria del 8 % del cupo ese dia. Lleva el saldo de 86.496.188 a 500.000.000 COP (cupo 500.000.000). Equipo administrado por TDV.</t>
        </is>
      </c>
      <c r="L981" s="26" t="n">
        <v>500000000</v>
      </c>
      <c r="M981" s="26" t="n">
        <v>86496188</v>
      </c>
      <c r="N981" s="27">
        <f>IF(ISNUMBER(M981),M981/L981,"No aplica")</f>
        <v>0.172992376</v>
      </c>
      <c r="O981" s="25">
        <f>IF(G981="provision",M981+H981,IF(G981="recoleccion",M981-H981,"No aplica"))</f>
        <v>500000000</v>
      </c>
      <c r="P981" s="26" t="n">
        <v>131340</v>
      </c>
    </row>
    <row r="982">
      <c r="A982" t="inlineStr">
        <is>
          <t>PRAGMA</t>
        </is>
      </c>
      <c r="B982" t="inlineStr">
        <is>
          <t>M1</t>
        </is>
      </c>
      <c r="C982" t="inlineStr">
        <is>
          <t>Cali</t>
        </is>
      </c>
      <c r="D982" t="inlineStr">
        <is>
          <t>8085</t>
        </is>
      </c>
      <c r="E982" t="inlineStr">
        <is>
          <t>TDV</t>
        </is>
      </c>
      <c r="F982" s="23" t="n">
        <v>46276</v>
      </c>
      <c r="G982" t="inlineStr">
        <is>
          <t>provision</t>
        </is>
      </c>
      <c r="H982" s="26" t="n">
        <v>402052218</v>
      </c>
      <c r="I982" t="inlineStr">
        <is>
          <t>bajo</t>
        </is>
      </c>
      <c r="J982" t="inlineStr">
        <is>
          <t>RN-11 y RN-34: provision hasta el cupo operativo antes de bajar del 8 %</t>
        </is>
      </c>
      <c r="K982" t="inlineStr">
        <is>
          <t>Provision en la manana, antes del pagado: con el pronostico, sin provision el saldo bajaria del 8 % del cupo ese dia. Lleva el saldo de 97.947.782 a 500.000.000 COP (cupo 500.000.000). Equipo administrado por TDV.</t>
        </is>
      </c>
      <c r="L982" s="26" t="n">
        <v>500000000</v>
      </c>
      <c r="M982" s="26" t="n">
        <v>97947782</v>
      </c>
      <c r="N982" s="27">
        <f>IF(ISNUMBER(M982),M982/L982,"No aplica")</f>
        <v>0.195895564</v>
      </c>
      <c r="O982" s="25">
        <f>IF(G982="provision",M982+H982,IF(G982="recoleccion",M982-H982,"No aplica"))</f>
        <v>500000000</v>
      </c>
      <c r="P982" s="26" t="n">
        <v>128134</v>
      </c>
    </row>
    <row r="983">
      <c r="A983" t="inlineStr">
        <is>
          <t>PRAGMA</t>
        </is>
      </c>
      <c r="B983" t="inlineStr">
        <is>
          <t>M1</t>
        </is>
      </c>
      <c r="C983" t="inlineStr">
        <is>
          <t>Cali</t>
        </is>
      </c>
      <c r="D983" t="inlineStr">
        <is>
          <t>8090</t>
        </is>
      </c>
      <c r="E983" t="inlineStr">
        <is>
          <t>TDV</t>
        </is>
      </c>
      <c r="F983" s="23" t="n">
        <v>46269</v>
      </c>
      <c r="G983" t="inlineStr">
        <is>
          <t>provision</t>
        </is>
      </c>
      <c r="H983" s="26" t="n">
        <v>358360050</v>
      </c>
      <c r="I983" t="inlineStr">
        <is>
          <t>bajo</t>
        </is>
      </c>
      <c r="J983" t="inlineStr">
        <is>
          <t>RN-11 y RN-34: provision hasta el cupo operativo antes de bajar del 8 %</t>
        </is>
      </c>
      <c r="K983" t="inlineStr">
        <is>
          <t>Provision en la manana, antes del pagado: con el pronostico, sin provision el saldo bajaria del 8 % del cupo ese dia. Lleva el saldo de 141.639.950 a 500.000.000 COP (cupo 500.000.000). Equipo administrado por TDV.</t>
        </is>
      </c>
      <c r="L983" s="26" t="n">
        <v>500000000</v>
      </c>
      <c r="M983" s="26" t="n">
        <v>141639950</v>
      </c>
      <c r="N983" s="27">
        <f>IF(ISNUMBER(M983),M983/L983,"No aplica")</f>
        <v>0.2832799</v>
      </c>
      <c r="O983" s="25">
        <f>IF(G983="provision",M983+H983,IF(G983="recoleccion",M983-H983,"No aplica"))</f>
        <v>500000000</v>
      </c>
      <c r="P983" s="26" t="n">
        <v>115900</v>
      </c>
    </row>
    <row r="984">
      <c r="A984" t="inlineStr">
        <is>
          <t>PRAGMA</t>
        </is>
      </c>
      <c r="B984" t="inlineStr">
        <is>
          <t>M1</t>
        </is>
      </c>
      <c r="C984" t="inlineStr">
        <is>
          <t>Cali</t>
        </is>
      </c>
      <c r="D984" t="inlineStr">
        <is>
          <t>8090</t>
        </is>
      </c>
      <c r="E984" t="inlineStr">
        <is>
          <t>TDV</t>
        </is>
      </c>
      <c r="F984" s="23" t="n">
        <v>46274</v>
      </c>
      <c r="G984" t="inlineStr">
        <is>
          <t>provision</t>
        </is>
      </c>
      <c r="H984" s="26" t="n">
        <v>440924859</v>
      </c>
      <c r="I984" t="inlineStr">
        <is>
          <t>bajo</t>
        </is>
      </c>
      <c r="J984" t="inlineStr">
        <is>
          <t>RN-11 y RN-34: provision hasta el cupo operativo antes de bajar del 8 %</t>
        </is>
      </c>
      <c r="K984" t="inlineStr">
        <is>
          <t>Provision en la manana, antes del pagado: con el pronostico, sin provision el saldo bajaria del 8 % del cupo ese dia. Lleva el saldo de 59.075.141 a 500.000.000 COP (cupo 500.000.000). Equipo administrado por TDV.</t>
        </is>
      </c>
      <c r="L984" s="26" t="n">
        <v>500000000</v>
      </c>
      <c r="M984" s="26" t="n">
        <v>59075141</v>
      </c>
      <c r="N984" s="27">
        <f>IF(ISNUMBER(M984),M984/L984,"No aplica")</f>
        <v>0.118150282</v>
      </c>
      <c r="O984" s="25">
        <f>IF(G984="provision",M984+H984,IF(G984="recoleccion",M984-H984,"No aplica"))</f>
        <v>500000000</v>
      </c>
      <c r="P984" s="26" t="n">
        <v>139018</v>
      </c>
    </row>
    <row r="985">
      <c r="A985" t="inlineStr">
        <is>
          <t>PRAGMA</t>
        </is>
      </c>
      <c r="B985" t="inlineStr">
        <is>
          <t>M1</t>
        </is>
      </c>
      <c r="C985" t="inlineStr">
        <is>
          <t>Cali</t>
        </is>
      </c>
      <c r="D985" t="inlineStr">
        <is>
          <t>8090</t>
        </is>
      </c>
      <c r="E985" t="inlineStr">
        <is>
          <t>TDV</t>
        </is>
      </c>
      <c r="F985" s="23" t="n">
        <v>46279</v>
      </c>
      <c r="G985" t="inlineStr">
        <is>
          <t>provision</t>
        </is>
      </c>
      <c r="H985" s="26" t="n">
        <v>383732329</v>
      </c>
      <c r="I985" t="inlineStr">
        <is>
          <t>bajo</t>
        </is>
      </c>
      <c r="J985" t="inlineStr">
        <is>
          <t>RN-11 y RN-34: provision hasta el cupo operativo antes de bajar del 8 %</t>
        </is>
      </c>
      <c r="K985" t="inlineStr">
        <is>
          <t>Provision en la manana, antes del pagado: con el pronostico, sin provision el saldo bajaria del 8 % del cupo ese dia. Lleva el saldo de 116.267.671 a 500.000.000 COP (cupo 500.000.000). Equipo administrado por TDV.</t>
        </is>
      </c>
      <c r="L985" s="26" t="n">
        <v>500000000</v>
      </c>
      <c r="M985" s="26" t="n">
        <v>116267671</v>
      </c>
      <c r="N985" s="27">
        <f>IF(ISNUMBER(M985),M985/L985,"No aplica")</f>
        <v>0.232535342</v>
      </c>
      <c r="O985" s="25">
        <f>IF(G985="provision",M985+H985,IF(G985="recoleccion",M985-H985,"No aplica"))</f>
        <v>500000000</v>
      </c>
      <c r="P985" s="26" t="n">
        <v>123004</v>
      </c>
    </row>
    <row r="986">
      <c r="A986" t="inlineStr">
        <is>
          <t>PRAGMA</t>
        </is>
      </c>
      <c r="B986" t="inlineStr">
        <is>
          <t>M1</t>
        </is>
      </c>
      <c r="C986" t="inlineStr">
        <is>
          <t>Cali</t>
        </is>
      </c>
      <c r="D986" t="inlineStr">
        <is>
          <t>8127</t>
        </is>
      </c>
      <c r="E986" t="inlineStr">
        <is>
          <t>TDV</t>
        </is>
      </c>
      <c r="F986" s="23" t="n">
        <v>46268</v>
      </c>
      <c r="G986" t="inlineStr">
        <is>
          <t>provision</t>
        </is>
      </c>
      <c r="H986" s="26" t="n">
        <v>299501033</v>
      </c>
      <c r="I986" t="inlineStr">
        <is>
          <t>bajo</t>
        </is>
      </c>
      <c r="J986" t="inlineStr">
        <is>
          <t>RN-11 y RN-34: provision hasta el cupo operativo antes de bajar del 8 %</t>
        </is>
      </c>
      <c r="K986" t="inlineStr">
        <is>
          <t>Provision en la manana, antes del pagado: con el pronostico, sin provision el saldo bajaria del 8 % del cupo ese dia. Lleva el saldo de 111.498.967 a 411.000.000 COP (cupo 411.000.000). Equipo administrado por TDV.</t>
        </is>
      </c>
      <c r="L986" s="26" t="n">
        <v>411000000</v>
      </c>
      <c r="M986" s="26" t="n">
        <v>111498967</v>
      </c>
      <c r="N986" s="27">
        <f>IF(ISNUMBER(M986),M986/L986,"No aplica")</f>
        <v>0.27128702433090024</v>
      </c>
      <c r="O986" s="25">
        <f>IF(G986="provision",M986+H986,IF(G986="recoleccion",M986-H986,"No aplica"))</f>
        <v>411000000</v>
      </c>
      <c r="P986" s="26" t="n">
        <v>153660</v>
      </c>
    </row>
    <row r="987">
      <c r="A987" t="inlineStr">
        <is>
          <t>PRAGMA</t>
        </is>
      </c>
      <c r="B987" t="inlineStr">
        <is>
          <t>M1</t>
        </is>
      </c>
      <c r="C987" t="inlineStr">
        <is>
          <t>Cali</t>
        </is>
      </c>
      <c r="D987" t="inlineStr">
        <is>
          <t>8127</t>
        </is>
      </c>
      <c r="E987" t="inlineStr">
        <is>
          <t>TDV</t>
        </is>
      </c>
      <c r="F987" s="23" t="n">
        <v>46271</v>
      </c>
      <c r="G987" t="inlineStr">
        <is>
          <t>provision</t>
        </is>
      </c>
      <c r="H987" s="26" t="n">
        <v>368455977</v>
      </c>
      <c r="I987" t="inlineStr">
        <is>
          <t>bajo</t>
        </is>
      </c>
      <c r="J987" t="inlineStr">
        <is>
          <t>RN-11 y RN-34: provision hasta el cupo operativo antes de bajar del 8 %</t>
        </is>
      </c>
      <c r="K987" t="inlineStr">
        <is>
          <t>Provision en la manana, antes del pagado: con el pronostico, sin provision el saldo bajaria del 8 % del cupo ese dia. Lleva el saldo de 42.544.023 a 411.000.000 COP (cupo 411.000.000). Equipo administrado por TDV.</t>
        </is>
      </c>
      <c r="L987" s="26" t="n">
        <v>411000000</v>
      </c>
      <c r="M987" s="26" t="n">
        <v>42544023</v>
      </c>
      <c r="N987" s="27">
        <f>IF(ISNUMBER(M987),M987/L987,"No aplica")</f>
        <v>0.10351343795620438</v>
      </c>
      <c r="O987" s="25">
        <f>IF(G987="provision",M987+H987,IF(G987="recoleccion",M987-H987,"No aplica"))</f>
        <v>411000000</v>
      </c>
      <c r="P987" s="26" t="n">
        <v>240020</v>
      </c>
    </row>
    <row r="988">
      <c r="A988" t="inlineStr">
        <is>
          <t>PRAGMA</t>
        </is>
      </c>
      <c r="B988" t="inlineStr">
        <is>
          <t>M1</t>
        </is>
      </c>
      <c r="C988" t="inlineStr">
        <is>
          <t>Cali</t>
        </is>
      </c>
      <c r="D988" t="inlineStr">
        <is>
          <t>8127</t>
        </is>
      </c>
      <c r="E988" t="inlineStr">
        <is>
          <t>TDV</t>
        </is>
      </c>
      <c r="F988" s="23" t="n">
        <v>46275</v>
      </c>
      <c r="G988" t="inlineStr">
        <is>
          <t>provision</t>
        </is>
      </c>
      <c r="H988" s="26" t="n">
        <v>327256021</v>
      </c>
      <c r="I988" t="inlineStr">
        <is>
          <t>bajo</t>
        </is>
      </c>
      <c r="J988" t="inlineStr">
        <is>
          <t>RN-11 y RN-34: provision hasta el cupo operativo antes de bajar del 8 %</t>
        </is>
      </c>
      <c r="K988" t="inlineStr">
        <is>
          <t>Provision en la manana, antes del pagado: con el pronostico, sin provision el saldo bajaria del 8 % del cupo ese dia. Lleva el saldo de 83.743.979 a 411.000.000 COP (cupo 411.000.000). Equipo administrado por TDV.</t>
        </is>
      </c>
      <c r="L988" s="26" t="n">
        <v>411000000</v>
      </c>
      <c r="M988" s="26" t="n">
        <v>83743979</v>
      </c>
      <c r="N988" s="27">
        <f>IF(ISNUMBER(M988),M988/L988,"No aplica")</f>
        <v>0.2037566399026764</v>
      </c>
      <c r="O988" s="25">
        <f>IF(G988="provision",M988+H988,IF(G988="recoleccion",M988-H988,"No aplica"))</f>
        <v>411000000</v>
      </c>
      <c r="P988" s="26" t="n">
        <v>166206</v>
      </c>
    </row>
    <row r="989">
      <c r="A989" t="inlineStr">
        <is>
          <t>PRAGMA</t>
        </is>
      </c>
      <c r="B989" t="inlineStr">
        <is>
          <t>M1</t>
        </is>
      </c>
      <c r="C989" t="inlineStr">
        <is>
          <t>Cali</t>
        </is>
      </c>
      <c r="D989" t="inlineStr">
        <is>
          <t>8127</t>
        </is>
      </c>
      <c r="E989" t="inlineStr">
        <is>
          <t>TDV</t>
        </is>
      </c>
      <c r="F989" s="23" t="n">
        <v>46279</v>
      </c>
      <c r="G989" t="inlineStr">
        <is>
          <t>provision</t>
        </is>
      </c>
      <c r="H989" s="26" t="n">
        <v>324295315</v>
      </c>
      <c r="I989" t="inlineStr">
        <is>
          <t>bajo</t>
        </is>
      </c>
      <c r="J989" t="inlineStr">
        <is>
          <t>RN-11 y RN-34: provision hasta el cupo operativo antes de bajar del 8 %</t>
        </is>
      </c>
      <c r="K989" t="inlineStr">
        <is>
          <t>Provision en la manana, antes del pagado: con el pronostico, sin provision el saldo bajaria del 8 % del cupo ese dia. Lleva el saldo de 86.704.685 a 411.000.000 COP (cupo 411.000.000). Equipo administrado por TDV.</t>
        </is>
      </c>
      <c r="L989" s="26" t="n">
        <v>411000000</v>
      </c>
      <c r="M989" s="26" t="n">
        <v>86704685</v>
      </c>
      <c r="N989" s="27">
        <f>IF(ISNUMBER(M989),M989/L989,"No aplica")</f>
        <v>0.21096030413625305</v>
      </c>
      <c r="O989" s="25">
        <f>IF(G989="provision",M989+H989,IF(G989="recoleccion",M989-H989,"No aplica"))</f>
        <v>411000000</v>
      </c>
      <c r="P989" s="26" t="n">
        <v>164867</v>
      </c>
    </row>
    <row r="990">
      <c r="A990" t="inlineStr">
        <is>
          <t>PRAGMA</t>
        </is>
      </c>
      <c r="B990" t="inlineStr">
        <is>
          <t>M1</t>
        </is>
      </c>
      <c r="C990" t="inlineStr">
        <is>
          <t>Cali</t>
        </is>
      </c>
      <c r="D990" t="inlineStr">
        <is>
          <t>8131</t>
        </is>
      </c>
      <c r="E990" t="inlineStr">
        <is>
          <t>TDV</t>
        </is>
      </c>
      <c r="F990" s="23" t="n">
        <v>46267</v>
      </c>
      <c r="G990" t="inlineStr">
        <is>
          <t>provision</t>
        </is>
      </c>
      <c r="H990" s="26" t="n">
        <v>226370076</v>
      </c>
      <c r="I990" t="inlineStr">
        <is>
          <t>bajo</t>
        </is>
      </c>
      <c r="J990" t="inlineStr">
        <is>
          <t>RN-11 y RN-34: provision hasta el cupo operativo antes de bajar del 8 %</t>
        </is>
      </c>
      <c r="K990" t="inlineStr">
        <is>
          <t>Provision en la manana, antes del pagado: con el pronostico, sin provision el saldo bajaria del 8 % del cupo ese dia. Lleva el saldo de 184.629.924 a 411.000.000 COP (cupo 411.000.000). Equipo administrado por TDV.</t>
        </is>
      </c>
      <c r="L990" s="26" t="n">
        <v>411000000</v>
      </c>
      <c r="M990" s="26" t="n">
        <v>184629924</v>
      </c>
      <c r="N990" s="27">
        <f>IF(ISNUMBER(M990),M990/L990,"No aplica")</f>
        <v>0.44922122627737227</v>
      </c>
      <c r="O990" s="25">
        <f>IF(G990="provision",M990+H990,IF(G990="recoleccion",M990-H990,"No aplica"))</f>
        <v>411000000</v>
      </c>
      <c r="P990" s="26" t="n">
        <v>104506</v>
      </c>
    </row>
    <row r="991">
      <c r="A991" t="inlineStr">
        <is>
          <t>PRAGMA</t>
        </is>
      </c>
      <c r="B991" t="inlineStr">
        <is>
          <t>M1</t>
        </is>
      </c>
      <c r="C991" t="inlineStr">
        <is>
          <t>Cali</t>
        </is>
      </c>
      <c r="D991" t="inlineStr">
        <is>
          <t>8131</t>
        </is>
      </c>
      <c r="E991" t="inlineStr">
        <is>
          <t>TDV</t>
        </is>
      </c>
      <c r="F991" s="23" t="n">
        <v>46269</v>
      </c>
      <c r="G991" t="inlineStr">
        <is>
          <t>provision</t>
        </is>
      </c>
      <c r="H991" s="26" t="n">
        <v>347942907</v>
      </c>
      <c r="I991" t="inlineStr">
        <is>
          <t>bajo</t>
        </is>
      </c>
      <c r="J991" t="inlineStr">
        <is>
          <t>RN-11 y RN-34: provision hasta el cupo operativo antes de bajar del 8 %</t>
        </is>
      </c>
      <c r="K991" t="inlineStr">
        <is>
          <t>Provision en la manana, antes del pagado: con el pronostico, sin provision el saldo bajaria del 8 % del cupo ese dia. Lleva el saldo de 63.057.093 a 411.000.000 COP (cupo 411.000.000). Equipo administrado por TDV.</t>
        </is>
      </c>
      <c r="L991" s="26" t="n">
        <v>411000000</v>
      </c>
      <c r="M991" s="26" t="n">
        <v>63057093</v>
      </c>
      <c r="N991" s="27">
        <f>IF(ISNUMBER(M991),M991/L991,"No aplica")</f>
        <v>0.15342358394160585</v>
      </c>
      <c r="O991" s="25">
        <f>IF(G991="provision",M991+H991,IF(G991="recoleccion",M991-H991,"No aplica"))</f>
        <v>411000000</v>
      </c>
      <c r="P991" s="26" t="n">
        <v>150460</v>
      </c>
    </row>
    <row r="992">
      <c r="A992" t="inlineStr">
        <is>
          <t>PRAGMA</t>
        </is>
      </c>
      <c r="B992" t="inlineStr">
        <is>
          <t>M1</t>
        </is>
      </c>
      <c r="C992" t="inlineStr">
        <is>
          <t>Cali</t>
        </is>
      </c>
      <c r="D992" t="inlineStr">
        <is>
          <t>8131</t>
        </is>
      </c>
      <c r="E992" t="inlineStr">
        <is>
          <t>TDV</t>
        </is>
      </c>
      <c r="F992" s="23" t="n">
        <v>46271</v>
      </c>
      <c r="G992" t="inlineStr">
        <is>
          <t>provision</t>
        </is>
      </c>
      <c r="H992" s="26" t="n">
        <v>337870029</v>
      </c>
      <c r="I992" t="inlineStr">
        <is>
          <t>bajo</t>
        </is>
      </c>
      <c r="J992" t="inlineStr">
        <is>
          <t>RN-11 y RN-34: provision hasta el cupo operativo antes de bajar del 8 %</t>
        </is>
      </c>
      <c r="K992" t="inlineStr">
        <is>
          <t>Provision en la manana, antes del pagado: con el pronostico, sin provision el saldo bajaria del 8 % del cupo ese dia. Lleva el saldo de 73.129.971 a 411.000.000 COP (cupo 411.000.000). Equipo administrado por TDV.</t>
        </is>
      </c>
      <c r="L992" s="26" t="n">
        <v>411000000</v>
      </c>
      <c r="M992" s="26" t="n">
        <v>73129971</v>
      </c>
      <c r="N992" s="27">
        <f>IF(ISNUMBER(M992),M992/L992,"No aplica")</f>
        <v>0.17793180291970803</v>
      </c>
      <c r="O992" s="25">
        <f>IF(G992="provision",M992+H992,IF(G992="recoleccion",M992-H992,"No aplica"))</f>
        <v>411000000</v>
      </c>
      <c r="P992" s="26" t="n">
        <v>199377</v>
      </c>
    </row>
    <row r="993">
      <c r="A993" t="inlineStr">
        <is>
          <t>PRAGMA</t>
        </is>
      </c>
      <c r="B993" t="inlineStr">
        <is>
          <t>M1</t>
        </is>
      </c>
      <c r="C993" t="inlineStr">
        <is>
          <t>Cali</t>
        </is>
      </c>
      <c r="D993" t="inlineStr">
        <is>
          <t>8131</t>
        </is>
      </c>
      <c r="E993" t="inlineStr">
        <is>
          <t>TDV</t>
        </is>
      </c>
      <c r="F993" s="23" t="n">
        <v>46273</v>
      </c>
      <c r="G993" t="inlineStr">
        <is>
          <t>provision</t>
        </is>
      </c>
      <c r="H993" s="26" t="n">
        <v>249009017</v>
      </c>
      <c r="I993" t="inlineStr">
        <is>
          <t>bajo</t>
        </is>
      </c>
      <c r="J993" t="inlineStr">
        <is>
          <t>RN-11 y RN-34: provision hasta el cupo operativo antes de bajar del 8 %</t>
        </is>
      </c>
      <c r="K993" t="inlineStr">
        <is>
          <t>Provision en la manana, antes del pagado: con el pronostico, sin provision el saldo bajaria del 8 % del cupo ese dia. Lleva el saldo de 161.990.983 a 411.000.000 COP (cupo 411.000.000). Equipo administrado por TDV.</t>
        </is>
      </c>
      <c r="L993" s="26" t="n">
        <v>411000000</v>
      </c>
      <c r="M993" s="26" t="n">
        <v>161990983</v>
      </c>
      <c r="N993" s="27">
        <f>IF(ISNUMBER(M993),M993/L993,"No aplica")</f>
        <v>0.39413864476885646</v>
      </c>
      <c r="O993" s="25">
        <f>IF(G993="provision",M993+H993,IF(G993="recoleccion",M993-H993,"No aplica"))</f>
        <v>411000000</v>
      </c>
      <c r="P993" s="26" t="n">
        <v>113063</v>
      </c>
    </row>
    <row r="994">
      <c r="A994" t="inlineStr">
        <is>
          <t>PRAGMA</t>
        </is>
      </c>
      <c r="B994" t="inlineStr">
        <is>
          <t>M1</t>
        </is>
      </c>
      <c r="C994" t="inlineStr">
        <is>
          <t>Cali</t>
        </is>
      </c>
      <c r="D994" t="inlineStr">
        <is>
          <t>8131</t>
        </is>
      </c>
      <c r="E994" t="inlineStr">
        <is>
          <t>TDV</t>
        </is>
      </c>
      <c r="F994" s="23" t="n">
        <v>46276</v>
      </c>
      <c r="G994" t="inlineStr">
        <is>
          <t>provision</t>
        </is>
      </c>
      <c r="H994" s="26" t="n">
        <v>371836307</v>
      </c>
      <c r="I994" t="inlineStr">
        <is>
          <t>bajo</t>
        </is>
      </c>
      <c r="J994" t="inlineStr">
        <is>
          <t>RN-11 y RN-34: provision hasta el cupo operativo antes de bajar del 8 %</t>
        </is>
      </c>
      <c r="K994" t="inlineStr">
        <is>
          <t>Provision en la manana, antes del pagado: con el pronostico, sin provision el saldo bajaria del 8 % del cupo ese dia. Lleva el saldo de 39.163.693 a 411.000.000 COP (cupo 411.000.000). Equipo administrado por TDV.</t>
        </is>
      </c>
      <c r="L994" s="26" t="n">
        <v>411000000</v>
      </c>
      <c r="M994" s="26" t="n">
        <v>39163693</v>
      </c>
      <c r="N994" s="27">
        <f>IF(ISNUMBER(M994),M994/L994,"No aplica")</f>
        <v>0.0952887907542579</v>
      </c>
      <c r="O994" s="25">
        <f>IF(G994="provision",M994+H994,IF(G994="recoleccion",M994-H994,"No aplica"))</f>
        <v>411000000</v>
      </c>
      <c r="P994" s="26" t="n">
        <v>159492</v>
      </c>
    </row>
    <row r="995">
      <c r="A995" t="inlineStr">
        <is>
          <t>PRAGMA</t>
        </is>
      </c>
      <c r="B995" t="inlineStr">
        <is>
          <t>M1</t>
        </is>
      </c>
      <c r="C995" t="inlineStr">
        <is>
          <t>Cali</t>
        </is>
      </c>
      <c r="D995" t="inlineStr">
        <is>
          <t>8131</t>
        </is>
      </c>
      <c r="E995" t="inlineStr">
        <is>
          <t>TDV</t>
        </is>
      </c>
      <c r="F995" s="23" t="n">
        <v>46279</v>
      </c>
      <c r="G995" t="inlineStr">
        <is>
          <t>provision</t>
        </is>
      </c>
      <c r="H995" s="26" t="n">
        <v>352287192</v>
      </c>
      <c r="I995" t="inlineStr">
        <is>
          <t>bajo</t>
        </is>
      </c>
      <c r="J995" t="inlineStr">
        <is>
          <t>RN-11 y RN-34: provision hasta el cupo operativo antes de bajar del 8 %</t>
        </is>
      </c>
      <c r="K995" t="inlineStr">
        <is>
          <t>Provision en la manana, antes del pagado: con el pronostico, sin provision el saldo bajaria del 8 % del cupo ese dia. Lleva el saldo de 58.712.808 a 411.000.000 COP (cupo 411.000.000). Equipo administrado por TDV.</t>
        </is>
      </c>
      <c r="L995" s="26" t="n">
        <v>411000000</v>
      </c>
      <c r="M995" s="26" t="n">
        <v>58712808</v>
      </c>
      <c r="N995" s="27">
        <f>IF(ISNUMBER(M995),M995/L995,"No aplica")</f>
        <v>0.14285354744525547</v>
      </c>
      <c r="O995" s="25">
        <f>IF(G995="provision",M995+H995,IF(G995="recoleccion",M995-H995,"No aplica"))</f>
        <v>411000000</v>
      </c>
      <c r="P995" s="26" t="n">
        <v>152103</v>
      </c>
    </row>
    <row r="996">
      <c r="A996" t="inlineStr">
        <is>
          <t>PRAGMA</t>
        </is>
      </c>
      <c r="B996" t="inlineStr">
        <is>
          <t>M1</t>
        </is>
      </c>
      <c r="C996" t="inlineStr">
        <is>
          <t>Cali</t>
        </is>
      </c>
      <c r="D996" t="inlineStr">
        <is>
          <t>8151</t>
        </is>
      </c>
      <c r="E996" t="inlineStr">
        <is>
          <t>TDV</t>
        </is>
      </c>
      <c r="F996" s="23" t="n">
        <v>46270</v>
      </c>
      <c r="G996" t="inlineStr">
        <is>
          <t>provision</t>
        </is>
      </c>
      <c r="H996" s="26" t="n">
        <v>444579056</v>
      </c>
      <c r="I996" t="inlineStr">
        <is>
          <t>bajo</t>
        </is>
      </c>
      <c r="J996" t="inlineStr">
        <is>
          <t>RN-11 y RN-34: provision hasta el cupo operativo antes de bajar del 8 %</t>
        </is>
      </c>
      <c r="K996" t="inlineStr">
        <is>
          <t>Provision en la manana, antes del pagado: con el pronostico, sin provision el saldo bajaria del 8 % del cupo ese dia. Lleva el saldo de 55.420.944 a 500.000.000 COP (cupo 500.000.000). Equipo administrado por TDV.</t>
        </is>
      </c>
      <c r="L996" s="26" t="n">
        <v>500000000</v>
      </c>
      <c r="M996" s="26" t="n">
        <v>55420944</v>
      </c>
      <c r="N996" s="27">
        <f>IF(ISNUMBER(M996),M996/L996,"No aplica")</f>
        <v>0.110841888</v>
      </c>
      <c r="O996" s="25">
        <f>IF(G996="provision",M996+H996,IF(G996="recoleccion",M996-H996,"No aplica"))</f>
        <v>500000000</v>
      </c>
      <c r="P996" s="26" t="n">
        <v>160518</v>
      </c>
    </row>
    <row r="997">
      <c r="A997" t="inlineStr">
        <is>
          <t>PRAGMA</t>
        </is>
      </c>
      <c r="B997" t="inlineStr">
        <is>
          <t>M1</t>
        </is>
      </c>
      <c r="C997" t="inlineStr">
        <is>
          <t>Cali</t>
        </is>
      </c>
      <c r="D997" t="inlineStr">
        <is>
          <t>8151</t>
        </is>
      </c>
      <c r="E997" t="inlineStr">
        <is>
          <t>TDV</t>
        </is>
      </c>
      <c r="F997" s="23" t="n">
        <v>46275</v>
      </c>
      <c r="G997" t="inlineStr">
        <is>
          <t>provision</t>
        </is>
      </c>
      <c r="H997" s="26" t="n">
        <v>417326133</v>
      </c>
      <c r="I997" t="inlineStr">
        <is>
          <t>bajo</t>
        </is>
      </c>
      <c r="J997" t="inlineStr">
        <is>
          <t>RN-11 y RN-34: provision hasta el cupo operativo antes de bajar del 8 %</t>
        </is>
      </c>
      <c r="K997" t="inlineStr">
        <is>
          <t>Provision en la manana, antes del pagado: con el pronostico, sin provision el saldo bajaria del 8 % del cupo ese dia. Lleva el saldo de 82.673.867 a 500.000.000 COP (cupo 500.000.000). Equipo administrado por TDV.</t>
        </is>
      </c>
      <c r="L997" s="26" t="n">
        <v>500000000</v>
      </c>
      <c r="M997" s="26" t="n">
        <v>82673867</v>
      </c>
      <c r="N997" s="27">
        <f>IF(ISNUMBER(M997),M997/L997,"No aplica")</f>
        <v>0.165347734</v>
      </c>
      <c r="O997" s="25">
        <f>IF(G997="provision",M997+H997,IF(G997="recoleccion",M997-H997,"No aplica"))</f>
        <v>500000000</v>
      </c>
      <c r="P997" s="26" t="n">
        <v>151715</v>
      </c>
    </row>
    <row r="998">
      <c r="A998" t="inlineStr">
        <is>
          <t>PRAGMA</t>
        </is>
      </c>
      <c r="B998" t="inlineStr">
        <is>
          <t>M1</t>
        </is>
      </c>
      <c r="C998" t="inlineStr">
        <is>
          <t>Pasto</t>
        </is>
      </c>
      <c r="D998" t="inlineStr">
        <is>
          <t>8171</t>
        </is>
      </c>
      <c r="E998" t="inlineStr">
        <is>
          <t>TDV</t>
        </is>
      </c>
      <c r="F998" s="23" t="n">
        <v>46269</v>
      </c>
      <c r="G998" t="inlineStr">
        <is>
          <t>provision</t>
        </is>
      </c>
      <c r="H998" s="26" t="n">
        <v>326052737</v>
      </c>
      <c r="I998" t="inlineStr">
        <is>
          <t>bajo</t>
        </is>
      </c>
      <c r="J998" t="inlineStr">
        <is>
          <t>RN-11 y RN-34: provision hasta el cupo operativo antes de bajar del 8 %</t>
        </is>
      </c>
      <c r="K998" t="inlineStr">
        <is>
          <t>Provision en la manana, antes del pagado: con el pronostico, sin provision el saldo bajaria del 8 % del cupo ese dia. Lleva el saldo de 84.947.263 a 411.000.000 COP (cupo 411.000.000). Equipo administrado por TDV.</t>
        </is>
      </c>
      <c r="L998" s="26" t="n">
        <v>411000000</v>
      </c>
      <c r="M998" s="26" t="n">
        <v>84947263</v>
      </c>
      <c r="N998" s="27">
        <f>IF(ISNUMBER(M998),M998/L998,"No aplica")</f>
        <v>0.20668433819951337</v>
      </c>
      <c r="O998" s="25">
        <f>IF(G998="provision",M998+H998,IF(G998="recoleccion",M998-H998,"No aplica"))</f>
        <v>411000000</v>
      </c>
      <c r="P998" s="26" t="n">
        <v>106854</v>
      </c>
    </row>
    <row r="999">
      <c r="A999" t="inlineStr">
        <is>
          <t>PRAGMA</t>
        </is>
      </c>
      <c r="B999" t="inlineStr">
        <is>
          <t>M1</t>
        </is>
      </c>
      <c r="C999" t="inlineStr">
        <is>
          <t>Pasto</t>
        </is>
      </c>
      <c r="D999" t="inlineStr">
        <is>
          <t>8171</t>
        </is>
      </c>
      <c r="E999" t="inlineStr">
        <is>
          <t>TDV</t>
        </is>
      </c>
      <c r="F999" s="23" t="n">
        <v>46273</v>
      </c>
      <c r="G999" t="inlineStr">
        <is>
          <t>provision</t>
        </is>
      </c>
      <c r="H999" s="26" t="n">
        <v>352059907</v>
      </c>
      <c r="I999" t="inlineStr">
        <is>
          <t>bajo</t>
        </is>
      </c>
      <c r="J999" t="inlineStr">
        <is>
          <t>RN-11 y RN-34: provision hasta el cupo operativo antes de bajar del 8 %</t>
        </is>
      </c>
      <c r="K999" t="inlineStr">
        <is>
          <t>Provision en la manana, antes del pagado: con el pronostico, sin provision el saldo bajaria del 8 % del cupo ese dia. Lleva el saldo de 58.940.093 a 411.000.000 COP (cupo 411.000.000). Equipo administrado por TDV.</t>
        </is>
      </c>
      <c r="L999" s="26" t="n">
        <v>411000000</v>
      </c>
      <c r="M999" s="26" t="n">
        <v>58940093</v>
      </c>
      <c r="N999" s="27">
        <f>IF(ISNUMBER(M999),M999/L999,"No aplica")</f>
        <v>0.14340655231143554</v>
      </c>
      <c r="O999" s="25">
        <f>IF(G999="provision",M999+H999,IF(G999="recoleccion",M999-H999,"No aplica"))</f>
        <v>411000000</v>
      </c>
      <c r="P999" s="26" t="n">
        <v>114136</v>
      </c>
    </row>
    <row r="1000">
      <c r="A1000" t="inlineStr">
        <is>
          <t>PRAGMA</t>
        </is>
      </c>
      <c r="B1000" t="inlineStr">
        <is>
          <t>M1</t>
        </is>
      </c>
      <c r="C1000" t="inlineStr">
        <is>
          <t>Pasto</t>
        </is>
      </c>
      <c r="D1000" t="inlineStr">
        <is>
          <t>8171</t>
        </is>
      </c>
      <c r="E1000" t="inlineStr">
        <is>
          <t>TDV</t>
        </is>
      </c>
      <c r="F1000" s="23" t="n">
        <v>46278</v>
      </c>
      <c r="G1000" t="inlineStr">
        <is>
          <t>provision</t>
        </is>
      </c>
      <c r="H1000" s="26" t="n">
        <v>332009523</v>
      </c>
      <c r="I1000" t="inlineStr">
        <is>
          <t>bajo</t>
        </is>
      </c>
      <c r="J1000" t="inlineStr">
        <is>
          <t>RN-11 y RN-34: provision hasta el cupo operativo antes de bajar del 8 %</t>
        </is>
      </c>
      <c r="K1000" t="inlineStr">
        <is>
          <t>Provision en la manana, antes del pagado: con el pronostico, sin provision el saldo bajaria del 8 % del cupo ese dia. Lleva el saldo de 78.990.477 a 411.000.000 COP (cupo 411.000.000). Equipo administrado por TDV.</t>
        </is>
      </c>
      <c r="L1000" s="26" t="n">
        <v>411000000</v>
      </c>
      <c r="M1000" s="26" t="n">
        <v>78990477</v>
      </c>
      <c r="N1000" s="27">
        <f>IF(ISNUMBER(M1000),M1000/L1000,"No aplica")</f>
        <v>0.1921909416058394</v>
      </c>
      <c r="O1000" s="25">
        <f>IF(G1000="provision",M1000+H1000,IF(G1000="recoleccion",M1000-H1000,"No aplica"))</f>
        <v>411000000</v>
      </c>
      <c r="P1000" s="26" t="n">
        <v>147148</v>
      </c>
    </row>
    <row r="1001">
      <c r="A1001" t="inlineStr">
        <is>
          <t>PRAGMA</t>
        </is>
      </c>
      <c r="B1001" t="inlineStr">
        <is>
          <t>M1</t>
        </is>
      </c>
      <c r="C1001" t="inlineStr">
        <is>
          <t>Pasto</t>
        </is>
      </c>
      <c r="D1001" t="inlineStr">
        <is>
          <t>8172</t>
        </is>
      </c>
      <c r="E1001" t="inlineStr">
        <is>
          <t>TDV</t>
        </is>
      </c>
      <c r="F1001" s="23" t="n">
        <v>46268</v>
      </c>
      <c r="G1001" t="inlineStr">
        <is>
          <t>provision</t>
        </is>
      </c>
      <c r="H1001" s="26" t="n">
        <v>292228616</v>
      </c>
      <c r="I1001" t="inlineStr">
        <is>
          <t>bajo</t>
        </is>
      </c>
      <c r="J1001" t="inlineStr">
        <is>
          <t>RN-11 y RN-34: provision hasta el cupo operativo antes de bajar del 8 %</t>
        </is>
      </c>
      <c r="K1001" t="inlineStr">
        <is>
          <t>Provision en la manana, antes del pagado: con el pronostico, sin provision el saldo bajaria del 8 % del cupo ese dia. Lleva el saldo de 118.771.384 a 411.000.000 COP (cupo 411.000.000). Equipo administrado por TDV.</t>
        </is>
      </c>
      <c r="L1001" s="26" t="n">
        <v>411000000</v>
      </c>
      <c r="M1001" s="26" t="n">
        <v>118771384</v>
      </c>
      <c r="N1001" s="27">
        <f>IF(ISNUMBER(M1001),M1001/L1001,"No aplica")</f>
        <v>0.2889814695863747</v>
      </c>
      <c r="O1001" s="25">
        <f>IF(G1001="provision",M1001+H1001,IF(G1001="recoleccion",M1001-H1001,"No aplica"))</f>
        <v>411000000</v>
      </c>
      <c r="P1001" s="26" t="n">
        <v>97383</v>
      </c>
    </row>
    <row r="1002">
      <c r="A1002" t="inlineStr">
        <is>
          <t>PRAGMA</t>
        </is>
      </c>
      <c r="B1002" t="inlineStr">
        <is>
          <t>M1</t>
        </is>
      </c>
      <c r="C1002" t="inlineStr">
        <is>
          <t>Pasto</t>
        </is>
      </c>
      <c r="D1002" t="inlineStr">
        <is>
          <t>8172</t>
        </is>
      </c>
      <c r="E1002" t="inlineStr">
        <is>
          <t>TDV</t>
        </is>
      </c>
      <c r="F1002" s="23" t="n">
        <v>46271</v>
      </c>
      <c r="G1002" t="inlineStr">
        <is>
          <t>provision</t>
        </is>
      </c>
      <c r="H1002" s="26" t="n">
        <v>352378442</v>
      </c>
      <c r="I1002" t="inlineStr">
        <is>
          <t>bajo</t>
        </is>
      </c>
      <c r="J1002" t="inlineStr">
        <is>
          <t>RN-11 y RN-34: provision hasta el cupo operativo antes de bajar del 8 %</t>
        </is>
      </c>
      <c r="K1002" t="inlineStr">
        <is>
          <t>Provision en la manana, antes del pagado: con el pronostico, sin provision el saldo bajaria del 8 % del cupo ese dia. Lleva el saldo de 58.621.558 a 411.000.000 COP (cupo 411.000.000). Equipo administrado por TDV.</t>
        </is>
      </c>
      <c r="L1002" s="26" t="n">
        <v>411000000</v>
      </c>
      <c r="M1002" s="26" t="n">
        <v>58621558</v>
      </c>
      <c r="N1002" s="27">
        <f>IF(ISNUMBER(M1002),M1002/L1002,"No aplica")</f>
        <v>0.14263152798053527</v>
      </c>
      <c r="O1002" s="25">
        <f>IF(G1002="provision",M1002+H1002,IF(G1002="recoleccion",M1002-H1002,"No aplica"))</f>
        <v>411000000</v>
      </c>
      <c r="P1002" s="26" t="n">
        <v>154867</v>
      </c>
    </row>
    <row r="1003">
      <c r="A1003" t="inlineStr">
        <is>
          <t>PRAGMA</t>
        </is>
      </c>
      <c r="B1003" t="inlineStr">
        <is>
          <t>M1</t>
        </is>
      </c>
      <c r="C1003" t="inlineStr">
        <is>
          <t>Pasto</t>
        </is>
      </c>
      <c r="D1003" t="inlineStr">
        <is>
          <t>8172</t>
        </is>
      </c>
      <c r="E1003" t="inlineStr">
        <is>
          <t>TDV</t>
        </is>
      </c>
      <c r="F1003" s="23" t="n">
        <v>46274</v>
      </c>
      <c r="G1003" t="inlineStr">
        <is>
          <t>provision</t>
        </is>
      </c>
      <c r="H1003" s="26" t="n">
        <v>293907166</v>
      </c>
      <c r="I1003" t="inlineStr">
        <is>
          <t>bajo</t>
        </is>
      </c>
      <c r="J1003" t="inlineStr">
        <is>
          <t>RN-11 y RN-34: provision hasta el cupo operativo antes de bajar del 8 %</t>
        </is>
      </c>
      <c r="K1003" t="inlineStr">
        <is>
          <t>Provision en la manana, antes del pagado: con el pronostico, sin provision el saldo bajaria del 8 % del cupo ese dia. Lleva el saldo de 117.092.834 a 411.000.000 COP (cupo 411.000.000). Equipo administrado por TDV.</t>
        </is>
      </c>
      <c r="L1003" s="26" t="n">
        <v>411000000</v>
      </c>
      <c r="M1003" s="26" t="n">
        <v>117092834</v>
      </c>
      <c r="N1003" s="27">
        <f>IF(ISNUMBER(M1003),M1003/L1003,"No aplica")</f>
        <v>0.28489740632603405</v>
      </c>
      <c r="O1003" s="25">
        <f>IF(G1003="provision",M1003+H1003,IF(G1003="recoleccion",M1003-H1003,"No aplica"))</f>
        <v>411000000</v>
      </c>
      <c r="P1003" s="26" t="n">
        <v>97853</v>
      </c>
    </row>
    <row r="1004">
      <c r="A1004" t="inlineStr">
        <is>
          <t>PRAGMA</t>
        </is>
      </c>
      <c r="B1004" t="inlineStr">
        <is>
          <t>M1</t>
        </is>
      </c>
      <c r="C1004" t="inlineStr">
        <is>
          <t>Pasto</t>
        </is>
      </c>
      <c r="D1004" t="inlineStr">
        <is>
          <t>8172</t>
        </is>
      </c>
      <c r="E1004" t="inlineStr">
        <is>
          <t>TDV</t>
        </is>
      </c>
      <c r="F1004" s="23" t="n">
        <v>46278</v>
      </c>
      <c r="G1004" t="inlineStr">
        <is>
          <t>provision</t>
        </is>
      </c>
      <c r="H1004" s="26" t="n">
        <v>340251952</v>
      </c>
      <c r="I1004" t="inlineStr">
        <is>
          <t>bajo</t>
        </is>
      </c>
      <c r="J1004" t="inlineStr">
        <is>
          <t>RN-11 y RN-34: provision hasta el cupo operativo antes de bajar del 8 %</t>
        </is>
      </c>
      <c r="K1004" t="inlineStr">
        <is>
          <t>Provision en la manana, antes del pagado: con el pronostico, sin provision el saldo bajaria del 8 % del cupo ese dia. Lleva el saldo de 70.748.048 a 411.000.000 COP (cupo 411.000.000). Equipo administrado por TDV.</t>
        </is>
      </c>
      <c r="L1004" s="26" t="n">
        <v>411000000</v>
      </c>
      <c r="M1004" s="26" t="n">
        <v>70748048</v>
      </c>
      <c r="N1004" s="27">
        <f>IF(ISNUMBER(M1004),M1004/L1004,"No aplica")</f>
        <v>0.1721363698296837</v>
      </c>
      <c r="O1004" s="25">
        <f>IF(G1004="provision",M1004+H1004,IF(G1004="recoleccion",M1004-H1004,"No aplica"))</f>
        <v>411000000</v>
      </c>
      <c r="P1004" s="26" t="n">
        <v>150271</v>
      </c>
    </row>
    <row r="1005">
      <c r="A1005" t="inlineStr">
        <is>
          <t>PRAGMA</t>
        </is>
      </c>
      <c r="B1005" t="inlineStr">
        <is>
          <t>M1</t>
        </is>
      </c>
      <c r="C1005" t="inlineStr">
        <is>
          <t>Pasto</t>
        </is>
      </c>
      <c r="D1005" t="inlineStr">
        <is>
          <t>8173</t>
        </is>
      </c>
      <c r="E1005" t="inlineStr">
        <is>
          <t>TDV</t>
        </is>
      </c>
      <c r="F1005" s="23" t="n">
        <v>46269</v>
      </c>
      <c r="G1005" t="inlineStr">
        <is>
          <t>provision</t>
        </is>
      </c>
      <c r="H1005" s="26" t="n">
        <v>363697128</v>
      </c>
      <c r="I1005" t="inlineStr">
        <is>
          <t>bajo</t>
        </is>
      </c>
      <c r="J1005" t="inlineStr">
        <is>
          <t>RN-11 y RN-34: provision hasta el cupo operativo antes de bajar del 8 %</t>
        </is>
      </c>
      <c r="K1005" t="inlineStr">
        <is>
          <t>Provision en la manana, antes del pagado: con el pronostico, sin provision el saldo bajaria del 8 % del cupo ese dia. Lleva el saldo de 47.302.872 a 411.000.000 COP (cupo 411.000.000). Equipo administrado por TDV.</t>
        </is>
      </c>
      <c r="L1005" s="26" t="n">
        <v>411000000</v>
      </c>
      <c r="M1005" s="26" t="n">
        <v>47302872</v>
      </c>
      <c r="N1005" s="27">
        <f>IF(ISNUMBER(M1005),M1005/L1005,"No aplica")</f>
        <v>0.11509214598540146</v>
      </c>
      <c r="O1005" s="25">
        <f>IF(G1005="provision",M1005+H1005,IF(G1005="recoleccion",M1005-H1005,"No aplica"))</f>
        <v>411000000</v>
      </c>
      <c r="P1005" s="26" t="n">
        <v>117394</v>
      </c>
    </row>
    <row r="1006">
      <c r="A1006" t="inlineStr">
        <is>
          <t>PRAGMA</t>
        </is>
      </c>
      <c r="B1006" t="inlineStr">
        <is>
          <t>M1</t>
        </is>
      </c>
      <c r="C1006" t="inlineStr">
        <is>
          <t>Pasto</t>
        </is>
      </c>
      <c r="D1006" t="inlineStr">
        <is>
          <t>8173</t>
        </is>
      </c>
      <c r="E1006" t="inlineStr">
        <is>
          <t>TDV</t>
        </is>
      </c>
      <c r="F1006" s="23" t="n">
        <v>46272</v>
      </c>
      <c r="G1006" t="inlineStr">
        <is>
          <t>provision</t>
        </is>
      </c>
      <c r="H1006" s="26" t="n">
        <v>320925167</v>
      </c>
      <c r="I1006" t="inlineStr">
        <is>
          <t>bajo</t>
        </is>
      </c>
      <c r="J1006" t="inlineStr">
        <is>
          <t>RN-11 y RN-34: provision hasta el cupo operativo antes de bajar del 8 %</t>
        </is>
      </c>
      <c r="K1006" t="inlineStr">
        <is>
          <t>Provision en la manana, antes del pagado: con el pronostico, sin provision el saldo bajaria del 8 % del cupo ese dia. Lleva el saldo de 90.074.833 a 411.000.000 COP (cupo 411.000.000). Equipo administrado por TDV.</t>
        </is>
      </c>
      <c r="L1006" s="26" t="n">
        <v>411000000</v>
      </c>
      <c r="M1006" s="26" t="n">
        <v>90074833</v>
      </c>
      <c r="N1006" s="27">
        <f>IF(ISNUMBER(M1006),M1006/L1006,"No aplica")</f>
        <v>0.21916017761557177</v>
      </c>
      <c r="O1006" s="25">
        <f>IF(G1006="provision",M1006+H1006,IF(G1006="recoleccion",M1006-H1006,"No aplica"))</f>
        <v>411000000</v>
      </c>
      <c r="P1006" s="26" t="n">
        <v>105418</v>
      </c>
    </row>
    <row r="1007">
      <c r="A1007" t="inlineStr">
        <is>
          <t>PRAGMA</t>
        </is>
      </c>
      <c r="B1007" t="inlineStr">
        <is>
          <t>M1</t>
        </is>
      </c>
      <c r="C1007" t="inlineStr">
        <is>
          <t>Pasto</t>
        </is>
      </c>
      <c r="D1007" t="inlineStr">
        <is>
          <t>8173</t>
        </is>
      </c>
      <c r="E1007" t="inlineStr">
        <is>
          <t>TDV</t>
        </is>
      </c>
      <c r="F1007" s="23" t="n">
        <v>46276</v>
      </c>
      <c r="G1007" t="inlineStr">
        <is>
          <t>provision</t>
        </is>
      </c>
      <c r="H1007" s="26" t="n">
        <v>322733667</v>
      </c>
      <c r="I1007" t="inlineStr">
        <is>
          <t>bajo</t>
        </is>
      </c>
      <c r="J1007" t="inlineStr">
        <is>
          <t>RN-11 y RN-34: provision hasta el cupo operativo antes de bajar del 8 %</t>
        </is>
      </c>
      <c r="K1007" t="inlineStr">
        <is>
          <t>Provision en la manana, antes del pagado: con el pronostico, sin provision el saldo bajaria del 8 % del cupo ese dia. Lleva el saldo de 88.266.333 a 411.000.000 COP (cupo 411.000.000). Equipo administrado por TDV.</t>
        </is>
      </c>
      <c r="L1007" s="26" t="n">
        <v>411000000</v>
      </c>
      <c r="M1007" s="26" t="n">
        <v>88266333</v>
      </c>
      <c r="N1007" s="27">
        <f>IF(ISNUMBER(M1007),M1007/L1007,"No aplica")</f>
        <v>0.21475993430656934</v>
      </c>
      <c r="O1007" s="25">
        <f>IF(G1007="provision",M1007+H1007,IF(G1007="recoleccion",M1007-H1007,"No aplica"))</f>
        <v>411000000</v>
      </c>
      <c r="P1007" s="26" t="n">
        <v>105924</v>
      </c>
    </row>
    <row r="1008">
      <c r="A1008" t="inlineStr">
        <is>
          <t>PRAGMA</t>
        </is>
      </c>
      <c r="B1008" t="inlineStr">
        <is>
          <t>M1</t>
        </is>
      </c>
      <c r="C1008" t="inlineStr">
        <is>
          <t>Pasto</t>
        </is>
      </c>
      <c r="D1008" t="inlineStr">
        <is>
          <t>8173</t>
        </is>
      </c>
      <c r="E1008" t="inlineStr">
        <is>
          <t>TDV</t>
        </is>
      </c>
      <c r="F1008" s="23" t="n">
        <v>46280</v>
      </c>
      <c r="G1008" t="inlineStr">
        <is>
          <t>provision</t>
        </is>
      </c>
      <c r="H1008" s="26" t="n">
        <v>314314927</v>
      </c>
      <c r="I1008" t="inlineStr">
        <is>
          <t>bajo</t>
        </is>
      </c>
      <c r="J1008" t="inlineStr">
        <is>
          <t>RN-11 y RN-34: provision hasta el cupo operativo antes de bajar del 8 %</t>
        </is>
      </c>
      <c r="K1008" t="inlineStr">
        <is>
          <t>Provision en la manana, antes del pagado: con el pronostico, sin provision el saldo bajaria del 8 % del cupo ese dia. Lleva el saldo de 96.685.073 a 411.000.000 COP (cupo 411.000.000). Equipo administrado por TDV.</t>
        </is>
      </c>
      <c r="L1008" s="26" t="n">
        <v>411000000</v>
      </c>
      <c r="M1008" s="26" t="n">
        <v>96685073</v>
      </c>
      <c r="N1008" s="27">
        <f>IF(ISNUMBER(M1008),M1008/L1008,"No aplica")</f>
        <v>0.23524348661800487</v>
      </c>
      <c r="O1008" s="25">
        <f>IF(G1008="provision",M1008+H1008,IF(G1008="recoleccion",M1008-H1008,"No aplica"))</f>
        <v>411000000</v>
      </c>
      <c r="P1008" s="26" t="n">
        <v>103567</v>
      </c>
    </row>
    <row r="1009">
      <c r="A1009" t="inlineStr">
        <is>
          <t>PRAGMA</t>
        </is>
      </c>
      <c r="B1009" t="inlineStr">
        <is>
          <t>M1</t>
        </is>
      </c>
      <c r="C1009" t="inlineStr">
        <is>
          <t>Cali</t>
        </is>
      </c>
      <c r="D1009" t="inlineStr">
        <is>
          <t>8185</t>
        </is>
      </c>
      <c r="E1009" t="inlineStr">
        <is>
          <t>TDV</t>
        </is>
      </c>
      <c r="F1009" s="23" t="n">
        <v>46269</v>
      </c>
      <c r="G1009" t="inlineStr">
        <is>
          <t>provision</t>
        </is>
      </c>
      <c r="H1009" s="26" t="n">
        <v>296012963</v>
      </c>
      <c r="I1009" t="inlineStr">
        <is>
          <t>bajo</t>
        </is>
      </c>
      <c r="J1009" t="inlineStr">
        <is>
          <t>RN-11 y RN-34: provision hasta el cupo operativo antes de bajar del 8 %</t>
        </is>
      </c>
      <c r="K1009" t="inlineStr">
        <is>
          <t>Provision en la manana, antes del pagado: con el pronostico, sin provision el saldo bajaria del 8 % del cupo ese dia. Lleva el saldo de 108.987.037 a 405.000.000 COP (cupo 405.000.000). Equipo administrado por TDV.</t>
        </is>
      </c>
      <c r="L1009" s="26" t="n">
        <v>405000000</v>
      </c>
      <c r="M1009" s="26" t="n">
        <v>108987037</v>
      </c>
      <c r="N1009" s="27">
        <f>IF(ISNUMBER(M1009),M1009/L1009,"No aplica")</f>
        <v>0.2691037950617284</v>
      </c>
      <c r="O1009" s="25">
        <f>IF(G1009="provision",M1009+H1009,IF(G1009="recoleccion",M1009-H1009,"No aplica"))</f>
        <v>405000000</v>
      </c>
      <c r="P1009" s="26" t="n">
        <v>129047</v>
      </c>
    </row>
    <row r="1010">
      <c r="A1010" t="inlineStr">
        <is>
          <t>PRAGMA</t>
        </is>
      </c>
      <c r="B1010" t="inlineStr">
        <is>
          <t>M1</t>
        </is>
      </c>
      <c r="C1010" t="inlineStr">
        <is>
          <t>Cali</t>
        </is>
      </c>
      <c r="D1010" t="inlineStr">
        <is>
          <t>8185</t>
        </is>
      </c>
      <c r="E1010" t="inlineStr">
        <is>
          <t>TDV</t>
        </is>
      </c>
      <c r="F1010" s="23" t="n">
        <v>46273</v>
      </c>
      <c r="G1010" t="inlineStr">
        <is>
          <t>provision</t>
        </is>
      </c>
      <c r="H1010" s="26" t="n">
        <v>322210590</v>
      </c>
      <c r="I1010" t="inlineStr">
        <is>
          <t>bajo</t>
        </is>
      </c>
      <c r="J1010" t="inlineStr">
        <is>
          <t>RN-11 y RN-34: provision hasta el cupo operativo antes de bajar del 8 %</t>
        </is>
      </c>
      <c r="K1010" t="inlineStr">
        <is>
          <t>Provision en la manana, antes del pagado: con el pronostico, sin provision el saldo bajaria del 8 % del cupo ese dia. Lleva el saldo de 82.789.410 a 405.000.000 COP (cupo 405.000.000). Equipo administrado por TDV.</t>
        </is>
      </c>
      <c r="L1010" s="26" t="n">
        <v>405000000</v>
      </c>
      <c r="M1010" s="26" t="n">
        <v>82789410</v>
      </c>
      <c r="N1010" s="27">
        <f>IF(ISNUMBER(M1010),M1010/L1010,"No aplica")</f>
        <v>0.2044182962962963</v>
      </c>
      <c r="O1010" s="25">
        <f>IF(G1010="provision",M1010+H1010,IF(G1010="recoleccion",M1010-H1010,"No aplica"))</f>
        <v>405000000</v>
      </c>
      <c r="P1010" s="26" t="n">
        <v>138897</v>
      </c>
    </row>
    <row r="1011">
      <c r="A1011" t="inlineStr">
        <is>
          <t>PRAGMA</t>
        </is>
      </c>
      <c r="B1011" t="inlineStr">
        <is>
          <t>M1</t>
        </is>
      </c>
      <c r="C1011" t="inlineStr">
        <is>
          <t>Cali</t>
        </is>
      </c>
      <c r="D1011" t="inlineStr">
        <is>
          <t>8185</t>
        </is>
      </c>
      <c r="E1011" t="inlineStr">
        <is>
          <t>TDV</t>
        </is>
      </c>
      <c r="F1011" s="23" t="n">
        <v>46279</v>
      </c>
      <c r="G1011" t="inlineStr">
        <is>
          <t>provision</t>
        </is>
      </c>
      <c r="H1011" s="26" t="n">
        <v>360186975</v>
      </c>
      <c r="I1011" t="inlineStr">
        <is>
          <t>bajo</t>
        </is>
      </c>
      <c r="J1011" t="inlineStr">
        <is>
          <t>RN-11 y RN-34: provision hasta el cupo operativo antes de bajar del 8 %</t>
        </is>
      </c>
      <c r="K1011" t="inlineStr">
        <is>
          <t>Provision en la manana, antes del pagado: con el pronostico, sin provision el saldo bajaria del 8 % del cupo ese dia. Lleva el saldo de 44.813.025 a 405.000.000 COP (cupo 405.000.000). Equipo administrado por TDV.</t>
        </is>
      </c>
      <c r="L1011" s="26" t="n">
        <v>405000000</v>
      </c>
      <c r="M1011" s="26" t="n">
        <v>44813025</v>
      </c>
      <c r="N1011" s="27">
        <f>IF(ISNUMBER(M1011),M1011/L1011,"No aplica")</f>
        <v>0.11064944444444444</v>
      </c>
      <c r="O1011" s="25">
        <f>IF(G1011="provision",M1011+H1011,IF(G1011="recoleccion",M1011-H1011,"No aplica"))</f>
        <v>405000000</v>
      </c>
      <c r="P1011" s="26" t="n">
        <v>153176</v>
      </c>
    </row>
    <row r="1012">
      <c r="A1012" t="inlineStr">
        <is>
          <t>PRAGMA</t>
        </is>
      </c>
      <c r="B1012" t="inlineStr">
        <is>
          <t>M1</t>
        </is>
      </c>
      <c r="C1012" t="inlineStr">
        <is>
          <t>Cali</t>
        </is>
      </c>
      <c r="D1012" t="inlineStr">
        <is>
          <t>8186</t>
        </is>
      </c>
      <c r="E1012" t="inlineStr">
        <is>
          <t>TDV</t>
        </is>
      </c>
      <c r="F1012" s="23" t="n">
        <v>46269</v>
      </c>
      <c r="G1012" t="inlineStr">
        <is>
          <t>provision</t>
        </is>
      </c>
      <c r="H1012" s="26" t="n">
        <v>317202379</v>
      </c>
      <c r="I1012" t="inlineStr">
        <is>
          <t>bajo</t>
        </is>
      </c>
      <c r="J1012" t="inlineStr">
        <is>
          <t>RN-11 y RN-34: provision hasta el cupo operativo antes de bajar del 8 %</t>
        </is>
      </c>
      <c r="K1012" t="inlineStr">
        <is>
          <t>Provision en la manana, antes del pagado: con el pronostico, sin provision el saldo bajaria del 8 % del cupo ese dia. Lleva el saldo de 87.797.621 a 405.000.000 COP (cupo 405.000.000). Equipo administrado por TDV.</t>
        </is>
      </c>
      <c r="L1012" s="26" t="n">
        <v>405000000</v>
      </c>
      <c r="M1012" s="26" t="n">
        <v>87797621</v>
      </c>
      <c r="N1012" s="27">
        <f>IF(ISNUMBER(M1012),M1012/L1012,"No aplica")</f>
        <v>0.21678424938271604</v>
      </c>
      <c r="O1012" s="25">
        <f>IF(G1012="provision",M1012+H1012,IF(G1012="recoleccion",M1012-H1012,"No aplica"))</f>
        <v>405000000</v>
      </c>
      <c r="P1012" s="26" t="n">
        <v>137014</v>
      </c>
    </row>
    <row r="1013">
      <c r="A1013" t="inlineStr">
        <is>
          <t>PRAGMA</t>
        </is>
      </c>
      <c r="B1013" t="inlineStr">
        <is>
          <t>M1</t>
        </is>
      </c>
      <c r="C1013" t="inlineStr">
        <is>
          <t>Cali</t>
        </is>
      </c>
      <c r="D1013" t="inlineStr">
        <is>
          <t>8186</t>
        </is>
      </c>
      <c r="E1013" t="inlineStr">
        <is>
          <t>TDV</t>
        </is>
      </c>
      <c r="F1013" s="23" t="n">
        <v>46273</v>
      </c>
      <c r="G1013" t="inlineStr">
        <is>
          <t>provision</t>
        </is>
      </c>
      <c r="H1013" s="26" t="n">
        <v>331461603</v>
      </c>
      <c r="I1013" t="inlineStr">
        <is>
          <t>bajo</t>
        </is>
      </c>
      <c r="J1013" t="inlineStr">
        <is>
          <t>RN-11 y RN-34: provision hasta el cupo operativo antes de bajar del 8 %</t>
        </is>
      </c>
      <c r="K1013" t="inlineStr">
        <is>
          <t>Provision en la manana, antes del pagado: con el pronostico, sin provision el saldo bajaria del 8 % del cupo ese dia. Lleva el saldo de 73.538.397 a 405.000.000 COP (cupo 405.000.000). Equipo administrado por TDV.</t>
        </is>
      </c>
      <c r="L1013" s="26" t="n">
        <v>405000000</v>
      </c>
      <c r="M1013" s="26" t="n">
        <v>73538397</v>
      </c>
      <c r="N1013" s="27">
        <f>IF(ISNUMBER(M1013),M1013/L1013,"No aplica")</f>
        <v>0.18157628888888888</v>
      </c>
      <c r="O1013" s="25">
        <f>IF(G1013="provision",M1013+H1013,IF(G1013="recoleccion",M1013-H1013,"No aplica"))</f>
        <v>405000000</v>
      </c>
      <c r="P1013" s="26" t="n">
        <v>142376</v>
      </c>
    </row>
    <row r="1014">
      <c r="A1014" t="inlineStr">
        <is>
          <t>PRAGMA</t>
        </is>
      </c>
      <c r="B1014" t="inlineStr">
        <is>
          <t>M1</t>
        </is>
      </c>
      <c r="C1014" t="inlineStr">
        <is>
          <t>Cali</t>
        </is>
      </c>
      <c r="D1014" t="inlineStr">
        <is>
          <t>8186</t>
        </is>
      </c>
      <c r="E1014" t="inlineStr">
        <is>
          <t>TDV</t>
        </is>
      </c>
      <c r="F1014" s="23" t="n">
        <v>46278</v>
      </c>
      <c r="G1014" t="inlineStr">
        <is>
          <t>provision</t>
        </is>
      </c>
      <c r="H1014" s="26" t="n">
        <v>320228422</v>
      </c>
      <c r="I1014" t="inlineStr">
        <is>
          <t>bajo</t>
        </is>
      </c>
      <c r="J1014" t="inlineStr">
        <is>
          <t>RN-11 y RN-34: provision hasta el cupo operativo antes de bajar del 8 %</t>
        </is>
      </c>
      <c r="K1014" t="inlineStr">
        <is>
          <t>Provision en la manana, antes del pagado: con el pronostico, sin provision el saldo bajaria del 8 % del cupo ese dia. Lleva el saldo de 84.771.578 a 405.000.000 COP (cupo 405.000.000). Equipo administrado por TDV.</t>
        </is>
      </c>
      <c r="L1014" s="26" t="n">
        <v>405000000</v>
      </c>
      <c r="M1014" s="26" t="n">
        <v>84771578</v>
      </c>
      <c r="N1014" s="27">
        <f>IF(ISNUMBER(M1014),M1014/L1014,"No aplica")</f>
        <v>0.20931253827160493</v>
      </c>
      <c r="O1014" s="25">
        <f>IF(G1014="provision",M1014+H1014,IF(G1014="recoleccion",M1014-H1014,"No aplica"))</f>
        <v>405000000</v>
      </c>
      <c r="P1014" s="26" t="n">
        <v>183825</v>
      </c>
    </row>
    <row r="1015">
      <c r="A1015" t="inlineStr">
        <is>
          <t>PRAGMA</t>
        </is>
      </c>
      <c r="B1015" t="inlineStr">
        <is>
          <t>M1</t>
        </is>
      </c>
      <c r="C1015" t="inlineStr">
        <is>
          <t>Cali</t>
        </is>
      </c>
      <c r="D1015" t="inlineStr">
        <is>
          <t>8187</t>
        </is>
      </c>
      <c r="E1015" t="inlineStr">
        <is>
          <t>TDV</t>
        </is>
      </c>
      <c r="F1015" s="23" t="n">
        <v>46270</v>
      </c>
      <c r="G1015" t="inlineStr">
        <is>
          <t>provision</t>
        </is>
      </c>
      <c r="H1015" s="26" t="n">
        <v>320510400</v>
      </c>
      <c r="I1015" t="inlineStr">
        <is>
          <t>bajo</t>
        </is>
      </c>
      <c r="J1015" t="inlineStr">
        <is>
          <t>RN-11 y RN-34: provision hasta el cupo operativo antes de bajar del 8 %</t>
        </is>
      </c>
      <c r="K1015" t="inlineStr">
        <is>
          <t>Provision en la manana, antes del pagado: con el pronostico, sin provision el saldo bajaria del 8 % del cupo ese dia. Lleva el saldo de 84.489.600 a 405.000.000 COP (cupo 405.000.000). Equipo administrado por TDV.</t>
        </is>
      </c>
      <c r="L1015" s="26" t="n">
        <v>405000000</v>
      </c>
      <c r="M1015" s="26" t="n">
        <v>84489600</v>
      </c>
      <c r="N1015" s="27">
        <f>IF(ISNUMBER(M1015),M1015/L1015,"No aplica")</f>
        <v>0.2086162962962963</v>
      </c>
      <c r="O1015" s="25">
        <f>IF(G1015="provision",M1015+H1015,IF(G1015="recoleccion",M1015-H1015,"No aplica"))</f>
        <v>405000000</v>
      </c>
      <c r="P1015" s="26" t="n">
        <v>138258</v>
      </c>
    </row>
    <row r="1016">
      <c r="A1016" t="inlineStr">
        <is>
          <t>PRAGMA</t>
        </is>
      </c>
      <c r="B1016" t="inlineStr">
        <is>
          <t>M1</t>
        </is>
      </c>
      <c r="C1016" t="inlineStr">
        <is>
          <t>Cali</t>
        </is>
      </c>
      <c r="D1016" t="inlineStr">
        <is>
          <t>8187</t>
        </is>
      </c>
      <c r="E1016" t="inlineStr">
        <is>
          <t>TDV</t>
        </is>
      </c>
      <c r="F1016" s="23" t="n">
        <v>46277</v>
      </c>
      <c r="G1016" t="inlineStr">
        <is>
          <t>provision</t>
        </is>
      </c>
      <c r="H1016" s="26" t="n">
        <v>368666813</v>
      </c>
      <c r="I1016" t="inlineStr">
        <is>
          <t>bajo</t>
        </is>
      </c>
      <c r="J1016" t="inlineStr">
        <is>
          <t>RN-11 y RN-34: provision hasta el cupo operativo antes de bajar del 8 %</t>
        </is>
      </c>
      <c r="K1016" t="inlineStr">
        <is>
          <t>Provision en la manana, antes del pagado: con el pronostico, sin provision el saldo bajaria del 8 % del cupo ese dia. Lleva el saldo de 36.333.187 a 405.000.000 COP (cupo 405.000.000). Equipo administrado por TDV.</t>
        </is>
      </c>
      <c r="L1016" s="26" t="n">
        <v>405000000</v>
      </c>
      <c r="M1016" s="26" t="n">
        <v>36333187</v>
      </c>
      <c r="N1016" s="27">
        <f>IF(ISNUMBER(M1016),M1016/L1016,"No aplica")</f>
        <v>0.08971157283950618</v>
      </c>
      <c r="O1016" s="25">
        <f>IF(G1016="provision",M1016+H1016,IF(G1016="recoleccion",M1016-H1016,"No aplica"))</f>
        <v>405000000</v>
      </c>
      <c r="P1016" s="26" t="n">
        <v>156365</v>
      </c>
    </row>
    <row r="1017">
      <c r="A1017" t="inlineStr">
        <is>
          <t>PRAGMA</t>
        </is>
      </c>
      <c r="B1017" t="inlineStr">
        <is>
          <t>M1</t>
        </is>
      </c>
      <c r="C1017" t="inlineStr">
        <is>
          <t>Cali</t>
        </is>
      </c>
      <c r="D1017" t="inlineStr">
        <is>
          <t>8188</t>
        </is>
      </c>
      <c r="E1017" t="inlineStr">
        <is>
          <t>TDV</t>
        </is>
      </c>
      <c r="F1017" s="23" t="n">
        <v>46269</v>
      </c>
      <c r="G1017" t="inlineStr">
        <is>
          <t>provision</t>
        </is>
      </c>
      <c r="H1017" s="26" t="n">
        <v>316158799</v>
      </c>
      <c r="I1017" t="inlineStr">
        <is>
          <t>bajo</t>
        </is>
      </c>
      <c r="J1017" t="inlineStr">
        <is>
          <t>RN-11 y RN-34: provision hasta el cupo operativo antes de bajar del 8 %</t>
        </is>
      </c>
      <c r="K1017" t="inlineStr">
        <is>
          <t>Provision en la manana, antes del pagado: con el pronostico, sin provision el saldo bajaria del 8 % del cupo ese dia. Lleva el saldo de 88.841.201 a 405.000.000 COP (cupo 405.000.000). Equipo administrado por TDV.</t>
        </is>
      </c>
      <c r="L1017" s="26" t="n">
        <v>405000000</v>
      </c>
      <c r="M1017" s="26" t="n">
        <v>88841201</v>
      </c>
      <c r="N1017" s="27">
        <f>IF(ISNUMBER(M1017),M1017/L1017,"No aplica")</f>
        <v>0.21936099012345678</v>
      </c>
      <c r="O1017" s="25">
        <f>IF(G1017="provision",M1017+H1017,IF(G1017="recoleccion",M1017-H1017,"No aplica"))</f>
        <v>405000000</v>
      </c>
      <c r="P1017" s="26" t="n">
        <v>136622</v>
      </c>
    </row>
    <row r="1018">
      <c r="A1018" t="inlineStr">
        <is>
          <t>PRAGMA</t>
        </is>
      </c>
      <c r="B1018" t="inlineStr">
        <is>
          <t>M1</t>
        </is>
      </c>
      <c r="C1018" t="inlineStr">
        <is>
          <t>Cali</t>
        </is>
      </c>
      <c r="D1018" t="inlineStr">
        <is>
          <t>8188</t>
        </is>
      </c>
      <c r="E1018" t="inlineStr">
        <is>
          <t>TDV</t>
        </is>
      </c>
      <c r="F1018" s="23" t="n">
        <v>46273</v>
      </c>
      <c r="G1018" t="inlineStr">
        <is>
          <t>provision</t>
        </is>
      </c>
      <c r="H1018" s="26" t="n">
        <v>325456888</v>
      </c>
      <c r="I1018" t="inlineStr">
        <is>
          <t>bajo</t>
        </is>
      </c>
      <c r="J1018" t="inlineStr">
        <is>
          <t>RN-11 y RN-34: provision hasta el cupo operativo antes de bajar del 8 %</t>
        </is>
      </c>
      <c r="K1018" t="inlineStr">
        <is>
          <t>Provision en la manana, antes del pagado: con el pronostico, sin provision el saldo bajaria del 8 % del cupo ese dia. Lleva el saldo de 79.543.112 a 405.000.000 COP (cupo 405.000.000). Equipo administrado por TDV.</t>
        </is>
      </c>
      <c r="L1018" s="26" t="n">
        <v>405000000</v>
      </c>
      <c r="M1018" s="26" t="n">
        <v>79543112</v>
      </c>
      <c r="N1018" s="27">
        <f>IF(ISNUMBER(M1018),M1018/L1018,"No aplica")</f>
        <v>0.19640274567901234</v>
      </c>
      <c r="O1018" s="25">
        <f>IF(G1018="provision",M1018+H1018,IF(G1018="recoleccion",M1018-H1018,"No aplica"))</f>
        <v>405000000</v>
      </c>
      <c r="P1018" s="26" t="n">
        <v>140118</v>
      </c>
    </row>
    <row r="1019">
      <c r="A1019" t="inlineStr">
        <is>
          <t>PRAGMA</t>
        </is>
      </c>
      <c r="B1019" t="inlineStr">
        <is>
          <t>M1</t>
        </is>
      </c>
      <c r="C1019" t="inlineStr">
        <is>
          <t>Cali</t>
        </is>
      </c>
      <c r="D1019" t="inlineStr">
        <is>
          <t>8188</t>
        </is>
      </c>
      <c r="E1019" t="inlineStr">
        <is>
          <t>TDV</t>
        </is>
      </c>
      <c r="F1019" s="23" t="n">
        <v>46278</v>
      </c>
      <c r="G1019" t="inlineStr">
        <is>
          <t>provision</t>
        </is>
      </c>
      <c r="H1019" s="26" t="n">
        <v>317750117</v>
      </c>
      <c r="I1019" t="inlineStr">
        <is>
          <t>bajo</t>
        </is>
      </c>
      <c r="J1019" t="inlineStr">
        <is>
          <t>RN-11 y RN-34: provision hasta el cupo operativo antes de bajar del 8 %</t>
        </is>
      </c>
      <c r="K1019" t="inlineStr">
        <is>
          <t>Provision en la manana, antes del pagado: con el pronostico, sin provision el saldo bajaria del 8 % del cupo ese dia. Lleva el saldo de 87.249.883 a 405.000.000 COP (cupo 405.000.000). Equipo administrado por TDV.</t>
        </is>
      </c>
      <c r="L1019" s="26" t="n">
        <v>405000000</v>
      </c>
      <c r="M1019" s="26" t="n">
        <v>87249883</v>
      </c>
      <c r="N1019" s="27">
        <f>IF(ISNUMBER(M1019),M1019/L1019,"No aplica")</f>
        <v>0.2154318098765432</v>
      </c>
      <c r="O1019" s="25">
        <f>IF(G1019="provision",M1019+H1019,IF(G1019="recoleccion",M1019-H1019,"No aplica"))</f>
        <v>405000000</v>
      </c>
      <c r="P1019" s="26" t="n">
        <v>182581</v>
      </c>
    </row>
    <row r="1020">
      <c r="A1020" t="inlineStr">
        <is>
          <t>PRAGMA</t>
        </is>
      </c>
      <c r="B1020" t="inlineStr">
        <is>
          <t>M1</t>
        </is>
      </c>
      <c r="C1020" t="inlineStr">
        <is>
          <t>Cali</t>
        </is>
      </c>
      <c r="D1020" t="inlineStr">
        <is>
          <t>820</t>
        </is>
      </c>
      <c r="E1020" t="inlineStr">
        <is>
          <t>TDV</t>
        </is>
      </c>
      <c r="F1020" s="23" t="n">
        <v>46268</v>
      </c>
      <c r="G1020" t="inlineStr">
        <is>
          <t>provision</t>
        </is>
      </c>
      <c r="H1020" s="26" t="n">
        <v>345890925</v>
      </c>
      <c r="I1020" t="inlineStr">
        <is>
          <t>bajo</t>
        </is>
      </c>
      <c r="J1020" t="inlineStr">
        <is>
          <t>RN-11 y RN-34: provision hasta el cupo operativo antes de bajar del 8 %</t>
        </is>
      </c>
      <c r="K1020" t="inlineStr">
        <is>
          <t>Provision en la manana, antes del pagado: con el pronostico, sin provision el saldo bajaria del 8 % del cupo ese dia. Lleva el saldo de 59.109.075 a 405.000.000 COP (cupo 405.000.000). Equipo administrado por TDV.</t>
        </is>
      </c>
      <c r="L1020" s="26" t="n">
        <v>405000000</v>
      </c>
      <c r="M1020" s="26" t="n">
        <v>59109075</v>
      </c>
      <c r="N1020" s="27">
        <f>IF(ISNUMBER(M1020),M1020/L1020,"No aplica")</f>
        <v>0.14594833333333335</v>
      </c>
      <c r="O1020" s="25">
        <f>IF(G1020="provision",M1020+H1020,IF(G1020="recoleccion",M1020-H1020,"No aplica"))</f>
        <v>405000000</v>
      </c>
      <c r="P1020" s="26" t="n">
        <v>152511</v>
      </c>
    </row>
    <row r="1021">
      <c r="A1021" t="inlineStr">
        <is>
          <t>PRAGMA</t>
        </is>
      </c>
      <c r="B1021" t="inlineStr">
        <is>
          <t>M1</t>
        </is>
      </c>
      <c r="C1021" t="inlineStr">
        <is>
          <t>Cali</t>
        </is>
      </c>
      <c r="D1021" t="inlineStr">
        <is>
          <t>820</t>
        </is>
      </c>
      <c r="E1021" t="inlineStr">
        <is>
          <t>TDV</t>
        </is>
      </c>
      <c r="F1021" s="23" t="n">
        <v>46270</v>
      </c>
      <c r="G1021" t="inlineStr">
        <is>
          <t>provision</t>
        </is>
      </c>
      <c r="H1021" s="26" t="n">
        <v>284370897</v>
      </c>
      <c r="I1021" t="inlineStr">
        <is>
          <t>bajo</t>
        </is>
      </c>
      <c r="J1021" t="inlineStr">
        <is>
          <t>RN-11 y RN-34: provision hasta el cupo operativo antes de bajar del 8 %</t>
        </is>
      </c>
      <c r="K1021" t="inlineStr">
        <is>
          <t>Provision en la manana, antes del pagado: con el pronostico, sin provision el saldo bajaria del 8 % del cupo ese dia. Lleva el saldo de 120.629.103 a 405.000.000 COP (cupo 405.000.000). Equipo administrado por TDV.</t>
        </is>
      </c>
      <c r="L1021" s="26" t="n">
        <v>405000000</v>
      </c>
      <c r="M1021" s="26" t="n">
        <v>120629103</v>
      </c>
      <c r="N1021" s="27">
        <f>IF(ISNUMBER(M1021),M1021/L1021,"No aplica")</f>
        <v>0.29784963703703704</v>
      </c>
      <c r="O1021" s="25">
        <f>IF(G1021="provision",M1021+H1021,IF(G1021="recoleccion",M1021-H1021,"No aplica"))</f>
        <v>405000000</v>
      </c>
      <c r="P1021" s="26" t="n">
        <v>128703</v>
      </c>
    </row>
    <row r="1022">
      <c r="A1022" t="inlineStr">
        <is>
          <t>PRAGMA</t>
        </is>
      </c>
      <c r="B1022" t="inlineStr">
        <is>
          <t>M1</t>
        </is>
      </c>
      <c r="C1022" t="inlineStr">
        <is>
          <t>Cali</t>
        </is>
      </c>
      <c r="D1022" t="inlineStr">
        <is>
          <t>820</t>
        </is>
      </c>
      <c r="E1022" t="inlineStr">
        <is>
          <t>TDV</t>
        </is>
      </c>
      <c r="F1022" s="23" t="n">
        <v>46272</v>
      </c>
      <c r="G1022" t="inlineStr">
        <is>
          <t>provision</t>
        </is>
      </c>
      <c r="H1022" s="26" t="n">
        <v>269821460</v>
      </c>
      <c r="I1022" t="inlineStr">
        <is>
          <t>bajo</t>
        </is>
      </c>
      <c r="J1022" t="inlineStr">
        <is>
          <t>RN-11 y RN-34: provision hasta el cupo operativo antes de bajar del 8 %</t>
        </is>
      </c>
      <c r="K1022" t="inlineStr">
        <is>
          <t>Provision en la manana, antes del pagado: con el pronostico, sin provision el saldo bajaria del 8 % del cupo ese dia. Lleva el saldo de 135.178.540 a 405.000.000 COP (cupo 405.000.000). Equipo administrado por TDV.</t>
        </is>
      </c>
      <c r="L1022" s="26" t="n">
        <v>405000000</v>
      </c>
      <c r="M1022" s="26" t="n">
        <v>135178540</v>
      </c>
      <c r="N1022" s="27">
        <f>IF(ISNUMBER(M1022),M1022/L1022,"No aplica")</f>
        <v>0.33377417283950617</v>
      </c>
      <c r="O1022" s="25">
        <f>IF(G1022="provision",M1022+H1022,IF(G1022="recoleccion",M1022-H1022,"No aplica"))</f>
        <v>405000000</v>
      </c>
      <c r="P1022" s="26" t="n">
        <v>123072</v>
      </c>
    </row>
    <row r="1023">
      <c r="A1023" t="inlineStr">
        <is>
          <t>PRAGMA</t>
        </is>
      </c>
      <c r="B1023" t="inlineStr">
        <is>
          <t>M1</t>
        </is>
      </c>
      <c r="C1023" t="inlineStr">
        <is>
          <t>Cali</t>
        </is>
      </c>
      <c r="D1023" t="inlineStr">
        <is>
          <t>820</t>
        </is>
      </c>
      <c r="E1023" t="inlineStr">
        <is>
          <t>TDV</t>
        </is>
      </c>
      <c r="F1023" s="23" t="n">
        <v>46275</v>
      </c>
      <c r="G1023" t="inlineStr">
        <is>
          <t>provision</t>
        </is>
      </c>
      <c r="H1023" s="26" t="n">
        <v>322137414</v>
      </c>
      <c r="I1023" t="inlineStr">
        <is>
          <t>bajo</t>
        </is>
      </c>
      <c r="J1023" t="inlineStr">
        <is>
          <t>RN-11 y RN-34: provision hasta el cupo operativo antes de bajar del 8 %</t>
        </is>
      </c>
      <c r="K1023" t="inlineStr">
        <is>
          <t>Provision en la manana, antes del pagado: con el pronostico, sin provision el saldo bajaria del 8 % del cupo ese dia. Lleva el saldo de 82.862.586 a 405.000.000 COP (cupo 405.000.000). Equipo administrado por TDV.</t>
        </is>
      </c>
      <c r="L1023" s="26" t="n">
        <v>405000000</v>
      </c>
      <c r="M1023" s="26" t="n">
        <v>82862586</v>
      </c>
      <c r="N1023" s="27">
        <f>IF(ISNUMBER(M1023),M1023/L1023,"No aplica")</f>
        <v>0.20459897777777777</v>
      </c>
      <c r="O1023" s="25">
        <f>IF(G1023="provision",M1023+H1023,IF(G1023="recoleccion",M1023-H1023,"No aplica"))</f>
        <v>405000000</v>
      </c>
      <c r="P1023" s="26" t="n">
        <v>143318</v>
      </c>
    </row>
    <row r="1024">
      <c r="A1024" t="inlineStr">
        <is>
          <t>PRAGMA</t>
        </is>
      </c>
      <c r="B1024" t="inlineStr">
        <is>
          <t>M1</t>
        </is>
      </c>
      <c r="C1024" t="inlineStr">
        <is>
          <t>Cali</t>
        </is>
      </c>
      <c r="D1024" t="inlineStr">
        <is>
          <t>820</t>
        </is>
      </c>
      <c r="E1024" t="inlineStr">
        <is>
          <t>TDV</t>
        </is>
      </c>
      <c r="F1024" s="23" t="n">
        <v>46278</v>
      </c>
      <c r="G1024" t="inlineStr">
        <is>
          <t>provision</t>
        </is>
      </c>
      <c r="H1024" s="26" t="n">
        <v>322590535</v>
      </c>
      <c r="I1024" t="inlineStr">
        <is>
          <t>bajo</t>
        </is>
      </c>
      <c r="J1024" t="inlineStr">
        <is>
          <t>RN-11 y RN-34: provision hasta el cupo operativo antes de bajar del 8 %</t>
        </is>
      </c>
      <c r="K1024" t="inlineStr">
        <is>
          <t>Provision en la manana, antes del pagado: con el pronostico, sin provision el saldo bajaria del 8 % del cupo ese dia. Lleva el saldo de 82.409.465 a 405.000.000 COP (cupo 405.000.000). Equipo administrado por TDV.</t>
        </is>
      </c>
      <c r="L1024" s="26" t="n">
        <v>405000000</v>
      </c>
      <c r="M1024" s="26" t="n">
        <v>82409465</v>
      </c>
      <c r="N1024" s="27">
        <f>IF(ISNUMBER(M1024),M1024/L1024,"No aplica")</f>
        <v>0.20348016049382717</v>
      </c>
      <c r="O1024" s="25">
        <f>IF(G1024="provision",M1024+H1024,IF(G1024="recoleccion",M1024-H1024,"No aplica"))</f>
        <v>405000000</v>
      </c>
      <c r="P1024" s="26" t="n">
        <v>185306</v>
      </c>
    </row>
    <row r="1025">
      <c r="A1025" t="inlineStr">
        <is>
          <t>PRAGMA</t>
        </is>
      </c>
      <c r="B1025" t="inlineStr">
        <is>
          <t>M1</t>
        </is>
      </c>
      <c r="C1025" t="inlineStr">
        <is>
          <t>Cali</t>
        </is>
      </c>
      <c r="D1025" t="inlineStr">
        <is>
          <t>821</t>
        </is>
      </c>
      <c r="E1025" t="inlineStr">
        <is>
          <t>TDV</t>
        </is>
      </c>
      <c r="F1025" s="23" t="n">
        <v>46270</v>
      </c>
      <c r="G1025" t="inlineStr">
        <is>
          <t>provision</t>
        </is>
      </c>
      <c r="H1025" s="26" t="n">
        <v>300996272</v>
      </c>
      <c r="I1025" t="inlineStr">
        <is>
          <t>bajo</t>
        </is>
      </c>
      <c r="J1025" t="inlineStr">
        <is>
          <t>RN-11 y RN-34: provision hasta el cupo operativo antes de bajar del 8 %</t>
        </is>
      </c>
      <c r="K1025" t="inlineStr">
        <is>
          <t>Provision en la manana, antes del pagado: con el pronostico, sin provision el saldo bajaria del 8 % del cupo ese dia. Lleva el saldo de 104.003.728 a 405.000.000 COP (cupo 405.000.000). Equipo administrado por TDV.</t>
        </is>
      </c>
      <c r="L1025" s="26" t="n">
        <v>405000000</v>
      </c>
      <c r="M1025" s="26" t="n">
        <v>104003728</v>
      </c>
      <c r="N1025" s="27">
        <f>IF(ISNUMBER(M1025),M1025/L1025,"No aplica")</f>
        <v>0.25679932839506175</v>
      </c>
      <c r="O1025" s="25">
        <f>IF(G1025="provision",M1025+H1025,IF(G1025="recoleccion",M1025-H1025,"No aplica"))</f>
        <v>405000000</v>
      </c>
      <c r="P1025" s="26" t="n">
        <v>135137</v>
      </c>
    </row>
    <row r="1026">
      <c r="A1026" t="inlineStr">
        <is>
          <t>PRAGMA</t>
        </is>
      </c>
      <c r="B1026" t="inlineStr">
        <is>
          <t>M1</t>
        </is>
      </c>
      <c r="C1026" t="inlineStr">
        <is>
          <t>Cali</t>
        </is>
      </c>
      <c r="D1026" t="inlineStr">
        <is>
          <t>821</t>
        </is>
      </c>
      <c r="E1026" t="inlineStr">
        <is>
          <t>TDV</t>
        </is>
      </c>
      <c r="F1026" s="23" t="n">
        <v>46276</v>
      </c>
      <c r="G1026" t="inlineStr">
        <is>
          <t>provision</t>
        </is>
      </c>
      <c r="H1026" s="26" t="n">
        <v>364891546</v>
      </c>
      <c r="I1026" t="inlineStr">
        <is>
          <t>bajo</t>
        </is>
      </c>
      <c r="J1026" t="inlineStr">
        <is>
          <t>RN-11 y RN-34: provision hasta el cupo operativo antes de bajar del 8 %</t>
        </is>
      </c>
      <c r="K1026" t="inlineStr">
        <is>
          <t>Provision en la manana, antes del pagado: con el pronostico, sin provision el saldo bajaria del 8 % del cupo ese dia. Lleva el saldo de 40.108.454 a 405.000.000 COP (cupo 405.000.000). Equipo administrado por TDV.</t>
        </is>
      </c>
      <c r="L1026" s="26" t="n">
        <v>405000000</v>
      </c>
      <c r="M1026" s="26" t="n">
        <v>40108454</v>
      </c>
      <c r="N1026" s="27">
        <f>IF(ISNUMBER(M1026),M1026/L1026,"No aplica")</f>
        <v>0.09903321975308642</v>
      </c>
      <c r="O1026" s="25">
        <f>IF(G1026="provision",M1026+H1026,IF(G1026="recoleccion",M1026-H1026,"No aplica"))</f>
        <v>405000000</v>
      </c>
      <c r="P1026" s="26" t="n">
        <v>159864</v>
      </c>
    </row>
    <row r="1027">
      <c r="A1027" t="inlineStr">
        <is>
          <t>PRAGMA</t>
        </is>
      </c>
      <c r="B1027" t="inlineStr">
        <is>
          <t>M1</t>
        </is>
      </c>
      <c r="C1027" t="inlineStr">
        <is>
          <t>Cali</t>
        </is>
      </c>
      <c r="D1027" t="inlineStr">
        <is>
          <t>8229</t>
        </is>
      </c>
      <c r="E1027" t="inlineStr">
        <is>
          <t>TDV</t>
        </is>
      </c>
      <c r="F1027" s="23" t="n">
        <v>46271</v>
      </c>
      <c r="G1027" t="inlineStr">
        <is>
          <t>provision</t>
        </is>
      </c>
      <c r="H1027" s="26" t="n">
        <v>328586948</v>
      </c>
      <c r="I1027" t="inlineStr">
        <is>
          <t>bajo</t>
        </is>
      </c>
      <c r="J1027" t="inlineStr">
        <is>
          <t>RN-11 y RN-34: provision hasta el cupo operativo antes de bajar del 8 %</t>
        </is>
      </c>
      <c r="K1027" t="inlineStr">
        <is>
          <t>Provision en la manana, antes del pagado: con el pronostico, sin provision el saldo bajaria del 8 % del cupo ese dia. Lleva el saldo de 82.413.052 a 411.000.000 COP (cupo 411.000.000). Equipo administrado por TDV.</t>
        </is>
      </c>
      <c r="L1027" s="26" t="n">
        <v>411000000</v>
      </c>
      <c r="M1027" s="26" t="n">
        <v>82413052</v>
      </c>
      <c r="N1027" s="27">
        <f>IF(ISNUMBER(M1027),M1027/L1027,"No aplica")</f>
        <v>0.20051837469586375</v>
      </c>
      <c r="O1027" s="25">
        <f>IF(G1027="provision",M1027+H1027,IF(G1027="recoleccion",M1027-H1027,"No aplica"))</f>
        <v>411000000</v>
      </c>
      <c r="P1027" s="26" t="n">
        <v>153545</v>
      </c>
    </row>
    <row r="1028">
      <c r="A1028" t="inlineStr">
        <is>
          <t>PRAGMA</t>
        </is>
      </c>
      <c r="B1028" t="inlineStr">
        <is>
          <t>M1</t>
        </is>
      </c>
      <c r="C1028" t="inlineStr">
        <is>
          <t>Cali</t>
        </is>
      </c>
      <c r="D1028" t="inlineStr">
        <is>
          <t>8229</t>
        </is>
      </c>
      <c r="E1028" t="inlineStr">
        <is>
          <t>TDV</t>
        </is>
      </c>
      <c r="F1028" s="23" t="n">
        <v>46278</v>
      </c>
      <c r="G1028" t="inlineStr">
        <is>
          <t>provision</t>
        </is>
      </c>
      <c r="H1028" s="26" t="n">
        <v>339562518</v>
      </c>
      <c r="I1028" t="inlineStr">
        <is>
          <t>bajo</t>
        </is>
      </c>
      <c r="J1028" t="inlineStr">
        <is>
          <t>RN-11 y RN-34: provision hasta el cupo operativo antes de bajar del 8 %</t>
        </is>
      </c>
      <c r="K1028" t="inlineStr">
        <is>
          <t>Provision en la manana, antes del pagado: con el pronostico, sin provision el saldo bajaria del 8 % del cupo ese dia. Lleva el saldo de 71.437.482 a 411.000.000 COP (cupo 411.000.000). Equipo administrado por TDV.</t>
        </is>
      </c>
      <c r="L1028" s="26" t="n">
        <v>411000000</v>
      </c>
      <c r="M1028" s="26" t="n">
        <v>71437482</v>
      </c>
      <c r="N1028" s="27">
        <f>IF(ISNUMBER(M1028),M1028/L1028,"No aplica")</f>
        <v>0.17381382481751825</v>
      </c>
      <c r="O1028" s="25">
        <f>IF(G1028="provision",M1028+H1028,IF(G1028="recoleccion",M1028-H1028,"No aplica"))</f>
        <v>411000000</v>
      </c>
      <c r="P1028" s="26" t="n">
        <v>157924</v>
      </c>
    </row>
    <row r="1029">
      <c r="A1029" t="inlineStr">
        <is>
          <t>PRAGMA</t>
        </is>
      </c>
      <c r="B1029" t="inlineStr">
        <is>
          <t>M1</t>
        </is>
      </c>
      <c r="C1029" t="inlineStr">
        <is>
          <t>Pasto</t>
        </is>
      </c>
      <c r="D1029" t="inlineStr">
        <is>
          <t>8245</t>
        </is>
      </c>
      <c r="E1029" t="inlineStr">
        <is>
          <t>TDV</t>
        </is>
      </c>
      <c r="F1029" s="23" t="n">
        <v>46270</v>
      </c>
      <c r="G1029" t="inlineStr">
        <is>
          <t>provision</t>
        </is>
      </c>
      <c r="H1029" s="26" t="n">
        <v>439504793</v>
      </c>
      <c r="I1029" t="inlineStr">
        <is>
          <t>bajo</t>
        </is>
      </c>
      <c r="J1029" t="inlineStr">
        <is>
          <t>RN-11 y RN-34: provision hasta el cupo operativo antes de bajar del 8 %</t>
        </is>
      </c>
      <c r="K1029" t="inlineStr">
        <is>
          <t>Provision en la manana, antes del pagado: con el pronostico, sin provision el saldo bajaria del 8 % del cupo ese dia. Lleva el saldo de 60.495.207 a 500.000.000 COP (cupo 500.000.000). Equipo administrado por TDV.</t>
        </is>
      </c>
      <c r="L1029" s="26" t="n">
        <v>500000000</v>
      </c>
      <c r="M1029" s="26" t="n">
        <v>60495207</v>
      </c>
      <c r="N1029" s="27">
        <f>IF(ISNUMBER(M1029),M1029/L1029,"No aplica")</f>
        <v>0.120990414</v>
      </c>
      <c r="O1029" s="25">
        <f>IF(G1029="provision",M1029+H1029,IF(G1029="recoleccion",M1029-H1029,"No aplica"))</f>
        <v>500000000</v>
      </c>
      <c r="P1029" s="26" t="n">
        <v>138620</v>
      </c>
    </row>
    <row r="1030">
      <c r="A1030" t="inlineStr">
        <is>
          <t>PRAGMA</t>
        </is>
      </c>
      <c r="B1030" t="inlineStr">
        <is>
          <t>M1</t>
        </is>
      </c>
      <c r="C1030" t="inlineStr">
        <is>
          <t>Pasto</t>
        </is>
      </c>
      <c r="D1030" t="inlineStr">
        <is>
          <t>8245</t>
        </is>
      </c>
      <c r="E1030" t="inlineStr">
        <is>
          <t>TDV</t>
        </is>
      </c>
      <c r="F1030" s="23" t="n">
        <v>46276</v>
      </c>
      <c r="G1030" t="inlineStr">
        <is>
          <t>provision</t>
        </is>
      </c>
      <c r="H1030" s="26" t="n">
        <v>408628604</v>
      </c>
      <c r="I1030" t="inlineStr">
        <is>
          <t>bajo</t>
        </is>
      </c>
      <c r="J1030" t="inlineStr">
        <is>
          <t>RN-11 y RN-34: provision hasta el cupo operativo antes de bajar del 8 %</t>
        </is>
      </c>
      <c r="K1030" t="inlineStr">
        <is>
          <t>Provision en la manana, antes del pagado: con el pronostico, sin provision el saldo bajaria del 8 % del cupo ese dia. Lleva el saldo de 91.371.396 a 500.000.000 COP (cupo 500.000.000). Equipo administrado por TDV.</t>
        </is>
      </c>
      <c r="L1030" s="26" t="n">
        <v>500000000</v>
      </c>
      <c r="M1030" s="26" t="n">
        <v>91371396</v>
      </c>
      <c r="N1030" s="27">
        <f>IF(ISNUMBER(M1030),M1030/L1030,"No aplica")</f>
        <v>0.182742792</v>
      </c>
      <c r="O1030" s="25">
        <f>IF(G1030="provision",M1030+H1030,IF(G1030="recoleccion",M1030-H1030,"No aplica"))</f>
        <v>500000000</v>
      </c>
      <c r="P1030" s="26" t="n">
        <v>129975</v>
      </c>
    </row>
    <row r="1031">
      <c r="A1031" t="inlineStr">
        <is>
          <t>PRAGMA</t>
        </is>
      </c>
      <c r="B1031" t="inlineStr">
        <is>
          <t>M1</t>
        </is>
      </c>
      <c r="C1031" t="inlineStr">
        <is>
          <t>Pasto</t>
        </is>
      </c>
      <c r="D1031" t="inlineStr">
        <is>
          <t>8246</t>
        </is>
      </c>
      <c r="E1031" t="inlineStr">
        <is>
          <t>TDV</t>
        </is>
      </c>
      <c r="F1031" s="23" t="n">
        <v>46270</v>
      </c>
      <c r="G1031" t="inlineStr">
        <is>
          <t>provision</t>
        </is>
      </c>
      <c r="H1031" s="26" t="n">
        <v>433482369</v>
      </c>
      <c r="I1031" t="inlineStr">
        <is>
          <t>bajo</t>
        </is>
      </c>
      <c r="J1031" t="inlineStr">
        <is>
          <t>RN-11 y RN-34: provision hasta el cupo operativo antes de bajar del 8 %</t>
        </is>
      </c>
      <c r="K1031" t="inlineStr">
        <is>
          <t>Provision en la manana, antes del pagado: con el pronostico, sin provision el saldo bajaria del 8 % del cupo ese dia. Lleva el saldo de 66.517.631 a 500.000.000 COP (cupo 500.000.000). Equipo administrado por TDV.</t>
        </is>
      </c>
      <c r="L1031" s="26" t="n">
        <v>500000000</v>
      </c>
      <c r="M1031" s="26" t="n">
        <v>66517631</v>
      </c>
      <c r="N1031" s="27">
        <f>IF(ISNUMBER(M1031),M1031/L1031,"No aplica")</f>
        <v>0.133035262</v>
      </c>
      <c r="O1031" s="25">
        <f>IF(G1031="provision",M1031+H1031,IF(G1031="recoleccion",M1031-H1031,"No aplica"))</f>
        <v>500000000</v>
      </c>
      <c r="P1031" s="26" t="n">
        <v>136934</v>
      </c>
    </row>
    <row r="1032">
      <c r="A1032" t="inlineStr">
        <is>
          <t>PRAGMA</t>
        </is>
      </c>
      <c r="B1032" t="inlineStr">
        <is>
          <t>M1</t>
        </is>
      </c>
      <c r="C1032" t="inlineStr">
        <is>
          <t>Pasto</t>
        </is>
      </c>
      <c r="D1032" t="inlineStr">
        <is>
          <t>8246</t>
        </is>
      </c>
      <c r="E1032" t="inlineStr">
        <is>
          <t>TDV</t>
        </is>
      </c>
      <c r="F1032" s="23" t="n">
        <v>46276</v>
      </c>
      <c r="G1032" t="inlineStr">
        <is>
          <t>provision</t>
        </is>
      </c>
      <c r="H1032" s="26" t="n">
        <v>399221810</v>
      </c>
      <c r="I1032" t="inlineStr">
        <is>
          <t>bajo</t>
        </is>
      </c>
      <c r="J1032" t="inlineStr">
        <is>
          <t>RN-11 y RN-34: provision hasta el cupo operativo antes de bajar del 8 %</t>
        </is>
      </c>
      <c r="K1032" t="inlineStr">
        <is>
          <t>Provision en la manana, antes del pagado: con el pronostico, sin provision el saldo bajaria del 8 % del cupo ese dia. Lleva el saldo de 100.778.190 a 500.000.000 COP (cupo 500.000.000). Equipo administrado por TDV.</t>
        </is>
      </c>
      <c r="L1032" s="26" t="n">
        <v>500000000</v>
      </c>
      <c r="M1032" s="26" t="n">
        <v>100778190</v>
      </c>
      <c r="N1032" s="27">
        <f>IF(ISNUMBER(M1032),M1032/L1032,"No aplica")</f>
        <v>0.20155638</v>
      </c>
      <c r="O1032" s="25">
        <f>IF(G1032="provision",M1032+H1032,IF(G1032="recoleccion",M1032-H1032,"No aplica"))</f>
        <v>500000000</v>
      </c>
      <c r="P1032" s="26" t="n">
        <v>127341</v>
      </c>
    </row>
    <row r="1033">
      <c r="A1033" t="inlineStr">
        <is>
          <t>PRAGMA</t>
        </is>
      </c>
      <c r="B1033" t="inlineStr">
        <is>
          <t>M1</t>
        </is>
      </c>
      <c r="C1033" t="inlineStr">
        <is>
          <t>Cali</t>
        </is>
      </c>
      <c r="D1033" t="inlineStr">
        <is>
          <t>8256</t>
        </is>
      </c>
      <c r="E1033" t="inlineStr">
        <is>
          <t>TDV</t>
        </is>
      </c>
      <c r="F1033" s="23" t="n">
        <v>46269</v>
      </c>
      <c r="G1033" t="inlineStr">
        <is>
          <t>provision</t>
        </is>
      </c>
      <c r="H1033" s="26" t="n">
        <v>399039072</v>
      </c>
      <c r="I1033" t="inlineStr">
        <is>
          <t>bajo</t>
        </is>
      </c>
      <c r="J1033" t="inlineStr">
        <is>
          <t>RN-11 y RN-34: provision hasta el cupo operativo antes de bajar del 8 %</t>
        </is>
      </c>
      <c r="K1033" t="inlineStr">
        <is>
          <t>Provision en la manana, antes del pagado: con el pronostico, sin provision el saldo bajaria del 8 % del cupo ese dia. Lleva el saldo de 100.960.928 a 500.000.000 COP (cupo 500.000.000). Equipo administrado por TDV.</t>
        </is>
      </c>
      <c r="L1033" s="26" t="n">
        <v>500000000</v>
      </c>
      <c r="M1033" s="26" t="n">
        <v>100960928</v>
      </c>
      <c r="N1033" s="27">
        <f>IF(ISNUMBER(M1033),M1033/L1033,"No aplica")</f>
        <v>0.201921856</v>
      </c>
      <c r="O1033" s="25">
        <f>IF(G1033="provision",M1033+H1033,IF(G1033="recoleccion",M1033-H1033,"No aplica"))</f>
        <v>500000000</v>
      </c>
      <c r="P1033" s="26" t="n">
        <v>165428</v>
      </c>
    </row>
    <row r="1034">
      <c r="A1034" t="inlineStr">
        <is>
          <t>PRAGMA</t>
        </is>
      </c>
      <c r="B1034" t="inlineStr">
        <is>
          <t>M1</t>
        </is>
      </c>
      <c r="C1034" t="inlineStr">
        <is>
          <t>Cali</t>
        </is>
      </c>
      <c r="D1034" t="inlineStr">
        <is>
          <t>8256</t>
        </is>
      </c>
      <c r="E1034" t="inlineStr">
        <is>
          <t>TDV</t>
        </is>
      </c>
      <c r="F1034" s="23" t="n">
        <v>46274</v>
      </c>
      <c r="G1034" t="inlineStr">
        <is>
          <t>provision</t>
        </is>
      </c>
      <c r="H1034" s="26" t="n">
        <v>389371040</v>
      </c>
      <c r="I1034" t="inlineStr">
        <is>
          <t>bajo</t>
        </is>
      </c>
      <c r="J1034" t="inlineStr">
        <is>
          <t>RN-11 y RN-34: provision hasta el cupo operativo antes de bajar del 8 %</t>
        </is>
      </c>
      <c r="K1034" t="inlineStr">
        <is>
          <t>Provision en la manana, antes del pagado: con el pronostico, sin provision el saldo bajaria del 8 % del cupo ese dia. Lleva el saldo de 110.628.960 a 500.000.000 COP (cupo 500.000.000). Equipo administrado por TDV.</t>
        </is>
      </c>
      <c r="L1034" s="26" t="n">
        <v>500000000</v>
      </c>
      <c r="M1034" s="26" t="n">
        <v>110628960</v>
      </c>
      <c r="N1034" s="27">
        <f>IF(ISNUMBER(M1034),M1034/L1034,"No aplica")</f>
        <v>0.22125792</v>
      </c>
      <c r="O1034" s="25">
        <f>IF(G1034="provision",M1034+H1034,IF(G1034="recoleccion",M1034-H1034,"No aplica"))</f>
        <v>500000000</v>
      </c>
      <c r="P1034" s="26" t="n">
        <v>161967</v>
      </c>
    </row>
    <row r="1035">
      <c r="A1035" t="inlineStr">
        <is>
          <t>PRAGMA</t>
        </is>
      </c>
      <c r="B1035" t="inlineStr">
        <is>
          <t>M1</t>
        </is>
      </c>
      <c r="C1035" t="inlineStr">
        <is>
          <t>Cali</t>
        </is>
      </c>
      <c r="D1035" t="inlineStr">
        <is>
          <t>8256</t>
        </is>
      </c>
      <c r="E1035" t="inlineStr">
        <is>
          <t>TDV</t>
        </is>
      </c>
      <c r="F1035" s="23" t="n">
        <v>46280</v>
      </c>
      <c r="G1035" t="inlineStr">
        <is>
          <t>provision</t>
        </is>
      </c>
      <c r="H1035" s="26" t="n">
        <v>402751209</v>
      </c>
      <c r="I1035" t="inlineStr">
        <is>
          <t>bajo</t>
        </is>
      </c>
      <c r="J1035" t="inlineStr">
        <is>
          <t>RN-11 y RN-34: provision hasta el cupo operativo antes de bajar del 8 %</t>
        </is>
      </c>
      <c r="K1035" t="inlineStr">
        <is>
          <t>Provision en la manana, antes del pagado: con el pronostico, sin provision el saldo bajaria del 8 % del cupo ese dia. Lleva el saldo de 97.248.791 a 500.000.000 COP (cupo 500.000.000). Equipo administrado por TDV.</t>
        </is>
      </c>
      <c r="L1035" s="26" t="n">
        <v>500000000</v>
      </c>
      <c r="M1035" s="26" t="n">
        <v>97248791</v>
      </c>
      <c r="N1035" s="27">
        <f>IF(ISNUMBER(M1035),M1035/L1035,"No aplica")</f>
        <v>0.194497582</v>
      </c>
      <c r="O1035" s="25">
        <f>IF(G1035="provision",M1035+H1035,IF(G1035="recoleccion",M1035-H1035,"No aplica"))</f>
        <v>500000000</v>
      </c>
      <c r="P1035" s="26" t="n">
        <v>166757</v>
      </c>
    </row>
    <row r="1036">
      <c r="A1036" t="inlineStr">
        <is>
          <t>PRAGMA</t>
        </is>
      </c>
      <c r="B1036" t="inlineStr">
        <is>
          <t>M1</t>
        </is>
      </c>
      <c r="C1036" t="inlineStr">
        <is>
          <t>Pasto</t>
        </is>
      </c>
      <c r="D1036" t="inlineStr">
        <is>
          <t>8278</t>
        </is>
      </c>
      <c r="E1036" t="inlineStr">
        <is>
          <t>Sucursal</t>
        </is>
      </c>
      <c r="F1036" s="23" t="n">
        <v>46269</v>
      </c>
      <c r="G1036" t="inlineStr">
        <is>
          <t>provision</t>
        </is>
      </c>
      <c r="H1036" s="26" t="n">
        <v>377237934</v>
      </c>
      <c r="I1036" t="inlineStr">
        <is>
          <t>bajo</t>
        </is>
      </c>
      <c r="J1036" t="inlineStr">
        <is>
          <t>RN-11 y RN-34: provision hasta el cupo operativo antes de bajar del 8 %</t>
        </is>
      </c>
      <c r="K1036" t="inlineStr">
        <is>
          <t>Provision en la manana, antes del pagado: con el pronostico, sin provision el saldo bajaria del 8 % del cupo ese dia. Lleva el saldo de 33.762.066 a 411.000.000 COP (cupo 411.000.000). Equipo administrado por Sucursal. Sin tarifa TDV (administrado por la sucursal): costo 0 declarado.</t>
        </is>
      </c>
      <c r="L1036" s="26" t="n">
        <v>411000000</v>
      </c>
      <c r="M1036" s="26" t="n">
        <v>33762066</v>
      </c>
      <c r="N1036" s="27">
        <f>IF(ISNUMBER(M1036),M1036/L1036,"No aplica")</f>
        <v>0.08214614598540146</v>
      </c>
      <c r="O1036" s="25">
        <f>IF(G1036="provision",M1036+H1036,IF(G1036="recoleccion",M1036-H1036,"No aplica"))</f>
        <v>411000000</v>
      </c>
      <c r="P1036" s="26" t="n">
        <v>0</v>
      </c>
    </row>
    <row r="1037">
      <c r="A1037" t="inlineStr">
        <is>
          <t>PRAGMA</t>
        </is>
      </c>
      <c r="B1037" t="inlineStr">
        <is>
          <t>M1</t>
        </is>
      </c>
      <c r="C1037" t="inlineStr">
        <is>
          <t>Pasto</t>
        </is>
      </c>
      <c r="D1037" t="inlineStr">
        <is>
          <t>8278</t>
        </is>
      </c>
      <c r="E1037" t="inlineStr">
        <is>
          <t>Sucursal</t>
        </is>
      </c>
      <c r="F1037" s="23" t="n">
        <v>46273</v>
      </c>
      <c r="G1037" t="inlineStr">
        <is>
          <t>provision</t>
        </is>
      </c>
      <c r="H1037" s="26" t="n">
        <v>314989769</v>
      </c>
      <c r="I1037" t="inlineStr">
        <is>
          <t>bajo</t>
        </is>
      </c>
      <c r="J1037" t="inlineStr">
        <is>
          <t>RN-11 y RN-34: provision hasta el cupo operativo antes de bajar del 8 %</t>
        </is>
      </c>
      <c r="K1037" t="inlineStr">
        <is>
          <t>Provision en la manana, antes del pagado: con el pronostico, sin provision el saldo bajaria del 8 % del cupo ese dia. Lleva el saldo de 96.010.231 a 411.000.000 COP (cupo 411.000.000). Equipo administrado por Sucursal. Sin tarifa TDV (administrado por la sucursal): costo 0 declarado.</t>
        </is>
      </c>
      <c r="L1037" s="26" t="n">
        <v>411000000</v>
      </c>
      <c r="M1037" s="26" t="n">
        <v>96010231</v>
      </c>
      <c r="N1037" s="27">
        <f>IF(ISNUMBER(M1037),M1037/L1037,"No aplica")</f>
        <v>0.23360153527980534</v>
      </c>
      <c r="O1037" s="25">
        <f>IF(G1037="provision",M1037+H1037,IF(G1037="recoleccion",M1037-H1037,"No aplica"))</f>
        <v>411000000</v>
      </c>
      <c r="P1037" s="26" t="n">
        <v>0</v>
      </c>
    </row>
    <row r="1038">
      <c r="A1038" t="inlineStr">
        <is>
          <t>PRAGMA</t>
        </is>
      </c>
      <c r="B1038" t="inlineStr">
        <is>
          <t>M1</t>
        </is>
      </c>
      <c r="C1038" t="inlineStr">
        <is>
          <t>Pasto</t>
        </is>
      </c>
      <c r="D1038" t="inlineStr">
        <is>
          <t>8278</t>
        </is>
      </c>
      <c r="E1038" t="inlineStr">
        <is>
          <t>Sucursal</t>
        </is>
      </c>
      <c r="F1038" s="23" t="n">
        <v>46277</v>
      </c>
      <c r="G1038" t="inlineStr">
        <is>
          <t>provision</t>
        </is>
      </c>
      <c r="H1038" s="26" t="n">
        <v>330580709</v>
      </c>
      <c r="I1038" t="inlineStr">
        <is>
          <t>bajo</t>
        </is>
      </c>
      <c r="J1038" t="inlineStr">
        <is>
          <t>RN-11 y RN-34: provision hasta el cupo operativo antes de bajar del 8 %</t>
        </is>
      </c>
      <c r="K1038" t="inlineStr">
        <is>
          <t>Provision en la manana, antes del pagado: con el pronostico, sin provision el saldo bajaria del 8 % del cupo ese dia. Lleva el saldo de 80.419.291 a 411.000.000 COP (cupo 411.000.000). Equipo administrado por Sucursal. Sin tarifa TDV (administrado por la sucursal): costo 0 declarado.</t>
        </is>
      </c>
      <c r="L1038" s="26" t="n">
        <v>411000000</v>
      </c>
      <c r="M1038" s="26" t="n">
        <v>80419291</v>
      </c>
      <c r="N1038" s="27">
        <f>IF(ISNUMBER(M1038),M1038/L1038,"No aplica")</f>
        <v>0.19566737469586376</v>
      </c>
      <c r="O1038" s="25">
        <f>IF(G1038="provision",M1038+H1038,IF(G1038="recoleccion",M1038-H1038,"No aplica"))</f>
        <v>411000000</v>
      </c>
      <c r="P1038" s="26" t="n">
        <v>0</v>
      </c>
    </row>
    <row r="1039">
      <c r="A1039" t="inlineStr">
        <is>
          <t>PRAGMA</t>
        </is>
      </c>
      <c r="B1039" t="inlineStr">
        <is>
          <t>M1</t>
        </is>
      </c>
      <c r="C1039" t="inlineStr">
        <is>
          <t>Cali</t>
        </is>
      </c>
      <c r="D1039" t="inlineStr">
        <is>
          <t>8283</t>
        </is>
      </c>
      <c r="E1039" t="inlineStr">
        <is>
          <t>TDV</t>
        </is>
      </c>
      <c r="F1039" s="23" t="n">
        <v>46270</v>
      </c>
      <c r="G1039" t="inlineStr">
        <is>
          <t>provision</t>
        </is>
      </c>
      <c r="H1039" s="26" t="n">
        <v>396314222</v>
      </c>
      <c r="I1039" t="inlineStr">
        <is>
          <t>bajo</t>
        </is>
      </c>
      <c r="J1039" t="inlineStr">
        <is>
          <t>RN-11 y RN-34: provision hasta el cupo operativo antes de bajar del 8 %</t>
        </is>
      </c>
      <c r="K1039" t="inlineStr">
        <is>
          <t>Provision en la manana, antes del pagado: con el pronostico, sin provision el saldo bajaria del 8 % del cupo ese dia. Lleva el saldo de 103.685.778 a 500.000.000 COP (cupo 500.000.000). Equipo administrado por TDV.</t>
        </is>
      </c>
      <c r="L1039" s="26" t="n">
        <v>500000000</v>
      </c>
      <c r="M1039" s="26" t="n">
        <v>103685778</v>
      </c>
      <c r="N1039" s="27">
        <f>IF(ISNUMBER(M1039),M1039/L1039,"No aplica")</f>
        <v>0.207371556</v>
      </c>
      <c r="O1039" s="25">
        <f>IF(G1039="provision",M1039+H1039,IF(G1039="recoleccion",M1039-H1039,"No aplica"))</f>
        <v>500000000</v>
      </c>
      <c r="P1039" s="26" t="n">
        <v>172025</v>
      </c>
    </row>
    <row r="1040">
      <c r="A1040" t="inlineStr">
        <is>
          <t>PRAGMA</t>
        </is>
      </c>
      <c r="B1040" t="inlineStr">
        <is>
          <t>M1</t>
        </is>
      </c>
      <c r="C1040" t="inlineStr">
        <is>
          <t>Cali</t>
        </is>
      </c>
      <c r="D1040" t="inlineStr">
        <is>
          <t>8283</t>
        </is>
      </c>
      <c r="E1040" t="inlineStr">
        <is>
          <t>TDV</t>
        </is>
      </c>
      <c r="F1040" s="23" t="n">
        <v>46276</v>
      </c>
      <c r="G1040" t="inlineStr">
        <is>
          <t>provision</t>
        </is>
      </c>
      <c r="H1040" s="26" t="n">
        <v>430491668</v>
      </c>
      <c r="I1040" t="inlineStr">
        <is>
          <t>bajo</t>
        </is>
      </c>
      <c r="J1040" t="inlineStr">
        <is>
          <t>RN-11 y RN-34: provision hasta el cupo operativo antes de bajar del 8 %</t>
        </is>
      </c>
      <c r="K1040" t="inlineStr">
        <is>
          <t>Provision en la manana, antes del pagado: con el pronostico, sin provision el saldo bajaria del 8 % del cupo ese dia. Lleva el saldo de 69.508.332 a 500.000.000 COP (cupo 500.000.000). Equipo administrado por TDV.</t>
        </is>
      </c>
      <c r="L1040" s="26" t="n">
        <v>500000000</v>
      </c>
      <c r="M1040" s="26" t="n">
        <v>69508332</v>
      </c>
      <c r="N1040" s="27">
        <f>IF(ISNUMBER(M1040),M1040/L1040,"No aplica")</f>
        <v>0.139016664</v>
      </c>
      <c r="O1040" s="25">
        <f>IF(G1040="provision",M1040+H1040,IF(G1040="recoleccion",M1040-H1040,"No aplica"))</f>
        <v>500000000</v>
      </c>
      <c r="P1040" s="26" t="n">
        <v>185251</v>
      </c>
    </row>
    <row r="1041">
      <c r="A1041" t="inlineStr">
        <is>
          <t>PRAGMA</t>
        </is>
      </c>
      <c r="B1041" t="inlineStr">
        <is>
          <t>M1</t>
        </is>
      </c>
      <c r="C1041" t="inlineStr">
        <is>
          <t>Cali</t>
        </is>
      </c>
      <c r="D1041" t="inlineStr">
        <is>
          <t>8293</t>
        </is>
      </c>
      <c r="E1041" t="inlineStr">
        <is>
          <t>TDV</t>
        </is>
      </c>
      <c r="F1041" s="23" t="n">
        <v>46269</v>
      </c>
      <c r="G1041" t="inlineStr">
        <is>
          <t>provision</t>
        </is>
      </c>
      <c r="H1041" s="26" t="n">
        <v>373476913</v>
      </c>
      <c r="I1041" t="inlineStr">
        <is>
          <t>bajo</t>
        </is>
      </c>
      <c r="J1041" t="inlineStr">
        <is>
          <t>RN-11 y RN-34: provision hasta el cupo operativo antes de bajar del 8 %</t>
        </is>
      </c>
      <c r="K1041" t="inlineStr">
        <is>
          <t>Provision en la manana, antes del pagado: con el pronostico, sin provision el saldo bajaria del 8 % del cupo ese dia. Lleva el saldo de 126.523.087 a 500.000.000 COP (cupo 500.000.000). Equipo administrado por TDV.</t>
        </is>
      </c>
      <c r="L1041" s="26" t="n">
        <v>500000000</v>
      </c>
      <c r="M1041" s="26" t="n">
        <v>126523087</v>
      </c>
      <c r="N1041" s="27">
        <f>IF(ISNUMBER(M1041),M1041/L1041,"No aplica")</f>
        <v>0.253046174</v>
      </c>
      <c r="O1041" s="25">
        <f>IF(G1041="provision",M1041+H1041,IF(G1041="recoleccion",M1041-H1041,"No aplica"))</f>
        <v>500000000</v>
      </c>
      <c r="P1041" s="26" t="n">
        <v>187759</v>
      </c>
    </row>
    <row r="1042">
      <c r="A1042" t="inlineStr">
        <is>
          <t>PRAGMA</t>
        </is>
      </c>
      <c r="B1042" t="inlineStr">
        <is>
          <t>M1</t>
        </is>
      </c>
      <c r="C1042" t="inlineStr">
        <is>
          <t>Cali</t>
        </is>
      </c>
      <c r="D1042" t="inlineStr">
        <is>
          <t>8293</t>
        </is>
      </c>
      <c r="E1042" t="inlineStr">
        <is>
          <t>TDV</t>
        </is>
      </c>
      <c r="F1042" s="23" t="n">
        <v>46274</v>
      </c>
      <c r="G1042" t="inlineStr">
        <is>
          <t>provision</t>
        </is>
      </c>
      <c r="H1042" s="26" t="n">
        <v>422806983</v>
      </c>
      <c r="I1042" t="inlineStr">
        <is>
          <t>bajo</t>
        </is>
      </c>
      <c r="J1042" t="inlineStr">
        <is>
          <t>RN-11 y RN-34: provision hasta el cupo operativo antes de bajar del 8 %</t>
        </is>
      </c>
      <c r="K1042" t="inlineStr">
        <is>
          <t>Provision en la manana, antes del pagado: con el pronostico, sin provision el saldo bajaria del 8 % del cupo ese dia. Lleva el saldo de 77.193.017 a 500.000.000 COP (cupo 500.000.000). Equipo administrado por TDV.</t>
        </is>
      </c>
      <c r="L1042" s="26" t="n">
        <v>500000000</v>
      </c>
      <c r="M1042" s="26" t="n">
        <v>77193017</v>
      </c>
      <c r="N1042" s="27">
        <f>IF(ISNUMBER(M1042),M1042/L1042,"No aplica")</f>
        <v>0.154386034</v>
      </c>
      <c r="O1042" s="25">
        <f>IF(G1042="provision",M1042+H1042,IF(G1042="recoleccion",M1042-H1042,"No aplica"))</f>
        <v>500000000</v>
      </c>
      <c r="P1042" s="26" t="n">
        <v>210056</v>
      </c>
    </row>
    <row r="1043">
      <c r="A1043" t="inlineStr">
        <is>
          <t>PRAGMA</t>
        </is>
      </c>
      <c r="B1043" t="inlineStr">
        <is>
          <t>M1</t>
        </is>
      </c>
      <c r="C1043" t="inlineStr">
        <is>
          <t>Cali</t>
        </is>
      </c>
      <c r="D1043" t="inlineStr">
        <is>
          <t>8293</t>
        </is>
      </c>
      <c r="E1043" t="inlineStr">
        <is>
          <t>TDV</t>
        </is>
      </c>
      <c r="F1043" s="23" t="n">
        <v>46280</v>
      </c>
      <c r="G1043" t="inlineStr">
        <is>
          <t>provision</t>
        </is>
      </c>
      <c r="H1043" s="26" t="n">
        <v>413946500</v>
      </c>
      <c r="I1043" t="inlineStr">
        <is>
          <t>bajo</t>
        </is>
      </c>
      <c r="J1043" t="inlineStr">
        <is>
          <t>RN-11 y RN-34: provision hasta el cupo operativo antes de bajar del 8 %</t>
        </is>
      </c>
      <c r="K1043" t="inlineStr">
        <is>
          <t>Provision en la manana, antes del pagado: con el pronostico, sin provision el saldo bajaria del 8 % del cupo ese dia. Lleva el saldo de 86.053.500 a 500.000.000 COP (cupo 500.000.000). Equipo administrado por TDV.</t>
        </is>
      </c>
      <c r="L1043" s="26" t="n">
        <v>500000000</v>
      </c>
      <c r="M1043" s="26" t="n">
        <v>86053500</v>
      </c>
      <c r="N1043" s="27">
        <f>IF(ISNUMBER(M1043),M1043/L1043,"No aplica")</f>
        <v>0.172107</v>
      </c>
      <c r="O1043" s="25">
        <f>IF(G1043="provision",M1043+H1043,IF(G1043="recoleccion",M1043-H1043,"No aplica"))</f>
        <v>500000000</v>
      </c>
      <c r="P1043" s="26" t="n">
        <v>206051</v>
      </c>
    </row>
    <row r="1044">
      <c r="A1044" t="inlineStr">
        <is>
          <t>PRAGMA</t>
        </is>
      </c>
      <c r="B1044" t="inlineStr">
        <is>
          <t>M1</t>
        </is>
      </c>
      <c r="C1044" t="inlineStr">
        <is>
          <t>Pasto</t>
        </is>
      </c>
      <c r="D1044" t="inlineStr">
        <is>
          <t>8305</t>
        </is>
      </c>
      <c r="E1044" t="inlineStr">
        <is>
          <t>TDV</t>
        </is>
      </c>
      <c r="F1044" s="23" t="n">
        <v>46268</v>
      </c>
      <c r="G1044" t="inlineStr">
        <is>
          <t>provision</t>
        </is>
      </c>
      <c r="H1044" s="26" t="n">
        <v>346005194</v>
      </c>
      <c r="I1044" t="inlineStr">
        <is>
          <t>bajo</t>
        </is>
      </c>
      <c r="J1044" t="inlineStr">
        <is>
          <t>RN-11 y RN-34: provision hasta el cupo operativo antes de bajar del 8 %</t>
        </is>
      </c>
      <c r="K1044" t="inlineStr">
        <is>
          <t>Provision en la manana, antes del pagado: con el pronostico, sin provision el saldo bajaria del 8 % del cupo ese dia. Lleva el saldo de 58.994.806 a 405.000.000 COP (cupo 405.000.000). Equipo administrado por TDV.</t>
        </is>
      </c>
      <c r="L1044" s="26" t="n">
        <v>405000000</v>
      </c>
      <c r="M1044" s="26" t="n">
        <v>58994806</v>
      </c>
      <c r="N1044" s="27">
        <f>IF(ISNUMBER(M1044),M1044/L1044,"No aplica")</f>
        <v>0.145666187654321</v>
      </c>
      <c r="O1044" s="25">
        <f>IF(G1044="provision",M1044+H1044,IF(G1044="recoleccion",M1044-H1044,"No aplica"))</f>
        <v>405000000</v>
      </c>
      <c r="P1044" s="26" t="n">
        <v>112440</v>
      </c>
    </row>
    <row r="1045">
      <c r="A1045" t="inlineStr">
        <is>
          <t>PRAGMA</t>
        </is>
      </c>
      <c r="B1045" t="inlineStr">
        <is>
          <t>M1</t>
        </is>
      </c>
      <c r="C1045" t="inlineStr">
        <is>
          <t>Pasto</t>
        </is>
      </c>
      <c r="D1045" t="inlineStr">
        <is>
          <t>8305</t>
        </is>
      </c>
      <c r="E1045" t="inlineStr">
        <is>
          <t>TDV</t>
        </is>
      </c>
      <c r="F1045" s="23" t="n">
        <v>46270</v>
      </c>
      <c r="G1045" t="inlineStr">
        <is>
          <t>provision</t>
        </is>
      </c>
      <c r="H1045" s="26" t="n">
        <v>283885611</v>
      </c>
      <c r="I1045" t="inlineStr">
        <is>
          <t>bajo</t>
        </is>
      </c>
      <c r="J1045" t="inlineStr">
        <is>
          <t>RN-11 y RN-34: provision hasta el cupo operativo antes de bajar del 8 %</t>
        </is>
      </c>
      <c r="K1045" t="inlineStr">
        <is>
          <t>Provision en la manana, antes del pagado: con el pronostico, sin provision el saldo bajaria del 8 % del cupo ese dia. Lleva el saldo de 121.114.389 a 405.000.000 COP (cupo 405.000.000). Equipo administrado por TDV.</t>
        </is>
      </c>
      <c r="L1045" s="26" t="n">
        <v>405000000</v>
      </c>
      <c r="M1045" s="26" t="n">
        <v>121114389</v>
      </c>
      <c r="N1045" s="27">
        <f>IF(ISNUMBER(M1045),M1045/L1045,"No aplica")</f>
        <v>0.29904787407407407</v>
      </c>
      <c r="O1045" s="25">
        <f>IF(G1045="provision",M1045+H1045,IF(G1045="recoleccion",M1045-H1045,"No aplica"))</f>
        <v>405000000</v>
      </c>
      <c r="P1045" s="26" t="n">
        <v>95047</v>
      </c>
    </row>
    <row r="1046">
      <c r="A1046" t="inlineStr">
        <is>
          <t>PRAGMA</t>
        </is>
      </c>
      <c r="B1046" t="inlineStr">
        <is>
          <t>M1</t>
        </is>
      </c>
      <c r="C1046" t="inlineStr">
        <is>
          <t>Pasto</t>
        </is>
      </c>
      <c r="D1046" t="inlineStr">
        <is>
          <t>8305</t>
        </is>
      </c>
      <c r="E1046" t="inlineStr">
        <is>
          <t>TDV</t>
        </is>
      </c>
      <c r="F1046" s="23" t="n">
        <v>46272</v>
      </c>
      <c r="G1046" t="inlineStr">
        <is>
          <t>provision</t>
        </is>
      </c>
      <c r="H1046" s="26" t="n">
        <v>263092006</v>
      </c>
      <c r="I1046" t="inlineStr">
        <is>
          <t>bajo</t>
        </is>
      </c>
      <c r="J1046" t="inlineStr">
        <is>
          <t>RN-11 y RN-34: provision hasta el cupo operativo antes de bajar del 8 %</t>
        </is>
      </c>
      <c r="K1046" t="inlineStr">
        <is>
          <t>Provision en la manana, antes del pagado: con el pronostico, sin provision el saldo bajaria del 8 % del cupo ese dia. Lleva el saldo de 141.907.994 a 405.000.000 COP (cupo 405.000.000). Equipo administrado por TDV.</t>
        </is>
      </c>
      <c r="L1046" s="26" t="n">
        <v>405000000</v>
      </c>
      <c r="M1046" s="26" t="n">
        <v>141907994</v>
      </c>
      <c r="N1046" s="27">
        <f>IF(ISNUMBER(M1046),M1046/L1046,"No aplica")</f>
        <v>0.3503901086419753</v>
      </c>
      <c r="O1046" s="25">
        <f>IF(G1046="provision",M1046+H1046,IF(G1046="recoleccion",M1046-H1046,"No aplica"))</f>
        <v>405000000</v>
      </c>
      <c r="P1046" s="26" t="n">
        <v>89225</v>
      </c>
    </row>
    <row r="1047">
      <c r="A1047" t="inlineStr">
        <is>
          <t>PRAGMA</t>
        </is>
      </c>
      <c r="B1047" t="inlineStr">
        <is>
          <t>M1</t>
        </is>
      </c>
      <c r="C1047" t="inlineStr">
        <is>
          <t>Pasto</t>
        </is>
      </c>
      <c r="D1047" t="inlineStr">
        <is>
          <t>8305</t>
        </is>
      </c>
      <c r="E1047" t="inlineStr">
        <is>
          <t>TDV</t>
        </is>
      </c>
      <c r="F1047" s="23" t="n">
        <v>46275</v>
      </c>
      <c r="G1047" t="inlineStr">
        <is>
          <t>provision</t>
        </is>
      </c>
      <c r="H1047" s="26" t="n">
        <v>340025002</v>
      </c>
      <c r="I1047" t="inlineStr">
        <is>
          <t>bajo</t>
        </is>
      </c>
      <c r="J1047" t="inlineStr">
        <is>
          <t>RN-11 y RN-34: provision hasta el cupo operativo antes de bajar del 8 %</t>
        </is>
      </c>
      <c r="K1047" t="inlineStr">
        <is>
          <t>Provision en la manana, antes del pagado: con el pronostico, sin provision el saldo bajaria del 8 % del cupo ese dia. Lleva el saldo de 64.974.998 a 405.000.000 COP (cupo 405.000.000). Equipo administrado por TDV.</t>
        </is>
      </c>
      <c r="L1047" s="26" t="n">
        <v>405000000</v>
      </c>
      <c r="M1047" s="26" t="n">
        <v>64974998</v>
      </c>
      <c r="N1047" s="27">
        <f>IF(ISNUMBER(M1047),M1047/L1047,"No aplica")</f>
        <v>0.1604320938271605</v>
      </c>
      <c r="O1047" s="25">
        <f>IF(G1047="provision",M1047+H1047,IF(G1047="recoleccion",M1047-H1047,"No aplica"))</f>
        <v>405000000</v>
      </c>
      <c r="P1047" s="26" t="n">
        <v>110766</v>
      </c>
    </row>
    <row r="1048">
      <c r="A1048" t="inlineStr">
        <is>
          <t>PRAGMA</t>
        </is>
      </c>
      <c r="B1048" t="inlineStr">
        <is>
          <t>M1</t>
        </is>
      </c>
      <c r="C1048" t="inlineStr">
        <is>
          <t>Pasto</t>
        </is>
      </c>
      <c r="D1048" t="inlineStr">
        <is>
          <t>8305</t>
        </is>
      </c>
      <c r="E1048" t="inlineStr">
        <is>
          <t>TDV</t>
        </is>
      </c>
      <c r="F1048" s="23" t="n">
        <v>46278</v>
      </c>
      <c r="G1048" t="inlineStr">
        <is>
          <t>provision</t>
        </is>
      </c>
      <c r="H1048" s="26" t="n">
        <v>316762451</v>
      </c>
      <c r="I1048" t="inlineStr">
        <is>
          <t>bajo</t>
        </is>
      </c>
      <c r="J1048" t="inlineStr">
        <is>
          <t>RN-11 y RN-34: provision hasta el cupo operativo antes de bajar del 8 %</t>
        </is>
      </c>
      <c r="K1048" t="inlineStr">
        <is>
          <t>Provision en la manana, antes del pagado: con el pronostico, sin provision el saldo bajaria del 8 % del cupo ese dia. Lleva el saldo de 88.237.549 a 405.000.000 COP (cupo 405.000.000). Equipo administrado por TDV.</t>
        </is>
      </c>
      <c r="L1048" s="26" t="n">
        <v>405000000</v>
      </c>
      <c r="M1048" s="26" t="n">
        <v>88237549</v>
      </c>
      <c r="N1048" s="27">
        <f>IF(ISNUMBER(M1048),M1048/L1048,"No aplica")</f>
        <v>0.2178704913580247</v>
      </c>
      <c r="O1048" s="25">
        <f>IF(G1048="provision",M1048+H1048,IF(G1048="recoleccion",M1048-H1048,"No aplica"))</f>
        <v>405000000</v>
      </c>
      <c r="P1048" s="26" t="n">
        <v>141369</v>
      </c>
    </row>
    <row r="1049">
      <c r="A1049" t="inlineStr">
        <is>
          <t>PRAGMA</t>
        </is>
      </c>
      <c r="B1049" t="inlineStr">
        <is>
          <t>M1</t>
        </is>
      </c>
      <c r="C1049" t="inlineStr">
        <is>
          <t>Pasto</t>
        </is>
      </c>
      <c r="D1049" t="inlineStr">
        <is>
          <t>8306</t>
        </is>
      </c>
      <c r="E1049" t="inlineStr">
        <is>
          <t>TDV</t>
        </is>
      </c>
      <c r="F1049" s="23" t="n">
        <v>46268</v>
      </c>
      <c r="G1049" t="inlineStr">
        <is>
          <t>provision</t>
        </is>
      </c>
      <c r="H1049" s="26" t="n">
        <v>273705770</v>
      </c>
      <c r="I1049" t="inlineStr">
        <is>
          <t>bajo</t>
        </is>
      </c>
      <c r="J1049" t="inlineStr">
        <is>
          <t>RN-11 y RN-34: provision hasta el cupo operativo antes de bajar del 8 %</t>
        </is>
      </c>
      <c r="K1049" t="inlineStr">
        <is>
          <t>Provision en la manana, antes del pagado: con el pronostico, sin provision el saldo bajaria del 8 % del cupo ese dia. Lleva el saldo de 131.294.230 a 405.000.000 COP (cupo 405.000.000). Equipo administrado por TDV.</t>
        </is>
      </c>
      <c r="L1049" s="26" t="n">
        <v>405000000</v>
      </c>
      <c r="M1049" s="26" t="n">
        <v>131294230</v>
      </c>
      <c r="N1049" s="27">
        <f>IF(ISNUMBER(M1049),M1049/L1049,"No aplica")</f>
        <v>0.3241832839506173</v>
      </c>
      <c r="O1049" s="25">
        <f>IF(G1049="provision",M1049+H1049,IF(G1049="recoleccion",M1049-H1049,"No aplica"))</f>
        <v>405000000</v>
      </c>
      <c r="P1049" s="26" t="n">
        <v>92197</v>
      </c>
    </row>
    <row r="1050">
      <c r="A1050" t="inlineStr">
        <is>
          <t>PRAGMA</t>
        </is>
      </c>
      <c r="B1050" t="inlineStr">
        <is>
          <t>M1</t>
        </is>
      </c>
      <c r="C1050" t="inlineStr">
        <is>
          <t>Pasto</t>
        </is>
      </c>
      <c r="D1050" t="inlineStr">
        <is>
          <t>8306</t>
        </is>
      </c>
      <c r="E1050" t="inlineStr">
        <is>
          <t>TDV</t>
        </is>
      </c>
      <c r="F1050" s="23" t="n">
        <v>46271</v>
      </c>
      <c r="G1050" t="inlineStr">
        <is>
          <t>provision</t>
        </is>
      </c>
      <c r="H1050" s="26" t="n">
        <v>337501759</v>
      </c>
      <c r="I1050" t="inlineStr">
        <is>
          <t>bajo</t>
        </is>
      </c>
      <c r="J1050" t="inlineStr">
        <is>
          <t>RN-11 y RN-34: provision hasta el cupo operativo antes de bajar del 8 %</t>
        </is>
      </c>
      <c r="K1050" t="inlineStr">
        <is>
          <t>Provision en la manana, antes del pagado: con el pronostico, sin provision el saldo bajaria del 8 % del cupo ese dia. Lleva el saldo de 67.498.241 a 405.000.000 COP (cupo 405.000.000). Equipo administrado por TDV.</t>
        </is>
      </c>
      <c r="L1050" s="26" t="n">
        <v>405000000</v>
      </c>
      <c r="M1050" s="26" t="n">
        <v>67498241</v>
      </c>
      <c r="N1050" s="27">
        <f>IF(ISNUMBER(M1050),M1050/L1050,"No aplica")</f>
        <v>0.16666232345679013</v>
      </c>
      <c r="O1050" s="25">
        <f>IF(G1050="provision",M1050+H1050,IF(G1050="recoleccion",M1050-H1050,"No aplica"))</f>
        <v>405000000</v>
      </c>
      <c r="P1050" s="26" t="n">
        <v>149229</v>
      </c>
    </row>
    <row r="1051">
      <c r="A1051" t="inlineStr">
        <is>
          <t>PRAGMA</t>
        </is>
      </c>
      <c r="B1051" t="inlineStr">
        <is>
          <t>M1</t>
        </is>
      </c>
      <c r="C1051" t="inlineStr">
        <is>
          <t>Pasto</t>
        </is>
      </c>
      <c r="D1051" t="inlineStr">
        <is>
          <t>8306</t>
        </is>
      </c>
      <c r="E1051" t="inlineStr">
        <is>
          <t>TDV</t>
        </is>
      </c>
      <c r="F1051" s="23" t="n">
        <v>46275</v>
      </c>
      <c r="G1051" t="inlineStr">
        <is>
          <t>provision</t>
        </is>
      </c>
      <c r="H1051" s="26" t="n">
        <v>345878048</v>
      </c>
      <c r="I1051" t="inlineStr">
        <is>
          <t>bajo</t>
        </is>
      </c>
      <c r="J1051" t="inlineStr">
        <is>
          <t>RN-11 y RN-34: provision hasta el cupo operativo antes de bajar del 8 %</t>
        </is>
      </c>
      <c r="K1051" t="inlineStr">
        <is>
          <t>Provision en la manana, antes del pagado: con el pronostico, sin provision el saldo bajaria del 8 % del cupo ese dia. Lleva el saldo de 59.121.952 a 405.000.000 COP (cupo 405.000.000). Equipo administrado por TDV.</t>
        </is>
      </c>
      <c r="L1051" s="26" t="n">
        <v>405000000</v>
      </c>
      <c r="M1051" s="26" t="n">
        <v>59121952</v>
      </c>
      <c r="N1051" s="27">
        <f>IF(ISNUMBER(M1051),M1051/L1051,"No aplica")</f>
        <v>0.14598012839506172</v>
      </c>
      <c r="O1051" s="25">
        <f>IF(G1051="provision",M1051+H1051,IF(G1051="recoleccion",M1051-H1051,"No aplica"))</f>
        <v>405000000</v>
      </c>
      <c r="P1051" s="26" t="n">
        <v>112405</v>
      </c>
    </row>
    <row r="1052">
      <c r="A1052" t="inlineStr">
        <is>
          <t>PRAGMA</t>
        </is>
      </c>
      <c r="B1052" t="inlineStr">
        <is>
          <t>M1</t>
        </is>
      </c>
      <c r="C1052" t="inlineStr">
        <is>
          <t>Pasto</t>
        </is>
      </c>
      <c r="D1052" t="inlineStr">
        <is>
          <t>8306</t>
        </is>
      </c>
      <c r="E1052" t="inlineStr">
        <is>
          <t>TDV</t>
        </is>
      </c>
      <c r="F1052" s="23" t="n">
        <v>46279</v>
      </c>
      <c r="G1052" t="inlineStr">
        <is>
          <t>provision</t>
        </is>
      </c>
      <c r="H1052" s="26" t="n">
        <v>313180015</v>
      </c>
      <c r="I1052" t="inlineStr">
        <is>
          <t>bajo</t>
        </is>
      </c>
      <c r="J1052" t="inlineStr">
        <is>
          <t>RN-11 y RN-34: provision hasta el cupo operativo antes de bajar del 8 %</t>
        </is>
      </c>
      <c r="K1052" t="inlineStr">
        <is>
          <t>Provision en la manana, antes del pagado: con el pronostico, sin provision el saldo bajaria del 8 % del cupo ese dia. Lleva el saldo de 91.819.985 a 405.000.000 COP (cupo 405.000.000). Equipo administrado por TDV.</t>
        </is>
      </c>
      <c r="L1052" s="26" t="n">
        <v>405000000</v>
      </c>
      <c r="M1052" s="26" t="n">
        <v>91819985</v>
      </c>
      <c r="N1052" s="27">
        <f>IF(ISNUMBER(M1052),M1052/L1052,"No aplica")</f>
        <v>0.226716012345679</v>
      </c>
      <c r="O1052" s="25">
        <f>IF(G1052="provision",M1052+H1052,IF(G1052="recoleccion",M1052-H1052,"No aplica"))</f>
        <v>405000000</v>
      </c>
      <c r="P1052" s="26" t="n">
        <v>103249</v>
      </c>
    </row>
    <row r="1053">
      <c r="A1053" t="inlineStr">
        <is>
          <t>PRAGMA</t>
        </is>
      </c>
      <c r="B1053" t="inlineStr">
        <is>
          <t>M1</t>
        </is>
      </c>
      <c r="C1053" t="inlineStr">
        <is>
          <t>Pasto</t>
        </is>
      </c>
      <c r="D1053" t="inlineStr">
        <is>
          <t>8307</t>
        </is>
      </c>
      <c r="E1053" t="inlineStr">
        <is>
          <t>TDV</t>
        </is>
      </c>
      <c r="F1053" s="23" t="n">
        <v>46268</v>
      </c>
      <c r="G1053" t="inlineStr">
        <is>
          <t>provision</t>
        </is>
      </c>
      <c r="H1053" s="26" t="n">
        <v>291798421</v>
      </c>
      <c r="I1053" t="inlineStr">
        <is>
          <t>bajo</t>
        </is>
      </c>
      <c r="J1053" t="inlineStr">
        <is>
          <t>RN-11 y RN-34: provision hasta el cupo operativo antes de bajar del 8 %</t>
        </is>
      </c>
      <c r="K1053" t="inlineStr">
        <is>
          <t>Provision en la manana, antes del pagado: con el pronostico, sin provision el saldo bajaria del 8 % del cupo ese dia. Lleva el saldo de 113.201.579 a 405.000.000 COP (cupo 405.000.000). Equipo administrado por TDV.</t>
        </is>
      </c>
      <c r="L1053" s="26" t="n">
        <v>405000000</v>
      </c>
      <c r="M1053" s="26" t="n">
        <v>113201579</v>
      </c>
      <c r="N1053" s="27">
        <f>IF(ISNUMBER(M1053),M1053/L1053,"No aplica")</f>
        <v>0.2795100716049383</v>
      </c>
      <c r="O1053" s="25">
        <f>IF(G1053="provision",M1053+H1053,IF(G1053="recoleccion",M1053-H1053,"No aplica"))</f>
        <v>405000000</v>
      </c>
      <c r="P1053" s="26" t="n">
        <v>97263</v>
      </c>
    </row>
    <row r="1054">
      <c r="A1054" t="inlineStr">
        <is>
          <t>PRAGMA</t>
        </is>
      </c>
      <c r="B1054" t="inlineStr">
        <is>
          <t>M1</t>
        </is>
      </c>
      <c r="C1054" t="inlineStr">
        <is>
          <t>Pasto</t>
        </is>
      </c>
      <c r="D1054" t="inlineStr">
        <is>
          <t>8307</t>
        </is>
      </c>
      <c r="E1054" t="inlineStr">
        <is>
          <t>TDV</t>
        </is>
      </c>
      <c r="F1054" s="23" t="n">
        <v>46271</v>
      </c>
      <c r="G1054" t="inlineStr">
        <is>
          <t>provision</t>
        </is>
      </c>
      <c r="H1054" s="26" t="n">
        <v>355168996</v>
      </c>
      <c r="I1054" t="inlineStr">
        <is>
          <t>bajo</t>
        </is>
      </c>
      <c r="J1054" t="inlineStr">
        <is>
          <t>RN-11 y RN-34: provision hasta el cupo operativo antes de bajar del 8 %</t>
        </is>
      </c>
      <c r="K1054" t="inlineStr">
        <is>
          <t>Provision en la manana, antes del pagado: con el pronostico, sin provision el saldo bajaria del 8 % del cupo ese dia. Lleva el saldo de 49.831.004 a 405.000.000 COP (cupo 405.000.000). Equipo administrado por TDV.</t>
        </is>
      </c>
      <c r="L1054" s="26" t="n">
        <v>405000000</v>
      </c>
      <c r="M1054" s="26" t="n">
        <v>49831004</v>
      </c>
      <c r="N1054" s="27">
        <f>IF(ISNUMBER(M1054),M1054/L1054,"No aplica")</f>
        <v>0.12303951604938272</v>
      </c>
      <c r="O1054" s="25">
        <f>IF(G1054="provision",M1054+H1054,IF(G1054="recoleccion",M1054-H1054,"No aplica"))</f>
        <v>405000000</v>
      </c>
      <c r="P1054" s="26" t="n">
        <v>155925</v>
      </c>
    </row>
    <row r="1055">
      <c r="A1055" t="inlineStr">
        <is>
          <t>PRAGMA</t>
        </is>
      </c>
      <c r="B1055" t="inlineStr">
        <is>
          <t>M1</t>
        </is>
      </c>
      <c r="C1055" t="inlineStr">
        <is>
          <t>Pasto</t>
        </is>
      </c>
      <c r="D1055" t="inlineStr">
        <is>
          <t>8307</t>
        </is>
      </c>
      <c r="E1055" t="inlineStr">
        <is>
          <t>TDV</t>
        </is>
      </c>
      <c r="F1055" s="23" t="n">
        <v>46275</v>
      </c>
      <c r="G1055" t="inlineStr">
        <is>
          <t>provision</t>
        </is>
      </c>
      <c r="H1055" s="26" t="n">
        <v>359066445</v>
      </c>
      <c r="I1055" t="inlineStr">
        <is>
          <t>bajo</t>
        </is>
      </c>
      <c r="J1055" t="inlineStr">
        <is>
          <t>RN-11 y RN-34: provision hasta el cupo operativo antes de bajar del 8 %</t>
        </is>
      </c>
      <c r="K1055" t="inlineStr">
        <is>
          <t>Provision en la manana, antes del pagado: con el pronostico, sin provision el saldo bajaria del 8 % del cupo ese dia. Lleva el saldo de 45.933.555 a 405.000.000 COP (cupo 405.000.000). Equipo administrado por TDV.</t>
        </is>
      </c>
      <c r="L1055" s="26" t="n">
        <v>405000000</v>
      </c>
      <c r="M1055" s="26" t="n">
        <v>45933555</v>
      </c>
      <c r="N1055" s="27">
        <f>IF(ISNUMBER(M1055),M1055/L1055,"No aplica")</f>
        <v>0.11341618518518519</v>
      </c>
      <c r="O1055" s="25">
        <f>IF(G1055="provision",M1055+H1055,IF(G1055="recoleccion",M1055-H1055,"No aplica"))</f>
        <v>405000000</v>
      </c>
      <c r="P1055" s="26" t="n">
        <v>116098</v>
      </c>
    </row>
    <row r="1056">
      <c r="A1056" t="inlineStr">
        <is>
          <t>PRAGMA</t>
        </is>
      </c>
      <c r="B1056" t="inlineStr">
        <is>
          <t>M1</t>
        </is>
      </c>
      <c r="C1056" t="inlineStr">
        <is>
          <t>Pasto</t>
        </is>
      </c>
      <c r="D1056" t="inlineStr">
        <is>
          <t>8307</t>
        </is>
      </c>
      <c r="E1056" t="inlineStr">
        <is>
          <t>TDV</t>
        </is>
      </c>
      <c r="F1056" s="23" t="n">
        <v>46279</v>
      </c>
      <c r="G1056" t="inlineStr">
        <is>
          <t>provision</t>
        </is>
      </c>
      <c r="H1056" s="26" t="n">
        <v>329607937</v>
      </c>
      <c r="I1056" t="inlineStr">
        <is>
          <t>bajo</t>
        </is>
      </c>
      <c r="J1056" t="inlineStr">
        <is>
          <t>RN-11 y RN-34: provision hasta el cupo operativo antes de bajar del 8 %</t>
        </is>
      </c>
      <c r="K1056" t="inlineStr">
        <is>
          <t>Provision en la manana, antes del pagado: con el pronostico, sin provision el saldo bajaria del 8 % del cupo ese dia. Lleva el saldo de 75.392.063 a 405.000.000 COP (cupo 405.000.000). Equipo administrado por TDV.</t>
        </is>
      </c>
      <c r="L1056" s="26" t="n">
        <v>405000000</v>
      </c>
      <c r="M1056" s="26" t="n">
        <v>75392063</v>
      </c>
      <c r="N1056" s="27">
        <f>IF(ISNUMBER(M1056),M1056/L1056,"No aplica")</f>
        <v>0.18615324197530864</v>
      </c>
      <c r="O1056" s="25">
        <f>IF(G1056="provision",M1056+H1056,IF(G1056="recoleccion",M1056-H1056,"No aplica"))</f>
        <v>405000000</v>
      </c>
      <c r="P1056" s="26" t="n">
        <v>107849</v>
      </c>
    </row>
    <row r="1057">
      <c r="A1057" t="inlineStr">
        <is>
          <t>PRAGMA</t>
        </is>
      </c>
      <c r="B1057" t="inlineStr">
        <is>
          <t>M1</t>
        </is>
      </c>
      <c r="C1057" t="inlineStr">
        <is>
          <t>Cali</t>
        </is>
      </c>
      <c r="D1057" t="inlineStr">
        <is>
          <t>8383</t>
        </is>
      </c>
      <c r="E1057" t="inlineStr">
        <is>
          <t>TDV</t>
        </is>
      </c>
      <c r="F1057" s="23" t="n">
        <v>46266</v>
      </c>
      <c r="G1057" t="inlineStr">
        <is>
          <t>sin_accion</t>
        </is>
      </c>
      <c r="H1057" s="26" t="n">
        <v>0</v>
      </c>
      <c r="I1057" t="inlineStr">
        <is>
          <t>bajo</t>
        </is>
      </c>
      <c r="J1057" t="inlineStr">
        <is>
          <t>RN-02: una fila sin_accion</t>
        </is>
      </c>
      <c r="K1057" t="inlineStr">
        <is>
          <t>Sin accion en el horizonte: con el pronostico, el saldo se mantiene entre el umbral de agotamiento y el cupo sin necesidad de provision ni recoleccion.</t>
        </is>
      </c>
      <c r="L1057" s="26" t="n">
        <v>500000000</v>
      </c>
      <c r="M1057" s="26" t="inlineStr">
        <is>
          <t>No aplica</t>
        </is>
      </c>
      <c r="N1057" s="27" t="str">
        <f>IF(ISNUMBER(M1057),M1057/L1057,"No aplica")</f>
        <v>No aplica</v>
      </c>
      <c r="O1057" s="25" t="str">
        <f>IF(G1057="provision",M1057+H1057,IF(G1057="recoleccion",M1057-H1057,"No aplica"))</f>
        <v>No aplica</v>
      </c>
      <c r="P1057" s="26" t="inlineStr">
        <is>
          <t>No aplica</t>
        </is>
      </c>
    </row>
    <row r="1058">
      <c r="A1058" t="inlineStr">
        <is>
          <t>PRAGMA</t>
        </is>
      </c>
      <c r="B1058" t="inlineStr">
        <is>
          <t>M1</t>
        </is>
      </c>
      <c r="C1058" t="inlineStr">
        <is>
          <t>Cali</t>
        </is>
      </c>
      <c r="D1058" t="inlineStr">
        <is>
          <t>8387</t>
        </is>
      </c>
      <c r="E1058" t="inlineStr">
        <is>
          <t>Sucursal</t>
        </is>
      </c>
      <c r="F1058" s="23" t="n">
        <v>46267</v>
      </c>
      <c r="G1058" t="inlineStr">
        <is>
          <t>provision</t>
        </is>
      </c>
      <c r="H1058" s="26" t="n">
        <v>217598219</v>
      </c>
      <c r="I1058" t="inlineStr">
        <is>
          <t>bajo</t>
        </is>
      </c>
      <c r="J1058" t="inlineStr">
        <is>
          <t>RN-11 y RN-34: provision hasta el cupo operativo antes de bajar del 8 %</t>
        </is>
      </c>
      <c r="K1058" t="inlineStr">
        <is>
          <t>Provision en la manana, antes del pagado: con el pronostico, sin provision el saldo bajaria del 8 % del cupo ese dia. Lleva el saldo de 193.401.781 a 411.000.000 COP (cupo 411.000.000). Equipo administrado por Sucursal. Sin tarifa TDV (administrado por la sucursal): costo 0 declarado.</t>
        </is>
      </c>
      <c r="L1058" s="26" t="n">
        <v>411000000</v>
      </c>
      <c r="M1058" s="26" t="n">
        <v>193401781</v>
      </c>
      <c r="N1058" s="27">
        <f>IF(ISNUMBER(M1058),M1058/L1058,"No aplica")</f>
        <v>0.4705639440389294</v>
      </c>
      <c r="O1058" s="25">
        <f>IF(G1058="provision",M1058+H1058,IF(G1058="recoleccion",M1058-H1058,"No aplica"))</f>
        <v>411000000</v>
      </c>
      <c r="P1058" s="26" t="n">
        <v>0</v>
      </c>
    </row>
    <row r="1059">
      <c r="A1059" t="inlineStr">
        <is>
          <t>PRAGMA</t>
        </is>
      </c>
      <c r="B1059" t="inlineStr">
        <is>
          <t>M1</t>
        </is>
      </c>
      <c r="C1059" t="inlineStr">
        <is>
          <t>Cali</t>
        </is>
      </c>
      <c r="D1059" t="inlineStr">
        <is>
          <t>8387</t>
        </is>
      </c>
      <c r="E1059" t="inlineStr">
        <is>
          <t>Sucursal</t>
        </is>
      </c>
      <c r="F1059" s="23" t="n">
        <v>46269</v>
      </c>
      <c r="G1059" t="inlineStr">
        <is>
          <t>provision</t>
        </is>
      </c>
      <c r="H1059" s="26" t="n">
        <v>319661267</v>
      </c>
      <c r="I1059" t="inlineStr">
        <is>
          <t>bajo</t>
        </is>
      </c>
      <c r="J1059" t="inlineStr">
        <is>
          <t>RN-11 y RN-34: provision hasta el cupo operativo antes de bajar del 8 %</t>
        </is>
      </c>
      <c r="K1059" t="inlineStr">
        <is>
          <t>Provision en la manana, antes del pagado: con el pronostico, sin provision el saldo bajaria del 8 % del cupo ese dia. Lleva el saldo de 91.338.733 a 411.000.000 COP (cupo 411.000.000). Equipo administrado por Sucursal. Sin tarifa TDV (administrado por la sucursal): costo 0 declarado.</t>
        </is>
      </c>
      <c r="L1059" s="26" t="n">
        <v>411000000</v>
      </c>
      <c r="M1059" s="26" t="n">
        <v>91338733</v>
      </c>
      <c r="N1059" s="27">
        <f>IF(ISNUMBER(M1059),M1059/L1059,"No aplica")</f>
        <v>0.22223536009732361</v>
      </c>
      <c r="O1059" s="25">
        <f>IF(G1059="provision",M1059+H1059,IF(G1059="recoleccion",M1059-H1059,"No aplica"))</f>
        <v>411000000</v>
      </c>
      <c r="P1059" s="26" t="n">
        <v>0</v>
      </c>
    </row>
    <row r="1060">
      <c r="A1060" t="inlineStr">
        <is>
          <t>PRAGMA</t>
        </is>
      </c>
      <c r="B1060" t="inlineStr">
        <is>
          <t>M1</t>
        </is>
      </c>
      <c r="C1060" t="inlineStr">
        <is>
          <t>Cali</t>
        </is>
      </c>
      <c r="D1060" t="inlineStr">
        <is>
          <t>8387</t>
        </is>
      </c>
      <c r="E1060" t="inlineStr">
        <is>
          <t>Sucursal</t>
        </is>
      </c>
      <c r="F1060" s="23" t="n">
        <v>46271</v>
      </c>
      <c r="G1060" t="inlineStr">
        <is>
          <t>provision</t>
        </is>
      </c>
      <c r="H1060" s="26" t="n">
        <v>337263719</v>
      </c>
      <c r="I1060" t="inlineStr">
        <is>
          <t>bajo</t>
        </is>
      </c>
      <c r="J1060" t="inlineStr">
        <is>
          <t>RN-11 y RN-34: provision hasta el cupo operativo antes de bajar del 8 %</t>
        </is>
      </c>
      <c r="K1060" t="inlineStr">
        <is>
          <t>Provision en la manana, antes del pagado: con el pronostico, sin provision el saldo bajaria del 8 % del cupo ese dia. Lleva el saldo de 73.736.281 a 411.000.000 COP (cupo 411.000.000). Equipo administrado por Sucursal. Sin tarifa TDV (administrado por la sucursal): costo 0 declarado.</t>
        </is>
      </c>
      <c r="L1060" s="26" t="n">
        <v>411000000</v>
      </c>
      <c r="M1060" s="26" t="n">
        <v>73736281</v>
      </c>
      <c r="N1060" s="27">
        <f>IF(ISNUMBER(M1060),M1060/L1060,"No aplica")</f>
        <v>0.1794070097323601</v>
      </c>
      <c r="O1060" s="25">
        <f>IF(G1060="provision",M1060+H1060,IF(G1060="recoleccion",M1060-H1060,"No aplica"))</f>
        <v>411000000</v>
      </c>
      <c r="P1060" s="26" t="n">
        <v>0</v>
      </c>
    </row>
    <row r="1061">
      <c r="A1061" t="inlineStr">
        <is>
          <t>PRAGMA</t>
        </is>
      </c>
      <c r="B1061" t="inlineStr">
        <is>
          <t>M1</t>
        </is>
      </c>
      <c r="C1061" t="inlineStr">
        <is>
          <t>Cali</t>
        </is>
      </c>
      <c r="D1061" t="inlineStr">
        <is>
          <t>8387</t>
        </is>
      </c>
      <c r="E1061" t="inlineStr">
        <is>
          <t>Sucursal</t>
        </is>
      </c>
      <c r="F1061" s="23" t="n">
        <v>46274</v>
      </c>
      <c r="G1061" t="inlineStr">
        <is>
          <t>provision</t>
        </is>
      </c>
      <c r="H1061" s="26" t="n">
        <v>345211472</v>
      </c>
      <c r="I1061" t="inlineStr">
        <is>
          <t>bajo</t>
        </is>
      </c>
      <c r="J1061" t="inlineStr">
        <is>
          <t>RN-11 y RN-34: provision hasta el cupo operativo antes de bajar del 8 %</t>
        </is>
      </c>
      <c r="K1061" t="inlineStr">
        <is>
          <t>Provision en la manana, antes del pagado: con el pronostico, sin provision el saldo bajaria del 8 % del cupo ese dia. Lleva el saldo de 65.788.528 a 411.000.000 COP (cupo 411.000.000). Equipo administrado por Sucursal. Sin tarifa TDV (administrado por la sucursal): costo 0 declarado.</t>
        </is>
      </c>
      <c r="L1061" s="26" t="n">
        <v>411000000</v>
      </c>
      <c r="M1061" s="26" t="n">
        <v>65788528</v>
      </c>
      <c r="N1061" s="27">
        <f>IF(ISNUMBER(M1061),M1061/L1061,"No aplica")</f>
        <v>0.1600694111922141</v>
      </c>
      <c r="O1061" s="25">
        <f>IF(G1061="provision",M1061+H1061,IF(G1061="recoleccion",M1061-H1061,"No aplica"))</f>
        <v>411000000</v>
      </c>
      <c r="P1061" s="26" t="n">
        <v>0</v>
      </c>
    </row>
    <row r="1062">
      <c r="A1062" t="inlineStr">
        <is>
          <t>PRAGMA</t>
        </is>
      </c>
      <c r="B1062" t="inlineStr">
        <is>
          <t>M1</t>
        </is>
      </c>
      <c r="C1062" t="inlineStr">
        <is>
          <t>Cali</t>
        </is>
      </c>
      <c r="D1062" t="inlineStr">
        <is>
          <t>8387</t>
        </is>
      </c>
      <c r="E1062" t="inlineStr">
        <is>
          <t>Sucursal</t>
        </is>
      </c>
      <c r="F1062" s="23" t="n">
        <v>46277</v>
      </c>
      <c r="G1062" t="inlineStr">
        <is>
          <t>provision</t>
        </is>
      </c>
      <c r="H1062" s="26" t="n">
        <v>316753458</v>
      </c>
      <c r="I1062" t="inlineStr">
        <is>
          <t>bajo</t>
        </is>
      </c>
      <c r="J1062" t="inlineStr">
        <is>
          <t>RN-11 y RN-34: provision hasta el cupo operativo antes de bajar del 8 %</t>
        </is>
      </c>
      <c r="K1062" t="inlineStr">
        <is>
          <t>Provision en la manana, antes del pagado: con el pronostico, sin provision el saldo bajaria del 8 % del cupo ese dia. Lleva el saldo de 94.246.542 a 411.000.000 COP (cupo 411.000.000). Equipo administrado por Sucursal. Sin tarifa TDV (administrado por la sucursal): costo 0 declarado.</t>
        </is>
      </c>
      <c r="L1062" s="26" t="n">
        <v>411000000</v>
      </c>
      <c r="M1062" s="26" t="n">
        <v>94246542</v>
      </c>
      <c r="N1062" s="27">
        <f>IF(ISNUMBER(M1062),M1062/L1062,"No aplica")</f>
        <v>0.22931032116788322</v>
      </c>
      <c r="O1062" s="25">
        <f>IF(G1062="provision",M1062+H1062,IF(G1062="recoleccion",M1062-H1062,"No aplica"))</f>
        <v>411000000</v>
      </c>
      <c r="P1062" s="26" t="n">
        <v>0</v>
      </c>
    </row>
    <row r="1063">
      <c r="A1063" t="inlineStr">
        <is>
          <t>PRAGMA</t>
        </is>
      </c>
      <c r="B1063" t="inlineStr">
        <is>
          <t>M1</t>
        </is>
      </c>
      <c r="C1063" t="inlineStr">
        <is>
          <t>Cali</t>
        </is>
      </c>
      <c r="D1063" t="inlineStr">
        <is>
          <t>8387</t>
        </is>
      </c>
      <c r="E1063" t="inlineStr">
        <is>
          <t>Sucursal</t>
        </is>
      </c>
      <c r="F1063" s="23" t="n">
        <v>46280</v>
      </c>
      <c r="G1063" t="inlineStr">
        <is>
          <t>provision</t>
        </is>
      </c>
      <c r="H1063" s="26" t="n">
        <v>334034790</v>
      </c>
      <c r="I1063" t="inlineStr">
        <is>
          <t>bajo</t>
        </is>
      </c>
      <c r="J1063" t="inlineStr">
        <is>
          <t>RN-11 y RN-34: provision hasta el cupo operativo antes de bajar del 8 %</t>
        </is>
      </c>
      <c r="K1063" t="inlineStr">
        <is>
          <t>Provision en la manana, antes del pagado: con el pronostico, sin provision el saldo bajaria del 8 % del cupo ese dia. Lleva el saldo de 76.965.210 a 411.000.000 COP (cupo 411.000.000). Equipo administrado por Sucursal. Sin tarifa TDV (administrado por la sucursal): costo 0 declarado.</t>
        </is>
      </c>
      <c r="L1063" s="26" t="n">
        <v>411000000</v>
      </c>
      <c r="M1063" s="26" t="n">
        <v>76965210</v>
      </c>
      <c r="N1063" s="27">
        <f>IF(ISNUMBER(M1063),M1063/L1063,"No aplica")</f>
        <v>0.18726328467153286</v>
      </c>
      <c r="O1063" s="25">
        <f>IF(G1063="provision",M1063+H1063,IF(G1063="recoleccion",M1063-H1063,"No aplica"))</f>
        <v>411000000</v>
      </c>
      <c r="P1063" s="26" t="n">
        <v>0</v>
      </c>
    </row>
    <row r="1064">
      <c r="A1064" t="inlineStr">
        <is>
          <t>PRAGMA</t>
        </is>
      </c>
      <c r="B1064" t="inlineStr">
        <is>
          <t>M1</t>
        </is>
      </c>
      <c r="C1064" t="inlineStr">
        <is>
          <t>Cali</t>
        </is>
      </c>
      <c r="D1064" t="inlineStr">
        <is>
          <t>8388</t>
        </is>
      </c>
      <c r="E1064" t="inlineStr">
        <is>
          <t>Sucursal</t>
        </is>
      </c>
      <c r="F1064" s="23" t="n">
        <v>46268</v>
      </c>
      <c r="G1064" t="inlineStr">
        <is>
          <t>provision</t>
        </is>
      </c>
      <c r="H1064" s="26" t="n">
        <v>349513537</v>
      </c>
      <c r="I1064" t="inlineStr">
        <is>
          <t>bajo</t>
        </is>
      </c>
      <c r="J1064" t="inlineStr">
        <is>
          <t>RN-11 y RN-34: provision hasta el cupo operativo antes de bajar del 8 %</t>
        </is>
      </c>
      <c r="K1064" t="inlineStr">
        <is>
          <t>Provision en la manana, antes del pagado: con el pronostico, sin provision el saldo bajaria del 8 % del cupo ese dia. Lleva el saldo de 91.486.463 a 441.000.000 COP (cupo 441.000.000). Equipo administrado por Sucursal. Sin tarifa TDV (administrado por la sucursal): costo 0 declarado.</t>
        </is>
      </c>
      <c r="L1064" s="26" t="n">
        <v>441000000</v>
      </c>
      <c r="M1064" s="26" t="n">
        <v>91486463</v>
      </c>
      <c r="N1064" s="27">
        <f>IF(ISNUMBER(M1064),M1064/L1064,"No aplica")</f>
        <v>0.2074522970521542</v>
      </c>
      <c r="O1064" s="25">
        <f>IF(G1064="provision",M1064+H1064,IF(G1064="recoleccion",M1064-H1064,"No aplica"))</f>
        <v>441000000</v>
      </c>
      <c r="P1064" s="26" t="n">
        <v>0</v>
      </c>
    </row>
    <row r="1065">
      <c r="A1065" t="inlineStr">
        <is>
          <t>PRAGMA</t>
        </is>
      </c>
      <c r="B1065" t="inlineStr">
        <is>
          <t>M1</t>
        </is>
      </c>
      <c r="C1065" t="inlineStr">
        <is>
          <t>Cali</t>
        </is>
      </c>
      <c r="D1065" t="inlineStr">
        <is>
          <t>8388</t>
        </is>
      </c>
      <c r="E1065" t="inlineStr">
        <is>
          <t>Sucursal</t>
        </is>
      </c>
      <c r="F1065" s="23" t="n">
        <v>46270</v>
      </c>
      <c r="G1065" t="inlineStr">
        <is>
          <t>provision</t>
        </is>
      </c>
      <c r="H1065" s="26" t="n">
        <v>273730410</v>
      </c>
      <c r="I1065" t="inlineStr">
        <is>
          <t>bajo</t>
        </is>
      </c>
      <c r="J1065" t="inlineStr">
        <is>
          <t>RN-11 y RN-34: provision hasta el cupo operativo antes de bajar del 8 %</t>
        </is>
      </c>
      <c r="K1065" t="inlineStr">
        <is>
          <t>Provision en la manana, antes del pagado: con el pronostico, sin provision el saldo bajaria del 8 % del cupo ese dia. Lleva el saldo de 167.269.590 a 441.000.000 COP (cupo 441.000.000). Equipo administrado por Sucursal. Sin tarifa TDV (administrado por la sucursal): costo 0 declarado.</t>
        </is>
      </c>
      <c r="L1065" s="26" t="n">
        <v>441000000</v>
      </c>
      <c r="M1065" s="26" t="n">
        <v>167269590</v>
      </c>
      <c r="N1065" s="27">
        <f>IF(ISNUMBER(M1065),M1065/L1065,"No aplica")</f>
        <v>0.3792961224489796</v>
      </c>
      <c r="O1065" s="25">
        <f>IF(G1065="provision",M1065+H1065,IF(G1065="recoleccion",M1065-H1065,"No aplica"))</f>
        <v>441000000</v>
      </c>
      <c r="P1065" s="26" t="n">
        <v>0</v>
      </c>
    </row>
    <row r="1066">
      <c r="A1066" t="inlineStr">
        <is>
          <t>PRAGMA</t>
        </is>
      </c>
      <c r="B1066" t="inlineStr">
        <is>
          <t>M1</t>
        </is>
      </c>
      <c r="C1066" t="inlineStr">
        <is>
          <t>Cali</t>
        </is>
      </c>
      <c r="D1066" t="inlineStr">
        <is>
          <t>8388</t>
        </is>
      </c>
      <c r="E1066" t="inlineStr">
        <is>
          <t>Sucursal</t>
        </is>
      </c>
      <c r="F1066" s="23" t="n">
        <v>46273</v>
      </c>
      <c r="G1066" t="inlineStr">
        <is>
          <t>provision</t>
        </is>
      </c>
      <c r="H1066" s="26" t="n">
        <v>355635729</v>
      </c>
      <c r="I1066" t="inlineStr">
        <is>
          <t>bajo</t>
        </is>
      </c>
      <c r="J1066" t="inlineStr">
        <is>
          <t>RN-11 y RN-34: provision hasta el cupo operativo antes de bajar del 8 %</t>
        </is>
      </c>
      <c r="K1066" t="inlineStr">
        <is>
          <t>Provision en la manana, antes del pagado: con el pronostico, sin provision el saldo bajaria del 8 % del cupo ese dia. Lleva el saldo de 85.364.271 a 441.000.000 COP (cupo 441.000.000). Equipo administrado por Sucursal. Sin tarifa TDV (administrado por la sucursal): costo 0 declarado.</t>
        </is>
      </c>
      <c r="L1066" s="26" t="n">
        <v>441000000</v>
      </c>
      <c r="M1066" s="26" t="n">
        <v>85364271</v>
      </c>
      <c r="N1066" s="27">
        <f>IF(ISNUMBER(M1066),M1066/L1066,"No aplica")</f>
        <v>0.19356977551020407</v>
      </c>
      <c r="O1066" s="25">
        <f>IF(G1066="provision",M1066+H1066,IF(G1066="recoleccion",M1066-H1066,"No aplica"))</f>
        <v>441000000</v>
      </c>
      <c r="P1066" s="26" t="n">
        <v>0</v>
      </c>
    </row>
    <row r="1067">
      <c r="A1067" t="inlineStr">
        <is>
          <t>PRAGMA</t>
        </is>
      </c>
      <c r="B1067" t="inlineStr">
        <is>
          <t>M1</t>
        </is>
      </c>
      <c r="C1067" t="inlineStr">
        <is>
          <t>Cali</t>
        </is>
      </c>
      <c r="D1067" t="inlineStr">
        <is>
          <t>8388</t>
        </is>
      </c>
      <c r="E1067" t="inlineStr">
        <is>
          <t>Sucursal</t>
        </is>
      </c>
      <c r="F1067" s="23" t="n">
        <v>46277</v>
      </c>
      <c r="G1067" t="inlineStr">
        <is>
          <t>provision</t>
        </is>
      </c>
      <c r="H1067" s="26" t="n">
        <v>394112319</v>
      </c>
      <c r="I1067" t="inlineStr">
        <is>
          <t>bajo</t>
        </is>
      </c>
      <c r="J1067" t="inlineStr">
        <is>
          <t>RN-11 y RN-34: provision hasta el cupo operativo antes de bajar del 8 %</t>
        </is>
      </c>
      <c r="K1067" t="inlineStr">
        <is>
          <t>Provision en la manana, antes del pagado: con el pronostico, sin provision el saldo bajaria del 8 % del cupo ese dia. Lleva el saldo de 46.887.681 a 441.000.000 COP (cupo 441.000.000). Equipo administrado por Sucursal. Sin tarifa TDV (administrado por la sucursal): costo 0 declarado.</t>
        </is>
      </c>
      <c r="L1067" s="26" t="n">
        <v>441000000</v>
      </c>
      <c r="M1067" s="26" t="n">
        <v>46887681</v>
      </c>
      <c r="N1067" s="27">
        <f>IF(ISNUMBER(M1067),M1067/L1067,"No aplica")</f>
        <v>0.10632127210884354</v>
      </c>
      <c r="O1067" s="25">
        <f>IF(G1067="provision",M1067+H1067,IF(G1067="recoleccion",M1067-H1067,"No aplica"))</f>
        <v>441000000</v>
      </c>
      <c r="P1067" s="26" t="n">
        <v>0</v>
      </c>
    </row>
    <row r="1068">
      <c r="A1068" t="inlineStr">
        <is>
          <t>PRAGMA</t>
        </is>
      </c>
      <c r="B1068" t="inlineStr">
        <is>
          <t>M1</t>
        </is>
      </c>
      <c r="C1068" t="inlineStr">
        <is>
          <t>Cali</t>
        </is>
      </c>
      <c r="D1068" t="inlineStr">
        <is>
          <t>8388</t>
        </is>
      </c>
      <c r="E1068" t="inlineStr">
        <is>
          <t>Sucursal</t>
        </is>
      </c>
      <c r="F1068" s="23" t="n">
        <v>46280</v>
      </c>
      <c r="G1068" t="inlineStr">
        <is>
          <t>provision</t>
        </is>
      </c>
      <c r="H1068" s="26" t="n">
        <v>277875789</v>
      </c>
      <c r="I1068" t="inlineStr">
        <is>
          <t>bajo</t>
        </is>
      </c>
      <c r="J1068" t="inlineStr">
        <is>
          <t>RN-11 y RN-34: provision hasta el cupo operativo antes de bajar del 8 %</t>
        </is>
      </c>
      <c r="K1068" t="inlineStr">
        <is>
          <t>Provision en la manana, antes del pagado: con el pronostico, sin provision el saldo bajaria del 8 % del cupo ese dia. Lleva el saldo de 163.124.211 a 441.000.000 COP (cupo 441.000.000). Equipo administrado por Sucursal. Sin tarifa TDV (administrado por la sucursal): costo 0 declarado.</t>
        </is>
      </c>
      <c r="L1068" s="26" t="n">
        <v>441000000</v>
      </c>
      <c r="M1068" s="26" t="n">
        <v>163124211</v>
      </c>
      <c r="N1068" s="27">
        <f>IF(ISNUMBER(M1068),M1068/L1068,"No aplica")</f>
        <v>0.3698961700680272</v>
      </c>
      <c r="O1068" s="25">
        <f>IF(G1068="provision",M1068+H1068,IF(G1068="recoleccion",M1068-H1068,"No aplica"))</f>
        <v>441000000</v>
      </c>
      <c r="P1068" s="26" t="n">
        <v>0</v>
      </c>
    </row>
    <row r="1069">
      <c r="A1069" t="inlineStr">
        <is>
          <t>PRAGMA</t>
        </is>
      </c>
      <c r="B1069" t="inlineStr">
        <is>
          <t>M1</t>
        </is>
      </c>
      <c r="C1069" t="inlineStr">
        <is>
          <t>Cali</t>
        </is>
      </c>
      <c r="D1069" t="inlineStr">
        <is>
          <t>8391</t>
        </is>
      </c>
      <c r="E1069" t="inlineStr">
        <is>
          <t>TDV</t>
        </is>
      </c>
      <c r="F1069" s="23" t="n">
        <v>46269</v>
      </c>
      <c r="G1069" t="inlineStr">
        <is>
          <t>provision</t>
        </is>
      </c>
      <c r="H1069" s="26" t="n">
        <v>288212274</v>
      </c>
      <c r="I1069" t="inlineStr">
        <is>
          <t>bajo</t>
        </is>
      </c>
      <c r="J1069" t="inlineStr">
        <is>
          <t>RN-11 y RN-34: provision hasta el cupo operativo antes de bajar del 8 %</t>
        </is>
      </c>
      <c r="K1069" t="inlineStr">
        <is>
          <t>Provision en la manana, antes del pagado: con el pronostico, sin provision el saldo bajaria del 8 % del cupo ese dia. Lleva el saldo de 122.787.726 a 411.000.000 COP (cupo 411.000.000). Equipo administrado por TDV.</t>
        </is>
      </c>
      <c r="L1069" s="26" t="n">
        <v>411000000</v>
      </c>
      <c r="M1069" s="26" t="n">
        <v>122787726</v>
      </c>
      <c r="N1069" s="27">
        <f>IF(ISNUMBER(M1069),M1069/L1069,"No aplica")</f>
        <v>0.2987535912408759</v>
      </c>
      <c r="O1069" s="25">
        <f>IF(G1069="provision",M1069+H1069,IF(G1069="recoleccion",M1069-H1069,"No aplica"))</f>
        <v>411000000</v>
      </c>
      <c r="P1069" s="26" t="n">
        <v>110012</v>
      </c>
    </row>
    <row r="1070">
      <c r="A1070" t="inlineStr">
        <is>
          <t>PRAGMA</t>
        </is>
      </c>
      <c r="B1070" t="inlineStr">
        <is>
          <t>M1</t>
        </is>
      </c>
      <c r="C1070" t="inlineStr">
        <is>
          <t>Cali</t>
        </is>
      </c>
      <c r="D1070" t="inlineStr">
        <is>
          <t>8391</t>
        </is>
      </c>
      <c r="E1070" t="inlineStr">
        <is>
          <t>TDV</t>
        </is>
      </c>
      <c r="F1070" s="23" t="n">
        <v>46275</v>
      </c>
      <c r="G1070" t="inlineStr">
        <is>
          <t>provision</t>
        </is>
      </c>
      <c r="H1070" s="26" t="n">
        <v>377373157</v>
      </c>
      <c r="I1070" t="inlineStr">
        <is>
          <t>bajo</t>
        </is>
      </c>
      <c r="J1070" t="inlineStr">
        <is>
          <t>RN-11 y RN-34: provision hasta el cupo operativo antes de bajar del 8 %</t>
        </is>
      </c>
      <c r="K1070" t="inlineStr">
        <is>
          <t>Provision en la manana, antes del pagado: con el pronostico, sin provision el saldo bajaria del 8 % del cupo ese dia. Lleva el saldo de 33.626.843 a 411.000.000 COP (cupo 411.000.000). Equipo administrado por TDV.</t>
        </is>
      </c>
      <c r="L1070" s="26" t="n">
        <v>411000000</v>
      </c>
      <c r="M1070" s="26" t="n">
        <v>33626843</v>
      </c>
      <c r="N1070" s="27">
        <f>IF(ISNUMBER(M1070),M1070/L1070,"No aplica")</f>
        <v>0.08181713625304136</v>
      </c>
      <c r="O1070" s="25">
        <f>IF(G1070="provision",M1070+H1070,IF(G1070="recoleccion",M1070-H1070,"No aplica"))</f>
        <v>411000000</v>
      </c>
      <c r="P1070" s="26" t="n">
        <v>138811</v>
      </c>
    </row>
    <row r="1071">
      <c r="A1071" t="inlineStr">
        <is>
          <t>PRAGMA</t>
        </is>
      </c>
      <c r="B1071" t="inlineStr">
        <is>
          <t>M1</t>
        </is>
      </c>
      <c r="C1071" t="inlineStr">
        <is>
          <t>Cali</t>
        </is>
      </c>
      <c r="D1071" t="inlineStr">
        <is>
          <t>8392</t>
        </is>
      </c>
      <c r="E1071" t="inlineStr">
        <is>
          <t>TDV</t>
        </is>
      </c>
      <c r="F1071" s="23" t="n">
        <v>46270</v>
      </c>
      <c r="G1071" t="inlineStr">
        <is>
          <t>provision</t>
        </is>
      </c>
      <c r="H1071" s="26" t="n">
        <v>320538011</v>
      </c>
      <c r="I1071" t="inlineStr">
        <is>
          <t>bajo</t>
        </is>
      </c>
      <c r="J1071" t="inlineStr">
        <is>
          <t>RN-11 y RN-34: provision hasta el cupo operativo antes de bajar del 8 %</t>
        </is>
      </c>
      <c r="K1071" t="inlineStr">
        <is>
          <t>Provision en la manana, antes del pagado: con el pronostico, sin provision el saldo bajaria del 8 % del cupo ese dia. Lleva el saldo de 90.461.989 a 411.000.000 COP (cupo 411.000.000). Equipo administrado por TDV.</t>
        </is>
      </c>
      <c r="L1071" s="26" t="n">
        <v>411000000</v>
      </c>
      <c r="M1071" s="26" t="n">
        <v>90461989</v>
      </c>
      <c r="N1071" s="27">
        <f>IF(ISNUMBER(M1071),M1071/L1071,"No aplica")</f>
        <v>0.22010216301703164</v>
      </c>
      <c r="O1071" s="25">
        <f>IF(G1071="provision",M1071+H1071,IF(G1071="recoleccion",M1071-H1071,"No aplica"))</f>
        <v>411000000</v>
      </c>
      <c r="P1071" s="26" t="n">
        <v>120453</v>
      </c>
    </row>
    <row r="1072">
      <c r="A1072" t="inlineStr">
        <is>
          <t>PRAGMA</t>
        </is>
      </c>
      <c r="B1072" t="inlineStr">
        <is>
          <t>M1</t>
        </is>
      </c>
      <c r="C1072" t="inlineStr">
        <is>
          <t>Cali</t>
        </is>
      </c>
      <c r="D1072" t="inlineStr">
        <is>
          <t>8392</t>
        </is>
      </c>
      <c r="E1072" t="inlineStr">
        <is>
          <t>TDV</t>
        </is>
      </c>
      <c r="F1072" s="23" t="n">
        <v>46277</v>
      </c>
      <c r="G1072" t="inlineStr">
        <is>
          <t>provision</t>
        </is>
      </c>
      <c r="H1072" s="26" t="n">
        <v>338695293</v>
      </c>
      <c r="I1072" t="inlineStr">
        <is>
          <t>bajo</t>
        </is>
      </c>
      <c r="J1072" t="inlineStr">
        <is>
          <t>RN-11 y RN-34: provision hasta el cupo operativo antes de bajar del 8 %</t>
        </is>
      </c>
      <c r="K1072" t="inlineStr">
        <is>
          <t>Provision en la manana, antes del pagado: con el pronostico, sin provision el saldo bajaria del 8 % del cupo ese dia. Lleva el saldo de 72.304.707 a 411.000.000 COP (cupo 411.000.000). Equipo administrado por TDV.</t>
        </is>
      </c>
      <c r="L1072" s="26" t="n">
        <v>411000000</v>
      </c>
      <c r="M1072" s="26" t="n">
        <v>72304707</v>
      </c>
      <c r="N1072" s="27">
        <f>IF(ISNUMBER(M1072),M1072/L1072,"No aplica")</f>
        <v>0.1759238613138686</v>
      </c>
      <c r="O1072" s="25">
        <f>IF(G1072="provision",M1072+H1072,IF(G1072="recoleccion",M1072-H1072,"No aplica"))</f>
        <v>411000000</v>
      </c>
      <c r="P1072" s="26" t="n">
        <v>126318</v>
      </c>
    </row>
    <row r="1073">
      <c r="A1073" t="inlineStr">
        <is>
          <t>PRAGMA</t>
        </is>
      </c>
      <c r="B1073" t="inlineStr">
        <is>
          <t>M1</t>
        </is>
      </c>
      <c r="C1073" t="inlineStr">
        <is>
          <t>Cali</t>
        </is>
      </c>
      <c r="D1073" t="inlineStr">
        <is>
          <t>8393</t>
        </is>
      </c>
      <c r="E1073" t="inlineStr">
        <is>
          <t>TDV</t>
        </is>
      </c>
      <c r="F1073" s="23" t="n">
        <v>46269</v>
      </c>
      <c r="G1073" t="inlineStr">
        <is>
          <t>provision</t>
        </is>
      </c>
      <c r="H1073" s="26" t="n">
        <v>296547154</v>
      </c>
      <c r="I1073" t="inlineStr">
        <is>
          <t>bajo</t>
        </is>
      </c>
      <c r="J1073" t="inlineStr">
        <is>
          <t>RN-11 y RN-34: provision hasta el cupo operativo antes de bajar del 8 %</t>
        </is>
      </c>
      <c r="K1073" t="inlineStr">
        <is>
          <t>Provision en la manana, antes del pagado: con el pronostico, sin provision el saldo bajaria del 8 % del cupo ese dia. Lleva el saldo de 114.452.846 a 411.000.000 COP (cupo 411.000.000). Equipo administrado por TDV.</t>
        </is>
      </c>
      <c r="L1073" s="26" t="n">
        <v>411000000</v>
      </c>
      <c r="M1073" s="26" t="n">
        <v>114452846</v>
      </c>
      <c r="N1073" s="27">
        <f>IF(ISNUMBER(M1073),M1073/L1073,"No aplica")</f>
        <v>0.2784740778588808</v>
      </c>
      <c r="O1073" s="25">
        <f>IF(G1073="provision",M1073+H1073,IF(G1073="recoleccion",M1073-H1073,"No aplica"))</f>
        <v>411000000</v>
      </c>
      <c r="P1073" s="26" t="n">
        <v>112704</v>
      </c>
    </row>
    <row r="1074">
      <c r="A1074" t="inlineStr">
        <is>
          <t>PRAGMA</t>
        </is>
      </c>
      <c r="B1074" t="inlineStr">
        <is>
          <t>M1</t>
        </is>
      </c>
      <c r="C1074" t="inlineStr">
        <is>
          <t>Cali</t>
        </is>
      </c>
      <c r="D1074" t="inlineStr">
        <is>
          <t>8393</t>
        </is>
      </c>
      <c r="E1074" t="inlineStr">
        <is>
          <t>TDV</t>
        </is>
      </c>
      <c r="F1074" s="23" t="n">
        <v>46274</v>
      </c>
      <c r="G1074" t="inlineStr">
        <is>
          <t>provision</t>
        </is>
      </c>
      <c r="H1074" s="26" t="n">
        <v>318833536</v>
      </c>
      <c r="I1074" t="inlineStr">
        <is>
          <t>bajo</t>
        </is>
      </c>
      <c r="J1074" t="inlineStr">
        <is>
          <t>RN-11 y RN-34: provision hasta el cupo operativo antes de bajar del 8 %</t>
        </is>
      </c>
      <c r="K1074" t="inlineStr">
        <is>
          <t>Provision en la manana, antes del pagado: con el pronostico, sin provision el saldo bajaria del 8 % del cupo ese dia. Lleva el saldo de 92.166.464 a 411.000.000 COP (cupo 411.000.000). Equipo administrado por TDV.</t>
        </is>
      </c>
      <c r="L1074" s="26" t="n">
        <v>411000000</v>
      </c>
      <c r="M1074" s="26" t="n">
        <v>92166464</v>
      </c>
      <c r="N1074" s="27">
        <f>IF(ISNUMBER(M1074),M1074/L1074,"No aplica")</f>
        <v>0.22424930413625305</v>
      </c>
      <c r="O1074" s="25">
        <f>IF(G1074="provision",M1074+H1074,IF(G1074="recoleccion",M1074-H1074,"No aplica"))</f>
        <v>411000000</v>
      </c>
      <c r="P1074" s="26" t="n">
        <v>119902</v>
      </c>
    </row>
    <row r="1075">
      <c r="A1075" t="inlineStr">
        <is>
          <t>PRAGMA</t>
        </is>
      </c>
      <c r="B1075" t="inlineStr">
        <is>
          <t>M1</t>
        </is>
      </c>
      <c r="C1075" t="inlineStr">
        <is>
          <t>Cali</t>
        </is>
      </c>
      <c r="D1075" t="inlineStr">
        <is>
          <t>8393</t>
        </is>
      </c>
      <c r="E1075" t="inlineStr">
        <is>
          <t>TDV</t>
        </is>
      </c>
      <c r="F1075" s="23" t="n">
        <v>46280</v>
      </c>
      <c r="G1075" t="inlineStr">
        <is>
          <t>provision</t>
        </is>
      </c>
      <c r="H1075" s="26" t="n">
        <v>352067879</v>
      </c>
      <c r="I1075" t="inlineStr">
        <is>
          <t>bajo</t>
        </is>
      </c>
      <c r="J1075" t="inlineStr">
        <is>
          <t>RN-11 y RN-34: provision hasta el cupo operativo antes de bajar del 8 %</t>
        </is>
      </c>
      <c r="K1075" t="inlineStr">
        <is>
          <t>Provision en la manana, antes del pagado: con el pronostico, sin provision el saldo bajaria del 8 % del cupo ese dia. Lleva el saldo de 58.932.121 a 411.000.000 COP (cupo 411.000.000). Equipo administrado por TDV.</t>
        </is>
      </c>
      <c r="L1075" s="26" t="n">
        <v>411000000</v>
      </c>
      <c r="M1075" s="26" t="n">
        <v>58932121</v>
      </c>
      <c r="N1075" s="27">
        <f>IF(ISNUMBER(M1075),M1075/L1075,"No aplica")</f>
        <v>0.14338715571776156</v>
      </c>
      <c r="O1075" s="25">
        <f>IF(G1075="provision",M1075+H1075,IF(G1075="recoleccion",M1075-H1075,"No aplica"))</f>
        <v>411000000</v>
      </c>
      <c r="P1075" s="26" t="n">
        <v>130637</v>
      </c>
    </row>
    <row r="1076">
      <c r="A1076" t="inlineStr">
        <is>
          <t>PRAGMA</t>
        </is>
      </c>
      <c r="B1076" t="inlineStr">
        <is>
          <t>M1</t>
        </is>
      </c>
      <c r="C1076" t="inlineStr">
        <is>
          <t>Cali</t>
        </is>
      </c>
      <c r="D1076" t="inlineStr">
        <is>
          <t>8396</t>
        </is>
      </c>
      <c r="E1076" t="inlineStr">
        <is>
          <t>TDV</t>
        </is>
      </c>
      <c r="F1076" s="23" t="n">
        <v>46269</v>
      </c>
      <c r="G1076" t="inlineStr">
        <is>
          <t>provision</t>
        </is>
      </c>
      <c r="H1076" s="26" t="n">
        <v>347916493</v>
      </c>
      <c r="I1076" t="inlineStr">
        <is>
          <t>bajo</t>
        </is>
      </c>
      <c r="J1076" t="inlineStr">
        <is>
          <t>RN-11 y RN-34: provision hasta el cupo operativo antes de bajar del 8 %</t>
        </is>
      </c>
      <c r="K1076" t="inlineStr">
        <is>
          <t>Provision en la manana, antes del pagado: con el pronostico, sin provision el saldo bajaria del 8 % del cupo ese dia. Lleva el saldo de 63.083.507 a 411.000.000 COP (cupo 411.000.000). Equipo administrado por TDV.</t>
        </is>
      </c>
      <c r="L1076" s="26" t="n">
        <v>411000000</v>
      </c>
      <c r="M1076" s="26" t="n">
        <v>63083507</v>
      </c>
      <c r="N1076" s="27">
        <f>IF(ISNUMBER(M1076),M1076/L1076,"No aplica")</f>
        <v>0.15348785158150852</v>
      </c>
      <c r="O1076" s="25">
        <f>IF(G1076="provision",M1076+H1076,IF(G1076="recoleccion",M1076-H1076,"No aplica"))</f>
        <v>411000000</v>
      </c>
      <c r="P1076" s="26" t="n">
        <v>153295</v>
      </c>
    </row>
    <row r="1077">
      <c r="A1077" t="inlineStr">
        <is>
          <t>PRAGMA</t>
        </is>
      </c>
      <c r="B1077" t="inlineStr">
        <is>
          <t>M1</t>
        </is>
      </c>
      <c r="C1077" t="inlineStr">
        <is>
          <t>Cali</t>
        </is>
      </c>
      <c r="D1077" t="inlineStr">
        <is>
          <t>8396</t>
        </is>
      </c>
      <c r="E1077" t="inlineStr">
        <is>
          <t>TDV</t>
        </is>
      </c>
      <c r="F1077" s="23" t="n">
        <v>46274</v>
      </c>
      <c r="G1077" t="inlineStr">
        <is>
          <t>provision</t>
        </is>
      </c>
      <c r="H1077" s="26" t="n">
        <v>374918776</v>
      </c>
      <c r="I1077" t="inlineStr">
        <is>
          <t>bajo</t>
        </is>
      </c>
      <c r="J1077" t="inlineStr">
        <is>
          <t>RN-11 y RN-34: provision hasta el cupo operativo antes de bajar del 8 %</t>
        </is>
      </c>
      <c r="K1077" t="inlineStr">
        <is>
          <t>Provision en la manana, antes del pagado: con el pronostico, sin provision el saldo bajaria del 8 % del cupo ese dia. Lleva el saldo de 36.081.224 a 411.000.000 COP (cupo 411.000.000). Equipo administrado por TDV.</t>
        </is>
      </c>
      <c r="L1077" s="26" t="n">
        <v>411000000</v>
      </c>
      <c r="M1077" s="26" t="n">
        <v>36081224</v>
      </c>
      <c r="N1077" s="27">
        <f>IF(ISNUMBER(M1077),M1077/L1077,"No aplica")</f>
        <v>0.08778886618004866</v>
      </c>
      <c r="O1077" s="25">
        <f>IF(G1077="provision",M1077+H1077,IF(G1077="recoleccion",M1077-H1077,"No aplica"))</f>
        <v>411000000</v>
      </c>
      <c r="P1077" s="26" t="n">
        <v>163745</v>
      </c>
    </row>
    <row r="1078">
      <c r="A1078" t="inlineStr">
        <is>
          <t>PRAGMA</t>
        </is>
      </c>
      <c r="B1078" t="inlineStr">
        <is>
          <t>M1</t>
        </is>
      </c>
      <c r="C1078" t="inlineStr">
        <is>
          <t>Cali</t>
        </is>
      </c>
      <c r="D1078" t="inlineStr">
        <is>
          <t>8396</t>
        </is>
      </c>
      <c r="E1078" t="inlineStr">
        <is>
          <t>TDV</t>
        </is>
      </c>
      <c r="F1078" s="23" t="n">
        <v>46279</v>
      </c>
      <c r="G1078" t="inlineStr">
        <is>
          <t>provision</t>
        </is>
      </c>
      <c r="H1078" s="26" t="n">
        <v>349568104</v>
      </c>
      <c r="I1078" t="inlineStr">
        <is>
          <t>bajo</t>
        </is>
      </c>
      <c r="J1078" t="inlineStr">
        <is>
          <t>RN-11 y RN-34: provision hasta el cupo operativo antes de bajar del 8 %</t>
        </is>
      </c>
      <c r="K1078" t="inlineStr">
        <is>
          <t>Provision en la manana, antes del pagado: con el pronostico, sin provision el saldo bajaria del 8 % del cupo ese dia. Lleva el saldo de 61.431.896 a 411.000.000 COP (cupo 411.000.000). Equipo administrado por TDV.</t>
        </is>
      </c>
      <c r="L1078" s="26" t="n">
        <v>411000000</v>
      </c>
      <c r="M1078" s="26" t="n">
        <v>61431896</v>
      </c>
      <c r="N1078" s="27">
        <f>IF(ISNUMBER(M1078),M1078/L1078,"No aplica")</f>
        <v>0.14946933333333334</v>
      </c>
      <c r="O1078" s="25">
        <f>IF(G1078="provision",M1078+H1078,IF(G1078="recoleccion",M1078-H1078,"No aplica"))</f>
        <v>411000000</v>
      </c>
      <c r="P1078" s="26" t="n">
        <v>153934</v>
      </c>
    </row>
    <row r="1079">
      <c r="A1079" t="inlineStr">
        <is>
          <t>PRAGMA</t>
        </is>
      </c>
      <c r="B1079" t="inlineStr">
        <is>
          <t>M1</t>
        </is>
      </c>
      <c r="C1079" t="inlineStr">
        <is>
          <t>Cali</t>
        </is>
      </c>
      <c r="D1079" t="inlineStr">
        <is>
          <t>8405</t>
        </is>
      </c>
      <c r="E1079" t="inlineStr">
        <is>
          <t>TDV</t>
        </is>
      </c>
      <c r="F1079" s="23" t="n">
        <v>46271</v>
      </c>
      <c r="G1079" t="inlineStr">
        <is>
          <t>provision</t>
        </is>
      </c>
      <c r="H1079" s="26" t="n">
        <v>339809934</v>
      </c>
      <c r="I1079" t="inlineStr">
        <is>
          <t>bajo</t>
        </is>
      </c>
      <c r="J1079" t="inlineStr">
        <is>
          <t>RN-11 y RN-34: provision hasta el cupo operativo antes de bajar del 8 %</t>
        </is>
      </c>
      <c r="K1079" t="inlineStr">
        <is>
          <t>Provision en la manana, antes del pagado: con el pronostico, sin provision el saldo bajaria del 8 % del cupo ese dia. Lleva el saldo de 65.190.066 a 405.000.000 COP (cupo 405.000.000). Equipo administrado por TDV.</t>
        </is>
      </c>
      <c r="L1079" s="26" t="n">
        <v>405000000</v>
      </c>
      <c r="M1079" s="26" t="n">
        <v>65190066</v>
      </c>
      <c r="N1079" s="27">
        <f>IF(ISNUMBER(M1079),M1079/L1079,"No aplica")</f>
        <v>0.16096312592592593</v>
      </c>
      <c r="O1079" s="25">
        <f>IF(G1079="provision",M1079+H1079,IF(G1079="recoleccion",M1079-H1079,"No aplica"))</f>
        <v>405000000</v>
      </c>
      <c r="P1079" s="26" t="n">
        <v>193951</v>
      </c>
    </row>
    <row r="1080">
      <c r="A1080" t="inlineStr">
        <is>
          <t>PRAGMA</t>
        </is>
      </c>
      <c r="B1080" t="inlineStr">
        <is>
          <t>M1</t>
        </is>
      </c>
      <c r="C1080" t="inlineStr">
        <is>
          <t>Cali</t>
        </is>
      </c>
      <c r="D1080" t="inlineStr">
        <is>
          <t>8405</t>
        </is>
      </c>
      <c r="E1080" t="inlineStr">
        <is>
          <t>TDV</t>
        </is>
      </c>
      <c r="F1080" s="23" t="n">
        <v>46280</v>
      </c>
      <c r="G1080" t="inlineStr">
        <is>
          <t>provision</t>
        </is>
      </c>
      <c r="H1080" s="26" t="n">
        <v>371331111</v>
      </c>
      <c r="I1080" t="inlineStr">
        <is>
          <t>bajo</t>
        </is>
      </c>
      <c r="J1080" t="inlineStr">
        <is>
          <t>RN-11 y RN-34: provision hasta el cupo operativo antes de bajar del 8 %</t>
        </is>
      </c>
      <c r="K1080" t="inlineStr">
        <is>
          <t>Provision en la manana, antes del pagado: con el pronostico, sin provision el saldo bajaria del 8 % del cupo ese dia. Lleva el saldo de 33.668.889 a 405.000.000 COP (cupo 405.000.000). Equipo administrado por TDV.</t>
        </is>
      </c>
      <c r="L1080" s="26" t="n">
        <v>405000000</v>
      </c>
      <c r="M1080" s="26" t="n">
        <v>33668889</v>
      </c>
      <c r="N1080" s="27">
        <f>IF(ISNUMBER(M1080),M1080/L1080,"No aplica")</f>
        <v>0.08313305925925926</v>
      </c>
      <c r="O1080" s="25">
        <f>IF(G1080="provision",M1080+H1080,IF(G1080="recoleccion",M1080-H1080,"No aplica"))</f>
        <v>405000000</v>
      </c>
      <c r="P1080" s="26" t="n">
        <v>162356</v>
      </c>
    </row>
    <row r="1081">
      <c r="A1081" t="inlineStr">
        <is>
          <t>PRAGMA</t>
        </is>
      </c>
      <c r="B1081" t="inlineStr">
        <is>
          <t>M1</t>
        </is>
      </c>
      <c r="C1081" t="inlineStr">
        <is>
          <t>Cali</t>
        </is>
      </c>
      <c r="D1081" t="inlineStr">
        <is>
          <t>8406</t>
        </is>
      </c>
      <c r="E1081" t="inlineStr">
        <is>
          <t>TDV</t>
        </is>
      </c>
      <c r="F1081" s="23" t="n">
        <v>46270</v>
      </c>
      <c r="G1081" t="inlineStr">
        <is>
          <t>provision</t>
        </is>
      </c>
      <c r="H1081" s="26" t="n">
        <v>325024876</v>
      </c>
      <c r="I1081" t="inlineStr">
        <is>
          <t>bajo</t>
        </is>
      </c>
      <c r="J1081" t="inlineStr">
        <is>
          <t>RN-11 y RN-34: provision hasta el cupo operativo antes de bajar del 8 %</t>
        </is>
      </c>
      <c r="K1081" t="inlineStr">
        <is>
          <t>Provision en la manana, antes del pagado: con el pronostico, sin provision el saldo bajaria del 8 % del cupo ese dia. Lleva el saldo de 79.975.124 a 405.000.000 COP (cupo 405.000.000). Equipo administrado por TDV.</t>
        </is>
      </c>
      <c r="L1081" s="26" t="n">
        <v>405000000</v>
      </c>
      <c r="M1081" s="26" t="n">
        <v>79975124</v>
      </c>
      <c r="N1081" s="27">
        <f>IF(ISNUMBER(M1081),M1081/L1081,"No aplica")</f>
        <v>0.19746944197530863</v>
      </c>
      <c r="O1081" s="25">
        <f>IF(G1081="provision",M1081+H1081,IF(G1081="recoleccion",M1081-H1081,"No aplica"))</f>
        <v>405000000</v>
      </c>
      <c r="P1081" s="26" t="n">
        <v>144436</v>
      </c>
    </row>
    <row r="1082">
      <c r="A1082" t="inlineStr">
        <is>
          <t>PRAGMA</t>
        </is>
      </c>
      <c r="B1082" t="inlineStr">
        <is>
          <t>M1</t>
        </is>
      </c>
      <c r="C1082" t="inlineStr">
        <is>
          <t>Cali</t>
        </is>
      </c>
      <c r="D1082" t="inlineStr">
        <is>
          <t>8406</t>
        </is>
      </c>
      <c r="E1082" t="inlineStr">
        <is>
          <t>TDV</t>
        </is>
      </c>
      <c r="F1082" s="23" t="n">
        <v>46278</v>
      </c>
      <c r="G1082" t="inlineStr">
        <is>
          <t>provision</t>
        </is>
      </c>
      <c r="H1082" s="26" t="n">
        <v>371862809</v>
      </c>
      <c r="I1082" t="inlineStr">
        <is>
          <t>bajo</t>
        </is>
      </c>
      <c r="J1082" t="inlineStr">
        <is>
          <t>RN-11 y RN-34: provision hasta el cupo operativo antes de bajar del 8 %</t>
        </is>
      </c>
      <c r="K1082" t="inlineStr">
        <is>
          <t>Provision en la manana, antes del pagado: con el pronostico, sin provision el saldo bajaria del 8 % del cupo ese dia. Lleva el saldo de 33.137.191 a 405.000.000 COP (cupo 405.000.000). Equipo administrado por TDV.</t>
        </is>
      </c>
      <c r="L1082" s="26" t="n">
        <v>405000000</v>
      </c>
      <c r="M1082" s="26" t="n">
        <v>33137191</v>
      </c>
      <c r="N1082" s="27">
        <f>IF(ISNUMBER(M1082),M1082/L1082,"No aplica")</f>
        <v>0.08182022469135802</v>
      </c>
      <c r="O1082" s="25">
        <f>IF(G1082="provision",M1082+H1082,IF(G1082="recoleccion",M1082-H1082,"No aplica"))</f>
        <v>405000000</v>
      </c>
      <c r="P1082" s="26" t="n">
        <v>210041</v>
      </c>
    </row>
    <row r="1083">
      <c r="A1083" t="inlineStr">
        <is>
          <t>PRAGMA</t>
        </is>
      </c>
      <c r="B1083" t="inlineStr">
        <is>
          <t>M1</t>
        </is>
      </c>
      <c r="C1083" t="inlineStr">
        <is>
          <t>Cali</t>
        </is>
      </c>
      <c r="D1083" t="inlineStr">
        <is>
          <t>8414</t>
        </is>
      </c>
      <c r="E1083" t="inlineStr">
        <is>
          <t>TDV</t>
        </is>
      </c>
      <c r="F1083" s="23" t="n">
        <v>46267</v>
      </c>
      <c r="G1083" t="inlineStr">
        <is>
          <t>provision</t>
        </is>
      </c>
      <c r="H1083" s="26" t="n">
        <v>215708902</v>
      </c>
      <c r="I1083" t="inlineStr">
        <is>
          <t>bajo</t>
        </is>
      </c>
      <c r="J1083" t="inlineStr">
        <is>
          <t>RN-11 y RN-34: provision hasta el cupo operativo antes de bajar del 8 %</t>
        </is>
      </c>
      <c r="K1083" t="inlineStr">
        <is>
          <t>Provision en la manana, antes del pagado: con el pronostico, sin provision el saldo bajaria del 8 % del cupo ese dia. Lleva el saldo de 195.291.098 a 411.000.000 COP (cupo 411.000.000). Equipo administrado por TDV.</t>
        </is>
      </c>
      <c r="L1083" s="26" t="n">
        <v>411000000</v>
      </c>
      <c r="M1083" s="26" t="n">
        <v>195291098</v>
      </c>
      <c r="N1083" s="27">
        <f>IF(ISNUMBER(M1083),M1083/L1083,"No aplica")</f>
        <v>0.47516082238442825</v>
      </c>
      <c r="O1083" s="25">
        <f>IF(G1083="provision",M1083+H1083,IF(G1083="recoleccion",M1083-H1083,"No aplica"))</f>
        <v>411000000</v>
      </c>
      <c r="P1083" s="26" t="n">
        <v>115786</v>
      </c>
    </row>
    <row r="1084">
      <c r="A1084" t="inlineStr">
        <is>
          <t>PRAGMA</t>
        </is>
      </c>
      <c r="B1084" t="inlineStr">
        <is>
          <t>M1</t>
        </is>
      </c>
      <c r="C1084" t="inlineStr">
        <is>
          <t>Cali</t>
        </is>
      </c>
      <c r="D1084" t="inlineStr">
        <is>
          <t>8414</t>
        </is>
      </c>
      <c r="E1084" t="inlineStr">
        <is>
          <t>TDV</t>
        </is>
      </c>
      <c r="F1084" s="23" t="n">
        <v>46269</v>
      </c>
      <c r="G1084" t="inlineStr">
        <is>
          <t>provision</t>
        </is>
      </c>
      <c r="H1084" s="26" t="n">
        <v>303827781</v>
      </c>
      <c r="I1084" t="inlineStr">
        <is>
          <t>bajo</t>
        </is>
      </c>
      <c r="J1084" t="inlineStr">
        <is>
          <t>RN-11 y RN-34: provision hasta el cupo operativo antes de bajar del 8 %</t>
        </is>
      </c>
      <c r="K1084" t="inlineStr">
        <is>
          <t>Provision en la manana, antes del pagado: con el pronostico, sin provision el saldo bajaria del 8 % del cupo ese dia. Lleva el saldo de 107.172.219 a 411.000.000 COP (cupo 411.000.000). Equipo administrado por TDV.</t>
        </is>
      </c>
      <c r="L1084" s="26" t="n">
        <v>411000000</v>
      </c>
      <c r="M1084" s="26" t="n">
        <v>107172219</v>
      </c>
      <c r="N1084" s="27">
        <f>IF(ISNUMBER(M1084),M1084/L1084,"No aplica")</f>
        <v>0.2607596569343066</v>
      </c>
      <c r="O1084" s="25">
        <f>IF(G1084="provision",M1084+H1084,IF(G1084="recoleccion",M1084-H1084,"No aplica"))</f>
        <v>411000000</v>
      </c>
      <c r="P1084" s="26" t="n">
        <v>155616</v>
      </c>
    </row>
    <row r="1085">
      <c r="A1085" t="inlineStr">
        <is>
          <t>PRAGMA</t>
        </is>
      </c>
      <c r="B1085" t="inlineStr">
        <is>
          <t>M1</t>
        </is>
      </c>
      <c r="C1085" t="inlineStr">
        <is>
          <t>Cali</t>
        </is>
      </c>
      <c r="D1085" t="inlineStr">
        <is>
          <t>8414</t>
        </is>
      </c>
      <c r="E1085" t="inlineStr">
        <is>
          <t>TDV</t>
        </is>
      </c>
      <c r="F1085" s="23" t="n">
        <v>46271</v>
      </c>
      <c r="G1085" t="inlineStr">
        <is>
          <t>provision</t>
        </is>
      </c>
      <c r="H1085" s="26" t="n">
        <v>334640886</v>
      </c>
      <c r="I1085" t="inlineStr">
        <is>
          <t>bajo</t>
        </is>
      </c>
      <c r="J1085" t="inlineStr">
        <is>
          <t>RN-11 y RN-34: provision hasta el cupo operativo antes de bajar del 8 %</t>
        </is>
      </c>
      <c r="K1085" t="inlineStr">
        <is>
          <t>Provision en la manana, antes del pagado: con el pronostico, sin provision el saldo bajaria del 8 % del cupo ese dia. Lleva el saldo de 76.359.114 a 411.000.000 COP (cupo 411.000.000). Equipo administrado por TDV.</t>
        </is>
      </c>
      <c r="L1085" s="26" t="n">
        <v>411000000</v>
      </c>
      <c r="M1085" s="26" t="n">
        <v>76359114</v>
      </c>
      <c r="N1085" s="27">
        <f>IF(ISNUMBER(M1085),M1085/L1085,"No aplica")</f>
        <v>0.18578859854014598</v>
      </c>
      <c r="O1085" s="25">
        <f>IF(G1085="provision",M1085+H1085,IF(G1085="recoleccion",M1085-H1085,"No aplica"))</f>
        <v>411000000</v>
      </c>
      <c r="P1085" s="26" t="n">
        <v>220137</v>
      </c>
    </row>
    <row r="1086">
      <c r="A1086" t="inlineStr">
        <is>
          <t>PRAGMA</t>
        </is>
      </c>
      <c r="B1086" t="inlineStr">
        <is>
          <t>M1</t>
        </is>
      </c>
      <c r="C1086" t="inlineStr">
        <is>
          <t>Cali</t>
        </is>
      </c>
      <c r="D1086" t="inlineStr">
        <is>
          <t>8414</t>
        </is>
      </c>
      <c r="E1086" t="inlineStr">
        <is>
          <t>TDV</t>
        </is>
      </c>
      <c r="F1086" s="23" t="n">
        <v>46274</v>
      </c>
      <c r="G1086" t="inlineStr">
        <is>
          <t>provision</t>
        </is>
      </c>
      <c r="H1086" s="26" t="n">
        <v>320263510</v>
      </c>
      <c r="I1086" t="inlineStr">
        <is>
          <t>bajo</t>
        </is>
      </c>
      <c r="J1086" t="inlineStr">
        <is>
          <t>RN-11 y RN-34: provision hasta el cupo operativo antes de bajar del 8 %</t>
        </is>
      </c>
      <c r="K1086" t="inlineStr">
        <is>
          <t>Provision en la manana, antes del pagado: con el pronostico, sin provision el saldo bajaria del 8 % del cupo ese dia. Lleva el saldo de 90.736.490 a 411.000.000 COP (cupo 411.000.000). Equipo administrado por TDV.</t>
        </is>
      </c>
      <c r="L1086" s="26" t="n">
        <v>411000000</v>
      </c>
      <c r="M1086" s="26" t="n">
        <v>90736490</v>
      </c>
      <c r="N1086" s="27">
        <f>IF(ISNUMBER(M1086),M1086/L1086,"No aplica")</f>
        <v>0.2207700486618005</v>
      </c>
      <c r="O1086" s="25">
        <f>IF(G1086="provision",M1086+H1086,IF(G1086="recoleccion",M1086-H1086,"No aplica"))</f>
        <v>411000000</v>
      </c>
      <c r="P1086" s="26" t="n">
        <v>163045</v>
      </c>
    </row>
    <row r="1087">
      <c r="A1087" t="inlineStr">
        <is>
          <t>PRAGMA</t>
        </is>
      </c>
      <c r="B1087" t="inlineStr">
        <is>
          <t>M1</t>
        </is>
      </c>
      <c r="C1087" t="inlineStr">
        <is>
          <t>Cali</t>
        </is>
      </c>
      <c r="D1087" t="inlineStr">
        <is>
          <t>8414</t>
        </is>
      </c>
      <c r="E1087" t="inlineStr">
        <is>
          <t>TDV</t>
        </is>
      </c>
      <c r="F1087" s="23" t="n">
        <v>46277</v>
      </c>
      <c r="G1087" t="inlineStr">
        <is>
          <t>provision</t>
        </is>
      </c>
      <c r="H1087" s="26" t="n">
        <v>311941927</v>
      </c>
      <c r="I1087" t="inlineStr">
        <is>
          <t>bajo</t>
        </is>
      </c>
      <c r="J1087" t="inlineStr">
        <is>
          <t>RN-11 y RN-34: provision hasta el cupo operativo antes de bajar del 8 %</t>
        </is>
      </c>
      <c r="K1087" t="inlineStr">
        <is>
          <t>Provision en la manana, antes del pagado: con el pronostico, sin provision el saldo bajaria del 8 % del cupo ese dia. Lleva el saldo de 99.058.073 a 411.000.000 COP (cupo 411.000.000). Equipo administrado por TDV.</t>
        </is>
      </c>
      <c r="L1087" s="26" t="n">
        <v>411000000</v>
      </c>
      <c r="M1087" s="26" t="n">
        <v>99058073</v>
      </c>
      <c r="N1087" s="27">
        <f>IF(ISNUMBER(M1087),M1087/L1087,"No aplica")</f>
        <v>0.2410172092457421</v>
      </c>
      <c r="O1087" s="25">
        <f>IF(G1087="provision",M1087+H1087,IF(G1087="recoleccion",M1087-H1087,"No aplica"))</f>
        <v>411000000</v>
      </c>
      <c r="P1087" s="26" t="n">
        <v>159284</v>
      </c>
    </row>
    <row r="1088">
      <c r="A1088" t="inlineStr">
        <is>
          <t>PRAGMA</t>
        </is>
      </c>
      <c r="B1088" t="inlineStr">
        <is>
          <t>M1</t>
        </is>
      </c>
      <c r="C1088" t="inlineStr">
        <is>
          <t>Cali</t>
        </is>
      </c>
      <c r="D1088" t="inlineStr">
        <is>
          <t>8414</t>
        </is>
      </c>
      <c r="E1088" t="inlineStr">
        <is>
          <t>TDV</t>
        </is>
      </c>
      <c r="F1088" s="23" t="n">
        <v>46280</v>
      </c>
      <c r="G1088" t="inlineStr">
        <is>
          <t>provision</t>
        </is>
      </c>
      <c r="H1088" s="26" t="n">
        <v>306793635</v>
      </c>
      <c r="I1088" t="inlineStr">
        <is>
          <t>bajo</t>
        </is>
      </c>
      <c r="J1088" t="inlineStr">
        <is>
          <t>RN-11 y RN-34: provision hasta el cupo operativo antes de bajar del 8 %</t>
        </is>
      </c>
      <c r="K1088" t="inlineStr">
        <is>
          <t>Provision en la manana, antes del pagado: con el pronostico, sin provision el saldo bajaria del 8 % del cupo ese dia. Lleva el saldo de 104.206.365 a 411.000.000 COP (cupo 411.000.000). Equipo administrado por TDV.</t>
        </is>
      </c>
      <c r="L1088" s="26" t="n">
        <v>411000000</v>
      </c>
      <c r="M1088" s="26" t="n">
        <v>104206365</v>
      </c>
      <c r="N1088" s="27">
        <f>IF(ISNUMBER(M1088),M1088/L1088,"No aplica")</f>
        <v>0.2535434671532847</v>
      </c>
      <c r="O1088" s="25">
        <f>IF(G1088="provision",M1088+H1088,IF(G1088="recoleccion",M1088-H1088,"No aplica"))</f>
        <v>411000000</v>
      </c>
      <c r="P1088" s="26" t="n">
        <v>156957</v>
      </c>
    </row>
    <row r="1089">
      <c r="A1089" t="inlineStr">
        <is>
          <t>PRAGMA</t>
        </is>
      </c>
      <c r="B1089" t="inlineStr">
        <is>
          <t>M1</t>
        </is>
      </c>
      <c r="C1089" t="inlineStr">
        <is>
          <t>Cali</t>
        </is>
      </c>
      <c r="D1089" t="inlineStr">
        <is>
          <t>8415</t>
        </is>
      </c>
      <c r="E1089" t="inlineStr">
        <is>
          <t>TDV</t>
        </is>
      </c>
      <c r="F1089" s="23" t="n">
        <v>46267</v>
      </c>
      <c r="G1089" t="inlineStr">
        <is>
          <t>provision</t>
        </is>
      </c>
      <c r="H1089" s="26" t="n">
        <v>232238759</v>
      </c>
      <c r="I1089" t="inlineStr">
        <is>
          <t>bajo</t>
        </is>
      </c>
      <c r="J1089" t="inlineStr">
        <is>
          <t>RN-11 y RN-34: provision hasta el cupo operativo antes de bajar del 8 %</t>
        </is>
      </c>
      <c r="K1089" t="inlineStr">
        <is>
          <t>Provision en la manana, antes del pagado: con el pronostico, sin provision el saldo bajaria del 8 % del cupo ese dia. Lleva el saldo de 178.761.241 a 411.000.000 COP (cupo 411.000.000). Equipo administrado por TDV.</t>
        </is>
      </c>
      <c r="L1089" s="26" t="n">
        <v>411000000</v>
      </c>
      <c r="M1089" s="26" t="n">
        <v>178761241</v>
      </c>
      <c r="N1089" s="27">
        <f>IF(ISNUMBER(M1089),M1089/L1089,"No aplica")</f>
        <v>0.4349421922141119</v>
      </c>
      <c r="O1089" s="25">
        <f>IF(G1089="provision",M1089+H1089,IF(G1089="recoleccion",M1089-H1089,"No aplica"))</f>
        <v>411000000</v>
      </c>
      <c r="P1089" s="26" t="n">
        <v>105068</v>
      </c>
    </row>
    <row r="1090">
      <c r="A1090" t="inlineStr">
        <is>
          <t>PRAGMA</t>
        </is>
      </c>
      <c r="B1090" t="inlineStr">
        <is>
          <t>M1</t>
        </is>
      </c>
      <c r="C1090" t="inlineStr">
        <is>
          <t>Cali</t>
        </is>
      </c>
      <c r="D1090" t="inlineStr">
        <is>
          <t>8415</t>
        </is>
      </c>
      <c r="E1090" t="inlineStr">
        <is>
          <t>TDV</t>
        </is>
      </c>
      <c r="F1090" s="23" t="n">
        <v>46268</v>
      </c>
      <c r="G1090" t="inlineStr">
        <is>
          <t>provision</t>
        </is>
      </c>
      <c r="H1090" s="26" t="n">
        <v>200957195</v>
      </c>
      <c r="I1090" t="inlineStr">
        <is>
          <t>bajo</t>
        </is>
      </c>
      <c r="J1090" t="inlineStr">
        <is>
          <t>RN-11 y RN-34: provision hasta el cupo operativo antes de bajar del 8 %</t>
        </is>
      </c>
      <c r="K1090" t="inlineStr">
        <is>
          <t>Provision en la manana, antes del pagado: con el pronostico, sin provision el saldo bajaria del 8 % del cupo ese dia. Lleva el saldo de 210.042.805 a 411.000.000 COP (cupo 411.000.000). Equipo administrado por TDV.</t>
        </is>
      </c>
      <c r="L1090" s="26" t="n">
        <v>411000000</v>
      </c>
      <c r="M1090" s="26" t="n">
        <v>210042805</v>
      </c>
      <c r="N1090" s="27">
        <f>IF(ISNUMBER(M1090),M1090/L1090,"No aplica")</f>
        <v>0.5110530535279806</v>
      </c>
      <c r="O1090" s="25">
        <f>IF(G1090="provision",M1090+H1090,IF(G1090="recoleccion",M1090-H1090,"No aplica"))</f>
        <v>411000000</v>
      </c>
      <c r="P1090" s="26" t="n">
        <v>93306</v>
      </c>
    </row>
    <row r="1091">
      <c r="A1091" t="inlineStr">
        <is>
          <t>PRAGMA</t>
        </is>
      </c>
      <c r="B1091" t="inlineStr">
        <is>
          <t>M1</t>
        </is>
      </c>
      <c r="C1091" t="inlineStr">
        <is>
          <t>Cali</t>
        </is>
      </c>
      <c r="D1091" t="inlineStr">
        <is>
          <t>8415</t>
        </is>
      </c>
      <c r="E1091" t="inlineStr">
        <is>
          <t>TDV</t>
        </is>
      </c>
      <c r="F1091" s="23" t="n">
        <v>46269</v>
      </c>
      <c r="G1091" t="inlineStr">
        <is>
          <t>provision</t>
        </is>
      </c>
      <c r="H1091" s="26" t="n">
        <v>195614743</v>
      </c>
      <c r="I1091" t="inlineStr">
        <is>
          <t>bajo</t>
        </is>
      </c>
      <c r="J1091" t="inlineStr">
        <is>
          <t>RN-11 y RN-34: provision hasta el cupo operativo antes de bajar del 8 %</t>
        </is>
      </c>
      <c r="K1091" t="inlineStr">
        <is>
          <t>Provision en la manana, antes del pagado: con el pronostico, sin provision el saldo bajaria del 8 % del cupo ese dia. Lleva el saldo de 215.385.257 a 411.000.000 COP (cupo 411.000.000). Equipo administrado por TDV.</t>
        </is>
      </c>
      <c r="L1091" s="26" t="n">
        <v>411000000</v>
      </c>
      <c r="M1091" s="26" t="n">
        <v>215385257</v>
      </c>
      <c r="N1091" s="27">
        <f>IF(ISNUMBER(M1091),M1091/L1091,"No aplica")</f>
        <v>0.5240517201946472</v>
      </c>
      <c r="O1091" s="25">
        <f>IF(G1091="provision",M1091+H1091,IF(G1091="recoleccion",M1091-H1091,"No aplica"))</f>
        <v>411000000</v>
      </c>
      <c r="P1091" s="26" t="n">
        <v>91297</v>
      </c>
    </row>
    <row r="1092">
      <c r="A1092" t="inlineStr">
        <is>
          <t>PRAGMA</t>
        </is>
      </c>
      <c r="B1092" t="inlineStr">
        <is>
          <t>M1</t>
        </is>
      </c>
      <c r="C1092" t="inlineStr">
        <is>
          <t>Cali</t>
        </is>
      </c>
      <c r="D1092" t="inlineStr">
        <is>
          <t>8415</t>
        </is>
      </c>
      <c r="E1092" t="inlineStr">
        <is>
          <t>TDV</t>
        </is>
      </c>
      <c r="F1092" s="23" t="n">
        <v>46271</v>
      </c>
      <c r="G1092" t="inlineStr">
        <is>
          <t>provision</t>
        </is>
      </c>
      <c r="H1092" s="26" t="n">
        <v>375818163</v>
      </c>
      <c r="I1092" t="inlineStr">
        <is>
          <t>bajo</t>
        </is>
      </c>
      <c r="J1092" t="inlineStr">
        <is>
          <t>RN-11 y RN-34: provision hasta el cupo operativo antes de bajar del 8 %</t>
        </is>
      </c>
      <c r="K1092" t="inlineStr">
        <is>
          <t>Provision en la manana, antes del pagado: con el pronostico, sin provision el saldo bajaria del 8 % del cupo ese dia. Lleva el saldo de 35.181.837 a 411.000.000 COP (cupo 411.000.000). Equipo administrado por TDV.</t>
        </is>
      </c>
      <c r="L1092" s="26" t="n">
        <v>411000000</v>
      </c>
      <c r="M1092" s="26" t="n">
        <v>35181837</v>
      </c>
      <c r="N1092" s="27">
        <f>IF(ISNUMBER(M1092),M1092/L1092,"No aplica")</f>
        <v>0.08560057664233577</v>
      </c>
      <c r="O1092" s="25">
        <f>IF(G1092="provision",M1092+H1092,IF(G1092="recoleccion",M1092-H1092,"No aplica"))</f>
        <v>411000000</v>
      </c>
      <c r="P1092" s="26" t="n">
        <v>211731</v>
      </c>
    </row>
    <row r="1093">
      <c r="A1093" t="inlineStr">
        <is>
          <t>PRAGMA</t>
        </is>
      </c>
      <c r="B1093" t="inlineStr">
        <is>
          <t>M1</t>
        </is>
      </c>
      <c r="C1093" t="inlineStr">
        <is>
          <t>Cali</t>
        </is>
      </c>
      <c r="D1093" t="inlineStr">
        <is>
          <t>8415</t>
        </is>
      </c>
      <c r="E1093" t="inlineStr">
        <is>
          <t>TDV</t>
        </is>
      </c>
      <c r="F1093" s="23" t="n">
        <v>46274</v>
      </c>
      <c r="G1093" t="inlineStr">
        <is>
          <t>provision</t>
        </is>
      </c>
      <c r="H1093" s="26" t="n">
        <v>362454191</v>
      </c>
      <c r="I1093" t="inlineStr">
        <is>
          <t>bajo</t>
        </is>
      </c>
      <c r="J1093" t="inlineStr">
        <is>
          <t>RN-11 y RN-34: provision hasta el cupo operativo antes de bajar del 8 %</t>
        </is>
      </c>
      <c r="K1093" t="inlineStr">
        <is>
          <t>Provision en la manana, antes del pagado: con el pronostico, sin provision el saldo bajaria del 8 % del cupo ese dia. Lleva el saldo de 48.545.809 a 411.000.000 COP (cupo 411.000.000). Equipo administrado por TDV.</t>
        </is>
      </c>
      <c r="L1093" s="26" t="n">
        <v>411000000</v>
      </c>
      <c r="M1093" s="26" t="n">
        <v>48545809</v>
      </c>
      <c r="N1093" s="27">
        <f>IF(ISNUMBER(M1093),M1093/L1093,"No aplica")</f>
        <v>0.11811632360097324</v>
      </c>
      <c r="O1093" s="25">
        <f>IF(G1093="provision",M1093+H1093,IF(G1093="recoleccion",M1093-H1093,"No aplica"))</f>
        <v>411000000</v>
      </c>
      <c r="P1093" s="26" t="n">
        <v>154029</v>
      </c>
    </row>
    <row r="1094">
      <c r="A1094" t="inlineStr">
        <is>
          <t>PRAGMA</t>
        </is>
      </c>
      <c r="B1094" t="inlineStr">
        <is>
          <t>M1</t>
        </is>
      </c>
      <c r="C1094" t="inlineStr">
        <is>
          <t>Cali</t>
        </is>
      </c>
      <c r="D1094" t="inlineStr">
        <is>
          <t>8415</t>
        </is>
      </c>
      <c r="E1094" t="inlineStr">
        <is>
          <t>TDV</t>
        </is>
      </c>
      <c r="F1094" s="23" t="n">
        <v>46276</v>
      </c>
      <c r="G1094" t="inlineStr">
        <is>
          <t>provision</t>
        </is>
      </c>
      <c r="H1094" s="26" t="n">
        <v>347163354</v>
      </c>
      <c r="I1094" t="inlineStr">
        <is>
          <t>bajo</t>
        </is>
      </c>
      <c r="J1094" t="inlineStr">
        <is>
          <t>RN-11 y RN-34: provision hasta el cupo operativo antes de bajar del 8 %</t>
        </is>
      </c>
      <c r="K1094" t="inlineStr">
        <is>
          <t>Provision en la manana, antes del pagado: con el pronostico, sin provision el saldo bajaria del 8 % del cupo ese dia. Lleva el saldo de 63.836.646 a 411.000.000 COP (cupo 411.000.000). Equipo administrado por TDV.</t>
        </is>
      </c>
      <c r="L1094" s="26" t="n">
        <v>411000000</v>
      </c>
      <c r="M1094" s="26" t="n">
        <v>63836646</v>
      </c>
      <c r="N1094" s="27">
        <f>IF(ISNUMBER(M1094),M1094/L1094,"No aplica")</f>
        <v>0.15532030656934306</v>
      </c>
      <c r="O1094" s="25">
        <f>IF(G1094="provision",M1094+H1094,IF(G1094="recoleccion",M1094-H1094,"No aplica"))</f>
        <v>411000000</v>
      </c>
      <c r="P1094" s="26" t="n">
        <v>148279</v>
      </c>
    </row>
    <row r="1095">
      <c r="A1095" t="inlineStr">
        <is>
          <t>PRAGMA</t>
        </is>
      </c>
      <c r="B1095" t="inlineStr">
        <is>
          <t>M1</t>
        </is>
      </c>
      <c r="C1095" t="inlineStr">
        <is>
          <t>Cali</t>
        </is>
      </c>
      <c r="D1095" t="inlineStr">
        <is>
          <t>8415</t>
        </is>
      </c>
      <c r="E1095" t="inlineStr">
        <is>
          <t>TDV</t>
        </is>
      </c>
      <c r="F1095" s="23" t="n">
        <v>46278</v>
      </c>
      <c r="G1095" t="inlineStr">
        <is>
          <t>provision</t>
        </is>
      </c>
      <c r="H1095" s="26" t="n">
        <v>353109065</v>
      </c>
      <c r="I1095" t="inlineStr">
        <is>
          <t>bajo</t>
        </is>
      </c>
      <c r="J1095" t="inlineStr">
        <is>
          <t>RN-11 y RN-34: provision hasta el cupo operativo antes de bajar del 8 %</t>
        </is>
      </c>
      <c r="K1095" t="inlineStr">
        <is>
          <t>Provision en la manana, antes del pagado: con el pronostico, sin provision el saldo bajaria del 8 % del cupo ese dia. Lleva el saldo de 57.890.935 a 411.000.000 COP (cupo 411.000.000). Equipo administrado por TDV.</t>
        </is>
      </c>
      <c r="L1095" s="26" t="n">
        <v>411000000</v>
      </c>
      <c r="M1095" s="26" t="n">
        <v>57890935</v>
      </c>
      <c r="N1095" s="27">
        <f>IF(ISNUMBER(M1095),M1095/L1095,"No aplica")</f>
        <v>0.14085385644768855</v>
      </c>
      <c r="O1095" s="25">
        <f>IF(G1095="provision",M1095+H1095,IF(G1095="recoleccion",M1095-H1095,"No aplica"))</f>
        <v>411000000</v>
      </c>
      <c r="P1095" s="26" t="n">
        <v>200331</v>
      </c>
    </row>
    <row r="1096">
      <c r="A1096" t="inlineStr">
        <is>
          <t>PRAGMA</t>
        </is>
      </c>
      <c r="B1096" t="inlineStr">
        <is>
          <t>M1</t>
        </is>
      </c>
      <c r="C1096" t="inlineStr">
        <is>
          <t>Cali</t>
        </is>
      </c>
      <c r="D1096" t="inlineStr">
        <is>
          <t>8415</t>
        </is>
      </c>
      <c r="E1096" t="inlineStr">
        <is>
          <t>TDV</t>
        </is>
      </c>
      <c r="F1096" s="23" t="n">
        <v>46280</v>
      </c>
      <c r="G1096" t="inlineStr">
        <is>
          <t>provision</t>
        </is>
      </c>
      <c r="H1096" s="26" t="n">
        <v>213455006</v>
      </c>
      <c r="I1096" t="inlineStr">
        <is>
          <t>bajo</t>
        </is>
      </c>
      <c r="J1096" t="inlineStr">
        <is>
          <t>RN-11 y RN-34: provision hasta el cupo operativo antes de bajar del 8 %</t>
        </is>
      </c>
      <c r="K1096" t="inlineStr">
        <is>
          <t>Provision en la manana, antes del pagado: con el pronostico, sin provision el saldo bajaria del 8 % del cupo ese dia. Lleva el saldo de 197.544.994 a 411.000.000 COP (cupo 411.000.000). Equipo administrado por TDV.</t>
        </is>
      </c>
      <c r="L1096" s="26" t="n">
        <v>411000000</v>
      </c>
      <c r="M1096" s="26" t="n">
        <v>197544994</v>
      </c>
      <c r="N1096" s="27">
        <f>IF(ISNUMBER(M1096),M1096/L1096,"No aplica")</f>
        <v>0.48064475425790754</v>
      </c>
      <c r="O1096" s="25">
        <f>IF(G1096="provision",M1096+H1096,IF(G1096="recoleccion",M1096-H1096,"No aplica"))</f>
        <v>411000000</v>
      </c>
      <c r="P1096" s="26" t="n">
        <v>98005</v>
      </c>
    </row>
    <row r="1097">
      <c r="A1097" t="inlineStr">
        <is>
          <t>PRAGMA</t>
        </is>
      </c>
      <c r="B1097" t="inlineStr">
        <is>
          <t>M1</t>
        </is>
      </c>
      <c r="C1097" t="inlineStr">
        <is>
          <t>Pasto</t>
        </is>
      </c>
      <c r="D1097" t="inlineStr">
        <is>
          <t>8416</t>
        </is>
      </c>
      <c r="E1097" t="inlineStr">
        <is>
          <t>TDV</t>
        </is>
      </c>
      <c r="F1097" s="23" t="n">
        <v>46276</v>
      </c>
      <c r="G1097" t="inlineStr">
        <is>
          <t>provision</t>
        </is>
      </c>
      <c r="H1097" s="26" t="n">
        <v>361227965</v>
      </c>
      <c r="I1097" t="inlineStr">
        <is>
          <t>bajo</t>
        </is>
      </c>
      <c r="J1097" t="inlineStr">
        <is>
          <t>RN-11 y RN-34: provision hasta el cupo operativo antes de bajar del 8 %</t>
        </is>
      </c>
      <c r="K1097" t="inlineStr">
        <is>
          <t>Provision en la manana, antes del pagado: con el pronostico, sin provision el saldo bajaria del 8 % del cupo ese dia. Lleva el saldo de 49.772.035 a 411.000.000 COP (cupo 411.000.000). Equipo administrado por TDV.</t>
        </is>
      </c>
      <c r="L1097" s="26" t="n">
        <v>411000000</v>
      </c>
      <c r="M1097" s="26" t="n">
        <v>49772035</v>
      </c>
      <c r="N1097" s="27">
        <f>IF(ISNUMBER(M1097),M1097/L1097,"No aplica")</f>
        <v>0.12109984184914842</v>
      </c>
      <c r="O1097" s="25">
        <f>IF(G1097="provision",M1097+H1097,IF(G1097="recoleccion",M1097-H1097,"No aplica"))</f>
        <v>411000000</v>
      </c>
      <c r="P1097" s="26" t="n">
        <v>178443</v>
      </c>
    </row>
    <row r="1098">
      <c r="A1098" t="inlineStr">
        <is>
          <t>PRAGMA</t>
        </is>
      </c>
      <c r="B1098" t="inlineStr">
        <is>
          <t>M1</t>
        </is>
      </c>
      <c r="C1098" t="inlineStr">
        <is>
          <t>Cali</t>
        </is>
      </c>
      <c r="D1098" t="inlineStr">
        <is>
          <t>8450</t>
        </is>
      </c>
      <c r="E1098" t="inlineStr">
        <is>
          <t>TDV</t>
        </is>
      </c>
      <c r="F1098" s="23" t="n">
        <v>46269</v>
      </c>
      <c r="G1098" t="inlineStr">
        <is>
          <t>provision</t>
        </is>
      </c>
      <c r="H1098" s="26" t="n">
        <v>443565389</v>
      </c>
      <c r="I1098" t="inlineStr">
        <is>
          <t>bajo</t>
        </is>
      </c>
      <c r="J1098" t="inlineStr">
        <is>
          <t>RN-11 y RN-34: provision hasta el cupo operativo antes de bajar del 8 %</t>
        </is>
      </c>
      <c r="K1098" t="inlineStr">
        <is>
          <t>Provision en la manana, antes del pagado: con el pronostico, sin provision el saldo bajaria del 8 % del cupo ese dia. Lleva el saldo de 56.434.611 a 500.000.000 COP (cupo 500.000.000). Equipo administrado por TDV.</t>
        </is>
      </c>
      <c r="L1098" s="26" t="n">
        <v>500000000</v>
      </c>
      <c r="M1098" s="26" t="n">
        <v>56434611</v>
      </c>
      <c r="N1098" s="27">
        <f>IF(ISNUMBER(M1098),M1098/L1098,"No aplica")</f>
        <v>0.112869222</v>
      </c>
      <c r="O1098" s="25">
        <f>IF(G1098="provision",M1098+H1098,IF(G1098="recoleccion",M1098-H1098,"No aplica"))</f>
        <v>500000000</v>
      </c>
      <c r="P1098" s="26" t="n">
        <v>219439</v>
      </c>
    </row>
    <row r="1099">
      <c r="A1099" t="inlineStr">
        <is>
          <t>PRAGMA</t>
        </is>
      </c>
      <c r="B1099" t="inlineStr">
        <is>
          <t>M1</t>
        </is>
      </c>
      <c r="C1099" t="inlineStr">
        <is>
          <t>Cali</t>
        </is>
      </c>
      <c r="D1099" t="inlineStr">
        <is>
          <t>8450</t>
        </is>
      </c>
      <c r="E1099" t="inlineStr">
        <is>
          <t>TDV</t>
        </is>
      </c>
      <c r="F1099" s="23" t="n">
        <v>46273</v>
      </c>
      <c r="G1099" t="inlineStr">
        <is>
          <t>provision</t>
        </is>
      </c>
      <c r="H1099" s="26" t="n">
        <v>431507091</v>
      </c>
      <c r="I1099" t="inlineStr">
        <is>
          <t>bajo</t>
        </is>
      </c>
      <c r="J1099" t="inlineStr">
        <is>
          <t>RN-11 y RN-34: provision hasta el cupo operativo antes de bajar del 8 %</t>
        </is>
      </c>
      <c r="K1099" t="inlineStr">
        <is>
          <t>Provision en la manana, antes del pagado: con el pronostico, sin provision el saldo bajaria del 8 % del cupo ese dia. Lleva el saldo de 68.492.909 a 500.000.000 COP (cupo 500.000.000). Equipo administrado por TDV.</t>
        </is>
      </c>
      <c r="L1099" s="26" t="n">
        <v>500000000</v>
      </c>
      <c r="M1099" s="26" t="n">
        <v>68492909</v>
      </c>
      <c r="N1099" s="27">
        <f>IF(ISNUMBER(M1099),M1099/L1099,"No aplica")</f>
        <v>0.136985818</v>
      </c>
      <c r="O1099" s="25">
        <f>IF(G1099="provision",M1099+H1099,IF(G1099="recoleccion",M1099-H1099,"No aplica"))</f>
        <v>500000000</v>
      </c>
      <c r="P1099" s="26" t="n">
        <v>213988</v>
      </c>
    </row>
    <row r="1100">
      <c r="A1100" t="inlineStr">
        <is>
          <t>PRAGMA</t>
        </is>
      </c>
      <c r="B1100" t="inlineStr">
        <is>
          <t>M1</t>
        </is>
      </c>
      <c r="C1100" t="inlineStr">
        <is>
          <t>Cali</t>
        </is>
      </c>
      <c r="D1100" t="inlineStr">
        <is>
          <t>8450</t>
        </is>
      </c>
      <c r="E1100" t="inlineStr">
        <is>
          <t>TDV</t>
        </is>
      </c>
      <c r="F1100" s="23" t="n">
        <v>46277</v>
      </c>
      <c r="G1100" t="inlineStr">
        <is>
          <t>provision</t>
        </is>
      </c>
      <c r="H1100" s="26" t="n">
        <v>424957020</v>
      </c>
      <c r="I1100" t="inlineStr">
        <is>
          <t>bajo</t>
        </is>
      </c>
      <c r="J1100" t="inlineStr">
        <is>
          <t>RN-11 y RN-34: provision hasta el cupo operativo antes de bajar del 8 %</t>
        </is>
      </c>
      <c r="K1100" t="inlineStr">
        <is>
          <t>Provision en la manana, antes del pagado: con el pronostico, sin provision el saldo bajaria del 8 % del cupo ese dia. Lleva el saldo de 75.042.980 a 500.000.000 COP (cupo 500.000.000). Equipo administrado por TDV.</t>
        </is>
      </c>
      <c r="L1100" s="26" t="n">
        <v>500000000</v>
      </c>
      <c r="M1100" s="26" t="n">
        <v>75042980</v>
      </c>
      <c r="N1100" s="27">
        <f>IF(ISNUMBER(M1100),M1100/L1100,"No aplica")</f>
        <v>0.15008596</v>
      </c>
      <c r="O1100" s="25">
        <f>IF(G1100="provision",M1100+H1100,IF(G1100="recoleccion",M1100-H1100,"No aplica"))</f>
        <v>500000000</v>
      </c>
      <c r="P1100" s="26" t="n">
        <v>211028</v>
      </c>
    </row>
    <row r="1101">
      <c r="A1101" t="inlineStr">
        <is>
          <t>PRAGMA</t>
        </is>
      </c>
      <c r="B1101" t="inlineStr">
        <is>
          <t>M1</t>
        </is>
      </c>
      <c r="C1101" t="inlineStr">
        <is>
          <t>Cali</t>
        </is>
      </c>
      <c r="D1101" t="inlineStr">
        <is>
          <t>8465</t>
        </is>
      </c>
      <c r="E1101" t="inlineStr">
        <is>
          <t>TDV</t>
        </is>
      </c>
      <c r="F1101" s="23" t="n">
        <v>46266</v>
      </c>
      <c r="G1101" t="inlineStr">
        <is>
          <t>sin_accion</t>
        </is>
      </c>
      <c r="H1101" s="26" t="n">
        <v>0</v>
      </c>
      <c r="I1101" t="inlineStr">
        <is>
          <t>bajo</t>
        </is>
      </c>
      <c r="J1101" t="inlineStr">
        <is>
          <t>RN-02: una fila sin_accion</t>
        </is>
      </c>
      <c r="K1101" t="inlineStr">
        <is>
          <t>Sin accion en el horizonte: con el pronostico, el saldo se mantiene entre el umbral de agotamiento y el cupo sin necesidad de provision ni recoleccion.</t>
        </is>
      </c>
      <c r="L1101" s="26" t="n">
        <v>500000000</v>
      </c>
      <c r="M1101" s="26" t="inlineStr">
        <is>
          <t>No aplica</t>
        </is>
      </c>
      <c r="N1101" s="27" t="str">
        <f>IF(ISNUMBER(M1101),M1101/L1101,"No aplica")</f>
        <v>No aplica</v>
      </c>
      <c r="O1101" s="25" t="str">
        <f>IF(G1101="provision",M1101+H1101,IF(G1101="recoleccion",M1101-H1101,"No aplica"))</f>
        <v>No aplica</v>
      </c>
      <c r="P1101" s="26" t="inlineStr">
        <is>
          <t>No aplica</t>
        </is>
      </c>
    </row>
    <row r="1102">
      <c r="A1102" t="inlineStr">
        <is>
          <t>PRAGMA</t>
        </is>
      </c>
      <c r="B1102" t="inlineStr">
        <is>
          <t>M1</t>
        </is>
      </c>
      <c r="C1102" t="inlineStr">
        <is>
          <t>Cali</t>
        </is>
      </c>
      <c r="D1102" t="inlineStr">
        <is>
          <t>8467</t>
        </is>
      </c>
      <c r="E1102" t="inlineStr">
        <is>
          <t>TDV</t>
        </is>
      </c>
      <c r="F1102" s="23" t="n">
        <v>46279</v>
      </c>
      <c r="G1102" t="inlineStr">
        <is>
          <t>provision</t>
        </is>
      </c>
      <c r="H1102" s="26" t="n">
        <v>436220992</v>
      </c>
      <c r="I1102" t="inlineStr">
        <is>
          <t>bajo</t>
        </is>
      </c>
      <c r="J1102" t="inlineStr">
        <is>
          <t>RN-11 y RN-34: provision hasta el cupo operativo antes de bajar del 8 %</t>
        </is>
      </c>
      <c r="K1102" t="inlineStr">
        <is>
          <t>Provision en la manana, antes del pagado: con el pronostico, sin provision el saldo bajaria del 8 % del cupo ese dia. Lleva el saldo de 63.779.008 a 500.000.000 COP (cupo 500.000.000). Equipo administrado por TDV.</t>
        </is>
      </c>
      <c r="L1102" s="26" t="n">
        <v>500000000</v>
      </c>
      <c r="M1102" s="26" t="n">
        <v>63779008</v>
      </c>
      <c r="N1102" s="27">
        <f>IF(ISNUMBER(M1102),M1102/L1102,"No aplica")</f>
        <v>0.127558016</v>
      </c>
      <c r="O1102" s="25">
        <f>IF(G1102="provision",M1102+H1102,IF(G1102="recoleccion",M1102-H1102,"No aplica"))</f>
        <v>500000000</v>
      </c>
      <c r="P1102" s="26" t="n">
        <v>211590</v>
      </c>
    </row>
    <row r="1103">
      <c r="A1103" t="inlineStr">
        <is>
          <t>PRAGMA</t>
        </is>
      </c>
      <c r="B1103" t="inlineStr">
        <is>
          <t>M1</t>
        </is>
      </c>
      <c r="C1103" t="inlineStr">
        <is>
          <t>Pasto</t>
        </is>
      </c>
      <c r="D1103" t="inlineStr">
        <is>
          <t>8496</t>
        </is>
      </c>
      <c r="E1103" t="inlineStr">
        <is>
          <t>TDV</t>
        </is>
      </c>
      <c r="F1103" s="23" t="n">
        <v>46270</v>
      </c>
      <c r="G1103" t="inlineStr">
        <is>
          <t>provision</t>
        </is>
      </c>
      <c r="H1103" s="26" t="n">
        <v>459721476</v>
      </c>
      <c r="I1103" t="inlineStr">
        <is>
          <t>bajo</t>
        </is>
      </c>
      <c r="J1103" t="inlineStr">
        <is>
          <t>RN-11 y RN-34: provision hasta el cupo operativo antes de bajar del 8 %</t>
        </is>
      </c>
      <c r="K1103" t="inlineStr">
        <is>
          <t>Provision en la manana, antes del pagado: con el pronostico, sin provision el saldo bajaria del 8 % del cupo ese dia. Lleva el saldo de 40.278.524 a 500.000.000 COP (cupo 500.000.000). Equipo administrado por TDV.</t>
        </is>
      </c>
      <c r="L1103" s="26" t="n">
        <v>500000000</v>
      </c>
      <c r="M1103" s="26" t="n">
        <v>40278524</v>
      </c>
      <c r="N1103" s="27">
        <f>IF(ISNUMBER(M1103),M1103/L1103,"No aplica")</f>
        <v>0.080557048</v>
      </c>
      <c r="O1103" s="25">
        <f>IF(G1103="provision",M1103+H1103,IF(G1103="recoleccion",M1103-H1103,"No aplica"))</f>
        <v>500000000</v>
      </c>
      <c r="P1103" s="26" t="n">
        <v>144281</v>
      </c>
    </row>
    <row r="1104">
      <c r="A1104" t="inlineStr">
        <is>
          <t>PRAGMA</t>
        </is>
      </c>
      <c r="B1104" t="inlineStr">
        <is>
          <t>M1</t>
        </is>
      </c>
      <c r="C1104" t="inlineStr">
        <is>
          <t>Pasto</t>
        </is>
      </c>
      <c r="D1104" t="inlineStr">
        <is>
          <t>8496</t>
        </is>
      </c>
      <c r="E1104" t="inlineStr">
        <is>
          <t>TDV</t>
        </is>
      </c>
      <c r="F1104" s="23" t="n">
        <v>46275</v>
      </c>
      <c r="G1104" t="inlineStr">
        <is>
          <t>provision</t>
        </is>
      </c>
      <c r="H1104" s="26" t="n">
        <v>405878714</v>
      </c>
      <c r="I1104" t="inlineStr">
        <is>
          <t>bajo</t>
        </is>
      </c>
      <c r="J1104" t="inlineStr">
        <is>
          <t>RN-11 y RN-34: provision hasta el cupo operativo antes de bajar del 8 %</t>
        </is>
      </c>
      <c r="K1104" t="inlineStr">
        <is>
          <t>Provision en la manana, antes del pagado: con el pronostico, sin provision el saldo bajaria del 8 % del cupo ese dia. Lleva el saldo de 94.121.286 a 500.000.000 COP (cupo 500.000.000). Equipo administrado por TDV.</t>
        </is>
      </c>
      <c r="L1104" s="26" t="n">
        <v>500000000</v>
      </c>
      <c r="M1104" s="26" t="n">
        <v>94121286</v>
      </c>
      <c r="N1104" s="27">
        <f>IF(ISNUMBER(M1104),M1104/L1104,"No aplica")</f>
        <v>0.188242572</v>
      </c>
      <c r="O1104" s="25">
        <f>IF(G1104="provision",M1104+H1104,IF(G1104="recoleccion",M1104-H1104,"No aplica"))</f>
        <v>500000000</v>
      </c>
      <c r="P1104" s="26" t="n">
        <v>129205</v>
      </c>
    </row>
    <row r="1105">
      <c r="A1105" t="inlineStr">
        <is>
          <t>PRAGMA</t>
        </is>
      </c>
      <c r="B1105" t="inlineStr">
        <is>
          <t>M1</t>
        </is>
      </c>
      <c r="C1105" t="inlineStr">
        <is>
          <t>Pasto</t>
        </is>
      </c>
      <c r="D1105" t="inlineStr">
        <is>
          <t>8497</t>
        </is>
      </c>
      <c r="E1105" t="inlineStr">
        <is>
          <t>TDV</t>
        </is>
      </c>
      <c r="F1105" s="23" t="n">
        <v>46268</v>
      </c>
      <c r="G1105" t="inlineStr">
        <is>
          <t>provision</t>
        </is>
      </c>
      <c r="H1105" s="26" t="n">
        <v>363684059</v>
      </c>
      <c r="I1105" t="inlineStr">
        <is>
          <t>bajo</t>
        </is>
      </c>
      <c r="J1105" t="inlineStr">
        <is>
          <t>RN-11 y RN-34: provision hasta el cupo operativo antes de bajar del 8 %</t>
        </is>
      </c>
      <c r="K1105" t="inlineStr">
        <is>
          <t>Provision en la manana, antes del pagado: con el pronostico, sin provision el saldo bajaria del 8 % del cupo ese dia. Lleva el saldo de 136.315.941 a 500.000.000 COP (cupo 500.000.000). Equipo administrado por TDV.</t>
        </is>
      </c>
      <c r="L1105" s="26" t="n">
        <v>500000000</v>
      </c>
      <c r="M1105" s="26" t="n">
        <v>136315941</v>
      </c>
      <c r="N1105" s="27">
        <f>IF(ISNUMBER(M1105),M1105/L1105,"No aplica")</f>
        <v>0.272631882</v>
      </c>
      <c r="O1105" s="25">
        <f>IF(G1105="provision",M1105+H1105,IF(G1105="recoleccion",M1105-H1105,"No aplica"))</f>
        <v>500000000</v>
      </c>
      <c r="P1105" s="26" t="n">
        <v>117391</v>
      </c>
    </row>
    <row r="1106">
      <c r="A1106" t="inlineStr">
        <is>
          <t>PRAGMA</t>
        </is>
      </c>
      <c r="B1106" t="inlineStr">
        <is>
          <t>M1</t>
        </is>
      </c>
      <c r="C1106" t="inlineStr">
        <is>
          <t>Pasto</t>
        </is>
      </c>
      <c r="D1106" t="inlineStr">
        <is>
          <t>8497</t>
        </is>
      </c>
      <c r="E1106" t="inlineStr">
        <is>
          <t>TDV</t>
        </is>
      </c>
      <c r="F1106" s="23" t="n">
        <v>46271</v>
      </c>
      <c r="G1106" t="inlineStr">
        <is>
          <t>provision</t>
        </is>
      </c>
      <c r="H1106" s="26" t="n">
        <v>444429597</v>
      </c>
      <c r="I1106" t="inlineStr">
        <is>
          <t>bajo</t>
        </is>
      </c>
      <c r="J1106" t="inlineStr">
        <is>
          <t>RN-11 y RN-34: provision hasta el cupo operativo antes de bajar del 8 %</t>
        </is>
      </c>
      <c r="K1106" t="inlineStr">
        <is>
          <t>Provision en la manana, antes del pagado: con el pronostico, sin provision el saldo bajaria del 8 % del cupo ese dia. Lleva el saldo de 55.570.403 a 500.000.000 COP (cupo 500.000.000). Equipo administrado por TDV.</t>
        </is>
      </c>
      <c r="L1106" s="26" t="n">
        <v>500000000</v>
      </c>
      <c r="M1106" s="26" t="n">
        <v>55570403</v>
      </c>
      <c r="N1106" s="27">
        <f>IF(ISNUMBER(M1106),M1106/L1106,"No aplica")</f>
        <v>0.111140806</v>
      </c>
      <c r="O1106" s="25">
        <f>IF(G1106="provision",M1106+H1106,IF(G1106="recoleccion",M1106-H1106,"No aplica"))</f>
        <v>500000000</v>
      </c>
      <c r="P1106" s="26" t="n">
        <v>189755</v>
      </c>
    </row>
    <row r="1107">
      <c r="A1107" t="inlineStr">
        <is>
          <t>PRAGMA</t>
        </is>
      </c>
      <c r="B1107" t="inlineStr">
        <is>
          <t>M1</t>
        </is>
      </c>
      <c r="C1107" t="inlineStr">
        <is>
          <t>Pasto</t>
        </is>
      </c>
      <c r="D1107" t="inlineStr">
        <is>
          <t>8497</t>
        </is>
      </c>
      <c r="E1107" t="inlineStr">
        <is>
          <t>TDV</t>
        </is>
      </c>
      <c r="F1107" s="23" t="n">
        <v>46274</v>
      </c>
      <c r="G1107" t="inlineStr">
        <is>
          <t>provision</t>
        </is>
      </c>
      <c r="H1107" s="26" t="n">
        <v>354617541</v>
      </c>
      <c r="I1107" t="inlineStr">
        <is>
          <t>bajo</t>
        </is>
      </c>
      <c r="J1107" t="inlineStr">
        <is>
          <t>RN-11 y RN-34: provision hasta el cupo operativo antes de bajar del 8 %</t>
        </is>
      </c>
      <c r="K1107" t="inlineStr">
        <is>
          <t>Provision en la manana, antes del pagado: con el pronostico, sin provision el saldo bajaria del 8 % del cupo ese dia. Lleva el saldo de 145.382.459 a 500.000.000 COP (cupo 500.000.000). Equipo administrado por TDV.</t>
        </is>
      </c>
      <c r="L1107" s="26" t="n">
        <v>500000000</v>
      </c>
      <c r="M1107" s="26" t="n">
        <v>145382459</v>
      </c>
      <c r="N1107" s="27">
        <f>IF(ISNUMBER(M1107),M1107/L1107,"No aplica")</f>
        <v>0.290764918</v>
      </c>
      <c r="O1107" s="25">
        <f>IF(G1107="provision",M1107+H1107,IF(G1107="recoleccion",M1107-H1107,"No aplica"))</f>
        <v>500000000</v>
      </c>
      <c r="P1107" s="26" t="n">
        <v>114852</v>
      </c>
    </row>
    <row r="1108">
      <c r="A1108" t="inlineStr">
        <is>
          <t>PRAGMA</t>
        </is>
      </c>
      <c r="B1108" t="inlineStr">
        <is>
          <t>M1</t>
        </is>
      </c>
      <c r="C1108" t="inlineStr">
        <is>
          <t>Pasto</t>
        </is>
      </c>
      <c r="D1108" t="inlineStr">
        <is>
          <t>8497</t>
        </is>
      </c>
      <c r="E1108" t="inlineStr">
        <is>
          <t>TDV</t>
        </is>
      </c>
      <c r="F1108" s="23" t="n">
        <v>46277</v>
      </c>
      <c r="G1108" t="inlineStr">
        <is>
          <t>provision</t>
        </is>
      </c>
      <c r="H1108" s="26" t="n">
        <v>347336513</v>
      </c>
      <c r="I1108" t="inlineStr">
        <is>
          <t>bajo</t>
        </is>
      </c>
      <c r="J1108" t="inlineStr">
        <is>
          <t>RN-11 y RN-34: provision hasta el cupo operativo antes de bajar del 8 %</t>
        </is>
      </c>
      <c r="K1108" t="inlineStr">
        <is>
          <t>Provision en la manana, antes del pagado: con el pronostico, sin provision el saldo bajaria del 8 % del cupo ese dia. Lleva el saldo de 152.663.487 a 500.000.000 COP (cupo 500.000.000). Equipo administrado por TDV.</t>
        </is>
      </c>
      <c r="L1108" s="26" t="n">
        <v>500000000</v>
      </c>
      <c r="M1108" s="26" t="n">
        <v>152663487</v>
      </c>
      <c r="N1108" s="27">
        <f>IF(ISNUMBER(M1108),M1108/L1108,"No aplica")</f>
        <v>0.305326974</v>
      </c>
      <c r="O1108" s="25">
        <f>IF(G1108="provision",M1108+H1108,IF(G1108="recoleccion",M1108-H1108,"No aplica"))</f>
        <v>500000000</v>
      </c>
      <c r="P1108" s="26" t="n">
        <v>112813</v>
      </c>
    </row>
    <row r="1109">
      <c r="A1109" t="inlineStr">
        <is>
          <t>PRAGMA</t>
        </is>
      </c>
      <c r="B1109" t="inlineStr">
        <is>
          <t>M1</t>
        </is>
      </c>
      <c r="C1109" t="inlineStr">
        <is>
          <t>Pasto</t>
        </is>
      </c>
      <c r="D1109" t="inlineStr">
        <is>
          <t>8498</t>
        </is>
      </c>
      <c r="E1109" t="inlineStr">
        <is>
          <t>TDV</t>
        </is>
      </c>
      <c r="F1109" s="23" t="n">
        <v>46268</v>
      </c>
      <c r="G1109" t="inlineStr">
        <is>
          <t>provision</t>
        </is>
      </c>
      <c r="H1109" s="26" t="n">
        <v>389941570</v>
      </c>
      <c r="I1109" t="inlineStr">
        <is>
          <t>bajo</t>
        </is>
      </c>
      <c r="J1109" t="inlineStr">
        <is>
          <t>RN-11 y RN-34: provision hasta el cupo operativo antes de bajar del 8 %</t>
        </is>
      </c>
      <c r="K1109" t="inlineStr">
        <is>
          <t>Provision en la manana, antes del pagado: con el pronostico, sin provision el saldo bajaria del 8 % del cupo ese dia. Lleva el saldo de 110.058.430 a 500.000.000 COP (cupo 500.000.000). Equipo administrado por TDV.</t>
        </is>
      </c>
      <c r="L1109" s="26" t="n">
        <v>500000000</v>
      </c>
      <c r="M1109" s="26" t="n">
        <v>110058430</v>
      </c>
      <c r="N1109" s="27">
        <f>IF(ISNUMBER(M1109),M1109/L1109,"No aplica")</f>
        <v>0.22011686</v>
      </c>
      <c r="O1109" s="25">
        <f>IF(G1109="provision",M1109+H1109,IF(G1109="recoleccion",M1109-H1109,"No aplica"))</f>
        <v>500000000</v>
      </c>
      <c r="P1109" s="26" t="n">
        <v>124743</v>
      </c>
    </row>
    <row r="1110">
      <c r="A1110" t="inlineStr">
        <is>
          <t>PRAGMA</t>
        </is>
      </c>
      <c r="B1110" t="inlineStr">
        <is>
          <t>M1</t>
        </is>
      </c>
      <c r="C1110" t="inlineStr">
        <is>
          <t>Pasto</t>
        </is>
      </c>
      <c r="D1110" t="inlineStr">
        <is>
          <t>8498</t>
        </is>
      </c>
      <c r="E1110" t="inlineStr">
        <is>
          <t>TDV</t>
        </is>
      </c>
      <c r="F1110" s="23" t="n">
        <v>46270</v>
      </c>
      <c r="G1110" t="inlineStr">
        <is>
          <t>provision</t>
        </is>
      </c>
      <c r="H1110" s="26" t="n">
        <v>310499720</v>
      </c>
      <c r="I1110" t="inlineStr">
        <is>
          <t>bajo</t>
        </is>
      </c>
      <c r="J1110" t="inlineStr">
        <is>
          <t>RN-11 y RN-34: provision hasta el cupo operativo antes de bajar del 8 %</t>
        </is>
      </c>
      <c r="K1110" t="inlineStr">
        <is>
          <t>Provision en la manana, antes del pagado: con el pronostico, sin provision el saldo bajaria del 8 % del cupo ese dia. Lleva el saldo de 189.500.280 a 500.000.000 COP (cupo 500.000.000). Equipo administrado por TDV.</t>
        </is>
      </c>
      <c r="L1110" s="26" t="n">
        <v>500000000</v>
      </c>
      <c r="M1110" s="26" t="n">
        <v>189500280</v>
      </c>
      <c r="N1110" s="27">
        <f>IF(ISNUMBER(M1110),M1110/L1110,"No aplica")</f>
        <v>0.37900056</v>
      </c>
      <c r="O1110" s="25">
        <f>IF(G1110="provision",M1110+H1110,IF(G1110="recoleccion",M1110-H1110,"No aplica"))</f>
        <v>500000000</v>
      </c>
      <c r="P1110" s="26" t="n">
        <v>102499</v>
      </c>
    </row>
    <row r="1111">
      <c r="A1111" t="inlineStr">
        <is>
          <t>PRAGMA</t>
        </is>
      </c>
      <c r="B1111" t="inlineStr">
        <is>
          <t>M1</t>
        </is>
      </c>
      <c r="C1111" t="inlineStr">
        <is>
          <t>Pasto</t>
        </is>
      </c>
      <c r="D1111" t="inlineStr">
        <is>
          <t>8498</t>
        </is>
      </c>
      <c r="E1111" t="inlineStr">
        <is>
          <t>TDV</t>
        </is>
      </c>
      <c r="F1111" s="23" t="n">
        <v>46273</v>
      </c>
      <c r="G1111" t="inlineStr">
        <is>
          <t>provision</t>
        </is>
      </c>
      <c r="H1111" s="26" t="n">
        <v>385263531</v>
      </c>
      <c r="I1111" t="inlineStr">
        <is>
          <t>bajo</t>
        </is>
      </c>
      <c r="J1111" t="inlineStr">
        <is>
          <t>RN-11 y RN-34: provision hasta el cupo operativo antes de bajar del 8 %</t>
        </is>
      </c>
      <c r="K1111" t="inlineStr">
        <is>
          <t>Provision en la manana, antes del pagado: con el pronostico, sin provision el saldo bajaria del 8 % del cupo ese dia. Lleva el saldo de 114.736.469 a 500.000.000 COP (cupo 500.000.000). Equipo administrado por TDV.</t>
        </is>
      </c>
      <c r="L1111" s="26" t="n">
        <v>500000000</v>
      </c>
      <c r="M1111" s="26" t="n">
        <v>114736469</v>
      </c>
      <c r="N1111" s="27">
        <f>IF(ISNUMBER(M1111),M1111/L1111,"No aplica")</f>
        <v>0.229472938</v>
      </c>
      <c r="O1111" s="25">
        <f>IF(G1111="provision",M1111+H1111,IF(G1111="recoleccion",M1111-H1111,"No aplica"))</f>
        <v>500000000</v>
      </c>
      <c r="P1111" s="26" t="n">
        <v>123433</v>
      </c>
    </row>
    <row r="1112">
      <c r="A1112" t="inlineStr">
        <is>
          <t>PRAGMA</t>
        </is>
      </c>
      <c r="B1112" t="inlineStr">
        <is>
          <t>M1</t>
        </is>
      </c>
      <c r="C1112" t="inlineStr">
        <is>
          <t>Pasto</t>
        </is>
      </c>
      <c r="D1112" t="inlineStr">
        <is>
          <t>8498</t>
        </is>
      </c>
      <c r="E1112" t="inlineStr">
        <is>
          <t>TDV</t>
        </is>
      </c>
      <c r="F1112" s="23" t="n">
        <v>46276</v>
      </c>
      <c r="G1112" t="inlineStr">
        <is>
          <t>provision</t>
        </is>
      </c>
      <c r="H1112" s="26" t="n">
        <v>359306837</v>
      </c>
      <c r="I1112" t="inlineStr">
        <is>
          <t>bajo</t>
        </is>
      </c>
      <c r="J1112" t="inlineStr">
        <is>
          <t>RN-11 y RN-34: provision hasta el cupo operativo antes de bajar del 8 %</t>
        </is>
      </c>
      <c r="K1112" t="inlineStr">
        <is>
          <t>Provision en la manana, antes del pagado: con el pronostico, sin provision el saldo bajaria del 8 % del cupo ese dia. Lleva el saldo de 140.693.163 a 500.000.000 COP (cupo 500.000.000). Equipo administrado por TDV.</t>
        </is>
      </c>
      <c r="L1112" s="26" t="n">
        <v>500000000</v>
      </c>
      <c r="M1112" s="26" t="n">
        <v>140693163</v>
      </c>
      <c r="N1112" s="27">
        <f>IF(ISNUMBER(M1112),M1112/L1112,"No aplica")</f>
        <v>0.281386326</v>
      </c>
      <c r="O1112" s="25">
        <f>IF(G1112="provision",M1112+H1112,IF(G1112="recoleccion",M1112-H1112,"No aplica"))</f>
        <v>500000000</v>
      </c>
      <c r="P1112" s="26" t="n">
        <v>116165</v>
      </c>
    </row>
    <row r="1113">
      <c r="A1113" t="inlineStr">
        <is>
          <t>PRAGMA</t>
        </is>
      </c>
      <c r="B1113" t="inlineStr">
        <is>
          <t>M1</t>
        </is>
      </c>
      <c r="C1113" t="inlineStr">
        <is>
          <t>Pasto</t>
        </is>
      </c>
      <c r="D1113" t="inlineStr">
        <is>
          <t>8498</t>
        </is>
      </c>
      <c r="E1113" t="inlineStr">
        <is>
          <t>TDV</t>
        </is>
      </c>
      <c r="F1113" s="23" t="n">
        <v>46280</v>
      </c>
      <c r="G1113" t="inlineStr">
        <is>
          <t>provision</t>
        </is>
      </c>
      <c r="H1113" s="26" t="n">
        <v>404542020</v>
      </c>
      <c r="I1113" t="inlineStr">
        <is>
          <t>bajo</t>
        </is>
      </c>
      <c r="J1113" t="inlineStr">
        <is>
          <t>RN-11 y RN-34: provision hasta el cupo operativo antes de bajar del 8 %</t>
        </is>
      </c>
      <c r="K1113" t="inlineStr">
        <is>
          <t>Provision en la manana, antes del pagado: con el pronostico, sin provision el saldo bajaria del 8 % del cupo ese dia. Lleva el saldo de 95.457.980 a 500.000.000 COP (cupo 500.000.000). Equipo administrado por TDV.</t>
        </is>
      </c>
      <c r="L1113" s="26" t="n">
        <v>500000000</v>
      </c>
      <c r="M1113" s="26" t="n">
        <v>95457980</v>
      </c>
      <c r="N1113" s="27">
        <f>IF(ISNUMBER(M1113),M1113/L1113,"No aplica")</f>
        <v>0.19091596</v>
      </c>
      <c r="O1113" s="25">
        <f>IF(G1113="provision",M1113+H1113,IF(G1113="recoleccion",M1113-H1113,"No aplica"))</f>
        <v>500000000</v>
      </c>
      <c r="P1113" s="26" t="n">
        <v>128831</v>
      </c>
    </row>
    <row r="1114">
      <c r="A1114" t="inlineStr">
        <is>
          <t>PRAGMA</t>
        </is>
      </c>
      <c r="B1114" t="inlineStr">
        <is>
          <t>M1</t>
        </is>
      </c>
      <c r="C1114" t="inlineStr">
        <is>
          <t>Cali</t>
        </is>
      </c>
      <c r="D1114" t="inlineStr">
        <is>
          <t>8547</t>
        </is>
      </c>
      <c r="E1114" t="inlineStr">
        <is>
          <t>TDV</t>
        </is>
      </c>
      <c r="F1114" s="23" t="n">
        <v>46271</v>
      </c>
      <c r="G1114" t="inlineStr">
        <is>
          <t>provision</t>
        </is>
      </c>
      <c r="H1114" s="26" t="n">
        <v>425349538</v>
      </c>
      <c r="I1114" t="inlineStr">
        <is>
          <t>bajo</t>
        </is>
      </c>
      <c r="J1114" t="inlineStr">
        <is>
          <t>RN-11 y RN-34: provision hasta el cupo operativo antes de bajar del 8 %</t>
        </is>
      </c>
      <c r="K1114" t="inlineStr">
        <is>
          <t>Provision en la manana, antes del pagado: con el pronostico, sin provision el saldo bajaria del 8 % del cupo ese dia. Lleva el saldo de 74.650.462 a 500.000.000 COP (cupo 500.000.000). Equipo administrado por TDV.</t>
        </is>
      </c>
      <c r="L1114" s="26" t="n">
        <v>500000000</v>
      </c>
      <c r="M1114" s="26" t="n">
        <v>74650462</v>
      </c>
      <c r="N1114" s="27">
        <f>IF(ISNUMBER(M1114),M1114/L1114,"No aplica")</f>
        <v>0.149300924</v>
      </c>
      <c r="O1114" s="25">
        <f>IF(G1114="provision",M1114+H1114,IF(G1114="recoleccion",M1114-H1114,"No aplica"))</f>
        <v>500000000</v>
      </c>
      <c r="P1114" s="26" t="n">
        <v>232236</v>
      </c>
    </row>
    <row r="1115">
      <c r="A1115" t="inlineStr">
        <is>
          <t>PRAGMA</t>
        </is>
      </c>
      <c r="B1115" t="inlineStr">
        <is>
          <t>M1</t>
        </is>
      </c>
      <c r="C1115" t="inlineStr">
        <is>
          <t>Cali</t>
        </is>
      </c>
      <c r="D1115" t="inlineStr">
        <is>
          <t>8547</t>
        </is>
      </c>
      <c r="E1115" t="inlineStr">
        <is>
          <t>TDV</t>
        </is>
      </c>
      <c r="F1115" s="23" t="n">
        <v>46279</v>
      </c>
      <c r="G1115" t="inlineStr">
        <is>
          <t>provision</t>
        </is>
      </c>
      <c r="H1115" s="26" t="n">
        <v>432122867</v>
      </c>
      <c r="I1115" t="inlineStr">
        <is>
          <t>bajo</t>
        </is>
      </c>
      <c r="J1115" t="inlineStr">
        <is>
          <t>RN-11 y RN-34: provision hasta el cupo operativo antes de bajar del 8 %</t>
        </is>
      </c>
      <c r="K1115" t="inlineStr">
        <is>
          <t>Provision en la manana, antes del pagado: con el pronostico, sin provision el saldo bajaria del 8 % del cupo ese dia. Lleva el saldo de 67.877.133 a 500.000.000 COP (cupo 500.000.000). Equipo administrado por TDV.</t>
        </is>
      </c>
      <c r="L1115" s="26" t="n">
        <v>500000000</v>
      </c>
      <c r="M1115" s="26" t="n">
        <v>67877133</v>
      </c>
      <c r="N1115" s="27">
        <f>IF(ISNUMBER(M1115),M1115/L1115,"No aplica")</f>
        <v>0.135754266</v>
      </c>
      <c r="O1115" s="25">
        <f>IF(G1115="provision",M1115+H1115,IF(G1115="recoleccion",M1115-H1115,"No aplica"))</f>
        <v>500000000</v>
      </c>
      <c r="P1115" s="26" t="n">
        <v>177272</v>
      </c>
    </row>
    <row r="1116">
      <c r="A1116" t="inlineStr">
        <is>
          <t>PRAGMA</t>
        </is>
      </c>
      <c r="B1116" t="inlineStr">
        <is>
          <t>M1</t>
        </is>
      </c>
      <c r="C1116" t="inlineStr">
        <is>
          <t>Cali</t>
        </is>
      </c>
      <c r="D1116" t="inlineStr">
        <is>
          <t>8637</t>
        </is>
      </c>
      <c r="E1116" t="inlineStr">
        <is>
          <t>TDV</t>
        </is>
      </c>
      <c r="F1116" s="23" t="n">
        <v>46269</v>
      </c>
      <c r="G1116" t="inlineStr">
        <is>
          <t>provision</t>
        </is>
      </c>
      <c r="H1116" s="26" t="n">
        <v>415343199</v>
      </c>
      <c r="I1116" t="inlineStr">
        <is>
          <t>bajo</t>
        </is>
      </c>
      <c r="J1116" t="inlineStr">
        <is>
          <t>RN-11 y RN-34: provision hasta el cupo operativo antes de bajar del 8 %</t>
        </is>
      </c>
      <c r="K1116" t="inlineStr">
        <is>
          <t>Provision en la manana, antes del pagado: con el pronostico, sin provision el saldo bajaria del 8 % del cupo ese dia. Lleva el saldo de 84.656.801 a 500.000.000 COP (cupo 500.000.000). Equipo administrado por TDV.</t>
        </is>
      </c>
      <c r="L1116" s="26" t="n">
        <v>500000000</v>
      </c>
      <c r="M1116" s="26" t="n">
        <v>84656801</v>
      </c>
      <c r="N1116" s="27">
        <f>IF(ISNUMBER(M1116),M1116/L1116,"No aplica")</f>
        <v>0.169313602</v>
      </c>
      <c r="O1116" s="25">
        <f>IF(G1116="provision",M1116+H1116,IF(G1116="recoleccion",M1116-H1116,"No aplica"))</f>
        <v>500000000</v>
      </c>
      <c r="P1116" s="26" t="n">
        <v>179389</v>
      </c>
    </row>
    <row r="1117">
      <c r="A1117" t="inlineStr">
        <is>
          <t>PRAGMA</t>
        </is>
      </c>
      <c r="B1117" t="inlineStr">
        <is>
          <t>M1</t>
        </is>
      </c>
      <c r="C1117" t="inlineStr">
        <is>
          <t>Cali</t>
        </is>
      </c>
      <c r="D1117" t="inlineStr">
        <is>
          <t>8637</t>
        </is>
      </c>
      <c r="E1117" t="inlineStr">
        <is>
          <t>TDV</t>
        </is>
      </c>
      <c r="F1117" s="23" t="n">
        <v>46274</v>
      </c>
      <c r="G1117" t="inlineStr">
        <is>
          <t>provision</t>
        </is>
      </c>
      <c r="H1117" s="26" t="n">
        <v>451148387</v>
      </c>
      <c r="I1117" t="inlineStr">
        <is>
          <t>bajo</t>
        </is>
      </c>
      <c r="J1117" t="inlineStr">
        <is>
          <t>RN-11 y RN-34: provision hasta el cupo operativo antes de bajar del 8 %</t>
        </is>
      </c>
      <c r="K1117" t="inlineStr">
        <is>
          <t>Provision en la manana, antes del pagado: con el pronostico, sin provision el saldo bajaria del 8 % del cupo ese dia. Lleva el saldo de 48.851.613 a 500.000.000 COP (cupo 500.000.000). Equipo administrado por TDV.</t>
        </is>
      </c>
      <c r="L1117" s="26" t="n">
        <v>500000000</v>
      </c>
      <c r="M1117" s="26" t="n">
        <v>48851613</v>
      </c>
      <c r="N1117" s="27">
        <f>IF(ISNUMBER(M1117),M1117/L1117,"No aplica")</f>
        <v>0.097703226</v>
      </c>
      <c r="O1117" s="25">
        <f>IF(G1117="provision",M1117+H1117,IF(G1117="recoleccion",M1117-H1117,"No aplica"))</f>
        <v>500000000</v>
      </c>
      <c r="P1117" s="26" t="n">
        <v>193245</v>
      </c>
    </row>
    <row r="1118">
      <c r="A1118" t="inlineStr">
        <is>
          <t>PRAGMA</t>
        </is>
      </c>
      <c r="B1118" t="inlineStr">
        <is>
          <t>M1</t>
        </is>
      </c>
      <c r="C1118" t="inlineStr">
        <is>
          <t>Cali</t>
        </is>
      </c>
      <c r="D1118" t="inlineStr">
        <is>
          <t>8637</t>
        </is>
      </c>
      <c r="E1118" t="inlineStr">
        <is>
          <t>TDV</t>
        </is>
      </c>
      <c r="F1118" s="23" t="n">
        <v>46280</v>
      </c>
      <c r="G1118" t="inlineStr">
        <is>
          <t>provision</t>
        </is>
      </c>
      <c r="H1118" s="26" t="n">
        <v>429529137</v>
      </c>
      <c r="I1118" t="inlineStr">
        <is>
          <t>bajo</t>
        </is>
      </c>
      <c r="J1118" t="inlineStr">
        <is>
          <t>RN-11 y RN-34: provision hasta el cupo operativo antes de bajar del 8 %</t>
        </is>
      </c>
      <c r="K1118" t="inlineStr">
        <is>
          <t>Provision en la manana, antes del pagado: con el pronostico, sin provision el saldo bajaria del 8 % del cupo ese dia. Lleva el saldo de 70.470.863 a 500.000.000 COP (cupo 500.000.000). Equipo administrado por TDV.</t>
        </is>
      </c>
      <c r="L1118" s="26" t="n">
        <v>500000000</v>
      </c>
      <c r="M1118" s="26" t="n">
        <v>70470863</v>
      </c>
      <c r="N1118" s="27">
        <f>IF(ISNUMBER(M1118),M1118/L1118,"No aplica")</f>
        <v>0.140941726</v>
      </c>
      <c r="O1118" s="25">
        <f>IF(G1118="provision",M1118+H1118,IF(G1118="recoleccion",M1118-H1118,"No aplica"))</f>
        <v>500000000</v>
      </c>
      <c r="P1118" s="26" t="n">
        <v>184879</v>
      </c>
    </row>
    <row r="1119">
      <c r="A1119" t="inlineStr">
        <is>
          <t>PRAGMA</t>
        </is>
      </c>
      <c r="B1119" t="inlineStr">
        <is>
          <t>M1</t>
        </is>
      </c>
      <c r="C1119" t="inlineStr">
        <is>
          <t>Cali</t>
        </is>
      </c>
      <c r="D1119" t="inlineStr">
        <is>
          <t>8666</t>
        </is>
      </c>
      <c r="E1119" t="inlineStr">
        <is>
          <t>Sucursal</t>
        </is>
      </c>
      <c r="F1119" s="23" t="n">
        <v>46269</v>
      </c>
      <c r="G1119" t="inlineStr">
        <is>
          <t>provision</t>
        </is>
      </c>
      <c r="H1119" s="26" t="n">
        <v>404704080</v>
      </c>
      <c r="I1119" t="inlineStr">
        <is>
          <t>bajo</t>
        </is>
      </c>
      <c r="J1119" t="inlineStr">
        <is>
          <t>RN-11 y RN-34: provision hasta el cupo operativo antes de bajar del 8 %</t>
        </is>
      </c>
      <c r="K1119" t="inlineStr">
        <is>
          <t>Provision en la manana, antes del pagado: con el pronostico, sin provision el saldo bajaria del 8 % del cupo ese dia. Lleva el saldo de 36.295.920 a 441.000.000 COP (cupo 441.000.000). Equipo administrado por Sucursal. Sin tarifa TDV (administrado por la sucursal): costo 0 declarado.</t>
        </is>
      </c>
      <c r="L1119" s="26" t="n">
        <v>441000000</v>
      </c>
      <c r="M1119" s="26" t="n">
        <v>36295920</v>
      </c>
      <c r="N1119" s="27">
        <f>IF(ISNUMBER(M1119),M1119/L1119,"No aplica")</f>
        <v>0.08230367346938776</v>
      </c>
      <c r="O1119" s="25">
        <f>IF(G1119="provision",M1119+H1119,IF(G1119="recoleccion",M1119-H1119,"No aplica"))</f>
        <v>441000000</v>
      </c>
      <c r="P1119" s="26" t="n">
        <v>0</v>
      </c>
    </row>
    <row r="1120">
      <c r="A1120" t="inlineStr">
        <is>
          <t>PRAGMA</t>
        </is>
      </c>
      <c r="B1120" t="inlineStr">
        <is>
          <t>M1</t>
        </is>
      </c>
      <c r="C1120" t="inlineStr">
        <is>
          <t>Cali</t>
        </is>
      </c>
      <c r="D1120" t="inlineStr">
        <is>
          <t>8666</t>
        </is>
      </c>
      <c r="E1120" t="inlineStr">
        <is>
          <t>Sucursal</t>
        </is>
      </c>
      <c r="F1120" s="23" t="n">
        <v>46272</v>
      </c>
      <c r="G1120" t="inlineStr">
        <is>
          <t>provision</t>
        </is>
      </c>
      <c r="H1120" s="26" t="n">
        <v>330164276</v>
      </c>
      <c r="I1120" t="inlineStr">
        <is>
          <t>bajo</t>
        </is>
      </c>
      <c r="J1120" t="inlineStr">
        <is>
          <t>RN-11 y RN-34: provision hasta el cupo operativo antes de bajar del 8 %</t>
        </is>
      </c>
      <c r="K1120" t="inlineStr">
        <is>
          <t>Provision en la manana, antes del pagado: con el pronostico, sin provision el saldo bajaria del 8 % del cupo ese dia. Lleva el saldo de 110.835.724 a 441.000.000 COP (cupo 441.000.000). Equipo administrado por Sucursal. Sin tarifa TDV (administrado por la sucursal): costo 0 declarado.</t>
        </is>
      </c>
      <c r="L1120" s="26" t="n">
        <v>441000000</v>
      </c>
      <c r="M1120" s="26" t="n">
        <v>110835724</v>
      </c>
      <c r="N1120" s="27">
        <f>IF(ISNUMBER(M1120),M1120/L1120,"No aplica")</f>
        <v>0.2513281723356009</v>
      </c>
      <c r="O1120" s="25">
        <f>IF(G1120="provision",M1120+H1120,IF(G1120="recoleccion",M1120-H1120,"No aplica"))</f>
        <v>441000000</v>
      </c>
      <c r="P1120" s="26" t="n">
        <v>0</v>
      </c>
    </row>
    <row r="1121">
      <c r="A1121" t="inlineStr">
        <is>
          <t>PRAGMA</t>
        </is>
      </c>
      <c r="B1121" t="inlineStr">
        <is>
          <t>M1</t>
        </is>
      </c>
      <c r="C1121" t="inlineStr">
        <is>
          <t>Cali</t>
        </is>
      </c>
      <c r="D1121" t="inlineStr">
        <is>
          <t>8666</t>
        </is>
      </c>
      <c r="E1121" t="inlineStr">
        <is>
          <t>Sucursal</t>
        </is>
      </c>
      <c r="F1121" s="23" t="n">
        <v>46276</v>
      </c>
      <c r="G1121" t="inlineStr">
        <is>
          <t>provision</t>
        </is>
      </c>
      <c r="H1121" s="26" t="n">
        <v>332879879</v>
      </c>
      <c r="I1121" t="inlineStr">
        <is>
          <t>bajo</t>
        </is>
      </c>
      <c r="J1121" t="inlineStr">
        <is>
          <t>RN-11 y RN-34: provision hasta el cupo operativo antes de bajar del 8 %</t>
        </is>
      </c>
      <c r="K1121" t="inlineStr">
        <is>
          <t>Provision en la manana, antes del pagado: con el pronostico, sin provision el saldo bajaria del 8 % del cupo ese dia. Lleva el saldo de 108.120.121 a 441.000.000 COP (cupo 441.000.000). Equipo administrado por Sucursal. Sin tarifa TDV (administrado por la sucursal): costo 0 declarado.</t>
        </is>
      </c>
      <c r="L1121" s="26" t="n">
        <v>441000000</v>
      </c>
      <c r="M1121" s="26" t="n">
        <v>108120121</v>
      </c>
      <c r="N1121" s="27">
        <f>IF(ISNUMBER(M1121),M1121/L1121,"No aplica")</f>
        <v>0.24517034240362812</v>
      </c>
      <c r="O1121" s="25">
        <f>IF(G1121="provision",M1121+H1121,IF(G1121="recoleccion",M1121-H1121,"No aplica"))</f>
        <v>441000000</v>
      </c>
      <c r="P1121" s="26" t="n">
        <v>0</v>
      </c>
    </row>
    <row r="1122">
      <c r="A1122" t="inlineStr">
        <is>
          <t>PRAGMA</t>
        </is>
      </c>
      <c r="B1122" t="inlineStr">
        <is>
          <t>M1</t>
        </is>
      </c>
      <c r="C1122" t="inlineStr">
        <is>
          <t>Cali</t>
        </is>
      </c>
      <c r="D1122" t="inlineStr">
        <is>
          <t>8666</t>
        </is>
      </c>
      <c r="E1122" t="inlineStr">
        <is>
          <t>Sucursal</t>
        </is>
      </c>
      <c r="F1122" s="23" t="n">
        <v>46280</v>
      </c>
      <c r="G1122" t="inlineStr">
        <is>
          <t>provision</t>
        </is>
      </c>
      <c r="H1122" s="26" t="n">
        <v>333538465</v>
      </c>
      <c r="I1122" t="inlineStr">
        <is>
          <t>bajo</t>
        </is>
      </c>
      <c r="J1122" t="inlineStr">
        <is>
          <t>RN-11 y RN-34: provision hasta el cupo operativo antes de bajar del 8 %</t>
        </is>
      </c>
      <c r="K1122" t="inlineStr">
        <is>
          <t>Provision en la manana, antes del pagado: con el pronostico, sin provision el saldo bajaria del 8 % del cupo ese dia. Lleva el saldo de 107.461.535 a 441.000.000 COP (cupo 441.000.000). Equipo administrado por Sucursal. Sin tarifa TDV (administrado por la sucursal): costo 0 declarado.</t>
        </is>
      </c>
      <c r="L1122" s="26" t="n">
        <v>441000000</v>
      </c>
      <c r="M1122" s="26" t="n">
        <v>107461535</v>
      </c>
      <c r="N1122" s="27">
        <f>IF(ISNUMBER(M1122),M1122/L1122,"No aplica")</f>
        <v>0.2436769501133787</v>
      </c>
      <c r="O1122" s="25">
        <f>IF(G1122="provision",M1122+H1122,IF(G1122="recoleccion",M1122-H1122,"No aplica"))</f>
        <v>441000000</v>
      </c>
      <c r="P1122" s="26" t="n">
        <v>0</v>
      </c>
    </row>
    <row r="1123">
      <c r="A1123" t="inlineStr">
        <is>
          <t>PRAGMA</t>
        </is>
      </c>
      <c r="B1123" t="inlineStr">
        <is>
          <t>M1</t>
        </is>
      </c>
      <c r="C1123" t="inlineStr">
        <is>
          <t>Cali</t>
        </is>
      </c>
      <c r="D1123" t="inlineStr">
        <is>
          <t>8673</t>
        </is>
      </c>
      <c r="E1123" t="inlineStr">
        <is>
          <t>TDV</t>
        </is>
      </c>
      <c r="F1123" s="23" t="n">
        <v>46266</v>
      </c>
      <c r="G1123" t="inlineStr">
        <is>
          <t>sin_accion</t>
        </is>
      </c>
      <c r="H1123" s="26" t="n">
        <v>0</v>
      </c>
      <c r="I1123" t="inlineStr">
        <is>
          <t>bajo</t>
        </is>
      </c>
      <c r="J1123" t="inlineStr">
        <is>
          <t>RN-02: una fila sin_accion</t>
        </is>
      </c>
      <c r="K1123" t="inlineStr">
        <is>
          <t>Sin accion en el horizonte: con el pronostico, el saldo se mantiene entre el umbral de agotamiento y el cupo sin necesidad de provision ni recoleccion.</t>
        </is>
      </c>
      <c r="L1123" s="26" t="n">
        <v>411000000</v>
      </c>
      <c r="M1123" s="26" t="inlineStr">
        <is>
          <t>No aplica</t>
        </is>
      </c>
      <c r="N1123" s="27" t="str">
        <f>IF(ISNUMBER(M1123),M1123/L1123,"No aplica")</f>
        <v>No aplica</v>
      </c>
      <c r="O1123" s="25" t="str">
        <f>IF(G1123="provision",M1123+H1123,IF(G1123="recoleccion",M1123-H1123,"No aplica"))</f>
        <v>No aplica</v>
      </c>
      <c r="P1123" s="26" t="inlineStr">
        <is>
          <t>No aplica</t>
        </is>
      </c>
    </row>
    <row r="1124">
      <c r="A1124" t="inlineStr">
        <is>
          <t>PRAGMA</t>
        </is>
      </c>
      <c r="B1124" t="inlineStr">
        <is>
          <t>M1</t>
        </is>
      </c>
      <c r="C1124" t="inlineStr">
        <is>
          <t>Cali</t>
        </is>
      </c>
      <c r="D1124" t="inlineStr">
        <is>
          <t>8688</t>
        </is>
      </c>
      <c r="E1124" t="inlineStr">
        <is>
          <t>TDV</t>
        </is>
      </c>
      <c r="F1124" s="23" t="n">
        <v>46267</v>
      </c>
      <c r="G1124" t="inlineStr">
        <is>
          <t>provision</t>
        </is>
      </c>
      <c r="H1124" s="26" t="n">
        <v>210972332</v>
      </c>
      <c r="I1124" t="inlineStr">
        <is>
          <t>bajo</t>
        </is>
      </c>
      <c r="J1124" t="inlineStr">
        <is>
          <t>RN-11 y RN-34: provision hasta el cupo operativo antes de bajar del 8 %</t>
        </is>
      </c>
      <c r="K1124" t="inlineStr">
        <is>
          <t>Provision en la manana, antes del pagado: con el pronostico, sin provision el saldo bajaria del 8 % del cupo ese dia. Lleva el saldo de 194.027.668 a 405.000.000 COP (cupo 405.000.000). Equipo administrado por TDV.</t>
        </is>
      </c>
      <c r="L1124" s="26" t="n">
        <v>405000000</v>
      </c>
      <c r="M1124" s="26" t="n">
        <v>194027668</v>
      </c>
      <c r="N1124" s="27">
        <f>IF(ISNUMBER(M1124),M1124/L1124,"No aplica")</f>
        <v>0.4790806617283951</v>
      </c>
      <c r="O1124" s="25">
        <f>IF(G1124="provision",M1124+H1124,IF(G1124="recoleccion",M1124-H1124,"No aplica"))</f>
        <v>405000000</v>
      </c>
      <c r="P1124" s="26" t="n">
        <v>100297</v>
      </c>
    </row>
    <row r="1125">
      <c r="A1125" t="inlineStr">
        <is>
          <t>PRAGMA</t>
        </is>
      </c>
      <c r="B1125" t="inlineStr">
        <is>
          <t>M1</t>
        </is>
      </c>
      <c r="C1125" t="inlineStr">
        <is>
          <t>Cali</t>
        </is>
      </c>
      <c r="D1125" t="inlineStr">
        <is>
          <t>8688</t>
        </is>
      </c>
      <c r="E1125" t="inlineStr">
        <is>
          <t>TDV</t>
        </is>
      </c>
      <c r="F1125" s="23" t="n">
        <v>46269</v>
      </c>
      <c r="G1125" t="inlineStr">
        <is>
          <t>provision</t>
        </is>
      </c>
      <c r="H1125" s="26" t="n">
        <v>324596342</v>
      </c>
      <c r="I1125" t="inlineStr">
        <is>
          <t>bajo</t>
        </is>
      </c>
      <c r="J1125" t="inlineStr">
        <is>
          <t>RN-11 y RN-34: provision hasta el cupo operativo antes de bajar del 8 %</t>
        </is>
      </c>
      <c r="K1125" t="inlineStr">
        <is>
          <t>Provision en la manana, antes del pagado: con el pronostico, sin provision el saldo bajaria del 8 % del cupo ese dia. Lleva el saldo de 80.403.658 a 405.000.000 COP (cupo 405.000.000). Equipo administrado por TDV.</t>
        </is>
      </c>
      <c r="L1125" s="26" t="n">
        <v>405000000</v>
      </c>
      <c r="M1125" s="26" t="n">
        <v>80403658</v>
      </c>
      <c r="N1125" s="27">
        <f>IF(ISNUMBER(M1125),M1125/L1125,"No aplica")</f>
        <v>0.19852755061728394</v>
      </c>
      <c r="O1125" s="25">
        <f>IF(G1125="provision",M1125+H1125,IF(G1125="recoleccion",M1125-H1125,"No aplica"))</f>
        <v>405000000</v>
      </c>
      <c r="P1125" s="26" t="n">
        <v>144270</v>
      </c>
    </row>
    <row r="1126">
      <c r="A1126" t="inlineStr">
        <is>
          <t>PRAGMA</t>
        </is>
      </c>
      <c r="B1126" t="inlineStr">
        <is>
          <t>M1</t>
        </is>
      </c>
      <c r="C1126" t="inlineStr">
        <is>
          <t>Cali</t>
        </is>
      </c>
      <c r="D1126" t="inlineStr">
        <is>
          <t>8688</t>
        </is>
      </c>
      <c r="E1126" t="inlineStr">
        <is>
          <t>TDV</t>
        </is>
      </c>
      <c r="F1126" s="23" t="n">
        <v>46271</v>
      </c>
      <c r="G1126" t="inlineStr">
        <is>
          <t>provision</t>
        </is>
      </c>
      <c r="H1126" s="26" t="n">
        <v>324547794</v>
      </c>
      <c r="I1126" t="inlineStr">
        <is>
          <t>bajo</t>
        </is>
      </c>
      <c r="J1126" t="inlineStr">
        <is>
          <t>RN-11 y RN-34: provision hasta el cupo operativo antes de bajar del 8 %</t>
        </is>
      </c>
      <c r="K1126" t="inlineStr">
        <is>
          <t>Provision en la manana, antes del pagado: con el pronostico, sin provision el saldo bajaria del 8 % del cupo ese dia. Lleva el saldo de 80.452.206 a 405.000.000 COP (cupo 405.000.000). Equipo administrado por TDV.</t>
        </is>
      </c>
      <c r="L1126" s="26" t="n">
        <v>405000000</v>
      </c>
      <c r="M1126" s="26" t="n">
        <v>80452206</v>
      </c>
      <c r="N1126" s="27">
        <f>IF(ISNUMBER(M1126),M1126/L1126,"No aplica")</f>
        <v>0.19864742222222223</v>
      </c>
      <c r="O1126" s="25">
        <f>IF(G1126="provision",M1126+H1126,IF(G1126="recoleccion",M1126-H1126,"No aplica"))</f>
        <v>405000000</v>
      </c>
      <c r="P1126" s="26" t="n">
        <v>186289</v>
      </c>
    </row>
    <row r="1127">
      <c r="A1127" t="inlineStr">
        <is>
          <t>PRAGMA</t>
        </is>
      </c>
      <c r="B1127" t="inlineStr">
        <is>
          <t>M1</t>
        </is>
      </c>
      <c r="C1127" t="inlineStr">
        <is>
          <t>Cali</t>
        </is>
      </c>
      <c r="D1127" t="inlineStr">
        <is>
          <t>8688</t>
        </is>
      </c>
      <c r="E1127" t="inlineStr">
        <is>
          <t>TDV</t>
        </is>
      </c>
      <c r="F1127" s="23" t="n">
        <v>46274</v>
      </c>
      <c r="G1127" t="inlineStr">
        <is>
          <t>provision</t>
        </is>
      </c>
      <c r="H1127" s="26" t="n">
        <v>328414561</v>
      </c>
      <c r="I1127" t="inlineStr">
        <is>
          <t>bajo</t>
        </is>
      </c>
      <c r="J1127" t="inlineStr">
        <is>
          <t>RN-11 y RN-34: provision hasta el cupo operativo antes de bajar del 8 %</t>
        </is>
      </c>
      <c r="K1127" t="inlineStr">
        <is>
          <t>Provision en la manana, antes del pagado: con el pronostico, sin provision el saldo bajaria del 8 % del cupo ese dia. Lleva el saldo de 76.585.439 a 405.000.000 COP (cupo 405.000.000). Equipo administrado por TDV.</t>
        </is>
      </c>
      <c r="L1127" s="26" t="n">
        <v>405000000</v>
      </c>
      <c r="M1127" s="26" t="n">
        <v>76585439</v>
      </c>
      <c r="N1127" s="27">
        <f>IF(ISNUMBER(M1127),M1127/L1127,"No aplica")</f>
        <v>0.18909984938271604</v>
      </c>
      <c r="O1127" s="25">
        <f>IF(G1127="provision",M1127+H1127,IF(G1127="recoleccion",M1127-H1127,"No aplica"))</f>
        <v>405000000</v>
      </c>
      <c r="P1127" s="26" t="n">
        <v>145747</v>
      </c>
    </row>
    <row r="1128">
      <c r="A1128" t="inlineStr">
        <is>
          <t>PRAGMA</t>
        </is>
      </c>
      <c r="B1128" t="inlineStr">
        <is>
          <t>M1</t>
        </is>
      </c>
      <c r="C1128" t="inlineStr">
        <is>
          <t>Cali</t>
        </is>
      </c>
      <c r="D1128" t="inlineStr">
        <is>
          <t>8688</t>
        </is>
      </c>
      <c r="E1128" t="inlineStr">
        <is>
          <t>TDV</t>
        </is>
      </c>
      <c r="F1128" s="23" t="n">
        <v>46277</v>
      </c>
      <c r="G1128" t="inlineStr">
        <is>
          <t>provision</t>
        </is>
      </c>
      <c r="H1128" s="26" t="n">
        <v>359177955</v>
      </c>
      <c r="I1128" t="inlineStr">
        <is>
          <t>bajo</t>
        </is>
      </c>
      <c r="J1128" t="inlineStr">
        <is>
          <t>RN-11 y RN-34: provision hasta el cupo operativo antes de bajar del 8 %</t>
        </is>
      </c>
      <c r="K1128" t="inlineStr">
        <is>
          <t>Provision en la manana, antes del pagado: con el pronostico, sin provision el saldo bajaria del 8 % del cupo ese dia. Lleva el saldo de 45.822.045 a 405.000.000 COP (cupo 405.000.000). Equipo administrado por TDV.</t>
        </is>
      </c>
      <c r="L1128" s="26" t="n">
        <v>405000000</v>
      </c>
      <c r="M1128" s="26" t="n">
        <v>45822045</v>
      </c>
      <c r="N1128" s="27">
        <f>IF(ISNUMBER(M1128),M1128/L1128,"No aplica")</f>
        <v>0.11314085185185185</v>
      </c>
      <c r="O1128" s="25">
        <f>IF(G1128="provision",M1128+H1128,IF(G1128="recoleccion",M1128-H1128,"No aplica"))</f>
        <v>405000000</v>
      </c>
      <c r="P1128" s="26" t="n">
        <v>157653</v>
      </c>
    </row>
    <row r="1129">
      <c r="A1129" t="inlineStr">
        <is>
          <t>PRAGMA</t>
        </is>
      </c>
      <c r="B1129" t="inlineStr">
        <is>
          <t>M1</t>
        </is>
      </c>
      <c r="C1129" t="inlineStr">
        <is>
          <t>Cali</t>
        </is>
      </c>
      <c r="D1129" t="inlineStr">
        <is>
          <t>8688</t>
        </is>
      </c>
      <c r="E1129" t="inlineStr">
        <is>
          <t>TDV</t>
        </is>
      </c>
      <c r="F1129" s="23" t="n">
        <v>46280</v>
      </c>
      <c r="G1129" t="inlineStr">
        <is>
          <t>provision</t>
        </is>
      </c>
      <c r="H1129" s="26" t="n">
        <v>334877504</v>
      </c>
      <c r="I1129" t="inlineStr">
        <is>
          <t>bajo</t>
        </is>
      </c>
      <c r="J1129" t="inlineStr">
        <is>
          <t>RN-11 y RN-34: provision hasta el cupo operativo antes de bajar del 8 %</t>
        </is>
      </c>
      <c r="K1129" t="inlineStr">
        <is>
          <t>Provision en la manana, antes del pagado: con el pronostico, sin provision el saldo bajaria del 8 % del cupo ese dia. Lleva el saldo de 70.122.496 a 405.000.000 COP (cupo 405.000.000). Equipo administrado por TDV.</t>
        </is>
      </c>
      <c r="L1129" s="26" t="n">
        <v>405000000</v>
      </c>
      <c r="M1129" s="26" t="n">
        <v>70122496</v>
      </c>
      <c r="N1129" s="27">
        <f>IF(ISNUMBER(M1129),M1129/L1129,"No aplica")</f>
        <v>0.17314196543209875</v>
      </c>
      <c r="O1129" s="25">
        <f>IF(G1129="provision",M1129+H1129,IF(G1129="recoleccion",M1129-H1129,"No aplica"))</f>
        <v>405000000</v>
      </c>
      <c r="P1129" s="26" t="n">
        <v>148249</v>
      </c>
    </row>
    <row r="1130">
      <c r="A1130" t="inlineStr">
        <is>
          <t>PRAGMA</t>
        </is>
      </c>
      <c r="B1130" t="inlineStr">
        <is>
          <t>M1</t>
        </is>
      </c>
      <c r="C1130" t="inlineStr">
        <is>
          <t>Cali</t>
        </is>
      </c>
      <c r="D1130" t="inlineStr">
        <is>
          <t>8712</t>
        </is>
      </c>
      <c r="E1130" t="inlineStr">
        <is>
          <t>TDV</t>
        </is>
      </c>
      <c r="F1130" s="23" t="n">
        <v>46269</v>
      </c>
      <c r="G1130" t="inlineStr">
        <is>
          <t>provision</t>
        </is>
      </c>
      <c r="H1130" s="26" t="n">
        <v>362324079</v>
      </c>
      <c r="I1130" t="inlineStr">
        <is>
          <t>bajo</t>
        </is>
      </c>
      <c r="J1130" t="inlineStr">
        <is>
          <t>RN-11 y RN-34: provision hasta el cupo operativo antes de bajar del 8 %</t>
        </is>
      </c>
      <c r="K1130" t="inlineStr">
        <is>
          <t>Provision en la manana, antes del pagado: con el pronostico, sin provision el saldo bajaria del 8 % del cupo ese dia. Lleva el saldo de 48.675.921 a 411.000.000 COP (cupo 411.000.000). Equipo administrado por TDV.</t>
        </is>
      </c>
      <c r="L1130" s="26" t="n">
        <v>411000000</v>
      </c>
      <c r="M1130" s="26" t="n">
        <v>48675921</v>
      </c>
      <c r="N1130" s="27">
        <f>IF(ISNUMBER(M1130),M1130/L1130,"No aplica")</f>
        <v>0.11843289781021898</v>
      </c>
      <c r="O1130" s="25">
        <f>IF(G1130="provision",M1130+H1130,IF(G1130="recoleccion",M1130-H1130,"No aplica"))</f>
        <v>411000000</v>
      </c>
      <c r="P1130" s="26" t="n">
        <v>182056</v>
      </c>
    </row>
    <row r="1131">
      <c r="A1131" t="inlineStr">
        <is>
          <t>PRAGMA</t>
        </is>
      </c>
      <c r="B1131" t="inlineStr">
        <is>
          <t>M1</t>
        </is>
      </c>
      <c r="C1131" t="inlineStr">
        <is>
          <t>Cali</t>
        </is>
      </c>
      <c r="D1131" t="inlineStr">
        <is>
          <t>8712</t>
        </is>
      </c>
      <c r="E1131" t="inlineStr">
        <is>
          <t>TDV</t>
        </is>
      </c>
      <c r="F1131" s="23" t="n">
        <v>46272</v>
      </c>
      <c r="G1131" t="inlineStr">
        <is>
          <t>provision</t>
        </is>
      </c>
      <c r="H1131" s="26" t="n">
        <v>302958550</v>
      </c>
      <c r="I1131" t="inlineStr">
        <is>
          <t>bajo</t>
        </is>
      </c>
      <c r="J1131" t="inlineStr">
        <is>
          <t>RN-11 y RN-34: provision hasta el cupo operativo antes de bajar del 8 %</t>
        </is>
      </c>
      <c r="K1131" t="inlineStr">
        <is>
          <t>Provision en la manana, antes del pagado: con el pronostico, sin provision el saldo bajaria del 8 % del cupo ese dia. Lleva el saldo de 108.041.450 a 411.000.000 COP (cupo 411.000.000). Equipo administrado por TDV.</t>
        </is>
      </c>
      <c r="L1131" s="26" t="n">
        <v>411000000</v>
      </c>
      <c r="M1131" s="26" t="n">
        <v>108041450</v>
      </c>
      <c r="N1131" s="27">
        <f>IF(ISNUMBER(M1131),M1131/L1131,"No aplica")</f>
        <v>0.26287457420924576</v>
      </c>
      <c r="O1131" s="25">
        <f>IF(G1131="provision",M1131+H1131,IF(G1131="recoleccion",M1131-H1131,"No aplica"))</f>
        <v>411000000</v>
      </c>
      <c r="P1131" s="26" t="n">
        <v>155223</v>
      </c>
    </row>
    <row r="1132">
      <c r="A1132" t="inlineStr">
        <is>
          <t>PRAGMA</t>
        </is>
      </c>
      <c r="B1132" t="inlineStr">
        <is>
          <t>M1</t>
        </is>
      </c>
      <c r="C1132" t="inlineStr">
        <is>
          <t>Cali</t>
        </is>
      </c>
      <c r="D1132" t="inlineStr">
        <is>
          <t>8712</t>
        </is>
      </c>
      <c r="E1132" t="inlineStr">
        <is>
          <t>TDV</t>
        </is>
      </c>
      <c r="F1132" s="23" t="n">
        <v>46276</v>
      </c>
      <c r="G1132" t="inlineStr">
        <is>
          <t>provision</t>
        </is>
      </c>
      <c r="H1132" s="26" t="n">
        <v>308216637</v>
      </c>
      <c r="I1132" t="inlineStr">
        <is>
          <t>bajo</t>
        </is>
      </c>
      <c r="J1132" t="inlineStr">
        <is>
          <t>RN-11 y RN-34: provision hasta el cupo operativo antes de bajar del 8 %</t>
        </is>
      </c>
      <c r="K1132" t="inlineStr">
        <is>
          <t>Provision en la manana, antes del pagado: con el pronostico, sin provision el saldo bajaria del 8 % del cupo ese dia. Lleva el saldo de 102.783.363 a 411.000.000 COP (cupo 411.000.000). Equipo administrado por TDV.</t>
        </is>
      </c>
      <c r="L1132" s="26" t="n">
        <v>411000000</v>
      </c>
      <c r="M1132" s="26" t="n">
        <v>102783363</v>
      </c>
      <c r="N1132" s="27">
        <f>IF(ISNUMBER(M1132),M1132/L1132,"No aplica")</f>
        <v>0.25008117518248174</v>
      </c>
      <c r="O1132" s="25">
        <f>IF(G1132="provision",M1132+H1132,IF(G1132="recoleccion",M1132-H1132,"No aplica"))</f>
        <v>411000000</v>
      </c>
      <c r="P1132" s="26" t="n">
        <v>157600</v>
      </c>
    </row>
    <row r="1133">
      <c r="A1133" t="inlineStr">
        <is>
          <t>PRAGMA</t>
        </is>
      </c>
      <c r="B1133" t="inlineStr">
        <is>
          <t>M1</t>
        </is>
      </c>
      <c r="C1133" t="inlineStr">
        <is>
          <t>Cali</t>
        </is>
      </c>
      <c r="D1133" t="inlineStr">
        <is>
          <t>8712</t>
        </is>
      </c>
      <c r="E1133" t="inlineStr">
        <is>
          <t>TDV</t>
        </is>
      </c>
      <c r="F1133" s="23" t="n">
        <v>46280</v>
      </c>
      <c r="G1133" t="inlineStr">
        <is>
          <t>provision</t>
        </is>
      </c>
      <c r="H1133" s="26" t="n">
        <v>314042465</v>
      </c>
      <c r="I1133" t="inlineStr">
        <is>
          <t>bajo</t>
        </is>
      </c>
      <c r="J1133" t="inlineStr">
        <is>
          <t>RN-11 y RN-34: provision hasta el cupo operativo antes de bajar del 8 %</t>
        </is>
      </c>
      <c r="K1133" t="inlineStr">
        <is>
          <t>Provision en la manana, antes del pagado: con el pronostico, sin provision el saldo bajaria del 8 % del cupo ese dia. Lleva el saldo de 96.957.535 a 411.000.000 COP (cupo 411.000.000). Equipo administrado por TDV.</t>
        </is>
      </c>
      <c r="L1133" s="26" t="n">
        <v>411000000</v>
      </c>
      <c r="M1133" s="26" t="n">
        <v>96957535</v>
      </c>
      <c r="N1133" s="27">
        <f>IF(ISNUMBER(M1133),M1133/L1133,"No aplica")</f>
        <v>0.23590641119221412</v>
      </c>
      <c r="O1133" s="25">
        <f>IF(G1133="provision",M1133+H1133,IF(G1133="recoleccion",M1133-H1133,"No aplica"))</f>
        <v>411000000</v>
      </c>
      <c r="P1133" s="26" t="n">
        <v>160233</v>
      </c>
    </row>
    <row r="1134">
      <c r="A1134" t="inlineStr">
        <is>
          <t>PRAGMA</t>
        </is>
      </c>
      <c r="B1134" t="inlineStr">
        <is>
          <t>M1</t>
        </is>
      </c>
      <c r="C1134" t="inlineStr">
        <is>
          <t>Cali</t>
        </is>
      </c>
      <c r="D1134" t="inlineStr">
        <is>
          <t>8718</t>
        </is>
      </c>
      <c r="E1134" t="inlineStr">
        <is>
          <t>TDV</t>
        </is>
      </c>
      <c r="F1134" s="23" t="n">
        <v>46268</v>
      </c>
      <c r="G1134" t="inlineStr">
        <is>
          <t>provision</t>
        </is>
      </c>
      <c r="H1134" s="26" t="n">
        <v>332120028</v>
      </c>
      <c r="I1134" t="inlineStr">
        <is>
          <t>bajo</t>
        </is>
      </c>
      <c r="J1134" t="inlineStr">
        <is>
          <t>RN-11 y RN-34: provision hasta el cupo operativo antes de bajar del 8 %</t>
        </is>
      </c>
      <c r="K1134" t="inlineStr">
        <is>
          <t>Provision en la manana, antes del pagado: con el pronostico, sin provision el saldo bajaria del 8 % del cupo ese dia. Lleva el saldo de 78.879.972 a 411.000.000 COP (cupo 411.000.000). Equipo administrado por TDV.</t>
        </is>
      </c>
      <c r="L1134" s="26" t="n">
        <v>411000000</v>
      </c>
      <c r="M1134" s="26" t="n">
        <v>78879972</v>
      </c>
      <c r="N1134" s="27">
        <f>IF(ISNUMBER(M1134),M1134/L1134,"No aplica")</f>
        <v>0.19192207299270073</v>
      </c>
      <c r="O1134" s="25">
        <f>IF(G1134="provision",M1134+H1134,IF(G1134="recoleccion",M1134-H1134,"No aplica"))</f>
        <v>411000000</v>
      </c>
      <c r="P1134" s="26" t="n">
        <v>147181</v>
      </c>
    </row>
    <row r="1135">
      <c r="A1135" t="inlineStr">
        <is>
          <t>PRAGMA</t>
        </is>
      </c>
      <c r="B1135" t="inlineStr">
        <is>
          <t>M1</t>
        </is>
      </c>
      <c r="C1135" t="inlineStr">
        <is>
          <t>Cali</t>
        </is>
      </c>
      <c r="D1135" t="inlineStr">
        <is>
          <t>8718</t>
        </is>
      </c>
      <c r="E1135" t="inlineStr">
        <is>
          <t>TDV</t>
        </is>
      </c>
      <c r="F1135" s="23" t="n">
        <v>46270</v>
      </c>
      <c r="G1135" t="inlineStr">
        <is>
          <t>provision</t>
        </is>
      </c>
      <c r="H1135" s="26" t="n">
        <v>273599126</v>
      </c>
      <c r="I1135" t="inlineStr">
        <is>
          <t>bajo</t>
        </is>
      </c>
      <c r="J1135" t="inlineStr">
        <is>
          <t>RN-11 y RN-34: provision hasta el cupo operativo antes de bajar del 8 %</t>
        </is>
      </c>
      <c r="K1135" t="inlineStr">
        <is>
          <t>Provision en la manana, antes del pagado: con el pronostico, sin provision el saldo bajaria del 8 % del cupo ese dia. Lleva el saldo de 137.400.874 a 411.000.000 COP (cupo 411.000.000). Equipo administrado por TDV.</t>
        </is>
      </c>
      <c r="L1135" s="26" t="n">
        <v>411000000</v>
      </c>
      <c r="M1135" s="26" t="n">
        <v>137400874</v>
      </c>
      <c r="N1135" s="27">
        <f>IF(ISNUMBER(M1135),M1135/L1135,"No aplica")</f>
        <v>0.33430869586374695</v>
      </c>
      <c r="O1135" s="25">
        <f>IF(G1135="provision",M1135+H1135,IF(G1135="recoleccion",M1135-H1135,"No aplica"))</f>
        <v>411000000</v>
      </c>
      <c r="P1135" s="26" t="n">
        <v>124534</v>
      </c>
    </row>
    <row r="1136">
      <c r="A1136" t="inlineStr">
        <is>
          <t>PRAGMA</t>
        </is>
      </c>
      <c r="B1136" t="inlineStr">
        <is>
          <t>M1</t>
        </is>
      </c>
      <c r="C1136" t="inlineStr">
        <is>
          <t>Cali</t>
        </is>
      </c>
      <c r="D1136" t="inlineStr">
        <is>
          <t>8718</t>
        </is>
      </c>
      <c r="E1136" t="inlineStr">
        <is>
          <t>TDV</t>
        </is>
      </c>
      <c r="F1136" s="23" t="n">
        <v>46274</v>
      </c>
      <c r="G1136" t="inlineStr">
        <is>
          <t>provision</t>
        </is>
      </c>
      <c r="H1136" s="26" t="n">
        <v>365372284</v>
      </c>
      <c r="I1136" t="inlineStr">
        <is>
          <t>bajo</t>
        </is>
      </c>
      <c r="J1136" t="inlineStr">
        <is>
          <t>RN-11 y RN-34: provision hasta el cupo operativo antes de bajar del 8 %</t>
        </is>
      </c>
      <c r="K1136" t="inlineStr">
        <is>
          <t>Provision en la manana, antes del pagado: con el pronostico, sin provision el saldo bajaria del 8 % del cupo ese dia. Lleva el saldo de 45.627.716 a 411.000.000 COP (cupo 411.000.000). Equipo administrado por TDV.</t>
        </is>
      </c>
      <c r="L1136" s="26" t="n">
        <v>411000000</v>
      </c>
      <c r="M1136" s="26" t="n">
        <v>45627716</v>
      </c>
      <c r="N1136" s="27">
        <f>IF(ISNUMBER(M1136),M1136/L1136,"No aplica")</f>
        <v>0.1110163406326034</v>
      </c>
      <c r="O1136" s="25">
        <f>IF(G1136="provision",M1136+H1136,IF(G1136="recoleccion",M1136-H1136,"No aplica"))</f>
        <v>411000000</v>
      </c>
      <c r="P1136" s="26" t="n">
        <v>160050</v>
      </c>
    </row>
    <row r="1137">
      <c r="A1137" t="inlineStr">
        <is>
          <t>PRAGMA</t>
        </is>
      </c>
      <c r="B1137" t="inlineStr">
        <is>
          <t>M1</t>
        </is>
      </c>
      <c r="C1137" t="inlineStr">
        <is>
          <t>Cali</t>
        </is>
      </c>
      <c r="D1137" t="inlineStr">
        <is>
          <t>8718</t>
        </is>
      </c>
      <c r="E1137" t="inlineStr">
        <is>
          <t>TDV</t>
        </is>
      </c>
      <c r="F1137" s="23" t="n">
        <v>46277</v>
      </c>
      <c r="G1137" t="inlineStr">
        <is>
          <t>provision</t>
        </is>
      </c>
      <c r="H1137" s="26" t="n">
        <v>332160945</v>
      </c>
      <c r="I1137" t="inlineStr">
        <is>
          <t>bajo</t>
        </is>
      </c>
      <c r="J1137" t="inlineStr">
        <is>
          <t>RN-11 y RN-34: provision hasta el cupo operativo antes de bajar del 8 %</t>
        </is>
      </c>
      <c r="K1137" t="inlineStr">
        <is>
          <t>Provision en la manana, antes del pagado: con el pronostico, sin provision el saldo bajaria del 8 % del cupo ese dia. Lleva el saldo de 78.839.055 a 411.000.000 COP (cupo 411.000.000). Equipo administrado por TDV.</t>
        </is>
      </c>
      <c r="L1137" s="26" t="n">
        <v>411000000</v>
      </c>
      <c r="M1137" s="26" t="n">
        <v>78839055</v>
      </c>
      <c r="N1137" s="27">
        <f>IF(ISNUMBER(M1137),M1137/L1137,"No aplica")</f>
        <v>0.19182251824817517</v>
      </c>
      <c r="O1137" s="25">
        <f>IF(G1137="provision",M1137+H1137,IF(G1137="recoleccion",M1137-H1137,"No aplica"))</f>
        <v>411000000</v>
      </c>
      <c r="P1137" s="26" t="n">
        <v>147197</v>
      </c>
    </row>
    <row r="1138">
      <c r="A1138" t="inlineStr">
        <is>
          <t>PRAGMA</t>
        </is>
      </c>
      <c r="B1138" t="inlineStr">
        <is>
          <t>M1</t>
        </is>
      </c>
      <c r="C1138" t="inlineStr">
        <is>
          <t>Cali</t>
        </is>
      </c>
      <c r="D1138" t="inlineStr">
        <is>
          <t>8718</t>
        </is>
      </c>
      <c r="E1138" t="inlineStr">
        <is>
          <t>TDV</t>
        </is>
      </c>
      <c r="F1138" s="23" t="n">
        <v>46280</v>
      </c>
      <c r="G1138" t="inlineStr">
        <is>
          <t>provision</t>
        </is>
      </c>
      <c r="H1138" s="26" t="n">
        <v>236100775</v>
      </c>
      <c r="I1138" t="inlineStr">
        <is>
          <t>bajo</t>
        </is>
      </c>
      <c r="J1138" t="inlineStr">
        <is>
          <t>RN-11 y RN-34: provision hasta el cupo operativo antes de bajar del 8 %</t>
        </is>
      </c>
      <c r="K1138" t="inlineStr">
        <is>
          <t>Provision en la manana, antes del pagado: con el pronostico, sin provision el saldo bajaria del 8 % del cupo ese dia. Lleva el saldo de 174.899.225 a 411.000.000 COP (cupo 411.000.000). Equipo administrado por TDV.</t>
        </is>
      </c>
      <c r="L1138" s="26" t="n">
        <v>411000000</v>
      </c>
      <c r="M1138" s="26" t="n">
        <v>174899225</v>
      </c>
      <c r="N1138" s="27">
        <f>IF(ISNUMBER(M1138),M1138/L1138,"No aplica")</f>
        <v>0.4255455596107056</v>
      </c>
      <c r="O1138" s="25">
        <f>IF(G1138="provision",M1138+H1138,IF(G1138="recoleccion",M1138-H1138,"No aplica"))</f>
        <v>411000000</v>
      </c>
      <c r="P1138" s="26" t="n">
        <v>110022</v>
      </c>
    </row>
    <row r="1139">
      <c r="A1139" t="inlineStr">
        <is>
          <t>PRAGMA</t>
        </is>
      </c>
      <c r="B1139" t="inlineStr">
        <is>
          <t>M1</t>
        </is>
      </c>
      <c r="C1139" t="inlineStr">
        <is>
          <t>Cali</t>
        </is>
      </c>
      <c r="D1139" t="inlineStr">
        <is>
          <t>8719</t>
        </is>
      </c>
      <c r="E1139" t="inlineStr">
        <is>
          <t>TDV</t>
        </is>
      </c>
      <c r="F1139" s="23" t="n">
        <v>46268</v>
      </c>
      <c r="G1139" t="inlineStr">
        <is>
          <t>provision</t>
        </is>
      </c>
      <c r="H1139" s="26" t="n">
        <v>304479202</v>
      </c>
      <c r="I1139" t="inlineStr">
        <is>
          <t>bajo</t>
        </is>
      </c>
      <c r="J1139" t="inlineStr">
        <is>
          <t>RN-11 y RN-34: provision hasta el cupo operativo antes de bajar del 8 %</t>
        </is>
      </c>
      <c r="K1139" t="inlineStr">
        <is>
          <t>Provision en la manana, antes del pagado: con el pronostico, sin provision el saldo bajaria del 8 % del cupo ese dia. Lleva el saldo de 106.520.798 a 411.000.000 COP (cupo 411.000.000). Equipo administrado por TDV.</t>
        </is>
      </c>
      <c r="L1139" s="26" t="n">
        <v>411000000</v>
      </c>
      <c r="M1139" s="26" t="n">
        <v>106520798</v>
      </c>
      <c r="N1139" s="27">
        <f>IF(ISNUMBER(M1139),M1139/L1139,"No aplica")</f>
        <v>0.2591746909975669</v>
      </c>
      <c r="O1139" s="25">
        <f>IF(G1139="provision",M1139+H1139,IF(G1139="recoleccion",M1139-H1139,"No aplica"))</f>
        <v>411000000</v>
      </c>
      <c r="P1139" s="26" t="n">
        <v>136484</v>
      </c>
    </row>
    <row r="1140">
      <c r="A1140" t="inlineStr">
        <is>
          <t>PRAGMA</t>
        </is>
      </c>
      <c r="B1140" t="inlineStr">
        <is>
          <t>M1</t>
        </is>
      </c>
      <c r="C1140" t="inlineStr">
        <is>
          <t>Cali</t>
        </is>
      </c>
      <c r="D1140" t="inlineStr">
        <is>
          <t>8719</t>
        </is>
      </c>
      <c r="E1140" t="inlineStr">
        <is>
          <t>TDV</t>
        </is>
      </c>
      <c r="F1140" s="23" t="n">
        <v>46270</v>
      </c>
      <c r="G1140" t="inlineStr">
        <is>
          <t>provision</t>
        </is>
      </c>
      <c r="H1140" s="26" t="n">
        <v>260702924</v>
      </c>
      <c r="I1140" t="inlineStr">
        <is>
          <t>bajo</t>
        </is>
      </c>
      <c r="J1140" t="inlineStr">
        <is>
          <t>RN-11 y RN-34: provision hasta el cupo operativo antes de bajar del 8 %</t>
        </is>
      </c>
      <c r="K1140" t="inlineStr">
        <is>
          <t>Provision en la manana, antes del pagado: con el pronostico, sin provision el saldo bajaria del 8 % del cupo ese dia. Lleva el saldo de 150.297.076 a 411.000.000 COP (cupo 411.000.000). Equipo administrado por TDV.</t>
        </is>
      </c>
      <c r="L1140" s="26" t="n">
        <v>411000000</v>
      </c>
      <c r="M1140" s="26" t="n">
        <v>150297076</v>
      </c>
      <c r="N1140" s="27">
        <f>IF(ISNUMBER(M1140),M1140/L1140,"No aplica")</f>
        <v>0.3656863163017032</v>
      </c>
      <c r="O1140" s="25">
        <f>IF(G1140="provision",M1140+H1140,IF(G1140="recoleccion",M1140-H1140,"No aplica"))</f>
        <v>411000000</v>
      </c>
      <c r="P1140" s="26" t="n">
        <v>119543</v>
      </c>
    </row>
    <row r="1141">
      <c r="A1141" t="inlineStr">
        <is>
          <t>PRAGMA</t>
        </is>
      </c>
      <c r="B1141" t="inlineStr">
        <is>
          <t>M1</t>
        </is>
      </c>
      <c r="C1141" t="inlineStr">
        <is>
          <t>Cali</t>
        </is>
      </c>
      <c r="D1141" t="inlineStr">
        <is>
          <t>8719</t>
        </is>
      </c>
      <c r="E1141" t="inlineStr">
        <is>
          <t>TDV</t>
        </is>
      </c>
      <c r="F1141" s="23" t="n">
        <v>46274</v>
      </c>
      <c r="G1141" t="inlineStr">
        <is>
          <t>provision</t>
        </is>
      </c>
      <c r="H1141" s="26" t="n">
        <v>347967432</v>
      </c>
      <c r="I1141" t="inlineStr">
        <is>
          <t>bajo</t>
        </is>
      </c>
      <c r="J1141" t="inlineStr">
        <is>
          <t>RN-11 y RN-34: provision hasta el cupo operativo antes de bajar del 8 %</t>
        </is>
      </c>
      <c r="K1141" t="inlineStr">
        <is>
          <t>Provision en la manana, antes del pagado: con el pronostico, sin provision el saldo bajaria del 8 % del cupo ese dia. Lleva el saldo de 63.032.568 a 411.000.000 COP (cupo 411.000.000). Equipo administrado por TDV.</t>
        </is>
      </c>
      <c r="L1141" s="26" t="n">
        <v>411000000</v>
      </c>
      <c r="M1141" s="26" t="n">
        <v>63032568</v>
      </c>
      <c r="N1141" s="27">
        <f>IF(ISNUMBER(M1141),M1141/L1141,"No aplica")</f>
        <v>0.15336391240875913</v>
      </c>
      <c r="O1141" s="25">
        <f>IF(G1141="provision",M1141+H1141,IF(G1141="recoleccion",M1141-H1141,"No aplica"))</f>
        <v>411000000</v>
      </c>
      <c r="P1141" s="26" t="n">
        <v>153314</v>
      </c>
    </row>
    <row r="1142">
      <c r="A1142" t="inlineStr">
        <is>
          <t>PRAGMA</t>
        </is>
      </c>
      <c r="B1142" t="inlineStr">
        <is>
          <t>M1</t>
        </is>
      </c>
      <c r="C1142" t="inlineStr">
        <is>
          <t>Cali</t>
        </is>
      </c>
      <c r="D1142" t="inlineStr">
        <is>
          <t>8719</t>
        </is>
      </c>
      <c r="E1142" t="inlineStr">
        <is>
          <t>TDV</t>
        </is>
      </c>
      <c r="F1142" s="23" t="n">
        <v>46277</v>
      </c>
      <c r="G1142" t="inlineStr">
        <is>
          <t>provision</t>
        </is>
      </c>
      <c r="H1142" s="26" t="n">
        <v>314699774</v>
      </c>
      <c r="I1142" t="inlineStr">
        <is>
          <t>bajo</t>
        </is>
      </c>
      <c r="J1142" t="inlineStr">
        <is>
          <t>RN-11 y RN-34: provision hasta el cupo operativo antes de bajar del 8 %</t>
        </is>
      </c>
      <c r="K1142" t="inlineStr">
        <is>
          <t>Provision en la manana, antes del pagado: con el pronostico, sin provision el saldo bajaria del 8 % del cupo ese dia. Lleva el saldo de 96.300.226 a 411.000.000 COP (cupo 411.000.000). Equipo administrado por TDV.</t>
        </is>
      </c>
      <c r="L1142" s="26" t="n">
        <v>411000000</v>
      </c>
      <c r="M1142" s="26" t="n">
        <v>96300226</v>
      </c>
      <c r="N1142" s="27">
        <f>IF(ISNUMBER(M1142),M1142/L1142,"No aplica")</f>
        <v>0.2343071192214112</v>
      </c>
      <c r="O1142" s="25">
        <f>IF(G1142="provision",M1142+H1142,IF(G1142="recoleccion",M1142-H1142,"No aplica"))</f>
        <v>411000000</v>
      </c>
      <c r="P1142" s="26" t="n">
        <v>140440</v>
      </c>
    </row>
    <row r="1143">
      <c r="A1143" t="inlineStr">
        <is>
          <t>PRAGMA</t>
        </is>
      </c>
      <c r="B1143" t="inlineStr">
        <is>
          <t>M1</t>
        </is>
      </c>
      <c r="C1143" t="inlineStr">
        <is>
          <t>Cali</t>
        </is>
      </c>
      <c r="D1143" t="inlineStr">
        <is>
          <t>8724</t>
        </is>
      </c>
      <c r="E1143" t="inlineStr">
        <is>
          <t>Sucursal</t>
        </is>
      </c>
      <c r="F1143" s="23" t="n">
        <v>46267</v>
      </c>
      <c r="G1143" t="inlineStr">
        <is>
          <t>provision</t>
        </is>
      </c>
      <c r="H1143" s="26" t="n">
        <v>297645152</v>
      </c>
      <c r="I1143" t="inlineStr">
        <is>
          <t>bajo</t>
        </is>
      </c>
      <c r="J1143" t="inlineStr">
        <is>
          <t>RN-11 y RN-34: provision hasta el cupo operativo antes de bajar del 8 %</t>
        </is>
      </c>
      <c r="K1143" t="inlineStr">
        <is>
          <t>Provision en la manana, antes del pagado: con el pronostico, sin provision el saldo bajaria del 8 % del cupo ese dia. Lleva el saldo de 113.354.848 a 411.000.000 COP (cupo 411.000.000). Equipo administrado por Sucursal. Sin tarifa TDV (administrado por la sucursal): costo 0 declarado.</t>
        </is>
      </c>
      <c r="L1143" s="26" t="n">
        <v>411000000</v>
      </c>
      <c r="M1143" s="26" t="n">
        <v>113354848</v>
      </c>
      <c r="N1143" s="27">
        <f>IF(ISNUMBER(M1143),M1143/L1143,"No aplica")</f>
        <v>0.2758025498783455</v>
      </c>
      <c r="O1143" s="25">
        <f>IF(G1143="provision",M1143+H1143,IF(G1143="recoleccion",M1143-H1143,"No aplica"))</f>
        <v>411000000</v>
      </c>
      <c r="P1143" s="26" t="n">
        <v>0</v>
      </c>
    </row>
    <row r="1144">
      <c r="A1144" t="inlineStr">
        <is>
          <t>PRAGMA</t>
        </is>
      </c>
      <c r="B1144" t="inlineStr">
        <is>
          <t>M1</t>
        </is>
      </c>
      <c r="C1144" t="inlineStr">
        <is>
          <t>Cali</t>
        </is>
      </c>
      <c r="D1144" t="inlineStr">
        <is>
          <t>8724</t>
        </is>
      </c>
      <c r="E1144" t="inlineStr">
        <is>
          <t>Sucursal</t>
        </is>
      </c>
      <c r="F1144" s="23" t="n">
        <v>46268</v>
      </c>
      <c r="G1144" t="inlineStr">
        <is>
          <t>provision</t>
        </is>
      </c>
      <c r="H1144" s="26" t="n">
        <v>230281016</v>
      </c>
      <c r="I1144" t="inlineStr">
        <is>
          <t>bajo</t>
        </is>
      </c>
      <c r="J1144" t="inlineStr">
        <is>
          <t>RN-11 y RN-34: provision hasta el cupo operativo antes de bajar del 8 %</t>
        </is>
      </c>
      <c r="K1144" t="inlineStr">
        <is>
          <t>Provision en la manana, antes del pagado: con el pronostico, sin provision el saldo bajaria del 8 % del cupo ese dia. Lleva el saldo de 180.718.984 a 411.000.000 COP (cupo 411.000.000). Equipo administrado por Sucursal. Sin tarifa TDV (administrado por la sucursal): costo 0 declarado.</t>
        </is>
      </c>
      <c r="L1144" s="26" t="n">
        <v>411000000</v>
      </c>
      <c r="M1144" s="26" t="n">
        <v>180718984</v>
      </c>
      <c r="N1144" s="27">
        <f>IF(ISNUMBER(M1144),M1144/L1144,"No aplica")</f>
        <v>0.43970555717761556</v>
      </c>
      <c r="O1144" s="25">
        <f>IF(G1144="provision",M1144+H1144,IF(G1144="recoleccion",M1144-H1144,"No aplica"))</f>
        <v>411000000</v>
      </c>
      <c r="P1144" s="26" t="n">
        <v>0</v>
      </c>
    </row>
    <row r="1145">
      <c r="A1145" t="inlineStr">
        <is>
          <t>PRAGMA</t>
        </is>
      </c>
      <c r="B1145" t="inlineStr">
        <is>
          <t>M1</t>
        </is>
      </c>
      <c r="C1145" t="inlineStr">
        <is>
          <t>Cali</t>
        </is>
      </c>
      <c r="D1145" t="inlineStr">
        <is>
          <t>8724</t>
        </is>
      </c>
      <c r="E1145" t="inlineStr">
        <is>
          <t>Sucursal</t>
        </is>
      </c>
      <c r="F1145" s="23" t="n">
        <v>46269</v>
      </c>
      <c r="G1145" t="inlineStr">
        <is>
          <t>provision</t>
        </is>
      </c>
      <c r="H1145" s="26" t="n">
        <v>208886549</v>
      </c>
      <c r="I1145" t="inlineStr">
        <is>
          <t>bajo</t>
        </is>
      </c>
      <c r="J1145" t="inlineStr">
        <is>
          <t>RN-11 y RN-34: provision hasta el cupo operativo antes de bajar del 8 %</t>
        </is>
      </c>
      <c r="K1145" t="inlineStr">
        <is>
          <t>Provision en la manana, antes del pagado: con el pronostico, sin provision el saldo bajaria del 8 % del cupo ese dia. Lleva el saldo de 202.113.451 a 411.000.000 COP (cupo 411.000.000). Equipo administrado por Sucursal. Sin tarifa TDV (administrado por la sucursal): costo 0 declarado.</t>
        </is>
      </c>
      <c r="L1145" s="26" t="n">
        <v>411000000</v>
      </c>
      <c r="M1145" s="26" t="n">
        <v>202113451</v>
      </c>
      <c r="N1145" s="27">
        <f>IF(ISNUMBER(M1145),M1145/L1145,"No aplica")</f>
        <v>0.4917602214111922</v>
      </c>
      <c r="O1145" s="25">
        <f>IF(G1145="provision",M1145+H1145,IF(G1145="recoleccion",M1145-H1145,"No aplica"))</f>
        <v>411000000</v>
      </c>
      <c r="P1145" s="26" t="n">
        <v>0</v>
      </c>
    </row>
    <row r="1146">
      <c r="A1146" t="inlineStr">
        <is>
          <t>PRAGMA</t>
        </is>
      </c>
      <c r="B1146" t="inlineStr">
        <is>
          <t>M1</t>
        </is>
      </c>
      <c r="C1146" t="inlineStr">
        <is>
          <t>Cali</t>
        </is>
      </c>
      <c r="D1146" t="inlineStr">
        <is>
          <t>8724</t>
        </is>
      </c>
      <c r="E1146" t="inlineStr">
        <is>
          <t>Sucursal</t>
        </is>
      </c>
      <c r="F1146" s="23" t="n">
        <v>46270</v>
      </c>
      <c r="G1146" t="inlineStr">
        <is>
          <t>provision</t>
        </is>
      </c>
      <c r="H1146" s="26" t="n">
        <v>206583786</v>
      </c>
      <c r="I1146" t="inlineStr">
        <is>
          <t>bajo</t>
        </is>
      </c>
      <c r="J1146" t="inlineStr">
        <is>
          <t>RN-11 y RN-34: provision hasta el cupo operativo antes de bajar del 8 %</t>
        </is>
      </c>
      <c r="K1146" t="inlineStr">
        <is>
          <t>Provision en la manana, antes del pagado: con el pronostico, sin provision el saldo bajaria del 8 % del cupo ese dia. Lleva el saldo de 204.416.214 a 411.000.000 COP (cupo 411.000.000). Equipo administrado por Sucursal. Sin tarifa TDV (administrado por la sucursal): costo 0 declarado.</t>
        </is>
      </c>
      <c r="L1146" s="26" t="n">
        <v>411000000</v>
      </c>
      <c r="M1146" s="26" t="n">
        <v>204416214</v>
      </c>
      <c r="N1146" s="27">
        <f>IF(ISNUMBER(M1146),M1146/L1146,"No aplica")</f>
        <v>0.4973630510948905</v>
      </c>
      <c r="O1146" s="25">
        <f>IF(G1146="provision",M1146+H1146,IF(G1146="recoleccion",M1146-H1146,"No aplica"))</f>
        <v>411000000</v>
      </c>
      <c r="P1146" s="26" t="n">
        <v>0</v>
      </c>
    </row>
    <row r="1147">
      <c r="A1147" t="inlineStr">
        <is>
          <t>PRAGMA</t>
        </is>
      </c>
      <c r="B1147" t="inlineStr">
        <is>
          <t>M1</t>
        </is>
      </c>
      <c r="C1147" t="inlineStr">
        <is>
          <t>Cali</t>
        </is>
      </c>
      <c r="D1147" t="inlineStr">
        <is>
          <t>8724</t>
        </is>
      </c>
      <c r="E1147" t="inlineStr">
        <is>
          <t>Sucursal</t>
        </is>
      </c>
      <c r="F1147" s="23" t="n">
        <v>46273</v>
      </c>
      <c r="G1147" t="inlineStr">
        <is>
          <t>provision</t>
        </is>
      </c>
      <c r="H1147" s="26" t="n">
        <v>339800668</v>
      </c>
      <c r="I1147" t="inlineStr">
        <is>
          <t>bajo</t>
        </is>
      </c>
      <c r="J1147" t="inlineStr">
        <is>
          <t>RN-11 y RN-34: provision hasta el cupo operativo antes de bajar del 8 %</t>
        </is>
      </c>
      <c r="K1147" t="inlineStr">
        <is>
          <t>Provision en la manana, antes del pagado: con el pronostico, sin provision el saldo bajaria del 8 % del cupo ese dia. Lleva el saldo de 71.199.332 a 411.000.000 COP (cupo 411.000.000). Equipo administrado por Sucursal. Sin tarifa TDV (administrado por la sucursal): costo 0 declarado.</t>
        </is>
      </c>
      <c r="L1147" s="26" t="n">
        <v>411000000</v>
      </c>
      <c r="M1147" s="26" t="n">
        <v>71199332</v>
      </c>
      <c r="N1147" s="27">
        <f>IF(ISNUMBER(M1147),M1147/L1147,"No aplica")</f>
        <v>0.17323438442822384</v>
      </c>
      <c r="O1147" s="25">
        <f>IF(G1147="provision",M1147+H1147,IF(G1147="recoleccion",M1147-H1147,"No aplica"))</f>
        <v>411000000</v>
      </c>
      <c r="P1147" s="26" t="n">
        <v>0</v>
      </c>
    </row>
    <row r="1148">
      <c r="A1148" t="inlineStr">
        <is>
          <t>PRAGMA</t>
        </is>
      </c>
      <c r="B1148" t="inlineStr">
        <is>
          <t>M1</t>
        </is>
      </c>
      <c r="C1148" t="inlineStr">
        <is>
          <t>Cali</t>
        </is>
      </c>
      <c r="D1148" t="inlineStr">
        <is>
          <t>8724</t>
        </is>
      </c>
      <c r="E1148" t="inlineStr">
        <is>
          <t>Sucursal</t>
        </is>
      </c>
      <c r="F1148" s="23" t="n">
        <v>46275</v>
      </c>
      <c r="G1148" t="inlineStr">
        <is>
          <t>provision</t>
        </is>
      </c>
      <c r="H1148" s="26" t="n">
        <v>368401667</v>
      </c>
      <c r="I1148" t="inlineStr">
        <is>
          <t>bajo</t>
        </is>
      </c>
      <c r="J1148" t="inlineStr">
        <is>
          <t>RN-11 y RN-34: provision hasta el cupo operativo antes de bajar del 8 %</t>
        </is>
      </c>
      <c r="K1148" t="inlineStr">
        <is>
          <t>Provision en la manana, antes del pagado: con el pronostico, sin provision el saldo bajaria del 8 % del cupo ese dia. Lleva el saldo de 42.598.333 a 411.000.000 COP (cupo 411.000.000). Equipo administrado por Sucursal. Sin tarifa TDV (administrado por la sucursal): costo 0 declarado.</t>
        </is>
      </c>
      <c r="L1148" s="26" t="n">
        <v>411000000</v>
      </c>
      <c r="M1148" s="26" t="n">
        <v>42598333</v>
      </c>
      <c r="N1148" s="27">
        <f>IF(ISNUMBER(M1148),M1148/L1148,"No aplica")</f>
        <v>0.10364557907542579</v>
      </c>
      <c r="O1148" s="25">
        <f>IF(G1148="provision",M1148+H1148,IF(G1148="recoleccion",M1148-H1148,"No aplica"))</f>
        <v>411000000</v>
      </c>
      <c r="P1148" s="26" t="n">
        <v>0</v>
      </c>
    </row>
    <row r="1149">
      <c r="A1149" t="inlineStr">
        <is>
          <t>PRAGMA</t>
        </is>
      </c>
      <c r="B1149" t="inlineStr">
        <is>
          <t>M1</t>
        </is>
      </c>
      <c r="C1149" t="inlineStr">
        <is>
          <t>Cali</t>
        </is>
      </c>
      <c r="D1149" t="inlineStr">
        <is>
          <t>8724</t>
        </is>
      </c>
      <c r="E1149" t="inlineStr">
        <is>
          <t>Sucursal</t>
        </is>
      </c>
      <c r="F1149" s="23" t="n">
        <v>46277</v>
      </c>
      <c r="G1149" t="inlineStr">
        <is>
          <t>provision</t>
        </is>
      </c>
      <c r="H1149" s="26" t="n">
        <v>329333070</v>
      </c>
      <c r="I1149" t="inlineStr">
        <is>
          <t>bajo</t>
        </is>
      </c>
      <c r="J1149" t="inlineStr">
        <is>
          <t>RN-11 y RN-34: provision hasta el cupo operativo antes de bajar del 8 %</t>
        </is>
      </c>
      <c r="K1149" t="inlineStr">
        <is>
          <t>Provision en la manana, antes del pagado: con el pronostico, sin provision el saldo bajaria del 8 % del cupo ese dia. Lleva el saldo de 81.666.930 a 411.000.000 COP (cupo 411.000.000). Equipo administrado por Sucursal. Sin tarifa TDV (administrado por la sucursal): costo 0 declarado.</t>
        </is>
      </c>
      <c r="L1149" s="26" t="n">
        <v>411000000</v>
      </c>
      <c r="M1149" s="26" t="n">
        <v>81666930</v>
      </c>
      <c r="N1149" s="27">
        <f>IF(ISNUMBER(M1149),M1149/L1149,"No aplica")</f>
        <v>0.1987029927007299</v>
      </c>
      <c r="O1149" s="25">
        <f>IF(G1149="provision",M1149+H1149,IF(G1149="recoleccion",M1149-H1149,"No aplica"))</f>
        <v>411000000</v>
      </c>
      <c r="P1149" s="26" t="n">
        <v>0</v>
      </c>
    </row>
    <row r="1150">
      <c r="A1150" t="inlineStr">
        <is>
          <t>PRAGMA</t>
        </is>
      </c>
      <c r="B1150" t="inlineStr">
        <is>
          <t>M1</t>
        </is>
      </c>
      <c r="C1150" t="inlineStr">
        <is>
          <t>Cali</t>
        </is>
      </c>
      <c r="D1150" t="inlineStr">
        <is>
          <t>8724</t>
        </is>
      </c>
      <c r="E1150" t="inlineStr">
        <is>
          <t>Sucursal</t>
        </is>
      </c>
      <c r="F1150" s="23" t="n">
        <v>46280</v>
      </c>
      <c r="G1150" t="inlineStr">
        <is>
          <t>provision</t>
        </is>
      </c>
      <c r="H1150" s="26" t="n">
        <v>276295921</v>
      </c>
      <c r="I1150" t="inlineStr">
        <is>
          <t>bajo</t>
        </is>
      </c>
      <c r="J1150" t="inlineStr">
        <is>
          <t>RN-11 y RN-34: provision hasta el cupo operativo antes de bajar del 8 %</t>
        </is>
      </c>
      <c r="K1150" t="inlineStr">
        <is>
          <t>Provision en la manana, antes del pagado: con el pronostico, sin provision el saldo bajaria del 8 % del cupo ese dia. Lleva el saldo de 134.704.079 a 411.000.000 COP (cupo 411.000.000). Equipo administrado por Sucursal. Sin tarifa TDV (administrado por la sucursal): costo 0 declarado.</t>
        </is>
      </c>
      <c r="L1150" s="26" t="n">
        <v>411000000</v>
      </c>
      <c r="M1150" s="26" t="n">
        <v>134704079</v>
      </c>
      <c r="N1150" s="27">
        <f>IF(ISNUMBER(M1150),M1150/L1150,"No aplica")</f>
        <v>0.3277471508515815</v>
      </c>
      <c r="O1150" s="25">
        <f>IF(G1150="provision",M1150+H1150,IF(G1150="recoleccion",M1150-H1150,"No aplica"))</f>
        <v>411000000</v>
      </c>
      <c r="P1150" s="26" t="n">
        <v>0</v>
      </c>
    </row>
    <row r="1151">
      <c r="A1151" t="inlineStr">
        <is>
          <t>PRAGMA</t>
        </is>
      </c>
      <c r="B1151" t="inlineStr">
        <is>
          <t>M1</t>
        </is>
      </c>
      <c r="C1151" t="inlineStr">
        <is>
          <t>Cali</t>
        </is>
      </c>
      <c r="D1151" t="inlineStr">
        <is>
          <t>8725</t>
        </is>
      </c>
      <c r="E1151" t="inlineStr">
        <is>
          <t>Sucursal</t>
        </is>
      </c>
      <c r="F1151" s="23" t="n">
        <v>46267</v>
      </c>
      <c r="G1151" t="inlineStr">
        <is>
          <t>provision</t>
        </is>
      </c>
      <c r="H1151" s="26" t="n">
        <v>221898009</v>
      </c>
      <c r="I1151" t="inlineStr">
        <is>
          <t>bajo</t>
        </is>
      </c>
      <c r="J1151" t="inlineStr">
        <is>
          <t>RN-11 y RN-34: provision hasta el cupo operativo antes de bajar del 8 %</t>
        </is>
      </c>
      <c r="K1151" t="inlineStr">
        <is>
          <t>Provision en la manana, antes del pagado: con el pronostico, sin provision el saldo bajaria del 8 % del cupo ese dia. Lleva el saldo de 138.101.991 a 360.000.000 COP (cupo 360.000.000). Equipo administrado por Sucursal. Sin tarifa TDV (administrado por la sucursal): costo 0 declarado.</t>
        </is>
      </c>
      <c r="L1151" s="26" t="n">
        <v>360000000</v>
      </c>
      <c r="M1151" s="26" t="n">
        <v>138101991</v>
      </c>
      <c r="N1151" s="27">
        <f>IF(ISNUMBER(M1151),M1151/L1151,"No aplica")</f>
        <v>0.38361664166666665</v>
      </c>
      <c r="O1151" s="25">
        <f>IF(G1151="provision",M1151+H1151,IF(G1151="recoleccion",M1151-H1151,"No aplica"))</f>
        <v>360000000</v>
      </c>
      <c r="P1151" s="26" t="n">
        <v>0</v>
      </c>
    </row>
    <row r="1152">
      <c r="A1152" t="inlineStr">
        <is>
          <t>PRAGMA</t>
        </is>
      </c>
      <c r="B1152" t="inlineStr">
        <is>
          <t>M1</t>
        </is>
      </c>
      <c r="C1152" t="inlineStr">
        <is>
          <t>Cali</t>
        </is>
      </c>
      <c r="D1152" t="inlineStr">
        <is>
          <t>8725</t>
        </is>
      </c>
      <c r="E1152" t="inlineStr">
        <is>
          <t>Sucursal</t>
        </is>
      </c>
      <c r="F1152" s="23" t="n">
        <v>46269</v>
      </c>
      <c r="G1152" t="inlineStr">
        <is>
          <t>provision</t>
        </is>
      </c>
      <c r="H1152" s="26" t="n">
        <v>324281239</v>
      </c>
      <c r="I1152" t="inlineStr">
        <is>
          <t>bajo</t>
        </is>
      </c>
      <c r="J1152" t="inlineStr">
        <is>
          <t>RN-11 y RN-34: provision hasta el cupo operativo antes de bajar del 8 %</t>
        </is>
      </c>
      <c r="K1152" t="inlineStr">
        <is>
          <t>Provision en la manana, antes del pagado: con el pronostico, sin provision el saldo bajaria del 8 % del cupo ese dia. Lleva el saldo de 35.718.761 a 360.000.000 COP (cupo 360.000.000). Equipo administrado por Sucursal. Sin tarifa TDV (administrado por la sucursal): costo 0 declarado.</t>
        </is>
      </c>
      <c r="L1152" s="26" t="n">
        <v>360000000</v>
      </c>
      <c r="M1152" s="26" t="n">
        <v>35718761</v>
      </c>
      <c r="N1152" s="27">
        <f>IF(ISNUMBER(M1152),M1152/L1152,"No aplica")</f>
        <v>0.09921878055555555</v>
      </c>
      <c r="O1152" s="25">
        <f>IF(G1152="provision",M1152+H1152,IF(G1152="recoleccion",M1152-H1152,"No aplica"))</f>
        <v>360000000</v>
      </c>
      <c r="P1152" s="26" t="n">
        <v>0</v>
      </c>
    </row>
    <row r="1153">
      <c r="A1153" t="inlineStr">
        <is>
          <t>PRAGMA</t>
        </is>
      </c>
      <c r="B1153" t="inlineStr">
        <is>
          <t>M1</t>
        </is>
      </c>
      <c r="C1153" t="inlineStr">
        <is>
          <t>Cali</t>
        </is>
      </c>
      <c r="D1153" t="inlineStr">
        <is>
          <t>8725</t>
        </is>
      </c>
      <c r="E1153" t="inlineStr">
        <is>
          <t>Sucursal</t>
        </is>
      </c>
      <c r="F1153" s="23" t="n">
        <v>46272</v>
      </c>
      <c r="G1153" t="inlineStr">
        <is>
          <t>provision</t>
        </is>
      </c>
      <c r="H1153" s="26" t="n">
        <v>284075203</v>
      </c>
      <c r="I1153" t="inlineStr">
        <is>
          <t>bajo</t>
        </is>
      </c>
      <c r="J1153" t="inlineStr">
        <is>
          <t>RN-11 y RN-34: provision hasta el cupo operativo antes de bajar del 8 %</t>
        </is>
      </c>
      <c r="K1153" t="inlineStr">
        <is>
          <t>Provision en la manana, antes del pagado: con el pronostico, sin provision el saldo bajaria del 8 % del cupo ese dia. Lleva el saldo de 75.924.797 a 360.000.000 COP (cupo 360.000.000). Equipo administrado por Sucursal. Sin tarifa TDV (administrado por la sucursal): costo 0 declarado.</t>
        </is>
      </c>
      <c r="L1153" s="26" t="n">
        <v>360000000</v>
      </c>
      <c r="M1153" s="26" t="n">
        <v>75924797</v>
      </c>
      <c r="N1153" s="27">
        <f>IF(ISNUMBER(M1153),M1153/L1153,"No aplica")</f>
        <v>0.21090221388888888</v>
      </c>
      <c r="O1153" s="25">
        <f>IF(G1153="provision",M1153+H1153,IF(G1153="recoleccion",M1153-H1153,"No aplica"))</f>
        <v>360000000</v>
      </c>
      <c r="P1153" s="26" t="n">
        <v>0</v>
      </c>
    </row>
    <row r="1154">
      <c r="A1154" t="inlineStr">
        <is>
          <t>PRAGMA</t>
        </is>
      </c>
      <c r="B1154" t="inlineStr">
        <is>
          <t>M1</t>
        </is>
      </c>
      <c r="C1154" t="inlineStr">
        <is>
          <t>Cali</t>
        </is>
      </c>
      <c r="D1154" t="inlineStr">
        <is>
          <t>8725</t>
        </is>
      </c>
      <c r="E1154" t="inlineStr">
        <is>
          <t>Sucursal</t>
        </is>
      </c>
      <c r="F1154" s="23" t="n">
        <v>46274</v>
      </c>
      <c r="G1154" t="inlineStr">
        <is>
          <t>provision</t>
        </is>
      </c>
      <c r="H1154" s="26" t="n">
        <v>250010289</v>
      </c>
      <c r="I1154" t="inlineStr">
        <is>
          <t>bajo</t>
        </is>
      </c>
      <c r="J1154" t="inlineStr">
        <is>
          <t>RN-11 y RN-34: provision hasta el cupo operativo antes de bajar del 8 %</t>
        </is>
      </c>
      <c r="K1154" t="inlineStr">
        <is>
          <t>Provision en la manana, antes del pagado: con el pronostico, sin provision el saldo bajaria del 8 % del cupo ese dia. Lleva el saldo de 109.989.711 a 360.000.000 COP (cupo 360.000.000). Equipo administrado por Sucursal. Sin tarifa TDV (administrado por la sucursal): costo 0 declarado.</t>
        </is>
      </c>
      <c r="L1154" s="26" t="n">
        <v>360000000</v>
      </c>
      <c r="M1154" s="26" t="n">
        <v>109989711</v>
      </c>
      <c r="N1154" s="27">
        <f>IF(ISNUMBER(M1154),M1154/L1154,"No aplica")</f>
        <v>0.305526975</v>
      </c>
      <c r="O1154" s="25">
        <f>IF(G1154="provision",M1154+H1154,IF(G1154="recoleccion",M1154-H1154,"No aplica"))</f>
        <v>360000000</v>
      </c>
      <c r="P1154" s="26" t="n">
        <v>0</v>
      </c>
    </row>
    <row r="1155">
      <c r="A1155" t="inlineStr">
        <is>
          <t>PRAGMA</t>
        </is>
      </c>
      <c r="B1155" t="inlineStr">
        <is>
          <t>M1</t>
        </is>
      </c>
      <c r="C1155" t="inlineStr">
        <is>
          <t>Cali</t>
        </is>
      </c>
      <c r="D1155" t="inlineStr">
        <is>
          <t>8725</t>
        </is>
      </c>
      <c r="E1155" t="inlineStr">
        <is>
          <t>Sucursal</t>
        </is>
      </c>
      <c r="F1155" s="23" t="n">
        <v>46276</v>
      </c>
      <c r="G1155" t="inlineStr">
        <is>
          <t>provision</t>
        </is>
      </c>
      <c r="H1155" s="26" t="n">
        <v>254883050</v>
      </c>
      <c r="I1155" t="inlineStr">
        <is>
          <t>bajo</t>
        </is>
      </c>
      <c r="J1155" t="inlineStr">
        <is>
          <t>RN-11 y RN-34: provision hasta el cupo operativo antes de bajar del 8 %</t>
        </is>
      </c>
      <c r="K1155" t="inlineStr">
        <is>
          <t>Provision en la manana, antes del pagado: con el pronostico, sin provision el saldo bajaria del 8 % del cupo ese dia. Lleva el saldo de 105.116.950 a 360.000.000 COP (cupo 360.000.000). Equipo administrado por Sucursal. Sin tarifa TDV (administrado por la sucursal): costo 0 declarado.</t>
        </is>
      </c>
      <c r="L1155" s="26" t="n">
        <v>360000000</v>
      </c>
      <c r="M1155" s="26" t="n">
        <v>105116950</v>
      </c>
      <c r="N1155" s="27">
        <f>IF(ISNUMBER(M1155),M1155/L1155,"No aplica")</f>
        <v>0.29199152777777776</v>
      </c>
      <c r="O1155" s="25">
        <f>IF(G1155="provision",M1155+H1155,IF(G1155="recoleccion",M1155-H1155,"No aplica"))</f>
        <v>360000000</v>
      </c>
      <c r="P1155" s="26" t="n">
        <v>0</v>
      </c>
    </row>
    <row r="1156">
      <c r="A1156" t="inlineStr">
        <is>
          <t>PRAGMA</t>
        </is>
      </c>
      <c r="B1156" t="inlineStr">
        <is>
          <t>M1</t>
        </is>
      </c>
      <c r="C1156" t="inlineStr">
        <is>
          <t>Cali</t>
        </is>
      </c>
      <c r="D1156" t="inlineStr">
        <is>
          <t>8725</t>
        </is>
      </c>
      <c r="E1156" t="inlineStr">
        <is>
          <t>Sucursal</t>
        </is>
      </c>
      <c r="F1156" s="23" t="n">
        <v>46279</v>
      </c>
      <c r="G1156" t="inlineStr">
        <is>
          <t>provision</t>
        </is>
      </c>
      <c r="H1156" s="26" t="n">
        <v>234258413</v>
      </c>
      <c r="I1156" t="inlineStr">
        <is>
          <t>bajo</t>
        </is>
      </c>
      <c r="J1156" t="inlineStr">
        <is>
          <t>RN-11 y RN-34: provision hasta el cupo operativo antes de bajar del 8 %</t>
        </is>
      </c>
      <c r="K1156" t="inlineStr">
        <is>
          <t>Provision en la manana, antes del pagado: con el pronostico, sin provision el saldo bajaria del 8 % del cupo ese dia. Lleva el saldo de 125.741.587 a 360.000.000 COP (cupo 360.000.000). Equipo administrado por Sucursal. Sin tarifa TDV (administrado por la sucursal): costo 0 declarado.</t>
        </is>
      </c>
      <c r="L1156" s="26" t="n">
        <v>360000000</v>
      </c>
      <c r="M1156" s="26" t="n">
        <v>125741587</v>
      </c>
      <c r="N1156" s="27">
        <f>IF(ISNUMBER(M1156),M1156/L1156,"No aplica")</f>
        <v>0.3492821861111111</v>
      </c>
      <c r="O1156" s="25">
        <f>IF(G1156="provision",M1156+H1156,IF(G1156="recoleccion",M1156-H1156,"No aplica"))</f>
        <v>360000000</v>
      </c>
      <c r="P1156" s="26" t="n">
        <v>0</v>
      </c>
    </row>
    <row r="1157">
      <c r="A1157" t="inlineStr">
        <is>
          <t>PRAGMA</t>
        </is>
      </c>
      <c r="B1157" t="inlineStr">
        <is>
          <t>M1</t>
        </is>
      </c>
      <c r="C1157" t="inlineStr">
        <is>
          <t>Cali</t>
        </is>
      </c>
      <c r="D1157" t="inlineStr">
        <is>
          <t>8726</t>
        </is>
      </c>
      <c r="E1157" t="inlineStr">
        <is>
          <t>Sucursal</t>
        </is>
      </c>
      <c r="F1157" s="23" t="n">
        <v>46267</v>
      </c>
      <c r="G1157" t="inlineStr">
        <is>
          <t>provision</t>
        </is>
      </c>
      <c r="H1157" s="26" t="n">
        <v>245368960</v>
      </c>
      <c r="I1157" t="inlineStr">
        <is>
          <t>bajo</t>
        </is>
      </c>
      <c r="J1157" t="inlineStr">
        <is>
          <t>RN-11 y RN-34: provision hasta el cupo operativo antes de bajar del 8 %</t>
        </is>
      </c>
      <c r="K1157" t="inlineStr">
        <is>
          <t>Provision en la manana, antes del pagado: con el pronostico, sin provision el saldo bajaria del 8 % del cupo ese dia. Lleva el saldo de 114.631.040 a 360.000.000 COP (cupo 360.000.000). Equipo administrado por Sucursal. Sin tarifa TDV (administrado por la sucursal): costo 0 declarado.</t>
        </is>
      </c>
      <c r="L1157" s="26" t="n">
        <v>360000000</v>
      </c>
      <c r="M1157" s="26" t="n">
        <v>114631040</v>
      </c>
      <c r="N1157" s="27">
        <f>IF(ISNUMBER(M1157),M1157/L1157,"No aplica")</f>
        <v>0.31841955555555557</v>
      </c>
      <c r="O1157" s="25">
        <f>IF(G1157="provision",M1157+H1157,IF(G1157="recoleccion",M1157-H1157,"No aplica"))</f>
        <v>360000000</v>
      </c>
      <c r="P1157" s="26" t="n">
        <v>0</v>
      </c>
    </row>
    <row r="1158">
      <c r="A1158" t="inlineStr">
        <is>
          <t>PRAGMA</t>
        </is>
      </c>
      <c r="B1158" t="inlineStr">
        <is>
          <t>M1</t>
        </is>
      </c>
      <c r="C1158" t="inlineStr">
        <is>
          <t>Cali</t>
        </is>
      </c>
      <c r="D1158" t="inlineStr">
        <is>
          <t>8726</t>
        </is>
      </c>
      <c r="E1158" t="inlineStr">
        <is>
          <t>Sucursal</t>
        </is>
      </c>
      <c r="F1158" s="23" t="n">
        <v>46268</v>
      </c>
      <c r="G1158" t="inlineStr">
        <is>
          <t>provision</t>
        </is>
      </c>
      <c r="H1158" s="26" t="n">
        <v>192779922</v>
      </c>
      <c r="I1158" t="inlineStr">
        <is>
          <t>bajo</t>
        </is>
      </c>
      <c r="J1158" t="inlineStr">
        <is>
          <t>RN-11 y RN-34: provision hasta el cupo operativo antes de bajar del 8 %</t>
        </is>
      </c>
      <c r="K1158" t="inlineStr">
        <is>
          <t>Provision en la manana, antes del pagado: con el pronostico, sin provision el saldo bajaria del 8 % del cupo ese dia. Lleva el saldo de 167.220.078 a 360.000.000 COP (cupo 360.000.000). Equipo administrado por Sucursal. Sin tarifa TDV (administrado por la sucursal): costo 0 declarado.</t>
        </is>
      </c>
      <c r="L1158" s="26" t="n">
        <v>360000000</v>
      </c>
      <c r="M1158" s="26" t="n">
        <v>167220078</v>
      </c>
      <c r="N1158" s="27">
        <f>IF(ISNUMBER(M1158),M1158/L1158,"No aplica")</f>
        <v>0.4645002166666667</v>
      </c>
      <c r="O1158" s="25">
        <f>IF(G1158="provision",M1158+H1158,IF(G1158="recoleccion",M1158-H1158,"No aplica"))</f>
        <v>360000000</v>
      </c>
      <c r="P1158" s="26" t="n">
        <v>0</v>
      </c>
    </row>
    <row r="1159">
      <c r="A1159" t="inlineStr">
        <is>
          <t>PRAGMA</t>
        </is>
      </c>
      <c r="B1159" t="inlineStr">
        <is>
          <t>M1</t>
        </is>
      </c>
      <c r="C1159" t="inlineStr">
        <is>
          <t>Cali</t>
        </is>
      </c>
      <c r="D1159" t="inlineStr">
        <is>
          <t>8726</t>
        </is>
      </c>
      <c r="E1159" t="inlineStr">
        <is>
          <t>Sucursal</t>
        </is>
      </c>
      <c r="F1159" s="23" t="n">
        <v>46269</v>
      </c>
      <c r="G1159" t="inlineStr">
        <is>
          <t>provision</t>
        </is>
      </c>
      <c r="H1159" s="26" t="n">
        <v>179395905</v>
      </c>
      <c r="I1159" t="inlineStr">
        <is>
          <t>bajo</t>
        </is>
      </c>
      <c r="J1159" t="inlineStr">
        <is>
          <t>RN-11 y RN-34: provision hasta el cupo operativo antes de bajar del 8 %</t>
        </is>
      </c>
      <c r="K1159" t="inlineStr">
        <is>
          <t>Provision en la manana, antes del pagado: con el pronostico, sin provision el saldo bajaria del 8 % del cupo ese dia. Lleva el saldo de 180.604.095 a 360.000.000 COP (cupo 360.000.000). Equipo administrado por Sucursal. Sin tarifa TDV (administrado por la sucursal): costo 0 declarado.</t>
        </is>
      </c>
      <c r="L1159" s="26" t="n">
        <v>360000000</v>
      </c>
      <c r="M1159" s="26" t="n">
        <v>180604095</v>
      </c>
      <c r="N1159" s="27">
        <f>IF(ISNUMBER(M1159),M1159/L1159,"No aplica")</f>
        <v>0.5016780416666666</v>
      </c>
      <c r="O1159" s="25">
        <f>IF(G1159="provision",M1159+H1159,IF(G1159="recoleccion",M1159-H1159,"No aplica"))</f>
        <v>360000000</v>
      </c>
      <c r="P1159" s="26" t="n">
        <v>0</v>
      </c>
    </row>
    <row r="1160">
      <c r="A1160" t="inlineStr">
        <is>
          <t>PRAGMA</t>
        </is>
      </c>
      <c r="B1160" t="inlineStr">
        <is>
          <t>M1</t>
        </is>
      </c>
      <c r="C1160" t="inlineStr">
        <is>
          <t>Cali</t>
        </is>
      </c>
      <c r="D1160" t="inlineStr">
        <is>
          <t>8726</t>
        </is>
      </c>
      <c r="E1160" t="inlineStr">
        <is>
          <t>Sucursal</t>
        </is>
      </c>
      <c r="F1160" s="23" t="n">
        <v>46270</v>
      </c>
      <c r="G1160" t="inlineStr">
        <is>
          <t>provision</t>
        </is>
      </c>
      <c r="H1160" s="26" t="n">
        <v>175541117</v>
      </c>
      <c r="I1160" t="inlineStr">
        <is>
          <t>bajo</t>
        </is>
      </c>
      <c r="J1160" t="inlineStr">
        <is>
          <t>RN-11 y RN-34: provision hasta el cupo operativo antes de bajar del 8 %</t>
        </is>
      </c>
      <c r="K1160" t="inlineStr">
        <is>
          <t>Provision en la manana, antes del pagado: con el pronostico, sin provision el saldo bajaria del 8 % del cupo ese dia. Lleva el saldo de 184.458.883 a 360.000.000 COP (cupo 360.000.000). Equipo administrado por Sucursal. Sin tarifa TDV (administrado por la sucursal): costo 0 declarado.</t>
        </is>
      </c>
      <c r="L1160" s="26" t="n">
        <v>360000000</v>
      </c>
      <c r="M1160" s="26" t="n">
        <v>184458883</v>
      </c>
      <c r="N1160" s="27">
        <f>IF(ISNUMBER(M1160),M1160/L1160,"No aplica")</f>
        <v>0.5123857861111111</v>
      </c>
      <c r="O1160" s="25">
        <f>IF(G1160="provision",M1160+H1160,IF(G1160="recoleccion",M1160-H1160,"No aplica"))</f>
        <v>360000000</v>
      </c>
      <c r="P1160" s="26" t="n">
        <v>0</v>
      </c>
    </row>
    <row r="1161">
      <c r="A1161" t="inlineStr">
        <is>
          <t>PRAGMA</t>
        </is>
      </c>
      <c r="B1161" t="inlineStr">
        <is>
          <t>M1</t>
        </is>
      </c>
      <c r="C1161" t="inlineStr">
        <is>
          <t>Cali</t>
        </is>
      </c>
      <c r="D1161" t="inlineStr">
        <is>
          <t>8726</t>
        </is>
      </c>
      <c r="E1161" t="inlineStr">
        <is>
          <t>Sucursal</t>
        </is>
      </c>
      <c r="F1161" s="23" t="n">
        <v>46273</v>
      </c>
      <c r="G1161" t="inlineStr">
        <is>
          <t>provision</t>
        </is>
      </c>
      <c r="H1161" s="26" t="n">
        <v>301759453</v>
      </c>
      <c r="I1161" t="inlineStr">
        <is>
          <t>bajo</t>
        </is>
      </c>
      <c r="J1161" t="inlineStr">
        <is>
          <t>RN-11 y RN-34: provision hasta el cupo operativo antes de bajar del 8 %</t>
        </is>
      </c>
      <c r="K1161" t="inlineStr">
        <is>
          <t>Provision en la manana, antes del pagado: con el pronostico, sin provision el saldo bajaria del 8 % del cupo ese dia. Lleva el saldo de 58.240.547 a 360.000.000 COP (cupo 360.000.000). Equipo administrado por Sucursal. Sin tarifa TDV (administrado por la sucursal): costo 0 declarado.</t>
        </is>
      </c>
      <c r="L1161" s="26" t="n">
        <v>360000000</v>
      </c>
      <c r="M1161" s="26" t="n">
        <v>58240547</v>
      </c>
      <c r="N1161" s="27">
        <f>IF(ISNUMBER(M1161),M1161/L1161,"No aplica")</f>
        <v>0.16177929722222223</v>
      </c>
      <c r="O1161" s="25">
        <f>IF(G1161="provision",M1161+H1161,IF(G1161="recoleccion",M1161-H1161,"No aplica"))</f>
        <v>360000000</v>
      </c>
      <c r="P1161" s="26" t="n">
        <v>0</v>
      </c>
    </row>
    <row r="1162">
      <c r="A1162" t="inlineStr">
        <is>
          <t>PRAGMA</t>
        </is>
      </c>
      <c r="B1162" t="inlineStr">
        <is>
          <t>M1</t>
        </is>
      </c>
      <c r="C1162" t="inlineStr">
        <is>
          <t>Cali</t>
        </is>
      </c>
      <c r="D1162" t="inlineStr">
        <is>
          <t>8726</t>
        </is>
      </c>
      <c r="E1162" t="inlineStr">
        <is>
          <t>Sucursal</t>
        </is>
      </c>
      <c r="F1162" s="23" t="n">
        <v>46275</v>
      </c>
      <c r="G1162" t="inlineStr">
        <is>
          <t>provision</t>
        </is>
      </c>
      <c r="H1162" s="26" t="n">
        <v>329467903</v>
      </c>
      <c r="I1162" t="inlineStr">
        <is>
          <t>bajo</t>
        </is>
      </c>
      <c r="J1162" t="inlineStr">
        <is>
          <t>RN-11 y RN-34: provision hasta el cupo operativo antes de bajar del 8 %</t>
        </is>
      </c>
      <c r="K1162" t="inlineStr">
        <is>
          <t>Provision en la manana, antes del pagado: con el pronostico, sin provision el saldo bajaria del 8 % del cupo ese dia. Lleva el saldo de 30.532.097 a 360.000.000 COP (cupo 360.000.000). Equipo administrado por Sucursal. Sin tarifa TDV (administrado por la sucursal): costo 0 declarado.</t>
        </is>
      </c>
      <c r="L1162" s="26" t="n">
        <v>360000000</v>
      </c>
      <c r="M1162" s="26" t="n">
        <v>30532097</v>
      </c>
      <c r="N1162" s="27">
        <f>IF(ISNUMBER(M1162),M1162/L1162,"No aplica")</f>
        <v>0.08481138055555555</v>
      </c>
      <c r="O1162" s="25">
        <f>IF(G1162="provision",M1162+H1162,IF(G1162="recoleccion",M1162-H1162,"No aplica"))</f>
        <v>360000000</v>
      </c>
      <c r="P1162" s="26" t="n">
        <v>0</v>
      </c>
    </row>
    <row r="1163">
      <c r="A1163" t="inlineStr">
        <is>
          <t>PRAGMA</t>
        </is>
      </c>
      <c r="B1163" t="inlineStr">
        <is>
          <t>M1</t>
        </is>
      </c>
      <c r="C1163" t="inlineStr">
        <is>
          <t>Cali</t>
        </is>
      </c>
      <c r="D1163" t="inlineStr">
        <is>
          <t>8726</t>
        </is>
      </c>
      <c r="E1163" t="inlineStr">
        <is>
          <t>Sucursal</t>
        </is>
      </c>
      <c r="F1163" s="23" t="n">
        <v>46277</v>
      </c>
      <c r="G1163" t="inlineStr">
        <is>
          <t>provision</t>
        </is>
      </c>
      <c r="H1163" s="26" t="n">
        <v>273035056</v>
      </c>
      <c r="I1163" t="inlineStr">
        <is>
          <t>bajo</t>
        </is>
      </c>
      <c r="J1163" t="inlineStr">
        <is>
          <t>RN-11 y RN-34: provision hasta el cupo operativo antes de bajar del 8 %</t>
        </is>
      </c>
      <c r="K1163" t="inlineStr">
        <is>
          <t>Provision en la manana, antes del pagado: con el pronostico, sin provision el saldo bajaria del 8 % del cupo ese dia. Lleva el saldo de 86.964.944 a 360.000.000 COP (cupo 360.000.000). Equipo administrado por Sucursal. Sin tarifa TDV (administrado por la sucursal): costo 0 declarado.</t>
        </is>
      </c>
      <c r="L1163" s="26" t="n">
        <v>360000000</v>
      </c>
      <c r="M1163" s="26" t="n">
        <v>86964944</v>
      </c>
      <c r="N1163" s="27">
        <f>IF(ISNUMBER(M1163),M1163/L1163,"No aplica")</f>
        <v>0.2415692888888889</v>
      </c>
      <c r="O1163" s="25">
        <f>IF(G1163="provision",M1163+H1163,IF(G1163="recoleccion",M1163-H1163,"No aplica"))</f>
        <v>360000000</v>
      </c>
      <c r="P1163" s="26" t="n">
        <v>0</v>
      </c>
    </row>
    <row r="1164">
      <c r="A1164" t="inlineStr">
        <is>
          <t>PRAGMA</t>
        </is>
      </c>
      <c r="B1164" t="inlineStr">
        <is>
          <t>M1</t>
        </is>
      </c>
      <c r="C1164" t="inlineStr">
        <is>
          <t>Cali</t>
        </is>
      </c>
      <c r="D1164" t="inlineStr">
        <is>
          <t>8726</t>
        </is>
      </c>
      <c r="E1164" t="inlineStr">
        <is>
          <t>Sucursal</t>
        </is>
      </c>
      <c r="F1164" s="23" t="n">
        <v>46280</v>
      </c>
      <c r="G1164" t="inlineStr">
        <is>
          <t>provision</t>
        </is>
      </c>
      <c r="H1164" s="26" t="n">
        <v>252407697</v>
      </c>
      <c r="I1164" t="inlineStr">
        <is>
          <t>bajo</t>
        </is>
      </c>
      <c r="J1164" t="inlineStr">
        <is>
          <t>RN-11 y RN-34: provision hasta el cupo operativo antes de bajar del 8 %</t>
        </is>
      </c>
      <c r="K1164" t="inlineStr">
        <is>
          <t>Provision en la manana, antes del pagado: con el pronostico, sin provision el saldo bajaria del 8 % del cupo ese dia. Lleva el saldo de 107.592.303 a 360.000.000 COP (cupo 360.000.000). Equipo administrado por Sucursal. Sin tarifa TDV (administrado por la sucursal): costo 0 declarado.</t>
        </is>
      </c>
      <c r="L1164" s="26" t="n">
        <v>360000000</v>
      </c>
      <c r="M1164" s="26" t="n">
        <v>107592303</v>
      </c>
      <c r="N1164" s="27">
        <f>IF(ISNUMBER(M1164),M1164/L1164,"No aplica")</f>
        <v>0.2988675083333333</v>
      </c>
      <c r="O1164" s="25">
        <f>IF(G1164="provision",M1164+H1164,IF(G1164="recoleccion",M1164-H1164,"No aplica"))</f>
        <v>360000000</v>
      </c>
      <c r="P1164" s="26" t="n">
        <v>0</v>
      </c>
    </row>
    <row r="1165">
      <c r="A1165" t="inlineStr">
        <is>
          <t>PRAGMA</t>
        </is>
      </c>
      <c r="B1165" t="inlineStr">
        <is>
          <t>M1</t>
        </is>
      </c>
      <c r="C1165" t="inlineStr">
        <is>
          <t>Cali</t>
        </is>
      </c>
      <c r="D1165" t="inlineStr">
        <is>
          <t>8727</t>
        </is>
      </c>
      <c r="E1165" t="inlineStr">
        <is>
          <t>Sucursal</t>
        </is>
      </c>
      <c r="F1165" s="23" t="n">
        <v>46267</v>
      </c>
      <c r="G1165" t="inlineStr">
        <is>
          <t>provision</t>
        </is>
      </c>
      <c r="H1165" s="26" t="n">
        <v>262034543</v>
      </c>
      <c r="I1165" t="inlineStr">
        <is>
          <t>bajo</t>
        </is>
      </c>
      <c r="J1165" t="inlineStr">
        <is>
          <t>RN-11 y RN-34: provision hasta el cupo operativo antes de bajar del 8 %</t>
        </is>
      </c>
      <c r="K1165" t="inlineStr">
        <is>
          <t>Provision en la manana, antes del pagado: con el pronostico, sin provision el saldo bajaria del 8 % del cupo ese dia. Lleva el saldo de 187.965.457 a 450.000.000 COP (cupo 450.000.000). Equipo administrado por Sucursal. Sin tarifa TDV (administrado por la sucursal): costo 0 declarado.</t>
        </is>
      </c>
      <c r="L1165" s="26" t="n">
        <v>450000000</v>
      </c>
      <c r="M1165" s="26" t="n">
        <v>187965457</v>
      </c>
      <c r="N1165" s="27">
        <f>IF(ISNUMBER(M1165),M1165/L1165,"No aplica")</f>
        <v>0.41770101555555555</v>
      </c>
      <c r="O1165" s="25">
        <f>IF(G1165="provision",M1165+H1165,IF(G1165="recoleccion",M1165-H1165,"No aplica"))</f>
        <v>450000000</v>
      </c>
      <c r="P1165" s="26" t="n">
        <v>0</v>
      </c>
    </row>
    <row r="1166">
      <c r="A1166" t="inlineStr">
        <is>
          <t>PRAGMA</t>
        </is>
      </c>
      <c r="B1166" t="inlineStr">
        <is>
          <t>M1</t>
        </is>
      </c>
      <c r="C1166" t="inlineStr">
        <is>
          <t>Cali</t>
        </is>
      </c>
      <c r="D1166" t="inlineStr">
        <is>
          <t>8727</t>
        </is>
      </c>
      <c r="E1166" t="inlineStr">
        <is>
          <t>Sucursal</t>
        </is>
      </c>
      <c r="F1166" s="23" t="n">
        <v>46269</v>
      </c>
      <c r="G1166" t="inlineStr">
        <is>
          <t>provision</t>
        </is>
      </c>
      <c r="H1166" s="26" t="n">
        <v>412945001</v>
      </c>
      <c r="I1166" t="inlineStr">
        <is>
          <t>bajo</t>
        </is>
      </c>
      <c r="J1166" t="inlineStr">
        <is>
          <t>RN-11 y RN-34: provision hasta el cupo operativo antes de bajar del 8 %</t>
        </is>
      </c>
      <c r="K1166" t="inlineStr">
        <is>
          <t>Provision en la manana, antes del pagado: con el pronostico, sin provision el saldo bajaria del 8 % del cupo ese dia. Lleva el saldo de 37.054.999 a 450.000.000 COP (cupo 450.000.000). Equipo administrado por Sucursal. Sin tarifa TDV (administrado por la sucursal): costo 0 declarado.</t>
        </is>
      </c>
      <c r="L1166" s="26" t="n">
        <v>450000000</v>
      </c>
      <c r="M1166" s="26" t="n">
        <v>37054999</v>
      </c>
      <c r="N1166" s="27">
        <f>IF(ISNUMBER(M1166),M1166/L1166,"No aplica")</f>
        <v>0.08234444222222222</v>
      </c>
      <c r="O1166" s="25">
        <f>IF(G1166="provision",M1166+H1166,IF(G1166="recoleccion",M1166-H1166,"No aplica"))</f>
        <v>450000000</v>
      </c>
      <c r="P1166" s="26" t="n">
        <v>0</v>
      </c>
    </row>
    <row r="1167">
      <c r="A1167" t="inlineStr">
        <is>
          <t>PRAGMA</t>
        </is>
      </c>
      <c r="B1167" t="inlineStr">
        <is>
          <t>M1</t>
        </is>
      </c>
      <c r="C1167" t="inlineStr">
        <is>
          <t>Cali</t>
        </is>
      </c>
      <c r="D1167" t="inlineStr">
        <is>
          <t>8727</t>
        </is>
      </c>
      <c r="E1167" t="inlineStr">
        <is>
          <t>Sucursal</t>
        </is>
      </c>
      <c r="F1167" s="23" t="n">
        <v>46272</v>
      </c>
      <c r="G1167" t="inlineStr">
        <is>
          <t>provision</t>
        </is>
      </c>
      <c r="H1167" s="26" t="n">
        <v>376210031</v>
      </c>
      <c r="I1167" t="inlineStr">
        <is>
          <t>bajo</t>
        </is>
      </c>
      <c r="J1167" t="inlineStr">
        <is>
          <t>RN-11 y RN-34: provision hasta el cupo operativo antes de bajar del 8 %</t>
        </is>
      </c>
      <c r="K1167" t="inlineStr">
        <is>
          <t>Provision en la manana, antes del pagado: con el pronostico, sin provision el saldo bajaria del 8 % del cupo ese dia. Lleva el saldo de 73.789.969 a 450.000.000 COP (cupo 450.000.000). Equipo administrado por Sucursal. Sin tarifa TDV (administrado por la sucursal): costo 0 declarado.</t>
        </is>
      </c>
      <c r="L1167" s="26" t="n">
        <v>450000000</v>
      </c>
      <c r="M1167" s="26" t="n">
        <v>73789969</v>
      </c>
      <c r="N1167" s="27">
        <f>IF(ISNUMBER(M1167),M1167/L1167,"No aplica")</f>
        <v>0.16397770888888888</v>
      </c>
      <c r="O1167" s="25">
        <f>IF(G1167="provision",M1167+H1167,IF(G1167="recoleccion",M1167-H1167,"No aplica"))</f>
        <v>450000000</v>
      </c>
      <c r="P1167" s="26" t="n">
        <v>0</v>
      </c>
    </row>
    <row r="1168">
      <c r="A1168" t="inlineStr">
        <is>
          <t>PRAGMA</t>
        </is>
      </c>
      <c r="B1168" t="inlineStr">
        <is>
          <t>M1</t>
        </is>
      </c>
      <c r="C1168" t="inlineStr">
        <is>
          <t>Cali</t>
        </is>
      </c>
      <c r="D1168" t="inlineStr">
        <is>
          <t>8727</t>
        </is>
      </c>
      <c r="E1168" t="inlineStr">
        <is>
          <t>Sucursal</t>
        </is>
      </c>
      <c r="F1168" s="23" t="n">
        <v>46274</v>
      </c>
      <c r="G1168" t="inlineStr">
        <is>
          <t>provision</t>
        </is>
      </c>
      <c r="H1168" s="26" t="n">
        <v>330574789</v>
      </c>
      <c r="I1168" t="inlineStr">
        <is>
          <t>bajo</t>
        </is>
      </c>
      <c r="J1168" t="inlineStr">
        <is>
          <t>RN-11 y RN-34: provision hasta el cupo operativo antes de bajar del 8 %</t>
        </is>
      </c>
      <c r="K1168" t="inlineStr">
        <is>
          <t>Provision en la manana, antes del pagado: con el pronostico, sin provision el saldo bajaria del 8 % del cupo ese dia. Lleva el saldo de 119.425.211 a 450.000.000 COP (cupo 450.000.000). Equipo administrado por Sucursal. Sin tarifa TDV (administrado por la sucursal): costo 0 declarado.</t>
        </is>
      </c>
      <c r="L1168" s="26" t="n">
        <v>450000000</v>
      </c>
      <c r="M1168" s="26" t="n">
        <v>119425211</v>
      </c>
      <c r="N1168" s="27">
        <f>IF(ISNUMBER(M1168),M1168/L1168,"No aplica")</f>
        <v>0.2653893577777778</v>
      </c>
      <c r="O1168" s="25">
        <f>IF(G1168="provision",M1168+H1168,IF(G1168="recoleccion",M1168-H1168,"No aplica"))</f>
        <v>450000000</v>
      </c>
      <c r="P1168" s="26" t="n">
        <v>0</v>
      </c>
    </row>
    <row r="1169">
      <c r="A1169" t="inlineStr">
        <is>
          <t>PRAGMA</t>
        </is>
      </c>
      <c r="B1169" t="inlineStr">
        <is>
          <t>M1</t>
        </is>
      </c>
      <c r="C1169" t="inlineStr">
        <is>
          <t>Cali</t>
        </is>
      </c>
      <c r="D1169" t="inlineStr">
        <is>
          <t>8727</t>
        </is>
      </c>
      <c r="E1169" t="inlineStr">
        <is>
          <t>Sucursal</t>
        </is>
      </c>
      <c r="F1169" s="23" t="n">
        <v>46276</v>
      </c>
      <c r="G1169" t="inlineStr">
        <is>
          <t>provision</t>
        </is>
      </c>
      <c r="H1169" s="26" t="n">
        <v>334700936</v>
      </c>
      <c r="I1169" t="inlineStr">
        <is>
          <t>bajo</t>
        </is>
      </c>
      <c r="J1169" t="inlineStr">
        <is>
          <t>RN-11 y RN-34: provision hasta el cupo operativo antes de bajar del 8 %</t>
        </is>
      </c>
      <c r="K1169" t="inlineStr">
        <is>
          <t>Provision en la manana, antes del pagado: con el pronostico, sin provision el saldo bajaria del 8 % del cupo ese dia. Lleva el saldo de 115.299.064 a 450.000.000 COP (cupo 450.000.000). Equipo administrado por Sucursal. Sin tarifa TDV (administrado por la sucursal): costo 0 declarado.</t>
        </is>
      </c>
      <c r="L1169" s="26" t="n">
        <v>450000000</v>
      </c>
      <c r="M1169" s="26" t="n">
        <v>115299064</v>
      </c>
      <c r="N1169" s="27">
        <f>IF(ISNUMBER(M1169),M1169/L1169,"No aplica")</f>
        <v>0.2562201422222222</v>
      </c>
      <c r="O1169" s="25">
        <f>IF(G1169="provision",M1169+H1169,IF(G1169="recoleccion",M1169-H1169,"No aplica"))</f>
        <v>450000000</v>
      </c>
      <c r="P1169" s="26" t="n">
        <v>0</v>
      </c>
    </row>
    <row r="1170">
      <c r="A1170" t="inlineStr">
        <is>
          <t>PRAGMA</t>
        </is>
      </c>
      <c r="B1170" t="inlineStr">
        <is>
          <t>M1</t>
        </is>
      </c>
      <c r="C1170" t="inlineStr">
        <is>
          <t>Cali</t>
        </is>
      </c>
      <c r="D1170" t="inlineStr">
        <is>
          <t>8727</t>
        </is>
      </c>
      <c r="E1170" t="inlineStr">
        <is>
          <t>Sucursal</t>
        </is>
      </c>
      <c r="F1170" s="23" t="n">
        <v>46279</v>
      </c>
      <c r="G1170" t="inlineStr">
        <is>
          <t>provision</t>
        </is>
      </c>
      <c r="H1170" s="26" t="n">
        <v>319109623</v>
      </c>
      <c r="I1170" t="inlineStr">
        <is>
          <t>bajo</t>
        </is>
      </c>
      <c r="J1170" t="inlineStr">
        <is>
          <t>RN-11 y RN-34: provision hasta el cupo operativo antes de bajar del 8 %</t>
        </is>
      </c>
      <c r="K1170" t="inlineStr">
        <is>
          <t>Provision en la manana, antes del pagado: con el pronostico, sin provision el saldo bajaria del 8 % del cupo ese dia. Lleva el saldo de 130.890.377 a 450.000.000 COP (cupo 450.000.000). Equipo administrado por Sucursal. Sin tarifa TDV (administrado por la sucursal): costo 0 declarado.</t>
        </is>
      </c>
      <c r="L1170" s="26" t="n">
        <v>450000000</v>
      </c>
      <c r="M1170" s="26" t="n">
        <v>130890377</v>
      </c>
      <c r="N1170" s="27">
        <f>IF(ISNUMBER(M1170),M1170/L1170,"No aplica")</f>
        <v>0.2908675044444444</v>
      </c>
      <c r="O1170" s="25">
        <f>IF(G1170="provision",M1170+H1170,IF(G1170="recoleccion",M1170-H1170,"No aplica"))</f>
        <v>450000000</v>
      </c>
      <c r="P1170" s="26" t="n">
        <v>0</v>
      </c>
    </row>
    <row r="1171">
      <c r="A1171" t="inlineStr">
        <is>
          <t>PRAGMA</t>
        </is>
      </c>
      <c r="B1171" t="inlineStr">
        <is>
          <t>M1</t>
        </is>
      </c>
      <c r="C1171" t="inlineStr">
        <is>
          <t>Cali</t>
        </is>
      </c>
      <c r="D1171" t="inlineStr">
        <is>
          <t>8728</t>
        </is>
      </c>
      <c r="E1171" t="inlineStr">
        <is>
          <t>Sucursal</t>
        </is>
      </c>
      <c r="F1171" s="23" t="n">
        <v>46267</v>
      </c>
      <c r="G1171" t="inlineStr">
        <is>
          <t>provision</t>
        </is>
      </c>
      <c r="H1171" s="26" t="n">
        <v>273678282</v>
      </c>
      <c r="I1171" t="inlineStr">
        <is>
          <t>bajo</t>
        </is>
      </c>
      <c r="J1171" t="inlineStr">
        <is>
          <t>RN-11 y RN-34: provision hasta el cupo operativo antes de bajar del 8 %</t>
        </is>
      </c>
      <c r="K1171" t="inlineStr">
        <is>
          <t>Provision en la manana, antes del pagado: con el pronostico, sin provision el saldo bajaria del 8 % del cupo ese dia. Lleva el saldo de 176.321.718 a 450.000.000 COP (cupo 450.000.000). Equipo administrado por Sucursal. Sin tarifa TDV (administrado por la sucursal): costo 0 declarado.</t>
        </is>
      </c>
      <c r="L1171" s="26" t="n">
        <v>450000000</v>
      </c>
      <c r="M1171" s="26" t="n">
        <v>176321718</v>
      </c>
      <c r="N1171" s="27">
        <f>IF(ISNUMBER(M1171),M1171/L1171,"No aplica")</f>
        <v>0.39182604</v>
      </c>
      <c r="O1171" s="25">
        <f>IF(G1171="provision",M1171+H1171,IF(G1171="recoleccion",M1171-H1171,"No aplica"))</f>
        <v>450000000</v>
      </c>
      <c r="P1171" s="26" t="n">
        <v>0</v>
      </c>
    </row>
    <row r="1172">
      <c r="A1172" t="inlineStr">
        <is>
          <t>PRAGMA</t>
        </is>
      </c>
      <c r="B1172" t="inlineStr">
        <is>
          <t>M1</t>
        </is>
      </c>
      <c r="C1172" t="inlineStr">
        <is>
          <t>Cali</t>
        </is>
      </c>
      <c r="D1172" t="inlineStr">
        <is>
          <t>8728</t>
        </is>
      </c>
      <c r="E1172" t="inlineStr">
        <is>
          <t>Sucursal</t>
        </is>
      </c>
      <c r="F1172" s="23" t="n">
        <v>46268</v>
      </c>
      <c r="G1172" t="inlineStr">
        <is>
          <t>provision</t>
        </is>
      </c>
      <c r="H1172" s="26" t="n">
        <v>212627021</v>
      </c>
      <c r="I1172" t="inlineStr">
        <is>
          <t>bajo</t>
        </is>
      </c>
      <c r="J1172" t="inlineStr">
        <is>
          <t>RN-11 y RN-34: provision hasta el cupo operativo antes de bajar del 8 %</t>
        </is>
      </c>
      <c r="K1172" t="inlineStr">
        <is>
          <t>Provision en la manana, antes del pagado: con el pronostico, sin provision el saldo bajaria del 8 % del cupo ese dia. Lleva el saldo de 237.372.979 a 450.000.000 COP (cupo 450.000.000). Equipo administrado por Sucursal. Sin tarifa TDV (administrado por la sucursal): costo 0 declarado.</t>
        </is>
      </c>
      <c r="L1172" s="26" t="n">
        <v>450000000</v>
      </c>
      <c r="M1172" s="26" t="n">
        <v>237372979</v>
      </c>
      <c r="N1172" s="27">
        <f>IF(ISNUMBER(M1172),M1172/L1172,"No aplica")</f>
        <v>0.5274955088888889</v>
      </c>
      <c r="O1172" s="25">
        <f>IF(G1172="provision",M1172+H1172,IF(G1172="recoleccion",M1172-H1172,"No aplica"))</f>
        <v>450000000</v>
      </c>
      <c r="P1172" s="26" t="n">
        <v>0</v>
      </c>
    </row>
    <row r="1173">
      <c r="A1173" t="inlineStr">
        <is>
          <t>PRAGMA</t>
        </is>
      </c>
      <c r="B1173" t="inlineStr">
        <is>
          <t>M1</t>
        </is>
      </c>
      <c r="C1173" t="inlineStr">
        <is>
          <t>Cali</t>
        </is>
      </c>
      <c r="D1173" t="inlineStr">
        <is>
          <t>8728</t>
        </is>
      </c>
      <c r="E1173" t="inlineStr">
        <is>
          <t>Sucursal</t>
        </is>
      </c>
      <c r="F1173" s="23" t="n">
        <v>46269</v>
      </c>
      <c r="G1173" t="inlineStr">
        <is>
          <t>provision</t>
        </is>
      </c>
      <c r="H1173" s="26" t="n">
        <v>212364857</v>
      </c>
      <c r="I1173" t="inlineStr">
        <is>
          <t>bajo</t>
        </is>
      </c>
      <c r="J1173" t="inlineStr">
        <is>
          <t>RN-11 y RN-34: provision hasta el cupo operativo antes de bajar del 8 %</t>
        </is>
      </c>
      <c r="K1173" t="inlineStr">
        <is>
          <t>Provision en la manana, antes del pagado: con el pronostico, sin provision el saldo bajaria del 8 % del cupo ese dia. Lleva el saldo de 237.635.143 a 450.000.000 COP (cupo 450.000.000). Equipo administrado por Sucursal. Sin tarifa TDV (administrado por la sucursal): costo 0 declarado.</t>
        </is>
      </c>
      <c r="L1173" s="26" t="n">
        <v>450000000</v>
      </c>
      <c r="M1173" s="26" t="n">
        <v>237635143</v>
      </c>
      <c r="N1173" s="27">
        <f>IF(ISNUMBER(M1173),M1173/L1173,"No aplica")</f>
        <v>0.5280780955555555</v>
      </c>
      <c r="O1173" s="25">
        <f>IF(G1173="provision",M1173+H1173,IF(G1173="recoleccion",M1173-H1173,"No aplica"))</f>
        <v>450000000</v>
      </c>
      <c r="P1173" s="26" t="n">
        <v>0</v>
      </c>
    </row>
    <row r="1174">
      <c r="A1174" t="inlineStr">
        <is>
          <t>PRAGMA</t>
        </is>
      </c>
      <c r="B1174" t="inlineStr">
        <is>
          <t>M1</t>
        </is>
      </c>
      <c r="C1174" t="inlineStr">
        <is>
          <t>Cali</t>
        </is>
      </c>
      <c r="D1174" t="inlineStr">
        <is>
          <t>8728</t>
        </is>
      </c>
      <c r="E1174" t="inlineStr">
        <is>
          <t>Sucursal</t>
        </is>
      </c>
      <c r="F1174" s="23" t="n">
        <v>46272</v>
      </c>
      <c r="G1174" t="inlineStr">
        <is>
          <t>provision</t>
        </is>
      </c>
      <c r="H1174" s="26" t="n">
        <v>402202222</v>
      </c>
      <c r="I1174" t="inlineStr">
        <is>
          <t>bajo</t>
        </is>
      </c>
      <c r="J1174" t="inlineStr">
        <is>
          <t>RN-11 y RN-34: provision hasta el cupo operativo antes de bajar del 8 %</t>
        </is>
      </c>
      <c r="K1174" t="inlineStr">
        <is>
          <t>Provision en la manana, antes del pagado: con el pronostico, sin provision el saldo bajaria del 8 % del cupo ese dia. Lleva el saldo de 47.797.778 a 450.000.000 COP (cupo 450.000.000). Equipo administrado por Sucursal. Sin tarifa TDV (administrado por la sucursal): costo 0 declarado.</t>
        </is>
      </c>
      <c r="L1174" s="26" t="n">
        <v>450000000</v>
      </c>
      <c r="M1174" s="26" t="n">
        <v>47797778</v>
      </c>
      <c r="N1174" s="27">
        <f>IF(ISNUMBER(M1174),M1174/L1174,"No aplica")</f>
        <v>0.10621728444444445</v>
      </c>
      <c r="O1174" s="25">
        <f>IF(G1174="provision",M1174+H1174,IF(G1174="recoleccion",M1174-H1174,"No aplica"))</f>
        <v>450000000</v>
      </c>
      <c r="P1174" s="26" t="n">
        <v>0</v>
      </c>
    </row>
    <row r="1175">
      <c r="A1175" t="inlineStr">
        <is>
          <t>PRAGMA</t>
        </is>
      </c>
      <c r="B1175" t="inlineStr">
        <is>
          <t>M1</t>
        </is>
      </c>
      <c r="C1175" t="inlineStr">
        <is>
          <t>Cali</t>
        </is>
      </c>
      <c r="D1175" t="inlineStr">
        <is>
          <t>8728</t>
        </is>
      </c>
      <c r="E1175" t="inlineStr">
        <is>
          <t>Sucursal</t>
        </is>
      </c>
      <c r="F1175" s="23" t="n">
        <v>46274</v>
      </c>
      <c r="G1175" t="inlineStr">
        <is>
          <t>provision</t>
        </is>
      </c>
      <c r="H1175" s="26" t="n">
        <v>350116822</v>
      </c>
      <c r="I1175" t="inlineStr">
        <is>
          <t>bajo</t>
        </is>
      </c>
      <c r="J1175" t="inlineStr">
        <is>
          <t>RN-11 y RN-34: provision hasta el cupo operativo antes de bajar del 8 %</t>
        </is>
      </c>
      <c r="K1175" t="inlineStr">
        <is>
          <t>Provision en la manana, antes del pagado: con el pronostico, sin provision el saldo bajaria del 8 % del cupo ese dia. Lleva el saldo de 99.883.178 a 450.000.000 COP (cupo 450.000.000). Equipo administrado por Sucursal. Sin tarifa TDV (administrado por la sucursal): costo 0 declarado.</t>
        </is>
      </c>
      <c r="L1175" s="26" t="n">
        <v>450000000</v>
      </c>
      <c r="M1175" s="26" t="n">
        <v>99883178</v>
      </c>
      <c r="N1175" s="27">
        <f>IF(ISNUMBER(M1175),M1175/L1175,"No aplica")</f>
        <v>0.2219626177777778</v>
      </c>
      <c r="O1175" s="25">
        <f>IF(G1175="provision",M1175+H1175,IF(G1175="recoleccion",M1175-H1175,"No aplica"))</f>
        <v>450000000</v>
      </c>
      <c r="P1175" s="26" t="n">
        <v>0</v>
      </c>
    </row>
    <row r="1176">
      <c r="A1176" t="inlineStr">
        <is>
          <t>PRAGMA</t>
        </is>
      </c>
      <c r="B1176" t="inlineStr">
        <is>
          <t>M1</t>
        </is>
      </c>
      <c r="C1176" t="inlineStr">
        <is>
          <t>Cali</t>
        </is>
      </c>
      <c r="D1176" t="inlineStr">
        <is>
          <t>8728</t>
        </is>
      </c>
      <c r="E1176" t="inlineStr">
        <is>
          <t>Sucursal</t>
        </is>
      </c>
      <c r="F1176" s="23" t="n">
        <v>46276</v>
      </c>
      <c r="G1176" t="inlineStr">
        <is>
          <t>provision</t>
        </is>
      </c>
      <c r="H1176" s="26" t="n">
        <v>341824963</v>
      </c>
      <c r="I1176" t="inlineStr">
        <is>
          <t>bajo</t>
        </is>
      </c>
      <c r="J1176" t="inlineStr">
        <is>
          <t>RN-11 y RN-34: provision hasta el cupo operativo antes de bajar del 8 %</t>
        </is>
      </c>
      <c r="K1176" t="inlineStr">
        <is>
          <t>Provision en la manana, antes del pagado: con el pronostico, sin provision el saldo bajaria del 8 % del cupo ese dia. Lleva el saldo de 108.175.037 a 450.000.000 COP (cupo 450.000.000). Equipo administrado por Sucursal. Sin tarifa TDV (administrado por la sucursal): costo 0 declarado.</t>
        </is>
      </c>
      <c r="L1176" s="26" t="n">
        <v>450000000</v>
      </c>
      <c r="M1176" s="26" t="n">
        <v>108175037</v>
      </c>
      <c r="N1176" s="27">
        <f>IF(ISNUMBER(M1176),M1176/L1176,"No aplica")</f>
        <v>0.2403889711111111</v>
      </c>
      <c r="O1176" s="25">
        <f>IF(G1176="provision",M1176+H1176,IF(G1176="recoleccion",M1176-H1176,"No aplica"))</f>
        <v>450000000</v>
      </c>
      <c r="P1176" s="26" t="n">
        <v>0</v>
      </c>
    </row>
    <row r="1177">
      <c r="A1177" t="inlineStr">
        <is>
          <t>PRAGMA</t>
        </is>
      </c>
      <c r="B1177" t="inlineStr">
        <is>
          <t>M1</t>
        </is>
      </c>
      <c r="C1177" t="inlineStr">
        <is>
          <t>Cali</t>
        </is>
      </c>
      <c r="D1177" t="inlineStr">
        <is>
          <t>8728</t>
        </is>
      </c>
      <c r="E1177" t="inlineStr">
        <is>
          <t>Sucursal</t>
        </is>
      </c>
      <c r="F1177" s="23" t="n">
        <v>46279</v>
      </c>
      <c r="G1177" t="inlineStr">
        <is>
          <t>provision</t>
        </is>
      </c>
      <c r="H1177" s="26" t="n">
        <v>332773437</v>
      </c>
      <c r="I1177" t="inlineStr">
        <is>
          <t>bajo</t>
        </is>
      </c>
      <c r="J1177" t="inlineStr">
        <is>
          <t>RN-11 y RN-34: provision hasta el cupo operativo antes de bajar del 8 %</t>
        </is>
      </c>
      <c r="K1177" t="inlineStr">
        <is>
          <t>Provision en la manana, antes del pagado: con el pronostico, sin provision el saldo bajaria del 8 % del cupo ese dia. Lleva el saldo de 117.226.563 a 450.000.000 COP (cupo 450.000.000). Equipo administrado por Sucursal. Sin tarifa TDV (administrado por la sucursal): costo 0 declarado.</t>
        </is>
      </c>
      <c r="L1177" s="26" t="n">
        <v>450000000</v>
      </c>
      <c r="M1177" s="26" t="n">
        <v>117226563</v>
      </c>
      <c r="N1177" s="27">
        <f>IF(ISNUMBER(M1177),M1177/L1177,"No aplica")</f>
        <v>0.26050347333333335</v>
      </c>
      <c r="O1177" s="25">
        <f>IF(G1177="provision",M1177+H1177,IF(G1177="recoleccion",M1177-H1177,"No aplica"))</f>
        <v>450000000</v>
      </c>
      <c r="P1177" s="26" t="n">
        <v>0</v>
      </c>
    </row>
    <row r="1178">
      <c r="A1178" t="inlineStr">
        <is>
          <t>PRAGMA</t>
        </is>
      </c>
      <c r="B1178" t="inlineStr">
        <is>
          <t>M1</t>
        </is>
      </c>
      <c r="C1178" t="inlineStr">
        <is>
          <t>Cali</t>
        </is>
      </c>
      <c r="D1178" t="inlineStr">
        <is>
          <t>8729</t>
        </is>
      </c>
      <c r="E1178" t="inlineStr">
        <is>
          <t>Sucursal</t>
        </is>
      </c>
      <c r="F1178" s="23" t="n">
        <v>46267</v>
      </c>
      <c r="G1178" t="inlineStr">
        <is>
          <t>provision</t>
        </is>
      </c>
      <c r="H1178" s="26" t="n">
        <v>298754962</v>
      </c>
      <c r="I1178" t="inlineStr">
        <is>
          <t>bajo</t>
        </is>
      </c>
      <c r="J1178" t="inlineStr">
        <is>
          <t>RN-11 y RN-34: provision hasta el cupo operativo antes de bajar del 8 %</t>
        </is>
      </c>
      <c r="K1178" t="inlineStr">
        <is>
          <t>Provision en la manana, antes del pagado: con el pronostico, sin provision el saldo bajaria del 8 % del cupo ese dia. Lleva el saldo de 151.245.038 a 450.000.000 COP (cupo 450.000.000). Equipo administrado por Sucursal. Sin tarifa TDV (administrado por la sucursal): costo 0 declarado.</t>
        </is>
      </c>
      <c r="L1178" s="26" t="n">
        <v>450000000</v>
      </c>
      <c r="M1178" s="26" t="n">
        <v>151245038</v>
      </c>
      <c r="N1178" s="27">
        <f>IF(ISNUMBER(M1178),M1178/L1178,"No aplica")</f>
        <v>0.33610008444444445</v>
      </c>
      <c r="O1178" s="25">
        <f>IF(G1178="provision",M1178+H1178,IF(G1178="recoleccion",M1178-H1178,"No aplica"))</f>
        <v>450000000</v>
      </c>
      <c r="P1178" s="26" t="n">
        <v>0</v>
      </c>
    </row>
    <row r="1179">
      <c r="A1179" t="inlineStr">
        <is>
          <t>PRAGMA</t>
        </is>
      </c>
      <c r="B1179" t="inlineStr">
        <is>
          <t>M1</t>
        </is>
      </c>
      <c r="C1179" t="inlineStr">
        <is>
          <t>Cali</t>
        </is>
      </c>
      <c r="D1179" t="inlineStr">
        <is>
          <t>8729</t>
        </is>
      </c>
      <c r="E1179" t="inlineStr">
        <is>
          <t>Sucursal</t>
        </is>
      </c>
      <c r="F1179" s="23" t="n">
        <v>46268</v>
      </c>
      <c r="G1179" t="inlineStr">
        <is>
          <t>provision</t>
        </is>
      </c>
      <c r="H1179" s="26" t="n">
        <v>244564982</v>
      </c>
      <c r="I1179" t="inlineStr">
        <is>
          <t>bajo</t>
        </is>
      </c>
      <c r="J1179" t="inlineStr">
        <is>
          <t>RN-11 y RN-34: provision hasta el cupo operativo antes de bajar del 8 %</t>
        </is>
      </c>
      <c r="K1179" t="inlineStr">
        <is>
          <t>Provision en la manana, antes del pagado: con el pronostico, sin provision el saldo bajaria del 8 % del cupo ese dia. Lleva el saldo de 205.435.018 a 450.000.000 COP (cupo 450.000.000). Equipo administrado por Sucursal. Sin tarifa TDV (administrado por la sucursal): costo 0 declarado.</t>
        </is>
      </c>
      <c r="L1179" s="26" t="n">
        <v>450000000</v>
      </c>
      <c r="M1179" s="26" t="n">
        <v>205435018</v>
      </c>
      <c r="N1179" s="27">
        <f>IF(ISNUMBER(M1179),M1179/L1179,"No aplica")</f>
        <v>0.4565222622222222</v>
      </c>
      <c r="O1179" s="25">
        <f>IF(G1179="provision",M1179+H1179,IF(G1179="recoleccion",M1179-H1179,"No aplica"))</f>
        <v>450000000</v>
      </c>
      <c r="P1179" s="26" t="n">
        <v>0</v>
      </c>
    </row>
    <row r="1180">
      <c r="A1180" t="inlineStr">
        <is>
          <t>PRAGMA</t>
        </is>
      </c>
      <c r="B1180" t="inlineStr">
        <is>
          <t>M1</t>
        </is>
      </c>
      <c r="C1180" t="inlineStr">
        <is>
          <t>Cali</t>
        </is>
      </c>
      <c r="D1180" t="inlineStr">
        <is>
          <t>8729</t>
        </is>
      </c>
      <c r="E1180" t="inlineStr">
        <is>
          <t>Sucursal</t>
        </is>
      </c>
      <c r="F1180" s="23" t="n">
        <v>46269</v>
      </c>
      <c r="G1180" t="inlineStr">
        <is>
          <t>provision</t>
        </is>
      </c>
      <c r="H1180" s="26" t="n">
        <v>217744802</v>
      </c>
      <c r="I1180" t="inlineStr">
        <is>
          <t>bajo</t>
        </is>
      </c>
      <c r="J1180" t="inlineStr">
        <is>
          <t>RN-11 y RN-34: provision hasta el cupo operativo antes de bajar del 8 %</t>
        </is>
      </c>
      <c r="K1180" t="inlineStr">
        <is>
          <t>Provision en la manana, antes del pagado: con el pronostico, sin provision el saldo bajaria del 8 % del cupo ese dia. Lleva el saldo de 232.255.198 a 450.000.000 COP (cupo 450.000.000). Equipo administrado por Sucursal. Sin tarifa TDV (administrado por la sucursal): costo 0 declarado.</t>
        </is>
      </c>
      <c r="L1180" s="26" t="n">
        <v>450000000</v>
      </c>
      <c r="M1180" s="26" t="n">
        <v>232255198</v>
      </c>
      <c r="N1180" s="27">
        <f>IF(ISNUMBER(M1180),M1180/L1180,"No aplica")</f>
        <v>0.5161226622222223</v>
      </c>
      <c r="O1180" s="25">
        <f>IF(G1180="provision",M1180+H1180,IF(G1180="recoleccion",M1180-H1180,"No aplica"))</f>
        <v>450000000</v>
      </c>
      <c r="P1180" s="26" t="n">
        <v>0</v>
      </c>
    </row>
    <row r="1181">
      <c r="A1181" t="inlineStr">
        <is>
          <t>PRAGMA</t>
        </is>
      </c>
      <c r="B1181" t="inlineStr">
        <is>
          <t>M1</t>
        </is>
      </c>
      <c r="C1181" t="inlineStr">
        <is>
          <t>Cali</t>
        </is>
      </c>
      <c r="D1181" t="inlineStr">
        <is>
          <t>8729</t>
        </is>
      </c>
      <c r="E1181" t="inlineStr">
        <is>
          <t>Sucursal</t>
        </is>
      </c>
      <c r="F1181" s="23" t="n">
        <v>46270</v>
      </c>
      <c r="G1181" t="inlineStr">
        <is>
          <t>provision</t>
        </is>
      </c>
      <c r="H1181" s="26" t="n">
        <v>227632845</v>
      </c>
      <c r="I1181" t="inlineStr">
        <is>
          <t>bajo</t>
        </is>
      </c>
      <c r="J1181" t="inlineStr">
        <is>
          <t>RN-11 y RN-34: provision hasta el cupo operativo antes de bajar del 8 %</t>
        </is>
      </c>
      <c r="K1181" t="inlineStr">
        <is>
          <t>Provision en la manana, antes del pagado: con el pronostico, sin provision el saldo bajaria del 8 % del cupo ese dia. Lleva el saldo de 222.367.155 a 450.000.000 COP (cupo 450.000.000). Equipo administrado por Sucursal. Sin tarifa TDV (administrado por la sucursal): costo 0 declarado.</t>
        </is>
      </c>
      <c r="L1181" s="26" t="n">
        <v>450000000</v>
      </c>
      <c r="M1181" s="26" t="n">
        <v>222367155</v>
      </c>
      <c r="N1181" s="27">
        <f>IF(ISNUMBER(M1181),M1181/L1181,"No aplica")</f>
        <v>0.4941492333333333</v>
      </c>
      <c r="O1181" s="25">
        <f>IF(G1181="provision",M1181+H1181,IF(G1181="recoleccion",M1181-H1181,"No aplica"))</f>
        <v>450000000</v>
      </c>
      <c r="P1181" s="26" t="n">
        <v>0</v>
      </c>
    </row>
    <row r="1182">
      <c r="A1182" t="inlineStr">
        <is>
          <t>PRAGMA</t>
        </is>
      </c>
      <c r="B1182" t="inlineStr">
        <is>
          <t>M1</t>
        </is>
      </c>
      <c r="C1182" t="inlineStr">
        <is>
          <t>Cali</t>
        </is>
      </c>
      <c r="D1182" t="inlineStr">
        <is>
          <t>8729</t>
        </is>
      </c>
      <c r="E1182" t="inlineStr">
        <is>
          <t>Sucursal</t>
        </is>
      </c>
      <c r="F1182" s="23" t="n">
        <v>46273</v>
      </c>
      <c r="G1182" t="inlineStr">
        <is>
          <t>provision</t>
        </is>
      </c>
      <c r="H1182" s="26" t="n">
        <v>373319279</v>
      </c>
      <c r="I1182" t="inlineStr">
        <is>
          <t>bajo</t>
        </is>
      </c>
      <c r="J1182" t="inlineStr">
        <is>
          <t>RN-11 y RN-34: provision hasta el cupo operativo antes de bajar del 8 %</t>
        </is>
      </c>
      <c r="K1182" t="inlineStr">
        <is>
          <t>Provision en la manana, antes del pagado: con el pronostico, sin provision el saldo bajaria del 8 % del cupo ese dia. Lleva el saldo de 76.680.721 a 450.000.000 COP (cupo 450.000.000). Equipo administrado por Sucursal. Sin tarifa TDV (administrado por la sucursal): costo 0 declarado.</t>
        </is>
      </c>
      <c r="L1182" s="26" t="n">
        <v>450000000</v>
      </c>
      <c r="M1182" s="26" t="n">
        <v>76680721</v>
      </c>
      <c r="N1182" s="27">
        <f>IF(ISNUMBER(M1182),M1182/L1182,"No aplica")</f>
        <v>0.17040160222222223</v>
      </c>
      <c r="O1182" s="25">
        <f>IF(G1182="provision",M1182+H1182,IF(G1182="recoleccion",M1182-H1182,"No aplica"))</f>
        <v>450000000</v>
      </c>
      <c r="P1182" s="26" t="n">
        <v>0</v>
      </c>
    </row>
    <row r="1183">
      <c r="A1183" t="inlineStr">
        <is>
          <t>PRAGMA</t>
        </is>
      </c>
      <c r="B1183" t="inlineStr">
        <is>
          <t>M1</t>
        </is>
      </c>
      <c r="C1183" t="inlineStr">
        <is>
          <t>Cali</t>
        </is>
      </c>
      <c r="D1183" t="inlineStr">
        <is>
          <t>8729</t>
        </is>
      </c>
      <c r="E1183" t="inlineStr">
        <is>
          <t>Sucursal</t>
        </is>
      </c>
      <c r="F1183" s="23" t="n">
        <v>46275</v>
      </c>
      <c r="G1183" t="inlineStr">
        <is>
          <t>provision</t>
        </is>
      </c>
      <c r="H1183" s="26" t="n">
        <v>396782312</v>
      </c>
      <c r="I1183" t="inlineStr">
        <is>
          <t>bajo</t>
        </is>
      </c>
      <c r="J1183" t="inlineStr">
        <is>
          <t>RN-11 y RN-34: provision hasta el cupo operativo antes de bajar del 8 %</t>
        </is>
      </c>
      <c r="K1183" t="inlineStr">
        <is>
          <t>Provision en la manana, antes del pagado: con el pronostico, sin provision el saldo bajaria del 8 % del cupo ese dia. Lleva el saldo de 53.217.688 a 450.000.000 COP (cupo 450.000.000). Equipo administrado por Sucursal. Sin tarifa TDV (administrado por la sucursal): costo 0 declarado.</t>
        </is>
      </c>
      <c r="L1183" s="26" t="n">
        <v>450000000</v>
      </c>
      <c r="M1183" s="26" t="n">
        <v>53217688</v>
      </c>
      <c r="N1183" s="27">
        <f>IF(ISNUMBER(M1183),M1183/L1183,"No aplica")</f>
        <v>0.11826152888888888</v>
      </c>
      <c r="O1183" s="25">
        <f>IF(G1183="provision",M1183+H1183,IF(G1183="recoleccion",M1183-H1183,"No aplica"))</f>
        <v>450000000</v>
      </c>
      <c r="P1183" s="26" t="n">
        <v>0</v>
      </c>
    </row>
    <row r="1184">
      <c r="A1184" t="inlineStr">
        <is>
          <t>PRAGMA</t>
        </is>
      </c>
      <c r="B1184" t="inlineStr">
        <is>
          <t>M1</t>
        </is>
      </c>
      <c r="C1184" t="inlineStr">
        <is>
          <t>Cali</t>
        </is>
      </c>
      <c r="D1184" t="inlineStr">
        <is>
          <t>8729</t>
        </is>
      </c>
      <c r="E1184" t="inlineStr">
        <is>
          <t>Sucursal</t>
        </is>
      </c>
      <c r="F1184" s="23" t="n">
        <v>46277</v>
      </c>
      <c r="G1184" t="inlineStr">
        <is>
          <t>provision</t>
        </is>
      </c>
      <c r="H1184" s="26" t="n">
        <v>354937457</v>
      </c>
      <c r="I1184" t="inlineStr">
        <is>
          <t>bajo</t>
        </is>
      </c>
      <c r="J1184" t="inlineStr">
        <is>
          <t>RN-11 y RN-34: provision hasta el cupo operativo antes de bajar del 8 %</t>
        </is>
      </c>
      <c r="K1184" t="inlineStr">
        <is>
          <t>Provision en la manana, antes del pagado: con el pronostico, sin provision el saldo bajaria del 8 % del cupo ese dia. Lleva el saldo de 95.062.543 a 450.000.000 COP (cupo 450.000.000). Equipo administrado por Sucursal. Sin tarifa TDV (administrado por la sucursal): costo 0 declarado.</t>
        </is>
      </c>
      <c r="L1184" s="26" t="n">
        <v>450000000</v>
      </c>
      <c r="M1184" s="26" t="n">
        <v>95062543</v>
      </c>
      <c r="N1184" s="27">
        <f>IF(ISNUMBER(M1184),M1184/L1184,"No aplica")</f>
        <v>0.21125009555555554</v>
      </c>
      <c r="O1184" s="25">
        <f>IF(G1184="provision",M1184+H1184,IF(G1184="recoleccion",M1184-H1184,"No aplica"))</f>
        <v>450000000</v>
      </c>
      <c r="P1184" s="26" t="n">
        <v>0</v>
      </c>
    </row>
    <row r="1185">
      <c r="A1185" t="inlineStr">
        <is>
          <t>PRAGMA</t>
        </is>
      </c>
      <c r="B1185" t="inlineStr">
        <is>
          <t>M1</t>
        </is>
      </c>
      <c r="C1185" t="inlineStr">
        <is>
          <t>Cali</t>
        </is>
      </c>
      <c r="D1185" t="inlineStr">
        <is>
          <t>8729</t>
        </is>
      </c>
      <c r="E1185" t="inlineStr">
        <is>
          <t>Sucursal</t>
        </is>
      </c>
      <c r="F1185" s="23" t="n">
        <v>46280</v>
      </c>
      <c r="G1185" t="inlineStr">
        <is>
          <t>provision</t>
        </is>
      </c>
      <c r="H1185" s="26" t="n">
        <v>321821127</v>
      </c>
      <c r="I1185" t="inlineStr">
        <is>
          <t>bajo</t>
        </is>
      </c>
      <c r="J1185" t="inlineStr">
        <is>
          <t>RN-11 y RN-34: provision hasta el cupo operativo antes de bajar del 8 %</t>
        </is>
      </c>
      <c r="K1185" t="inlineStr">
        <is>
          <t>Provision en la manana, antes del pagado: con el pronostico, sin provision el saldo bajaria del 8 % del cupo ese dia. Lleva el saldo de 128.178.873 a 450.000.000 COP (cupo 450.000.000). Equipo administrado por Sucursal. Sin tarifa TDV (administrado por la sucursal): costo 0 declarado.</t>
        </is>
      </c>
      <c r="L1185" s="26" t="n">
        <v>450000000</v>
      </c>
      <c r="M1185" s="26" t="n">
        <v>128178873</v>
      </c>
      <c r="N1185" s="27">
        <f>IF(ISNUMBER(M1185),M1185/L1185,"No aplica")</f>
        <v>0.28484194</v>
      </c>
      <c r="O1185" s="25">
        <f>IF(G1185="provision",M1185+H1185,IF(G1185="recoleccion",M1185-H1185,"No aplica"))</f>
        <v>450000000</v>
      </c>
      <c r="P1185" s="26" t="n">
        <v>0</v>
      </c>
    </row>
    <row r="1186">
      <c r="A1186" t="inlineStr">
        <is>
          <t>PRAGMA</t>
        </is>
      </c>
      <c r="B1186" t="inlineStr">
        <is>
          <t>M1</t>
        </is>
      </c>
      <c r="C1186" t="inlineStr">
        <is>
          <t>Cali</t>
        </is>
      </c>
      <c r="D1186" t="inlineStr">
        <is>
          <t>8730</t>
        </is>
      </c>
      <c r="E1186" t="inlineStr">
        <is>
          <t>Sucursal</t>
        </is>
      </c>
      <c r="F1186" s="23" t="n">
        <v>46267</v>
      </c>
      <c r="G1186" t="inlineStr">
        <is>
          <t>provision</t>
        </is>
      </c>
      <c r="H1186" s="26" t="n">
        <v>297863368</v>
      </c>
      <c r="I1186" t="inlineStr">
        <is>
          <t>bajo</t>
        </is>
      </c>
      <c r="J1186" t="inlineStr">
        <is>
          <t>RN-11 y RN-34: provision hasta el cupo operativo antes de bajar del 8 %</t>
        </is>
      </c>
      <c r="K1186" t="inlineStr">
        <is>
          <t>Provision en la manana, antes del pagado: con el pronostico, sin provision el saldo bajaria del 8 % del cupo ese dia. Lleva el saldo de 152.136.632 a 450.000.000 COP (cupo 450.000.000). Equipo administrado por Sucursal. Sin tarifa TDV (administrado por la sucursal): costo 0 declarado.</t>
        </is>
      </c>
      <c r="L1186" s="26" t="n">
        <v>450000000</v>
      </c>
      <c r="M1186" s="26" t="n">
        <v>152136632</v>
      </c>
      <c r="N1186" s="27">
        <f>IF(ISNUMBER(M1186),M1186/L1186,"No aplica")</f>
        <v>0.33808140444444446</v>
      </c>
      <c r="O1186" s="25">
        <f>IF(G1186="provision",M1186+H1186,IF(G1186="recoleccion",M1186-H1186,"No aplica"))</f>
        <v>450000000</v>
      </c>
      <c r="P1186" s="26" t="n">
        <v>0</v>
      </c>
    </row>
    <row r="1187">
      <c r="A1187" t="inlineStr">
        <is>
          <t>PRAGMA</t>
        </is>
      </c>
      <c r="B1187" t="inlineStr">
        <is>
          <t>M1</t>
        </is>
      </c>
      <c r="C1187" t="inlineStr">
        <is>
          <t>Cali</t>
        </is>
      </c>
      <c r="D1187" t="inlineStr">
        <is>
          <t>8730</t>
        </is>
      </c>
      <c r="E1187" t="inlineStr">
        <is>
          <t>Sucursal</t>
        </is>
      </c>
      <c r="F1187" s="23" t="n">
        <v>46268</v>
      </c>
      <c r="G1187" t="inlineStr">
        <is>
          <t>provision</t>
        </is>
      </c>
      <c r="H1187" s="26" t="n">
        <v>229661819</v>
      </c>
      <c r="I1187" t="inlineStr">
        <is>
          <t>bajo</t>
        </is>
      </c>
      <c r="J1187" t="inlineStr">
        <is>
          <t>RN-11 y RN-34: provision hasta el cupo operativo antes de bajar del 8 %</t>
        </is>
      </c>
      <c r="K1187" t="inlineStr">
        <is>
          <t>Provision en la manana, antes del pagado: con el pronostico, sin provision el saldo bajaria del 8 % del cupo ese dia. Lleva el saldo de 220.338.181 a 450.000.000 COP (cupo 450.000.000). Equipo administrado por Sucursal. Sin tarifa TDV (administrado por la sucursal): costo 0 declarado.</t>
        </is>
      </c>
      <c r="L1187" s="26" t="n">
        <v>450000000</v>
      </c>
      <c r="M1187" s="26" t="n">
        <v>220338181</v>
      </c>
      <c r="N1187" s="27">
        <f>IF(ISNUMBER(M1187),M1187/L1187,"No aplica")</f>
        <v>0.4896404022222222</v>
      </c>
      <c r="O1187" s="25">
        <f>IF(G1187="provision",M1187+H1187,IF(G1187="recoleccion",M1187-H1187,"No aplica"))</f>
        <v>450000000</v>
      </c>
      <c r="P1187" s="26" t="n">
        <v>0</v>
      </c>
    </row>
    <row r="1188">
      <c r="A1188" t="inlineStr">
        <is>
          <t>PRAGMA</t>
        </is>
      </c>
      <c r="B1188" t="inlineStr">
        <is>
          <t>M1</t>
        </is>
      </c>
      <c r="C1188" t="inlineStr">
        <is>
          <t>Cali</t>
        </is>
      </c>
      <c r="D1188" t="inlineStr">
        <is>
          <t>8730</t>
        </is>
      </c>
      <c r="E1188" t="inlineStr">
        <is>
          <t>Sucursal</t>
        </is>
      </c>
      <c r="F1188" s="23" t="n">
        <v>46269</v>
      </c>
      <c r="G1188" t="inlineStr">
        <is>
          <t>provision</t>
        </is>
      </c>
      <c r="H1188" s="26" t="n">
        <v>217395714</v>
      </c>
      <c r="I1188" t="inlineStr">
        <is>
          <t>bajo</t>
        </is>
      </c>
      <c r="J1188" t="inlineStr">
        <is>
          <t>RN-11 y RN-34: provision hasta el cupo operativo antes de bajar del 8 %</t>
        </is>
      </c>
      <c r="K1188" t="inlineStr">
        <is>
          <t>Provision en la manana, antes del pagado: con el pronostico, sin provision el saldo bajaria del 8 % del cupo ese dia. Lleva el saldo de 232.604.286 a 450.000.000 COP (cupo 450.000.000). Equipo administrado por Sucursal. Sin tarifa TDV (administrado por la sucursal): costo 0 declarado.</t>
        </is>
      </c>
      <c r="L1188" s="26" t="n">
        <v>450000000</v>
      </c>
      <c r="M1188" s="26" t="n">
        <v>232604286</v>
      </c>
      <c r="N1188" s="27">
        <f>IF(ISNUMBER(M1188),M1188/L1188,"No aplica")</f>
        <v>0.5168984133333333</v>
      </c>
      <c r="O1188" s="25">
        <f>IF(G1188="provision",M1188+H1188,IF(G1188="recoleccion",M1188-H1188,"No aplica"))</f>
        <v>450000000</v>
      </c>
      <c r="P1188" s="26" t="n">
        <v>0</v>
      </c>
    </row>
    <row r="1189">
      <c r="A1189" t="inlineStr">
        <is>
          <t>PRAGMA</t>
        </is>
      </c>
      <c r="B1189" t="inlineStr">
        <is>
          <t>M1</t>
        </is>
      </c>
      <c r="C1189" t="inlineStr">
        <is>
          <t>Cali</t>
        </is>
      </c>
      <c r="D1189" t="inlineStr">
        <is>
          <t>8730</t>
        </is>
      </c>
      <c r="E1189" t="inlineStr">
        <is>
          <t>Sucursal</t>
        </is>
      </c>
      <c r="F1189" s="23" t="n">
        <v>46272</v>
      </c>
      <c r="G1189" t="inlineStr">
        <is>
          <t>provision</t>
        </is>
      </c>
      <c r="H1189" s="26" t="n">
        <v>408780459</v>
      </c>
      <c r="I1189" t="inlineStr">
        <is>
          <t>bajo</t>
        </is>
      </c>
      <c r="J1189" t="inlineStr">
        <is>
          <t>RN-11 y RN-34: provision hasta el cupo operativo antes de bajar del 8 %</t>
        </is>
      </c>
      <c r="K1189" t="inlineStr">
        <is>
          <t>Provision en la manana, antes del pagado: con el pronostico, sin provision el saldo bajaria del 8 % del cupo ese dia. Lleva el saldo de 41.219.541 a 450.000.000 COP (cupo 450.000.000). Equipo administrado por Sucursal. Sin tarifa TDV (administrado por la sucursal): costo 0 declarado.</t>
        </is>
      </c>
      <c r="L1189" s="26" t="n">
        <v>450000000</v>
      </c>
      <c r="M1189" s="26" t="n">
        <v>41219541</v>
      </c>
      <c r="N1189" s="27">
        <f>IF(ISNUMBER(M1189),M1189/L1189,"No aplica")</f>
        <v>0.09159898</v>
      </c>
      <c r="O1189" s="25">
        <f>IF(G1189="provision",M1189+H1189,IF(G1189="recoleccion",M1189-H1189,"No aplica"))</f>
        <v>450000000</v>
      </c>
      <c r="P1189" s="26" t="n">
        <v>0</v>
      </c>
    </row>
    <row r="1190">
      <c r="A1190" t="inlineStr">
        <is>
          <t>PRAGMA</t>
        </is>
      </c>
      <c r="B1190" t="inlineStr">
        <is>
          <t>M1</t>
        </is>
      </c>
      <c r="C1190" t="inlineStr">
        <is>
          <t>Cali</t>
        </is>
      </c>
      <c r="D1190" t="inlineStr">
        <is>
          <t>8730</t>
        </is>
      </c>
      <c r="E1190" t="inlineStr">
        <is>
          <t>Sucursal</t>
        </is>
      </c>
      <c r="F1190" s="23" t="n">
        <v>46274</v>
      </c>
      <c r="G1190" t="inlineStr">
        <is>
          <t>provision</t>
        </is>
      </c>
      <c r="H1190" s="26" t="n">
        <v>372354708</v>
      </c>
      <c r="I1190" t="inlineStr">
        <is>
          <t>bajo</t>
        </is>
      </c>
      <c r="J1190" t="inlineStr">
        <is>
          <t>RN-11 y RN-34: provision hasta el cupo operativo antes de bajar del 8 %</t>
        </is>
      </c>
      <c r="K1190" t="inlineStr">
        <is>
          <t>Provision en la manana, antes del pagado: con el pronostico, sin provision el saldo bajaria del 8 % del cupo ese dia. Lleva el saldo de 77.645.292 a 450.000.000 COP (cupo 450.000.000). Equipo administrado por Sucursal. Sin tarifa TDV (administrado por la sucursal): costo 0 declarado.</t>
        </is>
      </c>
      <c r="L1190" s="26" t="n">
        <v>450000000</v>
      </c>
      <c r="M1190" s="26" t="n">
        <v>77645292</v>
      </c>
      <c r="N1190" s="27">
        <f>IF(ISNUMBER(M1190),M1190/L1190,"No aplica")</f>
        <v>0.17254509333333334</v>
      </c>
      <c r="O1190" s="25">
        <f>IF(G1190="provision",M1190+H1190,IF(G1190="recoleccion",M1190-H1190,"No aplica"))</f>
        <v>450000000</v>
      </c>
      <c r="P1190" s="26" t="n">
        <v>0</v>
      </c>
    </row>
    <row r="1191">
      <c r="A1191" t="inlineStr">
        <is>
          <t>PRAGMA</t>
        </is>
      </c>
      <c r="B1191" t="inlineStr">
        <is>
          <t>M1</t>
        </is>
      </c>
      <c r="C1191" t="inlineStr">
        <is>
          <t>Cali</t>
        </is>
      </c>
      <c r="D1191" t="inlineStr">
        <is>
          <t>8730</t>
        </is>
      </c>
      <c r="E1191" t="inlineStr">
        <is>
          <t>Sucursal</t>
        </is>
      </c>
      <c r="F1191" s="23" t="n">
        <v>46276</v>
      </c>
      <c r="G1191" t="inlineStr">
        <is>
          <t>provision</t>
        </is>
      </c>
      <c r="H1191" s="26" t="n">
        <v>354249065</v>
      </c>
      <c r="I1191" t="inlineStr">
        <is>
          <t>bajo</t>
        </is>
      </c>
      <c r="J1191" t="inlineStr">
        <is>
          <t>RN-11 y RN-34: provision hasta el cupo operativo antes de bajar del 8 %</t>
        </is>
      </c>
      <c r="K1191" t="inlineStr">
        <is>
          <t>Provision en la manana, antes del pagado: con el pronostico, sin provision el saldo bajaria del 8 % del cupo ese dia. Lleva el saldo de 95.750.935 a 450.000.000 COP (cupo 450.000.000). Equipo administrado por Sucursal. Sin tarifa TDV (administrado por la sucursal): costo 0 declarado.</t>
        </is>
      </c>
      <c r="L1191" s="26" t="n">
        <v>450000000</v>
      </c>
      <c r="M1191" s="26" t="n">
        <v>95750935</v>
      </c>
      <c r="N1191" s="27">
        <f>IF(ISNUMBER(M1191),M1191/L1191,"No aplica")</f>
        <v>0.21277985555555556</v>
      </c>
      <c r="O1191" s="25">
        <f>IF(G1191="provision",M1191+H1191,IF(G1191="recoleccion",M1191-H1191,"No aplica"))</f>
        <v>450000000</v>
      </c>
      <c r="P1191" s="26" t="n">
        <v>0</v>
      </c>
    </row>
    <row r="1192">
      <c r="A1192" t="inlineStr">
        <is>
          <t>PRAGMA</t>
        </is>
      </c>
      <c r="B1192" t="inlineStr">
        <is>
          <t>M1</t>
        </is>
      </c>
      <c r="C1192" t="inlineStr">
        <is>
          <t>Cali</t>
        </is>
      </c>
      <c r="D1192" t="inlineStr">
        <is>
          <t>8730</t>
        </is>
      </c>
      <c r="E1192" t="inlineStr">
        <is>
          <t>Sucursal</t>
        </is>
      </c>
      <c r="F1192" s="23" t="n">
        <v>46279</v>
      </c>
      <c r="G1192" t="inlineStr">
        <is>
          <t>provision</t>
        </is>
      </c>
      <c r="H1192" s="26" t="n">
        <v>338158301</v>
      </c>
      <c r="I1192" t="inlineStr">
        <is>
          <t>bajo</t>
        </is>
      </c>
      <c r="J1192" t="inlineStr">
        <is>
          <t>RN-11 y RN-34: provision hasta el cupo operativo antes de bajar del 8 %</t>
        </is>
      </c>
      <c r="K1192" t="inlineStr">
        <is>
          <t>Provision en la manana, antes del pagado: con el pronostico, sin provision el saldo bajaria del 8 % del cupo ese dia. Lleva el saldo de 111.841.699 a 450.000.000 COP (cupo 450.000.000). Equipo administrado por Sucursal. Sin tarifa TDV (administrado por la sucursal): costo 0 declarado.</t>
        </is>
      </c>
      <c r="L1192" s="26" t="n">
        <v>450000000</v>
      </c>
      <c r="M1192" s="26" t="n">
        <v>111841699</v>
      </c>
      <c r="N1192" s="27">
        <f>IF(ISNUMBER(M1192),M1192/L1192,"No aplica")</f>
        <v>0.24853710888888889</v>
      </c>
      <c r="O1192" s="25">
        <f>IF(G1192="provision",M1192+H1192,IF(G1192="recoleccion",M1192-H1192,"No aplica"))</f>
        <v>450000000</v>
      </c>
      <c r="P1192" s="26" t="n">
        <v>0</v>
      </c>
    </row>
    <row r="1193">
      <c r="A1193" t="inlineStr">
        <is>
          <t>PRAGMA</t>
        </is>
      </c>
      <c r="B1193" t="inlineStr">
        <is>
          <t>M1</t>
        </is>
      </c>
      <c r="C1193" t="inlineStr">
        <is>
          <t>Cali</t>
        </is>
      </c>
      <c r="D1193" t="inlineStr">
        <is>
          <t>8730</t>
        </is>
      </c>
      <c r="E1193" t="inlineStr">
        <is>
          <t>Sucursal</t>
        </is>
      </c>
      <c r="F1193" s="23" t="n">
        <v>46280</v>
      </c>
      <c r="G1193" t="inlineStr">
        <is>
          <t>provision</t>
        </is>
      </c>
      <c r="H1193" s="26" t="n">
        <v>171788361</v>
      </c>
      <c r="I1193" t="inlineStr">
        <is>
          <t>bajo</t>
        </is>
      </c>
      <c r="J1193" t="inlineStr">
        <is>
          <t>RN-11 y RN-34: provision hasta el cupo operativo antes de bajar del 8 %</t>
        </is>
      </c>
      <c r="K1193" t="inlineStr">
        <is>
          <t>Provision en la manana, antes del pagado: con el pronostico, sin provision el saldo bajaria del 8 % del cupo ese dia. Lleva el saldo de 278.211.639 a 450.000.000 COP (cupo 450.000.000). Equipo administrado por Sucursal. Sin tarifa TDV (administrado por la sucursal): costo 0 declarado.</t>
        </is>
      </c>
      <c r="L1193" s="26" t="n">
        <v>450000000</v>
      </c>
      <c r="M1193" s="26" t="n">
        <v>278211639</v>
      </c>
      <c r="N1193" s="27">
        <f>IF(ISNUMBER(M1193),M1193/L1193,"No aplica")</f>
        <v>0.6182480866666666</v>
      </c>
      <c r="O1193" s="25">
        <f>IF(G1193="provision",M1193+H1193,IF(G1193="recoleccion",M1193-H1193,"No aplica"))</f>
        <v>450000000</v>
      </c>
      <c r="P1193" s="26" t="n">
        <v>0</v>
      </c>
    </row>
    <row r="1194">
      <c r="A1194" t="inlineStr">
        <is>
          <t>PRAGMA</t>
        </is>
      </c>
      <c r="B1194" t="inlineStr">
        <is>
          <t>M1</t>
        </is>
      </c>
      <c r="C1194" t="inlineStr">
        <is>
          <t>Cali</t>
        </is>
      </c>
      <c r="D1194" t="inlineStr">
        <is>
          <t>8731</t>
        </is>
      </c>
      <c r="E1194" t="inlineStr">
        <is>
          <t>Sucursal</t>
        </is>
      </c>
      <c r="F1194" s="23" t="n">
        <v>46267</v>
      </c>
      <c r="G1194" t="inlineStr">
        <is>
          <t>provision</t>
        </is>
      </c>
      <c r="H1194" s="26" t="n">
        <v>296196212</v>
      </c>
      <c r="I1194" t="inlineStr">
        <is>
          <t>bajo</t>
        </is>
      </c>
      <c r="J1194" t="inlineStr">
        <is>
          <t>RN-11 y RN-34: provision hasta el cupo operativo antes de bajar del 8 %</t>
        </is>
      </c>
      <c r="K1194" t="inlineStr">
        <is>
          <t>Provision en la manana, antes del pagado: con el pronostico, sin provision el saldo bajaria del 8 % del cupo ese dia. Lleva el saldo de 153.803.788 a 450.000.000 COP (cupo 450.000.000). Equipo administrado por Sucursal. Sin tarifa TDV (administrado por la sucursal): costo 0 declarado.</t>
        </is>
      </c>
      <c r="L1194" s="26" t="n">
        <v>450000000</v>
      </c>
      <c r="M1194" s="26" t="n">
        <v>153803788</v>
      </c>
      <c r="N1194" s="27">
        <f>IF(ISNUMBER(M1194),M1194/L1194,"No aplica")</f>
        <v>0.34178619555555556</v>
      </c>
      <c r="O1194" s="25">
        <f>IF(G1194="provision",M1194+H1194,IF(G1194="recoleccion",M1194-H1194,"No aplica"))</f>
        <v>450000000</v>
      </c>
      <c r="P1194" s="26" t="n">
        <v>0</v>
      </c>
    </row>
    <row r="1195">
      <c r="A1195" t="inlineStr">
        <is>
          <t>PRAGMA</t>
        </is>
      </c>
      <c r="B1195" t="inlineStr">
        <is>
          <t>M1</t>
        </is>
      </c>
      <c r="C1195" t="inlineStr">
        <is>
          <t>Cali</t>
        </is>
      </c>
      <c r="D1195" t="inlineStr">
        <is>
          <t>8731</t>
        </is>
      </c>
      <c r="E1195" t="inlineStr">
        <is>
          <t>Sucursal</t>
        </is>
      </c>
      <c r="F1195" s="23" t="n">
        <v>46268</v>
      </c>
      <c r="G1195" t="inlineStr">
        <is>
          <t>provision</t>
        </is>
      </c>
      <c r="H1195" s="26" t="n">
        <v>227596113</v>
      </c>
      <c r="I1195" t="inlineStr">
        <is>
          <t>bajo</t>
        </is>
      </c>
      <c r="J1195" t="inlineStr">
        <is>
          <t>RN-11 y RN-34: provision hasta el cupo operativo antes de bajar del 8 %</t>
        </is>
      </c>
      <c r="K1195" t="inlineStr">
        <is>
          <t>Provision en la manana, antes del pagado: con el pronostico, sin provision el saldo bajaria del 8 % del cupo ese dia. Lleva el saldo de 222.403.887 a 450.000.000 COP (cupo 450.000.000). Equipo administrado por Sucursal. Sin tarifa TDV (administrado por la sucursal): costo 0 declarado.</t>
        </is>
      </c>
      <c r="L1195" s="26" t="n">
        <v>450000000</v>
      </c>
      <c r="M1195" s="26" t="n">
        <v>222403887</v>
      </c>
      <c r="N1195" s="27">
        <f>IF(ISNUMBER(M1195),M1195/L1195,"No aplica")</f>
        <v>0.49423086</v>
      </c>
      <c r="O1195" s="25">
        <f>IF(G1195="provision",M1195+H1195,IF(G1195="recoleccion",M1195-H1195,"No aplica"))</f>
        <v>450000000</v>
      </c>
      <c r="P1195" s="26" t="n">
        <v>0</v>
      </c>
    </row>
    <row r="1196">
      <c r="A1196" t="inlineStr">
        <is>
          <t>PRAGMA</t>
        </is>
      </c>
      <c r="B1196" t="inlineStr">
        <is>
          <t>M1</t>
        </is>
      </c>
      <c r="C1196" t="inlineStr">
        <is>
          <t>Cali</t>
        </is>
      </c>
      <c r="D1196" t="inlineStr">
        <is>
          <t>8731</t>
        </is>
      </c>
      <c r="E1196" t="inlineStr">
        <is>
          <t>Sucursal</t>
        </is>
      </c>
      <c r="F1196" s="23" t="n">
        <v>46269</v>
      </c>
      <c r="G1196" t="inlineStr">
        <is>
          <t>provision</t>
        </is>
      </c>
      <c r="H1196" s="26" t="n">
        <v>216789459</v>
      </c>
      <c r="I1196" t="inlineStr">
        <is>
          <t>bajo</t>
        </is>
      </c>
      <c r="J1196" t="inlineStr">
        <is>
          <t>RN-11 y RN-34: provision hasta el cupo operativo antes de bajar del 8 %</t>
        </is>
      </c>
      <c r="K1196" t="inlineStr">
        <is>
          <t>Provision en la manana, antes del pagado: con el pronostico, sin provision el saldo bajaria del 8 % del cupo ese dia. Lleva el saldo de 233.210.541 a 450.000.000 COP (cupo 450.000.000). Equipo administrado por Sucursal. Sin tarifa TDV (administrado por la sucursal): costo 0 declarado.</t>
        </is>
      </c>
      <c r="L1196" s="26" t="n">
        <v>450000000</v>
      </c>
      <c r="M1196" s="26" t="n">
        <v>233210541</v>
      </c>
      <c r="N1196" s="27">
        <f>IF(ISNUMBER(M1196),M1196/L1196,"No aplica")</f>
        <v>0.5182456466666666</v>
      </c>
      <c r="O1196" s="25">
        <f>IF(G1196="provision",M1196+H1196,IF(G1196="recoleccion",M1196-H1196,"No aplica"))</f>
        <v>450000000</v>
      </c>
      <c r="P1196" s="26" t="n">
        <v>0</v>
      </c>
    </row>
    <row r="1197">
      <c r="A1197" t="inlineStr">
        <is>
          <t>PRAGMA</t>
        </is>
      </c>
      <c r="B1197" t="inlineStr">
        <is>
          <t>M1</t>
        </is>
      </c>
      <c r="C1197" t="inlineStr">
        <is>
          <t>Cali</t>
        </is>
      </c>
      <c r="D1197" t="inlineStr">
        <is>
          <t>8731</t>
        </is>
      </c>
      <c r="E1197" t="inlineStr">
        <is>
          <t>Sucursal</t>
        </is>
      </c>
      <c r="F1197" s="23" t="n">
        <v>46272</v>
      </c>
      <c r="G1197" t="inlineStr">
        <is>
          <t>provision</t>
        </is>
      </c>
      <c r="H1197" s="26" t="n">
        <v>405530960</v>
      </c>
      <c r="I1197" t="inlineStr">
        <is>
          <t>bajo</t>
        </is>
      </c>
      <c r="J1197" t="inlineStr">
        <is>
          <t>RN-11 y RN-34: provision hasta el cupo operativo antes de bajar del 8 %</t>
        </is>
      </c>
      <c r="K1197" t="inlineStr">
        <is>
          <t>Provision en la manana, antes del pagado: con el pronostico, sin provision el saldo bajaria del 8 % del cupo ese dia. Lleva el saldo de 44.469.040 a 450.000.000 COP (cupo 450.000.000). Equipo administrado por Sucursal. Sin tarifa TDV (administrado por la sucursal): costo 0 declarado.</t>
        </is>
      </c>
      <c r="L1197" s="26" t="n">
        <v>450000000</v>
      </c>
      <c r="M1197" s="26" t="n">
        <v>44469040</v>
      </c>
      <c r="N1197" s="27">
        <f>IF(ISNUMBER(M1197),M1197/L1197,"No aplica")</f>
        <v>0.0988200888888889</v>
      </c>
      <c r="O1197" s="25">
        <f>IF(G1197="provision",M1197+H1197,IF(G1197="recoleccion",M1197-H1197,"No aplica"))</f>
        <v>450000000</v>
      </c>
      <c r="P1197" s="26" t="n">
        <v>0</v>
      </c>
    </row>
    <row r="1198">
      <c r="A1198" t="inlineStr">
        <is>
          <t>PRAGMA</t>
        </is>
      </c>
      <c r="B1198" t="inlineStr">
        <is>
          <t>M1</t>
        </is>
      </c>
      <c r="C1198" t="inlineStr">
        <is>
          <t>Cali</t>
        </is>
      </c>
      <c r="D1198" t="inlineStr">
        <is>
          <t>8731</t>
        </is>
      </c>
      <c r="E1198" t="inlineStr">
        <is>
          <t>Sucursal</t>
        </is>
      </c>
      <c r="F1198" s="23" t="n">
        <v>46274</v>
      </c>
      <c r="G1198" t="inlineStr">
        <is>
          <t>provision</t>
        </is>
      </c>
      <c r="H1198" s="26" t="n">
        <v>337136489</v>
      </c>
      <c r="I1198" t="inlineStr">
        <is>
          <t>bajo</t>
        </is>
      </c>
      <c r="J1198" t="inlineStr">
        <is>
          <t>RN-11 y RN-34: provision hasta el cupo operativo antes de bajar del 8 %</t>
        </is>
      </c>
      <c r="K1198" t="inlineStr">
        <is>
          <t>Provision en la manana, antes del pagado: con el pronostico, sin provision el saldo bajaria del 8 % del cupo ese dia. Lleva el saldo de 112.863.511 a 450.000.000 COP (cupo 450.000.000). Equipo administrado por Sucursal. Sin tarifa TDV (administrado por la sucursal): costo 0 declarado.</t>
        </is>
      </c>
      <c r="L1198" s="26" t="n">
        <v>450000000</v>
      </c>
      <c r="M1198" s="26" t="n">
        <v>112863511</v>
      </c>
      <c r="N1198" s="27">
        <f>IF(ISNUMBER(M1198),M1198/L1198,"No aplica")</f>
        <v>0.2508078022222222</v>
      </c>
      <c r="O1198" s="25">
        <f>IF(G1198="provision",M1198+H1198,IF(G1198="recoleccion",M1198-H1198,"No aplica"))</f>
        <v>450000000</v>
      </c>
      <c r="P1198" s="26" t="n">
        <v>0</v>
      </c>
    </row>
    <row r="1199">
      <c r="A1199" t="inlineStr">
        <is>
          <t>PRAGMA</t>
        </is>
      </c>
      <c r="B1199" t="inlineStr">
        <is>
          <t>M1</t>
        </is>
      </c>
      <c r="C1199" t="inlineStr">
        <is>
          <t>Cali</t>
        </is>
      </c>
      <c r="D1199" t="inlineStr">
        <is>
          <t>8731</t>
        </is>
      </c>
      <c r="E1199" t="inlineStr">
        <is>
          <t>Sucursal</t>
        </is>
      </c>
      <c r="F1199" s="23" t="n">
        <v>46276</v>
      </c>
      <c r="G1199" t="inlineStr">
        <is>
          <t>provision</t>
        </is>
      </c>
      <c r="H1199" s="26" t="n">
        <v>349067763</v>
      </c>
      <c r="I1199" t="inlineStr">
        <is>
          <t>bajo</t>
        </is>
      </c>
      <c r="J1199" t="inlineStr">
        <is>
          <t>RN-11 y RN-34: provision hasta el cupo operativo antes de bajar del 8 %</t>
        </is>
      </c>
      <c r="K1199" t="inlineStr">
        <is>
          <t>Provision en la manana, antes del pagado: con el pronostico, sin provision el saldo bajaria del 8 % del cupo ese dia. Lleva el saldo de 100.932.237 a 450.000.000 COP (cupo 450.000.000). Equipo administrado por Sucursal. Sin tarifa TDV (administrado por la sucursal): costo 0 declarado.</t>
        </is>
      </c>
      <c r="L1199" s="26" t="n">
        <v>450000000</v>
      </c>
      <c r="M1199" s="26" t="n">
        <v>100932237</v>
      </c>
      <c r="N1199" s="27">
        <f>IF(ISNUMBER(M1199),M1199/L1199,"No aplica")</f>
        <v>0.22429386</v>
      </c>
      <c r="O1199" s="25">
        <f>IF(G1199="provision",M1199+H1199,IF(G1199="recoleccion",M1199-H1199,"No aplica"))</f>
        <v>450000000</v>
      </c>
      <c r="P1199" s="26" t="n">
        <v>0</v>
      </c>
    </row>
    <row r="1200">
      <c r="A1200" t="inlineStr">
        <is>
          <t>PRAGMA</t>
        </is>
      </c>
      <c r="B1200" t="inlineStr">
        <is>
          <t>M1</t>
        </is>
      </c>
      <c r="C1200" t="inlineStr">
        <is>
          <t>Cali</t>
        </is>
      </c>
      <c r="D1200" t="inlineStr">
        <is>
          <t>8731</t>
        </is>
      </c>
      <c r="E1200" t="inlineStr">
        <is>
          <t>Sucursal</t>
        </is>
      </c>
      <c r="F1200" s="23" t="n">
        <v>46279</v>
      </c>
      <c r="G1200" t="inlineStr">
        <is>
          <t>provision</t>
        </is>
      </c>
      <c r="H1200" s="26" t="n">
        <v>321552348</v>
      </c>
      <c r="I1200" t="inlineStr">
        <is>
          <t>bajo</t>
        </is>
      </c>
      <c r="J1200" t="inlineStr">
        <is>
          <t>RN-11 y RN-34: provision hasta el cupo operativo antes de bajar del 8 %</t>
        </is>
      </c>
      <c r="K1200" t="inlineStr">
        <is>
          <t>Provision en la manana, antes del pagado: con el pronostico, sin provision el saldo bajaria del 8 % del cupo ese dia. Lleva el saldo de 128.447.652 a 450.000.000 COP (cupo 450.000.000). Equipo administrado por Sucursal. Sin tarifa TDV (administrado por la sucursal): costo 0 declarado.</t>
        </is>
      </c>
      <c r="L1200" s="26" t="n">
        <v>450000000</v>
      </c>
      <c r="M1200" s="26" t="n">
        <v>128447652</v>
      </c>
      <c r="N1200" s="27">
        <f>IF(ISNUMBER(M1200),M1200/L1200,"No aplica")</f>
        <v>0.28543922666666666</v>
      </c>
      <c r="O1200" s="25">
        <f>IF(G1200="provision",M1200+H1200,IF(G1200="recoleccion",M1200-H1200,"No aplica"))</f>
        <v>450000000</v>
      </c>
      <c r="P1200" s="26" t="n">
        <v>0</v>
      </c>
    </row>
    <row r="1201">
      <c r="A1201" t="inlineStr">
        <is>
          <t>PRAGMA</t>
        </is>
      </c>
      <c r="B1201" t="inlineStr">
        <is>
          <t>M1</t>
        </is>
      </c>
      <c r="C1201" t="inlineStr">
        <is>
          <t>Cali</t>
        </is>
      </c>
      <c r="D1201" t="inlineStr">
        <is>
          <t>8746</t>
        </is>
      </c>
      <c r="E1201" t="inlineStr">
        <is>
          <t>TDV</t>
        </is>
      </c>
      <c r="F1201" s="23" t="n">
        <v>46267</v>
      </c>
      <c r="G1201" t="inlineStr">
        <is>
          <t>provision</t>
        </is>
      </c>
      <c r="H1201" s="26" t="n">
        <v>235183179</v>
      </c>
      <c r="I1201" t="inlineStr">
        <is>
          <t>bajo</t>
        </is>
      </c>
      <c r="J1201" t="inlineStr">
        <is>
          <t>RN-11 y RN-34: provision hasta el cupo operativo antes de bajar del 8 %</t>
        </is>
      </c>
      <c r="K1201" t="inlineStr">
        <is>
          <t>Provision en la manana, antes del pagado: con el pronostico, sin provision el saldo bajaria del 8 % del cupo ese dia. Lleva el saldo de 175.816.821 a 411.000.000 COP (cupo 411.000.000). Equipo administrado por TDV.</t>
        </is>
      </c>
      <c r="L1201" s="26" t="n">
        <v>411000000</v>
      </c>
      <c r="M1201" s="26" t="n">
        <v>175816821</v>
      </c>
      <c r="N1201" s="27">
        <f>IF(ISNUMBER(M1201),M1201/L1201,"No aplica")</f>
        <v>0.42777815328467156</v>
      </c>
      <c r="O1201" s="25">
        <f>IF(G1201="provision",M1201+H1201,IF(G1201="recoleccion",M1201-H1201,"No aplica"))</f>
        <v>411000000</v>
      </c>
      <c r="P1201" s="26" t="n">
        <v>81410</v>
      </c>
    </row>
    <row r="1202">
      <c r="A1202" t="inlineStr">
        <is>
          <t>PRAGMA</t>
        </is>
      </c>
      <c r="B1202" t="inlineStr">
        <is>
          <t>M1</t>
        </is>
      </c>
      <c r="C1202" t="inlineStr">
        <is>
          <t>Cali</t>
        </is>
      </c>
      <c r="D1202" t="inlineStr">
        <is>
          <t>8746</t>
        </is>
      </c>
      <c r="E1202" t="inlineStr">
        <is>
          <t>TDV</t>
        </is>
      </c>
      <c r="F1202" s="23" t="n">
        <v>46269</v>
      </c>
      <c r="G1202" t="inlineStr">
        <is>
          <t>provision</t>
        </is>
      </c>
      <c r="H1202" s="26" t="n">
        <v>357426176</v>
      </c>
      <c r="I1202" t="inlineStr">
        <is>
          <t>bajo</t>
        </is>
      </c>
      <c r="J1202" t="inlineStr">
        <is>
          <t>RN-11 y RN-34: provision hasta el cupo operativo antes de bajar del 8 %</t>
        </is>
      </c>
      <c r="K1202" t="inlineStr">
        <is>
          <t>Provision en la manana, antes del pagado: con el pronostico, sin provision el saldo bajaria del 8 % del cupo ese dia. Lleva el saldo de 53.573.824 a 411.000.000 COP (cupo 411.000.000). Equipo administrado por TDV.</t>
        </is>
      </c>
      <c r="L1202" s="26" t="n">
        <v>411000000</v>
      </c>
      <c r="M1202" s="26" t="n">
        <v>53573824</v>
      </c>
      <c r="N1202" s="27">
        <f>IF(ISNUMBER(M1202),M1202/L1202,"No aplica")</f>
        <v>0.13034993673965936</v>
      </c>
      <c r="O1202" s="25">
        <f>IF(G1202="provision",M1202+H1202,IF(G1202="recoleccion",M1202-H1202,"No aplica"))</f>
        <v>411000000</v>
      </c>
      <c r="P1202" s="26" t="n">
        <v>115638</v>
      </c>
    </row>
    <row r="1203">
      <c r="A1203" t="inlineStr">
        <is>
          <t>PRAGMA</t>
        </is>
      </c>
      <c r="B1203" t="inlineStr">
        <is>
          <t>M1</t>
        </is>
      </c>
      <c r="C1203" t="inlineStr">
        <is>
          <t>Cali</t>
        </is>
      </c>
      <c r="D1203" t="inlineStr">
        <is>
          <t>8746</t>
        </is>
      </c>
      <c r="E1203" t="inlineStr">
        <is>
          <t>TDV</t>
        </is>
      </c>
      <c r="F1203" s="23" t="n">
        <v>46271</v>
      </c>
      <c r="G1203" t="inlineStr">
        <is>
          <t>provision</t>
        </is>
      </c>
      <c r="H1203" s="26" t="n">
        <v>372643505</v>
      </c>
      <c r="I1203" t="inlineStr">
        <is>
          <t>bajo</t>
        </is>
      </c>
      <c r="J1203" t="inlineStr">
        <is>
          <t>RN-11 y RN-34: provision hasta el cupo operativo antes de bajar del 8 %</t>
        </is>
      </c>
      <c r="K1203" t="inlineStr">
        <is>
          <t>Provision en la manana, antes del pagado: con el pronostico, sin provision el saldo bajaria del 8 % del cupo ese dia. Lleva el saldo de 38.356.495 a 411.000.000 COP (cupo 411.000.000). Equipo administrado por TDV.</t>
        </is>
      </c>
      <c r="L1203" s="26" t="n">
        <v>411000000</v>
      </c>
      <c r="M1203" s="26" t="n">
        <v>38356495</v>
      </c>
      <c r="N1203" s="27">
        <f>IF(ISNUMBER(M1203),M1203/L1203,"No aplica")</f>
        <v>0.09332480535279805</v>
      </c>
      <c r="O1203" s="25">
        <f>IF(G1203="provision",M1203+H1203,IF(G1203="recoleccion",M1203-H1203,"No aplica"))</f>
        <v>411000000</v>
      </c>
      <c r="P1203" s="26" t="n">
        <v>162548</v>
      </c>
    </row>
    <row r="1204">
      <c r="A1204" t="inlineStr">
        <is>
          <t>PRAGMA</t>
        </is>
      </c>
      <c r="B1204" t="inlineStr">
        <is>
          <t>M1</t>
        </is>
      </c>
      <c r="C1204" t="inlineStr">
        <is>
          <t>Cali</t>
        </is>
      </c>
      <c r="D1204" t="inlineStr">
        <is>
          <t>8746</t>
        </is>
      </c>
      <c r="E1204" t="inlineStr">
        <is>
          <t>TDV</t>
        </is>
      </c>
      <c r="F1204" s="23" t="n">
        <v>46273</v>
      </c>
      <c r="G1204" t="inlineStr">
        <is>
          <t>provision</t>
        </is>
      </c>
      <c r="H1204" s="26" t="n">
        <v>283674069</v>
      </c>
      <c r="I1204" t="inlineStr">
        <is>
          <t>bajo</t>
        </is>
      </c>
      <c r="J1204" t="inlineStr">
        <is>
          <t>RN-11 y RN-34: provision hasta el cupo operativo antes de bajar del 8 %</t>
        </is>
      </c>
      <c r="K1204" t="inlineStr">
        <is>
          <t>Provision en la manana, antes del pagado: con el pronostico, sin provision el saldo bajaria del 8 % del cupo ese dia. Lleva el saldo de 127.325.931 a 411.000.000 COP (cupo 411.000.000). Equipo administrado por TDV.</t>
        </is>
      </c>
      <c r="L1204" s="26" t="n">
        <v>411000000</v>
      </c>
      <c r="M1204" s="26" t="n">
        <v>127325931</v>
      </c>
      <c r="N1204" s="27">
        <f>IF(ISNUMBER(M1204),M1204/L1204,"No aplica")</f>
        <v>0.3097954525547445</v>
      </c>
      <c r="O1204" s="25">
        <f>IF(G1204="provision",M1204+H1204,IF(G1204="recoleccion",M1204-H1204,"No aplica"))</f>
        <v>411000000</v>
      </c>
      <c r="P1204" s="26" t="n">
        <v>94988</v>
      </c>
    </row>
    <row r="1205">
      <c r="A1205" t="inlineStr">
        <is>
          <t>PRAGMA</t>
        </is>
      </c>
      <c r="B1205" t="inlineStr">
        <is>
          <t>M1</t>
        </is>
      </c>
      <c r="C1205" t="inlineStr">
        <is>
          <t>Cali</t>
        </is>
      </c>
      <c r="D1205" t="inlineStr">
        <is>
          <t>8746</t>
        </is>
      </c>
      <c r="E1205" t="inlineStr">
        <is>
          <t>TDV</t>
        </is>
      </c>
      <c r="F1205" s="23" t="n">
        <v>46275</v>
      </c>
      <c r="G1205" t="inlineStr">
        <is>
          <t>provision</t>
        </is>
      </c>
      <c r="H1205" s="26" t="n">
        <v>280605934</v>
      </c>
      <c r="I1205" t="inlineStr">
        <is>
          <t>bajo</t>
        </is>
      </c>
      <c r="J1205" t="inlineStr">
        <is>
          <t>RN-11 y RN-34: provision hasta el cupo operativo antes de bajar del 8 %</t>
        </is>
      </c>
      <c r="K1205" t="inlineStr">
        <is>
          <t>Provision en la manana, antes del pagado: con el pronostico, sin provision el saldo bajaria del 8 % del cupo ese dia. Lleva el saldo de 130.394.066 a 411.000.000 COP (cupo 411.000.000). Equipo administrado por TDV.</t>
        </is>
      </c>
      <c r="L1205" s="26" t="n">
        <v>411000000</v>
      </c>
      <c r="M1205" s="26" t="n">
        <v>130394066</v>
      </c>
      <c r="N1205" s="27">
        <f>IF(ISNUMBER(M1205),M1205/L1205,"No aplica")</f>
        <v>0.31726050121654503</v>
      </c>
      <c r="O1205" s="25">
        <f>IF(G1205="provision",M1205+H1205,IF(G1205="recoleccion",M1205-H1205,"No aplica"))</f>
        <v>411000000</v>
      </c>
      <c r="P1205" s="26" t="n">
        <v>94129</v>
      </c>
    </row>
    <row r="1206">
      <c r="A1206" t="inlineStr">
        <is>
          <t>PRAGMA</t>
        </is>
      </c>
      <c r="B1206" t="inlineStr">
        <is>
          <t>M1</t>
        </is>
      </c>
      <c r="C1206" t="inlineStr">
        <is>
          <t>Cali</t>
        </is>
      </c>
      <c r="D1206" t="inlineStr">
        <is>
          <t>8746</t>
        </is>
      </c>
      <c r="E1206" t="inlineStr">
        <is>
          <t>TDV</t>
        </is>
      </c>
      <c r="F1206" s="23" t="n">
        <v>46277</v>
      </c>
      <c r="G1206" t="inlineStr">
        <is>
          <t>provision</t>
        </is>
      </c>
      <c r="H1206" s="26" t="n">
        <v>294659449</v>
      </c>
      <c r="I1206" t="inlineStr">
        <is>
          <t>bajo</t>
        </is>
      </c>
      <c r="J1206" t="inlineStr">
        <is>
          <t>RN-11 y RN-34: provision hasta el cupo operativo antes de bajar del 8 %</t>
        </is>
      </c>
      <c r="K1206" t="inlineStr">
        <is>
          <t>Provision en la manana, antes del pagado: con el pronostico, sin provision el saldo bajaria del 8 % del cupo ese dia. Lleva el saldo de 116.340.551 a 411.000.000 COP (cupo 411.000.000). Equipo administrado por TDV.</t>
        </is>
      </c>
      <c r="L1206" s="26" t="n">
        <v>411000000</v>
      </c>
      <c r="M1206" s="26" t="n">
        <v>116340551</v>
      </c>
      <c r="N1206" s="27">
        <f>IF(ISNUMBER(M1206),M1206/L1206,"No aplica")</f>
        <v>0.28306703406326034</v>
      </c>
      <c r="O1206" s="25">
        <f>IF(G1206="provision",M1206+H1206,IF(G1206="recoleccion",M1206-H1206,"No aplica"))</f>
        <v>411000000</v>
      </c>
      <c r="P1206" s="26" t="n">
        <v>98064</v>
      </c>
    </row>
    <row r="1207">
      <c r="A1207" t="inlineStr">
        <is>
          <t>PRAGMA</t>
        </is>
      </c>
      <c r="B1207" t="inlineStr">
        <is>
          <t>M1</t>
        </is>
      </c>
      <c r="C1207" t="inlineStr">
        <is>
          <t>Cali</t>
        </is>
      </c>
      <c r="D1207" t="inlineStr">
        <is>
          <t>8746</t>
        </is>
      </c>
      <c r="E1207" t="inlineStr">
        <is>
          <t>TDV</t>
        </is>
      </c>
      <c r="F1207" s="23" t="n">
        <v>46279</v>
      </c>
      <c r="G1207" t="inlineStr">
        <is>
          <t>provision</t>
        </is>
      </c>
      <c r="H1207" s="26" t="n">
        <v>256291522</v>
      </c>
      <c r="I1207" t="inlineStr">
        <is>
          <t>bajo</t>
        </is>
      </c>
      <c r="J1207" t="inlineStr">
        <is>
          <t>RN-11 y RN-34: provision hasta el cupo operativo antes de bajar del 8 %</t>
        </is>
      </c>
      <c r="K1207" t="inlineStr">
        <is>
          <t>Provision en la manana, antes del pagado: con el pronostico, sin provision el saldo bajaria del 8 % del cupo ese dia. Lleva el saldo de 154.708.478 a 411.000.000 COP (cupo 411.000.000). Equipo administrado por TDV.</t>
        </is>
      </c>
      <c r="L1207" s="26" t="n">
        <v>411000000</v>
      </c>
      <c r="M1207" s="26" t="n">
        <v>154708478</v>
      </c>
      <c r="N1207" s="27">
        <f>IF(ISNUMBER(M1207),M1207/L1207,"No aplica")</f>
        <v>0.37641965450121656</v>
      </c>
      <c r="O1207" s="25">
        <f>IF(G1207="provision",M1207+H1207,IF(G1207="recoleccion",M1207-H1207,"No aplica"))</f>
        <v>411000000</v>
      </c>
      <c r="P1207" s="26" t="n">
        <v>87321</v>
      </c>
    </row>
    <row r="1208">
      <c r="A1208" t="inlineStr">
        <is>
          <t>PRAGMA</t>
        </is>
      </c>
      <c r="B1208" t="inlineStr">
        <is>
          <t>M1</t>
        </is>
      </c>
      <c r="C1208" t="inlineStr">
        <is>
          <t>Cali</t>
        </is>
      </c>
      <c r="D1208" t="inlineStr">
        <is>
          <t>8757</t>
        </is>
      </c>
      <c r="E1208" t="inlineStr">
        <is>
          <t>TDV</t>
        </is>
      </c>
      <c r="F1208" s="23" t="n">
        <v>46269</v>
      </c>
      <c r="G1208" t="inlineStr">
        <is>
          <t>provision</t>
        </is>
      </c>
      <c r="H1208" s="26" t="n">
        <v>303219074</v>
      </c>
      <c r="I1208" t="inlineStr">
        <is>
          <t>bajo</t>
        </is>
      </c>
      <c r="J1208" t="inlineStr">
        <is>
          <t>RN-11 y RN-34: provision hasta el cupo operativo antes de bajar del 8 %</t>
        </is>
      </c>
      <c r="K1208" t="inlineStr">
        <is>
          <t>Provision en la manana, antes del pagado: con el pronostico, sin provision el saldo bajaria del 8 % del cupo ese dia. Lleva el saldo de 101.780.926 a 405.000.000 COP (cupo 405.000.000). Equipo administrado por TDV.</t>
        </is>
      </c>
      <c r="L1208" s="26" t="n">
        <v>405000000</v>
      </c>
      <c r="M1208" s="26" t="n">
        <v>101780926</v>
      </c>
      <c r="N1208" s="27">
        <f>IF(ISNUMBER(M1208),M1208/L1208,"No aplica")</f>
        <v>0.25131092839506175</v>
      </c>
      <c r="O1208" s="25">
        <f>IF(G1208="provision",M1208+H1208,IF(G1208="recoleccion",M1208-H1208,"No aplica"))</f>
        <v>405000000</v>
      </c>
      <c r="P1208" s="26" t="n">
        <v>112250</v>
      </c>
    </row>
    <row r="1209">
      <c r="A1209" t="inlineStr">
        <is>
          <t>PRAGMA</t>
        </is>
      </c>
      <c r="B1209" t="inlineStr">
        <is>
          <t>M1</t>
        </is>
      </c>
      <c r="C1209" t="inlineStr">
        <is>
          <t>Cali</t>
        </is>
      </c>
      <c r="D1209" t="inlineStr">
        <is>
          <t>8757</t>
        </is>
      </c>
      <c r="E1209" t="inlineStr">
        <is>
          <t>TDV</t>
        </is>
      </c>
      <c r="F1209" s="23" t="n">
        <v>46273</v>
      </c>
      <c r="G1209" t="inlineStr">
        <is>
          <t>provision</t>
        </is>
      </c>
      <c r="H1209" s="26" t="n">
        <v>314459156</v>
      </c>
      <c r="I1209" t="inlineStr">
        <is>
          <t>bajo</t>
        </is>
      </c>
      <c r="J1209" t="inlineStr">
        <is>
          <t>RN-11 y RN-34: provision hasta el cupo operativo antes de bajar del 8 %</t>
        </is>
      </c>
      <c r="K1209" t="inlineStr">
        <is>
          <t>Provision en la manana, antes del pagado: con el pronostico, sin provision el saldo bajaria del 8 % del cupo ese dia. Lleva el saldo de 90.540.844 a 405.000.000 COP (cupo 405.000.000). Equipo administrado por TDV.</t>
        </is>
      </c>
      <c r="L1209" s="26" t="n">
        <v>405000000</v>
      </c>
      <c r="M1209" s="26" t="n">
        <v>90540844</v>
      </c>
      <c r="N1209" s="27">
        <f>IF(ISNUMBER(M1209),M1209/L1209,"No aplica")</f>
        <v>0.22355763950617283</v>
      </c>
      <c r="O1209" s="25">
        <f>IF(G1209="provision",M1209+H1209,IF(G1209="recoleccion",M1209-H1209,"No aplica"))</f>
        <v>405000000</v>
      </c>
      <c r="P1209" s="26" t="n">
        <v>115768</v>
      </c>
    </row>
    <row r="1210">
      <c r="A1210" t="inlineStr">
        <is>
          <t>PRAGMA</t>
        </is>
      </c>
      <c r="B1210" t="inlineStr">
        <is>
          <t>M1</t>
        </is>
      </c>
      <c r="C1210" t="inlineStr">
        <is>
          <t>Cali</t>
        </is>
      </c>
      <c r="D1210" t="inlineStr">
        <is>
          <t>8757</t>
        </is>
      </c>
      <c r="E1210" t="inlineStr">
        <is>
          <t>TDV</t>
        </is>
      </c>
      <c r="F1210" s="23" t="n">
        <v>46278</v>
      </c>
      <c r="G1210" t="inlineStr">
        <is>
          <t>provision</t>
        </is>
      </c>
      <c r="H1210" s="26" t="n">
        <v>341481812</v>
      </c>
      <c r="I1210" t="inlineStr">
        <is>
          <t>bajo</t>
        </is>
      </c>
      <c r="J1210" t="inlineStr">
        <is>
          <t>RN-11 y RN-34: provision hasta el cupo operativo antes de bajar del 8 %</t>
        </is>
      </c>
      <c r="K1210" t="inlineStr">
        <is>
          <t>Provision en la manana, antes del pagado: con el pronostico, sin provision el saldo bajaria del 8 % del cupo ese dia. Lleva el saldo de 63.518.188 a 405.000.000 COP (cupo 405.000.000). Equipo administrado por TDV.</t>
        </is>
      </c>
      <c r="L1210" s="26" t="n">
        <v>405000000</v>
      </c>
      <c r="M1210" s="26" t="n">
        <v>63518188</v>
      </c>
      <c r="N1210" s="27">
        <f>IF(ISNUMBER(M1210),M1210/L1210,"No aplica")</f>
        <v>0.15683503209876543</v>
      </c>
      <c r="O1210" s="25">
        <f>IF(G1210="provision",M1210+H1210,IF(G1210="recoleccion",M1210-H1210,"No aplica"))</f>
        <v>405000000</v>
      </c>
      <c r="P1210" s="26" t="n">
        <v>165625</v>
      </c>
    </row>
    <row r="1211">
      <c r="A1211" t="inlineStr">
        <is>
          <t>PRAGMA</t>
        </is>
      </c>
      <c r="B1211" t="inlineStr">
        <is>
          <t>M1</t>
        </is>
      </c>
      <c r="C1211" t="inlineStr">
        <is>
          <t>Cali</t>
        </is>
      </c>
      <c r="D1211" t="inlineStr">
        <is>
          <t>8758</t>
        </is>
      </c>
      <c r="E1211" t="inlineStr">
        <is>
          <t>TDV</t>
        </is>
      </c>
      <c r="F1211" s="23" t="n">
        <v>46269</v>
      </c>
      <c r="G1211" t="inlineStr">
        <is>
          <t>provision</t>
        </is>
      </c>
      <c r="H1211" s="26" t="n">
        <v>353665174</v>
      </c>
      <c r="I1211" t="inlineStr">
        <is>
          <t>bajo</t>
        </is>
      </c>
      <c r="J1211" t="inlineStr">
        <is>
          <t>RN-11 y RN-34: provision hasta el cupo operativo antes de bajar del 8 %</t>
        </is>
      </c>
      <c r="K1211" t="inlineStr">
        <is>
          <t>Provision en la manana, antes del pagado: con el pronostico, sin provision el saldo bajaria del 8 % del cupo ese dia. Lleva el saldo de 51.334.826 a 405.000.000 COP (cupo 405.000.000). Equipo administrado por TDV.</t>
        </is>
      </c>
      <c r="L1211" s="26" t="n">
        <v>405000000</v>
      </c>
      <c r="M1211" s="26" t="n">
        <v>51334826</v>
      </c>
      <c r="N1211" s="27">
        <f>IF(ISNUMBER(M1211),M1211/L1211,"No aplica")</f>
        <v>0.12675265679012346</v>
      </c>
      <c r="O1211" s="25">
        <f>IF(G1211="provision",M1211+H1211,IF(G1211="recoleccion",M1211-H1211,"No aplica"))</f>
        <v>405000000</v>
      </c>
      <c r="P1211" s="26" t="n">
        <v>128039</v>
      </c>
    </row>
    <row r="1212">
      <c r="A1212" t="inlineStr">
        <is>
          <t>PRAGMA</t>
        </is>
      </c>
      <c r="B1212" t="inlineStr">
        <is>
          <t>M1</t>
        </is>
      </c>
      <c r="C1212" t="inlineStr">
        <is>
          <t>Cali</t>
        </is>
      </c>
      <c r="D1212" t="inlineStr">
        <is>
          <t>8758</t>
        </is>
      </c>
      <c r="E1212" t="inlineStr">
        <is>
          <t>TDV</t>
        </is>
      </c>
      <c r="F1212" s="23" t="n">
        <v>46272</v>
      </c>
      <c r="G1212" t="inlineStr">
        <is>
          <t>provision</t>
        </is>
      </c>
      <c r="H1212" s="26" t="n">
        <v>289714974</v>
      </c>
      <c r="I1212" t="inlineStr">
        <is>
          <t>bajo</t>
        </is>
      </c>
      <c r="J1212" t="inlineStr">
        <is>
          <t>RN-11 y RN-34: provision hasta el cupo operativo antes de bajar del 8 %</t>
        </is>
      </c>
      <c r="K1212" t="inlineStr">
        <is>
          <t>Provision en la manana, antes del pagado: con el pronostico, sin provision el saldo bajaria del 8 % del cupo ese dia. Lleva el saldo de 115.285.026 a 405.000.000 COP (cupo 405.000.000). Equipo administrado por TDV.</t>
        </is>
      </c>
      <c r="L1212" s="26" t="n">
        <v>405000000</v>
      </c>
      <c r="M1212" s="26" t="n">
        <v>115285026</v>
      </c>
      <c r="N1212" s="27">
        <f>IF(ISNUMBER(M1212),M1212/L1212,"No aplica")</f>
        <v>0.2846543851851852</v>
      </c>
      <c r="O1212" s="25">
        <f>IF(G1212="provision",M1212+H1212,IF(G1212="recoleccion",M1212-H1212,"No aplica"))</f>
        <v>405000000</v>
      </c>
      <c r="P1212" s="26" t="n">
        <v>108023</v>
      </c>
    </row>
    <row r="1213">
      <c r="A1213" t="inlineStr">
        <is>
          <t>PRAGMA</t>
        </is>
      </c>
      <c r="B1213" t="inlineStr">
        <is>
          <t>M1</t>
        </is>
      </c>
      <c r="C1213" t="inlineStr">
        <is>
          <t>Cali</t>
        </is>
      </c>
      <c r="D1213" t="inlineStr">
        <is>
          <t>8758</t>
        </is>
      </c>
      <c r="E1213" t="inlineStr">
        <is>
          <t>TDV</t>
        </is>
      </c>
      <c r="F1213" s="23" t="n">
        <v>46276</v>
      </c>
      <c r="G1213" t="inlineStr">
        <is>
          <t>provision</t>
        </is>
      </c>
      <c r="H1213" s="26" t="n">
        <v>299666540</v>
      </c>
      <c r="I1213" t="inlineStr">
        <is>
          <t>bajo</t>
        </is>
      </c>
      <c r="J1213" t="inlineStr">
        <is>
          <t>RN-11 y RN-34: provision hasta el cupo operativo antes de bajar del 8 %</t>
        </is>
      </c>
      <c r="K1213" t="inlineStr">
        <is>
          <t>Provision en la manana, antes del pagado: con el pronostico, sin provision el saldo bajaria del 8 % del cupo ese dia. Lleva el saldo de 105.333.460 a 405.000.000 COP (cupo 405.000.000). Equipo administrado por TDV.</t>
        </is>
      </c>
      <c r="L1213" s="26" t="n">
        <v>405000000</v>
      </c>
      <c r="M1213" s="26" t="n">
        <v>105333460</v>
      </c>
      <c r="N1213" s="27">
        <f>IF(ISNUMBER(M1213),M1213/L1213,"No aplica")</f>
        <v>0.2600826172839506</v>
      </c>
      <c r="O1213" s="25">
        <f>IF(G1213="provision",M1213+H1213,IF(G1213="recoleccion",M1213-H1213,"No aplica"))</f>
        <v>405000000</v>
      </c>
      <c r="P1213" s="26" t="n">
        <v>111138</v>
      </c>
    </row>
    <row r="1214">
      <c r="A1214" t="inlineStr">
        <is>
          <t>PRAGMA</t>
        </is>
      </c>
      <c r="B1214" t="inlineStr">
        <is>
          <t>M1</t>
        </is>
      </c>
      <c r="C1214" t="inlineStr">
        <is>
          <t>Cali</t>
        </is>
      </c>
      <c r="D1214" t="inlineStr">
        <is>
          <t>8758</t>
        </is>
      </c>
      <c r="E1214" t="inlineStr">
        <is>
          <t>TDV</t>
        </is>
      </c>
      <c r="F1214" s="23" t="n">
        <v>46280</v>
      </c>
      <c r="G1214" t="inlineStr">
        <is>
          <t>provision</t>
        </is>
      </c>
      <c r="H1214" s="26" t="n">
        <v>302120328</v>
      </c>
      <c r="I1214" t="inlineStr">
        <is>
          <t>bajo</t>
        </is>
      </c>
      <c r="J1214" t="inlineStr">
        <is>
          <t>RN-11 y RN-34: provision hasta el cupo operativo antes de bajar del 8 %</t>
        </is>
      </c>
      <c r="K1214" t="inlineStr">
        <is>
          <t>Provision en la manana, antes del pagado: con el pronostico, sin provision el saldo bajaria del 8 % del cupo ese dia. Lleva el saldo de 102.879.672 a 405.000.000 COP (cupo 405.000.000). Equipo administrado por TDV.</t>
        </is>
      </c>
      <c r="L1214" s="26" t="n">
        <v>405000000</v>
      </c>
      <c r="M1214" s="26" t="n">
        <v>102879672</v>
      </c>
      <c r="N1214" s="27">
        <f>IF(ISNUMBER(M1214),M1214/L1214,"No aplica")</f>
        <v>0.2540238814814815</v>
      </c>
      <c r="O1214" s="25">
        <f>IF(G1214="provision",M1214+H1214,IF(G1214="recoleccion",M1214-H1214,"No aplica"))</f>
        <v>405000000</v>
      </c>
      <c r="P1214" s="26" t="n">
        <v>111906</v>
      </c>
    </row>
    <row r="1215">
      <c r="A1215" t="inlineStr">
        <is>
          <t>PRAGMA</t>
        </is>
      </c>
      <c r="B1215" t="inlineStr">
        <is>
          <t>M1</t>
        </is>
      </c>
      <c r="C1215" t="inlineStr">
        <is>
          <t>Cali</t>
        </is>
      </c>
      <c r="D1215" t="inlineStr">
        <is>
          <t>8759</t>
        </is>
      </c>
      <c r="E1215" t="inlineStr">
        <is>
          <t>TDV</t>
        </is>
      </c>
      <c r="F1215" s="23" t="n">
        <v>46269</v>
      </c>
      <c r="G1215" t="inlineStr">
        <is>
          <t>provision</t>
        </is>
      </c>
      <c r="H1215" s="26" t="n">
        <v>295376337</v>
      </c>
      <c r="I1215" t="inlineStr">
        <is>
          <t>bajo</t>
        </is>
      </c>
      <c r="J1215" t="inlineStr">
        <is>
          <t>RN-11 y RN-34: provision hasta el cupo operativo antes de bajar del 8 %</t>
        </is>
      </c>
      <c r="K1215" t="inlineStr">
        <is>
          <t>Provision en la manana, antes del pagado: con el pronostico, sin provision el saldo bajaria del 8 % del cupo ese dia. Lleva el saldo de 109.623.663 a 405.000.000 COP (cupo 405.000.000). Equipo administrado por TDV.</t>
        </is>
      </c>
      <c r="L1215" s="26" t="n">
        <v>405000000</v>
      </c>
      <c r="M1215" s="26" t="n">
        <v>109623663</v>
      </c>
      <c r="N1215" s="27">
        <f>IF(ISNUMBER(M1215),M1215/L1215,"No aplica")</f>
        <v>0.2706757111111111</v>
      </c>
      <c r="O1215" s="25">
        <f>IF(G1215="provision",M1215+H1215,IF(G1215="recoleccion",M1215-H1215,"No aplica"))</f>
        <v>405000000</v>
      </c>
      <c r="P1215" s="26" t="n">
        <v>109795</v>
      </c>
    </row>
    <row r="1216">
      <c r="A1216" t="inlineStr">
        <is>
          <t>PRAGMA</t>
        </is>
      </c>
      <c r="B1216" t="inlineStr">
        <is>
          <t>M1</t>
        </is>
      </c>
      <c r="C1216" t="inlineStr">
        <is>
          <t>Cali</t>
        </is>
      </c>
      <c r="D1216" t="inlineStr">
        <is>
          <t>8759</t>
        </is>
      </c>
      <c r="E1216" t="inlineStr">
        <is>
          <t>TDV</t>
        </is>
      </c>
      <c r="F1216" s="23" t="n">
        <v>46273</v>
      </c>
      <c r="G1216" t="inlineStr">
        <is>
          <t>provision</t>
        </is>
      </c>
      <c r="H1216" s="26" t="n">
        <v>321854823</v>
      </c>
      <c r="I1216" t="inlineStr">
        <is>
          <t>bajo</t>
        </is>
      </c>
      <c r="J1216" t="inlineStr">
        <is>
          <t>RN-11 y RN-34: provision hasta el cupo operativo antes de bajar del 8 %</t>
        </is>
      </c>
      <c r="K1216" t="inlineStr">
        <is>
          <t>Provision en la manana, antes del pagado: con el pronostico, sin provision el saldo bajaria del 8 % del cupo ese dia. Lleva el saldo de 83.145.177 a 405.000.000 COP (cupo 405.000.000). Equipo administrado por TDV.</t>
        </is>
      </c>
      <c r="L1216" s="26" t="n">
        <v>405000000</v>
      </c>
      <c r="M1216" s="26" t="n">
        <v>83145177</v>
      </c>
      <c r="N1216" s="27">
        <f>IF(ISNUMBER(M1216),M1216/L1216,"No aplica")</f>
        <v>0.20529673333333334</v>
      </c>
      <c r="O1216" s="25">
        <f>IF(G1216="provision",M1216+H1216,IF(G1216="recoleccion",M1216-H1216,"No aplica"))</f>
        <v>405000000</v>
      </c>
      <c r="P1216" s="26" t="n">
        <v>118083</v>
      </c>
    </row>
    <row r="1217">
      <c r="A1217" t="inlineStr">
        <is>
          <t>PRAGMA</t>
        </is>
      </c>
      <c r="B1217" t="inlineStr">
        <is>
          <t>M1</t>
        </is>
      </c>
      <c r="C1217" t="inlineStr">
        <is>
          <t>Cali</t>
        </is>
      </c>
      <c r="D1217" t="inlineStr">
        <is>
          <t>8759</t>
        </is>
      </c>
      <c r="E1217" t="inlineStr">
        <is>
          <t>TDV</t>
        </is>
      </c>
      <c r="F1217" s="23" t="n">
        <v>46278</v>
      </c>
      <c r="G1217" t="inlineStr">
        <is>
          <t>provision</t>
        </is>
      </c>
      <c r="H1217" s="26" t="n">
        <v>338457356</v>
      </c>
      <c r="I1217" t="inlineStr">
        <is>
          <t>bajo</t>
        </is>
      </c>
      <c r="J1217" t="inlineStr">
        <is>
          <t>RN-11 y RN-34: provision hasta el cupo operativo antes de bajar del 8 %</t>
        </is>
      </c>
      <c r="K1217" t="inlineStr">
        <is>
          <t>Provision en la manana, antes del pagado: con el pronostico, sin provision el saldo bajaria del 8 % del cupo ese dia. Lleva el saldo de 66.542.644 a 405.000.000 COP (cupo 405.000.000). Equipo administrado por TDV.</t>
        </is>
      </c>
      <c r="L1217" s="26" t="n">
        <v>405000000</v>
      </c>
      <c r="M1217" s="26" t="n">
        <v>66542644</v>
      </c>
      <c r="N1217" s="27">
        <f>IF(ISNUMBER(M1217),M1217/L1217,"No aplica")</f>
        <v>0.164302824691358</v>
      </c>
      <c r="O1217" s="25">
        <f>IF(G1217="provision",M1217+H1217,IF(G1217="recoleccion",M1217-H1217,"No aplica"))</f>
        <v>405000000</v>
      </c>
      <c r="P1217" s="26" t="n">
        <v>164358</v>
      </c>
    </row>
    <row r="1218">
      <c r="A1218" t="inlineStr">
        <is>
          <t>PRAGMA</t>
        </is>
      </c>
      <c r="B1218" t="inlineStr">
        <is>
          <t>M1</t>
        </is>
      </c>
      <c r="C1218" t="inlineStr">
        <is>
          <t>Cali</t>
        </is>
      </c>
      <c r="D1218" t="inlineStr">
        <is>
          <t>8760</t>
        </is>
      </c>
      <c r="E1218" t="inlineStr">
        <is>
          <t>TDV</t>
        </is>
      </c>
      <c r="F1218" s="23" t="n">
        <v>46269</v>
      </c>
      <c r="G1218" t="inlineStr">
        <is>
          <t>provision</t>
        </is>
      </c>
      <c r="H1218" s="26" t="n">
        <v>352852608</v>
      </c>
      <c r="I1218" t="inlineStr">
        <is>
          <t>bajo</t>
        </is>
      </c>
      <c r="J1218" t="inlineStr">
        <is>
          <t>RN-11 y RN-34: provision hasta el cupo operativo antes de bajar del 8 %</t>
        </is>
      </c>
      <c r="K1218" t="inlineStr">
        <is>
          <t>Provision en la manana, antes del pagado: con el pronostico, sin provision el saldo bajaria del 8 % del cupo ese dia. Lleva el saldo de 52.147.392 a 405.000.000 COP (cupo 405.000.000). Equipo administrado por TDV.</t>
        </is>
      </c>
      <c r="L1218" s="26" t="n">
        <v>405000000</v>
      </c>
      <c r="M1218" s="26" t="n">
        <v>52147392</v>
      </c>
      <c r="N1218" s="27">
        <f>IF(ISNUMBER(M1218),M1218/L1218,"No aplica")</f>
        <v>0.1287589925925926</v>
      </c>
      <c r="O1218" s="25">
        <f>IF(G1218="provision",M1218+H1218,IF(G1218="recoleccion",M1218-H1218,"No aplica"))</f>
        <v>405000000</v>
      </c>
      <c r="P1218" s="26" t="n">
        <v>127785</v>
      </c>
    </row>
    <row r="1219">
      <c r="A1219" t="inlineStr">
        <is>
          <t>PRAGMA</t>
        </is>
      </c>
      <c r="B1219" t="inlineStr">
        <is>
          <t>M1</t>
        </is>
      </c>
      <c r="C1219" t="inlineStr">
        <is>
          <t>Cali</t>
        </is>
      </c>
      <c r="D1219" t="inlineStr">
        <is>
          <t>8760</t>
        </is>
      </c>
      <c r="E1219" t="inlineStr">
        <is>
          <t>TDV</t>
        </is>
      </c>
      <c r="F1219" s="23" t="n">
        <v>46273</v>
      </c>
      <c r="G1219" t="inlineStr">
        <is>
          <t>provision</t>
        </is>
      </c>
      <c r="H1219" s="26" t="n">
        <v>364085283</v>
      </c>
      <c r="I1219" t="inlineStr">
        <is>
          <t>bajo</t>
        </is>
      </c>
      <c r="J1219" t="inlineStr">
        <is>
          <t>RN-11 y RN-34: provision hasta el cupo operativo antes de bajar del 8 %</t>
        </is>
      </c>
      <c r="K1219" t="inlineStr">
        <is>
          <t>Provision en la manana, antes del pagado: con el pronostico, sin provision el saldo bajaria del 8 % del cupo ese dia. Lleva el saldo de 40.914.717 a 405.000.000 COP (cupo 405.000.000). Equipo administrado por TDV.</t>
        </is>
      </c>
      <c r="L1219" s="26" t="n">
        <v>405000000</v>
      </c>
      <c r="M1219" s="26" t="n">
        <v>40914717</v>
      </c>
      <c r="N1219" s="27">
        <f>IF(ISNUMBER(M1219),M1219/L1219,"No aplica")</f>
        <v>0.10102399259259259</v>
      </c>
      <c r="O1219" s="25">
        <f>IF(G1219="provision",M1219+H1219,IF(G1219="recoleccion",M1219-H1219,"No aplica"))</f>
        <v>405000000</v>
      </c>
      <c r="P1219" s="26" t="n">
        <v>131301</v>
      </c>
    </row>
    <row r="1220">
      <c r="A1220" t="inlineStr">
        <is>
          <t>PRAGMA</t>
        </is>
      </c>
      <c r="B1220" t="inlineStr">
        <is>
          <t>M1</t>
        </is>
      </c>
      <c r="C1220" t="inlineStr">
        <is>
          <t>Cali</t>
        </is>
      </c>
      <c r="D1220" t="inlineStr">
        <is>
          <t>8760</t>
        </is>
      </c>
      <c r="E1220" t="inlineStr">
        <is>
          <t>TDV</t>
        </is>
      </c>
      <c r="F1220" s="23" t="n">
        <v>46278</v>
      </c>
      <c r="G1220" t="inlineStr">
        <is>
          <t>provision</t>
        </is>
      </c>
      <c r="H1220" s="26" t="n">
        <v>368789963</v>
      </c>
      <c r="I1220" t="inlineStr">
        <is>
          <t>bajo</t>
        </is>
      </c>
      <c r="J1220" t="inlineStr">
        <is>
          <t>RN-11 y RN-34: provision hasta el cupo operativo antes de bajar del 8 %</t>
        </is>
      </c>
      <c r="K1220" t="inlineStr">
        <is>
          <t>Provision en la manana, antes del pagado: con el pronostico, sin provision el saldo bajaria del 8 % del cupo ese dia. Lleva el saldo de 36.210.037 a 405.000.000 COP (cupo 405.000.000). Equipo administrado por TDV.</t>
        </is>
      </c>
      <c r="L1220" s="26" t="n">
        <v>405000000</v>
      </c>
      <c r="M1220" s="26" t="n">
        <v>36210037</v>
      </c>
      <c r="N1220" s="27">
        <f>IF(ISNUMBER(M1220),M1220/L1220,"No aplica")</f>
        <v>0.0894074987654321</v>
      </c>
      <c r="O1220" s="25">
        <f>IF(G1220="provision",M1220+H1220,IF(G1220="recoleccion",M1220-H1220,"No aplica"))</f>
        <v>405000000</v>
      </c>
      <c r="P1220" s="26" t="n">
        <v>177067</v>
      </c>
    </row>
    <row r="1221">
      <c r="A1221" t="inlineStr">
        <is>
          <t>PRAGMA</t>
        </is>
      </c>
      <c r="B1221" t="inlineStr">
        <is>
          <t>M1</t>
        </is>
      </c>
      <c r="C1221" t="inlineStr">
        <is>
          <t>Cali</t>
        </is>
      </c>
      <c r="D1221" t="inlineStr">
        <is>
          <t>8761</t>
        </is>
      </c>
      <c r="E1221" t="inlineStr">
        <is>
          <t>TDV</t>
        </is>
      </c>
      <c r="F1221" s="23" t="n">
        <v>46269</v>
      </c>
      <c r="G1221" t="inlineStr">
        <is>
          <t>provision</t>
        </is>
      </c>
      <c r="H1221" s="26" t="n">
        <v>303000305</v>
      </c>
      <c r="I1221" t="inlineStr">
        <is>
          <t>bajo</t>
        </is>
      </c>
      <c r="J1221" t="inlineStr">
        <is>
          <t>RN-11 y RN-34: provision hasta el cupo operativo antes de bajar del 8 %</t>
        </is>
      </c>
      <c r="K1221" t="inlineStr">
        <is>
          <t>Provision en la manana, antes del pagado: con el pronostico, sin provision el saldo bajaria del 8 % del cupo ese dia. Lleva el saldo de 101.999.695 a 405.000.000 COP (cupo 405.000.000). Equipo administrado por TDV.</t>
        </is>
      </c>
      <c r="L1221" s="26" t="n">
        <v>405000000</v>
      </c>
      <c r="M1221" s="26" t="n">
        <v>101999695</v>
      </c>
      <c r="N1221" s="27">
        <f>IF(ISNUMBER(M1221),M1221/L1221,"No aplica")</f>
        <v>0.2518510987654321</v>
      </c>
      <c r="O1221" s="25">
        <f>IF(G1221="provision",M1221+H1221,IF(G1221="recoleccion",M1221-H1221,"No aplica"))</f>
        <v>405000000</v>
      </c>
      <c r="P1221" s="26" t="n">
        <v>112181</v>
      </c>
    </row>
    <row r="1222">
      <c r="A1222" t="inlineStr">
        <is>
          <t>PRAGMA</t>
        </is>
      </c>
      <c r="B1222" t="inlineStr">
        <is>
          <t>M1</t>
        </is>
      </c>
      <c r="C1222" t="inlineStr">
        <is>
          <t>Cali</t>
        </is>
      </c>
      <c r="D1222" t="inlineStr">
        <is>
          <t>8761</t>
        </is>
      </c>
      <c r="E1222" t="inlineStr">
        <is>
          <t>TDV</t>
        </is>
      </c>
      <c r="F1222" s="23" t="n">
        <v>46273</v>
      </c>
      <c r="G1222" t="inlineStr">
        <is>
          <t>provision</t>
        </is>
      </c>
      <c r="H1222" s="26" t="n">
        <v>327454689</v>
      </c>
      <c r="I1222" t="inlineStr">
        <is>
          <t>bajo</t>
        </is>
      </c>
      <c r="J1222" t="inlineStr">
        <is>
          <t>RN-11 y RN-34: provision hasta el cupo operativo antes de bajar del 8 %</t>
        </is>
      </c>
      <c r="K1222" t="inlineStr">
        <is>
          <t>Provision en la manana, antes del pagado: con el pronostico, sin provision el saldo bajaria del 8 % del cupo ese dia. Lleva el saldo de 77.545.311 a 405.000.000 COP (cupo 405.000.000). Equipo administrado por TDV.</t>
        </is>
      </c>
      <c r="L1222" s="26" t="n">
        <v>405000000</v>
      </c>
      <c r="M1222" s="26" t="n">
        <v>77545311</v>
      </c>
      <c r="N1222" s="27">
        <f>IF(ISNUMBER(M1222),M1222/L1222,"No aplica")</f>
        <v>0.1914699037037037</v>
      </c>
      <c r="O1222" s="25">
        <f>IF(G1222="provision",M1222+H1222,IF(G1222="recoleccion",M1222-H1222,"No aplica"))</f>
        <v>405000000</v>
      </c>
      <c r="P1222" s="26" t="n">
        <v>119835</v>
      </c>
    </row>
    <row r="1223">
      <c r="A1223" t="inlineStr">
        <is>
          <t>PRAGMA</t>
        </is>
      </c>
      <c r="B1223" t="inlineStr">
        <is>
          <t>M1</t>
        </is>
      </c>
      <c r="C1223" t="inlineStr">
        <is>
          <t>Cali</t>
        </is>
      </c>
      <c r="D1223" t="inlineStr">
        <is>
          <t>8761</t>
        </is>
      </c>
      <c r="E1223" t="inlineStr">
        <is>
          <t>TDV</t>
        </is>
      </c>
      <c r="F1223" s="23" t="n">
        <v>46279</v>
      </c>
      <c r="G1223" t="inlineStr">
        <is>
          <t>provision</t>
        </is>
      </c>
      <c r="H1223" s="26" t="n">
        <v>358158946</v>
      </c>
      <c r="I1223" t="inlineStr">
        <is>
          <t>bajo</t>
        </is>
      </c>
      <c r="J1223" t="inlineStr">
        <is>
          <t>RN-11 y RN-34: provision hasta el cupo operativo antes de bajar del 8 %</t>
        </is>
      </c>
      <c r="K1223" t="inlineStr">
        <is>
          <t>Provision en la manana, antes del pagado: con el pronostico, sin provision el saldo bajaria del 8 % del cupo ese dia. Lleva el saldo de 46.841.054 a 405.000.000 COP (cupo 405.000.000). Equipo administrado por TDV.</t>
        </is>
      </c>
      <c r="L1223" s="26" t="n">
        <v>405000000</v>
      </c>
      <c r="M1223" s="26" t="n">
        <v>46841054</v>
      </c>
      <c r="N1223" s="27">
        <f>IF(ISNUMBER(M1223),M1223/L1223,"No aplica")</f>
        <v>0.11565692345679013</v>
      </c>
      <c r="O1223" s="25">
        <f>IF(G1223="provision",M1223+H1223,IF(G1223="recoleccion",M1223-H1223,"No aplica"))</f>
        <v>405000000</v>
      </c>
      <c r="P1223" s="26" t="n">
        <v>129446</v>
      </c>
    </row>
    <row r="1224">
      <c r="A1224" t="inlineStr">
        <is>
          <t>PRAGMA</t>
        </is>
      </c>
      <c r="B1224" t="inlineStr">
        <is>
          <t>M1</t>
        </is>
      </c>
      <c r="C1224" t="inlineStr">
        <is>
          <t>Cali</t>
        </is>
      </c>
      <c r="D1224" t="inlineStr">
        <is>
          <t>8816</t>
        </is>
      </c>
      <c r="E1224" t="inlineStr">
        <is>
          <t>TDV</t>
        </is>
      </c>
      <c r="F1224" s="23" t="n">
        <v>46268</v>
      </c>
      <c r="G1224" t="inlineStr">
        <is>
          <t>provision</t>
        </is>
      </c>
      <c r="H1224" s="26" t="n">
        <v>289658476</v>
      </c>
      <c r="I1224" t="inlineStr">
        <is>
          <t>bajo</t>
        </is>
      </c>
      <c r="J1224" t="inlineStr">
        <is>
          <t>RN-11 y RN-34: provision hasta el cupo operativo antes de bajar del 8 %</t>
        </is>
      </c>
      <c r="K1224" t="inlineStr">
        <is>
          <t>Provision en la manana, antes del pagado: con el pronostico, sin provision el saldo bajaria del 8 % del cupo ese dia. Lleva el saldo de 121.341.524 a 411.000.000 COP (cupo 411.000.000). Equipo administrado por TDV.</t>
        </is>
      </c>
      <c r="L1224" s="26" t="n">
        <v>411000000</v>
      </c>
      <c r="M1224" s="26" t="n">
        <v>121341524</v>
      </c>
      <c r="N1224" s="27">
        <f>IF(ISNUMBER(M1224),M1224/L1224,"No aplica")</f>
        <v>0.29523485158150853</v>
      </c>
      <c r="O1224" s="25">
        <f>IF(G1224="provision",M1224+H1224,IF(G1224="recoleccion",M1224-H1224,"No aplica"))</f>
        <v>411000000</v>
      </c>
      <c r="P1224" s="26" t="n">
        <v>149873</v>
      </c>
    </row>
    <row r="1225">
      <c r="A1225" t="inlineStr">
        <is>
          <t>PRAGMA</t>
        </is>
      </c>
      <c r="B1225" t="inlineStr">
        <is>
          <t>M1</t>
        </is>
      </c>
      <c r="C1225" t="inlineStr">
        <is>
          <t>Cali</t>
        </is>
      </c>
      <c r="D1225" t="inlineStr">
        <is>
          <t>8816</t>
        </is>
      </c>
      <c r="E1225" t="inlineStr">
        <is>
          <t>TDV</t>
        </is>
      </c>
      <c r="F1225" s="23" t="n">
        <v>46271</v>
      </c>
      <c r="G1225" t="inlineStr">
        <is>
          <t>provision</t>
        </is>
      </c>
      <c r="H1225" s="26" t="n">
        <v>355746979</v>
      </c>
      <c r="I1225" t="inlineStr">
        <is>
          <t>bajo</t>
        </is>
      </c>
      <c r="J1225" t="inlineStr">
        <is>
          <t>RN-11 y RN-34: provision hasta el cupo operativo antes de bajar del 8 %</t>
        </is>
      </c>
      <c r="K1225" t="inlineStr">
        <is>
          <t>Provision en la manana, antes del pagado: con el pronostico, sin provision el saldo bajaria del 8 % del cupo ese dia. Lleva el saldo de 55.253.021 a 411.000.000 COP (cupo 411.000.000). Equipo administrado por TDV.</t>
        </is>
      </c>
      <c r="L1225" s="26" t="n">
        <v>411000000</v>
      </c>
      <c r="M1225" s="26" t="n">
        <v>55253021</v>
      </c>
      <c r="N1225" s="27">
        <f>IF(ISNUMBER(M1225),M1225/L1225,"No aplica")</f>
        <v>0.13443557420924573</v>
      </c>
      <c r="O1225" s="25">
        <f>IF(G1225="provision",M1225+H1225,IF(G1225="recoleccion",M1225-H1225,"No aplica"))</f>
        <v>411000000</v>
      </c>
      <c r="P1225" s="26" t="n">
        <v>246086</v>
      </c>
    </row>
    <row r="1226">
      <c r="A1226" t="inlineStr">
        <is>
          <t>PRAGMA</t>
        </is>
      </c>
      <c r="B1226" t="inlineStr">
        <is>
          <t>M1</t>
        </is>
      </c>
      <c r="C1226" t="inlineStr">
        <is>
          <t>Cali</t>
        </is>
      </c>
      <c r="D1226" t="inlineStr">
        <is>
          <t>8816</t>
        </is>
      </c>
      <c r="E1226" t="inlineStr">
        <is>
          <t>TDV</t>
        </is>
      </c>
      <c r="F1226" s="23" t="n">
        <v>46275</v>
      </c>
      <c r="G1226" t="inlineStr">
        <is>
          <t>provision</t>
        </is>
      </c>
      <c r="H1226" s="26" t="n">
        <v>298323360</v>
      </c>
      <c r="I1226" t="inlineStr">
        <is>
          <t>bajo</t>
        </is>
      </c>
      <c r="J1226" t="inlineStr">
        <is>
          <t>RN-11 y RN-34: provision hasta el cupo operativo antes de bajar del 8 %</t>
        </is>
      </c>
      <c r="K1226" t="inlineStr">
        <is>
          <t>Provision en la manana, antes del pagado: con el pronostico, sin provision el saldo bajaria del 8 % del cupo ese dia. Lleva el saldo de 112.676.640 a 411.000.000 COP (cupo 411.000.000). Equipo administrado por TDV.</t>
        </is>
      </c>
      <c r="L1226" s="26" t="n">
        <v>411000000</v>
      </c>
      <c r="M1226" s="26" t="n">
        <v>112676640</v>
      </c>
      <c r="N1226" s="27">
        <f>IF(ISNUMBER(M1226),M1226/L1226,"No aplica")</f>
        <v>0.2741524087591241</v>
      </c>
      <c r="O1226" s="25">
        <f>IF(G1226="provision",M1226+H1226,IF(G1226="recoleccion",M1226-H1226,"No aplica"))</f>
        <v>411000000</v>
      </c>
      <c r="P1226" s="26" t="n">
        <v>153789</v>
      </c>
    </row>
    <row r="1227">
      <c r="A1227" t="inlineStr">
        <is>
          <t>PRAGMA</t>
        </is>
      </c>
      <c r="B1227" t="inlineStr">
        <is>
          <t>M1</t>
        </is>
      </c>
      <c r="C1227" t="inlineStr">
        <is>
          <t>Cali</t>
        </is>
      </c>
      <c r="D1227" t="inlineStr">
        <is>
          <t>8816</t>
        </is>
      </c>
      <c r="E1227" t="inlineStr">
        <is>
          <t>TDV</t>
        </is>
      </c>
      <c r="F1227" s="23" t="n">
        <v>46279</v>
      </c>
      <c r="G1227" t="inlineStr">
        <is>
          <t>provision</t>
        </is>
      </c>
      <c r="H1227" s="26" t="n">
        <v>308472021</v>
      </c>
      <c r="I1227" t="inlineStr">
        <is>
          <t>bajo</t>
        </is>
      </c>
      <c r="J1227" t="inlineStr">
        <is>
          <t>RN-11 y RN-34: provision hasta el cupo operativo antes de bajar del 8 %</t>
        </is>
      </c>
      <c r="K1227" t="inlineStr">
        <is>
          <t>Provision en la manana, antes del pagado: con el pronostico, sin provision el saldo bajaria del 8 % del cupo ese dia. Lleva el saldo de 102.527.979 a 411.000.000 COP (cupo 411.000.000). Equipo administrado por TDV.</t>
        </is>
      </c>
      <c r="L1227" s="26" t="n">
        <v>411000000</v>
      </c>
      <c r="M1227" s="26" t="n">
        <v>102527979</v>
      </c>
      <c r="N1227" s="27">
        <f>IF(ISNUMBER(M1227),M1227/L1227,"No aplica")</f>
        <v>0.24945980291970804</v>
      </c>
      <c r="O1227" s="25">
        <f>IF(G1227="provision",M1227+H1227,IF(G1227="recoleccion",M1227-H1227,"No aplica"))</f>
        <v>411000000</v>
      </c>
      <c r="P1227" s="26" t="n">
        <v>158376</v>
      </c>
    </row>
    <row r="1228">
      <c r="A1228" t="inlineStr">
        <is>
          <t>PRAGMA</t>
        </is>
      </c>
      <c r="B1228" t="inlineStr">
        <is>
          <t>M1</t>
        </is>
      </c>
      <c r="C1228" t="inlineStr">
        <is>
          <t>Cali</t>
        </is>
      </c>
      <c r="D1228" t="inlineStr">
        <is>
          <t>8819</t>
        </is>
      </c>
      <c r="E1228" t="inlineStr">
        <is>
          <t>TDV</t>
        </is>
      </c>
      <c r="F1228" s="23" t="n">
        <v>46268</v>
      </c>
      <c r="G1228" t="inlineStr">
        <is>
          <t>provision</t>
        </is>
      </c>
      <c r="H1228" s="26" t="n">
        <v>296956220</v>
      </c>
      <c r="I1228" t="inlineStr">
        <is>
          <t>bajo</t>
        </is>
      </c>
      <c r="J1228" t="inlineStr">
        <is>
          <t>RN-11 y RN-34: provision hasta el cupo operativo antes de bajar del 8 %</t>
        </is>
      </c>
      <c r="K1228" t="inlineStr">
        <is>
          <t>Provision en la manana, antes del pagado: con el pronostico, sin provision el saldo bajaria del 8 % del cupo ese dia. Lleva el saldo de 114.043.780 a 411.000.000 COP (cupo 411.000.000). Equipo administrado por TDV.</t>
        </is>
      </c>
      <c r="L1228" s="26" t="n">
        <v>411000000</v>
      </c>
      <c r="M1228" s="26" t="n">
        <v>114043780</v>
      </c>
      <c r="N1228" s="27">
        <f>IF(ISNUMBER(M1228),M1228/L1228,"No aplica")</f>
        <v>0.27747878345498783</v>
      </c>
      <c r="O1228" s="25">
        <f>IF(G1228="provision",M1228+H1228,IF(G1228="recoleccion",M1228-H1228,"No aplica"))</f>
        <v>411000000</v>
      </c>
      <c r="P1228" s="26" t="n">
        <v>150035</v>
      </c>
    </row>
    <row r="1229">
      <c r="A1229" t="inlineStr">
        <is>
          <t>PRAGMA</t>
        </is>
      </c>
      <c r="B1229" t="inlineStr">
        <is>
          <t>M1</t>
        </is>
      </c>
      <c r="C1229" t="inlineStr">
        <is>
          <t>Cali</t>
        </is>
      </c>
      <c r="D1229" t="inlineStr">
        <is>
          <t>8819</t>
        </is>
      </c>
      <c r="E1229" t="inlineStr">
        <is>
          <t>TDV</t>
        </is>
      </c>
      <c r="F1229" s="23" t="n">
        <v>46271</v>
      </c>
      <c r="G1229" t="inlineStr">
        <is>
          <t>provision</t>
        </is>
      </c>
      <c r="H1229" s="26" t="n">
        <v>375380264</v>
      </c>
      <c r="I1229" t="inlineStr">
        <is>
          <t>bajo</t>
        </is>
      </c>
      <c r="J1229" t="inlineStr">
        <is>
          <t>RN-11 y RN-34: provision hasta el cupo operativo antes de bajar del 8 %</t>
        </is>
      </c>
      <c r="K1229" t="inlineStr">
        <is>
          <t>Provision en la manana, antes del pagado: con el pronostico, sin provision el saldo bajaria del 8 % del cupo ese dia. Lleva el saldo de 35.619.736 a 411.000.000 COP (cupo 411.000.000). Equipo administrado por TDV.</t>
        </is>
      </c>
      <c r="L1229" s="26" t="n">
        <v>411000000</v>
      </c>
      <c r="M1229" s="26" t="n">
        <v>35619736</v>
      </c>
      <c r="N1229" s="27">
        <f>IF(ISNUMBER(M1229),M1229/L1229,"No aplica")</f>
        <v>0.08666602433090025</v>
      </c>
      <c r="O1229" s="25">
        <f>IF(G1229="provision",M1229+H1229,IF(G1229="recoleccion",M1229-H1229,"No aplica"))</f>
        <v>411000000</v>
      </c>
      <c r="P1229" s="26" t="n">
        <v>244270</v>
      </c>
    </row>
    <row r="1230">
      <c r="A1230" t="inlineStr">
        <is>
          <t>PRAGMA</t>
        </is>
      </c>
      <c r="B1230" t="inlineStr">
        <is>
          <t>M1</t>
        </is>
      </c>
      <c r="C1230" t="inlineStr">
        <is>
          <t>Cali</t>
        </is>
      </c>
      <c r="D1230" t="inlineStr">
        <is>
          <t>8819</t>
        </is>
      </c>
      <c r="E1230" t="inlineStr">
        <is>
          <t>TDV</t>
        </is>
      </c>
      <c r="F1230" s="23" t="n">
        <v>46275</v>
      </c>
      <c r="G1230" t="inlineStr">
        <is>
          <t>provision</t>
        </is>
      </c>
      <c r="H1230" s="26" t="n">
        <v>370558839</v>
      </c>
      <c r="I1230" t="inlineStr">
        <is>
          <t>bajo</t>
        </is>
      </c>
      <c r="J1230" t="inlineStr">
        <is>
          <t>RN-11 y RN-34: provision hasta el cupo operativo antes de bajar del 8 %</t>
        </is>
      </c>
      <c r="K1230" t="inlineStr">
        <is>
          <t>Provision en la manana, antes del pagado: con el pronostico, sin provision el saldo bajaria del 8 % del cupo ese dia. Lleva el saldo de 40.441.161 a 411.000.000 COP (cupo 411.000.000). Equipo administrado por TDV.</t>
        </is>
      </c>
      <c r="L1230" s="26" t="n">
        <v>411000000</v>
      </c>
      <c r="M1230" s="26" t="n">
        <v>40441161</v>
      </c>
      <c r="N1230" s="27">
        <f>IF(ISNUMBER(M1230),M1230/L1230,"No aplica")</f>
        <v>0.09839698540145986</v>
      </c>
      <c r="O1230" s="25">
        <f>IF(G1230="provision",M1230+H1230,IF(G1230="recoleccion",M1230-H1230,"No aplica"))</f>
        <v>411000000</v>
      </c>
      <c r="P1230" s="26" t="n">
        <v>182567</v>
      </c>
    </row>
    <row r="1231">
      <c r="A1231" t="inlineStr">
        <is>
          <t>PRAGMA</t>
        </is>
      </c>
      <c r="B1231" t="inlineStr">
        <is>
          <t>M1</t>
        </is>
      </c>
      <c r="C1231" t="inlineStr">
        <is>
          <t>Cali</t>
        </is>
      </c>
      <c r="D1231" t="inlineStr">
        <is>
          <t>8819</t>
        </is>
      </c>
      <c r="E1231" t="inlineStr">
        <is>
          <t>TDV</t>
        </is>
      </c>
      <c r="F1231" s="23" t="n">
        <v>46279</v>
      </c>
      <c r="G1231" t="inlineStr">
        <is>
          <t>provision</t>
        </is>
      </c>
      <c r="H1231" s="26" t="n">
        <v>358586378</v>
      </c>
      <c r="I1231" t="inlineStr">
        <is>
          <t>bajo</t>
        </is>
      </c>
      <c r="J1231" t="inlineStr">
        <is>
          <t>RN-11 y RN-34: provision hasta el cupo operativo antes de bajar del 8 %</t>
        </is>
      </c>
      <c r="K1231" t="inlineStr">
        <is>
          <t>Provision en la manana, antes del pagado: con el pronostico, sin provision el saldo bajaria del 8 % del cupo ese dia. Lleva el saldo de 52.413.622 a 411.000.000 COP (cupo 411.000.000). Equipo administrado por TDV.</t>
        </is>
      </c>
      <c r="L1231" s="26" t="n">
        <v>411000000</v>
      </c>
      <c r="M1231" s="26" t="n">
        <v>52413622</v>
      </c>
      <c r="N1231" s="27">
        <f>IF(ISNUMBER(M1231),M1231/L1231,"No aplica")</f>
        <v>0.1275270608272506</v>
      </c>
      <c r="O1231" s="25">
        <f>IF(G1231="provision",M1231+H1231,IF(G1231="recoleccion",M1231-H1231,"No aplica"))</f>
        <v>411000000</v>
      </c>
      <c r="P1231" s="26" t="n">
        <v>177275</v>
      </c>
    </row>
    <row r="1232">
      <c r="A1232" t="inlineStr">
        <is>
          <t>PRAGMA</t>
        </is>
      </c>
      <c r="B1232" t="inlineStr">
        <is>
          <t>M1</t>
        </is>
      </c>
      <c r="C1232" t="inlineStr">
        <is>
          <t>Cali</t>
        </is>
      </c>
      <c r="D1232" t="inlineStr">
        <is>
          <t>8822</t>
        </is>
      </c>
      <c r="E1232" t="inlineStr">
        <is>
          <t>TDV</t>
        </is>
      </c>
      <c r="F1232" s="23" t="n">
        <v>46269</v>
      </c>
      <c r="G1232" t="inlineStr">
        <is>
          <t>provision</t>
        </is>
      </c>
      <c r="H1232" s="26" t="n">
        <v>330801542</v>
      </c>
      <c r="I1232" t="inlineStr">
        <is>
          <t>bajo</t>
        </is>
      </c>
      <c r="J1232" t="inlineStr">
        <is>
          <t>RN-11 y RN-34: provision hasta el cupo operativo antes de bajar del 8 %</t>
        </is>
      </c>
      <c r="K1232" t="inlineStr">
        <is>
          <t>Provision en la manana, antes del pagado: con el pronostico, sin provision el saldo bajaria del 8 % del cupo ese dia. Lleva el saldo de 74.198.458 a 405.000.000 COP (cupo 405.000.000). Equipo administrado por TDV.</t>
        </is>
      </c>
      <c r="L1232" s="26" t="n">
        <v>405000000</v>
      </c>
      <c r="M1232" s="26" t="n">
        <v>74198458</v>
      </c>
      <c r="N1232" s="27">
        <f>IF(ISNUMBER(M1232),M1232/L1232,"No aplica")</f>
        <v>0.18320606913580248</v>
      </c>
      <c r="O1232" s="25">
        <f>IF(G1232="provision",M1232+H1232,IF(G1232="recoleccion",M1232-H1232,"No aplica"))</f>
        <v>405000000</v>
      </c>
      <c r="P1232" s="26" t="n">
        <v>168469</v>
      </c>
    </row>
    <row r="1233">
      <c r="A1233" t="inlineStr">
        <is>
          <t>PRAGMA</t>
        </is>
      </c>
      <c r="B1233" t="inlineStr">
        <is>
          <t>M1</t>
        </is>
      </c>
      <c r="C1233" t="inlineStr">
        <is>
          <t>Cali</t>
        </is>
      </c>
      <c r="D1233" t="inlineStr">
        <is>
          <t>8822</t>
        </is>
      </c>
      <c r="E1233" t="inlineStr">
        <is>
          <t>TDV</t>
        </is>
      </c>
      <c r="F1233" s="23" t="n">
        <v>46273</v>
      </c>
      <c r="G1233" t="inlineStr">
        <is>
          <t>provision</t>
        </is>
      </c>
      <c r="H1233" s="26" t="n">
        <v>324416350</v>
      </c>
      <c r="I1233" t="inlineStr">
        <is>
          <t>bajo</t>
        </is>
      </c>
      <c r="J1233" t="inlineStr">
        <is>
          <t>RN-11 y RN-34: provision hasta el cupo operativo antes de bajar del 8 %</t>
        </is>
      </c>
      <c r="K1233" t="inlineStr">
        <is>
          <t>Provision en la manana, antes del pagado: con el pronostico, sin provision el saldo bajaria del 8 % del cupo ese dia. Lleva el saldo de 80.583.650 a 405.000.000 COP (cupo 405.000.000). Equipo administrado por TDV.</t>
        </is>
      </c>
      <c r="L1233" s="26" t="n">
        <v>405000000</v>
      </c>
      <c r="M1233" s="26" t="n">
        <v>80583650</v>
      </c>
      <c r="N1233" s="27">
        <f>IF(ISNUMBER(M1233),M1233/L1233,"No aplica")</f>
        <v>0.19897197530864197</v>
      </c>
      <c r="O1233" s="25">
        <f>IF(G1233="provision",M1233+H1233,IF(G1233="recoleccion",M1233-H1233,"No aplica"))</f>
        <v>405000000</v>
      </c>
      <c r="P1233" s="26" t="n">
        <v>165583</v>
      </c>
    </row>
    <row r="1234">
      <c r="A1234" t="inlineStr">
        <is>
          <t>PRAGMA</t>
        </is>
      </c>
      <c r="B1234" t="inlineStr">
        <is>
          <t>M1</t>
        </is>
      </c>
      <c r="C1234" t="inlineStr">
        <is>
          <t>Cali</t>
        </is>
      </c>
      <c r="D1234" t="inlineStr">
        <is>
          <t>8822</t>
        </is>
      </c>
      <c r="E1234" t="inlineStr">
        <is>
          <t>TDV</t>
        </is>
      </c>
      <c r="F1234" s="23" t="n">
        <v>46278</v>
      </c>
      <c r="G1234" t="inlineStr">
        <is>
          <t>provision</t>
        </is>
      </c>
      <c r="H1234" s="26" t="n">
        <v>352675071</v>
      </c>
      <c r="I1234" t="inlineStr">
        <is>
          <t>bajo</t>
        </is>
      </c>
      <c r="J1234" t="inlineStr">
        <is>
          <t>RN-11 y RN-34: provision hasta el cupo operativo antes de bajar del 8 %</t>
        </is>
      </c>
      <c r="K1234" t="inlineStr">
        <is>
          <t>Provision en la manana, antes del pagado: con el pronostico, sin provision el saldo bajaria del 8 % del cupo ese dia. Lleva el saldo de 52.324.929 a 405.000.000 COP (cupo 405.000.000). Equipo administrado por TDV.</t>
        </is>
      </c>
      <c r="L1234" s="26" t="n">
        <v>405000000</v>
      </c>
      <c r="M1234" s="26" t="n">
        <v>52324929</v>
      </c>
      <c r="N1234" s="27">
        <f>IF(ISNUMBER(M1234),M1234/L1234,"No aplica")</f>
        <v>0.12919735555555556</v>
      </c>
      <c r="O1234" s="25">
        <f>IF(G1234="provision",M1234+H1234,IF(G1234="recoleccion",M1234-H1234,"No aplica"))</f>
        <v>405000000</v>
      </c>
      <c r="P1234" s="26" t="n">
        <v>244182</v>
      </c>
    </row>
    <row r="1235">
      <c r="A1235" t="inlineStr">
        <is>
          <t>PRAGMA</t>
        </is>
      </c>
      <c r="B1235" t="inlineStr">
        <is>
          <t>M1</t>
        </is>
      </c>
      <c r="C1235" t="inlineStr">
        <is>
          <t>Cali</t>
        </is>
      </c>
      <c r="D1235" t="inlineStr">
        <is>
          <t>8823</t>
        </is>
      </c>
      <c r="E1235" t="inlineStr">
        <is>
          <t>TDV</t>
        </is>
      </c>
      <c r="F1235" s="23" t="n">
        <v>46267</v>
      </c>
      <c r="G1235" t="inlineStr">
        <is>
          <t>provision</t>
        </is>
      </c>
      <c r="H1235" s="26" t="n">
        <v>222770712</v>
      </c>
      <c r="I1235" t="inlineStr">
        <is>
          <t>bajo</t>
        </is>
      </c>
      <c r="J1235" t="inlineStr">
        <is>
          <t>RN-11 y RN-34: provision hasta el cupo operativo antes de bajar del 8 %</t>
        </is>
      </c>
      <c r="K1235" t="inlineStr">
        <is>
          <t>Provision en la manana, antes del pagado: con el pronostico, sin provision el saldo bajaria del 8 % del cupo ese dia. Lleva el saldo de 182.229.288 a 405.000.000 COP (cupo 405.000.000). Equipo administrado por TDV.</t>
        </is>
      </c>
      <c r="L1235" s="26" t="n">
        <v>405000000</v>
      </c>
      <c r="M1235" s="26" t="n">
        <v>182229288</v>
      </c>
      <c r="N1235" s="27">
        <f>IF(ISNUMBER(M1235),M1235/L1235,"No aplica")</f>
        <v>0.44994885925925926</v>
      </c>
      <c r="O1235" s="25">
        <f>IF(G1235="provision",M1235+H1235,IF(G1235="recoleccion",M1235-H1235,"No aplica"))</f>
        <v>405000000</v>
      </c>
      <c r="P1235" s="26" t="n">
        <v>117245</v>
      </c>
    </row>
    <row r="1236">
      <c r="A1236" t="inlineStr">
        <is>
          <t>PRAGMA</t>
        </is>
      </c>
      <c r="B1236" t="inlineStr">
        <is>
          <t>M1</t>
        </is>
      </c>
      <c r="C1236" t="inlineStr">
        <is>
          <t>Cali</t>
        </is>
      </c>
      <c r="D1236" t="inlineStr">
        <is>
          <t>8823</t>
        </is>
      </c>
      <c r="E1236" t="inlineStr">
        <is>
          <t>TDV</t>
        </is>
      </c>
      <c r="F1236" s="23" t="n">
        <v>46269</v>
      </c>
      <c r="G1236" t="inlineStr">
        <is>
          <t>provision</t>
        </is>
      </c>
      <c r="H1236" s="26" t="n">
        <v>310997241</v>
      </c>
      <c r="I1236" t="inlineStr">
        <is>
          <t>bajo</t>
        </is>
      </c>
      <c r="J1236" t="inlineStr">
        <is>
          <t>RN-11 y RN-34: provision hasta el cupo operativo antes de bajar del 8 %</t>
        </is>
      </c>
      <c r="K1236" t="inlineStr">
        <is>
          <t>Provision en la manana, antes del pagado: con el pronostico, sin provision el saldo bajaria del 8 % del cupo ese dia. Lleva el saldo de 94.002.759 a 405.000.000 COP (cupo 405.000.000). Equipo administrado por TDV.</t>
        </is>
      </c>
      <c r="L1236" s="26" t="n">
        <v>405000000</v>
      </c>
      <c r="M1236" s="26" t="n">
        <v>94002759</v>
      </c>
      <c r="N1236" s="27">
        <f>IF(ISNUMBER(M1236),M1236/L1236,"No aplica")</f>
        <v>0.23210557777777777</v>
      </c>
      <c r="O1236" s="25">
        <f>IF(G1236="provision",M1236+H1236,IF(G1236="recoleccion",M1236-H1236,"No aplica"))</f>
        <v>405000000</v>
      </c>
      <c r="P1236" s="26" t="n">
        <v>156241</v>
      </c>
    </row>
    <row r="1237">
      <c r="A1237" t="inlineStr">
        <is>
          <t>PRAGMA</t>
        </is>
      </c>
      <c r="B1237" t="inlineStr">
        <is>
          <t>M1</t>
        </is>
      </c>
      <c r="C1237" t="inlineStr">
        <is>
          <t>Cali</t>
        </is>
      </c>
      <c r="D1237" t="inlineStr">
        <is>
          <t>8823</t>
        </is>
      </c>
      <c r="E1237" t="inlineStr">
        <is>
          <t>TDV</t>
        </is>
      </c>
      <c r="F1237" s="23" t="n">
        <v>46271</v>
      </c>
      <c r="G1237" t="inlineStr">
        <is>
          <t>provision</t>
        </is>
      </c>
      <c r="H1237" s="26" t="n">
        <v>363894032</v>
      </c>
      <c r="I1237" t="inlineStr">
        <is>
          <t>bajo</t>
        </is>
      </c>
      <c r="J1237" t="inlineStr">
        <is>
          <t>RN-11 y RN-34: provision hasta el cupo operativo antes de bajar del 8 %</t>
        </is>
      </c>
      <c r="K1237" t="inlineStr">
        <is>
          <t>Provision en la manana, antes del pagado: con el pronostico, sin provision el saldo bajaria del 8 % del cupo ese dia. Lleva el saldo de 41.105.968 a 405.000.000 COP (cupo 405.000.000). Equipo administrado por TDV.</t>
        </is>
      </c>
      <c r="L1237" s="26" t="n">
        <v>405000000</v>
      </c>
      <c r="M1237" s="26" t="n">
        <v>41105968</v>
      </c>
      <c r="N1237" s="27">
        <f>IF(ISNUMBER(M1237),M1237/L1237,"No aplica")</f>
        <v>0.10149621728395061</v>
      </c>
      <c r="O1237" s="25">
        <f>IF(G1237="provision",M1237+H1237,IF(G1237="recoleccion",M1237-H1237,"No aplica"))</f>
        <v>405000000</v>
      </c>
      <c r="P1237" s="26" t="n">
        <v>237573</v>
      </c>
    </row>
    <row r="1238">
      <c r="A1238" t="inlineStr">
        <is>
          <t>PRAGMA</t>
        </is>
      </c>
      <c r="B1238" t="inlineStr">
        <is>
          <t>M1</t>
        </is>
      </c>
      <c r="C1238" t="inlineStr">
        <is>
          <t>Cali</t>
        </is>
      </c>
      <c r="D1238" t="inlineStr">
        <is>
          <t>8823</t>
        </is>
      </c>
      <c r="E1238" t="inlineStr">
        <is>
          <t>TDV</t>
        </is>
      </c>
      <c r="F1238" s="23" t="n">
        <v>46273</v>
      </c>
      <c r="G1238" t="inlineStr">
        <is>
          <t>provision</t>
        </is>
      </c>
      <c r="H1238" s="26" t="n">
        <v>272002659</v>
      </c>
      <c r="I1238" t="inlineStr">
        <is>
          <t>bajo</t>
        </is>
      </c>
      <c r="J1238" t="inlineStr">
        <is>
          <t>RN-11 y RN-34: provision hasta el cupo operativo antes de bajar del 8 %</t>
        </is>
      </c>
      <c r="K1238" t="inlineStr">
        <is>
          <t>Provision en la manana, antes del pagado: con el pronostico, sin provision el saldo bajaria del 8 % del cupo ese dia. Lleva el saldo de 132.997.341 a 405.000.000 COP (cupo 405.000.000). Equipo administrado por TDV.</t>
        </is>
      </c>
      <c r="L1238" s="26" t="n">
        <v>405000000</v>
      </c>
      <c r="M1238" s="26" t="n">
        <v>132997341</v>
      </c>
      <c r="N1238" s="27">
        <f>IF(ISNUMBER(M1238),M1238/L1238,"No aplica")</f>
        <v>0.3283884962962963</v>
      </c>
      <c r="O1238" s="25">
        <f>IF(G1238="provision",M1238+H1238,IF(G1238="recoleccion",M1238-H1238,"No aplica"))</f>
        <v>405000000</v>
      </c>
      <c r="P1238" s="26" t="n">
        <v>139005</v>
      </c>
    </row>
    <row r="1239">
      <c r="A1239" t="inlineStr">
        <is>
          <t>PRAGMA</t>
        </is>
      </c>
      <c r="B1239" t="inlineStr">
        <is>
          <t>M1</t>
        </is>
      </c>
      <c r="C1239" t="inlineStr">
        <is>
          <t>Cali</t>
        </is>
      </c>
      <c r="D1239" t="inlineStr">
        <is>
          <t>8823</t>
        </is>
      </c>
      <c r="E1239" t="inlineStr">
        <is>
          <t>TDV</t>
        </is>
      </c>
      <c r="F1239" s="23" t="n">
        <v>46276</v>
      </c>
      <c r="G1239" t="inlineStr">
        <is>
          <t>provision</t>
        </is>
      </c>
      <c r="H1239" s="26" t="n">
        <v>359669218</v>
      </c>
      <c r="I1239" t="inlineStr">
        <is>
          <t>bajo</t>
        </is>
      </c>
      <c r="J1239" t="inlineStr">
        <is>
          <t>RN-11 y RN-34: provision hasta el cupo operativo antes de bajar del 8 %</t>
        </is>
      </c>
      <c r="K1239" t="inlineStr">
        <is>
          <t>Provision en la manana, antes del pagado: con el pronostico, sin provision el saldo bajaria del 8 % del cupo ese dia. Lleva el saldo de 45.330.782 a 405.000.000 COP (cupo 405.000.000). Equipo administrado por TDV.</t>
        </is>
      </c>
      <c r="L1239" s="26" t="n">
        <v>405000000</v>
      </c>
      <c r="M1239" s="26" t="n">
        <v>45330782</v>
      </c>
      <c r="N1239" s="27">
        <f>IF(ISNUMBER(M1239),M1239/L1239,"No aplica")</f>
        <v>0.11192785679012346</v>
      </c>
      <c r="O1239" s="25">
        <f>IF(G1239="provision",M1239+H1239,IF(G1239="recoleccion",M1239-H1239,"No aplica"))</f>
        <v>405000000</v>
      </c>
      <c r="P1239" s="26" t="n">
        <v>177754</v>
      </c>
    </row>
    <row r="1240">
      <c r="A1240" t="inlineStr">
        <is>
          <t>PRAGMA</t>
        </is>
      </c>
      <c r="B1240" t="inlineStr">
        <is>
          <t>M1</t>
        </is>
      </c>
      <c r="C1240" t="inlineStr">
        <is>
          <t>Cali</t>
        </is>
      </c>
      <c r="D1240" t="inlineStr">
        <is>
          <t>8823</t>
        </is>
      </c>
      <c r="E1240" t="inlineStr">
        <is>
          <t>TDV</t>
        </is>
      </c>
      <c r="F1240" s="23" t="n">
        <v>46279</v>
      </c>
      <c r="G1240" t="inlineStr">
        <is>
          <t>provision</t>
        </is>
      </c>
      <c r="H1240" s="26" t="n">
        <v>369167365</v>
      </c>
      <c r="I1240" t="inlineStr">
        <is>
          <t>bajo</t>
        </is>
      </c>
      <c r="J1240" t="inlineStr">
        <is>
          <t>RN-11 y RN-34: provision hasta el cupo operativo antes de bajar del 8 %</t>
        </is>
      </c>
      <c r="K1240" t="inlineStr">
        <is>
          <t>Provision en la manana, antes del pagado: con el pronostico, sin provision el saldo bajaria del 8 % del cupo ese dia. Lleva el saldo de 35.832.635 a 405.000.000 COP (cupo 405.000.000). Equipo administrado por TDV.</t>
        </is>
      </c>
      <c r="L1240" s="26" t="n">
        <v>405000000</v>
      </c>
      <c r="M1240" s="26" t="n">
        <v>35832635</v>
      </c>
      <c r="N1240" s="27">
        <f>IF(ISNUMBER(M1240),M1240/L1240,"No aplica")</f>
        <v>0.08847564197530865</v>
      </c>
      <c r="O1240" s="25">
        <f>IF(G1240="provision",M1240+H1240,IF(G1240="recoleccion",M1240-H1240,"No aplica"))</f>
        <v>405000000</v>
      </c>
      <c r="P1240" s="26" t="n">
        <v>181952</v>
      </c>
    </row>
    <row r="1241">
      <c r="A1241" t="inlineStr">
        <is>
          <t>PRAGMA</t>
        </is>
      </c>
      <c r="B1241" t="inlineStr">
        <is>
          <t>M1</t>
        </is>
      </c>
      <c r="C1241" t="inlineStr">
        <is>
          <t>Cali</t>
        </is>
      </c>
      <c r="D1241" t="inlineStr">
        <is>
          <t>8834</t>
        </is>
      </c>
      <c r="E1241" t="inlineStr">
        <is>
          <t>TDV</t>
        </is>
      </c>
      <c r="F1241" s="23" t="n">
        <v>46268</v>
      </c>
      <c r="G1241" t="inlineStr">
        <is>
          <t>provision</t>
        </is>
      </c>
      <c r="H1241" s="26" t="n">
        <v>333942168</v>
      </c>
      <c r="I1241" t="inlineStr">
        <is>
          <t>bajo</t>
        </is>
      </c>
      <c r="J1241" t="inlineStr">
        <is>
          <t>RN-11 y RN-34: provision hasta el cupo operativo antes de bajar del 8 %</t>
        </is>
      </c>
      <c r="K1241" t="inlineStr">
        <is>
          <t>Provision en la manana, antes del pagado: con el pronostico, sin provision el saldo bajaria del 8 % del cupo ese dia. Lleva el saldo de 71.057.832 a 405.000.000 COP (cupo 405.000.000). Equipo administrado por TDV.</t>
        </is>
      </c>
      <c r="L1241" s="26" t="n">
        <v>405000000</v>
      </c>
      <c r="M1241" s="26" t="n">
        <v>71057832</v>
      </c>
      <c r="N1241" s="27">
        <f>IF(ISNUMBER(M1241),M1241/L1241,"No aplica")</f>
        <v>0.17545143703703703</v>
      </c>
      <c r="O1241" s="25">
        <f>IF(G1241="provision",M1241+H1241,IF(G1241="recoleccion",M1241-H1241,"No aplica"))</f>
        <v>405000000</v>
      </c>
      <c r="P1241" s="26" t="n">
        <v>166382</v>
      </c>
    </row>
    <row r="1242">
      <c r="A1242" t="inlineStr">
        <is>
          <t>PRAGMA</t>
        </is>
      </c>
      <c r="B1242" t="inlineStr">
        <is>
          <t>M1</t>
        </is>
      </c>
      <c r="C1242" t="inlineStr">
        <is>
          <t>Cali</t>
        </is>
      </c>
      <c r="D1242" t="inlineStr">
        <is>
          <t>8834</t>
        </is>
      </c>
      <c r="E1242" t="inlineStr">
        <is>
          <t>TDV</t>
        </is>
      </c>
      <c r="F1242" s="23" t="n">
        <v>46270</v>
      </c>
      <c r="G1242" t="inlineStr">
        <is>
          <t>provision</t>
        </is>
      </c>
      <c r="H1242" s="26" t="n">
        <v>271392904</v>
      </c>
      <c r="I1242" t="inlineStr">
        <is>
          <t>bajo</t>
        </is>
      </c>
      <c r="J1242" t="inlineStr">
        <is>
          <t>RN-11 y RN-34: provision hasta el cupo operativo antes de bajar del 8 %</t>
        </is>
      </c>
      <c r="K1242" t="inlineStr">
        <is>
          <t>Provision en la manana, antes del pagado: con el pronostico, sin provision el saldo bajaria del 8 % del cupo ese dia. Lleva el saldo de 133.607.096 a 405.000.000 COP (cupo 405.000.000). Equipo administrado por TDV.</t>
        </is>
      </c>
      <c r="L1242" s="26" t="n">
        <v>405000000</v>
      </c>
      <c r="M1242" s="26" t="n">
        <v>133607096</v>
      </c>
      <c r="N1242" s="27">
        <f>IF(ISNUMBER(M1242),M1242/L1242,"No aplica")</f>
        <v>0.32989406419753087</v>
      </c>
      <c r="O1242" s="25">
        <f>IF(G1242="provision",M1242+H1242,IF(G1242="recoleccion",M1242-H1242,"No aplica"))</f>
        <v>405000000</v>
      </c>
      <c r="P1242" s="26" t="n">
        <v>138736</v>
      </c>
    </row>
    <row r="1243">
      <c r="A1243" t="inlineStr">
        <is>
          <t>PRAGMA</t>
        </is>
      </c>
      <c r="B1243" t="inlineStr">
        <is>
          <t>M1</t>
        </is>
      </c>
      <c r="C1243" t="inlineStr">
        <is>
          <t>Cali</t>
        </is>
      </c>
      <c r="D1243" t="inlineStr">
        <is>
          <t>8834</t>
        </is>
      </c>
      <c r="E1243" t="inlineStr">
        <is>
          <t>TDV</t>
        </is>
      </c>
      <c r="F1243" s="23" t="n">
        <v>46273</v>
      </c>
      <c r="G1243" t="inlineStr">
        <is>
          <t>provision</t>
        </is>
      </c>
      <c r="H1243" s="26" t="n">
        <v>356330478</v>
      </c>
      <c r="I1243" t="inlineStr">
        <is>
          <t>bajo</t>
        </is>
      </c>
      <c r="J1243" t="inlineStr">
        <is>
          <t>RN-11 y RN-34: provision hasta el cupo operativo antes de bajar del 8 %</t>
        </is>
      </c>
      <c r="K1243" t="inlineStr">
        <is>
          <t>Provision en la manana, antes del pagado: con el pronostico, sin provision el saldo bajaria del 8 % del cupo ese dia. Lleva el saldo de 48.669.522 a 405.000.000 COP (cupo 405.000.000). Equipo administrado por TDV.</t>
        </is>
      </c>
      <c r="L1243" s="26" t="n">
        <v>405000000</v>
      </c>
      <c r="M1243" s="26" t="n">
        <v>48669522</v>
      </c>
      <c r="N1243" s="27">
        <f>IF(ISNUMBER(M1243),M1243/L1243,"No aplica")</f>
        <v>0.12017165925925925</v>
      </c>
      <c r="O1243" s="25">
        <f>IF(G1243="provision",M1243+H1243,IF(G1243="recoleccion",M1243-H1243,"No aplica"))</f>
        <v>405000000</v>
      </c>
      <c r="P1243" s="26" t="n">
        <v>176278</v>
      </c>
    </row>
    <row r="1244">
      <c r="A1244" t="inlineStr">
        <is>
          <t>PRAGMA</t>
        </is>
      </c>
      <c r="B1244" t="inlineStr">
        <is>
          <t>M1</t>
        </is>
      </c>
      <c r="C1244" t="inlineStr">
        <is>
          <t>Cali</t>
        </is>
      </c>
      <c r="D1244" t="inlineStr">
        <is>
          <t>8834</t>
        </is>
      </c>
      <c r="E1244" t="inlineStr">
        <is>
          <t>TDV</t>
        </is>
      </c>
      <c r="F1244" s="23" t="n">
        <v>46276</v>
      </c>
      <c r="G1244" t="inlineStr">
        <is>
          <t>provision</t>
        </is>
      </c>
      <c r="H1244" s="26" t="n">
        <v>323542406</v>
      </c>
      <c r="I1244" t="inlineStr">
        <is>
          <t>bajo</t>
        </is>
      </c>
      <c r="J1244" t="inlineStr">
        <is>
          <t>RN-11 y RN-34: provision hasta el cupo operativo antes de bajar del 8 %</t>
        </is>
      </c>
      <c r="K1244" t="inlineStr">
        <is>
          <t>Provision en la manana, antes del pagado: con el pronostico, sin provision el saldo bajaria del 8 % del cupo ese dia. Lleva el saldo de 81.457.594 a 405.000.000 COP (cupo 405.000.000). Equipo administrado por TDV.</t>
        </is>
      </c>
      <c r="L1244" s="26" t="n">
        <v>405000000</v>
      </c>
      <c r="M1244" s="26" t="n">
        <v>81457594</v>
      </c>
      <c r="N1244" s="27">
        <f>IF(ISNUMBER(M1244),M1244/L1244,"No aplica")</f>
        <v>0.20112986172839506</v>
      </c>
      <c r="O1244" s="25">
        <f>IF(G1244="provision",M1244+H1244,IF(G1244="recoleccion",M1244-H1244,"No aplica"))</f>
        <v>405000000</v>
      </c>
      <c r="P1244" s="26" t="n">
        <v>161786</v>
      </c>
    </row>
    <row r="1245">
      <c r="A1245" t="inlineStr">
        <is>
          <t>PRAGMA</t>
        </is>
      </c>
      <c r="B1245" t="inlineStr">
        <is>
          <t>M1</t>
        </is>
      </c>
      <c r="C1245" t="inlineStr">
        <is>
          <t>Cali</t>
        </is>
      </c>
      <c r="D1245" t="inlineStr">
        <is>
          <t>8834</t>
        </is>
      </c>
      <c r="E1245" t="inlineStr">
        <is>
          <t>TDV</t>
        </is>
      </c>
      <c r="F1245" s="23" t="n">
        <v>46279</v>
      </c>
      <c r="G1245" t="inlineStr">
        <is>
          <t>provision</t>
        </is>
      </c>
      <c r="H1245" s="26" t="n">
        <v>285771113</v>
      </c>
      <c r="I1245" t="inlineStr">
        <is>
          <t>bajo</t>
        </is>
      </c>
      <c r="J1245" t="inlineStr">
        <is>
          <t>RN-11 y RN-34: provision hasta el cupo operativo antes de bajar del 8 %</t>
        </is>
      </c>
      <c r="K1245" t="inlineStr">
        <is>
          <t>Provision en la manana, antes del pagado: con el pronostico, sin provision el saldo bajaria del 8 % del cupo ese dia. Lleva el saldo de 119.228.887 a 405.000.000 COP (cupo 405.000.000). Equipo administrado por TDV.</t>
        </is>
      </c>
      <c r="L1245" s="26" t="n">
        <v>405000000</v>
      </c>
      <c r="M1245" s="26" t="n">
        <v>119228887</v>
      </c>
      <c r="N1245" s="27">
        <f>IF(ISNUMBER(M1245),M1245/L1245,"No aplica")</f>
        <v>0.2943923135802469</v>
      </c>
      <c r="O1245" s="25">
        <f>IF(G1245="provision",M1245+H1245,IF(G1245="recoleccion",M1245-H1245,"No aplica"))</f>
        <v>405000000</v>
      </c>
      <c r="P1245" s="26" t="n">
        <v>145091</v>
      </c>
    </row>
    <row r="1246">
      <c r="A1246" t="inlineStr">
        <is>
          <t>PRAGMA</t>
        </is>
      </c>
      <c r="B1246" t="inlineStr">
        <is>
          <t>M1</t>
        </is>
      </c>
      <c r="C1246" t="inlineStr">
        <is>
          <t>Cali</t>
        </is>
      </c>
      <c r="D1246" t="inlineStr">
        <is>
          <t>8854</t>
        </is>
      </c>
      <c r="E1246" t="inlineStr">
        <is>
          <t>TDV</t>
        </is>
      </c>
      <c r="F1246" s="23" t="n">
        <v>46268</v>
      </c>
      <c r="G1246" t="inlineStr">
        <is>
          <t>provision</t>
        </is>
      </c>
      <c r="H1246" s="26" t="n">
        <v>374607202</v>
      </c>
      <c r="I1246" t="inlineStr">
        <is>
          <t>bajo</t>
        </is>
      </c>
      <c r="J1246" t="inlineStr">
        <is>
          <t>RN-11 y RN-34: provision hasta el cupo operativo antes de bajar del 8 %</t>
        </is>
      </c>
      <c r="K1246" t="inlineStr">
        <is>
          <t>Provision en la manana, antes del pagado: con el pronostico, sin provision el saldo bajaria del 8 % del cupo ese dia. Lleva el saldo de 36.392.798 a 411.000.000 COP (cupo 411.000.000). Equipo administrado por TDV.</t>
        </is>
      </c>
      <c r="L1246" s="26" t="n">
        <v>411000000</v>
      </c>
      <c r="M1246" s="26" t="n">
        <v>36392798</v>
      </c>
      <c r="N1246" s="27">
        <f>IF(ISNUMBER(M1246),M1246/L1246,"No aplica")</f>
        <v>0.08854695377128954</v>
      </c>
      <c r="O1246" s="25">
        <f>IF(G1246="provision",M1246+H1246,IF(G1246="recoleccion",M1246-H1246,"No aplica"))</f>
        <v>411000000</v>
      </c>
      <c r="P1246" s="26" t="n">
        <v>163624</v>
      </c>
    </row>
    <row r="1247">
      <c r="A1247" t="inlineStr">
        <is>
          <t>PRAGMA</t>
        </is>
      </c>
      <c r="B1247" t="inlineStr">
        <is>
          <t>M1</t>
        </is>
      </c>
      <c r="C1247" t="inlineStr">
        <is>
          <t>Cali</t>
        </is>
      </c>
      <c r="D1247" t="inlineStr">
        <is>
          <t>8854</t>
        </is>
      </c>
      <c r="E1247" t="inlineStr">
        <is>
          <t>TDV</t>
        </is>
      </c>
      <c r="F1247" s="23" t="n">
        <v>46270</v>
      </c>
      <c r="G1247" t="inlineStr">
        <is>
          <t>provision</t>
        </is>
      </c>
      <c r="H1247" s="26" t="n">
        <v>301385829</v>
      </c>
      <c r="I1247" t="inlineStr">
        <is>
          <t>bajo</t>
        </is>
      </c>
      <c r="J1247" t="inlineStr">
        <is>
          <t>RN-11 y RN-34: provision hasta el cupo operativo antes de bajar del 8 %</t>
        </is>
      </c>
      <c r="K1247" t="inlineStr">
        <is>
          <t>Provision en la manana, antes del pagado: con el pronostico, sin provision el saldo bajaria del 8 % del cupo ese dia. Lleva el saldo de 109.614.171 a 411.000.000 COP (cupo 411.000.000). Equipo administrado por TDV.</t>
        </is>
      </c>
      <c r="L1247" s="26" t="n">
        <v>411000000</v>
      </c>
      <c r="M1247" s="26" t="n">
        <v>109614171</v>
      </c>
      <c r="N1247" s="27">
        <f>IF(ISNUMBER(M1247),M1247/L1247,"No aplica")</f>
        <v>0.26670114598540146</v>
      </c>
      <c r="O1247" s="25">
        <f>IF(G1247="provision",M1247+H1247,IF(G1247="recoleccion",M1247-H1247,"No aplica"))</f>
        <v>411000000</v>
      </c>
      <c r="P1247" s="26" t="n">
        <v>135287</v>
      </c>
    </row>
    <row r="1248">
      <c r="A1248" t="inlineStr">
        <is>
          <t>PRAGMA</t>
        </is>
      </c>
      <c r="B1248" t="inlineStr">
        <is>
          <t>M1</t>
        </is>
      </c>
      <c r="C1248" t="inlineStr">
        <is>
          <t>Cali</t>
        </is>
      </c>
      <c r="D1248" t="inlineStr">
        <is>
          <t>8854</t>
        </is>
      </c>
      <c r="E1248" t="inlineStr">
        <is>
          <t>TDV</t>
        </is>
      </c>
      <c r="F1248" s="23" t="n">
        <v>46272</v>
      </c>
      <c r="G1248" t="inlineStr">
        <is>
          <t>provision</t>
        </is>
      </c>
      <c r="H1248" s="26" t="n">
        <v>284298893</v>
      </c>
      <c r="I1248" t="inlineStr">
        <is>
          <t>bajo</t>
        </is>
      </c>
      <c r="J1248" t="inlineStr">
        <is>
          <t>RN-11 y RN-34: provision hasta el cupo operativo antes de bajar del 8 %</t>
        </is>
      </c>
      <c r="K1248" t="inlineStr">
        <is>
          <t>Provision en la manana, antes del pagado: con el pronostico, sin provision el saldo bajaria del 8 % del cupo ese dia. Lleva el saldo de 126.701.107 a 411.000.000 COP (cupo 411.000.000). Equipo administrado por TDV.</t>
        </is>
      </c>
      <c r="L1248" s="26" t="n">
        <v>411000000</v>
      </c>
      <c r="M1248" s="26" t="n">
        <v>126701107</v>
      </c>
      <c r="N1248" s="27">
        <f>IF(ISNUMBER(M1248),M1248/L1248,"No aplica")</f>
        <v>0.308275199513382</v>
      </c>
      <c r="O1248" s="25">
        <f>IF(G1248="provision",M1248+H1248,IF(G1248="recoleccion",M1248-H1248,"No aplica"))</f>
        <v>411000000</v>
      </c>
      <c r="P1248" s="26" t="n">
        <v>128675</v>
      </c>
    </row>
    <row r="1249">
      <c r="A1249" t="inlineStr">
        <is>
          <t>PRAGMA</t>
        </is>
      </c>
      <c r="B1249" t="inlineStr">
        <is>
          <t>M1</t>
        </is>
      </c>
      <c r="C1249" t="inlineStr">
        <is>
          <t>Cali</t>
        </is>
      </c>
      <c r="D1249" t="inlineStr">
        <is>
          <t>8854</t>
        </is>
      </c>
      <c r="E1249" t="inlineStr">
        <is>
          <t>TDV</t>
        </is>
      </c>
      <c r="F1249" s="23" t="n">
        <v>46275</v>
      </c>
      <c r="G1249" t="inlineStr">
        <is>
          <t>provision</t>
        </is>
      </c>
      <c r="H1249" s="26" t="n">
        <v>371868862</v>
      </c>
      <c r="I1249" t="inlineStr">
        <is>
          <t>bajo</t>
        </is>
      </c>
      <c r="J1249" t="inlineStr">
        <is>
          <t>RN-11 y RN-34: provision hasta el cupo operativo antes de bajar del 8 %</t>
        </is>
      </c>
      <c r="K1249" t="inlineStr">
        <is>
          <t>Provision en la manana, antes del pagado: con el pronostico, sin provision el saldo bajaria del 8 % del cupo ese dia. Lleva el saldo de 39.131.138 a 411.000.000 COP (cupo 411.000.000). Equipo administrado por TDV.</t>
        </is>
      </c>
      <c r="L1249" s="26" t="n">
        <v>411000000</v>
      </c>
      <c r="M1249" s="26" t="n">
        <v>39131138</v>
      </c>
      <c r="N1249" s="27">
        <f>IF(ISNUMBER(M1249),M1249/L1249,"No aplica")</f>
        <v>0.09520958150851581</v>
      </c>
      <c r="O1249" s="25">
        <f>IF(G1249="provision",M1249+H1249,IF(G1249="recoleccion",M1249-H1249,"No aplica"))</f>
        <v>411000000</v>
      </c>
      <c r="P1249" s="26" t="n">
        <v>162564</v>
      </c>
    </row>
    <row r="1250">
      <c r="A1250" t="inlineStr">
        <is>
          <t>PRAGMA</t>
        </is>
      </c>
      <c r="B1250" t="inlineStr">
        <is>
          <t>M1</t>
        </is>
      </c>
      <c r="C1250" t="inlineStr">
        <is>
          <t>Cali</t>
        </is>
      </c>
      <c r="D1250" t="inlineStr">
        <is>
          <t>8854</t>
        </is>
      </c>
      <c r="E1250" t="inlineStr">
        <is>
          <t>TDV</t>
        </is>
      </c>
      <c r="F1250" s="23" t="n">
        <v>46278</v>
      </c>
      <c r="G1250" t="inlineStr">
        <is>
          <t>provision</t>
        </is>
      </c>
      <c r="H1250" s="26" t="n">
        <v>351484342</v>
      </c>
      <c r="I1250" t="inlineStr">
        <is>
          <t>bajo</t>
        </is>
      </c>
      <c r="J1250" t="inlineStr">
        <is>
          <t>RN-11 y RN-34: provision hasta el cupo operativo antes de bajar del 8 %</t>
        </is>
      </c>
      <c r="K1250" t="inlineStr">
        <is>
          <t>Provision en la manana, antes del pagado: con el pronostico, sin provision el saldo bajaria del 8 % del cupo ese dia. Lleva el saldo de 59.515.658 a 411.000.000 COP (cupo 411.000.000). Equipo administrado por TDV.</t>
        </is>
      </c>
      <c r="L1250" s="26" t="n">
        <v>411000000</v>
      </c>
      <c r="M1250" s="26" t="n">
        <v>59515658</v>
      </c>
      <c r="N1250" s="27">
        <f>IF(ISNUMBER(M1250),M1250/L1250,"No aplica")</f>
        <v>0.14480695377128955</v>
      </c>
      <c r="O1250" s="25">
        <f>IF(G1250="provision",M1250+H1250,IF(G1250="recoleccion",M1250-H1250,"No aplica"))</f>
        <v>411000000</v>
      </c>
      <c r="P1250" s="26" t="n">
        <v>199811</v>
      </c>
    </row>
    <row r="1251">
      <c r="A1251" t="inlineStr">
        <is>
          <t>PRAGMA</t>
        </is>
      </c>
      <c r="B1251" t="inlineStr">
        <is>
          <t>M1</t>
        </is>
      </c>
      <c r="C1251" t="inlineStr">
        <is>
          <t>Ipiales</t>
        </is>
      </c>
      <c r="D1251" t="inlineStr">
        <is>
          <t>8856</t>
        </is>
      </c>
      <c r="E1251" t="inlineStr">
        <is>
          <t>Sucursal</t>
        </is>
      </c>
      <c r="F1251" s="23" t="n">
        <v>46268</v>
      </c>
      <c r="G1251" t="inlineStr">
        <is>
          <t>provision</t>
        </is>
      </c>
      <c r="H1251" s="26" t="n">
        <v>360955091</v>
      </c>
      <c r="I1251" t="inlineStr">
        <is>
          <t>bajo</t>
        </is>
      </c>
      <c r="J1251" t="inlineStr">
        <is>
          <t>RN-11 y RN-34: provision hasta el cupo operativo antes de bajar del 8 %</t>
        </is>
      </c>
      <c r="K1251" t="inlineStr">
        <is>
          <t>Provision en la manana, antes del pagado: con el pronostico, sin provision el saldo bajaria del 8 % del cupo ese dia. Lleva el saldo de 80.044.909 a 441.000.000 COP (cupo 441.000.000). Equipo administrado por Sucursal. Sin tarifa TDV (administrado por la sucursal): costo 0 declarado.</t>
        </is>
      </c>
      <c r="L1251" s="26" t="n">
        <v>441000000</v>
      </c>
      <c r="M1251" s="26" t="n">
        <v>80044909</v>
      </c>
      <c r="N1251" s="27">
        <f>IF(ISNUMBER(M1251),M1251/L1251,"No aplica")</f>
        <v>0.18150773015873015</v>
      </c>
      <c r="O1251" s="25">
        <f>IF(G1251="provision",M1251+H1251,IF(G1251="recoleccion",M1251-H1251,"No aplica"))</f>
        <v>441000000</v>
      </c>
      <c r="P1251" s="26" t="n">
        <v>0</v>
      </c>
    </row>
    <row r="1252">
      <c r="A1252" t="inlineStr">
        <is>
          <t>PRAGMA</t>
        </is>
      </c>
      <c r="B1252" t="inlineStr">
        <is>
          <t>M1</t>
        </is>
      </c>
      <c r="C1252" t="inlineStr">
        <is>
          <t>Ipiales</t>
        </is>
      </c>
      <c r="D1252" t="inlineStr">
        <is>
          <t>8856</t>
        </is>
      </c>
      <c r="E1252" t="inlineStr">
        <is>
          <t>Sucursal</t>
        </is>
      </c>
      <c r="F1252" s="23" t="n">
        <v>46270</v>
      </c>
      <c r="G1252" t="inlineStr">
        <is>
          <t>provision</t>
        </is>
      </c>
      <c r="H1252" s="26" t="n">
        <v>313746082</v>
      </c>
      <c r="I1252" t="inlineStr">
        <is>
          <t>bajo</t>
        </is>
      </c>
      <c r="J1252" t="inlineStr">
        <is>
          <t>RN-11 y RN-34: provision hasta el cupo operativo antes de bajar del 8 %</t>
        </is>
      </c>
      <c r="K1252" t="inlineStr">
        <is>
          <t>Provision en la manana, antes del pagado: con el pronostico, sin provision el saldo bajaria del 8 % del cupo ese dia. Lleva el saldo de 127.253.918 a 441.000.000 COP (cupo 441.000.000). Equipo administrado por Sucursal. Sin tarifa TDV (administrado por la sucursal): costo 0 declarado.</t>
        </is>
      </c>
      <c r="L1252" s="26" t="n">
        <v>441000000</v>
      </c>
      <c r="M1252" s="26" t="n">
        <v>127253918</v>
      </c>
      <c r="N1252" s="27">
        <f>IF(ISNUMBER(M1252),M1252/L1252,"No aplica")</f>
        <v>0.2885576371882086</v>
      </c>
      <c r="O1252" s="25">
        <f>IF(G1252="provision",M1252+H1252,IF(G1252="recoleccion",M1252-H1252,"No aplica"))</f>
        <v>441000000</v>
      </c>
      <c r="P1252" s="26" t="n">
        <v>0</v>
      </c>
    </row>
    <row r="1253">
      <c r="A1253" t="inlineStr">
        <is>
          <t>PRAGMA</t>
        </is>
      </c>
      <c r="B1253" t="inlineStr">
        <is>
          <t>M1</t>
        </is>
      </c>
      <c r="C1253" t="inlineStr">
        <is>
          <t>Ipiales</t>
        </is>
      </c>
      <c r="D1253" t="inlineStr">
        <is>
          <t>8856</t>
        </is>
      </c>
      <c r="E1253" t="inlineStr">
        <is>
          <t>Sucursal</t>
        </is>
      </c>
      <c r="F1253" s="23" t="n">
        <v>46272</v>
      </c>
      <c r="G1253" t="inlineStr">
        <is>
          <t>provision</t>
        </is>
      </c>
      <c r="H1253" s="26" t="n">
        <v>285017311</v>
      </c>
      <c r="I1253" t="inlineStr">
        <is>
          <t>bajo</t>
        </is>
      </c>
      <c r="J1253" t="inlineStr">
        <is>
          <t>RN-11 y RN-34: provision hasta el cupo operativo antes de bajar del 8 %</t>
        </is>
      </c>
      <c r="K1253" t="inlineStr">
        <is>
          <t>Provision en la manana, antes del pagado: con el pronostico, sin provision el saldo bajaria del 8 % del cupo ese dia. Lleva el saldo de 155.982.689 a 441.000.000 COP (cupo 441.000.000). Equipo administrado por Sucursal. Sin tarifa TDV (administrado por la sucursal): costo 0 declarado.</t>
        </is>
      </c>
      <c r="L1253" s="26" t="n">
        <v>441000000</v>
      </c>
      <c r="M1253" s="26" t="n">
        <v>155982689</v>
      </c>
      <c r="N1253" s="27">
        <f>IF(ISNUMBER(M1253),M1253/L1253,"No aplica")</f>
        <v>0.35370224263038547</v>
      </c>
      <c r="O1253" s="25">
        <f>IF(G1253="provision",M1253+H1253,IF(G1253="recoleccion",M1253-H1253,"No aplica"))</f>
        <v>441000000</v>
      </c>
      <c r="P1253" s="26" t="n">
        <v>0</v>
      </c>
    </row>
    <row r="1254">
      <c r="A1254" t="inlineStr">
        <is>
          <t>PRAGMA</t>
        </is>
      </c>
      <c r="B1254" t="inlineStr">
        <is>
          <t>M1</t>
        </is>
      </c>
      <c r="C1254" t="inlineStr">
        <is>
          <t>Ipiales</t>
        </is>
      </c>
      <c r="D1254" t="inlineStr">
        <is>
          <t>8856</t>
        </is>
      </c>
      <c r="E1254" t="inlineStr">
        <is>
          <t>Sucursal</t>
        </is>
      </c>
      <c r="F1254" s="23" t="n">
        <v>46274</v>
      </c>
      <c r="G1254" t="inlineStr">
        <is>
          <t>provision</t>
        </is>
      </c>
      <c r="H1254" s="26" t="n">
        <v>282234327</v>
      </c>
      <c r="I1254" t="inlineStr">
        <is>
          <t>bajo</t>
        </is>
      </c>
      <c r="J1254" t="inlineStr">
        <is>
          <t>RN-11 y RN-34: provision hasta el cupo operativo antes de bajar del 8 %</t>
        </is>
      </c>
      <c r="K1254" t="inlineStr">
        <is>
          <t>Provision en la manana, antes del pagado: con el pronostico, sin provision el saldo bajaria del 8 % del cupo ese dia. Lleva el saldo de 158.765.673 a 441.000.000 COP (cupo 441.000.000). Equipo administrado por Sucursal. Sin tarifa TDV (administrado por la sucursal): costo 0 declarado.</t>
        </is>
      </c>
      <c r="L1254" s="26" t="n">
        <v>441000000</v>
      </c>
      <c r="M1254" s="26" t="n">
        <v>158765673</v>
      </c>
      <c r="N1254" s="27">
        <f>IF(ISNUMBER(M1254),M1254/L1254,"No aplica")</f>
        <v>0.36001286394557824</v>
      </c>
      <c r="O1254" s="25">
        <f>IF(G1254="provision",M1254+H1254,IF(G1254="recoleccion",M1254-H1254,"No aplica"))</f>
        <v>441000000</v>
      </c>
      <c r="P1254" s="26" t="n">
        <v>0</v>
      </c>
    </row>
    <row r="1255">
      <c r="A1255" t="inlineStr">
        <is>
          <t>PRAGMA</t>
        </is>
      </c>
      <c r="B1255" t="inlineStr">
        <is>
          <t>M1</t>
        </is>
      </c>
      <c r="C1255" t="inlineStr">
        <is>
          <t>Ipiales</t>
        </is>
      </c>
      <c r="D1255" t="inlineStr">
        <is>
          <t>8856</t>
        </is>
      </c>
      <c r="E1255" t="inlineStr">
        <is>
          <t>Sucursal</t>
        </is>
      </c>
      <c r="F1255" s="23" t="n">
        <v>46277</v>
      </c>
      <c r="G1255" t="inlineStr">
        <is>
          <t>provision</t>
        </is>
      </c>
      <c r="H1255" s="26" t="n">
        <v>387436854</v>
      </c>
      <c r="I1255" t="inlineStr">
        <is>
          <t>bajo</t>
        </is>
      </c>
      <c r="J1255" t="inlineStr">
        <is>
          <t>RN-11 y RN-34: provision hasta el cupo operativo antes de bajar del 8 %</t>
        </is>
      </c>
      <c r="K1255" t="inlineStr">
        <is>
          <t>Provision en la manana, antes del pagado: con el pronostico, sin provision el saldo bajaria del 8 % del cupo ese dia. Lleva el saldo de 53.563.146 a 441.000.000 COP (cupo 441.000.000). Equipo administrado por Sucursal. Sin tarifa TDV (administrado por la sucursal): costo 0 declarado.</t>
        </is>
      </c>
      <c r="L1255" s="26" t="n">
        <v>441000000</v>
      </c>
      <c r="M1255" s="26" t="n">
        <v>53563146</v>
      </c>
      <c r="N1255" s="27">
        <f>IF(ISNUMBER(M1255),M1255/L1255,"No aplica")</f>
        <v>0.12145838095238096</v>
      </c>
      <c r="O1255" s="25">
        <f>IF(G1255="provision",M1255+H1255,IF(G1255="recoleccion",M1255-H1255,"No aplica"))</f>
        <v>441000000</v>
      </c>
      <c r="P1255" s="26" t="n">
        <v>0</v>
      </c>
    </row>
    <row r="1256">
      <c r="A1256" t="inlineStr">
        <is>
          <t>PRAGMA</t>
        </is>
      </c>
      <c r="B1256" t="inlineStr">
        <is>
          <t>M1</t>
        </is>
      </c>
      <c r="C1256" t="inlineStr">
        <is>
          <t>Ipiales</t>
        </is>
      </c>
      <c r="D1256" t="inlineStr">
        <is>
          <t>8856</t>
        </is>
      </c>
      <c r="E1256" t="inlineStr">
        <is>
          <t>Sucursal</t>
        </is>
      </c>
      <c r="F1256" s="23" t="n">
        <v>46280</v>
      </c>
      <c r="G1256" t="inlineStr">
        <is>
          <t>provision</t>
        </is>
      </c>
      <c r="H1256" s="26" t="n">
        <v>360659696</v>
      </c>
      <c r="I1256" t="inlineStr">
        <is>
          <t>bajo</t>
        </is>
      </c>
      <c r="J1256" t="inlineStr">
        <is>
          <t>RN-11 y RN-34: provision hasta el cupo operativo antes de bajar del 8 %</t>
        </is>
      </c>
      <c r="K1256" t="inlineStr">
        <is>
          <t>Provision en la manana, antes del pagado: con el pronostico, sin provision el saldo bajaria del 8 % del cupo ese dia. Lleva el saldo de 80.340.304 a 441.000.000 COP (cupo 441.000.000). Equipo administrado por Sucursal. Sin tarifa TDV (administrado por la sucursal): costo 0 declarado.</t>
        </is>
      </c>
      <c r="L1256" s="26" t="n">
        <v>441000000</v>
      </c>
      <c r="M1256" s="26" t="n">
        <v>80340304</v>
      </c>
      <c r="N1256" s="27">
        <f>IF(ISNUMBER(M1256),M1256/L1256,"No aplica")</f>
        <v>0.18217756009070296</v>
      </c>
      <c r="O1256" s="25">
        <f>IF(G1256="provision",M1256+H1256,IF(G1256="recoleccion",M1256-H1256,"No aplica"))</f>
        <v>441000000</v>
      </c>
      <c r="P1256" s="26" t="n">
        <v>0</v>
      </c>
    </row>
    <row r="1257">
      <c r="A1257" t="inlineStr">
        <is>
          <t>PRAGMA</t>
        </is>
      </c>
      <c r="B1257" t="inlineStr">
        <is>
          <t>M1</t>
        </is>
      </c>
      <c r="C1257" t="inlineStr">
        <is>
          <t>Cali</t>
        </is>
      </c>
      <c r="D1257" t="inlineStr">
        <is>
          <t>8857</t>
        </is>
      </c>
      <c r="E1257" t="inlineStr">
        <is>
          <t>TDV</t>
        </is>
      </c>
      <c r="F1257" s="23" t="n">
        <v>46273</v>
      </c>
      <c r="G1257" t="inlineStr">
        <is>
          <t>provision</t>
        </is>
      </c>
      <c r="H1257" s="26" t="n">
        <v>335695188</v>
      </c>
      <c r="I1257" t="inlineStr">
        <is>
          <t>bajo</t>
        </is>
      </c>
      <c r="J1257" t="inlineStr">
        <is>
          <t>RN-11 y RN-34: provision hasta el cupo operativo antes de bajar del 8 %</t>
        </is>
      </c>
      <c r="K1257" t="inlineStr">
        <is>
          <t>Provision en la manana, antes del pagado: con el pronostico, sin provision el saldo bajaria del 8 % del cupo ese dia. Lleva el saldo de 69.304.812 a 405.000.000 COP (cupo 405.000.000). Equipo administrado por TDV.</t>
        </is>
      </c>
      <c r="L1257" s="26" t="n">
        <v>405000000</v>
      </c>
      <c r="M1257" s="26" t="n">
        <v>69304812</v>
      </c>
      <c r="N1257" s="27">
        <f>IF(ISNUMBER(M1257),M1257/L1257,"No aplica")</f>
        <v>0.1711229925925926</v>
      </c>
      <c r="O1257" s="25">
        <f>IF(G1257="provision",M1257+H1257,IF(G1257="recoleccion",M1257-H1257,"No aplica"))</f>
        <v>405000000</v>
      </c>
      <c r="P1257" s="26" t="n">
        <v>148565</v>
      </c>
    </row>
    <row r="1258">
      <c r="A1258" t="inlineStr">
        <is>
          <t>PRAGMA</t>
        </is>
      </c>
      <c r="B1258" t="inlineStr">
        <is>
          <t>M1</t>
        </is>
      </c>
      <c r="C1258" t="inlineStr">
        <is>
          <t>Cali</t>
        </is>
      </c>
      <c r="D1258" t="inlineStr">
        <is>
          <t>8857</t>
        </is>
      </c>
      <c r="E1258" t="inlineStr">
        <is>
          <t>TDV</t>
        </is>
      </c>
      <c r="F1258" s="23" t="n">
        <v>46280</v>
      </c>
      <c r="G1258" t="inlineStr">
        <is>
          <t>provision</t>
        </is>
      </c>
      <c r="H1258" s="26" t="n">
        <v>310912932</v>
      </c>
      <c r="I1258" t="inlineStr">
        <is>
          <t>bajo</t>
        </is>
      </c>
      <c r="J1258" t="inlineStr">
        <is>
          <t>RN-11 y RN-34: provision hasta el cupo operativo antes de bajar del 8 %</t>
        </is>
      </c>
      <c r="K1258" t="inlineStr">
        <is>
          <t>Provision en la manana, antes del pagado: con el pronostico, sin provision el saldo bajaria del 8 % del cupo ese dia. Lleva el saldo de 94.087.068 a 405.000.000 COP (cupo 405.000.000). Equipo administrado por TDV.</t>
        </is>
      </c>
      <c r="L1258" s="26" t="n">
        <v>405000000</v>
      </c>
      <c r="M1258" s="26" t="n">
        <v>94087068</v>
      </c>
      <c r="N1258" s="27">
        <f>IF(ISNUMBER(M1258),M1258/L1258,"No aplica")</f>
        <v>0.23231374814814815</v>
      </c>
      <c r="O1258" s="25">
        <f>IF(G1258="provision",M1258+H1258,IF(G1258="recoleccion",M1258-H1258,"No aplica"))</f>
        <v>405000000</v>
      </c>
      <c r="P1258" s="26" t="n">
        <v>138974</v>
      </c>
    </row>
    <row r="1259">
      <c r="A1259" t="inlineStr">
        <is>
          <t>PRAGMA</t>
        </is>
      </c>
      <c r="B1259" t="inlineStr">
        <is>
          <t>M1</t>
        </is>
      </c>
      <c r="C1259" t="inlineStr">
        <is>
          <t>Cali</t>
        </is>
      </c>
      <c r="D1259" t="inlineStr">
        <is>
          <t>8860</t>
        </is>
      </c>
      <c r="E1259" t="inlineStr">
        <is>
          <t>TDV</t>
        </is>
      </c>
      <c r="F1259" s="23" t="n">
        <v>46269</v>
      </c>
      <c r="G1259" t="inlineStr">
        <is>
          <t>provision</t>
        </is>
      </c>
      <c r="H1259" s="26" t="n">
        <v>357913925</v>
      </c>
      <c r="I1259" t="inlineStr">
        <is>
          <t>bajo</t>
        </is>
      </c>
      <c r="J1259" t="inlineStr">
        <is>
          <t>RN-11 y RN-34: provision hasta el cupo operativo antes de bajar del 8 %</t>
        </is>
      </c>
      <c r="K1259" t="inlineStr">
        <is>
          <t>Provision en la manana, antes del pagado: con el pronostico, sin provision el saldo bajaria del 8 % del cupo ese dia. Lleva el saldo de 53.086.075 a 411.000.000 COP (cupo 411.000.000). Equipo administrado por TDV.</t>
        </is>
      </c>
      <c r="L1259" s="26" t="n">
        <v>411000000</v>
      </c>
      <c r="M1259" s="26" t="n">
        <v>53086075</v>
      </c>
      <c r="N1259" s="27">
        <f>IF(ISNUMBER(M1259),M1259/L1259,"No aplica")</f>
        <v>0.12916319951338198</v>
      </c>
      <c r="O1259" s="25">
        <f>IF(G1259="provision",M1259+H1259,IF(G1259="recoleccion",M1259-H1259,"No aplica"))</f>
        <v>411000000</v>
      </c>
      <c r="P1259" s="26" t="n">
        <v>176978</v>
      </c>
    </row>
    <row r="1260">
      <c r="A1260" t="inlineStr">
        <is>
          <t>PRAGMA</t>
        </is>
      </c>
      <c r="B1260" t="inlineStr">
        <is>
          <t>M1</t>
        </is>
      </c>
      <c r="C1260" t="inlineStr">
        <is>
          <t>Cali</t>
        </is>
      </c>
      <c r="D1260" t="inlineStr">
        <is>
          <t>8860</t>
        </is>
      </c>
      <c r="E1260" t="inlineStr">
        <is>
          <t>TDV</t>
        </is>
      </c>
      <c r="F1260" s="23" t="n">
        <v>46274</v>
      </c>
      <c r="G1260" t="inlineStr">
        <is>
          <t>provision</t>
        </is>
      </c>
      <c r="H1260" s="26" t="n">
        <v>372083526</v>
      </c>
      <c r="I1260" t="inlineStr">
        <is>
          <t>bajo</t>
        </is>
      </c>
      <c r="J1260" t="inlineStr">
        <is>
          <t>RN-11 y RN-34: provision hasta el cupo operativo antes de bajar del 8 %</t>
        </is>
      </c>
      <c r="K1260" t="inlineStr">
        <is>
          <t>Provision en la manana, antes del pagado: con el pronostico, sin provision el saldo bajaria del 8 % del cupo ese dia. Lleva el saldo de 38.916.474 a 411.000.000 COP (cupo 411.000.000). Equipo administrado por TDV.</t>
        </is>
      </c>
      <c r="L1260" s="26" t="n">
        <v>411000000</v>
      </c>
      <c r="M1260" s="26" t="n">
        <v>38916474</v>
      </c>
      <c r="N1260" s="27">
        <f>IF(ISNUMBER(M1260),M1260/L1260,"No aplica")</f>
        <v>0.09468728467153284</v>
      </c>
      <c r="O1260" s="25">
        <f>IF(G1260="provision",M1260+H1260,IF(G1260="recoleccion",M1260-H1260,"No aplica"))</f>
        <v>411000000</v>
      </c>
      <c r="P1260" s="26" t="n">
        <v>183241</v>
      </c>
    </row>
    <row r="1261">
      <c r="A1261" t="inlineStr">
        <is>
          <t>PRAGMA</t>
        </is>
      </c>
      <c r="B1261" t="inlineStr">
        <is>
          <t>M1</t>
        </is>
      </c>
      <c r="C1261" t="inlineStr">
        <is>
          <t>Cali</t>
        </is>
      </c>
      <c r="D1261" t="inlineStr">
        <is>
          <t>8860</t>
        </is>
      </c>
      <c r="E1261" t="inlineStr">
        <is>
          <t>TDV</t>
        </is>
      </c>
      <c r="F1261" s="23" t="n">
        <v>46279</v>
      </c>
      <c r="G1261" t="inlineStr">
        <is>
          <t>provision</t>
        </is>
      </c>
      <c r="H1261" s="26" t="n">
        <v>336916138</v>
      </c>
      <c r="I1261" t="inlineStr">
        <is>
          <t>bajo</t>
        </is>
      </c>
      <c r="J1261" t="inlineStr">
        <is>
          <t>RN-11 y RN-34: provision hasta el cupo operativo antes de bajar del 8 %</t>
        </is>
      </c>
      <c r="K1261" t="inlineStr">
        <is>
          <t>Provision en la manana, antes del pagado: con el pronostico, sin provision el saldo bajaria del 8 % del cupo ese dia. Lleva el saldo de 74.083.862 a 411.000.000 COP (cupo 411.000.000). Equipo administrado por TDV.</t>
        </is>
      </c>
      <c r="L1261" s="26" t="n">
        <v>411000000</v>
      </c>
      <c r="M1261" s="26" t="n">
        <v>74083862</v>
      </c>
      <c r="N1261" s="27">
        <f>IF(ISNUMBER(M1261),M1261/L1261,"No aplica")</f>
        <v>0.18025270559610707</v>
      </c>
      <c r="O1261" s="25">
        <f>IF(G1261="provision",M1261+H1261,IF(G1261="recoleccion",M1261-H1261,"No aplica"))</f>
        <v>411000000</v>
      </c>
      <c r="P1261" s="26" t="n">
        <v>167697</v>
      </c>
    </row>
    <row r="1262">
      <c r="A1262" t="inlineStr">
        <is>
          <t>PRAGMA</t>
        </is>
      </c>
      <c r="B1262" t="inlineStr">
        <is>
          <t>M1</t>
        </is>
      </c>
      <c r="C1262" t="inlineStr">
        <is>
          <t>Cali</t>
        </is>
      </c>
      <c r="D1262" t="inlineStr">
        <is>
          <t>8862</t>
        </is>
      </c>
      <c r="E1262" t="inlineStr">
        <is>
          <t>TDV</t>
        </is>
      </c>
      <c r="F1262" s="23" t="n">
        <v>46272</v>
      </c>
      <c r="G1262" t="inlineStr">
        <is>
          <t>provision</t>
        </is>
      </c>
      <c r="H1262" s="26" t="n">
        <v>373641099</v>
      </c>
      <c r="I1262" t="inlineStr">
        <is>
          <t>bajo</t>
        </is>
      </c>
      <c r="J1262" t="inlineStr">
        <is>
          <t>RN-11 y RN-34: provision hasta el cupo operativo antes de bajar del 8 %</t>
        </is>
      </c>
      <c r="K1262" t="inlineStr">
        <is>
          <t>Provision en la manana, antes del pagado: con el pronostico, sin provision el saldo bajaria del 8 % del cupo ese dia. Lleva el saldo de 37.358.901 a 411.000.000 COP (cupo 411.000.000). Equipo administrado por TDV.</t>
        </is>
      </c>
      <c r="L1262" s="26" t="n">
        <v>411000000</v>
      </c>
      <c r="M1262" s="26" t="n">
        <v>37358901</v>
      </c>
      <c r="N1262" s="27">
        <f>IF(ISNUMBER(M1262),M1262/L1262,"No aplica")</f>
        <v>0.0908975693430657</v>
      </c>
      <c r="O1262" s="25">
        <f>IF(G1262="provision",M1262+H1262,IF(G1262="recoleccion",M1262-H1262,"No aplica"))</f>
        <v>411000000</v>
      </c>
      <c r="P1262" s="26" t="n">
        <v>183929</v>
      </c>
    </row>
    <row r="1263">
      <c r="A1263" t="inlineStr">
        <is>
          <t>PRAGMA</t>
        </is>
      </c>
      <c r="B1263" t="inlineStr">
        <is>
          <t>M1</t>
        </is>
      </c>
      <c r="C1263" t="inlineStr">
        <is>
          <t>Cali</t>
        </is>
      </c>
      <c r="D1263" t="inlineStr">
        <is>
          <t>8862</t>
        </is>
      </c>
      <c r="E1263" t="inlineStr">
        <is>
          <t>TDV</t>
        </is>
      </c>
      <c r="F1263" s="23" t="n">
        <v>46280</v>
      </c>
      <c r="G1263" t="inlineStr">
        <is>
          <t>provision</t>
        </is>
      </c>
      <c r="H1263" s="26" t="n">
        <v>376152101</v>
      </c>
      <c r="I1263" t="inlineStr">
        <is>
          <t>bajo</t>
        </is>
      </c>
      <c r="J1263" t="inlineStr">
        <is>
          <t>RN-11 y RN-34: provision hasta el cupo operativo antes de bajar del 8 %</t>
        </is>
      </c>
      <c r="K1263" t="inlineStr">
        <is>
          <t>Provision en la manana, antes del pagado: con el pronostico, sin provision el saldo bajaria del 8 % del cupo ese dia. Lleva el saldo de 34.847.899 a 411.000.000 COP (cupo 411.000.000). Equipo administrado por TDV.</t>
        </is>
      </c>
      <c r="L1263" s="26" t="n">
        <v>411000000</v>
      </c>
      <c r="M1263" s="26" t="n">
        <v>34847899</v>
      </c>
      <c r="N1263" s="27">
        <f>IF(ISNUMBER(M1263),M1263/L1263,"No aplica")</f>
        <v>0.08478807542579075</v>
      </c>
      <c r="O1263" s="25">
        <f>IF(G1263="provision",M1263+H1263,IF(G1263="recoleccion",M1263-H1263,"No aplica"))</f>
        <v>411000000</v>
      </c>
      <c r="P1263" s="26" t="n">
        <v>185039</v>
      </c>
    </row>
    <row r="1264">
      <c r="A1264" t="inlineStr">
        <is>
          <t>PRAGMA</t>
        </is>
      </c>
      <c r="B1264" t="inlineStr">
        <is>
          <t>M1</t>
        </is>
      </c>
      <c r="C1264" t="inlineStr">
        <is>
          <t>Ipiales</t>
        </is>
      </c>
      <c r="D1264" t="inlineStr">
        <is>
          <t>8887</t>
        </is>
      </c>
      <c r="E1264" t="inlineStr">
        <is>
          <t>TDV</t>
        </is>
      </c>
      <c r="F1264" s="23" t="n">
        <v>46268</v>
      </c>
      <c r="G1264" t="inlineStr">
        <is>
          <t>provision</t>
        </is>
      </c>
      <c r="H1264" s="26" t="n">
        <v>326283877</v>
      </c>
      <c r="I1264" t="inlineStr">
        <is>
          <t>bajo</t>
        </is>
      </c>
      <c r="J1264" t="inlineStr">
        <is>
          <t>RN-11 y RN-34: provision hasta el cupo operativo antes de bajar del 8 %</t>
        </is>
      </c>
      <c r="K1264" t="inlineStr">
        <is>
          <t>Provision en la manana, antes del pagado: con el pronostico, sin provision el saldo bajaria del 8 % del cupo ese dia. Lleva el saldo de 84.716.123 a 411.000.000 COP (cupo 411.000.000). Equipo administrado por TDV.</t>
        </is>
      </c>
      <c r="L1264" s="26" t="n">
        <v>411000000</v>
      </c>
      <c r="M1264" s="26" t="n">
        <v>84716123</v>
      </c>
      <c r="N1264" s="27">
        <f>IF(ISNUMBER(M1264),M1264/L1264,"No aplica")</f>
        <v>0.20612195377128953</v>
      </c>
      <c r="O1264" s="25">
        <f>IF(G1264="provision",M1264+H1264,IF(G1264="recoleccion",M1264-H1264,"No aplica"))</f>
        <v>411000000</v>
      </c>
      <c r="P1264" s="26" t="n">
        <v>119469</v>
      </c>
    </row>
    <row r="1265">
      <c r="A1265" t="inlineStr">
        <is>
          <t>PRAGMA</t>
        </is>
      </c>
      <c r="B1265" t="inlineStr">
        <is>
          <t>M1</t>
        </is>
      </c>
      <c r="C1265" t="inlineStr">
        <is>
          <t>Ipiales</t>
        </is>
      </c>
      <c r="D1265" t="inlineStr">
        <is>
          <t>8887</t>
        </is>
      </c>
      <c r="E1265" t="inlineStr">
        <is>
          <t>TDV</t>
        </is>
      </c>
      <c r="F1265" s="23" t="n">
        <v>46270</v>
      </c>
      <c r="G1265" t="inlineStr">
        <is>
          <t>provision</t>
        </is>
      </c>
      <c r="H1265" s="26" t="n">
        <v>284529739</v>
      </c>
      <c r="I1265" t="inlineStr">
        <is>
          <t>bajo</t>
        </is>
      </c>
      <c r="J1265" t="inlineStr">
        <is>
          <t>RN-11 y RN-34: provision hasta el cupo operativo antes de bajar del 8 %</t>
        </is>
      </c>
      <c r="K1265" t="inlineStr">
        <is>
          <t>Provision en la manana, antes del pagado: con el pronostico, sin provision el saldo bajaria del 8 % del cupo ese dia. Lleva el saldo de 126.470.261 a 411.000.000 COP (cupo 411.000.000). Equipo administrado por TDV.</t>
        </is>
      </c>
      <c r="L1265" s="26" t="n">
        <v>411000000</v>
      </c>
      <c r="M1265" s="26" t="n">
        <v>126470261</v>
      </c>
      <c r="N1265" s="27">
        <f>IF(ISNUMBER(M1265),M1265/L1265,"No aplica")</f>
        <v>0.3077135304136253</v>
      </c>
      <c r="O1265" s="25">
        <f>IF(G1265="provision",M1265+H1265,IF(G1265="recoleccion",M1265-H1265,"No aplica"))</f>
        <v>411000000</v>
      </c>
      <c r="P1265" s="26" t="n">
        <v>106400</v>
      </c>
    </row>
    <row r="1266">
      <c r="A1266" t="inlineStr">
        <is>
          <t>PRAGMA</t>
        </is>
      </c>
      <c r="B1266" t="inlineStr">
        <is>
          <t>M1</t>
        </is>
      </c>
      <c r="C1266" t="inlineStr">
        <is>
          <t>Ipiales</t>
        </is>
      </c>
      <c r="D1266" t="inlineStr">
        <is>
          <t>8887</t>
        </is>
      </c>
      <c r="E1266" t="inlineStr">
        <is>
          <t>TDV</t>
        </is>
      </c>
      <c r="F1266" s="23" t="n">
        <v>46273</v>
      </c>
      <c r="G1266" t="inlineStr">
        <is>
          <t>provision</t>
        </is>
      </c>
      <c r="H1266" s="26" t="n">
        <v>373704823</v>
      </c>
      <c r="I1266" t="inlineStr">
        <is>
          <t>bajo</t>
        </is>
      </c>
      <c r="J1266" t="inlineStr">
        <is>
          <t>RN-11 y RN-34: provision hasta el cupo operativo antes de bajar del 8 %</t>
        </is>
      </c>
      <c r="K1266" t="inlineStr">
        <is>
          <t>Provision en la manana, antes del pagado: con el pronostico, sin provision el saldo bajaria del 8 % del cupo ese dia. Lleva el saldo de 37.295.177 a 411.000.000 COP (cupo 411.000.000). Equipo administrado por TDV.</t>
        </is>
      </c>
      <c r="L1266" s="26" t="n">
        <v>411000000</v>
      </c>
      <c r="M1266" s="26" t="n">
        <v>37295177</v>
      </c>
      <c r="N1266" s="27">
        <f>IF(ISNUMBER(M1266),M1266/L1266,"No aplica")</f>
        <v>0.09074252311435523</v>
      </c>
      <c r="O1266" s="25">
        <f>IF(G1266="provision",M1266+H1266,IF(G1266="recoleccion",M1266-H1266,"No aplica"))</f>
        <v>411000000</v>
      </c>
      <c r="P1266" s="26" t="n">
        <v>134312</v>
      </c>
    </row>
    <row r="1267">
      <c r="A1267" t="inlineStr">
        <is>
          <t>PRAGMA</t>
        </is>
      </c>
      <c r="B1267" t="inlineStr">
        <is>
          <t>M1</t>
        </is>
      </c>
      <c r="C1267" t="inlineStr">
        <is>
          <t>Ipiales</t>
        </is>
      </c>
      <c r="D1267" t="inlineStr">
        <is>
          <t>8887</t>
        </is>
      </c>
      <c r="E1267" t="inlineStr">
        <is>
          <t>TDV</t>
        </is>
      </c>
      <c r="F1267" s="23" t="n">
        <v>46276</v>
      </c>
      <c r="G1267" t="inlineStr">
        <is>
          <t>provision</t>
        </is>
      </c>
      <c r="H1267" s="26" t="n">
        <v>336733817</v>
      </c>
      <c r="I1267" t="inlineStr">
        <is>
          <t>bajo</t>
        </is>
      </c>
      <c r="J1267" t="inlineStr">
        <is>
          <t>RN-11 y RN-34: provision hasta el cupo operativo antes de bajar del 8 %</t>
        </is>
      </c>
      <c r="K1267" t="inlineStr">
        <is>
          <t>Provision en la manana, antes del pagado: con el pronostico, sin provision el saldo bajaria del 8 % del cupo ese dia. Lleva el saldo de 74.266.183 a 411.000.000 COP (cupo 411.000.000). Equipo administrado por TDV.</t>
        </is>
      </c>
      <c r="L1267" s="26" t="n">
        <v>411000000</v>
      </c>
      <c r="M1267" s="26" t="n">
        <v>74266183</v>
      </c>
      <c r="N1267" s="27">
        <f>IF(ISNUMBER(M1267),M1267/L1267,"No aplica")</f>
        <v>0.18069630900243308</v>
      </c>
      <c r="O1267" s="25">
        <f>IF(G1267="provision",M1267+H1267,IF(G1267="recoleccion",M1267-H1267,"No aplica"))</f>
        <v>411000000</v>
      </c>
      <c r="P1267" s="26" t="n">
        <v>122740</v>
      </c>
    </row>
    <row r="1268">
      <c r="A1268" t="inlineStr">
        <is>
          <t>PRAGMA</t>
        </is>
      </c>
      <c r="B1268" t="inlineStr">
        <is>
          <t>M1</t>
        </is>
      </c>
      <c r="C1268" t="inlineStr">
        <is>
          <t>Ipiales</t>
        </is>
      </c>
      <c r="D1268" t="inlineStr">
        <is>
          <t>8887</t>
        </is>
      </c>
      <c r="E1268" t="inlineStr">
        <is>
          <t>TDV</t>
        </is>
      </c>
      <c r="F1268" s="23" t="n">
        <v>46279</v>
      </c>
      <c r="G1268" t="inlineStr">
        <is>
          <t>provision</t>
        </is>
      </c>
      <c r="H1268" s="26" t="n">
        <v>297806683</v>
      </c>
      <c r="I1268" t="inlineStr">
        <is>
          <t>bajo</t>
        </is>
      </c>
      <c r="J1268" t="inlineStr">
        <is>
          <t>RN-11 y RN-34: provision hasta el cupo operativo antes de bajar del 8 %</t>
        </is>
      </c>
      <c r="K1268" t="inlineStr">
        <is>
          <t>Provision en la manana, antes del pagado: con el pronostico, sin provision el saldo bajaria del 8 % del cupo ese dia. Lleva el saldo de 113.193.317 a 411.000.000 COP (cupo 411.000.000). Equipo administrado por TDV.</t>
        </is>
      </c>
      <c r="L1268" s="26" t="n">
        <v>411000000</v>
      </c>
      <c r="M1268" s="26" t="n">
        <v>113193317</v>
      </c>
      <c r="N1268" s="27">
        <f>IF(ISNUMBER(M1268),M1268/L1268,"No aplica")</f>
        <v>0.2754095304136253</v>
      </c>
      <c r="O1268" s="25">
        <f>IF(G1268="provision",M1268+H1268,IF(G1268="recoleccion",M1268-H1268,"No aplica"))</f>
        <v>411000000</v>
      </c>
      <c r="P1268" s="26" t="n">
        <v>110555</v>
      </c>
    </row>
    <row r="1269">
      <c r="A1269" t="inlineStr">
        <is>
          <t>PRAGMA</t>
        </is>
      </c>
      <c r="B1269" t="inlineStr">
        <is>
          <t>M1</t>
        </is>
      </c>
      <c r="C1269" t="inlineStr">
        <is>
          <t>Cali</t>
        </is>
      </c>
      <c r="D1269" t="inlineStr">
        <is>
          <t>8905</t>
        </is>
      </c>
      <c r="E1269" t="inlineStr">
        <is>
          <t>TDV</t>
        </is>
      </c>
      <c r="F1269" s="23" t="n">
        <v>46269</v>
      </c>
      <c r="G1269" t="inlineStr">
        <is>
          <t>provision</t>
        </is>
      </c>
      <c r="H1269" s="26" t="n">
        <v>293077362</v>
      </c>
      <c r="I1269" t="inlineStr">
        <is>
          <t>bajo</t>
        </is>
      </c>
      <c r="J1269" t="inlineStr">
        <is>
          <t>RN-11 y RN-34: provision hasta el cupo operativo antes de bajar del 8 %</t>
        </is>
      </c>
      <c r="K1269" t="inlineStr">
        <is>
          <t>Provision en la manana, antes del pagado: con el pronostico, sin provision el saldo bajaria del 8 % del cupo ese dia. Lleva el saldo de 111.922.638 a 405.000.000 COP (cupo 405.000.000). Equipo administrado por TDV.</t>
        </is>
      </c>
      <c r="L1269" s="26" t="n">
        <v>405000000</v>
      </c>
      <c r="M1269" s="26" t="n">
        <v>111922638</v>
      </c>
      <c r="N1269" s="27">
        <f>IF(ISNUMBER(M1269),M1269/L1269,"No aplica")</f>
        <v>0.2763521925925926</v>
      </c>
      <c r="O1269" s="25">
        <f>IF(G1269="provision",M1269+H1269,IF(G1269="recoleccion",M1269-H1269,"No aplica"))</f>
        <v>405000000</v>
      </c>
      <c r="P1269" s="26" t="n">
        <v>132072</v>
      </c>
    </row>
    <row r="1270">
      <c r="A1270" t="inlineStr">
        <is>
          <t>PRAGMA</t>
        </is>
      </c>
      <c r="B1270" t="inlineStr">
        <is>
          <t>M1</t>
        </is>
      </c>
      <c r="C1270" t="inlineStr">
        <is>
          <t>Cali</t>
        </is>
      </c>
      <c r="D1270" t="inlineStr">
        <is>
          <t>8905</t>
        </is>
      </c>
      <c r="E1270" t="inlineStr">
        <is>
          <t>TDV</t>
        </is>
      </c>
      <c r="F1270" s="23" t="n">
        <v>46274</v>
      </c>
      <c r="G1270" t="inlineStr">
        <is>
          <t>provision</t>
        </is>
      </c>
      <c r="H1270" s="26" t="n">
        <v>360503779</v>
      </c>
      <c r="I1270" t="inlineStr">
        <is>
          <t>bajo</t>
        </is>
      </c>
      <c r="J1270" t="inlineStr">
        <is>
          <t>RN-11 y RN-34: provision hasta el cupo operativo antes de bajar del 8 %</t>
        </is>
      </c>
      <c r="K1270" t="inlineStr">
        <is>
          <t>Provision en la manana, antes del pagado: con el pronostico, sin provision el saldo bajaria del 8 % del cupo ese dia. Lleva el saldo de 44.496.221 a 405.000.000 COP (cupo 405.000.000). Equipo administrado por TDV.</t>
        </is>
      </c>
      <c r="L1270" s="26" t="n">
        <v>405000000</v>
      </c>
      <c r="M1270" s="26" t="n">
        <v>44496221</v>
      </c>
      <c r="N1270" s="27">
        <f>IF(ISNUMBER(M1270),M1270/L1270,"No aplica")</f>
        <v>0.10986721234567902</v>
      </c>
      <c r="O1270" s="25">
        <f>IF(G1270="provision",M1270+H1270,IF(G1270="recoleccion",M1270-H1270,"No aplica"))</f>
        <v>405000000</v>
      </c>
      <c r="P1270" s="26" t="n">
        <v>158166</v>
      </c>
    </row>
    <row r="1271">
      <c r="A1271" t="inlineStr">
        <is>
          <t>PRAGMA</t>
        </is>
      </c>
      <c r="B1271" t="inlineStr">
        <is>
          <t>M1</t>
        </is>
      </c>
      <c r="C1271" t="inlineStr">
        <is>
          <t>Cali</t>
        </is>
      </c>
      <c r="D1271" t="inlineStr">
        <is>
          <t>8905</t>
        </is>
      </c>
      <c r="E1271" t="inlineStr">
        <is>
          <t>TDV</t>
        </is>
      </c>
      <c r="F1271" s="23" t="n">
        <v>46280</v>
      </c>
      <c r="G1271" t="inlineStr">
        <is>
          <t>provision</t>
        </is>
      </c>
      <c r="H1271" s="26" t="n">
        <v>346101419</v>
      </c>
      <c r="I1271" t="inlineStr">
        <is>
          <t>bajo</t>
        </is>
      </c>
      <c r="J1271" t="inlineStr">
        <is>
          <t>RN-11 y RN-34: provision hasta el cupo operativo antes de bajar del 8 %</t>
        </is>
      </c>
      <c r="K1271" t="inlineStr">
        <is>
          <t>Provision en la manana, antes del pagado: con el pronostico, sin provision el saldo bajaria del 8 % del cupo ese dia. Lleva el saldo de 58.898.581 a 405.000.000 COP (cupo 405.000.000). Equipo administrado por TDV.</t>
        </is>
      </c>
      <c r="L1271" s="26" t="n">
        <v>405000000</v>
      </c>
      <c r="M1271" s="26" t="n">
        <v>58898581</v>
      </c>
      <c r="N1271" s="27">
        <f>IF(ISNUMBER(M1271),M1271/L1271,"No aplica")</f>
        <v>0.1454285950617284</v>
      </c>
      <c r="O1271" s="25">
        <f>IF(G1271="provision",M1271+H1271,IF(G1271="recoleccion",M1271-H1271,"No aplica"))</f>
        <v>405000000</v>
      </c>
      <c r="P1271" s="26" t="n">
        <v>152592</v>
      </c>
    </row>
    <row r="1272">
      <c r="A1272" t="inlineStr">
        <is>
          <t>PRAGMA</t>
        </is>
      </c>
      <c r="B1272" t="inlineStr">
        <is>
          <t>M1</t>
        </is>
      </c>
      <c r="C1272" t="inlineStr">
        <is>
          <t>Cali</t>
        </is>
      </c>
      <c r="D1272" t="inlineStr">
        <is>
          <t>8906</t>
        </is>
      </c>
      <c r="E1272" t="inlineStr">
        <is>
          <t>TDV</t>
        </is>
      </c>
      <c r="F1272" s="23" t="n">
        <v>46269</v>
      </c>
      <c r="G1272" t="inlineStr">
        <is>
          <t>provision</t>
        </is>
      </c>
      <c r="H1272" s="26" t="n">
        <v>353347472</v>
      </c>
      <c r="I1272" t="inlineStr">
        <is>
          <t>bajo</t>
        </is>
      </c>
      <c r="J1272" t="inlineStr">
        <is>
          <t>RN-11 y RN-34: provision hasta el cupo operativo antes de bajar del 8 %</t>
        </is>
      </c>
      <c r="K1272" t="inlineStr">
        <is>
          <t>Provision en la manana, antes del pagado: con el pronostico, sin provision el saldo bajaria del 8 % del cupo ese dia. Lleva el saldo de 51.652.528 a 405.000.000 COP (cupo 405.000.000). Equipo administrado por TDV.</t>
        </is>
      </c>
      <c r="L1272" s="26" t="n">
        <v>405000000</v>
      </c>
      <c r="M1272" s="26" t="n">
        <v>51652528</v>
      </c>
      <c r="N1272" s="27">
        <f>IF(ISNUMBER(M1272),M1272/L1272,"No aplica")</f>
        <v>0.1275371061728395</v>
      </c>
      <c r="O1272" s="25">
        <f>IF(G1272="provision",M1272+H1272,IF(G1272="recoleccion",M1272-H1272,"No aplica"))</f>
        <v>405000000</v>
      </c>
      <c r="P1272" s="26" t="n">
        <v>155396</v>
      </c>
    </row>
    <row r="1273">
      <c r="A1273" t="inlineStr">
        <is>
          <t>PRAGMA</t>
        </is>
      </c>
      <c r="B1273" t="inlineStr">
        <is>
          <t>M1</t>
        </is>
      </c>
      <c r="C1273" t="inlineStr">
        <is>
          <t>Cali</t>
        </is>
      </c>
      <c r="D1273" t="inlineStr">
        <is>
          <t>8906</t>
        </is>
      </c>
      <c r="E1273" t="inlineStr">
        <is>
          <t>TDV</t>
        </is>
      </c>
      <c r="F1273" s="23" t="n">
        <v>46273</v>
      </c>
      <c r="G1273" t="inlineStr">
        <is>
          <t>provision</t>
        </is>
      </c>
      <c r="H1273" s="26" t="n">
        <v>365333065</v>
      </c>
      <c r="I1273" t="inlineStr">
        <is>
          <t>bajo</t>
        </is>
      </c>
      <c r="J1273" t="inlineStr">
        <is>
          <t>RN-11 y RN-34: provision hasta el cupo operativo antes de bajar del 8 %</t>
        </is>
      </c>
      <c r="K1273" t="inlineStr">
        <is>
          <t>Provision en la manana, antes del pagado: con el pronostico, sin provision el saldo bajaria del 8 % del cupo ese dia. Lleva el saldo de 39.666.935 a 405.000.000 COP (cupo 405.000.000). Equipo administrado por TDV.</t>
        </is>
      </c>
      <c r="L1273" s="26" t="n">
        <v>405000000</v>
      </c>
      <c r="M1273" s="26" t="n">
        <v>39666935</v>
      </c>
      <c r="N1273" s="27">
        <f>IF(ISNUMBER(M1273),M1273/L1273,"No aplica")</f>
        <v>0.09794304938271604</v>
      </c>
      <c r="O1273" s="25">
        <f>IF(G1273="provision",M1273+H1273,IF(G1273="recoleccion",M1273-H1273,"No aplica"))</f>
        <v>405000000</v>
      </c>
      <c r="P1273" s="26" t="n">
        <v>160035</v>
      </c>
    </row>
    <row r="1274">
      <c r="A1274" t="inlineStr">
        <is>
          <t>PRAGMA</t>
        </is>
      </c>
      <c r="B1274" t="inlineStr">
        <is>
          <t>M1</t>
        </is>
      </c>
      <c r="C1274" t="inlineStr">
        <is>
          <t>Cali</t>
        </is>
      </c>
      <c r="D1274" t="inlineStr">
        <is>
          <t>8906</t>
        </is>
      </c>
      <c r="E1274" t="inlineStr">
        <is>
          <t>TDV</t>
        </is>
      </c>
      <c r="F1274" s="23" t="n">
        <v>46277</v>
      </c>
      <c r="G1274" t="inlineStr">
        <is>
          <t>provision</t>
        </is>
      </c>
      <c r="H1274" s="26" t="n">
        <v>329149470</v>
      </c>
      <c r="I1274" t="inlineStr">
        <is>
          <t>bajo</t>
        </is>
      </c>
      <c r="J1274" t="inlineStr">
        <is>
          <t>RN-11 y RN-34: provision hasta el cupo operativo antes de bajar del 8 %</t>
        </is>
      </c>
      <c r="K1274" t="inlineStr">
        <is>
          <t>Provision en la manana, antes del pagado: con el pronostico, sin provision el saldo bajaria del 8 % del cupo ese dia. Lleva el saldo de 75.850.530 a 405.000.000 COP (cupo 405.000.000). Equipo administrado por TDV.</t>
        </is>
      </c>
      <c r="L1274" s="26" t="n">
        <v>405000000</v>
      </c>
      <c r="M1274" s="26" t="n">
        <v>75850530</v>
      </c>
      <c r="N1274" s="27">
        <f>IF(ISNUMBER(M1274),M1274/L1274,"No aplica")</f>
        <v>0.18728525925925926</v>
      </c>
      <c r="O1274" s="25">
        <f>IF(G1274="provision",M1274+H1274,IF(G1274="recoleccion",M1274-H1274,"No aplica"))</f>
        <v>405000000</v>
      </c>
      <c r="P1274" s="26" t="n">
        <v>146032</v>
      </c>
    </row>
    <row r="1275">
      <c r="A1275" t="inlineStr">
        <is>
          <t>PRAGMA</t>
        </is>
      </c>
      <c r="B1275" t="inlineStr">
        <is>
          <t>M1</t>
        </is>
      </c>
      <c r="C1275" t="inlineStr">
        <is>
          <t>Cali</t>
        </is>
      </c>
      <c r="D1275" t="inlineStr">
        <is>
          <t>8909</t>
        </is>
      </c>
      <c r="E1275" t="inlineStr">
        <is>
          <t>TDV</t>
        </is>
      </c>
      <c r="F1275" s="23" t="n">
        <v>46271</v>
      </c>
      <c r="G1275" t="inlineStr">
        <is>
          <t>provision</t>
        </is>
      </c>
      <c r="H1275" s="26" t="n">
        <v>354485014</v>
      </c>
      <c r="I1275" t="inlineStr">
        <is>
          <t>bajo</t>
        </is>
      </c>
      <c r="J1275" t="inlineStr">
        <is>
          <t>RN-11 y RN-34: provision hasta el cupo operativo antes de bajar del 8 %</t>
        </is>
      </c>
      <c r="K1275" t="inlineStr">
        <is>
          <t>Provision en la manana, antes del pagado: con el pronostico, sin provision el saldo bajaria del 8 % del cupo ese dia. Lleva el saldo de 56.514.986 a 411.000.000 COP (cupo 411.000.000). Equipo administrado por TDV.</t>
        </is>
      </c>
      <c r="L1275" s="26" t="n">
        <v>411000000</v>
      </c>
      <c r="M1275" s="26" t="n">
        <v>56514986</v>
      </c>
      <c r="N1275" s="27">
        <f>IF(ISNUMBER(M1275),M1275/L1275,"No aplica")</f>
        <v>0.1375060486618005</v>
      </c>
      <c r="O1275" s="25">
        <f>IF(G1275="provision",M1275+H1275,IF(G1275="recoleccion",M1275-H1275,"No aplica"))</f>
        <v>411000000</v>
      </c>
      <c r="P1275" s="26" t="n">
        <v>232088</v>
      </c>
    </row>
    <row r="1276">
      <c r="A1276" t="inlineStr">
        <is>
          <t>PRAGMA</t>
        </is>
      </c>
      <c r="B1276" t="inlineStr">
        <is>
          <t>M1</t>
        </is>
      </c>
      <c r="C1276" t="inlineStr">
        <is>
          <t>Cali</t>
        </is>
      </c>
      <c r="D1276" t="inlineStr">
        <is>
          <t>8909</t>
        </is>
      </c>
      <c r="E1276" t="inlineStr">
        <is>
          <t>TDV</t>
        </is>
      </c>
      <c r="F1276" s="23" t="n">
        <v>46278</v>
      </c>
      <c r="G1276" t="inlineStr">
        <is>
          <t>provision</t>
        </is>
      </c>
      <c r="H1276" s="26" t="n">
        <v>350404729</v>
      </c>
      <c r="I1276" t="inlineStr">
        <is>
          <t>bajo</t>
        </is>
      </c>
      <c r="J1276" t="inlineStr">
        <is>
          <t>RN-11 y RN-34: provision hasta el cupo operativo antes de bajar del 8 %</t>
        </is>
      </c>
      <c r="K1276" t="inlineStr">
        <is>
          <t>Provision en la manana, antes del pagado: con el pronostico, sin provision el saldo bajaria del 8 % del cupo ese dia. Lleva el saldo de 60.595.271 a 411.000.000 COP (cupo 411.000.000). Equipo administrado por TDV.</t>
        </is>
      </c>
      <c r="L1276" s="26" t="n">
        <v>411000000</v>
      </c>
      <c r="M1276" s="26" t="n">
        <v>60595271</v>
      </c>
      <c r="N1276" s="27">
        <f>IF(ISNUMBER(M1276),M1276/L1276,"No aplica")</f>
        <v>0.1474337493917275</v>
      </c>
      <c r="O1276" s="25">
        <f>IF(G1276="provision",M1276+H1276,IF(G1276="recoleccion",M1276-H1276,"No aplica"))</f>
        <v>411000000</v>
      </c>
      <c r="P1276" s="26" t="n">
        <v>229709</v>
      </c>
    </row>
    <row r="1277">
      <c r="A1277" t="inlineStr">
        <is>
          <t>PRAGMA</t>
        </is>
      </c>
      <c r="B1277" t="inlineStr">
        <is>
          <t>M1</t>
        </is>
      </c>
      <c r="C1277" t="inlineStr">
        <is>
          <t>Cali</t>
        </is>
      </c>
      <c r="D1277" t="inlineStr">
        <is>
          <t>8918</t>
        </is>
      </c>
      <c r="E1277" t="inlineStr">
        <is>
          <t>TDV</t>
        </is>
      </c>
      <c r="F1277" s="23" t="n">
        <v>46273</v>
      </c>
      <c r="G1277" t="inlineStr">
        <is>
          <t>provision</t>
        </is>
      </c>
      <c r="H1277" s="26" t="n">
        <v>351121918</v>
      </c>
      <c r="I1277" t="inlineStr">
        <is>
          <t>bajo</t>
        </is>
      </c>
      <c r="J1277" t="inlineStr">
        <is>
          <t>RN-11 y RN-34: provision hasta el cupo operativo antes de bajar del 8 %</t>
        </is>
      </c>
      <c r="K1277" t="inlineStr">
        <is>
          <t>Provision en la manana, antes del pagado: con el pronostico, sin provision el saldo bajaria del 8 % del cupo ese dia. Lleva el saldo de 59.878.082 a 411.000.000 COP (cupo 411.000.000). Equipo administrado por TDV.</t>
        </is>
      </c>
      <c r="L1277" s="26" t="n">
        <v>411000000</v>
      </c>
      <c r="M1277" s="26" t="n">
        <v>59878082</v>
      </c>
      <c r="N1277" s="27">
        <f>IF(ISNUMBER(M1277),M1277/L1277,"No aplica")</f>
        <v>0.14568876399026764</v>
      </c>
      <c r="O1277" s="25">
        <f>IF(G1277="provision",M1277+H1277,IF(G1277="recoleccion",M1277-H1277,"No aplica"))</f>
        <v>411000000</v>
      </c>
      <c r="P1277" s="26" t="n">
        <v>177654</v>
      </c>
    </row>
    <row r="1278">
      <c r="A1278" t="inlineStr">
        <is>
          <t>PRAGMA</t>
        </is>
      </c>
      <c r="B1278" t="inlineStr">
        <is>
          <t>M1</t>
        </is>
      </c>
      <c r="C1278" t="inlineStr">
        <is>
          <t>Cali</t>
        </is>
      </c>
      <c r="D1278" t="inlineStr">
        <is>
          <t>8919</t>
        </is>
      </c>
      <c r="E1278" t="inlineStr">
        <is>
          <t>TDV</t>
        </is>
      </c>
      <c r="F1278" s="23" t="n">
        <v>46273</v>
      </c>
      <c r="G1278" t="inlineStr">
        <is>
          <t>provision</t>
        </is>
      </c>
      <c r="H1278" s="26" t="n">
        <v>346350725</v>
      </c>
      <c r="I1278" t="inlineStr">
        <is>
          <t>bajo</t>
        </is>
      </c>
      <c r="J1278" t="inlineStr">
        <is>
          <t>RN-11 y RN-34: provision hasta el cupo operativo antes de bajar del 8 %</t>
        </is>
      </c>
      <c r="K1278" t="inlineStr">
        <is>
          <t>Provision en la manana, antes del pagado: con el pronostico, sin provision el saldo bajaria del 8 % del cupo ese dia. Lleva el saldo de 64.649.275 a 411.000.000 COP (cupo 411.000.000). Equipo administrado por TDV.</t>
        </is>
      </c>
      <c r="L1278" s="26" t="n">
        <v>411000000</v>
      </c>
      <c r="M1278" s="26" t="n">
        <v>64649275</v>
      </c>
      <c r="N1278" s="27">
        <f>IF(ISNUMBER(M1278),M1278/L1278,"No aplica")</f>
        <v>0.15729750608272505</v>
      </c>
      <c r="O1278" s="25">
        <f>IF(G1278="provision",M1278+H1278,IF(G1278="recoleccion",M1278-H1278,"No aplica"))</f>
        <v>411000000</v>
      </c>
      <c r="P1278" s="26" t="n">
        <v>175498</v>
      </c>
    </row>
    <row r="1279">
      <c r="A1279" t="inlineStr">
        <is>
          <t>PRAGMA</t>
        </is>
      </c>
      <c r="B1279" t="inlineStr">
        <is>
          <t>M1</t>
        </is>
      </c>
      <c r="C1279" t="inlineStr">
        <is>
          <t>Cali</t>
        </is>
      </c>
      <c r="D1279" t="inlineStr">
        <is>
          <t>8927</t>
        </is>
      </c>
      <c r="E1279" t="inlineStr">
        <is>
          <t>TDV</t>
        </is>
      </c>
      <c r="F1279" s="23" t="n">
        <v>46266</v>
      </c>
      <c r="G1279" t="inlineStr">
        <is>
          <t>sin_accion</t>
        </is>
      </c>
      <c r="H1279" s="26" t="n">
        <v>0</v>
      </c>
      <c r="I1279" t="inlineStr">
        <is>
          <t>bajo</t>
        </is>
      </c>
      <c r="J1279" t="inlineStr">
        <is>
          <t>RN-02: una fila sin_accion</t>
        </is>
      </c>
      <c r="K1279" t="inlineStr">
        <is>
          <t>Sin accion en el horizonte: con el pronostico, el saldo se mantiene entre el umbral de agotamiento y el cupo sin necesidad de provision ni recoleccion.</t>
        </is>
      </c>
      <c r="L1279" s="26" t="n">
        <v>411000000</v>
      </c>
      <c r="M1279" s="26" t="inlineStr">
        <is>
          <t>No aplica</t>
        </is>
      </c>
      <c r="N1279" s="27" t="str">
        <f>IF(ISNUMBER(M1279),M1279/L1279,"No aplica")</f>
        <v>No aplica</v>
      </c>
      <c r="O1279" s="25" t="str">
        <f>IF(G1279="provision",M1279+H1279,IF(G1279="recoleccion",M1279-H1279,"No aplica"))</f>
        <v>No aplica</v>
      </c>
      <c r="P1279" s="26" t="inlineStr">
        <is>
          <t>No aplica</t>
        </is>
      </c>
    </row>
    <row r="1280">
      <c r="A1280" t="inlineStr">
        <is>
          <t>PRAGMA</t>
        </is>
      </c>
      <c r="B1280" t="inlineStr">
        <is>
          <t>M1</t>
        </is>
      </c>
      <c r="C1280" t="inlineStr">
        <is>
          <t>Cali</t>
        </is>
      </c>
      <c r="D1280" t="inlineStr">
        <is>
          <t>8986</t>
        </is>
      </c>
      <c r="E1280" t="inlineStr">
        <is>
          <t>TDV</t>
        </is>
      </c>
      <c r="F1280" s="23" t="n">
        <v>46268</v>
      </c>
      <c r="G1280" t="inlineStr">
        <is>
          <t>provision</t>
        </is>
      </c>
      <c r="H1280" s="26" t="n">
        <v>335779755</v>
      </c>
      <c r="I1280" t="inlineStr">
        <is>
          <t>bajo</t>
        </is>
      </c>
      <c r="J1280" t="inlineStr">
        <is>
          <t>RN-11 y RN-34: provision hasta el cupo operativo antes de bajar del 8 %</t>
        </is>
      </c>
      <c r="K1280" t="inlineStr">
        <is>
          <t>Provision en la manana, antes del pagado: con el pronostico, sin provision el saldo bajaria del 8 % del cupo ese dia. Lleva el saldo de 75.220.245 a 411.000.000 COP (cupo 411.000.000). Equipo administrado por TDV.</t>
        </is>
      </c>
      <c r="L1280" s="26" t="n">
        <v>411000000</v>
      </c>
      <c r="M1280" s="26" t="n">
        <v>75220245</v>
      </c>
      <c r="N1280" s="27">
        <f>IF(ISNUMBER(M1280),M1280/L1280,"No aplica")</f>
        <v>0.18301762773722627</v>
      </c>
      <c r="O1280" s="25">
        <f>IF(G1280="provision",M1280+H1280,IF(G1280="recoleccion",M1280-H1280,"No aplica"))</f>
        <v>411000000</v>
      </c>
      <c r="P1280" s="26" t="n">
        <v>109577</v>
      </c>
    </row>
    <row r="1281">
      <c r="A1281" t="inlineStr">
        <is>
          <t>PRAGMA</t>
        </is>
      </c>
      <c r="B1281" t="inlineStr">
        <is>
          <t>M1</t>
        </is>
      </c>
      <c r="C1281" t="inlineStr">
        <is>
          <t>Cali</t>
        </is>
      </c>
      <c r="D1281" t="inlineStr">
        <is>
          <t>8986</t>
        </is>
      </c>
      <c r="E1281" t="inlineStr">
        <is>
          <t>TDV</t>
        </is>
      </c>
      <c r="F1281" s="23" t="n">
        <v>46270</v>
      </c>
      <c r="G1281" t="inlineStr">
        <is>
          <t>provision</t>
        </is>
      </c>
      <c r="H1281" s="26" t="n">
        <v>274398509</v>
      </c>
      <c r="I1281" t="inlineStr">
        <is>
          <t>bajo</t>
        </is>
      </c>
      <c r="J1281" t="inlineStr">
        <is>
          <t>RN-11 y RN-34: provision hasta el cupo operativo antes de bajar del 8 %</t>
        </is>
      </c>
      <c r="K1281" t="inlineStr">
        <is>
          <t>Provision en la manana, antes del pagado: con el pronostico, sin provision el saldo bajaria del 8 % del cupo ese dia. Lleva el saldo de 136.601.491 a 411.000.000 COP (cupo 411.000.000). Equipo administrado por TDV.</t>
        </is>
      </c>
      <c r="L1281" s="26" t="n">
        <v>411000000</v>
      </c>
      <c r="M1281" s="26" t="n">
        <v>136601491</v>
      </c>
      <c r="N1281" s="27">
        <f>IF(ISNUMBER(M1281),M1281/L1281,"No aplica")</f>
        <v>0.33236372506082723</v>
      </c>
      <c r="O1281" s="25">
        <f>IF(G1281="provision",M1281+H1281,IF(G1281="recoleccion",M1281-H1281,"No aplica"))</f>
        <v>411000000</v>
      </c>
      <c r="P1281" s="26" t="n">
        <v>92391</v>
      </c>
    </row>
    <row r="1282">
      <c r="A1282" t="inlineStr">
        <is>
          <t>PRAGMA</t>
        </is>
      </c>
      <c r="B1282" t="inlineStr">
        <is>
          <t>M1</t>
        </is>
      </c>
      <c r="C1282" t="inlineStr">
        <is>
          <t>Cali</t>
        </is>
      </c>
      <c r="D1282" t="inlineStr">
        <is>
          <t>8986</t>
        </is>
      </c>
      <c r="E1282" t="inlineStr">
        <is>
          <t>TDV</t>
        </is>
      </c>
      <c r="F1282" s="23" t="n">
        <v>46273</v>
      </c>
      <c r="G1282" t="inlineStr">
        <is>
          <t>provision</t>
        </is>
      </c>
      <c r="H1282" s="26" t="n">
        <v>371405593</v>
      </c>
      <c r="I1282" t="inlineStr">
        <is>
          <t>bajo</t>
        </is>
      </c>
      <c r="J1282" t="inlineStr">
        <is>
          <t>RN-11 y RN-34: provision hasta el cupo operativo antes de bajar del 8 %</t>
        </is>
      </c>
      <c r="K1282" t="inlineStr">
        <is>
          <t>Provision en la manana, antes del pagado: con el pronostico, sin provision el saldo bajaria del 8 % del cupo ese dia. Lleva el saldo de 39.594.407 a 411.000.000 COP (cupo 411.000.000). Equipo administrado por TDV.</t>
        </is>
      </c>
      <c r="L1282" s="26" t="n">
        <v>411000000</v>
      </c>
      <c r="M1282" s="26" t="n">
        <v>39594407</v>
      </c>
      <c r="N1282" s="27">
        <f>IF(ISNUMBER(M1282),M1282/L1282,"No aplica")</f>
        <v>0.09633675669099756</v>
      </c>
      <c r="O1282" s="25">
        <f>IF(G1282="provision",M1282+H1282,IF(G1282="recoleccion",M1282-H1282,"No aplica"))</f>
        <v>411000000</v>
      </c>
      <c r="P1282" s="26" t="n">
        <v>119553</v>
      </c>
    </row>
    <row r="1283">
      <c r="A1283" t="inlineStr">
        <is>
          <t>PRAGMA</t>
        </is>
      </c>
      <c r="B1283" t="inlineStr">
        <is>
          <t>M1</t>
        </is>
      </c>
      <c r="C1283" t="inlineStr">
        <is>
          <t>Cali</t>
        </is>
      </c>
      <c r="D1283" t="inlineStr">
        <is>
          <t>8986</t>
        </is>
      </c>
      <c r="E1283" t="inlineStr">
        <is>
          <t>TDV</t>
        </is>
      </c>
      <c r="F1283" s="23" t="n">
        <v>46276</v>
      </c>
      <c r="G1283" t="inlineStr">
        <is>
          <t>provision</t>
        </is>
      </c>
      <c r="H1283" s="26" t="n">
        <v>314314168</v>
      </c>
      <c r="I1283" t="inlineStr">
        <is>
          <t>bajo</t>
        </is>
      </c>
      <c r="J1283" t="inlineStr">
        <is>
          <t>RN-11 y RN-34: provision hasta el cupo operativo antes de bajar del 8 %</t>
        </is>
      </c>
      <c r="K1283" t="inlineStr">
        <is>
          <t>Provision en la manana, antes del pagado: con el pronostico, sin provision el saldo bajaria del 8 % del cupo ese dia. Lleva el saldo de 96.685.832 a 411.000.000 COP (cupo 411.000.000). Equipo administrado por TDV.</t>
        </is>
      </c>
      <c r="L1283" s="26" t="n">
        <v>411000000</v>
      </c>
      <c r="M1283" s="26" t="n">
        <v>96685832</v>
      </c>
      <c r="N1283" s="27">
        <f>IF(ISNUMBER(M1283),M1283/L1283,"No aplica")</f>
        <v>0.23524533333333333</v>
      </c>
      <c r="O1283" s="25">
        <f>IF(G1283="provision",M1283+H1283,IF(G1283="recoleccion",M1283-H1283,"No aplica"))</f>
        <v>411000000</v>
      </c>
      <c r="P1283" s="26" t="n">
        <v>103567</v>
      </c>
    </row>
    <row r="1284">
      <c r="A1284" t="inlineStr">
        <is>
          <t>PRAGMA</t>
        </is>
      </c>
      <c r="B1284" t="inlineStr">
        <is>
          <t>M1</t>
        </is>
      </c>
      <c r="C1284" t="inlineStr">
        <is>
          <t>Cali</t>
        </is>
      </c>
      <c r="D1284" t="inlineStr">
        <is>
          <t>8986</t>
        </is>
      </c>
      <c r="E1284" t="inlineStr">
        <is>
          <t>TDV</t>
        </is>
      </c>
      <c r="F1284" s="23" t="n">
        <v>46279</v>
      </c>
      <c r="G1284" t="inlineStr">
        <is>
          <t>provision</t>
        </is>
      </c>
      <c r="H1284" s="26" t="n">
        <v>293755091</v>
      </c>
      <c r="I1284" t="inlineStr">
        <is>
          <t>bajo</t>
        </is>
      </c>
      <c r="J1284" t="inlineStr">
        <is>
          <t>RN-11 y RN-34: provision hasta el cupo operativo antes de bajar del 8 %</t>
        </is>
      </c>
      <c r="K1284" t="inlineStr">
        <is>
          <t>Provision en la manana, antes del pagado: con el pronostico, sin provision el saldo bajaria del 8 % del cupo ese dia. Lleva el saldo de 117.244.909 a 411.000.000 COP (cupo 411.000.000). Equipo administrado por TDV.</t>
        </is>
      </c>
      <c r="L1284" s="26" t="n">
        <v>411000000</v>
      </c>
      <c r="M1284" s="26" t="n">
        <v>117244909</v>
      </c>
      <c r="N1284" s="27">
        <f>IF(ISNUMBER(M1284),M1284/L1284,"No aplica")</f>
        <v>0.2852674184914842</v>
      </c>
      <c r="O1284" s="25">
        <f>IF(G1284="provision",M1284+H1284,IF(G1284="recoleccion",M1284-H1284,"No aplica"))</f>
        <v>411000000</v>
      </c>
      <c r="P1284" s="26" t="n">
        <v>97810</v>
      </c>
    </row>
    <row r="1285">
      <c r="A1285" t="inlineStr">
        <is>
          <t>PRAGMA</t>
        </is>
      </c>
      <c r="B1285" t="inlineStr">
        <is>
          <t>M1</t>
        </is>
      </c>
      <c r="C1285" t="inlineStr">
        <is>
          <t>Cali</t>
        </is>
      </c>
      <c r="D1285" t="inlineStr">
        <is>
          <t>8987</t>
        </is>
      </c>
      <c r="E1285" t="inlineStr">
        <is>
          <t>TDV</t>
        </is>
      </c>
      <c r="F1285" s="23" t="n">
        <v>46268</v>
      </c>
      <c r="G1285" t="inlineStr">
        <is>
          <t>provision</t>
        </is>
      </c>
      <c r="H1285" s="26" t="n">
        <v>352127393</v>
      </c>
      <c r="I1285" t="inlineStr">
        <is>
          <t>bajo</t>
        </is>
      </c>
      <c r="J1285" t="inlineStr">
        <is>
          <t>RN-11 y RN-34: provision hasta el cupo operativo antes de bajar del 8 %</t>
        </is>
      </c>
      <c r="K1285" t="inlineStr">
        <is>
          <t>Provision en la manana, antes del pagado: con el pronostico, sin provision el saldo bajaria del 8 % del cupo ese dia. Lleva el saldo de 58.872.607 a 411.000.000 COP (cupo 411.000.000). Equipo administrado por TDV.</t>
        </is>
      </c>
      <c r="L1285" s="26" t="n">
        <v>411000000</v>
      </c>
      <c r="M1285" s="26" t="n">
        <v>58872607</v>
      </c>
      <c r="N1285" s="27">
        <f>IF(ISNUMBER(M1285),M1285/L1285,"No aplica")</f>
        <v>0.14324235279805353</v>
      </c>
      <c r="O1285" s="25">
        <f>IF(G1285="provision",M1285+H1285,IF(G1285="recoleccion",M1285-H1285,"No aplica"))</f>
        <v>411000000</v>
      </c>
      <c r="P1285" s="26" t="n">
        <v>114155</v>
      </c>
    </row>
    <row r="1286">
      <c r="A1286" t="inlineStr">
        <is>
          <t>PRAGMA</t>
        </is>
      </c>
      <c r="B1286" t="inlineStr">
        <is>
          <t>M1</t>
        </is>
      </c>
      <c r="C1286" t="inlineStr">
        <is>
          <t>Cali</t>
        </is>
      </c>
      <c r="D1286" t="inlineStr">
        <is>
          <t>8987</t>
        </is>
      </c>
      <c r="E1286" t="inlineStr">
        <is>
          <t>TDV</t>
        </is>
      </c>
      <c r="F1286" s="23" t="n">
        <v>46270</v>
      </c>
      <c r="G1286" t="inlineStr">
        <is>
          <t>provision</t>
        </is>
      </c>
      <c r="H1286" s="26" t="n">
        <v>289351700</v>
      </c>
      <c r="I1286" t="inlineStr">
        <is>
          <t>bajo</t>
        </is>
      </c>
      <c r="J1286" t="inlineStr">
        <is>
          <t>RN-11 y RN-34: provision hasta el cupo operativo antes de bajar del 8 %</t>
        </is>
      </c>
      <c r="K1286" t="inlineStr">
        <is>
          <t>Provision en la manana, antes del pagado: con el pronostico, sin provision el saldo bajaria del 8 % del cupo ese dia. Lleva el saldo de 121.648.300 a 411.000.000 COP (cupo 411.000.000). Equipo administrado por TDV.</t>
        </is>
      </c>
      <c r="L1286" s="26" t="n">
        <v>411000000</v>
      </c>
      <c r="M1286" s="26" t="n">
        <v>121648300</v>
      </c>
      <c r="N1286" s="27">
        <f>IF(ISNUMBER(M1286),M1286/L1286,"No aplica")</f>
        <v>0.29598126520681267</v>
      </c>
      <c r="O1286" s="25">
        <f>IF(G1286="provision",M1286+H1286,IF(G1286="recoleccion",M1286-H1286,"No aplica"))</f>
        <v>411000000</v>
      </c>
      <c r="P1286" s="26" t="n">
        <v>96577</v>
      </c>
    </row>
    <row r="1287">
      <c r="A1287" t="inlineStr">
        <is>
          <t>PRAGMA</t>
        </is>
      </c>
      <c r="B1287" t="inlineStr">
        <is>
          <t>M1</t>
        </is>
      </c>
      <c r="C1287" t="inlineStr">
        <is>
          <t>Cali</t>
        </is>
      </c>
      <c r="D1287" t="inlineStr">
        <is>
          <t>8987</t>
        </is>
      </c>
      <c r="E1287" t="inlineStr">
        <is>
          <t>TDV</t>
        </is>
      </c>
      <c r="F1287" s="23" t="n">
        <v>46272</v>
      </c>
      <c r="G1287" t="inlineStr">
        <is>
          <t>provision</t>
        </is>
      </c>
      <c r="H1287" s="26" t="n">
        <v>280622436</v>
      </c>
      <c r="I1287" t="inlineStr">
        <is>
          <t>bajo</t>
        </is>
      </c>
      <c r="J1287" t="inlineStr">
        <is>
          <t>RN-11 y RN-34: provision hasta el cupo operativo antes de bajar del 8 %</t>
        </is>
      </c>
      <c r="K1287" t="inlineStr">
        <is>
          <t>Provision en la manana, antes del pagado: con el pronostico, sin provision el saldo bajaria del 8 % del cupo ese dia. Lleva el saldo de 130.377.564 a 411.000.000 COP (cupo 411.000.000). Equipo administrado por TDV.</t>
        </is>
      </c>
      <c r="L1287" s="26" t="n">
        <v>411000000</v>
      </c>
      <c r="M1287" s="26" t="n">
        <v>130377564</v>
      </c>
      <c r="N1287" s="27">
        <f>IF(ISNUMBER(M1287),M1287/L1287,"No aplica")</f>
        <v>0.3172203503649635</v>
      </c>
      <c r="O1287" s="25">
        <f>IF(G1287="provision",M1287+H1287,IF(G1287="recoleccion",M1287-H1287,"No aplica"))</f>
        <v>411000000</v>
      </c>
      <c r="P1287" s="26" t="n">
        <v>94133</v>
      </c>
    </row>
    <row r="1288">
      <c r="A1288" t="inlineStr">
        <is>
          <t>PRAGMA</t>
        </is>
      </c>
      <c r="B1288" t="inlineStr">
        <is>
          <t>M1</t>
        </is>
      </c>
      <c r="C1288" t="inlineStr">
        <is>
          <t>Cali</t>
        </is>
      </c>
      <c r="D1288" t="inlineStr">
        <is>
          <t>8987</t>
        </is>
      </c>
      <c r="E1288" t="inlineStr">
        <is>
          <t>TDV</t>
        </is>
      </c>
      <c r="F1288" s="23" t="n">
        <v>46275</v>
      </c>
      <c r="G1288" t="inlineStr">
        <is>
          <t>provision</t>
        </is>
      </c>
      <c r="H1288" s="26" t="n">
        <v>356629308</v>
      </c>
      <c r="I1288" t="inlineStr">
        <is>
          <t>bajo</t>
        </is>
      </c>
      <c r="J1288" t="inlineStr">
        <is>
          <t>RN-11 y RN-34: provision hasta el cupo operativo antes de bajar del 8 %</t>
        </is>
      </c>
      <c r="K1288" t="inlineStr">
        <is>
          <t>Provision en la manana, antes del pagado: con el pronostico, sin provision el saldo bajaria del 8 % del cupo ese dia. Lleva el saldo de 54.370.692 a 411.000.000 COP (cupo 411.000.000). Equipo administrado por TDV.</t>
        </is>
      </c>
      <c r="L1288" s="26" t="n">
        <v>411000000</v>
      </c>
      <c r="M1288" s="26" t="n">
        <v>54370692</v>
      </c>
      <c r="N1288" s="27">
        <f>IF(ISNUMBER(M1288),M1288/L1288,"No aplica")</f>
        <v>0.1322887883211679</v>
      </c>
      <c r="O1288" s="25">
        <f>IF(G1288="provision",M1288+H1288,IF(G1288="recoleccion",M1288-H1288,"No aplica"))</f>
        <v>411000000</v>
      </c>
      <c r="P1288" s="26" t="n">
        <v>115415</v>
      </c>
    </row>
    <row r="1289">
      <c r="A1289" t="inlineStr">
        <is>
          <t>PRAGMA</t>
        </is>
      </c>
      <c r="B1289" t="inlineStr">
        <is>
          <t>M1</t>
        </is>
      </c>
      <c r="C1289" t="inlineStr">
        <is>
          <t>Cali</t>
        </is>
      </c>
      <c r="D1289" t="inlineStr">
        <is>
          <t>8987</t>
        </is>
      </c>
      <c r="E1289" t="inlineStr">
        <is>
          <t>TDV</t>
        </is>
      </c>
      <c r="F1289" s="23" t="n">
        <v>46278</v>
      </c>
      <c r="G1289" t="inlineStr">
        <is>
          <t>provision</t>
        </is>
      </c>
      <c r="H1289" s="26" t="n">
        <v>352717658</v>
      </c>
      <c r="I1289" t="inlineStr">
        <is>
          <t>bajo</t>
        </is>
      </c>
      <c r="J1289" t="inlineStr">
        <is>
          <t>RN-11 y RN-34: provision hasta el cupo operativo antes de bajar del 8 %</t>
        </is>
      </c>
      <c r="K1289" t="inlineStr">
        <is>
          <t>Provision en la manana, antes del pagado: con el pronostico, sin provision el saldo bajaria del 8 % del cupo ese dia. Lleva el saldo de 58.282.342 a 411.000.000 COP (cupo 411.000.000). Equipo administrado por TDV.</t>
        </is>
      </c>
      <c r="L1289" s="26" t="n">
        <v>411000000</v>
      </c>
      <c r="M1289" s="26" t="n">
        <v>58282342</v>
      </c>
      <c r="N1289" s="27">
        <f>IF(ISNUMBER(M1289),M1289/L1289,"No aplica")</f>
        <v>0.14180618491484184</v>
      </c>
      <c r="O1289" s="25">
        <f>IF(G1289="provision",M1289+H1289,IF(G1289="recoleccion",M1289-H1289,"No aplica"))</f>
        <v>411000000</v>
      </c>
      <c r="P1289" s="26" t="n">
        <v>154996</v>
      </c>
    </row>
    <row r="1290">
      <c r="A1290" t="inlineStr">
        <is>
          <t>PRAGMA</t>
        </is>
      </c>
      <c r="B1290" t="inlineStr">
        <is>
          <t>M1</t>
        </is>
      </c>
      <c r="C1290" t="inlineStr">
        <is>
          <t>Cali</t>
        </is>
      </c>
      <c r="D1290" t="inlineStr">
        <is>
          <t>8991</t>
        </is>
      </c>
      <c r="E1290" t="inlineStr">
        <is>
          <t>TDV</t>
        </is>
      </c>
      <c r="F1290" s="23" t="n">
        <v>46266</v>
      </c>
      <c r="G1290" t="inlineStr">
        <is>
          <t>sin_accion</t>
        </is>
      </c>
      <c r="H1290" s="26" t="n">
        <v>0</v>
      </c>
      <c r="I1290" t="inlineStr">
        <is>
          <t>bajo</t>
        </is>
      </c>
      <c r="J1290" t="inlineStr">
        <is>
          <t>RN-02: una fila sin_accion</t>
        </is>
      </c>
      <c r="K1290" t="inlineStr">
        <is>
          <t>Sin accion en el horizonte: con el pronostico, el saldo se mantiene entre el umbral de agotamiento y el cupo sin necesidad de provision ni recoleccion.</t>
        </is>
      </c>
      <c r="L1290" s="26" t="n">
        <v>405000000</v>
      </c>
      <c r="M1290" s="26" t="inlineStr">
        <is>
          <t>No aplica</t>
        </is>
      </c>
      <c r="N1290" s="27" t="str">
        <f>IF(ISNUMBER(M1290),M1290/L1290,"No aplica")</f>
        <v>No aplica</v>
      </c>
      <c r="O1290" s="25" t="str">
        <f>IF(G1290="provision",M1290+H1290,IF(G1290="recoleccion",M1290-H1290,"No aplica"))</f>
        <v>No aplica</v>
      </c>
      <c r="P1290" s="26" t="inlineStr">
        <is>
          <t>No aplica</t>
        </is>
      </c>
    </row>
    <row r="1291">
      <c r="A1291" t="inlineStr">
        <is>
          <t>PRAGMA</t>
        </is>
      </c>
      <c r="B1291" t="inlineStr">
        <is>
          <t>M1</t>
        </is>
      </c>
      <c r="C1291" t="inlineStr">
        <is>
          <t>Cali</t>
        </is>
      </c>
      <c r="D1291" t="inlineStr">
        <is>
          <t>9010</t>
        </is>
      </c>
      <c r="E1291" t="inlineStr">
        <is>
          <t>TDV</t>
        </is>
      </c>
      <c r="F1291" s="23" t="n">
        <v>46268</v>
      </c>
      <c r="G1291" t="inlineStr">
        <is>
          <t>provision</t>
        </is>
      </c>
      <c r="H1291" s="26" t="n">
        <v>274336206</v>
      </c>
      <c r="I1291" t="inlineStr">
        <is>
          <t>bajo</t>
        </is>
      </c>
      <c r="J1291" t="inlineStr">
        <is>
          <t>RN-11 y RN-34: provision hasta el cupo operativo antes de bajar del 8 %</t>
        </is>
      </c>
      <c r="K1291" t="inlineStr">
        <is>
          <t>Provision en la manana, antes del pagado: con el pronostico, sin provision el saldo bajaria del 8 % del cupo ese dia. Lleva el saldo de 136.663.794 a 411.000.000 COP (cupo 411.000.000). Equipo administrado por TDV.</t>
        </is>
      </c>
      <c r="L1291" s="26" t="n">
        <v>411000000</v>
      </c>
      <c r="M1291" s="26" t="n">
        <v>136663794</v>
      </c>
      <c r="N1291" s="27">
        <f>IF(ISNUMBER(M1291),M1291/L1291,"No aplica")</f>
        <v>0.33251531386861316</v>
      </c>
      <c r="O1291" s="25">
        <f>IF(G1291="provision",M1291+H1291,IF(G1291="recoleccion",M1291-H1291,"No aplica"))</f>
        <v>411000000</v>
      </c>
      <c r="P1291" s="26" t="n">
        <v>140037</v>
      </c>
    </row>
    <row r="1292">
      <c r="A1292" t="inlineStr">
        <is>
          <t>PRAGMA</t>
        </is>
      </c>
      <c r="B1292" t="inlineStr">
        <is>
          <t>M1</t>
        </is>
      </c>
      <c r="C1292" t="inlineStr">
        <is>
          <t>Cali</t>
        </is>
      </c>
      <c r="D1292" t="inlineStr">
        <is>
          <t>9010</t>
        </is>
      </c>
      <c r="E1292" t="inlineStr">
        <is>
          <t>TDV</t>
        </is>
      </c>
      <c r="F1292" s="23" t="n">
        <v>46272</v>
      </c>
      <c r="G1292" t="inlineStr">
        <is>
          <t>provision</t>
        </is>
      </c>
      <c r="H1292" s="26" t="n">
        <v>357276666</v>
      </c>
      <c r="I1292" t="inlineStr">
        <is>
          <t>bajo</t>
        </is>
      </c>
      <c r="J1292" t="inlineStr">
        <is>
          <t>RN-11 y RN-34: provision hasta el cupo operativo antes de bajar del 8 %</t>
        </is>
      </c>
      <c r="K1292" t="inlineStr">
        <is>
          <t>Provision en la manana, antes del pagado: con el pronostico, sin provision el saldo bajaria del 8 % del cupo ese dia. Lleva el saldo de 53.723.334 a 411.000.000 COP (cupo 411.000.000). Equipo administrado por TDV.</t>
        </is>
      </c>
      <c r="L1292" s="26" t="n">
        <v>411000000</v>
      </c>
      <c r="M1292" s="26" t="n">
        <v>53723334</v>
      </c>
      <c r="N1292" s="27">
        <f>IF(ISNUMBER(M1292),M1292/L1292,"No aplica")</f>
        <v>0.13071370802919707</v>
      </c>
      <c r="O1292" s="25">
        <f>IF(G1292="provision",M1292+H1292,IF(G1292="recoleccion",M1292-H1292,"No aplica"))</f>
        <v>411000000</v>
      </c>
      <c r="P1292" s="26" t="n">
        <v>176696</v>
      </c>
    </row>
    <row r="1293">
      <c r="A1293" t="inlineStr">
        <is>
          <t>PRAGMA</t>
        </is>
      </c>
      <c r="B1293" t="inlineStr">
        <is>
          <t>M1</t>
        </is>
      </c>
      <c r="C1293" t="inlineStr">
        <is>
          <t>Cali</t>
        </is>
      </c>
      <c r="D1293" t="inlineStr">
        <is>
          <t>9010</t>
        </is>
      </c>
      <c r="E1293" t="inlineStr">
        <is>
          <t>TDV</t>
        </is>
      </c>
      <c r="F1293" s="23" t="n">
        <v>46276</v>
      </c>
      <c r="G1293" t="inlineStr">
        <is>
          <t>provision</t>
        </is>
      </c>
      <c r="H1293" s="26" t="n">
        <v>367143482</v>
      </c>
      <c r="I1293" t="inlineStr">
        <is>
          <t>bajo</t>
        </is>
      </c>
      <c r="J1293" t="inlineStr">
        <is>
          <t>RN-11 y RN-34: provision hasta el cupo operativo antes de bajar del 8 %</t>
        </is>
      </c>
      <c r="K1293" t="inlineStr">
        <is>
          <t>Provision en la manana, antes del pagado: con el pronostico, sin provision el saldo bajaria del 8 % del cupo ese dia. Lleva el saldo de 43.856.518 a 411.000.000 COP (cupo 411.000.000). Equipo administrado por TDV.</t>
        </is>
      </c>
      <c r="L1293" s="26" t="n">
        <v>411000000</v>
      </c>
      <c r="M1293" s="26" t="n">
        <v>43856518</v>
      </c>
      <c r="N1293" s="27">
        <f>IF(ISNUMBER(M1293),M1293/L1293,"No aplica")</f>
        <v>0.10670685644768857</v>
      </c>
      <c r="O1293" s="25">
        <f>IF(G1293="provision",M1293+H1293,IF(G1293="recoleccion",M1293-H1293,"No aplica"))</f>
        <v>411000000</v>
      </c>
      <c r="P1293" s="26" t="n">
        <v>181057</v>
      </c>
    </row>
    <row r="1294">
      <c r="A1294" t="inlineStr">
        <is>
          <t>PRAGMA</t>
        </is>
      </c>
      <c r="B1294" t="inlineStr">
        <is>
          <t>M1</t>
        </is>
      </c>
      <c r="C1294" t="inlineStr">
        <is>
          <t>Cali</t>
        </is>
      </c>
      <c r="D1294" t="inlineStr">
        <is>
          <t>9010</t>
        </is>
      </c>
      <c r="E1294" t="inlineStr">
        <is>
          <t>TDV</t>
        </is>
      </c>
      <c r="F1294" s="23" t="n">
        <v>46280</v>
      </c>
      <c r="G1294" t="inlineStr">
        <is>
          <t>provision</t>
        </is>
      </c>
      <c r="H1294" s="26" t="n">
        <v>289819415</v>
      </c>
      <c r="I1294" t="inlineStr">
        <is>
          <t>bajo</t>
        </is>
      </c>
      <c r="J1294" t="inlineStr">
        <is>
          <t>RN-11 y RN-34: provision hasta el cupo operativo antes de bajar del 8 %</t>
        </is>
      </c>
      <c r="K1294" t="inlineStr">
        <is>
          <t>Provision en la manana, antes del pagado: con el pronostico, sin provision el saldo bajaria del 8 % del cupo ese dia. Lleva el saldo de 121.180.585 a 411.000.000 COP (cupo 411.000.000). Equipo administrado por TDV.</t>
        </is>
      </c>
      <c r="L1294" s="26" t="n">
        <v>411000000</v>
      </c>
      <c r="M1294" s="26" t="n">
        <v>121180585</v>
      </c>
      <c r="N1294" s="27">
        <f>IF(ISNUMBER(M1294),M1294/L1294,"No aplica")</f>
        <v>0.2948432725060827</v>
      </c>
      <c r="O1294" s="25">
        <f>IF(G1294="provision",M1294+H1294,IF(G1294="recoleccion",M1294-H1294,"No aplica"))</f>
        <v>411000000</v>
      </c>
      <c r="P1294" s="26" t="n">
        <v>146880</v>
      </c>
    </row>
    <row r="1295">
      <c r="A1295" t="inlineStr">
        <is>
          <t>PRAGMA</t>
        </is>
      </c>
      <c r="B1295" t="inlineStr">
        <is>
          <t>M1</t>
        </is>
      </c>
      <c r="C1295" t="inlineStr">
        <is>
          <t>Cali</t>
        </is>
      </c>
      <c r="D1295" t="inlineStr">
        <is>
          <t>9036</t>
        </is>
      </c>
      <c r="E1295" t="inlineStr">
        <is>
          <t>TDV</t>
        </is>
      </c>
      <c r="F1295" s="23" t="n">
        <v>46266</v>
      </c>
      <c r="G1295" t="inlineStr">
        <is>
          <t>sin_accion</t>
        </is>
      </c>
      <c r="H1295" s="26" t="n">
        <v>0</v>
      </c>
      <c r="I1295" t="inlineStr">
        <is>
          <t>bajo</t>
        </is>
      </c>
      <c r="J1295" t="inlineStr">
        <is>
          <t>RN-02: una fila sin_accion</t>
        </is>
      </c>
      <c r="K1295" t="inlineStr">
        <is>
          <t>Sin accion en el horizonte: con el pronostico, el saldo se mantiene entre el umbral de agotamiento y el cupo sin necesidad de provision ni recoleccion.</t>
        </is>
      </c>
      <c r="L1295" s="26" t="n">
        <v>500000000</v>
      </c>
      <c r="M1295" s="26" t="inlineStr">
        <is>
          <t>No aplica</t>
        </is>
      </c>
      <c r="N1295" s="27" t="str">
        <f>IF(ISNUMBER(M1295),M1295/L1295,"No aplica")</f>
        <v>No aplica</v>
      </c>
      <c r="O1295" s="25" t="str">
        <f>IF(G1295="provision",M1295+H1295,IF(G1295="recoleccion",M1295-H1295,"No aplica"))</f>
        <v>No aplica</v>
      </c>
      <c r="P1295" s="26" t="inlineStr">
        <is>
          <t>No aplica</t>
        </is>
      </c>
    </row>
    <row r="1296">
      <c r="A1296" t="inlineStr">
        <is>
          <t>PRAGMA</t>
        </is>
      </c>
      <c r="B1296" t="inlineStr">
        <is>
          <t>M1</t>
        </is>
      </c>
      <c r="C1296" t="inlineStr">
        <is>
          <t>Cali</t>
        </is>
      </c>
      <c r="D1296" t="inlineStr">
        <is>
          <t>9092</t>
        </is>
      </c>
      <c r="E1296" t="inlineStr">
        <is>
          <t>TDV</t>
        </is>
      </c>
      <c r="F1296" s="23" t="n">
        <v>46270</v>
      </c>
      <c r="G1296" t="inlineStr">
        <is>
          <t>provision</t>
        </is>
      </c>
      <c r="H1296" s="26" t="n">
        <v>350323938</v>
      </c>
      <c r="I1296" t="inlineStr">
        <is>
          <t>bajo</t>
        </is>
      </c>
      <c r="J1296" t="inlineStr">
        <is>
          <t>RN-11 y RN-34: provision hasta el cupo operativo antes de bajar del 8 %</t>
        </is>
      </c>
      <c r="K1296" t="inlineStr">
        <is>
          <t>Provision en la manana, antes del pagado: con el pronostico, sin provision el saldo bajaria del 8 % del cupo ese dia. Lleva el saldo de 60.676.062 a 411.000.000 COP (cupo 411.000.000). Equipo administrado por TDV.</t>
        </is>
      </c>
      <c r="L1296" s="26" t="n">
        <v>411000000</v>
      </c>
      <c r="M1296" s="26" t="n">
        <v>60676062</v>
      </c>
      <c r="N1296" s="27">
        <f>IF(ISNUMBER(M1296),M1296/L1296,"No aplica")</f>
        <v>0.14763032116788322</v>
      </c>
      <c r="O1296" s="25">
        <f>IF(G1296="provision",M1296+H1296,IF(G1296="recoleccion",M1296-H1296,"No aplica"))</f>
        <v>411000000</v>
      </c>
      <c r="P1296" s="26" t="n">
        <v>154226</v>
      </c>
    </row>
    <row r="1297">
      <c r="A1297" t="inlineStr">
        <is>
          <t>PRAGMA</t>
        </is>
      </c>
      <c r="B1297" t="inlineStr">
        <is>
          <t>M1</t>
        </is>
      </c>
      <c r="C1297" t="inlineStr">
        <is>
          <t>Cali</t>
        </is>
      </c>
      <c r="D1297" t="inlineStr">
        <is>
          <t>9092</t>
        </is>
      </c>
      <c r="E1297" t="inlineStr">
        <is>
          <t>TDV</t>
        </is>
      </c>
      <c r="F1297" s="23" t="n">
        <v>46276</v>
      </c>
      <c r="G1297" t="inlineStr">
        <is>
          <t>provision</t>
        </is>
      </c>
      <c r="H1297" s="26" t="n">
        <v>326740058</v>
      </c>
      <c r="I1297" t="inlineStr">
        <is>
          <t>bajo</t>
        </is>
      </c>
      <c r="J1297" t="inlineStr">
        <is>
          <t>RN-11 y RN-34: provision hasta el cupo operativo antes de bajar del 8 %</t>
        </is>
      </c>
      <c r="K1297" t="inlineStr">
        <is>
          <t>Provision en la manana, antes del pagado: con el pronostico, sin provision el saldo bajaria del 8 % del cupo ese dia. Lleva el saldo de 84.259.942 a 411.000.000 COP (cupo 411.000.000). Equipo administrado por TDV.</t>
        </is>
      </c>
      <c r="L1297" s="26" t="n">
        <v>411000000</v>
      </c>
      <c r="M1297" s="26" t="n">
        <v>84259942</v>
      </c>
      <c r="N1297" s="27">
        <f>IF(ISNUMBER(M1297),M1297/L1297,"No aplica")</f>
        <v>0.20501202433090024</v>
      </c>
      <c r="O1297" s="25">
        <f>IF(G1297="provision",M1297+H1297,IF(G1297="recoleccion",M1297-H1297,"No aplica"))</f>
        <v>411000000</v>
      </c>
      <c r="P1297" s="26" t="n">
        <v>145099</v>
      </c>
    </row>
    <row r="1298">
      <c r="A1298" t="inlineStr">
        <is>
          <t>PRAGMA</t>
        </is>
      </c>
      <c r="B1298" t="inlineStr">
        <is>
          <t>M1</t>
        </is>
      </c>
      <c r="C1298" t="inlineStr">
        <is>
          <t>Cali</t>
        </is>
      </c>
      <c r="D1298" t="inlineStr">
        <is>
          <t>9093</t>
        </is>
      </c>
      <c r="E1298" t="inlineStr">
        <is>
          <t>TDV</t>
        </is>
      </c>
      <c r="F1298" s="23" t="n">
        <v>46269</v>
      </c>
      <c r="G1298" t="inlineStr">
        <is>
          <t>provision</t>
        </is>
      </c>
      <c r="H1298" s="26" t="n">
        <v>292270092</v>
      </c>
      <c r="I1298" t="inlineStr">
        <is>
          <t>bajo</t>
        </is>
      </c>
      <c r="J1298" t="inlineStr">
        <is>
          <t>RN-11 y RN-34: provision hasta el cupo operativo antes de bajar del 8 %</t>
        </is>
      </c>
      <c r="K1298" t="inlineStr">
        <is>
          <t>Provision en la manana, antes del pagado: con el pronostico, sin provision el saldo bajaria del 8 % del cupo ese dia. Lleva el saldo de 118.729.908 a 411.000.000 COP (cupo 411.000.000). Equipo administrado por TDV.</t>
        </is>
      </c>
      <c r="L1298" s="26" t="n">
        <v>411000000</v>
      </c>
      <c r="M1298" s="26" t="n">
        <v>118729908</v>
      </c>
      <c r="N1298" s="27">
        <f>IF(ISNUMBER(M1298),M1298/L1298,"No aplica")</f>
        <v>0.28888055474452556</v>
      </c>
      <c r="O1298" s="25">
        <f>IF(G1298="provision",M1298+H1298,IF(G1298="recoleccion",M1298-H1298,"No aplica"))</f>
        <v>411000000</v>
      </c>
      <c r="P1298" s="26" t="n">
        <v>131760</v>
      </c>
    </row>
    <row r="1299">
      <c r="A1299" t="inlineStr">
        <is>
          <t>PRAGMA</t>
        </is>
      </c>
      <c r="B1299" t="inlineStr">
        <is>
          <t>M1</t>
        </is>
      </c>
      <c r="C1299" t="inlineStr">
        <is>
          <t>Cali</t>
        </is>
      </c>
      <c r="D1299" t="inlineStr">
        <is>
          <t>9093</t>
        </is>
      </c>
      <c r="E1299" t="inlineStr">
        <is>
          <t>TDV</t>
        </is>
      </c>
      <c r="F1299" s="23" t="n">
        <v>46273</v>
      </c>
      <c r="G1299" t="inlineStr">
        <is>
          <t>provision</t>
        </is>
      </c>
      <c r="H1299" s="26" t="n">
        <v>314478524</v>
      </c>
      <c r="I1299" t="inlineStr">
        <is>
          <t>bajo</t>
        </is>
      </c>
      <c r="J1299" t="inlineStr">
        <is>
          <t>RN-11 y RN-34: provision hasta el cupo operativo antes de bajar del 8 %</t>
        </is>
      </c>
      <c r="K1299" t="inlineStr">
        <is>
          <t>Provision en la manana, antes del pagado: con el pronostico, sin provision el saldo bajaria del 8 % del cupo ese dia. Lleva el saldo de 96.521.476 a 411.000.000 COP (cupo 411.000.000). Equipo administrado por TDV.</t>
        </is>
      </c>
      <c r="L1299" s="26" t="n">
        <v>411000000</v>
      </c>
      <c r="M1299" s="26" t="n">
        <v>96521476</v>
      </c>
      <c r="N1299" s="27">
        <f>IF(ISNUMBER(M1299),M1299/L1299,"No aplica")</f>
        <v>0.2348454403892944</v>
      </c>
      <c r="O1299" s="25">
        <f>IF(G1299="provision",M1299+H1299,IF(G1299="recoleccion",M1299-H1299,"No aplica"))</f>
        <v>411000000</v>
      </c>
      <c r="P1299" s="26" t="n">
        <v>140354</v>
      </c>
    </row>
    <row r="1300">
      <c r="A1300" t="inlineStr">
        <is>
          <t>PRAGMA</t>
        </is>
      </c>
      <c r="B1300" t="inlineStr">
        <is>
          <t>M1</t>
        </is>
      </c>
      <c r="C1300" t="inlineStr">
        <is>
          <t>Cali</t>
        </is>
      </c>
      <c r="D1300" t="inlineStr">
        <is>
          <t>9093</t>
        </is>
      </c>
      <c r="E1300" t="inlineStr">
        <is>
          <t>TDV</t>
        </is>
      </c>
      <c r="F1300" s="23" t="n">
        <v>46278</v>
      </c>
      <c r="G1300" t="inlineStr">
        <is>
          <t>provision</t>
        </is>
      </c>
      <c r="H1300" s="26" t="n">
        <v>344846268</v>
      </c>
      <c r="I1300" t="inlineStr">
        <is>
          <t>bajo</t>
        </is>
      </c>
      <c r="J1300" t="inlineStr">
        <is>
          <t>RN-11 y RN-34: provision hasta el cupo operativo antes de bajar del 8 %</t>
        </is>
      </c>
      <c r="K1300" t="inlineStr">
        <is>
          <t>Provision en la manana, antes del pagado: con el pronostico, sin provision el saldo bajaria del 8 % del cupo ese dia. Lleva el saldo de 66.153.732 a 411.000.000 COP (cupo 411.000.000). Equipo administrado por TDV.</t>
        </is>
      </c>
      <c r="L1300" s="26" t="n">
        <v>411000000</v>
      </c>
      <c r="M1300" s="26" t="n">
        <v>66153732</v>
      </c>
      <c r="N1300" s="27">
        <f>IF(ISNUMBER(M1300),M1300/L1300,"No aplica")</f>
        <v>0.16095798540145986</v>
      </c>
      <c r="O1300" s="25">
        <f>IF(G1300="provision",M1300+H1300,IF(G1300="recoleccion",M1300-H1300,"No aplica"))</f>
        <v>411000000</v>
      </c>
      <c r="P1300" s="26" t="n">
        <v>196479</v>
      </c>
    </row>
    <row r="1301">
      <c r="A1301" t="inlineStr">
        <is>
          <t>PRAGMA</t>
        </is>
      </c>
      <c r="B1301" t="inlineStr">
        <is>
          <t>M1</t>
        </is>
      </c>
      <c r="C1301" t="inlineStr">
        <is>
          <t>Cali</t>
        </is>
      </c>
      <c r="D1301" t="inlineStr">
        <is>
          <t>9166</t>
        </is>
      </c>
      <c r="E1301" t="inlineStr">
        <is>
          <t>TDV</t>
        </is>
      </c>
      <c r="F1301" s="23" t="n">
        <v>46274</v>
      </c>
      <c r="G1301" t="inlineStr">
        <is>
          <t>provision</t>
        </is>
      </c>
      <c r="H1301" s="26" t="n">
        <v>358215039</v>
      </c>
      <c r="I1301" t="inlineStr">
        <is>
          <t>bajo</t>
        </is>
      </c>
      <c r="J1301" t="inlineStr">
        <is>
          <t>RN-11 y RN-34: provision hasta el cupo operativo antes de bajar del 8 %</t>
        </is>
      </c>
      <c r="K1301" t="inlineStr">
        <is>
          <t>Provision en la manana, antes del pagado: con el pronostico, sin provision el saldo bajaria del 8 % del cupo ese dia. Lleva el saldo de 52.784.961 a 411.000.000 COP (cupo 411.000.000). Equipo administrado por TDV.</t>
        </is>
      </c>
      <c r="L1301" s="26" t="n">
        <v>411000000</v>
      </c>
      <c r="M1301" s="26" t="n">
        <v>52784961</v>
      </c>
      <c r="N1301" s="27">
        <f>IF(ISNUMBER(M1301),M1301/L1301,"No aplica")</f>
        <v>0.12843056204379563</v>
      </c>
      <c r="O1301" s="25">
        <f>IF(G1301="provision",M1301+H1301,IF(G1301="recoleccion",M1301-H1301,"No aplica"))</f>
        <v>411000000</v>
      </c>
      <c r="P1301" s="26" t="n">
        <v>121569</v>
      </c>
    </row>
    <row r="1302">
      <c r="A1302" t="inlineStr">
        <is>
          <t>PRAGMA</t>
        </is>
      </c>
      <c r="B1302" t="inlineStr">
        <is>
          <t>M1</t>
        </is>
      </c>
      <c r="C1302" t="inlineStr">
        <is>
          <t>Cali</t>
        </is>
      </c>
      <c r="D1302" t="inlineStr">
        <is>
          <t>9167</t>
        </is>
      </c>
      <c r="E1302" t="inlineStr">
        <is>
          <t>TDV</t>
        </is>
      </c>
      <c r="F1302" s="23" t="n">
        <v>46270</v>
      </c>
      <c r="G1302" t="inlineStr">
        <is>
          <t>provision</t>
        </is>
      </c>
      <c r="H1302" s="26" t="n">
        <v>342160655</v>
      </c>
      <c r="I1302" t="inlineStr">
        <is>
          <t>bajo</t>
        </is>
      </c>
      <c r="J1302" t="inlineStr">
        <is>
          <t>RN-11 y RN-34: provision hasta el cupo operativo antes de bajar del 8 %</t>
        </is>
      </c>
      <c r="K1302" t="inlineStr">
        <is>
          <t>Provision en la manana, antes del pagado: con el pronostico, sin provision el saldo bajaria del 8 % del cupo ese dia. Lleva el saldo de 68.839.345 a 411.000.000 COP (cupo 411.000.000). Equipo administrado por TDV.</t>
        </is>
      </c>
      <c r="L1302" s="26" t="n">
        <v>411000000</v>
      </c>
      <c r="M1302" s="26" t="n">
        <v>68839345</v>
      </c>
      <c r="N1302" s="27">
        <f>IF(ISNUMBER(M1302),M1302/L1302,"No aplica")</f>
        <v>0.16749232360097324</v>
      </c>
      <c r="O1302" s="25">
        <f>IF(G1302="provision",M1302+H1302,IF(G1302="recoleccion",M1302-H1302,"No aplica"))</f>
        <v>411000000</v>
      </c>
      <c r="P1302" s="26" t="n">
        <v>116849</v>
      </c>
    </row>
    <row r="1303">
      <c r="A1303" t="inlineStr">
        <is>
          <t>PRAGMA</t>
        </is>
      </c>
      <c r="B1303" t="inlineStr">
        <is>
          <t>M1</t>
        </is>
      </c>
      <c r="C1303" t="inlineStr">
        <is>
          <t>Cali</t>
        </is>
      </c>
      <c r="D1303" t="inlineStr">
        <is>
          <t>9167</t>
        </is>
      </c>
      <c r="E1303" t="inlineStr">
        <is>
          <t>TDV</t>
        </is>
      </c>
      <c r="F1303" s="23" t="n">
        <v>46276</v>
      </c>
      <c r="G1303" t="inlineStr">
        <is>
          <t>provision</t>
        </is>
      </c>
      <c r="H1303" s="26" t="n">
        <v>336726284</v>
      </c>
      <c r="I1303" t="inlineStr">
        <is>
          <t>bajo</t>
        </is>
      </c>
      <c r="J1303" t="inlineStr">
        <is>
          <t>RN-11 y RN-34: provision hasta el cupo operativo antes de bajar del 8 %</t>
        </is>
      </c>
      <c r="K1303" t="inlineStr">
        <is>
          <t>Provision en la manana, antes del pagado: con el pronostico, sin provision el saldo bajaria del 8 % del cupo ese dia. Lleva el saldo de 74.273.716 a 411.000.000 COP (cupo 411.000.000). Equipo administrado por TDV.</t>
        </is>
      </c>
      <c r="L1303" s="26" t="n">
        <v>411000000</v>
      </c>
      <c r="M1303" s="26" t="n">
        <v>74273716</v>
      </c>
      <c r="N1303" s="27">
        <f>IF(ISNUMBER(M1303),M1303/L1303,"No aplica")</f>
        <v>0.18071463746958638</v>
      </c>
      <c r="O1303" s="25">
        <f>IF(G1303="provision",M1303+H1303,IF(G1303="recoleccion",M1303-H1303,"No aplica"))</f>
        <v>411000000</v>
      </c>
      <c r="P1303" s="26" t="n">
        <v>115252</v>
      </c>
    </row>
    <row r="1304">
      <c r="A1304" t="inlineStr">
        <is>
          <t>PRAGMA</t>
        </is>
      </c>
      <c r="B1304" t="inlineStr">
        <is>
          <t>M1</t>
        </is>
      </c>
      <c r="C1304" t="inlineStr">
        <is>
          <t>Cali</t>
        </is>
      </c>
      <c r="D1304" t="inlineStr">
        <is>
          <t>9168</t>
        </is>
      </c>
      <c r="E1304" t="inlineStr">
        <is>
          <t>TDV</t>
        </is>
      </c>
      <c r="F1304" s="23" t="n">
        <v>46270</v>
      </c>
      <c r="G1304" t="inlineStr">
        <is>
          <t>provision</t>
        </is>
      </c>
      <c r="H1304" s="26" t="n">
        <v>375914926</v>
      </c>
      <c r="I1304" t="inlineStr">
        <is>
          <t>bajo</t>
        </is>
      </c>
      <c r="J1304" t="inlineStr">
        <is>
          <t>RN-11 y RN-34: provision hasta el cupo operativo antes de bajar del 8 %</t>
        </is>
      </c>
      <c r="K1304" t="inlineStr">
        <is>
          <t>Provision en la manana, antes del pagado: con el pronostico, sin provision el saldo bajaria del 8 % del cupo ese dia. Lleva el saldo de 35.085.074 a 411.000.000 COP (cupo 411.000.000). Equipo administrado por TDV.</t>
        </is>
      </c>
      <c r="L1304" s="26" t="n">
        <v>411000000</v>
      </c>
      <c r="M1304" s="26" t="n">
        <v>35085074</v>
      </c>
      <c r="N1304" s="27">
        <f>IF(ISNUMBER(M1304),M1304/L1304,"No aplica")</f>
        <v>0.08536514355231144</v>
      </c>
      <c r="O1304" s="25">
        <f>IF(G1304="provision",M1304+H1304,IF(G1304="recoleccion",M1304-H1304,"No aplica"))</f>
        <v>411000000</v>
      </c>
      <c r="P1304" s="26" t="n">
        <v>126773</v>
      </c>
    </row>
    <row r="1305">
      <c r="A1305" t="inlineStr">
        <is>
          <t>PRAGMA</t>
        </is>
      </c>
      <c r="B1305" t="inlineStr">
        <is>
          <t>M1</t>
        </is>
      </c>
      <c r="C1305" t="inlineStr">
        <is>
          <t>Cali</t>
        </is>
      </c>
      <c r="D1305" t="inlineStr">
        <is>
          <t>9168</t>
        </is>
      </c>
      <c r="E1305" t="inlineStr">
        <is>
          <t>TDV</t>
        </is>
      </c>
      <c r="F1305" s="23" t="n">
        <v>46276</v>
      </c>
      <c r="G1305" t="inlineStr">
        <is>
          <t>provision</t>
        </is>
      </c>
      <c r="H1305" s="26" t="n">
        <v>371193462</v>
      </c>
      <c r="I1305" t="inlineStr">
        <is>
          <t>bajo</t>
        </is>
      </c>
      <c r="J1305" t="inlineStr">
        <is>
          <t>RN-11 y RN-34: provision hasta el cupo operativo antes de bajar del 8 %</t>
        </is>
      </c>
      <c r="K1305" t="inlineStr">
        <is>
          <t>Provision en la manana, antes del pagado: con el pronostico, sin provision el saldo bajaria del 8 % del cupo ese dia. Lleva el saldo de 39.806.538 a 411.000.000 COP (cupo 411.000.000). Equipo administrado por TDV.</t>
        </is>
      </c>
      <c r="L1305" s="26" t="n">
        <v>411000000</v>
      </c>
      <c r="M1305" s="26" t="n">
        <v>39806538</v>
      </c>
      <c r="N1305" s="27">
        <f>IF(ISNUMBER(M1305),M1305/L1305,"No aplica")</f>
        <v>0.0968528905109489</v>
      </c>
      <c r="O1305" s="25">
        <f>IF(G1305="provision",M1305+H1305,IF(G1305="recoleccion",M1305-H1305,"No aplica"))</f>
        <v>411000000</v>
      </c>
      <c r="P1305" s="26" t="n">
        <v>125385</v>
      </c>
    </row>
    <row r="1306">
      <c r="A1306" t="inlineStr">
        <is>
          <t>PRAGMA</t>
        </is>
      </c>
      <c r="B1306" t="inlineStr">
        <is>
          <t>M1</t>
        </is>
      </c>
      <c r="C1306" t="inlineStr">
        <is>
          <t>Pasto</t>
        </is>
      </c>
      <c r="D1306" t="inlineStr">
        <is>
          <t>9224</t>
        </is>
      </c>
      <c r="E1306" t="inlineStr">
        <is>
          <t>TDV</t>
        </is>
      </c>
      <c r="F1306" s="23" t="n">
        <v>46280</v>
      </c>
      <c r="G1306" t="inlineStr">
        <is>
          <t>provision</t>
        </is>
      </c>
      <c r="H1306" s="26" t="n">
        <v>350680124</v>
      </c>
      <c r="I1306" t="inlineStr">
        <is>
          <t>bajo</t>
        </is>
      </c>
      <c r="J1306" t="inlineStr">
        <is>
          <t>RN-11 y RN-34: provision hasta el cupo operativo antes de bajar del 8 %</t>
        </is>
      </c>
      <c r="K1306" t="inlineStr">
        <is>
          <t>Provision en la manana, antes del pagado: con el pronostico, sin provision el saldo bajaria del 8 % del cupo ese dia. Lleva el saldo de 60.319.876 a 411.000.000 COP (cupo 411.000.000). Equipo administrado por TDV.</t>
        </is>
      </c>
      <c r="L1306" s="26" t="n">
        <v>411000000</v>
      </c>
      <c r="M1306" s="26" t="n">
        <v>60319876</v>
      </c>
      <c r="N1306" s="27">
        <f>IF(ISNUMBER(M1306),M1306/L1306,"No aplica")</f>
        <v>0.14676368856447689</v>
      </c>
      <c r="O1306" s="25">
        <f>IF(G1306="provision",M1306+H1306,IF(G1306="recoleccion",M1306-H1306,"No aplica"))</f>
        <v>411000000</v>
      </c>
      <c r="P1306" s="26" t="n">
        <v>113749</v>
      </c>
    </row>
    <row r="1307">
      <c r="A1307" t="inlineStr">
        <is>
          <t>PRAGMA</t>
        </is>
      </c>
      <c r="B1307" t="inlineStr">
        <is>
          <t>M1</t>
        </is>
      </c>
      <c r="C1307" t="inlineStr">
        <is>
          <t>Cali</t>
        </is>
      </c>
      <c r="D1307" t="inlineStr">
        <is>
          <t>9258</t>
        </is>
      </c>
      <c r="E1307" t="inlineStr">
        <is>
          <t>TDV</t>
        </is>
      </c>
      <c r="F1307" s="23" t="n">
        <v>46272</v>
      </c>
      <c r="G1307" t="inlineStr">
        <is>
          <t>provision</t>
        </is>
      </c>
      <c r="H1307" s="26" t="n">
        <v>375817346</v>
      </c>
      <c r="I1307" t="inlineStr">
        <is>
          <t>bajo</t>
        </is>
      </c>
      <c r="J1307" t="inlineStr">
        <is>
          <t>RN-11 y RN-34: provision hasta el cupo operativo antes de bajar del 8 %</t>
        </is>
      </c>
      <c r="K1307" t="inlineStr">
        <is>
          <t>Provision en la manana, antes del pagado: con el pronostico, sin provision el saldo bajaria del 8 % del cupo ese dia. Lleva el saldo de 35.182.654 a 411.000.000 COP (cupo 411.000.000). Equipo administrado por TDV.</t>
        </is>
      </c>
      <c r="L1307" s="26" t="n">
        <v>411000000</v>
      </c>
      <c r="M1307" s="26" t="n">
        <v>35182654</v>
      </c>
      <c r="N1307" s="27">
        <f>IF(ISNUMBER(M1307),M1307/L1307,"No aplica")</f>
        <v>0.08560256447688565</v>
      </c>
      <c r="O1307" s="25">
        <f>IF(G1307="provision",M1307+H1307,IF(G1307="recoleccion",M1307-H1307,"No aplica"))</f>
        <v>411000000</v>
      </c>
      <c r="P1307" s="26" t="n">
        <v>184891</v>
      </c>
    </row>
    <row r="1308">
      <c r="A1308" t="inlineStr">
        <is>
          <t>PRAGMA</t>
        </is>
      </c>
      <c r="B1308" t="inlineStr">
        <is>
          <t>M1</t>
        </is>
      </c>
      <c r="C1308" t="inlineStr">
        <is>
          <t>Cali</t>
        </is>
      </c>
      <c r="D1308" t="inlineStr">
        <is>
          <t>9258</t>
        </is>
      </c>
      <c r="E1308" t="inlineStr">
        <is>
          <t>TDV</t>
        </is>
      </c>
      <c r="F1308" s="23" t="n">
        <v>46280</v>
      </c>
      <c r="G1308" t="inlineStr">
        <is>
          <t>provision</t>
        </is>
      </c>
      <c r="H1308" s="26" t="n">
        <v>360123230</v>
      </c>
      <c r="I1308" t="inlineStr">
        <is>
          <t>bajo</t>
        </is>
      </c>
      <c r="J1308" t="inlineStr">
        <is>
          <t>RN-11 y RN-34: provision hasta el cupo operativo antes de bajar del 8 %</t>
        </is>
      </c>
      <c r="K1308" t="inlineStr">
        <is>
          <t>Provision en la manana, antes del pagado: con el pronostico, sin provision el saldo bajaria del 8 % del cupo ese dia. Lleva el saldo de 50.876.770 a 411.000.000 COP (cupo 411.000.000). Equipo administrado por TDV.</t>
        </is>
      </c>
      <c r="L1308" s="26" t="n">
        <v>411000000</v>
      </c>
      <c r="M1308" s="26" t="n">
        <v>50876770</v>
      </c>
      <c r="N1308" s="27">
        <f>IF(ISNUMBER(M1308),M1308/L1308,"No aplica")</f>
        <v>0.12378776155717762</v>
      </c>
      <c r="O1308" s="25">
        <f>IF(G1308="provision",M1308+H1308,IF(G1308="recoleccion",M1308-H1308,"No aplica"))</f>
        <v>411000000</v>
      </c>
      <c r="P1308" s="26" t="n">
        <v>177954</v>
      </c>
    </row>
    <row r="1309">
      <c r="A1309" t="inlineStr">
        <is>
          <t>PRAGMA</t>
        </is>
      </c>
      <c r="B1309" t="inlineStr">
        <is>
          <t>M1</t>
        </is>
      </c>
      <c r="C1309" t="inlineStr">
        <is>
          <t>Cali</t>
        </is>
      </c>
      <c r="D1309" t="inlineStr">
        <is>
          <t>9322</t>
        </is>
      </c>
      <c r="E1309" t="inlineStr">
        <is>
          <t>TDV</t>
        </is>
      </c>
      <c r="F1309" s="23" t="n">
        <v>46267</v>
      </c>
      <c r="G1309" t="inlineStr">
        <is>
          <t>provision</t>
        </is>
      </c>
      <c r="H1309" s="26" t="n">
        <v>276223465</v>
      </c>
      <c r="I1309" t="inlineStr">
        <is>
          <t>bajo</t>
        </is>
      </c>
      <c r="J1309" t="inlineStr">
        <is>
          <t>RN-11 y RN-34: provision hasta el cupo operativo antes de bajar del 8 %</t>
        </is>
      </c>
      <c r="K1309" t="inlineStr">
        <is>
          <t>Provision en la manana, antes del pagado: con el pronostico, sin provision el saldo bajaria del 8 % del cupo ese dia. Lleva el saldo de 128.776.535 a 405.000.000 COP (cupo 405.000.000). Equipo administrado por TDV.</t>
        </is>
      </c>
      <c r="L1309" s="26" t="n">
        <v>405000000</v>
      </c>
      <c r="M1309" s="26" t="n">
        <v>128776535</v>
      </c>
      <c r="N1309" s="27">
        <f>IF(ISNUMBER(M1309),M1309/L1309,"No aplica")</f>
        <v>0.31796675308641975</v>
      </c>
      <c r="O1309" s="25">
        <f>IF(G1309="provision",M1309+H1309,IF(G1309="recoleccion",M1309-H1309,"No aplica"))</f>
        <v>405000000</v>
      </c>
      <c r="P1309" s="26" t="n">
        <v>140871</v>
      </c>
    </row>
    <row r="1310">
      <c r="A1310" t="inlineStr">
        <is>
          <t>PRAGMA</t>
        </is>
      </c>
      <c r="B1310" t="inlineStr">
        <is>
          <t>M1</t>
        </is>
      </c>
      <c r="C1310" t="inlineStr">
        <is>
          <t>Cali</t>
        </is>
      </c>
      <c r="D1310" t="inlineStr">
        <is>
          <t>9322</t>
        </is>
      </c>
      <c r="E1310" t="inlineStr">
        <is>
          <t>TDV</t>
        </is>
      </c>
      <c r="F1310" s="23" t="n">
        <v>46268</v>
      </c>
      <c r="G1310" t="inlineStr">
        <is>
          <t>provision</t>
        </is>
      </c>
      <c r="H1310" s="26" t="n">
        <v>214848575</v>
      </c>
      <c r="I1310" t="inlineStr">
        <is>
          <t>bajo</t>
        </is>
      </c>
      <c r="J1310" t="inlineStr">
        <is>
          <t>RN-11 y RN-34: provision hasta el cupo operativo antes de bajar del 8 %</t>
        </is>
      </c>
      <c r="K1310" t="inlineStr">
        <is>
          <t>Provision en la manana, antes del pagado: con el pronostico, sin provision el saldo bajaria del 8 % del cupo ese dia. Lleva el saldo de 190.151.425 a 405.000.000 COP (cupo 405.000.000). Equipo administrado por TDV.</t>
        </is>
      </c>
      <c r="L1310" s="26" t="n">
        <v>405000000</v>
      </c>
      <c r="M1310" s="26" t="n">
        <v>190151425</v>
      </c>
      <c r="N1310" s="27">
        <f>IF(ISNUMBER(M1310),M1310/L1310,"No aplica")</f>
        <v>0.4695096913580247</v>
      </c>
      <c r="O1310" s="25">
        <f>IF(G1310="provision",M1310+H1310,IF(G1310="recoleccion",M1310-H1310,"No aplica"))</f>
        <v>405000000</v>
      </c>
      <c r="P1310" s="26" t="n">
        <v>113743</v>
      </c>
    </row>
    <row r="1311">
      <c r="A1311" t="inlineStr">
        <is>
          <t>PRAGMA</t>
        </is>
      </c>
      <c r="B1311" t="inlineStr">
        <is>
          <t>M1</t>
        </is>
      </c>
      <c r="C1311" t="inlineStr">
        <is>
          <t>Cali</t>
        </is>
      </c>
      <c r="D1311" t="inlineStr">
        <is>
          <t>9322</t>
        </is>
      </c>
      <c r="E1311" t="inlineStr">
        <is>
          <t>TDV</t>
        </is>
      </c>
      <c r="F1311" s="23" t="n">
        <v>46269</v>
      </c>
      <c r="G1311" t="inlineStr">
        <is>
          <t>provision</t>
        </is>
      </c>
      <c r="H1311" s="26" t="n">
        <v>217382712</v>
      </c>
      <c r="I1311" t="inlineStr">
        <is>
          <t>bajo</t>
        </is>
      </c>
      <c r="J1311" t="inlineStr">
        <is>
          <t>RN-11 y RN-34: provision hasta el cupo operativo antes de bajar del 8 %</t>
        </is>
      </c>
      <c r="K1311" t="inlineStr">
        <is>
          <t>Provision en la manana, antes del pagado: con el pronostico, sin provision el saldo bajaria del 8 % del cupo ese dia. Lleva el saldo de 187.617.288 a 405.000.000 COP (cupo 405.000.000). Equipo administrado por TDV.</t>
        </is>
      </c>
      <c r="L1311" s="26" t="n">
        <v>405000000</v>
      </c>
      <c r="M1311" s="26" t="n">
        <v>187617288</v>
      </c>
      <c r="N1311" s="27">
        <f>IF(ISNUMBER(M1311),M1311/L1311,"No aplica")</f>
        <v>0.46325256296296297</v>
      </c>
      <c r="O1311" s="25">
        <f>IF(G1311="provision",M1311+H1311,IF(G1311="recoleccion",M1311-H1311,"No aplica"))</f>
        <v>405000000</v>
      </c>
      <c r="P1311" s="26" t="n">
        <v>114863</v>
      </c>
    </row>
    <row r="1312">
      <c r="A1312" t="inlineStr">
        <is>
          <t>PRAGMA</t>
        </is>
      </c>
      <c r="B1312" t="inlineStr">
        <is>
          <t>M1</t>
        </is>
      </c>
      <c r="C1312" t="inlineStr">
        <is>
          <t>Cali</t>
        </is>
      </c>
      <c r="D1312" t="inlineStr">
        <is>
          <t>9322</t>
        </is>
      </c>
      <c r="E1312" t="inlineStr">
        <is>
          <t>TDV</t>
        </is>
      </c>
      <c r="F1312" s="23" t="n">
        <v>46270</v>
      </c>
      <c r="G1312" t="inlineStr">
        <is>
          <t>provision</t>
        </is>
      </c>
      <c r="H1312" s="26" t="n">
        <v>211288738</v>
      </c>
      <c r="I1312" t="inlineStr">
        <is>
          <t>bajo</t>
        </is>
      </c>
      <c r="J1312" t="inlineStr">
        <is>
          <t>RN-11 y RN-34: provision hasta el cupo operativo antes de bajar del 8 %</t>
        </is>
      </c>
      <c r="K1312" t="inlineStr">
        <is>
          <t>Provision en la manana, antes del pagado: con el pronostico, sin provision el saldo bajaria del 8 % del cupo ese dia. Lleva el saldo de 193.711.262 a 405.000.000 COP (cupo 405.000.000). Equipo administrado por TDV.</t>
        </is>
      </c>
      <c r="L1312" s="26" t="n">
        <v>405000000</v>
      </c>
      <c r="M1312" s="26" t="n">
        <v>193711262</v>
      </c>
      <c r="N1312" s="27">
        <f>IF(ISNUMBER(M1312),M1312/L1312,"No aplica")</f>
        <v>0.478299412345679</v>
      </c>
      <c r="O1312" s="25">
        <f>IF(G1312="provision",M1312+H1312,IF(G1312="recoleccion",M1312-H1312,"No aplica"))</f>
        <v>405000000</v>
      </c>
      <c r="P1312" s="26" t="n">
        <v>112170</v>
      </c>
    </row>
    <row r="1313">
      <c r="A1313" t="inlineStr">
        <is>
          <t>PRAGMA</t>
        </is>
      </c>
      <c r="B1313" t="inlineStr">
        <is>
          <t>M1</t>
        </is>
      </c>
      <c r="C1313" t="inlineStr">
        <is>
          <t>Cali</t>
        </is>
      </c>
      <c r="D1313" t="inlineStr">
        <is>
          <t>9322</t>
        </is>
      </c>
      <c r="E1313" t="inlineStr">
        <is>
          <t>TDV</t>
        </is>
      </c>
      <c r="F1313" s="23" t="n">
        <v>46273</v>
      </c>
      <c r="G1313" t="inlineStr">
        <is>
          <t>provision</t>
        </is>
      </c>
      <c r="H1313" s="26" t="n">
        <v>339649282</v>
      </c>
      <c r="I1313" t="inlineStr">
        <is>
          <t>bajo</t>
        </is>
      </c>
      <c r="J1313" t="inlineStr">
        <is>
          <t>RN-11 y RN-34: provision hasta el cupo operativo antes de bajar del 8 %</t>
        </is>
      </c>
      <c r="K1313" t="inlineStr">
        <is>
          <t>Provision en la manana, antes del pagado: con el pronostico, sin provision el saldo bajaria del 8 % del cupo ese dia. Lleva el saldo de 65.350.718 a 405.000.000 COP (cupo 405.000.000). Equipo administrado por TDV.</t>
        </is>
      </c>
      <c r="L1313" s="26" t="n">
        <v>405000000</v>
      </c>
      <c r="M1313" s="26" t="n">
        <v>65350718</v>
      </c>
      <c r="N1313" s="27">
        <f>IF(ISNUMBER(M1313),M1313/L1313,"No aplica")</f>
        <v>0.16135979753086419</v>
      </c>
      <c r="O1313" s="25">
        <f>IF(G1313="provision",M1313+H1313,IF(G1313="recoleccion",M1313-H1313,"No aplica"))</f>
        <v>405000000</v>
      </c>
      <c r="P1313" s="26" t="n">
        <v>168905</v>
      </c>
    </row>
    <row r="1314">
      <c r="A1314" t="inlineStr">
        <is>
          <t>PRAGMA</t>
        </is>
      </c>
      <c r="B1314" t="inlineStr">
        <is>
          <t>M1</t>
        </is>
      </c>
      <c r="C1314" t="inlineStr">
        <is>
          <t>Cali</t>
        </is>
      </c>
      <c r="D1314" t="inlineStr">
        <is>
          <t>9322</t>
        </is>
      </c>
      <c r="E1314" t="inlineStr">
        <is>
          <t>TDV</t>
        </is>
      </c>
      <c r="F1314" s="23" t="n">
        <v>46275</v>
      </c>
      <c r="G1314" t="inlineStr">
        <is>
          <t>provision</t>
        </is>
      </c>
      <c r="H1314" s="26" t="n">
        <v>368766608</v>
      </c>
      <c r="I1314" t="inlineStr">
        <is>
          <t>bajo</t>
        </is>
      </c>
      <c r="J1314" t="inlineStr">
        <is>
          <t>RN-11 y RN-34: provision hasta el cupo operativo antes de bajar del 8 %</t>
        </is>
      </c>
      <c r="K1314" t="inlineStr">
        <is>
          <t>Provision en la manana, antes del pagado: con el pronostico, sin provision el saldo bajaria del 8 % del cupo ese dia. Lleva el saldo de 36.233.392 a 405.000.000 COP (cupo 405.000.000). Equipo administrado por TDV.</t>
        </is>
      </c>
      <c r="L1314" s="26" t="n">
        <v>405000000</v>
      </c>
      <c r="M1314" s="26" t="n">
        <v>36233392</v>
      </c>
      <c r="N1314" s="27">
        <f>IF(ISNUMBER(M1314),M1314/L1314,"No aplica")</f>
        <v>0.08946516543209876</v>
      </c>
      <c r="O1314" s="25">
        <f>IF(G1314="provision",M1314+H1314,IF(G1314="recoleccion",M1314-H1314,"No aplica"))</f>
        <v>405000000</v>
      </c>
      <c r="P1314" s="26" t="n">
        <v>181775</v>
      </c>
    </row>
    <row r="1315">
      <c r="A1315" t="inlineStr">
        <is>
          <t>PRAGMA</t>
        </is>
      </c>
      <c r="B1315" t="inlineStr">
        <is>
          <t>M1</t>
        </is>
      </c>
      <c r="C1315" t="inlineStr">
        <is>
          <t>Cali</t>
        </is>
      </c>
      <c r="D1315" t="inlineStr">
        <is>
          <t>9322</t>
        </is>
      </c>
      <c r="E1315" t="inlineStr">
        <is>
          <t>TDV</t>
        </is>
      </c>
      <c r="F1315" s="23" t="n">
        <v>46277</v>
      </c>
      <c r="G1315" t="inlineStr">
        <is>
          <t>provision</t>
        </is>
      </c>
      <c r="H1315" s="26" t="n">
        <v>327745876</v>
      </c>
      <c r="I1315" t="inlineStr">
        <is>
          <t>bajo</t>
        </is>
      </c>
      <c r="J1315" t="inlineStr">
        <is>
          <t>RN-11 y RN-34: provision hasta el cupo operativo antes de bajar del 8 %</t>
        </is>
      </c>
      <c r="K1315" t="inlineStr">
        <is>
          <t>Provision en la manana, antes del pagado: con el pronostico, sin provision el saldo bajaria del 8 % del cupo ese dia. Lleva el saldo de 77.254.124 a 405.000.000 COP (cupo 405.000.000). Equipo administrado por TDV.</t>
        </is>
      </c>
      <c r="L1315" s="26" t="n">
        <v>405000000</v>
      </c>
      <c r="M1315" s="26" t="n">
        <v>77254124</v>
      </c>
      <c r="N1315" s="27">
        <f>IF(ISNUMBER(M1315),M1315/L1315,"No aplica")</f>
        <v>0.19075092345679012</v>
      </c>
      <c r="O1315" s="25">
        <f>IF(G1315="provision",M1315+H1315,IF(G1315="recoleccion",M1315-H1315,"No aplica"))</f>
        <v>405000000</v>
      </c>
      <c r="P1315" s="26" t="n">
        <v>163644</v>
      </c>
    </row>
    <row r="1316">
      <c r="A1316" t="inlineStr">
        <is>
          <t>PRAGMA</t>
        </is>
      </c>
      <c r="B1316" t="inlineStr">
        <is>
          <t>M1</t>
        </is>
      </c>
      <c r="C1316" t="inlineStr">
        <is>
          <t>Cali</t>
        </is>
      </c>
      <c r="D1316" t="inlineStr">
        <is>
          <t>9322</t>
        </is>
      </c>
      <c r="E1316" t="inlineStr">
        <is>
          <t>TDV</t>
        </is>
      </c>
      <c r="F1316" s="23" t="n">
        <v>46280</v>
      </c>
      <c r="G1316" t="inlineStr">
        <is>
          <t>provision</t>
        </is>
      </c>
      <c r="H1316" s="26" t="n">
        <v>317707249</v>
      </c>
      <c r="I1316" t="inlineStr">
        <is>
          <t>bajo</t>
        </is>
      </c>
      <c r="J1316" t="inlineStr">
        <is>
          <t>RN-11 y RN-34: provision hasta el cupo operativo antes de bajar del 8 %</t>
        </is>
      </c>
      <c r="K1316" t="inlineStr">
        <is>
          <t>Provision en la manana, antes del pagado: con el pronostico, sin provision el saldo bajaria del 8 % del cupo ese dia. Lleva el saldo de 87.292.751 a 405.000.000 COP (cupo 405.000.000). Equipo administrado por TDV.</t>
        </is>
      </c>
      <c r="L1316" s="26" t="n">
        <v>405000000</v>
      </c>
      <c r="M1316" s="26" t="n">
        <v>87292751</v>
      </c>
      <c r="N1316" s="27">
        <f>IF(ISNUMBER(M1316),M1316/L1316,"No aplica")</f>
        <v>0.21553765679012346</v>
      </c>
      <c r="O1316" s="25">
        <f>IF(G1316="provision",M1316+H1316,IF(G1316="recoleccion",M1316-H1316,"No aplica"))</f>
        <v>405000000</v>
      </c>
      <c r="P1316" s="26" t="n">
        <v>159207</v>
      </c>
    </row>
    <row r="1317">
      <c r="A1317" t="inlineStr">
        <is>
          <t>PRAGMA</t>
        </is>
      </c>
      <c r="B1317" t="inlineStr">
        <is>
          <t>M1</t>
        </is>
      </c>
      <c r="C1317" t="inlineStr">
        <is>
          <t>Cali</t>
        </is>
      </c>
      <c r="D1317" t="inlineStr">
        <is>
          <t>9367</t>
        </is>
      </c>
      <c r="E1317" t="inlineStr">
        <is>
          <t>TDV</t>
        </is>
      </c>
      <c r="F1317" s="23" t="n">
        <v>46270</v>
      </c>
      <c r="G1317" t="inlineStr">
        <is>
          <t>provision</t>
        </is>
      </c>
      <c r="H1317" s="26" t="n">
        <v>350813591</v>
      </c>
      <c r="I1317" t="inlineStr">
        <is>
          <t>bajo</t>
        </is>
      </c>
      <c r="J1317" t="inlineStr">
        <is>
          <t>RN-11 y RN-34: provision hasta el cupo operativo antes de bajar del 8 %</t>
        </is>
      </c>
      <c r="K1317" t="inlineStr">
        <is>
          <t>Provision en la manana, antes del pagado: con el pronostico, sin provision el saldo bajaria del 8 % del cupo ese dia. Lleva el saldo de 60.186.409 a 411.000.000 COP (cupo 411.000.000). Equipo administrado por TDV.</t>
        </is>
      </c>
      <c r="L1317" s="26" t="n">
        <v>411000000</v>
      </c>
      <c r="M1317" s="26" t="n">
        <v>60186409</v>
      </c>
      <c r="N1317" s="27">
        <f>IF(ISNUMBER(M1317),M1317/L1317,"No aplica")</f>
        <v>0.1464389513381995</v>
      </c>
      <c r="O1317" s="25">
        <f>IF(G1317="provision",M1317+H1317,IF(G1317="recoleccion",M1317-H1317,"No aplica"))</f>
        <v>411000000</v>
      </c>
      <c r="P1317" s="26" t="n">
        <v>130232</v>
      </c>
    </row>
    <row r="1318">
      <c r="A1318" t="inlineStr">
        <is>
          <t>PRAGMA</t>
        </is>
      </c>
      <c r="B1318" t="inlineStr">
        <is>
          <t>M1</t>
        </is>
      </c>
      <c r="C1318" t="inlineStr">
        <is>
          <t>Cali</t>
        </is>
      </c>
      <c r="D1318" t="inlineStr">
        <is>
          <t>9367</t>
        </is>
      </c>
      <c r="E1318" t="inlineStr">
        <is>
          <t>TDV</t>
        </is>
      </c>
      <c r="F1318" s="23" t="n">
        <v>46277</v>
      </c>
      <c r="G1318" t="inlineStr">
        <is>
          <t>provision</t>
        </is>
      </c>
      <c r="H1318" s="26" t="n">
        <v>356532426</v>
      </c>
      <c r="I1318" t="inlineStr">
        <is>
          <t>bajo</t>
        </is>
      </c>
      <c r="J1318" t="inlineStr">
        <is>
          <t>RN-11 y RN-34: provision hasta el cupo operativo antes de bajar del 8 %</t>
        </is>
      </c>
      <c r="K1318" t="inlineStr">
        <is>
          <t>Provision en la manana, antes del pagado: con el pronostico, sin provision el saldo bajaria del 8 % del cupo ese dia. Lleva el saldo de 54.467.574 a 411.000.000 COP (cupo 411.000.000). Equipo administrado por TDV.</t>
        </is>
      </c>
      <c r="L1318" s="26" t="n">
        <v>411000000</v>
      </c>
      <c r="M1318" s="26" t="n">
        <v>54467574</v>
      </c>
      <c r="N1318" s="27">
        <f>IF(ISNUMBER(M1318),M1318/L1318,"No aplica")</f>
        <v>0.1325245109489051</v>
      </c>
      <c r="O1318" s="25">
        <f>IF(G1318="provision",M1318+H1318,IF(G1318="recoleccion",M1318-H1318,"No aplica"))</f>
        <v>411000000</v>
      </c>
      <c r="P1318" s="26" t="n">
        <v>132079</v>
      </c>
    </row>
    <row r="1319">
      <c r="A1319" t="inlineStr">
        <is>
          <t>PRAGMA</t>
        </is>
      </c>
      <c r="B1319" t="inlineStr">
        <is>
          <t>M1</t>
        </is>
      </c>
      <c r="C1319" t="inlineStr">
        <is>
          <t>Cali</t>
        </is>
      </c>
      <c r="D1319" t="inlineStr">
        <is>
          <t>9368</t>
        </is>
      </c>
      <c r="E1319" t="inlineStr">
        <is>
          <t>TDV</t>
        </is>
      </c>
      <c r="F1319" s="23" t="n">
        <v>46270</v>
      </c>
      <c r="G1319" t="inlineStr">
        <is>
          <t>provision</t>
        </is>
      </c>
      <c r="H1319" s="26" t="n">
        <v>338387920</v>
      </c>
      <c r="I1319" t="inlineStr">
        <is>
          <t>bajo</t>
        </is>
      </c>
      <c r="J1319" t="inlineStr">
        <is>
          <t>RN-11 y RN-34: provision hasta el cupo operativo antes de bajar del 8 %</t>
        </is>
      </c>
      <c r="K1319" t="inlineStr">
        <is>
          <t>Provision en la manana, antes del pagado: con el pronostico, sin provision el saldo bajaria del 8 % del cupo ese dia. Lleva el saldo de 72.612.080 a 411.000.000 COP (cupo 411.000.000). Equipo administrado por TDV.</t>
        </is>
      </c>
      <c r="L1319" s="26" t="n">
        <v>411000000</v>
      </c>
      <c r="M1319" s="26" t="n">
        <v>72612080</v>
      </c>
      <c r="N1319" s="27">
        <f>IF(ISNUMBER(M1319),M1319/L1319,"No aplica")</f>
        <v>0.17667172749391727</v>
      </c>
      <c r="O1319" s="25">
        <f>IF(G1319="provision",M1319+H1319,IF(G1319="recoleccion",M1319-H1319,"No aplica"))</f>
        <v>411000000</v>
      </c>
      <c r="P1319" s="26" t="n">
        <v>126218</v>
      </c>
    </row>
    <row r="1320">
      <c r="A1320" t="inlineStr">
        <is>
          <t>PRAGMA</t>
        </is>
      </c>
      <c r="B1320" t="inlineStr">
        <is>
          <t>M1</t>
        </is>
      </c>
      <c r="C1320" t="inlineStr">
        <is>
          <t>Cali</t>
        </is>
      </c>
      <c r="D1320" t="inlineStr">
        <is>
          <t>9368</t>
        </is>
      </c>
      <c r="E1320" t="inlineStr">
        <is>
          <t>TDV</t>
        </is>
      </c>
      <c r="F1320" s="23" t="n">
        <v>46279</v>
      </c>
      <c r="G1320" t="inlineStr">
        <is>
          <t>provision</t>
        </is>
      </c>
      <c r="H1320" s="26" t="n">
        <v>358972589</v>
      </c>
      <c r="I1320" t="inlineStr">
        <is>
          <t>bajo</t>
        </is>
      </c>
      <c r="J1320" t="inlineStr">
        <is>
          <t>RN-11 y RN-34: provision hasta el cupo operativo antes de bajar del 8 %</t>
        </is>
      </c>
      <c r="K1320" t="inlineStr">
        <is>
          <t>Provision en la manana, antes del pagado: con el pronostico, sin provision el saldo bajaria del 8 % del cupo ese dia. Lleva el saldo de 52.027.411 a 411.000.000 COP (cupo 411.000.000). Equipo administrado por TDV.</t>
        </is>
      </c>
      <c r="L1320" s="26" t="n">
        <v>411000000</v>
      </c>
      <c r="M1320" s="26" t="n">
        <v>52027411</v>
      </c>
      <c r="N1320" s="27">
        <f>IF(ISNUMBER(M1320),M1320/L1320,"No aplica")</f>
        <v>0.12658737469586376</v>
      </c>
      <c r="O1320" s="25">
        <f>IF(G1320="provision",M1320+H1320,IF(G1320="recoleccion",M1320-H1320,"No aplica"))</f>
        <v>411000000</v>
      </c>
      <c r="P1320" s="26" t="n">
        <v>132867</v>
      </c>
    </row>
    <row r="1321">
      <c r="A1321" t="inlineStr">
        <is>
          <t>PRAGMA</t>
        </is>
      </c>
      <c r="B1321" t="inlineStr">
        <is>
          <t>M1</t>
        </is>
      </c>
      <c r="C1321" t="inlineStr">
        <is>
          <t>Cali</t>
        </is>
      </c>
      <c r="D1321" t="inlineStr">
        <is>
          <t>9369</t>
        </is>
      </c>
      <c r="E1321" t="inlineStr">
        <is>
          <t>TDV</t>
        </is>
      </c>
      <c r="F1321" s="23" t="n">
        <v>46270</v>
      </c>
      <c r="G1321" t="inlineStr">
        <is>
          <t>provision</t>
        </is>
      </c>
      <c r="H1321" s="26" t="n">
        <v>372840216</v>
      </c>
      <c r="I1321" t="inlineStr">
        <is>
          <t>bajo</t>
        </is>
      </c>
      <c r="J1321" t="inlineStr">
        <is>
          <t>RN-11 y RN-34: provision hasta el cupo operativo antes de bajar del 8 %</t>
        </is>
      </c>
      <c r="K1321" t="inlineStr">
        <is>
          <t>Provision en la manana, antes del pagado: con el pronostico, sin provision el saldo bajaria del 8 % del cupo ese dia. Lleva el saldo de 38.159.784 a 411.000.000 COP (cupo 411.000.000). Equipo administrado por TDV.</t>
        </is>
      </c>
      <c r="L1321" s="26" t="n">
        <v>411000000</v>
      </c>
      <c r="M1321" s="26" t="n">
        <v>38159784</v>
      </c>
      <c r="N1321" s="27">
        <f>IF(ISNUMBER(M1321),M1321/L1321,"No aplica")</f>
        <v>0.0928461897810219</v>
      </c>
      <c r="O1321" s="25">
        <f>IF(G1321="provision",M1321+H1321,IF(G1321="recoleccion",M1321-H1321,"No aplica"))</f>
        <v>411000000</v>
      </c>
      <c r="P1321" s="26" t="n">
        <v>137346</v>
      </c>
    </row>
    <row r="1322">
      <c r="A1322" t="inlineStr">
        <is>
          <t>PRAGMA</t>
        </is>
      </c>
      <c r="B1322" t="inlineStr">
        <is>
          <t>M1</t>
        </is>
      </c>
      <c r="C1322" t="inlineStr">
        <is>
          <t>Cali</t>
        </is>
      </c>
      <c r="D1322" t="inlineStr">
        <is>
          <t>9369</t>
        </is>
      </c>
      <c r="E1322" t="inlineStr">
        <is>
          <t>TDV</t>
        </is>
      </c>
      <c r="F1322" s="23" t="n">
        <v>46277</v>
      </c>
      <c r="G1322" t="inlineStr">
        <is>
          <t>provision</t>
        </is>
      </c>
      <c r="H1322" s="26" t="n">
        <v>343887643</v>
      </c>
      <c r="I1322" t="inlineStr">
        <is>
          <t>bajo</t>
        </is>
      </c>
      <c r="J1322" t="inlineStr">
        <is>
          <t>RN-11 y RN-34: provision hasta el cupo operativo antes de bajar del 8 %</t>
        </is>
      </c>
      <c r="K1322" t="inlineStr">
        <is>
          <t>Provision en la manana, antes del pagado: con el pronostico, sin provision el saldo bajaria del 8 % del cupo ese dia. Lleva el saldo de 67.112.357 a 411.000.000 COP (cupo 411.000.000). Equipo administrado por TDV.</t>
        </is>
      </c>
      <c r="L1322" s="26" t="n">
        <v>411000000</v>
      </c>
      <c r="M1322" s="26" t="n">
        <v>67112357</v>
      </c>
      <c r="N1322" s="27">
        <f>IF(ISNUMBER(M1322),M1322/L1322,"No aplica")</f>
        <v>0.16329040632603406</v>
      </c>
      <c r="O1322" s="25">
        <f>IF(G1322="provision",M1322+H1322,IF(G1322="recoleccion",M1322-H1322,"No aplica"))</f>
        <v>411000000</v>
      </c>
      <c r="P1322" s="26" t="n">
        <v>127995</v>
      </c>
    </row>
    <row r="1323">
      <c r="A1323" t="inlineStr">
        <is>
          <t>PRAGMA</t>
        </is>
      </c>
      <c r="B1323" t="inlineStr">
        <is>
          <t>M1</t>
        </is>
      </c>
      <c r="C1323" t="inlineStr">
        <is>
          <t>Cali</t>
        </is>
      </c>
      <c r="D1323" t="inlineStr">
        <is>
          <t>94</t>
        </is>
      </c>
      <c r="E1323" t="inlineStr">
        <is>
          <t>TDV</t>
        </is>
      </c>
      <c r="F1323" s="23" t="n">
        <v>46266</v>
      </c>
      <c r="G1323" t="inlineStr">
        <is>
          <t>sin_accion</t>
        </is>
      </c>
      <c r="H1323" s="26" t="n">
        <v>0</v>
      </c>
      <c r="I1323" t="inlineStr">
        <is>
          <t>bajo</t>
        </is>
      </c>
      <c r="J1323" t="inlineStr">
        <is>
          <t>RN-02: una fila sin_accion</t>
        </is>
      </c>
      <c r="K1323" t="inlineStr">
        <is>
          <t>Sin accion en el horizonte: con el pronostico, el saldo se mantiene entre el umbral de agotamiento y el cupo sin necesidad de provision ni recoleccion.</t>
        </is>
      </c>
      <c r="L1323" s="26" t="n">
        <v>500000000</v>
      </c>
      <c r="M1323" s="26" t="inlineStr">
        <is>
          <t>No aplica</t>
        </is>
      </c>
      <c r="N1323" s="27" t="str">
        <f>IF(ISNUMBER(M1323),M1323/L1323,"No aplica")</f>
        <v>No aplica</v>
      </c>
      <c r="O1323" s="25" t="str">
        <f>IF(G1323="provision",M1323+H1323,IF(G1323="recoleccion",M1323-H1323,"No aplica"))</f>
        <v>No aplica</v>
      </c>
      <c r="P1323" s="26" t="inlineStr">
        <is>
          <t>No aplica</t>
        </is>
      </c>
    </row>
    <row r="1324">
      <c r="A1324" t="inlineStr">
        <is>
          <t>PRAGMA</t>
        </is>
      </c>
      <c r="B1324" t="inlineStr">
        <is>
          <t>M1</t>
        </is>
      </c>
      <c r="C1324" t="inlineStr">
        <is>
          <t>Cali</t>
        </is>
      </c>
      <c r="D1324" t="inlineStr">
        <is>
          <t>9632</t>
        </is>
      </c>
      <c r="E1324" t="inlineStr">
        <is>
          <t>TDV</t>
        </is>
      </c>
      <c r="F1324" s="23" t="n">
        <v>46269</v>
      </c>
      <c r="G1324" t="inlineStr">
        <is>
          <t>provision</t>
        </is>
      </c>
      <c r="H1324" s="26" t="n">
        <v>293901569</v>
      </c>
      <c r="I1324" t="inlineStr">
        <is>
          <t>bajo</t>
        </is>
      </c>
      <c r="J1324" t="inlineStr">
        <is>
          <t>RN-11 y RN-34: provision hasta el cupo operativo antes de bajar del 8 %</t>
        </is>
      </c>
      <c r="K1324" t="inlineStr">
        <is>
          <t>Provision en la manana, antes del pagado: con el pronostico, sin provision el saldo bajaria del 8 % del cupo ese dia. Lleva el saldo de 117.098.431 a 411.000.000 COP (cupo 411.000.000). Equipo administrado por TDV.</t>
        </is>
      </c>
      <c r="L1324" s="26" t="n">
        <v>411000000</v>
      </c>
      <c r="M1324" s="26" t="n">
        <v>117098431</v>
      </c>
      <c r="N1324" s="27">
        <f>IF(ISNUMBER(M1324),M1324/L1324,"No aplica")</f>
        <v>0.28491102433090026</v>
      </c>
      <c r="O1324" s="25">
        <f>IF(G1324="provision",M1324+H1324,IF(G1324="recoleccion",M1324-H1324,"No aplica"))</f>
        <v>411000000</v>
      </c>
      <c r="P1324" s="26" t="n">
        <v>132391</v>
      </c>
    </row>
    <row r="1325">
      <c r="A1325" t="inlineStr">
        <is>
          <t>PRAGMA</t>
        </is>
      </c>
      <c r="B1325" t="inlineStr">
        <is>
          <t>M1</t>
        </is>
      </c>
      <c r="C1325" t="inlineStr">
        <is>
          <t>Cali</t>
        </is>
      </c>
      <c r="D1325" t="inlineStr">
        <is>
          <t>9632</t>
        </is>
      </c>
      <c r="E1325" t="inlineStr">
        <is>
          <t>TDV</t>
        </is>
      </c>
      <c r="F1325" s="23" t="n">
        <v>46275</v>
      </c>
      <c r="G1325" t="inlineStr">
        <is>
          <t>provision</t>
        </is>
      </c>
      <c r="H1325" s="26" t="n">
        <v>370048661</v>
      </c>
      <c r="I1325" t="inlineStr">
        <is>
          <t>bajo</t>
        </is>
      </c>
      <c r="J1325" t="inlineStr">
        <is>
          <t>RN-11 y RN-34: provision hasta el cupo operativo antes de bajar del 8 %</t>
        </is>
      </c>
      <c r="K1325" t="inlineStr">
        <is>
          <t>Provision en la manana, antes del pagado: con el pronostico, sin provision el saldo bajaria del 8 % del cupo ese dia. Lleva el saldo de 40.951.339 a 411.000.000 COP (cupo 411.000.000). Equipo administrado por TDV.</t>
        </is>
      </c>
      <c r="L1325" s="26" t="n">
        <v>411000000</v>
      </c>
      <c r="M1325" s="26" t="n">
        <v>40951339</v>
      </c>
      <c r="N1325" s="27">
        <f>IF(ISNUMBER(M1325),M1325/L1325,"No aplica")</f>
        <v>0.09963829440389295</v>
      </c>
      <c r="O1325" s="25">
        <f>IF(G1325="provision",M1325+H1325,IF(G1325="recoleccion",M1325-H1325,"No aplica"))</f>
        <v>411000000</v>
      </c>
      <c r="P1325" s="26" t="n">
        <v>161860</v>
      </c>
    </row>
    <row r="1326">
      <c r="A1326" t="inlineStr">
        <is>
          <t>PRAGMA</t>
        </is>
      </c>
      <c r="B1326" t="inlineStr">
        <is>
          <t>M1</t>
        </is>
      </c>
      <c r="C1326" t="inlineStr">
        <is>
          <t>Cali</t>
        </is>
      </c>
      <c r="D1326" t="inlineStr">
        <is>
          <t>9633</t>
        </is>
      </c>
      <c r="E1326" t="inlineStr">
        <is>
          <t>TDV</t>
        </is>
      </c>
      <c r="F1326" s="23" t="n">
        <v>46270</v>
      </c>
      <c r="G1326" t="inlineStr">
        <is>
          <t>provision</t>
        </is>
      </c>
      <c r="H1326" s="26" t="n">
        <v>356683840</v>
      </c>
      <c r="I1326" t="inlineStr">
        <is>
          <t>bajo</t>
        </is>
      </c>
      <c r="J1326" t="inlineStr">
        <is>
          <t>RN-11 y RN-34: provision hasta el cupo operativo antes de bajar del 8 %</t>
        </is>
      </c>
      <c r="K1326" t="inlineStr">
        <is>
          <t>Provision en la manana, antes del pagado: con el pronostico, sin provision el saldo bajaria del 8 % del cupo ese dia. Lleva el saldo de 54.316.160 a 411.000.000 COP (cupo 411.000.000). Equipo administrado por TDV.</t>
        </is>
      </c>
      <c r="L1326" s="26" t="n">
        <v>411000000</v>
      </c>
      <c r="M1326" s="26" t="n">
        <v>54316160</v>
      </c>
      <c r="N1326" s="27">
        <f>IF(ISNUMBER(M1326),M1326/L1326,"No aplica")</f>
        <v>0.13215610705596106</v>
      </c>
      <c r="O1326" s="25">
        <f>IF(G1326="provision",M1326+H1326,IF(G1326="recoleccion",M1326-H1326,"No aplica"))</f>
        <v>411000000</v>
      </c>
      <c r="P1326" s="26" t="n">
        <v>156688</v>
      </c>
    </row>
    <row r="1327">
      <c r="A1327" t="inlineStr">
        <is>
          <t>PRAGMA</t>
        </is>
      </c>
      <c r="B1327" t="inlineStr">
        <is>
          <t>M1</t>
        </is>
      </c>
      <c r="C1327" t="inlineStr">
        <is>
          <t>Cali</t>
        </is>
      </c>
      <c r="D1327" t="inlineStr">
        <is>
          <t>9633</t>
        </is>
      </c>
      <c r="E1327" t="inlineStr">
        <is>
          <t>TDV</t>
        </is>
      </c>
      <c r="F1327" s="23" t="n">
        <v>46277</v>
      </c>
      <c r="G1327" t="inlineStr">
        <is>
          <t>provision</t>
        </is>
      </c>
      <c r="H1327" s="26" t="n">
        <v>372493491</v>
      </c>
      <c r="I1327" t="inlineStr">
        <is>
          <t>bajo</t>
        </is>
      </c>
      <c r="J1327" t="inlineStr">
        <is>
          <t>RN-11 y RN-34: provision hasta el cupo operativo antes de bajar del 8 %</t>
        </is>
      </c>
      <c r="K1327" t="inlineStr">
        <is>
          <t>Provision en la manana, antes del pagado: con el pronostico, sin provision el saldo bajaria del 8 % del cupo ese dia. Lleva el saldo de 38.506.509 a 411.000.000 COP (cupo 411.000.000). Equipo administrado por TDV.</t>
        </is>
      </c>
      <c r="L1327" s="26" t="n">
        <v>411000000</v>
      </c>
      <c r="M1327" s="26" t="n">
        <v>38506509</v>
      </c>
      <c r="N1327" s="27">
        <f>IF(ISNUMBER(M1327),M1327/L1327,"No aplica")</f>
        <v>0.09368980291970803</v>
      </c>
      <c r="O1327" s="25">
        <f>IF(G1327="provision",M1327+H1327,IF(G1327="recoleccion",M1327-H1327,"No aplica"))</f>
        <v>411000000</v>
      </c>
      <c r="P1327" s="26" t="n">
        <v>162806</v>
      </c>
    </row>
    <row r="1328">
      <c r="A1328" t="inlineStr">
        <is>
          <t>PRAGMA</t>
        </is>
      </c>
      <c r="B1328" t="inlineStr">
        <is>
          <t>M1</t>
        </is>
      </c>
      <c r="C1328" t="inlineStr">
        <is>
          <t>Cali</t>
        </is>
      </c>
      <c r="D1328" t="inlineStr">
        <is>
          <t>9638</t>
        </is>
      </c>
      <c r="E1328" t="inlineStr">
        <is>
          <t>TDV</t>
        </is>
      </c>
      <c r="F1328" s="23" t="n">
        <v>46268</v>
      </c>
      <c r="G1328" t="inlineStr">
        <is>
          <t>provision</t>
        </is>
      </c>
      <c r="H1328" s="26" t="n">
        <v>348151572</v>
      </c>
      <c r="I1328" t="inlineStr">
        <is>
          <t>bajo</t>
        </is>
      </c>
      <c r="J1328" t="inlineStr">
        <is>
          <t>RN-11 y RN-34: provision hasta el cupo operativo antes de bajar del 8 %</t>
        </is>
      </c>
      <c r="K1328" t="inlineStr">
        <is>
          <t>Provision en la manana, antes del pagado: con el pronostico, sin provision el saldo bajaria del 8 % del cupo ese dia. Lleva el saldo de 62.848.428 a 411.000.000 COP (cupo 411.000.000). Equipo administrado por TDV.</t>
        </is>
      </c>
      <c r="L1328" s="26" t="n">
        <v>411000000</v>
      </c>
      <c r="M1328" s="26" t="n">
        <v>62848428</v>
      </c>
      <c r="N1328" s="27">
        <f>IF(ISNUMBER(M1328),M1328/L1328,"No aplica")</f>
        <v>0.15291588321167884</v>
      </c>
      <c r="O1328" s="25">
        <f>IF(G1328="provision",M1328+H1328,IF(G1328="recoleccion",M1328-H1328,"No aplica"))</f>
        <v>411000000</v>
      </c>
      <c r="P1328" s="26" t="n">
        <v>175651</v>
      </c>
    </row>
    <row r="1329">
      <c r="A1329" t="inlineStr">
        <is>
          <t>PRAGMA</t>
        </is>
      </c>
      <c r="B1329" t="inlineStr">
        <is>
          <t>M1</t>
        </is>
      </c>
      <c r="C1329" t="inlineStr">
        <is>
          <t>Cali</t>
        </is>
      </c>
      <c r="D1329" t="inlineStr">
        <is>
          <t>9638</t>
        </is>
      </c>
      <c r="E1329" t="inlineStr">
        <is>
          <t>TDV</t>
        </is>
      </c>
      <c r="F1329" s="23" t="n">
        <v>46270</v>
      </c>
      <c r="G1329" t="inlineStr">
        <is>
          <t>provision</t>
        </is>
      </c>
      <c r="H1329" s="26" t="n">
        <v>290323427</v>
      </c>
      <c r="I1329" t="inlineStr">
        <is>
          <t>bajo</t>
        </is>
      </c>
      <c r="J1329" t="inlineStr">
        <is>
          <t>RN-11 y RN-34: provision hasta el cupo operativo antes de bajar del 8 %</t>
        </is>
      </c>
      <c r="K1329" t="inlineStr">
        <is>
          <t>Provision en la manana, antes del pagado: con el pronostico, sin provision el saldo bajaria del 8 % del cupo ese dia. Lleva el saldo de 120.676.573 a 411.000.000 COP (cupo 411.000.000). Equipo administrado por TDV.</t>
        </is>
      </c>
      <c r="L1329" s="26" t="n">
        <v>411000000</v>
      </c>
      <c r="M1329" s="26" t="n">
        <v>120676573</v>
      </c>
      <c r="N1329" s="27">
        <f>IF(ISNUMBER(M1329),M1329/L1329,"No aplica")</f>
        <v>0.29361696593673964</v>
      </c>
      <c r="O1329" s="25">
        <f>IF(G1329="provision",M1329+H1329,IF(G1329="recoleccion",M1329-H1329,"No aplica"))</f>
        <v>411000000</v>
      </c>
      <c r="P1329" s="26" t="n">
        <v>149512</v>
      </c>
    </row>
    <row r="1330">
      <c r="A1330" t="inlineStr">
        <is>
          <t>PRAGMA</t>
        </is>
      </c>
      <c r="B1330" t="inlineStr">
        <is>
          <t>M1</t>
        </is>
      </c>
      <c r="C1330" t="inlineStr">
        <is>
          <t>Cali</t>
        </is>
      </c>
      <c r="D1330" t="inlineStr">
        <is>
          <t>9638</t>
        </is>
      </c>
      <c r="E1330" t="inlineStr">
        <is>
          <t>TDV</t>
        </is>
      </c>
      <c r="F1330" s="23" t="n">
        <v>46273</v>
      </c>
      <c r="G1330" t="inlineStr">
        <is>
          <t>provision</t>
        </is>
      </c>
      <c r="H1330" s="26" t="n">
        <v>346840073</v>
      </c>
      <c r="I1330" t="inlineStr">
        <is>
          <t>bajo</t>
        </is>
      </c>
      <c r="J1330" t="inlineStr">
        <is>
          <t>RN-11 y RN-34: provision hasta el cupo operativo antes de bajar del 8 %</t>
        </is>
      </c>
      <c r="K1330" t="inlineStr">
        <is>
          <t>Provision en la manana, antes del pagado: con el pronostico, sin provision el saldo bajaria del 8 % del cupo ese dia. Lleva el saldo de 64.159.927 a 411.000.000 COP (cupo 411.000.000). Equipo administrado por TDV.</t>
        </is>
      </c>
      <c r="L1330" s="26" t="n">
        <v>411000000</v>
      </c>
      <c r="M1330" s="26" t="n">
        <v>64159927</v>
      </c>
      <c r="N1330" s="27">
        <f>IF(ISNUMBER(M1330),M1330/L1330,"No aplica")</f>
        <v>0.15610687834549877</v>
      </c>
      <c r="O1330" s="25">
        <f>IF(G1330="provision",M1330+H1330,IF(G1330="recoleccion",M1330-H1330,"No aplica"))</f>
        <v>411000000</v>
      </c>
      <c r="P1330" s="26" t="n">
        <v>175058</v>
      </c>
    </row>
    <row r="1331">
      <c r="A1331" t="inlineStr">
        <is>
          <t>PRAGMA</t>
        </is>
      </c>
      <c r="B1331" t="inlineStr">
        <is>
          <t>M1</t>
        </is>
      </c>
      <c r="C1331" t="inlineStr">
        <is>
          <t>Cali</t>
        </is>
      </c>
      <c r="D1331" t="inlineStr">
        <is>
          <t>9638</t>
        </is>
      </c>
      <c r="E1331" t="inlineStr">
        <is>
          <t>TDV</t>
        </is>
      </c>
      <c r="F1331" s="23" t="n">
        <v>46276</v>
      </c>
      <c r="G1331" t="inlineStr">
        <is>
          <t>provision</t>
        </is>
      </c>
      <c r="H1331" s="26" t="n">
        <v>327118904</v>
      </c>
      <c r="I1331" t="inlineStr">
        <is>
          <t>bajo</t>
        </is>
      </c>
      <c r="J1331" t="inlineStr">
        <is>
          <t>RN-11 y RN-34: provision hasta el cupo operativo antes de bajar del 8 %</t>
        </is>
      </c>
      <c r="K1331" t="inlineStr">
        <is>
          <t>Provision en la manana, antes del pagado: con el pronostico, sin provision el saldo bajaria del 8 % del cupo ese dia. Lleva el saldo de 83.881.096 a 411.000.000 COP (cupo 411.000.000). Equipo administrado por TDV.</t>
        </is>
      </c>
      <c r="L1331" s="26" t="n">
        <v>411000000</v>
      </c>
      <c r="M1331" s="26" t="n">
        <v>83881096</v>
      </c>
      <c r="N1331" s="27">
        <f>IF(ISNUMBER(M1331),M1331/L1331,"No aplica")</f>
        <v>0.20409025790754257</v>
      </c>
      <c r="O1331" s="25">
        <f>IF(G1331="provision",M1331+H1331,IF(G1331="recoleccion",M1331-H1331,"No aplica"))</f>
        <v>411000000</v>
      </c>
      <c r="P1331" s="26" t="n">
        <v>166144</v>
      </c>
    </row>
    <row r="1332">
      <c r="A1332" t="inlineStr">
        <is>
          <t>PRAGMA</t>
        </is>
      </c>
      <c r="B1332" t="inlineStr">
        <is>
          <t>M1</t>
        </is>
      </c>
      <c r="C1332" t="inlineStr">
        <is>
          <t>Cali</t>
        </is>
      </c>
      <c r="D1332" t="inlineStr">
        <is>
          <t>9638</t>
        </is>
      </c>
      <c r="E1332" t="inlineStr">
        <is>
          <t>TDV</t>
        </is>
      </c>
      <c r="F1332" s="23" t="n">
        <v>46279</v>
      </c>
      <c r="G1332" t="inlineStr">
        <is>
          <t>provision</t>
        </is>
      </c>
      <c r="H1332" s="26" t="n">
        <v>307408506</v>
      </c>
      <c r="I1332" t="inlineStr">
        <is>
          <t>bajo</t>
        </is>
      </c>
      <c r="J1332" t="inlineStr">
        <is>
          <t>RN-11 y RN-34: provision hasta el cupo operativo antes de bajar del 8 %</t>
        </is>
      </c>
      <c r="K1332" t="inlineStr">
        <is>
          <t>Provision en la manana, antes del pagado: con el pronostico, sin provision el saldo bajaria del 8 % del cupo ese dia. Lleva el saldo de 103.591.494 a 411.000.000 COP (cupo 411.000.000). Equipo administrado por TDV.</t>
        </is>
      </c>
      <c r="L1332" s="26" t="n">
        <v>411000000</v>
      </c>
      <c r="M1332" s="26" t="n">
        <v>103591494</v>
      </c>
      <c r="N1332" s="27">
        <f>IF(ISNUMBER(M1332),M1332/L1332,"No aplica")</f>
        <v>0.2520474306569343</v>
      </c>
      <c r="O1332" s="25">
        <f>IF(G1332="provision",M1332+H1332,IF(G1332="recoleccion",M1332-H1332,"No aplica"))</f>
        <v>411000000</v>
      </c>
      <c r="P1332" s="26" t="n">
        <v>157235</v>
      </c>
    </row>
    <row r="1333">
      <c r="A1333" t="inlineStr">
        <is>
          <t>PRAGMA</t>
        </is>
      </c>
      <c r="B1333" t="inlineStr">
        <is>
          <t>M1</t>
        </is>
      </c>
      <c r="C1333" t="inlineStr">
        <is>
          <t>Cali</t>
        </is>
      </c>
      <c r="D1333" t="inlineStr">
        <is>
          <t>9671</t>
        </is>
      </c>
      <c r="E1333" t="inlineStr">
        <is>
          <t>TDV</t>
        </is>
      </c>
      <c r="F1333" s="23" t="n">
        <v>46267</v>
      </c>
      <c r="G1333" t="inlineStr">
        <is>
          <t>provision</t>
        </is>
      </c>
      <c r="H1333" s="26" t="n">
        <v>262532793</v>
      </c>
      <c r="I1333" t="inlineStr">
        <is>
          <t>bajo</t>
        </is>
      </c>
      <c r="J1333" t="inlineStr">
        <is>
          <t>RN-11 y RN-34: provision hasta el cupo operativo antes de bajar del 8 %</t>
        </is>
      </c>
      <c r="K1333" t="inlineStr">
        <is>
          <t>Provision en la manana, antes del pagado: con el pronostico, sin provision el saldo bajaria del 8 % del cupo ese dia. Lleva el saldo de 148.467.207 a 411.000.000 COP (cupo 411.000.000). Equipo administrado por TDV.</t>
        </is>
      </c>
      <c r="L1333" s="26" t="n">
        <v>411000000</v>
      </c>
      <c r="M1333" s="26" t="n">
        <v>148467207</v>
      </c>
      <c r="N1333" s="27">
        <f>IF(ISNUMBER(M1333),M1333/L1333,"No aplica")</f>
        <v>0.3612340802919708</v>
      </c>
      <c r="O1333" s="25">
        <f>IF(G1333="provision",M1333+H1333,IF(G1333="recoleccion",M1333-H1333,"No aplica"))</f>
        <v>411000000</v>
      </c>
      <c r="P1333" s="26" t="n">
        <v>116458</v>
      </c>
    </row>
    <row r="1334">
      <c r="A1334" t="inlineStr">
        <is>
          <t>PRAGMA</t>
        </is>
      </c>
      <c r="B1334" t="inlineStr">
        <is>
          <t>M1</t>
        </is>
      </c>
      <c r="C1334" t="inlineStr">
        <is>
          <t>Cali</t>
        </is>
      </c>
      <c r="D1334" t="inlineStr">
        <is>
          <t>9671</t>
        </is>
      </c>
      <c r="E1334" t="inlineStr">
        <is>
          <t>TDV</t>
        </is>
      </c>
      <c r="F1334" s="23" t="n">
        <v>46268</v>
      </c>
      <c r="G1334" t="inlineStr">
        <is>
          <t>provision</t>
        </is>
      </c>
      <c r="H1334" s="26" t="n">
        <v>199547488</v>
      </c>
      <c r="I1334" t="inlineStr">
        <is>
          <t>bajo</t>
        </is>
      </c>
      <c r="J1334" t="inlineStr">
        <is>
          <t>RN-11 y RN-34: provision hasta el cupo operativo antes de bajar del 8 %</t>
        </is>
      </c>
      <c r="K1334" t="inlineStr">
        <is>
          <t>Provision en la manana, antes del pagado: con el pronostico, sin provision el saldo bajaria del 8 % del cupo ese dia. Lleva el saldo de 211.452.512 a 411.000.000 COP (cupo 411.000.000). Equipo administrado por TDV.</t>
        </is>
      </c>
      <c r="L1334" s="26" t="n">
        <v>411000000</v>
      </c>
      <c r="M1334" s="26" t="n">
        <v>211452512</v>
      </c>
      <c r="N1334" s="27">
        <f>IF(ISNUMBER(M1334),M1334/L1334,"No aplica")</f>
        <v>0.51448299756691</v>
      </c>
      <c r="O1334" s="25">
        <f>IF(G1334="provision",M1334+H1334,IF(G1334="recoleccion",M1334-H1334,"No aplica"))</f>
        <v>411000000</v>
      </c>
      <c r="P1334" s="26" t="n">
        <v>92776</v>
      </c>
    </row>
    <row r="1335">
      <c r="A1335" t="inlineStr">
        <is>
          <t>PRAGMA</t>
        </is>
      </c>
      <c r="B1335" t="inlineStr">
        <is>
          <t>M1</t>
        </is>
      </c>
      <c r="C1335" t="inlineStr">
        <is>
          <t>Cali</t>
        </is>
      </c>
      <c r="D1335" t="inlineStr">
        <is>
          <t>9671</t>
        </is>
      </c>
      <c r="E1335" t="inlineStr">
        <is>
          <t>TDV</t>
        </is>
      </c>
      <c r="F1335" s="23" t="n">
        <v>46269</v>
      </c>
      <c r="G1335" t="inlineStr">
        <is>
          <t>provision</t>
        </is>
      </c>
      <c r="H1335" s="26" t="n">
        <v>182811522</v>
      </c>
      <c r="I1335" t="inlineStr">
        <is>
          <t>bajo</t>
        </is>
      </c>
      <c r="J1335" t="inlineStr">
        <is>
          <t>RN-11 y RN-34: provision hasta el cupo operativo antes de bajar del 8 %</t>
        </is>
      </c>
      <c r="K1335" t="inlineStr">
        <is>
          <t>Provision en la manana, antes del pagado: con el pronostico, sin provision el saldo bajaria del 8 % del cupo ese dia. Lleva el saldo de 228.188.478 a 411.000.000 COP (cupo 411.000.000). Equipo administrado por TDV.</t>
        </is>
      </c>
      <c r="L1335" s="26" t="n">
        <v>411000000</v>
      </c>
      <c r="M1335" s="26" t="n">
        <v>228188478</v>
      </c>
      <c r="N1335" s="27">
        <f>IF(ISNUMBER(M1335),M1335/L1335,"No aplica")</f>
        <v>0.555203109489051</v>
      </c>
      <c r="O1335" s="25">
        <f>IF(G1335="provision",M1335+H1335,IF(G1335="recoleccion",M1335-H1335,"No aplica"))</f>
        <v>411000000</v>
      </c>
      <c r="P1335" s="26" t="n">
        <v>86483</v>
      </c>
    </row>
    <row r="1336">
      <c r="A1336" t="inlineStr">
        <is>
          <t>PRAGMA</t>
        </is>
      </c>
      <c r="B1336" t="inlineStr">
        <is>
          <t>M1</t>
        </is>
      </c>
      <c r="C1336" t="inlineStr">
        <is>
          <t>Cali</t>
        </is>
      </c>
      <c r="D1336" t="inlineStr">
        <is>
          <t>9671</t>
        </is>
      </c>
      <c r="E1336" t="inlineStr">
        <is>
          <t>TDV</t>
        </is>
      </c>
      <c r="F1336" s="23" t="n">
        <v>46270</v>
      </c>
      <c r="G1336" t="inlineStr">
        <is>
          <t>provision</t>
        </is>
      </c>
      <c r="H1336" s="26" t="n">
        <v>197829407</v>
      </c>
      <c r="I1336" t="inlineStr">
        <is>
          <t>bajo</t>
        </is>
      </c>
      <c r="J1336" t="inlineStr">
        <is>
          <t>RN-11 y RN-34: provision hasta el cupo operativo antes de bajar del 8 %</t>
        </is>
      </c>
      <c r="K1336" t="inlineStr">
        <is>
          <t>Provision en la manana, antes del pagado: con el pronostico, sin provision el saldo bajaria del 8 % del cupo ese dia. Lleva el saldo de 213.170.593 a 411.000.000 COP (cupo 411.000.000). Equipo administrado por TDV.</t>
        </is>
      </c>
      <c r="L1336" s="26" t="n">
        <v>411000000</v>
      </c>
      <c r="M1336" s="26" t="n">
        <v>213170593</v>
      </c>
      <c r="N1336" s="27">
        <f>IF(ISNUMBER(M1336),M1336/L1336,"No aplica")</f>
        <v>0.5186632433090025</v>
      </c>
      <c r="O1336" s="25">
        <f>IF(G1336="provision",M1336+H1336,IF(G1336="recoleccion",M1336-H1336,"No aplica"))</f>
        <v>411000000</v>
      </c>
      <c r="P1336" s="26" t="n">
        <v>92130</v>
      </c>
    </row>
    <row r="1337">
      <c r="A1337" t="inlineStr">
        <is>
          <t>PRAGMA</t>
        </is>
      </c>
      <c r="B1337" t="inlineStr">
        <is>
          <t>M1</t>
        </is>
      </c>
      <c r="C1337" t="inlineStr">
        <is>
          <t>Cali</t>
        </is>
      </c>
      <c r="D1337" t="inlineStr">
        <is>
          <t>9671</t>
        </is>
      </c>
      <c r="E1337" t="inlineStr">
        <is>
          <t>TDV</t>
        </is>
      </c>
      <c r="F1337" s="23" t="n">
        <v>46272</v>
      </c>
      <c r="G1337" t="inlineStr">
        <is>
          <t>provision</t>
        </is>
      </c>
      <c r="H1337" s="26" t="n">
        <v>372896856</v>
      </c>
      <c r="I1337" t="inlineStr">
        <is>
          <t>bajo</t>
        </is>
      </c>
      <c r="J1337" t="inlineStr">
        <is>
          <t>RN-11 y RN-34: provision hasta el cupo operativo antes de bajar del 8 %</t>
        </is>
      </c>
      <c r="K1337" t="inlineStr">
        <is>
          <t>Provision en la manana, antes del pagado: con el pronostico, sin provision el saldo bajaria del 8 % del cupo ese dia. Lleva el saldo de 38.103.144 a 411.000.000 COP (cupo 411.000.000). Equipo administrado por TDV.</t>
        </is>
      </c>
      <c r="L1337" s="26" t="n">
        <v>411000000</v>
      </c>
      <c r="M1337" s="26" t="n">
        <v>38103144</v>
      </c>
      <c r="N1337" s="27">
        <f>IF(ISNUMBER(M1337),M1337/L1337,"No aplica")</f>
        <v>0.0927083795620438</v>
      </c>
      <c r="O1337" s="25">
        <f>IF(G1337="provision",M1337+H1337,IF(G1337="recoleccion",M1337-H1337,"No aplica"))</f>
        <v>411000000</v>
      </c>
      <c r="P1337" s="26" t="n">
        <v>157955</v>
      </c>
    </row>
    <row r="1338">
      <c r="A1338" t="inlineStr">
        <is>
          <t>PRAGMA</t>
        </is>
      </c>
      <c r="B1338" t="inlineStr">
        <is>
          <t>M1</t>
        </is>
      </c>
      <c r="C1338" t="inlineStr">
        <is>
          <t>Cali</t>
        </is>
      </c>
      <c r="D1338" t="inlineStr">
        <is>
          <t>9671</t>
        </is>
      </c>
      <c r="E1338" t="inlineStr">
        <is>
          <t>TDV</t>
        </is>
      </c>
      <c r="F1338" s="23" t="n">
        <v>46274</v>
      </c>
      <c r="G1338" t="inlineStr">
        <is>
          <t>provision</t>
        </is>
      </c>
      <c r="H1338" s="26" t="n">
        <v>302838771</v>
      </c>
      <c r="I1338" t="inlineStr">
        <is>
          <t>bajo</t>
        </is>
      </c>
      <c r="J1338" t="inlineStr">
        <is>
          <t>RN-11 y RN-34: provision hasta el cupo operativo antes de bajar del 8 %</t>
        </is>
      </c>
      <c r="K1338" t="inlineStr">
        <is>
          <t>Provision en la manana, antes del pagado: con el pronostico, sin provision el saldo bajaria del 8 % del cupo ese dia. Lleva el saldo de 108.161.229 a 411.000.000 COP (cupo 411.000.000). Equipo administrado por TDV.</t>
        </is>
      </c>
      <c r="L1338" s="26" t="n">
        <v>411000000</v>
      </c>
      <c r="M1338" s="26" t="n">
        <v>108161229</v>
      </c>
      <c r="N1338" s="27">
        <f>IF(ISNUMBER(M1338),M1338/L1338,"No aplica")</f>
        <v>0.2631660072992701</v>
      </c>
      <c r="O1338" s="25">
        <f>IF(G1338="provision",M1338+H1338,IF(G1338="recoleccion",M1338-H1338,"No aplica"))</f>
        <v>411000000</v>
      </c>
      <c r="P1338" s="26" t="n">
        <v>131613</v>
      </c>
    </row>
    <row r="1339">
      <c r="A1339" t="inlineStr">
        <is>
          <t>PRAGMA</t>
        </is>
      </c>
      <c r="B1339" t="inlineStr">
        <is>
          <t>M1</t>
        </is>
      </c>
      <c r="C1339" t="inlineStr">
        <is>
          <t>Cali</t>
        </is>
      </c>
      <c r="D1339" t="inlineStr">
        <is>
          <t>9671</t>
        </is>
      </c>
      <c r="E1339" t="inlineStr">
        <is>
          <t>TDV</t>
        </is>
      </c>
      <c r="F1339" s="23" t="n">
        <v>46276</v>
      </c>
      <c r="G1339" t="inlineStr">
        <is>
          <t>provision</t>
        </is>
      </c>
      <c r="H1339" s="26" t="n">
        <v>266636001</v>
      </c>
      <c r="I1339" t="inlineStr">
        <is>
          <t>bajo</t>
        </is>
      </c>
      <c r="J1339" t="inlineStr">
        <is>
          <t>RN-11 y RN-34: provision hasta el cupo operativo antes de bajar del 8 %</t>
        </is>
      </c>
      <c r="K1339" t="inlineStr">
        <is>
          <t>Provision en la manana, antes del pagado: con el pronostico, sin provision el saldo bajaria del 8 % del cupo ese dia. Lleva el saldo de 144.363.999 a 411.000.000 COP (cupo 411.000.000). Equipo administrado por TDV.</t>
        </is>
      </c>
      <c r="L1339" s="26" t="n">
        <v>411000000</v>
      </c>
      <c r="M1339" s="26" t="n">
        <v>144363999</v>
      </c>
      <c r="N1339" s="27">
        <f>IF(ISNUMBER(M1339),M1339/L1339,"No aplica")</f>
        <v>0.3512506058394161</v>
      </c>
      <c r="O1339" s="25">
        <f>IF(G1339="provision",M1339+H1339,IF(G1339="recoleccion",M1339-H1339,"No aplica"))</f>
        <v>411000000</v>
      </c>
      <c r="P1339" s="26" t="n">
        <v>118001</v>
      </c>
    </row>
    <row r="1340">
      <c r="A1340" t="inlineStr">
        <is>
          <t>PRAGMA</t>
        </is>
      </c>
      <c r="B1340" t="inlineStr">
        <is>
          <t>M1</t>
        </is>
      </c>
      <c r="C1340" t="inlineStr">
        <is>
          <t>Cali</t>
        </is>
      </c>
      <c r="D1340" t="inlineStr">
        <is>
          <t>9671</t>
        </is>
      </c>
      <c r="E1340" t="inlineStr">
        <is>
          <t>TDV</t>
        </is>
      </c>
      <c r="F1340" s="23" t="n">
        <v>46278</v>
      </c>
      <c r="G1340" t="inlineStr">
        <is>
          <t>provision</t>
        </is>
      </c>
      <c r="H1340" s="26" t="n">
        <v>324806655</v>
      </c>
      <c r="I1340" t="inlineStr">
        <is>
          <t>bajo</t>
        </is>
      </c>
      <c r="J1340" t="inlineStr">
        <is>
          <t>RN-11 y RN-34: provision hasta el cupo operativo antes de bajar del 8 %</t>
        </is>
      </c>
      <c r="K1340" t="inlineStr">
        <is>
          <t>Provision en la manana, antes del pagado: con el pronostico, sin provision el saldo bajaria del 8 % del cupo ese dia. Lleva el saldo de 86.193.345 a 411.000.000 COP (cupo 411.000.000). Equipo administrado por TDV.</t>
        </is>
      </c>
      <c r="L1340" s="26" t="n">
        <v>411000000</v>
      </c>
      <c r="M1340" s="26" t="n">
        <v>86193345</v>
      </c>
      <c r="N1340" s="27">
        <f>IF(ISNUMBER(M1340),M1340/L1340,"No aplica")</f>
        <v>0.20971616788321168</v>
      </c>
      <c r="O1340" s="25">
        <f>IF(G1340="provision",M1340+H1340,IF(G1340="recoleccion",M1340-H1340,"No aplica"))</f>
        <v>411000000</v>
      </c>
      <c r="P1340" s="26" t="n">
        <v>186123</v>
      </c>
    </row>
    <row r="1341">
      <c r="A1341" t="inlineStr">
        <is>
          <t>PRAGMA</t>
        </is>
      </c>
      <c r="B1341" t="inlineStr">
        <is>
          <t>M1</t>
        </is>
      </c>
      <c r="C1341" t="inlineStr">
        <is>
          <t>Cali</t>
        </is>
      </c>
      <c r="D1341" t="inlineStr">
        <is>
          <t>9671</t>
        </is>
      </c>
      <c r="E1341" t="inlineStr">
        <is>
          <t>TDV</t>
        </is>
      </c>
      <c r="F1341" s="23" t="n">
        <v>46280</v>
      </c>
      <c r="G1341" t="inlineStr">
        <is>
          <t>provision</t>
        </is>
      </c>
      <c r="H1341" s="26" t="n">
        <v>251691038</v>
      </c>
      <c r="I1341" t="inlineStr">
        <is>
          <t>bajo</t>
        </is>
      </c>
      <c r="J1341" t="inlineStr">
        <is>
          <t>RN-11 y RN-34: provision hasta el cupo operativo antes de bajar del 8 %</t>
        </is>
      </c>
      <c r="K1341" t="inlineStr">
        <is>
          <t>Provision en la manana, antes del pagado: con el pronostico, sin provision el saldo bajaria del 8 % del cupo ese dia. Lleva el saldo de 159.308.962 a 411.000.000 COP (cupo 411.000.000). Equipo administrado por TDV.</t>
        </is>
      </c>
      <c r="L1341" s="26" t="n">
        <v>411000000</v>
      </c>
      <c r="M1341" s="26" t="n">
        <v>159308962</v>
      </c>
      <c r="N1341" s="27">
        <f>IF(ISNUMBER(M1341),M1341/L1341,"No aplica")</f>
        <v>0.38761304622871046</v>
      </c>
      <c r="O1341" s="25">
        <f>IF(G1341="provision",M1341+H1341,IF(G1341="recoleccion",M1341-H1341,"No aplica"))</f>
        <v>411000000</v>
      </c>
      <c r="P1341" s="26" t="n">
        <v>112382</v>
      </c>
    </row>
    <row r="1342">
      <c r="A1342" t="inlineStr">
        <is>
          <t>PRAGMA</t>
        </is>
      </c>
      <c r="B1342" t="inlineStr">
        <is>
          <t>M1</t>
        </is>
      </c>
      <c r="C1342" t="inlineStr">
        <is>
          <t>Ipiales</t>
        </is>
      </c>
      <c r="D1342" t="inlineStr">
        <is>
          <t>974</t>
        </is>
      </c>
      <c r="E1342" t="inlineStr">
        <is>
          <t>TDV</t>
        </is>
      </c>
      <c r="F1342" s="23" t="n">
        <v>46268</v>
      </c>
      <c r="G1342" t="inlineStr">
        <is>
          <t>provision</t>
        </is>
      </c>
      <c r="H1342" s="26" t="n">
        <v>286605494</v>
      </c>
      <c r="I1342" t="inlineStr">
        <is>
          <t>bajo</t>
        </is>
      </c>
      <c r="J1342" t="inlineStr">
        <is>
          <t>RN-11 y RN-34: provision hasta el cupo operativo antes de bajar del 8 %</t>
        </is>
      </c>
      <c r="K1342" t="inlineStr">
        <is>
          <t>Provision en la manana, antes del pagado: con el pronostico, sin provision el saldo bajaria del 8 % del cupo ese dia. Lleva el saldo de 124.394.506 a 411.000.000 COP (cupo 411.000.000). Equipo administrado por TDV.</t>
        </is>
      </c>
      <c r="L1342" s="26" t="n">
        <v>411000000</v>
      </c>
      <c r="M1342" s="26" t="n">
        <v>124394506</v>
      </c>
      <c r="N1342" s="27">
        <f>IF(ISNUMBER(M1342),M1342/L1342,"No aplica")</f>
        <v>0.30266303163017033</v>
      </c>
      <c r="O1342" s="25">
        <f>IF(G1342="provision",M1342+H1342,IF(G1342="recoleccion",M1342-H1342,"No aplica"))</f>
        <v>411000000</v>
      </c>
      <c r="P1342" s="26" t="n">
        <v>107050</v>
      </c>
    </row>
    <row r="1343">
      <c r="A1343" t="inlineStr">
        <is>
          <t>PRAGMA</t>
        </is>
      </c>
      <c r="B1343" t="inlineStr">
        <is>
          <t>M1</t>
        </is>
      </c>
      <c r="C1343" t="inlineStr">
        <is>
          <t>Ipiales</t>
        </is>
      </c>
      <c r="D1343" t="inlineStr">
        <is>
          <t>974</t>
        </is>
      </c>
      <c r="E1343" t="inlineStr">
        <is>
          <t>TDV</t>
        </is>
      </c>
      <c r="F1343" s="23" t="n">
        <v>46270</v>
      </c>
      <c r="G1343" t="inlineStr">
        <is>
          <t>provision</t>
        </is>
      </c>
      <c r="H1343" s="26" t="n">
        <v>239645861</v>
      </c>
      <c r="I1343" t="inlineStr">
        <is>
          <t>bajo</t>
        </is>
      </c>
      <c r="J1343" t="inlineStr">
        <is>
          <t>RN-11 y RN-34: provision hasta el cupo operativo antes de bajar del 8 %</t>
        </is>
      </c>
      <c r="K1343" t="inlineStr">
        <is>
          <t>Provision en la manana, antes del pagado: con el pronostico, sin provision el saldo bajaria del 8 % del cupo ese dia. Lleva el saldo de 171.354.139 a 411.000.000 COP (cupo 411.000.000). Equipo administrado por TDV.</t>
        </is>
      </c>
      <c r="L1343" s="26" t="n">
        <v>411000000</v>
      </c>
      <c r="M1343" s="26" t="n">
        <v>171354139</v>
      </c>
      <c r="N1343" s="27">
        <f>IF(ISNUMBER(M1343),M1343/L1343,"No aplica")</f>
        <v>0.4169200462287105</v>
      </c>
      <c r="O1343" s="25">
        <f>IF(G1343="provision",M1343+H1343,IF(G1343="recoleccion",M1343-H1343,"No aplica"))</f>
        <v>411000000</v>
      </c>
      <c r="P1343" s="26" t="n">
        <v>92351</v>
      </c>
    </row>
    <row r="1344">
      <c r="A1344" t="inlineStr">
        <is>
          <t>PRAGMA</t>
        </is>
      </c>
      <c r="B1344" t="inlineStr">
        <is>
          <t>M1</t>
        </is>
      </c>
      <c r="C1344" t="inlineStr">
        <is>
          <t>Ipiales</t>
        </is>
      </c>
      <c r="D1344" t="inlineStr">
        <is>
          <t>974</t>
        </is>
      </c>
      <c r="E1344" t="inlineStr">
        <is>
          <t>TDV</t>
        </is>
      </c>
      <c r="F1344" s="23" t="n">
        <v>46273</v>
      </c>
      <c r="G1344" t="inlineStr">
        <is>
          <t>provision</t>
        </is>
      </c>
      <c r="H1344" s="26" t="n">
        <v>358948257</v>
      </c>
      <c r="I1344" t="inlineStr">
        <is>
          <t>bajo</t>
        </is>
      </c>
      <c r="J1344" t="inlineStr">
        <is>
          <t>RN-11 y RN-34: provision hasta el cupo operativo antes de bajar del 8 %</t>
        </is>
      </c>
      <c r="K1344" t="inlineStr">
        <is>
          <t>Provision en la manana, antes del pagado: con el pronostico, sin provision el saldo bajaria del 8 % del cupo ese dia. Lleva el saldo de 52.051.743 a 411.000.000 COP (cupo 411.000.000). Equipo administrado por TDV.</t>
        </is>
      </c>
      <c r="L1344" s="26" t="n">
        <v>411000000</v>
      </c>
      <c r="M1344" s="26" t="n">
        <v>52051743</v>
      </c>
      <c r="N1344" s="27">
        <f>IF(ISNUMBER(M1344),M1344/L1344,"No aplica")</f>
        <v>0.12664657664233578</v>
      </c>
      <c r="O1344" s="25">
        <f>IF(G1344="provision",M1344+H1344,IF(G1344="recoleccion",M1344-H1344,"No aplica"))</f>
        <v>411000000</v>
      </c>
      <c r="P1344" s="26" t="n">
        <v>129693</v>
      </c>
    </row>
    <row r="1345">
      <c r="A1345" t="inlineStr">
        <is>
          <t>PRAGMA</t>
        </is>
      </c>
      <c r="B1345" t="inlineStr">
        <is>
          <t>M1</t>
        </is>
      </c>
      <c r="C1345" t="inlineStr">
        <is>
          <t>Ipiales</t>
        </is>
      </c>
      <c r="D1345" t="inlineStr">
        <is>
          <t>974</t>
        </is>
      </c>
      <c r="E1345" t="inlineStr">
        <is>
          <t>TDV</t>
        </is>
      </c>
      <c r="F1345" s="23" t="n">
        <v>46276</v>
      </c>
      <c r="G1345" t="inlineStr">
        <is>
          <t>provision</t>
        </is>
      </c>
      <c r="H1345" s="26" t="n">
        <v>294774037</v>
      </c>
      <c r="I1345" t="inlineStr">
        <is>
          <t>bajo</t>
        </is>
      </c>
      <c r="J1345" t="inlineStr">
        <is>
          <t>RN-11 y RN-34: provision hasta el cupo operativo antes de bajar del 8 %</t>
        </is>
      </c>
      <c r="K1345" t="inlineStr">
        <is>
          <t>Provision en la manana, antes del pagado: con el pronostico, sin provision el saldo bajaria del 8 % del cupo ese dia. Lleva el saldo de 116.225.963 a 411.000.000 COP (cupo 411.000.000). Equipo administrado por TDV.</t>
        </is>
      </c>
      <c r="L1345" s="26" t="n">
        <v>411000000</v>
      </c>
      <c r="M1345" s="26" t="n">
        <v>116225963</v>
      </c>
      <c r="N1345" s="27">
        <f>IF(ISNUMBER(M1345),M1345/L1345,"No aplica")</f>
        <v>0.28278823114355234</v>
      </c>
      <c r="O1345" s="25">
        <f>IF(G1345="provision",M1345+H1345,IF(G1345="recoleccion",M1345-H1345,"No aplica"))</f>
        <v>411000000</v>
      </c>
      <c r="P1345" s="26" t="n">
        <v>109606</v>
      </c>
    </row>
    <row r="1346">
      <c r="A1346" t="inlineStr">
        <is>
          <t>PRAGMA</t>
        </is>
      </c>
      <c r="B1346" t="inlineStr">
        <is>
          <t>M1</t>
        </is>
      </c>
      <c r="C1346" t="inlineStr">
        <is>
          <t>Ipiales</t>
        </is>
      </c>
      <c r="D1346" t="inlineStr">
        <is>
          <t>974</t>
        </is>
      </c>
      <c r="E1346" t="inlineStr">
        <is>
          <t>TDV</t>
        </is>
      </c>
      <c r="F1346" s="23" t="n">
        <v>46279</v>
      </c>
      <c r="G1346" t="inlineStr">
        <is>
          <t>provision</t>
        </is>
      </c>
      <c r="H1346" s="26" t="n">
        <v>289814470</v>
      </c>
      <c r="I1346" t="inlineStr">
        <is>
          <t>bajo</t>
        </is>
      </c>
      <c r="J1346" t="inlineStr">
        <is>
          <t>RN-11 y RN-34: provision hasta el cupo operativo antes de bajar del 8 %</t>
        </is>
      </c>
      <c r="K1346" t="inlineStr">
        <is>
          <t>Provision en la manana, antes del pagado: con el pronostico, sin provision el saldo bajaria del 8 % del cupo ese dia. Lleva el saldo de 121.185.530 a 411.000.000 COP (cupo 411.000.000). Equipo administrado por TDV.</t>
        </is>
      </c>
      <c r="L1346" s="26" t="n">
        <v>411000000</v>
      </c>
      <c r="M1346" s="26" t="n">
        <v>121185530</v>
      </c>
      <c r="N1346" s="27">
        <f>IF(ISNUMBER(M1346),M1346/L1346,"No aplica")</f>
        <v>0.29485530413625305</v>
      </c>
      <c r="O1346" s="25">
        <f>IF(G1346="provision",M1346+H1346,IF(G1346="recoleccion",M1346-H1346,"No aplica"))</f>
        <v>411000000</v>
      </c>
      <c r="P1346" s="26" t="n">
        <v>108054</v>
      </c>
    </row>
    <row r="1347">
      <c r="A1347" t="inlineStr">
        <is>
          <t>PRAGMA</t>
        </is>
      </c>
      <c r="B1347" t="inlineStr">
        <is>
          <t>M1</t>
        </is>
      </c>
      <c r="C1347" t="inlineStr">
        <is>
          <t>Cali</t>
        </is>
      </c>
      <c r="D1347" t="inlineStr">
        <is>
          <t>9799</t>
        </is>
      </c>
      <c r="E1347" t="inlineStr">
        <is>
          <t>TDV</t>
        </is>
      </c>
      <c r="F1347" s="23" t="n">
        <v>46271</v>
      </c>
      <c r="G1347" t="inlineStr">
        <is>
          <t>provision</t>
        </is>
      </c>
      <c r="H1347" s="26" t="n">
        <v>451811116</v>
      </c>
      <c r="I1347" t="inlineStr">
        <is>
          <t>bajo</t>
        </is>
      </c>
      <c r="J1347" t="inlineStr">
        <is>
          <t>RN-11 y RN-34: provision hasta el cupo operativo antes de bajar del 8 %</t>
        </is>
      </c>
      <c r="K1347" t="inlineStr">
        <is>
          <t>Provision en la manana, antes del pagado: con el pronostico, sin provision el saldo bajaria del 8 % del cupo ese dia. Lleva el saldo de 48.188.884 a 500.000.000 COP (cupo 500.000.000). Equipo administrado por TDV.</t>
        </is>
      </c>
      <c r="L1347" s="26" t="n">
        <v>500000000</v>
      </c>
      <c r="M1347" s="26" t="n">
        <v>48188884</v>
      </c>
      <c r="N1347" s="27">
        <f>IF(ISNUMBER(M1347),M1347/L1347,"No aplica")</f>
        <v>0.096377768</v>
      </c>
      <c r="O1347" s="25">
        <f>IF(G1347="provision",M1347+H1347,IF(G1347="recoleccion",M1347-H1347,"No aplica"))</f>
        <v>500000000</v>
      </c>
      <c r="P1347" s="26" t="n">
        <v>258057</v>
      </c>
    </row>
    <row r="1348">
      <c r="A1348" t="inlineStr">
        <is>
          <t>PRAGMA</t>
        </is>
      </c>
      <c r="B1348" t="inlineStr">
        <is>
          <t>M1</t>
        </is>
      </c>
      <c r="C1348" t="inlineStr">
        <is>
          <t>Cali</t>
        </is>
      </c>
      <c r="D1348" t="inlineStr">
        <is>
          <t>9799</t>
        </is>
      </c>
      <c r="E1348" t="inlineStr">
        <is>
          <t>TDV</t>
        </is>
      </c>
      <c r="F1348" s="23" t="n">
        <v>46278</v>
      </c>
      <c r="G1348" t="inlineStr">
        <is>
          <t>provision</t>
        </is>
      </c>
      <c r="H1348" s="26" t="n">
        <v>442965627</v>
      </c>
      <c r="I1348" t="inlineStr">
        <is>
          <t>bajo</t>
        </is>
      </c>
      <c r="J1348" t="inlineStr">
        <is>
          <t>RN-11 y RN-34: provision hasta el cupo operativo antes de bajar del 8 %</t>
        </is>
      </c>
      <c r="K1348" t="inlineStr">
        <is>
          <t>Provision en la manana, antes del pagado: con el pronostico, sin provision el saldo bajaria del 8 % del cupo ese dia. Lleva el saldo de 57.034.373 a 500.000.000 COP (cupo 500.000.000). Equipo administrado por TDV.</t>
        </is>
      </c>
      <c r="L1348" s="26" t="n">
        <v>500000000</v>
      </c>
      <c r="M1348" s="26" t="n">
        <v>57034373</v>
      </c>
      <c r="N1348" s="27">
        <f>IF(ISNUMBER(M1348),M1348/L1348,"No aplica")</f>
        <v>0.114068746</v>
      </c>
      <c r="O1348" s="25">
        <f>IF(G1348="provision",M1348+H1348,IF(G1348="recoleccion",M1348-H1348,"No aplica"))</f>
        <v>500000000</v>
      </c>
      <c r="P1348" s="26" t="n">
        <v>253501</v>
      </c>
    </row>
    <row r="1349">
      <c r="A1349" t="inlineStr">
        <is>
          <t>PRAGMA</t>
        </is>
      </c>
      <c r="B1349" t="inlineStr">
        <is>
          <t>M1</t>
        </is>
      </c>
      <c r="C1349" t="inlineStr">
        <is>
          <t>Cali</t>
        </is>
      </c>
      <c r="D1349" t="inlineStr">
        <is>
          <t>9803</t>
        </is>
      </c>
      <c r="E1349" t="inlineStr">
        <is>
          <t>TDV</t>
        </is>
      </c>
      <c r="F1349" s="23" t="n">
        <v>46268</v>
      </c>
      <c r="G1349" t="inlineStr">
        <is>
          <t>provision</t>
        </is>
      </c>
      <c r="H1349" s="26" t="n">
        <v>288018277</v>
      </c>
      <c r="I1349" t="inlineStr">
        <is>
          <t>bajo</t>
        </is>
      </c>
      <c r="J1349" t="inlineStr">
        <is>
          <t>RN-11 y RN-34: provision hasta el cupo operativo antes de bajar del 8 %</t>
        </is>
      </c>
      <c r="K1349" t="inlineStr">
        <is>
          <t>Provision en la manana, antes del pagado: con el pronostico, sin provision el saldo bajaria del 8 % del cupo ese dia. Lleva el saldo de 122.981.723 a 411.000.000 COP (cupo 411.000.000). Equipo administrado por TDV.</t>
        </is>
      </c>
      <c r="L1349" s="26" t="n">
        <v>411000000</v>
      </c>
      <c r="M1349" s="26" t="n">
        <v>122981723</v>
      </c>
      <c r="N1349" s="27">
        <f>IF(ISNUMBER(M1349),M1349/L1349,"No aplica")</f>
        <v>0.29922560340632604</v>
      </c>
      <c r="O1349" s="25">
        <f>IF(G1349="provision",M1349+H1349,IF(G1349="recoleccion",M1349-H1349,"No aplica"))</f>
        <v>411000000</v>
      </c>
      <c r="P1349" s="26" t="n">
        <v>148470</v>
      </c>
    </row>
    <row r="1350">
      <c r="A1350" t="inlineStr">
        <is>
          <t>PRAGMA</t>
        </is>
      </c>
      <c r="B1350" t="inlineStr">
        <is>
          <t>M1</t>
        </is>
      </c>
      <c r="C1350" t="inlineStr">
        <is>
          <t>Cali</t>
        </is>
      </c>
      <c r="D1350" t="inlineStr">
        <is>
          <t>9803</t>
        </is>
      </c>
      <c r="E1350" t="inlineStr">
        <is>
          <t>TDV</t>
        </is>
      </c>
      <c r="F1350" s="23" t="n">
        <v>46271</v>
      </c>
      <c r="G1350" t="inlineStr">
        <is>
          <t>provision</t>
        </is>
      </c>
      <c r="H1350" s="26" t="n">
        <v>358158084</v>
      </c>
      <c r="I1350" t="inlineStr">
        <is>
          <t>bajo</t>
        </is>
      </c>
      <c r="J1350" t="inlineStr">
        <is>
          <t>RN-11 y RN-34: provision hasta el cupo operativo antes de bajar del 8 %</t>
        </is>
      </c>
      <c r="K1350" t="inlineStr">
        <is>
          <t>Provision en la manana, antes del pagado: con el pronostico, sin provision el saldo bajaria del 8 % del cupo ese dia. Lleva el saldo de 52.841.916 a 411.000.000 COP (cupo 411.000.000). Equipo administrado por TDV.</t>
        </is>
      </c>
      <c r="L1350" s="26" t="n">
        <v>411000000</v>
      </c>
      <c r="M1350" s="26" t="n">
        <v>52841916</v>
      </c>
      <c r="N1350" s="27">
        <f>IF(ISNUMBER(M1350),M1350/L1350,"No aplica")</f>
        <v>0.12856913868613137</v>
      </c>
      <c r="O1350" s="25">
        <f>IF(G1350="provision",M1350+H1350,IF(G1350="recoleccion",M1350-H1350,"No aplica"))</f>
        <v>411000000</v>
      </c>
      <c r="P1350" s="26" t="n">
        <v>233965</v>
      </c>
    </row>
    <row r="1351">
      <c r="A1351" t="inlineStr">
        <is>
          <t>PRAGMA</t>
        </is>
      </c>
      <c r="B1351" t="inlineStr">
        <is>
          <t>M1</t>
        </is>
      </c>
      <c r="C1351" t="inlineStr">
        <is>
          <t>Cali</t>
        </is>
      </c>
      <c r="D1351" t="inlineStr">
        <is>
          <t>9803</t>
        </is>
      </c>
      <c r="E1351" t="inlineStr">
        <is>
          <t>TDV</t>
        </is>
      </c>
      <c r="F1351" s="23" t="n">
        <v>46275</v>
      </c>
      <c r="G1351" t="inlineStr">
        <is>
          <t>provision</t>
        </is>
      </c>
      <c r="H1351" s="26" t="n">
        <v>343108777</v>
      </c>
      <c r="I1351" t="inlineStr">
        <is>
          <t>bajo</t>
        </is>
      </c>
      <c r="J1351" t="inlineStr">
        <is>
          <t>RN-11 y RN-34: provision hasta el cupo operativo antes de bajar del 8 %</t>
        </is>
      </c>
      <c r="K1351" t="inlineStr">
        <is>
          <t>Provision en la manana, antes del pagado: con el pronostico, sin provision el saldo bajaria del 8 % del cupo ese dia. Lleva el saldo de 67.891.223 a 411.000.000 COP (cupo 411.000.000). Equipo administrado por TDV.</t>
        </is>
      </c>
      <c r="L1351" s="26" t="n">
        <v>411000000</v>
      </c>
      <c r="M1351" s="26" t="n">
        <v>67891223</v>
      </c>
      <c r="N1351" s="27">
        <f>IF(ISNUMBER(M1351),M1351/L1351,"No aplica")</f>
        <v>0.16518545742092458</v>
      </c>
      <c r="O1351" s="25">
        <f>IF(G1351="provision",M1351+H1351,IF(G1351="recoleccion",M1351-H1351,"No aplica"))</f>
        <v>411000000</v>
      </c>
      <c r="P1351" s="26" t="n">
        <v>173371</v>
      </c>
    </row>
    <row r="1352">
      <c r="A1352" t="inlineStr">
        <is>
          <t>PRAGMA</t>
        </is>
      </c>
      <c r="B1352" t="inlineStr">
        <is>
          <t>M1</t>
        </is>
      </c>
      <c r="C1352" t="inlineStr">
        <is>
          <t>Cali</t>
        </is>
      </c>
      <c r="D1352" t="inlineStr">
        <is>
          <t>9803</t>
        </is>
      </c>
      <c r="E1352" t="inlineStr">
        <is>
          <t>TDV</t>
        </is>
      </c>
      <c r="F1352" s="23" t="n">
        <v>46279</v>
      </c>
      <c r="G1352" t="inlineStr">
        <is>
          <t>provision</t>
        </is>
      </c>
      <c r="H1352" s="26" t="n">
        <v>334317229</v>
      </c>
      <c r="I1352" t="inlineStr">
        <is>
          <t>bajo</t>
        </is>
      </c>
      <c r="J1352" t="inlineStr">
        <is>
          <t>RN-11 y RN-34: provision hasta el cupo operativo antes de bajar del 8 %</t>
        </is>
      </c>
      <c r="K1352" t="inlineStr">
        <is>
          <t>Provision en la manana, antes del pagado: con el pronostico, sin provision el saldo bajaria del 8 % del cupo ese dia. Lleva el saldo de 76.682.771 a 411.000.000 COP (cupo 411.000.000). Equipo administrado por TDV.</t>
        </is>
      </c>
      <c r="L1352" s="26" t="n">
        <v>411000000</v>
      </c>
      <c r="M1352" s="26" t="n">
        <v>76682771</v>
      </c>
      <c r="N1352" s="27">
        <f>IF(ISNUMBER(M1352),M1352/L1352,"No aplica")</f>
        <v>0.18657608515815086</v>
      </c>
      <c r="O1352" s="25">
        <f>IF(G1352="provision",M1352+H1352,IF(G1352="recoleccion",M1352-H1352,"No aplica"))</f>
        <v>411000000</v>
      </c>
      <c r="P1352" s="26" t="n">
        <v>169397</v>
      </c>
    </row>
    <row r="1353">
      <c r="A1353" t="inlineStr">
        <is>
          <t>PRAGMA</t>
        </is>
      </c>
      <c r="B1353" t="inlineStr">
        <is>
          <t>M1</t>
        </is>
      </c>
      <c r="C1353" t="inlineStr">
        <is>
          <t>Cali</t>
        </is>
      </c>
      <c r="D1353" t="inlineStr">
        <is>
          <t>9858</t>
        </is>
      </c>
      <c r="E1353" t="inlineStr">
        <is>
          <t>TDV</t>
        </is>
      </c>
      <c r="F1353" s="23" t="n">
        <v>46269</v>
      </c>
      <c r="G1353" t="inlineStr">
        <is>
          <t>provision</t>
        </is>
      </c>
      <c r="H1353" s="26" t="n">
        <v>330747835</v>
      </c>
      <c r="I1353" t="inlineStr">
        <is>
          <t>bajo</t>
        </is>
      </c>
      <c r="J1353" t="inlineStr">
        <is>
          <t>RN-11 y RN-34: provision hasta el cupo operativo antes de bajar del 8 %</t>
        </is>
      </c>
      <c r="K1353" t="inlineStr">
        <is>
          <t>Provision en la manana, antes del pagado: con el pronostico, sin provision el saldo bajaria del 8 % del cupo ese dia. Lleva el saldo de 74.252.165 a 405.000.000 COP (cupo 405.000.000). Equipo administrado por TDV.</t>
        </is>
      </c>
      <c r="L1353" s="26" t="n">
        <v>405000000</v>
      </c>
      <c r="M1353" s="26" t="n">
        <v>74252165</v>
      </c>
      <c r="N1353" s="27">
        <f>IF(ISNUMBER(M1353),M1353/L1353,"No aplica")</f>
        <v>0.18333867901234568</v>
      </c>
      <c r="O1353" s="25">
        <f>IF(G1353="provision",M1353+H1353,IF(G1353="recoleccion",M1353-H1353,"No aplica"))</f>
        <v>405000000</v>
      </c>
      <c r="P1353" s="26" t="n">
        <v>164971</v>
      </c>
    </row>
    <row r="1354">
      <c r="A1354" t="inlineStr">
        <is>
          <t>PRAGMA</t>
        </is>
      </c>
      <c r="B1354" t="inlineStr">
        <is>
          <t>M1</t>
        </is>
      </c>
      <c r="C1354" t="inlineStr">
        <is>
          <t>Cali</t>
        </is>
      </c>
      <c r="D1354" t="inlineStr">
        <is>
          <t>9858</t>
        </is>
      </c>
      <c r="E1354" t="inlineStr">
        <is>
          <t>TDV</t>
        </is>
      </c>
      <c r="F1354" s="23" t="n">
        <v>46274</v>
      </c>
      <c r="G1354" t="inlineStr">
        <is>
          <t>provision</t>
        </is>
      </c>
      <c r="H1354" s="26" t="n">
        <v>346041870</v>
      </c>
      <c r="I1354" t="inlineStr">
        <is>
          <t>bajo</t>
        </is>
      </c>
      <c r="J1354" t="inlineStr">
        <is>
          <t>RN-11 y RN-34: provision hasta el cupo operativo antes de bajar del 8 %</t>
        </is>
      </c>
      <c r="K1354" t="inlineStr">
        <is>
          <t>Provision en la manana, antes del pagado: con el pronostico, sin provision el saldo bajaria del 8 % del cupo ese dia. Lleva el saldo de 58.958.130 a 405.000.000 COP (cupo 405.000.000). Equipo administrado por TDV.</t>
        </is>
      </c>
      <c r="L1354" s="26" t="n">
        <v>405000000</v>
      </c>
      <c r="M1354" s="26" t="n">
        <v>58958130</v>
      </c>
      <c r="N1354" s="27">
        <f>IF(ISNUMBER(M1354),M1354/L1354,"No aplica")</f>
        <v>0.14557562962962964</v>
      </c>
      <c r="O1354" s="25">
        <f>IF(G1354="provision",M1354+H1354,IF(G1354="recoleccion",M1354-H1354,"No aplica"))</f>
        <v>405000000</v>
      </c>
      <c r="P1354" s="26" t="n">
        <v>171731</v>
      </c>
    </row>
    <row r="1355">
      <c r="A1355" t="inlineStr">
        <is>
          <t>PRAGMA</t>
        </is>
      </c>
      <c r="B1355" t="inlineStr">
        <is>
          <t>M1</t>
        </is>
      </c>
      <c r="C1355" t="inlineStr">
        <is>
          <t>Cali</t>
        </is>
      </c>
      <c r="D1355" t="inlineStr">
        <is>
          <t>9858</t>
        </is>
      </c>
      <c r="E1355" t="inlineStr">
        <is>
          <t>TDV</t>
        </is>
      </c>
      <c r="F1355" s="23" t="n">
        <v>46280</v>
      </c>
      <c r="G1355" t="inlineStr">
        <is>
          <t>provision</t>
        </is>
      </c>
      <c r="H1355" s="26" t="n">
        <v>365879023</v>
      </c>
      <c r="I1355" t="inlineStr">
        <is>
          <t>bajo</t>
        </is>
      </c>
      <c r="J1355" t="inlineStr">
        <is>
          <t>RN-11 y RN-34: provision hasta el cupo operativo antes de bajar del 8 %</t>
        </is>
      </c>
      <c r="K1355" t="inlineStr">
        <is>
          <t>Provision en la manana, antes del pagado: con el pronostico, sin provision el saldo bajaria del 8 % del cupo ese dia. Lleva el saldo de 39.120.977 a 405.000.000 COP (cupo 405.000.000). Equipo administrado por TDV.</t>
        </is>
      </c>
      <c r="L1355" s="26" t="n">
        <v>405000000</v>
      </c>
      <c r="M1355" s="26" t="n">
        <v>39120977</v>
      </c>
      <c r="N1355" s="27">
        <f>IF(ISNUMBER(M1355),M1355/L1355,"No aplica")</f>
        <v>0.09659500493827161</v>
      </c>
      <c r="O1355" s="25">
        <f>IF(G1355="provision",M1355+H1355,IF(G1355="recoleccion",M1355-H1355,"No aplica"))</f>
        <v>405000000</v>
      </c>
      <c r="P1355" s="26" t="n">
        <v>180499</v>
      </c>
    </row>
    <row r="1356">
      <c r="A1356" t="inlineStr">
        <is>
          <t>PRAGMA</t>
        </is>
      </c>
      <c r="B1356" t="inlineStr">
        <is>
          <t>M1</t>
        </is>
      </c>
      <c r="C1356" t="inlineStr">
        <is>
          <t>Cali</t>
        </is>
      </c>
      <c r="D1356" t="inlineStr">
        <is>
          <t>9859</t>
        </is>
      </c>
      <c r="E1356" t="inlineStr">
        <is>
          <t>Sucursal</t>
        </is>
      </c>
      <c r="F1356" s="23" t="n">
        <v>46269</v>
      </c>
      <c r="G1356" t="inlineStr">
        <is>
          <t>provision</t>
        </is>
      </c>
      <c r="H1356" s="26" t="n">
        <v>283659127</v>
      </c>
      <c r="I1356" t="inlineStr">
        <is>
          <t>bajo</t>
        </is>
      </c>
      <c r="J1356" t="inlineStr">
        <is>
          <t>RN-11 y RN-34: provision hasta el cupo operativo antes de bajar del 8 %</t>
        </is>
      </c>
      <c r="K1356" t="inlineStr">
        <is>
          <t>Provision en la manana, antes del pagado: con el pronostico, sin provision el saldo bajaria del 8 % del cupo ese dia. Lleva el saldo de 76.340.873 a 360.000.000 COP (cupo 360.000.000). Equipo administrado por Sucursal. Sin tarifa TDV (administrado por la sucursal): costo 0 declarado.</t>
        </is>
      </c>
      <c r="L1356" s="26" t="n">
        <v>360000000</v>
      </c>
      <c r="M1356" s="26" t="n">
        <v>76340873</v>
      </c>
      <c r="N1356" s="27">
        <f>IF(ISNUMBER(M1356),M1356/L1356,"No aplica")</f>
        <v>0.21205798055555555</v>
      </c>
      <c r="O1356" s="25">
        <f>IF(G1356="provision",M1356+H1356,IF(G1356="recoleccion",M1356-H1356,"No aplica"))</f>
        <v>360000000</v>
      </c>
      <c r="P1356" s="26" t="n">
        <v>0</v>
      </c>
    </row>
    <row r="1357">
      <c r="A1357" t="inlineStr">
        <is>
          <t>PRAGMA</t>
        </is>
      </c>
      <c r="B1357" t="inlineStr">
        <is>
          <t>M1</t>
        </is>
      </c>
      <c r="C1357" t="inlineStr">
        <is>
          <t>Cali</t>
        </is>
      </c>
      <c r="D1357" t="inlineStr">
        <is>
          <t>9859</t>
        </is>
      </c>
      <c r="E1357" t="inlineStr">
        <is>
          <t>Sucursal</t>
        </is>
      </c>
      <c r="F1357" s="23" t="n">
        <v>46273</v>
      </c>
      <c r="G1357" t="inlineStr">
        <is>
          <t>provision</t>
        </is>
      </c>
      <c r="H1357" s="26" t="n">
        <v>323528376</v>
      </c>
      <c r="I1357" t="inlineStr">
        <is>
          <t>bajo</t>
        </is>
      </c>
      <c r="J1357" t="inlineStr">
        <is>
          <t>RN-11 y RN-34: provision hasta el cupo operativo antes de bajar del 8 %</t>
        </is>
      </c>
      <c r="K1357" t="inlineStr">
        <is>
          <t>Provision en la manana, antes del pagado: con el pronostico, sin provision el saldo bajaria del 8 % del cupo ese dia. Lleva el saldo de 36.471.624 a 360.000.000 COP (cupo 360.000.000). Equipo administrado por Sucursal. Sin tarifa TDV (administrado por la sucursal): costo 0 declarado.</t>
        </is>
      </c>
      <c r="L1357" s="26" t="n">
        <v>360000000</v>
      </c>
      <c r="M1357" s="26" t="n">
        <v>36471624</v>
      </c>
      <c r="N1357" s="27">
        <f>IF(ISNUMBER(M1357),M1357/L1357,"No aplica")</f>
        <v>0.10131006666666667</v>
      </c>
      <c r="O1357" s="25">
        <f>IF(G1357="provision",M1357+H1357,IF(G1357="recoleccion",M1357-H1357,"No aplica"))</f>
        <v>360000000</v>
      </c>
      <c r="P1357" s="26" t="n">
        <v>0</v>
      </c>
    </row>
    <row r="1358">
      <c r="A1358" t="inlineStr">
        <is>
          <t>PRAGMA</t>
        </is>
      </c>
      <c r="B1358" t="inlineStr">
        <is>
          <t>M1</t>
        </is>
      </c>
      <c r="C1358" t="inlineStr">
        <is>
          <t>Cali</t>
        </is>
      </c>
      <c r="D1358" t="inlineStr">
        <is>
          <t>9859</t>
        </is>
      </c>
      <c r="E1358" t="inlineStr">
        <is>
          <t>Sucursal</t>
        </is>
      </c>
      <c r="F1358" s="23" t="n">
        <v>46278</v>
      </c>
      <c r="G1358" t="inlineStr">
        <is>
          <t>provision</t>
        </is>
      </c>
      <c r="H1358" s="26" t="n">
        <v>320571528</v>
      </c>
      <c r="I1358" t="inlineStr">
        <is>
          <t>bajo</t>
        </is>
      </c>
      <c r="J1358" t="inlineStr">
        <is>
          <t>RN-11 y RN-34: provision hasta el cupo operativo antes de bajar del 8 %</t>
        </is>
      </c>
      <c r="K1358" t="inlineStr">
        <is>
          <t>Provision en la manana, antes del pagado: con el pronostico, sin provision el saldo bajaria del 8 % del cupo ese dia. Lleva el saldo de 39.428.472 a 360.000.000 COP (cupo 360.000.000). Equipo administrado por Sucursal. Sin tarifa TDV (administrado por la sucursal): costo 0 declarado.</t>
        </is>
      </c>
      <c r="L1358" s="26" t="n">
        <v>360000000</v>
      </c>
      <c r="M1358" s="26" t="n">
        <v>39428472</v>
      </c>
      <c r="N1358" s="27">
        <f>IF(ISNUMBER(M1358),M1358/L1358,"No aplica")</f>
        <v>0.10952353333333334</v>
      </c>
      <c r="O1358" s="25">
        <f>IF(G1358="provision",M1358+H1358,IF(G1358="recoleccion",M1358-H1358,"No aplica"))</f>
        <v>360000000</v>
      </c>
      <c r="P1358" s="26" t="n">
        <v>0</v>
      </c>
    </row>
    <row r="1359">
      <c r="A1359" t="inlineStr">
        <is>
          <t>PRAGMA</t>
        </is>
      </c>
      <c r="B1359" t="inlineStr">
        <is>
          <t>M1</t>
        </is>
      </c>
      <c r="C1359" t="inlineStr">
        <is>
          <t>Cali</t>
        </is>
      </c>
      <c r="D1359" t="inlineStr">
        <is>
          <t>9860</t>
        </is>
      </c>
      <c r="E1359" t="inlineStr">
        <is>
          <t>Sucursal</t>
        </is>
      </c>
      <c r="F1359" s="23" t="n">
        <v>46268</v>
      </c>
      <c r="G1359" t="inlineStr">
        <is>
          <t>provision</t>
        </is>
      </c>
      <c r="H1359" s="26" t="n">
        <v>249760741</v>
      </c>
      <c r="I1359" t="inlineStr">
        <is>
          <t>bajo</t>
        </is>
      </c>
      <c r="J1359" t="inlineStr">
        <is>
          <t>RN-11 y RN-34: provision hasta el cupo operativo antes de bajar del 8 %</t>
        </is>
      </c>
      <c r="K1359" t="inlineStr">
        <is>
          <t>Provision en la manana, antes del pagado: con el pronostico, sin provision el saldo bajaria del 8 % del cupo ese dia. Lleva el saldo de 110.239.259 a 360.000.000 COP (cupo 360.000.000). Equipo administrado por Sucursal. Sin tarifa TDV (administrado por la sucursal): costo 0 declarado.</t>
        </is>
      </c>
      <c r="L1359" s="26" t="n">
        <v>360000000</v>
      </c>
      <c r="M1359" s="26" t="n">
        <v>110239259</v>
      </c>
      <c r="N1359" s="27">
        <f>IF(ISNUMBER(M1359),M1359/L1359,"No aplica")</f>
        <v>0.3062201638888889</v>
      </c>
      <c r="O1359" s="25">
        <f>IF(G1359="provision",M1359+H1359,IF(G1359="recoleccion",M1359-H1359,"No aplica"))</f>
        <v>360000000</v>
      </c>
      <c r="P1359" s="26" t="n">
        <v>0</v>
      </c>
    </row>
    <row r="1360">
      <c r="A1360" t="inlineStr">
        <is>
          <t>PRAGMA</t>
        </is>
      </c>
      <c r="B1360" t="inlineStr">
        <is>
          <t>M1</t>
        </is>
      </c>
      <c r="C1360" t="inlineStr">
        <is>
          <t>Cali</t>
        </is>
      </c>
      <c r="D1360" t="inlineStr">
        <is>
          <t>9860</t>
        </is>
      </c>
      <c r="E1360" t="inlineStr">
        <is>
          <t>Sucursal</t>
        </is>
      </c>
      <c r="F1360" s="23" t="n">
        <v>46270</v>
      </c>
      <c r="G1360" t="inlineStr">
        <is>
          <t>provision</t>
        </is>
      </c>
      <c r="H1360" s="26" t="n">
        <v>214680585</v>
      </c>
      <c r="I1360" t="inlineStr">
        <is>
          <t>bajo</t>
        </is>
      </c>
      <c r="J1360" t="inlineStr">
        <is>
          <t>RN-11 y RN-34: provision hasta el cupo operativo antes de bajar del 8 %</t>
        </is>
      </c>
      <c r="K1360" t="inlineStr">
        <is>
          <t>Provision en la manana, antes del pagado: con el pronostico, sin provision el saldo bajaria del 8 % del cupo ese dia. Lleva el saldo de 145.319.415 a 360.000.000 COP (cupo 360.000.000). Equipo administrado por Sucursal. Sin tarifa TDV (administrado por la sucursal): costo 0 declarado.</t>
        </is>
      </c>
      <c r="L1360" s="26" t="n">
        <v>360000000</v>
      </c>
      <c r="M1360" s="26" t="n">
        <v>145319415</v>
      </c>
      <c r="N1360" s="27">
        <f>IF(ISNUMBER(M1360),M1360/L1360,"No aplica")</f>
        <v>0.40366504166666667</v>
      </c>
      <c r="O1360" s="25">
        <f>IF(G1360="provision",M1360+H1360,IF(G1360="recoleccion",M1360-H1360,"No aplica"))</f>
        <v>360000000</v>
      </c>
      <c r="P1360" s="26" t="n">
        <v>0</v>
      </c>
    </row>
    <row r="1361">
      <c r="A1361" t="inlineStr">
        <is>
          <t>PRAGMA</t>
        </is>
      </c>
      <c r="B1361" t="inlineStr">
        <is>
          <t>M1</t>
        </is>
      </c>
      <c r="C1361" t="inlineStr">
        <is>
          <t>Cali</t>
        </is>
      </c>
      <c r="D1361" t="inlineStr">
        <is>
          <t>9860</t>
        </is>
      </c>
      <c r="E1361" t="inlineStr">
        <is>
          <t>Sucursal</t>
        </is>
      </c>
      <c r="F1361" s="23" t="n">
        <v>46273</v>
      </c>
      <c r="G1361" t="inlineStr">
        <is>
          <t>provision</t>
        </is>
      </c>
      <c r="H1361" s="26" t="n">
        <v>297786310</v>
      </c>
      <c r="I1361" t="inlineStr">
        <is>
          <t>bajo</t>
        </is>
      </c>
      <c r="J1361" t="inlineStr">
        <is>
          <t>RN-11 y RN-34: provision hasta el cupo operativo antes de bajar del 8 %</t>
        </is>
      </c>
      <c r="K1361" t="inlineStr">
        <is>
          <t>Provision en la manana, antes del pagado: con el pronostico, sin provision el saldo bajaria del 8 % del cupo ese dia. Lleva el saldo de 62.213.690 a 360.000.000 COP (cupo 360.000.000). Equipo administrado por Sucursal. Sin tarifa TDV (administrado por la sucursal): costo 0 declarado.</t>
        </is>
      </c>
      <c r="L1361" s="26" t="n">
        <v>360000000</v>
      </c>
      <c r="M1361" s="26" t="n">
        <v>62213690</v>
      </c>
      <c r="N1361" s="27">
        <f>IF(ISNUMBER(M1361),M1361/L1361,"No aplica")</f>
        <v>0.17281580555555556</v>
      </c>
      <c r="O1361" s="25">
        <f>IF(G1361="provision",M1361+H1361,IF(G1361="recoleccion",M1361-H1361,"No aplica"))</f>
        <v>360000000</v>
      </c>
      <c r="P1361" s="26" t="n">
        <v>0</v>
      </c>
    </row>
    <row r="1362">
      <c r="A1362" t="inlineStr">
        <is>
          <t>PRAGMA</t>
        </is>
      </c>
      <c r="B1362" t="inlineStr">
        <is>
          <t>M1</t>
        </is>
      </c>
      <c r="C1362" t="inlineStr">
        <is>
          <t>Cali</t>
        </is>
      </c>
      <c r="D1362" t="inlineStr">
        <is>
          <t>9860</t>
        </is>
      </c>
      <c r="E1362" t="inlineStr">
        <is>
          <t>Sucursal</t>
        </is>
      </c>
      <c r="F1362" s="23" t="n">
        <v>46277</v>
      </c>
      <c r="G1362" t="inlineStr">
        <is>
          <t>provision</t>
        </is>
      </c>
      <c r="H1362" s="26" t="n">
        <v>323329861</v>
      </c>
      <c r="I1362" t="inlineStr">
        <is>
          <t>bajo</t>
        </is>
      </c>
      <c r="J1362" t="inlineStr">
        <is>
          <t>RN-11 y RN-34: provision hasta el cupo operativo antes de bajar del 8 %</t>
        </is>
      </c>
      <c r="K1362" t="inlineStr">
        <is>
          <t>Provision en la manana, antes del pagado: con el pronostico, sin provision el saldo bajaria del 8 % del cupo ese dia. Lleva el saldo de 36.670.139 a 360.000.000 COP (cupo 360.000.000). Equipo administrado por Sucursal. Sin tarifa TDV (administrado por la sucursal): costo 0 declarado.</t>
        </is>
      </c>
      <c r="L1362" s="26" t="n">
        <v>360000000</v>
      </c>
      <c r="M1362" s="26" t="n">
        <v>36670139</v>
      </c>
      <c r="N1362" s="27">
        <f>IF(ISNUMBER(M1362),M1362/L1362,"No aplica")</f>
        <v>0.10186149722222222</v>
      </c>
      <c r="O1362" s="25">
        <f>IF(G1362="provision",M1362+H1362,IF(G1362="recoleccion",M1362-H1362,"No aplica"))</f>
        <v>360000000</v>
      </c>
      <c r="P1362" s="26" t="n">
        <v>0</v>
      </c>
    </row>
    <row r="1363">
      <c r="A1363" t="inlineStr">
        <is>
          <t>PRAGMA</t>
        </is>
      </c>
      <c r="B1363" t="inlineStr">
        <is>
          <t>M1</t>
        </is>
      </c>
      <c r="C1363" t="inlineStr">
        <is>
          <t>Cali</t>
        </is>
      </c>
      <c r="D1363" t="inlineStr">
        <is>
          <t>9860</t>
        </is>
      </c>
      <c r="E1363" t="inlineStr">
        <is>
          <t>Sucursal</t>
        </is>
      </c>
      <c r="F1363" s="23" t="n">
        <v>46280</v>
      </c>
      <c r="G1363" t="inlineStr">
        <is>
          <t>provision</t>
        </is>
      </c>
      <c r="H1363" s="26" t="n">
        <v>254168737</v>
      </c>
      <c r="I1363" t="inlineStr">
        <is>
          <t>bajo</t>
        </is>
      </c>
      <c r="J1363" t="inlineStr">
        <is>
          <t>RN-11 y RN-34: provision hasta el cupo operativo antes de bajar del 8 %</t>
        </is>
      </c>
      <c r="K1363" t="inlineStr">
        <is>
          <t>Provision en la manana, antes del pagado: con el pronostico, sin provision el saldo bajaria del 8 % del cupo ese dia. Lleva el saldo de 105.831.263 a 360.000.000 COP (cupo 360.000.000). Equipo administrado por Sucursal. Sin tarifa TDV (administrado por la sucursal): costo 0 declarado.</t>
        </is>
      </c>
      <c r="L1363" s="26" t="n">
        <v>360000000</v>
      </c>
      <c r="M1363" s="26" t="n">
        <v>105831263</v>
      </c>
      <c r="N1363" s="27">
        <f>IF(ISNUMBER(M1363),M1363/L1363,"No aplica")</f>
        <v>0.29397573055555554</v>
      </c>
      <c r="O1363" s="25">
        <f>IF(G1363="provision",M1363+H1363,IF(G1363="recoleccion",M1363-H1363,"No aplica"))</f>
        <v>360000000</v>
      </c>
      <c r="P1363" s="26" t="n">
        <v>0</v>
      </c>
    </row>
    <row r="1364">
      <c r="A1364" t="inlineStr">
        <is>
          <t>PRAGMA</t>
        </is>
      </c>
      <c r="B1364" t="inlineStr">
        <is>
          <t>M1</t>
        </is>
      </c>
      <c r="C1364" t="inlineStr">
        <is>
          <t>Pasto</t>
        </is>
      </c>
      <c r="D1364" t="inlineStr">
        <is>
          <t>9892</t>
        </is>
      </c>
      <c r="E1364" t="inlineStr">
        <is>
          <t>TDV</t>
        </is>
      </c>
      <c r="F1364" s="23" t="n">
        <v>46269</v>
      </c>
      <c r="G1364" t="inlineStr">
        <is>
          <t>provision</t>
        </is>
      </c>
      <c r="H1364" s="26" t="n">
        <v>368094877</v>
      </c>
      <c r="I1364" t="inlineStr">
        <is>
          <t>bajo</t>
        </is>
      </c>
      <c r="J1364" t="inlineStr">
        <is>
          <t>RN-11 y RN-34: provision hasta el cupo operativo antes de bajar del 8 %</t>
        </is>
      </c>
      <c r="K1364" t="inlineStr">
        <is>
          <t>Provision en la manana, antes del pagado: con el pronostico, sin provision el saldo bajaria del 8 % del cupo ese dia. Lleva el saldo de 42.905.123 a 411.000.000 COP (cupo 411.000.000). Equipo administrado por TDV.</t>
        </is>
      </c>
      <c r="L1364" s="26" t="n">
        <v>411000000</v>
      </c>
      <c r="M1364" s="26" t="n">
        <v>42905123</v>
      </c>
      <c r="N1364" s="27">
        <f>IF(ISNUMBER(M1364),M1364/L1364,"No aplica")</f>
        <v>0.10439202676399027</v>
      </c>
      <c r="O1364" s="25">
        <f>IF(G1364="provision",M1364+H1364,IF(G1364="recoleccion",M1364-H1364,"No aplica"))</f>
        <v>411000000</v>
      </c>
      <c r="P1364" s="26" t="n">
        <v>118626</v>
      </c>
    </row>
    <row r="1365">
      <c r="A1365" t="inlineStr">
        <is>
          <t>PRAGMA</t>
        </is>
      </c>
      <c r="B1365" t="inlineStr">
        <is>
          <t>M1</t>
        </is>
      </c>
      <c r="C1365" t="inlineStr">
        <is>
          <t>Pasto</t>
        </is>
      </c>
      <c r="D1365" t="inlineStr">
        <is>
          <t>9892</t>
        </is>
      </c>
      <c r="E1365" t="inlineStr">
        <is>
          <t>TDV</t>
        </is>
      </c>
      <c r="F1365" s="23" t="n">
        <v>46273</v>
      </c>
      <c r="G1365" t="inlineStr">
        <is>
          <t>provision</t>
        </is>
      </c>
      <c r="H1365" s="26" t="n">
        <v>319908064</v>
      </c>
      <c r="I1365" t="inlineStr">
        <is>
          <t>bajo</t>
        </is>
      </c>
      <c r="J1365" t="inlineStr">
        <is>
          <t>RN-11 y RN-34: provision hasta el cupo operativo antes de bajar del 8 %</t>
        </is>
      </c>
      <c r="K1365" t="inlineStr">
        <is>
          <t>Provision en la manana, antes del pagado: con el pronostico, sin provision el saldo bajaria del 8 % del cupo ese dia. Lleva el saldo de 91.091.936 a 411.000.000 COP (cupo 411.000.000). Equipo administrado por TDV.</t>
        </is>
      </c>
      <c r="L1365" s="26" t="n">
        <v>411000000</v>
      </c>
      <c r="M1365" s="26" t="n">
        <v>91091936</v>
      </c>
      <c r="N1365" s="27">
        <f>IF(ISNUMBER(M1365),M1365/L1365,"No aplica")</f>
        <v>0.2216348807785888</v>
      </c>
      <c r="O1365" s="25">
        <f>IF(G1365="provision",M1365+H1365,IF(G1365="recoleccion",M1365-H1365,"No aplica"))</f>
        <v>411000000</v>
      </c>
      <c r="P1365" s="26" t="n">
        <v>105133</v>
      </c>
    </row>
    <row r="1366">
      <c r="A1366" t="inlineStr">
        <is>
          <t>PRAGMA</t>
        </is>
      </c>
      <c r="B1366" t="inlineStr">
        <is>
          <t>M1</t>
        </is>
      </c>
      <c r="C1366" t="inlineStr">
        <is>
          <t>Pasto</t>
        </is>
      </c>
      <c r="D1366" t="inlineStr">
        <is>
          <t>9892</t>
        </is>
      </c>
      <c r="E1366" t="inlineStr">
        <is>
          <t>TDV</t>
        </is>
      </c>
      <c r="F1366" s="23" t="n">
        <v>46277</v>
      </c>
      <c r="G1366" t="inlineStr">
        <is>
          <t>provision</t>
        </is>
      </c>
      <c r="H1366" s="26" t="n">
        <v>343342537</v>
      </c>
      <c r="I1366" t="inlineStr">
        <is>
          <t>bajo</t>
        </is>
      </c>
      <c r="J1366" t="inlineStr">
        <is>
          <t>RN-11 y RN-34: provision hasta el cupo operativo antes de bajar del 8 %</t>
        </is>
      </c>
      <c r="K1366" t="inlineStr">
        <is>
          <t>Provision en la manana, antes del pagado: con el pronostico, sin provision el saldo bajaria del 8 % del cupo ese dia. Lleva el saldo de 67.657.463 a 411.000.000 COP (cupo 411.000.000). Equipo administrado por TDV.</t>
        </is>
      </c>
      <c r="L1366" s="26" t="n">
        <v>411000000</v>
      </c>
      <c r="M1366" s="26" t="n">
        <v>67657463</v>
      </c>
      <c r="N1366" s="27">
        <f>IF(ISNUMBER(M1366),M1366/L1366,"No aplica")</f>
        <v>0.16461669829683698</v>
      </c>
      <c r="O1366" s="25">
        <f>IF(G1366="provision",M1366+H1366,IF(G1366="recoleccion",M1366-H1366,"No aplica"))</f>
        <v>411000000</v>
      </c>
      <c r="P1366" s="26" t="n">
        <v>111695</v>
      </c>
    </row>
    <row r="1367">
      <c r="A1367" t="inlineStr">
        <is>
          <t>PRAGMA</t>
        </is>
      </c>
      <c r="B1367" t="inlineStr">
        <is>
          <t>M1</t>
        </is>
      </c>
      <c r="C1367" t="inlineStr">
        <is>
          <t>Cali</t>
        </is>
      </c>
      <c r="D1367" t="inlineStr">
        <is>
          <t>9906</t>
        </is>
      </c>
      <c r="E1367" t="inlineStr">
        <is>
          <t>TDV</t>
        </is>
      </c>
      <c r="F1367" s="23" t="n">
        <v>46275</v>
      </c>
      <c r="G1367" t="inlineStr">
        <is>
          <t>provision</t>
        </is>
      </c>
      <c r="H1367" s="26" t="n">
        <v>346932435</v>
      </c>
      <c r="I1367" t="inlineStr">
        <is>
          <t>bajo</t>
        </is>
      </c>
      <c r="J1367" t="inlineStr">
        <is>
          <t>RN-11 y RN-34: provision hasta el cupo operativo antes de bajar del 8 %</t>
        </is>
      </c>
      <c r="K1367" t="inlineStr">
        <is>
          <t>Provision en la manana, antes del pagado: con el pronostico, sin provision el saldo bajaria del 8 % del cupo ese dia. Lleva el saldo de 58.067.565 a 405.000.000 COP (cupo 405.000.000). Equipo administrado por TDV.</t>
        </is>
      </c>
      <c r="L1367" s="26" t="n">
        <v>405000000</v>
      </c>
      <c r="M1367" s="26" t="n">
        <v>58067565</v>
      </c>
      <c r="N1367" s="27">
        <f>IF(ISNUMBER(M1367),M1367/L1367,"No aplica")</f>
        <v>0.1433767037037037</v>
      </c>
      <c r="O1367" s="25">
        <f>IF(G1367="provision",M1367+H1367,IF(G1367="recoleccion",M1367-H1367,"No aplica"))</f>
        <v>405000000</v>
      </c>
      <c r="P1367" s="26" t="n">
        <v>152914</v>
      </c>
    </row>
    <row r="1368">
      <c r="A1368" t="inlineStr">
        <is>
          <t>PRAGMA</t>
        </is>
      </c>
      <c r="B1368" t="inlineStr">
        <is>
          <t>M1</t>
        </is>
      </c>
      <c r="C1368" t="inlineStr">
        <is>
          <t>Cali</t>
        </is>
      </c>
      <c r="D1368" t="inlineStr">
        <is>
          <t>9907</t>
        </is>
      </c>
      <c r="E1368" t="inlineStr">
        <is>
          <t>TDV</t>
        </is>
      </c>
      <c r="F1368" s="23" t="n">
        <v>46272</v>
      </c>
      <c r="G1368" t="inlineStr">
        <is>
          <t>provision</t>
        </is>
      </c>
      <c r="H1368" s="26" t="n">
        <v>362564400</v>
      </c>
      <c r="I1368" t="inlineStr">
        <is>
          <t>bajo</t>
        </is>
      </c>
      <c r="J1368" t="inlineStr">
        <is>
          <t>RN-11 y RN-34: provision hasta el cupo operativo antes de bajar del 8 %</t>
        </is>
      </c>
      <c r="K1368" t="inlineStr">
        <is>
          <t>Provision en la manana, antes del pagado: con el pronostico, sin provision el saldo bajaria del 8 % del cupo ese dia. Lleva el saldo de 42.435.600 a 405.000.000 COP (cupo 405.000.000). Equipo administrado por TDV.</t>
        </is>
      </c>
      <c r="L1368" s="26" t="n">
        <v>405000000</v>
      </c>
      <c r="M1368" s="26" t="n">
        <v>42435600</v>
      </c>
      <c r="N1368" s="27">
        <f>IF(ISNUMBER(M1368),M1368/L1368,"No aplica")</f>
        <v>0.10477925925925925</v>
      </c>
      <c r="O1368" s="25">
        <f>IF(G1368="provision",M1368+H1368,IF(G1368="recoleccion",M1368-H1368,"No aplica"))</f>
        <v>405000000</v>
      </c>
      <c r="P1368" s="26" t="n">
        <v>158963</v>
      </c>
    </row>
    <row r="1369">
      <c r="A1369" t="inlineStr">
        <is>
          <t>PRAGMA</t>
        </is>
      </c>
      <c r="B1369" t="inlineStr">
        <is>
          <t>M1</t>
        </is>
      </c>
      <c r="C1369" t="inlineStr">
        <is>
          <t>Cali</t>
        </is>
      </c>
      <c r="D1369" t="inlineStr">
        <is>
          <t>9907</t>
        </is>
      </c>
      <c r="E1369" t="inlineStr">
        <is>
          <t>TDV</t>
        </is>
      </c>
      <c r="F1369" s="23" t="n">
        <v>46280</v>
      </c>
      <c r="G1369" t="inlineStr">
        <is>
          <t>provision</t>
        </is>
      </c>
      <c r="H1369" s="26" t="n">
        <v>328714081</v>
      </c>
      <c r="I1369" t="inlineStr">
        <is>
          <t>bajo</t>
        </is>
      </c>
      <c r="J1369" t="inlineStr">
        <is>
          <t>RN-11 y RN-34: provision hasta el cupo operativo antes de bajar del 8 %</t>
        </is>
      </c>
      <c r="K1369" t="inlineStr">
        <is>
          <t>Provision en la manana, antes del pagado: con el pronostico, sin provision el saldo bajaria del 8 % del cupo ese dia. Lleva el saldo de 76.285.919 a 405.000.000 COP (cupo 405.000.000). Equipo administrado por TDV.</t>
        </is>
      </c>
      <c r="L1369" s="26" t="n">
        <v>405000000</v>
      </c>
      <c r="M1369" s="26" t="n">
        <v>76285919</v>
      </c>
      <c r="N1369" s="27">
        <f>IF(ISNUMBER(M1369),M1369/L1369,"No aplica")</f>
        <v>0.1883602938271605</v>
      </c>
      <c r="O1369" s="25">
        <f>IF(G1369="provision",M1369+H1369,IF(G1369="recoleccion",M1369-H1369,"No aplica"))</f>
        <v>405000000</v>
      </c>
      <c r="P1369" s="26" t="n">
        <v>145863</v>
      </c>
    </row>
    <row r="1370">
      <c r="A1370" t="inlineStr">
        <is>
          <t>PRAGMA</t>
        </is>
      </c>
      <c r="B1370" t="inlineStr">
        <is>
          <t>M1</t>
        </is>
      </c>
      <c r="C1370" t="inlineStr">
        <is>
          <t>Cali</t>
        </is>
      </c>
      <c r="D1370" t="inlineStr">
        <is>
          <t>9919</t>
        </is>
      </c>
      <c r="E1370" t="inlineStr">
        <is>
          <t>TDV</t>
        </is>
      </c>
      <c r="F1370" s="23" t="n">
        <v>46266</v>
      </c>
      <c r="G1370" t="inlineStr">
        <is>
          <t>sin_accion</t>
        </is>
      </c>
      <c r="H1370" s="26" t="n">
        <v>0</v>
      </c>
      <c r="I1370" t="inlineStr">
        <is>
          <t>bajo</t>
        </is>
      </c>
      <c r="J1370" t="inlineStr">
        <is>
          <t>RN-02: una fila sin_accion</t>
        </is>
      </c>
      <c r="K1370" t="inlineStr">
        <is>
          <t>Sin accion en el horizonte: con el pronostico, el saldo se mantiene entre el umbral de agotamiento y el cupo sin necesidad de provision ni recoleccion.</t>
        </is>
      </c>
      <c r="L1370" s="26" t="n">
        <v>411000000</v>
      </c>
      <c r="M1370" s="26" t="inlineStr">
        <is>
          <t>No aplica</t>
        </is>
      </c>
      <c r="N1370" s="27" t="str">
        <f>IF(ISNUMBER(M1370),M1370/L1370,"No aplica")</f>
        <v>No aplica</v>
      </c>
      <c r="O1370" s="25" t="str">
        <f>IF(G1370="provision",M1370+H1370,IF(G1370="recoleccion",M1370-H1370,"No aplica"))</f>
        <v>No aplica</v>
      </c>
      <c r="P1370" s="26" t="inlineStr">
        <is>
          <t>No aplica</t>
        </is>
      </c>
    </row>
    <row r="1371">
      <c r="A1371" t="inlineStr">
        <is>
          <t>PRAGMA</t>
        </is>
      </c>
      <c r="B1371" t="inlineStr">
        <is>
          <t>M1</t>
        </is>
      </c>
      <c r="C1371" t="inlineStr">
        <is>
          <t>Cali</t>
        </is>
      </c>
      <c r="D1371" t="inlineStr">
        <is>
          <t>9943</t>
        </is>
      </c>
      <c r="E1371" t="inlineStr">
        <is>
          <t>TDV</t>
        </is>
      </c>
      <c r="F1371" s="23" t="n">
        <v>46268</v>
      </c>
      <c r="G1371" t="inlineStr">
        <is>
          <t>provision</t>
        </is>
      </c>
      <c r="H1371" s="26" t="n">
        <v>279412972</v>
      </c>
      <c r="I1371" t="inlineStr">
        <is>
          <t>bajo</t>
        </is>
      </c>
      <c r="J1371" t="inlineStr">
        <is>
          <t>RN-11 y RN-34: provision hasta el cupo operativo antes de bajar del 8 %</t>
        </is>
      </c>
      <c r="K1371" t="inlineStr">
        <is>
          <t>Provision en la manana, antes del pagado: con el pronostico, sin provision el saldo bajaria del 8 % del cupo ese dia. Lleva el saldo de 131.587.028 a 411.000.000 COP (cupo 411.000.000). Equipo administrado por TDV.</t>
        </is>
      </c>
      <c r="L1371" s="26" t="n">
        <v>411000000</v>
      </c>
      <c r="M1371" s="26" t="n">
        <v>131587028</v>
      </c>
      <c r="N1371" s="27">
        <f>IF(ISNUMBER(M1371),M1371/L1371,"No aplica")</f>
        <v>0.32016308515815084</v>
      </c>
      <c r="O1371" s="25">
        <f>IF(G1371="provision",M1371+H1371,IF(G1371="recoleccion",M1371-H1371,"No aplica"))</f>
        <v>411000000</v>
      </c>
      <c r="P1371" s="26" t="n">
        <v>108799</v>
      </c>
    </row>
    <row r="1372">
      <c r="A1372" t="inlineStr">
        <is>
          <t>PRAGMA</t>
        </is>
      </c>
      <c r="B1372" t="inlineStr">
        <is>
          <t>M1</t>
        </is>
      </c>
      <c r="C1372" t="inlineStr">
        <is>
          <t>Cali</t>
        </is>
      </c>
      <c r="D1372" t="inlineStr">
        <is>
          <t>9943</t>
        </is>
      </c>
      <c r="E1372" t="inlineStr">
        <is>
          <t>TDV</t>
        </is>
      </c>
      <c r="F1372" s="23" t="n">
        <v>46271</v>
      </c>
      <c r="G1372" t="inlineStr">
        <is>
          <t>provision</t>
        </is>
      </c>
      <c r="H1372" s="26" t="n">
        <v>327402172</v>
      </c>
      <c r="I1372" t="inlineStr">
        <is>
          <t>bajo</t>
        </is>
      </c>
      <c r="J1372" t="inlineStr">
        <is>
          <t>RN-11 y RN-34: provision hasta el cupo operativo antes de bajar del 8 %</t>
        </is>
      </c>
      <c r="K1372" t="inlineStr">
        <is>
          <t>Provision en la manana, antes del pagado: con el pronostico, sin provision el saldo bajaria del 8 % del cupo ese dia. Lleva el saldo de 83.597.828 a 411.000.000 COP (cupo 411.000.000). Equipo administrado por TDV.</t>
        </is>
      </c>
      <c r="L1372" s="26" t="n">
        <v>411000000</v>
      </c>
      <c r="M1372" s="26" t="n">
        <v>83597828</v>
      </c>
      <c r="N1372" s="27">
        <f>IF(ISNUMBER(M1372),M1372/L1372,"No aplica")</f>
        <v>0.20340104136253043</v>
      </c>
      <c r="O1372" s="25">
        <f>IF(G1372="provision",M1372+H1372,IF(G1372="recoleccion",M1372-H1372,"No aplica"))</f>
        <v>411000000</v>
      </c>
      <c r="P1372" s="26" t="n">
        <v>168647</v>
      </c>
    </row>
    <row r="1373">
      <c r="A1373" t="inlineStr">
        <is>
          <t>PRAGMA</t>
        </is>
      </c>
      <c r="B1373" t="inlineStr">
        <is>
          <t>M1</t>
        </is>
      </c>
      <c r="C1373" t="inlineStr">
        <is>
          <t>Cali</t>
        </is>
      </c>
      <c r="D1373" t="inlineStr">
        <is>
          <t>9943</t>
        </is>
      </c>
      <c r="E1373" t="inlineStr">
        <is>
          <t>TDV</t>
        </is>
      </c>
      <c r="F1373" s="23" t="n">
        <v>46275</v>
      </c>
      <c r="G1373" t="inlineStr">
        <is>
          <t>provision</t>
        </is>
      </c>
      <c r="H1373" s="26" t="n">
        <v>342002395</v>
      </c>
      <c r="I1373" t="inlineStr">
        <is>
          <t>bajo</t>
        </is>
      </c>
      <c r="J1373" t="inlineStr">
        <is>
          <t>RN-11 y RN-34: provision hasta el cupo operativo antes de bajar del 8 %</t>
        </is>
      </c>
      <c r="K1373" t="inlineStr">
        <is>
          <t>Provision en la manana, antes del pagado: con el pronostico, sin provision el saldo bajaria del 8 % del cupo ese dia. Lleva el saldo de 68.997.605 a 411.000.000 COP (cupo 411.000.000). Equipo administrado por TDV.</t>
        </is>
      </c>
      <c r="L1373" s="26" t="n">
        <v>411000000</v>
      </c>
      <c r="M1373" s="26" t="n">
        <v>68997605</v>
      </c>
      <c r="N1373" s="27">
        <f>IF(ISNUMBER(M1373),M1373/L1373,"No aplica")</f>
        <v>0.16787738442822384</v>
      </c>
      <c r="O1373" s="25">
        <f>IF(G1373="provision",M1373+H1373,IF(G1373="recoleccion",M1373-H1373,"No aplica"))</f>
        <v>411000000</v>
      </c>
      <c r="P1373" s="26" t="n">
        <v>129203</v>
      </c>
    </row>
    <row r="1374">
      <c r="A1374" t="inlineStr">
        <is>
          <t>PRAGMA</t>
        </is>
      </c>
      <c r="B1374" t="inlineStr">
        <is>
          <t>M1</t>
        </is>
      </c>
      <c r="C1374" t="inlineStr">
        <is>
          <t>Cali</t>
        </is>
      </c>
      <c r="D1374" t="inlineStr">
        <is>
          <t>9943</t>
        </is>
      </c>
      <c r="E1374" t="inlineStr">
        <is>
          <t>TDV</t>
        </is>
      </c>
      <c r="F1374" s="23" t="n">
        <v>46280</v>
      </c>
      <c r="G1374" t="inlineStr">
        <is>
          <t>provision</t>
        </is>
      </c>
      <c r="H1374" s="26" t="n">
        <v>377638088</v>
      </c>
      <c r="I1374" t="inlineStr">
        <is>
          <t>bajo</t>
        </is>
      </c>
      <c r="J1374" t="inlineStr">
        <is>
          <t>RN-11 y RN-34: provision hasta el cupo operativo antes de bajar del 8 %</t>
        </is>
      </c>
      <c r="K1374" t="inlineStr">
        <is>
          <t>Provision en la manana, antes del pagado: con el pronostico, sin provision el saldo bajaria del 8 % del cupo ese dia. Lleva el saldo de 33.361.912 a 411.000.000 COP (cupo 411.000.000). Equipo administrado por TDV.</t>
        </is>
      </c>
      <c r="L1374" s="26" t="n">
        <v>411000000</v>
      </c>
      <c r="M1374" s="26" t="n">
        <v>33361912</v>
      </c>
      <c r="N1374" s="27">
        <f>IF(ISNUMBER(M1374),M1374/L1374,"No aplica")</f>
        <v>0.08117253527980535</v>
      </c>
      <c r="O1374" s="25">
        <f>IF(G1374="provision",M1374+H1374,IF(G1374="recoleccion",M1374-H1374,"No aplica"))</f>
        <v>411000000</v>
      </c>
      <c r="P1374" s="26" t="n">
        <v>140820</v>
      </c>
    </row>
    <row r="1375">
      <c r="A1375" t="inlineStr">
        <is>
          <t>PRAGMA</t>
        </is>
      </c>
      <c r="B1375" t="inlineStr">
        <is>
          <t>M1</t>
        </is>
      </c>
      <c r="C1375" t="inlineStr">
        <is>
          <t>Cali</t>
        </is>
      </c>
      <c r="D1375" t="inlineStr">
        <is>
          <t>9970</t>
        </is>
      </c>
      <c r="E1375" t="inlineStr">
        <is>
          <t>TDV</t>
        </is>
      </c>
      <c r="F1375" s="23" t="n">
        <v>46267</v>
      </c>
      <c r="G1375" t="inlineStr">
        <is>
          <t>provision</t>
        </is>
      </c>
      <c r="H1375" s="26" t="n">
        <v>332502723</v>
      </c>
      <c r="I1375" t="inlineStr">
        <is>
          <t>bajo</t>
        </is>
      </c>
      <c r="J1375" t="inlineStr">
        <is>
          <t>RN-11 y RN-34: provision hasta el cupo operativo antes de bajar del 8 %</t>
        </is>
      </c>
      <c r="K1375" t="inlineStr">
        <is>
          <t>Provision en la manana, antes del pagado: con el pronostico, sin provision el saldo bajaria del 8 % del cupo ese dia. Lleva el saldo de 78.497.277 a 411.000.000 COP (cupo 411.000.000). Equipo administrado por TDV.</t>
        </is>
      </c>
      <c r="L1375" s="26" t="n">
        <v>411000000</v>
      </c>
      <c r="M1375" s="26" t="n">
        <v>78497277</v>
      </c>
      <c r="N1375" s="27">
        <f>IF(ISNUMBER(M1375),M1375/L1375,"No aplica")</f>
        <v>0.1909909416058394</v>
      </c>
      <c r="O1375" s="25">
        <f>IF(G1375="provision",M1375+H1375,IF(G1375="recoleccion",M1375-H1375,"No aplica"))</f>
        <v>411000000</v>
      </c>
      <c r="P1375" s="26" t="n">
        <v>165746</v>
      </c>
    </row>
    <row r="1376">
      <c r="A1376" t="inlineStr">
        <is>
          <t>PRAGMA</t>
        </is>
      </c>
      <c r="B1376" t="inlineStr">
        <is>
          <t>M1</t>
        </is>
      </c>
      <c r="C1376" t="inlineStr">
        <is>
          <t>Cali</t>
        </is>
      </c>
      <c r="D1376" t="inlineStr">
        <is>
          <t>9970</t>
        </is>
      </c>
      <c r="E1376" t="inlineStr">
        <is>
          <t>TDV</t>
        </is>
      </c>
      <c r="F1376" s="23" t="n">
        <v>46268</v>
      </c>
      <c r="G1376" t="inlineStr">
        <is>
          <t>provision</t>
        </is>
      </c>
      <c r="H1376" s="26" t="n">
        <v>292390044</v>
      </c>
      <c r="I1376" t="inlineStr">
        <is>
          <t>bajo</t>
        </is>
      </c>
      <c r="J1376" t="inlineStr">
        <is>
          <t>RN-11 y RN-34: provision hasta el cupo operativo antes de bajar del 8 %</t>
        </is>
      </c>
      <c r="K1376" t="inlineStr">
        <is>
          <t>Provision en la manana, antes del pagado: con el pronostico, sin provision el saldo bajaria del 8 % del cupo ese dia. Lleva el saldo de 118.609.956 a 411.000.000 COP (cupo 411.000.000). Equipo administrado por TDV.</t>
        </is>
      </c>
      <c r="L1376" s="26" t="n">
        <v>411000000</v>
      </c>
      <c r="M1376" s="26" t="n">
        <v>118609956</v>
      </c>
      <c r="N1376" s="27">
        <f>IF(ISNUMBER(M1376),M1376/L1376,"No aplica")</f>
        <v>0.288588700729927</v>
      </c>
      <c r="O1376" s="25">
        <f>IF(G1376="provision",M1376+H1376,IF(G1376="recoleccion",M1376-H1376,"No aplica"))</f>
        <v>411000000</v>
      </c>
      <c r="P1376" s="26" t="n">
        <v>148016</v>
      </c>
    </row>
    <row r="1377">
      <c r="A1377" t="inlineStr">
        <is>
          <t>PRAGMA</t>
        </is>
      </c>
      <c r="B1377" t="inlineStr">
        <is>
          <t>M1</t>
        </is>
      </c>
      <c r="C1377" t="inlineStr">
        <is>
          <t>Cali</t>
        </is>
      </c>
      <c r="D1377" t="inlineStr">
        <is>
          <t>9970</t>
        </is>
      </c>
      <c r="E1377" t="inlineStr">
        <is>
          <t>TDV</t>
        </is>
      </c>
      <c r="F1377" s="23" t="n">
        <v>46269</v>
      </c>
      <c r="G1377" t="inlineStr">
        <is>
          <t>provision</t>
        </is>
      </c>
      <c r="H1377" s="26" t="n">
        <v>296487503</v>
      </c>
      <c r="I1377" t="inlineStr">
        <is>
          <t>bajo</t>
        </is>
      </c>
      <c r="J1377" t="inlineStr">
        <is>
          <t>RN-11 y RN-34: provision hasta el cupo operativo antes de bajar del 8 %</t>
        </is>
      </c>
      <c r="K1377" t="inlineStr">
        <is>
          <t>Provision en la manana, antes del pagado: con el pronostico, sin provision el saldo bajaria del 8 % del cupo ese dia. Lleva el saldo de 114.512.497 a 411.000.000 COP (cupo 411.000.000). Equipo administrado por TDV.</t>
        </is>
      </c>
      <c r="L1377" s="26" t="n">
        <v>411000000</v>
      </c>
      <c r="M1377" s="26" t="n">
        <v>114512497</v>
      </c>
      <c r="N1377" s="27">
        <f>IF(ISNUMBER(M1377),M1377/L1377,"No aplica")</f>
        <v>0.27861921411192214</v>
      </c>
      <c r="O1377" s="25">
        <f>IF(G1377="provision",M1377+H1377,IF(G1377="recoleccion",M1377-H1377,"No aplica"))</f>
        <v>411000000</v>
      </c>
      <c r="P1377" s="26" t="n">
        <v>149827</v>
      </c>
    </row>
    <row r="1378">
      <c r="A1378" t="inlineStr">
        <is>
          <t>PRAGMA</t>
        </is>
      </c>
      <c r="B1378" t="inlineStr">
        <is>
          <t>M1</t>
        </is>
      </c>
      <c r="C1378" t="inlineStr">
        <is>
          <t>Cali</t>
        </is>
      </c>
      <c r="D1378" t="inlineStr">
        <is>
          <t>9970</t>
        </is>
      </c>
      <c r="E1378" t="inlineStr">
        <is>
          <t>TDV</t>
        </is>
      </c>
      <c r="F1378" s="23" t="n">
        <v>46270</v>
      </c>
      <c r="G1378" t="inlineStr">
        <is>
          <t>provision</t>
        </is>
      </c>
      <c r="H1378" s="26" t="n">
        <v>307262415</v>
      </c>
      <c r="I1378" t="inlineStr">
        <is>
          <t>bajo</t>
        </is>
      </c>
      <c r="J1378" t="inlineStr">
        <is>
          <t>RN-11 y RN-34: provision hasta el cupo operativo antes de bajar del 8 %</t>
        </is>
      </c>
      <c r="K1378" t="inlineStr">
        <is>
          <t>Provision en la manana, antes del pagado: con el pronostico, sin provision el saldo bajaria del 8 % del cupo ese dia. Lleva el saldo de 103.737.585 a 411.000.000 COP (cupo 411.000.000). Equipo administrado por TDV.</t>
        </is>
      </c>
      <c r="L1378" s="26" t="n">
        <v>411000000</v>
      </c>
      <c r="M1378" s="26" t="n">
        <v>103737585</v>
      </c>
      <c r="N1378" s="27">
        <f>IF(ISNUMBER(M1378),M1378/L1378,"No aplica")</f>
        <v>0.2524028832116788</v>
      </c>
      <c r="O1378" s="25">
        <f>IF(G1378="provision",M1378+H1378,IF(G1378="recoleccion",M1378-H1378,"No aplica"))</f>
        <v>411000000</v>
      </c>
      <c r="P1378" s="26" t="n">
        <v>154590</v>
      </c>
    </row>
    <row r="1379">
      <c r="A1379" t="inlineStr">
        <is>
          <t>PRAGMA</t>
        </is>
      </c>
      <c r="B1379" t="inlineStr">
        <is>
          <t>M1</t>
        </is>
      </c>
      <c r="C1379" t="inlineStr">
        <is>
          <t>Cali</t>
        </is>
      </c>
      <c r="D1379" t="inlineStr">
        <is>
          <t>9970</t>
        </is>
      </c>
      <c r="E1379" t="inlineStr">
        <is>
          <t>TDV</t>
        </is>
      </c>
      <c r="F1379" s="23" t="n">
        <v>46272</v>
      </c>
      <c r="G1379" t="inlineStr">
        <is>
          <t>provision</t>
        </is>
      </c>
      <c r="H1379" s="26" t="n">
        <v>287014505</v>
      </c>
      <c r="I1379" t="inlineStr">
        <is>
          <t>bajo</t>
        </is>
      </c>
      <c r="J1379" t="inlineStr">
        <is>
          <t>RN-11 y RN-34: provision hasta el cupo operativo antes de bajar del 8 %</t>
        </is>
      </c>
      <c r="K1379" t="inlineStr">
        <is>
          <t>Provision en la manana, antes del pagado: con el pronostico, sin provision el saldo bajaria del 8 % del cupo ese dia. Lleva el saldo de 123.985.495 a 411.000.000 COP (cupo 411.000.000). Equipo administrado por TDV.</t>
        </is>
      </c>
      <c r="L1379" s="26" t="n">
        <v>411000000</v>
      </c>
      <c r="M1379" s="26" t="n">
        <v>123985495</v>
      </c>
      <c r="N1379" s="27">
        <f>IF(ISNUMBER(M1379),M1379/L1379,"No aplica")</f>
        <v>0.3016678710462287</v>
      </c>
      <c r="O1379" s="25">
        <f>IF(G1379="provision",M1379+H1379,IF(G1379="recoleccion",M1379-H1379,"No aplica"))</f>
        <v>411000000</v>
      </c>
      <c r="P1379" s="26" t="n">
        <v>145640</v>
      </c>
    </row>
    <row r="1380">
      <c r="A1380" t="inlineStr">
        <is>
          <t>PRAGMA</t>
        </is>
      </c>
      <c r="B1380" t="inlineStr">
        <is>
          <t>M1</t>
        </is>
      </c>
      <c r="C1380" t="inlineStr">
        <is>
          <t>Cali</t>
        </is>
      </c>
      <c r="D1380" t="inlineStr">
        <is>
          <t>9970</t>
        </is>
      </c>
      <c r="E1380" t="inlineStr">
        <is>
          <t>TDV</t>
        </is>
      </c>
      <c r="F1380" s="23" t="n">
        <v>46273</v>
      </c>
      <c r="G1380" t="inlineStr">
        <is>
          <t>provision</t>
        </is>
      </c>
      <c r="H1380" s="26" t="n">
        <v>282926237</v>
      </c>
      <c r="I1380" t="inlineStr">
        <is>
          <t>bajo</t>
        </is>
      </c>
      <c r="J1380" t="inlineStr">
        <is>
          <t>RN-11 y RN-34: provision hasta el cupo operativo antes de bajar del 8 %</t>
        </is>
      </c>
      <c r="K1380" t="inlineStr">
        <is>
          <t>Provision en la manana, antes del pagado: con el pronostico, sin provision el saldo bajaria del 8 % del cupo ese dia. Lleva el saldo de 128.073.763 a 411.000.000 COP (cupo 411.000.000). Equipo administrado por TDV.</t>
        </is>
      </c>
      <c r="L1380" s="26" t="n">
        <v>411000000</v>
      </c>
      <c r="M1380" s="26" t="n">
        <v>128073763</v>
      </c>
      <c r="N1380" s="27">
        <f>IF(ISNUMBER(M1380),M1380/L1380,"No aplica")</f>
        <v>0.31161499513381996</v>
      </c>
      <c r="O1380" s="25">
        <f>IF(G1380="provision",M1380+H1380,IF(G1380="recoleccion",M1380-H1380,"No aplica"))</f>
        <v>411000000</v>
      </c>
      <c r="P1380" s="26" t="n">
        <v>143833</v>
      </c>
    </row>
    <row r="1381">
      <c r="A1381" t="inlineStr">
        <is>
          <t>PRAGMA</t>
        </is>
      </c>
      <c r="B1381" t="inlineStr">
        <is>
          <t>M1</t>
        </is>
      </c>
      <c r="C1381" t="inlineStr">
        <is>
          <t>Cali</t>
        </is>
      </c>
      <c r="D1381" t="inlineStr">
        <is>
          <t>9970</t>
        </is>
      </c>
      <c r="E1381" t="inlineStr">
        <is>
          <t>TDV</t>
        </is>
      </c>
      <c r="F1381" s="23" t="n">
        <v>46274</v>
      </c>
      <c r="G1381" t="inlineStr">
        <is>
          <t>provision</t>
        </is>
      </c>
      <c r="H1381" s="26" t="n">
        <v>279823491</v>
      </c>
      <c r="I1381" t="inlineStr">
        <is>
          <t>bajo</t>
        </is>
      </c>
      <c r="J1381" t="inlineStr">
        <is>
          <t>RN-11 y RN-34: provision hasta el cupo operativo antes de bajar del 8 %</t>
        </is>
      </c>
      <c r="K1381" t="inlineStr">
        <is>
          <t>Provision en la manana, antes del pagado: con el pronostico, sin provision el saldo bajaria del 8 % del cupo ese dia. Lleva el saldo de 131.176.509 a 411.000.000 COP (cupo 411.000.000). Equipo administrado por TDV.</t>
        </is>
      </c>
      <c r="L1381" s="26" t="n">
        <v>411000000</v>
      </c>
      <c r="M1381" s="26" t="n">
        <v>131176509</v>
      </c>
      <c r="N1381" s="27">
        <f>IF(ISNUMBER(M1381),M1381/L1381,"No aplica")</f>
        <v>0.31916425547445254</v>
      </c>
      <c r="O1381" s="25">
        <f>IF(G1381="provision",M1381+H1381,IF(G1381="recoleccion",M1381-H1381,"No aplica"))</f>
        <v>411000000</v>
      </c>
      <c r="P1381" s="26" t="n">
        <v>142462</v>
      </c>
    </row>
    <row r="1382">
      <c r="A1382" t="inlineStr">
        <is>
          <t>PRAGMA</t>
        </is>
      </c>
      <c r="B1382" t="inlineStr">
        <is>
          <t>M1</t>
        </is>
      </c>
      <c r="C1382" t="inlineStr">
        <is>
          <t>Cali</t>
        </is>
      </c>
      <c r="D1382" t="inlineStr">
        <is>
          <t>9970</t>
        </is>
      </c>
      <c r="E1382" t="inlineStr">
        <is>
          <t>TDV</t>
        </is>
      </c>
      <c r="F1382" s="23" t="n">
        <v>46275</v>
      </c>
      <c r="G1382" t="inlineStr">
        <is>
          <t>provision</t>
        </is>
      </c>
      <c r="H1382" s="26" t="n">
        <v>275526794</v>
      </c>
      <c r="I1382" t="inlineStr">
        <is>
          <t>bajo</t>
        </is>
      </c>
      <c r="J1382" t="inlineStr">
        <is>
          <t>RN-11 y RN-34: provision hasta el cupo operativo antes de bajar del 8 %</t>
        </is>
      </c>
      <c r="K1382" t="inlineStr">
        <is>
          <t>Provision en la manana, antes del pagado: con el pronostico, sin provision el saldo bajaria del 8 % del cupo ese dia. Lleva el saldo de 135.473.206 a 411.000.000 COP (cupo 411.000.000). Equipo administrado por TDV.</t>
        </is>
      </c>
      <c r="L1382" s="26" t="n">
        <v>411000000</v>
      </c>
      <c r="M1382" s="26" t="n">
        <v>135473206</v>
      </c>
      <c r="N1382" s="27">
        <f>IF(ISNUMBER(M1382),M1382/L1382,"No aplica")</f>
        <v>0.3296185060827251</v>
      </c>
      <c r="O1382" s="25">
        <f>IF(G1382="provision",M1382+H1382,IF(G1382="recoleccion",M1382-H1382,"No aplica"))</f>
        <v>411000000</v>
      </c>
      <c r="P1382" s="26" t="n">
        <v>140563</v>
      </c>
    </row>
    <row r="1383">
      <c r="A1383" t="inlineStr">
        <is>
          <t>PRAGMA</t>
        </is>
      </c>
      <c r="B1383" t="inlineStr">
        <is>
          <t>M1</t>
        </is>
      </c>
      <c r="C1383" t="inlineStr">
        <is>
          <t>Cali</t>
        </is>
      </c>
      <c r="D1383" t="inlineStr">
        <is>
          <t>9970</t>
        </is>
      </c>
      <c r="E1383" t="inlineStr">
        <is>
          <t>TDV</t>
        </is>
      </c>
      <c r="F1383" s="23" t="n">
        <v>46276</v>
      </c>
      <c r="G1383" t="inlineStr">
        <is>
          <t>provision</t>
        </is>
      </c>
      <c r="H1383" s="26" t="n">
        <v>252435442</v>
      </c>
      <c r="I1383" t="inlineStr">
        <is>
          <t>bajo</t>
        </is>
      </c>
      <c r="J1383" t="inlineStr">
        <is>
          <t>RN-11 y RN-34: provision hasta el cupo operativo antes de bajar del 8 %</t>
        </is>
      </c>
      <c r="K1383" t="inlineStr">
        <is>
          <t>Provision en la manana, antes del pagado: con el pronostico, sin provision el saldo bajaria del 8 % del cupo ese dia. Lleva el saldo de 158.564.558 a 411.000.000 COP (cupo 411.000.000). Equipo administrado por TDV.</t>
        </is>
      </c>
      <c r="L1383" s="26" t="n">
        <v>411000000</v>
      </c>
      <c r="M1383" s="26" t="n">
        <v>158564558</v>
      </c>
      <c r="N1383" s="27">
        <f>IF(ISNUMBER(M1383),M1383/L1383,"No aplica")</f>
        <v>0.38580184428223846</v>
      </c>
      <c r="O1383" s="25">
        <f>IF(G1383="provision",M1383+H1383,IF(G1383="recoleccion",M1383-H1383,"No aplica"))</f>
        <v>411000000</v>
      </c>
      <c r="P1383" s="26" t="n">
        <v>130356</v>
      </c>
    </row>
    <row r="1384">
      <c r="A1384" t="inlineStr">
        <is>
          <t>PRAGMA</t>
        </is>
      </c>
      <c r="B1384" t="inlineStr">
        <is>
          <t>M1</t>
        </is>
      </c>
      <c r="C1384" t="inlineStr">
        <is>
          <t>Cali</t>
        </is>
      </c>
      <c r="D1384" t="inlineStr">
        <is>
          <t>9970</t>
        </is>
      </c>
      <c r="E1384" t="inlineStr">
        <is>
          <t>TDV</t>
        </is>
      </c>
      <c r="F1384" s="23" t="n">
        <v>46277</v>
      </c>
      <c r="G1384" t="inlineStr">
        <is>
          <t>provision</t>
        </is>
      </c>
      <c r="H1384" s="26" t="n">
        <v>278254193</v>
      </c>
      <c r="I1384" t="inlineStr">
        <is>
          <t>bajo</t>
        </is>
      </c>
      <c r="J1384" t="inlineStr">
        <is>
          <t>RN-11 y RN-34: provision hasta el cupo operativo antes de bajar del 8 %</t>
        </is>
      </c>
      <c r="K1384" t="inlineStr">
        <is>
          <t>Provision en la manana, antes del pagado: con el pronostico, sin provision el saldo bajaria del 8 % del cupo ese dia. Lleva el saldo de 132.745.807 a 411.000.000 COP (cupo 411.000.000). Equipo administrado por TDV.</t>
        </is>
      </c>
      <c r="L1384" s="26" t="n">
        <v>411000000</v>
      </c>
      <c r="M1384" s="26" t="n">
        <v>132745807</v>
      </c>
      <c r="N1384" s="27">
        <f>IF(ISNUMBER(M1384),M1384/L1384,"No aplica")</f>
        <v>0.322982498783455</v>
      </c>
      <c r="O1384" s="25">
        <f>IF(G1384="provision",M1384+H1384,IF(G1384="recoleccion",M1384-H1384,"No aplica"))</f>
        <v>411000000</v>
      </c>
      <c r="P1384" s="26" t="n">
        <v>141768</v>
      </c>
    </row>
    <row r="1385">
      <c r="A1385" t="inlineStr">
        <is>
          <t>PRAGMA</t>
        </is>
      </c>
      <c r="B1385" t="inlineStr">
        <is>
          <t>M1</t>
        </is>
      </c>
      <c r="C1385" t="inlineStr">
        <is>
          <t>Cali</t>
        </is>
      </c>
      <c r="D1385" t="inlineStr">
        <is>
          <t>9970</t>
        </is>
      </c>
      <c r="E1385" t="inlineStr">
        <is>
          <t>TDV</t>
        </is>
      </c>
      <c r="F1385" s="23" t="n">
        <v>46279</v>
      </c>
      <c r="G1385" t="inlineStr">
        <is>
          <t>provision</t>
        </is>
      </c>
      <c r="H1385" s="26" t="n">
        <v>251071292</v>
      </c>
      <c r="I1385" t="inlineStr">
        <is>
          <t>bajo</t>
        </is>
      </c>
      <c r="J1385" t="inlineStr">
        <is>
          <t>RN-11 y RN-34: provision hasta el cupo operativo antes de bajar del 8 %</t>
        </is>
      </c>
      <c r="K1385" t="inlineStr">
        <is>
          <t>Provision en la manana, antes del pagado: con el pronostico, sin provision el saldo bajaria del 8 % del cupo ese dia. Lleva el saldo de 159.928.708 a 411.000.000 COP (cupo 411.000.000). Equipo administrado por TDV.</t>
        </is>
      </c>
      <c r="L1385" s="26" t="n">
        <v>411000000</v>
      </c>
      <c r="M1385" s="26" t="n">
        <v>159928708</v>
      </c>
      <c r="N1385" s="27">
        <f>IF(ISNUMBER(M1385),M1385/L1385,"No aplica")</f>
        <v>0.38912094403892944</v>
      </c>
      <c r="O1385" s="25">
        <f>IF(G1385="provision",M1385+H1385,IF(G1385="recoleccion",M1385-H1385,"No aplica"))</f>
        <v>411000000</v>
      </c>
      <c r="P1385" s="26" t="n">
        <v>129754</v>
      </c>
    </row>
    <row r="1386">
      <c r="A1386" t="inlineStr">
        <is>
          <t>PRAGMA</t>
        </is>
      </c>
      <c r="B1386" t="inlineStr">
        <is>
          <t>M1</t>
        </is>
      </c>
      <c r="C1386" t="inlineStr">
        <is>
          <t>Cali</t>
        </is>
      </c>
      <c r="D1386" t="inlineStr">
        <is>
          <t>9970</t>
        </is>
      </c>
      <c r="E1386" t="inlineStr">
        <is>
          <t>TDV</t>
        </is>
      </c>
      <c r="F1386" s="23" t="n">
        <v>46280</v>
      </c>
      <c r="G1386" t="inlineStr">
        <is>
          <t>provision</t>
        </is>
      </c>
      <c r="H1386" s="26" t="n">
        <v>259493031</v>
      </c>
      <c r="I1386" t="inlineStr">
        <is>
          <t>bajo</t>
        </is>
      </c>
      <c r="J1386" t="inlineStr">
        <is>
          <t>RN-11 y RN-34: provision hasta el cupo operativo antes de bajar del 8 %</t>
        </is>
      </c>
      <c r="K1386" t="inlineStr">
        <is>
          <t>Provision en la manana, antes del pagado: con el pronostico, sin provision el saldo bajaria del 8 % del cupo ese dia. Lleva el saldo de 151.506.969 a 411.000.000 COP (cupo 411.000.000). Equipo administrado por TDV.</t>
        </is>
      </c>
      <c r="L1386" s="26" t="n">
        <v>411000000</v>
      </c>
      <c r="M1386" s="26" t="n">
        <v>151506969</v>
      </c>
      <c r="N1386" s="27">
        <f>IF(ISNUMBER(M1386),M1386/L1386,"No aplica")</f>
        <v>0.36863009489051096</v>
      </c>
      <c r="O1386" s="25">
        <f>IF(G1386="provision",M1386+H1386,IF(G1386="recoleccion",M1386-H1386,"No aplica"))</f>
        <v>411000000</v>
      </c>
      <c r="P1386" s="26" t="n">
        <v>133476</v>
      </c>
    </row>
    <row r="1387">
      <c r="A1387" t="inlineStr">
        <is>
          <t>PRAGMA</t>
        </is>
      </c>
      <c r="B1387" t="inlineStr">
        <is>
          <t>M1</t>
        </is>
      </c>
      <c r="C1387" t="inlineStr">
        <is>
          <t>Cali</t>
        </is>
      </c>
      <c r="D1387" t="inlineStr">
        <is>
          <t>9976</t>
        </is>
      </c>
      <c r="E1387" t="inlineStr">
        <is>
          <t>TDV</t>
        </is>
      </c>
      <c r="F1387" s="23" t="n">
        <v>46269</v>
      </c>
      <c r="G1387" t="inlineStr">
        <is>
          <t>provision</t>
        </is>
      </c>
      <c r="H1387" s="26" t="n">
        <v>334211491</v>
      </c>
      <c r="I1387" t="inlineStr">
        <is>
          <t>bajo</t>
        </is>
      </c>
      <c r="J1387" t="inlineStr">
        <is>
          <t>RN-11 y RN-34: provision hasta el cupo operativo antes de bajar del 8 %</t>
        </is>
      </c>
      <c r="K1387" t="inlineStr">
        <is>
          <t>Provision en la manana, antes del pagado: con el pronostico, sin provision el saldo bajaria del 8 % del cupo ese dia. Lleva el saldo de 76.788.509 a 411.000.000 COP (cupo 411.000.000). Equipo administrado por TDV.</t>
        </is>
      </c>
      <c r="L1387" s="26" t="n">
        <v>411000000</v>
      </c>
      <c r="M1387" s="26" t="n">
        <v>76788509</v>
      </c>
      <c r="N1387" s="27">
        <f>IF(ISNUMBER(M1387),M1387/L1387,"No aplica")</f>
        <v>0.18683335523114356</v>
      </c>
      <c r="O1387" s="25">
        <f>IF(G1387="provision",M1387+H1387,IF(G1387="recoleccion",M1387-H1387,"No aplica"))</f>
        <v>411000000</v>
      </c>
      <c r="P1387" s="26" t="n">
        <v>118450</v>
      </c>
    </row>
    <row r="1388">
      <c r="A1388" t="inlineStr">
        <is>
          <t>PRAGMA</t>
        </is>
      </c>
      <c r="B1388" t="inlineStr">
        <is>
          <t>M1</t>
        </is>
      </c>
      <c r="C1388" t="inlineStr">
        <is>
          <t>Cali</t>
        </is>
      </c>
      <c r="D1388" t="inlineStr">
        <is>
          <t>9976</t>
        </is>
      </c>
      <c r="E1388" t="inlineStr">
        <is>
          <t>TDV</t>
        </is>
      </c>
      <c r="F1388" s="23" t="n">
        <v>46274</v>
      </c>
      <c r="G1388" t="inlineStr">
        <is>
          <t>provision</t>
        </is>
      </c>
      <c r="H1388" s="26" t="n">
        <v>377106334</v>
      </c>
      <c r="I1388" t="inlineStr">
        <is>
          <t>bajo</t>
        </is>
      </c>
      <c r="J1388" t="inlineStr">
        <is>
          <t>RN-11 y RN-34: provision hasta el cupo operativo antes de bajar del 8 %</t>
        </is>
      </c>
      <c r="K1388" t="inlineStr">
        <is>
          <t>Provision en la manana, antes del pagado: con el pronostico, sin provision el saldo bajaria del 8 % del cupo ese dia. Lleva el saldo de 33.893.666 a 411.000.000 COP (cupo 411.000.000). Equipo administrado por TDV.</t>
        </is>
      </c>
      <c r="L1388" s="26" t="n">
        <v>411000000</v>
      </c>
      <c r="M1388" s="26" t="n">
        <v>33893666</v>
      </c>
      <c r="N1388" s="27">
        <f>IF(ISNUMBER(M1388),M1388/L1388,"No aplica")</f>
        <v>0.08246634063260341</v>
      </c>
      <c r="O1388" s="25">
        <f>IF(G1388="provision",M1388+H1388,IF(G1388="recoleccion",M1388-H1388,"No aplica"))</f>
        <v>411000000</v>
      </c>
      <c r="P1388" s="26" t="n">
        <v>131532</v>
      </c>
    </row>
    <row r="1389">
      <c r="A1389" t="inlineStr">
        <is>
          <t>PRAGMA</t>
        </is>
      </c>
      <c r="B1389" t="inlineStr">
        <is>
          <t>M1</t>
        </is>
      </c>
      <c r="C1389" t="inlineStr">
        <is>
          <t>Cali</t>
        </is>
      </c>
      <c r="D1389" t="inlineStr">
        <is>
          <t>9976</t>
        </is>
      </c>
      <c r="E1389" t="inlineStr">
        <is>
          <t>TDV</t>
        </is>
      </c>
      <c r="F1389" s="23" t="n">
        <v>46279</v>
      </c>
      <c r="G1389" t="inlineStr">
        <is>
          <t>provision</t>
        </is>
      </c>
      <c r="H1389" s="26" t="n">
        <v>316305400</v>
      </c>
      <c r="I1389" t="inlineStr">
        <is>
          <t>bajo</t>
        </is>
      </c>
      <c r="J1389" t="inlineStr">
        <is>
          <t>RN-11 y RN-34: provision hasta el cupo operativo antes de bajar del 8 %</t>
        </is>
      </c>
      <c r="K1389" t="inlineStr">
        <is>
          <t>Provision en la manana, antes del pagado: con el pronostico, sin provision el saldo bajaria del 8 % del cupo ese dia. Lleva el saldo de 94.694.600 a 411.000.000 COP (cupo 411.000.000). Equipo administrado por TDV.</t>
        </is>
      </c>
      <c r="L1389" s="26" t="n">
        <v>411000000</v>
      </c>
      <c r="M1389" s="26" t="n">
        <v>94694600</v>
      </c>
      <c r="N1389" s="27">
        <f>IF(ISNUMBER(M1389),M1389/L1389,"No aplica")</f>
        <v>0.23040048661800486</v>
      </c>
      <c r="O1389" s="25">
        <f>IF(G1389="provision",M1389+H1389,IF(G1389="recoleccion",M1389-H1389,"No aplica"))</f>
        <v>411000000</v>
      </c>
      <c r="P1389" s="26" t="n">
        <v>112988</v>
      </c>
    </row>
    <row r="1390">
      <c r="A1390" t="inlineStr">
        <is>
          <t>PRAGMA</t>
        </is>
      </c>
      <c r="B1390" t="inlineStr">
        <is>
          <t>M1</t>
        </is>
      </c>
      <c r="C1390" t="inlineStr">
        <is>
          <t>Cali</t>
        </is>
      </c>
      <c r="D1390" t="inlineStr">
        <is>
          <t>9977</t>
        </is>
      </c>
      <c r="E1390" t="inlineStr">
        <is>
          <t>TDV</t>
        </is>
      </c>
      <c r="F1390" s="23" t="n">
        <v>46268</v>
      </c>
      <c r="G1390" t="inlineStr">
        <is>
          <t>provision</t>
        </is>
      </c>
      <c r="H1390" s="26" t="n">
        <v>288523772</v>
      </c>
      <c r="I1390" t="inlineStr">
        <is>
          <t>bajo</t>
        </is>
      </c>
      <c r="J1390" t="inlineStr">
        <is>
          <t>RN-11 y RN-34: provision hasta el cupo operativo antes de bajar del 8 %</t>
        </is>
      </c>
      <c r="K1390" t="inlineStr">
        <is>
          <t>Provision en la manana, antes del pagado: con el pronostico, sin provision el saldo bajaria del 8 % del cupo ese dia. Lleva el saldo de 122.476.228 a 411.000.000 COP (cupo 411.000.000). Equipo administrado por TDV.</t>
        </is>
      </c>
      <c r="L1390" s="26" t="n">
        <v>411000000</v>
      </c>
      <c r="M1390" s="26" t="n">
        <v>122476228</v>
      </c>
      <c r="N1390" s="27">
        <f>IF(ISNUMBER(M1390),M1390/L1390,"No aplica")</f>
        <v>0.2979956885644769</v>
      </c>
      <c r="O1390" s="25">
        <f>IF(G1390="provision",M1390+H1390,IF(G1390="recoleccion",M1390-H1390,"No aplica"))</f>
        <v>411000000</v>
      </c>
      <c r="P1390" s="26" t="n">
        <v>104515</v>
      </c>
    </row>
    <row r="1391">
      <c r="A1391" t="inlineStr">
        <is>
          <t>PRAGMA</t>
        </is>
      </c>
      <c r="B1391" t="inlineStr">
        <is>
          <t>M1</t>
        </is>
      </c>
      <c r="C1391" t="inlineStr">
        <is>
          <t>Cali</t>
        </is>
      </c>
      <c r="D1391" t="inlineStr">
        <is>
          <t>9977</t>
        </is>
      </c>
      <c r="E1391" t="inlineStr">
        <is>
          <t>TDV</t>
        </is>
      </c>
      <c r="F1391" s="23" t="n">
        <v>46271</v>
      </c>
      <c r="G1391" t="inlineStr">
        <is>
          <t>provision</t>
        </is>
      </c>
      <c r="H1391" s="26" t="n">
        <v>350019718</v>
      </c>
      <c r="I1391" t="inlineStr">
        <is>
          <t>bajo</t>
        </is>
      </c>
      <c r="J1391" t="inlineStr">
        <is>
          <t>RN-11 y RN-34: provision hasta el cupo operativo antes de bajar del 8 %</t>
        </is>
      </c>
      <c r="K1391" t="inlineStr">
        <is>
          <t>Provision en la manana, antes del pagado: con el pronostico, sin provision el saldo bajaria del 8 % del cupo ese dia. Lleva el saldo de 60.980.282 a 411.000.000 COP (cupo 411.000.000). Equipo administrado por TDV.</t>
        </is>
      </c>
      <c r="L1391" s="26" t="n">
        <v>411000000</v>
      </c>
      <c r="M1391" s="26" t="n">
        <v>60980282</v>
      </c>
      <c r="N1391" s="27">
        <f>IF(ISNUMBER(M1391),M1391/L1391,"No aplica")</f>
        <v>0.14837051581508515</v>
      </c>
      <c r="O1391" s="25">
        <f>IF(G1391="provision",M1391+H1391,IF(G1391="recoleccion",M1391-H1391,"No aplica"))</f>
        <v>411000000</v>
      </c>
      <c r="P1391" s="26" t="n">
        <v>174606</v>
      </c>
    </row>
    <row r="1392">
      <c r="A1392" t="inlineStr">
        <is>
          <t>PRAGMA</t>
        </is>
      </c>
      <c r="B1392" t="inlineStr">
        <is>
          <t>M1</t>
        </is>
      </c>
      <c r="C1392" t="inlineStr">
        <is>
          <t>Cali</t>
        </is>
      </c>
      <c r="D1392" t="inlineStr">
        <is>
          <t>9977</t>
        </is>
      </c>
      <c r="E1392" t="inlineStr">
        <is>
          <t>TDV</t>
        </is>
      </c>
      <c r="F1392" s="23" t="n">
        <v>46275</v>
      </c>
      <c r="G1392" t="inlineStr">
        <is>
          <t>provision</t>
        </is>
      </c>
      <c r="H1392" s="26" t="n">
        <v>353927120</v>
      </c>
      <c r="I1392" t="inlineStr">
        <is>
          <t>bajo</t>
        </is>
      </c>
      <c r="J1392" t="inlineStr">
        <is>
          <t>RN-11 y RN-34: provision hasta el cupo operativo antes de bajar del 8 %</t>
        </is>
      </c>
      <c r="K1392" t="inlineStr">
        <is>
          <t>Provision en la manana, antes del pagado: con el pronostico, sin provision el saldo bajaria del 8 % del cupo ese dia. Lleva el saldo de 57.072.880 a 411.000.000 COP (cupo 411.000.000). Equipo administrado por TDV.</t>
        </is>
      </c>
      <c r="L1392" s="26" t="n">
        <v>411000000</v>
      </c>
      <c r="M1392" s="26" t="n">
        <v>57072880</v>
      </c>
      <c r="N1392" s="27">
        <f>IF(ISNUMBER(M1392),M1392/L1392,"No aplica")</f>
        <v>0.13886345498783456</v>
      </c>
      <c r="O1392" s="25">
        <f>IF(G1392="provision",M1392+H1392,IF(G1392="recoleccion",M1392-H1392,"No aplica"))</f>
        <v>411000000</v>
      </c>
      <c r="P1392" s="26" t="n">
        <v>124463</v>
      </c>
    </row>
    <row r="1393">
      <c r="A1393" t="inlineStr">
        <is>
          <t>PRAGMA</t>
        </is>
      </c>
      <c r="B1393" t="inlineStr">
        <is>
          <t>M1</t>
        </is>
      </c>
      <c r="C1393" t="inlineStr">
        <is>
          <t>Cali</t>
        </is>
      </c>
      <c r="D1393" t="inlineStr">
        <is>
          <t>9977</t>
        </is>
      </c>
      <c r="E1393" t="inlineStr">
        <is>
          <t>TDV</t>
        </is>
      </c>
      <c r="F1393" s="23" t="n">
        <v>46279</v>
      </c>
      <c r="G1393" t="inlineStr">
        <is>
          <t>provision</t>
        </is>
      </c>
      <c r="H1393" s="26" t="n">
        <v>309227239</v>
      </c>
      <c r="I1393" t="inlineStr">
        <is>
          <t>bajo</t>
        </is>
      </c>
      <c r="J1393" t="inlineStr">
        <is>
          <t>RN-11 y RN-34: provision hasta el cupo operativo antes de bajar del 8 %</t>
        </is>
      </c>
      <c r="K1393" t="inlineStr">
        <is>
          <t>Provision en la manana, antes del pagado: con el pronostico, sin provision el saldo bajaria del 8 % del cupo ese dia. Lleva el saldo de 101.772.761 a 411.000.000 COP (cupo 411.000.000). Equipo administrado por TDV.</t>
        </is>
      </c>
      <c r="L1393" s="26" t="n">
        <v>411000000</v>
      </c>
      <c r="M1393" s="26" t="n">
        <v>101772761</v>
      </c>
      <c r="N1393" s="27">
        <f>IF(ISNUMBER(M1393),M1393/L1393,"No aplica")</f>
        <v>0.2476222895377129</v>
      </c>
      <c r="O1393" s="25">
        <f>IF(G1393="provision",M1393+H1393,IF(G1393="recoleccion",M1393-H1393,"No aplica"))</f>
        <v>411000000</v>
      </c>
      <c r="P1393" s="26" t="n">
        <v>110829</v>
      </c>
    </row>
    <row r="1394">
      <c r="A1394" t="inlineStr">
        <is>
          <t>PRAGMA</t>
        </is>
      </c>
      <c r="B1394" t="inlineStr">
        <is>
          <t>M1</t>
        </is>
      </c>
      <c r="C1394" t="inlineStr">
        <is>
          <t>Cali</t>
        </is>
      </c>
      <c r="D1394" t="inlineStr">
        <is>
          <t>9978</t>
        </is>
      </c>
      <c r="E1394" t="inlineStr">
        <is>
          <t>TDV</t>
        </is>
      </c>
      <c r="F1394" s="23" t="n">
        <v>46268</v>
      </c>
      <c r="G1394" t="inlineStr">
        <is>
          <t>provision</t>
        </is>
      </c>
      <c r="H1394" s="26" t="n">
        <v>288026893</v>
      </c>
      <c r="I1394" t="inlineStr">
        <is>
          <t>bajo</t>
        </is>
      </c>
      <c r="J1394" t="inlineStr">
        <is>
          <t>RN-11 y RN-34: provision hasta el cupo operativo antes de bajar del 8 %</t>
        </is>
      </c>
      <c r="K1394" t="inlineStr">
        <is>
          <t>Provision en la manana, antes del pagado: con el pronostico, sin provision el saldo bajaria del 8 % del cupo ese dia. Lleva el saldo de 122.973.107 a 411.000.000 COP (cupo 411.000.000). Equipo administrado por TDV.</t>
        </is>
      </c>
      <c r="L1394" s="26" t="n">
        <v>411000000</v>
      </c>
      <c r="M1394" s="26" t="n">
        <v>122973107</v>
      </c>
      <c r="N1394" s="27">
        <f>IF(ISNUMBER(M1394),M1394/L1394,"No aplica")</f>
        <v>0.2992046399026764</v>
      </c>
      <c r="O1394" s="25">
        <f>IF(G1394="provision",M1394+H1394,IF(G1394="recoleccion",M1394-H1394,"No aplica"))</f>
        <v>411000000</v>
      </c>
      <c r="P1394" s="26" t="n">
        <v>104363</v>
      </c>
    </row>
    <row r="1395">
      <c r="A1395" t="inlineStr">
        <is>
          <t>PRAGMA</t>
        </is>
      </c>
      <c r="B1395" t="inlineStr">
        <is>
          <t>M1</t>
        </is>
      </c>
      <c r="C1395" t="inlineStr">
        <is>
          <t>Cali</t>
        </is>
      </c>
      <c r="D1395" t="inlineStr">
        <is>
          <t>9978</t>
        </is>
      </c>
      <c r="E1395" t="inlineStr">
        <is>
          <t>TDV</t>
        </is>
      </c>
      <c r="F1395" s="23" t="n">
        <v>46271</v>
      </c>
      <c r="G1395" t="inlineStr">
        <is>
          <t>provision</t>
        </is>
      </c>
      <c r="H1395" s="26" t="n">
        <v>333846393</v>
      </c>
      <c r="I1395" t="inlineStr">
        <is>
          <t>bajo</t>
        </is>
      </c>
      <c r="J1395" t="inlineStr">
        <is>
          <t>RN-11 y RN-34: provision hasta el cupo operativo antes de bajar del 8 %</t>
        </is>
      </c>
      <c r="K1395" t="inlineStr">
        <is>
          <t>Provision en la manana, antes del pagado: con el pronostico, sin provision el saldo bajaria del 8 % del cupo ese dia. Lleva el saldo de 77.153.607 a 411.000.000 COP (cupo 411.000.000). Equipo administrado por TDV.</t>
        </is>
      </c>
      <c r="L1395" s="26" t="n">
        <v>411000000</v>
      </c>
      <c r="M1395" s="26" t="n">
        <v>77153607</v>
      </c>
      <c r="N1395" s="27">
        <f>IF(ISNUMBER(M1395),M1395/L1395,"No aplica")</f>
        <v>0.18772167153284672</v>
      </c>
      <c r="O1395" s="25">
        <f>IF(G1395="provision",M1395+H1395,IF(G1395="recoleccion",M1395-H1395,"No aplica"))</f>
        <v>411000000</v>
      </c>
      <c r="P1395" s="26" t="n">
        <v>167636</v>
      </c>
    </row>
    <row r="1396">
      <c r="A1396" t="inlineStr">
        <is>
          <t>PRAGMA</t>
        </is>
      </c>
      <c r="B1396" t="inlineStr">
        <is>
          <t>M1</t>
        </is>
      </c>
      <c r="C1396" t="inlineStr">
        <is>
          <t>Cali</t>
        </is>
      </c>
      <c r="D1396" t="inlineStr">
        <is>
          <t>9978</t>
        </is>
      </c>
      <c r="E1396" t="inlineStr">
        <is>
          <t>TDV</t>
        </is>
      </c>
      <c r="F1396" s="23" t="n">
        <v>46275</v>
      </c>
      <c r="G1396" t="inlineStr">
        <is>
          <t>provision</t>
        </is>
      </c>
      <c r="H1396" s="26" t="n">
        <v>338701302</v>
      </c>
      <c r="I1396" t="inlineStr">
        <is>
          <t>bajo</t>
        </is>
      </c>
      <c r="J1396" t="inlineStr">
        <is>
          <t>RN-11 y RN-34: provision hasta el cupo operativo antes de bajar del 8 %</t>
        </is>
      </c>
      <c r="K1396" t="inlineStr">
        <is>
          <t>Provision en la manana, antes del pagado: con el pronostico, sin provision el saldo bajaria del 8 % del cupo ese dia. Lleva el saldo de 72.298.698 a 411.000.000 COP (cupo 411.000.000). Equipo administrado por TDV.</t>
        </is>
      </c>
      <c r="L1396" s="26" t="n">
        <v>411000000</v>
      </c>
      <c r="M1396" s="26" t="n">
        <v>72298698</v>
      </c>
      <c r="N1396" s="27">
        <f>IF(ISNUMBER(M1396),M1396/L1396,"No aplica")</f>
        <v>0.17590924087591242</v>
      </c>
      <c r="O1396" s="25">
        <f>IF(G1396="provision",M1396+H1396,IF(G1396="recoleccion",M1396-H1396,"No aplica"))</f>
        <v>411000000</v>
      </c>
      <c r="P1396" s="26" t="n">
        <v>119819</v>
      </c>
    </row>
    <row r="1397">
      <c r="A1397" t="inlineStr">
        <is>
          <t>PRAGMA</t>
        </is>
      </c>
      <c r="B1397" t="inlineStr">
        <is>
          <t>M1</t>
        </is>
      </c>
      <c r="C1397" t="inlineStr">
        <is>
          <t>Cali</t>
        </is>
      </c>
      <c r="D1397" t="inlineStr">
        <is>
          <t>9978</t>
        </is>
      </c>
      <c r="E1397" t="inlineStr">
        <is>
          <t>TDV</t>
        </is>
      </c>
      <c r="F1397" s="23" t="n">
        <v>46280</v>
      </c>
      <c r="G1397" t="inlineStr">
        <is>
          <t>provision</t>
        </is>
      </c>
      <c r="H1397" s="26" t="n">
        <v>361225853</v>
      </c>
      <c r="I1397" t="inlineStr">
        <is>
          <t>bajo</t>
        </is>
      </c>
      <c r="J1397" t="inlineStr">
        <is>
          <t>RN-11 y RN-34: provision hasta el cupo operativo antes de bajar del 8 %</t>
        </is>
      </c>
      <c r="K1397" t="inlineStr">
        <is>
          <t>Provision en la manana, antes del pagado: con el pronostico, sin provision el saldo bajaria del 8 % del cupo ese dia. Lleva el saldo de 49.774.147 a 411.000.000 COP (cupo 411.000.000). Equipo administrado por TDV.</t>
        </is>
      </c>
      <c r="L1397" s="26" t="n">
        <v>411000000</v>
      </c>
      <c r="M1397" s="26" t="n">
        <v>49774147</v>
      </c>
      <c r="N1397" s="27">
        <f>IF(ISNUMBER(M1397),M1397/L1397,"No aplica")</f>
        <v>0.12110498053527981</v>
      </c>
      <c r="O1397" s="25">
        <f>IF(G1397="provision",M1397+H1397,IF(G1397="recoleccion",M1397-H1397,"No aplica"))</f>
        <v>411000000</v>
      </c>
      <c r="P1397" s="26" t="n">
        <v>126689</v>
      </c>
    </row>
    <row r="1398">
      <c r="A1398" t="inlineStr">
        <is>
          <t>PRAGMA</t>
        </is>
      </c>
      <c r="B1398" t="inlineStr">
        <is>
          <t>M1</t>
        </is>
      </c>
      <c r="C1398" t="inlineStr">
        <is>
          <t>Cali</t>
        </is>
      </c>
      <c r="D1398" t="inlineStr">
        <is>
          <t>9979</t>
        </is>
      </c>
      <c r="E1398" t="inlineStr">
        <is>
          <t>TDV</t>
        </is>
      </c>
      <c r="F1398" s="23" t="n">
        <v>46269</v>
      </c>
      <c r="G1398" t="inlineStr">
        <is>
          <t>provision</t>
        </is>
      </c>
      <c r="H1398" s="26" t="n">
        <v>356790151</v>
      </c>
      <c r="I1398" t="inlineStr">
        <is>
          <t>bajo</t>
        </is>
      </c>
      <c r="J1398" t="inlineStr">
        <is>
          <t>RN-11 y RN-34: provision hasta el cupo operativo antes de bajar del 8 %</t>
        </is>
      </c>
      <c r="K1398" t="inlineStr">
        <is>
          <t>Provision en la manana, antes del pagado: con el pronostico, sin provision el saldo bajaria del 8 % del cupo ese dia. Lleva el saldo de 54.209.849 a 411.000.000 COP (cupo 411.000.000). Equipo administrado por TDV.</t>
        </is>
      </c>
      <c r="L1398" s="26" t="n">
        <v>411000000</v>
      </c>
      <c r="M1398" s="26" t="n">
        <v>54209849</v>
      </c>
      <c r="N1398" s="27">
        <f>IF(ISNUMBER(M1398),M1398/L1398,"No aplica")</f>
        <v>0.13189744282238444</v>
      </c>
      <c r="O1398" s="25">
        <f>IF(G1398="provision",M1398+H1398,IF(G1398="recoleccion",M1398-H1398,"No aplica"))</f>
        <v>411000000</v>
      </c>
      <c r="P1398" s="26" t="n">
        <v>125336</v>
      </c>
    </row>
    <row r="1399">
      <c r="A1399" t="inlineStr">
        <is>
          <t>PRAGMA</t>
        </is>
      </c>
      <c r="B1399" t="inlineStr">
        <is>
          <t>M1</t>
        </is>
      </c>
      <c r="C1399" t="inlineStr">
        <is>
          <t>Cali</t>
        </is>
      </c>
      <c r="D1399" t="inlineStr">
        <is>
          <t>9979</t>
        </is>
      </c>
      <c r="E1399" t="inlineStr">
        <is>
          <t>TDV</t>
        </is>
      </c>
      <c r="F1399" s="23" t="n">
        <v>46273</v>
      </c>
      <c r="G1399" t="inlineStr">
        <is>
          <t>provision</t>
        </is>
      </c>
      <c r="H1399" s="26" t="n">
        <v>329138313</v>
      </c>
      <c r="I1399" t="inlineStr">
        <is>
          <t>bajo</t>
        </is>
      </c>
      <c r="J1399" t="inlineStr">
        <is>
          <t>RN-11 y RN-34: provision hasta el cupo operativo antes de bajar del 8 %</t>
        </is>
      </c>
      <c r="K1399" t="inlineStr">
        <is>
          <t>Provision en la manana, antes del pagado: con el pronostico, sin provision el saldo bajaria del 8 % del cupo ese dia. Lleva el saldo de 81.861.687 a 411.000.000 COP (cupo 411.000.000). Equipo administrado por TDV.</t>
        </is>
      </c>
      <c r="L1399" s="26" t="n">
        <v>411000000</v>
      </c>
      <c r="M1399" s="26" t="n">
        <v>81861687</v>
      </c>
      <c r="N1399" s="27">
        <f>IF(ISNUMBER(M1399),M1399/L1399,"No aplica")</f>
        <v>0.19917685401459853</v>
      </c>
      <c r="O1399" s="25">
        <f>IF(G1399="provision",M1399+H1399,IF(G1399="recoleccion",M1399-H1399,"No aplica"))</f>
        <v>411000000</v>
      </c>
      <c r="P1399" s="26" t="n">
        <v>116902</v>
      </c>
    </row>
    <row r="1400">
      <c r="A1400" t="inlineStr">
        <is>
          <t>PRAGMA</t>
        </is>
      </c>
      <c r="B1400" t="inlineStr">
        <is>
          <t>M1</t>
        </is>
      </c>
      <c r="C1400" t="inlineStr">
        <is>
          <t>Cali</t>
        </is>
      </c>
      <c r="D1400" t="inlineStr">
        <is>
          <t>9979</t>
        </is>
      </c>
      <c r="E1400" t="inlineStr">
        <is>
          <t>TDV</t>
        </is>
      </c>
      <c r="F1400" s="23" t="n">
        <v>46277</v>
      </c>
      <c r="G1400" t="inlineStr">
        <is>
          <t>provision</t>
        </is>
      </c>
      <c r="H1400" s="26" t="n">
        <v>307027304</v>
      </c>
      <c r="I1400" t="inlineStr">
        <is>
          <t>bajo</t>
        </is>
      </c>
      <c r="J1400" t="inlineStr">
        <is>
          <t>RN-11 y RN-34: provision hasta el cupo operativo antes de bajar del 8 %</t>
        </is>
      </c>
      <c r="K1400" t="inlineStr">
        <is>
          <t>Provision en la manana, antes del pagado: con el pronostico, sin provision el saldo bajaria del 8 % del cupo ese dia. Lleva el saldo de 103.972.696 a 411.000.000 COP (cupo 411.000.000). Equipo administrado por TDV.</t>
        </is>
      </c>
      <c r="L1400" s="26" t="n">
        <v>411000000</v>
      </c>
      <c r="M1400" s="26" t="n">
        <v>103972696</v>
      </c>
      <c r="N1400" s="27">
        <f>IF(ISNUMBER(M1400),M1400/L1400,"No aplica")</f>
        <v>0.2529749294403893</v>
      </c>
      <c r="O1400" s="25">
        <f>IF(G1400="provision",M1400+H1400,IF(G1400="recoleccion",M1400-H1400,"No aplica"))</f>
        <v>411000000</v>
      </c>
      <c r="P1400" s="26" t="n">
        <v>110158</v>
      </c>
    </row>
    <row r="1401">
      <c r="A1401" t="inlineStr">
        <is>
          <t>PRAGMA</t>
        </is>
      </c>
      <c r="B1401" t="inlineStr">
        <is>
          <t>M1</t>
        </is>
      </c>
      <c r="C1401" t="inlineStr">
        <is>
          <t>Cali</t>
        </is>
      </c>
      <c r="D1401" t="inlineStr">
        <is>
          <t>9980</t>
        </is>
      </c>
      <c r="E1401" t="inlineStr">
        <is>
          <t>TDV</t>
        </is>
      </c>
      <c r="F1401" s="23" t="n">
        <v>46269</v>
      </c>
      <c r="G1401" t="inlineStr">
        <is>
          <t>provision</t>
        </is>
      </c>
      <c r="H1401" s="26" t="n">
        <v>316650992</v>
      </c>
      <c r="I1401" t="inlineStr">
        <is>
          <t>bajo</t>
        </is>
      </c>
      <c r="J1401" t="inlineStr">
        <is>
          <t>RN-11 y RN-34: provision hasta el cupo operativo antes de bajar del 8 %</t>
        </is>
      </c>
      <c r="K1401" t="inlineStr">
        <is>
          <t>Provision en la manana, antes del pagado: con el pronostico, sin provision el saldo bajaria del 8 % del cupo ese dia. Lleva el saldo de 94.349.008 a 411.000.000 COP (cupo 411.000.000). Equipo administrado por TDV.</t>
        </is>
      </c>
      <c r="L1401" s="26" t="n">
        <v>411000000</v>
      </c>
      <c r="M1401" s="26" t="n">
        <v>94349008</v>
      </c>
      <c r="N1401" s="27">
        <f>IF(ISNUMBER(M1401),M1401/L1401,"No aplica")</f>
        <v>0.2295596301703163</v>
      </c>
      <c r="O1401" s="25">
        <f>IF(G1401="provision",M1401+H1401,IF(G1401="recoleccion",M1401-H1401,"No aplica"))</f>
        <v>411000000</v>
      </c>
      <c r="P1401" s="26" t="n">
        <v>113094</v>
      </c>
    </row>
    <row r="1402">
      <c r="A1402" t="inlineStr">
        <is>
          <t>PRAGMA</t>
        </is>
      </c>
      <c r="B1402" t="inlineStr">
        <is>
          <t>M1</t>
        </is>
      </c>
      <c r="C1402" t="inlineStr">
        <is>
          <t>Cali</t>
        </is>
      </c>
      <c r="D1402" t="inlineStr">
        <is>
          <t>9980</t>
        </is>
      </c>
      <c r="E1402" t="inlineStr">
        <is>
          <t>TDV</t>
        </is>
      </c>
      <c r="F1402" s="23" t="n">
        <v>46274</v>
      </c>
      <c r="G1402" t="inlineStr">
        <is>
          <t>provision</t>
        </is>
      </c>
      <c r="H1402" s="26" t="n">
        <v>345129022</v>
      </c>
      <c r="I1402" t="inlineStr">
        <is>
          <t>bajo</t>
        </is>
      </c>
      <c r="J1402" t="inlineStr">
        <is>
          <t>RN-11 y RN-34: provision hasta el cupo operativo antes de bajar del 8 %</t>
        </is>
      </c>
      <c r="K1402" t="inlineStr">
        <is>
          <t>Provision en la manana, antes del pagado: con el pronostico, sin provision el saldo bajaria del 8 % del cupo ese dia. Lleva el saldo de 65.870.978 a 411.000.000 COP (cupo 411.000.000). Equipo administrado por TDV.</t>
        </is>
      </c>
      <c r="L1402" s="26" t="n">
        <v>411000000</v>
      </c>
      <c r="M1402" s="26" t="n">
        <v>65870978</v>
      </c>
      <c r="N1402" s="27">
        <f>IF(ISNUMBER(M1402),M1402/L1402,"No aplica")</f>
        <v>0.1602700194647202</v>
      </c>
      <c r="O1402" s="25">
        <f>IF(G1402="provision",M1402+H1402,IF(G1402="recoleccion",M1402-H1402,"No aplica"))</f>
        <v>411000000</v>
      </c>
      <c r="P1402" s="26" t="n">
        <v>121779</v>
      </c>
    </row>
    <row r="1403">
      <c r="A1403" t="inlineStr">
        <is>
          <t>PRAGMA</t>
        </is>
      </c>
      <c r="B1403" t="inlineStr">
        <is>
          <t>M1</t>
        </is>
      </c>
      <c r="C1403" t="inlineStr">
        <is>
          <t>Cali</t>
        </is>
      </c>
      <c r="D1403" t="inlineStr">
        <is>
          <t>9980</t>
        </is>
      </c>
      <c r="E1403" t="inlineStr">
        <is>
          <t>TDV</t>
        </is>
      </c>
      <c r="F1403" s="23" t="n">
        <v>46280</v>
      </c>
      <c r="G1403" t="inlineStr">
        <is>
          <t>provision</t>
        </is>
      </c>
      <c r="H1403" s="26" t="n">
        <v>344962349</v>
      </c>
      <c r="I1403" t="inlineStr">
        <is>
          <t>bajo</t>
        </is>
      </c>
      <c r="J1403" t="inlineStr">
        <is>
          <t>RN-11 y RN-34: provision hasta el cupo operativo antes de bajar del 8 %</t>
        </is>
      </c>
      <c r="K1403" t="inlineStr">
        <is>
          <t>Provision en la manana, antes del pagado: con el pronostico, sin provision el saldo bajaria del 8 % del cupo ese dia. Lleva el saldo de 66.037.651 a 411.000.000 COP (cupo 411.000.000). Equipo administrado por TDV.</t>
        </is>
      </c>
      <c r="L1403" s="26" t="n">
        <v>411000000</v>
      </c>
      <c r="M1403" s="26" t="n">
        <v>66037651</v>
      </c>
      <c r="N1403" s="27">
        <f>IF(ISNUMBER(M1403),M1403/L1403,"No aplica")</f>
        <v>0.1606755498783455</v>
      </c>
      <c r="O1403" s="25">
        <f>IF(G1403="provision",M1403+H1403,IF(G1403="recoleccion",M1403-H1403,"No aplica"))</f>
        <v>411000000</v>
      </c>
      <c r="P1403" s="26" t="n">
        <v>121729</v>
      </c>
    </row>
    <row r="1404">
      <c r="A1404" t="inlineStr">
        <is>
          <t>PRAGMA</t>
        </is>
      </c>
      <c r="B1404" t="inlineStr">
        <is>
          <t>M1</t>
        </is>
      </c>
      <c r="C1404" t="inlineStr">
        <is>
          <t>Cali</t>
        </is>
      </c>
      <c r="D1404" t="inlineStr">
        <is>
          <t>9981</t>
        </is>
      </c>
      <c r="E1404" t="inlineStr">
        <is>
          <t>TDV</t>
        </is>
      </c>
      <c r="F1404" s="23" t="n">
        <v>46272</v>
      </c>
      <c r="G1404" t="inlineStr">
        <is>
          <t>provision</t>
        </is>
      </c>
      <c r="H1404" s="26" t="n">
        <v>343487421</v>
      </c>
      <c r="I1404" t="inlineStr">
        <is>
          <t>bajo</t>
        </is>
      </c>
      <c r="J1404" t="inlineStr">
        <is>
          <t>RN-11 y RN-34: provision hasta el cupo operativo antes de bajar del 8 %</t>
        </is>
      </c>
      <c r="K1404" t="inlineStr">
        <is>
          <t>Provision en la manana, antes del pagado: con el pronostico, sin provision el saldo bajaria del 8 % del cupo ese dia. Lleva el saldo de 67.512.579 a 411.000.000 COP (cupo 411.000.000). Equipo administrado por TDV.</t>
        </is>
      </c>
      <c r="L1404" s="26" t="n">
        <v>411000000</v>
      </c>
      <c r="M1404" s="26" t="n">
        <v>67512579</v>
      </c>
      <c r="N1404" s="27">
        <f>IF(ISNUMBER(M1404),M1404/L1404,"No aplica")</f>
        <v>0.1642641824817518</v>
      </c>
      <c r="O1404" s="25">
        <f>IF(G1404="provision",M1404+H1404,IF(G1404="recoleccion",M1404-H1404,"No aplica"))</f>
        <v>411000000</v>
      </c>
      <c r="P1404" s="26" t="n">
        <v>121279</v>
      </c>
    </row>
    <row r="1405">
      <c r="A1405" t="inlineStr">
        <is>
          <t>PRAGMA</t>
        </is>
      </c>
      <c r="B1405" t="inlineStr">
        <is>
          <t>M2</t>
        </is>
      </c>
      <c r="C1405" t="inlineStr">
        <is>
          <t>Cali</t>
        </is>
      </c>
      <c r="D1405" t="inlineStr">
        <is>
          <t>1114</t>
        </is>
      </c>
      <c r="E1405" t="inlineStr">
        <is>
          <t>Sucursal</t>
        </is>
      </c>
      <c r="F1405" s="23" t="n">
        <v>46266</v>
      </c>
      <c r="G1405" t="inlineStr">
        <is>
          <t>recoleccion</t>
        </is>
      </c>
      <c r="H1405" s="26" t="n">
        <v>69833217</v>
      </c>
      <c r="I1405" t="inlineStr">
        <is>
          <t>bajo</t>
        </is>
      </c>
      <c r="J1405" t="inlineStr">
        <is>
          <t>RN-22 y RN-35: recoleccion al cierre de lo que pasa del cupo</t>
        </is>
      </c>
      <c r="K1405" t="inlineStr">
        <is>
          <t>Recoleccion al cierre: con el pronostico, el saldo cerraria en 138.683.217 COP, sobre el cupo de 68.850.000. Se recoge el excedente y el saldo queda en 68.850.000 COP. Equipo administrado por Sucursal. Sin tarifa TDV (administrado por la sucursal): costo 0 declarado.</t>
        </is>
      </c>
      <c r="L1405" s="26" t="n">
        <v>68850000</v>
      </c>
      <c r="M1405" s="26" t="n">
        <v>138683217</v>
      </c>
      <c r="N1405" s="27">
        <f>IF(ISNUMBER(M1405),M1405/L1405,"No aplica")</f>
        <v>2.014280566448802</v>
      </c>
      <c r="O1405" s="25">
        <f>IF(G1405="provision",M1405+H1405,IF(G1405="recoleccion",M1405-H1405,"No aplica"))</f>
        <v>68850000</v>
      </c>
      <c r="P1405" s="26" t="n">
        <v>0</v>
      </c>
    </row>
    <row r="1406">
      <c r="A1406" t="inlineStr">
        <is>
          <t>PRAGMA</t>
        </is>
      </c>
      <c r="B1406" t="inlineStr">
        <is>
          <t>M2</t>
        </is>
      </c>
      <c r="C1406" t="inlineStr">
        <is>
          <t>Cali</t>
        </is>
      </c>
      <c r="D1406" t="inlineStr">
        <is>
          <t>1114</t>
        </is>
      </c>
      <c r="E1406" t="inlineStr">
        <is>
          <t>Sucursal</t>
        </is>
      </c>
      <c r="F1406" s="23" t="n">
        <v>46267</v>
      </c>
      <c r="G1406" t="inlineStr">
        <is>
          <t>recoleccion</t>
        </is>
      </c>
      <c r="H1406" s="26" t="n">
        <v>55249298</v>
      </c>
      <c r="I1406" t="inlineStr">
        <is>
          <t>bajo</t>
        </is>
      </c>
      <c r="J1406" t="inlineStr">
        <is>
          <t>RN-22 y RN-35: recoleccion al cierre de lo que pasa del cupo</t>
        </is>
      </c>
      <c r="K1406" t="inlineStr">
        <is>
          <t>Recoleccion al cierre: con el pronostico, el saldo cerraria en 124.099.298 COP, sobre el cupo de 68.850.000. Se recoge el excedente y el saldo queda en 68.850.000 COP. Equipo administrado por Sucursal. Sin tarifa TDV (administrado por la sucursal): costo 0 declarado.</t>
        </is>
      </c>
      <c r="L1406" s="26" t="n">
        <v>68850000</v>
      </c>
      <c r="M1406" s="26" t="n">
        <v>124099298</v>
      </c>
      <c r="N1406" s="27">
        <f>IF(ISNUMBER(M1406),M1406/L1406,"No aplica")</f>
        <v>1.8024589397240378</v>
      </c>
      <c r="O1406" s="25">
        <f>IF(G1406="provision",M1406+H1406,IF(G1406="recoleccion",M1406-H1406,"No aplica"))</f>
        <v>68850000</v>
      </c>
      <c r="P1406" s="26" t="n">
        <v>0</v>
      </c>
    </row>
    <row r="1407">
      <c r="A1407" t="inlineStr">
        <is>
          <t>PRAGMA</t>
        </is>
      </c>
      <c r="B1407" t="inlineStr">
        <is>
          <t>M2</t>
        </is>
      </c>
      <c r="C1407" t="inlineStr">
        <is>
          <t>Cali</t>
        </is>
      </c>
      <c r="D1407" t="inlineStr">
        <is>
          <t>1114</t>
        </is>
      </c>
      <c r="E1407" t="inlineStr">
        <is>
          <t>Sucursal</t>
        </is>
      </c>
      <c r="F1407" s="23" t="n">
        <v>46268</v>
      </c>
      <c r="G1407" t="inlineStr">
        <is>
          <t>recoleccion</t>
        </is>
      </c>
      <c r="H1407" s="26" t="n">
        <v>68439746</v>
      </c>
      <c r="I1407" t="inlineStr">
        <is>
          <t>bajo</t>
        </is>
      </c>
      <c r="J1407" t="inlineStr">
        <is>
          <t>RN-22 y RN-35: recoleccion al cierre de lo que pasa del cupo</t>
        </is>
      </c>
      <c r="K1407" t="inlineStr">
        <is>
          <t>Recoleccion al cierre: con el pronostico, el saldo cerraria en 137.289.746 COP, sobre el cupo de 68.850.000. Se recoge el excedente y el saldo queda en 68.850.000 COP. Equipo administrado por Sucursal. Sin tarifa TDV (administrado por la sucursal): costo 0 declarado.</t>
        </is>
      </c>
      <c r="L1407" s="26" t="n">
        <v>68850000</v>
      </c>
      <c r="M1407" s="26" t="n">
        <v>137289746</v>
      </c>
      <c r="N1407" s="27">
        <f>IF(ISNUMBER(M1407),M1407/L1407,"No aplica")</f>
        <v>1.994041336238199</v>
      </c>
      <c r="O1407" s="25">
        <f>IF(G1407="provision",M1407+H1407,IF(G1407="recoleccion",M1407-H1407,"No aplica"))</f>
        <v>68850000</v>
      </c>
      <c r="P1407" s="26" t="n">
        <v>0</v>
      </c>
    </row>
    <row r="1408">
      <c r="A1408" t="inlineStr">
        <is>
          <t>PRAGMA</t>
        </is>
      </c>
      <c r="B1408" t="inlineStr">
        <is>
          <t>M2</t>
        </is>
      </c>
      <c r="C1408" t="inlineStr">
        <is>
          <t>Cali</t>
        </is>
      </c>
      <c r="D1408" t="inlineStr">
        <is>
          <t>1114</t>
        </is>
      </c>
      <c r="E1408" t="inlineStr">
        <is>
          <t>Sucursal</t>
        </is>
      </c>
      <c r="F1408" s="23" t="n">
        <v>46269</v>
      </c>
      <c r="G1408" t="inlineStr">
        <is>
          <t>recoleccion</t>
        </is>
      </c>
      <c r="H1408" s="26" t="n">
        <v>46091617</v>
      </c>
      <c r="I1408" t="inlineStr">
        <is>
          <t>bajo</t>
        </is>
      </c>
      <c r="J1408" t="inlineStr">
        <is>
          <t>RN-22 y RN-35: recoleccion al cierre de lo que pasa del cupo</t>
        </is>
      </c>
      <c r="K1408" t="inlineStr">
        <is>
          <t>Recoleccion al cierre: con el pronostico, el saldo cerraria en 114.941.617 COP, sobre el cupo de 68.850.000. Se recoge el excedente y el saldo queda en 68.850.000 COP. Equipo administrado por Sucursal. Sin tarifa TDV (administrado por la sucursal): costo 0 declarado.</t>
        </is>
      </c>
      <c r="L1408" s="26" t="n">
        <v>68850000</v>
      </c>
      <c r="M1408" s="26" t="n">
        <v>114941617</v>
      </c>
      <c r="N1408" s="27">
        <f>IF(ISNUMBER(M1408),M1408/L1408,"No aplica")</f>
        <v>1.669449774872912</v>
      </c>
      <c r="O1408" s="25">
        <f>IF(G1408="provision",M1408+H1408,IF(G1408="recoleccion",M1408-H1408,"No aplica"))</f>
        <v>68850000</v>
      </c>
      <c r="P1408" s="26" t="n">
        <v>0</v>
      </c>
    </row>
    <row r="1409">
      <c r="A1409" t="inlineStr">
        <is>
          <t>PRAGMA</t>
        </is>
      </c>
      <c r="B1409" t="inlineStr">
        <is>
          <t>M2</t>
        </is>
      </c>
      <c r="C1409" t="inlineStr">
        <is>
          <t>Cali</t>
        </is>
      </c>
      <c r="D1409" t="inlineStr">
        <is>
          <t>1114</t>
        </is>
      </c>
      <c r="E1409" t="inlineStr">
        <is>
          <t>Sucursal</t>
        </is>
      </c>
      <c r="F1409" s="23" t="n">
        <v>46270</v>
      </c>
      <c r="G1409" t="inlineStr">
        <is>
          <t>recoleccion</t>
        </is>
      </c>
      <c r="H1409" s="26" t="n">
        <v>55359239</v>
      </c>
      <c r="I1409" t="inlineStr">
        <is>
          <t>bajo</t>
        </is>
      </c>
      <c r="J1409" t="inlineStr">
        <is>
          <t>RN-22 y RN-35: recoleccion al cierre de lo que pasa del cupo</t>
        </is>
      </c>
      <c r="K1409" t="inlineStr">
        <is>
          <t>Recoleccion al cierre: con el pronostico, el saldo cerraria en 124.209.239 COP, sobre el cupo de 68.850.000. Se recoge el excedente y el saldo queda en 68.850.000 COP. Equipo administrado por Sucursal. Sin tarifa TDV (administrado por la sucursal): costo 0 declarado.</t>
        </is>
      </c>
      <c r="L1409" s="26" t="n">
        <v>68850000</v>
      </c>
      <c r="M1409" s="26" t="n">
        <v>124209239</v>
      </c>
      <c r="N1409" s="27">
        <f>IF(ISNUMBER(M1409),M1409/L1409,"No aplica")</f>
        <v>1.804055758896151</v>
      </c>
      <c r="O1409" s="25">
        <f>IF(G1409="provision",M1409+H1409,IF(G1409="recoleccion",M1409-H1409,"No aplica"))</f>
        <v>68850000</v>
      </c>
      <c r="P1409" s="26" t="n">
        <v>0</v>
      </c>
    </row>
    <row r="1410">
      <c r="A1410" t="inlineStr">
        <is>
          <t>PRAGMA</t>
        </is>
      </c>
      <c r="B1410" t="inlineStr">
        <is>
          <t>M2</t>
        </is>
      </c>
      <c r="C1410" t="inlineStr">
        <is>
          <t>Cali</t>
        </is>
      </c>
      <c r="D1410" t="inlineStr">
        <is>
          <t>1114</t>
        </is>
      </c>
      <c r="E1410" t="inlineStr">
        <is>
          <t>Sucursal</t>
        </is>
      </c>
      <c r="F1410" s="23" t="n">
        <v>46271</v>
      </c>
      <c r="G1410" t="inlineStr">
        <is>
          <t>recoleccion</t>
        </is>
      </c>
      <c r="H1410" s="26" t="n">
        <v>20640571</v>
      </c>
      <c r="I1410" t="inlineStr">
        <is>
          <t>bajo</t>
        </is>
      </c>
      <c r="J1410" t="inlineStr">
        <is>
          <t>RN-22 y RN-35: recoleccion al cierre de lo que pasa del cupo</t>
        </is>
      </c>
      <c r="K1410" t="inlineStr">
        <is>
          <t>Recoleccion al cierre: con el pronostico, el saldo cerraria en 89.490.571 COP, sobre el cupo de 68.850.000. Se recoge el excedente y el saldo queda en 68.850.000 COP. Equipo administrado por Sucursal. Sin tarifa TDV (administrado por la sucursal): costo 0 declarado.</t>
        </is>
      </c>
      <c r="L1410" s="26" t="n">
        <v>68850000</v>
      </c>
      <c r="M1410" s="26" t="n">
        <v>89490571</v>
      </c>
      <c r="N1410" s="27">
        <f>IF(ISNUMBER(M1410),M1410/L1410,"No aplica")</f>
        <v>1.2997904284676833</v>
      </c>
      <c r="O1410" s="25">
        <f>IF(G1410="provision",M1410+H1410,IF(G1410="recoleccion",M1410-H1410,"No aplica"))</f>
        <v>68850000</v>
      </c>
      <c r="P1410" s="26" t="n">
        <v>0</v>
      </c>
    </row>
    <row r="1411">
      <c r="A1411" t="inlineStr">
        <is>
          <t>PRAGMA</t>
        </is>
      </c>
      <c r="B1411" t="inlineStr">
        <is>
          <t>M2</t>
        </is>
      </c>
      <c r="C1411" t="inlineStr">
        <is>
          <t>Cali</t>
        </is>
      </c>
      <c r="D1411" t="inlineStr">
        <is>
          <t>1114</t>
        </is>
      </c>
      <c r="E1411" t="inlineStr">
        <is>
          <t>Sucursal</t>
        </is>
      </c>
      <c r="F1411" s="23" t="n">
        <v>46272</v>
      </c>
      <c r="G1411" t="inlineStr">
        <is>
          <t>recoleccion</t>
        </is>
      </c>
      <c r="H1411" s="26" t="n">
        <v>88587222</v>
      </c>
      <c r="I1411" t="inlineStr">
        <is>
          <t>bajo</t>
        </is>
      </c>
      <c r="J1411" t="inlineStr">
        <is>
          <t>RN-22 y RN-35: recoleccion al cierre de lo que pasa del cupo</t>
        </is>
      </c>
      <c r="K1411" t="inlineStr">
        <is>
          <t>Recoleccion al cierre: con el pronostico, el saldo cerraria en 157.437.222 COP, sobre el cupo de 68.850.000. Se recoge el excedente y el saldo queda en 68.850.000 COP. Equipo administrado por Sucursal. Sin tarifa TDV (administrado por la sucursal): costo 0 declarado.</t>
        </is>
      </c>
      <c r="L1411" s="26" t="n">
        <v>68850000</v>
      </c>
      <c r="M1411" s="26" t="n">
        <v>157437222</v>
      </c>
      <c r="N1411" s="27">
        <f>IF(ISNUMBER(M1411),M1411/L1411,"No aplica")</f>
        <v>2.2866698910675383</v>
      </c>
      <c r="O1411" s="25">
        <f>IF(G1411="provision",M1411+H1411,IF(G1411="recoleccion",M1411-H1411,"No aplica"))</f>
        <v>68850000</v>
      </c>
      <c r="P1411" s="26" t="n">
        <v>0</v>
      </c>
    </row>
    <row r="1412">
      <c r="A1412" t="inlineStr">
        <is>
          <t>PRAGMA</t>
        </is>
      </c>
      <c r="B1412" t="inlineStr">
        <is>
          <t>M2</t>
        </is>
      </c>
      <c r="C1412" t="inlineStr">
        <is>
          <t>Cali</t>
        </is>
      </c>
      <c r="D1412" t="inlineStr">
        <is>
          <t>1114</t>
        </is>
      </c>
      <c r="E1412" t="inlineStr">
        <is>
          <t>Sucursal</t>
        </is>
      </c>
      <c r="F1412" s="23" t="n">
        <v>46273</v>
      </c>
      <c r="G1412" t="inlineStr">
        <is>
          <t>recoleccion</t>
        </is>
      </c>
      <c r="H1412" s="26" t="n">
        <v>72154012</v>
      </c>
      <c r="I1412" t="inlineStr">
        <is>
          <t>bajo</t>
        </is>
      </c>
      <c r="J1412" t="inlineStr">
        <is>
          <t>RN-22 y RN-35: recoleccion al cierre de lo que pasa del cupo</t>
        </is>
      </c>
      <c r="K1412" t="inlineStr">
        <is>
          <t>Recoleccion al cierre: con el pronostico, el saldo cerraria en 141.004.012 COP, sobre el cupo de 68.850.000. Se recoge el excedente y el saldo queda en 68.850.000 COP. Equipo administrado por Sucursal. Sin tarifa TDV (administrado por la sucursal): costo 0 declarado.</t>
        </is>
      </c>
      <c r="L1412" s="26" t="n">
        <v>68850000</v>
      </c>
      <c r="M1412" s="26" t="n">
        <v>141004012</v>
      </c>
      <c r="N1412" s="27">
        <f>IF(ISNUMBER(M1412),M1412/L1412,"No aplica")</f>
        <v>2.047988554829339</v>
      </c>
      <c r="O1412" s="25">
        <f>IF(G1412="provision",M1412+H1412,IF(G1412="recoleccion",M1412-H1412,"No aplica"))</f>
        <v>68850000</v>
      </c>
      <c r="P1412" s="26" t="n">
        <v>0</v>
      </c>
    </row>
    <row r="1413">
      <c r="A1413" t="inlineStr">
        <is>
          <t>PRAGMA</t>
        </is>
      </c>
      <c r="B1413" t="inlineStr">
        <is>
          <t>M2</t>
        </is>
      </c>
      <c r="C1413" t="inlineStr">
        <is>
          <t>Cali</t>
        </is>
      </c>
      <c r="D1413" t="inlineStr">
        <is>
          <t>1114</t>
        </is>
      </c>
      <c r="E1413" t="inlineStr">
        <is>
          <t>Sucursal</t>
        </is>
      </c>
      <c r="F1413" s="23" t="n">
        <v>46274</v>
      </c>
      <c r="G1413" t="inlineStr">
        <is>
          <t>recoleccion</t>
        </is>
      </c>
      <c r="H1413" s="26" t="n">
        <v>57040400</v>
      </c>
      <c r="I1413" t="inlineStr">
        <is>
          <t>bajo</t>
        </is>
      </c>
      <c r="J1413" t="inlineStr">
        <is>
          <t>RN-22 y RN-35: recoleccion al cierre de lo que pasa del cupo</t>
        </is>
      </c>
      <c r="K1413" t="inlineStr">
        <is>
          <t>Recoleccion al cierre: con el pronostico, el saldo cerraria en 125.890.400 COP, sobre el cupo de 68.850.000. Se recoge el excedente y el saldo queda en 68.850.000 COP. Equipo administrado por Sucursal. Sin tarifa TDV (administrado por la sucursal): costo 0 declarado.</t>
        </is>
      </c>
      <c r="L1413" s="26" t="n">
        <v>68850000</v>
      </c>
      <c r="M1413" s="26" t="n">
        <v>125890400</v>
      </c>
      <c r="N1413" s="27">
        <f>IF(ISNUMBER(M1413),M1413/L1413,"No aplica")</f>
        <v>1.828473493100944</v>
      </c>
      <c r="O1413" s="25">
        <f>IF(G1413="provision",M1413+H1413,IF(G1413="recoleccion",M1413-H1413,"No aplica"))</f>
        <v>68850000</v>
      </c>
      <c r="P1413" s="26" t="n">
        <v>0</v>
      </c>
    </row>
    <row r="1414">
      <c r="A1414" t="inlineStr">
        <is>
          <t>PRAGMA</t>
        </is>
      </c>
      <c r="B1414" t="inlineStr">
        <is>
          <t>M2</t>
        </is>
      </c>
      <c r="C1414" t="inlineStr">
        <is>
          <t>Cali</t>
        </is>
      </c>
      <c r="D1414" t="inlineStr">
        <is>
          <t>1114</t>
        </is>
      </c>
      <c r="E1414" t="inlineStr">
        <is>
          <t>Sucursal</t>
        </is>
      </c>
      <c r="F1414" s="23" t="n">
        <v>46275</v>
      </c>
      <c r="G1414" t="inlineStr">
        <is>
          <t>recoleccion</t>
        </is>
      </c>
      <c r="H1414" s="26" t="n">
        <v>63084270</v>
      </c>
      <c r="I1414" t="inlineStr">
        <is>
          <t>bajo</t>
        </is>
      </c>
      <c r="J1414" t="inlineStr">
        <is>
          <t>RN-22 y RN-35: recoleccion al cierre de lo que pasa del cupo</t>
        </is>
      </c>
      <c r="K1414" t="inlineStr">
        <is>
          <t>Recoleccion al cierre: con el pronostico, el saldo cerraria en 131.934.270 COP, sobre el cupo de 68.850.000. Se recoge el excedente y el saldo queda en 68.850.000 COP. Equipo administrado por Sucursal. Sin tarifa TDV (administrado por la sucursal): costo 0 declarado.</t>
        </is>
      </c>
      <c r="L1414" s="26" t="n">
        <v>68850000</v>
      </c>
      <c r="M1414" s="26" t="n">
        <v>131934270</v>
      </c>
      <c r="N1414" s="27">
        <f>IF(ISNUMBER(M1414),M1414/L1414,"No aplica")</f>
        <v>1.9162566448801743</v>
      </c>
      <c r="O1414" s="25">
        <f>IF(G1414="provision",M1414+H1414,IF(G1414="recoleccion",M1414-H1414,"No aplica"))</f>
        <v>68850000</v>
      </c>
      <c r="P1414" s="26" t="n">
        <v>0</v>
      </c>
    </row>
    <row r="1415">
      <c r="A1415" t="inlineStr">
        <is>
          <t>PRAGMA</t>
        </is>
      </c>
      <c r="B1415" t="inlineStr">
        <is>
          <t>M2</t>
        </is>
      </c>
      <c r="C1415" t="inlineStr">
        <is>
          <t>Cali</t>
        </is>
      </c>
      <c r="D1415" t="inlineStr">
        <is>
          <t>1114</t>
        </is>
      </c>
      <c r="E1415" t="inlineStr">
        <is>
          <t>Sucursal</t>
        </is>
      </c>
      <c r="F1415" s="23" t="n">
        <v>46276</v>
      </c>
      <c r="G1415" t="inlineStr">
        <is>
          <t>recoleccion</t>
        </is>
      </c>
      <c r="H1415" s="26" t="n">
        <v>45232899</v>
      </c>
      <c r="I1415" t="inlineStr">
        <is>
          <t>bajo</t>
        </is>
      </c>
      <c r="J1415" t="inlineStr">
        <is>
          <t>RN-22 y RN-35: recoleccion al cierre de lo que pasa del cupo</t>
        </is>
      </c>
      <c r="K1415" t="inlineStr">
        <is>
          <t>Recoleccion al cierre: con el pronostico, el saldo cerraria en 114.082.899 COP, sobre el cupo de 68.850.000. Se recoge el excedente y el saldo queda en 68.850.000 COP. Equipo administrado por Sucursal. Sin tarifa TDV (administrado por la sucursal): costo 0 declarado.</t>
        </is>
      </c>
      <c r="L1415" s="26" t="n">
        <v>68850000</v>
      </c>
      <c r="M1415" s="26" t="n">
        <v>114082899</v>
      </c>
      <c r="N1415" s="27">
        <f>IF(ISNUMBER(M1415),M1415/L1415,"No aplica")</f>
        <v>1.6569774727668845</v>
      </c>
      <c r="O1415" s="25">
        <f>IF(G1415="provision",M1415+H1415,IF(G1415="recoleccion",M1415-H1415,"No aplica"))</f>
        <v>68850000</v>
      </c>
      <c r="P1415" s="26" t="n">
        <v>0</v>
      </c>
    </row>
    <row r="1416">
      <c r="A1416" t="inlineStr">
        <is>
          <t>PRAGMA</t>
        </is>
      </c>
      <c r="B1416" t="inlineStr">
        <is>
          <t>M2</t>
        </is>
      </c>
      <c r="C1416" t="inlineStr">
        <is>
          <t>Cali</t>
        </is>
      </c>
      <c r="D1416" t="inlineStr">
        <is>
          <t>1114</t>
        </is>
      </c>
      <c r="E1416" t="inlineStr">
        <is>
          <t>Sucursal</t>
        </is>
      </c>
      <c r="F1416" s="23" t="n">
        <v>46277</v>
      </c>
      <c r="G1416" t="inlineStr">
        <is>
          <t>recoleccion</t>
        </is>
      </c>
      <c r="H1416" s="26" t="n">
        <v>50213989</v>
      </c>
      <c r="I1416" t="inlineStr">
        <is>
          <t>bajo</t>
        </is>
      </c>
      <c r="J1416" t="inlineStr">
        <is>
          <t>RN-22 y RN-35: recoleccion al cierre de lo que pasa del cupo</t>
        </is>
      </c>
      <c r="K1416" t="inlineStr">
        <is>
          <t>Recoleccion al cierre: con el pronostico, el saldo cerraria en 119.063.989 COP, sobre el cupo de 68.850.000. Se recoge el excedente y el saldo queda en 68.850.000 COP. Equipo administrado por Sucursal. Sin tarifa TDV (administrado por la sucursal): costo 0 declarado.</t>
        </is>
      </c>
      <c r="L1416" s="26" t="n">
        <v>68850000</v>
      </c>
      <c r="M1416" s="26" t="n">
        <v>119063989</v>
      </c>
      <c r="N1416" s="27">
        <f>IF(ISNUMBER(M1416),M1416/L1416,"No aplica")</f>
        <v>1.7293244589687726</v>
      </c>
      <c r="O1416" s="25">
        <f>IF(G1416="provision",M1416+H1416,IF(G1416="recoleccion",M1416-H1416,"No aplica"))</f>
        <v>68850000</v>
      </c>
      <c r="P1416" s="26" t="n">
        <v>0</v>
      </c>
    </row>
    <row r="1417">
      <c r="A1417" t="inlineStr">
        <is>
          <t>PRAGMA</t>
        </is>
      </c>
      <c r="B1417" t="inlineStr">
        <is>
          <t>M2</t>
        </is>
      </c>
      <c r="C1417" t="inlineStr">
        <is>
          <t>Cali</t>
        </is>
      </c>
      <c r="D1417" t="inlineStr">
        <is>
          <t>1114</t>
        </is>
      </c>
      <c r="E1417" t="inlineStr">
        <is>
          <t>Sucursal</t>
        </is>
      </c>
      <c r="F1417" s="23" t="n">
        <v>46278</v>
      </c>
      <c r="G1417" t="inlineStr">
        <is>
          <t>recoleccion</t>
        </is>
      </c>
      <c r="H1417" s="26" t="n">
        <v>15692144</v>
      </c>
      <c r="I1417" t="inlineStr">
        <is>
          <t>bajo</t>
        </is>
      </c>
      <c r="J1417" t="inlineStr">
        <is>
          <t>RN-22 y RN-35: recoleccion al cierre de lo que pasa del cupo</t>
        </is>
      </c>
      <c r="K1417" t="inlineStr">
        <is>
          <t>Recoleccion al cierre: con el pronostico, el saldo cerraria en 84.542.144 COP, sobre el cupo de 68.850.000. Se recoge el excedente y el saldo queda en 68.850.000 COP. Equipo administrado por Sucursal. Sin tarifa TDV (administrado por la sucursal): costo 0 declarado.</t>
        </is>
      </c>
      <c r="L1417" s="26" t="n">
        <v>68850000</v>
      </c>
      <c r="M1417" s="26" t="n">
        <v>84542144</v>
      </c>
      <c r="N1417" s="27">
        <f>IF(ISNUMBER(M1417),M1417/L1417,"No aplica")</f>
        <v>1.227917850399419</v>
      </c>
      <c r="O1417" s="25">
        <f>IF(G1417="provision",M1417+H1417,IF(G1417="recoleccion",M1417-H1417,"No aplica"))</f>
        <v>68850000</v>
      </c>
      <c r="P1417" s="26" t="n">
        <v>0</v>
      </c>
    </row>
    <row r="1418">
      <c r="A1418" t="inlineStr">
        <is>
          <t>PRAGMA</t>
        </is>
      </c>
      <c r="B1418" t="inlineStr">
        <is>
          <t>M2</t>
        </is>
      </c>
      <c r="C1418" t="inlineStr">
        <is>
          <t>Cali</t>
        </is>
      </c>
      <c r="D1418" t="inlineStr">
        <is>
          <t>1114</t>
        </is>
      </c>
      <c r="E1418" t="inlineStr">
        <is>
          <t>Sucursal</t>
        </is>
      </c>
      <c r="F1418" s="23" t="n">
        <v>46279</v>
      </c>
      <c r="G1418" t="inlineStr">
        <is>
          <t>recoleccion</t>
        </is>
      </c>
      <c r="H1418" s="26" t="n">
        <v>77181667</v>
      </c>
      <c r="I1418" t="inlineStr">
        <is>
          <t>bajo</t>
        </is>
      </c>
      <c r="J1418" t="inlineStr">
        <is>
          <t>RN-22 y RN-35: recoleccion al cierre de lo que pasa del cupo</t>
        </is>
      </c>
      <c r="K1418" t="inlineStr">
        <is>
          <t>Recoleccion al cierre: con el pronostico, el saldo cerraria en 146.031.667 COP, sobre el cupo de 68.850.000. Se recoge el excedente y el saldo queda en 68.850.000 COP. Equipo administrado por Sucursal. Sin tarifa TDV (administrado por la sucursal): costo 0 declarado.</t>
        </is>
      </c>
      <c r="L1418" s="26" t="n">
        <v>68850000</v>
      </c>
      <c r="M1418" s="26" t="n">
        <v>146031667</v>
      </c>
      <c r="N1418" s="27">
        <f>IF(ISNUMBER(M1418),M1418/L1418,"No aplica")</f>
        <v>2.12101186637618</v>
      </c>
      <c r="O1418" s="25">
        <f>IF(G1418="provision",M1418+H1418,IF(G1418="recoleccion",M1418-H1418,"No aplica"))</f>
        <v>68850000</v>
      </c>
      <c r="P1418" s="26" t="n">
        <v>0</v>
      </c>
    </row>
    <row r="1419">
      <c r="A1419" t="inlineStr">
        <is>
          <t>PRAGMA</t>
        </is>
      </c>
      <c r="B1419" t="inlineStr">
        <is>
          <t>M2</t>
        </is>
      </c>
      <c r="C1419" t="inlineStr">
        <is>
          <t>Cali</t>
        </is>
      </c>
      <c r="D1419" t="inlineStr">
        <is>
          <t>1114</t>
        </is>
      </c>
      <c r="E1419" t="inlineStr">
        <is>
          <t>Sucursal</t>
        </is>
      </c>
      <c r="F1419" s="23" t="n">
        <v>46280</v>
      </c>
      <c r="G1419" t="inlineStr">
        <is>
          <t>recoleccion</t>
        </is>
      </c>
      <c r="H1419" s="26" t="n">
        <v>65946526</v>
      </c>
      <c r="I1419" t="inlineStr">
        <is>
          <t>bajo</t>
        </is>
      </c>
      <c r="J1419" t="inlineStr">
        <is>
          <t>RN-22 y RN-35: recoleccion al cierre de lo que pasa del cupo</t>
        </is>
      </c>
      <c r="K1419" t="inlineStr">
        <is>
          <t>Recoleccion al cierre: con el pronostico, el saldo cerraria en 134.796.526 COP, sobre el cupo de 68.850.000. Se recoge el excedente y el saldo queda en 68.850.000 COP. Equipo administrado por Sucursal. Sin tarifa TDV (administrado por la sucursal): costo 0 declarado.</t>
        </is>
      </c>
      <c r="L1419" s="26" t="n">
        <v>68850000</v>
      </c>
      <c r="M1419" s="26" t="n">
        <v>134796526</v>
      </c>
      <c r="N1419" s="27">
        <f>IF(ISNUMBER(M1419),M1419/L1419,"No aplica")</f>
        <v>1.9578289905591866</v>
      </c>
      <c r="O1419" s="25">
        <f>IF(G1419="provision",M1419+H1419,IF(G1419="recoleccion",M1419-H1419,"No aplica"))</f>
        <v>68850000</v>
      </c>
      <c r="P1419" s="26" t="n">
        <v>0</v>
      </c>
    </row>
    <row r="1420">
      <c r="A1420" t="inlineStr">
        <is>
          <t>PRAGMA</t>
        </is>
      </c>
      <c r="B1420" t="inlineStr">
        <is>
          <t>M2</t>
        </is>
      </c>
      <c r="C1420" t="inlineStr">
        <is>
          <t>Cali</t>
        </is>
      </c>
      <c r="D1420" t="inlineStr">
        <is>
          <t>1115</t>
        </is>
      </c>
      <c r="E1420" t="inlineStr">
        <is>
          <t>Sucursal</t>
        </is>
      </c>
      <c r="F1420" s="23" t="n">
        <v>46266</v>
      </c>
      <c r="G1420" t="inlineStr">
        <is>
          <t>recoleccion</t>
        </is>
      </c>
      <c r="H1420" s="26" t="n">
        <v>72292144</v>
      </c>
      <c r="I1420" t="inlineStr">
        <is>
          <t>bajo</t>
        </is>
      </c>
      <c r="J1420" t="inlineStr">
        <is>
          <t>RN-22 y RN-35: recoleccion al cierre de lo que pasa del cupo</t>
        </is>
      </c>
      <c r="K1420" t="inlineStr">
        <is>
          <t>Recoleccion al cierre: con el pronostico, el saldo cerraria en 141.142.144 COP, sobre el cupo de 68.850.000. Se recoge el excedente y el saldo queda en 68.850.000 COP. Equipo administrado por Sucursal. Sin tarifa TDV (administrado por la sucursal): costo 0 declarado.</t>
        </is>
      </c>
      <c r="L1420" s="26" t="n">
        <v>68850000</v>
      </c>
      <c r="M1420" s="26" t="n">
        <v>141142144</v>
      </c>
      <c r="N1420" s="27">
        <f>IF(ISNUMBER(M1420),M1420/L1420,"No aplica")</f>
        <v>2.049994829339143</v>
      </c>
      <c r="O1420" s="25">
        <f>IF(G1420="provision",M1420+H1420,IF(G1420="recoleccion",M1420-H1420,"No aplica"))</f>
        <v>68850000</v>
      </c>
      <c r="P1420" s="26" t="n">
        <v>0</v>
      </c>
    </row>
    <row r="1421">
      <c r="A1421" t="inlineStr">
        <is>
          <t>PRAGMA</t>
        </is>
      </c>
      <c r="B1421" t="inlineStr">
        <is>
          <t>M2</t>
        </is>
      </c>
      <c r="C1421" t="inlineStr">
        <is>
          <t>Cali</t>
        </is>
      </c>
      <c r="D1421" t="inlineStr">
        <is>
          <t>1115</t>
        </is>
      </c>
      <c r="E1421" t="inlineStr">
        <is>
          <t>Sucursal</t>
        </is>
      </c>
      <c r="F1421" s="23" t="n">
        <v>46267</v>
      </c>
      <c r="G1421" t="inlineStr">
        <is>
          <t>recoleccion</t>
        </is>
      </c>
      <c r="H1421" s="26" t="n">
        <v>64135048</v>
      </c>
      <c r="I1421" t="inlineStr">
        <is>
          <t>bajo</t>
        </is>
      </c>
      <c r="J1421" t="inlineStr">
        <is>
          <t>RN-22 y RN-35: recoleccion al cierre de lo que pasa del cupo</t>
        </is>
      </c>
      <c r="K1421" t="inlineStr">
        <is>
          <t>Recoleccion al cierre: con el pronostico, el saldo cerraria en 132.985.048 COP, sobre el cupo de 68.850.000. Se recoge el excedente y el saldo queda en 68.850.000 COP. Equipo administrado por Sucursal. Sin tarifa TDV (administrado por la sucursal): costo 0 declarado.</t>
        </is>
      </c>
      <c r="L1421" s="26" t="n">
        <v>68850000</v>
      </c>
      <c r="M1421" s="26" t="n">
        <v>132985048</v>
      </c>
      <c r="N1421" s="27">
        <f>IF(ISNUMBER(M1421),M1421/L1421,"No aplica")</f>
        <v>1.931518489469862</v>
      </c>
      <c r="O1421" s="25">
        <f>IF(G1421="provision",M1421+H1421,IF(G1421="recoleccion",M1421-H1421,"No aplica"))</f>
        <v>68850000</v>
      </c>
      <c r="P1421" s="26" t="n">
        <v>0</v>
      </c>
    </row>
    <row r="1422">
      <c r="A1422" t="inlineStr">
        <is>
          <t>PRAGMA</t>
        </is>
      </c>
      <c r="B1422" t="inlineStr">
        <is>
          <t>M2</t>
        </is>
      </c>
      <c r="C1422" t="inlineStr">
        <is>
          <t>Cali</t>
        </is>
      </c>
      <c r="D1422" t="inlineStr">
        <is>
          <t>1115</t>
        </is>
      </c>
      <c r="E1422" t="inlineStr">
        <is>
          <t>Sucursal</t>
        </is>
      </c>
      <c r="F1422" s="23" t="n">
        <v>46268</v>
      </c>
      <c r="G1422" t="inlineStr">
        <is>
          <t>recoleccion</t>
        </is>
      </c>
      <c r="H1422" s="26" t="n">
        <v>72451184</v>
      </c>
      <c r="I1422" t="inlineStr">
        <is>
          <t>bajo</t>
        </is>
      </c>
      <c r="J1422" t="inlineStr">
        <is>
          <t>RN-22 y RN-35: recoleccion al cierre de lo que pasa del cupo</t>
        </is>
      </c>
      <c r="K1422" t="inlineStr">
        <is>
          <t>Recoleccion al cierre: con el pronostico, el saldo cerraria en 141.301.184 COP, sobre el cupo de 68.850.000. Se recoge el excedente y el saldo queda en 68.850.000 COP. Equipo administrado por Sucursal. Sin tarifa TDV (administrado por la sucursal): costo 0 declarado.</t>
        </is>
      </c>
      <c r="L1422" s="26" t="n">
        <v>68850000</v>
      </c>
      <c r="M1422" s="26" t="n">
        <v>141301184</v>
      </c>
      <c r="N1422" s="27">
        <f>IF(ISNUMBER(M1422),M1422/L1422,"No aplica")</f>
        <v>2.052304778503994</v>
      </c>
      <c r="O1422" s="25">
        <f>IF(G1422="provision",M1422+H1422,IF(G1422="recoleccion",M1422-H1422,"No aplica"))</f>
        <v>68850000</v>
      </c>
      <c r="P1422" s="26" t="n">
        <v>0</v>
      </c>
    </row>
    <row r="1423">
      <c r="A1423" t="inlineStr">
        <is>
          <t>PRAGMA</t>
        </is>
      </c>
      <c r="B1423" t="inlineStr">
        <is>
          <t>M2</t>
        </is>
      </c>
      <c r="C1423" t="inlineStr">
        <is>
          <t>Cali</t>
        </is>
      </c>
      <c r="D1423" t="inlineStr">
        <is>
          <t>1115</t>
        </is>
      </c>
      <c r="E1423" t="inlineStr">
        <is>
          <t>Sucursal</t>
        </is>
      </c>
      <c r="F1423" s="23" t="n">
        <v>46269</v>
      </c>
      <c r="G1423" t="inlineStr">
        <is>
          <t>recoleccion</t>
        </is>
      </c>
      <c r="H1423" s="26" t="n">
        <v>57664334</v>
      </c>
      <c r="I1423" t="inlineStr">
        <is>
          <t>bajo</t>
        </is>
      </c>
      <c r="J1423" t="inlineStr">
        <is>
          <t>RN-22 y RN-35: recoleccion al cierre de lo que pasa del cupo</t>
        </is>
      </c>
      <c r="K1423" t="inlineStr">
        <is>
          <t>Recoleccion al cierre: con el pronostico, el saldo cerraria en 126.514.334 COP, sobre el cupo de 68.850.000. Se recoge el excedente y el saldo queda en 68.850.000 COP. Equipo administrado por Sucursal. Sin tarifa TDV (administrado por la sucursal): costo 0 declarado.</t>
        </is>
      </c>
      <c r="L1423" s="26" t="n">
        <v>68850000</v>
      </c>
      <c r="M1423" s="26" t="n">
        <v>126514334</v>
      </c>
      <c r="N1423" s="27">
        <f>IF(ISNUMBER(M1423),M1423/L1423,"No aplica")</f>
        <v>1.8375357153231664</v>
      </c>
      <c r="O1423" s="25">
        <f>IF(G1423="provision",M1423+H1423,IF(G1423="recoleccion",M1423-H1423,"No aplica"))</f>
        <v>68850000</v>
      </c>
      <c r="P1423" s="26" t="n">
        <v>0</v>
      </c>
    </row>
    <row r="1424">
      <c r="A1424" t="inlineStr">
        <is>
          <t>PRAGMA</t>
        </is>
      </c>
      <c r="B1424" t="inlineStr">
        <is>
          <t>M2</t>
        </is>
      </c>
      <c r="C1424" t="inlineStr">
        <is>
          <t>Cali</t>
        </is>
      </c>
      <c r="D1424" t="inlineStr">
        <is>
          <t>1115</t>
        </is>
      </c>
      <c r="E1424" t="inlineStr">
        <is>
          <t>Sucursal</t>
        </is>
      </c>
      <c r="F1424" s="23" t="n">
        <v>46270</v>
      </c>
      <c r="G1424" t="inlineStr">
        <is>
          <t>recoleccion</t>
        </is>
      </c>
      <c r="H1424" s="26" t="n">
        <v>44336139</v>
      </c>
      <c r="I1424" t="inlineStr">
        <is>
          <t>bajo</t>
        </is>
      </c>
      <c r="J1424" t="inlineStr">
        <is>
          <t>RN-22 y RN-35: recoleccion al cierre de lo que pasa del cupo</t>
        </is>
      </c>
      <c r="K1424" t="inlineStr">
        <is>
          <t>Recoleccion al cierre: con el pronostico, el saldo cerraria en 113.186.139 COP, sobre el cupo de 68.850.000. Se recoge el excedente y el saldo queda en 68.850.000 COP. Equipo administrado por Sucursal. Sin tarifa TDV (administrado por la sucursal): costo 0 declarado.</t>
        </is>
      </c>
      <c r="L1424" s="26" t="n">
        <v>68850000</v>
      </c>
      <c r="M1424" s="26" t="n">
        <v>113186139</v>
      </c>
      <c r="N1424" s="27">
        <f>IF(ISNUMBER(M1424),M1424/L1424,"No aplica")</f>
        <v>1.6439526361655774</v>
      </c>
      <c r="O1424" s="25">
        <f>IF(G1424="provision",M1424+H1424,IF(G1424="recoleccion",M1424-H1424,"No aplica"))</f>
        <v>68850000</v>
      </c>
      <c r="P1424" s="26" t="n">
        <v>0</v>
      </c>
    </row>
    <row r="1425">
      <c r="A1425" t="inlineStr">
        <is>
          <t>PRAGMA</t>
        </is>
      </c>
      <c r="B1425" t="inlineStr">
        <is>
          <t>M2</t>
        </is>
      </c>
      <c r="C1425" t="inlineStr">
        <is>
          <t>Cali</t>
        </is>
      </c>
      <c r="D1425" t="inlineStr">
        <is>
          <t>1115</t>
        </is>
      </c>
      <c r="E1425" t="inlineStr">
        <is>
          <t>Sucursal</t>
        </is>
      </c>
      <c r="F1425" s="23" t="n">
        <v>46271</v>
      </c>
      <c r="G1425" t="inlineStr">
        <is>
          <t>recoleccion</t>
        </is>
      </c>
      <c r="H1425" s="26" t="n">
        <v>12334670</v>
      </c>
      <c r="I1425" t="inlineStr">
        <is>
          <t>bajo</t>
        </is>
      </c>
      <c r="J1425" t="inlineStr">
        <is>
          <t>RN-22 y RN-35: recoleccion al cierre de lo que pasa del cupo</t>
        </is>
      </c>
      <c r="K1425" t="inlineStr">
        <is>
          <t>Recoleccion al cierre: con el pronostico, el saldo cerraria en 81.184.670 COP, sobre el cupo de 68.850.000. Se recoge el excedente y el saldo queda en 68.850.000 COP. Equipo administrado por Sucursal. Sin tarifa TDV (administrado por la sucursal): costo 0 declarado.</t>
        </is>
      </c>
      <c r="L1425" s="26" t="n">
        <v>68850000</v>
      </c>
      <c r="M1425" s="26" t="n">
        <v>81184670</v>
      </c>
      <c r="N1425" s="27">
        <f>IF(ISNUMBER(M1425),M1425/L1425,"No aplica")</f>
        <v>1.179152795933188</v>
      </c>
      <c r="O1425" s="25">
        <f>IF(G1425="provision",M1425+H1425,IF(G1425="recoleccion",M1425-H1425,"No aplica"))</f>
        <v>68850000</v>
      </c>
      <c r="P1425" s="26" t="n">
        <v>0</v>
      </c>
    </row>
    <row r="1426">
      <c r="A1426" t="inlineStr">
        <is>
          <t>PRAGMA</t>
        </is>
      </c>
      <c r="B1426" t="inlineStr">
        <is>
          <t>M2</t>
        </is>
      </c>
      <c r="C1426" t="inlineStr">
        <is>
          <t>Cali</t>
        </is>
      </c>
      <c r="D1426" t="inlineStr">
        <is>
          <t>1115</t>
        </is>
      </c>
      <c r="E1426" t="inlineStr">
        <is>
          <t>Sucursal</t>
        </is>
      </c>
      <c r="F1426" s="23" t="n">
        <v>46272</v>
      </c>
      <c r="G1426" t="inlineStr">
        <is>
          <t>recoleccion</t>
        </is>
      </c>
      <c r="H1426" s="26" t="n">
        <v>81985617</v>
      </c>
      <c r="I1426" t="inlineStr">
        <is>
          <t>bajo</t>
        </is>
      </c>
      <c r="J1426" t="inlineStr">
        <is>
          <t>RN-22 y RN-35: recoleccion al cierre de lo que pasa del cupo</t>
        </is>
      </c>
      <c r="K1426" t="inlineStr">
        <is>
          <t>Recoleccion al cierre: con el pronostico, el saldo cerraria en 150.835.617 COP, sobre el cupo de 68.850.000. Se recoge el excedente y el saldo queda en 68.850.000 COP. Equipo administrado por Sucursal. Sin tarifa TDV (administrado por la sucursal): costo 0 declarado.</t>
        </is>
      </c>
      <c r="L1426" s="26" t="n">
        <v>68850000</v>
      </c>
      <c r="M1426" s="26" t="n">
        <v>150835617</v>
      </c>
      <c r="N1426" s="27">
        <f>IF(ISNUMBER(M1426),M1426/L1426,"No aplica")</f>
        <v>2.1907860130718952</v>
      </c>
      <c r="O1426" s="25">
        <f>IF(G1426="provision",M1426+H1426,IF(G1426="recoleccion",M1426-H1426,"No aplica"))</f>
        <v>68850000</v>
      </c>
      <c r="P1426" s="26" t="n">
        <v>0</v>
      </c>
    </row>
    <row r="1427">
      <c r="A1427" t="inlineStr">
        <is>
          <t>PRAGMA</t>
        </is>
      </c>
      <c r="B1427" t="inlineStr">
        <is>
          <t>M2</t>
        </is>
      </c>
      <c r="C1427" t="inlineStr">
        <is>
          <t>Cali</t>
        </is>
      </c>
      <c r="D1427" t="inlineStr">
        <is>
          <t>1115</t>
        </is>
      </c>
      <c r="E1427" t="inlineStr">
        <is>
          <t>Sucursal</t>
        </is>
      </c>
      <c r="F1427" s="23" t="n">
        <v>46273</v>
      </c>
      <c r="G1427" t="inlineStr">
        <is>
          <t>recoleccion</t>
        </is>
      </c>
      <c r="H1427" s="26" t="n">
        <v>66572256</v>
      </c>
      <c r="I1427" t="inlineStr">
        <is>
          <t>bajo</t>
        </is>
      </c>
      <c r="J1427" t="inlineStr">
        <is>
          <t>RN-22 y RN-35: recoleccion al cierre de lo que pasa del cupo</t>
        </is>
      </c>
      <c r="K1427" t="inlineStr">
        <is>
          <t>Recoleccion al cierre: con el pronostico, el saldo cerraria en 135.422.256 COP, sobre el cupo de 68.850.000. Se recoge el excedente y el saldo queda en 68.850.000 COP. Equipo administrado por Sucursal. Sin tarifa TDV (administrado por la sucursal): costo 0 declarado.</t>
        </is>
      </c>
      <c r="L1427" s="26" t="n">
        <v>68850000</v>
      </c>
      <c r="M1427" s="26" t="n">
        <v>135422256</v>
      </c>
      <c r="N1427" s="27">
        <f>IF(ISNUMBER(M1427),M1427/L1427,"No aplica")</f>
        <v>1.9669172984749455</v>
      </c>
      <c r="O1427" s="25">
        <f>IF(G1427="provision",M1427+H1427,IF(G1427="recoleccion",M1427-H1427,"No aplica"))</f>
        <v>68850000</v>
      </c>
      <c r="P1427" s="26" t="n">
        <v>0</v>
      </c>
    </row>
    <row r="1428">
      <c r="A1428" t="inlineStr">
        <is>
          <t>PRAGMA</t>
        </is>
      </c>
      <c r="B1428" t="inlineStr">
        <is>
          <t>M2</t>
        </is>
      </c>
      <c r="C1428" t="inlineStr">
        <is>
          <t>Cali</t>
        </is>
      </c>
      <c r="D1428" t="inlineStr">
        <is>
          <t>1115</t>
        </is>
      </c>
      <c r="E1428" t="inlineStr">
        <is>
          <t>Sucursal</t>
        </is>
      </c>
      <c r="F1428" s="23" t="n">
        <v>46274</v>
      </c>
      <c r="G1428" t="inlineStr">
        <is>
          <t>recoleccion</t>
        </is>
      </c>
      <c r="H1428" s="26" t="n">
        <v>57081744</v>
      </c>
      <c r="I1428" t="inlineStr">
        <is>
          <t>bajo</t>
        </is>
      </c>
      <c r="J1428" t="inlineStr">
        <is>
          <t>RN-22 y RN-35: recoleccion al cierre de lo que pasa del cupo</t>
        </is>
      </c>
      <c r="K1428" t="inlineStr">
        <is>
          <t>Recoleccion al cierre: con el pronostico, el saldo cerraria en 125.931.744 COP, sobre el cupo de 68.850.000. Se recoge el excedente y el saldo queda en 68.850.000 COP. Equipo administrado por Sucursal. Sin tarifa TDV (administrado por la sucursal): costo 0 declarado.</t>
        </is>
      </c>
      <c r="L1428" s="26" t="n">
        <v>68850000</v>
      </c>
      <c r="M1428" s="26" t="n">
        <v>125931744</v>
      </c>
      <c r="N1428" s="27">
        <f>IF(ISNUMBER(M1428),M1428/L1428,"No aplica")</f>
        <v>1.8290739869281045</v>
      </c>
      <c r="O1428" s="25">
        <f>IF(G1428="provision",M1428+H1428,IF(G1428="recoleccion",M1428-H1428,"No aplica"))</f>
        <v>68850000</v>
      </c>
      <c r="P1428" s="26" t="n">
        <v>0</v>
      </c>
    </row>
    <row r="1429">
      <c r="A1429" t="inlineStr">
        <is>
          <t>PRAGMA</t>
        </is>
      </c>
      <c r="B1429" t="inlineStr">
        <is>
          <t>M2</t>
        </is>
      </c>
      <c r="C1429" t="inlineStr">
        <is>
          <t>Cali</t>
        </is>
      </c>
      <c r="D1429" t="inlineStr">
        <is>
          <t>1115</t>
        </is>
      </c>
      <c r="E1429" t="inlineStr">
        <is>
          <t>Sucursal</t>
        </is>
      </c>
      <c r="F1429" s="23" t="n">
        <v>46275</v>
      </c>
      <c r="G1429" t="inlineStr">
        <is>
          <t>recoleccion</t>
        </is>
      </c>
      <c r="H1429" s="26" t="n">
        <v>63621082</v>
      </c>
      <c r="I1429" t="inlineStr">
        <is>
          <t>bajo</t>
        </is>
      </c>
      <c r="J1429" t="inlineStr">
        <is>
          <t>RN-22 y RN-35: recoleccion al cierre de lo que pasa del cupo</t>
        </is>
      </c>
      <c r="K1429" t="inlineStr">
        <is>
          <t>Recoleccion al cierre: con el pronostico, el saldo cerraria en 132.471.082 COP, sobre el cupo de 68.850.000. Se recoge el excedente y el saldo queda en 68.850.000 COP. Equipo administrado por Sucursal. Sin tarifa TDV (administrado por la sucursal): costo 0 declarado.</t>
        </is>
      </c>
      <c r="L1429" s="26" t="n">
        <v>68850000</v>
      </c>
      <c r="M1429" s="26" t="n">
        <v>132471082</v>
      </c>
      <c r="N1429" s="27">
        <f>IF(ISNUMBER(M1429),M1429/L1429,"No aplica")</f>
        <v>1.924053478576616</v>
      </c>
      <c r="O1429" s="25">
        <f>IF(G1429="provision",M1429+H1429,IF(G1429="recoleccion",M1429-H1429,"No aplica"))</f>
        <v>68850000</v>
      </c>
      <c r="P1429" s="26" t="n">
        <v>0</v>
      </c>
    </row>
    <row r="1430">
      <c r="A1430" t="inlineStr">
        <is>
          <t>PRAGMA</t>
        </is>
      </c>
      <c r="B1430" t="inlineStr">
        <is>
          <t>M2</t>
        </is>
      </c>
      <c r="C1430" t="inlineStr">
        <is>
          <t>Cali</t>
        </is>
      </c>
      <c r="D1430" t="inlineStr">
        <is>
          <t>1115</t>
        </is>
      </c>
      <c r="E1430" t="inlineStr">
        <is>
          <t>Sucursal</t>
        </is>
      </c>
      <c r="F1430" s="23" t="n">
        <v>46276</v>
      </c>
      <c r="G1430" t="inlineStr">
        <is>
          <t>recoleccion</t>
        </is>
      </c>
      <c r="H1430" s="26" t="n">
        <v>52248382</v>
      </c>
      <c r="I1430" t="inlineStr">
        <is>
          <t>bajo</t>
        </is>
      </c>
      <c r="J1430" t="inlineStr">
        <is>
          <t>RN-22 y RN-35: recoleccion al cierre de lo que pasa del cupo</t>
        </is>
      </c>
      <c r="K1430" t="inlineStr">
        <is>
          <t>Recoleccion al cierre: con el pronostico, el saldo cerraria en 121.098.382 COP, sobre el cupo de 68.850.000. Se recoge el excedente y el saldo queda en 68.850.000 COP. Equipo administrado por Sucursal. Sin tarifa TDV (administrado por la sucursal): costo 0 declarado.</t>
        </is>
      </c>
      <c r="L1430" s="26" t="n">
        <v>68850000</v>
      </c>
      <c r="M1430" s="26" t="n">
        <v>121098382</v>
      </c>
      <c r="N1430" s="27">
        <f>IF(ISNUMBER(M1430),M1430/L1430,"No aplica")</f>
        <v>1.7588726506899055</v>
      </c>
      <c r="O1430" s="25">
        <f>IF(G1430="provision",M1430+H1430,IF(G1430="recoleccion",M1430-H1430,"No aplica"))</f>
        <v>68850000</v>
      </c>
      <c r="P1430" s="26" t="n">
        <v>0</v>
      </c>
    </row>
    <row r="1431">
      <c r="A1431" t="inlineStr">
        <is>
          <t>PRAGMA</t>
        </is>
      </c>
      <c r="B1431" t="inlineStr">
        <is>
          <t>M2</t>
        </is>
      </c>
      <c r="C1431" t="inlineStr">
        <is>
          <t>Cali</t>
        </is>
      </c>
      <c r="D1431" t="inlineStr">
        <is>
          <t>1115</t>
        </is>
      </c>
      <c r="E1431" t="inlineStr">
        <is>
          <t>Sucursal</t>
        </is>
      </c>
      <c r="F1431" s="23" t="n">
        <v>46277</v>
      </c>
      <c r="G1431" t="inlineStr">
        <is>
          <t>recoleccion</t>
        </is>
      </c>
      <c r="H1431" s="26" t="n">
        <v>41249515</v>
      </c>
      <c r="I1431" t="inlineStr">
        <is>
          <t>bajo</t>
        </is>
      </c>
      <c r="J1431" t="inlineStr">
        <is>
          <t>RN-22 y RN-35: recoleccion al cierre de lo que pasa del cupo</t>
        </is>
      </c>
      <c r="K1431" t="inlineStr">
        <is>
          <t>Recoleccion al cierre: con el pronostico, el saldo cerraria en 110.099.515 COP, sobre el cupo de 68.850.000. Se recoge el excedente y el saldo queda en 68.850.000 COP. Equipo administrado por Sucursal. Sin tarifa TDV (administrado por la sucursal): costo 0 declarado.</t>
        </is>
      </c>
      <c r="L1431" s="26" t="n">
        <v>68850000</v>
      </c>
      <c r="M1431" s="26" t="n">
        <v>110099515</v>
      </c>
      <c r="N1431" s="27">
        <f>IF(ISNUMBER(M1431),M1431/L1431,"No aplica")</f>
        <v>1.5991214960058098</v>
      </c>
      <c r="O1431" s="25">
        <f>IF(G1431="provision",M1431+H1431,IF(G1431="recoleccion",M1431-H1431,"No aplica"))</f>
        <v>68850000</v>
      </c>
      <c r="P1431" s="26" t="n">
        <v>0</v>
      </c>
    </row>
    <row r="1432">
      <c r="A1432" t="inlineStr">
        <is>
          <t>PRAGMA</t>
        </is>
      </c>
      <c r="B1432" t="inlineStr">
        <is>
          <t>M2</t>
        </is>
      </c>
      <c r="C1432" t="inlineStr">
        <is>
          <t>Cali</t>
        </is>
      </c>
      <c r="D1432" t="inlineStr">
        <is>
          <t>1115</t>
        </is>
      </c>
      <c r="E1432" t="inlineStr">
        <is>
          <t>Sucursal</t>
        </is>
      </c>
      <c r="F1432" s="23" t="n">
        <v>46278</v>
      </c>
      <c r="G1432" t="inlineStr">
        <is>
          <t>recoleccion</t>
        </is>
      </c>
      <c r="H1432" s="26" t="n">
        <v>7883930</v>
      </c>
      <c r="I1432" t="inlineStr">
        <is>
          <t>bajo</t>
        </is>
      </c>
      <c r="J1432" t="inlineStr">
        <is>
          <t>RN-22 y RN-35: recoleccion al cierre de lo que pasa del cupo</t>
        </is>
      </c>
      <c r="K1432" t="inlineStr">
        <is>
          <t>Recoleccion al cierre: con el pronostico, el saldo cerraria en 76.733.930 COP, sobre el cupo de 68.850.000. Se recoge el excedente y el saldo queda en 68.850.000 COP. Equipo administrado por Sucursal. Sin tarifa TDV (administrado por la sucursal): costo 0 declarado.</t>
        </is>
      </c>
      <c r="L1432" s="26" t="n">
        <v>68850000</v>
      </c>
      <c r="M1432" s="26" t="n">
        <v>76733930</v>
      </c>
      <c r="N1432" s="27">
        <f>IF(ISNUMBER(M1432),M1432/L1432,"No aplica")</f>
        <v>1.114508787218591</v>
      </c>
      <c r="O1432" s="25">
        <f>IF(G1432="provision",M1432+H1432,IF(G1432="recoleccion",M1432-H1432,"No aplica"))</f>
        <v>68850000</v>
      </c>
      <c r="P1432" s="26" t="n">
        <v>0</v>
      </c>
    </row>
    <row r="1433">
      <c r="A1433" t="inlineStr">
        <is>
          <t>PRAGMA</t>
        </is>
      </c>
      <c r="B1433" t="inlineStr">
        <is>
          <t>M2</t>
        </is>
      </c>
      <c r="C1433" t="inlineStr">
        <is>
          <t>Cali</t>
        </is>
      </c>
      <c r="D1433" t="inlineStr">
        <is>
          <t>1115</t>
        </is>
      </c>
      <c r="E1433" t="inlineStr">
        <is>
          <t>Sucursal</t>
        </is>
      </c>
      <c r="F1433" s="23" t="n">
        <v>46279</v>
      </c>
      <c r="G1433" t="inlineStr">
        <is>
          <t>recoleccion</t>
        </is>
      </c>
      <c r="H1433" s="26" t="n">
        <v>72247012</v>
      </c>
      <c r="I1433" t="inlineStr">
        <is>
          <t>bajo</t>
        </is>
      </c>
      <c r="J1433" t="inlineStr">
        <is>
          <t>RN-22 y RN-35: recoleccion al cierre de lo que pasa del cupo</t>
        </is>
      </c>
      <c r="K1433" t="inlineStr">
        <is>
          <t>Recoleccion al cierre: con el pronostico, el saldo cerraria en 141.097.012 COP, sobre el cupo de 68.850.000. Se recoge el excedente y el saldo queda en 68.850.000 COP. Equipo administrado por Sucursal. Sin tarifa TDV (administrado por la sucursal): costo 0 declarado.</t>
        </is>
      </c>
      <c r="L1433" s="26" t="n">
        <v>68850000</v>
      </c>
      <c r="M1433" s="26" t="n">
        <v>141097012</v>
      </c>
      <c r="N1433" s="27">
        <f>IF(ISNUMBER(M1433),M1433/L1433,"No aplica")</f>
        <v>2.0493393173565724</v>
      </c>
      <c r="O1433" s="25">
        <f>IF(G1433="provision",M1433+H1433,IF(G1433="recoleccion",M1433-H1433,"No aplica"))</f>
        <v>68850000</v>
      </c>
      <c r="P1433" s="26" t="n">
        <v>0</v>
      </c>
    </row>
    <row r="1434">
      <c r="A1434" t="inlineStr">
        <is>
          <t>PRAGMA</t>
        </is>
      </c>
      <c r="B1434" t="inlineStr">
        <is>
          <t>M2</t>
        </is>
      </c>
      <c r="C1434" t="inlineStr">
        <is>
          <t>Cali</t>
        </is>
      </c>
      <c r="D1434" t="inlineStr">
        <is>
          <t>1115</t>
        </is>
      </c>
      <c r="E1434" t="inlineStr">
        <is>
          <t>Sucursal</t>
        </is>
      </c>
      <c r="F1434" s="23" t="n">
        <v>46280</v>
      </c>
      <c r="G1434" t="inlineStr">
        <is>
          <t>recoleccion</t>
        </is>
      </c>
      <c r="H1434" s="26" t="n">
        <v>68630376</v>
      </c>
      <c r="I1434" t="inlineStr">
        <is>
          <t>bajo</t>
        </is>
      </c>
      <c r="J1434" t="inlineStr">
        <is>
          <t>RN-22 y RN-35: recoleccion al cierre de lo que pasa del cupo</t>
        </is>
      </c>
      <c r="K1434" t="inlineStr">
        <is>
          <t>Recoleccion al cierre: con el pronostico, el saldo cerraria en 137.480.376 COP, sobre el cupo de 68.850.000. Se recoge el excedente y el saldo queda en 68.850.000 COP. Equipo administrado por Sucursal. Sin tarifa TDV (administrado por la sucursal): costo 0 declarado.</t>
        </is>
      </c>
      <c r="L1434" s="26" t="n">
        <v>68850000</v>
      </c>
      <c r="M1434" s="26" t="n">
        <v>137480376</v>
      </c>
      <c r="N1434" s="27">
        <f>IF(ISNUMBER(M1434),M1434/L1434,"No aplica")</f>
        <v>1.996810108932462</v>
      </c>
      <c r="O1434" s="25">
        <f>IF(G1434="provision",M1434+H1434,IF(G1434="recoleccion",M1434-H1434,"No aplica"))</f>
        <v>68850000</v>
      </c>
      <c r="P1434" s="26" t="n">
        <v>0</v>
      </c>
    </row>
    <row r="1435">
      <c r="A1435" t="inlineStr">
        <is>
          <t>PRAGMA</t>
        </is>
      </c>
      <c r="B1435" t="inlineStr">
        <is>
          <t>M2</t>
        </is>
      </c>
      <c r="C1435" t="inlineStr">
        <is>
          <t>Cali</t>
        </is>
      </c>
      <c r="D1435" t="inlineStr">
        <is>
          <t>1116</t>
        </is>
      </c>
      <c r="E1435" t="inlineStr">
        <is>
          <t>TDV</t>
        </is>
      </c>
      <c r="F1435" s="23" t="n">
        <v>46266</v>
      </c>
      <c r="G1435" t="inlineStr">
        <is>
          <t>recoleccion</t>
        </is>
      </c>
      <c r="H1435" s="26" t="n">
        <v>73764851</v>
      </c>
      <c r="I1435" t="inlineStr">
        <is>
          <t>bajo</t>
        </is>
      </c>
      <c r="J1435" t="inlineStr">
        <is>
          <t>RN-22 y RN-35: recoleccion al cierre de lo que pasa del cupo</t>
        </is>
      </c>
      <c r="K1435" t="inlineStr">
        <is>
          <t>Recoleccion al cierre: con el pronostico, el saldo cerraria en 142.614.851 COP, sobre el cupo de 68.850.000. Se recoge el excedente y el saldo queda en 68.850.000 COP. Equipo administrado por TDV.</t>
        </is>
      </c>
      <c r="L1435" s="26" t="n">
        <v>68850000</v>
      </c>
      <c r="M1435" s="26" t="n">
        <v>142614851</v>
      </c>
      <c r="N1435" s="27">
        <f>IF(ISNUMBER(M1435),M1435/L1435,"No aplica")</f>
        <v>2.0713849092229486</v>
      </c>
      <c r="O1435" s="25">
        <f>IF(G1435="provision",M1435+H1435,IF(G1435="recoleccion",M1435-H1435,"No aplica"))</f>
        <v>68850000</v>
      </c>
      <c r="P1435" s="26" t="n">
        <v>158012</v>
      </c>
    </row>
    <row r="1436">
      <c r="A1436" t="inlineStr">
        <is>
          <t>PRAGMA</t>
        </is>
      </c>
      <c r="B1436" t="inlineStr">
        <is>
          <t>M2</t>
        </is>
      </c>
      <c r="C1436" t="inlineStr">
        <is>
          <t>Cali</t>
        </is>
      </c>
      <c r="D1436" t="inlineStr">
        <is>
          <t>1116</t>
        </is>
      </c>
      <c r="E1436" t="inlineStr">
        <is>
          <t>TDV</t>
        </is>
      </c>
      <c r="F1436" s="23" t="n">
        <v>46267</v>
      </c>
      <c r="G1436" t="inlineStr">
        <is>
          <t>recoleccion</t>
        </is>
      </c>
      <c r="H1436" s="26" t="n">
        <v>56753681</v>
      </c>
      <c r="I1436" t="inlineStr">
        <is>
          <t>bajo</t>
        </is>
      </c>
      <c r="J1436" t="inlineStr">
        <is>
          <t>RN-22 y RN-35: recoleccion al cierre de lo que pasa del cupo</t>
        </is>
      </c>
      <c r="K1436" t="inlineStr">
        <is>
          <t>Recoleccion al cierre: con el pronostico, el saldo cerraria en 125.603.681 COP, sobre el cupo de 68.850.000. Se recoge el excedente y el saldo queda en 68.850.000 COP. Equipo administrado por TDV.</t>
        </is>
      </c>
      <c r="L1436" s="26" t="n">
        <v>68850000</v>
      </c>
      <c r="M1436" s="26" t="n">
        <v>125603681</v>
      </c>
      <c r="N1436" s="27">
        <f>IF(ISNUMBER(M1436),M1436/L1436,"No aplica")</f>
        <v>1.8243090922294845</v>
      </c>
      <c r="O1436" s="25">
        <f>IF(G1436="provision",M1436+H1436,IF(G1436="recoleccion",M1436-H1436,"No aplica"))</f>
        <v>68850000</v>
      </c>
      <c r="P1436" s="26" t="n">
        <v>158012</v>
      </c>
    </row>
    <row r="1437">
      <c r="A1437" t="inlineStr">
        <is>
          <t>PRAGMA</t>
        </is>
      </c>
      <c r="B1437" t="inlineStr">
        <is>
          <t>M2</t>
        </is>
      </c>
      <c r="C1437" t="inlineStr">
        <is>
          <t>Cali</t>
        </is>
      </c>
      <c r="D1437" t="inlineStr">
        <is>
          <t>1116</t>
        </is>
      </c>
      <c r="E1437" t="inlineStr">
        <is>
          <t>TDV</t>
        </is>
      </c>
      <c r="F1437" s="23" t="n">
        <v>46268</v>
      </c>
      <c r="G1437" t="inlineStr">
        <is>
          <t>recoleccion</t>
        </is>
      </c>
      <c r="H1437" s="26" t="n">
        <v>68619719</v>
      </c>
      <c r="I1437" t="inlineStr">
        <is>
          <t>bajo</t>
        </is>
      </c>
      <c r="J1437" t="inlineStr">
        <is>
          <t>RN-22 y RN-35: recoleccion al cierre de lo que pasa del cupo</t>
        </is>
      </c>
      <c r="K1437" t="inlineStr">
        <is>
          <t>Recoleccion al cierre: con el pronostico, el saldo cerraria en 137.469.719 COP, sobre el cupo de 68.850.000. Se recoge el excedente y el saldo queda en 68.850.000 COP. Equipo administrado por TDV.</t>
        </is>
      </c>
      <c r="L1437" s="26" t="n">
        <v>68850000</v>
      </c>
      <c r="M1437" s="26" t="n">
        <v>137469719</v>
      </c>
      <c r="N1437" s="27">
        <f>IF(ISNUMBER(M1437),M1437/L1437,"No aplica")</f>
        <v>1.9966553231663036</v>
      </c>
      <c r="O1437" s="25">
        <f>IF(G1437="provision",M1437+H1437,IF(G1437="recoleccion",M1437-H1437,"No aplica"))</f>
        <v>68850000</v>
      </c>
      <c r="P1437" s="26" t="n">
        <v>158012</v>
      </c>
    </row>
    <row r="1438">
      <c r="A1438" t="inlineStr">
        <is>
          <t>PRAGMA</t>
        </is>
      </c>
      <c r="B1438" t="inlineStr">
        <is>
          <t>M2</t>
        </is>
      </c>
      <c r="C1438" t="inlineStr">
        <is>
          <t>Cali</t>
        </is>
      </c>
      <c r="D1438" t="inlineStr">
        <is>
          <t>1116</t>
        </is>
      </c>
      <c r="E1438" t="inlineStr">
        <is>
          <t>TDV</t>
        </is>
      </c>
      <c r="F1438" s="23" t="n">
        <v>46269</v>
      </c>
      <c r="G1438" t="inlineStr">
        <is>
          <t>recoleccion</t>
        </is>
      </c>
      <c r="H1438" s="26" t="n">
        <v>66612442</v>
      </c>
      <c r="I1438" t="inlineStr">
        <is>
          <t>bajo</t>
        </is>
      </c>
      <c r="J1438" t="inlineStr">
        <is>
          <t>RN-22 y RN-35: recoleccion al cierre de lo que pasa del cupo</t>
        </is>
      </c>
      <c r="K1438" t="inlineStr">
        <is>
          <t>Recoleccion al cierre: con el pronostico, el saldo cerraria en 135.462.442 COP, sobre el cupo de 68.850.000. Se recoge el excedente y el saldo queda en 68.850.000 COP. Equipo administrado por TDV.</t>
        </is>
      </c>
      <c r="L1438" s="26" t="n">
        <v>68850000</v>
      </c>
      <c r="M1438" s="26" t="n">
        <v>135462442</v>
      </c>
      <c r="N1438" s="27">
        <f>IF(ISNUMBER(M1438),M1438/L1438,"No aplica")</f>
        <v>1.9675009731299928</v>
      </c>
      <c r="O1438" s="25">
        <f>IF(G1438="provision",M1438+H1438,IF(G1438="recoleccion",M1438-H1438,"No aplica"))</f>
        <v>68850000</v>
      </c>
      <c r="P1438" s="26" t="n">
        <v>158012</v>
      </c>
    </row>
    <row r="1439">
      <c r="A1439" t="inlineStr">
        <is>
          <t>PRAGMA</t>
        </is>
      </c>
      <c r="B1439" t="inlineStr">
        <is>
          <t>M2</t>
        </is>
      </c>
      <c r="C1439" t="inlineStr">
        <is>
          <t>Cali</t>
        </is>
      </c>
      <c r="D1439" t="inlineStr">
        <is>
          <t>1116</t>
        </is>
      </c>
      <c r="E1439" t="inlineStr">
        <is>
          <t>TDV</t>
        </is>
      </c>
      <c r="F1439" s="23" t="n">
        <v>46270</v>
      </c>
      <c r="G1439" t="inlineStr">
        <is>
          <t>recoleccion</t>
        </is>
      </c>
      <c r="H1439" s="26" t="n">
        <v>48328841</v>
      </c>
      <c r="I1439" t="inlineStr">
        <is>
          <t>bajo</t>
        </is>
      </c>
      <c r="J1439" t="inlineStr">
        <is>
          <t>RN-22 y RN-35: recoleccion al cierre de lo que pasa del cupo</t>
        </is>
      </c>
      <c r="K1439" t="inlineStr">
        <is>
          <t>Recoleccion al cierre: con el pronostico, el saldo cerraria en 117.178.841 COP, sobre el cupo de 68.850.000. Se recoge el excedente y el saldo queda en 68.850.000 COP. Equipo administrado por TDV.</t>
        </is>
      </c>
      <c r="L1439" s="26" t="n">
        <v>68850000</v>
      </c>
      <c r="M1439" s="26" t="n">
        <v>117178841</v>
      </c>
      <c r="N1439" s="27">
        <f>IF(ISNUMBER(M1439),M1439/L1439,"No aplica")</f>
        <v>1.701943950617284</v>
      </c>
      <c r="O1439" s="25">
        <f>IF(G1439="provision",M1439+H1439,IF(G1439="recoleccion",M1439-H1439,"No aplica"))</f>
        <v>68850000</v>
      </c>
      <c r="P1439" s="26" t="n">
        <v>158012</v>
      </c>
    </row>
    <row r="1440">
      <c r="A1440" t="inlineStr">
        <is>
          <t>PRAGMA</t>
        </is>
      </c>
      <c r="B1440" t="inlineStr">
        <is>
          <t>M2</t>
        </is>
      </c>
      <c r="C1440" t="inlineStr">
        <is>
          <t>Cali</t>
        </is>
      </c>
      <c r="D1440" t="inlineStr">
        <is>
          <t>1116</t>
        </is>
      </c>
      <c r="E1440" t="inlineStr">
        <is>
          <t>TDV</t>
        </is>
      </c>
      <c r="F1440" s="23" t="n">
        <v>46271</v>
      </c>
      <c r="G1440" t="inlineStr">
        <is>
          <t>recoleccion</t>
        </is>
      </c>
      <c r="H1440" s="26" t="n">
        <v>15690222</v>
      </c>
      <c r="I1440" t="inlineStr">
        <is>
          <t>bajo</t>
        </is>
      </c>
      <c r="J1440" t="inlineStr">
        <is>
          <t>RN-22 y RN-35: recoleccion al cierre de lo que pasa del cupo</t>
        </is>
      </c>
      <c r="K1440" t="inlineStr">
        <is>
          <t>Recoleccion al cierre: con el pronostico, el saldo cerraria en 84.540.222 COP, sobre el cupo de 68.850.000. Se recoge el excedente y el saldo queda en 68.850.000 COP. Equipo administrado por TDV.</t>
        </is>
      </c>
      <c r="L1440" s="26" t="n">
        <v>68850000</v>
      </c>
      <c r="M1440" s="26" t="n">
        <v>84540222</v>
      </c>
      <c r="N1440" s="27">
        <f>IF(ISNUMBER(M1440),M1440/L1440,"No aplica")</f>
        <v>1.227889934640523</v>
      </c>
      <c r="O1440" s="25">
        <f>IF(G1440="provision",M1440+H1440,IF(G1440="recoleccion",M1440-H1440,"No aplica"))</f>
        <v>68850000</v>
      </c>
      <c r="P1440" s="26" t="n">
        <v>182814</v>
      </c>
    </row>
    <row r="1441">
      <c r="A1441" t="inlineStr">
        <is>
          <t>PRAGMA</t>
        </is>
      </c>
      <c r="B1441" t="inlineStr">
        <is>
          <t>M2</t>
        </is>
      </c>
      <c r="C1441" t="inlineStr">
        <is>
          <t>Cali</t>
        </is>
      </c>
      <c r="D1441" t="inlineStr">
        <is>
          <t>1116</t>
        </is>
      </c>
      <c r="E1441" t="inlineStr">
        <is>
          <t>TDV</t>
        </is>
      </c>
      <c r="F1441" s="23" t="n">
        <v>46272</v>
      </c>
      <c r="G1441" t="inlineStr">
        <is>
          <t>recoleccion</t>
        </is>
      </c>
      <c r="H1441" s="26" t="n">
        <v>68351678</v>
      </c>
      <c r="I1441" t="inlineStr">
        <is>
          <t>bajo</t>
        </is>
      </c>
      <c r="J1441" t="inlineStr">
        <is>
          <t>RN-22 y RN-35: recoleccion al cierre de lo que pasa del cupo</t>
        </is>
      </c>
      <c r="K1441" t="inlineStr">
        <is>
          <t>Recoleccion al cierre: con el pronostico, el saldo cerraria en 137.201.678 COP, sobre el cupo de 68.850.000. Se recoge el excedente y el saldo queda en 68.850.000 COP. Equipo administrado por TDV.</t>
        </is>
      </c>
      <c r="L1441" s="26" t="n">
        <v>68850000</v>
      </c>
      <c r="M1441" s="26" t="n">
        <v>137201678</v>
      </c>
      <c r="N1441" s="27">
        <f>IF(ISNUMBER(M1441),M1441/L1441,"No aplica")</f>
        <v>1.992762207697894</v>
      </c>
      <c r="O1441" s="25">
        <f>IF(G1441="provision",M1441+H1441,IF(G1441="recoleccion",M1441-H1441,"No aplica"))</f>
        <v>68850000</v>
      </c>
      <c r="P1441" s="26" t="n">
        <v>158012</v>
      </c>
    </row>
    <row r="1442">
      <c r="A1442" t="inlineStr">
        <is>
          <t>PRAGMA</t>
        </is>
      </c>
      <c r="B1442" t="inlineStr">
        <is>
          <t>M2</t>
        </is>
      </c>
      <c r="C1442" t="inlineStr">
        <is>
          <t>Cali</t>
        </is>
      </c>
      <c r="D1442" t="inlineStr">
        <is>
          <t>1116</t>
        </is>
      </c>
      <c r="E1442" t="inlineStr">
        <is>
          <t>TDV</t>
        </is>
      </c>
      <c r="F1442" s="23" t="n">
        <v>46273</v>
      </c>
      <c r="G1442" t="inlineStr">
        <is>
          <t>recoleccion</t>
        </is>
      </c>
      <c r="H1442" s="26" t="n">
        <v>70935756</v>
      </c>
      <c r="I1442" t="inlineStr">
        <is>
          <t>bajo</t>
        </is>
      </c>
      <c r="J1442" t="inlineStr">
        <is>
          <t>RN-22 y RN-35: recoleccion al cierre de lo que pasa del cupo</t>
        </is>
      </c>
      <c r="K1442" t="inlineStr">
        <is>
          <t>Recoleccion al cierre: con el pronostico, el saldo cerraria en 139.785.756 COP, sobre el cupo de 68.850.000. Se recoge el excedente y el saldo queda en 68.850.000 COP. Equipo administrado por TDV.</t>
        </is>
      </c>
      <c r="L1442" s="26" t="n">
        <v>68850000</v>
      </c>
      <c r="M1442" s="26" t="n">
        <v>139785756</v>
      </c>
      <c r="N1442" s="27">
        <f>IF(ISNUMBER(M1442),M1442/L1442,"No aplica")</f>
        <v>2.0302942047930284</v>
      </c>
      <c r="O1442" s="25">
        <f>IF(G1442="provision",M1442+H1442,IF(G1442="recoleccion",M1442-H1442,"No aplica"))</f>
        <v>68850000</v>
      </c>
      <c r="P1442" s="26" t="n">
        <v>158012</v>
      </c>
    </row>
    <row r="1443">
      <c r="A1443" t="inlineStr">
        <is>
          <t>PRAGMA</t>
        </is>
      </c>
      <c r="B1443" t="inlineStr">
        <is>
          <t>M2</t>
        </is>
      </c>
      <c r="C1443" t="inlineStr">
        <is>
          <t>Cali</t>
        </is>
      </c>
      <c r="D1443" t="inlineStr">
        <is>
          <t>1116</t>
        </is>
      </c>
      <c r="E1443" t="inlineStr">
        <is>
          <t>TDV</t>
        </is>
      </c>
      <c r="F1443" s="23" t="n">
        <v>46274</v>
      </c>
      <c r="G1443" t="inlineStr">
        <is>
          <t>recoleccion</t>
        </is>
      </c>
      <c r="H1443" s="26" t="n">
        <v>57390116</v>
      </c>
      <c r="I1443" t="inlineStr">
        <is>
          <t>bajo</t>
        </is>
      </c>
      <c r="J1443" t="inlineStr">
        <is>
          <t>RN-22 y RN-35: recoleccion al cierre de lo que pasa del cupo</t>
        </is>
      </c>
      <c r="K1443" t="inlineStr">
        <is>
          <t>Recoleccion al cierre: con el pronostico, el saldo cerraria en 126.240.116 COP, sobre el cupo de 68.850.000. Se recoge el excedente y el saldo queda en 68.850.000 COP. Equipo administrado por TDV.</t>
        </is>
      </c>
      <c r="L1443" s="26" t="n">
        <v>68850000</v>
      </c>
      <c r="M1443" s="26" t="n">
        <v>126240116</v>
      </c>
      <c r="N1443" s="27">
        <f>IF(ISNUMBER(M1443),M1443/L1443,"No aplica")</f>
        <v>1.8335528830791576</v>
      </c>
      <c r="O1443" s="25">
        <f>IF(G1443="provision",M1443+H1443,IF(G1443="recoleccion",M1443-H1443,"No aplica"))</f>
        <v>68850000</v>
      </c>
      <c r="P1443" s="26" t="n">
        <v>158012</v>
      </c>
    </row>
    <row r="1444">
      <c r="A1444" t="inlineStr">
        <is>
          <t>PRAGMA</t>
        </is>
      </c>
      <c r="B1444" t="inlineStr">
        <is>
          <t>M2</t>
        </is>
      </c>
      <c r="C1444" t="inlineStr">
        <is>
          <t>Cali</t>
        </is>
      </c>
      <c r="D1444" t="inlineStr">
        <is>
          <t>1116</t>
        </is>
      </c>
      <c r="E1444" t="inlineStr">
        <is>
          <t>TDV</t>
        </is>
      </c>
      <c r="F1444" s="23" t="n">
        <v>46275</v>
      </c>
      <c r="G1444" t="inlineStr">
        <is>
          <t>recoleccion</t>
        </is>
      </c>
      <c r="H1444" s="26" t="n">
        <v>59921207</v>
      </c>
      <c r="I1444" t="inlineStr">
        <is>
          <t>bajo</t>
        </is>
      </c>
      <c r="J1444" t="inlineStr">
        <is>
          <t>RN-22 y RN-35: recoleccion al cierre de lo que pasa del cupo</t>
        </is>
      </c>
      <c r="K1444" t="inlineStr">
        <is>
          <t>Recoleccion al cierre: con el pronostico, el saldo cerraria en 128.771.207 COP, sobre el cupo de 68.850.000. Se recoge el excedente y el saldo queda en 68.850.000 COP. Equipo administrado por TDV.</t>
        </is>
      </c>
      <c r="L1444" s="26" t="n">
        <v>68850000</v>
      </c>
      <c r="M1444" s="26" t="n">
        <v>128771207</v>
      </c>
      <c r="N1444" s="27">
        <f>IF(ISNUMBER(M1444),M1444/L1444,"No aplica")</f>
        <v>1.870315279593319</v>
      </c>
      <c r="O1444" s="25">
        <f>IF(G1444="provision",M1444+H1444,IF(G1444="recoleccion",M1444-H1444,"No aplica"))</f>
        <v>68850000</v>
      </c>
      <c r="P1444" s="26" t="n">
        <v>158012</v>
      </c>
    </row>
    <row r="1445">
      <c r="A1445" t="inlineStr">
        <is>
          <t>PRAGMA</t>
        </is>
      </c>
      <c r="B1445" t="inlineStr">
        <is>
          <t>M2</t>
        </is>
      </c>
      <c r="C1445" t="inlineStr">
        <is>
          <t>Cali</t>
        </is>
      </c>
      <c r="D1445" t="inlineStr">
        <is>
          <t>1116</t>
        </is>
      </c>
      <c r="E1445" t="inlineStr">
        <is>
          <t>TDV</t>
        </is>
      </c>
      <c r="F1445" s="23" t="n">
        <v>46276</v>
      </c>
      <c r="G1445" t="inlineStr">
        <is>
          <t>recoleccion</t>
        </is>
      </c>
      <c r="H1445" s="26" t="n">
        <v>56722872</v>
      </c>
      <c r="I1445" t="inlineStr">
        <is>
          <t>bajo</t>
        </is>
      </c>
      <c r="J1445" t="inlineStr">
        <is>
          <t>RN-22 y RN-35: recoleccion al cierre de lo que pasa del cupo</t>
        </is>
      </c>
      <c r="K1445" t="inlineStr">
        <is>
          <t>Recoleccion al cierre: con el pronostico, el saldo cerraria en 125.572.872 COP, sobre el cupo de 68.850.000. Se recoge el excedente y el saldo queda en 68.850.000 COP. Equipo administrado por TDV.</t>
        </is>
      </c>
      <c r="L1445" s="26" t="n">
        <v>68850000</v>
      </c>
      <c r="M1445" s="26" t="n">
        <v>125572872</v>
      </c>
      <c r="N1445" s="27">
        <f>IF(ISNUMBER(M1445),M1445/L1445,"No aplica")</f>
        <v>1.8238616122004356</v>
      </c>
      <c r="O1445" s="25">
        <f>IF(G1445="provision",M1445+H1445,IF(G1445="recoleccion",M1445-H1445,"No aplica"))</f>
        <v>68850000</v>
      </c>
      <c r="P1445" s="26" t="n">
        <v>158012</v>
      </c>
    </row>
    <row r="1446">
      <c r="A1446" t="inlineStr">
        <is>
          <t>PRAGMA</t>
        </is>
      </c>
      <c r="B1446" t="inlineStr">
        <is>
          <t>M2</t>
        </is>
      </c>
      <c r="C1446" t="inlineStr">
        <is>
          <t>Cali</t>
        </is>
      </c>
      <c r="D1446" t="inlineStr">
        <is>
          <t>1116</t>
        </is>
      </c>
      <c r="E1446" t="inlineStr">
        <is>
          <t>TDV</t>
        </is>
      </c>
      <c r="F1446" s="23" t="n">
        <v>46277</v>
      </c>
      <c r="G1446" t="inlineStr">
        <is>
          <t>recoleccion</t>
        </is>
      </c>
      <c r="H1446" s="26" t="n">
        <v>43087258</v>
      </c>
      <c r="I1446" t="inlineStr">
        <is>
          <t>bajo</t>
        </is>
      </c>
      <c r="J1446" t="inlineStr">
        <is>
          <t>RN-22 y RN-35: recoleccion al cierre de lo que pasa del cupo</t>
        </is>
      </c>
      <c r="K1446" t="inlineStr">
        <is>
          <t>Recoleccion al cierre: con el pronostico, el saldo cerraria en 111.937.258 COP, sobre el cupo de 68.850.000. Se recoge el excedente y el saldo queda en 68.850.000 COP. Equipo administrado por TDV.</t>
        </is>
      </c>
      <c r="L1446" s="26" t="n">
        <v>68850000</v>
      </c>
      <c r="M1446" s="26" t="n">
        <v>111937258</v>
      </c>
      <c r="N1446" s="27">
        <f>IF(ISNUMBER(M1446),M1446/L1446,"No aplica")</f>
        <v>1.6258134785766158</v>
      </c>
      <c r="O1446" s="25">
        <f>IF(G1446="provision",M1446+H1446,IF(G1446="recoleccion",M1446-H1446,"No aplica"))</f>
        <v>68850000</v>
      </c>
      <c r="P1446" s="26" t="n">
        <v>158012</v>
      </c>
    </row>
    <row r="1447">
      <c r="A1447" t="inlineStr">
        <is>
          <t>PRAGMA</t>
        </is>
      </c>
      <c r="B1447" t="inlineStr">
        <is>
          <t>M2</t>
        </is>
      </c>
      <c r="C1447" t="inlineStr">
        <is>
          <t>Cali</t>
        </is>
      </c>
      <c r="D1447" t="inlineStr">
        <is>
          <t>1116</t>
        </is>
      </c>
      <c r="E1447" t="inlineStr">
        <is>
          <t>TDV</t>
        </is>
      </c>
      <c r="F1447" s="23" t="n">
        <v>46278</v>
      </c>
      <c r="G1447" t="inlineStr">
        <is>
          <t>recoleccion</t>
        </is>
      </c>
      <c r="H1447" s="26" t="n">
        <v>11409927</v>
      </c>
      <c r="I1447" t="inlineStr">
        <is>
          <t>bajo</t>
        </is>
      </c>
      <c r="J1447" t="inlineStr">
        <is>
          <t>RN-22 y RN-35: recoleccion al cierre de lo que pasa del cupo</t>
        </is>
      </c>
      <c r="K1447" t="inlineStr">
        <is>
          <t>Recoleccion al cierre: con el pronostico, el saldo cerraria en 80.259.927 COP, sobre el cupo de 68.850.000. Se recoge el excedente y el saldo queda en 68.850.000 COP. Equipo administrado por TDV.</t>
        </is>
      </c>
      <c r="L1447" s="26" t="n">
        <v>68850000</v>
      </c>
      <c r="M1447" s="26" t="n">
        <v>80259927</v>
      </c>
      <c r="N1447" s="27">
        <f>IF(ISNUMBER(M1447),M1447/L1447,"No aplica")</f>
        <v>1.1657215250544661</v>
      </c>
      <c r="O1447" s="25">
        <f>IF(G1447="provision",M1447+H1447,IF(G1447="recoleccion",M1447-H1447,"No aplica"))</f>
        <v>68850000</v>
      </c>
      <c r="P1447" s="26" t="n">
        <v>182814</v>
      </c>
    </row>
    <row r="1448">
      <c r="A1448" t="inlineStr">
        <is>
          <t>PRAGMA</t>
        </is>
      </c>
      <c r="B1448" t="inlineStr">
        <is>
          <t>M2</t>
        </is>
      </c>
      <c r="C1448" t="inlineStr">
        <is>
          <t>Cali</t>
        </is>
      </c>
      <c r="D1448" t="inlineStr">
        <is>
          <t>1116</t>
        </is>
      </c>
      <c r="E1448" t="inlineStr">
        <is>
          <t>TDV</t>
        </is>
      </c>
      <c r="F1448" s="23" t="n">
        <v>46279</v>
      </c>
      <c r="G1448" t="inlineStr">
        <is>
          <t>recoleccion</t>
        </is>
      </c>
      <c r="H1448" s="26" t="n">
        <v>65319982</v>
      </c>
      <c r="I1448" t="inlineStr">
        <is>
          <t>bajo</t>
        </is>
      </c>
      <c r="J1448" t="inlineStr">
        <is>
          <t>RN-22 y RN-35: recoleccion al cierre de lo que pasa del cupo</t>
        </is>
      </c>
      <c r="K1448" t="inlineStr">
        <is>
          <t>Recoleccion al cierre: con el pronostico, el saldo cerraria en 134.169.982 COP, sobre el cupo de 68.850.000. Se recoge el excedente y el saldo queda en 68.850.000 COP. Equipo administrado por TDV.</t>
        </is>
      </c>
      <c r="L1448" s="26" t="n">
        <v>68850000</v>
      </c>
      <c r="M1448" s="26" t="n">
        <v>134169982</v>
      </c>
      <c r="N1448" s="27">
        <f>IF(ISNUMBER(M1448),M1448/L1448,"No aplica")</f>
        <v>1.9487288598402324</v>
      </c>
      <c r="O1448" s="25">
        <f>IF(G1448="provision",M1448+H1448,IF(G1448="recoleccion",M1448-H1448,"No aplica"))</f>
        <v>68850000</v>
      </c>
      <c r="P1448" s="26" t="n">
        <v>158012</v>
      </c>
    </row>
    <row r="1449">
      <c r="A1449" t="inlineStr">
        <is>
          <t>PRAGMA</t>
        </is>
      </c>
      <c r="B1449" t="inlineStr">
        <is>
          <t>M2</t>
        </is>
      </c>
      <c r="C1449" t="inlineStr">
        <is>
          <t>Cali</t>
        </is>
      </c>
      <c r="D1449" t="inlineStr">
        <is>
          <t>1116</t>
        </is>
      </c>
      <c r="E1449" t="inlineStr">
        <is>
          <t>TDV</t>
        </is>
      </c>
      <c r="F1449" s="23" t="n">
        <v>46280</v>
      </c>
      <c r="G1449" t="inlineStr">
        <is>
          <t>recoleccion</t>
        </is>
      </c>
      <c r="H1449" s="26" t="n">
        <v>67391469</v>
      </c>
      <c r="I1449" t="inlineStr">
        <is>
          <t>bajo</t>
        </is>
      </c>
      <c r="J1449" t="inlineStr">
        <is>
          <t>RN-22 y RN-35: recoleccion al cierre de lo que pasa del cupo</t>
        </is>
      </c>
      <c r="K1449" t="inlineStr">
        <is>
          <t>Recoleccion al cierre: con el pronostico, el saldo cerraria en 136.241.469 COP, sobre el cupo de 68.850.000. Se recoge el excedente y el saldo queda en 68.850.000 COP. Equipo administrado por TDV.</t>
        </is>
      </c>
      <c r="L1449" s="26" t="n">
        <v>68850000</v>
      </c>
      <c r="M1449" s="26" t="n">
        <v>136241469</v>
      </c>
      <c r="N1449" s="27">
        <f>IF(ISNUMBER(M1449),M1449/L1449,"No aplica")</f>
        <v>1.978815816993464</v>
      </c>
      <c r="O1449" s="25">
        <f>IF(G1449="provision",M1449+H1449,IF(G1449="recoleccion",M1449-H1449,"No aplica"))</f>
        <v>68850000</v>
      </c>
      <c r="P1449" s="26" t="n">
        <v>158012</v>
      </c>
    </row>
    <row r="1450">
      <c r="A1450" t="inlineStr">
        <is>
          <t>PRAGMA</t>
        </is>
      </c>
      <c r="B1450" t="inlineStr">
        <is>
          <t>M2</t>
        </is>
      </c>
      <c r="C1450" t="inlineStr">
        <is>
          <t>Cali</t>
        </is>
      </c>
      <c r="D1450" t="inlineStr">
        <is>
          <t>1377</t>
        </is>
      </c>
      <c r="E1450" t="inlineStr">
        <is>
          <t>TDV</t>
        </is>
      </c>
      <c r="F1450" s="23" t="n">
        <v>46269</v>
      </c>
      <c r="G1450" t="inlineStr">
        <is>
          <t>recoleccion</t>
        </is>
      </c>
      <c r="H1450" s="26" t="n">
        <v>1995100</v>
      </c>
      <c r="I1450" t="inlineStr">
        <is>
          <t>bajo</t>
        </is>
      </c>
      <c r="J1450" t="inlineStr">
        <is>
          <t>RN-22 y RN-35: recoleccion al cierre de lo que pasa del cupo</t>
        </is>
      </c>
      <c r="K1450" t="inlineStr">
        <is>
          <t>Recoleccion al cierre: con el pronostico, el saldo cerraria en 69.845.100 COP, sobre el cupo de 67.850.000. Se recoge el excedente y el saldo queda en 67.850.000 COP. Equipo administrado por TDV.</t>
        </is>
      </c>
      <c r="L1450" s="26" t="n">
        <v>67850000</v>
      </c>
      <c r="M1450" s="26" t="n">
        <v>69845100</v>
      </c>
      <c r="N1450" s="27">
        <f>IF(ISNUMBER(M1450),M1450/L1450,"No aplica")</f>
        <v>1.0294045689019897</v>
      </c>
      <c r="O1450" s="25">
        <f>IF(G1450="provision",M1450+H1450,IF(G1450="recoleccion",M1450-H1450,"No aplica"))</f>
        <v>67850000</v>
      </c>
      <c r="P1450" s="26" t="n">
        <v>157715</v>
      </c>
    </row>
    <row r="1451">
      <c r="A1451" t="inlineStr">
        <is>
          <t>PRAGMA</t>
        </is>
      </c>
      <c r="B1451" t="inlineStr">
        <is>
          <t>M2</t>
        </is>
      </c>
      <c r="C1451" t="inlineStr">
        <is>
          <t>Cali</t>
        </is>
      </c>
      <c r="D1451" t="inlineStr">
        <is>
          <t>1377</t>
        </is>
      </c>
      <c r="E1451" t="inlineStr">
        <is>
          <t>TDV</t>
        </is>
      </c>
      <c r="F1451" s="23" t="n">
        <v>46272</v>
      </c>
      <c r="G1451" t="inlineStr">
        <is>
          <t>recoleccion</t>
        </is>
      </c>
      <c r="H1451" s="26" t="n">
        <v>1746173</v>
      </c>
      <c r="I1451" t="inlineStr">
        <is>
          <t>bajo</t>
        </is>
      </c>
      <c r="J1451" t="inlineStr">
        <is>
          <t>RN-22 y RN-35: recoleccion al cierre de lo que pasa del cupo</t>
        </is>
      </c>
      <c r="K1451" t="inlineStr">
        <is>
          <t>Recoleccion al cierre: con el pronostico, el saldo cerraria en 69.596.173 COP, sobre el cupo de 67.850.000. Se recoge el excedente y el saldo queda en 67.850.000 COP. Equipo administrado por TDV.</t>
        </is>
      </c>
      <c r="L1451" s="26" t="n">
        <v>67850000</v>
      </c>
      <c r="M1451" s="26" t="n">
        <v>69596173</v>
      </c>
      <c r="N1451" s="27">
        <f>IF(ISNUMBER(M1451),M1451/L1451,"No aplica")</f>
        <v>1.0257357848194546</v>
      </c>
      <c r="O1451" s="25">
        <f>IF(G1451="provision",M1451+H1451,IF(G1451="recoleccion",M1451-H1451,"No aplica"))</f>
        <v>67850000</v>
      </c>
      <c r="P1451" s="26" t="n">
        <v>157715</v>
      </c>
    </row>
    <row r="1452">
      <c r="A1452" t="inlineStr">
        <is>
          <t>PRAGMA</t>
        </is>
      </c>
      <c r="B1452" t="inlineStr">
        <is>
          <t>M2</t>
        </is>
      </c>
      <c r="C1452" t="inlineStr">
        <is>
          <t>Cali</t>
        </is>
      </c>
      <c r="D1452" t="inlineStr">
        <is>
          <t>1377</t>
        </is>
      </c>
      <c r="E1452" t="inlineStr">
        <is>
          <t>TDV</t>
        </is>
      </c>
      <c r="F1452" s="23" t="n">
        <v>46273</v>
      </c>
      <c r="G1452" t="inlineStr">
        <is>
          <t>recoleccion</t>
        </is>
      </c>
      <c r="H1452" s="26" t="n">
        <v>1622931</v>
      </c>
      <c r="I1452" t="inlineStr">
        <is>
          <t>bajo</t>
        </is>
      </c>
      <c r="J1452" t="inlineStr">
        <is>
          <t>RN-22 y RN-35: recoleccion al cierre de lo que pasa del cupo</t>
        </is>
      </c>
      <c r="K1452" t="inlineStr">
        <is>
          <t>Recoleccion al cierre: con el pronostico, el saldo cerraria en 69.472.931 COP, sobre el cupo de 67.850.000. Se recoge el excedente y el saldo queda en 67.850.000 COP. Equipo administrado por TDV.</t>
        </is>
      </c>
      <c r="L1452" s="26" t="n">
        <v>67850000</v>
      </c>
      <c r="M1452" s="26" t="n">
        <v>69472931</v>
      </c>
      <c r="N1452" s="27">
        <f>IF(ISNUMBER(M1452),M1452/L1452,"No aplica")</f>
        <v>1.0239193957258659</v>
      </c>
      <c r="O1452" s="25">
        <f>IF(G1452="provision",M1452+H1452,IF(G1452="recoleccion",M1452-H1452,"No aplica"))</f>
        <v>67850000</v>
      </c>
      <c r="P1452" s="26" t="n">
        <v>157715</v>
      </c>
    </row>
    <row r="1453">
      <c r="A1453" t="inlineStr">
        <is>
          <t>PRAGMA</t>
        </is>
      </c>
      <c r="B1453" t="inlineStr">
        <is>
          <t>M2</t>
        </is>
      </c>
      <c r="C1453" t="inlineStr">
        <is>
          <t>Cali</t>
        </is>
      </c>
      <c r="D1453" t="inlineStr">
        <is>
          <t>1377</t>
        </is>
      </c>
      <c r="E1453" t="inlineStr">
        <is>
          <t>TDV</t>
        </is>
      </c>
      <c r="F1453" s="23" t="n">
        <v>46274</v>
      </c>
      <c r="G1453" t="inlineStr">
        <is>
          <t>recoleccion</t>
        </is>
      </c>
      <c r="H1453" s="26" t="n">
        <v>4463875</v>
      </c>
      <c r="I1453" t="inlineStr">
        <is>
          <t>bajo</t>
        </is>
      </c>
      <c r="J1453" t="inlineStr">
        <is>
          <t>RN-22 y RN-35: recoleccion al cierre de lo que pasa del cupo</t>
        </is>
      </c>
      <c r="K1453" t="inlineStr">
        <is>
          <t>Recoleccion al cierre: con el pronostico, el saldo cerraria en 72.313.875 COP, sobre el cupo de 67.850.000. Se recoge el excedente y el saldo queda en 67.850.000 COP. Equipo administrado por TDV.</t>
        </is>
      </c>
      <c r="L1453" s="26" t="n">
        <v>67850000</v>
      </c>
      <c r="M1453" s="26" t="n">
        <v>72313875</v>
      </c>
      <c r="N1453" s="27">
        <f>IF(ISNUMBER(M1453),M1453/L1453,"No aplica")</f>
        <v>1.0657903463522476</v>
      </c>
      <c r="O1453" s="25">
        <f>IF(G1453="provision",M1453+H1453,IF(G1453="recoleccion",M1453-H1453,"No aplica"))</f>
        <v>67850000</v>
      </c>
      <c r="P1453" s="26" t="n">
        <v>157715</v>
      </c>
    </row>
    <row r="1454">
      <c r="A1454" t="inlineStr">
        <is>
          <t>PRAGMA</t>
        </is>
      </c>
      <c r="B1454" t="inlineStr">
        <is>
          <t>M2</t>
        </is>
      </c>
      <c r="C1454" t="inlineStr">
        <is>
          <t>Cali</t>
        </is>
      </c>
      <c r="D1454" t="inlineStr">
        <is>
          <t>1377</t>
        </is>
      </c>
      <c r="E1454" t="inlineStr">
        <is>
          <t>TDV</t>
        </is>
      </c>
      <c r="F1454" s="23" t="n">
        <v>46275</v>
      </c>
      <c r="G1454" t="inlineStr">
        <is>
          <t>recoleccion</t>
        </is>
      </c>
      <c r="H1454" s="26" t="n">
        <v>3757816</v>
      </c>
      <c r="I1454" t="inlineStr">
        <is>
          <t>bajo</t>
        </is>
      </c>
      <c r="J1454" t="inlineStr">
        <is>
          <t>RN-22 y RN-35: recoleccion al cierre de lo que pasa del cupo</t>
        </is>
      </c>
      <c r="K1454" t="inlineStr">
        <is>
          <t>Recoleccion al cierre: con el pronostico, el saldo cerraria en 71.607.816 COP, sobre el cupo de 67.850.000. Se recoge el excedente y el saldo queda en 67.850.000 COP. Equipo administrado por TDV.</t>
        </is>
      </c>
      <c r="L1454" s="26" t="n">
        <v>67850000</v>
      </c>
      <c r="M1454" s="26" t="n">
        <v>71607816</v>
      </c>
      <c r="N1454" s="27">
        <f>IF(ISNUMBER(M1454),M1454/L1454,"No aplica")</f>
        <v>1.0553841709653649</v>
      </c>
      <c r="O1454" s="25">
        <f>IF(G1454="provision",M1454+H1454,IF(G1454="recoleccion",M1454-H1454,"No aplica"))</f>
        <v>67850000</v>
      </c>
      <c r="P1454" s="26" t="n">
        <v>157715</v>
      </c>
    </row>
    <row r="1455">
      <c r="A1455" t="inlineStr">
        <is>
          <t>PRAGMA</t>
        </is>
      </c>
      <c r="B1455" t="inlineStr">
        <is>
          <t>M2</t>
        </is>
      </c>
      <c r="C1455" t="inlineStr">
        <is>
          <t>Cali</t>
        </is>
      </c>
      <c r="D1455" t="inlineStr">
        <is>
          <t>1377</t>
        </is>
      </c>
      <c r="E1455" t="inlineStr">
        <is>
          <t>TDV</t>
        </is>
      </c>
      <c r="F1455" s="23" t="n">
        <v>46276</v>
      </c>
      <c r="G1455" t="inlineStr">
        <is>
          <t>recoleccion</t>
        </is>
      </c>
      <c r="H1455" s="26" t="n">
        <v>3879450</v>
      </c>
      <c r="I1455" t="inlineStr">
        <is>
          <t>bajo</t>
        </is>
      </c>
      <c r="J1455" t="inlineStr">
        <is>
          <t>RN-22 y RN-35: recoleccion al cierre de lo que pasa del cupo</t>
        </is>
      </c>
      <c r="K1455" t="inlineStr">
        <is>
          <t>Recoleccion al cierre: con el pronostico, el saldo cerraria en 71.729.450 COP, sobre el cupo de 67.850.000. Se recoge el excedente y el saldo queda en 67.850.000 COP. Equipo administrado por TDV.</t>
        </is>
      </c>
      <c r="L1455" s="26" t="n">
        <v>67850000</v>
      </c>
      <c r="M1455" s="26" t="n">
        <v>71729450</v>
      </c>
      <c r="N1455" s="27">
        <f>IF(ISNUMBER(M1455),M1455/L1455,"No aplica")</f>
        <v>1.0571768607221812</v>
      </c>
      <c r="O1455" s="25">
        <f>IF(G1455="provision",M1455+H1455,IF(G1455="recoleccion",M1455-H1455,"No aplica"))</f>
        <v>67850000</v>
      </c>
      <c r="P1455" s="26" t="n">
        <v>157715</v>
      </c>
    </row>
    <row r="1456">
      <c r="A1456" t="inlineStr">
        <is>
          <t>PRAGMA</t>
        </is>
      </c>
      <c r="B1456" t="inlineStr">
        <is>
          <t>M2</t>
        </is>
      </c>
      <c r="C1456" t="inlineStr">
        <is>
          <t>Cali</t>
        </is>
      </c>
      <c r="D1456" t="inlineStr">
        <is>
          <t>1481</t>
        </is>
      </c>
      <c r="E1456" t="inlineStr">
        <is>
          <t>TDV</t>
        </is>
      </c>
      <c r="F1456" s="23" t="n">
        <v>46266</v>
      </c>
      <c r="G1456" t="inlineStr">
        <is>
          <t>sin_accion</t>
        </is>
      </c>
      <c r="H1456" s="26" t="n">
        <v>0</v>
      </c>
      <c r="I1456" t="inlineStr">
        <is>
          <t>bajo</t>
        </is>
      </c>
      <c r="J1456" t="inlineStr">
        <is>
          <t>RN-02: una fila sin_accion</t>
        </is>
      </c>
      <c r="K1456" t="inlineStr">
        <is>
          <t>Sin accion en el horizonte: con el pronostico, el saldo se mantiene entre el umbral de agotamiento y el cupo sin necesidad de provision ni recoleccion.</t>
        </is>
      </c>
      <c r="L1456" s="26" t="n">
        <v>25002000</v>
      </c>
      <c r="M1456" s="26" t="inlineStr">
        <is>
          <t>No aplica</t>
        </is>
      </c>
      <c r="N1456" s="27" t="str">
        <f>IF(ISNUMBER(M1456),M1456/L1456,"No aplica")</f>
        <v>No aplica</v>
      </c>
      <c r="O1456" s="25" t="str">
        <f>IF(G1456="provision",M1456+H1456,IF(G1456="recoleccion",M1456-H1456,"No aplica"))</f>
        <v>No aplica</v>
      </c>
      <c r="P1456" s="26" t="inlineStr">
        <is>
          <t>No aplica</t>
        </is>
      </c>
    </row>
    <row r="1457">
      <c r="A1457" t="inlineStr">
        <is>
          <t>PRAGMA</t>
        </is>
      </c>
      <c r="B1457" t="inlineStr">
        <is>
          <t>M2</t>
        </is>
      </c>
      <c r="C1457" t="inlineStr">
        <is>
          <t>Cali</t>
        </is>
      </c>
      <c r="D1457" t="inlineStr">
        <is>
          <t>1482</t>
        </is>
      </c>
      <c r="E1457" t="inlineStr">
        <is>
          <t>Sucursal</t>
        </is>
      </c>
      <c r="F1457" s="23" t="n">
        <v>46266</v>
      </c>
      <c r="G1457" t="inlineStr">
        <is>
          <t>recoleccion</t>
        </is>
      </c>
      <c r="H1457" s="26" t="n">
        <v>108921088</v>
      </c>
      <c r="I1457" t="inlineStr">
        <is>
          <t>bajo</t>
        </is>
      </c>
      <c r="J1457" t="inlineStr">
        <is>
          <t>RN-22 y RN-35: recoleccion al cierre de lo que pasa del cupo</t>
        </is>
      </c>
      <c r="K1457" t="inlineStr">
        <is>
          <t>Recoleccion al cierre: con el pronostico, el saldo cerraria en 194.423.088 COP, sobre el cupo de 85.502.000. Se recoge el excedente y el saldo queda en 85.502.000 COP. Equipo administrado por Sucursal. Sin tarifa TDV (administrado por la sucursal): costo 0 declarado.</t>
        </is>
      </c>
      <c r="L1457" s="26" t="n">
        <v>85502000</v>
      </c>
      <c r="M1457" s="26" t="n">
        <v>194423088</v>
      </c>
      <c r="N1457" s="27">
        <f>IF(ISNUMBER(M1457),M1457/L1457,"No aplica")</f>
        <v>2.273901054946083</v>
      </c>
      <c r="O1457" s="25">
        <f>IF(G1457="provision",M1457+H1457,IF(G1457="recoleccion",M1457-H1457,"No aplica"))</f>
        <v>85502000</v>
      </c>
      <c r="P1457" s="26" t="n">
        <v>0</v>
      </c>
    </row>
    <row r="1458">
      <c r="A1458" t="inlineStr">
        <is>
          <t>PRAGMA</t>
        </is>
      </c>
      <c r="B1458" t="inlineStr">
        <is>
          <t>M2</t>
        </is>
      </c>
      <c r="C1458" t="inlineStr">
        <is>
          <t>Cali</t>
        </is>
      </c>
      <c r="D1458" t="inlineStr">
        <is>
          <t>1482</t>
        </is>
      </c>
      <c r="E1458" t="inlineStr">
        <is>
          <t>Sucursal</t>
        </is>
      </c>
      <c r="F1458" s="23" t="n">
        <v>46267</v>
      </c>
      <c r="G1458" t="inlineStr">
        <is>
          <t>recoleccion</t>
        </is>
      </c>
      <c r="H1458" s="26" t="n">
        <v>97179434</v>
      </c>
      <c r="I1458" t="inlineStr">
        <is>
          <t>bajo</t>
        </is>
      </c>
      <c r="J1458" t="inlineStr">
        <is>
          <t>RN-22 y RN-35: recoleccion al cierre de lo que pasa del cupo</t>
        </is>
      </c>
      <c r="K1458" t="inlineStr">
        <is>
          <t>Recoleccion al cierre: con el pronostico, el saldo cerraria en 182.681.434 COP, sobre el cupo de 85.502.000. Se recoge el excedente y el saldo queda en 85.502.000 COP. Equipo administrado por Sucursal. Sin tarifa TDV (administrado por la sucursal): costo 0 declarado.</t>
        </is>
      </c>
      <c r="L1458" s="26" t="n">
        <v>85502000</v>
      </c>
      <c r="M1458" s="26" t="n">
        <v>182681434</v>
      </c>
      <c r="N1458" s="27">
        <f>IF(ISNUMBER(M1458),M1458/L1458,"No aplica")</f>
        <v>2.1365749807022056</v>
      </c>
      <c r="O1458" s="25">
        <f>IF(G1458="provision",M1458+H1458,IF(G1458="recoleccion",M1458-H1458,"No aplica"))</f>
        <v>85502000</v>
      </c>
      <c r="P1458" s="26" t="n">
        <v>0</v>
      </c>
    </row>
    <row r="1459">
      <c r="A1459" t="inlineStr">
        <is>
          <t>PRAGMA</t>
        </is>
      </c>
      <c r="B1459" t="inlineStr">
        <is>
          <t>M2</t>
        </is>
      </c>
      <c r="C1459" t="inlineStr">
        <is>
          <t>Cali</t>
        </is>
      </c>
      <c r="D1459" t="inlineStr">
        <is>
          <t>1482</t>
        </is>
      </c>
      <c r="E1459" t="inlineStr">
        <is>
          <t>Sucursal</t>
        </is>
      </c>
      <c r="F1459" s="23" t="n">
        <v>46268</v>
      </c>
      <c r="G1459" t="inlineStr">
        <is>
          <t>recoleccion</t>
        </is>
      </c>
      <c r="H1459" s="26" t="n">
        <v>102338292</v>
      </c>
      <c r="I1459" t="inlineStr">
        <is>
          <t>bajo</t>
        </is>
      </c>
      <c r="J1459" t="inlineStr">
        <is>
          <t>RN-22 y RN-35: recoleccion al cierre de lo que pasa del cupo</t>
        </is>
      </c>
      <c r="K1459" t="inlineStr">
        <is>
          <t>Recoleccion al cierre: con el pronostico, el saldo cerraria en 187.840.292 COP, sobre el cupo de 85.502.000. Se recoge el excedente y el saldo queda en 85.502.000 COP. Equipo administrado por Sucursal. Sin tarifa TDV (administrado por la sucursal): costo 0 declarado.</t>
        </is>
      </c>
      <c r="L1459" s="26" t="n">
        <v>85502000</v>
      </c>
      <c r="M1459" s="26" t="n">
        <v>187840292</v>
      </c>
      <c r="N1459" s="27">
        <f>IF(ISNUMBER(M1459),M1459/L1459,"No aplica")</f>
        <v>2.196911089799069</v>
      </c>
      <c r="O1459" s="25">
        <f>IF(G1459="provision",M1459+H1459,IF(G1459="recoleccion",M1459-H1459,"No aplica"))</f>
        <v>85502000</v>
      </c>
      <c r="P1459" s="26" t="n">
        <v>0</v>
      </c>
    </row>
    <row r="1460">
      <c r="A1460" t="inlineStr">
        <is>
          <t>PRAGMA</t>
        </is>
      </c>
      <c r="B1460" t="inlineStr">
        <is>
          <t>M2</t>
        </is>
      </c>
      <c r="C1460" t="inlineStr">
        <is>
          <t>Cali</t>
        </is>
      </c>
      <c r="D1460" t="inlineStr">
        <is>
          <t>1482</t>
        </is>
      </c>
      <c r="E1460" t="inlineStr">
        <is>
          <t>Sucursal</t>
        </is>
      </c>
      <c r="F1460" s="23" t="n">
        <v>46269</v>
      </c>
      <c r="G1460" t="inlineStr">
        <is>
          <t>recoleccion</t>
        </is>
      </c>
      <c r="H1460" s="26" t="n">
        <v>104933242</v>
      </c>
      <c r="I1460" t="inlineStr">
        <is>
          <t>bajo</t>
        </is>
      </c>
      <c r="J1460" t="inlineStr">
        <is>
          <t>RN-22 y RN-35: recoleccion al cierre de lo que pasa del cupo</t>
        </is>
      </c>
      <c r="K1460" t="inlineStr">
        <is>
          <t>Recoleccion al cierre: con el pronostico, el saldo cerraria en 190.435.242 COP, sobre el cupo de 85.502.000. Se recoge el excedente y el saldo queda en 85.502.000 COP. Equipo administrado por Sucursal. Sin tarifa TDV (administrado por la sucursal): costo 0 declarado.</t>
        </is>
      </c>
      <c r="L1460" s="26" t="n">
        <v>85502000</v>
      </c>
      <c r="M1460" s="26" t="n">
        <v>190435242</v>
      </c>
      <c r="N1460" s="27">
        <f>IF(ISNUMBER(M1460),M1460/L1460,"No aplica")</f>
        <v>2.2272606722649764</v>
      </c>
      <c r="O1460" s="25">
        <f>IF(G1460="provision",M1460+H1460,IF(G1460="recoleccion",M1460-H1460,"No aplica"))</f>
        <v>85502000</v>
      </c>
      <c r="P1460" s="26" t="n">
        <v>0</v>
      </c>
    </row>
    <row r="1461">
      <c r="A1461" t="inlineStr">
        <is>
          <t>PRAGMA</t>
        </is>
      </c>
      <c r="B1461" t="inlineStr">
        <is>
          <t>M2</t>
        </is>
      </c>
      <c r="C1461" t="inlineStr">
        <is>
          <t>Cali</t>
        </is>
      </c>
      <c r="D1461" t="inlineStr">
        <is>
          <t>1482</t>
        </is>
      </c>
      <c r="E1461" t="inlineStr">
        <is>
          <t>Sucursal</t>
        </is>
      </c>
      <c r="F1461" s="23" t="n">
        <v>46270</v>
      </c>
      <c r="G1461" t="inlineStr">
        <is>
          <t>recoleccion</t>
        </is>
      </c>
      <c r="H1461" s="26" t="n">
        <v>90829383</v>
      </c>
      <c r="I1461" t="inlineStr">
        <is>
          <t>bajo</t>
        </is>
      </c>
      <c r="J1461" t="inlineStr">
        <is>
          <t>RN-22 y RN-35: recoleccion al cierre de lo que pasa del cupo</t>
        </is>
      </c>
      <c r="K1461" t="inlineStr">
        <is>
          <t>Recoleccion al cierre: con el pronostico, el saldo cerraria en 176.331.383 COP, sobre el cupo de 85.502.000. Se recoge el excedente y el saldo queda en 85.502.000 COP. Equipo administrado por Sucursal. Sin tarifa TDV (administrado por la sucursal): costo 0 declarado.</t>
        </is>
      </c>
      <c r="L1461" s="26" t="n">
        <v>85502000</v>
      </c>
      <c r="M1461" s="26" t="n">
        <v>176331383</v>
      </c>
      <c r="N1461" s="27">
        <f>IF(ISNUMBER(M1461),M1461/L1461,"No aplica")</f>
        <v>2.0623071156230264</v>
      </c>
      <c r="O1461" s="25">
        <f>IF(G1461="provision",M1461+H1461,IF(G1461="recoleccion",M1461-H1461,"No aplica"))</f>
        <v>85502000</v>
      </c>
      <c r="P1461" s="26" t="n">
        <v>0</v>
      </c>
    </row>
    <row r="1462">
      <c r="A1462" t="inlineStr">
        <is>
          <t>PRAGMA</t>
        </is>
      </c>
      <c r="B1462" t="inlineStr">
        <is>
          <t>M2</t>
        </is>
      </c>
      <c r="C1462" t="inlineStr">
        <is>
          <t>Cali</t>
        </is>
      </c>
      <c r="D1462" t="inlineStr">
        <is>
          <t>1482</t>
        </is>
      </c>
      <c r="E1462" t="inlineStr">
        <is>
          <t>Sucursal</t>
        </is>
      </c>
      <c r="F1462" s="23" t="n">
        <v>46271</v>
      </c>
      <c r="G1462" t="inlineStr">
        <is>
          <t>recoleccion</t>
        </is>
      </c>
      <c r="H1462" s="26" t="n">
        <v>34627197</v>
      </c>
      <c r="I1462" t="inlineStr">
        <is>
          <t>bajo</t>
        </is>
      </c>
      <c r="J1462" t="inlineStr">
        <is>
          <t>RN-22 y RN-35: recoleccion al cierre de lo que pasa del cupo</t>
        </is>
      </c>
      <c r="K1462" t="inlineStr">
        <is>
          <t>Recoleccion al cierre: con el pronostico, el saldo cerraria en 120.129.197 COP, sobre el cupo de 85.502.000. Se recoge el excedente y el saldo queda en 85.502.000 COP. Equipo administrado por Sucursal. Sin tarifa TDV (administrado por la sucursal): costo 0 declarado.</t>
        </is>
      </c>
      <c r="L1462" s="26" t="n">
        <v>85502000</v>
      </c>
      <c r="M1462" s="26" t="n">
        <v>120129197</v>
      </c>
      <c r="N1462" s="27">
        <f>IF(ISNUMBER(M1462),M1462/L1462,"No aplica")</f>
        <v>1.4049869827606372</v>
      </c>
      <c r="O1462" s="25">
        <f>IF(G1462="provision",M1462+H1462,IF(G1462="recoleccion",M1462-H1462,"No aplica"))</f>
        <v>85502000</v>
      </c>
      <c r="P1462" s="26" t="n">
        <v>0</v>
      </c>
    </row>
    <row r="1463">
      <c r="A1463" t="inlineStr">
        <is>
          <t>PRAGMA</t>
        </is>
      </c>
      <c r="B1463" t="inlineStr">
        <is>
          <t>M2</t>
        </is>
      </c>
      <c r="C1463" t="inlineStr">
        <is>
          <t>Cali</t>
        </is>
      </c>
      <c r="D1463" t="inlineStr">
        <is>
          <t>1482</t>
        </is>
      </c>
      <c r="E1463" t="inlineStr">
        <is>
          <t>Sucursal</t>
        </is>
      </c>
      <c r="F1463" s="23" t="n">
        <v>46272</v>
      </c>
      <c r="G1463" t="inlineStr">
        <is>
          <t>recoleccion</t>
        </is>
      </c>
      <c r="H1463" s="26" t="n">
        <v>109615460</v>
      </c>
      <c r="I1463" t="inlineStr">
        <is>
          <t>bajo</t>
        </is>
      </c>
      <c r="J1463" t="inlineStr">
        <is>
          <t>RN-22 y RN-35: recoleccion al cierre de lo que pasa del cupo</t>
        </is>
      </c>
      <c r="K1463" t="inlineStr">
        <is>
          <t>Recoleccion al cierre: con el pronostico, el saldo cerraria en 195.117.460 COP, sobre el cupo de 85.502.000. Se recoge el excedente y el saldo queda en 85.502.000 COP. Equipo administrado por Sucursal. Sin tarifa TDV (administrado por la sucursal): costo 0 declarado.</t>
        </is>
      </c>
      <c r="L1463" s="26" t="n">
        <v>85502000</v>
      </c>
      <c r="M1463" s="26" t="n">
        <v>195117460</v>
      </c>
      <c r="N1463" s="27">
        <f>IF(ISNUMBER(M1463),M1463/L1463,"No aplica")</f>
        <v>2.282022174919885</v>
      </c>
      <c r="O1463" s="25">
        <f>IF(G1463="provision",M1463+H1463,IF(G1463="recoleccion",M1463-H1463,"No aplica"))</f>
        <v>85502000</v>
      </c>
      <c r="P1463" s="26" t="n">
        <v>0</v>
      </c>
    </row>
    <row r="1464">
      <c r="A1464" t="inlineStr">
        <is>
          <t>PRAGMA</t>
        </is>
      </c>
      <c r="B1464" t="inlineStr">
        <is>
          <t>M2</t>
        </is>
      </c>
      <c r="C1464" t="inlineStr">
        <is>
          <t>Cali</t>
        </is>
      </c>
      <c r="D1464" t="inlineStr">
        <is>
          <t>1482</t>
        </is>
      </c>
      <c r="E1464" t="inlineStr">
        <is>
          <t>Sucursal</t>
        </is>
      </c>
      <c r="F1464" s="23" t="n">
        <v>46273</v>
      </c>
      <c r="G1464" t="inlineStr">
        <is>
          <t>recoleccion</t>
        </is>
      </c>
      <c r="H1464" s="26" t="n">
        <v>87965105</v>
      </c>
      <c r="I1464" t="inlineStr">
        <is>
          <t>bajo</t>
        </is>
      </c>
      <c r="J1464" t="inlineStr">
        <is>
          <t>RN-22 y RN-35: recoleccion al cierre de lo que pasa del cupo</t>
        </is>
      </c>
      <c r="K1464" t="inlineStr">
        <is>
          <t>Recoleccion al cierre: con el pronostico, el saldo cerraria en 173.467.105 COP, sobre el cupo de 85.502.000. Se recoge el excedente y el saldo queda en 85.502.000 COP. Equipo administrado por Sucursal. Sin tarifa TDV (administrado por la sucursal): costo 0 declarado.</t>
        </is>
      </c>
      <c r="L1464" s="26" t="n">
        <v>85502000</v>
      </c>
      <c r="M1464" s="26" t="n">
        <v>173467105</v>
      </c>
      <c r="N1464" s="27">
        <f>IF(ISNUMBER(M1464),M1464/L1464,"No aplica")</f>
        <v>2.0288075717527074</v>
      </c>
      <c r="O1464" s="25">
        <f>IF(G1464="provision",M1464+H1464,IF(G1464="recoleccion",M1464-H1464,"No aplica"))</f>
        <v>85502000</v>
      </c>
      <c r="P1464" s="26" t="n">
        <v>0</v>
      </c>
    </row>
    <row r="1465">
      <c r="A1465" t="inlineStr">
        <is>
          <t>PRAGMA</t>
        </is>
      </c>
      <c r="B1465" t="inlineStr">
        <is>
          <t>M2</t>
        </is>
      </c>
      <c r="C1465" t="inlineStr">
        <is>
          <t>Cali</t>
        </is>
      </c>
      <c r="D1465" t="inlineStr">
        <is>
          <t>1482</t>
        </is>
      </c>
      <c r="E1465" t="inlineStr">
        <is>
          <t>Sucursal</t>
        </is>
      </c>
      <c r="F1465" s="23" t="n">
        <v>46274</v>
      </c>
      <c r="G1465" t="inlineStr">
        <is>
          <t>recoleccion</t>
        </is>
      </c>
      <c r="H1465" s="26" t="n">
        <v>80209329</v>
      </c>
      <c r="I1465" t="inlineStr">
        <is>
          <t>bajo</t>
        </is>
      </c>
      <c r="J1465" t="inlineStr">
        <is>
          <t>RN-22 y RN-35: recoleccion al cierre de lo que pasa del cupo</t>
        </is>
      </c>
      <c r="K1465" t="inlineStr">
        <is>
          <t>Recoleccion al cierre: con el pronostico, el saldo cerraria en 165.711.329 COP, sobre el cupo de 85.502.000. Se recoge el excedente y el saldo queda en 85.502.000 COP. Equipo administrado por Sucursal. Sin tarifa TDV (administrado por la sucursal): costo 0 declarado.</t>
        </is>
      </c>
      <c r="L1465" s="26" t="n">
        <v>85502000</v>
      </c>
      <c r="M1465" s="26" t="n">
        <v>165711329</v>
      </c>
      <c r="N1465" s="27">
        <f>IF(ISNUMBER(M1465),M1465/L1465,"No aplica")</f>
        <v>1.9380988631844869</v>
      </c>
      <c r="O1465" s="25">
        <f>IF(G1465="provision",M1465+H1465,IF(G1465="recoleccion",M1465-H1465,"No aplica"))</f>
        <v>85502000</v>
      </c>
      <c r="P1465" s="26" t="n">
        <v>0</v>
      </c>
    </row>
    <row r="1466">
      <c r="A1466" t="inlineStr">
        <is>
          <t>PRAGMA</t>
        </is>
      </c>
      <c r="B1466" t="inlineStr">
        <is>
          <t>M2</t>
        </is>
      </c>
      <c r="C1466" t="inlineStr">
        <is>
          <t>Cali</t>
        </is>
      </c>
      <c r="D1466" t="inlineStr">
        <is>
          <t>1482</t>
        </is>
      </c>
      <c r="E1466" t="inlineStr">
        <is>
          <t>Sucursal</t>
        </is>
      </c>
      <c r="F1466" s="23" t="n">
        <v>46275</v>
      </c>
      <c r="G1466" t="inlineStr">
        <is>
          <t>recoleccion</t>
        </is>
      </c>
      <c r="H1466" s="26" t="n">
        <v>78242382</v>
      </c>
      <c r="I1466" t="inlineStr">
        <is>
          <t>bajo</t>
        </is>
      </c>
      <c r="J1466" t="inlineStr">
        <is>
          <t>RN-22 y RN-35: recoleccion al cierre de lo que pasa del cupo</t>
        </is>
      </c>
      <c r="K1466" t="inlineStr">
        <is>
          <t>Recoleccion al cierre: con el pronostico, el saldo cerraria en 163.744.382 COP, sobre el cupo de 85.502.000. Se recoge el excedente y el saldo queda en 85.502.000 COP. Equipo administrado por Sucursal. Sin tarifa TDV (administrado por la sucursal): costo 0 declarado.</t>
        </is>
      </c>
      <c r="L1466" s="26" t="n">
        <v>85502000</v>
      </c>
      <c r="M1466" s="26" t="n">
        <v>163744382</v>
      </c>
      <c r="N1466" s="27">
        <f>IF(ISNUMBER(M1466),M1466/L1466,"No aplica")</f>
        <v>1.9150941732357138</v>
      </c>
      <c r="O1466" s="25">
        <f>IF(G1466="provision",M1466+H1466,IF(G1466="recoleccion",M1466-H1466,"No aplica"))</f>
        <v>85502000</v>
      </c>
      <c r="P1466" s="26" t="n">
        <v>0</v>
      </c>
    </row>
    <row r="1467">
      <c r="A1467" t="inlineStr">
        <is>
          <t>PRAGMA</t>
        </is>
      </c>
      <c r="B1467" t="inlineStr">
        <is>
          <t>M2</t>
        </is>
      </c>
      <c r="C1467" t="inlineStr">
        <is>
          <t>Cali</t>
        </is>
      </c>
      <c r="D1467" t="inlineStr">
        <is>
          <t>1482</t>
        </is>
      </c>
      <c r="E1467" t="inlineStr">
        <is>
          <t>Sucursal</t>
        </is>
      </c>
      <c r="F1467" s="23" t="n">
        <v>46276</v>
      </c>
      <c r="G1467" t="inlineStr">
        <is>
          <t>recoleccion</t>
        </is>
      </c>
      <c r="H1467" s="26" t="n">
        <v>78288823</v>
      </c>
      <c r="I1467" t="inlineStr">
        <is>
          <t>bajo</t>
        </is>
      </c>
      <c r="J1467" t="inlineStr">
        <is>
          <t>RN-22 y RN-35: recoleccion al cierre de lo que pasa del cupo</t>
        </is>
      </c>
      <c r="K1467" t="inlineStr">
        <is>
          <t>Recoleccion al cierre: con el pronostico, el saldo cerraria en 163.790.823 COP, sobre el cupo de 85.502.000. Se recoge el excedente y el saldo queda en 85.502.000 COP. Equipo administrado por Sucursal. Sin tarifa TDV (administrado por la sucursal): costo 0 declarado.</t>
        </is>
      </c>
      <c r="L1467" s="26" t="n">
        <v>85502000</v>
      </c>
      <c r="M1467" s="26" t="n">
        <v>163790823</v>
      </c>
      <c r="N1467" s="27">
        <f>IF(ISNUMBER(M1467),M1467/L1467,"No aplica")</f>
        <v>1.9156373301209328</v>
      </c>
      <c r="O1467" s="25">
        <f>IF(G1467="provision",M1467+H1467,IF(G1467="recoleccion",M1467-H1467,"No aplica"))</f>
        <v>85502000</v>
      </c>
      <c r="P1467" s="26" t="n">
        <v>0</v>
      </c>
    </row>
    <row r="1468">
      <c r="A1468" t="inlineStr">
        <is>
          <t>PRAGMA</t>
        </is>
      </c>
      <c r="B1468" t="inlineStr">
        <is>
          <t>M2</t>
        </is>
      </c>
      <c r="C1468" t="inlineStr">
        <is>
          <t>Cali</t>
        </is>
      </c>
      <c r="D1468" t="inlineStr">
        <is>
          <t>1482</t>
        </is>
      </c>
      <c r="E1468" t="inlineStr">
        <is>
          <t>Sucursal</t>
        </is>
      </c>
      <c r="F1468" s="23" t="n">
        <v>46277</v>
      </c>
      <c r="G1468" t="inlineStr">
        <is>
          <t>recoleccion</t>
        </is>
      </c>
      <c r="H1468" s="26" t="n">
        <v>71713869</v>
      </c>
      <c r="I1468" t="inlineStr">
        <is>
          <t>bajo</t>
        </is>
      </c>
      <c r="J1468" t="inlineStr">
        <is>
          <t>RN-22 y RN-35: recoleccion al cierre de lo que pasa del cupo</t>
        </is>
      </c>
      <c r="K1468" t="inlineStr">
        <is>
          <t>Recoleccion al cierre: con el pronostico, el saldo cerraria en 157.215.869 COP, sobre el cupo de 85.502.000. Se recoge el excedente y el saldo queda en 85.502.000 COP. Equipo administrado por Sucursal. Sin tarifa TDV (administrado por la sucursal): costo 0 declarado.</t>
        </is>
      </c>
      <c r="L1468" s="26" t="n">
        <v>85502000</v>
      </c>
      <c r="M1468" s="26" t="n">
        <v>157215869</v>
      </c>
      <c r="N1468" s="27">
        <f>IF(ISNUMBER(M1468),M1468/L1468,"No aplica")</f>
        <v>1.838739082126734</v>
      </c>
      <c r="O1468" s="25">
        <f>IF(G1468="provision",M1468+H1468,IF(G1468="recoleccion",M1468-H1468,"No aplica"))</f>
        <v>85502000</v>
      </c>
      <c r="P1468" s="26" t="n">
        <v>0</v>
      </c>
    </row>
    <row r="1469">
      <c r="A1469" t="inlineStr">
        <is>
          <t>PRAGMA</t>
        </is>
      </c>
      <c r="B1469" t="inlineStr">
        <is>
          <t>M2</t>
        </is>
      </c>
      <c r="C1469" t="inlineStr">
        <is>
          <t>Cali</t>
        </is>
      </c>
      <c r="D1469" t="inlineStr">
        <is>
          <t>1482</t>
        </is>
      </c>
      <c r="E1469" t="inlineStr">
        <is>
          <t>Sucursal</t>
        </is>
      </c>
      <c r="F1469" s="23" t="n">
        <v>46278</v>
      </c>
      <c r="G1469" t="inlineStr">
        <is>
          <t>recoleccion</t>
        </is>
      </c>
      <c r="H1469" s="26" t="n">
        <v>20943565</v>
      </c>
      <c r="I1469" t="inlineStr">
        <is>
          <t>bajo</t>
        </is>
      </c>
      <c r="J1469" t="inlineStr">
        <is>
          <t>RN-22 y RN-35: recoleccion al cierre de lo que pasa del cupo</t>
        </is>
      </c>
      <c r="K1469" t="inlineStr">
        <is>
          <t>Recoleccion al cierre: con el pronostico, el saldo cerraria en 106.445.565 COP, sobre el cupo de 85.502.000. Se recoge el excedente y el saldo queda en 85.502.000 COP. Equipo administrado por Sucursal. Sin tarifa TDV (administrado por la sucursal): costo 0 declarado.</t>
        </is>
      </c>
      <c r="L1469" s="26" t="n">
        <v>85502000</v>
      </c>
      <c r="M1469" s="26" t="n">
        <v>106445565</v>
      </c>
      <c r="N1469" s="27">
        <f>IF(ISNUMBER(M1469),M1469/L1469,"No aplica")</f>
        <v>1.2449482468246358</v>
      </c>
      <c r="O1469" s="25">
        <f>IF(G1469="provision",M1469+H1469,IF(G1469="recoleccion",M1469-H1469,"No aplica"))</f>
        <v>85502000</v>
      </c>
      <c r="P1469" s="26" t="n">
        <v>0</v>
      </c>
    </row>
    <row r="1470">
      <c r="A1470" t="inlineStr">
        <is>
          <t>PRAGMA</t>
        </is>
      </c>
      <c r="B1470" t="inlineStr">
        <is>
          <t>M2</t>
        </is>
      </c>
      <c r="C1470" t="inlineStr">
        <is>
          <t>Cali</t>
        </is>
      </c>
      <c r="D1470" t="inlineStr">
        <is>
          <t>1482</t>
        </is>
      </c>
      <c r="E1470" t="inlineStr">
        <is>
          <t>Sucursal</t>
        </is>
      </c>
      <c r="F1470" s="23" t="n">
        <v>46279</v>
      </c>
      <c r="G1470" t="inlineStr">
        <is>
          <t>recoleccion</t>
        </is>
      </c>
      <c r="H1470" s="26" t="n">
        <v>92706298</v>
      </c>
      <c r="I1470" t="inlineStr">
        <is>
          <t>bajo</t>
        </is>
      </c>
      <c r="J1470" t="inlineStr">
        <is>
          <t>RN-22 y RN-35: recoleccion al cierre de lo que pasa del cupo</t>
        </is>
      </c>
      <c r="K1470" t="inlineStr">
        <is>
          <t>Recoleccion al cierre: con el pronostico, el saldo cerraria en 178.208.298 COP, sobre el cupo de 85.502.000. Se recoge el excedente y el saldo queda en 85.502.000 COP. Equipo administrado por Sucursal. Sin tarifa TDV (administrado por la sucursal): costo 0 declarado.</t>
        </is>
      </c>
      <c r="L1470" s="26" t="n">
        <v>85502000</v>
      </c>
      <c r="M1470" s="26" t="n">
        <v>178208298</v>
      </c>
      <c r="N1470" s="27">
        <f>IF(ISNUMBER(M1470),M1470/L1470,"No aplica")</f>
        <v>2.0842588243549858</v>
      </c>
      <c r="O1470" s="25">
        <f>IF(G1470="provision",M1470+H1470,IF(G1470="recoleccion",M1470-H1470,"No aplica"))</f>
        <v>85502000</v>
      </c>
      <c r="P1470" s="26" t="n">
        <v>0</v>
      </c>
    </row>
    <row r="1471">
      <c r="A1471" t="inlineStr">
        <is>
          <t>PRAGMA</t>
        </is>
      </c>
      <c r="B1471" t="inlineStr">
        <is>
          <t>M2</t>
        </is>
      </c>
      <c r="C1471" t="inlineStr">
        <is>
          <t>Cali</t>
        </is>
      </c>
      <c r="D1471" t="inlineStr">
        <is>
          <t>1482</t>
        </is>
      </c>
      <c r="E1471" t="inlineStr">
        <is>
          <t>Sucursal</t>
        </is>
      </c>
      <c r="F1471" s="23" t="n">
        <v>46280</v>
      </c>
      <c r="G1471" t="inlineStr">
        <is>
          <t>recoleccion</t>
        </is>
      </c>
      <c r="H1471" s="26" t="n">
        <v>99328816</v>
      </c>
      <c r="I1471" t="inlineStr">
        <is>
          <t>bajo</t>
        </is>
      </c>
      <c r="J1471" t="inlineStr">
        <is>
          <t>RN-22 y RN-35: recoleccion al cierre de lo que pasa del cupo</t>
        </is>
      </c>
      <c r="K1471" t="inlineStr">
        <is>
          <t>Recoleccion al cierre: con el pronostico, el saldo cerraria en 184.830.816 COP, sobre el cupo de 85.502.000. Se recoge el excedente y el saldo queda en 85.502.000 COP. Equipo administrado por Sucursal. Sin tarifa TDV (administrado por la sucursal): costo 0 declarado.</t>
        </is>
      </c>
      <c r="L1471" s="26" t="n">
        <v>85502000</v>
      </c>
      <c r="M1471" s="26" t="n">
        <v>184830816</v>
      </c>
      <c r="N1471" s="27">
        <f>IF(ISNUMBER(M1471),M1471/L1471,"No aplica")</f>
        <v>2.161713363430095</v>
      </c>
      <c r="O1471" s="25">
        <f>IF(G1471="provision",M1471+H1471,IF(G1471="recoleccion",M1471-H1471,"No aplica"))</f>
        <v>85502000</v>
      </c>
      <c r="P1471" s="26" t="n">
        <v>0</v>
      </c>
    </row>
    <row r="1472">
      <c r="A1472" t="inlineStr">
        <is>
          <t>PRAGMA</t>
        </is>
      </c>
      <c r="B1472" t="inlineStr">
        <is>
          <t>M2</t>
        </is>
      </c>
      <c r="C1472" t="inlineStr">
        <is>
          <t>Cali</t>
        </is>
      </c>
      <c r="D1472" t="inlineStr">
        <is>
          <t>1505</t>
        </is>
      </c>
      <c r="E1472" t="inlineStr">
        <is>
          <t>TDV</t>
        </is>
      </c>
      <c r="F1472" s="23" t="n">
        <v>46266</v>
      </c>
      <c r="G1472" t="inlineStr">
        <is>
          <t>recoleccion</t>
        </is>
      </c>
      <c r="H1472" s="26" t="n">
        <v>43455595</v>
      </c>
      <c r="I1472" t="inlineStr">
        <is>
          <t>bajo</t>
        </is>
      </c>
      <c r="J1472" t="inlineStr">
        <is>
          <t>RN-22 y RN-35: recoleccion al cierre de lo que pasa del cupo</t>
        </is>
      </c>
      <c r="K1472" t="inlineStr">
        <is>
          <t>Recoleccion al cierre: con el pronostico, el saldo cerraria en 112.305.595 COP, sobre el cupo de 68.850.000. Se recoge el excedente y el saldo queda en 68.850.000 COP. Equipo administrado por TDV.</t>
        </is>
      </c>
      <c r="L1472" s="26" t="n">
        <v>68850000</v>
      </c>
      <c r="M1472" s="26" t="n">
        <v>112305595</v>
      </c>
      <c r="N1472" s="27">
        <f>IF(ISNUMBER(M1472),M1472/L1472,"No aplica")</f>
        <v>1.6311633260711693</v>
      </c>
      <c r="O1472" s="25">
        <f>IF(G1472="provision",M1472+H1472,IF(G1472="recoleccion",M1472-H1472,"No aplica"))</f>
        <v>68850000</v>
      </c>
      <c r="P1472" s="26" t="n">
        <v>157715</v>
      </c>
    </row>
    <row r="1473">
      <c r="A1473" t="inlineStr">
        <is>
          <t>PRAGMA</t>
        </is>
      </c>
      <c r="B1473" t="inlineStr">
        <is>
          <t>M2</t>
        </is>
      </c>
      <c r="C1473" t="inlineStr">
        <is>
          <t>Cali</t>
        </is>
      </c>
      <c r="D1473" t="inlineStr">
        <is>
          <t>1505</t>
        </is>
      </c>
      <c r="E1473" t="inlineStr">
        <is>
          <t>TDV</t>
        </is>
      </c>
      <c r="F1473" s="23" t="n">
        <v>46267</v>
      </c>
      <c r="G1473" t="inlineStr">
        <is>
          <t>recoleccion</t>
        </is>
      </c>
      <c r="H1473" s="26" t="n">
        <v>54166503</v>
      </c>
      <c r="I1473" t="inlineStr">
        <is>
          <t>bajo</t>
        </is>
      </c>
      <c r="J1473" t="inlineStr">
        <is>
          <t>RN-22 y RN-35: recoleccion al cierre de lo que pasa del cupo</t>
        </is>
      </c>
      <c r="K1473" t="inlineStr">
        <is>
          <t>Recoleccion al cierre: con el pronostico, el saldo cerraria en 123.016.503 COP, sobre el cupo de 68.850.000. Se recoge el excedente y el saldo queda en 68.850.000 COP. Equipo administrado por TDV.</t>
        </is>
      </c>
      <c r="L1473" s="26" t="n">
        <v>68850000</v>
      </c>
      <c r="M1473" s="26" t="n">
        <v>123016503</v>
      </c>
      <c r="N1473" s="27">
        <f>IF(ISNUMBER(M1473),M1473/L1473,"No aplica")</f>
        <v>1.7867320697167757</v>
      </c>
      <c r="O1473" s="25">
        <f>IF(G1473="provision",M1473+H1473,IF(G1473="recoleccion",M1473-H1473,"No aplica"))</f>
        <v>68850000</v>
      </c>
      <c r="P1473" s="26" t="n">
        <v>157715</v>
      </c>
    </row>
    <row r="1474">
      <c r="A1474" t="inlineStr">
        <is>
          <t>PRAGMA</t>
        </is>
      </c>
      <c r="B1474" t="inlineStr">
        <is>
          <t>M2</t>
        </is>
      </c>
      <c r="C1474" t="inlineStr">
        <is>
          <t>Cali</t>
        </is>
      </c>
      <c r="D1474" t="inlineStr">
        <is>
          <t>1505</t>
        </is>
      </c>
      <c r="E1474" t="inlineStr">
        <is>
          <t>TDV</t>
        </is>
      </c>
      <c r="F1474" s="23" t="n">
        <v>46268</v>
      </c>
      <c r="G1474" t="inlineStr">
        <is>
          <t>recoleccion</t>
        </is>
      </c>
      <c r="H1474" s="26" t="n">
        <v>43505161</v>
      </c>
      <c r="I1474" t="inlineStr">
        <is>
          <t>bajo</t>
        </is>
      </c>
      <c r="J1474" t="inlineStr">
        <is>
          <t>RN-22 y RN-35: recoleccion al cierre de lo que pasa del cupo</t>
        </is>
      </c>
      <c r="K1474" t="inlineStr">
        <is>
          <t>Recoleccion al cierre: con el pronostico, el saldo cerraria en 112.355.161 COP, sobre el cupo de 68.850.000. Se recoge el excedente y el saldo queda en 68.850.000 COP. Equipo administrado por TDV.</t>
        </is>
      </c>
      <c r="L1474" s="26" t="n">
        <v>68850000</v>
      </c>
      <c r="M1474" s="26" t="n">
        <v>112355161</v>
      </c>
      <c r="N1474" s="27">
        <f>IF(ISNUMBER(M1474),M1474/L1474,"No aplica")</f>
        <v>1.6318832389251998</v>
      </c>
      <c r="O1474" s="25">
        <f>IF(G1474="provision",M1474+H1474,IF(G1474="recoleccion",M1474-H1474,"No aplica"))</f>
        <v>68850000</v>
      </c>
      <c r="P1474" s="26" t="n">
        <v>157715</v>
      </c>
    </row>
    <row r="1475">
      <c r="A1475" t="inlineStr">
        <is>
          <t>PRAGMA</t>
        </is>
      </c>
      <c r="B1475" t="inlineStr">
        <is>
          <t>M2</t>
        </is>
      </c>
      <c r="C1475" t="inlineStr">
        <is>
          <t>Cali</t>
        </is>
      </c>
      <c r="D1475" t="inlineStr">
        <is>
          <t>1505</t>
        </is>
      </c>
      <c r="E1475" t="inlineStr">
        <is>
          <t>TDV</t>
        </is>
      </c>
      <c r="F1475" s="23" t="n">
        <v>46269</v>
      </c>
      <c r="G1475" t="inlineStr">
        <is>
          <t>recoleccion</t>
        </is>
      </c>
      <c r="H1475" s="26" t="n">
        <v>51075981</v>
      </c>
      <c r="I1475" t="inlineStr">
        <is>
          <t>bajo</t>
        </is>
      </c>
      <c r="J1475" t="inlineStr">
        <is>
          <t>RN-22 y RN-35: recoleccion al cierre de lo que pasa del cupo</t>
        </is>
      </c>
      <c r="K1475" t="inlineStr">
        <is>
          <t>Recoleccion al cierre: con el pronostico, el saldo cerraria en 119.925.981 COP, sobre el cupo de 68.850.000. Se recoge el excedente y el saldo queda en 68.850.000 COP. Equipo administrado por TDV.</t>
        </is>
      </c>
      <c r="L1475" s="26" t="n">
        <v>68850000</v>
      </c>
      <c r="M1475" s="26" t="n">
        <v>119925981</v>
      </c>
      <c r="N1475" s="27">
        <f>IF(ISNUMBER(M1475),M1475/L1475,"No aplica")</f>
        <v>1.7418443137254902</v>
      </c>
      <c r="O1475" s="25">
        <f>IF(G1475="provision",M1475+H1475,IF(G1475="recoleccion",M1475-H1475,"No aplica"))</f>
        <v>68850000</v>
      </c>
      <c r="P1475" s="26" t="n">
        <v>157715</v>
      </c>
    </row>
    <row r="1476">
      <c r="A1476" t="inlineStr">
        <is>
          <t>PRAGMA</t>
        </is>
      </c>
      <c r="B1476" t="inlineStr">
        <is>
          <t>M2</t>
        </is>
      </c>
      <c r="C1476" t="inlineStr">
        <is>
          <t>Cali</t>
        </is>
      </c>
      <c r="D1476" t="inlineStr">
        <is>
          <t>1505</t>
        </is>
      </c>
      <c r="E1476" t="inlineStr">
        <is>
          <t>TDV</t>
        </is>
      </c>
      <c r="F1476" s="23" t="n">
        <v>46270</v>
      </c>
      <c r="G1476" t="inlineStr">
        <is>
          <t>recoleccion</t>
        </is>
      </c>
      <c r="H1476" s="26" t="n">
        <v>60574413</v>
      </c>
      <c r="I1476" t="inlineStr">
        <is>
          <t>bajo</t>
        </is>
      </c>
      <c r="J1476" t="inlineStr">
        <is>
          <t>RN-22 y RN-35: recoleccion al cierre de lo que pasa del cupo</t>
        </is>
      </c>
      <c r="K1476" t="inlineStr">
        <is>
          <t>Recoleccion al cierre: con el pronostico, el saldo cerraria en 129.424.413 COP, sobre el cupo de 68.850.000. Se recoge el excedente y el saldo queda en 68.850.000 COP. Equipo administrado por TDV.</t>
        </is>
      </c>
      <c r="L1476" s="26" t="n">
        <v>68850000</v>
      </c>
      <c r="M1476" s="26" t="n">
        <v>129424413</v>
      </c>
      <c r="N1476" s="27">
        <f>IF(ISNUMBER(M1476),M1476/L1476,"No aplica")</f>
        <v>1.8798026579520697</v>
      </c>
      <c r="O1476" s="25">
        <f>IF(G1476="provision",M1476+H1476,IF(G1476="recoleccion",M1476-H1476,"No aplica"))</f>
        <v>68850000</v>
      </c>
      <c r="P1476" s="26" t="n">
        <v>157715</v>
      </c>
    </row>
    <row r="1477">
      <c r="A1477" t="inlineStr">
        <is>
          <t>PRAGMA</t>
        </is>
      </c>
      <c r="B1477" t="inlineStr">
        <is>
          <t>M2</t>
        </is>
      </c>
      <c r="C1477" t="inlineStr">
        <is>
          <t>Cali</t>
        </is>
      </c>
      <c r="D1477" t="inlineStr">
        <is>
          <t>1505</t>
        </is>
      </c>
      <c r="E1477" t="inlineStr">
        <is>
          <t>TDV</t>
        </is>
      </c>
      <c r="F1477" s="23" t="n">
        <v>46271</v>
      </c>
      <c r="G1477" t="inlineStr">
        <is>
          <t>recoleccion</t>
        </is>
      </c>
      <c r="H1477" s="26" t="n">
        <v>27913454</v>
      </c>
      <c r="I1477" t="inlineStr">
        <is>
          <t>bajo</t>
        </is>
      </c>
      <c r="J1477" t="inlineStr">
        <is>
          <t>RN-22 y RN-35: recoleccion al cierre de lo que pasa del cupo</t>
        </is>
      </c>
      <c r="K1477" t="inlineStr">
        <is>
          <t>Recoleccion al cierre: con el pronostico, el saldo cerraria en 96.763.454 COP, sobre el cupo de 68.850.000. Se recoge el excedente y el saldo queda en 68.850.000 COP. Equipo administrado por TDV.</t>
        </is>
      </c>
      <c r="L1477" s="26" t="n">
        <v>68850000</v>
      </c>
      <c r="M1477" s="26" t="n">
        <v>96763454</v>
      </c>
      <c r="N1477" s="27">
        <f>IF(ISNUMBER(M1477),M1477/L1477,"No aplica")</f>
        <v>1.4054241684822077</v>
      </c>
      <c r="O1477" s="25">
        <f>IF(G1477="provision",M1477+H1477,IF(G1477="recoleccion",M1477-H1477,"No aplica"))</f>
        <v>68850000</v>
      </c>
      <c r="P1477" s="26" t="n">
        <v>215854</v>
      </c>
    </row>
    <row r="1478">
      <c r="A1478" t="inlineStr">
        <is>
          <t>PRAGMA</t>
        </is>
      </c>
      <c r="B1478" t="inlineStr">
        <is>
          <t>M2</t>
        </is>
      </c>
      <c r="C1478" t="inlineStr">
        <is>
          <t>Cali</t>
        </is>
      </c>
      <c r="D1478" t="inlineStr">
        <is>
          <t>1505</t>
        </is>
      </c>
      <c r="E1478" t="inlineStr">
        <is>
          <t>TDV</t>
        </is>
      </c>
      <c r="F1478" s="23" t="n">
        <v>46272</v>
      </c>
      <c r="G1478" t="inlineStr">
        <is>
          <t>recoleccion</t>
        </is>
      </c>
      <c r="H1478" s="26" t="n">
        <v>67613189</v>
      </c>
      <c r="I1478" t="inlineStr">
        <is>
          <t>bajo</t>
        </is>
      </c>
      <c r="J1478" t="inlineStr">
        <is>
          <t>RN-22 y RN-35: recoleccion al cierre de lo que pasa del cupo</t>
        </is>
      </c>
      <c r="K1478" t="inlineStr">
        <is>
          <t>Recoleccion al cierre: con el pronostico, el saldo cerraria en 136.463.189 COP, sobre el cupo de 68.850.000. Se recoge el excedente y el saldo queda en 68.850.000 COP. Equipo administrado por TDV.</t>
        </is>
      </c>
      <c r="L1478" s="26" t="n">
        <v>68850000</v>
      </c>
      <c r="M1478" s="26" t="n">
        <v>136463189</v>
      </c>
      <c r="N1478" s="27">
        <f>IF(ISNUMBER(M1478),M1478/L1478,"No aplica")</f>
        <v>1.9820361510530138</v>
      </c>
      <c r="O1478" s="25">
        <f>IF(G1478="provision",M1478+H1478,IF(G1478="recoleccion",M1478-H1478,"No aplica"))</f>
        <v>68850000</v>
      </c>
      <c r="P1478" s="26" t="n">
        <v>157715</v>
      </c>
    </row>
    <row r="1479">
      <c r="A1479" t="inlineStr">
        <is>
          <t>PRAGMA</t>
        </is>
      </c>
      <c r="B1479" t="inlineStr">
        <is>
          <t>M2</t>
        </is>
      </c>
      <c r="C1479" t="inlineStr">
        <is>
          <t>Cali</t>
        </is>
      </c>
      <c r="D1479" t="inlineStr">
        <is>
          <t>1505</t>
        </is>
      </c>
      <c r="E1479" t="inlineStr">
        <is>
          <t>TDV</t>
        </is>
      </c>
      <c r="F1479" s="23" t="n">
        <v>46273</v>
      </c>
      <c r="G1479" t="inlineStr">
        <is>
          <t>recoleccion</t>
        </is>
      </c>
      <c r="H1479" s="26" t="n">
        <v>55160419</v>
      </c>
      <c r="I1479" t="inlineStr">
        <is>
          <t>bajo</t>
        </is>
      </c>
      <c r="J1479" t="inlineStr">
        <is>
          <t>RN-22 y RN-35: recoleccion al cierre de lo que pasa del cupo</t>
        </is>
      </c>
      <c r="K1479" t="inlineStr">
        <is>
          <t>Recoleccion al cierre: con el pronostico, el saldo cerraria en 124.010.419 COP, sobre el cupo de 68.850.000. Se recoge el excedente y el saldo queda en 68.850.000 COP. Equipo administrado por TDV.</t>
        </is>
      </c>
      <c r="L1479" s="26" t="n">
        <v>68850000</v>
      </c>
      <c r="M1479" s="26" t="n">
        <v>124010419</v>
      </c>
      <c r="N1479" s="27">
        <f>IF(ISNUMBER(M1479),M1479/L1479,"No aplica")</f>
        <v>1.8011680319535222</v>
      </c>
      <c r="O1479" s="25">
        <f>IF(G1479="provision",M1479+H1479,IF(G1479="recoleccion",M1479-H1479,"No aplica"))</f>
        <v>68850000</v>
      </c>
      <c r="P1479" s="26" t="n">
        <v>157715</v>
      </c>
    </row>
    <row r="1480">
      <c r="A1480" t="inlineStr">
        <is>
          <t>PRAGMA</t>
        </is>
      </c>
      <c r="B1480" t="inlineStr">
        <is>
          <t>M2</t>
        </is>
      </c>
      <c r="C1480" t="inlineStr">
        <is>
          <t>Cali</t>
        </is>
      </c>
      <c r="D1480" t="inlineStr">
        <is>
          <t>1505</t>
        </is>
      </c>
      <c r="E1480" t="inlineStr">
        <is>
          <t>TDV</t>
        </is>
      </c>
      <c r="F1480" s="23" t="n">
        <v>46274</v>
      </c>
      <c r="G1480" t="inlineStr">
        <is>
          <t>recoleccion</t>
        </is>
      </c>
      <c r="H1480" s="26" t="n">
        <v>46327594</v>
      </c>
      <c r="I1480" t="inlineStr">
        <is>
          <t>bajo</t>
        </is>
      </c>
      <c r="J1480" t="inlineStr">
        <is>
          <t>RN-22 y RN-35: recoleccion al cierre de lo que pasa del cupo</t>
        </is>
      </c>
      <c r="K1480" t="inlineStr">
        <is>
          <t>Recoleccion al cierre: con el pronostico, el saldo cerraria en 115.177.594 COP, sobre el cupo de 68.850.000. Se recoge el excedente y el saldo queda en 68.850.000 COP. Equipo administrado por TDV.</t>
        </is>
      </c>
      <c r="L1480" s="26" t="n">
        <v>68850000</v>
      </c>
      <c r="M1480" s="26" t="n">
        <v>115177594</v>
      </c>
      <c r="N1480" s="27">
        <f>IF(ISNUMBER(M1480),M1480/L1480,"No aplica")</f>
        <v>1.6728771822803195</v>
      </c>
      <c r="O1480" s="25">
        <f>IF(G1480="provision",M1480+H1480,IF(G1480="recoleccion",M1480-H1480,"No aplica"))</f>
        <v>68850000</v>
      </c>
      <c r="P1480" s="26" t="n">
        <v>157715</v>
      </c>
    </row>
    <row r="1481">
      <c r="A1481" t="inlineStr">
        <is>
          <t>PRAGMA</t>
        </is>
      </c>
      <c r="B1481" t="inlineStr">
        <is>
          <t>M2</t>
        </is>
      </c>
      <c r="C1481" t="inlineStr">
        <is>
          <t>Cali</t>
        </is>
      </c>
      <c r="D1481" t="inlineStr">
        <is>
          <t>1505</t>
        </is>
      </c>
      <c r="E1481" t="inlineStr">
        <is>
          <t>TDV</t>
        </is>
      </c>
      <c r="F1481" s="23" t="n">
        <v>46275</v>
      </c>
      <c r="G1481" t="inlineStr">
        <is>
          <t>recoleccion</t>
        </is>
      </c>
      <c r="H1481" s="26" t="n">
        <v>45186328</v>
      </c>
      <c r="I1481" t="inlineStr">
        <is>
          <t>bajo</t>
        </is>
      </c>
      <c r="J1481" t="inlineStr">
        <is>
          <t>RN-22 y RN-35: recoleccion al cierre de lo que pasa del cupo</t>
        </is>
      </c>
      <c r="K1481" t="inlineStr">
        <is>
          <t>Recoleccion al cierre: con el pronostico, el saldo cerraria en 114.036.328 COP, sobre el cupo de 68.850.000. Se recoge el excedente y el saldo queda en 68.850.000 COP. Equipo administrado por TDV.</t>
        </is>
      </c>
      <c r="L1481" s="26" t="n">
        <v>68850000</v>
      </c>
      <c r="M1481" s="26" t="n">
        <v>114036328</v>
      </c>
      <c r="N1481" s="27">
        <f>IF(ISNUMBER(M1481),M1481/L1481,"No aplica")</f>
        <v>1.6563010602759622</v>
      </c>
      <c r="O1481" s="25">
        <f>IF(G1481="provision",M1481+H1481,IF(G1481="recoleccion",M1481-H1481,"No aplica"))</f>
        <v>68850000</v>
      </c>
      <c r="P1481" s="26" t="n">
        <v>157715</v>
      </c>
    </row>
    <row r="1482">
      <c r="A1482" t="inlineStr">
        <is>
          <t>PRAGMA</t>
        </is>
      </c>
      <c r="B1482" t="inlineStr">
        <is>
          <t>M2</t>
        </is>
      </c>
      <c r="C1482" t="inlineStr">
        <is>
          <t>Cali</t>
        </is>
      </c>
      <c r="D1482" t="inlineStr">
        <is>
          <t>1505</t>
        </is>
      </c>
      <c r="E1482" t="inlineStr">
        <is>
          <t>TDV</t>
        </is>
      </c>
      <c r="F1482" s="23" t="n">
        <v>46276</v>
      </c>
      <c r="G1482" t="inlineStr">
        <is>
          <t>recoleccion</t>
        </is>
      </c>
      <c r="H1482" s="26" t="n">
        <v>45815446</v>
      </c>
      <c r="I1482" t="inlineStr">
        <is>
          <t>bajo</t>
        </is>
      </c>
      <c r="J1482" t="inlineStr">
        <is>
          <t>RN-22 y RN-35: recoleccion al cierre de lo que pasa del cupo</t>
        </is>
      </c>
      <c r="K1482" t="inlineStr">
        <is>
          <t>Recoleccion al cierre: con el pronostico, el saldo cerraria en 114.665.446 COP, sobre el cupo de 68.850.000. Se recoge el excedente y el saldo queda en 68.850.000 COP. Equipo administrado por TDV.</t>
        </is>
      </c>
      <c r="L1482" s="26" t="n">
        <v>68850000</v>
      </c>
      <c r="M1482" s="26" t="n">
        <v>114665446</v>
      </c>
      <c r="N1482" s="27">
        <f>IF(ISNUMBER(M1482),M1482/L1482,"No aplica")</f>
        <v>1.6654385766158315</v>
      </c>
      <c r="O1482" s="25">
        <f>IF(G1482="provision",M1482+H1482,IF(G1482="recoleccion",M1482-H1482,"No aplica"))</f>
        <v>68850000</v>
      </c>
      <c r="P1482" s="26" t="n">
        <v>157715</v>
      </c>
    </row>
    <row r="1483">
      <c r="A1483" t="inlineStr">
        <is>
          <t>PRAGMA</t>
        </is>
      </c>
      <c r="B1483" t="inlineStr">
        <is>
          <t>M2</t>
        </is>
      </c>
      <c r="C1483" t="inlineStr">
        <is>
          <t>Cali</t>
        </is>
      </c>
      <c r="D1483" t="inlineStr">
        <is>
          <t>1505</t>
        </is>
      </c>
      <c r="E1483" t="inlineStr">
        <is>
          <t>TDV</t>
        </is>
      </c>
      <c r="F1483" s="23" t="n">
        <v>46277</v>
      </c>
      <c r="G1483" t="inlineStr">
        <is>
          <t>recoleccion</t>
        </is>
      </c>
      <c r="H1483" s="26" t="n">
        <v>45087780</v>
      </c>
      <c r="I1483" t="inlineStr">
        <is>
          <t>bajo</t>
        </is>
      </c>
      <c r="J1483" t="inlineStr">
        <is>
          <t>RN-22 y RN-35: recoleccion al cierre de lo que pasa del cupo</t>
        </is>
      </c>
      <c r="K1483" t="inlineStr">
        <is>
          <t>Recoleccion al cierre: con el pronostico, el saldo cerraria en 113.937.780 COP, sobre el cupo de 68.850.000. Se recoge el excedente y el saldo queda en 68.850.000 COP. Equipo administrado por TDV.</t>
        </is>
      </c>
      <c r="L1483" s="26" t="n">
        <v>68850000</v>
      </c>
      <c r="M1483" s="26" t="n">
        <v>113937780</v>
      </c>
      <c r="N1483" s="27">
        <f>IF(ISNUMBER(M1483),M1483/L1483,"No aplica")</f>
        <v>1.654869716775599</v>
      </c>
      <c r="O1483" s="25">
        <f>IF(G1483="provision",M1483+H1483,IF(G1483="recoleccion",M1483-H1483,"No aplica"))</f>
        <v>68850000</v>
      </c>
      <c r="P1483" s="26" t="n">
        <v>157715</v>
      </c>
    </row>
    <row r="1484">
      <c r="A1484" t="inlineStr">
        <is>
          <t>PRAGMA</t>
        </is>
      </c>
      <c r="B1484" t="inlineStr">
        <is>
          <t>M2</t>
        </is>
      </c>
      <c r="C1484" t="inlineStr">
        <is>
          <t>Cali</t>
        </is>
      </c>
      <c r="D1484" t="inlineStr">
        <is>
          <t>1505</t>
        </is>
      </c>
      <c r="E1484" t="inlineStr">
        <is>
          <t>TDV</t>
        </is>
      </c>
      <c r="F1484" s="23" t="n">
        <v>46278</v>
      </c>
      <c r="G1484" t="inlineStr">
        <is>
          <t>recoleccion</t>
        </is>
      </c>
      <c r="H1484" s="26" t="n">
        <v>20690009</v>
      </c>
      <c r="I1484" t="inlineStr">
        <is>
          <t>bajo</t>
        </is>
      </c>
      <c r="J1484" t="inlineStr">
        <is>
          <t>RN-22 y RN-35: recoleccion al cierre de lo que pasa del cupo</t>
        </is>
      </c>
      <c r="K1484" t="inlineStr">
        <is>
          <t>Recoleccion al cierre: con el pronostico, el saldo cerraria en 89.540.009 COP, sobre el cupo de 68.850.000. Se recoge el excedente y el saldo queda en 68.850.000 COP. Equipo administrado por TDV.</t>
        </is>
      </c>
      <c r="L1484" s="26" t="n">
        <v>68850000</v>
      </c>
      <c r="M1484" s="26" t="n">
        <v>89540009</v>
      </c>
      <c r="N1484" s="27">
        <f>IF(ISNUMBER(M1484),M1484/L1484,"No aplica")</f>
        <v>1.300508482207698</v>
      </c>
      <c r="O1484" s="25">
        <f>IF(G1484="provision",M1484+H1484,IF(G1484="recoleccion",M1484-H1484,"No aplica"))</f>
        <v>68850000</v>
      </c>
      <c r="P1484" s="26" t="n">
        <v>215854</v>
      </c>
    </row>
    <row r="1485">
      <c r="A1485" t="inlineStr">
        <is>
          <t>PRAGMA</t>
        </is>
      </c>
      <c r="B1485" t="inlineStr">
        <is>
          <t>M2</t>
        </is>
      </c>
      <c r="C1485" t="inlineStr">
        <is>
          <t>Cali</t>
        </is>
      </c>
      <c r="D1485" t="inlineStr">
        <is>
          <t>1505</t>
        </is>
      </c>
      <c r="E1485" t="inlineStr">
        <is>
          <t>TDV</t>
        </is>
      </c>
      <c r="F1485" s="23" t="n">
        <v>46279</v>
      </c>
      <c r="G1485" t="inlineStr">
        <is>
          <t>recoleccion</t>
        </is>
      </c>
      <c r="H1485" s="26" t="n">
        <v>59983963</v>
      </c>
      <c r="I1485" t="inlineStr">
        <is>
          <t>bajo</t>
        </is>
      </c>
      <c r="J1485" t="inlineStr">
        <is>
          <t>RN-22 y RN-35: recoleccion al cierre de lo que pasa del cupo</t>
        </is>
      </c>
      <c r="K1485" t="inlineStr">
        <is>
          <t>Recoleccion al cierre: con el pronostico, el saldo cerraria en 128.833.963 COP, sobre el cupo de 68.850.000. Se recoge el excedente y el saldo queda en 68.850.000 COP. Equipo administrado por TDV.</t>
        </is>
      </c>
      <c r="L1485" s="26" t="n">
        <v>68850000</v>
      </c>
      <c r="M1485" s="26" t="n">
        <v>128833963</v>
      </c>
      <c r="N1485" s="27">
        <f>IF(ISNUMBER(M1485),M1485/L1485,"No aplica")</f>
        <v>1.8712267683369643</v>
      </c>
      <c r="O1485" s="25">
        <f>IF(G1485="provision",M1485+H1485,IF(G1485="recoleccion",M1485-H1485,"No aplica"))</f>
        <v>68850000</v>
      </c>
      <c r="P1485" s="26" t="n">
        <v>157715</v>
      </c>
    </row>
    <row r="1486">
      <c r="A1486" t="inlineStr">
        <is>
          <t>PRAGMA</t>
        </is>
      </c>
      <c r="B1486" t="inlineStr">
        <is>
          <t>M2</t>
        </is>
      </c>
      <c r="C1486" t="inlineStr">
        <is>
          <t>Cali</t>
        </is>
      </c>
      <c r="D1486" t="inlineStr">
        <is>
          <t>1505</t>
        </is>
      </c>
      <c r="E1486" t="inlineStr">
        <is>
          <t>TDV</t>
        </is>
      </c>
      <c r="F1486" s="23" t="n">
        <v>46280</v>
      </c>
      <c r="G1486" t="inlineStr">
        <is>
          <t>recoleccion</t>
        </is>
      </c>
      <c r="H1486" s="26" t="n">
        <v>46513507</v>
      </c>
      <c r="I1486" t="inlineStr">
        <is>
          <t>bajo</t>
        </is>
      </c>
      <c r="J1486" t="inlineStr">
        <is>
          <t>RN-22 y RN-35: recoleccion al cierre de lo que pasa del cupo</t>
        </is>
      </c>
      <c r="K1486" t="inlineStr">
        <is>
          <t>Recoleccion al cierre: con el pronostico, el saldo cerraria en 115.363.507 COP, sobre el cupo de 68.850.000. Se recoge el excedente y el saldo queda en 68.850.000 COP. Equipo administrado por TDV.</t>
        </is>
      </c>
      <c r="L1486" s="26" t="n">
        <v>68850000</v>
      </c>
      <c r="M1486" s="26" t="n">
        <v>115363507</v>
      </c>
      <c r="N1486" s="27">
        <f>IF(ISNUMBER(M1486),M1486/L1486,"No aplica")</f>
        <v>1.675577443718228</v>
      </c>
      <c r="O1486" s="25">
        <f>IF(G1486="provision",M1486+H1486,IF(G1486="recoleccion",M1486-H1486,"No aplica"))</f>
        <v>68850000</v>
      </c>
      <c r="P1486" s="26" t="n">
        <v>157715</v>
      </c>
    </row>
    <row r="1487">
      <c r="A1487" t="inlineStr">
        <is>
          <t>PRAGMA</t>
        </is>
      </c>
      <c r="B1487" t="inlineStr">
        <is>
          <t>M2</t>
        </is>
      </c>
      <c r="C1487" t="inlineStr">
        <is>
          <t>Cali</t>
        </is>
      </c>
      <c r="D1487" t="inlineStr">
        <is>
          <t>1519</t>
        </is>
      </c>
      <c r="E1487" t="inlineStr">
        <is>
          <t>TDV</t>
        </is>
      </c>
      <c r="F1487" s="23" t="n">
        <v>46266</v>
      </c>
      <c r="G1487" t="inlineStr">
        <is>
          <t>recoleccion</t>
        </is>
      </c>
      <c r="H1487" s="26" t="n">
        <v>11248621</v>
      </c>
      <c r="I1487" t="inlineStr">
        <is>
          <t>bajo</t>
        </is>
      </c>
      <c r="J1487" t="inlineStr">
        <is>
          <t>RN-22 y RN-35: recoleccion al cierre de lo que pasa del cupo</t>
        </is>
      </c>
      <c r="K1487" t="inlineStr">
        <is>
          <t>Recoleccion al cierre: con el pronostico, el saldo cerraria en 79.098.621 COP, sobre el cupo de 67.850.000. Se recoge el excedente y el saldo queda en 67.850.000 COP. Equipo administrado por TDV.</t>
        </is>
      </c>
      <c r="L1487" s="26" t="n">
        <v>67850000</v>
      </c>
      <c r="M1487" s="26" t="n">
        <v>79098621</v>
      </c>
      <c r="N1487" s="27">
        <f>IF(ISNUMBER(M1487),M1487/L1487,"No aplica")</f>
        <v>1.1657866028002948</v>
      </c>
      <c r="O1487" s="25">
        <f>IF(G1487="provision",M1487+H1487,IF(G1487="recoleccion",M1487-H1487,"No aplica"))</f>
        <v>67850000</v>
      </c>
      <c r="P1487" s="26" t="n">
        <v>157715</v>
      </c>
    </row>
    <row r="1488">
      <c r="A1488" t="inlineStr">
        <is>
          <t>PRAGMA</t>
        </is>
      </c>
      <c r="B1488" t="inlineStr">
        <is>
          <t>M2</t>
        </is>
      </c>
      <c r="C1488" t="inlineStr">
        <is>
          <t>Cali</t>
        </is>
      </c>
      <c r="D1488" t="inlineStr">
        <is>
          <t>1519</t>
        </is>
      </c>
      <c r="E1488" t="inlineStr">
        <is>
          <t>TDV</t>
        </is>
      </c>
      <c r="F1488" s="23" t="n">
        <v>46267</v>
      </c>
      <c r="G1488" t="inlineStr">
        <is>
          <t>recoleccion</t>
        </is>
      </c>
      <c r="H1488" s="26" t="n">
        <v>12113865</v>
      </c>
      <c r="I1488" t="inlineStr">
        <is>
          <t>bajo</t>
        </is>
      </c>
      <c r="J1488" t="inlineStr">
        <is>
          <t>RN-22 y RN-35: recoleccion al cierre de lo que pasa del cupo</t>
        </is>
      </c>
      <c r="K1488" t="inlineStr">
        <is>
          <t>Recoleccion al cierre: con el pronostico, el saldo cerraria en 79.963.865 COP, sobre el cupo de 67.850.000. Se recoge el excedente y el saldo queda en 67.850.000 COP. Equipo administrado por TDV.</t>
        </is>
      </c>
      <c r="L1488" s="26" t="n">
        <v>67850000</v>
      </c>
      <c r="M1488" s="26" t="n">
        <v>79963865</v>
      </c>
      <c r="N1488" s="27">
        <f>IF(ISNUMBER(M1488),M1488/L1488,"No aplica")</f>
        <v>1.1785389093588798</v>
      </c>
      <c r="O1488" s="25">
        <f>IF(G1488="provision",M1488+H1488,IF(G1488="recoleccion",M1488-H1488,"No aplica"))</f>
        <v>67850000</v>
      </c>
      <c r="P1488" s="26" t="n">
        <v>157715</v>
      </c>
    </row>
    <row r="1489">
      <c r="A1489" t="inlineStr">
        <is>
          <t>PRAGMA</t>
        </is>
      </c>
      <c r="B1489" t="inlineStr">
        <is>
          <t>M2</t>
        </is>
      </c>
      <c r="C1489" t="inlineStr">
        <is>
          <t>Cali</t>
        </is>
      </c>
      <c r="D1489" t="inlineStr">
        <is>
          <t>1519</t>
        </is>
      </c>
      <c r="E1489" t="inlineStr">
        <is>
          <t>TDV</t>
        </is>
      </c>
      <c r="F1489" s="23" t="n">
        <v>46268</v>
      </c>
      <c r="G1489" t="inlineStr">
        <is>
          <t>recoleccion</t>
        </is>
      </c>
      <c r="H1489" s="26" t="n">
        <v>13581335</v>
      </c>
      <c r="I1489" t="inlineStr">
        <is>
          <t>bajo</t>
        </is>
      </c>
      <c r="J1489" t="inlineStr">
        <is>
          <t>RN-22 y RN-35: recoleccion al cierre de lo que pasa del cupo</t>
        </is>
      </c>
      <c r="K1489" t="inlineStr">
        <is>
          <t>Recoleccion al cierre: con el pronostico, el saldo cerraria en 81.431.335 COP, sobre el cupo de 67.850.000. Se recoge el excedente y el saldo queda en 67.850.000 COP. Equipo administrado por TDV.</t>
        </is>
      </c>
      <c r="L1489" s="26" t="n">
        <v>67850000</v>
      </c>
      <c r="M1489" s="26" t="n">
        <v>81431335</v>
      </c>
      <c r="N1489" s="27">
        <f>IF(ISNUMBER(M1489),M1489/L1489,"No aplica")</f>
        <v>1.2001670596904936</v>
      </c>
      <c r="O1489" s="25">
        <f>IF(G1489="provision",M1489+H1489,IF(G1489="recoleccion",M1489-H1489,"No aplica"))</f>
        <v>67850000</v>
      </c>
      <c r="P1489" s="26" t="n">
        <v>157715</v>
      </c>
    </row>
    <row r="1490">
      <c r="A1490" t="inlineStr">
        <is>
          <t>PRAGMA</t>
        </is>
      </c>
      <c r="B1490" t="inlineStr">
        <is>
          <t>M2</t>
        </is>
      </c>
      <c r="C1490" t="inlineStr">
        <is>
          <t>Cali</t>
        </is>
      </c>
      <c r="D1490" t="inlineStr">
        <is>
          <t>1519</t>
        </is>
      </c>
      <c r="E1490" t="inlineStr">
        <is>
          <t>TDV</t>
        </is>
      </c>
      <c r="F1490" s="23" t="n">
        <v>46269</v>
      </c>
      <c r="G1490" t="inlineStr">
        <is>
          <t>recoleccion</t>
        </is>
      </c>
      <c r="H1490" s="26" t="n">
        <v>9412250</v>
      </c>
      <c r="I1490" t="inlineStr">
        <is>
          <t>bajo</t>
        </is>
      </c>
      <c r="J1490" t="inlineStr">
        <is>
          <t>RN-22 y RN-35: recoleccion al cierre de lo que pasa del cupo</t>
        </is>
      </c>
      <c r="K1490" t="inlineStr">
        <is>
          <t>Recoleccion al cierre: con el pronostico, el saldo cerraria en 77.262.250 COP, sobre el cupo de 67.850.000. Se recoge el excedente y el saldo queda en 67.850.000 COP. Equipo administrado por TDV.</t>
        </is>
      </c>
      <c r="L1490" s="26" t="n">
        <v>67850000</v>
      </c>
      <c r="M1490" s="26" t="n">
        <v>77262250</v>
      </c>
      <c r="N1490" s="27">
        <f>IF(ISNUMBER(M1490),M1490/L1490,"No aplica")</f>
        <v>1.1387214443625644</v>
      </c>
      <c r="O1490" s="25">
        <f>IF(G1490="provision",M1490+H1490,IF(G1490="recoleccion",M1490-H1490,"No aplica"))</f>
        <v>67850000</v>
      </c>
      <c r="P1490" s="26" t="n">
        <v>157715</v>
      </c>
    </row>
    <row r="1491">
      <c r="A1491" t="inlineStr">
        <is>
          <t>PRAGMA</t>
        </is>
      </c>
      <c r="B1491" t="inlineStr">
        <is>
          <t>M2</t>
        </is>
      </c>
      <c r="C1491" t="inlineStr">
        <is>
          <t>Cali</t>
        </is>
      </c>
      <c r="D1491" t="inlineStr">
        <is>
          <t>1519</t>
        </is>
      </c>
      <c r="E1491" t="inlineStr">
        <is>
          <t>TDV</t>
        </is>
      </c>
      <c r="F1491" s="23" t="n">
        <v>46270</v>
      </c>
      <c r="G1491" t="inlineStr">
        <is>
          <t>recoleccion</t>
        </is>
      </c>
      <c r="H1491" s="26" t="n">
        <v>14191474</v>
      </c>
      <c r="I1491" t="inlineStr">
        <is>
          <t>bajo</t>
        </is>
      </c>
      <c r="J1491" t="inlineStr">
        <is>
          <t>RN-22 y RN-35: recoleccion al cierre de lo que pasa del cupo</t>
        </is>
      </c>
      <c r="K1491" t="inlineStr">
        <is>
          <t>Recoleccion al cierre: con el pronostico, el saldo cerraria en 82.041.474 COP, sobre el cupo de 67.850.000. Se recoge el excedente y el saldo queda en 67.850.000 COP. Equipo administrado por TDV.</t>
        </is>
      </c>
      <c r="L1491" s="26" t="n">
        <v>67850000</v>
      </c>
      <c r="M1491" s="26" t="n">
        <v>82041474</v>
      </c>
      <c r="N1491" s="27">
        <f>IF(ISNUMBER(M1491),M1491/L1491,"No aplica")</f>
        <v>1.2091595283714076</v>
      </c>
      <c r="O1491" s="25">
        <f>IF(G1491="provision",M1491+H1491,IF(G1491="recoleccion",M1491-H1491,"No aplica"))</f>
        <v>67850000</v>
      </c>
      <c r="P1491" s="26" t="n">
        <v>157715</v>
      </c>
    </row>
    <row r="1492">
      <c r="A1492" t="inlineStr">
        <is>
          <t>PRAGMA</t>
        </is>
      </c>
      <c r="B1492" t="inlineStr">
        <is>
          <t>M2</t>
        </is>
      </c>
      <c r="C1492" t="inlineStr">
        <is>
          <t>Cali</t>
        </is>
      </c>
      <c r="D1492" t="inlineStr">
        <is>
          <t>1519</t>
        </is>
      </c>
      <c r="E1492" t="inlineStr">
        <is>
          <t>TDV</t>
        </is>
      </c>
      <c r="F1492" s="23" t="n">
        <v>46271</v>
      </c>
      <c r="G1492" t="inlineStr">
        <is>
          <t>recoleccion</t>
        </is>
      </c>
      <c r="H1492" s="26" t="n">
        <v>9782715</v>
      </c>
      <c r="I1492" t="inlineStr">
        <is>
          <t>bajo</t>
        </is>
      </c>
      <c r="J1492" t="inlineStr">
        <is>
          <t>RN-22 y RN-35: recoleccion al cierre de lo que pasa del cupo</t>
        </is>
      </c>
      <c r="K1492" t="inlineStr">
        <is>
          <t>Recoleccion al cierre: con el pronostico, el saldo cerraria en 77.632.715 COP, sobre el cupo de 67.850.000. Se recoge el excedente y el saldo queda en 67.850.000 COP. Equipo administrado por TDV.</t>
        </is>
      </c>
      <c r="L1492" s="26" t="n">
        <v>67850000</v>
      </c>
      <c r="M1492" s="26" t="n">
        <v>77632715</v>
      </c>
      <c r="N1492" s="27">
        <f>IF(ISNUMBER(M1492),M1492/L1492,"No aplica")</f>
        <v>1.1441815033161384</v>
      </c>
      <c r="O1492" s="25">
        <f>IF(G1492="provision",M1492+H1492,IF(G1492="recoleccion",M1492-H1492,"No aplica"))</f>
        <v>67850000</v>
      </c>
      <c r="P1492" s="26" t="n">
        <v>215854</v>
      </c>
    </row>
    <row r="1493">
      <c r="A1493" t="inlineStr">
        <is>
          <t>PRAGMA</t>
        </is>
      </c>
      <c r="B1493" t="inlineStr">
        <is>
          <t>M2</t>
        </is>
      </c>
      <c r="C1493" t="inlineStr">
        <is>
          <t>Cali</t>
        </is>
      </c>
      <c r="D1493" t="inlineStr">
        <is>
          <t>1519</t>
        </is>
      </c>
      <c r="E1493" t="inlineStr">
        <is>
          <t>TDV</t>
        </is>
      </c>
      <c r="F1493" s="23" t="n">
        <v>46272</v>
      </c>
      <c r="G1493" t="inlineStr">
        <is>
          <t>recoleccion</t>
        </is>
      </c>
      <c r="H1493" s="26" t="n">
        <v>22892837</v>
      </c>
      <c r="I1493" t="inlineStr">
        <is>
          <t>bajo</t>
        </is>
      </c>
      <c r="J1493" t="inlineStr">
        <is>
          <t>RN-22 y RN-35: recoleccion al cierre de lo que pasa del cupo</t>
        </is>
      </c>
      <c r="K1493" t="inlineStr">
        <is>
          <t>Recoleccion al cierre: con el pronostico, el saldo cerraria en 90.742.837 COP, sobre el cupo de 67.850.000. Se recoge el excedente y el saldo queda en 67.850.000 COP. Equipo administrado por TDV.</t>
        </is>
      </c>
      <c r="L1493" s="26" t="n">
        <v>67850000</v>
      </c>
      <c r="M1493" s="26" t="n">
        <v>90742837</v>
      </c>
      <c r="N1493" s="27">
        <f>IF(ISNUMBER(M1493),M1493/L1493,"No aplica")</f>
        <v>1.3374036403831981</v>
      </c>
      <c r="O1493" s="25">
        <f>IF(G1493="provision",M1493+H1493,IF(G1493="recoleccion",M1493-H1493,"No aplica"))</f>
        <v>67850000</v>
      </c>
      <c r="P1493" s="26" t="n">
        <v>157715</v>
      </c>
    </row>
    <row r="1494">
      <c r="A1494" t="inlineStr">
        <is>
          <t>PRAGMA</t>
        </is>
      </c>
      <c r="B1494" t="inlineStr">
        <is>
          <t>M2</t>
        </is>
      </c>
      <c r="C1494" t="inlineStr">
        <is>
          <t>Cali</t>
        </is>
      </c>
      <c r="D1494" t="inlineStr">
        <is>
          <t>1519</t>
        </is>
      </c>
      <c r="E1494" t="inlineStr">
        <is>
          <t>TDV</t>
        </is>
      </c>
      <c r="F1494" s="23" t="n">
        <v>46273</v>
      </c>
      <c r="G1494" t="inlineStr">
        <is>
          <t>recoleccion</t>
        </is>
      </c>
      <c r="H1494" s="26" t="n">
        <v>20477417</v>
      </c>
      <c r="I1494" t="inlineStr">
        <is>
          <t>bajo</t>
        </is>
      </c>
      <c r="J1494" t="inlineStr">
        <is>
          <t>RN-22 y RN-35: recoleccion al cierre de lo que pasa del cupo</t>
        </is>
      </c>
      <c r="K1494" t="inlineStr">
        <is>
          <t>Recoleccion al cierre: con el pronostico, el saldo cerraria en 88.327.417 COP, sobre el cupo de 67.850.000. Se recoge el excedente y el saldo queda en 67.850.000 COP. Equipo administrado por TDV.</t>
        </is>
      </c>
      <c r="L1494" s="26" t="n">
        <v>67850000</v>
      </c>
      <c r="M1494" s="26" t="n">
        <v>88327417</v>
      </c>
      <c r="N1494" s="27">
        <f>IF(ISNUMBER(M1494),M1494/L1494,"No aplica")</f>
        <v>1.3018042299189387</v>
      </c>
      <c r="O1494" s="25">
        <f>IF(G1494="provision",M1494+H1494,IF(G1494="recoleccion",M1494-H1494,"No aplica"))</f>
        <v>67850000</v>
      </c>
      <c r="P1494" s="26" t="n">
        <v>157715</v>
      </c>
    </row>
    <row r="1495">
      <c r="A1495" t="inlineStr">
        <is>
          <t>PRAGMA</t>
        </is>
      </c>
      <c r="B1495" t="inlineStr">
        <is>
          <t>M2</t>
        </is>
      </c>
      <c r="C1495" t="inlineStr">
        <is>
          <t>Cali</t>
        </is>
      </c>
      <c r="D1495" t="inlineStr">
        <is>
          <t>1519</t>
        </is>
      </c>
      <c r="E1495" t="inlineStr">
        <is>
          <t>TDV</t>
        </is>
      </c>
      <c r="F1495" s="23" t="n">
        <v>46274</v>
      </c>
      <c r="G1495" t="inlineStr">
        <is>
          <t>recoleccion</t>
        </is>
      </c>
      <c r="H1495" s="26" t="n">
        <v>16660719</v>
      </c>
      <c r="I1495" t="inlineStr">
        <is>
          <t>bajo</t>
        </is>
      </c>
      <c r="J1495" t="inlineStr">
        <is>
          <t>RN-22 y RN-35: recoleccion al cierre de lo que pasa del cupo</t>
        </is>
      </c>
      <c r="K1495" t="inlineStr">
        <is>
          <t>Recoleccion al cierre: con el pronostico, el saldo cerraria en 84.510.719 COP, sobre el cupo de 67.850.000. Se recoge el excedente y el saldo queda en 67.850.000 COP. Equipo administrado por TDV.</t>
        </is>
      </c>
      <c r="L1495" s="26" t="n">
        <v>67850000</v>
      </c>
      <c r="M1495" s="26" t="n">
        <v>84510719</v>
      </c>
      <c r="N1495" s="27">
        <f>IF(ISNUMBER(M1495),M1495/L1495,"No aplica")</f>
        <v>1.2455522328666175</v>
      </c>
      <c r="O1495" s="25">
        <f>IF(G1495="provision",M1495+H1495,IF(G1495="recoleccion",M1495-H1495,"No aplica"))</f>
        <v>67850000</v>
      </c>
      <c r="P1495" s="26" t="n">
        <v>157715</v>
      </c>
    </row>
    <row r="1496">
      <c r="A1496" t="inlineStr">
        <is>
          <t>PRAGMA</t>
        </is>
      </c>
      <c r="B1496" t="inlineStr">
        <is>
          <t>M2</t>
        </is>
      </c>
      <c r="C1496" t="inlineStr">
        <is>
          <t>Cali</t>
        </is>
      </c>
      <c r="D1496" t="inlineStr">
        <is>
          <t>1519</t>
        </is>
      </c>
      <c r="E1496" t="inlineStr">
        <is>
          <t>TDV</t>
        </is>
      </c>
      <c r="F1496" s="23" t="n">
        <v>46275</v>
      </c>
      <c r="G1496" t="inlineStr">
        <is>
          <t>recoleccion</t>
        </is>
      </c>
      <c r="H1496" s="26" t="n">
        <v>19848989</v>
      </c>
      <c r="I1496" t="inlineStr">
        <is>
          <t>bajo</t>
        </is>
      </c>
      <c r="J1496" t="inlineStr">
        <is>
          <t>RN-22 y RN-35: recoleccion al cierre de lo que pasa del cupo</t>
        </is>
      </c>
      <c r="K1496" t="inlineStr">
        <is>
          <t>Recoleccion al cierre: con el pronostico, el saldo cerraria en 87.698.989 COP, sobre el cupo de 67.850.000. Se recoge el excedente y el saldo queda en 67.850.000 COP. Equipo administrado por TDV.</t>
        </is>
      </c>
      <c r="L1496" s="26" t="n">
        <v>67850000</v>
      </c>
      <c r="M1496" s="26" t="n">
        <v>87698989</v>
      </c>
      <c r="N1496" s="27">
        <f>IF(ISNUMBER(M1496),M1496/L1496,"No aplica")</f>
        <v>1.2925422107590272</v>
      </c>
      <c r="O1496" s="25">
        <f>IF(G1496="provision",M1496+H1496,IF(G1496="recoleccion",M1496-H1496,"No aplica"))</f>
        <v>67850000</v>
      </c>
      <c r="P1496" s="26" t="n">
        <v>157715</v>
      </c>
    </row>
    <row r="1497">
      <c r="A1497" t="inlineStr">
        <is>
          <t>PRAGMA</t>
        </is>
      </c>
      <c r="B1497" t="inlineStr">
        <is>
          <t>M2</t>
        </is>
      </c>
      <c r="C1497" t="inlineStr">
        <is>
          <t>Cali</t>
        </is>
      </c>
      <c r="D1497" t="inlineStr">
        <is>
          <t>1519</t>
        </is>
      </c>
      <c r="E1497" t="inlineStr">
        <is>
          <t>TDV</t>
        </is>
      </c>
      <c r="F1497" s="23" t="n">
        <v>46276</v>
      </c>
      <c r="G1497" t="inlineStr">
        <is>
          <t>recoleccion</t>
        </is>
      </c>
      <c r="H1497" s="26" t="n">
        <v>15983159</v>
      </c>
      <c r="I1497" t="inlineStr">
        <is>
          <t>bajo</t>
        </is>
      </c>
      <c r="J1497" t="inlineStr">
        <is>
          <t>RN-22 y RN-35: recoleccion al cierre de lo que pasa del cupo</t>
        </is>
      </c>
      <c r="K1497" t="inlineStr">
        <is>
          <t>Recoleccion al cierre: con el pronostico, el saldo cerraria en 83.833.159 COP, sobre el cupo de 67.850.000. Se recoge el excedente y el saldo queda en 67.850.000 COP. Equipo administrado por TDV.</t>
        </is>
      </c>
      <c r="L1497" s="26" t="n">
        <v>67850000</v>
      </c>
      <c r="M1497" s="26" t="n">
        <v>83833159</v>
      </c>
      <c r="N1497" s="27">
        <f>IF(ISNUMBER(M1497),M1497/L1497,"No aplica")</f>
        <v>1.2355660869565217</v>
      </c>
      <c r="O1497" s="25">
        <f>IF(G1497="provision",M1497+H1497,IF(G1497="recoleccion",M1497-H1497,"No aplica"))</f>
        <v>67850000</v>
      </c>
      <c r="P1497" s="26" t="n">
        <v>157715</v>
      </c>
    </row>
    <row r="1498">
      <c r="A1498" t="inlineStr">
        <is>
          <t>PRAGMA</t>
        </is>
      </c>
      <c r="B1498" t="inlineStr">
        <is>
          <t>M2</t>
        </is>
      </c>
      <c r="C1498" t="inlineStr">
        <is>
          <t>Cali</t>
        </is>
      </c>
      <c r="D1498" t="inlineStr">
        <is>
          <t>1519</t>
        </is>
      </c>
      <c r="E1498" t="inlineStr">
        <is>
          <t>TDV</t>
        </is>
      </c>
      <c r="F1498" s="23" t="n">
        <v>46277</v>
      </c>
      <c r="G1498" t="inlineStr">
        <is>
          <t>recoleccion</t>
        </is>
      </c>
      <c r="H1498" s="26" t="n">
        <v>16043879</v>
      </c>
      <c r="I1498" t="inlineStr">
        <is>
          <t>bajo</t>
        </is>
      </c>
      <c r="J1498" t="inlineStr">
        <is>
          <t>RN-22 y RN-35: recoleccion al cierre de lo que pasa del cupo</t>
        </is>
      </c>
      <c r="K1498" t="inlineStr">
        <is>
          <t>Recoleccion al cierre: con el pronostico, el saldo cerraria en 83.893.879 COP, sobre el cupo de 67.850.000. Se recoge el excedente y el saldo queda en 67.850.000 COP. Equipo administrado por TDV.</t>
        </is>
      </c>
      <c r="L1498" s="26" t="n">
        <v>67850000</v>
      </c>
      <c r="M1498" s="26" t="n">
        <v>83893879</v>
      </c>
      <c r="N1498" s="27">
        <f>IF(ISNUMBER(M1498),M1498/L1498,"No aplica")</f>
        <v>1.236461002210759</v>
      </c>
      <c r="O1498" s="25">
        <f>IF(G1498="provision",M1498+H1498,IF(G1498="recoleccion",M1498-H1498,"No aplica"))</f>
        <v>67850000</v>
      </c>
      <c r="P1498" s="26" t="n">
        <v>157715</v>
      </c>
    </row>
    <row r="1499">
      <c r="A1499" t="inlineStr">
        <is>
          <t>PRAGMA</t>
        </is>
      </c>
      <c r="B1499" t="inlineStr">
        <is>
          <t>M2</t>
        </is>
      </c>
      <c r="C1499" t="inlineStr">
        <is>
          <t>Cali</t>
        </is>
      </c>
      <c r="D1499" t="inlineStr">
        <is>
          <t>1519</t>
        </is>
      </c>
      <c r="E1499" t="inlineStr">
        <is>
          <t>TDV</t>
        </is>
      </c>
      <c r="F1499" s="23" t="n">
        <v>46278</v>
      </c>
      <c r="G1499" t="inlineStr">
        <is>
          <t>recoleccion</t>
        </is>
      </c>
      <c r="H1499" s="26" t="n">
        <v>8392502</v>
      </c>
      <c r="I1499" t="inlineStr">
        <is>
          <t>bajo</t>
        </is>
      </c>
      <c r="J1499" t="inlineStr">
        <is>
          <t>RN-22 y RN-35: recoleccion al cierre de lo que pasa del cupo</t>
        </is>
      </c>
      <c r="K1499" t="inlineStr">
        <is>
          <t>Recoleccion al cierre: con el pronostico, el saldo cerraria en 76.242.502 COP, sobre el cupo de 67.850.000. Se recoge el excedente y el saldo queda en 67.850.000 COP. Equipo administrado por TDV.</t>
        </is>
      </c>
      <c r="L1499" s="26" t="n">
        <v>67850000</v>
      </c>
      <c r="M1499" s="26" t="n">
        <v>76242502</v>
      </c>
      <c r="N1499" s="27">
        <f>IF(ISNUMBER(M1499),M1499/L1499,"No aplica")</f>
        <v>1.1236919970523214</v>
      </c>
      <c r="O1499" s="25">
        <f>IF(G1499="provision",M1499+H1499,IF(G1499="recoleccion",M1499-H1499,"No aplica"))</f>
        <v>67850000</v>
      </c>
      <c r="P1499" s="26" t="n">
        <v>215854</v>
      </c>
    </row>
    <row r="1500">
      <c r="A1500" t="inlineStr">
        <is>
          <t>PRAGMA</t>
        </is>
      </c>
      <c r="B1500" t="inlineStr">
        <is>
          <t>M2</t>
        </is>
      </c>
      <c r="C1500" t="inlineStr">
        <is>
          <t>Cali</t>
        </is>
      </c>
      <c r="D1500" t="inlineStr">
        <is>
          <t>1519</t>
        </is>
      </c>
      <c r="E1500" t="inlineStr">
        <is>
          <t>TDV</t>
        </is>
      </c>
      <c r="F1500" s="23" t="n">
        <v>46279</v>
      </c>
      <c r="G1500" t="inlineStr">
        <is>
          <t>recoleccion</t>
        </is>
      </c>
      <c r="H1500" s="26" t="n">
        <v>17008188</v>
      </c>
      <c r="I1500" t="inlineStr">
        <is>
          <t>bajo</t>
        </is>
      </c>
      <c r="J1500" t="inlineStr">
        <is>
          <t>RN-22 y RN-35: recoleccion al cierre de lo que pasa del cupo</t>
        </is>
      </c>
      <c r="K1500" t="inlineStr">
        <is>
          <t>Recoleccion al cierre: con el pronostico, el saldo cerraria en 84.858.188 COP, sobre el cupo de 67.850.000. Se recoge el excedente y el saldo queda en 67.850.000 COP. Equipo administrado por TDV.</t>
        </is>
      </c>
      <c r="L1500" s="26" t="n">
        <v>67850000</v>
      </c>
      <c r="M1500" s="26" t="n">
        <v>84858188</v>
      </c>
      <c r="N1500" s="27">
        <f>IF(ISNUMBER(M1500),M1500/L1500,"No aplica")</f>
        <v>1.2506733677229183</v>
      </c>
      <c r="O1500" s="25">
        <f>IF(G1500="provision",M1500+H1500,IF(G1500="recoleccion",M1500-H1500,"No aplica"))</f>
        <v>67850000</v>
      </c>
      <c r="P1500" s="26" t="n">
        <v>157715</v>
      </c>
    </row>
    <row r="1501">
      <c r="A1501" t="inlineStr">
        <is>
          <t>PRAGMA</t>
        </is>
      </c>
      <c r="B1501" t="inlineStr">
        <is>
          <t>M2</t>
        </is>
      </c>
      <c r="C1501" t="inlineStr">
        <is>
          <t>Cali</t>
        </is>
      </c>
      <c r="D1501" t="inlineStr">
        <is>
          <t>1519</t>
        </is>
      </c>
      <c r="E1501" t="inlineStr">
        <is>
          <t>TDV</t>
        </is>
      </c>
      <c r="F1501" s="23" t="n">
        <v>46280</v>
      </c>
      <c r="G1501" t="inlineStr">
        <is>
          <t>recoleccion</t>
        </is>
      </c>
      <c r="H1501" s="26" t="n">
        <v>13588719</v>
      </c>
      <c r="I1501" t="inlineStr">
        <is>
          <t>bajo</t>
        </is>
      </c>
      <c r="J1501" t="inlineStr">
        <is>
          <t>RN-22 y RN-35: recoleccion al cierre de lo que pasa del cupo</t>
        </is>
      </c>
      <c r="K1501" t="inlineStr">
        <is>
          <t>Recoleccion al cierre: con el pronostico, el saldo cerraria en 81.438.719 COP, sobre el cupo de 67.850.000. Se recoge el excedente y el saldo queda en 67.850.000 COP. Equipo administrado por TDV.</t>
        </is>
      </c>
      <c r="L1501" s="26" t="n">
        <v>67850000</v>
      </c>
      <c r="M1501" s="26" t="n">
        <v>81438719</v>
      </c>
      <c r="N1501" s="27">
        <f>IF(ISNUMBER(M1501),M1501/L1501,"No aplica")</f>
        <v>1.2002758879882094</v>
      </c>
      <c r="O1501" s="25">
        <f>IF(G1501="provision",M1501+H1501,IF(G1501="recoleccion",M1501-H1501,"No aplica"))</f>
        <v>67850000</v>
      </c>
      <c r="P1501" s="26" t="n">
        <v>157715</v>
      </c>
    </row>
    <row r="1502">
      <c r="A1502" t="inlineStr">
        <is>
          <t>PRAGMA</t>
        </is>
      </c>
      <c r="B1502" t="inlineStr">
        <is>
          <t>M2</t>
        </is>
      </c>
      <c r="C1502" t="inlineStr">
        <is>
          <t>Cali</t>
        </is>
      </c>
      <c r="D1502" t="inlineStr">
        <is>
          <t>1550</t>
        </is>
      </c>
      <c r="E1502" t="inlineStr">
        <is>
          <t>TDV</t>
        </is>
      </c>
      <c r="F1502" s="23" t="n">
        <v>46266</v>
      </c>
      <c r="G1502" t="inlineStr">
        <is>
          <t>recoleccion</t>
        </is>
      </c>
      <c r="H1502" s="26" t="n">
        <v>171782026</v>
      </c>
      <c r="I1502" t="inlineStr">
        <is>
          <t>bajo</t>
        </is>
      </c>
      <c r="J1502" t="inlineStr">
        <is>
          <t>RN-22 y RN-35: recoleccion al cierre de lo que pasa del cupo</t>
        </is>
      </c>
      <c r="K1502" t="inlineStr">
        <is>
          <t>Recoleccion al cierre: con el pronostico, el saldo cerraria en 196.784.026 COP, sobre el cupo de 25.002.000. Se recoge el excedente y el saldo queda en 25.002.000 COP. Equipo administrado por TDV.</t>
        </is>
      </c>
      <c r="L1502" s="26" t="n">
        <v>25002000</v>
      </c>
      <c r="M1502" s="26" t="n">
        <v>196784026</v>
      </c>
      <c r="N1502" s="27">
        <f>IF(ISNUMBER(M1502),M1502/L1502,"No aplica")</f>
        <v>7.870731381489481</v>
      </c>
      <c r="O1502" s="25">
        <f>IF(G1502="provision",M1502+H1502,IF(G1502="recoleccion",M1502-H1502,"No aplica"))</f>
        <v>25002000</v>
      </c>
      <c r="P1502" s="26" t="n">
        <v>158012</v>
      </c>
    </row>
    <row r="1503">
      <c r="A1503" t="inlineStr">
        <is>
          <t>PRAGMA</t>
        </is>
      </c>
      <c r="B1503" t="inlineStr">
        <is>
          <t>M2</t>
        </is>
      </c>
      <c r="C1503" t="inlineStr">
        <is>
          <t>Cali</t>
        </is>
      </c>
      <c r="D1503" t="inlineStr">
        <is>
          <t>1550</t>
        </is>
      </c>
      <c r="E1503" t="inlineStr">
        <is>
          <t>TDV</t>
        </is>
      </c>
      <c r="F1503" s="23" t="n">
        <v>46267</v>
      </c>
      <c r="G1503" t="inlineStr">
        <is>
          <t>recoleccion</t>
        </is>
      </c>
      <c r="H1503" s="26" t="n">
        <v>161224036</v>
      </c>
      <c r="I1503" t="inlineStr">
        <is>
          <t>bajo</t>
        </is>
      </c>
      <c r="J1503" t="inlineStr">
        <is>
          <t>RN-22 y RN-35: recoleccion al cierre de lo que pasa del cupo</t>
        </is>
      </c>
      <c r="K1503" t="inlineStr">
        <is>
          <t>Recoleccion al cierre: con el pronostico, el saldo cerraria en 186.226.036 COP, sobre el cupo de 25.002.000. Se recoge el excedente y el saldo queda en 25.002.000 COP. Equipo administrado por TDV.</t>
        </is>
      </c>
      <c r="L1503" s="26" t="n">
        <v>25002000</v>
      </c>
      <c r="M1503" s="26" t="n">
        <v>186226036</v>
      </c>
      <c r="N1503" s="27">
        <f>IF(ISNUMBER(M1503),M1503/L1503,"No aplica")</f>
        <v>7.448445564354851</v>
      </c>
      <c r="O1503" s="25">
        <f>IF(G1503="provision",M1503+H1503,IF(G1503="recoleccion",M1503-H1503,"No aplica"))</f>
        <v>25002000</v>
      </c>
      <c r="P1503" s="26" t="n">
        <v>158012</v>
      </c>
    </row>
    <row r="1504">
      <c r="A1504" t="inlineStr">
        <is>
          <t>PRAGMA</t>
        </is>
      </c>
      <c r="B1504" t="inlineStr">
        <is>
          <t>M2</t>
        </is>
      </c>
      <c r="C1504" t="inlineStr">
        <is>
          <t>Cali</t>
        </is>
      </c>
      <c r="D1504" t="inlineStr">
        <is>
          <t>1550</t>
        </is>
      </c>
      <c r="E1504" t="inlineStr">
        <is>
          <t>TDV</t>
        </is>
      </c>
      <c r="F1504" s="23" t="n">
        <v>46268</v>
      </c>
      <c r="G1504" t="inlineStr">
        <is>
          <t>recoleccion</t>
        </is>
      </c>
      <c r="H1504" s="26" t="n">
        <v>167934313</v>
      </c>
      <c r="I1504" t="inlineStr">
        <is>
          <t>bajo</t>
        </is>
      </c>
      <c r="J1504" t="inlineStr">
        <is>
          <t>RN-22 y RN-35: recoleccion al cierre de lo que pasa del cupo</t>
        </is>
      </c>
      <c r="K1504" t="inlineStr">
        <is>
          <t>Recoleccion al cierre: con el pronostico, el saldo cerraria en 192.936.313 COP, sobre el cupo de 25.002.000. Se recoge el excedente y el saldo queda en 25.002.000 COP. Equipo administrado por TDV.</t>
        </is>
      </c>
      <c r="L1504" s="26" t="n">
        <v>25002000</v>
      </c>
      <c r="M1504" s="26" t="n">
        <v>192936313</v>
      </c>
      <c r="N1504" s="27">
        <f>IF(ISNUMBER(M1504),M1504/L1504,"No aplica")</f>
        <v>7.716835173186145</v>
      </c>
      <c r="O1504" s="25">
        <f>IF(G1504="provision",M1504+H1504,IF(G1504="recoleccion",M1504-H1504,"No aplica"))</f>
        <v>25002000</v>
      </c>
      <c r="P1504" s="26" t="n">
        <v>158012</v>
      </c>
    </row>
    <row r="1505">
      <c r="A1505" t="inlineStr">
        <is>
          <t>PRAGMA</t>
        </is>
      </c>
      <c r="B1505" t="inlineStr">
        <is>
          <t>M2</t>
        </is>
      </c>
      <c r="C1505" t="inlineStr">
        <is>
          <t>Cali</t>
        </is>
      </c>
      <c r="D1505" t="inlineStr">
        <is>
          <t>1550</t>
        </is>
      </c>
      <c r="E1505" t="inlineStr">
        <is>
          <t>TDV</t>
        </is>
      </c>
      <c r="F1505" s="23" t="n">
        <v>46269</v>
      </c>
      <c r="G1505" t="inlineStr">
        <is>
          <t>recoleccion</t>
        </is>
      </c>
      <c r="H1505" s="26" t="n">
        <v>152842949</v>
      </c>
      <c r="I1505" t="inlineStr">
        <is>
          <t>bajo</t>
        </is>
      </c>
      <c r="J1505" t="inlineStr">
        <is>
          <t>RN-22 y RN-35: recoleccion al cierre de lo que pasa del cupo</t>
        </is>
      </c>
      <c r="K1505" t="inlineStr">
        <is>
          <t>Recoleccion al cierre: con el pronostico, el saldo cerraria en 177.844.949 COP, sobre el cupo de 25.002.000. Se recoge el excedente y el saldo queda en 25.002.000 COP. Equipo administrado por TDV.</t>
        </is>
      </c>
      <c r="L1505" s="26" t="n">
        <v>25002000</v>
      </c>
      <c r="M1505" s="26" t="n">
        <v>177844949</v>
      </c>
      <c r="N1505" s="27">
        <f>IF(ISNUMBER(M1505),M1505/L1505,"No aplica")</f>
        <v>7.113228901687865</v>
      </c>
      <c r="O1505" s="25">
        <f>IF(G1505="provision",M1505+H1505,IF(G1505="recoleccion",M1505-H1505,"No aplica"))</f>
        <v>25002000</v>
      </c>
      <c r="P1505" s="26" t="n">
        <v>158012</v>
      </c>
    </row>
    <row r="1506">
      <c r="A1506" t="inlineStr">
        <is>
          <t>PRAGMA</t>
        </is>
      </c>
      <c r="B1506" t="inlineStr">
        <is>
          <t>M2</t>
        </is>
      </c>
      <c r="C1506" t="inlineStr">
        <is>
          <t>Cali</t>
        </is>
      </c>
      <c r="D1506" t="inlineStr">
        <is>
          <t>1550</t>
        </is>
      </c>
      <c r="E1506" t="inlineStr">
        <is>
          <t>TDV</t>
        </is>
      </c>
      <c r="F1506" s="23" t="n">
        <v>46270</v>
      </c>
      <c r="G1506" t="inlineStr">
        <is>
          <t>recoleccion</t>
        </is>
      </c>
      <c r="H1506" s="26" t="n">
        <v>177257597</v>
      </c>
      <c r="I1506" t="inlineStr">
        <is>
          <t>bajo</t>
        </is>
      </c>
      <c r="J1506" t="inlineStr">
        <is>
          <t>RN-22 y RN-35: recoleccion al cierre de lo que pasa del cupo</t>
        </is>
      </c>
      <c r="K1506" t="inlineStr">
        <is>
          <t>Recoleccion al cierre: con el pronostico, el saldo cerraria en 202.259.597 COP, sobre el cupo de 25.002.000. Se recoge el excedente y el saldo queda en 25.002.000 COP. Equipo administrado por TDV.</t>
        </is>
      </c>
      <c r="L1506" s="26" t="n">
        <v>25002000</v>
      </c>
      <c r="M1506" s="26" t="n">
        <v>202259597</v>
      </c>
      <c r="N1506" s="27">
        <f>IF(ISNUMBER(M1506),M1506/L1506,"No aplica")</f>
        <v>8.089736701063915</v>
      </c>
      <c r="O1506" s="25">
        <f>IF(G1506="provision",M1506+H1506,IF(G1506="recoleccion",M1506-H1506,"No aplica"))</f>
        <v>25002000</v>
      </c>
      <c r="P1506" s="26" t="n">
        <v>158012</v>
      </c>
    </row>
    <row r="1507">
      <c r="A1507" t="inlineStr">
        <is>
          <t>PRAGMA</t>
        </is>
      </c>
      <c r="B1507" t="inlineStr">
        <is>
          <t>M2</t>
        </is>
      </c>
      <c r="C1507" t="inlineStr">
        <is>
          <t>Cali</t>
        </is>
      </c>
      <c r="D1507" t="inlineStr">
        <is>
          <t>1550</t>
        </is>
      </c>
      <c r="E1507" t="inlineStr">
        <is>
          <t>TDV</t>
        </is>
      </c>
      <c r="F1507" s="23" t="n">
        <v>46271</v>
      </c>
      <c r="G1507" t="inlineStr">
        <is>
          <t>recoleccion</t>
        </is>
      </c>
      <c r="H1507" s="26" t="n">
        <v>115039134</v>
      </c>
      <c r="I1507" t="inlineStr">
        <is>
          <t>bajo</t>
        </is>
      </c>
      <c r="J1507" t="inlineStr">
        <is>
          <t>RN-22 y RN-35: recoleccion al cierre de lo que pasa del cupo</t>
        </is>
      </c>
      <c r="K1507" t="inlineStr">
        <is>
          <t>Recoleccion al cierre: con el pronostico, el saldo cerraria en 140.041.134 COP, sobre el cupo de 25.002.000. Se recoge el excedente y el saldo queda en 25.002.000 COP. Equipo administrado por TDV.</t>
        </is>
      </c>
      <c r="L1507" s="26" t="n">
        <v>25002000</v>
      </c>
      <c r="M1507" s="26" t="n">
        <v>140041134</v>
      </c>
      <c r="N1507" s="27">
        <f>IF(ISNUMBER(M1507),M1507/L1507,"No aplica")</f>
        <v>5.601197264218863</v>
      </c>
      <c r="O1507" s="25">
        <f>IF(G1507="provision",M1507+H1507,IF(G1507="recoleccion",M1507-H1507,"No aplica"))</f>
        <v>25002000</v>
      </c>
      <c r="P1507" s="26" t="n">
        <v>182814</v>
      </c>
    </row>
    <row r="1508">
      <c r="A1508" t="inlineStr">
        <is>
          <t>PRAGMA</t>
        </is>
      </c>
      <c r="B1508" t="inlineStr">
        <is>
          <t>M2</t>
        </is>
      </c>
      <c r="C1508" t="inlineStr">
        <is>
          <t>Cali</t>
        </is>
      </c>
      <c r="D1508" t="inlineStr">
        <is>
          <t>1550</t>
        </is>
      </c>
      <c r="E1508" t="inlineStr">
        <is>
          <t>TDV</t>
        </is>
      </c>
      <c r="F1508" s="23" t="n">
        <v>46272</v>
      </c>
      <c r="G1508" t="inlineStr">
        <is>
          <t>recoleccion</t>
        </is>
      </c>
      <c r="H1508" s="26" t="n">
        <v>185157571</v>
      </c>
      <c r="I1508" t="inlineStr">
        <is>
          <t>bajo</t>
        </is>
      </c>
      <c r="J1508" t="inlineStr">
        <is>
          <t>RN-22 y RN-35: recoleccion al cierre de lo que pasa del cupo</t>
        </is>
      </c>
      <c r="K1508" t="inlineStr">
        <is>
          <t>Recoleccion al cierre: con el pronostico, el saldo cerraria en 210.159.571 COP, sobre el cupo de 25.002.000. Se recoge el excedente y el saldo queda en 25.002.000 COP. Equipo administrado por TDV.</t>
        </is>
      </c>
      <c r="L1508" s="26" t="n">
        <v>25002000</v>
      </c>
      <c r="M1508" s="26" t="n">
        <v>210159571</v>
      </c>
      <c r="N1508" s="27">
        <f>IF(ISNUMBER(M1508),M1508/L1508,"No aplica")</f>
        <v>8.405710383169346</v>
      </c>
      <c r="O1508" s="25">
        <f>IF(G1508="provision",M1508+H1508,IF(G1508="recoleccion",M1508-H1508,"No aplica"))</f>
        <v>25002000</v>
      </c>
      <c r="P1508" s="26" t="n">
        <v>158012</v>
      </c>
    </row>
    <row r="1509">
      <c r="A1509" t="inlineStr">
        <is>
          <t>PRAGMA</t>
        </is>
      </c>
      <c r="B1509" t="inlineStr">
        <is>
          <t>M2</t>
        </is>
      </c>
      <c r="C1509" t="inlineStr">
        <is>
          <t>Cali</t>
        </is>
      </c>
      <c r="D1509" t="inlineStr">
        <is>
          <t>1550</t>
        </is>
      </c>
      <c r="E1509" t="inlineStr">
        <is>
          <t>TDV</t>
        </is>
      </c>
      <c r="F1509" s="23" t="n">
        <v>46273</v>
      </c>
      <c r="G1509" t="inlineStr">
        <is>
          <t>recoleccion</t>
        </is>
      </c>
      <c r="H1509" s="26" t="n">
        <v>158931119</v>
      </c>
      <c r="I1509" t="inlineStr">
        <is>
          <t>bajo</t>
        </is>
      </c>
      <c r="J1509" t="inlineStr">
        <is>
          <t>RN-22 y RN-35: recoleccion al cierre de lo que pasa del cupo</t>
        </is>
      </c>
      <c r="K1509" t="inlineStr">
        <is>
          <t>Recoleccion al cierre: con el pronostico, el saldo cerraria en 183.933.119 COP, sobre el cupo de 25.002.000. Se recoge el excedente y el saldo queda en 25.002.000 COP. Equipo administrado por TDV.</t>
        </is>
      </c>
      <c r="L1509" s="26" t="n">
        <v>25002000</v>
      </c>
      <c r="M1509" s="26" t="n">
        <v>183933119</v>
      </c>
      <c r="N1509" s="27">
        <f>IF(ISNUMBER(M1509),M1509/L1509,"No aplica")</f>
        <v>7.356736221102312</v>
      </c>
      <c r="O1509" s="25">
        <f>IF(G1509="provision",M1509+H1509,IF(G1509="recoleccion",M1509-H1509,"No aplica"))</f>
        <v>25002000</v>
      </c>
      <c r="P1509" s="26" t="n">
        <v>158012</v>
      </c>
    </row>
    <row r="1510">
      <c r="A1510" t="inlineStr">
        <is>
          <t>PRAGMA</t>
        </is>
      </c>
      <c r="B1510" t="inlineStr">
        <is>
          <t>M2</t>
        </is>
      </c>
      <c r="C1510" t="inlineStr">
        <is>
          <t>Cali</t>
        </is>
      </c>
      <c r="D1510" t="inlineStr">
        <is>
          <t>1550</t>
        </is>
      </c>
      <c r="E1510" t="inlineStr">
        <is>
          <t>TDV</t>
        </is>
      </c>
      <c r="F1510" s="23" t="n">
        <v>46274</v>
      </c>
      <c r="G1510" t="inlineStr">
        <is>
          <t>recoleccion</t>
        </is>
      </c>
      <c r="H1510" s="26" t="n">
        <v>148299438</v>
      </c>
      <c r="I1510" t="inlineStr">
        <is>
          <t>bajo</t>
        </is>
      </c>
      <c r="J1510" t="inlineStr">
        <is>
          <t>RN-22 y RN-35: recoleccion al cierre de lo que pasa del cupo</t>
        </is>
      </c>
      <c r="K1510" t="inlineStr">
        <is>
          <t>Recoleccion al cierre: con el pronostico, el saldo cerraria en 173.301.438 COP, sobre el cupo de 25.002.000. Se recoge el excedente y el saldo queda en 25.002.000 COP. Equipo administrado por TDV.</t>
        </is>
      </c>
      <c r="L1510" s="26" t="n">
        <v>25002000</v>
      </c>
      <c r="M1510" s="26" t="n">
        <v>173301438</v>
      </c>
      <c r="N1510" s="27">
        <f>IF(ISNUMBER(M1510),M1510/L1510,"No aplica")</f>
        <v>6.931502999760019</v>
      </c>
      <c r="O1510" s="25">
        <f>IF(G1510="provision",M1510+H1510,IF(G1510="recoleccion",M1510-H1510,"No aplica"))</f>
        <v>25002000</v>
      </c>
      <c r="P1510" s="26" t="n">
        <v>158012</v>
      </c>
    </row>
    <row r="1511">
      <c r="A1511" t="inlineStr">
        <is>
          <t>PRAGMA</t>
        </is>
      </c>
      <c r="B1511" t="inlineStr">
        <is>
          <t>M2</t>
        </is>
      </c>
      <c r="C1511" t="inlineStr">
        <is>
          <t>Cali</t>
        </is>
      </c>
      <c r="D1511" t="inlineStr">
        <is>
          <t>1550</t>
        </is>
      </c>
      <c r="E1511" t="inlineStr">
        <is>
          <t>TDV</t>
        </is>
      </c>
      <c r="F1511" s="23" t="n">
        <v>46275</v>
      </c>
      <c r="G1511" t="inlineStr">
        <is>
          <t>recoleccion</t>
        </is>
      </c>
      <c r="H1511" s="26" t="n">
        <v>147486093</v>
      </c>
      <c r="I1511" t="inlineStr">
        <is>
          <t>bajo</t>
        </is>
      </c>
      <c r="J1511" t="inlineStr">
        <is>
          <t>RN-22 y RN-35: recoleccion al cierre de lo que pasa del cupo</t>
        </is>
      </c>
      <c r="K1511" t="inlineStr">
        <is>
          <t>Recoleccion al cierre: con el pronostico, el saldo cerraria en 172.488.093 COP, sobre el cupo de 25.002.000. Se recoge el excedente y el saldo queda en 25.002.000 COP. Equipo administrado por TDV.</t>
        </is>
      </c>
      <c r="L1511" s="26" t="n">
        <v>25002000</v>
      </c>
      <c r="M1511" s="26" t="n">
        <v>172488093</v>
      </c>
      <c r="N1511" s="27">
        <f>IF(ISNUMBER(M1511),M1511/L1511,"No aplica")</f>
        <v>6.8989718022558195</v>
      </c>
      <c r="O1511" s="25">
        <f>IF(G1511="provision",M1511+H1511,IF(G1511="recoleccion",M1511-H1511,"No aplica"))</f>
        <v>25002000</v>
      </c>
      <c r="P1511" s="26" t="n">
        <v>158012</v>
      </c>
    </row>
    <row r="1512">
      <c r="A1512" t="inlineStr">
        <is>
          <t>PRAGMA</t>
        </is>
      </c>
      <c r="B1512" t="inlineStr">
        <is>
          <t>M2</t>
        </is>
      </c>
      <c r="C1512" t="inlineStr">
        <is>
          <t>Cali</t>
        </is>
      </c>
      <c r="D1512" t="inlineStr">
        <is>
          <t>1550</t>
        </is>
      </c>
      <c r="E1512" t="inlineStr">
        <is>
          <t>TDV</t>
        </is>
      </c>
      <c r="F1512" s="23" t="n">
        <v>46276</v>
      </c>
      <c r="G1512" t="inlineStr">
        <is>
          <t>recoleccion</t>
        </is>
      </c>
      <c r="H1512" s="26" t="n">
        <v>141435234</v>
      </c>
      <c r="I1512" t="inlineStr">
        <is>
          <t>bajo</t>
        </is>
      </c>
      <c r="J1512" t="inlineStr">
        <is>
          <t>RN-22 y RN-35: recoleccion al cierre de lo que pasa del cupo</t>
        </is>
      </c>
      <c r="K1512" t="inlineStr">
        <is>
          <t>Recoleccion al cierre: con el pronostico, el saldo cerraria en 166.437.234 COP, sobre el cupo de 25.002.000. Se recoge el excedente y el saldo queda en 25.002.000 COP. Equipo administrado por TDV.</t>
        </is>
      </c>
      <c r="L1512" s="26" t="n">
        <v>25002000</v>
      </c>
      <c r="M1512" s="26" t="n">
        <v>166437234</v>
      </c>
      <c r="N1512" s="27">
        <f>IF(ISNUMBER(M1512),M1512/L1512,"No aplica")</f>
        <v>6.656956803455723</v>
      </c>
      <c r="O1512" s="25">
        <f>IF(G1512="provision",M1512+H1512,IF(G1512="recoleccion",M1512-H1512,"No aplica"))</f>
        <v>25002000</v>
      </c>
      <c r="P1512" s="26" t="n">
        <v>158012</v>
      </c>
    </row>
    <row r="1513">
      <c r="A1513" t="inlineStr">
        <is>
          <t>PRAGMA</t>
        </is>
      </c>
      <c r="B1513" t="inlineStr">
        <is>
          <t>M2</t>
        </is>
      </c>
      <c r="C1513" t="inlineStr">
        <is>
          <t>Cali</t>
        </is>
      </c>
      <c r="D1513" t="inlineStr">
        <is>
          <t>1550</t>
        </is>
      </c>
      <c r="E1513" t="inlineStr">
        <is>
          <t>TDV</t>
        </is>
      </c>
      <c r="F1513" s="23" t="n">
        <v>46277</v>
      </c>
      <c r="G1513" t="inlineStr">
        <is>
          <t>recoleccion</t>
        </is>
      </c>
      <c r="H1513" s="26" t="n">
        <v>150682070</v>
      </c>
      <c r="I1513" t="inlineStr">
        <is>
          <t>bajo</t>
        </is>
      </c>
      <c r="J1513" t="inlineStr">
        <is>
          <t>RN-22 y RN-35: recoleccion al cierre de lo que pasa del cupo</t>
        </is>
      </c>
      <c r="K1513" t="inlineStr">
        <is>
          <t>Recoleccion al cierre: con el pronostico, el saldo cerraria en 175.684.070 COP, sobre el cupo de 25.002.000. Se recoge el excedente y el saldo queda en 25.002.000 COP. Equipo administrado por TDV.</t>
        </is>
      </c>
      <c r="L1513" s="26" t="n">
        <v>25002000</v>
      </c>
      <c r="M1513" s="26" t="n">
        <v>175684070</v>
      </c>
      <c r="N1513" s="27">
        <f>IF(ISNUMBER(M1513),M1513/L1513,"No aplica")</f>
        <v>7.0268006559475245</v>
      </c>
      <c r="O1513" s="25">
        <f>IF(G1513="provision",M1513+H1513,IF(G1513="recoleccion",M1513-H1513,"No aplica"))</f>
        <v>25002000</v>
      </c>
      <c r="P1513" s="26" t="n">
        <v>158012</v>
      </c>
    </row>
    <row r="1514">
      <c r="A1514" t="inlineStr">
        <is>
          <t>PRAGMA</t>
        </is>
      </c>
      <c r="B1514" t="inlineStr">
        <is>
          <t>M2</t>
        </is>
      </c>
      <c r="C1514" t="inlineStr">
        <is>
          <t>Cali</t>
        </is>
      </c>
      <c r="D1514" t="inlineStr">
        <is>
          <t>1550</t>
        </is>
      </c>
      <c r="E1514" t="inlineStr">
        <is>
          <t>TDV</t>
        </is>
      </c>
      <c r="F1514" s="23" t="n">
        <v>46278</v>
      </c>
      <c r="G1514" t="inlineStr">
        <is>
          <t>recoleccion</t>
        </is>
      </c>
      <c r="H1514" s="26" t="n">
        <v>100634716</v>
      </c>
      <c r="I1514" t="inlineStr">
        <is>
          <t>bajo</t>
        </is>
      </c>
      <c r="J1514" t="inlineStr">
        <is>
          <t>RN-22 y RN-35: recoleccion al cierre de lo que pasa del cupo</t>
        </is>
      </c>
      <c r="K1514" t="inlineStr">
        <is>
          <t>Recoleccion al cierre: con el pronostico, el saldo cerraria en 125.636.716 COP, sobre el cupo de 25.002.000. Se recoge el excedente y el saldo queda en 25.002.000 COP. Equipo administrado por TDV.</t>
        </is>
      </c>
      <c r="L1514" s="26" t="n">
        <v>25002000</v>
      </c>
      <c r="M1514" s="26" t="n">
        <v>125636716</v>
      </c>
      <c r="N1514" s="27">
        <f>IF(ISNUMBER(M1514),M1514/L1514,"No aplica")</f>
        <v>5.025066634669226</v>
      </c>
      <c r="O1514" s="25">
        <f>IF(G1514="provision",M1514+H1514,IF(G1514="recoleccion",M1514-H1514,"No aplica"))</f>
        <v>25002000</v>
      </c>
      <c r="P1514" s="26" t="n">
        <v>182814</v>
      </c>
    </row>
    <row r="1515">
      <c r="A1515" t="inlineStr">
        <is>
          <t>PRAGMA</t>
        </is>
      </c>
      <c r="B1515" t="inlineStr">
        <is>
          <t>M2</t>
        </is>
      </c>
      <c r="C1515" t="inlineStr">
        <is>
          <t>Cali</t>
        </is>
      </c>
      <c r="D1515" t="inlineStr">
        <is>
          <t>1550</t>
        </is>
      </c>
      <c r="E1515" t="inlineStr">
        <is>
          <t>TDV</t>
        </is>
      </c>
      <c r="F1515" s="23" t="n">
        <v>46279</v>
      </c>
      <c r="G1515" t="inlineStr">
        <is>
          <t>recoleccion</t>
        </is>
      </c>
      <c r="H1515" s="26" t="n">
        <v>158108513</v>
      </c>
      <c r="I1515" t="inlineStr">
        <is>
          <t>bajo</t>
        </is>
      </c>
      <c r="J1515" t="inlineStr">
        <is>
          <t>RN-22 y RN-35: recoleccion al cierre de lo que pasa del cupo</t>
        </is>
      </c>
      <c r="K1515" t="inlineStr">
        <is>
          <t>Recoleccion al cierre: con el pronostico, el saldo cerraria en 183.110.513 COP, sobre el cupo de 25.002.000. Se recoge el excedente y el saldo queda en 25.002.000 COP. Equipo administrado por TDV.</t>
        </is>
      </c>
      <c r="L1515" s="26" t="n">
        <v>25002000</v>
      </c>
      <c r="M1515" s="26" t="n">
        <v>183110513</v>
      </c>
      <c r="N1515" s="27">
        <f>IF(ISNUMBER(M1515),M1515/L1515,"No aplica")</f>
        <v>7.323834613230941</v>
      </c>
      <c r="O1515" s="25">
        <f>IF(G1515="provision",M1515+H1515,IF(G1515="recoleccion",M1515-H1515,"No aplica"))</f>
        <v>25002000</v>
      </c>
      <c r="P1515" s="26" t="n">
        <v>158012</v>
      </c>
    </row>
    <row r="1516">
      <c r="A1516" t="inlineStr">
        <is>
          <t>PRAGMA</t>
        </is>
      </c>
      <c r="B1516" t="inlineStr">
        <is>
          <t>M2</t>
        </is>
      </c>
      <c r="C1516" t="inlineStr">
        <is>
          <t>Cali</t>
        </is>
      </c>
      <c r="D1516" t="inlineStr">
        <is>
          <t>1550</t>
        </is>
      </c>
      <c r="E1516" t="inlineStr">
        <is>
          <t>TDV</t>
        </is>
      </c>
      <c r="F1516" s="23" t="n">
        <v>46280</v>
      </c>
      <c r="G1516" t="inlineStr">
        <is>
          <t>recoleccion</t>
        </is>
      </c>
      <c r="H1516" s="26" t="n">
        <v>148957950</v>
      </c>
      <c r="I1516" t="inlineStr">
        <is>
          <t>bajo</t>
        </is>
      </c>
      <c r="J1516" t="inlineStr">
        <is>
          <t>RN-22 y RN-35: recoleccion al cierre de lo que pasa del cupo</t>
        </is>
      </c>
      <c r="K1516" t="inlineStr">
        <is>
          <t>Recoleccion al cierre: con el pronostico, el saldo cerraria en 173.959.950 COP, sobre el cupo de 25.002.000. Se recoge el excedente y el saldo queda en 25.002.000 COP. Equipo administrado por TDV.</t>
        </is>
      </c>
      <c r="L1516" s="26" t="n">
        <v>25002000</v>
      </c>
      <c r="M1516" s="26" t="n">
        <v>173959950</v>
      </c>
      <c r="N1516" s="27">
        <f>IF(ISNUMBER(M1516),M1516/L1516,"No aplica")</f>
        <v>6.957841372690185</v>
      </c>
      <c r="O1516" s="25">
        <f>IF(G1516="provision",M1516+H1516,IF(G1516="recoleccion",M1516-H1516,"No aplica"))</f>
        <v>25002000</v>
      </c>
      <c r="P1516" s="26" t="n">
        <v>158012</v>
      </c>
    </row>
    <row r="1517">
      <c r="A1517" t="inlineStr">
        <is>
          <t>PRAGMA</t>
        </is>
      </c>
      <c r="B1517" t="inlineStr">
        <is>
          <t>M2</t>
        </is>
      </c>
      <c r="C1517" t="inlineStr">
        <is>
          <t>Cali</t>
        </is>
      </c>
      <c r="D1517" t="inlineStr">
        <is>
          <t>2213</t>
        </is>
      </c>
      <c r="E1517" t="inlineStr">
        <is>
          <t>Sucursal</t>
        </is>
      </c>
      <c r="F1517" s="23" t="n">
        <v>46277</v>
      </c>
      <c r="G1517" t="inlineStr">
        <is>
          <t>recoleccion</t>
        </is>
      </c>
      <c r="H1517" s="26" t="n">
        <v>1372836</v>
      </c>
      <c r="I1517" t="inlineStr">
        <is>
          <t>bajo</t>
        </is>
      </c>
      <c r="J1517" t="inlineStr">
        <is>
          <t>RN-22 y RN-35: recoleccion al cierre de lo que pasa del cupo</t>
        </is>
      </c>
      <c r="K1517" t="inlineStr">
        <is>
          <t>Recoleccion al cierre: con el pronostico, el saldo cerraria en 136.722.836 COP, sobre el cupo de 135.350.000. Se recoge el excedente y el saldo queda en 135.350.000 COP. Equipo administrado por Sucursal. Sin tarifa TDV (administrado por la sucursal): costo 0 declarado.</t>
        </is>
      </c>
      <c r="L1517" s="26" t="n">
        <v>135350000</v>
      </c>
      <c r="M1517" s="26" t="n">
        <v>136722836</v>
      </c>
      <c r="N1517" s="27">
        <f>IF(ISNUMBER(M1517),M1517/L1517,"No aplica")</f>
        <v>1.0101428592537864</v>
      </c>
      <c r="O1517" s="25">
        <f>IF(G1517="provision",M1517+H1517,IF(G1517="recoleccion",M1517-H1517,"No aplica"))</f>
        <v>135350000</v>
      </c>
      <c r="P1517" s="26" t="n">
        <v>0</v>
      </c>
    </row>
    <row r="1518">
      <c r="A1518" t="inlineStr">
        <is>
          <t>PRAGMA</t>
        </is>
      </c>
      <c r="B1518" t="inlineStr">
        <is>
          <t>M2</t>
        </is>
      </c>
      <c r="C1518" t="inlineStr">
        <is>
          <t>Cali</t>
        </is>
      </c>
      <c r="D1518" t="inlineStr">
        <is>
          <t>2213</t>
        </is>
      </c>
      <c r="E1518" t="inlineStr">
        <is>
          <t>Sucursal</t>
        </is>
      </c>
      <c r="F1518" s="23" t="n">
        <v>46279</v>
      </c>
      <c r="G1518" t="inlineStr">
        <is>
          <t>recoleccion</t>
        </is>
      </c>
      <c r="H1518" s="26" t="n">
        <v>1378338</v>
      </c>
      <c r="I1518" t="inlineStr">
        <is>
          <t>bajo</t>
        </is>
      </c>
      <c r="J1518" t="inlineStr">
        <is>
          <t>RN-22 y RN-35: recoleccion al cierre de lo que pasa del cupo</t>
        </is>
      </c>
      <c r="K1518" t="inlineStr">
        <is>
          <t>Recoleccion al cierre: con el pronostico, el saldo cerraria en 136.728.338 COP, sobre el cupo de 135.350.000. Se recoge el excedente y el saldo queda en 135.350.000 COP. Equipo administrado por Sucursal. Sin tarifa TDV (administrado por la sucursal): costo 0 declarado.</t>
        </is>
      </c>
      <c r="L1518" s="26" t="n">
        <v>135350000</v>
      </c>
      <c r="M1518" s="26" t="n">
        <v>136728338</v>
      </c>
      <c r="N1518" s="27">
        <f>IF(ISNUMBER(M1518),M1518/L1518,"No aplica")</f>
        <v>1.0101835094200222</v>
      </c>
      <c r="O1518" s="25">
        <f>IF(G1518="provision",M1518+H1518,IF(G1518="recoleccion",M1518-H1518,"No aplica"))</f>
        <v>135350000</v>
      </c>
      <c r="P1518" s="26" t="n">
        <v>0</v>
      </c>
    </row>
    <row r="1519">
      <c r="A1519" t="inlineStr">
        <is>
          <t>PRAGMA</t>
        </is>
      </c>
      <c r="B1519" t="inlineStr">
        <is>
          <t>M2</t>
        </is>
      </c>
      <c r="C1519" t="inlineStr">
        <is>
          <t>Cali</t>
        </is>
      </c>
      <c r="D1519" t="inlineStr">
        <is>
          <t>3397</t>
        </is>
      </c>
      <c r="E1519" t="inlineStr">
        <is>
          <t>TDV</t>
        </is>
      </c>
      <c r="F1519" s="23" t="n">
        <v>46269</v>
      </c>
      <c r="G1519" t="inlineStr">
        <is>
          <t>recoleccion</t>
        </is>
      </c>
      <c r="H1519" s="26" t="n">
        <v>925900</v>
      </c>
      <c r="I1519" t="inlineStr">
        <is>
          <t>bajo</t>
        </is>
      </c>
      <c r="J1519" t="inlineStr">
        <is>
          <t>RN-22 y RN-35: recoleccion al cierre de lo que pasa del cupo</t>
        </is>
      </c>
      <c r="K1519" t="inlineStr">
        <is>
          <t>Recoleccion al cierre: con el pronostico, el saldo cerraria en 69.927.900 COP, sobre el cupo de 69.002.000. Se recoge el excedente y el saldo queda en 69.002.000 COP. Equipo administrado por TDV.</t>
        </is>
      </c>
      <c r="L1519" s="26" t="n">
        <v>69002000</v>
      </c>
      <c r="M1519" s="26" t="n">
        <v>69927900</v>
      </c>
      <c r="N1519" s="27">
        <f>IF(ISNUMBER(M1519),M1519/L1519,"No aplica")</f>
        <v>1.013418451639083</v>
      </c>
      <c r="O1519" s="25">
        <f>IF(G1519="provision",M1519+H1519,IF(G1519="recoleccion",M1519-H1519,"No aplica"))</f>
        <v>69002000</v>
      </c>
      <c r="P1519" s="26" t="n">
        <v>157715</v>
      </c>
    </row>
    <row r="1520">
      <c r="A1520" t="inlineStr">
        <is>
          <t>PRAGMA</t>
        </is>
      </c>
      <c r="B1520" t="inlineStr">
        <is>
          <t>M2</t>
        </is>
      </c>
      <c r="C1520" t="inlineStr">
        <is>
          <t>Cali</t>
        </is>
      </c>
      <c r="D1520" t="inlineStr">
        <is>
          <t>3397</t>
        </is>
      </c>
      <c r="E1520" t="inlineStr">
        <is>
          <t>TDV</t>
        </is>
      </c>
      <c r="F1520" s="23" t="n">
        <v>46270</v>
      </c>
      <c r="G1520" t="inlineStr">
        <is>
          <t>recoleccion</t>
        </is>
      </c>
      <c r="H1520" s="26" t="n">
        <v>12428177</v>
      </c>
      <c r="I1520" t="inlineStr">
        <is>
          <t>bajo</t>
        </is>
      </c>
      <c r="J1520" t="inlineStr">
        <is>
          <t>RN-22 y RN-35: recoleccion al cierre de lo que pasa del cupo</t>
        </is>
      </c>
      <c r="K1520" t="inlineStr">
        <is>
          <t>Recoleccion al cierre: con el pronostico, el saldo cerraria en 81.430.177 COP, sobre el cupo de 69.002.000. Se recoge el excedente y el saldo queda en 69.002.000 COP. Equipo administrado por TDV.</t>
        </is>
      </c>
      <c r="L1520" s="26" t="n">
        <v>69002000</v>
      </c>
      <c r="M1520" s="26" t="n">
        <v>81430177</v>
      </c>
      <c r="N1520" s="27">
        <f>IF(ISNUMBER(M1520),M1520/L1520,"No aplica")</f>
        <v>1.1801132865714037</v>
      </c>
      <c r="O1520" s="25">
        <f>IF(G1520="provision",M1520+H1520,IF(G1520="recoleccion",M1520-H1520,"No aplica"))</f>
        <v>69002000</v>
      </c>
      <c r="P1520" s="26" t="n">
        <v>157715</v>
      </c>
    </row>
    <row r="1521">
      <c r="A1521" t="inlineStr">
        <is>
          <t>PRAGMA</t>
        </is>
      </c>
      <c r="B1521" t="inlineStr">
        <is>
          <t>M2</t>
        </is>
      </c>
      <c r="C1521" t="inlineStr">
        <is>
          <t>Cali</t>
        </is>
      </c>
      <c r="D1521" t="inlineStr">
        <is>
          <t>3397</t>
        </is>
      </c>
      <c r="E1521" t="inlineStr">
        <is>
          <t>TDV</t>
        </is>
      </c>
      <c r="F1521" s="23" t="n">
        <v>46271</v>
      </c>
      <c r="G1521" t="inlineStr">
        <is>
          <t>recoleccion</t>
        </is>
      </c>
      <c r="H1521" s="26" t="n">
        <v>4771175</v>
      </c>
      <c r="I1521" t="inlineStr">
        <is>
          <t>bajo</t>
        </is>
      </c>
      <c r="J1521" t="inlineStr">
        <is>
          <t>RN-22 y RN-35: recoleccion al cierre de lo que pasa del cupo</t>
        </is>
      </c>
      <c r="K1521" t="inlineStr">
        <is>
          <t>Recoleccion al cierre: con el pronostico, el saldo cerraria en 73.773.175 COP, sobre el cupo de 69.002.000. Se recoge el excedente y el saldo queda en 69.002.000 COP. Equipo administrado por TDV.</t>
        </is>
      </c>
      <c r="L1521" s="26" t="n">
        <v>69002000</v>
      </c>
      <c r="M1521" s="26" t="n">
        <v>73773175</v>
      </c>
      <c r="N1521" s="27">
        <f>IF(ISNUMBER(M1521),M1521/L1521,"No aplica")</f>
        <v>1.069145459551897</v>
      </c>
      <c r="O1521" s="25">
        <f>IF(G1521="provision",M1521+H1521,IF(G1521="recoleccion",M1521-H1521,"No aplica"))</f>
        <v>69002000</v>
      </c>
      <c r="P1521" s="26" t="n">
        <v>215854</v>
      </c>
    </row>
    <row r="1522">
      <c r="A1522" t="inlineStr">
        <is>
          <t>PRAGMA</t>
        </is>
      </c>
      <c r="B1522" t="inlineStr">
        <is>
          <t>M2</t>
        </is>
      </c>
      <c r="C1522" t="inlineStr">
        <is>
          <t>Cali</t>
        </is>
      </c>
      <c r="D1522" t="inlineStr">
        <is>
          <t>3397</t>
        </is>
      </c>
      <c r="E1522" t="inlineStr">
        <is>
          <t>TDV</t>
        </is>
      </c>
      <c r="F1522" s="23" t="n">
        <v>46272</v>
      </c>
      <c r="G1522" t="inlineStr">
        <is>
          <t>recoleccion</t>
        </is>
      </c>
      <c r="H1522" s="26" t="n">
        <v>22682410</v>
      </c>
      <c r="I1522" t="inlineStr">
        <is>
          <t>bajo</t>
        </is>
      </c>
      <c r="J1522" t="inlineStr">
        <is>
          <t>RN-22 y RN-35: recoleccion al cierre de lo que pasa del cupo</t>
        </is>
      </c>
      <c r="K1522" t="inlineStr">
        <is>
          <t>Recoleccion al cierre: con el pronostico, el saldo cerraria en 91.684.410 COP, sobre el cupo de 69.002.000. Se recoge el excedente y el saldo queda en 69.002.000 COP. Equipo administrado por TDV.</t>
        </is>
      </c>
      <c r="L1522" s="26" t="n">
        <v>69002000</v>
      </c>
      <c r="M1522" s="26" t="n">
        <v>91684410</v>
      </c>
      <c r="N1522" s="27">
        <f>IF(ISNUMBER(M1522),M1522/L1522,"No aplica")</f>
        <v>1.3287210515637229</v>
      </c>
      <c r="O1522" s="25">
        <f>IF(G1522="provision",M1522+H1522,IF(G1522="recoleccion",M1522-H1522,"No aplica"))</f>
        <v>69002000</v>
      </c>
      <c r="P1522" s="26" t="n">
        <v>157715</v>
      </c>
    </row>
    <row r="1523">
      <c r="A1523" t="inlineStr">
        <is>
          <t>PRAGMA</t>
        </is>
      </c>
      <c r="B1523" t="inlineStr">
        <is>
          <t>M2</t>
        </is>
      </c>
      <c r="C1523" t="inlineStr">
        <is>
          <t>Cali</t>
        </is>
      </c>
      <c r="D1523" t="inlineStr">
        <is>
          <t>3397</t>
        </is>
      </c>
      <c r="E1523" t="inlineStr">
        <is>
          <t>TDV</t>
        </is>
      </c>
      <c r="F1523" s="23" t="n">
        <v>46273</v>
      </c>
      <c r="G1523" t="inlineStr">
        <is>
          <t>recoleccion</t>
        </is>
      </c>
      <c r="H1523" s="26" t="n">
        <v>14725821</v>
      </c>
      <c r="I1523" t="inlineStr">
        <is>
          <t>bajo</t>
        </is>
      </c>
      <c r="J1523" t="inlineStr">
        <is>
          <t>RN-22 y RN-35: recoleccion al cierre de lo que pasa del cupo</t>
        </is>
      </c>
      <c r="K1523" t="inlineStr">
        <is>
          <t>Recoleccion al cierre: con el pronostico, el saldo cerraria en 83.727.821 COP, sobre el cupo de 69.002.000. Se recoge el excedente y el saldo queda en 69.002.000 COP. Equipo administrado por TDV.</t>
        </is>
      </c>
      <c r="L1523" s="26" t="n">
        <v>69002000</v>
      </c>
      <c r="M1523" s="26" t="n">
        <v>83727821</v>
      </c>
      <c r="N1523" s="27">
        <f>IF(ISNUMBER(M1523),M1523/L1523,"No aplica")</f>
        <v>1.2134115098113099</v>
      </c>
      <c r="O1523" s="25">
        <f>IF(G1523="provision",M1523+H1523,IF(G1523="recoleccion",M1523-H1523,"No aplica"))</f>
        <v>69002000</v>
      </c>
      <c r="P1523" s="26" t="n">
        <v>157715</v>
      </c>
    </row>
    <row r="1524">
      <c r="A1524" t="inlineStr">
        <is>
          <t>PRAGMA</t>
        </is>
      </c>
      <c r="B1524" t="inlineStr">
        <is>
          <t>M2</t>
        </is>
      </c>
      <c r="C1524" t="inlineStr">
        <is>
          <t>Cali</t>
        </is>
      </c>
      <c r="D1524" t="inlineStr">
        <is>
          <t>3397</t>
        </is>
      </c>
      <c r="E1524" t="inlineStr">
        <is>
          <t>TDV</t>
        </is>
      </c>
      <c r="F1524" s="23" t="n">
        <v>46274</v>
      </c>
      <c r="G1524" t="inlineStr">
        <is>
          <t>recoleccion</t>
        </is>
      </c>
      <c r="H1524" s="26" t="n">
        <v>9557569</v>
      </c>
      <c r="I1524" t="inlineStr">
        <is>
          <t>bajo</t>
        </is>
      </c>
      <c r="J1524" t="inlineStr">
        <is>
          <t>RN-22 y RN-35: recoleccion al cierre de lo que pasa del cupo</t>
        </is>
      </c>
      <c r="K1524" t="inlineStr">
        <is>
          <t>Recoleccion al cierre: con el pronostico, el saldo cerraria en 78.559.569 COP, sobre el cupo de 69.002.000. Se recoge el excedente y el saldo queda en 69.002.000 COP. Equipo administrado por TDV.</t>
        </is>
      </c>
      <c r="L1524" s="26" t="n">
        <v>69002000</v>
      </c>
      <c r="M1524" s="26" t="n">
        <v>78559569</v>
      </c>
      <c r="N1524" s="27">
        <f>IF(ISNUMBER(M1524),M1524/L1524,"No aplica")</f>
        <v>1.138511477928176</v>
      </c>
      <c r="O1524" s="25">
        <f>IF(G1524="provision",M1524+H1524,IF(G1524="recoleccion",M1524-H1524,"No aplica"))</f>
        <v>69002000</v>
      </c>
      <c r="P1524" s="26" t="n">
        <v>157715</v>
      </c>
    </row>
    <row r="1525">
      <c r="A1525" t="inlineStr">
        <is>
          <t>PRAGMA</t>
        </is>
      </c>
      <c r="B1525" t="inlineStr">
        <is>
          <t>M2</t>
        </is>
      </c>
      <c r="C1525" t="inlineStr">
        <is>
          <t>Cali</t>
        </is>
      </c>
      <c r="D1525" t="inlineStr">
        <is>
          <t>3397</t>
        </is>
      </c>
      <c r="E1525" t="inlineStr">
        <is>
          <t>TDV</t>
        </is>
      </c>
      <c r="F1525" s="23" t="n">
        <v>46275</v>
      </c>
      <c r="G1525" t="inlineStr">
        <is>
          <t>recoleccion</t>
        </is>
      </c>
      <c r="H1525" s="26" t="n">
        <v>9163857</v>
      </c>
      <c r="I1525" t="inlineStr">
        <is>
          <t>bajo</t>
        </is>
      </c>
      <c r="J1525" t="inlineStr">
        <is>
          <t>RN-22 y RN-35: recoleccion al cierre de lo que pasa del cupo</t>
        </is>
      </c>
      <c r="K1525" t="inlineStr">
        <is>
          <t>Recoleccion al cierre: con el pronostico, el saldo cerraria en 78.165.857 COP, sobre el cupo de 69.002.000. Se recoge el excedente y el saldo queda en 69.002.000 COP. Equipo administrado por TDV.</t>
        </is>
      </c>
      <c r="L1525" s="26" t="n">
        <v>69002000</v>
      </c>
      <c r="M1525" s="26" t="n">
        <v>78165857</v>
      </c>
      <c r="N1525" s="27">
        <f>IF(ISNUMBER(M1525),M1525/L1525,"No aplica")</f>
        <v>1.1328056722993536</v>
      </c>
      <c r="O1525" s="25">
        <f>IF(G1525="provision",M1525+H1525,IF(G1525="recoleccion",M1525-H1525,"No aplica"))</f>
        <v>69002000</v>
      </c>
      <c r="P1525" s="26" t="n">
        <v>157715</v>
      </c>
    </row>
    <row r="1526">
      <c r="A1526" t="inlineStr">
        <is>
          <t>PRAGMA</t>
        </is>
      </c>
      <c r="B1526" t="inlineStr">
        <is>
          <t>M2</t>
        </is>
      </c>
      <c r="C1526" t="inlineStr">
        <is>
          <t>Cali</t>
        </is>
      </c>
      <c r="D1526" t="inlineStr">
        <is>
          <t>3397</t>
        </is>
      </c>
      <c r="E1526" t="inlineStr">
        <is>
          <t>TDV</t>
        </is>
      </c>
      <c r="F1526" s="23" t="n">
        <v>46276</v>
      </c>
      <c r="G1526" t="inlineStr">
        <is>
          <t>recoleccion</t>
        </is>
      </c>
      <c r="H1526" s="26" t="n">
        <v>8805590</v>
      </c>
      <c r="I1526" t="inlineStr">
        <is>
          <t>bajo</t>
        </is>
      </c>
      <c r="J1526" t="inlineStr">
        <is>
          <t>RN-22 y RN-35: recoleccion al cierre de lo que pasa del cupo</t>
        </is>
      </c>
      <c r="K1526" t="inlineStr">
        <is>
          <t>Recoleccion al cierre: con el pronostico, el saldo cerraria en 77.807.590 COP, sobre el cupo de 69.002.000. Se recoge el excedente y el saldo queda en 69.002.000 COP. Equipo administrado por TDV.</t>
        </is>
      </c>
      <c r="L1526" s="26" t="n">
        <v>69002000</v>
      </c>
      <c r="M1526" s="26" t="n">
        <v>77807590</v>
      </c>
      <c r="N1526" s="27">
        <f>IF(ISNUMBER(M1526),M1526/L1526,"No aplica")</f>
        <v>1.1276135474334077</v>
      </c>
      <c r="O1526" s="25">
        <f>IF(G1526="provision",M1526+H1526,IF(G1526="recoleccion",M1526-H1526,"No aplica"))</f>
        <v>69002000</v>
      </c>
      <c r="P1526" s="26" t="n">
        <v>157715</v>
      </c>
    </row>
    <row r="1527">
      <c r="A1527" t="inlineStr">
        <is>
          <t>PRAGMA</t>
        </is>
      </c>
      <c r="B1527" t="inlineStr">
        <is>
          <t>M2</t>
        </is>
      </c>
      <c r="C1527" t="inlineStr">
        <is>
          <t>Cali</t>
        </is>
      </c>
      <c r="D1527" t="inlineStr">
        <is>
          <t>3397</t>
        </is>
      </c>
      <c r="E1527" t="inlineStr">
        <is>
          <t>TDV</t>
        </is>
      </c>
      <c r="F1527" s="23" t="n">
        <v>46277</v>
      </c>
      <c r="G1527" t="inlineStr">
        <is>
          <t>recoleccion</t>
        </is>
      </c>
      <c r="H1527" s="26" t="n">
        <v>5958271</v>
      </c>
      <c r="I1527" t="inlineStr">
        <is>
          <t>bajo</t>
        </is>
      </c>
      <c r="J1527" t="inlineStr">
        <is>
          <t>RN-22 y RN-35: recoleccion al cierre de lo que pasa del cupo</t>
        </is>
      </c>
      <c r="K1527" t="inlineStr">
        <is>
          <t>Recoleccion al cierre: con el pronostico, el saldo cerraria en 74.960.271 COP, sobre el cupo de 69.002.000. Se recoge el excedente y el saldo queda en 69.002.000 COP. Equipo administrado por TDV.</t>
        </is>
      </c>
      <c r="L1527" s="26" t="n">
        <v>69002000</v>
      </c>
      <c r="M1527" s="26" t="n">
        <v>74960271</v>
      </c>
      <c r="N1527" s="27">
        <f>IF(ISNUMBER(M1527),M1527/L1527,"No aplica")</f>
        <v>1.0863492507463552</v>
      </c>
      <c r="O1527" s="25">
        <f>IF(G1527="provision",M1527+H1527,IF(G1527="recoleccion",M1527-H1527,"No aplica"))</f>
        <v>69002000</v>
      </c>
      <c r="P1527" s="26" t="n">
        <v>157715</v>
      </c>
    </row>
    <row r="1528">
      <c r="A1528" t="inlineStr">
        <is>
          <t>PRAGMA</t>
        </is>
      </c>
      <c r="B1528" t="inlineStr">
        <is>
          <t>M2</t>
        </is>
      </c>
      <c r="C1528" t="inlineStr">
        <is>
          <t>Cali</t>
        </is>
      </c>
      <c r="D1528" t="inlineStr">
        <is>
          <t>3397</t>
        </is>
      </c>
      <c r="E1528" t="inlineStr">
        <is>
          <t>TDV</t>
        </is>
      </c>
      <c r="F1528" s="23" t="n">
        <v>46278</v>
      </c>
      <c r="G1528" t="inlineStr">
        <is>
          <t>recoleccion</t>
        </is>
      </c>
      <c r="H1528" s="26" t="n">
        <v>3624374</v>
      </c>
      <c r="I1528" t="inlineStr">
        <is>
          <t>bajo</t>
        </is>
      </c>
      <c r="J1528" t="inlineStr">
        <is>
          <t>RN-22 y RN-35: recoleccion al cierre de lo que pasa del cupo</t>
        </is>
      </c>
      <c r="K1528" t="inlineStr">
        <is>
          <t>Recoleccion al cierre: con el pronostico, el saldo cerraria en 72.626.374 COP, sobre el cupo de 69.002.000. Se recoge el excedente y el saldo queda en 69.002.000 COP. Equipo administrado por TDV.</t>
        </is>
      </c>
      <c r="L1528" s="26" t="n">
        <v>69002000</v>
      </c>
      <c r="M1528" s="26" t="n">
        <v>72626374</v>
      </c>
      <c r="N1528" s="27">
        <f>IF(ISNUMBER(M1528),M1528/L1528,"No aplica")</f>
        <v>1.0525256369380598</v>
      </c>
      <c r="O1528" s="25">
        <f>IF(G1528="provision",M1528+H1528,IF(G1528="recoleccion",M1528-H1528,"No aplica"))</f>
        <v>69002000</v>
      </c>
      <c r="P1528" s="26" t="n">
        <v>215854</v>
      </c>
    </row>
    <row r="1529">
      <c r="A1529" t="inlineStr">
        <is>
          <t>PRAGMA</t>
        </is>
      </c>
      <c r="B1529" t="inlineStr">
        <is>
          <t>M2</t>
        </is>
      </c>
      <c r="C1529" t="inlineStr">
        <is>
          <t>Cali</t>
        </is>
      </c>
      <c r="D1529" t="inlineStr">
        <is>
          <t>3397</t>
        </is>
      </c>
      <c r="E1529" t="inlineStr">
        <is>
          <t>TDV</t>
        </is>
      </c>
      <c r="F1529" s="23" t="n">
        <v>46279</v>
      </c>
      <c r="G1529" t="inlineStr">
        <is>
          <t>recoleccion</t>
        </is>
      </c>
      <c r="H1529" s="26" t="n">
        <v>17291329</v>
      </c>
      <c r="I1529" t="inlineStr">
        <is>
          <t>bajo</t>
        </is>
      </c>
      <c r="J1529" t="inlineStr">
        <is>
          <t>RN-22 y RN-35: recoleccion al cierre de lo que pasa del cupo</t>
        </is>
      </c>
      <c r="K1529" t="inlineStr">
        <is>
          <t>Recoleccion al cierre: con el pronostico, el saldo cerraria en 86.293.329 COP, sobre el cupo de 69.002.000. Se recoge el excedente y el saldo queda en 69.002.000 COP. Equipo administrado por TDV.</t>
        </is>
      </c>
      <c r="L1529" s="26" t="n">
        <v>69002000</v>
      </c>
      <c r="M1529" s="26" t="n">
        <v>86293329</v>
      </c>
      <c r="N1529" s="27">
        <f>IF(ISNUMBER(M1529),M1529/L1529,"No aplica")</f>
        <v>1.2505917074867394</v>
      </c>
      <c r="O1529" s="25">
        <f>IF(G1529="provision",M1529+H1529,IF(G1529="recoleccion",M1529-H1529,"No aplica"))</f>
        <v>69002000</v>
      </c>
      <c r="P1529" s="26" t="n">
        <v>157715</v>
      </c>
    </row>
    <row r="1530">
      <c r="A1530" t="inlineStr">
        <is>
          <t>PRAGMA</t>
        </is>
      </c>
      <c r="B1530" t="inlineStr">
        <is>
          <t>M2</t>
        </is>
      </c>
      <c r="C1530" t="inlineStr">
        <is>
          <t>Cali</t>
        </is>
      </c>
      <c r="D1530" t="inlineStr">
        <is>
          <t>3397</t>
        </is>
      </c>
      <c r="E1530" t="inlineStr">
        <is>
          <t>TDV</t>
        </is>
      </c>
      <c r="F1530" s="23" t="n">
        <v>46280</v>
      </c>
      <c r="G1530" t="inlineStr">
        <is>
          <t>recoleccion</t>
        </is>
      </c>
      <c r="H1530" s="26" t="n">
        <v>3016666</v>
      </c>
      <c r="I1530" t="inlineStr">
        <is>
          <t>bajo</t>
        </is>
      </c>
      <c r="J1530" t="inlineStr">
        <is>
          <t>RN-22 y RN-35: recoleccion al cierre de lo que pasa del cupo</t>
        </is>
      </c>
      <c r="K1530" t="inlineStr">
        <is>
          <t>Recoleccion al cierre: con el pronostico, el saldo cerraria en 72.018.666 COP, sobre el cupo de 69.002.000. Se recoge el excedente y el saldo queda en 69.002.000 COP. Equipo administrado por TDV.</t>
        </is>
      </c>
      <c r="L1530" s="26" t="n">
        <v>69002000</v>
      </c>
      <c r="M1530" s="26" t="n">
        <v>72018666</v>
      </c>
      <c r="N1530" s="27">
        <f>IF(ISNUMBER(M1530),M1530/L1530,"No aplica")</f>
        <v>1.043718529897684</v>
      </c>
      <c r="O1530" s="25">
        <f>IF(G1530="provision",M1530+H1530,IF(G1530="recoleccion",M1530-H1530,"No aplica"))</f>
        <v>69002000</v>
      </c>
      <c r="P1530" s="26" t="n">
        <v>157715</v>
      </c>
    </row>
    <row r="1531">
      <c r="A1531" t="inlineStr">
        <is>
          <t>PRAGMA</t>
        </is>
      </c>
      <c r="B1531" t="inlineStr">
        <is>
          <t>M2</t>
        </is>
      </c>
      <c r="C1531" t="inlineStr">
        <is>
          <t>Pasto</t>
        </is>
      </c>
      <c r="D1531" t="inlineStr">
        <is>
          <t>3934</t>
        </is>
      </c>
      <c r="E1531" t="inlineStr">
        <is>
          <t>TDV</t>
        </is>
      </c>
      <c r="F1531" s="23" t="n">
        <v>46266</v>
      </c>
      <c r="G1531" t="inlineStr">
        <is>
          <t>recoleccion</t>
        </is>
      </c>
      <c r="H1531" s="26" t="n">
        <v>63849487</v>
      </c>
      <c r="I1531" t="inlineStr">
        <is>
          <t>bajo</t>
        </is>
      </c>
      <c r="J1531" t="inlineStr">
        <is>
          <t>RN-22 y RN-35: recoleccion al cierre de lo que pasa del cupo</t>
        </is>
      </c>
      <c r="K1531" t="inlineStr">
        <is>
          <t>Recoleccion al cierre: con el pronostico, el saldo cerraria en 88.851.487 COP, sobre el cupo de 25.002.000. Se recoge el excedente y el saldo queda en 25.002.000 COP. Equipo administrado por TDV.</t>
        </is>
      </c>
      <c r="L1531" s="26" t="n">
        <v>25002000</v>
      </c>
      <c r="M1531" s="26" t="n">
        <v>88851487</v>
      </c>
      <c r="N1531" s="27">
        <f>IF(ISNUMBER(M1531),M1531/L1531,"No aplica")</f>
        <v>3.553775177985761</v>
      </c>
      <c r="O1531" s="25">
        <f>IF(G1531="provision",M1531+H1531,IF(G1531="recoleccion",M1531-H1531,"No aplica"))</f>
        <v>25002000</v>
      </c>
      <c r="P1531" s="26" t="n">
        <v>158307</v>
      </c>
    </row>
    <row r="1532">
      <c r="A1532" t="inlineStr">
        <is>
          <t>PRAGMA</t>
        </is>
      </c>
      <c r="B1532" t="inlineStr">
        <is>
          <t>M2</t>
        </is>
      </c>
      <c r="C1532" t="inlineStr">
        <is>
          <t>Pasto</t>
        </is>
      </c>
      <c r="D1532" t="inlineStr">
        <is>
          <t>3934</t>
        </is>
      </c>
      <c r="E1532" t="inlineStr">
        <is>
          <t>TDV</t>
        </is>
      </c>
      <c r="F1532" s="23" t="n">
        <v>46267</v>
      </c>
      <c r="G1532" t="inlineStr">
        <is>
          <t>recoleccion</t>
        </is>
      </c>
      <c r="H1532" s="26" t="n">
        <v>66161681</v>
      </c>
      <c r="I1532" t="inlineStr">
        <is>
          <t>bajo</t>
        </is>
      </c>
      <c r="J1532" t="inlineStr">
        <is>
          <t>RN-22 y RN-35: recoleccion al cierre de lo que pasa del cupo</t>
        </is>
      </c>
      <c r="K1532" t="inlineStr">
        <is>
          <t>Recoleccion al cierre: con el pronostico, el saldo cerraria en 91.163.681 COP, sobre el cupo de 25.002.000. Se recoge el excedente y el saldo queda en 25.002.000 COP. Equipo administrado por TDV.</t>
        </is>
      </c>
      <c r="L1532" s="26" t="n">
        <v>25002000</v>
      </c>
      <c r="M1532" s="26" t="n">
        <v>91163681</v>
      </c>
      <c r="N1532" s="27">
        <f>IF(ISNUMBER(M1532),M1532/L1532,"No aplica")</f>
        <v>3.6462555395568352</v>
      </c>
      <c r="O1532" s="25">
        <f>IF(G1532="provision",M1532+H1532,IF(G1532="recoleccion",M1532-H1532,"No aplica"))</f>
        <v>25002000</v>
      </c>
      <c r="P1532" s="26" t="n">
        <v>158307</v>
      </c>
    </row>
    <row r="1533">
      <c r="A1533" t="inlineStr">
        <is>
          <t>PRAGMA</t>
        </is>
      </c>
      <c r="B1533" t="inlineStr">
        <is>
          <t>M2</t>
        </is>
      </c>
      <c r="C1533" t="inlineStr">
        <is>
          <t>Pasto</t>
        </is>
      </c>
      <c r="D1533" t="inlineStr">
        <is>
          <t>3934</t>
        </is>
      </c>
      <c r="E1533" t="inlineStr">
        <is>
          <t>TDV</t>
        </is>
      </c>
      <c r="F1533" s="23" t="n">
        <v>46268</v>
      </c>
      <c r="G1533" t="inlineStr">
        <is>
          <t>recoleccion</t>
        </is>
      </c>
      <c r="H1533" s="26" t="n">
        <v>71187046</v>
      </c>
      <c r="I1533" t="inlineStr">
        <is>
          <t>bajo</t>
        </is>
      </c>
      <c r="J1533" t="inlineStr">
        <is>
          <t>RN-22 y RN-35: recoleccion al cierre de lo que pasa del cupo</t>
        </is>
      </c>
      <c r="K1533" t="inlineStr">
        <is>
          <t>Recoleccion al cierre: con el pronostico, el saldo cerraria en 96.189.046 COP, sobre el cupo de 25.002.000. Se recoge el excedente y el saldo queda en 25.002.000 COP. Equipo administrado por TDV.</t>
        </is>
      </c>
      <c r="L1533" s="26" t="n">
        <v>25002000</v>
      </c>
      <c r="M1533" s="26" t="n">
        <v>96189046</v>
      </c>
      <c r="N1533" s="27">
        <f>IF(ISNUMBER(M1533),M1533/L1533,"No aplica")</f>
        <v>3.847254059675226</v>
      </c>
      <c r="O1533" s="25">
        <f>IF(G1533="provision",M1533+H1533,IF(G1533="recoleccion",M1533-H1533,"No aplica"))</f>
        <v>25002000</v>
      </c>
      <c r="P1533" s="26" t="n">
        <v>158307</v>
      </c>
    </row>
    <row r="1534">
      <c r="A1534" t="inlineStr">
        <is>
          <t>PRAGMA</t>
        </is>
      </c>
      <c r="B1534" t="inlineStr">
        <is>
          <t>M2</t>
        </is>
      </c>
      <c r="C1534" t="inlineStr">
        <is>
          <t>Pasto</t>
        </is>
      </c>
      <c r="D1534" t="inlineStr">
        <is>
          <t>3934</t>
        </is>
      </c>
      <c r="E1534" t="inlineStr">
        <is>
          <t>TDV</t>
        </is>
      </c>
      <c r="F1534" s="23" t="n">
        <v>46269</v>
      </c>
      <c r="G1534" t="inlineStr">
        <is>
          <t>recoleccion</t>
        </is>
      </c>
      <c r="H1534" s="26" t="n">
        <v>76404404</v>
      </c>
      <c r="I1534" t="inlineStr">
        <is>
          <t>bajo</t>
        </is>
      </c>
      <c r="J1534" t="inlineStr">
        <is>
          <t>RN-22 y RN-35: recoleccion al cierre de lo que pasa del cupo</t>
        </is>
      </c>
      <c r="K1534" t="inlineStr">
        <is>
          <t>Recoleccion al cierre: con el pronostico, el saldo cerraria en 101.406.404 COP, sobre el cupo de 25.002.000. Se recoge el excedente y el saldo queda en 25.002.000 COP. Equipo administrado por TDV.</t>
        </is>
      </c>
      <c r="L1534" s="26" t="n">
        <v>25002000</v>
      </c>
      <c r="M1534" s="26" t="n">
        <v>101406404</v>
      </c>
      <c r="N1534" s="27">
        <f>IF(ISNUMBER(M1534),M1534/L1534,"No aplica")</f>
        <v>4.055931685465163</v>
      </c>
      <c r="O1534" s="25">
        <f>IF(G1534="provision",M1534+H1534,IF(G1534="recoleccion",M1534-H1534,"No aplica"))</f>
        <v>25002000</v>
      </c>
      <c r="P1534" s="26" t="n">
        <v>158307</v>
      </c>
    </row>
    <row r="1535">
      <c r="A1535" t="inlineStr">
        <is>
          <t>PRAGMA</t>
        </is>
      </c>
      <c r="B1535" t="inlineStr">
        <is>
          <t>M2</t>
        </is>
      </c>
      <c r="C1535" t="inlineStr">
        <is>
          <t>Pasto</t>
        </is>
      </c>
      <c r="D1535" t="inlineStr">
        <is>
          <t>3934</t>
        </is>
      </c>
      <c r="E1535" t="inlineStr">
        <is>
          <t>TDV</t>
        </is>
      </c>
      <c r="F1535" s="23" t="n">
        <v>46270</v>
      </c>
      <c r="G1535" t="inlineStr">
        <is>
          <t>recoleccion</t>
        </is>
      </c>
      <c r="H1535" s="26" t="n">
        <v>78194913</v>
      </c>
      <c r="I1535" t="inlineStr">
        <is>
          <t>bajo</t>
        </is>
      </c>
      <c r="J1535" t="inlineStr">
        <is>
          <t>RN-22 y RN-35: recoleccion al cierre de lo que pasa del cupo</t>
        </is>
      </c>
      <c r="K1535" t="inlineStr">
        <is>
          <t>Recoleccion al cierre: con el pronostico, el saldo cerraria en 103.196.913 COP, sobre el cupo de 25.002.000. Se recoge el excedente y el saldo queda en 25.002.000 COP. Equipo administrado por TDV.</t>
        </is>
      </c>
      <c r="L1535" s="26" t="n">
        <v>25002000</v>
      </c>
      <c r="M1535" s="26" t="n">
        <v>103196913</v>
      </c>
      <c r="N1535" s="27">
        <f>IF(ISNUMBER(M1535),M1535/L1535,"No aplica")</f>
        <v>4.127546316294697</v>
      </c>
      <c r="O1535" s="25">
        <f>IF(G1535="provision",M1535+H1535,IF(G1535="recoleccion",M1535-H1535,"No aplica"))</f>
        <v>25002000</v>
      </c>
      <c r="P1535" s="26" t="n">
        <v>158307</v>
      </c>
    </row>
    <row r="1536">
      <c r="A1536" t="inlineStr">
        <is>
          <t>PRAGMA</t>
        </is>
      </c>
      <c r="B1536" t="inlineStr">
        <is>
          <t>M2</t>
        </is>
      </c>
      <c r="C1536" t="inlineStr">
        <is>
          <t>Pasto</t>
        </is>
      </c>
      <c r="D1536" t="inlineStr">
        <is>
          <t>3934</t>
        </is>
      </c>
      <c r="E1536" t="inlineStr">
        <is>
          <t>TDV</t>
        </is>
      </c>
      <c r="F1536" s="23" t="n">
        <v>46271</v>
      </c>
      <c r="G1536" t="inlineStr">
        <is>
          <t>recoleccion</t>
        </is>
      </c>
      <c r="H1536" s="26" t="n">
        <v>38125189</v>
      </c>
      <c r="I1536" t="inlineStr">
        <is>
          <t>bajo</t>
        </is>
      </c>
      <c r="J1536" t="inlineStr">
        <is>
          <t>RN-22 y RN-35: recoleccion al cierre de lo que pasa del cupo</t>
        </is>
      </c>
      <c r="K1536" t="inlineStr">
        <is>
          <t>Recoleccion al cierre: con el pronostico, el saldo cerraria en 63.127.189 COP, sobre el cupo de 25.002.000. Se recoge el excedente y el saldo queda en 25.002.000 COP. Equipo administrado por TDV.</t>
        </is>
      </c>
      <c r="L1536" s="26" t="n">
        <v>25002000</v>
      </c>
      <c r="M1536" s="26" t="n">
        <v>63127189</v>
      </c>
      <c r="N1536" s="27">
        <f>IF(ISNUMBER(M1536),M1536/L1536,"No aplica")</f>
        <v>2.524885569154468</v>
      </c>
      <c r="O1536" s="25">
        <f>IF(G1536="provision",M1536+H1536,IF(G1536="recoleccion",M1536-H1536,"No aplica"))</f>
        <v>25002000</v>
      </c>
      <c r="P1536" s="26" t="n">
        <v>195500</v>
      </c>
    </row>
    <row r="1537">
      <c r="A1537" t="inlineStr">
        <is>
          <t>PRAGMA</t>
        </is>
      </c>
      <c r="B1537" t="inlineStr">
        <is>
          <t>M2</t>
        </is>
      </c>
      <c r="C1537" t="inlineStr">
        <is>
          <t>Pasto</t>
        </is>
      </c>
      <c r="D1537" t="inlineStr">
        <is>
          <t>3934</t>
        </is>
      </c>
      <c r="E1537" t="inlineStr">
        <is>
          <t>TDV</t>
        </is>
      </c>
      <c r="F1537" s="23" t="n">
        <v>46272</v>
      </c>
      <c r="G1537" t="inlineStr">
        <is>
          <t>recoleccion</t>
        </is>
      </c>
      <c r="H1537" s="26" t="n">
        <v>84784017</v>
      </c>
      <c r="I1537" t="inlineStr">
        <is>
          <t>bajo</t>
        </is>
      </c>
      <c r="J1537" t="inlineStr">
        <is>
          <t>RN-22 y RN-35: recoleccion al cierre de lo que pasa del cupo</t>
        </is>
      </c>
      <c r="K1537" t="inlineStr">
        <is>
          <t>Recoleccion al cierre: con el pronostico, el saldo cerraria en 109.786.017 COP, sobre el cupo de 25.002.000. Se recoge el excedente y el saldo queda en 25.002.000 COP. Equipo administrado por TDV.</t>
        </is>
      </c>
      <c r="L1537" s="26" t="n">
        <v>25002000</v>
      </c>
      <c r="M1537" s="26" t="n">
        <v>109786017</v>
      </c>
      <c r="N1537" s="27">
        <f>IF(ISNUMBER(M1537),M1537/L1537,"No aplica")</f>
        <v>4.391089392848572</v>
      </c>
      <c r="O1537" s="25">
        <f>IF(G1537="provision",M1537+H1537,IF(G1537="recoleccion",M1537-H1537,"No aplica"))</f>
        <v>25002000</v>
      </c>
      <c r="P1537" s="26" t="n">
        <v>158307</v>
      </c>
    </row>
    <row r="1538">
      <c r="A1538" t="inlineStr">
        <is>
          <t>PRAGMA</t>
        </is>
      </c>
      <c r="B1538" t="inlineStr">
        <is>
          <t>M2</t>
        </is>
      </c>
      <c r="C1538" t="inlineStr">
        <is>
          <t>Pasto</t>
        </is>
      </c>
      <c r="D1538" t="inlineStr">
        <is>
          <t>3934</t>
        </is>
      </c>
      <c r="E1538" t="inlineStr">
        <is>
          <t>TDV</t>
        </is>
      </c>
      <c r="F1538" s="23" t="n">
        <v>46273</v>
      </c>
      <c r="G1538" t="inlineStr">
        <is>
          <t>recoleccion</t>
        </is>
      </c>
      <c r="H1538" s="26" t="n">
        <v>71956432</v>
      </c>
      <c r="I1538" t="inlineStr">
        <is>
          <t>bajo</t>
        </is>
      </c>
      <c r="J1538" t="inlineStr">
        <is>
          <t>RN-22 y RN-35: recoleccion al cierre de lo que pasa del cupo</t>
        </is>
      </c>
      <c r="K1538" t="inlineStr">
        <is>
          <t>Recoleccion al cierre: con el pronostico, el saldo cerraria en 96.958.432 COP, sobre el cupo de 25.002.000. Se recoge el excedente y el saldo queda en 25.002.000 COP. Equipo administrado por TDV.</t>
        </is>
      </c>
      <c r="L1538" s="26" t="n">
        <v>25002000</v>
      </c>
      <c r="M1538" s="26" t="n">
        <v>96958432</v>
      </c>
      <c r="N1538" s="27">
        <f>IF(ISNUMBER(M1538),M1538/L1538,"No aplica")</f>
        <v>3.878027037836973</v>
      </c>
      <c r="O1538" s="25">
        <f>IF(G1538="provision",M1538+H1538,IF(G1538="recoleccion",M1538-H1538,"No aplica"))</f>
        <v>25002000</v>
      </c>
      <c r="P1538" s="26" t="n">
        <v>158307</v>
      </c>
    </row>
    <row r="1539">
      <c r="A1539" t="inlineStr">
        <is>
          <t>PRAGMA</t>
        </is>
      </c>
      <c r="B1539" t="inlineStr">
        <is>
          <t>M2</t>
        </is>
      </c>
      <c r="C1539" t="inlineStr">
        <is>
          <t>Pasto</t>
        </is>
      </c>
      <c r="D1539" t="inlineStr">
        <is>
          <t>3934</t>
        </is>
      </c>
      <c r="E1539" t="inlineStr">
        <is>
          <t>TDV</t>
        </is>
      </c>
      <c r="F1539" s="23" t="n">
        <v>46274</v>
      </c>
      <c r="G1539" t="inlineStr">
        <is>
          <t>recoleccion</t>
        </is>
      </c>
      <c r="H1539" s="26" t="n">
        <v>63161252</v>
      </c>
      <c r="I1539" t="inlineStr">
        <is>
          <t>bajo</t>
        </is>
      </c>
      <c r="J1539" t="inlineStr">
        <is>
          <t>RN-22 y RN-35: recoleccion al cierre de lo que pasa del cupo</t>
        </is>
      </c>
      <c r="K1539" t="inlineStr">
        <is>
          <t>Recoleccion al cierre: con el pronostico, el saldo cerraria en 88.163.252 COP, sobre el cupo de 25.002.000. Se recoge el excedente y el saldo queda en 25.002.000 COP. Equipo administrado por TDV.</t>
        </is>
      </c>
      <c r="L1539" s="26" t="n">
        <v>25002000</v>
      </c>
      <c r="M1539" s="26" t="n">
        <v>88163252</v>
      </c>
      <c r="N1539" s="27">
        <f>IF(ISNUMBER(M1539),M1539/L1539,"No aplica")</f>
        <v>3.526247980161587</v>
      </c>
      <c r="O1539" s="25">
        <f>IF(G1539="provision",M1539+H1539,IF(G1539="recoleccion",M1539-H1539,"No aplica"))</f>
        <v>25002000</v>
      </c>
      <c r="P1539" s="26" t="n">
        <v>158307</v>
      </c>
    </row>
    <row r="1540">
      <c r="A1540" t="inlineStr">
        <is>
          <t>PRAGMA</t>
        </is>
      </c>
      <c r="B1540" t="inlineStr">
        <is>
          <t>M2</t>
        </is>
      </c>
      <c r="C1540" t="inlineStr">
        <is>
          <t>Pasto</t>
        </is>
      </c>
      <c r="D1540" t="inlineStr">
        <is>
          <t>3934</t>
        </is>
      </c>
      <c r="E1540" t="inlineStr">
        <is>
          <t>TDV</t>
        </is>
      </c>
      <c r="F1540" s="23" t="n">
        <v>46275</v>
      </c>
      <c r="G1540" t="inlineStr">
        <is>
          <t>recoleccion</t>
        </is>
      </c>
      <c r="H1540" s="26" t="n">
        <v>62834332</v>
      </c>
      <c r="I1540" t="inlineStr">
        <is>
          <t>bajo</t>
        </is>
      </c>
      <c r="J1540" t="inlineStr">
        <is>
          <t>RN-22 y RN-35: recoleccion al cierre de lo que pasa del cupo</t>
        </is>
      </c>
      <c r="K1540" t="inlineStr">
        <is>
          <t>Recoleccion al cierre: con el pronostico, el saldo cerraria en 87.836.332 COP, sobre el cupo de 25.002.000. Se recoge el excedente y el saldo queda en 25.002.000 COP. Equipo administrado por TDV.</t>
        </is>
      </c>
      <c r="L1540" s="26" t="n">
        <v>25002000</v>
      </c>
      <c r="M1540" s="26" t="n">
        <v>87836332</v>
      </c>
      <c r="N1540" s="27">
        <f>IF(ISNUMBER(M1540),M1540/L1540,"No aplica")</f>
        <v>3.513172226221902</v>
      </c>
      <c r="O1540" s="25">
        <f>IF(G1540="provision",M1540+H1540,IF(G1540="recoleccion",M1540-H1540,"No aplica"))</f>
        <v>25002000</v>
      </c>
      <c r="P1540" s="26" t="n">
        <v>158307</v>
      </c>
    </row>
    <row r="1541">
      <c r="A1541" t="inlineStr">
        <is>
          <t>PRAGMA</t>
        </is>
      </c>
      <c r="B1541" t="inlineStr">
        <is>
          <t>M2</t>
        </is>
      </c>
      <c r="C1541" t="inlineStr">
        <is>
          <t>Pasto</t>
        </is>
      </c>
      <c r="D1541" t="inlineStr">
        <is>
          <t>3934</t>
        </is>
      </c>
      <c r="E1541" t="inlineStr">
        <is>
          <t>TDV</t>
        </is>
      </c>
      <c r="F1541" s="23" t="n">
        <v>46276</v>
      </c>
      <c r="G1541" t="inlineStr">
        <is>
          <t>recoleccion</t>
        </is>
      </c>
      <c r="H1541" s="26" t="n">
        <v>65311010</v>
      </c>
      <c r="I1541" t="inlineStr">
        <is>
          <t>bajo</t>
        </is>
      </c>
      <c r="J1541" t="inlineStr">
        <is>
          <t>RN-22 y RN-35: recoleccion al cierre de lo que pasa del cupo</t>
        </is>
      </c>
      <c r="K1541" t="inlineStr">
        <is>
          <t>Recoleccion al cierre: con el pronostico, el saldo cerraria en 90.313.010 COP, sobre el cupo de 25.002.000. Se recoge el excedente y el saldo queda en 25.002.000 COP. Equipo administrado por TDV.</t>
        </is>
      </c>
      <c r="L1541" s="26" t="n">
        <v>25002000</v>
      </c>
      <c r="M1541" s="26" t="n">
        <v>90313010</v>
      </c>
      <c r="N1541" s="27">
        <f>IF(ISNUMBER(M1541),M1541/L1541,"No aplica")</f>
        <v>3.612231421486281</v>
      </c>
      <c r="O1541" s="25">
        <f>IF(G1541="provision",M1541+H1541,IF(G1541="recoleccion",M1541-H1541,"No aplica"))</f>
        <v>25002000</v>
      </c>
      <c r="P1541" s="26" t="n">
        <v>158307</v>
      </c>
    </row>
    <row r="1542">
      <c r="A1542" t="inlineStr">
        <is>
          <t>PRAGMA</t>
        </is>
      </c>
      <c r="B1542" t="inlineStr">
        <is>
          <t>M2</t>
        </is>
      </c>
      <c r="C1542" t="inlineStr">
        <is>
          <t>Pasto</t>
        </is>
      </c>
      <c r="D1542" t="inlineStr">
        <is>
          <t>3934</t>
        </is>
      </c>
      <c r="E1542" t="inlineStr">
        <is>
          <t>TDV</t>
        </is>
      </c>
      <c r="F1542" s="23" t="n">
        <v>46277</v>
      </c>
      <c r="G1542" t="inlineStr">
        <is>
          <t>recoleccion</t>
        </is>
      </c>
      <c r="H1542" s="26" t="n">
        <v>62977240</v>
      </c>
      <c r="I1542" t="inlineStr">
        <is>
          <t>bajo</t>
        </is>
      </c>
      <c r="J1542" t="inlineStr">
        <is>
          <t>RN-22 y RN-35: recoleccion al cierre de lo que pasa del cupo</t>
        </is>
      </c>
      <c r="K1542" t="inlineStr">
        <is>
          <t>Recoleccion al cierre: con el pronostico, el saldo cerraria en 87.979.240 COP, sobre el cupo de 25.002.000. Se recoge el excedente y el saldo queda en 25.002.000 COP. Equipo administrado por TDV.</t>
        </is>
      </c>
      <c r="L1542" s="26" t="n">
        <v>25002000</v>
      </c>
      <c r="M1542" s="26" t="n">
        <v>87979240</v>
      </c>
      <c r="N1542" s="27">
        <f>IF(ISNUMBER(M1542),M1542/L1542,"No aplica")</f>
        <v>3.5188880889528837</v>
      </c>
      <c r="O1542" s="25">
        <f>IF(G1542="provision",M1542+H1542,IF(G1542="recoleccion",M1542-H1542,"No aplica"))</f>
        <v>25002000</v>
      </c>
      <c r="P1542" s="26" t="n">
        <v>158307</v>
      </c>
    </row>
    <row r="1543">
      <c r="A1543" t="inlineStr">
        <is>
          <t>PRAGMA</t>
        </is>
      </c>
      <c r="B1543" t="inlineStr">
        <is>
          <t>M2</t>
        </is>
      </c>
      <c r="C1543" t="inlineStr">
        <is>
          <t>Pasto</t>
        </is>
      </c>
      <c r="D1543" t="inlineStr">
        <is>
          <t>3934</t>
        </is>
      </c>
      <c r="E1543" t="inlineStr">
        <is>
          <t>TDV</t>
        </is>
      </c>
      <c r="F1543" s="23" t="n">
        <v>46278</v>
      </c>
      <c r="G1543" t="inlineStr">
        <is>
          <t>recoleccion</t>
        </is>
      </c>
      <c r="H1543" s="26" t="n">
        <v>21574006</v>
      </c>
      <c r="I1543" t="inlineStr">
        <is>
          <t>bajo</t>
        </is>
      </c>
      <c r="J1543" t="inlineStr">
        <is>
          <t>RN-22 y RN-35: recoleccion al cierre de lo que pasa del cupo</t>
        </is>
      </c>
      <c r="K1543" t="inlineStr">
        <is>
          <t>Recoleccion al cierre: con el pronostico, el saldo cerraria en 46.576.006 COP, sobre el cupo de 25.002.000. Se recoge el excedente y el saldo queda en 25.002.000 COP. Equipo administrado por TDV.</t>
        </is>
      </c>
      <c r="L1543" s="26" t="n">
        <v>25002000</v>
      </c>
      <c r="M1543" s="26" t="n">
        <v>46576006</v>
      </c>
      <c r="N1543" s="27">
        <f>IF(ISNUMBER(M1543),M1543/L1543,"No aplica")</f>
        <v>1.8628912087033038</v>
      </c>
      <c r="O1543" s="25">
        <f>IF(G1543="provision",M1543+H1543,IF(G1543="recoleccion",M1543-H1543,"No aplica"))</f>
        <v>25002000</v>
      </c>
      <c r="P1543" s="26" t="n">
        <v>195500</v>
      </c>
    </row>
    <row r="1544">
      <c r="A1544" t="inlineStr">
        <is>
          <t>PRAGMA</t>
        </is>
      </c>
      <c r="B1544" t="inlineStr">
        <is>
          <t>M2</t>
        </is>
      </c>
      <c r="C1544" t="inlineStr">
        <is>
          <t>Pasto</t>
        </is>
      </c>
      <c r="D1544" t="inlineStr">
        <is>
          <t>3934</t>
        </is>
      </c>
      <c r="E1544" t="inlineStr">
        <is>
          <t>TDV</t>
        </is>
      </c>
      <c r="F1544" s="23" t="n">
        <v>46279</v>
      </c>
      <c r="G1544" t="inlineStr">
        <is>
          <t>recoleccion</t>
        </is>
      </c>
      <c r="H1544" s="26" t="n">
        <v>69294422</v>
      </c>
      <c r="I1544" t="inlineStr">
        <is>
          <t>bajo</t>
        </is>
      </c>
      <c r="J1544" t="inlineStr">
        <is>
          <t>RN-22 y RN-35: recoleccion al cierre de lo que pasa del cupo</t>
        </is>
      </c>
      <c r="K1544" t="inlineStr">
        <is>
          <t>Recoleccion al cierre: con el pronostico, el saldo cerraria en 94.296.422 COP, sobre el cupo de 25.002.000. Se recoge el excedente y el saldo queda en 25.002.000 COP. Equipo administrado por TDV.</t>
        </is>
      </c>
      <c r="L1544" s="26" t="n">
        <v>25002000</v>
      </c>
      <c r="M1544" s="26" t="n">
        <v>94296422</v>
      </c>
      <c r="N1544" s="27">
        <f>IF(ISNUMBER(M1544),M1544/L1544,"No aplica")</f>
        <v>3.771555155587553</v>
      </c>
      <c r="O1544" s="25">
        <f>IF(G1544="provision",M1544+H1544,IF(G1544="recoleccion",M1544-H1544,"No aplica"))</f>
        <v>25002000</v>
      </c>
      <c r="P1544" s="26" t="n">
        <v>158307</v>
      </c>
    </row>
    <row r="1545">
      <c r="A1545" t="inlineStr">
        <is>
          <t>PRAGMA</t>
        </is>
      </c>
      <c r="B1545" t="inlineStr">
        <is>
          <t>M2</t>
        </is>
      </c>
      <c r="C1545" t="inlineStr">
        <is>
          <t>Pasto</t>
        </is>
      </c>
      <c r="D1545" t="inlineStr">
        <is>
          <t>3934</t>
        </is>
      </c>
      <c r="E1545" t="inlineStr">
        <is>
          <t>TDV</t>
        </is>
      </c>
      <c r="F1545" s="23" t="n">
        <v>46280</v>
      </c>
      <c r="G1545" t="inlineStr">
        <is>
          <t>recoleccion</t>
        </is>
      </c>
      <c r="H1545" s="26" t="n">
        <v>74273973</v>
      </c>
      <c r="I1545" t="inlineStr">
        <is>
          <t>bajo</t>
        </is>
      </c>
      <c r="J1545" t="inlineStr">
        <is>
          <t>RN-22 y RN-35: recoleccion al cierre de lo que pasa del cupo</t>
        </is>
      </c>
      <c r="K1545" t="inlineStr">
        <is>
          <t>Recoleccion al cierre: con el pronostico, el saldo cerraria en 99.275.973 COP, sobre el cupo de 25.002.000. Se recoge el excedente y el saldo queda en 25.002.000 COP. Equipo administrado por TDV.</t>
        </is>
      </c>
      <c r="L1545" s="26" t="n">
        <v>25002000</v>
      </c>
      <c r="M1545" s="26" t="n">
        <v>99275973</v>
      </c>
      <c r="N1545" s="27">
        <f>IF(ISNUMBER(M1545),M1545/L1545,"No aplica")</f>
        <v>3.970721262299016</v>
      </c>
      <c r="O1545" s="25">
        <f>IF(G1545="provision",M1545+H1545,IF(G1545="recoleccion",M1545-H1545,"No aplica"))</f>
        <v>25002000</v>
      </c>
      <c r="P1545" s="26" t="n">
        <v>158307</v>
      </c>
    </row>
    <row r="1546">
      <c r="A1546" t="inlineStr">
        <is>
          <t>PRAGMA</t>
        </is>
      </c>
      <c r="B1546" t="inlineStr">
        <is>
          <t>M2</t>
        </is>
      </c>
      <c r="C1546" t="inlineStr">
        <is>
          <t>Cali</t>
        </is>
      </c>
      <c r="D1546" t="inlineStr">
        <is>
          <t>5028</t>
        </is>
      </c>
      <c r="E1546" t="inlineStr">
        <is>
          <t>Sucursal</t>
        </is>
      </c>
      <c r="F1546" s="23" t="n">
        <v>46266</v>
      </c>
      <c r="G1546" t="inlineStr">
        <is>
          <t>sin_accion</t>
        </is>
      </c>
      <c r="H1546" s="26" t="n">
        <v>0</v>
      </c>
      <c r="I1546" t="inlineStr">
        <is>
          <t>bajo</t>
        </is>
      </c>
      <c r="J1546" t="inlineStr">
        <is>
          <t>RN-02: una fila sin_accion</t>
        </is>
      </c>
      <c r="K1546" t="inlineStr">
        <is>
          <t>Sin accion en el horizonte: con el pronostico, el saldo se mantiene entre el umbral de agotamiento y el cupo sin necesidad de provision ni recoleccion.</t>
        </is>
      </c>
      <c r="L1546" s="26" t="n">
        <v>91002000</v>
      </c>
      <c r="M1546" s="26" t="inlineStr">
        <is>
          <t>No aplica</t>
        </is>
      </c>
      <c r="N1546" s="27" t="str">
        <f>IF(ISNUMBER(M1546),M1546/L1546,"No aplica")</f>
        <v>No aplica</v>
      </c>
      <c r="O1546" s="25" t="str">
        <f>IF(G1546="provision",M1546+H1546,IF(G1546="recoleccion",M1546-H1546,"No aplica"))</f>
        <v>No aplica</v>
      </c>
      <c r="P1546" s="26" t="inlineStr">
        <is>
          <t>No aplica</t>
        </is>
      </c>
    </row>
    <row r="1547">
      <c r="A1547" t="inlineStr">
        <is>
          <t>PRAGMA</t>
        </is>
      </c>
      <c r="B1547" t="inlineStr">
        <is>
          <t>M2</t>
        </is>
      </c>
      <c r="C1547" t="inlineStr">
        <is>
          <t>Pasto</t>
        </is>
      </c>
      <c r="D1547" t="inlineStr">
        <is>
          <t>5050</t>
        </is>
      </c>
      <c r="E1547" t="inlineStr">
        <is>
          <t>Sucursal</t>
        </is>
      </c>
      <c r="F1547" s="23" t="n">
        <v>46266</v>
      </c>
      <c r="G1547" t="inlineStr">
        <is>
          <t>recoleccion</t>
        </is>
      </c>
      <c r="H1547" s="26" t="n">
        <v>343310839</v>
      </c>
      <c r="I1547" t="inlineStr">
        <is>
          <t>bajo</t>
        </is>
      </c>
      <c r="J1547" t="inlineStr">
        <is>
          <t>RN-22 y RN-35: recoleccion al cierre de lo que pasa del cupo</t>
        </is>
      </c>
      <c r="K1547" t="inlineStr">
        <is>
          <t>Recoleccion al cierre: con el pronostico, el saldo cerraria en 434.312.839 COP, sobre el cupo de 91.002.000. Se recoge el excedente y el saldo queda en 91.002.000 COP. Equipo administrado por Sucursal. Sin tarifa TDV (administrado por la sucursal): costo 0 declarado.</t>
        </is>
      </c>
      <c r="L1547" s="26" t="n">
        <v>91002000</v>
      </c>
      <c r="M1547" s="26" t="n">
        <v>434312839</v>
      </c>
      <c r="N1547" s="27">
        <f>IF(ISNUMBER(M1547),M1547/L1547,"No aplica")</f>
        <v>4.772563668930353</v>
      </c>
      <c r="O1547" s="25">
        <f>IF(G1547="provision",M1547+H1547,IF(G1547="recoleccion",M1547-H1547,"No aplica"))</f>
        <v>91002000</v>
      </c>
      <c r="P1547" s="26" t="n">
        <v>0</v>
      </c>
    </row>
    <row r="1548">
      <c r="A1548" t="inlineStr">
        <is>
          <t>PRAGMA</t>
        </is>
      </c>
      <c r="B1548" t="inlineStr">
        <is>
          <t>M2</t>
        </is>
      </c>
      <c r="C1548" t="inlineStr">
        <is>
          <t>Pasto</t>
        </is>
      </c>
      <c r="D1548" t="inlineStr">
        <is>
          <t>5050</t>
        </is>
      </c>
      <c r="E1548" t="inlineStr">
        <is>
          <t>Sucursal</t>
        </is>
      </c>
      <c r="F1548" s="23" t="n">
        <v>46267</v>
      </c>
      <c r="G1548" t="inlineStr">
        <is>
          <t>recoleccion</t>
        </is>
      </c>
      <c r="H1548" s="26" t="n">
        <v>294954391</v>
      </c>
      <c r="I1548" t="inlineStr">
        <is>
          <t>bajo</t>
        </is>
      </c>
      <c r="J1548" t="inlineStr">
        <is>
          <t>RN-22 y RN-35: recoleccion al cierre de lo que pasa del cupo</t>
        </is>
      </c>
      <c r="K1548" t="inlineStr">
        <is>
          <t>Recoleccion al cierre: con el pronostico, el saldo cerraria en 385.956.391 COP, sobre el cupo de 91.002.000. Se recoge el excedente y el saldo queda en 91.002.000 COP. Equipo administrado por Sucursal. Sin tarifa TDV (administrado por la sucursal): costo 0 declarado.</t>
        </is>
      </c>
      <c r="L1548" s="26" t="n">
        <v>91002000</v>
      </c>
      <c r="M1548" s="26" t="n">
        <v>385956391</v>
      </c>
      <c r="N1548" s="27">
        <f>IF(ISNUMBER(M1548),M1548/L1548,"No aplica")</f>
        <v>4.241185809103096</v>
      </c>
      <c r="O1548" s="25">
        <f>IF(G1548="provision",M1548+H1548,IF(G1548="recoleccion",M1548-H1548,"No aplica"))</f>
        <v>91002000</v>
      </c>
      <c r="P1548" s="26" t="n">
        <v>0</v>
      </c>
    </row>
    <row r="1549">
      <c r="A1549" t="inlineStr">
        <is>
          <t>PRAGMA</t>
        </is>
      </c>
      <c r="B1549" t="inlineStr">
        <is>
          <t>M2</t>
        </is>
      </c>
      <c r="C1549" t="inlineStr">
        <is>
          <t>Pasto</t>
        </is>
      </c>
      <c r="D1549" t="inlineStr">
        <is>
          <t>5050</t>
        </is>
      </c>
      <c r="E1549" t="inlineStr">
        <is>
          <t>Sucursal</t>
        </is>
      </c>
      <c r="F1549" s="23" t="n">
        <v>46268</v>
      </c>
      <c r="G1549" t="inlineStr">
        <is>
          <t>recoleccion</t>
        </is>
      </c>
      <c r="H1549" s="26" t="n">
        <v>303097338</v>
      </c>
      <c r="I1549" t="inlineStr">
        <is>
          <t>bajo</t>
        </is>
      </c>
      <c r="J1549" t="inlineStr">
        <is>
          <t>RN-22 y RN-35: recoleccion al cierre de lo que pasa del cupo</t>
        </is>
      </c>
      <c r="K1549" t="inlineStr">
        <is>
          <t>Recoleccion al cierre: con el pronostico, el saldo cerraria en 394.099.338 COP, sobre el cupo de 91.002.000. Se recoge el excedente y el saldo queda en 91.002.000 COP. Equipo administrado por Sucursal. Sin tarifa TDV (administrado por la sucursal): costo 0 declarado.</t>
        </is>
      </c>
      <c r="L1549" s="26" t="n">
        <v>91002000</v>
      </c>
      <c r="M1549" s="26" t="n">
        <v>394099338</v>
      </c>
      <c r="N1549" s="27">
        <f>IF(ISNUMBER(M1549),M1549/L1549,"No aplica")</f>
        <v>4.330666776554361</v>
      </c>
      <c r="O1549" s="25">
        <f>IF(G1549="provision",M1549+H1549,IF(G1549="recoleccion",M1549-H1549,"No aplica"))</f>
        <v>91002000</v>
      </c>
      <c r="P1549" s="26" t="n">
        <v>0</v>
      </c>
    </row>
    <row r="1550">
      <c r="A1550" t="inlineStr">
        <is>
          <t>PRAGMA</t>
        </is>
      </c>
      <c r="B1550" t="inlineStr">
        <is>
          <t>M2</t>
        </is>
      </c>
      <c r="C1550" t="inlineStr">
        <is>
          <t>Pasto</t>
        </is>
      </c>
      <c r="D1550" t="inlineStr">
        <is>
          <t>5050</t>
        </is>
      </c>
      <c r="E1550" t="inlineStr">
        <is>
          <t>Sucursal</t>
        </is>
      </c>
      <c r="F1550" s="23" t="n">
        <v>46269</v>
      </c>
      <c r="G1550" t="inlineStr">
        <is>
          <t>recoleccion</t>
        </is>
      </c>
      <c r="H1550" s="26" t="n">
        <v>312224883</v>
      </c>
      <c r="I1550" t="inlineStr">
        <is>
          <t>bajo</t>
        </is>
      </c>
      <c r="J1550" t="inlineStr">
        <is>
          <t>RN-22 y RN-35: recoleccion al cierre de lo que pasa del cupo</t>
        </is>
      </c>
      <c r="K1550" t="inlineStr">
        <is>
          <t>Recoleccion al cierre: con el pronostico, el saldo cerraria en 403.226.883 COP, sobre el cupo de 91.002.000. Se recoge el excedente y el saldo queda en 91.002.000 COP. Equipo administrado por Sucursal. Sin tarifa TDV (administrado por la sucursal): costo 0 declarado.</t>
        </is>
      </c>
      <c r="L1550" s="26" t="n">
        <v>91002000</v>
      </c>
      <c r="M1550" s="26" t="n">
        <v>403226883</v>
      </c>
      <c r="N1550" s="27">
        <f>IF(ISNUMBER(M1550),M1550/L1550,"No aplica")</f>
        <v>4.4309672644557265</v>
      </c>
      <c r="O1550" s="25">
        <f>IF(G1550="provision",M1550+H1550,IF(G1550="recoleccion",M1550-H1550,"No aplica"))</f>
        <v>91002000</v>
      </c>
      <c r="P1550" s="26" t="n">
        <v>0</v>
      </c>
    </row>
    <row r="1551">
      <c r="A1551" t="inlineStr">
        <is>
          <t>PRAGMA</t>
        </is>
      </c>
      <c r="B1551" t="inlineStr">
        <is>
          <t>M2</t>
        </is>
      </c>
      <c r="C1551" t="inlineStr">
        <is>
          <t>Pasto</t>
        </is>
      </c>
      <c r="D1551" t="inlineStr">
        <is>
          <t>5050</t>
        </is>
      </c>
      <c r="E1551" t="inlineStr">
        <is>
          <t>Sucursal</t>
        </is>
      </c>
      <c r="F1551" s="23" t="n">
        <v>46270</v>
      </c>
      <c r="G1551" t="inlineStr">
        <is>
          <t>recoleccion</t>
        </is>
      </c>
      <c r="H1551" s="26" t="n">
        <v>261536077</v>
      </c>
      <c r="I1551" t="inlineStr">
        <is>
          <t>bajo</t>
        </is>
      </c>
      <c r="J1551" t="inlineStr">
        <is>
          <t>RN-22 y RN-35: recoleccion al cierre de lo que pasa del cupo</t>
        </is>
      </c>
      <c r="K1551" t="inlineStr">
        <is>
          <t>Recoleccion al cierre: con el pronostico, el saldo cerraria en 352.538.077 COP, sobre el cupo de 91.002.000. Se recoge el excedente y el saldo queda en 91.002.000 COP. Equipo administrado por Sucursal. Sin tarifa TDV (administrado por la sucursal): costo 0 declarado.</t>
        </is>
      </c>
      <c r="L1551" s="26" t="n">
        <v>91002000</v>
      </c>
      <c r="M1551" s="26" t="n">
        <v>352538077</v>
      </c>
      <c r="N1551" s="27">
        <f>IF(ISNUMBER(M1551),M1551/L1551,"No aplica")</f>
        <v>3.8739596602272477</v>
      </c>
      <c r="O1551" s="25">
        <f>IF(G1551="provision",M1551+H1551,IF(G1551="recoleccion",M1551-H1551,"No aplica"))</f>
        <v>91002000</v>
      </c>
      <c r="P1551" s="26" t="n">
        <v>0</v>
      </c>
    </row>
    <row r="1552">
      <c r="A1552" t="inlineStr">
        <is>
          <t>PRAGMA</t>
        </is>
      </c>
      <c r="B1552" t="inlineStr">
        <is>
          <t>M2</t>
        </is>
      </c>
      <c r="C1552" t="inlineStr">
        <is>
          <t>Pasto</t>
        </is>
      </c>
      <c r="D1552" t="inlineStr">
        <is>
          <t>5050</t>
        </is>
      </c>
      <c r="E1552" t="inlineStr">
        <is>
          <t>Sucursal</t>
        </is>
      </c>
      <c r="F1552" s="23" t="n">
        <v>46271</v>
      </c>
      <c r="G1552" t="inlineStr">
        <is>
          <t>recoleccion</t>
        </is>
      </c>
      <c r="H1552" s="26" t="n">
        <v>63226076</v>
      </c>
      <c r="I1552" t="inlineStr">
        <is>
          <t>bajo</t>
        </is>
      </c>
      <c r="J1552" t="inlineStr">
        <is>
          <t>RN-22 y RN-35: recoleccion al cierre de lo que pasa del cupo</t>
        </is>
      </c>
      <c r="K1552" t="inlineStr">
        <is>
          <t>Recoleccion al cierre: con el pronostico, el saldo cerraria en 154.228.076 COP, sobre el cupo de 91.002.000. Se recoge el excedente y el saldo queda en 91.002.000 COP. Equipo administrado por Sucursal. Sin tarifa TDV (administrado por la sucursal): costo 0 declarado.</t>
        </is>
      </c>
      <c r="L1552" s="26" t="n">
        <v>91002000</v>
      </c>
      <c r="M1552" s="26" t="n">
        <v>154228076</v>
      </c>
      <c r="N1552" s="27">
        <f>IF(ISNUMBER(M1552),M1552/L1552,"No aplica")</f>
        <v>1.6947767741368323</v>
      </c>
      <c r="O1552" s="25">
        <f>IF(G1552="provision",M1552+H1552,IF(G1552="recoleccion",M1552-H1552,"No aplica"))</f>
        <v>91002000</v>
      </c>
      <c r="P1552" s="26" t="n">
        <v>0</v>
      </c>
    </row>
    <row r="1553">
      <c r="A1553" t="inlineStr">
        <is>
          <t>PRAGMA</t>
        </is>
      </c>
      <c r="B1553" t="inlineStr">
        <is>
          <t>M2</t>
        </is>
      </c>
      <c r="C1553" t="inlineStr">
        <is>
          <t>Pasto</t>
        </is>
      </c>
      <c r="D1553" t="inlineStr">
        <is>
          <t>5050</t>
        </is>
      </c>
      <c r="E1553" t="inlineStr">
        <is>
          <t>Sucursal</t>
        </is>
      </c>
      <c r="F1553" s="23" t="n">
        <v>46272</v>
      </c>
      <c r="G1553" t="inlineStr">
        <is>
          <t>recoleccion</t>
        </is>
      </c>
      <c r="H1553" s="26" t="n">
        <v>342094844</v>
      </c>
      <c r="I1553" t="inlineStr">
        <is>
          <t>bajo</t>
        </is>
      </c>
      <c r="J1553" t="inlineStr">
        <is>
          <t>RN-22 y RN-35: recoleccion al cierre de lo que pasa del cupo</t>
        </is>
      </c>
      <c r="K1553" t="inlineStr">
        <is>
          <t>Recoleccion al cierre: con el pronostico, el saldo cerraria en 433.096.844 COP, sobre el cupo de 91.002.000. Se recoge el excedente y el saldo queda en 91.002.000 COP. Equipo administrado por Sucursal. Sin tarifa TDV (administrado por la sucursal): costo 0 declarado.</t>
        </is>
      </c>
      <c r="L1553" s="26" t="n">
        <v>91002000</v>
      </c>
      <c r="M1553" s="26" t="n">
        <v>433096844</v>
      </c>
      <c r="N1553" s="27">
        <f>IF(ISNUMBER(M1553),M1553/L1553,"No aplica")</f>
        <v>4.759201380189446</v>
      </c>
      <c r="O1553" s="25">
        <f>IF(G1553="provision",M1553+H1553,IF(G1553="recoleccion",M1553-H1553,"No aplica"))</f>
        <v>91002000</v>
      </c>
      <c r="P1553" s="26" t="n">
        <v>0</v>
      </c>
    </row>
    <row r="1554">
      <c r="A1554" t="inlineStr">
        <is>
          <t>PRAGMA</t>
        </is>
      </c>
      <c r="B1554" t="inlineStr">
        <is>
          <t>M2</t>
        </is>
      </c>
      <c r="C1554" t="inlineStr">
        <is>
          <t>Pasto</t>
        </is>
      </c>
      <c r="D1554" t="inlineStr">
        <is>
          <t>5050</t>
        </is>
      </c>
      <c r="E1554" t="inlineStr">
        <is>
          <t>Sucursal</t>
        </is>
      </c>
      <c r="F1554" s="23" t="n">
        <v>46273</v>
      </c>
      <c r="G1554" t="inlineStr">
        <is>
          <t>recoleccion</t>
        </is>
      </c>
      <c r="H1554" s="26" t="n">
        <v>316802526</v>
      </c>
      <c r="I1554" t="inlineStr">
        <is>
          <t>bajo</t>
        </is>
      </c>
      <c r="J1554" t="inlineStr">
        <is>
          <t>RN-22 y RN-35: recoleccion al cierre de lo que pasa del cupo</t>
        </is>
      </c>
      <c r="K1554" t="inlineStr">
        <is>
          <t>Recoleccion al cierre: con el pronostico, el saldo cerraria en 407.804.526 COP, sobre el cupo de 91.002.000. Se recoge el excedente y el saldo queda en 91.002.000 COP. Equipo administrado por Sucursal. Sin tarifa TDV (administrado por la sucursal): costo 0 declarado.</t>
        </is>
      </c>
      <c r="L1554" s="26" t="n">
        <v>91002000</v>
      </c>
      <c r="M1554" s="26" t="n">
        <v>407804526</v>
      </c>
      <c r="N1554" s="27">
        <f>IF(ISNUMBER(M1554),M1554/L1554,"No aplica")</f>
        <v>4.481269928133448</v>
      </c>
      <c r="O1554" s="25">
        <f>IF(G1554="provision",M1554+H1554,IF(G1554="recoleccion",M1554-H1554,"No aplica"))</f>
        <v>91002000</v>
      </c>
      <c r="P1554" s="26" t="n">
        <v>0</v>
      </c>
    </row>
    <row r="1555">
      <c r="A1555" t="inlineStr">
        <is>
          <t>PRAGMA</t>
        </is>
      </c>
      <c r="B1555" t="inlineStr">
        <is>
          <t>M2</t>
        </is>
      </c>
      <c r="C1555" t="inlineStr">
        <is>
          <t>Pasto</t>
        </is>
      </c>
      <c r="D1555" t="inlineStr">
        <is>
          <t>5050</t>
        </is>
      </c>
      <c r="E1555" t="inlineStr">
        <is>
          <t>Sucursal</t>
        </is>
      </c>
      <c r="F1555" s="23" t="n">
        <v>46274</v>
      </c>
      <c r="G1555" t="inlineStr">
        <is>
          <t>recoleccion</t>
        </is>
      </c>
      <c r="H1555" s="26" t="n">
        <v>290559377</v>
      </c>
      <c r="I1555" t="inlineStr">
        <is>
          <t>bajo</t>
        </is>
      </c>
      <c r="J1555" t="inlineStr">
        <is>
          <t>RN-22 y RN-35: recoleccion al cierre de lo que pasa del cupo</t>
        </is>
      </c>
      <c r="K1555" t="inlineStr">
        <is>
          <t>Recoleccion al cierre: con el pronostico, el saldo cerraria en 381.561.377 COP, sobre el cupo de 91.002.000. Se recoge el excedente y el saldo queda en 91.002.000 COP. Equipo administrado por Sucursal. Sin tarifa TDV (administrado por la sucursal): costo 0 declarado.</t>
        </is>
      </c>
      <c r="L1555" s="26" t="n">
        <v>91002000</v>
      </c>
      <c r="M1555" s="26" t="n">
        <v>381561377</v>
      </c>
      <c r="N1555" s="27">
        <f>IF(ISNUMBER(M1555),M1555/L1555,"No aplica")</f>
        <v>4.1928900134062985</v>
      </c>
      <c r="O1555" s="25">
        <f>IF(G1555="provision",M1555+H1555,IF(G1555="recoleccion",M1555-H1555,"No aplica"))</f>
        <v>91002000</v>
      </c>
      <c r="P1555" s="26" t="n">
        <v>0</v>
      </c>
    </row>
    <row r="1556">
      <c r="A1556" t="inlineStr">
        <is>
          <t>PRAGMA</t>
        </is>
      </c>
      <c r="B1556" t="inlineStr">
        <is>
          <t>M2</t>
        </is>
      </c>
      <c r="C1556" t="inlineStr">
        <is>
          <t>Pasto</t>
        </is>
      </c>
      <c r="D1556" t="inlineStr">
        <is>
          <t>5050</t>
        </is>
      </c>
      <c r="E1556" t="inlineStr">
        <is>
          <t>Sucursal</t>
        </is>
      </c>
      <c r="F1556" s="23" t="n">
        <v>46275</v>
      </c>
      <c r="G1556" t="inlineStr">
        <is>
          <t>recoleccion</t>
        </is>
      </c>
      <c r="H1556" s="26" t="n">
        <v>293486916</v>
      </c>
      <c r="I1556" t="inlineStr">
        <is>
          <t>bajo</t>
        </is>
      </c>
      <c r="J1556" t="inlineStr">
        <is>
          <t>RN-22 y RN-35: recoleccion al cierre de lo que pasa del cupo</t>
        </is>
      </c>
      <c r="K1556" t="inlineStr">
        <is>
          <t>Recoleccion al cierre: con el pronostico, el saldo cerraria en 384.488.916 COP, sobre el cupo de 91.002.000. Se recoge el excedente y el saldo queda en 91.002.000 COP. Equipo administrado por Sucursal. Sin tarifa TDV (administrado por la sucursal): costo 0 declarado.</t>
        </is>
      </c>
      <c r="L1556" s="26" t="n">
        <v>91002000</v>
      </c>
      <c r="M1556" s="26" t="n">
        <v>384488916</v>
      </c>
      <c r="N1556" s="27">
        <f>IF(ISNUMBER(M1556),M1556/L1556,"No aplica")</f>
        <v>4.225060064613965</v>
      </c>
      <c r="O1556" s="25">
        <f>IF(G1556="provision",M1556+H1556,IF(G1556="recoleccion",M1556-H1556,"No aplica"))</f>
        <v>91002000</v>
      </c>
      <c r="P1556" s="26" t="n">
        <v>0</v>
      </c>
    </row>
    <row r="1557">
      <c r="A1557" t="inlineStr">
        <is>
          <t>PRAGMA</t>
        </is>
      </c>
      <c r="B1557" t="inlineStr">
        <is>
          <t>M2</t>
        </is>
      </c>
      <c r="C1557" t="inlineStr">
        <is>
          <t>Pasto</t>
        </is>
      </c>
      <c r="D1557" t="inlineStr">
        <is>
          <t>5050</t>
        </is>
      </c>
      <c r="E1557" t="inlineStr">
        <is>
          <t>Sucursal</t>
        </is>
      </c>
      <c r="F1557" s="23" t="n">
        <v>46276</v>
      </c>
      <c r="G1557" t="inlineStr">
        <is>
          <t>recoleccion</t>
        </is>
      </c>
      <c r="H1557" s="26" t="n">
        <v>289327016</v>
      </c>
      <c r="I1557" t="inlineStr">
        <is>
          <t>bajo</t>
        </is>
      </c>
      <c r="J1557" t="inlineStr">
        <is>
          <t>RN-22 y RN-35: recoleccion al cierre de lo que pasa del cupo</t>
        </is>
      </c>
      <c r="K1557" t="inlineStr">
        <is>
          <t>Recoleccion al cierre: con el pronostico, el saldo cerraria en 380.329.016 COP, sobre el cupo de 91.002.000. Se recoge el excedente y el saldo queda en 91.002.000 COP. Equipo administrado por Sucursal. Sin tarifa TDV (administrado por la sucursal): costo 0 declarado.</t>
        </is>
      </c>
      <c r="L1557" s="26" t="n">
        <v>91002000</v>
      </c>
      <c r="M1557" s="26" t="n">
        <v>380329016</v>
      </c>
      <c r="N1557" s="27">
        <f>IF(ISNUMBER(M1557),M1557/L1557,"No aplica")</f>
        <v>4.179347882464121</v>
      </c>
      <c r="O1557" s="25">
        <f>IF(G1557="provision",M1557+H1557,IF(G1557="recoleccion",M1557-H1557,"No aplica"))</f>
        <v>91002000</v>
      </c>
      <c r="P1557" s="26" t="n">
        <v>0</v>
      </c>
    </row>
    <row r="1558">
      <c r="A1558" t="inlineStr">
        <is>
          <t>PRAGMA</t>
        </is>
      </c>
      <c r="B1558" t="inlineStr">
        <is>
          <t>M2</t>
        </is>
      </c>
      <c r="C1558" t="inlineStr">
        <is>
          <t>Pasto</t>
        </is>
      </c>
      <c r="D1558" t="inlineStr">
        <is>
          <t>5050</t>
        </is>
      </c>
      <c r="E1558" t="inlineStr">
        <is>
          <t>Sucursal</t>
        </is>
      </c>
      <c r="F1558" s="23" t="n">
        <v>46277</v>
      </c>
      <c r="G1558" t="inlineStr">
        <is>
          <t>recoleccion</t>
        </is>
      </c>
      <c r="H1558" s="26" t="n">
        <v>239191049</v>
      </c>
      <c r="I1558" t="inlineStr">
        <is>
          <t>bajo</t>
        </is>
      </c>
      <c r="J1558" t="inlineStr">
        <is>
          <t>RN-22 y RN-35: recoleccion al cierre de lo que pasa del cupo</t>
        </is>
      </c>
      <c r="K1558" t="inlineStr">
        <is>
          <t>Recoleccion al cierre: con el pronostico, el saldo cerraria en 330.193.049 COP, sobre el cupo de 91.002.000. Se recoge el excedente y el saldo queda en 91.002.000 COP. Equipo administrado por Sucursal. Sin tarifa TDV (administrado por la sucursal): costo 0 declarado.</t>
        </is>
      </c>
      <c r="L1558" s="26" t="n">
        <v>91002000</v>
      </c>
      <c r="M1558" s="26" t="n">
        <v>330193049</v>
      </c>
      <c r="N1558" s="27">
        <f>IF(ISNUMBER(M1558),M1558/L1558,"No aplica")</f>
        <v>3.6284152985648666</v>
      </c>
      <c r="O1558" s="25">
        <f>IF(G1558="provision",M1558+H1558,IF(G1558="recoleccion",M1558-H1558,"No aplica"))</f>
        <v>91002000</v>
      </c>
      <c r="P1558" s="26" t="n">
        <v>0</v>
      </c>
    </row>
    <row r="1559">
      <c r="A1559" t="inlineStr">
        <is>
          <t>PRAGMA</t>
        </is>
      </c>
      <c r="B1559" t="inlineStr">
        <is>
          <t>M2</t>
        </is>
      </c>
      <c r="C1559" t="inlineStr">
        <is>
          <t>Pasto</t>
        </is>
      </c>
      <c r="D1559" t="inlineStr">
        <is>
          <t>5050</t>
        </is>
      </c>
      <c r="E1559" t="inlineStr">
        <is>
          <t>Sucursal</t>
        </is>
      </c>
      <c r="F1559" s="23" t="n">
        <v>46278</v>
      </c>
      <c r="G1559" t="inlineStr">
        <is>
          <t>recoleccion</t>
        </is>
      </c>
      <c r="H1559" s="26" t="n">
        <v>61570506</v>
      </c>
      <c r="I1559" t="inlineStr">
        <is>
          <t>bajo</t>
        </is>
      </c>
      <c r="J1559" t="inlineStr">
        <is>
          <t>RN-22 y RN-35: recoleccion al cierre de lo que pasa del cupo</t>
        </is>
      </c>
      <c r="K1559" t="inlineStr">
        <is>
          <t>Recoleccion al cierre: con el pronostico, el saldo cerraria en 152.572.506 COP, sobre el cupo de 91.002.000. Se recoge el excedente y el saldo queda en 91.002.000 COP. Equipo administrado por Sucursal. Sin tarifa TDV (administrado por la sucursal): costo 0 declarado.</t>
        </is>
      </c>
      <c r="L1559" s="26" t="n">
        <v>91002000</v>
      </c>
      <c r="M1559" s="26" t="n">
        <v>152572506</v>
      </c>
      <c r="N1559" s="27">
        <f>IF(ISNUMBER(M1559),M1559/L1559,"No aplica")</f>
        <v>1.676584097052812</v>
      </c>
      <c r="O1559" s="25">
        <f>IF(G1559="provision",M1559+H1559,IF(G1559="recoleccion",M1559-H1559,"No aplica"))</f>
        <v>91002000</v>
      </c>
      <c r="P1559" s="26" t="n">
        <v>0</v>
      </c>
    </row>
    <row r="1560">
      <c r="A1560" t="inlineStr">
        <is>
          <t>PRAGMA</t>
        </is>
      </c>
      <c r="B1560" t="inlineStr">
        <is>
          <t>M2</t>
        </is>
      </c>
      <c r="C1560" t="inlineStr">
        <is>
          <t>Pasto</t>
        </is>
      </c>
      <c r="D1560" t="inlineStr">
        <is>
          <t>5050</t>
        </is>
      </c>
      <c r="E1560" t="inlineStr">
        <is>
          <t>Sucursal</t>
        </is>
      </c>
      <c r="F1560" s="23" t="n">
        <v>46279</v>
      </c>
      <c r="G1560" t="inlineStr">
        <is>
          <t>recoleccion</t>
        </is>
      </c>
      <c r="H1560" s="26" t="n">
        <v>309128124</v>
      </c>
      <c r="I1560" t="inlineStr">
        <is>
          <t>bajo</t>
        </is>
      </c>
      <c r="J1560" t="inlineStr">
        <is>
          <t>RN-22 y RN-35: recoleccion al cierre de lo que pasa del cupo</t>
        </is>
      </c>
      <c r="K1560" t="inlineStr">
        <is>
          <t>Recoleccion al cierre: con el pronostico, el saldo cerraria en 400.130.124 COP, sobre el cupo de 91.002.000. Se recoge el excedente y el saldo queda en 91.002.000 COP. Equipo administrado por Sucursal. Sin tarifa TDV (administrado por la sucursal): costo 0 declarado.</t>
        </is>
      </c>
      <c r="L1560" s="26" t="n">
        <v>91002000</v>
      </c>
      <c r="M1560" s="26" t="n">
        <v>400130124</v>
      </c>
      <c r="N1560" s="27">
        <f>IF(ISNUMBER(M1560),M1560/L1560,"No aplica")</f>
        <v>4.396937693677062</v>
      </c>
      <c r="O1560" s="25">
        <f>IF(G1560="provision",M1560+H1560,IF(G1560="recoleccion",M1560-H1560,"No aplica"))</f>
        <v>91002000</v>
      </c>
      <c r="P1560" s="26" t="n">
        <v>0</v>
      </c>
    </row>
    <row r="1561">
      <c r="A1561" t="inlineStr">
        <is>
          <t>PRAGMA</t>
        </is>
      </c>
      <c r="B1561" t="inlineStr">
        <is>
          <t>M2</t>
        </is>
      </c>
      <c r="C1561" t="inlineStr">
        <is>
          <t>Pasto</t>
        </is>
      </c>
      <c r="D1561" t="inlineStr">
        <is>
          <t>5050</t>
        </is>
      </c>
      <c r="E1561" t="inlineStr">
        <is>
          <t>Sucursal</t>
        </is>
      </c>
      <c r="F1561" s="23" t="n">
        <v>46280</v>
      </c>
      <c r="G1561" t="inlineStr">
        <is>
          <t>recoleccion</t>
        </is>
      </c>
      <c r="H1561" s="26" t="n">
        <v>315993555</v>
      </c>
      <c r="I1561" t="inlineStr">
        <is>
          <t>bajo</t>
        </is>
      </c>
      <c r="J1561" t="inlineStr">
        <is>
          <t>RN-22 y RN-35: recoleccion al cierre de lo que pasa del cupo</t>
        </is>
      </c>
      <c r="K1561" t="inlineStr">
        <is>
          <t>Recoleccion al cierre: con el pronostico, el saldo cerraria en 406.995.555 COP, sobre el cupo de 91.002.000. Se recoge el excedente y el saldo queda en 91.002.000 COP. Equipo administrado por Sucursal. Sin tarifa TDV (administrado por la sucursal): costo 0 declarado.</t>
        </is>
      </c>
      <c r="L1561" s="26" t="n">
        <v>91002000</v>
      </c>
      <c r="M1561" s="26" t="n">
        <v>406995555</v>
      </c>
      <c r="N1561" s="27">
        <f>IF(ISNUMBER(M1561),M1561/L1561,"No aplica")</f>
        <v>4.472380332300389</v>
      </c>
      <c r="O1561" s="25">
        <f>IF(G1561="provision",M1561+H1561,IF(G1561="recoleccion",M1561-H1561,"No aplica"))</f>
        <v>91002000</v>
      </c>
      <c r="P1561" s="26" t="n">
        <v>0</v>
      </c>
    </row>
    <row r="1562">
      <c r="A1562" t="inlineStr">
        <is>
          <t>PRAGMA</t>
        </is>
      </c>
      <c r="B1562" t="inlineStr">
        <is>
          <t>M2</t>
        </is>
      </c>
      <c r="C1562" t="inlineStr">
        <is>
          <t>Cali</t>
        </is>
      </c>
      <c r="D1562" t="inlineStr">
        <is>
          <t>5088</t>
        </is>
      </c>
      <c r="E1562" t="inlineStr">
        <is>
          <t>Sucursal</t>
        </is>
      </c>
      <c r="F1562" s="23" t="n">
        <v>46266</v>
      </c>
      <c r="G1562" t="inlineStr">
        <is>
          <t>recoleccion</t>
        </is>
      </c>
      <c r="H1562" s="26" t="n">
        <v>120167805</v>
      </c>
      <c r="I1562" t="inlineStr">
        <is>
          <t>bajo</t>
        </is>
      </c>
      <c r="J1562" t="inlineStr">
        <is>
          <t>RN-22 y RN-35: recoleccion al cierre de lo que pasa del cupo</t>
        </is>
      </c>
      <c r="K1562" t="inlineStr">
        <is>
          <t>Recoleccion al cierre: con el pronostico, el saldo cerraria en 211.169.805 COP, sobre el cupo de 91.002.000. Se recoge el excedente y el saldo queda en 91.002.000 COP. Equipo administrado por Sucursal. Sin tarifa TDV (administrado por la sucursal): costo 0 declarado.</t>
        </is>
      </c>
      <c r="L1562" s="26" t="n">
        <v>91002000</v>
      </c>
      <c r="M1562" s="26" t="n">
        <v>211169805</v>
      </c>
      <c r="N1562" s="27">
        <f>IF(ISNUMBER(M1562),M1562/L1562,"No aplica")</f>
        <v>2.3204963077734555</v>
      </c>
      <c r="O1562" s="25">
        <f>IF(G1562="provision",M1562+H1562,IF(G1562="recoleccion",M1562-H1562,"No aplica"))</f>
        <v>91002000</v>
      </c>
      <c r="P1562" s="26" t="n">
        <v>0</v>
      </c>
    </row>
    <row r="1563">
      <c r="A1563" t="inlineStr">
        <is>
          <t>PRAGMA</t>
        </is>
      </c>
      <c r="B1563" t="inlineStr">
        <is>
          <t>M2</t>
        </is>
      </c>
      <c r="C1563" t="inlineStr">
        <is>
          <t>Cali</t>
        </is>
      </c>
      <c r="D1563" t="inlineStr">
        <is>
          <t>5088</t>
        </is>
      </c>
      <c r="E1563" t="inlineStr">
        <is>
          <t>Sucursal</t>
        </is>
      </c>
      <c r="F1563" s="23" t="n">
        <v>46267</v>
      </c>
      <c r="G1563" t="inlineStr">
        <is>
          <t>recoleccion</t>
        </is>
      </c>
      <c r="H1563" s="26" t="n">
        <v>142051376</v>
      </c>
      <c r="I1563" t="inlineStr">
        <is>
          <t>bajo</t>
        </is>
      </c>
      <c r="J1563" t="inlineStr">
        <is>
          <t>RN-22 y RN-35: recoleccion al cierre de lo que pasa del cupo</t>
        </is>
      </c>
      <c r="K1563" t="inlineStr">
        <is>
          <t>Recoleccion al cierre: con el pronostico, el saldo cerraria en 233.053.376 COP, sobre el cupo de 91.002.000. Se recoge el excedente y el saldo queda en 91.002.000 COP. Equipo administrado por Sucursal. Sin tarifa TDV (administrado por la sucursal): costo 0 declarado.</t>
        </is>
      </c>
      <c r="L1563" s="26" t="n">
        <v>91002000</v>
      </c>
      <c r="M1563" s="26" t="n">
        <v>233053376</v>
      </c>
      <c r="N1563" s="27">
        <f>IF(ISNUMBER(M1563),M1563/L1563,"No aplica")</f>
        <v>2.5609698248390145</v>
      </c>
      <c r="O1563" s="25">
        <f>IF(G1563="provision",M1563+H1563,IF(G1563="recoleccion",M1563-H1563,"No aplica"))</f>
        <v>91002000</v>
      </c>
      <c r="P1563" s="26" t="n">
        <v>0</v>
      </c>
    </row>
    <row r="1564">
      <c r="A1564" t="inlineStr">
        <is>
          <t>PRAGMA</t>
        </is>
      </c>
      <c r="B1564" t="inlineStr">
        <is>
          <t>M2</t>
        </is>
      </c>
      <c r="C1564" t="inlineStr">
        <is>
          <t>Cali</t>
        </is>
      </c>
      <c r="D1564" t="inlineStr">
        <is>
          <t>5088</t>
        </is>
      </c>
      <c r="E1564" t="inlineStr">
        <is>
          <t>Sucursal</t>
        </is>
      </c>
      <c r="F1564" s="23" t="n">
        <v>46268</v>
      </c>
      <c r="G1564" t="inlineStr">
        <is>
          <t>recoleccion</t>
        </is>
      </c>
      <c r="H1564" s="26" t="n">
        <v>131880850</v>
      </c>
      <c r="I1564" t="inlineStr">
        <is>
          <t>bajo</t>
        </is>
      </c>
      <c r="J1564" t="inlineStr">
        <is>
          <t>RN-22 y RN-35: recoleccion al cierre de lo que pasa del cupo</t>
        </is>
      </c>
      <c r="K1564" t="inlineStr">
        <is>
          <t>Recoleccion al cierre: con el pronostico, el saldo cerraria en 222.882.850 COP, sobre el cupo de 91.002.000. Se recoge el excedente y el saldo queda en 91.002.000 COP. Equipo administrado por Sucursal. Sin tarifa TDV (administrado por la sucursal): costo 0 declarado.</t>
        </is>
      </c>
      <c r="L1564" s="26" t="n">
        <v>91002000</v>
      </c>
      <c r="M1564" s="26" t="n">
        <v>222882850</v>
      </c>
      <c r="N1564" s="27">
        <f>IF(ISNUMBER(M1564),M1564/L1564,"No aplica")</f>
        <v>2.4492082591591395</v>
      </c>
      <c r="O1564" s="25">
        <f>IF(G1564="provision",M1564+H1564,IF(G1564="recoleccion",M1564-H1564,"No aplica"))</f>
        <v>91002000</v>
      </c>
      <c r="P1564" s="26" t="n">
        <v>0</v>
      </c>
    </row>
    <row r="1565">
      <c r="A1565" t="inlineStr">
        <is>
          <t>PRAGMA</t>
        </is>
      </c>
      <c r="B1565" t="inlineStr">
        <is>
          <t>M2</t>
        </is>
      </c>
      <c r="C1565" t="inlineStr">
        <is>
          <t>Cali</t>
        </is>
      </c>
      <c r="D1565" t="inlineStr">
        <is>
          <t>5088</t>
        </is>
      </c>
      <c r="E1565" t="inlineStr">
        <is>
          <t>Sucursal</t>
        </is>
      </c>
      <c r="F1565" s="23" t="n">
        <v>46269</v>
      </c>
      <c r="G1565" t="inlineStr">
        <is>
          <t>recoleccion</t>
        </is>
      </c>
      <c r="H1565" s="26" t="n">
        <v>133770764</v>
      </c>
      <c r="I1565" t="inlineStr">
        <is>
          <t>bajo</t>
        </is>
      </c>
      <c r="J1565" t="inlineStr">
        <is>
          <t>RN-22 y RN-35: recoleccion al cierre de lo que pasa del cupo</t>
        </is>
      </c>
      <c r="K1565" t="inlineStr">
        <is>
          <t>Recoleccion al cierre: con el pronostico, el saldo cerraria en 224.772.764 COP, sobre el cupo de 91.002.000. Se recoge el excedente y el saldo queda en 91.002.000 COP. Equipo administrado por Sucursal. Sin tarifa TDV (administrado por la sucursal): costo 0 declarado.</t>
        </is>
      </c>
      <c r="L1565" s="26" t="n">
        <v>91002000</v>
      </c>
      <c r="M1565" s="26" t="n">
        <v>224772764</v>
      </c>
      <c r="N1565" s="27">
        <f>IF(ISNUMBER(M1565),M1565/L1565,"No aplica")</f>
        <v>2.4699760884376167</v>
      </c>
      <c r="O1565" s="25">
        <f>IF(G1565="provision",M1565+H1565,IF(G1565="recoleccion",M1565-H1565,"No aplica"))</f>
        <v>91002000</v>
      </c>
      <c r="P1565" s="26" t="n">
        <v>0</v>
      </c>
    </row>
    <row r="1566">
      <c r="A1566" t="inlineStr">
        <is>
          <t>PRAGMA</t>
        </is>
      </c>
      <c r="B1566" t="inlineStr">
        <is>
          <t>M2</t>
        </is>
      </c>
      <c r="C1566" t="inlineStr">
        <is>
          <t>Cali</t>
        </is>
      </c>
      <c r="D1566" t="inlineStr">
        <is>
          <t>5088</t>
        </is>
      </c>
      <c r="E1566" t="inlineStr">
        <is>
          <t>Sucursal</t>
        </is>
      </c>
      <c r="F1566" s="23" t="n">
        <v>46270</v>
      </c>
      <c r="G1566" t="inlineStr">
        <is>
          <t>recoleccion</t>
        </is>
      </c>
      <c r="H1566" s="26" t="n">
        <v>139556772</v>
      </c>
      <c r="I1566" t="inlineStr">
        <is>
          <t>bajo</t>
        </is>
      </c>
      <c r="J1566" t="inlineStr">
        <is>
          <t>RN-22 y RN-35: recoleccion al cierre de lo que pasa del cupo</t>
        </is>
      </c>
      <c r="K1566" t="inlineStr">
        <is>
          <t>Recoleccion al cierre: con el pronostico, el saldo cerraria en 230.558.772 COP, sobre el cupo de 91.002.000. Se recoge el excedente y el saldo queda en 91.002.000 COP. Equipo administrado por Sucursal. Sin tarifa TDV (administrado por la sucursal): costo 0 declarado.</t>
        </is>
      </c>
      <c r="L1566" s="26" t="n">
        <v>91002000</v>
      </c>
      <c r="M1566" s="26" t="n">
        <v>230558772</v>
      </c>
      <c r="N1566" s="27">
        <f>IF(ISNUMBER(M1566),M1566/L1566,"No aplica")</f>
        <v>2.533557196545131</v>
      </c>
      <c r="O1566" s="25">
        <f>IF(G1566="provision",M1566+H1566,IF(G1566="recoleccion",M1566-H1566,"No aplica"))</f>
        <v>91002000</v>
      </c>
      <c r="P1566" s="26" t="n">
        <v>0</v>
      </c>
    </row>
    <row r="1567">
      <c r="A1567" t="inlineStr">
        <is>
          <t>PRAGMA</t>
        </is>
      </c>
      <c r="B1567" t="inlineStr">
        <is>
          <t>M2</t>
        </is>
      </c>
      <c r="C1567" t="inlineStr">
        <is>
          <t>Cali</t>
        </is>
      </c>
      <c r="D1567" t="inlineStr">
        <is>
          <t>5088</t>
        </is>
      </c>
      <c r="E1567" t="inlineStr">
        <is>
          <t>Sucursal</t>
        </is>
      </c>
      <c r="F1567" s="23" t="n">
        <v>46271</v>
      </c>
      <c r="G1567" t="inlineStr">
        <is>
          <t>recoleccion</t>
        </is>
      </c>
      <c r="H1567" s="26" t="n">
        <v>88905766</v>
      </c>
      <c r="I1567" t="inlineStr">
        <is>
          <t>bajo</t>
        </is>
      </c>
      <c r="J1567" t="inlineStr">
        <is>
          <t>RN-22 y RN-35: recoleccion al cierre de lo que pasa del cupo</t>
        </is>
      </c>
      <c r="K1567" t="inlineStr">
        <is>
          <t>Recoleccion al cierre: con el pronostico, el saldo cerraria en 179.907.766 COP, sobre el cupo de 91.002.000. Se recoge el excedente y el saldo queda en 91.002.000 COP. Equipo administrado por Sucursal. Sin tarifa TDV (administrado por la sucursal): costo 0 declarado.</t>
        </is>
      </c>
      <c r="L1567" s="26" t="n">
        <v>91002000</v>
      </c>
      <c r="M1567" s="26" t="n">
        <v>179907766</v>
      </c>
      <c r="N1567" s="27">
        <f>IF(ISNUMBER(M1567),M1567/L1567,"No aplica")</f>
        <v>1.9769649678029055</v>
      </c>
      <c r="O1567" s="25">
        <f>IF(G1567="provision",M1567+H1567,IF(G1567="recoleccion",M1567-H1567,"No aplica"))</f>
        <v>91002000</v>
      </c>
      <c r="P1567" s="26" t="n">
        <v>0</v>
      </c>
    </row>
    <row r="1568">
      <c r="A1568" t="inlineStr">
        <is>
          <t>PRAGMA</t>
        </is>
      </c>
      <c r="B1568" t="inlineStr">
        <is>
          <t>M2</t>
        </is>
      </c>
      <c r="C1568" t="inlineStr">
        <is>
          <t>Cali</t>
        </is>
      </c>
      <c r="D1568" t="inlineStr">
        <is>
          <t>5088</t>
        </is>
      </c>
      <c r="E1568" t="inlineStr">
        <is>
          <t>Sucursal</t>
        </is>
      </c>
      <c r="F1568" s="23" t="n">
        <v>46272</v>
      </c>
      <c r="G1568" t="inlineStr">
        <is>
          <t>recoleccion</t>
        </is>
      </c>
      <c r="H1568" s="26" t="n">
        <v>142307700</v>
      </c>
      <c r="I1568" t="inlineStr">
        <is>
          <t>bajo</t>
        </is>
      </c>
      <c r="J1568" t="inlineStr">
        <is>
          <t>RN-22 y RN-35: recoleccion al cierre de lo que pasa del cupo</t>
        </is>
      </c>
      <c r="K1568" t="inlineStr">
        <is>
          <t>Recoleccion al cierre: con el pronostico, el saldo cerraria en 233.309.700 COP, sobre el cupo de 91.002.000. Se recoge el excedente y el saldo queda en 91.002.000 COP. Equipo administrado por Sucursal. Sin tarifa TDV (administrado por la sucursal): costo 0 declarado.</t>
        </is>
      </c>
      <c r="L1568" s="26" t="n">
        <v>91002000</v>
      </c>
      <c r="M1568" s="26" t="n">
        <v>233309700</v>
      </c>
      <c r="N1568" s="27">
        <f>IF(ISNUMBER(M1568),M1568/L1568,"No aplica")</f>
        <v>2.5637865101865893</v>
      </c>
      <c r="O1568" s="25">
        <f>IF(G1568="provision",M1568+H1568,IF(G1568="recoleccion",M1568-H1568,"No aplica"))</f>
        <v>91002000</v>
      </c>
      <c r="P1568" s="26" t="n">
        <v>0</v>
      </c>
    </row>
    <row r="1569">
      <c r="A1569" t="inlineStr">
        <is>
          <t>PRAGMA</t>
        </is>
      </c>
      <c r="B1569" t="inlineStr">
        <is>
          <t>M2</t>
        </is>
      </c>
      <c r="C1569" t="inlineStr">
        <is>
          <t>Cali</t>
        </is>
      </c>
      <c r="D1569" t="inlineStr">
        <is>
          <t>5088</t>
        </is>
      </c>
      <c r="E1569" t="inlineStr">
        <is>
          <t>Sucursal</t>
        </is>
      </c>
      <c r="F1569" s="23" t="n">
        <v>46273</v>
      </c>
      <c r="G1569" t="inlineStr">
        <is>
          <t>recoleccion</t>
        </is>
      </c>
      <c r="H1569" s="26" t="n">
        <v>115590827</v>
      </c>
      <c r="I1569" t="inlineStr">
        <is>
          <t>bajo</t>
        </is>
      </c>
      <c r="J1569" t="inlineStr">
        <is>
          <t>RN-22 y RN-35: recoleccion al cierre de lo que pasa del cupo</t>
        </is>
      </c>
      <c r="K1569" t="inlineStr">
        <is>
          <t>Recoleccion al cierre: con el pronostico, el saldo cerraria en 206.592.827 COP, sobre el cupo de 91.002.000. Se recoge el excedente y el saldo queda en 91.002.000 COP. Equipo administrado por Sucursal. Sin tarifa TDV (administrado por la sucursal): costo 0 declarado.</t>
        </is>
      </c>
      <c r="L1569" s="26" t="n">
        <v>91002000</v>
      </c>
      <c r="M1569" s="26" t="n">
        <v>206592827</v>
      </c>
      <c r="N1569" s="27">
        <f>IF(ISNUMBER(M1569),M1569/L1569,"No aplica")</f>
        <v>2.270200951627437</v>
      </c>
      <c r="O1569" s="25">
        <f>IF(G1569="provision",M1569+H1569,IF(G1569="recoleccion",M1569-H1569,"No aplica"))</f>
        <v>91002000</v>
      </c>
      <c r="P1569" s="26" t="n">
        <v>0</v>
      </c>
    </row>
    <row r="1570">
      <c r="A1570" t="inlineStr">
        <is>
          <t>PRAGMA</t>
        </is>
      </c>
      <c r="B1570" t="inlineStr">
        <is>
          <t>M2</t>
        </is>
      </c>
      <c r="C1570" t="inlineStr">
        <is>
          <t>Cali</t>
        </is>
      </c>
      <c r="D1570" t="inlineStr">
        <is>
          <t>5088</t>
        </is>
      </c>
      <c r="E1570" t="inlineStr">
        <is>
          <t>Sucursal</t>
        </is>
      </c>
      <c r="F1570" s="23" t="n">
        <v>46274</v>
      </c>
      <c r="G1570" t="inlineStr">
        <is>
          <t>recoleccion</t>
        </is>
      </c>
      <c r="H1570" s="26" t="n">
        <v>112629937</v>
      </c>
      <c r="I1570" t="inlineStr">
        <is>
          <t>bajo</t>
        </is>
      </c>
      <c r="J1570" t="inlineStr">
        <is>
          <t>RN-22 y RN-35: recoleccion al cierre de lo que pasa del cupo</t>
        </is>
      </c>
      <c r="K1570" t="inlineStr">
        <is>
          <t>Recoleccion al cierre: con el pronostico, el saldo cerraria en 203.631.937 COP, sobre el cupo de 91.002.000. Se recoge el excedente y el saldo queda en 91.002.000 COP. Equipo administrado por Sucursal. Sin tarifa TDV (administrado por la sucursal): costo 0 declarado.</t>
        </is>
      </c>
      <c r="L1570" s="26" t="n">
        <v>91002000</v>
      </c>
      <c r="M1570" s="26" t="n">
        <v>203631937</v>
      </c>
      <c r="N1570" s="27">
        <f>IF(ISNUMBER(M1570),M1570/L1570,"No aplica")</f>
        <v>2.2376644139689237</v>
      </c>
      <c r="O1570" s="25">
        <f>IF(G1570="provision",M1570+H1570,IF(G1570="recoleccion",M1570-H1570,"No aplica"))</f>
        <v>91002000</v>
      </c>
      <c r="P1570" s="26" t="n">
        <v>0</v>
      </c>
    </row>
    <row r="1571">
      <c r="A1571" t="inlineStr">
        <is>
          <t>PRAGMA</t>
        </is>
      </c>
      <c r="B1571" t="inlineStr">
        <is>
          <t>M2</t>
        </is>
      </c>
      <c r="C1571" t="inlineStr">
        <is>
          <t>Cali</t>
        </is>
      </c>
      <c r="D1571" t="inlineStr">
        <is>
          <t>5088</t>
        </is>
      </c>
      <c r="E1571" t="inlineStr">
        <is>
          <t>Sucursal</t>
        </is>
      </c>
      <c r="F1571" s="23" t="n">
        <v>46275</v>
      </c>
      <c r="G1571" t="inlineStr">
        <is>
          <t>recoleccion</t>
        </is>
      </c>
      <c r="H1571" s="26" t="n">
        <v>109392438</v>
      </c>
      <c r="I1571" t="inlineStr">
        <is>
          <t>bajo</t>
        </is>
      </c>
      <c r="J1571" t="inlineStr">
        <is>
          <t>RN-22 y RN-35: recoleccion al cierre de lo que pasa del cupo</t>
        </is>
      </c>
      <c r="K1571" t="inlineStr">
        <is>
          <t>Recoleccion al cierre: con el pronostico, el saldo cerraria en 200.394.438 COP, sobre el cupo de 91.002.000. Se recoge el excedente y el saldo queda en 91.002.000 COP. Equipo administrado por Sucursal. Sin tarifa TDV (administrado por la sucursal): costo 0 declarado.</t>
        </is>
      </c>
      <c r="L1571" s="26" t="n">
        <v>91002000</v>
      </c>
      <c r="M1571" s="26" t="n">
        <v>200394438</v>
      </c>
      <c r="N1571" s="27">
        <f>IF(ISNUMBER(M1571),M1571/L1571,"No aplica")</f>
        <v>2.202088283773983</v>
      </c>
      <c r="O1571" s="25">
        <f>IF(G1571="provision",M1571+H1571,IF(G1571="recoleccion",M1571-H1571,"No aplica"))</f>
        <v>91002000</v>
      </c>
      <c r="P1571" s="26" t="n">
        <v>0</v>
      </c>
    </row>
    <row r="1572">
      <c r="A1572" t="inlineStr">
        <is>
          <t>PRAGMA</t>
        </is>
      </c>
      <c r="B1572" t="inlineStr">
        <is>
          <t>M2</t>
        </is>
      </c>
      <c r="C1572" t="inlineStr">
        <is>
          <t>Cali</t>
        </is>
      </c>
      <c r="D1572" t="inlineStr">
        <is>
          <t>5088</t>
        </is>
      </c>
      <c r="E1572" t="inlineStr">
        <is>
          <t>Sucursal</t>
        </is>
      </c>
      <c r="F1572" s="23" t="n">
        <v>46276</v>
      </c>
      <c r="G1572" t="inlineStr">
        <is>
          <t>recoleccion</t>
        </is>
      </c>
      <c r="H1572" s="26" t="n">
        <v>112765492</v>
      </c>
      <c r="I1572" t="inlineStr">
        <is>
          <t>bajo</t>
        </is>
      </c>
      <c r="J1572" t="inlineStr">
        <is>
          <t>RN-22 y RN-35: recoleccion al cierre de lo que pasa del cupo</t>
        </is>
      </c>
      <c r="K1572" t="inlineStr">
        <is>
          <t>Recoleccion al cierre: con el pronostico, el saldo cerraria en 203.767.492 COP, sobre el cupo de 91.002.000. Se recoge el excedente y el saldo queda en 91.002.000 COP. Equipo administrado por Sucursal. Sin tarifa TDV (administrado por la sucursal): costo 0 declarado.</t>
        </is>
      </c>
      <c r="L1572" s="26" t="n">
        <v>91002000</v>
      </c>
      <c r="M1572" s="26" t="n">
        <v>203767492</v>
      </c>
      <c r="N1572" s="27">
        <f>IF(ISNUMBER(M1572),M1572/L1572,"No aplica")</f>
        <v>2.239153996615459</v>
      </c>
      <c r="O1572" s="25">
        <f>IF(G1572="provision",M1572+H1572,IF(G1572="recoleccion",M1572-H1572,"No aplica"))</f>
        <v>91002000</v>
      </c>
      <c r="P1572" s="26" t="n">
        <v>0</v>
      </c>
    </row>
    <row r="1573">
      <c r="A1573" t="inlineStr">
        <is>
          <t>PRAGMA</t>
        </is>
      </c>
      <c r="B1573" t="inlineStr">
        <is>
          <t>M2</t>
        </is>
      </c>
      <c r="C1573" t="inlineStr">
        <is>
          <t>Cali</t>
        </is>
      </c>
      <c r="D1573" t="inlineStr">
        <is>
          <t>5088</t>
        </is>
      </c>
      <c r="E1573" t="inlineStr">
        <is>
          <t>Sucursal</t>
        </is>
      </c>
      <c r="F1573" s="23" t="n">
        <v>46277</v>
      </c>
      <c r="G1573" t="inlineStr">
        <is>
          <t>recoleccion</t>
        </is>
      </c>
      <c r="H1573" s="26" t="n">
        <v>115176877</v>
      </c>
      <c r="I1573" t="inlineStr">
        <is>
          <t>bajo</t>
        </is>
      </c>
      <c r="J1573" t="inlineStr">
        <is>
          <t>RN-22 y RN-35: recoleccion al cierre de lo que pasa del cupo</t>
        </is>
      </c>
      <c r="K1573" t="inlineStr">
        <is>
          <t>Recoleccion al cierre: con el pronostico, el saldo cerraria en 206.178.877 COP, sobre el cupo de 91.002.000. Se recoge el excedente y el saldo queda en 91.002.000 COP. Equipo administrado por Sucursal. Sin tarifa TDV (administrado por la sucursal): costo 0 declarado.</t>
        </is>
      </c>
      <c r="L1573" s="26" t="n">
        <v>91002000</v>
      </c>
      <c r="M1573" s="26" t="n">
        <v>206178877</v>
      </c>
      <c r="N1573" s="27">
        <f>IF(ISNUMBER(M1573),M1573/L1573,"No aplica")</f>
        <v>2.265652150502187</v>
      </c>
      <c r="O1573" s="25">
        <f>IF(G1573="provision",M1573+H1573,IF(G1573="recoleccion",M1573-H1573,"No aplica"))</f>
        <v>91002000</v>
      </c>
      <c r="P1573" s="26" t="n">
        <v>0</v>
      </c>
    </row>
    <row r="1574">
      <c r="A1574" t="inlineStr">
        <is>
          <t>PRAGMA</t>
        </is>
      </c>
      <c r="B1574" t="inlineStr">
        <is>
          <t>M2</t>
        </is>
      </c>
      <c r="C1574" t="inlineStr">
        <is>
          <t>Cali</t>
        </is>
      </c>
      <c r="D1574" t="inlineStr">
        <is>
          <t>5088</t>
        </is>
      </c>
      <c r="E1574" t="inlineStr">
        <is>
          <t>Sucursal</t>
        </is>
      </c>
      <c r="F1574" s="23" t="n">
        <v>46278</v>
      </c>
      <c r="G1574" t="inlineStr">
        <is>
          <t>recoleccion</t>
        </is>
      </c>
      <c r="H1574" s="26" t="n">
        <v>71779708</v>
      </c>
      <c r="I1574" t="inlineStr">
        <is>
          <t>bajo</t>
        </is>
      </c>
      <c r="J1574" t="inlineStr">
        <is>
          <t>RN-22 y RN-35: recoleccion al cierre de lo que pasa del cupo</t>
        </is>
      </c>
      <c r="K1574" t="inlineStr">
        <is>
          <t>Recoleccion al cierre: con el pronostico, el saldo cerraria en 162.781.708 COP, sobre el cupo de 91.002.000. Se recoge el excedente y el saldo queda en 91.002.000 COP. Equipo administrado por Sucursal. Sin tarifa TDV (administrado por la sucursal): costo 0 declarado.</t>
        </is>
      </c>
      <c r="L1574" s="26" t="n">
        <v>91002000</v>
      </c>
      <c r="M1574" s="26" t="n">
        <v>162781708</v>
      </c>
      <c r="N1574" s="27">
        <f>IF(ISNUMBER(M1574),M1574/L1574,"No aplica")</f>
        <v>1.7887706643810026</v>
      </c>
      <c r="O1574" s="25">
        <f>IF(G1574="provision",M1574+H1574,IF(G1574="recoleccion",M1574-H1574,"No aplica"))</f>
        <v>91002000</v>
      </c>
      <c r="P1574" s="26" t="n">
        <v>0</v>
      </c>
    </row>
    <row r="1575">
      <c r="A1575" t="inlineStr">
        <is>
          <t>PRAGMA</t>
        </is>
      </c>
      <c r="B1575" t="inlineStr">
        <is>
          <t>M2</t>
        </is>
      </c>
      <c r="C1575" t="inlineStr">
        <is>
          <t>Cali</t>
        </is>
      </c>
      <c r="D1575" t="inlineStr">
        <is>
          <t>5088</t>
        </is>
      </c>
      <c r="E1575" t="inlineStr">
        <is>
          <t>Sucursal</t>
        </is>
      </c>
      <c r="F1575" s="23" t="n">
        <v>46279</v>
      </c>
      <c r="G1575" t="inlineStr">
        <is>
          <t>recoleccion</t>
        </is>
      </c>
      <c r="H1575" s="26" t="n">
        <v>113960674</v>
      </c>
      <c r="I1575" t="inlineStr">
        <is>
          <t>bajo</t>
        </is>
      </c>
      <c r="J1575" t="inlineStr">
        <is>
          <t>RN-22 y RN-35: recoleccion al cierre de lo que pasa del cupo</t>
        </is>
      </c>
      <c r="K1575" t="inlineStr">
        <is>
          <t>Recoleccion al cierre: con el pronostico, el saldo cerraria en 204.962.674 COP, sobre el cupo de 91.002.000. Se recoge el excedente y el saldo queda en 91.002.000 COP. Equipo administrado por Sucursal. Sin tarifa TDV (administrado por la sucursal): costo 0 declarado.</t>
        </is>
      </c>
      <c r="L1575" s="26" t="n">
        <v>91002000</v>
      </c>
      <c r="M1575" s="26" t="n">
        <v>204962674</v>
      </c>
      <c r="N1575" s="27">
        <f>IF(ISNUMBER(M1575),M1575/L1575,"No aplica")</f>
        <v>2.2522875760972285</v>
      </c>
      <c r="O1575" s="25">
        <f>IF(G1575="provision",M1575+H1575,IF(G1575="recoleccion",M1575-H1575,"No aplica"))</f>
        <v>91002000</v>
      </c>
      <c r="P1575" s="26" t="n">
        <v>0</v>
      </c>
    </row>
    <row r="1576">
      <c r="A1576" t="inlineStr">
        <is>
          <t>PRAGMA</t>
        </is>
      </c>
      <c r="B1576" t="inlineStr">
        <is>
          <t>M2</t>
        </is>
      </c>
      <c r="C1576" t="inlineStr">
        <is>
          <t>Cali</t>
        </is>
      </c>
      <c r="D1576" t="inlineStr">
        <is>
          <t>5088</t>
        </is>
      </c>
      <c r="E1576" t="inlineStr">
        <is>
          <t>Sucursal</t>
        </is>
      </c>
      <c r="F1576" s="23" t="n">
        <v>46280</v>
      </c>
      <c r="G1576" t="inlineStr">
        <is>
          <t>recoleccion</t>
        </is>
      </c>
      <c r="H1576" s="26" t="n">
        <v>118255355</v>
      </c>
      <c r="I1576" t="inlineStr">
        <is>
          <t>bajo</t>
        </is>
      </c>
      <c r="J1576" t="inlineStr">
        <is>
          <t>RN-22 y RN-35: recoleccion al cierre de lo que pasa del cupo</t>
        </is>
      </c>
      <c r="K1576" t="inlineStr">
        <is>
          <t>Recoleccion al cierre: con el pronostico, el saldo cerraria en 209.257.355 COP, sobre el cupo de 91.002.000. Se recoge el excedente y el saldo queda en 91.002.000 COP. Equipo administrado por Sucursal. Sin tarifa TDV (administrado por la sucursal): costo 0 declarado.</t>
        </is>
      </c>
      <c r="L1576" s="26" t="n">
        <v>91002000</v>
      </c>
      <c r="M1576" s="26" t="n">
        <v>209257355</v>
      </c>
      <c r="N1576" s="27">
        <f>IF(ISNUMBER(M1576),M1576/L1576,"No aplica")</f>
        <v>2.299480835586031</v>
      </c>
      <c r="O1576" s="25">
        <f>IF(G1576="provision",M1576+H1576,IF(G1576="recoleccion",M1576-H1576,"No aplica"))</f>
        <v>91002000</v>
      </c>
      <c r="P1576" s="26" t="n">
        <v>0</v>
      </c>
    </row>
    <row r="1577">
      <c r="A1577" t="inlineStr">
        <is>
          <t>PRAGMA</t>
        </is>
      </c>
      <c r="B1577" t="inlineStr">
        <is>
          <t>M2</t>
        </is>
      </c>
      <c r="C1577" t="inlineStr">
        <is>
          <t>Cali</t>
        </is>
      </c>
      <c r="D1577" t="inlineStr">
        <is>
          <t>5142</t>
        </is>
      </c>
      <c r="E1577" t="inlineStr">
        <is>
          <t>Sucursal</t>
        </is>
      </c>
      <c r="F1577" s="23" t="n">
        <v>46266</v>
      </c>
      <c r="G1577" t="inlineStr">
        <is>
          <t>recoleccion</t>
        </is>
      </c>
      <c r="H1577" s="26" t="n">
        <v>456156655</v>
      </c>
      <c r="I1577" t="inlineStr">
        <is>
          <t>bajo</t>
        </is>
      </c>
      <c r="J1577" t="inlineStr">
        <is>
          <t>RN-22 y RN-35: recoleccion al cierre de lo que pasa del cupo</t>
        </is>
      </c>
      <c r="K1577" t="inlineStr">
        <is>
          <t>Recoleccion al cierre: con el pronostico, el saldo cerraria en 547.158.655 COP, sobre el cupo de 91.002.000. Se recoge el excedente y el saldo queda en 91.002.000 COP. Equipo administrado por Sucursal. Sin tarifa TDV (administrado por la sucursal): costo 0 declarado.</t>
        </is>
      </c>
      <c r="L1577" s="26" t="n">
        <v>91002000</v>
      </c>
      <c r="M1577" s="26" t="n">
        <v>547158655</v>
      </c>
      <c r="N1577" s="27">
        <f>IF(ISNUMBER(M1577),M1577/L1577,"No aplica")</f>
        <v>6.01260032746533</v>
      </c>
      <c r="O1577" s="25">
        <f>IF(G1577="provision",M1577+H1577,IF(G1577="recoleccion",M1577-H1577,"No aplica"))</f>
        <v>91002000</v>
      </c>
      <c r="P1577" s="26" t="n">
        <v>0</v>
      </c>
    </row>
    <row r="1578">
      <c r="A1578" t="inlineStr">
        <is>
          <t>PRAGMA</t>
        </is>
      </c>
      <c r="B1578" t="inlineStr">
        <is>
          <t>M2</t>
        </is>
      </c>
      <c r="C1578" t="inlineStr">
        <is>
          <t>Cali</t>
        </is>
      </c>
      <c r="D1578" t="inlineStr">
        <is>
          <t>5142</t>
        </is>
      </c>
      <c r="E1578" t="inlineStr">
        <is>
          <t>Sucursal</t>
        </is>
      </c>
      <c r="F1578" s="23" t="n">
        <v>46267</v>
      </c>
      <c r="G1578" t="inlineStr">
        <is>
          <t>recoleccion</t>
        </is>
      </c>
      <c r="H1578" s="26" t="n">
        <v>390128868</v>
      </c>
      <c r="I1578" t="inlineStr">
        <is>
          <t>bajo</t>
        </is>
      </c>
      <c r="J1578" t="inlineStr">
        <is>
          <t>RN-22 y RN-35: recoleccion al cierre de lo que pasa del cupo</t>
        </is>
      </c>
      <c r="K1578" t="inlineStr">
        <is>
          <t>Recoleccion al cierre: con el pronostico, el saldo cerraria en 481.130.868 COP, sobre el cupo de 91.002.000. Se recoge el excedente y el saldo queda en 91.002.000 COP. Equipo administrado por Sucursal. Sin tarifa TDV (administrado por la sucursal): costo 0 declarado.</t>
        </is>
      </c>
      <c r="L1578" s="26" t="n">
        <v>91002000</v>
      </c>
      <c r="M1578" s="26" t="n">
        <v>481130868</v>
      </c>
      <c r="N1578" s="27">
        <f>IF(ISNUMBER(M1578),M1578/L1578,"No aplica")</f>
        <v>5.2870361970066595</v>
      </c>
      <c r="O1578" s="25">
        <f>IF(G1578="provision",M1578+H1578,IF(G1578="recoleccion",M1578-H1578,"No aplica"))</f>
        <v>91002000</v>
      </c>
      <c r="P1578" s="26" t="n">
        <v>0</v>
      </c>
    </row>
    <row r="1579">
      <c r="A1579" t="inlineStr">
        <is>
          <t>PRAGMA</t>
        </is>
      </c>
      <c r="B1579" t="inlineStr">
        <is>
          <t>M2</t>
        </is>
      </c>
      <c r="C1579" t="inlineStr">
        <is>
          <t>Cali</t>
        </is>
      </c>
      <c r="D1579" t="inlineStr">
        <is>
          <t>5142</t>
        </is>
      </c>
      <c r="E1579" t="inlineStr">
        <is>
          <t>Sucursal</t>
        </is>
      </c>
      <c r="F1579" s="23" t="n">
        <v>46268</v>
      </c>
      <c r="G1579" t="inlineStr">
        <is>
          <t>recoleccion</t>
        </is>
      </c>
      <c r="H1579" s="26" t="n">
        <v>397755976</v>
      </c>
      <c r="I1579" t="inlineStr">
        <is>
          <t>bajo</t>
        </is>
      </c>
      <c r="J1579" t="inlineStr">
        <is>
          <t>RN-22 y RN-35: recoleccion al cierre de lo que pasa del cupo</t>
        </is>
      </c>
      <c r="K1579" t="inlineStr">
        <is>
          <t>Recoleccion al cierre: con el pronostico, el saldo cerraria en 488.757.976 COP, sobre el cupo de 91.002.000. Se recoge el excedente y el saldo queda en 91.002.000 COP. Equipo administrado por Sucursal. Sin tarifa TDV (administrado por la sucursal): costo 0 declarado.</t>
        </is>
      </c>
      <c r="L1579" s="26" t="n">
        <v>91002000</v>
      </c>
      <c r="M1579" s="26" t="n">
        <v>488757976</v>
      </c>
      <c r="N1579" s="27">
        <f>IF(ISNUMBER(M1579),M1579/L1579,"No aplica")</f>
        <v>5.370848728599372</v>
      </c>
      <c r="O1579" s="25">
        <f>IF(G1579="provision",M1579+H1579,IF(G1579="recoleccion",M1579-H1579,"No aplica"))</f>
        <v>91002000</v>
      </c>
      <c r="P1579" s="26" t="n">
        <v>0</v>
      </c>
    </row>
    <row r="1580">
      <c r="A1580" t="inlineStr">
        <is>
          <t>PRAGMA</t>
        </is>
      </c>
      <c r="B1580" t="inlineStr">
        <is>
          <t>M2</t>
        </is>
      </c>
      <c r="C1580" t="inlineStr">
        <is>
          <t>Cali</t>
        </is>
      </c>
      <c r="D1580" t="inlineStr">
        <is>
          <t>5142</t>
        </is>
      </c>
      <c r="E1580" t="inlineStr">
        <is>
          <t>Sucursal</t>
        </is>
      </c>
      <c r="F1580" s="23" t="n">
        <v>46269</v>
      </c>
      <c r="G1580" t="inlineStr">
        <is>
          <t>recoleccion</t>
        </is>
      </c>
      <c r="H1580" s="26" t="n">
        <v>407608297</v>
      </c>
      <c r="I1580" t="inlineStr">
        <is>
          <t>bajo</t>
        </is>
      </c>
      <c r="J1580" t="inlineStr">
        <is>
          <t>RN-22 y RN-35: recoleccion al cierre de lo que pasa del cupo</t>
        </is>
      </c>
      <c r="K1580" t="inlineStr">
        <is>
          <t>Recoleccion al cierre: con el pronostico, el saldo cerraria en 498.610.297 COP, sobre el cupo de 91.002.000. Se recoge el excedente y el saldo queda en 91.002.000 COP. Equipo administrado por Sucursal. Sin tarifa TDV (administrado por la sucursal): costo 0 declarado.</t>
        </is>
      </c>
      <c r="L1580" s="26" t="n">
        <v>91002000</v>
      </c>
      <c r="M1580" s="26" t="n">
        <v>498610297</v>
      </c>
      <c r="N1580" s="27">
        <f>IF(ISNUMBER(M1580),M1580/L1580,"No aplica")</f>
        <v>5.4791136128876285</v>
      </c>
      <c r="O1580" s="25">
        <f>IF(G1580="provision",M1580+H1580,IF(G1580="recoleccion",M1580-H1580,"No aplica"))</f>
        <v>91002000</v>
      </c>
      <c r="P1580" s="26" t="n">
        <v>0</v>
      </c>
    </row>
    <row r="1581">
      <c r="A1581" t="inlineStr">
        <is>
          <t>PRAGMA</t>
        </is>
      </c>
      <c r="B1581" t="inlineStr">
        <is>
          <t>M2</t>
        </is>
      </c>
      <c r="C1581" t="inlineStr">
        <is>
          <t>Cali</t>
        </is>
      </c>
      <c r="D1581" t="inlineStr">
        <is>
          <t>5142</t>
        </is>
      </c>
      <c r="E1581" t="inlineStr">
        <is>
          <t>Sucursal</t>
        </is>
      </c>
      <c r="F1581" s="23" t="n">
        <v>46270</v>
      </c>
      <c r="G1581" t="inlineStr">
        <is>
          <t>recoleccion</t>
        </is>
      </c>
      <c r="H1581" s="26" t="n">
        <v>353919252</v>
      </c>
      <c r="I1581" t="inlineStr">
        <is>
          <t>bajo</t>
        </is>
      </c>
      <c r="J1581" t="inlineStr">
        <is>
          <t>RN-22 y RN-35: recoleccion al cierre de lo que pasa del cupo</t>
        </is>
      </c>
      <c r="K1581" t="inlineStr">
        <is>
          <t>Recoleccion al cierre: con el pronostico, el saldo cerraria en 444.921.252 COP, sobre el cupo de 91.002.000. Se recoge el excedente y el saldo queda en 91.002.000 COP. Equipo administrado por Sucursal. Sin tarifa TDV (administrado por la sucursal): costo 0 declarado.</t>
        </is>
      </c>
      <c r="L1581" s="26" t="n">
        <v>91002000</v>
      </c>
      <c r="M1581" s="26" t="n">
        <v>444921252</v>
      </c>
      <c r="N1581" s="27">
        <f>IF(ISNUMBER(M1581),M1581/L1581,"No aplica")</f>
        <v>4.889137073910463</v>
      </c>
      <c r="O1581" s="25">
        <f>IF(G1581="provision",M1581+H1581,IF(G1581="recoleccion",M1581-H1581,"No aplica"))</f>
        <v>91002000</v>
      </c>
      <c r="P1581" s="26" t="n">
        <v>0</v>
      </c>
    </row>
    <row r="1582">
      <c r="A1582" t="inlineStr">
        <is>
          <t>PRAGMA</t>
        </is>
      </c>
      <c r="B1582" t="inlineStr">
        <is>
          <t>M2</t>
        </is>
      </c>
      <c r="C1582" t="inlineStr">
        <is>
          <t>Cali</t>
        </is>
      </c>
      <c r="D1582" t="inlineStr">
        <is>
          <t>5142</t>
        </is>
      </c>
      <c r="E1582" t="inlineStr">
        <is>
          <t>Sucursal</t>
        </is>
      </c>
      <c r="F1582" s="23" t="n">
        <v>46271</v>
      </c>
      <c r="G1582" t="inlineStr">
        <is>
          <t>recoleccion</t>
        </is>
      </c>
      <c r="H1582" s="26" t="n">
        <v>165566313</v>
      </c>
      <c r="I1582" t="inlineStr">
        <is>
          <t>bajo</t>
        </is>
      </c>
      <c r="J1582" t="inlineStr">
        <is>
          <t>RN-22 y RN-35: recoleccion al cierre de lo que pasa del cupo</t>
        </is>
      </c>
      <c r="K1582" t="inlineStr">
        <is>
          <t>Recoleccion al cierre: con el pronostico, el saldo cerraria en 256.568.313 COP, sobre el cupo de 91.002.000. Se recoge el excedente y el saldo queda en 91.002.000 COP. Equipo administrado por Sucursal. Sin tarifa TDV (administrado por la sucursal): costo 0 declarado.</t>
        </is>
      </c>
      <c r="L1582" s="26" t="n">
        <v>91002000</v>
      </c>
      <c r="M1582" s="26" t="n">
        <v>256568313</v>
      </c>
      <c r="N1582" s="27">
        <f>IF(ISNUMBER(M1582),M1582/L1582,"No aplica")</f>
        <v>2.819370046812158</v>
      </c>
      <c r="O1582" s="25">
        <f>IF(G1582="provision",M1582+H1582,IF(G1582="recoleccion",M1582-H1582,"No aplica"))</f>
        <v>91002000</v>
      </c>
      <c r="P1582" s="26" t="n">
        <v>0</v>
      </c>
    </row>
    <row r="1583">
      <c r="A1583" t="inlineStr">
        <is>
          <t>PRAGMA</t>
        </is>
      </c>
      <c r="B1583" t="inlineStr">
        <is>
          <t>M2</t>
        </is>
      </c>
      <c r="C1583" t="inlineStr">
        <is>
          <t>Cali</t>
        </is>
      </c>
      <c r="D1583" t="inlineStr">
        <is>
          <t>5142</t>
        </is>
      </c>
      <c r="E1583" t="inlineStr">
        <is>
          <t>Sucursal</t>
        </is>
      </c>
      <c r="F1583" s="23" t="n">
        <v>46272</v>
      </c>
      <c r="G1583" t="inlineStr">
        <is>
          <t>recoleccion</t>
        </is>
      </c>
      <c r="H1583" s="26" t="n">
        <v>447121161</v>
      </c>
      <c r="I1583" t="inlineStr">
        <is>
          <t>bajo</t>
        </is>
      </c>
      <c r="J1583" t="inlineStr">
        <is>
          <t>RN-22 y RN-35: recoleccion al cierre de lo que pasa del cupo</t>
        </is>
      </c>
      <c r="K1583" t="inlineStr">
        <is>
          <t>Recoleccion al cierre: con el pronostico, el saldo cerraria en 538.123.161 COP, sobre el cupo de 91.002.000. Se recoge el excedente y el saldo queda en 91.002.000 COP. Equipo administrado por Sucursal. Sin tarifa TDV (administrado por la sucursal): costo 0 declarado.</t>
        </is>
      </c>
      <c r="L1583" s="26" t="n">
        <v>91002000</v>
      </c>
      <c r="M1583" s="26" t="n">
        <v>538123161</v>
      </c>
      <c r="N1583" s="27">
        <f>IF(ISNUMBER(M1583),M1583/L1583,"No aplica")</f>
        <v>5.913311366783148</v>
      </c>
      <c r="O1583" s="25">
        <f>IF(G1583="provision",M1583+H1583,IF(G1583="recoleccion",M1583-H1583,"No aplica"))</f>
        <v>91002000</v>
      </c>
      <c r="P1583" s="26" t="n">
        <v>0</v>
      </c>
    </row>
    <row r="1584">
      <c r="A1584" t="inlineStr">
        <is>
          <t>PRAGMA</t>
        </is>
      </c>
      <c r="B1584" t="inlineStr">
        <is>
          <t>M2</t>
        </is>
      </c>
      <c r="C1584" t="inlineStr">
        <is>
          <t>Cali</t>
        </is>
      </c>
      <c r="D1584" t="inlineStr">
        <is>
          <t>5142</t>
        </is>
      </c>
      <c r="E1584" t="inlineStr">
        <is>
          <t>Sucursal</t>
        </is>
      </c>
      <c r="F1584" s="23" t="n">
        <v>46273</v>
      </c>
      <c r="G1584" t="inlineStr">
        <is>
          <t>recoleccion</t>
        </is>
      </c>
      <c r="H1584" s="26" t="n">
        <v>399302727</v>
      </c>
      <c r="I1584" t="inlineStr">
        <is>
          <t>bajo</t>
        </is>
      </c>
      <c r="J1584" t="inlineStr">
        <is>
          <t>RN-22 y RN-35: recoleccion al cierre de lo que pasa del cupo</t>
        </is>
      </c>
      <c r="K1584" t="inlineStr">
        <is>
          <t>Recoleccion al cierre: con el pronostico, el saldo cerraria en 490.304.727 COP, sobre el cupo de 91.002.000. Se recoge el excedente y el saldo queda en 91.002.000 COP. Equipo administrado por Sucursal. Sin tarifa TDV (administrado por la sucursal): costo 0 declarado.</t>
        </is>
      </c>
      <c r="L1584" s="26" t="n">
        <v>91002000</v>
      </c>
      <c r="M1584" s="26" t="n">
        <v>490304727</v>
      </c>
      <c r="N1584" s="27">
        <f>IF(ISNUMBER(M1584),M1584/L1584,"No aplica")</f>
        <v>5.387845618777609</v>
      </c>
      <c r="O1584" s="25">
        <f>IF(G1584="provision",M1584+H1584,IF(G1584="recoleccion",M1584-H1584,"No aplica"))</f>
        <v>91002000</v>
      </c>
      <c r="P1584" s="26" t="n">
        <v>0</v>
      </c>
    </row>
    <row r="1585">
      <c r="A1585" t="inlineStr">
        <is>
          <t>PRAGMA</t>
        </is>
      </c>
      <c r="B1585" t="inlineStr">
        <is>
          <t>M2</t>
        </is>
      </c>
      <c r="C1585" t="inlineStr">
        <is>
          <t>Cali</t>
        </is>
      </c>
      <c r="D1585" t="inlineStr">
        <is>
          <t>5142</t>
        </is>
      </c>
      <c r="E1585" t="inlineStr">
        <is>
          <t>Sucursal</t>
        </is>
      </c>
      <c r="F1585" s="23" t="n">
        <v>46274</v>
      </c>
      <c r="G1585" t="inlineStr">
        <is>
          <t>recoleccion</t>
        </is>
      </c>
      <c r="H1585" s="26" t="n">
        <v>368334166</v>
      </c>
      <c r="I1585" t="inlineStr">
        <is>
          <t>bajo</t>
        </is>
      </c>
      <c r="J1585" t="inlineStr">
        <is>
          <t>RN-22 y RN-35: recoleccion al cierre de lo que pasa del cupo</t>
        </is>
      </c>
      <c r="K1585" t="inlineStr">
        <is>
          <t>Recoleccion al cierre: con el pronostico, el saldo cerraria en 459.336.166 COP, sobre el cupo de 91.002.000. Se recoge el excedente y el saldo queda en 91.002.000 COP. Equipo administrado por Sucursal. Sin tarifa TDV (administrado por la sucursal): costo 0 declarado.</t>
        </is>
      </c>
      <c r="L1585" s="26" t="n">
        <v>91002000</v>
      </c>
      <c r="M1585" s="26" t="n">
        <v>459336166</v>
      </c>
      <c r="N1585" s="27">
        <f>IF(ISNUMBER(M1585),M1585/L1585,"No aplica")</f>
        <v>5.047539240895804</v>
      </c>
      <c r="O1585" s="25">
        <f>IF(G1585="provision",M1585+H1585,IF(G1585="recoleccion",M1585-H1585,"No aplica"))</f>
        <v>91002000</v>
      </c>
      <c r="P1585" s="26" t="n">
        <v>0</v>
      </c>
    </row>
    <row r="1586">
      <c r="A1586" t="inlineStr">
        <is>
          <t>PRAGMA</t>
        </is>
      </c>
      <c r="B1586" t="inlineStr">
        <is>
          <t>M2</t>
        </is>
      </c>
      <c r="C1586" t="inlineStr">
        <is>
          <t>Cali</t>
        </is>
      </c>
      <c r="D1586" t="inlineStr">
        <is>
          <t>5142</t>
        </is>
      </c>
      <c r="E1586" t="inlineStr">
        <is>
          <t>Sucursal</t>
        </is>
      </c>
      <c r="F1586" s="23" t="n">
        <v>46275</v>
      </c>
      <c r="G1586" t="inlineStr">
        <is>
          <t>recoleccion</t>
        </is>
      </c>
      <c r="H1586" s="26" t="n">
        <v>359477618</v>
      </c>
      <c r="I1586" t="inlineStr">
        <is>
          <t>bajo</t>
        </is>
      </c>
      <c r="J1586" t="inlineStr">
        <is>
          <t>RN-22 y RN-35: recoleccion al cierre de lo que pasa del cupo</t>
        </is>
      </c>
      <c r="K1586" t="inlineStr">
        <is>
          <t>Recoleccion al cierre: con el pronostico, el saldo cerraria en 450.479.618 COP, sobre el cupo de 91.002.000. Se recoge el excedente y el saldo queda en 91.002.000 COP. Equipo administrado por Sucursal. Sin tarifa TDV (administrado por la sucursal): costo 0 declarado.</t>
        </is>
      </c>
      <c r="L1586" s="26" t="n">
        <v>91002000</v>
      </c>
      <c r="M1586" s="26" t="n">
        <v>450479618</v>
      </c>
      <c r="N1586" s="27">
        <f>IF(ISNUMBER(M1586),M1586/L1586,"No aplica")</f>
        <v>4.950216676556559</v>
      </c>
      <c r="O1586" s="25">
        <f>IF(G1586="provision",M1586+H1586,IF(G1586="recoleccion",M1586-H1586,"No aplica"))</f>
        <v>91002000</v>
      </c>
      <c r="P1586" s="26" t="n">
        <v>0</v>
      </c>
    </row>
    <row r="1587">
      <c r="A1587" t="inlineStr">
        <is>
          <t>PRAGMA</t>
        </is>
      </c>
      <c r="B1587" t="inlineStr">
        <is>
          <t>M2</t>
        </is>
      </c>
      <c r="C1587" t="inlineStr">
        <is>
          <t>Cali</t>
        </is>
      </c>
      <c r="D1587" t="inlineStr">
        <is>
          <t>5142</t>
        </is>
      </c>
      <c r="E1587" t="inlineStr">
        <is>
          <t>Sucursal</t>
        </is>
      </c>
      <c r="F1587" s="23" t="n">
        <v>46276</v>
      </c>
      <c r="G1587" t="inlineStr">
        <is>
          <t>recoleccion</t>
        </is>
      </c>
      <c r="H1587" s="26" t="n">
        <v>356017542</v>
      </c>
      <c r="I1587" t="inlineStr">
        <is>
          <t>bajo</t>
        </is>
      </c>
      <c r="J1587" t="inlineStr">
        <is>
          <t>RN-22 y RN-35: recoleccion al cierre de lo que pasa del cupo</t>
        </is>
      </c>
      <c r="K1587" t="inlineStr">
        <is>
          <t>Recoleccion al cierre: con el pronostico, el saldo cerraria en 447.019.542 COP, sobre el cupo de 91.002.000. Se recoge el excedente y el saldo queda en 91.002.000 COP. Equipo administrado por Sucursal. Sin tarifa TDV (administrado por la sucursal): costo 0 declarado.</t>
        </is>
      </c>
      <c r="L1587" s="26" t="n">
        <v>91002000</v>
      </c>
      <c r="M1587" s="26" t="n">
        <v>447019542</v>
      </c>
      <c r="N1587" s="27">
        <f>IF(ISNUMBER(M1587),M1587/L1587,"No aplica")</f>
        <v>4.912194699017604</v>
      </c>
      <c r="O1587" s="25">
        <f>IF(G1587="provision",M1587+H1587,IF(G1587="recoleccion",M1587-H1587,"No aplica"))</f>
        <v>91002000</v>
      </c>
      <c r="P1587" s="26" t="n">
        <v>0</v>
      </c>
    </row>
    <row r="1588">
      <c r="A1588" t="inlineStr">
        <is>
          <t>PRAGMA</t>
        </is>
      </c>
      <c r="B1588" t="inlineStr">
        <is>
          <t>M2</t>
        </is>
      </c>
      <c r="C1588" t="inlineStr">
        <is>
          <t>Cali</t>
        </is>
      </c>
      <c r="D1588" t="inlineStr">
        <is>
          <t>5142</t>
        </is>
      </c>
      <c r="E1588" t="inlineStr">
        <is>
          <t>Sucursal</t>
        </is>
      </c>
      <c r="F1588" s="23" t="n">
        <v>46277</v>
      </c>
      <c r="G1588" t="inlineStr">
        <is>
          <t>recoleccion</t>
        </is>
      </c>
      <c r="H1588" s="26" t="n">
        <v>302786947</v>
      </c>
      <c r="I1588" t="inlineStr">
        <is>
          <t>bajo</t>
        </is>
      </c>
      <c r="J1588" t="inlineStr">
        <is>
          <t>RN-22 y RN-35: recoleccion al cierre de lo que pasa del cupo</t>
        </is>
      </c>
      <c r="K1588" t="inlineStr">
        <is>
          <t>Recoleccion al cierre: con el pronostico, el saldo cerraria en 393.788.947 COP, sobre el cupo de 91.002.000. Se recoge el excedente y el saldo queda en 91.002.000 COP. Equipo administrado por Sucursal. Sin tarifa TDV (administrado por la sucursal): costo 0 declarado.</t>
        </is>
      </c>
      <c r="L1588" s="26" t="n">
        <v>91002000</v>
      </c>
      <c r="M1588" s="26" t="n">
        <v>393788947</v>
      </c>
      <c r="N1588" s="27">
        <f>IF(ISNUMBER(M1588),M1588/L1588,"No aplica")</f>
        <v>4.327255961407442</v>
      </c>
      <c r="O1588" s="25">
        <f>IF(G1588="provision",M1588+H1588,IF(G1588="recoleccion",M1588-H1588,"No aplica"))</f>
        <v>91002000</v>
      </c>
      <c r="P1588" s="26" t="n">
        <v>0</v>
      </c>
    </row>
    <row r="1589">
      <c r="A1589" t="inlineStr">
        <is>
          <t>PRAGMA</t>
        </is>
      </c>
      <c r="B1589" t="inlineStr">
        <is>
          <t>M2</t>
        </is>
      </c>
      <c r="C1589" t="inlineStr">
        <is>
          <t>Cali</t>
        </is>
      </c>
      <c r="D1589" t="inlineStr">
        <is>
          <t>5142</t>
        </is>
      </c>
      <c r="E1589" t="inlineStr">
        <is>
          <t>Sucursal</t>
        </is>
      </c>
      <c r="F1589" s="23" t="n">
        <v>46278</v>
      </c>
      <c r="G1589" t="inlineStr">
        <is>
          <t>recoleccion</t>
        </is>
      </c>
      <c r="H1589" s="26" t="n">
        <v>128214770</v>
      </c>
      <c r="I1589" t="inlineStr">
        <is>
          <t>bajo</t>
        </is>
      </c>
      <c r="J1589" t="inlineStr">
        <is>
          <t>RN-22 y RN-35: recoleccion al cierre de lo que pasa del cupo</t>
        </is>
      </c>
      <c r="K1589" t="inlineStr">
        <is>
          <t>Recoleccion al cierre: con el pronostico, el saldo cerraria en 219.216.770 COP, sobre el cupo de 91.002.000. Se recoge el excedente y el saldo queda en 91.002.000 COP. Equipo administrado por Sucursal. Sin tarifa TDV (administrado por la sucursal): costo 0 declarado.</t>
        </is>
      </c>
      <c r="L1589" s="26" t="n">
        <v>91002000</v>
      </c>
      <c r="M1589" s="26" t="n">
        <v>219216770</v>
      </c>
      <c r="N1589" s="27">
        <f>IF(ISNUMBER(M1589),M1589/L1589,"No aplica")</f>
        <v>2.408922551152722</v>
      </c>
      <c r="O1589" s="25">
        <f>IF(G1589="provision",M1589+H1589,IF(G1589="recoleccion",M1589-H1589,"No aplica"))</f>
        <v>91002000</v>
      </c>
      <c r="P1589" s="26" t="n">
        <v>0</v>
      </c>
    </row>
    <row r="1590">
      <c r="A1590" t="inlineStr">
        <is>
          <t>PRAGMA</t>
        </is>
      </c>
      <c r="B1590" t="inlineStr">
        <is>
          <t>M2</t>
        </is>
      </c>
      <c r="C1590" t="inlineStr">
        <is>
          <t>Cali</t>
        </is>
      </c>
      <c r="D1590" t="inlineStr">
        <is>
          <t>5142</t>
        </is>
      </c>
      <c r="E1590" t="inlineStr">
        <is>
          <t>Sucursal</t>
        </is>
      </c>
      <c r="F1590" s="23" t="n">
        <v>46279</v>
      </c>
      <c r="G1590" t="inlineStr">
        <is>
          <t>recoleccion</t>
        </is>
      </c>
      <c r="H1590" s="26" t="n">
        <v>366645721</v>
      </c>
      <c r="I1590" t="inlineStr">
        <is>
          <t>bajo</t>
        </is>
      </c>
      <c r="J1590" t="inlineStr">
        <is>
          <t>RN-22 y RN-35: recoleccion al cierre de lo que pasa del cupo</t>
        </is>
      </c>
      <c r="K1590" t="inlineStr">
        <is>
          <t>Recoleccion al cierre: con el pronostico, el saldo cerraria en 457.647.721 COP, sobre el cupo de 91.002.000. Se recoge el excedente y el saldo queda en 91.002.000 COP. Equipo administrado por Sucursal. Sin tarifa TDV (administrado por la sucursal): costo 0 declarado.</t>
        </is>
      </c>
      <c r="L1590" s="26" t="n">
        <v>91002000</v>
      </c>
      <c r="M1590" s="26" t="n">
        <v>457647721</v>
      </c>
      <c r="N1590" s="27">
        <f>IF(ISNUMBER(M1590),M1590/L1590,"No aplica")</f>
        <v>5.0289853080152085</v>
      </c>
      <c r="O1590" s="25">
        <f>IF(G1590="provision",M1590+H1590,IF(G1590="recoleccion",M1590-H1590,"No aplica"))</f>
        <v>91002000</v>
      </c>
      <c r="P1590" s="26" t="n">
        <v>0</v>
      </c>
    </row>
    <row r="1591">
      <c r="A1591" t="inlineStr">
        <is>
          <t>PRAGMA</t>
        </is>
      </c>
      <c r="B1591" t="inlineStr">
        <is>
          <t>M2</t>
        </is>
      </c>
      <c r="C1591" t="inlineStr">
        <is>
          <t>Cali</t>
        </is>
      </c>
      <c r="D1591" t="inlineStr">
        <is>
          <t>5142</t>
        </is>
      </c>
      <c r="E1591" t="inlineStr">
        <is>
          <t>Sucursal</t>
        </is>
      </c>
      <c r="F1591" s="23" t="n">
        <v>46280</v>
      </c>
      <c r="G1591" t="inlineStr">
        <is>
          <t>recoleccion</t>
        </is>
      </c>
      <c r="H1591" s="26" t="n">
        <v>371613839</v>
      </c>
      <c r="I1591" t="inlineStr">
        <is>
          <t>bajo</t>
        </is>
      </c>
      <c r="J1591" t="inlineStr">
        <is>
          <t>RN-22 y RN-35: recoleccion al cierre de lo que pasa del cupo</t>
        </is>
      </c>
      <c r="K1591" t="inlineStr">
        <is>
          <t>Recoleccion al cierre: con el pronostico, el saldo cerraria en 462.615.839 COP, sobre el cupo de 91.002.000. Se recoge el excedente y el saldo queda en 91.002.000 COP. Equipo administrado por Sucursal. Sin tarifa TDV (administrado por la sucursal): costo 0 declarado.</t>
        </is>
      </c>
      <c r="L1591" s="26" t="n">
        <v>91002000</v>
      </c>
      <c r="M1591" s="26" t="n">
        <v>462615839</v>
      </c>
      <c r="N1591" s="27">
        <f>IF(ISNUMBER(M1591),M1591/L1591,"No aplica")</f>
        <v>5.083578811454693</v>
      </c>
      <c r="O1591" s="25">
        <f>IF(G1591="provision",M1591+H1591,IF(G1591="recoleccion",M1591-H1591,"No aplica"))</f>
        <v>91002000</v>
      </c>
      <c r="P1591" s="26" t="n">
        <v>0</v>
      </c>
    </row>
    <row r="1592">
      <c r="A1592" t="inlineStr">
        <is>
          <t>PRAGMA</t>
        </is>
      </c>
      <c r="B1592" t="inlineStr">
        <is>
          <t>M2</t>
        </is>
      </c>
      <c r="C1592" t="inlineStr">
        <is>
          <t>Cali</t>
        </is>
      </c>
      <c r="D1592" t="inlineStr">
        <is>
          <t>5162</t>
        </is>
      </c>
      <c r="E1592" t="inlineStr">
        <is>
          <t>Sucursal</t>
        </is>
      </c>
      <c r="F1592" s="23" t="n">
        <v>46266</v>
      </c>
      <c r="G1592" t="inlineStr">
        <is>
          <t>recoleccion</t>
        </is>
      </c>
      <c r="H1592" s="26" t="n">
        <v>143941464</v>
      </c>
      <c r="I1592" t="inlineStr">
        <is>
          <t>bajo</t>
        </is>
      </c>
      <c r="J1592" t="inlineStr">
        <is>
          <t>RN-22 y RN-35: recoleccion al cierre de lo que pasa del cupo</t>
        </is>
      </c>
      <c r="K1592" t="inlineStr">
        <is>
          <t>Recoleccion al cierre: con el pronostico, el saldo cerraria en 234.943.464 COP, sobre el cupo de 91.002.000. Se recoge el excedente y el saldo queda en 91.002.000 COP. Equipo administrado por Sucursal. Sin tarifa TDV (administrado por la sucursal): costo 0 declarado.</t>
        </is>
      </c>
      <c r="L1592" s="26" t="n">
        <v>91002000</v>
      </c>
      <c r="M1592" s="26" t="n">
        <v>234943464</v>
      </c>
      <c r="N1592" s="27">
        <f>IF(ISNUMBER(M1592),M1592/L1592,"No aplica")</f>
        <v>2.581739566163381</v>
      </c>
      <c r="O1592" s="25">
        <f>IF(G1592="provision",M1592+H1592,IF(G1592="recoleccion",M1592-H1592,"No aplica"))</f>
        <v>91002000</v>
      </c>
      <c r="P1592" s="26" t="n">
        <v>0</v>
      </c>
    </row>
    <row r="1593">
      <c r="A1593" t="inlineStr">
        <is>
          <t>PRAGMA</t>
        </is>
      </c>
      <c r="B1593" t="inlineStr">
        <is>
          <t>M2</t>
        </is>
      </c>
      <c r="C1593" t="inlineStr">
        <is>
          <t>Cali</t>
        </is>
      </c>
      <c r="D1593" t="inlineStr">
        <is>
          <t>5162</t>
        </is>
      </c>
      <c r="E1593" t="inlineStr">
        <is>
          <t>Sucursal</t>
        </is>
      </c>
      <c r="F1593" s="23" t="n">
        <v>46267</v>
      </c>
      <c r="G1593" t="inlineStr">
        <is>
          <t>recoleccion</t>
        </is>
      </c>
      <c r="H1593" s="26" t="n">
        <v>136386487</v>
      </c>
      <c r="I1593" t="inlineStr">
        <is>
          <t>bajo</t>
        </is>
      </c>
      <c r="J1593" t="inlineStr">
        <is>
          <t>RN-22 y RN-35: recoleccion al cierre de lo que pasa del cupo</t>
        </is>
      </c>
      <c r="K1593" t="inlineStr">
        <is>
          <t>Recoleccion al cierre: con el pronostico, el saldo cerraria en 227.388.487 COP, sobre el cupo de 91.002.000. Se recoge el excedente y el saldo queda en 91.002.000 COP. Equipo administrado por Sucursal. Sin tarifa TDV (administrado por la sucursal): costo 0 declarado.</t>
        </is>
      </c>
      <c r="L1593" s="26" t="n">
        <v>91002000</v>
      </c>
      <c r="M1593" s="26" t="n">
        <v>227388487</v>
      </c>
      <c r="N1593" s="27">
        <f>IF(ISNUMBER(M1593),M1593/L1593,"No aplica")</f>
        <v>2.498719665501857</v>
      </c>
      <c r="O1593" s="25">
        <f>IF(G1593="provision",M1593+H1593,IF(G1593="recoleccion",M1593-H1593,"No aplica"))</f>
        <v>91002000</v>
      </c>
      <c r="P1593" s="26" t="n">
        <v>0</v>
      </c>
    </row>
    <row r="1594">
      <c r="A1594" t="inlineStr">
        <is>
          <t>PRAGMA</t>
        </is>
      </c>
      <c r="B1594" t="inlineStr">
        <is>
          <t>M2</t>
        </is>
      </c>
      <c r="C1594" t="inlineStr">
        <is>
          <t>Cali</t>
        </is>
      </c>
      <c r="D1594" t="inlineStr">
        <is>
          <t>5162</t>
        </is>
      </c>
      <c r="E1594" t="inlineStr">
        <is>
          <t>Sucursal</t>
        </is>
      </c>
      <c r="F1594" s="23" t="n">
        <v>46268</v>
      </c>
      <c r="G1594" t="inlineStr">
        <is>
          <t>recoleccion</t>
        </is>
      </c>
      <c r="H1594" s="26" t="n">
        <v>133002259</v>
      </c>
      <c r="I1594" t="inlineStr">
        <is>
          <t>bajo</t>
        </is>
      </c>
      <c r="J1594" t="inlineStr">
        <is>
          <t>RN-22 y RN-35: recoleccion al cierre de lo que pasa del cupo</t>
        </is>
      </c>
      <c r="K1594" t="inlineStr">
        <is>
          <t>Recoleccion al cierre: con el pronostico, el saldo cerraria en 224.004.259 COP, sobre el cupo de 91.002.000. Se recoge el excedente y el saldo queda en 91.002.000 COP. Equipo administrado por Sucursal. Sin tarifa TDV (administrado por la sucursal): costo 0 declarado.</t>
        </is>
      </c>
      <c r="L1594" s="26" t="n">
        <v>91002000</v>
      </c>
      <c r="M1594" s="26" t="n">
        <v>224004259</v>
      </c>
      <c r="N1594" s="27">
        <f>IF(ISNUMBER(M1594),M1594/L1594,"No aplica")</f>
        <v>2.4615311641502386</v>
      </c>
      <c r="O1594" s="25">
        <f>IF(G1594="provision",M1594+H1594,IF(G1594="recoleccion",M1594-H1594,"No aplica"))</f>
        <v>91002000</v>
      </c>
      <c r="P1594" s="26" t="n">
        <v>0</v>
      </c>
    </row>
    <row r="1595">
      <c r="A1595" t="inlineStr">
        <is>
          <t>PRAGMA</t>
        </is>
      </c>
      <c r="B1595" t="inlineStr">
        <is>
          <t>M2</t>
        </is>
      </c>
      <c r="C1595" t="inlineStr">
        <is>
          <t>Cali</t>
        </is>
      </c>
      <c r="D1595" t="inlineStr">
        <is>
          <t>5162</t>
        </is>
      </c>
      <c r="E1595" t="inlineStr">
        <is>
          <t>Sucursal</t>
        </is>
      </c>
      <c r="F1595" s="23" t="n">
        <v>46269</v>
      </c>
      <c r="G1595" t="inlineStr">
        <is>
          <t>recoleccion</t>
        </is>
      </c>
      <c r="H1595" s="26" t="n">
        <v>139146706</v>
      </c>
      <c r="I1595" t="inlineStr">
        <is>
          <t>bajo</t>
        </is>
      </c>
      <c r="J1595" t="inlineStr">
        <is>
          <t>RN-22 y RN-35: recoleccion al cierre de lo que pasa del cupo</t>
        </is>
      </c>
      <c r="K1595" t="inlineStr">
        <is>
          <t>Recoleccion al cierre: con el pronostico, el saldo cerraria en 230.148.706 COP, sobre el cupo de 91.002.000. Se recoge el excedente y el saldo queda en 91.002.000 COP. Equipo administrado por Sucursal. Sin tarifa TDV (administrado por la sucursal): costo 0 declarado.</t>
        </is>
      </c>
      <c r="L1595" s="26" t="n">
        <v>91002000</v>
      </c>
      <c r="M1595" s="26" t="n">
        <v>230148706</v>
      </c>
      <c r="N1595" s="27">
        <f>IF(ISNUMBER(M1595),M1595/L1595,"No aplica")</f>
        <v>2.529051075800532</v>
      </c>
      <c r="O1595" s="25">
        <f>IF(G1595="provision",M1595+H1595,IF(G1595="recoleccion",M1595-H1595,"No aplica"))</f>
        <v>91002000</v>
      </c>
      <c r="P1595" s="26" t="n">
        <v>0</v>
      </c>
    </row>
    <row r="1596">
      <c r="A1596" t="inlineStr">
        <is>
          <t>PRAGMA</t>
        </is>
      </c>
      <c r="B1596" t="inlineStr">
        <is>
          <t>M2</t>
        </is>
      </c>
      <c r="C1596" t="inlineStr">
        <is>
          <t>Cali</t>
        </is>
      </c>
      <c r="D1596" t="inlineStr">
        <is>
          <t>5162</t>
        </is>
      </c>
      <c r="E1596" t="inlineStr">
        <is>
          <t>Sucursal</t>
        </is>
      </c>
      <c r="F1596" s="23" t="n">
        <v>46270</v>
      </c>
      <c r="G1596" t="inlineStr">
        <is>
          <t>recoleccion</t>
        </is>
      </c>
      <c r="H1596" s="26" t="n">
        <v>130761518</v>
      </c>
      <c r="I1596" t="inlineStr">
        <is>
          <t>bajo</t>
        </is>
      </c>
      <c r="J1596" t="inlineStr">
        <is>
          <t>RN-22 y RN-35: recoleccion al cierre de lo que pasa del cupo</t>
        </is>
      </c>
      <c r="K1596" t="inlineStr">
        <is>
          <t>Recoleccion al cierre: con el pronostico, el saldo cerraria en 221.763.518 COP, sobre el cupo de 91.002.000. Se recoge el excedente y el saldo queda en 91.002.000 COP. Equipo administrado por Sucursal. Sin tarifa TDV (administrado por la sucursal): costo 0 declarado.</t>
        </is>
      </c>
      <c r="L1596" s="26" t="n">
        <v>91002000</v>
      </c>
      <c r="M1596" s="26" t="n">
        <v>221763518</v>
      </c>
      <c r="N1596" s="27">
        <f>IF(ISNUMBER(M1596),M1596/L1596,"No aplica")</f>
        <v>2.4369081778422452</v>
      </c>
      <c r="O1596" s="25">
        <f>IF(G1596="provision",M1596+H1596,IF(G1596="recoleccion",M1596-H1596,"No aplica"))</f>
        <v>91002000</v>
      </c>
      <c r="P1596" s="26" t="n">
        <v>0</v>
      </c>
    </row>
    <row r="1597">
      <c r="A1597" t="inlineStr">
        <is>
          <t>PRAGMA</t>
        </is>
      </c>
      <c r="B1597" t="inlineStr">
        <is>
          <t>M2</t>
        </is>
      </c>
      <c r="C1597" t="inlineStr">
        <is>
          <t>Cali</t>
        </is>
      </c>
      <c r="D1597" t="inlineStr">
        <is>
          <t>5162</t>
        </is>
      </c>
      <c r="E1597" t="inlineStr">
        <is>
          <t>Sucursal</t>
        </is>
      </c>
      <c r="F1597" s="23" t="n">
        <v>46271</v>
      </c>
      <c r="G1597" t="inlineStr">
        <is>
          <t>recoleccion</t>
        </is>
      </c>
      <c r="H1597" s="26" t="n">
        <v>70121526</v>
      </c>
      <c r="I1597" t="inlineStr">
        <is>
          <t>bajo</t>
        </is>
      </c>
      <c r="J1597" t="inlineStr">
        <is>
          <t>RN-22 y RN-35: recoleccion al cierre de lo que pasa del cupo</t>
        </is>
      </c>
      <c r="K1597" t="inlineStr">
        <is>
          <t>Recoleccion al cierre: con el pronostico, el saldo cerraria en 161.123.526 COP, sobre el cupo de 91.002.000. Se recoge el excedente y el saldo queda en 91.002.000 COP. Equipo administrado por Sucursal. Sin tarifa TDV (administrado por la sucursal): costo 0 declarado.</t>
        </is>
      </c>
      <c r="L1597" s="26" t="n">
        <v>91002000</v>
      </c>
      <c r="M1597" s="26" t="n">
        <v>161123526</v>
      </c>
      <c r="N1597" s="27">
        <f>IF(ISNUMBER(M1597),M1597/L1597,"No aplica")</f>
        <v>1.770549284631107</v>
      </c>
      <c r="O1597" s="25">
        <f>IF(G1597="provision",M1597+H1597,IF(G1597="recoleccion",M1597-H1597,"No aplica"))</f>
        <v>91002000</v>
      </c>
      <c r="P1597" s="26" t="n">
        <v>0</v>
      </c>
    </row>
    <row r="1598">
      <c r="A1598" t="inlineStr">
        <is>
          <t>PRAGMA</t>
        </is>
      </c>
      <c r="B1598" t="inlineStr">
        <is>
          <t>M2</t>
        </is>
      </c>
      <c r="C1598" t="inlineStr">
        <is>
          <t>Cali</t>
        </is>
      </c>
      <c r="D1598" t="inlineStr">
        <is>
          <t>5162</t>
        </is>
      </c>
      <c r="E1598" t="inlineStr">
        <is>
          <t>Sucursal</t>
        </is>
      </c>
      <c r="F1598" s="23" t="n">
        <v>46272</v>
      </c>
      <c r="G1598" t="inlineStr">
        <is>
          <t>recoleccion</t>
        </is>
      </c>
      <c r="H1598" s="26" t="n">
        <v>167405763</v>
      </c>
      <c r="I1598" t="inlineStr">
        <is>
          <t>bajo</t>
        </is>
      </c>
      <c r="J1598" t="inlineStr">
        <is>
          <t>RN-22 y RN-35: recoleccion al cierre de lo que pasa del cupo</t>
        </is>
      </c>
      <c r="K1598" t="inlineStr">
        <is>
          <t>Recoleccion al cierre: con el pronostico, el saldo cerraria en 258.407.763 COP, sobre el cupo de 91.002.000. Se recoge el excedente y el saldo queda en 91.002.000 COP. Equipo administrado por Sucursal. Sin tarifa TDV (administrado por la sucursal): costo 0 declarado.</t>
        </is>
      </c>
      <c r="L1598" s="26" t="n">
        <v>91002000</v>
      </c>
      <c r="M1598" s="26" t="n">
        <v>258407763</v>
      </c>
      <c r="N1598" s="27">
        <f>IF(ISNUMBER(M1598),M1598/L1598,"No aplica")</f>
        <v>2.839583338827718</v>
      </c>
      <c r="O1598" s="25">
        <f>IF(G1598="provision",M1598+H1598,IF(G1598="recoleccion",M1598-H1598,"No aplica"))</f>
        <v>91002000</v>
      </c>
      <c r="P1598" s="26" t="n">
        <v>0</v>
      </c>
    </row>
    <row r="1599">
      <c r="A1599" t="inlineStr">
        <is>
          <t>PRAGMA</t>
        </is>
      </c>
      <c r="B1599" t="inlineStr">
        <is>
          <t>M2</t>
        </is>
      </c>
      <c r="C1599" t="inlineStr">
        <is>
          <t>Cali</t>
        </is>
      </c>
      <c r="D1599" t="inlineStr">
        <is>
          <t>5162</t>
        </is>
      </c>
      <c r="E1599" t="inlineStr">
        <is>
          <t>Sucursal</t>
        </is>
      </c>
      <c r="F1599" s="23" t="n">
        <v>46273</v>
      </c>
      <c r="G1599" t="inlineStr">
        <is>
          <t>recoleccion</t>
        </is>
      </c>
      <c r="H1599" s="26" t="n">
        <v>140827054</v>
      </c>
      <c r="I1599" t="inlineStr">
        <is>
          <t>bajo</t>
        </is>
      </c>
      <c r="J1599" t="inlineStr">
        <is>
          <t>RN-22 y RN-35: recoleccion al cierre de lo que pasa del cupo</t>
        </is>
      </c>
      <c r="K1599" t="inlineStr">
        <is>
          <t>Recoleccion al cierre: con el pronostico, el saldo cerraria en 231.829.054 COP, sobre el cupo de 91.002.000. Se recoge el excedente y el saldo queda en 91.002.000 COP. Equipo administrado por Sucursal. Sin tarifa TDV (administrado por la sucursal): costo 0 declarado.</t>
        </is>
      </c>
      <c r="L1599" s="26" t="n">
        <v>91002000</v>
      </c>
      <c r="M1599" s="26" t="n">
        <v>231829054</v>
      </c>
      <c r="N1599" s="27">
        <f>IF(ISNUMBER(M1599),M1599/L1599,"No aplica")</f>
        <v>2.5475160326146677</v>
      </c>
      <c r="O1599" s="25">
        <f>IF(G1599="provision",M1599+H1599,IF(G1599="recoleccion",M1599-H1599,"No aplica"))</f>
        <v>91002000</v>
      </c>
      <c r="P1599" s="26" t="n">
        <v>0</v>
      </c>
    </row>
    <row r="1600">
      <c r="A1600" t="inlineStr">
        <is>
          <t>PRAGMA</t>
        </is>
      </c>
      <c r="B1600" t="inlineStr">
        <is>
          <t>M2</t>
        </is>
      </c>
      <c r="C1600" t="inlineStr">
        <is>
          <t>Cali</t>
        </is>
      </c>
      <c r="D1600" t="inlineStr">
        <is>
          <t>5162</t>
        </is>
      </c>
      <c r="E1600" t="inlineStr">
        <is>
          <t>Sucursal</t>
        </is>
      </c>
      <c r="F1600" s="23" t="n">
        <v>46274</v>
      </c>
      <c r="G1600" t="inlineStr">
        <is>
          <t>recoleccion</t>
        </is>
      </c>
      <c r="H1600" s="26" t="n">
        <v>130442505</v>
      </c>
      <c r="I1600" t="inlineStr">
        <is>
          <t>bajo</t>
        </is>
      </c>
      <c r="J1600" t="inlineStr">
        <is>
          <t>RN-22 y RN-35: recoleccion al cierre de lo que pasa del cupo</t>
        </is>
      </c>
      <c r="K1600" t="inlineStr">
        <is>
          <t>Recoleccion al cierre: con el pronostico, el saldo cerraria en 221.444.505 COP, sobre el cupo de 91.002.000. Se recoge el excedente y el saldo queda en 91.002.000 COP. Equipo administrado por Sucursal. Sin tarifa TDV (administrado por la sucursal): costo 0 declarado.</t>
        </is>
      </c>
      <c r="L1600" s="26" t="n">
        <v>91002000</v>
      </c>
      <c r="M1600" s="26" t="n">
        <v>221444505</v>
      </c>
      <c r="N1600" s="27">
        <f>IF(ISNUMBER(M1600),M1600/L1600,"No aplica")</f>
        <v>2.4334026175248895</v>
      </c>
      <c r="O1600" s="25">
        <f>IF(G1600="provision",M1600+H1600,IF(G1600="recoleccion",M1600-H1600,"No aplica"))</f>
        <v>91002000</v>
      </c>
      <c r="P1600" s="26" t="n">
        <v>0</v>
      </c>
    </row>
    <row r="1601">
      <c r="A1601" t="inlineStr">
        <is>
          <t>PRAGMA</t>
        </is>
      </c>
      <c r="B1601" t="inlineStr">
        <is>
          <t>M2</t>
        </is>
      </c>
      <c r="C1601" t="inlineStr">
        <is>
          <t>Cali</t>
        </is>
      </c>
      <c r="D1601" t="inlineStr">
        <is>
          <t>5162</t>
        </is>
      </c>
      <c r="E1601" t="inlineStr">
        <is>
          <t>Sucursal</t>
        </is>
      </c>
      <c r="F1601" s="23" t="n">
        <v>46275</v>
      </c>
      <c r="G1601" t="inlineStr">
        <is>
          <t>recoleccion</t>
        </is>
      </c>
      <c r="H1601" s="26" t="n">
        <v>121145134</v>
      </c>
      <c r="I1601" t="inlineStr">
        <is>
          <t>bajo</t>
        </is>
      </c>
      <c r="J1601" t="inlineStr">
        <is>
          <t>RN-22 y RN-35: recoleccion al cierre de lo que pasa del cupo</t>
        </is>
      </c>
      <c r="K1601" t="inlineStr">
        <is>
          <t>Recoleccion al cierre: con el pronostico, el saldo cerraria en 212.147.134 COP, sobre el cupo de 91.002.000. Se recoge el excedente y el saldo queda en 91.002.000 COP. Equipo administrado por Sucursal. Sin tarifa TDV (administrado por la sucursal): costo 0 declarado.</t>
        </is>
      </c>
      <c r="L1601" s="26" t="n">
        <v>91002000</v>
      </c>
      <c r="M1601" s="26" t="n">
        <v>212147134</v>
      </c>
      <c r="N1601" s="27">
        <f>IF(ISNUMBER(M1601),M1601/L1601,"No aplica")</f>
        <v>2.3312359508582228</v>
      </c>
      <c r="O1601" s="25">
        <f>IF(G1601="provision",M1601+H1601,IF(G1601="recoleccion",M1601-H1601,"No aplica"))</f>
        <v>91002000</v>
      </c>
      <c r="P1601" s="26" t="n">
        <v>0</v>
      </c>
    </row>
    <row r="1602">
      <c r="A1602" t="inlineStr">
        <is>
          <t>PRAGMA</t>
        </is>
      </c>
      <c r="B1602" t="inlineStr">
        <is>
          <t>M2</t>
        </is>
      </c>
      <c r="C1602" t="inlineStr">
        <is>
          <t>Cali</t>
        </is>
      </c>
      <c r="D1602" t="inlineStr">
        <is>
          <t>5162</t>
        </is>
      </c>
      <c r="E1602" t="inlineStr">
        <is>
          <t>Sucursal</t>
        </is>
      </c>
      <c r="F1602" s="23" t="n">
        <v>46276</v>
      </c>
      <c r="G1602" t="inlineStr">
        <is>
          <t>recoleccion</t>
        </is>
      </c>
      <c r="H1602" s="26" t="n">
        <v>127357875</v>
      </c>
      <c r="I1602" t="inlineStr">
        <is>
          <t>bajo</t>
        </is>
      </c>
      <c r="J1602" t="inlineStr">
        <is>
          <t>RN-22 y RN-35: recoleccion al cierre de lo que pasa del cupo</t>
        </is>
      </c>
      <c r="K1602" t="inlineStr">
        <is>
          <t>Recoleccion al cierre: con el pronostico, el saldo cerraria en 218.359.875 COP, sobre el cupo de 91.002.000. Se recoge el excedente y el saldo queda en 91.002.000 COP. Equipo administrado por Sucursal. Sin tarifa TDV (administrado por la sucursal): costo 0 declarado.</t>
        </is>
      </c>
      <c r="L1602" s="26" t="n">
        <v>91002000</v>
      </c>
      <c r="M1602" s="26" t="n">
        <v>218359875</v>
      </c>
      <c r="N1602" s="27">
        <f>IF(ISNUMBER(M1602),M1602/L1602,"No aplica")</f>
        <v>2.399506329531219</v>
      </c>
      <c r="O1602" s="25">
        <f>IF(G1602="provision",M1602+H1602,IF(G1602="recoleccion",M1602-H1602,"No aplica"))</f>
        <v>91002000</v>
      </c>
      <c r="P1602" s="26" t="n">
        <v>0</v>
      </c>
    </row>
    <row r="1603">
      <c r="A1603" t="inlineStr">
        <is>
          <t>PRAGMA</t>
        </is>
      </c>
      <c r="B1603" t="inlineStr">
        <is>
          <t>M2</t>
        </is>
      </c>
      <c r="C1603" t="inlineStr">
        <is>
          <t>Cali</t>
        </is>
      </c>
      <c r="D1603" t="inlineStr">
        <is>
          <t>5162</t>
        </is>
      </c>
      <c r="E1603" t="inlineStr">
        <is>
          <t>Sucursal</t>
        </is>
      </c>
      <c r="F1603" s="23" t="n">
        <v>46277</v>
      </c>
      <c r="G1603" t="inlineStr">
        <is>
          <t>recoleccion</t>
        </is>
      </c>
      <c r="H1603" s="26" t="n">
        <v>117679200</v>
      </c>
      <c r="I1603" t="inlineStr">
        <is>
          <t>bajo</t>
        </is>
      </c>
      <c r="J1603" t="inlineStr">
        <is>
          <t>RN-22 y RN-35: recoleccion al cierre de lo que pasa del cupo</t>
        </is>
      </c>
      <c r="K1603" t="inlineStr">
        <is>
          <t>Recoleccion al cierre: con el pronostico, el saldo cerraria en 208.681.200 COP, sobre el cupo de 91.002.000. Se recoge el excedente y el saldo queda en 91.002.000 COP. Equipo administrado por Sucursal. Sin tarifa TDV (administrado por la sucursal): costo 0 declarado.</t>
        </is>
      </c>
      <c r="L1603" s="26" t="n">
        <v>91002000</v>
      </c>
      <c r="M1603" s="26" t="n">
        <v>208681200</v>
      </c>
      <c r="N1603" s="27">
        <f>IF(ISNUMBER(M1603),M1603/L1603,"No aplica")</f>
        <v>2.2931496011076677</v>
      </c>
      <c r="O1603" s="25">
        <f>IF(G1603="provision",M1603+H1603,IF(G1603="recoleccion",M1603-H1603,"No aplica"))</f>
        <v>91002000</v>
      </c>
      <c r="P1603" s="26" t="n">
        <v>0</v>
      </c>
    </row>
    <row r="1604">
      <c r="A1604" t="inlineStr">
        <is>
          <t>PRAGMA</t>
        </is>
      </c>
      <c r="B1604" t="inlineStr">
        <is>
          <t>M2</t>
        </is>
      </c>
      <c r="C1604" t="inlineStr">
        <is>
          <t>Cali</t>
        </is>
      </c>
      <c r="D1604" t="inlineStr">
        <is>
          <t>5162</t>
        </is>
      </c>
      <c r="E1604" t="inlineStr">
        <is>
          <t>Sucursal</t>
        </is>
      </c>
      <c r="F1604" s="23" t="n">
        <v>46278</v>
      </c>
      <c r="G1604" t="inlineStr">
        <is>
          <t>recoleccion</t>
        </is>
      </c>
      <c r="H1604" s="26" t="n">
        <v>57209943</v>
      </c>
      <c r="I1604" t="inlineStr">
        <is>
          <t>bajo</t>
        </is>
      </c>
      <c r="J1604" t="inlineStr">
        <is>
          <t>RN-22 y RN-35: recoleccion al cierre de lo que pasa del cupo</t>
        </is>
      </c>
      <c r="K1604" t="inlineStr">
        <is>
          <t>Recoleccion al cierre: con el pronostico, el saldo cerraria en 148.211.943 COP, sobre el cupo de 91.002.000. Se recoge el excedente y el saldo queda en 91.002.000 COP. Equipo administrado por Sucursal. Sin tarifa TDV (administrado por la sucursal): costo 0 declarado.</t>
        </is>
      </c>
      <c r="L1604" s="26" t="n">
        <v>91002000</v>
      </c>
      <c r="M1604" s="26" t="n">
        <v>148211943</v>
      </c>
      <c r="N1604" s="27">
        <f>IF(ISNUMBER(M1604),M1604/L1604,"No aplica")</f>
        <v>1.6286668754532867</v>
      </c>
      <c r="O1604" s="25">
        <f>IF(G1604="provision",M1604+H1604,IF(G1604="recoleccion",M1604-H1604,"No aplica"))</f>
        <v>91002000</v>
      </c>
      <c r="P1604" s="26" t="n">
        <v>0</v>
      </c>
    </row>
    <row r="1605">
      <c r="A1605" t="inlineStr">
        <is>
          <t>PRAGMA</t>
        </is>
      </c>
      <c r="B1605" t="inlineStr">
        <is>
          <t>M2</t>
        </is>
      </c>
      <c r="C1605" t="inlineStr">
        <is>
          <t>Cali</t>
        </is>
      </c>
      <c r="D1605" t="inlineStr">
        <is>
          <t>5162</t>
        </is>
      </c>
      <c r="E1605" t="inlineStr">
        <is>
          <t>Sucursal</t>
        </is>
      </c>
      <c r="F1605" s="23" t="n">
        <v>46279</v>
      </c>
      <c r="G1605" t="inlineStr">
        <is>
          <t>recoleccion</t>
        </is>
      </c>
      <c r="H1605" s="26" t="n">
        <v>142698502</v>
      </c>
      <c r="I1605" t="inlineStr">
        <is>
          <t>bajo</t>
        </is>
      </c>
      <c r="J1605" t="inlineStr">
        <is>
          <t>RN-22 y RN-35: recoleccion al cierre de lo que pasa del cupo</t>
        </is>
      </c>
      <c r="K1605" t="inlineStr">
        <is>
          <t>Recoleccion al cierre: con el pronostico, el saldo cerraria en 233.700.502 COP, sobre el cupo de 91.002.000. Se recoge el excedente y el saldo queda en 91.002.000 COP. Equipo administrado por Sucursal. Sin tarifa TDV (administrado por la sucursal): costo 0 declarado.</t>
        </is>
      </c>
      <c r="L1605" s="26" t="n">
        <v>91002000</v>
      </c>
      <c r="M1605" s="26" t="n">
        <v>233700502</v>
      </c>
      <c r="N1605" s="27">
        <f>IF(ISNUMBER(M1605),M1605/L1605,"No aplica")</f>
        <v>2.568080943275972</v>
      </c>
      <c r="O1605" s="25">
        <f>IF(G1605="provision",M1605+H1605,IF(G1605="recoleccion",M1605-H1605,"No aplica"))</f>
        <v>91002000</v>
      </c>
      <c r="P1605" s="26" t="n">
        <v>0</v>
      </c>
    </row>
    <row r="1606">
      <c r="A1606" t="inlineStr">
        <is>
          <t>PRAGMA</t>
        </is>
      </c>
      <c r="B1606" t="inlineStr">
        <is>
          <t>M2</t>
        </is>
      </c>
      <c r="C1606" t="inlineStr">
        <is>
          <t>Cali</t>
        </is>
      </c>
      <c r="D1606" t="inlineStr">
        <is>
          <t>5162</t>
        </is>
      </c>
      <c r="E1606" t="inlineStr">
        <is>
          <t>Sucursal</t>
        </is>
      </c>
      <c r="F1606" s="23" t="n">
        <v>46280</v>
      </c>
      <c r="G1606" t="inlineStr">
        <is>
          <t>recoleccion</t>
        </is>
      </c>
      <c r="H1606" s="26" t="n">
        <v>137241647</v>
      </c>
      <c r="I1606" t="inlineStr">
        <is>
          <t>bajo</t>
        </is>
      </c>
      <c r="J1606" t="inlineStr">
        <is>
          <t>RN-22 y RN-35: recoleccion al cierre de lo que pasa del cupo</t>
        </is>
      </c>
      <c r="K1606" t="inlineStr">
        <is>
          <t>Recoleccion al cierre: con el pronostico, el saldo cerraria en 228.243.647 COP, sobre el cupo de 91.002.000. Se recoge el excedente y el saldo queda en 91.002.000 COP. Equipo administrado por Sucursal. Sin tarifa TDV (administrado por la sucursal): costo 0 declarado.</t>
        </is>
      </c>
      <c r="L1606" s="26" t="n">
        <v>91002000</v>
      </c>
      <c r="M1606" s="26" t="n">
        <v>228243647</v>
      </c>
      <c r="N1606" s="27">
        <f>IF(ISNUMBER(M1606),M1606/L1606,"No aplica")</f>
        <v>2.5081168216083163</v>
      </c>
      <c r="O1606" s="25">
        <f>IF(G1606="provision",M1606+H1606,IF(G1606="recoleccion",M1606-H1606,"No aplica"))</f>
        <v>91002000</v>
      </c>
      <c r="P1606" s="26" t="n">
        <v>0</v>
      </c>
    </row>
    <row r="1607">
      <c r="A1607" t="inlineStr">
        <is>
          <t>PRAGMA</t>
        </is>
      </c>
      <c r="B1607" t="inlineStr">
        <is>
          <t>M2</t>
        </is>
      </c>
      <c r="C1607" t="inlineStr">
        <is>
          <t>Cali</t>
        </is>
      </c>
      <c r="D1607" t="inlineStr">
        <is>
          <t>5177</t>
        </is>
      </c>
      <c r="E1607" t="inlineStr">
        <is>
          <t>TDV</t>
        </is>
      </c>
      <c r="F1607" s="23" t="n">
        <v>46266</v>
      </c>
      <c r="G1607" t="inlineStr">
        <is>
          <t>recoleccion</t>
        </is>
      </c>
      <c r="H1607" s="26" t="n">
        <v>23793681</v>
      </c>
      <c r="I1607" t="inlineStr">
        <is>
          <t>bajo</t>
        </is>
      </c>
      <c r="J1607" t="inlineStr">
        <is>
          <t>RN-22 y RN-35: recoleccion al cierre de lo que pasa del cupo</t>
        </is>
      </c>
      <c r="K1607" t="inlineStr">
        <is>
          <t>Recoleccion al cierre: con el pronostico, el saldo cerraria en 92.795.681 COP, sobre el cupo de 69.002.000. Se recoge el excedente y el saldo queda en 69.002.000 COP. Equipo administrado por TDV.</t>
        </is>
      </c>
      <c r="L1607" s="26" t="n">
        <v>69002000</v>
      </c>
      <c r="M1607" s="26" t="n">
        <v>92795681</v>
      </c>
      <c r="N1607" s="27">
        <f>IF(ISNUMBER(M1607),M1607/L1607,"No aplica")</f>
        <v>1.3448259615663314</v>
      </c>
      <c r="O1607" s="25">
        <f>IF(G1607="provision",M1607+H1607,IF(G1607="recoleccion",M1607-H1607,"No aplica"))</f>
        <v>69002000</v>
      </c>
      <c r="P1607" s="26" t="n">
        <v>158307</v>
      </c>
    </row>
    <row r="1608">
      <c r="A1608" t="inlineStr">
        <is>
          <t>PRAGMA</t>
        </is>
      </c>
      <c r="B1608" t="inlineStr">
        <is>
          <t>M2</t>
        </is>
      </c>
      <c r="C1608" t="inlineStr">
        <is>
          <t>Cali</t>
        </is>
      </c>
      <c r="D1608" t="inlineStr">
        <is>
          <t>5177</t>
        </is>
      </c>
      <c r="E1608" t="inlineStr">
        <is>
          <t>TDV</t>
        </is>
      </c>
      <c r="F1608" s="23" t="n">
        <v>46267</v>
      </c>
      <c r="G1608" t="inlineStr">
        <is>
          <t>recoleccion</t>
        </is>
      </c>
      <c r="H1608" s="26" t="n">
        <v>22907700</v>
      </c>
      <c r="I1608" t="inlineStr">
        <is>
          <t>bajo</t>
        </is>
      </c>
      <c r="J1608" t="inlineStr">
        <is>
          <t>RN-22 y RN-35: recoleccion al cierre de lo que pasa del cupo</t>
        </is>
      </c>
      <c r="K1608" t="inlineStr">
        <is>
          <t>Recoleccion al cierre: con el pronostico, el saldo cerraria en 91.909.700 COP, sobre el cupo de 69.002.000. Se recoge el excedente y el saldo queda en 69.002.000 COP. Equipo administrado por TDV.</t>
        </is>
      </c>
      <c r="L1608" s="26" t="n">
        <v>69002000</v>
      </c>
      <c r="M1608" s="26" t="n">
        <v>91909700</v>
      </c>
      <c r="N1608" s="27">
        <f>IF(ISNUMBER(M1608),M1608/L1608,"No aplica")</f>
        <v>1.3319860293904524</v>
      </c>
      <c r="O1608" s="25">
        <f>IF(G1608="provision",M1608+H1608,IF(G1608="recoleccion",M1608-H1608,"No aplica"))</f>
        <v>69002000</v>
      </c>
      <c r="P1608" s="26" t="n">
        <v>158307</v>
      </c>
    </row>
    <row r="1609">
      <c r="A1609" t="inlineStr">
        <is>
          <t>PRAGMA</t>
        </is>
      </c>
      <c r="B1609" t="inlineStr">
        <is>
          <t>M2</t>
        </is>
      </c>
      <c r="C1609" t="inlineStr">
        <is>
          <t>Cali</t>
        </is>
      </c>
      <c r="D1609" t="inlineStr">
        <is>
          <t>5177</t>
        </is>
      </c>
      <c r="E1609" t="inlineStr">
        <is>
          <t>TDV</t>
        </is>
      </c>
      <c r="F1609" s="23" t="n">
        <v>46268</v>
      </c>
      <c r="G1609" t="inlineStr">
        <is>
          <t>recoleccion</t>
        </is>
      </c>
      <c r="H1609" s="26" t="n">
        <v>23531051</v>
      </c>
      <c r="I1609" t="inlineStr">
        <is>
          <t>bajo</t>
        </is>
      </c>
      <c r="J1609" t="inlineStr">
        <is>
          <t>RN-22 y RN-35: recoleccion al cierre de lo que pasa del cupo</t>
        </is>
      </c>
      <c r="K1609" t="inlineStr">
        <is>
          <t>Recoleccion al cierre: con el pronostico, el saldo cerraria en 92.533.051 COP, sobre el cupo de 69.002.000. Se recoge el excedente y el saldo queda en 69.002.000 COP. Equipo administrado por TDV.</t>
        </is>
      </c>
      <c r="L1609" s="26" t="n">
        <v>69002000</v>
      </c>
      <c r="M1609" s="26" t="n">
        <v>92533051</v>
      </c>
      <c r="N1609" s="27">
        <f>IF(ISNUMBER(M1609),M1609/L1609,"No aplica")</f>
        <v>1.3410198400046376</v>
      </c>
      <c r="O1609" s="25">
        <f>IF(G1609="provision",M1609+H1609,IF(G1609="recoleccion",M1609-H1609,"No aplica"))</f>
        <v>69002000</v>
      </c>
      <c r="P1609" s="26" t="n">
        <v>158307</v>
      </c>
    </row>
    <row r="1610">
      <c r="A1610" t="inlineStr">
        <is>
          <t>PRAGMA</t>
        </is>
      </c>
      <c r="B1610" t="inlineStr">
        <is>
          <t>M2</t>
        </is>
      </c>
      <c r="C1610" t="inlineStr">
        <is>
          <t>Cali</t>
        </is>
      </c>
      <c r="D1610" t="inlineStr">
        <is>
          <t>5177</t>
        </is>
      </c>
      <c r="E1610" t="inlineStr">
        <is>
          <t>TDV</t>
        </is>
      </c>
      <c r="F1610" s="23" t="n">
        <v>46269</v>
      </c>
      <c r="G1610" t="inlineStr">
        <is>
          <t>recoleccion</t>
        </is>
      </c>
      <c r="H1610" s="26" t="n">
        <v>28123292</v>
      </c>
      <c r="I1610" t="inlineStr">
        <is>
          <t>bajo</t>
        </is>
      </c>
      <c r="J1610" t="inlineStr">
        <is>
          <t>RN-22 y RN-35: recoleccion al cierre de lo que pasa del cupo</t>
        </is>
      </c>
      <c r="K1610" t="inlineStr">
        <is>
          <t>Recoleccion al cierre: con el pronostico, el saldo cerraria en 97.125.292 COP, sobre el cupo de 69.002.000. Se recoge el excedente y el saldo queda en 69.002.000 COP. Equipo administrado por TDV.</t>
        </is>
      </c>
      <c r="L1610" s="26" t="n">
        <v>69002000</v>
      </c>
      <c r="M1610" s="26" t="n">
        <v>97125292</v>
      </c>
      <c r="N1610" s="27">
        <f>IF(ISNUMBER(M1610),M1610/L1610,"No aplica")</f>
        <v>1.407572128344106</v>
      </c>
      <c r="O1610" s="25">
        <f>IF(G1610="provision",M1610+H1610,IF(G1610="recoleccion",M1610-H1610,"No aplica"))</f>
        <v>69002000</v>
      </c>
      <c r="P1610" s="26" t="n">
        <v>158307</v>
      </c>
    </row>
    <row r="1611">
      <c r="A1611" t="inlineStr">
        <is>
          <t>PRAGMA</t>
        </is>
      </c>
      <c r="B1611" t="inlineStr">
        <is>
          <t>M2</t>
        </is>
      </c>
      <c r="C1611" t="inlineStr">
        <is>
          <t>Cali</t>
        </is>
      </c>
      <c r="D1611" t="inlineStr">
        <is>
          <t>5177</t>
        </is>
      </c>
      <c r="E1611" t="inlineStr">
        <is>
          <t>TDV</t>
        </is>
      </c>
      <c r="F1611" s="23" t="n">
        <v>46270</v>
      </c>
      <c r="G1611" t="inlineStr">
        <is>
          <t>recoleccion</t>
        </is>
      </c>
      <c r="H1611" s="26" t="n">
        <v>21778057</v>
      </c>
      <c r="I1611" t="inlineStr">
        <is>
          <t>bajo</t>
        </is>
      </c>
      <c r="J1611" t="inlineStr">
        <is>
          <t>RN-22 y RN-35: recoleccion al cierre de lo que pasa del cupo</t>
        </is>
      </c>
      <c r="K1611" t="inlineStr">
        <is>
          <t>Recoleccion al cierre: con el pronostico, el saldo cerraria en 90.780.057 COP, sobre el cupo de 69.002.000. Se recoge el excedente y el saldo queda en 69.002.000 COP. Equipo administrado por TDV.</t>
        </is>
      </c>
      <c r="L1611" s="26" t="n">
        <v>69002000</v>
      </c>
      <c r="M1611" s="26" t="n">
        <v>90780057</v>
      </c>
      <c r="N1611" s="27">
        <f>IF(ISNUMBER(M1611),M1611/L1611,"No aplica")</f>
        <v>1.3156148662357612</v>
      </c>
      <c r="O1611" s="25">
        <f>IF(G1611="provision",M1611+H1611,IF(G1611="recoleccion",M1611-H1611,"No aplica"))</f>
        <v>69002000</v>
      </c>
      <c r="P1611" s="26" t="n">
        <v>158307</v>
      </c>
    </row>
    <row r="1612">
      <c r="A1612" t="inlineStr">
        <is>
          <t>PRAGMA</t>
        </is>
      </c>
      <c r="B1612" t="inlineStr">
        <is>
          <t>M2</t>
        </is>
      </c>
      <c r="C1612" t="inlineStr">
        <is>
          <t>Cali</t>
        </is>
      </c>
      <c r="D1612" t="inlineStr">
        <is>
          <t>5177</t>
        </is>
      </c>
      <c r="E1612" t="inlineStr">
        <is>
          <t>TDV</t>
        </is>
      </c>
      <c r="F1612" s="23" t="n">
        <v>46271</v>
      </c>
      <c r="G1612" t="inlineStr">
        <is>
          <t>recoleccion</t>
        </is>
      </c>
      <c r="H1612" s="26" t="n">
        <v>12708520</v>
      </c>
      <c r="I1612" t="inlineStr">
        <is>
          <t>bajo</t>
        </is>
      </c>
      <c r="J1612" t="inlineStr">
        <is>
          <t>RN-22 y RN-35: recoleccion al cierre de lo que pasa del cupo</t>
        </is>
      </c>
      <c r="K1612" t="inlineStr">
        <is>
          <t>Recoleccion al cierre: con el pronostico, el saldo cerraria en 81.710.520 COP, sobre el cupo de 69.002.000. Se recoge el excedente y el saldo queda en 69.002.000 COP. Equipo administrado por TDV.</t>
        </is>
      </c>
      <c r="L1612" s="26" t="n">
        <v>69002000</v>
      </c>
      <c r="M1612" s="26" t="n">
        <v>81710520</v>
      </c>
      <c r="N1612" s="27">
        <f>IF(ISNUMBER(M1612),M1612/L1612,"No aplica")</f>
        <v>1.184176110837367</v>
      </c>
      <c r="O1612" s="25">
        <f>IF(G1612="provision",M1612+H1612,IF(G1612="recoleccion",M1612-H1612,"No aplica"))</f>
        <v>69002000</v>
      </c>
      <c r="P1612" s="26" t="n">
        <v>195500</v>
      </c>
    </row>
    <row r="1613">
      <c r="A1613" t="inlineStr">
        <is>
          <t>PRAGMA</t>
        </is>
      </c>
      <c r="B1613" t="inlineStr">
        <is>
          <t>M2</t>
        </is>
      </c>
      <c r="C1613" t="inlineStr">
        <is>
          <t>Cali</t>
        </is>
      </c>
      <c r="D1613" t="inlineStr">
        <is>
          <t>5177</t>
        </is>
      </c>
      <c r="E1613" t="inlineStr">
        <is>
          <t>TDV</t>
        </is>
      </c>
      <c r="F1613" s="23" t="n">
        <v>46272</v>
      </c>
      <c r="G1613" t="inlineStr">
        <is>
          <t>recoleccion</t>
        </is>
      </c>
      <c r="H1613" s="26" t="n">
        <v>36143593</v>
      </c>
      <c r="I1613" t="inlineStr">
        <is>
          <t>bajo</t>
        </is>
      </c>
      <c r="J1613" t="inlineStr">
        <is>
          <t>RN-22 y RN-35: recoleccion al cierre de lo que pasa del cupo</t>
        </is>
      </c>
      <c r="K1613" t="inlineStr">
        <is>
          <t>Recoleccion al cierre: con el pronostico, el saldo cerraria en 105.145.593 COP, sobre el cupo de 69.002.000. Se recoge el excedente y el saldo queda en 69.002.000 COP. Equipo administrado por TDV.</t>
        </is>
      </c>
      <c r="L1613" s="26" t="n">
        <v>69002000</v>
      </c>
      <c r="M1613" s="26" t="n">
        <v>105145593</v>
      </c>
      <c r="N1613" s="27">
        <f>IF(ISNUMBER(M1613),M1613/L1613,"No aplica")</f>
        <v>1.52380500565201</v>
      </c>
      <c r="O1613" s="25">
        <f>IF(G1613="provision",M1613+H1613,IF(G1613="recoleccion",M1613-H1613,"No aplica"))</f>
        <v>69002000</v>
      </c>
      <c r="P1613" s="26" t="n">
        <v>158307</v>
      </c>
    </row>
    <row r="1614">
      <c r="A1614" t="inlineStr">
        <is>
          <t>PRAGMA</t>
        </is>
      </c>
      <c r="B1614" t="inlineStr">
        <is>
          <t>M2</t>
        </is>
      </c>
      <c r="C1614" t="inlineStr">
        <is>
          <t>Cali</t>
        </is>
      </c>
      <c r="D1614" t="inlineStr">
        <is>
          <t>5177</t>
        </is>
      </c>
      <c r="E1614" t="inlineStr">
        <is>
          <t>TDV</t>
        </is>
      </c>
      <c r="F1614" s="23" t="n">
        <v>46273</v>
      </c>
      <c r="G1614" t="inlineStr">
        <is>
          <t>recoleccion</t>
        </is>
      </c>
      <c r="H1614" s="26" t="n">
        <v>27305770</v>
      </c>
      <c r="I1614" t="inlineStr">
        <is>
          <t>bajo</t>
        </is>
      </c>
      <c r="J1614" t="inlineStr">
        <is>
          <t>RN-22 y RN-35: recoleccion al cierre de lo que pasa del cupo</t>
        </is>
      </c>
      <c r="K1614" t="inlineStr">
        <is>
          <t>Recoleccion al cierre: con el pronostico, el saldo cerraria en 96.307.770 COP, sobre el cupo de 69.002.000. Se recoge el excedente y el saldo queda en 69.002.000 COP. Equipo administrado por TDV.</t>
        </is>
      </c>
      <c r="L1614" s="26" t="n">
        <v>69002000</v>
      </c>
      <c r="M1614" s="26" t="n">
        <v>96307770</v>
      </c>
      <c r="N1614" s="27">
        <f>IF(ISNUMBER(M1614),M1614/L1614,"No aplica")</f>
        <v>1.3957243268311064</v>
      </c>
      <c r="O1614" s="25">
        <f>IF(G1614="provision",M1614+H1614,IF(G1614="recoleccion",M1614-H1614,"No aplica"))</f>
        <v>69002000</v>
      </c>
      <c r="P1614" s="26" t="n">
        <v>158307</v>
      </c>
    </row>
    <row r="1615">
      <c r="A1615" t="inlineStr">
        <is>
          <t>PRAGMA</t>
        </is>
      </c>
      <c r="B1615" t="inlineStr">
        <is>
          <t>M2</t>
        </is>
      </c>
      <c r="C1615" t="inlineStr">
        <is>
          <t>Cali</t>
        </is>
      </c>
      <c r="D1615" t="inlineStr">
        <is>
          <t>5177</t>
        </is>
      </c>
      <c r="E1615" t="inlineStr">
        <is>
          <t>TDV</t>
        </is>
      </c>
      <c r="F1615" s="23" t="n">
        <v>46274</v>
      </c>
      <c r="G1615" t="inlineStr">
        <is>
          <t>recoleccion</t>
        </is>
      </c>
      <c r="H1615" s="26" t="n">
        <v>23173748</v>
      </c>
      <c r="I1615" t="inlineStr">
        <is>
          <t>bajo</t>
        </is>
      </c>
      <c r="J1615" t="inlineStr">
        <is>
          <t>RN-22 y RN-35: recoleccion al cierre de lo que pasa del cupo</t>
        </is>
      </c>
      <c r="K1615" t="inlineStr">
        <is>
          <t>Recoleccion al cierre: con el pronostico, el saldo cerraria en 92.175.748 COP, sobre el cupo de 69.002.000. Se recoge el excedente y el saldo queda en 69.002.000 COP. Equipo administrado por TDV.</t>
        </is>
      </c>
      <c r="L1615" s="26" t="n">
        <v>69002000</v>
      </c>
      <c r="M1615" s="26" t="n">
        <v>92175748</v>
      </c>
      <c r="N1615" s="27">
        <f>IF(ISNUMBER(M1615),M1615/L1615,"No aplica")</f>
        <v>1.3358416857482391</v>
      </c>
      <c r="O1615" s="25">
        <f>IF(G1615="provision",M1615+H1615,IF(G1615="recoleccion",M1615-H1615,"No aplica"))</f>
        <v>69002000</v>
      </c>
      <c r="P1615" s="26" t="n">
        <v>158307</v>
      </c>
    </row>
    <row r="1616">
      <c r="A1616" t="inlineStr">
        <is>
          <t>PRAGMA</t>
        </is>
      </c>
      <c r="B1616" t="inlineStr">
        <is>
          <t>M2</t>
        </is>
      </c>
      <c r="C1616" t="inlineStr">
        <is>
          <t>Cali</t>
        </is>
      </c>
      <c r="D1616" t="inlineStr">
        <is>
          <t>5177</t>
        </is>
      </c>
      <c r="E1616" t="inlineStr">
        <is>
          <t>TDV</t>
        </is>
      </c>
      <c r="F1616" s="23" t="n">
        <v>46275</v>
      </c>
      <c r="G1616" t="inlineStr">
        <is>
          <t>recoleccion</t>
        </is>
      </c>
      <c r="H1616" s="26" t="n">
        <v>20188148</v>
      </c>
      <c r="I1616" t="inlineStr">
        <is>
          <t>bajo</t>
        </is>
      </c>
      <c r="J1616" t="inlineStr">
        <is>
          <t>RN-22 y RN-35: recoleccion al cierre de lo que pasa del cupo</t>
        </is>
      </c>
      <c r="K1616" t="inlineStr">
        <is>
          <t>Recoleccion al cierre: con el pronostico, el saldo cerraria en 89.190.148 COP, sobre el cupo de 69.002.000. Se recoge el excedente y el saldo queda en 69.002.000 COP. Equipo administrado por TDV.</t>
        </is>
      </c>
      <c r="L1616" s="26" t="n">
        <v>69002000</v>
      </c>
      <c r="M1616" s="26" t="n">
        <v>89190148</v>
      </c>
      <c r="N1616" s="27">
        <f>IF(ISNUMBER(M1616),M1616/L1616,"No aplica")</f>
        <v>1.2925733746847918</v>
      </c>
      <c r="O1616" s="25">
        <f>IF(G1616="provision",M1616+H1616,IF(G1616="recoleccion",M1616-H1616,"No aplica"))</f>
        <v>69002000</v>
      </c>
      <c r="P1616" s="26" t="n">
        <v>158307</v>
      </c>
    </row>
    <row r="1617">
      <c r="A1617" t="inlineStr">
        <is>
          <t>PRAGMA</t>
        </is>
      </c>
      <c r="B1617" t="inlineStr">
        <is>
          <t>M2</t>
        </is>
      </c>
      <c r="C1617" t="inlineStr">
        <is>
          <t>Cali</t>
        </is>
      </c>
      <c r="D1617" t="inlineStr">
        <is>
          <t>5177</t>
        </is>
      </c>
      <c r="E1617" t="inlineStr">
        <is>
          <t>TDV</t>
        </is>
      </c>
      <c r="F1617" s="23" t="n">
        <v>46276</v>
      </c>
      <c r="G1617" t="inlineStr">
        <is>
          <t>recoleccion</t>
        </is>
      </c>
      <c r="H1617" s="26" t="n">
        <v>14807036</v>
      </c>
      <c r="I1617" t="inlineStr">
        <is>
          <t>bajo</t>
        </is>
      </c>
      <c r="J1617" t="inlineStr">
        <is>
          <t>RN-22 y RN-35: recoleccion al cierre de lo que pasa del cupo</t>
        </is>
      </c>
      <c r="K1617" t="inlineStr">
        <is>
          <t>Recoleccion al cierre: con el pronostico, el saldo cerraria en 83.809.036 COP, sobre el cupo de 69.002.000. Se recoge el excedente y el saldo queda en 69.002.000 COP. Equipo administrado por TDV.</t>
        </is>
      </c>
      <c r="L1617" s="26" t="n">
        <v>69002000</v>
      </c>
      <c r="M1617" s="26" t="n">
        <v>83809036</v>
      </c>
      <c r="N1617" s="27">
        <f>IF(ISNUMBER(M1617),M1617/L1617,"No aplica")</f>
        <v>1.2145885046810236</v>
      </c>
      <c r="O1617" s="25">
        <f>IF(G1617="provision",M1617+H1617,IF(G1617="recoleccion",M1617-H1617,"No aplica"))</f>
        <v>69002000</v>
      </c>
      <c r="P1617" s="26" t="n">
        <v>158307</v>
      </c>
    </row>
    <row r="1618">
      <c r="A1618" t="inlineStr">
        <is>
          <t>PRAGMA</t>
        </is>
      </c>
      <c r="B1618" t="inlineStr">
        <is>
          <t>M2</t>
        </is>
      </c>
      <c r="C1618" t="inlineStr">
        <is>
          <t>Cali</t>
        </is>
      </c>
      <c r="D1618" t="inlineStr">
        <is>
          <t>5177</t>
        </is>
      </c>
      <c r="E1618" t="inlineStr">
        <is>
          <t>TDV</t>
        </is>
      </c>
      <c r="F1618" s="23" t="n">
        <v>46277</v>
      </c>
      <c r="G1618" t="inlineStr">
        <is>
          <t>recoleccion</t>
        </is>
      </c>
      <c r="H1618" s="26" t="n">
        <v>14332720</v>
      </c>
      <c r="I1618" t="inlineStr">
        <is>
          <t>bajo</t>
        </is>
      </c>
      <c r="J1618" t="inlineStr">
        <is>
          <t>RN-22 y RN-35: recoleccion al cierre de lo que pasa del cupo</t>
        </is>
      </c>
      <c r="K1618" t="inlineStr">
        <is>
          <t>Recoleccion al cierre: con el pronostico, el saldo cerraria en 83.334.720 COP, sobre el cupo de 69.002.000. Se recoge el excedente y el saldo queda en 69.002.000 COP. Equipo administrado por TDV.</t>
        </is>
      </c>
      <c r="L1618" s="26" t="n">
        <v>69002000</v>
      </c>
      <c r="M1618" s="26" t="n">
        <v>83334720</v>
      </c>
      <c r="N1618" s="27">
        <f>IF(ISNUMBER(M1618),M1618/L1618,"No aplica")</f>
        <v>1.2077145589982898</v>
      </c>
      <c r="O1618" s="25">
        <f>IF(G1618="provision",M1618+H1618,IF(G1618="recoleccion",M1618-H1618,"No aplica"))</f>
        <v>69002000</v>
      </c>
      <c r="P1618" s="26" t="n">
        <v>158307</v>
      </c>
    </row>
    <row r="1619">
      <c r="A1619" t="inlineStr">
        <is>
          <t>PRAGMA</t>
        </is>
      </c>
      <c r="B1619" t="inlineStr">
        <is>
          <t>M2</t>
        </is>
      </c>
      <c r="C1619" t="inlineStr">
        <is>
          <t>Cali</t>
        </is>
      </c>
      <c r="D1619" t="inlineStr">
        <is>
          <t>5177</t>
        </is>
      </c>
      <c r="E1619" t="inlineStr">
        <is>
          <t>TDV</t>
        </is>
      </c>
      <c r="F1619" s="23" t="n">
        <v>46278</v>
      </c>
      <c r="G1619" t="inlineStr">
        <is>
          <t>recoleccion</t>
        </is>
      </c>
      <c r="H1619" s="26" t="n">
        <v>3379384</v>
      </c>
      <c r="I1619" t="inlineStr">
        <is>
          <t>bajo</t>
        </is>
      </c>
      <c r="J1619" t="inlineStr">
        <is>
          <t>RN-22 y RN-35: recoleccion al cierre de lo que pasa del cupo</t>
        </is>
      </c>
      <c r="K1619" t="inlineStr">
        <is>
          <t>Recoleccion al cierre: con el pronostico, el saldo cerraria en 72.381.384 COP, sobre el cupo de 69.002.000. Se recoge el excedente y el saldo queda en 69.002.000 COP. Equipo administrado por TDV.</t>
        </is>
      </c>
      <c r="L1619" s="26" t="n">
        <v>69002000</v>
      </c>
      <c r="M1619" s="26" t="n">
        <v>72381384</v>
      </c>
      <c r="N1619" s="27">
        <f>IF(ISNUMBER(M1619),M1619/L1619,"No aplica")</f>
        <v>1.0489751601402857</v>
      </c>
      <c r="O1619" s="25">
        <f>IF(G1619="provision",M1619+H1619,IF(G1619="recoleccion",M1619-H1619,"No aplica"))</f>
        <v>69002000</v>
      </c>
      <c r="P1619" s="26" t="n">
        <v>195500</v>
      </c>
    </row>
    <row r="1620">
      <c r="A1620" t="inlineStr">
        <is>
          <t>PRAGMA</t>
        </is>
      </c>
      <c r="B1620" t="inlineStr">
        <is>
          <t>M2</t>
        </is>
      </c>
      <c r="C1620" t="inlineStr">
        <is>
          <t>Cali</t>
        </is>
      </c>
      <c r="D1620" t="inlineStr">
        <is>
          <t>5177</t>
        </is>
      </c>
      <c r="E1620" t="inlineStr">
        <is>
          <t>TDV</t>
        </is>
      </c>
      <c r="F1620" s="23" t="n">
        <v>46279</v>
      </c>
      <c r="G1620" t="inlineStr">
        <is>
          <t>recoleccion</t>
        </is>
      </c>
      <c r="H1620" s="26" t="n">
        <v>28671598</v>
      </c>
      <c r="I1620" t="inlineStr">
        <is>
          <t>bajo</t>
        </is>
      </c>
      <c r="J1620" t="inlineStr">
        <is>
          <t>RN-22 y RN-35: recoleccion al cierre de lo que pasa del cupo</t>
        </is>
      </c>
      <c r="K1620" t="inlineStr">
        <is>
          <t>Recoleccion al cierre: con el pronostico, el saldo cerraria en 97.673.598 COP, sobre el cupo de 69.002.000. Se recoge el excedente y el saldo queda en 69.002.000 COP. Equipo administrado por TDV.</t>
        </is>
      </c>
      <c r="L1620" s="26" t="n">
        <v>69002000</v>
      </c>
      <c r="M1620" s="26" t="n">
        <v>97673598</v>
      </c>
      <c r="N1620" s="27">
        <f>IF(ISNUMBER(M1620),M1620/L1620,"No aplica")</f>
        <v>1.415518361786615</v>
      </c>
      <c r="O1620" s="25">
        <f>IF(G1620="provision",M1620+H1620,IF(G1620="recoleccion",M1620-H1620,"No aplica"))</f>
        <v>69002000</v>
      </c>
      <c r="P1620" s="26" t="n">
        <v>158307</v>
      </c>
    </row>
    <row r="1621">
      <c r="A1621" t="inlineStr">
        <is>
          <t>PRAGMA</t>
        </is>
      </c>
      <c r="B1621" t="inlineStr">
        <is>
          <t>M2</t>
        </is>
      </c>
      <c r="C1621" t="inlineStr">
        <is>
          <t>Cali</t>
        </is>
      </c>
      <c r="D1621" t="inlineStr">
        <is>
          <t>5177</t>
        </is>
      </c>
      <c r="E1621" t="inlineStr">
        <is>
          <t>TDV</t>
        </is>
      </c>
      <c r="F1621" s="23" t="n">
        <v>46280</v>
      </c>
      <c r="G1621" t="inlineStr">
        <is>
          <t>recoleccion</t>
        </is>
      </c>
      <c r="H1621" s="26" t="n">
        <v>24347978</v>
      </c>
      <c r="I1621" t="inlineStr">
        <is>
          <t>bajo</t>
        </is>
      </c>
      <c r="J1621" t="inlineStr">
        <is>
          <t>RN-22 y RN-35: recoleccion al cierre de lo que pasa del cupo</t>
        </is>
      </c>
      <c r="K1621" t="inlineStr">
        <is>
          <t>Recoleccion al cierre: con el pronostico, el saldo cerraria en 93.349.978 COP, sobre el cupo de 69.002.000. Se recoge el excedente y el saldo queda en 69.002.000 COP. Equipo administrado por TDV.</t>
        </is>
      </c>
      <c r="L1621" s="26" t="n">
        <v>69002000</v>
      </c>
      <c r="M1621" s="26" t="n">
        <v>93349978</v>
      </c>
      <c r="N1621" s="27">
        <f>IF(ISNUMBER(M1621),M1621/L1621,"No aplica")</f>
        <v>1.3528590185791716</v>
      </c>
      <c r="O1621" s="25">
        <f>IF(G1621="provision",M1621+H1621,IF(G1621="recoleccion",M1621-H1621,"No aplica"))</f>
        <v>69002000</v>
      </c>
      <c r="P1621" s="26" t="n">
        <v>158307</v>
      </c>
    </row>
    <row r="1622">
      <c r="A1622" t="inlineStr">
        <is>
          <t>PRAGMA</t>
        </is>
      </c>
      <c r="B1622" t="inlineStr">
        <is>
          <t>M2</t>
        </is>
      </c>
      <c r="C1622" t="inlineStr">
        <is>
          <t>Cali</t>
        </is>
      </c>
      <c r="D1622" t="inlineStr">
        <is>
          <t>5197</t>
        </is>
      </c>
      <c r="E1622" t="inlineStr">
        <is>
          <t>Sucursal</t>
        </is>
      </c>
      <c r="F1622" s="23" t="n">
        <v>46266</v>
      </c>
      <c r="G1622" t="inlineStr">
        <is>
          <t>recoleccion</t>
        </is>
      </c>
      <c r="H1622" s="26" t="n">
        <v>184833748</v>
      </c>
      <c r="I1622" t="inlineStr">
        <is>
          <t>bajo</t>
        </is>
      </c>
      <c r="J1622" t="inlineStr">
        <is>
          <t>RN-22 y RN-35: recoleccion al cierre de lo que pasa del cupo</t>
        </is>
      </c>
      <c r="K1622" t="inlineStr">
        <is>
          <t>Recoleccion al cierre: con el pronostico, el saldo cerraria en 270.335.748 COP, sobre el cupo de 85.502.000. Se recoge el excedente y el saldo queda en 85.502.000 COP. Equipo administrado por Sucursal. Sin tarifa TDV (administrado por la sucursal): costo 0 declarado.</t>
        </is>
      </c>
      <c r="L1622" s="26" t="n">
        <v>85502000</v>
      </c>
      <c r="M1622" s="26" t="n">
        <v>270335748</v>
      </c>
      <c r="N1622" s="27">
        <f>IF(ISNUMBER(M1622),M1622/L1622,"No aplica")</f>
        <v>3.1617476550256134</v>
      </c>
      <c r="O1622" s="25">
        <f>IF(G1622="provision",M1622+H1622,IF(G1622="recoleccion",M1622-H1622,"No aplica"))</f>
        <v>85502000</v>
      </c>
      <c r="P1622" s="26" t="n">
        <v>0</v>
      </c>
    </row>
    <row r="1623">
      <c r="A1623" t="inlineStr">
        <is>
          <t>PRAGMA</t>
        </is>
      </c>
      <c r="B1623" t="inlineStr">
        <is>
          <t>M2</t>
        </is>
      </c>
      <c r="C1623" t="inlineStr">
        <is>
          <t>Cali</t>
        </is>
      </c>
      <c r="D1623" t="inlineStr">
        <is>
          <t>5197</t>
        </is>
      </c>
      <c r="E1623" t="inlineStr">
        <is>
          <t>Sucursal</t>
        </is>
      </c>
      <c r="F1623" s="23" t="n">
        <v>46267</v>
      </c>
      <c r="G1623" t="inlineStr">
        <is>
          <t>recoleccion</t>
        </is>
      </c>
      <c r="H1623" s="26" t="n">
        <v>155002016</v>
      </c>
      <c r="I1623" t="inlineStr">
        <is>
          <t>bajo</t>
        </is>
      </c>
      <c r="J1623" t="inlineStr">
        <is>
          <t>RN-22 y RN-35: recoleccion al cierre de lo que pasa del cupo</t>
        </is>
      </c>
      <c r="K1623" t="inlineStr">
        <is>
          <t>Recoleccion al cierre: con el pronostico, el saldo cerraria en 240.504.016 COP, sobre el cupo de 85.502.000. Se recoge el excedente y el saldo queda en 85.502.000 COP. Equipo administrado por Sucursal. Sin tarifa TDV (administrado por la sucursal): costo 0 declarado.</t>
        </is>
      </c>
      <c r="L1623" s="26" t="n">
        <v>85502000</v>
      </c>
      <c r="M1623" s="26" t="n">
        <v>240504016</v>
      </c>
      <c r="N1623" s="27">
        <f>IF(ISNUMBER(M1623),M1623/L1623,"No aplica")</f>
        <v>2.8128466702533275</v>
      </c>
      <c r="O1623" s="25">
        <f>IF(G1623="provision",M1623+H1623,IF(G1623="recoleccion",M1623-H1623,"No aplica"))</f>
        <v>85502000</v>
      </c>
      <c r="P1623" s="26" t="n">
        <v>0</v>
      </c>
    </row>
    <row r="1624">
      <c r="A1624" t="inlineStr">
        <is>
          <t>PRAGMA</t>
        </is>
      </c>
      <c r="B1624" t="inlineStr">
        <is>
          <t>M2</t>
        </is>
      </c>
      <c r="C1624" t="inlineStr">
        <is>
          <t>Cali</t>
        </is>
      </c>
      <c r="D1624" t="inlineStr">
        <is>
          <t>5197</t>
        </is>
      </c>
      <c r="E1624" t="inlineStr">
        <is>
          <t>Sucursal</t>
        </is>
      </c>
      <c r="F1624" s="23" t="n">
        <v>46268</v>
      </c>
      <c r="G1624" t="inlineStr">
        <is>
          <t>recoleccion</t>
        </is>
      </c>
      <c r="H1624" s="26" t="n">
        <v>158434366</v>
      </c>
      <c r="I1624" t="inlineStr">
        <is>
          <t>bajo</t>
        </is>
      </c>
      <c r="J1624" t="inlineStr">
        <is>
          <t>RN-22 y RN-35: recoleccion al cierre de lo que pasa del cupo</t>
        </is>
      </c>
      <c r="K1624" t="inlineStr">
        <is>
          <t>Recoleccion al cierre: con el pronostico, el saldo cerraria en 243.936.366 COP, sobre el cupo de 85.502.000. Se recoge el excedente y el saldo queda en 85.502.000 COP. Equipo administrado por Sucursal. Sin tarifa TDV (administrado por la sucursal): costo 0 declarado.</t>
        </is>
      </c>
      <c r="L1624" s="26" t="n">
        <v>85502000</v>
      </c>
      <c r="M1624" s="26" t="n">
        <v>243936366</v>
      </c>
      <c r="N1624" s="27">
        <f>IF(ISNUMBER(M1624),M1624/L1624,"No aplica")</f>
        <v>2.8529901756684053</v>
      </c>
      <c r="O1624" s="25">
        <f>IF(G1624="provision",M1624+H1624,IF(G1624="recoleccion",M1624-H1624,"No aplica"))</f>
        <v>85502000</v>
      </c>
      <c r="P1624" s="26" t="n">
        <v>0</v>
      </c>
    </row>
    <row r="1625">
      <c r="A1625" t="inlineStr">
        <is>
          <t>PRAGMA</t>
        </is>
      </c>
      <c r="B1625" t="inlineStr">
        <is>
          <t>M2</t>
        </is>
      </c>
      <c r="C1625" t="inlineStr">
        <is>
          <t>Cali</t>
        </is>
      </c>
      <c r="D1625" t="inlineStr">
        <is>
          <t>5197</t>
        </is>
      </c>
      <c r="E1625" t="inlineStr">
        <is>
          <t>Sucursal</t>
        </is>
      </c>
      <c r="F1625" s="23" t="n">
        <v>46269</v>
      </c>
      <c r="G1625" t="inlineStr">
        <is>
          <t>recoleccion</t>
        </is>
      </c>
      <c r="H1625" s="26" t="n">
        <v>173124082</v>
      </c>
      <c r="I1625" t="inlineStr">
        <is>
          <t>bajo</t>
        </is>
      </c>
      <c r="J1625" t="inlineStr">
        <is>
          <t>RN-22 y RN-35: recoleccion al cierre de lo que pasa del cupo</t>
        </is>
      </c>
      <c r="K1625" t="inlineStr">
        <is>
          <t>Recoleccion al cierre: con el pronostico, el saldo cerraria en 258.626.082 COP, sobre el cupo de 85.502.000. Se recoge el excedente y el saldo queda en 85.502.000 COP. Equipo administrado por Sucursal. Sin tarifa TDV (administrado por la sucursal): costo 0 declarado.</t>
        </is>
      </c>
      <c r="L1625" s="26" t="n">
        <v>85502000</v>
      </c>
      <c r="M1625" s="26" t="n">
        <v>258626082</v>
      </c>
      <c r="N1625" s="27">
        <f>IF(ISNUMBER(M1625),M1625/L1625,"No aplica")</f>
        <v>3.024795700685364</v>
      </c>
      <c r="O1625" s="25">
        <f>IF(G1625="provision",M1625+H1625,IF(G1625="recoleccion",M1625-H1625,"No aplica"))</f>
        <v>85502000</v>
      </c>
      <c r="P1625" s="26" t="n">
        <v>0</v>
      </c>
    </row>
    <row r="1626">
      <c r="A1626" t="inlineStr">
        <is>
          <t>PRAGMA</t>
        </is>
      </c>
      <c r="B1626" t="inlineStr">
        <is>
          <t>M2</t>
        </is>
      </c>
      <c r="C1626" t="inlineStr">
        <is>
          <t>Cali</t>
        </is>
      </c>
      <c r="D1626" t="inlineStr">
        <is>
          <t>5197</t>
        </is>
      </c>
      <c r="E1626" t="inlineStr">
        <is>
          <t>Sucursal</t>
        </is>
      </c>
      <c r="F1626" s="23" t="n">
        <v>46270</v>
      </c>
      <c r="G1626" t="inlineStr">
        <is>
          <t>recoleccion</t>
        </is>
      </c>
      <c r="H1626" s="26" t="n">
        <v>150495192</v>
      </c>
      <c r="I1626" t="inlineStr">
        <is>
          <t>bajo</t>
        </is>
      </c>
      <c r="J1626" t="inlineStr">
        <is>
          <t>RN-22 y RN-35: recoleccion al cierre de lo que pasa del cupo</t>
        </is>
      </c>
      <c r="K1626" t="inlineStr">
        <is>
          <t>Recoleccion al cierre: con el pronostico, el saldo cerraria en 235.997.192 COP, sobre el cupo de 85.502.000. Se recoge el excedente y el saldo queda en 85.502.000 COP. Equipo administrado por Sucursal. Sin tarifa TDV (administrado por la sucursal): costo 0 declarado.</t>
        </is>
      </c>
      <c r="L1626" s="26" t="n">
        <v>85502000</v>
      </c>
      <c r="M1626" s="26" t="n">
        <v>235997192</v>
      </c>
      <c r="N1626" s="27">
        <f>IF(ISNUMBER(M1626),M1626/L1626,"No aplica")</f>
        <v>2.760136511426633</v>
      </c>
      <c r="O1626" s="25">
        <f>IF(G1626="provision",M1626+H1626,IF(G1626="recoleccion",M1626-H1626,"No aplica"))</f>
        <v>85502000</v>
      </c>
      <c r="P1626" s="26" t="n">
        <v>0</v>
      </c>
    </row>
    <row r="1627">
      <c r="A1627" t="inlineStr">
        <is>
          <t>PRAGMA</t>
        </is>
      </c>
      <c r="B1627" t="inlineStr">
        <is>
          <t>M2</t>
        </is>
      </c>
      <c r="C1627" t="inlineStr">
        <is>
          <t>Cali</t>
        </is>
      </c>
      <c r="D1627" t="inlineStr">
        <is>
          <t>5197</t>
        </is>
      </c>
      <c r="E1627" t="inlineStr">
        <is>
          <t>Sucursal</t>
        </is>
      </c>
      <c r="F1627" s="23" t="n">
        <v>46271</v>
      </c>
      <c r="G1627" t="inlineStr">
        <is>
          <t>recoleccion</t>
        </is>
      </c>
      <c r="H1627" s="26" t="n">
        <v>56342837</v>
      </c>
      <c r="I1627" t="inlineStr">
        <is>
          <t>bajo</t>
        </is>
      </c>
      <c r="J1627" t="inlineStr">
        <is>
          <t>RN-22 y RN-35: recoleccion al cierre de lo que pasa del cupo</t>
        </is>
      </c>
      <c r="K1627" t="inlineStr">
        <is>
          <t>Recoleccion al cierre: con el pronostico, el saldo cerraria en 141.844.837 COP, sobre el cupo de 85.502.000. Se recoge el excedente y el saldo queda en 85.502.000 COP. Equipo administrado por Sucursal. Sin tarifa TDV (administrado por la sucursal): costo 0 declarado.</t>
        </is>
      </c>
      <c r="L1627" s="26" t="n">
        <v>85502000</v>
      </c>
      <c r="M1627" s="26" t="n">
        <v>141844837</v>
      </c>
      <c r="N1627" s="27">
        <f>IF(ISNUMBER(M1627),M1627/L1627,"No aplica")</f>
        <v>1.658965135318472</v>
      </c>
      <c r="O1627" s="25">
        <f>IF(G1627="provision",M1627+H1627,IF(G1627="recoleccion",M1627-H1627,"No aplica"))</f>
        <v>85502000</v>
      </c>
      <c r="P1627" s="26" t="n">
        <v>0</v>
      </c>
    </row>
    <row r="1628">
      <c r="A1628" t="inlineStr">
        <is>
          <t>PRAGMA</t>
        </is>
      </c>
      <c r="B1628" t="inlineStr">
        <is>
          <t>M2</t>
        </is>
      </c>
      <c r="C1628" t="inlineStr">
        <is>
          <t>Cali</t>
        </is>
      </c>
      <c r="D1628" t="inlineStr">
        <is>
          <t>5197</t>
        </is>
      </c>
      <c r="E1628" t="inlineStr">
        <is>
          <t>Sucursal</t>
        </is>
      </c>
      <c r="F1628" s="23" t="n">
        <v>46272</v>
      </c>
      <c r="G1628" t="inlineStr">
        <is>
          <t>recoleccion</t>
        </is>
      </c>
      <c r="H1628" s="26" t="n">
        <v>192651033</v>
      </c>
      <c r="I1628" t="inlineStr">
        <is>
          <t>bajo</t>
        </is>
      </c>
      <c r="J1628" t="inlineStr">
        <is>
          <t>RN-22 y RN-35: recoleccion al cierre de lo que pasa del cupo</t>
        </is>
      </c>
      <c r="K1628" t="inlineStr">
        <is>
          <t>Recoleccion al cierre: con el pronostico, el saldo cerraria en 278.153.033 COP, sobre el cupo de 85.502.000. Se recoge el excedente y el saldo queda en 85.502.000 COP. Equipo administrado por Sucursal. Sin tarifa TDV (administrado por la sucursal): costo 0 declarado.</t>
        </is>
      </c>
      <c r="L1628" s="26" t="n">
        <v>85502000</v>
      </c>
      <c r="M1628" s="26" t="n">
        <v>278153033</v>
      </c>
      <c r="N1628" s="27">
        <f>IF(ISNUMBER(M1628),M1628/L1628,"No aplica")</f>
        <v>3.2531757502748473</v>
      </c>
      <c r="O1628" s="25">
        <f>IF(G1628="provision",M1628+H1628,IF(G1628="recoleccion",M1628-H1628,"No aplica"))</f>
        <v>85502000</v>
      </c>
      <c r="P1628" s="26" t="n">
        <v>0</v>
      </c>
    </row>
    <row r="1629">
      <c r="A1629" t="inlineStr">
        <is>
          <t>PRAGMA</t>
        </is>
      </c>
      <c r="B1629" t="inlineStr">
        <is>
          <t>M2</t>
        </is>
      </c>
      <c r="C1629" t="inlineStr">
        <is>
          <t>Cali</t>
        </is>
      </c>
      <c r="D1629" t="inlineStr">
        <is>
          <t>5197</t>
        </is>
      </c>
      <c r="E1629" t="inlineStr">
        <is>
          <t>Sucursal</t>
        </is>
      </c>
      <c r="F1629" s="23" t="n">
        <v>46273</v>
      </c>
      <c r="G1629" t="inlineStr">
        <is>
          <t>recoleccion</t>
        </is>
      </c>
      <c r="H1629" s="26" t="n">
        <v>179898873</v>
      </c>
      <c r="I1629" t="inlineStr">
        <is>
          <t>bajo</t>
        </is>
      </c>
      <c r="J1629" t="inlineStr">
        <is>
          <t>RN-22 y RN-35: recoleccion al cierre de lo que pasa del cupo</t>
        </is>
      </c>
      <c r="K1629" t="inlineStr">
        <is>
          <t>Recoleccion al cierre: con el pronostico, el saldo cerraria en 265.400.873 COP, sobre el cupo de 85.502.000. Se recoge el excedente y el saldo queda en 85.502.000 COP. Equipo administrado por Sucursal. Sin tarifa TDV (administrado por la sucursal): costo 0 declarado.</t>
        </is>
      </c>
      <c r="L1629" s="26" t="n">
        <v>85502000</v>
      </c>
      <c r="M1629" s="26" t="n">
        <v>265400873</v>
      </c>
      <c r="N1629" s="27">
        <f>IF(ISNUMBER(M1629),M1629/L1629,"No aplica")</f>
        <v>3.104031168861547</v>
      </c>
      <c r="O1629" s="25">
        <f>IF(G1629="provision",M1629+H1629,IF(G1629="recoleccion",M1629-H1629,"No aplica"))</f>
        <v>85502000</v>
      </c>
      <c r="P1629" s="26" t="n">
        <v>0</v>
      </c>
    </row>
    <row r="1630">
      <c r="A1630" t="inlineStr">
        <is>
          <t>PRAGMA</t>
        </is>
      </c>
      <c r="B1630" t="inlineStr">
        <is>
          <t>M2</t>
        </is>
      </c>
      <c r="C1630" t="inlineStr">
        <is>
          <t>Cali</t>
        </is>
      </c>
      <c r="D1630" t="inlineStr">
        <is>
          <t>5197</t>
        </is>
      </c>
      <c r="E1630" t="inlineStr">
        <is>
          <t>Sucursal</t>
        </is>
      </c>
      <c r="F1630" s="23" t="n">
        <v>46274</v>
      </c>
      <c r="G1630" t="inlineStr">
        <is>
          <t>recoleccion</t>
        </is>
      </c>
      <c r="H1630" s="26" t="n">
        <v>155488710</v>
      </c>
      <c r="I1630" t="inlineStr">
        <is>
          <t>bajo</t>
        </is>
      </c>
      <c r="J1630" t="inlineStr">
        <is>
          <t>RN-22 y RN-35: recoleccion al cierre de lo que pasa del cupo</t>
        </is>
      </c>
      <c r="K1630" t="inlineStr">
        <is>
          <t>Recoleccion al cierre: con el pronostico, el saldo cerraria en 240.990.710 COP, sobre el cupo de 85.502.000. Se recoge el excedente y el saldo queda en 85.502.000 COP. Equipo administrado por Sucursal. Sin tarifa TDV (administrado por la sucursal): costo 0 declarado.</t>
        </is>
      </c>
      <c r="L1630" s="26" t="n">
        <v>85502000</v>
      </c>
      <c r="M1630" s="26" t="n">
        <v>240990710</v>
      </c>
      <c r="N1630" s="27">
        <f>IF(ISNUMBER(M1630),M1630/L1630,"No aplica")</f>
        <v>2.8185388645879628</v>
      </c>
      <c r="O1630" s="25">
        <f>IF(G1630="provision",M1630+H1630,IF(G1630="recoleccion",M1630-H1630,"No aplica"))</f>
        <v>85502000</v>
      </c>
      <c r="P1630" s="26" t="n">
        <v>0</v>
      </c>
    </row>
    <row r="1631">
      <c r="A1631" t="inlineStr">
        <is>
          <t>PRAGMA</t>
        </is>
      </c>
      <c r="B1631" t="inlineStr">
        <is>
          <t>M2</t>
        </is>
      </c>
      <c r="C1631" t="inlineStr">
        <is>
          <t>Cali</t>
        </is>
      </c>
      <c r="D1631" t="inlineStr">
        <is>
          <t>5197</t>
        </is>
      </c>
      <c r="E1631" t="inlineStr">
        <is>
          <t>Sucursal</t>
        </is>
      </c>
      <c r="F1631" s="23" t="n">
        <v>46275</v>
      </c>
      <c r="G1631" t="inlineStr">
        <is>
          <t>recoleccion</t>
        </is>
      </c>
      <c r="H1631" s="26" t="n">
        <v>156292436</v>
      </c>
      <c r="I1631" t="inlineStr">
        <is>
          <t>bajo</t>
        </is>
      </c>
      <c r="J1631" t="inlineStr">
        <is>
          <t>RN-22 y RN-35: recoleccion al cierre de lo que pasa del cupo</t>
        </is>
      </c>
      <c r="K1631" t="inlineStr">
        <is>
          <t>Recoleccion al cierre: con el pronostico, el saldo cerraria en 241.794.436 COP, sobre el cupo de 85.502.000. Se recoge el excedente y el saldo queda en 85.502.000 COP. Equipo administrado por Sucursal. Sin tarifa TDV (administrado por la sucursal): costo 0 declarado.</t>
        </is>
      </c>
      <c r="L1631" s="26" t="n">
        <v>85502000</v>
      </c>
      <c r="M1631" s="26" t="n">
        <v>241794436</v>
      </c>
      <c r="N1631" s="27">
        <f>IF(ISNUMBER(M1631),M1631/L1631,"No aplica")</f>
        <v>2.827938948796519</v>
      </c>
      <c r="O1631" s="25">
        <f>IF(G1631="provision",M1631+H1631,IF(G1631="recoleccion",M1631-H1631,"No aplica"))</f>
        <v>85502000</v>
      </c>
      <c r="P1631" s="26" t="n">
        <v>0</v>
      </c>
    </row>
    <row r="1632">
      <c r="A1632" t="inlineStr">
        <is>
          <t>PRAGMA</t>
        </is>
      </c>
      <c r="B1632" t="inlineStr">
        <is>
          <t>M2</t>
        </is>
      </c>
      <c r="C1632" t="inlineStr">
        <is>
          <t>Cali</t>
        </is>
      </c>
      <c r="D1632" t="inlineStr">
        <is>
          <t>5197</t>
        </is>
      </c>
      <c r="E1632" t="inlineStr">
        <is>
          <t>Sucursal</t>
        </is>
      </c>
      <c r="F1632" s="23" t="n">
        <v>46276</v>
      </c>
      <c r="G1632" t="inlineStr">
        <is>
          <t>recoleccion</t>
        </is>
      </c>
      <c r="H1632" s="26" t="n">
        <v>154813365</v>
      </c>
      <c r="I1632" t="inlineStr">
        <is>
          <t>bajo</t>
        </is>
      </c>
      <c r="J1632" t="inlineStr">
        <is>
          <t>RN-22 y RN-35: recoleccion al cierre de lo que pasa del cupo</t>
        </is>
      </c>
      <c r="K1632" t="inlineStr">
        <is>
          <t>Recoleccion al cierre: con el pronostico, el saldo cerraria en 240.315.365 COP, sobre el cupo de 85.502.000. Se recoge el excedente y el saldo queda en 85.502.000 COP. Equipo administrado por Sucursal. Sin tarifa TDV (administrado por la sucursal): costo 0 declarado.</t>
        </is>
      </c>
      <c r="L1632" s="26" t="n">
        <v>85502000</v>
      </c>
      <c r="M1632" s="26" t="n">
        <v>240315365</v>
      </c>
      <c r="N1632" s="27">
        <f>IF(ISNUMBER(M1632),M1632/L1632,"No aplica")</f>
        <v>2.8106402774204113</v>
      </c>
      <c r="O1632" s="25">
        <f>IF(G1632="provision",M1632+H1632,IF(G1632="recoleccion",M1632-H1632,"No aplica"))</f>
        <v>85502000</v>
      </c>
      <c r="P1632" s="26" t="n">
        <v>0</v>
      </c>
    </row>
    <row r="1633">
      <c r="A1633" t="inlineStr">
        <is>
          <t>PRAGMA</t>
        </is>
      </c>
      <c r="B1633" t="inlineStr">
        <is>
          <t>M2</t>
        </is>
      </c>
      <c r="C1633" t="inlineStr">
        <is>
          <t>Cali</t>
        </is>
      </c>
      <c r="D1633" t="inlineStr">
        <is>
          <t>5197</t>
        </is>
      </c>
      <c r="E1633" t="inlineStr">
        <is>
          <t>Sucursal</t>
        </is>
      </c>
      <c r="F1633" s="23" t="n">
        <v>46277</v>
      </c>
      <c r="G1633" t="inlineStr">
        <is>
          <t>recoleccion</t>
        </is>
      </c>
      <c r="H1633" s="26" t="n">
        <v>137527176</v>
      </c>
      <c r="I1633" t="inlineStr">
        <is>
          <t>bajo</t>
        </is>
      </c>
      <c r="J1633" t="inlineStr">
        <is>
          <t>RN-22 y RN-35: recoleccion al cierre de lo que pasa del cupo</t>
        </is>
      </c>
      <c r="K1633" t="inlineStr">
        <is>
          <t>Recoleccion al cierre: con el pronostico, el saldo cerraria en 223.029.176 COP, sobre el cupo de 85.502.000. Se recoge el excedente y el saldo queda en 85.502.000 COP. Equipo administrado por Sucursal. Sin tarifa TDV (administrado por la sucursal): costo 0 declarado.</t>
        </is>
      </c>
      <c r="L1633" s="26" t="n">
        <v>85502000</v>
      </c>
      <c r="M1633" s="26" t="n">
        <v>223029176</v>
      </c>
      <c r="N1633" s="27">
        <f>IF(ISNUMBER(M1633),M1633/L1633,"No aplica")</f>
        <v>2.608467357488714</v>
      </c>
      <c r="O1633" s="25">
        <f>IF(G1633="provision",M1633+H1633,IF(G1633="recoleccion",M1633-H1633,"No aplica"))</f>
        <v>85502000</v>
      </c>
      <c r="P1633" s="26" t="n">
        <v>0</v>
      </c>
    </row>
    <row r="1634">
      <c r="A1634" t="inlineStr">
        <is>
          <t>PRAGMA</t>
        </is>
      </c>
      <c r="B1634" t="inlineStr">
        <is>
          <t>M2</t>
        </is>
      </c>
      <c r="C1634" t="inlineStr">
        <is>
          <t>Cali</t>
        </is>
      </c>
      <c r="D1634" t="inlineStr">
        <is>
          <t>5197</t>
        </is>
      </c>
      <c r="E1634" t="inlineStr">
        <is>
          <t>Sucursal</t>
        </is>
      </c>
      <c r="F1634" s="23" t="n">
        <v>46278</v>
      </c>
      <c r="G1634" t="inlineStr">
        <is>
          <t>recoleccion</t>
        </is>
      </c>
      <c r="H1634" s="26" t="n">
        <v>45469362</v>
      </c>
      <c r="I1634" t="inlineStr">
        <is>
          <t>bajo</t>
        </is>
      </c>
      <c r="J1634" t="inlineStr">
        <is>
          <t>RN-22 y RN-35: recoleccion al cierre de lo que pasa del cupo</t>
        </is>
      </c>
      <c r="K1634" t="inlineStr">
        <is>
          <t>Recoleccion al cierre: con el pronostico, el saldo cerraria en 130.971.362 COP, sobre el cupo de 85.502.000. Se recoge el excedente y el saldo queda en 85.502.000 COP. Equipo administrado por Sucursal. Sin tarifa TDV (administrado por la sucursal): costo 0 declarado.</t>
        </is>
      </c>
      <c r="L1634" s="26" t="n">
        <v>85502000</v>
      </c>
      <c r="M1634" s="26" t="n">
        <v>130971362</v>
      </c>
      <c r="N1634" s="27">
        <f>IF(ISNUMBER(M1634),M1634/L1634,"No aplica")</f>
        <v>1.531792963907277</v>
      </c>
      <c r="O1634" s="25">
        <f>IF(G1634="provision",M1634+H1634,IF(G1634="recoleccion",M1634-H1634,"No aplica"))</f>
        <v>85502000</v>
      </c>
      <c r="P1634" s="26" t="n">
        <v>0</v>
      </c>
    </row>
    <row r="1635">
      <c r="A1635" t="inlineStr">
        <is>
          <t>PRAGMA</t>
        </is>
      </c>
      <c r="B1635" t="inlineStr">
        <is>
          <t>M2</t>
        </is>
      </c>
      <c r="C1635" t="inlineStr">
        <is>
          <t>Cali</t>
        </is>
      </c>
      <c r="D1635" t="inlineStr">
        <is>
          <t>5197</t>
        </is>
      </c>
      <c r="E1635" t="inlineStr">
        <is>
          <t>Sucursal</t>
        </is>
      </c>
      <c r="F1635" s="23" t="n">
        <v>46279</v>
      </c>
      <c r="G1635" t="inlineStr">
        <is>
          <t>recoleccion</t>
        </is>
      </c>
      <c r="H1635" s="26" t="n">
        <v>176095352</v>
      </c>
      <c r="I1635" t="inlineStr">
        <is>
          <t>bajo</t>
        </is>
      </c>
      <c r="J1635" t="inlineStr">
        <is>
          <t>RN-22 y RN-35: recoleccion al cierre de lo que pasa del cupo</t>
        </is>
      </c>
      <c r="K1635" t="inlineStr">
        <is>
          <t>Recoleccion al cierre: con el pronostico, el saldo cerraria en 261.597.352 COP, sobre el cupo de 85.502.000. Se recoge el excedente y el saldo queda en 85.502.000 COP. Equipo administrado por Sucursal. Sin tarifa TDV (administrado por la sucursal): costo 0 declarado.</t>
        </is>
      </c>
      <c r="L1635" s="26" t="n">
        <v>85502000</v>
      </c>
      <c r="M1635" s="26" t="n">
        <v>261597352</v>
      </c>
      <c r="N1635" s="27">
        <f>IF(ISNUMBER(M1635),M1635/L1635,"No aplica")</f>
        <v>3.0595465837056444</v>
      </c>
      <c r="O1635" s="25">
        <f>IF(G1635="provision",M1635+H1635,IF(G1635="recoleccion",M1635-H1635,"No aplica"))</f>
        <v>85502000</v>
      </c>
      <c r="P1635" s="26" t="n">
        <v>0</v>
      </c>
    </row>
    <row r="1636">
      <c r="A1636" t="inlineStr">
        <is>
          <t>PRAGMA</t>
        </is>
      </c>
      <c r="B1636" t="inlineStr">
        <is>
          <t>M2</t>
        </is>
      </c>
      <c r="C1636" t="inlineStr">
        <is>
          <t>Cali</t>
        </is>
      </c>
      <c r="D1636" t="inlineStr">
        <is>
          <t>5197</t>
        </is>
      </c>
      <c r="E1636" t="inlineStr">
        <is>
          <t>Sucursal</t>
        </is>
      </c>
      <c r="F1636" s="23" t="n">
        <v>46280</v>
      </c>
      <c r="G1636" t="inlineStr">
        <is>
          <t>recoleccion</t>
        </is>
      </c>
      <c r="H1636" s="26" t="n">
        <v>174048237</v>
      </c>
      <c r="I1636" t="inlineStr">
        <is>
          <t>bajo</t>
        </is>
      </c>
      <c r="J1636" t="inlineStr">
        <is>
          <t>RN-22 y RN-35: recoleccion al cierre de lo que pasa del cupo</t>
        </is>
      </c>
      <c r="K1636" t="inlineStr">
        <is>
          <t>Recoleccion al cierre: con el pronostico, el saldo cerraria en 259.550.237 COP, sobre el cupo de 85.502.000. Se recoge el excedente y el saldo queda en 85.502.000 COP. Equipo administrado por Sucursal. Sin tarifa TDV (administrado por la sucursal): costo 0 declarado.</t>
        </is>
      </c>
      <c r="L1636" s="26" t="n">
        <v>85502000</v>
      </c>
      <c r="M1636" s="26" t="n">
        <v>259550237</v>
      </c>
      <c r="N1636" s="27">
        <f>IF(ISNUMBER(M1636),M1636/L1636,"No aplica")</f>
        <v>3.035604278262497</v>
      </c>
      <c r="O1636" s="25">
        <f>IF(G1636="provision",M1636+H1636,IF(G1636="recoleccion",M1636-H1636,"No aplica"))</f>
        <v>85502000</v>
      </c>
      <c r="P1636" s="26" t="n">
        <v>0</v>
      </c>
    </row>
    <row r="1637">
      <c r="A1637" t="inlineStr">
        <is>
          <t>PRAGMA</t>
        </is>
      </c>
      <c r="B1637" t="inlineStr">
        <is>
          <t>M2</t>
        </is>
      </c>
      <c r="C1637" t="inlineStr">
        <is>
          <t>Cali</t>
        </is>
      </c>
      <c r="D1637" t="inlineStr">
        <is>
          <t>5208</t>
        </is>
      </c>
      <c r="E1637" t="inlineStr">
        <is>
          <t>TDV</t>
        </is>
      </c>
      <c r="F1637" s="23" t="n">
        <v>46266</v>
      </c>
      <c r="G1637" t="inlineStr">
        <is>
          <t>recoleccion</t>
        </is>
      </c>
      <c r="H1637" s="26" t="n">
        <v>56726679</v>
      </c>
      <c r="I1637" t="inlineStr">
        <is>
          <t>bajo</t>
        </is>
      </c>
      <c r="J1637" t="inlineStr">
        <is>
          <t>RN-22 y RN-35: recoleccion al cierre de lo que pasa del cupo</t>
        </is>
      </c>
      <c r="K1637" t="inlineStr">
        <is>
          <t>Recoleccion al cierre: con el pronostico, el saldo cerraria en 81.728.679 COP, sobre el cupo de 25.002.000. Se recoge el excedente y el saldo queda en 25.002.000 COP. Equipo administrado por TDV.</t>
        </is>
      </c>
      <c r="L1637" s="26" t="n">
        <v>25002000</v>
      </c>
      <c r="M1637" s="26" t="n">
        <v>81728679</v>
      </c>
      <c r="N1637" s="27">
        <f>IF(ISNUMBER(M1637),M1637/L1637,"No aplica")</f>
        <v>3.2688856491480682</v>
      </c>
      <c r="O1637" s="25">
        <f>IF(G1637="provision",M1637+H1637,IF(G1637="recoleccion",M1637-H1637,"No aplica"))</f>
        <v>25002000</v>
      </c>
      <c r="P1637" s="26" t="n">
        <v>158012</v>
      </c>
    </row>
    <row r="1638">
      <c r="A1638" t="inlineStr">
        <is>
          <t>PRAGMA</t>
        </is>
      </c>
      <c r="B1638" t="inlineStr">
        <is>
          <t>M2</t>
        </is>
      </c>
      <c r="C1638" t="inlineStr">
        <is>
          <t>Cali</t>
        </is>
      </c>
      <c r="D1638" t="inlineStr">
        <is>
          <t>5208</t>
        </is>
      </c>
      <c r="E1638" t="inlineStr">
        <is>
          <t>TDV</t>
        </is>
      </c>
      <c r="F1638" s="23" t="n">
        <v>46267</v>
      </c>
      <c r="G1638" t="inlineStr">
        <is>
          <t>recoleccion</t>
        </is>
      </c>
      <c r="H1638" s="26" t="n">
        <v>59321312</v>
      </c>
      <c r="I1638" t="inlineStr">
        <is>
          <t>bajo</t>
        </is>
      </c>
      <c r="J1638" t="inlineStr">
        <is>
          <t>RN-22 y RN-35: recoleccion al cierre de lo que pasa del cupo</t>
        </is>
      </c>
      <c r="K1638" t="inlineStr">
        <is>
          <t>Recoleccion al cierre: con el pronostico, el saldo cerraria en 84.323.312 COP, sobre el cupo de 25.002.000. Se recoge el excedente y el saldo queda en 25.002.000 COP. Equipo administrado por TDV.</t>
        </is>
      </c>
      <c r="L1638" s="26" t="n">
        <v>25002000</v>
      </c>
      <c r="M1638" s="26" t="n">
        <v>84323312</v>
      </c>
      <c r="N1638" s="27">
        <f>IF(ISNUMBER(M1638),M1638/L1638,"No aplica")</f>
        <v>3.372662666986641</v>
      </c>
      <c r="O1638" s="25">
        <f>IF(G1638="provision",M1638+H1638,IF(G1638="recoleccion",M1638-H1638,"No aplica"))</f>
        <v>25002000</v>
      </c>
      <c r="P1638" s="26" t="n">
        <v>158012</v>
      </c>
    </row>
    <row r="1639">
      <c r="A1639" t="inlineStr">
        <is>
          <t>PRAGMA</t>
        </is>
      </c>
      <c r="B1639" t="inlineStr">
        <is>
          <t>M2</t>
        </is>
      </c>
      <c r="C1639" t="inlineStr">
        <is>
          <t>Cali</t>
        </is>
      </c>
      <c r="D1639" t="inlineStr">
        <is>
          <t>5208</t>
        </is>
      </c>
      <c r="E1639" t="inlineStr">
        <is>
          <t>TDV</t>
        </is>
      </c>
      <c r="F1639" s="23" t="n">
        <v>46268</v>
      </c>
      <c r="G1639" t="inlineStr">
        <is>
          <t>recoleccion</t>
        </is>
      </c>
      <c r="H1639" s="26" t="n">
        <v>52735858</v>
      </c>
      <c r="I1639" t="inlineStr">
        <is>
          <t>bajo</t>
        </is>
      </c>
      <c r="J1639" t="inlineStr">
        <is>
          <t>RN-22 y RN-35: recoleccion al cierre de lo que pasa del cupo</t>
        </is>
      </c>
      <c r="K1639" t="inlineStr">
        <is>
          <t>Recoleccion al cierre: con el pronostico, el saldo cerraria en 77.737.858 COP, sobre el cupo de 25.002.000. Se recoge el excedente y el saldo queda en 25.002.000 COP. Equipo administrado por TDV.</t>
        </is>
      </c>
      <c r="L1639" s="26" t="n">
        <v>25002000</v>
      </c>
      <c r="M1639" s="26" t="n">
        <v>77737858</v>
      </c>
      <c r="N1639" s="27">
        <f>IF(ISNUMBER(M1639),M1639/L1639,"No aplica")</f>
        <v>3.1092655787537</v>
      </c>
      <c r="O1639" s="25">
        <f>IF(G1639="provision",M1639+H1639,IF(G1639="recoleccion",M1639-H1639,"No aplica"))</f>
        <v>25002000</v>
      </c>
      <c r="P1639" s="26" t="n">
        <v>158012</v>
      </c>
    </row>
    <row r="1640">
      <c r="A1640" t="inlineStr">
        <is>
          <t>PRAGMA</t>
        </is>
      </c>
      <c r="B1640" t="inlineStr">
        <is>
          <t>M2</t>
        </is>
      </c>
      <c r="C1640" t="inlineStr">
        <is>
          <t>Cali</t>
        </is>
      </c>
      <c r="D1640" t="inlineStr">
        <is>
          <t>5208</t>
        </is>
      </c>
      <c r="E1640" t="inlineStr">
        <is>
          <t>TDV</t>
        </is>
      </c>
      <c r="F1640" s="23" t="n">
        <v>46269</v>
      </c>
      <c r="G1640" t="inlineStr">
        <is>
          <t>recoleccion</t>
        </is>
      </c>
      <c r="H1640" s="26" t="n">
        <v>63296393</v>
      </c>
      <c r="I1640" t="inlineStr">
        <is>
          <t>bajo</t>
        </is>
      </c>
      <c r="J1640" t="inlineStr">
        <is>
          <t>RN-22 y RN-35: recoleccion al cierre de lo que pasa del cupo</t>
        </is>
      </c>
      <c r="K1640" t="inlineStr">
        <is>
          <t>Recoleccion al cierre: con el pronostico, el saldo cerraria en 88.298.393 COP, sobre el cupo de 25.002.000. Se recoge el excedente y el saldo queda en 25.002.000 COP. Equipo administrado por TDV.</t>
        </is>
      </c>
      <c r="L1640" s="26" t="n">
        <v>25002000</v>
      </c>
      <c r="M1640" s="26" t="n">
        <v>88298393</v>
      </c>
      <c r="N1640" s="27">
        <f>IF(ISNUMBER(M1640),M1640/L1640,"No aplica")</f>
        <v>3.5316531877449804</v>
      </c>
      <c r="O1640" s="25">
        <f>IF(G1640="provision",M1640+H1640,IF(G1640="recoleccion",M1640-H1640,"No aplica"))</f>
        <v>25002000</v>
      </c>
      <c r="P1640" s="26" t="n">
        <v>158012</v>
      </c>
    </row>
    <row r="1641">
      <c r="A1641" t="inlineStr">
        <is>
          <t>PRAGMA</t>
        </is>
      </c>
      <c r="B1641" t="inlineStr">
        <is>
          <t>M2</t>
        </is>
      </c>
      <c r="C1641" t="inlineStr">
        <is>
          <t>Cali</t>
        </is>
      </c>
      <c r="D1641" t="inlineStr">
        <is>
          <t>5208</t>
        </is>
      </c>
      <c r="E1641" t="inlineStr">
        <is>
          <t>TDV</t>
        </is>
      </c>
      <c r="F1641" s="23" t="n">
        <v>46270</v>
      </c>
      <c r="G1641" t="inlineStr">
        <is>
          <t>recoleccion</t>
        </is>
      </c>
      <c r="H1641" s="26" t="n">
        <v>58098601</v>
      </c>
      <c r="I1641" t="inlineStr">
        <is>
          <t>bajo</t>
        </is>
      </c>
      <c r="J1641" t="inlineStr">
        <is>
          <t>RN-22 y RN-35: recoleccion al cierre de lo que pasa del cupo</t>
        </is>
      </c>
      <c r="K1641" t="inlineStr">
        <is>
          <t>Recoleccion al cierre: con el pronostico, el saldo cerraria en 83.100.601 COP, sobre el cupo de 25.002.000. Se recoge el excedente y el saldo queda en 25.002.000 COP. Equipo administrado por TDV.</t>
        </is>
      </c>
      <c r="L1641" s="26" t="n">
        <v>25002000</v>
      </c>
      <c r="M1641" s="26" t="n">
        <v>83100601</v>
      </c>
      <c r="N1641" s="27">
        <f>IF(ISNUMBER(M1641),M1641/L1641,"No aplica")</f>
        <v>3.3237581393488522</v>
      </c>
      <c r="O1641" s="25">
        <f>IF(G1641="provision",M1641+H1641,IF(G1641="recoleccion",M1641-H1641,"No aplica"))</f>
        <v>25002000</v>
      </c>
      <c r="P1641" s="26" t="n">
        <v>158012</v>
      </c>
    </row>
    <row r="1642">
      <c r="A1642" t="inlineStr">
        <is>
          <t>PRAGMA</t>
        </is>
      </c>
      <c r="B1642" t="inlineStr">
        <is>
          <t>M2</t>
        </is>
      </c>
      <c r="C1642" t="inlineStr">
        <is>
          <t>Cali</t>
        </is>
      </c>
      <c r="D1642" t="inlineStr">
        <is>
          <t>5208</t>
        </is>
      </c>
      <c r="E1642" t="inlineStr">
        <is>
          <t>TDV</t>
        </is>
      </c>
      <c r="F1642" s="23" t="n">
        <v>46271</v>
      </c>
      <c r="G1642" t="inlineStr">
        <is>
          <t>recoleccion</t>
        </is>
      </c>
      <c r="H1642" s="26" t="n">
        <v>23050676</v>
      </c>
      <c r="I1642" t="inlineStr">
        <is>
          <t>bajo</t>
        </is>
      </c>
      <c r="J1642" t="inlineStr">
        <is>
          <t>RN-22 y RN-35: recoleccion al cierre de lo que pasa del cupo</t>
        </is>
      </c>
      <c r="K1642" t="inlineStr">
        <is>
          <t>Recoleccion al cierre: con el pronostico, el saldo cerraria en 48.052.676 COP, sobre el cupo de 25.002.000. Se recoge el excedente y el saldo queda en 25.002.000 COP. Equipo administrado por TDV.</t>
        </is>
      </c>
      <c r="L1642" s="26" t="n">
        <v>25002000</v>
      </c>
      <c r="M1642" s="26" t="n">
        <v>48052676</v>
      </c>
      <c r="N1642" s="27">
        <f>IF(ISNUMBER(M1642),M1642/L1642,"No aplica")</f>
        <v>1.921953283737301</v>
      </c>
      <c r="O1642" s="25">
        <f>IF(G1642="provision",M1642+H1642,IF(G1642="recoleccion",M1642-H1642,"No aplica"))</f>
        <v>25002000</v>
      </c>
      <c r="P1642" s="26" t="n">
        <v>182814</v>
      </c>
    </row>
    <row r="1643">
      <c r="A1643" t="inlineStr">
        <is>
          <t>PRAGMA</t>
        </is>
      </c>
      <c r="B1643" t="inlineStr">
        <is>
          <t>M2</t>
        </is>
      </c>
      <c r="C1643" t="inlineStr">
        <is>
          <t>Cali</t>
        </is>
      </c>
      <c r="D1643" t="inlineStr">
        <is>
          <t>5208</t>
        </is>
      </c>
      <c r="E1643" t="inlineStr">
        <is>
          <t>TDV</t>
        </is>
      </c>
      <c r="F1643" s="23" t="n">
        <v>46272</v>
      </c>
      <c r="G1643" t="inlineStr">
        <is>
          <t>recoleccion</t>
        </is>
      </c>
      <c r="H1643" s="26" t="n">
        <v>76427095</v>
      </c>
      <c r="I1643" t="inlineStr">
        <is>
          <t>bajo</t>
        </is>
      </c>
      <c r="J1643" t="inlineStr">
        <is>
          <t>RN-22 y RN-35: recoleccion al cierre de lo que pasa del cupo</t>
        </is>
      </c>
      <c r="K1643" t="inlineStr">
        <is>
          <t>Recoleccion al cierre: con el pronostico, el saldo cerraria en 101.429.095 COP, sobre el cupo de 25.002.000. Se recoge el excedente y el saldo queda en 25.002.000 COP. Equipo administrado por TDV.</t>
        </is>
      </c>
      <c r="L1643" s="26" t="n">
        <v>25002000</v>
      </c>
      <c r="M1643" s="26" t="n">
        <v>101429095</v>
      </c>
      <c r="N1643" s="27">
        <f>IF(ISNUMBER(M1643),M1643/L1643,"No aplica")</f>
        <v>4.056839252859771</v>
      </c>
      <c r="O1643" s="25">
        <f>IF(G1643="provision",M1643+H1643,IF(G1643="recoleccion",M1643-H1643,"No aplica"))</f>
        <v>25002000</v>
      </c>
      <c r="P1643" s="26" t="n">
        <v>158012</v>
      </c>
    </row>
    <row r="1644">
      <c r="A1644" t="inlineStr">
        <is>
          <t>PRAGMA</t>
        </is>
      </c>
      <c r="B1644" t="inlineStr">
        <is>
          <t>M2</t>
        </is>
      </c>
      <c r="C1644" t="inlineStr">
        <is>
          <t>Cali</t>
        </is>
      </c>
      <c r="D1644" t="inlineStr">
        <is>
          <t>5208</t>
        </is>
      </c>
      <c r="E1644" t="inlineStr">
        <is>
          <t>TDV</t>
        </is>
      </c>
      <c r="F1644" s="23" t="n">
        <v>46273</v>
      </c>
      <c r="G1644" t="inlineStr">
        <is>
          <t>recoleccion</t>
        </is>
      </c>
      <c r="H1644" s="26" t="n">
        <v>59497205</v>
      </c>
      <c r="I1644" t="inlineStr">
        <is>
          <t>bajo</t>
        </is>
      </c>
      <c r="J1644" t="inlineStr">
        <is>
          <t>RN-22 y RN-35: recoleccion al cierre de lo que pasa del cupo</t>
        </is>
      </c>
      <c r="K1644" t="inlineStr">
        <is>
          <t>Recoleccion al cierre: con el pronostico, el saldo cerraria en 84.499.205 COP, sobre el cupo de 25.002.000. Se recoge el excedente y el saldo queda en 25.002.000 COP. Equipo administrado por TDV.</t>
        </is>
      </c>
      <c r="L1644" s="26" t="n">
        <v>25002000</v>
      </c>
      <c r="M1644" s="26" t="n">
        <v>84499205</v>
      </c>
      <c r="N1644" s="27">
        <f>IF(ISNUMBER(M1644),M1644/L1644,"No aplica")</f>
        <v>3.379697824174066</v>
      </c>
      <c r="O1644" s="25">
        <f>IF(G1644="provision",M1644+H1644,IF(G1644="recoleccion",M1644-H1644,"No aplica"))</f>
        <v>25002000</v>
      </c>
      <c r="P1644" s="26" t="n">
        <v>158012</v>
      </c>
    </row>
    <row r="1645">
      <c r="A1645" t="inlineStr">
        <is>
          <t>PRAGMA</t>
        </is>
      </c>
      <c r="B1645" t="inlineStr">
        <is>
          <t>M2</t>
        </is>
      </c>
      <c r="C1645" t="inlineStr">
        <is>
          <t>Cali</t>
        </is>
      </c>
      <c r="D1645" t="inlineStr">
        <is>
          <t>5208</t>
        </is>
      </c>
      <c r="E1645" t="inlineStr">
        <is>
          <t>TDV</t>
        </is>
      </c>
      <c r="F1645" s="23" t="n">
        <v>46274</v>
      </c>
      <c r="G1645" t="inlineStr">
        <is>
          <t>recoleccion</t>
        </is>
      </c>
      <c r="H1645" s="26" t="n">
        <v>59495807</v>
      </c>
      <c r="I1645" t="inlineStr">
        <is>
          <t>bajo</t>
        </is>
      </c>
      <c r="J1645" t="inlineStr">
        <is>
          <t>RN-22 y RN-35: recoleccion al cierre de lo que pasa del cupo</t>
        </is>
      </c>
      <c r="K1645" t="inlineStr">
        <is>
          <t>Recoleccion al cierre: con el pronostico, el saldo cerraria en 84.497.807 COP, sobre el cupo de 25.002.000. Se recoge el excedente y el saldo queda en 25.002.000 COP. Equipo administrado por TDV.</t>
        </is>
      </c>
      <c r="L1645" s="26" t="n">
        <v>25002000</v>
      </c>
      <c r="M1645" s="26" t="n">
        <v>84497807</v>
      </c>
      <c r="N1645" s="27">
        <f>IF(ISNUMBER(M1645),M1645/L1645,"No aplica")</f>
        <v>3.3796419086473084</v>
      </c>
      <c r="O1645" s="25">
        <f>IF(G1645="provision",M1645+H1645,IF(G1645="recoleccion",M1645-H1645,"No aplica"))</f>
        <v>25002000</v>
      </c>
      <c r="P1645" s="26" t="n">
        <v>158012</v>
      </c>
    </row>
    <row r="1646">
      <c r="A1646" t="inlineStr">
        <is>
          <t>PRAGMA</t>
        </is>
      </c>
      <c r="B1646" t="inlineStr">
        <is>
          <t>M2</t>
        </is>
      </c>
      <c r="C1646" t="inlineStr">
        <is>
          <t>Cali</t>
        </is>
      </c>
      <c r="D1646" t="inlineStr">
        <is>
          <t>5208</t>
        </is>
      </c>
      <c r="E1646" t="inlineStr">
        <is>
          <t>TDV</t>
        </is>
      </c>
      <c r="F1646" s="23" t="n">
        <v>46275</v>
      </c>
      <c r="G1646" t="inlineStr">
        <is>
          <t>recoleccion</t>
        </is>
      </c>
      <c r="H1646" s="26" t="n">
        <v>54499716</v>
      </c>
      <c r="I1646" t="inlineStr">
        <is>
          <t>bajo</t>
        </is>
      </c>
      <c r="J1646" t="inlineStr">
        <is>
          <t>RN-22 y RN-35: recoleccion al cierre de lo que pasa del cupo</t>
        </is>
      </c>
      <c r="K1646" t="inlineStr">
        <is>
          <t>Recoleccion al cierre: con el pronostico, el saldo cerraria en 79.501.716 COP, sobre el cupo de 25.002.000. Se recoge el excedente y el saldo queda en 25.002.000 COP. Equipo administrado por TDV.</t>
        </is>
      </c>
      <c r="L1646" s="26" t="n">
        <v>25002000</v>
      </c>
      <c r="M1646" s="26" t="n">
        <v>79501716</v>
      </c>
      <c r="N1646" s="27">
        <f>IF(ISNUMBER(M1646),M1646/L1646,"No aplica")</f>
        <v>3.179814254859611</v>
      </c>
      <c r="O1646" s="25">
        <f>IF(G1646="provision",M1646+H1646,IF(G1646="recoleccion",M1646-H1646,"No aplica"))</f>
        <v>25002000</v>
      </c>
      <c r="P1646" s="26" t="n">
        <v>158012</v>
      </c>
    </row>
    <row r="1647">
      <c r="A1647" t="inlineStr">
        <is>
          <t>PRAGMA</t>
        </is>
      </c>
      <c r="B1647" t="inlineStr">
        <is>
          <t>M2</t>
        </is>
      </c>
      <c r="C1647" t="inlineStr">
        <is>
          <t>Cali</t>
        </is>
      </c>
      <c r="D1647" t="inlineStr">
        <is>
          <t>5208</t>
        </is>
      </c>
      <c r="E1647" t="inlineStr">
        <is>
          <t>TDV</t>
        </is>
      </c>
      <c r="F1647" s="23" t="n">
        <v>46276</v>
      </c>
      <c r="G1647" t="inlineStr">
        <is>
          <t>recoleccion</t>
        </is>
      </c>
      <c r="H1647" s="26" t="n">
        <v>56940276</v>
      </c>
      <c r="I1647" t="inlineStr">
        <is>
          <t>bajo</t>
        </is>
      </c>
      <c r="J1647" t="inlineStr">
        <is>
          <t>RN-22 y RN-35: recoleccion al cierre de lo que pasa del cupo</t>
        </is>
      </c>
      <c r="K1647" t="inlineStr">
        <is>
          <t>Recoleccion al cierre: con el pronostico, el saldo cerraria en 81.942.276 COP, sobre el cupo de 25.002.000. Se recoge el excedente y el saldo queda en 25.002.000 COP. Equipo administrado por TDV.</t>
        </is>
      </c>
      <c r="L1647" s="26" t="n">
        <v>25002000</v>
      </c>
      <c r="M1647" s="26" t="n">
        <v>81942276</v>
      </c>
      <c r="N1647" s="27">
        <f>IF(ISNUMBER(M1647),M1647/L1647,"No aplica")</f>
        <v>3.2774288456923446</v>
      </c>
      <c r="O1647" s="25">
        <f>IF(G1647="provision",M1647+H1647,IF(G1647="recoleccion",M1647-H1647,"No aplica"))</f>
        <v>25002000</v>
      </c>
      <c r="P1647" s="26" t="n">
        <v>158012</v>
      </c>
    </row>
    <row r="1648">
      <c r="A1648" t="inlineStr">
        <is>
          <t>PRAGMA</t>
        </is>
      </c>
      <c r="B1648" t="inlineStr">
        <is>
          <t>M2</t>
        </is>
      </c>
      <c r="C1648" t="inlineStr">
        <is>
          <t>Cali</t>
        </is>
      </c>
      <c r="D1648" t="inlineStr">
        <is>
          <t>5208</t>
        </is>
      </c>
      <c r="E1648" t="inlineStr">
        <is>
          <t>TDV</t>
        </is>
      </c>
      <c r="F1648" s="23" t="n">
        <v>46277</v>
      </c>
      <c r="G1648" t="inlineStr">
        <is>
          <t>recoleccion</t>
        </is>
      </c>
      <c r="H1648" s="26" t="n">
        <v>51846875</v>
      </c>
      <c r="I1648" t="inlineStr">
        <is>
          <t>bajo</t>
        </is>
      </c>
      <c r="J1648" t="inlineStr">
        <is>
          <t>RN-22 y RN-35: recoleccion al cierre de lo que pasa del cupo</t>
        </is>
      </c>
      <c r="K1648" t="inlineStr">
        <is>
          <t>Recoleccion al cierre: con el pronostico, el saldo cerraria en 76.848.875 COP, sobre el cupo de 25.002.000. Se recoge el excedente y el saldo queda en 25.002.000 COP. Equipo administrado por TDV.</t>
        </is>
      </c>
      <c r="L1648" s="26" t="n">
        <v>25002000</v>
      </c>
      <c r="M1648" s="26" t="n">
        <v>76848875</v>
      </c>
      <c r="N1648" s="27">
        <f>IF(ISNUMBER(M1648),M1648/L1648,"No aplica")</f>
        <v>3.0737091032717383</v>
      </c>
      <c r="O1648" s="25">
        <f>IF(G1648="provision",M1648+H1648,IF(G1648="recoleccion",M1648-H1648,"No aplica"))</f>
        <v>25002000</v>
      </c>
      <c r="P1648" s="26" t="n">
        <v>158012</v>
      </c>
    </row>
    <row r="1649">
      <c r="A1649" t="inlineStr">
        <is>
          <t>PRAGMA</t>
        </is>
      </c>
      <c r="B1649" t="inlineStr">
        <is>
          <t>M2</t>
        </is>
      </c>
      <c r="C1649" t="inlineStr">
        <is>
          <t>Cali</t>
        </is>
      </c>
      <c r="D1649" t="inlineStr">
        <is>
          <t>5208</t>
        </is>
      </c>
      <c r="E1649" t="inlineStr">
        <is>
          <t>TDV</t>
        </is>
      </c>
      <c r="F1649" s="23" t="n">
        <v>46278</v>
      </c>
      <c r="G1649" t="inlineStr">
        <is>
          <t>recoleccion</t>
        </is>
      </c>
      <c r="H1649" s="26" t="n">
        <v>16858575</v>
      </c>
      <c r="I1649" t="inlineStr">
        <is>
          <t>bajo</t>
        </is>
      </c>
      <c r="J1649" t="inlineStr">
        <is>
          <t>RN-22 y RN-35: recoleccion al cierre de lo que pasa del cupo</t>
        </is>
      </c>
      <c r="K1649" t="inlineStr">
        <is>
          <t>Recoleccion al cierre: con el pronostico, el saldo cerraria en 41.860.575 COP, sobre el cupo de 25.002.000. Se recoge el excedente y el saldo queda en 25.002.000 COP. Equipo administrado por TDV.</t>
        </is>
      </c>
      <c r="L1649" s="26" t="n">
        <v>25002000</v>
      </c>
      <c r="M1649" s="26" t="n">
        <v>41860575</v>
      </c>
      <c r="N1649" s="27">
        <f>IF(ISNUMBER(M1649),M1649/L1649,"No aplica")</f>
        <v>1.67428905687545</v>
      </c>
      <c r="O1649" s="25">
        <f>IF(G1649="provision",M1649+H1649,IF(G1649="recoleccion",M1649-H1649,"No aplica"))</f>
        <v>25002000</v>
      </c>
      <c r="P1649" s="26" t="n">
        <v>182814</v>
      </c>
    </row>
    <row r="1650">
      <c r="A1650" t="inlineStr">
        <is>
          <t>PRAGMA</t>
        </is>
      </c>
      <c r="B1650" t="inlineStr">
        <is>
          <t>M2</t>
        </is>
      </c>
      <c r="C1650" t="inlineStr">
        <is>
          <t>Cali</t>
        </is>
      </c>
      <c r="D1650" t="inlineStr">
        <is>
          <t>5208</t>
        </is>
      </c>
      <c r="E1650" t="inlineStr">
        <is>
          <t>TDV</t>
        </is>
      </c>
      <c r="F1650" s="23" t="n">
        <v>46279</v>
      </c>
      <c r="G1650" t="inlineStr">
        <is>
          <t>recoleccion</t>
        </is>
      </c>
      <c r="H1650" s="26" t="n">
        <v>64843939</v>
      </c>
      <c r="I1650" t="inlineStr">
        <is>
          <t>bajo</t>
        </is>
      </c>
      <c r="J1650" t="inlineStr">
        <is>
          <t>RN-22 y RN-35: recoleccion al cierre de lo que pasa del cupo</t>
        </is>
      </c>
      <c r="K1650" t="inlineStr">
        <is>
          <t>Recoleccion al cierre: con el pronostico, el saldo cerraria en 89.845.939 COP, sobre el cupo de 25.002.000. Se recoge el excedente y el saldo queda en 25.002.000 COP. Equipo administrado por TDV.</t>
        </is>
      </c>
      <c r="L1650" s="26" t="n">
        <v>25002000</v>
      </c>
      <c r="M1650" s="26" t="n">
        <v>89845939</v>
      </c>
      <c r="N1650" s="27">
        <f>IF(ISNUMBER(M1650),M1650/L1650,"No aplica")</f>
        <v>3.5935500759939205</v>
      </c>
      <c r="O1650" s="25">
        <f>IF(G1650="provision",M1650+H1650,IF(G1650="recoleccion",M1650-H1650,"No aplica"))</f>
        <v>25002000</v>
      </c>
      <c r="P1650" s="26" t="n">
        <v>158012</v>
      </c>
    </row>
    <row r="1651">
      <c r="A1651" t="inlineStr">
        <is>
          <t>PRAGMA</t>
        </is>
      </c>
      <c r="B1651" t="inlineStr">
        <is>
          <t>M2</t>
        </is>
      </c>
      <c r="C1651" t="inlineStr">
        <is>
          <t>Cali</t>
        </is>
      </c>
      <c r="D1651" t="inlineStr">
        <is>
          <t>5208</t>
        </is>
      </c>
      <c r="E1651" t="inlineStr">
        <is>
          <t>TDV</t>
        </is>
      </c>
      <c r="F1651" s="23" t="n">
        <v>46280</v>
      </c>
      <c r="G1651" t="inlineStr">
        <is>
          <t>recoleccion</t>
        </is>
      </c>
      <c r="H1651" s="26" t="n">
        <v>55870773</v>
      </c>
      <c r="I1651" t="inlineStr">
        <is>
          <t>bajo</t>
        </is>
      </c>
      <c r="J1651" t="inlineStr">
        <is>
          <t>RN-22 y RN-35: recoleccion al cierre de lo que pasa del cupo</t>
        </is>
      </c>
      <c r="K1651" t="inlineStr">
        <is>
          <t>Recoleccion al cierre: con el pronostico, el saldo cerraria en 80.872.773 COP, sobre el cupo de 25.002.000. Se recoge el excedente y el saldo queda en 25.002.000 COP. Equipo administrado por TDV.</t>
        </is>
      </c>
      <c r="L1651" s="26" t="n">
        <v>25002000</v>
      </c>
      <c r="M1651" s="26" t="n">
        <v>80872773</v>
      </c>
      <c r="N1651" s="27">
        <f>IF(ISNUMBER(M1651),M1651/L1651,"No aplica")</f>
        <v>3.234652147828174</v>
      </c>
      <c r="O1651" s="25">
        <f>IF(G1651="provision",M1651+H1651,IF(G1651="recoleccion",M1651-H1651,"No aplica"))</f>
        <v>25002000</v>
      </c>
      <c r="P1651" s="26" t="n">
        <v>158012</v>
      </c>
    </row>
    <row r="1652">
      <c r="A1652" t="inlineStr">
        <is>
          <t>PRAGMA</t>
        </is>
      </c>
      <c r="B1652" t="inlineStr">
        <is>
          <t>M2</t>
        </is>
      </c>
      <c r="C1652" t="inlineStr">
        <is>
          <t>Cali</t>
        </is>
      </c>
      <c r="D1652" t="inlineStr">
        <is>
          <t>5209</t>
        </is>
      </c>
      <c r="E1652" t="inlineStr">
        <is>
          <t>Sucursal</t>
        </is>
      </c>
      <c r="F1652" s="23" t="n">
        <v>46266</v>
      </c>
      <c r="G1652" t="inlineStr">
        <is>
          <t>sin_accion</t>
        </is>
      </c>
      <c r="H1652" s="26" t="n">
        <v>0</v>
      </c>
      <c r="I1652" t="inlineStr">
        <is>
          <t>bajo</t>
        </is>
      </c>
      <c r="J1652" t="inlineStr">
        <is>
          <t>RN-02: una fila sin_accion</t>
        </is>
      </c>
      <c r="K1652" t="inlineStr">
        <is>
          <t>Sin accion en el horizonte: con el pronostico, el saldo se mantiene entre el umbral de agotamiento y el cupo sin necesidad de provision ni recoleccion.</t>
        </is>
      </c>
      <c r="L1652" s="26" t="n">
        <v>91002000</v>
      </c>
      <c r="M1652" s="26" t="inlineStr">
        <is>
          <t>No aplica</t>
        </is>
      </c>
      <c r="N1652" s="27" t="str">
        <f>IF(ISNUMBER(M1652),M1652/L1652,"No aplica")</f>
        <v>No aplica</v>
      </c>
      <c r="O1652" s="25" t="str">
        <f>IF(G1652="provision",M1652+H1652,IF(G1652="recoleccion",M1652-H1652,"No aplica"))</f>
        <v>No aplica</v>
      </c>
      <c r="P1652" s="26" t="inlineStr">
        <is>
          <t>No aplica</t>
        </is>
      </c>
    </row>
    <row r="1653">
      <c r="A1653" t="inlineStr">
        <is>
          <t>PRAGMA</t>
        </is>
      </c>
      <c r="B1653" t="inlineStr">
        <is>
          <t>M2</t>
        </is>
      </c>
      <c r="C1653" t="inlineStr">
        <is>
          <t>Pasto</t>
        </is>
      </c>
      <c r="D1653" t="inlineStr">
        <is>
          <t>6220</t>
        </is>
      </c>
      <c r="E1653" t="inlineStr">
        <is>
          <t>Sucursal</t>
        </is>
      </c>
      <c r="F1653" s="23" t="n">
        <v>46266</v>
      </c>
      <c r="G1653" t="inlineStr">
        <is>
          <t>recoleccion</t>
        </is>
      </c>
      <c r="H1653" s="26" t="n">
        <v>153413406</v>
      </c>
      <c r="I1653" t="inlineStr">
        <is>
          <t>bajo</t>
        </is>
      </c>
      <c r="J1653" t="inlineStr">
        <is>
          <t>RN-22 y RN-35: recoleccion al cierre de lo que pasa del cupo</t>
        </is>
      </c>
      <c r="K1653" t="inlineStr">
        <is>
          <t>Recoleccion al cierre: con el pronostico, el saldo cerraria en 288.763.406 COP, sobre el cupo de 135.350.000. Se recoge el excedente y el saldo queda en 135.350.000 COP. Equipo administrado por Sucursal. Sin tarifa TDV (administrado por la sucursal): costo 0 declarado.</t>
        </is>
      </c>
      <c r="L1653" s="26" t="n">
        <v>135350000</v>
      </c>
      <c r="M1653" s="26" t="n">
        <v>288763406</v>
      </c>
      <c r="N1653" s="27">
        <f>IF(ISNUMBER(M1653),M1653/L1653,"No aplica")</f>
        <v>2.133457007757665</v>
      </c>
      <c r="O1653" s="25">
        <f>IF(G1653="provision",M1653+H1653,IF(G1653="recoleccion",M1653-H1653,"No aplica"))</f>
        <v>135350000</v>
      </c>
      <c r="P1653" s="26" t="n">
        <v>0</v>
      </c>
    </row>
    <row r="1654">
      <c r="A1654" t="inlineStr">
        <is>
          <t>PRAGMA</t>
        </is>
      </c>
      <c r="B1654" t="inlineStr">
        <is>
          <t>M2</t>
        </is>
      </c>
      <c r="C1654" t="inlineStr">
        <is>
          <t>Pasto</t>
        </is>
      </c>
      <c r="D1654" t="inlineStr">
        <is>
          <t>6220</t>
        </is>
      </c>
      <c r="E1654" t="inlineStr">
        <is>
          <t>Sucursal</t>
        </is>
      </c>
      <c r="F1654" s="23" t="n">
        <v>46267</v>
      </c>
      <c r="G1654" t="inlineStr">
        <is>
          <t>recoleccion</t>
        </is>
      </c>
      <c r="H1654" s="26" t="n">
        <v>131981778</v>
      </c>
      <c r="I1654" t="inlineStr">
        <is>
          <t>bajo</t>
        </is>
      </c>
      <c r="J1654" t="inlineStr">
        <is>
          <t>RN-22 y RN-35: recoleccion al cierre de lo que pasa del cupo</t>
        </is>
      </c>
      <c r="K1654" t="inlineStr">
        <is>
          <t>Recoleccion al cierre: con el pronostico, el saldo cerraria en 267.331.778 COP, sobre el cupo de 135.350.000. Se recoge el excedente y el saldo queda en 135.350.000 COP. Equipo administrado por Sucursal. Sin tarifa TDV (administrado por la sucursal): costo 0 declarado.</t>
        </is>
      </c>
      <c r="L1654" s="26" t="n">
        <v>135350000</v>
      </c>
      <c r="M1654" s="26" t="n">
        <v>267331778</v>
      </c>
      <c r="N1654" s="27">
        <f>IF(ISNUMBER(M1654),M1654/L1654,"No aplica")</f>
        <v>1.9751147247875878</v>
      </c>
      <c r="O1654" s="25">
        <f>IF(G1654="provision",M1654+H1654,IF(G1654="recoleccion",M1654-H1654,"No aplica"))</f>
        <v>135350000</v>
      </c>
      <c r="P1654" s="26" t="n">
        <v>0</v>
      </c>
    </row>
    <row r="1655">
      <c r="A1655" t="inlineStr">
        <is>
          <t>PRAGMA</t>
        </is>
      </c>
      <c r="B1655" t="inlineStr">
        <is>
          <t>M2</t>
        </is>
      </c>
      <c r="C1655" t="inlineStr">
        <is>
          <t>Pasto</t>
        </is>
      </c>
      <c r="D1655" t="inlineStr">
        <is>
          <t>6220</t>
        </is>
      </c>
      <c r="E1655" t="inlineStr">
        <is>
          <t>Sucursal</t>
        </is>
      </c>
      <c r="F1655" s="23" t="n">
        <v>46268</v>
      </c>
      <c r="G1655" t="inlineStr">
        <is>
          <t>recoleccion</t>
        </is>
      </c>
      <c r="H1655" s="26" t="n">
        <v>138741767</v>
      </c>
      <c r="I1655" t="inlineStr">
        <is>
          <t>bajo</t>
        </is>
      </c>
      <c r="J1655" t="inlineStr">
        <is>
          <t>RN-22 y RN-35: recoleccion al cierre de lo que pasa del cupo</t>
        </is>
      </c>
      <c r="K1655" t="inlineStr">
        <is>
          <t>Recoleccion al cierre: con el pronostico, el saldo cerraria en 274.091.767 COP, sobre el cupo de 135.350.000. Se recoge el excedente y el saldo queda en 135.350.000 COP. Equipo administrado por Sucursal. Sin tarifa TDV (administrado por la sucursal): costo 0 declarado.</t>
        </is>
      </c>
      <c r="L1655" s="26" t="n">
        <v>135350000</v>
      </c>
      <c r="M1655" s="26" t="n">
        <v>274091767</v>
      </c>
      <c r="N1655" s="27">
        <f>IF(ISNUMBER(M1655),M1655/L1655,"No aplica")</f>
        <v>2.0250592316217215</v>
      </c>
      <c r="O1655" s="25">
        <f>IF(G1655="provision",M1655+H1655,IF(G1655="recoleccion",M1655-H1655,"No aplica"))</f>
        <v>135350000</v>
      </c>
      <c r="P1655" s="26" t="n">
        <v>0</v>
      </c>
    </row>
    <row r="1656">
      <c r="A1656" t="inlineStr">
        <is>
          <t>PRAGMA</t>
        </is>
      </c>
      <c r="B1656" t="inlineStr">
        <is>
          <t>M2</t>
        </is>
      </c>
      <c r="C1656" t="inlineStr">
        <is>
          <t>Pasto</t>
        </is>
      </c>
      <c r="D1656" t="inlineStr">
        <is>
          <t>6220</t>
        </is>
      </c>
      <c r="E1656" t="inlineStr">
        <is>
          <t>Sucursal</t>
        </is>
      </c>
      <c r="F1656" s="23" t="n">
        <v>46269</v>
      </c>
      <c r="G1656" t="inlineStr">
        <is>
          <t>recoleccion</t>
        </is>
      </c>
      <c r="H1656" s="26" t="n">
        <v>152328426</v>
      </c>
      <c r="I1656" t="inlineStr">
        <is>
          <t>bajo</t>
        </is>
      </c>
      <c r="J1656" t="inlineStr">
        <is>
          <t>RN-22 y RN-35: recoleccion al cierre de lo que pasa del cupo</t>
        </is>
      </c>
      <c r="K1656" t="inlineStr">
        <is>
          <t>Recoleccion al cierre: con el pronostico, el saldo cerraria en 287.678.426 COP, sobre el cupo de 135.350.000. Se recoge el excedente y el saldo queda en 135.350.000 COP. Equipo administrado por Sucursal. Sin tarifa TDV (administrado por la sucursal): costo 0 declarado.</t>
        </is>
      </c>
      <c r="L1656" s="26" t="n">
        <v>135350000</v>
      </c>
      <c r="M1656" s="26" t="n">
        <v>287678426</v>
      </c>
      <c r="N1656" s="27">
        <f>IF(ISNUMBER(M1656),M1656/L1656,"No aplica")</f>
        <v>2.1254409013668267</v>
      </c>
      <c r="O1656" s="25">
        <f>IF(G1656="provision",M1656+H1656,IF(G1656="recoleccion",M1656-H1656,"No aplica"))</f>
        <v>135350000</v>
      </c>
      <c r="P1656" s="26" t="n">
        <v>0</v>
      </c>
    </row>
    <row r="1657">
      <c r="A1657" t="inlineStr">
        <is>
          <t>PRAGMA</t>
        </is>
      </c>
      <c r="B1657" t="inlineStr">
        <is>
          <t>M2</t>
        </is>
      </c>
      <c r="C1657" t="inlineStr">
        <is>
          <t>Pasto</t>
        </is>
      </c>
      <c r="D1657" t="inlineStr">
        <is>
          <t>6220</t>
        </is>
      </c>
      <c r="E1657" t="inlineStr">
        <is>
          <t>Sucursal</t>
        </is>
      </c>
      <c r="F1657" s="23" t="n">
        <v>46270</v>
      </c>
      <c r="G1657" t="inlineStr">
        <is>
          <t>recoleccion</t>
        </is>
      </c>
      <c r="H1657" s="26" t="n">
        <v>114212742</v>
      </c>
      <c r="I1657" t="inlineStr">
        <is>
          <t>bajo</t>
        </is>
      </c>
      <c r="J1657" t="inlineStr">
        <is>
          <t>RN-22 y RN-35: recoleccion al cierre de lo que pasa del cupo</t>
        </is>
      </c>
      <c r="K1657" t="inlineStr">
        <is>
          <t>Recoleccion al cierre: con el pronostico, el saldo cerraria en 249.562.742 COP, sobre el cupo de 135.350.000. Se recoge el excedente y el saldo queda en 135.350.000 COP. Equipo administrado por Sucursal. Sin tarifa TDV (administrado por la sucursal): costo 0 declarado.</t>
        </is>
      </c>
      <c r="L1657" s="26" t="n">
        <v>135350000</v>
      </c>
      <c r="M1657" s="26" t="n">
        <v>249562742</v>
      </c>
      <c r="N1657" s="27">
        <f>IF(ISNUMBER(M1657),M1657/L1657,"No aplica")</f>
        <v>1.8438325969708165</v>
      </c>
      <c r="O1657" s="25">
        <f>IF(G1657="provision",M1657+H1657,IF(G1657="recoleccion",M1657-H1657,"No aplica"))</f>
        <v>135350000</v>
      </c>
      <c r="P1657" s="26" t="n">
        <v>0</v>
      </c>
    </row>
    <row r="1658">
      <c r="A1658" t="inlineStr">
        <is>
          <t>PRAGMA</t>
        </is>
      </c>
      <c r="B1658" t="inlineStr">
        <is>
          <t>M2</t>
        </is>
      </c>
      <c r="C1658" t="inlineStr">
        <is>
          <t>Pasto</t>
        </is>
      </c>
      <c r="D1658" t="inlineStr">
        <is>
          <t>6220</t>
        </is>
      </c>
      <c r="E1658" t="inlineStr">
        <is>
          <t>Sucursal</t>
        </is>
      </c>
      <c r="F1658" s="23" t="n">
        <v>46271</v>
      </c>
      <c r="G1658" t="inlineStr">
        <is>
          <t>recoleccion</t>
        </is>
      </c>
      <c r="H1658" s="26" t="n">
        <v>60442172</v>
      </c>
      <c r="I1658" t="inlineStr">
        <is>
          <t>bajo</t>
        </is>
      </c>
      <c r="J1658" t="inlineStr">
        <is>
          <t>RN-22 y RN-35: recoleccion al cierre de lo que pasa del cupo</t>
        </is>
      </c>
      <c r="K1658" t="inlineStr">
        <is>
          <t>Recoleccion al cierre: con el pronostico, el saldo cerraria en 195.792.172 COP, sobre el cupo de 135.350.000. Se recoge el excedente y el saldo queda en 135.350.000 COP. Equipo administrado por Sucursal. Sin tarifa TDV (administrado por la sucursal): costo 0 declarado.</t>
        </is>
      </c>
      <c r="L1658" s="26" t="n">
        <v>135350000</v>
      </c>
      <c r="M1658" s="26" t="n">
        <v>195792172</v>
      </c>
      <c r="N1658" s="27">
        <f>IF(ISNUMBER(M1658),M1658/L1658,"No aplica")</f>
        <v>1.4465620391577392</v>
      </c>
      <c r="O1658" s="25">
        <f>IF(G1658="provision",M1658+H1658,IF(G1658="recoleccion",M1658-H1658,"No aplica"))</f>
        <v>135350000</v>
      </c>
      <c r="P1658" s="26" t="n">
        <v>0</v>
      </c>
    </row>
    <row r="1659">
      <c r="A1659" t="inlineStr">
        <is>
          <t>PRAGMA</t>
        </is>
      </c>
      <c r="B1659" t="inlineStr">
        <is>
          <t>M2</t>
        </is>
      </c>
      <c r="C1659" t="inlineStr">
        <is>
          <t>Pasto</t>
        </is>
      </c>
      <c r="D1659" t="inlineStr">
        <is>
          <t>6220</t>
        </is>
      </c>
      <c r="E1659" t="inlineStr">
        <is>
          <t>Sucursal</t>
        </is>
      </c>
      <c r="F1659" s="23" t="n">
        <v>46272</v>
      </c>
      <c r="G1659" t="inlineStr">
        <is>
          <t>recoleccion</t>
        </is>
      </c>
      <c r="H1659" s="26" t="n">
        <v>175183686</v>
      </c>
      <c r="I1659" t="inlineStr">
        <is>
          <t>bajo</t>
        </is>
      </c>
      <c r="J1659" t="inlineStr">
        <is>
          <t>RN-22 y RN-35: recoleccion al cierre de lo que pasa del cupo</t>
        </is>
      </c>
      <c r="K1659" t="inlineStr">
        <is>
          <t>Recoleccion al cierre: con el pronostico, el saldo cerraria en 310.533.686 COP, sobre el cupo de 135.350.000. Se recoge el excedente y el saldo queda en 135.350.000 COP. Equipo administrado por Sucursal. Sin tarifa TDV (administrado por la sucursal): costo 0 declarado.</t>
        </is>
      </c>
      <c r="L1659" s="26" t="n">
        <v>135350000</v>
      </c>
      <c r="M1659" s="26" t="n">
        <v>310533686</v>
      </c>
      <c r="N1659" s="27">
        <f>IF(ISNUMBER(M1659),M1659/L1659,"No aplica")</f>
        <v>2.2943013372737346</v>
      </c>
      <c r="O1659" s="25">
        <f>IF(G1659="provision",M1659+H1659,IF(G1659="recoleccion",M1659-H1659,"No aplica"))</f>
        <v>135350000</v>
      </c>
      <c r="P1659" s="26" t="n">
        <v>0</v>
      </c>
    </row>
    <row r="1660">
      <c r="A1660" t="inlineStr">
        <is>
          <t>PRAGMA</t>
        </is>
      </c>
      <c r="B1660" t="inlineStr">
        <is>
          <t>M2</t>
        </is>
      </c>
      <c r="C1660" t="inlineStr">
        <is>
          <t>Pasto</t>
        </is>
      </c>
      <c r="D1660" t="inlineStr">
        <is>
          <t>6220</t>
        </is>
      </c>
      <c r="E1660" t="inlineStr">
        <is>
          <t>Sucursal</t>
        </is>
      </c>
      <c r="F1660" s="23" t="n">
        <v>46273</v>
      </c>
      <c r="G1660" t="inlineStr">
        <is>
          <t>recoleccion</t>
        </is>
      </c>
      <c r="H1660" s="26" t="n">
        <v>154045630</v>
      </c>
      <c r="I1660" t="inlineStr">
        <is>
          <t>bajo</t>
        </is>
      </c>
      <c r="J1660" t="inlineStr">
        <is>
          <t>RN-22 y RN-35: recoleccion al cierre de lo que pasa del cupo</t>
        </is>
      </c>
      <c r="K1660" t="inlineStr">
        <is>
          <t>Recoleccion al cierre: con el pronostico, el saldo cerraria en 289.395.630 COP, sobre el cupo de 135.350.000. Se recoge el excedente y el saldo queda en 135.350.000 COP. Equipo administrado por Sucursal. Sin tarifa TDV (administrado por la sucursal): costo 0 declarado.</t>
        </is>
      </c>
      <c r="L1660" s="26" t="n">
        <v>135350000</v>
      </c>
      <c r="M1660" s="26" t="n">
        <v>289395630</v>
      </c>
      <c r="N1660" s="27">
        <f>IF(ISNUMBER(M1660),M1660/L1660,"No aplica")</f>
        <v>2.138128038418914</v>
      </c>
      <c r="O1660" s="25">
        <f>IF(G1660="provision",M1660+H1660,IF(G1660="recoleccion",M1660-H1660,"No aplica"))</f>
        <v>135350000</v>
      </c>
      <c r="P1660" s="26" t="n">
        <v>0</v>
      </c>
    </row>
    <row r="1661">
      <c r="A1661" t="inlineStr">
        <is>
          <t>PRAGMA</t>
        </is>
      </c>
      <c r="B1661" t="inlineStr">
        <is>
          <t>M2</t>
        </is>
      </c>
      <c r="C1661" t="inlineStr">
        <is>
          <t>Pasto</t>
        </is>
      </c>
      <c r="D1661" t="inlineStr">
        <is>
          <t>6220</t>
        </is>
      </c>
      <c r="E1661" t="inlineStr">
        <is>
          <t>Sucursal</t>
        </is>
      </c>
      <c r="F1661" s="23" t="n">
        <v>46274</v>
      </c>
      <c r="G1661" t="inlineStr">
        <is>
          <t>recoleccion</t>
        </is>
      </c>
      <c r="H1661" s="26" t="n">
        <v>146176406</v>
      </c>
      <c r="I1661" t="inlineStr">
        <is>
          <t>bajo</t>
        </is>
      </c>
      <c r="J1661" t="inlineStr">
        <is>
          <t>RN-22 y RN-35: recoleccion al cierre de lo que pasa del cupo</t>
        </is>
      </c>
      <c r="K1661" t="inlineStr">
        <is>
          <t>Recoleccion al cierre: con el pronostico, el saldo cerraria en 281.526.406 COP, sobre el cupo de 135.350.000. Se recoge el excedente y el saldo queda en 135.350.000 COP. Equipo administrado por Sucursal. Sin tarifa TDV (administrado por la sucursal): costo 0 declarado.</t>
        </is>
      </c>
      <c r="L1661" s="26" t="n">
        <v>135350000</v>
      </c>
      <c r="M1661" s="26" t="n">
        <v>281526406</v>
      </c>
      <c r="N1661" s="27">
        <f>IF(ISNUMBER(M1661),M1661/L1661,"No aplica")</f>
        <v>2.079988223125231</v>
      </c>
      <c r="O1661" s="25">
        <f>IF(G1661="provision",M1661+H1661,IF(G1661="recoleccion",M1661-H1661,"No aplica"))</f>
        <v>135350000</v>
      </c>
      <c r="P1661" s="26" t="n">
        <v>0</v>
      </c>
    </row>
    <row r="1662">
      <c r="A1662" t="inlineStr">
        <is>
          <t>PRAGMA</t>
        </is>
      </c>
      <c r="B1662" t="inlineStr">
        <is>
          <t>M2</t>
        </is>
      </c>
      <c r="C1662" t="inlineStr">
        <is>
          <t>Pasto</t>
        </is>
      </c>
      <c r="D1662" t="inlineStr">
        <is>
          <t>6220</t>
        </is>
      </c>
      <c r="E1662" t="inlineStr">
        <is>
          <t>Sucursal</t>
        </is>
      </c>
      <c r="F1662" s="23" t="n">
        <v>46275</v>
      </c>
      <c r="G1662" t="inlineStr">
        <is>
          <t>recoleccion</t>
        </is>
      </c>
      <c r="H1662" s="26" t="n">
        <v>140694385</v>
      </c>
      <c r="I1662" t="inlineStr">
        <is>
          <t>bajo</t>
        </is>
      </c>
      <c r="J1662" t="inlineStr">
        <is>
          <t>RN-22 y RN-35: recoleccion al cierre de lo que pasa del cupo</t>
        </is>
      </c>
      <c r="K1662" t="inlineStr">
        <is>
          <t>Recoleccion al cierre: con el pronostico, el saldo cerraria en 276.044.385 COP, sobre el cupo de 135.350.000. Se recoge el excedente y el saldo queda en 135.350.000 COP. Equipo administrado por Sucursal. Sin tarifa TDV (administrado por la sucursal): costo 0 declarado.</t>
        </is>
      </c>
      <c r="L1662" s="26" t="n">
        <v>135350000</v>
      </c>
      <c r="M1662" s="26" t="n">
        <v>276044385</v>
      </c>
      <c r="N1662" s="27">
        <f>IF(ISNUMBER(M1662),M1662/L1662,"No aplica")</f>
        <v>2.0394856667898043</v>
      </c>
      <c r="O1662" s="25">
        <f>IF(G1662="provision",M1662+H1662,IF(G1662="recoleccion",M1662-H1662,"No aplica"))</f>
        <v>135350000</v>
      </c>
      <c r="P1662" s="26" t="n">
        <v>0</v>
      </c>
    </row>
    <row r="1663">
      <c r="A1663" t="inlineStr">
        <is>
          <t>PRAGMA</t>
        </is>
      </c>
      <c r="B1663" t="inlineStr">
        <is>
          <t>M2</t>
        </is>
      </c>
      <c r="C1663" t="inlineStr">
        <is>
          <t>Pasto</t>
        </is>
      </c>
      <c r="D1663" t="inlineStr">
        <is>
          <t>6220</t>
        </is>
      </c>
      <c r="E1663" t="inlineStr">
        <is>
          <t>Sucursal</t>
        </is>
      </c>
      <c r="F1663" s="23" t="n">
        <v>46276</v>
      </c>
      <c r="G1663" t="inlineStr">
        <is>
          <t>recoleccion</t>
        </is>
      </c>
      <c r="H1663" s="26" t="n">
        <v>147355740</v>
      </c>
      <c r="I1663" t="inlineStr">
        <is>
          <t>bajo</t>
        </is>
      </c>
      <c r="J1663" t="inlineStr">
        <is>
          <t>RN-22 y RN-35: recoleccion al cierre de lo que pasa del cupo</t>
        </is>
      </c>
      <c r="K1663" t="inlineStr">
        <is>
          <t>Recoleccion al cierre: con el pronostico, el saldo cerraria en 282.705.740 COP, sobre el cupo de 135.350.000. Se recoge el excedente y el saldo queda en 135.350.000 COP. Equipo administrado por Sucursal. Sin tarifa TDV (administrado por la sucursal): costo 0 declarado.</t>
        </is>
      </c>
      <c r="L1663" s="26" t="n">
        <v>135350000</v>
      </c>
      <c r="M1663" s="26" t="n">
        <v>282705740</v>
      </c>
      <c r="N1663" s="27">
        <f>IF(ISNUMBER(M1663),M1663/L1663,"No aplica")</f>
        <v>2.088701440709272</v>
      </c>
      <c r="O1663" s="25">
        <f>IF(G1663="provision",M1663+H1663,IF(G1663="recoleccion",M1663-H1663,"No aplica"))</f>
        <v>135350000</v>
      </c>
      <c r="P1663" s="26" t="n">
        <v>0</v>
      </c>
    </row>
    <row r="1664">
      <c r="A1664" t="inlineStr">
        <is>
          <t>PRAGMA</t>
        </is>
      </c>
      <c r="B1664" t="inlineStr">
        <is>
          <t>M2</t>
        </is>
      </c>
      <c r="C1664" t="inlineStr">
        <is>
          <t>Pasto</t>
        </is>
      </c>
      <c r="D1664" t="inlineStr">
        <is>
          <t>6220</t>
        </is>
      </c>
      <c r="E1664" t="inlineStr">
        <is>
          <t>Sucursal</t>
        </is>
      </c>
      <c r="F1664" s="23" t="n">
        <v>46277</v>
      </c>
      <c r="G1664" t="inlineStr">
        <is>
          <t>recoleccion</t>
        </is>
      </c>
      <c r="H1664" s="26" t="n">
        <v>111138957</v>
      </c>
      <c r="I1664" t="inlineStr">
        <is>
          <t>bajo</t>
        </is>
      </c>
      <c r="J1664" t="inlineStr">
        <is>
          <t>RN-22 y RN-35: recoleccion al cierre de lo que pasa del cupo</t>
        </is>
      </c>
      <c r="K1664" t="inlineStr">
        <is>
          <t>Recoleccion al cierre: con el pronostico, el saldo cerraria en 246.488.957 COP, sobre el cupo de 135.350.000. Se recoge el excedente y el saldo queda en 135.350.000 COP. Equipo administrado por Sucursal. Sin tarifa TDV (administrado por la sucursal): costo 0 declarado.</t>
        </is>
      </c>
      <c r="L1664" s="26" t="n">
        <v>135350000</v>
      </c>
      <c r="M1664" s="26" t="n">
        <v>246488957</v>
      </c>
      <c r="N1664" s="27">
        <f>IF(ISNUMBER(M1664),M1664/L1664,"No aplica")</f>
        <v>1.8211226967122276</v>
      </c>
      <c r="O1664" s="25">
        <f>IF(G1664="provision",M1664+H1664,IF(G1664="recoleccion",M1664-H1664,"No aplica"))</f>
        <v>135350000</v>
      </c>
      <c r="P1664" s="26" t="n">
        <v>0</v>
      </c>
    </row>
    <row r="1665">
      <c r="A1665" t="inlineStr">
        <is>
          <t>PRAGMA</t>
        </is>
      </c>
      <c r="B1665" t="inlineStr">
        <is>
          <t>M2</t>
        </is>
      </c>
      <c r="C1665" t="inlineStr">
        <is>
          <t>Pasto</t>
        </is>
      </c>
      <c r="D1665" t="inlineStr">
        <is>
          <t>6220</t>
        </is>
      </c>
      <c r="E1665" t="inlineStr">
        <is>
          <t>Sucursal</t>
        </is>
      </c>
      <c r="F1665" s="23" t="n">
        <v>46278</v>
      </c>
      <c r="G1665" t="inlineStr">
        <is>
          <t>recoleccion</t>
        </is>
      </c>
      <c r="H1665" s="26" t="n">
        <v>60664642</v>
      </c>
      <c r="I1665" t="inlineStr">
        <is>
          <t>bajo</t>
        </is>
      </c>
      <c r="J1665" t="inlineStr">
        <is>
          <t>RN-22 y RN-35: recoleccion al cierre de lo que pasa del cupo</t>
        </is>
      </c>
      <c r="K1665" t="inlineStr">
        <is>
          <t>Recoleccion al cierre: con el pronostico, el saldo cerraria en 196.014.642 COP, sobre el cupo de 135.350.000. Se recoge el excedente y el saldo queda en 135.350.000 COP. Equipo administrado por Sucursal. Sin tarifa TDV (administrado por la sucursal): costo 0 declarado.</t>
        </is>
      </c>
      <c r="L1665" s="26" t="n">
        <v>135350000</v>
      </c>
      <c r="M1665" s="26" t="n">
        <v>196014642</v>
      </c>
      <c r="N1665" s="27">
        <f>IF(ISNUMBER(M1665),M1665/L1665,"No aplica")</f>
        <v>1.4482057037310676</v>
      </c>
      <c r="O1665" s="25">
        <f>IF(G1665="provision",M1665+H1665,IF(G1665="recoleccion",M1665-H1665,"No aplica"))</f>
        <v>135350000</v>
      </c>
      <c r="P1665" s="26" t="n">
        <v>0</v>
      </c>
    </row>
    <row r="1666">
      <c r="A1666" t="inlineStr">
        <is>
          <t>PRAGMA</t>
        </is>
      </c>
      <c r="B1666" t="inlineStr">
        <is>
          <t>M2</t>
        </is>
      </c>
      <c r="C1666" t="inlineStr">
        <is>
          <t>Pasto</t>
        </is>
      </c>
      <c r="D1666" t="inlineStr">
        <is>
          <t>6220</t>
        </is>
      </c>
      <c r="E1666" t="inlineStr">
        <is>
          <t>Sucursal</t>
        </is>
      </c>
      <c r="F1666" s="23" t="n">
        <v>46279</v>
      </c>
      <c r="G1666" t="inlineStr">
        <is>
          <t>recoleccion</t>
        </is>
      </c>
      <c r="H1666" s="26" t="n">
        <v>163935263</v>
      </c>
      <c r="I1666" t="inlineStr">
        <is>
          <t>bajo</t>
        </is>
      </c>
      <c r="J1666" t="inlineStr">
        <is>
          <t>RN-22 y RN-35: recoleccion al cierre de lo que pasa del cupo</t>
        </is>
      </c>
      <c r="K1666" t="inlineStr">
        <is>
          <t>Recoleccion al cierre: con el pronostico, el saldo cerraria en 299.285.263 COP, sobre el cupo de 135.350.000. Se recoge el excedente y el saldo queda en 135.350.000 COP. Equipo administrado por Sucursal. Sin tarifa TDV (administrado por la sucursal): costo 0 declarado.</t>
        </is>
      </c>
      <c r="L1666" s="26" t="n">
        <v>135350000</v>
      </c>
      <c r="M1666" s="26" t="n">
        <v>299285263</v>
      </c>
      <c r="N1666" s="27">
        <f>IF(ISNUMBER(M1666),M1666/L1666,"No aplica")</f>
        <v>2.2111951459179906</v>
      </c>
      <c r="O1666" s="25">
        <f>IF(G1666="provision",M1666+H1666,IF(G1666="recoleccion",M1666-H1666,"No aplica"))</f>
        <v>135350000</v>
      </c>
      <c r="P1666" s="26" t="n">
        <v>0</v>
      </c>
    </row>
    <row r="1667">
      <c r="A1667" t="inlineStr">
        <is>
          <t>PRAGMA</t>
        </is>
      </c>
      <c r="B1667" t="inlineStr">
        <is>
          <t>M2</t>
        </is>
      </c>
      <c r="C1667" t="inlineStr">
        <is>
          <t>Pasto</t>
        </is>
      </c>
      <c r="D1667" t="inlineStr">
        <is>
          <t>6220</t>
        </is>
      </c>
      <c r="E1667" t="inlineStr">
        <is>
          <t>Sucursal</t>
        </is>
      </c>
      <c r="F1667" s="23" t="n">
        <v>46280</v>
      </c>
      <c r="G1667" t="inlineStr">
        <is>
          <t>recoleccion</t>
        </is>
      </c>
      <c r="H1667" s="26" t="n">
        <v>151984093</v>
      </c>
      <c r="I1667" t="inlineStr">
        <is>
          <t>bajo</t>
        </is>
      </c>
      <c r="J1667" t="inlineStr">
        <is>
          <t>RN-22 y RN-35: recoleccion al cierre de lo que pasa del cupo</t>
        </is>
      </c>
      <c r="K1667" t="inlineStr">
        <is>
          <t>Recoleccion al cierre: con el pronostico, el saldo cerraria en 287.334.093 COP, sobre el cupo de 135.350.000. Se recoge el excedente y el saldo queda en 135.350.000 COP. Equipo administrado por Sucursal. Sin tarifa TDV (administrado por la sucursal): costo 0 declarado.</t>
        </is>
      </c>
      <c r="L1667" s="26" t="n">
        <v>135350000</v>
      </c>
      <c r="M1667" s="26" t="n">
        <v>287334093</v>
      </c>
      <c r="N1667" s="27">
        <f>IF(ISNUMBER(M1667),M1667/L1667,"No aplica")</f>
        <v>2.1228968821573697</v>
      </c>
      <c r="O1667" s="25">
        <f>IF(G1667="provision",M1667+H1667,IF(G1667="recoleccion",M1667-H1667,"No aplica"))</f>
        <v>135350000</v>
      </c>
      <c r="P1667" s="26" t="n">
        <v>0</v>
      </c>
    </row>
    <row r="1668">
      <c r="A1668" t="inlineStr">
        <is>
          <t>PRAGMA</t>
        </is>
      </c>
      <c r="B1668" t="inlineStr">
        <is>
          <t>M2</t>
        </is>
      </c>
      <c r="C1668" t="inlineStr">
        <is>
          <t>Cali</t>
        </is>
      </c>
      <c r="D1668" t="inlineStr">
        <is>
          <t>6720</t>
        </is>
      </c>
      <c r="E1668" t="inlineStr">
        <is>
          <t>Sucursal</t>
        </is>
      </c>
      <c r="F1668" s="23" t="n">
        <v>46266</v>
      </c>
      <c r="G1668" t="inlineStr">
        <is>
          <t>recoleccion</t>
        </is>
      </c>
      <c r="H1668" s="26" t="n">
        <v>66687007</v>
      </c>
      <c r="I1668" t="inlineStr">
        <is>
          <t>bajo</t>
        </is>
      </c>
      <c r="J1668" t="inlineStr">
        <is>
          <t>RN-22 y RN-35: recoleccion al cierre de lo que pasa del cupo</t>
        </is>
      </c>
      <c r="K1668" t="inlineStr">
        <is>
          <t>Recoleccion al cierre: con el pronostico, el saldo cerraria en 202.037.007 COP, sobre el cupo de 135.350.000. Se recoge el excedente y el saldo queda en 135.350.000 COP. Equipo administrado por Sucursal. Sin tarifa TDV (administrado por la sucursal): costo 0 declarado.</t>
        </is>
      </c>
      <c r="L1668" s="26" t="n">
        <v>135350000</v>
      </c>
      <c r="M1668" s="26" t="n">
        <v>202037007</v>
      </c>
      <c r="N1668" s="27">
        <f>IF(ISNUMBER(M1668),M1668/L1668,"No aplica")</f>
        <v>1.492700458071666</v>
      </c>
      <c r="O1668" s="25">
        <f>IF(G1668="provision",M1668+H1668,IF(G1668="recoleccion",M1668-H1668,"No aplica"))</f>
        <v>135350000</v>
      </c>
      <c r="P1668" s="26" t="n">
        <v>0</v>
      </c>
    </row>
    <row r="1669">
      <c r="A1669" t="inlineStr">
        <is>
          <t>PRAGMA</t>
        </is>
      </c>
      <c r="B1669" t="inlineStr">
        <is>
          <t>M2</t>
        </is>
      </c>
      <c r="C1669" t="inlineStr">
        <is>
          <t>Cali</t>
        </is>
      </c>
      <c r="D1669" t="inlineStr">
        <is>
          <t>6720</t>
        </is>
      </c>
      <c r="E1669" t="inlineStr">
        <is>
          <t>Sucursal</t>
        </is>
      </c>
      <c r="F1669" s="23" t="n">
        <v>46267</v>
      </c>
      <c r="G1669" t="inlineStr">
        <is>
          <t>recoleccion</t>
        </is>
      </c>
      <c r="H1669" s="26" t="n">
        <v>66152774</v>
      </c>
      <c r="I1669" t="inlineStr">
        <is>
          <t>bajo</t>
        </is>
      </c>
      <c r="J1669" t="inlineStr">
        <is>
          <t>RN-22 y RN-35: recoleccion al cierre de lo que pasa del cupo</t>
        </is>
      </c>
      <c r="K1669" t="inlineStr">
        <is>
          <t>Recoleccion al cierre: con el pronostico, el saldo cerraria en 201.502.774 COP, sobre el cupo de 135.350.000. Se recoge el excedente y el saldo queda en 135.350.000 COP. Equipo administrado por Sucursal. Sin tarifa TDV (administrado por la sucursal): costo 0 declarado.</t>
        </is>
      </c>
      <c r="L1669" s="26" t="n">
        <v>135350000</v>
      </c>
      <c r="M1669" s="26" t="n">
        <v>201502774</v>
      </c>
      <c r="N1669" s="27">
        <f>IF(ISNUMBER(M1669),M1669/L1669,"No aplica")</f>
        <v>1.488753409678611</v>
      </c>
      <c r="O1669" s="25">
        <f>IF(G1669="provision",M1669+H1669,IF(G1669="recoleccion",M1669-H1669,"No aplica"))</f>
        <v>135350000</v>
      </c>
      <c r="P1669" s="26" t="n">
        <v>0</v>
      </c>
    </row>
    <row r="1670">
      <c r="A1670" t="inlineStr">
        <is>
          <t>PRAGMA</t>
        </is>
      </c>
      <c r="B1670" t="inlineStr">
        <is>
          <t>M2</t>
        </is>
      </c>
      <c r="C1670" t="inlineStr">
        <is>
          <t>Cali</t>
        </is>
      </c>
      <c r="D1670" t="inlineStr">
        <is>
          <t>6720</t>
        </is>
      </c>
      <c r="E1670" t="inlineStr">
        <is>
          <t>Sucursal</t>
        </is>
      </c>
      <c r="F1670" s="23" t="n">
        <v>46268</v>
      </c>
      <c r="G1670" t="inlineStr">
        <is>
          <t>recoleccion</t>
        </is>
      </c>
      <c r="H1670" s="26" t="n">
        <v>66547358</v>
      </c>
      <c r="I1670" t="inlineStr">
        <is>
          <t>bajo</t>
        </is>
      </c>
      <c r="J1670" t="inlineStr">
        <is>
          <t>RN-22 y RN-35: recoleccion al cierre de lo que pasa del cupo</t>
        </is>
      </c>
      <c r="K1670" t="inlineStr">
        <is>
          <t>Recoleccion al cierre: con el pronostico, el saldo cerraria en 201.897.358 COP, sobre el cupo de 135.350.000. Se recoge el excedente y el saldo queda en 135.350.000 COP. Equipo administrado por Sucursal. Sin tarifa TDV (administrado por la sucursal): costo 0 declarado.</t>
        </is>
      </c>
      <c r="L1670" s="26" t="n">
        <v>135350000</v>
      </c>
      <c r="M1670" s="26" t="n">
        <v>201897358</v>
      </c>
      <c r="N1670" s="27">
        <f>IF(ISNUMBER(M1670),M1670/L1670,"No aplica")</f>
        <v>1.4916686959734022</v>
      </c>
      <c r="O1670" s="25">
        <f>IF(G1670="provision",M1670+H1670,IF(G1670="recoleccion",M1670-H1670,"No aplica"))</f>
        <v>135350000</v>
      </c>
      <c r="P1670" s="26" t="n">
        <v>0</v>
      </c>
    </row>
    <row r="1671">
      <c r="A1671" t="inlineStr">
        <is>
          <t>PRAGMA</t>
        </is>
      </c>
      <c r="B1671" t="inlineStr">
        <is>
          <t>M2</t>
        </is>
      </c>
      <c r="C1671" t="inlineStr">
        <is>
          <t>Cali</t>
        </is>
      </c>
      <c r="D1671" t="inlineStr">
        <is>
          <t>6720</t>
        </is>
      </c>
      <c r="E1671" t="inlineStr">
        <is>
          <t>Sucursal</t>
        </is>
      </c>
      <c r="F1671" s="23" t="n">
        <v>46269</v>
      </c>
      <c r="G1671" t="inlineStr">
        <is>
          <t>recoleccion</t>
        </is>
      </c>
      <c r="H1671" s="26" t="n">
        <v>69500117</v>
      </c>
      <c r="I1671" t="inlineStr">
        <is>
          <t>bajo</t>
        </is>
      </c>
      <c r="J1671" t="inlineStr">
        <is>
          <t>RN-22 y RN-35: recoleccion al cierre de lo que pasa del cupo</t>
        </is>
      </c>
      <c r="K1671" t="inlineStr">
        <is>
          <t>Recoleccion al cierre: con el pronostico, el saldo cerraria en 204.850.117 COP, sobre el cupo de 135.350.000. Se recoge el excedente y el saldo queda en 135.350.000 COP. Equipo administrado por Sucursal. Sin tarifa TDV (administrado por la sucursal): costo 0 declarado.</t>
        </is>
      </c>
      <c r="L1671" s="26" t="n">
        <v>135350000</v>
      </c>
      <c r="M1671" s="26" t="n">
        <v>204850117</v>
      </c>
      <c r="N1671" s="27">
        <f>IF(ISNUMBER(M1671),M1671/L1671,"No aplica")</f>
        <v>1.5134844255633542</v>
      </c>
      <c r="O1671" s="25">
        <f>IF(G1671="provision",M1671+H1671,IF(G1671="recoleccion",M1671-H1671,"No aplica"))</f>
        <v>135350000</v>
      </c>
      <c r="P1671" s="26" t="n">
        <v>0</v>
      </c>
    </row>
    <row r="1672">
      <c r="A1672" t="inlineStr">
        <is>
          <t>PRAGMA</t>
        </is>
      </c>
      <c r="B1672" t="inlineStr">
        <is>
          <t>M2</t>
        </is>
      </c>
      <c r="C1672" t="inlineStr">
        <is>
          <t>Cali</t>
        </is>
      </c>
      <c r="D1672" t="inlineStr">
        <is>
          <t>6720</t>
        </is>
      </c>
      <c r="E1672" t="inlineStr">
        <is>
          <t>Sucursal</t>
        </is>
      </c>
      <c r="F1672" s="23" t="n">
        <v>46270</v>
      </c>
      <c r="G1672" t="inlineStr">
        <is>
          <t>recoleccion</t>
        </is>
      </c>
      <c r="H1672" s="26" t="n">
        <v>69856059</v>
      </c>
      <c r="I1672" t="inlineStr">
        <is>
          <t>bajo</t>
        </is>
      </c>
      <c r="J1672" t="inlineStr">
        <is>
          <t>RN-22 y RN-35: recoleccion al cierre de lo que pasa del cupo</t>
        </is>
      </c>
      <c r="K1672" t="inlineStr">
        <is>
          <t>Recoleccion al cierre: con el pronostico, el saldo cerraria en 205.206.059 COP, sobre el cupo de 135.350.000. Se recoge el excedente y el saldo queda en 135.350.000 COP. Equipo administrado por Sucursal. Sin tarifa TDV (administrado por la sucursal): costo 0 declarado.</t>
        </is>
      </c>
      <c r="L1672" s="26" t="n">
        <v>135350000</v>
      </c>
      <c r="M1672" s="26" t="n">
        <v>205206059</v>
      </c>
      <c r="N1672" s="27">
        <f>IF(ISNUMBER(M1672),M1672/L1672,"No aplica")</f>
        <v>1.516114214998153</v>
      </c>
      <c r="O1672" s="25">
        <f>IF(G1672="provision",M1672+H1672,IF(G1672="recoleccion",M1672-H1672,"No aplica"))</f>
        <v>135350000</v>
      </c>
      <c r="P1672" s="26" t="n">
        <v>0</v>
      </c>
    </row>
    <row r="1673">
      <c r="A1673" t="inlineStr">
        <is>
          <t>PRAGMA</t>
        </is>
      </c>
      <c r="B1673" t="inlineStr">
        <is>
          <t>M2</t>
        </is>
      </c>
      <c r="C1673" t="inlineStr">
        <is>
          <t>Cali</t>
        </is>
      </c>
      <c r="D1673" t="inlineStr">
        <is>
          <t>6720</t>
        </is>
      </c>
      <c r="E1673" t="inlineStr">
        <is>
          <t>Sucursal</t>
        </is>
      </c>
      <c r="F1673" s="23" t="n">
        <v>46271</v>
      </c>
      <c r="G1673" t="inlineStr">
        <is>
          <t>recoleccion</t>
        </is>
      </c>
      <c r="H1673" s="26" t="n">
        <v>41865440</v>
      </c>
      <c r="I1673" t="inlineStr">
        <is>
          <t>bajo</t>
        </is>
      </c>
      <c r="J1673" t="inlineStr">
        <is>
          <t>RN-22 y RN-35: recoleccion al cierre de lo que pasa del cupo</t>
        </is>
      </c>
      <c r="K1673" t="inlineStr">
        <is>
          <t>Recoleccion al cierre: con el pronostico, el saldo cerraria en 177.215.440 COP, sobre el cupo de 135.350.000. Se recoge el excedente y el saldo queda en 135.350.000 COP. Equipo administrado por Sucursal. Sin tarifa TDV (administrado por la sucursal): costo 0 declarado.</t>
        </is>
      </c>
      <c r="L1673" s="26" t="n">
        <v>135350000</v>
      </c>
      <c r="M1673" s="26" t="n">
        <v>177215440</v>
      </c>
      <c r="N1673" s="27">
        <f>IF(ISNUMBER(M1673),M1673/L1673,"No aplica")</f>
        <v>1.3093124492057628</v>
      </c>
      <c r="O1673" s="25">
        <f>IF(G1673="provision",M1673+H1673,IF(G1673="recoleccion",M1673-H1673,"No aplica"))</f>
        <v>135350000</v>
      </c>
      <c r="P1673" s="26" t="n">
        <v>0</v>
      </c>
    </row>
    <row r="1674">
      <c r="A1674" t="inlineStr">
        <is>
          <t>PRAGMA</t>
        </is>
      </c>
      <c r="B1674" t="inlineStr">
        <is>
          <t>M2</t>
        </is>
      </c>
      <c r="C1674" t="inlineStr">
        <is>
          <t>Cali</t>
        </is>
      </c>
      <c r="D1674" t="inlineStr">
        <is>
          <t>6720</t>
        </is>
      </c>
      <c r="E1674" t="inlineStr">
        <is>
          <t>Sucursal</t>
        </is>
      </c>
      <c r="F1674" s="23" t="n">
        <v>46272</v>
      </c>
      <c r="G1674" t="inlineStr">
        <is>
          <t>recoleccion</t>
        </is>
      </c>
      <c r="H1674" s="26" t="n">
        <v>81473605</v>
      </c>
      <c r="I1674" t="inlineStr">
        <is>
          <t>bajo</t>
        </is>
      </c>
      <c r="J1674" t="inlineStr">
        <is>
          <t>RN-22 y RN-35: recoleccion al cierre de lo que pasa del cupo</t>
        </is>
      </c>
      <c r="K1674" t="inlineStr">
        <is>
          <t>Recoleccion al cierre: con el pronostico, el saldo cerraria en 216.823.605 COP, sobre el cupo de 135.350.000. Se recoge el excedente y el saldo queda en 135.350.000 COP. Equipo administrado por Sucursal. Sin tarifa TDV (administrado por la sucursal): costo 0 declarado.</t>
        </is>
      </c>
      <c r="L1674" s="26" t="n">
        <v>135350000</v>
      </c>
      <c r="M1674" s="26" t="n">
        <v>216823605</v>
      </c>
      <c r="N1674" s="27">
        <f>IF(ISNUMBER(M1674),M1674/L1674,"No aplica")</f>
        <v>1.6019475803472478</v>
      </c>
      <c r="O1674" s="25">
        <f>IF(G1674="provision",M1674+H1674,IF(G1674="recoleccion",M1674-H1674,"No aplica"))</f>
        <v>135350000</v>
      </c>
      <c r="P1674" s="26" t="n">
        <v>0</v>
      </c>
    </row>
    <row r="1675">
      <c r="A1675" t="inlineStr">
        <is>
          <t>PRAGMA</t>
        </is>
      </c>
      <c r="B1675" t="inlineStr">
        <is>
          <t>M2</t>
        </is>
      </c>
      <c r="C1675" t="inlineStr">
        <is>
          <t>Cali</t>
        </is>
      </c>
      <c r="D1675" t="inlineStr">
        <is>
          <t>6720</t>
        </is>
      </c>
      <c r="E1675" t="inlineStr">
        <is>
          <t>Sucursal</t>
        </is>
      </c>
      <c r="F1675" s="23" t="n">
        <v>46273</v>
      </c>
      <c r="G1675" t="inlineStr">
        <is>
          <t>recoleccion</t>
        </is>
      </c>
      <c r="H1675" s="26" t="n">
        <v>72500709</v>
      </c>
      <c r="I1675" t="inlineStr">
        <is>
          <t>bajo</t>
        </is>
      </c>
      <c r="J1675" t="inlineStr">
        <is>
          <t>RN-22 y RN-35: recoleccion al cierre de lo que pasa del cupo</t>
        </is>
      </c>
      <c r="K1675" t="inlineStr">
        <is>
          <t>Recoleccion al cierre: con el pronostico, el saldo cerraria en 207.850.709 COP, sobre el cupo de 135.350.000. Se recoge el excedente y el saldo queda en 135.350.000 COP. Equipo administrado por Sucursal. Sin tarifa TDV (administrado por la sucursal): costo 0 declarado.</t>
        </is>
      </c>
      <c r="L1675" s="26" t="n">
        <v>135350000</v>
      </c>
      <c r="M1675" s="26" t="n">
        <v>207850709</v>
      </c>
      <c r="N1675" s="27">
        <f>IF(ISNUMBER(M1675),M1675/L1675,"No aplica")</f>
        <v>1.5356535574436645</v>
      </c>
      <c r="O1675" s="25">
        <f>IF(G1675="provision",M1675+H1675,IF(G1675="recoleccion",M1675-H1675,"No aplica"))</f>
        <v>135350000</v>
      </c>
      <c r="P1675" s="26" t="n">
        <v>0</v>
      </c>
    </row>
    <row r="1676">
      <c r="A1676" t="inlineStr">
        <is>
          <t>PRAGMA</t>
        </is>
      </c>
      <c r="B1676" t="inlineStr">
        <is>
          <t>M2</t>
        </is>
      </c>
      <c r="C1676" t="inlineStr">
        <is>
          <t>Cali</t>
        </is>
      </c>
      <c r="D1676" t="inlineStr">
        <is>
          <t>6720</t>
        </is>
      </c>
      <c r="E1676" t="inlineStr">
        <is>
          <t>Sucursal</t>
        </is>
      </c>
      <c r="F1676" s="23" t="n">
        <v>46274</v>
      </c>
      <c r="G1676" t="inlineStr">
        <is>
          <t>recoleccion</t>
        </is>
      </c>
      <c r="H1676" s="26" t="n">
        <v>69241520</v>
      </c>
      <c r="I1676" t="inlineStr">
        <is>
          <t>bajo</t>
        </is>
      </c>
      <c r="J1676" t="inlineStr">
        <is>
          <t>RN-22 y RN-35: recoleccion al cierre de lo que pasa del cupo</t>
        </is>
      </c>
      <c r="K1676" t="inlineStr">
        <is>
          <t>Recoleccion al cierre: con el pronostico, el saldo cerraria en 204.591.520 COP, sobre el cupo de 135.350.000. Se recoge el excedente y el saldo queda en 135.350.000 COP. Equipo administrado por Sucursal. Sin tarifa TDV (administrado por la sucursal): costo 0 declarado.</t>
        </is>
      </c>
      <c r="L1676" s="26" t="n">
        <v>135350000</v>
      </c>
      <c r="M1676" s="26" t="n">
        <v>204591520</v>
      </c>
      <c r="N1676" s="27">
        <f>IF(ISNUMBER(M1676),M1676/L1676,"No aplica")</f>
        <v>1.511573845585519</v>
      </c>
      <c r="O1676" s="25">
        <f>IF(G1676="provision",M1676+H1676,IF(G1676="recoleccion",M1676-H1676,"No aplica"))</f>
        <v>135350000</v>
      </c>
      <c r="P1676" s="26" t="n">
        <v>0</v>
      </c>
    </row>
    <row r="1677">
      <c r="A1677" t="inlineStr">
        <is>
          <t>PRAGMA</t>
        </is>
      </c>
      <c r="B1677" t="inlineStr">
        <is>
          <t>M2</t>
        </is>
      </c>
      <c r="C1677" t="inlineStr">
        <is>
          <t>Cali</t>
        </is>
      </c>
      <c r="D1677" t="inlineStr">
        <is>
          <t>6720</t>
        </is>
      </c>
      <c r="E1677" t="inlineStr">
        <is>
          <t>Sucursal</t>
        </is>
      </c>
      <c r="F1677" s="23" t="n">
        <v>46275</v>
      </c>
      <c r="G1677" t="inlineStr">
        <is>
          <t>recoleccion</t>
        </is>
      </c>
      <c r="H1677" s="26" t="n">
        <v>60448420</v>
      </c>
      <c r="I1677" t="inlineStr">
        <is>
          <t>bajo</t>
        </is>
      </c>
      <c r="J1677" t="inlineStr">
        <is>
          <t>RN-22 y RN-35: recoleccion al cierre de lo que pasa del cupo</t>
        </is>
      </c>
      <c r="K1677" t="inlineStr">
        <is>
          <t>Recoleccion al cierre: con el pronostico, el saldo cerraria en 195.798.420 COP, sobre el cupo de 135.350.000. Se recoge el excedente y el saldo queda en 135.350.000 COP. Equipo administrado por Sucursal. Sin tarifa TDV (administrado por la sucursal): costo 0 declarado.</t>
        </is>
      </c>
      <c r="L1677" s="26" t="n">
        <v>135350000</v>
      </c>
      <c r="M1677" s="26" t="n">
        <v>195798420</v>
      </c>
      <c r="N1677" s="27">
        <f>IF(ISNUMBER(M1677),M1677/L1677,"No aplica")</f>
        <v>1.4466082009604728</v>
      </c>
      <c r="O1677" s="25">
        <f>IF(G1677="provision",M1677+H1677,IF(G1677="recoleccion",M1677-H1677,"No aplica"))</f>
        <v>135350000</v>
      </c>
      <c r="P1677" s="26" t="n">
        <v>0</v>
      </c>
    </row>
    <row r="1678">
      <c r="A1678" t="inlineStr">
        <is>
          <t>PRAGMA</t>
        </is>
      </c>
      <c r="B1678" t="inlineStr">
        <is>
          <t>M2</t>
        </is>
      </c>
      <c r="C1678" t="inlineStr">
        <is>
          <t>Cali</t>
        </is>
      </c>
      <c r="D1678" t="inlineStr">
        <is>
          <t>6720</t>
        </is>
      </c>
      <c r="E1678" t="inlineStr">
        <is>
          <t>Sucursal</t>
        </is>
      </c>
      <c r="F1678" s="23" t="n">
        <v>46276</v>
      </c>
      <c r="G1678" t="inlineStr">
        <is>
          <t>recoleccion</t>
        </is>
      </c>
      <c r="H1678" s="26" t="n">
        <v>62612478</v>
      </c>
      <c r="I1678" t="inlineStr">
        <is>
          <t>bajo</t>
        </is>
      </c>
      <c r="J1678" t="inlineStr">
        <is>
          <t>RN-22 y RN-35: recoleccion al cierre de lo que pasa del cupo</t>
        </is>
      </c>
      <c r="K1678" t="inlineStr">
        <is>
          <t>Recoleccion al cierre: con el pronostico, el saldo cerraria en 197.962.478 COP, sobre el cupo de 135.350.000. Se recoge el excedente y el saldo queda en 135.350.000 COP. Equipo administrado por Sucursal. Sin tarifa TDV (administrado por la sucursal): costo 0 declarado.</t>
        </is>
      </c>
      <c r="L1678" s="26" t="n">
        <v>135350000</v>
      </c>
      <c r="M1678" s="26" t="n">
        <v>197962478</v>
      </c>
      <c r="N1678" s="27">
        <f>IF(ISNUMBER(M1678),M1678/L1678,"No aplica")</f>
        <v>1.462596808274843</v>
      </c>
      <c r="O1678" s="25">
        <f>IF(G1678="provision",M1678+H1678,IF(G1678="recoleccion",M1678-H1678,"No aplica"))</f>
        <v>135350000</v>
      </c>
      <c r="P1678" s="26" t="n">
        <v>0</v>
      </c>
    </row>
    <row r="1679">
      <c r="A1679" t="inlineStr">
        <is>
          <t>PRAGMA</t>
        </is>
      </c>
      <c r="B1679" t="inlineStr">
        <is>
          <t>M2</t>
        </is>
      </c>
      <c r="C1679" t="inlineStr">
        <is>
          <t>Cali</t>
        </is>
      </c>
      <c r="D1679" t="inlineStr">
        <is>
          <t>6720</t>
        </is>
      </c>
      <c r="E1679" t="inlineStr">
        <is>
          <t>Sucursal</t>
        </is>
      </c>
      <c r="F1679" s="23" t="n">
        <v>46277</v>
      </c>
      <c r="G1679" t="inlineStr">
        <is>
          <t>recoleccion</t>
        </is>
      </c>
      <c r="H1679" s="26" t="n">
        <v>60278140</v>
      </c>
      <c r="I1679" t="inlineStr">
        <is>
          <t>bajo</t>
        </is>
      </c>
      <c r="J1679" t="inlineStr">
        <is>
          <t>RN-22 y RN-35: recoleccion al cierre de lo que pasa del cupo</t>
        </is>
      </c>
      <c r="K1679" t="inlineStr">
        <is>
          <t>Recoleccion al cierre: con el pronostico, el saldo cerraria en 195.628.140 COP, sobre el cupo de 135.350.000. Se recoge el excedente y el saldo queda en 135.350.000 COP. Equipo administrado por Sucursal. Sin tarifa TDV (administrado por la sucursal): costo 0 declarado.</t>
        </is>
      </c>
      <c r="L1679" s="26" t="n">
        <v>135350000</v>
      </c>
      <c r="M1679" s="26" t="n">
        <v>195628140</v>
      </c>
      <c r="N1679" s="27">
        <f>IF(ISNUMBER(M1679),M1679/L1679,"No aplica")</f>
        <v>1.445350129294422</v>
      </c>
      <c r="O1679" s="25">
        <f>IF(G1679="provision",M1679+H1679,IF(G1679="recoleccion",M1679-H1679,"No aplica"))</f>
        <v>135350000</v>
      </c>
      <c r="P1679" s="26" t="n">
        <v>0</v>
      </c>
    </row>
    <row r="1680">
      <c r="A1680" t="inlineStr">
        <is>
          <t>PRAGMA</t>
        </is>
      </c>
      <c r="B1680" t="inlineStr">
        <is>
          <t>M2</t>
        </is>
      </c>
      <c r="C1680" t="inlineStr">
        <is>
          <t>Cali</t>
        </is>
      </c>
      <c r="D1680" t="inlineStr">
        <is>
          <t>6720</t>
        </is>
      </c>
      <c r="E1680" t="inlineStr">
        <is>
          <t>Sucursal</t>
        </is>
      </c>
      <c r="F1680" s="23" t="n">
        <v>46278</v>
      </c>
      <c r="G1680" t="inlineStr">
        <is>
          <t>recoleccion</t>
        </is>
      </c>
      <c r="H1680" s="26" t="n">
        <v>33372599</v>
      </c>
      <c r="I1680" t="inlineStr">
        <is>
          <t>bajo</t>
        </is>
      </c>
      <c r="J1680" t="inlineStr">
        <is>
          <t>RN-22 y RN-35: recoleccion al cierre de lo que pasa del cupo</t>
        </is>
      </c>
      <c r="K1680" t="inlineStr">
        <is>
          <t>Recoleccion al cierre: con el pronostico, el saldo cerraria en 168.722.599 COP, sobre el cupo de 135.350.000. Se recoge el excedente y el saldo queda en 135.350.000 COP. Equipo administrado por Sucursal. Sin tarifa TDV (administrado por la sucursal): costo 0 declarado.</t>
        </is>
      </c>
      <c r="L1680" s="26" t="n">
        <v>135350000</v>
      </c>
      <c r="M1680" s="26" t="n">
        <v>168722599</v>
      </c>
      <c r="N1680" s="27">
        <f>IF(ISNUMBER(M1680),M1680/L1680,"No aplica")</f>
        <v>1.246565193941633</v>
      </c>
      <c r="O1680" s="25">
        <f>IF(G1680="provision",M1680+H1680,IF(G1680="recoleccion",M1680-H1680,"No aplica"))</f>
        <v>135350000</v>
      </c>
      <c r="P1680" s="26" t="n">
        <v>0</v>
      </c>
    </row>
    <row r="1681">
      <c r="A1681" t="inlineStr">
        <is>
          <t>PRAGMA</t>
        </is>
      </c>
      <c r="B1681" t="inlineStr">
        <is>
          <t>M2</t>
        </is>
      </c>
      <c r="C1681" t="inlineStr">
        <is>
          <t>Cali</t>
        </is>
      </c>
      <c r="D1681" t="inlineStr">
        <is>
          <t>6720</t>
        </is>
      </c>
      <c r="E1681" t="inlineStr">
        <is>
          <t>Sucursal</t>
        </is>
      </c>
      <c r="F1681" s="23" t="n">
        <v>46279</v>
      </c>
      <c r="G1681" t="inlineStr">
        <is>
          <t>recoleccion</t>
        </is>
      </c>
      <c r="H1681" s="26" t="n">
        <v>67085642</v>
      </c>
      <c r="I1681" t="inlineStr">
        <is>
          <t>bajo</t>
        </is>
      </c>
      <c r="J1681" t="inlineStr">
        <is>
          <t>RN-22 y RN-35: recoleccion al cierre de lo que pasa del cupo</t>
        </is>
      </c>
      <c r="K1681" t="inlineStr">
        <is>
          <t>Recoleccion al cierre: con el pronostico, el saldo cerraria en 202.435.642 COP, sobre el cupo de 135.350.000. Se recoge el excedente y el saldo queda en 135.350.000 COP. Equipo administrado por Sucursal. Sin tarifa TDV (administrado por la sucursal): costo 0 declarado.</t>
        </is>
      </c>
      <c r="L1681" s="26" t="n">
        <v>135350000</v>
      </c>
      <c r="M1681" s="26" t="n">
        <v>202435642</v>
      </c>
      <c r="N1681" s="27">
        <f>IF(ISNUMBER(M1681),M1681/L1681,"No aplica")</f>
        <v>1.4956456741780568</v>
      </c>
      <c r="O1681" s="25">
        <f>IF(G1681="provision",M1681+H1681,IF(G1681="recoleccion",M1681-H1681,"No aplica"))</f>
        <v>135350000</v>
      </c>
      <c r="P1681" s="26" t="n">
        <v>0</v>
      </c>
    </row>
    <row r="1682">
      <c r="A1682" t="inlineStr">
        <is>
          <t>PRAGMA</t>
        </is>
      </c>
      <c r="B1682" t="inlineStr">
        <is>
          <t>M2</t>
        </is>
      </c>
      <c r="C1682" t="inlineStr">
        <is>
          <t>Cali</t>
        </is>
      </c>
      <c r="D1682" t="inlineStr">
        <is>
          <t>6720</t>
        </is>
      </c>
      <c r="E1682" t="inlineStr">
        <is>
          <t>Sucursal</t>
        </is>
      </c>
      <c r="F1682" s="23" t="n">
        <v>46280</v>
      </c>
      <c r="G1682" t="inlineStr">
        <is>
          <t>recoleccion</t>
        </is>
      </c>
      <c r="H1682" s="26" t="n">
        <v>69354569</v>
      </c>
      <c r="I1682" t="inlineStr">
        <is>
          <t>bajo</t>
        </is>
      </c>
      <c r="J1682" t="inlineStr">
        <is>
          <t>RN-22 y RN-35: recoleccion al cierre de lo que pasa del cupo</t>
        </is>
      </c>
      <c r="K1682" t="inlineStr">
        <is>
          <t>Recoleccion al cierre: con el pronostico, el saldo cerraria en 204.704.569 COP, sobre el cupo de 135.350.000. Se recoge el excedente y el saldo queda en 135.350.000 COP. Equipo administrado por Sucursal. Sin tarifa TDV (administrado por la sucursal): costo 0 declarado.</t>
        </is>
      </c>
      <c r="L1682" s="26" t="n">
        <v>135350000</v>
      </c>
      <c r="M1682" s="26" t="n">
        <v>204704569</v>
      </c>
      <c r="N1682" s="27">
        <f>IF(ISNUMBER(M1682),M1682/L1682,"No aplica")</f>
        <v>1.5124090801625416</v>
      </c>
      <c r="O1682" s="25">
        <f>IF(G1682="provision",M1682+H1682,IF(G1682="recoleccion",M1682-H1682,"No aplica"))</f>
        <v>135350000</v>
      </c>
      <c r="P1682" s="26" t="n">
        <v>0</v>
      </c>
    </row>
    <row r="1683">
      <c r="A1683" t="inlineStr">
        <is>
          <t>PRAGMA</t>
        </is>
      </c>
      <c r="B1683" t="inlineStr">
        <is>
          <t>M2</t>
        </is>
      </c>
      <c r="C1683" t="inlineStr">
        <is>
          <t>Cali</t>
        </is>
      </c>
      <c r="D1683" t="inlineStr">
        <is>
          <t>6775</t>
        </is>
      </c>
      <c r="E1683" t="inlineStr">
        <is>
          <t>TDV</t>
        </is>
      </c>
      <c r="F1683" s="23" t="n">
        <v>46266</v>
      </c>
      <c r="G1683" t="inlineStr">
        <is>
          <t>recoleccion</t>
        </is>
      </c>
      <c r="H1683" s="26" t="n">
        <v>26667192</v>
      </c>
      <c r="I1683" t="inlineStr">
        <is>
          <t>bajo</t>
        </is>
      </c>
      <c r="J1683" t="inlineStr">
        <is>
          <t>RN-22 y RN-35: recoleccion al cierre de lo que pasa del cupo</t>
        </is>
      </c>
      <c r="K1683" t="inlineStr">
        <is>
          <t>Recoleccion al cierre: con el pronostico, el saldo cerraria en 162.017.192 COP, sobre el cupo de 135.350.000. Se recoge el excedente y el saldo queda en 135.350.000 COP. Equipo administrado por TDV.</t>
        </is>
      </c>
      <c r="L1683" s="26" t="n">
        <v>135350000</v>
      </c>
      <c r="M1683" s="26" t="n">
        <v>162017192</v>
      </c>
      <c r="N1683" s="27">
        <f>IF(ISNUMBER(M1683),M1683/L1683,"No aplica")</f>
        <v>1.197023952715183</v>
      </c>
      <c r="O1683" s="25">
        <f>IF(G1683="provision",M1683+H1683,IF(G1683="recoleccion",M1683-H1683,"No aplica"))</f>
        <v>135350000</v>
      </c>
      <c r="P1683" s="26" t="n">
        <v>158012</v>
      </c>
    </row>
    <row r="1684">
      <c r="A1684" t="inlineStr">
        <is>
          <t>PRAGMA</t>
        </is>
      </c>
      <c r="B1684" t="inlineStr">
        <is>
          <t>M2</t>
        </is>
      </c>
      <c r="C1684" t="inlineStr">
        <is>
          <t>Cali</t>
        </is>
      </c>
      <c r="D1684" t="inlineStr">
        <is>
          <t>6775</t>
        </is>
      </c>
      <c r="E1684" t="inlineStr">
        <is>
          <t>TDV</t>
        </is>
      </c>
      <c r="F1684" s="23" t="n">
        <v>46267</v>
      </c>
      <c r="G1684" t="inlineStr">
        <is>
          <t>recoleccion</t>
        </is>
      </c>
      <c r="H1684" s="26" t="n">
        <v>32676679</v>
      </c>
      <c r="I1684" t="inlineStr">
        <is>
          <t>bajo</t>
        </is>
      </c>
      <c r="J1684" t="inlineStr">
        <is>
          <t>RN-22 y RN-35: recoleccion al cierre de lo que pasa del cupo</t>
        </is>
      </c>
      <c r="K1684" t="inlineStr">
        <is>
          <t>Recoleccion al cierre: con el pronostico, el saldo cerraria en 168.026.679 COP, sobre el cupo de 135.350.000. Se recoge el excedente y el saldo queda en 135.350.000 COP. Equipo administrado por TDV.</t>
        </is>
      </c>
      <c r="L1684" s="26" t="n">
        <v>135350000</v>
      </c>
      <c r="M1684" s="26" t="n">
        <v>168026679</v>
      </c>
      <c r="N1684" s="27">
        <f>IF(ISNUMBER(M1684),M1684/L1684,"No aplica")</f>
        <v>1.2414235611377908</v>
      </c>
      <c r="O1684" s="25">
        <f>IF(G1684="provision",M1684+H1684,IF(G1684="recoleccion",M1684-H1684,"No aplica"))</f>
        <v>135350000</v>
      </c>
      <c r="P1684" s="26" t="n">
        <v>158012</v>
      </c>
    </row>
    <row r="1685">
      <c r="A1685" t="inlineStr">
        <is>
          <t>PRAGMA</t>
        </is>
      </c>
      <c r="B1685" t="inlineStr">
        <is>
          <t>M2</t>
        </is>
      </c>
      <c r="C1685" t="inlineStr">
        <is>
          <t>Cali</t>
        </is>
      </c>
      <c r="D1685" t="inlineStr">
        <is>
          <t>6775</t>
        </is>
      </c>
      <c r="E1685" t="inlineStr">
        <is>
          <t>TDV</t>
        </is>
      </c>
      <c r="F1685" s="23" t="n">
        <v>46268</v>
      </c>
      <c r="G1685" t="inlineStr">
        <is>
          <t>recoleccion</t>
        </is>
      </c>
      <c r="H1685" s="26" t="n">
        <v>25485115</v>
      </c>
      <c r="I1685" t="inlineStr">
        <is>
          <t>bajo</t>
        </is>
      </c>
      <c r="J1685" t="inlineStr">
        <is>
          <t>RN-22 y RN-35: recoleccion al cierre de lo que pasa del cupo</t>
        </is>
      </c>
      <c r="K1685" t="inlineStr">
        <is>
          <t>Recoleccion al cierre: con el pronostico, el saldo cerraria en 160.835.115 COP, sobre el cupo de 135.350.000. Se recoge el excedente y el saldo queda en 135.350.000 COP. Equipo administrado por TDV.</t>
        </is>
      </c>
      <c r="L1685" s="26" t="n">
        <v>135350000</v>
      </c>
      <c r="M1685" s="26" t="n">
        <v>160835115</v>
      </c>
      <c r="N1685" s="27">
        <f>IF(ISNUMBER(M1685),M1685/L1685,"No aplica")</f>
        <v>1.188290469154045</v>
      </c>
      <c r="O1685" s="25">
        <f>IF(G1685="provision",M1685+H1685,IF(G1685="recoleccion",M1685-H1685,"No aplica"))</f>
        <v>135350000</v>
      </c>
      <c r="P1685" s="26" t="n">
        <v>158012</v>
      </c>
    </row>
    <row r="1686">
      <c r="A1686" t="inlineStr">
        <is>
          <t>PRAGMA</t>
        </is>
      </c>
      <c r="B1686" t="inlineStr">
        <is>
          <t>M2</t>
        </is>
      </c>
      <c r="C1686" t="inlineStr">
        <is>
          <t>Cali</t>
        </is>
      </c>
      <c r="D1686" t="inlineStr">
        <is>
          <t>6775</t>
        </is>
      </c>
      <c r="E1686" t="inlineStr">
        <is>
          <t>TDV</t>
        </is>
      </c>
      <c r="F1686" s="23" t="n">
        <v>46269</v>
      </c>
      <c r="G1686" t="inlineStr">
        <is>
          <t>recoleccion</t>
        </is>
      </c>
      <c r="H1686" s="26" t="n">
        <v>36399197</v>
      </c>
      <c r="I1686" t="inlineStr">
        <is>
          <t>bajo</t>
        </is>
      </c>
      <c r="J1686" t="inlineStr">
        <is>
          <t>RN-22 y RN-35: recoleccion al cierre de lo que pasa del cupo</t>
        </is>
      </c>
      <c r="K1686" t="inlineStr">
        <is>
          <t>Recoleccion al cierre: con el pronostico, el saldo cerraria en 171.749.197 COP, sobre el cupo de 135.350.000. Se recoge el excedente y el saldo queda en 135.350.000 COP. Equipo administrado por TDV.</t>
        </is>
      </c>
      <c r="L1686" s="26" t="n">
        <v>135350000</v>
      </c>
      <c r="M1686" s="26" t="n">
        <v>171749197</v>
      </c>
      <c r="N1686" s="27">
        <f>IF(ISNUMBER(M1686),M1686/L1686,"No aplica")</f>
        <v>1.2689264647210934</v>
      </c>
      <c r="O1686" s="25">
        <f>IF(G1686="provision",M1686+H1686,IF(G1686="recoleccion",M1686-H1686,"No aplica"))</f>
        <v>135350000</v>
      </c>
      <c r="P1686" s="26" t="n">
        <v>158012</v>
      </c>
    </row>
    <row r="1687">
      <c r="A1687" t="inlineStr">
        <is>
          <t>PRAGMA</t>
        </is>
      </c>
      <c r="B1687" t="inlineStr">
        <is>
          <t>M2</t>
        </is>
      </c>
      <c r="C1687" t="inlineStr">
        <is>
          <t>Cali</t>
        </is>
      </c>
      <c r="D1687" t="inlineStr">
        <is>
          <t>6775</t>
        </is>
      </c>
      <c r="E1687" t="inlineStr">
        <is>
          <t>TDV</t>
        </is>
      </c>
      <c r="F1687" s="23" t="n">
        <v>46270</v>
      </c>
      <c r="G1687" t="inlineStr">
        <is>
          <t>recoleccion</t>
        </is>
      </c>
      <c r="H1687" s="26" t="n">
        <v>34048869</v>
      </c>
      <c r="I1687" t="inlineStr">
        <is>
          <t>bajo</t>
        </is>
      </c>
      <c r="J1687" t="inlineStr">
        <is>
          <t>RN-22 y RN-35: recoleccion al cierre de lo que pasa del cupo</t>
        </is>
      </c>
      <c r="K1687" t="inlineStr">
        <is>
          <t>Recoleccion al cierre: con el pronostico, el saldo cerraria en 169.398.869 COP, sobre el cupo de 135.350.000. Se recoge el excedente y el saldo queda en 135.350.000 COP. Equipo administrado por TDV.</t>
        </is>
      </c>
      <c r="L1687" s="26" t="n">
        <v>135350000</v>
      </c>
      <c r="M1687" s="26" t="n">
        <v>169398869</v>
      </c>
      <c r="N1687" s="27">
        <f>IF(ISNUMBER(M1687),M1687/L1687,"No aplica")</f>
        <v>1.2515616475803473</v>
      </c>
      <c r="O1687" s="25">
        <f>IF(G1687="provision",M1687+H1687,IF(G1687="recoleccion",M1687-H1687,"No aplica"))</f>
        <v>135350000</v>
      </c>
      <c r="P1687" s="26" t="n">
        <v>158012</v>
      </c>
    </row>
    <row r="1688">
      <c r="A1688" t="inlineStr">
        <is>
          <t>PRAGMA</t>
        </is>
      </c>
      <c r="B1688" t="inlineStr">
        <is>
          <t>M2</t>
        </is>
      </c>
      <c r="C1688" t="inlineStr">
        <is>
          <t>Cali</t>
        </is>
      </c>
      <c r="D1688" t="inlineStr">
        <is>
          <t>6775</t>
        </is>
      </c>
      <c r="E1688" t="inlineStr">
        <is>
          <t>TDV</t>
        </is>
      </c>
      <c r="F1688" s="23" t="n">
        <v>46271</v>
      </c>
      <c r="G1688" t="inlineStr">
        <is>
          <t>recoleccion</t>
        </is>
      </c>
      <c r="H1688" s="26" t="n">
        <v>11838546</v>
      </c>
      <c r="I1688" t="inlineStr">
        <is>
          <t>bajo</t>
        </is>
      </c>
      <c r="J1688" t="inlineStr">
        <is>
          <t>RN-22 y RN-35: recoleccion al cierre de lo que pasa del cupo</t>
        </is>
      </c>
      <c r="K1688" t="inlineStr">
        <is>
          <t>Recoleccion al cierre: con el pronostico, el saldo cerraria en 147.188.546 COP, sobre el cupo de 135.350.000. Se recoge el excedente y el saldo queda en 135.350.000 COP. Equipo administrado por TDV.</t>
        </is>
      </c>
      <c r="L1688" s="26" t="n">
        <v>135350000</v>
      </c>
      <c r="M1688" s="26" t="n">
        <v>147188546</v>
      </c>
      <c r="N1688" s="27">
        <f>IF(ISNUMBER(M1688),M1688/L1688,"No aplica")</f>
        <v>1.0874661691909864</v>
      </c>
      <c r="O1688" s="25">
        <f>IF(G1688="provision",M1688+H1688,IF(G1688="recoleccion",M1688-H1688,"No aplica"))</f>
        <v>135350000</v>
      </c>
      <c r="P1688" s="26" t="n">
        <v>182814</v>
      </c>
    </row>
    <row r="1689">
      <c r="A1689" t="inlineStr">
        <is>
          <t>PRAGMA</t>
        </is>
      </c>
      <c r="B1689" t="inlineStr">
        <is>
          <t>M2</t>
        </is>
      </c>
      <c r="C1689" t="inlineStr">
        <is>
          <t>Cali</t>
        </is>
      </c>
      <c r="D1689" t="inlineStr">
        <is>
          <t>6775</t>
        </is>
      </c>
      <c r="E1689" t="inlineStr">
        <is>
          <t>TDV</t>
        </is>
      </c>
      <c r="F1689" s="23" t="n">
        <v>46272</v>
      </c>
      <c r="G1689" t="inlineStr">
        <is>
          <t>recoleccion</t>
        </is>
      </c>
      <c r="H1689" s="26" t="n">
        <v>42086868</v>
      </c>
      <c r="I1689" t="inlineStr">
        <is>
          <t>bajo</t>
        </is>
      </c>
      <c r="J1689" t="inlineStr">
        <is>
          <t>RN-22 y RN-35: recoleccion al cierre de lo que pasa del cupo</t>
        </is>
      </c>
      <c r="K1689" t="inlineStr">
        <is>
          <t>Recoleccion al cierre: con el pronostico, el saldo cerraria en 177.436.868 COP, sobre el cupo de 135.350.000. Se recoge el excedente y el saldo queda en 135.350.000 COP. Equipo administrado por TDV.</t>
        </is>
      </c>
      <c r="L1689" s="26" t="n">
        <v>135350000</v>
      </c>
      <c r="M1689" s="26" t="n">
        <v>177436868</v>
      </c>
      <c r="N1689" s="27">
        <f>IF(ISNUMBER(M1689),M1689/L1689,"No aplica")</f>
        <v>1.3109484152198005</v>
      </c>
      <c r="O1689" s="25">
        <f>IF(G1689="provision",M1689+H1689,IF(G1689="recoleccion",M1689-H1689,"No aplica"))</f>
        <v>135350000</v>
      </c>
      <c r="P1689" s="26" t="n">
        <v>158012</v>
      </c>
    </row>
    <row r="1690">
      <c r="A1690" t="inlineStr">
        <is>
          <t>PRAGMA</t>
        </is>
      </c>
      <c r="B1690" t="inlineStr">
        <is>
          <t>M2</t>
        </is>
      </c>
      <c r="C1690" t="inlineStr">
        <is>
          <t>Cali</t>
        </is>
      </c>
      <c r="D1690" t="inlineStr">
        <is>
          <t>6775</t>
        </is>
      </c>
      <c r="E1690" t="inlineStr">
        <is>
          <t>TDV</t>
        </is>
      </c>
      <c r="F1690" s="23" t="n">
        <v>46273</v>
      </c>
      <c r="G1690" t="inlineStr">
        <is>
          <t>recoleccion</t>
        </is>
      </c>
      <c r="H1690" s="26" t="n">
        <v>31696517</v>
      </c>
      <c r="I1690" t="inlineStr">
        <is>
          <t>bajo</t>
        </is>
      </c>
      <c r="J1690" t="inlineStr">
        <is>
          <t>RN-22 y RN-35: recoleccion al cierre de lo que pasa del cupo</t>
        </is>
      </c>
      <c r="K1690" t="inlineStr">
        <is>
          <t>Recoleccion al cierre: con el pronostico, el saldo cerraria en 167.046.517 COP, sobre el cupo de 135.350.000. Se recoge el excedente y el saldo queda en 135.350.000 COP. Equipo administrado por TDV.</t>
        </is>
      </c>
      <c r="L1690" s="26" t="n">
        <v>135350000</v>
      </c>
      <c r="M1690" s="26" t="n">
        <v>167046517</v>
      </c>
      <c r="N1690" s="27">
        <f>IF(ISNUMBER(M1690),M1690/L1690,"No aplica")</f>
        <v>1.2341818766161803</v>
      </c>
      <c r="O1690" s="25">
        <f>IF(G1690="provision",M1690+H1690,IF(G1690="recoleccion",M1690-H1690,"No aplica"))</f>
        <v>135350000</v>
      </c>
      <c r="P1690" s="26" t="n">
        <v>158012</v>
      </c>
    </row>
    <row r="1691">
      <c r="A1691" t="inlineStr">
        <is>
          <t>PRAGMA</t>
        </is>
      </c>
      <c r="B1691" t="inlineStr">
        <is>
          <t>M2</t>
        </is>
      </c>
      <c r="C1691" t="inlineStr">
        <is>
          <t>Cali</t>
        </is>
      </c>
      <c r="D1691" t="inlineStr">
        <is>
          <t>6775</t>
        </is>
      </c>
      <c r="E1691" t="inlineStr">
        <is>
          <t>TDV</t>
        </is>
      </c>
      <c r="F1691" s="23" t="n">
        <v>46274</v>
      </c>
      <c r="G1691" t="inlineStr">
        <is>
          <t>recoleccion</t>
        </is>
      </c>
      <c r="H1691" s="26" t="n">
        <v>31559551</v>
      </c>
      <c r="I1691" t="inlineStr">
        <is>
          <t>bajo</t>
        </is>
      </c>
      <c r="J1691" t="inlineStr">
        <is>
          <t>RN-22 y RN-35: recoleccion al cierre de lo que pasa del cupo</t>
        </is>
      </c>
      <c r="K1691" t="inlineStr">
        <is>
          <t>Recoleccion al cierre: con el pronostico, el saldo cerraria en 166.909.551 COP, sobre el cupo de 135.350.000. Se recoge el excedente y el saldo queda en 135.350.000 COP. Equipo administrado por TDV.</t>
        </is>
      </c>
      <c r="L1691" s="26" t="n">
        <v>135350000</v>
      </c>
      <c r="M1691" s="26" t="n">
        <v>166909551</v>
      </c>
      <c r="N1691" s="27">
        <f>IF(ISNUMBER(M1691),M1691/L1691,"No aplica")</f>
        <v>1.2331699371998521</v>
      </c>
      <c r="O1691" s="25">
        <f>IF(G1691="provision",M1691+H1691,IF(G1691="recoleccion",M1691-H1691,"No aplica"))</f>
        <v>135350000</v>
      </c>
      <c r="P1691" s="26" t="n">
        <v>158012</v>
      </c>
    </row>
    <row r="1692">
      <c r="A1692" t="inlineStr">
        <is>
          <t>PRAGMA</t>
        </is>
      </c>
      <c r="B1692" t="inlineStr">
        <is>
          <t>M2</t>
        </is>
      </c>
      <c r="C1692" t="inlineStr">
        <is>
          <t>Cali</t>
        </is>
      </c>
      <c r="D1692" t="inlineStr">
        <is>
          <t>6775</t>
        </is>
      </c>
      <c r="E1692" t="inlineStr">
        <is>
          <t>TDV</t>
        </is>
      </c>
      <c r="F1692" s="23" t="n">
        <v>46275</v>
      </c>
      <c r="G1692" t="inlineStr">
        <is>
          <t>recoleccion</t>
        </is>
      </c>
      <c r="H1692" s="26" t="n">
        <v>25271240</v>
      </c>
      <c r="I1692" t="inlineStr">
        <is>
          <t>bajo</t>
        </is>
      </c>
      <c r="J1692" t="inlineStr">
        <is>
          <t>RN-22 y RN-35: recoleccion al cierre de lo que pasa del cupo</t>
        </is>
      </c>
      <c r="K1692" t="inlineStr">
        <is>
          <t>Recoleccion al cierre: con el pronostico, el saldo cerraria en 160.621.240 COP, sobre el cupo de 135.350.000. Se recoge el excedente y el saldo queda en 135.350.000 COP. Equipo administrado por TDV.</t>
        </is>
      </c>
      <c r="L1692" s="26" t="n">
        <v>135350000</v>
      </c>
      <c r="M1692" s="26" t="n">
        <v>160621240</v>
      </c>
      <c r="N1692" s="27">
        <f>IF(ISNUMBER(M1692),M1692/L1692,"No aplica")</f>
        <v>1.1867103066124862</v>
      </c>
      <c r="O1692" s="25">
        <f>IF(G1692="provision",M1692+H1692,IF(G1692="recoleccion",M1692-H1692,"No aplica"))</f>
        <v>135350000</v>
      </c>
      <c r="P1692" s="26" t="n">
        <v>158012</v>
      </c>
    </row>
    <row r="1693">
      <c r="A1693" t="inlineStr">
        <is>
          <t>PRAGMA</t>
        </is>
      </c>
      <c r="B1693" t="inlineStr">
        <is>
          <t>M2</t>
        </is>
      </c>
      <c r="C1693" t="inlineStr">
        <is>
          <t>Cali</t>
        </is>
      </c>
      <c r="D1693" t="inlineStr">
        <is>
          <t>6775</t>
        </is>
      </c>
      <c r="E1693" t="inlineStr">
        <is>
          <t>TDV</t>
        </is>
      </c>
      <c r="F1693" s="23" t="n">
        <v>46276</v>
      </c>
      <c r="G1693" t="inlineStr">
        <is>
          <t>recoleccion</t>
        </is>
      </c>
      <c r="H1693" s="26" t="n">
        <v>28509566</v>
      </c>
      <c r="I1693" t="inlineStr">
        <is>
          <t>bajo</t>
        </is>
      </c>
      <c r="J1693" t="inlineStr">
        <is>
          <t>RN-22 y RN-35: recoleccion al cierre de lo que pasa del cupo</t>
        </is>
      </c>
      <c r="K1693" t="inlineStr">
        <is>
          <t>Recoleccion al cierre: con el pronostico, el saldo cerraria en 163.859.566 COP, sobre el cupo de 135.350.000. Se recoge el excedente y el saldo queda en 135.350.000 COP. Equipo administrado por TDV.</t>
        </is>
      </c>
      <c r="L1693" s="26" t="n">
        <v>135350000</v>
      </c>
      <c r="M1693" s="26" t="n">
        <v>163859566</v>
      </c>
      <c r="N1693" s="27">
        <f>IF(ISNUMBER(M1693),M1693/L1693,"No aplica")</f>
        <v>1.2106358773550054</v>
      </c>
      <c r="O1693" s="25">
        <f>IF(G1693="provision",M1693+H1693,IF(G1693="recoleccion",M1693-H1693,"No aplica"))</f>
        <v>135350000</v>
      </c>
      <c r="P1693" s="26" t="n">
        <v>158012</v>
      </c>
    </row>
    <row r="1694">
      <c r="A1694" t="inlineStr">
        <is>
          <t>PRAGMA</t>
        </is>
      </c>
      <c r="B1694" t="inlineStr">
        <is>
          <t>M2</t>
        </is>
      </c>
      <c r="C1694" t="inlineStr">
        <is>
          <t>Cali</t>
        </is>
      </c>
      <c r="D1694" t="inlineStr">
        <is>
          <t>6775</t>
        </is>
      </c>
      <c r="E1694" t="inlineStr">
        <is>
          <t>TDV</t>
        </is>
      </c>
      <c r="F1694" s="23" t="n">
        <v>46277</v>
      </c>
      <c r="G1694" t="inlineStr">
        <is>
          <t>recoleccion</t>
        </is>
      </c>
      <c r="H1694" s="26" t="n">
        <v>28539656</v>
      </c>
      <c r="I1694" t="inlineStr">
        <is>
          <t>bajo</t>
        </is>
      </c>
      <c r="J1694" t="inlineStr">
        <is>
          <t>RN-22 y RN-35: recoleccion al cierre de lo que pasa del cupo</t>
        </is>
      </c>
      <c r="K1694" t="inlineStr">
        <is>
          <t>Recoleccion al cierre: con el pronostico, el saldo cerraria en 163.889.656 COP, sobre el cupo de 135.350.000. Se recoge el excedente y el saldo queda en 135.350.000 COP. Equipo administrado por TDV.</t>
        </is>
      </c>
      <c r="L1694" s="26" t="n">
        <v>135350000</v>
      </c>
      <c r="M1694" s="26" t="n">
        <v>163889656</v>
      </c>
      <c r="N1694" s="27">
        <f>IF(ISNUMBER(M1694),M1694/L1694,"No aplica")</f>
        <v>1.210858189878094</v>
      </c>
      <c r="O1694" s="25">
        <f>IF(G1694="provision",M1694+H1694,IF(G1694="recoleccion",M1694-H1694,"No aplica"))</f>
        <v>135350000</v>
      </c>
      <c r="P1694" s="26" t="n">
        <v>158012</v>
      </c>
    </row>
    <row r="1695">
      <c r="A1695" t="inlineStr">
        <is>
          <t>PRAGMA</t>
        </is>
      </c>
      <c r="B1695" t="inlineStr">
        <is>
          <t>M2</t>
        </is>
      </c>
      <c r="C1695" t="inlineStr">
        <is>
          <t>Cali</t>
        </is>
      </c>
      <c r="D1695" t="inlineStr">
        <is>
          <t>6775</t>
        </is>
      </c>
      <c r="E1695" t="inlineStr">
        <is>
          <t>TDV</t>
        </is>
      </c>
      <c r="F1695" s="23" t="n">
        <v>46278</v>
      </c>
      <c r="G1695" t="inlineStr">
        <is>
          <t>recoleccion</t>
        </is>
      </c>
      <c r="H1695" s="26" t="n">
        <v>3621770</v>
      </c>
      <c r="I1695" t="inlineStr">
        <is>
          <t>bajo</t>
        </is>
      </c>
      <c r="J1695" t="inlineStr">
        <is>
          <t>RN-22 y RN-35: recoleccion al cierre de lo que pasa del cupo</t>
        </is>
      </c>
      <c r="K1695" t="inlineStr">
        <is>
          <t>Recoleccion al cierre: con el pronostico, el saldo cerraria en 138.971.770 COP, sobre el cupo de 135.350.000. Se recoge el excedente y el saldo queda en 135.350.000 COP. Equipo administrado por TDV.</t>
        </is>
      </c>
      <c r="L1695" s="26" t="n">
        <v>135350000</v>
      </c>
      <c r="M1695" s="26" t="n">
        <v>138971770</v>
      </c>
      <c r="N1695" s="27">
        <f>IF(ISNUMBER(M1695),M1695/L1695,"No aplica")</f>
        <v>1.0267585519024751</v>
      </c>
      <c r="O1695" s="25">
        <f>IF(G1695="provision",M1695+H1695,IF(G1695="recoleccion",M1695-H1695,"No aplica"))</f>
        <v>135350000</v>
      </c>
      <c r="P1695" s="26" t="n">
        <v>182814</v>
      </c>
    </row>
    <row r="1696">
      <c r="A1696" t="inlineStr">
        <is>
          <t>PRAGMA</t>
        </is>
      </c>
      <c r="B1696" t="inlineStr">
        <is>
          <t>M2</t>
        </is>
      </c>
      <c r="C1696" t="inlineStr">
        <is>
          <t>Cali</t>
        </is>
      </c>
      <c r="D1696" t="inlineStr">
        <is>
          <t>6775</t>
        </is>
      </c>
      <c r="E1696" t="inlineStr">
        <is>
          <t>TDV</t>
        </is>
      </c>
      <c r="F1696" s="23" t="n">
        <v>46279</v>
      </c>
      <c r="G1696" t="inlineStr">
        <is>
          <t>recoleccion</t>
        </is>
      </c>
      <c r="H1696" s="26" t="n">
        <v>32639433</v>
      </c>
      <c r="I1696" t="inlineStr">
        <is>
          <t>bajo</t>
        </is>
      </c>
      <c r="J1696" t="inlineStr">
        <is>
          <t>RN-22 y RN-35: recoleccion al cierre de lo que pasa del cupo</t>
        </is>
      </c>
      <c r="K1696" t="inlineStr">
        <is>
          <t>Recoleccion al cierre: con el pronostico, el saldo cerraria en 167.989.433 COP, sobre el cupo de 135.350.000. Se recoge el excedente y el saldo queda en 135.350.000 COP. Equipo administrado por TDV.</t>
        </is>
      </c>
      <c r="L1696" s="26" t="n">
        <v>135350000</v>
      </c>
      <c r="M1696" s="26" t="n">
        <v>167989433</v>
      </c>
      <c r="N1696" s="27">
        <f>IF(ISNUMBER(M1696),M1696/L1696,"No aplica")</f>
        <v>1.241148378278537</v>
      </c>
      <c r="O1696" s="25">
        <f>IF(G1696="provision",M1696+H1696,IF(G1696="recoleccion",M1696-H1696,"No aplica"))</f>
        <v>135350000</v>
      </c>
      <c r="P1696" s="26" t="n">
        <v>158012</v>
      </c>
    </row>
    <row r="1697">
      <c r="A1697" t="inlineStr">
        <is>
          <t>PRAGMA</t>
        </is>
      </c>
      <c r="B1697" t="inlineStr">
        <is>
          <t>M2</t>
        </is>
      </c>
      <c r="C1697" t="inlineStr">
        <is>
          <t>Cali</t>
        </is>
      </c>
      <c r="D1697" t="inlineStr">
        <is>
          <t>6775</t>
        </is>
      </c>
      <c r="E1697" t="inlineStr">
        <is>
          <t>TDV</t>
        </is>
      </c>
      <c r="F1697" s="23" t="n">
        <v>46280</v>
      </c>
      <c r="G1697" t="inlineStr">
        <is>
          <t>recoleccion</t>
        </is>
      </c>
      <c r="H1697" s="26" t="n">
        <v>27272744</v>
      </c>
      <c r="I1697" t="inlineStr">
        <is>
          <t>bajo</t>
        </is>
      </c>
      <c r="J1697" t="inlineStr">
        <is>
          <t>RN-22 y RN-35: recoleccion al cierre de lo que pasa del cupo</t>
        </is>
      </c>
      <c r="K1697" t="inlineStr">
        <is>
          <t>Recoleccion al cierre: con el pronostico, el saldo cerraria en 162.622.744 COP, sobre el cupo de 135.350.000. Se recoge el excedente y el saldo queda en 135.350.000 COP. Equipo administrado por TDV.</t>
        </is>
      </c>
      <c r="L1697" s="26" t="n">
        <v>135350000</v>
      </c>
      <c r="M1697" s="26" t="n">
        <v>162622744</v>
      </c>
      <c r="N1697" s="27">
        <f>IF(ISNUMBER(M1697),M1697/L1697,"No aplica")</f>
        <v>1.2014979239009975</v>
      </c>
      <c r="O1697" s="25">
        <f>IF(G1697="provision",M1697+H1697,IF(G1697="recoleccion",M1697-H1697,"No aplica"))</f>
        <v>135350000</v>
      </c>
      <c r="P1697" s="26" t="n">
        <v>158012</v>
      </c>
    </row>
    <row r="1698">
      <c r="A1698" t="inlineStr">
        <is>
          <t>PRAGMA</t>
        </is>
      </c>
      <c r="B1698" t="inlineStr">
        <is>
          <t>M2</t>
        </is>
      </c>
      <c r="C1698" t="inlineStr">
        <is>
          <t>Ipiales</t>
        </is>
      </c>
      <c r="D1698" t="inlineStr">
        <is>
          <t>6823</t>
        </is>
      </c>
      <c r="E1698" t="inlineStr">
        <is>
          <t>Sucursal</t>
        </is>
      </c>
      <c r="F1698" s="23" t="n">
        <v>46266</v>
      </c>
      <c r="G1698" t="inlineStr">
        <is>
          <t>recoleccion</t>
        </is>
      </c>
      <c r="H1698" s="26" t="n">
        <v>135506013</v>
      </c>
      <c r="I1698" t="inlineStr">
        <is>
          <t>bajo</t>
        </is>
      </c>
      <c r="J1698" t="inlineStr">
        <is>
          <t>RN-22 y RN-35: recoleccion al cierre de lo que pasa del cupo</t>
        </is>
      </c>
      <c r="K1698" t="inlineStr">
        <is>
          <t>Recoleccion al cierre: con el pronostico, el saldo cerraria en 226.508.013 COP, sobre el cupo de 91.002.000. Se recoge el excedente y el saldo queda en 91.002.000 COP. Equipo administrado por Sucursal. Sin tarifa TDV (administrado por la sucursal): costo 0 declarado.</t>
        </is>
      </c>
      <c r="L1698" s="26" t="n">
        <v>91002000</v>
      </c>
      <c r="M1698" s="26" t="n">
        <v>226508013</v>
      </c>
      <c r="N1698" s="27">
        <f>IF(ISNUMBER(M1698),M1698/L1698,"No aplica")</f>
        <v>2.4890443396848423</v>
      </c>
      <c r="O1698" s="25">
        <f>IF(G1698="provision",M1698+H1698,IF(G1698="recoleccion",M1698-H1698,"No aplica"))</f>
        <v>91002000</v>
      </c>
      <c r="P1698" s="26" t="n">
        <v>0</v>
      </c>
    </row>
    <row r="1699">
      <c r="A1699" t="inlineStr">
        <is>
          <t>PRAGMA</t>
        </is>
      </c>
      <c r="B1699" t="inlineStr">
        <is>
          <t>M2</t>
        </is>
      </c>
      <c r="C1699" t="inlineStr">
        <is>
          <t>Ipiales</t>
        </is>
      </c>
      <c r="D1699" t="inlineStr">
        <is>
          <t>6823</t>
        </is>
      </c>
      <c r="E1699" t="inlineStr">
        <is>
          <t>Sucursal</t>
        </is>
      </c>
      <c r="F1699" s="23" t="n">
        <v>46267</v>
      </c>
      <c r="G1699" t="inlineStr">
        <is>
          <t>recoleccion</t>
        </is>
      </c>
      <c r="H1699" s="26" t="n">
        <v>117869344</v>
      </c>
      <c r="I1699" t="inlineStr">
        <is>
          <t>bajo</t>
        </is>
      </c>
      <c r="J1699" t="inlineStr">
        <is>
          <t>RN-22 y RN-35: recoleccion al cierre de lo que pasa del cupo</t>
        </is>
      </c>
      <c r="K1699" t="inlineStr">
        <is>
          <t>Recoleccion al cierre: con el pronostico, el saldo cerraria en 208.871.344 COP, sobre el cupo de 91.002.000. Se recoge el excedente y el saldo queda en 91.002.000 COP. Equipo administrado por Sucursal. Sin tarifa TDV (administrado por la sucursal): costo 0 declarado.</t>
        </is>
      </c>
      <c r="L1699" s="26" t="n">
        <v>91002000</v>
      </c>
      <c r="M1699" s="26" t="n">
        <v>208871344</v>
      </c>
      <c r="N1699" s="27">
        <f>IF(ISNUMBER(M1699),M1699/L1699,"No aplica")</f>
        <v>2.2952390496912156</v>
      </c>
      <c r="O1699" s="25">
        <f>IF(G1699="provision",M1699+H1699,IF(G1699="recoleccion",M1699-H1699,"No aplica"))</f>
        <v>91002000</v>
      </c>
      <c r="P1699" s="26" t="n">
        <v>0</v>
      </c>
    </row>
    <row r="1700">
      <c r="A1700" t="inlineStr">
        <is>
          <t>PRAGMA</t>
        </is>
      </c>
      <c r="B1700" t="inlineStr">
        <is>
          <t>M2</t>
        </is>
      </c>
      <c r="C1700" t="inlineStr">
        <is>
          <t>Ipiales</t>
        </is>
      </c>
      <c r="D1700" t="inlineStr">
        <is>
          <t>6823</t>
        </is>
      </c>
      <c r="E1700" t="inlineStr">
        <is>
          <t>Sucursal</t>
        </is>
      </c>
      <c r="F1700" s="23" t="n">
        <v>46268</v>
      </c>
      <c r="G1700" t="inlineStr">
        <is>
          <t>recoleccion</t>
        </is>
      </c>
      <c r="H1700" s="26" t="n">
        <v>127471263</v>
      </c>
      <c r="I1700" t="inlineStr">
        <is>
          <t>bajo</t>
        </is>
      </c>
      <c r="J1700" t="inlineStr">
        <is>
          <t>RN-22 y RN-35: recoleccion al cierre de lo que pasa del cupo</t>
        </is>
      </c>
      <c r="K1700" t="inlineStr">
        <is>
          <t>Recoleccion al cierre: con el pronostico, el saldo cerraria en 218.473.263 COP, sobre el cupo de 91.002.000. Se recoge el excedente y el saldo queda en 91.002.000 COP. Equipo administrado por Sucursal. Sin tarifa TDV (administrado por la sucursal): costo 0 declarado.</t>
        </is>
      </c>
      <c r="L1700" s="26" t="n">
        <v>91002000</v>
      </c>
      <c r="M1700" s="26" t="n">
        <v>218473263</v>
      </c>
      <c r="N1700" s="27">
        <f>IF(ISNUMBER(M1700),M1700/L1700,"No aplica")</f>
        <v>2.4007523241247446</v>
      </c>
      <c r="O1700" s="25">
        <f>IF(G1700="provision",M1700+H1700,IF(G1700="recoleccion",M1700-H1700,"No aplica"))</f>
        <v>91002000</v>
      </c>
      <c r="P1700" s="26" t="n">
        <v>0</v>
      </c>
    </row>
    <row r="1701">
      <c r="A1701" t="inlineStr">
        <is>
          <t>PRAGMA</t>
        </is>
      </c>
      <c r="B1701" t="inlineStr">
        <is>
          <t>M2</t>
        </is>
      </c>
      <c r="C1701" t="inlineStr">
        <is>
          <t>Ipiales</t>
        </is>
      </c>
      <c r="D1701" t="inlineStr">
        <is>
          <t>6823</t>
        </is>
      </c>
      <c r="E1701" t="inlineStr">
        <is>
          <t>Sucursal</t>
        </is>
      </c>
      <c r="F1701" s="23" t="n">
        <v>46269</v>
      </c>
      <c r="G1701" t="inlineStr">
        <is>
          <t>recoleccion</t>
        </is>
      </c>
      <c r="H1701" s="26" t="n">
        <v>132316369</v>
      </c>
      <c r="I1701" t="inlineStr">
        <is>
          <t>bajo</t>
        </is>
      </c>
      <c r="J1701" t="inlineStr">
        <is>
          <t>RN-22 y RN-35: recoleccion al cierre de lo que pasa del cupo</t>
        </is>
      </c>
      <c r="K1701" t="inlineStr">
        <is>
          <t>Recoleccion al cierre: con el pronostico, el saldo cerraria en 223.318.369 COP, sobre el cupo de 91.002.000. Se recoge el excedente y el saldo queda en 91.002.000 COP. Equipo administrado por Sucursal. Sin tarifa TDV (administrado por la sucursal): costo 0 declarado.</t>
        </is>
      </c>
      <c r="L1701" s="26" t="n">
        <v>91002000</v>
      </c>
      <c r="M1701" s="26" t="n">
        <v>223318369</v>
      </c>
      <c r="N1701" s="27">
        <f>IF(ISNUMBER(M1701),M1701/L1701,"No aplica")</f>
        <v>2.4539940770532516</v>
      </c>
      <c r="O1701" s="25">
        <f>IF(G1701="provision",M1701+H1701,IF(G1701="recoleccion",M1701-H1701,"No aplica"))</f>
        <v>91002000</v>
      </c>
      <c r="P1701" s="26" t="n">
        <v>0</v>
      </c>
    </row>
    <row r="1702">
      <c r="A1702" t="inlineStr">
        <is>
          <t>PRAGMA</t>
        </is>
      </c>
      <c r="B1702" t="inlineStr">
        <is>
          <t>M2</t>
        </is>
      </c>
      <c r="C1702" t="inlineStr">
        <is>
          <t>Ipiales</t>
        </is>
      </c>
      <c r="D1702" t="inlineStr">
        <is>
          <t>6823</t>
        </is>
      </c>
      <c r="E1702" t="inlineStr">
        <is>
          <t>Sucursal</t>
        </is>
      </c>
      <c r="F1702" s="23" t="n">
        <v>46270</v>
      </c>
      <c r="G1702" t="inlineStr">
        <is>
          <t>recoleccion</t>
        </is>
      </c>
      <c r="H1702" s="26" t="n">
        <v>95541975</v>
      </c>
      <c r="I1702" t="inlineStr">
        <is>
          <t>bajo</t>
        </is>
      </c>
      <c r="J1702" t="inlineStr">
        <is>
          <t>RN-22 y RN-35: recoleccion al cierre de lo que pasa del cupo</t>
        </is>
      </c>
      <c r="K1702" t="inlineStr">
        <is>
          <t>Recoleccion al cierre: con el pronostico, el saldo cerraria en 186.543.975 COP, sobre el cupo de 91.002.000. Se recoge el excedente y el saldo queda en 91.002.000 COP. Equipo administrado por Sucursal. Sin tarifa TDV (administrado por la sucursal): costo 0 declarado.</t>
        </is>
      </c>
      <c r="L1702" s="26" t="n">
        <v>91002000</v>
      </c>
      <c r="M1702" s="26" t="n">
        <v>186543975</v>
      </c>
      <c r="N1702" s="27">
        <f>IF(ISNUMBER(M1702),M1702/L1702,"No aplica")</f>
        <v>2.0498887387090394</v>
      </c>
      <c r="O1702" s="25">
        <f>IF(G1702="provision",M1702+H1702,IF(G1702="recoleccion",M1702-H1702,"No aplica"))</f>
        <v>91002000</v>
      </c>
      <c r="P1702" s="26" t="n">
        <v>0</v>
      </c>
    </row>
    <row r="1703">
      <c r="A1703" t="inlineStr">
        <is>
          <t>PRAGMA</t>
        </is>
      </c>
      <c r="B1703" t="inlineStr">
        <is>
          <t>M2</t>
        </is>
      </c>
      <c r="C1703" t="inlineStr">
        <is>
          <t>Ipiales</t>
        </is>
      </c>
      <c r="D1703" t="inlineStr">
        <is>
          <t>6823</t>
        </is>
      </c>
      <c r="E1703" t="inlineStr">
        <is>
          <t>Sucursal</t>
        </is>
      </c>
      <c r="F1703" s="23" t="n">
        <v>46272</v>
      </c>
      <c r="G1703" t="inlineStr">
        <is>
          <t>recoleccion</t>
        </is>
      </c>
      <c r="H1703" s="26" t="n">
        <v>138355733</v>
      </c>
      <c r="I1703" t="inlineStr">
        <is>
          <t>bajo</t>
        </is>
      </c>
      <c r="J1703" t="inlineStr">
        <is>
          <t>RN-22 y RN-35: recoleccion al cierre de lo que pasa del cupo</t>
        </is>
      </c>
      <c r="K1703" t="inlineStr">
        <is>
          <t>Recoleccion al cierre: con el pronostico, el saldo cerraria en 229.357.733 COP, sobre el cupo de 91.002.000. Se recoge el excedente y el saldo queda en 91.002.000 COP. Equipo administrado por Sucursal. Sin tarifa TDV (administrado por la sucursal): costo 0 declarado.</t>
        </is>
      </c>
      <c r="L1703" s="26" t="n">
        <v>91002000</v>
      </c>
      <c r="M1703" s="26" t="n">
        <v>229357733</v>
      </c>
      <c r="N1703" s="27">
        <f>IF(ISNUMBER(M1703),M1703/L1703,"No aplica")</f>
        <v>2.520359255840531</v>
      </c>
      <c r="O1703" s="25">
        <f>IF(G1703="provision",M1703+H1703,IF(G1703="recoleccion",M1703-H1703,"No aplica"))</f>
        <v>91002000</v>
      </c>
      <c r="P1703" s="26" t="n">
        <v>0</v>
      </c>
    </row>
    <row r="1704">
      <c r="A1704" t="inlineStr">
        <is>
          <t>PRAGMA</t>
        </is>
      </c>
      <c r="B1704" t="inlineStr">
        <is>
          <t>M2</t>
        </is>
      </c>
      <c r="C1704" t="inlineStr">
        <is>
          <t>Ipiales</t>
        </is>
      </c>
      <c r="D1704" t="inlineStr">
        <is>
          <t>6823</t>
        </is>
      </c>
      <c r="E1704" t="inlineStr">
        <is>
          <t>Sucursal</t>
        </is>
      </c>
      <c r="F1704" s="23" t="n">
        <v>46273</v>
      </c>
      <c r="G1704" t="inlineStr">
        <is>
          <t>recoleccion</t>
        </is>
      </c>
      <c r="H1704" s="26" t="n">
        <v>126174085</v>
      </c>
      <c r="I1704" t="inlineStr">
        <is>
          <t>bajo</t>
        </is>
      </c>
      <c r="J1704" t="inlineStr">
        <is>
          <t>RN-22 y RN-35: recoleccion al cierre de lo que pasa del cupo</t>
        </is>
      </c>
      <c r="K1704" t="inlineStr">
        <is>
          <t>Recoleccion al cierre: con el pronostico, el saldo cerraria en 217.176.085 COP, sobre el cupo de 91.002.000. Se recoge el excedente y el saldo queda en 91.002.000 COP. Equipo administrado por Sucursal. Sin tarifa TDV (administrado por la sucursal): costo 0 declarado.</t>
        </is>
      </c>
      <c r="L1704" s="26" t="n">
        <v>91002000</v>
      </c>
      <c r="M1704" s="26" t="n">
        <v>217176085</v>
      </c>
      <c r="N1704" s="27">
        <f>IF(ISNUMBER(M1704),M1704/L1704,"No aplica")</f>
        <v>2.3864979341113384</v>
      </c>
      <c r="O1704" s="25">
        <f>IF(G1704="provision",M1704+H1704,IF(G1704="recoleccion",M1704-H1704,"No aplica"))</f>
        <v>91002000</v>
      </c>
      <c r="P1704" s="26" t="n">
        <v>0</v>
      </c>
    </row>
    <row r="1705">
      <c r="A1705" t="inlineStr">
        <is>
          <t>PRAGMA</t>
        </is>
      </c>
      <c r="B1705" t="inlineStr">
        <is>
          <t>M2</t>
        </is>
      </c>
      <c r="C1705" t="inlineStr">
        <is>
          <t>Ipiales</t>
        </is>
      </c>
      <c r="D1705" t="inlineStr">
        <is>
          <t>6823</t>
        </is>
      </c>
      <c r="E1705" t="inlineStr">
        <is>
          <t>Sucursal</t>
        </is>
      </c>
      <c r="F1705" s="23" t="n">
        <v>46274</v>
      </c>
      <c r="G1705" t="inlineStr">
        <is>
          <t>recoleccion</t>
        </is>
      </c>
      <c r="H1705" s="26" t="n">
        <v>116194287</v>
      </c>
      <c r="I1705" t="inlineStr">
        <is>
          <t>bajo</t>
        </is>
      </c>
      <c r="J1705" t="inlineStr">
        <is>
          <t>RN-22 y RN-35: recoleccion al cierre de lo que pasa del cupo</t>
        </is>
      </c>
      <c r="K1705" t="inlineStr">
        <is>
          <t>Recoleccion al cierre: con el pronostico, el saldo cerraria en 207.196.287 COP, sobre el cupo de 91.002.000. Se recoge el excedente y el saldo queda en 91.002.000 COP. Equipo administrado por Sucursal. Sin tarifa TDV (administrado por la sucursal): costo 0 declarado.</t>
        </is>
      </c>
      <c r="L1705" s="26" t="n">
        <v>91002000</v>
      </c>
      <c r="M1705" s="26" t="n">
        <v>207196287</v>
      </c>
      <c r="N1705" s="27">
        <f>IF(ISNUMBER(M1705),M1705/L1705,"No aplica")</f>
        <v>2.2768322344563856</v>
      </c>
      <c r="O1705" s="25">
        <f>IF(G1705="provision",M1705+H1705,IF(G1705="recoleccion",M1705-H1705,"No aplica"))</f>
        <v>91002000</v>
      </c>
      <c r="P1705" s="26" t="n">
        <v>0</v>
      </c>
    </row>
    <row r="1706">
      <c r="A1706" t="inlineStr">
        <is>
          <t>PRAGMA</t>
        </is>
      </c>
      <c r="B1706" t="inlineStr">
        <is>
          <t>M2</t>
        </is>
      </c>
      <c r="C1706" t="inlineStr">
        <is>
          <t>Ipiales</t>
        </is>
      </c>
      <c r="D1706" t="inlineStr">
        <is>
          <t>6823</t>
        </is>
      </c>
      <c r="E1706" t="inlineStr">
        <is>
          <t>Sucursal</t>
        </is>
      </c>
      <c r="F1706" s="23" t="n">
        <v>46275</v>
      </c>
      <c r="G1706" t="inlineStr">
        <is>
          <t>recoleccion</t>
        </is>
      </c>
      <c r="H1706" s="26" t="n">
        <v>107060813</v>
      </c>
      <c r="I1706" t="inlineStr">
        <is>
          <t>bajo</t>
        </is>
      </c>
      <c r="J1706" t="inlineStr">
        <is>
          <t>RN-22 y RN-35: recoleccion al cierre de lo que pasa del cupo</t>
        </is>
      </c>
      <c r="K1706" t="inlineStr">
        <is>
          <t>Recoleccion al cierre: con el pronostico, el saldo cerraria en 198.062.813 COP, sobre el cupo de 91.002.000. Se recoge el excedente y el saldo queda en 91.002.000 COP. Equipo administrado por Sucursal. Sin tarifa TDV (administrado por la sucursal): costo 0 declarado.</t>
        </is>
      </c>
      <c r="L1706" s="26" t="n">
        <v>91002000</v>
      </c>
      <c r="M1706" s="26" t="n">
        <v>198062813</v>
      </c>
      <c r="N1706" s="27">
        <f>IF(ISNUMBER(M1706),M1706/L1706,"No aplica")</f>
        <v>2.176466594140788</v>
      </c>
      <c r="O1706" s="25">
        <f>IF(G1706="provision",M1706+H1706,IF(G1706="recoleccion",M1706-H1706,"No aplica"))</f>
        <v>91002000</v>
      </c>
      <c r="P1706" s="26" t="n">
        <v>0</v>
      </c>
    </row>
    <row r="1707">
      <c r="A1707" t="inlineStr">
        <is>
          <t>PRAGMA</t>
        </is>
      </c>
      <c r="B1707" t="inlineStr">
        <is>
          <t>M2</t>
        </is>
      </c>
      <c r="C1707" t="inlineStr">
        <is>
          <t>Ipiales</t>
        </is>
      </c>
      <c r="D1707" t="inlineStr">
        <is>
          <t>6823</t>
        </is>
      </c>
      <c r="E1707" t="inlineStr">
        <is>
          <t>Sucursal</t>
        </is>
      </c>
      <c r="F1707" s="23" t="n">
        <v>46276</v>
      </c>
      <c r="G1707" t="inlineStr">
        <is>
          <t>recoleccion</t>
        </is>
      </c>
      <c r="H1707" s="26" t="n">
        <v>107790259</v>
      </c>
      <c r="I1707" t="inlineStr">
        <is>
          <t>bajo</t>
        </is>
      </c>
      <c r="J1707" t="inlineStr">
        <is>
          <t>RN-22 y RN-35: recoleccion al cierre de lo que pasa del cupo</t>
        </is>
      </c>
      <c r="K1707" t="inlineStr">
        <is>
          <t>Recoleccion al cierre: con el pronostico, el saldo cerraria en 198.792.259 COP, sobre el cupo de 91.002.000. Se recoge el excedente y el saldo queda en 91.002.000 COP. Equipo administrado por Sucursal. Sin tarifa TDV (administrado por la sucursal): costo 0 declarado.</t>
        </is>
      </c>
      <c r="L1707" s="26" t="n">
        <v>91002000</v>
      </c>
      <c r="M1707" s="26" t="n">
        <v>198792259</v>
      </c>
      <c r="N1707" s="27">
        <f>IF(ISNUMBER(M1707),M1707/L1707,"No aplica")</f>
        <v>2.184482308081141</v>
      </c>
      <c r="O1707" s="25">
        <f>IF(G1707="provision",M1707+H1707,IF(G1707="recoleccion",M1707-H1707,"No aplica"))</f>
        <v>91002000</v>
      </c>
      <c r="P1707" s="26" t="n">
        <v>0</v>
      </c>
    </row>
    <row r="1708">
      <c r="A1708" t="inlineStr">
        <is>
          <t>PRAGMA</t>
        </is>
      </c>
      <c r="B1708" t="inlineStr">
        <is>
          <t>M2</t>
        </is>
      </c>
      <c r="C1708" t="inlineStr">
        <is>
          <t>Ipiales</t>
        </is>
      </c>
      <c r="D1708" t="inlineStr">
        <is>
          <t>6823</t>
        </is>
      </c>
      <c r="E1708" t="inlineStr">
        <is>
          <t>Sucursal</t>
        </is>
      </c>
      <c r="F1708" s="23" t="n">
        <v>46277</v>
      </c>
      <c r="G1708" t="inlineStr">
        <is>
          <t>recoleccion</t>
        </is>
      </c>
      <c r="H1708" s="26" t="n">
        <v>69672026</v>
      </c>
      <c r="I1708" t="inlineStr">
        <is>
          <t>bajo</t>
        </is>
      </c>
      <c r="J1708" t="inlineStr">
        <is>
          <t>RN-22 y RN-35: recoleccion al cierre de lo que pasa del cupo</t>
        </is>
      </c>
      <c r="K1708" t="inlineStr">
        <is>
          <t>Recoleccion al cierre: con el pronostico, el saldo cerraria en 160.674.026 COP, sobre el cupo de 91.002.000. Se recoge el excedente y el saldo queda en 91.002.000 COP. Equipo administrado por Sucursal. Sin tarifa TDV (administrado por la sucursal): costo 0 declarado.</t>
        </is>
      </c>
      <c r="L1708" s="26" t="n">
        <v>91002000</v>
      </c>
      <c r="M1708" s="26" t="n">
        <v>160674026</v>
      </c>
      <c r="N1708" s="27">
        <f>IF(ISNUMBER(M1708),M1708/L1708,"No aplica")</f>
        <v>1.7656098327509286</v>
      </c>
      <c r="O1708" s="25">
        <f>IF(G1708="provision",M1708+H1708,IF(G1708="recoleccion",M1708-H1708,"No aplica"))</f>
        <v>91002000</v>
      </c>
      <c r="P1708" s="26" t="n">
        <v>0</v>
      </c>
    </row>
    <row r="1709">
      <c r="A1709" t="inlineStr">
        <is>
          <t>PRAGMA</t>
        </is>
      </c>
      <c r="B1709" t="inlineStr">
        <is>
          <t>M2</t>
        </is>
      </c>
      <c r="C1709" t="inlineStr">
        <is>
          <t>Ipiales</t>
        </is>
      </c>
      <c r="D1709" t="inlineStr">
        <is>
          <t>6823</t>
        </is>
      </c>
      <c r="E1709" t="inlineStr">
        <is>
          <t>Sucursal</t>
        </is>
      </c>
      <c r="F1709" s="23" t="n">
        <v>46279</v>
      </c>
      <c r="G1709" t="inlineStr">
        <is>
          <t>recoleccion</t>
        </is>
      </c>
      <c r="H1709" s="26" t="n">
        <v>117627772</v>
      </c>
      <c r="I1709" t="inlineStr">
        <is>
          <t>bajo</t>
        </is>
      </c>
      <c r="J1709" t="inlineStr">
        <is>
          <t>RN-22 y RN-35: recoleccion al cierre de lo que pasa del cupo</t>
        </is>
      </c>
      <c r="K1709" t="inlineStr">
        <is>
          <t>Recoleccion al cierre: con el pronostico, el saldo cerraria en 208.629.772 COP, sobre el cupo de 91.002.000. Se recoge el excedente y el saldo queda en 91.002.000 COP. Equipo administrado por Sucursal. Sin tarifa TDV (administrado por la sucursal): costo 0 declarado.</t>
        </is>
      </c>
      <c r="L1709" s="26" t="n">
        <v>91002000</v>
      </c>
      <c r="M1709" s="26" t="n">
        <v>208629772</v>
      </c>
      <c r="N1709" s="27">
        <f>IF(ISNUMBER(M1709),M1709/L1709,"No aplica")</f>
        <v>2.2925844706709744</v>
      </c>
      <c r="O1709" s="25">
        <f>IF(G1709="provision",M1709+H1709,IF(G1709="recoleccion",M1709-H1709,"No aplica"))</f>
        <v>91002000</v>
      </c>
      <c r="P1709" s="26" t="n">
        <v>0</v>
      </c>
    </row>
    <row r="1710">
      <c r="A1710" t="inlineStr">
        <is>
          <t>PRAGMA</t>
        </is>
      </c>
      <c r="B1710" t="inlineStr">
        <is>
          <t>M2</t>
        </is>
      </c>
      <c r="C1710" t="inlineStr">
        <is>
          <t>Ipiales</t>
        </is>
      </c>
      <c r="D1710" t="inlineStr">
        <is>
          <t>6823</t>
        </is>
      </c>
      <c r="E1710" t="inlineStr">
        <is>
          <t>Sucursal</t>
        </is>
      </c>
      <c r="F1710" s="23" t="n">
        <v>46280</v>
      </c>
      <c r="G1710" t="inlineStr">
        <is>
          <t>recoleccion</t>
        </is>
      </c>
      <c r="H1710" s="26" t="n">
        <v>121595694</v>
      </c>
      <c r="I1710" t="inlineStr">
        <is>
          <t>bajo</t>
        </is>
      </c>
      <c r="J1710" t="inlineStr">
        <is>
          <t>RN-22 y RN-35: recoleccion al cierre de lo que pasa del cupo</t>
        </is>
      </c>
      <c r="K1710" t="inlineStr">
        <is>
          <t>Recoleccion al cierre: con el pronostico, el saldo cerraria en 212.597.694 COP, sobre el cupo de 91.002.000. Se recoge el excedente y el saldo queda en 91.002.000 COP. Equipo administrado por Sucursal. Sin tarifa TDV (administrado por la sucursal): costo 0 declarado.</t>
        </is>
      </c>
      <c r="L1710" s="26" t="n">
        <v>91002000</v>
      </c>
      <c r="M1710" s="26" t="n">
        <v>212597694</v>
      </c>
      <c r="N1710" s="27">
        <f>IF(ISNUMBER(M1710),M1710/L1710,"No aplica")</f>
        <v>2.3361870508340474</v>
      </c>
      <c r="O1710" s="25">
        <f>IF(G1710="provision",M1710+H1710,IF(G1710="recoleccion",M1710-H1710,"No aplica"))</f>
        <v>91002000</v>
      </c>
      <c r="P1710" s="26" t="n">
        <v>0</v>
      </c>
    </row>
    <row r="1711">
      <c r="A1711" t="inlineStr">
        <is>
          <t>PRAGMA</t>
        </is>
      </c>
      <c r="B1711" t="inlineStr">
        <is>
          <t>M2</t>
        </is>
      </c>
      <c r="C1711" t="inlineStr">
        <is>
          <t>Cali</t>
        </is>
      </c>
      <c r="D1711" t="inlineStr">
        <is>
          <t>6848</t>
        </is>
      </c>
      <c r="E1711" t="inlineStr">
        <is>
          <t>Sucursal</t>
        </is>
      </c>
      <c r="F1711" s="23" t="n">
        <v>46266</v>
      </c>
      <c r="G1711" t="inlineStr">
        <is>
          <t>recoleccion</t>
        </is>
      </c>
      <c r="H1711" s="26" t="n">
        <v>11353735</v>
      </c>
      <c r="I1711" t="inlineStr">
        <is>
          <t>bajo</t>
        </is>
      </c>
      <c r="J1711" t="inlineStr">
        <is>
          <t>RN-22 y RN-35: recoleccion al cierre de lo que pasa del cupo</t>
        </is>
      </c>
      <c r="K1711" t="inlineStr">
        <is>
          <t>Recoleccion al cierre: con el pronostico, el saldo cerraria en 341.353.735 COP, sobre el cupo de 330.000.000. Se recoge el excedente y el saldo queda en 330.000.000 COP. Equipo administrado por Sucursal. Sin tarifa TDV (administrado por la sucursal): costo 0 declarado.</t>
        </is>
      </c>
      <c r="L1711" s="26" t="n">
        <v>330000000</v>
      </c>
      <c r="M1711" s="26" t="n">
        <v>341353735</v>
      </c>
      <c r="N1711" s="27">
        <f>IF(ISNUMBER(M1711),M1711/L1711,"No aplica")</f>
        <v>1.0344052575757576</v>
      </c>
      <c r="O1711" s="25">
        <f>IF(G1711="provision",M1711+H1711,IF(G1711="recoleccion",M1711-H1711,"No aplica"))</f>
        <v>330000000</v>
      </c>
      <c r="P1711" s="26" t="n">
        <v>0</v>
      </c>
    </row>
    <row r="1712">
      <c r="A1712" t="inlineStr">
        <is>
          <t>PRAGMA</t>
        </is>
      </c>
      <c r="B1712" t="inlineStr">
        <is>
          <t>M2</t>
        </is>
      </c>
      <c r="C1712" t="inlineStr">
        <is>
          <t>Cali</t>
        </is>
      </c>
      <c r="D1712" t="inlineStr">
        <is>
          <t>6848</t>
        </is>
      </c>
      <c r="E1712" t="inlineStr">
        <is>
          <t>Sucursal</t>
        </is>
      </c>
      <c r="F1712" s="23" t="n">
        <v>46267</v>
      </c>
      <c r="G1712" t="inlineStr">
        <is>
          <t>recoleccion</t>
        </is>
      </c>
      <c r="H1712" s="26" t="n">
        <v>23057447</v>
      </c>
      <c r="I1712" t="inlineStr">
        <is>
          <t>bajo</t>
        </is>
      </c>
      <c r="J1712" t="inlineStr">
        <is>
          <t>RN-22 y RN-35: recoleccion al cierre de lo que pasa del cupo</t>
        </is>
      </c>
      <c r="K1712" t="inlineStr">
        <is>
          <t>Recoleccion al cierre: con el pronostico, el saldo cerraria en 353.057.447 COP, sobre el cupo de 330.000.000. Se recoge el excedente y el saldo queda en 330.000.000 COP. Equipo administrado por Sucursal. Sin tarifa TDV (administrado por la sucursal): costo 0 declarado.</t>
        </is>
      </c>
      <c r="L1712" s="26" t="n">
        <v>330000000</v>
      </c>
      <c r="M1712" s="26" t="n">
        <v>353057447</v>
      </c>
      <c r="N1712" s="27">
        <f>IF(ISNUMBER(M1712),M1712/L1712,"No aplica")</f>
        <v>1.0698710515151515</v>
      </c>
      <c r="O1712" s="25">
        <f>IF(G1712="provision",M1712+H1712,IF(G1712="recoleccion",M1712-H1712,"No aplica"))</f>
        <v>330000000</v>
      </c>
      <c r="P1712" s="26" t="n">
        <v>0</v>
      </c>
    </row>
    <row r="1713">
      <c r="A1713" t="inlineStr">
        <is>
          <t>PRAGMA</t>
        </is>
      </c>
      <c r="B1713" t="inlineStr">
        <is>
          <t>M2</t>
        </is>
      </c>
      <c r="C1713" t="inlineStr">
        <is>
          <t>Cali</t>
        </is>
      </c>
      <c r="D1713" t="inlineStr">
        <is>
          <t>6848</t>
        </is>
      </c>
      <c r="E1713" t="inlineStr">
        <is>
          <t>Sucursal</t>
        </is>
      </c>
      <c r="F1713" s="23" t="n">
        <v>46268</v>
      </c>
      <c r="G1713" t="inlineStr">
        <is>
          <t>recoleccion</t>
        </is>
      </c>
      <c r="H1713" s="26" t="n">
        <v>20524144</v>
      </c>
      <c r="I1713" t="inlineStr">
        <is>
          <t>bajo</t>
        </is>
      </c>
      <c r="J1713" t="inlineStr">
        <is>
          <t>RN-22 y RN-35: recoleccion al cierre de lo que pasa del cupo</t>
        </is>
      </c>
      <c r="K1713" t="inlineStr">
        <is>
          <t>Recoleccion al cierre: con el pronostico, el saldo cerraria en 350.524.144 COP, sobre el cupo de 330.000.000. Se recoge el excedente y el saldo queda en 330.000.000 COP. Equipo administrado por Sucursal. Sin tarifa TDV (administrado por la sucursal): costo 0 declarado.</t>
        </is>
      </c>
      <c r="L1713" s="26" t="n">
        <v>330000000</v>
      </c>
      <c r="M1713" s="26" t="n">
        <v>350524144</v>
      </c>
      <c r="N1713" s="27">
        <f>IF(ISNUMBER(M1713),M1713/L1713,"No aplica")</f>
        <v>1.0621943757575758</v>
      </c>
      <c r="O1713" s="25">
        <f>IF(G1713="provision",M1713+H1713,IF(G1713="recoleccion",M1713-H1713,"No aplica"))</f>
        <v>330000000</v>
      </c>
      <c r="P1713" s="26" t="n">
        <v>0</v>
      </c>
    </row>
    <row r="1714">
      <c r="A1714" t="inlineStr">
        <is>
          <t>PRAGMA</t>
        </is>
      </c>
      <c r="B1714" t="inlineStr">
        <is>
          <t>M2</t>
        </is>
      </c>
      <c r="C1714" t="inlineStr">
        <is>
          <t>Cali</t>
        </is>
      </c>
      <c r="D1714" t="inlineStr">
        <is>
          <t>6848</t>
        </is>
      </c>
      <c r="E1714" t="inlineStr">
        <is>
          <t>Sucursal</t>
        </is>
      </c>
      <c r="F1714" s="23" t="n">
        <v>46269</v>
      </c>
      <c r="G1714" t="inlineStr">
        <is>
          <t>recoleccion</t>
        </is>
      </c>
      <c r="H1714" s="26" t="n">
        <v>20849660</v>
      </c>
      <c r="I1714" t="inlineStr">
        <is>
          <t>bajo</t>
        </is>
      </c>
      <c r="J1714" t="inlineStr">
        <is>
          <t>RN-22 y RN-35: recoleccion al cierre de lo que pasa del cupo</t>
        </is>
      </c>
      <c r="K1714" t="inlineStr">
        <is>
          <t>Recoleccion al cierre: con el pronostico, el saldo cerraria en 350.849.660 COP, sobre el cupo de 330.000.000. Se recoge el excedente y el saldo queda en 330.000.000 COP. Equipo administrado por Sucursal. Sin tarifa TDV (administrado por la sucursal): costo 0 declarado.</t>
        </is>
      </c>
      <c r="L1714" s="26" t="n">
        <v>330000000</v>
      </c>
      <c r="M1714" s="26" t="n">
        <v>350849660</v>
      </c>
      <c r="N1714" s="27">
        <f>IF(ISNUMBER(M1714),M1714/L1714,"No aplica")</f>
        <v>1.0631807878787878</v>
      </c>
      <c r="O1714" s="25">
        <f>IF(G1714="provision",M1714+H1714,IF(G1714="recoleccion",M1714-H1714,"No aplica"))</f>
        <v>330000000</v>
      </c>
      <c r="P1714" s="26" t="n">
        <v>0</v>
      </c>
    </row>
    <row r="1715">
      <c r="A1715" t="inlineStr">
        <is>
          <t>PRAGMA</t>
        </is>
      </c>
      <c r="B1715" t="inlineStr">
        <is>
          <t>M2</t>
        </is>
      </c>
      <c r="C1715" t="inlineStr">
        <is>
          <t>Cali</t>
        </is>
      </c>
      <c r="D1715" t="inlineStr">
        <is>
          <t>6848</t>
        </is>
      </c>
      <c r="E1715" t="inlineStr">
        <is>
          <t>Sucursal</t>
        </is>
      </c>
      <c r="F1715" s="23" t="n">
        <v>46270</v>
      </c>
      <c r="G1715" t="inlineStr">
        <is>
          <t>recoleccion</t>
        </is>
      </c>
      <c r="H1715" s="26" t="n">
        <v>21238410</v>
      </c>
      <c r="I1715" t="inlineStr">
        <is>
          <t>bajo</t>
        </is>
      </c>
      <c r="J1715" t="inlineStr">
        <is>
          <t>RN-22 y RN-35: recoleccion al cierre de lo que pasa del cupo</t>
        </is>
      </c>
      <c r="K1715" t="inlineStr">
        <is>
          <t>Recoleccion al cierre: con el pronostico, el saldo cerraria en 351.238.410 COP, sobre el cupo de 330.000.000. Se recoge el excedente y el saldo queda en 330.000.000 COP. Equipo administrado por Sucursal. Sin tarifa TDV (administrado por la sucursal): costo 0 declarado.</t>
        </is>
      </c>
      <c r="L1715" s="26" t="n">
        <v>330000000</v>
      </c>
      <c r="M1715" s="26" t="n">
        <v>351238410</v>
      </c>
      <c r="N1715" s="27">
        <f>IF(ISNUMBER(M1715),M1715/L1715,"No aplica")</f>
        <v>1.0643588181818182</v>
      </c>
      <c r="O1715" s="25">
        <f>IF(G1715="provision",M1715+H1715,IF(G1715="recoleccion",M1715-H1715,"No aplica"))</f>
        <v>330000000</v>
      </c>
      <c r="P1715" s="26" t="n">
        <v>0</v>
      </c>
    </row>
    <row r="1716">
      <c r="A1716" t="inlineStr">
        <is>
          <t>PRAGMA</t>
        </is>
      </c>
      <c r="B1716" t="inlineStr">
        <is>
          <t>M2</t>
        </is>
      </c>
      <c r="C1716" t="inlineStr">
        <is>
          <t>Cali</t>
        </is>
      </c>
      <c r="D1716" t="inlineStr">
        <is>
          <t>6848</t>
        </is>
      </c>
      <c r="E1716" t="inlineStr">
        <is>
          <t>Sucursal</t>
        </is>
      </c>
      <c r="F1716" s="23" t="n">
        <v>46271</v>
      </c>
      <c r="G1716" t="inlineStr">
        <is>
          <t>recoleccion</t>
        </is>
      </c>
      <c r="H1716" s="26" t="n">
        <v>4933539</v>
      </c>
      <c r="I1716" t="inlineStr">
        <is>
          <t>bajo</t>
        </is>
      </c>
      <c r="J1716" t="inlineStr">
        <is>
          <t>RN-22 y RN-35: recoleccion al cierre de lo que pasa del cupo</t>
        </is>
      </c>
      <c r="K1716" t="inlineStr">
        <is>
          <t>Recoleccion al cierre: con el pronostico, el saldo cerraria en 334.933.539 COP, sobre el cupo de 330.000.000. Se recoge el excedente y el saldo queda en 330.000.000 COP. Equipo administrado por Sucursal. Sin tarifa TDV (administrado por la sucursal): costo 0 declarado.</t>
        </is>
      </c>
      <c r="L1716" s="26" t="n">
        <v>330000000</v>
      </c>
      <c r="M1716" s="26" t="n">
        <v>334933539</v>
      </c>
      <c r="N1716" s="27">
        <f>IF(ISNUMBER(M1716),M1716/L1716,"No aplica")</f>
        <v>1.0149501181818181</v>
      </c>
      <c r="O1716" s="25">
        <f>IF(G1716="provision",M1716+H1716,IF(G1716="recoleccion",M1716-H1716,"No aplica"))</f>
        <v>330000000</v>
      </c>
      <c r="P1716" s="26" t="n">
        <v>0</v>
      </c>
    </row>
    <row r="1717">
      <c r="A1717" t="inlineStr">
        <is>
          <t>PRAGMA</t>
        </is>
      </c>
      <c r="B1717" t="inlineStr">
        <is>
          <t>M2</t>
        </is>
      </c>
      <c r="C1717" t="inlineStr">
        <is>
          <t>Cali</t>
        </is>
      </c>
      <c r="D1717" t="inlineStr">
        <is>
          <t>6848</t>
        </is>
      </c>
      <c r="E1717" t="inlineStr">
        <is>
          <t>Sucursal</t>
        </is>
      </c>
      <c r="F1717" s="23" t="n">
        <v>46272</v>
      </c>
      <c r="G1717" t="inlineStr">
        <is>
          <t>recoleccion</t>
        </is>
      </c>
      <c r="H1717" s="26" t="n">
        <v>34125262</v>
      </c>
      <c r="I1717" t="inlineStr">
        <is>
          <t>bajo</t>
        </is>
      </c>
      <c r="J1717" t="inlineStr">
        <is>
          <t>RN-22 y RN-35: recoleccion al cierre de lo que pasa del cupo</t>
        </is>
      </c>
      <c r="K1717" t="inlineStr">
        <is>
          <t>Recoleccion al cierre: con el pronostico, el saldo cerraria en 364.125.262 COP, sobre el cupo de 330.000.000. Se recoge el excedente y el saldo queda en 330.000.000 COP. Equipo administrado por Sucursal. Sin tarifa TDV (administrado por la sucursal): costo 0 declarado.</t>
        </is>
      </c>
      <c r="L1717" s="26" t="n">
        <v>330000000</v>
      </c>
      <c r="M1717" s="26" t="n">
        <v>364125262</v>
      </c>
      <c r="N1717" s="27">
        <f>IF(ISNUMBER(M1717),M1717/L1717,"No aplica")</f>
        <v>1.1034098848484848</v>
      </c>
      <c r="O1717" s="25">
        <f>IF(G1717="provision",M1717+H1717,IF(G1717="recoleccion",M1717-H1717,"No aplica"))</f>
        <v>330000000</v>
      </c>
      <c r="P1717" s="26" t="n">
        <v>0</v>
      </c>
    </row>
    <row r="1718">
      <c r="A1718" t="inlineStr">
        <is>
          <t>PRAGMA</t>
        </is>
      </c>
      <c r="B1718" t="inlineStr">
        <is>
          <t>M2</t>
        </is>
      </c>
      <c r="C1718" t="inlineStr">
        <is>
          <t>Cali</t>
        </is>
      </c>
      <c r="D1718" t="inlineStr">
        <is>
          <t>6848</t>
        </is>
      </c>
      <c r="E1718" t="inlineStr">
        <is>
          <t>Sucursal</t>
        </is>
      </c>
      <c r="F1718" s="23" t="n">
        <v>46273</v>
      </c>
      <c r="G1718" t="inlineStr">
        <is>
          <t>recoleccion</t>
        </is>
      </c>
      <c r="H1718" s="26" t="n">
        <v>30376224</v>
      </c>
      <c r="I1718" t="inlineStr">
        <is>
          <t>bajo</t>
        </is>
      </c>
      <c r="J1718" t="inlineStr">
        <is>
          <t>RN-22 y RN-35: recoleccion al cierre de lo que pasa del cupo</t>
        </is>
      </c>
      <c r="K1718" t="inlineStr">
        <is>
          <t>Recoleccion al cierre: con el pronostico, el saldo cerraria en 360.376.224 COP, sobre el cupo de 330.000.000. Se recoge el excedente y el saldo queda en 330.000.000 COP. Equipo administrado por Sucursal. Sin tarifa TDV (administrado por la sucursal): costo 0 declarado.</t>
        </is>
      </c>
      <c r="L1718" s="26" t="n">
        <v>330000000</v>
      </c>
      <c r="M1718" s="26" t="n">
        <v>360376224</v>
      </c>
      <c r="N1718" s="27">
        <f>IF(ISNUMBER(M1718),M1718/L1718,"No aplica")</f>
        <v>1.0920491636363636</v>
      </c>
      <c r="O1718" s="25">
        <f>IF(G1718="provision",M1718+H1718,IF(G1718="recoleccion",M1718-H1718,"No aplica"))</f>
        <v>330000000</v>
      </c>
      <c r="P1718" s="26" t="n">
        <v>0</v>
      </c>
    </row>
    <row r="1719">
      <c r="A1719" t="inlineStr">
        <is>
          <t>PRAGMA</t>
        </is>
      </c>
      <c r="B1719" t="inlineStr">
        <is>
          <t>M2</t>
        </is>
      </c>
      <c r="C1719" t="inlineStr">
        <is>
          <t>Cali</t>
        </is>
      </c>
      <c r="D1719" t="inlineStr">
        <is>
          <t>6848</t>
        </is>
      </c>
      <c r="E1719" t="inlineStr">
        <is>
          <t>Sucursal</t>
        </is>
      </c>
      <c r="F1719" s="23" t="n">
        <v>46274</v>
      </c>
      <c r="G1719" t="inlineStr">
        <is>
          <t>recoleccion</t>
        </is>
      </c>
      <c r="H1719" s="26" t="n">
        <v>25787393</v>
      </c>
      <c r="I1719" t="inlineStr">
        <is>
          <t>bajo</t>
        </is>
      </c>
      <c r="J1719" t="inlineStr">
        <is>
          <t>RN-22 y RN-35: recoleccion al cierre de lo que pasa del cupo</t>
        </is>
      </c>
      <c r="K1719" t="inlineStr">
        <is>
          <t>Recoleccion al cierre: con el pronostico, el saldo cerraria en 355.787.393 COP, sobre el cupo de 330.000.000. Se recoge el excedente y el saldo queda en 330.000.000 COP. Equipo administrado por Sucursal. Sin tarifa TDV (administrado por la sucursal): costo 0 declarado.</t>
        </is>
      </c>
      <c r="L1719" s="26" t="n">
        <v>330000000</v>
      </c>
      <c r="M1719" s="26" t="n">
        <v>355787393</v>
      </c>
      <c r="N1719" s="27">
        <f>IF(ISNUMBER(M1719),M1719/L1719,"No aplica")</f>
        <v>1.0781436151515151</v>
      </c>
      <c r="O1719" s="25">
        <f>IF(G1719="provision",M1719+H1719,IF(G1719="recoleccion",M1719-H1719,"No aplica"))</f>
        <v>330000000</v>
      </c>
      <c r="P1719" s="26" t="n">
        <v>0</v>
      </c>
    </row>
    <row r="1720">
      <c r="A1720" t="inlineStr">
        <is>
          <t>PRAGMA</t>
        </is>
      </c>
      <c r="B1720" t="inlineStr">
        <is>
          <t>M2</t>
        </is>
      </c>
      <c r="C1720" t="inlineStr">
        <is>
          <t>Cali</t>
        </is>
      </c>
      <c r="D1720" t="inlineStr">
        <is>
          <t>6848</t>
        </is>
      </c>
      <c r="E1720" t="inlineStr">
        <is>
          <t>Sucursal</t>
        </is>
      </c>
      <c r="F1720" s="23" t="n">
        <v>46275</v>
      </c>
      <c r="G1720" t="inlineStr">
        <is>
          <t>recoleccion</t>
        </is>
      </c>
      <c r="H1720" s="26" t="n">
        <v>25808801</v>
      </c>
      <c r="I1720" t="inlineStr">
        <is>
          <t>bajo</t>
        </is>
      </c>
      <c r="J1720" t="inlineStr">
        <is>
          <t>RN-22 y RN-35: recoleccion al cierre de lo que pasa del cupo</t>
        </is>
      </c>
      <c r="K1720" t="inlineStr">
        <is>
          <t>Recoleccion al cierre: con el pronostico, el saldo cerraria en 355.808.801 COP, sobre el cupo de 330.000.000. Se recoge el excedente y el saldo queda en 330.000.000 COP. Equipo administrado por Sucursal. Sin tarifa TDV (administrado por la sucursal): costo 0 declarado.</t>
        </is>
      </c>
      <c r="L1720" s="26" t="n">
        <v>330000000</v>
      </c>
      <c r="M1720" s="26" t="n">
        <v>355808801</v>
      </c>
      <c r="N1720" s="27">
        <f>IF(ISNUMBER(M1720),M1720/L1720,"No aplica")</f>
        <v>1.0782084878787879</v>
      </c>
      <c r="O1720" s="25">
        <f>IF(G1720="provision",M1720+H1720,IF(G1720="recoleccion",M1720-H1720,"No aplica"))</f>
        <v>330000000</v>
      </c>
      <c r="P1720" s="26" t="n">
        <v>0</v>
      </c>
    </row>
    <row r="1721">
      <c r="A1721" t="inlineStr">
        <is>
          <t>PRAGMA</t>
        </is>
      </c>
      <c r="B1721" t="inlineStr">
        <is>
          <t>M2</t>
        </is>
      </c>
      <c r="C1721" t="inlineStr">
        <is>
          <t>Cali</t>
        </is>
      </c>
      <c r="D1721" t="inlineStr">
        <is>
          <t>6848</t>
        </is>
      </c>
      <c r="E1721" t="inlineStr">
        <is>
          <t>Sucursal</t>
        </is>
      </c>
      <c r="F1721" s="23" t="n">
        <v>46276</v>
      </c>
      <c r="G1721" t="inlineStr">
        <is>
          <t>recoleccion</t>
        </is>
      </c>
      <c r="H1721" s="26" t="n">
        <v>18219224</v>
      </c>
      <c r="I1721" t="inlineStr">
        <is>
          <t>bajo</t>
        </is>
      </c>
      <c r="J1721" t="inlineStr">
        <is>
          <t>RN-22 y RN-35: recoleccion al cierre de lo que pasa del cupo</t>
        </is>
      </c>
      <c r="K1721" t="inlineStr">
        <is>
          <t>Recoleccion al cierre: con el pronostico, el saldo cerraria en 348.219.224 COP, sobre el cupo de 330.000.000. Se recoge el excedente y el saldo queda en 330.000.000 COP. Equipo administrado por Sucursal. Sin tarifa TDV (administrado por la sucursal): costo 0 declarado.</t>
        </is>
      </c>
      <c r="L1721" s="26" t="n">
        <v>330000000</v>
      </c>
      <c r="M1721" s="26" t="n">
        <v>348219224</v>
      </c>
      <c r="N1721" s="27">
        <f>IF(ISNUMBER(M1721),M1721/L1721,"No aplica")</f>
        <v>1.0552097696969698</v>
      </c>
      <c r="O1721" s="25">
        <f>IF(G1721="provision",M1721+H1721,IF(G1721="recoleccion",M1721-H1721,"No aplica"))</f>
        <v>330000000</v>
      </c>
      <c r="P1721" s="26" t="n">
        <v>0</v>
      </c>
    </row>
    <row r="1722">
      <c r="A1722" t="inlineStr">
        <is>
          <t>PRAGMA</t>
        </is>
      </c>
      <c r="B1722" t="inlineStr">
        <is>
          <t>M2</t>
        </is>
      </c>
      <c r="C1722" t="inlineStr">
        <is>
          <t>Cali</t>
        </is>
      </c>
      <c r="D1722" t="inlineStr">
        <is>
          <t>6848</t>
        </is>
      </c>
      <c r="E1722" t="inlineStr">
        <is>
          <t>Sucursal</t>
        </is>
      </c>
      <c r="F1722" s="23" t="n">
        <v>46277</v>
      </c>
      <c r="G1722" t="inlineStr">
        <is>
          <t>recoleccion</t>
        </is>
      </c>
      <c r="H1722" s="26" t="n">
        <v>18811916</v>
      </c>
      <c r="I1722" t="inlineStr">
        <is>
          <t>bajo</t>
        </is>
      </c>
      <c r="J1722" t="inlineStr">
        <is>
          <t>RN-22 y RN-35: recoleccion al cierre de lo que pasa del cupo</t>
        </is>
      </c>
      <c r="K1722" t="inlineStr">
        <is>
          <t>Recoleccion al cierre: con el pronostico, el saldo cerraria en 348.811.916 COP, sobre el cupo de 330.000.000. Se recoge el excedente y el saldo queda en 330.000.000 COP. Equipo administrado por Sucursal. Sin tarifa TDV (administrado por la sucursal): costo 0 declarado.</t>
        </is>
      </c>
      <c r="L1722" s="26" t="n">
        <v>330000000</v>
      </c>
      <c r="M1722" s="26" t="n">
        <v>348811916</v>
      </c>
      <c r="N1722" s="27">
        <f>IF(ISNUMBER(M1722),M1722/L1722,"No aplica")</f>
        <v>1.057005806060606</v>
      </c>
      <c r="O1722" s="25">
        <f>IF(G1722="provision",M1722+H1722,IF(G1722="recoleccion",M1722-H1722,"No aplica"))</f>
        <v>330000000</v>
      </c>
      <c r="P1722" s="26" t="n">
        <v>0</v>
      </c>
    </row>
    <row r="1723">
      <c r="A1723" t="inlineStr">
        <is>
          <t>PRAGMA</t>
        </is>
      </c>
      <c r="B1723" t="inlineStr">
        <is>
          <t>M2</t>
        </is>
      </c>
      <c r="C1723" t="inlineStr">
        <is>
          <t>Cali</t>
        </is>
      </c>
      <c r="D1723" t="inlineStr">
        <is>
          <t>6848</t>
        </is>
      </c>
      <c r="E1723" t="inlineStr">
        <is>
          <t>Sucursal</t>
        </is>
      </c>
      <c r="F1723" s="23" t="n">
        <v>46278</v>
      </c>
      <c r="G1723" t="inlineStr">
        <is>
          <t>recoleccion</t>
        </is>
      </c>
      <c r="H1723" s="26" t="n">
        <v>3424119</v>
      </c>
      <c r="I1723" t="inlineStr">
        <is>
          <t>bajo</t>
        </is>
      </c>
      <c r="J1723" t="inlineStr">
        <is>
          <t>RN-22 y RN-35: recoleccion al cierre de lo que pasa del cupo</t>
        </is>
      </c>
      <c r="K1723" t="inlineStr">
        <is>
          <t>Recoleccion al cierre: con el pronostico, el saldo cerraria en 333.424.119 COP, sobre el cupo de 330.000.000. Se recoge el excedente y el saldo queda en 330.000.000 COP. Equipo administrado por Sucursal. Sin tarifa TDV (administrado por la sucursal): costo 0 declarado.</t>
        </is>
      </c>
      <c r="L1723" s="26" t="n">
        <v>330000000</v>
      </c>
      <c r="M1723" s="26" t="n">
        <v>333424119</v>
      </c>
      <c r="N1723" s="27">
        <f>IF(ISNUMBER(M1723),M1723/L1723,"No aplica")</f>
        <v>1.0103761181818183</v>
      </c>
      <c r="O1723" s="25">
        <f>IF(G1723="provision",M1723+H1723,IF(G1723="recoleccion",M1723-H1723,"No aplica"))</f>
        <v>330000000</v>
      </c>
      <c r="P1723" s="26" t="n">
        <v>0</v>
      </c>
    </row>
    <row r="1724">
      <c r="A1724" t="inlineStr">
        <is>
          <t>PRAGMA</t>
        </is>
      </c>
      <c r="B1724" t="inlineStr">
        <is>
          <t>M2</t>
        </is>
      </c>
      <c r="C1724" t="inlineStr">
        <is>
          <t>Cali</t>
        </is>
      </c>
      <c r="D1724" t="inlineStr">
        <is>
          <t>6848</t>
        </is>
      </c>
      <c r="E1724" t="inlineStr">
        <is>
          <t>Sucursal</t>
        </is>
      </c>
      <c r="F1724" s="23" t="n">
        <v>46279</v>
      </c>
      <c r="G1724" t="inlineStr">
        <is>
          <t>recoleccion</t>
        </is>
      </c>
      <c r="H1724" s="26" t="n">
        <v>24152281</v>
      </c>
      <c r="I1724" t="inlineStr">
        <is>
          <t>bajo</t>
        </is>
      </c>
      <c r="J1724" t="inlineStr">
        <is>
          <t>RN-22 y RN-35: recoleccion al cierre de lo que pasa del cupo</t>
        </is>
      </c>
      <c r="K1724" t="inlineStr">
        <is>
          <t>Recoleccion al cierre: con el pronostico, el saldo cerraria en 354.152.281 COP, sobre el cupo de 330.000.000. Se recoge el excedente y el saldo queda en 330.000.000 COP. Equipo administrado por Sucursal. Sin tarifa TDV (administrado por la sucursal): costo 0 declarado.</t>
        </is>
      </c>
      <c r="L1724" s="26" t="n">
        <v>330000000</v>
      </c>
      <c r="M1724" s="26" t="n">
        <v>354152281</v>
      </c>
      <c r="N1724" s="27">
        <f>IF(ISNUMBER(M1724),M1724/L1724,"No aplica")</f>
        <v>1.0731887303030303</v>
      </c>
      <c r="O1724" s="25">
        <f>IF(G1724="provision",M1724+H1724,IF(G1724="recoleccion",M1724-H1724,"No aplica"))</f>
        <v>330000000</v>
      </c>
      <c r="P1724" s="26" t="n">
        <v>0</v>
      </c>
    </row>
    <row r="1725">
      <c r="A1725" t="inlineStr">
        <is>
          <t>PRAGMA</t>
        </is>
      </c>
      <c r="B1725" t="inlineStr">
        <is>
          <t>M2</t>
        </is>
      </c>
      <c r="C1725" t="inlineStr">
        <is>
          <t>Cali</t>
        </is>
      </c>
      <c r="D1725" t="inlineStr">
        <is>
          <t>6848</t>
        </is>
      </c>
      <c r="E1725" t="inlineStr">
        <is>
          <t>Sucursal</t>
        </is>
      </c>
      <c r="F1725" s="23" t="n">
        <v>46280</v>
      </c>
      <c r="G1725" t="inlineStr">
        <is>
          <t>recoleccion</t>
        </is>
      </c>
      <c r="H1725" s="26" t="n">
        <v>14725463</v>
      </c>
      <c r="I1725" t="inlineStr">
        <is>
          <t>bajo</t>
        </is>
      </c>
      <c r="J1725" t="inlineStr">
        <is>
          <t>RN-22 y RN-35: recoleccion al cierre de lo que pasa del cupo</t>
        </is>
      </c>
      <c r="K1725" t="inlineStr">
        <is>
          <t>Recoleccion al cierre: con el pronostico, el saldo cerraria en 344.725.463 COP, sobre el cupo de 330.000.000. Se recoge el excedente y el saldo queda en 330.000.000 COP. Equipo administrado por Sucursal. Sin tarifa TDV (administrado por la sucursal): costo 0 declarado.</t>
        </is>
      </c>
      <c r="L1725" s="26" t="n">
        <v>330000000</v>
      </c>
      <c r="M1725" s="26" t="n">
        <v>344725463</v>
      </c>
      <c r="N1725" s="27">
        <f>IF(ISNUMBER(M1725),M1725/L1725,"No aplica")</f>
        <v>1.0446226151515152</v>
      </c>
      <c r="O1725" s="25">
        <f>IF(G1725="provision",M1725+H1725,IF(G1725="recoleccion",M1725-H1725,"No aplica"))</f>
        <v>330000000</v>
      </c>
      <c r="P1725" s="26" t="n">
        <v>0</v>
      </c>
    </row>
    <row r="1726">
      <c r="A1726" t="inlineStr">
        <is>
          <t>PRAGMA</t>
        </is>
      </c>
      <c r="B1726" t="inlineStr">
        <is>
          <t>M2</t>
        </is>
      </c>
      <c r="C1726" t="inlineStr">
        <is>
          <t>Cali</t>
        </is>
      </c>
      <c r="D1726" t="inlineStr">
        <is>
          <t>6913</t>
        </is>
      </c>
      <c r="E1726" t="inlineStr">
        <is>
          <t>TDV</t>
        </is>
      </c>
      <c r="F1726" s="23" t="n">
        <v>46266</v>
      </c>
      <c r="G1726" t="inlineStr">
        <is>
          <t>recoleccion</t>
        </is>
      </c>
      <c r="H1726" s="26" t="n">
        <v>182151624</v>
      </c>
      <c r="I1726" t="inlineStr">
        <is>
          <t>bajo</t>
        </is>
      </c>
      <c r="J1726" t="inlineStr">
        <is>
          <t>RN-22 y RN-35: recoleccion al cierre de lo que pasa del cupo</t>
        </is>
      </c>
      <c r="K1726" t="inlineStr">
        <is>
          <t>Recoleccion al cierre: con el pronostico, el saldo cerraria en 207.153.624 COP, sobre el cupo de 25.002.000. Se recoge el excedente y el saldo queda en 25.002.000 COP. Equipo administrado por TDV.</t>
        </is>
      </c>
      <c r="L1726" s="26" t="n">
        <v>25002000</v>
      </c>
      <c r="M1726" s="26" t="n">
        <v>207153624</v>
      </c>
      <c r="N1726" s="27">
        <f>IF(ISNUMBER(M1726),M1726/L1726,"No aplica")</f>
        <v>8.285482121430286</v>
      </c>
      <c r="O1726" s="25">
        <f>IF(G1726="provision",M1726+H1726,IF(G1726="recoleccion",M1726-H1726,"No aplica"))</f>
        <v>25002000</v>
      </c>
      <c r="P1726" s="26" t="n">
        <v>158012</v>
      </c>
    </row>
    <row r="1727">
      <c r="A1727" t="inlineStr">
        <is>
          <t>PRAGMA</t>
        </is>
      </c>
      <c r="B1727" t="inlineStr">
        <is>
          <t>M2</t>
        </is>
      </c>
      <c r="C1727" t="inlineStr">
        <is>
          <t>Cali</t>
        </is>
      </c>
      <c r="D1727" t="inlineStr">
        <is>
          <t>6913</t>
        </is>
      </c>
      <c r="E1727" t="inlineStr">
        <is>
          <t>TDV</t>
        </is>
      </c>
      <c r="F1727" s="23" t="n">
        <v>46267</v>
      </c>
      <c r="G1727" t="inlineStr">
        <is>
          <t>recoleccion</t>
        </is>
      </c>
      <c r="H1727" s="26" t="n">
        <v>176769257</v>
      </c>
      <c r="I1727" t="inlineStr">
        <is>
          <t>bajo</t>
        </is>
      </c>
      <c r="J1727" t="inlineStr">
        <is>
          <t>RN-22 y RN-35: recoleccion al cierre de lo que pasa del cupo</t>
        </is>
      </c>
      <c r="K1727" t="inlineStr">
        <is>
          <t>Recoleccion al cierre: con el pronostico, el saldo cerraria en 201.771.257 COP, sobre el cupo de 25.002.000. Se recoge el excedente y el saldo queda en 25.002.000 COP. Equipo administrado por TDV.</t>
        </is>
      </c>
      <c r="L1727" s="26" t="n">
        <v>25002000</v>
      </c>
      <c r="M1727" s="26" t="n">
        <v>201771257</v>
      </c>
      <c r="N1727" s="27">
        <f>IF(ISNUMBER(M1727),M1727/L1727,"No aplica")</f>
        <v>8.07020466362691</v>
      </c>
      <c r="O1727" s="25">
        <f>IF(G1727="provision",M1727+H1727,IF(G1727="recoleccion",M1727-H1727,"No aplica"))</f>
        <v>25002000</v>
      </c>
      <c r="P1727" s="26" t="n">
        <v>158012</v>
      </c>
    </row>
    <row r="1728">
      <c r="A1728" t="inlineStr">
        <is>
          <t>PRAGMA</t>
        </is>
      </c>
      <c r="B1728" t="inlineStr">
        <is>
          <t>M2</t>
        </is>
      </c>
      <c r="C1728" t="inlineStr">
        <is>
          <t>Cali</t>
        </is>
      </c>
      <c r="D1728" t="inlineStr">
        <is>
          <t>6913</t>
        </is>
      </c>
      <c r="E1728" t="inlineStr">
        <is>
          <t>TDV</t>
        </is>
      </c>
      <c r="F1728" s="23" t="n">
        <v>46268</v>
      </c>
      <c r="G1728" t="inlineStr">
        <is>
          <t>recoleccion</t>
        </is>
      </c>
      <c r="H1728" s="26" t="n">
        <v>175807094</v>
      </c>
      <c r="I1728" t="inlineStr">
        <is>
          <t>bajo</t>
        </is>
      </c>
      <c r="J1728" t="inlineStr">
        <is>
          <t>RN-22 y RN-35: recoleccion al cierre de lo que pasa del cupo</t>
        </is>
      </c>
      <c r="K1728" t="inlineStr">
        <is>
          <t>Recoleccion al cierre: con el pronostico, el saldo cerraria en 200.809.094 COP, sobre el cupo de 25.002.000. Se recoge el excedente y el saldo queda en 25.002.000 COP. Equipo administrado por TDV.</t>
        </is>
      </c>
      <c r="L1728" s="26" t="n">
        <v>25002000</v>
      </c>
      <c r="M1728" s="26" t="n">
        <v>200809094</v>
      </c>
      <c r="N1728" s="27">
        <f>IF(ISNUMBER(M1728),M1728/L1728,"No aplica")</f>
        <v>8.031721222302215</v>
      </c>
      <c r="O1728" s="25">
        <f>IF(G1728="provision",M1728+H1728,IF(G1728="recoleccion",M1728-H1728,"No aplica"))</f>
        <v>25002000</v>
      </c>
      <c r="P1728" s="26" t="n">
        <v>158012</v>
      </c>
    </row>
    <row r="1729">
      <c r="A1729" t="inlineStr">
        <is>
          <t>PRAGMA</t>
        </is>
      </c>
      <c r="B1729" t="inlineStr">
        <is>
          <t>M2</t>
        </is>
      </c>
      <c r="C1729" t="inlineStr">
        <is>
          <t>Cali</t>
        </is>
      </c>
      <c r="D1729" t="inlineStr">
        <is>
          <t>6913</t>
        </is>
      </c>
      <c r="E1729" t="inlineStr">
        <is>
          <t>TDV</t>
        </is>
      </c>
      <c r="F1729" s="23" t="n">
        <v>46269</v>
      </c>
      <c r="G1729" t="inlineStr">
        <is>
          <t>recoleccion</t>
        </is>
      </c>
      <c r="H1729" s="26" t="n">
        <v>179957889</v>
      </c>
      <c r="I1729" t="inlineStr">
        <is>
          <t>bajo</t>
        </is>
      </c>
      <c r="J1729" t="inlineStr">
        <is>
          <t>RN-22 y RN-35: recoleccion al cierre de lo que pasa del cupo</t>
        </is>
      </c>
      <c r="K1729" t="inlineStr">
        <is>
          <t>Recoleccion al cierre: con el pronostico, el saldo cerraria en 204.959.889 COP, sobre el cupo de 25.002.000. Se recoge el excedente y el saldo queda en 25.002.000 COP. Equipo administrado por TDV.</t>
        </is>
      </c>
      <c r="L1729" s="26" t="n">
        <v>25002000</v>
      </c>
      <c r="M1729" s="26" t="n">
        <v>204959889</v>
      </c>
      <c r="N1729" s="27">
        <f>IF(ISNUMBER(M1729),M1729/L1729,"No aplica")</f>
        <v>8.197739740820735</v>
      </c>
      <c r="O1729" s="25">
        <f>IF(G1729="provision",M1729+H1729,IF(G1729="recoleccion",M1729-H1729,"No aplica"))</f>
        <v>25002000</v>
      </c>
      <c r="P1729" s="26" t="n">
        <v>158012</v>
      </c>
    </row>
    <row r="1730">
      <c r="A1730" t="inlineStr">
        <is>
          <t>PRAGMA</t>
        </is>
      </c>
      <c r="B1730" t="inlineStr">
        <is>
          <t>M2</t>
        </is>
      </c>
      <c r="C1730" t="inlineStr">
        <is>
          <t>Cali</t>
        </is>
      </c>
      <c r="D1730" t="inlineStr">
        <is>
          <t>6913</t>
        </is>
      </c>
      <c r="E1730" t="inlineStr">
        <is>
          <t>TDV</t>
        </is>
      </c>
      <c r="F1730" s="23" t="n">
        <v>46270</v>
      </c>
      <c r="G1730" t="inlineStr">
        <is>
          <t>recoleccion</t>
        </is>
      </c>
      <c r="H1730" s="26" t="n">
        <v>194190483</v>
      </c>
      <c r="I1730" t="inlineStr">
        <is>
          <t>bajo</t>
        </is>
      </c>
      <c r="J1730" t="inlineStr">
        <is>
          <t>RN-22 y RN-35: recoleccion al cierre de lo que pasa del cupo</t>
        </is>
      </c>
      <c r="K1730" t="inlineStr">
        <is>
          <t>Recoleccion al cierre: con el pronostico, el saldo cerraria en 219.192.483 COP, sobre el cupo de 25.002.000. Se recoge el excedente y el saldo queda en 25.002.000 COP. Equipo administrado por TDV.</t>
        </is>
      </c>
      <c r="L1730" s="26" t="n">
        <v>25002000</v>
      </c>
      <c r="M1730" s="26" t="n">
        <v>219192483</v>
      </c>
      <c r="N1730" s="27">
        <f>IF(ISNUMBER(M1730),M1730/L1730,"No aplica")</f>
        <v>8.766997960163186</v>
      </c>
      <c r="O1730" s="25">
        <f>IF(G1730="provision",M1730+H1730,IF(G1730="recoleccion",M1730-H1730,"No aplica"))</f>
        <v>25002000</v>
      </c>
      <c r="P1730" s="26" t="n">
        <v>158012</v>
      </c>
    </row>
    <row r="1731">
      <c r="A1731" t="inlineStr">
        <is>
          <t>PRAGMA</t>
        </is>
      </c>
      <c r="B1731" t="inlineStr">
        <is>
          <t>M2</t>
        </is>
      </c>
      <c r="C1731" t="inlineStr">
        <is>
          <t>Cali</t>
        </is>
      </c>
      <c r="D1731" t="inlineStr">
        <is>
          <t>6913</t>
        </is>
      </c>
      <c r="E1731" t="inlineStr">
        <is>
          <t>TDV</t>
        </is>
      </c>
      <c r="F1731" s="23" t="n">
        <v>46271</v>
      </c>
      <c r="G1731" t="inlineStr">
        <is>
          <t>recoleccion</t>
        </is>
      </c>
      <c r="H1731" s="26" t="n">
        <v>137777820</v>
      </c>
      <c r="I1731" t="inlineStr">
        <is>
          <t>bajo</t>
        </is>
      </c>
      <c r="J1731" t="inlineStr">
        <is>
          <t>RN-22 y RN-35: recoleccion al cierre de lo que pasa del cupo</t>
        </is>
      </c>
      <c r="K1731" t="inlineStr">
        <is>
          <t>Recoleccion al cierre: con el pronostico, el saldo cerraria en 162.779.820 COP, sobre el cupo de 25.002.000. Se recoge el excedente y el saldo queda en 25.002.000 COP. Equipo administrado por TDV.</t>
        </is>
      </c>
      <c r="L1731" s="26" t="n">
        <v>25002000</v>
      </c>
      <c r="M1731" s="26" t="n">
        <v>162779820</v>
      </c>
      <c r="N1731" s="27">
        <f>IF(ISNUMBER(M1731),M1731/L1731,"No aplica")</f>
        <v>6.5106719462443</v>
      </c>
      <c r="O1731" s="25">
        <f>IF(G1731="provision",M1731+H1731,IF(G1731="recoleccion",M1731-H1731,"No aplica"))</f>
        <v>25002000</v>
      </c>
      <c r="P1731" s="26" t="n">
        <v>182814</v>
      </c>
    </row>
    <row r="1732">
      <c r="A1732" t="inlineStr">
        <is>
          <t>PRAGMA</t>
        </is>
      </c>
      <c r="B1732" t="inlineStr">
        <is>
          <t>M2</t>
        </is>
      </c>
      <c r="C1732" t="inlineStr">
        <is>
          <t>Cali</t>
        </is>
      </c>
      <c r="D1732" t="inlineStr">
        <is>
          <t>6913</t>
        </is>
      </c>
      <c r="E1732" t="inlineStr">
        <is>
          <t>TDV</t>
        </is>
      </c>
      <c r="F1732" s="23" t="n">
        <v>46272</v>
      </c>
      <c r="G1732" t="inlineStr">
        <is>
          <t>recoleccion</t>
        </is>
      </c>
      <c r="H1732" s="26" t="n">
        <v>208383128</v>
      </c>
      <c r="I1732" t="inlineStr">
        <is>
          <t>bajo</t>
        </is>
      </c>
      <c r="J1732" t="inlineStr">
        <is>
          <t>RN-22 y RN-35: recoleccion al cierre de lo que pasa del cupo</t>
        </is>
      </c>
      <c r="K1732" t="inlineStr">
        <is>
          <t>Recoleccion al cierre: con el pronostico, el saldo cerraria en 233.385.128 COP, sobre el cupo de 25.002.000. Se recoge el excedente y el saldo queda en 25.002.000 COP. Equipo administrado por TDV.</t>
        </is>
      </c>
      <c r="L1732" s="26" t="n">
        <v>25002000</v>
      </c>
      <c r="M1732" s="26" t="n">
        <v>233385128</v>
      </c>
      <c r="N1732" s="27">
        <f>IF(ISNUMBER(M1732),M1732/L1732,"No aplica")</f>
        <v>9.334658347332214</v>
      </c>
      <c r="O1732" s="25">
        <f>IF(G1732="provision",M1732+H1732,IF(G1732="recoleccion",M1732-H1732,"No aplica"))</f>
        <v>25002000</v>
      </c>
      <c r="P1732" s="26" t="n">
        <v>158012</v>
      </c>
    </row>
    <row r="1733">
      <c r="A1733" t="inlineStr">
        <is>
          <t>PRAGMA</t>
        </is>
      </c>
      <c r="B1733" t="inlineStr">
        <is>
          <t>M2</t>
        </is>
      </c>
      <c r="C1733" t="inlineStr">
        <is>
          <t>Cali</t>
        </is>
      </c>
      <c r="D1733" t="inlineStr">
        <is>
          <t>6913</t>
        </is>
      </c>
      <c r="E1733" t="inlineStr">
        <is>
          <t>TDV</t>
        </is>
      </c>
      <c r="F1733" s="23" t="n">
        <v>46273</v>
      </c>
      <c r="G1733" t="inlineStr">
        <is>
          <t>recoleccion</t>
        </is>
      </c>
      <c r="H1733" s="26" t="n">
        <v>178509858</v>
      </c>
      <c r="I1733" t="inlineStr">
        <is>
          <t>bajo</t>
        </is>
      </c>
      <c r="J1733" t="inlineStr">
        <is>
          <t>RN-22 y RN-35: recoleccion al cierre de lo que pasa del cupo</t>
        </is>
      </c>
      <c r="K1733" t="inlineStr">
        <is>
          <t>Recoleccion al cierre: con el pronostico, el saldo cerraria en 203.511.858 COP, sobre el cupo de 25.002.000. Se recoge el excedente y el saldo queda en 25.002.000 COP. Equipo administrado por TDV.</t>
        </is>
      </c>
      <c r="L1733" s="26" t="n">
        <v>25002000</v>
      </c>
      <c r="M1733" s="26" t="n">
        <v>203511858</v>
      </c>
      <c r="N1733" s="27">
        <f>IF(ISNUMBER(M1733),M1733/L1733,"No aplica")</f>
        <v>8.139823134149268</v>
      </c>
      <c r="O1733" s="25">
        <f>IF(G1733="provision",M1733+H1733,IF(G1733="recoleccion",M1733-H1733,"No aplica"))</f>
        <v>25002000</v>
      </c>
      <c r="P1733" s="26" t="n">
        <v>158012</v>
      </c>
    </row>
    <row r="1734">
      <c r="A1734" t="inlineStr">
        <is>
          <t>PRAGMA</t>
        </is>
      </c>
      <c r="B1734" t="inlineStr">
        <is>
          <t>M2</t>
        </is>
      </c>
      <c r="C1734" t="inlineStr">
        <is>
          <t>Cali</t>
        </is>
      </c>
      <c r="D1734" t="inlineStr">
        <is>
          <t>6913</t>
        </is>
      </c>
      <c r="E1734" t="inlineStr">
        <is>
          <t>TDV</t>
        </is>
      </c>
      <c r="F1734" s="23" t="n">
        <v>46274</v>
      </c>
      <c r="G1734" t="inlineStr">
        <is>
          <t>recoleccion</t>
        </is>
      </c>
      <c r="H1734" s="26" t="n">
        <v>169037807</v>
      </c>
      <c r="I1734" t="inlineStr">
        <is>
          <t>bajo</t>
        </is>
      </c>
      <c r="J1734" t="inlineStr">
        <is>
          <t>RN-22 y RN-35: recoleccion al cierre de lo que pasa del cupo</t>
        </is>
      </c>
      <c r="K1734" t="inlineStr">
        <is>
          <t>Recoleccion al cierre: con el pronostico, el saldo cerraria en 194.039.807 COP, sobre el cupo de 25.002.000. Se recoge el excedente y el saldo queda en 25.002.000 COP. Equipo administrado por TDV.</t>
        </is>
      </c>
      <c r="L1734" s="26" t="n">
        <v>25002000</v>
      </c>
      <c r="M1734" s="26" t="n">
        <v>194039807</v>
      </c>
      <c r="N1734" s="27">
        <f>IF(ISNUMBER(M1734),M1734/L1734,"No aplica")</f>
        <v>7.760971402287817</v>
      </c>
      <c r="O1734" s="25">
        <f>IF(G1734="provision",M1734+H1734,IF(G1734="recoleccion",M1734-H1734,"No aplica"))</f>
        <v>25002000</v>
      </c>
      <c r="P1734" s="26" t="n">
        <v>158012</v>
      </c>
    </row>
    <row r="1735">
      <c r="A1735" t="inlineStr">
        <is>
          <t>PRAGMA</t>
        </is>
      </c>
      <c r="B1735" t="inlineStr">
        <is>
          <t>M2</t>
        </is>
      </c>
      <c r="C1735" t="inlineStr">
        <is>
          <t>Cali</t>
        </is>
      </c>
      <c r="D1735" t="inlineStr">
        <is>
          <t>6913</t>
        </is>
      </c>
      <c r="E1735" t="inlineStr">
        <is>
          <t>TDV</t>
        </is>
      </c>
      <c r="F1735" s="23" t="n">
        <v>46275</v>
      </c>
      <c r="G1735" t="inlineStr">
        <is>
          <t>recoleccion</t>
        </is>
      </c>
      <c r="H1735" s="26" t="n">
        <v>160876605</v>
      </c>
      <c r="I1735" t="inlineStr">
        <is>
          <t>bajo</t>
        </is>
      </c>
      <c r="J1735" t="inlineStr">
        <is>
          <t>RN-22 y RN-35: recoleccion al cierre de lo que pasa del cupo</t>
        </is>
      </c>
      <c r="K1735" t="inlineStr">
        <is>
          <t>Recoleccion al cierre: con el pronostico, el saldo cerraria en 185.878.605 COP, sobre el cupo de 25.002.000. Se recoge el excedente y el saldo queda en 25.002.000 COP. Equipo administrado por TDV.</t>
        </is>
      </c>
      <c r="L1735" s="26" t="n">
        <v>25002000</v>
      </c>
      <c r="M1735" s="26" t="n">
        <v>185878605</v>
      </c>
      <c r="N1735" s="27">
        <f>IF(ISNUMBER(M1735),M1735/L1735,"No aplica")</f>
        <v>7.434549436045116</v>
      </c>
      <c r="O1735" s="25">
        <f>IF(G1735="provision",M1735+H1735,IF(G1735="recoleccion",M1735-H1735,"No aplica"))</f>
        <v>25002000</v>
      </c>
      <c r="P1735" s="26" t="n">
        <v>158012</v>
      </c>
    </row>
    <row r="1736">
      <c r="A1736" t="inlineStr">
        <is>
          <t>PRAGMA</t>
        </is>
      </c>
      <c r="B1736" t="inlineStr">
        <is>
          <t>M2</t>
        </is>
      </c>
      <c r="C1736" t="inlineStr">
        <is>
          <t>Cali</t>
        </is>
      </c>
      <c r="D1736" t="inlineStr">
        <is>
          <t>6913</t>
        </is>
      </c>
      <c r="E1736" t="inlineStr">
        <is>
          <t>TDV</t>
        </is>
      </c>
      <c r="F1736" s="23" t="n">
        <v>46276</v>
      </c>
      <c r="G1736" t="inlineStr">
        <is>
          <t>recoleccion</t>
        </is>
      </c>
      <c r="H1736" s="26" t="n">
        <v>175210853</v>
      </c>
      <c r="I1736" t="inlineStr">
        <is>
          <t>bajo</t>
        </is>
      </c>
      <c r="J1736" t="inlineStr">
        <is>
          <t>RN-22 y RN-35: recoleccion al cierre de lo que pasa del cupo</t>
        </is>
      </c>
      <c r="K1736" t="inlineStr">
        <is>
          <t>Recoleccion al cierre: con el pronostico, el saldo cerraria en 200.212.853 COP, sobre el cupo de 25.002.000. Se recoge el excedente y el saldo queda en 25.002.000 COP. Equipo administrado por TDV.</t>
        </is>
      </c>
      <c r="L1736" s="26" t="n">
        <v>25002000</v>
      </c>
      <c r="M1736" s="26" t="n">
        <v>200212853</v>
      </c>
      <c r="N1736" s="27">
        <f>IF(ISNUMBER(M1736),M1736/L1736,"No aplica")</f>
        <v>8.00787349012079</v>
      </c>
      <c r="O1736" s="25">
        <f>IF(G1736="provision",M1736+H1736,IF(G1736="recoleccion",M1736-H1736,"No aplica"))</f>
        <v>25002000</v>
      </c>
      <c r="P1736" s="26" t="n">
        <v>158012</v>
      </c>
    </row>
    <row r="1737">
      <c r="A1737" t="inlineStr">
        <is>
          <t>PRAGMA</t>
        </is>
      </c>
      <c r="B1737" t="inlineStr">
        <is>
          <t>M2</t>
        </is>
      </c>
      <c r="C1737" t="inlineStr">
        <is>
          <t>Cali</t>
        </is>
      </c>
      <c r="D1737" t="inlineStr">
        <is>
          <t>6913</t>
        </is>
      </c>
      <c r="E1737" t="inlineStr">
        <is>
          <t>TDV</t>
        </is>
      </c>
      <c r="F1737" s="23" t="n">
        <v>46277</v>
      </c>
      <c r="G1737" t="inlineStr">
        <is>
          <t>recoleccion</t>
        </is>
      </c>
      <c r="H1737" s="26" t="n">
        <v>166989841</v>
      </c>
      <c r="I1737" t="inlineStr">
        <is>
          <t>bajo</t>
        </is>
      </c>
      <c r="J1737" t="inlineStr">
        <is>
          <t>RN-22 y RN-35: recoleccion al cierre de lo que pasa del cupo</t>
        </is>
      </c>
      <c r="K1737" t="inlineStr">
        <is>
          <t>Recoleccion al cierre: con el pronostico, el saldo cerraria en 191.991.841 COP, sobre el cupo de 25.002.000. Se recoge el excedente y el saldo queda en 25.002.000 COP. Equipo administrado por TDV.</t>
        </is>
      </c>
      <c r="L1737" s="26" t="n">
        <v>25002000</v>
      </c>
      <c r="M1737" s="26" t="n">
        <v>191991841</v>
      </c>
      <c r="N1737" s="27">
        <f>IF(ISNUMBER(M1737),M1737/L1737,"No aplica")</f>
        <v>7.679059315254779</v>
      </c>
      <c r="O1737" s="25">
        <f>IF(G1737="provision",M1737+H1737,IF(G1737="recoleccion",M1737-H1737,"No aplica"))</f>
        <v>25002000</v>
      </c>
      <c r="P1737" s="26" t="n">
        <v>158012</v>
      </c>
    </row>
    <row r="1738">
      <c r="A1738" t="inlineStr">
        <is>
          <t>PRAGMA</t>
        </is>
      </c>
      <c r="B1738" t="inlineStr">
        <is>
          <t>M2</t>
        </is>
      </c>
      <c r="C1738" t="inlineStr">
        <is>
          <t>Cali</t>
        </is>
      </c>
      <c r="D1738" t="inlineStr">
        <is>
          <t>6913</t>
        </is>
      </c>
      <c r="E1738" t="inlineStr">
        <is>
          <t>TDV</t>
        </is>
      </c>
      <c r="F1738" s="23" t="n">
        <v>46278</v>
      </c>
      <c r="G1738" t="inlineStr">
        <is>
          <t>recoleccion</t>
        </is>
      </c>
      <c r="H1738" s="26" t="n">
        <v>118442834</v>
      </c>
      <c r="I1738" t="inlineStr">
        <is>
          <t>bajo</t>
        </is>
      </c>
      <c r="J1738" t="inlineStr">
        <is>
          <t>RN-22 y RN-35: recoleccion al cierre de lo que pasa del cupo</t>
        </is>
      </c>
      <c r="K1738" t="inlineStr">
        <is>
          <t>Recoleccion al cierre: con el pronostico, el saldo cerraria en 143.444.834 COP, sobre el cupo de 25.002.000. Se recoge el excedente y el saldo queda en 25.002.000 COP. Equipo administrado por TDV.</t>
        </is>
      </c>
      <c r="L1738" s="26" t="n">
        <v>25002000</v>
      </c>
      <c r="M1738" s="26" t="n">
        <v>143444834</v>
      </c>
      <c r="N1738" s="27">
        <f>IF(ISNUMBER(M1738),M1738/L1738,"No aplica")</f>
        <v>5.73733437325014</v>
      </c>
      <c r="O1738" s="25">
        <f>IF(G1738="provision",M1738+H1738,IF(G1738="recoleccion",M1738-H1738,"No aplica"))</f>
        <v>25002000</v>
      </c>
      <c r="P1738" s="26" t="n">
        <v>182814</v>
      </c>
    </row>
    <row r="1739">
      <c r="A1739" t="inlineStr">
        <is>
          <t>PRAGMA</t>
        </is>
      </c>
      <c r="B1739" t="inlineStr">
        <is>
          <t>M2</t>
        </is>
      </c>
      <c r="C1739" t="inlineStr">
        <is>
          <t>Cali</t>
        </is>
      </c>
      <c r="D1739" t="inlineStr">
        <is>
          <t>6913</t>
        </is>
      </c>
      <c r="E1739" t="inlineStr">
        <is>
          <t>TDV</t>
        </is>
      </c>
      <c r="F1739" s="23" t="n">
        <v>46279</v>
      </c>
      <c r="G1739" t="inlineStr">
        <is>
          <t>recoleccion</t>
        </is>
      </c>
      <c r="H1739" s="26" t="n">
        <v>189986150</v>
      </c>
      <c r="I1739" t="inlineStr">
        <is>
          <t>bajo</t>
        </is>
      </c>
      <c r="J1739" t="inlineStr">
        <is>
          <t>RN-22 y RN-35: recoleccion al cierre de lo que pasa del cupo</t>
        </is>
      </c>
      <c r="K1739" t="inlineStr">
        <is>
          <t>Recoleccion al cierre: con el pronostico, el saldo cerraria en 214.988.150 COP, sobre el cupo de 25.002.000. Se recoge el excedente y el saldo queda en 25.002.000 COP. Equipo administrado por TDV.</t>
        </is>
      </c>
      <c r="L1739" s="26" t="n">
        <v>25002000</v>
      </c>
      <c r="M1739" s="26" t="n">
        <v>214988150</v>
      </c>
      <c r="N1739" s="27">
        <f>IF(ISNUMBER(M1739),M1739/L1739,"No aplica")</f>
        <v>8.598838092952564</v>
      </c>
      <c r="O1739" s="25">
        <f>IF(G1739="provision",M1739+H1739,IF(G1739="recoleccion",M1739-H1739,"No aplica"))</f>
        <v>25002000</v>
      </c>
      <c r="P1739" s="26" t="n">
        <v>158012</v>
      </c>
    </row>
    <row r="1740">
      <c r="A1740" t="inlineStr">
        <is>
          <t>PRAGMA</t>
        </is>
      </c>
      <c r="B1740" t="inlineStr">
        <is>
          <t>M2</t>
        </is>
      </c>
      <c r="C1740" t="inlineStr">
        <is>
          <t>Cali</t>
        </is>
      </c>
      <c r="D1740" t="inlineStr">
        <is>
          <t>6913</t>
        </is>
      </c>
      <c r="E1740" t="inlineStr">
        <is>
          <t>TDV</t>
        </is>
      </c>
      <c r="F1740" s="23" t="n">
        <v>46280</v>
      </c>
      <c r="G1740" t="inlineStr">
        <is>
          <t>recoleccion</t>
        </is>
      </c>
      <c r="H1740" s="26" t="n">
        <v>168050506</v>
      </c>
      <c r="I1740" t="inlineStr">
        <is>
          <t>bajo</t>
        </is>
      </c>
      <c r="J1740" t="inlineStr">
        <is>
          <t>RN-22 y RN-35: recoleccion al cierre de lo que pasa del cupo</t>
        </is>
      </c>
      <c r="K1740" t="inlineStr">
        <is>
          <t>Recoleccion al cierre: con el pronostico, el saldo cerraria en 193.052.506 COP, sobre el cupo de 25.002.000. Se recoge el excedente y el saldo queda en 25.002.000 COP. Equipo administrado por TDV.</t>
        </is>
      </c>
      <c r="L1740" s="26" t="n">
        <v>25002000</v>
      </c>
      <c r="M1740" s="26" t="n">
        <v>193052506</v>
      </c>
      <c r="N1740" s="27">
        <f>IF(ISNUMBER(M1740),M1740/L1740,"No aplica")</f>
        <v>7.721482521398288</v>
      </c>
      <c r="O1740" s="25">
        <f>IF(G1740="provision",M1740+H1740,IF(G1740="recoleccion",M1740-H1740,"No aplica"))</f>
        <v>25002000</v>
      </c>
      <c r="P1740" s="26" t="n">
        <v>158012</v>
      </c>
    </row>
    <row r="1741">
      <c r="A1741" t="inlineStr">
        <is>
          <t>PRAGMA</t>
        </is>
      </c>
      <c r="B1741" t="inlineStr">
        <is>
          <t>M2</t>
        </is>
      </c>
      <c r="C1741" t="inlineStr">
        <is>
          <t>Cali</t>
        </is>
      </c>
      <c r="D1741" t="inlineStr">
        <is>
          <t>7330</t>
        </is>
      </c>
      <c r="E1741" t="inlineStr">
        <is>
          <t>TDV</t>
        </is>
      </c>
      <c r="F1741" s="23" t="n">
        <v>46266</v>
      </c>
      <c r="G1741" t="inlineStr">
        <is>
          <t>recoleccion</t>
        </is>
      </c>
      <c r="H1741" s="26" t="n">
        <v>52447379</v>
      </c>
      <c r="I1741" t="inlineStr">
        <is>
          <t>bajo</t>
        </is>
      </c>
      <c r="J1741" t="inlineStr">
        <is>
          <t>RN-22 y RN-35: recoleccion al cierre de lo que pasa del cupo</t>
        </is>
      </c>
      <c r="K1741" t="inlineStr">
        <is>
          <t>Recoleccion al cierre: con el pronostico, el saldo cerraria en 120.297.379 COP, sobre el cupo de 67.850.000. Se recoge el excedente y el saldo queda en 67.850.000 COP. Equipo administrado por TDV.</t>
        </is>
      </c>
      <c r="L1741" s="26" t="n">
        <v>67850000</v>
      </c>
      <c r="M1741" s="26" t="n">
        <v>120297379</v>
      </c>
      <c r="N1741" s="27">
        <f>IF(ISNUMBER(M1741),M1741/L1741,"No aplica")</f>
        <v>1.7729901105379513</v>
      </c>
      <c r="O1741" s="25">
        <f>IF(G1741="provision",M1741+H1741,IF(G1741="recoleccion",M1741-H1741,"No aplica"))</f>
        <v>67850000</v>
      </c>
      <c r="P1741" s="26" t="n">
        <v>158307</v>
      </c>
    </row>
    <row r="1742">
      <c r="A1742" t="inlineStr">
        <is>
          <t>PRAGMA</t>
        </is>
      </c>
      <c r="B1742" t="inlineStr">
        <is>
          <t>M2</t>
        </is>
      </c>
      <c r="C1742" t="inlineStr">
        <is>
          <t>Cali</t>
        </is>
      </c>
      <c r="D1742" t="inlineStr">
        <is>
          <t>7330</t>
        </is>
      </c>
      <c r="E1742" t="inlineStr">
        <is>
          <t>TDV</t>
        </is>
      </c>
      <c r="F1742" s="23" t="n">
        <v>46267</v>
      </c>
      <c r="G1742" t="inlineStr">
        <is>
          <t>recoleccion</t>
        </is>
      </c>
      <c r="H1742" s="26" t="n">
        <v>48416865</v>
      </c>
      <c r="I1742" t="inlineStr">
        <is>
          <t>bajo</t>
        </is>
      </c>
      <c r="J1742" t="inlineStr">
        <is>
          <t>RN-22 y RN-35: recoleccion al cierre de lo que pasa del cupo</t>
        </is>
      </c>
      <c r="K1742" t="inlineStr">
        <is>
          <t>Recoleccion al cierre: con el pronostico, el saldo cerraria en 116.266.865 COP, sobre el cupo de 67.850.000. Se recoge el excedente y el saldo queda en 67.850.000 COP. Equipo administrado por TDV.</t>
        </is>
      </c>
      <c r="L1742" s="26" t="n">
        <v>67850000</v>
      </c>
      <c r="M1742" s="26" t="n">
        <v>116266865</v>
      </c>
      <c r="N1742" s="27">
        <f>IF(ISNUMBER(M1742),M1742/L1742,"No aplica")</f>
        <v>1.713586809137804</v>
      </c>
      <c r="O1742" s="25">
        <f>IF(G1742="provision",M1742+H1742,IF(G1742="recoleccion",M1742-H1742,"No aplica"))</f>
        <v>67850000</v>
      </c>
      <c r="P1742" s="26" t="n">
        <v>158307</v>
      </c>
    </row>
    <row r="1743">
      <c r="A1743" t="inlineStr">
        <is>
          <t>PRAGMA</t>
        </is>
      </c>
      <c r="B1743" t="inlineStr">
        <is>
          <t>M2</t>
        </is>
      </c>
      <c r="C1743" t="inlineStr">
        <is>
          <t>Cali</t>
        </is>
      </c>
      <c r="D1743" t="inlineStr">
        <is>
          <t>7330</t>
        </is>
      </c>
      <c r="E1743" t="inlineStr">
        <is>
          <t>TDV</t>
        </is>
      </c>
      <c r="F1743" s="23" t="n">
        <v>46268</v>
      </c>
      <c r="G1743" t="inlineStr">
        <is>
          <t>recoleccion</t>
        </is>
      </c>
      <c r="H1743" s="26" t="n">
        <v>55704767</v>
      </c>
      <c r="I1743" t="inlineStr">
        <is>
          <t>bajo</t>
        </is>
      </c>
      <c r="J1743" t="inlineStr">
        <is>
          <t>RN-22 y RN-35: recoleccion al cierre de lo que pasa del cupo</t>
        </is>
      </c>
      <c r="K1743" t="inlineStr">
        <is>
          <t>Recoleccion al cierre: con el pronostico, el saldo cerraria en 123.554.767 COP, sobre el cupo de 67.850.000. Se recoge el excedente y el saldo queda en 67.850.000 COP. Equipo administrado por TDV.</t>
        </is>
      </c>
      <c r="L1743" s="26" t="n">
        <v>67850000</v>
      </c>
      <c r="M1743" s="26" t="n">
        <v>123554767</v>
      </c>
      <c r="N1743" s="27">
        <f>IF(ISNUMBER(M1743),M1743/L1743,"No aplica")</f>
        <v>1.8209987767133382</v>
      </c>
      <c r="O1743" s="25">
        <f>IF(G1743="provision",M1743+H1743,IF(G1743="recoleccion",M1743-H1743,"No aplica"))</f>
        <v>67850000</v>
      </c>
      <c r="P1743" s="26" t="n">
        <v>158307</v>
      </c>
    </row>
    <row r="1744">
      <c r="A1744" t="inlineStr">
        <is>
          <t>PRAGMA</t>
        </is>
      </c>
      <c r="B1744" t="inlineStr">
        <is>
          <t>M2</t>
        </is>
      </c>
      <c r="C1744" t="inlineStr">
        <is>
          <t>Cali</t>
        </is>
      </c>
      <c r="D1744" t="inlineStr">
        <is>
          <t>7330</t>
        </is>
      </c>
      <c r="E1744" t="inlineStr">
        <is>
          <t>TDV</t>
        </is>
      </c>
      <c r="F1744" s="23" t="n">
        <v>46269</v>
      </c>
      <c r="G1744" t="inlineStr">
        <is>
          <t>recoleccion</t>
        </is>
      </c>
      <c r="H1744" s="26" t="n">
        <v>61328183</v>
      </c>
      <c r="I1744" t="inlineStr">
        <is>
          <t>bajo</t>
        </is>
      </c>
      <c r="J1744" t="inlineStr">
        <is>
          <t>RN-22 y RN-35: recoleccion al cierre de lo que pasa del cupo</t>
        </is>
      </c>
      <c r="K1744" t="inlineStr">
        <is>
          <t>Recoleccion al cierre: con el pronostico, el saldo cerraria en 129.178.183 COP, sobre el cupo de 67.850.000. Se recoge el excedente y el saldo queda en 67.850.000 COP. Equipo administrado por TDV.</t>
        </is>
      </c>
      <c r="L1744" s="26" t="n">
        <v>67850000</v>
      </c>
      <c r="M1744" s="26" t="n">
        <v>129178183</v>
      </c>
      <c r="N1744" s="27">
        <f>IF(ISNUMBER(M1744),M1744/L1744,"No aplica")</f>
        <v>1.9038788946204863</v>
      </c>
      <c r="O1744" s="25">
        <f>IF(G1744="provision",M1744+H1744,IF(G1744="recoleccion",M1744-H1744,"No aplica"))</f>
        <v>67850000</v>
      </c>
      <c r="P1744" s="26" t="n">
        <v>158307</v>
      </c>
    </row>
    <row r="1745">
      <c r="A1745" t="inlineStr">
        <is>
          <t>PRAGMA</t>
        </is>
      </c>
      <c r="B1745" t="inlineStr">
        <is>
          <t>M2</t>
        </is>
      </c>
      <c r="C1745" t="inlineStr">
        <is>
          <t>Cali</t>
        </is>
      </c>
      <c r="D1745" t="inlineStr">
        <is>
          <t>7330</t>
        </is>
      </c>
      <c r="E1745" t="inlineStr">
        <is>
          <t>TDV</t>
        </is>
      </c>
      <c r="F1745" s="23" t="n">
        <v>46270</v>
      </c>
      <c r="G1745" t="inlineStr">
        <is>
          <t>recoleccion</t>
        </is>
      </c>
      <c r="H1745" s="26" t="n">
        <v>50016380</v>
      </c>
      <c r="I1745" t="inlineStr">
        <is>
          <t>bajo</t>
        </is>
      </c>
      <c r="J1745" t="inlineStr">
        <is>
          <t>RN-22 y RN-35: recoleccion al cierre de lo que pasa del cupo</t>
        </is>
      </c>
      <c r="K1745" t="inlineStr">
        <is>
          <t>Recoleccion al cierre: con el pronostico, el saldo cerraria en 117.866.380 COP, sobre el cupo de 67.850.000. Se recoge el excedente y el saldo queda en 67.850.000 COP. Equipo administrado por TDV.</t>
        </is>
      </c>
      <c r="L1745" s="26" t="n">
        <v>67850000</v>
      </c>
      <c r="M1745" s="26" t="n">
        <v>117866380</v>
      </c>
      <c r="N1745" s="27">
        <f>IF(ISNUMBER(M1745),M1745/L1745,"No aplica")</f>
        <v>1.7371610906411201</v>
      </c>
      <c r="O1745" s="25">
        <f>IF(G1745="provision",M1745+H1745,IF(G1745="recoleccion",M1745-H1745,"No aplica"))</f>
        <v>67850000</v>
      </c>
      <c r="P1745" s="26" t="n">
        <v>158307</v>
      </c>
    </row>
    <row r="1746">
      <c r="A1746" t="inlineStr">
        <is>
          <t>PRAGMA</t>
        </is>
      </c>
      <c r="B1746" t="inlineStr">
        <is>
          <t>M2</t>
        </is>
      </c>
      <c r="C1746" t="inlineStr">
        <is>
          <t>Cali</t>
        </is>
      </c>
      <c r="D1746" t="inlineStr">
        <is>
          <t>7330</t>
        </is>
      </c>
      <c r="E1746" t="inlineStr">
        <is>
          <t>TDV</t>
        </is>
      </c>
      <c r="F1746" s="23" t="n">
        <v>46271</v>
      </c>
      <c r="G1746" t="inlineStr">
        <is>
          <t>recoleccion</t>
        </is>
      </c>
      <c r="H1746" s="26" t="n">
        <v>16401028</v>
      </c>
      <c r="I1746" t="inlineStr">
        <is>
          <t>bajo</t>
        </is>
      </c>
      <c r="J1746" t="inlineStr">
        <is>
          <t>RN-22 y RN-35: recoleccion al cierre de lo que pasa del cupo</t>
        </is>
      </c>
      <c r="K1746" t="inlineStr">
        <is>
          <t>Recoleccion al cierre: con el pronostico, el saldo cerraria en 84.251.028 COP, sobre el cupo de 67.850.000. Se recoge el excedente y el saldo queda en 67.850.000 COP. Equipo administrado por TDV.</t>
        </is>
      </c>
      <c r="L1746" s="26" t="n">
        <v>67850000</v>
      </c>
      <c r="M1746" s="26" t="n">
        <v>84251028</v>
      </c>
      <c r="N1746" s="27">
        <f>IF(ISNUMBER(M1746),M1746/L1746,"No aplica")</f>
        <v>1.2417248047162859</v>
      </c>
      <c r="O1746" s="25">
        <f>IF(G1746="provision",M1746+H1746,IF(G1746="recoleccion",M1746-H1746,"No aplica"))</f>
        <v>67850000</v>
      </c>
      <c r="P1746" s="26" t="n">
        <v>195500</v>
      </c>
    </row>
    <row r="1747">
      <c r="A1747" t="inlineStr">
        <is>
          <t>PRAGMA</t>
        </is>
      </c>
      <c r="B1747" t="inlineStr">
        <is>
          <t>M2</t>
        </is>
      </c>
      <c r="C1747" t="inlineStr">
        <is>
          <t>Cali</t>
        </is>
      </c>
      <c r="D1747" t="inlineStr">
        <is>
          <t>7330</t>
        </is>
      </c>
      <c r="E1747" t="inlineStr">
        <is>
          <t>TDV</t>
        </is>
      </c>
      <c r="F1747" s="23" t="n">
        <v>46272</v>
      </c>
      <c r="G1747" t="inlineStr">
        <is>
          <t>recoleccion</t>
        </is>
      </c>
      <c r="H1747" s="26" t="n">
        <v>87138086</v>
      </c>
      <c r="I1747" t="inlineStr">
        <is>
          <t>bajo</t>
        </is>
      </c>
      <c r="J1747" t="inlineStr">
        <is>
          <t>RN-22 y RN-35: recoleccion al cierre de lo que pasa del cupo</t>
        </is>
      </c>
      <c r="K1747" t="inlineStr">
        <is>
          <t>Recoleccion al cierre: con el pronostico, el saldo cerraria en 154.988.086 COP, sobre el cupo de 67.850.000. Se recoge el excedente y el saldo queda en 67.850.000 COP. Equipo administrado por TDV.</t>
        </is>
      </c>
      <c r="L1747" s="26" t="n">
        <v>67850000</v>
      </c>
      <c r="M1747" s="26" t="n">
        <v>154988086</v>
      </c>
      <c r="N1747" s="27">
        <f>IF(ISNUMBER(M1747),M1747/L1747,"No aplica")</f>
        <v>2.2842754016212234</v>
      </c>
      <c r="O1747" s="25">
        <f>IF(G1747="provision",M1747+H1747,IF(G1747="recoleccion",M1747-H1747,"No aplica"))</f>
        <v>67850000</v>
      </c>
      <c r="P1747" s="26" t="n">
        <v>158307</v>
      </c>
    </row>
    <row r="1748">
      <c r="A1748" t="inlineStr">
        <is>
          <t>PRAGMA</t>
        </is>
      </c>
      <c r="B1748" t="inlineStr">
        <is>
          <t>M2</t>
        </is>
      </c>
      <c r="C1748" t="inlineStr">
        <is>
          <t>Cali</t>
        </is>
      </c>
      <c r="D1748" t="inlineStr">
        <is>
          <t>7330</t>
        </is>
      </c>
      <c r="E1748" t="inlineStr">
        <is>
          <t>TDV</t>
        </is>
      </c>
      <c r="F1748" s="23" t="n">
        <v>46273</v>
      </c>
      <c r="G1748" t="inlineStr">
        <is>
          <t>recoleccion</t>
        </is>
      </c>
      <c r="H1748" s="26" t="n">
        <v>76000480</v>
      </c>
      <c r="I1748" t="inlineStr">
        <is>
          <t>bajo</t>
        </is>
      </c>
      <c r="J1748" t="inlineStr">
        <is>
          <t>RN-22 y RN-35: recoleccion al cierre de lo que pasa del cupo</t>
        </is>
      </c>
      <c r="K1748" t="inlineStr">
        <is>
          <t>Recoleccion al cierre: con el pronostico, el saldo cerraria en 143.850.480 COP, sobre el cupo de 67.850.000. Se recoge el excedente y el saldo queda en 67.850.000 COP. Equipo administrado por TDV.</t>
        </is>
      </c>
      <c r="L1748" s="26" t="n">
        <v>67850000</v>
      </c>
      <c r="M1748" s="26" t="n">
        <v>143850480</v>
      </c>
      <c r="N1748" s="27">
        <f>IF(ISNUMBER(M1748),M1748/L1748,"No aplica")</f>
        <v>2.1201249815770082</v>
      </c>
      <c r="O1748" s="25">
        <f>IF(G1748="provision",M1748+H1748,IF(G1748="recoleccion",M1748-H1748,"No aplica"))</f>
        <v>67850000</v>
      </c>
      <c r="P1748" s="26" t="n">
        <v>158307</v>
      </c>
    </row>
    <row r="1749">
      <c r="A1749" t="inlineStr">
        <is>
          <t>PRAGMA</t>
        </is>
      </c>
      <c r="B1749" t="inlineStr">
        <is>
          <t>M2</t>
        </is>
      </c>
      <c r="C1749" t="inlineStr">
        <is>
          <t>Cali</t>
        </is>
      </c>
      <c r="D1749" t="inlineStr">
        <is>
          <t>7330</t>
        </is>
      </c>
      <c r="E1749" t="inlineStr">
        <is>
          <t>TDV</t>
        </is>
      </c>
      <c r="F1749" s="23" t="n">
        <v>46274</v>
      </c>
      <c r="G1749" t="inlineStr">
        <is>
          <t>recoleccion</t>
        </is>
      </c>
      <c r="H1749" s="26" t="n">
        <v>65029767</v>
      </c>
      <c r="I1749" t="inlineStr">
        <is>
          <t>bajo</t>
        </is>
      </c>
      <c r="J1749" t="inlineStr">
        <is>
          <t>RN-22 y RN-35: recoleccion al cierre de lo que pasa del cupo</t>
        </is>
      </c>
      <c r="K1749" t="inlineStr">
        <is>
          <t>Recoleccion al cierre: con el pronostico, el saldo cerraria en 132.879.767 COP, sobre el cupo de 67.850.000. Se recoge el excedente y el saldo queda en 67.850.000 COP. Equipo administrado por TDV.</t>
        </is>
      </c>
      <c r="L1749" s="26" t="n">
        <v>67850000</v>
      </c>
      <c r="M1749" s="26" t="n">
        <v>132879767</v>
      </c>
      <c r="N1749" s="27">
        <f>IF(ISNUMBER(M1749),M1749/L1749,"No aplica")</f>
        <v>1.9584342962417096</v>
      </c>
      <c r="O1749" s="25">
        <f>IF(G1749="provision",M1749+H1749,IF(G1749="recoleccion",M1749-H1749,"No aplica"))</f>
        <v>67850000</v>
      </c>
      <c r="P1749" s="26" t="n">
        <v>158307</v>
      </c>
    </row>
    <row r="1750">
      <c r="A1750" t="inlineStr">
        <is>
          <t>PRAGMA</t>
        </is>
      </c>
      <c r="B1750" t="inlineStr">
        <is>
          <t>M2</t>
        </is>
      </c>
      <c r="C1750" t="inlineStr">
        <is>
          <t>Cali</t>
        </is>
      </c>
      <c r="D1750" t="inlineStr">
        <is>
          <t>7330</t>
        </is>
      </c>
      <c r="E1750" t="inlineStr">
        <is>
          <t>TDV</t>
        </is>
      </c>
      <c r="F1750" s="23" t="n">
        <v>46275</v>
      </c>
      <c r="G1750" t="inlineStr">
        <is>
          <t>recoleccion</t>
        </is>
      </c>
      <c r="H1750" s="26" t="n">
        <v>67388059</v>
      </c>
      <c r="I1750" t="inlineStr">
        <is>
          <t>bajo</t>
        </is>
      </c>
      <c r="J1750" t="inlineStr">
        <is>
          <t>RN-22 y RN-35: recoleccion al cierre de lo que pasa del cupo</t>
        </is>
      </c>
      <c r="K1750" t="inlineStr">
        <is>
          <t>Recoleccion al cierre: con el pronostico, el saldo cerraria en 135.238.059 COP, sobre el cupo de 67.850.000. Se recoge el excedente y el saldo queda en 67.850.000 COP. Equipo administrado por TDV.</t>
        </is>
      </c>
      <c r="L1750" s="26" t="n">
        <v>67850000</v>
      </c>
      <c r="M1750" s="26" t="n">
        <v>135238059</v>
      </c>
      <c r="N1750" s="27">
        <f>IF(ISNUMBER(M1750),M1750/L1750,"No aplica")</f>
        <v>1.993191731761238</v>
      </c>
      <c r="O1750" s="25">
        <f>IF(G1750="provision",M1750+H1750,IF(G1750="recoleccion",M1750-H1750,"No aplica"))</f>
        <v>67850000</v>
      </c>
      <c r="P1750" s="26" t="n">
        <v>158307</v>
      </c>
    </row>
    <row r="1751">
      <c r="A1751" t="inlineStr">
        <is>
          <t>PRAGMA</t>
        </is>
      </c>
      <c r="B1751" t="inlineStr">
        <is>
          <t>M2</t>
        </is>
      </c>
      <c r="C1751" t="inlineStr">
        <is>
          <t>Cali</t>
        </is>
      </c>
      <c r="D1751" t="inlineStr">
        <is>
          <t>7330</t>
        </is>
      </c>
      <c r="E1751" t="inlineStr">
        <is>
          <t>TDV</t>
        </is>
      </c>
      <c r="F1751" s="23" t="n">
        <v>46276</v>
      </c>
      <c r="G1751" t="inlineStr">
        <is>
          <t>recoleccion</t>
        </is>
      </c>
      <c r="H1751" s="26" t="n">
        <v>66560680</v>
      </c>
      <c r="I1751" t="inlineStr">
        <is>
          <t>bajo</t>
        </is>
      </c>
      <c r="J1751" t="inlineStr">
        <is>
          <t>RN-22 y RN-35: recoleccion al cierre de lo que pasa del cupo</t>
        </is>
      </c>
      <c r="K1751" t="inlineStr">
        <is>
          <t>Recoleccion al cierre: con el pronostico, el saldo cerraria en 134.410.680 COP, sobre el cupo de 67.850.000. Se recoge el excedente y el saldo queda en 67.850.000 COP. Equipo administrado por TDV.</t>
        </is>
      </c>
      <c r="L1751" s="26" t="n">
        <v>67850000</v>
      </c>
      <c r="M1751" s="26" t="n">
        <v>134410680</v>
      </c>
      <c r="N1751" s="27">
        <f>IF(ISNUMBER(M1751),M1751/L1751,"No aplica")</f>
        <v>1.9809974944731024</v>
      </c>
      <c r="O1751" s="25">
        <f>IF(G1751="provision",M1751+H1751,IF(G1751="recoleccion",M1751-H1751,"No aplica"))</f>
        <v>67850000</v>
      </c>
      <c r="P1751" s="26" t="n">
        <v>158307</v>
      </c>
    </row>
    <row r="1752">
      <c r="A1752" t="inlineStr">
        <is>
          <t>PRAGMA</t>
        </is>
      </c>
      <c r="B1752" t="inlineStr">
        <is>
          <t>M2</t>
        </is>
      </c>
      <c r="C1752" t="inlineStr">
        <is>
          <t>Cali</t>
        </is>
      </c>
      <c r="D1752" t="inlineStr">
        <is>
          <t>7330</t>
        </is>
      </c>
      <c r="E1752" t="inlineStr">
        <is>
          <t>TDV</t>
        </is>
      </c>
      <c r="F1752" s="23" t="n">
        <v>46277</v>
      </c>
      <c r="G1752" t="inlineStr">
        <is>
          <t>recoleccion</t>
        </is>
      </c>
      <c r="H1752" s="26" t="n">
        <v>52671079</v>
      </c>
      <c r="I1752" t="inlineStr">
        <is>
          <t>bajo</t>
        </is>
      </c>
      <c r="J1752" t="inlineStr">
        <is>
          <t>RN-22 y RN-35: recoleccion al cierre de lo que pasa del cupo</t>
        </is>
      </c>
      <c r="K1752" t="inlineStr">
        <is>
          <t>Recoleccion al cierre: con el pronostico, el saldo cerraria en 120.521.079 COP, sobre el cupo de 67.850.000. Se recoge el excedente y el saldo queda en 67.850.000 COP. Equipo administrado por TDV.</t>
        </is>
      </c>
      <c r="L1752" s="26" t="n">
        <v>67850000</v>
      </c>
      <c r="M1752" s="26" t="n">
        <v>120521079</v>
      </c>
      <c r="N1752" s="27">
        <f>IF(ISNUMBER(M1752),M1752/L1752,"No aplica")</f>
        <v>1.7762870891672808</v>
      </c>
      <c r="O1752" s="25">
        <f>IF(G1752="provision",M1752+H1752,IF(G1752="recoleccion",M1752-H1752,"No aplica"))</f>
        <v>67850000</v>
      </c>
      <c r="P1752" s="26" t="n">
        <v>158307</v>
      </c>
    </row>
    <row r="1753">
      <c r="A1753" t="inlineStr">
        <is>
          <t>PRAGMA</t>
        </is>
      </c>
      <c r="B1753" t="inlineStr">
        <is>
          <t>M2</t>
        </is>
      </c>
      <c r="C1753" t="inlineStr">
        <is>
          <t>Cali</t>
        </is>
      </c>
      <c r="D1753" t="inlineStr">
        <is>
          <t>7330</t>
        </is>
      </c>
      <c r="E1753" t="inlineStr">
        <is>
          <t>TDV</t>
        </is>
      </c>
      <c r="F1753" s="23" t="n">
        <v>46278</v>
      </c>
      <c r="G1753" t="inlineStr">
        <is>
          <t>recoleccion</t>
        </is>
      </c>
      <c r="H1753" s="26" t="n">
        <v>16585830</v>
      </c>
      <c r="I1753" t="inlineStr">
        <is>
          <t>bajo</t>
        </is>
      </c>
      <c r="J1753" t="inlineStr">
        <is>
          <t>RN-22 y RN-35: recoleccion al cierre de lo que pasa del cupo</t>
        </is>
      </c>
      <c r="K1753" t="inlineStr">
        <is>
          <t>Recoleccion al cierre: con el pronostico, el saldo cerraria en 84.435.830 COP, sobre el cupo de 67.850.000. Se recoge el excedente y el saldo queda en 67.850.000 COP. Equipo administrado por TDV.</t>
        </is>
      </c>
      <c r="L1753" s="26" t="n">
        <v>67850000</v>
      </c>
      <c r="M1753" s="26" t="n">
        <v>84435830</v>
      </c>
      <c r="N1753" s="27">
        <f>IF(ISNUMBER(M1753),M1753/L1753,"No aplica")</f>
        <v>1.2444484893146648</v>
      </c>
      <c r="O1753" s="25">
        <f>IF(G1753="provision",M1753+H1753,IF(G1753="recoleccion",M1753-H1753,"No aplica"))</f>
        <v>67850000</v>
      </c>
      <c r="P1753" s="26" t="n">
        <v>195500</v>
      </c>
    </row>
    <row r="1754">
      <c r="A1754" t="inlineStr">
        <is>
          <t>PRAGMA</t>
        </is>
      </c>
      <c r="B1754" t="inlineStr">
        <is>
          <t>M2</t>
        </is>
      </c>
      <c r="C1754" t="inlineStr">
        <is>
          <t>Cali</t>
        </is>
      </c>
      <c r="D1754" t="inlineStr">
        <is>
          <t>7330</t>
        </is>
      </c>
      <c r="E1754" t="inlineStr">
        <is>
          <t>TDV</t>
        </is>
      </c>
      <c r="F1754" s="23" t="n">
        <v>46279</v>
      </c>
      <c r="G1754" t="inlineStr">
        <is>
          <t>recoleccion</t>
        </is>
      </c>
      <c r="H1754" s="26" t="n">
        <v>76832067</v>
      </c>
      <c r="I1754" t="inlineStr">
        <is>
          <t>bajo</t>
        </is>
      </c>
      <c r="J1754" t="inlineStr">
        <is>
          <t>RN-22 y RN-35: recoleccion al cierre de lo que pasa del cupo</t>
        </is>
      </c>
      <c r="K1754" t="inlineStr">
        <is>
          <t>Recoleccion al cierre: con el pronostico, el saldo cerraria en 144.682.067 COP, sobre el cupo de 67.850.000. Se recoge el excedente y el saldo queda en 67.850.000 COP. Equipo administrado por TDV.</t>
        </is>
      </c>
      <c r="L1754" s="26" t="n">
        <v>67850000</v>
      </c>
      <c r="M1754" s="26" t="n">
        <v>144682067</v>
      </c>
      <c r="N1754" s="27">
        <f>IF(ISNUMBER(M1754),M1754/L1754,"No aplica")</f>
        <v>2.1323812380250553</v>
      </c>
      <c r="O1754" s="25">
        <f>IF(G1754="provision",M1754+H1754,IF(G1754="recoleccion",M1754-H1754,"No aplica"))</f>
        <v>67850000</v>
      </c>
      <c r="P1754" s="26" t="n">
        <v>158307</v>
      </c>
    </row>
    <row r="1755">
      <c r="A1755" t="inlineStr">
        <is>
          <t>PRAGMA</t>
        </is>
      </c>
      <c r="B1755" t="inlineStr">
        <is>
          <t>M2</t>
        </is>
      </c>
      <c r="C1755" t="inlineStr">
        <is>
          <t>Cali</t>
        </is>
      </c>
      <c r="D1755" t="inlineStr">
        <is>
          <t>7330</t>
        </is>
      </c>
      <c r="E1755" t="inlineStr">
        <is>
          <t>TDV</t>
        </is>
      </c>
      <c r="F1755" s="23" t="n">
        <v>46280</v>
      </c>
      <c r="G1755" t="inlineStr">
        <is>
          <t>recoleccion</t>
        </is>
      </c>
      <c r="H1755" s="26" t="n">
        <v>64078497</v>
      </c>
      <c r="I1755" t="inlineStr">
        <is>
          <t>bajo</t>
        </is>
      </c>
      <c r="J1755" t="inlineStr">
        <is>
          <t>RN-22 y RN-35: recoleccion al cierre de lo que pasa del cupo</t>
        </is>
      </c>
      <c r="K1755" t="inlineStr">
        <is>
          <t>Recoleccion al cierre: con el pronostico, el saldo cerraria en 131.928.497 COP, sobre el cupo de 67.850.000. Se recoge el excedente y el saldo queda en 67.850.000 COP. Equipo administrado por TDV.</t>
        </is>
      </c>
      <c r="L1755" s="26" t="n">
        <v>67850000</v>
      </c>
      <c r="M1755" s="26" t="n">
        <v>131928497</v>
      </c>
      <c r="N1755" s="27">
        <f>IF(ISNUMBER(M1755),M1755/L1755,"No aplica")</f>
        <v>1.944414104642594</v>
      </c>
      <c r="O1755" s="25">
        <f>IF(G1755="provision",M1755+H1755,IF(G1755="recoleccion",M1755-H1755,"No aplica"))</f>
        <v>67850000</v>
      </c>
      <c r="P1755" s="26" t="n">
        <v>158307</v>
      </c>
    </row>
    <row r="1756">
      <c r="A1756" t="inlineStr">
        <is>
          <t>PRAGMA</t>
        </is>
      </c>
      <c r="B1756" t="inlineStr">
        <is>
          <t>M2</t>
        </is>
      </c>
      <c r="C1756" t="inlineStr">
        <is>
          <t>Cali</t>
        </is>
      </c>
      <c r="D1756" t="inlineStr">
        <is>
          <t>7352</t>
        </is>
      </c>
      <c r="E1756" t="inlineStr">
        <is>
          <t>TDV</t>
        </is>
      </c>
      <c r="F1756" s="23" t="n">
        <v>46266</v>
      </c>
      <c r="G1756" t="inlineStr">
        <is>
          <t>recoleccion</t>
        </is>
      </c>
      <c r="H1756" s="26" t="n">
        <v>10415519</v>
      </c>
      <c r="I1756" t="inlineStr">
        <is>
          <t>bajo</t>
        </is>
      </c>
      <c r="J1756" t="inlineStr">
        <is>
          <t>RN-22 y RN-35: recoleccion al cierre de lo que pasa del cupo</t>
        </is>
      </c>
      <c r="K1756" t="inlineStr">
        <is>
          <t>Recoleccion al cierre: con el pronostico, el saldo cerraria en 78.265.519 COP, sobre el cupo de 67.850.000. Se recoge el excedente y el saldo queda en 67.850.000 COP. Equipo administrado por TDV.</t>
        </is>
      </c>
      <c r="L1756" s="26" t="n">
        <v>67850000</v>
      </c>
      <c r="M1756" s="26" t="n">
        <v>78265519</v>
      </c>
      <c r="N1756" s="27">
        <f>IF(ISNUMBER(M1756),M1756/L1756,"No aplica")</f>
        <v>1.1535080176860721</v>
      </c>
      <c r="O1756" s="25">
        <f>IF(G1756="provision",M1756+H1756,IF(G1756="recoleccion",M1756-H1756,"No aplica"))</f>
        <v>67850000</v>
      </c>
      <c r="P1756" s="26" t="n">
        <v>157715</v>
      </c>
    </row>
    <row r="1757">
      <c r="A1757" t="inlineStr">
        <is>
          <t>PRAGMA</t>
        </is>
      </c>
      <c r="B1757" t="inlineStr">
        <is>
          <t>M2</t>
        </is>
      </c>
      <c r="C1757" t="inlineStr">
        <is>
          <t>Cali</t>
        </is>
      </c>
      <c r="D1757" t="inlineStr">
        <is>
          <t>7352</t>
        </is>
      </c>
      <c r="E1757" t="inlineStr">
        <is>
          <t>TDV</t>
        </is>
      </c>
      <c r="F1757" s="23" t="n">
        <v>46267</v>
      </c>
      <c r="G1757" t="inlineStr">
        <is>
          <t>recoleccion</t>
        </is>
      </c>
      <c r="H1757" s="26" t="n">
        <v>14097644</v>
      </c>
      <c r="I1757" t="inlineStr">
        <is>
          <t>bajo</t>
        </is>
      </c>
      <c r="J1757" t="inlineStr">
        <is>
          <t>RN-22 y RN-35: recoleccion al cierre de lo que pasa del cupo</t>
        </is>
      </c>
      <c r="K1757" t="inlineStr">
        <is>
          <t>Recoleccion al cierre: con el pronostico, el saldo cerraria en 81.947.644 COP, sobre el cupo de 67.850.000. Se recoge el excedente y el saldo queda en 67.850.000 COP. Equipo administrado por TDV.</t>
        </is>
      </c>
      <c r="L1757" s="26" t="n">
        <v>67850000</v>
      </c>
      <c r="M1757" s="26" t="n">
        <v>81947644</v>
      </c>
      <c r="N1757" s="27">
        <f>IF(ISNUMBER(M1757),M1757/L1757,"No aplica")</f>
        <v>1.207776624907885</v>
      </c>
      <c r="O1757" s="25">
        <f>IF(G1757="provision",M1757+H1757,IF(G1757="recoleccion",M1757-H1757,"No aplica"))</f>
        <v>67850000</v>
      </c>
      <c r="P1757" s="26" t="n">
        <v>157715</v>
      </c>
    </row>
    <row r="1758">
      <c r="A1758" t="inlineStr">
        <is>
          <t>PRAGMA</t>
        </is>
      </c>
      <c r="B1758" t="inlineStr">
        <is>
          <t>M2</t>
        </is>
      </c>
      <c r="C1758" t="inlineStr">
        <is>
          <t>Cali</t>
        </is>
      </c>
      <c r="D1758" t="inlineStr">
        <is>
          <t>7352</t>
        </is>
      </c>
      <c r="E1758" t="inlineStr">
        <is>
          <t>TDV</t>
        </is>
      </c>
      <c r="F1758" s="23" t="n">
        <v>46268</v>
      </c>
      <c r="G1758" t="inlineStr">
        <is>
          <t>recoleccion</t>
        </is>
      </c>
      <c r="H1758" s="26" t="n">
        <v>16916042</v>
      </c>
      <c r="I1758" t="inlineStr">
        <is>
          <t>bajo</t>
        </is>
      </c>
      <c r="J1758" t="inlineStr">
        <is>
          <t>RN-22 y RN-35: recoleccion al cierre de lo que pasa del cupo</t>
        </is>
      </c>
      <c r="K1758" t="inlineStr">
        <is>
          <t>Recoleccion al cierre: con el pronostico, el saldo cerraria en 84.766.042 COP, sobre el cupo de 67.850.000. Se recoge el excedente y el saldo queda en 67.850.000 COP. Equipo administrado por TDV.</t>
        </is>
      </c>
      <c r="L1758" s="26" t="n">
        <v>67850000</v>
      </c>
      <c r="M1758" s="26" t="n">
        <v>84766042</v>
      </c>
      <c r="N1758" s="27">
        <f>IF(ISNUMBER(M1758),M1758/L1758,"No aplica")</f>
        <v>1.249315283714075</v>
      </c>
      <c r="O1758" s="25">
        <f>IF(G1758="provision",M1758+H1758,IF(G1758="recoleccion",M1758-H1758,"No aplica"))</f>
        <v>67850000</v>
      </c>
      <c r="P1758" s="26" t="n">
        <v>157715</v>
      </c>
    </row>
    <row r="1759">
      <c r="A1759" t="inlineStr">
        <is>
          <t>PRAGMA</t>
        </is>
      </c>
      <c r="B1759" t="inlineStr">
        <is>
          <t>M2</t>
        </is>
      </c>
      <c r="C1759" t="inlineStr">
        <is>
          <t>Cali</t>
        </is>
      </c>
      <c r="D1759" t="inlineStr">
        <is>
          <t>7352</t>
        </is>
      </c>
      <c r="E1759" t="inlineStr">
        <is>
          <t>TDV</t>
        </is>
      </c>
      <c r="F1759" s="23" t="n">
        <v>46269</v>
      </c>
      <c r="G1759" t="inlineStr">
        <is>
          <t>recoleccion</t>
        </is>
      </c>
      <c r="H1759" s="26" t="n">
        <v>16249398</v>
      </c>
      <c r="I1759" t="inlineStr">
        <is>
          <t>bajo</t>
        </is>
      </c>
      <c r="J1759" t="inlineStr">
        <is>
          <t>RN-22 y RN-35: recoleccion al cierre de lo que pasa del cupo</t>
        </is>
      </c>
      <c r="K1759" t="inlineStr">
        <is>
          <t>Recoleccion al cierre: con el pronostico, el saldo cerraria en 84.099.398 COP, sobre el cupo de 67.850.000. Se recoge el excedente y el saldo queda en 67.850.000 COP. Equipo administrado por TDV.</t>
        </is>
      </c>
      <c r="L1759" s="26" t="n">
        <v>67850000</v>
      </c>
      <c r="M1759" s="26" t="n">
        <v>84099398</v>
      </c>
      <c r="N1759" s="27">
        <f>IF(ISNUMBER(M1759),M1759/L1759,"No aplica")</f>
        <v>1.2394900221075902</v>
      </c>
      <c r="O1759" s="25">
        <f>IF(G1759="provision",M1759+H1759,IF(G1759="recoleccion",M1759-H1759,"No aplica"))</f>
        <v>67850000</v>
      </c>
      <c r="P1759" s="26" t="n">
        <v>157715</v>
      </c>
    </row>
    <row r="1760">
      <c r="A1760" t="inlineStr">
        <is>
          <t>PRAGMA</t>
        </is>
      </c>
      <c r="B1760" t="inlineStr">
        <is>
          <t>M2</t>
        </is>
      </c>
      <c r="C1760" t="inlineStr">
        <is>
          <t>Cali</t>
        </is>
      </c>
      <c r="D1760" t="inlineStr">
        <is>
          <t>7352</t>
        </is>
      </c>
      <c r="E1760" t="inlineStr">
        <is>
          <t>TDV</t>
        </is>
      </c>
      <c r="F1760" s="23" t="n">
        <v>46270</v>
      </c>
      <c r="G1760" t="inlineStr">
        <is>
          <t>recoleccion</t>
        </is>
      </c>
      <c r="H1760" s="26" t="n">
        <v>7905071</v>
      </c>
      <c r="I1760" t="inlineStr">
        <is>
          <t>bajo</t>
        </is>
      </c>
      <c r="J1760" t="inlineStr">
        <is>
          <t>RN-22 y RN-35: recoleccion al cierre de lo que pasa del cupo</t>
        </is>
      </c>
      <c r="K1760" t="inlineStr">
        <is>
          <t>Recoleccion al cierre: con el pronostico, el saldo cerraria en 75.755.071 COP, sobre el cupo de 67.850.000. Se recoge el excedente y el saldo queda en 67.850.000 COP. Equipo administrado por TDV.</t>
        </is>
      </c>
      <c r="L1760" s="26" t="n">
        <v>67850000</v>
      </c>
      <c r="M1760" s="26" t="n">
        <v>75755071</v>
      </c>
      <c r="N1760" s="27">
        <f>IF(ISNUMBER(M1760),M1760/L1760,"No aplica")</f>
        <v>1.1165080471628592</v>
      </c>
      <c r="O1760" s="25">
        <f>IF(G1760="provision",M1760+H1760,IF(G1760="recoleccion",M1760-H1760,"No aplica"))</f>
        <v>67850000</v>
      </c>
      <c r="P1760" s="26" t="n">
        <v>157715</v>
      </c>
    </row>
    <row r="1761">
      <c r="A1761" t="inlineStr">
        <is>
          <t>PRAGMA</t>
        </is>
      </c>
      <c r="B1761" t="inlineStr">
        <is>
          <t>M2</t>
        </is>
      </c>
      <c r="C1761" t="inlineStr">
        <is>
          <t>Cali</t>
        </is>
      </c>
      <c r="D1761" t="inlineStr">
        <is>
          <t>7352</t>
        </is>
      </c>
      <c r="E1761" t="inlineStr">
        <is>
          <t>TDV</t>
        </is>
      </c>
      <c r="F1761" s="23" t="n">
        <v>46272</v>
      </c>
      <c r="G1761" t="inlineStr">
        <is>
          <t>recoleccion</t>
        </is>
      </c>
      <c r="H1761" s="26" t="n">
        <v>31581547</v>
      </c>
      <c r="I1761" t="inlineStr">
        <is>
          <t>bajo</t>
        </is>
      </c>
      <c r="J1761" t="inlineStr">
        <is>
          <t>RN-22 y RN-35: recoleccion al cierre de lo que pasa del cupo</t>
        </is>
      </c>
      <c r="K1761" t="inlineStr">
        <is>
          <t>Recoleccion al cierre: con el pronostico, el saldo cerraria en 99.431.547 COP, sobre el cupo de 67.850.000. Se recoge el excedente y el saldo queda en 67.850.000 COP. Equipo administrado por TDV.</t>
        </is>
      </c>
      <c r="L1761" s="26" t="n">
        <v>67850000</v>
      </c>
      <c r="M1761" s="26" t="n">
        <v>99431547</v>
      </c>
      <c r="N1761" s="27">
        <f>IF(ISNUMBER(M1761),M1761/L1761,"No aplica")</f>
        <v>1.4654612675018424</v>
      </c>
      <c r="O1761" s="25">
        <f>IF(G1761="provision",M1761+H1761,IF(G1761="recoleccion",M1761-H1761,"No aplica"))</f>
        <v>67850000</v>
      </c>
      <c r="P1761" s="26" t="n">
        <v>157715</v>
      </c>
    </row>
    <row r="1762">
      <c r="A1762" t="inlineStr">
        <is>
          <t>PRAGMA</t>
        </is>
      </c>
      <c r="B1762" t="inlineStr">
        <is>
          <t>M2</t>
        </is>
      </c>
      <c r="C1762" t="inlineStr">
        <is>
          <t>Cali</t>
        </is>
      </c>
      <c r="D1762" t="inlineStr">
        <is>
          <t>7352</t>
        </is>
      </c>
      <c r="E1762" t="inlineStr">
        <is>
          <t>TDV</t>
        </is>
      </c>
      <c r="F1762" s="23" t="n">
        <v>46273</v>
      </c>
      <c r="G1762" t="inlineStr">
        <is>
          <t>recoleccion</t>
        </is>
      </c>
      <c r="H1762" s="26" t="n">
        <v>27431316</v>
      </c>
      <c r="I1762" t="inlineStr">
        <is>
          <t>bajo</t>
        </is>
      </c>
      <c r="J1762" t="inlineStr">
        <is>
          <t>RN-22 y RN-35: recoleccion al cierre de lo que pasa del cupo</t>
        </is>
      </c>
      <c r="K1762" t="inlineStr">
        <is>
          <t>Recoleccion al cierre: con el pronostico, el saldo cerraria en 95.281.316 COP, sobre el cupo de 67.850.000. Se recoge el excedente y el saldo queda en 67.850.000 COP. Equipo administrado por TDV.</t>
        </is>
      </c>
      <c r="L1762" s="26" t="n">
        <v>67850000</v>
      </c>
      <c r="M1762" s="26" t="n">
        <v>95281316</v>
      </c>
      <c r="N1762" s="27">
        <f>IF(ISNUMBER(M1762),M1762/L1762,"No aplica")</f>
        <v>1.4042935298452468</v>
      </c>
      <c r="O1762" s="25">
        <f>IF(G1762="provision",M1762+H1762,IF(G1762="recoleccion",M1762-H1762,"No aplica"))</f>
        <v>67850000</v>
      </c>
      <c r="P1762" s="26" t="n">
        <v>157715</v>
      </c>
    </row>
    <row r="1763">
      <c r="A1763" t="inlineStr">
        <is>
          <t>PRAGMA</t>
        </is>
      </c>
      <c r="B1763" t="inlineStr">
        <is>
          <t>M2</t>
        </is>
      </c>
      <c r="C1763" t="inlineStr">
        <is>
          <t>Cali</t>
        </is>
      </c>
      <c r="D1763" t="inlineStr">
        <is>
          <t>7352</t>
        </is>
      </c>
      <c r="E1763" t="inlineStr">
        <is>
          <t>TDV</t>
        </is>
      </c>
      <c r="F1763" s="23" t="n">
        <v>46274</v>
      </c>
      <c r="G1763" t="inlineStr">
        <is>
          <t>recoleccion</t>
        </is>
      </c>
      <c r="H1763" s="26" t="n">
        <v>20724887</v>
      </c>
      <c r="I1763" t="inlineStr">
        <is>
          <t>bajo</t>
        </is>
      </c>
      <c r="J1763" t="inlineStr">
        <is>
          <t>RN-22 y RN-35: recoleccion al cierre de lo que pasa del cupo</t>
        </is>
      </c>
      <c r="K1763" t="inlineStr">
        <is>
          <t>Recoleccion al cierre: con el pronostico, el saldo cerraria en 88.574.887 COP, sobre el cupo de 67.850.000. Se recoge el excedente y el saldo queda en 67.850.000 COP. Equipo administrado por TDV.</t>
        </is>
      </c>
      <c r="L1763" s="26" t="n">
        <v>67850000</v>
      </c>
      <c r="M1763" s="26" t="n">
        <v>88574887</v>
      </c>
      <c r="N1763" s="27">
        <f>IF(ISNUMBER(M1763),M1763/L1763,"No aplica")</f>
        <v>1.3054515401621223</v>
      </c>
      <c r="O1763" s="25">
        <f>IF(G1763="provision",M1763+H1763,IF(G1763="recoleccion",M1763-H1763,"No aplica"))</f>
        <v>67850000</v>
      </c>
      <c r="P1763" s="26" t="n">
        <v>157715</v>
      </c>
    </row>
    <row r="1764">
      <c r="A1764" t="inlineStr">
        <is>
          <t>PRAGMA</t>
        </is>
      </c>
      <c r="B1764" t="inlineStr">
        <is>
          <t>M2</t>
        </is>
      </c>
      <c r="C1764" t="inlineStr">
        <is>
          <t>Cali</t>
        </is>
      </c>
      <c r="D1764" t="inlineStr">
        <is>
          <t>7352</t>
        </is>
      </c>
      <c r="E1764" t="inlineStr">
        <is>
          <t>TDV</t>
        </is>
      </c>
      <c r="F1764" s="23" t="n">
        <v>46275</v>
      </c>
      <c r="G1764" t="inlineStr">
        <is>
          <t>recoleccion</t>
        </is>
      </c>
      <c r="H1764" s="26" t="n">
        <v>22803309</v>
      </c>
      <c r="I1764" t="inlineStr">
        <is>
          <t>bajo</t>
        </is>
      </c>
      <c r="J1764" t="inlineStr">
        <is>
          <t>RN-22 y RN-35: recoleccion al cierre de lo que pasa del cupo</t>
        </is>
      </c>
      <c r="K1764" t="inlineStr">
        <is>
          <t>Recoleccion al cierre: con el pronostico, el saldo cerraria en 90.653.309 COP, sobre el cupo de 67.850.000. Se recoge el excedente y el saldo queda en 67.850.000 COP. Equipo administrado por TDV.</t>
        </is>
      </c>
      <c r="L1764" s="26" t="n">
        <v>67850000</v>
      </c>
      <c r="M1764" s="26" t="n">
        <v>90653309</v>
      </c>
      <c r="N1764" s="27">
        <f>IF(ISNUMBER(M1764),M1764/L1764,"No aplica")</f>
        <v>1.3360841414885778</v>
      </c>
      <c r="O1764" s="25">
        <f>IF(G1764="provision",M1764+H1764,IF(G1764="recoleccion",M1764-H1764,"No aplica"))</f>
        <v>67850000</v>
      </c>
      <c r="P1764" s="26" t="n">
        <v>157715</v>
      </c>
    </row>
    <row r="1765">
      <c r="A1765" t="inlineStr">
        <is>
          <t>PRAGMA</t>
        </is>
      </c>
      <c r="B1765" t="inlineStr">
        <is>
          <t>M2</t>
        </is>
      </c>
      <c r="C1765" t="inlineStr">
        <is>
          <t>Cali</t>
        </is>
      </c>
      <c r="D1765" t="inlineStr">
        <is>
          <t>7352</t>
        </is>
      </c>
      <c r="E1765" t="inlineStr">
        <is>
          <t>TDV</t>
        </is>
      </c>
      <c r="F1765" s="23" t="n">
        <v>46276</v>
      </c>
      <c r="G1765" t="inlineStr">
        <is>
          <t>recoleccion</t>
        </is>
      </c>
      <c r="H1765" s="26" t="n">
        <v>18190482</v>
      </c>
      <c r="I1765" t="inlineStr">
        <is>
          <t>bajo</t>
        </is>
      </c>
      <c r="J1765" t="inlineStr">
        <is>
          <t>RN-22 y RN-35: recoleccion al cierre de lo que pasa del cupo</t>
        </is>
      </c>
      <c r="K1765" t="inlineStr">
        <is>
          <t>Recoleccion al cierre: con el pronostico, el saldo cerraria en 86.040.482 COP, sobre el cupo de 67.850.000. Se recoge el excedente y el saldo queda en 67.850.000 COP. Equipo administrado por TDV.</t>
        </is>
      </c>
      <c r="L1765" s="26" t="n">
        <v>67850000</v>
      </c>
      <c r="M1765" s="26" t="n">
        <v>86040482</v>
      </c>
      <c r="N1765" s="27">
        <f>IF(ISNUMBER(M1765),M1765/L1765,"No aplica")</f>
        <v>1.268098481945468</v>
      </c>
      <c r="O1765" s="25">
        <f>IF(G1765="provision",M1765+H1765,IF(G1765="recoleccion",M1765-H1765,"No aplica"))</f>
        <v>67850000</v>
      </c>
      <c r="P1765" s="26" t="n">
        <v>157715</v>
      </c>
    </row>
    <row r="1766">
      <c r="A1766" t="inlineStr">
        <is>
          <t>PRAGMA</t>
        </is>
      </c>
      <c r="B1766" t="inlineStr">
        <is>
          <t>M2</t>
        </is>
      </c>
      <c r="C1766" t="inlineStr">
        <is>
          <t>Cali</t>
        </is>
      </c>
      <c r="D1766" t="inlineStr">
        <is>
          <t>7352</t>
        </is>
      </c>
      <c r="E1766" t="inlineStr">
        <is>
          <t>TDV</t>
        </is>
      </c>
      <c r="F1766" s="23" t="n">
        <v>46277</v>
      </c>
      <c r="G1766" t="inlineStr">
        <is>
          <t>recoleccion</t>
        </is>
      </c>
      <c r="H1766" s="26" t="n">
        <v>8365053</v>
      </c>
      <c r="I1766" t="inlineStr">
        <is>
          <t>bajo</t>
        </is>
      </c>
      <c r="J1766" t="inlineStr">
        <is>
          <t>RN-22 y RN-35: recoleccion al cierre de lo que pasa del cupo</t>
        </is>
      </c>
      <c r="K1766" t="inlineStr">
        <is>
          <t>Recoleccion al cierre: con el pronostico, el saldo cerraria en 76.215.053 COP, sobre el cupo de 67.850.000. Se recoge el excedente y el saldo queda en 67.850.000 COP. Equipo administrado por TDV.</t>
        </is>
      </c>
      <c r="L1766" s="26" t="n">
        <v>67850000</v>
      </c>
      <c r="M1766" s="26" t="n">
        <v>76215053</v>
      </c>
      <c r="N1766" s="27">
        <f>IF(ISNUMBER(M1766),M1766/L1766,"No aplica")</f>
        <v>1.1232874428887252</v>
      </c>
      <c r="O1766" s="25">
        <f>IF(G1766="provision",M1766+H1766,IF(G1766="recoleccion",M1766-H1766,"No aplica"))</f>
        <v>67850000</v>
      </c>
      <c r="P1766" s="26" t="n">
        <v>157715</v>
      </c>
    </row>
    <row r="1767">
      <c r="A1767" t="inlineStr">
        <is>
          <t>PRAGMA</t>
        </is>
      </c>
      <c r="B1767" t="inlineStr">
        <is>
          <t>M2</t>
        </is>
      </c>
      <c r="C1767" t="inlineStr">
        <is>
          <t>Cali</t>
        </is>
      </c>
      <c r="D1767" t="inlineStr">
        <is>
          <t>7352</t>
        </is>
      </c>
      <c r="E1767" t="inlineStr">
        <is>
          <t>TDV</t>
        </is>
      </c>
      <c r="F1767" s="23" t="n">
        <v>46279</v>
      </c>
      <c r="G1767" t="inlineStr">
        <is>
          <t>recoleccion</t>
        </is>
      </c>
      <c r="H1767" s="26" t="n">
        <v>29908832</v>
      </c>
      <c r="I1767" t="inlineStr">
        <is>
          <t>bajo</t>
        </is>
      </c>
      <c r="J1767" t="inlineStr">
        <is>
          <t>RN-22 y RN-35: recoleccion al cierre de lo que pasa del cupo</t>
        </is>
      </c>
      <c r="K1767" t="inlineStr">
        <is>
          <t>Recoleccion al cierre: con el pronostico, el saldo cerraria en 97.758.832 COP, sobre el cupo de 67.850.000. Se recoge el excedente y el saldo queda en 67.850.000 COP. Equipo administrado por TDV.</t>
        </is>
      </c>
      <c r="L1767" s="26" t="n">
        <v>67850000</v>
      </c>
      <c r="M1767" s="26" t="n">
        <v>97758832</v>
      </c>
      <c r="N1767" s="27">
        <f>IF(ISNUMBER(M1767),M1767/L1767,"No aplica")</f>
        <v>1.4408081355932203</v>
      </c>
      <c r="O1767" s="25">
        <f>IF(G1767="provision",M1767+H1767,IF(G1767="recoleccion",M1767-H1767,"No aplica"))</f>
        <v>67850000</v>
      </c>
      <c r="P1767" s="26" t="n">
        <v>157715</v>
      </c>
    </row>
    <row r="1768">
      <c r="A1768" t="inlineStr">
        <is>
          <t>PRAGMA</t>
        </is>
      </c>
      <c r="B1768" t="inlineStr">
        <is>
          <t>M2</t>
        </is>
      </c>
      <c r="C1768" t="inlineStr">
        <is>
          <t>Cali</t>
        </is>
      </c>
      <c r="D1768" t="inlineStr">
        <is>
          <t>7352</t>
        </is>
      </c>
      <c r="E1768" t="inlineStr">
        <is>
          <t>TDV</t>
        </is>
      </c>
      <c r="F1768" s="23" t="n">
        <v>46280</v>
      </c>
      <c r="G1768" t="inlineStr">
        <is>
          <t>recoleccion</t>
        </is>
      </c>
      <c r="H1768" s="26" t="n">
        <v>18636345</v>
      </c>
      <c r="I1768" t="inlineStr">
        <is>
          <t>bajo</t>
        </is>
      </c>
      <c r="J1768" t="inlineStr">
        <is>
          <t>RN-22 y RN-35: recoleccion al cierre de lo que pasa del cupo</t>
        </is>
      </c>
      <c r="K1768" t="inlineStr">
        <is>
          <t>Recoleccion al cierre: con el pronostico, el saldo cerraria en 86.486.345 COP, sobre el cupo de 67.850.000. Se recoge el excedente y el saldo queda en 67.850.000 COP. Equipo administrado por TDV.</t>
        </is>
      </c>
      <c r="L1768" s="26" t="n">
        <v>67850000</v>
      </c>
      <c r="M1768" s="26" t="n">
        <v>86486345</v>
      </c>
      <c r="N1768" s="27">
        <f>IF(ISNUMBER(M1768),M1768/L1768,"No aplica")</f>
        <v>1.274669786293294</v>
      </c>
      <c r="O1768" s="25">
        <f>IF(G1768="provision",M1768+H1768,IF(G1768="recoleccion",M1768-H1768,"No aplica"))</f>
        <v>67850000</v>
      </c>
      <c r="P1768" s="26" t="n">
        <v>157715</v>
      </c>
    </row>
    <row r="1769">
      <c r="A1769" t="inlineStr">
        <is>
          <t>PRAGMA</t>
        </is>
      </c>
      <c r="B1769" t="inlineStr">
        <is>
          <t>M2</t>
        </is>
      </c>
      <c r="C1769" t="inlineStr">
        <is>
          <t>Cali</t>
        </is>
      </c>
      <c r="D1769" t="inlineStr">
        <is>
          <t>7368</t>
        </is>
      </c>
      <c r="E1769" t="inlineStr">
        <is>
          <t>Sucursal</t>
        </is>
      </c>
      <c r="F1769" s="23" t="n">
        <v>46266</v>
      </c>
      <c r="G1769" t="inlineStr">
        <is>
          <t>recoleccion</t>
        </is>
      </c>
      <c r="H1769" s="26" t="n">
        <v>208265695</v>
      </c>
      <c r="I1769" t="inlineStr">
        <is>
          <t>bajo</t>
        </is>
      </c>
      <c r="J1769" t="inlineStr">
        <is>
          <t>RN-22 y RN-35: recoleccion al cierre de lo que pasa del cupo</t>
        </is>
      </c>
      <c r="K1769" t="inlineStr">
        <is>
          <t>Recoleccion al cierre: con el pronostico, el saldo cerraria en 343.615.695 COP, sobre el cupo de 135.350.000. Se recoge el excedente y el saldo queda en 135.350.000 COP. Equipo administrado por Sucursal. Sin tarifa TDV (administrado por la sucursal): costo 0 declarado.</t>
        </is>
      </c>
      <c r="L1769" s="26" t="n">
        <v>135350000</v>
      </c>
      <c r="M1769" s="26" t="n">
        <v>343615695</v>
      </c>
      <c r="N1769" s="27">
        <f>IF(ISNUMBER(M1769),M1769/L1769,"No aplica")</f>
        <v>2.5387195788695975</v>
      </c>
      <c r="O1769" s="25">
        <f>IF(G1769="provision",M1769+H1769,IF(G1769="recoleccion",M1769-H1769,"No aplica"))</f>
        <v>135350000</v>
      </c>
      <c r="P1769" s="26" t="n">
        <v>0</v>
      </c>
    </row>
    <row r="1770">
      <c r="A1770" t="inlineStr">
        <is>
          <t>PRAGMA</t>
        </is>
      </c>
      <c r="B1770" t="inlineStr">
        <is>
          <t>M2</t>
        </is>
      </c>
      <c r="C1770" t="inlineStr">
        <is>
          <t>Cali</t>
        </is>
      </c>
      <c r="D1770" t="inlineStr">
        <is>
          <t>7368</t>
        </is>
      </c>
      <c r="E1770" t="inlineStr">
        <is>
          <t>Sucursal</t>
        </is>
      </c>
      <c r="F1770" s="23" t="n">
        <v>46267</v>
      </c>
      <c r="G1770" t="inlineStr">
        <is>
          <t>recoleccion</t>
        </is>
      </c>
      <c r="H1770" s="26" t="n">
        <v>185600125</v>
      </c>
      <c r="I1770" t="inlineStr">
        <is>
          <t>bajo</t>
        </is>
      </c>
      <c r="J1770" t="inlineStr">
        <is>
          <t>RN-22 y RN-35: recoleccion al cierre de lo que pasa del cupo</t>
        </is>
      </c>
      <c r="K1770" t="inlineStr">
        <is>
          <t>Recoleccion al cierre: con el pronostico, el saldo cerraria en 320.950.125 COP, sobre el cupo de 135.350.000. Se recoge el excedente y el saldo queda en 135.350.000 COP. Equipo administrado por Sucursal. Sin tarifa TDV (administrado por la sucursal): costo 0 declarado.</t>
        </is>
      </c>
      <c r="L1770" s="26" t="n">
        <v>135350000</v>
      </c>
      <c r="M1770" s="26" t="n">
        <v>320950125</v>
      </c>
      <c r="N1770" s="27">
        <f>IF(ISNUMBER(M1770),M1770/L1770,"No aplica")</f>
        <v>2.371260620613225</v>
      </c>
      <c r="O1770" s="25">
        <f>IF(G1770="provision",M1770+H1770,IF(G1770="recoleccion",M1770-H1770,"No aplica"))</f>
        <v>135350000</v>
      </c>
      <c r="P1770" s="26" t="n">
        <v>0</v>
      </c>
    </row>
    <row r="1771">
      <c r="A1771" t="inlineStr">
        <is>
          <t>PRAGMA</t>
        </is>
      </c>
      <c r="B1771" t="inlineStr">
        <is>
          <t>M2</t>
        </is>
      </c>
      <c r="C1771" t="inlineStr">
        <is>
          <t>Cali</t>
        </is>
      </c>
      <c r="D1771" t="inlineStr">
        <is>
          <t>7368</t>
        </is>
      </c>
      <c r="E1771" t="inlineStr">
        <is>
          <t>Sucursal</t>
        </is>
      </c>
      <c r="F1771" s="23" t="n">
        <v>46268</v>
      </c>
      <c r="G1771" t="inlineStr">
        <is>
          <t>recoleccion</t>
        </is>
      </c>
      <c r="H1771" s="26" t="n">
        <v>182040981</v>
      </c>
      <c r="I1771" t="inlineStr">
        <is>
          <t>bajo</t>
        </is>
      </c>
      <c r="J1771" t="inlineStr">
        <is>
          <t>RN-22 y RN-35: recoleccion al cierre de lo que pasa del cupo</t>
        </is>
      </c>
      <c r="K1771" t="inlineStr">
        <is>
          <t>Recoleccion al cierre: con el pronostico, el saldo cerraria en 317.390.981 COP, sobre el cupo de 135.350.000. Se recoge el excedente y el saldo queda en 135.350.000 COP. Equipo administrado por Sucursal. Sin tarifa TDV (administrado por la sucursal): costo 0 declarado.</t>
        </is>
      </c>
      <c r="L1771" s="26" t="n">
        <v>135350000</v>
      </c>
      <c r="M1771" s="26" t="n">
        <v>317390981</v>
      </c>
      <c r="N1771" s="27">
        <f>IF(ISNUMBER(M1771),M1771/L1771,"No aplica")</f>
        <v>2.3449647654229775</v>
      </c>
      <c r="O1771" s="25">
        <f>IF(G1771="provision",M1771+H1771,IF(G1771="recoleccion",M1771-H1771,"No aplica"))</f>
        <v>135350000</v>
      </c>
      <c r="P1771" s="26" t="n">
        <v>0</v>
      </c>
    </row>
    <row r="1772">
      <c r="A1772" t="inlineStr">
        <is>
          <t>PRAGMA</t>
        </is>
      </c>
      <c r="B1772" t="inlineStr">
        <is>
          <t>M2</t>
        </is>
      </c>
      <c r="C1772" t="inlineStr">
        <is>
          <t>Cali</t>
        </is>
      </c>
      <c r="D1772" t="inlineStr">
        <is>
          <t>7368</t>
        </is>
      </c>
      <c r="E1772" t="inlineStr">
        <is>
          <t>Sucursal</t>
        </is>
      </c>
      <c r="F1772" s="23" t="n">
        <v>46269</v>
      </c>
      <c r="G1772" t="inlineStr">
        <is>
          <t>recoleccion</t>
        </is>
      </c>
      <c r="H1772" s="26" t="n">
        <v>205917401</v>
      </c>
      <c r="I1772" t="inlineStr">
        <is>
          <t>bajo</t>
        </is>
      </c>
      <c r="J1772" t="inlineStr">
        <is>
          <t>RN-22 y RN-35: recoleccion al cierre de lo que pasa del cupo</t>
        </is>
      </c>
      <c r="K1772" t="inlineStr">
        <is>
          <t>Recoleccion al cierre: con el pronostico, el saldo cerraria en 341.267.401 COP, sobre el cupo de 135.350.000. Se recoge el excedente y el saldo queda en 135.350.000 COP. Equipo administrado por Sucursal. Sin tarifa TDV (administrado por la sucursal): costo 0 declarado.</t>
        </is>
      </c>
      <c r="L1772" s="26" t="n">
        <v>135350000</v>
      </c>
      <c r="M1772" s="26" t="n">
        <v>341267401</v>
      </c>
      <c r="N1772" s="27">
        <f>IF(ISNUMBER(M1772),M1772/L1772,"No aplica")</f>
        <v>2.521369789434799</v>
      </c>
      <c r="O1772" s="25">
        <f>IF(G1772="provision",M1772+H1772,IF(G1772="recoleccion",M1772-H1772,"No aplica"))</f>
        <v>135350000</v>
      </c>
      <c r="P1772" s="26" t="n">
        <v>0</v>
      </c>
    </row>
    <row r="1773">
      <c r="A1773" t="inlineStr">
        <is>
          <t>PRAGMA</t>
        </is>
      </c>
      <c r="B1773" t="inlineStr">
        <is>
          <t>M2</t>
        </is>
      </c>
      <c r="C1773" t="inlineStr">
        <is>
          <t>Cali</t>
        </is>
      </c>
      <c r="D1773" t="inlineStr">
        <is>
          <t>7368</t>
        </is>
      </c>
      <c r="E1773" t="inlineStr">
        <is>
          <t>Sucursal</t>
        </is>
      </c>
      <c r="F1773" s="23" t="n">
        <v>46270</v>
      </c>
      <c r="G1773" t="inlineStr">
        <is>
          <t>recoleccion</t>
        </is>
      </c>
      <c r="H1773" s="26" t="n">
        <v>182889320</v>
      </c>
      <c r="I1773" t="inlineStr">
        <is>
          <t>bajo</t>
        </is>
      </c>
      <c r="J1773" t="inlineStr">
        <is>
          <t>RN-22 y RN-35: recoleccion al cierre de lo que pasa del cupo</t>
        </is>
      </c>
      <c r="K1773" t="inlineStr">
        <is>
          <t>Recoleccion al cierre: con el pronostico, el saldo cerraria en 318.239.320 COP, sobre el cupo de 135.350.000. Se recoge el excedente y el saldo queda en 135.350.000 COP. Equipo administrado por Sucursal. Sin tarifa TDV (administrado por la sucursal): costo 0 declarado.</t>
        </is>
      </c>
      <c r="L1773" s="26" t="n">
        <v>135350000</v>
      </c>
      <c r="M1773" s="26" t="n">
        <v>318239320</v>
      </c>
      <c r="N1773" s="27">
        <f>IF(ISNUMBER(M1773),M1773/L1773,"No aplica")</f>
        <v>2.351232508311784</v>
      </c>
      <c r="O1773" s="25">
        <f>IF(G1773="provision",M1773+H1773,IF(G1773="recoleccion",M1773-H1773,"No aplica"))</f>
        <v>135350000</v>
      </c>
      <c r="P1773" s="26" t="n">
        <v>0</v>
      </c>
    </row>
    <row r="1774">
      <c r="A1774" t="inlineStr">
        <is>
          <t>PRAGMA</t>
        </is>
      </c>
      <c r="B1774" t="inlineStr">
        <is>
          <t>M2</t>
        </is>
      </c>
      <c r="C1774" t="inlineStr">
        <is>
          <t>Cali</t>
        </is>
      </c>
      <c r="D1774" t="inlineStr">
        <is>
          <t>7368</t>
        </is>
      </c>
      <c r="E1774" t="inlineStr">
        <is>
          <t>Sucursal</t>
        </is>
      </c>
      <c r="F1774" s="23" t="n">
        <v>46271</v>
      </c>
      <c r="G1774" t="inlineStr">
        <is>
          <t>recoleccion</t>
        </is>
      </c>
      <c r="H1774" s="26" t="n">
        <v>109555004</v>
      </c>
      <c r="I1774" t="inlineStr">
        <is>
          <t>bajo</t>
        </is>
      </c>
      <c r="J1774" t="inlineStr">
        <is>
          <t>RN-22 y RN-35: recoleccion al cierre de lo que pasa del cupo</t>
        </is>
      </c>
      <c r="K1774" t="inlineStr">
        <is>
          <t>Recoleccion al cierre: con el pronostico, el saldo cerraria en 244.905.004 COP, sobre el cupo de 135.350.000. Se recoge el excedente y el saldo queda en 135.350.000 COP. Equipo administrado por Sucursal. Sin tarifa TDV (administrado por la sucursal): costo 0 declarado.</t>
        </is>
      </c>
      <c r="L1774" s="26" t="n">
        <v>135350000</v>
      </c>
      <c r="M1774" s="26" t="n">
        <v>244905004</v>
      </c>
      <c r="N1774" s="27">
        <f>IF(ISNUMBER(M1774),M1774/L1774,"No aplica")</f>
        <v>1.8094200517177688</v>
      </c>
      <c r="O1774" s="25">
        <f>IF(G1774="provision",M1774+H1774,IF(G1774="recoleccion",M1774-H1774,"No aplica"))</f>
        <v>135350000</v>
      </c>
      <c r="P1774" s="26" t="n">
        <v>0</v>
      </c>
    </row>
    <row r="1775">
      <c r="A1775" t="inlineStr">
        <is>
          <t>PRAGMA</t>
        </is>
      </c>
      <c r="B1775" t="inlineStr">
        <is>
          <t>M2</t>
        </is>
      </c>
      <c r="C1775" t="inlineStr">
        <is>
          <t>Cali</t>
        </is>
      </c>
      <c r="D1775" t="inlineStr">
        <is>
          <t>7368</t>
        </is>
      </c>
      <c r="E1775" t="inlineStr">
        <is>
          <t>Sucursal</t>
        </is>
      </c>
      <c r="F1775" s="23" t="n">
        <v>46272</v>
      </c>
      <c r="G1775" t="inlineStr">
        <is>
          <t>recoleccion</t>
        </is>
      </c>
      <c r="H1775" s="26" t="n">
        <v>220143277</v>
      </c>
      <c r="I1775" t="inlineStr">
        <is>
          <t>bajo</t>
        </is>
      </c>
      <c r="J1775" t="inlineStr">
        <is>
          <t>RN-22 y RN-35: recoleccion al cierre de lo que pasa del cupo</t>
        </is>
      </c>
      <c r="K1775" t="inlineStr">
        <is>
          <t>Recoleccion al cierre: con el pronostico, el saldo cerraria en 355.493.277 COP, sobre el cupo de 135.350.000. Se recoge el excedente y el saldo queda en 135.350.000 COP. Equipo administrado por Sucursal. Sin tarifa TDV (administrado por la sucursal): costo 0 declarado.</t>
        </is>
      </c>
      <c r="L1775" s="26" t="n">
        <v>135350000</v>
      </c>
      <c r="M1775" s="26" t="n">
        <v>355493277</v>
      </c>
      <c r="N1775" s="27">
        <f>IF(ISNUMBER(M1775),M1775/L1775,"No aplica")</f>
        <v>2.6264741558921316</v>
      </c>
      <c r="O1775" s="25">
        <f>IF(G1775="provision",M1775+H1775,IF(G1775="recoleccion",M1775-H1775,"No aplica"))</f>
        <v>135350000</v>
      </c>
      <c r="P1775" s="26" t="n">
        <v>0</v>
      </c>
    </row>
    <row r="1776">
      <c r="A1776" t="inlineStr">
        <is>
          <t>PRAGMA</t>
        </is>
      </c>
      <c r="B1776" t="inlineStr">
        <is>
          <t>M2</t>
        </is>
      </c>
      <c r="C1776" t="inlineStr">
        <is>
          <t>Cali</t>
        </is>
      </c>
      <c r="D1776" t="inlineStr">
        <is>
          <t>7368</t>
        </is>
      </c>
      <c r="E1776" t="inlineStr">
        <is>
          <t>Sucursal</t>
        </is>
      </c>
      <c r="F1776" s="23" t="n">
        <v>46273</v>
      </c>
      <c r="G1776" t="inlineStr">
        <is>
          <t>recoleccion</t>
        </is>
      </c>
      <c r="H1776" s="26" t="n">
        <v>189948342</v>
      </c>
      <c r="I1776" t="inlineStr">
        <is>
          <t>bajo</t>
        </is>
      </c>
      <c r="J1776" t="inlineStr">
        <is>
          <t>RN-22 y RN-35: recoleccion al cierre de lo que pasa del cupo</t>
        </is>
      </c>
      <c r="K1776" t="inlineStr">
        <is>
          <t>Recoleccion al cierre: con el pronostico, el saldo cerraria en 325.298.342 COP, sobre el cupo de 135.350.000. Se recoge el excedente y el saldo queda en 135.350.000 COP. Equipo administrado por Sucursal. Sin tarifa TDV (administrado por la sucursal): costo 0 declarado.</t>
        </is>
      </c>
      <c r="L1776" s="26" t="n">
        <v>135350000</v>
      </c>
      <c r="M1776" s="26" t="n">
        <v>325298342</v>
      </c>
      <c r="N1776" s="27">
        <f>IF(ISNUMBER(M1776),M1776/L1776,"No aplica")</f>
        <v>2.4033863465090506</v>
      </c>
      <c r="O1776" s="25">
        <f>IF(G1776="provision",M1776+H1776,IF(G1776="recoleccion",M1776-H1776,"No aplica"))</f>
        <v>135350000</v>
      </c>
      <c r="P1776" s="26" t="n">
        <v>0</v>
      </c>
    </row>
    <row r="1777">
      <c r="A1777" t="inlineStr">
        <is>
          <t>PRAGMA</t>
        </is>
      </c>
      <c r="B1777" t="inlineStr">
        <is>
          <t>M2</t>
        </is>
      </c>
      <c r="C1777" t="inlineStr">
        <is>
          <t>Cali</t>
        </is>
      </c>
      <c r="D1777" t="inlineStr">
        <is>
          <t>7368</t>
        </is>
      </c>
      <c r="E1777" t="inlineStr">
        <is>
          <t>Sucursal</t>
        </is>
      </c>
      <c r="F1777" s="23" t="n">
        <v>46274</v>
      </c>
      <c r="G1777" t="inlineStr">
        <is>
          <t>recoleccion</t>
        </is>
      </c>
      <c r="H1777" s="26" t="n">
        <v>178749128</v>
      </c>
      <c r="I1777" t="inlineStr">
        <is>
          <t>bajo</t>
        </is>
      </c>
      <c r="J1777" t="inlineStr">
        <is>
          <t>RN-22 y RN-35: recoleccion al cierre de lo que pasa del cupo</t>
        </is>
      </c>
      <c r="K1777" t="inlineStr">
        <is>
          <t>Recoleccion al cierre: con el pronostico, el saldo cerraria en 314.099.128 COP, sobre el cupo de 135.350.000. Se recoge el excedente y el saldo queda en 135.350.000 COP. Equipo administrado por Sucursal. Sin tarifa TDV (administrado por la sucursal): costo 0 declarado.</t>
        </is>
      </c>
      <c r="L1777" s="26" t="n">
        <v>135350000</v>
      </c>
      <c r="M1777" s="26" t="n">
        <v>314099128</v>
      </c>
      <c r="N1777" s="27">
        <f>IF(ISNUMBER(M1777),M1777/L1777,"No aplica")</f>
        <v>2.32064372367935</v>
      </c>
      <c r="O1777" s="25">
        <f>IF(G1777="provision",M1777+H1777,IF(G1777="recoleccion",M1777-H1777,"No aplica"))</f>
        <v>135350000</v>
      </c>
      <c r="P1777" s="26" t="n">
        <v>0</v>
      </c>
    </row>
    <row r="1778">
      <c r="A1778" t="inlineStr">
        <is>
          <t>PRAGMA</t>
        </is>
      </c>
      <c r="B1778" t="inlineStr">
        <is>
          <t>M2</t>
        </is>
      </c>
      <c r="C1778" t="inlineStr">
        <is>
          <t>Cali</t>
        </is>
      </c>
      <c r="D1778" t="inlineStr">
        <is>
          <t>7368</t>
        </is>
      </c>
      <c r="E1778" t="inlineStr">
        <is>
          <t>Sucursal</t>
        </is>
      </c>
      <c r="F1778" s="23" t="n">
        <v>46275</v>
      </c>
      <c r="G1778" t="inlineStr">
        <is>
          <t>recoleccion</t>
        </is>
      </c>
      <c r="H1778" s="26" t="n">
        <v>187055926</v>
      </c>
      <c r="I1778" t="inlineStr">
        <is>
          <t>bajo</t>
        </is>
      </c>
      <c r="J1778" t="inlineStr">
        <is>
          <t>RN-22 y RN-35: recoleccion al cierre de lo que pasa del cupo</t>
        </is>
      </c>
      <c r="K1778" t="inlineStr">
        <is>
          <t>Recoleccion al cierre: con el pronostico, el saldo cerraria en 322.405.926 COP, sobre el cupo de 135.350.000. Se recoge el excedente y el saldo queda en 135.350.000 COP. Equipo administrado por Sucursal. Sin tarifa TDV (administrado por la sucursal): costo 0 declarado.</t>
        </is>
      </c>
      <c r="L1778" s="26" t="n">
        <v>135350000</v>
      </c>
      <c r="M1778" s="26" t="n">
        <v>322405926</v>
      </c>
      <c r="N1778" s="27">
        <f>IF(ISNUMBER(M1778),M1778/L1778,"No aplica")</f>
        <v>2.3820164462504616</v>
      </c>
      <c r="O1778" s="25">
        <f>IF(G1778="provision",M1778+H1778,IF(G1778="recoleccion",M1778-H1778,"No aplica"))</f>
        <v>135350000</v>
      </c>
      <c r="P1778" s="26" t="n">
        <v>0</v>
      </c>
    </row>
    <row r="1779">
      <c r="A1779" t="inlineStr">
        <is>
          <t>PRAGMA</t>
        </is>
      </c>
      <c r="B1779" t="inlineStr">
        <is>
          <t>M2</t>
        </is>
      </c>
      <c r="C1779" t="inlineStr">
        <is>
          <t>Cali</t>
        </is>
      </c>
      <c r="D1779" t="inlineStr">
        <is>
          <t>7368</t>
        </is>
      </c>
      <c r="E1779" t="inlineStr">
        <is>
          <t>Sucursal</t>
        </is>
      </c>
      <c r="F1779" s="23" t="n">
        <v>46276</v>
      </c>
      <c r="G1779" t="inlineStr">
        <is>
          <t>recoleccion</t>
        </is>
      </c>
      <c r="H1779" s="26" t="n">
        <v>186811646</v>
      </c>
      <c r="I1779" t="inlineStr">
        <is>
          <t>bajo</t>
        </is>
      </c>
      <c r="J1779" t="inlineStr">
        <is>
          <t>RN-22 y RN-35: recoleccion al cierre de lo que pasa del cupo</t>
        </is>
      </c>
      <c r="K1779" t="inlineStr">
        <is>
          <t>Recoleccion al cierre: con el pronostico, el saldo cerraria en 322.161.646 COP, sobre el cupo de 135.350.000. Se recoge el excedente y el saldo queda en 135.350.000 COP. Equipo administrado por Sucursal. Sin tarifa TDV (administrado por la sucursal): costo 0 declarado.</t>
        </is>
      </c>
      <c r="L1779" s="26" t="n">
        <v>135350000</v>
      </c>
      <c r="M1779" s="26" t="n">
        <v>322161646</v>
      </c>
      <c r="N1779" s="27">
        <f>IF(ISNUMBER(M1779),M1779/L1779,"No aplica")</f>
        <v>2.380211643886221</v>
      </c>
      <c r="O1779" s="25">
        <f>IF(G1779="provision",M1779+H1779,IF(G1779="recoleccion",M1779-H1779,"No aplica"))</f>
        <v>135350000</v>
      </c>
      <c r="P1779" s="26" t="n">
        <v>0</v>
      </c>
    </row>
    <row r="1780">
      <c r="A1780" t="inlineStr">
        <is>
          <t>PRAGMA</t>
        </is>
      </c>
      <c r="B1780" t="inlineStr">
        <is>
          <t>M2</t>
        </is>
      </c>
      <c r="C1780" t="inlineStr">
        <is>
          <t>Cali</t>
        </is>
      </c>
      <c r="D1780" t="inlineStr">
        <is>
          <t>7368</t>
        </is>
      </c>
      <c r="E1780" t="inlineStr">
        <is>
          <t>Sucursal</t>
        </is>
      </c>
      <c r="F1780" s="23" t="n">
        <v>46277</v>
      </c>
      <c r="G1780" t="inlineStr">
        <is>
          <t>recoleccion</t>
        </is>
      </c>
      <c r="H1780" s="26" t="n">
        <v>172933563</v>
      </c>
      <c r="I1780" t="inlineStr">
        <is>
          <t>bajo</t>
        </is>
      </c>
      <c r="J1780" t="inlineStr">
        <is>
          <t>RN-22 y RN-35: recoleccion al cierre de lo que pasa del cupo</t>
        </is>
      </c>
      <c r="K1780" t="inlineStr">
        <is>
          <t>Recoleccion al cierre: con el pronostico, el saldo cerraria en 308.283.563 COP, sobre el cupo de 135.350.000. Se recoge el excedente y el saldo queda en 135.350.000 COP. Equipo administrado por Sucursal. Sin tarifa TDV (administrado por la sucursal): costo 0 declarado.</t>
        </is>
      </c>
      <c r="L1780" s="26" t="n">
        <v>135350000</v>
      </c>
      <c r="M1780" s="26" t="n">
        <v>308283563</v>
      </c>
      <c r="N1780" s="27">
        <f>IF(ISNUMBER(M1780),M1780/L1780,"No aplica")</f>
        <v>2.277676859992612</v>
      </c>
      <c r="O1780" s="25">
        <f>IF(G1780="provision",M1780+H1780,IF(G1780="recoleccion",M1780-H1780,"No aplica"))</f>
        <v>135350000</v>
      </c>
      <c r="P1780" s="26" t="n">
        <v>0</v>
      </c>
    </row>
    <row r="1781">
      <c r="A1781" t="inlineStr">
        <is>
          <t>PRAGMA</t>
        </is>
      </c>
      <c r="B1781" t="inlineStr">
        <is>
          <t>M2</t>
        </is>
      </c>
      <c r="C1781" t="inlineStr">
        <is>
          <t>Cali</t>
        </is>
      </c>
      <c r="D1781" t="inlineStr">
        <is>
          <t>7368</t>
        </is>
      </c>
      <c r="E1781" t="inlineStr">
        <is>
          <t>Sucursal</t>
        </is>
      </c>
      <c r="F1781" s="23" t="n">
        <v>46278</v>
      </c>
      <c r="G1781" t="inlineStr">
        <is>
          <t>recoleccion</t>
        </is>
      </c>
      <c r="H1781" s="26" t="n">
        <v>92924842</v>
      </c>
      <c r="I1781" t="inlineStr">
        <is>
          <t>bajo</t>
        </is>
      </c>
      <c r="J1781" t="inlineStr">
        <is>
          <t>RN-22 y RN-35: recoleccion al cierre de lo que pasa del cupo</t>
        </is>
      </c>
      <c r="K1781" t="inlineStr">
        <is>
          <t>Recoleccion al cierre: con el pronostico, el saldo cerraria en 228.274.842 COP, sobre el cupo de 135.350.000. Se recoge el excedente y el saldo queda en 135.350.000 COP. Equipo administrado por Sucursal. Sin tarifa TDV (administrado por la sucursal): costo 0 declarado.</t>
        </is>
      </c>
      <c r="L1781" s="26" t="n">
        <v>135350000</v>
      </c>
      <c r="M1781" s="26" t="n">
        <v>228274842</v>
      </c>
      <c r="N1781" s="27">
        <f>IF(ISNUMBER(M1781),M1781/L1781,"No aplica")</f>
        <v>1.6865522127816772</v>
      </c>
      <c r="O1781" s="25">
        <f>IF(G1781="provision",M1781+H1781,IF(G1781="recoleccion",M1781-H1781,"No aplica"))</f>
        <v>135350000</v>
      </c>
      <c r="P1781" s="26" t="n">
        <v>0</v>
      </c>
    </row>
    <row r="1782">
      <c r="A1782" t="inlineStr">
        <is>
          <t>PRAGMA</t>
        </is>
      </c>
      <c r="B1782" t="inlineStr">
        <is>
          <t>M2</t>
        </is>
      </c>
      <c r="C1782" t="inlineStr">
        <is>
          <t>Cali</t>
        </is>
      </c>
      <c r="D1782" t="inlineStr">
        <is>
          <t>7368</t>
        </is>
      </c>
      <c r="E1782" t="inlineStr">
        <is>
          <t>Sucursal</t>
        </is>
      </c>
      <c r="F1782" s="23" t="n">
        <v>46279</v>
      </c>
      <c r="G1782" t="inlineStr">
        <is>
          <t>recoleccion</t>
        </is>
      </c>
      <c r="H1782" s="26" t="n">
        <v>203540914</v>
      </c>
      <c r="I1782" t="inlineStr">
        <is>
          <t>bajo</t>
        </is>
      </c>
      <c r="J1782" t="inlineStr">
        <is>
          <t>RN-22 y RN-35: recoleccion al cierre de lo que pasa del cupo</t>
        </is>
      </c>
      <c r="K1782" t="inlineStr">
        <is>
          <t>Recoleccion al cierre: con el pronostico, el saldo cerraria en 338.890.914 COP, sobre el cupo de 135.350.000. Se recoge el excedente y el saldo queda en 135.350.000 COP. Equipo administrado por Sucursal. Sin tarifa TDV (administrado por la sucursal): costo 0 declarado.</t>
        </is>
      </c>
      <c r="L1782" s="26" t="n">
        <v>135350000</v>
      </c>
      <c r="M1782" s="26" t="n">
        <v>338890914</v>
      </c>
      <c r="N1782" s="27">
        <f>IF(ISNUMBER(M1782),M1782/L1782,"No aplica")</f>
        <v>2.5038117029922424</v>
      </c>
      <c r="O1782" s="25">
        <f>IF(G1782="provision",M1782+H1782,IF(G1782="recoleccion",M1782-H1782,"No aplica"))</f>
        <v>135350000</v>
      </c>
      <c r="P1782" s="26" t="n">
        <v>0</v>
      </c>
    </row>
    <row r="1783">
      <c r="A1783" t="inlineStr">
        <is>
          <t>PRAGMA</t>
        </is>
      </c>
      <c r="B1783" t="inlineStr">
        <is>
          <t>M2</t>
        </is>
      </c>
      <c r="C1783" t="inlineStr">
        <is>
          <t>Cali</t>
        </is>
      </c>
      <c r="D1783" t="inlineStr">
        <is>
          <t>7368</t>
        </is>
      </c>
      <c r="E1783" t="inlineStr">
        <is>
          <t>Sucursal</t>
        </is>
      </c>
      <c r="F1783" s="23" t="n">
        <v>46280</v>
      </c>
      <c r="G1783" t="inlineStr">
        <is>
          <t>recoleccion</t>
        </is>
      </c>
      <c r="H1783" s="26" t="n">
        <v>194275547</v>
      </c>
      <c r="I1783" t="inlineStr">
        <is>
          <t>bajo</t>
        </is>
      </c>
      <c r="J1783" t="inlineStr">
        <is>
          <t>RN-22 y RN-35: recoleccion al cierre de lo que pasa del cupo</t>
        </is>
      </c>
      <c r="K1783" t="inlineStr">
        <is>
          <t>Recoleccion al cierre: con el pronostico, el saldo cerraria en 329.625.547 COP, sobre el cupo de 135.350.000. Se recoge el excedente y el saldo queda en 135.350.000 COP. Equipo administrado por Sucursal. Sin tarifa TDV (administrado por la sucursal): costo 0 declarado.</t>
        </is>
      </c>
      <c r="L1783" s="26" t="n">
        <v>135350000</v>
      </c>
      <c r="M1783" s="26" t="n">
        <v>329625547</v>
      </c>
      <c r="N1783" s="27">
        <f>IF(ISNUMBER(M1783),M1783/L1783,"No aplica")</f>
        <v>2.435356830439601</v>
      </c>
      <c r="O1783" s="25">
        <f>IF(G1783="provision",M1783+H1783,IF(G1783="recoleccion",M1783-H1783,"No aplica"))</f>
        <v>135350000</v>
      </c>
      <c r="P1783" s="26" t="n">
        <v>0</v>
      </c>
    </row>
    <row r="1784">
      <c r="A1784" t="inlineStr">
        <is>
          <t>PRAGMA</t>
        </is>
      </c>
      <c r="B1784" t="inlineStr">
        <is>
          <t>M2</t>
        </is>
      </c>
      <c r="C1784" t="inlineStr">
        <is>
          <t>Cali</t>
        </is>
      </c>
      <c r="D1784" t="inlineStr">
        <is>
          <t>7441</t>
        </is>
      </c>
      <c r="E1784" t="inlineStr">
        <is>
          <t>TDV</t>
        </is>
      </c>
      <c r="F1784" s="23" t="n">
        <v>46266</v>
      </c>
      <c r="G1784" t="inlineStr">
        <is>
          <t>recoleccion</t>
        </is>
      </c>
      <c r="H1784" s="26" t="n">
        <v>21077573</v>
      </c>
      <c r="I1784" t="inlineStr">
        <is>
          <t>bajo</t>
        </is>
      </c>
      <c r="J1784" t="inlineStr">
        <is>
          <t>RN-22 y RN-35: recoleccion al cierre de lo que pasa del cupo</t>
        </is>
      </c>
      <c r="K1784" t="inlineStr">
        <is>
          <t>Recoleccion al cierre: con el pronostico, el saldo cerraria en 89.927.573 COP, sobre el cupo de 68.850.000. Se recoge el excedente y el saldo queda en 68.850.000 COP. Equipo administrado por TDV.</t>
        </is>
      </c>
      <c r="L1784" s="26" t="n">
        <v>68850000</v>
      </c>
      <c r="M1784" s="26" t="n">
        <v>89927573</v>
      </c>
      <c r="N1784" s="27">
        <f>IF(ISNUMBER(M1784),M1784/L1784,"No aplica")</f>
        <v>1.3061375889615106</v>
      </c>
      <c r="O1784" s="25">
        <f>IF(G1784="provision",M1784+H1784,IF(G1784="recoleccion",M1784-H1784,"No aplica"))</f>
        <v>68850000</v>
      </c>
      <c r="P1784" s="26" t="n">
        <v>158012</v>
      </c>
    </row>
    <row r="1785">
      <c r="A1785" t="inlineStr">
        <is>
          <t>PRAGMA</t>
        </is>
      </c>
      <c r="B1785" t="inlineStr">
        <is>
          <t>M2</t>
        </is>
      </c>
      <c r="C1785" t="inlineStr">
        <is>
          <t>Cali</t>
        </is>
      </c>
      <c r="D1785" t="inlineStr">
        <is>
          <t>7441</t>
        </is>
      </c>
      <c r="E1785" t="inlineStr">
        <is>
          <t>TDV</t>
        </is>
      </c>
      <c r="F1785" s="23" t="n">
        <v>46267</v>
      </c>
      <c r="G1785" t="inlineStr">
        <is>
          <t>recoleccion</t>
        </is>
      </c>
      <c r="H1785" s="26" t="n">
        <v>23561570</v>
      </c>
      <c r="I1785" t="inlineStr">
        <is>
          <t>bajo</t>
        </is>
      </c>
      <c r="J1785" t="inlineStr">
        <is>
          <t>RN-22 y RN-35: recoleccion al cierre de lo que pasa del cupo</t>
        </is>
      </c>
      <c r="K1785" t="inlineStr">
        <is>
          <t>Recoleccion al cierre: con el pronostico, el saldo cerraria en 92.411.570 COP, sobre el cupo de 68.850.000. Se recoge el excedente y el saldo queda en 68.850.000 COP. Equipo administrado por TDV.</t>
        </is>
      </c>
      <c r="L1785" s="26" t="n">
        <v>68850000</v>
      </c>
      <c r="M1785" s="26" t="n">
        <v>92411570</v>
      </c>
      <c r="N1785" s="27">
        <f>IF(ISNUMBER(M1785),M1785/L1785,"No aplica")</f>
        <v>1.3422159767610748</v>
      </c>
      <c r="O1785" s="25">
        <f>IF(G1785="provision",M1785+H1785,IF(G1785="recoleccion",M1785-H1785,"No aplica"))</f>
        <v>68850000</v>
      </c>
      <c r="P1785" s="26" t="n">
        <v>158012</v>
      </c>
    </row>
    <row r="1786">
      <c r="A1786" t="inlineStr">
        <is>
          <t>PRAGMA</t>
        </is>
      </c>
      <c r="B1786" t="inlineStr">
        <is>
          <t>M2</t>
        </is>
      </c>
      <c r="C1786" t="inlineStr">
        <is>
          <t>Cali</t>
        </is>
      </c>
      <c r="D1786" t="inlineStr">
        <is>
          <t>7441</t>
        </is>
      </c>
      <c r="E1786" t="inlineStr">
        <is>
          <t>TDV</t>
        </is>
      </c>
      <c r="F1786" s="23" t="n">
        <v>46268</v>
      </c>
      <c r="G1786" t="inlineStr">
        <is>
          <t>recoleccion</t>
        </is>
      </c>
      <c r="H1786" s="26" t="n">
        <v>21754845</v>
      </c>
      <c r="I1786" t="inlineStr">
        <is>
          <t>bajo</t>
        </is>
      </c>
      <c r="J1786" t="inlineStr">
        <is>
          <t>RN-22 y RN-35: recoleccion al cierre de lo que pasa del cupo</t>
        </is>
      </c>
      <c r="K1786" t="inlineStr">
        <is>
          <t>Recoleccion al cierre: con el pronostico, el saldo cerraria en 90.604.845 COP, sobre el cupo de 68.850.000. Se recoge el excedente y el saldo queda en 68.850.000 COP. Equipo administrado por TDV.</t>
        </is>
      </c>
      <c r="L1786" s="26" t="n">
        <v>68850000</v>
      </c>
      <c r="M1786" s="26" t="n">
        <v>90604845</v>
      </c>
      <c r="N1786" s="27">
        <f>IF(ISNUMBER(M1786),M1786/L1786,"No aplica")</f>
        <v>1.3159745098039215</v>
      </c>
      <c r="O1786" s="25">
        <f>IF(G1786="provision",M1786+H1786,IF(G1786="recoleccion",M1786-H1786,"No aplica"))</f>
        <v>68850000</v>
      </c>
      <c r="P1786" s="26" t="n">
        <v>158012</v>
      </c>
    </row>
    <row r="1787">
      <c r="A1787" t="inlineStr">
        <is>
          <t>PRAGMA</t>
        </is>
      </c>
      <c r="B1787" t="inlineStr">
        <is>
          <t>M2</t>
        </is>
      </c>
      <c r="C1787" t="inlineStr">
        <is>
          <t>Cali</t>
        </is>
      </c>
      <c r="D1787" t="inlineStr">
        <is>
          <t>7441</t>
        </is>
      </c>
      <c r="E1787" t="inlineStr">
        <is>
          <t>TDV</t>
        </is>
      </c>
      <c r="F1787" s="23" t="n">
        <v>46269</v>
      </c>
      <c r="G1787" t="inlineStr">
        <is>
          <t>recoleccion</t>
        </is>
      </c>
      <c r="H1787" s="26" t="n">
        <v>27557942</v>
      </c>
      <c r="I1787" t="inlineStr">
        <is>
          <t>bajo</t>
        </is>
      </c>
      <c r="J1787" t="inlineStr">
        <is>
          <t>RN-22 y RN-35: recoleccion al cierre de lo que pasa del cupo</t>
        </is>
      </c>
      <c r="K1787" t="inlineStr">
        <is>
          <t>Recoleccion al cierre: con el pronostico, el saldo cerraria en 96.407.942 COP, sobre el cupo de 68.850.000. Se recoge el excedente y el saldo queda en 68.850.000 COP. Equipo administrado por TDV.</t>
        </is>
      </c>
      <c r="L1787" s="26" t="n">
        <v>68850000</v>
      </c>
      <c r="M1787" s="26" t="n">
        <v>96407942</v>
      </c>
      <c r="N1787" s="27">
        <f>IF(ISNUMBER(M1787),M1787/L1787,"No aplica")</f>
        <v>1.4002605954974583</v>
      </c>
      <c r="O1787" s="25">
        <f>IF(G1787="provision",M1787+H1787,IF(G1787="recoleccion",M1787-H1787,"No aplica"))</f>
        <v>68850000</v>
      </c>
      <c r="P1787" s="26" t="n">
        <v>158012</v>
      </c>
    </row>
    <row r="1788">
      <c r="A1788" t="inlineStr">
        <is>
          <t>PRAGMA</t>
        </is>
      </c>
      <c r="B1788" t="inlineStr">
        <is>
          <t>M2</t>
        </is>
      </c>
      <c r="C1788" t="inlineStr">
        <is>
          <t>Cali</t>
        </is>
      </c>
      <c r="D1788" t="inlineStr">
        <is>
          <t>7441</t>
        </is>
      </c>
      <c r="E1788" t="inlineStr">
        <is>
          <t>TDV</t>
        </is>
      </c>
      <c r="F1788" s="23" t="n">
        <v>46270</v>
      </c>
      <c r="G1788" t="inlineStr">
        <is>
          <t>recoleccion</t>
        </is>
      </c>
      <c r="H1788" s="26" t="n">
        <v>37278766</v>
      </c>
      <c r="I1788" t="inlineStr">
        <is>
          <t>bajo</t>
        </is>
      </c>
      <c r="J1788" t="inlineStr">
        <is>
          <t>RN-22 y RN-35: recoleccion al cierre de lo que pasa del cupo</t>
        </is>
      </c>
      <c r="K1788" t="inlineStr">
        <is>
          <t>Recoleccion al cierre: con el pronostico, el saldo cerraria en 106.128.766 COP, sobre el cupo de 68.850.000. Se recoge el excedente y el saldo queda en 68.850.000 COP. Equipo administrado por TDV.</t>
        </is>
      </c>
      <c r="L1788" s="26" t="n">
        <v>68850000</v>
      </c>
      <c r="M1788" s="26" t="n">
        <v>106128766</v>
      </c>
      <c r="N1788" s="27">
        <f>IF(ISNUMBER(M1788),M1788/L1788,"No aplica")</f>
        <v>1.5414490341321714</v>
      </c>
      <c r="O1788" s="25">
        <f>IF(G1788="provision",M1788+H1788,IF(G1788="recoleccion",M1788-H1788,"No aplica"))</f>
        <v>68850000</v>
      </c>
      <c r="P1788" s="26" t="n">
        <v>158012</v>
      </c>
    </row>
    <row r="1789">
      <c r="A1789" t="inlineStr">
        <is>
          <t>PRAGMA</t>
        </is>
      </c>
      <c r="B1789" t="inlineStr">
        <is>
          <t>M2</t>
        </is>
      </c>
      <c r="C1789" t="inlineStr">
        <is>
          <t>Cali</t>
        </is>
      </c>
      <c r="D1789" t="inlineStr">
        <is>
          <t>7441</t>
        </is>
      </c>
      <c r="E1789" t="inlineStr">
        <is>
          <t>TDV</t>
        </is>
      </c>
      <c r="F1789" s="23" t="n">
        <v>46271</v>
      </c>
      <c r="G1789" t="inlineStr">
        <is>
          <t>recoleccion</t>
        </is>
      </c>
      <c r="H1789" s="26" t="n">
        <v>12161695</v>
      </c>
      <c r="I1789" t="inlineStr">
        <is>
          <t>bajo</t>
        </is>
      </c>
      <c r="J1789" t="inlineStr">
        <is>
          <t>RN-22 y RN-35: recoleccion al cierre de lo que pasa del cupo</t>
        </is>
      </c>
      <c r="K1789" t="inlineStr">
        <is>
          <t>Recoleccion al cierre: con el pronostico, el saldo cerraria en 81.011.695 COP, sobre el cupo de 68.850.000. Se recoge el excedente y el saldo queda en 68.850.000 COP. Equipo administrado por TDV.</t>
        </is>
      </c>
      <c r="L1789" s="26" t="n">
        <v>68850000</v>
      </c>
      <c r="M1789" s="26" t="n">
        <v>81011695</v>
      </c>
      <c r="N1789" s="27">
        <f>IF(ISNUMBER(M1789),M1789/L1789,"No aplica")</f>
        <v>1.1766404502541759</v>
      </c>
      <c r="O1789" s="25">
        <f>IF(G1789="provision",M1789+H1789,IF(G1789="recoleccion",M1789-H1789,"No aplica"))</f>
        <v>68850000</v>
      </c>
      <c r="P1789" s="26" t="n">
        <v>182814</v>
      </c>
    </row>
    <row r="1790">
      <c r="A1790" t="inlineStr">
        <is>
          <t>PRAGMA</t>
        </is>
      </c>
      <c r="B1790" t="inlineStr">
        <is>
          <t>M2</t>
        </is>
      </c>
      <c r="C1790" t="inlineStr">
        <is>
          <t>Cali</t>
        </is>
      </c>
      <c r="D1790" t="inlineStr">
        <is>
          <t>7441</t>
        </is>
      </c>
      <c r="E1790" t="inlineStr">
        <is>
          <t>TDV</t>
        </is>
      </c>
      <c r="F1790" s="23" t="n">
        <v>46272</v>
      </c>
      <c r="G1790" t="inlineStr">
        <is>
          <t>recoleccion</t>
        </is>
      </c>
      <c r="H1790" s="26" t="n">
        <v>48004811</v>
      </c>
      <c r="I1790" t="inlineStr">
        <is>
          <t>bajo</t>
        </is>
      </c>
      <c r="J1790" t="inlineStr">
        <is>
          <t>RN-22 y RN-35: recoleccion al cierre de lo que pasa del cupo</t>
        </is>
      </c>
      <c r="K1790" t="inlineStr">
        <is>
          <t>Recoleccion al cierre: con el pronostico, el saldo cerraria en 116.854.811 COP, sobre el cupo de 68.850.000. Se recoge el excedente y el saldo queda en 68.850.000 COP. Equipo administrado por TDV.</t>
        </is>
      </c>
      <c r="L1790" s="26" t="n">
        <v>68850000</v>
      </c>
      <c r="M1790" s="26" t="n">
        <v>116854811</v>
      </c>
      <c r="N1790" s="27">
        <f>IF(ISNUMBER(M1790),M1790/L1790,"No aplica")</f>
        <v>1.6972376325344953</v>
      </c>
      <c r="O1790" s="25">
        <f>IF(G1790="provision",M1790+H1790,IF(G1790="recoleccion",M1790-H1790,"No aplica"))</f>
        <v>68850000</v>
      </c>
      <c r="P1790" s="26" t="n">
        <v>158012</v>
      </c>
    </row>
    <row r="1791">
      <c r="A1791" t="inlineStr">
        <is>
          <t>PRAGMA</t>
        </is>
      </c>
      <c r="B1791" t="inlineStr">
        <is>
          <t>M2</t>
        </is>
      </c>
      <c r="C1791" t="inlineStr">
        <is>
          <t>Cali</t>
        </is>
      </c>
      <c r="D1791" t="inlineStr">
        <is>
          <t>7441</t>
        </is>
      </c>
      <c r="E1791" t="inlineStr">
        <is>
          <t>TDV</t>
        </is>
      </c>
      <c r="F1791" s="23" t="n">
        <v>46273</v>
      </c>
      <c r="G1791" t="inlineStr">
        <is>
          <t>recoleccion</t>
        </is>
      </c>
      <c r="H1791" s="26" t="n">
        <v>38298090</v>
      </c>
      <c r="I1791" t="inlineStr">
        <is>
          <t>bajo</t>
        </is>
      </c>
      <c r="J1791" t="inlineStr">
        <is>
          <t>RN-22 y RN-35: recoleccion al cierre de lo que pasa del cupo</t>
        </is>
      </c>
      <c r="K1791" t="inlineStr">
        <is>
          <t>Recoleccion al cierre: con el pronostico, el saldo cerraria en 107.148.090 COP, sobre el cupo de 68.850.000. Se recoge el excedente y el saldo queda en 68.850.000 COP. Equipo administrado por TDV.</t>
        </is>
      </c>
      <c r="L1791" s="26" t="n">
        <v>68850000</v>
      </c>
      <c r="M1791" s="26" t="n">
        <v>107148090</v>
      </c>
      <c r="N1791" s="27">
        <f>IF(ISNUMBER(M1791),M1791/L1791,"No aplica")</f>
        <v>1.5562540305010892</v>
      </c>
      <c r="O1791" s="25">
        <f>IF(G1791="provision",M1791+H1791,IF(G1791="recoleccion",M1791-H1791,"No aplica"))</f>
        <v>68850000</v>
      </c>
      <c r="P1791" s="26" t="n">
        <v>158012</v>
      </c>
    </row>
    <row r="1792">
      <c r="A1792" t="inlineStr">
        <is>
          <t>PRAGMA</t>
        </is>
      </c>
      <c r="B1792" t="inlineStr">
        <is>
          <t>M2</t>
        </is>
      </c>
      <c r="C1792" t="inlineStr">
        <is>
          <t>Cali</t>
        </is>
      </c>
      <c r="D1792" t="inlineStr">
        <is>
          <t>7441</t>
        </is>
      </c>
      <c r="E1792" t="inlineStr">
        <is>
          <t>TDV</t>
        </is>
      </c>
      <c r="F1792" s="23" t="n">
        <v>46274</v>
      </c>
      <c r="G1792" t="inlineStr">
        <is>
          <t>recoleccion</t>
        </is>
      </c>
      <c r="H1792" s="26" t="n">
        <v>32448343</v>
      </c>
      <c r="I1792" t="inlineStr">
        <is>
          <t>bajo</t>
        </is>
      </c>
      <c r="J1792" t="inlineStr">
        <is>
          <t>RN-22 y RN-35: recoleccion al cierre de lo que pasa del cupo</t>
        </is>
      </c>
      <c r="K1792" t="inlineStr">
        <is>
          <t>Recoleccion al cierre: con el pronostico, el saldo cerraria en 101.298.343 COP, sobre el cupo de 68.850.000. Se recoge el excedente y el saldo queda en 68.850.000 COP. Equipo administrado por TDV.</t>
        </is>
      </c>
      <c r="L1792" s="26" t="n">
        <v>68850000</v>
      </c>
      <c r="M1792" s="26" t="n">
        <v>101298343</v>
      </c>
      <c r="N1792" s="27">
        <f>IF(ISNUMBER(M1792),M1792/L1792,"No aplica")</f>
        <v>1.4712903848946985</v>
      </c>
      <c r="O1792" s="25">
        <f>IF(G1792="provision",M1792+H1792,IF(G1792="recoleccion",M1792-H1792,"No aplica"))</f>
        <v>68850000</v>
      </c>
      <c r="P1792" s="26" t="n">
        <v>158012</v>
      </c>
    </row>
    <row r="1793">
      <c r="A1793" t="inlineStr">
        <is>
          <t>PRAGMA</t>
        </is>
      </c>
      <c r="B1793" t="inlineStr">
        <is>
          <t>M2</t>
        </is>
      </c>
      <c r="C1793" t="inlineStr">
        <is>
          <t>Cali</t>
        </is>
      </c>
      <c r="D1793" t="inlineStr">
        <is>
          <t>7441</t>
        </is>
      </c>
      <c r="E1793" t="inlineStr">
        <is>
          <t>TDV</t>
        </is>
      </c>
      <c r="F1793" s="23" t="n">
        <v>46275</v>
      </c>
      <c r="G1793" t="inlineStr">
        <is>
          <t>recoleccion</t>
        </is>
      </c>
      <c r="H1793" s="26" t="n">
        <v>27410953</v>
      </c>
      <c r="I1793" t="inlineStr">
        <is>
          <t>bajo</t>
        </is>
      </c>
      <c r="J1793" t="inlineStr">
        <is>
          <t>RN-22 y RN-35: recoleccion al cierre de lo que pasa del cupo</t>
        </is>
      </c>
      <c r="K1793" t="inlineStr">
        <is>
          <t>Recoleccion al cierre: con el pronostico, el saldo cerraria en 96.260.953 COP, sobre el cupo de 68.850.000. Se recoge el excedente y el saldo queda en 68.850.000 COP. Equipo administrado por TDV.</t>
        </is>
      </c>
      <c r="L1793" s="26" t="n">
        <v>68850000</v>
      </c>
      <c r="M1793" s="26" t="n">
        <v>96260953</v>
      </c>
      <c r="N1793" s="27">
        <f>IF(ISNUMBER(M1793),M1793/L1793,"No aplica")</f>
        <v>1.3981256790123457</v>
      </c>
      <c r="O1793" s="25">
        <f>IF(G1793="provision",M1793+H1793,IF(G1793="recoleccion",M1793-H1793,"No aplica"))</f>
        <v>68850000</v>
      </c>
      <c r="P1793" s="26" t="n">
        <v>158012</v>
      </c>
    </row>
    <row r="1794">
      <c r="A1794" t="inlineStr">
        <is>
          <t>PRAGMA</t>
        </is>
      </c>
      <c r="B1794" t="inlineStr">
        <is>
          <t>M2</t>
        </is>
      </c>
      <c r="C1794" t="inlineStr">
        <is>
          <t>Cali</t>
        </is>
      </c>
      <c r="D1794" t="inlineStr">
        <is>
          <t>7441</t>
        </is>
      </c>
      <c r="E1794" t="inlineStr">
        <is>
          <t>TDV</t>
        </is>
      </c>
      <c r="F1794" s="23" t="n">
        <v>46276</v>
      </c>
      <c r="G1794" t="inlineStr">
        <is>
          <t>recoleccion</t>
        </is>
      </c>
      <c r="H1794" s="26" t="n">
        <v>26943753</v>
      </c>
      <c r="I1794" t="inlineStr">
        <is>
          <t>bajo</t>
        </is>
      </c>
      <c r="J1794" t="inlineStr">
        <is>
          <t>RN-22 y RN-35: recoleccion al cierre de lo que pasa del cupo</t>
        </is>
      </c>
      <c r="K1794" t="inlineStr">
        <is>
          <t>Recoleccion al cierre: con el pronostico, el saldo cerraria en 95.793.753 COP, sobre el cupo de 68.850.000. Se recoge el excedente y el saldo queda en 68.850.000 COP. Equipo administrado por TDV.</t>
        </is>
      </c>
      <c r="L1794" s="26" t="n">
        <v>68850000</v>
      </c>
      <c r="M1794" s="26" t="n">
        <v>95793753</v>
      </c>
      <c r="N1794" s="27">
        <f>IF(ISNUMBER(M1794),M1794/L1794,"No aplica")</f>
        <v>1.3913399128540305</v>
      </c>
      <c r="O1794" s="25">
        <f>IF(G1794="provision",M1794+H1794,IF(G1794="recoleccion",M1794-H1794,"No aplica"))</f>
        <v>68850000</v>
      </c>
      <c r="P1794" s="26" t="n">
        <v>158012</v>
      </c>
    </row>
    <row r="1795">
      <c r="A1795" t="inlineStr">
        <is>
          <t>PRAGMA</t>
        </is>
      </c>
      <c r="B1795" t="inlineStr">
        <is>
          <t>M2</t>
        </is>
      </c>
      <c r="C1795" t="inlineStr">
        <is>
          <t>Cali</t>
        </is>
      </c>
      <c r="D1795" t="inlineStr">
        <is>
          <t>7441</t>
        </is>
      </c>
      <c r="E1795" t="inlineStr">
        <is>
          <t>TDV</t>
        </is>
      </c>
      <c r="F1795" s="23" t="n">
        <v>46277</v>
      </c>
      <c r="G1795" t="inlineStr">
        <is>
          <t>recoleccion</t>
        </is>
      </c>
      <c r="H1795" s="26" t="n">
        <v>35611623</v>
      </c>
      <c r="I1795" t="inlineStr">
        <is>
          <t>bajo</t>
        </is>
      </c>
      <c r="J1795" t="inlineStr">
        <is>
          <t>RN-22 y RN-35: recoleccion al cierre de lo que pasa del cupo</t>
        </is>
      </c>
      <c r="K1795" t="inlineStr">
        <is>
          <t>Recoleccion al cierre: con el pronostico, el saldo cerraria en 104.461.623 COP, sobre el cupo de 68.850.000. Se recoge el excedente y el saldo queda en 68.850.000 COP. Equipo administrado por TDV.</t>
        </is>
      </c>
      <c r="L1795" s="26" t="n">
        <v>68850000</v>
      </c>
      <c r="M1795" s="26" t="n">
        <v>104461623</v>
      </c>
      <c r="N1795" s="27">
        <f>IF(ISNUMBER(M1795),M1795/L1795,"No aplica")</f>
        <v>1.5172349019607843</v>
      </c>
      <c r="O1795" s="25">
        <f>IF(G1795="provision",M1795+H1795,IF(G1795="recoleccion",M1795-H1795,"No aplica"))</f>
        <v>68850000</v>
      </c>
      <c r="P1795" s="26" t="n">
        <v>158012</v>
      </c>
    </row>
    <row r="1796">
      <c r="A1796" t="inlineStr">
        <is>
          <t>PRAGMA</t>
        </is>
      </c>
      <c r="B1796" t="inlineStr">
        <is>
          <t>M2</t>
        </is>
      </c>
      <c r="C1796" t="inlineStr">
        <is>
          <t>Cali</t>
        </is>
      </c>
      <c r="D1796" t="inlineStr">
        <is>
          <t>7441</t>
        </is>
      </c>
      <c r="E1796" t="inlineStr">
        <is>
          <t>TDV</t>
        </is>
      </c>
      <c r="F1796" s="23" t="n">
        <v>46278</v>
      </c>
      <c r="G1796" t="inlineStr">
        <is>
          <t>recoleccion</t>
        </is>
      </c>
      <c r="H1796" s="26" t="n">
        <v>8019404</v>
      </c>
      <c r="I1796" t="inlineStr">
        <is>
          <t>bajo</t>
        </is>
      </c>
      <c r="J1796" t="inlineStr">
        <is>
          <t>RN-22 y RN-35: recoleccion al cierre de lo que pasa del cupo</t>
        </is>
      </c>
      <c r="K1796" t="inlineStr">
        <is>
          <t>Recoleccion al cierre: con el pronostico, el saldo cerraria en 76.869.404 COP, sobre el cupo de 68.850.000. Se recoge el excedente y el saldo queda en 68.850.000 COP. Equipo administrado por TDV.</t>
        </is>
      </c>
      <c r="L1796" s="26" t="n">
        <v>68850000</v>
      </c>
      <c r="M1796" s="26" t="n">
        <v>76869404</v>
      </c>
      <c r="N1796" s="27">
        <f>IF(ISNUMBER(M1796),M1796/L1796,"No aplica")</f>
        <v>1.116476456063907</v>
      </c>
      <c r="O1796" s="25">
        <f>IF(G1796="provision",M1796+H1796,IF(G1796="recoleccion",M1796-H1796,"No aplica"))</f>
        <v>68850000</v>
      </c>
      <c r="P1796" s="26" t="n">
        <v>182814</v>
      </c>
    </row>
    <row r="1797">
      <c r="A1797" t="inlineStr">
        <is>
          <t>PRAGMA</t>
        </is>
      </c>
      <c r="B1797" t="inlineStr">
        <is>
          <t>M2</t>
        </is>
      </c>
      <c r="C1797" t="inlineStr">
        <is>
          <t>Cali</t>
        </is>
      </c>
      <c r="D1797" t="inlineStr">
        <is>
          <t>7441</t>
        </is>
      </c>
      <c r="E1797" t="inlineStr">
        <is>
          <t>TDV</t>
        </is>
      </c>
      <c r="F1797" s="23" t="n">
        <v>46279</v>
      </c>
      <c r="G1797" t="inlineStr">
        <is>
          <t>recoleccion</t>
        </is>
      </c>
      <c r="H1797" s="26" t="n">
        <v>35520523</v>
      </c>
      <c r="I1797" t="inlineStr">
        <is>
          <t>bajo</t>
        </is>
      </c>
      <c r="J1797" t="inlineStr">
        <is>
          <t>RN-22 y RN-35: recoleccion al cierre de lo que pasa del cupo</t>
        </is>
      </c>
      <c r="K1797" t="inlineStr">
        <is>
          <t>Recoleccion al cierre: con el pronostico, el saldo cerraria en 104.370.523 COP, sobre el cupo de 68.850.000. Se recoge el excedente y el saldo queda en 68.850.000 COP. Equipo administrado por TDV.</t>
        </is>
      </c>
      <c r="L1797" s="26" t="n">
        <v>68850000</v>
      </c>
      <c r="M1797" s="26" t="n">
        <v>104370523</v>
      </c>
      <c r="N1797" s="27">
        <f>IF(ISNUMBER(M1797),M1797/L1797,"No aplica")</f>
        <v>1.5159117356572258</v>
      </c>
      <c r="O1797" s="25">
        <f>IF(G1797="provision",M1797+H1797,IF(G1797="recoleccion",M1797-H1797,"No aplica"))</f>
        <v>68850000</v>
      </c>
      <c r="P1797" s="26" t="n">
        <v>158012</v>
      </c>
    </row>
    <row r="1798">
      <c r="A1798" t="inlineStr">
        <is>
          <t>PRAGMA</t>
        </is>
      </c>
      <c r="B1798" t="inlineStr">
        <is>
          <t>M2</t>
        </is>
      </c>
      <c r="C1798" t="inlineStr">
        <is>
          <t>Cali</t>
        </is>
      </c>
      <c r="D1798" t="inlineStr">
        <is>
          <t>7441</t>
        </is>
      </c>
      <c r="E1798" t="inlineStr">
        <is>
          <t>TDV</t>
        </is>
      </c>
      <c r="F1798" s="23" t="n">
        <v>46280</v>
      </c>
      <c r="G1798" t="inlineStr">
        <is>
          <t>recoleccion</t>
        </is>
      </c>
      <c r="H1798" s="26" t="n">
        <v>24030430</v>
      </c>
      <c r="I1798" t="inlineStr">
        <is>
          <t>bajo</t>
        </is>
      </c>
      <c r="J1798" t="inlineStr">
        <is>
          <t>RN-22 y RN-35: recoleccion al cierre de lo que pasa del cupo</t>
        </is>
      </c>
      <c r="K1798" t="inlineStr">
        <is>
          <t>Recoleccion al cierre: con el pronostico, el saldo cerraria en 92.880.430 COP, sobre el cupo de 68.850.000. Se recoge el excedente y el saldo queda en 68.850.000 COP. Equipo administrado por TDV.</t>
        </is>
      </c>
      <c r="L1798" s="26" t="n">
        <v>68850000</v>
      </c>
      <c r="M1798" s="26" t="n">
        <v>92880430</v>
      </c>
      <c r="N1798" s="27">
        <f>IF(ISNUMBER(M1798),M1798/L1798,"No aplica")</f>
        <v>1.3490258533042847</v>
      </c>
      <c r="O1798" s="25">
        <f>IF(G1798="provision",M1798+H1798,IF(G1798="recoleccion",M1798-H1798,"No aplica"))</f>
        <v>68850000</v>
      </c>
      <c r="P1798" s="26" t="n">
        <v>158012</v>
      </c>
    </row>
    <row r="1799">
      <c r="A1799" t="inlineStr">
        <is>
          <t>PRAGMA</t>
        </is>
      </c>
      <c r="B1799" t="inlineStr">
        <is>
          <t>M2</t>
        </is>
      </c>
      <c r="C1799" t="inlineStr">
        <is>
          <t>Cali</t>
        </is>
      </c>
      <c r="D1799" t="inlineStr">
        <is>
          <t>7442</t>
        </is>
      </c>
      <c r="E1799" t="inlineStr">
        <is>
          <t>TDV</t>
        </is>
      </c>
      <c r="F1799" s="23" t="n">
        <v>46266</v>
      </c>
      <c r="G1799" t="inlineStr">
        <is>
          <t>recoleccion</t>
        </is>
      </c>
      <c r="H1799" s="26" t="n">
        <v>32975029</v>
      </c>
      <c r="I1799" t="inlineStr">
        <is>
          <t>bajo</t>
        </is>
      </c>
      <c r="J1799" t="inlineStr">
        <is>
          <t>RN-22 y RN-35: recoleccion al cierre de lo que pasa del cupo</t>
        </is>
      </c>
      <c r="K1799" t="inlineStr">
        <is>
          <t>Recoleccion al cierre: con el pronostico, el saldo cerraria en 100.825.029 COP, sobre el cupo de 67.850.000. Se recoge el excedente y el saldo queda en 67.850.000 COP. Equipo administrado por TDV.</t>
        </is>
      </c>
      <c r="L1799" s="26" t="n">
        <v>67850000</v>
      </c>
      <c r="M1799" s="26" t="n">
        <v>100825029</v>
      </c>
      <c r="N1799" s="27">
        <f>IF(ISNUMBER(M1799),M1799/L1799,"No aplica")</f>
        <v>1.4859989535740605</v>
      </c>
      <c r="O1799" s="25">
        <f>IF(G1799="provision",M1799+H1799,IF(G1799="recoleccion",M1799-H1799,"No aplica"))</f>
        <v>67850000</v>
      </c>
      <c r="P1799" s="26" t="n">
        <v>158012</v>
      </c>
    </row>
    <row r="1800">
      <c r="A1800" t="inlineStr">
        <is>
          <t>PRAGMA</t>
        </is>
      </c>
      <c r="B1800" t="inlineStr">
        <is>
          <t>M2</t>
        </is>
      </c>
      <c r="C1800" t="inlineStr">
        <is>
          <t>Cali</t>
        </is>
      </c>
      <c r="D1800" t="inlineStr">
        <is>
          <t>7442</t>
        </is>
      </c>
      <c r="E1800" t="inlineStr">
        <is>
          <t>TDV</t>
        </is>
      </c>
      <c r="F1800" s="23" t="n">
        <v>46267</v>
      </c>
      <c r="G1800" t="inlineStr">
        <is>
          <t>recoleccion</t>
        </is>
      </c>
      <c r="H1800" s="26" t="n">
        <v>29363768</v>
      </c>
      <c r="I1800" t="inlineStr">
        <is>
          <t>bajo</t>
        </is>
      </c>
      <c r="J1800" t="inlineStr">
        <is>
          <t>RN-22 y RN-35: recoleccion al cierre de lo que pasa del cupo</t>
        </is>
      </c>
      <c r="K1800" t="inlineStr">
        <is>
          <t>Recoleccion al cierre: con el pronostico, el saldo cerraria en 97.213.768 COP, sobre el cupo de 67.850.000. Se recoge el excedente y el saldo queda en 67.850.000 COP. Equipo administrado por TDV.</t>
        </is>
      </c>
      <c r="L1800" s="26" t="n">
        <v>67850000</v>
      </c>
      <c r="M1800" s="26" t="n">
        <v>97213768</v>
      </c>
      <c r="N1800" s="27">
        <f>IF(ISNUMBER(M1800),M1800/L1800,"No aplica")</f>
        <v>1.4327747678703022</v>
      </c>
      <c r="O1800" s="25">
        <f>IF(G1800="provision",M1800+H1800,IF(G1800="recoleccion",M1800-H1800,"No aplica"))</f>
        <v>67850000</v>
      </c>
      <c r="P1800" s="26" t="n">
        <v>158012</v>
      </c>
    </row>
    <row r="1801">
      <c r="A1801" t="inlineStr">
        <is>
          <t>PRAGMA</t>
        </is>
      </c>
      <c r="B1801" t="inlineStr">
        <is>
          <t>M2</t>
        </is>
      </c>
      <c r="C1801" t="inlineStr">
        <is>
          <t>Cali</t>
        </is>
      </c>
      <c r="D1801" t="inlineStr">
        <is>
          <t>7442</t>
        </is>
      </c>
      <c r="E1801" t="inlineStr">
        <is>
          <t>TDV</t>
        </is>
      </c>
      <c r="F1801" s="23" t="n">
        <v>46268</v>
      </c>
      <c r="G1801" t="inlineStr">
        <is>
          <t>recoleccion</t>
        </is>
      </c>
      <c r="H1801" s="26" t="n">
        <v>37435368</v>
      </c>
      <c r="I1801" t="inlineStr">
        <is>
          <t>bajo</t>
        </is>
      </c>
      <c r="J1801" t="inlineStr">
        <is>
          <t>RN-22 y RN-35: recoleccion al cierre de lo que pasa del cupo</t>
        </is>
      </c>
      <c r="K1801" t="inlineStr">
        <is>
          <t>Recoleccion al cierre: con el pronostico, el saldo cerraria en 105.285.368 COP, sobre el cupo de 67.850.000. Se recoge el excedente y el saldo queda en 67.850.000 COP. Equipo administrado por TDV.</t>
        </is>
      </c>
      <c r="L1801" s="26" t="n">
        <v>67850000</v>
      </c>
      <c r="M1801" s="26" t="n">
        <v>105285368</v>
      </c>
      <c r="N1801" s="27">
        <f>IF(ISNUMBER(M1801),M1801/L1801,"No aplica")</f>
        <v>1.5517371849668387</v>
      </c>
      <c r="O1801" s="25">
        <f>IF(G1801="provision",M1801+H1801,IF(G1801="recoleccion",M1801-H1801,"No aplica"))</f>
        <v>67850000</v>
      </c>
      <c r="P1801" s="26" t="n">
        <v>158012</v>
      </c>
    </row>
    <row r="1802">
      <c r="A1802" t="inlineStr">
        <is>
          <t>PRAGMA</t>
        </is>
      </c>
      <c r="B1802" t="inlineStr">
        <is>
          <t>M2</t>
        </is>
      </c>
      <c r="C1802" t="inlineStr">
        <is>
          <t>Cali</t>
        </is>
      </c>
      <c r="D1802" t="inlineStr">
        <is>
          <t>7442</t>
        </is>
      </c>
      <c r="E1802" t="inlineStr">
        <is>
          <t>TDV</t>
        </is>
      </c>
      <c r="F1802" s="23" t="n">
        <v>46269</v>
      </c>
      <c r="G1802" t="inlineStr">
        <is>
          <t>recoleccion</t>
        </is>
      </c>
      <c r="H1802" s="26" t="n">
        <v>40395060</v>
      </c>
      <c r="I1802" t="inlineStr">
        <is>
          <t>bajo</t>
        </is>
      </c>
      <c r="J1802" t="inlineStr">
        <is>
          <t>RN-22 y RN-35: recoleccion al cierre de lo que pasa del cupo</t>
        </is>
      </c>
      <c r="K1802" t="inlineStr">
        <is>
          <t>Recoleccion al cierre: con el pronostico, el saldo cerraria en 108.245.060 COP, sobre el cupo de 67.850.000. Se recoge el excedente y el saldo queda en 67.850.000 COP. Equipo administrado por TDV.</t>
        </is>
      </c>
      <c r="L1802" s="26" t="n">
        <v>67850000</v>
      </c>
      <c r="M1802" s="26" t="n">
        <v>108245060</v>
      </c>
      <c r="N1802" s="27">
        <f>IF(ISNUMBER(M1802),M1802/L1802,"No aplica")</f>
        <v>1.5953582903463523</v>
      </c>
      <c r="O1802" s="25">
        <f>IF(G1802="provision",M1802+H1802,IF(G1802="recoleccion",M1802-H1802,"No aplica"))</f>
        <v>67850000</v>
      </c>
      <c r="P1802" s="26" t="n">
        <v>158012</v>
      </c>
    </row>
    <row r="1803">
      <c r="A1803" t="inlineStr">
        <is>
          <t>PRAGMA</t>
        </is>
      </c>
      <c r="B1803" t="inlineStr">
        <is>
          <t>M2</t>
        </is>
      </c>
      <c r="C1803" t="inlineStr">
        <is>
          <t>Cali</t>
        </is>
      </c>
      <c r="D1803" t="inlineStr">
        <is>
          <t>7442</t>
        </is>
      </c>
      <c r="E1803" t="inlineStr">
        <is>
          <t>TDV</t>
        </is>
      </c>
      <c r="F1803" s="23" t="n">
        <v>46270</v>
      </c>
      <c r="G1803" t="inlineStr">
        <is>
          <t>recoleccion</t>
        </is>
      </c>
      <c r="H1803" s="26" t="n">
        <v>33869330</v>
      </c>
      <c r="I1803" t="inlineStr">
        <is>
          <t>bajo</t>
        </is>
      </c>
      <c r="J1803" t="inlineStr">
        <is>
          <t>RN-22 y RN-35: recoleccion al cierre de lo que pasa del cupo</t>
        </is>
      </c>
      <c r="K1803" t="inlineStr">
        <is>
          <t>Recoleccion al cierre: con el pronostico, el saldo cerraria en 101.719.330 COP, sobre el cupo de 67.850.000. Se recoge el excedente y el saldo queda en 67.850.000 COP. Equipo administrado por TDV.</t>
        </is>
      </c>
      <c r="L1803" s="26" t="n">
        <v>67850000</v>
      </c>
      <c r="M1803" s="26" t="n">
        <v>101719330</v>
      </c>
      <c r="N1803" s="27">
        <f>IF(ISNUMBER(M1803),M1803/L1803,"No aplica")</f>
        <v>1.499179513633014</v>
      </c>
      <c r="O1803" s="25">
        <f>IF(G1803="provision",M1803+H1803,IF(G1803="recoleccion",M1803-H1803,"No aplica"))</f>
        <v>67850000</v>
      </c>
      <c r="P1803" s="26" t="n">
        <v>158012</v>
      </c>
    </row>
    <row r="1804">
      <c r="A1804" t="inlineStr">
        <is>
          <t>PRAGMA</t>
        </is>
      </c>
      <c r="B1804" t="inlineStr">
        <is>
          <t>M2</t>
        </is>
      </c>
      <c r="C1804" t="inlineStr">
        <is>
          <t>Cali</t>
        </is>
      </c>
      <c r="D1804" t="inlineStr">
        <is>
          <t>7442</t>
        </is>
      </c>
      <c r="E1804" t="inlineStr">
        <is>
          <t>TDV</t>
        </is>
      </c>
      <c r="F1804" s="23" t="n">
        <v>46271</v>
      </c>
      <c r="G1804" t="inlineStr">
        <is>
          <t>recoleccion</t>
        </is>
      </c>
      <c r="H1804" s="26" t="n">
        <v>8962706</v>
      </c>
      <c r="I1804" t="inlineStr">
        <is>
          <t>bajo</t>
        </is>
      </c>
      <c r="J1804" t="inlineStr">
        <is>
          <t>RN-22 y RN-35: recoleccion al cierre de lo que pasa del cupo</t>
        </is>
      </c>
      <c r="K1804" t="inlineStr">
        <is>
          <t>Recoleccion al cierre: con el pronostico, el saldo cerraria en 76.812.706 COP, sobre el cupo de 67.850.000. Se recoge el excedente y el saldo queda en 67.850.000 COP. Equipo administrado por TDV.</t>
        </is>
      </c>
      <c r="L1804" s="26" t="n">
        <v>67850000</v>
      </c>
      <c r="M1804" s="26" t="n">
        <v>76812706</v>
      </c>
      <c r="N1804" s="27">
        <f>IF(ISNUMBER(M1804),M1804/L1804,"No aplica")</f>
        <v>1.1320958879882093</v>
      </c>
      <c r="O1804" s="25">
        <f>IF(G1804="provision",M1804+H1804,IF(G1804="recoleccion",M1804-H1804,"No aplica"))</f>
        <v>67850000</v>
      </c>
      <c r="P1804" s="26" t="n">
        <v>182814</v>
      </c>
    </row>
    <row r="1805">
      <c r="A1805" t="inlineStr">
        <is>
          <t>PRAGMA</t>
        </is>
      </c>
      <c r="B1805" t="inlineStr">
        <is>
          <t>M2</t>
        </is>
      </c>
      <c r="C1805" t="inlineStr">
        <is>
          <t>Cali</t>
        </is>
      </c>
      <c r="D1805" t="inlineStr">
        <is>
          <t>7442</t>
        </is>
      </c>
      <c r="E1805" t="inlineStr">
        <is>
          <t>TDV</t>
        </is>
      </c>
      <c r="F1805" s="23" t="n">
        <v>46272</v>
      </c>
      <c r="G1805" t="inlineStr">
        <is>
          <t>recoleccion</t>
        </is>
      </c>
      <c r="H1805" s="26" t="n">
        <v>44296619</v>
      </c>
      <c r="I1805" t="inlineStr">
        <is>
          <t>bajo</t>
        </is>
      </c>
      <c r="J1805" t="inlineStr">
        <is>
          <t>RN-22 y RN-35: recoleccion al cierre de lo que pasa del cupo</t>
        </is>
      </c>
      <c r="K1805" t="inlineStr">
        <is>
          <t>Recoleccion al cierre: con el pronostico, el saldo cerraria en 112.146.619 COP, sobre el cupo de 67.850.000. Se recoge el excedente y el saldo queda en 67.850.000 COP. Equipo administrado por TDV.</t>
        </is>
      </c>
      <c r="L1805" s="26" t="n">
        <v>67850000</v>
      </c>
      <c r="M1805" s="26" t="n">
        <v>112146619</v>
      </c>
      <c r="N1805" s="27">
        <f>IF(ISNUMBER(M1805),M1805/L1805,"No aplica")</f>
        <v>1.652861002210759</v>
      </c>
      <c r="O1805" s="25">
        <f>IF(G1805="provision",M1805+H1805,IF(G1805="recoleccion",M1805-H1805,"No aplica"))</f>
        <v>67850000</v>
      </c>
      <c r="P1805" s="26" t="n">
        <v>158012</v>
      </c>
    </row>
    <row r="1806">
      <c r="A1806" t="inlineStr">
        <is>
          <t>PRAGMA</t>
        </is>
      </c>
      <c r="B1806" t="inlineStr">
        <is>
          <t>M2</t>
        </is>
      </c>
      <c r="C1806" t="inlineStr">
        <is>
          <t>Cali</t>
        </is>
      </c>
      <c r="D1806" t="inlineStr">
        <is>
          <t>7442</t>
        </is>
      </c>
      <c r="E1806" t="inlineStr">
        <is>
          <t>TDV</t>
        </is>
      </c>
      <c r="F1806" s="23" t="n">
        <v>46273</v>
      </c>
      <c r="G1806" t="inlineStr">
        <is>
          <t>recoleccion</t>
        </is>
      </c>
      <c r="H1806" s="26" t="n">
        <v>41689222</v>
      </c>
      <c r="I1806" t="inlineStr">
        <is>
          <t>bajo</t>
        </is>
      </c>
      <c r="J1806" t="inlineStr">
        <is>
          <t>RN-22 y RN-35: recoleccion al cierre de lo que pasa del cupo</t>
        </is>
      </c>
      <c r="K1806" t="inlineStr">
        <is>
          <t>Recoleccion al cierre: con el pronostico, el saldo cerraria en 109.539.222 COP, sobre el cupo de 67.850.000. Se recoge el excedente y el saldo queda en 67.850.000 COP. Equipo administrado por TDV.</t>
        </is>
      </c>
      <c r="L1806" s="26" t="n">
        <v>67850000</v>
      </c>
      <c r="M1806" s="26" t="n">
        <v>109539222</v>
      </c>
      <c r="N1806" s="27">
        <f>IF(ISNUMBER(M1806),M1806/L1806,"No aplica")</f>
        <v>1.61443215917465</v>
      </c>
      <c r="O1806" s="25">
        <f>IF(G1806="provision",M1806+H1806,IF(G1806="recoleccion",M1806-H1806,"No aplica"))</f>
        <v>67850000</v>
      </c>
      <c r="P1806" s="26" t="n">
        <v>158012</v>
      </c>
    </row>
    <row r="1807">
      <c r="A1807" t="inlineStr">
        <is>
          <t>PRAGMA</t>
        </is>
      </c>
      <c r="B1807" t="inlineStr">
        <is>
          <t>M2</t>
        </is>
      </c>
      <c r="C1807" t="inlineStr">
        <is>
          <t>Cali</t>
        </is>
      </c>
      <c r="D1807" t="inlineStr">
        <is>
          <t>7442</t>
        </is>
      </c>
      <c r="E1807" t="inlineStr">
        <is>
          <t>TDV</t>
        </is>
      </c>
      <c r="F1807" s="23" t="n">
        <v>46274</v>
      </c>
      <c r="G1807" t="inlineStr">
        <is>
          <t>recoleccion</t>
        </is>
      </c>
      <c r="H1807" s="26" t="n">
        <v>34611386</v>
      </c>
      <c r="I1807" t="inlineStr">
        <is>
          <t>bajo</t>
        </is>
      </c>
      <c r="J1807" t="inlineStr">
        <is>
          <t>RN-22 y RN-35: recoleccion al cierre de lo que pasa del cupo</t>
        </is>
      </c>
      <c r="K1807" t="inlineStr">
        <is>
          <t>Recoleccion al cierre: con el pronostico, el saldo cerraria en 102.461.386 COP, sobre el cupo de 67.850.000. Se recoge el excedente y el saldo queda en 67.850.000 COP. Equipo administrado por TDV.</t>
        </is>
      </c>
      <c r="L1807" s="26" t="n">
        <v>67850000</v>
      </c>
      <c r="M1807" s="26" t="n">
        <v>102461386</v>
      </c>
      <c r="N1807" s="27">
        <f>IF(ISNUMBER(M1807),M1807/L1807,"No aplica")</f>
        <v>1.51011622697126</v>
      </c>
      <c r="O1807" s="25">
        <f>IF(G1807="provision",M1807+H1807,IF(G1807="recoleccion",M1807-H1807,"No aplica"))</f>
        <v>67850000</v>
      </c>
      <c r="P1807" s="26" t="n">
        <v>158012</v>
      </c>
    </row>
    <row r="1808">
      <c r="A1808" t="inlineStr">
        <is>
          <t>PRAGMA</t>
        </is>
      </c>
      <c r="B1808" t="inlineStr">
        <is>
          <t>M2</t>
        </is>
      </c>
      <c r="C1808" t="inlineStr">
        <is>
          <t>Cali</t>
        </is>
      </c>
      <c r="D1808" t="inlineStr">
        <is>
          <t>7442</t>
        </is>
      </c>
      <c r="E1808" t="inlineStr">
        <is>
          <t>TDV</t>
        </is>
      </c>
      <c r="F1808" s="23" t="n">
        <v>46275</v>
      </c>
      <c r="G1808" t="inlineStr">
        <is>
          <t>recoleccion</t>
        </is>
      </c>
      <c r="H1808" s="26" t="n">
        <v>39612296</v>
      </c>
      <c r="I1808" t="inlineStr">
        <is>
          <t>bajo</t>
        </is>
      </c>
      <c r="J1808" t="inlineStr">
        <is>
          <t>RN-22 y RN-35: recoleccion al cierre de lo que pasa del cupo</t>
        </is>
      </c>
      <c r="K1808" t="inlineStr">
        <is>
          <t>Recoleccion al cierre: con el pronostico, el saldo cerraria en 107.462.296 COP, sobre el cupo de 67.850.000. Se recoge el excedente y el saldo queda en 67.850.000 COP. Equipo administrado por TDV.</t>
        </is>
      </c>
      <c r="L1808" s="26" t="n">
        <v>67850000</v>
      </c>
      <c r="M1808" s="26" t="n">
        <v>107462296</v>
      </c>
      <c r="N1808" s="27">
        <f>IF(ISNUMBER(M1808),M1808/L1808,"No aplica")</f>
        <v>1.5838216064848931</v>
      </c>
      <c r="O1808" s="25">
        <f>IF(G1808="provision",M1808+H1808,IF(G1808="recoleccion",M1808-H1808,"No aplica"))</f>
        <v>67850000</v>
      </c>
      <c r="P1808" s="26" t="n">
        <v>158012</v>
      </c>
    </row>
    <row r="1809">
      <c r="A1809" t="inlineStr">
        <is>
          <t>PRAGMA</t>
        </is>
      </c>
      <c r="B1809" t="inlineStr">
        <is>
          <t>M2</t>
        </is>
      </c>
      <c r="C1809" t="inlineStr">
        <is>
          <t>Cali</t>
        </is>
      </c>
      <c r="D1809" t="inlineStr">
        <is>
          <t>7442</t>
        </is>
      </c>
      <c r="E1809" t="inlineStr">
        <is>
          <t>TDV</t>
        </is>
      </c>
      <c r="F1809" s="23" t="n">
        <v>46276</v>
      </c>
      <c r="G1809" t="inlineStr">
        <is>
          <t>recoleccion</t>
        </is>
      </c>
      <c r="H1809" s="26" t="n">
        <v>40897433</v>
      </c>
      <c r="I1809" t="inlineStr">
        <is>
          <t>bajo</t>
        </is>
      </c>
      <c r="J1809" t="inlineStr">
        <is>
          <t>RN-22 y RN-35: recoleccion al cierre de lo que pasa del cupo</t>
        </is>
      </c>
      <c r="K1809" t="inlineStr">
        <is>
          <t>Recoleccion al cierre: con el pronostico, el saldo cerraria en 108.747.433 COP, sobre el cupo de 67.850.000. Se recoge el excedente y el saldo queda en 67.850.000 COP. Equipo administrado por TDV.</t>
        </is>
      </c>
      <c r="L1809" s="26" t="n">
        <v>67850000</v>
      </c>
      <c r="M1809" s="26" t="n">
        <v>108747433</v>
      </c>
      <c r="N1809" s="27">
        <f>IF(ISNUMBER(M1809),M1809/L1809,"No aplica")</f>
        <v>1.602762461311717</v>
      </c>
      <c r="O1809" s="25">
        <f>IF(G1809="provision",M1809+H1809,IF(G1809="recoleccion",M1809-H1809,"No aplica"))</f>
        <v>67850000</v>
      </c>
      <c r="P1809" s="26" t="n">
        <v>158012</v>
      </c>
    </row>
    <row r="1810">
      <c r="A1810" t="inlineStr">
        <is>
          <t>PRAGMA</t>
        </is>
      </c>
      <c r="B1810" t="inlineStr">
        <is>
          <t>M2</t>
        </is>
      </c>
      <c r="C1810" t="inlineStr">
        <is>
          <t>Cali</t>
        </is>
      </c>
      <c r="D1810" t="inlineStr">
        <is>
          <t>7442</t>
        </is>
      </c>
      <c r="E1810" t="inlineStr">
        <is>
          <t>TDV</t>
        </is>
      </c>
      <c r="F1810" s="23" t="n">
        <v>46277</v>
      </c>
      <c r="G1810" t="inlineStr">
        <is>
          <t>recoleccion</t>
        </is>
      </c>
      <c r="H1810" s="26" t="n">
        <v>35354451</v>
      </c>
      <c r="I1810" t="inlineStr">
        <is>
          <t>bajo</t>
        </is>
      </c>
      <c r="J1810" t="inlineStr">
        <is>
          <t>RN-22 y RN-35: recoleccion al cierre de lo que pasa del cupo</t>
        </is>
      </c>
      <c r="K1810" t="inlineStr">
        <is>
          <t>Recoleccion al cierre: con el pronostico, el saldo cerraria en 103.204.451 COP, sobre el cupo de 67.850.000. Se recoge el excedente y el saldo queda en 67.850.000 COP. Equipo administrado por TDV.</t>
        </is>
      </c>
      <c r="L1810" s="26" t="n">
        <v>67850000</v>
      </c>
      <c r="M1810" s="26" t="n">
        <v>103204451</v>
      </c>
      <c r="N1810" s="27">
        <f>IF(ISNUMBER(M1810),M1810/L1810,"No aplica")</f>
        <v>1.521067811348563</v>
      </c>
      <c r="O1810" s="25">
        <f>IF(G1810="provision",M1810+H1810,IF(G1810="recoleccion",M1810-H1810,"No aplica"))</f>
        <v>67850000</v>
      </c>
      <c r="P1810" s="26" t="n">
        <v>158012</v>
      </c>
    </row>
    <row r="1811">
      <c r="A1811" t="inlineStr">
        <is>
          <t>PRAGMA</t>
        </is>
      </c>
      <c r="B1811" t="inlineStr">
        <is>
          <t>M2</t>
        </is>
      </c>
      <c r="C1811" t="inlineStr">
        <is>
          <t>Cali</t>
        </is>
      </c>
      <c r="D1811" t="inlineStr">
        <is>
          <t>7442</t>
        </is>
      </c>
      <c r="E1811" t="inlineStr">
        <is>
          <t>TDV</t>
        </is>
      </c>
      <c r="F1811" s="23" t="n">
        <v>46278</v>
      </c>
      <c r="G1811" t="inlineStr">
        <is>
          <t>recoleccion</t>
        </is>
      </c>
      <c r="H1811" s="26" t="n">
        <v>6345107</v>
      </c>
      <c r="I1811" t="inlineStr">
        <is>
          <t>bajo</t>
        </is>
      </c>
      <c r="J1811" t="inlineStr">
        <is>
          <t>RN-22 y RN-35: recoleccion al cierre de lo que pasa del cupo</t>
        </is>
      </c>
      <c r="K1811" t="inlineStr">
        <is>
          <t>Recoleccion al cierre: con el pronostico, el saldo cerraria en 74.195.107 COP, sobre el cupo de 67.850.000. Se recoge el excedente y el saldo queda en 67.850.000 COP. Equipo administrado por TDV.</t>
        </is>
      </c>
      <c r="L1811" s="26" t="n">
        <v>67850000</v>
      </c>
      <c r="M1811" s="26" t="n">
        <v>74195107</v>
      </c>
      <c r="N1811" s="27">
        <f>IF(ISNUMBER(M1811),M1811/L1811,"No aplica")</f>
        <v>1.0935166838614592</v>
      </c>
      <c r="O1811" s="25">
        <f>IF(G1811="provision",M1811+H1811,IF(G1811="recoleccion",M1811-H1811,"No aplica"))</f>
        <v>67850000</v>
      </c>
      <c r="P1811" s="26" t="n">
        <v>182814</v>
      </c>
    </row>
    <row r="1812">
      <c r="A1812" t="inlineStr">
        <is>
          <t>PRAGMA</t>
        </is>
      </c>
      <c r="B1812" t="inlineStr">
        <is>
          <t>M2</t>
        </is>
      </c>
      <c r="C1812" t="inlineStr">
        <is>
          <t>Cali</t>
        </is>
      </c>
      <c r="D1812" t="inlineStr">
        <is>
          <t>7442</t>
        </is>
      </c>
      <c r="E1812" t="inlineStr">
        <is>
          <t>TDV</t>
        </is>
      </c>
      <c r="F1812" s="23" t="n">
        <v>46279</v>
      </c>
      <c r="G1812" t="inlineStr">
        <is>
          <t>recoleccion</t>
        </is>
      </c>
      <c r="H1812" s="26" t="n">
        <v>41143797</v>
      </c>
      <c r="I1812" t="inlineStr">
        <is>
          <t>bajo</t>
        </is>
      </c>
      <c r="J1812" t="inlineStr">
        <is>
          <t>RN-22 y RN-35: recoleccion al cierre de lo que pasa del cupo</t>
        </is>
      </c>
      <c r="K1812" t="inlineStr">
        <is>
          <t>Recoleccion al cierre: con el pronostico, el saldo cerraria en 108.993.797 COP, sobre el cupo de 67.850.000. Se recoge el excedente y el saldo queda en 67.850.000 COP. Equipo administrado por TDV.</t>
        </is>
      </c>
      <c r="L1812" s="26" t="n">
        <v>67850000</v>
      </c>
      <c r="M1812" s="26" t="n">
        <v>108993797</v>
      </c>
      <c r="N1812" s="27">
        <f>IF(ISNUMBER(M1812),M1812/L1812,"No aplica")</f>
        <v>1.6063934708916727</v>
      </c>
      <c r="O1812" s="25">
        <f>IF(G1812="provision",M1812+H1812,IF(G1812="recoleccion",M1812-H1812,"No aplica"))</f>
        <v>67850000</v>
      </c>
      <c r="P1812" s="26" t="n">
        <v>158012</v>
      </c>
    </row>
    <row r="1813">
      <c r="A1813" t="inlineStr">
        <is>
          <t>PRAGMA</t>
        </is>
      </c>
      <c r="B1813" t="inlineStr">
        <is>
          <t>M2</t>
        </is>
      </c>
      <c r="C1813" t="inlineStr">
        <is>
          <t>Cali</t>
        </is>
      </c>
      <c r="D1813" t="inlineStr">
        <is>
          <t>7442</t>
        </is>
      </c>
      <c r="E1813" t="inlineStr">
        <is>
          <t>TDV</t>
        </is>
      </c>
      <c r="F1813" s="23" t="n">
        <v>46280</v>
      </c>
      <c r="G1813" t="inlineStr">
        <is>
          <t>recoleccion</t>
        </is>
      </c>
      <c r="H1813" s="26" t="n">
        <v>39026399</v>
      </c>
      <c r="I1813" t="inlineStr">
        <is>
          <t>bajo</t>
        </is>
      </c>
      <c r="J1813" t="inlineStr">
        <is>
          <t>RN-22 y RN-35: recoleccion al cierre de lo que pasa del cupo</t>
        </is>
      </c>
      <c r="K1813" t="inlineStr">
        <is>
          <t>Recoleccion al cierre: con el pronostico, el saldo cerraria en 106.876.399 COP, sobre el cupo de 67.850.000. Se recoge el excedente y el saldo queda en 67.850.000 COP. Equipo administrado por TDV.</t>
        </is>
      </c>
      <c r="L1813" s="26" t="n">
        <v>67850000</v>
      </c>
      <c r="M1813" s="26" t="n">
        <v>106876399</v>
      </c>
      <c r="N1813" s="27">
        <f>IF(ISNUMBER(M1813),M1813/L1813,"No aplica")</f>
        <v>1.5751864259395725</v>
      </c>
      <c r="O1813" s="25">
        <f>IF(G1813="provision",M1813+H1813,IF(G1813="recoleccion",M1813-H1813,"No aplica"))</f>
        <v>67850000</v>
      </c>
      <c r="P1813" s="26" t="n">
        <v>158012</v>
      </c>
    </row>
    <row r="1814">
      <c r="A1814" t="inlineStr">
        <is>
          <t>PRAGMA</t>
        </is>
      </c>
      <c r="B1814" t="inlineStr">
        <is>
          <t>M2</t>
        </is>
      </c>
      <c r="C1814" t="inlineStr">
        <is>
          <t>Cali</t>
        </is>
      </c>
      <c r="D1814" t="inlineStr">
        <is>
          <t>7567</t>
        </is>
      </c>
      <c r="E1814" t="inlineStr">
        <is>
          <t>TDV</t>
        </is>
      </c>
      <c r="F1814" s="23" t="n">
        <v>46266</v>
      </c>
      <c r="G1814" t="inlineStr">
        <is>
          <t>recoleccion</t>
        </is>
      </c>
      <c r="H1814" s="26" t="n">
        <v>168180958</v>
      </c>
      <c r="I1814" t="inlineStr">
        <is>
          <t>bajo</t>
        </is>
      </c>
      <c r="J1814" t="inlineStr">
        <is>
          <t>RN-22 y RN-35: recoleccion al cierre de lo que pasa del cupo</t>
        </is>
      </c>
      <c r="K1814" t="inlineStr">
        <is>
          <t>Recoleccion al cierre: con el pronostico, el saldo cerraria en 236.030.958 COP, sobre el cupo de 67.850.000. Se recoge el excedente y el saldo queda en 67.850.000 COP. Equipo administrado por TDV.</t>
        </is>
      </c>
      <c r="L1814" s="26" t="n">
        <v>67850000</v>
      </c>
      <c r="M1814" s="26" t="n">
        <v>236030958</v>
      </c>
      <c r="N1814" s="27">
        <f>IF(ISNUMBER(M1814),M1814/L1814,"No aplica")</f>
        <v>3.478717140751658</v>
      </c>
      <c r="O1814" s="25">
        <f>IF(G1814="provision",M1814+H1814,IF(G1814="recoleccion",M1814-H1814,"No aplica"))</f>
        <v>67850000</v>
      </c>
      <c r="P1814" s="26" t="n">
        <v>158012</v>
      </c>
    </row>
    <row r="1815">
      <c r="A1815" t="inlineStr">
        <is>
          <t>PRAGMA</t>
        </is>
      </c>
      <c r="B1815" t="inlineStr">
        <is>
          <t>M2</t>
        </is>
      </c>
      <c r="C1815" t="inlineStr">
        <is>
          <t>Cali</t>
        </is>
      </c>
      <c r="D1815" t="inlineStr">
        <is>
          <t>7567</t>
        </is>
      </c>
      <c r="E1815" t="inlineStr">
        <is>
          <t>TDV</t>
        </is>
      </c>
      <c r="F1815" s="23" t="n">
        <v>46267</v>
      </c>
      <c r="G1815" t="inlineStr">
        <is>
          <t>recoleccion</t>
        </is>
      </c>
      <c r="H1815" s="26" t="n">
        <v>154206738</v>
      </c>
      <c r="I1815" t="inlineStr">
        <is>
          <t>bajo</t>
        </is>
      </c>
      <c r="J1815" t="inlineStr">
        <is>
          <t>RN-22 y RN-35: recoleccion al cierre de lo que pasa del cupo</t>
        </is>
      </c>
      <c r="K1815" t="inlineStr">
        <is>
          <t>Recoleccion al cierre: con el pronostico, el saldo cerraria en 222.056.738 COP, sobre el cupo de 67.850.000. Se recoge el excedente y el saldo queda en 67.850.000 COP. Equipo administrado por TDV.</t>
        </is>
      </c>
      <c r="L1815" s="26" t="n">
        <v>67850000</v>
      </c>
      <c r="M1815" s="26" t="n">
        <v>222056738</v>
      </c>
      <c r="N1815" s="27">
        <f>IF(ISNUMBER(M1815),M1815/L1815,"No aplica")</f>
        <v>3.2727595873249817</v>
      </c>
      <c r="O1815" s="25">
        <f>IF(G1815="provision",M1815+H1815,IF(G1815="recoleccion",M1815-H1815,"No aplica"))</f>
        <v>67850000</v>
      </c>
      <c r="P1815" s="26" t="n">
        <v>158012</v>
      </c>
    </row>
    <row r="1816">
      <c r="A1816" t="inlineStr">
        <is>
          <t>PRAGMA</t>
        </is>
      </c>
      <c r="B1816" t="inlineStr">
        <is>
          <t>M2</t>
        </is>
      </c>
      <c r="C1816" t="inlineStr">
        <is>
          <t>Cali</t>
        </is>
      </c>
      <c r="D1816" t="inlineStr">
        <is>
          <t>7567</t>
        </is>
      </c>
      <c r="E1816" t="inlineStr">
        <is>
          <t>TDV</t>
        </is>
      </c>
      <c r="F1816" s="23" t="n">
        <v>46268</v>
      </c>
      <c r="G1816" t="inlineStr">
        <is>
          <t>recoleccion</t>
        </is>
      </c>
      <c r="H1816" s="26" t="n">
        <v>154144730</v>
      </c>
      <c r="I1816" t="inlineStr">
        <is>
          <t>bajo</t>
        </is>
      </c>
      <c r="J1816" t="inlineStr">
        <is>
          <t>RN-22 y RN-35: recoleccion al cierre de lo que pasa del cupo</t>
        </is>
      </c>
      <c r="K1816" t="inlineStr">
        <is>
          <t>Recoleccion al cierre: con el pronostico, el saldo cerraria en 221.994.730 COP, sobre el cupo de 67.850.000. Se recoge el excedente y el saldo queda en 67.850.000 COP. Equipo administrado por TDV.</t>
        </is>
      </c>
      <c r="L1816" s="26" t="n">
        <v>67850000</v>
      </c>
      <c r="M1816" s="26" t="n">
        <v>221994730</v>
      </c>
      <c r="N1816" s="27">
        <f>IF(ISNUMBER(M1816),M1816/L1816,"No aplica")</f>
        <v>3.271845689019897</v>
      </c>
      <c r="O1816" s="25">
        <f>IF(G1816="provision",M1816+H1816,IF(G1816="recoleccion",M1816-H1816,"No aplica"))</f>
        <v>67850000</v>
      </c>
      <c r="P1816" s="26" t="n">
        <v>158012</v>
      </c>
    </row>
    <row r="1817">
      <c r="A1817" t="inlineStr">
        <is>
          <t>PRAGMA</t>
        </is>
      </c>
      <c r="B1817" t="inlineStr">
        <is>
          <t>M2</t>
        </is>
      </c>
      <c r="C1817" t="inlineStr">
        <is>
          <t>Cali</t>
        </is>
      </c>
      <c r="D1817" t="inlineStr">
        <is>
          <t>7567</t>
        </is>
      </c>
      <c r="E1817" t="inlineStr">
        <is>
          <t>TDV</t>
        </is>
      </c>
      <c r="F1817" s="23" t="n">
        <v>46269</v>
      </c>
      <c r="G1817" t="inlineStr">
        <is>
          <t>recoleccion</t>
        </is>
      </c>
      <c r="H1817" s="26" t="n">
        <v>168811791</v>
      </c>
      <c r="I1817" t="inlineStr">
        <is>
          <t>bajo</t>
        </is>
      </c>
      <c r="J1817" t="inlineStr">
        <is>
          <t>RN-22 y RN-35: recoleccion al cierre de lo que pasa del cupo</t>
        </is>
      </c>
      <c r="K1817" t="inlineStr">
        <is>
          <t>Recoleccion al cierre: con el pronostico, el saldo cerraria en 236.661.791 COP, sobre el cupo de 67.850.000. Se recoge el excedente y el saldo queda en 67.850.000 COP. Equipo administrado por TDV.</t>
        </is>
      </c>
      <c r="L1817" s="26" t="n">
        <v>67850000</v>
      </c>
      <c r="M1817" s="26" t="n">
        <v>236661791</v>
      </c>
      <c r="N1817" s="27">
        <f>IF(ISNUMBER(M1817),M1817/L1817,"No aplica")</f>
        <v>3.4880146057479733</v>
      </c>
      <c r="O1817" s="25">
        <f>IF(G1817="provision",M1817+H1817,IF(G1817="recoleccion",M1817-H1817,"No aplica"))</f>
        <v>67850000</v>
      </c>
      <c r="P1817" s="26" t="n">
        <v>158012</v>
      </c>
    </row>
    <row r="1818">
      <c r="A1818" t="inlineStr">
        <is>
          <t>PRAGMA</t>
        </is>
      </c>
      <c r="B1818" t="inlineStr">
        <is>
          <t>M2</t>
        </is>
      </c>
      <c r="C1818" t="inlineStr">
        <is>
          <t>Cali</t>
        </is>
      </c>
      <c r="D1818" t="inlineStr">
        <is>
          <t>7567</t>
        </is>
      </c>
      <c r="E1818" t="inlineStr">
        <is>
          <t>TDV</t>
        </is>
      </c>
      <c r="F1818" s="23" t="n">
        <v>46270</v>
      </c>
      <c r="G1818" t="inlineStr">
        <is>
          <t>recoleccion</t>
        </is>
      </c>
      <c r="H1818" s="26" t="n">
        <v>190942400</v>
      </c>
      <c r="I1818" t="inlineStr">
        <is>
          <t>bajo</t>
        </is>
      </c>
      <c r="J1818" t="inlineStr">
        <is>
          <t>RN-22 y RN-35: recoleccion al cierre de lo que pasa del cupo</t>
        </is>
      </c>
      <c r="K1818" t="inlineStr">
        <is>
          <t>Recoleccion al cierre: con el pronostico, el saldo cerraria en 258.792.400 COP, sobre el cupo de 67.850.000. Se recoge el excedente y el saldo queda en 67.850.000 COP. Equipo administrado por TDV.</t>
        </is>
      </c>
      <c r="L1818" s="26" t="n">
        <v>67850000</v>
      </c>
      <c r="M1818" s="26" t="n">
        <v>258792400</v>
      </c>
      <c r="N1818" s="27">
        <f>IF(ISNUMBER(M1818),M1818/L1818,"No aplica")</f>
        <v>3.814184229918939</v>
      </c>
      <c r="O1818" s="25">
        <f>IF(G1818="provision",M1818+H1818,IF(G1818="recoleccion",M1818-H1818,"No aplica"))</f>
        <v>67850000</v>
      </c>
      <c r="P1818" s="26" t="n">
        <v>158012</v>
      </c>
    </row>
    <row r="1819">
      <c r="A1819" t="inlineStr">
        <is>
          <t>PRAGMA</t>
        </is>
      </c>
      <c r="B1819" t="inlineStr">
        <is>
          <t>M2</t>
        </is>
      </c>
      <c r="C1819" t="inlineStr">
        <is>
          <t>Cali</t>
        </is>
      </c>
      <c r="D1819" t="inlineStr">
        <is>
          <t>7567</t>
        </is>
      </c>
      <c r="E1819" t="inlineStr">
        <is>
          <t>TDV</t>
        </is>
      </c>
      <c r="F1819" s="23" t="n">
        <v>46271</v>
      </c>
      <c r="G1819" t="inlineStr">
        <is>
          <t>recoleccion</t>
        </is>
      </c>
      <c r="H1819" s="26" t="n">
        <v>113625019</v>
      </c>
      <c r="I1819" t="inlineStr">
        <is>
          <t>bajo</t>
        </is>
      </c>
      <c r="J1819" t="inlineStr">
        <is>
          <t>RN-22 y RN-35: recoleccion al cierre de lo que pasa del cupo</t>
        </is>
      </c>
      <c r="K1819" t="inlineStr">
        <is>
          <t>Recoleccion al cierre: con el pronostico, el saldo cerraria en 181.475.019 COP, sobre el cupo de 67.850.000. Se recoge el excedente y el saldo queda en 67.850.000 COP. Equipo administrado por TDV.</t>
        </is>
      </c>
      <c r="L1819" s="26" t="n">
        <v>67850000</v>
      </c>
      <c r="M1819" s="26" t="n">
        <v>181475019</v>
      </c>
      <c r="N1819" s="27">
        <f>IF(ISNUMBER(M1819),M1819/L1819,"No aplica")</f>
        <v>2.674650243183493</v>
      </c>
      <c r="O1819" s="25">
        <f>IF(G1819="provision",M1819+H1819,IF(G1819="recoleccion",M1819-H1819,"No aplica"))</f>
        <v>67850000</v>
      </c>
      <c r="P1819" s="26" t="n">
        <v>182814</v>
      </c>
    </row>
    <row r="1820">
      <c r="A1820" t="inlineStr">
        <is>
          <t>PRAGMA</t>
        </is>
      </c>
      <c r="B1820" t="inlineStr">
        <is>
          <t>M2</t>
        </is>
      </c>
      <c r="C1820" t="inlineStr">
        <is>
          <t>Cali</t>
        </is>
      </c>
      <c r="D1820" t="inlineStr">
        <is>
          <t>7567</t>
        </is>
      </c>
      <c r="E1820" t="inlineStr">
        <is>
          <t>TDV</t>
        </is>
      </c>
      <c r="F1820" s="23" t="n">
        <v>46272</v>
      </c>
      <c r="G1820" t="inlineStr">
        <is>
          <t>recoleccion</t>
        </is>
      </c>
      <c r="H1820" s="26" t="n">
        <v>181262626</v>
      </c>
      <c r="I1820" t="inlineStr">
        <is>
          <t>bajo</t>
        </is>
      </c>
      <c r="J1820" t="inlineStr">
        <is>
          <t>RN-22 y RN-35: recoleccion al cierre de lo que pasa del cupo</t>
        </is>
      </c>
      <c r="K1820" t="inlineStr">
        <is>
          <t>Recoleccion al cierre: con el pronostico, el saldo cerraria en 249.112.626 COP, sobre el cupo de 67.850.000. Se recoge el excedente y el saldo queda en 67.850.000 COP. Equipo administrado por TDV.</t>
        </is>
      </c>
      <c r="L1820" s="26" t="n">
        <v>67850000</v>
      </c>
      <c r="M1820" s="26" t="n">
        <v>249112626</v>
      </c>
      <c r="N1820" s="27">
        <f>IF(ISNUMBER(M1820),M1820/L1820,"No aplica")</f>
        <v>3.671519911569639</v>
      </c>
      <c r="O1820" s="25">
        <f>IF(G1820="provision",M1820+H1820,IF(G1820="recoleccion",M1820-H1820,"No aplica"))</f>
        <v>67850000</v>
      </c>
      <c r="P1820" s="26" t="n">
        <v>158012</v>
      </c>
    </row>
    <row r="1821">
      <c r="A1821" t="inlineStr">
        <is>
          <t>PRAGMA</t>
        </is>
      </c>
      <c r="B1821" t="inlineStr">
        <is>
          <t>M2</t>
        </is>
      </c>
      <c r="C1821" t="inlineStr">
        <is>
          <t>Cali</t>
        </is>
      </c>
      <c r="D1821" t="inlineStr">
        <is>
          <t>7567</t>
        </is>
      </c>
      <c r="E1821" t="inlineStr">
        <is>
          <t>TDV</t>
        </is>
      </c>
      <c r="F1821" s="23" t="n">
        <v>46273</v>
      </c>
      <c r="G1821" t="inlineStr">
        <is>
          <t>recoleccion</t>
        </is>
      </c>
      <c r="H1821" s="26" t="n">
        <v>154802778</v>
      </c>
      <c r="I1821" t="inlineStr">
        <is>
          <t>bajo</t>
        </is>
      </c>
      <c r="J1821" t="inlineStr">
        <is>
          <t>RN-22 y RN-35: recoleccion al cierre de lo que pasa del cupo</t>
        </is>
      </c>
      <c r="K1821" t="inlineStr">
        <is>
          <t>Recoleccion al cierre: con el pronostico, el saldo cerraria en 222.652.778 COP, sobre el cupo de 67.850.000. Se recoge el excedente y el saldo queda en 67.850.000 COP. Equipo administrado por TDV.</t>
        </is>
      </c>
      <c r="L1821" s="26" t="n">
        <v>67850000</v>
      </c>
      <c r="M1821" s="26" t="n">
        <v>222652778</v>
      </c>
      <c r="N1821" s="27">
        <f>IF(ISNUMBER(M1821),M1821/L1821,"No aplica")</f>
        <v>3.281544259395726</v>
      </c>
      <c r="O1821" s="25">
        <f>IF(G1821="provision",M1821+H1821,IF(G1821="recoleccion",M1821-H1821,"No aplica"))</f>
        <v>67850000</v>
      </c>
      <c r="P1821" s="26" t="n">
        <v>158012</v>
      </c>
    </row>
    <row r="1822">
      <c r="A1822" t="inlineStr">
        <is>
          <t>PRAGMA</t>
        </is>
      </c>
      <c r="B1822" t="inlineStr">
        <is>
          <t>M2</t>
        </is>
      </c>
      <c r="C1822" t="inlineStr">
        <is>
          <t>Cali</t>
        </is>
      </c>
      <c r="D1822" t="inlineStr">
        <is>
          <t>7567</t>
        </is>
      </c>
      <c r="E1822" t="inlineStr">
        <is>
          <t>TDV</t>
        </is>
      </c>
      <c r="F1822" s="23" t="n">
        <v>46274</v>
      </c>
      <c r="G1822" t="inlineStr">
        <is>
          <t>recoleccion</t>
        </is>
      </c>
      <c r="H1822" s="26" t="n">
        <v>137860564</v>
      </c>
      <c r="I1822" t="inlineStr">
        <is>
          <t>bajo</t>
        </is>
      </c>
      <c r="J1822" t="inlineStr">
        <is>
          <t>RN-22 y RN-35: recoleccion al cierre de lo que pasa del cupo</t>
        </is>
      </c>
      <c r="K1822" t="inlineStr">
        <is>
          <t>Recoleccion al cierre: con el pronostico, el saldo cerraria en 205.710.564 COP, sobre el cupo de 67.850.000. Se recoge el excedente y el saldo queda en 67.850.000 COP. Equipo administrado por TDV.</t>
        </is>
      </c>
      <c r="L1822" s="26" t="n">
        <v>67850000</v>
      </c>
      <c r="M1822" s="26" t="n">
        <v>205710564</v>
      </c>
      <c r="N1822" s="27">
        <f>IF(ISNUMBER(M1822),M1822/L1822,"No aplica")</f>
        <v>3.0318432424465733</v>
      </c>
      <c r="O1822" s="25">
        <f>IF(G1822="provision",M1822+H1822,IF(G1822="recoleccion",M1822-H1822,"No aplica"))</f>
        <v>67850000</v>
      </c>
      <c r="P1822" s="26" t="n">
        <v>158012</v>
      </c>
    </row>
    <row r="1823">
      <c r="A1823" t="inlineStr">
        <is>
          <t>PRAGMA</t>
        </is>
      </c>
      <c r="B1823" t="inlineStr">
        <is>
          <t>M2</t>
        </is>
      </c>
      <c r="C1823" t="inlineStr">
        <is>
          <t>Cali</t>
        </is>
      </c>
      <c r="D1823" t="inlineStr">
        <is>
          <t>7567</t>
        </is>
      </c>
      <c r="E1823" t="inlineStr">
        <is>
          <t>TDV</t>
        </is>
      </c>
      <c r="F1823" s="23" t="n">
        <v>46275</v>
      </c>
      <c r="G1823" t="inlineStr">
        <is>
          <t>recoleccion</t>
        </is>
      </c>
      <c r="H1823" s="26" t="n">
        <v>142244014</v>
      </c>
      <c r="I1823" t="inlineStr">
        <is>
          <t>bajo</t>
        </is>
      </c>
      <c r="J1823" t="inlineStr">
        <is>
          <t>RN-22 y RN-35: recoleccion al cierre de lo que pasa del cupo</t>
        </is>
      </c>
      <c r="K1823" t="inlineStr">
        <is>
          <t>Recoleccion al cierre: con el pronostico, el saldo cerraria en 210.094.014 COP, sobre el cupo de 67.850.000. Se recoge el excedente y el saldo queda en 67.850.000 COP. Equipo administrado por TDV.</t>
        </is>
      </c>
      <c r="L1823" s="26" t="n">
        <v>67850000</v>
      </c>
      <c r="M1823" s="26" t="n">
        <v>210094014</v>
      </c>
      <c r="N1823" s="27">
        <f>IF(ISNUMBER(M1823),M1823/L1823,"No aplica")</f>
        <v>3.0964482535003683</v>
      </c>
      <c r="O1823" s="25">
        <f>IF(G1823="provision",M1823+H1823,IF(G1823="recoleccion",M1823-H1823,"No aplica"))</f>
        <v>67850000</v>
      </c>
      <c r="P1823" s="26" t="n">
        <v>158012</v>
      </c>
    </row>
    <row r="1824">
      <c r="A1824" t="inlineStr">
        <is>
          <t>PRAGMA</t>
        </is>
      </c>
      <c r="B1824" t="inlineStr">
        <is>
          <t>M2</t>
        </is>
      </c>
      <c r="C1824" t="inlineStr">
        <is>
          <t>Cali</t>
        </is>
      </c>
      <c r="D1824" t="inlineStr">
        <is>
          <t>7567</t>
        </is>
      </c>
      <c r="E1824" t="inlineStr">
        <is>
          <t>TDV</t>
        </is>
      </c>
      <c r="F1824" s="23" t="n">
        <v>46276</v>
      </c>
      <c r="G1824" t="inlineStr">
        <is>
          <t>recoleccion</t>
        </is>
      </c>
      <c r="H1824" s="26" t="n">
        <v>153703352</v>
      </c>
      <c r="I1824" t="inlineStr">
        <is>
          <t>bajo</t>
        </is>
      </c>
      <c r="J1824" t="inlineStr">
        <is>
          <t>RN-22 y RN-35: recoleccion al cierre de lo que pasa del cupo</t>
        </is>
      </c>
      <c r="K1824" t="inlineStr">
        <is>
          <t>Recoleccion al cierre: con el pronostico, el saldo cerraria en 221.553.352 COP, sobre el cupo de 67.850.000. Se recoge el excedente y el saldo queda en 67.850.000 COP. Equipo administrado por TDV.</t>
        </is>
      </c>
      <c r="L1824" s="26" t="n">
        <v>67850000</v>
      </c>
      <c r="M1824" s="26" t="n">
        <v>221553352</v>
      </c>
      <c r="N1824" s="27">
        <f>IF(ISNUMBER(M1824),M1824/L1824,"No aplica")</f>
        <v>3.265340486366986</v>
      </c>
      <c r="O1824" s="25">
        <f>IF(G1824="provision",M1824+H1824,IF(G1824="recoleccion",M1824-H1824,"No aplica"))</f>
        <v>67850000</v>
      </c>
      <c r="P1824" s="26" t="n">
        <v>158012</v>
      </c>
    </row>
    <row r="1825">
      <c r="A1825" t="inlineStr">
        <is>
          <t>PRAGMA</t>
        </is>
      </c>
      <c r="B1825" t="inlineStr">
        <is>
          <t>M2</t>
        </is>
      </c>
      <c r="C1825" t="inlineStr">
        <is>
          <t>Cali</t>
        </is>
      </c>
      <c r="D1825" t="inlineStr">
        <is>
          <t>7567</t>
        </is>
      </c>
      <c r="E1825" t="inlineStr">
        <is>
          <t>TDV</t>
        </is>
      </c>
      <c r="F1825" s="23" t="n">
        <v>46277</v>
      </c>
      <c r="G1825" t="inlineStr">
        <is>
          <t>recoleccion</t>
        </is>
      </c>
      <c r="H1825" s="26" t="n">
        <v>158673484</v>
      </c>
      <c r="I1825" t="inlineStr">
        <is>
          <t>bajo</t>
        </is>
      </c>
      <c r="J1825" t="inlineStr">
        <is>
          <t>RN-22 y RN-35: recoleccion al cierre de lo que pasa del cupo</t>
        </is>
      </c>
      <c r="K1825" t="inlineStr">
        <is>
          <t>Recoleccion al cierre: con el pronostico, el saldo cerraria en 226.523.484 COP, sobre el cupo de 67.850.000. Se recoge el excedente y el saldo queda en 67.850.000 COP. Equipo administrado por TDV.</t>
        </is>
      </c>
      <c r="L1825" s="26" t="n">
        <v>67850000</v>
      </c>
      <c r="M1825" s="26" t="n">
        <v>226523484</v>
      </c>
      <c r="N1825" s="27">
        <f>IF(ISNUMBER(M1825),M1825/L1825,"No aplica")</f>
        <v>3.338592247605011</v>
      </c>
      <c r="O1825" s="25">
        <f>IF(G1825="provision",M1825+H1825,IF(G1825="recoleccion",M1825-H1825,"No aplica"))</f>
        <v>67850000</v>
      </c>
      <c r="P1825" s="26" t="n">
        <v>158012</v>
      </c>
    </row>
    <row r="1826">
      <c r="A1826" t="inlineStr">
        <is>
          <t>PRAGMA</t>
        </is>
      </c>
      <c r="B1826" t="inlineStr">
        <is>
          <t>M2</t>
        </is>
      </c>
      <c r="C1826" t="inlineStr">
        <is>
          <t>Cali</t>
        </is>
      </c>
      <c r="D1826" t="inlineStr">
        <is>
          <t>7567</t>
        </is>
      </c>
      <c r="E1826" t="inlineStr">
        <is>
          <t>TDV</t>
        </is>
      </c>
      <c r="F1826" s="23" t="n">
        <v>46278</v>
      </c>
      <c r="G1826" t="inlineStr">
        <is>
          <t>recoleccion</t>
        </is>
      </c>
      <c r="H1826" s="26" t="n">
        <v>93909482</v>
      </c>
      <c r="I1826" t="inlineStr">
        <is>
          <t>bajo</t>
        </is>
      </c>
      <c r="J1826" t="inlineStr">
        <is>
          <t>RN-22 y RN-35: recoleccion al cierre de lo que pasa del cupo</t>
        </is>
      </c>
      <c r="K1826" t="inlineStr">
        <is>
          <t>Recoleccion al cierre: con el pronostico, el saldo cerraria en 161.759.482 COP, sobre el cupo de 67.850.000. Se recoge el excedente y el saldo queda en 67.850.000 COP. Equipo administrado por TDV.</t>
        </is>
      </c>
      <c r="L1826" s="26" t="n">
        <v>67850000</v>
      </c>
      <c r="M1826" s="26" t="n">
        <v>161759482</v>
      </c>
      <c r="N1826" s="27">
        <f>IF(ISNUMBER(M1826),M1826/L1826,"No aplica")</f>
        <v>2.3840749005158437</v>
      </c>
      <c r="O1826" s="25">
        <f>IF(G1826="provision",M1826+H1826,IF(G1826="recoleccion",M1826-H1826,"No aplica"))</f>
        <v>67850000</v>
      </c>
      <c r="P1826" s="26" t="n">
        <v>182814</v>
      </c>
    </row>
    <row r="1827">
      <c r="A1827" t="inlineStr">
        <is>
          <t>PRAGMA</t>
        </is>
      </c>
      <c r="B1827" t="inlineStr">
        <is>
          <t>M2</t>
        </is>
      </c>
      <c r="C1827" t="inlineStr">
        <is>
          <t>Cali</t>
        </is>
      </c>
      <c r="D1827" t="inlineStr">
        <is>
          <t>7567</t>
        </is>
      </c>
      <c r="E1827" t="inlineStr">
        <is>
          <t>TDV</t>
        </is>
      </c>
      <c r="F1827" s="23" t="n">
        <v>46279</v>
      </c>
      <c r="G1827" t="inlineStr">
        <is>
          <t>recoleccion</t>
        </is>
      </c>
      <c r="H1827" s="26" t="n">
        <v>160822581</v>
      </c>
      <c r="I1827" t="inlineStr">
        <is>
          <t>bajo</t>
        </is>
      </c>
      <c r="J1827" t="inlineStr">
        <is>
          <t>RN-22 y RN-35: recoleccion al cierre de lo que pasa del cupo</t>
        </is>
      </c>
      <c r="K1827" t="inlineStr">
        <is>
          <t>Recoleccion al cierre: con el pronostico, el saldo cerraria en 228.672.581 COP, sobre el cupo de 67.850.000. Se recoge el excedente y el saldo queda en 67.850.000 COP. Equipo administrado por TDV.</t>
        </is>
      </c>
      <c r="L1827" s="26" t="n">
        <v>67850000</v>
      </c>
      <c r="M1827" s="26" t="n">
        <v>228672581</v>
      </c>
      <c r="N1827" s="27">
        <f>IF(ISNUMBER(M1827),M1827/L1827,"No aplica")</f>
        <v>3.3702664848931465</v>
      </c>
      <c r="O1827" s="25">
        <f>IF(G1827="provision",M1827+H1827,IF(G1827="recoleccion",M1827-H1827,"No aplica"))</f>
        <v>67850000</v>
      </c>
      <c r="P1827" s="26" t="n">
        <v>158012</v>
      </c>
    </row>
    <row r="1828">
      <c r="A1828" t="inlineStr">
        <is>
          <t>PRAGMA</t>
        </is>
      </c>
      <c r="B1828" t="inlineStr">
        <is>
          <t>M2</t>
        </is>
      </c>
      <c r="C1828" t="inlineStr">
        <is>
          <t>Cali</t>
        </is>
      </c>
      <c r="D1828" t="inlineStr">
        <is>
          <t>7567</t>
        </is>
      </c>
      <c r="E1828" t="inlineStr">
        <is>
          <t>TDV</t>
        </is>
      </c>
      <c r="F1828" s="23" t="n">
        <v>46280</v>
      </c>
      <c r="G1828" t="inlineStr">
        <is>
          <t>recoleccion</t>
        </is>
      </c>
      <c r="H1828" s="26" t="n">
        <v>155092918</v>
      </c>
      <c r="I1828" t="inlineStr">
        <is>
          <t>bajo</t>
        </is>
      </c>
      <c r="J1828" t="inlineStr">
        <is>
          <t>RN-22 y RN-35: recoleccion al cierre de lo que pasa del cupo</t>
        </is>
      </c>
      <c r="K1828" t="inlineStr">
        <is>
          <t>Recoleccion al cierre: con el pronostico, el saldo cerraria en 222.942.918 COP, sobre el cupo de 67.850.000. Se recoge el excedente y el saldo queda en 67.850.000 COP. Equipo administrado por TDV.</t>
        </is>
      </c>
      <c r="L1828" s="26" t="n">
        <v>67850000</v>
      </c>
      <c r="M1828" s="26" t="n">
        <v>222942918</v>
      </c>
      <c r="N1828" s="27">
        <f>IF(ISNUMBER(M1828),M1828/L1828,"No aplica")</f>
        <v>3.2858204568901987</v>
      </c>
      <c r="O1828" s="25">
        <f>IF(G1828="provision",M1828+H1828,IF(G1828="recoleccion",M1828-H1828,"No aplica"))</f>
        <v>67850000</v>
      </c>
      <c r="P1828" s="26" t="n">
        <v>158012</v>
      </c>
    </row>
    <row r="1829">
      <c r="A1829" t="inlineStr">
        <is>
          <t>PRAGMA</t>
        </is>
      </c>
      <c r="B1829" t="inlineStr">
        <is>
          <t>M2</t>
        </is>
      </c>
      <c r="C1829" t="inlineStr">
        <is>
          <t>Cali</t>
        </is>
      </c>
      <c r="D1829" t="inlineStr">
        <is>
          <t>7814</t>
        </is>
      </c>
      <c r="E1829" t="inlineStr">
        <is>
          <t>TDV</t>
        </is>
      </c>
      <c r="F1829" s="23" t="n">
        <v>46266</v>
      </c>
      <c r="G1829" t="inlineStr">
        <is>
          <t>recoleccion</t>
        </is>
      </c>
      <c r="H1829" s="26" t="n">
        <v>105707603</v>
      </c>
      <c r="I1829" t="inlineStr">
        <is>
          <t>bajo</t>
        </is>
      </c>
      <c r="J1829" t="inlineStr">
        <is>
          <t>RN-22 y RN-35: recoleccion al cierre de lo que pasa del cupo</t>
        </is>
      </c>
      <c r="K1829" t="inlineStr">
        <is>
          <t>Recoleccion al cierre: con el pronostico, el saldo cerraria en 147.557.603 COP, sobre el cupo de 41.850.000. Se recoge el excedente y el saldo queda en 41.850.000 COP. Equipo administrado por TDV.</t>
        </is>
      </c>
      <c r="L1829" s="26" t="n">
        <v>41850000</v>
      </c>
      <c r="M1829" s="26" t="n">
        <v>147557603</v>
      </c>
      <c r="N1829" s="27">
        <f>IF(ISNUMBER(M1829),M1829/L1829,"No aplica")</f>
        <v>3.525868649940263</v>
      </c>
      <c r="O1829" s="25">
        <f>IF(G1829="provision",M1829+H1829,IF(G1829="recoleccion",M1829-H1829,"No aplica"))</f>
        <v>41850000</v>
      </c>
      <c r="P1829" s="26" t="n">
        <v>158307</v>
      </c>
    </row>
    <row r="1830">
      <c r="A1830" t="inlineStr">
        <is>
          <t>PRAGMA</t>
        </is>
      </c>
      <c r="B1830" t="inlineStr">
        <is>
          <t>M2</t>
        </is>
      </c>
      <c r="C1830" t="inlineStr">
        <is>
          <t>Cali</t>
        </is>
      </c>
      <c r="D1830" t="inlineStr">
        <is>
          <t>7814</t>
        </is>
      </c>
      <c r="E1830" t="inlineStr">
        <is>
          <t>TDV</t>
        </is>
      </c>
      <c r="F1830" s="23" t="n">
        <v>46267</v>
      </c>
      <c r="G1830" t="inlineStr">
        <is>
          <t>recoleccion</t>
        </is>
      </c>
      <c r="H1830" s="26" t="n">
        <v>92150110</v>
      </c>
      <c r="I1830" t="inlineStr">
        <is>
          <t>bajo</t>
        </is>
      </c>
      <c r="J1830" t="inlineStr">
        <is>
          <t>RN-22 y RN-35: recoleccion al cierre de lo que pasa del cupo</t>
        </is>
      </c>
      <c r="K1830" t="inlineStr">
        <is>
          <t>Recoleccion al cierre: con el pronostico, el saldo cerraria en 134.000.110 COP, sobre el cupo de 41.850.000. Se recoge el excedente y el saldo queda en 41.850.000 COP. Equipo administrado por TDV.</t>
        </is>
      </c>
      <c r="L1830" s="26" t="n">
        <v>41850000</v>
      </c>
      <c r="M1830" s="26" t="n">
        <v>134000110</v>
      </c>
      <c r="N1830" s="27">
        <f>IF(ISNUMBER(M1830),M1830/L1830,"No aplica")</f>
        <v>3.2019142174432496</v>
      </c>
      <c r="O1830" s="25">
        <f>IF(G1830="provision",M1830+H1830,IF(G1830="recoleccion",M1830-H1830,"No aplica"))</f>
        <v>41850000</v>
      </c>
      <c r="P1830" s="26" t="n">
        <v>158307</v>
      </c>
    </row>
    <row r="1831">
      <c r="A1831" t="inlineStr">
        <is>
          <t>PRAGMA</t>
        </is>
      </c>
      <c r="B1831" t="inlineStr">
        <is>
          <t>M2</t>
        </is>
      </c>
      <c r="C1831" t="inlineStr">
        <is>
          <t>Cali</t>
        </is>
      </c>
      <c r="D1831" t="inlineStr">
        <is>
          <t>7814</t>
        </is>
      </c>
      <c r="E1831" t="inlineStr">
        <is>
          <t>TDV</t>
        </is>
      </c>
      <c r="F1831" s="23" t="n">
        <v>46268</v>
      </c>
      <c r="G1831" t="inlineStr">
        <is>
          <t>recoleccion</t>
        </is>
      </c>
      <c r="H1831" s="26" t="n">
        <v>97830889</v>
      </c>
      <c r="I1831" t="inlineStr">
        <is>
          <t>bajo</t>
        </is>
      </c>
      <c r="J1831" t="inlineStr">
        <is>
          <t>RN-22 y RN-35: recoleccion al cierre de lo que pasa del cupo</t>
        </is>
      </c>
      <c r="K1831" t="inlineStr">
        <is>
          <t>Recoleccion al cierre: con el pronostico, el saldo cerraria en 139.680.889 COP, sobre el cupo de 41.850.000. Se recoge el excedente y el saldo queda en 41.850.000 COP. Equipo administrado por TDV.</t>
        </is>
      </c>
      <c r="L1831" s="26" t="n">
        <v>41850000</v>
      </c>
      <c r="M1831" s="26" t="n">
        <v>139680889</v>
      </c>
      <c r="N1831" s="27">
        <f>IF(ISNUMBER(M1831),M1831/L1831,"No aplica")</f>
        <v>3.337655651135006</v>
      </c>
      <c r="O1831" s="25">
        <f>IF(G1831="provision",M1831+H1831,IF(G1831="recoleccion",M1831-H1831,"No aplica"))</f>
        <v>41850000</v>
      </c>
      <c r="P1831" s="26" t="n">
        <v>158307</v>
      </c>
    </row>
    <row r="1832">
      <c r="A1832" t="inlineStr">
        <is>
          <t>PRAGMA</t>
        </is>
      </c>
      <c r="B1832" t="inlineStr">
        <is>
          <t>M2</t>
        </is>
      </c>
      <c r="C1832" t="inlineStr">
        <is>
          <t>Cali</t>
        </is>
      </c>
      <c r="D1832" t="inlineStr">
        <is>
          <t>7814</t>
        </is>
      </c>
      <c r="E1832" t="inlineStr">
        <is>
          <t>TDV</t>
        </is>
      </c>
      <c r="F1832" s="23" t="n">
        <v>46269</v>
      </c>
      <c r="G1832" t="inlineStr">
        <is>
          <t>recoleccion</t>
        </is>
      </c>
      <c r="H1832" s="26" t="n">
        <v>91371080</v>
      </c>
      <c r="I1832" t="inlineStr">
        <is>
          <t>bajo</t>
        </is>
      </c>
      <c r="J1832" t="inlineStr">
        <is>
          <t>RN-22 y RN-35: recoleccion al cierre de lo que pasa del cupo</t>
        </is>
      </c>
      <c r="K1832" t="inlineStr">
        <is>
          <t>Recoleccion al cierre: con el pronostico, el saldo cerraria en 133.221.080 COP, sobre el cupo de 41.850.000. Se recoge el excedente y el saldo queda en 41.850.000 COP. Equipo administrado por TDV.</t>
        </is>
      </c>
      <c r="L1832" s="26" t="n">
        <v>41850000</v>
      </c>
      <c r="M1832" s="26" t="n">
        <v>133221080</v>
      </c>
      <c r="N1832" s="27">
        <f>IF(ISNUMBER(M1832),M1832/L1832,"No aplica")</f>
        <v>3.183299402628435</v>
      </c>
      <c r="O1832" s="25">
        <f>IF(G1832="provision",M1832+H1832,IF(G1832="recoleccion",M1832-H1832,"No aplica"))</f>
        <v>41850000</v>
      </c>
      <c r="P1832" s="26" t="n">
        <v>158307</v>
      </c>
    </row>
    <row r="1833">
      <c r="A1833" t="inlineStr">
        <is>
          <t>PRAGMA</t>
        </is>
      </c>
      <c r="B1833" t="inlineStr">
        <is>
          <t>M2</t>
        </is>
      </c>
      <c r="C1833" t="inlineStr">
        <is>
          <t>Cali</t>
        </is>
      </c>
      <c r="D1833" t="inlineStr">
        <is>
          <t>7814</t>
        </is>
      </c>
      <c r="E1833" t="inlineStr">
        <is>
          <t>TDV</t>
        </is>
      </c>
      <c r="F1833" s="23" t="n">
        <v>46270</v>
      </c>
      <c r="G1833" t="inlineStr">
        <is>
          <t>recoleccion</t>
        </is>
      </c>
      <c r="H1833" s="26" t="n">
        <v>89141861</v>
      </c>
      <c r="I1833" t="inlineStr">
        <is>
          <t>bajo</t>
        </is>
      </c>
      <c r="J1833" t="inlineStr">
        <is>
          <t>RN-22 y RN-35: recoleccion al cierre de lo que pasa del cupo</t>
        </is>
      </c>
      <c r="K1833" t="inlineStr">
        <is>
          <t>Recoleccion al cierre: con el pronostico, el saldo cerraria en 130.991.861 COP, sobre el cupo de 41.850.000. Se recoge el excedente y el saldo queda en 41.850.000 COP. Equipo administrado por TDV.</t>
        </is>
      </c>
      <c r="L1833" s="26" t="n">
        <v>41850000</v>
      </c>
      <c r="M1833" s="26" t="n">
        <v>130991861</v>
      </c>
      <c r="N1833" s="27">
        <f>IF(ISNUMBER(M1833),M1833/L1833,"No aplica")</f>
        <v>3.1300325209080047</v>
      </c>
      <c r="O1833" s="25">
        <f>IF(G1833="provision",M1833+H1833,IF(G1833="recoleccion",M1833-H1833,"No aplica"))</f>
        <v>41850000</v>
      </c>
      <c r="P1833" s="26" t="n">
        <v>158307</v>
      </c>
    </row>
    <row r="1834">
      <c r="A1834" t="inlineStr">
        <is>
          <t>PRAGMA</t>
        </is>
      </c>
      <c r="B1834" t="inlineStr">
        <is>
          <t>M2</t>
        </is>
      </c>
      <c r="C1834" t="inlineStr">
        <is>
          <t>Cali</t>
        </is>
      </c>
      <c r="D1834" t="inlineStr">
        <is>
          <t>7814</t>
        </is>
      </c>
      <c r="E1834" t="inlineStr">
        <is>
          <t>TDV</t>
        </is>
      </c>
      <c r="F1834" s="23" t="n">
        <v>46271</v>
      </c>
      <c r="G1834" t="inlineStr">
        <is>
          <t>recoleccion</t>
        </is>
      </c>
      <c r="H1834" s="26" t="n">
        <v>40642079</v>
      </c>
      <c r="I1834" t="inlineStr">
        <is>
          <t>bajo</t>
        </is>
      </c>
      <c r="J1834" t="inlineStr">
        <is>
          <t>RN-22 y RN-35: recoleccion al cierre de lo que pasa del cupo</t>
        </is>
      </c>
      <c r="K1834" t="inlineStr">
        <is>
          <t>Recoleccion al cierre: con el pronostico, el saldo cerraria en 82.492.079 COP, sobre el cupo de 41.850.000. Se recoge el excedente y el saldo queda en 41.850.000 COP. Equipo administrado por TDV.</t>
        </is>
      </c>
      <c r="L1834" s="26" t="n">
        <v>41850000</v>
      </c>
      <c r="M1834" s="26" t="n">
        <v>82492079</v>
      </c>
      <c r="N1834" s="27">
        <f>IF(ISNUMBER(M1834),M1834/L1834,"No aplica")</f>
        <v>1.9711368936678615</v>
      </c>
      <c r="O1834" s="25">
        <f>IF(G1834="provision",M1834+H1834,IF(G1834="recoleccion",M1834-H1834,"No aplica"))</f>
        <v>41850000</v>
      </c>
      <c r="P1834" s="26" t="n">
        <v>195500</v>
      </c>
    </row>
    <row r="1835">
      <c r="A1835" t="inlineStr">
        <is>
          <t>PRAGMA</t>
        </is>
      </c>
      <c r="B1835" t="inlineStr">
        <is>
          <t>M2</t>
        </is>
      </c>
      <c r="C1835" t="inlineStr">
        <is>
          <t>Cali</t>
        </is>
      </c>
      <c r="D1835" t="inlineStr">
        <is>
          <t>7814</t>
        </is>
      </c>
      <c r="E1835" t="inlineStr">
        <is>
          <t>TDV</t>
        </is>
      </c>
      <c r="F1835" s="23" t="n">
        <v>46272</v>
      </c>
      <c r="G1835" t="inlineStr">
        <is>
          <t>recoleccion</t>
        </is>
      </c>
      <c r="H1835" s="26" t="n">
        <v>114101828</v>
      </c>
      <c r="I1835" t="inlineStr">
        <is>
          <t>bajo</t>
        </is>
      </c>
      <c r="J1835" t="inlineStr">
        <is>
          <t>RN-22 y RN-35: recoleccion al cierre de lo que pasa del cupo</t>
        </is>
      </c>
      <c r="K1835" t="inlineStr">
        <is>
          <t>Recoleccion al cierre: con el pronostico, el saldo cerraria en 155.951.828 COP, sobre el cupo de 41.850.000. Se recoge el excedente y el saldo queda en 41.850.000 COP. Equipo administrado por TDV.</t>
        </is>
      </c>
      <c r="L1835" s="26" t="n">
        <v>41850000</v>
      </c>
      <c r="M1835" s="26" t="n">
        <v>155951828</v>
      </c>
      <c r="N1835" s="27">
        <f>IF(ISNUMBER(M1835),M1835/L1835,"No aplica")</f>
        <v>3.726447502986858</v>
      </c>
      <c r="O1835" s="25">
        <f>IF(G1835="provision",M1835+H1835,IF(G1835="recoleccion",M1835-H1835,"No aplica"))</f>
        <v>41850000</v>
      </c>
      <c r="P1835" s="26" t="n">
        <v>158307</v>
      </c>
    </row>
    <row r="1836">
      <c r="A1836" t="inlineStr">
        <is>
          <t>PRAGMA</t>
        </is>
      </c>
      <c r="B1836" t="inlineStr">
        <is>
          <t>M2</t>
        </is>
      </c>
      <c r="C1836" t="inlineStr">
        <is>
          <t>Cali</t>
        </is>
      </c>
      <c r="D1836" t="inlineStr">
        <is>
          <t>7814</t>
        </is>
      </c>
      <c r="E1836" t="inlineStr">
        <is>
          <t>TDV</t>
        </is>
      </c>
      <c r="F1836" s="23" t="n">
        <v>46273</v>
      </c>
      <c r="G1836" t="inlineStr">
        <is>
          <t>recoleccion</t>
        </is>
      </c>
      <c r="H1836" s="26" t="n">
        <v>106243366</v>
      </c>
      <c r="I1836" t="inlineStr">
        <is>
          <t>bajo</t>
        </is>
      </c>
      <c r="J1836" t="inlineStr">
        <is>
          <t>RN-22 y RN-35: recoleccion al cierre de lo que pasa del cupo</t>
        </is>
      </c>
      <c r="K1836" t="inlineStr">
        <is>
          <t>Recoleccion al cierre: con el pronostico, el saldo cerraria en 148.093.366 COP, sobre el cupo de 41.850.000. Se recoge el excedente y el saldo queda en 41.850.000 COP. Equipo administrado por TDV.</t>
        </is>
      </c>
      <c r="L1836" s="26" t="n">
        <v>41850000</v>
      </c>
      <c r="M1836" s="26" t="n">
        <v>148093366</v>
      </c>
      <c r="N1836" s="27">
        <f>IF(ISNUMBER(M1836),M1836/L1836,"No aplica")</f>
        <v>3.538670633213859</v>
      </c>
      <c r="O1836" s="25">
        <f>IF(G1836="provision",M1836+H1836,IF(G1836="recoleccion",M1836-H1836,"No aplica"))</f>
        <v>41850000</v>
      </c>
      <c r="P1836" s="26" t="n">
        <v>158307</v>
      </c>
    </row>
    <row r="1837">
      <c r="A1837" t="inlineStr">
        <is>
          <t>PRAGMA</t>
        </is>
      </c>
      <c r="B1837" t="inlineStr">
        <is>
          <t>M2</t>
        </is>
      </c>
      <c r="C1837" t="inlineStr">
        <is>
          <t>Cali</t>
        </is>
      </c>
      <c r="D1837" t="inlineStr">
        <is>
          <t>7814</t>
        </is>
      </c>
      <c r="E1837" t="inlineStr">
        <is>
          <t>TDV</t>
        </is>
      </c>
      <c r="F1837" s="23" t="n">
        <v>46274</v>
      </c>
      <c r="G1837" t="inlineStr">
        <is>
          <t>recoleccion</t>
        </is>
      </c>
      <c r="H1837" s="26" t="n">
        <v>97637231</v>
      </c>
      <c r="I1837" t="inlineStr">
        <is>
          <t>bajo</t>
        </is>
      </c>
      <c r="J1837" t="inlineStr">
        <is>
          <t>RN-22 y RN-35: recoleccion al cierre de lo que pasa del cupo</t>
        </is>
      </c>
      <c r="K1837" t="inlineStr">
        <is>
          <t>Recoleccion al cierre: con el pronostico, el saldo cerraria en 139.487.231 COP, sobre el cupo de 41.850.000. Se recoge el excedente y el saldo queda en 41.850.000 COP. Equipo administrado por TDV.</t>
        </is>
      </c>
      <c r="L1837" s="26" t="n">
        <v>41850000</v>
      </c>
      <c r="M1837" s="26" t="n">
        <v>139487231</v>
      </c>
      <c r="N1837" s="27">
        <f>IF(ISNUMBER(M1837),M1837/L1837,"No aplica")</f>
        <v>3.333028219832736</v>
      </c>
      <c r="O1837" s="25">
        <f>IF(G1837="provision",M1837+H1837,IF(G1837="recoleccion",M1837-H1837,"No aplica"))</f>
        <v>41850000</v>
      </c>
      <c r="P1837" s="26" t="n">
        <v>158307</v>
      </c>
    </row>
    <row r="1838">
      <c r="A1838" t="inlineStr">
        <is>
          <t>PRAGMA</t>
        </is>
      </c>
      <c r="B1838" t="inlineStr">
        <is>
          <t>M2</t>
        </is>
      </c>
      <c r="C1838" t="inlineStr">
        <is>
          <t>Cali</t>
        </is>
      </c>
      <c r="D1838" t="inlineStr">
        <is>
          <t>7814</t>
        </is>
      </c>
      <c r="E1838" t="inlineStr">
        <is>
          <t>TDV</t>
        </is>
      </c>
      <c r="F1838" s="23" t="n">
        <v>46275</v>
      </c>
      <c r="G1838" t="inlineStr">
        <is>
          <t>recoleccion</t>
        </is>
      </c>
      <c r="H1838" s="26" t="n">
        <v>99839309</v>
      </c>
      <c r="I1838" t="inlineStr">
        <is>
          <t>bajo</t>
        </is>
      </c>
      <c r="J1838" t="inlineStr">
        <is>
          <t>RN-22 y RN-35: recoleccion al cierre de lo que pasa del cupo</t>
        </is>
      </c>
      <c r="K1838" t="inlineStr">
        <is>
          <t>Recoleccion al cierre: con el pronostico, el saldo cerraria en 141.689.309 COP, sobre el cupo de 41.850.000. Se recoge el excedente y el saldo queda en 41.850.000 COP. Equipo administrado por TDV.</t>
        </is>
      </c>
      <c r="L1838" s="26" t="n">
        <v>41850000</v>
      </c>
      <c r="M1838" s="26" t="n">
        <v>141689309</v>
      </c>
      <c r="N1838" s="27">
        <f>IF(ISNUMBER(M1838),M1838/L1838,"No aplica")</f>
        <v>3.385646571087216</v>
      </c>
      <c r="O1838" s="25">
        <f>IF(G1838="provision",M1838+H1838,IF(G1838="recoleccion",M1838-H1838,"No aplica"))</f>
        <v>41850000</v>
      </c>
      <c r="P1838" s="26" t="n">
        <v>158307</v>
      </c>
    </row>
    <row r="1839">
      <c r="A1839" t="inlineStr">
        <is>
          <t>PRAGMA</t>
        </is>
      </c>
      <c r="B1839" t="inlineStr">
        <is>
          <t>M2</t>
        </is>
      </c>
      <c r="C1839" t="inlineStr">
        <is>
          <t>Cali</t>
        </is>
      </c>
      <c r="D1839" t="inlineStr">
        <is>
          <t>7814</t>
        </is>
      </c>
      <c r="E1839" t="inlineStr">
        <is>
          <t>TDV</t>
        </is>
      </c>
      <c r="F1839" s="23" t="n">
        <v>46276</v>
      </c>
      <c r="G1839" t="inlineStr">
        <is>
          <t>recoleccion</t>
        </is>
      </c>
      <c r="H1839" s="26" t="n">
        <v>93999554</v>
      </c>
      <c r="I1839" t="inlineStr">
        <is>
          <t>bajo</t>
        </is>
      </c>
      <c r="J1839" t="inlineStr">
        <is>
          <t>RN-22 y RN-35: recoleccion al cierre de lo que pasa del cupo</t>
        </is>
      </c>
      <c r="K1839" t="inlineStr">
        <is>
          <t>Recoleccion al cierre: con el pronostico, el saldo cerraria en 135.849.554 COP, sobre el cupo de 41.850.000. Se recoge el excedente y el saldo queda en 41.850.000 COP. Equipo administrado por TDV.</t>
        </is>
      </c>
      <c r="L1839" s="26" t="n">
        <v>41850000</v>
      </c>
      <c r="M1839" s="26" t="n">
        <v>135849554</v>
      </c>
      <c r="N1839" s="27">
        <f>IF(ISNUMBER(M1839),M1839/L1839,"No aplica")</f>
        <v>3.2461064277180407</v>
      </c>
      <c r="O1839" s="25">
        <f>IF(G1839="provision",M1839+H1839,IF(G1839="recoleccion",M1839-H1839,"No aplica"))</f>
        <v>41850000</v>
      </c>
      <c r="P1839" s="26" t="n">
        <v>158307</v>
      </c>
    </row>
    <row r="1840">
      <c r="A1840" t="inlineStr">
        <is>
          <t>PRAGMA</t>
        </is>
      </c>
      <c r="B1840" t="inlineStr">
        <is>
          <t>M2</t>
        </is>
      </c>
      <c r="C1840" t="inlineStr">
        <is>
          <t>Cali</t>
        </is>
      </c>
      <c r="D1840" t="inlineStr">
        <is>
          <t>7814</t>
        </is>
      </c>
      <c r="E1840" t="inlineStr">
        <is>
          <t>TDV</t>
        </is>
      </c>
      <c r="F1840" s="23" t="n">
        <v>46277</v>
      </c>
      <c r="G1840" t="inlineStr">
        <is>
          <t>recoleccion</t>
        </is>
      </c>
      <c r="H1840" s="26" t="n">
        <v>84784487</v>
      </c>
      <c r="I1840" t="inlineStr">
        <is>
          <t>bajo</t>
        </is>
      </c>
      <c r="J1840" t="inlineStr">
        <is>
          <t>RN-22 y RN-35: recoleccion al cierre de lo que pasa del cupo</t>
        </is>
      </c>
      <c r="K1840" t="inlineStr">
        <is>
          <t>Recoleccion al cierre: con el pronostico, el saldo cerraria en 126.634.487 COP, sobre el cupo de 41.850.000. Se recoge el excedente y el saldo queda en 41.850.000 COP. Equipo administrado por TDV.</t>
        </is>
      </c>
      <c r="L1840" s="26" t="n">
        <v>41850000</v>
      </c>
      <c r="M1840" s="26" t="n">
        <v>126634487</v>
      </c>
      <c r="N1840" s="27">
        <f>IF(ISNUMBER(M1840),M1840/L1840,"No aplica")</f>
        <v>3.02591366786141</v>
      </c>
      <c r="O1840" s="25">
        <f>IF(G1840="provision",M1840+H1840,IF(G1840="recoleccion",M1840-H1840,"No aplica"))</f>
        <v>41850000</v>
      </c>
      <c r="P1840" s="26" t="n">
        <v>158307</v>
      </c>
    </row>
    <row r="1841">
      <c r="A1841" t="inlineStr">
        <is>
          <t>PRAGMA</t>
        </is>
      </c>
      <c r="B1841" t="inlineStr">
        <is>
          <t>M2</t>
        </is>
      </c>
      <c r="C1841" t="inlineStr">
        <is>
          <t>Cali</t>
        </is>
      </c>
      <c r="D1841" t="inlineStr">
        <is>
          <t>7814</t>
        </is>
      </c>
      <c r="E1841" t="inlineStr">
        <is>
          <t>TDV</t>
        </is>
      </c>
      <c r="F1841" s="23" t="n">
        <v>46278</v>
      </c>
      <c r="G1841" t="inlineStr">
        <is>
          <t>recoleccion</t>
        </is>
      </c>
      <c r="H1841" s="26" t="n">
        <v>35772864</v>
      </c>
      <c r="I1841" t="inlineStr">
        <is>
          <t>bajo</t>
        </is>
      </c>
      <c r="J1841" t="inlineStr">
        <is>
          <t>RN-22 y RN-35: recoleccion al cierre de lo que pasa del cupo</t>
        </is>
      </c>
      <c r="K1841" t="inlineStr">
        <is>
          <t>Recoleccion al cierre: con el pronostico, el saldo cerraria en 77.622.864 COP, sobre el cupo de 41.850.000. Se recoge el excedente y el saldo queda en 41.850.000 COP. Equipo administrado por TDV.</t>
        </is>
      </c>
      <c r="L1841" s="26" t="n">
        <v>41850000</v>
      </c>
      <c r="M1841" s="26" t="n">
        <v>77622864</v>
      </c>
      <c r="N1841" s="27">
        <f>IF(ISNUMBER(M1841),M1841/L1841,"No aplica")</f>
        <v>1.854787670250896</v>
      </c>
      <c r="O1841" s="25">
        <f>IF(G1841="provision",M1841+H1841,IF(G1841="recoleccion",M1841-H1841,"No aplica"))</f>
        <v>41850000</v>
      </c>
      <c r="P1841" s="26" t="n">
        <v>195500</v>
      </c>
    </row>
    <row r="1842">
      <c r="A1842" t="inlineStr">
        <is>
          <t>PRAGMA</t>
        </is>
      </c>
      <c r="B1842" t="inlineStr">
        <is>
          <t>M2</t>
        </is>
      </c>
      <c r="C1842" t="inlineStr">
        <is>
          <t>Cali</t>
        </is>
      </c>
      <c r="D1842" t="inlineStr">
        <is>
          <t>7814</t>
        </is>
      </c>
      <c r="E1842" t="inlineStr">
        <is>
          <t>TDV</t>
        </is>
      </c>
      <c r="F1842" s="23" t="n">
        <v>46279</v>
      </c>
      <c r="G1842" t="inlineStr">
        <is>
          <t>recoleccion</t>
        </is>
      </c>
      <c r="H1842" s="26" t="n">
        <v>98376110</v>
      </c>
      <c r="I1842" t="inlineStr">
        <is>
          <t>bajo</t>
        </is>
      </c>
      <c r="J1842" t="inlineStr">
        <is>
          <t>RN-22 y RN-35: recoleccion al cierre de lo que pasa del cupo</t>
        </is>
      </c>
      <c r="K1842" t="inlineStr">
        <is>
          <t>Recoleccion al cierre: con el pronostico, el saldo cerraria en 140.226.110 COP, sobre el cupo de 41.850.000. Se recoge el excedente y el saldo queda en 41.850.000 COP. Equipo administrado por TDV.</t>
        </is>
      </c>
      <c r="L1842" s="26" t="n">
        <v>41850000</v>
      </c>
      <c r="M1842" s="26" t="n">
        <v>140226110</v>
      </c>
      <c r="N1842" s="27">
        <f>IF(ISNUMBER(M1842),M1842/L1842,"No aplica")</f>
        <v>3.350683632019116</v>
      </c>
      <c r="O1842" s="25">
        <f>IF(G1842="provision",M1842+H1842,IF(G1842="recoleccion",M1842-H1842,"No aplica"))</f>
        <v>41850000</v>
      </c>
      <c r="P1842" s="26" t="n">
        <v>158307</v>
      </c>
    </row>
    <row r="1843">
      <c r="A1843" t="inlineStr">
        <is>
          <t>PRAGMA</t>
        </is>
      </c>
      <c r="B1843" t="inlineStr">
        <is>
          <t>M2</t>
        </is>
      </c>
      <c r="C1843" t="inlineStr">
        <is>
          <t>Cali</t>
        </is>
      </c>
      <c r="D1843" t="inlineStr">
        <is>
          <t>7814</t>
        </is>
      </c>
      <c r="E1843" t="inlineStr">
        <is>
          <t>TDV</t>
        </is>
      </c>
      <c r="F1843" s="23" t="n">
        <v>46280</v>
      </c>
      <c r="G1843" t="inlineStr">
        <is>
          <t>recoleccion</t>
        </is>
      </c>
      <c r="H1843" s="26" t="n">
        <v>97584222</v>
      </c>
      <c r="I1843" t="inlineStr">
        <is>
          <t>bajo</t>
        </is>
      </c>
      <c r="J1843" t="inlineStr">
        <is>
          <t>RN-22 y RN-35: recoleccion al cierre de lo que pasa del cupo</t>
        </is>
      </c>
      <c r="K1843" t="inlineStr">
        <is>
          <t>Recoleccion al cierre: con el pronostico, el saldo cerraria en 139.434.222 COP, sobre el cupo de 41.850.000. Se recoge el excedente y el saldo queda en 41.850.000 COP. Equipo administrado por TDV.</t>
        </is>
      </c>
      <c r="L1843" s="26" t="n">
        <v>41850000</v>
      </c>
      <c r="M1843" s="26" t="n">
        <v>139434222</v>
      </c>
      <c r="N1843" s="27">
        <f>IF(ISNUMBER(M1843),M1843/L1843,"No aplica")</f>
        <v>3.3317615770609317</v>
      </c>
      <c r="O1843" s="25">
        <f>IF(G1843="provision",M1843+H1843,IF(G1843="recoleccion",M1843-H1843,"No aplica"))</f>
        <v>41850000</v>
      </c>
      <c r="P1843" s="26" t="n">
        <v>158307</v>
      </c>
    </row>
    <row r="1844">
      <c r="A1844" t="inlineStr">
        <is>
          <t>PRAGMA</t>
        </is>
      </c>
      <c r="B1844" t="inlineStr">
        <is>
          <t>M2</t>
        </is>
      </c>
      <c r="C1844" t="inlineStr">
        <is>
          <t>Cali</t>
        </is>
      </c>
      <c r="D1844" t="inlineStr">
        <is>
          <t>7864</t>
        </is>
      </c>
      <c r="E1844" t="inlineStr">
        <is>
          <t>Sucursal</t>
        </is>
      </c>
      <c r="F1844" s="23" t="n">
        <v>46266</v>
      </c>
      <c r="G1844" t="inlineStr">
        <is>
          <t>recoleccion</t>
        </is>
      </c>
      <c r="H1844" s="26" t="n">
        <v>146601117</v>
      </c>
      <c r="I1844" t="inlineStr">
        <is>
          <t>bajo</t>
        </is>
      </c>
      <c r="J1844" t="inlineStr">
        <is>
          <t>RN-22 y RN-35: recoleccion al cierre de lo que pasa del cupo</t>
        </is>
      </c>
      <c r="K1844" t="inlineStr">
        <is>
          <t>Recoleccion al cierre: con el pronostico, el saldo cerraria en 281.951.117 COP, sobre el cupo de 135.350.000. Se recoge el excedente y el saldo queda en 135.350.000 COP. Equipo administrado por Sucursal. Sin tarifa TDV (administrado por la sucursal): costo 0 declarado.</t>
        </is>
      </c>
      <c r="L1844" s="26" t="n">
        <v>135350000</v>
      </c>
      <c r="M1844" s="26" t="n">
        <v>281951117</v>
      </c>
      <c r="N1844" s="27">
        <f>IF(ISNUMBER(M1844),M1844/L1844,"No aplica")</f>
        <v>2.0831260953084594</v>
      </c>
      <c r="O1844" s="25">
        <f>IF(G1844="provision",M1844+H1844,IF(G1844="recoleccion",M1844-H1844,"No aplica"))</f>
        <v>135350000</v>
      </c>
      <c r="P1844" s="26" t="n">
        <v>0</v>
      </c>
    </row>
    <row r="1845">
      <c r="A1845" t="inlineStr">
        <is>
          <t>PRAGMA</t>
        </is>
      </c>
      <c r="B1845" t="inlineStr">
        <is>
          <t>M2</t>
        </is>
      </c>
      <c r="C1845" t="inlineStr">
        <is>
          <t>Cali</t>
        </is>
      </c>
      <c r="D1845" t="inlineStr">
        <is>
          <t>7864</t>
        </is>
      </c>
      <c r="E1845" t="inlineStr">
        <is>
          <t>Sucursal</t>
        </is>
      </c>
      <c r="F1845" s="23" t="n">
        <v>46267</v>
      </c>
      <c r="G1845" t="inlineStr">
        <is>
          <t>recoleccion</t>
        </is>
      </c>
      <c r="H1845" s="26" t="n">
        <v>158621189</v>
      </c>
      <c r="I1845" t="inlineStr">
        <is>
          <t>bajo</t>
        </is>
      </c>
      <c r="J1845" t="inlineStr">
        <is>
          <t>RN-22 y RN-35: recoleccion al cierre de lo que pasa del cupo</t>
        </is>
      </c>
      <c r="K1845" t="inlineStr">
        <is>
          <t>Recoleccion al cierre: con el pronostico, el saldo cerraria en 293.971.189 COP, sobre el cupo de 135.350.000. Se recoge el excedente y el saldo queda en 135.350.000 COP. Equipo administrado por Sucursal. Sin tarifa TDV (administrado por la sucursal): costo 0 declarado.</t>
        </is>
      </c>
      <c r="L1845" s="26" t="n">
        <v>135350000</v>
      </c>
      <c r="M1845" s="26" t="n">
        <v>293971189</v>
      </c>
      <c r="N1845" s="27">
        <f>IF(ISNUMBER(M1845),M1845/L1845,"No aplica")</f>
        <v>2.1719334244551165</v>
      </c>
      <c r="O1845" s="25">
        <f>IF(G1845="provision",M1845+H1845,IF(G1845="recoleccion",M1845-H1845,"No aplica"))</f>
        <v>135350000</v>
      </c>
      <c r="P1845" s="26" t="n">
        <v>0</v>
      </c>
    </row>
    <row r="1846">
      <c r="A1846" t="inlineStr">
        <is>
          <t>PRAGMA</t>
        </is>
      </c>
      <c r="B1846" t="inlineStr">
        <is>
          <t>M2</t>
        </is>
      </c>
      <c r="C1846" t="inlineStr">
        <is>
          <t>Cali</t>
        </is>
      </c>
      <c r="D1846" t="inlineStr">
        <is>
          <t>7864</t>
        </is>
      </c>
      <c r="E1846" t="inlineStr">
        <is>
          <t>Sucursal</t>
        </is>
      </c>
      <c r="F1846" s="23" t="n">
        <v>46268</v>
      </c>
      <c r="G1846" t="inlineStr">
        <is>
          <t>recoleccion</t>
        </is>
      </c>
      <c r="H1846" s="26" t="n">
        <v>185790968</v>
      </c>
      <c r="I1846" t="inlineStr">
        <is>
          <t>bajo</t>
        </is>
      </c>
      <c r="J1846" t="inlineStr">
        <is>
          <t>RN-22 y RN-35: recoleccion al cierre de lo que pasa del cupo</t>
        </is>
      </c>
      <c r="K1846" t="inlineStr">
        <is>
          <t>Recoleccion al cierre: con el pronostico, el saldo cerraria en 321.140.968 COP, sobre el cupo de 135.350.000. Se recoge el excedente y el saldo queda en 135.350.000 COP. Equipo administrado por Sucursal. Sin tarifa TDV (administrado por la sucursal): costo 0 declarado.</t>
        </is>
      </c>
      <c r="L1846" s="26" t="n">
        <v>135350000</v>
      </c>
      <c r="M1846" s="26" t="n">
        <v>321140968</v>
      </c>
      <c r="N1846" s="27">
        <f>IF(ISNUMBER(M1846),M1846/L1846,"No aplica")</f>
        <v>2.3726706169190988</v>
      </c>
      <c r="O1846" s="25">
        <f>IF(G1846="provision",M1846+H1846,IF(G1846="recoleccion",M1846-H1846,"No aplica"))</f>
        <v>135350000</v>
      </c>
      <c r="P1846" s="26" t="n">
        <v>0</v>
      </c>
    </row>
    <row r="1847">
      <c r="A1847" t="inlineStr">
        <is>
          <t>PRAGMA</t>
        </is>
      </c>
      <c r="B1847" t="inlineStr">
        <is>
          <t>M2</t>
        </is>
      </c>
      <c r="C1847" t="inlineStr">
        <is>
          <t>Cali</t>
        </is>
      </c>
      <c r="D1847" t="inlineStr">
        <is>
          <t>7864</t>
        </is>
      </c>
      <c r="E1847" t="inlineStr">
        <is>
          <t>Sucursal</t>
        </is>
      </c>
      <c r="F1847" s="23" t="n">
        <v>46269</v>
      </c>
      <c r="G1847" t="inlineStr">
        <is>
          <t>recoleccion</t>
        </is>
      </c>
      <c r="H1847" s="26" t="n">
        <v>179559549</v>
      </c>
      <c r="I1847" t="inlineStr">
        <is>
          <t>bajo</t>
        </is>
      </c>
      <c r="J1847" t="inlineStr">
        <is>
          <t>RN-22 y RN-35: recoleccion al cierre de lo que pasa del cupo</t>
        </is>
      </c>
      <c r="K1847" t="inlineStr">
        <is>
          <t>Recoleccion al cierre: con el pronostico, el saldo cerraria en 314.909.549 COP, sobre el cupo de 135.350.000. Se recoge el excedente y el saldo queda en 135.350.000 COP. Equipo administrado por Sucursal. Sin tarifa TDV (administrado por la sucursal): costo 0 declarado.</t>
        </is>
      </c>
      <c r="L1847" s="26" t="n">
        <v>135350000</v>
      </c>
      <c r="M1847" s="26" t="n">
        <v>314909549</v>
      </c>
      <c r="N1847" s="27">
        <f>IF(ISNUMBER(M1847),M1847/L1847,"No aplica")</f>
        <v>2.326631318803103</v>
      </c>
      <c r="O1847" s="25">
        <f>IF(G1847="provision",M1847+H1847,IF(G1847="recoleccion",M1847-H1847,"No aplica"))</f>
        <v>135350000</v>
      </c>
      <c r="P1847" s="26" t="n">
        <v>0</v>
      </c>
    </row>
    <row r="1848">
      <c r="A1848" t="inlineStr">
        <is>
          <t>PRAGMA</t>
        </is>
      </c>
      <c r="B1848" t="inlineStr">
        <is>
          <t>M2</t>
        </is>
      </c>
      <c r="C1848" t="inlineStr">
        <is>
          <t>Cali</t>
        </is>
      </c>
      <c r="D1848" t="inlineStr">
        <is>
          <t>7864</t>
        </is>
      </c>
      <c r="E1848" t="inlineStr">
        <is>
          <t>Sucursal</t>
        </is>
      </c>
      <c r="F1848" s="23" t="n">
        <v>46270</v>
      </c>
      <c r="G1848" t="inlineStr">
        <is>
          <t>recoleccion</t>
        </is>
      </c>
      <c r="H1848" s="26" t="n">
        <v>157974876</v>
      </c>
      <c r="I1848" t="inlineStr">
        <is>
          <t>bajo</t>
        </is>
      </c>
      <c r="J1848" t="inlineStr">
        <is>
          <t>RN-22 y RN-35: recoleccion al cierre de lo que pasa del cupo</t>
        </is>
      </c>
      <c r="K1848" t="inlineStr">
        <is>
          <t>Recoleccion al cierre: con el pronostico, el saldo cerraria en 293.324.876 COP, sobre el cupo de 135.350.000. Se recoge el excedente y el saldo queda en 135.350.000 COP. Equipo administrado por Sucursal. Sin tarifa TDV (administrado por la sucursal): costo 0 declarado.</t>
        </is>
      </c>
      <c r="L1848" s="26" t="n">
        <v>135350000</v>
      </c>
      <c r="M1848" s="26" t="n">
        <v>293324876</v>
      </c>
      <c r="N1848" s="27">
        <f>IF(ISNUMBER(M1848),M1848/L1848,"No aplica")</f>
        <v>2.167158300701884</v>
      </c>
      <c r="O1848" s="25">
        <f>IF(G1848="provision",M1848+H1848,IF(G1848="recoleccion",M1848-H1848,"No aplica"))</f>
        <v>135350000</v>
      </c>
      <c r="P1848" s="26" t="n">
        <v>0</v>
      </c>
    </row>
    <row r="1849">
      <c r="A1849" t="inlineStr">
        <is>
          <t>PRAGMA</t>
        </is>
      </c>
      <c r="B1849" t="inlineStr">
        <is>
          <t>M2</t>
        </is>
      </c>
      <c r="C1849" t="inlineStr">
        <is>
          <t>Cali</t>
        </is>
      </c>
      <c r="D1849" t="inlineStr">
        <is>
          <t>7864</t>
        </is>
      </c>
      <c r="E1849" t="inlineStr">
        <is>
          <t>Sucursal</t>
        </is>
      </c>
      <c r="F1849" s="23" t="n">
        <v>46271</v>
      </c>
      <c r="G1849" t="inlineStr">
        <is>
          <t>recoleccion</t>
        </is>
      </c>
      <c r="H1849" s="26" t="n">
        <v>32448976</v>
      </c>
      <c r="I1849" t="inlineStr">
        <is>
          <t>bajo</t>
        </is>
      </c>
      <c r="J1849" t="inlineStr">
        <is>
          <t>RN-22 y RN-35: recoleccion al cierre de lo que pasa del cupo</t>
        </is>
      </c>
      <c r="K1849" t="inlineStr">
        <is>
          <t>Recoleccion al cierre: con el pronostico, el saldo cerraria en 167.798.976 COP, sobre el cupo de 135.350.000. Se recoge el excedente y el saldo queda en 135.350.000 COP. Equipo administrado por Sucursal. Sin tarifa TDV (administrado por la sucursal): costo 0 declarado.</t>
        </is>
      </c>
      <c r="L1849" s="26" t="n">
        <v>135350000</v>
      </c>
      <c r="M1849" s="26" t="n">
        <v>167798976</v>
      </c>
      <c r="N1849" s="27">
        <f>IF(ISNUMBER(M1849),M1849/L1849,"No aplica")</f>
        <v>1.2397412338381972</v>
      </c>
      <c r="O1849" s="25">
        <f>IF(G1849="provision",M1849+H1849,IF(G1849="recoleccion",M1849-H1849,"No aplica"))</f>
        <v>135350000</v>
      </c>
      <c r="P1849" s="26" t="n">
        <v>0</v>
      </c>
    </row>
    <row r="1850">
      <c r="A1850" t="inlineStr">
        <is>
          <t>PRAGMA</t>
        </is>
      </c>
      <c r="B1850" t="inlineStr">
        <is>
          <t>M2</t>
        </is>
      </c>
      <c r="C1850" t="inlineStr">
        <is>
          <t>Cali</t>
        </is>
      </c>
      <c r="D1850" t="inlineStr">
        <is>
          <t>7864</t>
        </is>
      </c>
      <c r="E1850" t="inlineStr">
        <is>
          <t>Sucursal</t>
        </is>
      </c>
      <c r="F1850" s="23" t="n">
        <v>46272</v>
      </c>
      <c r="G1850" t="inlineStr">
        <is>
          <t>recoleccion</t>
        </is>
      </c>
      <c r="H1850" s="26" t="n">
        <v>233172944</v>
      </c>
      <c r="I1850" t="inlineStr">
        <is>
          <t>bajo</t>
        </is>
      </c>
      <c r="J1850" t="inlineStr">
        <is>
          <t>RN-22 y RN-35: recoleccion al cierre de lo que pasa del cupo</t>
        </is>
      </c>
      <c r="K1850" t="inlineStr">
        <is>
          <t>Recoleccion al cierre: con el pronostico, el saldo cerraria en 368.522.944 COP, sobre el cupo de 135.350.000. Se recoge el excedente y el saldo queda en 135.350.000 COP. Equipo administrado por Sucursal. Sin tarifa TDV (administrado por la sucursal): costo 0 declarado.</t>
        </is>
      </c>
      <c r="L1850" s="26" t="n">
        <v>135350000</v>
      </c>
      <c r="M1850" s="26" t="n">
        <v>368522944</v>
      </c>
      <c r="N1850" s="27">
        <f>IF(ISNUMBER(M1850),M1850/L1850,"No aplica")</f>
        <v>2.722740628001478</v>
      </c>
      <c r="O1850" s="25">
        <f>IF(G1850="provision",M1850+H1850,IF(G1850="recoleccion",M1850-H1850,"No aplica"))</f>
        <v>135350000</v>
      </c>
      <c r="P1850" s="26" t="n">
        <v>0</v>
      </c>
    </row>
    <row r="1851">
      <c r="A1851" t="inlineStr">
        <is>
          <t>PRAGMA</t>
        </is>
      </c>
      <c r="B1851" t="inlineStr">
        <is>
          <t>M2</t>
        </is>
      </c>
      <c r="C1851" t="inlineStr">
        <is>
          <t>Cali</t>
        </is>
      </c>
      <c r="D1851" t="inlineStr">
        <is>
          <t>7864</t>
        </is>
      </c>
      <c r="E1851" t="inlineStr">
        <is>
          <t>Sucursal</t>
        </is>
      </c>
      <c r="F1851" s="23" t="n">
        <v>46273</v>
      </c>
      <c r="G1851" t="inlineStr">
        <is>
          <t>recoleccion</t>
        </is>
      </c>
      <c r="H1851" s="26" t="n">
        <v>231173856</v>
      </c>
      <c r="I1851" t="inlineStr">
        <is>
          <t>bajo</t>
        </is>
      </c>
      <c r="J1851" t="inlineStr">
        <is>
          <t>RN-22 y RN-35: recoleccion al cierre de lo que pasa del cupo</t>
        </is>
      </c>
      <c r="K1851" t="inlineStr">
        <is>
          <t>Recoleccion al cierre: con el pronostico, el saldo cerraria en 366.523.856 COP, sobre el cupo de 135.350.000. Se recoge el excedente y el saldo queda en 135.350.000 COP. Equipo administrado por Sucursal. Sin tarifa TDV (administrado por la sucursal): costo 0 declarado.</t>
        </is>
      </c>
      <c r="L1851" s="26" t="n">
        <v>135350000</v>
      </c>
      <c r="M1851" s="26" t="n">
        <v>366523856</v>
      </c>
      <c r="N1851" s="27">
        <f>IF(ISNUMBER(M1851),M1851/L1851,"No aplica")</f>
        <v>2.7079708607314372</v>
      </c>
      <c r="O1851" s="25">
        <f>IF(G1851="provision",M1851+H1851,IF(G1851="recoleccion",M1851-H1851,"No aplica"))</f>
        <v>135350000</v>
      </c>
      <c r="P1851" s="26" t="n">
        <v>0</v>
      </c>
    </row>
    <row r="1852">
      <c r="A1852" t="inlineStr">
        <is>
          <t>PRAGMA</t>
        </is>
      </c>
      <c r="B1852" t="inlineStr">
        <is>
          <t>M2</t>
        </is>
      </c>
      <c r="C1852" t="inlineStr">
        <is>
          <t>Cali</t>
        </is>
      </c>
      <c r="D1852" t="inlineStr">
        <is>
          <t>7864</t>
        </is>
      </c>
      <c r="E1852" t="inlineStr">
        <is>
          <t>Sucursal</t>
        </is>
      </c>
      <c r="F1852" s="23" t="n">
        <v>46274</v>
      </c>
      <c r="G1852" t="inlineStr">
        <is>
          <t>recoleccion</t>
        </is>
      </c>
      <c r="H1852" s="26" t="n">
        <v>203774598</v>
      </c>
      <c r="I1852" t="inlineStr">
        <is>
          <t>bajo</t>
        </is>
      </c>
      <c r="J1852" t="inlineStr">
        <is>
          <t>RN-22 y RN-35: recoleccion al cierre de lo que pasa del cupo</t>
        </is>
      </c>
      <c r="K1852" t="inlineStr">
        <is>
          <t>Recoleccion al cierre: con el pronostico, el saldo cerraria en 339.124.598 COP, sobre el cupo de 135.350.000. Se recoge el excedente y el saldo queda en 135.350.000 COP. Equipo administrado por Sucursal. Sin tarifa TDV (administrado por la sucursal): costo 0 declarado.</t>
        </is>
      </c>
      <c r="L1852" s="26" t="n">
        <v>135350000</v>
      </c>
      <c r="M1852" s="26" t="n">
        <v>339124598</v>
      </c>
      <c r="N1852" s="27">
        <f>IF(ISNUMBER(M1852),M1852/L1852,"No aplica")</f>
        <v>2.5055382194311044</v>
      </c>
      <c r="O1852" s="25">
        <f>IF(G1852="provision",M1852+H1852,IF(G1852="recoleccion",M1852-H1852,"No aplica"))</f>
        <v>135350000</v>
      </c>
      <c r="P1852" s="26" t="n">
        <v>0</v>
      </c>
    </row>
    <row r="1853">
      <c r="A1853" t="inlineStr">
        <is>
          <t>PRAGMA</t>
        </is>
      </c>
      <c r="B1853" t="inlineStr">
        <is>
          <t>M2</t>
        </is>
      </c>
      <c r="C1853" t="inlineStr">
        <is>
          <t>Cali</t>
        </is>
      </c>
      <c r="D1853" t="inlineStr">
        <is>
          <t>7864</t>
        </is>
      </c>
      <c r="E1853" t="inlineStr">
        <is>
          <t>Sucursal</t>
        </is>
      </c>
      <c r="F1853" s="23" t="n">
        <v>46275</v>
      </c>
      <c r="G1853" t="inlineStr">
        <is>
          <t>recoleccion</t>
        </is>
      </c>
      <c r="H1853" s="26" t="n">
        <v>202158987</v>
      </c>
      <c r="I1853" t="inlineStr">
        <is>
          <t>bajo</t>
        </is>
      </c>
      <c r="J1853" t="inlineStr">
        <is>
          <t>RN-22 y RN-35: recoleccion al cierre de lo que pasa del cupo</t>
        </is>
      </c>
      <c r="K1853" t="inlineStr">
        <is>
          <t>Recoleccion al cierre: con el pronostico, el saldo cerraria en 337.508.987 COP, sobre el cupo de 135.350.000. Se recoge el excedente y el saldo queda en 135.350.000 COP. Equipo administrado por Sucursal. Sin tarifa TDV (administrado por la sucursal): costo 0 declarado.</t>
        </is>
      </c>
      <c r="L1853" s="26" t="n">
        <v>135350000</v>
      </c>
      <c r="M1853" s="26" t="n">
        <v>337508987</v>
      </c>
      <c r="N1853" s="27">
        <f>IF(ISNUMBER(M1853),M1853/L1853,"No aplica")</f>
        <v>2.493601677133358</v>
      </c>
      <c r="O1853" s="25">
        <f>IF(G1853="provision",M1853+H1853,IF(G1853="recoleccion",M1853-H1853,"No aplica"))</f>
        <v>135350000</v>
      </c>
      <c r="P1853" s="26" t="n">
        <v>0</v>
      </c>
    </row>
    <row r="1854">
      <c r="A1854" t="inlineStr">
        <is>
          <t>PRAGMA</t>
        </is>
      </c>
      <c r="B1854" t="inlineStr">
        <is>
          <t>M2</t>
        </is>
      </c>
      <c r="C1854" t="inlineStr">
        <is>
          <t>Cali</t>
        </is>
      </c>
      <c r="D1854" t="inlineStr">
        <is>
          <t>7864</t>
        </is>
      </c>
      <c r="E1854" t="inlineStr">
        <is>
          <t>Sucursal</t>
        </is>
      </c>
      <c r="F1854" s="23" t="n">
        <v>46276</v>
      </c>
      <c r="G1854" t="inlineStr">
        <is>
          <t>recoleccion</t>
        </is>
      </c>
      <c r="H1854" s="26" t="n">
        <v>197357092</v>
      </c>
      <c r="I1854" t="inlineStr">
        <is>
          <t>bajo</t>
        </is>
      </c>
      <c r="J1854" t="inlineStr">
        <is>
          <t>RN-22 y RN-35: recoleccion al cierre de lo que pasa del cupo</t>
        </is>
      </c>
      <c r="K1854" t="inlineStr">
        <is>
          <t>Recoleccion al cierre: con el pronostico, el saldo cerraria en 332.707.092 COP, sobre el cupo de 135.350.000. Se recoge el excedente y el saldo queda en 135.350.000 COP. Equipo administrado por Sucursal. Sin tarifa TDV (administrado por la sucursal): costo 0 declarado.</t>
        </is>
      </c>
      <c r="L1854" s="26" t="n">
        <v>135350000</v>
      </c>
      <c r="M1854" s="26" t="n">
        <v>332707092</v>
      </c>
      <c r="N1854" s="27">
        <f>IF(ISNUMBER(M1854),M1854/L1854,"No aplica")</f>
        <v>2.458124063538973</v>
      </c>
      <c r="O1854" s="25">
        <f>IF(G1854="provision",M1854+H1854,IF(G1854="recoleccion",M1854-H1854,"No aplica"))</f>
        <v>135350000</v>
      </c>
      <c r="P1854" s="26" t="n">
        <v>0</v>
      </c>
    </row>
    <row r="1855">
      <c r="A1855" t="inlineStr">
        <is>
          <t>PRAGMA</t>
        </is>
      </c>
      <c r="B1855" t="inlineStr">
        <is>
          <t>M2</t>
        </is>
      </c>
      <c r="C1855" t="inlineStr">
        <is>
          <t>Cali</t>
        </is>
      </c>
      <c r="D1855" t="inlineStr">
        <is>
          <t>7864</t>
        </is>
      </c>
      <c r="E1855" t="inlineStr">
        <is>
          <t>Sucursal</t>
        </is>
      </c>
      <c r="F1855" s="23" t="n">
        <v>46277</v>
      </c>
      <c r="G1855" t="inlineStr">
        <is>
          <t>recoleccion</t>
        </is>
      </c>
      <c r="H1855" s="26" t="n">
        <v>159613228</v>
      </c>
      <c r="I1855" t="inlineStr">
        <is>
          <t>bajo</t>
        </is>
      </c>
      <c r="J1855" t="inlineStr">
        <is>
          <t>RN-22 y RN-35: recoleccion al cierre de lo que pasa del cupo</t>
        </is>
      </c>
      <c r="K1855" t="inlineStr">
        <is>
          <t>Recoleccion al cierre: con el pronostico, el saldo cerraria en 294.963.228 COP, sobre el cupo de 135.350.000. Se recoge el excedente y el saldo queda en 135.350.000 COP. Equipo administrado por Sucursal. Sin tarifa TDV (administrado por la sucursal): costo 0 declarado.</t>
        </is>
      </c>
      <c r="L1855" s="26" t="n">
        <v>135350000</v>
      </c>
      <c r="M1855" s="26" t="n">
        <v>294963228</v>
      </c>
      <c r="N1855" s="27">
        <f>IF(ISNUMBER(M1855),M1855/L1855,"No aplica")</f>
        <v>2.1792628592537864</v>
      </c>
      <c r="O1855" s="25">
        <f>IF(G1855="provision",M1855+H1855,IF(G1855="recoleccion",M1855-H1855,"No aplica"))</f>
        <v>135350000</v>
      </c>
      <c r="P1855" s="26" t="n">
        <v>0</v>
      </c>
    </row>
    <row r="1856">
      <c r="A1856" t="inlineStr">
        <is>
          <t>PRAGMA</t>
        </is>
      </c>
      <c r="B1856" t="inlineStr">
        <is>
          <t>M2</t>
        </is>
      </c>
      <c r="C1856" t="inlineStr">
        <is>
          <t>Cali</t>
        </is>
      </c>
      <c r="D1856" t="inlineStr">
        <is>
          <t>7864</t>
        </is>
      </c>
      <c r="E1856" t="inlineStr">
        <is>
          <t>Sucursal</t>
        </is>
      </c>
      <c r="F1856" s="23" t="n">
        <v>46278</v>
      </c>
      <c r="G1856" t="inlineStr">
        <is>
          <t>recoleccion</t>
        </is>
      </c>
      <c r="H1856" s="26" t="n">
        <v>31871694</v>
      </c>
      <c r="I1856" t="inlineStr">
        <is>
          <t>bajo</t>
        </is>
      </c>
      <c r="J1856" t="inlineStr">
        <is>
          <t>RN-22 y RN-35: recoleccion al cierre de lo que pasa del cupo</t>
        </is>
      </c>
      <c r="K1856" t="inlineStr">
        <is>
          <t>Recoleccion al cierre: con el pronostico, el saldo cerraria en 167.221.694 COP, sobre el cupo de 135.350.000. Se recoge el excedente y el saldo queda en 135.350.000 COP. Equipo administrado por Sucursal. Sin tarifa TDV (administrado por la sucursal): costo 0 declarado.</t>
        </is>
      </c>
      <c r="L1856" s="26" t="n">
        <v>135350000</v>
      </c>
      <c r="M1856" s="26" t="n">
        <v>167221694</v>
      </c>
      <c r="N1856" s="27">
        <f>IF(ISNUMBER(M1856),M1856/L1856,"No aplica")</f>
        <v>1.2354761285555966</v>
      </c>
      <c r="O1856" s="25">
        <f>IF(G1856="provision",M1856+H1856,IF(G1856="recoleccion",M1856-H1856,"No aplica"))</f>
        <v>135350000</v>
      </c>
      <c r="P1856" s="26" t="n">
        <v>0</v>
      </c>
    </row>
    <row r="1857">
      <c r="A1857" t="inlineStr">
        <is>
          <t>PRAGMA</t>
        </is>
      </c>
      <c r="B1857" t="inlineStr">
        <is>
          <t>M2</t>
        </is>
      </c>
      <c r="C1857" t="inlineStr">
        <is>
          <t>Cali</t>
        </is>
      </c>
      <c r="D1857" t="inlineStr">
        <is>
          <t>7864</t>
        </is>
      </c>
      <c r="E1857" t="inlineStr">
        <is>
          <t>Sucursal</t>
        </is>
      </c>
      <c r="F1857" s="23" t="n">
        <v>46279</v>
      </c>
      <c r="G1857" t="inlineStr">
        <is>
          <t>recoleccion</t>
        </is>
      </c>
      <c r="H1857" s="26" t="n">
        <v>228148960</v>
      </c>
      <c r="I1857" t="inlineStr">
        <is>
          <t>bajo</t>
        </is>
      </c>
      <c r="J1857" t="inlineStr">
        <is>
          <t>RN-22 y RN-35: recoleccion al cierre de lo que pasa del cupo</t>
        </is>
      </c>
      <c r="K1857" t="inlineStr">
        <is>
          <t>Recoleccion al cierre: con el pronostico, el saldo cerraria en 363.498.960 COP, sobre el cupo de 135.350.000. Se recoge el excedente y el saldo queda en 135.350.000 COP. Equipo administrado por Sucursal. Sin tarifa TDV (administrado por la sucursal): costo 0 declarado.</t>
        </is>
      </c>
      <c r="L1857" s="26" t="n">
        <v>135350000</v>
      </c>
      <c r="M1857" s="26" t="n">
        <v>363498960</v>
      </c>
      <c r="N1857" s="27">
        <f>IF(ISNUMBER(M1857),M1857/L1857,"No aplica")</f>
        <v>2.6856221647580347</v>
      </c>
      <c r="O1857" s="25">
        <f>IF(G1857="provision",M1857+H1857,IF(G1857="recoleccion",M1857-H1857,"No aplica"))</f>
        <v>135350000</v>
      </c>
      <c r="P1857" s="26" t="n">
        <v>0</v>
      </c>
    </row>
    <row r="1858">
      <c r="A1858" t="inlineStr">
        <is>
          <t>PRAGMA</t>
        </is>
      </c>
      <c r="B1858" t="inlineStr">
        <is>
          <t>M2</t>
        </is>
      </c>
      <c r="C1858" t="inlineStr">
        <is>
          <t>Cali</t>
        </is>
      </c>
      <c r="D1858" t="inlineStr">
        <is>
          <t>7864</t>
        </is>
      </c>
      <c r="E1858" t="inlineStr">
        <is>
          <t>Sucursal</t>
        </is>
      </c>
      <c r="F1858" s="23" t="n">
        <v>46280</v>
      </c>
      <c r="G1858" t="inlineStr">
        <is>
          <t>recoleccion</t>
        </is>
      </c>
      <c r="H1858" s="26" t="n">
        <v>210905753</v>
      </c>
      <c r="I1858" t="inlineStr">
        <is>
          <t>bajo</t>
        </is>
      </c>
      <c r="J1858" t="inlineStr">
        <is>
          <t>RN-22 y RN-35: recoleccion al cierre de lo que pasa del cupo</t>
        </is>
      </c>
      <c r="K1858" t="inlineStr">
        <is>
          <t>Recoleccion al cierre: con el pronostico, el saldo cerraria en 346.255.753 COP, sobre el cupo de 135.350.000. Se recoge el excedente y el saldo queda en 135.350.000 COP. Equipo administrado por Sucursal. Sin tarifa TDV (administrado por la sucursal): costo 0 declarado.</t>
        </is>
      </c>
      <c r="L1858" s="26" t="n">
        <v>135350000</v>
      </c>
      <c r="M1858" s="26" t="n">
        <v>346255753</v>
      </c>
      <c r="N1858" s="27">
        <f>IF(ISNUMBER(M1858),M1858/L1858,"No aplica")</f>
        <v>2.5582249944588105</v>
      </c>
      <c r="O1858" s="25">
        <f>IF(G1858="provision",M1858+H1858,IF(G1858="recoleccion",M1858-H1858,"No aplica"))</f>
        <v>135350000</v>
      </c>
      <c r="P1858" s="26" t="n">
        <v>0</v>
      </c>
    </row>
    <row r="1859">
      <c r="A1859" t="inlineStr">
        <is>
          <t>PRAGMA</t>
        </is>
      </c>
      <c r="B1859" t="inlineStr">
        <is>
          <t>M2</t>
        </is>
      </c>
      <c r="C1859" t="inlineStr">
        <is>
          <t>Cali</t>
        </is>
      </c>
      <c r="D1859" t="inlineStr">
        <is>
          <t>793</t>
        </is>
      </c>
      <c r="E1859" t="inlineStr">
        <is>
          <t>Sucursal</t>
        </is>
      </c>
      <c r="F1859" s="23" t="n">
        <v>46266</v>
      </c>
      <c r="G1859" t="inlineStr">
        <is>
          <t>recoleccion</t>
        </is>
      </c>
      <c r="H1859" s="26" t="n">
        <v>70913754</v>
      </c>
      <c r="I1859" t="inlineStr">
        <is>
          <t>bajo</t>
        </is>
      </c>
      <c r="J1859" t="inlineStr">
        <is>
          <t>RN-22 y RN-35: recoleccion al cierre de lo que pasa del cupo</t>
        </is>
      </c>
      <c r="K1859" t="inlineStr">
        <is>
          <t>Recoleccion al cierre: con el pronostico, el saldo cerraria en 156.415.754 COP, sobre el cupo de 85.502.000. Se recoge el excedente y el saldo queda en 85.502.000 COP. Equipo administrado por Sucursal. Sin tarifa TDV (administrado por la sucursal): costo 0 declarado.</t>
        </is>
      </c>
      <c r="L1859" s="26" t="n">
        <v>85502000</v>
      </c>
      <c r="M1859" s="26" t="n">
        <v>156415754</v>
      </c>
      <c r="N1859" s="27">
        <f>IF(ISNUMBER(M1859),M1859/L1859,"No aplica")</f>
        <v>1.8293812308484012</v>
      </c>
      <c r="O1859" s="25">
        <f>IF(G1859="provision",M1859+H1859,IF(G1859="recoleccion",M1859-H1859,"No aplica"))</f>
        <v>85502000</v>
      </c>
      <c r="P1859" s="26" t="n">
        <v>0</v>
      </c>
    </row>
    <row r="1860">
      <c r="A1860" t="inlineStr">
        <is>
          <t>PRAGMA</t>
        </is>
      </c>
      <c r="B1860" t="inlineStr">
        <is>
          <t>M2</t>
        </is>
      </c>
      <c r="C1860" t="inlineStr">
        <is>
          <t>Cali</t>
        </is>
      </c>
      <c r="D1860" t="inlineStr">
        <is>
          <t>793</t>
        </is>
      </c>
      <c r="E1860" t="inlineStr">
        <is>
          <t>Sucursal</t>
        </is>
      </c>
      <c r="F1860" s="23" t="n">
        <v>46267</v>
      </c>
      <c r="G1860" t="inlineStr">
        <is>
          <t>recoleccion</t>
        </is>
      </c>
      <c r="H1860" s="26" t="n">
        <v>73637897</v>
      </c>
      <c r="I1860" t="inlineStr">
        <is>
          <t>bajo</t>
        </is>
      </c>
      <c r="J1860" t="inlineStr">
        <is>
          <t>RN-22 y RN-35: recoleccion al cierre de lo que pasa del cupo</t>
        </is>
      </c>
      <c r="K1860" t="inlineStr">
        <is>
          <t>Recoleccion al cierre: con el pronostico, el saldo cerraria en 159.139.897 COP, sobre el cupo de 85.502.000. Se recoge el excedente y el saldo queda en 85.502.000 COP. Equipo administrado por Sucursal. Sin tarifa TDV (administrado por la sucursal): costo 0 declarado.</t>
        </is>
      </c>
      <c r="L1860" s="26" t="n">
        <v>85502000</v>
      </c>
      <c r="M1860" s="26" t="n">
        <v>159139897</v>
      </c>
      <c r="N1860" s="27">
        <f>IF(ISNUMBER(M1860),M1860/L1860,"No aplica")</f>
        <v>1.861241807209188</v>
      </c>
      <c r="O1860" s="25">
        <f>IF(G1860="provision",M1860+H1860,IF(G1860="recoleccion",M1860-H1860,"No aplica"))</f>
        <v>85502000</v>
      </c>
      <c r="P1860" s="26" t="n">
        <v>0</v>
      </c>
    </row>
    <row r="1861">
      <c r="A1861" t="inlineStr">
        <is>
          <t>PRAGMA</t>
        </is>
      </c>
      <c r="B1861" t="inlineStr">
        <is>
          <t>M2</t>
        </is>
      </c>
      <c r="C1861" t="inlineStr">
        <is>
          <t>Cali</t>
        </is>
      </c>
      <c r="D1861" t="inlineStr">
        <is>
          <t>793</t>
        </is>
      </c>
      <c r="E1861" t="inlineStr">
        <is>
          <t>Sucursal</t>
        </is>
      </c>
      <c r="F1861" s="23" t="n">
        <v>46268</v>
      </c>
      <c r="G1861" t="inlineStr">
        <is>
          <t>recoleccion</t>
        </is>
      </c>
      <c r="H1861" s="26" t="n">
        <v>77810982</v>
      </c>
      <c r="I1861" t="inlineStr">
        <is>
          <t>bajo</t>
        </is>
      </c>
      <c r="J1861" t="inlineStr">
        <is>
          <t>RN-22 y RN-35: recoleccion al cierre de lo que pasa del cupo</t>
        </is>
      </c>
      <c r="K1861" t="inlineStr">
        <is>
          <t>Recoleccion al cierre: con el pronostico, el saldo cerraria en 163.312.982 COP, sobre el cupo de 85.502.000. Se recoge el excedente y el saldo queda en 85.502.000 COP. Equipo administrado por Sucursal. Sin tarifa TDV (administrado por la sucursal): costo 0 declarado.</t>
        </is>
      </c>
      <c r="L1861" s="26" t="n">
        <v>85502000</v>
      </c>
      <c r="M1861" s="26" t="n">
        <v>163312982</v>
      </c>
      <c r="N1861" s="27">
        <f>IF(ISNUMBER(M1861),M1861/L1861,"No aplica")</f>
        <v>1.9100486772239247</v>
      </c>
      <c r="O1861" s="25">
        <f>IF(G1861="provision",M1861+H1861,IF(G1861="recoleccion",M1861-H1861,"No aplica"))</f>
        <v>85502000</v>
      </c>
      <c r="P1861" s="26" t="n">
        <v>0</v>
      </c>
    </row>
    <row r="1862">
      <c r="A1862" t="inlineStr">
        <is>
          <t>PRAGMA</t>
        </is>
      </c>
      <c r="B1862" t="inlineStr">
        <is>
          <t>M2</t>
        </is>
      </c>
      <c r="C1862" t="inlineStr">
        <is>
          <t>Cali</t>
        </is>
      </c>
      <c r="D1862" t="inlineStr">
        <is>
          <t>793</t>
        </is>
      </c>
      <c r="E1862" t="inlineStr">
        <is>
          <t>Sucursal</t>
        </is>
      </c>
      <c r="F1862" s="23" t="n">
        <v>46269</v>
      </c>
      <c r="G1862" t="inlineStr">
        <is>
          <t>recoleccion</t>
        </is>
      </c>
      <c r="H1862" s="26" t="n">
        <v>80520896</v>
      </c>
      <c r="I1862" t="inlineStr">
        <is>
          <t>bajo</t>
        </is>
      </c>
      <c r="J1862" t="inlineStr">
        <is>
          <t>RN-22 y RN-35: recoleccion al cierre de lo que pasa del cupo</t>
        </is>
      </c>
      <c r="K1862" t="inlineStr">
        <is>
          <t>Recoleccion al cierre: con el pronostico, el saldo cerraria en 166.022.896 COP, sobre el cupo de 85.502.000. Se recoge el excedente y el saldo queda en 85.502.000 COP. Equipo administrado por Sucursal. Sin tarifa TDV (administrado por la sucursal): costo 0 declarado.</t>
        </is>
      </c>
      <c r="L1862" s="26" t="n">
        <v>85502000</v>
      </c>
      <c r="M1862" s="26" t="n">
        <v>166022896</v>
      </c>
      <c r="N1862" s="27">
        <f>IF(ISNUMBER(M1862),M1862/L1862,"No aplica")</f>
        <v>1.941742836424879</v>
      </c>
      <c r="O1862" s="25">
        <f>IF(G1862="provision",M1862+H1862,IF(G1862="recoleccion",M1862-H1862,"No aplica"))</f>
        <v>85502000</v>
      </c>
      <c r="P1862" s="26" t="n">
        <v>0</v>
      </c>
    </row>
    <row r="1863">
      <c r="A1863" t="inlineStr">
        <is>
          <t>PRAGMA</t>
        </is>
      </c>
      <c r="B1863" t="inlineStr">
        <is>
          <t>M2</t>
        </is>
      </c>
      <c r="C1863" t="inlineStr">
        <is>
          <t>Cali</t>
        </is>
      </c>
      <c r="D1863" t="inlineStr">
        <is>
          <t>793</t>
        </is>
      </c>
      <c r="E1863" t="inlineStr">
        <is>
          <t>Sucursal</t>
        </is>
      </c>
      <c r="F1863" s="23" t="n">
        <v>46270</v>
      </c>
      <c r="G1863" t="inlineStr">
        <is>
          <t>recoleccion</t>
        </is>
      </c>
      <c r="H1863" s="26" t="n">
        <v>69061523</v>
      </c>
      <c r="I1863" t="inlineStr">
        <is>
          <t>bajo</t>
        </is>
      </c>
      <c r="J1863" t="inlineStr">
        <is>
          <t>RN-22 y RN-35: recoleccion al cierre de lo que pasa del cupo</t>
        </is>
      </c>
      <c r="K1863" t="inlineStr">
        <is>
          <t>Recoleccion al cierre: con el pronostico, el saldo cerraria en 154.563.523 COP, sobre el cupo de 85.502.000. Se recoge el excedente y el saldo queda en 85.502.000 COP. Equipo administrado por Sucursal. Sin tarifa TDV (administrado por la sucursal): costo 0 declarado.</t>
        </is>
      </c>
      <c r="L1863" s="26" t="n">
        <v>85502000</v>
      </c>
      <c r="M1863" s="26" t="n">
        <v>154563523</v>
      </c>
      <c r="N1863" s="27">
        <f>IF(ISNUMBER(M1863),M1863/L1863,"No aplica")</f>
        <v>1.8077182171177282</v>
      </c>
      <c r="O1863" s="25">
        <f>IF(G1863="provision",M1863+H1863,IF(G1863="recoleccion",M1863-H1863,"No aplica"))</f>
        <v>85502000</v>
      </c>
      <c r="P1863" s="26" t="n">
        <v>0</v>
      </c>
    </row>
    <row r="1864">
      <c r="A1864" t="inlineStr">
        <is>
          <t>PRAGMA</t>
        </is>
      </c>
      <c r="B1864" t="inlineStr">
        <is>
          <t>M2</t>
        </is>
      </c>
      <c r="C1864" t="inlineStr">
        <is>
          <t>Cali</t>
        </is>
      </c>
      <c r="D1864" t="inlineStr">
        <is>
          <t>793</t>
        </is>
      </c>
      <c r="E1864" t="inlineStr">
        <is>
          <t>Sucursal</t>
        </is>
      </c>
      <c r="F1864" s="23" t="n">
        <v>46271</v>
      </c>
      <c r="G1864" t="inlineStr">
        <is>
          <t>recoleccion</t>
        </is>
      </c>
      <c r="H1864" s="26" t="n">
        <v>19200999</v>
      </c>
      <c r="I1864" t="inlineStr">
        <is>
          <t>bajo</t>
        </is>
      </c>
      <c r="J1864" t="inlineStr">
        <is>
          <t>RN-22 y RN-35: recoleccion al cierre de lo que pasa del cupo</t>
        </is>
      </c>
      <c r="K1864" t="inlineStr">
        <is>
          <t>Recoleccion al cierre: con el pronostico, el saldo cerraria en 104.702.999 COP, sobre el cupo de 85.502.000. Se recoge el excedente y el saldo queda en 85.502.000 COP. Equipo administrado por Sucursal. Sin tarifa TDV (administrado por la sucursal): costo 0 declarado.</t>
        </is>
      </c>
      <c r="L1864" s="26" t="n">
        <v>85502000</v>
      </c>
      <c r="M1864" s="26" t="n">
        <v>104702999</v>
      </c>
      <c r="N1864" s="27">
        <f>IF(ISNUMBER(M1864),M1864/L1864,"No aplica")</f>
        <v>1.224567834670534</v>
      </c>
      <c r="O1864" s="25">
        <f>IF(G1864="provision",M1864+H1864,IF(G1864="recoleccion",M1864-H1864,"No aplica"))</f>
        <v>85502000</v>
      </c>
      <c r="P1864" s="26" t="n">
        <v>0</v>
      </c>
    </row>
    <row r="1865">
      <c r="A1865" t="inlineStr">
        <is>
          <t>PRAGMA</t>
        </is>
      </c>
      <c r="B1865" t="inlineStr">
        <is>
          <t>M2</t>
        </is>
      </c>
      <c r="C1865" t="inlineStr">
        <is>
          <t>Cali</t>
        </is>
      </c>
      <c r="D1865" t="inlineStr">
        <is>
          <t>793</t>
        </is>
      </c>
      <c r="E1865" t="inlineStr">
        <is>
          <t>Sucursal</t>
        </is>
      </c>
      <c r="F1865" s="23" t="n">
        <v>46272</v>
      </c>
      <c r="G1865" t="inlineStr">
        <is>
          <t>recoleccion</t>
        </is>
      </c>
      <c r="H1865" s="26" t="n">
        <v>94024176</v>
      </c>
      <c r="I1865" t="inlineStr">
        <is>
          <t>bajo</t>
        </is>
      </c>
      <c r="J1865" t="inlineStr">
        <is>
          <t>RN-22 y RN-35: recoleccion al cierre de lo que pasa del cupo</t>
        </is>
      </c>
      <c r="K1865" t="inlineStr">
        <is>
          <t>Recoleccion al cierre: con el pronostico, el saldo cerraria en 179.526.176 COP, sobre el cupo de 85.502.000. Se recoge el excedente y el saldo queda en 85.502.000 COP. Equipo administrado por Sucursal. Sin tarifa TDV (administrado por la sucursal): costo 0 declarado.</t>
        </is>
      </c>
      <c r="L1865" s="26" t="n">
        <v>85502000</v>
      </c>
      <c r="M1865" s="26" t="n">
        <v>179526176</v>
      </c>
      <c r="N1865" s="27">
        <f>IF(ISNUMBER(M1865),M1865/L1865,"No aplica")</f>
        <v>2.099672241584992</v>
      </c>
      <c r="O1865" s="25">
        <f>IF(G1865="provision",M1865+H1865,IF(G1865="recoleccion",M1865-H1865,"No aplica"))</f>
        <v>85502000</v>
      </c>
      <c r="P1865" s="26" t="n">
        <v>0</v>
      </c>
    </row>
    <row r="1866">
      <c r="A1866" t="inlineStr">
        <is>
          <t>PRAGMA</t>
        </is>
      </c>
      <c r="B1866" t="inlineStr">
        <is>
          <t>M2</t>
        </is>
      </c>
      <c r="C1866" t="inlineStr">
        <is>
          <t>Cali</t>
        </is>
      </c>
      <c r="D1866" t="inlineStr">
        <is>
          <t>793</t>
        </is>
      </c>
      <c r="E1866" t="inlineStr">
        <is>
          <t>Sucursal</t>
        </is>
      </c>
      <c r="F1866" s="23" t="n">
        <v>46273</v>
      </c>
      <c r="G1866" t="inlineStr">
        <is>
          <t>recoleccion</t>
        </is>
      </c>
      <c r="H1866" s="26" t="n">
        <v>80536503</v>
      </c>
      <c r="I1866" t="inlineStr">
        <is>
          <t>bajo</t>
        </is>
      </c>
      <c r="J1866" t="inlineStr">
        <is>
          <t>RN-22 y RN-35: recoleccion al cierre de lo que pasa del cupo</t>
        </is>
      </c>
      <c r="K1866" t="inlineStr">
        <is>
          <t>Recoleccion al cierre: con el pronostico, el saldo cerraria en 166.038.503 COP, sobre el cupo de 85.502.000. Se recoge el excedente y el saldo queda en 85.502.000 COP. Equipo administrado por Sucursal. Sin tarifa TDV (administrado por la sucursal): costo 0 declarado.</t>
        </is>
      </c>
      <c r="L1866" s="26" t="n">
        <v>85502000</v>
      </c>
      <c r="M1866" s="26" t="n">
        <v>166038503</v>
      </c>
      <c r="N1866" s="27">
        <f>IF(ISNUMBER(M1866),M1866/L1866,"No aplica")</f>
        <v>1.9419253701667798</v>
      </c>
      <c r="O1866" s="25">
        <f>IF(G1866="provision",M1866+H1866,IF(G1866="recoleccion",M1866-H1866,"No aplica"))</f>
        <v>85502000</v>
      </c>
      <c r="P1866" s="26" t="n">
        <v>0</v>
      </c>
    </row>
    <row r="1867">
      <c r="A1867" t="inlineStr">
        <is>
          <t>PRAGMA</t>
        </is>
      </c>
      <c r="B1867" t="inlineStr">
        <is>
          <t>M2</t>
        </is>
      </c>
      <c r="C1867" t="inlineStr">
        <is>
          <t>Cali</t>
        </is>
      </c>
      <c r="D1867" t="inlineStr">
        <is>
          <t>793</t>
        </is>
      </c>
      <c r="E1867" t="inlineStr">
        <is>
          <t>Sucursal</t>
        </is>
      </c>
      <c r="F1867" s="23" t="n">
        <v>46274</v>
      </c>
      <c r="G1867" t="inlineStr">
        <is>
          <t>recoleccion</t>
        </is>
      </c>
      <c r="H1867" s="26" t="n">
        <v>70470960</v>
      </c>
      <c r="I1867" t="inlineStr">
        <is>
          <t>bajo</t>
        </is>
      </c>
      <c r="J1867" t="inlineStr">
        <is>
          <t>RN-22 y RN-35: recoleccion al cierre de lo que pasa del cupo</t>
        </is>
      </c>
      <c r="K1867" t="inlineStr">
        <is>
          <t>Recoleccion al cierre: con el pronostico, el saldo cerraria en 155.972.960 COP, sobre el cupo de 85.502.000. Se recoge el excedente y el saldo queda en 85.502.000 COP. Equipo administrado por Sucursal. Sin tarifa TDV (administrado por la sucursal): costo 0 declarado.</t>
        </is>
      </c>
      <c r="L1867" s="26" t="n">
        <v>85502000</v>
      </c>
      <c r="M1867" s="26" t="n">
        <v>155972960</v>
      </c>
      <c r="N1867" s="27">
        <f>IF(ISNUMBER(M1867),M1867/L1867,"No aplica")</f>
        <v>1.8242024747959111</v>
      </c>
      <c r="O1867" s="25">
        <f>IF(G1867="provision",M1867+H1867,IF(G1867="recoleccion",M1867-H1867,"No aplica"))</f>
        <v>85502000</v>
      </c>
      <c r="P1867" s="26" t="n">
        <v>0</v>
      </c>
    </row>
    <row r="1868">
      <c r="A1868" t="inlineStr">
        <is>
          <t>PRAGMA</t>
        </is>
      </c>
      <c r="B1868" t="inlineStr">
        <is>
          <t>M2</t>
        </is>
      </c>
      <c r="C1868" t="inlineStr">
        <is>
          <t>Cali</t>
        </is>
      </c>
      <c r="D1868" t="inlineStr">
        <is>
          <t>793</t>
        </is>
      </c>
      <c r="E1868" t="inlineStr">
        <is>
          <t>Sucursal</t>
        </is>
      </c>
      <c r="F1868" s="23" t="n">
        <v>46275</v>
      </c>
      <c r="G1868" t="inlineStr">
        <is>
          <t>recoleccion</t>
        </is>
      </c>
      <c r="H1868" s="26" t="n">
        <v>65544490</v>
      </c>
      <c r="I1868" t="inlineStr">
        <is>
          <t>bajo</t>
        </is>
      </c>
      <c r="J1868" t="inlineStr">
        <is>
          <t>RN-22 y RN-35: recoleccion al cierre de lo que pasa del cupo</t>
        </is>
      </c>
      <c r="K1868" t="inlineStr">
        <is>
          <t>Recoleccion al cierre: con el pronostico, el saldo cerraria en 151.046.490 COP, sobre el cupo de 85.502.000. Se recoge el excedente y el saldo queda en 85.502.000 COP. Equipo administrado por Sucursal. Sin tarifa TDV (administrado por la sucursal): costo 0 declarado.</t>
        </is>
      </c>
      <c r="L1868" s="26" t="n">
        <v>85502000</v>
      </c>
      <c r="M1868" s="26" t="n">
        <v>151046490</v>
      </c>
      <c r="N1868" s="27">
        <f>IF(ISNUMBER(M1868),M1868/L1868,"No aplica")</f>
        <v>1.766584290425955</v>
      </c>
      <c r="O1868" s="25">
        <f>IF(G1868="provision",M1868+H1868,IF(G1868="recoleccion",M1868-H1868,"No aplica"))</f>
        <v>85502000</v>
      </c>
      <c r="P1868" s="26" t="n">
        <v>0</v>
      </c>
    </row>
    <row r="1869">
      <c r="A1869" t="inlineStr">
        <is>
          <t>PRAGMA</t>
        </is>
      </c>
      <c r="B1869" t="inlineStr">
        <is>
          <t>M2</t>
        </is>
      </c>
      <c r="C1869" t="inlineStr">
        <is>
          <t>Cali</t>
        </is>
      </c>
      <c r="D1869" t="inlineStr">
        <is>
          <t>793</t>
        </is>
      </c>
      <c r="E1869" t="inlineStr">
        <is>
          <t>Sucursal</t>
        </is>
      </c>
      <c r="F1869" s="23" t="n">
        <v>46276</v>
      </c>
      <c r="G1869" t="inlineStr">
        <is>
          <t>recoleccion</t>
        </is>
      </c>
      <c r="H1869" s="26" t="n">
        <v>71363412</v>
      </c>
      <c r="I1869" t="inlineStr">
        <is>
          <t>bajo</t>
        </is>
      </c>
      <c r="J1869" t="inlineStr">
        <is>
          <t>RN-22 y RN-35: recoleccion al cierre de lo que pasa del cupo</t>
        </is>
      </c>
      <c r="K1869" t="inlineStr">
        <is>
          <t>Recoleccion al cierre: con el pronostico, el saldo cerraria en 156.865.412 COP, sobre el cupo de 85.502.000. Se recoge el excedente y el saldo queda en 85.502.000 COP. Equipo administrado por Sucursal. Sin tarifa TDV (administrado por la sucursal): costo 0 declarado.</t>
        </is>
      </c>
      <c r="L1869" s="26" t="n">
        <v>85502000</v>
      </c>
      <c r="M1869" s="26" t="n">
        <v>156865412</v>
      </c>
      <c r="N1869" s="27">
        <f>IF(ISNUMBER(M1869),M1869/L1869,"No aplica")</f>
        <v>1.8346402657247785</v>
      </c>
      <c r="O1869" s="25">
        <f>IF(G1869="provision",M1869+H1869,IF(G1869="recoleccion",M1869-H1869,"No aplica"))</f>
        <v>85502000</v>
      </c>
      <c r="P1869" s="26" t="n">
        <v>0</v>
      </c>
    </row>
    <row r="1870">
      <c r="A1870" t="inlineStr">
        <is>
          <t>PRAGMA</t>
        </is>
      </c>
      <c r="B1870" t="inlineStr">
        <is>
          <t>M2</t>
        </is>
      </c>
      <c r="C1870" t="inlineStr">
        <is>
          <t>Cali</t>
        </is>
      </c>
      <c r="D1870" t="inlineStr">
        <is>
          <t>793</t>
        </is>
      </c>
      <c r="E1870" t="inlineStr">
        <is>
          <t>Sucursal</t>
        </is>
      </c>
      <c r="F1870" s="23" t="n">
        <v>46277</v>
      </c>
      <c r="G1870" t="inlineStr">
        <is>
          <t>recoleccion</t>
        </is>
      </c>
      <c r="H1870" s="26" t="n">
        <v>55980626</v>
      </c>
      <c r="I1870" t="inlineStr">
        <is>
          <t>bajo</t>
        </is>
      </c>
      <c r="J1870" t="inlineStr">
        <is>
          <t>RN-22 y RN-35: recoleccion al cierre de lo que pasa del cupo</t>
        </is>
      </c>
      <c r="K1870" t="inlineStr">
        <is>
          <t>Recoleccion al cierre: con el pronostico, el saldo cerraria en 141.482.626 COP, sobre el cupo de 85.502.000. Se recoge el excedente y el saldo queda en 85.502.000 COP. Equipo administrado por Sucursal. Sin tarifa TDV (administrado por la sucursal): costo 0 declarado.</t>
        </is>
      </c>
      <c r="L1870" s="26" t="n">
        <v>85502000</v>
      </c>
      <c r="M1870" s="26" t="n">
        <v>141482626</v>
      </c>
      <c r="N1870" s="27">
        <f>IF(ISNUMBER(M1870),M1870/L1870,"No aplica")</f>
        <v>1.6547288484479896</v>
      </c>
      <c r="O1870" s="25">
        <f>IF(G1870="provision",M1870+H1870,IF(G1870="recoleccion",M1870-H1870,"No aplica"))</f>
        <v>85502000</v>
      </c>
      <c r="P1870" s="26" t="n">
        <v>0</v>
      </c>
    </row>
    <row r="1871">
      <c r="A1871" t="inlineStr">
        <is>
          <t>PRAGMA</t>
        </is>
      </c>
      <c r="B1871" t="inlineStr">
        <is>
          <t>M2</t>
        </is>
      </c>
      <c r="C1871" t="inlineStr">
        <is>
          <t>Cali</t>
        </is>
      </c>
      <c r="D1871" t="inlineStr">
        <is>
          <t>793</t>
        </is>
      </c>
      <c r="E1871" t="inlineStr">
        <is>
          <t>Sucursal</t>
        </is>
      </c>
      <c r="F1871" s="23" t="n">
        <v>46278</v>
      </c>
      <c r="G1871" t="inlineStr">
        <is>
          <t>recoleccion</t>
        </is>
      </c>
      <c r="H1871" s="26" t="n">
        <v>11447885</v>
      </c>
      <c r="I1871" t="inlineStr">
        <is>
          <t>bajo</t>
        </is>
      </c>
      <c r="J1871" t="inlineStr">
        <is>
          <t>RN-22 y RN-35: recoleccion al cierre de lo que pasa del cupo</t>
        </is>
      </c>
      <c r="K1871" t="inlineStr">
        <is>
          <t>Recoleccion al cierre: con el pronostico, el saldo cerraria en 96.949.885 COP, sobre el cupo de 85.502.000. Se recoge el excedente y el saldo queda en 85.502.000 COP. Equipo administrado por Sucursal. Sin tarifa TDV (administrado por la sucursal): costo 0 declarado.</t>
        </is>
      </c>
      <c r="L1871" s="26" t="n">
        <v>85502000</v>
      </c>
      <c r="M1871" s="26" t="n">
        <v>96949885</v>
      </c>
      <c r="N1871" s="27">
        <f>IF(ISNUMBER(M1871),M1871/L1871,"No aplica")</f>
        <v>1.133890259876962</v>
      </c>
      <c r="O1871" s="25">
        <f>IF(G1871="provision",M1871+H1871,IF(G1871="recoleccion",M1871-H1871,"No aplica"))</f>
        <v>85502000</v>
      </c>
      <c r="P1871" s="26" t="n">
        <v>0</v>
      </c>
    </row>
    <row r="1872">
      <c r="A1872" t="inlineStr">
        <is>
          <t>PRAGMA</t>
        </is>
      </c>
      <c r="B1872" t="inlineStr">
        <is>
          <t>M2</t>
        </is>
      </c>
      <c r="C1872" t="inlineStr">
        <is>
          <t>Cali</t>
        </is>
      </c>
      <c r="D1872" t="inlineStr">
        <is>
          <t>793</t>
        </is>
      </c>
      <c r="E1872" t="inlineStr">
        <is>
          <t>Sucursal</t>
        </is>
      </c>
      <c r="F1872" s="23" t="n">
        <v>46279</v>
      </c>
      <c r="G1872" t="inlineStr">
        <is>
          <t>recoleccion</t>
        </is>
      </c>
      <c r="H1872" s="26" t="n">
        <v>78147068</v>
      </c>
      <c r="I1872" t="inlineStr">
        <is>
          <t>bajo</t>
        </is>
      </c>
      <c r="J1872" t="inlineStr">
        <is>
          <t>RN-22 y RN-35: recoleccion al cierre de lo que pasa del cupo</t>
        </is>
      </c>
      <c r="K1872" t="inlineStr">
        <is>
          <t>Recoleccion al cierre: con el pronostico, el saldo cerraria en 163.649.068 COP, sobre el cupo de 85.502.000. Se recoge el excedente y el saldo queda en 85.502.000 COP. Equipo administrado por Sucursal. Sin tarifa TDV (administrado por la sucursal): costo 0 declarado.</t>
        </is>
      </c>
      <c r="L1872" s="26" t="n">
        <v>85502000</v>
      </c>
      <c r="M1872" s="26" t="n">
        <v>163649068</v>
      </c>
      <c r="N1872" s="27">
        <f>IF(ISNUMBER(M1872),M1872/L1872,"No aplica")</f>
        <v>1.9139794156861827</v>
      </c>
      <c r="O1872" s="25">
        <f>IF(G1872="provision",M1872+H1872,IF(G1872="recoleccion",M1872-H1872,"No aplica"))</f>
        <v>85502000</v>
      </c>
      <c r="P1872" s="26" t="n">
        <v>0</v>
      </c>
    </row>
    <row r="1873">
      <c r="A1873" t="inlineStr">
        <is>
          <t>PRAGMA</t>
        </is>
      </c>
      <c r="B1873" t="inlineStr">
        <is>
          <t>M2</t>
        </is>
      </c>
      <c r="C1873" t="inlineStr">
        <is>
          <t>Cali</t>
        </is>
      </c>
      <c r="D1873" t="inlineStr">
        <is>
          <t>793</t>
        </is>
      </c>
      <c r="E1873" t="inlineStr">
        <is>
          <t>Sucursal</t>
        </is>
      </c>
      <c r="F1873" s="23" t="n">
        <v>46280</v>
      </c>
      <c r="G1873" t="inlineStr">
        <is>
          <t>recoleccion</t>
        </is>
      </c>
      <c r="H1873" s="26" t="n">
        <v>70721068</v>
      </c>
      <c r="I1873" t="inlineStr">
        <is>
          <t>bajo</t>
        </is>
      </c>
      <c r="J1873" t="inlineStr">
        <is>
          <t>RN-22 y RN-35: recoleccion al cierre de lo que pasa del cupo</t>
        </is>
      </c>
      <c r="K1873" t="inlineStr">
        <is>
          <t>Recoleccion al cierre: con el pronostico, el saldo cerraria en 156.223.068 COP, sobre el cupo de 85.502.000. Se recoge el excedente y el saldo queda en 85.502.000 COP. Equipo administrado por Sucursal. Sin tarifa TDV (administrado por la sucursal): costo 0 declarado.</t>
        </is>
      </c>
      <c r="L1873" s="26" t="n">
        <v>85502000</v>
      </c>
      <c r="M1873" s="26" t="n">
        <v>156223068</v>
      </c>
      <c r="N1873" s="27">
        <f>IF(ISNUMBER(M1873),M1873/L1873,"No aplica")</f>
        <v>1.8271276461369326</v>
      </c>
      <c r="O1873" s="25">
        <f>IF(G1873="provision",M1873+H1873,IF(G1873="recoleccion",M1873-H1873,"No aplica"))</f>
        <v>85502000</v>
      </c>
      <c r="P1873" s="26" t="n">
        <v>0</v>
      </c>
    </row>
    <row r="1874">
      <c r="A1874" t="inlineStr">
        <is>
          <t>PRAGMA</t>
        </is>
      </c>
      <c r="B1874" t="inlineStr">
        <is>
          <t>M2</t>
        </is>
      </c>
      <c r="C1874" t="inlineStr">
        <is>
          <t>Cali</t>
        </is>
      </c>
      <c r="D1874" t="inlineStr">
        <is>
          <t>7973</t>
        </is>
      </c>
      <c r="E1874" t="inlineStr">
        <is>
          <t>TDV</t>
        </is>
      </c>
      <c r="F1874" s="23" t="n">
        <v>46266</v>
      </c>
      <c r="G1874" t="inlineStr">
        <is>
          <t>recoleccion</t>
        </is>
      </c>
      <c r="H1874" s="26" t="n">
        <v>60270420</v>
      </c>
      <c r="I1874" t="inlineStr">
        <is>
          <t>bajo</t>
        </is>
      </c>
      <c r="J1874" t="inlineStr">
        <is>
          <t>RN-22 y RN-35: recoleccion al cierre de lo que pasa del cupo</t>
        </is>
      </c>
      <c r="K1874" t="inlineStr">
        <is>
          <t>Recoleccion al cierre: con el pronostico, el saldo cerraria en 102.120.420 COP, sobre el cupo de 41.850.000. Se recoge el excedente y el saldo queda en 41.850.000 COP. Equipo administrado por TDV.</t>
        </is>
      </c>
      <c r="L1874" s="26" t="n">
        <v>41850000</v>
      </c>
      <c r="M1874" s="26" t="n">
        <v>102120420</v>
      </c>
      <c r="N1874" s="27">
        <f>IF(ISNUMBER(M1874),M1874/L1874,"No aplica")</f>
        <v>2.440153405017921</v>
      </c>
      <c r="O1874" s="25">
        <f>IF(G1874="provision",M1874+H1874,IF(G1874="recoleccion",M1874-H1874,"No aplica"))</f>
        <v>41850000</v>
      </c>
      <c r="P1874" s="26" t="n">
        <v>158307</v>
      </c>
    </row>
    <row r="1875">
      <c r="A1875" t="inlineStr">
        <is>
          <t>PRAGMA</t>
        </is>
      </c>
      <c r="B1875" t="inlineStr">
        <is>
          <t>M2</t>
        </is>
      </c>
      <c r="C1875" t="inlineStr">
        <is>
          <t>Cali</t>
        </is>
      </c>
      <c r="D1875" t="inlineStr">
        <is>
          <t>7973</t>
        </is>
      </c>
      <c r="E1875" t="inlineStr">
        <is>
          <t>TDV</t>
        </is>
      </c>
      <c r="F1875" s="23" t="n">
        <v>46267</v>
      </c>
      <c r="G1875" t="inlineStr">
        <is>
          <t>recoleccion</t>
        </is>
      </c>
      <c r="H1875" s="26" t="n">
        <v>54627431</v>
      </c>
      <c r="I1875" t="inlineStr">
        <is>
          <t>bajo</t>
        </is>
      </c>
      <c r="J1875" t="inlineStr">
        <is>
          <t>RN-22 y RN-35: recoleccion al cierre de lo que pasa del cupo</t>
        </is>
      </c>
      <c r="K1875" t="inlineStr">
        <is>
          <t>Recoleccion al cierre: con el pronostico, el saldo cerraria en 96.477.431 COP, sobre el cupo de 41.850.000. Se recoge el excedente y el saldo queda en 41.850.000 COP. Equipo administrado por TDV.</t>
        </is>
      </c>
      <c r="L1875" s="26" t="n">
        <v>41850000</v>
      </c>
      <c r="M1875" s="26" t="n">
        <v>96477431</v>
      </c>
      <c r="N1875" s="27">
        <f>IF(ISNUMBER(M1875),M1875/L1875,"No aplica")</f>
        <v>2.3053149581839905</v>
      </c>
      <c r="O1875" s="25">
        <f>IF(G1875="provision",M1875+H1875,IF(G1875="recoleccion",M1875-H1875,"No aplica"))</f>
        <v>41850000</v>
      </c>
      <c r="P1875" s="26" t="n">
        <v>158307</v>
      </c>
    </row>
    <row r="1876">
      <c r="A1876" t="inlineStr">
        <is>
          <t>PRAGMA</t>
        </is>
      </c>
      <c r="B1876" t="inlineStr">
        <is>
          <t>M2</t>
        </is>
      </c>
      <c r="C1876" t="inlineStr">
        <is>
          <t>Cali</t>
        </is>
      </c>
      <c r="D1876" t="inlineStr">
        <is>
          <t>7973</t>
        </is>
      </c>
      <c r="E1876" t="inlineStr">
        <is>
          <t>TDV</t>
        </is>
      </c>
      <c r="F1876" s="23" t="n">
        <v>46268</v>
      </c>
      <c r="G1876" t="inlineStr">
        <is>
          <t>recoleccion</t>
        </is>
      </c>
      <c r="H1876" s="26" t="n">
        <v>63710397</v>
      </c>
      <c r="I1876" t="inlineStr">
        <is>
          <t>bajo</t>
        </is>
      </c>
      <c r="J1876" t="inlineStr">
        <is>
          <t>RN-22 y RN-35: recoleccion al cierre de lo que pasa del cupo</t>
        </is>
      </c>
      <c r="K1876" t="inlineStr">
        <is>
          <t>Recoleccion al cierre: con el pronostico, el saldo cerraria en 105.560.397 COP, sobre el cupo de 41.850.000. Se recoge el excedente y el saldo queda en 41.850.000 COP. Equipo administrado por TDV.</t>
        </is>
      </c>
      <c r="L1876" s="26" t="n">
        <v>41850000</v>
      </c>
      <c r="M1876" s="26" t="n">
        <v>105560397</v>
      </c>
      <c r="N1876" s="27">
        <f>IF(ISNUMBER(M1876),M1876/L1876,"No aplica")</f>
        <v>2.522351182795699</v>
      </c>
      <c r="O1876" s="25">
        <f>IF(G1876="provision",M1876+H1876,IF(G1876="recoleccion",M1876-H1876,"No aplica"))</f>
        <v>41850000</v>
      </c>
      <c r="P1876" s="26" t="n">
        <v>158307</v>
      </c>
    </row>
    <row r="1877">
      <c r="A1877" t="inlineStr">
        <is>
          <t>PRAGMA</t>
        </is>
      </c>
      <c r="B1877" t="inlineStr">
        <is>
          <t>M2</t>
        </is>
      </c>
      <c r="C1877" t="inlineStr">
        <is>
          <t>Cali</t>
        </is>
      </c>
      <c r="D1877" t="inlineStr">
        <is>
          <t>7973</t>
        </is>
      </c>
      <c r="E1877" t="inlineStr">
        <is>
          <t>TDV</t>
        </is>
      </c>
      <c r="F1877" s="23" t="n">
        <v>46269</v>
      </c>
      <c r="G1877" t="inlineStr">
        <is>
          <t>recoleccion</t>
        </is>
      </c>
      <c r="H1877" s="26" t="n">
        <v>59908896</v>
      </c>
      <c r="I1877" t="inlineStr">
        <is>
          <t>bajo</t>
        </is>
      </c>
      <c r="J1877" t="inlineStr">
        <is>
          <t>RN-22 y RN-35: recoleccion al cierre de lo que pasa del cupo</t>
        </is>
      </c>
      <c r="K1877" t="inlineStr">
        <is>
          <t>Recoleccion al cierre: con el pronostico, el saldo cerraria en 101.758.896 COP, sobre el cupo de 41.850.000. Se recoge el excedente y el saldo queda en 41.850.000 COP. Equipo administrado por TDV.</t>
        </is>
      </c>
      <c r="L1877" s="26" t="n">
        <v>41850000</v>
      </c>
      <c r="M1877" s="26" t="n">
        <v>101758896</v>
      </c>
      <c r="N1877" s="27">
        <f>IF(ISNUMBER(M1877),M1877/L1877,"No aplica")</f>
        <v>2.431514838709677</v>
      </c>
      <c r="O1877" s="25">
        <f>IF(G1877="provision",M1877+H1877,IF(G1877="recoleccion",M1877-H1877,"No aplica"))</f>
        <v>41850000</v>
      </c>
      <c r="P1877" s="26" t="n">
        <v>158307</v>
      </c>
    </row>
    <row r="1878">
      <c r="A1878" t="inlineStr">
        <is>
          <t>PRAGMA</t>
        </is>
      </c>
      <c r="B1878" t="inlineStr">
        <is>
          <t>M2</t>
        </is>
      </c>
      <c r="C1878" t="inlineStr">
        <is>
          <t>Cali</t>
        </is>
      </c>
      <c r="D1878" t="inlineStr">
        <is>
          <t>7973</t>
        </is>
      </c>
      <c r="E1878" t="inlineStr">
        <is>
          <t>TDV</t>
        </is>
      </c>
      <c r="F1878" s="23" t="n">
        <v>46270</v>
      </c>
      <c r="G1878" t="inlineStr">
        <is>
          <t>recoleccion</t>
        </is>
      </c>
      <c r="H1878" s="26" t="n">
        <v>82599564</v>
      </c>
      <c r="I1878" t="inlineStr">
        <is>
          <t>bajo</t>
        </is>
      </c>
      <c r="J1878" t="inlineStr">
        <is>
          <t>RN-22 y RN-35: recoleccion al cierre de lo que pasa del cupo</t>
        </is>
      </c>
      <c r="K1878" t="inlineStr">
        <is>
          <t>Recoleccion al cierre: con el pronostico, el saldo cerraria en 124.449.564 COP, sobre el cupo de 41.850.000. Se recoge el excedente y el saldo queda en 41.850.000 COP. Equipo administrado por TDV.</t>
        </is>
      </c>
      <c r="L1878" s="26" t="n">
        <v>41850000</v>
      </c>
      <c r="M1878" s="26" t="n">
        <v>124449564</v>
      </c>
      <c r="N1878" s="27">
        <f>IF(ISNUMBER(M1878),M1878/L1878,"No aplica")</f>
        <v>2.9737052329749103</v>
      </c>
      <c r="O1878" s="25">
        <f>IF(G1878="provision",M1878+H1878,IF(G1878="recoleccion",M1878-H1878,"No aplica"))</f>
        <v>41850000</v>
      </c>
      <c r="P1878" s="26" t="n">
        <v>158307</v>
      </c>
    </row>
    <row r="1879">
      <c r="A1879" t="inlineStr">
        <is>
          <t>PRAGMA</t>
        </is>
      </c>
      <c r="B1879" t="inlineStr">
        <is>
          <t>M2</t>
        </is>
      </c>
      <c r="C1879" t="inlineStr">
        <is>
          <t>Cali</t>
        </is>
      </c>
      <c r="D1879" t="inlineStr">
        <is>
          <t>7973</t>
        </is>
      </c>
      <c r="E1879" t="inlineStr">
        <is>
          <t>TDV</t>
        </is>
      </c>
      <c r="F1879" s="23" t="n">
        <v>46271</v>
      </c>
      <c r="G1879" t="inlineStr">
        <is>
          <t>recoleccion</t>
        </is>
      </c>
      <c r="H1879" s="26" t="n">
        <v>41636192</v>
      </c>
      <c r="I1879" t="inlineStr">
        <is>
          <t>bajo</t>
        </is>
      </c>
      <c r="J1879" t="inlineStr">
        <is>
          <t>RN-22 y RN-35: recoleccion al cierre de lo que pasa del cupo</t>
        </is>
      </c>
      <c r="K1879" t="inlineStr">
        <is>
          <t>Recoleccion al cierre: con el pronostico, el saldo cerraria en 83.486.192 COP, sobre el cupo de 41.850.000. Se recoge el excedente y el saldo queda en 41.850.000 COP. Equipo administrado por TDV.</t>
        </is>
      </c>
      <c r="L1879" s="26" t="n">
        <v>41850000</v>
      </c>
      <c r="M1879" s="26" t="n">
        <v>83486192</v>
      </c>
      <c r="N1879" s="27">
        <f>IF(ISNUMBER(M1879),M1879/L1879,"No aplica")</f>
        <v>1.9948910872162484</v>
      </c>
      <c r="O1879" s="25">
        <f>IF(G1879="provision",M1879+H1879,IF(G1879="recoleccion",M1879-H1879,"No aplica"))</f>
        <v>41850000</v>
      </c>
      <c r="P1879" s="26" t="n">
        <v>195500</v>
      </c>
    </row>
    <row r="1880">
      <c r="A1880" t="inlineStr">
        <is>
          <t>PRAGMA</t>
        </is>
      </c>
      <c r="B1880" t="inlineStr">
        <is>
          <t>M2</t>
        </is>
      </c>
      <c r="C1880" t="inlineStr">
        <is>
          <t>Cali</t>
        </is>
      </c>
      <c r="D1880" t="inlineStr">
        <is>
          <t>7973</t>
        </is>
      </c>
      <c r="E1880" t="inlineStr">
        <is>
          <t>TDV</t>
        </is>
      </c>
      <c r="F1880" s="23" t="n">
        <v>46272</v>
      </c>
      <c r="G1880" t="inlineStr">
        <is>
          <t>recoleccion</t>
        </is>
      </c>
      <c r="H1880" s="26" t="n">
        <v>78170657</v>
      </c>
      <c r="I1880" t="inlineStr">
        <is>
          <t>bajo</t>
        </is>
      </c>
      <c r="J1880" t="inlineStr">
        <is>
          <t>RN-22 y RN-35: recoleccion al cierre de lo que pasa del cupo</t>
        </is>
      </c>
      <c r="K1880" t="inlineStr">
        <is>
          <t>Recoleccion al cierre: con el pronostico, el saldo cerraria en 120.020.657 COP, sobre el cupo de 41.850.000. Se recoge el excedente y el saldo queda en 41.850.000 COP. Equipo administrado por TDV.</t>
        </is>
      </c>
      <c r="L1880" s="26" t="n">
        <v>41850000</v>
      </c>
      <c r="M1880" s="26" t="n">
        <v>120020657</v>
      </c>
      <c r="N1880" s="27">
        <f>IF(ISNUMBER(M1880),M1880/L1880,"No aplica")</f>
        <v>2.867877108721625</v>
      </c>
      <c r="O1880" s="25">
        <f>IF(G1880="provision",M1880+H1880,IF(G1880="recoleccion",M1880-H1880,"No aplica"))</f>
        <v>41850000</v>
      </c>
      <c r="P1880" s="26" t="n">
        <v>158307</v>
      </c>
    </row>
    <row r="1881">
      <c r="A1881" t="inlineStr">
        <is>
          <t>PRAGMA</t>
        </is>
      </c>
      <c r="B1881" t="inlineStr">
        <is>
          <t>M2</t>
        </is>
      </c>
      <c r="C1881" t="inlineStr">
        <is>
          <t>Cali</t>
        </is>
      </c>
      <c r="D1881" t="inlineStr">
        <is>
          <t>7973</t>
        </is>
      </c>
      <c r="E1881" t="inlineStr">
        <is>
          <t>TDV</t>
        </is>
      </c>
      <c r="F1881" s="23" t="n">
        <v>46273</v>
      </c>
      <c r="G1881" t="inlineStr">
        <is>
          <t>recoleccion</t>
        </is>
      </c>
      <c r="H1881" s="26" t="n">
        <v>70822414</v>
      </c>
      <c r="I1881" t="inlineStr">
        <is>
          <t>bajo</t>
        </is>
      </c>
      <c r="J1881" t="inlineStr">
        <is>
          <t>RN-22 y RN-35: recoleccion al cierre de lo que pasa del cupo</t>
        </is>
      </c>
      <c r="K1881" t="inlineStr">
        <is>
          <t>Recoleccion al cierre: con el pronostico, el saldo cerraria en 112.672.414 COP, sobre el cupo de 41.850.000. Se recoge el excedente y el saldo queda en 41.850.000 COP. Equipo administrado por TDV.</t>
        </is>
      </c>
      <c r="L1881" s="26" t="n">
        <v>41850000</v>
      </c>
      <c r="M1881" s="26" t="n">
        <v>112672414</v>
      </c>
      <c r="N1881" s="27">
        <f>IF(ISNUMBER(M1881),M1881/L1881,"No aplica")</f>
        <v>2.6922918518518517</v>
      </c>
      <c r="O1881" s="25">
        <f>IF(G1881="provision",M1881+H1881,IF(G1881="recoleccion",M1881-H1881,"No aplica"))</f>
        <v>41850000</v>
      </c>
      <c r="P1881" s="26" t="n">
        <v>158307</v>
      </c>
    </row>
    <row r="1882">
      <c r="A1882" t="inlineStr">
        <is>
          <t>PRAGMA</t>
        </is>
      </c>
      <c r="B1882" t="inlineStr">
        <is>
          <t>M2</t>
        </is>
      </c>
      <c r="C1882" t="inlineStr">
        <is>
          <t>Cali</t>
        </is>
      </c>
      <c r="D1882" t="inlineStr">
        <is>
          <t>7973</t>
        </is>
      </c>
      <c r="E1882" t="inlineStr">
        <is>
          <t>TDV</t>
        </is>
      </c>
      <c r="F1882" s="23" t="n">
        <v>46274</v>
      </c>
      <c r="G1882" t="inlineStr">
        <is>
          <t>recoleccion</t>
        </is>
      </c>
      <c r="H1882" s="26" t="n">
        <v>57680328</v>
      </c>
      <c r="I1882" t="inlineStr">
        <is>
          <t>bajo</t>
        </is>
      </c>
      <c r="J1882" t="inlineStr">
        <is>
          <t>RN-22 y RN-35: recoleccion al cierre de lo que pasa del cupo</t>
        </is>
      </c>
      <c r="K1882" t="inlineStr">
        <is>
          <t>Recoleccion al cierre: con el pronostico, el saldo cerraria en 99.530.328 COP, sobre el cupo de 41.850.000. Se recoge el excedente y el saldo queda en 41.850.000 COP. Equipo administrado por TDV.</t>
        </is>
      </c>
      <c r="L1882" s="26" t="n">
        <v>41850000</v>
      </c>
      <c r="M1882" s="26" t="n">
        <v>99530328</v>
      </c>
      <c r="N1882" s="27">
        <f>IF(ISNUMBER(M1882),M1882/L1882,"No aplica")</f>
        <v>2.378263512544803</v>
      </c>
      <c r="O1882" s="25">
        <f>IF(G1882="provision",M1882+H1882,IF(G1882="recoleccion",M1882-H1882,"No aplica"))</f>
        <v>41850000</v>
      </c>
      <c r="P1882" s="26" t="n">
        <v>158307</v>
      </c>
    </row>
    <row r="1883">
      <c r="A1883" t="inlineStr">
        <is>
          <t>PRAGMA</t>
        </is>
      </c>
      <c r="B1883" t="inlineStr">
        <is>
          <t>M2</t>
        </is>
      </c>
      <c r="C1883" t="inlineStr">
        <is>
          <t>Cali</t>
        </is>
      </c>
      <c r="D1883" t="inlineStr">
        <is>
          <t>7973</t>
        </is>
      </c>
      <c r="E1883" t="inlineStr">
        <is>
          <t>TDV</t>
        </is>
      </c>
      <c r="F1883" s="23" t="n">
        <v>46275</v>
      </c>
      <c r="G1883" t="inlineStr">
        <is>
          <t>recoleccion</t>
        </is>
      </c>
      <c r="H1883" s="26" t="n">
        <v>60328646</v>
      </c>
      <c r="I1883" t="inlineStr">
        <is>
          <t>bajo</t>
        </is>
      </c>
      <c r="J1883" t="inlineStr">
        <is>
          <t>RN-22 y RN-35: recoleccion al cierre de lo que pasa del cupo</t>
        </is>
      </c>
      <c r="K1883" t="inlineStr">
        <is>
          <t>Recoleccion al cierre: con el pronostico, el saldo cerraria en 102.178.646 COP, sobre el cupo de 41.850.000. Se recoge el excedente y el saldo queda en 41.850.000 COP. Equipo administrado por TDV.</t>
        </is>
      </c>
      <c r="L1883" s="26" t="n">
        <v>41850000</v>
      </c>
      <c r="M1883" s="26" t="n">
        <v>102178646</v>
      </c>
      <c r="N1883" s="27">
        <f>IF(ISNUMBER(M1883),M1883/L1883,"No aplica")</f>
        <v>2.441544707287933</v>
      </c>
      <c r="O1883" s="25">
        <f>IF(G1883="provision",M1883+H1883,IF(G1883="recoleccion",M1883-H1883,"No aplica"))</f>
        <v>41850000</v>
      </c>
      <c r="P1883" s="26" t="n">
        <v>158307</v>
      </c>
    </row>
    <row r="1884">
      <c r="A1884" t="inlineStr">
        <is>
          <t>PRAGMA</t>
        </is>
      </c>
      <c r="B1884" t="inlineStr">
        <is>
          <t>M2</t>
        </is>
      </c>
      <c r="C1884" t="inlineStr">
        <is>
          <t>Cali</t>
        </is>
      </c>
      <c r="D1884" t="inlineStr">
        <is>
          <t>7973</t>
        </is>
      </c>
      <c r="E1884" t="inlineStr">
        <is>
          <t>TDV</t>
        </is>
      </c>
      <c r="F1884" s="23" t="n">
        <v>46276</v>
      </c>
      <c r="G1884" t="inlineStr">
        <is>
          <t>recoleccion</t>
        </is>
      </c>
      <c r="H1884" s="26" t="n">
        <v>57778806</v>
      </c>
      <c r="I1884" t="inlineStr">
        <is>
          <t>bajo</t>
        </is>
      </c>
      <c r="J1884" t="inlineStr">
        <is>
          <t>RN-22 y RN-35: recoleccion al cierre de lo que pasa del cupo</t>
        </is>
      </c>
      <c r="K1884" t="inlineStr">
        <is>
          <t>Recoleccion al cierre: con el pronostico, el saldo cerraria en 99.628.806 COP, sobre el cupo de 41.850.000. Se recoge el excedente y el saldo queda en 41.850.000 COP. Equipo administrado por TDV.</t>
        </is>
      </c>
      <c r="L1884" s="26" t="n">
        <v>41850000</v>
      </c>
      <c r="M1884" s="26" t="n">
        <v>99628806</v>
      </c>
      <c r="N1884" s="27">
        <f>IF(ISNUMBER(M1884),M1884/L1884,"No aplica")</f>
        <v>2.3806166308243726</v>
      </c>
      <c r="O1884" s="25">
        <f>IF(G1884="provision",M1884+H1884,IF(G1884="recoleccion",M1884-H1884,"No aplica"))</f>
        <v>41850000</v>
      </c>
      <c r="P1884" s="26" t="n">
        <v>158307</v>
      </c>
    </row>
    <row r="1885">
      <c r="A1885" t="inlineStr">
        <is>
          <t>PRAGMA</t>
        </is>
      </c>
      <c r="B1885" t="inlineStr">
        <is>
          <t>M2</t>
        </is>
      </c>
      <c r="C1885" t="inlineStr">
        <is>
          <t>Cali</t>
        </is>
      </c>
      <c r="D1885" t="inlineStr">
        <is>
          <t>7973</t>
        </is>
      </c>
      <c r="E1885" t="inlineStr">
        <is>
          <t>TDV</t>
        </is>
      </c>
      <c r="F1885" s="23" t="n">
        <v>46277</v>
      </c>
      <c r="G1885" t="inlineStr">
        <is>
          <t>recoleccion</t>
        </is>
      </c>
      <c r="H1885" s="26" t="n">
        <v>62955476</v>
      </c>
      <c r="I1885" t="inlineStr">
        <is>
          <t>bajo</t>
        </is>
      </c>
      <c r="J1885" t="inlineStr">
        <is>
          <t>RN-22 y RN-35: recoleccion al cierre de lo que pasa del cupo</t>
        </is>
      </c>
      <c r="K1885" t="inlineStr">
        <is>
          <t>Recoleccion al cierre: con el pronostico, el saldo cerraria en 104.805.476 COP, sobre el cupo de 41.850.000. Se recoge el excedente y el saldo queda en 41.850.000 COP. Equipo administrado por TDV.</t>
        </is>
      </c>
      <c r="L1885" s="26" t="n">
        <v>41850000</v>
      </c>
      <c r="M1885" s="26" t="n">
        <v>104805476</v>
      </c>
      <c r="N1885" s="27">
        <f>IF(ISNUMBER(M1885),M1885/L1885,"No aplica")</f>
        <v>2.504312449223417</v>
      </c>
      <c r="O1885" s="25">
        <f>IF(G1885="provision",M1885+H1885,IF(G1885="recoleccion",M1885-H1885,"No aplica"))</f>
        <v>41850000</v>
      </c>
      <c r="P1885" s="26" t="n">
        <v>158307</v>
      </c>
    </row>
    <row r="1886">
      <c r="A1886" t="inlineStr">
        <is>
          <t>PRAGMA</t>
        </is>
      </c>
      <c r="B1886" t="inlineStr">
        <is>
          <t>M2</t>
        </is>
      </c>
      <c r="C1886" t="inlineStr">
        <is>
          <t>Cali</t>
        </is>
      </c>
      <c r="D1886" t="inlineStr">
        <is>
          <t>7973</t>
        </is>
      </c>
      <c r="E1886" t="inlineStr">
        <is>
          <t>TDV</t>
        </is>
      </c>
      <c r="F1886" s="23" t="n">
        <v>46278</v>
      </c>
      <c r="G1886" t="inlineStr">
        <is>
          <t>recoleccion</t>
        </is>
      </c>
      <c r="H1886" s="26" t="n">
        <v>31800418</v>
      </c>
      <c r="I1886" t="inlineStr">
        <is>
          <t>bajo</t>
        </is>
      </c>
      <c r="J1886" t="inlineStr">
        <is>
          <t>RN-22 y RN-35: recoleccion al cierre de lo que pasa del cupo</t>
        </is>
      </c>
      <c r="K1886" t="inlineStr">
        <is>
          <t>Recoleccion al cierre: con el pronostico, el saldo cerraria en 73.650.418 COP, sobre el cupo de 41.850.000. Se recoge el excedente y el saldo queda en 41.850.000 COP. Equipo administrado por TDV.</t>
        </is>
      </c>
      <c r="L1886" s="26" t="n">
        <v>41850000</v>
      </c>
      <c r="M1886" s="26" t="n">
        <v>73650418</v>
      </c>
      <c r="N1886" s="27">
        <f>IF(ISNUMBER(M1886),M1886/L1886,"No aplica")</f>
        <v>1.7598666188769414</v>
      </c>
      <c r="O1886" s="25">
        <f>IF(G1886="provision",M1886+H1886,IF(G1886="recoleccion",M1886-H1886,"No aplica"))</f>
        <v>41850000</v>
      </c>
      <c r="P1886" s="26" t="n">
        <v>195500</v>
      </c>
    </row>
    <row r="1887">
      <c r="A1887" t="inlineStr">
        <is>
          <t>PRAGMA</t>
        </is>
      </c>
      <c r="B1887" t="inlineStr">
        <is>
          <t>M2</t>
        </is>
      </c>
      <c r="C1887" t="inlineStr">
        <is>
          <t>Cali</t>
        </is>
      </c>
      <c r="D1887" t="inlineStr">
        <is>
          <t>7973</t>
        </is>
      </c>
      <c r="E1887" t="inlineStr">
        <is>
          <t>TDV</t>
        </is>
      </c>
      <c r="F1887" s="23" t="n">
        <v>46279</v>
      </c>
      <c r="G1887" t="inlineStr">
        <is>
          <t>recoleccion</t>
        </is>
      </c>
      <c r="H1887" s="26" t="n">
        <v>67019398</v>
      </c>
      <c r="I1887" t="inlineStr">
        <is>
          <t>bajo</t>
        </is>
      </c>
      <c r="J1887" t="inlineStr">
        <is>
          <t>RN-22 y RN-35: recoleccion al cierre de lo que pasa del cupo</t>
        </is>
      </c>
      <c r="K1887" t="inlineStr">
        <is>
          <t>Recoleccion al cierre: con el pronostico, el saldo cerraria en 108.869.398 COP, sobre el cupo de 41.850.000. Se recoge el excedente y el saldo queda en 41.850.000 COP. Equipo administrado por TDV.</t>
        </is>
      </c>
      <c r="L1887" s="26" t="n">
        <v>41850000</v>
      </c>
      <c r="M1887" s="26" t="n">
        <v>108869398</v>
      </c>
      <c r="N1887" s="27">
        <f>IF(ISNUMBER(M1887),M1887/L1887,"No aplica")</f>
        <v>2.6014193070489844</v>
      </c>
      <c r="O1887" s="25">
        <f>IF(G1887="provision",M1887+H1887,IF(G1887="recoleccion",M1887-H1887,"No aplica"))</f>
        <v>41850000</v>
      </c>
      <c r="P1887" s="26" t="n">
        <v>158307</v>
      </c>
    </row>
    <row r="1888">
      <c r="A1888" t="inlineStr">
        <is>
          <t>PRAGMA</t>
        </is>
      </c>
      <c r="B1888" t="inlineStr">
        <is>
          <t>M2</t>
        </is>
      </c>
      <c r="C1888" t="inlineStr">
        <is>
          <t>Cali</t>
        </is>
      </c>
      <c r="D1888" t="inlineStr">
        <is>
          <t>7973</t>
        </is>
      </c>
      <c r="E1888" t="inlineStr">
        <is>
          <t>TDV</t>
        </is>
      </c>
      <c r="F1888" s="23" t="n">
        <v>46280</v>
      </c>
      <c r="G1888" t="inlineStr">
        <is>
          <t>recoleccion</t>
        </is>
      </c>
      <c r="H1888" s="26" t="n">
        <v>63895833</v>
      </c>
      <c r="I1888" t="inlineStr">
        <is>
          <t>bajo</t>
        </is>
      </c>
      <c r="J1888" t="inlineStr">
        <is>
          <t>RN-22 y RN-35: recoleccion al cierre de lo que pasa del cupo</t>
        </is>
      </c>
      <c r="K1888" t="inlineStr">
        <is>
          <t>Recoleccion al cierre: con el pronostico, el saldo cerraria en 105.745.833 COP, sobre el cupo de 41.850.000. Se recoge el excedente y el saldo queda en 41.850.000 COP. Equipo administrado por TDV.</t>
        </is>
      </c>
      <c r="L1888" s="26" t="n">
        <v>41850000</v>
      </c>
      <c r="M1888" s="26" t="n">
        <v>105745833</v>
      </c>
      <c r="N1888" s="27">
        <f>IF(ISNUMBER(M1888),M1888/L1888,"No aplica")</f>
        <v>2.526782150537634</v>
      </c>
      <c r="O1888" s="25">
        <f>IF(G1888="provision",M1888+H1888,IF(G1888="recoleccion",M1888-H1888,"No aplica"))</f>
        <v>41850000</v>
      </c>
      <c r="P1888" s="26" t="n">
        <v>158307</v>
      </c>
    </row>
    <row r="1889">
      <c r="A1889" t="inlineStr">
        <is>
          <t>PRAGMA</t>
        </is>
      </c>
      <c r="B1889" t="inlineStr">
        <is>
          <t>M2</t>
        </is>
      </c>
      <c r="C1889" t="inlineStr">
        <is>
          <t>Cali</t>
        </is>
      </c>
      <c r="D1889" t="inlineStr">
        <is>
          <t>7990</t>
        </is>
      </c>
      <c r="E1889" t="inlineStr">
        <is>
          <t>TDV</t>
        </is>
      </c>
      <c r="F1889" s="23" t="n">
        <v>46266</v>
      </c>
      <c r="G1889" t="inlineStr">
        <is>
          <t>recoleccion</t>
        </is>
      </c>
      <c r="H1889" s="26" t="n">
        <v>17183924</v>
      </c>
      <c r="I1889" t="inlineStr">
        <is>
          <t>bajo</t>
        </is>
      </c>
      <c r="J1889" t="inlineStr">
        <is>
          <t>RN-22 y RN-35: recoleccion al cierre de lo que pasa del cupo</t>
        </is>
      </c>
      <c r="K1889" t="inlineStr">
        <is>
          <t>Recoleccion al cierre: con el pronostico, el saldo cerraria en 85.033.924 COP, sobre el cupo de 67.850.000. Se recoge el excedente y el saldo queda en 67.850.000 COP. Equipo administrado por TDV.</t>
        </is>
      </c>
      <c r="L1889" s="26" t="n">
        <v>67850000</v>
      </c>
      <c r="M1889" s="26" t="n">
        <v>85033924</v>
      </c>
      <c r="N1889" s="27">
        <f>IF(ISNUMBER(M1889),M1889/L1889,"No aplica")</f>
        <v>1.253263434045689</v>
      </c>
      <c r="O1889" s="25">
        <f>IF(G1889="provision",M1889+H1889,IF(G1889="recoleccion",M1889-H1889,"No aplica"))</f>
        <v>67850000</v>
      </c>
      <c r="P1889" s="26" t="n">
        <v>157715</v>
      </c>
    </row>
    <row r="1890">
      <c r="A1890" t="inlineStr">
        <is>
          <t>PRAGMA</t>
        </is>
      </c>
      <c r="B1890" t="inlineStr">
        <is>
          <t>M2</t>
        </is>
      </c>
      <c r="C1890" t="inlineStr">
        <is>
          <t>Cali</t>
        </is>
      </c>
      <c r="D1890" t="inlineStr">
        <is>
          <t>7990</t>
        </is>
      </c>
      <c r="E1890" t="inlineStr">
        <is>
          <t>TDV</t>
        </is>
      </c>
      <c r="F1890" s="23" t="n">
        <v>46267</v>
      </c>
      <c r="G1890" t="inlineStr">
        <is>
          <t>recoleccion</t>
        </is>
      </c>
      <c r="H1890" s="26" t="n">
        <v>16645894</v>
      </c>
      <c r="I1890" t="inlineStr">
        <is>
          <t>bajo</t>
        </is>
      </c>
      <c r="J1890" t="inlineStr">
        <is>
          <t>RN-22 y RN-35: recoleccion al cierre de lo que pasa del cupo</t>
        </is>
      </c>
      <c r="K1890" t="inlineStr">
        <is>
          <t>Recoleccion al cierre: con el pronostico, el saldo cerraria en 84.495.894 COP, sobre el cupo de 67.850.000. Se recoge el excedente y el saldo queda en 67.850.000 COP. Equipo administrado por TDV.</t>
        </is>
      </c>
      <c r="L1890" s="26" t="n">
        <v>67850000</v>
      </c>
      <c r="M1890" s="26" t="n">
        <v>84495894</v>
      </c>
      <c r="N1890" s="27">
        <f>IF(ISNUMBER(M1890),M1890/L1890,"No aplica")</f>
        <v>1.2453337361827561</v>
      </c>
      <c r="O1890" s="25">
        <f>IF(G1890="provision",M1890+H1890,IF(G1890="recoleccion",M1890-H1890,"No aplica"))</f>
        <v>67850000</v>
      </c>
      <c r="P1890" s="26" t="n">
        <v>157715</v>
      </c>
    </row>
    <row r="1891">
      <c r="A1891" t="inlineStr">
        <is>
          <t>PRAGMA</t>
        </is>
      </c>
      <c r="B1891" t="inlineStr">
        <is>
          <t>M2</t>
        </is>
      </c>
      <c r="C1891" t="inlineStr">
        <is>
          <t>Cali</t>
        </is>
      </c>
      <c r="D1891" t="inlineStr">
        <is>
          <t>7990</t>
        </is>
      </c>
      <c r="E1891" t="inlineStr">
        <is>
          <t>TDV</t>
        </is>
      </c>
      <c r="F1891" s="23" t="n">
        <v>46268</v>
      </c>
      <c r="G1891" t="inlineStr">
        <is>
          <t>recoleccion</t>
        </is>
      </c>
      <c r="H1891" s="26" t="n">
        <v>16016855</v>
      </c>
      <c r="I1891" t="inlineStr">
        <is>
          <t>bajo</t>
        </is>
      </c>
      <c r="J1891" t="inlineStr">
        <is>
          <t>RN-22 y RN-35: recoleccion al cierre de lo que pasa del cupo</t>
        </is>
      </c>
      <c r="K1891" t="inlineStr">
        <is>
          <t>Recoleccion al cierre: con el pronostico, el saldo cerraria en 83.866.855 COP, sobre el cupo de 67.850.000. Se recoge el excedente y el saldo queda en 67.850.000 COP. Equipo administrado por TDV.</t>
        </is>
      </c>
      <c r="L1891" s="26" t="n">
        <v>67850000</v>
      </c>
      <c r="M1891" s="26" t="n">
        <v>83866855</v>
      </c>
      <c r="N1891" s="27">
        <f>IF(ISNUMBER(M1891),M1891/L1891,"No aplica")</f>
        <v>1.2360627118644067</v>
      </c>
      <c r="O1891" s="25">
        <f>IF(G1891="provision",M1891+H1891,IF(G1891="recoleccion",M1891-H1891,"No aplica"))</f>
        <v>67850000</v>
      </c>
      <c r="P1891" s="26" t="n">
        <v>157715</v>
      </c>
    </row>
    <row r="1892">
      <c r="A1892" t="inlineStr">
        <is>
          <t>PRAGMA</t>
        </is>
      </c>
      <c r="B1892" t="inlineStr">
        <is>
          <t>M2</t>
        </is>
      </c>
      <c r="C1892" t="inlineStr">
        <is>
          <t>Cali</t>
        </is>
      </c>
      <c r="D1892" t="inlineStr">
        <is>
          <t>7990</t>
        </is>
      </c>
      <c r="E1892" t="inlineStr">
        <is>
          <t>TDV</t>
        </is>
      </c>
      <c r="F1892" s="23" t="n">
        <v>46269</v>
      </c>
      <c r="G1892" t="inlineStr">
        <is>
          <t>recoleccion</t>
        </is>
      </c>
      <c r="H1892" s="26" t="n">
        <v>17112023</v>
      </c>
      <c r="I1892" t="inlineStr">
        <is>
          <t>bajo</t>
        </is>
      </c>
      <c r="J1892" t="inlineStr">
        <is>
          <t>RN-22 y RN-35: recoleccion al cierre de lo que pasa del cupo</t>
        </is>
      </c>
      <c r="K1892" t="inlineStr">
        <is>
          <t>Recoleccion al cierre: con el pronostico, el saldo cerraria en 84.962.023 COP, sobre el cupo de 67.850.000. Se recoge el excedente y el saldo queda en 67.850.000 COP. Equipo administrado por TDV.</t>
        </is>
      </c>
      <c r="L1892" s="26" t="n">
        <v>67850000</v>
      </c>
      <c r="M1892" s="26" t="n">
        <v>84962023</v>
      </c>
      <c r="N1892" s="27">
        <f>IF(ISNUMBER(M1892),M1892/L1892,"No aplica")</f>
        <v>1.2522037288135592</v>
      </c>
      <c r="O1892" s="25">
        <f>IF(G1892="provision",M1892+H1892,IF(G1892="recoleccion",M1892-H1892,"No aplica"))</f>
        <v>67850000</v>
      </c>
      <c r="P1892" s="26" t="n">
        <v>157715</v>
      </c>
    </row>
    <row r="1893">
      <c r="A1893" t="inlineStr">
        <is>
          <t>PRAGMA</t>
        </is>
      </c>
      <c r="B1893" t="inlineStr">
        <is>
          <t>M2</t>
        </is>
      </c>
      <c r="C1893" t="inlineStr">
        <is>
          <t>Cali</t>
        </is>
      </c>
      <c r="D1893" t="inlineStr">
        <is>
          <t>7990</t>
        </is>
      </c>
      <c r="E1893" t="inlineStr">
        <is>
          <t>TDV</t>
        </is>
      </c>
      <c r="F1893" s="23" t="n">
        <v>46270</v>
      </c>
      <c r="G1893" t="inlineStr">
        <is>
          <t>recoleccion</t>
        </is>
      </c>
      <c r="H1893" s="26" t="n">
        <v>16264558</v>
      </c>
      <c r="I1893" t="inlineStr">
        <is>
          <t>bajo</t>
        </is>
      </c>
      <c r="J1893" t="inlineStr">
        <is>
          <t>RN-22 y RN-35: recoleccion al cierre de lo que pasa del cupo</t>
        </is>
      </c>
      <c r="K1893" t="inlineStr">
        <is>
          <t>Recoleccion al cierre: con el pronostico, el saldo cerraria en 84.114.558 COP, sobre el cupo de 67.850.000. Se recoge el excedente y el saldo queda en 67.850.000 COP. Equipo administrado por TDV.</t>
        </is>
      </c>
      <c r="L1893" s="26" t="n">
        <v>67850000</v>
      </c>
      <c r="M1893" s="26" t="n">
        <v>84114558</v>
      </c>
      <c r="N1893" s="27">
        <f>IF(ISNUMBER(M1893),M1893/L1893,"No aplica")</f>
        <v>1.2397134561532792</v>
      </c>
      <c r="O1893" s="25">
        <f>IF(G1893="provision",M1893+H1893,IF(G1893="recoleccion",M1893-H1893,"No aplica"))</f>
        <v>67850000</v>
      </c>
      <c r="P1893" s="26" t="n">
        <v>157715</v>
      </c>
    </row>
    <row r="1894">
      <c r="A1894" t="inlineStr">
        <is>
          <t>PRAGMA</t>
        </is>
      </c>
      <c r="B1894" t="inlineStr">
        <is>
          <t>M2</t>
        </is>
      </c>
      <c r="C1894" t="inlineStr">
        <is>
          <t>Cali</t>
        </is>
      </c>
      <c r="D1894" t="inlineStr">
        <is>
          <t>7990</t>
        </is>
      </c>
      <c r="E1894" t="inlineStr">
        <is>
          <t>TDV</t>
        </is>
      </c>
      <c r="F1894" s="23" t="n">
        <v>46271</v>
      </c>
      <c r="G1894" t="inlineStr">
        <is>
          <t>recoleccion</t>
        </is>
      </c>
      <c r="H1894" s="26" t="n">
        <v>9046137</v>
      </c>
      <c r="I1894" t="inlineStr">
        <is>
          <t>bajo</t>
        </is>
      </c>
      <c r="J1894" t="inlineStr">
        <is>
          <t>RN-22 y RN-35: recoleccion al cierre de lo que pasa del cupo</t>
        </is>
      </c>
      <c r="K1894" t="inlineStr">
        <is>
          <t>Recoleccion al cierre: con el pronostico, el saldo cerraria en 76.896.137 COP, sobre el cupo de 67.850.000. Se recoge el excedente y el saldo queda en 67.850.000 COP. Equipo administrado por TDV.</t>
        </is>
      </c>
      <c r="L1894" s="26" t="n">
        <v>67850000</v>
      </c>
      <c r="M1894" s="26" t="n">
        <v>76896137</v>
      </c>
      <c r="N1894" s="27">
        <f>IF(ISNUMBER(M1894),M1894/L1894,"No aplica")</f>
        <v>1.1333255268975682</v>
      </c>
      <c r="O1894" s="25">
        <f>IF(G1894="provision",M1894+H1894,IF(G1894="recoleccion",M1894-H1894,"No aplica"))</f>
        <v>67850000</v>
      </c>
      <c r="P1894" s="26" t="n">
        <v>215854</v>
      </c>
    </row>
    <row r="1895">
      <c r="A1895" t="inlineStr">
        <is>
          <t>PRAGMA</t>
        </is>
      </c>
      <c r="B1895" t="inlineStr">
        <is>
          <t>M2</t>
        </is>
      </c>
      <c r="C1895" t="inlineStr">
        <is>
          <t>Cali</t>
        </is>
      </c>
      <c r="D1895" t="inlineStr">
        <is>
          <t>7990</t>
        </is>
      </c>
      <c r="E1895" t="inlineStr">
        <is>
          <t>TDV</t>
        </is>
      </c>
      <c r="F1895" s="23" t="n">
        <v>46272</v>
      </c>
      <c r="G1895" t="inlineStr">
        <is>
          <t>recoleccion</t>
        </is>
      </c>
      <c r="H1895" s="26" t="n">
        <v>22525872</v>
      </c>
      <c r="I1895" t="inlineStr">
        <is>
          <t>bajo</t>
        </is>
      </c>
      <c r="J1895" t="inlineStr">
        <is>
          <t>RN-22 y RN-35: recoleccion al cierre de lo que pasa del cupo</t>
        </is>
      </c>
      <c r="K1895" t="inlineStr">
        <is>
          <t>Recoleccion al cierre: con el pronostico, el saldo cerraria en 90.375.872 COP, sobre el cupo de 67.850.000. Se recoge el excedente y el saldo queda en 67.850.000 COP. Equipo administrado por TDV.</t>
        </is>
      </c>
      <c r="L1895" s="26" t="n">
        <v>67850000</v>
      </c>
      <c r="M1895" s="26" t="n">
        <v>90375872</v>
      </c>
      <c r="N1895" s="27">
        <f>IF(ISNUMBER(M1895),M1895/L1895,"No aplica")</f>
        <v>1.3319951658069271</v>
      </c>
      <c r="O1895" s="25">
        <f>IF(G1895="provision",M1895+H1895,IF(G1895="recoleccion",M1895-H1895,"No aplica"))</f>
        <v>67850000</v>
      </c>
      <c r="P1895" s="26" t="n">
        <v>157715</v>
      </c>
    </row>
    <row r="1896">
      <c r="A1896" t="inlineStr">
        <is>
          <t>PRAGMA</t>
        </is>
      </c>
      <c r="B1896" t="inlineStr">
        <is>
          <t>M2</t>
        </is>
      </c>
      <c r="C1896" t="inlineStr">
        <is>
          <t>Cali</t>
        </is>
      </c>
      <c r="D1896" t="inlineStr">
        <is>
          <t>7990</t>
        </is>
      </c>
      <c r="E1896" t="inlineStr">
        <is>
          <t>TDV</t>
        </is>
      </c>
      <c r="F1896" s="23" t="n">
        <v>46273</v>
      </c>
      <c r="G1896" t="inlineStr">
        <is>
          <t>recoleccion</t>
        </is>
      </c>
      <c r="H1896" s="26" t="n">
        <v>18917453</v>
      </c>
      <c r="I1896" t="inlineStr">
        <is>
          <t>bajo</t>
        </is>
      </c>
      <c r="J1896" t="inlineStr">
        <is>
          <t>RN-22 y RN-35: recoleccion al cierre de lo que pasa del cupo</t>
        </is>
      </c>
      <c r="K1896" t="inlineStr">
        <is>
          <t>Recoleccion al cierre: con el pronostico, el saldo cerraria en 86.767.453 COP, sobre el cupo de 67.850.000. Se recoge el excedente y el saldo queda en 67.850.000 COP. Equipo administrado por TDV.</t>
        </is>
      </c>
      <c r="L1896" s="26" t="n">
        <v>67850000</v>
      </c>
      <c r="M1896" s="26" t="n">
        <v>86767453</v>
      </c>
      <c r="N1896" s="27">
        <f>IF(ISNUMBER(M1896),M1896/L1896,"No aplica")</f>
        <v>1.2788128666175387</v>
      </c>
      <c r="O1896" s="25">
        <f>IF(G1896="provision",M1896+H1896,IF(G1896="recoleccion",M1896-H1896,"No aplica"))</f>
        <v>67850000</v>
      </c>
      <c r="P1896" s="26" t="n">
        <v>157715</v>
      </c>
    </row>
    <row r="1897">
      <c r="A1897" t="inlineStr">
        <is>
          <t>PRAGMA</t>
        </is>
      </c>
      <c r="B1897" t="inlineStr">
        <is>
          <t>M2</t>
        </is>
      </c>
      <c r="C1897" t="inlineStr">
        <is>
          <t>Cali</t>
        </is>
      </c>
      <c r="D1897" t="inlineStr">
        <is>
          <t>7990</t>
        </is>
      </c>
      <c r="E1897" t="inlineStr">
        <is>
          <t>TDV</t>
        </is>
      </c>
      <c r="F1897" s="23" t="n">
        <v>46274</v>
      </c>
      <c r="G1897" t="inlineStr">
        <is>
          <t>recoleccion</t>
        </is>
      </c>
      <c r="H1897" s="26" t="n">
        <v>14022255</v>
      </c>
      <c r="I1897" t="inlineStr">
        <is>
          <t>bajo</t>
        </is>
      </c>
      <c r="J1897" t="inlineStr">
        <is>
          <t>RN-22 y RN-35: recoleccion al cierre de lo que pasa del cupo</t>
        </is>
      </c>
      <c r="K1897" t="inlineStr">
        <is>
          <t>Recoleccion al cierre: con el pronostico, el saldo cerraria en 81.872.255 COP, sobre el cupo de 67.850.000. Se recoge el excedente y el saldo queda en 67.850.000 COP. Equipo administrado por TDV.</t>
        </is>
      </c>
      <c r="L1897" s="26" t="n">
        <v>67850000</v>
      </c>
      <c r="M1897" s="26" t="n">
        <v>81872255</v>
      </c>
      <c r="N1897" s="27">
        <f>IF(ISNUMBER(M1897),M1897/L1897,"No aplica")</f>
        <v>1.2066655121591747</v>
      </c>
      <c r="O1897" s="25">
        <f>IF(G1897="provision",M1897+H1897,IF(G1897="recoleccion",M1897-H1897,"No aplica"))</f>
        <v>67850000</v>
      </c>
      <c r="P1897" s="26" t="n">
        <v>157715</v>
      </c>
    </row>
    <row r="1898">
      <c r="A1898" t="inlineStr">
        <is>
          <t>PRAGMA</t>
        </is>
      </c>
      <c r="B1898" t="inlineStr">
        <is>
          <t>M2</t>
        </is>
      </c>
      <c r="C1898" t="inlineStr">
        <is>
          <t>Cali</t>
        </is>
      </c>
      <c r="D1898" t="inlineStr">
        <is>
          <t>7990</t>
        </is>
      </c>
      <c r="E1898" t="inlineStr">
        <is>
          <t>TDV</t>
        </is>
      </c>
      <c r="F1898" s="23" t="n">
        <v>46275</v>
      </c>
      <c r="G1898" t="inlineStr">
        <is>
          <t>recoleccion</t>
        </is>
      </c>
      <c r="H1898" s="26" t="n">
        <v>14144026</v>
      </c>
      <c r="I1898" t="inlineStr">
        <is>
          <t>bajo</t>
        </is>
      </c>
      <c r="J1898" t="inlineStr">
        <is>
          <t>RN-22 y RN-35: recoleccion al cierre de lo que pasa del cupo</t>
        </is>
      </c>
      <c r="K1898" t="inlineStr">
        <is>
          <t>Recoleccion al cierre: con el pronostico, el saldo cerraria en 81.994.026 COP, sobre el cupo de 67.850.000. Se recoge el excedente y el saldo queda en 67.850.000 COP. Equipo administrado por TDV.</t>
        </is>
      </c>
      <c r="L1898" s="26" t="n">
        <v>67850000</v>
      </c>
      <c r="M1898" s="26" t="n">
        <v>81994026</v>
      </c>
      <c r="N1898" s="27">
        <f>IF(ISNUMBER(M1898),M1898/L1898,"No aplica")</f>
        <v>1.2084602210759028</v>
      </c>
      <c r="O1898" s="25">
        <f>IF(G1898="provision",M1898+H1898,IF(G1898="recoleccion",M1898-H1898,"No aplica"))</f>
        <v>67850000</v>
      </c>
      <c r="P1898" s="26" t="n">
        <v>157715</v>
      </c>
    </row>
    <row r="1899">
      <c r="A1899" t="inlineStr">
        <is>
          <t>PRAGMA</t>
        </is>
      </c>
      <c r="B1899" t="inlineStr">
        <is>
          <t>M2</t>
        </is>
      </c>
      <c r="C1899" t="inlineStr">
        <is>
          <t>Cali</t>
        </is>
      </c>
      <c r="D1899" t="inlineStr">
        <is>
          <t>7990</t>
        </is>
      </c>
      <c r="E1899" t="inlineStr">
        <is>
          <t>TDV</t>
        </is>
      </c>
      <c r="F1899" s="23" t="n">
        <v>46276</v>
      </c>
      <c r="G1899" t="inlineStr">
        <is>
          <t>recoleccion</t>
        </is>
      </c>
      <c r="H1899" s="26" t="n">
        <v>13649840</v>
      </c>
      <c r="I1899" t="inlineStr">
        <is>
          <t>bajo</t>
        </is>
      </c>
      <c r="J1899" t="inlineStr">
        <is>
          <t>RN-22 y RN-35: recoleccion al cierre de lo que pasa del cupo</t>
        </is>
      </c>
      <c r="K1899" t="inlineStr">
        <is>
          <t>Recoleccion al cierre: con el pronostico, el saldo cerraria en 81.499.840 COP, sobre el cupo de 67.850.000. Se recoge el excedente y el saldo queda en 67.850.000 COP. Equipo administrado por TDV.</t>
        </is>
      </c>
      <c r="L1899" s="26" t="n">
        <v>67850000</v>
      </c>
      <c r="M1899" s="26" t="n">
        <v>81499840</v>
      </c>
      <c r="N1899" s="27">
        <f>IF(ISNUMBER(M1899),M1899/L1899,"No aplica")</f>
        <v>1.201176713338246</v>
      </c>
      <c r="O1899" s="25">
        <f>IF(G1899="provision",M1899+H1899,IF(G1899="recoleccion",M1899-H1899,"No aplica"))</f>
        <v>67850000</v>
      </c>
      <c r="P1899" s="26" t="n">
        <v>157715</v>
      </c>
    </row>
    <row r="1900">
      <c r="A1900" t="inlineStr">
        <is>
          <t>PRAGMA</t>
        </is>
      </c>
      <c r="B1900" t="inlineStr">
        <is>
          <t>M2</t>
        </is>
      </c>
      <c r="C1900" t="inlineStr">
        <is>
          <t>Cali</t>
        </is>
      </c>
      <c r="D1900" t="inlineStr">
        <is>
          <t>7990</t>
        </is>
      </c>
      <c r="E1900" t="inlineStr">
        <is>
          <t>TDV</t>
        </is>
      </c>
      <c r="F1900" s="23" t="n">
        <v>46277</v>
      </c>
      <c r="G1900" t="inlineStr">
        <is>
          <t>recoleccion</t>
        </is>
      </c>
      <c r="H1900" s="26" t="n">
        <v>13449564</v>
      </c>
      <c r="I1900" t="inlineStr">
        <is>
          <t>bajo</t>
        </is>
      </c>
      <c r="J1900" t="inlineStr">
        <is>
          <t>RN-22 y RN-35: recoleccion al cierre de lo que pasa del cupo</t>
        </is>
      </c>
      <c r="K1900" t="inlineStr">
        <is>
          <t>Recoleccion al cierre: con el pronostico, el saldo cerraria en 81.299.564 COP, sobre el cupo de 67.850.000. Se recoge el excedente y el saldo queda en 67.850.000 COP. Equipo administrado por TDV.</t>
        </is>
      </c>
      <c r="L1900" s="26" t="n">
        <v>67850000</v>
      </c>
      <c r="M1900" s="26" t="n">
        <v>81299564</v>
      </c>
      <c r="N1900" s="27">
        <f>IF(ISNUMBER(M1900),M1900/L1900,"No aplica")</f>
        <v>1.1982249668386147</v>
      </c>
      <c r="O1900" s="25">
        <f>IF(G1900="provision",M1900+H1900,IF(G1900="recoleccion",M1900-H1900,"No aplica"))</f>
        <v>67850000</v>
      </c>
      <c r="P1900" s="26" t="n">
        <v>157715</v>
      </c>
    </row>
    <row r="1901">
      <c r="A1901" t="inlineStr">
        <is>
          <t>PRAGMA</t>
        </is>
      </c>
      <c r="B1901" t="inlineStr">
        <is>
          <t>M2</t>
        </is>
      </c>
      <c r="C1901" t="inlineStr">
        <is>
          <t>Cali</t>
        </is>
      </c>
      <c r="D1901" t="inlineStr">
        <is>
          <t>7990</t>
        </is>
      </c>
      <c r="E1901" t="inlineStr">
        <is>
          <t>TDV</t>
        </is>
      </c>
      <c r="F1901" s="23" t="n">
        <v>46278</v>
      </c>
      <c r="G1901" t="inlineStr">
        <is>
          <t>recoleccion</t>
        </is>
      </c>
      <c r="H1901" s="26" t="n">
        <v>5446481</v>
      </c>
      <c r="I1901" t="inlineStr">
        <is>
          <t>bajo</t>
        </is>
      </c>
      <c r="J1901" t="inlineStr">
        <is>
          <t>RN-22 y RN-35: recoleccion al cierre de lo que pasa del cupo</t>
        </is>
      </c>
      <c r="K1901" t="inlineStr">
        <is>
          <t>Recoleccion al cierre: con el pronostico, el saldo cerraria en 73.296.481 COP, sobre el cupo de 67.850.000. Se recoge el excedente y el saldo queda en 67.850.000 COP. Equipo administrado por TDV.</t>
        </is>
      </c>
      <c r="L1901" s="26" t="n">
        <v>67850000</v>
      </c>
      <c r="M1901" s="26" t="n">
        <v>73296481</v>
      </c>
      <c r="N1901" s="27">
        <f>IF(ISNUMBER(M1901),M1901/L1901,"No aplica")</f>
        <v>1.0802723802505527</v>
      </c>
      <c r="O1901" s="25">
        <f>IF(G1901="provision",M1901+H1901,IF(G1901="recoleccion",M1901-H1901,"No aplica"))</f>
        <v>67850000</v>
      </c>
      <c r="P1901" s="26" t="n">
        <v>215854</v>
      </c>
    </row>
    <row r="1902">
      <c r="A1902" t="inlineStr">
        <is>
          <t>PRAGMA</t>
        </is>
      </c>
      <c r="B1902" t="inlineStr">
        <is>
          <t>M2</t>
        </is>
      </c>
      <c r="C1902" t="inlineStr">
        <is>
          <t>Cali</t>
        </is>
      </c>
      <c r="D1902" t="inlineStr">
        <is>
          <t>7990</t>
        </is>
      </c>
      <c r="E1902" t="inlineStr">
        <is>
          <t>TDV</t>
        </is>
      </c>
      <c r="F1902" s="23" t="n">
        <v>46279</v>
      </c>
      <c r="G1902" t="inlineStr">
        <is>
          <t>recoleccion</t>
        </is>
      </c>
      <c r="H1902" s="26" t="n">
        <v>15773644</v>
      </c>
      <c r="I1902" t="inlineStr">
        <is>
          <t>bajo</t>
        </is>
      </c>
      <c r="J1902" t="inlineStr">
        <is>
          <t>RN-22 y RN-35: recoleccion al cierre de lo que pasa del cupo</t>
        </is>
      </c>
      <c r="K1902" t="inlineStr">
        <is>
          <t>Recoleccion al cierre: con el pronostico, el saldo cerraria en 83.623.644 COP, sobre el cupo de 67.850.000. Se recoge el excedente y el saldo queda en 67.850.000 COP. Equipo administrado por TDV.</t>
        </is>
      </c>
      <c r="L1902" s="26" t="n">
        <v>67850000</v>
      </c>
      <c r="M1902" s="26" t="n">
        <v>83623644</v>
      </c>
      <c r="N1902" s="27">
        <f>IF(ISNUMBER(M1902),M1902/L1902,"No aplica")</f>
        <v>1.2324781724392042</v>
      </c>
      <c r="O1902" s="25">
        <f>IF(G1902="provision",M1902+H1902,IF(G1902="recoleccion",M1902-H1902,"No aplica"))</f>
        <v>67850000</v>
      </c>
      <c r="P1902" s="26" t="n">
        <v>157715</v>
      </c>
    </row>
    <row r="1903">
      <c r="A1903" t="inlineStr">
        <is>
          <t>PRAGMA</t>
        </is>
      </c>
      <c r="B1903" t="inlineStr">
        <is>
          <t>M2</t>
        </is>
      </c>
      <c r="C1903" t="inlineStr">
        <is>
          <t>Cali</t>
        </is>
      </c>
      <c r="D1903" t="inlineStr">
        <is>
          <t>7990</t>
        </is>
      </c>
      <c r="E1903" t="inlineStr">
        <is>
          <t>TDV</t>
        </is>
      </c>
      <c r="F1903" s="23" t="n">
        <v>46280</v>
      </c>
      <c r="G1903" t="inlineStr">
        <is>
          <t>recoleccion</t>
        </is>
      </c>
      <c r="H1903" s="26" t="n">
        <v>14638279</v>
      </c>
      <c r="I1903" t="inlineStr">
        <is>
          <t>bajo</t>
        </is>
      </c>
      <c r="J1903" t="inlineStr">
        <is>
          <t>RN-22 y RN-35: recoleccion al cierre de lo que pasa del cupo</t>
        </is>
      </c>
      <c r="K1903" t="inlineStr">
        <is>
          <t>Recoleccion al cierre: con el pronostico, el saldo cerraria en 82.488.279 COP, sobre el cupo de 67.850.000. Se recoge el excedente y el saldo queda en 67.850.000 COP. Equipo administrado por TDV.</t>
        </is>
      </c>
      <c r="L1903" s="26" t="n">
        <v>67850000</v>
      </c>
      <c r="M1903" s="26" t="n">
        <v>82488279</v>
      </c>
      <c r="N1903" s="27">
        <f>IF(ISNUMBER(M1903),M1903/L1903,"No aplica")</f>
        <v>1.2157447162859247</v>
      </c>
      <c r="O1903" s="25">
        <f>IF(G1903="provision",M1903+H1903,IF(G1903="recoleccion",M1903-H1903,"No aplica"))</f>
        <v>67850000</v>
      </c>
      <c r="P1903" s="26" t="n">
        <v>157715</v>
      </c>
    </row>
    <row r="1904">
      <c r="A1904" t="inlineStr">
        <is>
          <t>PRAGMA</t>
        </is>
      </c>
      <c r="B1904" t="inlineStr">
        <is>
          <t>M2</t>
        </is>
      </c>
      <c r="C1904" t="inlineStr">
        <is>
          <t>Cali</t>
        </is>
      </c>
      <c r="D1904" t="inlineStr">
        <is>
          <t>8209</t>
        </is>
      </c>
      <c r="E1904" t="inlineStr">
        <is>
          <t>Sucursal</t>
        </is>
      </c>
      <c r="F1904" s="23" t="n">
        <v>46266</v>
      </c>
      <c r="G1904" t="inlineStr">
        <is>
          <t>recoleccion</t>
        </is>
      </c>
      <c r="H1904" s="26" t="n">
        <v>55201627</v>
      </c>
      <c r="I1904" t="inlineStr">
        <is>
          <t>bajo</t>
        </is>
      </c>
      <c r="J1904" t="inlineStr">
        <is>
          <t>RN-22 y RN-35: recoleccion al cierre de lo que pasa del cupo</t>
        </is>
      </c>
      <c r="K1904" t="inlineStr">
        <is>
          <t>Recoleccion al cierre: con el pronostico, el saldo cerraria en 146.203.627 COP, sobre el cupo de 91.002.000. Se recoge el excedente y el saldo queda en 91.002.000 COP. Equipo administrado por Sucursal. Sin tarifa TDV (administrado por la sucursal): costo 0 declarado.</t>
        </is>
      </c>
      <c r="L1904" s="26" t="n">
        <v>91002000</v>
      </c>
      <c r="M1904" s="26" t="n">
        <v>146203627</v>
      </c>
      <c r="N1904" s="27">
        <f>IF(ISNUMBER(M1904),M1904/L1904,"No aplica")</f>
        <v>1.6065979538911233</v>
      </c>
      <c r="O1904" s="25">
        <f>IF(G1904="provision",M1904+H1904,IF(G1904="recoleccion",M1904-H1904,"No aplica"))</f>
        <v>91002000</v>
      </c>
      <c r="P1904" s="26" t="n">
        <v>0</v>
      </c>
    </row>
    <row r="1905">
      <c r="A1905" t="inlineStr">
        <is>
          <t>PRAGMA</t>
        </is>
      </c>
      <c r="B1905" t="inlineStr">
        <is>
          <t>M2</t>
        </is>
      </c>
      <c r="C1905" t="inlineStr">
        <is>
          <t>Cali</t>
        </is>
      </c>
      <c r="D1905" t="inlineStr">
        <is>
          <t>8209</t>
        </is>
      </c>
      <c r="E1905" t="inlineStr">
        <is>
          <t>Sucursal</t>
        </is>
      </c>
      <c r="F1905" s="23" t="n">
        <v>46267</v>
      </c>
      <c r="G1905" t="inlineStr">
        <is>
          <t>recoleccion</t>
        </is>
      </c>
      <c r="H1905" s="26" t="n">
        <v>63909642</v>
      </c>
      <c r="I1905" t="inlineStr">
        <is>
          <t>bajo</t>
        </is>
      </c>
      <c r="J1905" t="inlineStr">
        <is>
          <t>RN-22 y RN-35: recoleccion al cierre de lo que pasa del cupo</t>
        </is>
      </c>
      <c r="K1905" t="inlineStr">
        <is>
          <t>Recoleccion al cierre: con el pronostico, el saldo cerraria en 154.911.642 COP, sobre el cupo de 91.002.000. Se recoge el excedente y el saldo queda en 91.002.000 COP. Equipo administrado por Sucursal. Sin tarifa TDV (administrado por la sucursal): costo 0 declarado.</t>
        </is>
      </c>
      <c r="L1905" s="26" t="n">
        <v>91002000</v>
      </c>
      <c r="M1905" s="26" t="n">
        <v>154911642</v>
      </c>
      <c r="N1905" s="27">
        <f>IF(ISNUMBER(M1905),M1905/L1905,"No aplica")</f>
        <v>1.702288323333553</v>
      </c>
      <c r="O1905" s="25">
        <f>IF(G1905="provision",M1905+H1905,IF(G1905="recoleccion",M1905-H1905,"No aplica"))</f>
        <v>91002000</v>
      </c>
      <c r="P1905" s="26" t="n">
        <v>0</v>
      </c>
    </row>
    <row r="1906">
      <c r="A1906" t="inlineStr">
        <is>
          <t>PRAGMA</t>
        </is>
      </c>
      <c r="B1906" t="inlineStr">
        <is>
          <t>M2</t>
        </is>
      </c>
      <c r="C1906" t="inlineStr">
        <is>
          <t>Cali</t>
        </is>
      </c>
      <c r="D1906" t="inlineStr">
        <is>
          <t>8209</t>
        </is>
      </c>
      <c r="E1906" t="inlineStr">
        <is>
          <t>Sucursal</t>
        </is>
      </c>
      <c r="F1906" s="23" t="n">
        <v>46268</v>
      </c>
      <c r="G1906" t="inlineStr">
        <is>
          <t>recoleccion</t>
        </is>
      </c>
      <c r="H1906" s="26" t="n">
        <v>55060285</v>
      </c>
      <c r="I1906" t="inlineStr">
        <is>
          <t>bajo</t>
        </is>
      </c>
      <c r="J1906" t="inlineStr">
        <is>
          <t>RN-22 y RN-35: recoleccion al cierre de lo que pasa del cupo</t>
        </is>
      </c>
      <c r="K1906" t="inlineStr">
        <is>
          <t>Recoleccion al cierre: con el pronostico, el saldo cerraria en 146.062.285 COP, sobre el cupo de 91.002.000. Se recoge el excedente y el saldo queda en 91.002.000 COP. Equipo administrado por Sucursal. Sin tarifa TDV (administrado por la sucursal): costo 0 declarado.</t>
        </is>
      </c>
      <c r="L1906" s="26" t="n">
        <v>91002000</v>
      </c>
      <c r="M1906" s="26" t="n">
        <v>146062285</v>
      </c>
      <c r="N1906" s="27">
        <f>IF(ISNUMBER(M1906),M1906/L1906,"No aplica")</f>
        <v>1.6050447792356213</v>
      </c>
      <c r="O1906" s="25">
        <f>IF(G1906="provision",M1906+H1906,IF(G1906="recoleccion",M1906-H1906,"No aplica"))</f>
        <v>91002000</v>
      </c>
      <c r="P1906" s="26" t="n">
        <v>0</v>
      </c>
    </row>
    <row r="1907">
      <c r="A1907" t="inlineStr">
        <is>
          <t>PRAGMA</t>
        </is>
      </c>
      <c r="B1907" t="inlineStr">
        <is>
          <t>M2</t>
        </is>
      </c>
      <c r="C1907" t="inlineStr">
        <is>
          <t>Cali</t>
        </is>
      </c>
      <c r="D1907" t="inlineStr">
        <is>
          <t>8209</t>
        </is>
      </c>
      <c r="E1907" t="inlineStr">
        <is>
          <t>Sucursal</t>
        </is>
      </c>
      <c r="F1907" s="23" t="n">
        <v>46269</v>
      </c>
      <c r="G1907" t="inlineStr">
        <is>
          <t>recoleccion</t>
        </is>
      </c>
      <c r="H1907" s="26" t="n">
        <v>60935361</v>
      </c>
      <c r="I1907" t="inlineStr">
        <is>
          <t>bajo</t>
        </is>
      </c>
      <c r="J1907" t="inlineStr">
        <is>
          <t>RN-22 y RN-35: recoleccion al cierre de lo que pasa del cupo</t>
        </is>
      </c>
      <c r="K1907" t="inlineStr">
        <is>
          <t>Recoleccion al cierre: con el pronostico, el saldo cerraria en 151.937.361 COP, sobre el cupo de 91.002.000. Se recoge el excedente y el saldo queda en 91.002.000 COP. Equipo administrado por Sucursal. Sin tarifa TDV (administrado por la sucursal): costo 0 declarado.</t>
        </is>
      </c>
      <c r="L1907" s="26" t="n">
        <v>91002000</v>
      </c>
      <c r="M1907" s="26" t="n">
        <v>151937361</v>
      </c>
      <c r="N1907" s="27">
        <f>IF(ISNUMBER(M1907),M1907/L1907,"No aplica")</f>
        <v>1.6696046350629656</v>
      </c>
      <c r="O1907" s="25">
        <f>IF(G1907="provision",M1907+H1907,IF(G1907="recoleccion",M1907-H1907,"No aplica"))</f>
        <v>91002000</v>
      </c>
      <c r="P1907" s="26" t="n">
        <v>0</v>
      </c>
    </row>
    <row r="1908">
      <c r="A1908" t="inlineStr">
        <is>
          <t>PRAGMA</t>
        </is>
      </c>
      <c r="B1908" t="inlineStr">
        <is>
          <t>M2</t>
        </is>
      </c>
      <c r="C1908" t="inlineStr">
        <is>
          <t>Cali</t>
        </is>
      </c>
      <c r="D1908" t="inlineStr">
        <is>
          <t>8209</t>
        </is>
      </c>
      <c r="E1908" t="inlineStr">
        <is>
          <t>Sucursal</t>
        </is>
      </c>
      <c r="F1908" s="23" t="n">
        <v>46270</v>
      </c>
      <c r="G1908" t="inlineStr">
        <is>
          <t>recoleccion</t>
        </is>
      </c>
      <c r="H1908" s="26" t="n">
        <v>29391873</v>
      </c>
      <c r="I1908" t="inlineStr">
        <is>
          <t>bajo</t>
        </is>
      </c>
      <c r="J1908" t="inlineStr">
        <is>
          <t>RN-22 y RN-35: recoleccion al cierre de lo que pasa del cupo</t>
        </is>
      </c>
      <c r="K1908" t="inlineStr">
        <is>
          <t>Recoleccion al cierre: con el pronostico, el saldo cerraria en 120.393.873 COP, sobre el cupo de 91.002.000. Se recoge el excedente y el saldo queda en 91.002.000 COP. Equipo administrado por Sucursal. Sin tarifa TDV (administrado por la sucursal): costo 0 declarado.</t>
        </is>
      </c>
      <c r="L1908" s="26" t="n">
        <v>91002000</v>
      </c>
      <c r="M1908" s="26" t="n">
        <v>120393873</v>
      </c>
      <c r="N1908" s="27">
        <f>IF(ISNUMBER(M1908),M1908/L1908,"No aplica")</f>
        <v>1.3229805169117161</v>
      </c>
      <c r="O1908" s="25">
        <f>IF(G1908="provision",M1908+H1908,IF(G1908="recoleccion",M1908-H1908,"No aplica"))</f>
        <v>91002000</v>
      </c>
      <c r="P1908" s="26" t="n">
        <v>0</v>
      </c>
    </row>
    <row r="1909">
      <c r="A1909" t="inlineStr">
        <is>
          <t>PRAGMA</t>
        </is>
      </c>
      <c r="B1909" t="inlineStr">
        <is>
          <t>M2</t>
        </is>
      </c>
      <c r="C1909" t="inlineStr">
        <is>
          <t>Cali</t>
        </is>
      </c>
      <c r="D1909" t="inlineStr">
        <is>
          <t>8209</t>
        </is>
      </c>
      <c r="E1909" t="inlineStr">
        <is>
          <t>Sucursal</t>
        </is>
      </c>
      <c r="F1909" s="23" t="n">
        <v>46271</v>
      </c>
      <c r="G1909" t="inlineStr">
        <is>
          <t>recoleccion</t>
        </is>
      </c>
      <c r="H1909" s="26" t="n">
        <v>6249048</v>
      </c>
      <c r="I1909" t="inlineStr">
        <is>
          <t>bajo</t>
        </is>
      </c>
      <c r="J1909" t="inlineStr">
        <is>
          <t>RN-22 y RN-35: recoleccion al cierre de lo que pasa del cupo</t>
        </is>
      </c>
      <c r="K1909" t="inlineStr">
        <is>
          <t>Recoleccion al cierre: con el pronostico, el saldo cerraria en 97.251.048 COP, sobre el cupo de 91.002.000. Se recoge el excedente y el saldo queda en 91.002.000 COP. Equipo administrado por Sucursal. Sin tarifa TDV (administrado por la sucursal): costo 0 declarado.</t>
        </is>
      </c>
      <c r="L1909" s="26" t="n">
        <v>91002000</v>
      </c>
      <c r="M1909" s="26" t="n">
        <v>97251048</v>
      </c>
      <c r="N1909" s="27">
        <f>IF(ISNUMBER(M1909),M1909/L1909,"No aplica")</f>
        <v>1.068669347926419</v>
      </c>
      <c r="O1909" s="25">
        <f>IF(G1909="provision",M1909+H1909,IF(G1909="recoleccion",M1909-H1909,"No aplica"))</f>
        <v>91002000</v>
      </c>
      <c r="P1909" s="26" t="n">
        <v>0</v>
      </c>
    </row>
    <row r="1910">
      <c r="A1910" t="inlineStr">
        <is>
          <t>PRAGMA</t>
        </is>
      </c>
      <c r="B1910" t="inlineStr">
        <is>
          <t>M2</t>
        </is>
      </c>
      <c r="C1910" t="inlineStr">
        <is>
          <t>Cali</t>
        </is>
      </c>
      <c r="D1910" t="inlineStr">
        <is>
          <t>8209</t>
        </is>
      </c>
      <c r="E1910" t="inlineStr">
        <is>
          <t>Sucursal</t>
        </is>
      </c>
      <c r="F1910" s="23" t="n">
        <v>46272</v>
      </c>
      <c r="G1910" t="inlineStr">
        <is>
          <t>recoleccion</t>
        </is>
      </c>
      <c r="H1910" s="26" t="n">
        <v>73705434</v>
      </c>
      <c r="I1910" t="inlineStr">
        <is>
          <t>bajo</t>
        </is>
      </c>
      <c r="J1910" t="inlineStr">
        <is>
          <t>RN-22 y RN-35: recoleccion al cierre de lo que pasa del cupo</t>
        </is>
      </c>
      <c r="K1910" t="inlineStr">
        <is>
          <t>Recoleccion al cierre: con el pronostico, el saldo cerraria en 164.707.434 COP, sobre el cupo de 91.002.000. Se recoge el excedente y el saldo queda en 91.002.000 COP. Equipo administrado por Sucursal. Sin tarifa TDV (administrado por la sucursal): costo 0 declarado.</t>
        </is>
      </c>
      <c r="L1910" s="26" t="n">
        <v>91002000</v>
      </c>
      <c r="M1910" s="26" t="n">
        <v>164707434</v>
      </c>
      <c r="N1910" s="27">
        <f>IF(ISNUMBER(M1910),M1910/L1910,"No aplica")</f>
        <v>1.8099320234720115</v>
      </c>
      <c r="O1910" s="25">
        <f>IF(G1910="provision",M1910+H1910,IF(G1910="recoleccion",M1910-H1910,"No aplica"))</f>
        <v>91002000</v>
      </c>
      <c r="P1910" s="26" t="n">
        <v>0</v>
      </c>
    </row>
    <row r="1911">
      <c r="A1911" t="inlineStr">
        <is>
          <t>PRAGMA</t>
        </is>
      </c>
      <c r="B1911" t="inlineStr">
        <is>
          <t>M2</t>
        </is>
      </c>
      <c r="C1911" t="inlineStr">
        <is>
          <t>Cali</t>
        </is>
      </c>
      <c r="D1911" t="inlineStr">
        <is>
          <t>8209</t>
        </is>
      </c>
      <c r="E1911" t="inlineStr">
        <is>
          <t>Sucursal</t>
        </is>
      </c>
      <c r="F1911" s="23" t="n">
        <v>46273</v>
      </c>
      <c r="G1911" t="inlineStr">
        <is>
          <t>recoleccion</t>
        </is>
      </c>
      <c r="H1911" s="26" t="n">
        <v>65337701</v>
      </c>
      <c r="I1911" t="inlineStr">
        <is>
          <t>bajo</t>
        </is>
      </c>
      <c r="J1911" t="inlineStr">
        <is>
          <t>RN-22 y RN-35: recoleccion al cierre de lo que pasa del cupo</t>
        </is>
      </c>
      <c r="K1911" t="inlineStr">
        <is>
          <t>Recoleccion al cierre: con el pronostico, el saldo cerraria en 156.339.701 COP, sobre el cupo de 91.002.000. Se recoge el excedente y el saldo queda en 91.002.000 COP. Equipo administrado por Sucursal. Sin tarifa TDV (administrado por la sucursal): costo 0 declarado.</t>
        </is>
      </c>
      <c r="L1911" s="26" t="n">
        <v>91002000</v>
      </c>
      <c r="M1911" s="26" t="n">
        <v>156339701</v>
      </c>
      <c r="N1911" s="27">
        <f>IF(ISNUMBER(M1911),M1911/L1911,"No aplica")</f>
        <v>1.7179809344849564</v>
      </c>
      <c r="O1911" s="25">
        <f>IF(G1911="provision",M1911+H1911,IF(G1911="recoleccion",M1911-H1911,"No aplica"))</f>
        <v>91002000</v>
      </c>
      <c r="P1911" s="26" t="n">
        <v>0</v>
      </c>
    </row>
    <row r="1912">
      <c r="A1912" t="inlineStr">
        <is>
          <t>PRAGMA</t>
        </is>
      </c>
      <c r="B1912" t="inlineStr">
        <is>
          <t>M2</t>
        </is>
      </c>
      <c r="C1912" t="inlineStr">
        <is>
          <t>Cali</t>
        </is>
      </c>
      <c r="D1912" t="inlineStr">
        <is>
          <t>8209</t>
        </is>
      </c>
      <c r="E1912" t="inlineStr">
        <is>
          <t>Sucursal</t>
        </is>
      </c>
      <c r="F1912" s="23" t="n">
        <v>46274</v>
      </c>
      <c r="G1912" t="inlineStr">
        <is>
          <t>recoleccion</t>
        </is>
      </c>
      <c r="H1912" s="26" t="n">
        <v>65140424</v>
      </c>
      <c r="I1912" t="inlineStr">
        <is>
          <t>bajo</t>
        </is>
      </c>
      <c r="J1912" t="inlineStr">
        <is>
          <t>RN-22 y RN-35: recoleccion al cierre de lo que pasa del cupo</t>
        </is>
      </c>
      <c r="K1912" t="inlineStr">
        <is>
          <t>Recoleccion al cierre: con el pronostico, el saldo cerraria en 156.142.424 COP, sobre el cupo de 91.002.000. Se recoge el excedente y el saldo queda en 91.002.000 COP. Equipo administrado por Sucursal. Sin tarifa TDV (administrado por la sucursal): costo 0 declarado.</t>
        </is>
      </c>
      <c r="L1912" s="26" t="n">
        <v>91002000</v>
      </c>
      <c r="M1912" s="26" t="n">
        <v>156142424</v>
      </c>
      <c r="N1912" s="27">
        <f>IF(ISNUMBER(M1912),M1912/L1912,"No aplica")</f>
        <v>1.7158131030087251</v>
      </c>
      <c r="O1912" s="25">
        <f>IF(G1912="provision",M1912+H1912,IF(G1912="recoleccion",M1912-H1912,"No aplica"))</f>
        <v>91002000</v>
      </c>
      <c r="P1912" s="26" t="n">
        <v>0</v>
      </c>
    </row>
    <row r="1913">
      <c r="A1913" t="inlineStr">
        <is>
          <t>PRAGMA</t>
        </is>
      </c>
      <c r="B1913" t="inlineStr">
        <is>
          <t>M2</t>
        </is>
      </c>
      <c r="C1913" t="inlineStr">
        <is>
          <t>Cali</t>
        </is>
      </c>
      <c r="D1913" t="inlineStr">
        <is>
          <t>8209</t>
        </is>
      </c>
      <c r="E1913" t="inlineStr">
        <is>
          <t>Sucursal</t>
        </is>
      </c>
      <c r="F1913" s="23" t="n">
        <v>46275</v>
      </c>
      <c r="G1913" t="inlineStr">
        <is>
          <t>recoleccion</t>
        </is>
      </c>
      <c r="H1913" s="26" t="n">
        <v>56101198</v>
      </c>
      <c r="I1913" t="inlineStr">
        <is>
          <t>bajo</t>
        </is>
      </c>
      <c r="J1913" t="inlineStr">
        <is>
          <t>RN-22 y RN-35: recoleccion al cierre de lo que pasa del cupo</t>
        </is>
      </c>
      <c r="K1913" t="inlineStr">
        <is>
          <t>Recoleccion al cierre: con el pronostico, el saldo cerraria en 147.103.198 COP, sobre el cupo de 91.002.000. Se recoge el excedente y el saldo queda en 91.002.000 COP. Equipo administrado por Sucursal. Sin tarifa TDV (administrado por la sucursal): costo 0 declarado.</t>
        </is>
      </c>
      <c r="L1913" s="26" t="n">
        <v>91002000</v>
      </c>
      <c r="M1913" s="26" t="n">
        <v>147103198</v>
      </c>
      <c r="N1913" s="27">
        <f>IF(ISNUMBER(M1913),M1913/L1913,"No aplica")</f>
        <v>1.616483132238852</v>
      </c>
      <c r="O1913" s="25">
        <f>IF(G1913="provision",M1913+H1913,IF(G1913="recoleccion",M1913-H1913,"No aplica"))</f>
        <v>91002000</v>
      </c>
      <c r="P1913" s="26" t="n">
        <v>0</v>
      </c>
    </row>
    <row r="1914">
      <c r="A1914" t="inlineStr">
        <is>
          <t>PRAGMA</t>
        </is>
      </c>
      <c r="B1914" t="inlineStr">
        <is>
          <t>M2</t>
        </is>
      </c>
      <c r="C1914" t="inlineStr">
        <is>
          <t>Cali</t>
        </is>
      </c>
      <c r="D1914" t="inlineStr">
        <is>
          <t>8209</t>
        </is>
      </c>
      <c r="E1914" t="inlineStr">
        <is>
          <t>Sucursal</t>
        </is>
      </c>
      <c r="F1914" s="23" t="n">
        <v>46276</v>
      </c>
      <c r="G1914" t="inlineStr">
        <is>
          <t>recoleccion</t>
        </is>
      </c>
      <c r="H1914" s="26" t="n">
        <v>59038641</v>
      </c>
      <c r="I1914" t="inlineStr">
        <is>
          <t>bajo</t>
        </is>
      </c>
      <c r="J1914" t="inlineStr">
        <is>
          <t>RN-22 y RN-35: recoleccion al cierre de lo que pasa del cupo</t>
        </is>
      </c>
      <c r="K1914" t="inlineStr">
        <is>
          <t>Recoleccion al cierre: con el pronostico, el saldo cerraria en 150.040.641 COP, sobre el cupo de 91.002.000. Se recoge el excedente y el saldo queda en 91.002.000 COP. Equipo administrado por Sucursal. Sin tarifa TDV (administrado por la sucursal): costo 0 declarado.</t>
        </is>
      </c>
      <c r="L1914" s="26" t="n">
        <v>91002000</v>
      </c>
      <c r="M1914" s="26" t="n">
        <v>150040641</v>
      </c>
      <c r="N1914" s="27">
        <f>IF(ISNUMBER(M1914),M1914/L1914,"No aplica")</f>
        <v>1.6487620162194236</v>
      </c>
      <c r="O1914" s="25">
        <f>IF(G1914="provision",M1914+H1914,IF(G1914="recoleccion",M1914-H1914,"No aplica"))</f>
        <v>91002000</v>
      </c>
      <c r="P1914" s="26" t="n">
        <v>0</v>
      </c>
    </row>
    <row r="1915">
      <c r="A1915" t="inlineStr">
        <is>
          <t>PRAGMA</t>
        </is>
      </c>
      <c r="B1915" t="inlineStr">
        <is>
          <t>M2</t>
        </is>
      </c>
      <c r="C1915" t="inlineStr">
        <is>
          <t>Cali</t>
        </is>
      </c>
      <c r="D1915" t="inlineStr">
        <is>
          <t>8209</t>
        </is>
      </c>
      <c r="E1915" t="inlineStr">
        <is>
          <t>Sucursal</t>
        </is>
      </c>
      <c r="F1915" s="23" t="n">
        <v>46277</v>
      </c>
      <c r="G1915" t="inlineStr">
        <is>
          <t>recoleccion</t>
        </is>
      </c>
      <c r="H1915" s="26" t="n">
        <v>28913685</v>
      </c>
      <c r="I1915" t="inlineStr">
        <is>
          <t>bajo</t>
        </is>
      </c>
      <c r="J1915" t="inlineStr">
        <is>
          <t>RN-22 y RN-35: recoleccion al cierre de lo que pasa del cupo</t>
        </is>
      </c>
      <c r="K1915" t="inlineStr">
        <is>
          <t>Recoleccion al cierre: con el pronostico, el saldo cerraria en 119.915.685 COP, sobre el cupo de 91.002.000. Se recoge el excedente y el saldo queda en 91.002.000 COP. Equipo administrado por Sucursal. Sin tarifa TDV (administrado por la sucursal): costo 0 declarado.</t>
        </is>
      </c>
      <c r="L1915" s="26" t="n">
        <v>91002000</v>
      </c>
      <c r="M1915" s="26" t="n">
        <v>119915685</v>
      </c>
      <c r="N1915" s="27">
        <f>IF(ISNUMBER(M1915),M1915/L1915,"No aplica")</f>
        <v>1.3177258192127645</v>
      </c>
      <c r="O1915" s="25">
        <f>IF(G1915="provision",M1915+H1915,IF(G1915="recoleccion",M1915-H1915,"No aplica"))</f>
        <v>91002000</v>
      </c>
      <c r="P1915" s="26" t="n">
        <v>0</v>
      </c>
    </row>
    <row r="1916">
      <c r="A1916" t="inlineStr">
        <is>
          <t>PRAGMA</t>
        </is>
      </c>
      <c r="B1916" t="inlineStr">
        <is>
          <t>M2</t>
        </is>
      </c>
      <c r="C1916" t="inlineStr">
        <is>
          <t>Cali</t>
        </is>
      </c>
      <c r="D1916" t="inlineStr">
        <is>
          <t>8209</t>
        </is>
      </c>
      <c r="E1916" t="inlineStr">
        <is>
          <t>Sucursal</t>
        </is>
      </c>
      <c r="F1916" s="23" t="n">
        <v>46278</v>
      </c>
      <c r="G1916" t="inlineStr">
        <is>
          <t>recoleccion</t>
        </is>
      </c>
      <c r="H1916" s="26" t="n">
        <v>5969247</v>
      </c>
      <c r="I1916" t="inlineStr">
        <is>
          <t>bajo</t>
        </is>
      </c>
      <c r="J1916" t="inlineStr">
        <is>
          <t>RN-22 y RN-35: recoleccion al cierre de lo que pasa del cupo</t>
        </is>
      </c>
      <c r="K1916" t="inlineStr">
        <is>
          <t>Recoleccion al cierre: con el pronostico, el saldo cerraria en 96.971.247 COP, sobre el cupo de 91.002.000. Se recoge el excedente y el saldo queda en 91.002.000 COP. Equipo administrado por Sucursal. Sin tarifa TDV (administrado por la sucursal): costo 0 declarado.</t>
        </is>
      </c>
      <c r="L1916" s="26" t="n">
        <v>91002000</v>
      </c>
      <c r="M1916" s="26" t="n">
        <v>96971247</v>
      </c>
      <c r="N1916" s="27">
        <f>IF(ISNUMBER(M1916),M1916/L1916,"No aplica")</f>
        <v>1.065594679237819</v>
      </c>
      <c r="O1916" s="25">
        <f>IF(G1916="provision",M1916+H1916,IF(G1916="recoleccion",M1916-H1916,"No aplica"))</f>
        <v>91002000</v>
      </c>
      <c r="P1916" s="26" t="n">
        <v>0</v>
      </c>
    </row>
    <row r="1917">
      <c r="A1917" t="inlineStr">
        <is>
          <t>PRAGMA</t>
        </is>
      </c>
      <c r="B1917" t="inlineStr">
        <is>
          <t>M2</t>
        </is>
      </c>
      <c r="C1917" t="inlineStr">
        <is>
          <t>Cali</t>
        </is>
      </c>
      <c r="D1917" t="inlineStr">
        <is>
          <t>8209</t>
        </is>
      </c>
      <c r="E1917" t="inlineStr">
        <is>
          <t>Sucursal</t>
        </is>
      </c>
      <c r="F1917" s="23" t="n">
        <v>46279</v>
      </c>
      <c r="G1917" t="inlineStr">
        <is>
          <t>recoleccion</t>
        </is>
      </c>
      <c r="H1917" s="26" t="n">
        <v>69142747</v>
      </c>
      <c r="I1917" t="inlineStr">
        <is>
          <t>bajo</t>
        </is>
      </c>
      <c r="J1917" t="inlineStr">
        <is>
          <t>RN-22 y RN-35: recoleccion al cierre de lo que pasa del cupo</t>
        </is>
      </c>
      <c r="K1917" t="inlineStr">
        <is>
          <t>Recoleccion al cierre: con el pronostico, el saldo cerraria en 160.144.747 COP, sobre el cupo de 91.002.000. Se recoge el excedente y el saldo queda en 91.002.000 COP. Equipo administrado por Sucursal. Sin tarifa TDV (administrado por la sucursal): costo 0 declarado.</t>
        </is>
      </c>
      <c r="L1917" s="26" t="n">
        <v>91002000</v>
      </c>
      <c r="M1917" s="26" t="n">
        <v>160144747</v>
      </c>
      <c r="N1917" s="27">
        <f>IF(ISNUMBER(M1917),M1917/L1917,"No aplica")</f>
        <v>1.7597937078305972</v>
      </c>
      <c r="O1917" s="25">
        <f>IF(G1917="provision",M1917+H1917,IF(G1917="recoleccion",M1917-H1917,"No aplica"))</f>
        <v>91002000</v>
      </c>
      <c r="P1917" s="26" t="n">
        <v>0</v>
      </c>
    </row>
    <row r="1918">
      <c r="A1918" t="inlineStr">
        <is>
          <t>PRAGMA</t>
        </is>
      </c>
      <c r="B1918" t="inlineStr">
        <is>
          <t>M2</t>
        </is>
      </c>
      <c r="C1918" t="inlineStr">
        <is>
          <t>Cali</t>
        </is>
      </c>
      <c r="D1918" t="inlineStr">
        <is>
          <t>8209</t>
        </is>
      </c>
      <c r="E1918" t="inlineStr">
        <is>
          <t>Sucursal</t>
        </is>
      </c>
      <c r="F1918" s="23" t="n">
        <v>46280</v>
      </c>
      <c r="G1918" t="inlineStr">
        <is>
          <t>recoleccion</t>
        </is>
      </c>
      <c r="H1918" s="26" t="n">
        <v>59471559</v>
      </c>
      <c r="I1918" t="inlineStr">
        <is>
          <t>bajo</t>
        </is>
      </c>
      <c r="J1918" t="inlineStr">
        <is>
          <t>RN-22 y RN-35: recoleccion al cierre de lo que pasa del cupo</t>
        </is>
      </c>
      <c r="K1918" t="inlineStr">
        <is>
          <t>Recoleccion al cierre: con el pronostico, el saldo cerraria en 150.473.559 COP, sobre el cupo de 91.002.000. Se recoge el excedente y el saldo queda en 91.002.000 COP. Equipo administrado por Sucursal. Sin tarifa TDV (administrado por la sucursal): costo 0 declarado.</t>
        </is>
      </c>
      <c r="L1918" s="26" t="n">
        <v>91002000</v>
      </c>
      <c r="M1918" s="26" t="n">
        <v>150473559</v>
      </c>
      <c r="N1918" s="27">
        <f>IF(ISNUMBER(M1918),M1918/L1918,"No aplica")</f>
        <v>1.6535192523241247</v>
      </c>
      <c r="O1918" s="25">
        <f>IF(G1918="provision",M1918+H1918,IF(G1918="recoleccion",M1918-H1918,"No aplica"))</f>
        <v>91002000</v>
      </c>
      <c r="P1918" s="26" t="n">
        <v>0</v>
      </c>
    </row>
    <row r="1919">
      <c r="A1919" t="inlineStr">
        <is>
          <t>PRAGMA</t>
        </is>
      </c>
      <c r="B1919" t="inlineStr">
        <is>
          <t>M2</t>
        </is>
      </c>
      <c r="C1919" t="inlineStr">
        <is>
          <t>Pasto</t>
        </is>
      </c>
      <c r="D1919" t="inlineStr">
        <is>
          <t>8220</t>
        </is>
      </c>
      <c r="E1919" t="inlineStr">
        <is>
          <t>TDV</t>
        </is>
      </c>
      <c r="F1919" s="23" t="n">
        <v>46266</v>
      </c>
      <c r="G1919" t="inlineStr">
        <is>
          <t>recoleccion</t>
        </is>
      </c>
      <c r="H1919" s="26" t="n">
        <v>82319397</v>
      </c>
      <c r="I1919" t="inlineStr">
        <is>
          <t>bajo</t>
        </is>
      </c>
      <c r="J1919" t="inlineStr">
        <is>
          <t>RN-22 y RN-35: recoleccion al cierre de lo que pasa del cupo</t>
        </is>
      </c>
      <c r="K1919" t="inlineStr">
        <is>
          <t>Recoleccion al cierre: con el pronostico, el saldo cerraria en 217.669.397 COP, sobre el cupo de 135.350.000. Se recoge el excedente y el saldo queda en 135.350.000 COP. Equipo administrado por TDV.</t>
        </is>
      </c>
      <c r="L1919" s="26" t="n">
        <v>135350000</v>
      </c>
      <c r="M1919" s="26" t="n">
        <v>217669397</v>
      </c>
      <c r="N1919" s="27">
        <f>IF(ISNUMBER(M1919),M1919/L1919,"No aplica")</f>
        <v>1.6081965053564833</v>
      </c>
      <c r="O1919" s="25">
        <f>IF(G1919="provision",M1919+H1919,IF(G1919="recoleccion",M1919-H1919,"No aplica"))</f>
        <v>135350000</v>
      </c>
      <c r="P1919" s="26" t="n">
        <v>158307</v>
      </c>
    </row>
    <row r="1920">
      <c r="A1920" t="inlineStr">
        <is>
          <t>PRAGMA</t>
        </is>
      </c>
      <c r="B1920" t="inlineStr">
        <is>
          <t>M2</t>
        </is>
      </c>
      <c r="C1920" t="inlineStr">
        <is>
          <t>Pasto</t>
        </is>
      </c>
      <c r="D1920" t="inlineStr">
        <is>
          <t>8220</t>
        </is>
      </c>
      <c r="E1920" t="inlineStr">
        <is>
          <t>TDV</t>
        </is>
      </c>
      <c r="F1920" s="23" t="n">
        <v>46267</v>
      </c>
      <c r="G1920" t="inlineStr">
        <is>
          <t>recoleccion</t>
        </is>
      </c>
      <c r="H1920" s="26" t="n">
        <v>87395490</v>
      </c>
      <c r="I1920" t="inlineStr">
        <is>
          <t>bajo</t>
        </is>
      </c>
      <c r="J1920" t="inlineStr">
        <is>
          <t>RN-22 y RN-35: recoleccion al cierre de lo que pasa del cupo</t>
        </is>
      </c>
      <c r="K1920" t="inlineStr">
        <is>
          <t>Recoleccion al cierre: con el pronostico, el saldo cerraria en 222.745.490 COP, sobre el cupo de 135.350.000. Se recoge el excedente y el saldo queda en 135.350.000 COP. Equipo administrado por TDV.</t>
        </is>
      </c>
      <c r="L1920" s="26" t="n">
        <v>135350000</v>
      </c>
      <c r="M1920" s="26" t="n">
        <v>222745490</v>
      </c>
      <c r="N1920" s="27">
        <f>IF(ISNUMBER(M1920),M1920/L1920,"No aplica")</f>
        <v>1.6456999630587366</v>
      </c>
      <c r="O1920" s="25">
        <f>IF(G1920="provision",M1920+H1920,IF(G1920="recoleccion",M1920-H1920,"No aplica"))</f>
        <v>135350000</v>
      </c>
      <c r="P1920" s="26" t="n">
        <v>158307</v>
      </c>
    </row>
    <row r="1921">
      <c r="A1921" t="inlineStr">
        <is>
          <t>PRAGMA</t>
        </is>
      </c>
      <c r="B1921" t="inlineStr">
        <is>
          <t>M2</t>
        </is>
      </c>
      <c r="C1921" t="inlineStr">
        <is>
          <t>Pasto</t>
        </is>
      </c>
      <c r="D1921" t="inlineStr">
        <is>
          <t>8220</t>
        </is>
      </c>
      <c r="E1921" t="inlineStr">
        <is>
          <t>TDV</t>
        </is>
      </c>
      <c r="F1921" s="23" t="n">
        <v>46268</v>
      </c>
      <c r="G1921" t="inlineStr">
        <is>
          <t>recoleccion</t>
        </is>
      </c>
      <c r="H1921" s="26" t="n">
        <v>78374880</v>
      </c>
      <c r="I1921" t="inlineStr">
        <is>
          <t>bajo</t>
        </is>
      </c>
      <c r="J1921" t="inlineStr">
        <is>
          <t>RN-22 y RN-35: recoleccion al cierre de lo que pasa del cupo</t>
        </is>
      </c>
      <c r="K1921" t="inlineStr">
        <is>
          <t>Recoleccion al cierre: con el pronostico, el saldo cerraria en 213.724.880 COP, sobre el cupo de 135.350.000. Se recoge el excedente y el saldo queda en 135.350.000 COP. Equipo administrado por TDV.</t>
        </is>
      </c>
      <c r="L1921" s="26" t="n">
        <v>135350000</v>
      </c>
      <c r="M1921" s="26" t="n">
        <v>213724880</v>
      </c>
      <c r="N1921" s="27">
        <f>IF(ISNUMBER(M1921),M1921/L1921,"No aplica")</f>
        <v>1.5790534170668638</v>
      </c>
      <c r="O1921" s="25">
        <f>IF(G1921="provision",M1921+H1921,IF(G1921="recoleccion",M1921-H1921,"No aplica"))</f>
        <v>135350000</v>
      </c>
      <c r="P1921" s="26" t="n">
        <v>158307</v>
      </c>
    </row>
    <row r="1922">
      <c r="A1922" t="inlineStr">
        <is>
          <t>PRAGMA</t>
        </is>
      </c>
      <c r="B1922" t="inlineStr">
        <is>
          <t>M2</t>
        </is>
      </c>
      <c r="C1922" t="inlineStr">
        <is>
          <t>Pasto</t>
        </is>
      </c>
      <c r="D1922" t="inlineStr">
        <is>
          <t>8220</t>
        </is>
      </c>
      <c r="E1922" t="inlineStr">
        <is>
          <t>TDV</t>
        </is>
      </c>
      <c r="F1922" s="23" t="n">
        <v>46269</v>
      </c>
      <c r="G1922" t="inlineStr">
        <is>
          <t>recoleccion</t>
        </is>
      </c>
      <c r="H1922" s="26" t="n">
        <v>89216606</v>
      </c>
      <c r="I1922" t="inlineStr">
        <is>
          <t>bajo</t>
        </is>
      </c>
      <c r="J1922" t="inlineStr">
        <is>
          <t>RN-22 y RN-35: recoleccion al cierre de lo que pasa del cupo</t>
        </is>
      </c>
      <c r="K1922" t="inlineStr">
        <is>
          <t>Recoleccion al cierre: con el pronostico, el saldo cerraria en 224.566.606 COP, sobre el cupo de 135.350.000. Se recoge el excedente y el saldo queda en 135.350.000 COP. Equipo administrado por TDV.</t>
        </is>
      </c>
      <c r="L1922" s="26" t="n">
        <v>135350000</v>
      </c>
      <c r="M1922" s="26" t="n">
        <v>224566606</v>
      </c>
      <c r="N1922" s="27">
        <f>IF(ISNUMBER(M1922),M1922/L1922,"No aplica")</f>
        <v>1.6591548282231252</v>
      </c>
      <c r="O1922" s="25">
        <f>IF(G1922="provision",M1922+H1922,IF(G1922="recoleccion",M1922-H1922,"No aplica"))</f>
        <v>135350000</v>
      </c>
      <c r="P1922" s="26" t="n">
        <v>158307</v>
      </c>
    </row>
    <row r="1923">
      <c r="A1923" t="inlineStr">
        <is>
          <t>PRAGMA</t>
        </is>
      </c>
      <c r="B1923" t="inlineStr">
        <is>
          <t>M2</t>
        </is>
      </c>
      <c r="C1923" t="inlineStr">
        <is>
          <t>Pasto</t>
        </is>
      </c>
      <c r="D1923" t="inlineStr">
        <is>
          <t>8220</t>
        </is>
      </c>
      <c r="E1923" t="inlineStr">
        <is>
          <t>TDV</t>
        </is>
      </c>
      <c r="F1923" s="23" t="n">
        <v>46270</v>
      </c>
      <c r="G1923" t="inlineStr">
        <is>
          <t>recoleccion</t>
        </is>
      </c>
      <c r="H1923" s="26" t="n">
        <v>82496000</v>
      </c>
      <c r="I1923" t="inlineStr">
        <is>
          <t>bajo</t>
        </is>
      </c>
      <c r="J1923" t="inlineStr">
        <is>
          <t>RN-22 y RN-35: recoleccion al cierre de lo que pasa del cupo</t>
        </is>
      </c>
      <c r="K1923" t="inlineStr">
        <is>
          <t>Recoleccion al cierre: con el pronostico, el saldo cerraria en 217.846.000 COP, sobre el cupo de 135.350.000. Se recoge el excedente y el saldo queda en 135.350.000 COP. Equipo administrado por TDV.</t>
        </is>
      </c>
      <c r="L1923" s="26" t="n">
        <v>135350000</v>
      </c>
      <c r="M1923" s="26" t="n">
        <v>217846000</v>
      </c>
      <c r="N1923" s="27">
        <f>IF(ISNUMBER(M1923),M1923/L1923,"No aplica")</f>
        <v>1.6095012929442187</v>
      </c>
      <c r="O1923" s="25">
        <f>IF(G1923="provision",M1923+H1923,IF(G1923="recoleccion",M1923-H1923,"No aplica"))</f>
        <v>135350000</v>
      </c>
      <c r="P1923" s="26" t="n">
        <v>158307</v>
      </c>
    </row>
    <row r="1924">
      <c r="A1924" t="inlineStr">
        <is>
          <t>PRAGMA</t>
        </is>
      </c>
      <c r="B1924" t="inlineStr">
        <is>
          <t>M2</t>
        </is>
      </c>
      <c r="C1924" t="inlineStr">
        <is>
          <t>Pasto</t>
        </is>
      </c>
      <c r="D1924" t="inlineStr">
        <is>
          <t>8220</t>
        </is>
      </c>
      <c r="E1924" t="inlineStr">
        <is>
          <t>TDV</t>
        </is>
      </c>
      <c r="F1924" s="23" t="n">
        <v>46271</v>
      </c>
      <c r="G1924" t="inlineStr">
        <is>
          <t>recoleccion</t>
        </is>
      </c>
      <c r="H1924" s="26" t="n">
        <v>31431125</v>
      </c>
      <c r="I1924" t="inlineStr">
        <is>
          <t>bajo</t>
        </is>
      </c>
      <c r="J1924" t="inlineStr">
        <is>
          <t>RN-22 y RN-35: recoleccion al cierre de lo que pasa del cupo</t>
        </is>
      </c>
      <c r="K1924" t="inlineStr">
        <is>
          <t>Recoleccion al cierre: con el pronostico, el saldo cerraria en 166.781.125 COP, sobre el cupo de 135.350.000. Se recoge el excedente y el saldo queda en 135.350.000 COP. Equipo administrado por TDV.</t>
        </is>
      </c>
      <c r="L1924" s="26" t="n">
        <v>135350000</v>
      </c>
      <c r="M1924" s="26" t="n">
        <v>166781125</v>
      </c>
      <c r="N1924" s="27">
        <f>IF(ISNUMBER(M1924),M1924/L1924,"No aplica")</f>
        <v>1.2322210934613964</v>
      </c>
      <c r="O1924" s="25">
        <f>IF(G1924="provision",M1924+H1924,IF(G1924="recoleccion",M1924-H1924,"No aplica"))</f>
        <v>135350000</v>
      </c>
      <c r="P1924" s="26" t="n">
        <v>195500</v>
      </c>
    </row>
    <row r="1925">
      <c r="A1925" t="inlineStr">
        <is>
          <t>PRAGMA</t>
        </is>
      </c>
      <c r="B1925" t="inlineStr">
        <is>
          <t>M2</t>
        </is>
      </c>
      <c r="C1925" t="inlineStr">
        <is>
          <t>Pasto</t>
        </is>
      </c>
      <c r="D1925" t="inlineStr">
        <is>
          <t>8220</t>
        </is>
      </c>
      <c r="E1925" t="inlineStr">
        <is>
          <t>TDV</t>
        </is>
      </c>
      <c r="F1925" s="23" t="n">
        <v>46272</v>
      </c>
      <c r="G1925" t="inlineStr">
        <is>
          <t>recoleccion</t>
        </is>
      </c>
      <c r="H1925" s="26" t="n">
        <v>107268811</v>
      </c>
      <c r="I1925" t="inlineStr">
        <is>
          <t>bajo</t>
        </is>
      </c>
      <c r="J1925" t="inlineStr">
        <is>
          <t>RN-22 y RN-35: recoleccion al cierre de lo que pasa del cupo</t>
        </is>
      </c>
      <c r="K1925" t="inlineStr">
        <is>
          <t>Recoleccion al cierre: con el pronostico, el saldo cerraria en 242.618.811 COP, sobre el cupo de 135.350.000. Se recoge el excedente y el saldo queda en 135.350.000 COP. Equipo administrado por TDV.</t>
        </is>
      </c>
      <c r="L1925" s="26" t="n">
        <v>135350000</v>
      </c>
      <c r="M1925" s="26" t="n">
        <v>242618811</v>
      </c>
      <c r="N1925" s="27">
        <f>IF(ISNUMBER(M1925),M1925/L1925,"No aplica")</f>
        <v>1.7925290801625415</v>
      </c>
      <c r="O1925" s="25">
        <f>IF(G1925="provision",M1925+H1925,IF(G1925="recoleccion",M1925-H1925,"No aplica"))</f>
        <v>135350000</v>
      </c>
      <c r="P1925" s="26" t="n">
        <v>158307</v>
      </c>
    </row>
    <row r="1926">
      <c r="A1926" t="inlineStr">
        <is>
          <t>PRAGMA</t>
        </is>
      </c>
      <c r="B1926" t="inlineStr">
        <is>
          <t>M2</t>
        </is>
      </c>
      <c r="C1926" t="inlineStr">
        <is>
          <t>Pasto</t>
        </is>
      </c>
      <c r="D1926" t="inlineStr">
        <is>
          <t>8220</t>
        </is>
      </c>
      <c r="E1926" t="inlineStr">
        <is>
          <t>TDV</t>
        </is>
      </c>
      <c r="F1926" s="23" t="n">
        <v>46273</v>
      </c>
      <c r="G1926" t="inlineStr">
        <is>
          <t>recoleccion</t>
        </is>
      </c>
      <c r="H1926" s="26" t="n">
        <v>86203317</v>
      </c>
      <c r="I1926" t="inlineStr">
        <is>
          <t>bajo</t>
        </is>
      </c>
      <c r="J1926" t="inlineStr">
        <is>
          <t>RN-22 y RN-35: recoleccion al cierre de lo que pasa del cupo</t>
        </is>
      </c>
      <c r="K1926" t="inlineStr">
        <is>
          <t>Recoleccion al cierre: con el pronostico, el saldo cerraria en 221.553.317 COP, sobre el cupo de 135.350.000. Se recoge el excedente y el saldo queda en 135.350.000 COP. Equipo administrado por TDV.</t>
        </is>
      </c>
      <c r="L1926" s="26" t="n">
        <v>135350000</v>
      </c>
      <c r="M1926" s="26" t="n">
        <v>221553317</v>
      </c>
      <c r="N1926" s="27">
        <f>IF(ISNUMBER(M1926),M1926/L1926,"No aplica")</f>
        <v>1.6368918876985592</v>
      </c>
      <c r="O1926" s="25">
        <f>IF(G1926="provision",M1926+H1926,IF(G1926="recoleccion",M1926-H1926,"No aplica"))</f>
        <v>135350000</v>
      </c>
      <c r="P1926" s="26" t="n">
        <v>158307</v>
      </c>
    </row>
    <row r="1927">
      <c r="A1927" t="inlineStr">
        <is>
          <t>PRAGMA</t>
        </is>
      </c>
      <c r="B1927" t="inlineStr">
        <is>
          <t>M2</t>
        </is>
      </c>
      <c r="C1927" t="inlineStr">
        <is>
          <t>Pasto</t>
        </is>
      </c>
      <c r="D1927" t="inlineStr">
        <is>
          <t>8220</t>
        </is>
      </c>
      <c r="E1927" t="inlineStr">
        <is>
          <t>TDV</t>
        </is>
      </c>
      <c r="F1927" s="23" t="n">
        <v>46274</v>
      </c>
      <c r="G1927" t="inlineStr">
        <is>
          <t>recoleccion</t>
        </is>
      </c>
      <c r="H1927" s="26" t="n">
        <v>88912386</v>
      </c>
      <c r="I1927" t="inlineStr">
        <is>
          <t>bajo</t>
        </is>
      </c>
      <c r="J1927" t="inlineStr">
        <is>
          <t>RN-22 y RN-35: recoleccion al cierre de lo que pasa del cupo</t>
        </is>
      </c>
      <c r="K1927" t="inlineStr">
        <is>
          <t>Recoleccion al cierre: con el pronostico, el saldo cerraria en 224.262.386 COP, sobre el cupo de 135.350.000. Se recoge el excedente y el saldo queda en 135.350.000 COP. Equipo administrado por TDV.</t>
        </is>
      </c>
      <c r="L1927" s="26" t="n">
        <v>135350000</v>
      </c>
      <c r="M1927" s="26" t="n">
        <v>224262386</v>
      </c>
      <c r="N1927" s="27">
        <f>IF(ISNUMBER(M1927),M1927/L1927,"No aplica")</f>
        <v>1.6569071739933505</v>
      </c>
      <c r="O1927" s="25">
        <f>IF(G1927="provision",M1927+H1927,IF(G1927="recoleccion",M1927-H1927,"No aplica"))</f>
        <v>135350000</v>
      </c>
      <c r="P1927" s="26" t="n">
        <v>158307</v>
      </c>
    </row>
    <row r="1928">
      <c r="A1928" t="inlineStr">
        <is>
          <t>PRAGMA</t>
        </is>
      </c>
      <c r="B1928" t="inlineStr">
        <is>
          <t>M2</t>
        </is>
      </c>
      <c r="C1928" t="inlineStr">
        <is>
          <t>Pasto</t>
        </is>
      </c>
      <c r="D1928" t="inlineStr">
        <is>
          <t>8220</t>
        </is>
      </c>
      <c r="E1928" t="inlineStr">
        <is>
          <t>TDV</t>
        </is>
      </c>
      <c r="F1928" s="23" t="n">
        <v>46275</v>
      </c>
      <c r="G1928" t="inlineStr">
        <is>
          <t>recoleccion</t>
        </is>
      </c>
      <c r="H1928" s="26" t="n">
        <v>74209914</v>
      </c>
      <c r="I1928" t="inlineStr">
        <is>
          <t>bajo</t>
        </is>
      </c>
      <c r="J1928" t="inlineStr">
        <is>
          <t>RN-22 y RN-35: recoleccion al cierre de lo que pasa del cupo</t>
        </is>
      </c>
      <c r="K1928" t="inlineStr">
        <is>
          <t>Recoleccion al cierre: con el pronostico, el saldo cerraria en 209.559.914 COP, sobre el cupo de 135.350.000. Se recoge el excedente y el saldo queda en 135.350.000 COP. Equipo administrado por TDV.</t>
        </is>
      </c>
      <c r="L1928" s="26" t="n">
        <v>135350000</v>
      </c>
      <c r="M1928" s="26" t="n">
        <v>209559914</v>
      </c>
      <c r="N1928" s="27">
        <f>IF(ISNUMBER(M1928),M1928/L1928,"No aplica")</f>
        <v>1.5482815958625784</v>
      </c>
      <c r="O1928" s="25">
        <f>IF(G1928="provision",M1928+H1928,IF(G1928="recoleccion",M1928-H1928,"No aplica"))</f>
        <v>135350000</v>
      </c>
      <c r="P1928" s="26" t="n">
        <v>158307</v>
      </c>
    </row>
    <row r="1929">
      <c r="A1929" t="inlineStr">
        <is>
          <t>PRAGMA</t>
        </is>
      </c>
      <c r="B1929" t="inlineStr">
        <is>
          <t>M2</t>
        </is>
      </c>
      <c r="C1929" t="inlineStr">
        <is>
          <t>Pasto</t>
        </is>
      </c>
      <c r="D1929" t="inlineStr">
        <is>
          <t>8220</t>
        </is>
      </c>
      <c r="E1929" t="inlineStr">
        <is>
          <t>TDV</t>
        </is>
      </c>
      <c r="F1929" s="23" t="n">
        <v>46276</v>
      </c>
      <c r="G1929" t="inlineStr">
        <is>
          <t>recoleccion</t>
        </is>
      </c>
      <c r="H1929" s="26" t="n">
        <v>81695144</v>
      </c>
      <c r="I1929" t="inlineStr">
        <is>
          <t>bajo</t>
        </is>
      </c>
      <c r="J1929" t="inlineStr">
        <is>
          <t>RN-22 y RN-35: recoleccion al cierre de lo que pasa del cupo</t>
        </is>
      </c>
      <c r="K1929" t="inlineStr">
        <is>
          <t>Recoleccion al cierre: con el pronostico, el saldo cerraria en 217.045.144 COP, sobre el cupo de 135.350.000. Se recoge el excedente y el saldo queda en 135.350.000 COP. Equipo administrado por TDV.</t>
        </is>
      </c>
      <c r="L1929" s="26" t="n">
        <v>135350000</v>
      </c>
      <c r="M1929" s="26" t="n">
        <v>217045144</v>
      </c>
      <c r="N1929" s="27">
        <f>IF(ISNUMBER(M1929),M1929/L1929,"No aplica")</f>
        <v>1.6035843664573328</v>
      </c>
      <c r="O1929" s="25">
        <f>IF(G1929="provision",M1929+H1929,IF(G1929="recoleccion",M1929-H1929,"No aplica"))</f>
        <v>135350000</v>
      </c>
      <c r="P1929" s="26" t="n">
        <v>158307</v>
      </c>
    </row>
    <row r="1930">
      <c r="A1930" t="inlineStr">
        <is>
          <t>PRAGMA</t>
        </is>
      </c>
      <c r="B1930" t="inlineStr">
        <is>
          <t>M2</t>
        </is>
      </c>
      <c r="C1930" t="inlineStr">
        <is>
          <t>Pasto</t>
        </is>
      </c>
      <c r="D1930" t="inlineStr">
        <is>
          <t>8220</t>
        </is>
      </c>
      <c r="E1930" t="inlineStr">
        <is>
          <t>TDV</t>
        </is>
      </c>
      <c r="F1930" s="23" t="n">
        <v>46277</v>
      </c>
      <c r="G1930" t="inlineStr">
        <is>
          <t>recoleccion</t>
        </is>
      </c>
      <c r="H1930" s="26" t="n">
        <v>77148992</v>
      </c>
      <c r="I1930" t="inlineStr">
        <is>
          <t>bajo</t>
        </is>
      </c>
      <c r="J1930" t="inlineStr">
        <is>
          <t>RN-22 y RN-35: recoleccion al cierre de lo que pasa del cupo</t>
        </is>
      </c>
      <c r="K1930" t="inlineStr">
        <is>
          <t>Recoleccion al cierre: con el pronostico, el saldo cerraria en 212.498.992 COP, sobre el cupo de 135.350.000. Se recoge el excedente y el saldo queda en 135.350.000 COP. Equipo administrado por TDV.</t>
        </is>
      </c>
      <c r="L1930" s="26" t="n">
        <v>135350000</v>
      </c>
      <c r="M1930" s="26" t="n">
        <v>212498992</v>
      </c>
      <c r="N1930" s="27">
        <f>IF(ISNUMBER(M1930),M1930/L1930,"No aplica")</f>
        <v>1.5699962467676394</v>
      </c>
      <c r="O1930" s="25">
        <f>IF(G1930="provision",M1930+H1930,IF(G1930="recoleccion",M1930-H1930,"No aplica"))</f>
        <v>135350000</v>
      </c>
      <c r="P1930" s="26" t="n">
        <v>158307</v>
      </c>
    </row>
    <row r="1931">
      <c r="A1931" t="inlineStr">
        <is>
          <t>PRAGMA</t>
        </is>
      </c>
      <c r="B1931" t="inlineStr">
        <is>
          <t>M2</t>
        </is>
      </c>
      <c r="C1931" t="inlineStr">
        <is>
          <t>Pasto</t>
        </is>
      </c>
      <c r="D1931" t="inlineStr">
        <is>
          <t>8220</t>
        </is>
      </c>
      <c r="E1931" t="inlineStr">
        <is>
          <t>TDV</t>
        </is>
      </c>
      <c r="F1931" s="23" t="n">
        <v>46278</v>
      </c>
      <c r="G1931" t="inlineStr">
        <is>
          <t>recoleccion</t>
        </is>
      </c>
      <c r="H1931" s="26" t="n">
        <v>26794600</v>
      </c>
      <c r="I1931" t="inlineStr">
        <is>
          <t>bajo</t>
        </is>
      </c>
      <c r="J1931" t="inlineStr">
        <is>
          <t>RN-22 y RN-35: recoleccion al cierre de lo que pasa del cupo</t>
        </is>
      </c>
      <c r="K1931" t="inlineStr">
        <is>
          <t>Recoleccion al cierre: con el pronostico, el saldo cerraria en 162.144.600 COP, sobre el cupo de 135.350.000. Se recoge el excedente y el saldo queda en 135.350.000 COP. Equipo administrado por TDV.</t>
        </is>
      </c>
      <c r="L1931" s="26" t="n">
        <v>135350000</v>
      </c>
      <c r="M1931" s="26" t="n">
        <v>162144600</v>
      </c>
      <c r="N1931" s="27">
        <f>IF(ISNUMBER(M1931),M1931/L1931,"No aplica")</f>
        <v>1.1979652752124124</v>
      </c>
      <c r="O1931" s="25">
        <f>IF(G1931="provision",M1931+H1931,IF(G1931="recoleccion",M1931-H1931,"No aplica"))</f>
        <v>135350000</v>
      </c>
      <c r="P1931" s="26" t="n">
        <v>195500</v>
      </c>
    </row>
    <row r="1932">
      <c r="A1932" t="inlineStr">
        <is>
          <t>PRAGMA</t>
        </is>
      </c>
      <c r="B1932" t="inlineStr">
        <is>
          <t>M2</t>
        </is>
      </c>
      <c r="C1932" t="inlineStr">
        <is>
          <t>Pasto</t>
        </is>
      </c>
      <c r="D1932" t="inlineStr">
        <is>
          <t>8220</t>
        </is>
      </c>
      <c r="E1932" t="inlineStr">
        <is>
          <t>TDV</t>
        </is>
      </c>
      <c r="F1932" s="23" t="n">
        <v>46279</v>
      </c>
      <c r="G1932" t="inlineStr">
        <is>
          <t>recoleccion</t>
        </is>
      </c>
      <c r="H1932" s="26" t="n">
        <v>90731085</v>
      </c>
      <c r="I1932" t="inlineStr">
        <is>
          <t>bajo</t>
        </is>
      </c>
      <c r="J1932" t="inlineStr">
        <is>
          <t>RN-22 y RN-35: recoleccion al cierre de lo que pasa del cupo</t>
        </is>
      </c>
      <c r="K1932" t="inlineStr">
        <is>
          <t>Recoleccion al cierre: con el pronostico, el saldo cerraria en 226.081.085 COP, sobre el cupo de 135.350.000. Se recoge el excedente y el saldo queda en 135.350.000 COP. Equipo administrado por TDV.</t>
        </is>
      </c>
      <c r="L1932" s="26" t="n">
        <v>135350000</v>
      </c>
      <c r="M1932" s="26" t="n">
        <v>226081085</v>
      </c>
      <c r="N1932" s="27">
        <f>IF(ISNUMBER(M1932),M1932/L1932,"No aplica")</f>
        <v>1.6703441817510158</v>
      </c>
      <c r="O1932" s="25">
        <f>IF(G1932="provision",M1932+H1932,IF(G1932="recoleccion",M1932-H1932,"No aplica"))</f>
        <v>135350000</v>
      </c>
      <c r="P1932" s="26" t="n">
        <v>158307</v>
      </c>
    </row>
    <row r="1933">
      <c r="A1933" t="inlineStr">
        <is>
          <t>PRAGMA</t>
        </is>
      </c>
      <c r="B1933" t="inlineStr">
        <is>
          <t>M2</t>
        </is>
      </c>
      <c r="C1933" t="inlineStr">
        <is>
          <t>Pasto</t>
        </is>
      </c>
      <c r="D1933" t="inlineStr">
        <is>
          <t>8220</t>
        </is>
      </c>
      <c r="E1933" t="inlineStr">
        <is>
          <t>TDV</t>
        </is>
      </c>
      <c r="F1933" s="23" t="n">
        <v>46280</v>
      </c>
      <c r="G1933" t="inlineStr">
        <is>
          <t>recoleccion</t>
        </is>
      </c>
      <c r="H1933" s="26" t="n">
        <v>81325096</v>
      </c>
      <c r="I1933" t="inlineStr">
        <is>
          <t>bajo</t>
        </is>
      </c>
      <c r="J1933" t="inlineStr">
        <is>
          <t>RN-22 y RN-35: recoleccion al cierre de lo que pasa del cupo</t>
        </is>
      </c>
      <c r="K1933" t="inlineStr">
        <is>
          <t>Recoleccion al cierre: con el pronostico, el saldo cerraria en 216.675.096 COP, sobre el cupo de 135.350.000. Se recoge el excedente y el saldo queda en 135.350.000 COP. Equipo administrado por TDV.</t>
        </is>
      </c>
      <c r="L1933" s="26" t="n">
        <v>135350000</v>
      </c>
      <c r="M1933" s="26" t="n">
        <v>216675096</v>
      </c>
      <c r="N1933" s="27">
        <f>IF(ISNUMBER(M1933),M1933/L1933,"No aplica")</f>
        <v>1.600850358330255</v>
      </c>
      <c r="O1933" s="25">
        <f>IF(G1933="provision",M1933+H1933,IF(G1933="recoleccion",M1933-H1933,"No aplica"))</f>
        <v>135350000</v>
      </c>
      <c r="P1933" s="26" t="n">
        <v>158307</v>
      </c>
    </row>
    <row r="1934">
      <c r="A1934" t="inlineStr">
        <is>
          <t>PRAGMA</t>
        </is>
      </c>
      <c r="B1934" t="inlineStr">
        <is>
          <t>M2</t>
        </is>
      </c>
      <c r="C1934" t="inlineStr">
        <is>
          <t>Pasto</t>
        </is>
      </c>
      <c r="D1934" t="inlineStr">
        <is>
          <t>8221</t>
        </is>
      </c>
      <c r="E1934" t="inlineStr">
        <is>
          <t>TDV</t>
        </is>
      </c>
      <c r="F1934" s="23" t="n">
        <v>46266</v>
      </c>
      <c r="G1934" t="inlineStr">
        <is>
          <t>recoleccion</t>
        </is>
      </c>
      <c r="H1934" s="26" t="n">
        <v>134182226</v>
      </c>
      <c r="I1934" t="inlineStr">
        <is>
          <t>bajo</t>
        </is>
      </c>
      <c r="J1934" t="inlineStr">
        <is>
          <t>RN-22 y RN-35: recoleccion al cierre de lo que pasa del cupo</t>
        </is>
      </c>
      <c r="K1934" t="inlineStr">
        <is>
          <t>Recoleccion al cierre: con el pronostico, el saldo cerraria en 269.532.226 COP, sobre el cupo de 135.350.000. Se recoge el excedente y el saldo queda en 135.350.000 COP. Equipo administrado por TDV.</t>
        </is>
      </c>
      <c r="L1934" s="26" t="n">
        <v>135350000</v>
      </c>
      <c r="M1934" s="26" t="n">
        <v>269532226</v>
      </c>
      <c r="N1934" s="27">
        <f>IF(ISNUMBER(M1934),M1934/L1934,"No aplica")</f>
        <v>1.991372190616919</v>
      </c>
      <c r="O1934" s="25">
        <f>IF(G1934="provision",M1934+H1934,IF(G1934="recoleccion",M1934-H1934,"No aplica"))</f>
        <v>135350000</v>
      </c>
      <c r="P1934" s="26" t="n">
        <v>158307</v>
      </c>
    </row>
    <row r="1935">
      <c r="A1935" t="inlineStr">
        <is>
          <t>PRAGMA</t>
        </is>
      </c>
      <c r="B1935" t="inlineStr">
        <is>
          <t>M2</t>
        </is>
      </c>
      <c r="C1935" t="inlineStr">
        <is>
          <t>Pasto</t>
        </is>
      </c>
      <c r="D1935" t="inlineStr">
        <is>
          <t>8221</t>
        </is>
      </c>
      <c r="E1935" t="inlineStr">
        <is>
          <t>TDV</t>
        </is>
      </c>
      <c r="F1935" s="23" t="n">
        <v>46267</v>
      </c>
      <c r="G1935" t="inlineStr">
        <is>
          <t>recoleccion</t>
        </is>
      </c>
      <c r="H1935" s="26" t="n">
        <v>112842371</v>
      </c>
      <c r="I1935" t="inlineStr">
        <is>
          <t>bajo</t>
        </is>
      </c>
      <c r="J1935" t="inlineStr">
        <is>
          <t>RN-22 y RN-35: recoleccion al cierre de lo que pasa del cupo</t>
        </is>
      </c>
      <c r="K1935" t="inlineStr">
        <is>
          <t>Recoleccion al cierre: con el pronostico, el saldo cerraria en 248.192.371 COP, sobre el cupo de 135.350.000. Se recoge el excedente y el saldo queda en 135.350.000 COP. Equipo administrado por TDV.</t>
        </is>
      </c>
      <c r="L1935" s="26" t="n">
        <v>135350000</v>
      </c>
      <c r="M1935" s="26" t="n">
        <v>248192371</v>
      </c>
      <c r="N1935" s="27">
        <f>IF(ISNUMBER(M1935),M1935/L1935,"No aplica")</f>
        <v>1.8337079497598818</v>
      </c>
      <c r="O1935" s="25">
        <f>IF(G1935="provision",M1935+H1935,IF(G1935="recoleccion",M1935-H1935,"No aplica"))</f>
        <v>135350000</v>
      </c>
      <c r="P1935" s="26" t="n">
        <v>158307</v>
      </c>
    </row>
    <row r="1936">
      <c r="A1936" t="inlineStr">
        <is>
          <t>PRAGMA</t>
        </is>
      </c>
      <c r="B1936" t="inlineStr">
        <is>
          <t>M2</t>
        </is>
      </c>
      <c r="C1936" t="inlineStr">
        <is>
          <t>Pasto</t>
        </is>
      </c>
      <c r="D1936" t="inlineStr">
        <is>
          <t>8221</t>
        </is>
      </c>
      <c r="E1936" t="inlineStr">
        <is>
          <t>TDV</t>
        </is>
      </c>
      <c r="F1936" s="23" t="n">
        <v>46268</v>
      </c>
      <c r="G1936" t="inlineStr">
        <is>
          <t>recoleccion</t>
        </is>
      </c>
      <c r="H1936" s="26" t="n">
        <v>118487089</v>
      </c>
      <c r="I1936" t="inlineStr">
        <is>
          <t>bajo</t>
        </is>
      </c>
      <c r="J1936" t="inlineStr">
        <is>
          <t>RN-22 y RN-35: recoleccion al cierre de lo que pasa del cupo</t>
        </is>
      </c>
      <c r="K1936" t="inlineStr">
        <is>
          <t>Recoleccion al cierre: con el pronostico, el saldo cerraria en 253.837.089 COP, sobre el cupo de 135.350.000. Se recoge el excedente y el saldo queda en 135.350.000 COP. Equipo administrado por TDV.</t>
        </is>
      </c>
      <c r="L1936" s="26" t="n">
        <v>135350000</v>
      </c>
      <c r="M1936" s="26" t="n">
        <v>253837089</v>
      </c>
      <c r="N1936" s="27">
        <f>IF(ISNUMBER(M1936),M1936/L1936,"No aplica")</f>
        <v>1.8754125526413004</v>
      </c>
      <c r="O1936" s="25">
        <f>IF(G1936="provision",M1936+H1936,IF(G1936="recoleccion",M1936-H1936,"No aplica"))</f>
        <v>135350000</v>
      </c>
      <c r="P1936" s="26" t="n">
        <v>158307</v>
      </c>
    </row>
    <row r="1937">
      <c r="A1937" t="inlineStr">
        <is>
          <t>PRAGMA</t>
        </is>
      </c>
      <c r="B1937" t="inlineStr">
        <is>
          <t>M2</t>
        </is>
      </c>
      <c r="C1937" t="inlineStr">
        <is>
          <t>Pasto</t>
        </is>
      </c>
      <c r="D1937" t="inlineStr">
        <is>
          <t>8221</t>
        </is>
      </c>
      <c r="E1937" t="inlineStr">
        <is>
          <t>TDV</t>
        </is>
      </c>
      <c r="F1937" s="23" t="n">
        <v>46269</v>
      </c>
      <c r="G1937" t="inlineStr">
        <is>
          <t>recoleccion</t>
        </is>
      </c>
      <c r="H1937" s="26" t="n">
        <v>126794042</v>
      </c>
      <c r="I1937" t="inlineStr">
        <is>
          <t>bajo</t>
        </is>
      </c>
      <c r="J1937" t="inlineStr">
        <is>
          <t>RN-22 y RN-35: recoleccion al cierre de lo que pasa del cupo</t>
        </is>
      </c>
      <c r="K1937" t="inlineStr">
        <is>
          <t>Recoleccion al cierre: con el pronostico, el saldo cerraria en 262.144.042 COP, sobre el cupo de 135.350.000. Se recoge el excedente y el saldo queda en 135.350.000 COP. Equipo administrado por TDV.</t>
        </is>
      </c>
      <c r="L1937" s="26" t="n">
        <v>135350000</v>
      </c>
      <c r="M1937" s="26" t="n">
        <v>262144042</v>
      </c>
      <c r="N1937" s="27">
        <f>IF(ISNUMBER(M1937),M1937/L1937,"No aplica")</f>
        <v>1.9367864203915774</v>
      </c>
      <c r="O1937" s="25">
        <f>IF(G1937="provision",M1937+H1937,IF(G1937="recoleccion",M1937-H1937,"No aplica"))</f>
        <v>135350000</v>
      </c>
      <c r="P1937" s="26" t="n">
        <v>158307</v>
      </c>
    </row>
    <row r="1938">
      <c r="A1938" t="inlineStr">
        <is>
          <t>PRAGMA</t>
        </is>
      </c>
      <c r="B1938" t="inlineStr">
        <is>
          <t>M2</t>
        </is>
      </c>
      <c r="C1938" t="inlineStr">
        <is>
          <t>Pasto</t>
        </is>
      </c>
      <c r="D1938" t="inlineStr">
        <is>
          <t>8221</t>
        </is>
      </c>
      <c r="E1938" t="inlineStr">
        <is>
          <t>TDV</t>
        </is>
      </c>
      <c r="F1938" s="23" t="n">
        <v>46270</v>
      </c>
      <c r="G1938" t="inlineStr">
        <is>
          <t>recoleccion</t>
        </is>
      </c>
      <c r="H1938" s="26" t="n">
        <v>114852253</v>
      </c>
      <c r="I1938" t="inlineStr">
        <is>
          <t>bajo</t>
        </is>
      </c>
      <c r="J1938" t="inlineStr">
        <is>
          <t>RN-22 y RN-35: recoleccion al cierre de lo que pasa del cupo</t>
        </is>
      </c>
      <c r="K1938" t="inlineStr">
        <is>
          <t>Recoleccion al cierre: con el pronostico, el saldo cerraria en 250.202.253 COP, sobre el cupo de 135.350.000. Se recoge el excedente y el saldo queda en 135.350.000 COP. Equipo administrado por TDV.</t>
        </is>
      </c>
      <c r="L1938" s="26" t="n">
        <v>135350000</v>
      </c>
      <c r="M1938" s="26" t="n">
        <v>250202253</v>
      </c>
      <c r="N1938" s="27">
        <f>IF(ISNUMBER(M1938),M1938/L1938,"No aplica")</f>
        <v>1.8485574658293313</v>
      </c>
      <c r="O1938" s="25">
        <f>IF(G1938="provision",M1938+H1938,IF(G1938="recoleccion",M1938-H1938,"No aplica"))</f>
        <v>135350000</v>
      </c>
      <c r="P1938" s="26" t="n">
        <v>158307</v>
      </c>
    </row>
    <row r="1939">
      <c r="A1939" t="inlineStr">
        <is>
          <t>PRAGMA</t>
        </is>
      </c>
      <c r="B1939" t="inlineStr">
        <is>
          <t>M2</t>
        </is>
      </c>
      <c r="C1939" t="inlineStr">
        <is>
          <t>Pasto</t>
        </is>
      </c>
      <c r="D1939" t="inlineStr">
        <is>
          <t>8221</t>
        </is>
      </c>
      <c r="E1939" t="inlineStr">
        <is>
          <t>TDV</t>
        </is>
      </c>
      <c r="F1939" s="23" t="n">
        <v>46271</v>
      </c>
      <c r="G1939" t="inlineStr">
        <is>
          <t>recoleccion</t>
        </is>
      </c>
      <c r="H1939" s="26" t="n">
        <v>37645253</v>
      </c>
      <c r="I1939" t="inlineStr">
        <is>
          <t>bajo</t>
        </is>
      </c>
      <c r="J1939" t="inlineStr">
        <is>
          <t>RN-22 y RN-35: recoleccion al cierre de lo que pasa del cupo</t>
        </is>
      </c>
      <c r="K1939" t="inlineStr">
        <is>
          <t>Recoleccion al cierre: con el pronostico, el saldo cerraria en 172.995.253 COP, sobre el cupo de 135.350.000. Se recoge el excedente y el saldo queda en 135.350.000 COP. Equipo administrado por TDV.</t>
        </is>
      </c>
      <c r="L1939" s="26" t="n">
        <v>135350000</v>
      </c>
      <c r="M1939" s="26" t="n">
        <v>172995253</v>
      </c>
      <c r="N1939" s="27">
        <f>IF(ISNUMBER(M1939),M1939/L1939,"No aplica")</f>
        <v>1.2781326413003324</v>
      </c>
      <c r="O1939" s="25">
        <f>IF(G1939="provision",M1939+H1939,IF(G1939="recoleccion",M1939-H1939,"No aplica"))</f>
        <v>135350000</v>
      </c>
      <c r="P1939" s="26" t="n">
        <v>195500</v>
      </c>
    </row>
    <row r="1940">
      <c r="A1940" t="inlineStr">
        <is>
          <t>PRAGMA</t>
        </is>
      </c>
      <c r="B1940" t="inlineStr">
        <is>
          <t>M2</t>
        </is>
      </c>
      <c r="C1940" t="inlineStr">
        <is>
          <t>Pasto</t>
        </is>
      </c>
      <c r="D1940" t="inlineStr">
        <is>
          <t>8221</t>
        </is>
      </c>
      <c r="E1940" t="inlineStr">
        <is>
          <t>TDV</t>
        </is>
      </c>
      <c r="F1940" s="23" t="n">
        <v>46272</v>
      </c>
      <c r="G1940" t="inlineStr">
        <is>
          <t>recoleccion</t>
        </is>
      </c>
      <c r="H1940" s="26" t="n">
        <v>151264519</v>
      </c>
      <c r="I1940" t="inlineStr">
        <is>
          <t>bajo</t>
        </is>
      </c>
      <c r="J1940" t="inlineStr">
        <is>
          <t>RN-22 y RN-35: recoleccion al cierre de lo que pasa del cupo</t>
        </is>
      </c>
      <c r="K1940" t="inlineStr">
        <is>
          <t>Recoleccion al cierre: con el pronostico, el saldo cerraria en 286.614.519 COP, sobre el cupo de 135.350.000. Se recoge el excedente y el saldo queda en 135.350.000 COP. Equipo administrado por TDV.</t>
        </is>
      </c>
      <c r="L1940" s="26" t="n">
        <v>135350000</v>
      </c>
      <c r="M1940" s="26" t="n">
        <v>286614519</v>
      </c>
      <c r="N1940" s="27">
        <f>IF(ISNUMBER(M1940),M1940/L1940,"No aplica")</f>
        <v>2.117580487624677</v>
      </c>
      <c r="O1940" s="25">
        <f>IF(G1940="provision",M1940+H1940,IF(G1940="recoleccion",M1940-H1940,"No aplica"))</f>
        <v>135350000</v>
      </c>
      <c r="P1940" s="26" t="n">
        <v>158307</v>
      </c>
    </row>
    <row r="1941">
      <c r="A1941" t="inlineStr">
        <is>
          <t>PRAGMA</t>
        </is>
      </c>
      <c r="B1941" t="inlineStr">
        <is>
          <t>M2</t>
        </is>
      </c>
      <c r="C1941" t="inlineStr">
        <is>
          <t>Pasto</t>
        </is>
      </c>
      <c r="D1941" t="inlineStr">
        <is>
          <t>8221</t>
        </is>
      </c>
      <c r="E1941" t="inlineStr">
        <is>
          <t>TDV</t>
        </is>
      </c>
      <c r="F1941" s="23" t="n">
        <v>46273</v>
      </c>
      <c r="G1941" t="inlineStr">
        <is>
          <t>recoleccion</t>
        </is>
      </c>
      <c r="H1941" s="26" t="n">
        <v>131151407</v>
      </c>
      <c r="I1941" t="inlineStr">
        <is>
          <t>bajo</t>
        </is>
      </c>
      <c r="J1941" t="inlineStr">
        <is>
          <t>RN-22 y RN-35: recoleccion al cierre de lo que pasa del cupo</t>
        </is>
      </c>
      <c r="K1941" t="inlineStr">
        <is>
          <t>Recoleccion al cierre: con el pronostico, el saldo cerraria en 266.501.407 COP, sobre el cupo de 135.350.000. Se recoge el excedente y el saldo queda en 135.350.000 COP. Equipo administrado por TDV.</t>
        </is>
      </c>
      <c r="L1941" s="26" t="n">
        <v>135350000</v>
      </c>
      <c r="M1941" s="26" t="n">
        <v>266501407</v>
      </c>
      <c r="N1941" s="27">
        <f>IF(ISNUMBER(M1941),M1941/L1941,"No aplica")</f>
        <v>1.9689797340229036</v>
      </c>
      <c r="O1941" s="25">
        <f>IF(G1941="provision",M1941+H1941,IF(G1941="recoleccion",M1941-H1941,"No aplica"))</f>
        <v>135350000</v>
      </c>
      <c r="P1941" s="26" t="n">
        <v>158307</v>
      </c>
    </row>
    <row r="1942">
      <c r="A1942" t="inlineStr">
        <is>
          <t>PRAGMA</t>
        </is>
      </c>
      <c r="B1942" t="inlineStr">
        <is>
          <t>M2</t>
        </is>
      </c>
      <c r="C1942" t="inlineStr">
        <is>
          <t>Pasto</t>
        </is>
      </c>
      <c r="D1942" t="inlineStr">
        <is>
          <t>8221</t>
        </is>
      </c>
      <c r="E1942" t="inlineStr">
        <is>
          <t>TDV</t>
        </is>
      </c>
      <c r="F1942" s="23" t="n">
        <v>46274</v>
      </c>
      <c r="G1942" t="inlineStr">
        <is>
          <t>recoleccion</t>
        </is>
      </c>
      <c r="H1942" s="26" t="n">
        <v>117667694</v>
      </c>
      <c r="I1942" t="inlineStr">
        <is>
          <t>bajo</t>
        </is>
      </c>
      <c r="J1942" t="inlineStr">
        <is>
          <t>RN-22 y RN-35: recoleccion al cierre de lo que pasa del cupo</t>
        </is>
      </c>
      <c r="K1942" t="inlineStr">
        <is>
          <t>Recoleccion al cierre: con el pronostico, el saldo cerraria en 253.017.694 COP, sobre el cupo de 135.350.000. Se recoge el excedente y el saldo queda en 135.350.000 COP. Equipo administrado por TDV.</t>
        </is>
      </c>
      <c r="L1942" s="26" t="n">
        <v>135350000</v>
      </c>
      <c r="M1942" s="26" t="n">
        <v>253017694</v>
      </c>
      <c r="N1942" s="27">
        <f>IF(ISNUMBER(M1942),M1942/L1942,"No aplica")</f>
        <v>1.8693586553380126</v>
      </c>
      <c r="O1942" s="25">
        <f>IF(G1942="provision",M1942+H1942,IF(G1942="recoleccion",M1942-H1942,"No aplica"))</f>
        <v>135350000</v>
      </c>
      <c r="P1942" s="26" t="n">
        <v>158307</v>
      </c>
    </row>
    <row r="1943">
      <c r="A1943" t="inlineStr">
        <is>
          <t>PRAGMA</t>
        </is>
      </c>
      <c r="B1943" t="inlineStr">
        <is>
          <t>M2</t>
        </is>
      </c>
      <c r="C1943" t="inlineStr">
        <is>
          <t>Pasto</t>
        </is>
      </c>
      <c r="D1943" t="inlineStr">
        <is>
          <t>8221</t>
        </is>
      </c>
      <c r="E1943" t="inlineStr">
        <is>
          <t>TDV</t>
        </is>
      </c>
      <c r="F1943" s="23" t="n">
        <v>46275</v>
      </c>
      <c r="G1943" t="inlineStr">
        <is>
          <t>recoleccion</t>
        </is>
      </c>
      <c r="H1943" s="26" t="n">
        <v>118332266</v>
      </c>
      <c r="I1943" t="inlineStr">
        <is>
          <t>bajo</t>
        </is>
      </c>
      <c r="J1943" t="inlineStr">
        <is>
          <t>RN-22 y RN-35: recoleccion al cierre de lo que pasa del cupo</t>
        </is>
      </c>
      <c r="K1943" t="inlineStr">
        <is>
          <t>Recoleccion al cierre: con el pronostico, el saldo cerraria en 253.682.266 COP, sobre el cupo de 135.350.000. Se recoge el excedente y el saldo queda en 135.350.000 COP. Equipo administrado por TDV.</t>
        </is>
      </c>
      <c r="L1943" s="26" t="n">
        <v>135350000</v>
      </c>
      <c r="M1943" s="26" t="n">
        <v>253682266</v>
      </c>
      <c r="N1943" s="27">
        <f>IF(ISNUMBER(M1943),M1943/L1943,"No aplica")</f>
        <v>1.874268681196897</v>
      </c>
      <c r="O1943" s="25">
        <f>IF(G1943="provision",M1943+H1943,IF(G1943="recoleccion",M1943-H1943,"No aplica"))</f>
        <v>135350000</v>
      </c>
      <c r="P1943" s="26" t="n">
        <v>158307</v>
      </c>
    </row>
    <row r="1944">
      <c r="A1944" t="inlineStr">
        <is>
          <t>PRAGMA</t>
        </is>
      </c>
      <c r="B1944" t="inlineStr">
        <is>
          <t>M2</t>
        </is>
      </c>
      <c r="C1944" t="inlineStr">
        <is>
          <t>Pasto</t>
        </is>
      </c>
      <c r="D1944" t="inlineStr">
        <is>
          <t>8221</t>
        </is>
      </c>
      <c r="E1944" t="inlineStr">
        <is>
          <t>TDV</t>
        </is>
      </c>
      <c r="F1944" s="23" t="n">
        <v>46276</v>
      </c>
      <c r="G1944" t="inlineStr">
        <is>
          <t>recoleccion</t>
        </is>
      </c>
      <c r="H1944" s="26" t="n">
        <v>124362170</v>
      </c>
      <c r="I1944" t="inlineStr">
        <is>
          <t>bajo</t>
        </is>
      </c>
      <c r="J1944" t="inlineStr">
        <is>
          <t>RN-22 y RN-35: recoleccion al cierre de lo que pasa del cupo</t>
        </is>
      </c>
      <c r="K1944" t="inlineStr">
        <is>
          <t>Recoleccion al cierre: con el pronostico, el saldo cerraria en 259.712.170 COP, sobre el cupo de 135.350.000. Se recoge el excedente y el saldo queda en 135.350.000 COP. Equipo administrado por TDV.</t>
        </is>
      </c>
      <c r="L1944" s="26" t="n">
        <v>135350000</v>
      </c>
      <c r="M1944" s="26" t="n">
        <v>259712170</v>
      </c>
      <c r="N1944" s="27">
        <f>IF(ISNUMBER(M1944),M1944/L1944,"No aplica")</f>
        <v>1.9188191355744366</v>
      </c>
      <c r="O1944" s="25">
        <f>IF(G1944="provision",M1944+H1944,IF(G1944="recoleccion",M1944-H1944,"No aplica"))</f>
        <v>135350000</v>
      </c>
      <c r="P1944" s="26" t="n">
        <v>158307</v>
      </c>
    </row>
    <row r="1945">
      <c r="A1945" t="inlineStr">
        <is>
          <t>PRAGMA</t>
        </is>
      </c>
      <c r="B1945" t="inlineStr">
        <is>
          <t>M2</t>
        </is>
      </c>
      <c r="C1945" t="inlineStr">
        <is>
          <t>Pasto</t>
        </is>
      </c>
      <c r="D1945" t="inlineStr">
        <is>
          <t>8221</t>
        </is>
      </c>
      <c r="E1945" t="inlineStr">
        <is>
          <t>TDV</t>
        </is>
      </c>
      <c r="F1945" s="23" t="n">
        <v>46277</v>
      </c>
      <c r="G1945" t="inlineStr">
        <is>
          <t>recoleccion</t>
        </is>
      </c>
      <c r="H1945" s="26" t="n">
        <v>109348647</v>
      </c>
      <c r="I1945" t="inlineStr">
        <is>
          <t>bajo</t>
        </is>
      </c>
      <c r="J1945" t="inlineStr">
        <is>
          <t>RN-22 y RN-35: recoleccion al cierre de lo que pasa del cupo</t>
        </is>
      </c>
      <c r="K1945" t="inlineStr">
        <is>
          <t>Recoleccion al cierre: con el pronostico, el saldo cerraria en 244.698.647 COP, sobre el cupo de 135.350.000. Se recoge el excedente y el saldo queda en 135.350.000 COP. Equipo administrado por TDV.</t>
        </is>
      </c>
      <c r="L1945" s="26" t="n">
        <v>135350000</v>
      </c>
      <c r="M1945" s="26" t="n">
        <v>244698647</v>
      </c>
      <c r="N1945" s="27">
        <f>IF(ISNUMBER(M1945),M1945/L1945,"No aplica")</f>
        <v>1.8078954340598448</v>
      </c>
      <c r="O1945" s="25">
        <f>IF(G1945="provision",M1945+H1945,IF(G1945="recoleccion",M1945-H1945,"No aplica"))</f>
        <v>135350000</v>
      </c>
      <c r="P1945" s="26" t="n">
        <v>158307</v>
      </c>
    </row>
    <row r="1946">
      <c r="A1946" t="inlineStr">
        <is>
          <t>PRAGMA</t>
        </is>
      </c>
      <c r="B1946" t="inlineStr">
        <is>
          <t>M2</t>
        </is>
      </c>
      <c r="C1946" t="inlineStr">
        <is>
          <t>Pasto</t>
        </is>
      </c>
      <c r="D1946" t="inlineStr">
        <is>
          <t>8221</t>
        </is>
      </c>
      <c r="E1946" t="inlineStr">
        <is>
          <t>TDV</t>
        </is>
      </c>
      <c r="F1946" s="23" t="n">
        <v>46278</v>
      </c>
      <c r="G1946" t="inlineStr">
        <is>
          <t>recoleccion</t>
        </is>
      </c>
      <c r="H1946" s="26" t="n">
        <v>33210356</v>
      </c>
      <c r="I1946" t="inlineStr">
        <is>
          <t>bajo</t>
        </is>
      </c>
      <c r="J1946" t="inlineStr">
        <is>
          <t>RN-22 y RN-35: recoleccion al cierre de lo que pasa del cupo</t>
        </is>
      </c>
      <c r="K1946" t="inlineStr">
        <is>
          <t>Recoleccion al cierre: con el pronostico, el saldo cerraria en 168.560.356 COP, sobre el cupo de 135.350.000. Se recoge el excedente y el saldo queda en 135.350.000 COP. Equipo administrado por TDV.</t>
        </is>
      </c>
      <c r="L1946" s="26" t="n">
        <v>135350000</v>
      </c>
      <c r="M1946" s="26" t="n">
        <v>168560356</v>
      </c>
      <c r="N1946" s="27">
        <f>IF(ISNUMBER(M1946),M1946/L1946,"No aplica")</f>
        <v>1.245366501662357</v>
      </c>
      <c r="O1946" s="25">
        <f>IF(G1946="provision",M1946+H1946,IF(G1946="recoleccion",M1946-H1946,"No aplica"))</f>
        <v>135350000</v>
      </c>
      <c r="P1946" s="26" t="n">
        <v>195500</v>
      </c>
    </row>
    <row r="1947">
      <c r="A1947" t="inlineStr">
        <is>
          <t>PRAGMA</t>
        </is>
      </c>
      <c r="B1947" t="inlineStr">
        <is>
          <t>M2</t>
        </is>
      </c>
      <c r="C1947" t="inlineStr">
        <is>
          <t>Pasto</t>
        </is>
      </c>
      <c r="D1947" t="inlineStr">
        <is>
          <t>8221</t>
        </is>
      </c>
      <c r="E1947" t="inlineStr">
        <is>
          <t>TDV</t>
        </is>
      </c>
      <c r="F1947" s="23" t="n">
        <v>46279</v>
      </c>
      <c r="G1947" t="inlineStr">
        <is>
          <t>recoleccion</t>
        </is>
      </c>
      <c r="H1947" s="26" t="n">
        <v>124840609</v>
      </c>
      <c r="I1947" t="inlineStr">
        <is>
          <t>bajo</t>
        </is>
      </c>
      <c r="J1947" t="inlineStr">
        <is>
          <t>RN-22 y RN-35: recoleccion al cierre de lo que pasa del cupo</t>
        </is>
      </c>
      <c r="K1947" t="inlineStr">
        <is>
          <t>Recoleccion al cierre: con el pronostico, el saldo cerraria en 260.190.609 COP, sobre el cupo de 135.350.000. Se recoge el excedente y el saldo queda en 135.350.000 COP. Equipo administrado por TDV.</t>
        </is>
      </c>
      <c r="L1947" s="26" t="n">
        <v>135350000</v>
      </c>
      <c r="M1947" s="26" t="n">
        <v>260190609</v>
      </c>
      <c r="N1947" s="27">
        <f>IF(ISNUMBER(M1947),M1947/L1947,"No aplica")</f>
        <v>1.922353963797562</v>
      </c>
      <c r="O1947" s="25">
        <f>IF(G1947="provision",M1947+H1947,IF(G1947="recoleccion",M1947-H1947,"No aplica"))</f>
        <v>135350000</v>
      </c>
      <c r="P1947" s="26" t="n">
        <v>158307</v>
      </c>
    </row>
    <row r="1948">
      <c r="A1948" t="inlineStr">
        <is>
          <t>PRAGMA</t>
        </is>
      </c>
      <c r="B1948" t="inlineStr">
        <is>
          <t>M2</t>
        </is>
      </c>
      <c r="C1948" t="inlineStr">
        <is>
          <t>Pasto</t>
        </is>
      </c>
      <c r="D1948" t="inlineStr">
        <is>
          <t>8221</t>
        </is>
      </c>
      <c r="E1948" t="inlineStr">
        <is>
          <t>TDV</t>
        </is>
      </c>
      <c r="F1948" s="23" t="n">
        <v>46280</v>
      </c>
      <c r="G1948" t="inlineStr">
        <is>
          <t>recoleccion</t>
        </is>
      </c>
      <c r="H1948" s="26" t="n">
        <v>126865922</v>
      </c>
      <c r="I1948" t="inlineStr">
        <is>
          <t>bajo</t>
        </is>
      </c>
      <c r="J1948" t="inlineStr">
        <is>
          <t>RN-22 y RN-35: recoleccion al cierre de lo que pasa del cupo</t>
        </is>
      </c>
      <c r="K1948" t="inlineStr">
        <is>
          <t>Recoleccion al cierre: con el pronostico, el saldo cerraria en 262.215.922 COP, sobre el cupo de 135.350.000. Se recoge el excedente y el saldo queda en 135.350.000 COP. Equipo administrado por TDV.</t>
        </is>
      </c>
      <c r="L1948" s="26" t="n">
        <v>135350000</v>
      </c>
      <c r="M1948" s="26" t="n">
        <v>262215922</v>
      </c>
      <c r="N1948" s="27">
        <f>IF(ISNUMBER(M1948),M1948/L1948,"No aplica")</f>
        <v>1.9373174879940893</v>
      </c>
      <c r="O1948" s="25">
        <f>IF(G1948="provision",M1948+H1948,IF(G1948="recoleccion",M1948-H1948,"No aplica"))</f>
        <v>135350000</v>
      </c>
      <c r="P1948" s="26" t="n">
        <v>158307</v>
      </c>
    </row>
    <row r="1949">
      <c r="A1949" t="inlineStr">
        <is>
          <t>PRAGMA</t>
        </is>
      </c>
      <c r="B1949" t="inlineStr">
        <is>
          <t>M2</t>
        </is>
      </c>
      <c r="C1949" t="inlineStr">
        <is>
          <t>Cali</t>
        </is>
      </c>
      <c r="D1949" t="inlineStr">
        <is>
          <t>8394</t>
        </is>
      </c>
      <c r="E1949" t="inlineStr">
        <is>
          <t>TDV</t>
        </is>
      </c>
      <c r="F1949" s="23" t="n">
        <v>46266</v>
      </c>
      <c r="G1949" t="inlineStr">
        <is>
          <t>recoleccion</t>
        </is>
      </c>
      <c r="H1949" s="26" t="n">
        <v>114114388</v>
      </c>
      <c r="I1949" t="inlineStr">
        <is>
          <t>bajo</t>
        </is>
      </c>
      <c r="J1949" t="inlineStr">
        <is>
          <t>RN-22 y RN-35: recoleccion al cierre de lo que pasa del cupo</t>
        </is>
      </c>
      <c r="K1949" t="inlineStr">
        <is>
          <t>Recoleccion al cierre: con el pronostico, el saldo cerraria en 129.964.388 COP, sobre el cupo de 15.850.000. Se recoge el excedente y el saldo queda en 15.850.000 COP. Equipo administrado por TDV.</t>
        </is>
      </c>
      <c r="L1949" s="26" t="n">
        <v>15850000</v>
      </c>
      <c r="M1949" s="26" t="n">
        <v>129964388</v>
      </c>
      <c r="N1949" s="27">
        <f>IF(ISNUMBER(M1949),M1949/L1949,"No aplica")</f>
        <v>8.199645930599369</v>
      </c>
      <c r="O1949" s="25">
        <f>IF(G1949="provision",M1949+H1949,IF(G1949="recoleccion",M1949-H1949,"No aplica"))</f>
        <v>15850000</v>
      </c>
      <c r="P1949" s="26" t="n">
        <v>158012</v>
      </c>
    </row>
    <row r="1950">
      <c r="A1950" t="inlineStr">
        <is>
          <t>PRAGMA</t>
        </is>
      </c>
      <c r="B1950" t="inlineStr">
        <is>
          <t>M2</t>
        </is>
      </c>
      <c r="C1950" t="inlineStr">
        <is>
          <t>Cali</t>
        </is>
      </c>
      <c r="D1950" t="inlineStr">
        <is>
          <t>8394</t>
        </is>
      </c>
      <c r="E1950" t="inlineStr">
        <is>
          <t>TDV</t>
        </is>
      </c>
      <c r="F1950" s="23" t="n">
        <v>46267</v>
      </c>
      <c r="G1950" t="inlineStr">
        <is>
          <t>recoleccion</t>
        </is>
      </c>
      <c r="H1950" s="26" t="n">
        <v>101328607</v>
      </c>
      <c r="I1950" t="inlineStr">
        <is>
          <t>bajo</t>
        </is>
      </c>
      <c r="J1950" t="inlineStr">
        <is>
          <t>RN-22 y RN-35: recoleccion al cierre de lo que pasa del cupo</t>
        </is>
      </c>
      <c r="K1950" t="inlineStr">
        <is>
          <t>Recoleccion al cierre: con el pronostico, el saldo cerraria en 117.178.607 COP, sobre el cupo de 15.850.000. Se recoge el excedente y el saldo queda en 15.850.000 COP. Equipo administrado por TDV.</t>
        </is>
      </c>
      <c r="L1950" s="26" t="n">
        <v>15850000</v>
      </c>
      <c r="M1950" s="26" t="n">
        <v>117178607</v>
      </c>
      <c r="N1950" s="27">
        <f>IF(ISNUMBER(M1950),M1950/L1950,"No aplica")</f>
        <v>7.392972050473186</v>
      </c>
      <c r="O1950" s="25">
        <f>IF(G1950="provision",M1950+H1950,IF(G1950="recoleccion",M1950-H1950,"No aplica"))</f>
        <v>15850000</v>
      </c>
      <c r="P1950" s="26" t="n">
        <v>158012</v>
      </c>
    </row>
    <row r="1951">
      <c r="A1951" t="inlineStr">
        <is>
          <t>PRAGMA</t>
        </is>
      </c>
      <c r="B1951" t="inlineStr">
        <is>
          <t>M2</t>
        </is>
      </c>
      <c r="C1951" t="inlineStr">
        <is>
          <t>Cali</t>
        </is>
      </c>
      <c r="D1951" t="inlineStr">
        <is>
          <t>8394</t>
        </is>
      </c>
      <c r="E1951" t="inlineStr">
        <is>
          <t>TDV</t>
        </is>
      </c>
      <c r="F1951" s="23" t="n">
        <v>46268</v>
      </c>
      <c r="G1951" t="inlineStr">
        <is>
          <t>recoleccion</t>
        </is>
      </c>
      <c r="H1951" s="26" t="n">
        <v>100343421</v>
      </c>
      <c r="I1951" t="inlineStr">
        <is>
          <t>bajo</t>
        </is>
      </c>
      <c r="J1951" t="inlineStr">
        <is>
          <t>RN-22 y RN-35: recoleccion al cierre de lo que pasa del cupo</t>
        </is>
      </c>
      <c r="K1951" t="inlineStr">
        <is>
          <t>Recoleccion al cierre: con el pronostico, el saldo cerraria en 116.193.421 COP, sobre el cupo de 15.850.000. Se recoge el excedente y el saldo queda en 15.850.000 COP. Equipo administrado por TDV.</t>
        </is>
      </c>
      <c r="L1951" s="26" t="n">
        <v>15850000</v>
      </c>
      <c r="M1951" s="26" t="n">
        <v>116193421</v>
      </c>
      <c r="N1951" s="27">
        <f>IF(ISNUMBER(M1951),M1951/L1951,"No aplica")</f>
        <v>7.330815205047319</v>
      </c>
      <c r="O1951" s="25">
        <f>IF(G1951="provision",M1951+H1951,IF(G1951="recoleccion",M1951-H1951,"No aplica"))</f>
        <v>15850000</v>
      </c>
      <c r="P1951" s="26" t="n">
        <v>158012</v>
      </c>
    </row>
    <row r="1952">
      <c r="A1952" t="inlineStr">
        <is>
          <t>PRAGMA</t>
        </is>
      </c>
      <c r="B1952" t="inlineStr">
        <is>
          <t>M2</t>
        </is>
      </c>
      <c r="C1952" t="inlineStr">
        <is>
          <t>Cali</t>
        </is>
      </c>
      <c r="D1952" t="inlineStr">
        <is>
          <t>8394</t>
        </is>
      </c>
      <c r="E1952" t="inlineStr">
        <is>
          <t>TDV</t>
        </is>
      </c>
      <c r="F1952" s="23" t="n">
        <v>46269</v>
      </c>
      <c r="G1952" t="inlineStr">
        <is>
          <t>recoleccion</t>
        </is>
      </c>
      <c r="H1952" s="26" t="n">
        <v>104781848</v>
      </c>
      <c r="I1952" t="inlineStr">
        <is>
          <t>bajo</t>
        </is>
      </c>
      <c r="J1952" t="inlineStr">
        <is>
          <t>RN-22 y RN-35: recoleccion al cierre de lo que pasa del cupo</t>
        </is>
      </c>
      <c r="K1952" t="inlineStr">
        <is>
          <t>Recoleccion al cierre: con el pronostico, el saldo cerraria en 120.631.848 COP, sobre el cupo de 15.850.000. Se recoge el excedente y el saldo queda en 15.850.000 COP. Equipo administrado por TDV.</t>
        </is>
      </c>
      <c r="L1952" s="26" t="n">
        <v>15850000</v>
      </c>
      <c r="M1952" s="26" t="n">
        <v>120631848</v>
      </c>
      <c r="N1952" s="27">
        <f>IF(ISNUMBER(M1952),M1952/L1952,"No aplica")</f>
        <v>7.61084214511041</v>
      </c>
      <c r="O1952" s="25">
        <f>IF(G1952="provision",M1952+H1952,IF(G1952="recoleccion",M1952-H1952,"No aplica"))</f>
        <v>15850000</v>
      </c>
      <c r="P1952" s="26" t="n">
        <v>158012</v>
      </c>
    </row>
    <row r="1953">
      <c r="A1953" t="inlineStr">
        <is>
          <t>PRAGMA</t>
        </is>
      </c>
      <c r="B1953" t="inlineStr">
        <is>
          <t>M2</t>
        </is>
      </c>
      <c r="C1953" t="inlineStr">
        <is>
          <t>Cali</t>
        </is>
      </c>
      <c r="D1953" t="inlineStr">
        <is>
          <t>8394</t>
        </is>
      </c>
      <c r="E1953" t="inlineStr">
        <is>
          <t>TDV</t>
        </is>
      </c>
      <c r="F1953" s="23" t="n">
        <v>46270</v>
      </c>
      <c r="G1953" t="inlineStr">
        <is>
          <t>recoleccion</t>
        </is>
      </c>
      <c r="H1953" s="26" t="n">
        <v>101504662</v>
      </c>
      <c r="I1953" t="inlineStr">
        <is>
          <t>bajo</t>
        </is>
      </c>
      <c r="J1953" t="inlineStr">
        <is>
          <t>RN-22 y RN-35: recoleccion al cierre de lo que pasa del cupo</t>
        </is>
      </c>
      <c r="K1953" t="inlineStr">
        <is>
          <t>Recoleccion al cierre: con el pronostico, el saldo cerraria en 117.354.662 COP, sobre el cupo de 15.850.000. Se recoge el excedente y el saldo queda en 15.850.000 COP. Equipo administrado por TDV.</t>
        </is>
      </c>
      <c r="L1953" s="26" t="n">
        <v>15850000</v>
      </c>
      <c r="M1953" s="26" t="n">
        <v>117354662</v>
      </c>
      <c r="N1953" s="27">
        <f>IF(ISNUMBER(M1953),M1953/L1953,"No aplica")</f>
        <v>7.404079621451104</v>
      </c>
      <c r="O1953" s="25">
        <f>IF(G1953="provision",M1953+H1953,IF(G1953="recoleccion",M1953-H1953,"No aplica"))</f>
        <v>15850000</v>
      </c>
      <c r="P1953" s="26" t="n">
        <v>158012</v>
      </c>
    </row>
    <row r="1954">
      <c r="A1954" t="inlineStr">
        <is>
          <t>PRAGMA</t>
        </is>
      </c>
      <c r="B1954" t="inlineStr">
        <is>
          <t>M2</t>
        </is>
      </c>
      <c r="C1954" t="inlineStr">
        <is>
          <t>Cali</t>
        </is>
      </c>
      <c r="D1954" t="inlineStr">
        <is>
          <t>8394</t>
        </is>
      </c>
      <c r="E1954" t="inlineStr">
        <is>
          <t>TDV</t>
        </is>
      </c>
      <c r="F1954" s="23" t="n">
        <v>46271</v>
      </c>
      <c r="G1954" t="inlineStr">
        <is>
          <t>recoleccion</t>
        </is>
      </c>
      <c r="H1954" s="26" t="n">
        <v>56855940</v>
      </c>
      <c r="I1954" t="inlineStr">
        <is>
          <t>bajo</t>
        </is>
      </c>
      <c r="J1954" t="inlineStr">
        <is>
          <t>RN-22 y RN-35: recoleccion al cierre de lo que pasa del cupo</t>
        </is>
      </c>
      <c r="K1954" t="inlineStr">
        <is>
          <t>Recoleccion al cierre: con el pronostico, el saldo cerraria en 72.705.940 COP, sobre el cupo de 15.850.000. Se recoge el excedente y el saldo queda en 15.850.000 COP. Equipo administrado por TDV.</t>
        </is>
      </c>
      <c r="L1954" s="26" t="n">
        <v>15850000</v>
      </c>
      <c r="M1954" s="26" t="n">
        <v>72705940</v>
      </c>
      <c r="N1954" s="27">
        <f>IF(ISNUMBER(M1954),M1954/L1954,"No aplica")</f>
        <v>4.587125552050473</v>
      </c>
      <c r="O1954" s="25">
        <f>IF(G1954="provision",M1954+H1954,IF(G1954="recoleccion",M1954-H1954,"No aplica"))</f>
        <v>15850000</v>
      </c>
      <c r="P1954" s="26" t="n">
        <v>182814</v>
      </c>
    </row>
    <row r="1955">
      <c r="A1955" t="inlineStr">
        <is>
          <t>PRAGMA</t>
        </is>
      </c>
      <c r="B1955" t="inlineStr">
        <is>
          <t>M2</t>
        </is>
      </c>
      <c r="C1955" t="inlineStr">
        <is>
          <t>Cali</t>
        </is>
      </c>
      <c r="D1955" t="inlineStr">
        <is>
          <t>8394</t>
        </is>
      </c>
      <c r="E1955" t="inlineStr">
        <is>
          <t>TDV</t>
        </is>
      </c>
      <c r="F1955" s="23" t="n">
        <v>46272</v>
      </c>
      <c r="G1955" t="inlineStr">
        <is>
          <t>recoleccion</t>
        </is>
      </c>
      <c r="H1955" s="26" t="n">
        <v>121109392</v>
      </c>
      <c r="I1955" t="inlineStr">
        <is>
          <t>bajo</t>
        </is>
      </c>
      <c r="J1955" t="inlineStr">
        <is>
          <t>RN-22 y RN-35: recoleccion al cierre de lo que pasa del cupo</t>
        </is>
      </c>
      <c r="K1955" t="inlineStr">
        <is>
          <t>Recoleccion al cierre: con el pronostico, el saldo cerraria en 136.959.392 COP, sobre el cupo de 15.850.000. Se recoge el excedente y el saldo queda en 15.850.000 COP. Equipo administrado por TDV.</t>
        </is>
      </c>
      <c r="L1955" s="26" t="n">
        <v>15850000</v>
      </c>
      <c r="M1955" s="26" t="n">
        <v>136959392</v>
      </c>
      <c r="N1955" s="27">
        <f>IF(ISNUMBER(M1955),M1955/L1955,"No aplica")</f>
        <v>8.640971104100947</v>
      </c>
      <c r="O1955" s="25">
        <f>IF(G1955="provision",M1955+H1955,IF(G1955="recoleccion",M1955-H1955,"No aplica"))</f>
        <v>15850000</v>
      </c>
      <c r="P1955" s="26" t="n">
        <v>158012</v>
      </c>
    </row>
    <row r="1956">
      <c r="A1956" t="inlineStr">
        <is>
          <t>PRAGMA</t>
        </is>
      </c>
      <c r="B1956" t="inlineStr">
        <is>
          <t>M2</t>
        </is>
      </c>
      <c r="C1956" t="inlineStr">
        <is>
          <t>Cali</t>
        </is>
      </c>
      <c r="D1956" t="inlineStr">
        <is>
          <t>8394</t>
        </is>
      </c>
      <c r="E1956" t="inlineStr">
        <is>
          <t>TDV</t>
        </is>
      </c>
      <c r="F1956" s="23" t="n">
        <v>46273</v>
      </c>
      <c r="G1956" t="inlineStr">
        <is>
          <t>recoleccion</t>
        </is>
      </c>
      <c r="H1956" s="26" t="n">
        <v>109404025</v>
      </c>
      <c r="I1956" t="inlineStr">
        <is>
          <t>bajo</t>
        </is>
      </c>
      <c r="J1956" t="inlineStr">
        <is>
          <t>RN-22 y RN-35: recoleccion al cierre de lo que pasa del cupo</t>
        </is>
      </c>
      <c r="K1956" t="inlineStr">
        <is>
          <t>Recoleccion al cierre: con el pronostico, el saldo cerraria en 125.254.025 COP, sobre el cupo de 15.850.000. Se recoge el excedente y el saldo queda en 15.850.000 COP. Equipo administrado por TDV.</t>
        </is>
      </c>
      <c r="L1956" s="26" t="n">
        <v>15850000</v>
      </c>
      <c r="M1956" s="26" t="n">
        <v>125254025</v>
      </c>
      <c r="N1956" s="27">
        <f>IF(ISNUMBER(M1956),M1956/L1956,"No aplica")</f>
        <v>7.90246214511041</v>
      </c>
      <c r="O1956" s="25">
        <f>IF(G1956="provision",M1956+H1956,IF(G1956="recoleccion",M1956-H1956,"No aplica"))</f>
        <v>15850000</v>
      </c>
      <c r="P1956" s="26" t="n">
        <v>158012</v>
      </c>
    </row>
    <row r="1957">
      <c r="A1957" t="inlineStr">
        <is>
          <t>PRAGMA</t>
        </is>
      </c>
      <c r="B1957" t="inlineStr">
        <is>
          <t>M2</t>
        </is>
      </c>
      <c r="C1957" t="inlineStr">
        <is>
          <t>Cali</t>
        </is>
      </c>
      <c r="D1957" t="inlineStr">
        <is>
          <t>8394</t>
        </is>
      </c>
      <c r="E1957" t="inlineStr">
        <is>
          <t>TDV</t>
        </is>
      </c>
      <c r="F1957" s="23" t="n">
        <v>46274</v>
      </c>
      <c r="G1957" t="inlineStr">
        <is>
          <t>recoleccion</t>
        </is>
      </c>
      <c r="H1957" s="26" t="n">
        <v>99934378</v>
      </c>
      <c r="I1957" t="inlineStr">
        <is>
          <t>bajo</t>
        </is>
      </c>
      <c r="J1957" t="inlineStr">
        <is>
          <t>RN-22 y RN-35: recoleccion al cierre de lo que pasa del cupo</t>
        </is>
      </c>
      <c r="K1957" t="inlineStr">
        <is>
          <t>Recoleccion al cierre: con el pronostico, el saldo cerraria en 115.784.378 COP, sobre el cupo de 15.850.000. Se recoge el excedente y el saldo queda en 15.850.000 COP. Equipo administrado por TDV.</t>
        </is>
      </c>
      <c r="L1957" s="26" t="n">
        <v>15850000</v>
      </c>
      <c r="M1957" s="26" t="n">
        <v>115784378</v>
      </c>
      <c r="N1957" s="27">
        <f>IF(ISNUMBER(M1957),M1957/L1957,"No aplica")</f>
        <v>7.305008075709779</v>
      </c>
      <c r="O1957" s="25">
        <f>IF(G1957="provision",M1957+H1957,IF(G1957="recoleccion",M1957-H1957,"No aplica"))</f>
        <v>15850000</v>
      </c>
      <c r="P1957" s="26" t="n">
        <v>158012</v>
      </c>
    </row>
    <row r="1958">
      <c r="A1958" t="inlineStr">
        <is>
          <t>PRAGMA</t>
        </is>
      </c>
      <c r="B1958" t="inlineStr">
        <is>
          <t>M2</t>
        </is>
      </c>
      <c r="C1958" t="inlineStr">
        <is>
          <t>Cali</t>
        </is>
      </c>
      <c r="D1958" t="inlineStr">
        <is>
          <t>8394</t>
        </is>
      </c>
      <c r="E1958" t="inlineStr">
        <is>
          <t>TDV</t>
        </is>
      </c>
      <c r="F1958" s="23" t="n">
        <v>46275</v>
      </c>
      <c r="G1958" t="inlineStr">
        <is>
          <t>recoleccion</t>
        </is>
      </c>
      <c r="H1958" s="26" t="n">
        <v>94640244</v>
      </c>
      <c r="I1958" t="inlineStr">
        <is>
          <t>bajo</t>
        </is>
      </c>
      <c r="J1958" t="inlineStr">
        <is>
          <t>RN-22 y RN-35: recoleccion al cierre de lo que pasa del cupo</t>
        </is>
      </c>
      <c r="K1958" t="inlineStr">
        <is>
          <t>Recoleccion al cierre: con el pronostico, el saldo cerraria en 110.490.244 COP, sobre el cupo de 15.850.000. Se recoge el excedente y el saldo queda en 15.850.000 COP. Equipo administrado por TDV.</t>
        </is>
      </c>
      <c r="L1958" s="26" t="n">
        <v>15850000</v>
      </c>
      <c r="M1958" s="26" t="n">
        <v>110490244</v>
      </c>
      <c r="N1958" s="27">
        <f>IF(ISNUMBER(M1958),M1958/L1958,"No aplica")</f>
        <v>6.970993312302839</v>
      </c>
      <c r="O1958" s="25">
        <f>IF(G1958="provision",M1958+H1958,IF(G1958="recoleccion",M1958-H1958,"No aplica"))</f>
        <v>15850000</v>
      </c>
      <c r="P1958" s="26" t="n">
        <v>158012</v>
      </c>
    </row>
    <row r="1959">
      <c r="A1959" t="inlineStr">
        <is>
          <t>PRAGMA</t>
        </is>
      </c>
      <c r="B1959" t="inlineStr">
        <is>
          <t>M2</t>
        </is>
      </c>
      <c r="C1959" t="inlineStr">
        <is>
          <t>Cali</t>
        </is>
      </c>
      <c r="D1959" t="inlineStr">
        <is>
          <t>8394</t>
        </is>
      </c>
      <c r="E1959" t="inlineStr">
        <is>
          <t>TDV</t>
        </is>
      </c>
      <c r="F1959" s="23" t="n">
        <v>46276</v>
      </c>
      <c r="G1959" t="inlineStr">
        <is>
          <t>recoleccion</t>
        </is>
      </c>
      <c r="H1959" s="26" t="n">
        <v>95918737</v>
      </c>
      <c r="I1959" t="inlineStr">
        <is>
          <t>bajo</t>
        </is>
      </c>
      <c r="J1959" t="inlineStr">
        <is>
          <t>RN-22 y RN-35: recoleccion al cierre de lo que pasa del cupo</t>
        </is>
      </c>
      <c r="K1959" t="inlineStr">
        <is>
          <t>Recoleccion al cierre: con el pronostico, el saldo cerraria en 111.768.737 COP, sobre el cupo de 15.850.000. Se recoge el excedente y el saldo queda en 15.850.000 COP. Equipo administrado por TDV.</t>
        </is>
      </c>
      <c r="L1959" s="26" t="n">
        <v>15850000</v>
      </c>
      <c r="M1959" s="26" t="n">
        <v>111768737</v>
      </c>
      <c r="N1959" s="27">
        <f>IF(ISNUMBER(M1959),M1959/L1959,"No aplica")</f>
        <v>7.051655331230284</v>
      </c>
      <c r="O1959" s="25">
        <f>IF(G1959="provision",M1959+H1959,IF(G1959="recoleccion",M1959-H1959,"No aplica"))</f>
        <v>15850000</v>
      </c>
      <c r="P1959" s="26" t="n">
        <v>158012</v>
      </c>
    </row>
    <row r="1960">
      <c r="A1960" t="inlineStr">
        <is>
          <t>PRAGMA</t>
        </is>
      </c>
      <c r="B1960" t="inlineStr">
        <is>
          <t>M2</t>
        </is>
      </c>
      <c r="C1960" t="inlineStr">
        <is>
          <t>Cali</t>
        </is>
      </c>
      <c r="D1960" t="inlineStr">
        <is>
          <t>8394</t>
        </is>
      </c>
      <c r="E1960" t="inlineStr">
        <is>
          <t>TDV</t>
        </is>
      </c>
      <c r="F1960" s="23" t="n">
        <v>46277</v>
      </c>
      <c r="G1960" t="inlineStr">
        <is>
          <t>recoleccion</t>
        </is>
      </c>
      <c r="H1960" s="26" t="n">
        <v>89344255</v>
      </c>
      <c r="I1960" t="inlineStr">
        <is>
          <t>bajo</t>
        </is>
      </c>
      <c r="J1960" t="inlineStr">
        <is>
          <t>RN-22 y RN-35: recoleccion al cierre de lo que pasa del cupo</t>
        </is>
      </c>
      <c r="K1960" t="inlineStr">
        <is>
          <t>Recoleccion al cierre: con el pronostico, el saldo cerraria en 105.194.255 COP, sobre el cupo de 15.850.000. Se recoge el excedente y el saldo queda en 15.850.000 COP. Equipo administrado por TDV.</t>
        </is>
      </c>
      <c r="L1960" s="26" t="n">
        <v>15850000</v>
      </c>
      <c r="M1960" s="26" t="n">
        <v>105194255</v>
      </c>
      <c r="N1960" s="27">
        <f>IF(ISNUMBER(M1960),M1960/L1960,"No aplica")</f>
        <v>6.636861514195584</v>
      </c>
      <c r="O1960" s="25">
        <f>IF(G1960="provision",M1960+H1960,IF(G1960="recoleccion",M1960-H1960,"No aplica"))</f>
        <v>15850000</v>
      </c>
      <c r="P1960" s="26" t="n">
        <v>158012</v>
      </c>
    </row>
    <row r="1961">
      <c r="A1961" t="inlineStr">
        <is>
          <t>PRAGMA</t>
        </is>
      </c>
      <c r="B1961" t="inlineStr">
        <is>
          <t>M2</t>
        </is>
      </c>
      <c r="C1961" t="inlineStr">
        <is>
          <t>Cali</t>
        </is>
      </c>
      <c r="D1961" t="inlineStr">
        <is>
          <t>8394</t>
        </is>
      </c>
      <c r="E1961" t="inlineStr">
        <is>
          <t>TDV</t>
        </is>
      </c>
      <c r="F1961" s="23" t="n">
        <v>46278</v>
      </c>
      <c r="G1961" t="inlineStr">
        <is>
          <t>recoleccion</t>
        </is>
      </c>
      <c r="H1961" s="26" t="n">
        <v>49112761</v>
      </c>
      <c r="I1961" t="inlineStr">
        <is>
          <t>bajo</t>
        </is>
      </c>
      <c r="J1961" t="inlineStr">
        <is>
          <t>RN-22 y RN-35: recoleccion al cierre de lo que pasa del cupo</t>
        </is>
      </c>
      <c r="K1961" t="inlineStr">
        <is>
          <t>Recoleccion al cierre: con el pronostico, el saldo cerraria en 64.962.761 COP, sobre el cupo de 15.850.000. Se recoge el excedente y el saldo queda en 15.850.000 COP. Equipo administrado por TDV.</t>
        </is>
      </c>
      <c r="L1961" s="26" t="n">
        <v>15850000</v>
      </c>
      <c r="M1961" s="26" t="n">
        <v>64962761</v>
      </c>
      <c r="N1961" s="27">
        <f>IF(ISNUMBER(M1961),M1961/L1961,"No aplica")</f>
        <v>4.09859690851735</v>
      </c>
      <c r="O1961" s="25">
        <f>IF(G1961="provision",M1961+H1961,IF(G1961="recoleccion",M1961-H1961,"No aplica"))</f>
        <v>15850000</v>
      </c>
      <c r="P1961" s="26" t="n">
        <v>182814</v>
      </c>
    </row>
    <row r="1962">
      <c r="A1962" t="inlineStr">
        <is>
          <t>PRAGMA</t>
        </is>
      </c>
      <c r="B1962" t="inlineStr">
        <is>
          <t>M2</t>
        </is>
      </c>
      <c r="C1962" t="inlineStr">
        <is>
          <t>Cali</t>
        </is>
      </c>
      <c r="D1962" t="inlineStr">
        <is>
          <t>8394</t>
        </is>
      </c>
      <c r="E1962" t="inlineStr">
        <is>
          <t>TDV</t>
        </is>
      </c>
      <c r="F1962" s="23" t="n">
        <v>46279</v>
      </c>
      <c r="G1962" t="inlineStr">
        <is>
          <t>recoleccion</t>
        </is>
      </c>
      <c r="H1962" s="26" t="n">
        <v>107899420</v>
      </c>
      <c r="I1962" t="inlineStr">
        <is>
          <t>bajo</t>
        </is>
      </c>
      <c r="J1962" t="inlineStr">
        <is>
          <t>RN-22 y RN-35: recoleccion al cierre de lo que pasa del cupo</t>
        </is>
      </c>
      <c r="K1962" t="inlineStr">
        <is>
          <t>Recoleccion al cierre: con el pronostico, el saldo cerraria en 123.749.420 COP, sobre el cupo de 15.850.000. Se recoge el excedente y el saldo queda en 15.850.000 COP. Equipo administrado por TDV.</t>
        </is>
      </c>
      <c r="L1962" s="26" t="n">
        <v>15850000</v>
      </c>
      <c r="M1962" s="26" t="n">
        <v>123749420</v>
      </c>
      <c r="N1962" s="27">
        <f>IF(ISNUMBER(M1962),M1962/L1962,"No aplica")</f>
        <v>7.8075343848580445</v>
      </c>
      <c r="O1962" s="25">
        <f>IF(G1962="provision",M1962+H1962,IF(G1962="recoleccion",M1962-H1962,"No aplica"))</f>
        <v>15850000</v>
      </c>
      <c r="P1962" s="26" t="n">
        <v>158012</v>
      </c>
    </row>
    <row r="1963">
      <c r="A1963" t="inlineStr">
        <is>
          <t>PRAGMA</t>
        </is>
      </c>
      <c r="B1963" t="inlineStr">
        <is>
          <t>M2</t>
        </is>
      </c>
      <c r="C1963" t="inlineStr">
        <is>
          <t>Cali</t>
        </is>
      </c>
      <c r="D1963" t="inlineStr">
        <is>
          <t>8394</t>
        </is>
      </c>
      <c r="E1963" t="inlineStr">
        <is>
          <t>TDV</t>
        </is>
      </c>
      <c r="F1963" s="23" t="n">
        <v>46280</v>
      </c>
      <c r="G1963" t="inlineStr">
        <is>
          <t>recoleccion</t>
        </is>
      </c>
      <c r="H1963" s="26" t="n">
        <v>106999184</v>
      </c>
      <c r="I1963" t="inlineStr">
        <is>
          <t>bajo</t>
        </is>
      </c>
      <c r="J1963" t="inlineStr">
        <is>
          <t>RN-22 y RN-35: recoleccion al cierre de lo que pasa del cupo</t>
        </is>
      </c>
      <c r="K1963" t="inlineStr">
        <is>
          <t>Recoleccion al cierre: con el pronostico, el saldo cerraria en 122.849.184 COP, sobre el cupo de 15.850.000. Se recoge el excedente y el saldo queda en 15.850.000 COP. Equipo administrado por TDV.</t>
        </is>
      </c>
      <c r="L1963" s="26" t="n">
        <v>15850000</v>
      </c>
      <c r="M1963" s="26" t="n">
        <v>122849184</v>
      </c>
      <c r="N1963" s="27">
        <f>IF(ISNUMBER(M1963),M1963/L1963,"No aplica")</f>
        <v>7.750737160883281</v>
      </c>
      <c r="O1963" s="25">
        <f>IF(G1963="provision",M1963+H1963,IF(G1963="recoleccion",M1963-H1963,"No aplica"))</f>
        <v>15850000</v>
      </c>
      <c r="P1963" s="26" t="n">
        <v>158012</v>
      </c>
    </row>
    <row r="1964">
      <c r="A1964" t="inlineStr">
        <is>
          <t>PRAGMA</t>
        </is>
      </c>
      <c r="B1964" t="inlineStr">
        <is>
          <t>M2</t>
        </is>
      </c>
      <c r="C1964" t="inlineStr">
        <is>
          <t>Cali</t>
        </is>
      </c>
      <c r="D1964" t="inlineStr">
        <is>
          <t>8395</t>
        </is>
      </c>
      <c r="E1964" t="inlineStr">
        <is>
          <t>TDV</t>
        </is>
      </c>
      <c r="F1964" s="23" t="n">
        <v>46266</v>
      </c>
      <c r="G1964" t="inlineStr">
        <is>
          <t>recoleccion</t>
        </is>
      </c>
      <c r="H1964" s="26" t="n">
        <v>122229950</v>
      </c>
      <c r="I1964" t="inlineStr">
        <is>
          <t>bajo</t>
        </is>
      </c>
      <c r="J1964" t="inlineStr">
        <is>
          <t>RN-22 y RN-35: recoleccion al cierre de lo que pasa del cupo</t>
        </is>
      </c>
      <c r="K1964" t="inlineStr">
        <is>
          <t>Recoleccion al cierre: con el pronostico, el saldo cerraria en 138.079.950 COP, sobre el cupo de 15.850.000. Se recoge el excedente y el saldo queda en 15.850.000 COP. Equipo administrado por TDV.</t>
        </is>
      </c>
      <c r="L1964" s="26" t="n">
        <v>15850000</v>
      </c>
      <c r="M1964" s="26" t="n">
        <v>138079950</v>
      </c>
      <c r="N1964" s="27">
        <f>IF(ISNUMBER(M1964),M1964/L1964,"No aplica")</f>
        <v>8.711668769716088</v>
      </c>
      <c r="O1964" s="25">
        <f>IF(G1964="provision",M1964+H1964,IF(G1964="recoleccion",M1964-H1964,"No aplica"))</f>
        <v>15850000</v>
      </c>
      <c r="P1964" s="26" t="n">
        <v>158012</v>
      </c>
    </row>
    <row r="1965">
      <c r="A1965" t="inlineStr">
        <is>
          <t>PRAGMA</t>
        </is>
      </c>
      <c r="B1965" t="inlineStr">
        <is>
          <t>M2</t>
        </is>
      </c>
      <c r="C1965" t="inlineStr">
        <is>
          <t>Cali</t>
        </is>
      </c>
      <c r="D1965" t="inlineStr">
        <is>
          <t>8395</t>
        </is>
      </c>
      <c r="E1965" t="inlineStr">
        <is>
          <t>TDV</t>
        </is>
      </c>
      <c r="F1965" s="23" t="n">
        <v>46267</v>
      </c>
      <c r="G1965" t="inlineStr">
        <is>
          <t>recoleccion</t>
        </is>
      </c>
      <c r="H1965" s="26" t="n">
        <v>116346103</v>
      </c>
      <c r="I1965" t="inlineStr">
        <is>
          <t>bajo</t>
        </is>
      </c>
      <c r="J1965" t="inlineStr">
        <is>
          <t>RN-22 y RN-35: recoleccion al cierre de lo que pasa del cupo</t>
        </is>
      </c>
      <c r="K1965" t="inlineStr">
        <is>
          <t>Recoleccion al cierre: con el pronostico, el saldo cerraria en 132.196.103 COP, sobre el cupo de 15.850.000. Se recoge el excedente y el saldo queda en 15.850.000 COP. Equipo administrado por TDV.</t>
        </is>
      </c>
      <c r="L1965" s="26" t="n">
        <v>15850000</v>
      </c>
      <c r="M1965" s="26" t="n">
        <v>132196103</v>
      </c>
      <c r="N1965" s="27">
        <f>IF(ISNUMBER(M1965),M1965/L1965,"No aplica")</f>
        <v>8.340448138801262</v>
      </c>
      <c r="O1965" s="25">
        <f>IF(G1965="provision",M1965+H1965,IF(G1965="recoleccion",M1965-H1965,"No aplica"))</f>
        <v>15850000</v>
      </c>
      <c r="P1965" s="26" t="n">
        <v>158012</v>
      </c>
    </row>
    <row r="1966">
      <c r="A1966" t="inlineStr">
        <is>
          <t>PRAGMA</t>
        </is>
      </c>
      <c r="B1966" t="inlineStr">
        <is>
          <t>M2</t>
        </is>
      </c>
      <c r="C1966" t="inlineStr">
        <is>
          <t>Cali</t>
        </is>
      </c>
      <c r="D1966" t="inlineStr">
        <is>
          <t>8395</t>
        </is>
      </c>
      <c r="E1966" t="inlineStr">
        <is>
          <t>TDV</t>
        </is>
      </c>
      <c r="F1966" s="23" t="n">
        <v>46268</v>
      </c>
      <c r="G1966" t="inlineStr">
        <is>
          <t>recoleccion</t>
        </is>
      </c>
      <c r="H1966" s="26" t="n">
        <v>111408717</v>
      </c>
      <c r="I1966" t="inlineStr">
        <is>
          <t>bajo</t>
        </is>
      </c>
      <c r="J1966" t="inlineStr">
        <is>
          <t>RN-22 y RN-35: recoleccion al cierre de lo que pasa del cupo</t>
        </is>
      </c>
      <c r="K1966" t="inlineStr">
        <is>
          <t>Recoleccion al cierre: con el pronostico, el saldo cerraria en 127.258.717 COP, sobre el cupo de 15.850.000. Se recoge el excedente y el saldo queda en 15.850.000 COP. Equipo administrado por TDV.</t>
        </is>
      </c>
      <c r="L1966" s="26" t="n">
        <v>15850000</v>
      </c>
      <c r="M1966" s="26" t="n">
        <v>127258717</v>
      </c>
      <c r="N1966" s="27">
        <f>IF(ISNUMBER(M1966),M1966/L1966,"No aplica")</f>
        <v>8.028941135646688</v>
      </c>
      <c r="O1966" s="25">
        <f>IF(G1966="provision",M1966+H1966,IF(G1966="recoleccion",M1966-H1966,"No aplica"))</f>
        <v>15850000</v>
      </c>
      <c r="P1966" s="26" t="n">
        <v>158012</v>
      </c>
    </row>
    <row r="1967">
      <c r="A1967" t="inlineStr">
        <is>
          <t>PRAGMA</t>
        </is>
      </c>
      <c r="B1967" t="inlineStr">
        <is>
          <t>M2</t>
        </is>
      </c>
      <c r="C1967" t="inlineStr">
        <is>
          <t>Cali</t>
        </is>
      </c>
      <c r="D1967" t="inlineStr">
        <is>
          <t>8395</t>
        </is>
      </c>
      <c r="E1967" t="inlineStr">
        <is>
          <t>TDV</t>
        </is>
      </c>
      <c r="F1967" s="23" t="n">
        <v>46269</v>
      </c>
      <c r="G1967" t="inlineStr">
        <is>
          <t>recoleccion</t>
        </is>
      </c>
      <c r="H1967" s="26" t="n">
        <v>119022447</v>
      </c>
      <c r="I1967" t="inlineStr">
        <is>
          <t>bajo</t>
        </is>
      </c>
      <c r="J1967" t="inlineStr">
        <is>
          <t>RN-22 y RN-35: recoleccion al cierre de lo que pasa del cupo</t>
        </is>
      </c>
      <c r="K1967" t="inlineStr">
        <is>
          <t>Recoleccion al cierre: con el pronostico, el saldo cerraria en 134.872.447 COP, sobre el cupo de 15.850.000. Se recoge el excedente y el saldo queda en 15.850.000 COP. Equipo administrado por TDV.</t>
        </is>
      </c>
      <c r="L1967" s="26" t="n">
        <v>15850000</v>
      </c>
      <c r="M1967" s="26" t="n">
        <v>134872447</v>
      </c>
      <c r="N1967" s="27">
        <f>IF(ISNUMBER(M1967),M1967/L1967,"No aplica")</f>
        <v>8.50930264984227</v>
      </c>
      <c r="O1967" s="25">
        <f>IF(G1967="provision",M1967+H1967,IF(G1967="recoleccion",M1967-H1967,"No aplica"))</f>
        <v>15850000</v>
      </c>
      <c r="P1967" s="26" t="n">
        <v>158012</v>
      </c>
    </row>
    <row r="1968">
      <c r="A1968" t="inlineStr">
        <is>
          <t>PRAGMA</t>
        </is>
      </c>
      <c r="B1968" t="inlineStr">
        <is>
          <t>M2</t>
        </is>
      </c>
      <c r="C1968" t="inlineStr">
        <is>
          <t>Cali</t>
        </is>
      </c>
      <c r="D1968" t="inlineStr">
        <is>
          <t>8395</t>
        </is>
      </c>
      <c r="E1968" t="inlineStr">
        <is>
          <t>TDV</t>
        </is>
      </c>
      <c r="F1968" s="23" t="n">
        <v>46270</v>
      </c>
      <c r="G1968" t="inlineStr">
        <is>
          <t>recoleccion</t>
        </is>
      </c>
      <c r="H1968" s="26" t="n">
        <v>124805071</v>
      </c>
      <c r="I1968" t="inlineStr">
        <is>
          <t>bajo</t>
        </is>
      </c>
      <c r="J1968" t="inlineStr">
        <is>
          <t>RN-22 y RN-35: recoleccion al cierre de lo que pasa del cupo</t>
        </is>
      </c>
      <c r="K1968" t="inlineStr">
        <is>
          <t>Recoleccion al cierre: con el pronostico, el saldo cerraria en 140.655.071 COP, sobre el cupo de 15.850.000. Se recoge el excedente y el saldo queda en 15.850.000 COP. Equipo administrado por TDV.</t>
        </is>
      </c>
      <c r="L1968" s="26" t="n">
        <v>15850000</v>
      </c>
      <c r="M1968" s="26" t="n">
        <v>140655071</v>
      </c>
      <c r="N1968" s="27">
        <f>IF(ISNUMBER(M1968),M1968/L1968,"No aplica")</f>
        <v>8.874136971608833</v>
      </c>
      <c r="O1968" s="25">
        <f>IF(G1968="provision",M1968+H1968,IF(G1968="recoleccion",M1968-H1968,"No aplica"))</f>
        <v>15850000</v>
      </c>
      <c r="P1968" s="26" t="n">
        <v>158012</v>
      </c>
    </row>
    <row r="1969">
      <c r="A1969" t="inlineStr">
        <is>
          <t>PRAGMA</t>
        </is>
      </c>
      <c r="B1969" t="inlineStr">
        <is>
          <t>M2</t>
        </is>
      </c>
      <c r="C1969" t="inlineStr">
        <is>
          <t>Cali</t>
        </is>
      </c>
      <c r="D1969" t="inlineStr">
        <is>
          <t>8395</t>
        </is>
      </c>
      <c r="E1969" t="inlineStr">
        <is>
          <t>TDV</t>
        </is>
      </c>
      <c r="F1969" s="23" t="n">
        <v>46271</v>
      </c>
      <c r="G1969" t="inlineStr">
        <is>
          <t>recoleccion</t>
        </is>
      </c>
      <c r="H1969" s="26" t="n">
        <v>61732264</v>
      </c>
      <c r="I1969" t="inlineStr">
        <is>
          <t>bajo</t>
        </is>
      </c>
      <c r="J1969" t="inlineStr">
        <is>
          <t>RN-22 y RN-35: recoleccion al cierre de lo que pasa del cupo</t>
        </is>
      </c>
      <c r="K1969" t="inlineStr">
        <is>
          <t>Recoleccion al cierre: con el pronostico, el saldo cerraria en 77.582.264 COP, sobre el cupo de 15.850.000. Se recoge el excedente y el saldo queda en 15.850.000 COP. Equipo administrado por TDV.</t>
        </is>
      </c>
      <c r="L1969" s="26" t="n">
        <v>15850000</v>
      </c>
      <c r="M1969" s="26" t="n">
        <v>77582264</v>
      </c>
      <c r="N1969" s="27">
        <f>IF(ISNUMBER(M1969),M1969/L1969,"No aplica")</f>
        <v>4.894780063091483</v>
      </c>
      <c r="O1969" s="25">
        <f>IF(G1969="provision",M1969+H1969,IF(G1969="recoleccion",M1969-H1969,"No aplica"))</f>
        <v>15850000</v>
      </c>
      <c r="P1969" s="26" t="n">
        <v>182814</v>
      </c>
    </row>
    <row r="1970">
      <c r="A1970" t="inlineStr">
        <is>
          <t>PRAGMA</t>
        </is>
      </c>
      <c r="B1970" t="inlineStr">
        <is>
          <t>M2</t>
        </is>
      </c>
      <c r="C1970" t="inlineStr">
        <is>
          <t>Cali</t>
        </is>
      </c>
      <c r="D1970" t="inlineStr">
        <is>
          <t>8395</t>
        </is>
      </c>
      <c r="E1970" t="inlineStr">
        <is>
          <t>TDV</t>
        </is>
      </c>
      <c r="F1970" s="23" t="n">
        <v>46272</v>
      </c>
      <c r="G1970" t="inlineStr">
        <is>
          <t>recoleccion</t>
        </is>
      </c>
      <c r="H1970" s="26" t="n">
        <v>130937386</v>
      </c>
      <c r="I1970" t="inlineStr">
        <is>
          <t>bajo</t>
        </is>
      </c>
      <c r="J1970" t="inlineStr">
        <is>
          <t>RN-22 y RN-35: recoleccion al cierre de lo que pasa del cupo</t>
        </is>
      </c>
      <c r="K1970" t="inlineStr">
        <is>
          <t>Recoleccion al cierre: con el pronostico, el saldo cerraria en 146.787.386 COP, sobre el cupo de 15.850.000. Se recoge el excedente y el saldo queda en 15.850.000 COP. Equipo administrado por TDV.</t>
        </is>
      </c>
      <c r="L1970" s="26" t="n">
        <v>15850000</v>
      </c>
      <c r="M1970" s="26" t="n">
        <v>146787386</v>
      </c>
      <c r="N1970" s="27">
        <f>IF(ISNUMBER(M1970),M1970/L1970,"No aplica")</f>
        <v>9.2610338170347</v>
      </c>
      <c r="O1970" s="25">
        <f>IF(G1970="provision",M1970+H1970,IF(G1970="recoleccion",M1970-H1970,"No aplica"))</f>
        <v>15850000</v>
      </c>
      <c r="P1970" s="26" t="n">
        <v>158012</v>
      </c>
    </row>
    <row r="1971">
      <c r="A1971" t="inlineStr">
        <is>
          <t>PRAGMA</t>
        </is>
      </c>
      <c r="B1971" t="inlineStr">
        <is>
          <t>M2</t>
        </is>
      </c>
      <c r="C1971" t="inlineStr">
        <is>
          <t>Cali</t>
        </is>
      </c>
      <c r="D1971" t="inlineStr">
        <is>
          <t>8395</t>
        </is>
      </c>
      <c r="E1971" t="inlineStr">
        <is>
          <t>TDV</t>
        </is>
      </c>
      <c r="F1971" s="23" t="n">
        <v>46273</v>
      </c>
      <c r="G1971" t="inlineStr">
        <is>
          <t>recoleccion</t>
        </is>
      </c>
      <c r="H1971" s="26" t="n">
        <v>118182383</v>
      </c>
      <c r="I1971" t="inlineStr">
        <is>
          <t>bajo</t>
        </is>
      </c>
      <c r="J1971" t="inlineStr">
        <is>
          <t>RN-22 y RN-35: recoleccion al cierre de lo que pasa del cupo</t>
        </is>
      </c>
      <c r="K1971" t="inlineStr">
        <is>
          <t>Recoleccion al cierre: con el pronostico, el saldo cerraria en 134.032.383 COP, sobre el cupo de 15.850.000. Se recoge el excedente y el saldo queda en 15.850.000 COP. Equipo administrado por TDV.</t>
        </is>
      </c>
      <c r="L1971" s="26" t="n">
        <v>15850000</v>
      </c>
      <c r="M1971" s="26" t="n">
        <v>134032383</v>
      </c>
      <c r="N1971" s="27">
        <f>IF(ISNUMBER(M1971),M1971/L1971,"No aplica")</f>
        <v>8.456301766561515</v>
      </c>
      <c r="O1971" s="25">
        <f>IF(G1971="provision",M1971+H1971,IF(G1971="recoleccion",M1971-H1971,"No aplica"))</f>
        <v>15850000</v>
      </c>
      <c r="P1971" s="26" t="n">
        <v>158012</v>
      </c>
    </row>
    <row r="1972">
      <c r="A1972" t="inlineStr">
        <is>
          <t>PRAGMA</t>
        </is>
      </c>
      <c r="B1972" t="inlineStr">
        <is>
          <t>M2</t>
        </is>
      </c>
      <c r="C1972" t="inlineStr">
        <is>
          <t>Cali</t>
        </is>
      </c>
      <c r="D1972" t="inlineStr">
        <is>
          <t>8395</t>
        </is>
      </c>
      <c r="E1972" t="inlineStr">
        <is>
          <t>TDV</t>
        </is>
      </c>
      <c r="F1972" s="23" t="n">
        <v>46274</v>
      </c>
      <c r="G1972" t="inlineStr">
        <is>
          <t>recoleccion</t>
        </is>
      </c>
      <c r="H1972" s="26" t="n">
        <v>101564251</v>
      </c>
      <c r="I1972" t="inlineStr">
        <is>
          <t>bajo</t>
        </is>
      </c>
      <c r="J1972" t="inlineStr">
        <is>
          <t>RN-22 y RN-35: recoleccion al cierre de lo que pasa del cupo</t>
        </is>
      </c>
      <c r="K1972" t="inlineStr">
        <is>
          <t>Recoleccion al cierre: con el pronostico, el saldo cerraria en 117.414.251 COP, sobre el cupo de 15.850.000. Se recoge el excedente y el saldo queda en 15.850.000 COP. Equipo administrado por TDV.</t>
        </is>
      </c>
      <c r="L1972" s="26" t="n">
        <v>15850000</v>
      </c>
      <c r="M1972" s="26" t="n">
        <v>117414251</v>
      </c>
      <c r="N1972" s="27">
        <f>IF(ISNUMBER(M1972),M1972/L1972,"No aplica")</f>
        <v>7.4078391798107255</v>
      </c>
      <c r="O1972" s="25">
        <f>IF(G1972="provision",M1972+H1972,IF(G1972="recoleccion",M1972-H1972,"No aplica"))</f>
        <v>15850000</v>
      </c>
      <c r="P1972" s="26" t="n">
        <v>158012</v>
      </c>
    </row>
    <row r="1973">
      <c r="A1973" t="inlineStr">
        <is>
          <t>PRAGMA</t>
        </is>
      </c>
      <c r="B1973" t="inlineStr">
        <is>
          <t>M2</t>
        </is>
      </c>
      <c r="C1973" t="inlineStr">
        <is>
          <t>Cali</t>
        </is>
      </c>
      <c r="D1973" t="inlineStr">
        <is>
          <t>8395</t>
        </is>
      </c>
      <c r="E1973" t="inlineStr">
        <is>
          <t>TDV</t>
        </is>
      </c>
      <c r="F1973" s="23" t="n">
        <v>46275</v>
      </c>
      <c r="G1973" t="inlineStr">
        <is>
          <t>recoleccion</t>
        </is>
      </c>
      <c r="H1973" s="26" t="n">
        <v>101677508</v>
      </c>
      <c r="I1973" t="inlineStr">
        <is>
          <t>bajo</t>
        </is>
      </c>
      <c r="J1973" t="inlineStr">
        <is>
          <t>RN-22 y RN-35: recoleccion al cierre de lo que pasa del cupo</t>
        </is>
      </c>
      <c r="K1973" t="inlineStr">
        <is>
          <t>Recoleccion al cierre: con el pronostico, el saldo cerraria en 117.527.508 COP, sobre el cupo de 15.850.000. Se recoge el excedente y el saldo queda en 15.850.000 COP. Equipo administrado por TDV.</t>
        </is>
      </c>
      <c r="L1973" s="26" t="n">
        <v>15850000</v>
      </c>
      <c r="M1973" s="26" t="n">
        <v>117527508</v>
      </c>
      <c r="N1973" s="27">
        <f>IF(ISNUMBER(M1973),M1973/L1973,"No aplica")</f>
        <v>7.414984731861199</v>
      </c>
      <c r="O1973" s="25">
        <f>IF(G1973="provision",M1973+H1973,IF(G1973="recoleccion",M1973-H1973,"No aplica"))</f>
        <v>15850000</v>
      </c>
      <c r="P1973" s="26" t="n">
        <v>158012</v>
      </c>
    </row>
    <row r="1974">
      <c r="A1974" t="inlineStr">
        <is>
          <t>PRAGMA</t>
        </is>
      </c>
      <c r="B1974" t="inlineStr">
        <is>
          <t>M2</t>
        </is>
      </c>
      <c r="C1974" t="inlineStr">
        <is>
          <t>Cali</t>
        </is>
      </c>
      <c r="D1974" t="inlineStr">
        <is>
          <t>8395</t>
        </is>
      </c>
      <c r="E1974" t="inlineStr">
        <is>
          <t>TDV</t>
        </is>
      </c>
      <c r="F1974" s="23" t="n">
        <v>46276</v>
      </c>
      <c r="G1974" t="inlineStr">
        <is>
          <t>recoleccion</t>
        </is>
      </c>
      <c r="H1974" s="26" t="n">
        <v>99673494</v>
      </c>
      <c r="I1974" t="inlineStr">
        <is>
          <t>bajo</t>
        </is>
      </c>
      <c r="J1974" t="inlineStr">
        <is>
          <t>RN-22 y RN-35: recoleccion al cierre de lo que pasa del cupo</t>
        </is>
      </c>
      <c r="K1974" t="inlineStr">
        <is>
          <t>Recoleccion al cierre: con el pronostico, el saldo cerraria en 115.523.494 COP, sobre el cupo de 15.850.000. Se recoge el excedente y el saldo queda en 15.850.000 COP. Equipo administrado por TDV.</t>
        </is>
      </c>
      <c r="L1974" s="26" t="n">
        <v>15850000</v>
      </c>
      <c r="M1974" s="26" t="n">
        <v>115523494</v>
      </c>
      <c r="N1974" s="27">
        <f>IF(ISNUMBER(M1974),M1974/L1974,"No aplica")</f>
        <v>7.288548517350158</v>
      </c>
      <c r="O1974" s="25">
        <f>IF(G1974="provision",M1974+H1974,IF(G1974="recoleccion",M1974-H1974,"No aplica"))</f>
        <v>15850000</v>
      </c>
      <c r="P1974" s="26" t="n">
        <v>158012</v>
      </c>
    </row>
    <row r="1975">
      <c r="A1975" t="inlineStr">
        <is>
          <t>PRAGMA</t>
        </is>
      </c>
      <c r="B1975" t="inlineStr">
        <is>
          <t>M2</t>
        </is>
      </c>
      <c r="C1975" t="inlineStr">
        <is>
          <t>Cali</t>
        </is>
      </c>
      <c r="D1975" t="inlineStr">
        <is>
          <t>8395</t>
        </is>
      </c>
      <c r="E1975" t="inlineStr">
        <is>
          <t>TDV</t>
        </is>
      </c>
      <c r="F1975" s="23" t="n">
        <v>46277</v>
      </c>
      <c r="G1975" t="inlineStr">
        <is>
          <t>recoleccion</t>
        </is>
      </c>
      <c r="H1975" s="26" t="n">
        <v>107384899</v>
      </c>
      <c r="I1975" t="inlineStr">
        <is>
          <t>bajo</t>
        </is>
      </c>
      <c r="J1975" t="inlineStr">
        <is>
          <t>RN-22 y RN-35: recoleccion al cierre de lo que pasa del cupo</t>
        </is>
      </c>
      <c r="K1975" t="inlineStr">
        <is>
          <t>Recoleccion al cierre: con el pronostico, el saldo cerraria en 123.234.899 COP, sobre el cupo de 15.850.000. Se recoge el excedente y el saldo queda en 15.850.000 COP. Equipo administrado por TDV.</t>
        </is>
      </c>
      <c r="L1975" s="26" t="n">
        <v>15850000</v>
      </c>
      <c r="M1975" s="26" t="n">
        <v>123234899</v>
      </c>
      <c r="N1975" s="27">
        <f>IF(ISNUMBER(M1975),M1975/L1975,"No aplica")</f>
        <v>7.775072492113565</v>
      </c>
      <c r="O1975" s="25">
        <f>IF(G1975="provision",M1975+H1975,IF(G1975="recoleccion",M1975-H1975,"No aplica"))</f>
        <v>15850000</v>
      </c>
      <c r="P1975" s="26" t="n">
        <v>158012</v>
      </c>
    </row>
    <row r="1976">
      <c r="A1976" t="inlineStr">
        <is>
          <t>PRAGMA</t>
        </is>
      </c>
      <c r="B1976" t="inlineStr">
        <is>
          <t>M2</t>
        </is>
      </c>
      <c r="C1976" t="inlineStr">
        <is>
          <t>Cali</t>
        </is>
      </c>
      <c r="D1976" t="inlineStr">
        <is>
          <t>8395</t>
        </is>
      </c>
      <c r="E1976" t="inlineStr">
        <is>
          <t>TDV</t>
        </is>
      </c>
      <c r="F1976" s="23" t="n">
        <v>46278</v>
      </c>
      <c r="G1976" t="inlineStr">
        <is>
          <t>recoleccion</t>
        </is>
      </c>
      <c r="H1976" s="26" t="n">
        <v>48637724</v>
      </c>
      <c r="I1976" t="inlineStr">
        <is>
          <t>bajo</t>
        </is>
      </c>
      <c r="J1976" t="inlineStr">
        <is>
          <t>RN-22 y RN-35: recoleccion al cierre de lo que pasa del cupo</t>
        </is>
      </c>
      <c r="K1976" t="inlineStr">
        <is>
          <t>Recoleccion al cierre: con el pronostico, el saldo cerraria en 64.487.724 COP, sobre el cupo de 15.850.000. Se recoge el excedente y el saldo queda en 15.850.000 COP. Equipo administrado por TDV.</t>
        </is>
      </c>
      <c r="L1976" s="26" t="n">
        <v>15850000</v>
      </c>
      <c r="M1976" s="26" t="n">
        <v>64487724</v>
      </c>
      <c r="N1976" s="27">
        <f>IF(ISNUMBER(M1976),M1976/L1976,"No aplica")</f>
        <v>4.068626119873817</v>
      </c>
      <c r="O1976" s="25">
        <f>IF(G1976="provision",M1976+H1976,IF(G1976="recoleccion",M1976-H1976,"No aplica"))</f>
        <v>15850000</v>
      </c>
      <c r="P1976" s="26" t="n">
        <v>182814</v>
      </c>
    </row>
    <row r="1977">
      <c r="A1977" t="inlineStr">
        <is>
          <t>PRAGMA</t>
        </is>
      </c>
      <c r="B1977" t="inlineStr">
        <is>
          <t>M2</t>
        </is>
      </c>
      <c r="C1977" t="inlineStr">
        <is>
          <t>Cali</t>
        </is>
      </c>
      <c r="D1977" t="inlineStr">
        <is>
          <t>8395</t>
        </is>
      </c>
      <c r="E1977" t="inlineStr">
        <is>
          <t>TDV</t>
        </is>
      </c>
      <c r="F1977" s="23" t="n">
        <v>46279</v>
      </c>
      <c r="G1977" t="inlineStr">
        <is>
          <t>recoleccion</t>
        </is>
      </c>
      <c r="H1977" s="26" t="n">
        <v>115942016</v>
      </c>
      <c r="I1977" t="inlineStr">
        <is>
          <t>bajo</t>
        </is>
      </c>
      <c r="J1977" t="inlineStr">
        <is>
          <t>RN-22 y RN-35: recoleccion al cierre de lo que pasa del cupo</t>
        </is>
      </c>
      <c r="K1977" t="inlineStr">
        <is>
          <t>Recoleccion al cierre: con el pronostico, el saldo cerraria en 131.792.016 COP, sobre el cupo de 15.850.000. Se recoge el excedente y el saldo queda en 15.850.000 COP. Equipo administrado por TDV.</t>
        </is>
      </c>
      <c r="L1977" s="26" t="n">
        <v>15850000</v>
      </c>
      <c r="M1977" s="26" t="n">
        <v>131792016</v>
      </c>
      <c r="N1977" s="27">
        <f>IF(ISNUMBER(M1977),M1977/L1977,"No aplica")</f>
        <v>8.314953690851736</v>
      </c>
      <c r="O1977" s="25">
        <f>IF(G1977="provision",M1977+H1977,IF(G1977="recoleccion",M1977-H1977,"No aplica"))</f>
        <v>15850000</v>
      </c>
      <c r="P1977" s="26" t="n">
        <v>158012</v>
      </c>
    </row>
    <row r="1978">
      <c r="A1978" t="inlineStr">
        <is>
          <t>PRAGMA</t>
        </is>
      </c>
      <c r="B1978" t="inlineStr">
        <is>
          <t>M2</t>
        </is>
      </c>
      <c r="C1978" t="inlineStr">
        <is>
          <t>Cali</t>
        </is>
      </c>
      <c r="D1978" t="inlineStr">
        <is>
          <t>8395</t>
        </is>
      </c>
      <c r="E1978" t="inlineStr">
        <is>
          <t>TDV</t>
        </is>
      </c>
      <c r="F1978" s="23" t="n">
        <v>46280</v>
      </c>
      <c r="G1978" t="inlineStr">
        <is>
          <t>recoleccion</t>
        </is>
      </c>
      <c r="H1978" s="26" t="n">
        <v>115540278</v>
      </c>
      <c r="I1978" t="inlineStr">
        <is>
          <t>bajo</t>
        </is>
      </c>
      <c r="J1978" t="inlineStr">
        <is>
          <t>RN-22 y RN-35: recoleccion al cierre de lo que pasa del cupo</t>
        </is>
      </c>
      <c r="K1978" t="inlineStr">
        <is>
          <t>Recoleccion al cierre: con el pronostico, el saldo cerraria en 131.390.278 COP, sobre el cupo de 15.850.000. Se recoge el excedente y el saldo queda en 15.850.000 COP. Equipo administrado por TDV.</t>
        </is>
      </c>
      <c r="L1978" s="26" t="n">
        <v>15850000</v>
      </c>
      <c r="M1978" s="26" t="n">
        <v>131390278</v>
      </c>
      <c r="N1978" s="27">
        <f>IF(ISNUMBER(M1978),M1978/L1978,"No aplica")</f>
        <v>8.289607444794953</v>
      </c>
      <c r="O1978" s="25">
        <f>IF(G1978="provision",M1978+H1978,IF(G1978="recoleccion",M1978-H1978,"No aplica"))</f>
        <v>15850000</v>
      </c>
      <c r="P1978" s="26" t="n">
        <v>158012</v>
      </c>
    </row>
    <row r="1979">
      <c r="A1979" t="inlineStr">
        <is>
          <t>PRAGMA</t>
        </is>
      </c>
      <c r="B1979" t="inlineStr">
        <is>
          <t>M2</t>
        </is>
      </c>
      <c r="C1979" t="inlineStr">
        <is>
          <t>Cali</t>
        </is>
      </c>
      <c r="D1979" t="inlineStr">
        <is>
          <t>8667</t>
        </is>
      </c>
      <c r="E1979" t="inlineStr">
        <is>
          <t>Sucursal</t>
        </is>
      </c>
      <c r="F1979" s="23" t="n">
        <v>46267</v>
      </c>
      <c r="G1979" t="inlineStr">
        <is>
          <t>provision</t>
        </is>
      </c>
      <c r="H1979" s="26" t="n">
        <v>85502000</v>
      </c>
      <c r="I1979" t="inlineStr">
        <is>
          <t>bajo</t>
        </is>
      </c>
      <c r="J1979" t="inlineStr">
        <is>
          <t>RN-19A y RN-21: provision hasta el cupo antes de bajar del 8 %</t>
        </is>
      </c>
      <c r="K1979" t="inlineStr">
        <is>
          <t>Provision en la manana, antes del pagado: con el pronostico, sin provision el saldo bajaria del 8 % del cupo ese dia. Lleva el saldo de 0 a 85.502.000 COP (cupo 85.502.000). Equipo administrado por Sucursal. Sin tarifa TDV (administrado por la sucursal): costo 0 declarado.</t>
        </is>
      </c>
      <c r="L1979" s="26" t="n">
        <v>85502000</v>
      </c>
      <c r="M1979" s="26" t="n">
        <v>0</v>
      </c>
      <c r="N1979" s="27">
        <f>IF(ISNUMBER(M1979),M1979/L1979,"No aplica")</f>
        <v>0</v>
      </c>
      <c r="O1979" s="25">
        <f>IF(G1979="provision",M1979+H1979,IF(G1979="recoleccion",M1979-H1979,"No aplica"))</f>
        <v>85502000</v>
      </c>
      <c r="P1979" s="26" t="n">
        <v>0</v>
      </c>
    </row>
    <row r="1980">
      <c r="A1980" t="inlineStr">
        <is>
          <t>PRAGMA</t>
        </is>
      </c>
      <c r="B1980" t="inlineStr">
        <is>
          <t>M2</t>
        </is>
      </c>
      <c r="C1980" t="inlineStr">
        <is>
          <t>Cali</t>
        </is>
      </c>
      <c r="D1980" t="inlineStr">
        <is>
          <t>8667</t>
        </is>
      </c>
      <c r="E1980" t="inlineStr">
        <is>
          <t>Sucursal</t>
        </is>
      </c>
      <c r="F1980" s="23" t="n">
        <v>46268</v>
      </c>
      <c r="G1980" t="inlineStr">
        <is>
          <t>provision</t>
        </is>
      </c>
      <c r="H1980" s="26" t="n">
        <v>85502000</v>
      </c>
      <c r="I1980" t="inlineStr">
        <is>
          <t>bajo</t>
        </is>
      </c>
      <c r="J1980" t="inlineStr">
        <is>
          <t>RN-19A y RN-21: provision hasta el cupo antes de bajar del 8 %</t>
        </is>
      </c>
      <c r="K1980" t="inlineStr">
        <is>
          <t>Provision en la manana, antes del pagado: con el pronostico, sin provision el saldo bajaria del 8 % del cupo ese dia. Lleva el saldo de 0 a 85.502.000 COP (cupo 85.502.000). Equipo administrado por Sucursal. Sin tarifa TDV (administrado por la sucursal): costo 0 declarado.</t>
        </is>
      </c>
      <c r="L1980" s="26" t="n">
        <v>85502000</v>
      </c>
      <c r="M1980" s="26" t="n">
        <v>0</v>
      </c>
      <c r="N1980" s="27">
        <f>IF(ISNUMBER(M1980),M1980/L1980,"No aplica")</f>
        <v>0</v>
      </c>
      <c r="O1980" s="25">
        <f>IF(G1980="provision",M1980+H1980,IF(G1980="recoleccion",M1980-H1980,"No aplica"))</f>
        <v>85502000</v>
      </c>
      <c r="P1980" s="26" t="n">
        <v>0</v>
      </c>
    </row>
    <row r="1981">
      <c r="A1981" t="inlineStr">
        <is>
          <t>PRAGMA</t>
        </is>
      </c>
      <c r="B1981" t="inlineStr">
        <is>
          <t>M2</t>
        </is>
      </c>
      <c r="C1981" t="inlineStr">
        <is>
          <t>Cali</t>
        </is>
      </c>
      <c r="D1981" t="inlineStr">
        <is>
          <t>8667</t>
        </is>
      </c>
      <c r="E1981" t="inlineStr">
        <is>
          <t>Sucursal</t>
        </is>
      </c>
      <c r="F1981" s="23" t="n">
        <v>46269</v>
      </c>
      <c r="G1981" t="inlineStr">
        <is>
          <t>provision</t>
        </is>
      </c>
      <c r="H1981" s="26" t="n">
        <v>85502000</v>
      </c>
      <c r="I1981" t="inlineStr">
        <is>
          <t>bajo</t>
        </is>
      </c>
      <c r="J1981" t="inlineStr">
        <is>
          <t>RN-19A y RN-21: provision hasta el cupo antes de bajar del 8 %</t>
        </is>
      </c>
      <c r="K1981" t="inlineStr">
        <is>
          <t>Provision en la manana, antes del pagado: con el pronostico, sin provision el saldo bajaria del 8 % del cupo ese dia. Lleva el saldo de 0 a 85.502.000 COP (cupo 85.502.000). Equipo administrado por Sucursal. Sin tarifa TDV (administrado por la sucursal): costo 0 declarado.</t>
        </is>
      </c>
      <c r="L1981" s="26" t="n">
        <v>85502000</v>
      </c>
      <c r="M1981" s="26" t="n">
        <v>0</v>
      </c>
      <c r="N1981" s="27">
        <f>IF(ISNUMBER(M1981),M1981/L1981,"No aplica")</f>
        <v>0</v>
      </c>
      <c r="O1981" s="25">
        <f>IF(G1981="provision",M1981+H1981,IF(G1981="recoleccion",M1981-H1981,"No aplica"))</f>
        <v>85502000</v>
      </c>
      <c r="P1981" s="26" t="n">
        <v>0</v>
      </c>
    </row>
    <row r="1982">
      <c r="A1982" t="inlineStr">
        <is>
          <t>PRAGMA</t>
        </is>
      </c>
      <c r="B1982" t="inlineStr">
        <is>
          <t>M2</t>
        </is>
      </c>
      <c r="C1982" t="inlineStr">
        <is>
          <t>Cali</t>
        </is>
      </c>
      <c r="D1982" t="inlineStr">
        <is>
          <t>8667</t>
        </is>
      </c>
      <c r="E1982" t="inlineStr">
        <is>
          <t>Sucursal</t>
        </is>
      </c>
      <c r="F1982" s="23" t="n">
        <v>46270</v>
      </c>
      <c r="G1982" t="inlineStr">
        <is>
          <t>provision</t>
        </is>
      </c>
      <c r="H1982" s="26" t="n">
        <v>85313213</v>
      </c>
      <c r="I1982" t="inlineStr">
        <is>
          <t>bajo</t>
        </is>
      </c>
      <c r="J1982" t="inlineStr">
        <is>
          <t>RN-19A y RN-21: provision hasta el cupo antes de bajar del 8 %</t>
        </is>
      </c>
      <c r="K1982" t="inlineStr">
        <is>
          <t>Provision en la manana, antes del pagado: con el pronostico, sin provision el saldo bajaria del 8 % del cupo ese dia. Lleva el saldo de 188.787 a 85.502.000 COP (cupo 85.502.000). Equipo administrado por Sucursal. Sin tarifa TDV (administrado por la sucursal): costo 0 declarado.</t>
        </is>
      </c>
      <c r="L1982" s="26" t="n">
        <v>85502000</v>
      </c>
      <c r="M1982" s="26" t="n">
        <v>188787</v>
      </c>
      <c r="N1982" s="27">
        <f>IF(ISNUMBER(M1982),M1982/L1982,"No aplica")</f>
        <v>0.0022079834389838833</v>
      </c>
      <c r="O1982" s="25">
        <f>IF(G1982="provision",M1982+H1982,IF(G1982="recoleccion",M1982-H1982,"No aplica"))</f>
        <v>85502000</v>
      </c>
      <c r="P1982" s="26" t="n">
        <v>0</v>
      </c>
    </row>
    <row r="1983">
      <c r="A1983" t="inlineStr">
        <is>
          <t>PRAGMA</t>
        </is>
      </c>
      <c r="B1983" t="inlineStr">
        <is>
          <t>M2</t>
        </is>
      </c>
      <c r="C1983" t="inlineStr">
        <is>
          <t>Cali</t>
        </is>
      </c>
      <c r="D1983" t="inlineStr">
        <is>
          <t>8667</t>
        </is>
      </c>
      <c r="E1983" t="inlineStr">
        <is>
          <t>Sucursal</t>
        </is>
      </c>
      <c r="F1983" s="23" t="n">
        <v>46271</v>
      </c>
      <c r="G1983" t="inlineStr">
        <is>
          <t>provision</t>
        </is>
      </c>
      <c r="H1983" s="26" t="n">
        <v>77432579</v>
      </c>
      <c r="I1983" t="inlineStr">
        <is>
          <t>bajo</t>
        </is>
      </c>
      <c r="J1983" t="inlineStr">
        <is>
          <t>RN-19A y RN-21: provision hasta el cupo antes de bajar del 8 %</t>
        </is>
      </c>
      <c r="K1983" t="inlineStr">
        <is>
          <t>Provision en la manana, antes del pagado: con el pronostico, sin provision el saldo bajaria del 8 % del cupo ese dia. Lleva el saldo de 8.069.421 a 85.502.000 COP (cupo 85.502.000). Equipo administrado por Sucursal. Sin tarifa TDV (administrado por la sucursal): costo 0 declarado.</t>
        </is>
      </c>
      <c r="L1983" s="26" t="n">
        <v>85502000</v>
      </c>
      <c r="M1983" s="26" t="n">
        <v>8069421</v>
      </c>
      <c r="N1983" s="27">
        <f>IF(ISNUMBER(M1983),M1983/L1983,"No aplica")</f>
        <v>0.0943769853336764</v>
      </c>
      <c r="O1983" s="25">
        <f>IF(G1983="provision",M1983+H1983,IF(G1983="recoleccion",M1983-H1983,"No aplica"))</f>
        <v>85502000</v>
      </c>
      <c r="P1983" s="26" t="n">
        <v>0</v>
      </c>
    </row>
    <row r="1984">
      <c r="A1984" t="inlineStr">
        <is>
          <t>PRAGMA</t>
        </is>
      </c>
      <c r="B1984" t="inlineStr">
        <is>
          <t>M2</t>
        </is>
      </c>
      <c r="C1984" t="inlineStr">
        <is>
          <t>Cali</t>
        </is>
      </c>
      <c r="D1984" t="inlineStr">
        <is>
          <t>8667</t>
        </is>
      </c>
      <c r="E1984" t="inlineStr">
        <is>
          <t>Sucursal</t>
        </is>
      </c>
      <c r="F1984" s="23" t="n">
        <v>46272</v>
      </c>
      <c r="G1984" t="inlineStr">
        <is>
          <t>provision</t>
        </is>
      </c>
      <c r="H1984" s="26" t="n">
        <v>56119920</v>
      </c>
      <c r="I1984" t="inlineStr">
        <is>
          <t>bajo</t>
        </is>
      </c>
      <c r="J1984" t="inlineStr">
        <is>
          <t>RN-19A y RN-21: provision hasta el cupo antes de bajar del 8 %</t>
        </is>
      </c>
      <c r="K1984" t="inlineStr">
        <is>
          <t>Provision en la manana, antes del pagado: con el pronostico, sin provision el saldo bajaria del 8 % del cupo ese dia. Lleva el saldo de 29.382.080 a 85.502.000 COP (cupo 85.502.000). Equipo administrado por Sucursal. Sin tarifa TDV (administrado por la sucursal): costo 0 declarado.</t>
        </is>
      </c>
      <c r="L1984" s="26" t="n">
        <v>85502000</v>
      </c>
      <c r="M1984" s="26" t="n">
        <v>29382080</v>
      </c>
      <c r="N1984" s="27">
        <f>IF(ISNUMBER(M1984),M1984/L1984,"No aplica")</f>
        <v>0.34364202006970596</v>
      </c>
      <c r="O1984" s="25">
        <f>IF(G1984="provision",M1984+H1984,IF(G1984="recoleccion",M1984-H1984,"No aplica"))</f>
        <v>85502000</v>
      </c>
      <c r="P1984" s="26" t="n">
        <v>0</v>
      </c>
    </row>
    <row r="1985">
      <c r="A1985" t="inlineStr">
        <is>
          <t>PRAGMA</t>
        </is>
      </c>
      <c r="B1985" t="inlineStr">
        <is>
          <t>M2</t>
        </is>
      </c>
      <c r="C1985" t="inlineStr">
        <is>
          <t>Cali</t>
        </is>
      </c>
      <c r="D1985" t="inlineStr">
        <is>
          <t>8667</t>
        </is>
      </c>
      <c r="E1985" t="inlineStr">
        <is>
          <t>Sucursal</t>
        </is>
      </c>
      <c r="F1985" s="23" t="n">
        <v>46273</v>
      </c>
      <c r="G1985" t="inlineStr">
        <is>
          <t>provision</t>
        </is>
      </c>
      <c r="H1985" s="26" t="n">
        <v>61668670</v>
      </c>
      <c r="I1985" t="inlineStr">
        <is>
          <t>bajo</t>
        </is>
      </c>
      <c r="J1985" t="inlineStr">
        <is>
          <t>RN-19A y RN-21: provision hasta el cupo antes de bajar del 8 %</t>
        </is>
      </c>
      <c r="K1985" t="inlineStr">
        <is>
          <t>Provision en la manana, antes del pagado: con el pronostico, sin provision el saldo bajaria del 8 % del cupo ese dia. Lleva el saldo de 23.833.330 a 85.502.000 COP (cupo 85.502.000). Equipo administrado por Sucursal. Sin tarifa TDV (administrado por la sucursal): costo 0 declarado.</t>
        </is>
      </c>
      <c r="L1985" s="26" t="n">
        <v>85502000</v>
      </c>
      <c r="M1985" s="26" t="n">
        <v>23833330</v>
      </c>
      <c r="N1985" s="27">
        <f>IF(ISNUMBER(M1985),M1985/L1985,"No aplica")</f>
        <v>0.27874587728942013</v>
      </c>
      <c r="O1985" s="25">
        <f>IF(G1985="provision",M1985+H1985,IF(G1985="recoleccion",M1985-H1985,"No aplica"))</f>
        <v>85502000</v>
      </c>
      <c r="P1985" s="26" t="n">
        <v>0</v>
      </c>
    </row>
    <row r="1986">
      <c r="A1986" t="inlineStr">
        <is>
          <t>PRAGMA</t>
        </is>
      </c>
      <c r="B1986" t="inlineStr">
        <is>
          <t>M2</t>
        </is>
      </c>
      <c r="C1986" t="inlineStr">
        <is>
          <t>Cali</t>
        </is>
      </c>
      <c r="D1986" t="inlineStr">
        <is>
          <t>8667</t>
        </is>
      </c>
      <c r="E1986" t="inlineStr">
        <is>
          <t>Sucursal</t>
        </is>
      </c>
      <c r="F1986" s="23" t="n">
        <v>46274</v>
      </c>
      <c r="G1986" t="inlineStr">
        <is>
          <t>provision</t>
        </is>
      </c>
      <c r="H1986" s="26" t="n">
        <v>61845128</v>
      </c>
      <c r="I1986" t="inlineStr">
        <is>
          <t>bajo</t>
        </is>
      </c>
      <c r="J1986" t="inlineStr">
        <is>
          <t>RN-19A y RN-21: provision hasta el cupo antes de bajar del 8 %</t>
        </is>
      </c>
      <c r="K1986" t="inlineStr">
        <is>
          <t>Provision en la manana, antes del pagado: con el pronostico, sin provision el saldo bajaria del 8 % del cupo ese dia. Lleva el saldo de 23.656.872 a 85.502.000 COP (cupo 85.502.000). Equipo administrado por Sucursal. Sin tarifa TDV (administrado por la sucursal): costo 0 declarado.</t>
        </is>
      </c>
      <c r="L1986" s="26" t="n">
        <v>85502000</v>
      </c>
      <c r="M1986" s="26" t="n">
        <v>23656872</v>
      </c>
      <c r="N1986" s="27">
        <f>IF(ISNUMBER(M1986),M1986/L1986,"No aplica")</f>
        <v>0.27668208930785243</v>
      </c>
      <c r="O1986" s="25">
        <f>IF(G1986="provision",M1986+H1986,IF(G1986="recoleccion",M1986-H1986,"No aplica"))</f>
        <v>85502000</v>
      </c>
      <c r="P1986" s="26" t="n">
        <v>0</v>
      </c>
    </row>
    <row r="1987">
      <c r="A1987" t="inlineStr">
        <is>
          <t>PRAGMA</t>
        </is>
      </c>
      <c r="B1987" t="inlineStr">
        <is>
          <t>M2</t>
        </is>
      </c>
      <c r="C1987" t="inlineStr">
        <is>
          <t>Cali</t>
        </is>
      </c>
      <c r="D1987" t="inlineStr">
        <is>
          <t>8667</t>
        </is>
      </c>
      <c r="E1987" t="inlineStr">
        <is>
          <t>Sucursal</t>
        </is>
      </c>
      <c r="F1987" s="23" t="n">
        <v>46275</v>
      </c>
      <c r="G1987" t="inlineStr">
        <is>
          <t>provision</t>
        </is>
      </c>
      <c r="H1987" s="26" t="n">
        <v>63756582</v>
      </c>
      <c r="I1987" t="inlineStr">
        <is>
          <t>bajo</t>
        </is>
      </c>
      <c r="J1987" t="inlineStr">
        <is>
          <t>RN-19A y RN-21: provision hasta el cupo antes de bajar del 8 %</t>
        </is>
      </c>
      <c r="K1987" t="inlineStr">
        <is>
          <t>Provision en la manana, antes del pagado: con el pronostico, sin provision el saldo bajaria del 8 % del cupo ese dia. Lleva el saldo de 21.745.418 a 85.502.000 COP (cupo 85.502.000). Equipo administrado por Sucursal. Sin tarifa TDV (administrado por la sucursal): costo 0 declarado.</t>
        </is>
      </c>
      <c r="L1987" s="26" t="n">
        <v>85502000</v>
      </c>
      <c r="M1987" s="26" t="n">
        <v>21745418</v>
      </c>
      <c r="N1987" s="27">
        <f>IF(ISNUMBER(M1987),M1987/L1987,"No aplica")</f>
        <v>0.25432642511286285</v>
      </c>
      <c r="O1987" s="25">
        <f>IF(G1987="provision",M1987+H1987,IF(G1987="recoleccion",M1987-H1987,"No aplica"))</f>
        <v>85502000</v>
      </c>
      <c r="P1987" s="26" t="n">
        <v>0</v>
      </c>
    </row>
    <row r="1988">
      <c r="A1988" t="inlineStr">
        <is>
          <t>PRAGMA</t>
        </is>
      </c>
      <c r="B1988" t="inlineStr">
        <is>
          <t>M2</t>
        </is>
      </c>
      <c r="C1988" t="inlineStr">
        <is>
          <t>Cali</t>
        </is>
      </c>
      <c r="D1988" t="inlineStr">
        <is>
          <t>8667</t>
        </is>
      </c>
      <c r="E1988" t="inlineStr">
        <is>
          <t>Sucursal</t>
        </is>
      </c>
      <c r="F1988" s="23" t="n">
        <v>46276</v>
      </c>
      <c r="G1988" t="inlineStr">
        <is>
          <t>provision</t>
        </is>
      </c>
      <c r="H1988" s="26" t="n">
        <v>52652611</v>
      </c>
      <c r="I1988" t="inlineStr">
        <is>
          <t>bajo</t>
        </is>
      </c>
      <c r="J1988" t="inlineStr">
        <is>
          <t>RN-19A y RN-21: provision hasta el cupo antes de bajar del 8 %</t>
        </is>
      </c>
      <c r="K1988" t="inlineStr">
        <is>
          <t>Provision en la manana, antes del pagado: con el pronostico, sin provision el saldo bajaria del 8 % del cupo ese dia. Lleva el saldo de 32.849.389 a 85.502.000 COP (cupo 85.502.000). Equipo administrado por Sucursal. Sin tarifa TDV (administrado por la sucursal): costo 0 declarado.</t>
        </is>
      </c>
      <c r="L1988" s="26" t="n">
        <v>85502000</v>
      </c>
      <c r="M1988" s="26" t="n">
        <v>32849389</v>
      </c>
      <c r="N1988" s="27">
        <f>IF(ISNUMBER(M1988),M1988/L1988,"No aplica")</f>
        <v>0.38419439311361137</v>
      </c>
      <c r="O1988" s="25">
        <f>IF(G1988="provision",M1988+H1988,IF(G1988="recoleccion",M1988-H1988,"No aplica"))</f>
        <v>85502000</v>
      </c>
      <c r="P1988" s="26" t="n">
        <v>0</v>
      </c>
    </row>
    <row r="1989">
      <c r="A1989" t="inlineStr">
        <is>
          <t>PRAGMA</t>
        </is>
      </c>
      <c r="B1989" t="inlineStr">
        <is>
          <t>M2</t>
        </is>
      </c>
      <c r="C1989" t="inlineStr">
        <is>
          <t>Cali</t>
        </is>
      </c>
      <c r="D1989" t="inlineStr">
        <is>
          <t>8667</t>
        </is>
      </c>
      <c r="E1989" t="inlineStr">
        <is>
          <t>Sucursal</t>
        </is>
      </c>
      <c r="F1989" s="23" t="n">
        <v>46277</v>
      </c>
      <c r="G1989" t="inlineStr">
        <is>
          <t>provision</t>
        </is>
      </c>
      <c r="H1989" s="26" t="n">
        <v>64479092</v>
      </c>
      <c r="I1989" t="inlineStr">
        <is>
          <t>bajo</t>
        </is>
      </c>
      <c r="J1989" t="inlineStr">
        <is>
          <t>RN-19A y RN-21: provision hasta el cupo antes de bajar del 8 %</t>
        </is>
      </c>
      <c r="K1989" t="inlineStr">
        <is>
          <t>Provision en la manana, antes del pagado: con el pronostico, sin provision el saldo bajaria del 8 % del cupo ese dia. Lleva el saldo de 21.022.908 a 85.502.000 COP (cupo 85.502.000). Equipo administrado por Sucursal. Sin tarifa TDV (administrado por la sucursal): costo 0 declarado.</t>
        </is>
      </c>
      <c r="L1989" s="26" t="n">
        <v>85502000</v>
      </c>
      <c r="M1989" s="26" t="n">
        <v>21022908</v>
      </c>
      <c r="N1989" s="27">
        <f>IF(ISNUMBER(M1989),M1989/L1989,"No aplica")</f>
        <v>0.24587621342190827</v>
      </c>
      <c r="O1989" s="25">
        <f>IF(G1989="provision",M1989+H1989,IF(G1989="recoleccion",M1989-H1989,"No aplica"))</f>
        <v>85502000</v>
      </c>
      <c r="P1989" s="26" t="n">
        <v>0</v>
      </c>
    </row>
    <row r="1990">
      <c r="A1990" t="inlineStr">
        <is>
          <t>PRAGMA</t>
        </is>
      </c>
      <c r="B1990" t="inlineStr">
        <is>
          <t>M2</t>
        </is>
      </c>
      <c r="C1990" t="inlineStr">
        <is>
          <t>Cali</t>
        </is>
      </c>
      <c r="D1990" t="inlineStr">
        <is>
          <t>8667</t>
        </is>
      </c>
      <c r="E1990" t="inlineStr">
        <is>
          <t>Sucursal</t>
        </is>
      </c>
      <c r="F1990" s="23" t="n">
        <v>46278</v>
      </c>
      <c r="G1990" t="inlineStr">
        <is>
          <t>provision</t>
        </is>
      </c>
      <c r="H1990" s="26" t="n">
        <v>58319188</v>
      </c>
      <c r="I1990" t="inlineStr">
        <is>
          <t>bajo</t>
        </is>
      </c>
      <c r="J1990" t="inlineStr">
        <is>
          <t>RN-19A y RN-21: provision hasta el cupo antes de bajar del 8 %</t>
        </is>
      </c>
      <c r="K1990" t="inlineStr">
        <is>
          <t>Provision en la manana, antes del pagado: con el pronostico, sin provision el saldo bajaria del 8 % del cupo ese dia. Lleva el saldo de 27.182.812 a 85.502.000 COP (cupo 85.502.000). Equipo administrado por Sucursal. Sin tarifa TDV (administrado por la sucursal): costo 0 declarado.</t>
        </is>
      </c>
      <c r="L1990" s="26" t="n">
        <v>85502000</v>
      </c>
      <c r="M1990" s="26" t="n">
        <v>27182812</v>
      </c>
      <c r="N1990" s="27">
        <f>IF(ISNUMBER(M1990),M1990/L1990,"No aplica")</f>
        <v>0.3179201890014269</v>
      </c>
      <c r="O1990" s="25">
        <f>IF(G1990="provision",M1990+H1990,IF(G1990="recoleccion",M1990-H1990,"No aplica"))</f>
        <v>85502000</v>
      </c>
      <c r="P1990" s="26" t="n">
        <v>0</v>
      </c>
    </row>
    <row r="1991">
      <c r="A1991" t="inlineStr">
        <is>
          <t>PRAGMA</t>
        </is>
      </c>
      <c r="B1991" t="inlineStr">
        <is>
          <t>M2</t>
        </is>
      </c>
      <c r="C1991" t="inlineStr">
        <is>
          <t>Cali</t>
        </is>
      </c>
      <c r="D1991" t="inlineStr">
        <is>
          <t>8667</t>
        </is>
      </c>
      <c r="E1991" t="inlineStr">
        <is>
          <t>Sucursal</t>
        </is>
      </c>
      <c r="F1991" s="23" t="n">
        <v>46279</v>
      </c>
      <c r="G1991" t="inlineStr">
        <is>
          <t>provision</t>
        </is>
      </c>
      <c r="H1991" s="26" t="n">
        <v>44895246</v>
      </c>
      <c r="I1991" t="inlineStr">
        <is>
          <t>bajo</t>
        </is>
      </c>
      <c r="J1991" t="inlineStr">
        <is>
          <t>RN-19A y RN-21: provision hasta el cupo antes de bajar del 8 %</t>
        </is>
      </c>
      <c r="K1991" t="inlineStr">
        <is>
          <t>Provision en la manana, antes del pagado: con el pronostico, sin provision el saldo bajaria del 8 % del cupo ese dia. Lleva el saldo de 40.606.754 a 85.502.000 COP (cupo 85.502.000). Equipo administrado por Sucursal. Sin tarifa TDV (administrado por la sucursal): costo 0 declarado.</t>
        </is>
      </c>
      <c r="L1991" s="26" t="n">
        <v>85502000</v>
      </c>
      <c r="M1991" s="26" t="n">
        <v>40606754</v>
      </c>
      <c r="N1991" s="27">
        <f>IF(ISNUMBER(M1991),M1991/L1991,"No aplica")</f>
        <v>0.47492168604243173</v>
      </c>
      <c r="O1991" s="25">
        <f>IF(G1991="provision",M1991+H1991,IF(G1991="recoleccion",M1991-H1991,"No aplica"))</f>
        <v>85502000</v>
      </c>
      <c r="P1991" s="26" t="n">
        <v>0</v>
      </c>
    </row>
    <row r="1992">
      <c r="A1992" t="inlineStr">
        <is>
          <t>PRAGMA</t>
        </is>
      </c>
      <c r="B1992" t="inlineStr">
        <is>
          <t>M2</t>
        </is>
      </c>
      <c r="C1992" t="inlineStr">
        <is>
          <t>Cali</t>
        </is>
      </c>
      <c r="D1992" t="inlineStr">
        <is>
          <t>8667</t>
        </is>
      </c>
      <c r="E1992" t="inlineStr">
        <is>
          <t>Sucursal</t>
        </is>
      </c>
      <c r="F1992" s="23" t="n">
        <v>46280</v>
      </c>
      <c r="G1992" t="inlineStr">
        <is>
          <t>provision</t>
        </is>
      </c>
      <c r="H1992" s="26" t="n">
        <v>52564042</v>
      </c>
      <c r="I1992" t="inlineStr">
        <is>
          <t>bajo</t>
        </is>
      </c>
      <c r="J1992" t="inlineStr">
        <is>
          <t>RN-19A y RN-21: provision hasta el cupo antes de bajar del 8 %</t>
        </is>
      </c>
      <c r="K1992" t="inlineStr">
        <is>
          <t>Provision en la manana, antes del pagado: con el pronostico, sin provision el saldo bajaria del 8 % del cupo ese dia. Lleva el saldo de 32.937.958 a 85.502.000 COP (cupo 85.502.000). Equipo administrado por Sucursal. Sin tarifa TDV (administrado por la sucursal): costo 0 declarado.</t>
        </is>
      </c>
      <c r="L1992" s="26" t="n">
        <v>85502000</v>
      </c>
      <c r="M1992" s="26" t="n">
        <v>32937958</v>
      </c>
      <c r="N1992" s="27">
        <f>IF(ISNUMBER(M1992),M1992/L1992,"No aplica")</f>
        <v>0.3852302636195645</v>
      </c>
      <c r="O1992" s="25">
        <f>IF(G1992="provision",M1992+H1992,IF(G1992="recoleccion",M1992-H1992,"No aplica"))</f>
        <v>85502000</v>
      </c>
      <c r="P1992" s="26" t="n">
        <v>0</v>
      </c>
    </row>
    <row r="1993">
      <c r="A1993" t="inlineStr">
        <is>
          <t>PRAGMA</t>
        </is>
      </c>
      <c r="B1993" t="inlineStr">
        <is>
          <t>M2</t>
        </is>
      </c>
      <c r="C1993" t="inlineStr">
        <is>
          <t>Cali</t>
        </is>
      </c>
      <c r="D1993" t="inlineStr">
        <is>
          <t>8732</t>
        </is>
      </c>
      <c r="E1993" t="inlineStr">
        <is>
          <t>Sucursal</t>
        </is>
      </c>
      <c r="F1993" s="23" t="n">
        <v>46266</v>
      </c>
      <c r="G1993" t="inlineStr">
        <is>
          <t>recoleccion</t>
        </is>
      </c>
      <c r="H1993" s="26" t="n">
        <v>24126330</v>
      </c>
      <c r="I1993" t="inlineStr">
        <is>
          <t>bajo</t>
        </is>
      </c>
      <c r="J1993" t="inlineStr">
        <is>
          <t>RN-22 y RN-35: recoleccion al cierre de lo que pasa del cupo</t>
        </is>
      </c>
      <c r="K1993" t="inlineStr">
        <is>
          <t>Recoleccion al cierre: con el pronostico, el saldo cerraria en 115.128.330 COP, sobre el cupo de 91.002.000. Se recoge el excedente y el saldo queda en 91.002.000 COP. Equipo administrado por Sucursal. Sin tarifa TDV (administrado por la sucursal): costo 0 declarado.</t>
        </is>
      </c>
      <c r="L1993" s="26" t="n">
        <v>91002000</v>
      </c>
      <c r="M1993" s="26" t="n">
        <v>115128330</v>
      </c>
      <c r="N1993" s="27">
        <f>IF(ISNUMBER(M1993),M1993/L1993,"No aplica")</f>
        <v>1.265118678710358</v>
      </c>
      <c r="O1993" s="25">
        <f>IF(G1993="provision",M1993+H1993,IF(G1993="recoleccion",M1993-H1993,"No aplica"))</f>
        <v>91002000</v>
      </c>
      <c r="P1993" s="26" t="n">
        <v>0</v>
      </c>
    </row>
    <row r="1994">
      <c r="A1994" t="inlineStr">
        <is>
          <t>PRAGMA</t>
        </is>
      </c>
      <c r="B1994" t="inlineStr">
        <is>
          <t>M2</t>
        </is>
      </c>
      <c r="C1994" t="inlineStr">
        <is>
          <t>Cali</t>
        </is>
      </c>
      <c r="D1994" t="inlineStr">
        <is>
          <t>8732</t>
        </is>
      </c>
      <c r="E1994" t="inlineStr">
        <is>
          <t>Sucursal</t>
        </is>
      </c>
      <c r="F1994" s="23" t="n">
        <v>46267</v>
      </c>
      <c r="G1994" t="inlineStr">
        <is>
          <t>recoleccion</t>
        </is>
      </c>
      <c r="H1994" s="26" t="n">
        <v>24908781</v>
      </c>
      <c r="I1994" t="inlineStr">
        <is>
          <t>bajo</t>
        </is>
      </c>
      <c r="J1994" t="inlineStr">
        <is>
          <t>RN-22 y RN-35: recoleccion al cierre de lo que pasa del cupo</t>
        </is>
      </c>
      <c r="K1994" t="inlineStr">
        <is>
          <t>Recoleccion al cierre: con el pronostico, el saldo cerraria en 115.910.781 COP, sobre el cupo de 91.002.000. Se recoge el excedente y el saldo queda en 91.002.000 COP. Equipo administrado por Sucursal. Sin tarifa TDV (administrado por la sucursal): costo 0 declarado.</t>
        </is>
      </c>
      <c r="L1994" s="26" t="n">
        <v>91002000</v>
      </c>
      <c r="M1994" s="26" t="n">
        <v>115910781</v>
      </c>
      <c r="N1994" s="27">
        <f>IF(ISNUMBER(M1994),M1994/L1994,"No aplica")</f>
        <v>1.273716852376871</v>
      </c>
      <c r="O1994" s="25">
        <f>IF(G1994="provision",M1994+H1994,IF(G1994="recoleccion",M1994-H1994,"No aplica"))</f>
        <v>91002000</v>
      </c>
      <c r="P1994" s="26" t="n">
        <v>0</v>
      </c>
    </row>
    <row r="1995">
      <c r="A1995" t="inlineStr">
        <is>
          <t>PRAGMA</t>
        </is>
      </c>
      <c r="B1995" t="inlineStr">
        <is>
          <t>M2</t>
        </is>
      </c>
      <c r="C1995" t="inlineStr">
        <is>
          <t>Cali</t>
        </is>
      </c>
      <c r="D1995" t="inlineStr">
        <is>
          <t>8732</t>
        </is>
      </c>
      <c r="E1995" t="inlineStr">
        <is>
          <t>Sucursal</t>
        </is>
      </c>
      <c r="F1995" s="23" t="n">
        <v>46268</v>
      </c>
      <c r="G1995" t="inlineStr">
        <is>
          <t>recoleccion</t>
        </is>
      </c>
      <c r="H1995" s="26" t="n">
        <v>33123002</v>
      </c>
      <c r="I1995" t="inlineStr">
        <is>
          <t>bajo</t>
        </is>
      </c>
      <c r="J1995" t="inlineStr">
        <is>
          <t>RN-22 y RN-35: recoleccion al cierre de lo que pasa del cupo</t>
        </is>
      </c>
      <c r="K1995" t="inlineStr">
        <is>
          <t>Recoleccion al cierre: con el pronostico, el saldo cerraria en 124.125.002 COP, sobre el cupo de 91.002.000. Se recoge el excedente y el saldo queda en 91.002.000 COP. Equipo administrado por Sucursal. Sin tarifa TDV (administrado por la sucursal): costo 0 declarado.</t>
        </is>
      </c>
      <c r="L1995" s="26" t="n">
        <v>91002000</v>
      </c>
      <c r="M1995" s="26" t="n">
        <v>124125002</v>
      </c>
      <c r="N1995" s="27">
        <f>IF(ISNUMBER(M1995),M1995/L1995,"No aplica")</f>
        <v>1.3639810333838818</v>
      </c>
      <c r="O1995" s="25">
        <f>IF(G1995="provision",M1995+H1995,IF(G1995="recoleccion",M1995-H1995,"No aplica"))</f>
        <v>91002000</v>
      </c>
      <c r="P1995" s="26" t="n">
        <v>0</v>
      </c>
    </row>
    <row r="1996">
      <c r="A1996" t="inlineStr">
        <is>
          <t>PRAGMA</t>
        </is>
      </c>
      <c r="B1996" t="inlineStr">
        <is>
          <t>M2</t>
        </is>
      </c>
      <c r="C1996" t="inlineStr">
        <is>
          <t>Cali</t>
        </is>
      </c>
      <c r="D1996" t="inlineStr">
        <is>
          <t>8732</t>
        </is>
      </c>
      <c r="E1996" t="inlineStr">
        <is>
          <t>Sucursal</t>
        </is>
      </c>
      <c r="F1996" s="23" t="n">
        <v>46269</v>
      </c>
      <c r="G1996" t="inlineStr">
        <is>
          <t>recoleccion</t>
        </is>
      </c>
      <c r="H1996" s="26" t="n">
        <v>30897568</v>
      </c>
      <c r="I1996" t="inlineStr">
        <is>
          <t>bajo</t>
        </is>
      </c>
      <c r="J1996" t="inlineStr">
        <is>
          <t>RN-22 y RN-35: recoleccion al cierre de lo que pasa del cupo</t>
        </is>
      </c>
      <c r="K1996" t="inlineStr">
        <is>
          <t>Recoleccion al cierre: con el pronostico, el saldo cerraria en 121.899.568 COP, sobre el cupo de 91.002.000. Se recoge el excedente y el saldo queda en 91.002.000 COP. Equipo administrado por Sucursal. Sin tarifa TDV (administrado por la sucursal): costo 0 declarado.</t>
        </is>
      </c>
      <c r="L1996" s="26" t="n">
        <v>91002000</v>
      </c>
      <c r="M1996" s="26" t="n">
        <v>121899568</v>
      </c>
      <c r="N1996" s="27">
        <f>IF(ISNUMBER(M1996),M1996/L1996,"No aplica")</f>
        <v>1.339526252170282</v>
      </c>
      <c r="O1996" s="25">
        <f>IF(G1996="provision",M1996+H1996,IF(G1996="recoleccion",M1996-H1996,"No aplica"))</f>
        <v>91002000</v>
      </c>
      <c r="P1996" s="26" t="n">
        <v>0</v>
      </c>
    </row>
    <row r="1997">
      <c r="A1997" t="inlineStr">
        <is>
          <t>PRAGMA</t>
        </is>
      </c>
      <c r="B1997" t="inlineStr">
        <is>
          <t>M2</t>
        </is>
      </c>
      <c r="C1997" t="inlineStr">
        <is>
          <t>Cali</t>
        </is>
      </c>
      <c r="D1997" t="inlineStr">
        <is>
          <t>8732</t>
        </is>
      </c>
      <c r="E1997" t="inlineStr">
        <is>
          <t>Sucursal</t>
        </is>
      </c>
      <c r="F1997" s="23" t="n">
        <v>46270</v>
      </c>
      <c r="G1997" t="inlineStr">
        <is>
          <t>recoleccion</t>
        </is>
      </c>
      <c r="H1997" s="26" t="n">
        <v>13472158</v>
      </c>
      <c r="I1997" t="inlineStr">
        <is>
          <t>bajo</t>
        </is>
      </c>
      <c r="J1997" t="inlineStr">
        <is>
          <t>RN-22 y RN-35: recoleccion al cierre de lo que pasa del cupo</t>
        </is>
      </c>
      <c r="K1997" t="inlineStr">
        <is>
          <t>Recoleccion al cierre: con el pronostico, el saldo cerraria en 104.474.158 COP, sobre el cupo de 91.002.000. Se recoge el excedente y el saldo queda en 91.002.000 COP. Equipo administrado por Sucursal. Sin tarifa TDV (administrado por la sucursal): costo 0 declarado.</t>
        </is>
      </c>
      <c r="L1997" s="26" t="n">
        <v>91002000</v>
      </c>
      <c r="M1997" s="26" t="n">
        <v>104474158</v>
      </c>
      <c r="N1997" s="27">
        <f>IF(ISNUMBER(M1997),M1997/L1997,"No aplica")</f>
        <v>1.1480424386277224</v>
      </c>
      <c r="O1997" s="25">
        <f>IF(G1997="provision",M1997+H1997,IF(G1997="recoleccion",M1997-H1997,"No aplica"))</f>
        <v>91002000</v>
      </c>
      <c r="P1997" s="26" t="n">
        <v>0</v>
      </c>
    </row>
    <row r="1998">
      <c r="A1998" t="inlineStr">
        <is>
          <t>PRAGMA</t>
        </is>
      </c>
      <c r="B1998" t="inlineStr">
        <is>
          <t>M2</t>
        </is>
      </c>
      <c r="C1998" t="inlineStr">
        <is>
          <t>Cali</t>
        </is>
      </c>
      <c r="D1998" t="inlineStr">
        <is>
          <t>8732</t>
        </is>
      </c>
      <c r="E1998" t="inlineStr">
        <is>
          <t>Sucursal</t>
        </is>
      </c>
      <c r="F1998" s="23" t="n">
        <v>46272</v>
      </c>
      <c r="G1998" t="inlineStr">
        <is>
          <t>recoleccion</t>
        </is>
      </c>
      <c r="H1998" s="26" t="n">
        <v>45034668</v>
      </c>
      <c r="I1998" t="inlineStr">
        <is>
          <t>bajo</t>
        </is>
      </c>
      <c r="J1998" t="inlineStr">
        <is>
          <t>RN-22 y RN-35: recoleccion al cierre de lo que pasa del cupo</t>
        </is>
      </c>
      <c r="K1998" t="inlineStr">
        <is>
          <t>Recoleccion al cierre: con el pronostico, el saldo cerraria en 136.036.668 COP, sobre el cupo de 91.002.000. Se recoge el excedente y el saldo queda en 91.002.000 COP. Equipo administrado por Sucursal. Sin tarifa TDV (administrado por la sucursal): costo 0 declarado.</t>
        </is>
      </c>
      <c r="L1998" s="26" t="n">
        <v>91002000</v>
      </c>
      <c r="M1998" s="26" t="n">
        <v>136036668</v>
      </c>
      <c r="N1998" s="27">
        <f>IF(ISNUMBER(M1998),M1998/L1998,"No aplica")</f>
        <v>1.4948755851519746</v>
      </c>
      <c r="O1998" s="25">
        <f>IF(G1998="provision",M1998+H1998,IF(G1998="recoleccion",M1998-H1998,"No aplica"))</f>
        <v>91002000</v>
      </c>
      <c r="P1998" s="26" t="n">
        <v>0</v>
      </c>
    </row>
    <row r="1999">
      <c r="A1999" t="inlineStr">
        <is>
          <t>PRAGMA</t>
        </is>
      </c>
      <c r="B1999" t="inlineStr">
        <is>
          <t>M2</t>
        </is>
      </c>
      <c r="C1999" t="inlineStr">
        <is>
          <t>Cali</t>
        </is>
      </c>
      <c r="D1999" t="inlineStr">
        <is>
          <t>8732</t>
        </is>
      </c>
      <c r="E1999" t="inlineStr">
        <is>
          <t>Sucursal</t>
        </is>
      </c>
      <c r="F1999" s="23" t="n">
        <v>46273</v>
      </c>
      <c r="G1999" t="inlineStr">
        <is>
          <t>recoleccion</t>
        </is>
      </c>
      <c r="H1999" s="26" t="n">
        <v>43036960</v>
      </c>
      <c r="I1999" t="inlineStr">
        <is>
          <t>bajo</t>
        </is>
      </c>
      <c r="J1999" t="inlineStr">
        <is>
          <t>RN-22 y RN-35: recoleccion al cierre de lo que pasa del cupo</t>
        </is>
      </c>
      <c r="K1999" t="inlineStr">
        <is>
          <t>Recoleccion al cierre: con el pronostico, el saldo cerraria en 134.038.960 COP, sobre el cupo de 91.002.000. Se recoge el excedente y el saldo queda en 91.002.000 COP. Equipo administrado por Sucursal. Sin tarifa TDV (administrado por la sucursal): costo 0 declarado.</t>
        </is>
      </c>
      <c r="L1999" s="26" t="n">
        <v>91002000</v>
      </c>
      <c r="M1999" s="26" t="n">
        <v>134038960</v>
      </c>
      <c r="N1999" s="27">
        <f>IF(ISNUMBER(M1999),M1999/L1999,"No aplica")</f>
        <v>1.4729232324564294</v>
      </c>
      <c r="O1999" s="25">
        <f>IF(G1999="provision",M1999+H1999,IF(G1999="recoleccion",M1999-H1999,"No aplica"))</f>
        <v>91002000</v>
      </c>
      <c r="P1999" s="26" t="n">
        <v>0</v>
      </c>
    </row>
    <row r="2000">
      <c r="A2000" t="inlineStr">
        <is>
          <t>PRAGMA</t>
        </is>
      </c>
      <c r="B2000" t="inlineStr">
        <is>
          <t>M2</t>
        </is>
      </c>
      <c r="C2000" t="inlineStr">
        <is>
          <t>Cali</t>
        </is>
      </c>
      <c r="D2000" t="inlineStr">
        <is>
          <t>8732</t>
        </is>
      </c>
      <c r="E2000" t="inlineStr">
        <is>
          <t>Sucursal</t>
        </is>
      </c>
      <c r="F2000" s="23" t="n">
        <v>46274</v>
      </c>
      <c r="G2000" t="inlineStr">
        <is>
          <t>recoleccion</t>
        </is>
      </c>
      <c r="H2000" s="26" t="n">
        <v>38535361</v>
      </c>
      <c r="I2000" t="inlineStr">
        <is>
          <t>bajo</t>
        </is>
      </c>
      <c r="J2000" t="inlineStr">
        <is>
          <t>RN-22 y RN-35: recoleccion al cierre de lo que pasa del cupo</t>
        </is>
      </c>
      <c r="K2000" t="inlineStr">
        <is>
          <t>Recoleccion al cierre: con el pronostico, el saldo cerraria en 129.537.361 COP, sobre el cupo de 91.002.000. Se recoge el excedente y el saldo queda en 91.002.000 COP. Equipo administrado por Sucursal. Sin tarifa TDV (administrado por la sucursal): costo 0 declarado.</t>
        </is>
      </c>
      <c r="L2000" s="26" t="n">
        <v>91002000</v>
      </c>
      <c r="M2000" s="26" t="n">
        <v>129537361</v>
      </c>
      <c r="N2000" s="27">
        <f>IF(ISNUMBER(M2000),M2000/L2000,"No aplica")</f>
        <v>1.4234561987648624</v>
      </c>
      <c r="O2000" s="25">
        <f>IF(G2000="provision",M2000+H2000,IF(G2000="recoleccion",M2000-H2000,"No aplica"))</f>
        <v>91002000</v>
      </c>
      <c r="P2000" s="26" t="n">
        <v>0</v>
      </c>
    </row>
    <row r="2001">
      <c r="A2001" t="inlineStr">
        <is>
          <t>PRAGMA</t>
        </is>
      </c>
      <c r="B2001" t="inlineStr">
        <is>
          <t>M2</t>
        </is>
      </c>
      <c r="C2001" t="inlineStr">
        <is>
          <t>Cali</t>
        </is>
      </c>
      <c r="D2001" t="inlineStr">
        <is>
          <t>8732</t>
        </is>
      </c>
      <c r="E2001" t="inlineStr">
        <is>
          <t>Sucursal</t>
        </is>
      </c>
      <c r="F2001" s="23" t="n">
        <v>46275</v>
      </c>
      <c r="G2001" t="inlineStr">
        <is>
          <t>recoleccion</t>
        </is>
      </c>
      <c r="H2001" s="26" t="n">
        <v>33172519</v>
      </c>
      <c r="I2001" t="inlineStr">
        <is>
          <t>bajo</t>
        </is>
      </c>
      <c r="J2001" t="inlineStr">
        <is>
          <t>RN-22 y RN-35: recoleccion al cierre de lo que pasa del cupo</t>
        </is>
      </c>
      <c r="K2001" t="inlineStr">
        <is>
          <t>Recoleccion al cierre: con el pronostico, el saldo cerraria en 124.174.519 COP, sobre el cupo de 91.002.000. Se recoge el excedente y el saldo queda en 91.002.000 COP. Equipo administrado por Sucursal. Sin tarifa TDV (administrado por la sucursal): costo 0 declarado.</t>
        </is>
      </c>
      <c r="L2001" s="26" t="n">
        <v>91002000</v>
      </c>
      <c r="M2001" s="26" t="n">
        <v>124174519</v>
      </c>
      <c r="N2001" s="27">
        <f>IF(ISNUMBER(M2001),M2001/L2001,"No aplica")</f>
        <v>1.3645251642821037</v>
      </c>
      <c r="O2001" s="25">
        <f>IF(G2001="provision",M2001+H2001,IF(G2001="recoleccion",M2001-H2001,"No aplica"))</f>
        <v>91002000</v>
      </c>
      <c r="P2001" s="26" t="n">
        <v>0</v>
      </c>
    </row>
    <row r="2002">
      <c r="A2002" t="inlineStr">
        <is>
          <t>PRAGMA</t>
        </is>
      </c>
      <c r="B2002" t="inlineStr">
        <is>
          <t>M2</t>
        </is>
      </c>
      <c r="C2002" t="inlineStr">
        <is>
          <t>Cali</t>
        </is>
      </c>
      <c r="D2002" t="inlineStr">
        <is>
          <t>8732</t>
        </is>
      </c>
      <c r="E2002" t="inlineStr">
        <is>
          <t>Sucursal</t>
        </is>
      </c>
      <c r="F2002" s="23" t="n">
        <v>46276</v>
      </c>
      <c r="G2002" t="inlineStr">
        <is>
          <t>recoleccion</t>
        </is>
      </c>
      <c r="H2002" s="26" t="n">
        <v>25855901</v>
      </c>
      <c r="I2002" t="inlineStr">
        <is>
          <t>bajo</t>
        </is>
      </c>
      <c r="J2002" t="inlineStr">
        <is>
          <t>RN-22 y RN-35: recoleccion al cierre de lo que pasa del cupo</t>
        </is>
      </c>
      <c r="K2002" t="inlineStr">
        <is>
          <t>Recoleccion al cierre: con el pronostico, el saldo cerraria en 116.857.901 COP, sobre el cupo de 91.002.000. Se recoge el excedente y el saldo queda en 91.002.000 COP. Equipo administrado por Sucursal. Sin tarifa TDV (administrado por la sucursal): costo 0 declarado.</t>
        </is>
      </c>
      <c r="L2002" s="26" t="n">
        <v>91002000</v>
      </c>
      <c r="M2002" s="26" t="n">
        <v>116857901</v>
      </c>
      <c r="N2002" s="27">
        <f>IF(ISNUMBER(M2002),M2002/L2002,"No aplica")</f>
        <v>1.2841245357244895</v>
      </c>
      <c r="O2002" s="25">
        <f>IF(G2002="provision",M2002+H2002,IF(G2002="recoleccion",M2002-H2002,"No aplica"))</f>
        <v>91002000</v>
      </c>
      <c r="P2002" s="26" t="n">
        <v>0</v>
      </c>
    </row>
    <row r="2003">
      <c r="A2003" t="inlineStr">
        <is>
          <t>PRAGMA</t>
        </is>
      </c>
      <c r="B2003" t="inlineStr">
        <is>
          <t>M2</t>
        </is>
      </c>
      <c r="C2003" t="inlineStr">
        <is>
          <t>Cali</t>
        </is>
      </c>
      <c r="D2003" t="inlineStr">
        <is>
          <t>8732</t>
        </is>
      </c>
      <c r="E2003" t="inlineStr">
        <is>
          <t>Sucursal</t>
        </is>
      </c>
      <c r="F2003" s="23" t="n">
        <v>46277</v>
      </c>
      <c r="G2003" t="inlineStr">
        <is>
          <t>recoleccion</t>
        </is>
      </c>
      <c r="H2003" s="26" t="n">
        <v>7910282</v>
      </c>
      <c r="I2003" t="inlineStr">
        <is>
          <t>bajo</t>
        </is>
      </c>
      <c r="J2003" t="inlineStr">
        <is>
          <t>RN-22 y RN-35: recoleccion al cierre de lo que pasa del cupo</t>
        </is>
      </c>
      <c r="K2003" t="inlineStr">
        <is>
          <t>Recoleccion al cierre: con el pronostico, el saldo cerraria en 98.912.282 COP, sobre el cupo de 91.002.000. Se recoge el excedente y el saldo queda en 91.002.000 COP. Equipo administrado por Sucursal. Sin tarifa TDV (administrado por la sucursal): costo 0 declarado.</t>
        </is>
      </c>
      <c r="L2003" s="26" t="n">
        <v>91002000</v>
      </c>
      <c r="M2003" s="26" t="n">
        <v>98912282</v>
      </c>
      <c r="N2003" s="27">
        <f>IF(ISNUMBER(M2003),M2003/L2003,"No aplica")</f>
        <v>1.0869242654007605</v>
      </c>
      <c r="O2003" s="25">
        <f>IF(G2003="provision",M2003+H2003,IF(G2003="recoleccion",M2003-H2003,"No aplica"))</f>
        <v>91002000</v>
      </c>
      <c r="P2003" s="26" t="n">
        <v>0</v>
      </c>
    </row>
    <row r="2004">
      <c r="A2004" t="inlineStr">
        <is>
          <t>PRAGMA</t>
        </is>
      </c>
      <c r="B2004" t="inlineStr">
        <is>
          <t>M2</t>
        </is>
      </c>
      <c r="C2004" t="inlineStr">
        <is>
          <t>Cali</t>
        </is>
      </c>
      <c r="D2004" t="inlineStr">
        <is>
          <t>8732</t>
        </is>
      </c>
      <c r="E2004" t="inlineStr">
        <is>
          <t>Sucursal</t>
        </is>
      </c>
      <c r="F2004" s="23" t="n">
        <v>46279</v>
      </c>
      <c r="G2004" t="inlineStr">
        <is>
          <t>recoleccion</t>
        </is>
      </c>
      <c r="H2004" s="26" t="n">
        <v>28758710</v>
      </c>
      <c r="I2004" t="inlineStr">
        <is>
          <t>bajo</t>
        </is>
      </c>
      <c r="J2004" t="inlineStr">
        <is>
          <t>RN-22 y RN-35: recoleccion al cierre de lo que pasa del cupo</t>
        </is>
      </c>
      <c r="K2004" t="inlineStr">
        <is>
          <t>Recoleccion al cierre: con el pronostico, el saldo cerraria en 119.760.710 COP, sobre el cupo de 91.002.000. Se recoge el excedente y el saldo queda en 91.002.000 COP. Equipo administrado por Sucursal. Sin tarifa TDV (administrado por la sucursal): costo 0 declarado.</t>
        </is>
      </c>
      <c r="L2004" s="26" t="n">
        <v>91002000</v>
      </c>
      <c r="M2004" s="26" t="n">
        <v>119760710</v>
      </c>
      <c r="N2004" s="27">
        <f>IF(ISNUMBER(M2004),M2004/L2004,"No aplica")</f>
        <v>1.3160228346629745</v>
      </c>
      <c r="O2004" s="25">
        <f>IF(G2004="provision",M2004+H2004,IF(G2004="recoleccion",M2004-H2004,"No aplica"))</f>
        <v>91002000</v>
      </c>
      <c r="P2004" s="26" t="n">
        <v>0</v>
      </c>
    </row>
    <row r="2005">
      <c r="A2005" t="inlineStr">
        <is>
          <t>PRAGMA</t>
        </is>
      </c>
      <c r="B2005" t="inlineStr">
        <is>
          <t>M2</t>
        </is>
      </c>
      <c r="C2005" t="inlineStr">
        <is>
          <t>Cali</t>
        </is>
      </c>
      <c r="D2005" t="inlineStr">
        <is>
          <t>8732</t>
        </is>
      </c>
      <c r="E2005" t="inlineStr">
        <is>
          <t>Sucursal</t>
        </is>
      </c>
      <c r="F2005" s="23" t="n">
        <v>46280</v>
      </c>
      <c r="G2005" t="inlineStr">
        <is>
          <t>recoleccion</t>
        </is>
      </c>
      <c r="H2005" s="26" t="n">
        <v>26823955</v>
      </c>
      <c r="I2005" t="inlineStr">
        <is>
          <t>bajo</t>
        </is>
      </c>
      <c r="J2005" t="inlineStr">
        <is>
          <t>RN-22 y RN-35: recoleccion al cierre de lo que pasa del cupo</t>
        </is>
      </c>
      <c r="K2005" t="inlineStr">
        <is>
          <t>Recoleccion al cierre: con el pronostico, el saldo cerraria en 117.825.955 COP, sobre el cupo de 91.002.000. Se recoge el excedente y el saldo queda en 91.002.000 COP. Equipo administrado por Sucursal. Sin tarifa TDV (administrado por la sucursal): costo 0 declarado.</t>
        </is>
      </c>
      <c r="L2005" s="26" t="n">
        <v>91002000</v>
      </c>
      <c r="M2005" s="26" t="n">
        <v>117825955</v>
      </c>
      <c r="N2005" s="27">
        <f>IF(ISNUMBER(M2005),M2005/L2005,"No aplica")</f>
        <v>1.2947622579723523</v>
      </c>
      <c r="O2005" s="25">
        <f>IF(G2005="provision",M2005+H2005,IF(G2005="recoleccion",M2005-H2005,"No aplica"))</f>
        <v>91002000</v>
      </c>
      <c r="P2005" s="26" t="n">
        <v>0</v>
      </c>
    </row>
    <row r="2006">
      <c r="A2006" t="inlineStr">
        <is>
          <t>PRAGMA</t>
        </is>
      </c>
      <c r="B2006" t="inlineStr">
        <is>
          <t>M2</t>
        </is>
      </c>
      <c r="C2006" t="inlineStr">
        <is>
          <t>Cali</t>
        </is>
      </c>
      <c r="D2006" t="inlineStr">
        <is>
          <t>8733</t>
        </is>
      </c>
      <c r="E2006" t="inlineStr">
        <is>
          <t>Sucursal</t>
        </is>
      </c>
      <c r="F2006" s="23" t="n">
        <v>46266</v>
      </c>
      <c r="G2006" t="inlineStr">
        <is>
          <t>recoleccion</t>
        </is>
      </c>
      <c r="H2006" s="26" t="n">
        <v>26345826</v>
      </c>
      <c r="I2006" t="inlineStr">
        <is>
          <t>bajo</t>
        </is>
      </c>
      <c r="J2006" t="inlineStr">
        <is>
          <t>RN-22 y RN-35: recoleccion al cierre de lo que pasa del cupo</t>
        </is>
      </c>
      <c r="K2006" t="inlineStr">
        <is>
          <t>Recoleccion al cierre: con el pronostico, el saldo cerraria en 161.695.826 COP, sobre el cupo de 135.350.000. Se recoge el excedente y el saldo queda en 135.350.000 COP. Equipo administrado por Sucursal. Sin tarifa TDV (administrado por la sucursal): costo 0 declarado.</t>
        </is>
      </c>
      <c r="L2006" s="26" t="n">
        <v>135350000</v>
      </c>
      <c r="M2006" s="26" t="n">
        <v>161695826</v>
      </c>
      <c r="N2006" s="27">
        <f>IF(ISNUMBER(M2006),M2006/L2006,"No aplica")</f>
        <v>1.1946496195049872</v>
      </c>
      <c r="O2006" s="25">
        <f>IF(G2006="provision",M2006+H2006,IF(G2006="recoleccion",M2006-H2006,"No aplica"))</f>
        <v>135350000</v>
      </c>
      <c r="P2006" s="26" t="n">
        <v>0</v>
      </c>
    </row>
    <row r="2007">
      <c r="A2007" t="inlineStr">
        <is>
          <t>PRAGMA</t>
        </is>
      </c>
      <c r="B2007" t="inlineStr">
        <is>
          <t>M2</t>
        </is>
      </c>
      <c r="C2007" t="inlineStr">
        <is>
          <t>Cali</t>
        </is>
      </c>
      <c r="D2007" t="inlineStr">
        <is>
          <t>8733</t>
        </is>
      </c>
      <c r="E2007" t="inlineStr">
        <is>
          <t>Sucursal</t>
        </is>
      </c>
      <c r="F2007" s="23" t="n">
        <v>46267</v>
      </c>
      <c r="G2007" t="inlineStr">
        <is>
          <t>recoleccion</t>
        </is>
      </c>
      <c r="H2007" s="26" t="n">
        <v>22043325</v>
      </c>
      <c r="I2007" t="inlineStr">
        <is>
          <t>bajo</t>
        </is>
      </c>
      <c r="J2007" t="inlineStr">
        <is>
          <t>RN-22 y RN-35: recoleccion al cierre de lo que pasa del cupo</t>
        </is>
      </c>
      <c r="K2007" t="inlineStr">
        <is>
          <t>Recoleccion al cierre: con el pronostico, el saldo cerraria en 157.393.325 COP, sobre el cupo de 135.350.000. Se recoge el excedente y el saldo queda en 135.350.000 COP. Equipo administrado por Sucursal. Sin tarifa TDV (administrado por la sucursal): costo 0 declarado.</t>
        </is>
      </c>
      <c r="L2007" s="26" t="n">
        <v>135350000</v>
      </c>
      <c r="M2007" s="26" t="n">
        <v>157393325</v>
      </c>
      <c r="N2007" s="27">
        <f>IF(ISNUMBER(M2007),M2007/L2007,"No aplica")</f>
        <v>1.1628616549686</v>
      </c>
      <c r="O2007" s="25">
        <f>IF(G2007="provision",M2007+H2007,IF(G2007="recoleccion",M2007-H2007,"No aplica"))</f>
        <v>135350000</v>
      </c>
      <c r="P2007" s="26" t="n">
        <v>0</v>
      </c>
    </row>
    <row r="2008">
      <c r="A2008" t="inlineStr">
        <is>
          <t>PRAGMA</t>
        </is>
      </c>
      <c r="B2008" t="inlineStr">
        <is>
          <t>M2</t>
        </is>
      </c>
      <c r="C2008" t="inlineStr">
        <is>
          <t>Cali</t>
        </is>
      </c>
      <c r="D2008" t="inlineStr">
        <is>
          <t>8733</t>
        </is>
      </c>
      <c r="E2008" t="inlineStr">
        <is>
          <t>Sucursal</t>
        </is>
      </c>
      <c r="F2008" s="23" t="n">
        <v>46268</v>
      </c>
      <c r="G2008" t="inlineStr">
        <is>
          <t>recoleccion</t>
        </is>
      </c>
      <c r="H2008" s="26" t="n">
        <v>23166082</v>
      </c>
      <c r="I2008" t="inlineStr">
        <is>
          <t>bajo</t>
        </is>
      </c>
      <c r="J2008" t="inlineStr">
        <is>
          <t>RN-22 y RN-35: recoleccion al cierre de lo que pasa del cupo</t>
        </is>
      </c>
      <c r="K2008" t="inlineStr">
        <is>
          <t>Recoleccion al cierre: con el pronostico, el saldo cerraria en 158.516.082 COP, sobre el cupo de 135.350.000. Se recoge el excedente y el saldo queda en 135.350.000 COP. Equipo administrado por Sucursal. Sin tarifa TDV (administrado por la sucursal): costo 0 declarado.</t>
        </is>
      </c>
      <c r="L2008" s="26" t="n">
        <v>135350000</v>
      </c>
      <c r="M2008" s="26" t="n">
        <v>158516082</v>
      </c>
      <c r="N2008" s="27">
        <f>IF(ISNUMBER(M2008),M2008/L2008,"No aplica")</f>
        <v>1.1711568673808643</v>
      </c>
      <c r="O2008" s="25">
        <f>IF(G2008="provision",M2008+H2008,IF(G2008="recoleccion",M2008-H2008,"No aplica"))</f>
        <v>135350000</v>
      </c>
      <c r="P2008" s="26" t="n">
        <v>0</v>
      </c>
    </row>
    <row r="2009">
      <c r="A2009" t="inlineStr">
        <is>
          <t>PRAGMA</t>
        </is>
      </c>
      <c r="B2009" t="inlineStr">
        <is>
          <t>M2</t>
        </is>
      </c>
      <c r="C2009" t="inlineStr">
        <is>
          <t>Cali</t>
        </is>
      </c>
      <c r="D2009" t="inlineStr">
        <is>
          <t>8733</t>
        </is>
      </c>
      <c r="E2009" t="inlineStr">
        <is>
          <t>Sucursal</t>
        </is>
      </c>
      <c r="F2009" s="23" t="n">
        <v>46269</v>
      </c>
      <c r="G2009" t="inlineStr">
        <is>
          <t>recoleccion</t>
        </is>
      </c>
      <c r="H2009" s="26" t="n">
        <v>26684339</v>
      </c>
      <c r="I2009" t="inlineStr">
        <is>
          <t>bajo</t>
        </is>
      </c>
      <c r="J2009" t="inlineStr">
        <is>
          <t>RN-22 y RN-35: recoleccion al cierre de lo que pasa del cupo</t>
        </is>
      </c>
      <c r="K2009" t="inlineStr">
        <is>
          <t>Recoleccion al cierre: con el pronostico, el saldo cerraria en 162.034.339 COP, sobre el cupo de 135.350.000. Se recoge el excedente y el saldo queda en 135.350.000 COP. Equipo administrado por Sucursal. Sin tarifa TDV (administrado por la sucursal): costo 0 declarado.</t>
        </is>
      </c>
      <c r="L2009" s="26" t="n">
        <v>135350000</v>
      </c>
      <c r="M2009" s="26" t="n">
        <v>162034339</v>
      </c>
      <c r="N2009" s="27">
        <f>IF(ISNUMBER(M2009),M2009/L2009,"No aplica")</f>
        <v>1.1971506390838567</v>
      </c>
      <c r="O2009" s="25">
        <f>IF(G2009="provision",M2009+H2009,IF(G2009="recoleccion",M2009-H2009,"No aplica"))</f>
        <v>135350000</v>
      </c>
      <c r="P2009" s="26" t="n">
        <v>0</v>
      </c>
    </row>
    <row r="2010">
      <c r="A2010" t="inlineStr">
        <is>
          <t>PRAGMA</t>
        </is>
      </c>
      <c r="B2010" t="inlineStr">
        <is>
          <t>M2</t>
        </is>
      </c>
      <c r="C2010" t="inlineStr">
        <is>
          <t>Cali</t>
        </is>
      </c>
      <c r="D2010" t="inlineStr">
        <is>
          <t>8733</t>
        </is>
      </c>
      <c r="E2010" t="inlineStr">
        <is>
          <t>Sucursal</t>
        </is>
      </c>
      <c r="F2010" s="23" t="n">
        <v>46270</v>
      </c>
      <c r="G2010" t="inlineStr">
        <is>
          <t>recoleccion</t>
        </is>
      </c>
      <c r="H2010" s="26" t="n">
        <v>19896336</v>
      </c>
      <c r="I2010" t="inlineStr">
        <is>
          <t>bajo</t>
        </is>
      </c>
      <c r="J2010" t="inlineStr">
        <is>
          <t>RN-22 y RN-35: recoleccion al cierre de lo que pasa del cupo</t>
        </is>
      </c>
      <c r="K2010" t="inlineStr">
        <is>
          <t>Recoleccion al cierre: con el pronostico, el saldo cerraria en 155.246.336 COP, sobre el cupo de 135.350.000. Se recoge el excedente y el saldo queda en 135.350.000 COP. Equipo administrado por Sucursal. Sin tarifa TDV (administrado por la sucursal): costo 0 declarado.</t>
        </is>
      </c>
      <c r="L2010" s="26" t="n">
        <v>135350000</v>
      </c>
      <c r="M2010" s="26" t="n">
        <v>155246336</v>
      </c>
      <c r="N2010" s="27">
        <f>IF(ISNUMBER(M2010),M2010/L2010,"No aplica")</f>
        <v>1.1469991577391947</v>
      </c>
      <c r="O2010" s="25">
        <f>IF(G2010="provision",M2010+H2010,IF(G2010="recoleccion",M2010-H2010,"No aplica"))</f>
        <v>135350000</v>
      </c>
      <c r="P2010" s="26" t="n">
        <v>0</v>
      </c>
    </row>
    <row r="2011">
      <c r="A2011" t="inlineStr">
        <is>
          <t>PRAGMA</t>
        </is>
      </c>
      <c r="B2011" t="inlineStr">
        <is>
          <t>M2</t>
        </is>
      </c>
      <c r="C2011" t="inlineStr">
        <is>
          <t>Cali</t>
        </is>
      </c>
      <c r="D2011" t="inlineStr">
        <is>
          <t>8733</t>
        </is>
      </c>
      <c r="E2011" t="inlineStr">
        <is>
          <t>Sucursal</t>
        </is>
      </c>
      <c r="F2011" s="23" t="n">
        <v>46271</v>
      </c>
      <c r="G2011" t="inlineStr">
        <is>
          <t>recoleccion</t>
        </is>
      </c>
      <c r="H2011" s="26" t="n">
        <v>3680394</v>
      </c>
      <c r="I2011" t="inlineStr">
        <is>
          <t>bajo</t>
        </is>
      </c>
      <c r="J2011" t="inlineStr">
        <is>
          <t>RN-22 y RN-35: recoleccion al cierre de lo que pasa del cupo</t>
        </is>
      </c>
      <c r="K2011" t="inlineStr">
        <is>
          <t>Recoleccion al cierre: con el pronostico, el saldo cerraria en 139.030.394 COP, sobre el cupo de 135.350.000. Se recoge el excedente y el saldo queda en 135.350.000 COP. Equipo administrado por Sucursal. Sin tarifa TDV (administrado por la sucursal): costo 0 declarado.</t>
        </is>
      </c>
      <c r="L2011" s="26" t="n">
        <v>135350000</v>
      </c>
      <c r="M2011" s="26" t="n">
        <v>139030394</v>
      </c>
      <c r="N2011" s="27">
        <f>IF(ISNUMBER(M2011),M2011/L2011,"No aplica")</f>
        <v>1.0271916808274844</v>
      </c>
      <c r="O2011" s="25">
        <f>IF(G2011="provision",M2011+H2011,IF(G2011="recoleccion",M2011-H2011,"No aplica"))</f>
        <v>135350000</v>
      </c>
      <c r="P2011" s="26" t="n">
        <v>0</v>
      </c>
    </row>
    <row r="2012">
      <c r="A2012" t="inlineStr">
        <is>
          <t>PRAGMA</t>
        </is>
      </c>
      <c r="B2012" t="inlineStr">
        <is>
          <t>M2</t>
        </is>
      </c>
      <c r="C2012" t="inlineStr">
        <is>
          <t>Cali</t>
        </is>
      </c>
      <c r="D2012" t="inlineStr">
        <is>
          <t>8733</t>
        </is>
      </c>
      <c r="E2012" t="inlineStr">
        <is>
          <t>Sucursal</t>
        </is>
      </c>
      <c r="F2012" s="23" t="n">
        <v>46272</v>
      </c>
      <c r="G2012" t="inlineStr">
        <is>
          <t>recoleccion</t>
        </is>
      </c>
      <c r="H2012" s="26" t="n">
        <v>32919362</v>
      </c>
      <c r="I2012" t="inlineStr">
        <is>
          <t>bajo</t>
        </is>
      </c>
      <c r="J2012" t="inlineStr">
        <is>
          <t>RN-22 y RN-35: recoleccion al cierre de lo que pasa del cupo</t>
        </is>
      </c>
      <c r="K2012" t="inlineStr">
        <is>
          <t>Recoleccion al cierre: con el pronostico, el saldo cerraria en 168.269.362 COP, sobre el cupo de 135.350.000. Se recoge el excedente y el saldo queda en 135.350.000 COP. Equipo administrado por Sucursal. Sin tarifa TDV (administrado por la sucursal): costo 0 declarado.</t>
        </is>
      </c>
      <c r="L2012" s="26" t="n">
        <v>135350000</v>
      </c>
      <c r="M2012" s="26" t="n">
        <v>168269362</v>
      </c>
      <c r="N2012" s="27">
        <f>IF(ISNUMBER(M2012),M2012/L2012,"No aplica")</f>
        <v>1.2432165644625046</v>
      </c>
      <c r="O2012" s="25">
        <f>IF(G2012="provision",M2012+H2012,IF(G2012="recoleccion",M2012-H2012,"No aplica"))</f>
        <v>135350000</v>
      </c>
      <c r="P2012" s="26" t="n">
        <v>0</v>
      </c>
    </row>
    <row r="2013">
      <c r="A2013" t="inlineStr">
        <is>
          <t>PRAGMA</t>
        </is>
      </c>
      <c r="B2013" t="inlineStr">
        <is>
          <t>M2</t>
        </is>
      </c>
      <c r="C2013" t="inlineStr">
        <is>
          <t>Cali</t>
        </is>
      </c>
      <c r="D2013" t="inlineStr">
        <is>
          <t>8733</t>
        </is>
      </c>
      <c r="E2013" t="inlineStr">
        <is>
          <t>Sucursal</t>
        </is>
      </c>
      <c r="F2013" s="23" t="n">
        <v>46273</v>
      </c>
      <c r="G2013" t="inlineStr">
        <is>
          <t>recoleccion</t>
        </is>
      </c>
      <c r="H2013" s="26" t="n">
        <v>26477699</v>
      </c>
      <c r="I2013" t="inlineStr">
        <is>
          <t>bajo</t>
        </is>
      </c>
      <c r="J2013" t="inlineStr">
        <is>
          <t>RN-22 y RN-35: recoleccion al cierre de lo que pasa del cupo</t>
        </is>
      </c>
      <c r="K2013" t="inlineStr">
        <is>
          <t>Recoleccion al cierre: con el pronostico, el saldo cerraria en 161.827.699 COP, sobre el cupo de 135.350.000. Se recoge el excedente y el saldo queda en 135.350.000 COP. Equipo administrado por Sucursal. Sin tarifa TDV (administrado por la sucursal): costo 0 declarado.</t>
        </is>
      </c>
      <c r="L2013" s="26" t="n">
        <v>135350000</v>
      </c>
      <c r="M2013" s="26" t="n">
        <v>161827699</v>
      </c>
      <c r="N2013" s="27">
        <f>IF(ISNUMBER(M2013),M2013/L2013,"No aplica")</f>
        <v>1.1956239305504248</v>
      </c>
      <c r="O2013" s="25">
        <f>IF(G2013="provision",M2013+H2013,IF(G2013="recoleccion",M2013-H2013,"No aplica"))</f>
        <v>135350000</v>
      </c>
      <c r="P2013" s="26" t="n">
        <v>0</v>
      </c>
    </row>
    <row r="2014">
      <c r="A2014" t="inlineStr">
        <is>
          <t>PRAGMA</t>
        </is>
      </c>
      <c r="B2014" t="inlineStr">
        <is>
          <t>M2</t>
        </is>
      </c>
      <c r="C2014" t="inlineStr">
        <is>
          <t>Cali</t>
        </is>
      </c>
      <c r="D2014" t="inlineStr">
        <is>
          <t>8733</t>
        </is>
      </c>
      <c r="E2014" t="inlineStr">
        <is>
          <t>Sucursal</t>
        </is>
      </c>
      <c r="F2014" s="23" t="n">
        <v>46274</v>
      </c>
      <c r="G2014" t="inlineStr">
        <is>
          <t>recoleccion</t>
        </is>
      </c>
      <c r="H2014" s="26" t="n">
        <v>23400293</v>
      </c>
      <c r="I2014" t="inlineStr">
        <is>
          <t>bajo</t>
        </is>
      </c>
      <c r="J2014" t="inlineStr">
        <is>
          <t>RN-22 y RN-35: recoleccion al cierre de lo que pasa del cupo</t>
        </is>
      </c>
      <c r="K2014" t="inlineStr">
        <is>
          <t>Recoleccion al cierre: con el pronostico, el saldo cerraria en 158.750.293 COP, sobre el cupo de 135.350.000. Se recoge el excedente y el saldo queda en 135.350.000 COP. Equipo administrado por Sucursal. Sin tarifa TDV (administrado por la sucursal): costo 0 declarado.</t>
        </is>
      </c>
      <c r="L2014" s="26" t="n">
        <v>135350000</v>
      </c>
      <c r="M2014" s="26" t="n">
        <v>158750293</v>
      </c>
      <c r="N2014" s="27">
        <f>IF(ISNUMBER(M2014),M2014/L2014,"No aplica")</f>
        <v>1.172887277428888</v>
      </c>
      <c r="O2014" s="25">
        <f>IF(G2014="provision",M2014+H2014,IF(G2014="recoleccion",M2014-H2014,"No aplica"))</f>
        <v>135350000</v>
      </c>
      <c r="P2014" s="26" t="n">
        <v>0</v>
      </c>
    </row>
    <row r="2015">
      <c r="A2015" t="inlineStr">
        <is>
          <t>PRAGMA</t>
        </is>
      </c>
      <c r="B2015" t="inlineStr">
        <is>
          <t>M2</t>
        </is>
      </c>
      <c r="C2015" t="inlineStr">
        <is>
          <t>Cali</t>
        </is>
      </c>
      <c r="D2015" t="inlineStr">
        <is>
          <t>8733</t>
        </is>
      </c>
      <c r="E2015" t="inlineStr">
        <is>
          <t>Sucursal</t>
        </is>
      </c>
      <c r="F2015" s="23" t="n">
        <v>46275</v>
      </c>
      <c r="G2015" t="inlineStr">
        <is>
          <t>recoleccion</t>
        </is>
      </c>
      <c r="H2015" s="26" t="n">
        <v>24973135</v>
      </c>
      <c r="I2015" t="inlineStr">
        <is>
          <t>bajo</t>
        </is>
      </c>
      <c r="J2015" t="inlineStr">
        <is>
          <t>RN-22 y RN-35: recoleccion al cierre de lo que pasa del cupo</t>
        </is>
      </c>
      <c r="K2015" t="inlineStr">
        <is>
          <t>Recoleccion al cierre: con el pronostico, el saldo cerraria en 160.323.135 COP, sobre el cupo de 135.350.000. Se recoge el excedente y el saldo queda en 135.350.000 COP. Equipo administrado por Sucursal. Sin tarifa TDV (administrado por la sucursal): costo 0 declarado.</t>
        </is>
      </c>
      <c r="L2015" s="26" t="n">
        <v>135350000</v>
      </c>
      <c r="M2015" s="26" t="n">
        <v>160323135</v>
      </c>
      <c r="N2015" s="27">
        <f>IF(ISNUMBER(M2015),M2015/L2015,"No aplica")</f>
        <v>1.184507831547839</v>
      </c>
      <c r="O2015" s="25">
        <f>IF(G2015="provision",M2015+H2015,IF(G2015="recoleccion",M2015-H2015,"No aplica"))</f>
        <v>135350000</v>
      </c>
      <c r="P2015" s="26" t="n">
        <v>0</v>
      </c>
    </row>
    <row r="2016">
      <c r="A2016" t="inlineStr">
        <is>
          <t>PRAGMA</t>
        </is>
      </c>
      <c r="B2016" t="inlineStr">
        <is>
          <t>M2</t>
        </is>
      </c>
      <c r="C2016" t="inlineStr">
        <is>
          <t>Cali</t>
        </is>
      </c>
      <c r="D2016" t="inlineStr">
        <is>
          <t>8733</t>
        </is>
      </c>
      <c r="E2016" t="inlineStr">
        <is>
          <t>Sucursal</t>
        </is>
      </c>
      <c r="F2016" s="23" t="n">
        <v>46276</v>
      </c>
      <c r="G2016" t="inlineStr">
        <is>
          <t>recoleccion</t>
        </is>
      </c>
      <c r="H2016" s="26" t="n">
        <v>20840026</v>
      </c>
      <c r="I2016" t="inlineStr">
        <is>
          <t>bajo</t>
        </is>
      </c>
      <c r="J2016" t="inlineStr">
        <is>
          <t>RN-22 y RN-35: recoleccion al cierre de lo que pasa del cupo</t>
        </is>
      </c>
      <c r="K2016" t="inlineStr">
        <is>
          <t>Recoleccion al cierre: con el pronostico, el saldo cerraria en 156.190.026 COP, sobre el cupo de 135.350.000. Se recoge el excedente y el saldo queda en 135.350.000 COP. Equipo administrado por Sucursal. Sin tarifa TDV (administrado por la sucursal): costo 0 declarado.</t>
        </is>
      </c>
      <c r="L2016" s="26" t="n">
        <v>135350000</v>
      </c>
      <c r="M2016" s="26" t="n">
        <v>156190026</v>
      </c>
      <c r="N2016" s="27">
        <f>IF(ISNUMBER(M2016),M2016/L2016,"No aplica")</f>
        <v>1.1539713779091245</v>
      </c>
      <c r="O2016" s="25">
        <f>IF(G2016="provision",M2016+H2016,IF(G2016="recoleccion",M2016-H2016,"No aplica"))</f>
        <v>135350000</v>
      </c>
      <c r="P2016" s="26" t="n">
        <v>0</v>
      </c>
    </row>
    <row r="2017">
      <c r="A2017" t="inlineStr">
        <is>
          <t>PRAGMA</t>
        </is>
      </c>
      <c r="B2017" t="inlineStr">
        <is>
          <t>M2</t>
        </is>
      </c>
      <c r="C2017" t="inlineStr">
        <is>
          <t>Cali</t>
        </is>
      </c>
      <c r="D2017" t="inlineStr">
        <is>
          <t>8733</t>
        </is>
      </c>
      <c r="E2017" t="inlineStr">
        <is>
          <t>Sucursal</t>
        </is>
      </c>
      <c r="F2017" s="23" t="n">
        <v>46277</v>
      </c>
      <c r="G2017" t="inlineStr">
        <is>
          <t>recoleccion</t>
        </is>
      </c>
      <c r="H2017" s="26" t="n">
        <v>16190364</v>
      </c>
      <c r="I2017" t="inlineStr">
        <is>
          <t>bajo</t>
        </is>
      </c>
      <c r="J2017" t="inlineStr">
        <is>
          <t>RN-22 y RN-35: recoleccion al cierre de lo que pasa del cupo</t>
        </is>
      </c>
      <c r="K2017" t="inlineStr">
        <is>
          <t>Recoleccion al cierre: con el pronostico, el saldo cerraria en 151.540.364 COP, sobre el cupo de 135.350.000. Se recoge el excedente y el saldo queda en 135.350.000 COP. Equipo administrado por Sucursal. Sin tarifa TDV (administrado por la sucursal): costo 0 declarado.</t>
        </is>
      </c>
      <c r="L2017" s="26" t="n">
        <v>135350000</v>
      </c>
      <c r="M2017" s="26" t="n">
        <v>151540364</v>
      </c>
      <c r="N2017" s="27">
        <f>IF(ISNUMBER(M2017),M2017/L2017,"No aplica")</f>
        <v>1.1196185001847063</v>
      </c>
      <c r="O2017" s="25">
        <f>IF(G2017="provision",M2017+H2017,IF(G2017="recoleccion",M2017-H2017,"No aplica"))</f>
        <v>135350000</v>
      </c>
      <c r="P2017" s="26" t="n">
        <v>0</v>
      </c>
    </row>
    <row r="2018">
      <c r="A2018" t="inlineStr">
        <is>
          <t>PRAGMA</t>
        </is>
      </c>
      <c r="B2018" t="inlineStr">
        <is>
          <t>M2</t>
        </is>
      </c>
      <c r="C2018" t="inlineStr">
        <is>
          <t>Cali</t>
        </is>
      </c>
      <c r="D2018" t="inlineStr">
        <is>
          <t>8733</t>
        </is>
      </c>
      <c r="E2018" t="inlineStr">
        <is>
          <t>Sucursal</t>
        </is>
      </c>
      <c r="F2018" s="23" t="n">
        <v>46278</v>
      </c>
      <c r="G2018" t="inlineStr">
        <is>
          <t>recoleccion</t>
        </is>
      </c>
      <c r="H2018" s="26" t="n">
        <v>691098</v>
      </c>
      <c r="I2018" t="inlineStr">
        <is>
          <t>bajo</t>
        </is>
      </c>
      <c r="J2018" t="inlineStr">
        <is>
          <t>RN-22 y RN-35: recoleccion al cierre de lo que pasa del cupo</t>
        </is>
      </c>
      <c r="K2018" t="inlineStr">
        <is>
          <t>Recoleccion al cierre: con el pronostico, el saldo cerraria en 136.041.098 COP, sobre el cupo de 135.350.000. Se recoge el excedente y el saldo queda en 135.350.000 COP. Equipo administrado por Sucursal. Sin tarifa TDV (administrado por la sucursal): costo 0 declarado.</t>
        </is>
      </c>
      <c r="L2018" s="26" t="n">
        <v>135350000</v>
      </c>
      <c r="M2018" s="26" t="n">
        <v>136041098</v>
      </c>
      <c r="N2018" s="27">
        <f>IF(ISNUMBER(M2018),M2018/L2018,"No aplica")</f>
        <v>1.0051060066494275</v>
      </c>
      <c r="O2018" s="25">
        <f>IF(G2018="provision",M2018+H2018,IF(G2018="recoleccion",M2018-H2018,"No aplica"))</f>
        <v>135350000</v>
      </c>
      <c r="P2018" s="26" t="n">
        <v>0</v>
      </c>
    </row>
    <row r="2019">
      <c r="A2019" t="inlineStr">
        <is>
          <t>PRAGMA</t>
        </is>
      </c>
      <c r="B2019" t="inlineStr">
        <is>
          <t>M2</t>
        </is>
      </c>
      <c r="C2019" t="inlineStr">
        <is>
          <t>Cali</t>
        </is>
      </c>
      <c r="D2019" t="inlineStr">
        <is>
          <t>8733</t>
        </is>
      </c>
      <c r="E2019" t="inlineStr">
        <is>
          <t>Sucursal</t>
        </is>
      </c>
      <c r="F2019" s="23" t="n">
        <v>46279</v>
      </c>
      <c r="G2019" t="inlineStr">
        <is>
          <t>recoleccion</t>
        </is>
      </c>
      <c r="H2019" s="26" t="n">
        <v>29829440</v>
      </c>
      <c r="I2019" t="inlineStr">
        <is>
          <t>bajo</t>
        </is>
      </c>
      <c r="J2019" t="inlineStr">
        <is>
          <t>RN-22 y RN-35: recoleccion al cierre de lo que pasa del cupo</t>
        </is>
      </c>
      <c r="K2019" t="inlineStr">
        <is>
          <t>Recoleccion al cierre: con el pronostico, el saldo cerraria en 165.179.440 COP, sobre el cupo de 135.350.000. Se recoge el excedente y el saldo queda en 135.350.000 COP. Equipo administrado por Sucursal. Sin tarifa TDV (administrado por la sucursal): costo 0 declarado.</t>
        </is>
      </c>
      <c r="L2019" s="26" t="n">
        <v>135350000</v>
      </c>
      <c r="M2019" s="26" t="n">
        <v>165179440</v>
      </c>
      <c r="N2019" s="27">
        <f>IF(ISNUMBER(M2019),M2019/L2019,"No aplica")</f>
        <v>1.220387439970447</v>
      </c>
      <c r="O2019" s="25">
        <f>IF(G2019="provision",M2019+H2019,IF(G2019="recoleccion",M2019-H2019,"No aplica"))</f>
        <v>135350000</v>
      </c>
      <c r="P2019" s="26" t="n">
        <v>0</v>
      </c>
    </row>
    <row r="2020">
      <c r="A2020" t="inlineStr">
        <is>
          <t>PRAGMA</t>
        </is>
      </c>
      <c r="B2020" t="inlineStr">
        <is>
          <t>M2</t>
        </is>
      </c>
      <c r="C2020" t="inlineStr">
        <is>
          <t>Cali</t>
        </is>
      </c>
      <c r="D2020" t="inlineStr">
        <is>
          <t>8733</t>
        </is>
      </c>
      <c r="E2020" t="inlineStr">
        <is>
          <t>Sucursal</t>
        </is>
      </c>
      <c r="F2020" s="23" t="n">
        <v>46280</v>
      </c>
      <c r="G2020" t="inlineStr">
        <is>
          <t>recoleccion</t>
        </is>
      </c>
      <c r="H2020" s="26" t="n">
        <v>25010673</v>
      </c>
      <c r="I2020" t="inlineStr">
        <is>
          <t>bajo</t>
        </is>
      </c>
      <c r="J2020" t="inlineStr">
        <is>
          <t>RN-22 y RN-35: recoleccion al cierre de lo que pasa del cupo</t>
        </is>
      </c>
      <c r="K2020" t="inlineStr">
        <is>
          <t>Recoleccion al cierre: con el pronostico, el saldo cerraria en 160.360.673 COP, sobre el cupo de 135.350.000. Se recoge el excedente y el saldo queda en 135.350.000 COP. Equipo administrado por Sucursal. Sin tarifa TDV (administrado por la sucursal): costo 0 declarado.</t>
        </is>
      </c>
      <c r="L2020" s="26" t="n">
        <v>135350000</v>
      </c>
      <c r="M2020" s="26" t="n">
        <v>160360673</v>
      </c>
      <c r="N2020" s="27">
        <f>IF(ISNUMBER(M2020),M2020/L2020,"No aplica")</f>
        <v>1.1847851717768747</v>
      </c>
      <c r="O2020" s="25">
        <f>IF(G2020="provision",M2020+H2020,IF(G2020="recoleccion",M2020-H2020,"No aplica"))</f>
        <v>135350000</v>
      </c>
      <c r="P2020" s="26" t="n">
        <v>0</v>
      </c>
    </row>
    <row r="2021">
      <c r="A2021" t="inlineStr">
        <is>
          <t>PRAGMA</t>
        </is>
      </c>
      <c r="B2021" t="inlineStr">
        <is>
          <t>M2</t>
        </is>
      </c>
      <c r="C2021" t="inlineStr">
        <is>
          <t>Cali</t>
        </is>
      </c>
      <c r="D2021" t="inlineStr">
        <is>
          <t>8734</t>
        </is>
      </c>
      <c r="E2021" t="inlineStr">
        <is>
          <t>Sucursal</t>
        </is>
      </c>
      <c r="F2021" s="23" t="n">
        <v>46266</v>
      </c>
      <c r="G2021" t="inlineStr">
        <is>
          <t>recoleccion</t>
        </is>
      </c>
      <c r="H2021" s="26" t="n">
        <v>17966586</v>
      </c>
      <c r="I2021" t="inlineStr">
        <is>
          <t>bajo</t>
        </is>
      </c>
      <c r="J2021" t="inlineStr">
        <is>
          <t>RN-22 y RN-35: recoleccion al cierre de lo que pasa del cupo</t>
        </is>
      </c>
      <c r="K2021" t="inlineStr">
        <is>
          <t>Recoleccion al cierre: con el pronostico, el saldo cerraria en 108.968.586 COP, sobre el cupo de 91.002.000. Se recoge el excedente y el saldo queda en 91.002.000 COP. Equipo administrado por Sucursal. Sin tarifa TDV (administrado por la sucursal): costo 0 declarado.</t>
        </is>
      </c>
      <c r="L2021" s="26" t="n">
        <v>91002000</v>
      </c>
      <c r="M2021" s="26" t="n">
        <v>108968586</v>
      </c>
      <c r="N2021" s="27">
        <f>IF(ISNUMBER(M2021),M2021/L2021,"No aplica")</f>
        <v>1.1974306718533658</v>
      </c>
      <c r="O2021" s="25">
        <f>IF(G2021="provision",M2021+H2021,IF(G2021="recoleccion",M2021-H2021,"No aplica"))</f>
        <v>91002000</v>
      </c>
      <c r="P2021" s="26" t="n">
        <v>0</v>
      </c>
    </row>
    <row r="2022">
      <c r="A2022" t="inlineStr">
        <is>
          <t>PRAGMA</t>
        </is>
      </c>
      <c r="B2022" t="inlineStr">
        <is>
          <t>M2</t>
        </is>
      </c>
      <c r="C2022" t="inlineStr">
        <is>
          <t>Cali</t>
        </is>
      </c>
      <c r="D2022" t="inlineStr">
        <is>
          <t>8734</t>
        </is>
      </c>
      <c r="E2022" t="inlineStr">
        <is>
          <t>Sucursal</t>
        </is>
      </c>
      <c r="F2022" s="23" t="n">
        <v>46267</v>
      </c>
      <c r="G2022" t="inlineStr">
        <is>
          <t>recoleccion</t>
        </is>
      </c>
      <c r="H2022" s="26" t="n">
        <v>24342520</v>
      </c>
      <c r="I2022" t="inlineStr">
        <is>
          <t>bajo</t>
        </is>
      </c>
      <c r="J2022" t="inlineStr">
        <is>
          <t>RN-22 y RN-35: recoleccion al cierre de lo que pasa del cupo</t>
        </is>
      </c>
      <c r="K2022" t="inlineStr">
        <is>
          <t>Recoleccion al cierre: con el pronostico, el saldo cerraria en 115.344.520 COP, sobre el cupo de 91.002.000. Se recoge el excedente y el saldo queda en 91.002.000 COP. Equipo administrado por Sucursal. Sin tarifa TDV (administrado por la sucursal): costo 0 declarado.</t>
        </is>
      </c>
      <c r="L2022" s="26" t="n">
        <v>91002000</v>
      </c>
      <c r="M2022" s="26" t="n">
        <v>115344520</v>
      </c>
      <c r="N2022" s="27">
        <f>IF(ISNUMBER(M2022),M2022/L2022,"No aplica")</f>
        <v>1.2674943407837191</v>
      </c>
      <c r="O2022" s="25">
        <f>IF(G2022="provision",M2022+H2022,IF(G2022="recoleccion",M2022-H2022,"No aplica"))</f>
        <v>91002000</v>
      </c>
      <c r="P2022" s="26" t="n">
        <v>0</v>
      </c>
    </row>
    <row r="2023">
      <c r="A2023" t="inlineStr">
        <is>
          <t>PRAGMA</t>
        </is>
      </c>
      <c r="B2023" t="inlineStr">
        <is>
          <t>M2</t>
        </is>
      </c>
      <c r="C2023" t="inlineStr">
        <is>
          <t>Cali</t>
        </is>
      </c>
      <c r="D2023" t="inlineStr">
        <is>
          <t>8734</t>
        </is>
      </c>
      <c r="E2023" t="inlineStr">
        <is>
          <t>Sucursal</t>
        </is>
      </c>
      <c r="F2023" s="23" t="n">
        <v>46268</v>
      </c>
      <c r="G2023" t="inlineStr">
        <is>
          <t>recoleccion</t>
        </is>
      </c>
      <c r="H2023" s="26" t="n">
        <v>26755767</v>
      </c>
      <c r="I2023" t="inlineStr">
        <is>
          <t>bajo</t>
        </is>
      </c>
      <c r="J2023" t="inlineStr">
        <is>
          <t>RN-22 y RN-35: recoleccion al cierre de lo que pasa del cupo</t>
        </is>
      </c>
      <c r="K2023" t="inlineStr">
        <is>
          <t>Recoleccion al cierre: con el pronostico, el saldo cerraria en 117.757.767 COP, sobre el cupo de 91.002.000. Se recoge el excedente y el saldo queda en 91.002.000 COP. Equipo administrado por Sucursal. Sin tarifa TDV (administrado por la sucursal): costo 0 declarado.</t>
        </is>
      </c>
      <c r="L2023" s="26" t="n">
        <v>91002000</v>
      </c>
      <c r="M2023" s="26" t="n">
        <v>117757767</v>
      </c>
      <c r="N2023" s="27">
        <f>IF(ISNUMBER(M2023),M2023/L2023,"No aplica")</f>
        <v>1.2940129557592142</v>
      </c>
      <c r="O2023" s="25">
        <f>IF(G2023="provision",M2023+H2023,IF(G2023="recoleccion",M2023-H2023,"No aplica"))</f>
        <v>91002000</v>
      </c>
      <c r="P2023" s="26" t="n">
        <v>0</v>
      </c>
    </row>
    <row r="2024">
      <c r="A2024" t="inlineStr">
        <is>
          <t>PRAGMA</t>
        </is>
      </c>
      <c r="B2024" t="inlineStr">
        <is>
          <t>M2</t>
        </is>
      </c>
      <c r="C2024" t="inlineStr">
        <is>
          <t>Cali</t>
        </is>
      </c>
      <c r="D2024" t="inlineStr">
        <is>
          <t>8734</t>
        </is>
      </c>
      <c r="E2024" t="inlineStr">
        <is>
          <t>Sucursal</t>
        </is>
      </c>
      <c r="F2024" s="23" t="n">
        <v>46269</v>
      </c>
      <c r="G2024" t="inlineStr">
        <is>
          <t>recoleccion</t>
        </is>
      </c>
      <c r="H2024" s="26" t="n">
        <v>32655627</v>
      </c>
      <c r="I2024" t="inlineStr">
        <is>
          <t>bajo</t>
        </is>
      </c>
      <c r="J2024" t="inlineStr">
        <is>
          <t>RN-22 y RN-35: recoleccion al cierre de lo que pasa del cupo</t>
        </is>
      </c>
      <c r="K2024" t="inlineStr">
        <is>
          <t>Recoleccion al cierre: con el pronostico, el saldo cerraria en 123.657.627 COP, sobre el cupo de 91.002.000. Se recoge el excedente y el saldo queda en 91.002.000 COP. Equipo administrado por Sucursal. Sin tarifa TDV (administrado por la sucursal): costo 0 declarado.</t>
        </is>
      </c>
      <c r="L2024" s="26" t="n">
        <v>91002000</v>
      </c>
      <c r="M2024" s="26" t="n">
        <v>123657627</v>
      </c>
      <c r="N2024" s="27">
        <f>IF(ISNUMBER(M2024),M2024/L2024,"No aplica")</f>
        <v>1.3588451572492912</v>
      </c>
      <c r="O2024" s="25">
        <f>IF(G2024="provision",M2024+H2024,IF(G2024="recoleccion",M2024-H2024,"No aplica"))</f>
        <v>91002000</v>
      </c>
      <c r="P2024" s="26" t="n">
        <v>0</v>
      </c>
    </row>
    <row r="2025">
      <c r="A2025" t="inlineStr">
        <is>
          <t>PRAGMA</t>
        </is>
      </c>
      <c r="B2025" t="inlineStr">
        <is>
          <t>M2</t>
        </is>
      </c>
      <c r="C2025" t="inlineStr">
        <is>
          <t>Cali</t>
        </is>
      </c>
      <c r="D2025" t="inlineStr">
        <is>
          <t>8734</t>
        </is>
      </c>
      <c r="E2025" t="inlineStr">
        <is>
          <t>Sucursal</t>
        </is>
      </c>
      <c r="F2025" s="23" t="n">
        <v>46270</v>
      </c>
      <c r="G2025" t="inlineStr">
        <is>
          <t>recoleccion</t>
        </is>
      </c>
      <c r="H2025" s="26" t="n">
        <v>9318911</v>
      </c>
      <c r="I2025" t="inlineStr">
        <is>
          <t>bajo</t>
        </is>
      </c>
      <c r="J2025" t="inlineStr">
        <is>
          <t>RN-22 y RN-35: recoleccion al cierre de lo que pasa del cupo</t>
        </is>
      </c>
      <c r="K2025" t="inlineStr">
        <is>
          <t>Recoleccion al cierre: con el pronostico, el saldo cerraria en 100.320.911 COP, sobre el cupo de 91.002.000. Se recoge el excedente y el saldo queda en 91.002.000 COP. Equipo administrado por Sucursal. Sin tarifa TDV (administrado por la sucursal): costo 0 declarado.</t>
        </is>
      </c>
      <c r="L2025" s="26" t="n">
        <v>91002000</v>
      </c>
      <c r="M2025" s="26" t="n">
        <v>100320911</v>
      </c>
      <c r="N2025" s="27">
        <f>IF(ISNUMBER(M2025),M2025/L2025,"No aplica")</f>
        <v>1.1024033647612141</v>
      </c>
      <c r="O2025" s="25">
        <f>IF(G2025="provision",M2025+H2025,IF(G2025="recoleccion",M2025-H2025,"No aplica"))</f>
        <v>91002000</v>
      </c>
      <c r="P2025" s="26" t="n">
        <v>0</v>
      </c>
    </row>
    <row r="2026">
      <c r="A2026" t="inlineStr">
        <is>
          <t>PRAGMA</t>
        </is>
      </c>
      <c r="B2026" t="inlineStr">
        <is>
          <t>M2</t>
        </is>
      </c>
      <c r="C2026" t="inlineStr">
        <is>
          <t>Cali</t>
        </is>
      </c>
      <c r="D2026" t="inlineStr">
        <is>
          <t>8734</t>
        </is>
      </c>
      <c r="E2026" t="inlineStr">
        <is>
          <t>Sucursal</t>
        </is>
      </c>
      <c r="F2026" s="23" t="n">
        <v>46271</v>
      </c>
      <c r="G2026" t="inlineStr">
        <is>
          <t>recoleccion</t>
        </is>
      </c>
      <c r="H2026" s="26" t="n">
        <v>1308628</v>
      </c>
      <c r="I2026" t="inlineStr">
        <is>
          <t>bajo</t>
        </is>
      </c>
      <c r="J2026" t="inlineStr">
        <is>
          <t>RN-22 y RN-35: recoleccion al cierre de lo que pasa del cupo</t>
        </is>
      </c>
      <c r="K2026" t="inlineStr">
        <is>
          <t>Recoleccion al cierre: con el pronostico, el saldo cerraria en 92.310.628 COP, sobre el cupo de 91.002.000. Se recoge el excedente y el saldo queda en 91.002.000 COP. Equipo administrado por Sucursal. Sin tarifa TDV (administrado por la sucursal): costo 0 declarado.</t>
        </is>
      </c>
      <c r="L2026" s="26" t="n">
        <v>91002000</v>
      </c>
      <c r="M2026" s="26" t="n">
        <v>92310628</v>
      </c>
      <c r="N2026" s="27">
        <f>IF(ISNUMBER(M2026),M2026/L2026,"No aplica")</f>
        <v>1.0143802114239246</v>
      </c>
      <c r="O2026" s="25">
        <f>IF(G2026="provision",M2026+H2026,IF(G2026="recoleccion",M2026-H2026,"No aplica"))</f>
        <v>91002000</v>
      </c>
      <c r="P2026" s="26" t="n">
        <v>0</v>
      </c>
    </row>
    <row r="2027">
      <c r="A2027" t="inlineStr">
        <is>
          <t>PRAGMA</t>
        </is>
      </c>
      <c r="B2027" t="inlineStr">
        <is>
          <t>M2</t>
        </is>
      </c>
      <c r="C2027" t="inlineStr">
        <is>
          <t>Cali</t>
        </is>
      </c>
      <c r="D2027" t="inlineStr">
        <is>
          <t>8734</t>
        </is>
      </c>
      <c r="E2027" t="inlineStr">
        <is>
          <t>Sucursal</t>
        </is>
      </c>
      <c r="F2027" s="23" t="n">
        <v>46272</v>
      </c>
      <c r="G2027" t="inlineStr">
        <is>
          <t>recoleccion</t>
        </is>
      </c>
      <c r="H2027" s="26" t="n">
        <v>41770916</v>
      </c>
      <c r="I2027" t="inlineStr">
        <is>
          <t>bajo</t>
        </is>
      </c>
      <c r="J2027" t="inlineStr">
        <is>
          <t>RN-22 y RN-35: recoleccion al cierre de lo que pasa del cupo</t>
        </is>
      </c>
      <c r="K2027" t="inlineStr">
        <is>
          <t>Recoleccion al cierre: con el pronostico, el saldo cerraria en 132.772.916 COP, sobre el cupo de 91.002.000. Se recoge el excedente y el saldo queda en 91.002.000 COP. Equipo administrado por Sucursal. Sin tarifa TDV (administrado por la sucursal): costo 0 declarado.</t>
        </is>
      </c>
      <c r="L2027" s="26" t="n">
        <v>91002000</v>
      </c>
      <c r="M2027" s="26" t="n">
        <v>132772916</v>
      </c>
      <c r="N2027" s="27">
        <f>IF(ISNUMBER(M2027),M2027/L2027,"No aplica")</f>
        <v>1.4590109667919386</v>
      </c>
      <c r="O2027" s="25">
        <f>IF(G2027="provision",M2027+H2027,IF(G2027="recoleccion",M2027-H2027,"No aplica"))</f>
        <v>91002000</v>
      </c>
      <c r="P2027" s="26" t="n">
        <v>0</v>
      </c>
    </row>
    <row r="2028">
      <c r="A2028" t="inlineStr">
        <is>
          <t>PRAGMA</t>
        </is>
      </c>
      <c r="B2028" t="inlineStr">
        <is>
          <t>M2</t>
        </is>
      </c>
      <c r="C2028" t="inlineStr">
        <is>
          <t>Cali</t>
        </is>
      </c>
      <c r="D2028" t="inlineStr">
        <is>
          <t>8734</t>
        </is>
      </c>
      <c r="E2028" t="inlineStr">
        <is>
          <t>Sucursal</t>
        </is>
      </c>
      <c r="F2028" s="23" t="n">
        <v>46273</v>
      </c>
      <c r="G2028" t="inlineStr">
        <is>
          <t>recoleccion</t>
        </is>
      </c>
      <c r="H2028" s="26" t="n">
        <v>29962330</v>
      </c>
      <c r="I2028" t="inlineStr">
        <is>
          <t>bajo</t>
        </is>
      </c>
      <c r="J2028" t="inlineStr">
        <is>
          <t>RN-22 y RN-35: recoleccion al cierre de lo que pasa del cupo</t>
        </is>
      </c>
      <c r="K2028" t="inlineStr">
        <is>
          <t>Recoleccion al cierre: con el pronostico, el saldo cerraria en 120.964.330 COP, sobre el cupo de 91.002.000. Se recoge el excedente y el saldo queda en 91.002.000 COP. Equipo administrado por Sucursal. Sin tarifa TDV (administrado por la sucursal): costo 0 declarado.</t>
        </is>
      </c>
      <c r="L2028" s="26" t="n">
        <v>91002000</v>
      </c>
      <c r="M2028" s="26" t="n">
        <v>120964330</v>
      </c>
      <c r="N2028" s="27">
        <f>IF(ISNUMBER(M2028),M2028/L2028,"No aplica")</f>
        <v>1.329249137381596</v>
      </c>
      <c r="O2028" s="25">
        <f>IF(G2028="provision",M2028+H2028,IF(G2028="recoleccion",M2028-H2028,"No aplica"))</f>
        <v>91002000</v>
      </c>
      <c r="P2028" s="26" t="n">
        <v>0</v>
      </c>
    </row>
    <row r="2029">
      <c r="A2029" t="inlineStr">
        <is>
          <t>PRAGMA</t>
        </is>
      </c>
      <c r="B2029" t="inlineStr">
        <is>
          <t>M2</t>
        </is>
      </c>
      <c r="C2029" t="inlineStr">
        <is>
          <t>Cali</t>
        </is>
      </c>
      <c r="D2029" t="inlineStr">
        <is>
          <t>8734</t>
        </is>
      </c>
      <c r="E2029" t="inlineStr">
        <is>
          <t>Sucursal</t>
        </is>
      </c>
      <c r="F2029" s="23" t="n">
        <v>46274</v>
      </c>
      <c r="G2029" t="inlineStr">
        <is>
          <t>recoleccion</t>
        </is>
      </c>
      <c r="H2029" s="26" t="n">
        <v>25975416</v>
      </c>
      <c r="I2029" t="inlineStr">
        <is>
          <t>bajo</t>
        </is>
      </c>
      <c r="J2029" t="inlineStr">
        <is>
          <t>RN-22 y RN-35: recoleccion al cierre de lo que pasa del cupo</t>
        </is>
      </c>
      <c r="K2029" t="inlineStr">
        <is>
          <t>Recoleccion al cierre: con el pronostico, el saldo cerraria en 116.977.416 COP, sobre el cupo de 91.002.000. Se recoge el excedente y el saldo queda en 91.002.000 COP. Equipo administrado por Sucursal. Sin tarifa TDV (administrado por la sucursal): costo 0 declarado.</t>
        </is>
      </c>
      <c r="L2029" s="26" t="n">
        <v>91002000</v>
      </c>
      <c r="M2029" s="26" t="n">
        <v>116977416</v>
      </c>
      <c r="N2029" s="27">
        <f>IF(ISNUMBER(M2029),M2029/L2029,"No aplica")</f>
        <v>1.2854378585086041</v>
      </c>
      <c r="O2029" s="25">
        <f>IF(G2029="provision",M2029+H2029,IF(G2029="recoleccion",M2029-H2029,"No aplica"))</f>
        <v>91002000</v>
      </c>
      <c r="P2029" s="26" t="n">
        <v>0</v>
      </c>
    </row>
    <row r="2030">
      <c r="A2030" t="inlineStr">
        <is>
          <t>PRAGMA</t>
        </is>
      </c>
      <c r="B2030" t="inlineStr">
        <is>
          <t>M2</t>
        </is>
      </c>
      <c r="C2030" t="inlineStr">
        <is>
          <t>Cali</t>
        </is>
      </c>
      <c r="D2030" t="inlineStr">
        <is>
          <t>8734</t>
        </is>
      </c>
      <c r="E2030" t="inlineStr">
        <is>
          <t>Sucursal</t>
        </is>
      </c>
      <c r="F2030" s="23" t="n">
        <v>46275</v>
      </c>
      <c r="G2030" t="inlineStr">
        <is>
          <t>recoleccion</t>
        </is>
      </c>
      <c r="H2030" s="26" t="n">
        <v>23642298</v>
      </c>
      <c r="I2030" t="inlineStr">
        <is>
          <t>bajo</t>
        </is>
      </c>
      <c r="J2030" t="inlineStr">
        <is>
          <t>RN-22 y RN-35: recoleccion al cierre de lo que pasa del cupo</t>
        </is>
      </c>
      <c r="K2030" t="inlineStr">
        <is>
          <t>Recoleccion al cierre: con el pronostico, el saldo cerraria en 114.644.298 COP, sobre el cupo de 91.002.000. Se recoge el excedente y el saldo queda en 91.002.000 COP. Equipo administrado por Sucursal. Sin tarifa TDV (administrado por la sucursal): costo 0 declarado.</t>
        </is>
      </c>
      <c r="L2030" s="26" t="n">
        <v>91002000</v>
      </c>
      <c r="M2030" s="26" t="n">
        <v>114644298</v>
      </c>
      <c r="N2030" s="27">
        <f>IF(ISNUMBER(M2030),M2030/L2030,"No aplica")</f>
        <v>1.2597997626425792</v>
      </c>
      <c r="O2030" s="25">
        <f>IF(G2030="provision",M2030+H2030,IF(G2030="recoleccion",M2030-H2030,"No aplica"))</f>
        <v>91002000</v>
      </c>
      <c r="P2030" s="26" t="n">
        <v>0</v>
      </c>
    </row>
    <row r="2031">
      <c r="A2031" t="inlineStr">
        <is>
          <t>PRAGMA</t>
        </is>
      </c>
      <c r="B2031" t="inlineStr">
        <is>
          <t>M2</t>
        </is>
      </c>
      <c r="C2031" t="inlineStr">
        <is>
          <t>Cali</t>
        </is>
      </c>
      <c r="D2031" t="inlineStr">
        <is>
          <t>8734</t>
        </is>
      </c>
      <c r="E2031" t="inlineStr">
        <is>
          <t>Sucursal</t>
        </is>
      </c>
      <c r="F2031" s="23" t="n">
        <v>46276</v>
      </c>
      <c r="G2031" t="inlineStr">
        <is>
          <t>recoleccion</t>
        </is>
      </c>
      <c r="H2031" s="26" t="n">
        <v>25275124</v>
      </c>
      <c r="I2031" t="inlineStr">
        <is>
          <t>bajo</t>
        </is>
      </c>
      <c r="J2031" t="inlineStr">
        <is>
          <t>RN-22 y RN-35: recoleccion al cierre de lo que pasa del cupo</t>
        </is>
      </c>
      <c r="K2031" t="inlineStr">
        <is>
          <t>Recoleccion al cierre: con el pronostico, el saldo cerraria en 116.277.124 COP, sobre el cupo de 91.002.000. Se recoge el excedente y el saldo queda en 91.002.000 COP. Equipo administrado por Sucursal. Sin tarifa TDV (administrado por la sucursal): costo 0 declarado.</t>
        </is>
      </c>
      <c r="L2031" s="26" t="n">
        <v>91002000</v>
      </c>
      <c r="M2031" s="26" t="n">
        <v>116277124</v>
      </c>
      <c r="N2031" s="27">
        <f>IF(ISNUMBER(M2031),M2031/L2031,"No aplica")</f>
        <v>1.277742511153601</v>
      </c>
      <c r="O2031" s="25">
        <f>IF(G2031="provision",M2031+H2031,IF(G2031="recoleccion",M2031-H2031,"No aplica"))</f>
        <v>91002000</v>
      </c>
      <c r="P2031" s="26" t="n">
        <v>0</v>
      </c>
    </row>
    <row r="2032">
      <c r="A2032" t="inlineStr">
        <is>
          <t>PRAGMA</t>
        </is>
      </c>
      <c r="B2032" t="inlineStr">
        <is>
          <t>M2</t>
        </is>
      </c>
      <c r="C2032" t="inlineStr">
        <is>
          <t>Cali</t>
        </is>
      </c>
      <c r="D2032" t="inlineStr">
        <is>
          <t>8734</t>
        </is>
      </c>
      <c r="E2032" t="inlineStr">
        <is>
          <t>Sucursal</t>
        </is>
      </c>
      <c r="F2032" s="23" t="n">
        <v>46277</v>
      </c>
      <c r="G2032" t="inlineStr">
        <is>
          <t>recoleccion</t>
        </is>
      </c>
      <c r="H2032" s="26" t="n">
        <v>7794489</v>
      </c>
      <c r="I2032" t="inlineStr">
        <is>
          <t>bajo</t>
        </is>
      </c>
      <c r="J2032" t="inlineStr">
        <is>
          <t>RN-22 y RN-35: recoleccion al cierre de lo que pasa del cupo</t>
        </is>
      </c>
      <c r="K2032" t="inlineStr">
        <is>
          <t>Recoleccion al cierre: con el pronostico, el saldo cerraria en 98.796.489 COP, sobre el cupo de 91.002.000. Se recoge el excedente y el saldo queda en 91.002.000 COP. Equipo administrado por Sucursal. Sin tarifa TDV (administrado por la sucursal): costo 0 declarado.</t>
        </is>
      </c>
      <c r="L2032" s="26" t="n">
        <v>91002000</v>
      </c>
      <c r="M2032" s="26" t="n">
        <v>98796489</v>
      </c>
      <c r="N2032" s="27">
        <f>IF(ISNUMBER(M2032),M2032/L2032,"No aplica")</f>
        <v>1.0856518428166413</v>
      </c>
      <c r="O2032" s="25">
        <f>IF(G2032="provision",M2032+H2032,IF(G2032="recoleccion",M2032-H2032,"No aplica"))</f>
        <v>91002000</v>
      </c>
      <c r="P2032" s="26" t="n">
        <v>0</v>
      </c>
    </row>
    <row r="2033">
      <c r="A2033" t="inlineStr">
        <is>
          <t>PRAGMA</t>
        </is>
      </c>
      <c r="B2033" t="inlineStr">
        <is>
          <t>M2</t>
        </is>
      </c>
      <c r="C2033" t="inlineStr">
        <is>
          <t>Cali</t>
        </is>
      </c>
      <c r="D2033" t="inlineStr">
        <is>
          <t>8734</t>
        </is>
      </c>
      <c r="E2033" t="inlineStr">
        <is>
          <t>Sucursal</t>
        </is>
      </c>
      <c r="F2033" s="23" t="n">
        <v>46279</v>
      </c>
      <c r="G2033" t="inlineStr">
        <is>
          <t>recoleccion</t>
        </is>
      </c>
      <c r="H2033" s="26" t="n">
        <v>29847193</v>
      </c>
      <c r="I2033" t="inlineStr">
        <is>
          <t>bajo</t>
        </is>
      </c>
      <c r="J2033" t="inlineStr">
        <is>
          <t>RN-22 y RN-35: recoleccion al cierre de lo que pasa del cupo</t>
        </is>
      </c>
      <c r="K2033" t="inlineStr">
        <is>
          <t>Recoleccion al cierre: con el pronostico, el saldo cerraria en 120.849.193 COP, sobre el cupo de 91.002.000. Se recoge el excedente y el saldo queda en 91.002.000 COP. Equipo administrado por Sucursal. Sin tarifa TDV (administrado por la sucursal): costo 0 declarado.</t>
        </is>
      </c>
      <c r="L2033" s="26" t="n">
        <v>91002000</v>
      </c>
      <c r="M2033" s="26" t="n">
        <v>120849193</v>
      </c>
      <c r="N2033" s="27">
        <f>IF(ISNUMBER(M2033),M2033/L2033,"No aplica")</f>
        <v>1.3279839234302542</v>
      </c>
      <c r="O2033" s="25">
        <f>IF(G2033="provision",M2033+H2033,IF(G2033="recoleccion",M2033-H2033,"No aplica"))</f>
        <v>91002000</v>
      </c>
      <c r="P2033" s="26" t="n">
        <v>0</v>
      </c>
    </row>
    <row r="2034">
      <c r="A2034" t="inlineStr">
        <is>
          <t>PRAGMA</t>
        </is>
      </c>
      <c r="B2034" t="inlineStr">
        <is>
          <t>M2</t>
        </is>
      </c>
      <c r="C2034" t="inlineStr">
        <is>
          <t>Cali</t>
        </is>
      </c>
      <c r="D2034" t="inlineStr">
        <is>
          <t>8734</t>
        </is>
      </c>
      <c r="E2034" t="inlineStr">
        <is>
          <t>Sucursal</t>
        </is>
      </c>
      <c r="F2034" s="23" t="n">
        <v>46280</v>
      </c>
      <c r="G2034" t="inlineStr">
        <is>
          <t>recoleccion</t>
        </is>
      </c>
      <c r="H2034" s="26" t="n">
        <v>23729556</v>
      </c>
      <c r="I2034" t="inlineStr">
        <is>
          <t>bajo</t>
        </is>
      </c>
      <c r="J2034" t="inlineStr">
        <is>
          <t>RN-22 y RN-35: recoleccion al cierre de lo que pasa del cupo</t>
        </is>
      </c>
      <c r="K2034" t="inlineStr">
        <is>
          <t>Recoleccion al cierre: con el pronostico, el saldo cerraria en 114.731.556 COP, sobre el cupo de 91.002.000. Se recoge el excedente y el saldo queda en 91.002.000 COP. Equipo administrado por Sucursal. Sin tarifa TDV (administrado por la sucursal): costo 0 declarado.</t>
        </is>
      </c>
      <c r="L2034" s="26" t="n">
        <v>91002000</v>
      </c>
      <c r="M2034" s="26" t="n">
        <v>114731556</v>
      </c>
      <c r="N2034" s="27">
        <f>IF(ISNUMBER(M2034),M2034/L2034,"No aplica")</f>
        <v>1.2607586206896553</v>
      </c>
      <c r="O2034" s="25">
        <f>IF(G2034="provision",M2034+H2034,IF(G2034="recoleccion",M2034-H2034,"No aplica"))</f>
        <v>91002000</v>
      </c>
      <c r="P2034" s="26" t="n">
        <v>0</v>
      </c>
    </row>
    <row r="2035">
      <c r="A2035" t="inlineStr">
        <is>
          <t>PRAGMA</t>
        </is>
      </c>
      <c r="B2035" t="inlineStr">
        <is>
          <t>M2</t>
        </is>
      </c>
      <c r="C2035" t="inlineStr">
        <is>
          <t>Cali</t>
        </is>
      </c>
      <c r="D2035" t="inlineStr">
        <is>
          <t>8762</t>
        </is>
      </c>
      <c r="E2035" t="inlineStr">
        <is>
          <t>TDV</t>
        </is>
      </c>
      <c r="F2035" s="23" t="n">
        <v>46266</v>
      </c>
      <c r="G2035" t="inlineStr">
        <is>
          <t>recoleccion</t>
        </is>
      </c>
      <c r="H2035" s="26" t="n">
        <v>222337042</v>
      </c>
      <c r="I2035" t="inlineStr">
        <is>
          <t>bajo</t>
        </is>
      </c>
      <c r="J2035" t="inlineStr">
        <is>
          <t>RN-22 y RN-35: recoleccion al cierre de lo que pasa del cupo</t>
        </is>
      </c>
      <c r="K2035" t="inlineStr">
        <is>
          <t>Recoleccion al cierre: con el pronostico, el saldo cerraria en 247.187.042 COP, sobre el cupo de 24.850.000. Se recoge el excedente y el saldo queda en 24.850.000 COP. Equipo administrado por TDV.</t>
        </is>
      </c>
      <c r="L2035" s="26" t="n">
        <v>24850000</v>
      </c>
      <c r="M2035" s="26" t="n">
        <v>247187042</v>
      </c>
      <c r="N2035" s="27">
        <f>IF(ISNUMBER(M2035),M2035/L2035,"No aplica")</f>
        <v>9.947164668008048</v>
      </c>
      <c r="O2035" s="25">
        <f>IF(G2035="provision",M2035+H2035,IF(G2035="recoleccion",M2035-H2035,"No aplica"))</f>
        <v>24850000</v>
      </c>
      <c r="P2035" s="26" t="n">
        <v>158012</v>
      </c>
    </row>
    <row r="2036">
      <c r="A2036" t="inlineStr">
        <is>
          <t>PRAGMA</t>
        </is>
      </c>
      <c r="B2036" t="inlineStr">
        <is>
          <t>M2</t>
        </is>
      </c>
      <c r="C2036" t="inlineStr">
        <is>
          <t>Cali</t>
        </is>
      </c>
      <c r="D2036" t="inlineStr">
        <is>
          <t>8762</t>
        </is>
      </c>
      <c r="E2036" t="inlineStr">
        <is>
          <t>TDV</t>
        </is>
      </c>
      <c r="F2036" s="23" t="n">
        <v>46267</v>
      </c>
      <c r="G2036" t="inlineStr">
        <is>
          <t>recoleccion</t>
        </is>
      </c>
      <c r="H2036" s="26" t="n">
        <v>186820355</v>
      </c>
      <c r="I2036" t="inlineStr">
        <is>
          <t>bajo</t>
        </is>
      </c>
      <c r="J2036" t="inlineStr">
        <is>
          <t>RN-22 y RN-35: recoleccion al cierre de lo que pasa del cupo</t>
        </is>
      </c>
      <c r="K2036" t="inlineStr">
        <is>
          <t>Recoleccion al cierre: con el pronostico, el saldo cerraria en 211.670.355 COP, sobre el cupo de 24.850.000. Se recoge el excedente y el saldo queda en 24.850.000 COP. Equipo administrado por TDV.</t>
        </is>
      </c>
      <c r="L2036" s="26" t="n">
        <v>24850000</v>
      </c>
      <c r="M2036" s="26" t="n">
        <v>211670355</v>
      </c>
      <c r="N2036" s="27">
        <f>IF(ISNUMBER(M2036),M2036/L2036,"No aplica")</f>
        <v>8.517921730382294</v>
      </c>
      <c r="O2036" s="25">
        <f>IF(G2036="provision",M2036+H2036,IF(G2036="recoleccion",M2036-H2036,"No aplica"))</f>
        <v>24850000</v>
      </c>
      <c r="P2036" s="26" t="n">
        <v>158012</v>
      </c>
    </row>
    <row r="2037">
      <c r="A2037" t="inlineStr">
        <is>
          <t>PRAGMA</t>
        </is>
      </c>
      <c r="B2037" t="inlineStr">
        <is>
          <t>M2</t>
        </is>
      </c>
      <c r="C2037" t="inlineStr">
        <is>
          <t>Cali</t>
        </is>
      </c>
      <c r="D2037" t="inlineStr">
        <is>
          <t>8762</t>
        </is>
      </c>
      <c r="E2037" t="inlineStr">
        <is>
          <t>TDV</t>
        </is>
      </c>
      <c r="F2037" s="23" t="n">
        <v>46268</v>
      </c>
      <c r="G2037" t="inlineStr">
        <is>
          <t>recoleccion</t>
        </is>
      </c>
      <c r="H2037" s="26" t="n">
        <v>194801969</v>
      </c>
      <c r="I2037" t="inlineStr">
        <is>
          <t>bajo</t>
        </is>
      </c>
      <c r="J2037" t="inlineStr">
        <is>
          <t>RN-22 y RN-35: recoleccion al cierre de lo que pasa del cupo</t>
        </is>
      </c>
      <c r="K2037" t="inlineStr">
        <is>
          <t>Recoleccion al cierre: con el pronostico, el saldo cerraria en 219.651.969 COP, sobre el cupo de 24.850.000. Se recoge el excedente y el saldo queda en 24.850.000 COP. Equipo administrado por TDV.</t>
        </is>
      </c>
      <c r="L2037" s="26" t="n">
        <v>24850000</v>
      </c>
      <c r="M2037" s="26" t="n">
        <v>219651969</v>
      </c>
      <c r="N2037" s="27">
        <f>IF(ISNUMBER(M2037),M2037/L2037,"No aplica")</f>
        <v>8.839113440643864</v>
      </c>
      <c r="O2037" s="25">
        <f>IF(G2037="provision",M2037+H2037,IF(G2037="recoleccion",M2037-H2037,"No aplica"))</f>
        <v>24850000</v>
      </c>
      <c r="P2037" s="26" t="n">
        <v>158012</v>
      </c>
    </row>
    <row r="2038">
      <c r="A2038" t="inlineStr">
        <is>
          <t>PRAGMA</t>
        </is>
      </c>
      <c r="B2038" t="inlineStr">
        <is>
          <t>M2</t>
        </is>
      </c>
      <c r="C2038" t="inlineStr">
        <is>
          <t>Cali</t>
        </is>
      </c>
      <c r="D2038" t="inlineStr">
        <is>
          <t>8762</t>
        </is>
      </c>
      <c r="E2038" t="inlineStr">
        <is>
          <t>TDV</t>
        </is>
      </c>
      <c r="F2038" s="23" t="n">
        <v>46269</v>
      </c>
      <c r="G2038" t="inlineStr">
        <is>
          <t>recoleccion</t>
        </is>
      </c>
      <c r="H2038" s="26" t="n">
        <v>202386764</v>
      </c>
      <c r="I2038" t="inlineStr">
        <is>
          <t>bajo</t>
        </is>
      </c>
      <c r="J2038" t="inlineStr">
        <is>
          <t>RN-22 y RN-35: recoleccion al cierre de lo que pasa del cupo</t>
        </is>
      </c>
      <c r="K2038" t="inlineStr">
        <is>
          <t>Recoleccion al cierre: con el pronostico, el saldo cerraria en 227.236.764 COP, sobre el cupo de 24.850.000. Se recoge el excedente y el saldo queda en 24.850.000 COP. Equipo administrado por TDV.</t>
        </is>
      </c>
      <c r="L2038" s="26" t="n">
        <v>24850000</v>
      </c>
      <c r="M2038" s="26" t="n">
        <v>227236764</v>
      </c>
      <c r="N2038" s="27">
        <f>IF(ISNUMBER(M2038),M2038/L2038,"No aplica")</f>
        <v>9.14433657947686</v>
      </c>
      <c r="O2038" s="25">
        <f>IF(G2038="provision",M2038+H2038,IF(G2038="recoleccion",M2038-H2038,"No aplica"))</f>
        <v>24850000</v>
      </c>
      <c r="P2038" s="26" t="n">
        <v>158012</v>
      </c>
    </row>
    <row r="2039">
      <c r="A2039" t="inlineStr">
        <is>
          <t>PRAGMA</t>
        </is>
      </c>
      <c r="B2039" t="inlineStr">
        <is>
          <t>M2</t>
        </is>
      </c>
      <c r="C2039" t="inlineStr">
        <is>
          <t>Cali</t>
        </is>
      </c>
      <c r="D2039" t="inlineStr">
        <is>
          <t>8762</t>
        </is>
      </c>
      <c r="E2039" t="inlineStr">
        <is>
          <t>TDV</t>
        </is>
      </c>
      <c r="F2039" s="23" t="n">
        <v>46270</v>
      </c>
      <c r="G2039" t="inlineStr">
        <is>
          <t>recoleccion</t>
        </is>
      </c>
      <c r="H2039" s="26" t="n">
        <v>211464632</v>
      </c>
      <c r="I2039" t="inlineStr">
        <is>
          <t>bajo</t>
        </is>
      </c>
      <c r="J2039" t="inlineStr">
        <is>
          <t>RN-22 y RN-35: recoleccion al cierre de lo que pasa del cupo</t>
        </is>
      </c>
      <c r="K2039" t="inlineStr">
        <is>
          <t>Recoleccion al cierre: con el pronostico, el saldo cerraria en 236.314.632 COP, sobre el cupo de 24.850.000. Se recoge el excedente y el saldo queda en 24.850.000 COP. Equipo administrado por TDV.</t>
        </is>
      </c>
      <c r="L2039" s="26" t="n">
        <v>24850000</v>
      </c>
      <c r="M2039" s="26" t="n">
        <v>236314632</v>
      </c>
      <c r="N2039" s="27">
        <f>IF(ISNUMBER(M2039),M2039/L2039,"No aplica")</f>
        <v>9.509643138832997</v>
      </c>
      <c r="O2039" s="25">
        <f>IF(G2039="provision",M2039+H2039,IF(G2039="recoleccion",M2039-H2039,"No aplica"))</f>
        <v>24850000</v>
      </c>
      <c r="P2039" s="26" t="n">
        <v>158012</v>
      </c>
    </row>
    <row r="2040">
      <c r="A2040" t="inlineStr">
        <is>
          <t>PRAGMA</t>
        </is>
      </c>
      <c r="B2040" t="inlineStr">
        <is>
          <t>M2</t>
        </is>
      </c>
      <c r="C2040" t="inlineStr">
        <is>
          <t>Cali</t>
        </is>
      </c>
      <c r="D2040" t="inlineStr">
        <is>
          <t>8762</t>
        </is>
      </c>
      <c r="E2040" t="inlineStr">
        <is>
          <t>TDV</t>
        </is>
      </c>
      <c r="F2040" s="23" t="n">
        <v>46271</v>
      </c>
      <c r="G2040" t="inlineStr">
        <is>
          <t>recoleccion</t>
        </is>
      </c>
      <c r="H2040" s="26" t="n">
        <v>150415664</v>
      </c>
      <c r="I2040" t="inlineStr">
        <is>
          <t>bajo</t>
        </is>
      </c>
      <c r="J2040" t="inlineStr">
        <is>
          <t>RN-22 y RN-35: recoleccion al cierre de lo que pasa del cupo</t>
        </is>
      </c>
      <c r="K2040" t="inlineStr">
        <is>
          <t>Recoleccion al cierre: con el pronostico, el saldo cerraria en 175.265.664 COP, sobre el cupo de 24.850.000. Se recoge el excedente y el saldo queda en 24.850.000 COP. Equipo administrado por TDV.</t>
        </is>
      </c>
      <c r="L2040" s="26" t="n">
        <v>24850000</v>
      </c>
      <c r="M2040" s="26" t="n">
        <v>175265664</v>
      </c>
      <c r="N2040" s="27">
        <f>IF(ISNUMBER(M2040),M2040/L2040,"No aplica")</f>
        <v>7.052944225352113</v>
      </c>
      <c r="O2040" s="25">
        <f>IF(G2040="provision",M2040+H2040,IF(G2040="recoleccion",M2040-H2040,"No aplica"))</f>
        <v>24850000</v>
      </c>
      <c r="P2040" s="26" t="n">
        <v>182814</v>
      </c>
    </row>
    <row r="2041">
      <c r="A2041" t="inlineStr">
        <is>
          <t>PRAGMA</t>
        </is>
      </c>
      <c r="B2041" t="inlineStr">
        <is>
          <t>M2</t>
        </is>
      </c>
      <c r="C2041" t="inlineStr">
        <is>
          <t>Cali</t>
        </is>
      </c>
      <c r="D2041" t="inlineStr">
        <is>
          <t>8762</t>
        </is>
      </c>
      <c r="E2041" t="inlineStr">
        <is>
          <t>TDV</t>
        </is>
      </c>
      <c r="F2041" s="23" t="n">
        <v>46272</v>
      </c>
      <c r="G2041" t="inlineStr">
        <is>
          <t>recoleccion</t>
        </is>
      </c>
      <c r="H2041" s="26" t="n">
        <v>213069676</v>
      </c>
      <c r="I2041" t="inlineStr">
        <is>
          <t>bajo</t>
        </is>
      </c>
      <c r="J2041" t="inlineStr">
        <is>
          <t>RN-22 y RN-35: recoleccion al cierre de lo que pasa del cupo</t>
        </is>
      </c>
      <c r="K2041" t="inlineStr">
        <is>
          <t>Recoleccion al cierre: con el pronostico, el saldo cerraria en 237.919.676 COP, sobre el cupo de 24.850.000. Se recoge el excedente y el saldo queda en 24.850.000 COP. Equipo administrado por TDV.</t>
        </is>
      </c>
      <c r="L2041" s="26" t="n">
        <v>24850000</v>
      </c>
      <c r="M2041" s="26" t="n">
        <v>237919676</v>
      </c>
      <c r="N2041" s="27">
        <f>IF(ISNUMBER(M2041),M2041/L2041,"No aplica")</f>
        <v>9.574232434607646</v>
      </c>
      <c r="O2041" s="25">
        <f>IF(G2041="provision",M2041+H2041,IF(G2041="recoleccion",M2041-H2041,"No aplica"))</f>
        <v>24850000</v>
      </c>
      <c r="P2041" s="26" t="n">
        <v>158012</v>
      </c>
    </row>
    <row r="2042">
      <c r="A2042" t="inlineStr">
        <is>
          <t>PRAGMA</t>
        </is>
      </c>
      <c r="B2042" t="inlineStr">
        <is>
          <t>M2</t>
        </is>
      </c>
      <c r="C2042" t="inlineStr">
        <is>
          <t>Cali</t>
        </is>
      </c>
      <c r="D2042" t="inlineStr">
        <is>
          <t>8762</t>
        </is>
      </c>
      <c r="E2042" t="inlineStr">
        <is>
          <t>TDV</t>
        </is>
      </c>
      <c r="F2042" s="23" t="n">
        <v>46273</v>
      </c>
      <c r="G2042" t="inlineStr">
        <is>
          <t>recoleccion</t>
        </is>
      </c>
      <c r="H2042" s="26" t="n">
        <v>193957906</v>
      </c>
      <c r="I2042" t="inlineStr">
        <is>
          <t>bajo</t>
        </is>
      </c>
      <c r="J2042" t="inlineStr">
        <is>
          <t>RN-22 y RN-35: recoleccion al cierre de lo que pasa del cupo</t>
        </is>
      </c>
      <c r="K2042" t="inlineStr">
        <is>
          <t>Recoleccion al cierre: con el pronostico, el saldo cerraria en 218.807.906 COP, sobre el cupo de 24.850.000. Se recoge el excedente y el saldo queda en 24.850.000 COP. Equipo administrado por TDV.</t>
        </is>
      </c>
      <c r="L2042" s="26" t="n">
        <v>24850000</v>
      </c>
      <c r="M2042" s="26" t="n">
        <v>218807906</v>
      </c>
      <c r="N2042" s="27">
        <f>IF(ISNUMBER(M2042),M2042/L2042,"No aplica")</f>
        <v>8.805147122736418</v>
      </c>
      <c r="O2042" s="25">
        <f>IF(G2042="provision",M2042+H2042,IF(G2042="recoleccion",M2042-H2042,"No aplica"))</f>
        <v>24850000</v>
      </c>
      <c r="P2042" s="26" t="n">
        <v>158012</v>
      </c>
    </row>
    <row r="2043">
      <c r="A2043" t="inlineStr">
        <is>
          <t>PRAGMA</t>
        </is>
      </c>
      <c r="B2043" t="inlineStr">
        <is>
          <t>M2</t>
        </is>
      </c>
      <c r="C2043" t="inlineStr">
        <is>
          <t>Cali</t>
        </is>
      </c>
      <c r="D2043" t="inlineStr">
        <is>
          <t>8762</t>
        </is>
      </c>
      <c r="E2043" t="inlineStr">
        <is>
          <t>TDV</t>
        </is>
      </c>
      <c r="F2043" s="23" t="n">
        <v>46274</v>
      </c>
      <c r="G2043" t="inlineStr">
        <is>
          <t>recoleccion</t>
        </is>
      </c>
      <c r="H2043" s="26" t="n">
        <v>177195126</v>
      </c>
      <c r="I2043" t="inlineStr">
        <is>
          <t>bajo</t>
        </is>
      </c>
      <c r="J2043" t="inlineStr">
        <is>
          <t>RN-22 y RN-35: recoleccion al cierre de lo que pasa del cupo</t>
        </is>
      </c>
      <c r="K2043" t="inlineStr">
        <is>
          <t>Recoleccion al cierre: con el pronostico, el saldo cerraria en 202.045.126 COP, sobre el cupo de 24.850.000. Se recoge el excedente y el saldo queda en 24.850.000 COP. Equipo administrado por TDV.</t>
        </is>
      </c>
      <c r="L2043" s="26" t="n">
        <v>24850000</v>
      </c>
      <c r="M2043" s="26" t="n">
        <v>202045126</v>
      </c>
      <c r="N2043" s="27">
        <f>IF(ISNUMBER(M2043),M2043/L2043,"No aplica")</f>
        <v>8.130588571428571</v>
      </c>
      <c r="O2043" s="25">
        <f>IF(G2043="provision",M2043+H2043,IF(G2043="recoleccion",M2043-H2043,"No aplica"))</f>
        <v>24850000</v>
      </c>
      <c r="P2043" s="26" t="n">
        <v>158012</v>
      </c>
    </row>
    <row r="2044">
      <c r="A2044" t="inlineStr">
        <is>
          <t>PRAGMA</t>
        </is>
      </c>
      <c r="B2044" t="inlineStr">
        <is>
          <t>M2</t>
        </is>
      </c>
      <c r="C2044" t="inlineStr">
        <is>
          <t>Cali</t>
        </is>
      </c>
      <c r="D2044" t="inlineStr">
        <is>
          <t>8762</t>
        </is>
      </c>
      <c r="E2044" t="inlineStr">
        <is>
          <t>TDV</t>
        </is>
      </c>
      <c r="F2044" s="23" t="n">
        <v>46275</v>
      </c>
      <c r="G2044" t="inlineStr">
        <is>
          <t>recoleccion</t>
        </is>
      </c>
      <c r="H2044" s="26" t="n">
        <v>180361744</v>
      </c>
      <c r="I2044" t="inlineStr">
        <is>
          <t>bajo</t>
        </is>
      </c>
      <c r="J2044" t="inlineStr">
        <is>
          <t>RN-22 y RN-35: recoleccion al cierre de lo que pasa del cupo</t>
        </is>
      </c>
      <c r="K2044" t="inlineStr">
        <is>
          <t>Recoleccion al cierre: con el pronostico, el saldo cerraria en 205.211.744 COP, sobre el cupo de 24.850.000. Se recoge el excedente y el saldo queda en 24.850.000 COP. Equipo administrado por TDV.</t>
        </is>
      </c>
      <c r="L2044" s="26" t="n">
        <v>24850000</v>
      </c>
      <c r="M2044" s="26" t="n">
        <v>205211744</v>
      </c>
      <c r="N2044" s="27">
        <f>IF(ISNUMBER(M2044),M2044/L2044,"No aplica")</f>
        <v>8.25801786720322</v>
      </c>
      <c r="O2044" s="25">
        <f>IF(G2044="provision",M2044+H2044,IF(G2044="recoleccion",M2044-H2044,"No aplica"))</f>
        <v>24850000</v>
      </c>
      <c r="P2044" s="26" t="n">
        <v>158012</v>
      </c>
    </row>
    <row r="2045">
      <c r="A2045" t="inlineStr">
        <is>
          <t>PRAGMA</t>
        </is>
      </c>
      <c r="B2045" t="inlineStr">
        <is>
          <t>M2</t>
        </is>
      </c>
      <c r="C2045" t="inlineStr">
        <is>
          <t>Cali</t>
        </is>
      </c>
      <c r="D2045" t="inlineStr">
        <is>
          <t>8762</t>
        </is>
      </c>
      <c r="E2045" t="inlineStr">
        <is>
          <t>TDV</t>
        </is>
      </c>
      <c r="F2045" s="23" t="n">
        <v>46276</v>
      </c>
      <c r="G2045" t="inlineStr">
        <is>
          <t>recoleccion</t>
        </is>
      </c>
      <c r="H2045" s="26" t="n">
        <v>174437267</v>
      </c>
      <c r="I2045" t="inlineStr">
        <is>
          <t>bajo</t>
        </is>
      </c>
      <c r="J2045" t="inlineStr">
        <is>
          <t>RN-22 y RN-35: recoleccion al cierre de lo que pasa del cupo</t>
        </is>
      </c>
      <c r="K2045" t="inlineStr">
        <is>
          <t>Recoleccion al cierre: con el pronostico, el saldo cerraria en 199.287.267 COP, sobre el cupo de 24.850.000. Se recoge el excedente y el saldo queda en 24.850.000 COP. Equipo administrado por TDV.</t>
        </is>
      </c>
      <c r="L2045" s="26" t="n">
        <v>24850000</v>
      </c>
      <c r="M2045" s="26" t="n">
        <v>199287267</v>
      </c>
      <c r="N2045" s="27">
        <f>IF(ISNUMBER(M2045),M2045/L2045,"No aplica")</f>
        <v>8.01960832997988</v>
      </c>
      <c r="O2045" s="25">
        <f>IF(G2045="provision",M2045+H2045,IF(G2045="recoleccion",M2045-H2045,"No aplica"))</f>
        <v>24850000</v>
      </c>
      <c r="P2045" s="26" t="n">
        <v>158012</v>
      </c>
    </row>
    <row r="2046">
      <c r="A2046" t="inlineStr">
        <is>
          <t>PRAGMA</t>
        </is>
      </c>
      <c r="B2046" t="inlineStr">
        <is>
          <t>M2</t>
        </is>
      </c>
      <c r="C2046" t="inlineStr">
        <is>
          <t>Cali</t>
        </is>
      </c>
      <c r="D2046" t="inlineStr">
        <is>
          <t>8762</t>
        </is>
      </c>
      <c r="E2046" t="inlineStr">
        <is>
          <t>TDV</t>
        </is>
      </c>
      <c r="F2046" s="23" t="n">
        <v>46277</v>
      </c>
      <c r="G2046" t="inlineStr">
        <is>
          <t>recoleccion</t>
        </is>
      </c>
      <c r="H2046" s="26" t="n">
        <v>174302820</v>
      </c>
      <c r="I2046" t="inlineStr">
        <is>
          <t>bajo</t>
        </is>
      </c>
      <c r="J2046" t="inlineStr">
        <is>
          <t>RN-22 y RN-35: recoleccion al cierre de lo que pasa del cupo</t>
        </is>
      </c>
      <c r="K2046" t="inlineStr">
        <is>
          <t>Recoleccion al cierre: con el pronostico, el saldo cerraria en 199.152.820 COP, sobre el cupo de 24.850.000. Se recoge el excedente y el saldo queda en 24.850.000 COP. Equipo administrado por TDV.</t>
        </is>
      </c>
      <c r="L2046" s="26" t="n">
        <v>24850000</v>
      </c>
      <c r="M2046" s="26" t="n">
        <v>199152820</v>
      </c>
      <c r="N2046" s="27">
        <f>IF(ISNUMBER(M2046),M2046/L2046,"No aplica")</f>
        <v>8.014197987927565</v>
      </c>
      <c r="O2046" s="25">
        <f>IF(G2046="provision",M2046+H2046,IF(G2046="recoleccion",M2046-H2046,"No aplica"))</f>
        <v>24850000</v>
      </c>
      <c r="P2046" s="26" t="n">
        <v>158012</v>
      </c>
    </row>
    <row r="2047">
      <c r="A2047" t="inlineStr">
        <is>
          <t>PRAGMA</t>
        </is>
      </c>
      <c r="B2047" t="inlineStr">
        <is>
          <t>M2</t>
        </is>
      </c>
      <c r="C2047" t="inlineStr">
        <is>
          <t>Cali</t>
        </is>
      </c>
      <c r="D2047" t="inlineStr">
        <is>
          <t>8762</t>
        </is>
      </c>
      <c r="E2047" t="inlineStr">
        <is>
          <t>TDV</t>
        </is>
      </c>
      <c r="F2047" s="23" t="n">
        <v>46278</v>
      </c>
      <c r="G2047" t="inlineStr">
        <is>
          <t>recoleccion</t>
        </is>
      </c>
      <c r="H2047" s="26" t="n">
        <v>123612978</v>
      </c>
      <c r="I2047" t="inlineStr">
        <is>
          <t>bajo</t>
        </is>
      </c>
      <c r="J2047" t="inlineStr">
        <is>
          <t>RN-22 y RN-35: recoleccion al cierre de lo que pasa del cupo</t>
        </is>
      </c>
      <c r="K2047" t="inlineStr">
        <is>
          <t>Recoleccion al cierre: con el pronostico, el saldo cerraria en 148.462.978 COP, sobre el cupo de 24.850.000. Se recoge el excedente y el saldo queda en 24.850.000 COP. Equipo administrado por TDV.</t>
        </is>
      </c>
      <c r="L2047" s="26" t="n">
        <v>24850000</v>
      </c>
      <c r="M2047" s="26" t="n">
        <v>148462978</v>
      </c>
      <c r="N2047" s="27">
        <f>IF(ISNUMBER(M2047),M2047/L2047,"No aplica")</f>
        <v>5.974365311871227</v>
      </c>
      <c r="O2047" s="25">
        <f>IF(G2047="provision",M2047+H2047,IF(G2047="recoleccion",M2047-H2047,"No aplica"))</f>
        <v>24850000</v>
      </c>
      <c r="P2047" s="26" t="n">
        <v>182814</v>
      </c>
    </row>
    <row r="2048">
      <c r="A2048" t="inlineStr">
        <is>
          <t>PRAGMA</t>
        </is>
      </c>
      <c r="B2048" t="inlineStr">
        <is>
          <t>M2</t>
        </is>
      </c>
      <c r="C2048" t="inlineStr">
        <is>
          <t>Cali</t>
        </is>
      </c>
      <c r="D2048" t="inlineStr">
        <is>
          <t>8762</t>
        </is>
      </c>
      <c r="E2048" t="inlineStr">
        <is>
          <t>TDV</t>
        </is>
      </c>
      <c r="F2048" s="23" t="n">
        <v>46279</v>
      </c>
      <c r="G2048" t="inlineStr">
        <is>
          <t>recoleccion</t>
        </is>
      </c>
      <c r="H2048" s="26" t="n">
        <v>186327067</v>
      </c>
      <c r="I2048" t="inlineStr">
        <is>
          <t>bajo</t>
        </is>
      </c>
      <c r="J2048" t="inlineStr">
        <is>
          <t>RN-22 y RN-35: recoleccion al cierre de lo que pasa del cupo</t>
        </is>
      </c>
      <c r="K2048" t="inlineStr">
        <is>
          <t>Recoleccion al cierre: con el pronostico, el saldo cerraria en 211.177.067 COP, sobre el cupo de 24.850.000. Se recoge el excedente y el saldo queda en 24.850.000 COP. Equipo administrado por TDV.</t>
        </is>
      </c>
      <c r="L2048" s="26" t="n">
        <v>24850000</v>
      </c>
      <c r="M2048" s="26" t="n">
        <v>211177067</v>
      </c>
      <c r="N2048" s="27">
        <f>IF(ISNUMBER(M2048),M2048/L2048,"No aplica")</f>
        <v>8.49807110663984</v>
      </c>
      <c r="O2048" s="25">
        <f>IF(G2048="provision",M2048+H2048,IF(G2048="recoleccion",M2048-H2048,"No aplica"))</f>
        <v>24850000</v>
      </c>
      <c r="P2048" s="26" t="n">
        <v>158012</v>
      </c>
    </row>
    <row r="2049">
      <c r="A2049" t="inlineStr">
        <is>
          <t>PRAGMA</t>
        </is>
      </c>
      <c r="B2049" t="inlineStr">
        <is>
          <t>M2</t>
        </is>
      </c>
      <c r="C2049" t="inlineStr">
        <is>
          <t>Cali</t>
        </is>
      </c>
      <c r="D2049" t="inlineStr">
        <is>
          <t>8762</t>
        </is>
      </c>
      <c r="E2049" t="inlineStr">
        <is>
          <t>TDV</t>
        </is>
      </c>
      <c r="F2049" s="23" t="n">
        <v>46280</v>
      </c>
      <c r="G2049" t="inlineStr">
        <is>
          <t>recoleccion</t>
        </is>
      </c>
      <c r="H2049" s="26" t="n">
        <v>192309307</v>
      </c>
      <c r="I2049" t="inlineStr">
        <is>
          <t>bajo</t>
        </is>
      </c>
      <c r="J2049" t="inlineStr">
        <is>
          <t>RN-22 y RN-35: recoleccion al cierre de lo que pasa del cupo</t>
        </is>
      </c>
      <c r="K2049" t="inlineStr">
        <is>
          <t>Recoleccion al cierre: con el pronostico, el saldo cerraria en 217.159.307 COP, sobre el cupo de 24.850.000. Se recoge el excedente y el saldo queda en 24.850.000 COP. Equipo administrado por TDV.</t>
        </is>
      </c>
      <c r="L2049" s="26" t="n">
        <v>24850000</v>
      </c>
      <c r="M2049" s="26" t="n">
        <v>217159307</v>
      </c>
      <c r="N2049" s="27">
        <f>IF(ISNUMBER(M2049),M2049/L2049,"No aplica")</f>
        <v>8.738805110663984</v>
      </c>
      <c r="O2049" s="25">
        <f>IF(G2049="provision",M2049+H2049,IF(G2049="recoleccion",M2049-H2049,"No aplica"))</f>
        <v>24850000</v>
      </c>
      <c r="P2049" s="26" t="n">
        <v>158012</v>
      </c>
    </row>
    <row r="2050">
      <c r="A2050" t="inlineStr">
        <is>
          <t>PRAGMA</t>
        </is>
      </c>
      <c r="B2050" t="inlineStr">
        <is>
          <t>M2</t>
        </is>
      </c>
      <c r="C2050" t="inlineStr">
        <is>
          <t>Cali</t>
        </is>
      </c>
      <c r="D2050" t="inlineStr">
        <is>
          <t>8763</t>
        </is>
      </c>
      <c r="E2050" t="inlineStr">
        <is>
          <t>TDV</t>
        </is>
      </c>
      <c r="F2050" s="23" t="n">
        <v>46266</v>
      </c>
      <c r="G2050" t="inlineStr">
        <is>
          <t>recoleccion</t>
        </is>
      </c>
      <c r="H2050" s="26" t="n">
        <v>209171839</v>
      </c>
      <c r="I2050" t="inlineStr">
        <is>
          <t>bajo</t>
        </is>
      </c>
      <c r="J2050" t="inlineStr">
        <is>
          <t>RN-22 y RN-35: recoleccion al cierre de lo que pasa del cupo</t>
        </is>
      </c>
      <c r="K2050" t="inlineStr">
        <is>
          <t>Recoleccion al cierre: con el pronostico, el saldo cerraria en 278.021.839 COP, sobre el cupo de 68.850.000. Se recoge el excedente y el saldo queda en 68.850.000 COP. Equipo administrado por TDV.</t>
        </is>
      </c>
      <c r="L2050" s="26" t="n">
        <v>68850000</v>
      </c>
      <c r="M2050" s="26" t="n">
        <v>278021839</v>
      </c>
      <c r="N2050" s="27">
        <f>IF(ISNUMBER(M2050),M2050/L2050,"No aplica")</f>
        <v>4.038080450254176</v>
      </c>
      <c r="O2050" s="25">
        <f>IF(G2050="provision",M2050+H2050,IF(G2050="recoleccion",M2050-H2050,"No aplica"))</f>
        <v>68850000</v>
      </c>
      <c r="P2050" s="26" t="n">
        <v>158012</v>
      </c>
    </row>
    <row r="2051">
      <c r="A2051" t="inlineStr">
        <is>
          <t>PRAGMA</t>
        </is>
      </c>
      <c r="B2051" t="inlineStr">
        <is>
          <t>M2</t>
        </is>
      </c>
      <c r="C2051" t="inlineStr">
        <is>
          <t>Cali</t>
        </is>
      </c>
      <c r="D2051" t="inlineStr">
        <is>
          <t>8763</t>
        </is>
      </c>
      <c r="E2051" t="inlineStr">
        <is>
          <t>TDV</t>
        </is>
      </c>
      <c r="F2051" s="23" t="n">
        <v>46267</v>
      </c>
      <c r="G2051" t="inlineStr">
        <is>
          <t>recoleccion</t>
        </is>
      </c>
      <c r="H2051" s="26" t="n">
        <v>185178207</v>
      </c>
      <c r="I2051" t="inlineStr">
        <is>
          <t>bajo</t>
        </is>
      </c>
      <c r="J2051" t="inlineStr">
        <is>
          <t>RN-22 y RN-35: recoleccion al cierre de lo que pasa del cupo</t>
        </is>
      </c>
      <c r="K2051" t="inlineStr">
        <is>
          <t>Recoleccion al cierre: con el pronostico, el saldo cerraria en 254.028.207 COP, sobre el cupo de 68.850.000. Se recoge el excedente y el saldo queda en 68.850.000 COP. Equipo administrado por TDV.</t>
        </is>
      </c>
      <c r="L2051" s="26" t="n">
        <v>68850000</v>
      </c>
      <c r="M2051" s="26" t="n">
        <v>254028207</v>
      </c>
      <c r="N2051" s="27">
        <f>IF(ISNUMBER(M2051),M2051/L2051,"No aplica")</f>
        <v>3.689589063180828</v>
      </c>
      <c r="O2051" s="25">
        <f>IF(G2051="provision",M2051+H2051,IF(G2051="recoleccion",M2051-H2051,"No aplica"))</f>
        <v>68850000</v>
      </c>
      <c r="P2051" s="26" t="n">
        <v>158012</v>
      </c>
    </row>
    <row r="2052">
      <c r="A2052" t="inlineStr">
        <is>
          <t>PRAGMA</t>
        </is>
      </c>
      <c r="B2052" t="inlineStr">
        <is>
          <t>M2</t>
        </is>
      </c>
      <c r="C2052" t="inlineStr">
        <is>
          <t>Cali</t>
        </is>
      </c>
      <c r="D2052" t="inlineStr">
        <is>
          <t>8763</t>
        </is>
      </c>
      <c r="E2052" t="inlineStr">
        <is>
          <t>TDV</t>
        </is>
      </c>
      <c r="F2052" s="23" t="n">
        <v>46268</v>
      </c>
      <c r="G2052" t="inlineStr">
        <is>
          <t>recoleccion</t>
        </is>
      </c>
      <c r="H2052" s="26" t="n">
        <v>175217319</v>
      </c>
      <c r="I2052" t="inlineStr">
        <is>
          <t>bajo</t>
        </is>
      </c>
      <c r="J2052" t="inlineStr">
        <is>
          <t>RN-22 y RN-35: recoleccion al cierre de lo que pasa del cupo</t>
        </is>
      </c>
      <c r="K2052" t="inlineStr">
        <is>
          <t>Recoleccion al cierre: con el pronostico, el saldo cerraria en 244.067.319 COP, sobre el cupo de 68.850.000. Se recoge el excedente y el saldo queda en 68.850.000 COP. Equipo administrado por TDV.</t>
        </is>
      </c>
      <c r="L2052" s="26" t="n">
        <v>68850000</v>
      </c>
      <c r="M2052" s="26" t="n">
        <v>244067319</v>
      </c>
      <c r="N2052" s="27">
        <f>IF(ISNUMBER(M2052),M2052/L2052,"No aplica")</f>
        <v>3.5449138562091504</v>
      </c>
      <c r="O2052" s="25">
        <f>IF(G2052="provision",M2052+H2052,IF(G2052="recoleccion",M2052-H2052,"No aplica"))</f>
        <v>68850000</v>
      </c>
      <c r="P2052" s="26" t="n">
        <v>158012</v>
      </c>
    </row>
    <row r="2053">
      <c r="A2053" t="inlineStr">
        <is>
          <t>PRAGMA</t>
        </is>
      </c>
      <c r="B2053" t="inlineStr">
        <is>
          <t>M2</t>
        </is>
      </c>
      <c r="C2053" t="inlineStr">
        <is>
          <t>Cali</t>
        </is>
      </c>
      <c r="D2053" t="inlineStr">
        <is>
          <t>8763</t>
        </is>
      </c>
      <c r="E2053" t="inlineStr">
        <is>
          <t>TDV</t>
        </is>
      </c>
      <c r="F2053" s="23" t="n">
        <v>46269</v>
      </c>
      <c r="G2053" t="inlineStr">
        <is>
          <t>recoleccion</t>
        </is>
      </c>
      <c r="H2053" s="26" t="n">
        <v>190654863</v>
      </c>
      <c r="I2053" t="inlineStr">
        <is>
          <t>bajo</t>
        </is>
      </c>
      <c r="J2053" t="inlineStr">
        <is>
          <t>RN-22 y RN-35: recoleccion al cierre de lo que pasa del cupo</t>
        </is>
      </c>
      <c r="K2053" t="inlineStr">
        <is>
          <t>Recoleccion al cierre: con el pronostico, el saldo cerraria en 259.504.863 COP, sobre el cupo de 68.850.000. Se recoge el excedente y el saldo queda en 68.850.000 COP. Equipo administrado por TDV.</t>
        </is>
      </c>
      <c r="L2053" s="26" t="n">
        <v>68850000</v>
      </c>
      <c r="M2053" s="26" t="n">
        <v>259504863</v>
      </c>
      <c r="N2053" s="27">
        <f>IF(ISNUMBER(M2053),M2053/L2053,"No aplica")</f>
        <v>3.7691338126361655</v>
      </c>
      <c r="O2053" s="25">
        <f>IF(G2053="provision",M2053+H2053,IF(G2053="recoleccion",M2053-H2053,"No aplica"))</f>
        <v>68850000</v>
      </c>
      <c r="P2053" s="26" t="n">
        <v>158012</v>
      </c>
    </row>
    <row r="2054">
      <c r="A2054" t="inlineStr">
        <is>
          <t>PRAGMA</t>
        </is>
      </c>
      <c r="B2054" t="inlineStr">
        <is>
          <t>M2</t>
        </is>
      </c>
      <c r="C2054" t="inlineStr">
        <is>
          <t>Cali</t>
        </is>
      </c>
      <c r="D2054" t="inlineStr">
        <is>
          <t>8763</t>
        </is>
      </c>
      <c r="E2054" t="inlineStr">
        <is>
          <t>TDV</t>
        </is>
      </c>
      <c r="F2054" s="23" t="n">
        <v>46270</v>
      </c>
      <c r="G2054" t="inlineStr">
        <is>
          <t>recoleccion</t>
        </is>
      </c>
      <c r="H2054" s="26" t="n">
        <v>189874929</v>
      </c>
      <c r="I2054" t="inlineStr">
        <is>
          <t>bajo</t>
        </is>
      </c>
      <c r="J2054" t="inlineStr">
        <is>
          <t>RN-22 y RN-35: recoleccion al cierre de lo que pasa del cupo</t>
        </is>
      </c>
      <c r="K2054" t="inlineStr">
        <is>
          <t>Recoleccion al cierre: con el pronostico, el saldo cerraria en 258.724.929 COP, sobre el cupo de 68.850.000. Se recoge el excedente y el saldo queda en 68.850.000 COP. Equipo administrado por TDV.</t>
        </is>
      </c>
      <c r="L2054" s="26" t="n">
        <v>68850000</v>
      </c>
      <c r="M2054" s="26" t="n">
        <v>258724929</v>
      </c>
      <c r="N2054" s="27">
        <f>IF(ISNUMBER(M2054),M2054/L2054,"No aplica")</f>
        <v>3.7578057952069717</v>
      </c>
      <c r="O2054" s="25">
        <f>IF(G2054="provision",M2054+H2054,IF(G2054="recoleccion",M2054-H2054,"No aplica"))</f>
        <v>68850000</v>
      </c>
      <c r="P2054" s="26" t="n">
        <v>158012</v>
      </c>
    </row>
    <row r="2055">
      <c r="A2055" t="inlineStr">
        <is>
          <t>PRAGMA</t>
        </is>
      </c>
      <c r="B2055" t="inlineStr">
        <is>
          <t>M2</t>
        </is>
      </c>
      <c r="C2055" t="inlineStr">
        <is>
          <t>Cali</t>
        </is>
      </c>
      <c r="D2055" t="inlineStr">
        <is>
          <t>8763</t>
        </is>
      </c>
      <c r="E2055" t="inlineStr">
        <is>
          <t>TDV</t>
        </is>
      </c>
      <c r="F2055" s="23" t="n">
        <v>46271</v>
      </c>
      <c r="G2055" t="inlineStr">
        <is>
          <t>recoleccion</t>
        </is>
      </c>
      <c r="H2055" s="26" t="n">
        <v>131553362</v>
      </c>
      <c r="I2055" t="inlineStr">
        <is>
          <t>bajo</t>
        </is>
      </c>
      <c r="J2055" t="inlineStr">
        <is>
          <t>RN-22 y RN-35: recoleccion al cierre de lo que pasa del cupo</t>
        </is>
      </c>
      <c r="K2055" t="inlineStr">
        <is>
          <t>Recoleccion al cierre: con el pronostico, el saldo cerraria en 200.403.362 COP, sobre el cupo de 68.850.000. Se recoge el excedente y el saldo queda en 68.850.000 COP. Equipo administrado por TDV.</t>
        </is>
      </c>
      <c r="L2055" s="26" t="n">
        <v>68850000</v>
      </c>
      <c r="M2055" s="26" t="n">
        <v>200403362</v>
      </c>
      <c r="N2055" s="27">
        <f>IF(ISNUMBER(M2055),M2055/L2055,"No aplica")</f>
        <v>2.9107242120551926</v>
      </c>
      <c r="O2055" s="25">
        <f>IF(G2055="provision",M2055+H2055,IF(G2055="recoleccion",M2055-H2055,"No aplica"))</f>
        <v>68850000</v>
      </c>
      <c r="P2055" s="26" t="n">
        <v>182814</v>
      </c>
    </row>
    <row r="2056">
      <c r="A2056" t="inlineStr">
        <is>
          <t>PRAGMA</t>
        </is>
      </c>
      <c r="B2056" t="inlineStr">
        <is>
          <t>M2</t>
        </is>
      </c>
      <c r="C2056" t="inlineStr">
        <is>
          <t>Cali</t>
        </is>
      </c>
      <c r="D2056" t="inlineStr">
        <is>
          <t>8763</t>
        </is>
      </c>
      <c r="E2056" t="inlineStr">
        <is>
          <t>TDV</t>
        </is>
      </c>
      <c r="F2056" s="23" t="n">
        <v>46272</v>
      </c>
      <c r="G2056" t="inlineStr">
        <is>
          <t>recoleccion</t>
        </is>
      </c>
      <c r="H2056" s="26" t="n">
        <v>199175826</v>
      </c>
      <c r="I2056" t="inlineStr">
        <is>
          <t>bajo</t>
        </is>
      </c>
      <c r="J2056" t="inlineStr">
        <is>
          <t>RN-22 y RN-35: recoleccion al cierre de lo que pasa del cupo</t>
        </is>
      </c>
      <c r="K2056" t="inlineStr">
        <is>
          <t>Recoleccion al cierre: con el pronostico, el saldo cerraria en 268.025.826 COP, sobre el cupo de 68.850.000. Se recoge el excedente y el saldo queda en 68.850.000 COP. Equipo administrado por TDV.</t>
        </is>
      </c>
      <c r="L2056" s="26" t="n">
        <v>68850000</v>
      </c>
      <c r="M2056" s="26" t="n">
        <v>268025826</v>
      </c>
      <c r="N2056" s="27">
        <f>IF(ISNUMBER(M2056),M2056/L2056,"No aplica")</f>
        <v>3.8928950762527235</v>
      </c>
      <c r="O2056" s="25">
        <f>IF(G2056="provision",M2056+H2056,IF(G2056="recoleccion",M2056-H2056,"No aplica"))</f>
        <v>68850000</v>
      </c>
      <c r="P2056" s="26" t="n">
        <v>158012</v>
      </c>
    </row>
    <row r="2057">
      <c r="A2057" t="inlineStr">
        <is>
          <t>PRAGMA</t>
        </is>
      </c>
      <c r="B2057" t="inlineStr">
        <is>
          <t>M2</t>
        </is>
      </c>
      <c r="C2057" t="inlineStr">
        <is>
          <t>Cali</t>
        </is>
      </c>
      <c r="D2057" t="inlineStr">
        <is>
          <t>8763</t>
        </is>
      </c>
      <c r="E2057" t="inlineStr">
        <is>
          <t>TDV</t>
        </is>
      </c>
      <c r="F2057" s="23" t="n">
        <v>46273</v>
      </c>
      <c r="G2057" t="inlineStr">
        <is>
          <t>recoleccion</t>
        </is>
      </c>
      <c r="H2057" s="26" t="n">
        <v>175343398</v>
      </c>
      <c r="I2057" t="inlineStr">
        <is>
          <t>bajo</t>
        </is>
      </c>
      <c r="J2057" t="inlineStr">
        <is>
          <t>RN-22 y RN-35: recoleccion al cierre de lo que pasa del cupo</t>
        </is>
      </c>
      <c r="K2057" t="inlineStr">
        <is>
          <t>Recoleccion al cierre: con el pronostico, el saldo cerraria en 244.193.398 COP, sobre el cupo de 68.850.000. Se recoge el excedente y el saldo queda en 68.850.000 COP. Equipo administrado por TDV.</t>
        </is>
      </c>
      <c r="L2057" s="26" t="n">
        <v>68850000</v>
      </c>
      <c r="M2057" s="26" t="n">
        <v>244193398</v>
      </c>
      <c r="N2057" s="27">
        <f>IF(ISNUMBER(M2057),M2057/L2057,"No aplica")</f>
        <v>3.546745068990559</v>
      </c>
      <c r="O2057" s="25">
        <f>IF(G2057="provision",M2057+H2057,IF(G2057="recoleccion",M2057-H2057,"No aplica"))</f>
        <v>68850000</v>
      </c>
      <c r="P2057" s="26" t="n">
        <v>158012</v>
      </c>
    </row>
    <row r="2058">
      <c r="A2058" t="inlineStr">
        <is>
          <t>PRAGMA</t>
        </is>
      </c>
      <c r="B2058" t="inlineStr">
        <is>
          <t>M2</t>
        </is>
      </c>
      <c r="C2058" t="inlineStr">
        <is>
          <t>Cali</t>
        </is>
      </c>
      <c r="D2058" t="inlineStr">
        <is>
          <t>8763</t>
        </is>
      </c>
      <c r="E2058" t="inlineStr">
        <is>
          <t>TDV</t>
        </is>
      </c>
      <c r="F2058" s="23" t="n">
        <v>46274</v>
      </c>
      <c r="G2058" t="inlineStr">
        <is>
          <t>recoleccion</t>
        </is>
      </c>
      <c r="H2058" s="26" t="n">
        <v>160106671</v>
      </c>
      <c r="I2058" t="inlineStr">
        <is>
          <t>bajo</t>
        </is>
      </c>
      <c r="J2058" t="inlineStr">
        <is>
          <t>RN-22 y RN-35: recoleccion al cierre de lo que pasa del cupo</t>
        </is>
      </c>
      <c r="K2058" t="inlineStr">
        <is>
          <t>Recoleccion al cierre: con el pronostico, el saldo cerraria en 228.956.671 COP, sobre el cupo de 68.850.000. Se recoge el excedente y el saldo queda en 68.850.000 COP. Equipo administrado por TDV.</t>
        </is>
      </c>
      <c r="L2058" s="26" t="n">
        <v>68850000</v>
      </c>
      <c r="M2058" s="26" t="n">
        <v>228956671</v>
      </c>
      <c r="N2058" s="27">
        <f>IF(ISNUMBER(M2058),M2058/L2058,"No aplica")</f>
        <v>3.3254418445896876</v>
      </c>
      <c r="O2058" s="25">
        <f>IF(G2058="provision",M2058+H2058,IF(G2058="recoleccion",M2058-H2058,"No aplica"))</f>
        <v>68850000</v>
      </c>
      <c r="P2058" s="26" t="n">
        <v>158012</v>
      </c>
    </row>
    <row r="2059">
      <c r="A2059" t="inlineStr">
        <is>
          <t>PRAGMA</t>
        </is>
      </c>
      <c r="B2059" t="inlineStr">
        <is>
          <t>M2</t>
        </is>
      </c>
      <c r="C2059" t="inlineStr">
        <is>
          <t>Cali</t>
        </is>
      </c>
      <c r="D2059" t="inlineStr">
        <is>
          <t>8763</t>
        </is>
      </c>
      <c r="E2059" t="inlineStr">
        <is>
          <t>TDV</t>
        </is>
      </c>
      <c r="F2059" s="23" t="n">
        <v>46275</v>
      </c>
      <c r="G2059" t="inlineStr">
        <is>
          <t>recoleccion</t>
        </is>
      </c>
      <c r="H2059" s="26" t="n">
        <v>163576500</v>
      </c>
      <c r="I2059" t="inlineStr">
        <is>
          <t>bajo</t>
        </is>
      </c>
      <c r="J2059" t="inlineStr">
        <is>
          <t>RN-22 y RN-35: recoleccion al cierre de lo que pasa del cupo</t>
        </is>
      </c>
      <c r="K2059" t="inlineStr">
        <is>
          <t>Recoleccion al cierre: con el pronostico, el saldo cerraria en 232.426.500 COP, sobre el cupo de 68.850.000. Se recoge el excedente y el saldo queda en 68.850.000 COP. Equipo administrado por TDV.</t>
        </is>
      </c>
      <c r="L2059" s="26" t="n">
        <v>68850000</v>
      </c>
      <c r="M2059" s="26" t="n">
        <v>232426500</v>
      </c>
      <c r="N2059" s="27">
        <f>IF(ISNUMBER(M2059),M2059/L2059,"No aplica")</f>
        <v>3.375838779956427</v>
      </c>
      <c r="O2059" s="25">
        <f>IF(G2059="provision",M2059+H2059,IF(G2059="recoleccion",M2059-H2059,"No aplica"))</f>
        <v>68850000</v>
      </c>
      <c r="P2059" s="26" t="n">
        <v>158012</v>
      </c>
    </row>
    <row r="2060">
      <c r="A2060" t="inlineStr">
        <is>
          <t>PRAGMA</t>
        </is>
      </c>
      <c r="B2060" t="inlineStr">
        <is>
          <t>M2</t>
        </is>
      </c>
      <c r="C2060" t="inlineStr">
        <is>
          <t>Cali</t>
        </is>
      </c>
      <c r="D2060" t="inlineStr">
        <is>
          <t>8763</t>
        </is>
      </c>
      <c r="E2060" t="inlineStr">
        <is>
          <t>TDV</t>
        </is>
      </c>
      <c r="F2060" s="23" t="n">
        <v>46276</v>
      </c>
      <c r="G2060" t="inlineStr">
        <is>
          <t>recoleccion</t>
        </is>
      </c>
      <c r="H2060" s="26" t="n">
        <v>168739857</v>
      </c>
      <c r="I2060" t="inlineStr">
        <is>
          <t>bajo</t>
        </is>
      </c>
      <c r="J2060" t="inlineStr">
        <is>
          <t>RN-22 y RN-35: recoleccion al cierre de lo que pasa del cupo</t>
        </is>
      </c>
      <c r="K2060" t="inlineStr">
        <is>
          <t>Recoleccion al cierre: con el pronostico, el saldo cerraria en 237.589.857 COP, sobre el cupo de 68.850.000. Se recoge el excedente y el saldo queda en 68.850.000 COP. Equipo administrado por TDV.</t>
        </is>
      </c>
      <c r="L2060" s="26" t="n">
        <v>68850000</v>
      </c>
      <c r="M2060" s="26" t="n">
        <v>237589857</v>
      </c>
      <c r="N2060" s="27">
        <f>IF(ISNUMBER(M2060),M2060/L2060,"No aplica")</f>
        <v>3.450833071895425</v>
      </c>
      <c r="O2060" s="25">
        <f>IF(G2060="provision",M2060+H2060,IF(G2060="recoleccion",M2060-H2060,"No aplica"))</f>
        <v>68850000</v>
      </c>
      <c r="P2060" s="26" t="n">
        <v>158012</v>
      </c>
    </row>
    <row r="2061">
      <c r="A2061" t="inlineStr">
        <is>
          <t>PRAGMA</t>
        </is>
      </c>
      <c r="B2061" t="inlineStr">
        <is>
          <t>M2</t>
        </is>
      </c>
      <c r="C2061" t="inlineStr">
        <is>
          <t>Cali</t>
        </is>
      </c>
      <c r="D2061" t="inlineStr">
        <is>
          <t>8763</t>
        </is>
      </c>
      <c r="E2061" t="inlineStr">
        <is>
          <t>TDV</t>
        </is>
      </c>
      <c r="F2061" s="23" t="n">
        <v>46277</v>
      </c>
      <c r="G2061" t="inlineStr">
        <is>
          <t>recoleccion</t>
        </is>
      </c>
      <c r="H2061" s="26" t="n">
        <v>173739064</v>
      </c>
      <c r="I2061" t="inlineStr">
        <is>
          <t>bajo</t>
        </is>
      </c>
      <c r="J2061" t="inlineStr">
        <is>
          <t>RN-22 y RN-35: recoleccion al cierre de lo que pasa del cupo</t>
        </is>
      </c>
      <c r="K2061" t="inlineStr">
        <is>
          <t>Recoleccion al cierre: con el pronostico, el saldo cerraria en 242.589.064 COP, sobre el cupo de 68.850.000. Se recoge el excedente y el saldo queda en 68.850.000 COP. Equipo administrado por TDV.</t>
        </is>
      </c>
      <c r="L2061" s="26" t="n">
        <v>68850000</v>
      </c>
      <c r="M2061" s="26" t="n">
        <v>242589064</v>
      </c>
      <c r="N2061" s="27">
        <f>IF(ISNUMBER(M2061),M2061/L2061,"No aplica")</f>
        <v>3.523443195352215</v>
      </c>
      <c r="O2061" s="25">
        <f>IF(G2061="provision",M2061+H2061,IF(G2061="recoleccion",M2061-H2061,"No aplica"))</f>
        <v>68850000</v>
      </c>
      <c r="P2061" s="26" t="n">
        <v>158012</v>
      </c>
    </row>
    <row r="2062">
      <c r="A2062" t="inlineStr">
        <is>
          <t>PRAGMA</t>
        </is>
      </c>
      <c r="B2062" t="inlineStr">
        <is>
          <t>M2</t>
        </is>
      </c>
      <c r="C2062" t="inlineStr">
        <is>
          <t>Cali</t>
        </is>
      </c>
      <c r="D2062" t="inlineStr">
        <is>
          <t>8763</t>
        </is>
      </c>
      <c r="E2062" t="inlineStr">
        <is>
          <t>TDV</t>
        </is>
      </c>
      <c r="F2062" s="23" t="n">
        <v>46278</v>
      </c>
      <c r="G2062" t="inlineStr">
        <is>
          <t>recoleccion</t>
        </is>
      </c>
      <c r="H2062" s="26" t="n">
        <v>119144836</v>
      </c>
      <c r="I2062" t="inlineStr">
        <is>
          <t>bajo</t>
        </is>
      </c>
      <c r="J2062" t="inlineStr">
        <is>
          <t>RN-22 y RN-35: recoleccion al cierre de lo que pasa del cupo</t>
        </is>
      </c>
      <c r="K2062" t="inlineStr">
        <is>
          <t>Recoleccion al cierre: con el pronostico, el saldo cerraria en 187.994.836 COP, sobre el cupo de 68.850.000. Se recoge el excedente y el saldo queda en 68.850.000 COP. Equipo administrado por TDV.</t>
        </is>
      </c>
      <c r="L2062" s="26" t="n">
        <v>68850000</v>
      </c>
      <c r="M2062" s="26" t="n">
        <v>187994836</v>
      </c>
      <c r="N2062" s="27">
        <f>IF(ISNUMBER(M2062),M2062/L2062,"No aplica")</f>
        <v>2.7304987073347857</v>
      </c>
      <c r="O2062" s="25">
        <f>IF(G2062="provision",M2062+H2062,IF(G2062="recoleccion",M2062-H2062,"No aplica"))</f>
        <v>68850000</v>
      </c>
      <c r="P2062" s="26" t="n">
        <v>182814</v>
      </c>
    </row>
    <row r="2063">
      <c r="A2063" t="inlineStr">
        <is>
          <t>PRAGMA</t>
        </is>
      </c>
      <c r="B2063" t="inlineStr">
        <is>
          <t>M2</t>
        </is>
      </c>
      <c r="C2063" t="inlineStr">
        <is>
          <t>Cali</t>
        </is>
      </c>
      <c r="D2063" t="inlineStr">
        <is>
          <t>8763</t>
        </is>
      </c>
      <c r="E2063" t="inlineStr">
        <is>
          <t>TDV</t>
        </is>
      </c>
      <c r="F2063" s="23" t="n">
        <v>46279</v>
      </c>
      <c r="G2063" t="inlineStr">
        <is>
          <t>recoleccion</t>
        </is>
      </c>
      <c r="H2063" s="26" t="n">
        <v>191282181</v>
      </c>
      <c r="I2063" t="inlineStr">
        <is>
          <t>bajo</t>
        </is>
      </c>
      <c r="J2063" t="inlineStr">
        <is>
          <t>RN-22 y RN-35: recoleccion al cierre de lo que pasa del cupo</t>
        </is>
      </c>
      <c r="K2063" t="inlineStr">
        <is>
          <t>Recoleccion al cierre: con el pronostico, el saldo cerraria en 260.132.181 COP, sobre el cupo de 68.850.000. Se recoge el excedente y el saldo queda en 68.850.000 COP. Equipo administrado por TDV.</t>
        </is>
      </c>
      <c r="L2063" s="26" t="n">
        <v>68850000</v>
      </c>
      <c r="M2063" s="26" t="n">
        <v>260132181</v>
      </c>
      <c r="N2063" s="27">
        <f>IF(ISNUMBER(M2063),M2063/L2063,"No aplica")</f>
        <v>3.778245185185185</v>
      </c>
      <c r="O2063" s="25">
        <f>IF(G2063="provision",M2063+H2063,IF(G2063="recoleccion",M2063-H2063,"No aplica"))</f>
        <v>68850000</v>
      </c>
      <c r="P2063" s="26" t="n">
        <v>158012</v>
      </c>
    </row>
    <row r="2064">
      <c r="A2064" t="inlineStr">
        <is>
          <t>PRAGMA</t>
        </is>
      </c>
      <c r="B2064" t="inlineStr">
        <is>
          <t>M2</t>
        </is>
      </c>
      <c r="C2064" t="inlineStr">
        <is>
          <t>Cali</t>
        </is>
      </c>
      <c r="D2064" t="inlineStr">
        <is>
          <t>8763</t>
        </is>
      </c>
      <c r="E2064" t="inlineStr">
        <is>
          <t>TDV</t>
        </is>
      </c>
      <c r="F2064" s="23" t="n">
        <v>46280</v>
      </c>
      <c r="G2064" t="inlineStr">
        <is>
          <t>recoleccion</t>
        </is>
      </c>
      <c r="H2064" s="26" t="n">
        <v>184264451</v>
      </c>
      <c r="I2064" t="inlineStr">
        <is>
          <t>bajo</t>
        </is>
      </c>
      <c r="J2064" t="inlineStr">
        <is>
          <t>RN-22 y RN-35: recoleccion al cierre de lo que pasa del cupo</t>
        </is>
      </c>
      <c r="K2064" t="inlineStr">
        <is>
          <t>Recoleccion al cierre: con el pronostico, el saldo cerraria en 253.114.451 COP, sobre el cupo de 68.850.000. Se recoge el excedente y el saldo queda en 68.850.000 COP. Equipo administrado por TDV.</t>
        </is>
      </c>
      <c r="L2064" s="26" t="n">
        <v>68850000</v>
      </c>
      <c r="M2064" s="26" t="n">
        <v>253114451</v>
      </c>
      <c r="N2064" s="27">
        <f>IF(ISNUMBER(M2064),M2064/L2064,"No aplica")</f>
        <v>3.676317371096587</v>
      </c>
      <c r="O2064" s="25">
        <f>IF(G2064="provision",M2064+H2064,IF(G2064="recoleccion",M2064-H2064,"No aplica"))</f>
        <v>68850000</v>
      </c>
      <c r="P2064" s="26" t="n">
        <v>158012</v>
      </c>
    </row>
    <row r="2065">
      <c r="A2065" t="inlineStr">
        <is>
          <t>PRAGMA</t>
        </is>
      </c>
      <c r="B2065" t="inlineStr">
        <is>
          <t>M2</t>
        </is>
      </c>
      <c r="C2065" t="inlineStr">
        <is>
          <t>Cali</t>
        </is>
      </c>
      <c r="D2065" t="inlineStr">
        <is>
          <t>9047</t>
        </is>
      </c>
      <c r="E2065" t="inlineStr">
        <is>
          <t>TDV</t>
        </is>
      </c>
      <c r="F2065" s="23" t="n">
        <v>46266</v>
      </c>
      <c r="G2065" t="inlineStr">
        <is>
          <t>recoleccion</t>
        </is>
      </c>
      <c r="H2065" s="26" t="n">
        <v>7787271</v>
      </c>
      <c r="I2065" t="inlineStr">
        <is>
          <t>bajo</t>
        </is>
      </c>
      <c r="J2065" t="inlineStr">
        <is>
          <t>RN-22 y RN-35: recoleccion al cierre de lo que pasa del cupo</t>
        </is>
      </c>
      <c r="K2065" t="inlineStr">
        <is>
          <t>Recoleccion al cierre: con el pronostico, el saldo cerraria en 76.789.271 COP, sobre el cupo de 69.002.000. Se recoge el excedente y el saldo queda en 69.002.000 COP. Equipo administrado por TDV.</t>
        </is>
      </c>
      <c r="L2065" s="26" t="n">
        <v>69002000</v>
      </c>
      <c r="M2065" s="26" t="n">
        <v>76789271</v>
      </c>
      <c r="N2065" s="27">
        <f>IF(ISNUMBER(M2065),M2065/L2065,"No aplica")</f>
        <v>1.1128557288194545</v>
      </c>
      <c r="O2065" s="25">
        <f>IF(G2065="provision",M2065+H2065,IF(G2065="recoleccion",M2065-H2065,"No aplica"))</f>
        <v>69002000</v>
      </c>
      <c r="P2065" s="26" t="n">
        <v>158012</v>
      </c>
    </row>
    <row r="2066">
      <c r="A2066" t="inlineStr">
        <is>
          <t>PRAGMA</t>
        </is>
      </c>
      <c r="B2066" t="inlineStr">
        <is>
          <t>M2</t>
        </is>
      </c>
      <c r="C2066" t="inlineStr">
        <is>
          <t>Cali</t>
        </is>
      </c>
      <c r="D2066" t="inlineStr">
        <is>
          <t>9047</t>
        </is>
      </c>
      <c r="E2066" t="inlineStr">
        <is>
          <t>TDV</t>
        </is>
      </c>
      <c r="F2066" s="23" t="n">
        <v>46267</v>
      </c>
      <c r="G2066" t="inlineStr">
        <is>
          <t>recoleccion</t>
        </is>
      </c>
      <c r="H2066" s="26" t="n">
        <v>11734834</v>
      </c>
      <c r="I2066" t="inlineStr">
        <is>
          <t>bajo</t>
        </is>
      </c>
      <c r="J2066" t="inlineStr">
        <is>
          <t>RN-22 y RN-35: recoleccion al cierre de lo que pasa del cupo</t>
        </is>
      </c>
      <c r="K2066" t="inlineStr">
        <is>
          <t>Recoleccion al cierre: con el pronostico, el saldo cerraria en 80.736.834 COP, sobre el cupo de 69.002.000. Se recoge el excedente y el saldo queda en 69.002.000 COP. Equipo administrado por TDV.</t>
        </is>
      </c>
      <c r="L2066" s="26" t="n">
        <v>69002000</v>
      </c>
      <c r="M2066" s="26" t="n">
        <v>80736834</v>
      </c>
      <c r="N2066" s="27">
        <f>IF(ISNUMBER(M2066),M2066/L2066,"No aplica")</f>
        <v>1.1700651285469987</v>
      </c>
      <c r="O2066" s="25">
        <f>IF(G2066="provision",M2066+H2066,IF(G2066="recoleccion",M2066-H2066,"No aplica"))</f>
        <v>69002000</v>
      </c>
      <c r="P2066" s="26" t="n">
        <v>158012</v>
      </c>
    </row>
    <row r="2067">
      <c r="A2067" t="inlineStr">
        <is>
          <t>PRAGMA</t>
        </is>
      </c>
      <c r="B2067" t="inlineStr">
        <is>
          <t>M2</t>
        </is>
      </c>
      <c r="C2067" t="inlineStr">
        <is>
          <t>Cali</t>
        </is>
      </c>
      <c r="D2067" t="inlineStr">
        <is>
          <t>9047</t>
        </is>
      </c>
      <c r="E2067" t="inlineStr">
        <is>
          <t>TDV</t>
        </is>
      </c>
      <c r="F2067" s="23" t="n">
        <v>46268</v>
      </c>
      <c r="G2067" t="inlineStr">
        <is>
          <t>recoleccion</t>
        </is>
      </c>
      <c r="H2067" s="26" t="n">
        <v>14232609</v>
      </c>
      <c r="I2067" t="inlineStr">
        <is>
          <t>bajo</t>
        </is>
      </c>
      <c r="J2067" t="inlineStr">
        <is>
          <t>RN-22 y RN-35: recoleccion al cierre de lo que pasa del cupo</t>
        </is>
      </c>
      <c r="K2067" t="inlineStr">
        <is>
          <t>Recoleccion al cierre: con el pronostico, el saldo cerraria en 83.234.609 COP, sobre el cupo de 69.002.000. Se recoge el excedente y el saldo queda en 69.002.000 COP. Equipo administrado por TDV.</t>
        </is>
      </c>
      <c r="L2067" s="26" t="n">
        <v>69002000</v>
      </c>
      <c r="M2067" s="26" t="n">
        <v>83234609</v>
      </c>
      <c r="N2067" s="27">
        <f>IF(ISNUMBER(M2067),M2067/L2067,"No aplica")</f>
        <v>1.2062637169937103</v>
      </c>
      <c r="O2067" s="25">
        <f>IF(G2067="provision",M2067+H2067,IF(G2067="recoleccion",M2067-H2067,"No aplica"))</f>
        <v>69002000</v>
      </c>
      <c r="P2067" s="26" t="n">
        <v>158012</v>
      </c>
    </row>
    <row r="2068">
      <c r="A2068" t="inlineStr">
        <is>
          <t>PRAGMA</t>
        </is>
      </c>
      <c r="B2068" t="inlineStr">
        <is>
          <t>M2</t>
        </is>
      </c>
      <c r="C2068" t="inlineStr">
        <is>
          <t>Cali</t>
        </is>
      </c>
      <c r="D2068" t="inlineStr">
        <is>
          <t>9047</t>
        </is>
      </c>
      <c r="E2068" t="inlineStr">
        <is>
          <t>TDV</t>
        </is>
      </c>
      <c r="F2068" s="23" t="n">
        <v>46269</v>
      </c>
      <c r="G2068" t="inlineStr">
        <is>
          <t>recoleccion</t>
        </is>
      </c>
      <c r="H2068" s="26" t="n">
        <v>15440982</v>
      </c>
      <c r="I2068" t="inlineStr">
        <is>
          <t>bajo</t>
        </is>
      </c>
      <c r="J2068" t="inlineStr">
        <is>
          <t>RN-22 y RN-35: recoleccion al cierre de lo que pasa del cupo</t>
        </is>
      </c>
      <c r="K2068" t="inlineStr">
        <is>
          <t>Recoleccion al cierre: con el pronostico, el saldo cerraria en 84.442.982 COP, sobre el cupo de 69.002.000. Se recoge el excedente y el saldo queda en 69.002.000 COP. Equipo administrado por TDV.</t>
        </is>
      </c>
      <c r="L2068" s="26" t="n">
        <v>69002000</v>
      </c>
      <c r="M2068" s="26" t="n">
        <v>84442982</v>
      </c>
      <c r="N2068" s="27">
        <f>IF(ISNUMBER(M2068),M2068/L2068,"No aplica")</f>
        <v>1.2237758615692298</v>
      </c>
      <c r="O2068" s="25">
        <f>IF(G2068="provision",M2068+H2068,IF(G2068="recoleccion",M2068-H2068,"No aplica"))</f>
        <v>69002000</v>
      </c>
      <c r="P2068" s="26" t="n">
        <v>158012</v>
      </c>
    </row>
    <row r="2069">
      <c r="A2069" t="inlineStr">
        <is>
          <t>PRAGMA</t>
        </is>
      </c>
      <c r="B2069" t="inlineStr">
        <is>
          <t>M2</t>
        </is>
      </c>
      <c r="C2069" t="inlineStr">
        <is>
          <t>Cali</t>
        </is>
      </c>
      <c r="D2069" t="inlineStr">
        <is>
          <t>9047</t>
        </is>
      </c>
      <c r="E2069" t="inlineStr">
        <is>
          <t>TDV</t>
        </is>
      </c>
      <c r="F2069" s="23" t="n">
        <v>46270</v>
      </c>
      <c r="G2069" t="inlineStr">
        <is>
          <t>recoleccion</t>
        </is>
      </c>
      <c r="H2069" s="26" t="n">
        <v>15677890</v>
      </c>
      <c r="I2069" t="inlineStr">
        <is>
          <t>bajo</t>
        </is>
      </c>
      <c r="J2069" t="inlineStr">
        <is>
          <t>RN-22 y RN-35: recoleccion al cierre de lo que pasa del cupo</t>
        </is>
      </c>
      <c r="K2069" t="inlineStr">
        <is>
          <t>Recoleccion al cierre: con el pronostico, el saldo cerraria en 84.679.890 COP, sobre el cupo de 69.002.000. Se recoge el excedente y el saldo queda en 69.002.000 COP. Equipo administrado por TDV.</t>
        </is>
      </c>
      <c r="L2069" s="26" t="n">
        <v>69002000</v>
      </c>
      <c r="M2069" s="26" t="n">
        <v>84679890</v>
      </c>
      <c r="N2069" s="27">
        <f>IF(ISNUMBER(M2069),M2069/L2069,"No aplica")</f>
        <v>1.227209211327208</v>
      </c>
      <c r="O2069" s="25">
        <f>IF(G2069="provision",M2069+H2069,IF(G2069="recoleccion",M2069-H2069,"No aplica"))</f>
        <v>69002000</v>
      </c>
      <c r="P2069" s="26" t="n">
        <v>158012</v>
      </c>
    </row>
    <row r="2070">
      <c r="A2070" t="inlineStr">
        <is>
          <t>PRAGMA</t>
        </is>
      </c>
      <c r="B2070" t="inlineStr">
        <is>
          <t>M2</t>
        </is>
      </c>
      <c r="C2070" t="inlineStr">
        <is>
          <t>Cali</t>
        </is>
      </c>
      <c r="D2070" t="inlineStr">
        <is>
          <t>9047</t>
        </is>
      </c>
      <c r="E2070" t="inlineStr">
        <is>
          <t>TDV</t>
        </is>
      </c>
      <c r="F2070" s="23" t="n">
        <v>46271</v>
      </c>
      <c r="G2070" t="inlineStr">
        <is>
          <t>recoleccion</t>
        </is>
      </c>
      <c r="H2070" s="26" t="n">
        <v>15829285</v>
      </c>
      <c r="I2070" t="inlineStr">
        <is>
          <t>bajo</t>
        </is>
      </c>
      <c r="J2070" t="inlineStr">
        <is>
          <t>RN-22 y RN-35: recoleccion al cierre de lo que pasa del cupo</t>
        </is>
      </c>
      <c r="K2070" t="inlineStr">
        <is>
          <t>Recoleccion al cierre: con el pronostico, el saldo cerraria en 84.831.285 COP, sobre el cupo de 69.002.000. Se recoge el excedente y el saldo queda en 69.002.000 COP. Equipo administrado por TDV.</t>
        </is>
      </c>
      <c r="L2070" s="26" t="n">
        <v>69002000</v>
      </c>
      <c r="M2070" s="26" t="n">
        <v>84831285</v>
      </c>
      <c r="N2070" s="27">
        <f>IF(ISNUMBER(M2070),M2070/L2070,"No aplica")</f>
        <v>1.2294032781658502</v>
      </c>
      <c r="O2070" s="25">
        <f>IF(G2070="provision",M2070+H2070,IF(G2070="recoleccion",M2070-H2070,"No aplica"))</f>
        <v>69002000</v>
      </c>
      <c r="P2070" s="26" t="n">
        <v>182814</v>
      </c>
    </row>
    <row r="2071">
      <c r="A2071" t="inlineStr">
        <is>
          <t>PRAGMA</t>
        </is>
      </c>
      <c r="B2071" t="inlineStr">
        <is>
          <t>M2</t>
        </is>
      </c>
      <c r="C2071" t="inlineStr">
        <is>
          <t>Cali</t>
        </is>
      </c>
      <c r="D2071" t="inlineStr">
        <is>
          <t>9047</t>
        </is>
      </c>
      <c r="E2071" t="inlineStr">
        <is>
          <t>TDV</t>
        </is>
      </c>
      <c r="F2071" s="23" t="n">
        <v>46272</v>
      </c>
      <c r="G2071" t="inlineStr">
        <is>
          <t>recoleccion</t>
        </is>
      </c>
      <c r="H2071" s="26" t="n">
        <v>37143387</v>
      </c>
      <c r="I2071" t="inlineStr">
        <is>
          <t>bajo</t>
        </is>
      </c>
      <c r="J2071" t="inlineStr">
        <is>
          <t>RN-22 y RN-35: recoleccion al cierre de lo que pasa del cupo</t>
        </is>
      </c>
      <c r="K2071" t="inlineStr">
        <is>
          <t>Recoleccion al cierre: con el pronostico, el saldo cerraria en 106.145.387 COP, sobre el cupo de 69.002.000. Se recoge el excedente y el saldo queda en 69.002.000 COP. Equipo administrado por TDV.</t>
        </is>
      </c>
      <c r="L2071" s="26" t="n">
        <v>69002000</v>
      </c>
      <c r="M2071" s="26" t="n">
        <v>106145387</v>
      </c>
      <c r="N2071" s="27">
        <f>IF(ISNUMBER(M2071),M2071/L2071,"No aplica")</f>
        <v>1.5382943537868468</v>
      </c>
      <c r="O2071" s="25">
        <f>IF(G2071="provision",M2071+H2071,IF(G2071="recoleccion",M2071-H2071,"No aplica"))</f>
        <v>69002000</v>
      </c>
      <c r="P2071" s="26" t="n">
        <v>158012</v>
      </c>
    </row>
    <row r="2072">
      <c r="A2072" t="inlineStr">
        <is>
          <t>PRAGMA</t>
        </is>
      </c>
      <c r="B2072" t="inlineStr">
        <is>
          <t>M2</t>
        </is>
      </c>
      <c r="C2072" t="inlineStr">
        <is>
          <t>Cali</t>
        </is>
      </c>
      <c r="D2072" t="inlineStr">
        <is>
          <t>9047</t>
        </is>
      </c>
      <c r="E2072" t="inlineStr">
        <is>
          <t>TDV</t>
        </is>
      </c>
      <c r="F2072" s="23" t="n">
        <v>46273</v>
      </c>
      <c r="G2072" t="inlineStr">
        <is>
          <t>recoleccion</t>
        </is>
      </c>
      <c r="H2072" s="26" t="n">
        <v>31637667</v>
      </c>
      <c r="I2072" t="inlineStr">
        <is>
          <t>bajo</t>
        </is>
      </c>
      <c r="J2072" t="inlineStr">
        <is>
          <t>RN-22 y RN-35: recoleccion al cierre de lo que pasa del cupo</t>
        </is>
      </c>
      <c r="K2072" t="inlineStr">
        <is>
          <t>Recoleccion al cierre: con el pronostico, el saldo cerraria en 100.639.667 COP, sobre el cupo de 69.002.000. Se recoge el excedente y el saldo queda en 69.002.000 COP. Equipo administrado por TDV.</t>
        </is>
      </c>
      <c r="L2072" s="26" t="n">
        <v>69002000</v>
      </c>
      <c r="M2072" s="26" t="n">
        <v>100639667</v>
      </c>
      <c r="N2072" s="27">
        <f>IF(ISNUMBER(M2072),M2072/L2072,"No aplica")</f>
        <v>1.458503623083389</v>
      </c>
      <c r="O2072" s="25">
        <f>IF(G2072="provision",M2072+H2072,IF(G2072="recoleccion",M2072-H2072,"No aplica"))</f>
        <v>69002000</v>
      </c>
      <c r="P2072" s="26" t="n">
        <v>158012</v>
      </c>
    </row>
    <row r="2073">
      <c r="A2073" t="inlineStr">
        <is>
          <t>PRAGMA</t>
        </is>
      </c>
      <c r="B2073" t="inlineStr">
        <is>
          <t>M2</t>
        </is>
      </c>
      <c r="C2073" t="inlineStr">
        <is>
          <t>Cali</t>
        </is>
      </c>
      <c r="D2073" t="inlineStr">
        <is>
          <t>9047</t>
        </is>
      </c>
      <c r="E2073" t="inlineStr">
        <is>
          <t>TDV</t>
        </is>
      </c>
      <c r="F2073" s="23" t="n">
        <v>46274</v>
      </c>
      <c r="G2073" t="inlineStr">
        <is>
          <t>recoleccion</t>
        </is>
      </c>
      <c r="H2073" s="26" t="n">
        <v>28564320</v>
      </c>
      <c r="I2073" t="inlineStr">
        <is>
          <t>bajo</t>
        </is>
      </c>
      <c r="J2073" t="inlineStr">
        <is>
          <t>RN-22 y RN-35: recoleccion al cierre de lo que pasa del cupo</t>
        </is>
      </c>
      <c r="K2073" t="inlineStr">
        <is>
          <t>Recoleccion al cierre: con el pronostico, el saldo cerraria en 97.566.320 COP, sobre el cupo de 69.002.000. Se recoge el excedente y el saldo queda en 69.002.000 COP. Equipo administrado por TDV.</t>
        </is>
      </c>
      <c r="L2073" s="26" t="n">
        <v>69002000</v>
      </c>
      <c r="M2073" s="26" t="n">
        <v>97566320</v>
      </c>
      <c r="N2073" s="27">
        <f>IF(ISNUMBER(M2073),M2073/L2073,"No aplica")</f>
        <v>1.4139636532274427</v>
      </c>
      <c r="O2073" s="25">
        <f>IF(G2073="provision",M2073+H2073,IF(G2073="recoleccion",M2073-H2073,"No aplica"))</f>
        <v>69002000</v>
      </c>
      <c r="P2073" s="26" t="n">
        <v>158012</v>
      </c>
    </row>
    <row r="2074">
      <c r="A2074" t="inlineStr">
        <is>
          <t>PRAGMA</t>
        </is>
      </c>
      <c r="B2074" t="inlineStr">
        <is>
          <t>M2</t>
        </is>
      </c>
      <c r="C2074" t="inlineStr">
        <is>
          <t>Cali</t>
        </is>
      </c>
      <c r="D2074" t="inlineStr">
        <is>
          <t>9047</t>
        </is>
      </c>
      <c r="E2074" t="inlineStr">
        <is>
          <t>TDV</t>
        </is>
      </c>
      <c r="F2074" s="23" t="n">
        <v>46275</v>
      </c>
      <c r="G2074" t="inlineStr">
        <is>
          <t>recoleccion</t>
        </is>
      </c>
      <c r="H2074" s="26" t="n">
        <v>22341604</v>
      </c>
      <c r="I2074" t="inlineStr">
        <is>
          <t>bajo</t>
        </is>
      </c>
      <c r="J2074" t="inlineStr">
        <is>
          <t>RN-22 y RN-35: recoleccion al cierre de lo que pasa del cupo</t>
        </is>
      </c>
      <c r="K2074" t="inlineStr">
        <is>
          <t>Recoleccion al cierre: con el pronostico, el saldo cerraria en 91.343.604 COP, sobre el cupo de 69.002.000. Se recoge el excedente y el saldo queda en 69.002.000 COP. Equipo administrado por TDV.</t>
        </is>
      </c>
      <c r="L2074" s="26" t="n">
        <v>69002000</v>
      </c>
      <c r="M2074" s="26" t="n">
        <v>91343604</v>
      </c>
      <c r="N2074" s="27">
        <f>IF(ISNUMBER(M2074),M2074/L2074,"No aplica")</f>
        <v>1.3237819773339903</v>
      </c>
      <c r="O2074" s="25">
        <f>IF(G2074="provision",M2074+H2074,IF(G2074="recoleccion",M2074-H2074,"No aplica"))</f>
        <v>69002000</v>
      </c>
      <c r="P2074" s="26" t="n">
        <v>158012</v>
      </c>
    </row>
    <row r="2075">
      <c r="A2075" t="inlineStr">
        <is>
          <t>PRAGMA</t>
        </is>
      </c>
      <c r="B2075" t="inlineStr">
        <is>
          <t>M2</t>
        </is>
      </c>
      <c r="C2075" t="inlineStr">
        <is>
          <t>Cali</t>
        </is>
      </c>
      <c r="D2075" t="inlineStr">
        <is>
          <t>9047</t>
        </is>
      </c>
      <c r="E2075" t="inlineStr">
        <is>
          <t>TDV</t>
        </is>
      </c>
      <c r="F2075" s="23" t="n">
        <v>46276</v>
      </c>
      <c r="G2075" t="inlineStr">
        <is>
          <t>recoleccion</t>
        </is>
      </c>
      <c r="H2075" s="26" t="n">
        <v>17832763</v>
      </c>
      <c r="I2075" t="inlineStr">
        <is>
          <t>bajo</t>
        </is>
      </c>
      <c r="J2075" t="inlineStr">
        <is>
          <t>RN-22 y RN-35: recoleccion al cierre de lo que pasa del cupo</t>
        </is>
      </c>
      <c r="K2075" t="inlineStr">
        <is>
          <t>Recoleccion al cierre: con el pronostico, el saldo cerraria en 86.834.763 COP, sobre el cupo de 69.002.000. Se recoge el excedente y el saldo queda en 69.002.000 COP. Equipo administrado por TDV.</t>
        </is>
      </c>
      <c r="L2075" s="26" t="n">
        <v>69002000</v>
      </c>
      <c r="M2075" s="26" t="n">
        <v>86834763</v>
      </c>
      <c r="N2075" s="27">
        <f>IF(ISNUMBER(M2075),M2075/L2075,"No aplica")</f>
        <v>1.2584383496130547</v>
      </c>
      <c r="O2075" s="25">
        <f>IF(G2075="provision",M2075+H2075,IF(G2075="recoleccion",M2075-H2075,"No aplica"))</f>
        <v>69002000</v>
      </c>
      <c r="P2075" s="26" t="n">
        <v>158012</v>
      </c>
    </row>
    <row r="2076">
      <c r="A2076" t="inlineStr">
        <is>
          <t>PRAGMA</t>
        </is>
      </c>
      <c r="B2076" t="inlineStr">
        <is>
          <t>M2</t>
        </is>
      </c>
      <c r="C2076" t="inlineStr">
        <is>
          <t>Cali</t>
        </is>
      </c>
      <c r="D2076" t="inlineStr">
        <is>
          <t>9047</t>
        </is>
      </c>
      <c r="E2076" t="inlineStr">
        <is>
          <t>TDV</t>
        </is>
      </c>
      <c r="F2076" s="23" t="n">
        <v>46277</v>
      </c>
      <c r="G2076" t="inlineStr">
        <is>
          <t>recoleccion</t>
        </is>
      </c>
      <c r="H2076" s="26" t="n">
        <v>15848233</v>
      </c>
      <c r="I2076" t="inlineStr">
        <is>
          <t>bajo</t>
        </is>
      </c>
      <c r="J2076" t="inlineStr">
        <is>
          <t>RN-22 y RN-35: recoleccion al cierre de lo que pasa del cupo</t>
        </is>
      </c>
      <c r="K2076" t="inlineStr">
        <is>
          <t>Recoleccion al cierre: con el pronostico, el saldo cerraria en 84.850.233 COP, sobre el cupo de 69.002.000. Se recoge el excedente y el saldo queda en 69.002.000 COP. Equipo administrado por TDV.</t>
        </is>
      </c>
      <c r="L2076" s="26" t="n">
        <v>69002000</v>
      </c>
      <c r="M2076" s="26" t="n">
        <v>84850233</v>
      </c>
      <c r="N2076" s="27">
        <f>IF(ISNUMBER(M2076),M2076/L2076,"No aplica")</f>
        <v>1.2296778789020608</v>
      </c>
      <c r="O2076" s="25">
        <f>IF(G2076="provision",M2076+H2076,IF(G2076="recoleccion",M2076-H2076,"No aplica"))</f>
        <v>69002000</v>
      </c>
      <c r="P2076" s="26" t="n">
        <v>158012</v>
      </c>
    </row>
    <row r="2077">
      <c r="A2077" t="inlineStr">
        <is>
          <t>PRAGMA</t>
        </is>
      </c>
      <c r="B2077" t="inlineStr">
        <is>
          <t>M2</t>
        </is>
      </c>
      <c r="C2077" t="inlineStr">
        <is>
          <t>Cali</t>
        </is>
      </c>
      <c r="D2077" t="inlineStr">
        <is>
          <t>9047</t>
        </is>
      </c>
      <c r="E2077" t="inlineStr">
        <is>
          <t>TDV</t>
        </is>
      </c>
      <c r="F2077" s="23" t="n">
        <v>46278</v>
      </c>
      <c r="G2077" t="inlineStr">
        <is>
          <t>recoleccion</t>
        </is>
      </c>
      <c r="H2077" s="26" t="n">
        <v>13135894</v>
      </c>
      <c r="I2077" t="inlineStr">
        <is>
          <t>bajo</t>
        </is>
      </c>
      <c r="J2077" t="inlineStr">
        <is>
          <t>RN-22 y RN-35: recoleccion al cierre de lo que pasa del cupo</t>
        </is>
      </c>
      <c r="K2077" t="inlineStr">
        <is>
          <t>Recoleccion al cierre: con el pronostico, el saldo cerraria en 82.137.894 COP, sobre el cupo de 69.002.000. Se recoge el excedente y el saldo queda en 69.002.000 COP. Equipo administrado por TDV.</t>
        </is>
      </c>
      <c r="L2077" s="26" t="n">
        <v>69002000</v>
      </c>
      <c r="M2077" s="26" t="n">
        <v>82137894</v>
      </c>
      <c r="N2077" s="27">
        <f>IF(ISNUMBER(M2077),M2077/L2077,"No aplica")</f>
        <v>1.1903697573983363</v>
      </c>
      <c r="O2077" s="25">
        <f>IF(G2077="provision",M2077+H2077,IF(G2077="recoleccion",M2077-H2077,"No aplica"))</f>
        <v>69002000</v>
      </c>
      <c r="P2077" s="26" t="n">
        <v>182814</v>
      </c>
    </row>
    <row r="2078">
      <c r="A2078" t="inlineStr">
        <is>
          <t>PRAGMA</t>
        </is>
      </c>
      <c r="B2078" t="inlineStr">
        <is>
          <t>M2</t>
        </is>
      </c>
      <c r="C2078" t="inlineStr">
        <is>
          <t>Cali</t>
        </is>
      </c>
      <c r="D2078" t="inlineStr">
        <is>
          <t>9047</t>
        </is>
      </c>
      <c r="E2078" t="inlineStr">
        <is>
          <t>TDV</t>
        </is>
      </c>
      <c r="F2078" s="23" t="n">
        <v>46279</v>
      </c>
      <c r="G2078" t="inlineStr">
        <is>
          <t>recoleccion</t>
        </is>
      </c>
      <c r="H2078" s="26" t="n">
        <v>27603513</v>
      </c>
      <c r="I2078" t="inlineStr">
        <is>
          <t>bajo</t>
        </is>
      </c>
      <c r="J2078" t="inlineStr">
        <is>
          <t>RN-22 y RN-35: recoleccion al cierre de lo que pasa del cupo</t>
        </is>
      </c>
      <c r="K2078" t="inlineStr">
        <is>
          <t>Recoleccion al cierre: con el pronostico, el saldo cerraria en 96.605.513 COP, sobre el cupo de 69.002.000. Se recoge el excedente y el saldo queda en 69.002.000 COP. Equipo administrado por TDV.</t>
        </is>
      </c>
      <c r="L2078" s="26" t="n">
        <v>69002000</v>
      </c>
      <c r="M2078" s="26" t="n">
        <v>96605513</v>
      </c>
      <c r="N2078" s="27">
        <f>IF(ISNUMBER(M2078),M2078/L2078,"No aplica")</f>
        <v>1.4000393177009363</v>
      </c>
      <c r="O2078" s="25">
        <f>IF(G2078="provision",M2078+H2078,IF(G2078="recoleccion",M2078-H2078,"No aplica"))</f>
        <v>69002000</v>
      </c>
      <c r="P2078" s="26" t="n">
        <v>158012</v>
      </c>
    </row>
    <row r="2079">
      <c r="A2079" t="inlineStr">
        <is>
          <t>PRAGMA</t>
        </is>
      </c>
      <c r="B2079" t="inlineStr">
        <is>
          <t>M2</t>
        </is>
      </c>
      <c r="C2079" t="inlineStr">
        <is>
          <t>Cali</t>
        </is>
      </c>
      <c r="D2079" t="inlineStr">
        <is>
          <t>9047</t>
        </is>
      </c>
      <c r="E2079" t="inlineStr">
        <is>
          <t>TDV</t>
        </is>
      </c>
      <c r="F2079" s="23" t="n">
        <v>46280</v>
      </c>
      <c r="G2079" t="inlineStr">
        <is>
          <t>recoleccion</t>
        </is>
      </c>
      <c r="H2079" s="26" t="n">
        <v>17357319</v>
      </c>
      <c r="I2079" t="inlineStr">
        <is>
          <t>bajo</t>
        </is>
      </c>
      <c r="J2079" t="inlineStr">
        <is>
          <t>RN-22 y RN-35: recoleccion al cierre de lo que pasa del cupo</t>
        </is>
      </c>
      <c r="K2079" t="inlineStr">
        <is>
          <t>Recoleccion al cierre: con el pronostico, el saldo cerraria en 86.359.319 COP, sobre el cupo de 69.002.000. Se recoge el excedente y el saldo queda en 69.002.000 COP. Equipo administrado por TDV.</t>
        </is>
      </c>
      <c r="L2079" s="26" t="n">
        <v>69002000</v>
      </c>
      <c r="M2079" s="26" t="n">
        <v>86359319</v>
      </c>
      <c r="N2079" s="27">
        <f>IF(ISNUMBER(M2079),M2079/L2079,"No aplica")</f>
        <v>1.2515480565780701</v>
      </c>
      <c r="O2079" s="25">
        <f>IF(G2079="provision",M2079+H2079,IF(G2079="recoleccion",M2079-H2079,"No aplica"))</f>
        <v>69002000</v>
      </c>
      <c r="P2079" s="26" t="n">
        <v>158012</v>
      </c>
    </row>
    <row r="2080">
      <c r="A2080" t="inlineStr">
        <is>
          <t>PRAGMA</t>
        </is>
      </c>
      <c r="B2080" t="inlineStr">
        <is>
          <t>M2</t>
        </is>
      </c>
      <c r="C2080" t="inlineStr">
        <is>
          <t>Cali</t>
        </is>
      </c>
      <c r="D2080" t="inlineStr">
        <is>
          <t>9128</t>
        </is>
      </c>
      <c r="E2080" t="inlineStr">
        <is>
          <t>TDV</t>
        </is>
      </c>
      <c r="F2080" s="23" t="n">
        <v>46266</v>
      </c>
      <c r="G2080" t="inlineStr">
        <is>
          <t>recoleccion</t>
        </is>
      </c>
      <c r="H2080" s="26" t="n">
        <v>135318995</v>
      </c>
      <c r="I2080" t="inlineStr">
        <is>
          <t>bajo</t>
        </is>
      </c>
      <c r="J2080" t="inlineStr">
        <is>
          <t>RN-22 y RN-35: recoleccion al cierre de lo que pasa del cupo</t>
        </is>
      </c>
      <c r="K2080" t="inlineStr">
        <is>
          <t>Recoleccion al cierre: con el pronostico, el saldo cerraria en 160.320.995 COP, sobre el cupo de 25.002.000. Se recoge el excedente y el saldo queda en 25.002.000 COP. Equipo administrado por TDV.</t>
        </is>
      </c>
      <c r="L2080" s="26" t="n">
        <v>25002000</v>
      </c>
      <c r="M2080" s="26" t="n">
        <v>160320995</v>
      </c>
      <c r="N2080" s="27">
        <f>IF(ISNUMBER(M2080),M2080/L2080,"No aplica")</f>
        <v>6.412326813854891</v>
      </c>
      <c r="O2080" s="25">
        <f>IF(G2080="provision",M2080+H2080,IF(G2080="recoleccion",M2080-H2080,"No aplica"))</f>
        <v>25002000</v>
      </c>
      <c r="P2080" s="26" t="n">
        <v>157715</v>
      </c>
    </row>
    <row r="2081">
      <c r="A2081" t="inlineStr">
        <is>
          <t>PRAGMA</t>
        </is>
      </c>
      <c r="B2081" t="inlineStr">
        <is>
          <t>M2</t>
        </is>
      </c>
      <c r="C2081" t="inlineStr">
        <is>
          <t>Cali</t>
        </is>
      </c>
      <c r="D2081" t="inlineStr">
        <is>
          <t>9128</t>
        </is>
      </c>
      <c r="E2081" t="inlineStr">
        <is>
          <t>TDV</t>
        </is>
      </c>
      <c r="F2081" s="23" t="n">
        <v>46267</v>
      </c>
      <c r="G2081" t="inlineStr">
        <is>
          <t>recoleccion</t>
        </is>
      </c>
      <c r="H2081" s="26" t="n">
        <v>126019801</v>
      </c>
      <c r="I2081" t="inlineStr">
        <is>
          <t>bajo</t>
        </is>
      </c>
      <c r="J2081" t="inlineStr">
        <is>
          <t>RN-22 y RN-35: recoleccion al cierre de lo que pasa del cupo</t>
        </is>
      </c>
      <c r="K2081" t="inlineStr">
        <is>
          <t>Recoleccion al cierre: con el pronostico, el saldo cerraria en 151.021.801 COP, sobre el cupo de 25.002.000. Se recoge el excedente y el saldo queda en 25.002.000 COP. Equipo administrado por TDV.</t>
        </is>
      </c>
      <c r="L2081" s="26" t="n">
        <v>25002000</v>
      </c>
      <c r="M2081" s="26" t="n">
        <v>151021801</v>
      </c>
      <c r="N2081" s="27">
        <f>IF(ISNUMBER(M2081),M2081/L2081,"No aplica")</f>
        <v>6.040388808895289</v>
      </c>
      <c r="O2081" s="25">
        <f>IF(G2081="provision",M2081+H2081,IF(G2081="recoleccion",M2081-H2081,"No aplica"))</f>
        <v>25002000</v>
      </c>
      <c r="P2081" s="26" t="n">
        <v>157715</v>
      </c>
    </row>
    <row r="2082">
      <c r="A2082" t="inlineStr">
        <is>
          <t>PRAGMA</t>
        </is>
      </c>
      <c r="B2082" t="inlineStr">
        <is>
          <t>M2</t>
        </is>
      </c>
      <c r="C2082" t="inlineStr">
        <is>
          <t>Cali</t>
        </is>
      </c>
      <c r="D2082" t="inlineStr">
        <is>
          <t>9128</t>
        </is>
      </c>
      <c r="E2082" t="inlineStr">
        <is>
          <t>TDV</t>
        </is>
      </c>
      <c r="F2082" s="23" t="n">
        <v>46268</v>
      </c>
      <c r="G2082" t="inlineStr">
        <is>
          <t>recoleccion</t>
        </is>
      </c>
      <c r="H2082" s="26" t="n">
        <v>135323610</v>
      </c>
      <c r="I2082" t="inlineStr">
        <is>
          <t>bajo</t>
        </is>
      </c>
      <c r="J2082" t="inlineStr">
        <is>
          <t>RN-22 y RN-35: recoleccion al cierre de lo que pasa del cupo</t>
        </is>
      </c>
      <c r="K2082" t="inlineStr">
        <is>
          <t>Recoleccion al cierre: con el pronostico, el saldo cerraria en 160.325.610 COP, sobre el cupo de 25.002.000. Se recoge el excedente y el saldo queda en 25.002.000 COP. Equipo administrado por TDV.</t>
        </is>
      </c>
      <c r="L2082" s="26" t="n">
        <v>25002000</v>
      </c>
      <c r="M2082" s="26" t="n">
        <v>160325610</v>
      </c>
      <c r="N2082" s="27">
        <f>IF(ISNUMBER(M2082),M2082/L2082,"No aplica")</f>
        <v>6.412511399088073</v>
      </c>
      <c r="O2082" s="25">
        <f>IF(G2082="provision",M2082+H2082,IF(G2082="recoleccion",M2082-H2082,"No aplica"))</f>
        <v>25002000</v>
      </c>
      <c r="P2082" s="26" t="n">
        <v>157715</v>
      </c>
    </row>
    <row r="2083">
      <c r="A2083" t="inlineStr">
        <is>
          <t>PRAGMA</t>
        </is>
      </c>
      <c r="B2083" t="inlineStr">
        <is>
          <t>M2</t>
        </is>
      </c>
      <c r="C2083" t="inlineStr">
        <is>
          <t>Cali</t>
        </is>
      </c>
      <c r="D2083" t="inlineStr">
        <is>
          <t>9128</t>
        </is>
      </c>
      <c r="E2083" t="inlineStr">
        <is>
          <t>TDV</t>
        </is>
      </c>
      <c r="F2083" s="23" t="n">
        <v>46269</v>
      </c>
      <c r="G2083" t="inlineStr">
        <is>
          <t>recoleccion</t>
        </is>
      </c>
      <c r="H2083" s="26" t="n">
        <v>132295609</v>
      </c>
      <c r="I2083" t="inlineStr">
        <is>
          <t>bajo</t>
        </is>
      </c>
      <c r="J2083" t="inlineStr">
        <is>
          <t>RN-22 y RN-35: recoleccion al cierre de lo que pasa del cupo</t>
        </is>
      </c>
      <c r="K2083" t="inlineStr">
        <is>
          <t>Recoleccion al cierre: con el pronostico, el saldo cerraria en 157.297.609 COP, sobre el cupo de 25.002.000. Se recoge el excedente y el saldo queda en 25.002.000 COP. Equipo administrado por TDV.</t>
        </is>
      </c>
      <c r="L2083" s="26" t="n">
        <v>25002000</v>
      </c>
      <c r="M2083" s="26" t="n">
        <v>157297609</v>
      </c>
      <c r="N2083" s="27">
        <f>IF(ISNUMBER(M2083),M2083/L2083,"No aplica")</f>
        <v>6.291401047916167</v>
      </c>
      <c r="O2083" s="25">
        <f>IF(G2083="provision",M2083+H2083,IF(G2083="recoleccion",M2083-H2083,"No aplica"))</f>
        <v>25002000</v>
      </c>
      <c r="P2083" s="26" t="n">
        <v>157715</v>
      </c>
    </row>
    <row r="2084">
      <c r="A2084" t="inlineStr">
        <is>
          <t>PRAGMA</t>
        </is>
      </c>
      <c r="B2084" t="inlineStr">
        <is>
          <t>M2</t>
        </is>
      </c>
      <c r="C2084" t="inlineStr">
        <is>
          <t>Cali</t>
        </is>
      </c>
      <c r="D2084" t="inlineStr">
        <is>
          <t>9128</t>
        </is>
      </c>
      <c r="E2084" t="inlineStr">
        <is>
          <t>TDV</t>
        </is>
      </c>
      <c r="F2084" s="23" t="n">
        <v>46270</v>
      </c>
      <c r="G2084" t="inlineStr">
        <is>
          <t>recoleccion</t>
        </is>
      </c>
      <c r="H2084" s="26" t="n">
        <v>141090004</v>
      </c>
      <c r="I2084" t="inlineStr">
        <is>
          <t>bajo</t>
        </is>
      </c>
      <c r="J2084" t="inlineStr">
        <is>
          <t>RN-22 y RN-35: recoleccion al cierre de lo que pasa del cupo</t>
        </is>
      </c>
      <c r="K2084" t="inlineStr">
        <is>
          <t>Recoleccion al cierre: con el pronostico, el saldo cerraria en 166.092.004 COP, sobre el cupo de 25.002.000. Se recoge el excedente y el saldo queda en 25.002.000 COP. Equipo administrado por TDV.</t>
        </is>
      </c>
      <c r="L2084" s="26" t="n">
        <v>25002000</v>
      </c>
      <c r="M2084" s="26" t="n">
        <v>166092004</v>
      </c>
      <c r="N2084" s="27">
        <f>IF(ISNUMBER(M2084),M2084/L2084,"No aplica")</f>
        <v>6.643148708103352</v>
      </c>
      <c r="O2084" s="25">
        <f>IF(G2084="provision",M2084+H2084,IF(G2084="recoleccion",M2084-H2084,"No aplica"))</f>
        <v>25002000</v>
      </c>
      <c r="P2084" s="26" t="n">
        <v>157715</v>
      </c>
    </row>
    <row r="2085">
      <c r="A2085" t="inlineStr">
        <is>
          <t>PRAGMA</t>
        </is>
      </c>
      <c r="B2085" t="inlineStr">
        <is>
          <t>M2</t>
        </is>
      </c>
      <c r="C2085" t="inlineStr">
        <is>
          <t>Cali</t>
        </is>
      </c>
      <c r="D2085" t="inlineStr">
        <is>
          <t>9128</t>
        </is>
      </c>
      <c r="E2085" t="inlineStr">
        <is>
          <t>TDV</t>
        </is>
      </c>
      <c r="F2085" s="23" t="n">
        <v>46271</v>
      </c>
      <c r="G2085" t="inlineStr">
        <is>
          <t>recoleccion</t>
        </is>
      </c>
      <c r="H2085" s="26" t="n">
        <v>83086207</v>
      </c>
      <c r="I2085" t="inlineStr">
        <is>
          <t>bajo</t>
        </is>
      </c>
      <c r="J2085" t="inlineStr">
        <is>
          <t>RN-22 y RN-35: recoleccion al cierre de lo que pasa del cupo</t>
        </is>
      </c>
      <c r="K2085" t="inlineStr">
        <is>
          <t>Recoleccion al cierre: con el pronostico, el saldo cerraria en 108.088.207 COP, sobre el cupo de 25.002.000. Se recoge el excedente y el saldo queda en 25.002.000 COP. Equipo administrado por TDV.</t>
        </is>
      </c>
      <c r="L2085" s="26" t="n">
        <v>25002000</v>
      </c>
      <c r="M2085" s="26" t="n">
        <v>108088207</v>
      </c>
      <c r="N2085" s="27">
        <f>IF(ISNUMBER(M2085),M2085/L2085,"No aplica")</f>
        <v>4.323182425405967</v>
      </c>
      <c r="O2085" s="25">
        <f>IF(G2085="provision",M2085+H2085,IF(G2085="recoleccion",M2085-H2085,"No aplica"))</f>
        <v>25002000</v>
      </c>
      <c r="P2085" s="26" t="n">
        <v>215854</v>
      </c>
    </row>
    <row r="2086">
      <c r="A2086" t="inlineStr">
        <is>
          <t>PRAGMA</t>
        </is>
      </c>
      <c r="B2086" t="inlineStr">
        <is>
          <t>M2</t>
        </is>
      </c>
      <c r="C2086" t="inlineStr">
        <is>
          <t>Cali</t>
        </is>
      </c>
      <c r="D2086" t="inlineStr">
        <is>
          <t>9128</t>
        </is>
      </c>
      <c r="E2086" t="inlineStr">
        <is>
          <t>TDV</t>
        </is>
      </c>
      <c r="F2086" s="23" t="n">
        <v>46272</v>
      </c>
      <c r="G2086" t="inlineStr">
        <is>
          <t>recoleccion</t>
        </is>
      </c>
      <c r="H2086" s="26" t="n">
        <v>144710584</v>
      </c>
      <c r="I2086" t="inlineStr">
        <is>
          <t>bajo</t>
        </is>
      </c>
      <c r="J2086" t="inlineStr">
        <is>
          <t>RN-22 y RN-35: recoleccion al cierre de lo que pasa del cupo</t>
        </is>
      </c>
      <c r="K2086" t="inlineStr">
        <is>
          <t>Recoleccion al cierre: con el pronostico, el saldo cerraria en 169.712.584 COP, sobre el cupo de 25.002.000. Se recoge el excedente y el saldo queda en 25.002.000 COP. Equipo administrado por TDV.</t>
        </is>
      </c>
      <c r="L2086" s="26" t="n">
        <v>25002000</v>
      </c>
      <c r="M2086" s="26" t="n">
        <v>169712584</v>
      </c>
      <c r="N2086" s="27">
        <f>IF(ISNUMBER(M2086),M2086/L2086,"No aplica")</f>
        <v>6.787960323174146</v>
      </c>
      <c r="O2086" s="25">
        <f>IF(G2086="provision",M2086+H2086,IF(G2086="recoleccion",M2086-H2086,"No aplica"))</f>
        <v>25002000</v>
      </c>
      <c r="P2086" s="26" t="n">
        <v>157715</v>
      </c>
    </row>
    <row r="2087">
      <c r="A2087" t="inlineStr">
        <is>
          <t>PRAGMA</t>
        </is>
      </c>
      <c r="B2087" t="inlineStr">
        <is>
          <t>M2</t>
        </is>
      </c>
      <c r="C2087" t="inlineStr">
        <is>
          <t>Cali</t>
        </is>
      </c>
      <c r="D2087" t="inlineStr">
        <is>
          <t>9128</t>
        </is>
      </c>
      <c r="E2087" t="inlineStr">
        <is>
          <t>TDV</t>
        </is>
      </c>
      <c r="F2087" s="23" t="n">
        <v>46273</v>
      </c>
      <c r="G2087" t="inlineStr">
        <is>
          <t>recoleccion</t>
        </is>
      </c>
      <c r="H2087" s="26" t="n">
        <v>128278249</v>
      </c>
      <c r="I2087" t="inlineStr">
        <is>
          <t>bajo</t>
        </is>
      </c>
      <c r="J2087" t="inlineStr">
        <is>
          <t>RN-22 y RN-35: recoleccion al cierre de lo que pasa del cupo</t>
        </is>
      </c>
      <c r="K2087" t="inlineStr">
        <is>
          <t>Recoleccion al cierre: con el pronostico, el saldo cerraria en 153.280.249 COP, sobre el cupo de 25.002.000. Se recoge el excedente y el saldo queda en 25.002.000 COP. Equipo administrado por TDV.</t>
        </is>
      </c>
      <c r="L2087" s="26" t="n">
        <v>25002000</v>
      </c>
      <c r="M2087" s="26" t="n">
        <v>153280249</v>
      </c>
      <c r="N2087" s="27">
        <f>IF(ISNUMBER(M2087),M2087/L2087,"No aplica")</f>
        <v>6.1307195024398045</v>
      </c>
      <c r="O2087" s="25">
        <f>IF(G2087="provision",M2087+H2087,IF(G2087="recoleccion",M2087-H2087,"No aplica"))</f>
        <v>25002000</v>
      </c>
      <c r="P2087" s="26" t="n">
        <v>157715</v>
      </c>
    </row>
    <row r="2088">
      <c r="A2088" t="inlineStr">
        <is>
          <t>PRAGMA</t>
        </is>
      </c>
      <c r="B2088" t="inlineStr">
        <is>
          <t>M2</t>
        </is>
      </c>
      <c r="C2088" t="inlineStr">
        <is>
          <t>Cali</t>
        </is>
      </c>
      <c r="D2088" t="inlineStr">
        <is>
          <t>9128</t>
        </is>
      </c>
      <c r="E2088" t="inlineStr">
        <is>
          <t>TDV</t>
        </is>
      </c>
      <c r="F2088" s="23" t="n">
        <v>46274</v>
      </c>
      <c r="G2088" t="inlineStr">
        <is>
          <t>recoleccion</t>
        </is>
      </c>
      <c r="H2088" s="26" t="n">
        <v>117539276</v>
      </c>
      <c r="I2088" t="inlineStr">
        <is>
          <t>bajo</t>
        </is>
      </c>
      <c r="J2088" t="inlineStr">
        <is>
          <t>RN-22 y RN-35: recoleccion al cierre de lo que pasa del cupo</t>
        </is>
      </c>
      <c r="K2088" t="inlineStr">
        <is>
          <t>Recoleccion al cierre: con el pronostico, el saldo cerraria en 142.541.276 COP, sobre el cupo de 25.002.000. Se recoge el excedente y el saldo queda en 25.002.000 COP. Equipo administrado por TDV.</t>
        </is>
      </c>
      <c r="L2088" s="26" t="n">
        <v>25002000</v>
      </c>
      <c r="M2088" s="26" t="n">
        <v>142541276</v>
      </c>
      <c r="N2088" s="27">
        <f>IF(ISNUMBER(M2088),M2088/L2088,"No aplica")</f>
        <v>5.701194944404448</v>
      </c>
      <c r="O2088" s="25">
        <f>IF(G2088="provision",M2088+H2088,IF(G2088="recoleccion",M2088-H2088,"No aplica"))</f>
        <v>25002000</v>
      </c>
      <c r="P2088" s="26" t="n">
        <v>157715</v>
      </c>
    </row>
    <row r="2089">
      <c r="A2089" t="inlineStr">
        <is>
          <t>PRAGMA</t>
        </is>
      </c>
      <c r="B2089" t="inlineStr">
        <is>
          <t>M2</t>
        </is>
      </c>
      <c r="C2089" t="inlineStr">
        <is>
          <t>Cali</t>
        </is>
      </c>
      <c r="D2089" t="inlineStr">
        <is>
          <t>9128</t>
        </is>
      </c>
      <c r="E2089" t="inlineStr">
        <is>
          <t>TDV</t>
        </is>
      </c>
      <c r="F2089" s="23" t="n">
        <v>46275</v>
      </c>
      <c r="G2089" t="inlineStr">
        <is>
          <t>recoleccion</t>
        </is>
      </c>
      <c r="H2089" s="26" t="n">
        <v>119721010</v>
      </c>
      <c r="I2089" t="inlineStr">
        <is>
          <t>bajo</t>
        </is>
      </c>
      <c r="J2089" t="inlineStr">
        <is>
          <t>RN-22 y RN-35: recoleccion al cierre de lo que pasa del cupo</t>
        </is>
      </c>
      <c r="K2089" t="inlineStr">
        <is>
          <t>Recoleccion al cierre: con el pronostico, el saldo cerraria en 144.723.010 COP, sobre el cupo de 25.002.000. Se recoge el excedente y el saldo queda en 25.002.000 COP. Equipo administrado por TDV.</t>
        </is>
      </c>
      <c r="L2089" s="26" t="n">
        <v>25002000</v>
      </c>
      <c r="M2089" s="26" t="n">
        <v>144723010</v>
      </c>
      <c r="N2089" s="27">
        <f>IF(ISNUMBER(M2089),M2089/L2089,"No aplica")</f>
        <v>5.788457323414127</v>
      </c>
      <c r="O2089" s="25">
        <f>IF(G2089="provision",M2089+H2089,IF(G2089="recoleccion",M2089-H2089,"No aplica"))</f>
        <v>25002000</v>
      </c>
      <c r="P2089" s="26" t="n">
        <v>157715</v>
      </c>
    </row>
    <row r="2090">
      <c r="A2090" t="inlineStr">
        <is>
          <t>PRAGMA</t>
        </is>
      </c>
      <c r="B2090" t="inlineStr">
        <is>
          <t>M2</t>
        </is>
      </c>
      <c r="C2090" t="inlineStr">
        <is>
          <t>Cali</t>
        </is>
      </c>
      <c r="D2090" t="inlineStr">
        <is>
          <t>9128</t>
        </is>
      </c>
      <c r="E2090" t="inlineStr">
        <is>
          <t>TDV</t>
        </is>
      </c>
      <c r="F2090" s="23" t="n">
        <v>46276</v>
      </c>
      <c r="G2090" t="inlineStr">
        <is>
          <t>recoleccion</t>
        </is>
      </c>
      <c r="H2090" s="26" t="n">
        <v>119364386</v>
      </c>
      <c r="I2090" t="inlineStr">
        <is>
          <t>bajo</t>
        </is>
      </c>
      <c r="J2090" t="inlineStr">
        <is>
          <t>RN-22 y RN-35: recoleccion al cierre de lo que pasa del cupo</t>
        </is>
      </c>
      <c r="K2090" t="inlineStr">
        <is>
          <t>Recoleccion al cierre: con el pronostico, el saldo cerraria en 144.366.386 COP, sobre el cupo de 25.002.000. Se recoge el excedente y el saldo queda en 25.002.000 COP. Equipo administrado por TDV.</t>
        </is>
      </c>
      <c r="L2090" s="26" t="n">
        <v>25002000</v>
      </c>
      <c r="M2090" s="26" t="n">
        <v>144366386</v>
      </c>
      <c r="N2090" s="27">
        <f>IF(ISNUMBER(M2090),M2090/L2090,"No aplica")</f>
        <v>5.774193504519639</v>
      </c>
      <c r="O2090" s="25">
        <f>IF(G2090="provision",M2090+H2090,IF(G2090="recoleccion",M2090-H2090,"No aplica"))</f>
        <v>25002000</v>
      </c>
      <c r="P2090" s="26" t="n">
        <v>157715</v>
      </c>
    </row>
    <row r="2091">
      <c r="A2091" t="inlineStr">
        <is>
          <t>PRAGMA</t>
        </is>
      </c>
      <c r="B2091" t="inlineStr">
        <is>
          <t>M2</t>
        </is>
      </c>
      <c r="C2091" t="inlineStr">
        <is>
          <t>Cali</t>
        </is>
      </c>
      <c r="D2091" t="inlineStr">
        <is>
          <t>9128</t>
        </is>
      </c>
      <c r="E2091" t="inlineStr">
        <is>
          <t>TDV</t>
        </is>
      </c>
      <c r="F2091" s="23" t="n">
        <v>46277</v>
      </c>
      <c r="G2091" t="inlineStr">
        <is>
          <t>recoleccion</t>
        </is>
      </c>
      <c r="H2091" s="26" t="n">
        <v>129836326</v>
      </c>
      <c r="I2091" t="inlineStr">
        <is>
          <t>bajo</t>
        </is>
      </c>
      <c r="J2091" t="inlineStr">
        <is>
          <t>RN-22 y RN-35: recoleccion al cierre de lo que pasa del cupo</t>
        </is>
      </c>
      <c r="K2091" t="inlineStr">
        <is>
          <t>Recoleccion al cierre: con el pronostico, el saldo cerraria en 154.838.326 COP, sobre el cupo de 25.002.000. Se recoge el excedente y el saldo queda en 25.002.000 COP. Equipo administrado por TDV.</t>
        </is>
      </c>
      <c r="L2091" s="26" t="n">
        <v>25002000</v>
      </c>
      <c r="M2091" s="26" t="n">
        <v>154838326</v>
      </c>
      <c r="N2091" s="27">
        <f>IF(ISNUMBER(M2091),M2091/L2091,"No aplica")</f>
        <v>6.193037596992241</v>
      </c>
      <c r="O2091" s="25">
        <f>IF(G2091="provision",M2091+H2091,IF(G2091="recoleccion",M2091-H2091,"No aplica"))</f>
        <v>25002000</v>
      </c>
      <c r="P2091" s="26" t="n">
        <v>157715</v>
      </c>
    </row>
    <row r="2092">
      <c r="A2092" t="inlineStr">
        <is>
          <t>PRAGMA</t>
        </is>
      </c>
      <c r="B2092" t="inlineStr">
        <is>
          <t>M2</t>
        </is>
      </c>
      <c r="C2092" t="inlineStr">
        <is>
          <t>Cali</t>
        </is>
      </c>
      <c r="D2092" t="inlineStr">
        <is>
          <t>9128</t>
        </is>
      </c>
      <c r="E2092" t="inlineStr">
        <is>
          <t>TDV</t>
        </is>
      </c>
      <c r="F2092" s="23" t="n">
        <v>46278</v>
      </c>
      <c r="G2092" t="inlineStr">
        <is>
          <t>recoleccion</t>
        </is>
      </c>
      <c r="H2092" s="26" t="n">
        <v>74018420</v>
      </c>
      <c r="I2092" t="inlineStr">
        <is>
          <t>bajo</t>
        </is>
      </c>
      <c r="J2092" t="inlineStr">
        <is>
          <t>RN-22 y RN-35: recoleccion al cierre de lo que pasa del cupo</t>
        </is>
      </c>
      <c r="K2092" t="inlineStr">
        <is>
          <t>Recoleccion al cierre: con el pronostico, el saldo cerraria en 99.020.420 COP, sobre el cupo de 25.002.000. Se recoge el excedente y el saldo queda en 25.002.000 COP. Equipo administrado por TDV.</t>
        </is>
      </c>
      <c r="L2092" s="26" t="n">
        <v>25002000</v>
      </c>
      <c r="M2092" s="26" t="n">
        <v>99020420</v>
      </c>
      <c r="N2092" s="27">
        <f>IF(ISNUMBER(M2092),M2092/L2092,"No aplica")</f>
        <v>3.9604999600031996</v>
      </c>
      <c r="O2092" s="25">
        <f>IF(G2092="provision",M2092+H2092,IF(G2092="recoleccion",M2092-H2092,"No aplica"))</f>
        <v>25002000</v>
      </c>
      <c r="P2092" s="26" t="n">
        <v>215854</v>
      </c>
    </row>
    <row r="2093">
      <c r="A2093" t="inlineStr">
        <is>
          <t>PRAGMA</t>
        </is>
      </c>
      <c r="B2093" t="inlineStr">
        <is>
          <t>M2</t>
        </is>
      </c>
      <c r="C2093" t="inlineStr">
        <is>
          <t>Cali</t>
        </is>
      </c>
      <c r="D2093" t="inlineStr">
        <is>
          <t>9128</t>
        </is>
      </c>
      <c r="E2093" t="inlineStr">
        <is>
          <t>TDV</t>
        </is>
      </c>
      <c r="F2093" s="23" t="n">
        <v>46279</v>
      </c>
      <c r="G2093" t="inlineStr">
        <is>
          <t>recoleccion</t>
        </is>
      </c>
      <c r="H2093" s="26" t="n">
        <v>129492965</v>
      </c>
      <c r="I2093" t="inlineStr">
        <is>
          <t>bajo</t>
        </is>
      </c>
      <c r="J2093" t="inlineStr">
        <is>
          <t>RN-22 y RN-35: recoleccion al cierre de lo que pasa del cupo</t>
        </is>
      </c>
      <c r="K2093" t="inlineStr">
        <is>
          <t>Recoleccion al cierre: con el pronostico, el saldo cerraria en 154.494.965 COP, sobre el cupo de 25.002.000. Se recoge el excedente y el saldo queda en 25.002.000 COP. Equipo administrado por TDV.</t>
        </is>
      </c>
      <c r="L2093" s="26" t="n">
        <v>25002000</v>
      </c>
      <c r="M2093" s="26" t="n">
        <v>154494965</v>
      </c>
      <c r="N2093" s="27">
        <f>IF(ISNUMBER(M2093),M2093/L2093,"No aplica")</f>
        <v>6.179304255659547</v>
      </c>
      <c r="O2093" s="25">
        <f>IF(G2093="provision",M2093+H2093,IF(G2093="recoleccion",M2093-H2093,"No aplica"))</f>
        <v>25002000</v>
      </c>
      <c r="P2093" s="26" t="n">
        <v>157715</v>
      </c>
    </row>
    <row r="2094">
      <c r="A2094" t="inlineStr">
        <is>
          <t>PRAGMA</t>
        </is>
      </c>
      <c r="B2094" t="inlineStr">
        <is>
          <t>M2</t>
        </is>
      </c>
      <c r="C2094" t="inlineStr">
        <is>
          <t>Cali</t>
        </is>
      </c>
      <c r="D2094" t="inlineStr">
        <is>
          <t>9128</t>
        </is>
      </c>
      <c r="E2094" t="inlineStr">
        <is>
          <t>TDV</t>
        </is>
      </c>
      <c r="F2094" s="23" t="n">
        <v>46280</v>
      </c>
      <c r="G2094" t="inlineStr">
        <is>
          <t>recoleccion</t>
        </is>
      </c>
      <c r="H2094" s="26" t="n">
        <v>140718923</v>
      </c>
      <c r="I2094" t="inlineStr">
        <is>
          <t>bajo</t>
        </is>
      </c>
      <c r="J2094" t="inlineStr">
        <is>
          <t>RN-22 y RN-35: recoleccion al cierre de lo que pasa del cupo</t>
        </is>
      </c>
      <c r="K2094" t="inlineStr">
        <is>
          <t>Recoleccion al cierre: con el pronostico, el saldo cerraria en 165.720.923 COP, sobre el cupo de 25.002.000. Se recoge el excedente y el saldo queda en 25.002.000 COP. Equipo administrado por TDV.</t>
        </is>
      </c>
      <c r="L2094" s="26" t="n">
        <v>25002000</v>
      </c>
      <c r="M2094" s="26" t="n">
        <v>165720923</v>
      </c>
      <c r="N2094" s="27">
        <f>IF(ISNUMBER(M2094),M2094/L2094,"No aplica")</f>
        <v>6.628306655467562</v>
      </c>
      <c r="O2094" s="25">
        <f>IF(G2094="provision",M2094+H2094,IF(G2094="recoleccion",M2094-H2094,"No aplica"))</f>
        <v>25002000</v>
      </c>
      <c r="P2094" s="26" t="n">
        <v>157715</v>
      </c>
    </row>
    <row r="2095">
      <c r="A2095" t="inlineStr">
        <is>
          <t>PRAGMA</t>
        </is>
      </c>
      <c r="B2095" t="inlineStr">
        <is>
          <t>M2</t>
        </is>
      </c>
      <c r="C2095" t="inlineStr">
        <is>
          <t>Cali</t>
        </is>
      </c>
      <c r="D2095" t="inlineStr">
        <is>
          <t>9251</t>
        </is>
      </c>
      <c r="E2095" t="inlineStr">
        <is>
          <t>TDV</t>
        </is>
      </c>
      <c r="F2095" s="23" t="n">
        <v>46268</v>
      </c>
      <c r="G2095" t="inlineStr">
        <is>
          <t>provision</t>
        </is>
      </c>
      <c r="H2095" s="26" t="n">
        <v>77304714</v>
      </c>
      <c r="I2095" t="inlineStr">
        <is>
          <t>bajo</t>
        </is>
      </c>
      <c r="J2095" t="inlineStr">
        <is>
          <t>RN-19A y RN-21: provision hasta el cupo antes de bajar del 8 %</t>
        </is>
      </c>
      <c r="K2095" t="inlineStr">
        <is>
          <t>Provision en la manana, antes del pagado: con el pronostico, sin provision el saldo bajaria del 8 % del cupo ese dia. Lleva el saldo de 35.697.286 a 113.002.000 COP (cupo 113.002.000). Equipo administrado por TDV.</t>
        </is>
      </c>
      <c r="L2095" s="26" t="n">
        <v>113002000</v>
      </c>
      <c r="M2095" s="26" t="n">
        <v>35697286</v>
      </c>
      <c r="N2095" s="27">
        <f>IF(ISNUMBER(M2095),M2095/L2095,"No aplica")</f>
        <v>0.315899594697439</v>
      </c>
      <c r="O2095" s="25">
        <f>IF(G2095="provision",M2095+H2095,IF(G2095="recoleccion",M2095-H2095,"No aplica"))</f>
        <v>113002000</v>
      </c>
      <c r="P2095" s="26" t="n">
        <v>158307</v>
      </c>
    </row>
    <row r="2096">
      <c r="A2096" t="inlineStr">
        <is>
          <t>PRAGMA</t>
        </is>
      </c>
      <c r="B2096" t="inlineStr">
        <is>
          <t>M2</t>
        </is>
      </c>
      <c r="C2096" t="inlineStr">
        <is>
          <t>Cali</t>
        </is>
      </c>
      <c r="D2096" t="inlineStr">
        <is>
          <t>9251</t>
        </is>
      </c>
      <c r="E2096" t="inlineStr">
        <is>
          <t>TDV</t>
        </is>
      </c>
      <c r="F2096" s="23" t="n">
        <v>46271</v>
      </c>
      <c r="G2096" t="inlineStr">
        <is>
          <t>provision</t>
        </is>
      </c>
      <c r="H2096" s="26" t="n">
        <v>91775539</v>
      </c>
      <c r="I2096" t="inlineStr">
        <is>
          <t>bajo</t>
        </is>
      </c>
      <c r="J2096" t="inlineStr">
        <is>
          <t>RN-19A y RN-21: provision hasta el cupo antes de bajar del 8 %</t>
        </is>
      </c>
      <c r="K2096" t="inlineStr">
        <is>
          <t>Provision en la manana, antes del pagado: con el pronostico, sin provision el saldo bajaria del 8 % del cupo ese dia. Lleva el saldo de 21.226.461 a 113.002.000 COP (cupo 113.002.000). Equipo administrado por TDV.</t>
        </is>
      </c>
      <c r="L2096" s="26" t="n">
        <v>113002000</v>
      </c>
      <c r="M2096" s="26" t="n">
        <v>21226461</v>
      </c>
      <c r="N2096" s="27">
        <f>IF(ISNUMBER(M2096),M2096/L2096,"No aplica")</f>
        <v>0.18784146298295606</v>
      </c>
      <c r="O2096" s="25">
        <f>IF(G2096="provision",M2096+H2096,IF(G2096="recoleccion",M2096-H2096,"No aplica"))</f>
        <v>113002000</v>
      </c>
      <c r="P2096" s="26" t="n">
        <v>195500</v>
      </c>
    </row>
    <row r="2097">
      <c r="A2097" t="inlineStr">
        <is>
          <t>PRAGMA</t>
        </is>
      </c>
      <c r="B2097" t="inlineStr">
        <is>
          <t>M2</t>
        </is>
      </c>
      <c r="C2097" t="inlineStr">
        <is>
          <t>Cali</t>
        </is>
      </c>
      <c r="D2097" t="inlineStr">
        <is>
          <t>9251</t>
        </is>
      </c>
      <c r="E2097" t="inlineStr">
        <is>
          <t>TDV</t>
        </is>
      </c>
      <c r="F2097" s="23" t="n">
        <v>46274</v>
      </c>
      <c r="G2097" t="inlineStr">
        <is>
          <t>recoleccion</t>
        </is>
      </c>
      <c r="H2097" s="26" t="n">
        <v>155355</v>
      </c>
      <c r="I2097" t="inlineStr">
        <is>
          <t>bajo</t>
        </is>
      </c>
      <c r="J2097" t="inlineStr">
        <is>
          <t>RN-22 y RN-35: recoleccion al cierre de lo que pasa del cupo</t>
        </is>
      </c>
      <c r="K2097" t="inlineStr">
        <is>
          <t>Recoleccion al cierre: con el pronostico, el saldo cerraria en 113.157.355 COP, sobre el cupo de 113.002.000. Se recoge el excedente y el saldo queda en 113.002.000 COP. Equipo administrado por TDV.</t>
        </is>
      </c>
      <c r="L2097" s="26" t="n">
        <v>113002000</v>
      </c>
      <c r="M2097" s="26" t="n">
        <v>113157355</v>
      </c>
      <c r="N2097" s="27">
        <f>IF(ISNUMBER(M2097),M2097/L2097,"No aplica")</f>
        <v>1.0013747986761297</v>
      </c>
      <c r="O2097" s="25">
        <f>IF(G2097="provision",M2097+H2097,IF(G2097="recoleccion",M2097-H2097,"No aplica"))</f>
        <v>113002000</v>
      </c>
      <c r="P2097" s="26" t="n">
        <v>158307</v>
      </c>
    </row>
    <row r="2098">
      <c r="A2098" t="inlineStr">
        <is>
          <t>PRAGMA</t>
        </is>
      </c>
      <c r="B2098" t="inlineStr">
        <is>
          <t>M2</t>
        </is>
      </c>
      <c r="C2098" t="inlineStr">
        <is>
          <t>Cali</t>
        </is>
      </c>
      <c r="D2098" t="inlineStr">
        <is>
          <t>9251</t>
        </is>
      </c>
      <c r="E2098" t="inlineStr">
        <is>
          <t>TDV</t>
        </is>
      </c>
      <c r="F2098" s="23" t="n">
        <v>46275</v>
      </c>
      <c r="G2098" t="inlineStr">
        <is>
          <t>recoleccion</t>
        </is>
      </c>
      <c r="H2098" s="26" t="n">
        <v>10960883</v>
      </c>
      <c r="I2098" t="inlineStr">
        <is>
          <t>bajo</t>
        </is>
      </c>
      <c r="J2098" t="inlineStr">
        <is>
          <t>RN-22 y RN-35: recoleccion al cierre de lo que pasa del cupo</t>
        </is>
      </c>
      <c r="K2098" t="inlineStr">
        <is>
          <t>Recoleccion al cierre: con el pronostico, el saldo cerraria en 123.962.883 COP, sobre el cupo de 113.002.000. Se recoge el excedente y el saldo queda en 113.002.000 COP. Equipo administrado por TDV.</t>
        </is>
      </c>
      <c r="L2098" s="26" t="n">
        <v>113002000</v>
      </c>
      <c r="M2098" s="26" t="n">
        <v>123962883</v>
      </c>
      <c r="N2098" s="27">
        <f>IF(ISNUMBER(M2098),M2098/L2098,"No aplica")</f>
        <v>1.0969972478363215</v>
      </c>
      <c r="O2098" s="25">
        <f>IF(G2098="provision",M2098+H2098,IF(G2098="recoleccion",M2098-H2098,"No aplica"))</f>
        <v>113002000</v>
      </c>
      <c r="P2098" s="26" t="n">
        <v>158307</v>
      </c>
    </row>
    <row r="2099">
      <c r="A2099" t="inlineStr">
        <is>
          <t>PRAGMA</t>
        </is>
      </c>
      <c r="B2099" t="inlineStr">
        <is>
          <t>M2</t>
        </is>
      </c>
      <c r="C2099" t="inlineStr">
        <is>
          <t>Cali</t>
        </is>
      </c>
      <c r="D2099" t="inlineStr">
        <is>
          <t>9311</t>
        </is>
      </c>
      <c r="E2099" t="inlineStr">
        <is>
          <t>Sucursal</t>
        </is>
      </c>
      <c r="F2099" s="23" t="n">
        <v>46267</v>
      </c>
      <c r="G2099" t="inlineStr">
        <is>
          <t>provision</t>
        </is>
      </c>
      <c r="H2099" s="26" t="n">
        <v>85502000</v>
      </c>
      <c r="I2099" t="inlineStr">
        <is>
          <t>bajo</t>
        </is>
      </c>
      <c r="J2099" t="inlineStr">
        <is>
          <t>RN-19A y RN-21: provision hasta el cupo antes de bajar del 8 %</t>
        </is>
      </c>
      <c r="K2099" t="inlineStr">
        <is>
          <t>Provision en la manana, antes del pagado: con el pronostico, sin provision el saldo bajaria del 8 % del cupo ese dia. Lleva el saldo de 0 a 85.502.000 COP (cupo 85.502.000). Equipo administrado por Sucursal. Sin tarifa TDV (administrado por la sucursal): costo 0 declarado.</t>
        </is>
      </c>
      <c r="L2099" s="26" t="n">
        <v>85502000</v>
      </c>
      <c r="M2099" s="26" t="n">
        <v>0</v>
      </c>
      <c r="N2099" s="27">
        <f>IF(ISNUMBER(M2099),M2099/L2099,"No aplica")</f>
        <v>0</v>
      </c>
      <c r="O2099" s="25">
        <f>IF(G2099="provision",M2099+H2099,IF(G2099="recoleccion",M2099-H2099,"No aplica"))</f>
        <v>85502000</v>
      </c>
      <c r="P2099" s="26" t="n">
        <v>0</v>
      </c>
    </row>
    <row r="2100">
      <c r="A2100" t="inlineStr">
        <is>
          <t>PRAGMA</t>
        </is>
      </c>
      <c r="B2100" t="inlineStr">
        <is>
          <t>M2</t>
        </is>
      </c>
      <c r="C2100" t="inlineStr">
        <is>
          <t>Cali</t>
        </is>
      </c>
      <c r="D2100" t="inlineStr">
        <is>
          <t>9311</t>
        </is>
      </c>
      <c r="E2100" t="inlineStr">
        <is>
          <t>Sucursal</t>
        </is>
      </c>
      <c r="F2100" s="23" t="n">
        <v>46268</v>
      </c>
      <c r="G2100" t="inlineStr">
        <is>
          <t>provision</t>
        </is>
      </c>
      <c r="H2100" s="26" t="n">
        <v>68912327</v>
      </c>
      <c r="I2100" t="inlineStr">
        <is>
          <t>bajo</t>
        </is>
      </c>
      <c r="J2100" t="inlineStr">
        <is>
          <t>RN-19A y RN-21: provision hasta el cupo antes de bajar del 8 %</t>
        </is>
      </c>
      <c r="K2100" t="inlineStr">
        <is>
          <t>Provision en la manana, antes del pagado: con el pronostico, sin provision el saldo bajaria del 8 % del cupo ese dia. Lleva el saldo de 16.589.673 a 85.502.000 COP (cupo 85.502.000). Equipo administrado por Sucursal. Sin tarifa TDV (administrado por la sucursal): costo 0 declarado.</t>
        </is>
      </c>
      <c r="L2100" s="26" t="n">
        <v>85502000</v>
      </c>
      <c r="M2100" s="26" t="n">
        <v>16589673</v>
      </c>
      <c r="N2100" s="27">
        <f>IF(ISNUMBER(M2100),M2100/L2100,"No aplica")</f>
        <v>0.19402672452106384</v>
      </c>
      <c r="O2100" s="25">
        <f>IF(G2100="provision",M2100+H2100,IF(G2100="recoleccion",M2100-H2100,"No aplica"))</f>
        <v>85502000</v>
      </c>
      <c r="P2100" s="26" t="n">
        <v>0</v>
      </c>
    </row>
    <row r="2101">
      <c r="A2101" t="inlineStr">
        <is>
          <t>PRAGMA</t>
        </is>
      </c>
      <c r="B2101" t="inlineStr">
        <is>
          <t>M2</t>
        </is>
      </c>
      <c r="C2101" t="inlineStr">
        <is>
          <t>Cali</t>
        </is>
      </c>
      <c r="D2101" t="inlineStr">
        <is>
          <t>9311</t>
        </is>
      </c>
      <c r="E2101" t="inlineStr">
        <is>
          <t>Sucursal</t>
        </is>
      </c>
      <c r="F2101" s="23" t="n">
        <v>46269</v>
      </c>
      <c r="G2101" t="inlineStr">
        <is>
          <t>provision</t>
        </is>
      </c>
      <c r="H2101" s="26" t="n">
        <v>72559434</v>
      </c>
      <c r="I2101" t="inlineStr">
        <is>
          <t>bajo</t>
        </is>
      </c>
      <c r="J2101" t="inlineStr">
        <is>
          <t>RN-19A y RN-21: provision hasta el cupo antes de bajar del 8 %</t>
        </is>
      </c>
      <c r="K2101" t="inlineStr">
        <is>
          <t>Provision en la manana, antes del pagado: con el pronostico, sin provision el saldo bajaria del 8 % del cupo ese dia. Lleva el saldo de 12.942.566 a 85.502.000 COP (cupo 85.502.000). Equipo administrado por Sucursal. Sin tarifa TDV (administrado por la sucursal): costo 0 declarado.</t>
        </is>
      </c>
      <c r="L2101" s="26" t="n">
        <v>85502000</v>
      </c>
      <c r="M2101" s="26" t="n">
        <v>12942566</v>
      </c>
      <c r="N2101" s="27">
        <f>IF(ISNUMBER(M2101),M2101/L2101,"No aplica")</f>
        <v>0.15137150008186942</v>
      </c>
      <c r="O2101" s="25">
        <f>IF(G2101="provision",M2101+H2101,IF(G2101="recoleccion",M2101-H2101,"No aplica"))</f>
        <v>85502000</v>
      </c>
      <c r="P2101" s="26" t="n">
        <v>0</v>
      </c>
    </row>
    <row r="2102">
      <c r="A2102" t="inlineStr">
        <is>
          <t>PRAGMA</t>
        </is>
      </c>
      <c r="B2102" t="inlineStr">
        <is>
          <t>M2</t>
        </is>
      </c>
      <c r="C2102" t="inlineStr">
        <is>
          <t>Cali</t>
        </is>
      </c>
      <c r="D2102" t="inlineStr">
        <is>
          <t>9311</t>
        </is>
      </c>
      <c r="E2102" t="inlineStr">
        <is>
          <t>Sucursal</t>
        </is>
      </c>
      <c r="F2102" s="23" t="n">
        <v>46270</v>
      </c>
      <c r="G2102" t="inlineStr">
        <is>
          <t>provision</t>
        </is>
      </c>
      <c r="H2102" s="26" t="n">
        <v>77873278</v>
      </c>
      <c r="I2102" t="inlineStr">
        <is>
          <t>bajo</t>
        </is>
      </c>
      <c r="J2102" t="inlineStr">
        <is>
          <t>RN-19A y RN-21: provision hasta el cupo antes de bajar del 8 %</t>
        </is>
      </c>
      <c r="K2102" t="inlineStr">
        <is>
          <t>Provision en la manana, antes del pagado: con el pronostico, sin provision el saldo bajaria del 8 % del cupo ese dia. Lleva el saldo de 7.628.722 a 85.502.000 COP (cupo 85.502.000). Equipo administrado por Sucursal. Sin tarifa TDV (administrado por la sucursal): costo 0 declarado.</t>
        </is>
      </c>
      <c r="L2102" s="26" t="n">
        <v>85502000</v>
      </c>
      <c r="M2102" s="26" t="n">
        <v>7628722</v>
      </c>
      <c r="N2102" s="27">
        <f>IF(ISNUMBER(M2102),M2102/L2102,"No aplica")</f>
        <v>0.08922273163200861</v>
      </c>
      <c r="O2102" s="25">
        <f>IF(G2102="provision",M2102+H2102,IF(G2102="recoleccion",M2102-H2102,"No aplica"))</f>
        <v>85502000</v>
      </c>
      <c r="P2102" s="26" t="n">
        <v>0</v>
      </c>
    </row>
    <row r="2103">
      <c r="A2103" t="inlineStr">
        <is>
          <t>PRAGMA</t>
        </is>
      </c>
      <c r="B2103" t="inlineStr">
        <is>
          <t>M2</t>
        </is>
      </c>
      <c r="C2103" t="inlineStr">
        <is>
          <t>Cali</t>
        </is>
      </c>
      <c r="D2103" t="inlineStr">
        <is>
          <t>9311</t>
        </is>
      </c>
      <c r="E2103" t="inlineStr">
        <is>
          <t>Sucursal</t>
        </is>
      </c>
      <c r="F2103" s="23" t="n">
        <v>46271</v>
      </c>
      <c r="G2103" t="inlineStr">
        <is>
          <t>provision</t>
        </is>
      </c>
      <c r="H2103" s="26" t="n">
        <v>74303906</v>
      </c>
      <c r="I2103" t="inlineStr">
        <is>
          <t>bajo</t>
        </is>
      </c>
      <c r="J2103" t="inlineStr">
        <is>
          <t>RN-19A y RN-21: provision hasta el cupo antes de bajar del 8 %</t>
        </is>
      </c>
      <c r="K2103" t="inlineStr">
        <is>
          <t>Provision en la manana, antes del pagado: con el pronostico, sin provision el saldo bajaria del 8 % del cupo ese dia. Lleva el saldo de 11.198.094 a 85.502.000 COP (cupo 85.502.000). Equipo administrado por Sucursal. Sin tarifa TDV (administrado por la sucursal): costo 0 declarado.</t>
        </is>
      </c>
      <c r="L2103" s="26" t="n">
        <v>85502000</v>
      </c>
      <c r="M2103" s="26" t="n">
        <v>11198094</v>
      </c>
      <c r="N2103" s="27">
        <f>IF(ISNUMBER(M2103),M2103/L2103,"No aplica")</f>
        <v>0.13096879605155434</v>
      </c>
      <c r="O2103" s="25">
        <f>IF(G2103="provision",M2103+H2103,IF(G2103="recoleccion",M2103-H2103,"No aplica"))</f>
        <v>85502000</v>
      </c>
      <c r="P2103" s="26" t="n">
        <v>0</v>
      </c>
    </row>
    <row r="2104">
      <c r="A2104" t="inlineStr">
        <is>
          <t>PRAGMA</t>
        </is>
      </c>
      <c r="B2104" t="inlineStr">
        <is>
          <t>M2</t>
        </is>
      </c>
      <c r="C2104" t="inlineStr">
        <is>
          <t>Cali</t>
        </is>
      </c>
      <c r="D2104" t="inlineStr">
        <is>
          <t>9311</t>
        </is>
      </c>
      <c r="E2104" t="inlineStr">
        <is>
          <t>Sucursal</t>
        </is>
      </c>
      <c r="F2104" s="23" t="n">
        <v>46273</v>
      </c>
      <c r="G2104" t="inlineStr">
        <is>
          <t>provision</t>
        </is>
      </c>
      <c r="H2104" s="26" t="n">
        <v>75822513</v>
      </c>
      <c r="I2104" t="inlineStr">
        <is>
          <t>bajo</t>
        </is>
      </c>
      <c r="J2104" t="inlineStr">
        <is>
          <t>RN-19A y RN-21: provision hasta el cupo antes de bajar del 8 %</t>
        </is>
      </c>
      <c r="K2104" t="inlineStr">
        <is>
          <t>Provision en la manana, antes del pagado: con el pronostico, sin provision el saldo bajaria del 8 % del cupo ese dia. Lleva el saldo de 9.679.487 a 85.502.000 COP (cupo 85.502.000). Equipo administrado por Sucursal. Sin tarifa TDV (administrado por la sucursal): costo 0 declarado.</t>
        </is>
      </c>
      <c r="L2104" s="26" t="n">
        <v>85502000</v>
      </c>
      <c r="M2104" s="26" t="n">
        <v>9679487</v>
      </c>
      <c r="N2104" s="27">
        <f>IF(ISNUMBER(M2104),M2104/L2104,"No aplica")</f>
        <v>0.11320772613506117</v>
      </c>
      <c r="O2104" s="25">
        <f>IF(G2104="provision",M2104+H2104,IF(G2104="recoleccion",M2104-H2104,"No aplica"))</f>
        <v>85502000</v>
      </c>
      <c r="P2104" s="26" t="n">
        <v>0</v>
      </c>
    </row>
    <row r="2105">
      <c r="A2105" t="inlineStr">
        <is>
          <t>PRAGMA</t>
        </is>
      </c>
      <c r="B2105" t="inlineStr">
        <is>
          <t>M2</t>
        </is>
      </c>
      <c r="C2105" t="inlineStr">
        <is>
          <t>Cali</t>
        </is>
      </c>
      <c r="D2105" t="inlineStr">
        <is>
          <t>9311</t>
        </is>
      </c>
      <c r="E2105" t="inlineStr">
        <is>
          <t>Sucursal</t>
        </is>
      </c>
      <c r="F2105" s="23" t="n">
        <v>46274</v>
      </c>
      <c r="G2105" t="inlineStr">
        <is>
          <t>provision</t>
        </is>
      </c>
      <c r="H2105" s="26" t="n">
        <v>43155234</v>
      </c>
      <c r="I2105" t="inlineStr">
        <is>
          <t>bajo</t>
        </is>
      </c>
      <c r="J2105" t="inlineStr">
        <is>
          <t>RN-19A y RN-21: provision hasta el cupo antes de bajar del 8 %</t>
        </is>
      </c>
      <c r="K2105" t="inlineStr">
        <is>
          <t>Provision en la manana, antes del pagado: con el pronostico, sin provision el saldo bajaria del 8 % del cupo ese dia. Lleva el saldo de 42.346.766 a 85.502.000 COP (cupo 85.502.000). Equipo administrado por Sucursal. Sin tarifa TDV (administrado por la sucursal): costo 0 declarado.</t>
        </is>
      </c>
      <c r="L2105" s="26" t="n">
        <v>85502000</v>
      </c>
      <c r="M2105" s="26" t="n">
        <v>42346766</v>
      </c>
      <c r="N2105" s="27">
        <f>IF(ISNUMBER(M2105),M2105/L2105,"No aplica")</f>
        <v>0.49527222755023276</v>
      </c>
      <c r="O2105" s="25">
        <f>IF(G2105="provision",M2105+H2105,IF(G2105="recoleccion",M2105-H2105,"No aplica"))</f>
        <v>85502000</v>
      </c>
      <c r="P2105" s="26" t="n">
        <v>0</v>
      </c>
    </row>
    <row r="2106">
      <c r="A2106" t="inlineStr">
        <is>
          <t>PRAGMA</t>
        </is>
      </c>
      <c r="B2106" t="inlineStr">
        <is>
          <t>M2</t>
        </is>
      </c>
      <c r="C2106" t="inlineStr">
        <is>
          <t>Cali</t>
        </is>
      </c>
      <c r="D2106" t="inlineStr">
        <is>
          <t>9311</t>
        </is>
      </c>
      <c r="E2106" t="inlineStr">
        <is>
          <t>Sucursal</t>
        </is>
      </c>
      <c r="F2106" s="23" t="n">
        <v>46275</v>
      </c>
      <c r="G2106" t="inlineStr">
        <is>
          <t>provision</t>
        </is>
      </c>
      <c r="H2106" s="26" t="n">
        <v>47557062</v>
      </c>
      <c r="I2106" t="inlineStr">
        <is>
          <t>bajo</t>
        </is>
      </c>
      <c r="J2106" t="inlineStr">
        <is>
          <t>RN-19A y RN-21: provision hasta el cupo antes de bajar del 8 %</t>
        </is>
      </c>
      <c r="K2106" t="inlineStr">
        <is>
          <t>Provision en la manana, antes del pagado: con el pronostico, sin provision el saldo bajaria del 8 % del cupo ese dia. Lleva el saldo de 37.944.938 a 85.502.000 COP (cupo 85.502.000). Equipo administrado por Sucursal. Sin tarifa TDV (administrado por la sucursal): costo 0 declarado.</t>
        </is>
      </c>
      <c r="L2106" s="26" t="n">
        <v>85502000</v>
      </c>
      <c r="M2106" s="26" t="n">
        <v>37944938</v>
      </c>
      <c r="N2106" s="27">
        <f>IF(ISNUMBER(M2106),M2106/L2106,"No aplica")</f>
        <v>0.44379006339033006</v>
      </c>
      <c r="O2106" s="25">
        <f>IF(G2106="provision",M2106+H2106,IF(G2106="recoleccion",M2106-H2106,"No aplica"))</f>
        <v>85502000</v>
      </c>
      <c r="P2106" s="26" t="n">
        <v>0</v>
      </c>
    </row>
    <row r="2107">
      <c r="A2107" t="inlineStr">
        <is>
          <t>PRAGMA</t>
        </is>
      </c>
      <c r="B2107" t="inlineStr">
        <is>
          <t>M2</t>
        </is>
      </c>
      <c r="C2107" t="inlineStr">
        <is>
          <t>Cali</t>
        </is>
      </c>
      <c r="D2107" t="inlineStr">
        <is>
          <t>9311</t>
        </is>
      </c>
      <c r="E2107" t="inlineStr">
        <is>
          <t>Sucursal</t>
        </is>
      </c>
      <c r="F2107" s="23" t="n">
        <v>46276</v>
      </c>
      <c r="G2107" t="inlineStr">
        <is>
          <t>provision</t>
        </is>
      </c>
      <c r="H2107" s="26" t="n">
        <v>47371025</v>
      </c>
      <c r="I2107" t="inlineStr">
        <is>
          <t>bajo</t>
        </is>
      </c>
      <c r="J2107" t="inlineStr">
        <is>
          <t>RN-19A y RN-21: provision hasta el cupo antes de bajar del 8 %</t>
        </is>
      </c>
      <c r="K2107" t="inlineStr">
        <is>
          <t>Provision en la manana, antes del pagado: con el pronostico, sin provision el saldo bajaria del 8 % del cupo ese dia. Lleva el saldo de 38.130.975 a 85.502.000 COP (cupo 85.502.000). Equipo administrado por Sucursal. Sin tarifa TDV (administrado por la sucursal): costo 0 declarado.</t>
        </is>
      </c>
      <c r="L2107" s="26" t="n">
        <v>85502000</v>
      </c>
      <c r="M2107" s="26" t="n">
        <v>38130975</v>
      </c>
      <c r="N2107" s="27">
        <f>IF(ISNUMBER(M2107),M2107/L2107,"No aplica")</f>
        <v>0.4459658838389745</v>
      </c>
      <c r="O2107" s="25">
        <f>IF(G2107="provision",M2107+H2107,IF(G2107="recoleccion",M2107-H2107,"No aplica"))</f>
        <v>85502000</v>
      </c>
      <c r="P2107" s="26" t="n">
        <v>0</v>
      </c>
    </row>
    <row r="2108">
      <c r="A2108" t="inlineStr">
        <is>
          <t>PRAGMA</t>
        </is>
      </c>
      <c r="B2108" t="inlineStr">
        <is>
          <t>M2</t>
        </is>
      </c>
      <c r="C2108" t="inlineStr">
        <is>
          <t>Cali</t>
        </is>
      </c>
      <c r="D2108" t="inlineStr">
        <is>
          <t>9311</t>
        </is>
      </c>
      <c r="E2108" t="inlineStr">
        <is>
          <t>Sucursal</t>
        </is>
      </c>
      <c r="F2108" s="23" t="n">
        <v>46277</v>
      </c>
      <c r="G2108" t="inlineStr">
        <is>
          <t>provision</t>
        </is>
      </c>
      <c r="H2108" s="26" t="n">
        <v>63322364</v>
      </c>
      <c r="I2108" t="inlineStr">
        <is>
          <t>bajo</t>
        </is>
      </c>
      <c r="J2108" t="inlineStr">
        <is>
          <t>RN-19A y RN-21: provision hasta el cupo antes de bajar del 8 %</t>
        </is>
      </c>
      <c r="K2108" t="inlineStr">
        <is>
          <t>Provision en la manana, antes del pagado: con el pronostico, sin provision el saldo bajaria del 8 % del cupo ese dia. Lleva el saldo de 22.179.636 a 85.502.000 COP (cupo 85.502.000). Equipo administrado por Sucursal. Sin tarifa TDV (administrado por la sucursal): costo 0 declarado.</t>
        </is>
      </c>
      <c r="L2108" s="26" t="n">
        <v>85502000</v>
      </c>
      <c r="M2108" s="26" t="n">
        <v>22179636</v>
      </c>
      <c r="N2108" s="27">
        <f>IF(ISNUMBER(M2108),M2108/L2108,"No aplica")</f>
        <v>0.2594048794180253</v>
      </c>
      <c r="O2108" s="25">
        <f>IF(G2108="provision",M2108+H2108,IF(G2108="recoleccion",M2108-H2108,"No aplica"))</f>
        <v>85502000</v>
      </c>
      <c r="P2108" s="26" t="n">
        <v>0</v>
      </c>
    </row>
    <row r="2109">
      <c r="A2109" t="inlineStr">
        <is>
          <t>PRAGMA</t>
        </is>
      </c>
      <c r="B2109" t="inlineStr">
        <is>
          <t>M2</t>
        </is>
      </c>
      <c r="C2109" t="inlineStr">
        <is>
          <t>Cali</t>
        </is>
      </c>
      <c r="D2109" t="inlineStr">
        <is>
          <t>9311</t>
        </is>
      </c>
      <c r="E2109" t="inlineStr">
        <is>
          <t>Sucursal</t>
        </is>
      </c>
      <c r="F2109" s="23" t="n">
        <v>46278</v>
      </c>
      <c r="G2109" t="inlineStr">
        <is>
          <t>provision</t>
        </is>
      </c>
      <c r="H2109" s="26" t="n">
        <v>65029677</v>
      </c>
      <c r="I2109" t="inlineStr">
        <is>
          <t>bajo</t>
        </is>
      </c>
      <c r="J2109" t="inlineStr">
        <is>
          <t>RN-19A y RN-21: provision hasta el cupo antes de bajar del 8 %</t>
        </is>
      </c>
      <c r="K2109" t="inlineStr">
        <is>
          <t>Provision en la manana, antes del pagado: con el pronostico, sin provision el saldo bajaria del 8 % del cupo ese dia. Lleva el saldo de 20.472.323 a 85.502.000 COP (cupo 85.502.000). Equipo administrado por Sucursal. Sin tarifa TDV (administrado por la sucursal): costo 0 declarado.</t>
        </is>
      </c>
      <c r="L2109" s="26" t="n">
        <v>85502000</v>
      </c>
      <c r="M2109" s="26" t="n">
        <v>20472323</v>
      </c>
      <c r="N2109" s="27">
        <f>IF(ISNUMBER(M2109),M2109/L2109,"No aplica")</f>
        <v>0.23943677340880914</v>
      </c>
      <c r="O2109" s="25">
        <f>IF(G2109="provision",M2109+H2109,IF(G2109="recoleccion",M2109-H2109,"No aplica"))</f>
        <v>85502000</v>
      </c>
      <c r="P2109" s="26" t="n">
        <v>0</v>
      </c>
    </row>
    <row r="2110">
      <c r="A2110" t="inlineStr">
        <is>
          <t>PRAGMA</t>
        </is>
      </c>
      <c r="B2110" t="inlineStr">
        <is>
          <t>M2</t>
        </is>
      </c>
      <c r="C2110" t="inlineStr">
        <is>
          <t>Cali</t>
        </is>
      </c>
      <c r="D2110" t="inlineStr">
        <is>
          <t>9311</t>
        </is>
      </c>
      <c r="E2110" t="inlineStr">
        <is>
          <t>Sucursal</t>
        </is>
      </c>
      <c r="F2110" s="23" t="n">
        <v>46280</v>
      </c>
      <c r="G2110" t="inlineStr">
        <is>
          <t>provision</t>
        </is>
      </c>
      <c r="H2110" s="26" t="n">
        <v>67231664</v>
      </c>
      <c r="I2110" t="inlineStr">
        <is>
          <t>bajo</t>
        </is>
      </c>
      <c r="J2110" t="inlineStr">
        <is>
          <t>RN-19A y RN-21: provision hasta el cupo antes de bajar del 8 %</t>
        </is>
      </c>
      <c r="K2110" t="inlineStr">
        <is>
          <t>Provision en la manana, antes del pagado: con el pronostico, sin provision el saldo bajaria del 8 % del cupo ese dia. Lleva el saldo de 18.270.336 a 85.502.000 COP (cupo 85.502.000). Equipo administrado por Sucursal. Sin tarifa TDV (administrado por la sucursal): costo 0 declarado.</t>
        </is>
      </c>
      <c r="L2110" s="26" t="n">
        <v>85502000</v>
      </c>
      <c r="M2110" s="26" t="n">
        <v>18270336</v>
      </c>
      <c r="N2110" s="27">
        <f>IF(ISNUMBER(M2110),M2110/L2110,"No aplica")</f>
        <v>0.213683141914809</v>
      </c>
      <c r="O2110" s="25">
        <f>IF(G2110="provision",M2110+H2110,IF(G2110="recoleccion",M2110-H2110,"No aplica"))</f>
        <v>85502000</v>
      </c>
      <c r="P2110" s="26" t="n">
        <v>0</v>
      </c>
    </row>
    <row r="2111">
      <c r="A2111" t="inlineStr">
        <is>
          <t>PRAGMA</t>
        </is>
      </c>
      <c r="B2111" t="inlineStr">
        <is>
          <t>M2</t>
        </is>
      </c>
      <c r="C2111" t="inlineStr">
        <is>
          <t>Cali</t>
        </is>
      </c>
      <c r="D2111" t="inlineStr">
        <is>
          <t>9650</t>
        </is>
      </c>
      <c r="E2111" t="inlineStr">
        <is>
          <t>TDV</t>
        </is>
      </c>
      <c r="F2111" s="23" t="n">
        <v>46266</v>
      </c>
      <c r="G2111" t="inlineStr">
        <is>
          <t>recoleccion</t>
        </is>
      </c>
      <c r="H2111" s="26" t="n">
        <v>71420997</v>
      </c>
      <c r="I2111" t="inlineStr">
        <is>
          <t>bajo</t>
        </is>
      </c>
      <c r="J2111" t="inlineStr">
        <is>
          <t>RN-22 y RN-35: recoleccion al cierre de lo que pasa del cupo</t>
        </is>
      </c>
      <c r="K2111" t="inlineStr">
        <is>
          <t>Recoleccion al cierre: con el pronostico, el saldo cerraria en 96.422.997 COP, sobre el cupo de 25.002.000. Se recoge el excedente y el saldo queda en 25.002.000 COP. Equipo administrado por TDV.</t>
        </is>
      </c>
      <c r="L2111" s="26" t="n">
        <v>25002000</v>
      </c>
      <c r="M2111" s="26" t="n">
        <v>96422997</v>
      </c>
      <c r="N2111" s="27">
        <f>IF(ISNUMBER(M2111),M2111/L2111,"No aplica")</f>
        <v>3.8566113510919124</v>
      </c>
      <c r="O2111" s="25">
        <f>IF(G2111="provision",M2111+H2111,IF(G2111="recoleccion",M2111-H2111,"No aplica"))</f>
        <v>25002000</v>
      </c>
      <c r="P2111" s="26" t="n">
        <v>158012</v>
      </c>
    </row>
    <row r="2112">
      <c r="A2112" t="inlineStr">
        <is>
          <t>PRAGMA</t>
        </is>
      </c>
      <c r="B2112" t="inlineStr">
        <is>
          <t>M2</t>
        </is>
      </c>
      <c r="C2112" t="inlineStr">
        <is>
          <t>Cali</t>
        </is>
      </c>
      <c r="D2112" t="inlineStr">
        <is>
          <t>9650</t>
        </is>
      </c>
      <c r="E2112" t="inlineStr">
        <is>
          <t>TDV</t>
        </is>
      </c>
      <c r="F2112" s="23" t="n">
        <v>46267</v>
      </c>
      <c r="G2112" t="inlineStr">
        <is>
          <t>recoleccion</t>
        </is>
      </c>
      <c r="H2112" s="26" t="n">
        <v>83571004</v>
      </c>
      <c r="I2112" t="inlineStr">
        <is>
          <t>bajo</t>
        </is>
      </c>
      <c r="J2112" t="inlineStr">
        <is>
          <t>RN-22 y RN-35: recoleccion al cierre de lo que pasa del cupo</t>
        </is>
      </c>
      <c r="K2112" t="inlineStr">
        <is>
          <t>Recoleccion al cierre: con el pronostico, el saldo cerraria en 108.573.004 COP, sobre el cupo de 25.002.000. Se recoge el excedente y el saldo queda en 25.002.000 COP. Equipo administrado por TDV.</t>
        </is>
      </c>
      <c r="L2112" s="26" t="n">
        <v>25002000</v>
      </c>
      <c r="M2112" s="26" t="n">
        <v>108573004</v>
      </c>
      <c r="N2112" s="27">
        <f>IF(ISNUMBER(M2112),M2112/L2112,"No aplica")</f>
        <v>4.342572754179666</v>
      </c>
      <c r="O2112" s="25">
        <f>IF(G2112="provision",M2112+H2112,IF(G2112="recoleccion",M2112-H2112,"No aplica"))</f>
        <v>25002000</v>
      </c>
      <c r="P2112" s="26" t="n">
        <v>158012</v>
      </c>
    </row>
    <row r="2113">
      <c r="A2113" t="inlineStr">
        <is>
          <t>PRAGMA</t>
        </is>
      </c>
      <c r="B2113" t="inlineStr">
        <is>
          <t>M2</t>
        </is>
      </c>
      <c r="C2113" t="inlineStr">
        <is>
          <t>Cali</t>
        </is>
      </c>
      <c r="D2113" t="inlineStr">
        <is>
          <t>9650</t>
        </is>
      </c>
      <c r="E2113" t="inlineStr">
        <is>
          <t>TDV</t>
        </is>
      </c>
      <c r="F2113" s="23" t="n">
        <v>46268</v>
      </c>
      <c r="G2113" t="inlineStr">
        <is>
          <t>recoleccion</t>
        </is>
      </c>
      <c r="H2113" s="26" t="n">
        <v>75056401</v>
      </c>
      <c r="I2113" t="inlineStr">
        <is>
          <t>bajo</t>
        </is>
      </c>
      <c r="J2113" t="inlineStr">
        <is>
          <t>RN-22 y RN-35: recoleccion al cierre de lo que pasa del cupo</t>
        </is>
      </c>
      <c r="K2113" t="inlineStr">
        <is>
          <t>Recoleccion al cierre: con el pronostico, el saldo cerraria en 100.058.401 COP, sobre el cupo de 25.002.000. Se recoge el excedente y el saldo queda en 25.002.000 COP. Equipo administrado por TDV.</t>
        </is>
      </c>
      <c r="L2113" s="26" t="n">
        <v>25002000</v>
      </c>
      <c r="M2113" s="26" t="n">
        <v>100058401</v>
      </c>
      <c r="N2113" s="27">
        <f>IF(ISNUMBER(M2113),M2113/L2113,"No aplica")</f>
        <v>4.0020158787297015</v>
      </c>
      <c r="O2113" s="25">
        <f>IF(G2113="provision",M2113+H2113,IF(G2113="recoleccion",M2113-H2113,"No aplica"))</f>
        <v>25002000</v>
      </c>
      <c r="P2113" s="26" t="n">
        <v>158012</v>
      </c>
    </row>
    <row r="2114">
      <c r="A2114" t="inlineStr">
        <is>
          <t>PRAGMA</t>
        </is>
      </c>
      <c r="B2114" t="inlineStr">
        <is>
          <t>M2</t>
        </is>
      </c>
      <c r="C2114" t="inlineStr">
        <is>
          <t>Cali</t>
        </is>
      </c>
      <c r="D2114" t="inlineStr">
        <is>
          <t>9650</t>
        </is>
      </c>
      <c r="E2114" t="inlineStr">
        <is>
          <t>TDV</t>
        </is>
      </c>
      <c r="F2114" s="23" t="n">
        <v>46269</v>
      </c>
      <c r="G2114" t="inlineStr">
        <is>
          <t>recoleccion</t>
        </is>
      </c>
      <c r="H2114" s="26" t="n">
        <v>87810691</v>
      </c>
      <c r="I2114" t="inlineStr">
        <is>
          <t>bajo</t>
        </is>
      </c>
      <c r="J2114" t="inlineStr">
        <is>
          <t>RN-22 y RN-35: recoleccion al cierre de lo que pasa del cupo</t>
        </is>
      </c>
      <c r="K2114" t="inlineStr">
        <is>
          <t>Recoleccion al cierre: con el pronostico, el saldo cerraria en 112.812.691 COP, sobre el cupo de 25.002.000. Se recoge el excedente y el saldo queda en 25.002.000 COP. Equipo administrado por TDV.</t>
        </is>
      </c>
      <c r="L2114" s="26" t="n">
        <v>25002000</v>
      </c>
      <c r="M2114" s="26" t="n">
        <v>112812691</v>
      </c>
      <c r="N2114" s="27">
        <f>IF(ISNUMBER(M2114),M2114/L2114,"No aplica")</f>
        <v>4.5121466682665385</v>
      </c>
      <c r="O2114" s="25">
        <f>IF(G2114="provision",M2114+H2114,IF(G2114="recoleccion",M2114-H2114,"No aplica"))</f>
        <v>25002000</v>
      </c>
      <c r="P2114" s="26" t="n">
        <v>158012</v>
      </c>
    </row>
    <row r="2115">
      <c r="A2115" t="inlineStr">
        <is>
          <t>PRAGMA</t>
        </is>
      </c>
      <c r="B2115" t="inlineStr">
        <is>
          <t>M2</t>
        </is>
      </c>
      <c r="C2115" t="inlineStr">
        <is>
          <t>Cali</t>
        </is>
      </c>
      <c r="D2115" t="inlineStr">
        <is>
          <t>9650</t>
        </is>
      </c>
      <c r="E2115" t="inlineStr">
        <is>
          <t>TDV</t>
        </is>
      </c>
      <c r="F2115" s="23" t="n">
        <v>46270</v>
      </c>
      <c r="G2115" t="inlineStr">
        <is>
          <t>recoleccion</t>
        </is>
      </c>
      <c r="H2115" s="26" t="n">
        <v>67369661</v>
      </c>
      <c r="I2115" t="inlineStr">
        <is>
          <t>bajo</t>
        </is>
      </c>
      <c r="J2115" t="inlineStr">
        <is>
          <t>RN-22 y RN-35: recoleccion al cierre de lo que pasa del cupo</t>
        </is>
      </c>
      <c r="K2115" t="inlineStr">
        <is>
          <t>Recoleccion al cierre: con el pronostico, el saldo cerraria en 92.371.661 COP, sobre el cupo de 25.002.000. Se recoge el excedente y el saldo queda en 25.002.000 COP. Equipo administrado por TDV.</t>
        </is>
      </c>
      <c r="L2115" s="26" t="n">
        <v>25002000</v>
      </c>
      <c r="M2115" s="26" t="n">
        <v>92371661</v>
      </c>
      <c r="N2115" s="27">
        <f>IF(ISNUMBER(M2115),M2115/L2115,"No aplica")</f>
        <v>3.6945708743300534</v>
      </c>
      <c r="O2115" s="25">
        <f>IF(G2115="provision",M2115+H2115,IF(G2115="recoleccion",M2115-H2115,"No aplica"))</f>
        <v>25002000</v>
      </c>
      <c r="P2115" s="26" t="n">
        <v>158012</v>
      </c>
    </row>
    <row r="2116">
      <c r="A2116" t="inlineStr">
        <is>
          <t>PRAGMA</t>
        </is>
      </c>
      <c r="B2116" t="inlineStr">
        <is>
          <t>M2</t>
        </is>
      </c>
      <c r="C2116" t="inlineStr">
        <is>
          <t>Cali</t>
        </is>
      </c>
      <c r="D2116" t="inlineStr">
        <is>
          <t>9650</t>
        </is>
      </c>
      <c r="E2116" t="inlineStr">
        <is>
          <t>TDV</t>
        </is>
      </c>
      <c r="F2116" s="23" t="n">
        <v>46272</v>
      </c>
      <c r="G2116" t="inlineStr">
        <is>
          <t>recoleccion</t>
        </is>
      </c>
      <c r="H2116" s="26" t="n">
        <v>107050425</v>
      </c>
      <c r="I2116" t="inlineStr">
        <is>
          <t>bajo</t>
        </is>
      </c>
      <c r="J2116" t="inlineStr">
        <is>
          <t>RN-22 y RN-35: recoleccion al cierre de lo que pasa del cupo</t>
        </is>
      </c>
      <c r="K2116" t="inlineStr">
        <is>
          <t>Recoleccion al cierre: con el pronostico, el saldo cerraria en 132.052.425 COP, sobre el cupo de 25.002.000. Se recoge el excedente y el saldo queda en 25.002.000 COP. Equipo administrado por TDV.</t>
        </is>
      </c>
      <c r="L2116" s="26" t="n">
        <v>25002000</v>
      </c>
      <c r="M2116" s="26" t="n">
        <v>132052425</v>
      </c>
      <c r="N2116" s="27">
        <f>IF(ISNUMBER(M2116),M2116/L2116,"No aplica")</f>
        <v>5.281674466042716</v>
      </c>
      <c r="O2116" s="25">
        <f>IF(G2116="provision",M2116+H2116,IF(G2116="recoleccion",M2116-H2116,"No aplica"))</f>
        <v>25002000</v>
      </c>
      <c r="P2116" s="26" t="n">
        <v>158012</v>
      </c>
    </row>
    <row r="2117">
      <c r="A2117" t="inlineStr">
        <is>
          <t>PRAGMA</t>
        </is>
      </c>
      <c r="B2117" t="inlineStr">
        <is>
          <t>M2</t>
        </is>
      </c>
      <c r="C2117" t="inlineStr">
        <is>
          <t>Cali</t>
        </is>
      </c>
      <c r="D2117" t="inlineStr">
        <is>
          <t>9650</t>
        </is>
      </c>
      <c r="E2117" t="inlineStr">
        <is>
          <t>TDV</t>
        </is>
      </c>
      <c r="F2117" s="23" t="n">
        <v>46273</v>
      </c>
      <c r="G2117" t="inlineStr">
        <is>
          <t>recoleccion</t>
        </is>
      </c>
      <c r="H2117" s="26" t="n">
        <v>111152808</v>
      </c>
      <c r="I2117" t="inlineStr">
        <is>
          <t>bajo</t>
        </is>
      </c>
      <c r="J2117" t="inlineStr">
        <is>
          <t>RN-22 y RN-35: recoleccion al cierre de lo que pasa del cupo</t>
        </is>
      </c>
      <c r="K2117" t="inlineStr">
        <is>
          <t>Recoleccion al cierre: con el pronostico, el saldo cerraria en 136.154.808 COP, sobre el cupo de 25.002.000. Se recoge el excedente y el saldo queda en 25.002.000 COP. Equipo administrado por TDV.</t>
        </is>
      </c>
      <c r="L2117" s="26" t="n">
        <v>25002000</v>
      </c>
      <c r="M2117" s="26" t="n">
        <v>136154808</v>
      </c>
      <c r="N2117" s="27">
        <f>IF(ISNUMBER(M2117),M2117/L2117,"No aplica")</f>
        <v>5.445756659467243</v>
      </c>
      <c r="O2117" s="25">
        <f>IF(G2117="provision",M2117+H2117,IF(G2117="recoleccion",M2117-H2117,"No aplica"))</f>
        <v>25002000</v>
      </c>
      <c r="P2117" s="26" t="n">
        <v>158012</v>
      </c>
    </row>
    <row r="2118">
      <c r="A2118" t="inlineStr">
        <is>
          <t>PRAGMA</t>
        </is>
      </c>
      <c r="B2118" t="inlineStr">
        <is>
          <t>M2</t>
        </is>
      </c>
      <c r="C2118" t="inlineStr">
        <is>
          <t>Cali</t>
        </is>
      </c>
      <c r="D2118" t="inlineStr">
        <is>
          <t>9650</t>
        </is>
      </c>
      <c r="E2118" t="inlineStr">
        <is>
          <t>TDV</t>
        </is>
      </c>
      <c r="F2118" s="23" t="n">
        <v>46274</v>
      </c>
      <c r="G2118" t="inlineStr">
        <is>
          <t>recoleccion</t>
        </is>
      </c>
      <c r="H2118" s="26" t="n">
        <v>101087940</v>
      </c>
      <c r="I2118" t="inlineStr">
        <is>
          <t>bajo</t>
        </is>
      </c>
      <c r="J2118" t="inlineStr">
        <is>
          <t>RN-22 y RN-35: recoleccion al cierre de lo que pasa del cupo</t>
        </is>
      </c>
      <c r="K2118" t="inlineStr">
        <is>
          <t>Recoleccion al cierre: con el pronostico, el saldo cerraria en 126.089.940 COP, sobre el cupo de 25.002.000. Se recoge el excedente y el saldo queda en 25.002.000 COP. Equipo administrado por TDV.</t>
        </is>
      </c>
      <c r="L2118" s="26" t="n">
        <v>25002000</v>
      </c>
      <c r="M2118" s="26" t="n">
        <v>126089940</v>
      </c>
      <c r="N2118" s="27">
        <f>IF(ISNUMBER(M2118),M2118/L2118,"No aplica")</f>
        <v>5.043194144468442</v>
      </c>
      <c r="O2118" s="25">
        <f>IF(G2118="provision",M2118+H2118,IF(G2118="recoleccion",M2118-H2118,"No aplica"))</f>
        <v>25002000</v>
      </c>
      <c r="P2118" s="26" t="n">
        <v>158012</v>
      </c>
    </row>
    <row r="2119">
      <c r="A2119" t="inlineStr">
        <is>
          <t>PRAGMA</t>
        </is>
      </c>
      <c r="B2119" t="inlineStr">
        <is>
          <t>M2</t>
        </is>
      </c>
      <c r="C2119" t="inlineStr">
        <is>
          <t>Cali</t>
        </is>
      </c>
      <c r="D2119" t="inlineStr">
        <is>
          <t>9650</t>
        </is>
      </c>
      <c r="E2119" t="inlineStr">
        <is>
          <t>TDV</t>
        </is>
      </c>
      <c r="F2119" s="23" t="n">
        <v>46275</v>
      </c>
      <c r="G2119" t="inlineStr">
        <is>
          <t>recoleccion</t>
        </is>
      </c>
      <c r="H2119" s="26" t="n">
        <v>89647444</v>
      </c>
      <c r="I2119" t="inlineStr">
        <is>
          <t>bajo</t>
        </is>
      </c>
      <c r="J2119" t="inlineStr">
        <is>
          <t>RN-22 y RN-35: recoleccion al cierre de lo que pasa del cupo</t>
        </is>
      </c>
      <c r="K2119" t="inlineStr">
        <is>
          <t>Recoleccion al cierre: con el pronostico, el saldo cerraria en 114.649.444 COP, sobre el cupo de 25.002.000. Se recoge el excedente y el saldo queda en 25.002.000 COP. Equipo administrado por TDV.</t>
        </is>
      </c>
      <c r="L2119" s="26" t="n">
        <v>25002000</v>
      </c>
      <c r="M2119" s="26" t="n">
        <v>114649444</v>
      </c>
      <c r="N2119" s="27">
        <f>IF(ISNUMBER(M2119),M2119/L2119,"No aplica")</f>
        <v>4.58561091112711</v>
      </c>
      <c r="O2119" s="25">
        <f>IF(G2119="provision",M2119+H2119,IF(G2119="recoleccion",M2119-H2119,"No aplica"))</f>
        <v>25002000</v>
      </c>
      <c r="P2119" s="26" t="n">
        <v>158012</v>
      </c>
    </row>
    <row r="2120">
      <c r="A2120" t="inlineStr">
        <is>
          <t>PRAGMA</t>
        </is>
      </c>
      <c r="B2120" t="inlineStr">
        <is>
          <t>M2</t>
        </is>
      </c>
      <c r="C2120" t="inlineStr">
        <is>
          <t>Cali</t>
        </is>
      </c>
      <c r="D2120" t="inlineStr">
        <is>
          <t>9650</t>
        </is>
      </c>
      <c r="E2120" t="inlineStr">
        <is>
          <t>TDV</t>
        </is>
      </c>
      <c r="F2120" s="23" t="n">
        <v>46276</v>
      </c>
      <c r="G2120" t="inlineStr">
        <is>
          <t>recoleccion</t>
        </is>
      </c>
      <c r="H2120" s="26" t="n">
        <v>94342339</v>
      </c>
      <c r="I2120" t="inlineStr">
        <is>
          <t>bajo</t>
        </is>
      </c>
      <c r="J2120" t="inlineStr">
        <is>
          <t>RN-22 y RN-35: recoleccion al cierre de lo que pasa del cupo</t>
        </is>
      </c>
      <c r="K2120" t="inlineStr">
        <is>
          <t>Recoleccion al cierre: con el pronostico, el saldo cerraria en 119.344.339 COP, sobre el cupo de 25.002.000. Se recoge el excedente y el saldo queda en 25.002.000 COP. Equipo administrado por TDV.</t>
        </is>
      </c>
      <c r="L2120" s="26" t="n">
        <v>25002000</v>
      </c>
      <c r="M2120" s="26" t="n">
        <v>119344339</v>
      </c>
      <c r="N2120" s="27">
        <f>IF(ISNUMBER(M2120),M2120/L2120,"No aplica")</f>
        <v>4.773391688664907</v>
      </c>
      <c r="O2120" s="25">
        <f>IF(G2120="provision",M2120+H2120,IF(G2120="recoleccion",M2120-H2120,"No aplica"))</f>
        <v>25002000</v>
      </c>
      <c r="P2120" s="26" t="n">
        <v>158012</v>
      </c>
    </row>
    <row r="2121">
      <c r="A2121" t="inlineStr">
        <is>
          <t>PRAGMA</t>
        </is>
      </c>
      <c r="B2121" t="inlineStr">
        <is>
          <t>M2</t>
        </is>
      </c>
      <c r="C2121" t="inlineStr">
        <is>
          <t>Cali</t>
        </is>
      </c>
      <c r="D2121" t="inlineStr">
        <is>
          <t>9650</t>
        </is>
      </c>
      <c r="E2121" t="inlineStr">
        <is>
          <t>TDV</t>
        </is>
      </c>
      <c r="F2121" s="23" t="n">
        <v>46277</v>
      </c>
      <c r="G2121" t="inlineStr">
        <is>
          <t>recoleccion</t>
        </is>
      </c>
      <c r="H2121" s="26" t="n">
        <v>68289234</v>
      </c>
      <c r="I2121" t="inlineStr">
        <is>
          <t>bajo</t>
        </is>
      </c>
      <c r="J2121" t="inlineStr">
        <is>
          <t>RN-22 y RN-35: recoleccion al cierre de lo que pasa del cupo</t>
        </is>
      </c>
      <c r="K2121" t="inlineStr">
        <is>
          <t>Recoleccion al cierre: con el pronostico, el saldo cerraria en 93.291.234 COP, sobre el cupo de 25.002.000. Se recoge el excedente y el saldo queda en 25.002.000 COP. Equipo administrado por TDV.</t>
        </is>
      </c>
      <c r="L2121" s="26" t="n">
        <v>25002000</v>
      </c>
      <c r="M2121" s="26" t="n">
        <v>93291234</v>
      </c>
      <c r="N2121" s="27">
        <f>IF(ISNUMBER(M2121),M2121/L2121,"No aplica")</f>
        <v>3.7313508519318455</v>
      </c>
      <c r="O2121" s="25">
        <f>IF(G2121="provision",M2121+H2121,IF(G2121="recoleccion",M2121-H2121,"No aplica"))</f>
        <v>25002000</v>
      </c>
      <c r="P2121" s="26" t="n">
        <v>158012</v>
      </c>
    </row>
    <row r="2122">
      <c r="A2122" t="inlineStr">
        <is>
          <t>PRAGMA</t>
        </is>
      </c>
      <c r="B2122" t="inlineStr">
        <is>
          <t>M2</t>
        </is>
      </c>
      <c r="C2122" t="inlineStr">
        <is>
          <t>Cali</t>
        </is>
      </c>
      <c r="D2122" t="inlineStr">
        <is>
          <t>9650</t>
        </is>
      </c>
      <c r="E2122" t="inlineStr">
        <is>
          <t>TDV</t>
        </is>
      </c>
      <c r="F2122" s="23" t="n">
        <v>46278</v>
      </c>
      <c r="G2122" t="inlineStr">
        <is>
          <t>recoleccion</t>
        </is>
      </c>
      <c r="H2122" s="26" t="n">
        <v>380240</v>
      </c>
      <c r="I2122" t="inlineStr">
        <is>
          <t>bajo</t>
        </is>
      </c>
      <c r="J2122" t="inlineStr">
        <is>
          <t>RN-22 y RN-35: recoleccion al cierre de lo que pasa del cupo</t>
        </is>
      </c>
      <c r="K2122" t="inlineStr">
        <is>
          <t>Recoleccion al cierre: con el pronostico, el saldo cerraria en 25.382.240 COP, sobre el cupo de 25.002.000. Se recoge el excedente y el saldo queda en 25.002.000 COP. Equipo administrado por TDV.</t>
        </is>
      </c>
      <c r="L2122" s="26" t="n">
        <v>25002000</v>
      </c>
      <c r="M2122" s="26" t="n">
        <v>25382240</v>
      </c>
      <c r="N2122" s="27">
        <f>IF(ISNUMBER(M2122),M2122/L2122,"No aplica")</f>
        <v>1.0152083833293337</v>
      </c>
      <c r="O2122" s="25">
        <f>IF(G2122="provision",M2122+H2122,IF(G2122="recoleccion",M2122-H2122,"No aplica"))</f>
        <v>25002000</v>
      </c>
      <c r="P2122" s="26" t="n">
        <v>182814</v>
      </c>
    </row>
    <row r="2123">
      <c r="A2123" t="inlineStr">
        <is>
          <t>PRAGMA</t>
        </is>
      </c>
      <c r="B2123" t="inlineStr">
        <is>
          <t>M2</t>
        </is>
      </c>
      <c r="C2123" t="inlineStr">
        <is>
          <t>Cali</t>
        </is>
      </c>
      <c r="D2123" t="inlineStr">
        <is>
          <t>9650</t>
        </is>
      </c>
      <c r="E2123" t="inlineStr">
        <is>
          <t>TDV</t>
        </is>
      </c>
      <c r="F2123" s="23" t="n">
        <v>46279</v>
      </c>
      <c r="G2123" t="inlineStr">
        <is>
          <t>recoleccion</t>
        </is>
      </c>
      <c r="H2123" s="26" t="n">
        <v>107820151</v>
      </c>
      <c r="I2123" t="inlineStr">
        <is>
          <t>bajo</t>
        </is>
      </c>
      <c r="J2123" t="inlineStr">
        <is>
          <t>RN-22 y RN-35: recoleccion al cierre de lo que pasa del cupo</t>
        </is>
      </c>
      <c r="K2123" t="inlineStr">
        <is>
          <t>Recoleccion al cierre: con el pronostico, el saldo cerraria en 132.822.151 COP, sobre el cupo de 25.002.000. Se recoge el excedente y el saldo queda en 25.002.000 COP. Equipo administrado por TDV.</t>
        </is>
      </c>
      <c r="L2123" s="26" t="n">
        <v>25002000</v>
      </c>
      <c r="M2123" s="26" t="n">
        <v>132822151</v>
      </c>
      <c r="N2123" s="27">
        <f>IF(ISNUMBER(M2123),M2123/L2123,"No aplica")</f>
        <v>5.312461043116551</v>
      </c>
      <c r="O2123" s="25">
        <f>IF(G2123="provision",M2123+H2123,IF(G2123="recoleccion",M2123-H2123,"No aplica"))</f>
        <v>25002000</v>
      </c>
      <c r="P2123" s="26" t="n">
        <v>158012</v>
      </c>
    </row>
    <row r="2124">
      <c r="A2124" t="inlineStr">
        <is>
          <t>PRAGMA</t>
        </is>
      </c>
      <c r="B2124" t="inlineStr">
        <is>
          <t>M2</t>
        </is>
      </c>
      <c r="C2124" t="inlineStr">
        <is>
          <t>Cali</t>
        </is>
      </c>
      <c r="D2124" t="inlineStr">
        <is>
          <t>9650</t>
        </is>
      </c>
      <c r="E2124" t="inlineStr">
        <is>
          <t>TDV</t>
        </is>
      </c>
      <c r="F2124" s="23" t="n">
        <v>46280</v>
      </c>
      <c r="G2124" t="inlineStr">
        <is>
          <t>recoleccion</t>
        </is>
      </c>
      <c r="H2124" s="26" t="n">
        <v>88938647</v>
      </c>
      <c r="I2124" t="inlineStr">
        <is>
          <t>bajo</t>
        </is>
      </c>
      <c r="J2124" t="inlineStr">
        <is>
          <t>RN-22 y RN-35: recoleccion al cierre de lo que pasa del cupo</t>
        </is>
      </c>
      <c r="K2124" t="inlineStr">
        <is>
          <t>Recoleccion al cierre: con el pronostico, el saldo cerraria en 113.940.647 COP, sobre el cupo de 25.002.000. Se recoge el excedente y el saldo queda en 25.002.000 COP. Equipo administrado por TDV.</t>
        </is>
      </c>
      <c r="L2124" s="26" t="n">
        <v>25002000</v>
      </c>
      <c r="M2124" s="26" t="n">
        <v>113940647</v>
      </c>
      <c r="N2124" s="27">
        <f>IF(ISNUMBER(M2124),M2124/L2124,"No aplica")</f>
        <v>4.557261299096072</v>
      </c>
      <c r="O2124" s="25">
        <f>IF(G2124="provision",M2124+H2124,IF(G2124="recoleccion",M2124-H2124,"No aplica"))</f>
        <v>25002000</v>
      </c>
      <c r="P2124" s="26" t="n">
        <v>158012</v>
      </c>
    </row>
    <row r="2125">
      <c r="A2125" t="inlineStr">
        <is>
          <t>PRAGMA</t>
        </is>
      </c>
      <c r="B2125" t="inlineStr">
        <is>
          <t>M2</t>
        </is>
      </c>
      <c r="C2125" t="inlineStr">
        <is>
          <t>Cali</t>
        </is>
      </c>
      <c r="D2125" t="inlineStr">
        <is>
          <t>9983</t>
        </is>
      </c>
      <c r="E2125" t="inlineStr">
        <is>
          <t>TDV</t>
        </is>
      </c>
      <c r="F2125" s="23" t="n">
        <v>46266</v>
      </c>
      <c r="G2125" t="inlineStr">
        <is>
          <t>recoleccion</t>
        </is>
      </c>
      <c r="H2125" s="26" t="n">
        <v>110492851</v>
      </c>
      <c r="I2125" t="inlineStr">
        <is>
          <t>bajo</t>
        </is>
      </c>
      <c r="J2125" t="inlineStr">
        <is>
          <t>RN-22 y RN-35: recoleccion al cierre de lo que pasa del cupo</t>
        </is>
      </c>
      <c r="K2125" t="inlineStr">
        <is>
          <t>Recoleccion al cierre: con el pronostico, el saldo cerraria en 133.494.851 COP, sobre el cupo de 23.002.000. Se recoge el excedente y el saldo queda en 23.002.000 COP. Equipo administrado por TDV.</t>
        </is>
      </c>
      <c r="L2125" s="26" t="n">
        <v>23002000</v>
      </c>
      <c r="M2125" s="26" t="n">
        <v>133494851</v>
      </c>
      <c r="N2125" s="27">
        <f>IF(ISNUMBER(M2125),M2125/L2125,"No aplica")</f>
        <v>5.803619293974437</v>
      </c>
      <c r="O2125" s="25">
        <f>IF(G2125="provision",M2125+H2125,IF(G2125="recoleccion",M2125-H2125,"No aplica"))</f>
        <v>23002000</v>
      </c>
      <c r="P2125" s="26" t="n">
        <v>157715</v>
      </c>
    </row>
    <row r="2126">
      <c r="A2126" t="inlineStr">
        <is>
          <t>PRAGMA</t>
        </is>
      </c>
      <c r="B2126" t="inlineStr">
        <is>
          <t>M2</t>
        </is>
      </c>
      <c r="C2126" t="inlineStr">
        <is>
          <t>Cali</t>
        </is>
      </c>
      <c r="D2126" t="inlineStr">
        <is>
          <t>9983</t>
        </is>
      </c>
      <c r="E2126" t="inlineStr">
        <is>
          <t>TDV</t>
        </is>
      </c>
      <c r="F2126" s="23" t="n">
        <v>46267</v>
      </c>
      <c r="G2126" t="inlineStr">
        <is>
          <t>recoleccion</t>
        </is>
      </c>
      <c r="H2126" s="26" t="n">
        <v>97060956</v>
      </c>
      <c r="I2126" t="inlineStr">
        <is>
          <t>bajo</t>
        </is>
      </c>
      <c r="J2126" t="inlineStr">
        <is>
          <t>RN-22 y RN-35: recoleccion al cierre de lo que pasa del cupo</t>
        </is>
      </c>
      <c r="K2126" t="inlineStr">
        <is>
          <t>Recoleccion al cierre: con el pronostico, el saldo cerraria en 120.062.956 COP, sobre el cupo de 23.002.000. Se recoge el excedente y el saldo queda en 23.002.000 COP. Equipo administrado por TDV.</t>
        </is>
      </c>
      <c r="L2126" s="26" t="n">
        <v>23002000</v>
      </c>
      <c r="M2126" s="26" t="n">
        <v>120062956</v>
      </c>
      <c r="N2126" s="27">
        <f>IF(ISNUMBER(M2126),M2126/L2126,"No aplica")</f>
        <v>5.219674636988088</v>
      </c>
      <c r="O2126" s="25">
        <f>IF(G2126="provision",M2126+H2126,IF(G2126="recoleccion",M2126-H2126,"No aplica"))</f>
        <v>23002000</v>
      </c>
      <c r="P2126" s="26" t="n">
        <v>157715</v>
      </c>
    </row>
    <row r="2127">
      <c r="A2127" t="inlineStr">
        <is>
          <t>PRAGMA</t>
        </is>
      </c>
      <c r="B2127" t="inlineStr">
        <is>
          <t>M2</t>
        </is>
      </c>
      <c r="C2127" t="inlineStr">
        <is>
          <t>Cali</t>
        </is>
      </c>
      <c r="D2127" t="inlineStr">
        <is>
          <t>9983</t>
        </is>
      </c>
      <c r="E2127" t="inlineStr">
        <is>
          <t>TDV</t>
        </is>
      </c>
      <c r="F2127" s="23" t="n">
        <v>46268</v>
      </c>
      <c r="G2127" t="inlineStr">
        <is>
          <t>recoleccion</t>
        </is>
      </c>
      <c r="H2127" s="26" t="n">
        <v>105388618</v>
      </c>
      <c r="I2127" t="inlineStr">
        <is>
          <t>bajo</t>
        </is>
      </c>
      <c r="J2127" t="inlineStr">
        <is>
          <t>RN-22 y RN-35: recoleccion al cierre de lo que pasa del cupo</t>
        </is>
      </c>
      <c r="K2127" t="inlineStr">
        <is>
          <t>Recoleccion al cierre: con el pronostico, el saldo cerraria en 128.390.618 COP, sobre el cupo de 23.002.000. Se recoge el excedente y el saldo queda en 23.002.000 COP. Equipo administrado por TDV.</t>
        </is>
      </c>
      <c r="L2127" s="26" t="n">
        <v>23002000</v>
      </c>
      <c r="M2127" s="26" t="n">
        <v>128390618</v>
      </c>
      <c r="N2127" s="27">
        <f>IF(ISNUMBER(M2127),M2127/L2127,"No aplica")</f>
        <v>5.581715416050778</v>
      </c>
      <c r="O2127" s="25">
        <f>IF(G2127="provision",M2127+H2127,IF(G2127="recoleccion",M2127-H2127,"No aplica"))</f>
        <v>23002000</v>
      </c>
      <c r="P2127" s="26" t="n">
        <v>157715</v>
      </c>
    </row>
    <row r="2128">
      <c r="A2128" t="inlineStr">
        <is>
          <t>PRAGMA</t>
        </is>
      </c>
      <c r="B2128" t="inlineStr">
        <is>
          <t>M2</t>
        </is>
      </c>
      <c r="C2128" t="inlineStr">
        <is>
          <t>Cali</t>
        </is>
      </c>
      <c r="D2128" t="inlineStr">
        <is>
          <t>9983</t>
        </is>
      </c>
      <c r="E2128" t="inlineStr">
        <is>
          <t>TDV</t>
        </is>
      </c>
      <c r="F2128" s="23" t="n">
        <v>46269</v>
      </c>
      <c r="G2128" t="inlineStr">
        <is>
          <t>recoleccion</t>
        </is>
      </c>
      <c r="H2128" s="26" t="n">
        <v>111006647</v>
      </c>
      <c r="I2128" t="inlineStr">
        <is>
          <t>bajo</t>
        </is>
      </c>
      <c r="J2128" t="inlineStr">
        <is>
          <t>RN-22 y RN-35: recoleccion al cierre de lo que pasa del cupo</t>
        </is>
      </c>
      <c r="K2128" t="inlineStr">
        <is>
          <t>Recoleccion al cierre: con el pronostico, el saldo cerraria en 134.008.647 COP, sobre el cupo de 23.002.000. Se recoge el excedente y el saldo queda en 23.002.000 COP. Equipo administrado por TDV.</t>
        </is>
      </c>
      <c r="L2128" s="26" t="n">
        <v>23002000</v>
      </c>
      <c r="M2128" s="26" t="n">
        <v>134008647</v>
      </c>
      <c r="N2128" s="27">
        <f>IF(ISNUMBER(M2128),M2128/L2128,"No aplica")</f>
        <v>5.825956308147117</v>
      </c>
      <c r="O2128" s="25">
        <f>IF(G2128="provision",M2128+H2128,IF(G2128="recoleccion",M2128-H2128,"No aplica"))</f>
        <v>23002000</v>
      </c>
      <c r="P2128" s="26" t="n">
        <v>157715</v>
      </c>
    </row>
    <row r="2129">
      <c r="A2129" t="inlineStr">
        <is>
          <t>PRAGMA</t>
        </is>
      </c>
      <c r="B2129" t="inlineStr">
        <is>
          <t>M2</t>
        </is>
      </c>
      <c r="C2129" t="inlineStr">
        <is>
          <t>Cali</t>
        </is>
      </c>
      <c r="D2129" t="inlineStr">
        <is>
          <t>9983</t>
        </is>
      </c>
      <c r="E2129" t="inlineStr">
        <is>
          <t>TDV</t>
        </is>
      </c>
      <c r="F2129" s="23" t="n">
        <v>46270</v>
      </c>
      <c r="G2129" t="inlineStr">
        <is>
          <t>recoleccion</t>
        </is>
      </c>
      <c r="H2129" s="26" t="n">
        <v>118084595</v>
      </c>
      <c r="I2129" t="inlineStr">
        <is>
          <t>bajo</t>
        </is>
      </c>
      <c r="J2129" t="inlineStr">
        <is>
          <t>RN-22 y RN-35: recoleccion al cierre de lo que pasa del cupo</t>
        </is>
      </c>
      <c r="K2129" t="inlineStr">
        <is>
          <t>Recoleccion al cierre: con el pronostico, el saldo cerraria en 141.086.595 COP, sobre el cupo de 23.002.000. Se recoge el excedente y el saldo queda en 23.002.000 COP. Equipo administrado por TDV.</t>
        </is>
      </c>
      <c r="L2129" s="26" t="n">
        <v>23002000</v>
      </c>
      <c r="M2129" s="26" t="n">
        <v>141086595</v>
      </c>
      <c r="N2129" s="27">
        <f>IF(ISNUMBER(M2129),M2129/L2129,"No aplica")</f>
        <v>6.133666420311277</v>
      </c>
      <c r="O2129" s="25">
        <f>IF(G2129="provision",M2129+H2129,IF(G2129="recoleccion",M2129-H2129,"No aplica"))</f>
        <v>23002000</v>
      </c>
      <c r="P2129" s="26" t="n">
        <v>157715</v>
      </c>
    </row>
    <row r="2130">
      <c r="A2130" t="inlineStr">
        <is>
          <t>PRAGMA</t>
        </is>
      </c>
      <c r="B2130" t="inlineStr">
        <is>
          <t>M2</t>
        </is>
      </c>
      <c r="C2130" t="inlineStr">
        <is>
          <t>Cali</t>
        </is>
      </c>
      <c r="D2130" t="inlineStr">
        <is>
          <t>9983</t>
        </is>
      </c>
      <c r="E2130" t="inlineStr">
        <is>
          <t>TDV</t>
        </is>
      </c>
      <c r="F2130" s="23" t="n">
        <v>46271</v>
      </c>
      <c r="G2130" t="inlineStr">
        <is>
          <t>recoleccion</t>
        </is>
      </c>
      <c r="H2130" s="26" t="n">
        <v>70311212</v>
      </c>
      <c r="I2130" t="inlineStr">
        <is>
          <t>bajo</t>
        </is>
      </c>
      <c r="J2130" t="inlineStr">
        <is>
          <t>RN-22 y RN-35: recoleccion al cierre de lo que pasa del cupo</t>
        </is>
      </c>
      <c r="K2130" t="inlineStr">
        <is>
          <t>Recoleccion al cierre: con el pronostico, el saldo cerraria en 93.313.212 COP, sobre el cupo de 23.002.000. Se recoge el excedente y el saldo queda en 23.002.000 COP. Equipo administrado por TDV.</t>
        </is>
      </c>
      <c r="L2130" s="26" t="n">
        <v>23002000</v>
      </c>
      <c r="M2130" s="26" t="n">
        <v>93313212</v>
      </c>
      <c r="N2130" s="27">
        <f>IF(ISNUMBER(M2130),M2130/L2130,"No aplica")</f>
        <v>4.056743413616207</v>
      </c>
      <c r="O2130" s="25">
        <f>IF(G2130="provision",M2130+H2130,IF(G2130="recoleccion",M2130-H2130,"No aplica"))</f>
        <v>23002000</v>
      </c>
      <c r="P2130" s="26" t="n">
        <v>215854</v>
      </c>
    </row>
    <row r="2131">
      <c r="A2131" t="inlineStr">
        <is>
          <t>PRAGMA</t>
        </is>
      </c>
      <c r="B2131" t="inlineStr">
        <is>
          <t>M2</t>
        </is>
      </c>
      <c r="C2131" t="inlineStr">
        <is>
          <t>Cali</t>
        </is>
      </c>
      <c r="D2131" t="inlineStr">
        <is>
          <t>9983</t>
        </is>
      </c>
      <c r="E2131" t="inlineStr">
        <is>
          <t>TDV</t>
        </is>
      </c>
      <c r="F2131" s="23" t="n">
        <v>46272</v>
      </c>
      <c r="G2131" t="inlineStr">
        <is>
          <t>recoleccion</t>
        </is>
      </c>
      <c r="H2131" s="26" t="n">
        <v>124881238</v>
      </c>
      <c r="I2131" t="inlineStr">
        <is>
          <t>bajo</t>
        </is>
      </c>
      <c r="J2131" t="inlineStr">
        <is>
          <t>RN-22 y RN-35: recoleccion al cierre de lo que pasa del cupo</t>
        </is>
      </c>
      <c r="K2131" t="inlineStr">
        <is>
          <t>Recoleccion al cierre: con el pronostico, el saldo cerraria en 147.883.238 COP, sobre el cupo de 23.002.000. Se recoge el excedente y el saldo queda en 23.002.000 COP. Equipo administrado por TDV.</t>
        </is>
      </c>
      <c r="L2131" s="26" t="n">
        <v>23002000</v>
      </c>
      <c r="M2131" s="26" t="n">
        <v>147883238</v>
      </c>
      <c r="N2131" s="27">
        <f>IF(ISNUMBER(M2131),M2131/L2131,"No aplica")</f>
        <v>6.429146943744022</v>
      </c>
      <c r="O2131" s="25">
        <f>IF(G2131="provision",M2131+H2131,IF(G2131="recoleccion",M2131-H2131,"No aplica"))</f>
        <v>23002000</v>
      </c>
      <c r="P2131" s="26" t="n">
        <v>157715</v>
      </c>
    </row>
    <row r="2132">
      <c r="A2132" t="inlineStr">
        <is>
          <t>PRAGMA</t>
        </is>
      </c>
      <c r="B2132" t="inlineStr">
        <is>
          <t>M2</t>
        </is>
      </c>
      <c r="C2132" t="inlineStr">
        <is>
          <t>Cali</t>
        </is>
      </c>
      <c r="D2132" t="inlineStr">
        <is>
          <t>9983</t>
        </is>
      </c>
      <c r="E2132" t="inlineStr">
        <is>
          <t>TDV</t>
        </is>
      </c>
      <c r="F2132" s="23" t="n">
        <v>46273</v>
      </c>
      <c r="G2132" t="inlineStr">
        <is>
          <t>recoleccion</t>
        </is>
      </c>
      <c r="H2132" s="26" t="n">
        <v>106379248</v>
      </c>
      <c r="I2132" t="inlineStr">
        <is>
          <t>bajo</t>
        </is>
      </c>
      <c r="J2132" t="inlineStr">
        <is>
          <t>RN-22 y RN-35: recoleccion al cierre de lo que pasa del cupo</t>
        </is>
      </c>
      <c r="K2132" t="inlineStr">
        <is>
          <t>Recoleccion al cierre: con el pronostico, el saldo cerraria en 129.381.248 COP, sobre el cupo de 23.002.000. Se recoge el excedente y el saldo queda en 23.002.000 COP. Equipo administrado por TDV.</t>
        </is>
      </c>
      <c r="L2132" s="26" t="n">
        <v>23002000</v>
      </c>
      <c r="M2132" s="26" t="n">
        <v>129381248</v>
      </c>
      <c r="N2132" s="27">
        <f>IF(ISNUMBER(M2132),M2132/L2132,"No aplica")</f>
        <v>5.624782540648639</v>
      </c>
      <c r="O2132" s="25">
        <f>IF(G2132="provision",M2132+H2132,IF(G2132="recoleccion",M2132-H2132,"No aplica"))</f>
        <v>23002000</v>
      </c>
      <c r="P2132" s="26" t="n">
        <v>157715</v>
      </c>
    </row>
    <row r="2133">
      <c r="A2133" t="inlineStr">
        <is>
          <t>PRAGMA</t>
        </is>
      </c>
      <c r="B2133" t="inlineStr">
        <is>
          <t>M2</t>
        </is>
      </c>
      <c r="C2133" t="inlineStr">
        <is>
          <t>Cali</t>
        </is>
      </c>
      <c r="D2133" t="inlineStr">
        <is>
          <t>9983</t>
        </is>
      </c>
      <c r="E2133" t="inlineStr">
        <is>
          <t>TDV</t>
        </is>
      </c>
      <c r="F2133" s="23" t="n">
        <v>46274</v>
      </c>
      <c r="G2133" t="inlineStr">
        <is>
          <t>recoleccion</t>
        </is>
      </c>
      <c r="H2133" s="26" t="n">
        <v>91792383</v>
      </c>
      <c r="I2133" t="inlineStr">
        <is>
          <t>bajo</t>
        </is>
      </c>
      <c r="J2133" t="inlineStr">
        <is>
          <t>RN-22 y RN-35: recoleccion al cierre de lo que pasa del cupo</t>
        </is>
      </c>
      <c r="K2133" t="inlineStr">
        <is>
          <t>Recoleccion al cierre: con el pronostico, el saldo cerraria en 114.794.383 COP, sobre el cupo de 23.002.000. Se recoge el excedente y el saldo queda en 23.002.000 COP. Equipo administrado por TDV.</t>
        </is>
      </c>
      <c r="L2133" s="26" t="n">
        <v>23002000</v>
      </c>
      <c r="M2133" s="26" t="n">
        <v>114794383</v>
      </c>
      <c r="N2133" s="27">
        <f>IF(ISNUMBER(M2133),M2133/L2133,"No aplica")</f>
        <v>4.990626162942353</v>
      </c>
      <c r="O2133" s="25">
        <f>IF(G2133="provision",M2133+H2133,IF(G2133="recoleccion",M2133-H2133,"No aplica"))</f>
        <v>23002000</v>
      </c>
      <c r="P2133" s="26" t="n">
        <v>157715</v>
      </c>
    </row>
    <row r="2134">
      <c r="A2134" t="inlineStr">
        <is>
          <t>PRAGMA</t>
        </is>
      </c>
      <c r="B2134" t="inlineStr">
        <is>
          <t>M2</t>
        </is>
      </c>
      <c r="C2134" t="inlineStr">
        <is>
          <t>Cali</t>
        </is>
      </c>
      <c r="D2134" t="inlineStr">
        <is>
          <t>9983</t>
        </is>
      </c>
      <c r="E2134" t="inlineStr">
        <is>
          <t>TDV</t>
        </is>
      </c>
      <c r="F2134" s="23" t="n">
        <v>46275</v>
      </c>
      <c r="G2134" t="inlineStr">
        <is>
          <t>recoleccion</t>
        </is>
      </c>
      <c r="H2134" s="26" t="n">
        <v>95601970</v>
      </c>
      <c r="I2134" t="inlineStr">
        <is>
          <t>bajo</t>
        </is>
      </c>
      <c r="J2134" t="inlineStr">
        <is>
          <t>RN-22 y RN-35: recoleccion al cierre de lo que pasa del cupo</t>
        </is>
      </c>
      <c r="K2134" t="inlineStr">
        <is>
          <t>Recoleccion al cierre: con el pronostico, el saldo cerraria en 118.603.970 COP, sobre el cupo de 23.002.000. Se recoge el excedente y el saldo queda en 23.002.000 COP. Equipo administrado por TDV.</t>
        </is>
      </c>
      <c r="L2134" s="26" t="n">
        <v>23002000</v>
      </c>
      <c r="M2134" s="26" t="n">
        <v>118603970</v>
      </c>
      <c r="N2134" s="27">
        <f>IF(ISNUMBER(M2134),M2134/L2134,"No aplica")</f>
        <v>5.1562459786105554</v>
      </c>
      <c r="O2134" s="25">
        <f>IF(G2134="provision",M2134+H2134,IF(G2134="recoleccion",M2134-H2134,"No aplica"))</f>
        <v>23002000</v>
      </c>
      <c r="P2134" s="26" t="n">
        <v>157715</v>
      </c>
    </row>
    <row r="2135">
      <c r="A2135" t="inlineStr">
        <is>
          <t>PRAGMA</t>
        </is>
      </c>
      <c r="B2135" t="inlineStr">
        <is>
          <t>M2</t>
        </is>
      </c>
      <c r="C2135" t="inlineStr">
        <is>
          <t>Cali</t>
        </is>
      </c>
      <c r="D2135" t="inlineStr">
        <is>
          <t>9983</t>
        </is>
      </c>
      <c r="E2135" t="inlineStr">
        <is>
          <t>TDV</t>
        </is>
      </c>
      <c r="F2135" s="23" t="n">
        <v>46276</v>
      </c>
      <c r="G2135" t="inlineStr">
        <is>
          <t>recoleccion</t>
        </is>
      </c>
      <c r="H2135" s="26" t="n">
        <v>97657539</v>
      </c>
      <c r="I2135" t="inlineStr">
        <is>
          <t>bajo</t>
        </is>
      </c>
      <c r="J2135" t="inlineStr">
        <is>
          <t>RN-22 y RN-35: recoleccion al cierre de lo que pasa del cupo</t>
        </is>
      </c>
      <c r="K2135" t="inlineStr">
        <is>
          <t>Recoleccion al cierre: con el pronostico, el saldo cerraria en 120.659.539 COP, sobre el cupo de 23.002.000. Se recoge el excedente y el saldo queda en 23.002.000 COP. Equipo administrado por TDV.</t>
        </is>
      </c>
      <c r="L2135" s="26" t="n">
        <v>23002000</v>
      </c>
      <c r="M2135" s="26" t="n">
        <v>120659539</v>
      </c>
      <c r="N2135" s="27">
        <f>IF(ISNUMBER(M2135),M2135/L2135,"No aplica")</f>
        <v>5.245610772976263</v>
      </c>
      <c r="O2135" s="25">
        <f>IF(G2135="provision",M2135+H2135,IF(G2135="recoleccion",M2135-H2135,"No aplica"))</f>
        <v>23002000</v>
      </c>
      <c r="P2135" s="26" t="n">
        <v>157715</v>
      </c>
    </row>
    <row r="2136">
      <c r="A2136" t="inlineStr">
        <is>
          <t>PRAGMA</t>
        </is>
      </c>
      <c r="B2136" t="inlineStr">
        <is>
          <t>M2</t>
        </is>
      </c>
      <c r="C2136" t="inlineStr">
        <is>
          <t>Cali</t>
        </is>
      </c>
      <c r="D2136" t="inlineStr">
        <is>
          <t>9983</t>
        </is>
      </c>
      <c r="E2136" t="inlineStr">
        <is>
          <t>TDV</t>
        </is>
      </c>
      <c r="F2136" s="23" t="n">
        <v>46277</v>
      </c>
      <c r="G2136" t="inlineStr">
        <is>
          <t>recoleccion</t>
        </is>
      </c>
      <c r="H2136" s="26" t="n">
        <v>94604137</v>
      </c>
      <c r="I2136" t="inlineStr">
        <is>
          <t>bajo</t>
        </is>
      </c>
      <c r="J2136" t="inlineStr">
        <is>
          <t>RN-22 y RN-35: recoleccion al cierre de lo que pasa del cupo</t>
        </is>
      </c>
      <c r="K2136" t="inlineStr">
        <is>
          <t>Recoleccion al cierre: con el pronostico, el saldo cerraria en 117.606.137 COP, sobre el cupo de 23.002.000. Se recoge el excedente y el saldo queda en 23.002.000 COP. Equipo administrado por TDV.</t>
        </is>
      </c>
      <c r="L2136" s="26" t="n">
        <v>23002000</v>
      </c>
      <c r="M2136" s="26" t="n">
        <v>117606137</v>
      </c>
      <c r="N2136" s="27">
        <f>IF(ISNUMBER(M2136),M2136/L2136,"No aplica")</f>
        <v>5.112865707329798</v>
      </c>
      <c r="O2136" s="25">
        <f>IF(G2136="provision",M2136+H2136,IF(G2136="recoleccion",M2136-H2136,"No aplica"))</f>
        <v>23002000</v>
      </c>
      <c r="P2136" s="26" t="n">
        <v>157715</v>
      </c>
    </row>
    <row r="2137">
      <c r="A2137" t="inlineStr">
        <is>
          <t>PRAGMA</t>
        </is>
      </c>
      <c r="B2137" t="inlineStr">
        <is>
          <t>M2</t>
        </is>
      </c>
      <c r="C2137" t="inlineStr">
        <is>
          <t>Cali</t>
        </is>
      </c>
      <c r="D2137" t="inlineStr">
        <is>
          <t>9983</t>
        </is>
      </c>
      <c r="E2137" t="inlineStr">
        <is>
          <t>TDV</t>
        </is>
      </c>
      <c r="F2137" s="23" t="n">
        <v>46278</v>
      </c>
      <c r="G2137" t="inlineStr">
        <is>
          <t>recoleccion</t>
        </is>
      </c>
      <c r="H2137" s="26" t="n">
        <v>53117112</v>
      </c>
      <c r="I2137" t="inlineStr">
        <is>
          <t>bajo</t>
        </is>
      </c>
      <c r="J2137" t="inlineStr">
        <is>
          <t>RN-22 y RN-35: recoleccion al cierre de lo que pasa del cupo</t>
        </is>
      </c>
      <c r="K2137" t="inlineStr">
        <is>
          <t>Recoleccion al cierre: con el pronostico, el saldo cerraria en 76.119.112 COP, sobre el cupo de 23.002.000. Se recoge el excedente y el saldo queda en 23.002.000 COP. Equipo administrado por TDV.</t>
        </is>
      </c>
      <c r="L2137" s="26" t="n">
        <v>23002000</v>
      </c>
      <c r="M2137" s="26" t="n">
        <v>76119112</v>
      </c>
      <c r="N2137" s="27">
        <f>IF(ISNUMBER(M2137),M2137/L2137,"No aplica")</f>
        <v>3.309238848795757</v>
      </c>
      <c r="O2137" s="25">
        <f>IF(G2137="provision",M2137+H2137,IF(G2137="recoleccion",M2137-H2137,"No aplica"))</f>
        <v>23002000</v>
      </c>
      <c r="P2137" s="26" t="n">
        <v>215854</v>
      </c>
    </row>
    <row r="2138">
      <c r="A2138" t="inlineStr">
        <is>
          <t>PRAGMA</t>
        </is>
      </c>
      <c r="B2138" t="inlineStr">
        <is>
          <t>M2</t>
        </is>
      </c>
      <c r="C2138" t="inlineStr">
        <is>
          <t>Cali</t>
        </is>
      </c>
      <c r="D2138" t="inlineStr">
        <is>
          <t>9983</t>
        </is>
      </c>
      <c r="E2138" t="inlineStr">
        <is>
          <t>TDV</t>
        </is>
      </c>
      <c r="F2138" s="23" t="n">
        <v>46279</v>
      </c>
      <c r="G2138" t="inlineStr">
        <is>
          <t>recoleccion</t>
        </is>
      </c>
      <c r="H2138" s="26" t="n">
        <v>105180972</v>
      </c>
      <c r="I2138" t="inlineStr">
        <is>
          <t>bajo</t>
        </is>
      </c>
      <c r="J2138" t="inlineStr">
        <is>
          <t>RN-22 y RN-35: recoleccion al cierre de lo que pasa del cupo</t>
        </is>
      </c>
      <c r="K2138" t="inlineStr">
        <is>
          <t>Recoleccion al cierre: con el pronostico, el saldo cerraria en 128.182.972 COP, sobre el cupo de 23.002.000. Se recoge el excedente y el saldo queda en 23.002.000 COP. Equipo administrado por TDV.</t>
        </is>
      </c>
      <c r="L2138" s="26" t="n">
        <v>23002000</v>
      </c>
      <c r="M2138" s="26" t="n">
        <v>128182972</v>
      </c>
      <c r="N2138" s="27">
        <f>IF(ISNUMBER(M2138),M2138/L2138,"No aplica")</f>
        <v>5.572688114077037</v>
      </c>
      <c r="O2138" s="25">
        <f>IF(G2138="provision",M2138+H2138,IF(G2138="recoleccion",M2138-H2138,"No aplica"))</f>
        <v>23002000</v>
      </c>
      <c r="P2138" s="26" t="n">
        <v>157715</v>
      </c>
    </row>
    <row r="2139">
      <c r="A2139" t="inlineStr">
        <is>
          <t>PRAGMA</t>
        </is>
      </c>
      <c r="B2139" t="inlineStr">
        <is>
          <t>M2</t>
        </is>
      </c>
      <c r="C2139" t="inlineStr">
        <is>
          <t>Cali</t>
        </is>
      </c>
      <c r="D2139" t="inlineStr">
        <is>
          <t>9983</t>
        </is>
      </c>
      <c r="E2139" t="inlineStr">
        <is>
          <t>TDV</t>
        </is>
      </c>
      <c r="F2139" s="23" t="n">
        <v>46280</v>
      </c>
      <c r="G2139" t="inlineStr">
        <is>
          <t>recoleccion</t>
        </is>
      </c>
      <c r="H2139" s="26" t="n">
        <v>112250817</v>
      </c>
      <c r="I2139" t="inlineStr">
        <is>
          <t>bajo</t>
        </is>
      </c>
      <c r="J2139" t="inlineStr">
        <is>
          <t>RN-22 y RN-35: recoleccion al cierre de lo que pasa del cupo</t>
        </is>
      </c>
      <c r="K2139" t="inlineStr">
        <is>
          <t>Recoleccion al cierre: con el pronostico, el saldo cerraria en 135.252.817 COP, sobre el cupo de 23.002.000. Se recoge el excedente y el saldo queda en 23.002.000 COP. Equipo administrado por TDV.</t>
        </is>
      </c>
      <c r="L2139" s="26" t="n">
        <v>23002000</v>
      </c>
      <c r="M2139" s="26" t="n">
        <v>135252817</v>
      </c>
      <c r="N2139" s="27">
        <f>IF(ISNUMBER(M2139),M2139/L2139,"No aplica")</f>
        <v>5.880045952525867</v>
      </c>
      <c r="O2139" s="25">
        <f>IF(G2139="provision",M2139+H2139,IF(G2139="recoleccion",M2139-H2139,"No aplica"))</f>
        <v>23002000</v>
      </c>
      <c r="P2139" s="26" t="n">
        <v>157715</v>
      </c>
    </row>
    <row r="2140">
      <c r="A2140" t="inlineStr">
        <is>
          <t>PRAGMA</t>
        </is>
      </c>
      <c r="B2140" t="inlineStr">
        <is>
          <t>M2</t>
        </is>
      </c>
      <c r="C2140" t="inlineStr">
        <is>
          <t>Cali</t>
        </is>
      </c>
      <c r="D2140" t="inlineStr">
        <is>
          <t>9984</t>
        </is>
      </c>
      <c r="E2140" t="inlineStr">
        <is>
          <t>TDV</t>
        </is>
      </c>
      <c r="F2140" s="23" t="n">
        <v>46266</v>
      </c>
      <c r="G2140" t="inlineStr">
        <is>
          <t>recoleccion</t>
        </is>
      </c>
      <c r="H2140" s="26" t="n">
        <v>91152677</v>
      </c>
      <c r="I2140" t="inlineStr">
        <is>
          <t>bajo</t>
        </is>
      </c>
      <c r="J2140" t="inlineStr">
        <is>
          <t>RN-22 y RN-35: recoleccion al cierre de lo que pasa del cupo</t>
        </is>
      </c>
      <c r="K2140" t="inlineStr">
        <is>
          <t>Recoleccion al cierre: con el pronostico, el saldo cerraria en 132.002.677 COP, sobre el cupo de 40.850.000. Se recoge el excedente y el saldo queda en 40.850.000 COP. Equipo administrado por TDV.</t>
        </is>
      </c>
      <c r="L2140" s="26" t="n">
        <v>40850000</v>
      </c>
      <c r="M2140" s="26" t="n">
        <v>132002677</v>
      </c>
      <c r="N2140" s="27">
        <f>IF(ISNUMBER(M2140),M2140/L2140,"No aplica")</f>
        <v>3.231399681762546</v>
      </c>
      <c r="O2140" s="25">
        <f>IF(G2140="provision",M2140+H2140,IF(G2140="recoleccion",M2140-H2140,"No aplica"))</f>
        <v>40850000</v>
      </c>
      <c r="P2140" s="26" t="n">
        <v>157715</v>
      </c>
    </row>
    <row r="2141">
      <c r="A2141" t="inlineStr">
        <is>
          <t>PRAGMA</t>
        </is>
      </c>
      <c r="B2141" t="inlineStr">
        <is>
          <t>M2</t>
        </is>
      </c>
      <c r="C2141" t="inlineStr">
        <is>
          <t>Cali</t>
        </is>
      </c>
      <c r="D2141" t="inlineStr">
        <is>
          <t>9984</t>
        </is>
      </c>
      <c r="E2141" t="inlineStr">
        <is>
          <t>TDV</t>
        </is>
      </c>
      <c r="F2141" s="23" t="n">
        <v>46267</v>
      </c>
      <c r="G2141" t="inlineStr">
        <is>
          <t>recoleccion</t>
        </is>
      </c>
      <c r="H2141" s="26" t="n">
        <v>80541471</v>
      </c>
      <c r="I2141" t="inlineStr">
        <is>
          <t>bajo</t>
        </is>
      </c>
      <c r="J2141" t="inlineStr">
        <is>
          <t>RN-22 y RN-35: recoleccion al cierre de lo que pasa del cupo</t>
        </is>
      </c>
      <c r="K2141" t="inlineStr">
        <is>
          <t>Recoleccion al cierre: con el pronostico, el saldo cerraria en 121.391.471 COP, sobre el cupo de 40.850.000. Se recoge el excedente y el saldo queda en 40.850.000 COP. Equipo administrado por TDV.</t>
        </is>
      </c>
      <c r="L2141" s="26" t="n">
        <v>40850000</v>
      </c>
      <c r="M2141" s="26" t="n">
        <v>121391471</v>
      </c>
      <c r="N2141" s="27">
        <f>IF(ISNUMBER(M2141),M2141/L2141,"No aplica")</f>
        <v>2.9716394369645043</v>
      </c>
      <c r="O2141" s="25">
        <f>IF(G2141="provision",M2141+H2141,IF(G2141="recoleccion",M2141-H2141,"No aplica"))</f>
        <v>40850000</v>
      </c>
      <c r="P2141" s="26" t="n">
        <v>157715</v>
      </c>
    </row>
    <row r="2142">
      <c r="A2142" t="inlineStr">
        <is>
          <t>PRAGMA</t>
        </is>
      </c>
      <c r="B2142" t="inlineStr">
        <is>
          <t>M2</t>
        </is>
      </c>
      <c r="C2142" t="inlineStr">
        <is>
          <t>Cali</t>
        </is>
      </c>
      <c r="D2142" t="inlineStr">
        <is>
          <t>9984</t>
        </is>
      </c>
      <c r="E2142" t="inlineStr">
        <is>
          <t>TDV</t>
        </is>
      </c>
      <c r="F2142" s="23" t="n">
        <v>46268</v>
      </c>
      <c r="G2142" t="inlineStr">
        <is>
          <t>recoleccion</t>
        </is>
      </c>
      <c r="H2142" s="26" t="n">
        <v>76450831</v>
      </c>
      <c r="I2142" t="inlineStr">
        <is>
          <t>bajo</t>
        </is>
      </c>
      <c r="J2142" t="inlineStr">
        <is>
          <t>RN-22 y RN-35: recoleccion al cierre de lo que pasa del cupo</t>
        </is>
      </c>
      <c r="K2142" t="inlineStr">
        <is>
          <t>Recoleccion al cierre: con el pronostico, el saldo cerraria en 117.300.831 COP, sobre el cupo de 40.850.000. Se recoge el excedente y el saldo queda en 40.850.000 COP. Equipo administrado por TDV.</t>
        </is>
      </c>
      <c r="L2142" s="26" t="n">
        <v>40850000</v>
      </c>
      <c r="M2142" s="26" t="n">
        <v>117300831</v>
      </c>
      <c r="N2142" s="27">
        <f>IF(ISNUMBER(M2142),M2142/L2142,"No aplica")</f>
        <v>2.871501370869033</v>
      </c>
      <c r="O2142" s="25">
        <f>IF(G2142="provision",M2142+H2142,IF(G2142="recoleccion",M2142-H2142,"No aplica"))</f>
        <v>40850000</v>
      </c>
      <c r="P2142" s="26" t="n">
        <v>157715</v>
      </c>
    </row>
    <row r="2143">
      <c r="A2143" t="inlineStr">
        <is>
          <t>PRAGMA</t>
        </is>
      </c>
      <c r="B2143" t="inlineStr">
        <is>
          <t>M2</t>
        </is>
      </c>
      <c r="C2143" t="inlineStr">
        <is>
          <t>Cali</t>
        </is>
      </c>
      <c r="D2143" t="inlineStr">
        <is>
          <t>9984</t>
        </is>
      </c>
      <c r="E2143" t="inlineStr">
        <is>
          <t>TDV</t>
        </is>
      </c>
      <c r="F2143" s="23" t="n">
        <v>46269</v>
      </c>
      <c r="G2143" t="inlineStr">
        <is>
          <t>recoleccion</t>
        </is>
      </c>
      <c r="H2143" s="26" t="n">
        <v>83437455</v>
      </c>
      <c r="I2143" t="inlineStr">
        <is>
          <t>bajo</t>
        </is>
      </c>
      <c r="J2143" t="inlineStr">
        <is>
          <t>RN-22 y RN-35: recoleccion al cierre de lo que pasa del cupo</t>
        </is>
      </c>
      <c r="K2143" t="inlineStr">
        <is>
          <t>Recoleccion al cierre: con el pronostico, el saldo cerraria en 124.287.455 COP, sobre el cupo de 40.850.000. Se recoge el excedente y el saldo queda en 40.850.000 COP. Equipo administrado por TDV.</t>
        </is>
      </c>
      <c r="L2143" s="26" t="n">
        <v>40850000</v>
      </c>
      <c r="M2143" s="26" t="n">
        <v>124287455</v>
      </c>
      <c r="N2143" s="27">
        <f>IF(ISNUMBER(M2143),M2143/L2143,"No aplica")</f>
        <v>3.042532558139535</v>
      </c>
      <c r="O2143" s="25">
        <f>IF(G2143="provision",M2143+H2143,IF(G2143="recoleccion",M2143-H2143,"No aplica"))</f>
        <v>40850000</v>
      </c>
      <c r="P2143" s="26" t="n">
        <v>157715</v>
      </c>
    </row>
    <row r="2144">
      <c r="A2144" t="inlineStr">
        <is>
          <t>PRAGMA</t>
        </is>
      </c>
      <c r="B2144" t="inlineStr">
        <is>
          <t>M2</t>
        </is>
      </c>
      <c r="C2144" t="inlineStr">
        <is>
          <t>Cali</t>
        </is>
      </c>
      <c r="D2144" t="inlineStr">
        <is>
          <t>9984</t>
        </is>
      </c>
      <c r="E2144" t="inlineStr">
        <is>
          <t>TDV</t>
        </is>
      </c>
      <c r="F2144" s="23" t="n">
        <v>46270</v>
      </c>
      <c r="G2144" t="inlineStr">
        <is>
          <t>recoleccion</t>
        </is>
      </c>
      <c r="H2144" s="26" t="n">
        <v>76137079</v>
      </c>
      <c r="I2144" t="inlineStr">
        <is>
          <t>bajo</t>
        </is>
      </c>
      <c r="J2144" t="inlineStr">
        <is>
          <t>RN-22 y RN-35: recoleccion al cierre de lo que pasa del cupo</t>
        </is>
      </c>
      <c r="K2144" t="inlineStr">
        <is>
          <t>Recoleccion al cierre: con el pronostico, el saldo cerraria en 116.987.079 COP, sobre el cupo de 40.850.000. Se recoge el excedente y el saldo queda en 40.850.000 COP. Equipo administrado por TDV.</t>
        </is>
      </c>
      <c r="L2144" s="26" t="n">
        <v>40850000</v>
      </c>
      <c r="M2144" s="26" t="n">
        <v>116987079</v>
      </c>
      <c r="N2144" s="27">
        <f>IF(ISNUMBER(M2144),M2144/L2144,"No aplica")</f>
        <v>2.863820783353733</v>
      </c>
      <c r="O2144" s="25">
        <f>IF(G2144="provision",M2144+H2144,IF(G2144="recoleccion",M2144-H2144,"No aplica"))</f>
        <v>40850000</v>
      </c>
      <c r="P2144" s="26" t="n">
        <v>157715</v>
      </c>
    </row>
    <row r="2145">
      <c r="A2145" t="inlineStr">
        <is>
          <t>PRAGMA</t>
        </is>
      </c>
      <c r="B2145" t="inlineStr">
        <is>
          <t>M2</t>
        </is>
      </c>
      <c r="C2145" t="inlineStr">
        <is>
          <t>Cali</t>
        </is>
      </c>
      <c r="D2145" t="inlineStr">
        <is>
          <t>9984</t>
        </is>
      </c>
      <c r="E2145" t="inlineStr">
        <is>
          <t>TDV</t>
        </is>
      </c>
      <c r="F2145" s="23" t="n">
        <v>46271</v>
      </c>
      <c r="G2145" t="inlineStr">
        <is>
          <t>recoleccion</t>
        </is>
      </c>
      <c r="H2145" s="26" t="n">
        <v>28455352</v>
      </c>
      <c r="I2145" t="inlineStr">
        <is>
          <t>bajo</t>
        </is>
      </c>
      <c r="J2145" t="inlineStr">
        <is>
          <t>RN-22 y RN-35: recoleccion al cierre de lo que pasa del cupo</t>
        </is>
      </c>
      <c r="K2145" t="inlineStr">
        <is>
          <t>Recoleccion al cierre: con el pronostico, el saldo cerraria en 69.305.352 COP, sobre el cupo de 40.850.000. Se recoge el excedente y el saldo queda en 40.850.000 COP. Equipo administrado por TDV.</t>
        </is>
      </c>
      <c r="L2145" s="26" t="n">
        <v>40850000</v>
      </c>
      <c r="M2145" s="26" t="n">
        <v>69305352</v>
      </c>
      <c r="N2145" s="27">
        <f>IF(ISNUMBER(M2145),M2145/L2145,"No aplica")</f>
        <v>1.6965814443084455</v>
      </c>
      <c r="O2145" s="25">
        <f>IF(G2145="provision",M2145+H2145,IF(G2145="recoleccion",M2145-H2145,"No aplica"))</f>
        <v>40850000</v>
      </c>
      <c r="P2145" s="26" t="n">
        <v>215854</v>
      </c>
    </row>
    <row r="2146">
      <c r="A2146" t="inlineStr">
        <is>
          <t>PRAGMA</t>
        </is>
      </c>
      <c r="B2146" t="inlineStr">
        <is>
          <t>M2</t>
        </is>
      </c>
      <c r="C2146" t="inlineStr">
        <is>
          <t>Cali</t>
        </is>
      </c>
      <c r="D2146" t="inlineStr">
        <is>
          <t>9984</t>
        </is>
      </c>
      <c r="E2146" t="inlineStr">
        <is>
          <t>TDV</t>
        </is>
      </c>
      <c r="F2146" s="23" t="n">
        <v>46272</v>
      </c>
      <c r="G2146" t="inlineStr">
        <is>
          <t>recoleccion</t>
        </is>
      </c>
      <c r="H2146" s="26" t="n">
        <v>83561080</v>
      </c>
      <c r="I2146" t="inlineStr">
        <is>
          <t>bajo</t>
        </is>
      </c>
      <c r="J2146" t="inlineStr">
        <is>
          <t>RN-22 y RN-35: recoleccion al cierre de lo que pasa del cupo</t>
        </is>
      </c>
      <c r="K2146" t="inlineStr">
        <is>
          <t>Recoleccion al cierre: con el pronostico, el saldo cerraria en 124.411.080 COP, sobre el cupo de 40.850.000. Se recoge el excedente y el saldo queda en 40.850.000 COP. Equipo administrado por TDV.</t>
        </is>
      </c>
      <c r="L2146" s="26" t="n">
        <v>40850000</v>
      </c>
      <c r="M2146" s="26" t="n">
        <v>124411080</v>
      </c>
      <c r="N2146" s="27">
        <f>IF(ISNUMBER(M2146),M2146/L2146,"No aplica")</f>
        <v>3.0455588739290085</v>
      </c>
      <c r="O2146" s="25">
        <f>IF(G2146="provision",M2146+H2146,IF(G2146="recoleccion",M2146-H2146,"No aplica"))</f>
        <v>40850000</v>
      </c>
      <c r="P2146" s="26" t="n">
        <v>157715</v>
      </c>
    </row>
    <row r="2147">
      <c r="A2147" t="inlineStr">
        <is>
          <t>PRAGMA</t>
        </is>
      </c>
      <c r="B2147" t="inlineStr">
        <is>
          <t>M2</t>
        </is>
      </c>
      <c r="C2147" t="inlineStr">
        <is>
          <t>Cali</t>
        </is>
      </c>
      <c r="D2147" t="inlineStr">
        <is>
          <t>9984</t>
        </is>
      </c>
      <c r="E2147" t="inlineStr">
        <is>
          <t>TDV</t>
        </is>
      </c>
      <c r="F2147" s="23" t="n">
        <v>46273</v>
      </c>
      <c r="G2147" t="inlineStr">
        <is>
          <t>recoleccion</t>
        </is>
      </c>
      <c r="H2147" s="26" t="n">
        <v>78150620</v>
      </c>
      <c r="I2147" t="inlineStr">
        <is>
          <t>bajo</t>
        </is>
      </c>
      <c r="J2147" t="inlineStr">
        <is>
          <t>RN-22 y RN-35: recoleccion al cierre de lo que pasa del cupo</t>
        </is>
      </c>
      <c r="K2147" t="inlineStr">
        <is>
          <t>Recoleccion al cierre: con el pronostico, el saldo cerraria en 119.000.620 COP, sobre el cupo de 40.850.000. Se recoge el excedente y el saldo queda en 40.850.000 COP. Equipo administrado por TDV.</t>
        </is>
      </c>
      <c r="L2147" s="26" t="n">
        <v>40850000</v>
      </c>
      <c r="M2147" s="26" t="n">
        <v>119000620</v>
      </c>
      <c r="N2147" s="27">
        <f>IF(ISNUMBER(M2147),M2147/L2147,"No aplica")</f>
        <v>2.9131118727050183</v>
      </c>
      <c r="O2147" s="25">
        <f>IF(G2147="provision",M2147+H2147,IF(G2147="recoleccion",M2147-H2147,"No aplica"))</f>
        <v>40850000</v>
      </c>
      <c r="P2147" s="26" t="n">
        <v>157715</v>
      </c>
    </row>
    <row r="2148">
      <c r="A2148" t="inlineStr">
        <is>
          <t>PRAGMA</t>
        </is>
      </c>
      <c r="B2148" t="inlineStr">
        <is>
          <t>M2</t>
        </is>
      </c>
      <c r="C2148" t="inlineStr">
        <is>
          <t>Cali</t>
        </is>
      </c>
      <c r="D2148" t="inlineStr">
        <is>
          <t>9984</t>
        </is>
      </c>
      <c r="E2148" t="inlineStr">
        <is>
          <t>TDV</t>
        </is>
      </c>
      <c r="F2148" s="23" t="n">
        <v>46274</v>
      </c>
      <c r="G2148" t="inlineStr">
        <is>
          <t>recoleccion</t>
        </is>
      </c>
      <c r="H2148" s="26" t="n">
        <v>73042743</v>
      </c>
      <c r="I2148" t="inlineStr">
        <is>
          <t>bajo</t>
        </is>
      </c>
      <c r="J2148" t="inlineStr">
        <is>
          <t>RN-22 y RN-35: recoleccion al cierre de lo que pasa del cupo</t>
        </is>
      </c>
      <c r="K2148" t="inlineStr">
        <is>
          <t>Recoleccion al cierre: con el pronostico, el saldo cerraria en 113.892.743 COP, sobre el cupo de 40.850.000. Se recoge el excedente y el saldo queda en 40.850.000 COP. Equipo administrado por TDV.</t>
        </is>
      </c>
      <c r="L2148" s="26" t="n">
        <v>40850000</v>
      </c>
      <c r="M2148" s="26" t="n">
        <v>113892743</v>
      </c>
      <c r="N2148" s="27">
        <f>IF(ISNUMBER(M2148),M2148/L2148,"No aplica")</f>
        <v>2.7880720440636475</v>
      </c>
      <c r="O2148" s="25">
        <f>IF(G2148="provision",M2148+H2148,IF(G2148="recoleccion",M2148-H2148,"No aplica"))</f>
        <v>40850000</v>
      </c>
      <c r="P2148" s="26" t="n">
        <v>157715</v>
      </c>
    </row>
    <row r="2149">
      <c r="A2149" t="inlineStr">
        <is>
          <t>PRAGMA</t>
        </is>
      </c>
      <c r="B2149" t="inlineStr">
        <is>
          <t>M2</t>
        </is>
      </c>
      <c r="C2149" t="inlineStr">
        <is>
          <t>Cali</t>
        </is>
      </c>
      <c r="D2149" t="inlineStr">
        <is>
          <t>9984</t>
        </is>
      </c>
      <c r="E2149" t="inlineStr">
        <is>
          <t>TDV</t>
        </is>
      </c>
      <c r="F2149" s="23" t="n">
        <v>46275</v>
      </c>
      <c r="G2149" t="inlineStr">
        <is>
          <t>recoleccion</t>
        </is>
      </c>
      <c r="H2149" s="26" t="n">
        <v>66628250</v>
      </c>
      <c r="I2149" t="inlineStr">
        <is>
          <t>bajo</t>
        </is>
      </c>
      <c r="J2149" t="inlineStr">
        <is>
          <t>RN-22 y RN-35: recoleccion al cierre de lo que pasa del cupo</t>
        </is>
      </c>
      <c r="K2149" t="inlineStr">
        <is>
          <t>Recoleccion al cierre: con el pronostico, el saldo cerraria en 107.478.250 COP, sobre el cupo de 40.850.000. Se recoge el excedente y el saldo queda en 40.850.000 COP. Equipo administrado por TDV.</t>
        </is>
      </c>
      <c r="L2149" s="26" t="n">
        <v>40850000</v>
      </c>
      <c r="M2149" s="26" t="n">
        <v>107478250</v>
      </c>
      <c r="N2149" s="27">
        <f>IF(ISNUMBER(M2149),M2149/L2149,"No aplica")</f>
        <v>2.631046511627907</v>
      </c>
      <c r="O2149" s="25">
        <f>IF(G2149="provision",M2149+H2149,IF(G2149="recoleccion",M2149-H2149,"No aplica"))</f>
        <v>40850000</v>
      </c>
      <c r="P2149" s="26" t="n">
        <v>157715</v>
      </c>
    </row>
    <row r="2150">
      <c r="A2150" t="inlineStr">
        <is>
          <t>PRAGMA</t>
        </is>
      </c>
      <c r="B2150" t="inlineStr">
        <is>
          <t>M2</t>
        </is>
      </c>
      <c r="C2150" t="inlineStr">
        <is>
          <t>Cali</t>
        </is>
      </c>
      <c r="D2150" t="inlineStr">
        <is>
          <t>9984</t>
        </is>
      </c>
      <c r="E2150" t="inlineStr">
        <is>
          <t>TDV</t>
        </is>
      </c>
      <c r="F2150" s="23" t="n">
        <v>46276</v>
      </c>
      <c r="G2150" t="inlineStr">
        <is>
          <t>recoleccion</t>
        </is>
      </c>
      <c r="H2150" s="26" t="n">
        <v>73619403</v>
      </c>
      <c r="I2150" t="inlineStr">
        <is>
          <t>bajo</t>
        </is>
      </c>
      <c r="J2150" t="inlineStr">
        <is>
          <t>RN-22 y RN-35: recoleccion al cierre de lo que pasa del cupo</t>
        </is>
      </c>
      <c r="K2150" t="inlineStr">
        <is>
          <t>Recoleccion al cierre: con el pronostico, el saldo cerraria en 114.469.403 COP, sobre el cupo de 40.850.000. Se recoge el excedente y el saldo queda en 40.850.000 COP. Equipo administrado por TDV.</t>
        </is>
      </c>
      <c r="L2150" s="26" t="n">
        <v>40850000</v>
      </c>
      <c r="M2150" s="26" t="n">
        <v>114469403</v>
      </c>
      <c r="N2150" s="27">
        <f>IF(ISNUMBER(M2150),M2150/L2150,"No aplica")</f>
        <v>2.8021885679314567</v>
      </c>
      <c r="O2150" s="25">
        <f>IF(G2150="provision",M2150+H2150,IF(G2150="recoleccion",M2150-H2150,"No aplica"))</f>
        <v>40850000</v>
      </c>
      <c r="P2150" s="26" t="n">
        <v>157715</v>
      </c>
    </row>
    <row r="2151">
      <c r="A2151" t="inlineStr">
        <is>
          <t>PRAGMA</t>
        </is>
      </c>
      <c r="B2151" t="inlineStr">
        <is>
          <t>M2</t>
        </is>
      </c>
      <c r="C2151" t="inlineStr">
        <is>
          <t>Cali</t>
        </is>
      </c>
      <c r="D2151" t="inlineStr">
        <is>
          <t>9984</t>
        </is>
      </c>
      <c r="E2151" t="inlineStr">
        <is>
          <t>TDV</t>
        </is>
      </c>
      <c r="F2151" s="23" t="n">
        <v>46277</v>
      </c>
      <c r="G2151" t="inlineStr">
        <is>
          <t>recoleccion</t>
        </is>
      </c>
      <c r="H2151" s="26" t="n">
        <v>66115759</v>
      </c>
      <c r="I2151" t="inlineStr">
        <is>
          <t>bajo</t>
        </is>
      </c>
      <c r="J2151" t="inlineStr">
        <is>
          <t>RN-22 y RN-35: recoleccion al cierre de lo que pasa del cupo</t>
        </is>
      </c>
      <c r="K2151" t="inlineStr">
        <is>
          <t>Recoleccion al cierre: con el pronostico, el saldo cerraria en 106.965.759 COP, sobre el cupo de 40.850.000. Se recoge el excedente y el saldo queda en 40.850.000 COP. Equipo administrado por TDV.</t>
        </is>
      </c>
      <c r="L2151" s="26" t="n">
        <v>40850000</v>
      </c>
      <c r="M2151" s="26" t="n">
        <v>106965759</v>
      </c>
      <c r="N2151" s="27">
        <f>IF(ISNUMBER(M2151),M2151/L2151,"No aplica")</f>
        <v>2.6185008323133414</v>
      </c>
      <c r="O2151" s="25">
        <f>IF(G2151="provision",M2151+H2151,IF(G2151="recoleccion",M2151-H2151,"No aplica"))</f>
        <v>40850000</v>
      </c>
      <c r="P2151" s="26" t="n">
        <v>157715</v>
      </c>
    </row>
    <row r="2152">
      <c r="A2152" t="inlineStr">
        <is>
          <t>PRAGMA</t>
        </is>
      </c>
      <c r="B2152" t="inlineStr">
        <is>
          <t>M2</t>
        </is>
      </c>
      <c r="C2152" t="inlineStr">
        <is>
          <t>Cali</t>
        </is>
      </c>
      <c r="D2152" t="inlineStr">
        <is>
          <t>9984</t>
        </is>
      </c>
      <c r="E2152" t="inlineStr">
        <is>
          <t>TDV</t>
        </is>
      </c>
      <c r="F2152" s="23" t="n">
        <v>46278</v>
      </c>
      <c r="G2152" t="inlineStr">
        <is>
          <t>recoleccion</t>
        </is>
      </c>
      <c r="H2152" s="26" t="n">
        <v>25388955</v>
      </c>
      <c r="I2152" t="inlineStr">
        <is>
          <t>bajo</t>
        </is>
      </c>
      <c r="J2152" t="inlineStr">
        <is>
          <t>RN-22 y RN-35: recoleccion al cierre de lo que pasa del cupo</t>
        </is>
      </c>
      <c r="K2152" t="inlineStr">
        <is>
          <t>Recoleccion al cierre: con el pronostico, el saldo cerraria en 66.238.955 COP, sobre el cupo de 40.850.000. Se recoge el excedente y el saldo queda en 40.850.000 COP. Equipo administrado por TDV.</t>
        </is>
      </c>
      <c r="L2152" s="26" t="n">
        <v>40850000</v>
      </c>
      <c r="M2152" s="26" t="n">
        <v>66238955</v>
      </c>
      <c r="N2152" s="27">
        <f>IF(ISNUMBER(M2152),M2152/L2152,"No aplica")</f>
        <v>1.6215166462668298</v>
      </c>
      <c r="O2152" s="25">
        <f>IF(G2152="provision",M2152+H2152,IF(G2152="recoleccion",M2152-H2152,"No aplica"))</f>
        <v>40850000</v>
      </c>
      <c r="P2152" s="26" t="n">
        <v>215854</v>
      </c>
    </row>
    <row r="2153">
      <c r="A2153" t="inlineStr">
        <is>
          <t>PRAGMA</t>
        </is>
      </c>
      <c r="B2153" t="inlineStr">
        <is>
          <t>M2</t>
        </is>
      </c>
      <c r="C2153" t="inlineStr">
        <is>
          <t>Cali</t>
        </is>
      </c>
      <c r="D2153" t="inlineStr">
        <is>
          <t>9984</t>
        </is>
      </c>
      <c r="E2153" t="inlineStr">
        <is>
          <t>TDV</t>
        </is>
      </c>
      <c r="F2153" s="23" t="n">
        <v>46279</v>
      </c>
      <c r="G2153" t="inlineStr">
        <is>
          <t>recoleccion</t>
        </is>
      </c>
      <c r="H2153" s="26" t="n">
        <v>81632064</v>
      </c>
      <c r="I2153" t="inlineStr">
        <is>
          <t>bajo</t>
        </is>
      </c>
      <c r="J2153" t="inlineStr">
        <is>
          <t>RN-22 y RN-35: recoleccion al cierre de lo que pasa del cupo</t>
        </is>
      </c>
      <c r="K2153" t="inlineStr">
        <is>
          <t>Recoleccion al cierre: con el pronostico, el saldo cerraria en 122.482.064 COP, sobre el cupo de 40.850.000. Se recoge el excedente y el saldo queda en 40.850.000 COP. Equipo administrado por TDV.</t>
        </is>
      </c>
      <c r="L2153" s="26" t="n">
        <v>40850000</v>
      </c>
      <c r="M2153" s="26" t="n">
        <v>122482064</v>
      </c>
      <c r="N2153" s="27">
        <f>IF(ISNUMBER(M2153),M2153/L2153,"No aplica")</f>
        <v>2.9983369400244797</v>
      </c>
      <c r="O2153" s="25">
        <f>IF(G2153="provision",M2153+H2153,IF(G2153="recoleccion",M2153-H2153,"No aplica"))</f>
        <v>40850000</v>
      </c>
      <c r="P2153" s="26" t="n">
        <v>157715</v>
      </c>
    </row>
    <row r="2154">
      <c r="A2154" t="inlineStr">
        <is>
          <t>PRAGMA</t>
        </is>
      </c>
      <c r="B2154" t="inlineStr">
        <is>
          <t>M2</t>
        </is>
      </c>
      <c r="C2154" t="inlineStr">
        <is>
          <t>Cali</t>
        </is>
      </c>
      <c r="D2154" t="inlineStr">
        <is>
          <t>9984</t>
        </is>
      </c>
      <c r="E2154" t="inlineStr">
        <is>
          <t>TDV</t>
        </is>
      </c>
      <c r="F2154" s="23" t="n">
        <v>46280</v>
      </c>
      <c r="G2154" t="inlineStr">
        <is>
          <t>recoleccion</t>
        </is>
      </c>
      <c r="H2154" s="26" t="n">
        <v>85690672</v>
      </c>
      <c r="I2154" t="inlineStr">
        <is>
          <t>bajo</t>
        </is>
      </c>
      <c r="J2154" t="inlineStr">
        <is>
          <t>RN-22 y RN-35: recoleccion al cierre de lo que pasa del cupo</t>
        </is>
      </c>
      <c r="K2154" t="inlineStr">
        <is>
          <t>Recoleccion al cierre: con el pronostico, el saldo cerraria en 126.540.672 COP, sobre el cupo de 40.850.000. Se recoge el excedente y el saldo queda en 40.850.000 COP. Equipo administrado por TDV.</t>
        </is>
      </c>
      <c r="L2154" s="26" t="n">
        <v>40850000</v>
      </c>
      <c r="M2154" s="26" t="n">
        <v>126540672</v>
      </c>
      <c r="N2154" s="27">
        <f>IF(ISNUMBER(M2154),M2154/L2154,"No aplica")</f>
        <v>3.097690869033048</v>
      </c>
      <c r="O2154" s="25">
        <f>IF(G2154="provision",M2154+H2154,IF(G2154="recoleccion",M2154-H2154,"No aplica"))</f>
        <v>40850000</v>
      </c>
      <c r="P2154" s="26" t="n">
        <v>157715</v>
      </c>
    </row>
    <row r="2155">
      <c r="A2155" t="inlineStr">
        <is>
          <t>PRAGMA</t>
        </is>
      </c>
      <c r="B2155" t="inlineStr">
        <is>
          <t>M3</t>
        </is>
      </c>
      <c r="C2155" t="inlineStr">
        <is>
          <t>Cali</t>
        </is>
      </c>
      <c r="D2155" t="inlineStr">
        <is>
          <t>190</t>
        </is>
      </c>
      <c r="E2155" t="inlineStr">
        <is>
          <t>No aplica</t>
        </is>
      </c>
      <c r="F2155" s="23" t="n">
        <v>46266</v>
      </c>
      <c r="G2155" t="inlineStr">
        <is>
          <t>recoleccion</t>
        </is>
      </c>
      <c r="H2155" s="26" t="n">
        <v>44820222</v>
      </c>
      <c r="I2155" t="inlineStr">
        <is>
          <t>bajo</t>
        </is>
      </c>
      <c r="J2155" t="inlineStr">
        <is>
          <t>RN-41: riesgo de exceder el cupo</t>
        </is>
      </c>
      <c r="K2155" t="inlineStr">
        <is>
          <t>Recolección por riesgo de exceder el cupo: el saldo al cierre ($7.225.820.222) pasa el cupo $7.181.000.000. Se recogen $44.820.222 y el saldo queda en $7.181.000.000. En sus últimos 180 días la sucursal recibe más de lo que paga (entradas medias $1.051.631.226/día &gt; salidas medias $851.770.202/día); el neto diario varía $359.645.557 (σ). Costo estimado $35.145 (Anexo E: fijo $12.511 + $5 por cada $10.000 movidos).</t>
        </is>
      </c>
      <c r="L2155" s="26" t="n">
        <v>7181000000</v>
      </c>
      <c r="M2155" s="26" t="n">
        <v>7225820222</v>
      </c>
      <c r="N2155" s="27">
        <f>IF(ISNUMBER(M2155),M2155/L2155,"No aplica")</f>
        <v>1.006241501462192</v>
      </c>
      <c r="O2155" s="25">
        <f>IF(G2155="provision",M2155+H2155,IF(G2155="recoleccion",M2155-H2155,"No aplica"))</f>
        <v>7181000000</v>
      </c>
      <c r="P2155" s="26" t="n">
        <v>35145</v>
      </c>
    </row>
    <row r="2156">
      <c r="A2156" t="inlineStr">
        <is>
          <t>PRAGMA</t>
        </is>
      </c>
      <c r="B2156" t="inlineStr">
        <is>
          <t>M3</t>
        </is>
      </c>
      <c r="C2156" t="inlineStr">
        <is>
          <t>Cali</t>
        </is>
      </c>
      <c r="D2156" t="inlineStr">
        <is>
          <t>190</t>
        </is>
      </c>
      <c r="E2156" t="inlineStr">
        <is>
          <t>No aplica</t>
        </is>
      </c>
      <c r="F2156" s="23" t="n">
        <v>46268</v>
      </c>
      <c r="G2156" t="inlineStr">
        <is>
          <t>recoleccion</t>
        </is>
      </c>
      <c r="H2156" s="26" t="n">
        <v>190258618</v>
      </c>
      <c r="I2156" t="inlineStr">
        <is>
          <t>bajo</t>
        </is>
      </c>
      <c r="J2156" t="inlineStr">
        <is>
          <t>RN-41: riesgo de exceder el cupo</t>
        </is>
      </c>
      <c r="K2156" t="inlineStr">
        <is>
          <t>Recolección por riesgo de exceder el cupo: el saldo al cierre ($7.371.258.618) pasa el cupo $7.181.000.000. Se recogen $190.258.618 y el saldo queda en $7.181.000.000. En sus últimos 180 días la sucursal recibe más de lo que paga (entradas medias $1.051.631.226/día &gt; salidas medias $851.770.202/día); el neto diario varía $359.645.557 (σ). Costo estimado $108.592 (Anexo E: fijo $12.511 + $5 por cada $10.000 movidos).</t>
        </is>
      </c>
      <c r="L2156" s="26" t="n">
        <v>7181000000</v>
      </c>
      <c r="M2156" s="26" t="n">
        <v>7371258618</v>
      </c>
      <c r="N2156" s="27">
        <f>IF(ISNUMBER(M2156),M2156/L2156,"No aplica")</f>
        <v>1.0264947246901546</v>
      </c>
      <c r="O2156" s="25">
        <f>IF(G2156="provision",M2156+H2156,IF(G2156="recoleccion",M2156-H2156,"No aplica"))</f>
        <v>7181000000</v>
      </c>
      <c r="P2156" s="26" t="n">
        <v>108592</v>
      </c>
    </row>
    <row r="2157">
      <c r="A2157" t="inlineStr">
        <is>
          <t>PRAGMA</t>
        </is>
      </c>
      <c r="B2157" t="inlineStr">
        <is>
          <t>M3</t>
        </is>
      </c>
      <c r="C2157" t="inlineStr">
        <is>
          <t>Cali</t>
        </is>
      </c>
      <c r="D2157" t="inlineStr">
        <is>
          <t>190</t>
        </is>
      </c>
      <c r="E2157" t="inlineStr">
        <is>
          <t>No aplica</t>
        </is>
      </c>
      <c r="F2157" s="23" t="n">
        <v>46269</v>
      </c>
      <c r="G2157" t="inlineStr">
        <is>
          <t>recoleccion</t>
        </is>
      </c>
      <c r="H2157" s="26" t="n">
        <v>22772243</v>
      </c>
      <c r="I2157" t="inlineStr">
        <is>
          <t>bajo</t>
        </is>
      </c>
      <c r="J2157" t="inlineStr">
        <is>
          <t>RN-41: riesgo de exceder el cupo</t>
        </is>
      </c>
      <c r="K2157" t="inlineStr">
        <is>
          <t>Recolección por riesgo de exceder el cupo: el saldo al cierre ($7.203.772.243) pasa el cupo $7.181.000.000. Se recogen $22.772.243 y el saldo queda en $7.181.000.000. En sus últimos 180 días la sucursal recibe más de lo que paga (entradas medias $1.051.631.226/día &gt; salidas medias $851.770.202/día); el neto diario varía $359.645.557 (σ). Costo estimado $24.011 (Anexo E: fijo $12.511 + $5 por cada $10.000 movidos).</t>
        </is>
      </c>
      <c r="L2157" s="26" t="n">
        <v>7181000000</v>
      </c>
      <c r="M2157" s="26" t="n">
        <v>7203772243</v>
      </c>
      <c r="N2157" s="27">
        <f>IF(ISNUMBER(M2157),M2157/L2157,"No aplica")</f>
        <v>1.0031711799192313</v>
      </c>
      <c r="O2157" s="25">
        <f>IF(G2157="provision",M2157+H2157,IF(G2157="recoleccion",M2157-H2157,"No aplica"))</f>
        <v>7181000000</v>
      </c>
      <c r="P2157" s="26" t="n">
        <v>24011</v>
      </c>
    </row>
    <row r="2158">
      <c r="A2158" t="inlineStr">
        <is>
          <t>PRAGMA</t>
        </is>
      </c>
      <c r="B2158" t="inlineStr">
        <is>
          <t>M3</t>
        </is>
      </c>
      <c r="C2158" t="inlineStr">
        <is>
          <t>Cali</t>
        </is>
      </c>
      <c r="D2158" t="inlineStr">
        <is>
          <t>190</t>
        </is>
      </c>
      <c r="E2158" t="inlineStr">
        <is>
          <t>No aplica</t>
        </is>
      </c>
      <c r="F2158" s="23" t="n">
        <v>46273</v>
      </c>
      <c r="G2158" t="inlineStr">
        <is>
          <t>recoleccion</t>
        </is>
      </c>
      <c r="H2158" s="26" t="n">
        <v>129710416</v>
      </c>
      <c r="I2158" t="inlineStr">
        <is>
          <t>bajo</t>
        </is>
      </c>
      <c r="J2158" t="inlineStr">
        <is>
          <t>RN-41: riesgo de exceder el cupo</t>
        </is>
      </c>
      <c r="K2158" t="inlineStr">
        <is>
          <t>Recolección por riesgo de exceder el cupo: el saldo al cierre ($7.310.710.416) pasa el cupo $7.181.000.000. Se recogen $129.710.416 y el saldo queda en $7.181.000.000. En sus últimos 180 días la sucursal recibe más de lo que paga (entradas medias $1.051.631.226/día &gt; salidas medias $851.770.202/día); el neto diario varía $359.645.557 (σ). Costo estimado $78.015 (Anexo E: fijo $12.511 + $5 por cada $10.000 movidos).</t>
        </is>
      </c>
      <c r="L2158" s="26" t="n">
        <v>7181000000</v>
      </c>
      <c r="M2158" s="26" t="n">
        <v>7310710416</v>
      </c>
      <c r="N2158" s="27">
        <f>IF(ISNUMBER(M2158),M2158/L2158,"No aplica")</f>
        <v>1.0180630018103327</v>
      </c>
      <c r="O2158" s="25">
        <f>IF(G2158="provision",M2158+H2158,IF(G2158="recoleccion",M2158-H2158,"No aplica"))</f>
        <v>7181000000</v>
      </c>
      <c r="P2158" s="26" t="n">
        <v>78015</v>
      </c>
    </row>
    <row r="2159">
      <c r="A2159" t="inlineStr">
        <is>
          <t>PRAGMA</t>
        </is>
      </c>
      <c r="B2159" t="inlineStr">
        <is>
          <t>M3</t>
        </is>
      </c>
      <c r="C2159" t="inlineStr">
        <is>
          <t>Cali</t>
        </is>
      </c>
      <c r="D2159" t="inlineStr">
        <is>
          <t>190</t>
        </is>
      </c>
      <c r="E2159" t="inlineStr">
        <is>
          <t>No aplica</t>
        </is>
      </c>
      <c r="F2159" s="23" t="n">
        <v>46274</v>
      </c>
      <c r="G2159" t="inlineStr">
        <is>
          <t>recoleccion</t>
        </is>
      </c>
      <c r="H2159" s="26" t="n">
        <v>152837005</v>
      </c>
      <c r="I2159" t="inlineStr">
        <is>
          <t>bajo</t>
        </is>
      </c>
      <c r="J2159" t="inlineStr">
        <is>
          <t>RN-41: riesgo de exceder el cupo</t>
        </is>
      </c>
      <c r="K2159" t="inlineStr">
        <is>
          <t>Recolección por riesgo de exceder el cupo: el saldo al cierre ($7.333.837.005) pasa el cupo $7.181.000.000. Se recogen $152.837.005 y el saldo queda en $7.181.000.000. En sus últimos 180 días la sucursal recibe más de lo que paga (entradas medias $1.051.631.226/día &gt; salidas medias $851.770.202/día); el neto diario varía $359.645.557 (σ). Costo estimado $89.694 (Anexo E: fijo $12.511 + $5 por cada $10.000 movidos).</t>
        </is>
      </c>
      <c r="L2159" s="26" t="n">
        <v>7181000000</v>
      </c>
      <c r="M2159" s="26" t="n">
        <v>7333837005</v>
      </c>
      <c r="N2159" s="27">
        <f>IF(ISNUMBER(M2159),M2159/L2159,"No aplica")</f>
        <v>1.021283526667595</v>
      </c>
      <c r="O2159" s="25">
        <f>IF(G2159="provision",M2159+H2159,IF(G2159="recoleccion",M2159-H2159,"No aplica"))</f>
        <v>7181000000</v>
      </c>
      <c r="P2159" s="26" t="n">
        <v>89694</v>
      </c>
    </row>
    <row r="2160">
      <c r="A2160" t="inlineStr">
        <is>
          <t>PRAGMA</t>
        </is>
      </c>
      <c r="B2160" t="inlineStr">
        <is>
          <t>M3</t>
        </is>
      </c>
      <c r="C2160" t="inlineStr">
        <is>
          <t>Cali</t>
        </is>
      </c>
      <c r="D2160" t="inlineStr">
        <is>
          <t>190</t>
        </is>
      </c>
      <c r="E2160" t="inlineStr">
        <is>
          <t>No aplica</t>
        </is>
      </c>
      <c r="F2160" s="23" t="n">
        <v>46276</v>
      </c>
      <c r="G2160" t="inlineStr">
        <is>
          <t>recoleccion</t>
        </is>
      </c>
      <c r="H2160" s="26" t="n">
        <v>121207253</v>
      </c>
      <c r="I2160" t="inlineStr">
        <is>
          <t>bajo</t>
        </is>
      </c>
      <c r="J2160" t="inlineStr">
        <is>
          <t>RN-41: riesgo de exceder el cupo</t>
        </is>
      </c>
      <c r="K2160" t="inlineStr">
        <is>
          <t>Recolección por riesgo de exceder el cupo: el saldo al cierre ($7.302.207.253) pasa el cupo $7.181.000.000. Se recogen $121.207.253 y el saldo queda en $7.181.000.000. En sus últimos 180 días la sucursal recibe más de lo que paga (entradas medias $1.051.631.226/día &gt; salidas medias $851.770.202/día); el neto diario varía $359.645.557 (σ). Costo estimado $73.721 (Anexo E: fijo $12.511 + $5 por cada $10.000 movidos).</t>
        </is>
      </c>
      <c r="L2160" s="26" t="n">
        <v>7181000000</v>
      </c>
      <c r="M2160" s="26" t="n">
        <v>7302207253</v>
      </c>
      <c r="N2160" s="27">
        <f>IF(ISNUMBER(M2160),M2160/L2160,"No aplica")</f>
        <v>1.0168788821891102</v>
      </c>
      <c r="O2160" s="25">
        <f>IF(G2160="provision",M2160+H2160,IF(G2160="recoleccion",M2160-H2160,"No aplica"))</f>
        <v>7181000000</v>
      </c>
      <c r="P2160" s="26" t="n">
        <v>73721</v>
      </c>
    </row>
    <row r="2161">
      <c r="A2161" t="inlineStr">
        <is>
          <t>PRAGMA</t>
        </is>
      </c>
      <c r="B2161" t="inlineStr">
        <is>
          <t>M3</t>
        </is>
      </c>
      <c r="C2161" t="inlineStr">
        <is>
          <t>Cali</t>
        </is>
      </c>
      <c r="D2161" t="inlineStr">
        <is>
          <t>190</t>
        </is>
      </c>
      <c r="E2161" t="inlineStr">
        <is>
          <t>No aplica</t>
        </is>
      </c>
      <c r="F2161" s="23" t="n">
        <v>46280</v>
      </c>
      <c r="G2161" t="inlineStr">
        <is>
          <t>recoleccion</t>
        </is>
      </c>
      <c r="H2161" s="26" t="n">
        <v>95947614</v>
      </c>
      <c r="I2161" t="inlineStr">
        <is>
          <t>bajo</t>
        </is>
      </c>
      <c r="J2161" t="inlineStr">
        <is>
          <t>RN-41: riesgo de exceder el cupo</t>
        </is>
      </c>
      <c r="K2161" t="inlineStr">
        <is>
          <t>Recolección por riesgo de exceder el cupo: el saldo al cierre ($7.276.947.614) pasa el cupo $7.181.000.000. Se recogen $95.947.614 y el saldo queda en $7.181.000.000. En sus últimos 180 días la sucursal recibe más de lo que paga (entradas medias $1.051.631.226/día &gt; salidas medias $851.770.202/día); el neto diario varía $359.645.557 (σ). Costo estimado $60.965 (Anexo E: fijo $12.511 + $5 por cada $10.000 movidos).</t>
        </is>
      </c>
      <c r="L2161" s="26" t="n">
        <v>7181000000</v>
      </c>
      <c r="M2161" s="26" t="n">
        <v>7276947614</v>
      </c>
      <c r="N2161" s="27">
        <f>IF(ISNUMBER(M2161),M2161/L2161,"No aplica")</f>
        <v>1.0133613165297313</v>
      </c>
      <c r="O2161" s="25">
        <f>IF(G2161="provision",M2161+H2161,IF(G2161="recoleccion",M2161-H2161,"No aplica"))</f>
        <v>7181000000</v>
      </c>
      <c r="P2161" s="26" t="n">
        <v>60965</v>
      </c>
    </row>
    <row r="2162">
      <c r="A2162" t="inlineStr">
        <is>
          <t>PRAGMA</t>
        </is>
      </c>
      <c r="B2162" t="inlineStr">
        <is>
          <t>M3</t>
        </is>
      </c>
      <c r="C2162" t="inlineStr">
        <is>
          <t>Pasto</t>
        </is>
      </c>
      <c r="D2162" t="inlineStr">
        <is>
          <t>195</t>
        </is>
      </c>
      <c r="E2162" t="inlineStr">
        <is>
          <t>No aplica</t>
        </is>
      </c>
      <c r="F2162" s="23" t="n">
        <v>46266</v>
      </c>
      <c r="G2162" t="inlineStr">
        <is>
          <t>sin_accion</t>
        </is>
      </c>
      <c r="H2162" s="26" t="n">
        <v>0</v>
      </c>
      <c r="I2162" t="inlineStr">
        <is>
          <t>bajo</t>
        </is>
      </c>
      <c r="J2162" t="inlineStr">
        <is>
          <t>RN-02: una fila sin_accion</t>
        </is>
      </c>
      <c r="K2162" t="inlineStr">
        <is>
          <t>Sin accion en el horizonte: con el pronostico, el saldo se mantiene entre el umbral de agotamiento y el cupo sin necesidad de provision ni recoleccion.</t>
        </is>
      </c>
      <c r="L2162" s="26" t="n">
        <v>5593000000</v>
      </c>
      <c r="M2162" s="26" t="inlineStr">
        <is>
          <t>No aplica</t>
        </is>
      </c>
      <c r="N2162" s="27" t="str">
        <f>IF(ISNUMBER(M2162),M2162/L2162,"No aplica")</f>
        <v>No aplica</v>
      </c>
      <c r="O2162" s="25" t="str">
        <f>IF(G2162="provision",M2162+H2162,IF(G2162="recoleccion",M2162-H2162,"No aplica"))</f>
        <v>No aplica</v>
      </c>
      <c r="P2162" s="26" t="inlineStr">
        <is>
          <t>No aplica</t>
        </is>
      </c>
    </row>
    <row r="2163">
      <c r="A2163" t="inlineStr">
        <is>
          <t>PRAGMA</t>
        </is>
      </c>
      <c r="B2163" t="inlineStr">
        <is>
          <t>M3</t>
        </is>
      </c>
      <c r="C2163" t="inlineStr">
        <is>
          <t>Pasto</t>
        </is>
      </c>
      <c r="D2163" t="inlineStr">
        <is>
          <t>200</t>
        </is>
      </c>
      <c r="E2163" t="inlineStr">
        <is>
          <t>No aplica</t>
        </is>
      </c>
      <c r="F2163" s="23" t="n">
        <v>46270</v>
      </c>
      <c r="G2163" t="inlineStr">
        <is>
          <t>provision</t>
        </is>
      </c>
      <c r="H2163" s="26" t="n">
        <v>4954039722</v>
      </c>
      <c r="I2163" t="inlineStr">
        <is>
          <t>bajo</t>
        </is>
      </c>
      <c r="J2163" t="inlineStr">
        <is>
          <t>RN-40: riesgo de faltante (saldo previsto bajo la reserva)</t>
        </is>
      </c>
      <c r="K2163" t="inlineStr">
        <is>
          <t>Provisión por riesgo de faltante: el saldo previsto del día ($455.984.987 = apertura $1.784.075.125 + entradas $1.143.895.072 − salidas $2.471.985.210) queda bajo la reserva $1.428.490.253 = 20,8 % del cupo $6.872.000.000 (máx(umbral, 1·σ/cupo), tope 50,0 %). Se sube el saldo a $6.738.114.847 = reserva + 3 días de salidas medias, con tope en el cupo. Monto: $4.954.039.722. En sus últimos 180 días la sucursal paga más de lo que recibe (salidas medias $1.769.874.865/día &gt; entradas medias $1.206.063.113/día); el neto diario varía $1.428.490.253 (σ). Costo estimado $7.131.589 (Anexo E: fijo $181.071 + $14 por cada $10.000 movidos).</t>
        </is>
      </c>
      <c r="L2163" s="26" t="n">
        <v>6872000000</v>
      </c>
      <c r="M2163" s="26" t="n">
        <v>1784075125</v>
      </c>
      <c r="N2163" s="27">
        <f>IF(ISNUMBER(M2163),M2163/L2163,"No aplica")</f>
        <v>0.25961512296274736</v>
      </c>
      <c r="O2163" s="25">
        <f>IF(G2163="provision",M2163+H2163,IF(G2163="recoleccion",M2163-H2163,"No aplica"))</f>
        <v>6738114847</v>
      </c>
      <c r="P2163" s="26" t="n">
        <v>7131589</v>
      </c>
    </row>
    <row r="2164">
      <c r="A2164" t="inlineStr">
        <is>
          <t>PRAGMA</t>
        </is>
      </c>
      <c r="B2164" t="inlineStr">
        <is>
          <t>M3</t>
        </is>
      </c>
      <c r="C2164" t="inlineStr">
        <is>
          <t>Pasto</t>
        </is>
      </c>
      <c r="D2164" t="inlineStr">
        <is>
          <t>200</t>
        </is>
      </c>
      <c r="E2164" t="inlineStr">
        <is>
          <t>No aplica</t>
        </is>
      </c>
      <c r="F2164" s="23" t="n">
        <v>46276</v>
      </c>
      <c r="G2164" t="inlineStr">
        <is>
          <t>provision</t>
        </is>
      </c>
      <c r="H2164" s="26" t="n">
        <v>4168003220</v>
      </c>
      <c r="I2164" t="inlineStr">
        <is>
          <t>bajo</t>
        </is>
      </c>
      <c r="J2164" t="inlineStr">
        <is>
          <t>RN-40: riesgo de faltante (saldo previsto bajo la reserva)</t>
        </is>
      </c>
      <c r="K2164" t="inlineStr">
        <is>
          <t>Provisión por riesgo de faltante: el saldo previsto del día ($1.226.860.328 = apertura $2.570.111.627 + entradas $1.812.420.982 − salidas $3.155.672.281) queda bajo la reserva $1.428.490.253 = 20,8 % del cupo $6.872.000.000 (máx(umbral, 1·σ/cupo), tope 50,0 %). Se sube el saldo a $6.738.114.847 = reserva + 3 días de salidas medias, con tope en el cupo. Monto: $4.168.003.220. En sus últimos 180 días la sucursal paga más de lo que recibe (salidas medias $1.769.874.865/día &gt; entradas medias $1.206.063.113/día); el neto diario varía $1.428.490.253 (σ). Costo estimado $6.028.780 (Anexo E: fijo $181.071 + $14 por cada $10.000 movidos).</t>
        </is>
      </c>
      <c r="L2164" s="26" t="n">
        <v>6872000000</v>
      </c>
      <c r="M2164" s="26" t="n">
        <v>2570111627</v>
      </c>
      <c r="N2164" s="27">
        <f>IF(ISNUMBER(M2164),M2164/L2164,"No aplica")</f>
        <v>0.3739976174330617</v>
      </c>
      <c r="O2164" s="25">
        <f>IF(G2164="provision",M2164+H2164,IF(G2164="recoleccion",M2164-H2164,"No aplica"))</f>
        <v>6738114847</v>
      </c>
      <c r="P2164" s="26" t="n">
        <v>6028780</v>
      </c>
    </row>
    <row r="2165">
      <c r="A2165" t="inlineStr">
        <is>
          <t>PRAGMA</t>
        </is>
      </c>
      <c r="B2165" t="inlineStr">
        <is>
          <t>M3</t>
        </is>
      </c>
      <c r="C2165" t="inlineStr">
        <is>
          <t>Cali</t>
        </is>
      </c>
      <c r="D2165" t="inlineStr">
        <is>
          <t>210</t>
        </is>
      </c>
      <c r="E2165" t="inlineStr">
        <is>
          <t>No aplica</t>
        </is>
      </c>
      <c r="F2165" s="23" t="n">
        <v>46266</v>
      </c>
      <c r="G2165" t="inlineStr">
        <is>
          <t>recoleccion</t>
        </is>
      </c>
      <c r="H2165" s="26" t="n">
        <v>1537917308</v>
      </c>
      <c r="I2165" t="inlineStr">
        <is>
          <t>bajo</t>
        </is>
      </c>
      <c r="J2165" t="inlineStr">
        <is>
          <t>RN-41: riesgo de exceder el cupo</t>
        </is>
      </c>
      <c r="K2165" t="inlineStr">
        <is>
          <t>Recolección por riesgo de exceder el cupo: el saldo al cierre ($6.221.076.306) pasa el cupo $5.840.000.000. Se recogen $1.537.917.308 y el saldo queda en $4.683.158.998. En sus últimos 180 días la sucursal recibe más de lo que paga (entradas medias $523.078.988/día &gt; salidas medias $281.063.933/día); el neto diario varía $278.291.192 (σ). Costo estimado $847.520 (Anexo E: fijo $13.969 + $5 por cada $10.000 movidos).</t>
        </is>
      </c>
      <c r="L2165" s="26" t="n">
        <v>5840000000</v>
      </c>
      <c r="M2165" s="26" t="n">
        <v>6221076306</v>
      </c>
      <c r="N2165" s="27">
        <f>IF(ISNUMBER(M2165),M2165/L2165,"No aplica")</f>
        <v>1.0652527921232877</v>
      </c>
      <c r="O2165" s="25">
        <f>IF(G2165="provision",M2165+H2165,IF(G2165="recoleccion",M2165-H2165,"No aplica"))</f>
        <v>4683158998</v>
      </c>
      <c r="P2165" s="26" t="n">
        <v>847520</v>
      </c>
    </row>
    <row r="2166">
      <c r="A2166" t="inlineStr">
        <is>
          <t>PRAGMA</t>
        </is>
      </c>
      <c r="B2166" t="inlineStr">
        <is>
          <t>M3</t>
        </is>
      </c>
      <c r="C2166" t="inlineStr">
        <is>
          <t>Cali</t>
        </is>
      </c>
      <c r="D2166" t="inlineStr">
        <is>
          <t>210</t>
        </is>
      </c>
      <c r="E2166" t="inlineStr">
        <is>
          <t>No aplica</t>
        </is>
      </c>
      <c r="F2166" s="23" t="n">
        <v>46267</v>
      </c>
      <c r="G2166" t="inlineStr">
        <is>
          <t>recoleccion</t>
        </is>
      </c>
      <c r="H2166" s="26" t="n">
        <v>352784191</v>
      </c>
      <c r="I2166" t="inlineStr">
        <is>
          <t>bajo</t>
        </is>
      </c>
      <c r="J2166" t="inlineStr">
        <is>
          <t>RN-41: efectivo ocioso sobre el techo</t>
        </is>
      </c>
      <c r="K2166" t="inlineStr">
        <is>
          <t>Recolección por efectivo ocioso: el saldo al cierre ($5.035.943.189) pasa el techo $4.683.158.998 (reserva + 15 días de salidas medias, tope en el cupo $5.840.000.000). Se recogen $352.784.191 y el saldo queda en $4.683.158.998. En sus últimos 180 días la sucursal recibe más de lo que paga (entradas medias $523.078.988/día &gt; salidas medias $281.063.933/día); el neto diario varía $278.291.192 (σ). Costo estimado $205.178 (Anexo E: fijo $13.969 + $5 por cada $10.000 movidos).</t>
        </is>
      </c>
      <c r="L2166" s="26" t="n">
        <v>5840000000</v>
      </c>
      <c r="M2166" s="26" t="n">
        <v>5035943189</v>
      </c>
      <c r="N2166" s="27">
        <f>IF(ISNUMBER(M2166),M2166/L2166,"No aplica")</f>
        <v>0.8623190392123288</v>
      </c>
      <c r="O2166" s="25">
        <f>IF(G2166="provision",M2166+H2166,IF(G2166="recoleccion",M2166-H2166,"No aplica"))</f>
        <v>4683158998</v>
      </c>
      <c r="P2166" s="26" t="n">
        <v>205178</v>
      </c>
    </row>
    <row r="2167">
      <c r="A2167" t="inlineStr">
        <is>
          <t>PRAGMA</t>
        </is>
      </c>
      <c r="B2167" t="inlineStr">
        <is>
          <t>M3</t>
        </is>
      </c>
      <c r="C2167" t="inlineStr">
        <is>
          <t>Cali</t>
        </is>
      </c>
      <c r="D2167" t="inlineStr">
        <is>
          <t>210</t>
        </is>
      </c>
      <c r="E2167" t="inlineStr">
        <is>
          <t>No aplica</t>
        </is>
      </c>
      <c r="F2167" s="23" t="n">
        <v>46268</v>
      </c>
      <c r="G2167" t="inlineStr">
        <is>
          <t>recoleccion</t>
        </is>
      </c>
      <c r="H2167" s="26" t="n">
        <v>399752960</v>
      </c>
      <c r="I2167" t="inlineStr">
        <is>
          <t>bajo</t>
        </is>
      </c>
      <c r="J2167" t="inlineStr">
        <is>
          <t>RN-41: efectivo ocioso sobre el techo</t>
        </is>
      </c>
      <c r="K2167" t="inlineStr">
        <is>
          <t>Recolección por efectivo ocioso: el saldo al cierre ($5.082.911.958) pasa el techo $4.683.158.998 (reserva + 15 días de salidas medias, tope en el cupo $5.840.000.000). Se recogen $399.752.960 y el saldo queda en $4.683.158.998. En sus últimos 180 días la sucursal recibe más de lo que paga (entradas medias $523.078.988/día &gt; salidas medias $281.063.933/día); el neto diario varía $278.291.192 (σ). Costo estimado $230.635 (Anexo E: fijo $13.969 + $5 por cada $10.000 movidos).</t>
        </is>
      </c>
      <c r="L2167" s="26" t="n">
        <v>5840000000</v>
      </c>
      <c r="M2167" s="26" t="n">
        <v>5082911958</v>
      </c>
      <c r="N2167" s="27">
        <f>IF(ISNUMBER(M2167),M2167/L2167,"No aplica")</f>
        <v>0.8703616366438356</v>
      </c>
      <c r="O2167" s="25">
        <f>IF(G2167="provision",M2167+H2167,IF(G2167="recoleccion",M2167-H2167,"No aplica"))</f>
        <v>4683158998</v>
      </c>
      <c r="P2167" s="26" t="n">
        <v>230635</v>
      </c>
    </row>
    <row r="2168">
      <c r="A2168" t="inlineStr">
        <is>
          <t>PRAGMA</t>
        </is>
      </c>
      <c r="B2168" t="inlineStr">
        <is>
          <t>M3</t>
        </is>
      </c>
      <c r="C2168" t="inlineStr">
        <is>
          <t>Cali</t>
        </is>
      </c>
      <c r="D2168" t="inlineStr">
        <is>
          <t>210</t>
        </is>
      </c>
      <c r="E2168" t="inlineStr">
        <is>
          <t>No aplica</t>
        </is>
      </c>
      <c r="F2168" s="23" t="n">
        <v>46269</v>
      </c>
      <c r="G2168" t="inlineStr">
        <is>
          <t>recoleccion</t>
        </is>
      </c>
      <c r="H2168" s="26" t="n">
        <v>384181507</v>
      </c>
      <c r="I2168" t="inlineStr">
        <is>
          <t>bajo</t>
        </is>
      </c>
      <c r="J2168" t="inlineStr">
        <is>
          <t>RN-41: efectivo ocioso sobre el techo</t>
        </is>
      </c>
      <c r="K2168" t="inlineStr">
        <is>
          <t>Recolección por efectivo ocioso: el saldo al cierre ($5.067.340.505) pasa el techo $4.683.158.998 (reserva + 15 días de salidas medias, tope en el cupo $5.840.000.000). Se recogen $384.181.507 y el saldo queda en $4.683.158.998. En sus últimos 180 días la sucursal recibe más de lo que paga (entradas medias $523.078.988/día &gt; salidas medias $281.063.933/día); el neto diario varía $278.291.192 (σ). Costo estimado $222.195 (Anexo E: fijo $13.969 + $5 por cada $10.000 movidos).</t>
        </is>
      </c>
      <c r="L2168" s="26" t="n">
        <v>5840000000</v>
      </c>
      <c r="M2168" s="26" t="n">
        <v>5067340505</v>
      </c>
      <c r="N2168" s="27">
        <f>IF(ISNUMBER(M2168),M2168/L2168,"No aplica")</f>
        <v>0.8676952919520547</v>
      </c>
      <c r="O2168" s="25">
        <f>IF(G2168="provision",M2168+H2168,IF(G2168="recoleccion",M2168-H2168,"No aplica"))</f>
        <v>4683158998</v>
      </c>
      <c r="P2168" s="26" t="n">
        <v>222195</v>
      </c>
    </row>
    <row r="2169">
      <c r="A2169" t="inlineStr">
        <is>
          <t>PRAGMA</t>
        </is>
      </c>
      <c r="B2169" t="inlineStr">
        <is>
          <t>M3</t>
        </is>
      </c>
      <c r="C2169" t="inlineStr">
        <is>
          <t>Cali</t>
        </is>
      </c>
      <c r="D2169" t="inlineStr">
        <is>
          <t>210</t>
        </is>
      </c>
      <c r="E2169" t="inlineStr">
        <is>
          <t>No aplica</t>
        </is>
      </c>
      <c r="F2169" s="23" t="n">
        <v>46271</v>
      </c>
      <c r="G2169" t="inlineStr">
        <is>
          <t>recoleccion</t>
        </is>
      </c>
      <c r="H2169" s="26" t="n">
        <v>1600077</v>
      </c>
      <c r="I2169" t="inlineStr">
        <is>
          <t>bajo</t>
        </is>
      </c>
      <c r="J2169" t="inlineStr">
        <is>
          <t>RN-41: efectivo ocioso sobre el techo</t>
        </is>
      </c>
      <c r="K2169" t="inlineStr">
        <is>
          <t>Recolección por efectivo ocioso: el saldo al cierre ($4.684.759.075) pasa el techo $4.683.158.998 (reserva + 15 días de salidas medias, tope en el cupo $5.840.000.000). Se recogen $1.600.077 y el saldo queda en $4.683.158.998. En sus últimos 180 días la sucursal recibe más de lo que paga (entradas medias $523.078.988/día &gt; salidas medias $281.063.933/día); el neto diario varía $278.291.192 (σ). Costo estimado $14.836 (Anexo E: fijo $13.969 + $5 por cada $10.000 movidos).</t>
        </is>
      </c>
      <c r="L2169" s="26" t="n">
        <v>5840000000</v>
      </c>
      <c r="M2169" s="26" t="n">
        <v>4684759075</v>
      </c>
      <c r="N2169" s="27">
        <f>IF(ISNUMBER(M2169),M2169/L2169,"No aplica")</f>
        <v>0.8021847731164383</v>
      </c>
      <c r="O2169" s="25">
        <f>IF(G2169="provision",M2169+H2169,IF(G2169="recoleccion",M2169-H2169,"No aplica"))</f>
        <v>4683158998</v>
      </c>
      <c r="P2169" s="26" t="n">
        <v>14836</v>
      </c>
    </row>
    <row r="2170">
      <c r="A2170" t="inlineStr">
        <is>
          <t>PRAGMA</t>
        </is>
      </c>
      <c r="B2170" t="inlineStr">
        <is>
          <t>M3</t>
        </is>
      </c>
      <c r="C2170" t="inlineStr">
        <is>
          <t>Cali</t>
        </is>
      </c>
      <c r="D2170" t="inlineStr">
        <is>
          <t>210</t>
        </is>
      </c>
      <c r="E2170" t="inlineStr">
        <is>
          <t>No aplica</t>
        </is>
      </c>
      <c r="F2170" s="23" t="n">
        <v>46272</v>
      </c>
      <c r="G2170" t="inlineStr">
        <is>
          <t>recoleccion</t>
        </is>
      </c>
      <c r="H2170" s="26" t="n">
        <v>408948168</v>
      </c>
      <c r="I2170" t="inlineStr">
        <is>
          <t>bajo</t>
        </is>
      </c>
      <c r="J2170" t="inlineStr">
        <is>
          <t>RN-41: efectivo ocioso sobre el techo</t>
        </is>
      </c>
      <c r="K2170" t="inlineStr">
        <is>
          <t>Recolección por efectivo ocioso: el saldo al cierre ($5.092.107.166) pasa el techo $4.683.158.998 (reserva + 15 días de salidas medias, tope en el cupo $5.840.000.000). Se recogen $408.948.168 y el saldo queda en $4.683.158.998. En sus últimos 180 días la sucursal recibe más de lo que paga (entradas medias $523.078.988/día &gt; salidas medias $281.063.933/día); el neto diario varía $278.291.192 (σ). Costo estimado $235.619 (Anexo E: fijo $13.969 + $5 por cada $10.000 movidos).</t>
        </is>
      </c>
      <c r="L2170" s="26" t="n">
        <v>5840000000</v>
      </c>
      <c r="M2170" s="26" t="n">
        <v>5092107166</v>
      </c>
      <c r="N2170" s="27">
        <f>IF(ISNUMBER(M2170),M2170/L2170,"No aplica")</f>
        <v>0.8719361585616439</v>
      </c>
      <c r="O2170" s="25">
        <f>IF(G2170="provision",M2170+H2170,IF(G2170="recoleccion",M2170-H2170,"No aplica"))</f>
        <v>4683158998</v>
      </c>
      <c r="P2170" s="26" t="n">
        <v>235619</v>
      </c>
    </row>
    <row r="2171">
      <c r="A2171" t="inlineStr">
        <is>
          <t>PRAGMA</t>
        </is>
      </c>
      <c r="B2171" t="inlineStr">
        <is>
          <t>M3</t>
        </is>
      </c>
      <c r="C2171" t="inlineStr">
        <is>
          <t>Cali</t>
        </is>
      </c>
      <c r="D2171" t="inlineStr">
        <is>
          <t>210</t>
        </is>
      </c>
      <c r="E2171" t="inlineStr">
        <is>
          <t>No aplica</t>
        </is>
      </c>
      <c r="F2171" s="23" t="n">
        <v>46273</v>
      </c>
      <c r="G2171" t="inlineStr">
        <is>
          <t>recoleccion</t>
        </is>
      </c>
      <c r="H2171" s="26" t="n">
        <v>447517837</v>
      </c>
      <c r="I2171" t="inlineStr">
        <is>
          <t>bajo</t>
        </is>
      </c>
      <c r="J2171" t="inlineStr">
        <is>
          <t>RN-41: efectivo ocioso sobre el techo</t>
        </is>
      </c>
      <c r="K2171" t="inlineStr">
        <is>
          <t>Recolección por efectivo ocioso: el saldo al cierre ($5.130.676.835) pasa el techo $4.683.158.998 (reserva + 15 días de salidas medias, tope en el cupo $5.840.000.000). Se recogen $447.517.837 y el saldo queda en $4.683.158.998. En sus últimos 180 días la sucursal recibe más de lo que paga (entradas medias $523.078.988/día &gt; salidas medias $281.063.933/día); el neto diario varía $278.291.192 (σ). Costo estimado $256.524 (Anexo E: fijo $13.969 + $5 por cada $10.000 movidos).</t>
        </is>
      </c>
      <c r="L2171" s="26" t="n">
        <v>5840000000</v>
      </c>
      <c r="M2171" s="26" t="n">
        <v>5130676835</v>
      </c>
      <c r="N2171" s="27">
        <f>IF(ISNUMBER(M2171),M2171/L2171,"No aplica")</f>
        <v>0.8785405539383562</v>
      </c>
      <c r="O2171" s="25">
        <f>IF(G2171="provision",M2171+H2171,IF(G2171="recoleccion",M2171-H2171,"No aplica"))</f>
        <v>4683158998</v>
      </c>
      <c r="P2171" s="26" t="n">
        <v>256524</v>
      </c>
    </row>
    <row r="2172">
      <c r="A2172" t="inlineStr">
        <is>
          <t>PRAGMA</t>
        </is>
      </c>
      <c r="B2172" t="inlineStr">
        <is>
          <t>M3</t>
        </is>
      </c>
      <c r="C2172" t="inlineStr">
        <is>
          <t>Cali</t>
        </is>
      </c>
      <c r="D2172" t="inlineStr">
        <is>
          <t>210</t>
        </is>
      </c>
      <c r="E2172" t="inlineStr">
        <is>
          <t>No aplica</t>
        </is>
      </c>
      <c r="F2172" s="23" t="n">
        <v>46274</v>
      </c>
      <c r="G2172" t="inlineStr">
        <is>
          <t>recoleccion</t>
        </is>
      </c>
      <c r="H2172" s="26" t="n">
        <v>412905976</v>
      </c>
      <c r="I2172" t="inlineStr">
        <is>
          <t>bajo</t>
        </is>
      </c>
      <c r="J2172" t="inlineStr">
        <is>
          <t>RN-41: efectivo ocioso sobre el techo</t>
        </is>
      </c>
      <c r="K2172" t="inlineStr">
        <is>
          <t>Recolección por efectivo ocioso: el saldo al cierre ($5.096.064.974) pasa el techo $4.683.158.998 (reserva + 15 días de salidas medias, tope en el cupo $5.840.000.000). Se recogen $412.905.976 y el saldo queda en $4.683.158.998. En sus últimos 180 días la sucursal recibe más de lo que paga (entradas medias $523.078.988/día &gt; salidas medias $281.063.933/día); el neto diario varía $278.291.192 (σ). Costo estimado $237.764 (Anexo E: fijo $13.969 + $5 por cada $10.000 movidos).</t>
        </is>
      </c>
      <c r="L2172" s="26" t="n">
        <v>5840000000</v>
      </c>
      <c r="M2172" s="26" t="n">
        <v>5096064974</v>
      </c>
      <c r="N2172" s="27">
        <f>IF(ISNUMBER(M2172),M2172/L2172,"No aplica")</f>
        <v>0.8726138654109589</v>
      </c>
      <c r="O2172" s="25">
        <f>IF(G2172="provision",M2172+H2172,IF(G2172="recoleccion",M2172-H2172,"No aplica"))</f>
        <v>4683158998</v>
      </c>
      <c r="P2172" s="26" t="n">
        <v>237764</v>
      </c>
    </row>
    <row r="2173">
      <c r="A2173" t="inlineStr">
        <is>
          <t>PRAGMA</t>
        </is>
      </c>
      <c r="B2173" t="inlineStr">
        <is>
          <t>M3</t>
        </is>
      </c>
      <c r="C2173" t="inlineStr">
        <is>
          <t>Cali</t>
        </is>
      </c>
      <c r="D2173" t="inlineStr">
        <is>
          <t>210</t>
        </is>
      </c>
      <c r="E2173" t="inlineStr">
        <is>
          <t>No aplica</t>
        </is>
      </c>
      <c r="F2173" s="23" t="n">
        <v>46275</v>
      </c>
      <c r="G2173" t="inlineStr">
        <is>
          <t>recoleccion</t>
        </is>
      </c>
      <c r="H2173" s="26" t="n">
        <v>325388435</v>
      </c>
      <c r="I2173" t="inlineStr">
        <is>
          <t>bajo</t>
        </is>
      </c>
      <c r="J2173" t="inlineStr">
        <is>
          <t>RN-41: efectivo ocioso sobre el techo</t>
        </is>
      </c>
      <c r="K2173" t="inlineStr">
        <is>
          <t>Recolección por efectivo ocioso: el saldo al cierre ($5.008.547.433) pasa el techo $4.683.158.998 (reserva + 15 días de salidas medias, tope en el cupo $5.840.000.000). Se recogen $325.388.435 y el saldo queda en $4.683.158.998. En sus últimos 180 días la sucursal recibe más de lo que paga (entradas medias $523.078.988/día &gt; salidas medias $281.063.933/día); el neto diario varía $278.291.192 (σ). Costo estimado $190.330 (Anexo E: fijo $13.969 + $5 por cada $10.000 movidos).</t>
        </is>
      </c>
      <c r="L2173" s="26" t="n">
        <v>5840000000</v>
      </c>
      <c r="M2173" s="26" t="n">
        <v>5008547433</v>
      </c>
      <c r="N2173" s="27">
        <f>IF(ISNUMBER(M2173),M2173/L2173,"No aplica")</f>
        <v>0.8576279851027397</v>
      </c>
      <c r="O2173" s="25">
        <f>IF(G2173="provision",M2173+H2173,IF(G2173="recoleccion",M2173-H2173,"No aplica"))</f>
        <v>4683158998</v>
      </c>
      <c r="P2173" s="26" t="n">
        <v>190330</v>
      </c>
    </row>
    <row r="2174">
      <c r="A2174" t="inlineStr">
        <is>
          <t>PRAGMA</t>
        </is>
      </c>
      <c r="B2174" t="inlineStr">
        <is>
          <t>M3</t>
        </is>
      </c>
      <c r="C2174" t="inlineStr">
        <is>
          <t>Cali</t>
        </is>
      </c>
      <c r="D2174" t="inlineStr">
        <is>
          <t>210</t>
        </is>
      </c>
      <c r="E2174" t="inlineStr">
        <is>
          <t>No aplica</t>
        </is>
      </c>
      <c r="F2174" s="23" t="n">
        <v>46276</v>
      </c>
      <c r="G2174" t="inlineStr">
        <is>
          <t>recoleccion</t>
        </is>
      </c>
      <c r="H2174" s="26" t="n">
        <v>455141913</v>
      </c>
      <c r="I2174" t="inlineStr">
        <is>
          <t>bajo</t>
        </is>
      </c>
      <c r="J2174" t="inlineStr">
        <is>
          <t>RN-41: efectivo ocioso sobre el techo</t>
        </is>
      </c>
      <c r="K2174" t="inlineStr">
        <is>
          <t>Recolección por efectivo ocioso: el saldo al cierre ($5.138.300.911) pasa el techo $4.683.158.998 (reserva + 15 días de salidas medias, tope en el cupo $5.840.000.000). Se recogen $455.141.913 y el saldo queda en $4.683.158.998. En sus últimos 180 días la sucursal recibe más de lo que paga (entradas medias $523.078.988/día &gt; salidas medias $281.063.933/día); el neto diario varía $278.291.192 (σ). Costo estimado $260.656 (Anexo E: fijo $13.969 + $5 por cada $10.000 movidos).</t>
        </is>
      </c>
      <c r="L2174" s="26" t="n">
        <v>5840000000</v>
      </c>
      <c r="M2174" s="26" t="n">
        <v>5138300911</v>
      </c>
      <c r="N2174" s="27">
        <f>IF(ISNUMBER(M2174),M2174/L2174,"No aplica")</f>
        <v>0.8798460464041096</v>
      </c>
      <c r="O2174" s="25">
        <f>IF(G2174="provision",M2174+H2174,IF(G2174="recoleccion",M2174-H2174,"No aplica"))</f>
        <v>4683158998</v>
      </c>
      <c r="P2174" s="26" t="n">
        <v>260656</v>
      </c>
    </row>
    <row r="2175">
      <c r="A2175" t="inlineStr">
        <is>
          <t>PRAGMA</t>
        </is>
      </c>
      <c r="B2175" t="inlineStr">
        <is>
          <t>M3</t>
        </is>
      </c>
      <c r="C2175" t="inlineStr">
        <is>
          <t>Cali</t>
        </is>
      </c>
      <c r="D2175" t="inlineStr">
        <is>
          <t>210</t>
        </is>
      </c>
      <c r="E2175" t="inlineStr">
        <is>
          <t>No aplica</t>
        </is>
      </c>
      <c r="F2175" s="23" t="n">
        <v>46277</v>
      </c>
      <c r="G2175" t="inlineStr">
        <is>
          <t>recoleccion</t>
        </is>
      </c>
      <c r="H2175" s="26" t="n">
        <v>610718</v>
      </c>
      <c r="I2175" t="inlineStr">
        <is>
          <t>bajo</t>
        </is>
      </c>
      <c r="J2175" t="inlineStr">
        <is>
          <t>RN-41: efectivo ocioso sobre el techo</t>
        </is>
      </c>
      <c r="K2175" t="inlineStr">
        <is>
          <t>Recolección por efectivo ocioso: el saldo al cierre ($4.683.769.716) pasa el techo $4.683.158.998 (reserva + 15 días de salidas medias, tope en el cupo $5.840.000.000). Se recogen $610.718 y el saldo queda en $4.683.158.998. En sus últimos 180 días la sucursal recibe más de lo que paga (entradas medias $523.078.988/día &gt; salidas medias $281.063.933/día); el neto diario varía $278.291.192 (σ). Costo estimado $14.300 (Anexo E: fijo $13.969 + $5 por cada $10.000 movidos).</t>
        </is>
      </c>
      <c r="L2175" s="26" t="n">
        <v>5840000000</v>
      </c>
      <c r="M2175" s="26" t="n">
        <v>4683769716</v>
      </c>
      <c r="N2175" s="27">
        <f>IF(ISNUMBER(M2175),M2175/L2175,"No aplica")</f>
        <v>0.8020153623287671</v>
      </c>
      <c r="O2175" s="25">
        <f>IF(G2175="provision",M2175+H2175,IF(G2175="recoleccion",M2175-H2175,"No aplica"))</f>
        <v>4683158998</v>
      </c>
      <c r="P2175" s="26" t="n">
        <v>14300</v>
      </c>
    </row>
    <row r="2176">
      <c r="A2176" t="inlineStr">
        <is>
          <t>PRAGMA</t>
        </is>
      </c>
      <c r="B2176" t="inlineStr">
        <is>
          <t>M3</t>
        </is>
      </c>
      <c r="C2176" t="inlineStr">
        <is>
          <t>Cali</t>
        </is>
      </c>
      <c r="D2176" t="inlineStr">
        <is>
          <t>210</t>
        </is>
      </c>
      <c r="E2176" t="inlineStr">
        <is>
          <t>No aplica</t>
        </is>
      </c>
      <c r="F2176" s="23" t="n">
        <v>46278</v>
      </c>
      <c r="G2176" t="inlineStr">
        <is>
          <t>recoleccion</t>
        </is>
      </c>
      <c r="H2176" s="26" t="n">
        <v>112106</v>
      </c>
      <c r="I2176" t="inlineStr">
        <is>
          <t>bajo</t>
        </is>
      </c>
      <c r="J2176" t="inlineStr">
        <is>
          <t>RN-41: efectivo ocioso sobre el techo</t>
        </is>
      </c>
      <c r="K2176" t="inlineStr">
        <is>
          <t>Recolección por efectivo ocioso: el saldo al cierre ($4.683.271.104) pasa el techo $4.683.158.998 (reserva + 15 días de salidas medias, tope en el cupo $5.840.000.000). Se recogen $112.106 y el saldo queda en $4.683.158.998. En sus últimos 180 días la sucursal recibe más de lo que paga (entradas medias $523.078.988/día &gt; salidas medias $281.063.933/día); el neto diario varía $278.291.192 (σ). Costo estimado $14.030 (Anexo E: fijo $13.969 + $5 por cada $10.000 movidos).</t>
        </is>
      </c>
      <c r="L2176" s="26" t="n">
        <v>5840000000</v>
      </c>
      <c r="M2176" s="26" t="n">
        <v>4683271104</v>
      </c>
      <c r="N2176" s="27">
        <f>IF(ISNUMBER(M2176),M2176/L2176,"No aplica")</f>
        <v>0.8019299835616438</v>
      </c>
      <c r="O2176" s="25">
        <f>IF(G2176="provision",M2176+H2176,IF(G2176="recoleccion",M2176-H2176,"No aplica"))</f>
        <v>4683158998</v>
      </c>
      <c r="P2176" s="26" t="n">
        <v>14030</v>
      </c>
    </row>
    <row r="2177">
      <c r="A2177" t="inlineStr">
        <is>
          <t>PRAGMA</t>
        </is>
      </c>
      <c r="B2177" t="inlineStr">
        <is>
          <t>M3</t>
        </is>
      </c>
      <c r="C2177" t="inlineStr">
        <is>
          <t>Cali</t>
        </is>
      </c>
      <c r="D2177" t="inlineStr">
        <is>
          <t>210</t>
        </is>
      </c>
      <c r="E2177" t="inlineStr">
        <is>
          <t>No aplica</t>
        </is>
      </c>
      <c r="F2177" s="23" t="n">
        <v>46279</v>
      </c>
      <c r="G2177" t="inlineStr">
        <is>
          <t>recoleccion</t>
        </is>
      </c>
      <c r="H2177" s="26" t="n">
        <v>448934892</v>
      </c>
      <c r="I2177" t="inlineStr">
        <is>
          <t>bajo</t>
        </is>
      </c>
      <c r="J2177" t="inlineStr">
        <is>
          <t>RN-41: efectivo ocioso sobre el techo</t>
        </is>
      </c>
      <c r="K2177" t="inlineStr">
        <is>
          <t>Recolección por efectivo ocioso: el saldo al cierre ($5.132.093.890) pasa el techo $4.683.158.998 (reserva + 15 días de salidas medias, tope en el cupo $5.840.000.000). Se recogen $448.934.892 y el saldo queda en $4.683.158.998. En sus últimos 180 días la sucursal recibe más de lo que paga (entradas medias $523.078.988/día &gt; salidas medias $281.063.933/día); el neto diario varía $278.291.192 (σ). Costo estimado $257.292 (Anexo E: fijo $13.969 + $5 por cada $10.000 movidos).</t>
        </is>
      </c>
      <c r="L2177" s="26" t="n">
        <v>5840000000</v>
      </c>
      <c r="M2177" s="26" t="n">
        <v>5132093890</v>
      </c>
      <c r="N2177" s="27">
        <f>IF(ISNUMBER(M2177),M2177/L2177,"No aplica")</f>
        <v>0.8787832003424657</v>
      </c>
      <c r="O2177" s="25">
        <f>IF(G2177="provision",M2177+H2177,IF(G2177="recoleccion",M2177-H2177,"No aplica"))</f>
        <v>4683158998</v>
      </c>
      <c r="P2177" s="26" t="n">
        <v>257292</v>
      </c>
    </row>
    <row r="2178">
      <c r="A2178" t="inlineStr">
        <is>
          <t>PRAGMA</t>
        </is>
      </c>
      <c r="B2178" t="inlineStr">
        <is>
          <t>M3</t>
        </is>
      </c>
      <c r="C2178" t="inlineStr">
        <is>
          <t>Cali</t>
        </is>
      </c>
      <c r="D2178" t="inlineStr">
        <is>
          <t>210</t>
        </is>
      </c>
      <c r="E2178" t="inlineStr">
        <is>
          <t>No aplica</t>
        </is>
      </c>
      <c r="F2178" s="23" t="n">
        <v>46280</v>
      </c>
      <c r="G2178" t="inlineStr">
        <is>
          <t>recoleccion</t>
        </is>
      </c>
      <c r="H2178" s="26" t="n">
        <v>436874988</v>
      </c>
      <c r="I2178" t="inlineStr">
        <is>
          <t>bajo</t>
        </is>
      </c>
      <c r="J2178" t="inlineStr">
        <is>
          <t>RN-41: efectivo ocioso sobre el techo</t>
        </is>
      </c>
      <c r="K2178" t="inlineStr">
        <is>
          <t>Recolección por efectivo ocioso: el saldo al cierre ($5.120.033.986) pasa el techo $4.683.158.998 (reserva + 15 días de salidas medias, tope en el cupo $5.840.000.000). Se recogen $436.874.988 y el saldo queda en $4.683.158.998. En sus últimos 180 días la sucursal recibe más de lo que paga (entradas medias $523.078.988/día &gt; salidas medias $281.063.933/día); el neto diario varía $278.291.192 (σ). Costo estimado $250.755 (Anexo E: fijo $13.969 + $5 por cada $10.000 movidos).</t>
        </is>
      </c>
      <c r="L2178" s="26" t="n">
        <v>5840000000</v>
      </c>
      <c r="M2178" s="26" t="n">
        <v>5120033986</v>
      </c>
      <c r="N2178" s="27">
        <f>IF(ISNUMBER(M2178),M2178/L2178,"No aplica")</f>
        <v>0.8767181482876713</v>
      </c>
      <c r="O2178" s="25">
        <f>IF(G2178="provision",M2178+H2178,IF(G2178="recoleccion",M2178-H2178,"No aplica"))</f>
        <v>4683158998</v>
      </c>
      <c r="P2178" s="26" t="n">
        <v>250755</v>
      </c>
    </row>
    <row r="2179">
      <c r="A2179" t="inlineStr">
        <is>
          <t>PRAGMA</t>
        </is>
      </c>
      <c r="B2179" t="inlineStr">
        <is>
          <t>M3</t>
        </is>
      </c>
      <c r="C2179" t="inlineStr">
        <is>
          <t>Cali</t>
        </is>
      </c>
      <c r="D2179" t="inlineStr">
        <is>
          <t>270</t>
        </is>
      </c>
      <c r="E2179" t="inlineStr">
        <is>
          <t>No aplica</t>
        </is>
      </c>
      <c r="F2179" s="23" t="n">
        <v>46266</v>
      </c>
      <c r="G2179" t="inlineStr">
        <is>
          <t>recoleccion</t>
        </is>
      </c>
      <c r="H2179" s="26" t="n">
        <v>283355813</v>
      </c>
      <c r="I2179" t="inlineStr">
        <is>
          <t>bajo</t>
        </is>
      </c>
      <c r="J2179" t="inlineStr">
        <is>
          <t>RN-41: riesgo de exceder el cupo</t>
        </is>
      </c>
      <c r="K2179" t="inlineStr">
        <is>
          <t>Recolección por riesgo de exceder el cupo: el saldo al cierre ($9.697.855.813) pasa el cupo $9.414.500.000. Se recogen $283.355.813 y el saldo queda en $9.414.500.000. En sus últimos 180 días la sucursal recibe más de lo que paga (entradas medias $1.229.571.831/día &gt; salidas medias $822.094.778/día); el neto diario varía $551.993.352 (σ). Costo estimado $167.548 (Anexo E: fijo $13.969 + $5 por cada $10.000 movidos).</t>
        </is>
      </c>
      <c r="L2179" s="26" t="n">
        <v>9414500000</v>
      </c>
      <c r="M2179" s="26" t="n">
        <v>9697855813</v>
      </c>
      <c r="N2179" s="27">
        <f>IF(ISNUMBER(M2179),M2179/L2179,"No aplica")</f>
        <v>1.0300978079558127</v>
      </c>
      <c r="O2179" s="25">
        <f>IF(G2179="provision",M2179+H2179,IF(G2179="recoleccion",M2179-H2179,"No aplica"))</f>
        <v>9414500000</v>
      </c>
      <c r="P2179" s="26" t="n">
        <v>167548</v>
      </c>
    </row>
    <row r="2180">
      <c r="A2180" t="inlineStr">
        <is>
          <t>PRAGMA</t>
        </is>
      </c>
      <c r="B2180" t="inlineStr">
        <is>
          <t>M3</t>
        </is>
      </c>
      <c r="C2180" t="inlineStr">
        <is>
          <t>Cali</t>
        </is>
      </c>
      <c r="D2180" t="inlineStr">
        <is>
          <t>270</t>
        </is>
      </c>
      <c r="E2180" t="inlineStr">
        <is>
          <t>No aplica</t>
        </is>
      </c>
      <c r="F2180" s="23" t="n">
        <v>46267</v>
      </c>
      <c r="G2180" t="inlineStr">
        <is>
          <t>recoleccion</t>
        </is>
      </c>
      <c r="H2180" s="26" t="n">
        <v>276826197</v>
      </c>
      <c r="I2180" t="inlineStr">
        <is>
          <t>bajo</t>
        </is>
      </c>
      <c r="J2180" t="inlineStr">
        <is>
          <t>RN-41: riesgo de exceder el cupo</t>
        </is>
      </c>
      <c r="K2180" t="inlineStr">
        <is>
          <t>Recolección por riesgo de exceder el cupo: el saldo al cierre ($9.691.326.197) pasa el cupo $9.414.500.000. Se recogen $276.826.197 y el saldo queda en $9.414.500.000. En sus últimos 180 días la sucursal recibe más de lo que paga (entradas medias $1.229.571.831/día &gt; salidas medias $822.094.778/día); el neto diario varía $551.993.352 (σ). Costo estimado $164.009 (Anexo E: fijo $13.969 + $5 por cada $10.000 movidos).</t>
        </is>
      </c>
      <c r="L2180" s="26" t="n">
        <v>9414500000</v>
      </c>
      <c r="M2180" s="26" t="n">
        <v>9691326197</v>
      </c>
      <c r="N2180" s="27">
        <f>IF(ISNUMBER(M2180),M2180/L2180,"No aplica")</f>
        <v>1.0294042378246322</v>
      </c>
      <c r="O2180" s="25">
        <f>IF(G2180="provision",M2180+H2180,IF(G2180="recoleccion",M2180-H2180,"No aplica"))</f>
        <v>9414500000</v>
      </c>
      <c r="P2180" s="26" t="n">
        <v>164009</v>
      </c>
    </row>
    <row r="2181">
      <c r="A2181" t="inlineStr">
        <is>
          <t>PRAGMA</t>
        </is>
      </c>
      <c r="B2181" t="inlineStr">
        <is>
          <t>M3</t>
        </is>
      </c>
      <c r="C2181" t="inlineStr">
        <is>
          <t>Cali</t>
        </is>
      </c>
      <c r="D2181" t="inlineStr">
        <is>
          <t>270</t>
        </is>
      </c>
      <c r="E2181" t="inlineStr">
        <is>
          <t>No aplica</t>
        </is>
      </c>
      <c r="F2181" s="23" t="n">
        <v>46268</v>
      </c>
      <c r="G2181" t="inlineStr">
        <is>
          <t>recoleccion</t>
        </is>
      </c>
      <c r="H2181" s="26" t="n">
        <v>465103726</v>
      </c>
      <c r="I2181" t="inlineStr">
        <is>
          <t>bajo</t>
        </is>
      </c>
      <c r="J2181" t="inlineStr">
        <is>
          <t>RN-41: riesgo de exceder el cupo</t>
        </is>
      </c>
      <c r="K2181" t="inlineStr">
        <is>
          <t>Recolección por riesgo de exceder el cupo: el saldo al cierre ($9.879.603.726) pasa el cupo $9.414.500.000. Se recogen $465.103.726 y el saldo queda en $9.414.500.000. En sus últimos 180 días la sucursal recibe más de lo que paga (entradas medias $1.229.571.831/día &gt; salidas medias $822.094.778/día); el neto diario varía $551.993.352 (σ). Costo estimado $266.055 (Anexo E: fijo $13.969 + $5 por cada $10.000 movidos).</t>
        </is>
      </c>
      <c r="L2181" s="26" t="n">
        <v>9414500000</v>
      </c>
      <c r="M2181" s="26" t="n">
        <v>9879603726</v>
      </c>
      <c r="N2181" s="27">
        <f>IF(ISNUMBER(M2181),M2181/L2181,"No aplica")</f>
        <v>1.049402913165861</v>
      </c>
      <c r="O2181" s="25">
        <f>IF(G2181="provision",M2181+H2181,IF(G2181="recoleccion",M2181-H2181,"No aplica"))</f>
        <v>9414500000</v>
      </c>
      <c r="P2181" s="26" t="n">
        <v>266055</v>
      </c>
    </row>
    <row r="2182">
      <c r="A2182" t="inlineStr">
        <is>
          <t>PRAGMA</t>
        </is>
      </c>
      <c r="B2182" t="inlineStr">
        <is>
          <t>M3</t>
        </is>
      </c>
      <c r="C2182" t="inlineStr">
        <is>
          <t>Cali</t>
        </is>
      </c>
      <c r="D2182" t="inlineStr">
        <is>
          <t>270</t>
        </is>
      </c>
      <c r="E2182" t="inlineStr">
        <is>
          <t>No aplica</t>
        </is>
      </c>
      <c r="F2182" s="23" t="n">
        <v>46269</v>
      </c>
      <c r="G2182" t="inlineStr">
        <is>
          <t>recoleccion</t>
        </is>
      </c>
      <c r="H2182" s="26" t="n">
        <v>594767234</v>
      </c>
      <c r="I2182" t="inlineStr">
        <is>
          <t>bajo</t>
        </is>
      </c>
      <c r="J2182" t="inlineStr">
        <is>
          <t>RN-41: riesgo de exceder el cupo</t>
        </is>
      </c>
      <c r="K2182" t="inlineStr">
        <is>
          <t>Recolección por riesgo de exceder el cupo: el saldo al cierre ($10.009.267.234) pasa el cupo $9.414.500.000. Se recogen $594.767.234 y el saldo queda en $9.414.500.000. En sus últimos 180 días la sucursal recibe más de lo que paga (entradas medias $1.229.571.831/día &gt; salidas medias $822.094.778/día); el neto diario varía $551.993.352 (σ). Costo estimado $336.333 (Anexo E: fijo $13.969 + $5 por cada $10.000 movidos).</t>
        </is>
      </c>
      <c r="L2182" s="26" t="n">
        <v>9414500000</v>
      </c>
      <c r="M2182" s="26" t="n">
        <v>10009267234</v>
      </c>
      <c r="N2182" s="27">
        <f>IF(ISNUMBER(M2182),M2182/L2182,"No aplica")</f>
        <v>1.0631756581868395</v>
      </c>
      <c r="O2182" s="25">
        <f>IF(G2182="provision",M2182+H2182,IF(G2182="recoleccion",M2182-H2182,"No aplica"))</f>
        <v>9414500000</v>
      </c>
      <c r="P2182" s="26" t="n">
        <v>336333</v>
      </c>
    </row>
    <row r="2183">
      <c r="A2183" t="inlineStr">
        <is>
          <t>PRAGMA</t>
        </is>
      </c>
      <c r="B2183" t="inlineStr">
        <is>
          <t>M3</t>
        </is>
      </c>
      <c r="C2183" t="inlineStr">
        <is>
          <t>Cali</t>
        </is>
      </c>
      <c r="D2183" t="inlineStr">
        <is>
          <t>270</t>
        </is>
      </c>
      <c r="E2183" t="inlineStr">
        <is>
          <t>No aplica</t>
        </is>
      </c>
      <c r="F2183" s="23" t="n">
        <v>46273</v>
      </c>
      <c r="G2183" t="inlineStr">
        <is>
          <t>recoleccion</t>
        </is>
      </c>
      <c r="H2183" s="26" t="n">
        <v>418965924</v>
      </c>
      <c r="I2183" t="inlineStr">
        <is>
          <t>bajo</t>
        </is>
      </c>
      <c r="J2183" t="inlineStr">
        <is>
          <t>RN-41: riesgo de exceder el cupo</t>
        </is>
      </c>
      <c r="K2183" t="inlineStr">
        <is>
          <t>Recolección por riesgo de exceder el cupo: el saldo al cierre ($9.833.465.924) pasa el cupo $9.414.500.000. Se recogen $418.965.924 y el saldo queda en $9.414.500.000. En sus últimos 180 días la sucursal recibe más de lo que paga (entradas medias $1.229.571.831/día &gt; salidas medias $822.094.778/día); el neto diario varía $551.993.352 (σ). Costo estimado $241.049 (Anexo E: fijo $13.969 + $5 por cada $10.000 movidos).</t>
        </is>
      </c>
      <c r="L2183" s="26" t="n">
        <v>9414500000</v>
      </c>
      <c r="M2183" s="26" t="n">
        <v>9833465924</v>
      </c>
      <c r="N2183" s="27">
        <f>IF(ISNUMBER(M2183),M2183/L2183,"No aplica")</f>
        <v>1.044502195974295</v>
      </c>
      <c r="O2183" s="25">
        <f>IF(G2183="provision",M2183+H2183,IF(G2183="recoleccion",M2183-H2183,"No aplica"))</f>
        <v>9414500000</v>
      </c>
      <c r="P2183" s="26" t="n">
        <v>241049</v>
      </c>
    </row>
    <row r="2184">
      <c r="A2184" t="inlineStr">
        <is>
          <t>PRAGMA</t>
        </is>
      </c>
      <c r="B2184" t="inlineStr">
        <is>
          <t>M3</t>
        </is>
      </c>
      <c r="C2184" t="inlineStr">
        <is>
          <t>Cali</t>
        </is>
      </c>
      <c r="D2184" t="inlineStr">
        <is>
          <t>270</t>
        </is>
      </c>
      <c r="E2184" t="inlineStr">
        <is>
          <t>No aplica</t>
        </is>
      </c>
      <c r="F2184" s="23" t="n">
        <v>46274</v>
      </c>
      <c r="G2184" t="inlineStr">
        <is>
          <t>recoleccion</t>
        </is>
      </c>
      <c r="H2184" s="26" t="n">
        <v>337196800</v>
      </c>
      <c r="I2184" t="inlineStr">
        <is>
          <t>bajo</t>
        </is>
      </c>
      <c r="J2184" t="inlineStr">
        <is>
          <t>RN-41: riesgo de exceder el cupo</t>
        </is>
      </c>
      <c r="K2184" t="inlineStr">
        <is>
          <t>Recolección por riesgo de exceder el cupo: el saldo al cierre ($9.751.696.800) pasa el cupo $9.414.500.000. Se recogen $337.196.800 y el saldo queda en $9.414.500.000. En sus últimos 180 días la sucursal recibe más de lo que paga (entradas medias $1.229.571.831/día &gt; salidas medias $822.094.778/día); el neto diario varía $551.993.352 (σ). Costo estimado $196.730 (Anexo E: fijo $13.969 + $5 por cada $10.000 movidos).</t>
        </is>
      </c>
      <c r="L2184" s="26" t="n">
        <v>9414500000</v>
      </c>
      <c r="M2184" s="26" t="n">
        <v>9751696800</v>
      </c>
      <c r="N2184" s="27">
        <f>IF(ISNUMBER(M2184),M2184/L2184,"No aplica")</f>
        <v>1.0358167507568112</v>
      </c>
      <c r="O2184" s="25">
        <f>IF(G2184="provision",M2184+H2184,IF(G2184="recoleccion",M2184-H2184,"No aplica"))</f>
        <v>9414500000</v>
      </c>
      <c r="P2184" s="26" t="n">
        <v>196730</v>
      </c>
    </row>
    <row r="2185">
      <c r="A2185" t="inlineStr">
        <is>
          <t>PRAGMA</t>
        </is>
      </c>
      <c r="B2185" t="inlineStr">
        <is>
          <t>M3</t>
        </is>
      </c>
      <c r="C2185" t="inlineStr">
        <is>
          <t>Cali</t>
        </is>
      </c>
      <c r="D2185" t="inlineStr">
        <is>
          <t>270</t>
        </is>
      </c>
      <c r="E2185" t="inlineStr">
        <is>
          <t>No aplica</t>
        </is>
      </c>
      <c r="F2185" s="23" t="n">
        <v>46275</v>
      </c>
      <c r="G2185" t="inlineStr">
        <is>
          <t>recoleccion</t>
        </is>
      </c>
      <c r="H2185" s="26" t="n">
        <v>476481833</v>
      </c>
      <c r="I2185" t="inlineStr">
        <is>
          <t>bajo</t>
        </is>
      </c>
      <c r="J2185" t="inlineStr">
        <is>
          <t>RN-41: riesgo de exceder el cupo</t>
        </is>
      </c>
      <c r="K2185" t="inlineStr">
        <is>
          <t>Recolección por riesgo de exceder el cupo: el saldo al cierre ($9.890.981.833) pasa el cupo $9.414.500.000. Se recogen $476.481.833 y el saldo queda en $9.414.500.000. En sus últimos 180 días la sucursal recibe más de lo que paga (entradas medias $1.229.571.831/día &gt; salidas medias $822.094.778/día); el neto diario varía $551.993.352 (σ). Costo estimado $272.222 (Anexo E: fijo $13.969 + $5 por cada $10.000 movidos).</t>
        </is>
      </c>
      <c r="L2185" s="26" t="n">
        <v>9414500000</v>
      </c>
      <c r="M2185" s="26" t="n">
        <v>9890981833</v>
      </c>
      <c r="N2185" s="27">
        <f>IF(ISNUMBER(M2185),M2185/L2185,"No aplica")</f>
        <v>1.0506114857931914</v>
      </c>
      <c r="O2185" s="25">
        <f>IF(G2185="provision",M2185+H2185,IF(G2185="recoleccion",M2185-H2185,"No aplica"))</f>
        <v>9414500000</v>
      </c>
      <c r="P2185" s="26" t="n">
        <v>272222</v>
      </c>
    </row>
    <row r="2186">
      <c r="A2186" t="inlineStr">
        <is>
          <t>PRAGMA</t>
        </is>
      </c>
      <c r="B2186" t="inlineStr">
        <is>
          <t>M3</t>
        </is>
      </c>
      <c r="C2186" t="inlineStr">
        <is>
          <t>Cali</t>
        </is>
      </c>
      <c r="D2186" t="inlineStr">
        <is>
          <t>270</t>
        </is>
      </c>
      <c r="E2186" t="inlineStr">
        <is>
          <t>No aplica</t>
        </is>
      </c>
      <c r="F2186" s="23" t="n">
        <v>46276</v>
      </c>
      <c r="G2186" t="inlineStr">
        <is>
          <t>recoleccion</t>
        </is>
      </c>
      <c r="H2186" s="26" t="n">
        <v>649319164</v>
      </c>
      <c r="I2186" t="inlineStr">
        <is>
          <t>bajo</t>
        </is>
      </c>
      <c r="J2186" t="inlineStr">
        <is>
          <t>RN-41: riesgo de exceder el cupo</t>
        </is>
      </c>
      <c r="K2186" t="inlineStr">
        <is>
          <t>Recolección por riesgo de exceder el cupo: el saldo al cierre ($10.063.819.164) pasa el cupo $9.414.500.000. Se recogen $649.319.164 y el saldo queda en $9.414.500.000. En sus últimos 180 días la sucursal recibe más de lo que paga (entradas medias $1.229.571.831/día &gt; salidas medias $822.094.778/día); el neto diario varía $551.993.352 (σ). Costo estimado $365.900 (Anexo E: fijo $13.969 + $5 por cada $10.000 movidos).</t>
        </is>
      </c>
      <c r="L2186" s="26" t="n">
        <v>9414500000</v>
      </c>
      <c r="M2186" s="26" t="n">
        <v>10063819164</v>
      </c>
      <c r="N2186" s="27">
        <f>IF(ISNUMBER(M2186),M2186/L2186,"No aplica")</f>
        <v>1.068970116734824</v>
      </c>
      <c r="O2186" s="25">
        <f>IF(G2186="provision",M2186+H2186,IF(G2186="recoleccion",M2186-H2186,"No aplica"))</f>
        <v>9414500000</v>
      </c>
      <c r="P2186" s="26" t="n">
        <v>365900</v>
      </c>
    </row>
    <row r="2187">
      <c r="A2187" t="inlineStr">
        <is>
          <t>PRAGMA</t>
        </is>
      </c>
      <c r="B2187" t="inlineStr">
        <is>
          <t>M3</t>
        </is>
      </c>
      <c r="C2187" t="inlineStr">
        <is>
          <t>Cali</t>
        </is>
      </c>
      <c r="D2187" t="inlineStr">
        <is>
          <t>270</t>
        </is>
      </c>
      <c r="E2187" t="inlineStr">
        <is>
          <t>No aplica</t>
        </is>
      </c>
      <c r="F2187" s="23" t="n">
        <v>46280</v>
      </c>
      <c r="G2187" t="inlineStr">
        <is>
          <t>recoleccion</t>
        </is>
      </c>
      <c r="H2187" s="26" t="n">
        <v>302550309</v>
      </c>
      <c r="I2187" t="inlineStr">
        <is>
          <t>bajo</t>
        </is>
      </c>
      <c r="J2187" t="inlineStr">
        <is>
          <t>RN-41: riesgo de exceder el cupo</t>
        </is>
      </c>
      <c r="K2187" t="inlineStr">
        <is>
          <t>Recolección por riesgo de exceder el cupo: el saldo al cierre ($9.717.050.309) pasa el cupo $9.414.500.000. Se recogen $302.550.309 y el saldo queda en $9.414.500.000. En sus últimos 180 días la sucursal recibe más de lo que paga (entradas medias $1.229.571.831/día &gt; salidas medias $822.094.778/día); el neto diario varía $551.993.352 (σ). Costo estimado $177.951 (Anexo E: fijo $13.969 + $5 por cada $10.000 movidos).</t>
        </is>
      </c>
      <c r="L2187" s="26" t="n">
        <v>9414500000</v>
      </c>
      <c r="M2187" s="26" t="n">
        <v>9717050309</v>
      </c>
      <c r="N2187" s="27">
        <f>IF(ISNUMBER(M2187),M2187/L2187,"No aplica")</f>
        <v>1.0321366306229751</v>
      </c>
      <c r="O2187" s="25">
        <f>IF(G2187="provision",M2187+H2187,IF(G2187="recoleccion",M2187-H2187,"No aplica"))</f>
        <v>9414500000</v>
      </c>
      <c r="P2187" s="26" t="n">
        <v>177951</v>
      </c>
    </row>
    <row r="2188">
      <c r="A2188" t="inlineStr">
        <is>
          <t>PRAGMA</t>
        </is>
      </c>
      <c r="B2188" t="inlineStr">
        <is>
          <t>M3</t>
        </is>
      </c>
      <c r="C2188" t="inlineStr">
        <is>
          <t>Cali</t>
        </is>
      </c>
      <c r="D2188" t="inlineStr">
        <is>
          <t>396</t>
        </is>
      </c>
      <c r="E2188" t="inlineStr">
        <is>
          <t>No aplica</t>
        </is>
      </c>
      <c r="F2188" s="23" t="n">
        <v>46266</v>
      </c>
      <c r="G2188" t="inlineStr">
        <is>
          <t>recoleccion</t>
        </is>
      </c>
      <c r="H2188" s="26" t="n">
        <v>2406899908</v>
      </c>
      <c r="I2188" t="inlineStr">
        <is>
          <t>bajo</t>
        </is>
      </c>
      <c r="J2188" t="inlineStr">
        <is>
          <t>RN-41: efectivo ocioso sobre el techo</t>
        </is>
      </c>
      <c r="K2188" t="inlineStr">
        <is>
          <t>Recolección por efectivo ocioso: el saldo al cierre ($2.984.369.877) pasa el techo $577.469.969 (reserva + 15 días de salidas medias, tope en el cupo $2.997.355.200). Se recogen $2.406.899.908 y el saldo queda en $577.469.969. En sus últimos 180 días la sucursal paga más de lo que recibe (salidas medias $22.512.104/día &gt; entradas medias $18.870.270/día); el neto diario varía $19.868.444 (σ). Costo estimado $1.610.055 (Anexo E: fijo $16.687 + $7 por cada $10.000 movidos).</t>
        </is>
      </c>
      <c r="L2188" s="26" t="n">
        <v>2997355200</v>
      </c>
      <c r="M2188" s="26" t="n">
        <v>2984369877</v>
      </c>
      <c r="N2188" s="27">
        <f>IF(ISNUMBER(M2188),M2188/L2188,"No aplica")</f>
        <v>0.9956677396793012</v>
      </c>
      <c r="O2188" s="25">
        <f>IF(G2188="provision",M2188+H2188,IF(G2188="recoleccion",M2188-H2188,"No aplica"))</f>
        <v>577469969</v>
      </c>
      <c r="P2188" s="26" t="n">
        <v>1610055</v>
      </c>
    </row>
    <row r="2189">
      <c r="A2189" t="inlineStr">
        <is>
          <t>PRAGMA</t>
        </is>
      </c>
      <c r="B2189" t="inlineStr">
        <is>
          <t>M3</t>
        </is>
      </c>
      <c r="C2189" t="inlineStr">
        <is>
          <t>Cali</t>
        </is>
      </c>
      <c r="D2189" t="inlineStr">
        <is>
          <t>519</t>
        </is>
      </c>
      <c r="E2189" t="inlineStr">
        <is>
          <t>No aplica</t>
        </is>
      </c>
      <c r="F2189" s="23" t="n">
        <v>46266</v>
      </c>
      <c r="G2189" t="inlineStr">
        <is>
          <t>recoleccion</t>
        </is>
      </c>
      <c r="H2189" s="26" t="n">
        <v>103307726</v>
      </c>
      <c r="I2189" t="inlineStr">
        <is>
          <t>bajo</t>
        </is>
      </c>
      <c r="J2189" t="inlineStr">
        <is>
          <t>RN-41: riesgo de exceder el cupo</t>
        </is>
      </c>
      <c r="K2189" t="inlineStr">
        <is>
          <t>Recolección por riesgo de exceder el cupo: el saldo al cierre ($11.807.815.926) pasa el cupo $11.704.508.200. Se recogen $103.307.726 y el saldo queda en $11.704.508.200. En sus últimos 180 días la sucursal recibe más de lo que paga (entradas medias $1.147.570.038/día &gt; salidas medias $783.881.538/día); el neto diario varía $411.468.093 (σ). Costo estimado $69.962 (Anexo E: fijo $13.969 + $5 por cada $10.000 movidos).</t>
        </is>
      </c>
      <c r="L2189" s="26" t="n">
        <v>11704508200</v>
      </c>
      <c r="M2189" s="26" t="n">
        <v>11807815926</v>
      </c>
      <c r="N2189" s="27">
        <f>IF(ISNUMBER(M2189),M2189/L2189,"No aplica")</f>
        <v>1.008826319246801</v>
      </c>
      <c r="O2189" s="25">
        <f>IF(G2189="provision",M2189+H2189,IF(G2189="recoleccion",M2189-H2189,"No aplica"))</f>
        <v>11704508200</v>
      </c>
      <c r="P2189" s="26" t="n">
        <v>69962</v>
      </c>
    </row>
    <row r="2190">
      <c r="A2190" t="inlineStr">
        <is>
          <t>PRAGMA</t>
        </is>
      </c>
      <c r="B2190" t="inlineStr">
        <is>
          <t>M3</t>
        </is>
      </c>
      <c r="C2190" t="inlineStr">
        <is>
          <t>Cali</t>
        </is>
      </c>
      <c r="D2190" t="inlineStr">
        <is>
          <t>519</t>
        </is>
      </c>
      <c r="E2190" t="inlineStr">
        <is>
          <t>No aplica</t>
        </is>
      </c>
      <c r="F2190" s="23" t="n">
        <v>46267</v>
      </c>
      <c r="G2190" t="inlineStr">
        <is>
          <t>recoleccion</t>
        </is>
      </c>
      <c r="H2190" s="26" t="n">
        <v>183483519</v>
      </c>
      <c r="I2190" t="inlineStr">
        <is>
          <t>bajo</t>
        </is>
      </c>
      <c r="J2190" t="inlineStr">
        <is>
          <t>RN-41: riesgo de exceder el cupo</t>
        </is>
      </c>
      <c r="K2190" t="inlineStr">
        <is>
          <t>Recolección por riesgo de exceder el cupo: el saldo al cierre ($11.887.991.719) pasa el cupo $11.704.508.200. Se recogen $183.483.519 y el saldo queda en $11.704.508.200. En sus últimos 180 días la sucursal recibe más de lo que paga (entradas medias $1.147.570.038/día &gt; salidas medias $783.881.538/día); el neto diario varía $411.468.093 (σ). Costo estimado $113.417 (Anexo E: fijo $13.969 + $5 por cada $10.000 movidos).</t>
        </is>
      </c>
      <c r="L2190" s="26" t="n">
        <v>11704508200</v>
      </c>
      <c r="M2190" s="26" t="n">
        <v>11887991719</v>
      </c>
      <c r="N2190" s="27">
        <f>IF(ISNUMBER(M2190),M2190/L2190,"No aplica")</f>
        <v>1.0156763117138061</v>
      </c>
      <c r="O2190" s="25">
        <f>IF(G2190="provision",M2190+H2190,IF(G2190="recoleccion",M2190-H2190,"No aplica"))</f>
        <v>11704508200</v>
      </c>
      <c r="P2190" s="26" t="n">
        <v>113417</v>
      </c>
    </row>
    <row r="2191">
      <c r="A2191" t="inlineStr">
        <is>
          <t>PRAGMA</t>
        </is>
      </c>
      <c r="B2191" t="inlineStr">
        <is>
          <t>M3</t>
        </is>
      </c>
      <c r="C2191" t="inlineStr">
        <is>
          <t>Cali</t>
        </is>
      </c>
      <c r="D2191" t="inlineStr">
        <is>
          <t>519</t>
        </is>
      </c>
      <c r="E2191" t="inlineStr">
        <is>
          <t>No aplica</t>
        </is>
      </c>
      <c r="F2191" s="23" t="n">
        <v>46268</v>
      </c>
      <c r="G2191" t="inlineStr">
        <is>
          <t>recoleccion</t>
        </is>
      </c>
      <c r="H2191" s="26" t="n">
        <v>354807309</v>
      </c>
      <c r="I2191" t="inlineStr">
        <is>
          <t>bajo</t>
        </is>
      </c>
      <c r="J2191" t="inlineStr">
        <is>
          <t>RN-41: riesgo de exceder el cupo</t>
        </is>
      </c>
      <c r="K2191" t="inlineStr">
        <is>
          <t>Recolección por riesgo de exceder el cupo: el saldo al cierre ($12.059.315.509) pasa el cupo $11.704.508.200. Se recogen $354.807.309 y el saldo queda en $11.704.508.200. En sus últimos 180 días la sucursal recibe más de lo que paga (entradas medias $1.147.570.038/día &gt; salidas medias $783.881.538/día); el neto diario varía $411.468.093 (σ). Costo estimado $206.275 (Anexo E: fijo $13.969 + $5 por cada $10.000 movidos).</t>
        </is>
      </c>
      <c r="L2191" s="26" t="n">
        <v>11704508200</v>
      </c>
      <c r="M2191" s="26" t="n">
        <v>12059315509</v>
      </c>
      <c r="N2191" s="27">
        <f>IF(ISNUMBER(M2191),M2191/L2191,"No aplica")</f>
        <v>1.0303137306529462</v>
      </c>
      <c r="O2191" s="25">
        <f>IF(G2191="provision",M2191+H2191,IF(G2191="recoleccion",M2191-H2191,"No aplica"))</f>
        <v>11704508200</v>
      </c>
      <c r="P2191" s="26" t="n">
        <v>206275</v>
      </c>
    </row>
    <row r="2192">
      <c r="A2192" t="inlineStr">
        <is>
          <t>PRAGMA</t>
        </is>
      </c>
      <c r="B2192" t="inlineStr">
        <is>
          <t>M3</t>
        </is>
      </c>
      <c r="C2192" t="inlineStr">
        <is>
          <t>Cali</t>
        </is>
      </c>
      <c r="D2192" t="inlineStr">
        <is>
          <t>519</t>
        </is>
      </c>
      <c r="E2192" t="inlineStr">
        <is>
          <t>No aplica</t>
        </is>
      </c>
      <c r="F2192" s="23" t="n">
        <v>46269</v>
      </c>
      <c r="G2192" t="inlineStr">
        <is>
          <t>recoleccion</t>
        </is>
      </c>
      <c r="H2192" s="26" t="n">
        <v>222707028</v>
      </c>
      <c r="I2192" t="inlineStr">
        <is>
          <t>bajo</t>
        </is>
      </c>
      <c r="J2192" t="inlineStr">
        <is>
          <t>RN-41: riesgo de exceder el cupo</t>
        </is>
      </c>
      <c r="K2192" t="inlineStr">
        <is>
          <t>Recolección por riesgo de exceder el cupo: el saldo al cierre ($11.927.215.228) pasa el cupo $11.704.508.200. Se recogen $222.707.028 y el saldo queda en $11.704.508.200. En sus últimos 180 días la sucursal recibe más de lo que paga (entradas medias $1.147.570.038/día &gt; salidas medias $783.881.538/día); el neto diario varía $411.468.093 (σ). Costo estimado $134.676 (Anexo E: fijo $13.969 + $5 por cada $10.000 movidos).</t>
        </is>
      </c>
      <c r="L2192" s="26" t="n">
        <v>11704508200</v>
      </c>
      <c r="M2192" s="26" t="n">
        <v>11927215228</v>
      </c>
      <c r="N2192" s="27">
        <f>IF(ISNUMBER(M2192),M2192/L2192,"No aplica")</f>
        <v>1.0190274571297238</v>
      </c>
      <c r="O2192" s="25">
        <f>IF(G2192="provision",M2192+H2192,IF(G2192="recoleccion",M2192-H2192,"No aplica"))</f>
        <v>11704508200</v>
      </c>
      <c r="P2192" s="26" t="n">
        <v>134676</v>
      </c>
    </row>
    <row r="2193">
      <c r="A2193" t="inlineStr">
        <is>
          <t>PRAGMA</t>
        </is>
      </c>
      <c r="B2193" t="inlineStr">
        <is>
          <t>M3</t>
        </is>
      </c>
      <c r="C2193" t="inlineStr">
        <is>
          <t>Cali</t>
        </is>
      </c>
      <c r="D2193" t="inlineStr">
        <is>
          <t>519</t>
        </is>
      </c>
      <c r="E2193" t="inlineStr">
        <is>
          <t>No aplica</t>
        </is>
      </c>
      <c r="F2193" s="23" t="n">
        <v>46270</v>
      </c>
      <c r="G2193" t="inlineStr">
        <is>
          <t>recoleccion</t>
        </is>
      </c>
      <c r="H2193" s="26" t="n">
        <v>54032086</v>
      </c>
      <c r="I2193" t="inlineStr">
        <is>
          <t>bajo</t>
        </is>
      </c>
      <c r="J2193" t="inlineStr">
        <is>
          <t>RN-41: riesgo de exceder el cupo</t>
        </is>
      </c>
      <c r="K2193" t="inlineStr">
        <is>
          <t>Recolección por riesgo de exceder el cupo: el saldo al cierre ($11.758.540.286) pasa el cupo $11.704.508.200. Se recogen $54.032.086 y el saldo queda en $11.704.508.200. En sus últimos 180 días la sucursal recibe más de lo que paga (entradas medias $1.147.570.038/día &gt; salidas medias $783.881.538/día); el neto diario varía $411.468.093 (σ). Costo estimado $43.254 (Anexo E: fijo $13.969 + $5 por cada $10.000 movidos).</t>
        </is>
      </c>
      <c r="L2193" s="26" t="n">
        <v>11704508200</v>
      </c>
      <c r="M2193" s="26" t="n">
        <v>11758540286</v>
      </c>
      <c r="N2193" s="27">
        <f>IF(ISNUMBER(M2193),M2193/L2193,"No aplica")</f>
        <v>1.0046163482545982</v>
      </c>
      <c r="O2193" s="25">
        <f>IF(G2193="provision",M2193+H2193,IF(G2193="recoleccion",M2193-H2193,"No aplica"))</f>
        <v>11704508200</v>
      </c>
      <c r="P2193" s="26" t="n">
        <v>43254</v>
      </c>
    </row>
    <row r="2194">
      <c r="A2194" t="inlineStr">
        <is>
          <t>PRAGMA</t>
        </is>
      </c>
      <c r="B2194" t="inlineStr">
        <is>
          <t>M3</t>
        </is>
      </c>
      <c r="C2194" t="inlineStr">
        <is>
          <t>Cali</t>
        </is>
      </c>
      <c r="D2194" t="inlineStr">
        <is>
          <t>519</t>
        </is>
      </c>
      <c r="E2194" t="inlineStr">
        <is>
          <t>No aplica</t>
        </is>
      </c>
      <c r="F2194" s="23" t="n">
        <v>46271</v>
      </c>
      <c r="G2194" t="inlineStr">
        <is>
          <t>recoleccion</t>
        </is>
      </c>
      <c r="H2194" s="26" t="n">
        <v>23435</v>
      </c>
      <c r="I2194" t="inlineStr">
        <is>
          <t>bajo</t>
        </is>
      </c>
      <c r="J2194" t="inlineStr">
        <is>
          <t>RN-41: riesgo de exceder el cupo</t>
        </is>
      </c>
      <c r="K2194" t="inlineStr">
        <is>
          <t>Recolección por riesgo de exceder el cupo: el saldo al cierre ($11.704.531.635) pasa el cupo $11.704.508.200. Se recogen $23.435 y el saldo queda en $11.704.508.200. En sus últimos 180 días la sucursal recibe más de lo que paga (entradas medias $1.147.570.038/día &gt; salidas medias $783.881.538/día); el neto diario varía $411.468.093 (σ). Costo estimado $13.982 (Anexo E: fijo $13.969 + $5 por cada $10.000 movidos).</t>
        </is>
      </c>
      <c r="L2194" s="26" t="n">
        <v>11704508200</v>
      </c>
      <c r="M2194" s="26" t="n">
        <v>11704531635</v>
      </c>
      <c r="N2194" s="27">
        <f>IF(ISNUMBER(M2194),M2194/L2194,"No aplica")</f>
        <v>1.0000020022199652</v>
      </c>
      <c r="O2194" s="25">
        <f>IF(G2194="provision",M2194+H2194,IF(G2194="recoleccion",M2194-H2194,"No aplica"))</f>
        <v>11704508200</v>
      </c>
      <c r="P2194" s="26" t="n">
        <v>13982</v>
      </c>
    </row>
    <row r="2195">
      <c r="A2195" t="inlineStr">
        <is>
          <t>PRAGMA</t>
        </is>
      </c>
      <c r="B2195" t="inlineStr">
        <is>
          <t>M3</t>
        </is>
      </c>
      <c r="C2195" t="inlineStr">
        <is>
          <t>Cali</t>
        </is>
      </c>
      <c r="D2195" t="inlineStr">
        <is>
          <t>519</t>
        </is>
      </c>
      <c r="E2195" t="inlineStr">
        <is>
          <t>No aplica</t>
        </is>
      </c>
      <c r="F2195" s="23" t="n">
        <v>46272</v>
      </c>
      <c r="G2195" t="inlineStr">
        <is>
          <t>recoleccion</t>
        </is>
      </c>
      <c r="H2195" s="26" t="n">
        <v>341018113</v>
      </c>
      <c r="I2195" t="inlineStr">
        <is>
          <t>bajo</t>
        </is>
      </c>
      <c r="J2195" t="inlineStr">
        <is>
          <t>RN-41: riesgo de exceder el cupo</t>
        </is>
      </c>
      <c r="K2195" t="inlineStr">
        <is>
          <t>Recolección por riesgo de exceder el cupo: el saldo al cierre ($12.045.526.313) pasa el cupo $11.704.508.200. Se recogen $341.018.113 y el saldo queda en $11.704.508.200. En sus últimos 180 días la sucursal recibe más de lo que paga (entradas medias $1.147.570.038/día &gt; salidas medias $783.881.538/día); el neto diario varía $411.468.093 (σ). Costo estimado $198.801 (Anexo E: fijo $13.969 + $5 por cada $10.000 movidos).</t>
        </is>
      </c>
      <c r="L2195" s="26" t="n">
        <v>11704508200</v>
      </c>
      <c r="M2195" s="26" t="n">
        <v>12045526313</v>
      </c>
      <c r="N2195" s="27">
        <f>IF(ISNUMBER(M2195),M2195/L2195,"No aplica")</f>
        <v>1.029135620837106</v>
      </c>
      <c r="O2195" s="25">
        <f>IF(G2195="provision",M2195+H2195,IF(G2195="recoleccion",M2195-H2195,"No aplica"))</f>
        <v>11704508200</v>
      </c>
      <c r="P2195" s="26" t="n">
        <v>198801</v>
      </c>
    </row>
    <row r="2196">
      <c r="A2196" t="inlineStr">
        <is>
          <t>PRAGMA</t>
        </is>
      </c>
      <c r="B2196" t="inlineStr">
        <is>
          <t>M3</t>
        </is>
      </c>
      <c r="C2196" t="inlineStr">
        <is>
          <t>Cali</t>
        </is>
      </c>
      <c r="D2196" t="inlineStr">
        <is>
          <t>519</t>
        </is>
      </c>
      <c r="E2196" t="inlineStr">
        <is>
          <t>No aplica</t>
        </is>
      </c>
      <c r="F2196" s="23" t="n">
        <v>46273</v>
      </c>
      <c r="G2196" t="inlineStr">
        <is>
          <t>recoleccion</t>
        </is>
      </c>
      <c r="H2196" s="26" t="n">
        <v>249331448</v>
      </c>
      <c r="I2196" t="inlineStr">
        <is>
          <t>bajo</t>
        </is>
      </c>
      <c r="J2196" t="inlineStr">
        <is>
          <t>RN-41: riesgo de exceder el cupo</t>
        </is>
      </c>
      <c r="K2196" t="inlineStr">
        <is>
          <t>Recolección por riesgo de exceder el cupo: el saldo al cierre ($11.953.839.648) pasa el cupo $11.704.508.200. Se recogen $249.331.448 y el saldo queda en $11.704.508.200. En sus últimos 180 días la sucursal recibe más de lo que paga (entradas medias $1.147.570.038/día &gt; salidas medias $783.881.538/día); el neto diario varía $411.468.093 (σ). Costo estimado $149.107 (Anexo E: fijo $13.969 + $5 por cada $10.000 movidos).</t>
        </is>
      </c>
      <c r="L2196" s="26" t="n">
        <v>11704508200</v>
      </c>
      <c r="M2196" s="26" t="n">
        <v>11953839648</v>
      </c>
      <c r="N2196" s="27">
        <f>IF(ISNUMBER(M2196),M2196/L2196,"No aplica")</f>
        <v>1.0213021720980981</v>
      </c>
      <c r="O2196" s="25">
        <f>IF(G2196="provision",M2196+H2196,IF(G2196="recoleccion",M2196-H2196,"No aplica"))</f>
        <v>11704508200</v>
      </c>
      <c r="P2196" s="26" t="n">
        <v>149107</v>
      </c>
    </row>
    <row r="2197">
      <c r="A2197" t="inlineStr">
        <is>
          <t>PRAGMA</t>
        </is>
      </c>
      <c r="B2197" t="inlineStr">
        <is>
          <t>M3</t>
        </is>
      </c>
      <c r="C2197" t="inlineStr">
        <is>
          <t>Cali</t>
        </is>
      </c>
      <c r="D2197" t="inlineStr">
        <is>
          <t>519</t>
        </is>
      </c>
      <c r="E2197" t="inlineStr">
        <is>
          <t>No aplica</t>
        </is>
      </c>
      <c r="F2197" s="23" t="n">
        <v>46274</v>
      </c>
      <c r="G2197" t="inlineStr">
        <is>
          <t>recoleccion</t>
        </is>
      </c>
      <c r="H2197" s="26" t="n">
        <v>309040095</v>
      </c>
      <c r="I2197" t="inlineStr">
        <is>
          <t>bajo</t>
        </is>
      </c>
      <c r="J2197" t="inlineStr">
        <is>
          <t>RN-41: riesgo de exceder el cupo</t>
        </is>
      </c>
      <c r="K2197" t="inlineStr">
        <is>
          <t>Recolección por riesgo de exceder el cupo: el saldo al cierre ($12.013.548.295) pasa el cupo $11.704.508.200. Se recogen $309.040.095 y el saldo queda en $11.704.508.200. En sus últimos 180 días la sucursal recibe más de lo que paga (entradas medias $1.147.570.038/día &gt; salidas medias $783.881.538/día); el neto diario varía $411.468.093 (σ). Costo estimado $181.469 (Anexo E: fijo $13.969 + $5 por cada $10.000 movidos).</t>
        </is>
      </c>
      <c r="L2197" s="26" t="n">
        <v>11704508200</v>
      </c>
      <c r="M2197" s="26" t="n">
        <v>12013548295</v>
      </c>
      <c r="N2197" s="27">
        <f>IF(ISNUMBER(M2197),M2197/L2197,"No aplica")</f>
        <v>1.026403509632297</v>
      </c>
      <c r="O2197" s="25">
        <f>IF(G2197="provision",M2197+H2197,IF(G2197="recoleccion",M2197-H2197,"No aplica"))</f>
        <v>11704508200</v>
      </c>
      <c r="P2197" s="26" t="n">
        <v>181469</v>
      </c>
    </row>
    <row r="2198">
      <c r="A2198" t="inlineStr">
        <is>
          <t>PRAGMA</t>
        </is>
      </c>
      <c r="B2198" t="inlineStr">
        <is>
          <t>M3</t>
        </is>
      </c>
      <c r="C2198" t="inlineStr">
        <is>
          <t>Cali</t>
        </is>
      </c>
      <c r="D2198" t="inlineStr">
        <is>
          <t>519</t>
        </is>
      </c>
      <c r="E2198" t="inlineStr">
        <is>
          <t>No aplica</t>
        </is>
      </c>
      <c r="F2198" s="23" t="n">
        <v>46275</v>
      </c>
      <c r="G2198" t="inlineStr">
        <is>
          <t>recoleccion</t>
        </is>
      </c>
      <c r="H2198" s="26" t="n">
        <v>149568931</v>
      </c>
      <c r="I2198" t="inlineStr">
        <is>
          <t>bajo</t>
        </is>
      </c>
      <c r="J2198" t="inlineStr">
        <is>
          <t>RN-41: riesgo de exceder el cupo</t>
        </is>
      </c>
      <c r="K2198" t="inlineStr">
        <is>
          <t>Recolección por riesgo de exceder el cupo: el saldo al cierre ($11.854.077.131) pasa el cupo $11.704.508.200. Se recogen $149.568.931 y el saldo queda en $11.704.508.200. En sus últimos 180 días la sucursal recibe más de lo que paga (entradas medias $1.147.570.038/día &gt; salidas medias $783.881.538/día); el neto diario varía $411.468.093 (σ). Costo estimado $95.035 (Anexo E: fijo $13.969 + $5 por cada $10.000 movidos).</t>
        </is>
      </c>
      <c r="L2198" s="26" t="n">
        <v>11704508200</v>
      </c>
      <c r="M2198" s="26" t="n">
        <v>11854077131</v>
      </c>
      <c r="N2198" s="27">
        <f>IF(ISNUMBER(M2198),M2198/L2198,"No aplica")</f>
        <v>1.0127787454580963</v>
      </c>
      <c r="O2198" s="25">
        <f>IF(G2198="provision",M2198+H2198,IF(G2198="recoleccion",M2198-H2198,"No aplica"))</f>
        <v>11704508200</v>
      </c>
      <c r="P2198" s="26" t="n">
        <v>95035</v>
      </c>
    </row>
    <row r="2199">
      <c r="A2199" t="inlineStr">
        <is>
          <t>PRAGMA</t>
        </is>
      </c>
      <c r="B2199" t="inlineStr">
        <is>
          <t>M3</t>
        </is>
      </c>
      <c r="C2199" t="inlineStr">
        <is>
          <t>Cali</t>
        </is>
      </c>
      <c r="D2199" t="inlineStr">
        <is>
          <t>519</t>
        </is>
      </c>
      <c r="E2199" t="inlineStr">
        <is>
          <t>No aplica</t>
        </is>
      </c>
      <c r="F2199" s="23" t="n">
        <v>46276</v>
      </c>
      <c r="G2199" t="inlineStr">
        <is>
          <t>recoleccion</t>
        </is>
      </c>
      <c r="H2199" s="26" t="n">
        <v>307605538</v>
      </c>
      <c r="I2199" t="inlineStr">
        <is>
          <t>bajo</t>
        </is>
      </c>
      <c r="J2199" t="inlineStr">
        <is>
          <t>RN-41: riesgo de exceder el cupo</t>
        </is>
      </c>
      <c r="K2199" t="inlineStr">
        <is>
          <t>Recolección por riesgo de exceder el cupo: el saldo al cierre ($12.012.113.738) pasa el cupo $11.704.508.200. Se recogen $307.605.538 y el saldo queda en $11.704.508.200. En sus últimos 180 días la sucursal recibe más de lo que paga (entradas medias $1.147.570.038/día &gt; salidas medias $783.881.538/día); el neto diario varía $411.468.093 (σ). Costo estimado $180.691 (Anexo E: fijo $13.969 + $5 por cada $10.000 movidos).</t>
        </is>
      </c>
      <c r="L2199" s="26" t="n">
        <v>11704508200</v>
      </c>
      <c r="M2199" s="26" t="n">
        <v>12012113738</v>
      </c>
      <c r="N2199" s="27">
        <f>IF(ISNUMBER(M2199),M2199/L2199,"No aplica")</f>
        <v>1.0262809451489812</v>
      </c>
      <c r="O2199" s="25">
        <f>IF(G2199="provision",M2199+H2199,IF(G2199="recoleccion",M2199-H2199,"No aplica"))</f>
        <v>11704508200</v>
      </c>
      <c r="P2199" s="26" t="n">
        <v>180691</v>
      </c>
    </row>
    <row r="2200">
      <c r="A2200" t="inlineStr">
        <is>
          <t>PRAGMA</t>
        </is>
      </c>
      <c r="B2200" t="inlineStr">
        <is>
          <t>M3</t>
        </is>
      </c>
      <c r="C2200" t="inlineStr">
        <is>
          <t>Cali</t>
        </is>
      </c>
      <c r="D2200" t="inlineStr">
        <is>
          <t>519</t>
        </is>
      </c>
      <c r="E2200" t="inlineStr">
        <is>
          <t>No aplica</t>
        </is>
      </c>
      <c r="F2200" s="23" t="n">
        <v>46277</v>
      </c>
      <c r="G2200" t="inlineStr">
        <is>
          <t>recoleccion</t>
        </is>
      </c>
      <c r="H2200" s="26" t="n">
        <v>41732219</v>
      </c>
      <c r="I2200" t="inlineStr">
        <is>
          <t>bajo</t>
        </is>
      </c>
      <c r="J2200" t="inlineStr">
        <is>
          <t>RN-41: riesgo de exceder el cupo</t>
        </is>
      </c>
      <c r="K2200" t="inlineStr">
        <is>
          <t>Recolección por riesgo de exceder el cupo: el saldo al cierre ($11.746.240.419) pasa el cupo $11.704.508.200. Se recogen $41.732.219 y el saldo queda en $11.704.508.200. En sus últimos 180 días la sucursal recibe más de lo que paga (entradas medias $1.147.570.038/día &gt; salidas medias $783.881.538/día); el neto diario varía $411.468.093 (σ). Costo estimado $36.588 (Anexo E: fijo $13.969 + $5 por cada $10.000 movidos).</t>
        </is>
      </c>
      <c r="L2200" s="26" t="n">
        <v>11704508200</v>
      </c>
      <c r="M2200" s="26" t="n">
        <v>11746240419</v>
      </c>
      <c r="N2200" s="27">
        <f>IF(ISNUMBER(M2200),M2200/L2200,"No aplica")</f>
        <v>1.0035654824864833</v>
      </c>
      <c r="O2200" s="25">
        <f>IF(G2200="provision",M2200+H2200,IF(G2200="recoleccion",M2200-H2200,"No aplica"))</f>
        <v>11704508200</v>
      </c>
      <c r="P2200" s="26" t="n">
        <v>36588</v>
      </c>
    </row>
    <row r="2201">
      <c r="A2201" t="inlineStr">
        <is>
          <t>PRAGMA</t>
        </is>
      </c>
      <c r="B2201" t="inlineStr">
        <is>
          <t>M3</t>
        </is>
      </c>
      <c r="C2201" t="inlineStr">
        <is>
          <t>Cali</t>
        </is>
      </c>
      <c r="D2201" t="inlineStr">
        <is>
          <t>519</t>
        </is>
      </c>
      <c r="E2201" t="inlineStr">
        <is>
          <t>No aplica</t>
        </is>
      </c>
      <c r="F2201" s="23" t="n">
        <v>46278</v>
      </c>
      <c r="G2201" t="inlineStr">
        <is>
          <t>recoleccion</t>
        </is>
      </c>
      <c r="H2201" s="26" t="n">
        <v>21744</v>
      </c>
      <c r="I2201" t="inlineStr">
        <is>
          <t>bajo</t>
        </is>
      </c>
      <c r="J2201" t="inlineStr">
        <is>
          <t>RN-41: riesgo de exceder el cupo</t>
        </is>
      </c>
      <c r="K2201" t="inlineStr">
        <is>
          <t>Recolección por riesgo de exceder el cupo: el saldo al cierre ($11.704.529.944) pasa el cupo $11.704.508.200. Se recogen $21.744 y el saldo queda en $11.704.508.200. En sus últimos 180 días la sucursal recibe más de lo que paga (entradas medias $1.147.570.038/día &gt; salidas medias $783.881.538/día); el neto diario varía $411.468.093 (σ). Costo estimado $13.981 (Anexo E: fijo $13.969 + $5 por cada $10.000 movidos).</t>
        </is>
      </c>
      <c r="L2201" s="26" t="n">
        <v>11704508200</v>
      </c>
      <c r="M2201" s="26" t="n">
        <v>11704529944</v>
      </c>
      <c r="N2201" s="27">
        <f>IF(ISNUMBER(M2201),M2201/L2201,"No aplica")</f>
        <v>1.0000018577457188</v>
      </c>
      <c r="O2201" s="25">
        <f>IF(G2201="provision",M2201+H2201,IF(G2201="recoleccion",M2201-H2201,"No aplica"))</f>
        <v>11704508200</v>
      </c>
      <c r="P2201" s="26" t="n">
        <v>13981</v>
      </c>
    </row>
    <row r="2202">
      <c r="A2202" t="inlineStr">
        <is>
          <t>PRAGMA</t>
        </is>
      </c>
      <c r="B2202" t="inlineStr">
        <is>
          <t>M3</t>
        </is>
      </c>
      <c r="C2202" t="inlineStr">
        <is>
          <t>Cali</t>
        </is>
      </c>
      <c r="D2202" t="inlineStr">
        <is>
          <t>519</t>
        </is>
      </c>
      <c r="E2202" t="inlineStr">
        <is>
          <t>No aplica</t>
        </is>
      </c>
      <c r="F2202" s="23" t="n">
        <v>46279</v>
      </c>
      <c r="G2202" t="inlineStr">
        <is>
          <t>recoleccion</t>
        </is>
      </c>
      <c r="H2202" s="26" t="n">
        <v>323900324</v>
      </c>
      <c r="I2202" t="inlineStr">
        <is>
          <t>bajo</t>
        </is>
      </c>
      <c r="J2202" t="inlineStr">
        <is>
          <t>RN-41: riesgo de exceder el cupo</t>
        </is>
      </c>
      <c r="K2202" t="inlineStr">
        <is>
          <t>Recolección por riesgo de exceder el cupo: el saldo al cierre ($12.028.408.524) pasa el cupo $11.704.508.200. Se recogen $323.900.324 y el saldo queda en $11.704.508.200. En sus últimos 180 días la sucursal recibe más de lo que paga (entradas medias $1.147.570.038/día &gt; salidas medias $783.881.538/día); el neto diario varía $411.468.093 (σ). Costo estimado $189.523 (Anexo E: fijo $13.969 + $5 por cada $10.000 movidos).</t>
        </is>
      </c>
      <c r="L2202" s="26" t="n">
        <v>11704508200</v>
      </c>
      <c r="M2202" s="26" t="n">
        <v>12028408524</v>
      </c>
      <c r="N2202" s="27">
        <f>IF(ISNUMBER(M2202),M2202/L2202,"No aplica")</f>
        <v>1.0276731254714315</v>
      </c>
      <c r="O2202" s="25">
        <f>IF(G2202="provision",M2202+H2202,IF(G2202="recoleccion",M2202-H2202,"No aplica"))</f>
        <v>11704508200</v>
      </c>
      <c r="P2202" s="26" t="n">
        <v>189523</v>
      </c>
    </row>
    <row r="2203">
      <c r="A2203" t="inlineStr">
        <is>
          <t>PRAGMA</t>
        </is>
      </c>
      <c r="B2203" t="inlineStr">
        <is>
          <t>M3</t>
        </is>
      </c>
      <c r="C2203" t="inlineStr">
        <is>
          <t>Cali</t>
        </is>
      </c>
      <c r="D2203" t="inlineStr">
        <is>
          <t>519</t>
        </is>
      </c>
      <c r="E2203" t="inlineStr">
        <is>
          <t>No aplica</t>
        </is>
      </c>
      <c r="F2203" s="23" t="n">
        <v>46280</v>
      </c>
      <c r="G2203" t="inlineStr">
        <is>
          <t>recoleccion</t>
        </is>
      </c>
      <c r="H2203" s="26" t="n">
        <v>215163581</v>
      </c>
      <c r="I2203" t="inlineStr">
        <is>
          <t>bajo</t>
        </is>
      </c>
      <c r="J2203" t="inlineStr">
        <is>
          <t>RN-41: riesgo de exceder el cupo</t>
        </is>
      </c>
      <c r="K2203" t="inlineStr">
        <is>
          <t>Recolección por riesgo de exceder el cupo: el saldo al cierre ($11.919.671.781) pasa el cupo $11.704.508.200. Se recogen $215.163.581 y el saldo queda en $11.704.508.200. En sus últimos 180 días la sucursal recibe más de lo que paga (entradas medias $1.147.570.038/día &gt; salidas medias $783.881.538/día); el neto diario varía $411.468.093 (σ). Costo estimado $130.588 (Anexo E: fijo $13.969 + $5 por cada $10.000 movidos).</t>
        </is>
      </c>
      <c r="L2203" s="26" t="n">
        <v>11704508200</v>
      </c>
      <c r="M2203" s="26" t="n">
        <v>11919671781</v>
      </c>
      <c r="N2203" s="27">
        <f>IF(ISNUMBER(M2203),M2203/L2203,"No aplica")</f>
        <v>1.0183829664026378</v>
      </c>
      <c r="O2203" s="25">
        <f>IF(G2203="provision",M2203+H2203,IF(G2203="recoleccion",M2203-H2203,"No aplica"))</f>
        <v>11704508200</v>
      </c>
      <c r="P2203" s="26" t="n">
        <v>130588</v>
      </c>
    </row>
    <row r="2204">
      <c r="A2204" t="inlineStr">
        <is>
          <t>PRAGMA</t>
        </is>
      </c>
      <c r="B2204" t="inlineStr">
        <is>
          <t>M3</t>
        </is>
      </c>
      <c r="C2204" t="inlineStr">
        <is>
          <t>Cali</t>
        </is>
      </c>
      <c r="D2204" t="inlineStr">
        <is>
          <t>610</t>
        </is>
      </c>
      <c r="E2204" t="inlineStr">
        <is>
          <t>No aplica</t>
        </is>
      </c>
      <c r="F2204" s="23" t="n">
        <v>46266</v>
      </c>
      <c r="G2204" t="inlineStr">
        <is>
          <t>recoleccion</t>
        </is>
      </c>
      <c r="H2204" s="26" t="n">
        <v>38055811</v>
      </c>
      <c r="I2204" t="inlineStr">
        <is>
          <t>bajo</t>
        </is>
      </c>
      <c r="J2204" t="inlineStr">
        <is>
          <t>RN-41: riesgo de exceder el cupo</t>
        </is>
      </c>
      <c r="K2204" t="inlineStr">
        <is>
          <t>Recolección por riesgo de exceder el cupo: el saldo al cierre ($5.114.055.811) pasa el cupo $5.076.000.000. Se recogen $38.055.811 y el saldo queda en $5.076.000.000. En sus últimos 180 días la sucursal recibe más de lo que paga (entradas medias $1.132.527.032/día &gt; salidas medias $1.051.437.114/día); el neto diario varía $395.624.302 (σ). Costo estimado $34.177 (Anexo E: fijo $13.969 + $5 por cada $10.000 movidos).</t>
        </is>
      </c>
      <c r="L2204" s="26" t="n">
        <v>5076000000</v>
      </c>
      <c r="M2204" s="26" t="n">
        <v>5114055811</v>
      </c>
      <c r="N2204" s="27">
        <f>IF(ISNUMBER(M2204),M2204/L2204,"No aplica")</f>
        <v>1.0074972046887314</v>
      </c>
      <c r="O2204" s="25">
        <f>IF(G2204="provision",M2204+H2204,IF(G2204="recoleccion",M2204-H2204,"No aplica"))</f>
        <v>5076000000</v>
      </c>
      <c r="P2204" s="26" t="n">
        <v>34177</v>
      </c>
    </row>
    <row r="2205">
      <c r="A2205" t="inlineStr">
        <is>
          <t>PRAGMA</t>
        </is>
      </c>
      <c r="B2205" t="inlineStr">
        <is>
          <t>M3</t>
        </is>
      </c>
      <c r="C2205" t="inlineStr">
        <is>
          <t>Cali</t>
        </is>
      </c>
      <c r="D2205" t="inlineStr">
        <is>
          <t>610</t>
        </is>
      </c>
      <c r="E2205" t="inlineStr">
        <is>
          <t>No aplica</t>
        </is>
      </c>
      <c r="F2205" s="23" t="n">
        <v>46267</v>
      </c>
      <c r="G2205" t="inlineStr">
        <is>
          <t>recoleccion</t>
        </is>
      </c>
      <c r="H2205" s="26" t="n">
        <v>118709426</v>
      </c>
      <c r="I2205" t="inlineStr">
        <is>
          <t>bajo</t>
        </is>
      </c>
      <c r="J2205" t="inlineStr">
        <is>
          <t>RN-41: riesgo de exceder el cupo</t>
        </is>
      </c>
      <c r="K2205" t="inlineStr">
        <is>
          <t>Recolección por riesgo de exceder el cupo: el saldo al cierre ($5.194.709.426) pasa el cupo $5.076.000.000. Se recogen $118.709.426 y el saldo queda en $5.076.000.000. En sus últimos 180 días la sucursal recibe más de lo que paga (entradas medias $1.132.527.032/día &gt; salidas medias $1.051.437.114/día); el neto diario varía $395.624.302 (σ). Costo estimado $77.004 (Anexo E: fijo $13.969 + $5 por cada $10.000 movidos).</t>
        </is>
      </c>
      <c r="L2205" s="26" t="n">
        <v>5076000000</v>
      </c>
      <c r="M2205" s="26" t="n">
        <v>5194709426</v>
      </c>
      <c r="N2205" s="27">
        <f>IF(ISNUMBER(M2205),M2205/L2205,"No aplica")</f>
        <v>1.0233864117415288</v>
      </c>
      <c r="O2205" s="25">
        <f>IF(G2205="provision",M2205+H2205,IF(G2205="recoleccion",M2205-H2205,"No aplica"))</f>
        <v>5076000000</v>
      </c>
      <c r="P2205" s="26" t="n">
        <v>77004</v>
      </c>
    </row>
    <row r="2206">
      <c r="A2206" t="inlineStr">
        <is>
          <t>PRAGMA</t>
        </is>
      </c>
      <c r="B2206" t="inlineStr">
        <is>
          <t>M3</t>
        </is>
      </c>
      <c r="C2206" t="inlineStr">
        <is>
          <t>Cali</t>
        </is>
      </c>
      <c r="D2206" t="inlineStr">
        <is>
          <t>610</t>
        </is>
      </c>
      <c r="E2206" t="inlineStr">
        <is>
          <t>No aplica</t>
        </is>
      </c>
      <c r="F2206" s="23" t="n">
        <v>46268</v>
      </c>
      <c r="G2206" t="inlineStr">
        <is>
          <t>recoleccion</t>
        </is>
      </c>
      <c r="H2206" s="26" t="n">
        <v>188602943</v>
      </c>
      <c r="I2206" t="inlineStr">
        <is>
          <t>bajo</t>
        </is>
      </c>
      <c r="J2206" t="inlineStr">
        <is>
          <t>RN-41: riesgo de exceder el cupo</t>
        </is>
      </c>
      <c r="K2206" t="inlineStr">
        <is>
          <t>Recolección por riesgo de exceder el cupo: el saldo al cierre ($5.264.602.943) pasa el cupo $5.076.000.000. Se recogen $188.602.943 y el saldo queda en $5.076.000.000. En sus últimos 180 días la sucursal recibe más de lo que paga (entradas medias $1.132.527.032/día &gt; salidas medias $1.051.437.114/día); el neto diario varía $395.624.302 (σ). Costo estimado $114.117 (Anexo E: fijo $13.969 + $5 por cada $10.000 movidos).</t>
        </is>
      </c>
      <c r="L2206" s="26" t="n">
        <v>5076000000</v>
      </c>
      <c r="M2206" s="26" t="n">
        <v>5264602943</v>
      </c>
      <c r="N2206" s="27">
        <f>IF(ISNUMBER(M2206),M2206/L2206,"No aplica")</f>
        <v>1.0371558201339637</v>
      </c>
      <c r="O2206" s="25">
        <f>IF(G2206="provision",M2206+H2206,IF(G2206="recoleccion",M2206-H2206,"No aplica"))</f>
        <v>5076000000</v>
      </c>
      <c r="P2206" s="26" t="n">
        <v>114117</v>
      </c>
    </row>
    <row r="2207">
      <c r="A2207" t="inlineStr">
        <is>
          <t>PRAGMA</t>
        </is>
      </c>
      <c r="B2207" t="inlineStr">
        <is>
          <t>M3</t>
        </is>
      </c>
      <c r="C2207" t="inlineStr">
        <is>
          <t>Cali</t>
        </is>
      </c>
      <c r="D2207" t="inlineStr">
        <is>
          <t>610</t>
        </is>
      </c>
      <c r="E2207" t="inlineStr">
        <is>
          <t>No aplica</t>
        </is>
      </c>
      <c r="F2207" s="23" t="n">
        <v>46269</v>
      </c>
      <c r="G2207" t="inlineStr">
        <is>
          <t>recoleccion</t>
        </is>
      </c>
      <c r="H2207" s="26" t="n">
        <v>9192210</v>
      </c>
      <c r="I2207" t="inlineStr">
        <is>
          <t>bajo</t>
        </is>
      </c>
      <c r="J2207" t="inlineStr">
        <is>
          <t>RN-41: riesgo de exceder el cupo</t>
        </is>
      </c>
      <c r="K2207" t="inlineStr">
        <is>
          <t>Recolección por riesgo de exceder el cupo: el saldo al cierre ($5.085.192.210) pasa el cupo $5.076.000.000. Se recogen $9.192.210 y el saldo queda en $5.076.000.000. En sus últimos 180 días la sucursal recibe más de lo que paga (entradas medias $1.132.527.032/día &gt; salidas medias $1.051.437.114/día); el neto diario varía $395.624.302 (σ). Costo estimado $18.850 (Anexo E: fijo $13.969 + $5 por cada $10.000 movidos).</t>
        </is>
      </c>
      <c r="L2207" s="26" t="n">
        <v>5076000000</v>
      </c>
      <c r="M2207" s="26" t="n">
        <v>5085192210</v>
      </c>
      <c r="N2207" s="27">
        <f>IF(ISNUMBER(M2207),M2207/L2207,"No aplica")</f>
        <v>1.00181091607565</v>
      </c>
      <c r="O2207" s="25">
        <f>IF(G2207="provision",M2207+H2207,IF(G2207="recoleccion",M2207-H2207,"No aplica"))</f>
        <v>5076000000</v>
      </c>
      <c r="P2207" s="26" t="n">
        <v>18850</v>
      </c>
    </row>
    <row r="2208">
      <c r="A2208" t="inlineStr">
        <is>
          <t>PRAGMA</t>
        </is>
      </c>
      <c r="B2208" t="inlineStr">
        <is>
          <t>M3</t>
        </is>
      </c>
      <c r="C2208" t="inlineStr">
        <is>
          <t>Cali</t>
        </is>
      </c>
      <c r="D2208" t="inlineStr">
        <is>
          <t>610</t>
        </is>
      </c>
      <c r="E2208" t="inlineStr">
        <is>
          <t>No aplica</t>
        </is>
      </c>
      <c r="F2208" s="23" t="n">
        <v>46274</v>
      </c>
      <c r="G2208" t="inlineStr">
        <is>
          <t>recoleccion</t>
        </is>
      </c>
      <c r="H2208" s="26" t="n">
        <v>149480809</v>
      </c>
      <c r="I2208" t="inlineStr">
        <is>
          <t>bajo</t>
        </is>
      </c>
      <c r="J2208" t="inlineStr">
        <is>
          <t>RN-41: riesgo de exceder el cupo</t>
        </is>
      </c>
      <c r="K2208" t="inlineStr">
        <is>
          <t>Recolección por riesgo de exceder el cupo: el saldo al cierre ($5.225.480.809) pasa el cupo $5.076.000.000. Se recogen $149.480.809 y el saldo queda en $5.076.000.000. En sus últimos 180 días la sucursal recibe más de lo que paga (entradas medias $1.132.527.032/día &gt; salidas medias $1.051.437.114/día); el neto diario varía $395.624.302 (σ). Costo estimado $93.343 (Anexo E: fijo $13.969 + $5 por cada $10.000 movidos).</t>
        </is>
      </c>
      <c r="L2208" s="26" t="n">
        <v>5076000000</v>
      </c>
      <c r="M2208" s="26" t="n">
        <v>5225480809</v>
      </c>
      <c r="N2208" s="27">
        <f>IF(ISNUMBER(M2208),M2208/L2208,"No aplica")</f>
        <v>1.02944854393223</v>
      </c>
      <c r="O2208" s="25">
        <f>IF(G2208="provision",M2208+H2208,IF(G2208="recoleccion",M2208-H2208,"No aplica"))</f>
        <v>5076000000</v>
      </c>
      <c r="P2208" s="26" t="n">
        <v>93343</v>
      </c>
    </row>
    <row r="2209">
      <c r="A2209" t="inlineStr">
        <is>
          <t>PRAGMA</t>
        </is>
      </c>
      <c r="B2209" t="inlineStr">
        <is>
          <t>M3</t>
        </is>
      </c>
      <c r="C2209" t="inlineStr">
        <is>
          <t>Cali</t>
        </is>
      </c>
      <c r="D2209" t="inlineStr">
        <is>
          <t>610</t>
        </is>
      </c>
      <c r="E2209" t="inlineStr">
        <is>
          <t>No aplica</t>
        </is>
      </c>
      <c r="F2209" s="23" t="n">
        <v>46275</v>
      </c>
      <c r="G2209" t="inlineStr">
        <is>
          <t>recoleccion</t>
        </is>
      </c>
      <c r="H2209" s="26" t="n">
        <v>219798143</v>
      </c>
      <c r="I2209" t="inlineStr">
        <is>
          <t>bajo</t>
        </is>
      </c>
      <c r="J2209" t="inlineStr">
        <is>
          <t>RN-41: riesgo de exceder el cupo</t>
        </is>
      </c>
      <c r="K2209" t="inlineStr">
        <is>
          <t>Recolección por riesgo de exceder el cupo: el saldo al cierre ($5.295.798.143) pasa el cupo $5.076.000.000. Se recogen $219.798.143 y el saldo queda en $5.076.000.000. En sus últimos 180 días la sucursal recibe más de lo que paga (entradas medias $1.132.527.032/día &gt; salidas medias $1.051.437.114/día); el neto diario varía $395.624.302 (σ). Costo estimado $130.682 (Anexo E: fijo $13.969 + $5 por cada $10.000 movidos).</t>
        </is>
      </c>
      <c r="L2209" s="26" t="n">
        <v>5076000000</v>
      </c>
      <c r="M2209" s="26" t="n">
        <v>5295798143</v>
      </c>
      <c r="N2209" s="27">
        <f>IF(ISNUMBER(M2209),M2209/L2209,"No aplica")</f>
        <v>1.0433014466115051</v>
      </c>
      <c r="O2209" s="25">
        <f>IF(G2209="provision",M2209+H2209,IF(G2209="recoleccion",M2209-H2209,"No aplica"))</f>
        <v>5076000000</v>
      </c>
      <c r="P2209" s="26" t="n">
        <v>130682</v>
      </c>
    </row>
    <row r="2210">
      <c r="A2210" t="inlineStr">
        <is>
          <t>PRAGMA</t>
        </is>
      </c>
      <c r="B2210" t="inlineStr">
        <is>
          <t>M3</t>
        </is>
      </c>
      <c r="C2210" t="inlineStr">
        <is>
          <t>Cali</t>
        </is>
      </c>
      <c r="D2210" t="inlineStr">
        <is>
          <t>610</t>
        </is>
      </c>
      <c r="E2210" t="inlineStr">
        <is>
          <t>No aplica</t>
        </is>
      </c>
      <c r="F2210" s="23" t="n">
        <v>46276</v>
      </c>
      <c r="G2210" t="inlineStr">
        <is>
          <t>recoleccion</t>
        </is>
      </c>
      <c r="H2210" s="26" t="n">
        <v>191940522</v>
      </c>
      <c r="I2210" t="inlineStr">
        <is>
          <t>bajo</t>
        </is>
      </c>
      <c r="J2210" t="inlineStr">
        <is>
          <t>RN-41: riesgo de exceder el cupo</t>
        </is>
      </c>
      <c r="K2210" t="inlineStr">
        <is>
          <t>Recolección por riesgo de exceder el cupo: el saldo al cierre ($5.267.940.522) pasa el cupo $5.076.000.000. Se recogen $191.940.522 y el saldo queda en $5.076.000.000. En sus últimos 180 días la sucursal recibe más de lo que paga (entradas medias $1.132.527.032/día &gt; salidas medias $1.051.437.114/día); el neto diario varía $395.624.302 (σ). Costo estimado $115.889 (Anexo E: fijo $13.969 + $5 por cada $10.000 movidos).</t>
        </is>
      </c>
      <c r="L2210" s="26" t="n">
        <v>5076000000</v>
      </c>
      <c r="M2210" s="26" t="n">
        <v>5267940522</v>
      </c>
      <c r="N2210" s="27">
        <f>IF(ISNUMBER(M2210),M2210/L2210,"No aplica")</f>
        <v>1.037813341607565</v>
      </c>
      <c r="O2210" s="25">
        <f>IF(G2210="provision",M2210+H2210,IF(G2210="recoleccion",M2210-H2210,"No aplica"))</f>
        <v>5076000000</v>
      </c>
      <c r="P2210" s="26" t="n">
        <v>115889</v>
      </c>
    </row>
    <row r="2211">
      <c r="A2211" t="inlineStr">
        <is>
          <t>PRAGMA</t>
        </is>
      </c>
      <c r="B2211" t="inlineStr">
        <is>
          <t>M3</t>
        </is>
      </c>
      <c r="C2211" t="inlineStr">
        <is>
          <t>Cali</t>
        </is>
      </c>
      <c r="D2211" t="inlineStr">
        <is>
          <t>626</t>
        </is>
      </c>
      <c r="E2211" t="inlineStr">
        <is>
          <t>No aplica</t>
        </is>
      </c>
      <c r="F2211" s="23" t="n">
        <v>46266</v>
      </c>
      <c r="G2211" t="inlineStr">
        <is>
          <t>recoleccion</t>
        </is>
      </c>
      <c r="H2211" s="26" t="n">
        <v>1717556760</v>
      </c>
      <c r="I2211" t="inlineStr">
        <is>
          <t>bajo</t>
        </is>
      </c>
      <c r="J2211" t="inlineStr">
        <is>
          <t>RN-41: riesgo de exceder el cupo</t>
        </is>
      </c>
      <c r="K2211" t="inlineStr">
        <is>
          <t>Recolección por riesgo de exceder el cupo: el saldo al cierre ($6.353.071.346) pasa el cupo $6.281.000.000. Se recogen $1.717.556.760 y el saldo queda en $4.635.514.586. En sus últimos 180 días la sucursal recibe más de lo que paga (entradas medias $376.611.162/día &gt; salidas medias $275.535.639/día); el neto diario varía $170.810.108 (σ). Costo estimado $944.885 (Anexo E: fijo $13.969 + $5 por cada $10.000 movidos).</t>
        </is>
      </c>
      <c r="L2211" s="26" t="n">
        <v>6281000000</v>
      </c>
      <c r="M2211" s="26" t="n">
        <v>6353071346</v>
      </c>
      <c r="N2211" s="27">
        <f>IF(ISNUMBER(M2211),M2211/L2211,"No aplica")</f>
        <v>1.0114745018309186</v>
      </c>
      <c r="O2211" s="25">
        <f>IF(G2211="provision",M2211+H2211,IF(G2211="recoleccion",M2211-H2211,"No aplica"))</f>
        <v>4635514586</v>
      </c>
      <c r="P2211" s="26" t="n">
        <v>944885</v>
      </c>
    </row>
    <row r="2212">
      <c r="A2212" t="inlineStr">
        <is>
          <t>PRAGMA</t>
        </is>
      </c>
      <c r="B2212" t="inlineStr">
        <is>
          <t>M3</t>
        </is>
      </c>
      <c r="C2212" t="inlineStr">
        <is>
          <t>Cali</t>
        </is>
      </c>
      <c r="D2212" t="inlineStr">
        <is>
          <t>626</t>
        </is>
      </c>
      <c r="E2212" t="inlineStr">
        <is>
          <t>No aplica</t>
        </is>
      </c>
      <c r="F2212" s="23" t="n">
        <v>46267</v>
      </c>
      <c r="G2212" t="inlineStr">
        <is>
          <t>recoleccion</t>
        </is>
      </c>
      <c r="H2212" s="26" t="n">
        <v>51791335</v>
      </c>
      <c r="I2212" t="inlineStr">
        <is>
          <t>bajo</t>
        </is>
      </c>
      <c r="J2212" t="inlineStr">
        <is>
          <t>RN-41: efectivo ocioso sobre el techo</t>
        </is>
      </c>
      <c r="K2212" t="inlineStr">
        <is>
          <t>Recolección por efectivo ocioso: el saldo al cierre ($4.687.305.921) pasa el techo $4.635.514.586 (reserva + 15 días de salidas medias, tope en el cupo $6.281.000.000). Se recogen $51.791.335 y el saldo queda en $4.635.514.586. En sus últimos 180 días la sucursal recibe más de lo que paga (entradas medias $376.611.162/día &gt; salidas medias $275.535.639/día); el neto diario varía $170.810.108 (σ). Costo estimado $42.040 (Anexo E: fijo $13.969 + $5 por cada $10.000 movidos).</t>
        </is>
      </c>
      <c r="L2212" s="26" t="n">
        <v>6281000000</v>
      </c>
      <c r="M2212" s="26" t="n">
        <v>4687305921</v>
      </c>
      <c r="N2212" s="27">
        <f>IF(ISNUMBER(M2212),M2212/L2212,"No aplica")</f>
        <v>0.7462674607546569</v>
      </c>
      <c r="O2212" s="25">
        <f>IF(G2212="provision",M2212+H2212,IF(G2212="recoleccion",M2212-H2212,"No aplica"))</f>
        <v>4635514586</v>
      </c>
      <c r="P2212" s="26" t="n">
        <v>42040</v>
      </c>
    </row>
    <row r="2213">
      <c r="A2213" t="inlineStr">
        <is>
          <t>PRAGMA</t>
        </is>
      </c>
      <c r="B2213" t="inlineStr">
        <is>
          <t>M3</t>
        </is>
      </c>
      <c r="C2213" t="inlineStr">
        <is>
          <t>Cali</t>
        </is>
      </c>
      <c r="D2213" t="inlineStr">
        <is>
          <t>626</t>
        </is>
      </c>
      <c r="E2213" t="inlineStr">
        <is>
          <t>No aplica</t>
        </is>
      </c>
      <c r="F2213" s="23" t="n">
        <v>46268</v>
      </c>
      <c r="G2213" t="inlineStr">
        <is>
          <t>recoleccion</t>
        </is>
      </c>
      <c r="H2213" s="26" t="n">
        <v>115430955</v>
      </c>
      <c r="I2213" t="inlineStr">
        <is>
          <t>bajo</t>
        </is>
      </c>
      <c r="J2213" t="inlineStr">
        <is>
          <t>RN-41: efectivo ocioso sobre el techo</t>
        </is>
      </c>
      <c r="K2213" t="inlineStr">
        <is>
          <t>Recolección por efectivo ocioso: el saldo al cierre ($4.750.945.541) pasa el techo $4.635.514.586 (reserva + 15 días de salidas medias, tope en el cupo $6.281.000.000). Se recogen $115.430.955 y el saldo queda en $4.635.514.586. En sus últimos 180 días la sucursal recibe más de lo que paga (entradas medias $376.611.162/día &gt; salidas medias $275.535.639/día); el neto diario varía $170.810.108 (σ). Costo estimado $76.533 (Anexo E: fijo $13.969 + $5 por cada $10.000 movidos).</t>
        </is>
      </c>
      <c r="L2213" s="26" t="n">
        <v>6281000000</v>
      </c>
      <c r="M2213" s="26" t="n">
        <v>4750945541</v>
      </c>
      <c r="N2213" s="27">
        <f>IF(ISNUMBER(M2213),M2213/L2213,"No aplica")</f>
        <v>0.7563995448177042</v>
      </c>
      <c r="O2213" s="25">
        <f>IF(G2213="provision",M2213+H2213,IF(G2213="recoleccion",M2213-H2213,"No aplica"))</f>
        <v>4635514586</v>
      </c>
      <c r="P2213" s="26" t="n">
        <v>76533</v>
      </c>
    </row>
    <row r="2214">
      <c r="A2214" t="inlineStr">
        <is>
          <t>PRAGMA</t>
        </is>
      </c>
      <c r="B2214" t="inlineStr">
        <is>
          <t>M3</t>
        </is>
      </c>
      <c r="C2214" t="inlineStr">
        <is>
          <t>Cali</t>
        </is>
      </c>
      <c r="D2214" t="inlineStr">
        <is>
          <t>626</t>
        </is>
      </c>
      <c r="E2214" t="inlineStr">
        <is>
          <t>No aplica</t>
        </is>
      </c>
      <c r="F2214" s="23" t="n">
        <v>46269</v>
      </c>
      <c r="G2214" t="inlineStr">
        <is>
          <t>recoleccion</t>
        </is>
      </c>
      <c r="H2214" s="26" t="n">
        <v>28585570</v>
      </c>
      <c r="I2214" t="inlineStr">
        <is>
          <t>bajo</t>
        </is>
      </c>
      <c r="J2214" t="inlineStr">
        <is>
          <t>RN-41: efectivo ocioso sobre el techo</t>
        </is>
      </c>
      <c r="K2214" t="inlineStr">
        <is>
          <t>Recolección por efectivo ocioso: el saldo al cierre ($4.664.100.156) pasa el techo $4.635.514.586 (reserva + 15 días de salidas medias, tope en el cupo $6.281.000.000). Se recogen $28.585.570 y el saldo queda en $4.635.514.586. En sus últimos 180 días la sucursal recibe más de lo que paga (entradas medias $376.611.162/día &gt; salidas medias $275.535.639/día); el neto diario varía $170.810.108 (σ). Costo estimado $29.462 (Anexo E: fijo $13.969 + $5 por cada $10.000 movidos).</t>
        </is>
      </c>
      <c r="L2214" s="26" t="n">
        <v>6281000000</v>
      </c>
      <c r="M2214" s="26" t="n">
        <v>4664100156</v>
      </c>
      <c r="N2214" s="27">
        <f>IF(ISNUMBER(M2214),M2214/L2214,"No aplica")</f>
        <v>0.7425728635567584</v>
      </c>
      <c r="O2214" s="25">
        <f>IF(G2214="provision",M2214+H2214,IF(G2214="recoleccion",M2214-H2214,"No aplica"))</f>
        <v>4635514586</v>
      </c>
      <c r="P2214" s="26" t="n">
        <v>29462</v>
      </c>
    </row>
    <row r="2215">
      <c r="A2215" t="inlineStr">
        <is>
          <t>PRAGMA</t>
        </is>
      </c>
      <c r="B2215" t="inlineStr">
        <is>
          <t>M3</t>
        </is>
      </c>
      <c r="C2215" t="inlineStr">
        <is>
          <t>Cali</t>
        </is>
      </c>
      <c r="D2215" t="inlineStr">
        <is>
          <t>626</t>
        </is>
      </c>
      <c r="E2215" t="inlineStr">
        <is>
          <t>No aplica</t>
        </is>
      </c>
      <c r="F2215" s="23" t="n">
        <v>46270</v>
      </c>
      <c r="G2215" t="inlineStr">
        <is>
          <t>recoleccion</t>
        </is>
      </c>
      <c r="H2215" s="26" t="n">
        <v>2449422</v>
      </c>
      <c r="I2215" t="inlineStr">
        <is>
          <t>bajo</t>
        </is>
      </c>
      <c r="J2215" t="inlineStr">
        <is>
          <t>RN-41: efectivo ocioso sobre el techo</t>
        </is>
      </c>
      <c r="K2215" t="inlineStr">
        <is>
          <t>Recolección por efectivo ocioso: el saldo al cierre ($4.637.964.008) pasa el techo $4.635.514.586 (reserva + 15 días de salidas medias, tope en el cupo $6.281.000.000). Se recogen $2.449.422 y el saldo queda en $4.635.514.586. En sus últimos 180 días la sucursal recibe más de lo que paga (entradas medias $376.611.162/día &gt; salidas medias $275.535.639/día); el neto diario varía $170.810.108 (σ). Costo estimado $15.297 (Anexo E: fijo $13.969 + $5 por cada $10.000 movidos).</t>
        </is>
      </c>
      <c r="L2215" s="26" t="n">
        <v>6281000000</v>
      </c>
      <c r="M2215" s="26" t="n">
        <v>4637964008</v>
      </c>
      <c r="N2215" s="27">
        <f>IF(ISNUMBER(M2215),M2215/L2215,"No aplica")</f>
        <v>0.7384117191530011</v>
      </c>
      <c r="O2215" s="25">
        <f>IF(G2215="provision",M2215+H2215,IF(G2215="recoleccion",M2215-H2215,"No aplica"))</f>
        <v>4635514586</v>
      </c>
      <c r="P2215" s="26" t="n">
        <v>15297</v>
      </c>
    </row>
    <row r="2216">
      <c r="A2216" t="inlineStr">
        <is>
          <t>PRAGMA</t>
        </is>
      </c>
      <c r="B2216" t="inlineStr">
        <is>
          <t>M3</t>
        </is>
      </c>
      <c r="C2216" t="inlineStr">
        <is>
          <t>Cali</t>
        </is>
      </c>
      <c r="D2216" t="inlineStr">
        <is>
          <t>626</t>
        </is>
      </c>
      <c r="E2216" t="inlineStr">
        <is>
          <t>No aplica</t>
        </is>
      </c>
      <c r="F2216" s="23" t="n">
        <v>46271</v>
      </c>
      <c r="G2216" t="inlineStr">
        <is>
          <t>recoleccion</t>
        </is>
      </c>
      <c r="H2216" s="26" t="n">
        <v>53974</v>
      </c>
      <c r="I2216" t="inlineStr">
        <is>
          <t>bajo</t>
        </is>
      </c>
      <c r="J2216" t="inlineStr">
        <is>
          <t>RN-41: efectivo ocioso sobre el techo</t>
        </is>
      </c>
      <c r="K2216" t="inlineStr">
        <is>
          <t>Recolección por efectivo ocioso: el saldo al cierre ($4.635.568.560) pasa el techo $4.635.514.586 (reserva + 15 días de salidas medias, tope en el cupo $6.281.000.000). Se recogen $53.974 y el saldo queda en $4.635.514.586. En sus últimos 180 días la sucursal recibe más de lo que paga (entradas medias $376.611.162/día &gt; salidas medias $275.535.639/día); el neto diario varía $170.810.108 (σ). Costo estimado $13.998 (Anexo E: fijo $13.969 + $5 por cada $10.000 movidos).</t>
        </is>
      </c>
      <c r="L2216" s="26" t="n">
        <v>6281000000</v>
      </c>
      <c r="M2216" s="26" t="n">
        <v>4635568560</v>
      </c>
      <c r="N2216" s="27">
        <f>IF(ISNUMBER(M2216),M2216/L2216,"No aplica")</f>
        <v>0.7380303391179749</v>
      </c>
      <c r="O2216" s="25">
        <f>IF(G2216="provision",M2216+H2216,IF(G2216="recoleccion",M2216-H2216,"No aplica"))</f>
        <v>4635514586</v>
      </c>
      <c r="P2216" s="26" t="n">
        <v>13998</v>
      </c>
    </row>
    <row r="2217">
      <c r="A2217" t="inlineStr">
        <is>
          <t>PRAGMA</t>
        </is>
      </c>
      <c r="B2217" t="inlineStr">
        <is>
          <t>M3</t>
        </is>
      </c>
      <c r="C2217" t="inlineStr">
        <is>
          <t>Cali</t>
        </is>
      </c>
      <c r="D2217" t="inlineStr">
        <is>
          <t>626</t>
        </is>
      </c>
      <c r="E2217" t="inlineStr">
        <is>
          <t>No aplica</t>
        </is>
      </c>
      <c r="F2217" s="23" t="n">
        <v>46272</v>
      </c>
      <c r="G2217" t="inlineStr">
        <is>
          <t>recoleccion</t>
        </is>
      </c>
      <c r="H2217" s="26" t="n">
        <v>86536811</v>
      </c>
      <c r="I2217" t="inlineStr">
        <is>
          <t>bajo</t>
        </is>
      </c>
      <c r="J2217" t="inlineStr">
        <is>
          <t>RN-41: efectivo ocioso sobre el techo</t>
        </is>
      </c>
      <c r="K2217" t="inlineStr">
        <is>
          <t>Recolección por efectivo ocioso: el saldo al cierre ($4.722.051.397) pasa el techo $4.635.514.586 (reserva + 15 días de salidas medias, tope en el cupo $6.281.000.000). Se recogen $86.536.811 y el saldo queda en $4.635.514.586. En sus últimos 180 días la sucursal recibe más de lo que paga (entradas medias $376.611.162/día &gt; salidas medias $275.535.639/día); el neto diario varía $170.810.108 (σ). Costo estimado $60.872 (Anexo E: fijo $13.969 + $5 por cada $10.000 movidos).</t>
        </is>
      </c>
      <c r="L2217" s="26" t="n">
        <v>6281000000</v>
      </c>
      <c r="M2217" s="26" t="n">
        <v>4722051397</v>
      </c>
      <c r="N2217" s="27">
        <f>IF(ISNUMBER(M2217),M2217/L2217,"No aplica")</f>
        <v>0.751799298996975</v>
      </c>
      <c r="O2217" s="25">
        <f>IF(G2217="provision",M2217+H2217,IF(G2217="recoleccion",M2217-H2217,"No aplica"))</f>
        <v>4635514586</v>
      </c>
      <c r="P2217" s="26" t="n">
        <v>60872</v>
      </c>
    </row>
    <row r="2218">
      <c r="A2218" t="inlineStr">
        <is>
          <t>PRAGMA</t>
        </is>
      </c>
      <c r="B2218" t="inlineStr">
        <is>
          <t>M3</t>
        </is>
      </c>
      <c r="C2218" t="inlineStr">
        <is>
          <t>Cali</t>
        </is>
      </c>
      <c r="D2218" t="inlineStr">
        <is>
          <t>626</t>
        </is>
      </c>
      <c r="E2218" t="inlineStr">
        <is>
          <t>No aplica</t>
        </is>
      </c>
      <c r="F2218" s="23" t="n">
        <v>46273</v>
      </c>
      <c r="G2218" t="inlineStr">
        <is>
          <t>recoleccion</t>
        </is>
      </c>
      <c r="H2218" s="26" t="n">
        <v>138559322</v>
      </c>
      <c r="I2218" t="inlineStr">
        <is>
          <t>bajo</t>
        </is>
      </c>
      <c r="J2218" t="inlineStr">
        <is>
          <t>RN-41: efectivo ocioso sobre el techo</t>
        </is>
      </c>
      <c r="K2218" t="inlineStr">
        <is>
          <t>Recolección por efectivo ocioso: el saldo al cierre ($4.774.073.908) pasa el techo $4.635.514.586 (reserva + 15 días de salidas medias, tope en el cupo $6.281.000.000). Se recogen $138.559.322 y el saldo queda en $4.635.514.586. En sus últimos 180 días la sucursal recibe más de lo que paga (entradas medias $376.611.162/día &gt; salidas medias $275.535.639/día); el neto diario varía $170.810.108 (σ). Costo estimado $89.068 (Anexo E: fijo $13.969 + $5 por cada $10.000 movidos).</t>
        </is>
      </c>
      <c r="L2218" s="26" t="n">
        <v>6281000000</v>
      </c>
      <c r="M2218" s="26" t="n">
        <v>4774073908</v>
      </c>
      <c r="N2218" s="27">
        <f>IF(ISNUMBER(M2218),M2218/L2218,"No aplica")</f>
        <v>0.7600818194555007</v>
      </c>
      <c r="O2218" s="25">
        <f>IF(G2218="provision",M2218+H2218,IF(G2218="recoleccion",M2218-H2218,"No aplica"))</f>
        <v>4635514586</v>
      </c>
      <c r="P2218" s="26" t="n">
        <v>89068</v>
      </c>
    </row>
    <row r="2219">
      <c r="A2219" t="inlineStr">
        <is>
          <t>PRAGMA</t>
        </is>
      </c>
      <c r="B2219" t="inlineStr">
        <is>
          <t>M3</t>
        </is>
      </c>
      <c r="C2219" t="inlineStr">
        <is>
          <t>Cali</t>
        </is>
      </c>
      <c r="D2219" t="inlineStr">
        <is>
          <t>626</t>
        </is>
      </c>
      <c r="E2219" t="inlineStr">
        <is>
          <t>No aplica</t>
        </is>
      </c>
      <c r="F2219" s="23" t="n">
        <v>46274</v>
      </c>
      <c r="G2219" t="inlineStr">
        <is>
          <t>recoleccion</t>
        </is>
      </c>
      <c r="H2219" s="26" t="n">
        <v>105042049</v>
      </c>
      <c r="I2219" t="inlineStr">
        <is>
          <t>bajo</t>
        </is>
      </c>
      <c r="J2219" t="inlineStr">
        <is>
          <t>RN-41: efectivo ocioso sobre el techo</t>
        </is>
      </c>
      <c r="K2219" t="inlineStr">
        <is>
          <t>Recolección por efectivo ocioso: el saldo al cierre ($4.740.556.635) pasa el techo $4.635.514.586 (reserva + 15 días de salidas medias, tope en el cupo $6.281.000.000). Se recogen $105.042.049 y el saldo queda en $4.635.514.586. En sus últimos 180 días la sucursal recibe más de lo que paga (entradas medias $376.611.162/día &gt; salidas medias $275.535.639/día); el neto diario varía $170.810.108 (σ). Costo estimado $70.902 (Anexo E: fijo $13.969 + $5 por cada $10.000 movidos).</t>
        </is>
      </c>
      <c r="L2219" s="26" t="n">
        <v>6281000000</v>
      </c>
      <c r="M2219" s="26" t="n">
        <v>4740556635</v>
      </c>
      <c r="N2219" s="27">
        <f>IF(ISNUMBER(M2219),M2219/L2219,"No aplica")</f>
        <v>0.7547455238019424</v>
      </c>
      <c r="O2219" s="25">
        <f>IF(G2219="provision",M2219+H2219,IF(G2219="recoleccion",M2219-H2219,"No aplica"))</f>
        <v>4635514586</v>
      </c>
      <c r="P2219" s="26" t="n">
        <v>70902</v>
      </c>
    </row>
    <row r="2220">
      <c r="A2220" t="inlineStr">
        <is>
          <t>PRAGMA</t>
        </is>
      </c>
      <c r="B2220" t="inlineStr">
        <is>
          <t>M3</t>
        </is>
      </c>
      <c r="C2220" t="inlineStr">
        <is>
          <t>Cali</t>
        </is>
      </c>
      <c r="D2220" t="inlineStr">
        <is>
          <t>626</t>
        </is>
      </c>
      <c r="E2220" t="inlineStr">
        <is>
          <t>No aplica</t>
        </is>
      </c>
      <c r="F2220" s="23" t="n">
        <v>46275</v>
      </c>
      <c r="G2220" t="inlineStr">
        <is>
          <t>recoleccion</t>
        </is>
      </c>
      <c r="H2220" s="26" t="n">
        <v>95517678</v>
      </c>
      <c r="I2220" t="inlineStr">
        <is>
          <t>bajo</t>
        </is>
      </c>
      <c r="J2220" t="inlineStr">
        <is>
          <t>RN-41: efectivo ocioso sobre el techo</t>
        </is>
      </c>
      <c r="K2220" t="inlineStr">
        <is>
          <t>Recolección por efectivo ocioso: el saldo al cierre ($4.731.032.264) pasa el techo $4.635.514.586 (reserva + 15 días de salidas medias, tope en el cupo $6.281.000.000). Se recogen $95.517.678 y el saldo queda en $4.635.514.586. En sus últimos 180 días la sucursal recibe más de lo que paga (entradas medias $376.611.162/día &gt; salidas medias $275.535.639/día); el neto diario varía $170.810.108 (σ). Costo estimado $65.740 (Anexo E: fijo $13.969 + $5 por cada $10.000 movidos).</t>
        </is>
      </c>
      <c r="L2220" s="26" t="n">
        <v>6281000000</v>
      </c>
      <c r="M2220" s="26" t="n">
        <v>4731032264</v>
      </c>
      <c r="N2220" s="27">
        <f>IF(ISNUMBER(M2220),M2220/L2220,"No aplica")</f>
        <v>0.7532291456774399</v>
      </c>
      <c r="O2220" s="25">
        <f>IF(G2220="provision",M2220+H2220,IF(G2220="recoleccion",M2220-H2220,"No aplica"))</f>
        <v>4635514586</v>
      </c>
      <c r="P2220" s="26" t="n">
        <v>65740</v>
      </c>
    </row>
    <row r="2221">
      <c r="A2221" t="inlineStr">
        <is>
          <t>PRAGMA</t>
        </is>
      </c>
      <c r="B2221" t="inlineStr">
        <is>
          <t>M3</t>
        </is>
      </c>
      <c r="C2221" t="inlineStr">
        <is>
          <t>Cali</t>
        </is>
      </c>
      <c r="D2221" t="inlineStr">
        <is>
          <t>626</t>
        </is>
      </c>
      <c r="E2221" t="inlineStr">
        <is>
          <t>No aplica</t>
        </is>
      </c>
      <c r="F2221" s="23" t="n">
        <v>46276</v>
      </c>
      <c r="G2221" t="inlineStr">
        <is>
          <t>recoleccion</t>
        </is>
      </c>
      <c r="H2221" s="26" t="n">
        <v>81873679</v>
      </c>
      <c r="I2221" t="inlineStr">
        <is>
          <t>bajo</t>
        </is>
      </c>
      <c r="J2221" t="inlineStr">
        <is>
          <t>RN-41: efectivo ocioso sobre el techo</t>
        </is>
      </c>
      <c r="K2221" t="inlineStr">
        <is>
          <t>Recolección por efectivo ocioso: el saldo al cierre ($4.717.388.265) pasa el techo $4.635.514.586 (reserva + 15 días de salidas medias, tope en el cupo $6.281.000.000). Se recogen $81.873.679 y el saldo queda en $4.635.514.586. En sus últimos 180 días la sucursal recibe más de lo que paga (entradas medias $376.611.162/día &gt; salidas medias $275.535.639/día); el neto diario varía $170.810.108 (σ). Costo estimado $58.345 (Anexo E: fijo $13.969 + $5 por cada $10.000 movidos).</t>
        </is>
      </c>
      <c r="L2221" s="26" t="n">
        <v>6281000000</v>
      </c>
      <c r="M2221" s="26" t="n">
        <v>4717388265</v>
      </c>
      <c r="N2221" s="27">
        <f>IF(ISNUMBER(M2221),M2221/L2221,"No aplica")</f>
        <v>0.7510568802738418</v>
      </c>
      <c r="O2221" s="25">
        <f>IF(G2221="provision",M2221+H2221,IF(G2221="recoleccion",M2221-H2221,"No aplica"))</f>
        <v>4635514586</v>
      </c>
      <c r="P2221" s="26" t="n">
        <v>58345</v>
      </c>
    </row>
    <row r="2222">
      <c r="A2222" t="inlineStr">
        <is>
          <t>PRAGMA</t>
        </is>
      </c>
      <c r="B2222" t="inlineStr">
        <is>
          <t>M3</t>
        </is>
      </c>
      <c r="C2222" t="inlineStr">
        <is>
          <t>Cali</t>
        </is>
      </c>
      <c r="D2222" t="inlineStr">
        <is>
          <t>626</t>
        </is>
      </c>
      <c r="E2222" t="inlineStr">
        <is>
          <t>No aplica</t>
        </is>
      </c>
      <c r="F2222" s="23" t="n">
        <v>46277</v>
      </c>
      <c r="G2222" t="inlineStr">
        <is>
          <t>recoleccion</t>
        </is>
      </c>
      <c r="H2222" s="26" t="n">
        <v>1162225</v>
      </c>
      <c r="I2222" t="inlineStr">
        <is>
          <t>bajo</t>
        </is>
      </c>
      <c r="J2222" t="inlineStr">
        <is>
          <t>RN-41: efectivo ocioso sobre el techo</t>
        </is>
      </c>
      <c r="K2222" t="inlineStr">
        <is>
          <t>Recolección por efectivo ocioso: el saldo al cierre ($4.636.676.811) pasa el techo $4.635.514.586 (reserva + 15 días de salidas medias, tope en el cupo $6.281.000.000). Se recogen $1.162.225 y el saldo queda en $4.635.514.586. En sus últimos 180 días la sucursal recibe más de lo que paga (entradas medias $376.611.162/día &gt; salidas medias $275.535.639/día); el neto diario varía $170.810.108 (σ). Costo estimado $14.599 (Anexo E: fijo $13.969 + $5 por cada $10.000 movidos).</t>
        </is>
      </c>
      <c r="L2222" s="26" t="n">
        <v>6281000000</v>
      </c>
      <c r="M2222" s="26" t="n">
        <v>4636676811</v>
      </c>
      <c r="N2222" s="27">
        <f>IF(ISNUMBER(M2222),M2222/L2222,"No aplica")</f>
        <v>0.7382067841108104</v>
      </c>
      <c r="O2222" s="25">
        <f>IF(G2222="provision",M2222+H2222,IF(G2222="recoleccion",M2222-H2222,"No aplica"))</f>
        <v>4635514586</v>
      </c>
      <c r="P2222" s="26" t="n">
        <v>14599</v>
      </c>
    </row>
    <row r="2223">
      <c r="A2223" t="inlineStr">
        <is>
          <t>PRAGMA</t>
        </is>
      </c>
      <c r="B2223" t="inlineStr">
        <is>
          <t>M3</t>
        </is>
      </c>
      <c r="C2223" t="inlineStr">
        <is>
          <t>Cali</t>
        </is>
      </c>
      <c r="D2223" t="inlineStr">
        <is>
          <t>626</t>
        </is>
      </c>
      <c r="E2223" t="inlineStr">
        <is>
          <t>No aplica</t>
        </is>
      </c>
      <c r="F2223" s="23" t="n">
        <v>46278</v>
      </c>
      <c r="G2223" t="inlineStr">
        <is>
          <t>recoleccion</t>
        </is>
      </c>
      <c r="H2223" s="26" t="n">
        <v>60097</v>
      </c>
      <c r="I2223" t="inlineStr">
        <is>
          <t>bajo</t>
        </is>
      </c>
      <c r="J2223" t="inlineStr">
        <is>
          <t>RN-41: efectivo ocioso sobre el techo</t>
        </is>
      </c>
      <c r="K2223" t="inlineStr">
        <is>
          <t>Recolección por efectivo ocioso: el saldo al cierre ($4.635.574.683) pasa el techo $4.635.514.586 (reserva + 15 días de salidas medias, tope en el cupo $6.281.000.000). Se recogen $60.097 y el saldo queda en $4.635.514.586. En sus últimos 180 días la sucursal recibe más de lo que paga (entradas medias $376.611.162/día &gt; salidas medias $275.535.639/día); el neto diario varía $170.810.108 (σ). Costo estimado $14.002 (Anexo E: fijo $13.969 + $5 por cada $10.000 movidos).</t>
        </is>
      </c>
      <c r="L2223" s="26" t="n">
        <v>6281000000</v>
      </c>
      <c r="M2223" s="26" t="n">
        <v>4635574683</v>
      </c>
      <c r="N2223" s="27">
        <f>IF(ISNUMBER(M2223),M2223/L2223,"No aplica")</f>
        <v>0.7380313139627448</v>
      </c>
      <c r="O2223" s="25">
        <f>IF(G2223="provision",M2223+H2223,IF(G2223="recoleccion",M2223-H2223,"No aplica"))</f>
        <v>4635514586</v>
      </c>
      <c r="P2223" s="26" t="n">
        <v>14002</v>
      </c>
    </row>
    <row r="2224">
      <c r="A2224" t="inlineStr">
        <is>
          <t>PRAGMA</t>
        </is>
      </c>
      <c r="B2224" t="inlineStr">
        <is>
          <t>M3</t>
        </is>
      </c>
      <c r="C2224" t="inlineStr">
        <is>
          <t>Cali</t>
        </is>
      </c>
      <c r="D2224" t="inlineStr">
        <is>
          <t>626</t>
        </is>
      </c>
      <c r="E2224" t="inlineStr">
        <is>
          <t>No aplica</t>
        </is>
      </c>
      <c r="F2224" s="23" t="n">
        <v>46279</v>
      </c>
      <c r="G2224" t="inlineStr">
        <is>
          <t>recoleccion</t>
        </is>
      </c>
      <c r="H2224" s="26" t="n">
        <v>103230827</v>
      </c>
      <c r="I2224" t="inlineStr">
        <is>
          <t>bajo</t>
        </is>
      </c>
      <c r="J2224" t="inlineStr">
        <is>
          <t>RN-41: efectivo ocioso sobre el techo</t>
        </is>
      </c>
      <c r="K2224" t="inlineStr">
        <is>
          <t>Recolección por efectivo ocioso: el saldo al cierre ($4.738.745.413) pasa el techo $4.635.514.586 (reserva + 15 días de salidas medias, tope en el cupo $6.281.000.000). Se recogen $103.230.827 y el saldo queda en $4.635.514.586. En sus últimos 180 días la sucursal recibe más de lo que paga (entradas medias $376.611.162/día &gt; salidas medias $275.535.639/día); el neto diario varía $170.810.108 (σ). Costo estimado $69.920 (Anexo E: fijo $13.969 + $5 por cada $10.000 movidos).</t>
        </is>
      </c>
      <c r="L2224" s="26" t="n">
        <v>6281000000</v>
      </c>
      <c r="M2224" s="26" t="n">
        <v>4738745413</v>
      </c>
      <c r="N2224" s="27">
        <f>IF(ISNUMBER(M2224),M2224/L2224,"No aplica")</f>
        <v>0.7544571585734755</v>
      </c>
      <c r="O2224" s="25">
        <f>IF(G2224="provision",M2224+H2224,IF(G2224="recoleccion",M2224-H2224,"No aplica"))</f>
        <v>4635514586</v>
      </c>
      <c r="P2224" s="26" t="n">
        <v>69920</v>
      </c>
    </row>
    <row r="2225">
      <c r="A2225" t="inlineStr">
        <is>
          <t>PRAGMA</t>
        </is>
      </c>
      <c r="B2225" t="inlineStr">
        <is>
          <t>M3</t>
        </is>
      </c>
      <c r="C2225" t="inlineStr">
        <is>
          <t>Cali</t>
        </is>
      </c>
      <c r="D2225" t="inlineStr">
        <is>
          <t>626</t>
        </is>
      </c>
      <c r="E2225" t="inlineStr">
        <is>
          <t>No aplica</t>
        </is>
      </c>
      <c r="F2225" s="23" t="n">
        <v>46280</v>
      </c>
      <c r="G2225" t="inlineStr">
        <is>
          <t>recoleccion</t>
        </is>
      </c>
      <c r="H2225" s="26" t="n">
        <v>129382237</v>
      </c>
      <c r="I2225" t="inlineStr">
        <is>
          <t>bajo</t>
        </is>
      </c>
      <c r="J2225" t="inlineStr">
        <is>
          <t>RN-41: efectivo ocioso sobre el techo</t>
        </is>
      </c>
      <c r="K2225" t="inlineStr">
        <is>
          <t>Recolección por efectivo ocioso: el saldo al cierre ($4.764.896.823) pasa el techo $4.635.514.586 (reserva + 15 días de salidas medias, tope en el cupo $6.281.000.000). Se recogen $129.382.237 y el saldo queda en $4.635.514.586. En sus últimos 180 días la sucursal recibe más de lo que paga (entradas medias $376.611.162/día &gt; salidas medias $275.535.639/día); el neto diario varía $170.810.108 (σ). Costo estimado $84.094 (Anexo E: fijo $13.969 + $5 por cada $10.000 movidos).</t>
        </is>
      </c>
      <c r="L2225" s="26" t="n">
        <v>6281000000</v>
      </c>
      <c r="M2225" s="26" t="n">
        <v>4764896823</v>
      </c>
      <c r="N2225" s="27">
        <f>IF(ISNUMBER(M2225),M2225/L2225,"No aplica")</f>
        <v>0.7586207328450884</v>
      </c>
      <c r="O2225" s="25">
        <f>IF(G2225="provision",M2225+H2225,IF(G2225="recoleccion",M2225-H2225,"No aplica"))</f>
        <v>4635514586</v>
      </c>
      <c r="P2225" s="26" t="n">
        <v>84094</v>
      </c>
    </row>
    <row r="2226">
      <c r="A2226" t="inlineStr">
        <is>
          <t>PRAGMA</t>
        </is>
      </c>
      <c r="B2226" t="inlineStr">
        <is>
          <t>M3</t>
        </is>
      </c>
      <c r="C2226" t="inlineStr">
        <is>
          <t>Cali</t>
        </is>
      </c>
      <c r="D2226" t="inlineStr">
        <is>
          <t>65</t>
        </is>
      </c>
      <c r="E2226" t="inlineStr">
        <is>
          <t>No aplica</t>
        </is>
      </c>
      <c r="F2226" s="23" t="n">
        <v>46266</v>
      </c>
      <c r="G2226" t="inlineStr">
        <is>
          <t>sin_accion</t>
        </is>
      </c>
      <c r="H2226" s="26" t="n">
        <v>0</v>
      </c>
      <c r="I2226" t="inlineStr">
        <is>
          <t>bajo</t>
        </is>
      </c>
      <c r="J2226" t="inlineStr">
        <is>
          <t>RN-02: una fila sin_accion</t>
        </is>
      </c>
      <c r="K2226" t="inlineStr">
        <is>
          <t>Sin accion en el horizonte: con el pronostico, el saldo se mantiene entre el umbral de agotamiento y el cupo sin necesidad de provision ni recoleccion.</t>
        </is>
      </c>
      <c r="L2226" s="26" t="n">
        <v>15835388000</v>
      </c>
      <c r="M2226" s="26" t="inlineStr">
        <is>
          <t>No aplica</t>
        </is>
      </c>
      <c r="N2226" s="27" t="str">
        <f>IF(ISNUMBER(M2226),M2226/L2226,"No aplica")</f>
        <v>No aplica</v>
      </c>
      <c r="O2226" s="25" t="str">
        <f>IF(G2226="provision",M2226+H2226,IF(G2226="recoleccion",M2226-H2226,"No aplica"))</f>
        <v>No aplica</v>
      </c>
      <c r="P2226" s="26" t="inlineStr">
        <is>
          <t>No aplica</t>
        </is>
      </c>
    </row>
    <row r="2227">
      <c r="A2227" t="inlineStr">
        <is>
          <t>PRAGMA</t>
        </is>
      </c>
      <c r="B2227" t="inlineStr">
        <is>
          <t>M3</t>
        </is>
      </c>
      <c r="C2227" t="inlineStr">
        <is>
          <t>Cali</t>
        </is>
      </c>
      <c r="D2227" t="inlineStr">
        <is>
          <t>66</t>
        </is>
      </c>
      <c r="E2227" t="inlineStr">
        <is>
          <t>No aplica</t>
        </is>
      </c>
      <c r="F2227" s="23" t="n">
        <v>46266</v>
      </c>
      <c r="G2227" t="inlineStr">
        <is>
          <t>recoleccion</t>
        </is>
      </c>
      <c r="H2227" s="26" t="n">
        <v>361200306</v>
      </c>
      <c r="I2227" t="inlineStr">
        <is>
          <t>bajo</t>
        </is>
      </c>
      <c r="J2227" t="inlineStr">
        <is>
          <t>RN-41: riesgo de exceder el cupo</t>
        </is>
      </c>
      <c r="K2227" t="inlineStr">
        <is>
          <t>Recolección por riesgo de exceder el cupo: el saldo al cierre ($6.286.716.706) pasa el cupo $5.925.516.400. Se recogen $361.200.306 y el saldo queda en $5.925.516.400. En sus últimos 180 días la sucursal recibe más de lo que paga (entradas medias $1.122.609.310/día &gt; salidas medias $675.820.239/día); el neto diario varía $415.626.190 (σ). Costo estimado $228.927 (Anexo E: fijo $18.708 + $6 por cada $10.000 movidos).</t>
        </is>
      </c>
      <c r="L2227" s="26" t="n">
        <v>5925516400</v>
      </c>
      <c r="M2227" s="26" t="n">
        <v>6286716706</v>
      </c>
      <c r="N2227" s="27">
        <f>IF(ISNUMBER(M2227),M2227/L2227,"No aplica")</f>
        <v>1.0609567642070825</v>
      </c>
      <c r="O2227" s="25">
        <f>IF(G2227="provision",M2227+H2227,IF(G2227="recoleccion",M2227-H2227,"No aplica"))</f>
        <v>5925516400</v>
      </c>
      <c r="P2227" s="26" t="n">
        <v>228927</v>
      </c>
    </row>
    <row r="2228">
      <c r="A2228" t="inlineStr">
        <is>
          <t>PRAGMA</t>
        </is>
      </c>
      <c r="B2228" t="inlineStr">
        <is>
          <t>M3</t>
        </is>
      </c>
      <c r="C2228" t="inlineStr">
        <is>
          <t>Cali</t>
        </is>
      </c>
      <c r="D2228" t="inlineStr">
        <is>
          <t>66</t>
        </is>
      </c>
      <c r="E2228" t="inlineStr">
        <is>
          <t>No aplica</t>
        </is>
      </c>
      <c r="F2228" s="23" t="n">
        <v>46267</v>
      </c>
      <c r="G2228" t="inlineStr">
        <is>
          <t>recoleccion</t>
        </is>
      </c>
      <c r="H2228" s="26" t="n">
        <v>607972763</v>
      </c>
      <c r="I2228" t="inlineStr">
        <is>
          <t>bajo</t>
        </is>
      </c>
      <c r="J2228" t="inlineStr">
        <is>
          <t>RN-41: riesgo de exceder el cupo</t>
        </is>
      </c>
      <c r="K2228" t="inlineStr">
        <is>
          <t>Recolección por riesgo de exceder el cupo: el saldo al cierre ($6.533.489.163) pasa el cupo $5.925.516.400. Se recogen $607.972.763 y el saldo queda en $5.925.516.400. En sus últimos 180 días la sucursal recibe más de lo que paga (entradas medias $1.122.609.310/día &gt; salidas medias $675.820.239/día); el neto diario varía $415.626.190 (σ). Costo estimado $372.548 (Anexo E: fijo $18.708 + $6 por cada $10.000 movidos).</t>
        </is>
      </c>
      <c r="L2228" s="26" t="n">
        <v>5925516400</v>
      </c>
      <c r="M2228" s="26" t="n">
        <v>6533489163</v>
      </c>
      <c r="N2228" s="27">
        <f>IF(ISNUMBER(M2228),M2228/L2228,"No aplica")</f>
        <v>1.102602494358129</v>
      </c>
      <c r="O2228" s="25">
        <f>IF(G2228="provision",M2228+H2228,IF(G2228="recoleccion",M2228-H2228,"No aplica"))</f>
        <v>5925516400</v>
      </c>
      <c r="P2228" s="26" t="n">
        <v>372548</v>
      </c>
    </row>
    <row r="2229">
      <c r="A2229" t="inlineStr">
        <is>
          <t>PRAGMA</t>
        </is>
      </c>
      <c r="B2229" t="inlineStr">
        <is>
          <t>M3</t>
        </is>
      </c>
      <c r="C2229" t="inlineStr">
        <is>
          <t>Cali</t>
        </is>
      </c>
      <c r="D2229" t="inlineStr">
        <is>
          <t>66</t>
        </is>
      </c>
      <c r="E2229" t="inlineStr">
        <is>
          <t>No aplica</t>
        </is>
      </c>
      <c r="F2229" s="23" t="n">
        <v>46268</v>
      </c>
      <c r="G2229" t="inlineStr">
        <is>
          <t>recoleccion</t>
        </is>
      </c>
      <c r="H2229" s="26" t="n">
        <v>546638006</v>
      </c>
      <c r="I2229" t="inlineStr">
        <is>
          <t>bajo</t>
        </is>
      </c>
      <c r="J2229" t="inlineStr">
        <is>
          <t>RN-41: riesgo de exceder el cupo</t>
        </is>
      </c>
      <c r="K2229" t="inlineStr">
        <is>
          <t>Recolección por riesgo de exceder el cupo: el saldo al cierre ($6.472.154.406) pasa el cupo $5.925.516.400. Se recogen $546.638.006 y el saldo queda en $5.925.516.400. En sus últimos 180 días la sucursal recibe más de lo que paga (entradas medias $1.122.609.310/día &gt; salidas medias $675.820.239/día); el neto diario varía $415.626.190 (σ). Costo estimado $336.851 (Anexo E: fijo $18.708 + $6 por cada $10.000 movidos).</t>
        </is>
      </c>
      <c r="L2229" s="26" t="n">
        <v>5925516400</v>
      </c>
      <c r="M2229" s="26" t="n">
        <v>6472154406</v>
      </c>
      <c r="N2229" s="27">
        <f>IF(ISNUMBER(M2229),M2229/L2229,"No aplica")</f>
        <v>1.0922515387857166</v>
      </c>
      <c r="O2229" s="25">
        <f>IF(G2229="provision",M2229+H2229,IF(G2229="recoleccion",M2229-H2229,"No aplica"))</f>
        <v>5925516400</v>
      </c>
      <c r="P2229" s="26" t="n">
        <v>336851</v>
      </c>
    </row>
    <row r="2230">
      <c r="A2230" t="inlineStr">
        <is>
          <t>PRAGMA</t>
        </is>
      </c>
      <c r="B2230" t="inlineStr">
        <is>
          <t>M3</t>
        </is>
      </c>
      <c r="C2230" t="inlineStr">
        <is>
          <t>Cali</t>
        </is>
      </c>
      <c r="D2230" t="inlineStr">
        <is>
          <t>66</t>
        </is>
      </c>
      <c r="E2230" t="inlineStr">
        <is>
          <t>No aplica</t>
        </is>
      </c>
      <c r="F2230" s="23" t="n">
        <v>46269</v>
      </c>
      <c r="G2230" t="inlineStr">
        <is>
          <t>recoleccion</t>
        </is>
      </c>
      <c r="H2230" s="26" t="n">
        <v>503226649</v>
      </c>
      <c r="I2230" t="inlineStr">
        <is>
          <t>bajo</t>
        </is>
      </c>
      <c r="J2230" t="inlineStr">
        <is>
          <t>RN-41: riesgo de exceder el cupo</t>
        </is>
      </c>
      <c r="K2230" t="inlineStr">
        <is>
          <t>Recolección por riesgo de exceder el cupo: el saldo al cierre ($6.428.743.049) pasa el cupo $5.925.516.400. Se recogen $503.226.649 y el saldo queda en $5.925.516.400. En sus últimos 180 días la sucursal recibe más de lo que paga (entradas medias $1.122.609.310/día &gt; salidas medias $675.820.239/día); el neto diario varía $415.626.190 (σ). Costo estimado $311.586 (Anexo E: fijo $18.708 + $6 por cada $10.000 movidos).</t>
        </is>
      </c>
      <c r="L2230" s="26" t="n">
        <v>5925516400</v>
      </c>
      <c r="M2230" s="26" t="n">
        <v>6428743049</v>
      </c>
      <c r="N2230" s="27">
        <f>IF(ISNUMBER(M2230),M2230/L2230,"No aplica")</f>
        <v>1.0849253659984808</v>
      </c>
      <c r="O2230" s="25">
        <f>IF(G2230="provision",M2230+H2230,IF(G2230="recoleccion",M2230-H2230,"No aplica"))</f>
        <v>5925516400</v>
      </c>
      <c r="P2230" s="26" t="n">
        <v>311586</v>
      </c>
    </row>
    <row r="2231">
      <c r="A2231" t="inlineStr">
        <is>
          <t>PRAGMA</t>
        </is>
      </c>
      <c r="B2231" t="inlineStr">
        <is>
          <t>M3</t>
        </is>
      </c>
      <c r="C2231" t="inlineStr">
        <is>
          <t>Cali</t>
        </is>
      </c>
      <c r="D2231" t="inlineStr">
        <is>
          <t>66</t>
        </is>
      </c>
      <c r="E2231" t="inlineStr">
        <is>
          <t>No aplica</t>
        </is>
      </c>
      <c r="F2231" s="23" t="n">
        <v>46272</v>
      </c>
      <c r="G2231" t="inlineStr">
        <is>
          <t>recoleccion</t>
        </is>
      </c>
      <c r="H2231" s="26" t="n">
        <v>394462486</v>
      </c>
      <c r="I2231" t="inlineStr">
        <is>
          <t>bajo</t>
        </is>
      </c>
      <c r="J2231" t="inlineStr">
        <is>
          <t>RN-41: riesgo de exceder el cupo</t>
        </is>
      </c>
      <c r="K2231" t="inlineStr">
        <is>
          <t>Recolección por riesgo de exceder el cupo: el saldo al cierre ($6.319.978.886) pasa el cupo $5.925.516.400. Se recogen $394.462.486 y el saldo queda en $5.925.516.400. En sus últimos 180 días la sucursal recibe más de lo que paga (entradas medias $1.122.609.310/día &gt; salidas medias $675.820.239/día); el neto diario varía $415.626.190 (σ). Costo estimado $248.285 (Anexo E: fijo $18.708 + $6 por cada $10.000 movidos).</t>
        </is>
      </c>
      <c r="L2231" s="26" t="n">
        <v>5925516400</v>
      </c>
      <c r="M2231" s="26" t="n">
        <v>6319978886</v>
      </c>
      <c r="N2231" s="27">
        <f>IF(ISNUMBER(M2231),M2231/L2231,"No aplica")</f>
        <v>1.066570145008796</v>
      </c>
      <c r="O2231" s="25">
        <f>IF(G2231="provision",M2231+H2231,IF(G2231="recoleccion",M2231-H2231,"No aplica"))</f>
        <v>5925516400</v>
      </c>
      <c r="P2231" s="26" t="n">
        <v>248285</v>
      </c>
    </row>
    <row r="2232">
      <c r="A2232" t="inlineStr">
        <is>
          <t>PRAGMA</t>
        </is>
      </c>
      <c r="B2232" t="inlineStr">
        <is>
          <t>M3</t>
        </is>
      </c>
      <c r="C2232" t="inlineStr">
        <is>
          <t>Cali</t>
        </is>
      </c>
      <c r="D2232" t="inlineStr">
        <is>
          <t>66</t>
        </is>
      </c>
      <c r="E2232" t="inlineStr">
        <is>
          <t>No aplica</t>
        </is>
      </c>
      <c r="F2232" s="23" t="n">
        <v>46273</v>
      </c>
      <c r="G2232" t="inlineStr">
        <is>
          <t>recoleccion</t>
        </is>
      </c>
      <c r="H2232" s="26" t="n">
        <v>557649471</v>
      </c>
      <c r="I2232" t="inlineStr">
        <is>
          <t>bajo</t>
        </is>
      </c>
      <c r="J2232" t="inlineStr">
        <is>
          <t>RN-41: riesgo de exceder el cupo</t>
        </is>
      </c>
      <c r="K2232" t="inlineStr">
        <is>
          <t>Recolección por riesgo de exceder el cupo: el saldo al cierre ($6.483.165.871) pasa el cupo $5.925.516.400. Se recogen $557.649.471 y el saldo queda en $5.925.516.400. En sus últimos 180 días la sucursal recibe más de lo que paga (entradas medias $1.122.609.310/día &gt; salidas medias $675.820.239/día); el neto diario varía $415.626.190 (σ). Costo estimado $343.260 (Anexo E: fijo $18.708 + $6 por cada $10.000 movidos).</t>
        </is>
      </c>
      <c r="L2232" s="26" t="n">
        <v>5925516400</v>
      </c>
      <c r="M2232" s="26" t="n">
        <v>6483165871</v>
      </c>
      <c r="N2232" s="27">
        <f>IF(ISNUMBER(M2232),M2232/L2232,"No aplica")</f>
        <v>1.094109851927842</v>
      </c>
      <c r="O2232" s="25">
        <f>IF(G2232="provision",M2232+H2232,IF(G2232="recoleccion",M2232-H2232,"No aplica"))</f>
        <v>5925516400</v>
      </c>
      <c r="P2232" s="26" t="n">
        <v>343260</v>
      </c>
    </row>
    <row r="2233">
      <c r="A2233" t="inlineStr">
        <is>
          <t>PRAGMA</t>
        </is>
      </c>
      <c r="B2233" t="inlineStr">
        <is>
          <t>M3</t>
        </is>
      </c>
      <c r="C2233" t="inlineStr">
        <is>
          <t>Cali</t>
        </is>
      </c>
      <c r="D2233" t="inlineStr">
        <is>
          <t>66</t>
        </is>
      </c>
      <c r="E2233" t="inlineStr">
        <is>
          <t>No aplica</t>
        </is>
      </c>
      <c r="F2233" s="23" t="n">
        <v>46274</v>
      </c>
      <c r="G2233" t="inlineStr">
        <is>
          <t>recoleccion</t>
        </is>
      </c>
      <c r="H2233" s="26" t="n">
        <v>663329526</v>
      </c>
      <c r="I2233" t="inlineStr">
        <is>
          <t>bajo</t>
        </is>
      </c>
      <c r="J2233" t="inlineStr">
        <is>
          <t>RN-41: riesgo de exceder el cupo</t>
        </is>
      </c>
      <c r="K2233" t="inlineStr">
        <is>
          <t>Recolección por riesgo de exceder el cupo: el saldo al cierre ($6.588.845.926) pasa el cupo $5.925.516.400. Se recogen $663.329.526 y el saldo queda en $5.925.516.400. En sus últimos 180 días la sucursal recibe más de lo que paga (entradas medias $1.122.609.310/día &gt; salidas medias $675.820.239/día); el neto diario varía $415.626.190 (σ). Costo estimado $404.766 (Anexo E: fijo $18.708 + $6 por cada $10.000 movidos).</t>
        </is>
      </c>
      <c r="L2233" s="26" t="n">
        <v>5925516400</v>
      </c>
      <c r="M2233" s="26" t="n">
        <v>6588845926</v>
      </c>
      <c r="N2233" s="27">
        <f>IF(ISNUMBER(M2233),M2233/L2233,"No aplica")</f>
        <v>1.1119445937235108</v>
      </c>
      <c r="O2233" s="25">
        <f>IF(G2233="provision",M2233+H2233,IF(G2233="recoleccion",M2233-H2233,"No aplica"))</f>
        <v>5925516400</v>
      </c>
      <c r="P2233" s="26" t="n">
        <v>404766</v>
      </c>
    </row>
    <row r="2234">
      <c r="A2234" t="inlineStr">
        <is>
          <t>PRAGMA</t>
        </is>
      </c>
      <c r="B2234" t="inlineStr">
        <is>
          <t>M3</t>
        </is>
      </c>
      <c r="C2234" t="inlineStr">
        <is>
          <t>Cali</t>
        </is>
      </c>
      <c r="D2234" t="inlineStr">
        <is>
          <t>66</t>
        </is>
      </c>
      <c r="E2234" t="inlineStr">
        <is>
          <t>No aplica</t>
        </is>
      </c>
      <c r="F2234" s="23" t="n">
        <v>46275</v>
      </c>
      <c r="G2234" t="inlineStr">
        <is>
          <t>recoleccion</t>
        </is>
      </c>
      <c r="H2234" s="26" t="n">
        <v>337854884</v>
      </c>
      <c r="I2234" t="inlineStr">
        <is>
          <t>bajo</t>
        </is>
      </c>
      <c r="J2234" t="inlineStr">
        <is>
          <t>RN-41: riesgo de exceder el cupo</t>
        </is>
      </c>
      <c r="K2234" t="inlineStr">
        <is>
          <t>Recolección por riesgo de exceder el cupo: el saldo al cierre ($6.263.371.284) pasa el cupo $5.925.516.400. Se recogen $337.854.884 y el saldo queda en $5.925.516.400. En sus últimos 180 días la sucursal recibe más de lo que paga (entradas medias $1.122.609.310/día &gt; salidas medias $675.820.239/día); el neto diario varía $415.626.190 (σ). Costo estimado $215.340 (Anexo E: fijo $18.708 + $6 por cada $10.000 movidos).</t>
        </is>
      </c>
      <c r="L2234" s="26" t="n">
        <v>5925516400</v>
      </c>
      <c r="M2234" s="26" t="n">
        <v>6263371284</v>
      </c>
      <c r="N2234" s="27">
        <f>IF(ISNUMBER(M2234),M2234/L2234,"No aplica")</f>
        <v>1.0570169519740085</v>
      </c>
      <c r="O2234" s="25">
        <f>IF(G2234="provision",M2234+H2234,IF(G2234="recoleccion",M2234-H2234,"No aplica"))</f>
        <v>5925516400</v>
      </c>
      <c r="P2234" s="26" t="n">
        <v>215340</v>
      </c>
    </row>
    <row r="2235">
      <c r="A2235" t="inlineStr">
        <is>
          <t>PRAGMA</t>
        </is>
      </c>
      <c r="B2235" t="inlineStr">
        <is>
          <t>M3</t>
        </is>
      </c>
      <c r="C2235" t="inlineStr">
        <is>
          <t>Cali</t>
        </is>
      </c>
      <c r="D2235" t="inlineStr">
        <is>
          <t>66</t>
        </is>
      </c>
      <c r="E2235" t="inlineStr">
        <is>
          <t>No aplica</t>
        </is>
      </c>
      <c r="F2235" s="23" t="n">
        <v>46276</v>
      </c>
      <c r="G2235" t="inlineStr">
        <is>
          <t>recoleccion</t>
        </is>
      </c>
      <c r="H2235" s="26" t="n">
        <v>615017129</v>
      </c>
      <c r="I2235" t="inlineStr">
        <is>
          <t>bajo</t>
        </is>
      </c>
      <c r="J2235" t="inlineStr">
        <is>
          <t>RN-41: riesgo de exceder el cupo</t>
        </is>
      </c>
      <c r="K2235" t="inlineStr">
        <is>
          <t>Recolección por riesgo de exceder el cupo: el saldo al cierre ($6.540.533.529) pasa el cupo $5.925.516.400. Se recogen $615.017.129 y el saldo queda en $5.925.516.400. En sus últimos 180 días la sucursal recibe más de lo que paga (entradas medias $1.122.609.310/día &gt; salidas medias $675.820.239/día); el neto diario varía $415.626.190 (σ). Costo estimado $376.648 (Anexo E: fijo $18.708 + $6 por cada $10.000 movidos).</t>
        </is>
      </c>
      <c r="L2235" s="26" t="n">
        <v>5925516400</v>
      </c>
      <c r="M2235" s="26" t="n">
        <v>6540533529</v>
      </c>
      <c r="N2235" s="27">
        <f>IF(ISNUMBER(M2235),M2235/L2235,"No aplica")</f>
        <v>1.1037913132769324</v>
      </c>
      <c r="O2235" s="25">
        <f>IF(G2235="provision",M2235+H2235,IF(G2235="recoleccion",M2235-H2235,"No aplica"))</f>
        <v>5925516400</v>
      </c>
      <c r="P2235" s="26" t="n">
        <v>376648</v>
      </c>
    </row>
    <row r="2236">
      <c r="A2236" t="inlineStr">
        <is>
          <t>PRAGMA</t>
        </is>
      </c>
      <c r="B2236" t="inlineStr">
        <is>
          <t>M3</t>
        </is>
      </c>
      <c r="C2236" t="inlineStr">
        <is>
          <t>Cali</t>
        </is>
      </c>
      <c r="D2236" t="inlineStr">
        <is>
          <t>66</t>
        </is>
      </c>
      <c r="E2236" t="inlineStr">
        <is>
          <t>No aplica</t>
        </is>
      </c>
      <c r="F2236" s="23" t="n">
        <v>46279</v>
      </c>
      <c r="G2236" t="inlineStr">
        <is>
          <t>recoleccion</t>
        </is>
      </c>
      <c r="H2236" s="26" t="n">
        <v>392293701</v>
      </c>
      <c r="I2236" t="inlineStr">
        <is>
          <t>bajo</t>
        </is>
      </c>
      <c r="J2236" t="inlineStr">
        <is>
          <t>RN-41: riesgo de exceder el cupo</t>
        </is>
      </c>
      <c r="K2236" t="inlineStr">
        <is>
          <t>Recolección por riesgo de exceder el cupo: el saldo al cierre ($6.317.810.101) pasa el cupo $5.925.516.400. Se recogen $392.293.701 y el saldo queda en $5.925.516.400. En sus últimos 180 días la sucursal recibe más de lo que paga (entradas medias $1.122.609.310/día &gt; salidas medias $675.820.239/día); el neto diario varía $415.626.190 (σ). Costo estimado $247.023 (Anexo E: fijo $18.708 + $6 por cada $10.000 movidos).</t>
        </is>
      </c>
      <c r="L2236" s="26" t="n">
        <v>5925516400</v>
      </c>
      <c r="M2236" s="26" t="n">
        <v>6317810101</v>
      </c>
      <c r="N2236" s="27">
        <f>IF(ISNUMBER(M2236),M2236/L2236,"No aplica")</f>
        <v>1.0662041372461648</v>
      </c>
      <c r="O2236" s="25">
        <f>IF(G2236="provision",M2236+H2236,IF(G2236="recoleccion",M2236-H2236,"No aplica"))</f>
        <v>5925516400</v>
      </c>
      <c r="P2236" s="26" t="n">
        <v>247023</v>
      </c>
    </row>
    <row r="2237">
      <c r="A2237" t="inlineStr">
        <is>
          <t>PRAGMA</t>
        </is>
      </c>
      <c r="B2237" t="inlineStr">
        <is>
          <t>M3</t>
        </is>
      </c>
      <c r="C2237" t="inlineStr">
        <is>
          <t>Cali</t>
        </is>
      </c>
      <c r="D2237" t="inlineStr">
        <is>
          <t>66</t>
        </is>
      </c>
      <c r="E2237" t="inlineStr">
        <is>
          <t>No aplica</t>
        </is>
      </c>
      <c r="F2237" s="23" t="n">
        <v>46280</v>
      </c>
      <c r="G2237" t="inlineStr">
        <is>
          <t>recoleccion</t>
        </is>
      </c>
      <c r="H2237" s="26" t="n">
        <v>447560475</v>
      </c>
      <c r="I2237" t="inlineStr">
        <is>
          <t>bajo</t>
        </is>
      </c>
      <c r="J2237" t="inlineStr">
        <is>
          <t>RN-41: riesgo de exceder el cupo</t>
        </is>
      </c>
      <c r="K2237" t="inlineStr">
        <is>
          <t>Recolección por riesgo de exceder el cupo: el saldo al cierre ($6.373.076.875) pasa el cupo $5.925.516.400. Se recogen $447.560.475 y el saldo queda en $5.925.516.400. En sus últimos 180 días la sucursal recibe más de lo que paga (entradas medias $1.122.609.310/día &gt; salidas medias $675.820.239/día); el neto diario varía $415.626.190 (σ). Costo estimado $279.188 (Anexo E: fijo $18.708 + $6 por cada $10.000 movidos).</t>
        </is>
      </c>
      <c r="L2237" s="26" t="n">
        <v>5925516400</v>
      </c>
      <c r="M2237" s="26" t="n">
        <v>6373076875</v>
      </c>
      <c r="N2237" s="27">
        <f>IF(ISNUMBER(M2237),M2237/L2237,"No aplica")</f>
        <v>1.0755310499182822</v>
      </c>
      <c r="O2237" s="25">
        <f>IF(G2237="provision",M2237+H2237,IF(G2237="recoleccion",M2237-H2237,"No aplica"))</f>
        <v>5925516400</v>
      </c>
      <c r="P2237" s="26" t="n">
        <v>279188</v>
      </c>
    </row>
    <row r="2238">
      <c r="A2238" t="inlineStr">
        <is>
          <t>PRAGMA</t>
        </is>
      </c>
      <c r="B2238" t="inlineStr">
        <is>
          <t>M3</t>
        </is>
      </c>
      <c r="C2238" t="inlineStr">
        <is>
          <t>Cali</t>
        </is>
      </c>
      <c r="D2238" t="inlineStr">
        <is>
          <t>67</t>
        </is>
      </c>
      <c r="E2238" t="inlineStr">
        <is>
          <t>No aplica</t>
        </is>
      </c>
      <c r="F2238" s="23" t="n">
        <v>46266</v>
      </c>
      <c r="G2238" t="inlineStr">
        <is>
          <t>recoleccion</t>
        </is>
      </c>
      <c r="H2238" s="26" t="n">
        <v>3949401707</v>
      </c>
      <c r="I2238" t="inlineStr">
        <is>
          <t>bajo</t>
        </is>
      </c>
      <c r="J2238" t="inlineStr">
        <is>
          <t>RN-41: riesgo de exceder el cupo</t>
        </is>
      </c>
      <c r="K2238" t="inlineStr">
        <is>
          <t>Recolección por riesgo de exceder el cupo: el saldo al cierre ($10.580.886.756) pasa el cupo $9.857.185.800. Se recogen $3.949.401.707 y el saldo queda en $6.631.485.049. En sus últimos 180 días la sucursal recibe más de lo que paga (entradas medias $980.752.269/día &gt; salidas medias $389.527.346/día); el neto diario varía $531.838.045 (σ). Costo estimado $2.271.327 (Anexo E: fijo $16.219 + $6 por cada $10.000 movidos).</t>
        </is>
      </c>
      <c r="L2238" s="26" t="n">
        <v>9857185800</v>
      </c>
      <c r="M2238" s="26" t="n">
        <v>10580886756</v>
      </c>
      <c r="N2238" s="27">
        <f>IF(ISNUMBER(M2238),M2238/L2238,"No aplica")</f>
        <v>1.0734186177154132</v>
      </c>
      <c r="O2238" s="25">
        <f>IF(G2238="provision",M2238+H2238,IF(G2238="recoleccion",M2238-H2238,"No aplica"))</f>
        <v>6631485049</v>
      </c>
      <c r="P2238" s="26" t="n">
        <v>2271327</v>
      </c>
    </row>
    <row r="2239">
      <c r="A2239" t="inlineStr">
        <is>
          <t>PRAGMA</t>
        </is>
      </c>
      <c r="B2239" t="inlineStr">
        <is>
          <t>M3</t>
        </is>
      </c>
      <c r="C2239" t="inlineStr">
        <is>
          <t>Cali</t>
        </is>
      </c>
      <c r="D2239" t="inlineStr">
        <is>
          <t>67</t>
        </is>
      </c>
      <c r="E2239" t="inlineStr">
        <is>
          <t>No aplica</t>
        </is>
      </c>
      <c r="F2239" s="23" t="n">
        <v>46267</v>
      </c>
      <c r="G2239" t="inlineStr">
        <is>
          <t>recoleccion</t>
        </is>
      </c>
      <c r="H2239" s="26" t="n">
        <v>722708853</v>
      </c>
      <c r="I2239" t="inlineStr">
        <is>
          <t>bajo</t>
        </is>
      </c>
      <c r="J2239" t="inlineStr">
        <is>
          <t>RN-41: efectivo ocioso sobre el techo</t>
        </is>
      </c>
      <c r="K2239" t="inlineStr">
        <is>
          <t>Recolección por efectivo ocioso: el saldo al cierre ($7.354.193.902) pasa el techo $6.631.485.049 (reserva + 15 días de salidas medias, tope en el cupo $9.857.185.800). Se recogen $722.708.853 y el saldo queda en $6.631.485.049. En sus últimos 180 días la sucursal recibe más de lo que paga (entradas medias $980.752.269/día &gt; salidas medias $389.527.346/día); el neto diario varía $531.838.045 (σ). Costo estimado $428.886 (Anexo E: fijo $16.219 + $6 por cada $10.000 movidos).</t>
        </is>
      </c>
      <c r="L2239" s="26" t="n">
        <v>9857185800</v>
      </c>
      <c r="M2239" s="26" t="n">
        <v>7354193902</v>
      </c>
      <c r="N2239" s="27">
        <f>IF(ISNUMBER(M2239),M2239/L2239,"No aplica")</f>
        <v>0.7460743919425765</v>
      </c>
      <c r="O2239" s="25">
        <f>IF(G2239="provision",M2239+H2239,IF(G2239="recoleccion",M2239-H2239,"No aplica"))</f>
        <v>6631485049</v>
      </c>
      <c r="P2239" s="26" t="n">
        <v>428886</v>
      </c>
    </row>
    <row r="2240">
      <c r="A2240" t="inlineStr">
        <is>
          <t>PRAGMA</t>
        </is>
      </c>
      <c r="B2240" t="inlineStr">
        <is>
          <t>M3</t>
        </is>
      </c>
      <c r="C2240" t="inlineStr">
        <is>
          <t>Cali</t>
        </is>
      </c>
      <c r="D2240" t="inlineStr">
        <is>
          <t>67</t>
        </is>
      </c>
      <c r="E2240" t="inlineStr">
        <is>
          <t>No aplica</t>
        </is>
      </c>
      <c r="F2240" s="23" t="n">
        <v>46268</v>
      </c>
      <c r="G2240" t="inlineStr">
        <is>
          <t>recoleccion</t>
        </is>
      </c>
      <c r="H2240" s="26" t="n">
        <v>828509877</v>
      </c>
      <c r="I2240" t="inlineStr">
        <is>
          <t>bajo</t>
        </is>
      </c>
      <c r="J2240" t="inlineStr">
        <is>
          <t>RN-41: efectivo ocioso sobre el techo</t>
        </is>
      </c>
      <c r="K2240" t="inlineStr">
        <is>
          <t>Recolección por efectivo ocioso: el saldo al cierre ($7.459.994.926) pasa el techo $6.631.485.049 (reserva + 15 días de salidas medias, tope en el cupo $9.857.185.800). Se recogen $828.509.877 y el saldo queda en $6.631.485.049. En sus últimos 180 días la sucursal recibe más de lo que paga (entradas medias $980.752.269/día &gt; salidas medias $389.527.346/día); el neto diario varía $531.838.045 (σ). Costo estimado $489.298 (Anexo E: fijo $16.219 + $6 por cada $10.000 movidos).</t>
        </is>
      </c>
      <c r="L2240" s="26" t="n">
        <v>9857185800</v>
      </c>
      <c r="M2240" s="26" t="n">
        <v>7459994926</v>
      </c>
      <c r="N2240" s="27">
        <f>IF(ISNUMBER(M2240),M2240/L2240,"No aplica")</f>
        <v>0.756807782399719</v>
      </c>
      <c r="O2240" s="25">
        <f>IF(G2240="provision",M2240+H2240,IF(G2240="recoleccion",M2240-H2240,"No aplica"))</f>
        <v>6631485049</v>
      </c>
      <c r="P2240" s="26" t="n">
        <v>489298</v>
      </c>
    </row>
    <row r="2241">
      <c r="A2241" t="inlineStr">
        <is>
          <t>PRAGMA</t>
        </is>
      </c>
      <c r="B2241" t="inlineStr">
        <is>
          <t>M3</t>
        </is>
      </c>
      <c r="C2241" t="inlineStr">
        <is>
          <t>Cali</t>
        </is>
      </c>
      <c r="D2241" t="inlineStr">
        <is>
          <t>67</t>
        </is>
      </c>
      <c r="E2241" t="inlineStr">
        <is>
          <t>No aplica</t>
        </is>
      </c>
      <c r="F2241" s="23" t="n">
        <v>46269</v>
      </c>
      <c r="G2241" t="inlineStr">
        <is>
          <t>recoleccion</t>
        </is>
      </c>
      <c r="H2241" s="26" t="n">
        <v>811714319</v>
      </c>
      <c r="I2241" t="inlineStr">
        <is>
          <t>bajo</t>
        </is>
      </c>
      <c r="J2241" t="inlineStr">
        <is>
          <t>RN-41: efectivo ocioso sobre el techo</t>
        </is>
      </c>
      <c r="K2241" t="inlineStr">
        <is>
          <t>Recolección por efectivo ocioso: el saldo al cierre ($7.443.199.368) pasa el techo $6.631.485.049 (reserva + 15 días de salidas medias, tope en el cupo $9.857.185.800). Se recogen $811.714.319 y el saldo queda en $6.631.485.049. En sus últimos 180 días la sucursal recibe más de lo que paga (entradas medias $980.752.269/día &gt; salidas medias $389.527.346/día); el neto diario varía $531.838.045 (σ). Costo estimado $479.708 (Anexo E: fijo $16.219 + $6 por cada $10.000 movidos).</t>
        </is>
      </c>
      <c r="L2241" s="26" t="n">
        <v>9857185800</v>
      </c>
      <c r="M2241" s="26" t="n">
        <v>7443199368</v>
      </c>
      <c r="N2241" s="27">
        <f>IF(ISNUMBER(M2241),M2241/L2241,"No aplica")</f>
        <v>0.755103892634346</v>
      </c>
      <c r="O2241" s="25">
        <f>IF(G2241="provision",M2241+H2241,IF(G2241="recoleccion",M2241-H2241,"No aplica"))</f>
        <v>6631485049</v>
      </c>
      <c r="P2241" s="26" t="n">
        <v>479708</v>
      </c>
    </row>
    <row r="2242">
      <c r="A2242" t="inlineStr">
        <is>
          <t>PRAGMA</t>
        </is>
      </c>
      <c r="B2242" t="inlineStr">
        <is>
          <t>M3</t>
        </is>
      </c>
      <c r="C2242" t="inlineStr">
        <is>
          <t>Cali</t>
        </is>
      </c>
      <c r="D2242" t="inlineStr">
        <is>
          <t>67</t>
        </is>
      </c>
      <c r="E2242" t="inlineStr">
        <is>
          <t>No aplica</t>
        </is>
      </c>
      <c r="F2242" s="23" t="n">
        <v>46270</v>
      </c>
      <c r="G2242" t="inlineStr">
        <is>
          <t>recoleccion</t>
        </is>
      </c>
      <c r="H2242" s="26" t="n">
        <v>210372</v>
      </c>
      <c r="I2242" t="inlineStr">
        <is>
          <t>bajo</t>
        </is>
      </c>
      <c r="J2242" t="inlineStr">
        <is>
          <t>RN-41: efectivo ocioso sobre el techo</t>
        </is>
      </c>
      <c r="K2242" t="inlineStr">
        <is>
          <t>Recolección por efectivo ocioso: el saldo al cierre ($6.631.695.421) pasa el techo $6.631.485.049 (reserva + 15 días de salidas medias, tope en el cupo $9.857.185.800). Se recogen $210.372 y el saldo queda en $6.631.485.049. En sus últimos 180 días la sucursal recibe más de lo que paga (entradas medias $980.752.269/día &gt; salidas medias $389.527.346/día); el neto diario varía $531.838.045 (σ). Costo estimado $16.339 (Anexo E: fijo $16.219 + $6 por cada $10.000 movidos).</t>
        </is>
      </c>
      <c r="L2242" s="26" t="n">
        <v>9857185800</v>
      </c>
      <c r="M2242" s="26" t="n">
        <v>6631695421</v>
      </c>
      <c r="N2242" s="27">
        <f>IF(ISNUMBER(M2242),M2242/L2242,"No aplica")</f>
        <v>0.6727777639131038</v>
      </c>
      <c r="O2242" s="25">
        <f>IF(G2242="provision",M2242+H2242,IF(G2242="recoleccion",M2242-H2242,"No aplica"))</f>
        <v>6631485049</v>
      </c>
      <c r="P2242" s="26" t="n">
        <v>16339</v>
      </c>
    </row>
    <row r="2243">
      <c r="A2243" t="inlineStr">
        <is>
          <t>PRAGMA</t>
        </is>
      </c>
      <c r="B2243" t="inlineStr">
        <is>
          <t>M3</t>
        </is>
      </c>
      <c r="C2243" t="inlineStr">
        <is>
          <t>Cali</t>
        </is>
      </c>
      <c r="D2243" t="inlineStr">
        <is>
          <t>67</t>
        </is>
      </c>
      <c r="E2243" t="inlineStr">
        <is>
          <t>No aplica</t>
        </is>
      </c>
      <c r="F2243" s="23" t="n">
        <v>46271</v>
      </c>
      <c r="G2243" t="inlineStr">
        <is>
          <t>recoleccion</t>
        </is>
      </c>
      <c r="H2243" s="26" t="n">
        <v>1626174</v>
      </c>
      <c r="I2243" t="inlineStr">
        <is>
          <t>bajo</t>
        </is>
      </c>
      <c r="J2243" t="inlineStr">
        <is>
          <t>RN-41: efectivo ocioso sobre el techo</t>
        </is>
      </c>
      <c r="K2243" t="inlineStr">
        <is>
          <t>Recolección por efectivo ocioso: el saldo al cierre ($6.633.111.223) pasa el techo $6.631.485.049 (reserva + 15 días de salidas medias, tope en el cupo $9.857.185.800). Se recogen $1.626.174 y el saldo queda en $6.631.485.049. En sus últimos 180 días la sucursal recibe más de lo que paga (entradas medias $980.752.269/día &gt; salidas medias $389.527.346/día); el neto diario varía $531.838.045 (σ). Costo estimado $17.148 (Anexo E: fijo $16.219 + $6 por cada $10.000 movidos).</t>
        </is>
      </c>
      <c r="L2243" s="26" t="n">
        <v>9857185800</v>
      </c>
      <c r="M2243" s="26" t="n">
        <v>6633111223</v>
      </c>
      <c r="N2243" s="27">
        <f>IF(ISNUMBER(M2243),M2243/L2243,"No aplica")</f>
        <v>0.6729213953743268</v>
      </c>
      <c r="O2243" s="25">
        <f>IF(G2243="provision",M2243+H2243,IF(G2243="recoleccion",M2243-H2243,"No aplica"))</f>
        <v>6631485049</v>
      </c>
      <c r="P2243" s="26" t="n">
        <v>17148</v>
      </c>
    </row>
    <row r="2244">
      <c r="A2244" t="inlineStr">
        <is>
          <t>PRAGMA</t>
        </is>
      </c>
      <c r="B2244" t="inlineStr">
        <is>
          <t>M3</t>
        </is>
      </c>
      <c r="C2244" t="inlineStr">
        <is>
          <t>Cali</t>
        </is>
      </c>
      <c r="D2244" t="inlineStr">
        <is>
          <t>67</t>
        </is>
      </c>
      <c r="E2244" t="inlineStr">
        <is>
          <t>No aplica</t>
        </is>
      </c>
      <c r="F2244" s="23" t="n">
        <v>46272</v>
      </c>
      <c r="G2244" t="inlineStr">
        <is>
          <t>recoleccion</t>
        </is>
      </c>
      <c r="H2244" s="26" t="n">
        <v>814580175</v>
      </c>
      <c r="I2244" t="inlineStr">
        <is>
          <t>bajo</t>
        </is>
      </c>
      <c r="J2244" t="inlineStr">
        <is>
          <t>RN-41: efectivo ocioso sobre el techo</t>
        </is>
      </c>
      <c r="K2244" t="inlineStr">
        <is>
          <t>Recolección por efectivo ocioso: el saldo al cierre ($7.446.065.224) pasa el techo $6.631.485.049 (reserva + 15 días de salidas medias, tope en el cupo $9.857.185.800). Se recogen $814.580.175 y el saldo queda en $6.631.485.049. En sus últimos 180 días la sucursal recibe más de lo que paga (entradas medias $980.752.269/día &gt; salidas medias $389.527.346/día); el neto diario varía $531.838.045 (σ). Costo estimado $481.344 (Anexo E: fijo $16.219 + $6 por cada $10.000 movidos).</t>
        </is>
      </c>
      <c r="L2244" s="26" t="n">
        <v>9857185800</v>
      </c>
      <c r="M2244" s="26" t="n">
        <v>7446065224</v>
      </c>
      <c r="N2244" s="27">
        <f>IF(ISNUMBER(M2244),M2244/L2244,"No aplica")</f>
        <v>0.7553946303822334</v>
      </c>
      <c r="O2244" s="25">
        <f>IF(G2244="provision",M2244+H2244,IF(G2244="recoleccion",M2244-H2244,"No aplica"))</f>
        <v>6631485049</v>
      </c>
      <c r="P2244" s="26" t="n">
        <v>481344</v>
      </c>
    </row>
    <row r="2245">
      <c r="A2245" t="inlineStr">
        <is>
          <t>PRAGMA</t>
        </is>
      </c>
      <c r="B2245" t="inlineStr">
        <is>
          <t>M3</t>
        </is>
      </c>
      <c r="C2245" t="inlineStr">
        <is>
          <t>Cali</t>
        </is>
      </c>
      <c r="D2245" t="inlineStr">
        <is>
          <t>67</t>
        </is>
      </c>
      <c r="E2245" t="inlineStr">
        <is>
          <t>No aplica</t>
        </is>
      </c>
      <c r="F2245" s="23" t="n">
        <v>46273</v>
      </c>
      <c r="G2245" t="inlineStr">
        <is>
          <t>recoleccion</t>
        </is>
      </c>
      <c r="H2245" s="26" t="n">
        <v>807916785</v>
      </c>
      <c r="I2245" t="inlineStr">
        <is>
          <t>bajo</t>
        </is>
      </c>
      <c r="J2245" t="inlineStr">
        <is>
          <t>RN-41: efectivo ocioso sobre el techo</t>
        </is>
      </c>
      <c r="K2245" t="inlineStr">
        <is>
          <t>Recolección por efectivo ocioso: el saldo al cierre ($7.439.401.834) pasa el techo $6.631.485.049 (reserva + 15 días de salidas medias, tope en el cupo $9.857.185.800). Se recogen $807.916.785 y el saldo queda en $6.631.485.049. En sus últimos 180 días la sucursal recibe más de lo que paga (entradas medias $980.752.269/día &gt; salidas medias $389.527.346/día); el neto diario varía $531.838.045 (σ). Costo estimado $477.539 (Anexo E: fijo $16.219 + $6 por cada $10.000 movidos).</t>
        </is>
      </c>
      <c r="L2245" s="26" t="n">
        <v>9857185800</v>
      </c>
      <c r="M2245" s="26" t="n">
        <v>7439401834</v>
      </c>
      <c r="N2245" s="27">
        <f>IF(ISNUMBER(M2245),M2245/L2245,"No aplica")</f>
        <v>0.7547186372402558</v>
      </c>
      <c r="O2245" s="25">
        <f>IF(G2245="provision",M2245+H2245,IF(G2245="recoleccion",M2245-H2245,"No aplica"))</f>
        <v>6631485049</v>
      </c>
      <c r="P2245" s="26" t="n">
        <v>477539</v>
      </c>
    </row>
    <row r="2246">
      <c r="A2246" t="inlineStr">
        <is>
          <t>PRAGMA</t>
        </is>
      </c>
      <c r="B2246" t="inlineStr">
        <is>
          <t>M3</t>
        </is>
      </c>
      <c r="C2246" t="inlineStr">
        <is>
          <t>Cali</t>
        </is>
      </c>
      <c r="D2246" t="inlineStr">
        <is>
          <t>67</t>
        </is>
      </c>
      <c r="E2246" t="inlineStr">
        <is>
          <t>No aplica</t>
        </is>
      </c>
      <c r="F2246" s="23" t="n">
        <v>46274</v>
      </c>
      <c r="G2246" t="inlineStr">
        <is>
          <t>recoleccion</t>
        </is>
      </c>
      <c r="H2246" s="26" t="n">
        <v>800062991</v>
      </c>
      <c r="I2246" t="inlineStr">
        <is>
          <t>bajo</t>
        </is>
      </c>
      <c r="J2246" t="inlineStr">
        <is>
          <t>RN-41: efectivo ocioso sobre el techo</t>
        </is>
      </c>
      <c r="K2246" t="inlineStr">
        <is>
          <t>Recolección por efectivo ocioso: el saldo al cierre ($7.431.548.040) pasa el techo $6.631.485.049 (reserva + 15 días de salidas medias, tope en el cupo $9.857.185.800). Se recogen $800.062.991 y el saldo queda en $6.631.485.049. En sus últimos 180 días la sucursal recibe más de lo que paga (entradas medias $980.752.269/día &gt; salidas medias $389.527.346/día); el neto diario varía $531.838.045 (σ). Costo estimado $473.055 (Anexo E: fijo $16.219 + $6 por cada $10.000 movidos).</t>
        </is>
      </c>
      <c r="L2246" s="26" t="n">
        <v>9857185800</v>
      </c>
      <c r="M2246" s="26" t="n">
        <v>7431548040</v>
      </c>
      <c r="N2246" s="27">
        <f>IF(ISNUMBER(M2246),M2246/L2246,"No aplica")</f>
        <v>0.7539218790012054</v>
      </c>
      <c r="O2246" s="25">
        <f>IF(G2246="provision",M2246+H2246,IF(G2246="recoleccion",M2246-H2246,"No aplica"))</f>
        <v>6631485049</v>
      </c>
      <c r="P2246" s="26" t="n">
        <v>473055</v>
      </c>
    </row>
    <row r="2247">
      <c r="A2247" t="inlineStr">
        <is>
          <t>PRAGMA</t>
        </is>
      </c>
      <c r="B2247" t="inlineStr">
        <is>
          <t>M3</t>
        </is>
      </c>
      <c r="C2247" t="inlineStr">
        <is>
          <t>Cali</t>
        </is>
      </c>
      <c r="D2247" t="inlineStr">
        <is>
          <t>67</t>
        </is>
      </c>
      <c r="E2247" t="inlineStr">
        <is>
          <t>No aplica</t>
        </is>
      </c>
      <c r="F2247" s="23" t="n">
        <v>46275</v>
      </c>
      <c r="G2247" t="inlineStr">
        <is>
          <t>recoleccion</t>
        </is>
      </c>
      <c r="H2247" s="26" t="n">
        <v>814983672</v>
      </c>
      <c r="I2247" t="inlineStr">
        <is>
          <t>bajo</t>
        </is>
      </c>
      <c r="J2247" t="inlineStr">
        <is>
          <t>RN-41: efectivo ocioso sobre el techo</t>
        </is>
      </c>
      <c r="K2247" t="inlineStr">
        <is>
          <t>Recolección por efectivo ocioso: el saldo al cierre ($7.446.468.721) pasa el techo $6.631.485.049 (reserva + 15 días de salidas medias, tope en el cupo $9.857.185.800). Se recogen $814.983.672 y el saldo queda en $6.631.485.049. En sus últimos 180 días la sucursal recibe más de lo que paga (entradas medias $980.752.269/día &gt; salidas medias $389.527.346/día); el neto diario varía $531.838.045 (σ). Costo estimado $481.575 (Anexo E: fijo $16.219 + $6 por cada $10.000 movidos).</t>
        </is>
      </c>
      <c r="L2247" s="26" t="n">
        <v>9857185800</v>
      </c>
      <c r="M2247" s="26" t="n">
        <v>7446468721</v>
      </c>
      <c r="N2247" s="27">
        <f>IF(ISNUMBER(M2247),M2247/L2247,"No aplica")</f>
        <v>0.7554355646821631</v>
      </c>
      <c r="O2247" s="25">
        <f>IF(G2247="provision",M2247+H2247,IF(G2247="recoleccion",M2247-H2247,"No aplica"))</f>
        <v>6631485049</v>
      </c>
      <c r="P2247" s="26" t="n">
        <v>481575</v>
      </c>
    </row>
    <row r="2248">
      <c r="A2248" t="inlineStr">
        <is>
          <t>PRAGMA</t>
        </is>
      </c>
      <c r="B2248" t="inlineStr">
        <is>
          <t>M3</t>
        </is>
      </c>
      <c r="C2248" t="inlineStr">
        <is>
          <t>Cali</t>
        </is>
      </c>
      <c r="D2248" t="inlineStr">
        <is>
          <t>67</t>
        </is>
      </c>
      <c r="E2248" t="inlineStr">
        <is>
          <t>No aplica</t>
        </is>
      </c>
      <c r="F2248" s="23" t="n">
        <v>46276</v>
      </c>
      <c r="G2248" t="inlineStr">
        <is>
          <t>recoleccion</t>
        </is>
      </c>
      <c r="H2248" s="26" t="n">
        <v>902062640</v>
      </c>
      <c r="I2248" t="inlineStr">
        <is>
          <t>bajo</t>
        </is>
      </c>
      <c r="J2248" t="inlineStr">
        <is>
          <t>RN-41: efectivo ocioso sobre el techo</t>
        </is>
      </c>
      <c r="K2248" t="inlineStr">
        <is>
          <t>Recolección por efectivo ocioso: el saldo al cierre ($7.533.547.689) pasa el techo $6.631.485.049 (reserva + 15 días de salidas medias, tope en el cupo $9.857.185.800). Se recogen $902.062.640 y el saldo queda en $6.631.485.049. En sus últimos 180 días la sucursal recibe más de lo que paga (entradas medias $980.752.269/día &gt; salidas medias $389.527.346/día); el neto diario varía $531.838.045 (σ). Costo estimado $531.297 (Anexo E: fijo $16.219 + $6 por cada $10.000 movidos).</t>
        </is>
      </c>
      <c r="L2248" s="26" t="n">
        <v>9857185800</v>
      </c>
      <c r="M2248" s="26" t="n">
        <v>7533547689</v>
      </c>
      <c r="N2248" s="27">
        <f>IF(ISNUMBER(M2248),M2248/L2248,"No aplica")</f>
        <v>0.7642696243992885</v>
      </c>
      <c r="O2248" s="25">
        <f>IF(G2248="provision",M2248+H2248,IF(G2248="recoleccion",M2248-H2248,"No aplica"))</f>
        <v>6631485049</v>
      </c>
      <c r="P2248" s="26" t="n">
        <v>531297</v>
      </c>
    </row>
    <row r="2249">
      <c r="A2249" t="inlineStr">
        <is>
          <t>PRAGMA</t>
        </is>
      </c>
      <c r="B2249" t="inlineStr">
        <is>
          <t>M3</t>
        </is>
      </c>
      <c r="C2249" t="inlineStr">
        <is>
          <t>Cali</t>
        </is>
      </c>
      <c r="D2249" t="inlineStr">
        <is>
          <t>67</t>
        </is>
      </c>
      <c r="E2249" t="inlineStr">
        <is>
          <t>No aplica</t>
        </is>
      </c>
      <c r="F2249" s="23" t="n">
        <v>46279</v>
      </c>
      <c r="G2249" t="inlineStr">
        <is>
          <t>recoleccion</t>
        </is>
      </c>
      <c r="H2249" s="26" t="n">
        <v>866071497</v>
      </c>
      <c r="I2249" t="inlineStr">
        <is>
          <t>bajo</t>
        </is>
      </c>
      <c r="J2249" t="inlineStr">
        <is>
          <t>RN-41: efectivo ocioso sobre el techo</t>
        </is>
      </c>
      <c r="K2249" t="inlineStr">
        <is>
          <t>Recolección por efectivo ocioso: el saldo al cierre ($7.497.556.546) pasa el techo $6.631.485.049 (reserva + 15 días de salidas medias, tope en el cupo $9.857.185.800). Se recogen $866.071.497 y el saldo queda en $6.631.485.049. En sus últimos 180 días la sucursal recibe más de lo que paga (entradas medias $980.752.269/día &gt; salidas medias $389.527.346/día); el neto diario varía $531.838.045 (σ). Costo estimado $510.746 (Anexo E: fijo $16.219 + $6 por cada $10.000 movidos).</t>
        </is>
      </c>
      <c r="L2249" s="26" t="n">
        <v>9857185800</v>
      </c>
      <c r="M2249" s="26" t="n">
        <v>7497556546</v>
      </c>
      <c r="N2249" s="27">
        <f>IF(ISNUMBER(M2249),M2249/L2249,"No aplica")</f>
        <v>0.7606183649292682</v>
      </c>
      <c r="O2249" s="25">
        <f>IF(G2249="provision",M2249+H2249,IF(G2249="recoleccion",M2249-H2249,"No aplica"))</f>
        <v>6631485049</v>
      </c>
      <c r="P2249" s="26" t="n">
        <v>510746</v>
      </c>
    </row>
    <row r="2250">
      <c r="A2250" t="inlineStr">
        <is>
          <t>PRAGMA</t>
        </is>
      </c>
      <c r="B2250" t="inlineStr">
        <is>
          <t>M3</t>
        </is>
      </c>
      <c r="C2250" t="inlineStr">
        <is>
          <t>Cali</t>
        </is>
      </c>
      <c r="D2250" t="inlineStr">
        <is>
          <t>67</t>
        </is>
      </c>
      <c r="E2250" t="inlineStr">
        <is>
          <t>No aplica</t>
        </is>
      </c>
      <c r="F2250" s="23" t="n">
        <v>46280</v>
      </c>
      <c r="G2250" t="inlineStr">
        <is>
          <t>recoleccion</t>
        </is>
      </c>
      <c r="H2250" s="26" t="n">
        <v>730111454</v>
      </c>
      <c r="I2250" t="inlineStr">
        <is>
          <t>bajo</t>
        </is>
      </c>
      <c r="J2250" t="inlineStr">
        <is>
          <t>RN-41: efectivo ocioso sobre el techo</t>
        </is>
      </c>
      <c r="K2250" t="inlineStr">
        <is>
          <t>Recolección por efectivo ocioso: el saldo al cierre ($7.361.596.503) pasa el techo $6.631.485.049 (reserva + 15 días de salidas medias, tope en el cupo $9.857.185.800). Se recogen $730.111.454 y el saldo queda en $6.631.485.049. En sus últimos 180 días la sucursal recibe más de lo que paga (entradas medias $980.752.269/día &gt; salidas medias $389.527.346/día); el neto diario varía $531.838.045 (σ). Costo estimado $433.113 (Anexo E: fijo $16.219 + $6 por cada $10.000 movidos).</t>
        </is>
      </c>
      <c r="L2250" s="26" t="n">
        <v>9857185800</v>
      </c>
      <c r="M2250" s="26" t="n">
        <v>7361596503</v>
      </c>
      <c r="N2250" s="27">
        <f>IF(ISNUMBER(M2250),M2250/L2250,"No aplica")</f>
        <v>0.7468253771781395</v>
      </c>
      <c r="O2250" s="25">
        <f>IF(G2250="provision",M2250+H2250,IF(G2250="recoleccion",M2250-H2250,"No aplica"))</f>
        <v>6631485049</v>
      </c>
      <c r="P2250" s="26" t="n">
        <v>433113</v>
      </c>
    </row>
    <row r="2251">
      <c r="A2251" t="inlineStr">
        <is>
          <t>PRAGMA</t>
        </is>
      </c>
      <c r="B2251" t="inlineStr">
        <is>
          <t>M3</t>
        </is>
      </c>
      <c r="C2251" t="inlineStr">
        <is>
          <t>Cali</t>
        </is>
      </c>
      <c r="D2251" t="inlineStr">
        <is>
          <t>69</t>
        </is>
      </c>
      <c r="E2251" t="inlineStr">
        <is>
          <t>No aplica</t>
        </is>
      </c>
      <c r="F2251" s="23" t="n">
        <v>46266</v>
      </c>
      <c r="G2251" t="inlineStr">
        <is>
          <t>recoleccion</t>
        </is>
      </c>
      <c r="H2251" s="26" t="n">
        <v>2620451092</v>
      </c>
      <c r="I2251" t="inlineStr">
        <is>
          <t>bajo</t>
        </is>
      </c>
      <c r="J2251" t="inlineStr">
        <is>
          <t>RN-41: riesgo de exceder el cupo</t>
        </is>
      </c>
      <c r="K2251" t="inlineStr">
        <is>
          <t>Recolección por riesgo de exceder el cupo: el saldo al cierre ($7.696.862.970) pasa el cupo $7.549.194.000. Se recogen $2.620.451.092 y el saldo queda en $5.076.411.878. En sus últimos 180 días la sucursal recibe más de lo que paga (entradas medias $401.719.121/día &gt; salidas medias $298.165.091/día); el neto diario varía $202.570.365 (σ). Costo estimado $1.512.497 (Anexo E: fijo $16.219 + $6 por cada $10.000 movidos).</t>
        </is>
      </c>
      <c r="L2251" s="26" t="n">
        <v>7549194000</v>
      </c>
      <c r="M2251" s="26" t="n">
        <v>7696862970</v>
      </c>
      <c r="N2251" s="27">
        <f>IF(ISNUMBER(M2251),M2251/L2251,"No aplica")</f>
        <v>1.0195608921959085</v>
      </c>
      <c r="O2251" s="25">
        <f>IF(G2251="provision",M2251+H2251,IF(G2251="recoleccion",M2251-H2251,"No aplica"))</f>
        <v>5076411878</v>
      </c>
      <c r="P2251" s="26" t="n">
        <v>1512497</v>
      </c>
    </row>
    <row r="2252">
      <c r="A2252" t="inlineStr">
        <is>
          <t>PRAGMA</t>
        </is>
      </c>
      <c r="B2252" t="inlineStr">
        <is>
          <t>M3</t>
        </is>
      </c>
      <c r="C2252" t="inlineStr">
        <is>
          <t>Cali</t>
        </is>
      </c>
      <c r="D2252" t="inlineStr">
        <is>
          <t>69</t>
        </is>
      </c>
      <c r="E2252" t="inlineStr">
        <is>
          <t>No aplica</t>
        </is>
      </c>
      <c r="F2252" s="23" t="n">
        <v>46267</v>
      </c>
      <c r="G2252" t="inlineStr">
        <is>
          <t>recoleccion</t>
        </is>
      </c>
      <c r="H2252" s="26" t="n">
        <v>42204512</v>
      </c>
      <c r="I2252" t="inlineStr">
        <is>
          <t>bajo</t>
        </is>
      </c>
      <c r="J2252" t="inlineStr">
        <is>
          <t>RN-41: efectivo ocioso sobre el techo</t>
        </is>
      </c>
      <c r="K2252" t="inlineStr">
        <is>
          <t>Recolección por efectivo ocioso: el saldo al cierre ($5.118.616.390) pasa el techo $5.076.411.878 (reserva + 15 días de salidas medias, tope en el cupo $7.549.194.000). Se recogen $42.204.512 y el saldo queda en $5.076.411.878. En sus últimos 180 días la sucursal recibe más de lo que paga (entradas medias $401.719.121/día &gt; salidas medias $298.165.091/día); el neto diario varía $202.570.365 (σ). Costo estimado $40.318 (Anexo E: fijo $16.219 + $6 por cada $10.000 movidos).</t>
        </is>
      </c>
      <c r="L2252" s="26" t="n">
        <v>7549194000</v>
      </c>
      <c r="M2252" s="26" t="n">
        <v>5118616390</v>
      </c>
      <c r="N2252" s="27">
        <f>IF(ISNUMBER(M2252),M2252/L2252,"No aplica")</f>
        <v>0.6780348193462772</v>
      </c>
      <c r="O2252" s="25">
        <f>IF(G2252="provision",M2252+H2252,IF(G2252="recoleccion",M2252-H2252,"No aplica"))</f>
        <v>5076411878</v>
      </c>
      <c r="P2252" s="26" t="n">
        <v>40318</v>
      </c>
    </row>
    <row r="2253">
      <c r="A2253" t="inlineStr">
        <is>
          <t>PRAGMA</t>
        </is>
      </c>
      <c r="B2253" t="inlineStr">
        <is>
          <t>M3</t>
        </is>
      </c>
      <c r="C2253" t="inlineStr">
        <is>
          <t>Cali</t>
        </is>
      </c>
      <c r="D2253" t="inlineStr">
        <is>
          <t>69</t>
        </is>
      </c>
      <c r="E2253" t="inlineStr">
        <is>
          <t>No aplica</t>
        </is>
      </c>
      <c r="F2253" s="23" t="n">
        <v>46268</v>
      </c>
      <c r="G2253" t="inlineStr">
        <is>
          <t>recoleccion</t>
        </is>
      </c>
      <c r="H2253" s="26" t="n">
        <v>203721072</v>
      </c>
      <c r="I2253" t="inlineStr">
        <is>
          <t>bajo</t>
        </is>
      </c>
      <c r="J2253" t="inlineStr">
        <is>
          <t>RN-41: efectivo ocioso sobre el techo</t>
        </is>
      </c>
      <c r="K2253" t="inlineStr">
        <is>
          <t>Recolección por efectivo ocioso: el saldo al cierre ($5.280.132.950) pasa el techo $5.076.411.878 (reserva + 15 días de salidas medias, tope en el cupo $7.549.194.000). Se recogen $203.721.072 y el saldo queda en $5.076.411.878. En sus últimos 180 días la sucursal recibe más de lo que paga (entradas medias $401.719.121/día &gt; salidas medias $298.165.091/día); el neto diario varía $202.570.365 (σ). Costo estimado $132.544 (Anexo E: fijo $16.219 + $6 por cada $10.000 movidos).</t>
        </is>
      </c>
      <c r="L2253" s="26" t="n">
        <v>7549194000</v>
      </c>
      <c r="M2253" s="26" t="n">
        <v>5280132950</v>
      </c>
      <c r="N2253" s="27">
        <f>IF(ISNUMBER(M2253),M2253/L2253,"No aplica")</f>
        <v>0.6994300252450791</v>
      </c>
      <c r="O2253" s="25">
        <f>IF(G2253="provision",M2253+H2253,IF(G2253="recoleccion",M2253-H2253,"No aplica"))</f>
        <v>5076411878</v>
      </c>
      <c r="P2253" s="26" t="n">
        <v>132544</v>
      </c>
    </row>
    <row r="2254">
      <c r="A2254" t="inlineStr">
        <is>
          <t>PRAGMA</t>
        </is>
      </c>
      <c r="B2254" t="inlineStr">
        <is>
          <t>M3</t>
        </is>
      </c>
      <c r="C2254" t="inlineStr">
        <is>
          <t>Cali</t>
        </is>
      </c>
      <c r="D2254" t="inlineStr">
        <is>
          <t>69</t>
        </is>
      </c>
      <c r="E2254" t="inlineStr">
        <is>
          <t>No aplica</t>
        </is>
      </c>
      <c r="F2254" s="23" t="n">
        <v>46269</v>
      </c>
      <c r="G2254" t="inlineStr">
        <is>
          <t>recoleccion</t>
        </is>
      </c>
      <c r="H2254" s="26" t="n">
        <v>90906051</v>
      </c>
      <c r="I2254" t="inlineStr">
        <is>
          <t>bajo</t>
        </is>
      </c>
      <c r="J2254" t="inlineStr">
        <is>
          <t>RN-41: efectivo ocioso sobre el techo</t>
        </is>
      </c>
      <c r="K2254" t="inlineStr">
        <is>
          <t>Recolección por efectivo ocioso: el saldo al cierre ($5.167.317.929) pasa el techo $5.076.411.878 (reserva + 15 días de salidas medias, tope en el cupo $7.549.194.000). Se recogen $90.906.051 y el saldo queda en $5.076.411.878. En sus últimos 180 días la sucursal recibe más de lo que paga (entradas medias $401.719.121/día &gt; salidas medias $298.165.091/día); el neto diario varía $202.570.365 (σ). Costo estimado $68.126 (Anexo E: fijo $16.219 + $6 por cada $10.000 movidos).</t>
        </is>
      </c>
      <c r="L2254" s="26" t="n">
        <v>7549194000</v>
      </c>
      <c r="M2254" s="26" t="n">
        <v>5167317929</v>
      </c>
      <c r="N2254" s="27">
        <f>IF(ISNUMBER(M2254),M2254/L2254,"No aplica")</f>
        <v>0.6844860430133336</v>
      </c>
      <c r="O2254" s="25">
        <f>IF(G2254="provision",M2254+H2254,IF(G2254="recoleccion",M2254-H2254,"No aplica"))</f>
        <v>5076411878</v>
      </c>
      <c r="P2254" s="26" t="n">
        <v>68126</v>
      </c>
    </row>
    <row r="2255">
      <c r="A2255" t="inlineStr">
        <is>
          <t>PRAGMA</t>
        </is>
      </c>
      <c r="B2255" t="inlineStr">
        <is>
          <t>M3</t>
        </is>
      </c>
      <c r="C2255" t="inlineStr">
        <is>
          <t>Cali</t>
        </is>
      </c>
      <c r="D2255" t="inlineStr">
        <is>
          <t>69</t>
        </is>
      </c>
      <c r="E2255" t="inlineStr">
        <is>
          <t>No aplica</t>
        </is>
      </c>
      <c r="F2255" s="23" t="n">
        <v>46272</v>
      </c>
      <c r="G2255" t="inlineStr">
        <is>
          <t>recoleccion</t>
        </is>
      </c>
      <c r="H2255" s="26" t="n">
        <v>125506277</v>
      </c>
      <c r="I2255" t="inlineStr">
        <is>
          <t>bajo</t>
        </is>
      </c>
      <c r="J2255" t="inlineStr">
        <is>
          <t>RN-41: efectivo ocioso sobre el techo</t>
        </is>
      </c>
      <c r="K2255" t="inlineStr">
        <is>
          <t>Recolección por efectivo ocioso: el saldo al cierre ($5.201.918.155) pasa el techo $5.076.411.878 (reserva + 15 días de salidas medias, tope en el cupo $7.549.194.000). Se recogen $125.506.277 y el saldo queda en $5.076.411.878. En sus últimos 180 días la sucursal recibe más de lo que paga (entradas medias $401.719.121/día &gt; salidas medias $298.165.091/día); el neto diario varía $202.570.365 (σ). Costo estimado $87.883 (Anexo E: fijo $16.219 + $6 por cada $10.000 movidos).</t>
        </is>
      </c>
      <c r="L2255" s="26" t="n">
        <v>7549194000</v>
      </c>
      <c r="M2255" s="26" t="n">
        <v>5201918155</v>
      </c>
      <c r="N2255" s="27">
        <f>IF(ISNUMBER(M2255),M2255/L2255,"No aplica")</f>
        <v>0.6890693436941745</v>
      </c>
      <c r="O2255" s="25">
        <f>IF(G2255="provision",M2255+H2255,IF(G2255="recoleccion",M2255-H2255,"No aplica"))</f>
        <v>5076411878</v>
      </c>
      <c r="P2255" s="26" t="n">
        <v>87883</v>
      </c>
    </row>
    <row r="2256">
      <c r="A2256" t="inlineStr">
        <is>
          <t>PRAGMA</t>
        </is>
      </c>
      <c r="B2256" t="inlineStr">
        <is>
          <t>M3</t>
        </is>
      </c>
      <c r="C2256" t="inlineStr">
        <is>
          <t>Cali</t>
        </is>
      </c>
      <c r="D2256" t="inlineStr">
        <is>
          <t>69</t>
        </is>
      </c>
      <c r="E2256" t="inlineStr">
        <is>
          <t>No aplica</t>
        </is>
      </c>
      <c r="F2256" s="23" t="n">
        <v>46273</v>
      </c>
      <c r="G2256" t="inlineStr">
        <is>
          <t>recoleccion</t>
        </is>
      </c>
      <c r="H2256" s="26" t="n">
        <v>157819419</v>
      </c>
      <c r="I2256" t="inlineStr">
        <is>
          <t>bajo</t>
        </is>
      </c>
      <c r="J2256" t="inlineStr">
        <is>
          <t>RN-41: efectivo ocioso sobre el techo</t>
        </is>
      </c>
      <c r="K2256" t="inlineStr">
        <is>
          <t>Recolección por efectivo ocioso: el saldo al cierre ($5.234.231.297) pasa el techo $5.076.411.878 (reserva + 15 días de salidas medias, tope en el cupo $7.549.194.000). Se recogen $157.819.419 y el saldo queda en $5.076.411.878. En sus últimos 180 días la sucursal recibe más de lo que paga (entradas medias $401.719.121/día &gt; salidas medias $298.165.091/día); el neto diario varía $202.570.365 (σ). Costo estimado $106.334 (Anexo E: fijo $16.219 + $6 por cada $10.000 movidos).</t>
        </is>
      </c>
      <c r="L2256" s="26" t="n">
        <v>7549194000</v>
      </c>
      <c r="M2256" s="26" t="n">
        <v>5234231297</v>
      </c>
      <c r="N2256" s="27">
        <f>IF(ISNUMBER(M2256),M2256/L2256,"No aplica")</f>
        <v>0.6933496869996982</v>
      </c>
      <c r="O2256" s="25">
        <f>IF(G2256="provision",M2256+H2256,IF(G2256="recoleccion",M2256-H2256,"No aplica"))</f>
        <v>5076411878</v>
      </c>
      <c r="P2256" s="26" t="n">
        <v>106334</v>
      </c>
    </row>
    <row r="2257">
      <c r="A2257" t="inlineStr">
        <is>
          <t>PRAGMA</t>
        </is>
      </c>
      <c r="B2257" t="inlineStr">
        <is>
          <t>M3</t>
        </is>
      </c>
      <c r="C2257" t="inlineStr">
        <is>
          <t>Cali</t>
        </is>
      </c>
      <c r="D2257" t="inlineStr">
        <is>
          <t>69</t>
        </is>
      </c>
      <c r="E2257" t="inlineStr">
        <is>
          <t>No aplica</t>
        </is>
      </c>
      <c r="F2257" s="23" t="n">
        <v>46274</v>
      </c>
      <c r="G2257" t="inlineStr">
        <is>
          <t>recoleccion</t>
        </is>
      </c>
      <c r="H2257" s="26" t="n">
        <v>83861980</v>
      </c>
      <c r="I2257" t="inlineStr">
        <is>
          <t>bajo</t>
        </is>
      </c>
      <c r="J2257" t="inlineStr">
        <is>
          <t>RN-41: efectivo ocioso sobre el techo</t>
        </is>
      </c>
      <c r="K2257" t="inlineStr">
        <is>
          <t>Recolección por efectivo ocioso: el saldo al cierre ($5.160.273.858) pasa el techo $5.076.411.878 (reserva + 15 días de salidas medias, tope en el cupo $7.549.194.000). Se recogen $83.861.980 y el saldo queda en $5.076.411.878. En sus últimos 180 días la sucursal recibe más de lo que paga (entradas medias $401.719.121/día &gt; salidas medias $298.165.091/día); el neto diario varía $202.570.365 (σ). Costo estimado $64.104 (Anexo E: fijo $16.219 + $6 por cada $10.000 movidos).</t>
        </is>
      </c>
      <c r="L2257" s="26" t="n">
        <v>7549194000</v>
      </c>
      <c r="M2257" s="26" t="n">
        <v>5160273858</v>
      </c>
      <c r="N2257" s="27">
        <f>IF(ISNUMBER(M2257),M2257/L2257,"No aplica")</f>
        <v>0.6835529538650086</v>
      </c>
      <c r="O2257" s="25">
        <f>IF(G2257="provision",M2257+H2257,IF(G2257="recoleccion",M2257-H2257,"No aplica"))</f>
        <v>5076411878</v>
      </c>
      <c r="P2257" s="26" t="n">
        <v>64104</v>
      </c>
    </row>
    <row r="2258">
      <c r="A2258" t="inlineStr">
        <is>
          <t>PRAGMA</t>
        </is>
      </c>
      <c r="B2258" t="inlineStr">
        <is>
          <t>M3</t>
        </is>
      </c>
      <c r="C2258" t="inlineStr">
        <is>
          <t>Cali</t>
        </is>
      </c>
      <c r="D2258" t="inlineStr">
        <is>
          <t>69</t>
        </is>
      </c>
      <c r="E2258" t="inlineStr">
        <is>
          <t>No aplica</t>
        </is>
      </c>
      <c r="F2258" s="23" t="n">
        <v>46275</v>
      </c>
      <c r="G2258" t="inlineStr">
        <is>
          <t>recoleccion</t>
        </is>
      </c>
      <c r="H2258" s="26" t="n">
        <v>67515228</v>
      </c>
      <c r="I2258" t="inlineStr">
        <is>
          <t>bajo</t>
        </is>
      </c>
      <c r="J2258" t="inlineStr">
        <is>
          <t>RN-41: efectivo ocioso sobre el techo</t>
        </is>
      </c>
      <c r="K2258" t="inlineStr">
        <is>
          <t>Recolección por efectivo ocioso: el saldo al cierre ($5.143.927.106) pasa el techo $5.076.411.878 (reserva + 15 días de salidas medias, tope en el cupo $7.549.194.000). Se recogen $67.515.228 y el saldo queda en $5.076.411.878. En sus últimos 180 días la sucursal recibe más de lo que paga (entradas medias $401.719.121/día &gt; salidas medias $298.165.091/día); el neto diario varía $202.570.365 (σ). Costo estimado $54.770 (Anexo E: fijo $16.219 + $6 por cada $10.000 movidos).</t>
        </is>
      </c>
      <c r="L2258" s="26" t="n">
        <v>7549194000</v>
      </c>
      <c r="M2258" s="26" t="n">
        <v>5143927106</v>
      </c>
      <c r="N2258" s="27">
        <f>IF(ISNUMBER(M2258),M2258/L2258,"No aplica")</f>
        <v>0.6813875899864277</v>
      </c>
      <c r="O2258" s="25">
        <f>IF(G2258="provision",M2258+H2258,IF(G2258="recoleccion",M2258-H2258,"No aplica"))</f>
        <v>5076411878</v>
      </c>
      <c r="P2258" s="26" t="n">
        <v>54770</v>
      </c>
    </row>
    <row r="2259">
      <c r="A2259" t="inlineStr">
        <is>
          <t>PRAGMA</t>
        </is>
      </c>
      <c r="B2259" t="inlineStr">
        <is>
          <t>M3</t>
        </is>
      </c>
      <c r="C2259" t="inlineStr">
        <is>
          <t>Cali</t>
        </is>
      </c>
      <c r="D2259" t="inlineStr">
        <is>
          <t>69</t>
        </is>
      </c>
      <c r="E2259" t="inlineStr">
        <is>
          <t>No aplica</t>
        </is>
      </c>
      <c r="F2259" s="23" t="n">
        <v>46276</v>
      </c>
      <c r="G2259" t="inlineStr">
        <is>
          <t>recoleccion</t>
        </is>
      </c>
      <c r="H2259" s="26" t="n">
        <v>145509938</v>
      </c>
      <c r="I2259" t="inlineStr">
        <is>
          <t>bajo</t>
        </is>
      </c>
      <c r="J2259" t="inlineStr">
        <is>
          <t>RN-41: efectivo ocioso sobre el techo</t>
        </is>
      </c>
      <c r="K2259" t="inlineStr">
        <is>
          <t>Recolección por efectivo ocioso: el saldo al cierre ($5.221.921.816) pasa el techo $5.076.411.878 (reserva + 15 días de salidas medias, tope en el cupo $7.549.194.000). Se recogen $145.509.938 y el saldo queda en $5.076.411.878. En sus últimos 180 días la sucursal recibe más de lo que paga (entradas medias $401.719.121/día &gt; salidas medias $298.165.091/día); el neto diario varía $202.570.365 (σ). Costo estimado $99.305 (Anexo E: fijo $16.219 + $6 por cada $10.000 movidos).</t>
        </is>
      </c>
      <c r="L2259" s="26" t="n">
        <v>7549194000</v>
      </c>
      <c r="M2259" s="26" t="n">
        <v>5221921816</v>
      </c>
      <c r="N2259" s="27">
        <f>IF(ISNUMBER(M2259),M2259/L2259,"No aplica")</f>
        <v>0.6917191180939316</v>
      </c>
      <c r="O2259" s="25">
        <f>IF(G2259="provision",M2259+H2259,IF(G2259="recoleccion",M2259-H2259,"No aplica"))</f>
        <v>5076411878</v>
      </c>
      <c r="P2259" s="26" t="n">
        <v>99305</v>
      </c>
    </row>
    <row r="2260">
      <c r="A2260" t="inlineStr">
        <is>
          <t>PRAGMA</t>
        </is>
      </c>
      <c r="B2260" t="inlineStr">
        <is>
          <t>M3</t>
        </is>
      </c>
      <c r="C2260" t="inlineStr">
        <is>
          <t>Cali</t>
        </is>
      </c>
      <c r="D2260" t="inlineStr">
        <is>
          <t>69</t>
        </is>
      </c>
      <c r="E2260" t="inlineStr">
        <is>
          <t>No aplica</t>
        </is>
      </c>
      <c r="F2260" s="23" t="n">
        <v>46279</v>
      </c>
      <c r="G2260" t="inlineStr">
        <is>
          <t>recoleccion</t>
        </is>
      </c>
      <c r="H2260" s="26" t="n">
        <v>162606978</v>
      </c>
      <c r="I2260" t="inlineStr">
        <is>
          <t>bajo</t>
        </is>
      </c>
      <c r="J2260" t="inlineStr">
        <is>
          <t>RN-41: efectivo ocioso sobre el techo</t>
        </is>
      </c>
      <c r="K2260" t="inlineStr">
        <is>
          <t>Recolección por efectivo ocioso: el saldo al cierre ($5.239.018.856) pasa el techo $5.076.411.878 (reserva + 15 días de salidas medias, tope en el cupo $7.549.194.000). Se recogen $162.606.978 y el saldo queda en $5.076.411.878. En sus últimos 180 días la sucursal recibe más de lo que paga (entradas medias $401.719.121/día &gt; salidas medias $298.165.091/día); el neto diario varía $202.570.365 (σ). Costo estimado $109.068 (Anexo E: fijo $16.219 + $6 por cada $10.000 movidos).</t>
        </is>
      </c>
      <c r="L2260" s="26" t="n">
        <v>7549194000</v>
      </c>
      <c r="M2260" s="26" t="n">
        <v>5239018856</v>
      </c>
      <c r="N2260" s="27">
        <f>IF(ISNUMBER(M2260),M2260/L2260,"No aplica")</f>
        <v>0.6939838684765552</v>
      </c>
      <c r="O2260" s="25">
        <f>IF(G2260="provision",M2260+H2260,IF(G2260="recoleccion",M2260-H2260,"No aplica"))</f>
        <v>5076411878</v>
      </c>
      <c r="P2260" s="26" t="n">
        <v>109068</v>
      </c>
    </row>
    <row r="2261">
      <c r="A2261" t="inlineStr">
        <is>
          <t>PRAGMA</t>
        </is>
      </c>
      <c r="B2261" t="inlineStr">
        <is>
          <t>M3</t>
        </is>
      </c>
      <c r="C2261" t="inlineStr">
        <is>
          <t>Cali</t>
        </is>
      </c>
      <c r="D2261" t="inlineStr">
        <is>
          <t>69</t>
        </is>
      </c>
      <c r="E2261" t="inlineStr">
        <is>
          <t>No aplica</t>
        </is>
      </c>
      <c r="F2261" s="23" t="n">
        <v>46280</v>
      </c>
      <c r="G2261" t="inlineStr">
        <is>
          <t>recoleccion</t>
        </is>
      </c>
      <c r="H2261" s="26" t="n">
        <v>142028358</v>
      </c>
      <c r="I2261" t="inlineStr">
        <is>
          <t>bajo</t>
        </is>
      </c>
      <c r="J2261" t="inlineStr">
        <is>
          <t>RN-41: efectivo ocioso sobre el techo</t>
        </is>
      </c>
      <c r="K2261" t="inlineStr">
        <is>
          <t>Recolección por efectivo ocioso: el saldo al cierre ($5.218.440.236) pasa el techo $5.076.411.878 (reserva + 15 días de salidas medias, tope en el cupo $7.549.194.000). Se recogen $142.028.358 y el saldo queda en $5.076.411.878. En sus últimos 180 días la sucursal recibe más de lo que paga (entradas medias $401.719.121/día &gt; salidas medias $298.165.091/día); el neto diario varía $202.570.365 (σ). Costo estimado $97.317 (Anexo E: fijo $16.219 + $6 por cada $10.000 movidos).</t>
        </is>
      </c>
      <c r="L2261" s="26" t="n">
        <v>7549194000</v>
      </c>
      <c r="M2261" s="26" t="n">
        <v>5218440236</v>
      </c>
      <c r="N2261" s="27">
        <f>IF(ISNUMBER(M2261),M2261/L2261,"No aplica")</f>
        <v>0.6912579324362309</v>
      </c>
      <c r="O2261" s="25">
        <f>IF(G2261="provision",M2261+H2261,IF(G2261="recoleccion",M2261-H2261,"No aplica"))</f>
        <v>5076411878</v>
      </c>
      <c r="P2261" s="26" t="n">
        <v>97317</v>
      </c>
    </row>
    <row r="2262">
      <c r="A2262" t="inlineStr">
        <is>
          <t>PRAGMA</t>
        </is>
      </c>
      <c r="B2262" t="inlineStr">
        <is>
          <t>M3</t>
        </is>
      </c>
      <c r="C2262" t="inlineStr">
        <is>
          <t>Cali</t>
        </is>
      </c>
      <c r="D2262" t="inlineStr">
        <is>
          <t>70</t>
        </is>
      </c>
      <c r="E2262" t="inlineStr">
        <is>
          <t>No aplica</t>
        </is>
      </c>
      <c r="F2262" s="23" t="n">
        <v>46266</v>
      </c>
      <c r="G2262" t="inlineStr">
        <is>
          <t>recoleccion</t>
        </is>
      </c>
      <c r="H2262" s="26" t="n">
        <v>1142414891</v>
      </c>
      <c r="I2262" t="inlineStr">
        <is>
          <t>bajo</t>
        </is>
      </c>
      <c r="J2262" t="inlineStr">
        <is>
          <t>RN-41: riesgo de exceder el cupo</t>
        </is>
      </c>
      <c r="K2262" t="inlineStr">
        <is>
          <t>Recolección por riesgo de exceder el cupo: el saldo al cierre ($4.418.414.891) pasa el cupo $3.276.000.000. Se recogen $1.142.414.891 y el saldo queda en $3.276.000.000. En sus últimos 180 días la sucursal recibe más de lo que paga (entradas medias $1.108.018.885/día &gt; salidas medias $330.838.417/día); el neto diario varía $753.424.110 (σ). Costo estimado $1.701.146 (Anexo E: fijo $82.344 + $14 por cada $10.000 movidos).</t>
        </is>
      </c>
      <c r="L2262" s="26" t="n">
        <v>3276000000</v>
      </c>
      <c r="M2262" s="26" t="n">
        <v>4418414891</v>
      </c>
      <c r="N2262" s="27">
        <f>IF(ISNUMBER(M2262),M2262/L2262,"No aplica")</f>
        <v>1.3487224942002443</v>
      </c>
      <c r="O2262" s="25">
        <f>IF(G2262="provision",M2262+H2262,IF(G2262="recoleccion",M2262-H2262,"No aplica"))</f>
        <v>3276000000</v>
      </c>
      <c r="P2262" s="26" t="n">
        <v>1701146</v>
      </c>
    </row>
    <row r="2263">
      <c r="A2263" t="inlineStr">
        <is>
          <t>PRAGMA</t>
        </is>
      </c>
      <c r="B2263" t="inlineStr">
        <is>
          <t>M3</t>
        </is>
      </c>
      <c r="C2263" t="inlineStr">
        <is>
          <t>Cali</t>
        </is>
      </c>
      <c r="D2263" t="inlineStr">
        <is>
          <t>70</t>
        </is>
      </c>
      <c r="E2263" t="inlineStr">
        <is>
          <t>No aplica</t>
        </is>
      </c>
      <c r="F2263" s="23" t="n">
        <v>46267</v>
      </c>
      <c r="G2263" t="inlineStr">
        <is>
          <t>recoleccion</t>
        </is>
      </c>
      <c r="H2263" s="26" t="n">
        <v>1055975387</v>
      </c>
      <c r="I2263" t="inlineStr">
        <is>
          <t>bajo</t>
        </is>
      </c>
      <c r="J2263" t="inlineStr">
        <is>
          <t>RN-41: riesgo de exceder el cupo</t>
        </is>
      </c>
      <c r="K2263" t="inlineStr">
        <is>
          <t>Recolección por riesgo de exceder el cupo: el saldo al cierre ($4.331.975.387) pasa el cupo $3.276.000.000. Se recogen $1.055.975.387 y el saldo queda en $3.276.000.000. En sus últimos 180 días la sucursal recibe más de lo que paga (entradas medias $1.108.018.885/día &gt; salidas medias $330.838.417/día); el neto diario varía $753.424.110 (σ). Costo estimado $1.578.661 (Anexo E: fijo $82.344 + $14 por cada $10.000 movidos).</t>
        </is>
      </c>
      <c r="L2263" s="26" t="n">
        <v>3276000000</v>
      </c>
      <c r="M2263" s="26" t="n">
        <v>4331975387</v>
      </c>
      <c r="N2263" s="27">
        <f>IF(ISNUMBER(M2263),M2263/L2263,"No aplica")</f>
        <v>1.3223368092185592</v>
      </c>
      <c r="O2263" s="25">
        <f>IF(G2263="provision",M2263+H2263,IF(G2263="recoleccion",M2263-H2263,"No aplica"))</f>
        <v>3276000000</v>
      </c>
      <c r="P2263" s="26" t="n">
        <v>1578661</v>
      </c>
    </row>
    <row r="2264">
      <c r="A2264" t="inlineStr">
        <is>
          <t>PRAGMA</t>
        </is>
      </c>
      <c r="B2264" t="inlineStr">
        <is>
          <t>M3</t>
        </is>
      </c>
      <c r="C2264" t="inlineStr">
        <is>
          <t>Cali</t>
        </is>
      </c>
      <c r="D2264" t="inlineStr">
        <is>
          <t>70</t>
        </is>
      </c>
      <c r="E2264" t="inlineStr">
        <is>
          <t>No aplica</t>
        </is>
      </c>
      <c r="F2264" s="23" t="n">
        <v>46268</v>
      </c>
      <c r="G2264" t="inlineStr">
        <is>
          <t>recoleccion</t>
        </is>
      </c>
      <c r="H2264" s="26" t="n">
        <v>1003338929</v>
      </c>
      <c r="I2264" t="inlineStr">
        <is>
          <t>bajo</t>
        </is>
      </c>
      <c r="J2264" t="inlineStr">
        <is>
          <t>RN-41: riesgo de exceder el cupo</t>
        </is>
      </c>
      <c r="K2264" t="inlineStr">
        <is>
          <t>Recolección por riesgo de exceder el cupo: el saldo al cierre ($4.279.338.929) pasa el cupo $3.276.000.000. Se recogen $1.003.338.929 y el saldo queda en $3.276.000.000. En sus últimos 180 días la sucursal recibe más de lo que paga (entradas medias $1.108.018.885/día &gt; salidas medias $330.838.417/día); el neto diario varía $753.424.110 (σ). Costo estimado $1.504.075 (Anexo E: fijo $82.344 + $14 por cada $10.000 movidos).</t>
        </is>
      </c>
      <c r="L2264" s="26" t="n">
        <v>3276000000</v>
      </c>
      <c r="M2264" s="26" t="n">
        <v>4279338929</v>
      </c>
      <c r="N2264" s="27">
        <f>IF(ISNUMBER(M2264),M2264/L2264,"No aplica")</f>
        <v>1.3062695143467644</v>
      </c>
      <c r="O2264" s="25">
        <f>IF(G2264="provision",M2264+H2264,IF(G2264="recoleccion",M2264-H2264,"No aplica"))</f>
        <v>3276000000</v>
      </c>
      <c r="P2264" s="26" t="n">
        <v>1504075</v>
      </c>
    </row>
    <row r="2265">
      <c r="A2265" t="inlineStr">
        <is>
          <t>PRAGMA</t>
        </is>
      </c>
      <c r="B2265" t="inlineStr">
        <is>
          <t>M3</t>
        </is>
      </c>
      <c r="C2265" t="inlineStr">
        <is>
          <t>Cali</t>
        </is>
      </c>
      <c r="D2265" t="inlineStr">
        <is>
          <t>70</t>
        </is>
      </c>
      <c r="E2265" t="inlineStr">
        <is>
          <t>No aplica</t>
        </is>
      </c>
      <c r="F2265" s="23" t="n">
        <v>46269</v>
      </c>
      <c r="G2265" t="inlineStr">
        <is>
          <t>recoleccion</t>
        </is>
      </c>
      <c r="H2265" s="26" t="n">
        <v>796972006</v>
      </c>
      <c r="I2265" t="inlineStr">
        <is>
          <t>bajo</t>
        </is>
      </c>
      <c r="J2265" t="inlineStr">
        <is>
          <t>RN-41: riesgo de exceder el cupo</t>
        </is>
      </c>
      <c r="K2265" t="inlineStr">
        <is>
          <t>Recolección por riesgo de exceder el cupo: el saldo al cierre ($4.072.972.006) pasa el cupo $3.276.000.000. Se recogen $796.972.006 y el saldo queda en $3.276.000.000. En sus últimos 180 días la sucursal recibe más de lo que paga (entradas medias $1.108.018.885/día &gt; salidas medias $330.838.417/día); el neto diario varía $753.424.110 (σ). Costo estimado $1.211.653 (Anexo E: fijo $82.344 + $14 por cada $10.000 movidos).</t>
        </is>
      </c>
      <c r="L2265" s="26" t="n">
        <v>3276000000</v>
      </c>
      <c r="M2265" s="26" t="n">
        <v>4072972006</v>
      </c>
      <c r="N2265" s="27">
        <f>IF(ISNUMBER(M2265),M2265/L2265,"No aplica")</f>
        <v>1.243275948107448</v>
      </c>
      <c r="O2265" s="25">
        <f>IF(G2265="provision",M2265+H2265,IF(G2265="recoleccion",M2265-H2265,"No aplica"))</f>
        <v>3276000000</v>
      </c>
      <c r="P2265" s="26" t="n">
        <v>1211653</v>
      </c>
    </row>
    <row r="2266">
      <c r="A2266" t="inlineStr">
        <is>
          <t>PRAGMA</t>
        </is>
      </c>
      <c r="B2266" t="inlineStr">
        <is>
          <t>M3</t>
        </is>
      </c>
      <c r="C2266" t="inlineStr">
        <is>
          <t>Cali</t>
        </is>
      </c>
      <c r="D2266" t="inlineStr">
        <is>
          <t>70</t>
        </is>
      </c>
      <c r="E2266" t="inlineStr">
        <is>
          <t>No aplica</t>
        </is>
      </c>
      <c r="F2266" s="23" t="n">
        <v>46270</v>
      </c>
      <c r="G2266" t="inlineStr">
        <is>
          <t>recoleccion</t>
        </is>
      </c>
      <c r="H2266" s="26" t="n">
        <v>3040929</v>
      </c>
      <c r="I2266" t="inlineStr">
        <is>
          <t>bajo</t>
        </is>
      </c>
      <c r="J2266" t="inlineStr">
        <is>
          <t>RN-41: riesgo de exceder el cupo</t>
        </is>
      </c>
      <c r="K2266" t="inlineStr">
        <is>
          <t>Recolección por riesgo de exceder el cupo: el saldo al cierre ($3.279.040.929) pasa el cupo $3.276.000.000. Se recogen $3.040.929 y el saldo queda en $3.276.000.000. En sus últimos 180 días la sucursal recibe más de lo que paga (entradas medias $1.108.018.885/día &gt; salidas medias $330.838.417/día); el neto diario varía $753.424.110 (σ). Costo estimado $86.653 (Anexo E: fijo $82.344 + $14 por cada $10.000 movidos).</t>
        </is>
      </c>
      <c r="L2266" s="26" t="n">
        <v>3276000000</v>
      </c>
      <c r="M2266" s="26" t="n">
        <v>3279040929</v>
      </c>
      <c r="N2266" s="27">
        <f>IF(ISNUMBER(M2266),M2266/L2266,"No aplica")</f>
        <v>1.0009282445054946</v>
      </c>
      <c r="O2266" s="25">
        <f>IF(G2266="provision",M2266+H2266,IF(G2266="recoleccion",M2266-H2266,"No aplica"))</f>
        <v>3276000000</v>
      </c>
      <c r="P2266" s="26" t="n">
        <v>86653</v>
      </c>
    </row>
    <row r="2267">
      <c r="A2267" t="inlineStr">
        <is>
          <t>PRAGMA</t>
        </is>
      </c>
      <c r="B2267" t="inlineStr">
        <is>
          <t>M3</t>
        </is>
      </c>
      <c r="C2267" t="inlineStr">
        <is>
          <t>Cali</t>
        </is>
      </c>
      <c r="D2267" t="inlineStr">
        <is>
          <t>70</t>
        </is>
      </c>
      <c r="E2267" t="inlineStr">
        <is>
          <t>No aplica</t>
        </is>
      </c>
      <c r="F2267" s="23" t="n">
        <v>46271</v>
      </c>
      <c r="G2267" t="inlineStr">
        <is>
          <t>recoleccion</t>
        </is>
      </c>
      <c r="H2267" s="26" t="n">
        <v>1476244</v>
      </c>
      <c r="I2267" t="inlineStr">
        <is>
          <t>bajo</t>
        </is>
      </c>
      <c r="J2267" t="inlineStr">
        <is>
          <t>RN-41: riesgo de exceder el cupo</t>
        </is>
      </c>
      <c r="K2267" t="inlineStr">
        <is>
          <t>Recolección por riesgo de exceder el cupo: el saldo al cierre ($3.277.476.244) pasa el cupo $3.276.000.000. Se recogen $1.476.244 y el saldo queda en $3.276.000.000. En sus últimos 180 días la sucursal recibe más de lo que paga (entradas medias $1.108.018.885/día &gt; salidas medias $330.838.417/día); el neto diario varía $753.424.110 (σ). Costo estimado $84.436 (Anexo E: fijo $82.344 + $14 por cada $10.000 movidos).</t>
        </is>
      </c>
      <c r="L2267" s="26" t="n">
        <v>3276000000</v>
      </c>
      <c r="M2267" s="26" t="n">
        <v>3277476244</v>
      </c>
      <c r="N2267" s="27">
        <f>IF(ISNUMBER(M2267),M2267/L2267,"No aplica")</f>
        <v>1.000450623931624</v>
      </c>
      <c r="O2267" s="25">
        <f>IF(G2267="provision",M2267+H2267,IF(G2267="recoleccion",M2267-H2267,"No aplica"))</f>
        <v>3276000000</v>
      </c>
      <c r="P2267" s="26" t="n">
        <v>84436</v>
      </c>
    </row>
    <row r="2268">
      <c r="A2268" t="inlineStr">
        <is>
          <t>PRAGMA</t>
        </is>
      </c>
      <c r="B2268" t="inlineStr">
        <is>
          <t>M3</t>
        </is>
      </c>
      <c r="C2268" t="inlineStr">
        <is>
          <t>Cali</t>
        </is>
      </c>
      <c r="D2268" t="inlineStr">
        <is>
          <t>70</t>
        </is>
      </c>
      <c r="E2268" t="inlineStr">
        <is>
          <t>No aplica</t>
        </is>
      </c>
      <c r="F2268" s="23" t="n">
        <v>46272</v>
      </c>
      <c r="G2268" t="inlineStr">
        <is>
          <t>recoleccion</t>
        </is>
      </c>
      <c r="H2268" s="26" t="n">
        <v>1208621166</v>
      </c>
      <c r="I2268" t="inlineStr">
        <is>
          <t>bajo</t>
        </is>
      </c>
      <c r="J2268" t="inlineStr">
        <is>
          <t>RN-41: riesgo de exceder el cupo</t>
        </is>
      </c>
      <c r="K2268" t="inlineStr">
        <is>
          <t>Recolección por riesgo de exceder el cupo: el saldo al cierre ($4.484.621.166) pasa el cupo $3.276.000.000. Se recogen $1.208.621.166 y el saldo queda en $3.276.000.000. En sus últimos 180 días la sucursal recibe más de lo que paga (entradas medias $1.108.018.885/día &gt; salidas medias $330.838.417/día); el neto diario varía $753.424.110 (σ). Costo estimado $1.794.960 (Anexo E: fijo $82.344 + $14 por cada $10.000 movidos).</t>
        </is>
      </c>
      <c r="L2268" s="26" t="n">
        <v>3276000000</v>
      </c>
      <c r="M2268" s="26" t="n">
        <v>4484621166</v>
      </c>
      <c r="N2268" s="27">
        <f>IF(ISNUMBER(M2268),M2268/L2268,"No aplica")</f>
        <v>1.3689319798534798</v>
      </c>
      <c r="O2268" s="25">
        <f>IF(G2268="provision",M2268+H2268,IF(G2268="recoleccion",M2268-H2268,"No aplica"))</f>
        <v>3276000000</v>
      </c>
      <c r="P2268" s="26" t="n">
        <v>1794960</v>
      </c>
    </row>
    <row r="2269">
      <c r="A2269" t="inlineStr">
        <is>
          <t>PRAGMA</t>
        </is>
      </c>
      <c r="B2269" t="inlineStr">
        <is>
          <t>M3</t>
        </is>
      </c>
      <c r="C2269" t="inlineStr">
        <is>
          <t>Cali</t>
        </is>
      </c>
      <c r="D2269" t="inlineStr">
        <is>
          <t>70</t>
        </is>
      </c>
      <c r="E2269" t="inlineStr">
        <is>
          <t>No aplica</t>
        </is>
      </c>
      <c r="F2269" s="23" t="n">
        <v>46273</v>
      </c>
      <c r="G2269" t="inlineStr">
        <is>
          <t>recoleccion</t>
        </is>
      </c>
      <c r="H2269" s="26" t="n">
        <v>1256625706</v>
      </c>
      <c r="I2269" t="inlineStr">
        <is>
          <t>bajo</t>
        </is>
      </c>
      <c r="J2269" t="inlineStr">
        <is>
          <t>RN-41: riesgo de exceder el cupo</t>
        </is>
      </c>
      <c r="K2269" t="inlineStr">
        <is>
          <t>Recolección por riesgo de exceder el cupo: el saldo al cierre ($4.532.625.706) pasa el cupo $3.276.000.000. Se recogen $1.256.625.706 y el saldo queda en $3.276.000.000. En sus últimos 180 días la sucursal recibe más de lo que paga (entradas medias $1.108.018.885/día &gt; salidas medias $330.838.417/día); el neto diario varía $753.424.110 (σ). Costo estimado $1.862.983 (Anexo E: fijo $82.344 + $14 por cada $10.000 movidos).</t>
        </is>
      </c>
      <c r="L2269" s="26" t="n">
        <v>3276000000</v>
      </c>
      <c r="M2269" s="26" t="n">
        <v>4532625706</v>
      </c>
      <c r="N2269" s="27">
        <f>IF(ISNUMBER(M2269),M2269/L2269,"No aplica")</f>
        <v>1.3835853803418803</v>
      </c>
      <c r="O2269" s="25">
        <f>IF(G2269="provision",M2269+H2269,IF(G2269="recoleccion",M2269-H2269,"No aplica"))</f>
        <v>3276000000</v>
      </c>
      <c r="P2269" s="26" t="n">
        <v>1862983</v>
      </c>
    </row>
    <row r="2270">
      <c r="A2270" t="inlineStr">
        <is>
          <t>PRAGMA</t>
        </is>
      </c>
      <c r="B2270" t="inlineStr">
        <is>
          <t>M3</t>
        </is>
      </c>
      <c r="C2270" t="inlineStr">
        <is>
          <t>Cali</t>
        </is>
      </c>
      <c r="D2270" t="inlineStr">
        <is>
          <t>70</t>
        </is>
      </c>
      <c r="E2270" t="inlineStr">
        <is>
          <t>No aplica</t>
        </is>
      </c>
      <c r="F2270" s="23" t="n">
        <v>46274</v>
      </c>
      <c r="G2270" t="inlineStr">
        <is>
          <t>recoleccion</t>
        </is>
      </c>
      <c r="H2270" s="26" t="n">
        <v>1189683517</v>
      </c>
      <c r="I2270" t="inlineStr">
        <is>
          <t>bajo</t>
        </is>
      </c>
      <c r="J2270" t="inlineStr">
        <is>
          <t>RN-41: riesgo de exceder el cupo</t>
        </is>
      </c>
      <c r="K2270" t="inlineStr">
        <is>
          <t>Recolección por riesgo de exceder el cupo: el saldo al cierre ($4.465.683.517) pasa el cupo $3.276.000.000. Se recogen $1.189.683.517 y el saldo queda en $3.276.000.000. En sus últimos 180 días la sucursal recibe más de lo que paga (entradas medias $1.108.018.885/día &gt; salidas medias $330.838.417/día); el neto diario varía $753.424.110 (σ). Costo estimado $1.768.126 (Anexo E: fijo $82.344 + $14 por cada $10.000 movidos).</t>
        </is>
      </c>
      <c r="L2270" s="26" t="n">
        <v>3276000000</v>
      </c>
      <c r="M2270" s="26" t="n">
        <v>4465683517</v>
      </c>
      <c r="N2270" s="27">
        <f>IF(ISNUMBER(M2270),M2270/L2270,"No aplica")</f>
        <v>1.3631512567155066</v>
      </c>
      <c r="O2270" s="25">
        <f>IF(G2270="provision",M2270+H2270,IF(G2270="recoleccion",M2270-H2270,"No aplica"))</f>
        <v>3276000000</v>
      </c>
      <c r="P2270" s="26" t="n">
        <v>1768126</v>
      </c>
    </row>
    <row r="2271">
      <c r="A2271" t="inlineStr">
        <is>
          <t>PRAGMA</t>
        </is>
      </c>
      <c r="B2271" t="inlineStr">
        <is>
          <t>M3</t>
        </is>
      </c>
      <c r="C2271" t="inlineStr">
        <is>
          <t>Cali</t>
        </is>
      </c>
      <c r="D2271" t="inlineStr">
        <is>
          <t>70</t>
        </is>
      </c>
      <c r="E2271" t="inlineStr">
        <is>
          <t>No aplica</t>
        </is>
      </c>
      <c r="F2271" s="23" t="n">
        <v>46275</v>
      </c>
      <c r="G2271" t="inlineStr">
        <is>
          <t>recoleccion</t>
        </is>
      </c>
      <c r="H2271" s="26" t="n">
        <v>900947135</v>
      </c>
      <c r="I2271" t="inlineStr">
        <is>
          <t>bajo</t>
        </is>
      </c>
      <c r="J2271" t="inlineStr">
        <is>
          <t>RN-41: riesgo de exceder el cupo</t>
        </is>
      </c>
      <c r="K2271" t="inlineStr">
        <is>
          <t>Recolección por riesgo de exceder el cupo: el saldo al cierre ($4.176.947.135) pasa el cupo $3.276.000.000. Se recogen $900.947.135 y el saldo queda en $3.276.000.000. En sus últimos 180 días la sucursal recibe más de lo que paga (entradas medias $1.108.018.885/día &gt; salidas medias $330.838.417/día); el neto diario varía $753.424.110 (σ). Costo estimado $1.358.986 (Anexo E: fijo $82.344 + $14 por cada $10.000 movidos).</t>
        </is>
      </c>
      <c r="L2271" s="26" t="n">
        <v>3276000000</v>
      </c>
      <c r="M2271" s="26" t="n">
        <v>4176947135</v>
      </c>
      <c r="N2271" s="27">
        <f>IF(ISNUMBER(M2271),M2271/L2271,"No aplica")</f>
        <v>1.275014387973138</v>
      </c>
      <c r="O2271" s="25">
        <f>IF(G2271="provision",M2271+H2271,IF(G2271="recoleccion",M2271-H2271,"No aplica"))</f>
        <v>3276000000</v>
      </c>
      <c r="P2271" s="26" t="n">
        <v>1358986</v>
      </c>
    </row>
    <row r="2272">
      <c r="A2272" t="inlineStr">
        <is>
          <t>PRAGMA</t>
        </is>
      </c>
      <c r="B2272" t="inlineStr">
        <is>
          <t>M3</t>
        </is>
      </c>
      <c r="C2272" t="inlineStr">
        <is>
          <t>Cali</t>
        </is>
      </c>
      <c r="D2272" t="inlineStr">
        <is>
          <t>70</t>
        </is>
      </c>
      <c r="E2272" t="inlineStr">
        <is>
          <t>No aplica</t>
        </is>
      </c>
      <c r="F2272" s="23" t="n">
        <v>46276</v>
      </c>
      <c r="G2272" t="inlineStr">
        <is>
          <t>recoleccion</t>
        </is>
      </c>
      <c r="H2272" s="26" t="n">
        <v>927111672</v>
      </c>
      <c r="I2272" t="inlineStr">
        <is>
          <t>bajo</t>
        </is>
      </c>
      <c r="J2272" t="inlineStr">
        <is>
          <t>RN-41: riesgo de exceder el cupo</t>
        </is>
      </c>
      <c r="K2272" t="inlineStr">
        <is>
          <t>Recolección por riesgo de exceder el cupo: el saldo al cierre ($4.203.111.672) pasa el cupo $3.276.000.000. Se recogen $927.111.672 y el saldo queda en $3.276.000.000. En sus últimos 180 días la sucursal recibe más de lo que paga (entradas medias $1.108.018.885/día &gt; salidas medias $330.838.417/día); el neto diario varía $753.424.110 (σ). Costo estimado $1.396.061 (Anexo E: fijo $82.344 + $14 por cada $10.000 movidos).</t>
        </is>
      </c>
      <c r="L2272" s="26" t="n">
        <v>3276000000</v>
      </c>
      <c r="M2272" s="26" t="n">
        <v>4203111672</v>
      </c>
      <c r="N2272" s="27">
        <f>IF(ISNUMBER(M2272),M2272/L2272,"No aplica")</f>
        <v>1.2830011208791208</v>
      </c>
      <c r="O2272" s="25">
        <f>IF(G2272="provision",M2272+H2272,IF(G2272="recoleccion",M2272-H2272,"No aplica"))</f>
        <v>3276000000</v>
      </c>
      <c r="P2272" s="26" t="n">
        <v>1396061</v>
      </c>
    </row>
    <row r="2273">
      <c r="A2273" t="inlineStr">
        <is>
          <t>PRAGMA</t>
        </is>
      </c>
      <c r="B2273" t="inlineStr">
        <is>
          <t>M3</t>
        </is>
      </c>
      <c r="C2273" t="inlineStr">
        <is>
          <t>Cali</t>
        </is>
      </c>
      <c r="D2273" t="inlineStr">
        <is>
          <t>70</t>
        </is>
      </c>
      <c r="E2273" t="inlineStr">
        <is>
          <t>No aplica</t>
        </is>
      </c>
      <c r="F2273" s="23" t="n">
        <v>46277</v>
      </c>
      <c r="G2273" t="inlineStr">
        <is>
          <t>recoleccion</t>
        </is>
      </c>
      <c r="H2273" s="26" t="n">
        <v>1460819</v>
      </c>
      <c r="I2273" t="inlineStr">
        <is>
          <t>bajo</t>
        </is>
      </c>
      <c r="J2273" t="inlineStr">
        <is>
          <t>RN-41: riesgo de exceder el cupo</t>
        </is>
      </c>
      <c r="K2273" t="inlineStr">
        <is>
          <t>Recolección por riesgo de exceder el cupo: el saldo al cierre ($3.277.460.819) pasa el cupo $3.276.000.000. Se recogen $1.460.819 y el saldo queda en $3.276.000.000. En sus últimos 180 días la sucursal recibe más de lo que paga (entradas medias $1.108.018.885/día &gt; salidas medias $330.838.417/día); el neto diario varía $753.424.110 (σ). Costo estimado $84.414 (Anexo E: fijo $82.344 + $14 por cada $10.000 movidos).</t>
        </is>
      </c>
      <c r="L2273" s="26" t="n">
        <v>3276000000</v>
      </c>
      <c r="M2273" s="26" t="n">
        <v>3277460819</v>
      </c>
      <c r="N2273" s="27">
        <f>IF(ISNUMBER(M2273),M2273/L2273,"No aplica")</f>
        <v>1.0004459154456655</v>
      </c>
      <c r="O2273" s="25">
        <f>IF(G2273="provision",M2273+H2273,IF(G2273="recoleccion",M2273-H2273,"No aplica"))</f>
        <v>3276000000</v>
      </c>
      <c r="P2273" s="26" t="n">
        <v>84414</v>
      </c>
    </row>
    <row r="2274">
      <c r="A2274" t="inlineStr">
        <is>
          <t>PRAGMA</t>
        </is>
      </c>
      <c r="B2274" t="inlineStr">
        <is>
          <t>M3</t>
        </is>
      </c>
      <c r="C2274" t="inlineStr">
        <is>
          <t>Cali</t>
        </is>
      </c>
      <c r="D2274" t="inlineStr">
        <is>
          <t>70</t>
        </is>
      </c>
      <c r="E2274" t="inlineStr">
        <is>
          <t>No aplica</t>
        </is>
      </c>
      <c r="F2274" s="23" t="n">
        <v>46278</v>
      </c>
      <c r="G2274" t="inlineStr">
        <is>
          <t>recoleccion</t>
        </is>
      </c>
      <c r="H2274" s="26" t="n">
        <v>2588312</v>
      </c>
      <c r="I2274" t="inlineStr">
        <is>
          <t>bajo</t>
        </is>
      </c>
      <c r="J2274" t="inlineStr">
        <is>
          <t>RN-41: riesgo de exceder el cupo</t>
        </is>
      </c>
      <c r="K2274" t="inlineStr">
        <is>
          <t>Recolección por riesgo de exceder el cupo: el saldo al cierre ($3.278.588.312) pasa el cupo $3.276.000.000. Se recogen $2.588.312 y el saldo queda en $3.276.000.000. En sus últimos 180 días la sucursal recibe más de lo que paga (entradas medias $1.108.018.885/día &gt; salidas medias $330.838.417/día); el neto diario varía $753.424.110 (σ). Costo estimado $86.012 (Anexo E: fijo $82.344 + $14 por cada $10.000 movidos).</t>
        </is>
      </c>
      <c r="L2274" s="26" t="n">
        <v>3276000000</v>
      </c>
      <c r="M2274" s="26" t="n">
        <v>3278588312</v>
      </c>
      <c r="N2274" s="27">
        <f>IF(ISNUMBER(M2274),M2274/L2274,"No aplica")</f>
        <v>1.000790083028083</v>
      </c>
      <c r="O2274" s="25">
        <f>IF(G2274="provision",M2274+H2274,IF(G2274="recoleccion",M2274-H2274,"No aplica"))</f>
        <v>3276000000</v>
      </c>
      <c r="P2274" s="26" t="n">
        <v>86012</v>
      </c>
    </row>
    <row r="2275">
      <c r="A2275" t="inlineStr">
        <is>
          <t>PRAGMA</t>
        </is>
      </c>
      <c r="B2275" t="inlineStr">
        <is>
          <t>M3</t>
        </is>
      </c>
      <c r="C2275" t="inlineStr">
        <is>
          <t>Cali</t>
        </is>
      </c>
      <c r="D2275" t="inlineStr">
        <is>
          <t>70</t>
        </is>
      </c>
      <c r="E2275" t="inlineStr">
        <is>
          <t>No aplica</t>
        </is>
      </c>
      <c r="F2275" s="23" t="n">
        <v>46279</v>
      </c>
      <c r="G2275" t="inlineStr">
        <is>
          <t>recoleccion</t>
        </is>
      </c>
      <c r="H2275" s="26" t="n">
        <v>1313976552</v>
      </c>
      <c r="I2275" t="inlineStr">
        <is>
          <t>bajo</t>
        </is>
      </c>
      <c r="J2275" t="inlineStr">
        <is>
          <t>RN-41: riesgo de exceder el cupo</t>
        </is>
      </c>
      <c r="K2275" t="inlineStr">
        <is>
          <t>Recolección por riesgo de exceder el cupo: el saldo al cierre ($4.589.976.552) pasa el cupo $3.276.000.000. Se recogen $1.313.976.552 y el saldo queda en $3.276.000.000. En sus últimos 180 días la sucursal recibe más de lo que paga (entradas medias $1.108.018.885/día &gt; salidas medias $330.838.417/día); el neto diario varía $753.424.110 (σ). Costo estimado $1.944.249 (Anexo E: fijo $82.344 + $14 por cada $10.000 movidos).</t>
        </is>
      </c>
      <c r="L2275" s="26" t="n">
        <v>3276000000</v>
      </c>
      <c r="M2275" s="26" t="n">
        <v>4589976552</v>
      </c>
      <c r="N2275" s="27">
        <f>IF(ISNUMBER(M2275),M2275/L2275,"No aplica")</f>
        <v>1.4010917435897436</v>
      </c>
      <c r="O2275" s="25">
        <f>IF(G2275="provision",M2275+H2275,IF(G2275="recoleccion",M2275-H2275,"No aplica"))</f>
        <v>3276000000</v>
      </c>
      <c r="P2275" s="26" t="n">
        <v>1944249</v>
      </c>
    </row>
    <row r="2276">
      <c r="A2276" t="inlineStr">
        <is>
          <t>PRAGMA</t>
        </is>
      </c>
      <c r="B2276" t="inlineStr">
        <is>
          <t>M3</t>
        </is>
      </c>
      <c r="C2276" t="inlineStr">
        <is>
          <t>Cali</t>
        </is>
      </c>
      <c r="D2276" t="inlineStr">
        <is>
          <t>70</t>
        </is>
      </c>
      <c r="E2276" t="inlineStr">
        <is>
          <t>No aplica</t>
        </is>
      </c>
      <c r="F2276" s="23" t="n">
        <v>46280</v>
      </c>
      <c r="G2276" t="inlineStr">
        <is>
          <t>recoleccion</t>
        </is>
      </c>
      <c r="H2276" s="26" t="n">
        <v>1224265453</v>
      </c>
      <c r="I2276" t="inlineStr">
        <is>
          <t>bajo</t>
        </is>
      </c>
      <c r="J2276" t="inlineStr">
        <is>
          <t>RN-41: riesgo de exceder el cupo</t>
        </is>
      </c>
      <c r="K2276" t="inlineStr">
        <is>
          <t>Recolección por riesgo de exceder el cupo: el saldo al cierre ($4.500.265.453) pasa el cupo $3.276.000.000. Se recogen $1.224.265.453 y el saldo queda en $3.276.000.000. En sus últimos 180 días la sucursal recibe más de lo que paga (entradas medias $1.108.018.885/día &gt; salidas medias $330.838.417/día); el neto diario varía $753.424.110 (σ). Costo estimado $1.817.128 (Anexo E: fijo $82.344 + $14 por cada $10.000 movidos).</t>
        </is>
      </c>
      <c r="L2276" s="26" t="n">
        <v>3276000000</v>
      </c>
      <c r="M2276" s="26" t="n">
        <v>4500265453</v>
      </c>
      <c r="N2276" s="27">
        <f>IF(ISNUMBER(M2276),M2276/L2276,"No aplica")</f>
        <v>1.3737074032356533</v>
      </c>
      <c r="O2276" s="25">
        <f>IF(G2276="provision",M2276+H2276,IF(G2276="recoleccion",M2276-H2276,"No aplica"))</f>
        <v>3276000000</v>
      </c>
      <c r="P2276" s="26" t="n">
        <v>1817128</v>
      </c>
    </row>
    <row r="2277">
      <c r="A2277" t="inlineStr">
        <is>
          <t>PRAGMA</t>
        </is>
      </c>
      <c r="B2277" t="inlineStr">
        <is>
          <t>M3</t>
        </is>
      </c>
      <c r="C2277" t="inlineStr">
        <is>
          <t>Cali</t>
        </is>
      </c>
      <c r="D2277" t="inlineStr">
        <is>
          <t>71</t>
        </is>
      </c>
      <c r="E2277" t="inlineStr">
        <is>
          <t>No aplica</t>
        </is>
      </c>
      <c r="F2277" s="23" t="n">
        <v>46266</v>
      </c>
      <c r="G2277" t="inlineStr">
        <is>
          <t>recoleccion</t>
        </is>
      </c>
      <c r="H2277" s="26" t="n">
        <v>1168686995</v>
      </c>
      <c r="I2277" t="inlineStr">
        <is>
          <t>bajo</t>
        </is>
      </c>
      <c r="J2277" t="inlineStr">
        <is>
          <t>RN-41: riesgo de exceder el cupo</t>
        </is>
      </c>
      <c r="K2277" t="inlineStr">
        <is>
          <t>Recolección por riesgo de exceder el cupo: el saldo al cierre ($7.163.921.821) pasa el cupo $6.968.508.200. Se recogen $1.168.686.995 y el saldo queda en $5.995.234.826. En sus últimos 180 días la sucursal recibe más de lo que paga (entradas medias $666.635.322/día &gt; salidas medias $362.516.945/día); el neto diario varía $320.490.096 (σ). Costo estimado $602.698 (Anexo E: fijo $12.511 + $5 por cada $10.000 movidos).</t>
        </is>
      </c>
      <c r="L2277" s="26" t="n">
        <v>6968508200</v>
      </c>
      <c r="M2277" s="26" t="n">
        <v>7163921821</v>
      </c>
      <c r="N2277" s="27">
        <f>IF(ISNUMBER(M2277),M2277/L2277,"No aplica")</f>
        <v>1.028042389474407</v>
      </c>
      <c r="O2277" s="25">
        <f>IF(G2277="provision",M2277+H2277,IF(G2277="recoleccion",M2277-H2277,"No aplica"))</f>
        <v>5995234826</v>
      </c>
      <c r="P2277" s="26" t="n">
        <v>602698</v>
      </c>
    </row>
    <row r="2278">
      <c r="A2278" t="inlineStr">
        <is>
          <t>PRAGMA</t>
        </is>
      </c>
      <c r="B2278" t="inlineStr">
        <is>
          <t>M3</t>
        </is>
      </c>
      <c r="C2278" t="inlineStr">
        <is>
          <t>Cali</t>
        </is>
      </c>
      <c r="D2278" t="inlineStr">
        <is>
          <t>71</t>
        </is>
      </c>
      <c r="E2278" t="inlineStr">
        <is>
          <t>No aplica</t>
        </is>
      </c>
      <c r="F2278" s="23" t="n">
        <v>46267</v>
      </c>
      <c r="G2278" t="inlineStr">
        <is>
          <t>recoleccion</t>
        </is>
      </c>
      <c r="H2278" s="26" t="n">
        <v>112511673</v>
      </c>
      <c r="I2278" t="inlineStr">
        <is>
          <t>bajo</t>
        </is>
      </c>
      <c r="J2278" t="inlineStr">
        <is>
          <t>RN-41: efectivo ocioso sobre el techo</t>
        </is>
      </c>
      <c r="K2278" t="inlineStr">
        <is>
          <t>Recolección por efectivo ocioso: el saldo al cierre ($6.107.746.499) pasa el techo $5.995.234.826 (reserva + 15 días de salidas medias, tope en el cupo $6.968.508.200). Se recogen $112.511.673 y el saldo queda en $5.995.234.826. En sus últimos 180 días la sucursal recibe más de lo que paga (entradas medias $666.635.322/día &gt; salidas medias $362.516.945/día); el neto diario varía $320.490.096 (σ). Costo estimado $69.329 (Anexo E: fijo $12.511 + $5 por cada $10.000 movidos).</t>
        </is>
      </c>
      <c r="L2278" s="26" t="n">
        <v>6968508200</v>
      </c>
      <c r="M2278" s="26" t="n">
        <v>6107746499</v>
      </c>
      <c r="N2278" s="27">
        <f>IF(ISNUMBER(M2278),M2278/L2278,"No aplica")</f>
        <v>0.8764783399408211</v>
      </c>
      <c r="O2278" s="25">
        <f>IF(G2278="provision",M2278+H2278,IF(G2278="recoleccion",M2278-H2278,"No aplica"))</f>
        <v>5995234826</v>
      </c>
      <c r="P2278" s="26" t="n">
        <v>69329</v>
      </c>
    </row>
    <row r="2279">
      <c r="A2279" t="inlineStr">
        <is>
          <t>PRAGMA</t>
        </is>
      </c>
      <c r="B2279" t="inlineStr">
        <is>
          <t>M3</t>
        </is>
      </c>
      <c r="C2279" t="inlineStr">
        <is>
          <t>Cali</t>
        </is>
      </c>
      <c r="D2279" t="inlineStr">
        <is>
          <t>71</t>
        </is>
      </c>
      <c r="E2279" t="inlineStr">
        <is>
          <t>No aplica</t>
        </is>
      </c>
      <c r="F2279" s="23" t="n">
        <v>46268</v>
      </c>
      <c r="G2279" t="inlineStr">
        <is>
          <t>recoleccion</t>
        </is>
      </c>
      <c r="H2279" s="26" t="n">
        <v>165127788</v>
      </c>
      <c r="I2279" t="inlineStr">
        <is>
          <t>bajo</t>
        </is>
      </c>
      <c r="J2279" t="inlineStr">
        <is>
          <t>RN-41: efectivo ocioso sobre el techo</t>
        </is>
      </c>
      <c r="K2279" t="inlineStr">
        <is>
          <t>Recolección por efectivo ocioso: el saldo al cierre ($6.160.362.614) pasa el techo $5.995.234.826 (reserva + 15 días de salidas medias, tope en el cupo $6.968.508.200). Se recogen $165.127.788 y el saldo queda en $5.995.234.826. En sus últimos 180 días la sucursal recibe más de lo que paga (entradas medias $666.635.322/día &gt; salidas medias $362.516.945/día); el neto diario varía $320.490.096 (σ). Costo estimado $95.901 (Anexo E: fijo $12.511 + $5 por cada $10.000 movidos).</t>
        </is>
      </c>
      <c r="L2279" s="26" t="n">
        <v>6968508200</v>
      </c>
      <c r="M2279" s="26" t="n">
        <v>6160362614</v>
      </c>
      <c r="N2279" s="27">
        <f>IF(ISNUMBER(M2279),M2279/L2279,"No aplica")</f>
        <v>0.8840288964573508</v>
      </c>
      <c r="O2279" s="25">
        <f>IF(G2279="provision",M2279+H2279,IF(G2279="recoleccion",M2279-H2279,"No aplica"))</f>
        <v>5995234826</v>
      </c>
      <c r="P2279" s="26" t="n">
        <v>95901</v>
      </c>
    </row>
    <row r="2280">
      <c r="A2280" t="inlineStr">
        <is>
          <t>PRAGMA</t>
        </is>
      </c>
      <c r="B2280" t="inlineStr">
        <is>
          <t>M3</t>
        </is>
      </c>
      <c r="C2280" t="inlineStr">
        <is>
          <t>Cali</t>
        </is>
      </c>
      <c r="D2280" t="inlineStr">
        <is>
          <t>71</t>
        </is>
      </c>
      <c r="E2280" t="inlineStr">
        <is>
          <t>No aplica</t>
        </is>
      </c>
      <c r="F2280" s="23" t="n">
        <v>46269</v>
      </c>
      <c r="G2280" t="inlineStr">
        <is>
          <t>recoleccion</t>
        </is>
      </c>
      <c r="H2280" s="26" t="n">
        <v>16326614</v>
      </c>
      <c r="I2280" t="inlineStr">
        <is>
          <t>bajo</t>
        </is>
      </c>
      <c r="J2280" t="inlineStr">
        <is>
          <t>RN-41: efectivo ocioso sobre el techo</t>
        </is>
      </c>
      <c r="K2280" t="inlineStr">
        <is>
          <t>Recolección por efectivo ocioso: el saldo al cierre ($6.011.561.440) pasa el techo $5.995.234.826 (reserva + 15 días de salidas medias, tope en el cupo $6.968.508.200). Se recogen $16.326.614 y el saldo queda en $5.995.234.826. En sus últimos 180 días la sucursal recibe más de lo que paga (entradas medias $666.635.322/día &gt; salidas medias $362.516.945/día); el neto diario varía $320.490.096 (σ). Costo estimado $20.756 (Anexo E: fijo $12.511 + $5 por cada $10.000 movidos).</t>
        </is>
      </c>
      <c r="L2280" s="26" t="n">
        <v>6968508200</v>
      </c>
      <c r="M2280" s="26" t="n">
        <v>6011561440</v>
      </c>
      <c r="N2280" s="27">
        <f>IF(ISNUMBER(M2280),M2280/L2280,"No aplica")</f>
        <v>0.8626755207090091</v>
      </c>
      <c r="O2280" s="25">
        <f>IF(G2280="provision",M2280+H2280,IF(G2280="recoleccion",M2280-H2280,"No aplica"))</f>
        <v>5995234826</v>
      </c>
      <c r="P2280" s="26" t="n">
        <v>20756</v>
      </c>
    </row>
    <row r="2281">
      <c r="A2281" t="inlineStr">
        <is>
          <t>PRAGMA</t>
        </is>
      </c>
      <c r="B2281" t="inlineStr">
        <is>
          <t>M3</t>
        </is>
      </c>
      <c r="C2281" t="inlineStr">
        <is>
          <t>Cali</t>
        </is>
      </c>
      <c r="D2281" t="inlineStr">
        <is>
          <t>71</t>
        </is>
      </c>
      <c r="E2281" t="inlineStr">
        <is>
          <t>No aplica</t>
        </is>
      </c>
      <c r="F2281" s="23" t="n">
        <v>46270</v>
      </c>
      <c r="G2281" t="inlineStr">
        <is>
          <t>recoleccion</t>
        </is>
      </c>
      <c r="H2281" s="26" t="n">
        <v>6881273</v>
      </c>
      <c r="I2281" t="inlineStr">
        <is>
          <t>bajo</t>
        </is>
      </c>
      <c r="J2281" t="inlineStr">
        <is>
          <t>RN-41: efectivo ocioso sobre el techo</t>
        </is>
      </c>
      <c r="K2281" t="inlineStr">
        <is>
          <t>Recolección por efectivo ocioso: el saldo al cierre ($6.002.116.099) pasa el techo $5.995.234.826 (reserva + 15 días de salidas medias, tope en el cupo $6.968.508.200). Se recogen $6.881.273 y el saldo queda en $5.995.234.826. En sus últimos 180 días la sucursal recibe más de lo que paga (entradas medias $666.635.322/día &gt; salidas medias $362.516.945/día); el neto diario varía $320.490.096 (σ). Costo estimado $15.986 (Anexo E: fijo $12.511 + $5 por cada $10.000 movidos).</t>
        </is>
      </c>
      <c r="L2281" s="26" t="n">
        <v>6968508200</v>
      </c>
      <c r="M2281" s="26" t="n">
        <v>6002116099</v>
      </c>
      <c r="N2281" s="27">
        <f>IF(ISNUMBER(M2281),M2281/L2281,"No aplica")</f>
        <v>0.8613200884229425</v>
      </c>
      <c r="O2281" s="25">
        <f>IF(G2281="provision",M2281+H2281,IF(G2281="recoleccion",M2281-H2281,"No aplica"))</f>
        <v>5995234826</v>
      </c>
      <c r="P2281" s="26" t="n">
        <v>15986</v>
      </c>
    </row>
    <row r="2282">
      <c r="A2282" t="inlineStr">
        <is>
          <t>PRAGMA</t>
        </is>
      </c>
      <c r="B2282" t="inlineStr">
        <is>
          <t>M3</t>
        </is>
      </c>
      <c r="C2282" t="inlineStr">
        <is>
          <t>Cali</t>
        </is>
      </c>
      <c r="D2282" t="inlineStr">
        <is>
          <t>71</t>
        </is>
      </c>
      <c r="E2282" t="inlineStr">
        <is>
          <t>No aplica</t>
        </is>
      </c>
      <c r="F2282" s="23" t="n">
        <v>46271</v>
      </c>
      <c r="G2282" t="inlineStr">
        <is>
          <t>recoleccion</t>
        </is>
      </c>
      <c r="H2282" s="26" t="n">
        <v>5544958</v>
      </c>
      <c r="I2282" t="inlineStr">
        <is>
          <t>bajo</t>
        </is>
      </c>
      <c r="J2282" t="inlineStr">
        <is>
          <t>RN-41: efectivo ocioso sobre el techo</t>
        </is>
      </c>
      <c r="K2282" t="inlineStr">
        <is>
          <t>Recolección por efectivo ocioso: el saldo al cierre ($6.000.779.784) pasa el techo $5.995.234.826 (reserva + 15 días de salidas medias, tope en el cupo $6.968.508.200). Se recogen $5.544.958 y el saldo queda en $5.995.234.826. En sus últimos 180 días la sucursal recibe más de lo que paga (entradas medias $666.635.322/día &gt; salidas medias $362.516.945/día); el neto diario varía $320.490.096 (σ). Costo estimado $15.311 (Anexo E: fijo $12.511 + $5 por cada $10.000 movidos).</t>
        </is>
      </c>
      <c r="L2282" s="26" t="n">
        <v>6968508200</v>
      </c>
      <c r="M2282" s="26" t="n">
        <v>6000779784</v>
      </c>
      <c r="N2282" s="27">
        <f>IF(ISNUMBER(M2282),M2282/L2282,"No aplica")</f>
        <v>0.8611283235628538</v>
      </c>
      <c r="O2282" s="25">
        <f>IF(G2282="provision",M2282+H2282,IF(G2282="recoleccion",M2282-H2282,"No aplica"))</f>
        <v>5995234826</v>
      </c>
      <c r="P2282" s="26" t="n">
        <v>15311</v>
      </c>
    </row>
    <row r="2283">
      <c r="A2283" t="inlineStr">
        <is>
          <t>PRAGMA</t>
        </is>
      </c>
      <c r="B2283" t="inlineStr">
        <is>
          <t>M3</t>
        </is>
      </c>
      <c r="C2283" t="inlineStr">
        <is>
          <t>Cali</t>
        </is>
      </c>
      <c r="D2283" t="inlineStr">
        <is>
          <t>71</t>
        </is>
      </c>
      <c r="E2283" t="inlineStr">
        <is>
          <t>No aplica</t>
        </is>
      </c>
      <c r="F2283" s="23" t="n">
        <v>46272</v>
      </c>
      <c r="G2283" t="inlineStr">
        <is>
          <t>recoleccion</t>
        </is>
      </c>
      <c r="H2283" s="26" t="n">
        <v>46625936</v>
      </c>
      <c r="I2283" t="inlineStr">
        <is>
          <t>bajo</t>
        </is>
      </c>
      <c r="J2283" t="inlineStr">
        <is>
          <t>RN-41: efectivo ocioso sobre el techo</t>
        </is>
      </c>
      <c r="K2283" t="inlineStr">
        <is>
          <t>Recolección por efectivo ocioso: el saldo al cierre ($6.041.860.762) pasa el techo $5.995.234.826 (reserva + 15 días de salidas medias, tope en el cupo $6.968.508.200). Se recogen $46.625.936 y el saldo queda en $5.995.234.826. En sus últimos 180 días la sucursal recibe más de lo que paga (entradas medias $666.635.322/día &gt; salidas medias $362.516.945/día); el neto diario varía $320.490.096 (σ). Costo estimado $36.057 (Anexo E: fijo $12.511 + $5 por cada $10.000 movidos).</t>
        </is>
      </c>
      <c r="L2283" s="26" t="n">
        <v>6968508200</v>
      </c>
      <c r="M2283" s="26" t="n">
        <v>6041860762</v>
      </c>
      <c r="N2283" s="27">
        <f>IF(ISNUMBER(M2283),M2283/L2283,"No aplica")</f>
        <v>0.8670235563473973</v>
      </c>
      <c r="O2283" s="25">
        <f>IF(G2283="provision",M2283+H2283,IF(G2283="recoleccion",M2283-H2283,"No aplica"))</f>
        <v>5995234826</v>
      </c>
      <c r="P2283" s="26" t="n">
        <v>36057</v>
      </c>
    </row>
    <row r="2284">
      <c r="A2284" t="inlineStr">
        <is>
          <t>PRAGMA</t>
        </is>
      </c>
      <c r="B2284" t="inlineStr">
        <is>
          <t>M3</t>
        </is>
      </c>
      <c r="C2284" t="inlineStr">
        <is>
          <t>Cali</t>
        </is>
      </c>
      <c r="D2284" t="inlineStr">
        <is>
          <t>71</t>
        </is>
      </c>
      <c r="E2284" t="inlineStr">
        <is>
          <t>No aplica</t>
        </is>
      </c>
      <c r="F2284" s="23" t="n">
        <v>46273</v>
      </c>
      <c r="G2284" t="inlineStr">
        <is>
          <t>recoleccion</t>
        </is>
      </c>
      <c r="H2284" s="26" t="n">
        <v>295903478</v>
      </c>
      <c r="I2284" t="inlineStr">
        <is>
          <t>bajo</t>
        </is>
      </c>
      <c r="J2284" t="inlineStr">
        <is>
          <t>RN-41: efectivo ocioso sobre el techo</t>
        </is>
      </c>
      <c r="K2284" t="inlineStr">
        <is>
          <t>Recolección por efectivo ocioso: el saldo al cierre ($6.291.138.304) pasa el techo $5.995.234.826 (reserva + 15 días de salidas medias, tope en el cupo $6.968.508.200). Se recogen $295.903.478 y el saldo queda en $5.995.234.826. En sus últimos 180 días la sucursal recibe más de lo que paga (entradas medias $666.635.322/día &gt; salidas medias $362.516.945/día); el neto diario varía $320.490.096 (σ). Costo estimado $161.942 (Anexo E: fijo $12.511 + $5 por cada $10.000 movidos).</t>
        </is>
      </c>
      <c r="L2284" s="26" t="n">
        <v>6968508200</v>
      </c>
      <c r="M2284" s="26" t="n">
        <v>6291138304</v>
      </c>
      <c r="N2284" s="27">
        <f>IF(ISNUMBER(M2284),M2284/L2284,"No aplica")</f>
        <v>0.9027955659146674</v>
      </c>
      <c r="O2284" s="25">
        <f>IF(G2284="provision",M2284+H2284,IF(G2284="recoleccion",M2284-H2284,"No aplica"))</f>
        <v>5995234826</v>
      </c>
      <c r="P2284" s="26" t="n">
        <v>161942</v>
      </c>
    </row>
    <row r="2285">
      <c r="A2285" t="inlineStr">
        <is>
          <t>PRAGMA</t>
        </is>
      </c>
      <c r="B2285" t="inlineStr">
        <is>
          <t>M3</t>
        </is>
      </c>
      <c r="C2285" t="inlineStr">
        <is>
          <t>Cali</t>
        </is>
      </c>
      <c r="D2285" t="inlineStr">
        <is>
          <t>71</t>
        </is>
      </c>
      <c r="E2285" t="inlineStr">
        <is>
          <t>No aplica</t>
        </is>
      </c>
      <c r="F2285" s="23" t="n">
        <v>46274</v>
      </c>
      <c r="G2285" t="inlineStr">
        <is>
          <t>recoleccion</t>
        </is>
      </c>
      <c r="H2285" s="26" t="n">
        <v>153424612</v>
      </c>
      <c r="I2285" t="inlineStr">
        <is>
          <t>bajo</t>
        </is>
      </c>
      <c r="J2285" t="inlineStr">
        <is>
          <t>RN-41: efectivo ocioso sobre el techo</t>
        </is>
      </c>
      <c r="K2285" t="inlineStr">
        <is>
          <t>Recolección por efectivo ocioso: el saldo al cierre ($6.148.659.438) pasa el techo $5.995.234.826 (reserva + 15 días de salidas medias, tope en el cupo $6.968.508.200). Se recogen $153.424.612 y el saldo queda en $5.995.234.826. En sus últimos 180 días la sucursal recibe más de lo que paga (entradas medias $666.635.322/día &gt; salidas medias $362.516.945/día); el neto diario varía $320.490.096 (σ). Costo estimado $89.990 (Anexo E: fijo $12.511 + $5 por cada $10.000 movidos).</t>
        </is>
      </c>
      <c r="L2285" s="26" t="n">
        <v>6968508200</v>
      </c>
      <c r="M2285" s="26" t="n">
        <v>6148659438</v>
      </c>
      <c r="N2285" s="27">
        <f>IF(ISNUMBER(M2285),M2285/L2285,"No aplica")</f>
        <v>0.88234945866893</v>
      </c>
      <c r="O2285" s="25">
        <f>IF(G2285="provision",M2285+H2285,IF(G2285="recoleccion",M2285-H2285,"No aplica"))</f>
        <v>5995234826</v>
      </c>
      <c r="P2285" s="26" t="n">
        <v>89990</v>
      </c>
    </row>
    <row r="2286">
      <c r="A2286" t="inlineStr">
        <is>
          <t>PRAGMA</t>
        </is>
      </c>
      <c r="B2286" t="inlineStr">
        <is>
          <t>M3</t>
        </is>
      </c>
      <c r="C2286" t="inlineStr">
        <is>
          <t>Cali</t>
        </is>
      </c>
      <c r="D2286" t="inlineStr">
        <is>
          <t>71</t>
        </is>
      </c>
      <c r="E2286" t="inlineStr">
        <is>
          <t>No aplica</t>
        </is>
      </c>
      <c r="F2286" s="23" t="n">
        <v>46275</v>
      </c>
      <c r="G2286" t="inlineStr">
        <is>
          <t>recoleccion</t>
        </is>
      </c>
      <c r="H2286" s="26" t="n">
        <v>124072177</v>
      </c>
      <c r="I2286" t="inlineStr">
        <is>
          <t>bajo</t>
        </is>
      </c>
      <c r="J2286" t="inlineStr">
        <is>
          <t>RN-41: efectivo ocioso sobre el techo</t>
        </is>
      </c>
      <c r="K2286" t="inlineStr">
        <is>
          <t>Recolección por efectivo ocioso: el saldo al cierre ($6.119.307.003) pasa el techo $5.995.234.826 (reserva + 15 días de salidas medias, tope en el cupo $6.968.508.200). Se recogen $124.072.177 y el saldo queda en $5.995.234.826. En sus últimos 180 días la sucursal recibe más de lo que paga (entradas medias $666.635.322/día &gt; salidas medias $362.516.945/día); el neto diario varía $320.490.096 (σ). Costo estimado $75.167 (Anexo E: fijo $12.511 + $5 por cada $10.000 movidos).</t>
        </is>
      </c>
      <c r="L2286" s="26" t="n">
        <v>6968508200</v>
      </c>
      <c r="M2286" s="26" t="n">
        <v>6119307003</v>
      </c>
      <c r="N2286" s="27">
        <f>IF(ISNUMBER(M2286),M2286/L2286,"No aplica")</f>
        <v>0.8781373039067386</v>
      </c>
      <c r="O2286" s="25">
        <f>IF(G2286="provision",M2286+H2286,IF(G2286="recoleccion",M2286-H2286,"No aplica"))</f>
        <v>5995234826</v>
      </c>
      <c r="P2286" s="26" t="n">
        <v>75167</v>
      </c>
    </row>
    <row r="2287">
      <c r="A2287" t="inlineStr">
        <is>
          <t>PRAGMA</t>
        </is>
      </c>
      <c r="B2287" t="inlineStr">
        <is>
          <t>M3</t>
        </is>
      </c>
      <c r="C2287" t="inlineStr">
        <is>
          <t>Cali</t>
        </is>
      </c>
      <c r="D2287" t="inlineStr">
        <is>
          <t>71</t>
        </is>
      </c>
      <c r="E2287" t="inlineStr">
        <is>
          <t>No aplica</t>
        </is>
      </c>
      <c r="F2287" s="23" t="n">
        <v>46276</v>
      </c>
      <c r="G2287" t="inlineStr">
        <is>
          <t>recoleccion</t>
        </is>
      </c>
      <c r="H2287" s="26" t="n">
        <v>123792598</v>
      </c>
      <c r="I2287" t="inlineStr">
        <is>
          <t>bajo</t>
        </is>
      </c>
      <c r="J2287" t="inlineStr">
        <is>
          <t>RN-41: efectivo ocioso sobre el techo</t>
        </is>
      </c>
      <c r="K2287" t="inlineStr">
        <is>
          <t>Recolección por efectivo ocioso: el saldo al cierre ($6.119.027.424) pasa el techo $5.995.234.826 (reserva + 15 días de salidas medias, tope en el cupo $6.968.508.200). Se recogen $123.792.598 y el saldo queda en $5.995.234.826. En sus últimos 180 días la sucursal recibe más de lo que paga (entradas medias $666.635.322/día &gt; salidas medias $362.516.945/día); el neto diario varía $320.490.096 (σ). Costo estimado $75.026 (Anexo E: fijo $12.511 + $5 por cada $10.000 movidos).</t>
        </is>
      </c>
      <c r="L2287" s="26" t="n">
        <v>6968508200</v>
      </c>
      <c r="M2287" s="26" t="n">
        <v>6119027424</v>
      </c>
      <c r="N2287" s="27">
        <f>IF(ISNUMBER(M2287),M2287/L2287,"No aplica")</f>
        <v>0.8780971835550111</v>
      </c>
      <c r="O2287" s="25">
        <f>IF(G2287="provision",M2287+H2287,IF(G2287="recoleccion",M2287-H2287,"No aplica"))</f>
        <v>5995234826</v>
      </c>
      <c r="P2287" s="26" t="n">
        <v>75026</v>
      </c>
    </row>
    <row r="2288">
      <c r="A2288" t="inlineStr">
        <is>
          <t>PRAGMA</t>
        </is>
      </c>
      <c r="B2288" t="inlineStr">
        <is>
          <t>M3</t>
        </is>
      </c>
      <c r="C2288" t="inlineStr">
        <is>
          <t>Cali</t>
        </is>
      </c>
      <c r="D2288" t="inlineStr">
        <is>
          <t>71</t>
        </is>
      </c>
      <c r="E2288" t="inlineStr">
        <is>
          <t>No aplica</t>
        </is>
      </c>
      <c r="F2288" s="23" t="n">
        <v>46277</v>
      </c>
      <c r="G2288" t="inlineStr">
        <is>
          <t>recoleccion</t>
        </is>
      </c>
      <c r="H2288" s="26" t="n">
        <v>9749127</v>
      </c>
      <c r="I2288" t="inlineStr">
        <is>
          <t>bajo</t>
        </is>
      </c>
      <c r="J2288" t="inlineStr">
        <is>
          <t>RN-41: efectivo ocioso sobre el techo</t>
        </is>
      </c>
      <c r="K2288" t="inlineStr">
        <is>
          <t>Recolección por efectivo ocioso: el saldo al cierre ($6.004.983.953) pasa el techo $5.995.234.826 (reserva + 15 días de salidas medias, tope en el cupo $6.968.508.200). Se recogen $9.749.127 y el saldo queda en $5.995.234.826. En sus últimos 180 días la sucursal recibe más de lo que paga (entradas medias $666.635.322/día &gt; salidas medias $362.516.945/día); el neto diario varía $320.490.096 (σ). Costo estimado $17.434 (Anexo E: fijo $12.511 + $5 por cada $10.000 movidos).</t>
        </is>
      </c>
      <c r="L2288" s="26" t="n">
        <v>6968508200</v>
      </c>
      <c r="M2288" s="26" t="n">
        <v>6004983953</v>
      </c>
      <c r="N2288" s="27">
        <f>IF(ISNUMBER(M2288),M2288/L2288,"No aplica")</f>
        <v>0.8617316333214619</v>
      </c>
      <c r="O2288" s="25">
        <f>IF(G2288="provision",M2288+H2288,IF(G2288="recoleccion",M2288-H2288,"No aplica"))</f>
        <v>5995234826</v>
      </c>
      <c r="P2288" s="26" t="n">
        <v>17434</v>
      </c>
    </row>
    <row r="2289">
      <c r="A2289" t="inlineStr">
        <is>
          <t>PRAGMA</t>
        </is>
      </c>
      <c r="B2289" t="inlineStr">
        <is>
          <t>M3</t>
        </is>
      </c>
      <c r="C2289" t="inlineStr">
        <is>
          <t>Cali</t>
        </is>
      </c>
      <c r="D2289" t="inlineStr">
        <is>
          <t>71</t>
        </is>
      </c>
      <c r="E2289" t="inlineStr">
        <is>
          <t>No aplica</t>
        </is>
      </c>
      <c r="F2289" s="23" t="n">
        <v>46278</v>
      </c>
      <c r="G2289" t="inlineStr">
        <is>
          <t>recoleccion</t>
        </is>
      </c>
      <c r="H2289" s="26" t="n">
        <v>7499661</v>
      </c>
      <c r="I2289" t="inlineStr">
        <is>
          <t>bajo</t>
        </is>
      </c>
      <c r="J2289" t="inlineStr">
        <is>
          <t>RN-41: efectivo ocioso sobre el techo</t>
        </is>
      </c>
      <c r="K2289" t="inlineStr">
        <is>
          <t>Recolección por efectivo ocioso: el saldo al cierre ($6.002.734.487) pasa el techo $5.995.234.826 (reserva + 15 días de salidas medias, tope en el cupo $6.968.508.200). Se recogen $7.499.661 y el saldo queda en $5.995.234.826. En sus últimos 180 días la sucursal recibe más de lo que paga (entradas medias $666.635.322/día &gt; salidas medias $362.516.945/día); el neto diario varía $320.490.096 (σ). Costo estimado $16.298 (Anexo E: fijo $12.511 + $5 por cada $10.000 movidos).</t>
        </is>
      </c>
      <c r="L2289" s="26" t="n">
        <v>6968508200</v>
      </c>
      <c r="M2289" s="26" t="n">
        <v>6002734487</v>
      </c>
      <c r="N2289" s="27">
        <f>IF(ISNUMBER(M2289),M2289/L2289,"No aplica")</f>
        <v>0.8614088287935142</v>
      </c>
      <c r="O2289" s="25">
        <f>IF(G2289="provision",M2289+H2289,IF(G2289="recoleccion",M2289-H2289,"No aplica"))</f>
        <v>5995234826</v>
      </c>
      <c r="P2289" s="26" t="n">
        <v>16298</v>
      </c>
    </row>
    <row r="2290">
      <c r="A2290" t="inlineStr">
        <is>
          <t>PRAGMA</t>
        </is>
      </c>
      <c r="B2290" t="inlineStr">
        <is>
          <t>M3</t>
        </is>
      </c>
      <c r="C2290" t="inlineStr">
        <is>
          <t>Cali</t>
        </is>
      </c>
      <c r="D2290" t="inlineStr">
        <is>
          <t>71</t>
        </is>
      </c>
      <c r="E2290" t="inlineStr">
        <is>
          <t>No aplica</t>
        </is>
      </c>
      <c r="F2290" s="23" t="n">
        <v>46279</v>
      </c>
      <c r="G2290" t="inlineStr">
        <is>
          <t>recoleccion</t>
        </is>
      </c>
      <c r="H2290" s="26" t="n">
        <v>36538885</v>
      </c>
      <c r="I2290" t="inlineStr">
        <is>
          <t>bajo</t>
        </is>
      </c>
      <c r="J2290" t="inlineStr">
        <is>
          <t>RN-41: efectivo ocioso sobre el techo</t>
        </is>
      </c>
      <c r="K2290" t="inlineStr">
        <is>
          <t>Recolección por efectivo ocioso: el saldo al cierre ($6.031.773.711) pasa el techo $5.995.234.826 (reserva + 15 días de salidas medias, tope en el cupo $6.968.508.200). Se recogen $36.538.885 y el saldo queda en $5.995.234.826. En sus últimos 180 días la sucursal recibe más de lo que paga (entradas medias $666.635.322/día &gt; salidas medias $362.516.945/día); el neto diario varía $320.490.096 (σ). Costo estimado $30.963 (Anexo E: fijo $12.511 + $5 por cada $10.000 movidos).</t>
        </is>
      </c>
      <c r="L2290" s="26" t="n">
        <v>6968508200</v>
      </c>
      <c r="M2290" s="26" t="n">
        <v>6031773711</v>
      </c>
      <c r="N2290" s="27">
        <f>IF(ISNUMBER(M2290),M2290/L2290,"No aplica")</f>
        <v>0.865576036919925</v>
      </c>
      <c r="O2290" s="25">
        <f>IF(G2290="provision",M2290+H2290,IF(G2290="recoleccion",M2290-H2290,"No aplica"))</f>
        <v>5995234826</v>
      </c>
      <c r="P2290" s="26" t="n">
        <v>30963</v>
      </c>
    </row>
    <row r="2291">
      <c r="A2291" t="inlineStr">
        <is>
          <t>PRAGMA</t>
        </is>
      </c>
      <c r="B2291" t="inlineStr">
        <is>
          <t>M3</t>
        </is>
      </c>
      <c r="C2291" t="inlineStr">
        <is>
          <t>Cali</t>
        </is>
      </c>
      <c r="D2291" t="inlineStr">
        <is>
          <t>71</t>
        </is>
      </c>
      <c r="E2291" t="inlineStr">
        <is>
          <t>No aplica</t>
        </is>
      </c>
      <c r="F2291" s="23" t="n">
        <v>46280</v>
      </c>
      <c r="G2291" t="inlineStr">
        <is>
          <t>recoleccion</t>
        </is>
      </c>
      <c r="H2291" s="26" t="n">
        <v>276038045</v>
      </c>
      <c r="I2291" t="inlineStr">
        <is>
          <t>bajo</t>
        </is>
      </c>
      <c r="J2291" t="inlineStr">
        <is>
          <t>RN-41: efectivo ocioso sobre el techo</t>
        </is>
      </c>
      <c r="K2291" t="inlineStr">
        <is>
          <t>Recolección por efectivo ocioso: el saldo al cierre ($6.271.272.871) pasa el techo $5.995.234.826 (reserva + 15 días de salidas medias, tope en el cupo $6.968.508.200). Se recogen $276.038.045 y el saldo queda en $5.995.234.826. En sus últimos 180 días la sucursal recibe más de lo que paga (entradas medias $666.635.322/día &gt; salidas medias $362.516.945/día); el neto diario varía $320.490.096 (σ). Costo estimado $151.910 (Anexo E: fijo $12.511 + $5 por cada $10.000 movidos).</t>
        </is>
      </c>
      <c r="L2291" s="26" t="n">
        <v>6968508200</v>
      </c>
      <c r="M2291" s="26" t="n">
        <v>6271272871</v>
      </c>
      <c r="N2291" s="27">
        <f>IF(ISNUMBER(M2291),M2291/L2291,"No aplica")</f>
        <v>0.8999448219060716</v>
      </c>
      <c r="O2291" s="25">
        <f>IF(G2291="provision",M2291+H2291,IF(G2291="recoleccion",M2291-H2291,"No aplica"))</f>
        <v>5995234826</v>
      </c>
      <c r="P2291" s="26" t="n">
        <v>151910</v>
      </c>
    </row>
    <row r="2292">
      <c r="A2292" t="inlineStr">
        <is>
          <t>PRAGMA</t>
        </is>
      </c>
      <c r="B2292" t="inlineStr">
        <is>
          <t>M3</t>
        </is>
      </c>
      <c r="C2292" t="inlineStr">
        <is>
          <t>Cali</t>
        </is>
      </c>
      <c r="D2292" t="inlineStr">
        <is>
          <t>721</t>
        </is>
      </c>
      <c r="E2292" t="inlineStr">
        <is>
          <t>No aplica</t>
        </is>
      </c>
      <c r="F2292" s="23" t="n">
        <v>46267</v>
      </c>
      <c r="G2292" t="inlineStr">
        <is>
          <t>recoleccion</t>
        </is>
      </c>
      <c r="H2292" s="26" t="n">
        <v>98464774</v>
      </c>
      <c r="I2292" t="inlineStr">
        <is>
          <t>bajo</t>
        </is>
      </c>
      <c r="J2292" t="inlineStr">
        <is>
          <t>RN-41: riesgo de exceder el cupo</t>
        </is>
      </c>
      <c r="K2292" t="inlineStr">
        <is>
          <t>Recolección por riesgo de exceder el cupo: el saldo al cierre ($8.260.658.774) pasa el cupo $8.162.194.000. Se recogen $98.464.774 y el saldo queda en $8.162.194.000. En sus últimos 180 días la sucursal recibe más de lo que paga (entradas medias $980.220.282/día &gt; salidas medias $754.895.765/día); el neto diario varía $403.278.360 (σ). Costo estimado $75.101 (Anexo E: fijo $16.219 + $6 por cada $10.000 movidos).</t>
        </is>
      </c>
      <c r="L2292" s="26" t="n">
        <v>8162194000</v>
      </c>
      <c r="M2292" s="26" t="n">
        <v>8260658774</v>
      </c>
      <c r="N2292" s="27">
        <f>IF(ISNUMBER(M2292),M2292/L2292,"No aplica")</f>
        <v>1.0120635179707809</v>
      </c>
      <c r="O2292" s="25">
        <f>IF(G2292="provision",M2292+H2292,IF(G2292="recoleccion",M2292-H2292,"No aplica"))</f>
        <v>8162194000</v>
      </c>
      <c r="P2292" s="26" t="n">
        <v>75101</v>
      </c>
    </row>
    <row r="2293">
      <c r="A2293" t="inlineStr">
        <is>
          <t>PRAGMA</t>
        </is>
      </c>
      <c r="B2293" t="inlineStr">
        <is>
          <t>M3</t>
        </is>
      </c>
      <c r="C2293" t="inlineStr">
        <is>
          <t>Cali</t>
        </is>
      </c>
      <c r="D2293" t="inlineStr">
        <is>
          <t>721</t>
        </is>
      </c>
      <c r="E2293" t="inlineStr">
        <is>
          <t>No aplica</t>
        </is>
      </c>
      <c r="F2293" s="23" t="n">
        <v>46268</v>
      </c>
      <c r="G2293" t="inlineStr">
        <is>
          <t>recoleccion</t>
        </is>
      </c>
      <c r="H2293" s="26" t="n">
        <v>320648384</v>
      </c>
      <c r="I2293" t="inlineStr">
        <is>
          <t>bajo</t>
        </is>
      </c>
      <c r="J2293" t="inlineStr">
        <is>
          <t>RN-41: riesgo de exceder el cupo</t>
        </is>
      </c>
      <c r="K2293" t="inlineStr">
        <is>
          <t>Recolección por riesgo de exceder el cupo: el saldo al cierre ($8.482.842.384) pasa el cupo $8.162.194.000. Se recogen $320.648.384 y el saldo queda en $8.162.194.000. En sus últimos 180 días la sucursal recibe más de lo que paga (entradas medias $980.220.282/día &gt; salidas medias $754.895.765/día); el neto diario varía $403.278.360 (σ). Costo estimado $207.967 (Anexo E: fijo $16.219 + $6 por cada $10.000 movidos).</t>
        </is>
      </c>
      <c r="L2293" s="26" t="n">
        <v>8162194000</v>
      </c>
      <c r="M2293" s="26" t="n">
        <v>8482842384</v>
      </c>
      <c r="N2293" s="27">
        <f>IF(ISNUMBER(M2293),M2293/L2293,"No aplica")</f>
        <v>1.0392845825521912</v>
      </c>
      <c r="O2293" s="25">
        <f>IF(G2293="provision",M2293+H2293,IF(G2293="recoleccion",M2293-H2293,"No aplica"))</f>
        <v>8162194000</v>
      </c>
      <c r="P2293" s="26" t="n">
        <v>207967</v>
      </c>
    </row>
    <row r="2294">
      <c r="A2294" t="inlineStr">
        <is>
          <t>PRAGMA</t>
        </is>
      </c>
      <c r="B2294" t="inlineStr">
        <is>
          <t>M3</t>
        </is>
      </c>
      <c r="C2294" t="inlineStr">
        <is>
          <t>Cali</t>
        </is>
      </c>
      <c r="D2294" t="inlineStr">
        <is>
          <t>721</t>
        </is>
      </c>
      <c r="E2294" t="inlineStr">
        <is>
          <t>No aplica</t>
        </is>
      </c>
      <c r="F2294" s="23" t="n">
        <v>46269</v>
      </c>
      <c r="G2294" t="inlineStr">
        <is>
          <t>recoleccion</t>
        </is>
      </c>
      <c r="H2294" s="26" t="n">
        <v>162542000</v>
      </c>
      <c r="I2294" t="inlineStr">
        <is>
          <t>bajo</t>
        </is>
      </c>
      <c r="J2294" t="inlineStr">
        <is>
          <t>RN-41: riesgo de exceder el cupo</t>
        </is>
      </c>
      <c r="K2294" t="inlineStr">
        <is>
          <t>Recolección por riesgo de exceder el cupo: el saldo al cierre ($8.324.736.000) pasa el cupo $8.162.194.000. Se recogen $162.542.000 y el saldo queda en $8.162.194.000. En sus últimos 180 días la sucursal recibe más de lo que paga (entradas medias $980.220.282/día &gt; salidas medias $754.895.765/día); el neto diario varía $403.278.360 (σ). Costo estimado $113.419 (Anexo E: fijo $16.219 + $6 por cada $10.000 movidos).</t>
        </is>
      </c>
      <c r="L2294" s="26" t="n">
        <v>8162194000</v>
      </c>
      <c r="M2294" s="26" t="n">
        <v>8324736000</v>
      </c>
      <c r="N2294" s="27">
        <f>IF(ISNUMBER(M2294),M2294/L2294,"No aplica")</f>
        <v>1.0199140084148943</v>
      </c>
      <c r="O2294" s="25">
        <f>IF(G2294="provision",M2294+H2294,IF(G2294="recoleccion",M2294-H2294,"No aplica"))</f>
        <v>8162194000</v>
      </c>
      <c r="P2294" s="26" t="n">
        <v>113419</v>
      </c>
    </row>
    <row r="2295">
      <c r="A2295" t="inlineStr">
        <is>
          <t>PRAGMA</t>
        </is>
      </c>
      <c r="B2295" t="inlineStr">
        <is>
          <t>M3</t>
        </is>
      </c>
      <c r="C2295" t="inlineStr">
        <is>
          <t>Cali</t>
        </is>
      </c>
      <c r="D2295" t="inlineStr">
        <is>
          <t>721</t>
        </is>
      </c>
      <c r="E2295" t="inlineStr">
        <is>
          <t>No aplica</t>
        </is>
      </c>
      <c r="F2295" s="23" t="n">
        <v>46271</v>
      </c>
      <c r="G2295" t="inlineStr">
        <is>
          <t>recoleccion</t>
        </is>
      </c>
      <c r="H2295" s="26" t="n">
        <v>3279215</v>
      </c>
      <c r="I2295" t="inlineStr">
        <is>
          <t>bajo</t>
        </is>
      </c>
      <c r="J2295" t="inlineStr">
        <is>
          <t>RN-41: riesgo de exceder el cupo</t>
        </is>
      </c>
      <c r="K2295" t="inlineStr">
        <is>
          <t>Recolección por riesgo de exceder el cupo: el saldo al cierre ($8.165.473.215) pasa el cupo $8.162.194.000. Se recogen $3.279.215 y el saldo queda en $8.162.194.000. En sus últimos 180 días la sucursal recibe más de lo que paga (entradas medias $980.220.282/día &gt; salidas medias $754.895.765/día); el neto diario varía $403.278.360 (σ). Costo estimado $18.180 (Anexo E: fijo $16.219 + $6 por cada $10.000 movidos).</t>
        </is>
      </c>
      <c r="L2295" s="26" t="n">
        <v>8162194000</v>
      </c>
      <c r="M2295" s="26" t="n">
        <v>8165473215</v>
      </c>
      <c r="N2295" s="27">
        <f>IF(ISNUMBER(M2295),M2295/L2295,"No aplica")</f>
        <v>1.0004017565620225</v>
      </c>
      <c r="O2295" s="25">
        <f>IF(G2295="provision",M2295+H2295,IF(G2295="recoleccion",M2295-H2295,"No aplica"))</f>
        <v>8162194000</v>
      </c>
      <c r="P2295" s="26" t="n">
        <v>18180</v>
      </c>
    </row>
    <row r="2296">
      <c r="A2296" t="inlineStr">
        <is>
          <t>PRAGMA</t>
        </is>
      </c>
      <c r="B2296" t="inlineStr">
        <is>
          <t>M3</t>
        </is>
      </c>
      <c r="C2296" t="inlineStr">
        <is>
          <t>Cali</t>
        </is>
      </c>
      <c r="D2296" t="inlineStr">
        <is>
          <t>721</t>
        </is>
      </c>
      <c r="E2296" t="inlineStr">
        <is>
          <t>No aplica</t>
        </is>
      </c>
      <c r="F2296" s="23" t="n">
        <v>46272</v>
      </c>
      <c r="G2296" t="inlineStr">
        <is>
          <t>recoleccion</t>
        </is>
      </c>
      <c r="H2296" s="26" t="n">
        <v>231521904</v>
      </c>
      <c r="I2296" t="inlineStr">
        <is>
          <t>bajo</t>
        </is>
      </c>
      <c r="J2296" t="inlineStr">
        <is>
          <t>RN-41: riesgo de exceder el cupo</t>
        </is>
      </c>
      <c r="K2296" t="inlineStr">
        <is>
          <t>Recolección por riesgo de exceder el cupo: el saldo al cierre ($8.393.715.904) pasa el cupo $8.162.194.000. Se recogen $231.521.904 y el saldo queda en $8.162.194.000. En sus últimos 180 días la sucursal recibe más de lo que paga (entradas medias $980.220.282/día &gt; salidas medias $754.895.765/día); el neto diario varía $403.278.360 (σ). Costo estimado $154.669 (Anexo E: fijo $16.219 + $6 por cada $10.000 movidos).</t>
        </is>
      </c>
      <c r="L2296" s="26" t="n">
        <v>8162194000</v>
      </c>
      <c r="M2296" s="26" t="n">
        <v>8393715904</v>
      </c>
      <c r="N2296" s="27">
        <f>IF(ISNUMBER(M2296),M2296/L2296,"No aplica")</f>
        <v>1.0283651557412137</v>
      </c>
      <c r="O2296" s="25">
        <f>IF(G2296="provision",M2296+H2296,IF(G2296="recoleccion",M2296-H2296,"No aplica"))</f>
        <v>8162194000</v>
      </c>
      <c r="P2296" s="26" t="n">
        <v>154669</v>
      </c>
    </row>
    <row r="2297">
      <c r="A2297" t="inlineStr">
        <is>
          <t>PRAGMA</t>
        </is>
      </c>
      <c r="B2297" t="inlineStr">
        <is>
          <t>M3</t>
        </is>
      </c>
      <c r="C2297" t="inlineStr">
        <is>
          <t>Cali</t>
        </is>
      </c>
      <c r="D2297" t="inlineStr">
        <is>
          <t>721</t>
        </is>
      </c>
      <c r="E2297" t="inlineStr">
        <is>
          <t>No aplica</t>
        </is>
      </c>
      <c r="F2297" s="23" t="n">
        <v>46273</v>
      </c>
      <c r="G2297" t="inlineStr">
        <is>
          <t>recoleccion</t>
        </is>
      </c>
      <c r="H2297" s="26" t="n">
        <v>143219077</v>
      </c>
      <c r="I2297" t="inlineStr">
        <is>
          <t>bajo</t>
        </is>
      </c>
      <c r="J2297" t="inlineStr">
        <is>
          <t>RN-41: riesgo de exceder el cupo</t>
        </is>
      </c>
      <c r="K2297" t="inlineStr">
        <is>
          <t>Recolección por riesgo de exceder el cupo: el saldo al cierre ($8.305.413.077) pasa el cupo $8.162.194.000. Se recogen $143.219.077 y el saldo queda en $8.162.194.000. En sus últimos 180 días la sucursal recibe más de lo que paga (entradas medias $980.220.282/día &gt; salidas medias $754.895.765/día); el neto diario varía $403.278.360 (σ). Costo estimado $101.864 (Anexo E: fijo $16.219 + $6 por cada $10.000 movidos).</t>
        </is>
      </c>
      <c r="L2297" s="26" t="n">
        <v>8162194000</v>
      </c>
      <c r="M2297" s="26" t="n">
        <v>8305413077</v>
      </c>
      <c r="N2297" s="27">
        <f>IF(ISNUMBER(M2297),M2297/L2297,"No aplica")</f>
        <v>1.0175466396657564</v>
      </c>
      <c r="O2297" s="25">
        <f>IF(G2297="provision",M2297+H2297,IF(G2297="recoleccion",M2297-H2297,"No aplica"))</f>
        <v>8162194000</v>
      </c>
      <c r="P2297" s="26" t="n">
        <v>101864</v>
      </c>
    </row>
    <row r="2298">
      <c r="A2298" t="inlineStr">
        <is>
          <t>PRAGMA</t>
        </is>
      </c>
      <c r="B2298" t="inlineStr">
        <is>
          <t>M3</t>
        </is>
      </c>
      <c r="C2298" t="inlineStr">
        <is>
          <t>Cali</t>
        </is>
      </c>
      <c r="D2298" t="inlineStr">
        <is>
          <t>721</t>
        </is>
      </c>
      <c r="E2298" t="inlineStr">
        <is>
          <t>No aplica</t>
        </is>
      </c>
      <c r="F2298" s="23" t="n">
        <v>46274</v>
      </c>
      <c r="G2298" t="inlineStr">
        <is>
          <t>recoleccion</t>
        </is>
      </c>
      <c r="H2298" s="26" t="n">
        <v>313976831</v>
      </c>
      <c r="I2298" t="inlineStr">
        <is>
          <t>bajo</t>
        </is>
      </c>
      <c r="J2298" t="inlineStr">
        <is>
          <t>RN-41: riesgo de exceder el cupo</t>
        </is>
      </c>
      <c r="K2298" t="inlineStr">
        <is>
          <t>Recolección por riesgo de exceder el cupo: el saldo al cierre ($8.476.170.831) pasa el cupo $8.162.194.000. Se recogen $313.976.831 y el saldo queda en $8.162.194.000. En sus últimos 180 días la sucursal recibe más de lo que paga (entradas medias $980.220.282/día &gt; salidas medias $754.895.765/día); el neto diario varía $403.278.360 (σ). Costo estimado $203.977 (Anexo E: fijo $16.219 + $6 por cada $10.000 movidos).</t>
        </is>
      </c>
      <c r="L2298" s="26" t="n">
        <v>8162194000</v>
      </c>
      <c r="M2298" s="26" t="n">
        <v>8476170831</v>
      </c>
      <c r="N2298" s="27">
        <f>IF(ISNUMBER(M2298),M2298/L2298,"No aplica")</f>
        <v>1.0384672100418098</v>
      </c>
      <c r="O2298" s="25">
        <f>IF(G2298="provision",M2298+H2298,IF(G2298="recoleccion",M2298-H2298,"No aplica"))</f>
        <v>8162194000</v>
      </c>
      <c r="P2298" s="26" t="n">
        <v>203977</v>
      </c>
    </row>
    <row r="2299">
      <c r="A2299" t="inlineStr">
        <is>
          <t>PRAGMA</t>
        </is>
      </c>
      <c r="B2299" t="inlineStr">
        <is>
          <t>M3</t>
        </is>
      </c>
      <c r="C2299" t="inlineStr">
        <is>
          <t>Cali</t>
        </is>
      </c>
      <c r="D2299" t="inlineStr">
        <is>
          <t>721</t>
        </is>
      </c>
      <c r="E2299" t="inlineStr">
        <is>
          <t>No aplica</t>
        </is>
      </c>
      <c r="F2299" s="23" t="n">
        <v>46275</v>
      </c>
      <c r="G2299" t="inlineStr">
        <is>
          <t>recoleccion</t>
        </is>
      </c>
      <c r="H2299" s="26" t="n">
        <v>87955767</v>
      </c>
      <c r="I2299" t="inlineStr">
        <is>
          <t>bajo</t>
        </is>
      </c>
      <c r="J2299" t="inlineStr">
        <is>
          <t>RN-41: riesgo de exceder el cupo</t>
        </is>
      </c>
      <c r="K2299" t="inlineStr">
        <is>
          <t>Recolección por riesgo de exceder el cupo: el saldo al cierre ($8.250.149.767) pasa el cupo $8.162.194.000. Se recogen $87.955.767 y el saldo queda en $8.162.194.000. En sus últimos 180 días la sucursal recibe más de lo que paga (entradas medias $980.220.282/día &gt; salidas medias $754.895.765/día); el neto diario varía $403.278.360 (σ). Costo estimado $68.817 (Anexo E: fijo $16.219 + $6 por cada $10.000 movidos).</t>
        </is>
      </c>
      <c r="L2299" s="26" t="n">
        <v>8162194000</v>
      </c>
      <c r="M2299" s="26" t="n">
        <v>8250149767</v>
      </c>
      <c r="N2299" s="27">
        <f>IF(ISNUMBER(M2299),M2299/L2299,"No aplica")</f>
        <v>1.0107759956452884</v>
      </c>
      <c r="O2299" s="25">
        <f>IF(G2299="provision",M2299+H2299,IF(G2299="recoleccion",M2299-H2299,"No aplica"))</f>
        <v>8162194000</v>
      </c>
      <c r="P2299" s="26" t="n">
        <v>68817</v>
      </c>
    </row>
    <row r="2300">
      <c r="A2300" t="inlineStr">
        <is>
          <t>PRAGMA</t>
        </is>
      </c>
      <c r="B2300" t="inlineStr">
        <is>
          <t>M3</t>
        </is>
      </c>
      <c r="C2300" t="inlineStr">
        <is>
          <t>Cali</t>
        </is>
      </c>
      <c r="D2300" t="inlineStr">
        <is>
          <t>721</t>
        </is>
      </c>
      <c r="E2300" t="inlineStr">
        <is>
          <t>No aplica</t>
        </is>
      </c>
      <c r="F2300" s="23" t="n">
        <v>46276</v>
      </c>
      <c r="G2300" t="inlineStr">
        <is>
          <t>recoleccion</t>
        </is>
      </c>
      <c r="H2300" s="26" t="n">
        <v>290127991</v>
      </c>
      <c r="I2300" t="inlineStr">
        <is>
          <t>bajo</t>
        </is>
      </c>
      <c r="J2300" t="inlineStr">
        <is>
          <t>RN-41: riesgo de exceder el cupo</t>
        </is>
      </c>
      <c r="K2300" t="inlineStr">
        <is>
          <t>Recolección por riesgo de exceder el cupo: el saldo al cierre ($8.452.321.991) pasa el cupo $8.162.194.000. Se recogen $290.127.991 y el saldo queda en $8.162.194.000. En sus últimos 180 días la sucursal recibe más de lo que paga (entradas medias $980.220.282/día &gt; salidas medias $754.895.765/día); el neto diario varía $403.278.360 (σ). Costo estimado $189.716 (Anexo E: fijo $16.219 + $6 por cada $10.000 movidos).</t>
        </is>
      </c>
      <c r="L2300" s="26" t="n">
        <v>8162194000</v>
      </c>
      <c r="M2300" s="26" t="n">
        <v>8452321991</v>
      </c>
      <c r="N2300" s="27">
        <f>IF(ISNUMBER(M2300),M2300/L2300,"No aplica")</f>
        <v>1.0355453436906792</v>
      </c>
      <c r="O2300" s="25">
        <f>IF(G2300="provision",M2300+H2300,IF(G2300="recoleccion",M2300-H2300,"No aplica"))</f>
        <v>8162194000</v>
      </c>
      <c r="P2300" s="26" t="n">
        <v>189716</v>
      </c>
    </row>
    <row r="2301">
      <c r="A2301" t="inlineStr">
        <is>
          <t>PRAGMA</t>
        </is>
      </c>
      <c r="B2301" t="inlineStr">
        <is>
          <t>M3</t>
        </is>
      </c>
      <c r="C2301" t="inlineStr">
        <is>
          <t>Cali</t>
        </is>
      </c>
      <c r="D2301" t="inlineStr">
        <is>
          <t>721</t>
        </is>
      </c>
      <c r="E2301" t="inlineStr">
        <is>
          <t>No aplica</t>
        </is>
      </c>
      <c r="F2301" s="23" t="n">
        <v>46279</v>
      </c>
      <c r="G2301" t="inlineStr">
        <is>
          <t>recoleccion</t>
        </is>
      </c>
      <c r="H2301" s="26" t="n">
        <v>194421482</v>
      </c>
      <c r="I2301" t="inlineStr">
        <is>
          <t>bajo</t>
        </is>
      </c>
      <c r="J2301" t="inlineStr">
        <is>
          <t>RN-41: riesgo de exceder el cupo</t>
        </is>
      </c>
      <c r="K2301" t="inlineStr">
        <is>
          <t>Recolección por riesgo de exceder el cupo: el saldo al cierre ($8.356.615.482) pasa el cupo $8.162.194.000. Se recogen $194.421.482 y el saldo queda en $8.162.194.000. En sus últimos 180 días la sucursal recibe más de lo que paga (entradas medias $980.220.282/día &gt; salidas medias $754.895.765/día); el neto diario varía $403.278.360 (σ). Costo estimado $132.483 (Anexo E: fijo $16.219 + $6 por cada $10.000 movidos).</t>
        </is>
      </c>
      <c r="L2301" s="26" t="n">
        <v>8162194000</v>
      </c>
      <c r="M2301" s="26" t="n">
        <v>8356615482</v>
      </c>
      <c r="N2301" s="27">
        <f>IF(ISNUMBER(M2301),M2301/L2301,"No aplica")</f>
        <v>1.0238197575308796</v>
      </c>
      <c r="O2301" s="25">
        <f>IF(G2301="provision",M2301+H2301,IF(G2301="recoleccion",M2301-H2301,"No aplica"))</f>
        <v>8162194000</v>
      </c>
      <c r="P2301" s="26" t="n">
        <v>132483</v>
      </c>
    </row>
    <row r="2302">
      <c r="A2302" t="inlineStr">
        <is>
          <t>PRAGMA</t>
        </is>
      </c>
      <c r="B2302" t="inlineStr">
        <is>
          <t>M3</t>
        </is>
      </c>
      <c r="C2302" t="inlineStr">
        <is>
          <t>Cali</t>
        </is>
      </c>
      <c r="D2302" t="inlineStr">
        <is>
          <t>721</t>
        </is>
      </c>
      <c r="E2302" t="inlineStr">
        <is>
          <t>No aplica</t>
        </is>
      </c>
      <c r="F2302" s="23" t="n">
        <v>46280</v>
      </c>
      <c r="G2302" t="inlineStr">
        <is>
          <t>recoleccion</t>
        </is>
      </c>
      <c r="H2302" s="26" t="n">
        <v>116270148</v>
      </c>
      <c r="I2302" t="inlineStr">
        <is>
          <t>bajo</t>
        </is>
      </c>
      <c r="J2302" t="inlineStr">
        <is>
          <t>RN-41: riesgo de exceder el cupo</t>
        </is>
      </c>
      <c r="K2302" t="inlineStr">
        <is>
          <t>Recolección por riesgo de exceder el cupo: el saldo al cierre ($8.278.464.148) pasa el cupo $8.162.194.000. Se recogen $116.270.148 y el saldo queda en $8.162.194.000. En sus últimos 180 días la sucursal recibe más de lo que paga (entradas medias $980.220.282/día &gt; salidas medias $754.895.765/día); el neto diario varía $403.278.360 (σ). Costo estimado $85.749 (Anexo E: fijo $16.219 + $6 por cada $10.000 movidos).</t>
        </is>
      </c>
      <c r="L2302" s="26" t="n">
        <v>8162194000</v>
      </c>
      <c r="M2302" s="26" t="n">
        <v>8278464148</v>
      </c>
      <c r="N2302" s="27">
        <f>IF(ISNUMBER(M2302),M2302/L2302,"No aplica")</f>
        <v>1.0142449625676626</v>
      </c>
      <c r="O2302" s="25">
        <f>IF(G2302="provision",M2302+H2302,IF(G2302="recoleccion",M2302-H2302,"No aplica"))</f>
        <v>8162194000</v>
      </c>
      <c r="P2302" s="26" t="n">
        <v>85749</v>
      </c>
    </row>
    <row r="2303">
      <c r="A2303" t="inlineStr">
        <is>
          <t>PRAGMA</t>
        </is>
      </c>
      <c r="B2303" t="inlineStr">
        <is>
          <t>M3</t>
        </is>
      </c>
      <c r="C2303" t="inlineStr">
        <is>
          <t>Cali</t>
        </is>
      </c>
      <c r="D2303" t="inlineStr">
        <is>
          <t>742</t>
        </is>
      </c>
      <c r="E2303" t="inlineStr">
        <is>
          <t>No aplica</t>
        </is>
      </c>
      <c r="F2303" s="23" t="n">
        <v>46266</v>
      </c>
      <c r="G2303" t="inlineStr">
        <is>
          <t>recoleccion</t>
        </is>
      </c>
      <c r="H2303" s="26" t="n">
        <v>575521627</v>
      </c>
      <c r="I2303" t="inlineStr">
        <is>
          <t>bajo</t>
        </is>
      </c>
      <c r="J2303" t="inlineStr">
        <is>
          <t>RN-41: efectivo ocioso sobre el techo</t>
        </is>
      </c>
      <c r="K2303" t="inlineStr">
        <is>
          <t>Recolección por efectivo ocioso: el saldo al cierre ($3.063.159.727) pasa el techo $2.487.638.100 (reserva + 15 días de salidas medias, tope en el cupo $3.078.117.500). Se recogen $575.521.627 y el saldo queda en $2.487.638.100. En sus últimos 180 días la sucursal paga más de lo que recibe (salidas medias $149.425.913/día &gt; entradas medias $144.962.944/día); el neto diario varía $156.854.658 (σ). Costo estimado $360.381 (Anexo E: fijo $16.219 + $6 por cada $10.000 movidos).</t>
        </is>
      </c>
      <c r="L2303" s="26" t="n">
        <v>3078117500</v>
      </c>
      <c r="M2303" s="26" t="n">
        <v>3063159727</v>
      </c>
      <c r="N2303" s="27">
        <f>IF(ISNUMBER(M2303),M2303/L2303,"No aplica")</f>
        <v>0.9951406101294054</v>
      </c>
      <c r="O2303" s="25">
        <f>IF(G2303="provision",M2303+H2303,IF(G2303="recoleccion",M2303-H2303,"No aplica"))</f>
        <v>2487638100</v>
      </c>
      <c r="P2303" s="26" t="n">
        <v>360381</v>
      </c>
    </row>
    <row r="2304">
      <c r="A2304" t="inlineStr">
        <is>
          <t>PRAGMA</t>
        </is>
      </c>
      <c r="B2304" t="inlineStr">
        <is>
          <t>M3</t>
        </is>
      </c>
      <c r="C2304" t="inlineStr">
        <is>
          <t>Cali</t>
        </is>
      </c>
      <c r="D2304" t="inlineStr">
        <is>
          <t>746</t>
        </is>
      </c>
      <c r="E2304" t="inlineStr">
        <is>
          <t>No aplica</t>
        </is>
      </c>
      <c r="F2304" s="23" t="n">
        <v>46266</v>
      </c>
      <c r="G2304" t="inlineStr">
        <is>
          <t>recoleccion</t>
        </is>
      </c>
      <c r="H2304" s="26" t="n">
        <v>1489299697</v>
      </c>
      <c r="I2304" t="inlineStr">
        <is>
          <t>bajo</t>
        </is>
      </c>
      <c r="J2304" t="inlineStr">
        <is>
          <t>RN-41: riesgo de exceder el cupo</t>
        </is>
      </c>
      <c r="K2304" t="inlineStr">
        <is>
          <t>Recolección por riesgo de exceder el cupo: el saldo al cierre ($8.012.287.509) pasa el cupo $7.760.000.000. Se recogen $1.489.299.697 y el saldo queda en $6.522.987.812. En sus últimos 180 días la sucursal recibe más de lo que paga (entradas medias $626.591.058/día &gt; salidas medias $393.479.187/día); el neto diario varía $248.455.833 (σ). Costo estimado $821.169 (Anexo E: fijo $13.969 + $5 por cada $10.000 movidos).</t>
        </is>
      </c>
      <c r="L2304" s="26" t="n">
        <v>7760000000</v>
      </c>
      <c r="M2304" s="26" t="n">
        <v>8012287509</v>
      </c>
      <c r="N2304" s="27">
        <f>IF(ISNUMBER(M2304),M2304/L2304,"No aplica")</f>
        <v>1.0325112769329896</v>
      </c>
      <c r="O2304" s="25">
        <f>IF(G2304="provision",M2304+H2304,IF(G2304="recoleccion",M2304-H2304,"No aplica"))</f>
        <v>6522987812</v>
      </c>
      <c r="P2304" s="26" t="n">
        <v>821169</v>
      </c>
    </row>
    <row r="2305">
      <c r="A2305" t="inlineStr">
        <is>
          <t>PRAGMA</t>
        </is>
      </c>
      <c r="B2305" t="inlineStr">
        <is>
          <t>M3</t>
        </is>
      </c>
      <c r="C2305" t="inlineStr">
        <is>
          <t>Cali</t>
        </is>
      </c>
      <c r="D2305" t="inlineStr">
        <is>
          <t>746</t>
        </is>
      </c>
      <c r="E2305" t="inlineStr">
        <is>
          <t>No aplica</t>
        </is>
      </c>
      <c r="F2305" s="23" t="n">
        <v>46267</v>
      </c>
      <c r="G2305" t="inlineStr">
        <is>
          <t>recoleccion</t>
        </is>
      </c>
      <c r="H2305" s="26" t="n">
        <v>196717351</v>
      </c>
      <c r="I2305" t="inlineStr">
        <is>
          <t>bajo</t>
        </is>
      </c>
      <c r="J2305" t="inlineStr">
        <is>
          <t>RN-41: efectivo ocioso sobre el techo</t>
        </is>
      </c>
      <c r="K2305" t="inlineStr">
        <is>
          <t>Recolección por efectivo ocioso: el saldo al cierre ($6.719.705.163) pasa el techo $6.522.987.812 (reserva + 15 días de salidas medias, tope en el cupo $7.760.000.000). Se recogen $196.717.351 y el saldo queda en $6.522.987.812. En sus últimos 180 días la sucursal recibe más de lo que paga (entradas medias $626.591.058/día &gt; salidas medias $393.479.187/día); el neto diario varía $248.455.833 (σ). Costo estimado $120.590 (Anexo E: fijo $13.969 + $5 por cada $10.000 movidos).</t>
        </is>
      </c>
      <c r="L2305" s="26" t="n">
        <v>7760000000</v>
      </c>
      <c r="M2305" s="26" t="n">
        <v>6719705163</v>
      </c>
      <c r="N2305" s="27">
        <f>IF(ISNUMBER(M2305),M2305/L2305,"No aplica")</f>
        <v>0.865941386984536</v>
      </c>
      <c r="O2305" s="25">
        <f>IF(G2305="provision",M2305+H2305,IF(G2305="recoleccion",M2305-H2305,"No aplica"))</f>
        <v>6522987812</v>
      </c>
      <c r="P2305" s="26" t="n">
        <v>120590</v>
      </c>
    </row>
    <row r="2306">
      <c r="A2306" t="inlineStr">
        <is>
          <t>PRAGMA</t>
        </is>
      </c>
      <c r="B2306" t="inlineStr">
        <is>
          <t>M3</t>
        </is>
      </c>
      <c r="C2306" t="inlineStr">
        <is>
          <t>Cali</t>
        </is>
      </c>
      <c r="D2306" t="inlineStr">
        <is>
          <t>746</t>
        </is>
      </c>
      <c r="E2306" t="inlineStr">
        <is>
          <t>No aplica</t>
        </is>
      </c>
      <c r="F2306" s="23" t="n">
        <v>46268</v>
      </c>
      <c r="G2306" t="inlineStr">
        <is>
          <t>recoleccion</t>
        </is>
      </c>
      <c r="H2306" s="26" t="n">
        <v>359370768</v>
      </c>
      <c r="I2306" t="inlineStr">
        <is>
          <t>bajo</t>
        </is>
      </c>
      <c r="J2306" t="inlineStr">
        <is>
          <t>RN-41: efectivo ocioso sobre el techo</t>
        </is>
      </c>
      <c r="K2306" t="inlineStr">
        <is>
          <t>Recolección por efectivo ocioso: el saldo al cierre ($6.882.358.580) pasa el techo $6.522.987.812 (reserva + 15 días de salidas medias, tope en el cupo $7.760.000.000). Se recogen $359.370.768 y el saldo queda en $6.522.987.812. En sus últimos 180 días la sucursal recibe más de lo que paga (entradas medias $626.591.058/día &gt; salidas medias $393.479.187/día); el neto diario varía $248.455.833 (σ). Costo estimado $208.748 (Anexo E: fijo $13.969 + $5 por cada $10.000 movidos).</t>
        </is>
      </c>
      <c r="L2306" s="26" t="n">
        <v>7760000000</v>
      </c>
      <c r="M2306" s="26" t="n">
        <v>6882358580</v>
      </c>
      <c r="N2306" s="27">
        <f>IF(ISNUMBER(M2306),M2306/L2306,"No aplica")</f>
        <v>0.8869018788659794</v>
      </c>
      <c r="O2306" s="25">
        <f>IF(G2306="provision",M2306+H2306,IF(G2306="recoleccion",M2306-H2306,"No aplica"))</f>
        <v>6522987812</v>
      </c>
      <c r="P2306" s="26" t="n">
        <v>208748</v>
      </c>
    </row>
    <row r="2307">
      <c r="A2307" t="inlineStr">
        <is>
          <t>PRAGMA</t>
        </is>
      </c>
      <c r="B2307" t="inlineStr">
        <is>
          <t>M3</t>
        </is>
      </c>
      <c r="C2307" t="inlineStr">
        <is>
          <t>Cali</t>
        </is>
      </c>
      <c r="D2307" t="inlineStr">
        <is>
          <t>746</t>
        </is>
      </c>
      <c r="E2307" t="inlineStr">
        <is>
          <t>No aplica</t>
        </is>
      </c>
      <c r="F2307" s="23" t="n">
        <v>46269</v>
      </c>
      <c r="G2307" t="inlineStr">
        <is>
          <t>recoleccion</t>
        </is>
      </c>
      <c r="H2307" s="26" t="n">
        <v>216307502</v>
      </c>
      <c r="I2307" t="inlineStr">
        <is>
          <t>bajo</t>
        </is>
      </c>
      <c r="J2307" t="inlineStr">
        <is>
          <t>RN-41: efectivo ocioso sobre el techo</t>
        </is>
      </c>
      <c r="K2307" t="inlineStr">
        <is>
          <t>Recolección por efectivo ocioso: el saldo al cierre ($6.739.295.314) pasa el techo $6.522.987.812 (reserva + 15 días de salidas medias, tope en el cupo $7.760.000.000). Se recogen $216.307.502 y el saldo queda en $6.522.987.812. En sus últimos 180 días la sucursal recibe más de lo que paga (entradas medias $626.591.058/día &gt; salidas medias $393.479.187/día); el neto diario varía $248.455.833 (σ). Costo estimado $131.208 (Anexo E: fijo $13.969 + $5 por cada $10.000 movidos).</t>
        </is>
      </c>
      <c r="L2307" s="26" t="n">
        <v>7760000000</v>
      </c>
      <c r="M2307" s="26" t="n">
        <v>6739295314</v>
      </c>
      <c r="N2307" s="27">
        <f>IF(ISNUMBER(M2307),M2307/L2307,"No aplica")</f>
        <v>0.8684658909793814</v>
      </c>
      <c r="O2307" s="25">
        <f>IF(G2307="provision",M2307+H2307,IF(G2307="recoleccion",M2307-H2307,"No aplica"))</f>
        <v>6522987812</v>
      </c>
      <c r="P2307" s="26" t="n">
        <v>131208</v>
      </c>
    </row>
    <row r="2308">
      <c r="A2308" t="inlineStr">
        <is>
          <t>PRAGMA</t>
        </is>
      </c>
      <c r="B2308" t="inlineStr">
        <is>
          <t>M3</t>
        </is>
      </c>
      <c r="C2308" t="inlineStr">
        <is>
          <t>Cali</t>
        </is>
      </c>
      <c r="D2308" t="inlineStr">
        <is>
          <t>746</t>
        </is>
      </c>
      <c r="E2308" t="inlineStr">
        <is>
          <t>No aplica</t>
        </is>
      </c>
      <c r="F2308" s="23" t="n">
        <v>46270</v>
      </c>
      <c r="G2308" t="inlineStr">
        <is>
          <t>recoleccion</t>
        </is>
      </c>
      <c r="H2308" s="26" t="n">
        <v>16186017</v>
      </c>
      <c r="I2308" t="inlineStr">
        <is>
          <t>bajo</t>
        </is>
      </c>
      <c r="J2308" t="inlineStr">
        <is>
          <t>RN-41: efectivo ocioso sobre el techo</t>
        </is>
      </c>
      <c r="K2308" t="inlineStr">
        <is>
          <t>Recolección por efectivo ocioso: el saldo al cierre ($6.539.173.829) pasa el techo $6.522.987.812 (reserva + 15 días de salidas medias, tope en el cupo $7.760.000.000). Se recogen $16.186.017 y el saldo queda en $6.522.987.812. En sus últimos 180 días la sucursal recibe más de lo que paga (entradas medias $626.591.058/día &gt; salidas medias $393.479.187/día); el neto diario varía $248.455.833 (σ). Costo estimado $22.742 (Anexo E: fijo $13.969 + $5 por cada $10.000 movidos).</t>
        </is>
      </c>
      <c r="L2308" s="26" t="n">
        <v>7760000000</v>
      </c>
      <c r="M2308" s="26" t="n">
        <v>6539173829</v>
      </c>
      <c r="N2308" s="27">
        <f>IF(ISNUMBER(M2308),M2308/L2308,"No aplica")</f>
        <v>0.8426770398195876</v>
      </c>
      <c r="O2308" s="25">
        <f>IF(G2308="provision",M2308+H2308,IF(G2308="recoleccion",M2308-H2308,"No aplica"))</f>
        <v>6522987812</v>
      </c>
      <c r="P2308" s="26" t="n">
        <v>22742</v>
      </c>
    </row>
    <row r="2309">
      <c r="A2309" t="inlineStr">
        <is>
          <t>PRAGMA</t>
        </is>
      </c>
      <c r="B2309" t="inlineStr">
        <is>
          <t>M3</t>
        </is>
      </c>
      <c r="C2309" t="inlineStr">
        <is>
          <t>Cali</t>
        </is>
      </c>
      <c r="D2309" t="inlineStr">
        <is>
          <t>746</t>
        </is>
      </c>
      <c r="E2309" t="inlineStr">
        <is>
          <t>No aplica</t>
        </is>
      </c>
      <c r="F2309" s="23" t="n">
        <v>46271</v>
      </c>
      <c r="G2309" t="inlineStr">
        <is>
          <t>recoleccion</t>
        </is>
      </c>
      <c r="H2309" s="26" t="n">
        <v>4846450</v>
      </c>
      <c r="I2309" t="inlineStr">
        <is>
          <t>bajo</t>
        </is>
      </c>
      <c r="J2309" t="inlineStr">
        <is>
          <t>RN-41: efectivo ocioso sobre el techo</t>
        </is>
      </c>
      <c r="K2309" t="inlineStr">
        <is>
          <t>Recolección por efectivo ocioso: el saldo al cierre ($6.527.834.262) pasa el techo $6.522.987.812 (reserva + 15 días de salidas medias, tope en el cupo $7.760.000.000). Se recogen $4.846.450 y el saldo queda en $6.522.987.812. En sus últimos 180 días la sucursal recibe más de lo que paga (entradas medias $626.591.058/día &gt; salidas medias $393.479.187/día); el neto diario varía $248.455.833 (σ). Costo estimado $16.596 (Anexo E: fijo $13.969 + $5 por cada $10.000 movidos).</t>
        </is>
      </c>
      <c r="L2309" s="26" t="n">
        <v>7760000000</v>
      </c>
      <c r="M2309" s="26" t="n">
        <v>6527834262</v>
      </c>
      <c r="N2309" s="27">
        <f>IF(ISNUMBER(M2309),M2309/L2309,"No aplica")</f>
        <v>0.8412157554123711</v>
      </c>
      <c r="O2309" s="25">
        <f>IF(G2309="provision",M2309+H2309,IF(G2309="recoleccion",M2309-H2309,"No aplica"))</f>
        <v>6522987812</v>
      </c>
      <c r="P2309" s="26" t="n">
        <v>16596</v>
      </c>
    </row>
    <row r="2310">
      <c r="A2310" t="inlineStr">
        <is>
          <t>PRAGMA</t>
        </is>
      </c>
      <c r="B2310" t="inlineStr">
        <is>
          <t>M3</t>
        </is>
      </c>
      <c r="C2310" t="inlineStr">
        <is>
          <t>Cali</t>
        </is>
      </c>
      <c r="D2310" t="inlineStr">
        <is>
          <t>746</t>
        </is>
      </c>
      <c r="E2310" t="inlineStr">
        <is>
          <t>No aplica</t>
        </is>
      </c>
      <c r="F2310" s="23" t="n">
        <v>46272</v>
      </c>
      <c r="G2310" t="inlineStr">
        <is>
          <t>recoleccion</t>
        </is>
      </c>
      <c r="H2310" s="26" t="n">
        <v>291471699</v>
      </c>
      <c r="I2310" t="inlineStr">
        <is>
          <t>bajo</t>
        </is>
      </c>
      <c r="J2310" t="inlineStr">
        <is>
          <t>RN-41: efectivo ocioso sobre el techo</t>
        </is>
      </c>
      <c r="K2310" t="inlineStr">
        <is>
          <t>Recolección por efectivo ocioso: el saldo al cierre ($6.814.459.511) pasa el techo $6.522.987.812 (reserva + 15 días de salidas medias, tope en el cupo $7.760.000.000). Se recogen $291.471.699 y el saldo queda en $6.522.987.812. En sus últimos 180 días la sucursal recibe más de lo que paga (entradas medias $626.591.058/día &gt; salidas medias $393.479.187/día); el neto diario varía $248.455.833 (σ). Costo estimado $171.947 (Anexo E: fijo $13.969 + $5 por cada $10.000 movidos).</t>
        </is>
      </c>
      <c r="L2310" s="26" t="n">
        <v>7760000000</v>
      </c>
      <c r="M2310" s="26" t="n">
        <v>6814459511</v>
      </c>
      <c r="N2310" s="27">
        <f>IF(ISNUMBER(M2310),M2310/L2310,"No aplica")</f>
        <v>0.8781519988402062</v>
      </c>
      <c r="O2310" s="25">
        <f>IF(G2310="provision",M2310+H2310,IF(G2310="recoleccion",M2310-H2310,"No aplica"))</f>
        <v>6522987812</v>
      </c>
      <c r="P2310" s="26" t="n">
        <v>171947</v>
      </c>
    </row>
    <row r="2311">
      <c r="A2311" t="inlineStr">
        <is>
          <t>PRAGMA</t>
        </is>
      </c>
      <c r="B2311" t="inlineStr">
        <is>
          <t>M3</t>
        </is>
      </c>
      <c r="C2311" t="inlineStr">
        <is>
          <t>Cali</t>
        </is>
      </c>
      <c r="D2311" t="inlineStr">
        <is>
          <t>746</t>
        </is>
      </c>
      <c r="E2311" t="inlineStr">
        <is>
          <t>No aplica</t>
        </is>
      </c>
      <c r="F2311" s="23" t="n">
        <v>46273</v>
      </c>
      <c r="G2311" t="inlineStr">
        <is>
          <t>recoleccion</t>
        </is>
      </c>
      <c r="H2311" s="26" t="n">
        <v>314128585</v>
      </c>
      <c r="I2311" t="inlineStr">
        <is>
          <t>bajo</t>
        </is>
      </c>
      <c r="J2311" t="inlineStr">
        <is>
          <t>RN-41: efectivo ocioso sobre el techo</t>
        </is>
      </c>
      <c r="K2311" t="inlineStr">
        <is>
          <t>Recolección por efectivo ocioso: el saldo al cierre ($6.837.116.397) pasa el techo $6.522.987.812 (reserva + 15 días de salidas medias, tope en el cupo $7.760.000.000). Se recogen $314.128.585 y el saldo queda en $6.522.987.812. En sus últimos 180 días la sucursal recibe más de lo que paga (entradas medias $626.591.058/día &gt; salidas medias $393.479.187/día); el neto diario varía $248.455.833 (σ). Costo estimado $184.227 (Anexo E: fijo $13.969 + $5 por cada $10.000 movidos).</t>
        </is>
      </c>
      <c r="L2311" s="26" t="n">
        <v>7760000000</v>
      </c>
      <c r="M2311" s="26" t="n">
        <v>6837116397</v>
      </c>
      <c r="N2311" s="27">
        <f>IF(ISNUMBER(M2311),M2311/L2311,"No aplica")</f>
        <v>0.8810717006443299</v>
      </c>
      <c r="O2311" s="25">
        <f>IF(G2311="provision",M2311+H2311,IF(G2311="recoleccion",M2311-H2311,"No aplica"))</f>
        <v>6522987812</v>
      </c>
      <c r="P2311" s="26" t="n">
        <v>184227</v>
      </c>
    </row>
    <row r="2312">
      <c r="A2312" t="inlineStr">
        <is>
          <t>PRAGMA</t>
        </is>
      </c>
      <c r="B2312" t="inlineStr">
        <is>
          <t>M3</t>
        </is>
      </c>
      <c r="C2312" t="inlineStr">
        <is>
          <t>Cali</t>
        </is>
      </c>
      <c r="D2312" t="inlineStr">
        <is>
          <t>746</t>
        </is>
      </c>
      <c r="E2312" t="inlineStr">
        <is>
          <t>No aplica</t>
        </is>
      </c>
      <c r="F2312" s="23" t="n">
        <v>46274</v>
      </c>
      <c r="G2312" t="inlineStr">
        <is>
          <t>recoleccion</t>
        </is>
      </c>
      <c r="H2312" s="26" t="n">
        <v>265000641</v>
      </c>
      <c r="I2312" t="inlineStr">
        <is>
          <t>bajo</t>
        </is>
      </c>
      <c r="J2312" t="inlineStr">
        <is>
          <t>RN-41: efectivo ocioso sobre el techo</t>
        </is>
      </c>
      <c r="K2312" t="inlineStr">
        <is>
          <t>Recolección por efectivo ocioso: el saldo al cierre ($6.787.988.453) pasa el techo $6.522.987.812 (reserva + 15 días de salidas medias, tope en el cupo $7.760.000.000). Se recogen $265.000.641 y el saldo queda en $6.522.987.812. En sus últimos 180 días la sucursal recibe más de lo que paga (entradas medias $626.591.058/día &gt; salidas medias $393.479.187/día); el neto diario varía $248.455.833 (σ). Costo estimado $157.599 (Anexo E: fijo $13.969 + $5 por cada $10.000 movidos).</t>
        </is>
      </c>
      <c r="L2312" s="26" t="n">
        <v>7760000000</v>
      </c>
      <c r="M2312" s="26" t="n">
        <v>6787988453</v>
      </c>
      <c r="N2312" s="27">
        <f>IF(ISNUMBER(M2312),M2312/L2312,"No aplica")</f>
        <v>0.8747407800257732</v>
      </c>
      <c r="O2312" s="25">
        <f>IF(G2312="provision",M2312+H2312,IF(G2312="recoleccion",M2312-H2312,"No aplica"))</f>
        <v>6522987812</v>
      </c>
      <c r="P2312" s="26" t="n">
        <v>157599</v>
      </c>
    </row>
    <row r="2313">
      <c r="A2313" t="inlineStr">
        <is>
          <t>PRAGMA</t>
        </is>
      </c>
      <c r="B2313" t="inlineStr">
        <is>
          <t>M3</t>
        </is>
      </c>
      <c r="C2313" t="inlineStr">
        <is>
          <t>Cali</t>
        </is>
      </c>
      <c r="D2313" t="inlineStr">
        <is>
          <t>746</t>
        </is>
      </c>
      <c r="E2313" t="inlineStr">
        <is>
          <t>No aplica</t>
        </is>
      </c>
      <c r="F2313" s="23" t="n">
        <v>46275</v>
      </c>
      <c r="G2313" t="inlineStr">
        <is>
          <t>recoleccion</t>
        </is>
      </c>
      <c r="H2313" s="26" t="n">
        <v>170026033</v>
      </c>
      <c r="I2313" t="inlineStr">
        <is>
          <t>bajo</t>
        </is>
      </c>
      <c r="J2313" t="inlineStr">
        <is>
          <t>RN-41: efectivo ocioso sobre el techo</t>
        </is>
      </c>
      <c r="K2313" t="inlineStr">
        <is>
          <t>Recolección por efectivo ocioso: el saldo al cierre ($6.693.013.845) pasa el techo $6.522.987.812 (reserva + 15 días de salidas medias, tope en el cupo $7.760.000.000). Se recogen $170.026.033 y el saldo queda en $6.522.987.812. En sus últimos 180 días la sucursal recibe más de lo que paga (entradas medias $626.591.058/día &gt; salidas medias $393.479.187/día); el neto diario varía $248.455.833 (σ). Costo estimado $106.123 (Anexo E: fijo $13.969 + $5 por cada $10.000 movidos).</t>
        </is>
      </c>
      <c r="L2313" s="26" t="n">
        <v>7760000000</v>
      </c>
      <c r="M2313" s="26" t="n">
        <v>6693013845</v>
      </c>
      <c r="N2313" s="27">
        <f>IF(ISNUMBER(M2313),M2313/L2313,"No aplica")</f>
        <v>0.8625017841494845</v>
      </c>
      <c r="O2313" s="25">
        <f>IF(G2313="provision",M2313+H2313,IF(G2313="recoleccion",M2313-H2313,"No aplica"))</f>
        <v>6522987812</v>
      </c>
      <c r="P2313" s="26" t="n">
        <v>106123</v>
      </c>
    </row>
    <row r="2314">
      <c r="A2314" t="inlineStr">
        <is>
          <t>PRAGMA</t>
        </is>
      </c>
      <c r="B2314" t="inlineStr">
        <is>
          <t>M3</t>
        </is>
      </c>
      <c r="C2314" t="inlineStr">
        <is>
          <t>Cali</t>
        </is>
      </c>
      <c r="D2314" t="inlineStr">
        <is>
          <t>746</t>
        </is>
      </c>
      <c r="E2314" t="inlineStr">
        <is>
          <t>No aplica</t>
        </is>
      </c>
      <c r="F2314" s="23" t="n">
        <v>46276</v>
      </c>
      <c r="G2314" t="inlineStr">
        <is>
          <t>recoleccion</t>
        </is>
      </c>
      <c r="H2314" s="26" t="n">
        <v>281214291</v>
      </c>
      <c r="I2314" t="inlineStr">
        <is>
          <t>bajo</t>
        </is>
      </c>
      <c r="J2314" t="inlineStr">
        <is>
          <t>RN-41: efectivo ocioso sobre el techo</t>
        </is>
      </c>
      <c r="K2314" t="inlineStr">
        <is>
          <t>Recolección por efectivo ocioso: el saldo al cierre ($6.804.202.103) pasa el techo $6.522.987.812 (reserva + 15 días de salidas medias, tope en el cupo $7.760.000.000). Se recogen $281.214.291 y el saldo queda en $6.522.987.812. En sus últimos 180 días la sucursal recibe más de lo que paga (entradas medias $626.591.058/día &gt; salidas medias $393.479.187/día); el neto diario varía $248.455.833 (σ). Costo estimado $166.387 (Anexo E: fijo $13.969 + $5 por cada $10.000 movidos).</t>
        </is>
      </c>
      <c r="L2314" s="26" t="n">
        <v>7760000000</v>
      </c>
      <c r="M2314" s="26" t="n">
        <v>6804202103</v>
      </c>
      <c r="N2314" s="27">
        <f>IF(ISNUMBER(M2314),M2314/L2314,"No aplica")</f>
        <v>0.8768301679123711</v>
      </c>
      <c r="O2314" s="25">
        <f>IF(G2314="provision",M2314+H2314,IF(G2314="recoleccion",M2314-H2314,"No aplica"))</f>
        <v>6522987812</v>
      </c>
      <c r="P2314" s="26" t="n">
        <v>166387</v>
      </c>
    </row>
    <row r="2315">
      <c r="A2315" t="inlineStr">
        <is>
          <t>PRAGMA</t>
        </is>
      </c>
      <c r="B2315" t="inlineStr">
        <is>
          <t>M3</t>
        </is>
      </c>
      <c r="C2315" t="inlineStr">
        <is>
          <t>Cali</t>
        </is>
      </c>
      <c r="D2315" t="inlineStr">
        <is>
          <t>746</t>
        </is>
      </c>
      <c r="E2315" t="inlineStr">
        <is>
          <t>No aplica</t>
        </is>
      </c>
      <c r="F2315" s="23" t="n">
        <v>46277</v>
      </c>
      <c r="G2315" t="inlineStr">
        <is>
          <t>recoleccion</t>
        </is>
      </c>
      <c r="H2315" s="26" t="n">
        <v>2436098</v>
      </c>
      <c r="I2315" t="inlineStr">
        <is>
          <t>bajo</t>
        </is>
      </c>
      <c r="J2315" t="inlineStr">
        <is>
          <t>RN-41: efectivo ocioso sobre el techo</t>
        </is>
      </c>
      <c r="K2315" t="inlineStr">
        <is>
          <t>Recolección por efectivo ocioso: el saldo al cierre ($6.525.423.910) pasa el techo $6.522.987.812 (reserva + 15 días de salidas medias, tope en el cupo $7.760.000.000). Se recogen $2.436.098 y el saldo queda en $6.522.987.812. En sus últimos 180 días la sucursal recibe más de lo que paga (entradas medias $626.591.058/día &gt; salidas medias $393.479.187/día); el neto diario varía $248.455.833 (σ). Costo estimado $15.289 (Anexo E: fijo $13.969 + $5 por cada $10.000 movidos).</t>
        </is>
      </c>
      <c r="L2315" s="26" t="n">
        <v>7760000000</v>
      </c>
      <c r="M2315" s="26" t="n">
        <v>6525423910</v>
      </c>
      <c r="N2315" s="27">
        <f>IF(ISNUMBER(M2315),M2315/L2315,"No aplica")</f>
        <v>0.8409051430412371</v>
      </c>
      <c r="O2315" s="25">
        <f>IF(G2315="provision",M2315+H2315,IF(G2315="recoleccion",M2315-H2315,"No aplica"))</f>
        <v>6522987812</v>
      </c>
      <c r="P2315" s="26" t="n">
        <v>15289</v>
      </c>
    </row>
    <row r="2316">
      <c r="A2316" t="inlineStr">
        <is>
          <t>PRAGMA</t>
        </is>
      </c>
      <c r="B2316" t="inlineStr">
        <is>
          <t>M3</t>
        </is>
      </c>
      <c r="C2316" t="inlineStr">
        <is>
          <t>Cali</t>
        </is>
      </c>
      <c r="D2316" t="inlineStr">
        <is>
          <t>746</t>
        </is>
      </c>
      <c r="E2316" t="inlineStr">
        <is>
          <t>No aplica</t>
        </is>
      </c>
      <c r="F2316" s="23" t="n">
        <v>46278</v>
      </c>
      <c r="G2316" t="inlineStr">
        <is>
          <t>recoleccion</t>
        </is>
      </c>
      <c r="H2316" s="26" t="n">
        <v>19981</v>
      </c>
      <c r="I2316" t="inlineStr">
        <is>
          <t>bajo</t>
        </is>
      </c>
      <c r="J2316" t="inlineStr">
        <is>
          <t>RN-41: efectivo ocioso sobre el techo</t>
        </is>
      </c>
      <c r="K2316" t="inlineStr">
        <is>
          <t>Recolección por efectivo ocioso: el saldo al cierre ($6.523.007.793) pasa el techo $6.522.987.812 (reserva + 15 días de salidas medias, tope en el cupo $7.760.000.000). Se recogen $19.981 y el saldo queda en $6.522.987.812. En sus últimos 180 días la sucursal recibe más de lo que paga (entradas medias $626.591.058/día &gt; salidas medias $393.479.187/día); el neto diario varía $248.455.833 (σ). Costo estimado $13.980 (Anexo E: fijo $13.969 + $5 por cada $10.000 movidos).</t>
        </is>
      </c>
      <c r="L2316" s="26" t="n">
        <v>7760000000</v>
      </c>
      <c r="M2316" s="26" t="n">
        <v>6523007793</v>
      </c>
      <c r="N2316" s="27">
        <f>IF(ISNUMBER(M2316),M2316/L2316,"No aplica")</f>
        <v>0.840593787757732</v>
      </c>
      <c r="O2316" s="25">
        <f>IF(G2316="provision",M2316+H2316,IF(G2316="recoleccion",M2316-H2316,"No aplica"))</f>
        <v>6522987812</v>
      </c>
      <c r="P2316" s="26" t="n">
        <v>13980</v>
      </c>
    </row>
    <row r="2317">
      <c r="A2317" t="inlineStr">
        <is>
          <t>PRAGMA</t>
        </is>
      </c>
      <c r="B2317" t="inlineStr">
        <is>
          <t>M3</t>
        </is>
      </c>
      <c r="C2317" t="inlineStr">
        <is>
          <t>Cali</t>
        </is>
      </c>
      <c r="D2317" t="inlineStr">
        <is>
          <t>746</t>
        </is>
      </c>
      <c r="E2317" t="inlineStr">
        <is>
          <t>No aplica</t>
        </is>
      </c>
      <c r="F2317" s="23" t="n">
        <v>46279</v>
      </c>
      <c r="G2317" t="inlineStr">
        <is>
          <t>recoleccion</t>
        </is>
      </c>
      <c r="H2317" s="26" t="n">
        <v>290501884</v>
      </c>
      <c r="I2317" t="inlineStr">
        <is>
          <t>bajo</t>
        </is>
      </c>
      <c r="J2317" t="inlineStr">
        <is>
          <t>RN-41: efectivo ocioso sobre el techo</t>
        </is>
      </c>
      <c r="K2317" t="inlineStr">
        <is>
          <t>Recolección por efectivo ocioso: el saldo al cierre ($6.813.489.696) pasa el techo $6.522.987.812 (reserva + 15 días de salidas medias, tope en el cupo $7.760.000.000). Se recogen $290.501.884 y el saldo queda en $6.522.987.812. En sus últimos 180 días la sucursal recibe más de lo que paga (entradas medias $626.591.058/día &gt; salidas medias $393.479.187/día); el neto diario varía $248.455.833 (σ). Costo estimado $171.421 (Anexo E: fijo $13.969 + $5 por cada $10.000 movidos).</t>
        </is>
      </c>
      <c r="L2317" s="26" t="n">
        <v>7760000000</v>
      </c>
      <c r="M2317" s="26" t="n">
        <v>6813489696</v>
      </c>
      <c r="N2317" s="27">
        <f>IF(ISNUMBER(M2317),M2317/L2317,"No aplica")</f>
        <v>0.8780270226804123</v>
      </c>
      <c r="O2317" s="25">
        <f>IF(G2317="provision",M2317+H2317,IF(G2317="recoleccion",M2317-H2317,"No aplica"))</f>
        <v>6522987812</v>
      </c>
      <c r="P2317" s="26" t="n">
        <v>171421</v>
      </c>
    </row>
    <row r="2318">
      <c r="A2318" t="inlineStr">
        <is>
          <t>PRAGMA</t>
        </is>
      </c>
      <c r="B2318" t="inlineStr">
        <is>
          <t>M3</t>
        </is>
      </c>
      <c r="C2318" t="inlineStr">
        <is>
          <t>Cali</t>
        </is>
      </c>
      <c r="D2318" t="inlineStr">
        <is>
          <t>746</t>
        </is>
      </c>
      <c r="E2318" t="inlineStr">
        <is>
          <t>No aplica</t>
        </is>
      </c>
      <c r="F2318" s="23" t="n">
        <v>46280</v>
      </c>
      <c r="G2318" t="inlineStr">
        <is>
          <t>recoleccion</t>
        </is>
      </c>
      <c r="H2318" s="26" t="n">
        <v>297607523</v>
      </c>
      <c r="I2318" t="inlineStr">
        <is>
          <t>bajo</t>
        </is>
      </c>
      <c r="J2318" t="inlineStr">
        <is>
          <t>RN-41: efectivo ocioso sobre el techo</t>
        </is>
      </c>
      <c r="K2318" t="inlineStr">
        <is>
          <t>Recolección por efectivo ocioso: el saldo al cierre ($6.820.595.335) pasa el techo $6.522.987.812 (reserva + 15 días de salidas medias, tope en el cupo $7.760.000.000). Se recogen $297.607.523 y el saldo queda en $6.522.987.812. En sus últimos 180 días la sucursal recibe más de lo que paga (entradas medias $626.591.058/día &gt; salidas medias $393.479.187/día); el neto diario varía $248.455.833 (σ). Costo estimado $175.272 (Anexo E: fijo $13.969 + $5 por cada $10.000 movidos).</t>
        </is>
      </c>
      <c r="L2318" s="26" t="n">
        <v>7760000000</v>
      </c>
      <c r="M2318" s="26" t="n">
        <v>6820595335</v>
      </c>
      <c r="N2318" s="27">
        <f>IF(ISNUMBER(M2318),M2318/L2318,"No aplica")</f>
        <v>0.8789426978092784</v>
      </c>
      <c r="O2318" s="25">
        <f>IF(G2318="provision",M2318+H2318,IF(G2318="recoleccion",M2318-H2318,"No aplica"))</f>
        <v>6522987812</v>
      </c>
      <c r="P2318" s="26" t="n">
        <v>175272</v>
      </c>
    </row>
    <row r="2319">
      <c r="A2319" t="inlineStr">
        <is>
          <t>PRAGMA</t>
        </is>
      </c>
      <c r="B2319" t="inlineStr">
        <is>
          <t>M3</t>
        </is>
      </c>
      <c r="C2319" t="inlineStr">
        <is>
          <t>Cali</t>
        </is>
      </c>
      <c r="D2319" t="inlineStr">
        <is>
          <t>750</t>
        </is>
      </c>
      <c r="E2319" t="inlineStr">
        <is>
          <t>No aplica</t>
        </is>
      </c>
      <c r="F2319" s="23" t="n">
        <v>46266</v>
      </c>
      <c r="G2319" t="inlineStr">
        <is>
          <t>recoleccion</t>
        </is>
      </c>
      <c r="H2319" s="26" t="n">
        <v>477395315</v>
      </c>
      <c r="I2319" t="inlineStr">
        <is>
          <t>bajo</t>
        </is>
      </c>
      <c r="J2319" t="inlineStr">
        <is>
          <t>RN-41: riesgo de exceder el cupo</t>
        </is>
      </c>
      <c r="K2319" t="inlineStr">
        <is>
          <t>Recolección por riesgo de exceder el cupo: el saldo al cierre ($7.473.895.315) pasa el cupo $6.996.500.000. Se recogen $477.395.315 y el saldo queda en $6.996.500.000. En sus últimos 180 días la sucursal recibe más de lo que paga (entradas medias $988.661.209/día &gt; salidas medias $730.772.160/día); el neto diario varía $347.966.261 (σ). Costo estimado $301.701 (Anexo E: fijo $16.219 + $6 por cada $10.000 movidos).</t>
        </is>
      </c>
      <c r="L2319" s="26" t="n">
        <v>6996500000</v>
      </c>
      <c r="M2319" s="26" t="n">
        <v>7473895315</v>
      </c>
      <c r="N2319" s="27">
        <f>IF(ISNUMBER(M2319),M2319/L2319,"No aplica")</f>
        <v>1.0682334474380046</v>
      </c>
      <c r="O2319" s="25">
        <f>IF(G2319="provision",M2319+H2319,IF(G2319="recoleccion",M2319-H2319,"No aplica"))</f>
        <v>6996500000</v>
      </c>
      <c r="P2319" s="26" t="n">
        <v>301701</v>
      </c>
    </row>
    <row r="2320">
      <c r="A2320" t="inlineStr">
        <is>
          <t>PRAGMA</t>
        </is>
      </c>
      <c r="B2320" t="inlineStr">
        <is>
          <t>M3</t>
        </is>
      </c>
      <c r="C2320" t="inlineStr">
        <is>
          <t>Cali</t>
        </is>
      </c>
      <c r="D2320" t="inlineStr">
        <is>
          <t>750</t>
        </is>
      </c>
      <c r="E2320" t="inlineStr">
        <is>
          <t>No aplica</t>
        </is>
      </c>
      <c r="F2320" s="23" t="n">
        <v>46267</v>
      </c>
      <c r="G2320" t="inlineStr">
        <is>
          <t>recoleccion</t>
        </is>
      </c>
      <c r="H2320" s="26" t="n">
        <v>127810970</v>
      </c>
      <c r="I2320" t="inlineStr">
        <is>
          <t>bajo</t>
        </is>
      </c>
      <c r="J2320" t="inlineStr">
        <is>
          <t>RN-41: riesgo de exceder el cupo</t>
        </is>
      </c>
      <c r="K2320" t="inlineStr">
        <is>
          <t>Recolección por riesgo de exceder el cupo: el saldo al cierre ($7.124.310.970) pasa el cupo $6.996.500.000. Se recogen $127.810.970 y el saldo queda en $6.996.500.000. En sus últimos 180 días la sucursal recibe más de lo que paga (entradas medias $988.661.209/día &gt; salidas medias $730.772.160/día); el neto diario varía $347.966.261 (σ). Costo estimado $92.650 (Anexo E: fijo $16.219 + $6 por cada $10.000 movidos).</t>
        </is>
      </c>
      <c r="L2320" s="26" t="n">
        <v>6996500000</v>
      </c>
      <c r="M2320" s="26" t="n">
        <v>7124310970</v>
      </c>
      <c r="N2320" s="27">
        <f>IF(ISNUMBER(M2320),M2320/L2320,"No aplica")</f>
        <v>1.018267843921961</v>
      </c>
      <c r="O2320" s="25">
        <f>IF(G2320="provision",M2320+H2320,IF(G2320="recoleccion",M2320-H2320,"No aplica"))</f>
        <v>6996500000</v>
      </c>
      <c r="P2320" s="26" t="n">
        <v>92650</v>
      </c>
    </row>
    <row r="2321">
      <c r="A2321" t="inlineStr">
        <is>
          <t>PRAGMA</t>
        </is>
      </c>
      <c r="B2321" t="inlineStr">
        <is>
          <t>M3</t>
        </is>
      </c>
      <c r="C2321" t="inlineStr">
        <is>
          <t>Cali</t>
        </is>
      </c>
      <c r="D2321" t="inlineStr">
        <is>
          <t>750</t>
        </is>
      </c>
      <c r="E2321" t="inlineStr">
        <is>
          <t>No aplica</t>
        </is>
      </c>
      <c r="F2321" s="23" t="n">
        <v>46268</v>
      </c>
      <c r="G2321" t="inlineStr">
        <is>
          <t>recoleccion</t>
        </is>
      </c>
      <c r="H2321" s="26" t="n">
        <v>267453677</v>
      </c>
      <c r="I2321" t="inlineStr">
        <is>
          <t>bajo</t>
        </is>
      </c>
      <c r="J2321" t="inlineStr">
        <is>
          <t>RN-41: riesgo de exceder el cupo</t>
        </is>
      </c>
      <c r="K2321" t="inlineStr">
        <is>
          <t>Recolección por riesgo de exceder el cupo: el saldo al cierre ($7.263.953.677) pasa el cupo $6.996.500.000. Se recogen $267.453.677 y el saldo queda en $6.996.500.000. En sus últimos 180 días la sucursal recibe más de lo que paga (entradas medias $988.661.209/día &gt; salidas medias $730.772.160/día); el neto diario varía $347.966.261 (σ). Costo estimado $176.156 (Anexo E: fijo $16.219 + $6 por cada $10.000 movidos).</t>
        </is>
      </c>
      <c r="L2321" s="26" t="n">
        <v>6996500000</v>
      </c>
      <c r="M2321" s="26" t="n">
        <v>7263953677</v>
      </c>
      <c r="N2321" s="27">
        <f>IF(ISNUMBER(M2321),M2321/L2321,"No aplica")</f>
        <v>1.038226781533624</v>
      </c>
      <c r="O2321" s="25">
        <f>IF(G2321="provision",M2321+H2321,IF(G2321="recoleccion",M2321-H2321,"No aplica"))</f>
        <v>6996500000</v>
      </c>
      <c r="P2321" s="26" t="n">
        <v>176156</v>
      </c>
    </row>
    <row r="2322">
      <c r="A2322" t="inlineStr">
        <is>
          <t>PRAGMA</t>
        </is>
      </c>
      <c r="B2322" t="inlineStr">
        <is>
          <t>M3</t>
        </is>
      </c>
      <c r="C2322" t="inlineStr">
        <is>
          <t>Cali</t>
        </is>
      </c>
      <c r="D2322" t="inlineStr">
        <is>
          <t>750</t>
        </is>
      </c>
      <c r="E2322" t="inlineStr">
        <is>
          <t>No aplica</t>
        </is>
      </c>
      <c r="F2322" s="23" t="n">
        <v>46269</v>
      </c>
      <c r="G2322" t="inlineStr">
        <is>
          <t>recoleccion</t>
        </is>
      </c>
      <c r="H2322" s="26" t="n">
        <v>397388668</v>
      </c>
      <c r="I2322" t="inlineStr">
        <is>
          <t>bajo</t>
        </is>
      </c>
      <c r="J2322" t="inlineStr">
        <is>
          <t>RN-41: riesgo de exceder el cupo</t>
        </is>
      </c>
      <c r="K2322" t="inlineStr">
        <is>
          <t>Recolección por riesgo de exceder el cupo: el saldo al cierre ($7.393.888.668) pasa el cupo $6.996.500.000. Se recogen $397.388.668 y el saldo queda en $6.996.500.000. En sus últimos 180 días la sucursal recibe más de lo que paga (entradas medias $988.661.209/día &gt; salidas medias $730.772.160/día); el neto diario varía $347.966.261 (σ). Costo estimado $253.857 (Anexo E: fijo $16.219 + $6 por cada $10.000 movidos).</t>
        </is>
      </c>
      <c r="L2322" s="26" t="n">
        <v>6996500000</v>
      </c>
      <c r="M2322" s="26" t="n">
        <v>7393888668</v>
      </c>
      <c r="N2322" s="27">
        <f>IF(ISNUMBER(M2322),M2322/L2322,"No aplica")</f>
        <v>1.0567982088186951</v>
      </c>
      <c r="O2322" s="25">
        <f>IF(G2322="provision",M2322+H2322,IF(G2322="recoleccion",M2322-H2322,"No aplica"))</f>
        <v>6996500000</v>
      </c>
      <c r="P2322" s="26" t="n">
        <v>253857</v>
      </c>
    </row>
    <row r="2323">
      <c r="A2323" t="inlineStr">
        <is>
          <t>PRAGMA</t>
        </is>
      </c>
      <c r="B2323" t="inlineStr">
        <is>
          <t>M3</t>
        </is>
      </c>
      <c r="C2323" t="inlineStr">
        <is>
          <t>Cali</t>
        </is>
      </c>
      <c r="D2323" t="inlineStr">
        <is>
          <t>750</t>
        </is>
      </c>
      <c r="E2323" t="inlineStr">
        <is>
          <t>No aplica</t>
        </is>
      </c>
      <c r="F2323" s="23" t="n">
        <v>46270</v>
      </c>
      <c r="G2323" t="inlineStr">
        <is>
          <t>recoleccion</t>
        </is>
      </c>
      <c r="H2323" s="26" t="n">
        <v>130956256</v>
      </c>
      <c r="I2323" t="inlineStr">
        <is>
          <t>bajo</t>
        </is>
      </c>
      <c r="J2323" t="inlineStr">
        <is>
          <t>RN-41: riesgo de exceder el cupo</t>
        </is>
      </c>
      <c r="K2323" t="inlineStr">
        <is>
          <t>Recolección por riesgo de exceder el cupo: el saldo al cierre ($7.127.456.256) pasa el cupo $6.996.500.000. Se recogen $130.956.256 y el saldo queda en $6.996.500.000. En sus últimos 180 días la sucursal recibe más de lo que paga (entradas medias $988.661.209/día &gt; salidas medias $730.772.160/día); el neto diario varía $347.966.261 (σ). Costo estimado $94.531 (Anexo E: fijo $16.219 + $6 por cada $10.000 movidos).</t>
        </is>
      </c>
      <c r="L2323" s="26" t="n">
        <v>6996500000</v>
      </c>
      <c r="M2323" s="26" t="n">
        <v>7127456256</v>
      </c>
      <c r="N2323" s="27">
        <f>IF(ISNUMBER(M2323),M2323/L2323,"No aplica")</f>
        <v>1.0187173952690631</v>
      </c>
      <c r="O2323" s="25">
        <f>IF(G2323="provision",M2323+H2323,IF(G2323="recoleccion",M2323-H2323,"No aplica"))</f>
        <v>6996500000</v>
      </c>
      <c r="P2323" s="26" t="n">
        <v>94531</v>
      </c>
    </row>
    <row r="2324">
      <c r="A2324" t="inlineStr">
        <is>
          <t>PRAGMA</t>
        </is>
      </c>
      <c r="B2324" t="inlineStr">
        <is>
          <t>M3</t>
        </is>
      </c>
      <c r="C2324" t="inlineStr">
        <is>
          <t>Cali</t>
        </is>
      </c>
      <c r="D2324" t="inlineStr">
        <is>
          <t>750</t>
        </is>
      </c>
      <c r="E2324" t="inlineStr">
        <is>
          <t>No aplica</t>
        </is>
      </c>
      <c r="F2324" s="23" t="n">
        <v>46271</v>
      </c>
      <c r="G2324" t="inlineStr">
        <is>
          <t>recoleccion</t>
        </is>
      </c>
      <c r="H2324" s="26" t="n">
        <v>3669251</v>
      </c>
      <c r="I2324" t="inlineStr">
        <is>
          <t>bajo</t>
        </is>
      </c>
      <c r="J2324" t="inlineStr">
        <is>
          <t>RN-41: riesgo de exceder el cupo</t>
        </is>
      </c>
      <c r="K2324" t="inlineStr">
        <is>
          <t>Recolección por riesgo de exceder el cupo: el saldo al cierre ($7.000.169.251) pasa el cupo $6.996.500.000. Se recogen $3.669.251 y el saldo queda en $6.996.500.000. En sus últimos 180 días la sucursal recibe más de lo que paga (entradas medias $988.661.209/día &gt; salidas medias $730.772.160/día); el neto diario varía $347.966.261 (σ). Costo estimado $18.413 (Anexo E: fijo $16.219 + $6 por cada $10.000 movidos).</t>
        </is>
      </c>
      <c r="L2324" s="26" t="n">
        <v>6996500000</v>
      </c>
      <c r="M2324" s="26" t="n">
        <v>7000169251</v>
      </c>
      <c r="N2324" s="27">
        <f>IF(ISNUMBER(M2324),M2324/L2324,"No aplica")</f>
        <v>1.0005244409347531</v>
      </c>
      <c r="O2324" s="25">
        <f>IF(G2324="provision",M2324+H2324,IF(G2324="recoleccion",M2324-H2324,"No aplica"))</f>
        <v>6996500000</v>
      </c>
      <c r="P2324" s="26" t="n">
        <v>18413</v>
      </c>
    </row>
    <row r="2325">
      <c r="A2325" t="inlineStr">
        <is>
          <t>PRAGMA</t>
        </is>
      </c>
      <c r="B2325" t="inlineStr">
        <is>
          <t>M3</t>
        </is>
      </c>
      <c r="C2325" t="inlineStr">
        <is>
          <t>Cali</t>
        </is>
      </c>
      <c r="D2325" t="inlineStr">
        <is>
          <t>750</t>
        </is>
      </c>
      <c r="E2325" t="inlineStr">
        <is>
          <t>No aplica</t>
        </is>
      </c>
      <c r="F2325" s="23" t="n">
        <v>46272</v>
      </c>
      <c r="G2325" t="inlineStr">
        <is>
          <t>recoleccion</t>
        </is>
      </c>
      <c r="H2325" s="26" t="n">
        <v>84185633</v>
      </c>
      <c r="I2325" t="inlineStr">
        <is>
          <t>bajo</t>
        </is>
      </c>
      <c r="J2325" t="inlineStr">
        <is>
          <t>RN-41: riesgo de exceder el cupo</t>
        </is>
      </c>
      <c r="K2325" t="inlineStr">
        <is>
          <t>Recolección por riesgo de exceder el cupo: el saldo al cierre ($7.080.685.633) pasa el cupo $6.996.500.000. Se recogen $84.185.633 y el saldo queda en $6.996.500.000. En sus últimos 180 días la sucursal recibe más de lo que paga (entradas medias $988.661.209/día &gt; salidas medias $730.772.160/día); el neto diario varía $347.966.261 (σ). Costo estimado $66.562 (Anexo E: fijo $16.219 + $6 por cada $10.000 movidos).</t>
        </is>
      </c>
      <c r="L2325" s="26" t="n">
        <v>6996500000</v>
      </c>
      <c r="M2325" s="26" t="n">
        <v>7080685633</v>
      </c>
      <c r="N2325" s="27">
        <f>IF(ISNUMBER(M2325),M2325/L2325,"No aplica")</f>
        <v>1.0120325352676338</v>
      </c>
      <c r="O2325" s="25">
        <f>IF(G2325="provision",M2325+H2325,IF(G2325="recoleccion",M2325-H2325,"No aplica"))</f>
        <v>6996500000</v>
      </c>
      <c r="P2325" s="26" t="n">
        <v>66562</v>
      </c>
    </row>
    <row r="2326">
      <c r="A2326" t="inlineStr">
        <is>
          <t>PRAGMA</t>
        </is>
      </c>
      <c r="B2326" t="inlineStr">
        <is>
          <t>M3</t>
        </is>
      </c>
      <c r="C2326" t="inlineStr">
        <is>
          <t>Cali</t>
        </is>
      </c>
      <c r="D2326" t="inlineStr">
        <is>
          <t>750</t>
        </is>
      </c>
      <c r="E2326" t="inlineStr">
        <is>
          <t>No aplica</t>
        </is>
      </c>
      <c r="F2326" s="23" t="n">
        <v>46273</v>
      </c>
      <c r="G2326" t="inlineStr">
        <is>
          <t>recoleccion</t>
        </is>
      </c>
      <c r="H2326" s="26" t="n">
        <v>604031437</v>
      </c>
      <c r="I2326" t="inlineStr">
        <is>
          <t>bajo</t>
        </is>
      </c>
      <c r="J2326" t="inlineStr">
        <is>
          <t>RN-41: riesgo de exceder el cupo</t>
        </is>
      </c>
      <c r="K2326" t="inlineStr">
        <is>
          <t>Recolección por riesgo de exceder el cupo: el saldo al cierre ($7.600.531.437) pasa el cupo $6.996.500.000. Se recogen $604.031.437 y el saldo queda en $6.996.500.000. En sus últimos 180 días la sucursal recibe más de lo que paga (entradas medias $988.661.209/día &gt; salidas medias $730.772.160/día); el neto diario varía $347.966.261 (σ). Costo estimado $377.430 (Anexo E: fijo $16.219 + $6 por cada $10.000 movidos).</t>
        </is>
      </c>
      <c r="L2326" s="26" t="n">
        <v>6996500000</v>
      </c>
      <c r="M2326" s="26" t="n">
        <v>7600531437</v>
      </c>
      <c r="N2326" s="27">
        <f>IF(ISNUMBER(M2326),M2326/L2326,"No aplica")</f>
        <v>1.0863333719717</v>
      </c>
      <c r="O2326" s="25">
        <f>IF(G2326="provision",M2326+H2326,IF(G2326="recoleccion",M2326-H2326,"No aplica"))</f>
        <v>6996500000</v>
      </c>
      <c r="P2326" s="26" t="n">
        <v>377430</v>
      </c>
    </row>
    <row r="2327">
      <c r="A2327" t="inlineStr">
        <is>
          <t>PRAGMA</t>
        </is>
      </c>
      <c r="B2327" t="inlineStr">
        <is>
          <t>M3</t>
        </is>
      </c>
      <c r="C2327" t="inlineStr">
        <is>
          <t>Cali</t>
        </is>
      </c>
      <c r="D2327" t="inlineStr">
        <is>
          <t>750</t>
        </is>
      </c>
      <c r="E2327" t="inlineStr">
        <is>
          <t>No aplica</t>
        </is>
      </c>
      <c r="F2327" s="23" t="n">
        <v>46274</v>
      </c>
      <c r="G2327" t="inlineStr">
        <is>
          <t>recoleccion</t>
        </is>
      </c>
      <c r="H2327" s="26" t="n">
        <v>260567862</v>
      </c>
      <c r="I2327" t="inlineStr">
        <is>
          <t>bajo</t>
        </is>
      </c>
      <c r="J2327" t="inlineStr">
        <is>
          <t>RN-41: riesgo de exceder el cupo</t>
        </is>
      </c>
      <c r="K2327" t="inlineStr">
        <is>
          <t>Recolección por riesgo de exceder el cupo: el saldo al cierre ($7.257.067.862) pasa el cupo $6.996.500.000. Se recogen $260.567.862 y el saldo queda en $6.996.500.000. En sus últimos 180 días la sucursal recibe más de lo que paga (entradas medias $988.661.209/día &gt; salidas medias $730.772.160/día); el neto diario varía $347.966.261 (σ). Costo estimado $172.039 (Anexo E: fijo $16.219 + $6 por cada $10.000 movidos).</t>
        </is>
      </c>
      <c r="L2327" s="26" t="n">
        <v>6996500000</v>
      </c>
      <c r="M2327" s="26" t="n">
        <v>7257067862</v>
      </c>
      <c r="N2327" s="27">
        <f>IF(ISNUMBER(M2327),M2327/L2327,"No aplica")</f>
        <v>1.0372426015865075</v>
      </c>
      <c r="O2327" s="25">
        <f>IF(G2327="provision",M2327+H2327,IF(G2327="recoleccion",M2327-H2327,"No aplica"))</f>
        <v>6996500000</v>
      </c>
      <c r="P2327" s="26" t="n">
        <v>172039</v>
      </c>
    </row>
    <row r="2328">
      <c r="A2328" t="inlineStr">
        <is>
          <t>PRAGMA</t>
        </is>
      </c>
      <c r="B2328" t="inlineStr">
        <is>
          <t>M3</t>
        </is>
      </c>
      <c r="C2328" t="inlineStr">
        <is>
          <t>Cali</t>
        </is>
      </c>
      <c r="D2328" t="inlineStr">
        <is>
          <t>750</t>
        </is>
      </c>
      <c r="E2328" t="inlineStr">
        <is>
          <t>No aplica</t>
        </is>
      </c>
      <c r="F2328" s="23" t="n">
        <v>46275</v>
      </c>
      <c r="G2328" t="inlineStr">
        <is>
          <t>recoleccion</t>
        </is>
      </c>
      <c r="H2328" s="26" t="n">
        <v>233809391</v>
      </c>
      <c r="I2328" t="inlineStr">
        <is>
          <t>bajo</t>
        </is>
      </c>
      <c r="J2328" t="inlineStr">
        <is>
          <t>RN-41: riesgo de exceder el cupo</t>
        </is>
      </c>
      <c r="K2328" t="inlineStr">
        <is>
          <t>Recolección por riesgo de exceder el cupo: el saldo al cierre ($7.230.309.391) pasa el cupo $6.996.500.000. Se recogen $233.809.391 y el saldo queda en $6.996.500.000. En sus últimos 180 días la sucursal recibe más de lo que paga (entradas medias $988.661.209/día &gt; salidas medias $730.772.160/día); el neto diario varía $347.966.261 (σ). Costo estimado $156.037 (Anexo E: fijo $16.219 + $6 por cada $10.000 movidos).</t>
        </is>
      </c>
      <c r="L2328" s="26" t="n">
        <v>6996500000</v>
      </c>
      <c r="M2328" s="26" t="n">
        <v>7230309391</v>
      </c>
      <c r="N2328" s="27">
        <f>IF(ISNUMBER(M2328),M2328/L2328,"No aplica")</f>
        <v>1.033418050596727</v>
      </c>
      <c r="O2328" s="25">
        <f>IF(G2328="provision",M2328+H2328,IF(G2328="recoleccion",M2328-H2328,"No aplica"))</f>
        <v>6996500000</v>
      </c>
      <c r="P2328" s="26" t="n">
        <v>156037</v>
      </c>
    </row>
    <row r="2329">
      <c r="A2329" t="inlineStr">
        <is>
          <t>PRAGMA</t>
        </is>
      </c>
      <c r="B2329" t="inlineStr">
        <is>
          <t>M3</t>
        </is>
      </c>
      <c r="C2329" t="inlineStr">
        <is>
          <t>Cali</t>
        </is>
      </c>
      <c r="D2329" t="inlineStr">
        <is>
          <t>750</t>
        </is>
      </c>
      <c r="E2329" t="inlineStr">
        <is>
          <t>No aplica</t>
        </is>
      </c>
      <c r="F2329" s="23" t="n">
        <v>46276</v>
      </c>
      <c r="G2329" t="inlineStr">
        <is>
          <t>recoleccion</t>
        </is>
      </c>
      <c r="H2329" s="26" t="n">
        <v>454952645</v>
      </c>
      <c r="I2329" t="inlineStr">
        <is>
          <t>bajo</t>
        </is>
      </c>
      <c r="J2329" t="inlineStr">
        <is>
          <t>RN-41: riesgo de exceder el cupo</t>
        </is>
      </c>
      <c r="K2329" t="inlineStr">
        <is>
          <t>Recolección por riesgo de exceder el cupo: el saldo al cierre ($7.451.452.645) pasa el cupo $6.996.500.000. Se recogen $454.952.645 y el saldo queda en $6.996.500.000. En sus últimos 180 días la sucursal recibe más de lo que paga (entradas medias $988.661.209/día &gt; salidas medias $730.772.160/día); el neto diario varía $347.966.261 (σ). Costo estimado $288.281 (Anexo E: fijo $16.219 + $6 por cada $10.000 movidos).</t>
        </is>
      </c>
      <c r="L2329" s="26" t="n">
        <v>6996500000</v>
      </c>
      <c r="M2329" s="26" t="n">
        <v>7451452645</v>
      </c>
      <c r="N2329" s="27">
        <f>IF(ISNUMBER(M2329),M2329/L2329,"No aplica")</f>
        <v>1.065025747873937</v>
      </c>
      <c r="O2329" s="25">
        <f>IF(G2329="provision",M2329+H2329,IF(G2329="recoleccion",M2329-H2329,"No aplica"))</f>
        <v>6996500000</v>
      </c>
      <c r="P2329" s="26" t="n">
        <v>288281</v>
      </c>
    </row>
    <row r="2330">
      <c r="A2330" t="inlineStr">
        <is>
          <t>PRAGMA</t>
        </is>
      </c>
      <c r="B2330" t="inlineStr">
        <is>
          <t>M3</t>
        </is>
      </c>
      <c r="C2330" t="inlineStr">
        <is>
          <t>Cali</t>
        </is>
      </c>
      <c r="D2330" t="inlineStr">
        <is>
          <t>750</t>
        </is>
      </c>
      <c r="E2330" t="inlineStr">
        <is>
          <t>No aplica</t>
        </is>
      </c>
      <c r="F2330" s="23" t="n">
        <v>46277</v>
      </c>
      <c r="G2330" t="inlineStr">
        <is>
          <t>recoleccion</t>
        </is>
      </c>
      <c r="H2330" s="26" t="n">
        <v>130663624</v>
      </c>
      <c r="I2330" t="inlineStr">
        <is>
          <t>bajo</t>
        </is>
      </c>
      <c r="J2330" t="inlineStr">
        <is>
          <t>RN-41: riesgo de exceder el cupo</t>
        </is>
      </c>
      <c r="K2330" t="inlineStr">
        <is>
          <t>Recolección por riesgo de exceder el cupo: el saldo al cierre ($7.127.163.624) pasa el cupo $6.996.500.000. Se recogen $130.663.624 y el saldo queda en $6.996.500.000. En sus últimos 180 días la sucursal recibe más de lo que paga (entradas medias $988.661.209/día &gt; salidas medias $730.772.160/día); el neto diario varía $347.966.261 (σ). Costo estimado $94.356 (Anexo E: fijo $16.219 + $6 por cada $10.000 movidos).</t>
        </is>
      </c>
      <c r="L2330" s="26" t="n">
        <v>6996500000</v>
      </c>
      <c r="M2330" s="26" t="n">
        <v>7127163624</v>
      </c>
      <c r="N2330" s="27">
        <f>IF(ISNUMBER(M2330),M2330/L2330,"No aplica")</f>
        <v>1.0186755697848924</v>
      </c>
      <c r="O2330" s="25">
        <f>IF(G2330="provision",M2330+H2330,IF(G2330="recoleccion",M2330-H2330,"No aplica"))</f>
        <v>6996500000</v>
      </c>
      <c r="P2330" s="26" t="n">
        <v>94356</v>
      </c>
    </row>
    <row r="2331">
      <c r="A2331" t="inlineStr">
        <is>
          <t>PRAGMA</t>
        </is>
      </c>
      <c r="B2331" t="inlineStr">
        <is>
          <t>M3</t>
        </is>
      </c>
      <c r="C2331" t="inlineStr">
        <is>
          <t>Cali</t>
        </is>
      </c>
      <c r="D2331" t="inlineStr">
        <is>
          <t>750</t>
        </is>
      </c>
      <c r="E2331" t="inlineStr">
        <is>
          <t>No aplica</t>
        </is>
      </c>
      <c r="F2331" s="23" t="n">
        <v>46278</v>
      </c>
      <c r="G2331" t="inlineStr">
        <is>
          <t>recoleccion</t>
        </is>
      </c>
      <c r="H2331" s="26" t="n">
        <v>4245632</v>
      </c>
      <c r="I2331" t="inlineStr">
        <is>
          <t>bajo</t>
        </is>
      </c>
      <c r="J2331" t="inlineStr">
        <is>
          <t>RN-41: riesgo de exceder el cupo</t>
        </is>
      </c>
      <c r="K2331" t="inlineStr">
        <is>
          <t>Recolección por riesgo de exceder el cupo: el saldo al cierre ($7.000.745.632) pasa el cupo $6.996.500.000. Se recogen $4.245.632 y el saldo queda en $6.996.500.000. En sus últimos 180 días la sucursal recibe más de lo que paga (entradas medias $988.661.209/día &gt; salidas medias $730.772.160/día); el neto diario varía $347.966.261 (σ). Costo estimado $18.758 (Anexo E: fijo $16.219 + $6 por cada $10.000 movidos).</t>
        </is>
      </c>
      <c r="L2331" s="26" t="n">
        <v>6996500000</v>
      </c>
      <c r="M2331" s="26" t="n">
        <v>7000745632</v>
      </c>
      <c r="N2331" s="27">
        <f>IF(ISNUMBER(M2331),M2331/L2331,"No aplica")</f>
        <v>1.000606822268277</v>
      </c>
      <c r="O2331" s="25">
        <f>IF(G2331="provision",M2331+H2331,IF(G2331="recoleccion",M2331-H2331,"No aplica"))</f>
        <v>6996500000</v>
      </c>
      <c r="P2331" s="26" t="n">
        <v>18758</v>
      </c>
    </row>
    <row r="2332">
      <c r="A2332" t="inlineStr">
        <is>
          <t>PRAGMA</t>
        </is>
      </c>
      <c r="B2332" t="inlineStr">
        <is>
          <t>M3</t>
        </is>
      </c>
      <c r="C2332" t="inlineStr">
        <is>
          <t>Cali</t>
        </is>
      </c>
      <c r="D2332" t="inlineStr">
        <is>
          <t>750</t>
        </is>
      </c>
      <c r="E2332" t="inlineStr">
        <is>
          <t>No aplica</t>
        </is>
      </c>
      <c r="F2332" s="23" t="n">
        <v>46279</v>
      </c>
      <c r="G2332" t="inlineStr">
        <is>
          <t>recoleccion</t>
        </is>
      </c>
      <c r="H2332" s="26" t="n">
        <v>63288909</v>
      </c>
      <c r="I2332" t="inlineStr">
        <is>
          <t>bajo</t>
        </is>
      </c>
      <c r="J2332" t="inlineStr">
        <is>
          <t>RN-41: riesgo de exceder el cupo</t>
        </is>
      </c>
      <c r="K2332" t="inlineStr">
        <is>
          <t>Recolección por riesgo de exceder el cupo: el saldo al cierre ($7.059.788.909) pasa el cupo $6.996.500.000. Se recogen $63.288.909 y el saldo queda en $6.996.500.000. En sus últimos 180 días la sucursal recibe más de lo que paga (entradas medias $988.661.209/día &gt; salidas medias $730.772.160/día); el neto diario varía $347.966.261 (σ). Costo estimado $54.066 (Anexo E: fijo $16.219 + $6 por cada $10.000 movidos).</t>
        </is>
      </c>
      <c r="L2332" s="26" t="n">
        <v>6996500000</v>
      </c>
      <c r="M2332" s="26" t="n">
        <v>7059788909</v>
      </c>
      <c r="N2332" s="27">
        <f>IF(ISNUMBER(M2332),M2332/L2332,"No aplica")</f>
        <v>1.0090457956120917</v>
      </c>
      <c r="O2332" s="25">
        <f>IF(G2332="provision",M2332+H2332,IF(G2332="recoleccion",M2332-H2332,"No aplica"))</f>
        <v>6996500000</v>
      </c>
      <c r="P2332" s="26" t="n">
        <v>54066</v>
      </c>
    </row>
    <row r="2333">
      <c r="A2333" t="inlineStr">
        <is>
          <t>PRAGMA</t>
        </is>
      </c>
      <c r="B2333" t="inlineStr">
        <is>
          <t>M3</t>
        </is>
      </c>
      <c r="C2333" t="inlineStr">
        <is>
          <t>Cali</t>
        </is>
      </c>
      <c r="D2333" t="inlineStr">
        <is>
          <t>750</t>
        </is>
      </c>
      <c r="E2333" t="inlineStr">
        <is>
          <t>No aplica</t>
        </is>
      </c>
      <c r="F2333" s="23" t="n">
        <v>46280</v>
      </c>
      <c r="G2333" t="inlineStr">
        <is>
          <t>recoleccion</t>
        </is>
      </c>
      <c r="H2333" s="26" t="n">
        <v>579061709</v>
      </c>
      <c r="I2333" t="inlineStr">
        <is>
          <t>bajo</t>
        </is>
      </c>
      <c r="J2333" t="inlineStr">
        <is>
          <t>RN-41: riesgo de exceder el cupo</t>
        </is>
      </c>
      <c r="K2333" t="inlineStr">
        <is>
          <t>Recolección por riesgo de exceder el cupo: el saldo al cierre ($7.575.561.709) pasa el cupo $6.996.500.000. Se recogen $579.061.709 y el saldo queda en $6.996.500.000. En sus últimos 180 días la sucursal recibe más de lo que paga (entradas medias $988.661.209/día &gt; salidas medias $730.772.160/día); el neto diario varía $347.966.261 (σ). Costo estimado $362.498 (Anexo E: fijo $16.219 + $6 por cada $10.000 movidos).</t>
        </is>
      </c>
      <c r="L2333" s="26" t="n">
        <v>6996500000</v>
      </c>
      <c r="M2333" s="26" t="n">
        <v>7575561709</v>
      </c>
      <c r="N2333" s="27">
        <f>IF(ISNUMBER(M2333),M2333/L2333,"No aplica")</f>
        <v>1.0827644835274781</v>
      </c>
      <c r="O2333" s="25">
        <f>IF(G2333="provision",M2333+H2333,IF(G2333="recoleccion",M2333-H2333,"No aplica"))</f>
        <v>6996500000</v>
      </c>
      <c r="P2333" s="26" t="n">
        <v>362498</v>
      </c>
    </row>
    <row r="2334">
      <c r="A2334" t="inlineStr">
        <is>
          <t>PRAGMA</t>
        </is>
      </c>
      <c r="B2334" t="inlineStr">
        <is>
          <t>M3</t>
        </is>
      </c>
      <c r="C2334" t="inlineStr">
        <is>
          <t>Cali</t>
        </is>
      </c>
      <c r="D2334" t="inlineStr">
        <is>
          <t>754</t>
        </is>
      </c>
      <c r="E2334" t="inlineStr">
        <is>
          <t>No aplica</t>
        </is>
      </c>
      <c r="F2334" s="23" t="n">
        <v>46266</v>
      </c>
      <c r="G2334" t="inlineStr">
        <is>
          <t>recoleccion</t>
        </is>
      </c>
      <c r="H2334" s="26" t="n">
        <v>3948012300</v>
      </c>
      <c r="I2334" t="inlineStr">
        <is>
          <t>bajo</t>
        </is>
      </c>
      <c r="J2334" t="inlineStr">
        <is>
          <t>RN-41: riesgo de exceder el cupo</t>
        </is>
      </c>
      <c r="K2334" t="inlineStr">
        <is>
          <t>Recolección por riesgo de exceder el cupo: el saldo al cierre ($8.871.064.116) pasa el cupo $8.817.694.000. Se recogen $3.948.012.300 y el saldo queda en $4.923.051.816. En sus últimos 180 días la sucursal recibe más de lo que paga (entradas medias $431.098.838/día &gt; salidas medias $281.175.753/día); el neto diario varía $268.540.146 (σ). Costo estimado $2.153.792 (Anexo E: fijo $13.969 + $5 por cada $10.000 movidos).</t>
        </is>
      </c>
      <c r="L2334" s="26" t="n">
        <v>8817694000</v>
      </c>
      <c r="M2334" s="26" t="n">
        <v>8871064116</v>
      </c>
      <c r="N2334" s="27">
        <f>IF(ISNUMBER(M2334),M2334/L2334,"No aplica")</f>
        <v>1.0060526160240988</v>
      </c>
      <c r="O2334" s="25">
        <f>IF(G2334="provision",M2334+H2334,IF(G2334="recoleccion",M2334-H2334,"No aplica"))</f>
        <v>4923051816</v>
      </c>
      <c r="P2334" s="26" t="n">
        <v>2153792</v>
      </c>
    </row>
    <row r="2335">
      <c r="A2335" t="inlineStr">
        <is>
          <t>PRAGMA</t>
        </is>
      </c>
      <c r="B2335" t="inlineStr">
        <is>
          <t>M3</t>
        </is>
      </c>
      <c r="C2335" t="inlineStr">
        <is>
          <t>Cali</t>
        </is>
      </c>
      <c r="D2335" t="inlineStr">
        <is>
          <t>754</t>
        </is>
      </c>
      <c r="E2335" t="inlineStr">
        <is>
          <t>No aplica</t>
        </is>
      </c>
      <c r="F2335" s="23" t="n">
        <v>46267</v>
      </c>
      <c r="G2335" t="inlineStr">
        <is>
          <t>recoleccion</t>
        </is>
      </c>
      <c r="H2335" s="26" t="n">
        <v>17560377</v>
      </c>
      <c r="I2335" t="inlineStr">
        <is>
          <t>bajo</t>
        </is>
      </c>
      <c r="J2335" t="inlineStr">
        <is>
          <t>RN-41: efectivo ocioso sobre el techo</t>
        </is>
      </c>
      <c r="K2335" t="inlineStr">
        <is>
          <t>Recolección por efectivo ocioso: el saldo al cierre ($4.940.612.193) pasa el techo $4.923.051.816 (reserva + 15 días de salidas medias, tope en el cupo $8.817.694.000). Se recogen $17.560.377 y el saldo queda en $4.923.051.816. En sus últimos 180 días la sucursal recibe más de lo que paga (entradas medias $431.098.838/día &gt; salidas medias $281.175.753/día); el neto diario varía $268.540.146 (σ). Costo estimado $23.487 (Anexo E: fijo $13.969 + $5 por cada $10.000 movidos).</t>
        </is>
      </c>
      <c r="L2335" s="26" t="n">
        <v>8817694000</v>
      </c>
      <c r="M2335" s="26" t="n">
        <v>4940612193</v>
      </c>
      <c r="N2335" s="27">
        <f>IF(ISNUMBER(M2335),M2335/L2335,"No aplica")</f>
        <v>0.5603066054458229</v>
      </c>
      <c r="O2335" s="25">
        <f>IF(G2335="provision",M2335+H2335,IF(G2335="recoleccion",M2335-H2335,"No aplica"))</f>
        <v>4923051816</v>
      </c>
      <c r="P2335" s="26" t="n">
        <v>23487</v>
      </c>
    </row>
    <row r="2336">
      <c r="A2336" t="inlineStr">
        <is>
          <t>PRAGMA</t>
        </is>
      </c>
      <c r="B2336" t="inlineStr">
        <is>
          <t>M3</t>
        </is>
      </c>
      <c r="C2336" t="inlineStr">
        <is>
          <t>Cali</t>
        </is>
      </c>
      <c r="D2336" t="inlineStr">
        <is>
          <t>754</t>
        </is>
      </c>
      <c r="E2336" t="inlineStr">
        <is>
          <t>No aplica</t>
        </is>
      </c>
      <c r="F2336" s="23" t="n">
        <v>46268</v>
      </c>
      <c r="G2336" t="inlineStr">
        <is>
          <t>recoleccion</t>
        </is>
      </c>
      <c r="H2336" s="26" t="n">
        <v>69275318</v>
      </c>
      <c r="I2336" t="inlineStr">
        <is>
          <t>bajo</t>
        </is>
      </c>
      <c r="J2336" t="inlineStr">
        <is>
          <t>RN-41: efectivo ocioso sobre el techo</t>
        </is>
      </c>
      <c r="K2336" t="inlineStr">
        <is>
          <t>Recolección por efectivo ocioso: el saldo al cierre ($4.992.327.134) pasa el techo $4.923.051.816 (reserva + 15 días de salidas medias, tope en el cupo $8.817.694.000). Se recogen $69.275.318 y el saldo queda en $4.923.051.816. En sus últimos 180 días la sucursal recibe más de lo que paga (entradas medias $431.098.838/día &gt; salidas medias $281.175.753/día); el neto diario varía $268.540.146 (σ). Costo estimado $51.516 (Anexo E: fijo $13.969 + $5 por cada $10.000 movidos).</t>
        </is>
      </c>
      <c r="L2336" s="26" t="n">
        <v>8817694000</v>
      </c>
      <c r="M2336" s="26" t="n">
        <v>4992327134</v>
      </c>
      <c r="N2336" s="27">
        <f>IF(ISNUMBER(M2336),M2336/L2336,"No aplica")</f>
        <v>0.5661715108281145</v>
      </c>
      <c r="O2336" s="25">
        <f>IF(G2336="provision",M2336+H2336,IF(G2336="recoleccion",M2336-H2336,"No aplica"))</f>
        <v>4923051816</v>
      </c>
      <c r="P2336" s="26" t="n">
        <v>51516</v>
      </c>
    </row>
    <row r="2337">
      <c r="A2337" t="inlineStr">
        <is>
          <t>PRAGMA</t>
        </is>
      </c>
      <c r="B2337" t="inlineStr">
        <is>
          <t>M3</t>
        </is>
      </c>
      <c r="C2337" t="inlineStr">
        <is>
          <t>Cali</t>
        </is>
      </c>
      <c r="D2337" t="inlineStr">
        <is>
          <t>754</t>
        </is>
      </c>
      <c r="E2337" t="inlineStr">
        <is>
          <t>No aplica</t>
        </is>
      </c>
      <c r="F2337" s="23" t="n">
        <v>46272</v>
      </c>
      <c r="G2337" t="inlineStr">
        <is>
          <t>recoleccion</t>
        </is>
      </c>
      <c r="H2337" s="26" t="n">
        <v>2873271</v>
      </c>
      <c r="I2337" t="inlineStr">
        <is>
          <t>bajo</t>
        </is>
      </c>
      <c r="J2337" t="inlineStr">
        <is>
          <t>RN-41: efectivo ocioso sobre el techo</t>
        </is>
      </c>
      <c r="K2337" t="inlineStr">
        <is>
          <t>Recolección por efectivo ocioso: el saldo al cierre ($4.925.925.087) pasa el techo $4.923.051.816 (reserva + 15 días de salidas medias, tope en el cupo $8.817.694.000). Se recogen $2.873.271 y el saldo queda en $4.923.051.816. En sus últimos 180 días la sucursal recibe más de lo que paga (entradas medias $431.098.838/día &gt; salidas medias $281.175.753/día); el neto diario varía $268.540.146 (σ). Costo estimado $15.526 (Anexo E: fijo $13.969 + $5 por cada $10.000 movidos).</t>
        </is>
      </c>
      <c r="L2337" s="26" t="n">
        <v>8817694000</v>
      </c>
      <c r="M2337" s="26" t="n">
        <v>4925925087</v>
      </c>
      <c r="N2337" s="27">
        <f>IF(ISNUMBER(M2337),M2337/L2337,"No aplica")</f>
        <v>0.5586409652001986</v>
      </c>
      <c r="O2337" s="25">
        <f>IF(G2337="provision",M2337+H2337,IF(G2337="recoleccion",M2337-H2337,"No aplica"))</f>
        <v>4923051816</v>
      </c>
      <c r="P2337" s="26" t="n">
        <v>15526</v>
      </c>
    </row>
    <row r="2338">
      <c r="A2338" t="inlineStr">
        <is>
          <t>PRAGMA</t>
        </is>
      </c>
      <c r="B2338" t="inlineStr">
        <is>
          <t>M3</t>
        </is>
      </c>
      <c r="C2338" t="inlineStr">
        <is>
          <t>Cali</t>
        </is>
      </c>
      <c r="D2338" t="inlineStr">
        <is>
          <t>754</t>
        </is>
      </c>
      <c r="E2338" t="inlineStr">
        <is>
          <t>No aplica</t>
        </is>
      </c>
      <c r="F2338" s="23" t="n">
        <v>46273</v>
      </c>
      <c r="G2338" t="inlineStr">
        <is>
          <t>recoleccion</t>
        </is>
      </c>
      <c r="H2338" s="26" t="n">
        <v>79296746</v>
      </c>
      <c r="I2338" t="inlineStr">
        <is>
          <t>bajo</t>
        </is>
      </c>
      <c r="J2338" t="inlineStr">
        <is>
          <t>RN-41: efectivo ocioso sobre el techo</t>
        </is>
      </c>
      <c r="K2338" t="inlineStr">
        <is>
          <t>Recolección por efectivo ocioso: el saldo al cierre ($5.002.348.562) pasa el techo $4.923.051.816 (reserva + 15 días de salidas medias, tope en el cupo $8.817.694.000). Se recogen $79.296.746 y el saldo queda en $4.923.051.816. En sus últimos 180 días la sucursal recibe más de lo que paga (entradas medias $431.098.838/día &gt; salidas medias $281.175.753/día); el neto diario varía $268.540.146 (σ). Costo estimado $56.948 (Anexo E: fijo $13.969 + $5 por cada $10.000 movidos).</t>
        </is>
      </c>
      <c r="L2338" s="26" t="n">
        <v>8817694000</v>
      </c>
      <c r="M2338" s="26" t="n">
        <v>5002348562</v>
      </c>
      <c r="N2338" s="27">
        <f>IF(ISNUMBER(M2338),M2338/L2338,"No aplica")</f>
        <v>0.567308024297509</v>
      </c>
      <c r="O2338" s="25">
        <f>IF(G2338="provision",M2338+H2338,IF(G2338="recoleccion",M2338-H2338,"No aplica"))</f>
        <v>4923051816</v>
      </c>
      <c r="P2338" s="26" t="n">
        <v>56948</v>
      </c>
    </row>
    <row r="2339">
      <c r="A2339" t="inlineStr">
        <is>
          <t>PRAGMA</t>
        </is>
      </c>
      <c r="B2339" t="inlineStr">
        <is>
          <t>M3</t>
        </is>
      </c>
      <c r="C2339" t="inlineStr">
        <is>
          <t>Cali</t>
        </is>
      </c>
      <c r="D2339" t="inlineStr">
        <is>
          <t>754</t>
        </is>
      </c>
      <c r="E2339" t="inlineStr">
        <is>
          <t>No aplica</t>
        </is>
      </c>
      <c r="F2339" s="23" t="n">
        <v>46274</v>
      </c>
      <c r="G2339" t="inlineStr">
        <is>
          <t>recoleccion</t>
        </is>
      </c>
      <c r="H2339" s="26" t="n">
        <v>5178839</v>
      </c>
      <c r="I2339" t="inlineStr">
        <is>
          <t>bajo</t>
        </is>
      </c>
      <c r="J2339" t="inlineStr">
        <is>
          <t>RN-41: efectivo ocioso sobre el techo</t>
        </is>
      </c>
      <c r="K2339" t="inlineStr">
        <is>
          <t>Recolección por efectivo ocioso: el saldo al cierre ($4.928.230.655) pasa el techo $4.923.051.816 (reserva + 15 días de salidas medias, tope en el cupo $8.817.694.000). Se recogen $5.178.839 y el saldo queda en $4.923.051.816. En sus últimos 180 días la sucursal recibe más de lo que paga (entradas medias $431.098.838/día &gt; salidas medias $281.175.753/día); el neto diario varía $268.540.146 (σ). Costo estimado $16.776 (Anexo E: fijo $13.969 + $5 por cada $10.000 movidos).</t>
        </is>
      </c>
      <c r="L2339" s="26" t="n">
        <v>8817694000</v>
      </c>
      <c r="M2339" s="26" t="n">
        <v>4928230655</v>
      </c>
      <c r="N2339" s="27">
        <f>IF(ISNUMBER(M2339),M2339/L2339,"No aplica")</f>
        <v>0.5589024358295944</v>
      </c>
      <c r="O2339" s="25">
        <f>IF(G2339="provision",M2339+H2339,IF(G2339="recoleccion",M2339-H2339,"No aplica"))</f>
        <v>4923051816</v>
      </c>
      <c r="P2339" s="26" t="n">
        <v>16776</v>
      </c>
    </row>
    <row r="2340">
      <c r="A2340" t="inlineStr">
        <is>
          <t>PRAGMA</t>
        </is>
      </c>
      <c r="B2340" t="inlineStr">
        <is>
          <t>M3</t>
        </is>
      </c>
      <c r="C2340" t="inlineStr">
        <is>
          <t>Cali</t>
        </is>
      </c>
      <c r="D2340" t="inlineStr">
        <is>
          <t>754</t>
        </is>
      </c>
      <c r="E2340" t="inlineStr">
        <is>
          <t>No aplica</t>
        </is>
      </c>
      <c r="F2340" s="23" t="n">
        <v>46279</v>
      </c>
      <c r="G2340" t="inlineStr">
        <is>
          <t>recoleccion</t>
        </is>
      </c>
      <c r="H2340" s="26" t="n">
        <v>34660856</v>
      </c>
      <c r="I2340" t="inlineStr">
        <is>
          <t>bajo</t>
        </is>
      </c>
      <c r="J2340" t="inlineStr">
        <is>
          <t>RN-41: efectivo ocioso sobre el techo</t>
        </is>
      </c>
      <c r="K2340" t="inlineStr">
        <is>
          <t>Recolección por efectivo ocioso: el saldo al cierre ($4.957.712.672) pasa el techo $4.923.051.816 (reserva + 15 días de salidas medias, tope en el cupo $8.817.694.000). Se recogen $34.660.856 y el saldo queda en $4.923.051.816. En sus últimos 180 días la sucursal recibe más de lo que paga (entradas medias $431.098.838/día &gt; salidas medias $281.175.753/día); el neto diario varía $268.540.146 (σ). Costo estimado $32.755 (Anexo E: fijo $13.969 + $5 por cada $10.000 movidos).</t>
        </is>
      </c>
      <c r="L2340" s="26" t="n">
        <v>8817694000</v>
      </c>
      <c r="M2340" s="26" t="n">
        <v>4957712672</v>
      </c>
      <c r="N2340" s="27">
        <f>IF(ISNUMBER(M2340),M2340/L2340,"No aplica")</f>
        <v>0.5622459423064579</v>
      </c>
      <c r="O2340" s="25">
        <f>IF(G2340="provision",M2340+H2340,IF(G2340="recoleccion",M2340-H2340,"No aplica"))</f>
        <v>4923051816</v>
      </c>
      <c r="P2340" s="26" t="n">
        <v>32755</v>
      </c>
    </row>
    <row r="2341">
      <c r="A2341" t="inlineStr">
        <is>
          <t>PRAGMA</t>
        </is>
      </c>
      <c r="B2341" t="inlineStr">
        <is>
          <t>M3</t>
        </is>
      </c>
      <c r="C2341" t="inlineStr">
        <is>
          <t>Cali</t>
        </is>
      </c>
      <c r="D2341" t="inlineStr">
        <is>
          <t>754</t>
        </is>
      </c>
      <c r="E2341" t="inlineStr">
        <is>
          <t>No aplica</t>
        </is>
      </c>
      <c r="F2341" s="23" t="n">
        <v>46280</v>
      </c>
      <c r="G2341" t="inlineStr">
        <is>
          <t>recoleccion</t>
        </is>
      </c>
      <c r="H2341" s="26" t="n">
        <v>66461892</v>
      </c>
      <c r="I2341" t="inlineStr">
        <is>
          <t>bajo</t>
        </is>
      </c>
      <c r="J2341" t="inlineStr">
        <is>
          <t>RN-41: efectivo ocioso sobre el techo</t>
        </is>
      </c>
      <c r="K2341" t="inlineStr">
        <is>
          <t>Recolección por efectivo ocioso: el saldo al cierre ($4.989.513.708) pasa el techo $4.923.051.816 (reserva + 15 días de salidas medias, tope en el cupo $8.817.694.000). Se recogen $66.461.892 y el saldo queda en $4.923.051.816. En sus últimos 180 días la sucursal recibe más de lo que paga (entradas medias $431.098.838/día &gt; salidas medias $281.175.753/día); el neto diario varía $268.540.146 (σ). Costo estimado $49.991 (Anexo E: fijo $13.969 + $5 por cada $10.000 movidos).</t>
        </is>
      </c>
      <c r="L2341" s="26" t="n">
        <v>8817694000</v>
      </c>
      <c r="M2341" s="26" t="n">
        <v>4989513708</v>
      </c>
      <c r="N2341" s="27">
        <f>IF(ISNUMBER(M2341),M2341/L2341,"No aplica")</f>
        <v>0.5658524448682388</v>
      </c>
      <c r="O2341" s="25">
        <f>IF(G2341="provision",M2341+H2341,IF(G2341="recoleccion",M2341-H2341,"No aplica"))</f>
        <v>4923051816</v>
      </c>
      <c r="P2341" s="26" t="n">
        <v>49991</v>
      </c>
    </row>
    <row r="2342">
      <c r="A2342" t="inlineStr">
        <is>
          <t>PRAGMA</t>
        </is>
      </c>
      <c r="B2342" t="inlineStr">
        <is>
          <t>M3</t>
        </is>
      </c>
      <c r="C2342" t="inlineStr">
        <is>
          <t>Cali</t>
        </is>
      </c>
      <c r="D2342" t="inlineStr">
        <is>
          <t>755</t>
        </is>
      </c>
      <c r="E2342" t="inlineStr">
        <is>
          <t>No aplica</t>
        </is>
      </c>
      <c r="F2342" s="23" t="n">
        <v>46266</v>
      </c>
      <c r="G2342" t="inlineStr">
        <is>
          <t>recoleccion</t>
        </is>
      </c>
      <c r="H2342" s="26" t="n">
        <v>1318583020</v>
      </c>
      <c r="I2342" t="inlineStr">
        <is>
          <t>bajo</t>
        </is>
      </c>
      <c r="J2342" t="inlineStr">
        <is>
          <t>RN-41: riesgo de exceder el cupo</t>
        </is>
      </c>
      <c r="K2342" t="inlineStr">
        <is>
          <t>Recolección por riesgo de exceder el cupo: el saldo al cierre ($8.397.101.237) pasa el cupo $7.841.008.200. Se recogen $1.318.583.020 y el saldo queda en $7.078.518.217. En sus últimos 180 días la sucursal recibe más de lo que paga (entradas medias $776.860.186/día &gt; salidas medias $430.082.504/día); el neto diario varía $363.711.738 (σ). Costo estimado $728.641 (Anexo E: fijo $13.969 + $5 por cada $10.000 movidos).</t>
        </is>
      </c>
      <c r="L2342" s="26" t="n">
        <v>7841008200</v>
      </c>
      <c r="M2342" s="26" t="n">
        <v>8397101237</v>
      </c>
      <c r="N2342" s="27">
        <f>IF(ISNUMBER(M2342),M2342/L2342,"No aplica")</f>
        <v>1.0709211140730601</v>
      </c>
      <c r="O2342" s="25">
        <f>IF(G2342="provision",M2342+H2342,IF(G2342="recoleccion",M2342-H2342,"No aplica"))</f>
        <v>7078518217</v>
      </c>
      <c r="P2342" s="26" t="n">
        <v>728641</v>
      </c>
    </row>
    <row r="2343">
      <c r="A2343" t="inlineStr">
        <is>
          <t>PRAGMA</t>
        </is>
      </c>
      <c r="B2343" t="inlineStr">
        <is>
          <t>M3</t>
        </is>
      </c>
      <c r="C2343" t="inlineStr">
        <is>
          <t>Cali</t>
        </is>
      </c>
      <c r="D2343" t="inlineStr">
        <is>
          <t>755</t>
        </is>
      </c>
      <c r="E2343" t="inlineStr">
        <is>
          <t>No aplica</t>
        </is>
      </c>
      <c r="F2343" s="23" t="n">
        <v>46267</v>
      </c>
      <c r="G2343" t="inlineStr">
        <is>
          <t>recoleccion</t>
        </is>
      </c>
      <c r="H2343" s="26" t="n">
        <v>576541769</v>
      </c>
      <c r="I2343" t="inlineStr">
        <is>
          <t>bajo</t>
        </is>
      </c>
      <c r="J2343" t="inlineStr">
        <is>
          <t>RN-41: efectivo ocioso sobre el techo</t>
        </is>
      </c>
      <c r="K2343" t="inlineStr">
        <is>
          <t>Recolección por efectivo ocioso: el saldo al cierre ($7.655.059.986) pasa el techo $7.078.518.217 (reserva + 15 días de salidas medias, tope en el cupo $7.841.008.200). Se recogen $576.541.769 y el saldo queda en $7.078.518.217. En sus últimos 180 días la sucursal recibe más de lo que paga (entradas medias $776.860.186/día &gt; salidas medias $430.082.504/día); el neto diario varía $363.711.738 (σ). Costo estimado $326.455 (Anexo E: fijo $13.969 + $5 por cada $10.000 movidos).</t>
        </is>
      </c>
      <c r="L2343" s="26" t="n">
        <v>7841008200</v>
      </c>
      <c r="M2343" s="26" t="n">
        <v>7655059986</v>
      </c>
      <c r="N2343" s="27">
        <f>IF(ISNUMBER(M2343),M2343/L2343,"No aplica")</f>
        <v>0.9762851652163812</v>
      </c>
      <c r="O2343" s="25">
        <f>IF(G2343="provision",M2343+H2343,IF(G2343="recoleccion",M2343-H2343,"No aplica"))</f>
        <v>7078518217</v>
      </c>
      <c r="P2343" s="26" t="n">
        <v>326455</v>
      </c>
    </row>
    <row r="2344">
      <c r="A2344" t="inlineStr">
        <is>
          <t>PRAGMA</t>
        </is>
      </c>
      <c r="B2344" t="inlineStr">
        <is>
          <t>M3</t>
        </is>
      </c>
      <c r="C2344" t="inlineStr">
        <is>
          <t>Cali</t>
        </is>
      </c>
      <c r="D2344" t="inlineStr">
        <is>
          <t>755</t>
        </is>
      </c>
      <c r="E2344" t="inlineStr">
        <is>
          <t>No aplica</t>
        </is>
      </c>
      <c r="F2344" s="23" t="n">
        <v>46268</v>
      </c>
      <c r="G2344" t="inlineStr">
        <is>
          <t>recoleccion</t>
        </is>
      </c>
      <c r="H2344" s="26" t="n">
        <v>585762600</v>
      </c>
      <c r="I2344" t="inlineStr">
        <is>
          <t>bajo</t>
        </is>
      </c>
      <c r="J2344" t="inlineStr">
        <is>
          <t>RN-41: efectivo ocioso sobre el techo</t>
        </is>
      </c>
      <c r="K2344" t="inlineStr">
        <is>
          <t>Recolección por efectivo ocioso: el saldo al cierre ($7.664.280.817) pasa el techo $7.078.518.217 (reserva + 15 días de salidas medias, tope en el cupo $7.841.008.200). Se recogen $585.762.600 y el saldo queda en $7.078.518.217. En sus últimos 180 días la sucursal recibe más de lo que paga (entradas medias $776.860.186/día &gt; salidas medias $430.082.504/día); el neto diario varía $363.711.738 (σ). Costo estimado $331.452 (Anexo E: fijo $13.969 + $5 por cada $10.000 movidos).</t>
        </is>
      </c>
      <c r="L2344" s="26" t="n">
        <v>7841008200</v>
      </c>
      <c r="M2344" s="26" t="n">
        <v>7664280817</v>
      </c>
      <c r="N2344" s="27">
        <f>IF(ISNUMBER(M2344),M2344/L2344,"No aplica")</f>
        <v>0.9774611403926348</v>
      </c>
      <c r="O2344" s="25">
        <f>IF(G2344="provision",M2344+H2344,IF(G2344="recoleccion",M2344-H2344,"No aplica"))</f>
        <v>7078518217</v>
      </c>
      <c r="P2344" s="26" t="n">
        <v>331452</v>
      </c>
    </row>
    <row r="2345">
      <c r="A2345" t="inlineStr">
        <is>
          <t>PRAGMA</t>
        </is>
      </c>
      <c r="B2345" t="inlineStr">
        <is>
          <t>M3</t>
        </is>
      </c>
      <c r="C2345" t="inlineStr">
        <is>
          <t>Cali</t>
        </is>
      </c>
      <c r="D2345" t="inlineStr">
        <is>
          <t>755</t>
        </is>
      </c>
      <c r="E2345" t="inlineStr">
        <is>
          <t>No aplica</t>
        </is>
      </c>
      <c r="F2345" s="23" t="n">
        <v>46269</v>
      </c>
      <c r="G2345" t="inlineStr">
        <is>
          <t>recoleccion</t>
        </is>
      </c>
      <c r="H2345" s="26" t="n">
        <v>584788335</v>
      </c>
      <c r="I2345" t="inlineStr">
        <is>
          <t>bajo</t>
        </is>
      </c>
      <c r="J2345" t="inlineStr">
        <is>
          <t>RN-41: efectivo ocioso sobre el techo</t>
        </is>
      </c>
      <c r="K2345" t="inlineStr">
        <is>
          <t>Recolección por efectivo ocioso: el saldo al cierre ($7.663.306.552) pasa el techo $7.078.518.217 (reserva + 15 días de salidas medias, tope en el cupo $7.841.008.200). Se recogen $584.788.335 y el saldo queda en $7.078.518.217. En sus últimos 180 días la sucursal recibe más de lo que paga (entradas medias $776.860.186/día &gt; salidas medias $430.082.504/día); el neto diario varía $363.711.738 (σ). Costo estimado $330.924 (Anexo E: fijo $13.969 + $5 por cada $10.000 movidos).</t>
        </is>
      </c>
      <c r="L2345" s="26" t="n">
        <v>7841008200</v>
      </c>
      <c r="M2345" s="26" t="n">
        <v>7663306552</v>
      </c>
      <c r="N2345" s="27">
        <f>IF(ISNUMBER(M2345),M2345/L2345,"No aplica")</f>
        <v>0.97733688787623</v>
      </c>
      <c r="O2345" s="25">
        <f>IF(G2345="provision",M2345+H2345,IF(G2345="recoleccion",M2345-H2345,"No aplica"))</f>
        <v>7078518217</v>
      </c>
      <c r="P2345" s="26" t="n">
        <v>330924</v>
      </c>
    </row>
    <row r="2346">
      <c r="A2346" t="inlineStr">
        <is>
          <t>PRAGMA</t>
        </is>
      </c>
      <c r="B2346" t="inlineStr">
        <is>
          <t>M3</t>
        </is>
      </c>
      <c r="C2346" t="inlineStr">
        <is>
          <t>Cali</t>
        </is>
      </c>
      <c r="D2346" t="inlineStr">
        <is>
          <t>755</t>
        </is>
      </c>
      <c r="E2346" t="inlineStr">
        <is>
          <t>No aplica</t>
        </is>
      </c>
      <c r="F2346" s="23" t="n">
        <v>46270</v>
      </c>
      <c r="G2346" t="inlineStr">
        <is>
          <t>recoleccion</t>
        </is>
      </c>
      <c r="H2346" s="26" t="n">
        <v>12430483</v>
      </c>
      <c r="I2346" t="inlineStr">
        <is>
          <t>bajo</t>
        </is>
      </c>
      <c r="J2346" t="inlineStr">
        <is>
          <t>RN-41: efectivo ocioso sobre el techo</t>
        </is>
      </c>
      <c r="K2346" t="inlineStr">
        <is>
          <t>Recolección por efectivo ocioso: el saldo al cierre ($7.090.948.700) pasa el techo $7.078.518.217 (reserva + 15 días de salidas medias, tope en el cupo $7.841.008.200). Se recogen $12.430.483 y el saldo queda en $7.078.518.217. En sus últimos 180 días la sucursal recibe más de lo que paga (entradas medias $776.860.186/día &gt; salidas medias $430.082.504/día); el neto diario varía $363.711.738 (σ). Costo estimado $20.706 (Anexo E: fijo $13.969 + $5 por cada $10.000 movidos).</t>
        </is>
      </c>
      <c r="L2346" s="26" t="n">
        <v>7841008200</v>
      </c>
      <c r="M2346" s="26" t="n">
        <v>7090948700</v>
      </c>
      <c r="N2346" s="27">
        <f>IF(ISNUMBER(M2346),M2346/L2346,"No aplica")</f>
        <v>0.9043414468052718</v>
      </c>
      <c r="O2346" s="25">
        <f>IF(G2346="provision",M2346+H2346,IF(G2346="recoleccion",M2346-H2346,"No aplica"))</f>
        <v>7078518217</v>
      </c>
      <c r="P2346" s="26" t="n">
        <v>20706</v>
      </c>
    </row>
    <row r="2347">
      <c r="A2347" t="inlineStr">
        <is>
          <t>PRAGMA</t>
        </is>
      </c>
      <c r="B2347" t="inlineStr">
        <is>
          <t>M3</t>
        </is>
      </c>
      <c r="C2347" t="inlineStr">
        <is>
          <t>Cali</t>
        </is>
      </c>
      <c r="D2347" t="inlineStr">
        <is>
          <t>755</t>
        </is>
      </c>
      <c r="E2347" t="inlineStr">
        <is>
          <t>No aplica</t>
        </is>
      </c>
      <c r="F2347" s="23" t="n">
        <v>46271</v>
      </c>
      <c r="G2347" t="inlineStr">
        <is>
          <t>recoleccion</t>
        </is>
      </c>
      <c r="H2347" s="26" t="n">
        <v>174732</v>
      </c>
      <c r="I2347" t="inlineStr">
        <is>
          <t>bajo</t>
        </is>
      </c>
      <c r="J2347" t="inlineStr">
        <is>
          <t>RN-41: efectivo ocioso sobre el techo</t>
        </is>
      </c>
      <c r="K2347" t="inlineStr">
        <is>
          <t>Recolección por efectivo ocioso: el saldo al cierre ($7.078.692.949) pasa el techo $7.078.518.217 (reserva + 15 días de salidas medias, tope en el cupo $7.841.008.200). Se recogen $174.732 y el saldo queda en $7.078.518.217. En sus últimos 180 días la sucursal recibe más de lo que paga (entradas medias $776.860.186/día &gt; salidas medias $430.082.504/día); el neto diario varía $363.711.738 (σ). Costo estimado $14.064 (Anexo E: fijo $13.969 + $5 por cada $10.000 movidos).</t>
        </is>
      </c>
      <c r="L2347" s="26" t="n">
        <v>7841008200</v>
      </c>
      <c r="M2347" s="26" t="n">
        <v>7078692949</v>
      </c>
      <c r="N2347" s="27">
        <f>IF(ISNUMBER(M2347),M2347/L2347,"No aplica")</f>
        <v>0.9027784142605539</v>
      </c>
      <c r="O2347" s="25">
        <f>IF(G2347="provision",M2347+H2347,IF(G2347="recoleccion",M2347-H2347,"No aplica"))</f>
        <v>7078518217</v>
      </c>
      <c r="P2347" s="26" t="n">
        <v>14064</v>
      </c>
    </row>
    <row r="2348">
      <c r="A2348" t="inlineStr">
        <is>
          <t>PRAGMA</t>
        </is>
      </c>
      <c r="B2348" t="inlineStr">
        <is>
          <t>M3</t>
        </is>
      </c>
      <c r="C2348" t="inlineStr">
        <is>
          <t>Cali</t>
        </is>
      </c>
      <c r="D2348" t="inlineStr">
        <is>
          <t>755</t>
        </is>
      </c>
      <c r="E2348" t="inlineStr">
        <is>
          <t>No aplica</t>
        </is>
      </c>
      <c r="F2348" s="23" t="n">
        <v>46272</v>
      </c>
      <c r="G2348" t="inlineStr">
        <is>
          <t>recoleccion</t>
        </is>
      </c>
      <c r="H2348" s="26" t="n">
        <v>598552289</v>
      </c>
      <c r="I2348" t="inlineStr">
        <is>
          <t>bajo</t>
        </is>
      </c>
      <c r="J2348" t="inlineStr">
        <is>
          <t>RN-41: efectivo ocioso sobre el techo</t>
        </is>
      </c>
      <c r="K2348" t="inlineStr">
        <is>
          <t>Recolección por efectivo ocioso: el saldo al cierre ($7.677.070.506) pasa el techo $7.078.518.217 (reserva + 15 días de salidas medias, tope en el cupo $7.841.008.200). Se recogen $598.552.289 y el saldo queda en $7.078.518.217. En sus últimos 180 días la sucursal recibe más de lo que paga (entradas medias $776.860.186/día &gt; salidas medias $430.082.504/día); el neto diario varía $363.711.738 (σ). Costo estimado $338.384 (Anexo E: fijo $13.969 + $5 por cada $10.000 movidos).</t>
        </is>
      </c>
      <c r="L2348" s="26" t="n">
        <v>7841008200</v>
      </c>
      <c r="M2348" s="26" t="n">
        <v>7677070506</v>
      </c>
      <c r="N2348" s="27">
        <f>IF(ISNUMBER(M2348),M2348/L2348,"No aplica")</f>
        <v>0.9790922685172042</v>
      </c>
      <c r="O2348" s="25">
        <f>IF(G2348="provision",M2348+H2348,IF(G2348="recoleccion",M2348-H2348,"No aplica"))</f>
        <v>7078518217</v>
      </c>
      <c r="P2348" s="26" t="n">
        <v>338384</v>
      </c>
    </row>
    <row r="2349">
      <c r="A2349" t="inlineStr">
        <is>
          <t>PRAGMA</t>
        </is>
      </c>
      <c r="B2349" t="inlineStr">
        <is>
          <t>M3</t>
        </is>
      </c>
      <c r="C2349" t="inlineStr">
        <is>
          <t>Cali</t>
        </is>
      </c>
      <c r="D2349" t="inlineStr">
        <is>
          <t>755</t>
        </is>
      </c>
      <c r="E2349" t="inlineStr">
        <is>
          <t>No aplica</t>
        </is>
      </c>
      <c r="F2349" s="23" t="n">
        <v>46273</v>
      </c>
      <c r="G2349" t="inlineStr">
        <is>
          <t>recoleccion</t>
        </is>
      </c>
      <c r="H2349" s="26" t="n">
        <v>648750562</v>
      </c>
      <c r="I2349" t="inlineStr">
        <is>
          <t>bajo</t>
        </is>
      </c>
      <c r="J2349" t="inlineStr">
        <is>
          <t>RN-41: efectivo ocioso sobre el techo</t>
        </is>
      </c>
      <c r="K2349" t="inlineStr">
        <is>
          <t>Recolección por efectivo ocioso: el saldo al cierre ($7.727.268.779) pasa el techo $7.078.518.217 (reserva + 15 días de salidas medias, tope en el cupo $7.841.008.200). Se recogen $648.750.562 y el saldo queda en $7.078.518.217. En sus últimos 180 días la sucursal recibe más de lo que paga (entradas medias $776.860.186/día &gt; salidas medias $430.082.504/día); el neto diario varía $363.711.738 (σ). Costo estimado $365.592 (Anexo E: fijo $13.969 + $5 por cada $10.000 movidos).</t>
        </is>
      </c>
      <c r="L2349" s="26" t="n">
        <v>7841008200</v>
      </c>
      <c r="M2349" s="26" t="n">
        <v>7727268779</v>
      </c>
      <c r="N2349" s="27">
        <f>IF(ISNUMBER(M2349),M2349/L2349,"No aplica")</f>
        <v>0.9854942861812082</v>
      </c>
      <c r="O2349" s="25">
        <f>IF(G2349="provision",M2349+H2349,IF(G2349="recoleccion",M2349-H2349,"No aplica"))</f>
        <v>7078518217</v>
      </c>
      <c r="P2349" s="26" t="n">
        <v>365592</v>
      </c>
    </row>
    <row r="2350">
      <c r="A2350" t="inlineStr">
        <is>
          <t>PRAGMA</t>
        </is>
      </c>
      <c r="B2350" t="inlineStr">
        <is>
          <t>M3</t>
        </is>
      </c>
      <c r="C2350" t="inlineStr">
        <is>
          <t>Cali</t>
        </is>
      </c>
      <c r="D2350" t="inlineStr">
        <is>
          <t>755</t>
        </is>
      </c>
      <c r="E2350" t="inlineStr">
        <is>
          <t>No aplica</t>
        </is>
      </c>
      <c r="F2350" s="23" t="n">
        <v>46274</v>
      </c>
      <c r="G2350" t="inlineStr">
        <is>
          <t>recoleccion</t>
        </is>
      </c>
      <c r="H2350" s="26" t="n">
        <v>689184283</v>
      </c>
      <c r="I2350" t="inlineStr">
        <is>
          <t>bajo</t>
        </is>
      </c>
      <c r="J2350" t="inlineStr">
        <is>
          <t>RN-41: efectivo ocioso sobre el techo</t>
        </is>
      </c>
      <c r="K2350" t="inlineStr">
        <is>
          <t>Recolección por efectivo ocioso: el saldo al cierre ($7.767.702.500) pasa el techo $7.078.518.217 (reserva + 15 días de salidas medias, tope en el cupo $7.841.008.200). Se recogen $689.184.283 y el saldo queda en $7.078.518.217. En sus últimos 180 días la sucursal recibe más de lo que paga (entradas medias $776.860.186/día &gt; salidas medias $430.082.504/día); el neto diario varía $363.711.738 (σ). Costo estimado $387.507 (Anexo E: fijo $13.969 + $5 por cada $10.000 movidos).</t>
        </is>
      </c>
      <c r="L2350" s="26" t="n">
        <v>7841008200</v>
      </c>
      <c r="M2350" s="26" t="n">
        <v>7767702500</v>
      </c>
      <c r="N2350" s="27">
        <f>IF(ISNUMBER(M2350),M2350/L2350,"No aplica")</f>
        <v>0.9906509854179212</v>
      </c>
      <c r="O2350" s="25">
        <f>IF(G2350="provision",M2350+H2350,IF(G2350="recoleccion",M2350-H2350,"No aplica"))</f>
        <v>7078518217</v>
      </c>
      <c r="P2350" s="26" t="n">
        <v>387507</v>
      </c>
    </row>
    <row r="2351">
      <c r="A2351" t="inlineStr">
        <is>
          <t>PRAGMA</t>
        </is>
      </c>
      <c r="B2351" t="inlineStr">
        <is>
          <t>M3</t>
        </is>
      </c>
      <c r="C2351" t="inlineStr">
        <is>
          <t>Cali</t>
        </is>
      </c>
      <c r="D2351" t="inlineStr">
        <is>
          <t>755</t>
        </is>
      </c>
      <c r="E2351" t="inlineStr">
        <is>
          <t>No aplica</t>
        </is>
      </c>
      <c r="F2351" s="23" t="n">
        <v>46275</v>
      </c>
      <c r="G2351" t="inlineStr">
        <is>
          <t>recoleccion</t>
        </is>
      </c>
      <c r="H2351" s="26" t="n">
        <v>475177558</v>
      </c>
      <c r="I2351" t="inlineStr">
        <is>
          <t>bajo</t>
        </is>
      </c>
      <c r="J2351" t="inlineStr">
        <is>
          <t>RN-41: efectivo ocioso sobre el techo</t>
        </is>
      </c>
      <c r="K2351" t="inlineStr">
        <is>
          <t>Recolección por efectivo ocioso: el saldo al cierre ($7.553.695.775) pasa el techo $7.078.518.217 (reserva + 15 días de salidas medias, tope en el cupo $7.841.008.200). Se recogen $475.177.558 y el saldo queda en $7.078.518.217. En sus últimos 180 días la sucursal recibe más de lo que paga (entradas medias $776.860.186/día &gt; salidas medias $430.082.504/día); el neto diario varía $363.711.738 (σ). Costo estimado $271.515 (Anexo E: fijo $13.969 + $5 por cada $10.000 movidos).</t>
        </is>
      </c>
      <c r="L2351" s="26" t="n">
        <v>7841008200</v>
      </c>
      <c r="M2351" s="26" t="n">
        <v>7553695775</v>
      </c>
      <c r="N2351" s="27">
        <f>IF(ISNUMBER(M2351),M2351/L2351,"No aplica")</f>
        <v>0.9633577191004595</v>
      </c>
      <c r="O2351" s="25">
        <f>IF(G2351="provision",M2351+H2351,IF(G2351="recoleccion",M2351-H2351,"No aplica"))</f>
        <v>7078518217</v>
      </c>
      <c r="P2351" s="26" t="n">
        <v>271515</v>
      </c>
    </row>
    <row r="2352">
      <c r="A2352" t="inlineStr">
        <is>
          <t>PRAGMA</t>
        </is>
      </c>
      <c r="B2352" t="inlineStr">
        <is>
          <t>M3</t>
        </is>
      </c>
      <c r="C2352" t="inlineStr">
        <is>
          <t>Cali</t>
        </is>
      </c>
      <c r="D2352" t="inlineStr">
        <is>
          <t>755</t>
        </is>
      </c>
      <c r="E2352" t="inlineStr">
        <is>
          <t>No aplica</t>
        </is>
      </c>
      <c r="F2352" s="23" t="n">
        <v>46276</v>
      </c>
      <c r="G2352" t="inlineStr">
        <is>
          <t>recoleccion</t>
        </is>
      </c>
      <c r="H2352" s="26" t="n">
        <v>671093426</v>
      </c>
      <c r="I2352" t="inlineStr">
        <is>
          <t>bajo</t>
        </is>
      </c>
      <c r="J2352" t="inlineStr">
        <is>
          <t>RN-41: efectivo ocioso sobre el techo</t>
        </is>
      </c>
      <c r="K2352" t="inlineStr">
        <is>
          <t>Recolección por efectivo ocioso: el saldo al cierre ($7.749.611.643) pasa el techo $7.078.518.217 (reserva + 15 días de salidas medias, tope en el cupo $7.841.008.200). Se recogen $671.093.426 y el saldo queda en $7.078.518.217. En sus últimos 180 días la sucursal recibe más de lo que paga (entradas medias $776.860.186/día &gt; salidas medias $430.082.504/día); el neto diario varía $363.711.738 (σ). Costo estimado $377.702 (Anexo E: fijo $13.969 + $5 por cada $10.000 movidos).</t>
        </is>
      </c>
      <c r="L2352" s="26" t="n">
        <v>7841008200</v>
      </c>
      <c r="M2352" s="26" t="n">
        <v>7749611643</v>
      </c>
      <c r="N2352" s="27">
        <f>IF(ISNUMBER(M2352),M2352/L2352,"No aplica")</f>
        <v>0.9883437748477294</v>
      </c>
      <c r="O2352" s="25">
        <f>IF(G2352="provision",M2352+H2352,IF(G2352="recoleccion",M2352-H2352,"No aplica"))</f>
        <v>7078518217</v>
      </c>
      <c r="P2352" s="26" t="n">
        <v>377702</v>
      </c>
    </row>
    <row r="2353">
      <c r="A2353" t="inlineStr">
        <is>
          <t>PRAGMA</t>
        </is>
      </c>
      <c r="B2353" t="inlineStr">
        <is>
          <t>M3</t>
        </is>
      </c>
      <c r="C2353" t="inlineStr">
        <is>
          <t>Cali</t>
        </is>
      </c>
      <c r="D2353" t="inlineStr">
        <is>
          <t>755</t>
        </is>
      </c>
      <c r="E2353" t="inlineStr">
        <is>
          <t>No aplica</t>
        </is>
      </c>
      <c r="F2353" s="23" t="n">
        <v>46277</v>
      </c>
      <c r="G2353" t="inlineStr">
        <is>
          <t>recoleccion</t>
        </is>
      </c>
      <c r="H2353" s="26" t="n">
        <v>13620323</v>
      </c>
      <c r="I2353" t="inlineStr">
        <is>
          <t>bajo</t>
        </is>
      </c>
      <c r="J2353" t="inlineStr">
        <is>
          <t>RN-41: efectivo ocioso sobre el techo</t>
        </is>
      </c>
      <c r="K2353" t="inlineStr">
        <is>
          <t>Recolección por efectivo ocioso: el saldo al cierre ($7.092.138.540) pasa el techo $7.078.518.217 (reserva + 15 días de salidas medias, tope en el cupo $7.841.008.200). Se recogen $13.620.323 y el saldo queda en $7.078.518.217. En sus últimos 180 días la sucursal recibe más de lo que paga (entradas medias $776.860.186/día &gt; salidas medias $430.082.504/día); el neto diario varía $363.711.738 (σ). Costo estimado $21.351 (Anexo E: fijo $13.969 + $5 por cada $10.000 movidos).</t>
        </is>
      </c>
      <c r="L2353" s="26" t="n">
        <v>7841008200</v>
      </c>
      <c r="M2353" s="26" t="n">
        <v>7092138540</v>
      </c>
      <c r="N2353" s="27">
        <f>IF(ISNUMBER(M2353),M2353/L2353,"No aplica")</f>
        <v>0.90449319259735</v>
      </c>
      <c r="O2353" s="25">
        <f>IF(G2353="provision",M2353+H2353,IF(G2353="recoleccion",M2353-H2353,"No aplica"))</f>
        <v>7078518217</v>
      </c>
      <c r="P2353" s="26" t="n">
        <v>21351</v>
      </c>
    </row>
    <row r="2354">
      <c r="A2354" t="inlineStr">
        <is>
          <t>PRAGMA</t>
        </is>
      </c>
      <c r="B2354" t="inlineStr">
        <is>
          <t>M3</t>
        </is>
      </c>
      <c r="C2354" t="inlineStr">
        <is>
          <t>Cali</t>
        </is>
      </c>
      <c r="D2354" t="inlineStr">
        <is>
          <t>755</t>
        </is>
      </c>
      <c r="E2354" t="inlineStr">
        <is>
          <t>No aplica</t>
        </is>
      </c>
      <c r="F2354" s="23" t="n">
        <v>46278</v>
      </c>
      <c r="G2354" t="inlineStr">
        <is>
          <t>recoleccion</t>
        </is>
      </c>
      <c r="H2354" s="26" t="n">
        <v>199049</v>
      </c>
      <c r="I2354" t="inlineStr">
        <is>
          <t>bajo</t>
        </is>
      </c>
      <c r="J2354" t="inlineStr">
        <is>
          <t>RN-41: efectivo ocioso sobre el techo</t>
        </is>
      </c>
      <c r="K2354" t="inlineStr">
        <is>
          <t>Recolección por efectivo ocioso: el saldo al cierre ($7.078.717.266) pasa el techo $7.078.518.217 (reserva + 15 días de salidas medias, tope en el cupo $7.841.008.200). Se recogen $199.049 y el saldo queda en $7.078.518.217. En sus últimos 180 días la sucursal recibe más de lo que paga (entradas medias $776.860.186/día &gt; salidas medias $430.082.504/día); el neto diario varía $363.711.738 (σ). Costo estimado $14.077 (Anexo E: fijo $13.969 + $5 por cada $10.000 movidos).</t>
        </is>
      </c>
      <c r="L2354" s="26" t="n">
        <v>7841008200</v>
      </c>
      <c r="M2354" s="26" t="n">
        <v>7078717266</v>
      </c>
      <c r="N2354" s="27">
        <f>IF(ISNUMBER(M2354),M2354/L2354,"No aplica")</f>
        <v>0.9027815155199047</v>
      </c>
      <c r="O2354" s="25">
        <f>IF(G2354="provision",M2354+H2354,IF(G2354="recoleccion",M2354-H2354,"No aplica"))</f>
        <v>7078518217</v>
      </c>
      <c r="P2354" s="26" t="n">
        <v>14077</v>
      </c>
    </row>
    <row r="2355">
      <c r="A2355" t="inlineStr">
        <is>
          <t>PRAGMA</t>
        </is>
      </c>
      <c r="B2355" t="inlineStr">
        <is>
          <t>M3</t>
        </is>
      </c>
      <c r="C2355" t="inlineStr">
        <is>
          <t>Cali</t>
        </is>
      </c>
      <c r="D2355" t="inlineStr">
        <is>
          <t>755</t>
        </is>
      </c>
      <c r="E2355" t="inlineStr">
        <is>
          <t>No aplica</t>
        </is>
      </c>
      <c r="F2355" s="23" t="n">
        <v>46279</v>
      </c>
      <c r="G2355" t="inlineStr">
        <is>
          <t>recoleccion</t>
        </is>
      </c>
      <c r="H2355" s="26" t="n">
        <v>636041781</v>
      </c>
      <c r="I2355" t="inlineStr">
        <is>
          <t>bajo</t>
        </is>
      </c>
      <c r="J2355" t="inlineStr">
        <is>
          <t>RN-41: efectivo ocioso sobre el techo</t>
        </is>
      </c>
      <c r="K2355" t="inlineStr">
        <is>
          <t>Recolección por efectivo ocioso: el saldo al cierre ($7.714.559.998) pasa el techo $7.078.518.217 (reserva + 15 días de salidas medias, tope en el cupo $7.841.008.200). Se recogen $636.041.781 y el saldo queda en $7.078.518.217. En sus últimos 180 días la sucursal recibe más de lo que paga (entradas medias $776.860.186/día &gt; salidas medias $430.082.504/día); el neto diario varía $363.711.738 (σ). Costo estimado $358.704 (Anexo E: fijo $13.969 + $5 por cada $10.000 movidos).</t>
        </is>
      </c>
      <c r="L2355" s="26" t="n">
        <v>7841008200</v>
      </c>
      <c r="M2355" s="26" t="n">
        <v>7714559998</v>
      </c>
      <c r="N2355" s="27">
        <f>IF(ISNUMBER(M2355),M2355/L2355,"No aplica")</f>
        <v>0.9838734766276612</v>
      </c>
      <c r="O2355" s="25">
        <f>IF(G2355="provision",M2355+H2355,IF(G2355="recoleccion",M2355-H2355,"No aplica"))</f>
        <v>7078518217</v>
      </c>
      <c r="P2355" s="26" t="n">
        <v>358704</v>
      </c>
    </row>
    <row r="2356">
      <c r="A2356" t="inlineStr">
        <is>
          <t>PRAGMA</t>
        </is>
      </c>
      <c r="B2356" t="inlineStr">
        <is>
          <t>M3</t>
        </is>
      </c>
      <c r="C2356" t="inlineStr">
        <is>
          <t>Cali</t>
        </is>
      </c>
      <c r="D2356" t="inlineStr">
        <is>
          <t>755</t>
        </is>
      </c>
      <c r="E2356" t="inlineStr">
        <is>
          <t>No aplica</t>
        </is>
      </c>
      <c r="F2356" s="23" t="n">
        <v>46280</v>
      </c>
      <c r="G2356" t="inlineStr">
        <is>
          <t>recoleccion</t>
        </is>
      </c>
      <c r="H2356" s="26" t="n">
        <v>620374846</v>
      </c>
      <c r="I2356" t="inlineStr">
        <is>
          <t>bajo</t>
        </is>
      </c>
      <c r="J2356" t="inlineStr">
        <is>
          <t>RN-41: efectivo ocioso sobre el techo</t>
        </is>
      </c>
      <c r="K2356" t="inlineStr">
        <is>
          <t>Recolección por efectivo ocioso: el saldo al cierre ($7.698.893.063) pasa el techo $7.078.518.217 (reserva + 15 días de salidas medias, tope en el cupo $7.841.008.200). Se recogen $620.374.846 y el saldo queda en $7.078.518.217. En sus últimos 180 días la sucursal recibe más de lo que paga (entradas medias $776.860.186/día &gt; salidas medias $430.082.504/día); el neto diario varía $363.711.738 (σ). Costo estimado $350.212 (Anexo E: fijo $13.969 + $5 por cada $10.000 movidos).</t>
        </is>
      </c>
      <c r="L2356" s="26" t="n">
        <v>7841008200</v>
      </c>
      <c r="M2356" s="26" t="n">
        <v>7698893063</v>
      </c>
      <c r="N2356" s="27">
        <f>IF(ISNUMBER(M2356),M2356/L2356,"No aplica")</f>
        <v>0.981875400028277</v>
      </c>
      <c r="O2356" s="25">
        <f>IF(G2356="provision",M2356+H2356,IF(G2356="recoleccion",M2356-H2356,"No aplica"))</f>
        <v>7078518217</v>
      </c>
      <c r="P2356" s="26" t="n">
        <v>350212</v>
      </c>
    </row>
    <row r="2357">
      <c r="A2357" t="inlineStr">
        <is>
          <t>PRAGMA</t>
        </is>
      </c>
      <c r="B2357" t="inlineStr">
        <is>
          <t>M3</t>
        </is>
      </c>
      <c r="C2357" t="inlineStr">
        <is>
          <t>Cali</t>
        </is>
      </c>
      <c r="D2357" t="inlineStr">
        <is>
          <t>769</t>
        </is>
      </c>
      <c r="E2357" t="inlineStr">
        <is>
          <t>No aplica</t>
        </is>
      </c>
      <c r="F2357" s="23" t="n">
        <v>46266</v>
      </c>
      <c r="G2357" t="inlineStr">
        <is>
          <t>recoleccion</t>
        </is>
      </c>
      <c r="H2357" s="26" t="n">
        <v>5060881428</v>
      </c>
      <c r="I2357" t="inlineStr">
        <is>
          <t>bajo</t>
        </is>
      </c>
      <c r="J2357" t="inlineStr">
        <is>
          <t>RN-41: riesgo de exceder el cupo</t>
        </is>
      </c>
      <c r="K2357" t="inlineStr">
        <is>
          <t>Recolección por riesgo de exceder el cupo: el saldo al cierre ($10.819.224.330) pasa el cupo $10.077.000.000. Se recogen $5.060.881.428 y el saldo queda en $5.758.342.902. En sus últimos 180 días la sucursal recibe más de lo que paga (entradas medias $826.265.668/día &gt; salidas medias $330.145.527/día); el neto diario varía $443.161.989 (σ). Costo estimado $2.882.818 (Anexo E: fijo $13.298 + $6 por cada $10.000 movidos).</t>
        </is>
      </c>
      <c r="L2357" s="26" t="n">
        <v>10077000000</v>
      </c>
      <c r="M2357" s="26" t="n">
        <v>10819224330</v>
      </c>
      <c r="N2357" s="27">
        <f>IF(ISNUMBER(M2357),M2357/L2357,"No aplica")</f>
        <v>1.0736552872878833</v>
      </c>
      <c r="O2357" s="25">
        <f>IF(G2357="provision",M2357+H2357,IF(G2357="recoleccion",M2357-H2357,"No aplica"))</f>
        <v>5758342902</v>
      </c>
      <c r="P2357" s="26" t="n">
        <v>2882818</v>
      </c>
    </row>
    <row r="2358">
      <c r="A2358" t="inlineStr">
        <is>
          <t>PRAGMA</t>
        </is>
      </c>
      <c r="B2358" t="inlineStr">
        <is>
          <t>M3</t>
        </is>
      </c>
      <c r="C2358" t="inlineStr">
        <is>
          <t>Cali</t>
        </is>
      </c>
      <c r="D2358" t="inlineStr">
        <is>
          <t>769</t>
        </is>
      </c>
      <c r="E2358" t="inlineStr">
        <is>
          <t>No aplica</t>
        </is>
      </c>
      <c r="F2358" s="23" t="n">
        <v>46267</v>
      </c>
      <c r="G2358" t="inlineStr">
        <is>
          <t>recoleccion</t>
        </is>
      </c>
      <c r="H2358" s="26" t="n">
        <v>727901356</v>
      </c>
      <c r="I2358" t="inlineStr">
        <is>
          <t>bajo</t>
        </is>
      </c>
      <c r="J2358" t="inlineStr">
        <is>
          <t>RN-41: efectivo ocioso sobre el techo</t>
        </is>
      </c>
      <c r="K2358" t="inlineStr">
        <is>
          <t>Recolección por efectivo ocioso: el saldo al cierre ($6.486.244.258) pasa el techo $5.758.342.902 (reserva + 15 días de salidas medias, tope en el cupo $10.077.000.000). Se recogen $727.901.356 y el saldo queda en $5.758.342.902. En sus últimos 180 días la sucursal recibe más de lo que paga (entradas medias $826.265.668/día &gt; salidas medias $330.145.527/día); el neto diario varía $443.161.989 (σ). Costo estimado $426.018 (Anexo E: fijo $13.298 + $6 por cada $10.000 movidos).</t>
        </is>
      </c>
      <c r="L2358" s="26" t="n">
        <v>10077000000</v>
      </c>
      <c r="M2358" s="26" t="n">
        <v>6486244258</v>
      </c>
      <c r="N2358" s="27">
        <f>IF(ISNUMBER(M2358),M2358/L2358,"No aplica")</f>
        <v>0.6436681808077801</v>
      </c>
      <c r="O2358" s="25">
        <f>IF(G2358="provision",M2358+H2358,IF(G2358="recoleccion",M2358-H2358,"No aplica"))</f>
        <v>5758342902</v>
      </c>
      <c r="P2358" s="26" t="n">
        <v>426018</v>
      </c>
    </row>
    <row r="2359">
      <c r="A2359" t="inlineStr">
        <is>
          <t>PRAGMA</t>
        </is>
      </c>
      <c r="B2359" t="inlineStr">
        <is>
          <t>M3</t>
        </is>
      </c>
      <c r="C2359" t="inlineStr">
        <is>
          <t>Cali</t>
        </is>
      </c>
      <c r="D2359" t="inlineStr">
        <is>
          <t>769</t>
        </is>
      </c>
      <c r="E2359" t="inlineStr">
        <is>
          <t>No aplica</t>
        </is>
      </c>
      <c r="F2359" s="23" t="n">
        <v>46268</v>
      </c>
      <c r="G2359" t="inlineStr">
        <is>
          <t>recoleccion</t>
        </is>
      </c>
      <c r="H2359" s="26" t="n">
        <v>767205166</v>
      </c>
      <c r="I2359" t="inlineStr">
        <is>
          <t>bajo</t>
        </is>
      </c>
      <c r="J2359" t="inlineStr">
        <is>
          <t>RN-41: efectivo ocioso sobre el techo</t>
        </is>
      </c>
      <c r="K2359" t="inlineStr">
        <is>
          <t>Recolección por efectivo ocioso: el saldo al cierre ($6.525.548.068) pasa el techo $5.758.342.902 (reserva + 15 días de salidas medias, tope en el cupo $10.077.000.000). Se recogen $767.205.166 y el saldo queda en $5.758.342.902. En sus últimos 180 días la sucursal recibe más de lo que paga (entradas medias $826.265.668/día &gt; salidas medias $330.145.527/día); el neto diario varía $443.161.989 (σ). Costo estimado $448.303 (Anexo E: fijo $13.298 + $6 por cada $10.000 movidos).</t>
        </is>
      </c>
      <c r="L2359" s="26" t="n">
        <v>10077000000</v>
      </c>
      <c r="M2359" s="26" t="n">
        <v>6525548068</v>
      </c>
      <c r="N2359" s="27">
        <f>IF(ISNUMBER(M2359),M2359/L2359,"No aplica")</f>
        <v>0.6475685291257318</v>
      </c>
      <c r="O2359" s="25">
        <f>IF(G2359="provision",M2359+H2359,IF(G2359="recoleccion",M2359-H2359,"No aplica"))</f>
        <v>5758342902</v>
      </c>
      <c r="P2359" s="26" t="n">
        <v>448303</v>
      </c>
    </row>
    <row r="2360">
      <c r="A2360" t="inlineStr">
        <is>
          <t>PRAGMA</t>
        </is>
      </c>
      <c r="B2360" t="inlineStr">
        <is>
          <t>M3</t>
        </is>
      </c>
      <c r="C2360" t="inlineStr">
        <is>
          <t>Cali</t>
        </is>
      </c>
      <c r="D2360" t="inlineStr">
        <is>
          <t>769</t>
        </is>
      </c>
      <c r="E2360" t="inlineStr">
        <is>
          <t>No aplica</t>
        </is>
      </c>
      <c r="F2360" s="23" t="n">
        <v>46269</v>
      </c>
      <c r="G2360" t="inlineStr">
        <is>
          <t>recoleccion</t>
        </is>
      </c>
      <c r="H2360" s="26" t="n">
        <v>608782859</v>
      </c>
      <c r="I2360" t="inlineStr">
        <is>
          <t>bajo</t>
        </is>
      </c>
      <c r="J2360" t="inlineStr">
        <is>
          <t>RN-41: efectivo ocioso sobre el techo</t>
        </is>
      </c>
      <c r="K2360" t="inlineStr">
        <is>
          <t>Recolección por efectivo ocioso: el saldo al cierre ($6.367.125.761) pasa el techo $5.758.342.902 (reserva + 15 días de salidas medias, tope en el cupo $10.077.000.000). Se recogen $608.782.859 y el saldo queda en $5.758.342.902. En sus últimos 180 días la sucursal recibe más de lo que paga (entradas medias $826.265.668/día &gt; salidas medias $330.145.527/día); el neto diario varía $443.161.989 (σ). Costo estimado $358.478 (Anexo E: fijo $13.298 + $6 por cada $10.000 movidos).</t>
        </is>
      </c>
      <c r="L2360" s="26" t="n">
        <v>10077000000</v>
      </c>
      <c r="M2360" s="26" t="n">
        <v>6367125761</v>
      </c>
      <c r="N2360" s="27">
        <f>IF(ISNUMBER(M2360),M2360/L2360,"No aplica")</f>
        <v>0.6318473514935</v>
      </c>
      <c r="O2360" s="25">
        <f>IF(G2360="provision",M2360+H2360,IF(G2360="recoleccion",M2360-H2360,"No aplica"))</f>
        <v>5758342902</v>
      </c>
      <c r="P2360" s="26" t="n">
        <v>358478</v>
      </c>
    </row>
    <row r="2361">
      <c r="A2361" t="inlineStr">
        <is>
          <t>PRAGMA</t>
        </is>
      </c>
      <c r="B2361" t="inlineStr">
        <is>
          <t>M3</t>
        </is>
      </c>
      <c r="C2361" t="inlineStr">
        <is>
          <t>Cali</t>
        </is>
      </c>
      <c r="D2361" t="inlineStr">
        <is>
          <t>769</t>
        </is>
      </c>
      <c r="E2361" t="inlineStr">
        <is>
          <t>No aplica</t>
        </is>
      </c>
      <c r="F2361" s="23" t="n">
        <v>46270</v>
      </c>
      <c r="G2361" t="inlineStr">
        <is>
          <t>recoleccion</t>
        </is>
      </c>
      <c r="H2361" s="26" t="n">
        <v>2981337</v>
      </c>
      <c r="I2361" t="inlineStr">
        <is>
          <t>bajo</t>
        </is>
      </c>
      <c r="J2361" t="inlineStr">
        <is>
          <t>RN-41: efectivo ocioso sobre el techo</t>
        </is>
      </c>
      <c r="K2361" t="inlineStr">
        <is>
          <t>Recolección por efectivo ocioso: el saldo al cierre ($5.761.324.239) pasa el techo $5.758.342.902 (reserva + 15 días de salidas medias, tope en el cupo $10.077.000.000). Se recogen $2.981.337 y el saldo queda en $5.758.342.902. En sus últimos 180 días la sucursal recibe más de lo que paga (entradas medias $826.265.668/día &gt; salidas medias $330.145.527/día); el neto diario varía $443.161.989 (σ). Costo estimado $14.988 (Anexo E: fijo $13.298 + $6 por cada $10.000 movidos).</t>
        </is>
      </c>
      <c r="L2361" s="26" t="n">
        <v>10077000000</v>
      </c>
      <c r="M2361" s="26" t="n">
        <v>5761324239</v>
      </c>
      <c r="N2361" s="27">
        <f>IF(ISNUMBER(M2361),M2361/L2361,"No aplica")</f>
        <v>0.5717301021137243</v>
      </c>
      <c r="O2361" s="25">
        <f>IF(G2361="provision",M2361+H2361,IF(G2361="recoleccion",M2361-H2361,"No aplica"))</f>
        <v>5758342902</v>
      </c>
      <c r="P2361" s="26" t="n">
        <v>14988</v>
      </c>
    </row>
    <row r="2362">
      <c r="A2362" t="inlineStr">
        <is>
          <t>PRAGMA</t>
        </is>
      </c>
      <c r="B2362" t="inlineStr">
        <is>
          <t>M3</t>
        </is>
      </c>
      <c r="C2362" t="inlineStr">
        <is>
          <t>Cali</t>
        </is>
      </c>
      <c r="D2362" t="inlineStr">
        <is>
          <t>769</t>
        </is>
      </c>
      <c r="E2362" t="inlineStr">
        <is>
          <t>No aplica</t>
        </is>
      </c>
      <c r="F2362" s="23" t="n">
        <v>46271</v>
      </c>
      <c r="G2362" t="inlineStr">
        <is>
          <t>recoleccion</t>
        </is>
      </c>
      <c r="H2362" s="26" t="n">
        <v>1558149</v>
      </c>
      <c r="I2362" t="inlineStr">
        <is>
          <t>bajo</t>
        </is>
      </c>
      <c r="J2362" t="inlineStr">
        <is>
          <t>RN-41: efectivo ocioso sobre el techo</t>
        </is>
      </c>
      <c r="K2362" t="inlineStr">
        <is>
          <t>Recolección por efectivo ocioso: el saldo al cierre ($5.759.901.051) pasa el techo $5.758.342.902 (reserva + 15 días de salidas medias, tope en el cupo $10.077.000.000). Se recogen $1.558.149 y el saldo queda en $5.758.342.902. En sus últimos 180 días la sucursal recibe más de lo que paga (entradas medias $826.265.668/día &gt; salidas medias $330.145.527/día); el neto diario varía $443.161.989 (σ). Costo estimado $14.181 (Anexo E: fijo $13.298 + $6 por cada $10.000 movidos).</t>
        </is>
      </c>
      <c r="L2362" s="26" t="n">
        <v>10077000000</v>
      </c>
      <c r="M2362" s="26" t="n">
        <v>5759901051</v>
      </c>
      <c r="N2362" s="27">
        <f>IF(ISNUMBER(M2362),M2362/L2362,"No aplica")</f>
        <v>0.5715888707948794</v>
      </c>
      <c r="O2362" s="25">
        <f>IF(G2362="provision",M2362+H2362,IF(G2362="recoleccion",M2362-H2362,"No aplica"))</f>
        <v>5758342902</v>
      </c>
      <c r="P2362" s="26" t="n">
        <v>14181</v>
      </c>
    </row>
    <row r="2363">
      <c r="A2363" t="inlineStr">
        <is>
          <t>PRAGMA</t>
        </is>
      </c>
      <c r="B2363" t="inlineStr">
        <is>
          <t>M3</t>
        </is>
      </c>
      <c r="C2363" t="inlineStr">
        <is>
          <t>Cali</t>
        </is>
      </c>
      <c r="D2363" t="inlineStr">
        <is>
          <t>769</t>
        </is>
      </c>
      <c r="E2363" t="inlineStr">
        <is>
          <t>No aplica</t>
        </is>
      </c>
      <c r="F2363" s="23" t="n">
        <v>46272</v>
      </c>
      <c r="G2363" t="inlineStr">
        <is>
          <t>recoleccion</t>
        </is>
      </c>
      <c r="H2363" s="26" t="n">
        <v>750837822</v>
      </c>
      <c r="I2363" t="inlineStr">
        <is>
          <t>bajo</t>
        </is>
      </c>
      <c r="J2363" t="inlineStr">
        <is>
          <t>RN-41: efectivo ocioso sobre el techo</t>
        </is>
      </c>
      <c r="K2363" t="inlineStr">
        <is>
          <t>Recolección por efectivo ocioso: el saldo al cierre ($6.509.180.724) pasa el techo $5.758.342.902 (reserva + 15 días de salidas medias, tope en el cupo $10.077.000.000). Se recogen $750.837.822 y el saldo queda en $5.758.342.902. En sus últimos 180 días la sucursal recibe más de lo que paga (entradas medias $826.265.668/día &gt; salidas medias $330.145.527/día); el neto diario varía $443.161.989 (σ). Costo estimado $439.023 (Anexo E: fijo $13.298 + $6 por cada $10.000 movidos).</t>
        </is>
      </c>
      <c r="L2363" s="26" t="n">
        <v>10077000000</v>
      </c>
      <c r="M2363" s="26" t="n">
        <v>6509180724</v>
      </c>
      <c r="N2363" s="27">
        <f>IF(ISNUMBER(M2363),M2363/L2363,"No aplica")</f>
        <v>0.6459443012801429</v>
      </c>
      <c r="O2363" s="25">
        <f>IF(G2363="provision",M2363+H2363,IF(G2363="recoleccion",M2363-H2363,"No aplica"))</f>
        <v>5758342902</v>
      </c>
      <c r="P2363" s="26" t="n">
        <v>439023</v>
      </c>
    </row>
    <row r="2364">
      <c r="A2364" t="inlineStr">
        <is>
          <t>PRAGMA</t>
        </is>
      </c>
      <c r="B2364" t="inlineStr">
        <is>
          <t>M3</t>
        </is>
      </c>
      <c r="C2364" t="inlineStr">
        <is>
          <t>Cali</t>
        </is>
      </c>
      <c r="D2364" t="inlineStr">
        <is>
          <t>769</t>
        </is>
      </c>
      <c r="E2364" t="inlineStr">
        <is>
          <t>No aplica</t>
        </is>
      </c>
      <c r="F2364" s="23" t="n">
        <v>46273</v>
      </c>
      <c r="G2364" t="inlineStr">
        <is>
          <t>recoleccion</t>
        </is>
      </c>
      <c r="H2364" s="26" t="n">
        <v>854248434</v>
      </c>
      <c r="I2364" t="inlineStr">
        <is>
          <t>bajo</t>
        </is>
      </c>
      <c r="J2364" t="inlineStr">
        <is>
          <t>RN-41: efectivo ocioso sobre el techo</t>
        </is>
      </c>
      <c r="K2364" t="inlineStr">
        <is>
          <t>Recolección por efectivo ocioso: el saldo al cierre ($6.612.591.336) pasa el techo $5.758.342.902 (reserva + 15 días de salidas medias, tope en el cupo $10.077.000.000). Se recogen $854.248.434 y el saldo queda en $5.758.342.902. En sus últimos 180 días la sucursal recibe más de lo que paga (entradas medias $826.265.668/día &gt; salidas medias $330.145.527/día); el neto diario varía $443.161.989 (σ). Costo estimado $497.657 (Anexo E: fijo $13.298 + $6 por cada $10.000 movidos).</t>
        </is>
      </c>
      <c r="L2364" s="26" t="n">
        <v>10077000000</v>
      </c>
      <c r="M2364" s="26" t="n">
        <v>6612591336</v>
      </c>
      <c r="N2364" s="27">
        <f>IF(ISNUMBER(M2364),M2364/L2364,"No aplica")</f>
        <v>0.6562063447454599</v>
      </c>
      <c r="O2364" s="25">
        <f>IF(G2364="provision",M2364+H2364,IF(G2364="recoleccion",M2364-H2364,"No aplica"))</f>
        <v>5758342902</v>
      </c>
      <c r="P2364" s="26" t="n">
        <v>497657</v>
      </c>
    </row>
    <row r="2365">
      <c r="A2365" t="inlineStr">
        <is>
          <t>PRAGMA</t>
        </is>
      </c>
      <c r="B2365" t="inlineStr">
        <is>
          <t>M3</t>
        </is>
      </c>
      <c r="C2365" t="inlineStr">
        <is>
          <t>Cali</t>
        </is>
      </c>
      <c r="D2365" t="inlineStr">
        <is>
          <t>769</t>
        </is>
      </c>
      <c r="E2365" t="inlineStr">
        <is>
          <t>No aplica</t>
        </is>
      </c>
      <c r="F2365" s="23" t="n">
        <v>46274</v>
      </c>
      <c r="G2365" t="inlineStr">
        <is>
          <t>recoleccion</t>
        </is>
      </c>
      <c r="H2365" s="26" t="n">
        <v>811895711</v>
      </c>
      <c r="I2365" t="inlineStr">
        <is>
          <t>bajo</t>
        </is>
      </c>
      <c r="J2365" t="inlineStr">
        <is>
          <t>RN-41: efectivo ocioso sobre el techo</t>
        </is>
      </c>
      <c r="K2365" t="inlineStr">
        <is>
          <t>Recolección por efectivo ocioso: el saldo al cierre ($6.570.238.613) pasa el techo $5.758.342.902 (reserva + 15 días de salidas medias, tope en el cupo $10.077.000.000). Se recogen $811.895.711 y el saldo queda en $5.758.342.902. En sus últimos 180 días la sucursal recibe más de lo que paga (entradas medias $826.265.668/día &gt; salidas medias $330.145.527/día); el neto diario varía $443.161.989 (σ). Costo estimado $473.643 (Anexo E: fijo $13.298 + $6 por cada $10.000 movidos).</t>
        </is>
      </c>
      <c r="L2365" s="26" t="n">
        <v>10077000000</v>
      </c>
      <c r="M2365" s="26" t="n">
        <v>6570238613</v>
      </c>
      <c r="N2365" s="27">
        <f>IF(ISNUMBER(M2365),M2365/L2365,"No aplica")</f>
        <v>0.6520034348516424</v>
      </c>
      <c r="O2365" s="25">
        <f>IF(G2365="provision",M2365+H2365,IF(G2365="recoleccion",M2365-H2365,"No aplica"))</f>
        <v>5758342902</v>
      </c>
      <c r="P2365" s="26" t="n">
        <v>473643</v>
      </c>
    </row>
    <row r="2366">
      <c r="A2366" t="inlineStr">
        <is>
          <t>PRAGMA</t>
        </is>
      </c>
      <c r="B2366" t="inlineStr">
        <is>
          <t>M3</t>
        </is>
      </c>
      <c r="C2366" t="inlineStr">
        <is>
          <t>Cali</t>
        </is>
      </c>
      <c r="D2366" t="inlineStr">
        <is>
          <t>769</t>
        </is>
      </c>
      <c r="E2366" t="inlineStr">
        <is>
          <t>No aplica</t>
        </is>
      </c>
      <c r="F2366" s="23" t="n">
        <v>46275</v>
      </c>
      <c r="G2366" t="inlineStr">
        <is>
          <t>recoleccion</t>
        </is>
      </c>
      <c r="H2366" s="26" t="n">
        <v>659325306</v>
      </c>
      <c r="I2366" t="inlineStr">
        <is>
          <t>bajo</t>
        </is>
      </c>
      <c r="J2366" t="inlineStr">
        <is>
          <t>RN-41: efectivo ocioso sobre el techo</t>
        </is>
      </c>
      <c r="K2366" t="inlineStr">
        <is>
          <t>Recolección por efectivo ocioso: el saldo al cierre ($6.417.668.208) pasa el techo $5.758.342.902 (reserva + 15 días de salidas medias, tope en el cupo $10.077.000.000). Se recogen $659.325.306 y el saldo queda en $5.758.342.902. En sus últimos 180 días la sucursal recibe más de lo que paga (entradas medias $826.265.668/día &gt; salidas medias $330.145.527/día); el neto diario varía $443.161.989 (σ). Costo estimado $387.135 (Anexo E: fijo $13.298 + $6 por cada $10.000 movidos).</t>
        </is>
      </c>
      <c r="L2366" s="26" t="n">
        <v>10077000000</v>
      </c>
      <c r="M2366" s="26" t="n">
        <v>6417668208</v>
      </c>
      <c r="N2366" s="27">
        <f>IF(ISNUMBER(M2366),M2366/L2366,"No aplica")</f>
        <v>0.6368629758856803</v>
      </c>
      <c r="O2366" s="25">
        <f>IF(G2366="provision",M2366+H2366,IF(G2366="recoleccion",M2366-H2366,"No aplica"))</f>
        <v>5758342902</v>
      </c>
      <c r="P2366" s="26" t="n">
        <v>387135</v>
      </c>
    </row>
    <row r="2367">
      <c r="A2367" t="inlineStr">
        <is>
          <t>PRAGMA</t>
        </is>
      </c>
      <c r="B2367" t="inlineStr">
        <is>
          <t>M3</t>
        </is>
      </c>
      <c r="C2367" t="inlineStr">
        <is>
          <t>Cali</t>
        </is>
      </c>
      <c r="D2367" t="inlineStr">
        <is>
          <t>769</t>
        </is>
      </c>
      <c r="E2367" t="inlineStr">
        <is>
          <t>No aplica</t>
        </is>
      </c>
      <c r="F2367" s="23" t="n">
        <v>46276</v>
      </c>
      <c r="G2367" t="inlineStr">
        <is>
          <t>recoleccion</t>
        </is>
      </c>
      <c r="H2367" s="26" t="n">
        <v>706273795</v>
      </c>
      <c r="I2367" t="inlineStr">
        <is>
          <t>bajo</t>
        </is>
      </c>
      <c r="J2367" t="inlineStr">
        <is>
          <t>RN-41: efectivo ocioso sobre el techo</t>
        </is>
      </c>
      <c r="K2367" t="inlineStr">
        <is>
          <t>Recolección por efectivo ocioso: el saldo al cierre ($6.464.616.697) pasa el techo $5.758.342.902 (reserva + 15 días de salidas medias, tope en el cupo $10.077.000.000). Se recogen $706.273.795 y el saldo queda en $5.758.342.902. En sus últimos 180 días la sucursal recibe más de lo que paga (entradas medias $826.265.668/día &gt; salidas medias $330.145.527/día); el neto diario varía $443.161.989 (σ). Costo estimado $413.755 (Anexo E: fijo $13.298 + $6 por cada $10.000 movidos).</t>
        </is>
      </c>
      <c r="L2367" s="26" t="n">
        <v>10077000000</v>
      </c>
      <c r="M2367" s="26" t="n">
        <v>6464616697</v>
      </c>
      <c r="N2367" s="27">
        <f>IF(ISNUMBER(M2367),M2367/L2367,"No aplica")</f>
        <v>0.6415219506797658</v>
      </c>
      <c r="O2367" s="25">
        <f>IF(G2367="provision",M2367+H2367,IF(G2367="recoleccion",M2367-H2367,"No aplica"))</f>
        <v>5758342902</v>
      </c>
      <c r="P2367" s="26" t="n">
        <v>413755</v>
      </c>
    </row>
    <row r="2368">
      <c r="A2368" t="inlineStr">
        <is>
          <t>PRAGMA</t>
        </is>
      </c>
      <c r="B2368" t="inlineStr">
        <is>
          <t>M3</t>
        </is>
      </c>
      <c r="C2368" t="inlineStr">
        <is>
          <t>Cali</t>
        </is>
      </c>
      <c r="D2368" t="inlineStr">
        <is>
          <t>769</t>
        </is>
      </c>
      <c r="E2368" t="inlineStr">
        <is>
          <t>No aplica</t>
        </is>
      </c>
      <c r="F2368" s="23" t="n">
        <v>46277</v>
      </c>
      <c r="G2368" t="inlineStr">
        <is>
          <t>recoleccion</t>
        </is>
      </c>
      <c r="H2368" s="26" t="n">
        <v>2243722</v>
      </c>
      <c r="I2368" t="inlineStr">
        <is>
          <t>bajo</t>
        </is>
      </c>
      <c r="J2368" t="inlineStr">
        <is>
          <t>RN-41: efectivo ocioso sobre el techo</t>
        </is>
      </c>
      <c r="K2368" t="inlineStr">
        <is>
          <t>Recolección por efectivo ocioso: el saldo al cierre ($5.760.586.624) pasa el techo $5.758.342.902 (reserva + 15 días de salidas medias, tope en el cupo $10.077.000.000). Se recogen $2.243.722 y el saldo queda en $5.758.342.902. En sus últimos 180 días la sucursal recibe más de lo que paga (entradas medias $826.265.668/día &gt; salidas medias $330.145.527/día); el neto diario varía $443.161.989 (σ). Costo estimado $14.570 (Anexo E: fijo $13.298 + $6 por cada $10.000 movidos).</t>
        </is>
      </c>
      <c r="L2368" s="26" t="n">
        <v>10077000000</v>
      </c>
      <c r="M2368" s="26" t="n">
        <v>5760586624</v>
      </c>
      <c r="N2368" s="27">
        <f>IF(ISNUMBER(M2368),M2368/L2368,"No aplica")</f>
        <v>0.5716569042373723</v>
      </c>
      <c r="O2368" s="25">
        <f>IF(G2368="provision",M2368+H2368,IF(G2368="recoleccion",M2368-H2368,"No aplica"))</f>
        <v>5758342902</v>
      </c>
      <c r="P2368" s="26" t="n">
        <v>14570</v>
      </c>
    </row>
    <row r="2369">
      <c r="A2369" t="inlineStr">
        <is>
          <t>PRAGMA</t>
        </is>
      </c>
      <c r="B2369" t="inlineStr">
        <is>
          <t>M3</t>
        </is>
      </c>
      <c r="C2369" t="inlineStr">
        <is>
          <t>Cali</t>
        </is>
      </c>
      <c r="D2369" t="inlineStr">
        <is>
          <t>769</t>
        </is>
      </c>
      <c r="E2369" t="inlineStr">
        <is>
          <t>No aplica</t>
        </is>
      </c>
      <c r="F2369" s="23" t="n">
        <v>46278</v>
      </c>
      <c r="G2369" t="inlineStr">
        <is>
          <t>recoleccion</t>
        </is>
      </c>
      <c r="H2369" s="26" t="n">
        <v>25404</v>
      </c>
      <c r="I2369" t="inlineStr">
        <is>
          <t>bajo</t>
        </is>
      </c>
      <c r="J2369" t="inlineStr">
        <is>
          <t>RN-41: efectivo ocioso sobre el techo</t>
        </is>
      </c>
      <c r="K2369" t="inlineStr">
        <is>
          <t>Recolección por efectivo ocioso: el saldo al cierre ($5.758.368.306) pasa el techo $5.758.342.902 (reserva + 15 días de salidas medias, tope en el cupo $10.077.000.000). Se recogen $25.404 y el saldo queda en $5.758.342.902. En sus últimos 180 días la sucursal recibe más de lo que paga (entradas medias $826.265.668/día &gt; salidas medias $330.145.527/día); el neto diario varía $443.161.989 (σ). Costo estimado $13.312 (Anexo E: fijo $13.298 + $6 por cada $10.000 movidos).</t>
        </is>
      </c>
      <c r="L2369" s="26" t="n">
        <v>10077000000</v>
      </c>
      <c r="M2369" s="26" t="n">
        <v>5758368306</v>
      </c>
      <c r="N2369" s="27">
        <f>IF(ISNUMBER(M2369),M2369/L2369,"No aplica")</f>
        <v>0.5714367674903245</v>
      </c>
      <c r="O2369" s="25">
        <f>IF(G2369="provision",M2369+H2369,IF(G2369="recoleccion",M2369-H2369,"No aplica"))</f>
        <v>5758342902</v>
      </c>
      <c r="P2369" s="26" t="n">
        <v>13312</v>
      </c>
    </row>
    <row r="2370">
      <c r="A2370" t="inlineStr">
        <is>
          <t>PRAGMA</t>
        </is>
      </c>
      <c r="B2370" t="inlineStr">
        <is>
          <t>M3</t>
        </is>
      </c>
      <c r="C2370" t="inlineStr">
        <is>
          <t>Cali</t>
        </is>
      </c>
      <c r="D2370" t="inlineStr">
        <is>
          <t>769</t>
        </is>
      </c>
      <c r="E2370" t="inlineStr">
        <is>
          <t>No aplica</t>
        </is>
      </c>
      <c r="F2370" s="23" t="n">
        <v>46279</v>
      </c>
      <c r="G2370" t="inlineStr">
        <is>
          <t>recoleccion</t>
        </is>
      </c>
      <c r="H2370" s="26" t="n">
        <v>816557332</v>
      </c>
      <c r="I2370" t="inlineStr">
        <is>
          <t>bajo</t>
        </is>
      </c>
      <c r="J2370" t="inlineStr">
        <is>
          <t>RN-41: efectivo ocioso sobre el techo</t>
        </is>
      </c>
      <c r="K2370" t="inlineStr">
        <is>
          <t>Recolección por efectivo ocioso: el saldo al cierre ($6.574.900.234) pasa el techo $5.758.342.902 (reserva + 15 días de salidas medias, tope en el cupo $10.077.000.000). Se recogen $816.557.332 y el saldo queda en $5.758.342.902. En sus últimos 180 días la sucursal recibe más de lo que paga (entradas medias $826.265.668/día &gt; salidas medias $330.145.527/día); el neto diario varía $443.161.989 (σ). Costo estimado $476.286 (Anexo E: fijo $13.298 + $6 por cada $10.000 movidos).</t>
        </is>
      </c>
      <c r="L2370" s="26" t="n">
        <v>10077000000</v>
      </c>
      <c r="M2370" s="26" t="n">
        <v>6574900234</v>
      </c>
      <c r="N2370" s="27">
        <f>IF(ISNUMBER(M2370),M2370/L2370,"No aplica")</f>
        <v>0.6524660349310311</v>
      </c>
      <c r="O2370" s="25">
        <f>IF(G2370="provision",M2370+H2370,IF(G2370="recoleccion",M2370-H2370,"No aplica"))</f>
        <v>5758342902</v>
      </c>
      <c r="P2370" s="26" t="n">
        <v>476286</v>
      </c>
    </row>
    <row r="2371">
      <c r="A2371" t="inlineStr">
        <is>
          <t>PRAGMA</t>
        </is>
      </c>
      <c r="B2371" t="inlineStr">
        <is>
          <t>M3</t>
        </is>
      </c>
      <c r="C2371" t="inlineStr">
        <is>
          <t>Cali</t>
        </is>
      </c>
      <c r="D2371" t="inlineStr">
        <is>
          <t>769</t>
        </is>
      </c>
      <c r="E2371" t="inlineStr">
        <is>
          <t>No aplica</t>
        </is>
      </c>
      <c r="F2371" s="23" t="n">
        <v>46280</v>
      </c>
      <c r="G2371" t="inlineStr">
        <is>
          <t>recoleccion</t>
        </is>
      </c>
      <c r="H2371" s="26" t="n">
        <v>820002848</v>
      </c>
      <c r="I2371" t="inlineStr">
        <is>
          <t>bajo</t>
        </is>
      </c>
      <c r="J2371" t="inlineStr">
        <is>
          <t>RN-41: efectivo ocioso sobre el techo</t>
        </is>
      </c>
      <c r="K2371" t="inlineStr">
        <is>
          <t>Recolección por efectivo ocioso: el saldo al cierre ($6.578.345.750) pasa el techo $5.758.342.902 (reserva + 15 días de salidas medias, tope en el cupo $10.077.000.000). Se recogen $820.002.848 y el saldo queda en $5.758.342.902. En sus últimos 180 días la sucursal recibe más de lo que paga (entradas medias $826.265.668/día &gt; salidas medias $330.145.527/día); el neto diario varía $443.161.989 (σ). Costo estimado $478.240 (Anexo E: fijo $13.298 + $6 por cada $10.000 movidos).</t>
        </is>
      </c>
      <c r="L2371" s="26" t="n">
        <v>10077000000</v>
      </c>
      <c r="M2371" s="26" t="n">
        <v>6578345750</v>
      </c>
      <c r="N2371" s="27">
        <f>IF(ISNUMBER(M2371),M2371/L2371,"No aplica")</f>
        <v>0.6528079537560783</v>
      </c>
      <c r="O2371" s="25">
        <f>IF(G2371="provision",M2371+H2371,IF(G2371="recoleccion",M2371-H2371,"No aplica"))</f>
        <v>5758342902</v>
      </c>
      <c r="P2371" s="26" t="n">
        <v>478240</v>
      </c>
    </row>
    <row r="2372">
      <c r="A2372" t="inlineStr">
        <is>
          <t>PRAGMA</t>
        </is>
      </c>
      <c r="B2372" t="inlineStr">
        <is>
          <t>M3</t>
        </is>
      </c>
      <c r="C2372" t="inlineStr">
        <is>
          <t>Pasto</t>
        </is>
      </c>
      <c r="D2372" t="inlineStr">
        <is>
          <t>79</t>
        </is>
      </c>
      <c r="E2372" t="inlineStr">
        <is>
          <t>No aplica</t>
        </is>
      </c>
      <c r="F2372" s="23" t="n">
        <v>46266</v>
      </c>
      <c r="G2372" t="inlineStr">
        <is>
          <t>recoleccion</t>
        </is>
      </c>
      <c r="H2372" s="26" t="n">
        <v>491213096</v>
      </c>
      <c r="I2372" t="inlineStr">
        <is>
          <t>bajo</t>
        </is>
      </c>
      <c r="J2372" t="inlineStr">
        <is>
          <t>RN-41: riesgo de exceder el cupo</t>
        </is>
      </c>
      <c r="K2372" t="inlineStr">
        <is>
          <t>Recolección por riesgo de exceder el cupo: el saldo al cierre ($11.027.568.296) pasa el cupo $10.536.355.200. Se recogen $491.213.096 y el saldo queda en $10.536.355.200. En sus últimos 180 días la sucursal recibe más de lo que paga (entradas medias $1.252.512.994/día &gt; salidas medias $834.918.799/día); el neto diario varía $580.239.416 (σ). Costo estimado $246.685 (Anexo E: fijo $11.885 + $5 por cada $10.000 movidos).</t>
        </is>
      </c>
      <c r="L2372" s="26" t="n">
        <v>10536355200</v>
      </c>
      <c r="M2372" s="26" t="n">
        <v>11027568296</v>
      </c>
      <c r="N2372" s="27">
        <f>IF(ISNUMBER(M2372),M2372/L2372,"No aplica")</f>
        <v>1.0466207798309608</v>
      </c>
      <c r="O2372" s="25">
        <f>IF(G2372="provision",M2372+H2372,IF(G2372="recoleccion",M2372-H2372,"No aplica"))</f>
        <v>10536355200</v>
      </c>
      <c r="P2372" s="26" t="n">
        <v>246685</v>
      </c>
    </row>
    <row r="2373">
      <c r="A2373" t="inlineStr">
        <is>
          <t>PRAGMA</t>
        </is>
      </c>
      <c r="B2373" t="inlineStr">
        <is>
          <t>M3</t>
        </is>
      </c>
      <c r="C2373" t="inlineStr">
        <is>
          <t>Pasto</t>
        </is>
      </c>
      <c r="D2373" t="inlineStr">
        <is>
          <t>79</t>
        </is>
      </c>
      <c r="E2373" t="inlineStr">
        <is>
          <t>No aplica</t>
        </is>
      </c>
      <c r="F2373" s="23" t="n">
        <v>46267</v>
      </c>
      <c r="G2373" t="inlineStr">
        <is>
          <t>recoleccion</t>
        </is>
      </c>
      <c r="H2373" s="26" t="n">
        <v>410924931</v>
      </c>
      <c r="I2373" t="inlineStr">
        <is>
          <t>bajo</t>
        </is>
      </c>
      <c r="J2373" t="inlineStr">
        <is>
          <t>RN-41: riesgo de exceder el cupo</t>
        </is>
      </c>
      <c r="K2373" t="inlineStr">
        <is>
          <t>Recolección por riesgo de exceder el cupo: el saldo al cierre ($10.947.280.131) pasa el cupo $10.536.355.200. Se recogen $410.924.931 y el saldo queda en $10.536.355.200. En sus últimos 180 días la sucursal recibe más de lo que paga (entradas medias $1.252.512.994/día &gt; salidas medias $834.918.799/día); el neto diario varía $580.239.416 (σ). Costo estimado $208.307 (Anexo E: fijo $11.885 + $5 por cada $10.000 movidos).</t>
        </is>
      </c>
      <c r="L2373" s="26" t="n">
        <v>10536355200</v>
      </c>
      <c r="M2373" s="26" t="n">
        <v>10947280131</v>
      </c>
      <c r="N2373" s="27">
        <f>IF(ISNUMBER(M2373),M2373/L2373,"No aplica")</f>
        <v>1.039000671788286</v>
      </c>
      <c r="O2373" s="25">
        <f>IF(G2373="provision",M2373+H2373,IF(G2373="recoleccion",M2373-H2373,"No aplica"))</f>
        <v>10536355200</v>
      </c>
      <c r="P2373" s="26" t="n">
        <v>208307</v>
      </c>
    </row>
    <row r="2374">
      <c r="A2374" t="inlineStr">
        <is>
          <t>PRAGMA</t>
        </is>
      </c>
      <c r="B2374" t="inlineStr">
        <is>
          <t>M3</t>
        </is>
      </c>
      <c r="C2374" t="inlineStr">
        <is>
          <t>Pasto</t>
        </is>
      </c>
      <c r="D2374" t="inlineStr">
        <is>
          <t>79</t>
        </is>
      </c>
      <c r="E2374" t="inlineStr">
        <is>
          <t>No aplica</t>
        </is>
      </c>
      <c r="F2374" s="23" t="n">
        <v>46268</v>
      </c>
      <c r="G2374" t="inlineStr">
        <is>
          <t>recoleccion</t>
        </is>
      </c>
      <c r="H2374" s="26" t="n">
        <v>718500782</v>
      </c>
      <c r="I2374" t="inlineStr">
        <is>
          <t>bajo</t>
        </is>
      </c>
      <c r="J2374" t="inlineStr">
        <is>
          <t>RN-41: riesgo de exceder el cupo</t>
        </is>
      </c>
      <c r="K2374" t="inlineStr">
        <is>
          <t>Recolección por riesgo de exceder el cupo: el saldo al cierre ($11.254.855.982) pasa el cupo $10.536.355.200. Se recogen $718.500.782 y el saldo queda en $10.536.355.200. En sus últimos 180 días la sucursal recibe más de lo que paga (entradas medias $1.252.512.994/día &gt; salidas medias $834.918.799/día); el neto diario varía $580.239.416 (σ). Costo estimado $355.328 (Anexo E: fijo $11.885 + $5 por cada $10.000 movidos).</t>
        </is>
      </c>
      <c r="L2374" s="26" t="n">
        <v>10536355200</v>
      </c>
      <c r="M2374" s="26" t="n">
        <v>11254855982</v>
      </c>
      <c r="N2374" s="27">
        <f>IF(ISNUMBER(M2374),M2374/L2374,"No aplica")</f>
        <v>1.0681925360678806</v>
      </c>
      <c r="O2374" s="25">
        <f>IF(G2374="provision",M2374+H2374,IF(G2374="recoleccion",M2374-H2374,"No aplica"))</f>
        <v>10536355200</v>
      </c>
      <c r="P2374" s="26" t="n">
        <v>355328</v>
      </c>
    </row>
    <row r="2375">
      <c r="A2375" t="inlineStr">
        <is>
          <t>PRAGMA</t>
        </is>
      </c>
      <c r="B2375" t="inlineStr">
        <is>
          <t>M3</t>
        </is>
      </c>
      <c r="C2375" t="inlineStr">
        <is>
          <t>Pasto</t>
        </is>
      </c>
      <c r="D2375" t="inlineStr">
        <is>
          <t>79</t>
        </is>
      </c>
      <c r="E2375" t="inlineStr">
        <is>
          <t>No aplica</t>
        </is>
      </c>
      <c r="F2375" s="23" t="n">
        <v>46269</v>
      </c>
      <c r="G2375" t="inlineStr">
        <is>
          <t>recoleccion</t>
        </is>
      </c>
      <c r="H2375" s="26" t="n">
        <v>464548427</v>
      </c>
      <c r="I2375" t="inlineStr">
        <is>
          <t>bajo</t>
        </is>
      </c>
      <c r="J2375" t="inlineStr">
        <is>
          <t>RN-41: riesgo de exceder el cupo</t>
        </is>
      </c>
      <c r="K2375" t="inlineStr">
        <is>
          <t>Recolección por riesgo de exceder el cupo: el saldo al cierre ($11.000.903.627) pasa el cupo $10.536.355.200. Se recogen $464.548.427 y el saldo queda en $10.536.355.200. En sus últimos 180 días la sucursal recibe más de lo que paga (entradas medias $1.252.512.994/día &gt; salidas medias $834.918.799/día); el neto diario varía $580.239.416 (σ). Costo estimado $233.939 (Anexo E: fijo $11.885 + $5 por cada $10.000 movidos).</t>
        </is>
      </c>
      <c r="L2375" s="26" t="n">
        <v>10536355200</v>
      </c>
      <c r="M2375" s="26" t="n">
        <v>11000903627</v>
      </c>
      <c r="N2375" s="27">
        <f>IF(ISNUMBER(M2375),M2375/L2375,"No aplica")</f>
        <v>1.044090049944406</v>
      </c>
      <c r="O2375" s="25">
        <f>IF(G2375="provision",M2375+H2375,IF(G2375="recoleccion",M2375-H2375,"No aplica"))</f>
        <v>10536355200</v>
      </c>
      <c r="P2375" s="26" t="n">
        <v>233939</v>
      </c>
    </row>
    <row r="2376">
      <c r="A2376" t="inlineStr">
        <is>
          <t>PRAGMA</t>
        </is>
      </c>
      <c r="B2376" t="inlineStr">
        <is>
          <t>M3</t>
        </is>
      </c>
      <c r="C2376" t="inlineStr">
        <is>
          <t>Pasto</t>
        </is>
      </c>
      <c r="D2376" t="inlineStr">
        <is>
          <t>79</t>
        </is>
      </c>
      <c r="E2376" t="inlineStr">
        <is>
          <t>No aplica</t>
        </is>
      </c>
      <c r="F2376" s="23" t="n">
        <v>46270</v>
      </c>
      <c r="G2376" t="inlineStr">
        <is>
          <t>recoleccion</t>
        </is>
      </c>
      <c r="H2376" s="26" t="n">
        <v>5427135</v>
      </c>
      <c r="I2376" t="inlineStr">
        <is>
          <t>bajo</t>
        </is>
      </c>
      <c r="J2376" t="inlineStr">
        <is>
          <t>RN-41: riesgo de exceder el cupo</t>
        </is>
      </c>
      <c r="K2376" t="inlineStr">
        <is>
          <t>Recolección por riesgo de exceder el cupo: el saldo al cierre ($10.541.782.335) pasa el cupo $10.536.355.200. Se recogen $5.427.135 y el saldo queda en $10.536.355.200. En sus últimos 180 días la sucursal recibe más de lo que paga (entradas medias $1.252.512.994/día &gt; salidas medias $834.918.799/día); el neto diario varía $580.239.416 (σ). Costo estimado $14.479 (Anexo E: fijo $11.885 + $5 por cada $10.000 movidos).</t>
        </is>
      </c>
      <c r="L2376" s="26" t="n">
        <v>10536355200</v>
      </c>
      <c r="M2376" s="26" t="n">
        <v>10541782335</v>
      </c>
      <c r="N2376" s="27">
        <f>IF(ISNUMBER(M2376),M2376/L2376,"No aplica")</f>
        <v>1.0005150865642798</v>
      </c>
      <c r="O2376" s="25">
        <f>IF(G2376="provision",M2376+H2376,IF(G2376="recoleccion",M2376-H2376,"No aplica"))</f>
        <v>10536355200</v>
      </c>
      <c r="P2376" s="26" t="n">
        <v>14479</v>
      </c>
    </row>
    <row r="2377">
      <c r="A2377" t="inlineStr">
        <is>
          <t>PRAGMA</t>
        </is>
      </c>
      <c r="B2377" t="inlineStr">
        <is>
          <t>M3</t>
        </is>
      </c>
      <c r="C2377" t="inlineStr">
        <is>
          <t>Pasto</t>
        </is>
      </c>
      <c r="D2377" t="inlineStr">
        <is>
          <t>79</t>
        </is>
      </c>
      <c r="E2377" t="inlineStr">
        <is>
          <t>No aplica</t>
        </is>
      </c>
      <c r="F2377" s="23" t="n">
        <v>46271</v>
      </c>
      <c r="G2377" t="inlineStr">
        <is>
          <t>recoleccion</t>
        </is>
      </c>
      <c r="H2377" s="26" t="n">
        <v>2013772</v>
      </c>
      <c r="I2377" t="inlineStr">
        <is>
          <t>bajo</t>
        </is>
      </c>
      <c r="J2377" t="inlineStr">
        <is>
          <t>RN-41: riesgo de exceder el cupo</t>
        </is>
      </c>
      <c r="K2377" t="inlineStr">
        <is>
          <t>Recolección por riesgo de exceder el cupo: el saldo al cierre ($10.538.368.972) pasa el cupo $10.536.355.200. Se recogen $2.013.772 y el saldo queda en $10.536.355.200. En sus últimos 180 días la sucursal recibe más de lo que paga (entradas medias $1.252.512.994/día &gt; salidas medias $834.918.799/día); el neto diario varía $580.239.416 (σ). Costo estimado $12.848 (Anexo E: fijo $11.885 + $5 por cada $10.000 movidos).</t>
        </is>
      </c>
      <c r="L2377" s="26" t="n">
        <v>10536355200</v>
      </c>
      <c r="M2377" s="26" t="n">
        <v>10538368972</v>
      </c>
      <c r="N2377" s="27">
        <f>IF(ISNUMBER(M2377),M2377/L2377,"No aplica")</f>
        <v>1.000191126054672</v>
      </c>
      <c r="O2377" s="25">
        <f>IF(G2377="provision",M2377+H2377,IF(G2377="recoleccion",M2377-H2377,"No aplica"))</f>
        <v>10536355200</v>
      </c>
      <c r="P2377" s="26" t="n">
        <v>12848</v>
      </c>
    </row>
    <row r="2378">
      <c r="A2378" t="inlineStr">
        <is>
          <t>PRAGMA</t>
        </is>
      </c>
      <c r="B2378" t="inlineStr">
        <is>
          <t>M3</t>
        </is>
      </c>
      <c r="C2378" t="inlineStr">
        <is>
          <t>Pasto</t>
        </is>
      </c>
      <c r="D2378" t="inlineStr">
        <is>
          <t>79</t>
        </is>
      </c>
      <c r="E2378" t="inlineStr">
        <is>
          <t>No aplica</t>
        </is>
      </c>
      <c r="F2378" s="23" t="n">
        <v>46272</v>
      </c>
      <c r="G2378" t="inlineStr">
        <is>
          <t>recoleccion</t>
        </is>
      </c>
      <c r="H2378" s="26" t="n">
        <v>677222582</v>
      </c>
      <c r="I2378" t="inlineStr">
        <is>
          <t>bajo</t>
        </is>
      </c>
      <c r="J2378" t="inlineStr">
        <is>
          <t>RN-41: riesgo de exceder el cupo</t>
        </is>
      </c>
      <c r="K2378" t="inlineStr">
        <is>
          <t>Recolección por riesgo de exceder el cupo: el saldo al cierre ($11.213.577.782) pasa el cupo $10.536.355.200. Se recogen $677.222.582 y el saldo queda en $10.536.355.200. En sus últimos 180 días la sucursal recibe más de lo que paga (entradas medias $1.252.512.994/día &gt; salidas medias $834.918.799/día); el neto diario varía $580.239.416 (σ). Costo estimado $335.597 (Anexo E: fijo $11.885 + $5 por cada $10.000 movidos).</t>
        </is>
      </c>
      <c r="L2378" s="26" t="n">
        <v>10536355200</v>
      </c>
      <c r="M2378" s="26" t="n">
        <v>11213577782</v>
      </c>
      <c r="N2378" s="27">
        <f>IF(ISNUMBER(M2378),M2378/L2378,"No aplica")</f>
        <v>1.0642748435436193</v>
      </c>
      <c r="O2378" s="25">
        <f>IF(G2378="provision",M2378+H2378,IF(G2378="recoleccion",M2378-H2378,"No aplica"))</f>
        <v>10536355200</v>
      </c>
      <c r="P2378" s="26" t="n">
        <v>335597</v>
      </c>
    </row>
    <row r="2379">
      <c r="A2379" t="inlineStr">
        <is>
          <t>PRAGMA</t>
        </is>
      </c>
      <c r="B2379" t="inlineStr">
        <is>
          <t>M3</t>
        </is>
      </c>
      <c r="C2379" t="inlineStr">
        <is>
          <t>Pasto</t>
        </is>
      </c>
      <c r="D2379" t="inlineStr">
        <is>
          <t>79</t>
        </is>
      </c>
      <c r="E2379" t="inlineStr">
        <is>
          <t>No aplica</t>
        </is>
      </c>
      <c r="F2379" s="23" t="n">
        <v>46273</v>
      </c>
      <c r="G2379" t="inlineStr">
        <is>
          <t>recoleccion</t>
        </is>
      </c>
      <c r="H2379" s="26" t="n">
        <v>782182698</v>
      </c>
      <c r="I2379" t="inlineStr">
        <is>
          <t>bajo</t>
        </is>
      </c>
      <c r="J2379" t="inlineStr">
        <is>
          <t>RN-41: riesgo de exceder el cupo</t>
        </is>
      </c>
      <c r="K2379" t="inlineStr">
        <is>
          <t>Recolección por riesgo de exceder el cupo: el saldo al cierre ($11.318.537.898) pasa el cupo $10.536.355.200. Se recogen $782.182.698 y el saldo queda en $10.536.355.200. En sus últimos 180 días la sucursal recibe más de lo que paga (entradas medias $1.252.512.994/día &gt; salidas medias $834.918.799/día); el neto diario varía $580.239.416 (σ). Costo estimado $385.768 (Anexo E: fijo $11.885 + $5 por cada $10.000 movidos).</t>
        </is>
      </c>
      <c r="L2379" s="26" t="n">
        <v>10536355200</v>
      </c>
      <c r="M2379" s="26" t="n">
        <v>11318537898</v>
      </c>
      <c r="N2379" s="27">
        <f>IF(ISNUMBER(M2379),M2379/L2379,"No aplica")</f>
        <v>1.0742365536423828</v>
      </c>
      <c r="O2379" s="25">
        <f>IF(G2379="provision",M2379+H2379,IF(G2379="recoleccion",M2379-H2379,"No aplica"))</f>
        <v>10536355200</v>
      </c>
      <c r="P2379" s="26" t="n">
        <v>385768</v>
      </c>
    </row>
    <row r="2380">
      <c r="A2380" t="inlineStr">
        <is>
          <t>PRAGMA</t>
        </is>
      </c>
      <c r="B2380" t="inlineStr">
        <is>
          <t>M3</t>
        </is>
      </c>
      <c r="C2380" t="inlineStr">
        <is>
          <t>Pasto</t>
        </is>
      </c>
      <c r="D2380" t="inlineStr">
        <is>
          <t>79</t>
        </is>
      </c>
      <c r="E2380" t="inlineStr">
        <is>
          <t>No aplica</t>
        </is>
      </c>
      <c r="F2380" s="23" t="n">
        <v>46274</v>
      </c>
      <c r="G2380" t="inlineStr">
        <is>
          <t>recoleccion</t>
        </is>
      </c>
      <c r="H2380" s="26" t="n">
        <v>615212484</v>
      </c>
      <c r="I2380" t="inlineStr">
        <is>
          <t>bajo</t>
        </is>
      </c>
      <c r="J2380" t="inlineStr">
        <is>
          <t>RN-41: riesgo de exceder el cupo</t>
        </is>
      </c>
      <c r="K2380" t="inlineStr">
        <is>
          <t>Recolección por riesgo de exceder el cupo: el saldo al cierre ($11.151.567.684) pasa el cupo $10.536.355.200. Se recogen $615.212.484 y el saldo queda en $10.536.355.200. En sus últimos 180 días la sucursal recibe más de lo que paga (entradas medias $1.252.512.994/día &gt; salidas medias $834.918.799/día); el neto diario varía $580.239.416 (σ). Costo estimado $305.957 (Anexo E: fijo $11.885 + $5 por cada $10.000 movidos).</t>
        </is>
      </c>
      <c r="L2380" s="26" t="n">
        <v>10536355200</v>
      </c>
      <c r="M2380" s="26" t="n">
        <v>11151567684</v>
      </c>
      <c r="N2380" s="27">
        <f>IF(ISNUMBER(M2380),M2380/L2380,"No aplica")</f>
        <v>1.058389497347242</v>
      </c>
      <c r="O2380" s="25">
        <f>IF(G2380="provision",M2380+H2380,IF(G2380="recoleccion",M2380-H2380,"No aplica"))</f>
        <v>10536355200</v>
      </c>
      <c r="P2380" s="26" t="n">
        <v>305957</v>
      </c>
    </row>
    <row r="2381">
      <c r="A2381" t="inlineStr">
        <is>
          <t>PRAGMA</t>
        </is>
      </c>
      <c r="B2381" t="inlineStr">
        <is>
          <t>M3</t>
        </is>
      </c>
      <c r="C2381" t="inlineStr">
        <is>
          <t>Pasto</t>
        </is>
      </c>
      <c r="D2381" t="inlineStr">
        <is>
          <t>79</t>
        </is>
      </c>
      <c r="E2381" t="inlineStr">
        <is>
          <t>No aplica</t>
        </is>
      </c>
      <c r="F2381" s="23" t="n">
        <v>46275</v>
      </c>
      <c r="G2381" t="inlineStr">
        <is>
          <t>recoleccion</t>
        </is>
      </c>
      <c r="H2381" s="26" t="n">
        <v>439634869</v>
      </c>
      <c r="I2381" t="inlineStr">
        <is>
          <t>bajo</t>
        </is>
      </c>
      <c r="J2381" t="inlineStr">
        <is>
          <t>RN-41: riesgo de exceder el cupo</t>
        </is>
      </c>
      <c r="K2381" t="inlineStr">
        <is>
          <t>Recolección por riesgo de exceder el cupo: el saldo al cierre ($10.975.990.069) pasa el cupo $10.536.355.200. Se recogen $439.634.869 y el saldo queda en $10.536.355.200. En sus últimos 180 días la sucursal recibe más de lo que paga (entradas medias $1.252.512.994/día &gt; salidas medias $834.918.799/día); el neto diario varía $580.239.416 (σ). Costo estimado $222.030 (Anexo E: fijo $11.885 + $5 por cada $10.000 movidos).</t>
        </is>
      </c>
      <c r="L2381" s="26" t="n">
        <v>10536355200</v>
      </c>
      <c r="M2381" s="26" t="n">
        <v>10975990069</v>
      </c>
      <c r="N2381" s="27">
        <f>IF(ISNUMBER(M2381),M2381/L2381,"No aplica")</f>
        <v>1.0417255170934252</v>
      </c>
      <c r="O2381" s="25">
        <f>IF(G2381="provision",M2381+H2381,IF(G2381="recoleccion",M2381-H2381,"No aplica"))</f>
        <v>10536355200</v>
      </c>
      <c r="P2381" s="26" t="n">
        <v>222030</v>
      </c>
    </row>
    <row r="2382">
      <c r="A2382" t="inlineStr">
        <is>
          <t>PRAGMA</t>
        </is>
      </c>
      <c r="B2382" t="inlineStr">
        <is>
          <t>M3</t>
        </is>
      </c>
      <c r="C2382" t="inlineStr">
        <is>
          <t>Pasto</t>
        </is>
      </c>
      <c r="D2382" t="inlineStr">
        <is>
          <t>79</t>
        </is>
      </c>
      <c r="E2382" t="inlineStr">
        <is>
          <t>No aplica</t>
        </is>
      </c>
      <c r="F2382" s="23" t="n">
        <v>46276</v>
      </c>
      <c r="G2382" t="inlineStr">
        <is>
          <t>recoleccion</t>
        </is>
      </c>
      <c r="H2382" s="26" t="n">
        <v>708346145</v>
      </c>
      <c r="I2382" t="inlineStr">
        <is>
          <t>bajo</t>
        </is>
      </c>
      <c r="J2382" t="inlineStr">
        <is>
          <t>RN-41: riesgo de exceder el cupo</t>
        </is>
      </c>
      <c r="K2382" t="inlineStr">
        <is>
          <t>Recolección por riesgo de exceder el cupo: el saldo al cierre ($11.244.701.345) pasa el cupo $10.536.355.200. Se recogen $708.346.145 y el saldo queda en $10.536.355.200. En sus últimos 180 días la sucursal recibe más de lo que paga (entradas medias $1.252.512.994/día &gt; salidas medias $834.918.799/día); el neto diario varía $580.239.416 (σ). Costo estimado $350.474 (Anexo E: fijo $11.885 + $5 por cada $10.000 movidos).</t>
        </is>
      </c>
      <c r="L2382" s="26" t="n">
        <v>10536355200</v>
      </c>
      <c r="M2382" s="26" t="n">
        <v>11244701345</v>
      </c>
      <c r="N2382" s="27">
        <f>IF(ISNUMBER(M2382),M2382/L2382,"No aplica")</f>
        <v>1.067228764743998</v>
      </c>
      <c r="O2382" s="25">
        <f>IF(G2382="provision",M2382+H2382,IF(G2382="recoleccion",M2382-H2382,"No aplica"))</f>
        <v>10536355200</v>
      </c>
      <c r="P2382" s="26" t="n">
        <v>350474</v>
      </c>
    </row>
    <row r="2383">
      <c r="A2383" t="inlineStr">
        <is>
          <t>PRAGMA</t>
        </is>
      </c>
      <c r="B2383" t="inlineStr">
        <is>
          <t>M3</t>
        </is>
      </c>
      <c r="C2383" t="inlineStr">
        <is>
          <t>Pasto</t>
        </is>
      </c>
      <c r="D2383" t="inlineStr">
        <is>
          <t>79</t>
        </is>
      </c>
      <c r="E2383" t="inlineStr">
        <is>
          <t>No aplica</t>
        </is>
      </c>
      <c r="F2383" s="23" t="n">
        <v>46277</v>
      </c>
      <c r="G2383" t="inlineStr">
        <is>
          <t>recoleccion</t>
        </is>
      </c>
      <c r="H2383" s="26" t="n">
        <v>1366087</v>
      </c>
      <c r="I2383" t="inlineStr">
        <is>
          <t>bajo</t>
        </is>
      </c>
      <c r="J2383" t="inlineStr">
        <is>
          <t>RN-41: riesgo de exceder el cupo</t>
        </is>
      </c>
      <c r="K2383" t="inlineStr">
        <is>
          <t>Recolección por riesgo de exceder el cupo: el saldo al cierre ($10.537.721.287) pasa el cupo $10.536.355.200. Se recogen $1.366.087 y el saldo queda en $10.536.355.200. En sus últimos 180 días la sucursal recibe más de lo que paga (entradas medias $1.252.512.994/día &gt; salidas medias $834.918.799/día); el neto diario varía $580.239.416 (σ). Costo estimado $12.538 (Anexo E: fijo $11.885 + $5 por cada $10.000 movidos).</t>
        </is>
      </c>
      <c r="L2383" s="26" t="n">
        <v>10536355200</v>
      </c>
      <c r="M2383" s="26" t="n">
        <v>10537721287</v>
      </c>
      <c r="N2383" s="27">
        <f>IF(ISNUMBER(M2383),M2383/L2383,"No aplica")</f>
        <v>1.0001296546076959</v>
      </c>
      <c r="O2383" s="25">
        <f>IF(G2383="provision",M2383+H2383,IF(G2383="recoleccion",M2383-H2383,"No aplica"))</f>
        <v>10536355200</v>
      </c>
      <c r="P2383" s="26" t="n">
        <v>12538</v>
      </c>
    </row>
    <row r="2384">
      <c r="A2384" t="inlineStr">
        <is>
          <t>PRAGMA</t>
        </is>
      </c>
      <c r="B2384" t="inlineStr">
        <is>
          <t>M3</t>
        </is>
      </c>
      <c r="C2384" t="inlineStr">
        <is>
          <t>Pasto</t>
        </is>
      </c>
      <c r="D2384" t="inlineStr">
        <is>
          <t>79</t>
        </is>
      </c>
      <c r="E2384" t="inlineStr">
        <is>
          <t>No aplica</t>
        </is>
      </c>
      <c r="F2384" s="23" t="n">
        <v>46278</v>
      </c>
      <c r="G2384" t="inlineStr">
        <is>
          <t>recoleccion</t>
        </is>
      </c>
      <c r="H2384" s="26" t="n">
        <v>80713</v>
      </c>
      <c r="I2384" t="inlineStr">
        <is>
          <t>bajo</t>
        </is>
      </c>
      <c r="J2384" t="inlineStr">
        <is>
          <t>RN-41: riesgo de exceder el cupo</t>
        </is>
      </c>
      <c r="K2384" t="inlineStr">
        <is>
          <t>Recolección por riesgo de exceder el cupo: el saldo al cierre ($10.536.435.913) pasa el cupo $10.536.355.200. Se recogen $80.713 y el saldo queda en $10.536.355.200. En sus últimos 180 días la sucursal recibe más de lo que paga (entradas medias $1.252.512.994/día &gt; salidas medias $834.918.799/día); el neto diario varía $580.239.416 (σ). Costo estimado $11.924 (Anexo E: fijo $11.885 + $5 por cada $10.000 movidos).</t>
        </is>
      </c>
      <c r="L2384" s="26" t="n">
        <v>10536355200</v>
      </c>
      <c r="M2384" s="26" t="n">
        <v>10536435913</v>
      </c>
      <c r="N2384" s="27">
        <f>IF(ISNUMBER(M2384),M2384/L2384,"No aplica")</f>
        <v>1.0000076604289119</v>
      </c>
      <c r="O2384" s="25">
        <f>IF(G2384="provision",M2384+H2384,IF(G2384="recoleccion",M2384-H2384,"No aplica"))</f>
        <v>10536355200</v>
      </c>
      <c r="P2384" s="26" t="n">
        <v>11924</v>
      </c>
    </row>
    <row r="2385">
      <c r="A2385" t="inlineStr">
        <is>
          <t>PRAGMA</t>
        </is>
      </c>
      <c r="B2385" t="inlineStr">
        <is>
          <t>M3</t>
        </is>
      </c>
      <c r="C2385" t="inlineStr">
        <is>
          <t>Pasto</t>
        </is>
      </c>
      <c r="D2385" t="inlineStr">
        <is>
          <t>79</t>
        </is>
      </c>
      <c r="E2385" t="inlineStr">
        <is>
          <t>No aplica</t>
        </is>
      </c>
      <c r="F2385" s="23" t="n">
        <v>46279</v>
      </c>
      <c r="G2385" t="inlineStr">
        <is>
          <t>recoleccion</t>
        </is>
      </c>
      <c r="H2385" s="26" t="n">
        <v>693915996</v>
      </c>
      <c r="I2385" t="inlineStr">
        <is>
          <t>bajo</t>
        </is>
      </c>
      <c r="J2385" t="inlineStr">
        <is>
          <t>RN-41: riesgo de exceder el cupo</t>
        </is>
      </c>
      <c r="K2385" t="inlineStr">
        <is>
          <t>Recolección por riesgo de exceder el cupo: el saldo al cierre ($11.230.271.196) pasa el cupo $10.536.355.200. Se recogen $693.915.996 y el saldo queda en $10.536.355.200. En sus últimos 180 días la sucursal recibe más de lo que paga (entradas medias $1.252.512.994/día &gt; salidas medias $834.918.799/día); el neto diario varía $580.239.416 (σ). Costo estimado $343.577 (Anexo E: fijo $11.885 + $5 por cada $10.000 movidos).</t>
        </is>
      </c>
      <c r="L2385" s="26" t="n">
        <v>10536355200</v>
      </c>
      <c r="M2385" s="26" t="n">
        <v>11230271196</v>
      </c>
      <c r="N2385" s="27">
        <f>IF(ISNUMBER(M2385),M2385/L2385,"No aplica")</f>
        <v>1.065859206796673</v>
      </c>
      <c r="O2385" s="25">
        <f>IF(G2385="provision",M2385+H2385,IF(G2385="recoleccion",M2385-H2385,"No aplica"))</f>
        <v>10536355200</v>
      </c>
      <c r="P2385" s="26" t="n">
        <v>343577</v>
      </c>
    </row>
    <row r="2386">
      <c r="A2386" t="inlineStr">
        <is>
          <t>PRAGMA</t>
        </is>
      </c>
      <c r="B2386" t="inlineStr">
        <is>
          <t>M3</t>
        </is>
      </c>
      <c r="C2386" t="inlineStr">
        <is>
          <t>Pasto</t>
        </is>
      </c>
      <c r="D2386" t="inlineStr">
        <is>
          <t>79</t>
        </is>
      </c>
      <c r="E2386" t="inlineStr">
        <is>
          <t>No aplica</t>
        </is>
      </c>
      <c r="F2386" s="23" t="n">
        <v>46280</v>
      </c>
      <c r="G2386" t="inlineStr">
        <is>
          <t>recoleccion</t>
        </is>
      </c>
      <c r="H2386" s="26" t="n">
        <v>665674805</v>
      </c>
      <c r="I2386" t="inlineStr">
        <is>
          <t>bajo</t>
        </is>
      </c>
      <c r="J2386" t="inlineStr">
        <is>
          <t>RN-41: riesgo de exceder el cupo</t>
        </is>
      </c>
      <c r="K2386" t="inlineStr">
        <is>
          <t>Recolección por riesgo de exceder el cupo: el saldo al cierre ($11.202.030.005) pasa el cupo $10.536.355.200. Se recogen $665.674.805 y el saldo queda en $10.536.355.200. En sus últimos 180 días la sucursal recibe más de lo que paga (entradas medias $1.252.512.994/día &gt; salidas medias $834.918.799/día); el neto diario varía $580.239.416 (σ). Costo estimado $330.078 (Anexo E: fijo $11.885 + $5 por cada $10.000 movidos).</t>
        </is>
      </c>
      <c r="L2386" s="26" t="n">
        <v>10536355200</v>
      </c>
      <c r="M2386" s="26" t="n">
        <v>11202030005</v>
      </c>
      <c r="N2386" s="27">
        <f>IF(ISNUMBER(M2386),M2386/L2386,"No aplica")</f>
        <v>1.063178850025861</v>
      </c>
      <c r="O2386" s="25">
        <f>IF(G2386="provision",M2386+H2386,IF(G2386="recoleccion",M2386-H2386,"No aplica"))</f>
        <v>10536355200</v>
      </c>
      <c r="P2386" s="26" t="n">
        <v>330078</v>
      </c>
    </row>
    <row r="2387">
      <c r="A2387" t="inlineStr">
        <is>
          <t>PRAGMA</t>
        </is>
      </c>
      <c r="B2387" t="inlineStr">
        <is>
          <t>M3</t>
        </is>
      </c>
      <c r="C2387" t="inlineStr">
        <is>
          <t>Cali</t>
        </is>
      </c>
      <c r="D2387" t="inlineStr">
        <is>
          <t>813</t>
        </is>
      </c>
      <c r="E2387" t="inlineStr">
        <is>
          <t>No aplica</t>
        </is>
      </c>
      <c r="F2387" s="23" t="n">
        <v>46266</v>
      </c>
      <c r="G2387" t="inlineStr">
        <is>
          <t>recoleccion</t>
        </is>
      </c>
      <c r="H2387" s="26" t="n">
        <v>1048614724</v>
      </c>
      <c r="I2387" t="inlineStr">
        <is>
          <t>bajo</t>
        </is>
      </c>
      <c r="J2387" t="inlineStr">
        <is>
          <t>RN-41: riesgo de exceder el cupo</t>
        </is>
      </c>
      <c r="K2387" t="inlineStr">
        <is>
          <t>Recolección por riesgo de exceder el cupo: el saldo al cierre ($7.208.614.724) pasa el cupo $6.160.000.000. Se recogen $1.048.614.724 y el saldo queda en $6.160.000.000. En sus últimos 180 días la sucursal recibe más de lo que paga (entradas medias $1.360.969.155/día &gt; salidas medias $1.012.793.512/día); el neto diario varía $411.621.558 (σ). Costo estimado $574.581 (Anexo E: fijo $12.524 + $5 por cada $10.000 movidos).</t>
        </is>
      </c>
      <c r="L2387" s="26" t="n">
        <v>6160000000</v>
      </c>
      <c r="M2387" s="26" t="n">
        <v>7208614724</v>
      </c>
      <c r="N2387" s="27">
        <f>IF(ISNUMBER(M2387),M2387/L2387,"No aplica")</f>
        <v>1.170229662987013</v>
      </c>
      <c r="O2387" s="25">
        <f>IF(G2387="provision",M2387+H2387,IF(G2387="recoleccion",M2387-H2387,"No aplica"))</f>
        <v>6160000000</v>
      </c>
      <c r="P2387" s="26" t="n">
        <v>574581</v>
      </c>
    </row>
    <row r="2388">
      <c r="A2388" t="inlineStr">
        <is>
          <t>PRAGMA</t>
        </is>
      </c>
      <c r="B2388" t="inlineStr">
        <is>
          <t>M3</t>
        </is>
      </c>
      <c r="C2388" t="inlineStr">
        <is>
          <t>Cali</t>
        </is>
      </c>
      <c r="D2388" t="inlineStr">
        <is>
          <t>813</t>
        </is>
      </c>
      <c r="E2388" t="inlineStr">
        <is>
          <t>No aplica</t>
        </is>
      </c>
      <c r="F2388" s="23" t="n">
        <v>46267</v>
      </c>
      <c r="G2388" t="inlineStr">
        <is>
          <t>recoleccion</t>
        </is>
      </c>
      <c r="H2388" s="26" t="n">
        <v>728961083</v>
      </c>
      <c r="I2388" t="inlineStr">
        <is>
          <t>bajo</t>
        </is>
      </c>
      <c r="J2388" t="inlineStr">
        <is>
          <t>RN-41: riesgo de exceder el cupo</t>
        </is>
      </c>
      <c r="K2388" t="inlineStr">
        <is>
          <t>Recolección por riesgo de exceder el cupo: el saldo al cierre ($6.888.961.083) pasa el cupo $6.160.000.000. Se recogen $728.961.083 y el saldo queda en $6.160.000.000. En sus últimos 180 días la sucursal recibe más de lo que paga (entradas medias $1.360.969.155/día &gt; salidas medias $1.012.793.512/día); el neto diario varía $411.621.558 (σ). Costo estimado $403.247 (Anexo E: fijo $12.524 + $5 por cada $10.000 movidos).</t>
        </is>
      </c>
      <c r="L2388" s="26" t="n">
        <v>6160000000</v>
      </c>
      <c r="M2388" s="26" t="n">
        <v>6888961083</v>
      </c>
      <c r="N2388" s="27">
        <f>IF(ISNUMBER(M2388),M2388/L2388,"No aplica")</f>
        <v>1.1183378381493507</v>
      </c>
      <c r="O2388" s="25">
        <f>IF(G2388="provision",M2388+H2388,IF(G2388="recoleccion",M2388-H2388,"No aplica"))</f>
        <v>6160000000</v>
      </c>
      <c r="P2388" s="26" t="n">
        <v>403247</v>
      </c>
    </row>
    <row r="2389">
      <c r="A2389" t="inlineStr">
        <is>
          <t>PRAGMA</t>
        </is>
      </c>
      <c r="B2389" t="inlineStr">
        <is>
          <t>M3</t>
        </is>
      </c>
      <c r="C2389" t="inlineStr">
        <is>
          <t>Cali</t>
        </is>
      </c>
      <c r="D2389" t="inlineStr">
        <is>
          <t>813</t>
        </is>
      </c>
      <c r="E2389" t="inlineStr">
        <is>
          <t>No aplica</t>
        </is>
      </c>
      <c r="F2389" s="23" t="n">
        <v>46268</v>
      </c>
      <c r="G2389" t="inlineStr">
        <is>
          <t>recoleccion</t>
        </is>
      </c>
      <c r="H2389" s="26" t="n">
        <v>790707574</v>
      </c>
      <c r="I2389" t="inlineStr">
        <is>
          <t>bajo</t>
        </is>
      </c>
      <c r="J2389" t="inlineStr">
        <is>
          <t>RN-41: riesgo de exceder el cupo</t>
        </is>
      </c>
      <c r="K2389" t="inlineStr">
        <is>
          <t>Recolección por riesgo de exceder el cupo: el saldo al cierre ($6.950.707.574) pasa el cupo $6.160.000.000. Se recogen $790.707.574 y el saldo queda en $6.160.000.000. En sus últimos 180 días la sucursal recibe más de lo que paga (entradas medias $1.360.969.155/día &gt; salidas medias $1.012.793.512/día); el neto diario varía $411.621.558 (σ). Costo estimado $436.343 (Anexo E: fijo $12.524 + $5 por cada $10.000 movidos).</t>
        </is>
      </c>
      <c r="L2389" s="26" t="n">
        <v>6160000000</v>
      </c>
      <c r="M2389" s="26" t="n">
        <v>6950707574</v>
      </c>
      <c r="N2389" s="27">
        <f>IF(ISNUMBER(M2389),M2389/L2389,"No aplica")</f>
        <v>1.128361619155844</v>
      </c>
      <c r="O2389" s="25">
        <f>IF(G2389="provision",M2389+H2389,IF(G2389="recoleccion",M2389-H2389,"No aplica"))</f>
        <v>6160000000</v>
      </c>
      <c r="P2389" s="26" t="n">
        <v>436343</v>
      </c>
    </row>
    <row r="2390">
      <c r="A2390" t="inlineStr">
        <is>
          <t>PRAGMA</t>
        </is>
      </c>
      <c r="B2390" t="inlineStr">
        <is>
          <t>M3</t>
        </is>
      </c>
      <c r="C2390" t="inlineStr">
        <is>
          <t>Cali</t>
        </is>
      </c>
      <c r="D2390" t="inlineStr">
        <is>
          <t>813</t>
        </is>
      </c>
      <c r="E2390" t="inlineStr">
        <is>
          <t>No aplica</t>
        </is>
      </c>
      <c r="F2390" s="23" t="n">
        <v>46269</v>
      </c>
      <c r="G2390" t="inlineStr">
        <is>
          <t>recoleccion</t>
        </is>
      </c>
      <c r="H2390" s="26" t="n">
        <v>1113320745</v>
      </c>
      <c r="I2390" t="inlineStr">
        <is>
          <t>bajo</t>
        </is>
      </c>
      <c r="J2390" t="inlineStr">
        <is>
          <t>RN-41: riesgo de exceder el cupo</t>
        </is>
      </c>
      <c r="K2390" t="inlineStr">
        <is>
          <t>Recolección por riesgo de exceder el cupo: el saldo al cierre ($7.273.320.745) pasa el cupo $6.160.000.000. Se recogen $1.113.320.745 y el saldo queda en $6.160.000.000. En sus últimos 180 días la sucursal recibe más de lo que paga (entradas medias $1.360.969.155/día &gt; salidas medias $1.012.793.512/día); el neto diario varía $411.621.558 (σ). Costo estimado $609.264 (Anexo E: fijo $12.524 + $5 por cada $10.000 movidos).</t>
        </is>
      </c>
      <c r="L2390" s="26" t="n">
        <v>6160000000</v>
      </c>
      <c r="M2390" s="26" t="n">
        <v>7273320745</v>
      </c>
      <c r="N2390" s="27">
        <f>IF(ISNUMBER(M2390),M2390/L2390,"No aplica")</f>
        <v>1.1807338871753246</v>
      </c>
      <c r="O2390" s="25">
        <f>IF(G2390="provision",M2390+H2390,IF(G2390="recoleccion",M2390-H2390,"No aplica"))</f>
        <v>6160000000</v>
      </c>
      <c r="P2390" s="26" t="n">
        <v>609264</v>
      </c>
    </row>
    <row r="2391">
      <c r="A2391" t="inlineStr">
        <is>
          <t>PRAGMA</t>
        </is>
      </c>
      <c r="B2391" t="inlineStr">
        <is>
          <t>M3</t>
        </is>
      </c>
      <c r="C2391" t="inlineStr">
        <is>
          <t>Cali</t>
        </is>
      </c>
      <c r="D2391" t="inlineStr">
        <is>
          <t>813</t>
        </is>
      </c>
      <c r="E2391" t="inlineStr">
        <is>
          <t>No aplica</t>
        </is>
      </c>
      <c r="F2391" s="23" t="n">
        <v>46270</v>
      </c>
      <c r="G2391" t="inlineStr">
        <is>
          <t>recoleccion</t>
        </is>
      </c>
      <c r="H2391" s="26" t="n">
        <v>716657035</v>
      </c>
      <c r="I2391" t="inlineStr">
        <is>
          <t>bajo</t>
        </is>
      </c>
      <c r="J2391" t="inlineStr">
        <is>
          <t>RN-41: riesgo de exceder el cupo</t>
        </is>
      </c>
      <c r="K2391" t="inlineStr">
        <is>
          <t>Recolección por riesgo de exceder el cupo: el saldo al cierre ($6.876.657.035) pasa el cupo $6.160.000.000. Se recogen $716.657.035 y el saldo queda en $6.160.000.000. En sus últimos 180 días la sucursal recibe más de lo que paga (entradas medias $1.360.969.155/día &gt; salidas medias $1.012.793.512/día); el neto diario varía $411.621.558 (σ). Costo estimado $396.652 (Anexo E: fijo $12.524 + $5 por cada $10.000 movidos).</t>
        </is>
      </c>
      <c r="L2391" s="26" t="n">
        <v>6160000000</v>
      </c>
      <c r="M2391" s="26" t="n">
        <v>6876657035</v>
      </c>
      <c r="N2391" s="27">
        <f>IF(ISNUMBER(M2391),M2391/L2391,"No aplica")</f>
        <v>1.1163404277597402</v>
      </c>
      <c r="O2391" s="25">
        <f>IF(G2391="provision",M2391+H2391,IF(G2391="recoleccion",M2391-H2391,"No aplica"))</f>
        <v>6160000000</v>
      </c>
      <c r="P2391" s="26" t="n">
        <v>396652</v>
      </c>
    </row>
    <row r="2392">
      <c r="A2392" t="inlineStr">
        <is>
          <t>PRAGMA</t>
        </is>
      </c>
      <c r="B2392" t="inlineStr">
        <is>
          <t>M3</t>
        </is>
      </c>
      <c r="C2392" t="inlineStr">
        <is>
          <t>Cali</t>
        </is>
      </c>
      <c r="D2392" t="inlineStr">
        <is>
          <t>813</t>
        </is>
      </c>
      <c r="E2392" t="inlineStr">
        <is>
          <t>No aplica</t>
        </is>
      </c>
      <c r="F2392" s="23" t="n">
        <v>46271</v>
      </c>
      <c r="G2392" t="inlineStr">
        <is>
          <t>recoleccion</t>
        </is>
      </c>
      <c r="H2392" s="26" t="n">
        <v>116347</v>
      </c>
      <c r="I2392" t="inlineStr">
        <is>
          <t>bajo</t>
        </is>
      </c>
      <c r="J2392" t="inlineStr">
        <is>
          <t>RN-41: riesgo de exceder el cupo</t>
        </is>
      </c>
      <c r="K2392" t="inlineStr">
        <is>
          <t>Recolección por riesgo de exceder el cupo: el saldo al cierre ($6.160.116.347) pasa el cupo $6.160.000.000. Se recogen $116.347 y el saldo queda en $6.160.000.000. En sus últimos 180 días la sucursal recibe más de lo que paga (entradas medias $1.360.969.155/día &gt; salidas medias $1.012.793.512/día); el neto diario varía $411.621.558 (σ). Costo estimado $12.586 (Anexo E: fijo $12.524 + $5 por cada $10.000 movidos).</t>
        </is>
      </c>
      <c r="L2392" s="26" t="n">
        <v>6160000000</v>
      </c>
      <c r="M2392" s="26" t="n">
        <v>6160116347</v>
      </c>
      <c r="N2392" s="27">
        <f>IF(ISNUMBER(M2392),M2392/L2392,"No aplica")</f>
        <v>1.0000188875</v>
      </c>
      <c r="O2392" s="25">
        <f>IF(G2392="provision",M2392+H2392,IF(G2392="recoleccion",M2392-H2392,"No aplica"))</f>
        <v>6160000000</v>
      </c>
      <c r="P2392" s="26" t="n">
        <v>12586</v>
      </c>
    </row>
    <row r="2393">
      <c r="A2393" t="inlineStr">
        <is>
          <t>PRAGMA</t>
        </is>
      </c>
      <c r="B2393" t="inlineStr">
        <is>
          <t>M3</t>
        </is>
      </c>
      <c r="C2393" t="inlineStr">
        <is>
          <t>Cali</t>
        </is>
      </c>
      <c r="D2393" t="inlineStr">
        <is>
          <t>813</t>
        </is>
      </c>
      <c r="E2393" t="inlineStr">
        <is>
          <t>No aplica</t>
        </is>
      </c>
      <c r="F2393" s="23" t="n">
        <v>46272</v>
      </c>
      <c r="G2393" t="inlineStr">
        <is>
          <t>recoleccion</t>
        </is>
      </c>
      <c r="H2393" s="26" t="n">
        <v>133246559</v>
      </c>
      <c r="I2393" t="inlineStr">
        <is>
          <t>bajo</t>
        </is>
      </c>
      <c r="J2393" t="inlineStr">
        <is>
          <t>RN-41: riesgo de exceder el cupo</t>
        </is>
      </c>
      <c r="K2393" t="inlineStr">
        <is>
          <t>Recolección por riesgo de exceder el cupo: el saldo al cierre ($6.293.246.559) pasa el cupo $6.160.000.000. Se recogen $133.246.559 y el saldo queda en $6.160.000.000. En sus últimos 180 días la sucursal recibe más de lo que paga (entradas medias $1.360.969.155/día &gt; salidas medias $1.012.793.512/día); el neto diario varía $411.621.558 (σ). Costo estimado $83.944 (Anexo E: fijo $12.524 + $5 por cada $10.000 movidos).</t>
        </is>
      </c>
      <c r="L2393" s="26" t="n">
        <v>6160000000</v>
      </c>
      <c r="M2393" s="26" t="n">
        <v>6293246559</v>
      </c>
      <c r="N2393" s="27">
        <f>IF(ISNUMBER(M2393),M2393/L2393,"No aplica")</f>
        <v>1.0216309349025974</v>
      </c>
      <c r="O2393" s="25">
        <f>IF(G2393="provision",M2393+H2393,IF(G2393="recoleccion",M2393-H2393,"No aplica"))</f>
        <v>6160000000</v>
      </c>
      <c r="P2393" s="26" t="n">
        <v>83944</v>
      </c>
    </row>
    <row r="2394">
      <c r="A2394" t="inlineStr">
        <is>
          <t>PRAGMA</t>
        </is>
      </c>
      <c r="B2394" t="inlineStr">
        <is>
          <t>M3</t>
        </is>
      </c>
      <c r="C2394" t="inlineStr">
        <is>
          <t>Cali</t>
        </is>
      </c>
      <c r="D2394" t="inlineStr">
        <is>
          <t>813</t>
        </is>
      </c>
      <c r="E2394" t="inlineStr">
        <is>
          <t>No aplica</t>
        </is>
      </c>
      <c r="F2394" s="23" t="n">
        <v>46273</v>
      </c>
      <c r="G2394" t="inlineStr">
        <is>
          <t>recoleccion</t>
        </is>
      </c>
      <c r="H2394" s="26" t="n">
        <v>1213354690</v>
      </c>
      <c r="I2394" t="inlineStr">
        <is>
          <t>bajo</t>
        </is>
      </c>
      <c r="J2394" t="inlineStr">
        <is>
          <t>RN-41: riesgo de exceder el cupo</t>
        </is>
      </c>
      <c r="K2394" t="inlineStr">
        <is>
          <t>Recolección por riesgo de exceder el cupo: el saldo al cierre ($7.373.354.690) pasa el cupo $6.160.000.000. Se recogen $1.213.354.690 y el saldo queda en $6.160.000.000. En sus últimos 180 días la sucursal recibe más de lo que paga (entradas medias $1.360.969.155/día &gt; salidas medias $1.012.793.512/día); el neto diario varía $411.621.558 (σ). Costo estimado $662.882 (Anexo E: fijo $12.524 + $5 por cada $10.000 movidos).</t>
        </is>
      </c>
      <c r="L2394" s="26" t="n">
        <v>6160000000</v>
      </c>
      <c r="M2394" s="26" t="n">
        <v>7373354690</v>
      </c>
      <c r="N2394" s="27">
        <f>IF(ISNUMBER(M2394),M2394/L2394,"No aplica")</f>
        <v>1.196973163961039</v>
      </c>
      <c r="O2394" s="25">
        <f>IF(G2394="provision",M2394+H2394,IF(G2394="recoleccion",M2394-H2394,"No aplica"))</f>
        <v>6160000000</v>
      </c>
      <c r="P2394" s="26" t="n">
        <v>662882</v>
      </c>
    </row>
    <row r="2395">
      <c r="A2395" t="inlineStr">
        <is>
          <t>PRAGMA</t>
        </is>
      </c>
      <c r="B2395" t="inlineStr">
        <is>
          <t>M3</t>
        </is>
      </c>
      <c r="C2395" t="inlineStr">
        <is>
          <t>Cali</t>
        </is>
      </c>
      <c r="D2395" t="inlineStr">
        <is>
          <t>813</t>
        </is>
      </c>
      <c r="E2395" t="inlineStr">
        <is>
          <t>No aplica</t>
        </is>
      </c>
      <c r="F2395" s="23" t="n">
        <v>46274</v>
      </c>
      <c r="G2395" t="inlineStr">
        <is>
          <t>recoleccion</t>
        </is>
      </c>
      <c r="H2395" s="26" t="n">
        <v>888710871</v>
      </c>
      <c r="I2395" t="inlineStr">
        <is>
          <t>bajo</t>
        </is>
      </c>
      <c r="J2395" t="inlineStr">
        <is>
          <t>RN-41: riesgo de exceder el cupo</t>
        </is>
      </c>
      <c r="K2395" t="inlineStr">
        <is>
          <t>Recolección por riesgo de exceder el cupo: el saldo al cierre ($7.048.710.871) pasa el cupo $6.160.000.000. Se recogen $888.710.871 y el saldo queda en $6.160.000.000. En sus últimos 180 días la sucursal recibe más de lo que paga (entradas medias $1.360.969.155/día &gt; salidas medias $1.012.793.512/día); el neto diario varía $411.621.558 (σ). Costo estimado $488.873 (Anexo E: fijo $12.524 + $5 por cada $10.000 movidos).</t>
        </is>
      </c>
      <c r="L2395" s="26" t="n">
        <v>6160000000</v>
      </c>
      <c r="M2395" s="26" t="n">
        <v>7048710871</v>
      </c>
      <c r="N2395" s="27">
        <f>IF(ISNUMBER(M2395),M2395/L2395,"No aplica")</f>
        <v>1.1442712452922077</v>
      </c>
      <c r="O2395" s="25">
        <f>IF(G2395="provision",M2395+H2395,IF(G2395="recoleccion",M2395-H2395,"No aplica"))</f>
        <v>6160000000</v>
      </c>
      <c r="P2395" s="26" t="n">
        <v>488873</v>
      </c>
    </row>
    <row r="2396">
      <c r="A2396" t="inlineStr">
        <is>
          <t>PRAGMA</t>
        </is>
      </c>
      <c r="B2396" t="inlineStr">
        <is>
          <t>M3</t>
        </is>
      </c>
      <c r="C2396" t="inlineStr">
        <is>
          <t>Cali</t>
        </is>
      </c>
      <c r="D2396" t="inlineStr">
        <is>
          <t>813</t>
        </is>
      </c>
      <c r="E2396" t="inlineStr">
        <is>
          <t>No aplica</t>
        </is>
      </c>
      <c r="F2396" s="23" t="n">
        <v>46275</v>
      </c>
      <c r="G2396" t="inlineStr">
        <is>
          <t>recoleccion</t>
        </is>
      </c>
      <c r="H2396" s="26" t="n">
        <v>844330675</v>
      </c>
      <c r="I2396" t="inlineStr">
        <is>
          <t>bajo</t>
        </is>
      </c>
      <c r="J2396" t="inlineStr">
        <is>
          <t>RN-41: riesgo de exceder el cupo</t>
        </is>
      </c>
      <c r="K2396" t="inlineStr">
        <is>
          <t>Recolección por riesgo de exceder el cupo: el saldo al cierre ($7.004.330.675) pasa el cupo $6.160.000.000. Se recogen $844.330.675 y el saldo queda en $6.160.000.000. En sus últimos 180 días la sucursal recibe más de lo que paga (entradas medias $1.360.969.155/día &gt; salidas medias $1.012.793.512/día); el neto diario varía $411.621.558 (σ). Costo estimado $465.085 (Anexo E: fijo $12.524 + $5 por cada $10.000 movidos).</t>
        </is>
      </c>
      <c r="L2396" s="26" t="n">
        <v>6160000000</v>
      </c>
      <c r="M2396" s="26" t="n">
        <v>7004330675</v>
      </c>
      <c r="N2396" s="27">
        <f>IF(ISNUMBER(M2396),M2396/L2396,"No aplica")</f>
        <v>1.1370666680194805</v>
      </c>
      <c r="O2396" s="25">
        <f>IF(G2396="provision",M2396+H2396,IF(G2396="recoleccion",M2396-H2396,"No aplica"))</f>
        <v>6160000000</v>
      </c>
      <c r="P2396" s="26" t="n">
        <v>465085</v>
      </c>
    </row>
    <row r="2397">
      <c r="A2397" t="inlineStr">
        <is>
          <t>PRAGMA</t>
        </is>
      </c>
      <c r="B2397" t="inlineStr">
        <is>
          <t>M3</t>
        </is>
      </c>
      <c r="C2397" t="inlineStr">
        <is>
          <t>Cali</t>
        </is>
      </c>
      <c r="D2397" t="inlineStr">
        <is>
          <t>813</t>
        </is>
      </c>
      <c r="E2397" t="inlineStr">
        <is>
          <t>No aplica</t>
        </is>
      </c>
      <c r="F2397" s="23" t="n">
        <v>46276</v>
      </c>
      <c r="G2397" t="inlineStr">
        <is>
          <t>recoleccion</t>
        </is>
      </c>
      <c r="H2397" s="26" t="n">
        <v>1117236655</v>
      </c>
      <c r="I2397" t="inlineStr">
        <is>
          <t>bajo</t>
        </is>
      </c>
      <c r="J2397" t="inlineStr">
        <is>
          <t>RN-41: riesgo de exceder el cupo</t>
        </is>
      </c>
      <c r="K2397" t="inlineStr">
        <is>
          <t>Recolección por riesgo de exceder el cupo: el saldo al cierre ($7.277.236.655) pasa el cupo $6.160.000.000. Se recogen $1.117.236.655 y el saldo queda en $6.160.000.000. En sus últimos 180 días la sucursal recibe más de lo que paga (entradas medias $1.360.969.155/día &gt; salidas medias $1.012.793.512/día); el neto diario varía $411.621.558 (σ). Costo estimado $611.363 (Anexo E: fijo $12.524 + $5 por cada $10.000 movidos).</t>
        </is>
      </c>
      <c r="L2397" s="26" t="n">
        <v>6160000000</v>
      </c>
      <c r="M2397" s="26" t="n">
        <v>7277236655</v>
      </c>
      <c r="N2397" s="27">
        <f>IF(ISNUMBER(M2397),M2397/L2397,"No aplica")</f>
        <v>1.1813695868506493</v>
      </c>
      <c r="O2397" s="25">
        <f>IF(G2397="provision",M2397+H2397,IF(G2397="recoleccion",M2397-H2397,"No aplica"))</f>
        <v>6160000000</v>
      </c>
      <c r="P2397" s="26" t="n">
        <v>611363</v>
      </c>
    </row>
    <row r="2398">
      <c r="A2398" t="inlineStr">
        <is>
          <t>PRAGMA</t>
        </is>
      </c>
      <c r="B2398" t="inlineStr">
        <is>
          <t>M3</t>
        </is>
      </c>
      <c r="C2398" t="inlineStr">
        <is>
          <t>Cali</t>
        </is>
      </c>
      <c r="D2398" t="inlineStr">
        <is>
          <t>813</t>
        </is>
      </c>
      <c r="E2398" t="inlineStr">
        <is>
          <t>No aplica</t>
        </is>
      </c>
      <c r="F2398" s="23" t="n">
        <v>46277</v>
      </c>
      <c r="G2398" t="inlineStr">
        <is>
          <t>recoleccion</t>
        </is>
      </c>
      <c r="H2398" s="26" t="n">
        <v>733267766</v>
      </c>
      <c r="I2398" t="inlineStr">
        <is>
          <t>bajo</t>
        </is>
      </c>
      <c r="J2398" t="inlineStr">
        <is>
          <t>RN-41: riesgo de exceder el cupo</t>
        </is>
      </c>
      <c r="K2398" t="inlineStr">
        <is>
          <t>Recolección por riesgo de exceder el cupo: el saldo al cierre ($6.893.267.766) pasa el cupo $6.160.000.000. Se recogen $733.267.766 y el saldo queda en $6.160.000.000. En sus últimos 180 días la sucursal recibe más de lo que paga (entradas medias $1.360.969.155/día &gt; salidas medias $1.012.793.512/día); el neto diario varía $411.621.558 (σ). Costo estimado $405.556 (Anexo E: fijo $12.524 + $5 por cada $10.000 movidos).</t>
        </is>
      </c>
      <c r="L2398" s="26" t="n">
        <v>6160000000</v>
      </c>
      <c r="M2398" s="26" t="n">
        <v>6893267766</v>
      </c>
      <c r="N2398" s="27">
        <f>IF(ISNUMBER(M2398),M2398/L2398,"No aplica")</f>
        <v>1.119036975</v>
      </c>
      <c r="O2398" s="25">
        <f>IF(G2398="provision",M2398+H2398,IF(G2398="recoleccion",M2398-H2398,"No aplica"))</f>
        <v>6160000000</v>
      </c>
      <c r="P2398" s="26" t="n">
        <v>405556</v>
      </c>
    </row>
    <row r="2399">
      <c r="A2399" t="inlineStr">
        <is>
          <t>PRAGMA</t>
        </is>
      </c>
      <c r="B2399" t="inlineStr">
        <is>
          <t>M3</t>
        </is>
      </c>
      <c r="C2399" t="inlineStr">
        <is>
          <t>Cali</t>
        </is>
      </c>
      <c r="D2399" t="inlineStr">
        <is>
          <t>813</t>
        </is>
      </c>
      <c r="E2399" t="inlineStr">
        <is>
          <t>No aplica</t>
        </is>
      </c>
      <c r="F2399" s="23" t="n">
        <v>46278</v>
      </c>
      <c r="G2399" t="inlineStr">
        <is>
          <t>recoleccion</t>
        </is>
      </c>
      <c r="H2399" s="26" t="n">
        <v>8578129</v>
      </c>
      <c r="I2399" t="inlineStr">
        <is>
          <t>bajo</t>
        </is>
      </c>
      <c r="J2399" t="inlineStr">
        <is>
          <t>RN-41: riesgo de exceder el cupo</t>
        </is>
      </c>
      <c r="K2399" t="inlineStr">
        <is>
          <t>Recolección por riesgo de exceder el cupo: el saldo al cierre ($6.168.578.129) pasa el cupo $6.160.000.000. Se recogen $8.578.129 y el saldo queda en $6.160.000.000. En sus últimos 180 días la sucursal recibe más de lo que paga (entradas medias $1.360.969.155/día &gt; salidas medias $1.012.793.512/día); el neto diario varía $411.621.558 (σ). Costo estimado $17.122 (Anexo E: fijo $12.524 + $5 por cada $10.000 movidos).</t>
        </is>
      </c>
      <c r="L2399" s="26" t="n">
        <v>6160000000</v>
      </c>
      <c r="M2399" s="26" t="n">
        <v>6168578129</v>
      </c>
      <c r="N2399" s="27">
        <f>IF(ISNUMBER(M2399),M2399/L2399,"No aplica")</f>
        <v>1.0013925534090908</v>
      </c>
      <c r="O2399" s="25">
        <f>IF(G2399="provision",M2399+H2399,IF(G2399="recoleccion",M2399-H2399,"No aplica"))</f>
        <v>6160000000</v>
      </c>
      <c r="P2399" s="26" t="n">
        <v>17122</v>
      </c>
    </row>
    <row r="2400">
      <c r="A2400" t="inlineStr">
        <is>
          <t>PRAGMA</t>
        </is>
      </c>
      <c r="B2400" t="inlineStr">
        <is>
          <t>M3</t>
        </is>
      </c>
      <c r="C2400" t="inlineStr">
        <is>
          <t>Cali</t>
        </is>
      </c>
      <c r="D2400" t="inlineStr">
        <is>
          <t>813</t>
        </is>
      </c>
      <c r="E2400" t="inlineStr">
        <is>
          <t>No aplica</t>
        </is>
      </c>
      <c r="F2400" s="23" t="n">
        <v>46279</v>
      </c>
      <c r="G2400" t="inlineStr">
        <is>
          <t>recoleccion</t>
        </is>
      </c>
      <c r="H2400" s="26" t="n">
        <v>96979316</v>
      </c>
      <c r="I2400" t="inlineStr">
        <is>
          <t>bajo</t>
        </is>
      </c>
      <c r="J2400" t="inlineStr">
        <is>
          <t>RN-41: riesgo de exceder el cupo</t>
        </is>
      </c>
      <c r="K2400" t="inlineStr">
        <is>
          <t>Recolección por riesgo de exceder el cupo: el saldo al cierre ($6.256.979.316) pasa el cupo $6.160.000.000. Se recogen $96.979.316 y el saldo queda en $6.160.000.000. En sus últimos 180 días la sucursal recibe más de lo que paga (entradas medias $1.360.969.155/día &gt; salidas medias $1.012.793.512/día); el neto diario varía $411.621.558 (σ). Costo estimado $64.505 (Anexo E: fijo $12.524 + $5 por cada $10.000 movidos).</t>
        </is>
      </c>
      <c r="L2400" s="26" t="n">
        <v>6160000000</v>
      </c>
      <c r="M2400" s="26" t="n">
        <v>6256979316</v>
      </c>
      <c r="N2400" s="27">
        <f>IF(ISNUMBER(M2400),M2400/L2400,"No aplica")</f>
        <v>1.0157433954545454</v>
      </c>
      <c r="O2400" s="25">
        <f>IF(G2400="provision",M2400+H2400,IF(G2400="recoleccion",M2400-H2400,"No aplica"))</f>
        <v>6160000000</v>
      </c>
      <c r="P2400" s="26" t="n">
        <v>64505</v>
      </c>
    </row>
    <row r="2401">
      <c r="A2401" t="inlineStr">
        <is>
          <t>PRAGMA</t>
        </is>
      </c>
      <c r="B2401" t="inlineStr">
        <is>
          <t>M3</t>
        </is>
      </c>
      <c r="C2401" t="inlineStr">
        <is>
          <t>Cali</t>
        </is>
      </c>
      <c r="D2401" t="inlineStr">
        <is>
          <t>813</t>
        </is>
      </c>
      <c r="E2401" t="inlineStr">
        <is>
          <t>No aplica</t>
        </is>
      </c>
      <c r="F2401" s="23" t="n">
        <v>46280</v>
      </c>
      <c r="G2401" t="inlineStr">
        <is>
          <t>recoleccion</t>
        </is>
      </c>
      <c r="H2401" s="26" t="n">
        <v>1240308814</v>
      </c>
      <c r="I2401" t="inlineStr">
        <is>
          <t>bajo</t>
        </is>
      </c>
      <c r="J2401" t="inlineStr">
        <is>
          <t>RN-41: riesgo de exceder el cupo</t>
        </is>
      </c>
      <c r="K2401" t="inlineStr">
        <is>
          <t>Recolección por riesgo de exceder el cupo: el saldo al cierre ($7.400.308.814) pasa el cupo $6.160.000.000. Se recogen $1.240.308.814 y el saldo queda en $6.160.000.000. En sus últimos 180 días la sucursal recibe más de lo que paga (entradas medias $1.360.969.155/día &gt; salidas medias $1.012.793.512/día); el neto diario varía $411.621.558 (σ). Costo estimado $677.330 (Anexo E: fijo $12.524 + $5 por cada $10.000 movidos).</t>
        </is>
      </c>
      <c r="L2401" s="26" t="n">
        <v>6160000000</v>
      </c>
      <c r="M2401" s="26" t="n">
        <v>7400308814</v>
      </c>
      <c r="N2401" s="27">
        <f>IF(ISNUMBER(M2401),M2401/L2401,"No aplica")</f>
        <v>1.2013488334415585</v>
      </c>
      <c r="O2401" s="25">
        <f>IF(G2401="provision",M2401+H2401,IF(G2401="recoleccion",M2401-H2401,"No aplica"))</f>
        <v>6160000000</v>
      </c>
      <c r="P2401" s="26" t="n">
        <v>677330</v>
      </c>
    </row>
    <row r="2402">
      <c r="A2402" t="inlineStr">
        <is>
          <t>PRAGMA</t>
        </is>
      </c>
      <c r="B2402" t="inlineStr">
        <is>
          <t>M3</t>
        </is>
      </c>
      <c r="C2402" t="inlineStr">
        <is>
          <t>Cali</t>
        </is>
      </c>
      <c r="D2402" t="inlineStr">
        <is>
          <t>814</t>
        </is>
      </c>
      <c r="E2402" t="inlineStr">
        <is>
          <t>No aplica</t>
        </is>
      </c>
      <c r="F2402" s="23" t="n">
        <v>46266</v>
      </c>
      <c r="G2402" t="inlineStr">
        <is>
          <t>recoleccion</t>
        </is>
      </c>
      <c r="H2402" s="26" t="n">
        <v>52717073</v>
      </c>
      <c r="I2402" t="inlineStr">
        <is>
          <t>bajo</t>
        </is>
      </c>
      <c r="J2402" t="inlineStr">
        <is>
          <t>RN-41: efectivo ocioso sobre el techo</t>
        </is>
      </c>
      <c r="K2402" t="inlineStr">
        <is>
          <t>Recolección por efectivo ocioso: el saldo al cierre ($3.745.593.831) pasa el techo $3.692.876.758 (reserva + 15 días de salidas medias, tope en el cupo $3.891.000.000). Se recogen $52.717.073 y el saldo queda en $3.692.876.758. En sus últimos 180 días la sucursal paga más de lo que recibe (salidas medias $225.439.784/día &gt; entradas medias $163.260.036/día); el neto diario varía $127.476.675 (σ). Costo estimado $229.196 (Anexo E: fijo $168.835 + $11 por cada $10.000 movidos).</t>
        </is>
      </c>
      <c r="L2402" s="26" t="n">
        <v>3891000000</v>
      </c>
      <c r="M2402" s="26" t="n">
        <v>3745593831</v>
      </c>
      <c r="N2402" s="27">
        <f>IF(ISNUMBER(M2402),M2402/L2402,"No aplica")</f>
        <v>0.9626301287586738</v>
      </c>
      <c r="O2402" s="25">
        <f>IF(G2402="provision",M2402+H2402,IF(G2402="recoleccion",M2402-H2402,"No aplica"))</f>
        <v>3692876758</v>
      </c>
      <c r="P2402" s="26" t="n">
        <v>229196</v>
      </c>
    </row>
    <row r="2403">
      <c r="A2403" t="inlineStr">
        <is>
          <t>PRAGMA</t>
        </is>
      </c>
      <c r="B2403" t="inlineStr">
        <is>
          <t>M3</t>
        </is>
      </c>
      <c r="C2403" t="inlineStr">
        <is>
          <t>Cali</t>
        </is>
      </c>
      <c r="D2403" t="inlineStr">
        <is>
          <t>815</t>
        </is>
      </c>
      <c r="E2403" t="inlineStr">
        <is>
          <t>No aplica</t>
        </is>
      </c>
      <c r="F2403" s="23" t="n">
        <v>46266</v>
      </c>
      <c r="G2403" t="inlineStr">
        <is>
          <t>recoleccion</t>
        </is>
      </c>
      <c r="H2403" s="26" t="n">
        <v>7671075560</v>
      </c>
      <c r="I2403" t="inlineStr">
        <is>
          <t>bajo</t>
        </is>
      </c>
      <c r="J2403" t="inlineStr">
        <is>
          <t>RN-41: riesgo de exceder el cupo</t>
        </is>
      </c>
      <c r="K2403" t="inlineStr">
        <is>
          <t>Recolección por riesgo de exceder el cupo: el saldo al cierre ($12.246.081.542) pasa el cupo $12.163.500.000. Se recogen $7.671.075.560 y el saldo queda en $4.575.005.982. En sus últimos 180 días la sucursal recibe más de lo que paga (entradas medias $326.860.141/día &gt; salidas medias $240.128.399/día); el neto diario varía $155.147.690 (σ). Costo estimado $4.603.522 (Anexo E: fijo $16.219 + $6 por cada $10.000 movidos).</t>
        </is>
      </c>
      <c r="L2403" s="26" t="n">
        <v>12163500000</v>
      </c>
      <c r="M2403" s="26" t="n">
        <v>12246081542</v>
      </c>
      <c r="N2403" s="27">
        <f>IF(ISNUMBER(M2403),M2403/L2403,"No aplica")</f>
        <v>1.0067892910757594</v>
      </c>
      <c r="O2403" s="25">
        <f>IF(G2403="provision",M2403+H2403,IF(G2403="recoleccion",M2403-H2403,"No aplica"))</f>
        <v>4575005982</v>
      </c>
      <c r="P2403" s="26" t="n">
        <v>4603522</v>
      </c>
    </row>
    <row r="2404">
      <c r="A2404" t="inlineStr">
        <is>
          <t>PRAGMA</t>
        </is>
      </c>
      <c r="B2404" t="inlineStr">
        <is>
          <t>M3</t>
        </is>
      </c>
      <c r="C2404" t="inlineStr">
        <is>
          <t>Cali</t>
        </is>
      </c>
      <c r="D2404" t="inlineStr">
        <is>
          <t>815</t>
        </is>
      </c>
      <c r="E2404" t="inlineStr">
        <is>
          <t>No aplica</t>
        </is>
      </c>
      <c r="F2404" s="23" t="n">
        <v>46267</v>
      </c>
      <c r="G2404" t="inlineStr">
        <is>
          <t>recoleccion</t>
        </is>
      </c>
      <c r="H2404" s="26" t="n">
        <v>62132033</v>
      </c>
      <c r="I2404" t="inlineStr">
        <is>
          <t>bajo</t>
        </is>
      </c>
      <c r="J2404" t="inlineStr">
        <is>
          <t>RN-41: efectivo ocioso sobre el techo</t>
        </is>
      </c>
      <c r="K2404" t="inlineStr">
        <is>
          <t>Recolección por efectivo ocioso: el saldo al cierre ($4.637.138.015) pasa el techo $4.575.005.982 (reserva + 15 días de salidas medias, tope en el cupo $12.163.500.000). Se recogen $62.132.033 y el saldo queda en $4.575.005.982. En sus últimos 180 días la sucursal recibe más de lo que paga (entradas medias $326.860.141/día &gt; salidas medias $240.128.399/día); el neto diario varía $155.147.690 (σ). Costo estimado $53.374 (Anexo E: fijo $16.219 + $6 por cada $10.000 movidos).</t>
        </is>
      </c>
      <c r="L2404" s="26" t="n">
        <v>12163500000</v>
      </c>
      <c r="M2404" s="26" t="n">
        <v>4637138015</v>
      </c>
      <c r="N2404" s="27">
        <f>IF(ISNUMBER(M2404),M2404/L2404,"No aplica")</f>
        <v>0.3812338566202162</v>
      </c>
      <c r="O2404" s="25">
        <f>IF(G2404="provision",M2404+H2404,IF(G2404="recoleccion",M2404-H2404,"No aplica"))</f>
        <v>4575005982</v>
      </c>
      <c r="P2404" s="26" t="n">
        <v>53374</v>
      </c>
    </row>
    <row r="2405">
      <c r="A2405" t="inlineStr">
        <is>
          <t>PRAGMA</t>
        </is>
      </c>
      <c r="B2405" t="inlineStr">
        <is>
          <t>M3</t>
        </is>
      </c>
      <c r="C2405" t="inlineStr">
        <is>
          <t>Cali</t>
        </is>
      </c>
      <c r="D2405" t="inlineStr">
        <is>
          <t>815</t>
        </is>
      </c>
      <c r="E2405" t="inlineStr">
        <is>
          <t>No aplica</t>
        </is>
      </c>
      <c r="F2405" s="23" t="n">
        <v>46268</v>
      </c>
      <c r="G2405" t="inlineStr">
        <is>
          <t>recoleccion</t>
        </is>
      </c>
      <c r="H2405" s="26" t="n">
        <v>150396107</v>
      </c>
      <c r="I2405" t="inlineStr">
        <is>
          <t>bajo</t>
        </is>
      </c>
      <c r="J2405" t="inlineStr">
        <is>
          <t>RN-41: efectivo ocioso sobre el techo</t>
        </is>
      </c>
      <c r="K2405" t="inlineStr">
        <is>
          <t>Recolección por efectivo ocioso: el saldo al cierre ($4.725.402.089) pasa el techo $4.575.005.982 (reserva + 15 días de salidas medias, tope en el cupo $12.163.500.000). Se recogen $150.396.107 y el saldo queda en $4.575.005.982. En sus últimos 180 días la sucursal recibe más de lo que paga (entradas medias $326.860.141/día &gt; salidas medias $240.128.399/día); el neto diario varía $155.147.690 (σ). Costo estimado $106.156 (Anexo E: fijo $16.219 + $6 por cada $10.000 movidos).</t>
        </is>
      </c>
      <c r="L2405" s="26" t="n">
        <v>12163500000</v>
      </c>
      <c r="M2405" s="26" t="n">
        <v>4725402089</v>
      </c>
      <c r="N2405" s="27">
        <f>IF(ISNUMBER(M2405),M2405/L2405,"No aplica")</f>
        <v>0.3884903267151724</v>
      </c>
      <c r="O2405" s="25">
        <f>IF(G2405="provision",M2405+H2405,IF(G2405="recoleccion",M2405-H2405,"No aplica"))</f>
        <v>4575005982</v>
      </c>
      <c r="P2405" s="26" t="n">
        <v>106156</v>
      </c>
    </row>
    <row r="2406">
      <c r="A2406" t="inlineStr">
        <is>
          <t>PRAGMA</t>
        </is>
      </c>
      <c r="B2406" t="inlineStr">
        <is>
          <t>M3</t>
        </is>
      </c>
      <c r="C2406" t="inlineStr">
        <is>
          <t>Cali</t>
        </is>
      </c>
      <c r="D2406" t="inlineStr">
        <is>
          <t>815</t>
        </is>
      </c>
      <c r="E2406" t="inlineStr">
        <is>
          <t>No aplica</t>
        </is>
      </c>
      <c r="F2406" s="23" t="n">
        <v>46272</v>
      </c>
      <c r="G2406" t="inlineStr">
        <is>
          <t>recoleccion</t>
        </is>
      </c>
      <c r="H2406" s="26" t="n">
        <v>49078875</v>
      </c>
      <c r="I2406" t="inlineStr">
        <is>
          <t>bajo</t>
        </is>
      </c>
      <c r="J2406" t="inlineStr">
        <is>
          <t>RN-41: efectivo ocioso sobre el techo</t>
        </is>
      </c>
      <c r="K2406" t="inlineStr">
        <is>
          <t>Recolección por efectivo ocioso: el saldo al cierre ($4.624.084.857) pasa el techo $4.575.005.982 (reserva + 15 días de salidas medias, tope en el cupo $12.163.500.000). Se recogen $49.078.875 y el saldo queda en $4.575.005.982. En sus últimos 180 días la sucursal recibe más de lo que paga (entradas medias $326.860.141/día &gt; salidas medias $240.128.399/día); el neto diario varía $155.147.690 (σ). Costo estimado $45.568 (Anexo E: fijo $16.219 + $6 por cada $10.000 movidos).</t>
        </is>
      </c>
      <c r="L2406" s="26" t="n">
        <v>12163500000</v>
      </c>
      <c r="M2406" s="26" t="n">
        <v>4624084857</v>
      </c>
      <c r="N2406" s="27">
        <f>IF(ISNUMBER(M2406),M2406/L2406,"No aplica")</f>
        <v>0.3801607150080158</v>
      </c>
      <c r="O2406" s="25">
        <f>IF(G2406="provision",M2406+H2406,IF(G2406="recoleccion",M2406-H2406,"No aplica"))</f>
        <v>4575005982</v>
      </c>
      <c r="P2406" s="26" t="n">
        <v>45568</v>
      </c>
    </row>
    <row r="2407">
      <c r="A2407" t="inlineStr">
        <is>
          <t>PRAGMA</t>
        </is>
      </c>
      <c r="B2407" t="inlineStr">
        <is>
          <t>M3</t>
        </is>
      </c>
      <c r="C2407" t="inlineStr">
        <is>
          <t>Cali</t>
        </is>
      </c>
      <c r="D2407" t="inlineStr">
        <is>
          <t>815</t>
        </is>
      </c>
      <c r="E2407" t="inlineStr">
        <is>
          <t>No aplica</t>
        </is>
      </c>
      <c r="F2407" s="23" t="n">
        <v>46273</v>
      </c>
      <c r="G2407" t="inlineStr">
        <is>
          <t>recoleccion</t>
        </is>
      </c>
      <c r="H2407" s="26" t="n">
        <v>129465759</v>
      </c>
      <c r="I2407" t="inlineStr">
        <is>
          <t>bajo</t>
        </is>
      </c>
      <c r="J2407" t="inlineStr">
        <is>
          <t>RN-41: efectivo ocioso sobre el techo</t>
        </is>
      </c>
      <c r="K2407" t="inlineStr">
        <is>
          <t>Recolección por efectivo ocioso: el saldo al cierre ($4.704.471.741) pasa el techo $4.575.005.982 (reserva + 15 días de salidas medias, tope en el cupo $12.163.500.000). Se recogen $129.465.759 y el saldo queda en $4.575.005.982. En sus últimos 180 días la sucursal recibe más de lo que paga (entradas medias $326.860.141/día &gt; salidas medias $240.128.399/día); el neto diario varía $155.147.690 (σ). Costo estimado $93.640 (Anexo E: fijo $16.219 + $6 por cada $10.000 movidos).</t>
        </is>
      </c>
      <c r="L2407" s="26" t="n">
        <v>12163500000</v>
      </c>
      <c r="M2407" s="26" t="n">
        <v>4704471741</v>
      </c>
      <c r="N2407" s="27">
        <f>IF(ISNUMBER(M2407),M2407/L2407,"No aplica")</f>
        <v>0.3867695762732766</v>
      </c>
      <c r="O2407" s="25">
        <f>IF(G2407="provision",M2407+H2407,IF(G2407="recoleccion",M2407-H2407,"No aplica"))</f>
        <v>4575005982</v>
      </c>
      <c r="P2407" s="26" t="n">
        <v>93640</v>
      </c>
    </row>
    <row r="2408">
      <c r="A2408" t="inlineStr">
        <is>
          <t>PRAGMA</t>
        </is>
      </c>
      <c r="B2408" t="inlineStr">
        <is>
          <t>M3</t>
        </is>
      </c>
      <c r="C2408" t="inlineStr">
        <is>
          <t>Cali</t>
        </is>
      </c>
      <c r="D2408" t="inlineStr">
        <is>
          <t>815</t>
        </is>
      </c>
      <c r="E2408" t="inlineStr">
        <is>
          <t>No aplica</t>
        </is>
      </c>
      <c r="F2408" s="23" t="n">
        <v>46274</v>
      </c>
      <c r="G2408" t="inlineStr">
        <is>
          <t>recoleccion</t>
        </is>
      </c>
      <c r="H2408" s="26" t="n">
        <v>87594771</v>
      </c>
      <c r="I2408" t="inlineStr">
        <is>
          <t>bajo</t>
        </is>
      </c>
      <c r="J2408" t="inlineStr">
        <is>
          <t>RN-41: efectivo ocioso sobre el techo</t>
        </is>
      </c>
      <c r="K2408" t="inlineStr">
        <is>
          <t>Recolección por efectivo ocioso: el saldo al cierre ($4.662.600.753) pasa el techo $4.575.005.982 (reserva + 15 días de salidas medias, tope en el cupo $12.163.500.000). Se recogen $87.594.771 y el saldo queda en $4.575.005.982. En sus últimos 180 días la sucursal recibe más de lo que paga (entradas medias $326.860.141/día &gt; salidas medias $240.128.399/día); el neto diario varía $155.147.690 (σ). Costo estimado $68.601 (Anexo E: fijo $16.219 + $6 por cada $10.000 movidos).</t>
        </is>
      </c>
      <c r="L2408" s="26" t="n">
        <v>12163500000</v>
      </c>
      <c r="M2408" s="26" t="n">
        <v>4662600753</v>
      </c>
      <c r="N2408" s="27">
        <f>IF(ISNUMBER(M2408),M2408/L2408,"No aplica")</f>
        <v>0.383327229251449</v>
      </c>
      <c r="O2408" s="25">
        <f>IF(G2408="provision",M2408+H2408,IF(G2408="recoleccion",M2408-H2408,"No aplica"))</f>
        <v>4575005982</v>
      </c>
      <c r="P2408" s="26" t="n">
        <v>68601</v>
      </c>
    </row>
    <row r="2409">
      <c r="A2409" t="inlineStr">
        <is>
          <t>PRAGMA</t>
        </is>
      </c>
      <c r="B2409" t="inlineStr">
        <is>
          <t>M3</t>
        </is>
      </c>
      <c r="C2409" t="inlineStr">
        <is>
          <t>Cali</t>
        </is>
      </c>
      <c r="D2409" t="inlineStr">
        <is>
          <t>815</t>
        </is>
      </c>
      <c r="E2409" t="inlineStr">
        <is>
          <t>No aplica</t>
        </is>
      </c>
      <c r="F2409" s="23" t="n">
        <v>46275</v>
      </c>
      <c r="G2409" t="inlineStr">
        <is>
          <t>recoleccion</t>
        </is>
      </c>
      <c r="H2409" s="26" t="n">
        <v>37319153</v>
      </c>
      <c r="I2409" t="inlineStr">
        <is>
          <t>bajo</t>
        </is>
      </c>
      <c r="J2409" t="inlineStr">
        <is>
          <t>RN-41: efectivo ocioso sobre el techo</t>
        </is>
      </c>
      <c r="K2409" t="inlineStr">
        <is>
          <t>Recolección por efectivo ocioso: el saldo al cierre ($4.612.325.135) pasa el techo $4.575.005.982 (reserva + 15 días de salidas medias, tope en el cupo $12.163.500.000). Se recogen $37.319.153 y el saldo queda en $4.575.005.982. En sus últimos 180 días la sucursal recibe más de lo que paga (entradas medias $326.860.141/día &gt; salidas medias $240.128.399/día); el neto diario varía $155.147.690 (σ). Costo estimado $38.536 (Anexo E: fijo $16.219 + $6 por cada $10.000 movidos).</t>
        </is>
      </c>
      <c r="L2409" s="26" t="n">
        <v>12163500000</v>
      </c>
      <c r="M2409" s="26" t="n">
        <v>4612325135</v>
      </c>
      <c r="N2409" s="27">
        <f>IF(ISNUMBER(M2409),M2409/L2409,"No aplica")</f>
        <v>0.3791939108809142</v>
      </c>
      <c r="O2409" s="25">
        <f>IF(G2409="provision",M2409+H2409,IF(G2409="recoleccion",M2409-H2409,"No aplica"))</f>
        <v>4575005982</v>
      </c>
      <c r="P2409" s="26" t="n">
        <v>38536</v>
      </c>
    </row>
    <row r="2410">
      <c r="A2410" t="inlineStr">
        <is>
          <t>PRAGMA</t>
        </is>
      </c>
      <c r="B2410" t="inlineStr">
        <is>
          <t>M3</t>
        </is>
      </c>
      <c r="C2410" t="inlineStr">
        <is>
          <t>Cali</t>
        </is>
      </c>
      <c r="D2410" t="inlineStr">
        <is>
          <t>815</t>
        </is>
      </c>
      <c r="E2410" t="inlineStr">
        <is>
          <t>No aplica</t>
        </is>
      </c>
      <c r="F2410" s="23" t="n">
        <v>46276</v>
      </c>
      <c r="G2410" t="inlineStr">
        <is>
          <t>recoleccion</t>
        </is>
      </c>
      <c r="H2410" s="26" t="n">
        <v>26271574</v>
      </c>
      <c r="I2410" t="inlineStr">
        <is>
          <t>bajo</t>
        </is>
      </c>
      <c r="J2410" t="inlineStr">
        <is>
          <t>RN-41: efectivo ocioso sobre el techo</t>
        </is>
      </c>
      <c r="K2410" t="inlineStr">
        <is>
          <t>Recolección por efectivo ocioso: el saldo al cierre ($4.601.277.556) pasa el techo $4.575.005.982 (reserva + 15 días de salidas medias, tope en el cupo $12.163.500.000). Se recogen $26.271.574 y el saldo queda en $4.575.005.982. En sus últimos 180 días la sucursal recibe más de lo que paga (entradas medias $326.860.141/día &gt; salidas medias $240.128.399/día); el neto diario varía $155.147.690 (σ). Costo estimado $31.929 (Anexo E: fijo $16.219 + $6 por cada $10.000 movidos).</t>
        </is>
      </c>
      <c r="L2410" s="26" t="n">
        <v>12163500000</v>
      </c>
      <c r="M2410" s="26" t="n">
        <v>4601277556</v>
      </c>
      <c r="N2410" s="27">
        <f>IF(ISNUMBER(M2410),M2410/L2410,"No aplica")</f>
        <v>0.37828565429358324</v>
      </c>
      <c r="O2410" s="25">
        <f>IF(G2410="provision",M2410+H2410,IF(G2410="recoleccion",M2410-H2410,"No aplica"))</f>
        <v>4575005982</v>
      </c>
      <c r="P2410" s="26" t="n">
        <v>31929</v>
      </c>
    </row>
    <row r="2411">
      <c r="A2411" t="inlineStr">
        <is>
          <t>PRAGMA</t>
        </is>
      </c>
      <c r="B2411" t="inlineStr">
        <is>
          <t>M3</t>
        </is>
      </c>
      <c r="C2411" t="inlineStr">
        <is>
          <t>Cali</t>
        </is>
      </c>
      <c r="D2411" t="inlineStr">
        <is>
          <t>815</t>
        </is>
      </c>
      <c r="E2411" t="inlineStr">
        <is>
          <t>No aplica</t>
        </is>
      </c>
      <c r="F2411" s="23" t="n">
        <v>46279</v>
      </c>
      <c r="G2411" t="inlineStr">
        <is>
          <t>recoleccion</t>
        </is>
      </c>
      <c r="H2411" s="26" t="n">
        <v>49100925</v>
      </c>
      <c r="I2411" t="inlineStr">
        <is>
          <t>bajo</t>
        </is>
      </c>
      <c r="J2411" t="inlineStr">
        <is>
          <t>RN-41: efectivo ocioso sobre el techo</t>
        </is>
      </c>
      <c r="K2411" t="inlineStr">
        <is>
          <t>Recolección por efectivo ocioso: el saldo al cierre ($4.624.106.907) pasa el techo $4.575.005.982 (reserva + 15 días de salidas medias, tope en el cupo $12.163.500.000). Se recogen $49.100.925 y el saldo queda en $4.575.005.982. En sus últimos 180 días la sucursal recibe más de lo que paga (entradas medias $326.860.141/día &gt; salidas medias $240.128.399/día); el neto diario varía $155.147.690 (σ). Costo estimado $45.581 (Anexo E: fijo $16.219 + $6 por cada $10.000 movidos).</t>
        </is>
      </c>
      <c r="L2411" s="26" t="n">
        <v>12163500000</v>
      </c>
      <c r="M2411" s="26" t="n">
        <v>4624106907</v>
      </c>
      <c r="N2411" s="27">
        <f>IF(ISNUMBER(M2411),M2411/L2411,"No aplica")</f>
        <v>0.3801625278086077</v>
      </c>
      <c r="O2411" s="25">
        <f>IF(G2411="provision",M2411+H2411,IF(G2411="recoleccion",M2411-H2411,"No aplica"))</f>
        <v>4575005982</v>
      </c>
      <c r="P2411" s="26" t="n">
        <v>45581</v>
      </c>
    </row>
    <row r="2412">
      <c r="A2412" t="inlineStr">
        <is>
          <t>PRAGMA</t>
        </is>
      </c>
      <c r="B2412" t="inlineStr">
        <is>
          <t>M3</t>
        </is>
      </c>
      <c r="C2412" t="inlineStr">
        <is>
          <t>Cali</t>
        </is>
      </c>
      <c r="D2412" t="inlineStr">
        <is>
          <t>815</t>
        </is>
      </c>
      <c r="E2412" t="inlineStr">
        <is>
          <t>No aplica</t>
        </is>
      </c>
      <c r="F2412" s="23" t="n">
        <v>46280</v>
      </c>
      <c r="G2412" t="inlineStr">
        <is>
          <t>recoleccion</t>
        </is>
      </c>
      <c r="H2412" s="26" t="n">
        <v>103627126</v>
      </c>
      <c r="I2412" t="inlineStr">
        <is>
          <t>bajo</t>
        </is>
      </c>
      <c r="J2412" t="inlineStr">
        <is>
          <t>RN-41: efectivo ocioso sobre el techo</t>
        </is>
      </c>
      <c r="K2412" t="inlineStr">
        <is>
          <t>Recolección por efectivo ocioso: el saldo al cierre ($4.678.633.108) pasa el techo $4.575.005.982 (reserva + 15 días de salidas medias, tope en el cupo $12.163.500.000). Se recogen $103.627.126 y el saldo queda en $4.575.005.982. En sus últimos 180 días la sucursal recibe más de lo que paga (entradas medias $326.860.141/día &gt; salidas medias $240.128.399/día); el neto diario varía $155.147.690 (σ). Costo estimado $78.188 (Anexo E: fijo $16.219 + $6 por cada $10.000 movidos).</t>
        </is>
      </c>
      <c r="L2412" s="26" t="n">
        <v>12163500000</v>
      </c>
      <c r="M2412" s="26" t="n">
        <v>4678633108</v>
      </c>
      <c r="N2412" s="27">
        <f>IF(ISNUMBER(M2412),M2412/L2412,"No aplica")</f>
        <v>0.3846453001192091</v>
      </c>
      <c r="O2412" s="25">
        <f>IF(G2412="provision",M2412+H2412,IF(G2412="recoleccion",M2412-H2412,"No aplica"))</f>
        <v>4575005982</v>
      </c>
      <c r="P2412" s="26" t="n">
        <v>78188</v>
      </c>
    </row>
    <row r="2413">
      <c r="A2413" t="inlineStr">
        <is>
          <t>PRAGMA</t>
        </is>
      </c>
      <c r="B2413" t="inlineStr">
        <is>
          <t>M3</t>
        </is>
      </c>
      <c r="C2413" t="inlineStr">
        <is>
          <t>Cali</t>
        </is>
      </c>
      <c r="D2413" t="inlineStr">
        <is>
          <t>817</t>
        </is>
      </c>
      <c r="E2413" t="inlineStr">
        <is>
          <t>No aplica</t>
        </is>
      </c>
      <c r="F2413" s="23" t="n">
        <v>46266</v>
      </c>
      <c r="G2413" t="inlineStr">
        <is>
          <t>sin_accion</t>
        </is>
      </c>
      <c r="H2413" s="26" t="n">
        <v>0</v>
      </c>
      <c r="I2413" t="inlineStr">
        <is>
          <t>bajo</t>
        </is>
      </c>
      <c r="J2413" t="inlineStr">
        <is>
          <t>RN-02: una fila sin_accion</t>
        </is>
      </c>
      <c r="K2413" t="inlineStr">
        <is>
          <t>Sin accion en el horizonte: con el pronostico, el saldo se mantiene entre el umbral de agotamiento y el cupo sin necesidad de provision ni recoleccion.</t>
        </is>
      </c>
      <c r="L2413" s="26" t="n">
        <v>11507634440</v>
      </c>
      <c r="M2413" s="26" t="inlineStr">
        <is>
          <t>No aplica</t>
        </is>
      </c>
      <c r="N2413" s="27" t="str">
        <f>IF(ISNUMBER(M2413),M2413/L2413,"No aplica")</f>
        <v>No aplica</v>
      </c>
      <c r="O2413" s="25" t="str">
        <f>IF(G2413="provision",M2413+H2413,IF(G2413="recoleccion",M2413-H2413,"No aplica"))</f>
        <v>No aplica</v>
      </c>
      <c r="P2413" s="26" t="inlineStr">
        <is>
          <t>No aplica</t>
        </is>
      </c>
    </row>
    <row r="2414">
      <c r="A2414" t="inlineStr">
        <is>
          <t>PRAGMA</t>
        </is>
      </c>
      <c r="B2414" t="inlineStr">
        <is>
          <t>M3</t>
        </is>
      </c>
      <c r="C2414" t="inlineStr">
        <is>
          <t>Cali</t>
        </is>
      </c>
      <c r="D2414" t="inlineStr">
        <is>
          <t>82</t>
        </is>
      </c>
      <c r="E2414" t="inlineStr">
        <is>
          <t>No aplica</t>
        </is>
      </c>
      <c r="F2414" s="23" t="n">
        <v>46266</v>
      </c>
      <c r="G2414" t="inlineStr">
        <is>
          <t>recoleccion</t>
        </is>
      </c>
      <c r="H2414" s="26" t="n">
        <v>4434377765</v>
      </c>
      <c r="I2414" t="inlineStr">
        <is>
          <t>bajo</t>
        </is>
      </c>
      <c r="J2414" t="inlineStr">
        <is>
          <t>RN-41: riesgo de exceder el cupo</t>
        </is>
      </c>
      <c r="K2414" t="inlineStr">
        <is>
          <t>Recolección por riesgo de exceder el cupo: el saldo al cierre ($8.196.077.071) pasa el cupo $8.127.685.800. Se recogen $4.434.377.765 y el saldo queda en $3.761.699.306. En sus últimos 180 días la sucursal recibe más de lo que paga (entradas medias $429.214.956/día &gt; salidas medias $207.432.296/día); el neto diario varía $235.617.619 (σ). Costo estimado $2.667.977 (Anexo E: fijo $16.219 + $6 por cada $10.000 movidos).</t>
        </is>
      </c>
      <c r="L2414" s="26" t="n">
        <v>8127685800</v>
      </c>
      <c r="M2414" s="26" t="n">
        <v>8196077071</v>
      </c>
      <c r="N2414" s="27">
        <f>IF(ISNUMBER(M2414),M2414/L2414,"No aplica")</f>
        <v>1.0084146056679504</v>
      </c>
      <c r="O2414" s="25">
        <f>IF(G2414="provision",M2414+H2414,IF(G2414="recoleccion",M2414-H2414,"No aplica"))</f>
        <v>3761699306</v>
      </c>
      <c r="P2414" s="26" t="n">
        <v>2667977</v>
      </c>
    </row>
    <row r="2415">
      <c r="A2415" t="inlineStr">
        <is>
          <t>PRAGMA</t>
        </is>
      </c>
      <c r="B2415" t="inlineStr">
        <is>
          <t>M3</t>
        </is>
      </c>
      <c r="C2415" t="inlineStr">
        <is>
          <t>Cali</t>
        </is>
      </c>
      <c r="D2415" t="inlineStr">
        <is>
          <t>82</t>
        </is>
      </c>
      <c r="E2415" t="inlineStr">
        <is>
          <t>No aplica</t>
        </is>
      </c>
      <c r="F2415" s="23" t="n">
        <v>46267</v>
      </c>
      <c r="G2415" t="inlineStr">
        <is>
          <t>recoleccion</t>
        </is>
      </c>
      <c r="H2415" s="26" t="n">
        <v>33255665</v>
      </c>
      <c r="I2415" t="inlineStr">
        <is>
          <t>bajo</t>
        </is>
      </c>
      <c r="J2415" t="inlineStr">
        <is>
          <t>RN-41: efectivo ocioso sobre el techo</t>
        </is>
      </c>
      <c r="K2415" t="inlineStr">
        <is>
          <t>Recolección por efectivo ocioso: el saldo al cierre ($3.794.954.971) pasa el techo $3.761.699.306 (reserva + 15 días de salidas medias, tope en el cupo $8.127.685.800). Se recogen $33.255.665 y el saldo queda en $3.761.699.306. En sus últimos 180 días la sucursal recibe más de lo que paga (entradas medias $429.214.956/día &gt; salidas medias $207.432.296/día); el neto diario varía $235.617.619 (σ). Costo estimado $36.106 (Anexo E: fijo $16.219 + $6 por cada $10.000 movidos).</t>
        </is>
      </c>
      <c r="L2415" s="26" t="n">
        <v>8127685800</v>
      </c>
      <c r="M2415" s="26" t="n">
        <v>3794954971</v>
      </c>
      <c r="N2415" s="27">
        <f>IF(ISNUMBER(M2415),M2415/L2415,"No aplica")</f>
        <v>0.46691703695041953</v>
      </c>
      <c r="O2415" s="25">
        <f>IF(G2415="provision",M2415+H2415,IF(G2415="recoleccion",M2415-H2415,"No aplica"))</f>
        <v>3761699306</v>
      </c>
      <c r="P2415" s="26" t="n">
        <v>36106</v>
      </c>
    </row>
    <row r="2416">
      <c r="A2416" t="inlineStr">
        <is>
          <t>PRAGMA</t>
        </is>
      </c>
      <c r="B2416" t="inlineStr">
        <is>
          <t>M3</t>
        </is>
      </c>
      <c r="C2416" t="inlineStr">
        <is>
          <t>Cali</t>
        </is>
      </c>
      <c r="D2416" t="inlineStr">
        <is>
          <t>82</t>
        </is>
      </c>
      <c r="E2416" t="inlineStr">
        <is>
          <t>No aplica</t>
        </is>
      </c>
      <c r="F2416" s="23" t="n">
        <v>46268</v>
      </c>
      <c r="G2416" t="inlineStr">
        <is>
          <t>recoleccion</t>
        </is>
      </c>
      <c r="H2416" s="26" t="n">
        <v>64917761</v>
      </c>
      <c r="I2416" t="inlineStr">
        <is>
          <t>bajo</t>
        </is>
      </c>
      <c r="J2416" t="inlineStr">
        <is>
          <t>RN-41: efectivo ocioso sobre el techo</t>
        </is>
      </c>
      <c r="K2416" t="inlineStr">
        <is>
          <t>Recolección por efectivo ocioso: el saldo al cierre ($3.826.617.067) pasa el techo $3.761.699.306 (reserva + 15 días de salidas medias, tope en el cupo $8.127.685.800). Se recogen $64.917.761 y el saldo queda en $3.761.699.306. En sus últimos 180 días la sucursal recibe más de lo que paga (entradas medias $429.214.956/día &gt; salidas medias $207.432.296/día); el neto diario varía $235.617.619 (σ). Costo estimado $55.040 (Anexo E: fijo $16.219 + $6 por cada $10.000 movidos).</t>
        </is>
      </c>
      <c r="L2416" s="26" t="n">
        <v>8127685800</v>
      </c>
      <c r="M2416" s="26" t="n">
        <v>3826617067</v>
      </c>
      <c r="N2416" s="27">
        <f>IF(ISNUMBER(M2416),M2416/L2416,"No aplica")</f>
        <v>0.47081262257948014</v>
      </c>
      <c r="O2416" s="25">
        <f>IF(G2416="provision",M2416+H2416,IF(G2416="recoleccion",M2416-H2416,"No aplica"))</f>
        <v>3761699306</v>
      </c>
      <c r="P2416" s="26" t="n">
        <v>55040</v>
      </c>
    </row>
    <row r="2417">
      <c r="A2417" t="inlineStr">
        <is>
          <t>PRAGMA</t>
        </is>
      </c>
      <c r="B2417" t="inlineStr">
        <is>
          <t>M3</t>
        </is>
      </c>
      <c r="C2417" t="inlineStr">
        <is>
          <t>Cali</t>
        </is>
      </c>
      <c r="D2417" t="inlineStr">
        <is>
          <t>82</t>
        </is>
      </c>
      <c r="E2417" t="inlineStr">
        <is>
          <t>No aplica</t>
        </is>
      </c>
      <c r="F2417" s="23" t="n">
        <v>46269</v>
      </c>
      <c r="G2417" t="inlineStr">
        <is>
          <t>recoleccion</t>
        </is>
      </c>
      <c r="H2417" s="26" t="n">
        <v>98977296</v>
      </c>
      <c r="I2417" t="inlineStr">
        <is>
          <t>bajo</t>
        </is>
      </c>
      <c r="J2417" t="inlineStr">
        <is>
          <t>RN-41: efectivo ocioso sobre el techo</t>
        </is>
      </c>
      <c r="K2417" t="inlineStr">
        <is>
          <t>Recolección por efectivo ocioso: el saldo al cierre ($3.860.676.602) pasa el techo $3.761.699.306 (reserva + 15 días de salidas medias, tope en el cupo $8.127.685.800). Se recogen $98.977.296 y el saldo queda en $3.761.699.306. En sus últimos 180 días la sucursal recibe más de lo que paga (entradas medias $429.214.956/día &gt; salidas medias $207.432.296/día); el neto diario varía $235.617.619 (σ). Costo estimado $75.407 (Anexo E: fijo $16.219 + $6 por cada $10.000 movidos).</t>
        </is>
      </c>
      <c r="L2417" s="26" t="n">
        <v>8127685800</v>
      </c>
      <c r="M2417" s="26" t="n">
        <v>3860676602</v>
      </c>
      <c r="N2417" s="27">
        <f>IF(ISNUMBER(M2417),M2417/L2417,"No aplica")</f>
        <v>0.47500318011801096</v>
      </c>
      <c r="O2417" s="25">
        <f>IF(G2417="provision",M2417+H2417,IF(G2417="recoleccion",M2417-H2417,"No aplica"))</f>
        <v>3761699306</v>
      </c>
      <c r="P2417" s="26" t="n">
        <v>75407</v>
      </c>
    </row>
    <row r="2418">
      <c r="A2418" t="inlineStr">
        <is>
          <t>PRAGMA</t>
        </is>
      </c>
      <c r="B2418" t="inlineStr">
        <is>
          <t>M3</t>
        </is>
      </c>
      <c r="C2418" t="inlineStr">
        <is>
          <t>Cali</t>
        </is>
      </c>
      <c r="D2418" t="inlineStr">
        <is>
          <t>82</t>
        </is>
      </c>
      <c r="E2418" t="inlineStr">
        <is>
          <t>No aplica</t>
        </is>
      </c>
      <c r="F2418" s="23" t="n">
        <v>46270</v>
      </c>
      <c r="G2418" t="inlineStr">
        <is>
          <t>recoleccion</t>
        </is>
      </c>
      <c r="H2418" s="26" t="n">
        <v>714262</v>
      </c>
      <c r="I2418" t="inlineStr">
        <is>
          <t>bajo</t>
        </is>
      </c>
      <c r="J2418" t="inlineStr">
        <is>
          <t>RN-41: efectivo ocioso sobre el techo</t>
        </is>
      </c>
      <c r="K2418" t="inlineStr">
        <is>
          <t>Recolección por efectivo ocioso: el saldo al cierre ($3.762.413.568) pasa el techo $3.761.699.306 (reserva + 15 días de salidas medias, tope en el cupo $8.127.685.800). Se recogen $714.262 y el saldo queda en $3.761.699.306. En sus últimos 180 días la sucursal recibe más de lo que paga (entradas medias $429.214.956/día &gt; salidas medias $207.432.296/día); el neto diario varía $235.617.619 (σ). Costo estimado $16.646 (Anexo E: fijo $16.219 + $6 por cada $10.000 movidos).</t>
        </is>
      </c>
      <c r="L2418" s="26" t="n">
        <v>8127685800</v>
      </c>
      <c r="M2418" s="26" t="n">
        <v>3762413568</v>
      </c>
      <c r="N2418" s="27">
        <f>IF(ISNUMBER(M2418),M2418/L2418,"No aplica")</f>
        <v>0.4629132646835339</v>
      </c>
      <c r="O2418" s="25">
        <f>IF(G2418="provision",M2418+H2418,IF(G2418="recoleccion",M2418-H2418,"No aplica"))</f>
        <v>3761699306</v>
      </c>
      <c r="P2418" s="26" t="n">
        <v>16646</v>
      </c>
    </row>
    <row r="2419">
      <c r="A2419" t="inlineStr">
        <is>
          <t>PRAGMA</t>
        </is>
      </c>
      <c r="B2419" t="inlineStr">
        <is>
          <t>M3</t>
        </is>
      </c>
      <c r="C2419" t="inlineStr">
        <is>
          <t>Cali</t>
        </is>
      </c>
      <c r="D2419" t="inlineStr">
        <is>
          <t>82</t>
        </is>
      </c>
      <c r="E2419" t="inlineStr">
        <is>
          <t>No aplica</t>
        </is>
      </c>
      <c r="F2419" s="23" t="n">
        <v>46271</v>
      </c>
      <c r="G2419" t="inlineStr">
        <is>
          <t>recoleccion</t>
        </is>
      </c>
      <c r="H2419" s="26" t="n">
        <v>3411418</v>
      </c>
      <c r="I2419" t="inlineStr">
        <is>
          <t>bajo</t>
        </is>
      </c>
      <c r="J2419" t="inlineStr">
        <is>
          <t>RN-41: efectivo ocioso sobre el techo</t>
        </is>
      </c>
      <c r="K2419" t="inlineStr">
        <is>
          <t>Recolección por efectivo ocioso: el saldo al cierre ($3.765.110.724) pasa el techo $3.761.699.306 (reserva + 15 días de salidas medias, tope en el cupo $8.127.685.800). Se recogen $3.411.418 y el saldo queda en $3.761.699.306. En sus últimos 180 días la sucursal recibe más de lo que paga (entradas medias $429.214.956/día &gt; salidas medias $207.432.296/día); el neto diario varía $235.617.619 (σ). Costo estimado $18.259 (Anexo E: fijo $16.219 + $6 por cada $10.000 movidos).</t>
        </is>
      </c>
      <c r="L2419" s="26" t="n">
        <v>8127685800</v>
      </c>
      <c r="M2419" s="26" t="n">
        <v>3765110724</v>
      </c>
      <c r="N2419" s="27">
        <f>IF(ISNUMBER(M2419),M2419/L2419,"No aplica")</f>
        <v>0.46324511264940876</v>
      </c>
      <c r="O2419" s="25">
        <f>IF(G2419="provision",M2419+H2419,IF(G2419="recoleccion",M2419-H2419,"No aplica"))</f>
        <v>3761699306</v>
      </c>
      <c r="P2419" s="26" t="n">
        <v>18259</v>
      </c>
    </row>
    <row r="2420">
      <c r="A2420" t="inlineStr">
        <is>
          <t>PRAGMA</t>
        </is>
      </c>
      <c r="B2420" t="inlineStr">
        <is>
          <t>M3</t>
        </is>
      </c>
      <c r="C2420" t="inlineStr">
        <is>
          <t>Cali</t>
        </is>
      </c>
      <c r="D2420" t="inlineStr">
        <is>
          <t>82</t>
        </is>
      </c>
      <c r="E2420" t="inlineStr">
        <is>
          <t>No aplica</t>
        </is>
      </c>
      <c r="F2420" s="23" t="n">
        <v>46272</v>
      </c>
      <c r="G2420" t="inlineStr">
        <is>
          <t>recoleccion</t>
        </is>
      </c>
      <c r="H2420" s="26" t="n">
        <v>41942875</v>
      </c>
      <c r="I2420" t="inlineStr">
        <is>
          <t>bajo</t>
        </is>
      </c>
      <c r="J2420" t="inlineStr">
        <is>
          <t>RN-41: efectivo ocioso sobre el techo</t>
        </is>
      </c>
      <c r="K2420" t="inlineStr">
        <is>
          <t>Recolección por efectivo ocioso: el saldo al cierre ($3.803.642.181) pasa el techo $3.761.699.306 (reserva + 15 días de salidas medias, tope en el cupo $8.127.685.800). Se recogen $41.942.875 y el saldo queda en $3.761.699.306. En sus últimos 180 días la sucursal recibe más de lo que paga (entradas medias $429.214.956/día &gt; salidas medias $207.432.296/día); el neto diario varía $235.617.619 (σ). Costo estimado $41.301 (Anexo E: fijo $16.219 + $6 por cada $10.000 movidos).</t>
        </is>
      </c>
      <c r="L2420" s="26" t="n">
        <v>8127685800</v>
      </c>
      <c r="M2420" s="26" t="n">
        <v>3803642181</v>
      </c>
      <c r="N2420" s="27">
        <f>IF(ISNUMBER(M2420),M2420/L2420,"No aplica")</f>
        <v>0.4679858787110102</v>
      </c>
      <c r="O2420" s="25">
        <f>IF(G2420="provision",M2420+H2420,IF(G2420="recoleccion",M2420-H2420,"No aplica"))</f>
        <v>3761699306</v>
      </c>
      <c r="P2420" s="26" t="n">
        <v>41301</v>
      </c>
    </row>
    <row r="2421">
      <c r="A2421" t="inlineStr">
        <is>
          <t>PRAGMA</t>
        </is>
      </c>
      <c r="B2421" t="inlineStr">
        <is>
          <t>M3</t>
        </is>
      </c>
      <c r="C2421" t="inlineStr">
        <is>
          <t>Cali</t>
        </is>
      </c>
      <c r="D2421" t="inlineStr">
        <is>
          <t>82</t>
        </is>
      </c>
      <c r="E2421" t="inlineStr">
        <is>
          <t>No aplica</t>
        </is>
      </c>
      <c r="F2421" s="23" t="n">
        <v>46273</v>
      </c>
      <c r="G2421" t="inlineStr">
        <is>
          <t>recoleccion</t>
        </is>
      </c>
      <c r="H2421" s="26" t="n">
        <v>97737867</v>
      </c>
      <c r="I2421" t="inlineStr">
        <is>
          <t>bajo</t>
        </is>
      </c>
      <c r="J2421" t="inlineStr">
        <is>
          <t>RN-41: efectivo ocioso sobre el techo</t>
        </is>
      </c>
      <c r="K2421" t="inlineStr">
        <is>
          <t>Recolección por efectivo ocioso: el saldo al cierre ($3.859.437.173) pasa el techo $3.761.699.306 (reserva + 15 días de salidas medias, tope en el cupo $8.127.685.800). Se recogen $97.737.867 y el saldo queda en $3.761.699.306. En sus últimos 180 días la sucursal recibe más de lo que paga (entradas medias $429.214.956/día &gt; salidas medias $207.432.296/día); el neto diario varía $235.617.619 (σ). Costo estimado $74.666 (Anexo E: fijo $16.219 + $6 por cada $10.000 movidos).</t>
        </is>
      </c>
      <c r="L2421" s="26" t="n">
        <v>8127685800</v>
      </c>
      <c r="M2421" s="26" t="n">
        <v>3859437173</v>
      </c>
      <c r="N2421" s="27">
        <f>IF(ISNUMBER(M2421),M2421/L2421,"No aplica")</f>
        <v>0.47485068541896636</v>
      </c>
      <c r="O2421" s="25">
        <f>IF(G2421="provision",M2421+H2421,IF(G2421="recoleccion",M2421-H2421,"No aplica"))</f>
        <v>3761699306</v>
      </c>
      <c r="P2421" s="26" t="n">
        <v>74666</v>
      </c>
    </row>
    <row r="2422">
      <c r="A2422" t="inlineStr">
        <is>
          <t>PRAGMA</t>
        </is>
      </c>
      <c r="B2422" t="inlineStr">
        <is>
          <t>M3</t>
        </is>
      </c>
      <c r="C2422" t="inlineStr">
        <is>
          <t>Cali</t>
        </is>
      </c>
      <c r="D2422" t="inlineStr">
        <is>
          <t>82</t>
        </is>
      </c>
      <c r="E2422" t="inlineStr">
        <is>
          <t>No aplica</t>
        </is>
      </c>
      <c r="F2422" s="23" t="n">
        <v>46274</v>
      </c>
      <c r="G2422" t="inlineStr">
        <is>
          <t>recoleccion</t>
        </is>
      </c>
      <c r="H2422" s="26" t="n">
        <v>56643355</v>
      </c>
      <c r="I2422" t="inlineStr">
        <is>
          <t>bajo</t>
        </is>
      </c>
      <c r="J2422" t="inlineStr">
        <is>
          <t>RN-41: efectivo ocioso sobre el techo</t>
        </is>
      </c>
      <c r="K2422" t="inlineStr">
        <is>
          <t>Recolección por efectivo ocioso: el saldo al cierre ($3.818.342.661) pasa el techo $3.761.699.306 (reserva + 15 días de salidas medias, tope en el cupo $8.127.685.800). Se recogen $56.643.355 y el saldo queda en $3.761.699.306. En sus últimos 180 días la sucursal recibe más de lo que paga (entradas medias $429.214.956/día &gt; salidas medias $207.432.296/día); el neto diario varía $235.617.619 (σ). Costo estimado $50.092 (Anexo E: fijo $16.219 + $6 por cada $10.000 movidos).</t>
        </is>
      </c>
      <c r="L2422" s="26" t="n">
        <v>8127685800</v>
      </c>
      <c r="M2422" s="26" t="n">
        <v>3818342661</v>
      </c>
      <c r="N2422" s="27">
        <f>IF(ISNUMBER(M2422),M2422/L2422,"No aplica")</f>
        <v>0.46979457067594815</v>
      </c>
      <c r="O2422" s="25">
        <f>IF(G2422="provision",M2422+H2422,IF(G2422="recoleccion",M2422-H2422,"No aplica"))</f>
        <v>3761699306</v>
      </c>
      <c r="P2422" s="26" t="n">
        <v>50092</v>
      </c>
    </row>
    <row r="2423">
      <c r="A2423" t="inlineStr">
        <is>
          <t>PRAGMA</t>
        </is>
      </c>
      <c r="B2423" t="inlineStr">
        <is>
          <t>M3</t>
        </is>
      </c>
      <c r="C2423" t="inlineStr">
        <is>
          <t>Cali</t>
        </is>
      </c>
      <c r="D2423" t="inlineStr">
        <is>
          <t>82</t>
        </is>
      </c>
      <c r="E2423" t="inlineStr">
        <is>
          <t>No aplica</t>
        </is>
      </c>
      <c r="F2423" s="23" t="n">
        <v>46275</v>
      </c>
      <c r="G2423" t="inlineStr">
        <is>
          <t>recoleccion</t>
        </is>
      </c>
      <c r="H2423" s="26" t="n">
        <v>50621247</v>
      </c>
      <c r="I2423" t="inlineStr">
        <is>
          <t>bajo</t>
        </is>
      </c>
      <c r="J2423" t="inlineStr">
        <is>
          <t>RN-41: efectivo ocioso sobre el techo</t>
        </is>
      </c>
      <c r="K2423" t="inlineStr">
        <is>
          <t>Recolección por efectivo ocioso: el saldo al cierre ($3.812.320.553) pasa el techo $3.761.699.306 (reserva + 15 días de salidas medias, tope en el cupo $8.127.685.800). Se recogen $50.621.247 y el saldo queda en $3.761.699.306. En sus últimos 180 días la sucursal recibe más de lo que paga (entradas medias $429.214.956/día &gt; salidas medias $207.432.296/día); el neto diario varía $235.617.619 (σ). Costo estimado $46.491 (Anexo E: fijo $16.219 + $6 por cada $10.000 movidos).</t>
        </is>
      </c>
      <c r="L2423" s="26" t="n">
        <v>8127685800</v>
      </c>
      <c r="M2423" s="26" t="n">
        <v>3812320553</v>
      </c>
      <c r="N2423" s="27">
        <f>IF(ISNUMBER(M2423),M2423/L2423,"No aplica")</f>
        <v>0.4690536330772038</v>
      </c>
      <c r="O2423" s="25">
        <f>IF(G2423="provision",M2423+H2423,IF(G2423="recoleccion",M2423-H2423,"No aplica"))</f>
        <v>3761699306</v>
      </c>
      <c r="P2423" s="26" t="n">
        <v>46491</v>
      </c>
    </row>
    <row r="2424">
      <c r="A2424" t="inlineStr">
        <is>
          <t>PRAGMA</t>
        </is>
      </c>
      <c r="B2424" t="inlineStr">
        <is>
          <t>M3</t>
        </is>
      </c>
      <c r="C2424" t="inlineStr">
        <is>
          <t>Cali</t>
        </is>
      </c>
      <c r="D2424" t="inlineStr">
        <is>
          <t>82</t>
        </is>
      </c>
      <c r="E2424" t="inlineStr">
        <is>
          <t>No aplica</t>
        </is>
      </c>
      <c r="F2424" s="23" t="n">
        <v>46276</v>
      </c>
      <c r="G2424" t="inlineStr">
        <is>
          <t>recoleccion</t>
        </is>
      </c>
      <c r="H2424" s="26" t="n">
        <v>110017739</v>
      </c>
      <c r="I2424" t="inlineStr">
        <is>
          <t>bajo</t>
        </is>
      </c>
      <c r="J2424" t="inlineStr">
        <is>
          <t>RN-41: efectivo ocioso sobre el techo</t>
        </is>
      </c>
      <c r="K2424" t="inlineStr">
        <is>
          <t>Recolección por efectivo ocioso: el saldo al cierre ($3.871.717.045) pasa el techo $3.761.699.306 (reserva + 15 días de salidas medias, tope en el cupo $8.127.685.800). Se recogen $110.017.739 y el saldo queda en $3.761.699.306. En sus últimos 180 días la sucursal recibe más de lo que paga (entradas medias $429.214.956/día &gt; salidas medias $207.432.296/día); el neto diario varía $235.617.619 (σ). Costo estimado $82.010 (Anexo E: fijo $16.219 + $6 por cada $10.000 movidos).</t>
        </is>
      </c>
      <c r="L2424" s="26" t="n">
        <v>8127685800</v>
      </c>
      <c r="M2424" s="26" t="n">
        <v>3871717045</v>
      </c>
      <c r="N2424" s="27">
        <f>IF(ISNUMBER(M2424),M2424/L2424,"No aplica")</f>
        <v>0.47636155484750653</v>
      </c>
      <c r="O2424" s="25">
        <f>IF(G2424="provision",M2424+H2424,IF(G2424="recoleccion",M2424-H2424,"No aplica"))</f>
        <v>3761699306</v>
      </c>
      <c r="P2424" s="26" t="n">
        <v>82010</v>
      </c>
    </row>
    <row r="2425">
      <c r="A2425" t="inlineStr">
        <is>
          <t>PRAGMA</t>
        </is>
      </c>
      <c r="B2425" t="inlineStr">
        <is>
          <t>M3</t>
        </is>
      </c>
      <c r="C2425" t="inlineStr">
        <is>
          <t>Cali</t>
        </is>
      </c>
      <c r="D2425" t="inlineStr">
        <is>
          <t>82</t>
        </is>
      </c>
      <c r="E2425" t="inlineStr">
        <is>
          <t>No aplica</t>
        </is>
      </c>
      <c r="F2425" s="23" t="n">
        <v>46277</v>
      </c>
      <c r="G2425" t="inlineStr">
        <is>
          <t>recoleccion</t>
        </is>
      </c>
      <c r="H2425" s="26" t="n">
        <v>3612417</v>
      </c>
      <c r="I2425" t="inlineStr">
        <is>
          <t>bajo</t>
        </is>
      </c>
      <c r="J2425" t="inlineStr">
        <is>
          <t>RN-41: efectivo ocioso sobre el techo</t>
        </is>
      </c>
      <c r="K2425" t="inlineStr">
        <is>
          <t>Recolección por efectivo ocioso: el saldo al cierre ($3.765.311.723) pasa el techo $3.761.699.306 (reserva + 15 días de salidas medias, tope en el cupo $8.127.685.800). Se recogen $3.612.417 y el saldo queda en $3.761.699.306. En sus últimos 180 días la sucursal recibe más de lo que paga (entradas medias $429.214.956/día &gt; salidas medias $207.432.296/día); el neto diario varía $235.617.619 (σ). Costo estimado $18.379 (Anexo E: fijo $16.219 + $6 por cada $10.000 movidos).</t>
        </is>
      </c>
      <c r="L2425" s="26" t="n">
        <v>8127685800</v>
      </c>
      <c r="M2425" s="26" t="n">
        <v>3765311723</v>
      </c>
      <c r="N2425" s="27">
        <f>IF(ISNUMBER(M2425),M2425/L2425,"No aplica")</f>
        <v>0.4632698428130674</v>
      </c>
      <c r="O2425" s="25">
        <f>IF(G2425="provision",M2425+H2425,IF(G2425="recoleccion",M2425-H2425,"No aplica"))</f>
        <v>3761699306</v>
      </c>
      <c r="P2425" s="26" t="n">
        <v>18379</v>
      </c>
    </row>
    <row r="2426">
      <c r="A2426" t="inlineStr">
        <is>
          <t>PRAGMA</t>
        </is>
      </c>
      <c r="B2426" t="inlineStr">
        <is>
          <t>M3</t>
        </is>
      </c>
      <c r="C2426" t="inlineStr">
        <is>
          <t>Cali</t>
        </is>
      </c>
      <c r="D2426" t="inlineStr">
        <is>
          <t>82</t>
        </is>
      </c>
      <c r="E2426" t="inlineStr">
        <is>
          <t>No aplica</t>
        </is>
      </c>
      <c r="F2426" s="23" t="n">
        <v>46278</v>
      </c>
      <c r="G2426" t="inlineStr">
        <is>
          <t>recoleccion</t>
        </is>
      </c>
      <c r="H2426" s="26" t="n">
        <v>4698292</v>
      </c>
      <c r="I2426" t="inlineStr">
        <is>
          <t>bajo</t>
        </is>
      </c>
      <c r="J2426" t="inlineStr">
        <is>
          <t>RN-41: efectivo ocioso sobre el techo</t>
        </is>
      </c>
      <c r="K2426" t="inlineStr">
        <is>
          <t>Recolección por efectivo ocioso: el saldo al cierre ($3.766.397.598) pasa el techo $3.761.699.306 (reserva + 15 días de salidas medias, tope en el cupo $8.127.685.800). Se recogen $4.698.292 y el saldo queda en $3.761.699.306. En sus últimos 180 días la sucursal recibe más de lo que paga (entradas medias $429.214.956/día &gt; salidas medias $207.432.296/día); el neto diario varía $235.617.619 (σ). Costo estimado $19.029 (Anexo E: fijo $16.219 + $6 por cada $10.000 movidos).</t>
        </is>
      </c>
      <c r="L2426" s="26" t="n">
        <v>8127685800</v>
      </c>
      <c r="M2426" s="26" t="n">
        <v>3766397598</v>
      </c>
      <c r="N2426" s="27">
        <f>IF(ISNUMBER(M2426),M2426/L2426,"No aplica")</f>
        <v>0.46340344480343965</v>
      </c>
      <c r="O2426" s="25">
        <f>IF(G2426="provision",M2426+H2426,IF(G2426="recoleccion",M2426-H2426,"No aplica"))</f>
        <v>3761699306</v>
      </c>
      <c r="P2426" s="26" t="n">
        <v>19029</v>
      </c>
    </row>
    <row r="2427">
      <c r="A2427" t="inlineStr">
        <is>
          <t>PRAGMA</t>
        </is>
      </c>
      <c r="B2427" t="inlineStr">
        <is>
          <t>M3</t>
        </is>
      </c>
      <c r="C2427" t="inlineStr">
        <is>
          <t>Cali</t>
        </is>
      </c>
      <c r="D2427" t="inlineStr">
        <is>
          <t>82</t>
        </is>
      </c>
      <c r="E2427" t="inlineStr">
        <is>
          <t>No aplica</t>
        </is>
      </c>
      <c r="F2427" s="23" t="n">
        <v>46279</v>
      </c>
      <c r="G2427" t="inlineStr">
        <is>
          <t>recoleccion</t>
        </is>
      </c>
      <c r="H2427" s="26" t="n">
        <v>33342783</v>
      </c>
      <c r="I2427" t="inlineStr">
        <is>
          <t>bajo</t>
        </is>
      </c>
      <c r="J2427" t="inlineStr">
        <is>
          <t>RN-41: efectivo ocioso sobre el techo</t>
        </is>
      </c>
      <c r="K2427" t="inlineStr">
        <is>
          <t>Recolección por efectivo ocioso: el saldo al cierre ($3.795.042.089) pasa el techo $3.761.699.306 (reserva + 15 días de salidas medias, tope en el cupo $8.127.685.800). Se recogen $33.342.783 y el saldo queda en $3.761.699.306. En sus últimos 180 días la sucursal recibe más de lo que paga (entradas medias $429.214.956/día &gt; salidas medias $207.432.296/día); el neto diario varía $235.617.619 (σ). Costo estimado $36.158 (Anexo E: fijo $16.219 + $6 por cada $10.000 movidos).</t>
        </is>
      </c>
      <c r="L2427" s="26" t="n">
        <v>8127685800</v>
      </c>
      <c r="M2427" s="26" t="n">
        <v>3795042089</v>
      </c>
      <c r="N2427" s="27">
        <f>IF(ISNUMBER(M2427),M2427/L2427,"No aplica")</f>
        <v>0.46692775562263983</v>
      </c>
      <c r="O2427" s="25">
        <f>IF(G2427="provision",M2427+H2427,IF(G2427="recoleccion",M2427-H2427,"No aplica"))</f>
        <v>3761699306</v>
      </c>
      <c r="P2427" s="26" t="n">
        <v>36158</v>
      </c>
    </row>
    <row r="2428">
      <c r="A2428" t="inlineStr">
        <is>
          <t>PRAGMA</t>
        </is>
      </c>
      <c r="B2428" t="inlineStr">
        <is>
          <t>M3</t>
        </is>
      </c>
      <c r="C2428" t="inlineStr">
        <is>
          <t>Cali</t>
        </is>
      </c>
      <c r="D2428" t="inlineStr">
        <is>
          <t>82</t>
        </is>
      </c>
      <c r="E2428" t="inlineStr">
        <is>
          <t>No aplica</t>
        </is>
      </c>
      <c r="F2428" s="23" t="n">
        <v>46280</v>
      </c>
      <c r="G2428" t="inlineStr">
        <is>
          <t>recoleccion</t>
        </is>
      </c>
      <c r="H2428" s="26" t="n">
        <v>78672157</v>
      </c>
      <c r="I2428" t="inlineStr">
        <is>
          <t>bajo</t>
        </is>
      </c>
      <c r="J2428" t="inlineStr">
        <is>
          <t>RN-41: efectivo ocioso sobre el techo</t>
        </is>
      </c>
      <c r="K2428" t="inlineStr">
        <is>
          <t>Recolección por efectivo ocioso: el saldo al cierre ($3.840.371.463) pasa el techo $3.761.699.306 (reserva + 15 días de salidas medias, tope en el cupo $8.127.685.800). Se recogen $78.672.157 y el saldo queda en $3.761.699.306. En sus últimos 180 días la sucursal recibe más de lo que paga (entradas medias $429.214.956/día &gt; salidas medias $207.432.296/día); el neto diario varía $235.617.619 (σ). Costo estimado $63.265 (Anexo E: fijo $16.219 + $6 por cada $10.000 movidos).</t>
        </is>
      </c>
      <c r="L2428" s="26" t="n">
        <v>8127685800</v>
      </c>
      <c r="M2428" s="26" t="n">
        <v>3840371463</v>
      </c>
      <c r="N2428" s="27">
        <f>IF(ISNUMBER(M2428),M2428/L2428,"No aplica")</f>
        <v>0.472504911914779</v>
      </c>
      <c r="O2428" s="25">
        <f>IF(G2428="provision",M2428+H2428,IF(G2428="recoleccion",M2428-H2428,"No aplica"))</f>
        <v>3761699306</v>
      </c>
      <c r="P2428" s="26" t="n">
        <v>63265</v>
      </c>
    </row>
    <row r="2429">
      <c r="A2429" t="inlineStr">
        <is>
          <t>PRAGMA</t>
        </is>
      </c>
      <c r="B2429" t="inlineStr">
        <is>
          <t>M3</t>
        </is>
      </c>
      <c r="C2429" t="inlineStr">
        <is>
          <t>Cali</t>
        </is>
      </c>
      <c r="D2429" t="inlineStr">
        <is>
          <t>824</t>
        </is>
      </c>
      <c r="E2429" t="inlineStr">
        <is>
          <t>No aplica</t>
        </is>
      </c>
      <c r="F2429" s="23" t="n">
        <v>46266</v>
      </c>
      <c r="G2429" t="inlineStr">
        <is>
          <t>recoleccion</t>
        </is>
      </c>
      <c r="H2429" s="26" t="n">
        <v>2038240433</v>
      </c>
      <c r="I2429" t="inlineStr">
        <is>
          <t>bajo</t>
        </is>
      </c>
      <c r="J2429" t="inlineStr">
        <is>
          <t>RN-41: riesgo de exceder el cupo</t>
        </is>
      </c>
      <c r="K2429" t="inlineStr">
        <is>
          <t>Recolección por riesgo de exceder el cupo: el saldo al cierre ($2.594.209.124) pasa el cupo $2.576.000.000. Se recogen $2.038.240.433 y el saldo queda en $555.968.691. En sus últimos 180 días la sucursal recibe más de lo que paga (entradas medias $31.483.406/día &gt; salidas medias $23.325.913/día); el neto diario varía $74.743.841 (σ). Costo estimado $1.235.087 (Anexo E: fijo $16.219 + $6 por cada $10.000 movidos).</t>
        </is>
      </c>
      <c r="L2429" s="26" t="n">
        <v>2576000000</v>
      </c>
      <c r="M2429" s="26" t="n">
        <v>2594209124</v>
      </c>
      <c r="N2429" s="27">
        <f>IF(ISNUMBER(M2429),M2429/L2429,"No aplica")</f>
        <v>1.0070687593167702</v>
      </c>
      <c r="O2429" s="25">
        <f>IF(G2429="provision",M2429+H2429,IF(G2429="recoleccion",M2429-H2429,"No aplica"))</f>
        <v>555968691</v>
      </c>
      <c r="P2429" s="26" t="n">
        <v>1235087</v>
      </c>
    </row>
    <row r="2430">
      <c r="A2430" t="inlineStr">
        <is>
          <t>PRAGMA</t>
        </is>
      </c>
      <c r="B2430" t="inlineStr">
        <is>
          <t>M3</t>
        </is>
      </c>
      <c r="C2430" t="inlineStr">
        <is>
          <t>Cali</t>
        </is>
      </c>
      <c r="D2430" t="inlineStr">
        <is>
          <t>824</t>
        </is>
      </c>
      <c r="E2430" t="inlineStr">
        <is>
          <t>No aplica</t>
        </is>
      </c>
      <c r="F2430" s="23" t="n">
        <v>46267</v>
      </c>
      <c r="G2430" t="inlineStr">
        <is>
          <t>recoleccion</t>
        </is>
      </c>
      <c r="H2430" s="26" t="n">
        <v>17303750</v>
      </c>
      <c r="I2430" t="inlineStr">
        <is>
          <t>bajo</t>
        </is>
      </c>
      <c r="J2430" t="inlineStr">
        <is>
          <t>RN-41: efectivo ocioso sobre el techo</t>
        </is>
      </c>
      <c r="K2430" t="inlineStr">
        <is>
          <t>Recolección por efectivo ocioso: el saldo al cierre ($573.272.441) pasa el techo $555.968.691 (reserva + 15 días de salidas medias, tope en el cupo $2.576.000.000). Se recogen $17.303.750 y el saldo queda en $555.968.691. En sus últimos 180 días la sucursal recibe más de lo que paga (entradas medias $31.483.406/día &gt; salidas medias $23.325.913/día); el neto diario varía $74.743.841 (σ). Costo estimado $26.567 (Anexo E: fijo $16.219 + $6 por cada $10.000 movidos).</t>
        </is>
      </c>
      <c r="L2430" s="26" t="n">
        <v>2576000000</v>
      </c>
      <c r="M2430" s="26" t="n">
        <v>573272441</v>
      </c>
      <c r="N2430" s="27">
        <f>IF(ISNUMBER(M2430),M2430/L2430,"No aplica")</f>
        <v>0.22254364945652175</v>
      </c>
      <c r="O2430" s="25">
        <f>IF(G2430="provision",M2430+H2430,IF(G2430="recoleccion",M2430-H2430,"No aplica"))</f>
        <v>555968691</v>
      </c>
      <c r="P2430" s="26" t="n">
        <v>26567</v>
      </c>
    </row>
    <row r="2431">
      <c r="A2431" t="inlineStr">
        <is>
          <t>PRAGMA</t>
        </is>
      </c>
      <c r="B2431" t="inlineStr">
        <is>
          <t>M3</t>
        </is>
      </c>
      <c r="C2431" t="inlineStr">
        <is>
          <t>Cali</t>
        </is>
      </c>
      <c r="D2431" t="inlineStr">
        <is>
          <t>824</t>
        </is>
      </c>
      <c r="E2431" t="inlineStr">
        <is>
          <t>No aplica</t>
        </is>
      </c>
      <c r="F2431" s="23" t="n">
        <v>46268</v>
      </c>
      <c r="G2431" t="inlineStr">
        <is>
          <t>recoleccion</t>
        </is>
      </c>
      <c r="H2431" s="26" t="n">
        <v>17619139</v>
      </c>
      <c r="I2431" t="inlineStr">
        <is>
          <t>bajo</t>
        </is>
      </c>
      <c r="J2431" t="inlineStr">
        <is>
          <t>RN-41: efectivo ocioso sobre el techo</t>
        </is>
      </c>
      <c r="K2431" t="inlineStr">
        <is>
          <t>Recolección por efectivo ocioso: el saldo al cierre ($573.587.830) pasa el techo $555.968.691 (reserva + 15 días de salidas medias, tope en el cupo $2.576.000.000). Se recogen $17.619.139 y el saldo queda en $555.968.691. En sus últimos 180 días la sucursal recibe más de lo que paga (entradas medias $31.483.406/día &gt; salidas medias $23.325.913/día); el neto diario varía $74.743.841 (σ). Costo estimado $26.755 (Anexo E: fijo $16.219 + $6 por cada $10.000 movidos).</t>
        </is>
      </c>
      <c r="L2431" s="26" t="n">
        <v>2576000000</v>
      </c>
      <c r="M2431" s="26" t="n">
        <v>573587830</v>
      </c>
      <c r="N2431" s="27">
        <f>IF(ISNUMBER(M2431),M2431/L2431,"No aplica")</f>
        <v>0.22266608307453417</v>
      </c>
      <c r="O2431" s="25">
        <f>IF(G2431="provision",M2431+H2431,IF(G2431="recoleccion",M2431-H2431,"No aplica"))</f>
        <v>555968691</v>
      </c>
      <c r="P2431" s="26" t="n">
        <v>26755</v>
      </c>
    </row>
    <row r="2432">
      <c r="A2432" t="inlineStr">
        <is>
          <t>PRAGMA</t>
        </is>
      </c>
      <c r="B2432" t="inlineStr">
        <is>
          <t>M3</t>
        </is>
      </c>
      <c r="C2432" t="inlineStr">
        <is>
          <t>Cali</t>
        </is>
      </c>
      <c r="D2432" t="inlineStr">
        <is>
          <t>824</t>
        </is>
      </c>
      <c r="E2432" t="inlineStr">
        <is>
          <t>No aplica</t>
        </is>
      </c>
      <c r="F2432" s="23" t="n">
        <v>46269</v>
      </c>
      <c r="G2432" t="inlineStr">
        <is>
          <t>recoleccion</t>
        </is>
      </c>
      <c r="H2432" s="26" t="n">
        <v>6439638</v>
      </c>
      <c r="I2432" t="inlineStr">
        <is>
          <t>bajo</t>
        </is>
      </c>
      <c r="J2432" t="inlineStr">
        <is>
          <t>RN-41: efectivo ocioso sobre el techo</t>
        </is>
      </c>
      <c r="K2432" t="inlineStr">
        <is>
          <t>Recolección por efectivo ocioso: el saldo al cierre ($562.408.329) pasa el techo $555.968.691 (reserva + 15 días de salidas medias, tope en el cupo $2.576.000.000). Se recogen $6.439.638 y el saldo queda en $555.968.691. En sus últimos 180 días la sucursal recibe más de lo que paga (entradas medias $31.483.406/día &gt; salidas medias $23.325.913/día); el neto diario varía $74.743.841 (σ). Costo estimado $20.070 (Anexo E: fijo $16.219 + $6 por cada $10.000 movidos).</t>
        </is>
      </c>
      <c r="L2432" s="26" t="n">
        <v>2576000000</v>
      </c>
      <c r="M2432" s="26" t="n">
        <v>562408329</v>
      </c>
      <c r="N2432" s="27">
        <f>IF(ISNUMBER(M2432),M2432/L2432,"No aplica")</f>
        <v>0.21832621467391305</v>
      </c>
      <c r="O2432" s="25">
        <f>IF(G2432="provision",M2432+H2432,IF(G2432="recoleccion",M2432-H2432,"No aplica"))</f>
        <v>555968691</v>
      </c>
      <c r="P2432" s="26" t="n">
        <v>20070</v>
      </c>
    </row>
    <row r="2433">
      <c r="A2433" t="inlineStr">
        <is>
          <t>PRAGMA</t>
        </is>
      </c>
      <c r="B2433" t="inlineStr">
        <is>
          <t>M3</t>
        </is>
      </c>
      <c r="C2433" t="inlineStr">
        <is>
          <t>Cali</t>
        </is>
      </c>
      <c r="D2433" t="inlineStr">
        <is>
          <t>824</t>
        </is>
      </c>
      <c r="E2433" t="inlineStr">
        <is>
          <t>No aplica</t>
        </is>
      </c>
      <c r="F2433" s="23" t="n">
        <v>46270</v>
      </c>
      <c r="G2433" t="inlineStr">
        <is>
          <t>recoleccion</t>
        </is>
      </c>
      <c r="H2433" s="26" t="n">
        <v>49031</v>
      </c>
      <c r="I2433" t="inlineStr">
        <is>
          <t>bajo</t>
        </is>
      </c>
      <c r="J2433" t="inlineStr">
        <is>
          <t>RN-41: efectivo ocioso sobre el techo</t>
        </is>
      </c>
      <c r="K2433" t="inlineStr">
        <is>
          <t>Recolección por efectivo ocioso: el saldo al cierre ($556.017.722) pasa el techo $555.968.691 (reserva + 15 días de salidas medias, tope en el cupo $2.576.000.000). Se recogen $49.031 y el saldo queda en $555.968.691. En sus últimos 180 días la sucursal recibe más de lo que paga (entradas medias $31.483.406/día &gt; salidas medias $23.325.913/día); el neto diario varía $74.743.841 (σ). Costo estimado $16.248 (Anexo E: fijo $16.219 + $6 por cada $10.000 movidos).</t>
        </is>
      </c>
      <c r="L2433" s="26" t="n">
        <v>2576000000</v>
      </c>
      <c r="M2433" s="26" t="n">
        <v>556017722</v>
      </c>
      <c r="N2433" s="27">
        <f>IF(ISNUMBER(M2433),M2433/L2433,"No aplica")</f>
        <v>0.2158453889751553</v>
      </c>
      <c r="O2433" s="25">
        <f>IF(G2433="provision",M2433+H2433,IF(G2433="recoleccion",M2433-H2433,"No aplica"))</f>
        <v>555968691</v>
      </c>
      <c r="P2433" s="26" t="n">
        <v>16248</v>
      </c>
    </row>
    <row r="2434">
      <c r="A2434" t="inlineStr">
        <is>
          <t>PRAGMA</t>
        </is>
      </c>
      <c r="B2434" t="inlineStr">
        <is>
          <t>M3</t>
        </is>
      </c>
      <c r="C2434" t="inlineStr">
        <is>
          <t>Cali</t>
        </is>
      </c>
      <c r="D2434" t="inlineStr">
        <is>
          <t>824</t>
        </is>
      </c>
      <c r="E2434" t="inlineStr">
        <is>
          <t>No aplica</t>
        </is>
      </c>
      <c r="F2434" s="23" t="n">
        <v>46271</v>
      </c>
      <c r="G2434" t="inlineStr">
        <is>
          <t>recoleccion</t>
        </is>
      </c>
      <c r="H2434" s="26" t="n">
        <v>2787</v>
      </c>
      <c r="I2434" t="inlineStr">
        <is>
          <t>bajo</t>
        </is>
      </c>
      <c r="J2434" t="inlineStr">
        <is>
          <t>RN-41: efectivo ocioso sobre el techo</t>
        </is>
      </c>
      <c r="K2434" t="inlineStr">
        <is>
          <t>Recolección por efectivo ocioso: el saldo al cierre ($555.971.478) pasa el techo $555.968.691 (reserva + 15 días de salidas medias, tope en el cupo $2.576.000.000). Se recogen $2.787 y el saldo queda en $555.968.691. En sus últimos 180 días la sucursal recibe más de lo que paga (entradas medias $31.483.406/día &gt; salidas medias $23.325.913/día); el neto diario varía $74.743.841 (σ). Costo estimado $16.221 (Anexo E: fijo $16.219 + $6 por cada $10.000 movidos).</t>
        </is>
      </c>
      <c r="L2434" s="26" t="n">
        <v>2576000000</v>
      </c>
      <c r="M2434" s="26" t="n">
        <v>555971478</v>
      </c>
      <c r="N2434" s="27">
        <f>IF(ISNUMBER(M2434),M2434/L2434,"No aplica")</f>
        <v>0.21582743711180125</v>
      </c>
      <c r="O2434" s="25">
        <f>IF(G2434="provision",M2434+H2434,IF(G2434="recoleccion",M2434-H2434,"No aplica"))</f>
        <v>555968691</v>
      </c>
      <c r="P2434" s="26" t="n">
        <v>16221</v>
      </c>
    </row>
    <row r="2435">
      <c r="A2435" t="inlineStr">
        <is>
          <t>PRAGMA</t>
        </is>
      </c>
      <c r="B2435" t="inlineStr">
        <is>
          <t>M3</t>
        </is>
      </c>
      <c r="C2435" t="inlineStr">
        <is>
          <t>Cali</t>
        </is>
      </c>
      <c r="D2435" t="inlineStr">
        <is>
          <t>824</t>
        </is>
      </c>
      <c r="E2435" t="inlineStr">
        <is>
          <t>No aplica</t>
        </is>
      </c>
      <c r="F2435" s="23" t="n">
        <v>46272</v>
      </c>
      <c r="G2435" t="inlineStr">
        <is>
          <t>recoleccion</t>
        </is>
      </c>
      <c r="H2435" s="26" t="n">
        <v>20205753</v>
      </c>
      <c r="I2435" t="inlineStr">
        <is>
          <t>bajo</t>
        </is>
      </c>
      <c r="J2435" t="inlineStr">
        <is>
          <t>RN-41: efectivo ocioso sobre el techo</t>
        </is>
      </c>
      <c r="K2435" t="inlineStr">
        <is>
          <t>Recolección por efectivo ocioso: el saldo al cierre ($576.174.444) pasa el techo $555.968.691 (reserva + 15 días de salidas medias, tope en el cupo $2.576.000.000). Se recogen $20.205.753 y el saldo queda en $555.968.691. En sus últimos 180 días la sucursal recibe más de lo que paga (entradas medias $31.483.406/día &gt; salidas medias $23.325.913/día); el neto diario varía $74.743.841 (σ). Costo estimado $28.302 (Anexo E: fijo $16.219 + $6 por cada $10.000 movidos).</t>
        </is>
      </c>
      <c r="L2435" s="26" t="n">
        <v>2576000000</v>
      </c>
      <c r="M2435" s="26" t="n">
        <v>576174444</v>
      </c>
      <c r="N2435" s="27">
        <f>IF(ISNUMBER(M2435),M2435/L2435,"No aplica")</f>
        <v>0.22367020341614907</v>
      </c>
      <c r="O2435" s="25">
        <f>IF(G2435="provision",M2435+H2435,IF(G2435="recoleccion",M2435-H2435,"No aplica"))</f>
        <v>555968691</v>
      </c>
      <c r="P2435" s="26" t="n">
        <v>28302</v>
      </c>
    </row>
    <row r="2436">
      <c r="A2436" t="inlineStr">
        <is>
          <t>PRAGMA</t>
        </is>
      </c>
      <c r="B2436" t="inlineStr">
        <is>
          <t>M3</t>
        </is>
      </c>
      <c r="C2436" t="inlineStr">
        <is>
          <t>Cali</t>
        </is>
      </c>
      <c r="D2436" t="inlineStr">
        <is>
          <t>824</t>
        </is>
      </c>
      <c r="E2436" t="inlineStr">
        <is>
          <t>No aplica</t>
        </is>
      </c>
      <c r="F2436" s="23" t="n">
        <v>46273</v>
      </c>
      <c r="G2436" t="inlineStr">
        <is>
          <t>recoleccion</t>
        </is>
      </c>
      <c r="H2436" s="26" t="n">
        <v>18335973</v>
      </c>
      <c r="I2436" t="inlineStr">
        <is>
          <t>bajo</t>
        </is>
      </c>
      <c r="J2436" t="inlineStr">
        <is>
          <t>RN-41: efectivo ocioso sobre el techo</t>
        </is>
      </c>
      <c r="K2436" t="inlineStr">
        <is>
          <t>Recolección por efectivo ocioso: el saldo al cierre ($574.304.664) pasa el techo $555.968.691 (reserva + 15 días de salidas medias, tope en el cupo $2.576.000.000). Se recogen $18.335.973 y el saldo queda en $555.968.691. En sus últimos 180 días la sucursal recibe más de lo que paga (entradas medias $31.483.406/día &gt; salidas medias $23.325.913/día); el neto diario varía $74.743.841 (σ). Costo estimado $27.184 (Anexo E: fijo $16.219 + $6 por cada $10.000 movidos).</t>
        </is>
      </c>
      <c r="L2436" s="26" t="n">
        <v>2576000000</v>
      </c>
      <c r="M2436" s="26" t="n">
        <v>574304664</v>
      </c>
      <c r="N2436" s="27">
        <f>IF(ISNUMBER(M2436),M2436/L2436,"No aplica")</f>
        <v>0.22294435714285715</v>
      </c>
      <c r="O2436" s="25">
        <f>IF(G2436="provision",M2436+H2436,IF(G2436="recoleccion",M2436-H2436,"No aplica"))</f>
        <v>555968691</v>
      </c>
      <c r="P2436" s="26" t="n">
        <v>27184</v>
      </c>
    </row>
    <row r="2437">
      <c r="A2437" t="inlineStr">
        <is>
          <t>PRAGMA</t>
        </is>
      </c>
      <c r="B2437" t="inlineStr">
        <is>
          <t>M3</t>
        </is>
      </c>
      <c r="C2437" t="inlineStr">
        <is>
          <t>Cali</t>
        </is>
      </c>
      <c r="D2437" t="inlineStr">
        <is>
          <t>824</t>
        </is>
      </c>
      <c r="E2437" t="inlineStr">
        <is>
          <t>No aplica</t>
        </is>
      </c>
      <c r="F2437" s="23" t="n">
        <v>46274</v>
      </c>
      <c r="G2437" t="inlineStr">
        <is>
          <t>recoleccion</t>
        </is>
      </c>
      <c r="H2437" s="26" t="n">
        <v>18525621</v>
      </c>
      <c r="I2437" t="inlineStr">
        <is>
          <t>bajo</t>
        </is>
      </c>
      <c r="J2437" t="inlineStr">
        <is>
          <t>RN-41: efectivo ocioso sobre el techo</t>
        </is>
      </c>
      <c r="K2437" t="inlineStr">
        <is>
          <t>Recolección por efectivo ocioso: el saldo al cierre ($574.494.312) pasa el techo $555.968.691 (reserva + 15 días de salidas medias, tope en el cupo $2.576.000.000). Se recogen $18.525.621 y el saldo queda en $555.968.691. En sus últimos 180 días la sucursal recibe más de lo que paga (entradas medias $31.483.406/día &gt; salidas medias $23.325.913/día); el neto diario varía $74.743.841 (σ). Costo estimado $27.297 (Anexo E: fijo $16.219 + $6 por cada $10.000 movidos).</t>
        </is>
      </c>
      <c r="L2437" s="26" t="n">
        <v>2576000000</v>
      </c>
      <c r="M2437" s="26" t="n">
        <v>574494312</v>
      </c>
      <c r="N2437" s="27">
        <f>IF(ISNUMBER(M2437),M2437/L2437,"No aplica")</f>
        <v>0.22301797826086955</v>
      </c>
      <c r="O2437" s="25">
        <f>IF(G2437="provision",M2437+H2437,IF(G2437="recoleccion",M2437-H2437,"No aplica"))</f>
        <v>555968691</v>
      </c>
      <c r="P2437" s="26" t="n">
        <v>27297</v>
      </c>
    </row>
    <row r="2438">
      <c r="A2438" t="inlineStr">
        <is>
          <t>PRAGMA</t>
        </is>
      </c>
      <c r="B2438" t="inlineStr">
        <is>
          <t>M3</t>
        </is>
      </c>
      <c r="C2438" t="inlineStr">
        <is>
          <t>Cali</t>
        </is>
      </c>
      <c r="D2438" t="inlineStr">
        <is>
          <t>824</t>
        </is>
      </c>
      <c r="E2438" t="inlineStr">
        <is>
          <t>No aplica</t>
        </is>
      </c>
      <c r="F2438" s="23" t="n">
        <v>46275</v>
      </c>
      <c r="G2438" t="inlineStr">
        <is>
          <t>recoleccion</t>
        </is>
      </c>
      <c r="H2438" s="26" t="n">
        <v>12093910</v>
      </c>
      <c r="I2438" t="inlineStr">
        <is>
          <t>bajo</t>
        </is>
      </c>
      <c r="J2438" t="inlineStr">
        <is>
          <t>RN-41: efectivo ocioso sobre el techo</t>
        </is>
      </c>
      <c r="K2438" t="inlineStr">
        <is>
          <t>Recolección por efectivo ocioso: el saldo al cierre ($568.062.601) pasa el techo $555.968.691 (reserva + 15 días de salidas medias, tope en el cupo $2.576.000.000). Se recogen $12.093.910 y el saldo queda en $555.968.691. En sus últimos 180 días la sucursal recibe más de lo que paga (entradas medias $31.483.406/día &gt; salidas medias $23.325.913/día); el neto diario varía $74.743.841 (σ). Costo estimado $23.451 (Anexo E: fijo $16.219 + $6 por cada $10.000 movidos).</t>
        </is>
      </c>
      <c r="L2438" s="26" t="n">
        <v>2576000000</v>
      </c>
      <c r="M2438" s="26" t="n">
        <v>568062601</v>
      </c>
      <c r="N2438" s="27">
        <f>IF(ISNUMBER(M2438),M2438/L2438,"No aplica")</f>
        <v>0.22052119604037268</v>
      </c>
      <c r="O2438" s="25">
        <f>IF(G2438="provision",M2438+H2438,IF(G2438="recoleccion",M2438-H2438,"No aplica"))</f>
        <v>555968691</v>
      </c>
      <c r="P2438" s="26" t="n">
        <v>23451</v>
      </c>
    </row>
    <row r="2439">
      <c r="A2439" t="inlineStr">
        <is>
          <t>PRAGMA</t>
        </is>
      </c>
      <c r="B2439" t="inlineStr">
        <is>
          <t>M3</t>
        </is>
      </c>
      <c r="C2439" t="inlineStr">
        <is>
          <t>Cali</t>
        </is>
      </c>
      <c r="D2439" t="inlineStr">
        <is>
          <t>824</t>
        </is>
      </c>
      <c r="E2439" t="inlineStr">
        <is>
          <t>No aplica</t>
        </is>
      </c>
      <c r="F2439" s="23" t="n">
        <v>46276</v>
      </c>
      <c r="G2439" t="inlineStr">
        <is>
          <t>recoleccion</t>
        </is>
      </c>
      <c r="H2439" s="26" t="n">
        <v>7205791</v>
      </c>
      <c r="I2439" t="inlineStr">
        <is>
          <t>bajo</t>
        </is>
      </c>
      <c r="J2439" t="inlineStr">
        <is>
          <t>RN-41: efectivo ocioso sobre el techo</t>
        </is>
      </c>
      <c r="K2439" t="inlineStr">
        <is>
          <t>Recolección por efectivo ocioso: el saldo al cierre ($563.174.482) pasa el techo $555.968.691 (reserva + 15 días de salidas medias, tope en el cupo $2.576.000.000). Se recogen $7.205.791 y el saldo queda en $555.968.691. En sus últimos 180 días la sucursal recibe más de lo que paga (entradas medias $31.483.406/día &gt; salidas medias $23.325.913/día); el neto diario varía $74.743.841 (σ). Costo estimado $20.528 (Anexo E: fijo $16.219 + $6 por cada $10.000 movidos).</t>
        </is>
      </c>
      <c r="L2439" s="26" t="n">
        <v>2576000000</v>
      </c>
      <c r="M2439" s="26" t="n">
        <v>563174482</v>
      </c>
      <c r="N2439" s="27">
        <f>IF(ISNUMBER(M2439),M2439/L2439,"No aplica")</f>
        <v>0.21862363431677018</v>
      </c>
      <c r="O2439" s="25">
        <f>IF(G2439="provision",M2439+H2439,IF(G2439="recoleccion",M2439-H2439,"No aplica"))</f>
        <v>555968691</v>
      </c>
      <c r="P2439" s="26" t="n">
        <v>20528</v>
      </c>
    </row>
    <row r="2440">
      <c r="A2440" t="inlineStr">
        <is>
          <t>PRAGMA</t>
        </is>
      </c>
      <c r="B2440" t="inlineStr">
        <is>
          <t>M3</t>
        </is>
      </c>
      <c r="C2440" t="inlineStr">
        <is>
          <t>Cali</t>
        </is>
      </c>
      <c r="D2440" t="inlineStr">
        <is>
          <t>824</t>
        </is>
      </c>
      <c r="E2440" t="inlineStr">
        <is>
          <t>No aplica</t>
        </is>
      </c>
      <c r="F2440" s="23" t="n">
        <v>46277</v>
      </c>
      <c r="G2440" t="inlineStr">
        <is>
          <t>recoleccion</t>
        </is>
      </c>
      <c r="H2440" s="26" t="n">
        <v>37497</v>
      </c>
      <c r="I2440" t="inlineStr">
        <is>
          <t>bajo</t>
        </is>
      </c>
      <c r="J2440" t="inlineStr">
        <is>
          <t>RN-41: efectivo ocioso sobre el techo</t>
        </is>
      </c>
      <c r="K2440" t="inlineStr">
        <is>
          <t>Recolección por efectivo ocioso: el saldo al cierre ($556.006.188) pasa el techo $555.968.691 (reserva + 15 días de salidas medias, tope en el cupo $2.576.000.000). Se recogen $37.497 y el saldo queda en $555.968.691. En sus últimos 180 días la sucursal recibe más de lo que paga (entradas medias $31.483.406/día &gt; salidas medias $23.325.913/día); el neto diario varía $74.743.841 (σ). Costo estimado $16.241 (Anexo E: fijo $16.219 + $6 por cada $10.000 movidos).</t>
        </is>
      </c>
      <c r="L2440" s="26" t="n">
        <v>2576000000</v>
      </c>
      <c r="M2440" s="26" t="n">
        <v>556006188</v>
      </c>
      <c r="N2440" s="27">
        <f>IF(ISNUMBER(M2440),M2440/L2440,"No aplica")</f>
        <v>0.21584091149068324</v>
      </c>
      <c r="O2440" s="25">
        <f>IF(G2440="provision",M2440+H2440,IF(G2440="recoleccion",M2440-H2440,"No aplica"))</f>
        <v>555968691</v>
      </c>
      <c r="P2440" s="26" t="n">
        <v>16241</v>
      </c>
    </row>
    <row r="2441">
      <c r="A2441" t="inlineStr">
        <is>
          <t>PRAGMA</t>
        </is>
      </c>
      <c r="B2441" t="inlineStr">
        <is>
          <t>M3</t>
        </is>
      </c>
      <c r="C2441" t="inlineStr">
        <is>
          <t>Cali</t>
        </is>
      </c>
      <c r="D2441" t="inlineStr">
        <is>
          <t>824</t>
        </is>
      </c>
      <c r="E2441" t="inlineStr">
        <is>
          <t>No aplica</t>
        </is>
      </c>
      <c r="F2441" s="23" t="n">
        <v>46278</v>
      </c>
      <c r="G2441" t="inlineStr">
        <is>
          <t>recoleccion</t>
        </is>
      </c>
      <c r="H2441" s="26" t="n">
        <v>3064</v>
      </c>
      <c r="I2441" t="inlineStr">
        <is>
          <t>bajo</t>
        </is>
      </c>
      <c r="J2441" t="inlineStr">
        <is>
          <t>RN-41: efectivo ocioso sobre el techo</t>
        </is>
      </c>
      <c r="K2441" t="inlineStr">
        <is>
          <t>Recolección por efectivo ocioso: el saldo al cierre ($555.971.755) pasa el techo $555.968.691 (reserva + 15 días de salidas medias, tope en el cupo $2.576.000.000). Se recogen $3.064 y el saldo queda en $555.968.691. En sus últimos 180 días la sucursal recibe más de lo que paga (entradas medias $31.483.406/día &gt; salidas medias $23.325.913/día); el neto diario varía $74.743.841 (σ). Costo estimado $16.221 (Anexo E: fijo $16.219 + $6 por cada $10.000 movidos).</t>
        </is>
      </c>
      <c r="L2441" s="26" t="n">
        <v>2576000000</v>
      </c>
      <c r="M2441" s="26" t="n">
        <v>555971755</v>
      </c>
      <c r="N2441" s="27">
        <f>IF(ISNUMBER(M2441),M2441/L2441,"No aplica")</f>
        <v>0.21582754464285714</v>
      </c>
      <c r="O2441" s="25">
        <f>IF(G2441="provision",M2441+H2441,IF(G2441="recoleccion",M2441-H2441,"No aplica"))</f>
        <v>555968691</v>
      </c>
      <c r="P2441" s="26" t="n">
        <v>16221</v>
      </c>
    </row>
    <row r="2442">
      <c r="A2442" t="inlineStr">
        <is>
          <t>PRAGMA</t>
        </is>
      </c>
      <c r="B2442" t="inlineStr">
        <is>
          <t>M3</t>
        </is>
      </c>
      <c r="C2442" t="inlineStr">
        <is>
          <t>Cali</t>
        </is>
      </c>
      <c r="D2442" t="inlineStr">
        <is>
          <t>824</t>
        </is>
      </c>
      <c r="E2442" t="inlineStr">
        <is>
          <t>No aplica</t>
        </is>
      </c>
      <c r="F2442" s="23" t="n">
        <v>46279</v>
      </c>
      <c r="G2442" t="inlineStr">
        <is>
          <t>recoleccion</t>
        </is>
      </c>
      <c r="H2442" s="26" t="n">
        <v>15347627</v>
      </c>
      <c r="I2442" t="inlineStr">
        <is>
          <t>bajo</t>
        </is>
      </c>
      <c r="J2442" t="inlineStr">
        <is>
          <t>RN-41: efectivo ocioso sobre el techo</t>
        </is>
      </c>
      <c r="K2442" t="inlineStr">
        <is>
          <t>Recolección por efectivo ocioso: el saldo al cierre ($571.316.318) pasa el techo $555.968.691 (reserva + 15 días de salidas medias, tope en el cupo $2.576.000.000). Se recogen $15.347.627 y el saldo queda en $555.968.691. En sus últimos 180 días la sucursal recibe más de lo que paga (entradas medias $31.483.406/día &gt; salidas medias $23.325.913/día); el neto diario varía $74.743.841 (σ). Costo estimado $25.397 (Anexo E: fijo $16.219 + $6 por cada $10.000 movidos).</t>
        </is>
      </c>
      <c r="L2442" s="26" t="n">
        <v>2576000000</v>
      </c>
      <c r="M2442" s="26" t="n">
        <v>571316318</v>
      </c>
      <c r="N2442" s="27">
        <f>IF(ISNUMBER(M2442),M2442/L2442,"No aplica")</f>
        <v>0.2217842849378882</v>
      </c>
      <c r="O2442" s="25">
        <f>IF(G2442="provision",M2442+H2442,IF(G2442="recoleccion",M2442-H2442,"No aplica"))</f>
        <v>555968691</v>
      </c>
      <c r="P2442" s="26" t="n">
        <v>25397</v>
      </c>
    </row>
    <row r="2443">
      <c r="A2443" t="inlineStr">
        <is>
          <t>PRAGMA</t>
        </is>
      </c>
      <c r="B2443" t="inlineStr">
        <is>
          <t>M3</t>
        </is>
      </c>
      <c r="C2443" t="inlineStr">
        <is>
          <t>Cali</t>
        </is>
      </c>
      <c r="D2443" t="inlineStr">
        <is>
          <t>824</t>
        </is>
      </c>
      <c r="E2443" t="inlineStr">
        <is>
          <t>No aplica</t>
        </is>
      </c>
      <c r="F2443" s="23" t="n">
        <v>46280</v>
      </c>
      <c r="G2443" t="inlineStr">
        <is>
          <t>recoleccion</t>
        </is>
      </c>
      <c r="H2443" s="26" t="n">
        <v>16456913</v>
      </c>
      <c r="I2443" t="inlineStr">
        <is>
          <t>bajo</t>
        </is>
      </c>
      <c r="J2443" t="inlineStr">
        <is>
          <t>RN-41: efectivo ocioso sobre el techo</t>
        </is>
      </c>
      <c r="K2443" t="inlineStr">
        <is>
          <t>Recolección por efectivo ocioso: el saldo al cierre ($572.425.604) pasa el techo $555.968.691 (reserva + 15 días de salidas medias, tope en el cupo $2.576.000.000). Se recogen $16.456.913 y el saldo queda en $555.968.691. En sus últimos 180 días la sucursal recibe más de lo que paga (entradas medias $31.483.406/día &gt; salidas medias $23.325.913/día); el neto diario varía $74.743.841 (σ). Costo estimado $26.060 (Anexo E: fijo $16.219 + $6 por cada $10.000 movidos).</t>
        </is>
      </c>
      <c r="L2443" s="26" t="n">
        <v>2576000000</v>
      </c>
      <c r="M2443" s="26" t="n">
        <v>572425604</v>
      </c>
      <c r="N2443" s="27">
        <f>IF(ISNUMBER(M2443),M2443/L2443,"No aplica")</f>
        <v>0.22221490838509317</v>
      </c>
      <c r="O2443" s="25">
        <f>IF(G2443="provision",M2443+H2443,IF(G2443="recoleccion",M2443-H2443,"No aplica"))</f>
        <v>555968691</v>
      </c>
      <c r="P2443" s="26" t="n">
        <v>26060</v>
      </c>
    </row>
    <row r="2444">
      <c r="A2444" t="inlineStr">
        <is>
          <t>PRAGMA</t>
        </is>
      </c>
      <c r="B2444" t="inlineStr">
        <is>
          <t>M3</t>
        </is>
      </c>
      <c r="C2444" t="inlineStr">
        <is>
          <t>Cali</t>
        </is>
      </c>
      <c r="D2444" t="inlineStr">
        <is>
          <t>826</t>
        </is>
      </c>
      <c r="E2444" t="inlineStr">
        <is>
          <t>No aplica</t>
        </is>
      </c>
      <c r="F2444" s="23" t="n">
        <v>46266</v>
      </c>
      <c r="G2444" t="inlineStr">
        <is>
          <t>recoleccion</t>
        </is>
      </c>
      <c r="H2444" s="26" t="n">
        <v>1444348527</v>
      </c>
      <c r="I2444" t="inlineStr">
        <is>
          <t>bajo</t>
        </is>
      </c>
      <c r="J2444" t="inlineStr">
        <is>
          <t>RN-41: riesgo de exceder el cupo</t>
        </is>
      </c>
      <c r="K2444" t="inlineStr">
        <is>
          <t>Recolección por riesgo de exceder el cupo: el saldo al cierre ($6.169.828.792) pasa el cupo $6.093.067.220. Se recogen $1.444.348.527 y el saldo queda en $4.725.480.265. En sus últimos 180 días la sucursal recibe más de lo que paga (entradas medias $395.313.239/día &gt; salidas medias $282.535.659/día); el neto diario varía $320.752.350 (σ). Costo estimado $887.181 (Anexo E: fijo $14.794 + $6 por cada $10.000 movidos).</t>
        </is>
      </c>
      <c r="L2444" s="26" t="n">
        <v>6093067220</v>
      </c>
      <c r="M2444" s="26" t="n">
        <v>6169828792</v>
      </c>
      <c r="N2444" s="27">
        <f>IF(ISNUMBER(M2444),M2444/L2444,"No aplica")</f>
        <v>1.0125981823650387</v>
      </c>
      <c r="O2444" s="25">
        <f>IF(G2444="provision",M2444+H2444,IF(G2444="recoleccion",M2444-H2444,"No aplica"))</f>
        <v>4725480265</v>
      </c>
      <c r="P2444" s="26" t="n">
        <v>887181</v>
      </c>
    </row>
    <row r="2445">
      <c r="A2445" t="inlineStr">
        <is>
          <t>PRAGMA</t>
        </is>
      </c>
      <c r="B2445" t="inlineStr">
        <is>
          <t>M3</t>
        </is>
      </c>
      <c r="C2445" t="inlineStr">
        <is>
          <t>Cali</t>
        </is>
      </c>
      <c r="D2445" t="inlineStr">
        <is>
          <t>826</t>
        </is>
      </c>
      <c r="E2445" t="inlineStr">
        <is>
          <t>No aplica</t>
        </is>
      </c>
      <c r="F2445" s="23" t="n">
        <v>46267</v>
      </c>
      <c r="G2445" t="inlineStr">
        <is>
          <t>recoleccion</t>
        </is>
      </c>
      <c r="H2445" s="26" t="n">
        <v>37773155</v>
      </c>
      <c r="I2445" t="inlineStr">
        <is>
          <t>bajo</t>
        </is>
      </c>
      <c r="J2445" t="inlineStr">
        <is>
          <t>RN-41: efectivo ocioso sobre el techo</t>
        </is>
      </c>
      <c r="K2445" t="inlineStr">
        <is>
          <t>Recolección por efectivo ocioso: el saldo al cierre ($4.763.253.420) pasa el techo $4.725.480.265 (reserva + 15 días de salidas medias, tope en el cupo $6.093.067.220). Se recogen $37.773.155 y el saldo queda en $4.725.480.265. En sus últimos 180 días la sucursal recibe más de lo que paga (entradas medias $395.313.239/día &gt; salidas medias $282.535.659/día); el neto diario varía $320.752.350 (σ). Costo estimado $37.609 (Anexo E: fijo $14.794 + $6 por cada $10.000 movidos).</t>
        </is>
      </c>
      <c r="L2445" s="26" t="n">
        <v>6093067220</v>
      </c>
      <c r="M2445" s="26" t="n">
        <v>4763253420</v>
      </c>
      <c r="N2445" s="27">
        <f>IF(ISNUMBER(M2445),M2445/L2445,"No aplica")</f>
        <v>0.7817496915781605</v>
      </c>
      <c r="O2445" s="25">
        <f>IF(G2445="provision",M2445+H2445,IF(G2445="recoleccion",M2445-H2445,"No aplica"))</f>
        <v>4725480265</v>
      </c>
      <c r="P2445" s="26" t="n">
        <v>37609</v>
      </c>
    </row>
    <row r="2446">
      <c r="A2446" t="inlineStr">
        <is>
          <t>PRAGMA</t>
        </is>
      </c>
      <c r="B2446" t="inlineStr">
        <is>
          <t>M3</t>
        </is>
      </c>
      <c r="C2446" t="inlineStr">
        <is>
          <t>Cali</t>
        </is>
      </c>
      <c r="D2446" t="inlineStr">
        <is>
          <t>826</t>
        </is>
      </c>
      <c r="E2446" t="inlineStr">
        <is>
          <t>No aplica</t>
        </is>
      </c>
      <c r="F2446" s="23" t="n">
        <v>46268</v>
      </c>
      <c r="G2446" t="inlineStr">
        <is>
          <t>recoleccion</t>
        </is>
      </c>
      <c r="H2446" s="26" t="n">
        <v>148814066</v>
      </c>
      <c r="I2446" t="inlineStr">
        <is>
          <t>bajo</t>
        </is>
      </c>
      <c r="J2446" t="inlineStr">
        <is>
          <t>RN-41: efectivo ocioso sobre el techo</t>
        </is>
      </c>
      <c r="K2446" t="inlineStr">
        <is>
          <t>Recolección por efectivo ocioso: el saldo al cierre ($4.874.294.331) pasa el techo $4.725.480.265 (reserva + 15 días de salidas medias, tope en el cupo $6.093.067.220). Se recogen $148.814.066 y el saldo queda en $4.725.480.265. En sus últimos 180 días la sucursal recibe más de lo que paga (entradas medias $395.313.239/día &gt; salidas medias $282.535.659/día); el neto diario varía $320.752.350 (σ). Costo estimado $104.678 (Anexo E: fijo $14.794 + $6 por cada $10.000 movidos).</t>
        </is>
      </c>
      <c r="L2446" s="26" t="n">
        <v>6093067220</v>
      </c>
      <c r="M2446" s="26" t="n">
        <v>4874294331</v>
      </c>
      <c r="N2446" s="27">
        <f>IF(ISNUMBER(M2446),M2446/L2446,"No aplica")</f>
        <v>0.7999738317346186</v>
      </c>
      <c r="O2446" s="25">
        <f>IF(G2446="provision",M2446+H2446,IF(G2446="recoleccion",M2446-H2446,"No aplica"))</f>
        <v>4725480265</v>
      </c>
      <c r="P2446" s="26" t="n">
        <v>104678</v>
      </c>
    </row>
    <row r="2447">
      <c r="A2447" t="inlineStr">
        <is>
          <t>PRAGMA</t>
        </is>
      </c>
      <c r="B2447" t="inlineStr">
        <is>
          <t>M3</t>
        </is>
      </c>
      <c r="C2447" t="inlineStr">
        <is>
          <t>Cali</t>
        </is>
      </c>
      <c r="D2447" t="inlineStr">
        <is>
          <t>826</t>
        </is>
      </c>
      <c r="E2447" t="inlineStr">
        <is>
          <t>No aplica</t>
        </is>
      </c>
      <c r="F2447" s="23" t="n">
        <v>46272</v>
      </c>
      <c r="G2447" t="inlineStr">
        <is>
          <t>recoleccion</t>
        </is>
      </c>
      <c r="H2447" s="26" t="n">
        <v>12672460</v>
      </c>
      <c r="I2447" t="inlineStr">
        <is>
          <t>bajo</t>
        </is>
      </c>
      <c r="J2447" t="inlineStr">
        <is>
          <t>RN-41: efectivo ocioso sobre el techo</t>
        </is>
      </c>
      <c r="K2447" t="inlineStr">
        <is>
          <t>Recolección por efectivo ocioso: el saldo al cierre ($4.738.152.725) pasa el techo $4.725.480.265 (reserva + 15 días de salidas medias, tope en el cupo $6.093.067.220). Se recogen $12.672.460 y el saldo queda en $4.725.480.265. En sus últimos 180 días la sucursal recibe más de lo que paga (entradas medias $395.313.239/día &gt; salidas medias $282.535.659/día); el neto diario varía $320.752.350 (σ). Costo estimado $22.448 (Anexo E: fijo $14.794 + $6 por cada $10.000 movidos).</t>
        </is>
      </c>
      <c r="L2447" s="26" t="n">
        <v>6093067220</v>
      </c>
      <c r="M2447" s="26" t="n">
        <v>4738152725</v>
      </c>
      <c r="N2447" s="27">
        <f>IF(ISNUMBER(M2447),M2447/L2447,"No aplica")</f>
        <v>0.7776301415890173</v>
      </c>
      <c r="O2447" s="25">
        <f>IF(G2447="provision",M2447+H2447,IF(G2447="recoleccion",M2447-H2447,"No aplica"))</f>
        <v>4725480265</v>
      </c>
      <c r="P2447" s="26" t="n">
        <v>22448</v>
      </c>
    </row>
    <row r="2448">
      <c r="A2448" t="inlineStr">
        <is>
          <t>PRAGMA</t>
        </is>
      </c>
      <c r="B2448" t="inlineStr">
        <is>
          <t>M3</t>
        </is>
      </c>
      <c r="C2448" t="inlineStr">
        <is>
          <t>Cali</t>
        </is>
      </c>
      <c r="D2448" t="inlineStr">
        <is>
          <t>826</t>
        </is>
      </c>
      <c r="E2448" t="inlineStr">
        <is>
          <t>No aplica</t>
        </is>
      </c>
      <c r="F2448" s="23" t="n">
        <v>46273</v>
      </c>
      <c r="G2448" t="inlineStr">
        <is>
          <t>recoleccion</t>
        </is>
      </c>
      <c r="H2448" s="26" t="n">
        <v>71693672</v>
      </c>
      <c r="I2448" t="inlineStr">
        <is>
          <t>bajo</t>
        </is>
      </c>
      <c r="J2448" t="inlineStr">
        <is>
          <t>RN-41: efectivo ocioso sobre el techo</t>
        </is>
      </c>
      <c r="K2448" t="inlineStr">
        <is>
          <t>Recolección por efectivo ocioso: el saldo al cierre ($4.797.173.937) pasa el techo $4.725.480.265 (reserva + 15 días de salidas medias, tope en el cupo $6.093.067.220). Se recogen $71.693.672 y el saldo queda en $4.725.480.265. En sus últimos 180 días la sucursal recibe más de lo que paga (entradas medias $395.313.239/día &gt; salidas medias $282.535.659/día); el neto diario varía $320.752.350 (σ). Costo estimado $58.097 (Anexo E: fijo $14.794 + $6 por cada $10.000 movidos).</t>
        </is>
      </c>
      <c r="L2448" s="26" t="n">
        <v>6093067220</v>
      </c>
      <c r="M2448" s="26" t="n">
        <v>4797173937</v>
      </c>
      <c r="N2448" s="27">
        <f>IF(ISNUMBER(M2448),M2448/L2448,"No aplica")</f>
        <v>0.787316759160914</v>
      </c>
      <c r="O2448" s="25">
        <f>IF(G2448="provision",M2448+H2448,IF(G2448="recoleccion",M2448-H2448,"No aplica"))</f>
        <v>4725480265</v>
      </c>
      <c r="P2448" s="26" t="n">
        <v>58097</v>
      </c>
    </row>
    <row r="2449">
      <c r="A2449" t="inlineStr">
        <is>
          <t>PRAGMA</t>
        </is>
      </c>
      <c r="B2449" t="inlineStr">
        <is>
          <t>M3</t>
        </is>
      </c>
      <c r="C2449" t="inlineStr">
        <is>
          <t>Cali</t>
        </is>
      </c>
      <c r="D2449" t="inlineStr">
        <is>
          <t>826</t>
        </is>
      </c>
      <c r="E2449" t="inlineStr">
        <is>
          <t>No aplica</t>
        </is>
      </c>
      <c r="F2449" s="23" t="n">
        <v>46274</v>
      </c>
      <c r="G2449" t="inlineStr">
        <is>
          <t>recoleccion</t>
        </is>
      </c>
      <c r="H2449" s="26" t="n">
        <v>70445153</v>
      </c>
      <c r="I2449" t="inlineStr">
        <is>
          <t>bajo</t>
        </is>
      </c>
      <c r="J2449" t="inlineStr">
        <is>
          <t>RN-41: efectivo ocioso sobre el techo</t>
        </is>
      </c>
      <c r="K2449" t="inlineStr">
        <is>
          <t>Recolección por efectivo ocioso: el saldo al cierre ($4.795.925.418) pasa el techo $4.725.480.265 (reserva + 15 días de salidas medias, tope en el cupo $6.093.067.220). Se recogen $70.445.153 y el saldo queda en $4.725.480.265. En sus últimos 180 días la sucursal recibe más de lo que paga (entradas medias $395.313.239/día &gt; salidas medias $282.535.659/día); el neto diario varía $320.752.350 (σ). Costo estimado $57.343 (Anexo E: fijo $14.794 + $6 por cada $10.000 movidos).</t>
        </is>
      </c>
      <c r="L2449" s="26" t="n">
        <v>6093067220</v>
      </c>
      <c r="M2449" s="26" t="n">
        <v>4795925418</v>
      </c>
      <c r="N2449" s="27">
        <f>IF(ISNUMBER(M2449),M2449/L2449,"No aplica")</f>
        <v>0.7871118510325577</v>
      </c>
      <c r="O2449" s="25">
        <f>IF(G2449="provision",M2449+H2449,IF(G2449="recoleccion",M2449-H2449,"No aplica"))</f>
        <v>4725480265</v>
      </c>
      <c r="P2449" s="26" t="n">
        <v>57343</v>
      </c>
    </row>
    <row r="2450">
      <c r="A2450" t="inlineStr">
        <is>
          <t>PRAGMA</t>
        </is>
      </c>
      <c r="B2450" t="inlineStr">
        <is>
          <t>M3</t>
        </is>
      </c>
      <c r="C2450" t="inlineStr">
        <is>
          <t>Cali</t>
        </is>
      </c>
      <c r="D2450" t="inlineStr">
        <is>
          <t>826</t>
        </is>
      </c>
      <c r="E2450" t="inlineStr">
        <is>
          <t>No aplica</t>
        </is>
      </c>
      <c r="F2450" s="23" t="n">
        <v>46275</v>
      </c>
      <c r="G2450" t="inlineStr">
        <is>
          <t>recoleccion</t>
        </is>
      </c>
      <c r="H2450" s="26" t="n">
        <v>173261382</v>
      </c>
      <c r="I2450" t="inlineStr">
        <is>
          <t>bajo</t>
        </is>
      </c>
      <c r="J2450" t="inlineStr">
        <is>
          <t>RN-41: efectivo ocioso sobre el techo</t>
        </is>
      </c>
      <c r="K2450" t="inlineStr">
        <is>
          <t>Recolección por efectivo ocioso: el saldo al cierre ($4.898.741.647) pasa el techo $4.725.480.265 (reserva + 15 días de salidas medias, tope en el cupo $6.093.067.220). Se recogen $173.261.382 y el saldo queda en $4.725.480.265. En sus últimos 180 días la sucursal recibe más de lo que paga (entradas medias $395.313.239/día &gt; salidas medias $282.535.659/día); el neto diario varía $320.752.350 (σ). Costo estimado $119.444 (Anexo E: fijo $14.794 + $6 por cada $10.000 movidos).</t>
        </is>
      </c>
      <c r="L2450" s="26" t="n">
        <v>6093067220</v>
      </c>
      <c r="M2450" s="26" t="n">
        <v>4898741647</v>
      </c>
      <c r="N2450" s="27">
        <f>IF(ISNUMBER(M2450),M2450/L2450,"No aplica")</f>
        <v>0.8039861485394871</v>
      </c>
      <c r="O2450" s="25">
        <f>IF(G2450="provision",M2450+H2450,IF(G2450="recoleccion",M2450-H2450,"No aplica"))</f>
        <v>4725480265</v>
      </c>
      <c r="P2450" s="26" t="n">
        <v>119444</v>
      </c>
    </row>
    <row r="2451">
      <c r="A2451" t="inlineStr">
        <is>
          <t>PRAGMA</t>
        </is>
      </c>
      <c r="B2451" t="inlineStr">
        <is>
          <t>M3</t>
        </is>
      </c>
      <c r="C2451" t="inlineStr">
        <is>
          <t>Cali</t>
        </is>
      </c>
      <c r="D2451" t="inlineStr">
        <is>
          <t>826</t>
        </is>
      </c>
      <c r="E2451" t="inlineStr">
        <is>
          <t>No aplica</t>
        </is>
      </c>
      <c r="F2451" s="23" t="n">
        <v>46279</v>
      </c>
      <c r="G2451" t="inlineStr">
        <is>
          <t>recoleccion</t>
        </is>
      </c>
      <c r="H2451" s="26" t="n">
        <v>56541560</v>
      </c>
      <c r="I2451" t="inlineStr">
        <is>
          <t>bajo</t>
        </is>
      </c>
      <c r="J2451" t="inlineStr">
        <is>
          <t>RN-41: efectivo ocioso sobre el techo</t>
        </is>
      </c>
      <c r="K2451" t="inlineStr">
        <is>
          <t>Recolección por efectivo ocioso: el saldo al cierre ($4.782.021.825) pasa el techo $4.725.480.265 (reserva + 15 días de salidas medias, tope en el cupo $6.093.067.220). Se recogen $56.541.560 y el saldo queda en $4.725.480.265. En sus últimos 180 días la sucursal recibe más de lo que paga (entradas medias $395.313.239/día &gt; salidas medias $282.535.659/día); el neto diario varía $320.752.350 (σ). Costo estimado $48.945 (Anexo E: fijo $14.794 + $6 por cada $10.000 movidos).</t>
        </is>
      </c>
      <c r="L2451" s="26" t="n">
        <v>6093067220</v>
      </c>
      <c r="M2451" s="26" t="n">
        <v>4782021825</v>
      </c>
      <c r="N2451" s="27">
        <f>IF(ISNUMBER(M2451),M2451/L2451,"No aplica")</f>
        <v>0.7848299800966253</v>
      </c>
      <c r="O2451" s="25">
        <f>IF(G2451="provision",M2451+H2451,IF(G2451="recoleccion",M2451-H2451,"No aplica"))</f>
        <v>4725480265</v>
      </c>
      <c r="P2451" s="26" t="n">
        <v>48945</v>
      </c>
    </row>
    <row r="2452">
      <c r="A2452" t="inlineStr">
        <is>
          <t>PRAGMA</t>
        </is>
      </c>
      <c r="B2452" t="inlineStr">
        <is>
          <t>M3</t>
        </is>
      </c>
      <c r="C2452" t="inlineStr">
        <is>
          <t>Cali</t>
        </is>
      </c>
      <c r="D2452" t="inlineStr">
        <is>
          <t>826</t>
        </is>
      </c>
      <c r="E2452" t="inlineStr">
        <is>
          <t>No aplica</t>
        </is>
      </c>
      <c r="F2452" s="23" t="n">
        <v>46280</v>
      </c>
      <c r="G2452" t="inlineStr">
        <is>
          <t>recoleccion</t>
        </is>
      </c>
      <c r="H2452" s="26" t="n">
        <v>69938604</v>
      </c>
      <c r="I2452" t="inlineStr">
        <is>
          <t>bajo</t>
        </is>
      </c>
      <c r="J2452" t="inlineStr">
        <is>
          <t>RN-41: efectivo ocioso sobre el techo</t>
        </is>
      </c>
      <c r="K2452" t="inlineStr">
        <is>
          <t>Recolección por efectivo ocioso: el saldo al cierre ($4.795.418.869) pasa el techo $4.725.480.265 (reserva + 15 días de salidas medias, tope en el cupo $6.093.067.220). Se recogen $69.938.604 y el saldo queda en $4.725.480.265. En sus últimos 180 días la sucursal recibe más de lo que paga (entradas medias $395.313.239/día &gt; salidas medias $282.535.659/día); el neto diario varía $320.752.350 (σ). Costo estimado $57.037 (Anexo E: fijo $14.794 + $6 por cada $10.000 movidos).</t>
        </is>
      </c>
      <c r="L2452" s="26" t="n">
        <v>6093067220</v>
      </c>
      <c r="M2452" s="26" t="n">
        <v>4795418869</v>
      </c>
      <c r="N2452" s="27">
        <f>IF(ISNUMBER(M2452),M2452/L2452,"No aplica")</f>
        <v>0.78702871572784</v>
      </c>
      <c r="O2452" s="25">
        <f>IF(G2452="provision",M2452+H2452,IF(G2452="recoleccion",M2452-H2452,"No aplica"))</f>
        <v>4725480265</v>
      </c>
      <c r="P2452" s="26" t="n">
        <v>57037</v>
      </c>
    </row>
    <row r="2453">
      <c r="A2453" t="inlineStr">
        <is>
          <t>PRAGMA</t>
        </is>
      </c>
      <c r="B2453" t="inlineStr">
        <is>
          <t>M3</t>
        </is>
      </c>
      <c r="C2453" t="inlineStr">
        <is>
          <t>Cali</t>
        </is>
      </c>
      <c r="D2453" t="inlineStr">
        <is>
          <t>830</t>
        </is>
      </c>
      <c r="E2453" t="inlineStr">
        <is>
          <t>No aplica</t>
        </is>
      </c>
      <c r="F2453" s="23" t="n">
        <v>46266</v>
      </c>
      <c r="G2453" t="inlineStr">
        <is>
          <t>recoleccion</t>
        </is>
      </c>
      <c r="H2453" s="26" t="n">
        <v>721186577</v>
      </c>
      <c r="I2453" t="inlineStr">
        <is>
          <t>bajo</t>
        </is>
      </c>
      <c r="J2453" t="inlineStr">
        <is>
          <t>RN-41: riesgo de exceder el cupo</t>
        </is>
      </c>
      <c r="K2453" t="inlineStr">
        <is>
          <t>Recolección por riesgo de exceder el cupo: el saldo al cierre ($7.167.809.893) pasa el cupo $7.149.194.000. Se recogen $721.186.577 y el saldo queda en $6.446.623.316. En sus últimos 180 días la sucursal recibe más de lo que paga (entradas medias $631.600.818/día &gt; salidas medias $391.645.853/día); el neto diario varía $260.320.342 (σ). Costo estimado $422.555 (Anexo E: fijo $17.969 + $6 por cada $10.000 movidos).</t>
        </is>
      </c>
      <c r="L2453" s="26" t="n">
        <v>7149194000</v>
      </c>
      <c r="M2453" s="26" t="n">
        <v>7167809893</v>
      </c>
      <c r="N2453" s="27">
        <f>IF(ISNUMBER(M2453),M2453/L2453,"No aplica")</f>
        <v>1.00260391493083</v>
      </c>
      <c r="O2453" s="25">
        <f>IF(G2453="provision",M2453+H2453,IF(G2453="recoleccion",M2453-H2453,"No aplica"))</f>
        <v>6446623316</v>
      </c>
      <c r="P2453" s="26" t="n">
        <v>422555</v>
      </c>
    </row>
    <row r="2454">
      <c r="A2454" t="inlineStr">
        <is>
          <t>PRAGMA</t>
        </is>
      </c>
      <c r="B2454" t="inlineStr">
        <is>
          <t>M3</t>
        </is>
      </c>
      <c r="C2454" t="inlineStr">
        <is>
          <t>Cali</t>
        </is>
      </c>
      <c r="D2454" t="inlineStr">
        <is>
          <t>830</t>
        </is>
      </c>
      <c r="E2454" t="inlineStr">
        <is>
          <t>No aplica</t>
        </is>
      </c>
      <c r="F2454" s="23" t="n">
        <v>46267</v>
      </c>
      <c r="G2454" t="inlineStr">
        <is>
          <t>recoleccion</t>
        </is>
      </c>
      <c r="H2454" s="26" t="n">
        <v>3530184</v>
      </c>
      <c r="I2454" t="inlineStr">
        <is>
          <t>bajo</t>
        </is>
      </c>
      <c r="J2454" t="inlineStr">
        <is>
          <t>RN-41: efectivo ocioso sobre el techo</t>
        </is>
      </c>
      <c r="K2454" t="inlineStr">
        <is>
          <t>Recolección por efectivo ocioso: el saldo al cierre ($6.450.153.500) pasa el techo $6.446.623.316 (reserva + 15 días de salidas medias, tope en el cupo $7.149.194.000). Se recogen $3.530.184 y el saldo queda en $6.446.623.316. En sus últimos 180 días la sucursal recibe más de lo que paga (entradas medias $631.600.818/día &gt; salidas medias $391.645.853/día); el neto diario varía $260.320.342 (σ). Costo estimado $19.949 (Anexo E: fijo $17.969 + $6 por cada $10.000 movidos).</t>
        </is>
      </c>
      <c r="L2454" s="26" t="n">
        <v>7149194000</v>
      </c>
      <c r="M2454" s="26" t="n">
        <v>6450153500</v>
      </c>
      <c r="N2454" s="27">
        <f>IF(ISNUMBER(M2454),M2454/L2454,"No aplica")</f>
        <v>0.9022210755506145</v>
      </c>
      <c r="O2454" s="25">
        <f>IF(G2454="provision",M2454+H2454,IF(G2454="recoleccion",M2454-H2454,"No aplica"))</f>
        <v>6446623316</v>
      </c>
      <c r="P2454" s="26" t="n">
        <v>19949</v>
      </c>
    </row>
    <row r="2455">
      <c r="A2455" t="inlineStr">
        <is>
          <t>PRAGMA</t>
        </is>
      </c>
      <c r="B2455" t="inlineStr">
        <is>
          <t>M3</t>
        </is>
      </c>
      <c r="C2455" t="inlineStr">
        <is>
          <t>Cali</t>
        </is>
      </c>
      <c r="D2455" t="inlineStr">
        <is>
          <t>830</t>
        </is>
      </c>
      <c r="E2455" t="inlineStr">
        <is>
          <t>No aplica</t>
        </is>
      </c>
      <c r="F2455" s="23" t="n">
        <v>46268</v>
      </c>
      <c r="G2455" t="inlineStr">
        <is>
          <t>recoleccion</t>
        </is>
      </c>
      <c r="H2455" s="26" t="n">
        <v>81863694</v>
      </c>
      <c r="I2455" t="inlineStr">
        <is>
          <t>bajo</t>
        </is>
      </c>
      <c r="J2455" t="inlineStr">
        <is>
          <t>RN-41: efectivo ocioso sobre el techo</t>
        </is>
      </c>
      <c r="K2455" t="inlineStr">
        <is>
          <t>Recolección por efectivo ocioso: el saldo al cierre ($6.528.487.010) pasa el techo $6.446.623.316 (reserva + 15 días de salidas medias, tope en el cupo $7.149.194.000). Se recogen $81.863.694 y el saldo queda en $6.446.623.316. En sus últimos 180 días la sucursal recibe más de lo que paga (entradas medias $631.600.818/día &gt; salidas medias $391.645.853/día); el neto diario varía $260.320.342 (σ). Costo estimado $63.895 (Anexo E: fijo $17.969 + $6 por cada $10.000 movidos).</t>
        </is>
      </c>
      <c r="L2455" s="26" t="n">
        <v>7149194000</v>
      </c>
      <c r="M2455" s="26" t="n">
        <v>6528487010</v>
      </c>
      <c r="N2455" s="27">
        <f>IF(ISNUMBER(M2455),M2455/L2455,"No aplica")</f>
        <v>0.9131780463643874</v>
      </c>
      <c r="O2455" s="25">
        <f>IF(G2455="provision",M2455+H2455,IF(G2455="recoleccion",M2455-H2455,"No aplica"))</f>
        <v>6446623316</v>
      </c>
      <c r="P2455" s="26" t="n">
        <v>63895</v>
      </c>
    </row>
    <row r="2456">
      <c r="A2456" t="inlineStr">
        <is>
          <t>PRAGMA</t>
        </is>
      </c>
      <c r="B2456" t="inlineStr">
        <is>
          <t>M3</t>
        </is>
      </c>
      <c r="C2456" t="inlineStr">
        <is>
          <t>Cali</t>
        </is>
      </c>
      <c r="D2456" t="inlineStr">
        <is>
          <t>830</t>
        </is>
      </c>
      <c r="E2456" t="inlineStr">
        <is>
          <t>No aplica</t>
        </is>
      </c>
      <c r="F2456" s="23" t="n">
        <v>46269</v>
      </c>
      <c r="G2456" t="inlineStr">
        <is>
          <t>recoleccion</t>
        </is>
      </c>
      <c r="H2456" s="26" t="n">
        <v>162629655</v>
      </c>
      <c r="I2456" t="inlineStr">
        <is>
          <t>bajo</t>
        </is>
      </c>
      <c r="J2456" t="inlineStr">
        <is>
          <t>RN-41: efectivo ocioso sobre el techo</t>
        </is>
      </c>
      <c r="K2456" t="inlineStr">
        <is>
          <t>Recolección por efectivo ocioso: el saldo al cierre ($6.609.252.971) pasa el techo $6.446.623.316 (reserva + 15 días de salidas medias, tope en el cupo $7.149.194.000). Se recogen $162.629.655 y el saldo queda en $6.446.623.316. En sus últimos 180 días la sucursal recibe más de lo que paga (entradas medias $631.600.818/día &gt; salidas medias $391.645.853/día); el neto diario varía $260.320.342 (σ). Costo estimado $109.204 (Anexo E: fijo $17.969 + $6 por cada $10.000 movidos).</t>
        </is>
      </c>
      <c r="L2456" s="26" t="n">
        <v>7149194000</v>
      </c>
      <c r="M2456" s="26" t="n">
        <v>6609252971</v>
      </c>
      <c r="N2456" s="27">
        <f>IF(ISNUMBER(M2456),M2456/L2456,"No aplica")</f>
        <v>0.924475258469696</v>
      </c>
      <c r="O2456" s="25">
        <f>IF(G2456="provision",M2456+H2456,IF(G2456="recoleccion",M2456-H2456,"No aplica"))</f>
        <v>6446623316</v>
      </c>
      <c r="P2456" s="26" t="n">
        <v>109204</v>
      </c>
    </row>
    <row r="2457">
      <c r="A2457" t="inlineStr">
        <is>
          <t>PRAGMA</t>
        </is>
      </c>
      <c r="B2457" t="inlineStr">
        <is>
          <t>M3</t>
        </is>
      </c>
      <c r="C2457" t="inlineStr">
        <is>
          <t>Cali</t>
        </is>
      </c>
      <c r="D2457" t="inlineStr">
        <is>
          <t>830</t>
        </is>
      </c>
      <c r="E2457" t="inlineStr">
        <is>
          <t>No aplica</t>
        </is>
      </c>
      <c r="F2457" s="23" t="n">
        <v>46270</v>
      </c>
      <c r="G2457" t="inlineStr">
        <is>
          <t>recoleccion</t>
        </is>
      </c>
      <c r="H2457" s="26" t="n">
        <v>129004510</v>
      </c>
      <c r="I2457" t="inlineStr">
        <is>
          <t>bajo</t>
        </is>
      </c>
      <c r="J2457" t="inlineStr">
        <is>
          <t>RN-41: efectivo ocioso sobre el techo</t>
        </is>
      </c>
      <c r="K2457" t="inlineStr">
        <is>
          <t>Recolección por efectivo ocioso: el saldo al cierre ($6.575.627.826) pasa el techo $6.446.623.316 (reserva + 15 días de salidas medias, tope en el cupo $7.149.194.000). Se recogen $129.004.510 y el saldo queda en $6.446.623.316. En sus últimos 180 días la sucursal recibe más de lo que paga (entradas medias $631.600.818/día &gt; salidas medias $391.645.853/día); el neto diario varía $260.320.342 (σ). Costo estimado $90.341 (Anexo E: fijo $17.969 + $6 por cada $10.000 movidos).</t>
        </is>
      </c>
      <c r="L2457" s="26" t="n">
        <v>7149194000</v>
      </c>
      <c r="M2457" s="26" t="n">
        <v>6575627826</v>
      </c>
      <c r="N2457" s="27">
        <f>IF(ISNUMBER(M2457),M2457/L2457,"No aplica")</f>
        <v>0.9197719107916221</v>
      </c>
      <c r="O2457" s="25">
        <f>IF(G2457="provision",M2457+H2457,IF(G2457="recoleccion",M2457-H2457,"No aplica"))</f>
        <v>6446623316</v>
      </c>
      <c r="P2457" s="26" t="n">
        <v>90341</v>
      </c>
    </row>
    <row r="2458">
      <c r="A2458" t="inlineStr">
        <is>
          <t>PRAGMA</t>
        </is>
      </c>
      <c r="B2458" t="inlineStr">
        <is>
          <t>M3</t>
        </is>
      </c>
      <c r="C2458" t="inlineStr">
        <is>
          <t>Cali</t>
        </is>
      </c>
      <c r="D2458" t="inlineStr">
        <is>
          <t>830</t>
        </is>
      </c>
      <c r="E2458" t="inlineStr">
        <is>
          <t>No aplica</t>
        </is>
      </c>
      <c r="F2458" s="23" t="n">
        <v>46271</v>
      </c>
      <c r="G2458" t="inlineStr">
        <is>
          <t>recoleccion</t>
        </is>
      </c>
      <c r="H2458" s="26" t="n">
        <v>51432</v>
      </c>
      <c r="I2458" t="inlineStr">
        <is>
          <t>bajo</t>
        </is>
      </c>
      <c r="J2458" t="inlineStr">
        <is>
          <t>RN-41: efectivo ocioso sobre el techo</t>
        </is>
      </c>
      <c r="K2458" t="inlineStr">
        <is>
          <t>Recolección por efectivo ocioso: el saldo al cierre ($6.446.674.748) pasa el techo $6.446.623.316 (reserva + 15 días de salidas medias, tope en el cupo $7.149.194.000). Se recogen $51.432 y el saldo queda en $6.446.623.316. En sus últimos 180 días la sucursal recibe más de lo que paga (entradas medias $631.600.818/día &gt; salidas medias $391.645.853/día); el neto diario varía $260.320.342 (σ). Costo estimado $17.998 (Anexo E: fijo $17.969 + $6 por cada $10.000 movidos).</t>
        </is>
      </c>
      <c r="L2458" s="26" t="n">
        <v>7149194000</v>
      </c>
      <c r="M2458" s="26" t="n">
        <v>6446674748</v>
      </c>
      <c r="N2458" s="27">
        <f>IF(ISNUMBER(M2458),M2458/L2458,"No aplica")</f>
        <v>0.901734481956987</v>
      </c>
      <c r="O2458" s="25">
        <f>IF(G2458="provision",M2458+H2458,IF(G2458="recoleccion",M2458-H2458,"No aplica"))</f>
        <v>6446623316</v>
      </c>
      <c r="P2458" s="26" t="n">
        <v>17998</v>
      </c>
    </row>
    <row r="2459">
      <c r="A2459" t="inlineStr">
        <is>
          <t>PRAGMA</t>
        </is>
      </c>
      <c r="B2459" t="inlineStr">
        <is>
          <t>M3</t>
        </is>
      </c>
      <c r="C2459" t="inlineStr">
        <is>
          <t>Cali</t>
        </is>
      </c>
      <c r="D2459" t="inlineStr">
        <is>
          <t>830</t>
        </is>
      </c>
      <c r="E2459" t="inlineStr">
        <is>
          <t>No aplica</t>
        </is>
      </c>
      <c r="F2459" s="23" t="n">
        <v>46272</v>
      </c>
      <c r="G2459" t="inlineStr">
        <is>
          <t>recoleccion</t>
        </is>
      </c>
      <c r="H2459" s="26" t="n">
        <v>19448153</v>
      </c>
      <c r="I2459" t="inlineStr">
        <is>
          <t>bajo</t>
        </is>
      </c>
      <c r="J2459" t="inlineStr">
        <is>
          <t>RN-41: efectivo ocioso sobre el techo</t>
        </is>
      </c>
      <c r="K2459" t="inlineStr">
        <is>
          <t>Recolección por efectivo ocioso: el saldo al cierre ($6.466.071.469) pasa el techo $6.446.623.316 (reserva + 15 días de salidas medias, tope en el cupo $7.149.194.000). Se recogen $19.448.153 y el saldo queda en $6.446.623.316. En sus últimos 180 días la sucursal recibe más de lo que paga (entradas medias $631.600.818/día &gt; salidas medias $391.645.853/día); el neto diario varía $260.320.342 (σ). Costo estimado $28.879 (Anexo E: fijo $17.969 + $6 por cada $10.000 movidos).</t>
        </is>
      </c>
      <c r="L2459" s="26" t="n">
        <v>7149194000</v>
      </c>
      <c r="M2459" s="26" t="n">
        <v>6466071469</v>
      </c>
      <c r="N2459" s="27">
        <f>IF(ISNUMBER(M2459),M2459/L2459,"No aplica")</f>
        <v>0.9044476159130665</v>
      </c>
      <c r="O2459" s="25">
        <f>IF(G2459="provision",M2459+H2459,IF(G2459="recoleccion",M2459-H2459,"No aplica"))</f>
        <v>6446623316</v>
      </c>
      <c r="P2459" s="26" t="n">
        <v>28879</v>
      </c>
    </row>
    <row r="2460">
      <c r="A2460" t="inlineStr">
        <is>
          <t>PRAGMA</t>
        </is>
      </c>
      <c r="B2460" t="inlineStr">
        <is>
          <t>M3</t>
        </is>
      </c>
      <c r="C2460" t="inlineStr">
        <is>
          <t>Cali</t>
        </is>
      </c>
      <c r="D2460" t="inlineStr">
        <is>
          <t>830</t>
        </is>
      </c>
      <c r="E2460" t="inlineStr">
        <is>
          <t>No aplica</t>
        </is>
      </c>
      <c r="F2460" s="23" t="n">
        <v>46273</v>
      </c>
      <c r="G2460" t="inlineStr">
        <is>
          <t>recoleccion</t>
        </is>
      </c>
      <c r="H2460" s="26" t="n">
        <v>88296142</v>
      </c>
      <c r="I2460" t="inlineStr">
        <is>
          <t>bajo</t>
        </is>
      </c>
      <c r="J2460" t="inlineStr">
        <is>
          <t>RN-41: efectivo ocioso sobre el techo</t>
        </is>
      </c>
      <c r="K2460" t="inlineStr">
        <is>
          <t>Recolección por efectivo ocioso: el saldo al cierre ($6.534.919.458) pasa el techo $6.446.623.316 (reserva + 15 días de salidas medias, tope en el cupo $7.149.194.000). Se recogen $88.296.142 y el saldo queda en $6.446.623.316. En sus últimos 180 días la sucursal recibe más de lo que paga (entradas medias $631.600.818/día &gt; salidas medias $391.645.853/día); el neto diario varía $260.320.342 (σ). Costo estimado $67.503 (Anexo E: fijo $17.969 + $6 por cada $10.000 movidos).</t>
        </is>
      </c>
      <c r="L2460" s="26" t="n">
        <v>7149194000</v>
      </c>
      <c r="M2460" s="26" t="n">
        <v>6534919458</v>
      </c>
      <c r="N2460" s="27">
        <f>IF(ISNUMBER(M2460),M2460/L2460,"No aplica")</f>
        <v>0.9140777908670544</v>
      </c>
      <c r="O2460" s="25">
        <f>IF(G2460="provision",M2460+H2460,IF(G2460="recoleccion",M2460-H2460,"No aplica"))</f>
        <v>6446623316</v>
      </c>
      <c r="P2460" s="26" t="n">
        <v>67503</v>
      </c>
    </row>
    <row r="2461">
      <c r="A2461" t="inlineStr">
        <is>
          <t>PRAGMA</t>
        </is>
      </c>
      <c r="B2461" t="inlineStr">
        <is>
          <t>M3</t>
        </is>
      </c>
      <c r="C2461" t="inlineStr">
        <is>
          <t>Cali</t>
        </is>
      </c>
      <c r="D2461" t="inlineStr">
        <is>
          <t>830</t>
        </is>
      </c>
      <c r="E2461" t="inlineStr">
        <is>
          <t>No aplica</t>
        </is>
      </c>
      <c r="F2461" s="23" t="n">
        <v>46274</v>
      </c>
      <c r="G2461" t="inlineStr">
        <is>
          <t>recoleccion</t>
        </is>
      </c>
      <c r="H2461" s="26" t="n">
        <v>59193012</v>
      </c>
      <c r="I2461" t="inlineStr">
        <is>
          <t>bajo</t>
        </is>
      </c>
      <c r="J2461" t="inlineStr">
        <is>
          <t>RN-41: efectivo ocioso sobre el techo</t>
        </is>
      </c>
      <c r="K2461" t="inlineStr">
        <is>
          <t>Recolección por efectivo ocioso: el saldo al cierre ($6.505.816.328) pasa el techo $6.446.623.316 (reserva + 15 días de salidas medias, tope en el cupo $7.149.194.000). Se recogen $59.193.012 y el saldo queda en $6.446.623.316. En sus últimos 180 días la sucursal recibe más de lo que paga (entradas medias $631.600.818/día &gt; salidas medias $391.645.853/día); el neto diario varía $260.320.342 (σ). Costo estimado $51.176 (Anexo E: fijo $17.969 + $6 por cada $10.000 movidos).</t>
        </is>
      </c>
      <c r="L2461" s="26" t="n">
        <v>7149194000</v>
      </c>
      <c r="M2461" s="26" t="n">
        <v>6505816328</v>
      </c>
      <c r="N2461" s="27">
        <f>IF(ISNUMBER(M2461),M2461/L2461,"No aplica")</f>
        <v>0.910006964141692</v>
      </c>
      <c r="O2461" s="25">
        <f>IF(G2461="provision",M2461+H2461,IF(G2461="recoleccion",M2461-H2461,"No aplica"))</f>
        <v>6446623316</v>
      </c>
      <c r="P2461" s="26" t="n">
        <v>51176</v>
      </c>
    </row>
    <row r="2462">
      <c r="A2462" t="inlineStr">
        <is>
          <t>PRAGMA</t>
        </is>
      </c>
      <c r="B2462" t="inlineStr">
        <is>
          <t>M3</t>
        </is>
      </c>
      <c r="C2462" t="inlineStr">
        <is>
          <t>Cali</t>
        </is>
      </c>
      <c r="D2462" t="inlineStr">
        <is>
          <t>830</t>
        </is>
      </c>
      <c r="E2462" t="inlineStr">
        <is>
          <t>No aplica</t>
        </is>
      </c>
      <c r="F2462" s="23" t="n">
        <v>46275</v>
      </c>
      <c r="G2462" t="inlineStr">
        <is>
          <t>recoleccion</t>
        </is>
      </c>
      <c r="H2462" s="26" t="n">
        <v>57054334</v>
      </c>
      <c r="I2462" t="inlineStr">
        <is>
          <t>bajo</t>
        </is>
      </c>
      <c r="J2462" t="inlineStr">
        <is>
          <t>RN-41: efectivo ocioso sobre el techo</t>
        </is>
      </c>
      <c r="K2462" t="inlineStr">
        <is>
          <t>Recolección por efectivo ocioso: el saldo al cierre ($6.503.677.650) pasa el techo $6.446.623.316 (reserva + 15 días de salidas medias, tope en el cupo $7.149.194.000). Se recogen $57.054.334 y el saldo queda en $6.446.623.316. En sus últimos 180 días la sucursal recibe más de lo que paga (entradas medias $631.600.818/día &gt; salidas medias $391.645.853/día); el neto diario varía $260.320.342 (σ). Costo estimado $49.976 (Anexo E: fijo $17.969 + $6 por cada $10.000 movidos).</t>
        </is>
      </c>
      <c r="L2462" s="26" t="n">
        <v>7149194000</v>
      </c>
      <c r="M2462" s="26" t="n">
        <v>6503677650</v>
      </c>
      <c r="N2462" s="27">
        <f>IF(ISNUMBER(M2462),M2462/L2462,"No aplica")</f>
        <v>0.909707814615186</v>
      </c>
      <c r="O2462" s="25">
        <f>IF(G2462="provision",M2462+H2462,IF(G2462="recoleccion",M2462-H2462,"No aplica"))</f>
        <v>6446623316</v>
      </c>
      <c r="P2462" s="26" t="n">
        <v>49976</v>
      </c>
    </row>
    <row r="2463">
      <c r="A2463" t="inlineStr">
        <is>
          <t>PRAGMA</t>
        </is>
      </c>
      <c r="B2463" t="inlineStr">
        <is>
          <t>M3</t>
        </is>
      </c>
      <c r="C2463" t="inlineStr">
        <is>
          <t>Cali</t>
        </is>
      </c>
      <c r="D2463" t="inlineStr">
        <is>
          <t>830</t>
        </is>
      </c>
      <c r="E2463" t="inlineStr">
        <is>
          <t>No aplica</t>
        </is>
      </c>
      <c r="F2463" s="23" t="n">
        <v>46276</v>
      </c>
      <c r="G2463" t="inlineStr">
        <is>
          <t>recoleccion</t>
        </is>
      </c>
      <c r="H2463" s="26" t="n">
        <v>169618904</v>
      </c>
      <c r="I2463" t="inlineStr">
        <is>
          <t>bajo</t>
        </is>
      </c>
      <c r="J2463" t="inlineStr">
        <is>
          <t>RN-41: efectivo ocioso sobre el techo</t>
        </is>
      </c>
      <c r="K2463" t="inlineStr">
        <is>
          <t>Recolección por efectivo ocioso: el saldo al cierre ($6.616.242.220) pasa el techo $6.446.623.316 (reserva + 15 días de salidas medias, tope en el cupo $7.149.194.000). Se recogen $169.618.904 y el saldo queda en $6.446.623.316. En sus últimos 180 días la sucursal recibe más de lo que paga (entradas medias $631.600.818/día &gt; salidas medias $391.645.853/día); el neto diario varía $260.320.342 (σ). Costo estimado $113.125 (Anexo E: fijo $17.969 + $6 por cada $10.000 movidos).</t>
        </is>
      </c>
      <c r="L2463" s="26" t="n">
        <v>7149194000</v>
      </c>
      <c r="M2463" s="26" t="n">
        <v>6616242220</v>
      </c>
      <c r="N2463" s="27">
        <f>IF(ISNUMBER(M2463),M2463/L2463,"No aplica")</f>
        <v>0.9254528860176406</v>
      </c>
      <c r="O2463" s="25">
        <f>IF(G2463="provision",M2463+H2463,IF(G2463="recoleccion",M2463-H2463,"No aplica"))</f>
        <v>6446623316</v>
      </c>
      <c r="P2463" s="26" t="n">
        <v>113125</v>
      </c>
    </row>
    <row r="2464">
      <c r="A2464" t="inlineStr">
        <is>
          <t>PRAGMA</t>
        </is>
      </c>
      <c r="B2464" t="inlineStr">
        <is>
          <t>M3</t>
        </is>
      </c>
      <c r="C2464" t="inlineStr">
        <is>
          <t>Cali</t>
        </is>
      </c>
      <c r="D2464" t="inlineStr">
        <is>
          <t>830</t>
        </is>
      </c>
      <c r="E2464" t="inlineStr">
        <is>
          <t>No aplica</t>
        </is>
      </c>
      <c r="F2464" s="23" t="n">
        <v>46277</v>
      </c>
      <c r="G2464" t="inlineStr">
        <is>
          <t>recoleccion</t>
        </is>
      </c>
      <c r="H2464" s="26" t="n">
        <v>120944802</v>
      </c>
      <c r="I2464" t="inlineStr">
        <is>
          <t>bajo</t>
        </is>
      </c>
      <c r="J2464" t="inlineStr">
        <is>
          <t>RN-41: efectivo ocioso sobre el techo</t>
        </is>
      </c>
      <c r="K2464" t="inlineStr">
        <is>
          <t>Recolección por efectivo ocioso: el saldo al cierre ($6.567.568.118) pasa el techo $6.446.623.316 (reserva + 15 días de salidas medias, tope en el cupo $7.149.194.000). Se recogen $120.944.802 y el saldo queda en $6.446.623.316. En sus últimos 180 días la sucursal recibe más de lo que paga (entradas medias $631.600.818/día &gt; salidas medias $391.645.853/día); el neto diario varía $260.320.342 (σ). Costo estimado $85.819 (Anexo E: fijo $17.969 + $6 por cada $10.000 movidos).</t>
        </is>
      </c>
      <c r="L2464" s="26" t="n">
        <v>7149194000</v>
      </c>
      <c r="M2464" s="26" t="n">
        <v>6567568118</v>
      </c>
      <c r="N2464" s="27">
        <f>IF(ISNUMBER(M2464),M2464/L2464,"No aplica")</f>
        <v>0.9186445518194079</v>
      </c>
      <c r="O2464" s="25">
        <f>IF(G2464="provision",M2464+H2464,IF(G2464="recoleccion",M2464-H2464,"No aplica"))</f>
        <v>6446623316</v>
      </c>
      <c r="P2464" s="26" t="n">
        <v>85819</v>
      </c>
    </row>
    <row r="2465">
      <c r="A2465" t="inlineStr">
        <is>
          <t>PRAGMA</t>
        </is>
      </c>
      <c r="B2465" t="inlineStr">
        <is>
          <t>M3</t>
        </is>
      </c>
      <c r="C2465" t="inlineStr">
        <is>
          <t>Cali</t>
        </is>
      </c>
      <c r="D2465" t="inlineStr">
        <is>
          <t>830</t>
        </is>
      </c>
      <c r="E2465" t="inlineStr">
        <is>
          <t>No aplica</t>
        </is>
      </c>
      <c r="F2465" s="23" t="n">
        <v>46278</v>
      </c>
      <c r="G2465" t="inlineStr">
        <is>
          <t>recoleccion</t>
        </is>
      </c>
      <c r="H2465" s="26" t="n">
        <v>65760</v>
      </c>
      <c r="I2465" t="inlineStr">
        <is>
          <t>bajo</t>
        </is>
      </c>
      <c r="J2465" t="inlineStr">
        <is>
          <t>RN-41: efectivo ocioso sobre el techo</t>
        </is>
      </c>
      <c r="K2465" t="inlineStr">
        <is>
          <t>Recolección por efectivo ocioso: el saldo al cierre ($6.446.689.076) pasa el techo $6.446.623.316 (reserva + 15 días de salidas medias, tope en el cupo $7.149.194.000). Se recogen $65.760 y el saldo queda en $6.446.623.316. En sus últimos 180 días la sucursal recibe más de lo que paga (entradas medias $631.600.818/día &gt; salidas medias $391.645.853/día); el neto diario varía $260.320.342 (σ). Costo estimado $18.006 (Anexo E: fijo $17.969 + $6 por cada $10.000 movidos).</t>
        </is>
      </c>
      <c r="L2465" s="26" t="n">
        <v>7149194000</v>
      </c>
      <c r="M2465" s="26" t="n">
        <v>6446689076</v>
      </c>
      <c r="N2465" s="27">
        <f>IF(ISNUMBER(M2465),M2465/L2465,"No aplica")</f>
        <v>0.9017364860989924</v>
      </c>
      <c r="O2465" s="25">
        <f>IF(G2465="provision",M2465+H2465,IF(G2465="recoleccion",M2465-H2465,"No aplica"))</f>
        <v>6446623316</v>
      </c>
      <c r="P2465" s="26" t="n">
        <v>18006</v>
      </c>
    </row>
    <row r="2466">
      <c r="A2466" t="inlineStr">
        <is>
          <t>PRAGMA</t>
        </is>
      </c>
      <c r="B2466" t="inlineStr">
        <is>
          <t>M3</t>
        </is>
      </c>
      <c r="C2466" t="inlineStr">
        <is>
          <t>Cali</t>
        </is>
      </c>
      <c r="D2466" t="inlineStr">
        <is>
          <t>830</t>
        </is>
      </c>
      <c r="E2466" t="inlineStr">
        <is>
          <t>No aplica</t>
        </is>
      </c>
      <c r="F2466" s="23" t="n">
        <v>46279</v>
      </c>
      <c r="G2466" t="inlineStr">
        <is>
          <t>recoleccion</t>
        </is>
      </c>
      <c r="H2466" s="26" t="n">
        <v>9823057</v>
      </c>
      <c r="I2466" t="inlineStr">
        <is>
          <t>bajo</t>
        </is>
      </c>
      <c r="J2466" t="inlineStr">
        <is>
          <t>RN-41: efectivo ocioso sobre el techo</t>
        </is>
      </c>
      <c r="K2466" t="inlineStr">
        <is>
          <t>Recolección por efectivo ocioso: el saldo al cierre ($6.456.446.373) pasa el techo $6.446.623.316 (reserva + 15 días de salidas medias, tope en el cupo $7.149.194.000). Se recogen $9.823.057 y el saldo queda en $6.446.623.316. En sus últimos 180 días la sucursal recibe más de lo que paga (entradas medias $631.600.818/día &gt; salidas medias $391.645.853/día); el neto diario varía $260.320.342 (σ). Costo estimado $23.480 (Anexo E: fijo $17.969 + $6 por cada $10.000 movidos).</t>
        </is>
      </c>
      <c r="L2466" s="26" t="n">
        <v>7149194000</v>
      </c>
      <c r="M2466" s="26" t="n">
        <v>6456446373</v>
      </c>
      <c r="N2466" s="27">
        <f>IF(ISNUMBER(M2466),M2466/L2466,"No aplica")</f>
        <v>0.9031012968734657</v>
      </c>
      <c r="O2466" s="25">
        <f>IF(G2466="provision",M2466+H2466,IF(G2466="recoleccion",M2466-H2466,"No aplica"))</f>
        <v>6446623316</v>
      </c>
      <c r="P2466" s="26" t="n">
        <v>23480</v>
      </c>
    </row>
    <row r="2467">
      <c r="A2467" t="inlineStr">
        <is>
          <t>PRAGMA</t>
        </is>
      </c>
      <c r="B2467" t="inlineStr">
        <is>
          <t>M3</t>
        </is>
      </c>
      <c r="C2467" t="inlineStr">
        <is>
          <t>Cali</t>
        </is>
      </c>
      <c r="D2467" t="inlineStr">
        <is>
          <t>830</t>
        </is>
      </c>
      <c r="E2467" t="inlineStr">
        <is>
          <t>No aplica</t>
        </is>
      </c>
      <c r="F2467" s="23" t="n">
        <v>46280</v>
      </c>
      <c r="G2467" t="inlineStr">
        <is>
          <t>recoleccion</t>
        </is>
      </c>
      <c r="H2467" s="26" t="n">
        <v>70829777</v>
      </c>
      <c r="I2467" t="inlineStr">
        <is>
          <t>bajo</t>
        </is>
      </c>
      <c r="J2467" t="inlineStr">
        <is>
          <t>RN-41: efectivo ocioso sobre el techo</t>
        </is>
      </c>
      <c r="K2467" t="inlineStr">
        <is>
          <t>Recolección por efectivo ocioso: el saldo al cierre ($6.517.453.093) pasa el techo $6.446.623.316 (reserva + 15 días de salidas medias, tope en el cupo $7.149.194.000). Se recogen $70.829.777 y el saldo queda en $6.446.623.316. En sus últimos 180 días la sucursal recibe más de lo que paga (entradas medias $631.600.818/día &gt; salidas medias $391.645.853/día); el neto diario varía $260.320.342 (σ). Costo estimado $57.705 (Anexo E: fijo $17.969 + $6 por cada $10.000 movidos).</t>
        </is>
      </c>
      <c r="L2467" s="26" t="n">
        <v>7149194000</v>
      </c>
      <c r="M2467" s="26" t="n">
        <v>6517453093</v>
      </c>
      <c r="N2467" s="27">
        <f>IF(ISNUMBER(M2467),M2467/L2467,"No aplica")</f>
        <v>0.9116346672086392</v>
      </c>
      <c r="O2467" s="25">
        <f>IF(G2467="provision",M2467+H2467,IF(G2467="recoleccion",M2467-H2467,"No aplica"))</f>
        <v>6446623316</v>
      </c>
      <c r="P2467" s="26" t="n">
        <v>57705</v>
      </c>
    </row>
    <row r="2468">
      <c r="A2468" t="inlineStr">
        <is>
          <t>PRAGMA</t>
        </is>
      </c>
      <c r="B2468" t="inlineStr">
        <is>
          <t>M3</t>
        </is>
      </c>
      <c r="C2468" t="inlineStr">
        <is>
          <t>Cali</t>
        </is>
      </c>
      <c r="D2468" t="inlineStr">
        <is>
          <t>834</t>
        </is>
      </c>
      <c r="E2468" t="inlineStr">
        <is>
          <t>No aplica</t>
        </is>
      </c>
      <c r="F2468" s="23" t="n">
        <v>46266</v>
      </c>
      <c r="G2468" t="inlineStr">
        <is>
          <t>sin_accion</t>
        </is>
      </c>
      <c r="H2468" s="26" t="n">
        <v>0</v>
      </c>
      <c r="I2468" t="inlineStr">
        <is>
          <t>bajo</t>
        </is>
      </c>
      <c r="J2468" t="inlineStr">
        <is>
          <t>RN-02: una fila sin_accion</t>
        </is>
      </c>
      <c r="K2468" t="inlineStr">
        <is>
          <t>Sin accion en el horizonte: con el pronostico, el saldo se mantiene entre el umbral de agotamiento y el cupo sin necesidad de provision ni recoleccion.</t>
        </is>
      </c>
      <c r="L2468" s="26" t="n">
        <v>9806057940</v>
      </c>
      <c r="M2468" s="26" t="inlineStr">
        <is>
          <t>No aplica</t>
        </is>
      </c>
      <c r="N2468" s="27" t="str">
        <f>IF(ISNUMBER(M2468),M2468/L2468,"No aplica")</f>
        <v>No aplica</v>
      </c>
      <c r="O2468" s="25" t="str">
        <f>IF(G2468="provision",M2468+H2468,IF(G2468="recoleccion",M2468-H2468,"No aplica"))</f>
        <v>No aplica</v>
      </c>
      <c r="P2468" s="26" t="inlineStr">
        <is>
          <t>No aplica</t>
        </is>
      </c>
    </row>
    <row r="2469">
      <c r="A2469" t="inlineStr">
        <is>
          <t>PRAGMA</t>
        </is>
      </c>
      <c r="B2469" t="inlineStr">
        <is>
          <t>M3</t>
        </is>
      </c>
      <c r="C2469" t="inlineStr">
        <is>
          <t>Cali</t>
        </is>
      </c>
      <c r="D2469" t="inlineStr">
        <is>
          <t>841</t>
        </is>
      </c>
      <c r="E2469" t="inlineStr">
        <is>
          <t>No aplica</t>
        </is>
      </c>
      <c r="F2469" s="23" t="n">
        <v>46266</v>
      </c>
      <c r="G2469" t="inlineStr">
        <is>
          <t>recoleccion</t>
        </is>
      </c>
      <c r="H2469" s="26" t="n">
        <v>452352724</v>
      </c>
      <c r="I2469" t="inlineStr">
        <is>
          <t>bajo</t>
        </is>
      </c>
      <c r="J2469" t="inlineStr">
        <is>
          <t>RN-41: riesgo de exceder el cupo</t>
        </is>
      </c>
      <c r="K2469" t="inlineStr">
        <is>
          <t>Recolección por riesgo de exceder el cupo: el saldo al cierre ($7.300.352.724) pasa el cupo $6.848.000.000. Se recogen $452.352.724 y el saldo queda en $6.848.000.000. En sus últimos 180 días la sucursal recibe más de lo que paga (entradas medias $863.263.123/día &gt; salidas medias $608.143.138/día); el neto diario varía $334.956.348 (σ). Costo estimado $302.019 (Anexo E: fijo $19.299 + $6 por cada $10.000 movidos).</t>
        </is>
      </c>
      <c r="L2469" s="26" t="n">
        <v>6848000000</v>
      </c>
      <c r="M2469" s="26" t="n">
        <v>7300352724</v>
      </c>
      <c r="N2469" s="27">
        <f>IF(ISNUMBER(M2469),M2469/L2469,"No aplica")</f>
        <v>1.0660561804906543</v>
      </c>
      <c r="O2469" s="25">
        <f>IF(G2469="provision",M2469+H2469,IF(G2469="recoleccion",M2469-H2469,"No aplica"))</f>
        <v>6848000000</v>
      </c>
      <c r="P2469" s="26" t="n">
        <v>302019</v>
      </c>
    </row>
    <row r="2470">
      <c r="A2470" t="inlineStr">
        <is>
          <t>PRAGMA</t>
        </is>
      </c>
      <c r="B2470" t="inlineStr">
        <is>
          <t>M3</t>
        </is>
      </c>
      <c r="C2470" t="inlineStr">
        <is>
          <t>Cali</t>
        </is>
      </c>
      <c r="D2470" t="inlineStr">
        <is>
          <t>841</t>
        </is>
      </c>
      <c r="E2470" t="inlineStr">
        <is>
          <t>No aplica</t>
        </is>
      </c>
      <c r="F2470" s="23" t="n">
        <v>46267</v>
      </c>
      <c r="G2470" t="inlineStr">
        <is>
          <t>recoleccion</t>
        </is>
      </c>
      <c r="H2470" s="26" t="n">
        <v>446554868</v>
      </c>
      <c r="I2470" t="inlineStr">
        <is>
          <t>bajo</t>
        </is>
      </c>
      <c r="J2470" t="inlineStr">
        <is>
          <t>RN-41: riesgo de exceder el cupo</t>
        </is>
      </c>
      <c r="K2470" t="inlineStr">
        <is>
          <t>Recolección por riesgo de exceder el cupo: el saldo al cierre ($7.294.554.868) pasa el cupo $6.848.000.000. Se recogen $446.554.868 y el saldo queda en $6.848.000.000. En sus últimos 180 días la sucursal recibe más de lo que paga (entradas medias $863.263.123/día &gt; salidas medias $608.143.138/día); el neto diario varía $334.956.348 (σ). Costo estimado $298.396 (Anexo E: fijo $19.299 + $6 por cada $10.000 movidos).</t>
        </is>
      </c>
      <c r="L2470" s="26" t="n">
        <v>6848000000</v>
      </c>
      <c r="M2470" s="26" t="n">
        <v>7294554868</v>
      </c>
      <c r="N2470" s="27">
        <f>IF(ISNUMBER(M2470),M2470/L2470,"No aplica")</f>
        <v>1.065209530957944</v>
      </c>
      <c r="O2470" s="25">
        <f>IF(G2470="provision",M2470+H2470,IF(G2470="recoleccion",M2470-H2470,"No aplica"))</f>
        <v>6848000000</v>
      </c>
      <c r="P2470" s="26" t="n">
        <v>298396</v>
      </c>
    </row>
    <row r="2471">
      <c r="A2471" t="inlineStr">
        <is>
          <t>PRAGMA</t>
        </is>
      </c>
      <c r="B2471" t="inlineStr">
        <is>
          <t>M3</t>
        </is>
      </c>
      <c r="C2471" t="inlineStr">
        <is>
          <t>Cali</t>
        </is>
      </c>
      <c r="D2471" t="inlineStr">
        <is>
          <t>841</t>
        </is>
      </c>
      <c r="E2471" t="inlineStr">
        <is>
          <t>No aplica</t>
        </is>
      </c>
      <c r="F2471" s="23" t="n">
        <v>46268</v>
      </c>
      <c r="G2471" t="inlineStr">
        <is>
          <t>recoleccion</t>
        </is>
      </c>
      <c r="H2471" s="26" t="n">
        <v>523747925</v>
      </c>
      <c r="I2471" t="inlineStr">
        <is>
          <t>bajo</t>
        </is>
      </c>
      <c r="J2471" t="inlineStr">
        <is>
          <t>RN-41: riesgo de exceder el cupo</t>
        </is>
      </c>
      <c r="K2471" t="inlineStr">
        <is>
          <t>Recolección por riesgo de exceder el cupo: el saldo al cierre ($7.371.747.925) pasa el cupo $6.848.000.000. Se recogen $523.747.925 y el saldo queda en $6.848.000.000. En sus últimos 180 días la sucursal recibe más de lo que paga (entradas medias $863.263.123/día &gt; salidas medias $608.143.138/día); el neto diario varía $334.956.348 (σ). Costo estimado $346.641 (Anexo E: fijo $19.299 + $6 por cada $10.000 movidos).</t>
        </is>
      </c>
      <c r="L2471" s="26" t="n">
        <v>6848000000</v>
      </c>
      <c r="M2471" s="26" t="n">
        <v>7371747925</v>
      </c>
      <c r="N2471" s="27">
        <f>IF(ISNUMBER(M2471),M2471/L2471,"No aplica")</f>
        <v>1.0764818815712618</v>
      </c>
      <c r="O2471" s="25">
        <f>IF(G2471="provision",M2471+H2471,IF(G2471="recoleccion",M2471-H2471,"No aplica"))</f>
        <v>6848000000</v>
      </c>
      <c r="P2471" s="26" t="n">
        <v>346641</v>
      </c>
    </row>
    <row r="2472">
      <c r="A2472" t="inlineStr">
        <is>
          <t>PRAGMA</t>
        </is>
      </c>
      <c r="B2472" t="inlineStr">
        <is>
          <t>M3</t>
        </is>
      </c>
      <c r="C2472" t="inlineStr">
        <is>
          <t>Cali</t>
        </is>
      </c>
      <c r="D2472" t="inlineStr">
        <is>
          <t>841</t>
        </is>
      </c>
      <c r="E2472" t="inlineStr">
        <is>
          <t>No aplica</t>
        </is>
      </c>
      <c r="F2472" s="23" t="n">
        <v>46269</v>
      </c>
      <c r="G2472" t="inlineStr">
        <is>
          <t>recoleccion</t>
        </is>
      </c>
      <c r="H2472" s="26" t="n">
        <v>445812412</v>
      </c>
      <c r="I2472" t="inlineStr">
        <is>
          <t>bajo</t>
        </is>
      </c>
      <c r="J2472" t="inlineStr">
        <is>
          <t>RN-41: riesgo de exceder el cupo</t>
        </is>
      </c>
      <c r="K2472" t="inlineStr">
        <is>
          <t>Recolección por riesgo de exceder el cupo: el saldo al cierre ($7.293.812.412) pasa el cupo $6.848.000.000. Se recogen $445.812.412 y el saldo queda en $6.848.000.000. En sus últimos 180 días la sucursal recibe más de lo que paga (entradas medias $863.263.123/día &gt; salidas medias $608.143.138/día); el neto diario varía $334.956.348 (σ). Costo estimado $297.932 (Anexo E: fijo $19.299 + $6 por cada $10.000 movidos).</t>
        </is>
      </c>
      <c r="L2472" s="26" t="n">
        <v>6848000000</v>
      </c>
      <c r="M2472" s="26" t="n">
        <v>7293812412</v>
      </c>
      <c r="N2472" s="27">
        <f>IF(ISNUMBER(M2472),M2472/L2472,"No aplica")</f>
        <v>1.0651011115654205</v>
      </c>
      <c r="O2472" s="25">
        <f>IF(G2472="provision",M2472+H2472,IF(G2472="recoleccion",M2472-H2472,"No aplica"))</f>
        <v>6848000000</v>
      </c>
      <c r="P2472" s="26" t="n">
        <v>297932</v>
      </c>
    </row>
    <row r="2473">
      <c r="A2473" t="inlineStr">
        <is>
          <t>PRAGMA</t>
        </is>
      </c>
      <c r="B2473" t="inlineStr">
        <is>
          <t>M3</t>
        </is>
      </c>
      <c r="C2473" t="inlineStr">
        <is>
          <t>Cali</t>
        </is>
      </c>
      <c r="D2473" t="inlineStr">
        <is>
          <t>841</t>
        </is>
      </c>
      <c r="E2473" t="inlineStr">
        <is>
          <t>No aplica</t>
        </is>
      </c>
      <c r="F2473" s="23" t="n">
        <v>46270</v>
      </c>
      <c r="G2473" t="inlineStr">
        <is>
          <t>recoleccion</t>
        </is>
      </c>
      <c r="H2473" s="26" t="n">
        <v>96058910</v>
      </c>
      <c r="I2473" t="inlineStr">
        <is>
          <t>bajo</t>
        </is>
      </c>
      <c r="J2473" t="inlineStr">
        <is>
          <t>RN-41: riesgo de exceder el cupo</t>
        </is>
      </c>
      <c r="K2473" t="inlineStr">
        <is>
          <t>Recolección por riesgo de exceder el cupo: el saldo al cierre ($6.944.058.910) pasa el cupo $6.848.000.000. Se recogen $96.058.910 y el saldo queda en $6.848.000.000. En sus últimos 180 días la sucursal recibe más de lo que paga (entradas medias $863.263.123/día &gt; salidas medias $608.143.138/día); el neto diario varía $334.956.348 (σ). Costo estimado $79.336 (Anexo E: fijo $19.299 + $6 por cada $10.000 movidos).</t>
        </is>
      </c>
      <c r="L2473" s="26" t="n">
        <v>6848000000</v>
      </c>
      <c r="M2473" s="26" t="n">
        <v>6944058910</v>
      </c>
      <c r="N2473" s="27">
        <f>IF(ISNUMBER(M2473),M2473/L2473,"No aplica")</f>
        <v>1.0140272941004673</v>
      </c>
      <c r="O2473" s="25">
        <f>IF(G2473="provision",M2473+H2473,IF(G2473="recoleccion",M2473-H2473,"No aplica"))</f>
        <v>6848000000</v>
      </c>
      <c r="P2473" s="26" t="n">
        <v>79336</v>
      </c>
    </row>
    <row r="2474">
      <c r="A2474" t="inlineStr">
        <is>
          <t>PRAGMA</t>
        </is>
      </c>
      <c r="B2474" t="inlineStr">
        <is>
          <t>M3</t>
        </is>
      </c>
      <c r="C2474" t="inlineStr">
        <is>
          <t>Cali</t>
        </is>
      </c>
      <c r="D2474" t="inlineStr">
        <is>
          <t>841</t>
        </is>
      </c>
      <c r="E2474" t="inlineStr">
        <is>
          <t>No aplica</t>
        </is>
      </c>
      <c r="F2474" s="23" t="n">
        <v>46271</v>
      </c>
      <c r="G2474" t="inlineStr">
        <is>
          <t>recoleccion</t>
        </is>
      </c>
      <c r="H2474" s="26" t="n">
        <v>1320864</v>
      </c>
      <c r="I2474" t="inlineStr">
        <is>
          <t>bajo</t>
        </is>
      </c>
      <c r="J2474" t="inlineStr">
        <is>
          <t>RN-41: riesgo de exceder el cupo</t>
        </is>
      </c>
      <c r="K2474" t="inlineStr">
        <is>
          <t>Recolección por riesgo de exceder el cupo: el saldo al cierre ($6.849.320.864) pasa el cupo $6.848.000.000. Se recogen $1.320.864 y el saldo queda en $6.848.000.000. En sus últimos 180 días la sucursal recibe más de lo que paga (entradas medias $863.263.123/día &gt; salidas medias $608.143.138/día); el neto diario varía $334.956.348 (σ). Costo estimado $20.125 (Anexo E: fijo $19.299 + $6 por cada $10.000 movidos).</t>
        </is>
      </c>
      <c r="L2474" s="26" t="n">
        <v>6848000000</v>
      </c>
      <c r="M2474" s="26" t="n">
        <v>6849320864</v>
      </c>
      <c r="N2474" s="27">
        <f>IF(ISNUMBER(M2474),M2474/L2474,"No aplica")</f>
        <v>1.0001928831775702</v>
      </c>
      <c r="O2474" s="25">
        <f>IF(G2474="provision",M2474+H2474,IF(G2474="recoleccion",M2474-H2474,"No aplica"))</f>
        <v>6848000000</v>
      </c>
      <c r="P2474" s="26" t="n">
        <v>20125</v>
      </c>
    </row>
    <row r="2475">
      <c r="A2475" t="inlineStr">
        <is>
          <t>PRAGMA</t>
        </is>
      </c>
      <c r="B2475" t="inlineStr">
        <is>
          <t>M3</t>
        </is>
      </c>
      <c r="C2475" t="inlineStr">
        <is>
          <t>Cali</t>
        </is>
      </c>
      <c r="D2475" t="inlineStr">
        <is>
          <t>841</t>
        </is>
      </c>
      <c r="E2475" t="inlineStr">
        <is>
          <t>No aplica</t>
        </is>
      </c>
      <c r="F2475" s="23" t="n">
        <v>46272</v>
      </c>
      <c r="G2475" t="inlineStr">
        <is>
          <t>recoleccion</t>
        </is>
      </c>
      <c r="H2475" s="26" t="n">
        <v>565640482</v>
      </c>
      <c r="I2475" t="inlineStr">
        <is>
          <t>bajo</t>
        </is>
      </c>
      <c r="J2475" t="inlineStr">
        <is>
          <t>RN-41: riesgo de exceder el cupo</t>
        </is>
      </c>
      <c r="K2475" t="inlineStr">
        <is>
          <t>Recolección por riesgo de exceder el cupo: el saldo al cierre ($7.413.640.482) pasa el cupo $6.848.000.000. Se recogen $565.640.482 y el saldo queda en $6.848.000.000. En sus últimos 180 días la sucursal recibe más de lo que paga (entradas medias $863.263.123/día &gt; salidas medias $608.143.138/día); el neto diario varía $334.956.348 (σ). Costo estimado $372.824 (Anexo E: fijo $19.299 + $6 por cada $10.000 movidos).</t>
        </is>
      </c>
      <c r="L2475" s="26" t="n">
        <v>6848000000</v>
      </c>
      <c r="M2475" s="26" t="n">
        <v>7413640482</v>
      </c>
      <c r="N2475" s="27">
        <f>IF(ISNUMBER(M2475),M2475/L2475,"No aplica")</f>
        <v>1.0825993694509346</v>
      </c>
      <c r="O2475" s="25">
        <f>IF(G2475="provision",M2475+H2475,IF(G2475="recoleccion",M2475-H2475,"No aplica"))</f>
        <v>6848000000</v>
      </c>
      <c r="P2475" s="26" t="n">
        <v>372824</v>
      </c>
    </row>
    <row r="2476">
      <c r="A2476" t="inlineStr">
        <is>
          <t>PRAGMA</t>
        </is>
      </c>
      <c r="B2476" t="inlineStr">
        <is>
          <t>M3</t>
        </is>
      </c>
      <c r="C2476" t="inlineStr">
        <is>
          <t>Cali</t>
        </is>
      </c>
      <c r="D2476" t="inlineStr">
        <is>
          <t>841</t>
        </is>
      </c>
      <c r="E2476" t="inlineStr">
        <is>
          <t>No aplica</t>
        </is>
      </c>
      <c r="F2476" s="23" t="n">
        <v>46273</v>
      </c>
      <c r="G2476" t="inlineStr">
        <is>
          <t>recoleccion</t>
        </is>
      </c>
      <c r="H2476" s="26" t="n">
        <v>594355860</v>
      </c>
      <c r="I2476" t="inlineStr">
        <is>
          <t>bajo</t>
        </is>
      </c>
      <c r="J2476" t="inlineStr">
        <is>
          <t>RN-41: riesgo de exceder el cupo</t>
        </is>
      </c>
      <c r="K2476" t="inlineStr">
        <is>
          <t>Recolección por riesgo de exceder el cupo: el saldo al cierre ($7.442.355.860) pasa el cupo $6.848.000.000. Se recogen $594.355.860 y el saldo queda en $6.848.000.000. En sus últimos 180 días la sucursal recibe más de lo que paga (entradas medias $863.263.123/día &gt; salidas medias $608.143.138/día); el neto diario varía $334.956.348 (σ). Costo estimado $390.771 (Anexo E: fijo $19.299 + $6 por cada $10.000 movidos).</t>
        </is>
      </c>
      <c r="L2476" s="26" t="n">
        <v>6848000000</v>
      </c>
      <c r="M2476" s="26" t="n">
        <v>7442355860</v>
      </c>
      <c r="N2476" s="27">
        <f>IF(ISNUMBER(M2476),M2476/L2476,"No aplica")</f>
        <v>1.0867926197429907</v>
      </c>
      <c r="O2476" s="25">
        <f>IF(G2476="provision",M2476+H2476,IF(G2476="recoleccion",M2476-H2476,"No aplica"))</f>
        <v>6848000000</v>
      </c>
      <c r="P2476" s="26" t="n">
        <v>390771</v>
      </c>
    </row>
    <row r="2477">
      <c r="A2477" t="inlineStr">
        <is>
          <t>PRAGMA</t>
        </is>
      </c>
      <c r="B2477" t="inlineStr">
        <is>
          <t>M3</t>
        </is>
      </c>
      <c r="C2477" t="inlineStr">
        <is>
          <t>Cali</t>
        </is>
      </c>
      <c r="D2477" t="inlineStr">
        <is>
          <t>841</t>
        </is>
      </c>
      <c r="E2477" t="inlineStr">
        <is>
          <t>No aplica</t>
        </is>
      </c>
      <c r="F2477" s="23" t="n">
        <v>46274</v>
      </c>
      <c r="G2477" t="inlineStr">
        <is>
          <t>recoleccion</t>
        </is>
      </c>
      <c r="H2477" s="26" t="n">
        <v>596686890</v>
      </c>
      <c r="I2477" t="inlineStr">
        <is>
          <t>bajo</t>
        </is>
      </c>
      <c r="J2477" t="inlineStr">
        <is>
          <t>RN-41: riesgo de exceder el cupo</t>
        </is>
      </c>
      <c r="K2477" t="inlineStr">
        <is>
          <t>Recolección por riesgo de exceder el cupo: el saldo al cierre ($7.444.686.890) pasa el cupo $6.848.000.000. Se recogen $596.686.890 y el saldo queda en $6.848.000.000. En sus últimos 180 días la sucursal recibe más de lo que paga (entradas medias $863.263.123/día &gt; salidas medias $608.143.138/día); el neto diario varía $334.956.348 (σ). Costo estimado $392.228 (Anexo E: fijo $19.299 + $6 por cada $10.000 movidos).</t>
        </is>
      </c>
      <c r="L2477" s="26" t="n">
        <v>6848000000</v>
      </c>
      <c r="M2477" s="26" t="n">
        <v>7444686890</v>
      </c>
      <c r="N2477" s="27">
        <f>IF(ISNUMBER(M2477),M2477/L2477,"No aplica")</f>
        <v>1.087133015478972</v>
      </c>
      <c r="O2477" s="25">
        <f>IF(G2477="provision",M2477+H2477,IF(G2477="recoleccion",M2477-H2477,"No aplica"))</f>
        <v>6848000000</v>
      </c>
      <c r="P2477" s="26" t="n">
        <v>392228</v>
      </c>
    </row>
    <row r="2478">
      <c r="A2478" t="inlineStr">
        <is>
          <t>PRAGMA</t>
        </is>
      </c>
      <c r="B2478" t="inlineStr">
        <is>
          <t>M3</t>
        </is>
      </c>
      <c r="C2478" t="inlineStr">
        <is>
          <t>Cali</t>
        </is>
      </c>
      <c r="D2478" t="inlineStr">
        <is>
          <t>841</t>
        </is>
      </c>
      <c r="E2478" t="inlineStr">
        <is>
          <t>No aplica</t>
        </is>
      </c>
      <c r="F2478" s="23" t="n">
        <v>46275</v>
      </c>
      <c r="G2478" t="inlineStr">
        <is>
          <t>recoleccion</t>
        </is>
      </c>
      <c r="H2478" s="26" t="n">
        <v>321803701</v>
      </c>
      <c r="I2478" t="inlineStr">
        <is>
          <t>bajo</t>
        </is>
      </c>
      <c r="J2478" t="inlineStr">
        <is>
          <t>RN-41: riesgo de exceder el cupo</t>
        </is>
      </c>
      <c r="K2478" t="inlineStr">
        <is>
          <t>Recolección por riesgo de exceder el cupo: el saldo al cierre ($7.169.803.701) pasa el cupo $6.848.000.000. Se recogen $321.803.701 y el saldo queda en $6.848.000.000. En sus últimos 180 días la sucursal recibe más de lo que paga (entradas medias $863.263.123/día &gt; salidas medias $608.143.138/día); el neto diario varía $334.956.348 (σ). Costo estimado $220.426 (Anexo E: fijo $19.299 + $6 por cada $10.000 movidos).</t>
        </is>
      </c>
      <c r="L2478" s="26" t="n">
        <v>6848000000</v>
      </c>
      <c r="M2478" s="26" t="n">
        <v>7169803701</v>
      </c>
      <c r="N2478" s="27">
        <f>IF(ISNUMBER(M2478),M2478/L2478,"No aplica")</f>
        <v>1.046992362879673</v>
      </c>
      <c r="O2478" s="25">
        <f>IF(G2478="provision",M2478+H2478,IF(G2478="recoleccion",M2478-H2478,"No aplica"))</f>
        <v>6848000000</v>
      </c>
      <c r="P2478" s="26" t="n">
        <v>220426</v>
      </c>
    </row>
    <row r="2479">
      <c r="A2479" t="inlineStr">
        <is>
          <t>PRAGMA</t>
        </is>
      </c>
      <c r="B2479" t="inlineStr">
        <is>
          <t>M3</t>
        </is>
      </c>
      <c r="C2479" t="inlineStr">
        <is>
          <t>Cali</t>
        </is>
      </c>
      <c r="D2479" t="inlineStr">
        <is>
          <t>841</t>
        </is>
      </c>
      <c r="E2479" t="inlineStr">
        <is>
          <t>No aplica</t>
        </is>
      </c>
      <c r="F2479" s="23" t="n">
        <v>46276</v>
      </c>
      <c r="G2479" t="inlineStr">
        <is>
          <t>recoleccion</t>
        </is>
      </c>
      <c r="H2479" s="26" t="n">
        <v>578447400</v>
      </c>
      <c r="I2479" t="inlineStr">
        <is>
          <t>bajo</t>
        </is>
      </c>
      <c r="J2479" t="inlineStr">
        <is>
          <t>RN-41: riesgo de exceder el cupo</t>
        </is>
      </c>
      <c r="K2479" t="inlineStr">
        <is>
          <t>Recolección por riesgo de exceder el cupo: el saldo al cierre ($7.426.447.400) pasa el cupo $6.848.000.000. Se recogen $578.447.400 y el saldo queda en $6.848.000.000. En sus últimos 180 días la sucursal recibe más de lo que paga (entradas medias $863.263.123/día &gt; salidas medias $608.143.138/día); el neto diario varía $334.956.348 (σ). Costo estimado $380.829 (Anexo E: fijo $19.299 + $6 por cada $10.000 movidos).</t>
        </is>
      </c>
      <c r="L2479" s="26" t="n">
        <v>6848000000</v>
      </c>
      <c r="M2479" s="26" t="n">
        <v>7426447400</v>
      </c>
      <c r="N2479" s="27">
        <f>IF(ISNUMBER(M2479),M2479/L2479,"No aplica")</f>
        <v>1.0844695385514018</v>
      </c>
      <c r="O2479" s="25">
        <f>IF(G2479="provision",M2479+H2479,IF(G2479="recoleccion",M2479-H2479,"No aplica"))</f>
        <v>6848000000</v>
      </c>
      <c r="P2479" s="26" t="n">
        <v>380829</v>
      </c>
    </row>
    <row r="2480">
      <c r="A2480" t="inlineStr">
        <is>
          <t>PRAGMA</t>
        </is>
      </c>
      <c r="B2480" t="inlineStr">
        <is>
          <t>M3</t>
        </is>
      </c>
      <c r="C2480" t="inlineStr">
        <is>
          <t>Cali</t>
        </is>
      </c>
      <c r="D2480" t="inlineStr">
        <is>
          <t>841</t>
        </is>
      </c>
      <c r="E2480" t="inlineStr">
        <is>
          <t>No aplica</t>
        </is>
      </c>
      <c r="F2480" s="23" t="n">
        <v>46277</v>
      </c>
      <c r="G2480" t="inlineStr">
        <is>
          <t>recoleccion</t>
        </is>
      </c>
      <c r="H2480" s="26" t="n">
        <v>134771362</v>
      </c>
      <c r="I2480" t="inlineStr">
        <is>
          <t>bajo</t>
        </is>
      </c>
      <c r="J2480" t="inlineStr">
        <is>
          <t>RN-41: riesgo de exceder el cupo</t>
        </is>
      </c>
      <c r="K2480" t="inlineStr">
        <is>
          <t>Recolección por riesgo de exceder el cupo: el saldo al cierre ($6.982.771.362) pasa el cupo $6.848.000.000. Se recogen $134.771.362 y el saldo queda en $6.848.000.000. En sus últimos 180 días la sucursal recibe más de lo que paga (entradas medias $863.263.123/día &gt; salidas medias $608.143.138/día); el neto diario varía $334.956.348 (σ). Costo estimado $103.531 (Anexo E: fijo $19.299 + $6 por cada $10.000 movidos).</t>
        </is>
      </c>
      <c r="L2480" s="26" t="n">
        <v>6848000000</v>
      </c>
      <c r="M2480" s="26" t="n">
        <v>6982771362</v>
      </c>
      <c r="N2480" s="27">
        <f>IF(ISNUMBER(M2480),M2480/L2480,"No aplica")</f>
        <v>1.0196803974883177</v>
      </c>
      <c r="O2480" s="25">
        <f>IF(G2480="provision",M2480+H2480,IF(G2480="recoleccion",M2480-H2480,"No aplica"))</f>
        <v>6848000000</v>
      </c>
      <c r="P2480" s="26" t="n">
        <v>103531</v>
      </c>
    </row>
    <row r="2481">
      <c r="A2481" t="inlineStr">
        <is>
          <t>PRAGMA</t>
        </is>
      </c>
      <c r="B2481" t="inlineStr">
        <is>
          <t>M3</t>
        </is>
      </c>
      <c r="C2481" t="inlineStr">
        <is>
          <t>Cali</t>
        </is>
      </c>
      <c r="D2481" t="inlineStr">
        <is>
          <t>841</t>
        </is>
      </c>
      <c r="E2481" t="inlineStr">
        <is>
          <t>No aplica</t>
        </is>
      </c>
      <c r="F2481" s="23" t="n">
        <v>46278</v>
      </c>
      <c r="G2481" t="inlineStr">
        <is>
          <t>recoleccion</t>
        </is>
      </c>
      <c r="H2481" s="26" t="n">
        <v>31001</v>
      </c>
      <c r="I2481" t="inlineStr">
        <is>
          <t>bajo</t>
        </is>
      </c>
      <c r="J2481" t="inlineStr">
        <is>
          <t>RN-41: riesgo de exceder el cupo</t>
        </is>
      </c>
      <c r="K2481" t="inlineStr">
        <is>
          <t>Recolección por riesgo de exceder el cupo: el saldo al cierre ($6.848.031.001) pasa el cupo $6.848.000.000. Se recogen $31.001 y el saldo queda en $6.848.000.000. En sus últimos 180 días la sucursal recibe más de lo que paga (entradas medias $863.263.123/día &gt; salidas medias $608.143.138/día); el neto diario varía $334.956.348 (σ). Costo estimado $19.318 (Anexo E: fijo $19.299 + $6 por cada $10.000 movidos).</t>
        </is>
      </c>
      <c r="L2481" s="26" t="n">
        <v>6848000000</v>
      </c>
      <c r="M2481" s="26" t="n">
        <v>6848031001</v>
      </c>
      <c r="N2481" s="27">
        <f>IF(ISNUMBER(M2481),M2481/L2481,"No aplica")</f>
        <v>1.000004527015187</v>
      </c>
      <c r="O2481" s="25">
        <f>IF(G2481="provision",M2481+H2481,IF(G2481="recoleccion",M2481-H2481,"No aplica"))</f>
        <v>6848000000</v>
      </c>
      <c r="P2481" s="26" t="n">
        <v>19318</v>
      </c>
    </row>
    <row r="2482">
      <c r="A2482" t="inlineStr">
        <is>
          <t>PRAGMA</t>
        </is>
      </c>
      <c r="B2482" t="inlineStr">
        <is>
          <t>M3</t>
        </is>
      </c>
      <c r="C2482" t="inlineStr">
        <is>
          <t>Cali</t>
        </is>
      </c>
      <c r="D2482" t="inlineStr">
        <is>
          <t>841</t>
        </is>
      </c>
      <c r="E2482" t="inlineStr">
        <is>
          <t>No aplica</t>
        </is>
      </c>
      <c r="F2482" s="23" t="n">
        <v>46279</v>
      </c>
      <c r="G2482" t="inlineStr">
        <is>
          <t>recoleccion</t>
        </is>
      </c>
      <c r="H2482" s="26" t="n">
        <v>516604544</v>
      </c>
      <c r="I2482" t="inlineStr">
        <is>
          <t>bajo</t>
        </is>
      </c>
      <c r="J2482" t="inlineStr">
        <is>
          <t>RN-41: riesgo de exceder el cupo</t>
        </is>
      </c>
      <c r="K2482" t="inlineStr">
        <is>
          <t>Recolección por riesgo de exceder el cupo: el saldo al cierre ($7.364.604.544) pasa el cupo $6.848.000.000. Se recogen $516.604.544 y el saldo queda en $6.848.000.000. En sus últimos 180 días la sucursal recibe más de lo que paga (entradas medias $863.263.123/día &gt; salidas medias $608.143.138/día); el neto diario varía $334.956.348 (σ). Costo estimado $342.177 (Anexo E: fijo $19.299 + $6 por cada $10.000 movidos).</t>
        </is>
      </c>
      <c r="L2482" s="26" t="n">
        <v>6848000000</v>
      </c>
      <c r="M2482" s="26" t="n">
        <v>7364604544</v>
      </c>
      <c r="N2482" s="27">
        <f>IF(ISNUMBER(M2482),M2482/L2482,"No aplica")</f>
        <v>1.0754387476635514</v>
      </c>
      <c r="O2482" s="25">
        <f>IF(G2482="provision",M2482+H2482,IF(G2482="recoleccion",M2482-H2482,"No aplica"))</f>
        <v>6848000000</v>
      </c>
      <c r="P2482" s="26" t="n">
        <v>342177</v>
      </c>
    </row>
    <row r="2483">
      <c r="A2483" t="inlineStr">
        <is>
          <t>PRAGMA</t>
        </is>
      </c>
      <c r="B2483" t="inlineStr">
        <is>
          <t>M3</t>
        </is>
      </c>
      <c r="C2483" t="inlineStr">
        <is>
          <t>Cali</t>
        </is>
      </c>
      <c r="D2483" t="inlineStr">
        <is>
          <t>841</t>
        </is>
      </c>
      <c r="E2483" t="inlineStr">
        <is>
          <t>No aplica</t>
        </is>
      </c>
      <c r="F2483" s="23" t="n">
        <v>46280</v>
      </c>
      <c r="G2483" t="inlineStr">
        <is>
          <t>recoleccion</t>
        </is>
      </c>
      <c r="H2483" s="26" t="n">
        <v>537512130</v>
      </c>
      <c r="I2483" t="inlineStr">
        <is>
          <t>bajo</t>
        </is>
      </c>
      <c r="J2483" t="inlineStr">
        <is>
          <t>RN-41: riesgo de exceder el cupo</t>
        </is>
      </c>
      <c r="K2483" t="inlineStr">
        <is>
          <t>Recolección por riesgo de exceder el cupo: el saldo al cierre ($7.385.512.130) pasa el cupo $6.848.000.000. Se recogen $537.512.130 y el saldo queda en $6.848.000.000. En sus últimos 180 días la sucursal recibe más de lo que paga (entradas medias $863.263.123/día &gt; salidas medias $608.143.138/día); el neto diario varía $334.956.348 (σ). Costo estimado $355.244 (Anexo E: fijo $19.299 + $6 por cada $10.000 movidos).</t>
        </is>
      </c>
      <c r="L2483" s="26" t="n">
        <v>6848000000</v>
      </c>
      <c r="M2483" s="26" t="n">
        <v>7385512130</v>
      </c>
      <c r="N2483" s="27">
        <f>IF(ISNUMBER(M2483),M2483/L2483,"No aplica")</f>
        <v>1.0784918414135514</v>
      </c>
      <c r="O2483" s="25">
        <f>IF(G2483="provision",M2483+H2483,IF(G2483="recoleccion",M2483-H2483,"No aplica"))</f>
        <v>6848000000</v>
      </c>
      <c r="P2483" s="26" t="n">
        <v>355244</v>
      </c>
    </row>
    <row r="2484">
      <c r="A2484" t="inlineStr">
        <is>
          <t>PRAGMA</t>
        </is>
      </c>
      <c r="B2484" t="inlineStr">
        <is>
          <t>M3</t>
        </is>
      </c>
      <c r="C2484" t="inlineStr">
        <is>
          <t>Cali</t>
        </is>
      </c>
      <c r="D2484" t="inlineStr">
        <is>
          <t>843</t>
        </is>
      </c>
      <c r="E2484" t="inlineStr">
        <is>
          <t>No aplica</t>
        </is>
      </c>
      <c r="F2484" s="23" t="n">
        <v>46266</v>
      </c>
      <c r="G2484" t="inlineStr">
        <is>
          <t>recoleccion</t>
        </is>
      </c>
      <c r="H2484" s="26" t="n">
        <v>886241452</v>
      </c>
      <c r="I2484" t="inlineStr">
        <is>
          <t>bajo</t>
        </is>
      </c>
      <c r="J2484" t="inlineStr">
        <is>
          <t>RN-41: riesgo de exceder el cupo</t>
        </is>
      </c>
      <c r="K2484" t="inlineStr">
        <is>
          <t>Recolección por riesgo de exceder el cupo: el saldo al cierre ($9.468.241.452) pasa el cupo $8.582.000.000. Se recogen $886.241.452 y el saldo queda en $8.582.000.000. En sus últimos 180 días la sucursal recibe más de lo que paga (entradas medias $1.852.694.115/día &gt; salidas medias $1.285.504.417/día); el neto diario varía $889.342.163 (σ). Costo estimado $494.312 (Anexo E: fijo $13.969 + $5 por cada $10.000 movidos).</t>
        </is>
      </c>
      <c r="L2484" s="26" t="n">
        <v>8582000000</v>
      </c>
      <c r="M2484" s="26" t="n">
        <v>9468241452</v>
      </c>
      <c r="N2484" s="27">
        <f>IF(ISNUMBER(M2484),M2484/L2484,"No aplica")</f>
        <v>1.1032674728501515</v>
      </c>
      <c r="O2484" s="25">
        <f>IF(G2484="provision",M2484+H2484,IF(G2484="recoleccion",M2484-H2484,"No aplica"))</f>
        <v>8582000000</v>
      </c>
      <c r="P2484" s="26" t="n">
        <v>494312</v>
      </c>
    </row>
    <row r="2485">
      <c r="A2485" t="inlineStr">
        <is>
          <t>PRAGMA</t>
        </is>
      </c>
      <c r="B2485" t="inlineStr">
        <is>
          <t>M3</t>
        </is>
      </c>
      <c r="C2485" t="inlineStr">
        <is>
          <t>Cali</t>
        </is>
      </c>
      <c r="D2485" t="inlineStr">
        <is>
          <t>843</t>
        </is>
      </c>
      <c r="E2485" t="inlineStr">
        <is>
          <t>No aplica</t>
        </is>
      </c>
      <c r="F2485" s="23" t="n">
        <v>46267</v>
      </c>
      <c r="G2485" t="inlineStr">
        <is>
          <t>recoleccion</t>
        </is>
      </c>
      <c r="H2485" s="26" t="n">
        <v>860496289</v>
      </c>
      <c r="I2485" t="inlineStr">
        <is>
          <t>bajo</t>
        </is>
      </c>
      <c r="J2485" t="inlineStr">
        <is>
          <t>RN-41: riesgo de exceder el cupo</t>
        </is>
      </c>
      <c r="K2485" t="inlineStr">
        <is>
          <t>Recolección por riesgo de exceder el cupo: el saldo al cierre ($9.442.496.289) pasa el cupo $8.582.000.000. Se recogen $860.496.289 y el saldo queda en $8.582.000.000. En sus últimos 180 días la sucursal recibe más de lo que paga (entradas medias $1.852.694.115/día &gt; salidas medias $1.285.504.417/día); el neto diario varía $889.342.163 (σ). Costo estimado $480.358 (Anexo E: fijo $13.969 + $5 por cada $10.000 movidos).</t>
        </is>
      </c>
      <c r="L2485" s="26" t="n">
        <v>8582000000</v>
      </c>
      <c r="M2485" s="26" t="n">
        <v>9442496289</v>
      </c>
      <c r="N2485" s="27">
        <f>IF(ISNUMBER(M2485),M2485/L2485,"No aplica")</f>
        <v>1.1002675703798648</v>
      </c>
      <c r="O2485" s="25">
        <f>IF(G2485="provision",M2485+H2485,IF(G2485="recoleccion",M2485-H2485,"No aplica"))</f>
        <v>8582000000</v>
      </c>
      <c r="P2485" s="26" t="n">
        <v>480358</v>
      </c>
    </row>
    <row r="2486">
      <c r="A2486" t="inlineStr">
        <is>
          <t>PRAGMA</t>
        </is>
      </c>
      <c r="B2486" t="inlineStr">
        <is>
          <t>M3</t>
        </is>
      </c>
      <c r="C2486" t="inlineStr">
        <is>
          <t>Cali</t>
        </is>
      </c>
      <c r="D2486" t="inlineStr">
        <is>
          <t>843</t>
        </is>
      </c>
      <c r="E2486" t="inlineStr">
        <is>
          <t>No aplica</t>
        </is>
      </c>
      <c r="F2486" s="23" t="n">
        <v>46268</v>
      </c>
      <c r="G2486" t="inlineStr">
        <is>
          <t>recoleccion</t>
        </is>
      </c>
      <c r="H2486" s="26" t="n">
        <v>1059618031</v>
      </c>
      <c r="I2486" t="inlineStr">
        <is>
          <t>bajo</t>
        </is>
      </c>
      <c r="J2486" t="inlineStr">
        <is>
          <t>RN-41: riesgo de exceder el cupo</t>
        </is>
      </c>
      <c r="K2486" t="inlineStr">
        <is>
          <t>Recolección por riesgo de exceder el cupo: el saldo al cierre ($9.641.618.031) pasa el cupo $8.582.000.000. Se recogen $1.059.618.031 y el saldo queda en $8.582.000.000. En sus últimos 180 días la sucursal recibe más de lo que paga (entradas medias $1.852.694.115/día &gt; salidas medias $1.285.504.417/día); el neto diario varía $889.342.163 (σ). Costo estimado $588.282 (Anexo E: fijo $13.969 + $5 por cada $10.000 movidos).</t>
        </is>
      </c>
      <c r="L2486" s="26" t="n">
        <v>8582000000</v>
      </c>
      <c r="M2486" s="26" t="n">
        <v>9641618031</v>
      </c>
      <c r="N2486" s="27">
        <f>IF(ISNUMBER(M2486),M2486/L2486,"No aplica")</f>
        <v>1.1234698241668608</v>
      </c>
      <c r="O2486" s="25">
        <f>IF(G2486="provision",M2486+H2486,IF(G2486="recoleccion",M2486-H2486,"No aplica"))</f>
        <v>8582000000</v>
      </c>
      <c r="P2486" s="26" t="n">
        <v>588282</v>
      </c>
    </row>
    <row r="2487">
      <c r="A2487" t="inlineStr">
        <is>
          <t>PRAGMA</t>
        </is>
      </c>
      <c r="B2487" t="inlineStr">
        <is>
          <t>M3</t>
        </is>
      </c>
      <c r="C2487" t="inlineStr">
        <is>
          <t>Cali</t>
        </is>
      </c>
      <c r="D2487" t="inlineStr">
        <is>
          <t>843</t>
        </is>
      </c>
      <c r="E2487" t="inlineStr">
        <is>
          <t>No aplica</t>
        </is>
      </c>
      <c r="F2487" s="23" t="n">
        <v>46269</v>
      </c>
      <c r="G2487" t="inlineStr">
        <is>
          <t>recoleccion</t>
        </is>
      </c>
      <c r="H2487" s="26" t="n">
        <v>749105214</v>
      </c>
      <c r="I2487" t="inlineStr">
        <is>
          <t>bajo</t>
        </is>
      </c>
      <c r="J2487" t="inlineStr">
        <is>
          <t>RN-41: riesgo de exceder el cupo</t>
        </is>
      </c>
      <c r="K2487" t="inlineStr">
        <is>
          <t>Recolección por riesgo de exceder el cupo: el saldo al cierre ($9.331.105.214) pasa el cupo $8.582.000.000. Se recogen $749.105.214 y el saldo queda en $8.582.000.000. En sus últimos 180 días la sucursal recibe más de lo que paga (entradas medias $1.852.694.115/día &gt; salidas medias $1.285.504.417/día); el neto diario varía $889.342.163 (σ). Costo estimado $419.984 (Anexo E: fijo $13.969 + $5 por cada $10.000 movidos).</t>
        </is>
      </c>
      <c r="L2487" s="26" t="n">
        <v>8582000000</v>
      </c>
      <c r="M2487" s="26" t="n">
        <v>9331105214</v>
      </c>
      <c r="N2487" s="27">
        <f>IF(ISNUMBER(M2487),M2487/L2487,"No aplica")</f>
        <v>1.0872879531577722</v>
      </c>
      <c r="O2487" s="25">
        <f>IF(G2487="provision",M2487+H2487,IF(G2487="recoleccion",M2487-H2487,"No aplica"))</f>
        <v>8582000000</v>
      </c>
      <c r="P2487" s="26" t="n">
        <v>419984</v>
      </c>
    </row>
    <row r="2488">
      <c r="A2488" t="inlineStr">
        <is>
          <t>PRAGMA</t>
        </is>
      </c>
      <c r="B2488" t="inlineStr">
        <is>
          <t>M3</t>
        </is>
      </c>
      <c r="C2488" t="inlineStr">
        <is>
          <t>Cali</t>
        </is>
      </c>
      <c r="D2488" t="inlineStr">
        <is>
          <t>843</t>
        </is>
      </c>
      <c r="E2488" t="inlineStr">
        <is>
          <t>No aplica</t>
        </is>
      </c>
      <c r="F2488" s="23" t="n">
        <v>46272</v>
      </c>
      <c r="G2488" t="inlineStr">
        <is>
          <t>recoleccion</t>
        </is>
      </c>
      <c r="H2488" s="26" t="n">
        <v>1097107094</v>
      </c>
      <c r="I2488" t="inlineStr">
        <is>
          <t>bajo</t>
        </is>
      </c>
      <c r="J2488" t="inlineStr">
        <is>
          <t>RN-41: riesgo de exceder el cupo</t>
        </is>
      </c>
      <c r="K2488" t="inlineStr">
        <is>
          <t>Recolección por riesgo de exceder el cupo: el saldo al cierre ($9.679.107.094) pasa el cupo $8.582.000.000. Se recogen $1.097.107.094 y el saldo queda en $8.582.000.000. En sus últimos 180 días la sucursal recibe más de lo que paga (entradas medias $1.852.694.115/día &gt; salidas medias $1.285.504.417/día); el neto diario varía $889.342.163 (σ). Costo estimado $608.601 (Anexo E: fijo $13.969 + $5 por cada $10.000 movidos).</t>
        </is>
      </c>
      <c r="L2488" s="26" t="n">
        <v>8582000000</v>
      </c>
      <c r="M2488" s="26" t="n">
        <v>9679107094</v>
      </c>
      <c r="N2488" s="27">
        <f>IF(ISNUMBER(M2488),M2488/L2488,"No aplica")</f>
        <v>1.127838160568632</v>
      </c>
      <c r="O2488" s="25">
        <f>IF(G2488="provision",M2488+H2488,IF(G2488="recoleccion",M2488-H2488,"No aplica"))</f>
        <v>8582000000</v>
      </c>
      <c r="P2488" s="26" t="n">
        <v>608601</v>
      </c>
    </row>
    <row r="2489">
      <c r="A2489" t="inlineStr">
        <is>
          <t>PRAGMA</t>
        </is>
      </c>
      <c r="B2489" t="inlineStr">
        <is>
          <t>M3</t>
        </is>
      </c>
      <c r="C2489" t="inlineStr">
        <is>
          <t>Cali</t>
        </is>
      </c>
      <c r="D2489" t="inlineStr">
        <is>
          <t>843</t>
        </is>
      </c>
      <c r="E2489" t="inlineStr">
        <is>
          <t>No aplica</t>
        </is>
      </c>
      <c r="F2489" s="23" t="n">
        <v>46273</v>
      </c>
      <c r="G2489" t="inlineStr">
        <is>
          <t>recoleccion</t>
        </is>
      </c>
      <c r="H2489" s="26" t="n">
        <v>1048357600</v>
      </c>
      <c r="I2489" t="inlineStr">
        <is>
          <t>bajo</t>
        </is>
      </c>
      <c r="J2489" t="inlineStr">
        <is>
          <t>RN-41: riesgo de exceder el cupo</t>
        </is>
      </c>
      <c r="K2489" t="inlineStr">
        <is>
          <t>Recolección por riesgo de exceder el cupo: el saldo al cierre ($9.630.357.600) pasa el cupo $8.582.000.000. Se recogen $1.048.357.600 y el saldo queda en $8.582.000.000. En sus últimos 180 días la sucursal recibe más de lo que paga (entradas medias $1.852.694.115/día &gt; salidas medias $1.285.504.417/día); el neto diario varía $889.342.163 (σ). Costo estimado $582.179 (Anexo E: fijo $13.969 + $5 por cada $10.000 movidos).</t>
        </is>
      </c>
      <c r="L2489" s="26" t="n">
        <v>8582000000</v>
      </c>
      <c r="M2489" s="26" t="n">
        <v>9630357600</v>
      </c>
      <c r="N2489" s="27">
        <f>IF(ISNUMBER(M2489),M2489/L2489,"No aplica")</f>
        <v>1.122157725471918</v>
      </c>
      <c r="O2489" s="25">
        <f>IF(G2489="provision",M2489+H2489,IF(G2489="recoleccion",M2489-H2489,"No aplica"))</f>
        <v>8582000000</v>
      </c>
      <c r="P2489" s="26" t="n">
        <v>582179</v>
      </c>
    </row>
    <row r="2490">
      <c r="A2490" t="inlineStr">
        <is>
          <t>PRAGMA</t>
        </is>
      </c>
      <c r="B2490" t="inlineStr">
        <is>
          <t>M3</t>
        </is>
      </c>
      <c r="C2490" t="inlineStr">
        <is>
          <t>Cali</t>
        </is>
      </c>
      <c r="D2490" t="inlineStr">
        <is>
          <t>843</t>
        </is>
      </c>
      <c r="E2490" t="inlineStr">
        <is>
          <t>No aplica</t>
        </is>
      </c>
      <c r="F2490" s="23" t="n">
        <v>46274</v>
      </c>
      <c r="G2490" t="inlineStr">
        <is>
          <t>recoleccion</t>
        </is>
      </c>
      <c r="H2490" s="26" t="n">
        <v>1134296764</v>
      </c>
      <c r="I2490" t="inlineStr">
        <is>
          <t>bajo</t>
        </is>
      </c>
      <c r="J2490" t="inlineStr">
        <is>
          <t>RN-41: riesgo de exceder el cupo</t>
        </is>
      </c>
      <c r="K2490" t="inlineStr">
        <is>
          <t>Recolección por riesgo de exceder el cupo: el saldo al cierre ($9.716.296.764) pasa el cupo $8.582.000.000. Se recogen $1.134.296.764 y el saldo queda en $8.582.000.000. En sus últimos 180 días la sucursal recibe más de lo que paga (entradas medias $1.852.694.115/día &gt; salidas medias $1.285.504.417/día); el neto diario varía $889.342.163 (σ). Costo estimado $628.758 (Anexo E: fijo $13.969 + $5 por cada $10.000 movidos).</t>
        </is>
      </c>
      <c r="L2490" s="26" t="n">
        <v>8582000000</v>
      </c>
      <c r="M2490" s="26" t="n">
        <v>9716296764</v>
      </c>
      <c r="N2490" s="27">
        <f>IF(ISNUMBER(M2490),M2490/L2490,"No aplica")</f>
        <v>1.1321716108133302</v>
      </c>
      <c r="O2490" s="25">
        <f>IF(G2490="provision",M2490+H2490,IF(G2490="recoleccion",M2490-H2490,"No aplica"))</f>
        <v>8582000000</v>
      </c>
      <c r="P2490" s="26" t="n">
        <v>628758</v>
      </c>
    </row>
    <row r="2491">
      <c r="A2491" t="inlineStr">
        <is>
          <t>PRAGMA</t>
        </is>
      </c>
      <c r="B2491" t="inlineStr">
        <is>
          <t>M3</t>
        </is>
      </c>
      <c r="C2491" t="inlineStr">
        <is>
          <t>Cali</t>
        </is>
      </c>
      <c r="D2491" t="inlineStr">
        <is>
          <t>843</t>
        </is>
      </c>
      <c r="E2491" t="inlineStr">
        <is>
          <t>No aplica</t>
        </is>
      </c>
      <c r="F2491" s="23" t="n">
        <v>46275</v>
      </c>
      <c r="G2491" t="inlineStr">
        <is>
          <t>recoleccion</t>
        </is>
      </c>
      <c r="H2491" s="26" t="n">
        <v>730455131</v>
      </c>
      <c r="I2491" t="inlineStr">
        <is>
          <t>bajo</t>
        </is>
      </c>
      <c r="J2491" t="inlineStr">
        <is>
          <t>RN-41: riesgo de exceder el cupo</t>
        </is>
      </c>
      <c r="K2491" t="inlineStr">
        <is>
          <t>Recolección por riesgo de exceder el cupo: el saldo al cierre ($9.312.455.131) pasa el cupo $8.582.000.000. Se recogen $730.455.131 y el saldo queda en $8.582.000.000. En sus últimos 180 días la sucursal recibe más de lo que paga (entradas medias $1.852.694.115/día &gt; salidas medias $1.285.504.417/día); el neto diario varía $889.342.163 (σ). Costo estimado $409.876 (Anexo E: fijo $13.969 + $5 por cada $10.000 movidos).</t>
        </is>
      </c>
      <c r="L2491" s="26" t="n">
        <v>8582000000</v>
      </c>
      <c r="M2491" s="26" t="n">
        <v>9312455131</v>
      </c>
      <c r="N2491" s="27">
        <f>IF(ISNUMBER(M2491),M2491/L2491,"No aplica")</f>
        <v>1.0851147903752039</v>
      </c>
      <c r="O2491" s="25">
        <f>IF(G2491="provision",M2491+H2491,IF(G2491="recoleccion",M2491-H2491,"No aplica"))</f>
        <v>8582000000</v>
      </c>
      <c r="P2491" s="26" t="n">
        <v>409876</v>
      </c>
    </row>
    <row r="2492">
      <c r="A2492" t="inlineStr">
        <is>
          <t>PRAGMA</t>
        </is>
      </c>
      <c r="B2492" t="inlineStr">
        <is>
          <t>M3</t>
        </is>
      </c>
      <c r="C2492" t="inlineStr">
        <is>
          <t>Cali</t>
        </is>
      </c>
      <c r="D2492" t="inlineStr">
        <is>
          <t>843</t>
        </is>
      </c>
      <c r="E2492" t="inlineStr">
        <is>
          <t>No aplica</t>
        </is>
      </c>
      <c r="F2492" s="23" t="n">
        <v>46276</v>
      </c>
      <c r="G2492" t="inlineStr">
        <is>
          <t>recoleccion</t>
        </is>
      </c>
      <c r="H2492" s="26" t="n">
        <v>940661527</v>
      </c>
      <c r="I2492" t="inlineStr">
        <is>
          <t>bajo</t>
        </is>
      </c>
      <c r="J2492" t="inlineStr">
        <is>
          <t>RN-41: riesgo de exceder el cupo</t>
        </is>
      </c>
      <c r="K2492" t="inlineStr">
        <is>
          <t>Recolección por riesgo de exceder el cupo: el saldo al cierre ($9.522.661.527) pasa el cupo $8.582.000.000. Se recogen $940.661.527 y el saldo queda en $8.582.000.000. En sus últimos 180 días la sucursal recibe más de lo que paga (entradas medias $1.852.694.115/día &gt; salidas medias $1.285.504.417/día); el neto diario varía $889.342.163 (σ). Costo estimado $523.808 (Anexo E: fijo $13.969 + $5 por cada $10.000 movidos).</t>
        </is>
      </c>
      <c r="L2492" s="26" t="n">
        <v>8582000000</v>
      </c>
      <c r="M2492" s="26" t="n">
        <v>9522661527</v>
      </c>
      <c r="N2492" s="27">
        <f>IF(ISNUMBER(M2492),M2492/L2492,"No aplica")</f>
        <v>1.109608660801678</v>
      </c>
      <c r="O2492" s="25">
        <f>IF(G2492="provision",M2492+H2492,IF(G2492="recoleccion",M2492-H2492,"No aplica"))</f>
        <v>8582000000</v>
      </c>
      <c r="P2492" s="26" t="n">
        <v>523808</v>
      </c>
    </row>
    <row r="2493">
      <c r="A2493" t="inlineStr">
        <is>
          <t>PRAGMA</t>
        </is>
      </c>
      <c r="B2493" t="inlineStr">
        <is>
          <t>M3</t>
        </is>
      </c>
      <c r="C2493" t="inlineStr">
        <is>
          <t>Cali</t>
        </is>
      </c>
      <c r="D2493" t="inlineStr">
        <is>
          <t>843</t>
        </is>
      </c>
      <c r="E2493" t="inlineStr">
        <is>
          <t>No aplica</t>
        </is>
      </c>
      <c r="F2493" s="23" t="n">
        <v>46279</v>
      </c>
      <c r="G2493" t="inlineStr">
        <is>
          <t>recoleccion</t>
        </is>
      </c>
      <c r="H2493" s="26" t="n">
        <v>1360953076</v>
      </c>
      <c r="I2493" t="inlineStr">
        <is>
          <t>bajo</t>
        </is>
      </c>
      <c r="J2493" t="inlineStr">
        <is>
          <t>RN-41: riesgo de exceder el cupo</t>
        </is>
      </c>
      <c r="K2493" t="inlineStr">
        <is>
          <t>Recolección por riesgo de exceder el cupo: el saldo al cierre ($9.942.953.076) pasa el cupo $8.582.000.000. Se recogen $1.360.953.076 y el saldo queda en $8.582.000.000. En sus últimos 180 días la sucursal recibe más de lo que paga (entradas medias $1.852.694.115/día &gt; salidas medias $1.285.504.417/día); el neto diario varía $889.342.163 (σ). Costo estimado $751.606 (Anexo E: fijo $13.969 + $5 por cada $10.000 movidos).</t>
        </is>
      </c>
      <c r="L2493" s="26" t="n">
        <v>8582000000</v>
      </c>
      <c r="M2493" s="26" t="n">
        <v>9942953076</v>
      </c>
      <c r="N2493" s="27">
        <f>IF(ISNUMBER(M2493),M2493/L2493,"No aplica")</f>
        <v>1.1585822740619902</v>
      </c>
      <c r="O2493" s="25">
        <f>IF(G2493="provision",M2493+H2493,IF(G2493="recoleccion",M2493-H2493,"No aplica"))</f>
        <v>8582000000</v>
      </c>
      <c r="P2493" s="26" t="n">
        <v>751606</v>
      </c>
    </row>
    <row r="2494">
      <c r="A2494" t="inlineStr">
        <is>
          <t>PRAGMA</t>
        </is>
      </c>
      <c r="B2494" t="inlineStr">
        <is>
          <t>M3</t>
        </is>
      </c>
      <c r="C2494" t="inlineStr">
        <is>
          <t>Cali</t>
        </is>
      </c>
      <c r="D2494" t="inlineStr">
        <is>
          <t>843</t>
        </is>
      </c>
      <c r="E2494" t="inlineStr">
        <is>
          <t>No aplica</t>
        </is>
      </c>
      <c r="F2494" s="23" t="n">
        <v>46280</v>
      </c>
      <c r="G2494" t="inlineStr">
        <is>
          <t>recoleccion</t>
        </is>
      </c>
      <c r="H2494" s="26" t="n">
        <v>1045673784</v>
      </c>
      <c r="I2494" t="inlineStr">
        <is>
          <t>bajo</t>
        </is>
      </c>
      <c r="J2494" t="inlineStr">
        <is>
          <t>RN-41: riesgo de exceder el cupo</t>
        </is>
      </c>
      <c r="K2494" t="inlineStr">
        <is>
          <t>Recolección por riesgo de exceder el cupo: el saldo al cierre ($9.627.673.784) pasa el cupo $8.582.000.000. Se recogen $1.045.673.784 y el saldo queda en $8.582.000.000. En sus últimos 180 días la sucursal recibe más de lo que paga (entradas medias $1.852.694.115/día &gt; salidas medias $1.285.504.417/día); el neto diario varía $889.342.163 (σ). Costo estimado $580.724 (Anexo E: fijo $13.969 + $5 por cada $10.000 movidos).</t>
        </is>
      </c>
      <c r="L2494" s="26" t="n">
        <v>8582000000</v>
      </c>
      <c r="M2494" s="26" t="n">
        <v>9627673784</v>
      </c>
      <c r="N2494" s="27">
        <f>IF(ISNUMBER(M2494),M2494/L2494,"No aplica")</f>
        <v>1.1218449993008623</v>
      </c>
      <c r="O2494" s="25">
        <f>IF(G2494="provision",M2494+H2494,IF(G2494="recoleccion",M2494-H2494,"No aplica"))</f>
        <v>8582000000</v>
      </c>
      <c r="P2494" s="26" t="n">
        <v>580724</v>
      </c>
    </row>
    <row r="2495">
      <c r="A2495" t="inlineStr">
        <is>
          <t>PRAGMA</t>
        </is>
      </c>
      <c r="B2495" t="inlineStr">
        <is>
          <t>M3</t>
        </is>
      </c>
      <c r="C2495" t="inlineStr">
        <is>
          <t>Cali</t>
        </is>
      </c>
      <c r="D2495" t="inlineStr">
        <is>
          <t>863</t>
        </is>
      </c>
      <c r="E2495" t="inlineStr">
        <is>
          <t>No aplica</t>
        </is>
      </c>
      <c r="F2495" s="23" t="n">
        <v>46266</v>
      </c>
      <c r="G2495" t="inlineStr">
        <is>
          <t>recoleccion</t>
        </is>
      </c>
      <c r="H2495" s="26" t="n">
        <v>2467928608</v>
      </c>
      <c r="I2495" t="inlineStr">
        <is>
          <t>bajo</t>
        </is>
      </c>
      <c r="J2495" t="inlineStr">
        <is>
          <t>RN-41: efectivo ocioso sobre el techo</t>
        </is>
      </c>
      <c r="K2495" t="inlineStr">
        <is>
          <t>Recolección por efectivo ocioso: el saldo al cierre ($5.960.029.061) pasa el techo $3.492.100.453 (reserva + 15 días de salidas medias, tope en el cupo $6.004.000.000). Se recogen $2.467.928.608 y el saldo queda en $3.492.100.453. En sus últimos 180 días la sucursal recibe más de lo que paga (entradas medias $245.137.580/día &gt; salidas medias $200.785.364/día); el neto diario varía $154.743.017 (σ). Costo estimado $2.096.375 (Anexo E: fijo $43.058 + $8 por cada $10.000 movidos).</t>
        </is>
      </c>
      <c r="L2495" s="26" t="n">
        <v>6004000000</v>
      </c>
      <c r="M2495" s="26" t="n">
        <v>5960029061</v>
      </c>
      <c r="N2495" s="27">
        <f>IF(ISNUMBER(M2495),M2495/L2495,"No aplica")</f>
        <v>0.9926763925716189</v>
      </c>
      <c r="O2495" s="25">
        <f>IF(G2495="provision",M2495+H2495,IF(G2495="recoleccion",M2495-H2495,"No aplica"))</f>
        <v>3492100453</v>
      </c>
      <c r="P2495" s="26" t="n">
        <v>2096375</v>
      </c>
    </row>
    <row r="2496">
      <c r="A2496" t="inlineStr">
        <is>
          <t>PRAGMA</t>
        </is>
      </c>
      <c r="B2496" t="inlineStr">
        <is>
          <t>M3</t>
        </is>
      </c>
      <c r="C2496" t="inlineStr">
        <is>
          <t>Cali</t>
        </is>
      </c>
      <c r="D2496" t="inlineStr">
        <is>
          <t>869</t>
        </is>
      </c>
      <c r="E2496" t="inlineStr">
        <is>
          <t>No aplica</t>
        </is>
      </c>
      <c r="F2496" s="23" t="n">
        <v>46266</v>
      </c>
      <c r="G2496" t="inlineStr">
        <is>
          <t>recoleccion</t>
        </is>
      </c>
      <c r="H2496" s="26" t="n">
        <v>4510686404</v>
      </c>
      <c r="I2496" t="inlineStr">
        <is>
          <t>bajo</t>
        </is>
      </c>
      <c r="J2496" t="inlineStr">
        <is>
          <t>RN-41: riesgo de exceder el cupo</t>
        </is>
      </c>
      <c r="K2496" t="inlineStr">
        <is>
          <t>Recolección por riesgo de exceder el cupo: el saldo al cierre ($7.223.648.044) pasa el cupo $6.740.000.000. Se recogen $4.510.686.404 y el saldo queda en $2.712.961.640. En sus últimos 180 días la sucursal recibe más de lo que paga (entradas medias $404.787.440/día &gt; salidas medias $144.917.443/día); el neto diario varía $284.228.493 (σ). Costo estimado $3.795.949 (Anexo E: fijo $43.058 + $8 por cada $10.000 movidos).</t>
        </is>
      </c>
      <c r="L2496" s="26" t="n">
        <v>6740000000</v>
      </c>
      <c r="M2496" s="26" t="n">
        <v>7223648044</v>
      </c>
      <c r="N2496" s="27">
        <f>IF(ISNUMBER(M2496),M2496/L2496,"No aplica")</f>
        <v>1.0717578700296735</v>
      </c>
      <c r="O2496" s="25">
        <f>IF(G2496="provision",M2496+H2496,IF(G2496="recoleccion",M2496-H2496,"No aplica"))</f>
        <v>2712961640</v>
      </c>
      <c r="P2496" s="26" t="n">
        <v>3795949</v>
      </c>
    </row>
    <row r="2497">
      <c r="A2497" t="inlineStr">
        <is>
          <t>PRAGMA</t>
        </is>
      </c>
      <c r="B2497" t="inlineStr">
        <is>
          <t>M3</t>
        </is>
      </c>
      <c r="C2497" t="inlineStr">
        <is>
          <t>Cali</t>
        </is>
      </c>
      <c r="D2497" t="inlineStr">
        <is>
          <t>869</t>
        </is>
      </c>
      <c r="E2497" t="inlineStr">
        <is>
          <t>No aplica</t>
        </is>
      </c>
      <c r="F2497" s="23" t="n">
        <v>46267</v>
      </c>
      <c r="G2497" t="inlineStr">
        <is>
          <t>recoleccion</t>
        </is>
      </c>
      <c r="H2497" s="26" t="n">
        <v>368096225</v>
      </c>
      <c r="I2497" t="inlineStr">
        <is>
          <t>bajo</t>
        </is>
      </c>
      <c r="J2497" t="inlineStr">
        <is>
          <t>RN-41: efectivo ocioso sobre el techo</t>
        </is>
      </c>
      <c r="K2497" t="inlineStr">
        <is>
          <t>Recolección por efectivo ocioso: el saldo al cierre ($3.081.057.865) pasa el techo $2.712.961.640 (reserva + 15 días de salidas medias, tope en el cupo $6.740.000.000). Se recogen $368.096.225 y el saldo queda en $2.712.961.640. En sus últimos 180 días la sucursal recibe más de lo que paga (entradas medias $404.787.440/día &gt; salidas medias $144.917.443/día); el neto diario varía $284.228.493 (σ). Costo estimado $349.314 (Anexo E: fijo $43.058 + $8 por cada $10.000 movidos).</t>
        </is>
      </c>
      <c r="L2497" s="26" t="n">
        <v>6740000000</v>
      </c>
      <c r="M2497" s="26" t="n">
        <v>3081057865</v>
      </c>
      <c r="N2497" s="27">
        <f>IF(ISNUMBER(M2497),M2497/L2497,"No aplica")</f>
        <v>0.45713024703264094</v>
      </c>
      <c r="O2497" s="25">
        <f>IF(G2497="provision",M2497+H2497,IF(G2497="recoleccion",M2497-H2497,"No aplica"))</f>
        <v>2712961640</v>
      </c>
      <c r="P2497" s="26" t="n">
        <v>349314</v>
      </c>
    </row>
    <row r="2498">
      <c r="A2498" t="inlineStr">
        <is>
          <t>PRAGMA</t>
        </is>
      </c>
      <c r="B2498" t="inlineStr">
        <is>
          <t>M3</t>
        </is>
      </c>
      <c r="C2498" t="inlineStr">
        <is>
          <t>Cali</t>
        </is>
      </c>
      <c r="D2498" t="inlineStr">
        <is>
          <t>869</t>
        </is>
      </c>
      <c r="E2498" t="inlineStr">
        <is>
          <t>No aplica</t>
        </is>
      </c>
      <c r="F2498" s="23" t="n">
        <v>46268</v>
      </c>
      <c r="G2498" t="inlineStr">
        <is>
          <t>recoleccion</t>
        </is>
      </c>
      <c r="H2498" s="26" t="n">
        <v>300383243</v>
      </c>
      <c r="I2498" t="inlineStr">
        <is>
          <t>bajo</t>
        </is>
      </c>
      <c r="J2498" t="inlineStr">
        <is>
          <t>RN-41: efectivo ocioso sobre el techo</t>
        </is>
      </c>
      <c r="K2498" t="inlineStr">
        <is>
          <t>Recolección por efectivo ocioso: el saldo al cierre ($3.013.344.883) pasa el techo $2.712.961.640 (reserva + 15 días de salidas medias, tope en el cupo $6.740.000.000). Se recogen $300.383.243 y el saldo queda en $2.712.961.640. En sus últimos 180 días la sucursal recibe más de lo que paga (entradas medias $404.787.440/día &gt; salidas medias $144.917.443/día); el neto diario varía $284.228.493 (σ). Costo estimado $292.977 (Anexo E: fijo $43.058 + $8 por cada $10.000 movidos).</t>
        </is>
      </c>
      <c r="L2498" s="26" t="n">
        <v>6740000000</v>
      </c>
      <c r="M2498" s="26" t="n">
        <v>3013344883</v>
      </c>
      <c r="N2498" s="27">
        <f>IF(ISNUMBER(M2498),M2498/L2498,"No aplica")</f>
        <v>0.4470838105341246</v>
      </c>
      <c r="O2498" s="25">
        <f>IF(G2498="provision",M2498+H2498,IF(G2498="recoleccion",M2498-H2498,"No aplica"))</f>
        <v>2712961640</v>
      </c>
      <c r="P2498" s="26" t="n">
        <v>292977</v>
      </c>
    </row>
    <row r="2499">
      <c r="A2499" t="inlineStr">
        <is>
          <t>PRAGMA</t>
        </is>
      </c>
      <c r="B2499" t="inlineStr">
        <is>
          <t>M3</t>
        </is>
      </c>
      <c r="C2499" t="inlineStr">
        <is>
          <t>Cali</t>
        </is>
      </c>
      <c r="D2499" t="inlineStr">
        <is>
          <t>869</t>
        </is>
      </c>
      <c r="E2499" t="inlineStr">
        <is>
          <t>No aplica</t>
        </is>
      </c>
      <c r="F2499" s="23" t="n">
        <v>46269</v>
      </c>
      <c r="G2499" t="inlineStr">
        <is>
          <t>recoleccion</t>
        </is>
      </c>
      <c r="H2499" s="26" t="n">
        <v>349344445</v>
      </c>
      <c r="I2499" t="inlineStr">
        <is>
          <t>bajo</t>
        </is>
      </c>
      <c r="J2499" t="inlineStr">
        <is>
          <t>RN-41: efectivo ocioso sobre el techo</t>
        </is>
      </c>
      <c r="K2499" t="inlineStr">
        <is>
          <t>Recolección por efectivo ocioso: el saldo al cierre ($3.062.306.085) pasa el techo $2.712.961.640 (reserva + 15 días de salidas medias, tope en el cupo $6.740.000.000). Se recogen $349.344.445 y el saldo queda en $2.712.961.640. En sus últimos 180 días la sucursal recibe más de lo que paga (entradas medias $404.787.440/día &gt; salidas medias $144.917.443/día); el neto diario varía $284.228.493 (σ). Costo estimado $333.713 (Anexo E: fijo $43.058 + $8 por cada $10.000 movidos).</t>
        </is>
      </c>
      <c r="L2499" s="26" t="n">
        <v>6740000000</v>
      </c>
      <c r="M2499" s="26" t="n">
        <v>3062306085</v>
      </c>
      <c r="N2499" s="27">
        <f>IF(ISNUMBER(M2499),M2499/L2499,"No aplica")</f>
        <v>0.45434808382789316</v>
      </c>
      <c r="O2499" s="25">
        <f>IF(G2499="provision",M2499+H2499,IF(G2499="recoleccion",M2499-H2499,"No aplica"))</f>
        <v>2712961640</v>
      </c>
      <c r="P2499" s="26" t="n">
        <v>333713</v>
      </c>
    </row>
    <row r="2500">
      <c r="A2500" t="inlineStr">
        <is>
          <t>PRAGMA</t>
        </is>
      </c>
      <c r="B2500" t="inlineStr">
        <is>
          <t>M3</t>
        </is>
      </c>
      <c r="C2500" t="inlineStr">
        <is>
          <t>Cali</t>
        </is>
      </c>
      <c r="D2500" t="inlineStr">
        <is>
          <t>869</t>
        </is>
      </c>
      <c r="E2500" t="inlineStr">
        <is>
          <t>No aplica</t>
        </is>
      </c>
      <c r="F2500" s="23" t="n">
        <v>46270</v>
      </c>
      <c r="G2500" t="inlineStr">
        <is>
          <t>recoleccion</t>
        </is>
      </c>
      <c r="H2500" s="26" t="n">
        <v>760765</v>
      </c>
      <c r="I2500" t="inlineStr">
        <is>
          <t>bajo</t>
        </is>
      </c>
      <c r="J2500" t="inlineStr">
        <is>
          <t>RN-41: efectivo ocioso sobre el techo</t>
        </is>
      </c>
      <c r="K2500" t="inlineStr">
        <is>
          <t>Recolección por efectivo ocioso: el saldo al cierre ($2.713.722.405) pasa el techo $2.712.961.640 (reserva + 15 días de salidas medias, tope en el cupo $6.740.000.000). Se recogen $760.765 y el saldo queda en $2.712.961.640. En sus últimos 180 días la sucursal recibe más de lo que paga (entradas medias $404.787.440/día &gt; salidas medias $144.917.443/día); el neto diario varía $284.228.493 (σ). Costo estimado $43.691 (Anexo E: fijo $43.058 + $8 por cada $10.000 movidos).</t>
        </is>
      </c>
      <c r="L2500" s="26" t="n">
        <v>6740000000</v>
      </c>
      <c r="M2500" s="26" t="n">
        <v>2713722405</v>
      </c>
      <c r="N2500" s="27">
        <f>IF(ISNUMBER(M2500),M2500/L2500,"No aplica")</f>
        <v>0.4026294369436202</v>
      </c>
      <c r="O2500" s="25">
        <f>IF(G2500="provision",M2500+H2500,IF(G2500="recoleccion",M2500-H2500,"No aplica"))</f>
        <v>2712961640</v>
      </c>
      <c r="P2500" s="26" t="n">
        <v>43691</v>
      </c>
    </row>
    <row r="2501">
      <c r="A2501" t="inlineStr">
        <is>
          <t>PRAGMA</t>
        </is>
      </c>
      <c r="B2501" t="inlineStr">
        <is>
          <t>M3</t>
        </is>
      </c>
      <c r="C2501" t="inlineStr">
        <is>
          <t>Cali</t>
        </is>
      </c>
      <c r="D2501" t="inlineStr">
        <is>
          <t>869</t>
        </is>
      </c>
      <c r="E2501" t="inlineStr">
        <is>
          <t>No aplica</t>
        </is>
      </c>
      <c r="F2501" s="23" t="n">
        <v>46271</v>
      </c>
      <c r="G2501" t="inlineStr">
        <is>
          <t>recoleccion</t>
        </is>
      </c>
      <c r="H2501" s="26" t="n">
        <v>691657</v>
      </c>
      <c r="I2501" t="inlineStr">
        <is>
          <t>bajo</t>
        </is>
      </c>
      <c r="J2501" t="inlineStr">
        <is>
          <t>RN-41: efectivo ocioso sobre el techo</t>
        </is>
      </c>
      <c r="K2501" t="inlineStr">
        <is>
          <t>Recolección por efectivo ocioso: el saldo al cierre ($2.713.653.297) pasa el techo $2.712.961.640 (reserva + 15 días de salidas medias, tope en el cupo $6.740.000.000). Se recogen $691.657 y el saldo queda en $2.712.961.640. En sus últimos 180 días la sucursal recibe más de lo que paga (entradas medias $404.787.440/día &gt; salidas medias $144.917.443/día); el neto diario varía $284.228.493 (σ). Costo estimado $43.633 (Anexo E: fijo $43.058 + $8 por cada $10.000 movidos).</t>
        </is>
      </c>
      <c r="L2501" s="26" t="n">
        <v>6740000000</v>
      </c>
      <c r="M2501" s="26" t="n">
        <v>2713653297</v>
      </c>
      <c r="N2501" s="27">
        <f>IF(ISNUMBER(M2501),M2501/L2501,"No aplica")</f>
        <v>0.4026191835311573</v>
      </c>
      <c r="O2501" s="25">
        <f>IF(G2501="provision",M2501+H2501,IF(G2501="recoleccion",M2501-H2501,"No aplica"))</f>
        <v>2712961640</v>
      </c>
      <c r="P2501" s="26" t="n">
        <v>43633</v>
      </c>
    </row>
    <row r="2502">
      <c r="A2502" t="inlineStr">
        <is>
          <t>PRAGMA</t>
        </is>
      </c>
      <c r="B2502" t="inlineStr">
        <is>
          <t>M3</t>
        </is>
      </c>
      <c r="C2502" t="inlineStr">
        <is>
          <t>Cali</t>
        </is>
      </c>
      <c r="D2502" t="inlineStr">
        <is>
          <t>869</t>
        </is>
      </c>
      <c r="E2502" t="inlineStr">
        <is>
          <t>No aplica</t>
        </is>
      </c>
      <c r="F2502" s="23" t="n">
        <v>46272</v>
      </c>
      <c r="G2502" t="inlineStr">
        <is>
          <t>recoleccion</t>
        </is>
      </c>
      <c r="H2502" s="26" t="n">
        <v>398473441</v>
      </c>
      <c r="I2502" t="inlineStr">
        <is>
          <t>bajo</t>
        </is>
      </c>
      <c r="J2502" t="inlineStr">
        <is>
          <t>RN-41: efectivo ocioso sobre el techo</t>
        </is>
      </c>
      <c r="K2502" t="inlineStr">
        <is>
          <t>Recolección por efectivo ocioso: el saldo al cierre ($3.111.435.081) pasa el techo $2.712.961.640 (reserva + 15 días de salidas medias, tope en el cupo $6.740.000.000). Se recogen $398.473.441 y el saldo queda en $2.712.961.640. En sus últimos 180 días la sucursal recibe más de lo que paga (entradas medias $404.787.440/día &gt; salidas medias $144.917.443/día); el neto diario varía $284.228.493 (σ). Costo estimado $374.588 (Anexo E: fijo $43.058 + $8 por cada $10.000 movidos).</t>
        </is>
      </c>
      <c r="L2502" s="26" t="n">
        <v>6740000000</v>
      </c>
      <c r="M2502" s="26" t="n">
        <v>3111435081</v>
      </c>
      <c r="N2502" s="27">
        <f>IF(ISNUMBER(M2502),M2502/L2502,"No aplica")</f>
        <v>0.46163725237388725</v>
      </c>
      <c r="O2502" s="25">
        <f>IF(G2502="provision",M2502+H2502,IF(G2502="recoleccion",M2502-H2502,"No aplica"))</f>
        <v>2712961640</v>
      </c>
      <c r="P2502" s="26" t="n">
        <v>374588</v>
      </c>
    </row>
    <row r="2503">
      <c r="A2503" t="inlineStr">
        <is>
          <t>PRAGMA</t>
        </is>
      </c>
      <c r="B2503" t="inlineStr">
        <is>
          <t>M3</t>
        </is>
      </c>
      <c r="C2503" t="inlineStr">
        <is>
          <t>Cali</t>
        </is>
      </c>
      <c r="D2503" t="inlineStr">
        <is>
          <t>869</t>
        </is>
      </c>
      <c r="E2503" t="inlineStr">
        <is>
          <t>No aplica</t>
        </is>
      </c>
      <c r="F2503" s="23" t="n">
        <v>46273</v>
      </c>
      <c r="G2503" t="inlineStr">
        <is>
          <t>recoleccion</t>
        </is>
      </c>
      <c r="H2503" s="26" t="n">
        <v>528998535</v>
      </c>
      <c r="I2503" t="inlineStr">
        <is>
          <t>bajo</t>
        </is>
      </c>
      <c r="J2503" t="inlineStr">
        <is>
          <t>RN-41: efectivo ocioso sobre el techo</t>
        </is>
      </c>
      <c r="K2503" t="inlineStr">
        <is>
          <t>Recolección por efectivo ocioso: el saldo al cierre ($3.241.960.175) pasa el techo $2.712.961.640 (reserva + 15 días de salidas medias, tope en el cupo $6.740.000.000). Se recogen $528.998.535 y el saldo queda en $2.712.961.640. En sus últimos 180 días la sucursal recibe más de lo que paga (entradas medias $404.787.440/día &gt; salidas medias $144.917.443/día); el neto diario varía $284.228.493 (σ). Costo estimado $483.185 (Anexo E: fijo $43.058 + $8 por cada $10.000 movidos).</t>
        </is>
      </c>
      <c r="L2503" s="26" t="n">
        <v>6740000000</v>
      </c>
      <c r="M2503" s="26" t="n">
        <v>3241960175</v>
      </c>
      <c r="N2503" s="27">
        <f>IF(ISNUMBER(M2503),M2503/L2503,"No aplica")</f>
        <v>0.48100299332344215</v>
      </c>
      <c r="O2503" s="25">
        <f>IF(G2503="provision",M2503+H2503,IF(G2503="recoleccion",M2503-H2503,"No aplica"))</f>
        <v>2712961640</v>
      </c>
      <c r="P2503" s="26" t="n">
        <v>483185</v>
      </c>
    </row>
    <row r="2504">
      <c r="A2504" t="inlineStr">
        <is>
          <t>PRAGMA</t>
        </is>
      </c>
      <c r="B2504" t="inlineStr">
        <is>
          <t>M3</t>
        </is>
      </c>
      <c r="C2504" t="inlineStr">
        <is>
          <t>Cali</t>
        </is>
      </c>
      <c r="D2504" t="inlineStr">
        <is>
          <t>869</t>
        </is>
      </c>
      <c r="E2504" t="inlineStr">
        <is>
          <t>No aplica</t>
        </is>
      </c>
      <c r="F2504" s="23" t="n">
        <v>46274</v>
      </c>
      <c r="G2504" t="inlineStr">
        <is>
          <t>recoleccion</t>
        </is>
      </c>
      <c r="H2504" s="26" t="n">
        <v>404910059</v>
      </c>
      <c r="I2504" t="inlineStr">
        <is>
          <t>bajo</t>
        </is>
      </c>
      <c r="J2504" t="inlineStr">
        <is>
          <t>RN-41: efectivo ocioso sobre el techo</t>
        </is>
      </c>
      <c r="K2504" t="inlineStr">
        <is>
          <t>Recolección por efectivo ocioso: el saldo al cierre ($3.117.871.699) pasa el techo $2.712.961.640 (reserva + 15 días de salidas medias, tope en el cupo $6.740.000.000). Se recogen $404.910.059 y el saldo queda en $2.712.961.640. En sus últimos 180 días la sucursal recibe más de lo que paga (entradas medias $404.787.440/día &gt; salidas medias $144.917.443/día); el neto diario varía $284.228.493 (σ). Costo estimado $379.943 (Anexo E: fijo $43.058 + $8 por cada $10.000 movidos).</t>
        </is>
      </c>
      <c r="L2504" s="26" t="n">
        <v>6740000000</v>
      </c>
      <c r="M2504" s="26" t="n">
        <v>3117871699</v>
      </c>
      <c r="N2504" s="27">
        <f>IF(ISNUMBER(M2504),M2504/L2504,"No aplica")</f>
        <v>0.4625922402077151</v>
      </c>
      <c r="O2504" s="25">
        <f>IF(G2504="provision",M2504+H2504,IF(G2504="recoleccion",M2504-H2504,"No aplica"))</f>
        <v>2712961640</v>
      </c>
      <c r="P2504" s="26" t="n">
        <v>379943</v>
      </c>
    </row>
    <row r="2505">
      <c r="A2505" t="inlineStr">
        <is>
          <t>PRAGMA</t>
        </is>
      </c>
      <c r="B2505" t="inlineStr">
        <is>
          <t>M3</t>
        </is>
      </c>
      <c r="C2505" t="inlineStr">
        <is>
          <t>Cali</t>
        </is>
      </c>
      <c r="D2505" t="inlineStr">
        <is>
          <t>869</t>
        </is>
      </c>
      <c r="E2505" t="inlineStr">
        <is>
          <t>No aplica</t>
        </is>
      </c>
      <c r="F2505" s="23" t="n">
        <v>46275</v>
      </c>
      <c r="G2505" t="inlineStr">
        <is>
          <t>recoleccion</t>
        </is>
      </c>
      <c r="H2505" s="26" t="n">
        <v>307680405</v>
      </c>
      <c r="I2505" t="inlineStr">
        <is>
          <t>bajo</t>
        </is>
      </c>
      <c r="J2505" t="inlineStr">
        <is>
          <t>RN-41: efectivo ocioso sobre el techo</t>
        </is>
      </c>
      <c r="K2505" t="inlineStr">
        <is>
          <t>Recolección por efectivo ocioso: el saldo al cierre ($3.020.642.045) pasa el techo $2.712.961.640 (reserva + 15 días de salidas medias, tope en el cupo $6.740.000.000). Se recogen $307.680.405 y el saldo queda en $2.712.961.640. En sus últimos 180 días la sucursal recibe más de lo que paga (entradas medias $404.787.440/día &gt; salidas medias $144.917.443/día); el neto diario varía $284.228.493 (σ). Costo estimado $299.048 (Anexo E: fijo $43.058 + $8 por cada $10.000 movidos).</t>
        </is>
      </c>
      <c r="L2505" s="26" t="n">
        <v>6740000000</v>
      </c>
      <c r="M2505" s="26" t="n">
        <v>3020642045</v>
      </c>
      <c r="N2505" s="27">
        <f>IF(ISNUMBER(M2505),M2505/L2505,"No aplica")</f>
        <v>0.44816647551928784</v>
      </c>
      <c r="O2505" s="25">
        <f>IF(G2505="provision",M2505+H2505,IF(G2505="recoleccion",M2505-H2505,"No aplica"))</f>
        <v>2712961640</v>
      </c>
      <c r="P2505" s="26" t="n">
        <v>299048</v>
      </c>
    </row>
    <row r="2506">
      <c r="A2506" t="inlineStr">
        <is>
          <t>PRAGMA</t>
        </is>
      </c>
      <c r="B2506" t="inlineStr">
        <is>
          <t>M3</t>
        </is>
      </c>
      <c r="C2506" t="inlineStr">
        <is>
          <t>Cali</t>
        </is>
      </c>
      <c r="D2506" t="inlineStr">
        <is>
          <t>869</t>
        </is>
      </c>
      <c r="E2506" t="inlineStr">
        <is>
          <t>No aplica</t>
        </is>
      </c>
      <c r="F2506" s="23" t="n">
        <v>46276</v>
      </c>
      <c r="G2506" t="inlineStr">
        <is>
          <t>recoleccion</t>
        </is>
      </c>
      <c r="H2506" s="26" t="n">
        <v>386359157</v>
      </c>
      <c r="I2506" t="inlineStr">
        <is>
          <t>bajo</t>
        </is>
      </c>
      <c r="J2506" t="inlineStr">
        <is>
          <t>RN-41: efectivo ocioso sobre el techo</t>
        </is>
      </c>
      <c r="K2506" t="inlineStr">
        <is>
          <t>Recolección por efectivo ocioso: el saldo al cierre ($3.099.320.797) pasa el techo $2.712.961.640 (reserva + 15 días de salidas medias, tope en el cupo $6.740.000.000). Se recogen $386.359.157 y el saldo queda en $2.712.961.640. En sus últimos 180 días la sucursal recibe más de lo que paga (entradas medias $404.787.440/día &gt; salidas medias $144.917.443/día); el neto diario varía $284.228.493 (σ). Costo estimado $364.509 (Anexo E: fijo $43.058 + $8 por cada $10.000 movidos).</t>
        </is>
      </c>
      <c r="L2506" s="26" t="n">
        <v>6740000000</v>
      </c>
      <c r="M2506" s="26" t="n">
        <v>3099320797</v>
      </c>
      <c r="N2506" s="27">
        <f>IF(ISNUMBER(M2506),M2506/L2506,"No aplica")</f>
        <v>0.4598398808605341</v>
      </c>
      <c r="O2506" s="25">
        <f>IF(G2506="provision",M2506+H2506,IF(G2506="recoleccion",M2506-H2506,"No aplica"))</f>
        <v>2712961640</v>
      </c>
      <c r="P2506" s="26" t="n">
        <v>364509</v>
      </c>
    </row>
    <row r="2507">
      <c r="A2507" t="inlineStr">
        <is>
          <t>PRAGMA</t>
        </is>
      </c>
      <c r="B2507" t="inlineStr">
        <is>
          <t>M3</t>
        </is>
      </c>
      <c r="C2507" t="inlineStr">
        <is>
          <t>Cali</t>
        </is>
      </c>
      <c r="D2507" t="inlineStr">
        <is>
          <t>869</t>
        </is>
      </c>
      <c r="E2507" t="inlineStr">
        <is>
          <t>No aplica</t>
        </is>
      </c>
      <c r="F2507" s="23" t="n">
        <v>46277</v>
      </c>
      <c r="G2507" t="inlineStr">
        <is>
          <t>recoleccion</t>
        </is>
      </c>
      <c r="H2507" s="26" t="n">
        <v>675138</v>
      </c>
      <c r="I2507" t="inlineStr">
        <is>
          <t>bajo</t>
        </is>
      </c>
      <c r="J2507" t="inlineStr">
        <is>
          <t>RN-41: efectivo ocioso sobre el techo</t>
        </is>
      </c>
      <c r="K2507" t="inlineStr">
        <is>
          <t>Recolección por efectivo ocioso: el saldo al cierre ($2.713.636.778) pasa el techo $2.712.961.640 (reserva + 15 días de salidas medias, tope en el cupo $6.740.000.000). Se recogen $675.138 y el saldo queda en $2.712.961.640. En sus últimos 180 días la sucursal recibe más de lo que paga (entradas medias $404.787.440/día &gt; salidas medias $144.917.443/día); el neto diario varía $284.228.493 (σ). Costo estimado $43.620 (Anexo E: fijo $43.058 + $8 por cada $10.000 movidos).</t>
        </is>
      </c>
      <c r="L2507" s="26" t="n">
        <v>6740000000</v>
      </c>
      <c r="M2507" s="26" t="n">
        <v>2713636778</v>
      </c>
      <c r="N2507" s="27">
        <f>IF(ISNUMBER(M2507),M2507/L2507,"No aplica")</f>
        <v>0.40261673264094955</v>
      </c>
      <c r="O2507" s="25">
        <f>IF(G2507="provision",M2507+H2507,IF(G2507="recoleccion",M2507-H2507,"No aplica"))</f>
        <v>2712961640</v>
      </c>
      <c r="P2507" s="26" t="n">
        <v>43620</v>
      </c>
    </row>
    <row r="2508">
      <c r="A2508" t="inlineStr">
        <is>
          <t>PRAGMA</t>
        </is>
      </c>
      <c r="B2508" t="inlineStr">
        <is>
          <t>M3</t>
        </is>
      </c>
      <c r="C2508" t="inlineStr">
        <is>
          <t>Cali</t>
        </is>
      </c>
      <c r="D2508" t="inlineStr">
        <is>
          <t>869</t>
        </is>
      </c>
      <c r="E2508" t="inlineStr">
        <is>
          <t>No aplica</t>
        </is>
      </c>
      <c r="F2508" s="23" t="n">
        <v>46278</v>
      </c>
      <c r="G2508" t="inlineStr">
        <is>
          <t>recoleccion</t>
        </is>
      </c>
      <c r="H2508" s="26" t="n">
        <v>14809</v>
      </c>
      <c r="I2508" t="inlineStr">
        <is>
          <t>bajo</t>
        </is>
      </c>
      <c r="J2508" t="inlineStr">
        <is>
          <t>RN-41: efectivo ocioso sobre el techo</t>
        </is>
      </c>
      <c r="K2508" t="inlineStr">
        <is>
          <t>Recolección por efectivo ocioso: el saldo al cierre ($2.712.976.449) pasa el techo $2.712.961.640 (reserva + 15 días de salidas medias, tope en el cupo $6.740.000.000). Se recogen $14.809 y el saldo queda en $2.712.961.640. En sus últimos 180 días la sucursal recibe más de lo que paga (entradas medias $404.787.440/día &gt; salidas medias $144.917.443/día); el neto diario varía $284.228.493 (σ). Costo estimado $43.070 (Anexo E: fijo $43.058 + $8 por cada $10.000 movidos).</t>
        </is>
      </c>
      <c r="L2508" s="26" t="n">
        <v>6740000000</v>
      </c>
      <c r="M2508" s="26" t="n">
        <v>2712976449</v>
      </c>
      <c r="N2508" s="27">
        <f>IF(ISNUMBER(M2508),M2508/L2508,"No aplica")</f>
        <v>0.4025187609792285</v>
      </c>
      <c r="O2508" s="25">
        <f>IF(G2508="provision",M2508+H2508,IF(G2508="recoleccion",M2508-H2508,"No aplica"))</f>
        <v>2712961640</v>
      </c>
      <c r="P2508" s="26" t="n">
        <v>43070</v>
      </c>
    </row>
    <row r="2509">
      <c r="A2509" t="inlineStr">
        <is>
          <t>PRAGMA</t>
        </is>
      </c>
      <c r="B2509" t="inlineStr">
        <is>
          <t>M3</t>
        </is>
      </c>
      <c r="C2509" t="inlineStr">
        <is>
          <t>Cali</t>
        </is>
      </c>
      <c r="D2509" t="inlineStr">
        <is>
          <t>869</t>
        </is>
      </c>
      <c r="E2509" t="inlineStr">
        <is>
          <t>No aplica</t>
        </is>
      </c>
      <c r="F2509" s="23" t="n">
        <v>46279</v>
      </c>
      <c r="G2509" t="inlineStr">
        <is>
          <t>recoleccion</t>
        </is>
      </c>
      <c r="H2509" s="26" t="n">
        <v>427304338</v>
      </c>
      <c r="I2509" t="inlineStr">
        <is>
          <t>bajo</t>
        </is>
      </c>
      <c r="J2509" t="inlineStr">
        <is>
          <t>RN-41: efectivo ocioso sobre el techo</t>
        </is>
      </c>
      <c r="K2509" t="inlineStr">
        <is>
          <t>Recolección por efectivo ocioso: el saldo al cierre ($3.140.265.978) pasa el techo $2.712.961.640 (reserva + 15 días de salidas medias, tope en el cupo $6.740.000.000). Se recogen $427.304.338 y el saldo queda en $2.712.961.640. En sus últimos 180 días la sucursal recibe más de lo que paga (entradas medias $404.787.440/día &gt; salidas medias $144.917.443/día); el neto diario varía $284.228.493 (σ). Costo estimado $398.575 (Anexo E: fijo $43.058 + $8 por cada $10.000 movidos).</t>
        </is>
      </c>
      <c r="L2509" s="26" t="n">
        <v>6740000000</v>
      </c>
      <c r="M2509" s="26" t="n">
        <v>3140265978</v>
      </c>
      <c r="N2509" s="27">
        <f>IF(ISNUMBER(M2509),M2509/L2509,"No aplica")</f>
        <v>0.46591483353115726</v>
      </c>
      <c r="O2509" s="25">
        <f>IF(G2509="provision",M2509+H2509,IF(G2509="recoleccion",M2509-H2509,"No aplica"))</f>
        <v>2712961640</v>
      </c>
      <c r="P2509" s="26" t="n">
        <v>398575</v>
      </c>
    </row>
    <row r="2510">
      <c r="A2510" t="inlineStr">
        <is>
          <t>PRAGMA</t>
        </is>
      </c>
      <c r="B2510" t="inlineStr">
        <is>
          <t>M3</t>
        </is>
      </c>
      <c r="C2510" t="inlineStr">
        <is>
          <t>Cali</t>
        </is>
      </c>
      <c r="D2510" t="inlineStr">
        <is>
          <t>869</t>
        </is>
      </c>
      <c r="E2510" t="inlineStr">
        <is>
          <t>No aplica</t>
        </is>
      </c>
      <c r="F2510" s="23" t="n">
        <v>46280</v>
      </c>
      <c r="G2510" t="inlineStr">
        <is>
          <t>recoleccion</t>
        </is>
      </c>
      <c r="H2510" s="26" t="n">
        <v>514877057</v>
      </c>
      <c r="I2510" t="inlineStr">
        <is>
          <t>bajo</t>
        </is>
      </c>
      <c r="J2510" t="inlineStr">
        <is>
          <t>RN-41: efectivo ocioso sobre el techo</t>
        </is>
      </c>
      <c r="K2510" t="inlineStr">
        <is>
          <t>Recolección por efectivo ocioso: el saldo al cierre ($3.227.838.697) pasa el techo $2.712.961.640 (reserva + 15 días de salidas medias, tope en el cupo $6.740.000.000). Se recogen $514.877.057 y el saldo queda en $2.712.961.640. En sus últimos 180 días la sucursal recibe más de lo que paga (entradas medias $404.787.440/día &gt; salidas medias $144.917.443/día); el neto diario varía $284.228.493 (σ). Costo estimado $471.436 (Anexo E: fijo $43.058 + $8 por cada $10.000 movidos).</t>
        </is>
      </c>
      <c r="L2510" s="26" t="n">
        <v>6740000000</v>
      </c>
      <c r="M2510" s="26" t="n">
        <v>3227838697</v>
      </c>
      <c r="N2510" s="27">
        <f>IF(ISNUMBER(M2510),M2510/L2510,"No aplica")</f>
        <v>0.47890781854599407</v>
      </c>
      <c r="O2510" s="25">
        <f>IF(G2510="provision",M2510+H2510,IF(G2510="recoleccion",M2510-H2510,"No aplica"))</f>
        <v>2712961640</v>
      </c>
      <c r="P2510" s="26" t="n">
        <v>471436</v>
      </c>
    </row>
    <row r="2511">
      <c r="A2511" t="inlineStr">
        <is>
          <t>PRAGMA</t>
        </is>
      </c>
      <c r="B2511" t="inlineStr">
        <is>
          <t>M3</t>
        </is>
      </c>
      <c r="C2511" t="inlineStr">
        <is>
          <t>Cali</t>
        </is>
      </c>
      <c r="D2511" t="inlineStr">
        <is>
          <t>871</t>
        </is>
      </c>
      <c r="E2511" t="inlineStr">
        <is>
          <t>No aplica</t>
        </is>
      </c>
      <c r="F2511" s="23" t="n">
        <v>46266</v>
      </c>
      <c r="G2511" t="inlineStr">
        <is>
          <t>recoleccion</t>
        </is>
      </c>
      <c r="H2511" s="26" t="n">
        <v>6931431905</v>
      </c>
      <c r="I2511" t="inlineStr">
        <is>
          <t>bajo</t>
        </is>
      </c>
      <c r="J2511" t="inlineStr">
        <is>
          <t>RN-41: riesgo de exceder el cupo</t>
        </is>
      </c>
      <c r="K2511" t="inlineStr">
        <is>
          <t>Recolección por riesgo de exceder el cupo: el saldo al cierre ($10.276.513.192) pasa el cupo $10.104.500.000. Se recogen $6.931.431.905 y el saldo queda en $3.345.081.287. En sus últimos 180 días la sucursal recibe más de lo que paga (entradas medias $331.161.146/día &gt; salidas medias $169.114.752/día); el neto diario varía $205.014.216 (σ). Costo estimado $7.024.804 (Anexo E: fijo $51.784 + $10 por cada $10.000 movidos).</t>
        </is>
      </c>
      <c r="L2511" s="26" t="n">
        <v>10104500000</v>
      </c>
      <c r="M2511" s="26" t="n">
        <v>10276513192</v>
      </c>
      <c r="N2511" s="27">
        <f>IF(ISNUMBER(M2511),M2511/L2511,"No aplica")</f>
        <v>1.0170234244148646</v>
      </c>
      <c r="O2511" s="25">
        <f>IF(G2511="provision",M2511+H2511,IF(G2511="recoleccion",M2511-H2511,"No aplica"))</f>
        <v>3345081287</v>
      </c>
      <c r="P2511" s="26" t="n">
        <v>7024804</v>
      </c>
    </row>
    <row r="2512">
      <c r="A2512" t="inlineStr">
        <is>
          <t>PRAGMA</t>
        </is>
      </c>
      <c r="B2512" t="inlineStr">
        <is>
          <t>M3</t>
        </is>
      </c>
      <c r="C2512" t="inlineStr">
        <is>
          <t>Cali</t>
        </is>
      </c>
      <c r="D2512" t="inlineStr">
        <is>
          <t>871</t>
        </is>
      </c>
      <c r="E2512" t="inlineStr">
        <is>
          <t>No aplica</t>
        </is>
      </c>
      <c r="F2512" s="23" t="n">
        <v>46267</v>
      </c>
      <c r="G2512" t="inlineStr">
        <is>
          <t>recoleccion</t>
        </is>
      </c>
      <c r="H2512" s="26" t="n">
        <v>174817911</v>
      </c>
      <c r="I2512" t="inlineStr">
        <is>
          <t>bajo</t>
        </is>
      </c>
      <c r="J2512" t="inlineStr">
        <is>
          <t>RN-41: efectivo ocioso sobre el techo</t>
        </is>
      </c>
      <c r="K2512" t="inlineStr">
        <is>
          <t>Recolección por efectivo ocioso: el saldo al cierre ($3.519.899.198) pasa el techo $3.345.081.287 (reserva + 15 días de salidas medias, tope en el cupo $10.104.500.000). Se recogen $174.817.911 y el saldo queda en $3.345.081.287. En sus últimos 180 días la sucursal recibe más de lo que paga (entradas medias $331.161.146/día &gt; salidas medias $169.114.752/día); el neto diario varía $205.014.216 (σ). Costo estimado $227.651 (Anexo E: fijo $51.784 + $10 por cada $10.000 movidos).</t>
        </is>
      </c>
      <c r="L2512" s="26" t="n">
        <v>10104500000</v>
      </c>
      <c r="M2512" s="26" t="n">
        <v>3519899198</v>
      </c>
      <c r="N2512" s="27">
        <f>IF(ISNUMBER(M2512),M2512/L2512,"No aplica")</f>
        <v>0.3483496657924687</v>
      </c>
      <c r="O2512" s="25">
        <f>IF(G2512="provision",M2512+H2512,IF(G2512="recoleccion",M2512-H2512,"No aplica"))</f>
        <v>3345081287</v>
      </c>
      <c r="P2512" s="26" t="n">
        <v>227651</v>
      </c>
    </row>
    <row r="2513">
      <c r="A2513" t="inlineStr">
        <is>
          <t>PRAGMA</t>
        </is>
      </c>
      <c r="B2513" t="inlineStr">
        <is>
          <t>M3</t>
        </is>
      </c>
      <c r="C2513" t="inlineStr">
        <is>
          <t>Cali</t>
        </is>
      </c>
      <c r="D2513" t="inlineStr">
        <is>
          <t>871</t>
        </is>
      </c>
      <c r="E2513" t="inlineStr">
        <is>
          <t>No aplica</t>
        </is>
      </c>
      <c r="F2513" s="23" t="n">
        <v>46268</v>
      </c>
      <c r="G2513" t="inlineStr">
        <is>
          <t>recoleccion</t>
        </is>
      </c>
      <c r="H2513" s="26" t="n">
        <v>205303542</v>
      </c>
      <c r="I2513" t="inlineStr">
        <is>
          <t>bajo</t>
        </is>
      </c>
      <c r="J2513" t="inlineStr">
        <is>
          <t>RN-41: efectivo ocioso sobre el techo</t>
        </is>
      </c>
      <c r="K2513" t="inlineStr">
        <is>
          <t>Recolección por efectivo ocioso: el saldo al cierre ($3.550.384.829) pasa el techo $3.345.081.287 (reserva + 15 días de salidas medias, tope en el cupo $10.104.500.000). Se recogen $205.303.542 y el saldo queda en $3.345.081.287. En sus últimos 180 días la sucursal recibe más de lo que paga (entradas medias $331.161.146/día &gt; salidas medias $169.114.752/día); el neto diario varía $205.014.216 (σ). Costo estimado $258.319 (Anexo E: fijo $51.784 + $10 por cada $10.000 movidos).</t>
        </is>
      </c>
      <c r="L2513" s="26" t="n">
        <v>10104500000</v>
      </c>
      <c r="M2513" s="26" t="n">
        <v>3550384829</v>
      </c>
      <c r="N2513" s="27">
        <f>IF(ISNUMBER(M2513),M2513/L2513,"No aplica")</f>
        <v>0.35136670087584737</v>
      </c>
      <c r="O2513" s="25">
        <f>IF(G2513="provision",M2513+H2513,IF(G2513="recoleccion",M2513-H2513,"No aplica"))</f>
        <v>3345081287</v>
      </c>
      <c r="P2513" s="26" t="n">
        <v>258319</v>
      </c>
    </row>
    <row r="2514">
      <c r="A2514" t="inlineStr">
        <is>
          <t>PRAGMA</t>
        </is>
      </c>
      <c r="B2514" t="inlineStr">
        <is>
          <t>M3</t>
        </is>
      </c>
      <c r="C2514" t="inlineStr">
        <is>
          <t>Cali</t>
        </is>
      </c>
      <c r="D2514" t="inlineStr">
        <is>
          <t>871</t>
        </is>
      </c>
      <c r="E2514" t="inlineStr">
        <is>
          <t>No aplica</t>
        </is>
      </c>
      <c r="F2514" s="23" t="n">
        <v>46269</v>
      </c>
      <c r="G2514" t="inlineStr">
        <is>
          <t>recoleccion</t>
        </is>
      </c>
      <c r="H2514" s="26" t="n">
        <v>166951983</v>
      </c>
      <c r="I2514" t="inlineStr">
        <is>
          <t>bajo</t>
        </is>
      </c>
      <c r="J2514" t="inlineStr">
        <is>
          <t>RN-41: efectivo ocioso sobre el techo</t>
        </is>
      </c>
      <c r="K2514" t="inlineStr">
        <is>
          <t>Recolección por efectivo ocioso: el saldo al cierre ($3.512.033.270) pasa el techo $3.345.081.287 (reserva + 15 días de salidas medias, tope en el cupo $10.104.500.000). Se recogen $166.951.983 y el saldo queda en $3.345.081.287. En sus últimos 180 días la sucursal recibe más de lo que paga (entradas medias $331.161.146/día &gt; salidas medias $169.114.752/día); el neto diario varía $205.014.216 (σ). Costo estimado $219.738 (Anexo E: fijo $51.784 + $10 por cada $10.000 movidos).</t>
        </is>
      </c>
      <c r="L2514" s="26" t="n">
        <v>10104500000</v>
      </c>
      <c r="M2514" s="26" t="n">
        <v>3512033270</v>
      </c>
      <c r="N2514" s="27">
        <f>IF(ISNUMBER(M2514),M2514/L2514,"No aplica")</f>
        <v>0.34757120787767826</v>
      </c>
      <c r="O2514" s="25">
        <f>IF(G2514="provision",M2514+H2514,IF(G2514="recoleccion",M2514-H2514,"No aplica"))</f>
        <v>3345081287</v>
      </c>
      <c r="P2514" s="26" t="n">
        <v>219738</v>
      </c>
    </row>
    <row r="2515">
      <c r="A2515" t="inlineStr">
        <is>
          <t>PRAGMA</t>
        </is>
      </c>
      <c r="B2515" t="inlineStr">
        <is>
          <t>M3</t>
        </is>
      </c>
      <c r="C2515" t="inlineStr">
        <is>
          <t>Cali</t>
        </is>
      </c>
      <c r="D2515" t="inlineStr">
        <is>
          <t>871</t>
        </is>
      </c>
      <c r="E2515" t="inlineStr">
        <is>
          <t>No aplica</t>
        </is>
      </c>
      <c r="F2515" s="23" t="n">
        <v>46270</v>
      </c>
      <c r="G2515" t="inlineStr">
        <is>
          <t>recoleccion</t>
        </is>
      </c>
      <c r="H2515" s="26" t="n">
        <v>673356</v>
      </c>
      <c r="I2515" t="inlineStr">
        <is>
          <t>bajo</t>
        </is>
      </c>
      <c r="J2515" t="inlineStr">
        <is>
          <t>RN-41: efectivo ocioso sobre el techo</t>
        </is>
      </c>
      <c r="K2515" t="inlineStr">
        <is>
          <t>Recolección por efectivo ocioso: el saldo al cierre ($3.345.754.643) pasa el techo $3.345.081.287 (reserva + 15 días de salidas medias, tope en el cupo $10.104.500.000). Se recogen $673.356 y el saldo queda en $3.345.081.287. En sus últimos 180 días la sucursal recibe más de lo que paga (entradas medias $331.161.146/día &gt; salidas medias $169.114.752/día); el neto diario varía $205.014.216 (σ). Costo estimado $52.461 (Anexo E: fijo $51.784 + $10 por cada $10.000 movidos).</t>
        </is>
      </c>
      <c r="L2515" s="26" t="n">
        <v>10104500000</v>
      </c>
      <c r="M2515" s="26" t="n">
        <v>3345754643</v>
      </c>
      <c r="N2515" s="27">
        <f>IF(ISNUMBER(M2515),M2515/L2515,"No aplica")</f>
        <v>0.3311153093176308</v>
      </c>
      <c r="O2515" s="25">
        <f>IF(G2515="provision",M2515+H2515,IF(G2515="recoleccion",M2515-H2515,"No aplica"))</f>
        <v>3345081287</v>
      </c>
      <c r="P2515" s="26" t="n">
        <v>52461</v>
      </c>
    </row>
    <row r="2516">
      <c r="A2516" t="inlineStr">
        <is>
          <t>PRAGMA</t>
        </is>
      </c>
      <c r="B2516" t="inlineStr">
        <is>
          <t>M3</t>
        </is>
      </c>
      <c r="C2516" t="inlineStr">
        <is>
          <t>Cali</t>
        </is>
      </c>
      <c r="D2516" t="inlineStr">
        <is>
          <t>871</t>
        </is>
      </c>
      <c r="E2516" t="inlineStr">
        <is>
          <t>No aplica</t>
        </is>
      </c>
      <c r="F2516" s="23" t="n">
        <v>46271</v>
      </c>
      <c r="G2516" t="inlineStr">
        <is>
          <t>recoleccion</t>
        </is>
      </c>
      <c r="H2516" s="26" t="n">
        <v>35929</v>
      </c>
      <c r="I2516" t="inlineStr">
        <is>
          <t>bajo</t>
        </is>
      </c>
      <c r="J2516" t="inlineStr">
        <is>
          <t>RN-41: efectivo ocioso sobre el techo</t>
        </is>
      </c>
      <c r="K2516" t="inlineStr">
        <is>
          <t>Recolección por efectivo ocioso: el saldo al cierre ($3.345.117.216) pasa el techo $3.345.081.287 (reserva + 15 días de salidas medias, tope en el cupo $10.104.500.000). Se recogen $35.929 y el saldo queda en $3.345.081.287. En sus últimos 180 días la sucursal recibe más de lo que paga (entradas medias $331.161.146/día &gt; salidas medias $169.114.752/día); el neto diario varía $205.014.216 (σ). Costo estimado $51.820 (Anexo E: fijo $51.784 + $10 por cada $10.000 movidos).</t>
        </is>
      </c>
      <c r="L2516" s="26" t="n">
        <v>10104500000</v>
      </c>
      <c r="M2516" s="26" t="n">
        <v>3345117216</v>
      </c>
      <c r="N2516" s="27">
        <f>IF(ISNUMBER(M2516),M2516/L2516,"No aplica")</f>
        <v>0.3310522258399723</v>
      </c>
      <c r="O2516" s="25">
        <f>IF(G2516="provision",M2516+H2516,IF(G2516="recoleccion",M2516-H2516,"No aplica"))</f>
        <v>3345081287</v>
      </c>
      <c r="P2516" s="26" t="n">
        <v>51820</v>
      </c>
    </row>
    <row r="2517">
      <c r="A2517" t="inlineStr">
        <is>
          <t>PRAGMA</t>
        </is>
      </c>
      <c r="B2517" t="inlineStr">
        <is>
          <t>M3</t>
        </is>
      </c>
      <c r="C2517" t="inlineStr">
        <is>
          <t>Cali</t>
        </is>
      </c>
      <c r="D2517" t="inlineStr">
        <is>
          <t>871</t>
        </is>
      </c>
      <c r="E2517" t="inlineStr">
        <is>
          <t>No aplica</t>
        </is>
      </c>
      <c r="F2517" s="23" t="n">
        <v>46272</v>
      </c>
      <c r="G2517" t="inlineStr">
        <is>
          <t>recoleccion</t>
        </is>
      </c>
      <c r="H2517" s="26" t="n">
        <v>172082395</v>
      </c>
      <c r="I2517" t="inlineStr">
        <is>
          <t>bajo</t>
        </is>
      </c>
      <c r="J2517" t="inlineStr">
        <is>
          <t>RN-41: efectivo ocioso sobre el techo</t>
        </is>
      </c>
      <c r="K2517" t="inlineStr">
        <is>
          <t>Recolección por efectivo ocioso: el saldo al cierre ($3.517.163.682) pasa el techo $3.345.081.287 (reserva + 15 días de salidas medias, tope en el cupo $10.104.500.000). Se recogen $172.082.395 y el saldo queda en $3.345.081.287. En sus últimos 180 días la sucursal recibe más de lo que paga (entradas medias $331.161.146/día &gt; salidas medias $169.114.752/día); el neto diario varía $205.014.216 (σ). Costo estimado $224.899 (Anexo E: fijo $51.784 + $10 por cada $10.000 movidos).</t>
        </is>
      </c>
      <c r="L2517" s="26" t="n">
        <v>10104500000</v>
      </c>
      <c r="M2517" s="26" t="n">
        <v>3517163682</v>
      </c>
      <c r="N2517" s="27">
        <f>IF(ISNUMBER(M2517),M2517/L2517,"No aplica")</f>
        <v>0.3480789432431095</v>
      </c>
      <c r="O2517" s="25">
        <f>IF(G2517="provision",M2517+H2517,IF(G2517="recoleccion",M2517-H2517,"No aplica"))</f>
        <v>3345081287</v>
      </c>
      <c r="P2517" s="26" t="n">
        <v>224899</v>
      </c>
    </row>
    <row r="2518">
      <c r="A2518" t="inlineStr">
        <is>
          <t>PRAGMA</t>
        </is>
      </c>
      <c r="B2518" t="inlineStr">
        <is>
          <t>M3</t>
        </is>
      </c>
      <c r="C2518" t="inlineStr">
        <is>
          <t>Cali</t>
        </is>
      </c>
      <c r="D2518" t="inlineStr">
        <is>
          <t>871</t>
        </is>
      </c>
      <c r="E2518" t="inlineStr">
        <is>
          <t>No aplica</t>
        </is>
      </c>
      <c r="F2518" s="23" t="n">
        <v>46273</v>
      </c>
      <c r="G2518" t="inlineStr">
        <is>
          <t>recoleccion</t>
        </is>
      </c>
      <c r="H2518" s="26" t="n">
        <v>153911396</v>
      </c>
      <c r="I2518" t="inlineStr">
        <is>
          <t>bajo</t>
        </is>
      </c>
      <c r="J2518" t="inlineStr">
        <is>
          <t>RN-41: efectivo ocioso sobre el techo</t>
        </is>
      </c>
      <c r="K2518" t="inlineStr">
        <is>
          <t>Recolección por efectivo ocioso: el saldo al cierre ($3.498.992.683) pasa el techo $3.345.081.287 (reserva + 15 días de salidas medias, tope en el cupo $10.104.500.000). Se recogen $153.911.396 y el saldo queda en $3.345.081.287. En sus últimos 180 días la sucursal recibe más de lo que paga (entradas medias $331.161.146/día &gt; salidas medias $169.114.752/día); el neto diario varía $205.014.216 (σ). Costo estimado $206.619 (Anexo E: fijo $51.784 + $10 por cada $10.000 movidos).</t>
        </is>
      </c>
      <c r="L2518" s="26" t="n">
        <v>10104500000</v>
      </c>
      <c r="M2518" s="26" t="n">
        <v>3498992683</v>
      </c>
      <c r="N2518" s="27">
        <f>IF(ISNUMBER(M2518),M2518/L2518,"No aplica")</f>
        <v>0.3462806356573804</v>
      </c>
      <c r="O2518" s="25">
        <f>IF(G2518="provision",M2518+H2518,IF(G2518="recoleccion",M2518-H2518,"No aplica"))</f>
        <v>3345081287</v>
      </c>
      <c r="P2518" s="26" t="n">
        <v>206619</v>
      </c>
    </row>
    <row r="2519">
      <c r="A2519" t="inlineStr">
        <is>
          <t>PRAGMA</t>
        </is>
      </c>
      <c r="B2519" t="inlineStr">
        <is>
          <t>M3</t>
        </is>
      </c>
      <c r="C2519" t="inlineStr">
        <is>
          <t>Cali</t>
        </is>
      </c>
      <c r="D2519" t="inlineStr">
        <is>
          <t>871</t>
        </is>
      </c>
      <c r="E2519" t="inlineStr">
        <is>
          <t>No aplica</t>
        </is>
      </c>
      <c r="F2519" s="23" t="n">
        <v>46274</v>
      </c>
      <c r="G2519" t="inlineStr">
        <is>
          <t>recoleccion</t>
        </is>
      </c>
      <c r="H2519" s="26" t="n">
        <v>189295451</v>
      </c>
      <c r="I2519" t="inlineStr">
        <is>
          <t>bajo</t>
        </is>
      </c>
      <c r="J2519" t="inlineStr">
        <is>
          <t>RN-41: efectivo ocioso sobre el techo</t>
        </is>
      </c>
      <c r="K2519" t="inlineStr">
        <is>
          <t>Recolección por efectivo ocioso: el saldo al cierre ($3.534.376.738) pasa el techo $3.345.081.287 (reserva + 15 días de salidas medias, tope en el cupo $10.104.500.000). Se recogen $189.295.451 y el saldo queda en $3.345.081.287. En sus últimos 180 días la sucursal recibe más de lo que paga (entradas medias $331.161.146/día &gt; salidas medias $169.114.752/día); el neto diario varía $205.014.216 (σ). Costo estimado $242.215 (Anexo E: fijo $51.784 + $10 por cada $10.000 movidos).</t>
        </is>
      </c>
      <c r="L2519" s="26" t="n">
        <v>10104500000</v>
      </c>
      <c r="M2519" s="26" t="n">
        <v>3534376738</v>
      </c>
      <c r="N2519" s="27">
        <f>IF(ISNUMBER(M2519),M2519/L2519,"No aplica")</f>
        <v>0.3497824472264833</v>
      </c>
      <c r="O2519" s="25">
        <f>IF(G2519="provision",M2519+H2519,IF(G2519="recoleccion",M2519-H2519,"No aplica"))</f>
        <v>3345081287</v>
      </c>
      <c r="P2519" s="26" t="n">
        <v>242215</v>
      </c>
    </row>
    <row r="2520">
      <c r="A2520" t="inlineStr">
        <is>
          <t>PRAGMA</t>
        </is>
      </c>
      <c r="B2520" t="inlineStr">
        <is>
          <t>M3</t>
        </is>
      </c>
      <c r="C2520" t="inlineStr">
        <is>
          <t>Cali</t>
        </is>
      </c>
      <c r="D2520" t="inlineStr">
        <is>
          <t>871</t>
        </is>
      </c>
      <c r="E2520" t="inlineStr">
        <is>
          <t>No aplica</t>
        </is>
      </c>
      <c r="F2520" s="23" t="n">
        <v>46275</v>
      </c>
      <c r="G2520" t="inlineStr">
        <is>
          <t>recoleccion</t>
        </is>
      </c>
      <c r="H2520" s="26" t="n">
        <v>217470152</v>
      </c>
      <c r="I2520" t="inlineStr">
        <is>
          <t>bajo</t>
        </is>
      </c>
      <c r="J2520" t="inlineStr">
        <is>
          <t>RN-41: efectivo ocioso sobre el techo</t>
        </is>
      </c>
      <c r="K2520" t="inlineStr">
        <is>
          <t>Recolección por efectivo ocioso: el saldo al cierre ($3.562.551.439) pasa el techo $3.345.081.287 (reserva + 15 días de salidas medias, tope en el cupo $10.104.500.000). Se recogen $217.470.152 y el saldo queda en $3.345.081.287. En sus últimos 180 días la sucursal recibe más de lo que paga (entradas medias $331.161.146/día &gt; salidas medias $169.114.752/día); el neto diario varía $205.014.216 (σ). Costo estimado $270.559 (Anexo E: fijo $51.784 + $10 por cada $10.000 movidos).</t>
        </is>
      </c>
      <c r="L2520" s="26" t="n">
        <v>10104500000</v>
      </c>
      <c r="M2520" s="26" t="n">
        <v>3562551439</v>
      </c>
      <c r="N2520" s="27">
        <f>IF(ISNUMBER(M2520),M2520/L2520,"No aplica")</f>
        <v>0.3525707792567668</v>
      </c>
      <c r="O2520" s="25">
        <f>IF(G2520="provision",M2520+H2520,IF(G2520="recoleccion",M2520-H2520,"No aplica"))</f>
        <v>3345081287</v>
      </c>
      <c r="P2520" s="26" t="n">
        <v>270559</v>
      </c>
    </row>
    <row r="2521">
      <c r="A2521" t="inlineStr">
        <is>
          <t>PRAGMA</t>
        </is>
      </c>
      <c r="B2521" t="inlineStr">
        <is>
          <t>M3</t>
        </is>
      </c>
      <c r="C2521" t="inlineStr">
        <is>
          <t>Cali</t>
        </is>
      </c>
      <c r="D2521" t="inlineStr">
        <is>
          <t>871</t>
        </is>
      </c>
      <c r="E2521" t="inlineStr">
        <is>
          <t>No aplica</t>
        </is>
      </c>
      <c r="F2521" s="23" t="n">
        <v>46276</v>
      </c>
      <c r="G2521" t="inlineStr">
        <is>
          <t>recoleccion</t>
        </is>
      </c>
      <c r="H2521" s="26" t="n">
        <v>190451049</v>
      </c>
      <c r="I2521" t="inlineStr">
        <is>
          <t>bajo</t>
        </is>
      </c>
      <c r="J2521" t="inlineStr">
        <is>
          <t>RN-41: efectivo ocioso sobre el techo</t>
        </is>
      </c>
      <c r="K2521" t="inlineStr">
        <is>
          <t>Recolección por efectivo ocioso: el saldo al cierre ($3.535.532.336) pasa el techo $3.345.081.287 (reserva + 15 días de salidas medias, tope en el cupo $10.104.500.000). Se recogen $190.451.049 y el saldo queda en $3.345.081.287. En sus últimos 180 días la sucursal recibe más de lo que paga (entradas medias $331.161.146/día &gt; salidas medias $169.114.752/día); el neto diario varía $205.014.216 (σ). Costo estimado $243.378 (Anexo E: fijo $51.784 + $10 por cada $10.000 movidos).</t>
        </is>
      </c>
      <c r="L2521" s="26" t="n">
        <v>10104500000</v>
      </c>
      <c r="M2521" s="26" t="n">
        <v>3535532336</v>
      </c>
      <c r="N2521" s="27">
        <f>IF(ISNUMBER(M2521),M2521/L2521,"No aplica")</f>
        <v>0.3498968119154832</v>
      </c>
      <c r="O2521" s="25">
        <f>IF(G2521="provision",M2521+H2521,IF(G2521="recoleccion",M2521-H2521,"No aplica"))</f>
        <v>3345081287</v>
      </c>
      <c r="P2521" s="26" t="n">
        <v>243378</v>
      </c>
    </row>
    <row r="2522">
      <c r="A2522" t="inlineStr">
        <is>
          <t>PRAGMA</t>
        </is>
      </c>
      <c r="B2522" t="inlineStr">
        <is>
          <t>M3</t>
        </is>
      </c>
      <c r="C2522" t="inlineStr">
        <is>
          <t>Cali</t>
        </is>
      </c>
      <c r="D2522" t="inlineStr">
        <is>
          <t>871</t>
        </is>
      </c>
      <c r="E2522" t="inlineStr">
        <is>
          <t>No aplica</t>
        </is>
      </c>
      <c r="F2522" s="23" t="n">
        <v>46277</v>
      </c>
      <c r="G2522" t="inlineStr">
        <is>
          <t>recoleccion</t>
        </is>
      </c>
      <c r="H2522" s="26" t="n">
        <v>497075</v>
      </c>
      <c r="I2522" t="inlineStr">
        <is>
          <t>bajo</t>
        </is>
      </c>
      <c r="J2522" t="inlineStr">
        <is>
          <t>RN-41: efectivo ocioso sobre el techo</t>
        </is>
      </c>
      <c r="K2522" t="inlineStr">
        <is>
          <t>Recolección por efectivo ocioso: el saldo al cierre ($3.345.578.362) pasa el techo $3.345.081.287 (reserva + 15 días de salidas medias, tope en el cupo $10.104.500.000). Se recogen $497.075 y el saldo queda en $3.345.081.287. En sus últimos 180 días la sucursal recibe más de lo que paga (entradas medias $331.161.146/día &gt; salidas medias $169.114.752/día); el neto diario varía $205.014.216 (σ). Costo estimado $52.284 (Anexo E: fijo $51.784 + $10 por cada $10.000 movidos).</t>
        </is>
      </c>
      <c r="L2522" s="26" t="n">
        <v>10104500000</v>
      </c>
      <c r="M2522" s="26" t="n">
        <v>3345578362</v>
      </c>
      <c r="N2522" s="27">
        <f>IF(ISNUMBER(M2522),M2522/L2522,"No aplica")</f>
        <v>0.3310978635261517</v>
      </c>
      <c r="O2522" s="25">
        <f>IF(G2522="provision",M2522+H2522,IF(G2522="recoleccion",M2522-H2522,"No aplica"))</f>
        <v>3345081287</v>
      </c>
      <c r="P2522" s="26" t="n">
        <v>52284</v>
      </c>
    </row>
    <row r="2523">
      <c r="A2523" t="inlineStr">
        <is>
          <t>PRAGMA</t>
        </is>
      </c>
      <c r="B2523" t="inlineStr">
        <is>
          <t>M3</t>
        </is>
      </c>
      <c r="C2523" t="inlineStr">
        <is>
          <t>Cali</t>
        </is>
      </c>
      <c r="D2523" t="inlineStr">
        <is>
          <t>871</t>
        </is>
      </c>
      <c r="E2523" t="inlineStr">
        <is>
          <t>No aplica</t>
        </is>
      </c>
      <c r="F2523" s="23" t="n">
        <v>46278</v>
      </c>
      <c r="G2523" t="inlineStr">
        <is>
          <t>recoleccion</t>
        </is>
      </c>
      <c r="H2523" s="26" t="n">
        <v>67422</v>
      </c>
      <c r="I2523" t="inlineStr">
        <is>
          <t>bajo</t>
        </is>
      </c>
      <c r="J2523" t="inlineStr">
        <is>
          <t>RN-41: efectivo ocioso sobre el techo</t>
        </is>
      </c>
      <c r="K2523" t="inlineStr">
        <is>
          <t>Recolección por efectivo ocioso: el saldo al cierre ($3.345.148.709) pasa el techo $3.345.081.287 (reserva + 15 días de salidas medias, tope en el cupo $10.104.500.000). Se recogen $67.422 y el saldo queda en $3.345.081.287. En sus últimos 180 días la sucursal recibe más de lo que paga (entradas medias $331.161.146/día &gt; salidas medias $169.114.752/día); el neto diario varía $205.014.216 (σ). Costo estimado $51.852 (Anexo E: fijo $51.784 + $10 por cada $10.000 movidos).</t>
        </is>
      </c>
      <c r="L2523" s="26" t="n">
        <v>10104500000</v>
      </c>
      <c r="M2523" s="26" t="n">
        <v>3345148709</v>
      </c>
      <c r="N2523" s="27">
        <f>IF(ISNUMBER(M2523),M2523/L2523,"No aplica")</f>
        <v>0.331055342570142</v>
      </c>
      <c r="O2523" s="25">
        <f>IF(G2523="provision",M2523+H2523,IF(G2523="recoleccion",M2523-H2523,"No aplica"))</f>
        <v>3345081287</v>
      </c>
      <c r="P2523" s="26" t="n">
        <v>51852</v>
      </c>
    </row>
    <row r="2524">
      <c r="A2524" t="inlineStr">
        <is>
          <t>PRAGMA</t>
        </is>
      </c>
      <c r="B2524" t="inlineStr">
        <is>
          <t>M3</t>
        </is>
      </c>
      <c r="C2524" t="inlineStr">
        <is>
          <t>Cali</t>
        </is>
      </c>
      <c r="D2524" t="inlineStr">
        <is>
          <t>871</t>
        </is>
      </c>
      <c r="E2524" t="inlineStr">
        <is>
          <t>No aplica</t>
        </is>
      </c>
      <c r="F2524" s="23" t="n">
        <v>46279</v>
      </c>
      <c r="G2524" t="inlineStr">
        <is>
          <t>recoleccion</t>
        </is>
      </c>
      <c r="H2524" s="26" t="n">
        <v>208785460</v>
      </c>
      <c r="I2524" t="inlineStr">
        <is>
          <t>bajo</t>
        </is>
      </c>
      <c r="J2524" t="inlineStr">
        <is>
          <t>RN-41: efectivo ocioso sobre el techo</t>
        </is>
      </c>
      <c r="K2524" t="inlineStr">
        <is>
          <t>Recolección por efectivo ocioso: el saldo al cierre ($3.553.866.747) pasa el techo $3.345.081.287 (reserva + 15 días de salidas medias, tope en el cupo $10.104.500.000). Se recogen $208.785.460 y el saldo queda en $3.345.081.287. En sus últimos 180 días la sucursal recibe más de lo que paga (entradas medias $331.161.146/día &gt; salidas medias $169.114.752/día); el neto diario varía $205.014.216 (σ). Costo estimado $261.822 (Anexo E: fijo $51.784 + $10 por cada $10.000 movidos).</t>
        </is>
      </c>
      <c r="L2524" s="26" t="n">
        <v>10104500000</v>
      </c>
      <c r="M2524" s="26" t="n">
        <v>3553866747</v>
      </c>
      <c r="N2524" s="27">
        <f>IF(ISNUMBER(M2524),M2524/L2524,"No aplica")</f>
        <v>0.35171129170171705</v>
      </c>
      <c r="O2524" s="25">
        <f>IF(G2524="provision",M2524+H2524,IF(G2524="recoleccion",M2524-H2524,"No aplica"))</f>
        <v>3345081287</v>
      </c>
      <c r="P2524" s="26" t="n">
        <v>261822</v>
      </c>
    </row>
    <row r="2525">
      <c r="A2525" t="inlineStr">
        <is>
          <t>PRAGMA</t>
        </is>
      </c>
      <c r="B2525" t="inlineStr">
        <is>
          <t>M3</t>
        </is>
      </c>
      <c r="C2525" t="inlineStr">
        <is>
          <t>Cali</t>
        </is>
      </c>
      <c r="D2525" t="inlineStr">
        <is>
          <t>871</t>
        </is>
      </c>
      <c r="E2525" t="inlineStr">
        <is>
          <t>No aplica</t>
        </is>
      </c>
      <c r="F2525" s="23" t="n">
        <v>46280</v>
      </c>
      <c r="G2525" t="inlineStr">
        <is>
          <t>recoleccion</t>
        </is>
      </c>
      <c r="H2525" s="26" t="n">
        <v>156845673</v>
      </c>
      <c r="I2525" t="inlineStr">
        <is>
          <t>bajo</t>
        </is>
      </c>
      <c r="J2525" t="inlineStr">
        <is>
          <t>RN-41: efectivo ocioso sobre el techo</t>
        </is>
      </c>
      <c r="K2525" t="inlineStr">
        <is>
          <t>Recolección por efectivo ocioso: el saldo al cierre ($3.501.926.960) pasa el techo $3.345.081.287 (reserva + 15 días de salidas medias, tope en el cupo $10.104.500.000). Se recogen $156.845.673 y el saldo queda en $3.345.081.287. En sus últimos 180 días la sucursal recibe más de lo que paga (entradas medias $331.161.146/día &gt; salidas medias $169.114.752/día); el neto diario varía $205.014.216 (σ). Costo estimado $209.571 (Anexo E: fijo $51.784 + $10 por cada $10.000 movidos).</t>
        </is>
      </c>
      <c r="L2525" s="26" t="n">
        <v>10104500000</v>
      </c>
      <c r="M2525" s="26" t="n">
        <v>3501926960</v>
      </c>
      <c r="N2525" s="27">
        <f>IF(ISNUMBER(M2525),M2525/L2525,"No aplica")</f>
        <v>0.346571028749567</v>
      </c>
      <c r="O2525" s="25">
        <f>IF(G2525="provision",M2525+H2525,IF(G2525="recoleccion",M2525-H2525,"No aplica"))</f>
        <v>3345081287</v>
      </c>
      <c r="P2525" s="26" t="n">
        <v>209571</v>
      </c>
    </row>
    <row r="2526">
      <c r="A2526" t="inlineStr">
        <is>
          <t>PRAGMA</t>
        </is>
      </c>
      <c r="B2526" t="inlineStr">
        <is>
          <t>M3</t>
        </is>
      </c>
      <c r="C2526" t="inlineStr">
        <is>
          <t>Pasto</t>
        </is>
      </c>
      <c r="D2526" t="inlineStr">
        <is>
          <t>884</t>
        </is>
      </c>
      <c r="E2526" t="inlineStr">
        <is>
          <t>No aplica</t>
        </is>
      </c>
      <c r="F2526" s="23" t="n">
        <v>46266</v>
      </c>
      <c r="G2526" t="inlineStr">
        <is>
          <t>recoleccion</t>
        </is>
      </c>
      <c r="H2526" s="26" t="n">
        <v>130394354</v>
      </c>
      <c r="I2526" t="inlineStr">
        <is>
          <t>bajo</t>
        </is>
      </c>
      <c r="J2526" t="inlineStr">
        <is>
          <t>RN-41: riesgo de exceder el cupo</t>
        </is>
      </c>
      <c r="K2526" t="inlineStr">
        <is>
          <t>Recolección por riesgo de exceder el cupo: el saldo al cierre ($8.942.894.354) pasa el cupo $8.812.500.000. Se recogen $130.394.354 y el saldo queda en $8.812.500.000. En sus últimos 180 días la sucursal recibe más de lo que paga (entradas medias $2.125.645.834/día &gt; salidas medias $1.879.678.117/día); el neto diario varía $649.130.214 (σ). Costo estimado $74.214 (Anexo E: fijo $11.885 + $5 por cada $10.000 movidos).</t>
        </is>
      </c>
      <c r="L2526" s="26" t="n">
        <v>8812500000</v>
      </c>
      <c r="M2526" s="26" t="n">
        <v>8942894354</v>
      </c>
      <c r="N2526" s="27">
        <f>IF(ISNUMBER(M2526),M2526/L2526,"No aplica")</f>
        <v>1.0147965224397164</v>
      </c>
      <c r="O2526" s="25">
        <f>IF(G2526="provision",M2526+H2526,IF(G2526="recoleccion",M2526-H2526,"No aplica"))</f>
        <v>8812500000</v>
      </c>
      <c r="P2526" s="26" t="n">
        <v>74214</v>
      </c>
    </row>
    <row r="2527">
      <c r="A2527" t="inlineStr">
        <is>
          <t>PRAGMA</t>
        </is>
      </c>
      <c r="B2527" t="inlineStr">
        <is>
          <t>M3</t>
        </is>
      </c>
      <c r="C2527" t="inlineStr">
        <is>
          <t>Pasto</t>
        </is>
      </c>
      <c r="D2527" t="inlineStr">
        <is>
          <t>884</t>
        </is>
      </c>
      <c r="E2527" t="inlineStr">
        <is>
          <t>No aplica</t>
        </is>
      </c>
      <c r="F2527" s="23" t="n">
        <v>46267</v>
      </c>
      <c r="G2527" t="inlineStr">
        <is>
          <t>recoleccion</t>
        </is>
      </c>
      <c r="H2527" s="26" t="n">
        <v>351965732</v>
      </c>
      <c r="I2527" t="inlineStr">
        <is>
          <t>bajo</t>
        </is>
      </c>
      <c r="J2527" t="inlineStr">
        <is>
          <t>RN-41: riesgo de exceder el cupo</t>
        </is>
      </c>
      <c r="K2527" t="inlineStr">
        <is>
          <t>Recolección por riesgo de exceder el cupo: el saldo al cierre ($9.164.465.732) pasa el cupo $8.812.500.000. Se recogen $351.965.732 y el saldo queda en $8.812.500.000. En sus últimos 180 días la sucursal recibe más de lo que paga (entradas medias $2.125.645.834/día &gt; salidas medias $1.879.678.117/día); el neto diario varía $649.130.214 (σ). Costo estimado $180.125 (Anexo E: fijo $11.885 + $5 por cada $10.000 movidos).</t>
        </is>
      </c>
      <c r="L2527" s="26" t="n">
        <v>8812500000</v>
      </c>
      <c r="M2527" s="26" t="n">
        <v>9164465732</v>
      </c>
      <c r="N2527" s="27">
        <f>IF(ISNUMBER(M2527),M2527/L2527,"No aplica")</f>
        <v>1.0399393738439717</v>
      </c>
      <c r="O2527" s="25">
        <f>IF(G2527="provision",M2527+H2527,IF(G2527="recoleccion",M2527-H2527,"No aplica"))</f>
        <v>8812500000</v>
      </c>
      <c r="P2527" s="26" t="n">
        <v>180125</v>
      </c>
    </row>
    <row r="2528">
      <c r="A2528" t="inlineStr">
        <is>
          <t>PRAGMA</t>
        </is>
      </c>
      <c r="B2528" t="inlineStr">
        <is>
          <t>M3</t>
        </is>
      </c>
      <c r="C2528" t="inlineStr">
        <is>
          <t>Pasto</t>
        </is>
      </c>
      <c r="D2528" t="inlineStr">
        <is>
          <t>884</t>
        </is>
      </c>
      <c r="E2528" t="inlineStr">
        <is>
          <t>No aplica</t>
        </is>
      </c>
      <c r="F2528" s="23" t="n">
        <v>46268</v>
      </c>
      <c r="G2528" t="inlineStr">
        <is>
          <t>recoleccion</t>
        </is>
      </c>
      <c r="H2528" s="26" t="n">
        <v>690601913</v>
      </c>
      <c r="I2528" t="inlineStr">
        <is>
          <t>bajo</t>
        </is>
      </c>
      <c r="J2528" t="inlineStr">
        <is>
          <t>RN-41: riesgo de exceder el cupo</t>
        </is>
      </c>
      <c r="K2528" t="inlineStr">
        <is>
          <t>Recolección por riesgo de exceder el cupo: el saldo al cierre ($9.503.101.913) pasa el cupo $8.812.500.000. Se recogen $690.601.913 y el saldo queda en $8.812.500.000. En sus últimos 180 días la sucursal recibe más de lo que paga (entradas medias $2.125.645.834/día &gt; salidas medias $1.879.678.117/día); el neto diario varía $649.130.214 (σ). Costo estimado $341.993 (Anexo E: fijo $11.885 + $5 por cada $10.000 movidos).</t>
        </is>
      </c>
      <c r="L2528" s="26" t="n">
        <v>8812500000</v>
      </c>
      <c r="M2528" s="26" t="n">
        <v>9503101913</v>
      </c>
      <c r="N2528" s="27">
        <f>IF(ISNUMBER(M2528),M2528/L2528,"No aplica")</f>
        <v>1.0783661745248228</v>
      </c>
      <c r="O2528" s="25">
        <f>IF(G2528="provision",M2528+H2528,IF(G2528="recoleccion",M2528-H2528,"No aplica"))</f>
        <v>8812500000</v>
      </c>
      <c r="P2528" s="26" t="n">
        <v>341993</v>
      </c>
    </row>
    <row r="2529">
      <c r="A2529" t="inlineStr">
        <is>
          <t>PRAGMA</t>
        </is>
      </c>
      <c r="B2529" t="inlineStr">
        <is>
          <t>M3</t>
        </is>
      </c>
      <c r="C2529" t="inlineStr">
        <is>
          <t>Pasto</t>
        </is>
      </c>
      <c r="D2529" t="inlineStr">
        <is>
          <t>884</t>
        </is>
      </c>
      <c r="E2529" t="inlineStr">
        <is>
          <t>No aplica</t>
        </is>
      </c>
      <c r="F2529" s="23" t="n">
        <v>46272</v>
      </c>
      <c r="G2529" t="inlineStr">
        <is>
          <t>recoleccion</t>
        </is>
      </c>
      <c r="H2529" s="26" t="n">
        <v>385986689</v>
      </c>
      <c r="I2529" t="inlineStr">
        <is>
          <t>bajo</t>
        </is>
      </c>
      <c r="J2529" t="inlineStr">
        <is>
          <t>RN-41: riesgo de exceder el cupo</t>
        </is>
      </c>
      <c r="K2529" t="inlineStr">
        <is>
          <t>Recolección por riesgo de exceder el cupo: el saldo al cierre ($9.198.486.689) pasa el cupo $8.812.500.000. Se recogen $385.986.689 y el saldo queda en $8.812.500.000. En sus últimos 180 días la sucursal recibe más de lo que paga (entradas medias $2.125.645.834/día &gt; salidas medias $1.879.678.117/día); el neto diario varía $649.130.214 (σ). Costo estimado $196.387 (Anexo E: fijo $11.885 + $5 por cada $10.000 movidos).</t>
        </is>
      </c>
      <c r="L2529" s="26" t="n">
        <v>8812500000</v>
      </c>
      <c r="M2529" s="26" t="n">
        <v>9198486689</v>
      </c>
      <c r="N2529" s="27">
        <f>IF(ISNUMBER(M2529),M2529/L2529,"No aplica")</f>
        <v>1.0437999079716311</v>
      </c>
      <c r="O2529" s="25">
        <f>IF(G2529="provision",M2529+H2529,IF(G2529="recoleccion",M2529-H2529,"No aplica"))</f>
        <v>8812500000</v>
      </c>
      <c r="P2529" s="26" t="n">
        <v>196387</v>
      </c>
    </row>
    <row r="2530">
      <c r="A2530" t="inlineStr">
        <is>
          <t>PRAGMA</t>
        </is>
      </c>
      <c r="B2530" t="inlineStr">
        <is>
          <t>M3</t>
        </is>
      </c>
      <c r="C2530" t="inlineStr">
        <is>
          <t>Pasto</t>
        </is>
      </c>
      <c r="D2530" t="inlineStr">
        <is>
          <t>884</t>
        </is>
      </c>
      <c r="E2530" t="inlineStr">
        <is>
          <t>No aplica</t>
        </is>
      </c>
      <c r="F2530" s="23" t="n">
        <v>46273</v>
      </c>
      <c r="G2530" t="inlineStr">
        <is>
          <t>recoleccion</t>
        </is>
      </c>
      <c r="H2530" s="26" t="n">
        <v>443694649</v>
      </c>
      <c r="I2530" t="inlineStr">
        <is>
          <t>bajo</t>
        </is>
      </c>
      <c r="J2530" t="inlineStr">
        <is>
          <t>RN-41: riesgo de exceder el cupo</t>
        </is>
      </c>
      <c r="K2530" t="inlineStr">
        <is>
          <t>Recolección por riesgo de exceder el cupo: el saldo al cierre ($9.256.194.649) pasa el cupo $8.812.500.000. Se recogen $443.694.649 y el saldo queda en $8.812.500.000. En sus últimos 180 días la sucursal recibe más de lo que paga (entradas medias $2.125.645.834/día &gt; salidas medias $1.879.678.117/día); el neto diario varía $649.130.214 (σ). Costo estimado $223.971 (Anexo E: fijo $11.885 + $5 por cada $10.000 movidos).</t>
        </is>
      </c>
      <c r="L2530" s="26" t="n">
        <v>8812500000</v>
      </c>
      <c r="M2530" s="26" t="n">
        <v>9256194649</v>
      </c>
      <c r="N2530" s="27">
        <f>IF(ISNUMBER(M2530),M2530/L2530,"No aplica")</f>
        <v>1.050348328964539</v>
      </c>
      <c r="O2530" s="25">
        <f>IF(G2530="provision",M2530+H2530,IF(G2530="recoleccion",M2530-H2530,"No aplica"))</f>
        <v>8812500000</v>
      </c>
      <c r="P2530" s="26" t="n">
        <v>223971</v>
      </c>
    </row>
    <row r="2531">
      <c r="A2531" t="inlineStr">
        <is>
          <t>PRAGMA</t>
        </is>
      </c>
      <c r="B2531" t="inlineStr">
        <is>
          <t>M3</t>
        </is>
      </c>
      <c r="C2531" t="inlineStr">
        <is>
          <t>Pasto</t>
        </is>
      </c>
      <c r="D2531" t="inlineStr">
        <is>
          <t>884</t>
        </is>
      </c>
      <c r="E2531" t="inlineStr">
        <is>
          <t>No aplica</t>
        </is>
      </c>
      <c r="F2531" s="23" t="n">
        <v>46274</v>
      </c>
      <c r="G2531" t="inlineStr">
        <is>
          <t>recoleccion</t>
        </is>
      </c>
      <c r="H2531" s="26" t="n">
        <v>482770364</v>
      </c>
      <c r="I2531" t="inlineStr">
        <is>
          <t>bajo</t>
        </is>
      </c>
      <c r="J2531" t="inlineStr">
        <is>
          <t>RN-41: riesgo de exceder el cupo</t>
        </is>
      </c>
      <c r="K2531" t="inlineStr">
        <is>
          <t>Recolección por riesgo de exceder el cupo: el saldo al cierre ($9.295.270.364) pasa el cupo $8.812.500.000. Se recogen $482.770.364 y el saldo queda en $8.812.500.000. En sus últimos 180 días la sucursal recibe más de lo que paga (entradas medias $2.125.645.834/día &gt; salidas medias $1.879.678.117/día); el neto diario varía $649.130.214 (σ). Costo estimado $242.649 (Anexo E: fijo $11.885 + $5 por cada $10.000 movidos).</t>
        </is>
      </c>
      <c r="L2531" s="26" t="n">
        <v>8812500000</v>
      </c>
      <c r="M2531" s="26" t="n">
        <v>9295270364</v>
      </c>
      <c r="N2531" s="27">
        <f>IF(ISNUMBER(M2531),M2531/L2531,"No aplica")</f>
        <v>1.0547824526524823</v>
      </c>
      <c r="O2531" s="25">
        <f>IF(G2531="provision",M2531+H2531,IF(G2531="recoleccion",M2531-H2531,"No aplica"))</f>
        <v>8812500000</v>
      </c>
      <c r="P2531" s="26" t="n">
        <v>242649</v>
      </c>
    </row>
    <row r="2532">
      <c r="A2532" t="inlineStr">
        <is>
          <t>PRAGMA</t>
        </is>
      </c>
      <c r="B2532" t="inlineStr">
        <is>
          <t>M3</t>
        </is>
      </c>
      <c r="C2532" t="inlineStr">
        <is>
          <t>Pasto</t>
        </is>
      </c>
      <c r="D2532" t="inlineStr">
        <is>
          <t>884</t>
        </is>
      </c>
      <c r="E2532" t="inlineStr">
        <is>
          <t>No aplica</t>
        </is>
      </c>
      <c r="F2532" s="23" t="n">
        <v>46275</v>
      </c>
      <c r="G2532" t="inlineStr">
        <is>
          <t>recoleccion</t>
        </is>
      </c>
      <c r="H2532" s="26" t="n">
        <v>225370651</v>
      </c>
      <c r="I2532" t="inlineStr">
        <is>
          <t>bajo</t>
        </is>
      </c>
      <c r="J2532" t="inlineStr">
        <is>
          <t>RN-41: riesgo de exceder el cupo</t>
        </is>
      </c>
      <c r="K2532" t="inlineStr">
        <is>
          <t>Recolección por riesgo de exceder el cupo: el saldo al cierre ($9.037.870.651) pasa el cupo $8.812.500.000. Se recogen $225.370.651 y el saldo queda en $8.812.500.000. En sus últimos 180 días la sucursal recibe más de lo que paga (entradas medias $2.125.645.834/día &gt; salidas medias $1.879.678.117/día); el neto diario varía $649.130.214 (σ). Costo estimado $119.612 (Anexo E: fijo $11.885 + $5 por cada $10.000 movidos).</t>
        </is>
      </c>
      <c r="L2532" s="26" t="n">
        <v>8812500000</v>
      </c>
      <c r="M2532" s="26" t="n">
        <v>9037870651</v>
      </c>
      <c r="N2532" s="27">
        <f>IF(ISNUMBER(M2532),M2532/L2532,"No aplica")</f>
        <v>1.0255739745815602</v>
      </c>
      <c r="O2532" s="25">
        <f>IF(G2532="provision",M2532+H2532,IF(G2532="recoleccion",M2532-H2532,"No aplica"))</f>
        <v>8812500000</v>
      </c>
      <c r="P2532" s="26" t="n">
        <v>119612</v>
      </c>
    </row>
    <row r="2533">
      <c r="A2533" t="inlineStr">
        <is>
          <t>PRAGMA</t>
        </is>
      </c>
      <c r="B2533" t="inlineStr">
        <is>
          <t>M3</t>
        </is>
      </c>
      <c r="C2533" t="inlineStr">
        <is>
          <t>Pasto</t>
        </is>
      </c>
      <c r="D2533" t="inlineStr">
        <is>
          <t>884</t>
        </is>
      </c>
      <c r="E2533" t="inlineStr">
        <is>
          <t>No aplica</t>
        </is>
      </c>
      <c r="F2533" s="23" t="n">
        <v>46276</v>
      </c>
      <c r="G2533" t="inlineStr">
        <is>
          <t>recoleccion</t>
        </is>
      </c>
      <c r="H2533" s="26" t="n">
        <v>536557974</v>
      </c>
      <c r="I2533" t="inlineStr">
        <is>
          <t>bajo</t>
        </is>
      </c>
      <c r="J2533" t="inlineStr">
        <is>
          <t>RN-41: riesgo de exceder el cupo</t>
        </is>
      </c>
      <c r="K2533" t="inlineStr">
        <is>
          <t>Recolección por riesgo de exceder el cupo: el saldo al cierre ($9.349.057.974) pasa el cupo $8.812.500.000. Se recogen $536.557.974 y el saldo queda en $8.812.500.000. En sus últimos 180 días la sucursal recibe más de lo que paga (entradas medias $2.125.645.834/día &gt; salidas medias $1.879.678.117/día); el neto diario varía $649.130.214 (σ). Costo estimado $268.360 (Anexo E: fijo $11.885 + $5 por cada $10.000 movidos).</t>
        </is>
      </c>
      <c r="L2533" s="26" t="n">
        <v>8812500000</v>
      </c>
      <c r="M2533" s="26" t="n">
        <v>9349057974</v>
      </c>
      <c r="N2533" s="27">
        <f>IF(ISNUMBER(M2533),M2533/L2533,"No aplica")</f>
        <v>1.0608860112340426</v>
      </c>
      <c r="O2533" s="25">
        <f>IF(G2533="provision",M2533+H2533,IF(G2533="recoleccion",M2533-H2533,"No aplica"))</f>
        <v>8812500000</v>
      </c>
      <c r="P2533" s="26" t="n">
        <v>268360</v>
      </c>
    </row>
    <row r="2534">
      <c r="A2534" t="inlineStr">
        <is>
          <t>PRAGMA</t>
        </is>
      </c>
      <c r="B2534" t="inlineStr">
        <is>
          <t>M3</t>
        </is>
      </c>
      <c r="C2534" t="inlineStr">
        <is>
          <t>Pasto</t>
        </is>
      </c>
      <c r="D2534" t="inlineStr">
        <is>
          <t>884</t>
        </is>
      </c>
      <c r="E2534" t="inlineStr">
        <is>
          <t>No aplica</t>
        </is>
      </c>
      <c r="F2534" s="23" t="n">
        <v>46279</v>
      </c>
      <c r="G2534" t="inlineStr">
        <is>
          <t>recoleccion</t>
        </is>
      </c>
      <c r="H2534" s="26" t="n">
        <v>454236211</v>
      </c>
      <c r="I2534" t="inlineStr">
        <is>
          <t>bajo</t>
        </is>
      </c>
      <c r="J2534" t="inlineStr">
        <is>
          <t>RN-41: riesgo de exceder el cupo</t>
        </is>
      </c>
      <c r="K2534" t="inlineStr">
        <is>
          <t>Recolección por riesgo de exceder el cupo: el saldo al cierre ($9.266.736.211) pasa el cupo $8.812.500.000. Se recogen $454.236.211 y el saldo queda en $8.812.500.000. En sus últimos 180 días la sucursal recibe más de lo que paga (entradas medias $2.125.645.834/día &gt; salidas medias $1.879.678.117/día); el neto diario varía $649.130.214 (σ). Costo estimado $229.010 (Anexo E: fijo $11.885 + $5 por cada $10.000 movidos).</t>
        </is>
      </c>
      <c r="L2534" s="26" t="n">
        <v>8812500000</v>
      </c>
      <c r="M2534" s="26" t="n">
        <v>9266736211</v>
      </c>
      <c r="N2534" s="27">
        <f>IF(ISNUMBER(M2534),M2534/L2534,"No aplica")</f>
        <v>1.0515445345815604</v>
      </c>
      <c r="O2534" s="25">
        <f>IF(G2534="provision",M2534+H2534,IF(G2534="recoleccion",M2534-H2534,"No aplica"))</f>
        <v>8812500000</v>
      </c>
      <c r="P2534" s="26" t="n">
        <v>229010</v>
      </c>
    </row>
    <row r="2535">
      <c r="A2535" t="inlineStr">
        <is>
          <t>PRAGMA</t>
        </is>
      </c>
      <c r="B2535" t="inlineStr">
        <is>
          <t>M3</t>
        </is>
      </c>
      <c r="C2535" t="inlineStr">
        <is>
          <t>Pasto</t>
        </is>
      </c>
      <c r="D2535" t="inlineStr">
        <is>
          <t>884</t>
        </is>
      </c>
      <c r="E2535" t="inlineStr">
        <is>
          <t>No aplica</t>
        </is>
      </c>
      <c r="F2535" s="23" t="n">
        <v>46280</v>
      </c>
      <c r="G2535" t="inlineStr">
        <is>
          <t>recoleccion</t>
        </is>
      </c>
      <c r="H2535" s="26" t="n">
        <v>342690102</v>
      </c>
      <c r="I2535" t="inlineStr">
        <is>
          <t>bajo</t>
        </is>
      </c>
      <c r="J2535" t="inlineStr">
        <is>
          <t>RN-41: riesgo de exceder el cupo</t>
        </is>
      </c>
      <c r="K2535" t="inlineStr">
        <is>
          <t>Recolección por riesgo de exceder el cupo: el saldo al cierre ($9.155.190.102) pasa el cupo $8.812.500.000. Se recogen $342.690.102 y el saldo queda en $8.812.500.000. En sus últimos 180 días la sucursal recibe más de lo que paga (entradas medias $2.125.645.834/día &gt; salidas medias $1.879.678.117/día); el neto diario varía $649.130.214 (σ). Costo estimado $175.691 (Anexo E: fijo $11.885 + $5 por cada $10.000 movidos).</t>
        </is>
      </c>
      <c r="L2535" s="26" t="n">
        <v>8812500000</v>
      </c>
      <c r="M2535" s="26" t="n">
        <v>9155190102</v>
      </c>
      <c r="N2535" s="27">
        <f>IF(ISNUMBER(M2535),M2535/L2535,"No aplica")</f>
        <v>1.0388868200851065</v>
      </c>
      <c r="O2535" s="25">
        <f>IF(G2535="provision",M2535+H2535,IF(G2535="recoleccion",M2535-H2535,"No aplica"))</f>
        <v>8812500000</v>
      </c>
      <c r="P2535" s="26" t="n">
        <v>175691</v>
      </c>
    </row>
    <row r="2536">
      <c r="A2536" t="inlineStr">
        <is>
          <t>PRAGMA</t>
        </is>
      </c>
      <c r="B2536" t="inlineStr">
        <is>
          <t>M3</t>
        </is>
      </c>
      <c r="C2536" t="inlineStr">
        <is>
          <t>Pasto</t>
        </is>
      </c>
      <c r="D2536" t="inlineStr">
        <is>
          <t>886</t>
        </is>
      </c>
      <c r="E2536" t="inlineStr">
        <is>
          <t>No aplica</t>
        </is>
      </c>
      <c r="F2536" s="23" t="n">
        <v>46266</v>
      </c>
      <c r="G2536" t="inlineStr">
        <is>
          <t>recoleccion</t>
        </is>
      </c>
      <c r="H2536" s="26" t="n">
        <v>792048210</v>
      </c>
      <c r="I2536" t="inlineStr">
        <is>
          <t>bajo</t>
        </is>
      </c>
      <c r="J2536" t="inlineStr">
        <is>
          <t>RN-41: riesgo de exceder el cupo</t>
        </is>
      </c>
      <c r="K2536" t="inlineStr">
        <is>
          <t>Recolección por riesgo de exceder el cupo: el saldo al cierre ($8.826.048.210) pasa el cupo $8.034.000.000. Se recogen $792.048.210 y el saldo queda en $8.034.000.000. En sus últimos 180 días la sucursal recibe más de lo que paga (entradas medias $1.493.767.969/día &gt; salidas medias $838.692.944/día); el neto diario varía $672.320.873 (σ). Costo estimado $390.484 (Anexo E: fijo $11.885 + $5 por cada $10.000 movidos).</t>
        </is>
      </c>
      <c r="L2536" s="26" t="n">
        <v>8034000000</v>
      </c>
      <c r="M2536" s="26" t="n">
        <v>8826048210</v>
      </c>
      <c r="N2536" s="27">
        <f>IF(ISNUMBER(M2536),M2536/L2536,"No aplica")</f>
        <v>1.0985870313666917</v>
      </c>
      <c r="O2536" s="25">
        <f>IF(G2536="provision",M2536+H2536,IF(G2536="recoleccion",M2536-H2536,"No aplica"))</f>
        <v>8034000000</v>
      </c>
      <c r="P2536" s="26" t="n">
        <v>390484</v>
      </c>
    </row>
    <row r="2537">
      <c r="A2537" t="inlineStr">
        <is>
          <t>PRAGMA</t>
        </is>
      </c>
      <c r="B2537" t="inlineStr">
        <is>
          <t>M3</t>
        </is>
      </c>
      <c r="C2537" t="inlineStr">
        <is>
          <t>Pasto</t>
        </is>
      </c>
      <c r="D2537" t="inlineStr">
        <is>
          <t>886</t>
        </is>
      </c>
      <c r="E2537" t="inlineStr">
        <is>
          <t>No aplica</t>
        </is>
      </c>
      <c r="F2537" s="23" t="n">
        <v>46267</v>
      </c>
      <c r="G2537" t="inlineStr">
        <is>
          <t>recoleccion</t>
        </is>
      </c>
      <c r="H2537" s="26" t="n">
        <v>931864321</v>
      </c>
      <c r="I2537" t="inlineStr">
        <is>
          <t>bajo</t>
        </is>
      </c>
      <c r="J2537" t="inlineStr">
        <is>
          <t>RN-41: riesgo de exceder el cupo</t>
        </is>
      </c>
      <c r="K2537" t="inlineStr">
        <is>
          <t>Recolección por riesgo de exceder el cupo: el saldo al cierre ($8.965.864.321) pasa el cupo $8.034.000.000. Se recogen $931.864.321 y el saldo queda en $8.034.000.000. En sus últimos 180 días la sucursal recibe más de lo que paga (entradas medias $1.493.767.969/día &gt; salidas medias $838.692.944/día); el neto diario varía $672.320.873 (σ). Costo estimado $457.316 (Anexo E: fijo $11.885 + $5 por cada $10.000 movidos).</t>
        </is>
      </c>
      <c r="L2537" s="26" t="n">
        <v>8034000000</v>
      </c>
      <c r="M2537" s="26" t="n">
        <v>8965864321</v>
      </c>
      <c r="N2537" s="27">
        <f>IF(ISNUMBER(M2537),M2537/L2537,"No aplica")</f>
        <v>1.11599008227533</v>
      </c>
      <c r="O2537" s="25">
        <f>IF(G2537="provision",M2537+H2537,IF(G2537="recoleccion",M2537-H2537,"No aplica"))</f>
        <v>8034000000</v>
      </c>
      <c r="P2537" s="26" t="n">
        <v>457316</v>
      </c>
    </row>
    <row r="2538">
      <c r="A2538" t="inlineStr">
        <is>
          <t>PRAGMA</t>
        </is>
      </c>
      <c r="B2538" t="inlineStr">
        <is>
          <t>M3</t>
        </is>
      </c>
      <c r="C2538" t="inlineStr">
        <is>
          <t>Pasto</t>
        </is>
      </c>
      <c r="D2538" t="inlineStr">
        <is>
          <t>886</t>
        </is>
      </c>
      <c r="E2538" t="inlineStr">
        <is>
          <t>No aplica</t>
        </is>
      </c>
      <c r="F2538" s="23" t="n">
        <v>46268</v>
      </c>
      <c r="G2538" t="inlineStr">
        <is>
          <t>recoleccion</t>
        </is>
      </c>
      <c r="H2538" s="26" t="n">
        <v>866311396</v>
      </c>
      <c r="I2538" t="inlineStr">
        <is>
          <t>bajo</t>
        </is>
      </c>
      <c r="J2538" t="inlineStr">
        <is>
          <t>RN-41: riesgo de exceder el cupo</t>
        </is>
      </c>
      <c r="K2538" t="inlineStr">
        <is>
          <t>Recolección por riesgo de exceder el cupo: el saldo al cierre ($8.900.311.396) pasa el cupo $8.034.000.000. Se recogen $866.311.396 y el saldo queda en $8.034.000.000. En sus últimos 180 días la sucursal recibe más de lo que paga (entradas medias $1.493.767.969/día &gt; salidas medias $838.692.944/día); el neto diario varía $672.320.873 (σ). Costo estimado $425.982 (Anexo E: fijo $11.885 + $5 por cada $10.000 movidos).</t>
        </is>
      </c>
      <c r="L2538" s="26" t="n">
        <v>8034000000</v>
      </c>
      <c r="M2538" s="26" t="n">
        <v>8900311396</v>
      </c>
      <c r="N2538" s="27">
        <f>IF(ISNUMBER(M2538),M2538/L2538,"No aplica")</f>
        <v>1.107830644261887</v>
      </c>
      <c r="O2538" s="25">
        <f>IF(G2538="provision",M2538+H2538,IF(G2538="recoleccion",M2538-H2538,"No aplica"))</f>
        <v>8034000000</v>
      </c>
      <c r="P2538" s="26" t="n">
        <v>425982</v>
      </c>
    </row>
    <row r="2539">
      <c r="A2539" t="inlineStr">
        <is>
          <t>PRAGMA</t>
        </is>
      </c>
      <c r="B2539" t="inlineStr">
        <is>
          <t>M3</t>
        </is>
      </c>
      <c r="C2539" t="inlineStr">
        <is>
          <t>Pasto</t>
        </is>
      </c>
      <c r="D2539" t="inlineStr">
        <is>
          <t>886</t>
        </is>
      </c>
      <c r="E2539" t="inlineStr">
        <is>
          <t>No aplica</t>
        </is>
      </c>
      <c r="F2539" s="23" t="n">
        <v>46269</v>
      </c>
      <c r="G2539" t="inlineStr">
        <is>
          <t>recoleccion</t>
        </is>
      </c>
      <c r="H2539" s="26" t="n">
        <v>899987099</v>
      </c>
      <c r="I2539" t="inlineStr">
        <is>
          <t>bajo</t>
        </is>
      </c>
      <c r="J2539" t="inlineStr">
        <is>
          <t>RN-41: riesgo de exceder el cupo</t>
        </is>
      </c>
      <c r="K2539" t="inlineStr">
        <is>
          <t>Recolección por riesgo de exceder el cupo: el saldo al cierre ($8.933.987.099) pasa el cupo $8.034.000.000. Se recogen $899.987.099 y el saldo queda en $8.034.000.000. En sus últimos 180 días la sucursal recibe más de lo que paga (entradas medias $1.493.767.969/día &gt; salidas medias $838.692.944/día); el neto diario varía $672.320.873 (σ). Costo estimado $442.079 (Anexo E: fijo $11.885 + $5 por cada $10.000 movidos).</t>
        </is>
      </c>
      <c r="L2539" s="26" t="n">
        <v>8034000000</v>
      </c>
      <c r="M2539" s="26" t="n">
        <v>8933987099</v>
      </c>
      <c r="N2539" s="27">
        <f>IF(ISNUMBER(M2539),M2539/L2539,"No aplica")</f>
        <v>1.1120222926313168</v>
      </c>
      <c r="O2539" s="25">
        <f>IF(G2539="provision",M2539+H2539,IF(G2539="recoleccion",M2539-H2539,"No aplica"))</f>
        <v>8034000000</v>
      </c>
      <c r="P2539" s="26" t="n">
        <v>442079</v>
      </c>
    </row>
    <row r="2540">
      <c r="A2540" t="inlineStr">
        <is>
          <t>PRAGMA</t>
        </is>
      </c>
      <c r="B2540" t="inlineStr">
        <is>
          <t>M3</t>
        </is>
      </c>
      <c r="C2540" t="inlineStr">
        <is>
          <t>Pasto</t>
        </is>
      </c>
      <c r="D2540" t="inlineStr">
        <is>
          <t>886</t>
        </is>
      </c>
      <c r="E2540" t="inlineStr">
        <is>
          <t>No aplica</t>
        </is>
      </c>
      <c r="F2540" s="23" t="n">
        <v>46270</v>
      </c>
      <c r="G2540" t="inlineStr">
        <is>
          <t>recoleccion</t>
        </is>
      </c>
      <c r="H2540" s="26" t="n">
        <v>2599157</v>
      </c>
      <c r="I2540" t="inlineStr">
        <is>
          <t>bajo</t>
        </is>
      </c>
      <c r="J2540" t="inlineStr">
        <is>
          <t>RN-41: riesgo de exceder el cupo</t>
        </is>
      </c>
      <c r="K2540" t="inlineStr">
        <is>
          <t>Recolección por riesgo de exceder el cupo: el saldo al cierre ($8.036.599.157) pasa el cupo $8.034.000.000. Se recogen $2.599.157 y el saldo queda en $8.034.000.000. En sus últimos 180 días la sucursal recibe más de lo que paga (entradas medias $1.493.767.969/día &gt; salidas medias $838.692.944/día); el neto diario varía $672.320.873 (σ). Costo estimado $13.127 (Anexo E: fijo $11.885 + $5 por cada $10.000 movidos).</t>
        </is>
      </c>
      <c r="L2540" s="26" t="n">
        <v>8034000000</v>
      </c>
      <c r="M2540" s="26" t="n">
        <v>8036599157</v>
      </c>
      <c r="N2540" s="27">
        <f>IF(ISNUMBER(M2540),M2540/L2540,"No aplica")</f>
        <v>1.0003235196664177</v>
      </c>
      <c r="O2540" s="25">
        <f>IF(G2540="provision",M2540+H2540,IF(G2540="recoleccion",M2540-H2540,"No aplica"))</f>
        <v>8034000000</v>
      </c>
      <c r="P2540" s="26" t="n">
        <v>13127</v>
      </c>
    </row>
    <row r="2541">
      <c r="A2541" t="inlineStr">
        <is>
          <t>PRAGMA</t>
        </is>
      </c>
      <c r="B2541" t="inlineStr">
        <is>
          <t>M3</t>
        </is>
      </c>
      <c r="C2541" t="inlineStr">
        <is>
          <t>Pasto</t>
        </is>
      </c>
      <c r="D2541" t="inlineStr">
        <is>
          <t>886</t>
        </is>
      </c>
      <c r="E2541" t="inlineStr">
        <is>
          <t>No aplica</t>
        </is>
      </c>
      <c r="F2541" s="23" t="n">
        <v>46271</v>
      </c>
      <c r="G2541" t="inlineStr">
        <is>
          <t>recoleccion</t>
        </is>
      </c>
      <c r="H2541" s="26" t="n">
        <v>230094</v>
      </c>
      <c r="I2541" t="inlineStr">
        <is>
          <t>bajo</t>
        </is>
      </c>
      <c r="J2541" t="inlineStr">
        <is>
          <t>RN-41: riesgo de exceder el cupo</t>
        </is>
      </c>
      <c r="K2541" t="inlineStr">
        <is>
          <t>Recolección por riesgo de exceder el cupo: el saldo al cierre ($8.034.230.094) pasa el cupo $8.034.000.000. Se recogen $230.094 y el saldo queda en $8.034.000.000. En sus últimos 180 días la sucursal recibe más de lo que paga (entradas medias $1.493.767.969/día &gt; salidas medias $838.692.944/día); el neto diario varía $672.320.873 (σ). Costo estimado $11.995 (Anexo E: fijo $11.885 + $5 por cada $10.000 movidos).</t>
        </is>
      </c>
      <c r="L2541" s="26" t="n">
        <v>8034000000</v>
      </c>
      <c r="M2541" s="26" t="n">
        <v>8034230094</v>
      </c>
      <c r="N2541" s="27">
        <f>IF(ISNUMBER(M2541),M2541/L2541,"No aplica")</f>
        <v>1.000028640029873</v>
      </c>
      <c r="O2541" s="25">
        <f>IF(G2541="provision",M2541+H2541,IF(G2541="recoleccion",M2541-H2541,"No aplica"))</f>
        <v>8034000000</v>
      </c>
      <c r="P2541" s="26" t="n">
        <v>11995</v>
      </c>
    </row>
    <row r="2542">
      <c r="A2542" t="inlineStr">
        <is>
          <t>PRAGMA</t>
        </is>
      </c>
      <c r="B2542" t="inlineStr">
        <is>
          <t>M3</t>
        </is>
      </c>
      <c r="C2542" t="inlineStr">
        <is>
          <t>Pasto</t>
        </is>
      </c>
      <c r="D2542" t="inlineStr">
        <is>
          <t>886</t>
        </is>
      </c>
      <c r="E2542" t="inlineStr">
        <is>
          <t>No aplica</t>
        </is>
      </c>
      <c r="F2542" s="23" t="n">
        <v>46272</v>
      </c>
      <c r="G2542" t="inlineStr">
        <is>
          <t>recoleccion</t>
        </is>
      </c>
      <c r="H2542" s="26" t="n">
        <v>1004018901</v>
      </c>
      <c r="I2542" t="inlineStr">
        <is>
          <t>bajo</t>
        </is>
      </c>
      <c r="J2542" t="inlineStr">
        <is>
          <t>RN-41: riesgo de exceder el cupo</t>
        </is>
      </c>
      <c r="K2542" t="inlineStr">
        <is>
          <t>Recolección por riesgo de exceder el cupo: el saldo al cierre ($9.038.018.901) pasa el cupo $8.034.000.000. Se recogen $1.004.018.901 y el saldo queda en $8.034.000.000. En sus últimos 180 días la sucursal recibe más de lo que paga (entradas medias $1.493.767.969/día &gt; salidas medias $838.692.944/día); el neto diario varía $672.320.873 (σ). Costo estimado $491.806 (Anexo E: fijo $11.885 + $5 por cada $10.000 movidos).</t>
        </is>
      </c>
      <c r="L2542" s="26" t="n">
        <v>8034000000</v>
      </c>
      <c r="M2542" s="26" t="n">
        <v>9038018901</v>
      </c>
      <c r="N2542" s="27">
        <f>IF(ISNUMBER(M2542),M2542/L2542,"No aplica")</f>
        <v>1.1249712348767738</v>
      </c>
      <c r="O2542" s="25">
        <f>IF(G2542="provision",M2542+H2542,IF(G2542="recoleccion",M2542-H2542,"No aplica"))</f>
        <v>8034000000</v>
      </c>
      <c r="P2542" s="26" t="n">
        <v>491806</v>
      </c>
    </row>
    <row r="2543">
      <c r="A2543" t="inlineStr">
        <is>
          <t>PRAGMA</t>
        </is>
      </c>
      <c r="B2543" t="inlineStr">
        <is>
          <t>M3</t>
        </is>
      </c>
      <c r="C2543" t="inlineStr">
        <is>
          <t>Pasto</t>
        </is>
      </c>
      <c r="D2543" t="inlineStr">
        <is>
          <t>886</t>
        </is>
      </c>
      <c r="E2543" t="inlineStr">
        <is>
          <t>No aplica</t>
        </is>
      </c>
      <c r="F2543" s="23" t="n">
        <v>46273</v>
      </c>
      <c r="G2543" t="inlineStr">
        <is>
          <t>recoleccion</t>
        </is>
      </c>
      <c r="H2543" s="26" t="n">
        <v>988141282</v>
      </c>
      <c r="I2543" t="inlineStr">
        <is>
          <t>bajo</t>
        </is>
      </c>
      <c r="J2543" t="inlineStr">
        <is>
          <t>RN-41: riesgo de exceder el cupo</t>
        </is>
      </c>
      <c r="K2543" t="inlineStr">
        <is>
          <t>Recolección por riesgo de exceder el cupo: el saldo al cierre ($9.022.141.282) pasa el cupo $8.034.000.000. Se recogen $988.141.282 y el saldo queda en $8.034.000.000. En sus últimos 180 días la sucursal recibe más de lo que paga (entradas medias $1.493.767.969/día &gt; salidas medias $838.692.944/día); el neto diario varía $672.320.873 (σ). Costo estimado $484.217 (Anexo E: fijo $11.885 + $5 por cada $10.000 movidos).</t>
        </is>
      </c>
      <c r="L2543" s="26" t="n">
        <v>8034000000</v>
      </c>
      <c r="M2543" s="26" t="n">
        <v>9022141282</v>
      </c>
      <c r="N2543" s="27">
        <f>IF(ISNUMBER(M2543),M2543/L2543,"No aplica")</f>
        <v>1.1229949317898928</v>
      </c>
      <c r="O2543" s="25">
        <f>IF(G2543="provision",M2543+H2543,IF(G2543="recoleccion",M2543-H2543,"No aplica"))</f>
        <v>8034000000</v>
      </c>
      <c r="P2543" s="26" t="n">
        <v>484217</v>
      </c>
    </row>
    <row r="2544">
      <c r="A2544" t="inlineStr">
        <is>
          <t>PRAGMA</t>
        </is>
      </c>
      <c r="B2544" t="inlineStr">
        <is>
          <t>M3</t>
        </is>
      </c>
      <c r="C2544" t="inlineStr">
        <is>
          <t>Pasto</t>
        </is>
      </c>
      <c r="D2544" t="inlineStr">
        <is>
          <t>886</t>
        </is>
      </c>
      <c r="E2544" t="inlineStr">
        <is>
          <t>No aplica</t>
        </is>
      </c>
      <c r="F2544" s="23" t="n">
        <v>46274</v>
      </c>
      <c r="G2544" t="inlineStr">
        <is>
          <t>recoleccion</t>
        </is>
      </c>
      <c r="H2544" s="26" t="n">
        <v>1091362182</v>
      </c>
      <c r="I2544" t="inlineStr">
        <is>
          <t>bajo</t>
        </is>
      </c>
      <c r="J2544" t="inlineStr">
        <is>
          <t>RN-41: riesgo de exceder el cupo</t>
        </is>
      </c>
      <c r="K2544" t="inlineStr">
        <is>
          <t>Recolección por riesgo de exceder el cupo: el saldo al cierre ($9.125.362.182) pasa el cupo $8.034.000.000. Se recogen $1.091.362.182 y el saldo queda en $8.034.000.000. En sus últimos 180 días la sucursal recibe más de lo que paga (entradas medias $1.493.767.969/día &gt; salidas medias $838.692.944/día); el neto diario varía $672.320.873 (σ). Costo estimado $533.556 (Anexo E: fijo $11.885 + $5 por cada $10.000 movidos).</t>
        </is>
      </c>
      <c r="L2544" s="26" t="n">
        <v>8034000000</v>
      </c>
      <c r="M2544" s="26" t="n">
        <v>9125362182</v>
      </c>
      <c r="N2544" s="27">
        <f>IF(ISNUMBER(M2544),M2544/L2544,"No aplica")</f>
        <v>1.1358429402539207</v>
      </c>
      <c r="O2544" s="25">
        <f>IF(G2544="provision",M2544+H2544,IF(G2544="recoleccion",M2544-H2544,"No aplica"))</f>
        <v>8034000000</v>
      </c>
      <c r="P2544" s="26" t="n">
        <v>533556</v>
      </c>
    </row>
    <row r="2545">
      <c r="A2545" t="inlineStr">
        <is>
          <t>PRAGMA</t>
        </is>
      </c>
      <c r="B2545" t="inlineStr">
        <is>
          <t>M3</t>
        </is>
      </c>
      <c r="C2545" t="inlineStr">
        <is>
          <t>Pasto</t>
        </is>
      </c>
      <c r="D2545" t="inlineStr">
        <is>
          <t>886</t>
        </is>
      </c>
      <c r="E2545" t="inlineStr">
        <is>
          <t>No aplica</t>
        </is>
      </c>
      <c r="F2545" s="23" t="n">
        <v>46275</v>
      </c>
      <c r="G2545" t="inlineStr">
        <is>
          <t>recoleccion</t>
        </is>
      </c>
      <c r="H2545" s="26" t="n">
        <v>791370305</v>
      </c>
      <c r="I2545" t="inlineStr">
        <is>
          <t>bajo</t>
        </is>
      </c>
      <c r="J2545" t="inlineStr">
        <is>
          <t>RN-41: riesgo de exceder el cupo</t>
        </is>
      </c>
      <c r="K2545" t="inlineStr">
        <is>
          <t>Recolección por riesgo de exceder el cupo: el saldo al cierre ($8.825.370.305) pasa el cupo $8.034.000.000. Se recogen $791.370.305 y el saldo queda en $8.034.000.000. En sus últimos 180 días la sucursal recibe más de lo que paga (entradas medias $1.493.767.969/día &gt; salidas medias $838.692.944/día); el neto diario varía $672.320.873 (σ). Costo estimado $390.160 (Anexo E: fijo $11.885 + $5 por cada $10.000 movidos).</t>
        </is>
      </c>
      <c r="L2545" s="26" t="n">
        <v>8034000000</v>
      </c>
      <c r="M2545" s="26" t="n">
        <v>8825370305</v>
      </c>
      <c r="N2545" s="27">
        <f>IF(ISNUMBER(M2545),M2545/L2545,"No aplica")</f>
        <v>1.098502651854618</v>
      </c>
      <c r="O2545" s="25">
        <f>IF(G2545="provision",M2545+H2545,IF(G2545="recoleccion",M2545-H2545,"No aplica"))</f>
        <v>8034000000</v>
      </c>
      <c r="P2545" s="26" t="n">
        <v>390160</v>
      </c>
    </row>
    <row r="2546">
      <c r="A2546" t="inlineStr">
        <is>
          <t>PRAGMA</t>
        </is>
      </c>
      <c r="B2546" t="inlineStr">
        <is>
          <t>M3</t>
        </is>
      </c>
      <c r="C2546" t="inlineStr">
        <is>
          <t>Pasto</t>
        </is>
      </c>
      <c r="D2546" t="inlineStr">
        <is>
          <t>886</t>
        </is>
      </c>
      <c r="E2546" t="inlineStr">
        <is>
          <t>No aplica</t>
        </is>
      </c>
      <c r="F2546" s="23" t="n">
        <v>46276</v>
      </c>
      <c r="G2546" t="inlineStr">
        <is>
          <t>recoleccion</t>
        </is>
      </c>
      <c r="H2546" s="26" t="n">
        <v>1061704388</v>
      </c>
      <c r="I2546" t="inlineStr">
        <is>
          <t>bajo</t>
        </is>
      </c>
      <c r="J2546" t="inlineStr">
        <is>
          <t>RN-41: riesgo de exceder el cupo</t>
        </is>
      </c>
      <c r="K2546" t="inlineStr">
        <is>
          <t>Recolección por riesgo de exceder el cupo: el saldo al cierre ($9.095.704.388) pasa el cupo $8.034.000.000. Se recogen $1.061.704.388 y el saldo queda en $8.034.000.000. En sus últimos 180 días la sucursal recibe más de lo que paga (entradas medias $1.493.767.969/día &gt; salidas medias $838.692.944/día); el neto diario varía $672.320.873 (σ). Costo estimado $519.380 (Anexo E: fijo $11.885 + $5 por cada $10.000 movidos).</t>
        </is>
      </c>
      <c r="L2546" s="26" t="n">
        <v>8034000000</v>
      </c>
      <c r="M2546" s="26" t="n">
        <v>9095704388</v>
      </c>
      <c r="N2546" s="27">
        <f>IF(ISNUMBER(M2546),M2546/L2546,"No aplica")</f>
        <v>1.1321514050286283</v>
      </c>
      <c r="O2546" s="25">
        <f>IF(G2546="provision",M2546+H2546,IF(G2546="recoleccion",M2546-H2546,"No aplica"))</f>
        <v>8034000000</v>
      </c>
      <c r="P2546" s="26" t="n">
        <v>519380</v>
      </c>
    </row>
    <row r="2547">
      <c r="A2547" t="inlineStr">
        <is>
          <t>PRAGMA</t>
        </is>
      </c>
      <c r="B2547" t="inlineStr">
        <is>
          <t>M3</t>
        </is>
      </c>
      <c r="C2547" t="inlineStr">
        <is>
          <t>Pasto</t>
        </is>
      </c>
      <c r="D2547" t="inlineStr">
        <is>
          <t>886</t>
        </is>
      </c>
      <c r="E2547" t="inlineStr">
        <is>
          <t>No aplica</t>
        </is>
      </c>
      <c r="F2547" s="23" t="n">
        <v>46277</v>
      </c>
      <c r="G2547" t="inlineStr">
        <is>
          <t>recoleccion</t>
        </is>
      </c>
      <c r="H2547" s="26" t="n">
        <v>471795</v>
      </c>
      <c r="I2547" t="inlineStr">
        <is>
          <t>bajo</t>
        </is>
      </c>
      <c r="J2547" t="inlineStr">
        <is>
          <t>RN-41: riesgo de exceder el cupo</t>
        </is>
      </c>
      <c r="K2547" t="inlineStr">
        <is>
          <t>Recolección por riesgo de exceder el cupo: el saldo al cierre ($8.034.471.795) pasa el cupo $8.034.000.000. Se recogen $471.795 y el saldo queda en $8.034.000.000. En sus últimos 180 días la sucursal recibe más de lo que paga (entradas medias $1.493.767.969/día &gt; salidas medias $838.692.944/día); el neto diario varía $672.320.873 (σ). Costo estimado $12.111 (Anexo E: fijo $11.885 + $5 por cada $10.000 movidos).</t>
        </is>
      </c>
      <c r="L2547" s="26" t="n">
        <v>8034000000</v>
      </c>
      <c r="M2547" s="26" t="n">
        <v>8034471795</v>
      </c>
      <c r="N2547" s="27">
        <f>IF(ISNUMBER(M2547),M2547/L2547,"No aplica")</f>
        <v>1.0000587247946229</v>
      </c>
      <c r="O2547" s="25">
        <f>IF(G2547="provision",M2547+H2547,IF(G2547="recoleccion",M2547-H2547,"No aplica"))</f>
        <v>8034000000</v>
      </c>
      <c r="P2547" s="26" t="n">
        <v>12111</v>
      </c>
    </row>
    <row r="2548">
      <c r="A2548" t="inlineStr">
        <is>
          <t>PRAGMA</t>
        </is>
      </c>
      <c r="B2548" t="inlineStr">
        <is>
          <t>M3</t>
        </is>
      </c>
      <c r="C2548" t="inlineStr">
        <is>
          <t>Pasto</t>
        </is>
      </c>
      <c r="D2548" t="inlineStr">
        <is>
          <t>886</t>
        </is>
      </c>
      <c r="E2548" t="inlineStr">
        <is>
          <t>No aplica</t>
        </is>
      </c>
      <c r="F2548" s="23" t="n">
        <v>46278</v>
      </c>
      <c r="G2548" t="inlineStr">
        <is>
          <t>recoleccion</t>
        </is>
      </c>
      <c r="H2548" s="26" t="n">
        <v>67071</v>
      </c>
      <c r="I2548" t="inlineStr">
        <is>
          <t>bajo</t>
        </is>
      </c>
      <c r="J2548" t="inlineStr">
        <is>
          <t>RN-41: riesgo de exceder el cupo</t>
        </is>
      </c>
      <c r="K2548" t="inlineStr">
        <is>
          <t>Recolección por riesgo de exceder el cupo: el saldo al cierre ($8.034.067.071) pasa el cupo $8.034.000.000. Se recogen $67.071 y el saldo queda en $8.034.000.000. En sus últimos 180 días la sucursal recibe más de lo que paga (entradas medias $1.493.767.969/día &gt; salidas medias $838.692.944/día); el neto diario varía $672.320.873 (σ). Costo estimado $11.917 (Anexo E: fijo $11.885 + $5 por cada $10.000 movidos).</t>
        </is>
      </c>
      <c r="L2548" s="26" t="n">
        <v>8034000000</v>
      </c>
      <c r="M2548" s="26" t="n">
        <v>8034067071</v>
      </c>
      <c r="N2548" s="27">
        <f>IF(ISNUMBER(M2548),M2548/L2548,"No aplica")</f>
        <v>1.000008348394324</v>
      </c>
      <c r="O2548" s="25">
        <f>IF(G2548="provision",M2548+H2548,IF(G2548="recoleccion",M2548-H2548,"No aplica"))</f>
        <v>8034000000</v>
      </c>
      <c r="P2548" s="26" t="n">
        <v>11917</v>
      </c>
    </row>
    <row r="2549">
      <c r="A2549" t="inlineStr">
        <is>
          <t>PRAGMA</t>
        </is>
      </c>
      <c r="B2549" t="inlineStr">
        <is>
          <t>M3</t>
        </is>
      </c>
      <c r="C2549" t="inlineStr">
        <is>
          <t>Pasto</t>
        </is>
      </c>
      <c r="D2549" t="inlineStr">
        <is>
          <t>886</t>
        </is>
      </c>
      <c r="E2549" t="inlineStr">
        <is>
          <t>No aplica</t>
        </is>
      </c>
      <c r="F2549" s="23" t="n">
        <v>46279</v>
      </c>
      <c r="G2549" t="inlineStr">
        <is>
          <t>recoleccion</t>
        </is>
      </c>
      <c r="H2549" s="26" t="n">
        <v>1057527658</v>
      </c>
      <c r="I2549" t="inlineStr">
        <is>
          <t>bajo</t>
        </is>
      </c>
      <c r="J2549" t="inlineStr">
        <is>
          <t>RN-41: riesgo de exceder el cupo</t>
        </is>
      </c>
      <c r="K2549" t="inlineStr">
        <is>
          <t>Recolección por riesgo de exceder el cupo: el saldo al cierre ($9.091.527.658) pasa el cupo $8.034.000.000. Se recogen $1.057.527.658 y el saldo queda en $8.034.000.000. En sus últimos 180 días la sucursal recibe más de lo que paga (entradas medias $1.493.767.969/día &gt; salidas medias $838.692.944/día); el neto diario varía $672.320.873 (σ). Costo estimado $517.383 (Anexo E: fijo $11.885 + $5 por cada $10.000 movidos).</t>
        </is>
      </c>
      <c r="L2549" s="26" t="n">
        <v>8034000000</v>
      </c>
      <c r="M2549" s="26" t="n">
        <v>9091527658</v>
      </c>
      <c r="N2549" s="27">
        <f>IF(ISNUMBER(M2549),M2549/L2549,"No aplica")</f>
        <v>1.1316315232760767</v>
      </c>
      <c r="O2549" s="25">
        <f>IF(G2549="provision",M2549+H2549,IF(G2549="recoleccion",M2549-H2549,"No aplica"))</f>
        <v>8034000000</v>
      </c>
      <c r="P2549" s="26" t="n">
        <v>517383</v>
      </c>
    </row>
    <row r="2550">
      <c r="A2550" t="inlineStr">
        <is>
          <t>PRAGMA</t>
        </is>
      </c>
      <c r="B2550" t="inlineStr">
        <is>
          <t>M3</t>
        </is>
      </c>
      <c r="C2550" t="inlineStr">
        <is>
          <t>Pasto</t>
        </is>
      </c>
      <c r="D2550" t="inlineStr">
        <is>
          <t>886</t>
        </is>
      </c>
      <c r="E2550" t="inlineStr">
        <is>
          <t>No aplica</t>
        </is>
      </c>
      <c r="F2550" s="23" t="n">
        <v>46280</v>
      </c>
      <c r="G2550" t="inlineStr">
        <is>
          <t>recoleccion</t>
        </is>
      </c>
      <c r="H2550" s="26" t="n">
        <v>942190129</v>
      </c>
      <c r="I2550" t="inlineStr">
        <is>
          <t>bajo</t>
        </is>
      </c>
      <c r="J2550" t="inlineStr">
        <is>
          <t>RN-41: riesgo de exceder el cupo</t>
        </is>
      </c>
      <c r="K2550" t="inlineStr">
        <is>
          <t>Recolección por riesgo de exceder el cupo: el saldo al cierre ($8.976.190.129) pasa el cupo $8.034.000.000. Se recogen $942.190.129 y el saldo queda en $8.034.000.000. En sus últimos 180 días la sucursal recibe más de lo que paga (entradas medias $1.493.767.969/día &gt; salidas medias $838.692.944/día); el neto diario varía $672.320.873 (σ). Costo estimado $462.252 (Anexo E: fijo $11.885 + $5 por cada $10.000 movidos).</t>
        </is>
      </c>
      <c r="L2550" s="26" t="n">
        <v>8034000000</v>
      </c>
      <c r="M2550" s="26" t="n">
        <v>8976190129</v>
      </c>
      <c r="N2550" s="27">
        <f>IF(ISNUMBER(M2550),M2550/L2550,"No aplica")</f>
        <v>1.117275345904904</v>
      </c>
      <c r="O2550" s="25">
        <f>IF(G2550="provision",M2550+H2550,IF(G2550="recoleccion",M2550-H2550,"No aplica"))</f>
        <v>8034000000</v>
      </c>
      <c r="P2550" s="26" t="n">
        <v>462252</v>
      </c>
    </row>
    <row r="2551">
      <c r="A2551" t="inlineStr">
        <is>
          <t>PRAGMA</t>
        </is>
      </c>
      <c r="B2551" t="inlineStr">
        <is>
          <t>M3</t>
        </is>
      </c>
      <c r="C2551" t="inlineStr">
        <is>
          <t>Ipiales</t>
        </is>
      </c>
      <c r="D2551" t="inlineStr">
        <is>
          <t>890</t>
        </is>
      </c>
      <c r="E2551" t="inlineStr">
        <is>
          <t>No aplica</t>
        </is>
      </c>
      <c r="F2551" s="23" t="n">
        <v>46266</v>
      </c>
      <c r="G2551" t="inlineStr">
        <is>
          <t>sin_accion</t>
        </is>
      </c>
      <c r="H2551" s="26" t="n">
        <v>0</v>
      </c>
      <c r="I2551" t="inlineStr">
        <is>
          <t>bajo</t>
        </is>
      </c>
      <c r="J2551" t="inlineStr">
        <is>
          <t>RN-02: una fila sin_accion</t>
        </is>
      </c>
      <c r="K2551" t="inlineStr">
        <is>
          <t>Sin accion en el horizonte: con el pronostico, el saldo se mantiene entre el umbral de agotamiento y el cupo sin necesidad de provision ni recoleccion.</t>
        </is>
      </c>
      <c r="L2551" s="26" t="n">
        <v>11017000000</v>
      </c>
      <c r="M2551" s="26" t="inlineStr">
        <is>
          <t>No aplica</t>
        </is>
      </c>
      <c r="N2551" s="27" t="str">
        <f>IF(ISNUMBER(M2551),M2551/L2551,"No aplica")</f>
        <v>No aplica</v>
      </c>
      <c r="O2551" s="25" t="str">
        <f>IF(G2551="provision",M2551+H2551,IF(G2551="recoleccion",M2551-H2551,"No aplica"))</f>
        <v>No aplica</v>
      </c>
      <c r="P2551" s="26" t="inlineStr">
        <is>
          <t>No aplica</t>
        </is>
      </c>
    </row>
    <row r="2552">
      <c r="A2552" t="inlineStr">
        <is>
          <t>PRAGMA</t>
        </is>
      </c>
      <c r="B2552" t="inlineStr">
        <is>
          <t>M3</t>
        </is>
      </c>
      <c r="C2552" t="inlineStr">
        <is>
          <t>Ipiales</t>
        </is>
      </c>
      <c r="D2552" t="inlineStr">
        <is>
          <t>893</t>
        </is>
      </c>
      <c r="E2552" t="inlineStr">
        <is>
          <t>No aplica</t>
        </is>
      </c>
      <c r="F2552" s="23" t="n">
        <v>46266</v>
      </c>
      <c r="G2552" t="inlineStr">
        <is>
          <t>sin_accion</t>
        </is>
      </c>
      <c r="H2552" s="26" t="n">
        <v>0</v>
      </c>
      <c r="I2552" t="inlineStr">
        <is>
          <t>bajo</t>
        </is>
      </c>
      <c r="J2552" t="inlineStr">
        <is>
          <t>RN-02: una fila sin_accion</t>
        </is>
      </c>
      <c r="K2552" t="inlineStr">
        <is>
          <t>Sin accion en el horizonte: con el pronostico, el saldo se mantiene entre el umbral de agotamiento y el cupo sin necesidad de provision ni recoleccion.</t>
        </is>
      </c>
      <c r="L2552" s="26" t="n">
        <v>13047226800</v>
      </c>
      <c r="M2552" s="26" t="inlineStr">
        <is>
          <t>No aplica</t>
        </is>
      </c>
      <c r="N2552" s="27" t="str">
        <f>IF(ISNUMBER(M2552),M2552/L2552,"No aplica")</f>
        <v>No aplica</v>
      </c>
      <c r="O2552" s="25" t="str">
        <f>IF(G2552="provision",M2552+H2552,IF(G2552="recoleccion",M2552-H2552,"No aplica"))</f>
        <v>No aplica</v>
      </c>
      <c r="P2552" s="26" t="inlineStr">
        <is>
          <t>No aplica</t>
        </is>
      </c>
    </row>
    <row r="2553">
      <c r="A2553" t="inlineStr">
        <is>
          <t>PRAGMA</t>
        </is>
      </c>
      <c r="B2553" t="inlineStr">
        <is>
          <t>M3</t>
        </is>
      </c>
      <c r="C2553" t="inlineStr">
        <is>
          <t>Cali</t>
        </is>
      </c>
      <c r="D2553" t="inlineStr">
        <is>
          <t>972</t>
        </is>
      </c>
      <c r="E2553" t="inlineStr">
        <is>
          <t>No aplica</t>
        </is>
      </c>
      <c r="F2553" s="23" t="n">
        <v>46266</v>
      </c>
      <c r="G2553" t="inlineStr">
        <is>
          <t>recoleccion</t>
        </is>
      </c>
      <c r="H2553" s="26" t="n">
        <v>38977522</v>
      </c>
      <c r="I2553" t="inlineStr">
        <is>
          <t>bajo</t>
        </is>
      </c>
      <c r="J2553" t="inlineStr">
        <is>
          <t>RN-41: riesgo de exceder el cupo</t>
        </is>
      </c>
      <c r="K2553" t="inlineStr">
        <is>
          <t>Recolección por riesgo de exceder el cupo: el saldo al cierre ($3.538.772.082) pasa el cupo $3.499.794.560. Se recogen $38.977.522 y el saldo queda en $3.499.794.560. En sus últimos 180 días la sucursal paga más de lo que recibe (salidas medias $219.520.687/día &gt; entradas medias $188.085.798/día); el neto diario varía $213.056.005 (σ). Costo estimado $39.693 (Anexo E: fijo $16.657 + $6 por cada $10.000 movidos).</t>
        </is>
      </c>
      <c r="L2553" s="26" t="n">
        <v>3499794560</v>
      </c>
      <c r="M2553" s="26" t="n">
        <v>3538772082</v>
      </c>
      <c r="N2553" s="27">
        <f>IF(ISNUMBER(M2553),M2553/L2553,"No aplica")</f>
        <v>1.0111370885724218</v>
      </c>
      <c r="O2553" s="25">
        <f>IF(G2553="provision",M2553+H2553,IF(G2553="recoleccion",M2553-H2553,"No aplica"))</f>
        <v>3499794560</v>
      </c>
      <c r="P2553" s="26" t="n">
        <v>39693</v>
      </c>
    </row>
    <row r="2554">
      <c r="A2554" t="inlineStr">
        <is>
          <t>PRAGMA</t>
        </is>
      </c>
      <c r="B2554" t="inlineStr">
        <is>
          <t>M3</t>
        </is>
      </c>
      <c r="C2554" t="inlineStr">
        <is>
          <t>Cali</t>
        </is>
      </c>
      <c r="D2554" t="inlineStr">
        <is>
          <t>972</t>
        </is>
      </c>
      <c r="E2554" t="inlineStr">
        <is>
          <t>No aplica</t>
        </is>
      </c>
      <c r="F2554" s="23" t="n">
        <v>46267</v>
      </c>
      <c r="G2554" t="inlineStr">
        <is>
          <t>recoleccion</t>
        </is>
      </c>
      <c r="H2554" s="26" t="n">
        <v>48790602</v>
      </c>
      <c r="I2554" t="inlineStr">
        <is>
          <t>bajo</t>
        </is>
      </c>
      <c r="J2554" t="inlineStr">
        <is>
          <t>RN-41: riesgo de exceder el cupo</t>
        </is>
      </c>
      <c r="K2554" t="inlineStr">
        <is>
          <t>Recolección por riesgo de exceder el cupo: el saldo al cierre ($3.548.585.162) pasa el cupo $3.499.794.560. Se recogen $48.790.602 y el saldo queda en $3.499.794.560. En sus últimos 180 días la sucursal paga más de lo que recibe (salidas medias $219.520.687/día &gt; entradas medias $188.085.798/día); el neto diario varía $213.056.005 (σ). Costo estimado $45.492 (Anexo E: fijo $16.657 + $6 por cada $10.000 movidos).</t>
        </is>
      </c>
      <c r="L2554" s="26" t="n">
        <v>3499794560</v>
      </c>
      <c r="M2554" s="26" t="n">
        <v>3548585162</v>
      </c>
      <c r="N2554" s="27">
        <f>IF(ISNUMBER(M2554),M2554/L2554,"No aplica")</f>
        <v>1.013940990296299</v>
      </c>
      <c r="O2554" s="25">
        <f>IF(G2554="provision",M2554+H2554,IF(G2554="recoleccion",M2554-H2554,"No aplica"))</f>
        <v>3499794560</v>
      </c>
      <c r="P2554" s="26" t="n">
        <v>45492</v>
      </c>
    </row>
    <row r="2555">
      <c r="A2555" t="inlineStr">
        <is>
          <t>PRAGMA</t>
        </is>
      </c>
      <c r="B2555" t="inlineStr">
        <is>
          <t>M3</t>
        </is>
      </c>
      <c r="C2555" t="inlineStr">
        <is>
          <t>Cali</t>
        </is>
      </c>
      <c r="D2555" t="inlineStr">
        <is>
          <t>972</t>
        </is>
      </c>
      <c r="E2555" t="inlineStr">
        <is>
          <t>No aplica</t>
        </is>
      </c>
      <c r="F2555" s="23" t="n">
        <v>46268</v>
      </c>
      <c r="G2555" t="inlineStr">
        <is>
          <t>recoleccion</t>
        </is>
      </c>
      <c r="H2555" s="26" t="n">
        <v>38978866</v>
      </c>
      <c r="I2555" t="inlineStr">
        <is>
          <t>bajo</t>
        </is>
      </c>
      <c r="J2555" t="inlineStr">
        <is>
          <t>RN-41: riesgo de exceder el cupo</t>
        </is>
      </c>
      <c r="K2555" t="inlineStr">
        <is>
          <t>Recolección por riesgo de exceder el cupo: el saldo al cierre ($3.538.773.426) pasa el cupo $3.499.794.560. Se recogen $38.978.866 y el saldo queda en $3.499.794.560. En sus últimos 180 días la sucursal paga más de lo que recibe (salidas medias $219.520.687/día &gt; entradas medias $188.085.798/día); el neto diario varía $213.056.005 (σ). Costo estimado $39.694 (Anexo E: fijo $16.657 + $6 por cada $10.000 movidos).</t>
        </is>
      </c>
      <c r="L2555" s="26" t="n">
        <v>3499794560</v>
      </c>
      <c r="M2555" s="26" t="n">
        <v>3538773426</v>
      </c>
      <c r="N2555" s="27">
        <f>IF(ISNUMBER(M2555),M2555/L2555,"No aplica")</f>
        <v>1.011137472594963</v>
      </c>
      <c r="O2555" s="25">
        <f>IF(G2555="provision",M2555+H2555,IF(G2555="recoleccion",M2555-H2555,"No aplica"))</f>
        <v>3499794560</v>
      </c>
      <c r="P2555" s="26" t="n">
        <v>39694</v>
      </c>
    </row>
    <row r="2556">
      <c r="A2556" t="inlineStr">
        <is>
          <t>PRAGMA</t>
        </is>
      </c>
      <c r="B2556" t="inlineStr">
        <is>
          <t>M3</t>
        </is>
      </c>
      <c r="C2556" t="inlineStr">
        <is>
          <t>Cali</t>
        </is>
      </c>
      <c r="D2556" t="inlineStr">
        <is>
          <t>972</t>
        </is>
      </c>
      <c r="E2556" t="inlineStr">
        <is>
          <t>No aplica</t>
        </is>
      </c>
      <c r="F2556" s="23" t="n">
        <v>46271</v>
      </c>
      <c r="G2556" t="inlineStr">
        <is>
          <t>recoleccion</t>
        </is>
      </c>
      <c r="H2556" s="26" t="n">
        <v>1055174</v>
      </c>
      <c r="I2556" t="inlineStr">
        <is>
          <t>bajo</t>
        </is>
      </c>
      <c r="J2556" t="inlineStr">
        <is>
          <t>RN-41: riesgo de exceder el cupo</t>
        </is>
      </c>
      <c r="K2556" t="inlineStr">
        <is>
          <t>Recolección por riesgo de exceder el cupo: el saldo al cierre ($3.500.849.734) pasa el cupo $3.499.794.560. Se recogen $1.055.174 y el saldo queda en $3.499.794.560. En sus últimos 180 días la sucursal paga más de lo que recibe (salidas medias $219.520.687/día &gt; entradas medias $188.085.798/día); el neto diario varía $213.056.005 (σ). Costo estimado $17.281 (Anexo E: fijo $16.657 + $6 por cada $10.000 movidos).</t>
        </is>
      </c>
      <c r="L2556" s="26" t="n">
        <v>3499794560</v>
      </c>
      <c r="M2556" s="26" t="n">
        <v>3500849734</v>
      </c>
      <c r="N2556" s="27">
        <f>IF(ISNUMBER(M2556),M2556/L2556,"No aplica")</f>
        <v>1.000301495982667</v>
      </c>
      <c r="O2556" s="25">
        <f>IF(G2556="provision",M2556+H2556,IF(G2556="recoleccion",M2556-H2556,"No aplica"))</f>
        <v>3499794560</v>
      </c>
      <c r="P2556" s="26" t="n">
        <v>17281</v>
      </c>
    </row>
    <row r="2557">
      <c r="A2557" t="inlineStr">
        <is>
          <t>PRAGMA</t>
        </is>
      </c>
      <c r="B2557" t="inlineStr">
        <is>
          <t>M3</t>
        </is>
      </c>
      <c r="C2557" t="inlineStr">
        <is>
          <t>Cali</t>
        </is>
      </c>
      <c r="D2557" t="inlineStr">
        <is>
          <t>972</t>
        </is>
      </c>
      <c r="E2557" t="inlineStr">
        <is>
          <t>No aplica</t>
        </is>
      </c>
      <c r="F2557" s="23" t="n">
        <v>46272</v>
      </c>
      <c r="G2557" t="inlineStr">
        <is>
          <t>recoleccion</t>
        </is>
      </c>
      <c r="H2557" s="26" t="n">
        <v>45872923</v>
      </c>
      <c r="I2557" t="inlineStr">
        <is>
          <t>bajo</t>
        </is>
      </c>
      <c r="J2557" t="inlineStr">
        <is>
          <t>RN-41: riesgo de exceder el cupo</t>
        </is>
      </c>
      <c r="K2557" t="inlineStr">
        <is>
          <t>Recolección por riesgo de exceder el cupo: el saldo al cierre ($3.545.667.483) pasa el cupo $3.499.794.560. Se recogen $45.872.923 y el saldo queda en $3.499.794.560. En sus últimos 180 días la sucursal paga más de lo que recibe (salidas medias $219.520.687/día &gt; entradas medias $188.085.798/día); el neto diario varía $213.056.005 (σ). Costo estimado $43.768 (Anexo E: fijo $16.657 + $6 por cada $10.000 movidos).</t>
        </is>
      </c>
      <c r="L2557" s="26" t="n">
        <v>3499794560</v>
      </c>
      <c r="M2557" s="26" t="n">
        <v>3545667483</v>
      </c>
      <c r="N2557" s="27">
        <f>IF(ISNUMBER(M2557),M2557/L2557,"No aplica")</f>
        <v>1.013107318790735</v>
      </c>
      <c r="O2557" s="25">
        <f>IF(G2557="provision",M2557+H2557,IF(G2557="recoleccion",M2557-H2557,"No aplica"))</f>
        <v>3499794560</v>
      </c>
      <c r="P2557" s="26" t="n">
        <v>43768</v>
      </c>
    </row>
    <row r="2558">
      <c r="A2558" t="inlineStr">
        <is>
          <t>PRAGMA</t>
        </is>
      </c>
      <c r="B2558" t="inlineStr">
        <is>
          <t>M3</t>
        </is>
      </c>
      <c r="C2558" t="inlineStr">
        <is>
          <t>Cali</t>
        </is>
      </c>
      <c r="D2558" t="inlineStr">
        <is>
          <t>972</t>
        </is>
      </c>
      <c r="E2558" t="inlineStr">
        <is>
          <t>No aplica</t>
        </is>
      </c>
      <c r="F2558" s="23" t="n">
        <v>46273</v>
      </c>
      <c r="G2558" t="inlineStr">
        <is>
          <t>recoleccion</t>
        </is>
      </c>
      <c r="H2558" s="26" t="n">
        <v>33665595</v>
      </c>
      <c r="I2558" t="inlineStr">
        <is>
          <t>bajo</t>
        </is>
      </c>
      <c r="J2558" t="inlineStr">
        <is>
          <t>RN-41: riesgo de exceder el cupo</t>
        </is>
      </c>
      <c r="K2558" t="inlineStr">
        <is>
          <t>Recolección por riesgo de exceder el cupo: el saldo al cierre ($3.533.460.155) pasa el cupo $3.499.794.560. Se recogen $33.665.595 y el saldo queda en $3.499.794.560. En sus últimos 180 días la sucursal paga más de lo que recibe (salidas medias $219.520.687/día &gt; entradas medias $188.085.798/día); el neto diario varía $213.056.005 (σ). Costo estimado $36.553 (Anexo E: fijo $16.657 + $6 por cada $10.000 movidos).</t>
        </is>
      </c>
      <c r="L2558" s="26" t="n">
        <v>3499794560</v>
      </c>
      <c r="M2558" s="26" t="n">
        <v>3533460155</v>
      </c>
      <c r="N2558" s="27">
        <f>IF(ISNUMBER(M2558),M2558/L2558,"No aplica")</f>
        <v>1.009619306054353</v>
      </c>
      <c r="O2558" s="25">
        <f>IF(G2558="provision",M2558+H2558,IF(G2558="recoleccion",M2558-H2558,"No aplica"))</f>
        <v>3499794560</v>
      </c>
      <c r="P2558" s="26" t="n">
        <v>36553</v>
      </c>
    </row>
    <row r="2559">
      <c r="A2559" t="inlineStr">
        <is>
          <t>PRAGMA</t>
        </is>
      </c>
      <c r="B2559" t="inlineStr">
        <is>
          <t>M3</t>
        </is>
      </c>
      <c r="C2559" t="inlineStr">
        <is>
          <t>Cali</t>
        </is>
      </c>
      <c r="D2559" t="inlineStr">
        <is>
          <t>972</t>
        </is>
      </c>
      <c r="E2559" t="inlineStr">
        <is>
          <t>No aplica</t>
        </is>
      </c>
      <c r="F2559" s="23" t="n">
        <v>46274</v>
      </c>
      <c r="G2559" t="inlineStr">
        <is>
          <t>recoleccion</t>
        </is>
      </c>
      <c r="H2559" s="26" t="n">
        <v>40867852</v>
      </c>
      <c r="I2559" t="inlineStr">
        <is>
          <t>bajo</t>
        </is>
      </c>
      <c r="J2559" t="inlineStr">
        <is>
          <t>RN-41: riesgo de exceder el cupo</t>
        </is>
      </c>
      <c r="K2559" t="inlineStr">
        <is>
          <t>Recolección por riesgo de exceder el cupo: el saldo al cierre ($3.540.662.412) pasa el cupo $3.499.794.560. Se recogen $40.867.852 y el saldo queda en $3.499.794.560. En sus últimos 180 días la sucursal paga más de lo que recibe (salidas medias $219.520.687/día &gt; entradas medias $188.085.798/día); el neto diario varía $213.056.005 (σ). Costo estimado $40.810 (Anexo E: fijo $16.657 + $6 por cada $10.000 movidos).</t>
        </is>
      </c>
      <c r="L2559" s="26" t="n">
        <v>3499794560</v>
      </c>
      <c r="M2559" s="26" t="n">
        <v>3540662412</v>
      </c>
      <c r="N2559" s="27">
        <f>IF(ISNUMBER(M2559),M2559/L2559,"No aplica")</f>
        <v>1.0116772145619886</v>
      </c>
      <c r="O2559" s="25">
        <f>IF(G2559="provision",M2559+H2559,IF(G2559="recoleccion",M2559-H2559,"No aplica"))</f>
        <v>3499794560</v>
      </c>
      <c r="P2559" s="26" t="n">
        <v>40810</v>
      </c>
    </row>
    <row r="2560">
      <c r="A2560" t="inlineStr">
        <is>
          <t>PRAGMA</t>
        </is>
      </c>
      <c r="B2560" t="inlineStr">
        <is>
          <t>M3</t>
        </is>
      </c>
      <c r="C2560" t="inlineStr">
        <is>
          <t>Cali</t>
        </is>
      </c>
      <c r="D2560" t="inlineStr">
        <is>
          <t>972</t>
        </is>
      </c>
      <c r="E2560" t="inlineStr">
        <is>
          <t>No aplica</t>
        </is>
      </c>
      <c r="F2560" s="23" t="n">
        <v>46275</v>
      </c>
      <c r="G2560" t="inlineStr">
        <is>
          <t>recoleccion</t>
        </is>
      </c>
      <c r="H2560" s="26" t="n">
        <v>19019638</v>
      </c>
      <c r="I2560" t="inlineStr">
        <is>
          <t>bajo</t>
        </is>
      </c>
      <c r="J2560" t="inlineStr">
        <is>
          <t>RN-41: riesgo de exceder el cupo</t>
        </is>
      </c>
      <c r="K2560" t="inlineStr">
        <is>
          <t>Recolección por riesgo de exceder el cupo: el saldo al cierre ($3.518.814.198) pasa el cupo $3.499.794.560. Se recogen $19.019.638 y el saldo queda en $3.499.794.560. En sus últimos 180 días la sucursal paga más de lo que recibe (salidas medias $219.520.687/día &gt; entradas medias $188.085.798/día); el neto diario varía $213.056.005 (σ). Costo estimado $27.898 (Anexo E: fijo $16.657 + $6 por cada $10.000 movidos).</t>
        </is>
      </c>
      <c r="L2560" s="26" t="n">
        <v>3499794560</v>
      </c>
      <c r="M2560" s="26" t="n">
        <v>3518814198</v>
      </c>
      <c r="N2560" s="27">
        <f>IF(ISNUMBER(M2560),M2560/L2560,"No aplica")</f>
        <v>1.005434501275412</v>
      </c>
      <c r="O2560" s="25">
        <f>IF(G2560="provision",M2560+H2560,IF(G2560="recoleccion",M2560-H2560,"No aplica"))</f>
        <v>3499794560</v>
      </c>
      <c r="P2560" s="26" t="n">
        <v>27898</v>
      </c>
    </row>
    <row r="2561">
      <c r="A2561" t="inlineStr">
        <is>
          <t>PRAGMA</t>
        </is>
      </c>
      <c r="B2561" t="inlineStr">
        <is>
          <t>M3</t>
        </is>
      </c>
      <c r="C2561" t="inlineStr">
        <is>
          <t>Cali</t>
        </is>
      </c>
      <c r="D2561" t="inlineStr">
        <is>
          <t>972</t>
        </is>
      </c>
      <c r="E2561" t="inlineStr">
        <is>
          <t>No aplica</t>
        </is>
      </c>
      <c r="F2561" s="23" t="n">
        <v>46276</v>
      </c>
      <c r="G2561" t="inlineStr">
        <is>
          <t>recoleccion</t>
        </is>
      </c>
      <c r="H2561" s="26" t="n">
        <v>36092613</v>
      </c>
      <c r="I2561" t="inlineStr">
        <is>
          <t>bajo</t>
        </is>
      </c>
      <c r="J2561" t="inlineStr">
        <is>
          <t>RN-41: riesgo de exceder el cupo</t>
        </is>
      </c>
      <c r="K2561" t="inlineStr">
        <is>
          <t>Recolección por riesgo de exceder el cupo: el saldo al cierre ($3.535.887.173) pasa el cupo $3.499.794.560. Se recogen $36.092.613 y el saldo queda en $3.499.794.560. En sus últimos 180 días la sucursal paga más de lo que recibe (salidas medias $219.520.687/día &gt; entradas medias $188.085.798/día); el neto diario varía $213.056.005 (σ). Costo estimado $37.988 (Anexo E: fijo $16.657 + $6 por cada $10.000 movidos).</t>
        </is>
      </c>
      <c r="L2561" s="26" t="n">
        <v>3499794560</v>
      </c>
      <c r="M2561" s="26" t="n">
        <v>3535887173</v>
      </c>
      <c r="N2561" s="27">
        <f>IF(ISNUMBER(M2561),M2561/L2561,"No aplica")</f>
        <v>1.0103127804736058</v>
      </c>
      <c r="O2561" s="25">
        <f>IF(G2561="provision",M2561+H2561,IF(G2561="recoleccion",M2561-H2561,"No aplica"))</f>
        <v>3499794560</v>
      </c>
      <c r="P2561" s="26" t="n">
        <v>37988</v>
      </c>
    </row>
    <row r="2562">
      <c r="A2562" t="inlineStr">
        <is>
          <t>PRAGMA</t>
        </is>
      </c>
      <c r="B2562" t="inlineStr">
        <is>
          <t>M3</t>
        </is>
      </c>
      <c r="C2562" t="inlineStr">
        <is>
          <t>Cali</t>
        </is>
      </c>
      <c r="D2562" t="inlineStr">
        <is>
          <t>972</t>
        </is>
      </c>
      <c r="E2562" t="inlineStr">
        <is>
          <t>No aplica</t>
        </is>
      </c>
      <c r="F2562" s="23" t="n">
        <v>46277</v>
      </c>
      <c r="G2562" t="inlineStr">
        <is>
          <t>recoleccion</t>
        </is>
      </c>
      <c r="H2562" s="26" t="n">
        <v>647841</v>
      </c>
      <c r="I2562" t="inlineStr">
        <is>
          <t>bajo</t>
        </is>
      </c>
      <c r="J2562" t="inlineStr">
        <is>
          <t>RN-41: riesgo de exceder el cupo</t>
        </is>
      </c>
      <c r="K2562" t="inlineStr">
        <is>
          <t>Recolección por riesgo de exceder el cupo: el saldo al cierre ($3.500.442.401) pasa el cupo $3.499.794.560. Se recogen $647.841 y el saldo queda en $3.499.794.560. En sus últimos 180 días la sucursal paga más de lo que recibe (salidas medias $219.520.687/día &gt; entradas medias $188.085.798/día); el neto diario varía $213.056.005 (σ). Costo estimado $17.040 (Anexo E: fijo $16.657 + $6 por cada $10.000 movidos).</t>
        </is>
      </c>
      <c r="L2562" s="26" t="n">
        <v>3499794560</v>
      </c>
      <c r="M2562" s="26" t="n">
        <v>3500442401</v>
      </c>
      <c r="N2562" s="27">
        <f>IF(ISNUMBER(M2562),M2562/L2562,"No aplica")</f>
        <v>1.0001851082938995</v>
      </c>
      <c r="O2562" s="25">
        <f>IF(G2562="provision",M2562+H2562,IF(G2562="recoleccion",M2562-H2562,"No aplica"))</f>
        <v>3499794560</v>
      </c>
      <c r="P2562" s="26" t="n">
        <v>17040</v>
      </c>
    </row>
    <row r="2563">
      <c r="A2563" t="inlineStr">
        <is>
          <t>PRAGMA</t>
        </is>
      </c>
      <c r="B2563" t="inlineStr">
        <is>
          <t>M3</t>
        </is>
      </c>
      <c r="C2563" t="inlineStr">
        <is>
          <t>Cali</t>
        </is>
      </c>
      <c r="D2563" t="inlineStr">
        <is>
          <t>972</t>
        </is>
      </c>
      <c r="E2563" t="inlineStr">
        <is>
          <t>No aplica</t>
        </is>
      </c>
      <c r="F2563" s="23" t="n">
        <v>46278</v>
      </c>
      <c r="G2563" t="inlineStr">
        <is>
          <t>recoleccion</t>
        </is>
      </c>
      <c r="H2563" s="26" t="n">
        <v>25299</v>
      </c>
      <c r="I2563" t="inlineStr">
        <is>
          <t>bajo</t>
        </is>
      </c>
      <c r="J2563" t="inlineStr">
        <is>
          <t>RN-41: riesgo de exceder el cupo</t>
        </is>
      </c>
      <c r="K2563" t="inlineStr">
        <is>
          <t>Recolección por riesgo de exceder el cupo: el saldo al cierre ($3.499.819.859) pasa el cupo $3.499.794.560. Se recogen $25.299 y el saldo queda en $3.499.794.560. En sus últimos 180 días la sucursal paga más de lo que recibe (salidas medias $219.520.687/día &gt; entradas medias $188.085.798/día); el neto diario varía $213.056.005 (σ). Costo estimado $16.672 (Anexo E: fijo $16.657 + $6 por cada $10.000 movidos).</t>
        </is>
      </c>
      <c r="L2563" s="26" t="n">
        <v>3499794560</v>
      </c>
      <c r="M2563" s="26" t="n">
        <v>3499819859</v>
      </c>
      <c r="N2563" s="27">
        <f>IF(ISNUMBER(M2563),M2563/L2563,"No aplica")</f>
        <v>1.000007228710019</v>
      </c>
      <c r="O2563" s="25">
        <f>IF(G2563="provision",M2563+H2563,IF(G2563="recoleccion",M2563-H2563,"No aplica"))</f>
        <v>3499794560</v>
      </c>
      <c r="P2563" s="26" t="n">
        <v>16672</v>
      </c>
    </row>
    <row r="2564">
      <c r="A2564" t="inlineStr">
        <is>
          <t>PRAGMA</t>
        </is>
      </c>
      <c r="B2564" t="inlineStr">
        <is>
          <t>M3</t>
        </is>
      </c>
      <c r="C2564" t="inlineStr">
        <is>
          <t>Cali</t>
        </is>
      </c>
      <c r="D2564" t="inlineStr">
        <is>
          <t>972</t>
        </is>
      </c>
      <c r="E2564" t="inlineStr">
        <is>
          <t>No aplica</t>
        </is>
      </c>
      <c r="F2564" s="23" t="n">
        <v>46279</v>
      </c>
      <c r="G2564" t="inlineStr">
        <is>
          <t>recoleccion</t>
        </is>
      </c>
      <c r="H2564" s="26" t="n">
        <v>24755066</v>
      </c>
      <c r="I2564" t="inlineStr">
        <is>
          <t>bajo</t>
        </is>
      </c>
      <c r="J2564" t="inlineStr">
        <is>
          <t>RN-41: riesgo de exceder el cupo</t>
        </is>
      </c>
      <c r="K2564" t="inlineStr">
        <is>
          <t>Recolección por riesgo de exceder el cupo: el saldo al cierre ($3.524.549.626) pasa el cupo $3.499.794.560. Se recogen $24.755.066 y el saldo queda en $3.499.794.560. En sus últimos 180 días la sucursal paga más de lo que recibe (salidas medias $219.520.687/día &gt; entradas medias $188.085.798/día); el neto diario varía $213.056.005 (σ). Costo estimado $31.287 (Anexo E: fijo $16.657 + $6 por cada $10.000 movidos).</t>
        </is>
      </c>
      <c r="L2564" s="26" t="n">
        <v>3499794560</v>
      </c>
      <c r="M2564" s="26" t="n">
        <v>3524549626</v>
      </c>
      <c r="N2564" s="27">
        <f>IF(ISNUMBER(M2564),M2564/L2564,"No aplica")</f>
        <v>1.007073291181983</v>
      </c>
      <c r="O2564" s="25">
        <f>IF(G2564="provision",M2564+H2564,IF(G2564="recoleccion",M2564-H2564,"No aplica"))</f>
        <v>3499794560</v>
      </c>
      <c r="P2564" s="26" t="n">
        <v>31287</v>
      </c>
    </row>
    <row r="2565">
      <c r="A2565" t="inlineStr">
        <is>
          <t>PRAGMA</t>
        </is>
      </c>
      <c r="B2565" t="inlineStr">
        <is>
          <t>M3</t>
        </is>
      </c>
      <c r="C2565" t="inlineStr">
        <is>
          <t>Cali</t>
        </is>
      </c>
      <c r="D2565" t="inlineStr">
        <is>
          <t>972</t>
        </is>
      </c>
      <c r="E2565" t="inlineStr">
        <is>
          <t>No aplica</t>
        </is>
      </c>
      <c r="F2565" s="23" t="n">
        <v>46280</v>
      </c>
      <c r="G2565" t="inlineStr">
        <is>
          <t>recoleccion</t>
        </is>
      </c>
      <c r="H2565" s="26" t="n">
        <v>40322032</v>
      </c>
      <c r="I2565" t="inlineStr">
        <is>
          <t>bajo</t>
        </is>
      </c>
      <c r="J2565" t="inlineStr">
        <is>
          <t>RN-41: riesgo de exceder el cupo</t>
        </is>
      </c>
      <c r="K2565" t="inlineStr">
        <is>
          <t>Recolección por riesgo de exceder el cupo: el saldo al cierre ($3.540.116.592) pasa el cupo $3.499.794.560. Se recogen $40.322.032 y el saldo queda en $3.499.794.560. En sus últimos 180 días la sucursal paga más de lo que recibe (salidas medias $219.520.687/día &gt; entradas medias $188.085.798/día); el neto diario varía $213.056.005 (σ). Costo estimado $40.487 (Anexo E: fijo $16.657 + $6 por cada $10.000 movidos).</t>
        </is>
      </c>
      <c r="L2565" s="26" t="n">
        <v>3499794560</v>
      </c>
      <c r="M2565" s="26" t="n">
        <v>3540116592</v>
      </c>
      <c r="N2565" s="27">
        <f>IF(ISNUMBER(M2565),M2565/L2565,"No aplica")</f>
        <v>1.011521256836287</v>
      </c>
      <c r="O2565" s="25">
        <f>IF(G2565="provision",M2565+H2565,IF(G2565="recoleccion",M2565-H2565,"No aplica"))</f>
        <v>3499794560</v>
      </c>
      <c r="P2565" s="26" t="n">
        <v>40487</v>
      </c>
    </row>
    <row r="2566">
      <c r="A2566" t="inlineStr">
        <is>
          <t>PRAGMA</t>
        </is>
      </c>
      <c r="B2566" t="inlineStr">
        <is>
          <t>M3</t>
        </is>
      </c>
      <c r="C2566" t="inlineStr">
        <is>
          <t>Pasto</t>
        </is>
      </c>
      <c r="D2566" t="inlineStr">
        <is>
          <t>977</t>
        </is>
      </c>
      <c r="E2566" t="inlineStr">
        <is>
          <t>No aplica</t>
        </is>
      </c>
      <c r="F2566" s="23" t="n">
        <v>46266</v>
      </c>
      <c r="G2566" t="inlineStr">
        <is>
          <t>recoleccion</t>
        </is>
      </c>
      <c r="H2566" s="26" t="n">
        <v>923880691</v>
      </c>
      <c r="I2566" t="inlineStr">
        <is>
          <t>bajo</t>
        </is>
      </c>
      <c r="J2566" t="inlineStr">
        <is>
          <t>RN-41: riesgo de exceder el cupo</t>
        </is>
      </c>
      <c r="K2566" t="inlineStr">
        <is>
          <t>Recolección por riesgo de exceder el cupo: el saldo al cierre ($10.518.880.691) pasa el cupo $9.595.000.000. Se recogen $923.880.691 y el saldo queda en $9.595.000.000. En sus últimos 180 días la sucursal recibe más de lo que paga (entradas medias $2.081.465.255/día &gt; salidas medias $1.250.552.307/día); el neto diario varía $771.644.418 (σ). Costo estimado $453.500 (Anexo E: fijo $11.885 + $5 por cada $10.000 movidos).</t>
        </is>
      </c>
      <c r="L2566" s="26" t="n">
        <v>9595000000</v>
      </c>
      <c r="M2566" s="26" t="n">
        <v>10518880691</v>
      </c>
      <c r="N2566" s="27">
        <f>IF(ISNUMBER(M2566),M2566/L2566,"No aplica")</f>
        <v>1.0962877218342888</v>
      </c>
      <c r="O2566" s="25">
        <f>IF(G2566="provision",M2566+H2566,IF(G2566="recoleccion",M2566-H2566,"No aplica"))</f>
        <v>9595000000</v>
      </c>
      <c r="P2566" s="26" t="n">
        <v>453500</v>
      </c>
    </row>
    <row r="2567">
      <c r="A2567" t="inlineStr">
        <is>
          <t>PRAGMA</t>
        </is>
      </c>
      <c r="B2567" t="inlineStr">
        <is>
          <t>M3</t>
        </is>
      </c>
      <c r="C2567" t="inlineStr">
        <is>
          <t>Pasto</t>
        </is>
      </c>
      <c r="D2567" t="inlineStr">
        <is>
          <t>977</t>
        </is>
      </c>
      <c r="E2567" t="inlineStr">
        <is>
          <t>No aplica</t>
        </is>
      </c>
      <c r="F2567" s="23" t="n">
        <v>46267</v>
      </c>
      <c r="G2567" t="inlineStr">
        <is>
          <t>recoleccion</t>
        </is>
      </c>
      <c r="H2567" s="26" t="n">
        <v>897684055</v>
      </c>
      <c r="I2567" t="inlineStr">
        <is>
          <t>bajo</t>
        </is>
      </c>
      <c r="J2567" t="inlineStr">
        <is>
          <t>RN-41: riesgo de exceder el cupo</t>
        </is>
      </c>
      <c r="K2567" t="inlineStr">
        <is>
          <t>Recolección por riesgo de exceder el cupo: el saldo al cierre ($10.492.684.055) pasa el cupo $9.595.000.000. Se recogen $897.684.055 y el saldo queda en $9.595.000.000. En sus últimos 180 días la sucursal recibe más de lo que paga (entradas medias $2.081.465.255/día &gt; salidas medias $1.250.552.307/día); el neto diario varía $771.644.418 (σ). Costo estimado $440.978 (Anexo E: fijo $11.885 + $5 por cada $10.000 movidos).</t>
        </is>
      </c>
      <c r="L2567" s="26" t="n">
        <v>9595000000</v>
      </c>
      <c r="M2567" s="26" t="n">
        <v>10492684055</v>
      </c>
      <c r="N2567" s="27">
        <f>IF(ISNUMBER(M2567),M2567/L2567,"No aplica")</f>
        <v>1.0935574835852007</v>
      </c>
      <c r="O2567" s="25">
        <f>IF(G2567="provision",M2567+H2567,IF(G2567="recoleccion",M2567-H2567,"No aplica"))</f>
        <v>9595000000</v>
      </c>
      <c r="P2567" s="26" t="n">
        <v>440978</v>
      </c>
    </row>
    <row r="2568">
      <c r="A2568" t="inlineStr">
        <is>
          <t>PRAGMA</t>
        </is>
      </c>
      <c r="B2568" t="inlineStr">
        <is>
          <t>M3</t>
        </is>
      </c>
      <c r="C2568" t="inlineStr">
        <is>
          <t>Pasto</t>
        </is>
      </c>
      <c r="D2568" t="inlineStr">
        <is>
          <t>977</t>
        </is>
      </c>
      <c r="E2568" t="inlineStr">
        <is>
          <t>No aplica</t>
        </is>
      </c>
      <c r="F2568" s="23" t="n">
        <v>46268</v>
      </c>
      <c r="G2568" t="inlineStr">
        <is>
          <t>recoleccion</t>
        </is>
      </c>
      <c r="H2568" s="26" t="n">
        <v>1110378261</v>
      </c>
      <c r="I2568" t="inlineStr">
        <is>
          <t>bajo</t>
        </is>
      </c>
      <c r="J2568" t="inlineStr">
        <is>
          <t>RN-41: riesgo de exceder el cupo</t>
        </is>
      </c>
      <c r="K2568" t="inlineStr">
        <is>
          <t>Recolección por riesgo de exceder el cupo: el saldo al cierre ($10.705.378.261) pasa el cupo $9.595.000.000. Se recogen $1.110.378.261 y el saldo queda en $9.595.000.000. En sus últimos 180 días la sucursal recibe más de lo que paga (entradas medias $2.081.465.255/día &gt; salidas medias $1.250.552.307/día); el neto diario varía $771.644.418 (σ). Costo estimado $542.646 (Anexo E: fijo $11.885 + $5 por cada $10.000 movidos).</t>
        </is>
      </c>
      <c r="L2568" s="26" t="n">
        <v>9595000000</v>
      </c>
      <c r="M2568" s="26" t="n">
        <v>10705378261</v>
      </c>
      <c r="N2568" s="27">
        <f>IF(ISNUMBER(M2568),M2568/L2568,"No aplica")</f>
        <v>1.1157246754559667</v>
      </c>
      <c r="O2568" s="25">
        <f>IF(G2568="provision",M2568+H2568,IF(G2568="recoleccion",M2568-H2568,"No aplica"))</f>
        <v>9595000000</v>
      </c>
      <c r="P2568" s="26" t="n">
        <v>542646</v>
      </c>
    </row>
    <row r="2569">
      <c r="A2569" t="inlineStr">
        <is>
          <t>PRAGMA</t>
        </is>
      </c>
      <c r="B2569" t="inlineStr">
        <is>
          <t>M3</t>
        </is>
      </c>
      <c r="C2569" t="inlineStr">
        <is>
          <t>Pasto</t>
        </is>
      </c>
      <c r="D2569" t="inlineStr">
        <is>
          <t>977</t>
        </is>
      </c>
      <c r="E2569" t="inlineStr">
        <is>
          <t>No aplica</t>
        </is>
      </c>
      <c r="F2569" s="23" t="n">
        <v>46269</v>
      </c>
      <c r="G2569" t="inlineStr">
        <is>
          <t>recoleccion</t>
        </is>
      </c>
      <c r="H2569" s="26" t="n">
        <v>648534585</v>
      </c>
      <c r="I2569" t="inlineStr">
        <is>
          <t>bajo</t>
        </is>
      </c>
      <c r="J2569" t="inlineStr">
        <is>
          <t>RN-41: riesgo de exceder el cupo</t>
        </is>
      </c>
      <c r="K2569" t="inlineStr">
        <is>
          <t>Recolección por riesgo de exceder el cupo: el saldo al cierre ($10.243.534.585) pasa el cupo $9.595.000.000. Se recogen $648.534.585 y el saldo queda en $9.595.000.000. En sus últimos 180 días la sucursal recibe más de lo que paga (entradas medias $2.081.465.255/día &gt; salidas medias $1.250.552.307/día); el neto diario varía $771.644.418 (σ). Costo estimado $321.885 (Anexo E: fijo $11.885 + $5 por cada $10.000 movidos).</t>
        </is>
      </c>
      <c r="L2569" s="26" t="n">
        <v>9595000000</v>
      </c>
      <c r="M2569" s="26" t="n">
        <v>10243534585</v>
      </c>
      <c r="N2569" s="27">
        <f>IF(ISNUMBER(M2569),M2569/L2569,"No aplica")</f>
        <v>1.0675908895257946</v>
      </c>
      <c r="O2569" s="25">
        <f>IF(G2569="provision",M2569+H2569,IF(G2569="recoleccion",M2569-H2569,"No aplica"))</f>
        <v>9595000000</v>
      </c>
      <c r="P2569" s="26" t="n">
        <v>321885</v>
      </c>
    </row>
    <row r="2570">
      <c r="A2570" t="inlineStr">
        <is>
          <t>PRAGMA</t>
        </is>
      </c>
      <c r="B2570" t="inlineStr">
        <is>
          <t>M3</t>
        </is>
      </c>
      <c r="C2570" t="inlineStr">
        <is>
          <t>Pasto</t>
        </is>
      </c>
      <c r="D2570" t="inlineStr">
        <is>
          <t>977</t>
        </is>
      </c>
      <c r="E2570" t="inlineStr">
        <is>
          <t>No aplica</t>
        </is>
      </c>
      <c r="F2570" s="23" t="n">
        <v>46270</v>
      </c>
      <c r="G2570" t="inlineStr">
        <is>
          <t>recoleccion</t>
        </is>
      </c>
      <c r="H2570" s="26" t="n">
        <v>341961876</v>
      </c>
      <c r="I2570" t="inlineStr">
        <is>
          <t>bajo</t>
        </is>
      </c>
      <c r="J2570" t="inlineStr">
        <is>
          <t>RN-41: riesgo de exceder el cupo</t>
        </is>
      </c>
      <c r="K2570" t="inlineStr">
        <is>
          <t>Recolección por riesgo de exceder el cupo: el saldo al cierre ($9.936.961.876) pasa el cupo $9.595.000.000. Se recogen $341.961.876 y el saldo queda en $9.595.000.000. En sus últimos 180 días la sucursal recibe más de lo que paga (entradas medias $2.081.465.255/día &gt; salidas medias $1.250.552.307/día); el neto diario varía $771.644.418 (σ). Costo estimado $175.343 (Anexo E: fijo $11.885 + $5 por cada $10.000 movidos).</t>
        </is>
      </c>
      <c r="L2570" s="26" t="n">
        <v>9595000000</v>
      </c>
      <c r="M2570" s="26" t="n">
        <v>9936961876</v>
      </c>
      <c r="N2570" s="27">
        <f>IF(ISNUMBER(M2570),M2570/L2570,"No aplica")</f>
        <v>1.0356395910369984</v>
      </c>
      <c r="O2570" s="25">
        <f>IF(G2570="provision",M2570+H2570,IF(G2570="recoleccion",M2570-H2570,"No aplica"))</f>
        <v>9595000000</v>
      </c>
      <c r="P2570" s="26" t="n">
        <v>175343</v>
      </c>
    </row>
    <row r="2571">
      <c r="A2571" t="inlineStr">
        <is>
          <t>PRAGMA</t>
        </is>
      </c>
      <c r="B2571" t="inlineStr">
        <is>
          <t>M3</t>
        </is>
      </c>
      <c r="C2571" t="inlineStr">
        <is>
          <t>Pasto</t>
        </is>
      </c>
      <c r="D2571" t="inlineStr">
        <is>
          <t>977</t>
        </is>
      </c>
      <c r="E2571" t="inlineStr">
        <is>
          <t>No aplica</t>
        </is>
      </c>
      <c r="F2571" s="23" t="n">
        <v>46271</v>
      </c>
      <c r="G2571" t="inlineStr">
        <is>
          <t>recoleccion</t>
        </is>
      </c>
      <c r="H2571" s="26" t="n">
        <v>2493900</v>
      </c>
      <c r="I2571" t="inlineStr">
        <is>
          <t>bajo</t>
        </is>
      </c>
      <c r="J2571" t="inlineStr">
        <is>
          <t>RN-41: riesgo de exceder el cupo</t>
        </is>
      </c>
      <c r="K2571" t="inlineStr">
        <is>
          <t>Recolección por riesgo de exceder el cupo: el saldo al cierre ($9.597.493.900) pasa el cupo $9.595.000.000. Se recogen $2.493.900 y el saldo queda en $9.595.000.000. En sus últimos 180 días la sucursal recibe más de lo que paga (entradas medias $2.081.465.255/día &gt; salidas medias $1.250.552.307/día); el neto diario varía $771.644.418 (σ). Costo estimado $13.077 (Anexo E: fijo $11.885 + $5 por cada $10.000 movidos).</t>
        </is>
      </c>
      <c r="L2571" s="26" t="n">
        <v>9595000000</v>
      </c>
      <c r="M2571" s="26" t="n">
        <v>9597493900</v>
      </c>
      <c r="N2571" s="27">
        <f>IF(ISNUMBER(M2571),M2571/L2571,"No aplica")</f>
        <v>1.0002599166232413</v>
      </c>
      <c r="O2571" s="25">
        <f>IF(G2571="provision",M2571+H2571,IF(G2571="recoleccion",M2571-H2571,"No aplica"))</f>
        <v>9595000000</v>
      </c>
      <c r="P2571" s="26" t="n">
        <v>13077</v>
      </c>
    </row>
    <row r="2572">
      <c r="A2572" t="inlineStr">
        <is>
          <t>PRAGMA</t>
        </is>
      </c>
      <c r="B2572" t="inlineStr">
        <is>
          <t>M3</t>
        </is>
      </c>
      <c r="C2572" t="inlineStr">
        <is>
          <t>Pasto</t>
        </is>
      </c>
      <c r="D2572" t="inlineStr">
        <is>
          <t>977</t>
        </is>
      </c>
      <c r="E2572" t="inlineStr">
        <is>
          <t>No aplica</t>
        </is>
      </c>
      <c r="F2572" s="23" t="n">
        <v>46272</v>
      </c>
      <c r="G2572" t="inlineStr">
        <is>
          <t>recoleccion</t>
        </is>
      </c>
      <c r="H2572" s="26" t="n">
        <v>1155458402</v>
      </c>
      <c r="I2572" t="inlineStr">
        <is>
          <t>bajo</t>
        </is>
      </c>
      <c r="J2572" t="inlineStr">
        <is>
          <t>RN-41: riesgo de exceder el cupo</t>
        </is>
      </c>
      <c r="K2572" t="inlineStr">
        <is>
          <t>Recolección por riesgo de exceder el cupo: el saldo al cierre ($10.750.458.402) pasa el cupo $9.595.000.000. Se recogen $1.155.458.402 y el saldo queda en $9.595.000.000. En sus últimos 180 días la sucursal recibe más de lo que paga (entradas medias $2.081.465.255/día &gt; salidas medias $1.250.552.307/día); el neto diario varía $771.644.418 (σ). Costo estimado $564.194 (Anexo E: fijo $11.885 + $5 por cada $10.000 movidos).</t>
        </is>
      </c>
      <c r="L2572" s="26" t="n">
        <v>9595000000</v>
      </c>
      <c r="M2572" s="26" t="n">
        <v>10750458402</v>
      </c>
      <c r="N2572" s="27">
        <f>IF(ISNUMBER(M2572),M2572/L2572,"No aplica")</f>
        <v>1.1204229705054716</v>
      </c>
      <c r="O2572" s="25">
        <f>IF(G2572="provision",M2572+H2572,IF(G2572="recoleccion",M2572-H2572,"No aplica"))</f>
        <v>9595000000</v>
      </c>
      <c r="P2572" s="26" t="n">
        <v>564194</v>
      </c>
    </row>
    <row r="2573">
      <c r="A2573" t="inlineStr">
        <is>
          <t>PRAGMA</t>
        </is>
      </c>
      <c r="B2573" t="inlineStr">
        <is>
          <t>M3</t>
        </is>
      </c>
      <c r="C2573" t="inlineStr">
        <is>
          <t>Pasto</t>
        </is>
      </c>
      <c r="D2573" t="inlineStr">
        <is>
          <t>977</t>
        </is>
      </c>
      <c r="E2573" t="inlineStr">
        <is>
          <t>No aplica</t>
        </is>
      </c>
      <c r="F2573" s="23" t="n">
        <v>46273</v>
      </c>
      <c r="G2573" t="inlineStr">
        <is>
          <t>recoleccion</t>
        </is>
      </c>
      <c r="H2573" s="26" t="n">
        <v>1145640052</v>
      </c>
      <c r="I2573" t="inlineStr">
        <is>
          <t>bajo</t>
        </is>
      </c>
      <c r="J2573" t="inlineStr">
        <is>
          <t>RN-41: riesgo de exceder el cupo</t>
        </is>
      </c>
      <c r="K2573" t="inlineStr">
        <is>
          <t>Recolección por riesgo de exceder el cupo: el saldo al cierre ($10.740.640.052) pasa el cupo $9.595.000.000. Se recogen $1.145.640.052 y el saldo queda en $9.595.000.000. En sus últimos 180 días la sucursal recibe más de lo que paga (entradas medias $2.081.465.255/día &gt; salidas medias $1.250.552.307/día); el neto diario varía $771.644.418 (σ). Costo estimado $559.501 (Anexo E: fijo $11.885 + $5 por cada $10.000 movidos).</t>
        </is>
      </c>
      <c r="L2573" s="26" t="n">
        <v>9595000000</v>
      </c>
      <c r="M2573" s="26" t="n">
        <v>10740640052</v>
      </c>
      <c r="N2573" s="27">
        <f>IF(ISNUMBER(M2573),M2573/L2573,"No aplica")</f>
        <v>1.119399692756644</v>
      </c>
      <c r="O2573" s="25">
        <f>IF(G2573="provision",M2573+H2573,IF(G2573="recoleccion",M2573-H2573,"No aplica"))</f>
        <v>9595000000</v>
      </c>
      <c r="P2573" s="26" t="n">
        <v>559501</v>
      </c>
    </row>
    <row r="2574">
      <c r="A2574" t="inlineStr">
        <is>
          <t>PRAGMA</t>
        </is>
      </c>
      <c r="B2574" t="inlineStr">
        <is>
          <t>M3</t>
        </is>
      </c>
      <c r="C2574" t="inlineStr">
        <is>
          <t>Pasto</t>
        </is>
      </c>
      <c r="D2574" t="inlineStr">
        <is>
          <t>977</t>
        </is>
      </c>
      <c r="E2574" t="inlineStr">
        <is>
          <t>No aplica</t>
        </is>
      </c>
      <c r="F2574" s="23" t="n">
        <v>46274</v>
      </c>
      <c r="G2574" t="inlineStr">
        <is>
          <t>recoleccion</t>
        </is>
      </c>
      <c r="H2574" s="26" t="n">
        <v>1020478111</v>
      </c>
      <c r="I2574" t="inlineStr">
        <is>
          <t>bajo</t>
        </is>
      </c>
      <c r="J2574" t="inlineStr">
        <is>
          <t>RN-41: riesgo de exceder el cupo</t>
        </is>
      </c>
      <c r="K2574" t="inlineStr">
        <is>
          <t>Recolección por riesgo de exceder el cupo: el saldo al cierre ($10.615.478.111) pasa el cupo $9.595.000.000. Se recogen $1.020.478.111 y el saldo queda en $9.595.000.000. En sus últimos 180 días la sucursal recibe más de lo que paga (entradas medias $2.081.465.255/día &gt; salidas medias $1.250.552.307/día); el neto diario varía $771.644.418 (σ). Costo estimado $499.674 (Anexo E: fijo $11.885 + $5 por cada $10.000 movidos).</t>
        </is>
      </c>
      <c r="L2574" s="26" t="n">
        <v>9595000000</v>
      </c>
      <c r="M2574" s="26" t="n">
        <v>10615478111</v>
      </c>
      <c r="N2574" s="27">
        <f>IF(ISNUMBER(M2574),M2574/L2574,"No aplica")</f>
        <v>1.1063551965607088</v>
      </c>
      <c r="O2574" s="25">
        <f>IF(G2574="provision",M2574+H2574,IF(G2574="recoleccion",M2574-H2574,"No aplica"))</f>
        <v>9595000000</v>
      </c>
      <c r="P2574" s="26" t="n">
        <v>499674</v>
      </c>
    </row>
    <row r="2575">
      <c r="A2575" t="inlineStr">
        <is>
          <t>PRAGMA</t>
        </is>
      </c>
      <c r="B2575" t="inlineStr">
        <is>
          <t>M3</t>
        </is>
      </c>
      <c r="C2575" t="inlineStr">
        <is>
          <t>Pasto</t>
        </is>
      </c>
      <c r="D2575" t="inlineStr">
        <is>
          <t>977</t>
        </is>
      </c>
      <c r="E2575" t="inlineStr">
        <is>
          <t>No aplica</t>
        </is>
      </c>
      <c r="F2575" s="23" t="n">
        <v>46275</v>
      </c>
      <c r="G2575" t="inlineStr">
        <is>
          <t>recoleccion</t>
        </is>
      </c>
      <c r="H2575" s="26" t="n">
        <v>763905909</v>
      </c>
      <c r="I2575" t="inlineStr">
        <is>
          <t>bajo</t>
        </is>
      </c>
      <c r="J2575" t="inlineStr">
        <is>
          <t>RN-41: riesgo de exceder el cupo</t>
        </is>
      </c>
      <c r="K2575" t="inlineStr">
        <is>
          <t>Recolección por riesgo de exceder el cupo: el saldo al cierre ($10.358.905.909) pasa el cupo $9.595.000.000. Se recogen $763.905.909 y el saldo queda en $9.595.000.000. En sus últimos 180 días la sucursal recibe más de lo que paga (entradas medias $2.081.465.255/día &gt; salidas medias $1.250.552.307/día); el neto diario varía $771.644.418 (σ). Costo estimado $377.032 (Anexo E: fijo $11.885 + $5 por cada $10.000 movidos).</t>
        </is>
      </c>
      <c r="L2575" s="26" t="n">
        <v>9595000000</v>
      </c>
      <c r="M2575" s="26" t="n">
        <v>10358905909</v>
      </c>
      <c r="N2575" s="27">
        <f>IF(ISNUMBER(M2575),M2575/L2575,"No aplica")</f>
        <v>1.0796149983324648</v>
      </c>
      <c r="O2575" s="25">
        <f>IF(G2575="provision",M2575+H2575,IF(G2575="recoleccion",M2575-H2575,"No aplica"))</f>
        <v>9595000000</v>
      </c>
      <c r="P2575" s="26" t="n">
        <v>377032</v>
      </c>
    </row>
    <row r="2576">
      <c r="A2576" t="inlineStr">
        <is>
          <t>PRAGMA</t>
        </is>
      </c>
      <c r="B2576" t="inlineStr">
        <is>
          <t>M3</t>
        </is>
      </c>
      <c r="C2576" t="inlineStr">
        <is>
          <t>Pasto</t>
        </is>
      </c>
      <c r="D2576" t="inlineStr">
        <is>
          <t>977</t>
        </is>
      </c>
      <c r="E2576" t="inlineStr">
        <is>
          <t>No aplica</t>
        </is>
      </c>
      <c r="F2576" s="23" t="n">
        <v>46276</v>
      </c>
      <c r="G2576" t="inlineStr">
        <is>
          <t>recoleccion</t>
        </is>
      </c>
      <c r="H2576" s="26" t="n">
        <v>983187403</v>
      </c>
      <c r="I2576" t="inlineStr">
        <is>
          <t>bajo</t>
        </is>
      </c>
      <c r="J2576" t="inlineStr">
        <is>
          <t>RN-41: riesgo de exceder el cupo</t>
        </is>
      </c>
      <c r="K2576" t="inlineStr">
        <is>
          <t>Recolección por riesgo de exceder el cupo: el saldo al cierre ($10.578.187.403) pasa el cupo $9.595.000.000. Se recogen $983.187.403 y el saldo queda en $9.595.000.000. En sus últimos 180 días la sucursal recibe más de lo que paga (entradas medias $2.081.465.255/día &gt; salidas medias $1.250.552.307/día); el neto diario varía $771.644.418 (σ). Costo estimado $481.849 (Anexo E: fijo $11.885 + $5 por cada $10.000 movidos).</t>
        </is>
      </c>
      <c r="L2576" s="26" t="n">
        <v>9595000000</v>
      </c>
      <c r="M2576" s="26" t="n">
        <v>10578187403</v>
      </c>
      <c r="N2576" s="27">
        <f>IF(ISNUMBER(M2576),M2576/L2576,"No aplica")</f>
        <v>1.1024687236060449</v>
      </c>
      <c r="O2576" s="25">
        <f>IF(G2576="provision",M2576+H2576,IF(G2576="recoleccion",M2576-H2576,"No aplica"))</f>
        <v>9595000000</v>
      </c>
      <c r="P2576" s="26" t="n">
        <v>481849</v>
      </c>
    </row>
    <row r="2577">
      <c r="A2577" t="inlineStr">
        <is>
          <t>PRAGMA</t>
        </is>
      </c>
      <c r="B2577" t="inlineStr">
        <is>
          <t>M3</t>
        </is>
      </c>
      <c r="C2577" t="inlineStr">
        <is>
          <t>Pasto</t>
        </is>
      </c>
      <c r="D2577" t="inlineStr">
        <is>
          <t>977</t>
        </is>
      </c>
      <c r="E2577" t="inlineStr">
        <is>
          <t>No aplica</t>
        </is>
      </c>
      <c r="F2577" s="23" t="n">
        <v>46277</v>
      </c>
      <c r="G2577" t="inlineStr">
        <is>
          <t>recoleccion</t>
        </is>
      </c>
      <c r="H2577" s="26" t="n">
        <v>324680164</v>
      </c>
      <c r="I2577" t="inlineStr">
        <is>
          <t>bajo</t>
        </is>
      </c>
      <c r="J2577" t="inlineStr">
        <is>
          <t>RN-41: riesgo de exceder el cupo</t>
        </is>
      </c>
      <c r="K2577" t="inlineStr">
        <is>
          <t>Recolección por riesgo de exceder el cupo: el saldo al cierre ($9.919.680.164) pasa el cupo $9.595.000.000. Se recogen $324.680.164 y el saldo queda en $9.595.000.000. En sus últimos 180 días la sucursal recibe más de lo que paga (entradas medias $2.081.465.255/día &gt; salidas medias $1.250.552.307/día); el neto diario varía $771.644.418 (σ). Costo estimado $167.082 (Anexo E: fijo $11.885 + $5 por cada $10.000 movidos).</t>
        </is>
      </c>
      <c r="L2577" s="26" t="n">
        <v>9595000000</v>
      </c>
      <c r="M2577" s="26" t="n">
        <v>9919680164</v>
      </c>
      <c r="N2577" s="27">
        <f>IF(ISNUMBER(M2577),M2577/L2577,"No aplica")</f>
        <v>1.0338384746221991</v>
      </c>
      <c r="O2577" s="25">
        <f>IF(G2577="provision",M2577+H2577,IF(G2577="recoleccion",M2577-H2577,"No aplica"))</f>
        <v>9595000000</v>
      </c>
      <c r="P2577" s="26" t="n">
        <v>167082</v>
      </c>
    </row>
    <row r="2578">
      <c r="A2578" t="inlineStr">
        <is>
          <t>PRAGMA</t>
        </is>
      </c>
      <c r="B2578" t="inlineStr">
        <is>
          <t>M3</t>
        </is>
      </c>
      <c r="C2578" t="inlineStr">
        <is>
          <t>Pasto</t>
        </is>
      </c>
      <c r="D2578" t="inlineStr">
        <is>
          <t>977</t>
        </is>
      </c>
      <c r="E2578" t="inlineStr">
        <is>
          <t>No aplica</t>
        </is>
      </c>
      <c r="F2578" s="23" t="n">
        <v>46278</v>
      </c>
      <c r="G2578" t="inlineStr">
        <is>
          <t>recoleccion</t>
        </is>
      </c>
      <c r="H2578" s="26" t="n">
        <v>12575631</v>
      </c>
      <c r="I2578" t="inlineStr">
        <is>
          <t>bajo</t>
        </is>
      </c>
      <c r="J2578" t="inlineStr">
        <is>
          <t>RN-41: riesgo de exceder el cupo</t>
        </is>
      </c>
      <c r="K2578" t="inlineStr">
        <is>
          <t>Recolección por riesgo de exceder el cupo: el saldo al cierre ($9.607.575.631) pasa el cupo $9.595.000.000. Se recogen $12.575.631 y el saldo queda en $9.595.000.000. En sus últimos 180 días la sucursal recibe más de lo que paga (entradas medias $2.081.465.255/día &gt; salidas medias $1.250.552.307/día); el neto diario varía $771.644.418 (σ). Costo estimado $17.896 (Anexo E: fijo $11.885 + $5 por cada $10.000 movidos).</t>
        </is>
      </c>
      <c r="L2578" s="26" t="n">
        <v>9595000000</v>
      </c>
      <c r="M2578" s="26" t="n">
        <v>9607575631</v>
      </c>
      <c r="N2578" s="27">
        <f>IF(ISNUMBER(M2578),M2578/L2578,"No aplica")</f>
        <v>1.0013106441896822</v>
      </c>
      <c r="O2578" s="25">
        <f>IF(G2578="provision",M2578+H2578,IF(G2578="recoleccion",M2578-H2578,"No aplica"))</f>
        <v>9595000000</v>
      </c>
      <c r="P2578" s="26" t="n">
        <v>17896</v>
      </c>
    </row>
    <row r="2579">
      <c r="A2579" t="inlineStr">
        <is>
          <t>PRAGMA</t>
        </is>
      </c>
      <c r="B2579" t="inlineStr">
        <is>
          <t>M3</t>
        </is>
      </c>
      <c r="C2579" t="inlineStr">
        <is>
          <t>Pasto</t>
        </is>
      </c>
      <c r="D2579" t="inlineStr">
        <is>
          <t>977</t>
        </is>
      </c>
      <c r="E2579" t="inlineStr">
        <is>
          <t>No aplica</t>
        </is>
      </c>
      <c r="F2579" s="23" t="n">
        <v>46279</v>
      </c>
      <c r="G2579" t="inlineStr">
        <is>
          <t>recoleccion</t>
        </is>
      </c>
      <c r="H2579" s="26" t="n">
        <v>1147404508</v>
      </c>
      <c r="I2579" t="inlineStr">
        <is>
          <t>bajo</t>
        </is>
      </c>
      <c r="J2579" t="inlineStr">
        <is>
          <t>RN-41: riesgo de exceder el cupo</t>
        </is>
      </c>
      <c r="K2579" t="inlineStr">
        <is>
          <t>Recolección por riesgo de exceder el cupo: el saldo al cierre ($10.742.404.508) pasa el cupo $9.595.000.000. Se recogen $1.147.404.508 y el saldo queda en $9.595.000.000. En sus últimos 180 días la sucursal recibe más de lo que paga (entradas medias $2.081.465.255/día &gt; salidas medias $1.250.552.307/día); el neto diario varía $771.644.418 (σ). Costo estimado $560.344 (Anexo E: fijo $11.885 + $5 por cada $10.000 movidos).</t>
        </is>
      </c>
      <c r="L2579" s="26" t="n">
        <v>9595000000</v>
      </c>
      <c r="M2579" s="26" t="n">
        <v>10742404508</v>
      </c>
      <c r="N2579" s="27">
        <f>IF(ISNUMBER(M2579),M2579/L2579,"No aplica")</f>
        <v>1.119583586034393</v>
      </c>
      <c r="O2579" s="25">
        <f>IF(G2579="provision",M2579+H2579,IF(G2579="recoleccion",M2579-H2579,"No aplica"))</f>
        <v>9595000000</v>
      </c>
      <c r="P2579" s="26" t="n">
        <v>560344</v>
      </c>
    </row>
    <row r="2580">
      <c r="A2580" t="inlineStr">
        <is>
          <t>PRAGMA</t>
        </is>
      </c>
      <c r="B2580" t="inlineStr">
        <is>
          <t>M3</t>
        </is>
      </c>
      <c r="C2580" t="inlineStr">
        <is>
          <t>Pasto</t>
        </is>
      </c>
      <c r="D2580" t="inlineStr">
        <is>
          <t>977</t>
        </is>
      </c>
      <c r="E2580" t="inlineStr">
        <is>
          <t>No aplica</t>
        </is>
      </c>
      <c r="F2580" s="23" t="n">
        <v>46280</v>
      </c>
      <c r="G2580" t="inlineStr">
        <is>
          <t>recoleccion</t>
        </is>
      </c>
      <c r="H2580" s="26" t="n">
        <v>1103537668</v>
      </c>
      <c r="I2580" t="inlineStr">
        <is>
          <t>bajo</t>
        </is>
      </c>
      <c r="J2580" t="inlineStr">
        <is>
          <t>RN-41: riesgo de exceder el cupo</t>
        </is>
      </c>
      <c r="K2580" t="inlineStr">
        <is>
          <t>Recolección por riesgo de exceder el cupo: el saldo al cierre ($10.698.537.668) pasa el cupo $9.595.000.000. Se recogen $1.103.537.668 y el saldo queda en $9.595.000.000. En sus últimos 180 días la sucursal recibe más de lo que paga (entradas medias $2.081.465.255/día &gt; salidas medias $1.250.552.307/día); el neto diario varía $771.644.418 (σ). Costo estimado $539.376 (Anexo E: fijo $11.885 + $5 por cada $10.000 movidos).</t>
        </is>
      </c>
      <c r="L2580" s="26" t="n">
        <v>9595000000</v>
      </c>
      <c r="M2580" s="26" t="n">
        <v>10698537668</v>
      </c>
      <c r="N2580" s="27">
        <f>IF(ISNUMBER(M2580),M2580/L2580,"No aplica")</f>
        <v>1.1150117423658155</v>
      </c>
      <c r="O2580" s="25">
        <f>IF(G2580="provision",M2580+H2580,IF(G2580="recoleccion",M2580-H2580,"No aplica"))</f>
        <v>9595000000</v>
      </c>
      <c r="P2580" s="26" t="n">
        <v>539376</v>
      </c>
    </row>
    <row r="2581">
      <c r="A2581" t="inlineStr">
        <is>
          <t>PRAGMA</t>
        </is>
      </c>
      <c r="B2581" t="inlineStr">
        <is>
          <t>M3</t>
        </is>
      </c>
      <c r="C2581" t="inlineStr">
        <is>
          <t>Cali</t>
        </is>
      </c>
      <c r="D2581" t="inlineStr">
        <is>
          <t>997</t>
        </is>
      </c>
      <c r="E2581" t="inlineStr">
        <is>
          <t>No aplica</t>
        </is>
      </c>
      <c r="F2581" s="23" t="n">
        <v>46266</v>
      </c>
      <c r="G2581" t="inlineStr">
        <is>
          <t>recoleccion</t>
        </is>
      </c>
      <c r="H2581" s="26" t="n">
        <v>1983407824</v>
      </c>
      <c r="I2581" t="inlineStr">
        <is>
          <t>bajo</t>
        </is>
      </c>
      <c r="J2581" t="inlineStr">
        <is>
          <t>RN-41: riesgo de exceder el cupo</t>
        </is>
      </c>
      <c r="K2581" t="inlineStr">
        <is>
          <t>Recolección por riesgo de exceder el cupo: el saldo al cierre ($3.079.390.873) pasa el cupo $3.050.000.000. Se recogen $1.983.407.824 y el saldo queda en $1.095.983.049. En sus últimos 180 días la sucursal recibe más de lo que paga (entradas medias $79.056.085/día &gt; salidas medias $56.798.870/día); el neto diario varía $67.786.060 (σ). Costo estimado $2.439.837 (Anexo E: fijo $168.835 + $11 por cada $10.000 movidos).</t>
        </is>
      </c>
      <c r="L2581" s="26" t="n">
        <v>3050000000</v>
      </c>
      <c r="M2581" s="26" t="n">
        <v>3079390873</v>
      </c>
      <c r="N2581" s="27">
        <f>IF(ISNUMBER(M2581),M2581/L2581,"No aplica")</f>
        <v>1.0096363518032787</v>
      </c>
      <c r="O2581" s="25">
        <f>IF(G2581="provision",M2581+H2581,IF(G2581="recoleccion",M2581-H2581,"No aplica"))</f>
        <v>1095983049</v>
      </c>
      <c r="P2581" s="26" t="n">
        <v>2439837</v>
      </c>
    </row>
    <row r="2582">
      <c r="A2582" t="inlineStr">
        <is>
          <t>PRAGMA</t>
        </is>
      </c>
      <c r="B2582" t="inlineStr">
        <is>
          <t>M3</t>
        </is>
      </c>
      <c r="C2582" t="inlineStr">
        <is>
          <t>Cali</t>
        </is>
      </c>
      <c r="D2582" t="inlineStr">
        <is>
          <t>997</t>
        </is>
      </c>
      <c r="E2582" t="inlineStr">
        <is>
          <t>No aplica</t>
        </is>
      </c>
      <c r="F2582" s="23" t="n">
        <v>46267</v>
      </c>
      <c r="G2582" t="inlineStr">
        <is>
          <t>recoleccion</t>
        </is>
      </c>
      <c r="H2582" s="26" t="n">
        <v>2211953</v>
      </c>
      <c r="I2582" t="inlineStr">
        <is>
          <t>bajo</t>
        </is>
      </c>
      <c r="J2582" t="inlineStr">
        <is>
          <t>RN-41: efectivo ocioso sobre el techo</t>
        </is>
      </c>
      <c r="K2582" t="inlineStr">
        <is>
          <t>Recolección por efectivo ocioso: el saldo al cierre ($1.098.195.002) pasa el techo $1.095.983.049 (reserva + 15 días de salidas medias, tope en el cupo $3.050.000.000). Se recogen $2.211.953 y el saldo queda en $1.095.983.049. En sus últimos 180 días la sucursal recibe más de lo que paga (entradas medias $79.056.085/día &gt; salidas medias $56.798.870/día); el neto diario varía $67.786.060 (σ). Costo estimado $171.368 (Anexo E: fijo $168.835 + $11 por cada $10.000 movidos).</t>
        </is>
      </c>
      <c r="L2582" s="26" t="n">
        <v>3050000000</v>
      </c>
      <c r="M2582" s="26" t="n">
        <v>1098195002</v>
      </c>
      <c r="N2582" s="27">
        <f>IF(ISNUMBER(M2582),M2582/L2582,"No aplica")</f>
        <v>0.3600639350819672</v>
      </c>
      <c r="O2582" s="25">
        <f>IF(G2582="provision",M2582+H2582,IF(G2582="recoleccion",M2582-H2582,"No aplica"))</f>
        <v>1095983049</v>
      </c>
      <c r="P2582" s="26" t="n">
        <v>171368</v>
      </c>
    </row>
    <row r="2583">
      <c r="A2583" t="inlineStr">
        <is>
          <t>PRAGMA</t>
        </is>
      </c>
      <c r="B2583" t="inlineStr">
        <is>
          <t>M3</t>
        </is>
      </c>
      <c r="C2583" t="inlineStr">
        <is>
          <t>Cali</t>
        </is>
      </c>
      <c r="D2583" t="inlineStr">
        <is>
          <t>997</t>
        </is>
      </c>
      <c r="E2583" t="inlineStr">
        <is>
          <t>No aplica</t>
        </is>
      </c>
      <c r="F2583" s="23" t="n">
        <v>46268</v>
      </c>
      <c r="G2583" t="inlineStr">
        <is>
          <t>recoleccion</t>
        </is>
      </c>
      <c r="H2583" s="26" t="n">
        <v>16062163</v>
      </c>
      <c r="I2583" t="inlineStr">
        <is>
          <t>bajo</t>
        </is>
      </c>
      <c r="J2583" t="inlineStr">
        <is>
          <t>RN-41: efectivo ocioso sobre el techo</t>
        </is>
      </c>
      <c r="K2583" t="inlineStr">
        <is>
          <t>Recolección por efectivo ocioso: el saldo al cierre ($1.112.045.212) pasa el techo $1.095.983.049 (reserva + 15 días de salidas medias, tope en el cupo $3.050.000.000). Se recogen $16.062.163 y el saldo queda en $1.095.983.049. En sus últimos 180 días la sucursal recibe más de lo que paga (entradas medias $79.056.085/día &gt; salidas medias $56.798.870/día); el neto diario varía $67.786.060 (σ). Costo estimado $187.226 (Anexo E: fijo $168.835 + $11 por cada $10.000 movidos).</t>
        </is>
      </c>
      <c r="L2583" s="26" t="n">
        <v>3050000000</v>
      </c>
      <c r="M2583" s="26" t="n">
        <v>1112045212</v>
      </c>
      <c r="N2583" s="27">
        <f>IF(ISNUMBER(M2583),M2583/L2583,"No aplica")</f>
        <v>0.3646049875409836</v>
      </c>
      <c r="O2583" s="25">
        <f>IF(G2583="provision",M2583+H2583,IF(G2583="recoleccion",M2583-H2583,"No aplica"))</f>
        <v>1095983049</v>
      </c>
      <c r="P2583" s="26" t="n">
        <v>187226</v>
      </c>
    </row>
    <row r="2584">
      <c r="A2584" t="inlineStr">
        <is>
          <t>PRAGMA</t>
        </is>
      </c>
      <c r="B2584" t="inlineStr">
        <is>
          <t>M3</t>
        </is>
      </c>
      <c r="C2584" t="inlineStr">
        <is>
          <t>Cali</t>
        </is>
      </c>
      <c r="D2584" t="inlineStr">
        <is>
          <t>997</t>
        </is>
      </c>
      <c r="E2584" t="inlineStr">
        <is>
          <t>No aplica</t>
        </is>
      </c>
      <c r="F2584" s="23" t="n">
        <v>46269</v>
      </c>
      <c r="G2584" t="inlineStr">
        <is>
          <t>recoleccion</t>
        </is>
      </c>
      <c r="H2584" s="26" t="n">
        <v>9573533</v>
      </c>
      <c r="I2584" t="inlineStr">
        <is>
          <t>bajo</t>
        </is>
      </c>
      <c r="J2584" t="inlineStr">
        <is>
          <t>RN-41: efectivo ocioso sobre el techo</t>
        </is>
      </c>
      <c r="K2584" t="inlineStr">
        <is>
          <t>Recolección por efectivo ocioso: el saldo al cierre ($1.105.556.582) pasa el techo $1.095.983.049 (reserva + 15 días de salidas medias, tope en el cupo $3.050.000.000). Se recogen $9.573.533 y el saldo queda en $1.095.983.049. En sus últimos 180 días la sucursal recibe más de lo que paga (entradas medias $79.056.085/día &gt; salidas medias $56.798.870/día); el neto diario varía $67.786.060 (σ). Costo estimado $179.797 (Anexo E: fijo $168.835 + $11 por cada $10.000 movidos).</t>
        </is>
      </c>
      <c r="L2584" s="26" t="n">
        <v>3050000000</v>
      </c>
      <c r="M2584" s="26" t="n">
        <v>1105556582</v>
      </c>
      <c r="N2584" s="27">
        <f>IF(ISNUMBER(M2584),M2584/L2584,"No aplica")</f>
        <v>0.36247756786885243</v>
      </c>
      <c r="O2584" s="25">
        <f>IF(G2584="provision",M2584+H2584,IF(G2584="recoleccion",M2584-H2584,"No aplica"))</f>
        <v>1095983049</v>
      </c>
      <c r="P2584" s="26" t="n">
        <v>179797</v>
      </c>
    </row>
    <row r="2585">
      <c r="A2585" t="inlineStr">
        <is>
          <t>PRAGMA</t>
        </is>
      </c>
      <c r="B2585" t="inlineStr">
        <is>
          <t>M3</t>
        </is>
      </c>
      <c r="C2585" t="inlineStr">
        <is>
          <t>Cali</t>
        </is>
      </c>
      <c r="D2585" t="inlineStr">
        <is>
          <t>997</t>
        </is>
      </c>
      <c r="E2585" t="inlineStr">
        <is>
          <t>No aplica</t>
        </is>
      </c>
      <c r="F2585" s="23" t="n">
        <v>46270</v>
      </c>
      <c r="G2585" t="inlineStr">
        <is>
          <t>recoleccion</t>
        </is>
      </c>
      <c r="H2585" s="26" t="n">
        <v>159669</v>
      </c>
      <c r="I2585" t="inlineStr">
        <is>
          <t>bajo</t>
        </is>
      </c>
      <c r="J2585" t="inlineStr">
        <is>
          <t>RN-41: efectivo ocioso sobre el techo</t>
        </is>
      </c>
      <c r="K2585" t="inlineStr">
        <is>
          <t>Recolección por efectivo ocioso: el saldo al cierre ($1.096.142.718) pasa el techo $1.095.983.049 (reserva + 15 días de salidas medias, tope en el cupo $3.050.000.000). Se recogen $159.669 y el saldo queda en $1.095.983.049. En sus últimos 180 días la sucursal recibe más de lo que paga (entradas medias $79.056.085/día &gt; salidas medias $56.798.870/día); el neto diario varía $67.786.060 (σ). Costo estimado $169.018 (Anexo E: fijo $168.835 + $11 por cada $10.000 movidos).</t>
        </is>
      </c>
      <c r="L2585" s="26" t="n">
        <v>3050000000</v>
      </c>
      <c r="M2585" s="26" t="n">
        <v>1096142718</v>
      </c>
      <c r="N2585" s="27">
        <f>IF(ISNUMBER(M2585),M2585/L2585,"No aplica")</f>
        <v>0.3593910550819672</v>
      </c>
      <c r="O2585" s="25">
        <f>IF(G2585="provision",M2585+H2585,IF(G2585="recoleccion",M2585-H2585,"No aplica"))</f>
        <v>1095983049</v>
      </c>
      <c r="P2585" s="26" t="n">
        <v>169018</v>
      </c>
    </row>
    <row r="2586">
      <c r="A2586" t="inlineStr">
        <is>
          <t>PRAGMA</t>
        </is>
      </c>
      <c r="B2586" t="inlineStr">
        <is>
          <t>M3</t>
        </is>
      </c>
      <c r="C2586" t="inlineStr">
        <is>
          <t>Cali</t>
        </is>
      </c>
      <c r="D2586" t="inlineStr">
        <is>
          <t>997</t>
        </is>
      </c>
      <c r="E2586" t="inlineStr">
        <is>
          <t>No aplica</t>
        </is>
      </c>
      <c r="F2586" s="23" t="n">
        <v>46271</v>
      </c>
      <c r="G2586" t="inlineStr">
        <is>
          <t>recoleccion</t>
        </is>
      </c>
      <c r="H2586" s="26" t="n">
        <v>5173</v>
      </c>
      <c r="I2586" t="inlineStr">
        <is>
          <t>bajo</t>
        </is>
      </c>
      <c r="J2586" t="inlineStr">
        <is>
          <t>RN-41: efectivo ocioso sobre el techo</t>
        </is>
      </c>
      <c r="K2586" t="inlineStr">
        <is>
          <t>Recolección por efectivo ocioso: el saldo al cierre ($1.095.988.222) pasa el techo $1.095.983.049 (reserva + 15 días de salidas medias, tope en el cupo $3.050.000.000). Se recogen $5.173 y el saldo queda en $1.095.983.049. En sus últimos 180 días la sucursal recibe más de lo que paga (entradas medias $79.056.085/día &gt; salidas medias $56.798.870/día); el neto diario varía $67.786.060 (σ). Costo estimado $168.841 (Anexo E: fijo $168.835 + $11 por cada $10.000 movidos).</t>
        </is>
      </c>
      <c r="L2586" s="26" t="n">
        <v>3050000000</v>
      </c>
      <c r="M2586" s="26" t="n">
        <v>1095988222</v>
      </c>
      <c r="N2586" s="27">
        <f>IF(ISNUMBER(M2586),M2586/L2586,"No aplica")</f>
        <v>0.3593404006557377</v>
      </c>
      <c r="O2586" s="25">
        <f>IF(G2586="provision",M2586+H2586,IF(G2586="recoleccion",M2586-H2586,"No aplica"))</f>
        <v>1095983049</v>
      </c>
      <c r="P2586" s="26" t="n">
        <v>168841</v>
      </c>
    </row>
    <row r="2587">
      <c r="A2587" t="inlineStr">
        <is>
          <t>PRAGMA</t>
        </is>
      </c>
      <c r="B2587" t="inlineStr">
        <is>
          <t>M3</t>
        </is>
      </c>
      <c r="C2587" t="inlineStr">
        <is>
          <t>Cali</t>
        </is>
      </c>
      <c r="D2587" t="inlineStr">
        <is>
          <t>997</t>
        </is>
      </c>
      <c r="E2587" t="inlineStr">
        <is>
          <t>No aplica</t>
        </is>
      </c>
      <c r="F2587" s="23" t="n">
        <v>46272</v>
      </c>
      <c r="G2587" t="inlineStr">
        <is>
          <t>recoleccion</t>
        </is>
      </c>
      <c r="H2587" s="26" t="n">
        <v>6213799</v>
      </c>
      <c r="I2587" t="inlineStr">
        <is>
          <t>bajo</t>
        </is>
      </c>
      <c r="J2587" t="inlineStr">
        <is>
          <t>RN-41: efectivo ocioso sobre el techo</t>
        </is>
      </c>
      <c r="K2587" t="inlineStr">
        <is>
          <t>Recolección por efectivo ocioso: el saldo al cierre ($1.102.196.848) pasa el techo $1.095.983.049 (reserva + 15 días de salidas medias, tope en el cupo $3.050.000.000). Se recogen $6.213.799 y el saldo queda en $1.095.983.049. En sus últimos 180 días la sucursal recibe más de lo que paga (entradas medias $79.056.085/día &gt; salidas medias $56.798.870/día); el neto diario varía $67.786.060 (σ). Costo estimado $175.950 (Anexo E: fijo $168.835 + $11 por cada $10.000 movidos).</t>
        </is>
      </c>
      <c r="L2587" s="26" t="n">
        <v>3050000000</v>
      </c>
      <c r="M2587" s="26" t="n">
        <v>1102196848</v>
      </c>
      <c r="N2587" s="27">
        <f>IF(ISNUMBER(M2587),M2587/L2587,"No aplica")</f>
        <v>0.3613760157377049</v>
      </c>
      <c r="O2587" s="25">
        <f>IF(G2587="provision",M2587+H2587,IF(G2587="recoleccion",M2587-H2587,"No aplica"))</f>
        <v>1095983049</v>
      </c>
      <c r="P2587" s="26" t="n">
        <v>175950</v>
      </c>
    </row>
    <row r="2588">
      <c r="A2588" t="inlineStr">
        <is>
          <t>PRAGMA</t>
        </is>
      </c>
      <c r="B2588" t="inlineStr">
        <is>
          <t>M3</t>
        </is>
      </c>
      <c r="C2588" t="inlineStr">
        <is>
          <t>Cali</t>
        </is>
      </c>
      <c r="D2588" t="inlineStr">
        <is>
          <t>997</t>
        </is>
      </c>
      <c r="E2588" t="inlineStr">
        <is>
          <t>No aplica</t>
        </is>
      </c>
      <c r="F2588" s="23" t="n">
        <v>46273</v>
      </c>
      <c r="G2588" t="inlineStr">
        <is>
          <t>recoleccion</t>
        </is>
      </c>
      <c r="H2588" s="26" t="n">
        <v>42116483</v>
      </c>
      <c r="I2588" t="inlineStr">
        <is>
          <t>bajo</t>
        </is>
      </c>
      <c r="J2588" t="inlineStr">
        <is>
          <t>RN-41: efectivo ocioso sobre el techo</t>
        </is>
      </c>
      <c r="K2588" t="inlineStr">
        <is>
          <t>Recolección por efectivo ocioso: el saldo al cierre ($1.138.099.532) pasa el techo $1.095.983.049 (reserva + 15 días de salidas medias, tope en el cupo $3.050.000.000). Se recogen $42.116.483 y el saldo queda en $1.095.983.049. En sus últimos 180 días la sucursal recibe más de lo que paga (entradas medias $79.056.085/día &gt; salidas medias $56.798.870/día); el neto diario varía $67.786.060 (σ). Costo estimado $217.058 (Anexo E: fijo $168.835 + $11 por cada $10.000 movidos).</t>
        </is>
      </c>
      <c r="L2588" s="26" t="n">
        <v>3050000000</v>
      </c>
      <c r="M2588" s="26" t="n">
        <v>1138099532</v>
      </c>
      <c r="N2588" s="27">
        <f>IF(ISNUMBER(M2588),M2588/L2588,"No aplica")</f>
        <v>0.3731473875409836</v>
      </c>
      <c r="O2588" s="25">
        <f>IF(G2588="provision",M2588+H2588,IF(G2588="recoleccion",M2588-H2588,"No aplica"))</f>
        <v>1095983049</v>
      </c>
      <c r="P2588" s="26" t="n">
        <v>217058</v>
      </c>
    </row>
    <row r="2589">
      <c r="A2589" t="inlineStr">
        <is>
          <t>PRAGMA</t>
        </is>
      </c>
      <c r="B2589" t="inlineStr">
        <is>
          <t>M3</t>
        </is>
      </c>
      <c r="C2589" t="inlineStr">
        <is>
          <t>Cali</t>
        </is>
      </c>
      <c r="D2589" t="inlineStr">
        <is>
          <t>997</t>
        </is>
      </c>
      <c r="E2589" t="inlineStr">
        <is>
          <t>No aplica</t>
        </is>
      </c>
      <c r="F2589" s="23" t="n">
        <v>46274</v>
      </c>
      <c r="G2589" t="inlineStr">
        <is>
          <t>recoleccion</t>
        </is>
      </c>
      <c r="H2589" s="26" t="n">
        <v>11566813</v>
      </c>
      <c r="I2589" t="inlineStr">
        <is>
          <t>bajo</t>
        </is>
      </c>
      <c r="J2589" t="inlineStr">
        <is>
          <t>RN-41: efectivo ocioso sobre el techo</t>
        </is>
      </c>
      <c r="K2589" t="inlineStr">
        <is>
          <t>Recolección por efectivo ocioso: el saldo al cierre ($1.107.549.862) pasa el techo $1.095.983.049 (reserva + 15 días de salidas medias, tope en el cupo $3.050.000.000). Se recogen $11.566.813 y el saldo queda en $1.095.983.049. En sus últimos 180 días la sucursal recibe más de lo que paga (entradas medias $79.056.085/día &gt; salidas medias $56.798.870/día); el neto diario varía $67.786.060 (σ). Costo estimado $182.079 (Anexo E: fijo $168.835 + $11 por cada $10.000 movidos).</t>
        </is>
      </c>
      <c r="L2589" s="26" t="n">
        <v>3050000000</v>
      </c>
      <c r="M2589" s="26" t="n">
        <v>1107549862</v>
      </c>
      <c r="N2589" s="27">
        <f>IF(ISNUMBER(M2589),M2589/L2589,"No aplica")</f>
        <v>0.36313110229508194</v>
      </c>
      <c r="O2589" s="25">
        <f>IF(G2589="provision",M2589+H2589,IF(G2589="recoleccion",M2589-H2589,"No aplica"))</f>
        <v>1095983049</v>
      </c>
      <c r="P2589" s="26" t="n">
        <v>182079</v>
      </c>
    </row>
    <row r="2590">
      <c r="A2590" t="inlineStr">
        <is>
          <t>PRAGMA</t>
        </is>
      </c>
      <c r="B2590" t="inlineStr">
        <is>
          <t>M3</t>
        </is>
      </c>
      <c r="C2590" t="inlineStr">
        <is>
          <t>Cali</t>
        </is>
      </c>
      <c r="D2590" t="inlineStr">
        <is>
          <t>997</t>
        </is>
      </c>
      <c r="E2590" t="inlineStr">
        <is>
          <t>No aplica</t>
        </is>
      </c>
      <c r="F2590" s="23" t="n">
        <v>46276</v>
      </c>
      <c r="G2590" t="inlineStr">
        <is>
          <t>recoleccion</t>
        </is>
      </c>
      <c r="H2590" s="26" t="n">
        <v>13368255</v>
      </c>
      <c r="I2590" t="inlineStr">
        <is>
          <t>bajo</t>
        </is>
      </c>
      <c r="J2590" t="inlineStr">
        <is>
          <t>RN-41: efectivo ocioso sobre el techo</t>
        </is>
      </c>
      <c r="K2590" t="inlineStr">
        <is>
          <t>Recolección por efectivo ocioso: el saldo al cierre ($1.109.351.304) pasa el techo $1.095.983.049 (reserva + 15 días de salidas medias, tope en el cupo $3.050.000.000). Se recogen $13.368.255 y el saldo queda en $1.095.983.049. En sus últimos 180 días la sucursal recibe más de lo que paga (entradas medias $79.056.085/día &gt; salidas medias $56.798.870/día); el neto diario varía $67.786.060 (σ). Costo estimado $184.142 (Anexo E: fijo $168.835 + $11 por cada $10.000 movidos).</t>
        </is>
      </c>
      <c r="L2590" s="26" t="n">
        <v>3050000000</v>
      </c>
      <c r="M2590" s="26" t="n">
        <v>1109351304</v>
      </c>
      <c r="N2590" s="27">
        <f>IF(ISNUMBER(M2590),M2590/L2590,"No aplica")</f>
        <v>0.36372173901639343</v>
      </c>
      <c r="O2590" s="25">
        <f>IF(G2590="provision",M2590+H2590,IF(G2590="recoleccion",M2590-H2590,"No aplica"))</f>
        <v>1095983049</v>
      </c>
      <c r="P2590" s="26" t="n">
        <v>184142</v>
      </c>
    </row>
    <row r="2591">
      <c r="A2591" t="inlineStr">
        <is>
          <t>PRAGMA</t>
        </is>
      </c>
      <c r="B2591" t="inlineStr">
        <is>
          <t>M3</t>
        </is>
      </c>
      <c r="C2591" t="inlineStr">
        <is>
          <t>Cali</t>
        </is>
      </c>
      <c r="D2591" t="inlineStr">
        <is>
          <t>997</t>
        </is>
      </c>
      <c r="E2591" t="inlineStr">
        <is>
          <t>No aplica</t>
        </is>
      </c>
      <c r="F2591" s="23" t="n">
        <v>46277</v>
      </c>
      <c r="G2591" t="inlineStr">
        <is>
          <t>recoleccion</t>
        </is>
      </c>
      <c r="H2591" s="26" t="n">
        <v>167182</v>
      </c>
      <c r="I2591" t="inlineStr">
        <is>
          <t>bajo</t>
        </is>
      </c>
      <c r="J2591" t="inlineStr">
        <is>
          <t>RN-41: efectivo ocioso sobre el techo</t>
        </is>
      </c>
      <c r="K2591" t="inlineStr">
        <is>
          <t>Recolección por efectivo ocioso: el saldo al cierre ($1.096.150.231) pasa el techo $1.095.983.049 (reserva + 15 días de salidas medias, tope en el cupo $3.050.000.000). Se recogen $167.182 y el saldo queda en $1.095.983.049. En sus últimos 180 días la sucursal recibe más de lo que paga (entradas medias $79.056.085/día &gt; salidas medias $56.798.870/día); el neto diario varía $67.786.060 (σ). Costo estimado $169.026 (Anexo E: fijo $168.835 + $11 por cada $10.000 movidos).</t>
        </is>
      </c>
      <c r="L2591" s="26" t="n">
        <v>3050000000</v>
      </c>
      <c r="M2591" s="26" t="n">
        <v>1096150231</v>
      </c>
      <c r="N2591" s="27">
        <f>IF(ISNUMBER(M2591),M2591/L2591,"No aplica")</f>
        <v>0.35939351836065575</v>
      </c>
      <c r="O2591" s="25">
        <f>IF(G2591="provision",M2591+H2591,IF(G2591="recoleccion",M2591-H2591,"No aplica"))</f>
        <v>1095983049</v>
      </c>
      <c r="P2591" s="26" t="n">
        <v>169026</v>
      </c>
    </row>
    <row r="2592">
      <c r="A2592" t="inlineStr">
        <is>
          <t>PRAGMA</t>
        </is>
      </c>
      <c r="B2592" t="inlineStr">
        <is>
          <t>M3</t>
        </is>
      </c>
      <c r="C2592" t="inlineStr">
        <is>
          <t>Cali</t>
        </is>
      </c>
      <c r="D2592" t="inlineStr">
        <is>
          <t>997</t>
        </is>
      </c>
      <c r="E2592" t="inlineStr">
        <is>
          <t>No aplica</t>
        </is>
      </c>
      <c r="F2592" s="23" t="n">
        <v>46278</v>
      </c>
      <c r="G2592" t="inlineStr">
        <is>
          <t>recoleccion</t>
        </is>
      </c>
      <c r="H2592" s="26" t="n">
        <v>6878</v>
      </c>
      <c r="I2592" t="inlineStr">
        <is>
          <t>bajo</t>
        </is>
      </c>
      <c r="J2592" t="inlineStr">
        <is>
          <t>RN-41: efectivo ocioso sobre el techo</t>
        </is>
      </c>
      <c r="K2592" t="inlineStr">
        <is>
          <t>Recolección por efectivo ocioso: el saldo al cierre ($1.095.989.927) pasa el techo $1.095.983.049 (reserva + 15 días de salidas medias, tope en el cupo $3.050.000.000). Se recogen $6.878 y el saldo queda en $1.095.983.049. En sus últimos 180 días la sucursal recibe más de lo que paga (entradas medias $79.056.085/día &gt; salidas medias $56.798.870/día); el neto diario varía $67.786.060 (σ). Costo estimado $168.843 (Anexo E: fijo $168.835 + $11 por cada $10.000 movidos).</t>
        </is>
      </c>
      <c r="L2592" s="26" t="n">
        <v>3050000000</v>
      </c>
      <c r="M2592" s="26" t="n">
        <v>1095989927</v>
      </c>
      <c r="N2592" s="27">
        <f>IF(ISNUMBER(M2592),M2592/L2592,"No aplica")</f>
        <v>0.35934095967213114</v>
      </c>
      <c r="O2592" s="25">
        <f>IF(G2592="provision",M2592+H2592,IF(G2592="recoleccion",M2592-H2592,"No aplica"))</f>
        <v>1095983049</v>
      </c>
      <c r="P2592" s="26" t="n">
        <v>168843</v>
      </c>
    </row>
    <row r="2593">
      <c r="A2593" t="inlineStr">
        <is>
          <t>PRAGMA</t>
        </is>
      </c>
      <c r="B2593" t="inlineStr">
        <is>
          <t>M3</t>
        </is>
      </c>
      <c r="C2593" t="inlineStr">
        <is>
          <t>Cali</t>
        </is>
      </c>
      <c r="D2593" t="inlineStr">
        <is>
          <t>997</t>
        </is>
      </c>
      <c r="E2593" t="inlineStr">
        <is>
          <t>No aplica</t>
        </is>
      </c>
      <c r="F2593" s="23" t="n">
        <v>46279</v>
      </c>
      <c r="G2593" t="inlineStr">
        <is>
          <t>recoleccion</t>
        </is>
      </c>
      <c r="H2593" s="26" t="n">
        <v>14397282</v>
      </c>
      <c r="I2593" t="inlineStr">
        <is>
          <t>bajo</t>
        </is>
      </c>
      <c r="J2593" t="inlineStr">
        <is>
          <t>RN-41: efectivo ocioso sobre el techo</t>
        </is>
      </c>
      <c r="K2593" t="inlineStr">
        <is>
          <t>Recolección por efectivo ocioso: el saldo al cierre ($1.110.380.331) pasa el techo $1.095.983.049 (reserva + 15 días de salidas medias, tope en el cupo $3.050.000.000). Se recogen $14.397.282 y el saldo queda en $1.095.983.049. En sus últimos 180 días la sucursal recibe más de lo que paga (entradas medias $79.056.085/día &gt; salidas medias $56.798.870/día); el neto diario varía $67.786.060 (σ). Costo estimado $185.320 (Anexo E: fijo $168.835 + $11 por cada $10.000 movidos).</t>
        </is>
      </c>
      <c r="L2593" s="26" t="n">
        <v>3050000000</v>
      </c>
      <c r="M2593" s="26" t="n">
        <v>1110380331</v>
      </c>
      <c r="N2593" s="27">
        <f>IF(ISNUMBER(M2593),M2593/L2593,"No aplica")</f>
        <v>0.3640591249180328</v>
      </c>
      <c r="O2593" s="25">
        <f>IF(G2593="provision",M2593+H2593,IF(G2593="recoleccion",M2593-H2593,"No aplica"))</f>
        <v>1095983049</v>
      </c>
      <c r="P2593" s="26" t="n">
        <v>185320</v>
      </c>
    </row>
    <row r="2594">
      <c r="A2594" t="inlineStr">
        <is>
          <t>PRAGMA</t>
        </is>
      </c>
      <c r="B2594" t="inlineStr">
        <is>
          <t>M3</t>
        </is>
      </c>
      <c r="C2594" t="inlineStr">
        <is>
          <t>Cali</t>
        </is>
      </c>
      <c r="D2594" t="inlineStr">
        <is>
          <t>997</t>
        </is>
      </c>
      <c r="E2594" t="inlineStr">
        <is>
          <t>No aplica</t>
        </is>
      </c>
      <c r="F2594" s="23" t="n">
        <v>46280</v>
      </c>
      <c r="G2594" t="inlineStr">
        <is>
          <t>recoleccion</t>
        </is>
      </c>
      <c r="H2594" s="26" t="n">
        <v>34635984</v>
      </c>
      <c r="I2594" t="inlineStr">
        <is>
          <t>bajo</t>
        </is>
      </c>
      <c r="J2594" t="inlineStr">
        <is>
          <t>RN-41: efectivo ocioso sobre el techo</t>
        </is>
      </c>
      <c r="K2594" t="inlineStr">
        <is>
          <t>Recolección por efectivo ocioso: el saldo al cierre ($1.130.619.033) pasa el techo $1.095.983.049 (reserva + 15 días de salidas medias, tope en el cupo $3.050.000.000). Se recogen $34.635.984 y el saldo queda en $1.095.983.049. En sus últimos 180 días la sucursal recibe más de lo que paga (entradas medias $79.056.085/día &gt; salidas medias $56.798.870/día); el neto diario varía $67.786.060 (σ). Costo estimado $208.493 (Anexo E: fijo $168.835 + $11 por cada $10.000 movidos).</t>
        </is>
      </c>
      <c r="L2594" s="26" t="n">
        <v>3050000000</v>
      </c>
      <c r="M2594" s="26" t="n">
        <v>1130619033</v>
      </c>
      <c r="N2594" s="27">
        <f>IF(ISNUMBER(M2594),M2594/L2594,"No aplica")</f>
        <v>0.37069476491803277</v>
      </c>
      <c r="O2594" s="25">
        <f>IF(G2594="provision",M2594+H2594,IF(G2594="recoleccion",M2594-H2594,"No aplica"))</f>
        <v>1095983049</v>
      </c>
      <c r="P2594" s="26" t="n">
        <v>208493</v>
      </c>
    </row>
  </sheetData>
  <autoFilter ref="A2:P16"/>
  <mergeCells count="1">
    <mergeCell ref="A1:P1"/>
  </mergeCells>
  <dataValidations count="4">
    <dataValidation sqref="B3:B2594" showDropDown="0" showInputMessage="0" showErrorMessage="0" allowBlank="1" type="list">
      <formula1>"M1,M2,M3"</formula1>
      <formula2>0</formula2>
    </dataValidation>
    <dataValidation sqref="E3:E2594" showDropDown="0" showInputMessage="0" showErrorMessage="0" allowBlank="1" type="list">
      <formula1>"TDV,Sucursal,No aplica"</formula1>
      <formula2>0</formula2>
    </dataValidation>
    <dataValidation sqref="G3:G2594" showDropDown="0" showInputMessage="0" showErrorMessage="0" allowBlank="1" type="list">
      <formula1>"provision,recoleccion,sin_accion"</formula1>
      <formula2>0</formula2>
    </dataValidation>
    <dataValidation sqref="I3:I2594" showDropDown="0" showInputMessage="0" showErrorMessage="0" allowBlank="1" type="list">
      <formula1>"alto,medio,bajo"</formula1>
      <formula2>0</formula2>
    </dataValidation>
  </dataValidations>
  <pageMargins left="0.75" right="0.75" top="1" bottom="1" header="0.511811023622047" footer="0.511811023622047"/>
  <pageSetup orientation="portrait" fitToHeight="0" horizontalDpi="300" verticalDpi="300"/>
</worksheet>
</file>

<file path=xl/worksheets/sheet3.xml><?xml version="1.0" encoding="utf-8"?>
<worksheet xmlns="http://schemas.openxmlformats.org/spreadsheetml/2006/main">
  <sheetPr filterMode="1">
    <tabColor rgb="FFFDDA24"/>
    <outlinePr summaryBelow="1" summaryRight="1"/>
    <pageSetUpPr fitToPage="1"/>
  </sheetPr>
  <dimension ref="A1:L107"/>
  <sheetViews>
    <sheetView showGridLines="0" zoomScaleNormal="100" workbookViewId="0">
      <pane ySplit="2" topLeftCell="A16" activePane="bottomLeft" state="frozen"/>
      <selection pane="bottomLeft" activeCell="E16" sqref="E16"/>
    </sheetView>
  </sheetViews>
  <sheetFormatPr baseColWidth="10" defaultColWidth="8.7265625" defaultRowHeight="15" customHeight="1"/>
  <cols>
    <col width="17" customWidth="1" min="1" max="1"/>
    <col width="8" customWidth="1" min="2" max="2"/>
    <col width="26" customWidth="1" min="3" max="3"/>
    <col width="12" customWidth="1" min="4" max="4"/>
    <col width="36" customWidth="1" min="5" max="5"/>
    <col width="15" customWidth="1" min="6" max="6"/>
    <col width="16" customWidth="1" min="7" max="7"/>
    <col width="22" customWidth="1" min="8" max="8"/>
    <col width="13" customWidth="1" min="9" max="10"/>
    <col width="34" customWidth="1" min="11" max="11"/>
    <col width="48" customWidth="1" min="12" max="12"/>
  </cols>
  <sheetData>
    <row r="1" ht="26" customHeight="1">
      <c r="A1" s="21" t="inlineStr">
        <is>
          <t>Hoja 03 – Métricas de desarrollo</t>
        </is>
      </c>
    </row>
    <row r="2" ht="39.75" customHeight="1">
      <c r="A2" s="1" t="inlineStr">
        <is>
          <t>id_proveedor</t>
        </is>
      </c>
      <c r="B2" s="1" t="inlineStr">
        <is>
          <t>modelo</t>
        </is>
      </c>
      <c r="C2" s="1" t="inlineStr">
        <is>
          <t>variable_o_kpi_evaluado</t>
        </is>
      </c>
      <c r="D2" s="1" t="inlineStr">
        <is>
          <t>tipo_metrica</t>
        </is>
      </c>
      <c r="E2" s="1" t="inlineStr">
        <is>
          <t>metrica</t>
        </is>
      </c>
      <c r="F2" s="1" t="inlineStr">
        <is>
          <t>valor_metrica</t>
        </is>
      </c>
      <c r="G2" s="1" t="inlineStr">
        <is>
          <t>unidad</t>
        </is>
      </c>
      <c r="H2" s="1" t="inlineStr">
        <is>
          <t>segmento</t>
        </is>
      </c>
      <c r="I2" s="1" t="inlineStr">
        <is>
          <t>periodo_desde</t>
        </is>
      </c>
      <c r="J2" s="1" t="inlineStr">
        <is>
          <t>periodo_hasta</t>
        </is>
      </c>
      <c r="K2" s="1" t="inlineStr">
        <is>
          <t>metodologia_validacion</t>
        </is>
      </c>
      <c r="L2" s="1" t="inlineStr">
        <is>
          <t>comentarios</t>
        </is>
      </c>
    </row>
    <row r="3" hidden="1" ht="25.5" customHeight="1" thickTop="1">
      <c r="A3" t="inlineStr">
        <is>
          <t>PRAGMA</t>
        </is>
      </c>
      <c r="B3" t="inlineStr">
        <is>
          <t>M1</t>
        </is>
      </c>
      <c r="C3" t="inlineStr">
        <is>
          <t>pagado</t>
        </is>
      </c>
      <c r="D3" t="inlineStr">
        <is>
          <t>predictiva</t>
        </is>
      </c>
      <c r="E3" t="inlineStr">
        <is>
          <t>WAPE</t>
        </is>
      </c>
      <c r="F3" s="27" t="n">
        <v>0.2490467539036753</v>
      </c>
      <c r="G3" t="inlineStr">
        <is>
          <t>porcentaje</t>
        </is>
      </c>
      <c r="H3" t="inlineStr">
        <is>
          <t>Global</t>
        </is>
      </c>
      <c r="I3" s="23" t="n">
        <v>46251</v>
      </c>
      <c r="J3" s="23" t="n">
        <v>46265</v>
      </c>
      <c r="K3" t="inlineStr">
        <is>
          <t>Backtesting temporal, ventanas de 15 dias</t>
        </is>
      </c>
      <c r="L3"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4" hidden="1" ht="25" customHeight="1">
      <c r="A4" t="inlineStr">
        <is>
          <t>PRAGMA</t>
        </is>
      </c>
      <c r="B4" t="inlineStr">
        <is>
          <t>M1</t>
        </is>
      </c>
      <c r="C4" t="inlineStr">
        <is>
          <t>pagado</t>
        </is>
      </c>
      <c r="D4" t="inlineStr">
        <is>
          <t>predictiva</t>
        </is>
      </c>
      <c r="E4" t="inlineStr">
        <is>
          <t>MAE</t>
        </is>
      </c>
      <c r="F4" s="26" t="n">
        <v>22038765</v>
      </c>
      <c r="G4" t="inlineStr">
        <is>
          <t>COP</t>
        </is>
      </c>
      <c r="H4" t="inlineStr">
        <is>
          <t>Global</t>
        </is>
      </c>
      <c r="I4" s="23" t="n">
        <v>46251</v>
      </c>
      <c r="J4" s="23" t="n">
        <v>46265</v>
      </c>
      <c r="K4" t="inlineStr">
        <is>
          <t>Backtesting temporal, ventanas de 15 dias</t>
        </is>
      </c>
      <c r="L4"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5" hidden="1" ht="25" customHeight="1">
      <c r="A5" t="inlineStr">
        <is>
          <t>PRAGMA</t>
        </is>
      </c>
      <c r="B5" t="inlineStr">
        <is>
          <t>M1</t>
        </is>
      </c>
      <c r="C5" t="inlineStr">
        <is>
          <t>pagado</t>
        </is>
      </c>
      <c r="D5" t="inlineStr">
        <is>
          <t>predictiva</t>
        </is>
      </c>
      <c r="E5" t="inlineStr">
        <is>
          <t>Bias</t>
        </is>
      </c>
      <c r="F5" s="27" t="n">
        <v>-0.06873000074818979</v>
      </c>
      <c r="G5" t="inlineStr">
        <is>
          <t>porcentaje</t>
        </is>
      </c>
      <c r="H5" t="inlineStr">
        <is>
          <t>Global</t>
        </is>
      </c>
      <c r="I5" s="23" t="n">
        <v>46251</v>
      </c>
      <c r="J5" s="23" t="n">
        <v>46265</v>
      </c>
      <c r="K5" t="inlineStr">
        <is>
          <t>Backtesting temporal, ventanas de 15 dias</t>
        </is>
      </c>
      <c r="L5"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6" hidden="1" ht="25" customHeight="1">
      <c r="A6" t="inlineStr">
        <is>
          <t>PRAGMA</t>
        </is>
      </c>
      <c r="B6" t="inlineStr">
        <is>
          <t>M1</t>
        </is>
      </c>
      <c r="C6" t="inlineStr">
        <is>
          <t>pagado</t>
        </is>
      </c>
      <c r="D6" t="inlineStr">
        <is>
          <t>predictiva</t>
        </is>
      </c>
      <c r="E6" t="inlineStr">
        <is>
          <t>WAPE (lectura RN-08)</t>
        </is>
      </c>
      <c r="F6" s="27" t="n">
        <v>0.3145256312820061</v>
      </c>
      <c r="G6" t="inlineStr">
        <is>
          <t>porcentaje</t>
        </is>
      </c>
      <c r="H6" t="inlineStr">
        <is>
          <t>Global</t>
        </is>
      </c>
      <c r="I6" s="23" t="n">
        <v>46251</v>
      </c>
      <c r="J6" s="23" t="n">
        <v>46265</v>
      </c>
      <c r="K6" t="inlineStr">
        <is>
          <t>Backtesting temporal, ventanas de 15 dias</t>
        </is>
      </c>
      <c r="L6"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7" hidden="1" ht="25" customHeight="1">
      <c r="A7" t="inlineStr">
        <is>
          <t>PRAGMA</t>
        </is>
      </c>
      <c r="B7" t="inlineStr">
        <is>
          <t>M1</t>
        </is>
      </c>
      <c r="C7" t="inlineStr">
        <is>
          <t>pagado</t>
        </is>
      </c>
      <c r="D7" t="inlineStr">
        <is>
          <t>predictiva</t>
        </is>
      </c>
      <c r="E7" t="inlineStr">
        <is>
          <t>MAE (lectura RN-08)</t>
        </is>
      </c>
      <c r="F7" s="26" t="n">
        <v>26059657</v>
      </c>
      <c r="G7" t="inlineStr">
        <is>
          <t>COP</t>
        </is>
      </c>
      <c r="H7" t="inlineStr">
        <is>
          <t>Global</t>
        </is>
      </c>
      <c r="I7" s="23" t="n">
        <v>46251</v>
      </c>
      <c r="J7" s="23" t="n">
        <v>46265</v>
      </c>
      <c r="K7" t="inlineStr">
        <is>
          <t>Backtesting temporal, ventanas de 15 dias</t>
        </is>
      </c>
      <c r="L7"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8" hidden="1" ht="25" customHeight="1">
      <c r="A8" t="inlineStr">
        <is>
          <t>PRAGMA</t>
        </is>
      </c>
      <c r="B8" t="inlineStr">
        <is>
          <t>M1</t>
        </is>
      </c>
      <c r="C8" t="inlineStr">
        <is>
          <t>pagado</t>
        </is>
      </c>
      <c r="D8" t="inlineStr">
        <is>
          <t>predictiva</t>
        </is>
      </c>
      <c r="E8" t="inlineStr">
        <is>
          <t>Bias (lectura RN-08)</t>
        </is>
      </c>
      <c r="F8" s="27" t="n">
        <v>0.01043622690010529</v>
      </c>
      <c r="G8" t="inlineStr">
        <is>
          <t>porcentaje</t>
        </is>
      </c>
      <c r="H8" t="inlineStr">
        <is>
          <t>Global</t>
        </is>
      </c>
      <c r="I8" s="23" t="n">
        <v>46251</v>
      </c>
      <c r="J8" s="23" t="n">
        <v>46265</v>
      </c>
      <c r="K8" t="inlineStr">
        <is>
          <t>Backtesting temporal, ventanas de 15 dias</t>
        </is>
      </c>
      <c r="L8"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9" hidden="1" ht="25" customHeight="1">
      <c r="A9" t="inlineStr">
        <is>
          <t>PRAGMA</t>
        </is>
      </c>
      <c r="B9" t="inlineStr">
        <is>
          <t>M2</t>
        </is>
      </c>
      <c r="C9" t="inlineStr">
        <is>
          <t>pagado</t>
        </is>
      </c>
      <c r="D9" t="inlineStr">
        <is>
          <t>predictiva</t>
        </is>
      </c>
      <c r="E9" t="inlineStr">
        <is>
          <t>WAPE</t>
        </is>
      </c>
      <c r="F9" s="27" t="n">
        <v>0.364207185549702</v>
      </c>
      <c r="G9" t="inlineStr">
        <is>
          <t>porcentaje</t>
        </is>
      </c>
      <c r="H9" t="inlineStr">
        <is>
          <t>Global</t>
        </is>
      </c>
      <c r="I9" s="23" t="n">
        <v>46251</v>
      </c>
      <c r="J9" s="23" t="n">
        <v>46265</v>
      </c>
      <c r="K9" t="inlineStr">
        <is>
          <t>Backtesting temporal, ventanas de 15 dias</t>
        </is>
      </c>
      <c r="L9"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10" hidden="1" ht="25" customHeight="1">
      <c r="A10" t="inlineStr">
        <is>
          <t>PRAGMA</t>
        </is>
      </c>
      <c r="B10" t="inlineStr">
        <is>
          <t>M2</t>
        </is>
      </c>
      <c r="C10" t="inlineStr">
        <is>
          <t>pagado</t>
        </is>
      </c>
      <c r="D10" t="inlineStr">
        <is>
          <t>predictiva</t>
        </is>
      </c>
      <c r="E10" t="inlineStr">
        <is>
          <t>MAE</t>
        </is>
      </c>
      <c r="F10" s="26" t="n">
        <v>15038604</v>
      </c>
      <c r="G10" t="inlineStr">
        <is>
          <t>COP</t>
        </is>
      </c>
      <c r="H10" t="inlineStr">
        <is>
          <t>Global</t>
        </is>
      </c>
      <c r="I10" s="23" t="n">
        <v>46251</v>
      </c>
      <c r="J10" s="23" t="n">
        <v>46265</v>
      </c>
      <c r="K10" t="inlineStr">
        <is>
          <t>Backtesting temporal, ventanas de 15 dias</t>
        </is>
      </c>
      <c r="L10"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11" hidden="1" ht="25" customHeight="1">
      <c r="A11" t="inlineStr">
        <is>
          <t>PRAGMA</t>
        </is>
      </c>
      <c r="B11" t="inlineStr">
        <is>
          <t>M2</t>
        </is>
      </c>
      <c r="C11" t="inlineStr">
        <is>
          <t>pagado</t>
        </is>
      </c>
      <c r="D11" t="inlineStr">
        <is>
          <t>predictiva</t>
        </is>
      </c>
      <c r="E11" t="inlineStr">
        <is>
          <t>Bias</t>
        </is>
      </c>
      <c r="F11" s="27" t="n">
        <v>-0.1118683429915806</v>
      </c>
      <c r="G11" t="inlineStr">
        <is>
          <t>porcentaje</t>
        </is>
      </c>
      <c r="H11" t="inlineStr">
        <is>
          <t>Global</t>
        </is>
      </c>
      <c r="I11" s="23" t="n">
        <v>46251</v>
      </c>
      <c r="J11" s="23" t="n">
        <v>46265</v>
      </c>
      <c r="K11" t="inlineStr">
        <is>
          <t>Backtesting temporal, ventanas de 15 dias</t>
        </is>
      </c>
      <c r="L11"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12" hidden="1" ht="25" customHeight="1">
      <c r="A12" t="inlineStr">
        <is>
          <t>PRAGMA</t>
        </is>
      </c>
      <c r="B12" t="inlineStr">
        <is>
          <t>M2</t>
        </is>
      </c>
      <c r="C12" t="inlineStr">
        <is>
          <t>pagado</t>
        </is>
      </c>
      <c r="D12" t="inlineStr">
        <is>
          <t>predictiva</t>
        </is>
      </c>
      <c r="E12" t="inlineStr">
        <is>
          <t>WAPE (lectura RN-08)</t>
        </is>
      </c>
      <c r="F12" s="27" t="n">
        <v>0.4487836503941002</v>
      </c>
      <c r="G12" t="inlineStr">
        <is>
          <t>porcentaje</t>
        </is>
      </c>
      <c r="H12" t="inlineStr">
        <is>
          <t>Global</t>
        </is>
      </c>
      <c r="I12" s="23" t="n">
        <v>46251</v>
      </c>
      <c r="J12" s="23" t="n">
        <v>46265</v>
      </c>
      <c r="K12" t="inlineStr">
        <is>
          <t>Backtesting temporal, ventanas de 15 dias</t>
        </is>
      </c>
      <c r="L12"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13" hidden="1" ht="25" customHeight="1">
      <c r="A13" t="inlineStr">
        <is>
          <t>PRAGMA</t>
        </is>
      </c>
      <c r="B13" t="inlineStr">
        <is>
          <t>M2</t>
        </is>
      </c>
      <c r="C13" t="inlineStr">
        <is>
          <t>pagado</t>
        </is>
      </c>
      <c r="D13" t="inlineStr">
        <is>
          <t>predictiva</t>
        </is>
      </c>
      <c r="E13" t="inlineStr">
        <is>
          <t>MAE (lectura RN-08)</t>
        </is>
      </c>
      <c r="F13" s="26" t="n">
        <v>18699834</v>
      </c>
      <c r="G13" t="inlineStr">
        <is>
          <t>COP</t>
        </is>
      </c>
      <c r="H13" t="inlineStr">
        <is>
          <t>Global</t>
        </is>
      </c>
      <c r="I13" s="23" t="n">
        <v>46251</v>
      </c>
      <c r="J13" s="23" t="n">
        <v>46265</v>
      </c>
      <c r="K13" t="inlineStr">
        <is>
          <t>Backtesting temporal, ventanas de 15 dias</t>
        </is>
      </c>
      <c r="L13"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14" hidden="1" ht="25" customHeight="1">
      <c r="A14" t="inlineStr">
        <is>
          <t>PRAGMA</t>
        </is>
      </c>
      <c r="B14" t="inlineStr">
        <is>
          <t>M2</t>
        </is>
      </c>
      <c r="C14" t="inlineStr">
        <is>
          <t>pagado</t>
        </is>
      </c>
      <c r="D14" t="inlineStr">
        <is>
          <t>predictiva</t>
        </is>
      </c>
      <c r="E14" t="inlineStr">
        <is>
          <t>Bias (lectura RN-08)</t>
        </is>
      </c>
      <c r="F14" s="27" t="n">
        <v>0.06322647592763783</v>
      </c>
      <c r="G14" t="inlineStr">
        <is>
          <t>porcentaje</t>
        </is>
      </c>
      <c r="H14" t="inlineStr">
        <is>
          <t>Global</t>
        </is>
      </c>
      <c r="I14" s="23" t="n">
        <v>46251</v>
      </c>
      <c r="J14" s="23" t="n">
        <v>46265</v>
      </c>
      <c r="K14" t="inlineStr">
        <is>
          <t>Backtesting temporal, ventanas de 15 dias</t>
        </is>
      </c>
      <c r="L14"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15" hidden="1" ht="25" customHeight="1">
      <c r="A15" t="inlineStr">
        <is>
          <t>PRAGMA</t>
        </is>
      </c>
      <c r="B15" t="inlineStr">
        <is>
          <t>M2</t>
        </is>
      </c>
      <c r="C15" t="inlineStr">
        <is>
          <t>cash_in</t>
        </is>
      </c>
      <c r="D15" t="inlineStr">
        <is>
          <t>predictiva</t>
        </is>
      </c>
      <c r="E15" t="inlineStr">
        <is>
          <t>WAPE</t>
        </is>
      </c>
      <c r="F15" s="27" t="n">
        <v>0.3832249570517119</v>
      </c>
      <c r="G15" t="inlineStr">
        <is>
          <t>porcentaje</t>
        </is>
      </c>
      <c r="H15" t="inlineStr">
        <is>
          <t>Global</t>
        </is>
      </c>
      <c r="I15" s="23" t="n">
        <v>46251</v>
      </c>
      <c r="J15" s="23" t="n">
        <v>46265</v>
      </c>
      <c r="K15" t="inlineStr">
        <is>
          <t>Backtesting temporal, ventanas de 15 dias</t>
        </is>
      </c>
      <c r="L15"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16" ht="25" customHeight="1">
      <c r="A16" t="inlineStr">
        <is>
          <t>PRAGMA</t>
        </is>
      </c>
      <c r="B16" t="inlineStr">
        <is>
          <t>M2</t>
        </is>
      </c>
      <c r="C16" t="inlineStr">
        <is>
          <t>cash_in</t>
        </is>
      </c>
      <c r="D16" t="inlineStr">
        <is>
          <t>predictiva</t>
        </is>
      </c>
      <c r="E16" t="inlineStr">
        <is>
          <t>MAE</t>
        </is>
      </c>
      <c r="F16" s="26" t="n">
        <v>49235128</v>
      </c>
      <c r="G16" t="inlineStr">
        <is>
          <t>COP</t>
        </is>
      </c>
      <c r="H16" t="inlineStr">
        <is>
          <t>Global</t>
        </is>
      </c>
      <c r="I16" s="23" t="n">
        <v>46251</v>
      </c>
      <c r="J16" s="23" t="n">
        <v>46265</v>
      </c>
      <c r="K16" t="inlineStr">
        <is>
          <t>Backtesting temporal, ventanas de 15 dias</t>
        </is>
      </c>
      <c r="L16"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17" ht="25" customHeight="1">
      <c r="A17" t="inlineStr">
        <is>
          <t>PRAGMA</t>
        </is>
      </c>
      <c r="B17" t="inlineStr">
        <is>
          <t>M2</t>
        </is>
      </c>
      <c r="C17" t="inlineStr">
        <is>
          <t>cash_in</t>
        </is>
      </c>
      <c r="D17" t="inlineStr">
        <is>
          <t>predictiva</t>
        </is>
      </c>
      <c r="E17" t="inlineStr">
        <is>
          <t>Bias</t>
        </is>
      </c>
      <c r="F17" s="27" t="n">
        <v>-0.08290574668222954</v>
      </c>
      <c r="G17" t="inlineStr">
        <is>
          <t>porcentaje</t>
        </is>
      </c>
      <c r="H17" t="inlineStr">
        <is>
          <t>Global</t>
        </is>
      </c>
      <c r="I17" s="23" t="n">
        <v>46251</v>
      </c>
      <c r="J17" s="23" t="n">
        <v>46265</v>
      </c>
      <c r="K17" t="inlineStr">
        <is>
          <t>Backtesting temporal, ventanas de 15 dias</t>
        </is>
      </c>
      <c r="L17" t="inlineStr">
        <is>
          <t>Excluye los dias del Anexo C y cajeros RN-07 (SUP-01). Backtest interno (ultima ventana del entrenamiento, D7); el holdout 1-15 sep tiene 0 observaciones reales (datos hasta 31-ago, SUP-02). Backtest interno (ultima ventana del entrenamiento, D7); exclusion RN-07 por cajero activa=True.</t>
        </is>
      </c>
    </row>
    <row r="18" hidden="1" ht="15" customHeight="1">
      <c r="A18" t="inlineStr">
        <is>
          <t>PRAGMA</t>
        </is>
      </c>
      <c r="B18" t="inlineStr">
        <is>
          <t>M2</t>
        </is>
      </c>
      <c r="C18" t="inlineStr">
        <is>
          <t>cash_in</t>
        </is>
      </c>
      <c r="D18" t="inlineStr">
        <is>
          <t>predictiva</t>
        </is>
      </c>
      <c r="E18" t="inlineStr">
        <is>
          <t>WAPE (lectura RN-08)</t>
        </is>
      </c>
      <c r="F18" s="27" t="n">
        <v>0.4813729301601657</v>
      </c>
      <c r="G18" t="inlineStr">
        <is>
          <t>porcentaje</t>
        </is>
      </c>
      <c r="H18" t="inlineStr">
        <is>
          <t>Global</t>
        </is>
      </c>
      <c r="I18" s="23" t="n">
        <v>46251</v>
      </c>
      <c r="J18" s="23" t="n">
        <v>46265</v>
      </c>
      <c r="K18" t="inlineStr">
        <is>
          <t>Backtesting temporal, ventanas de 15 dias</t>
        </is>
      </c>
      <c r="L18"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19" hidden="1" ht="15" customHeight="1">
      <c r="A19" t="inlineStr">
        <is>
          <t>PRAGMA</t>
        </is>
      </c>
      <c r="B19" t="inlineStr">
        <is>
          <t>M2</t>
        </is>
      </c>
      <c r="C19" t="inlineStr">
        <is>
          <t>cash_in</t>
        </is>
      </c>
      <c r="D19" t="inlineStr">
        <is>
          <t>predictiva</t>
        </is>
      </c>
      <c r="E19" t="inlineStr">
        <is>
          <t>MAE (lectura RN-08)</t>
        </is>
      </c>
      <c r="F19" s="26" t="n">
        <v>55820817</v>
      </c>
      <c r="G19" t="inlineStr">
        <is>
          <t>COP</t>
        </is>
      </c>
      <c r="H19" t="inlineStr">
        <is>
          <t>Global</t>
        </is>
      </c>
      <c r="I19" s="23" t="n">
        <v>46251</v>
      </c>
      <c r="J19" s="23" t="n">
        <v>46265</v>
      </c>
      <c r="K19" t="inlineStr">
        <is>
          <t>Backtesting temporal, ventanas de 15 dias</t>
        </is>
      </c>
      <c r="L19"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20" hidden="1" ht="15" customHeight="1">
      <c r="A20" t="inlineStr">
        <is>
          <t>PRAGMA</t>
        </is>
      </c>
      <c r="B20" t="inlineStr">
        <is>
          <t>M2</t>
        </is>
      </c>
      <c r="C20" t="inlineStr">
        <is>
          <t>cash_in</t>
        </is>
      </c>
      <c r="D20" t="inlineStr">
        <is>
          <t>predictiva</t>
        </is>
      </c>
      <c r="E20" t="inlineStr">
        <is>
          <t>Bias (lectura RN-08)</t>
        </is>
      </c>
      <c r="F20" s="27" t="n">
        <v>0.06092744689156836</v>
      </c>
      <c r="G20" t="inlineStr">
        <is>
          <t>porcentaje</t>
        </is>
      </c>
      <c r="H20" t="inlineStr">
        <is>
          <t>Global</t>
        </is>
      </c>
      <c r="I20" s="23" t="n">
        <v>46251</v>
      </c>
      <c r="J20" s="23" t="n">
        <v>46265</v>
      </c>
      <c r="K20" t="inlineStr">
        <is>
          <t>Backtesting temporal, ventanas de 15 dias</t>
        </is>
      </c>
      <c r="L20" t="inlineStr">
        <is>
          <t>Excluye los dias del Anexo C y cajeros RN-07 (SUP-01). Backtest interno (ultima ventana del entrenamiento, D7); el holdout 1-15 sep tiene 0 observaciones reales (datos hasta 31-ago, SUP-02). RN-08: ausencia con red operando = 0 COP; Anexo C faltante; antes del primer registro excluido</t>
        </is>
      </c>
    </row>
    <row r="21">
      <c r="A21" t="inlineStr">
        <is>
          <t>PRAGMA</t>
        </is>
      </c>
      <c r="B21" t="inlineStr">
        <is>
          <t>M3</t>
        </is>
      </c>
      <c r="C21" t="inlineStr">
        <is>
          <t>entradas</t>
        </is>
      </c>
      <c r="D21" t="inlineStr">
        <is>
          <t>predictiva</t>
        </is>
      </c>
      <c r="E21" t="inlineStr">
        <is>
          <t>WAPE</t>
        </is>
      </c>
      <c r="F21" s="27" t="n">
        <v>0.3884279257131179</v>
      </c>
      <c r="G21" t="inlineStr">
        <is>
          <t>porcentaje</t>
        </is>
      </c>
      <c r="H21" t="inlineStr">
        <is>
          <t>Global</t>
        </is>
      </c>
      <c r="I21" s="23" t="n">
        <v>46251</v>
      </c>
      <c r="J21" s="23" t="n">
        <v>46265</v>
      </c>
      <c r="K21" t="inlineStr">
        <is>
          <t>Backtesting temporal, ventanas de 15 dias</t>
        </is>
      </c>
      <c r="L21" t="inlineStr">
        <is>
          <t>Backtest interno (ultima ventana del entrenamiento, D7); el holdout 1-15 sep tiene 0 observaciones reales (datos hasta 31-ago, SUP-02). Backtest interno de 'entradas' (ultima ventana del entrenamiento, D7); M3 sin exclusion RN-07 (D8). SUP-02: 3 entidad(es) con todos sus reales en 0 en la ventana (39 entidad-dias: 82, 830, 972) salen solo del WAPE agregado; MAE, Bias y n las incluyen.</t>
        </is>
      </c>
    </row>
    <row r="22">
      <c r="A22" t="inlineStr">
        <is>
          <t>PRAGMA</t>
        </is>
      </c>
      <c r="B22" t="inlineStr">
        <is>
          <t>M3</t>
        </is>
      </c>
      <c r="C22" t="inlineStr">
        <is>
          <t>entradas</t>
        </is>
      </c>
      <c r="D22" t="inlineStr">
        <is>
          <t>predictiva</t>
        </is>
      </c>
      <c r="E22" t="inlineStr">
        <is>
          <t>MAE</t>
        </is>
      </c>
      <c r="F22" s="26" t="n">
        <v>418954663</v>
      </c>
      <c r="G22" t="inlineStr">
        <is>
          <t>COP</t>
        </is>
      </c>
      <c r="H22" t="inlineStr">
        <is>
          <t>Global</t>
        </is>
      </c>
      <c r="I22" s="23" t="n">
        <v>46251</v>
      </c>
      <c r="J22" s="23" t="n">
        <v>46265</v>
      </c>
      <c r="K22" t="inlineStr">
        <is>
          <t>Backtesting temporal, ventanas de 15 dias</t>
        </is>
      </c>
      <c r="L22" t="inlineStr">
        <is>
          <t>Backtest interno (ultima ventana del entrenamiento, D7); el holdout 1-15 sep tiene 0 observaciones reales (datos hasta 31-ago, SUP-02). Backtest interno de 'entradas' (ultima ventana del entrenamiento, D7); M3 sin exclusion RN-07 (D8). SUP-02: 3 entidad(es) con todos sus reales en 0 en la ventana (39 entidad-dias: 82, 830, 972) salen solo del WAPE agregado; MAE, Bias y n las incluyen.</t>
        </is>
      </c>
    </row>
    <row r="23">
      <c r="A23" t="inlineStr">
        <is>
          <t>PRAGMA</t>
        </is>
      </c>
      <c r="B23" t="inlineStr">
        <is>
          <t>M3</t>
        </is>
      </c>
      <c r="C23" t="inlineStr">
        <is>
          <t>entradas</t>
        </is>
      </c>
      <c r="D23" t="inlineStr">
        <is>
          <t>predictiva</t>
        </is>
      </c>
      <c r="E23" t="inlineStr">
        <is>
          <t>Bias</t>
        </is>
      </c>
      <c r="F23" s="27" t="n">
        <v>0.02064426798851951</v>
      </c>
      <c r="G23" t="inlineStr">
        <is>
          <t>porcentaje</t>
        </is>
      </c>
      <c r="H23" t="inlineStr">
        <is>
          <t>Global</t>
        </is>
      </c>
      <c r="I23" s="23" t="n">
        <v>46251</v>
      </c>
      <c r="J23" s="23" t="n">
        <v>46265</v>
      </c>
      <c r="K23" t="inlineStr">
        <is>
          <t>Backtesting temporal, ventanas de 15 dias</t>
        </is>
      </c>
      <c r="L23" t="inlineStr">
        <is>
          <t>Backtest interno (ultima ventana del entrenamiento, D7); el holdout 1-15 sep tiene 0 observaciones reales (datos hasta 31-ago, SUP-02). Backtest interno de 'entradas' (ultima ventana del entrenamiento, D7); M3 sin exclusion RN-07 (D8). SUP-02: 3 entidad(es) con todos sus reales en 0 en la ventana (39 entidad-dias: 82, 830, 972) salen solo del WAPE agregado; MAE, Bias y n las incluyen.</t>
        </is>
      </c>
    </row>
    <row r="24">
      <c r="A24" t="inlineStr">
        <is>
          <t>PRAGMA</t>
        </is>
      </c>
      <c r="B24" t="inlineStr">
        <is>
          <t>M3</t>
        </is>
      </c>
      <c r="C24" t="inlineStr">
        <is>
          <t>salidas</t>
        </is>
      </c>
      <c r="D24" t="inlineStr">
        <is>
          <t>predictiva</t>
        </is>
      </c>
      <c r="E24" t="inlineStr">
        <is>
          <t>WAPE</t>
        </is>
      </c>
      <c r="F24" s="27" t="n">
        <v>0.4166165155011348</v>
      </c>
      <c r="G24" t="inlineStr">
        <is>
          <t>porcentaje</t>
        </is>
      </c>
      <c r="H24" t="inlineStr">
        <is>
          <t>Global</t>
        </is>
      </c>
      <c r="I24" s="23" t="n">
        <v>46251</v>
      </c>
      <c r="J24" s="23" t="n">
        <v>46265</v>
      </c>
      <c r="K24" t="inlineStr">
        <is>
          <t>Backtesting temporal, ventanas de 15 dias</t>
        </is>
      </c>
      <c r="L24" t="inlineStr">
        <is>
          <t>Backtest interno (ultima ventana del entrenamiento, D7); el holdout 1-15 sep tiene 0 observaciones reales (datos hasta 31-ago, SUP-02). Backtest interno de 'salidas' (ultima ventana del entrenamiento, D7); M3 sin exclusion RN-07 (D8). SUP-02: 4 entidad(es) con todos sus reales en 0 en la ventana (51 entidad-dias: 813, 82, 830, 972) salen solo del WAPE agregado; MAE, Bias y n las incluyen.</t>
        </is>
      </c>
    </row>
    <row r="25">
      <c r="A25" t="inlineStr">
        <is>
          <t>PRAGMA</t>
        </is>
      </c>
      <c r="B25" t="inlineStr">
        <is>
          <t>M3</t>
        </is>
      </c>
      <c r="C25" t="inlineStr">
        <is>
          <t>salidas</t>
        </is>
      </c>
      <c r="D25" t="inlineStr">
        <is>
          <t>predictiva</t>
        </is>
      </c>
      <c r="E25" t="inlineStr">
        <is>
          <t>MAE</t>
        </is>
      </c>
      <c r="F25" s="26" t="n">
        <v>360494311</v>
      </c>
      <c r="G25" t="inlineStr">
        <is>
          <t>COP</t>
        </is>
      </c>
      <c r="H25" t="inlineStr">
        <is>
          <t>Global</t>
        </is>
      </c>
      <c r="I25" s="23" t="n">
        <v>46251</v>
      </c>
      <c r="J25" s="23" t="n">
        <v>46265</v>
      </c>
      <c r="K25" t="inlineStr">
        <is>
          <t>Backtesting temporal, ventanas de 15 dias</t>
        </is>
      </c>
      <c r="L25" t="inlineStr">
        <is>
          <t>Backtest interno (ultima ventana del entrenamiento, D7); el holdout 1-15 sep tiene 0 observaciones reales (datos hasta 31-ago, SUP-02). Backtest interno de 'salidas' (ultima ventana del entrenamiento, D7); M3 sin exclusion RN-07 (D8). SUP-02: 4 entidad(es) con todos sus reales en 0 en la ventana (51 entidad-dias: 813, 82, 830, 972) salen solo del WAPE agregado; MAE, Bias y n las incluyen.</t>
        </is>
      </c>
    </row>
    <row r="26">
      <c r="A26" t="inlineStr">
        <is>
          <t>PRAGMA</t>
        </is>
      </c>
      <c r="B26" t="inlineStr">
        <is>
          <t>M3</t>
        </is>
      </c>
      <c r="C26" t="inlineStr">
        <is>
          <t>salidas</t>
        </is>
      </c>
      <c r="D26" t="inlineStr">
        <is>
          <t>predictiva</t>
        </is>
      </c>
      <c r="E26" t="inlineStr">
        <is>
          <t>Bias</t>
        </is>
      </c>
      <c r="F26" s="27" t="n">
        <v>-0.1038894303601143</v>
      </c>
      <c r="G26" t="inlineStr">
        <is>
          <t>porcentaje</t>
        </is>
      </c>
      <c r="H26" t="inlineStr">
        <is>
          <t>Global</t>
        </is>
      </c>
      <c r="I26" s="23" t="n">
        <v>46251</v>
      </c>
      <c r="J26" s="23" t="n">
        <v>46265</v>
      </c>
      <c r="K26" t="inlineStr">
        <is>
          <t>Backtesting temporal, ventanas de 15 dias</t>
        </is>
      </c>
      <c r="L26" t="inlineStr">
        <is>
          <t>Backtest interno (ultima ventana del entrenamiento, D7); el holdout 1-15 sep tiene 0 observaciones reales (datos hasta 31-ago, SUP-02). Backtest interno de 'salidas' (ultima ventana del entrenamiento, D7); M3 sin exclusion RN-07 (D8). SUP-02: 4 entidad(es) con todos sus reales en 0 en la ventana (51 entidad-dias: 813, 82, 830, 972) salen solo del WAPE agregado; MAE, Bias y n las incluyen.</t>
        </is>
      </c>
    </row>
    <row r="27">
      <c r="A27" t="inlineStr">
        <is>
          <t>PRAGMA</t>
        </is>
      </c>
      <c r="B27" t="inlineStr">
        <is>
          <t>M4</t>
        </is>
      </c>
      <c r="C27" t="inlineStr">
        <is>
          <t>ingreso_efectivo_cbr</t>
        </is>
      </c>
      <c r="D27" t="inlineStr">
        <is>
          <t>predictiva</t>
        </is>
      </c>
      <c r="E27" t="inlineStr">
        <is>
          <t>WAPE</t>
        </is>
      </c>
      <c r="F27" s="27" t="n">
        <v>0.3195968302466442</v>
      </c>
      <c r="G27" t="inlineStr">
        <is>
          <t>porcentaje</t>
        </is>
      </c>
      <c r="H27" t="inlineStr">
        <is>
          <t>Global</t>
        </is>
      </c>
      <c r="I27" s="23" t="n">
        <v>46251</v>
      </c>
      <c r="J27" s="23" t="n">
        <v>46265</v>
      </c>
      <c r="K27" t="inlineStr">
        <is>
          <t>Backtesting temporal, ventanas de 15 dias</t>
        </is>
      </c>
      <c r="L27" t="inlineStr">
        <is>
          <t>Backtest interno (ultima ventana del entrenamiento, D7); el holdout 1-15 sep tiene 0 observaciones reales (datos hasta 31-ago, SUP-02). Backtest interno de 'ingreso_efectivo_cbr' (ultima ventana del entrenamiento, D7); M4/M5 sin exclusion RN-07 (no aplica a puntos CBR/clientes).</t>
        </is>
      </c>
    </row>
    <row r="28">
      <c r="A28" t="inlineStr">
        <is>
          <t>PRAGMA</t>
        </is>
      </c>
      <c r="B28" t="inlineStr">
        <is>
          <t>M4</t>
        </is>
      </c>
      <c r="C28" t="inlineStr">
        <is>
          <t>ingreso_efectivo_cbr</t>
        </is>
      </c>
      <c r="D28" t="inlineStr">
        <is>
          <t>predictiva</t>
        </is>
      </c>
      <c r="E28" t="inlineStr">
        <is>
          <t>MAE</t>
        </is>
      </c>
      <c r="F28" s="26" t="n">
        <v>758320713</v>
      </c>
      <c r="G28" t="inlineStr">
        <is>
          <t>COP</t>
        </is>
      </c>
      <c r="H28" t="inlineStr">
        <is>
          <t>Global</t>
        </is>
      </c>
      <c r="I28" s="23" t="n">
        <v>46251</v>
      </c>
      <c r="J28" s="23" t="n">
        <v>46265</v>
      </c>
      <c r="K28" t="inlineStr">
        <is>
          <t>Backtesting temporal, ventanas de 15 dias</t>
        </is>
      </c>
      <c r="L28" t="inlineStr">
        <is>
          <t>Backtest interno (ultima ventana del entrenamiento, D7); el holdout 1-15 sep tiene 0 observaciones reales (datos hasta 31-ago, SUP-02). Backtest interno de 'ingreso_efectivo_cbr' (ultima ventana del entrenamiento, D7); M4/M5 sin exclusion RN-07 (no aplica a puntos CBR/clientes).</t>
        </is>
      </c>
    </row>
    <row r="29">
      <c r="A29" t="inlineStr">
        <is>
          <t>PRAGMA</t>
        </is>
      </c>
      <c r="B29" t="inlineStr">
        <is>
          <t>M4</t>
        </is>
      </c>
      <c r="C29" t="inlineStr">
        <is>
          <t>ingreso_efectivo_cbr</t>
        </is>
      </c>
      <c r="D29" t="inlineStr">
        <is>
          <t>predictiva</t>
        </is>
      </c>
      <c r="E29" t="inlineStr">
        <is>
          <t>Bias</t>
        </is>
      </c>
      <c r="F29" s="27" t="n">
        <v>-0.06305816030057891</v>
      </c>
      <c r="G29" t="inlineStr">
        <is>
          <t>porcentaje</t>
        </is>
      </c>
      <c r="H29" t="inlineStr">
        <is>
          <t>Global</t>
        </is>
      </c>
      <c r="I29" s="23" t="n">
        <v>46251</v>
      </c>
      <c r="J29" s="23" t="n">
        <v>46265</v>
      </c>
      <c r="K29" t="inlineStr">
        <is>
          <t>Backtesting temporal, ventanas de 15 dias</t>
        </is>
      </c>
      <c r="L29" t="inlineStr">
        <is>
          <t>Backtest interno (ultima ventana del entrenamiento, D7); el holdout 1-15 sep tiene 0 observaciones reales (datos hasta 31-ago, SUP-02). Backtest interno de 'ingreso_efectivo_cbr' (ultima ventana del entrenamiento, D7); M4/M5 sin exclusion RN-07 (no aplica a puntos CBR/clientes).</t>
        </is>
      </c>
    </row>
    <row r="30">
      <c r="A30" t="inlineStr">
        <is>
          <t>PRAGMA</t>
        </is>
      </c>
      <c r="B30" t="inlineStr">
        <is>
          <t>M5</t>
        </is>
      </c>
      <c r="C30" t="inlineStr">
        <is>
          <t>ingreso_efectivo_clientes</t>
        </is>
      </c>
      <c r="D30" t="inlineStr">
        <is>
          <t>predictiva</t>
        </is>
      </c>
      <c r="E30" t="inlineStr">
        <is>
          <t>WAPE</t>
        </is>
      </c>
      <c r="F30" s="27" t="n">
        <v>0.5160206812436829</v>
      </c>
      <c r="G30" t="inlineStr">
        <is>
          <t>porcentaje</t>
        </is>
      </c>
      <c r="H30" t="inlineStr">
        <is>
          <t>Global</t>
        </is>
      </c>
      <c r="I30" s="23" t="n">
        <v>46251</v>
      </c>
      <c r="J30" s="23" t="n">
        <v>46265</v>
      </c>
      <c r="K30" t="inlineStr">
        <is>
          <t>Backtesting temporal, ventanas de 15 dias</t>
        </is>
      </c>
      <c r="L30" t="inlineStr">
        <is>
          <t>Backtest interno (ultima ventana del entrenamiento, D7); el holdout 1-15 sep tiene 0 observaciones reales (datos hasta 31-ago, SUP-02). Backtest interno de 'ingreso_efectivo_clientes' (ultima ventana del entrenamiento, D7); M4/M5 sin exclusion RN-07 (no aplica a puntos CBR/clientes).</t>
        </is>
      </c>
    </row>
    <row r="31">
      <c r="A31" t="inlineStr">
        <is>
          <t>PRAGMA</t>
        </is>
      </c>
      <c r="B31" t="inlineStr">
        <is>
          <t>M5</t>
        </is>
      </c>
      <c r="C31" t="inlineStr">
        <is>
          <t>ingreso_efectivo_clientes</t>
        </is>
      </c>
      <c r="D31" t="inlineStr">
        <is>
          <t>predictiva</t>
        </is>
      </c>
      <c r="E31" t="inlineStr">
        <is>
          <t>MAE</t>
        </is>
      </c>
      <c r="F31" s="26" t="n">
        <v>3255499602</v>
      </c>
      <c r="G31" t="inlineStr">
        <is>
          <t>COP</t>
        </is>
      </c>
      <c r="H31" t="inlineStr">
        <is>
          <t>Global</t>
        </is>
      </c>
      <c r="I31" s="23" t="n">
        <v>46251</v>
      </c>
      <c r="J31" s="23" t="n">
        <v>46265</v>
      </c>
      <c r="K31" t="inlineStr">
        <is>
          <t>Backtesting temporal, ventanas de 15 dias</t>
        </is>
      </c>
      <c r="L31" t="inlineStr">
        <is>
          <t>Backtest interno (ultima ventana del entrenamiento, D7); el holdout 1-15 sep tiene 0 observaciones reales (datos hasta 31-ago, SUP-02). Backtest interno de 'ingreso_efectivo_clientes' (ultima ventana del entrenamiento, D7); M4/M5 sin exclusion RN-07 (no aplica a puntos CBR/clientes).</t>
        </is>
      </c>
    </row>
    <row r="32">
      <c r="A32" t="inlineStr">
        <is>
          <t>PRAGMA</t>
        </is>
      </c>
      <c r="B32" t="inlineStr">
        <is>
          <t>M5</t>
        </is>
      </c>
      <c r="C32" t="inlineStr">
        <is>
          <t>ingreso_efectivo_clientes</t>
        </is>
      </c>
      <c r="D32" t="inlineStr">
        <is>
          <t>predictiva</t>
        </is>
      </c>
      <c r="E32" t="inlineStr">
        <is>
          <t>Bias</t>
        </is>
      </c>
      <c r="F32" s="27" t="n">
        <v>-0.4297018938915201</v>
      </c>
      <c r="G32" t="inlineStr">
        <is>
          <t>porcentaje</t>
        </is>
      </c>
      <c r="H32" t="inlineStr">
        <is>
          <t>Global</t>
        </is>
      </c>
      <c r="I32" s="23" t="n">
        <v>46251</v>
      </c>
      <c r="J32" s="23" t="n">
        <v>46265</v>
      </c>
      <c r="K32" t="inlineStr">
        <is>
          <t>Backtesting temporal, ventanas de 15 dias</t>
        </is>
      </c>
      <c r="L32" t="inlineStr">
        <is>
          <t>Backtest interno (ultima ventana del entrenamiento, D7); el holdout 1-15 sep tiene 0 observaciones reales (datos hasta 31-ago, SUP-02). Backtest interno de 'ingreso_efectivo_clientes' (ultima ventana del entrenamiento, D7); M4/M5 sin exclusion RN-07 (no aplica a puntos CBR/clientes).</t>
        </is>
      </c>
    </row>
    <row r="33">
      <c r="A33" t="inlineStr">
        <is>
          <t>PRAGMA</t>
        </is>
      </c>
      <c r="B33" t="inlineStr">
        <is>
          <t>M1</t>
        </is>
      </c>
      <c r="C33" t="inlineStr">
        <is>
          <t>pagado</t>
        </is>
      </c>
      <c r="D33" t="inlineStr">
        <is>
          <t>predictiva</t>
        </is>
      </c>
      <c r="E33" t="inlineStr">
        <is>
          <t>WAPE</t>
        </is>
      </c>
      <c r="F33" s="27" t="n">
        <v>0.2643078959672421</v>
      </c>
      <c r="G33" t="inlineStr">
        <is>
          <t>porcentaje</t>
        </is>
      </c>
      <c r="H33" t="inlineStr">
        <is>
          <t>Cali</t>
        </is>
      </c>
      <c r="I33" s="23" t="n">
        <v>46251</v>
      </c>
      <c r="J33" s="23" t="n">
        <v>46265</v>
      </c>
      <c r="K33" t="inlineStr">
        <is>
          <t>Backtesting temporal, ventanas de 15 dias</t>
        </is>
      </c>
      <c r="L33" t="inlineStr">
        <is>
          <t>WAPE por ciudad.</t>
        </is>
      </c>
    </row>
    <row r="34">
      <c r="A34" t="inlineStr">
        <is>
          <t>PRAGMA</t>
        </is>
      </c>
      <c r="B34" t="inlineStr">
        <is>
          <t>M1</t>
        </is>
      </c>
      <c r="C34" t="inlineStr">
        <is>
          <t>pagado</t>
        </is>
      </c>
      <c r="D34" t="inlineStr">
        <is>
          <t>predictiva</t>
        </is>
      </c>
      <c r="E34" t="inlineStr">
        <is>
          <t>WAPE</t>
        </is>
      </c>
      <c r="F34" s="27" t="n">
        <v>0.1404089010525676</v>
      </c>
      <c r="G34" t="inlineStr">
        <is>
          <t>porcentaje</t>
        </is>
      </c>
      <c r="H34" t="inlineStr">
        <is>
          <t>Ipiales</t>
        </is>
      </c>
      <c r="I34" s="23" t="n">
        <v>46251</v>
      </c>
      <c r="J34" s="23" t="n">
        <v>46265</v>
      </c>
      <c r="K34" t="inlineStr">
        <is>
          <t>Backtesting temporal, ventanas de 15 dias</t>
        </is>
      </c>
      <c r="L34" t="inlineStr">
        <is>
          <t>WAPE por ciudad.</t>
        </is>
      </c>
    </row>
    <row r="35">
      <c r="A35" t="inlineStr">
        <is>
          <t>PRAGMA</t>
        </is>
      </c>
      <c r="B35" t="inlineStr">
        <is>
          <t>M1</t>
        </is>
      </c>
      <c r="C35" t="inlineStr">
        <is>
          <t>pagado</t>
        </is>
      </c>
      <c r="D35" t="inlineStr">
        <is>
          <t>predictiva</t>
        </is>
      </c>
      <c r="E35" t="inlineStr">
        <is>
          <t>WAPE</t>
        </is>
      </c>
      <c r="F35" s="27" t="n">
        <v>0.1496423714928082</v>
      </c>
      <c r="G35" t="inlineStr">
        <is>
          <t>porcentaje</t>
        </is>
      </c>
      <c r="H35" t="inlineStr">
        <is>
          <t>Pasto</t>
        </is>
      </c>
      <c r="I35" s="23" t="n">
        <v>46251</v>
      </c>
      <c r="J35" s="23" t="n">
        <v>46265</v>
      </c>
      <c r="K35" t="inlineStr">
        <is>
          <t>Backtesting temporal, ventanas de 15 dias</t>
        </is>
      </c>
      <c r="L35" t="inlineStr">
        <is>
          <t>WAPE por ciudad.</t>
        </is>
      </c>
    </row>
    <row r="36">
      <c r="A36" t="inlineStr">
        <is>
          <t>PRAGMA</t>
        </is>
      </c>
      <c r="B36" t="inlineStr">
        <is>
          <t>M1</t>
        </is>
      </c>
      <c r="C36" t="inlineStr">
        <is>
          <t>pagado</t>
        </is>
      </c>
      <c r="D36" t="inlineStr">
        <is>
          <t>predictiva</t>
        </is>
      </c>
      <c r="E36" t="inlineStr">
        <is>
          <t>WAPE</t>
        </is>
      </c>
      <c r="F36" s="27" t="n">
        <v>0.2582097688706962</v>
      </c>
      <c r="G36" t="inlineStr">
        <is>
          <t>porcentaje</t>
        </is>
      </c>
      <c r="H36" t="inlineStr">
        <is>
          <t>Semana 1 (17/08/2026 a 23/08/2026)</t>
        </is>
      </c>
      <c r="I36" s="23" t="n">
        <v>46251</v>
      </c>
      <c r="J36" s="23" t="n">
        <v>46257</v>
      </c>
      <c r="K36" t="inlineStr">
        <is>
          <t>Backtesting temporal, ventanas de 15 dias</t>
        </is>
      </c>
      <c r="L36" t="inlineStr">
        <is>
          <t>WAPE por semana de la ventana.</t>
        </is>
      </c>
    </row>
    <row r="37">
      <c r="A37" t="inlineStr">
        <is>
          <t>PRAGMA</t>
        </is>
      </c>
      <c r="B37" t="inlineStr">
        <is>
          <t>M1</t>
        </is>
      </c>
      <c r="C37" t="inlineStr">
        <is>
          <t>pagado</t>
        </is>
      </c>
      <c r="D37" t="inlineStr">
        <is>
          <t>predictiva</t>
        </is>
      </c>
      <c r="E37" t="inlineStr">
        <is>
          <t>WAPE</t>
        </is>
      </c>
      <c r="F37" s="27" t="n">
        <v>0.242600378067124</v>
      </c>
      <c r="G37" t="inlineStr">
        <is>
          <t>porcentaje</t>
        </is>
      </c>
      <c r="H37" t="inlineStr">
        <is>
          <t>Semana 2 (24/08/2026 a 31/08/2026)</t>
        </is>
      </c>
      <c r="I37" s="23" t="n">
        <v>46258</v>
      </c>
      <c r="J37" s="23" t="n">
        <v>46265</v>
      </c>
      <c r="K37" t="inlineStr">
        <is>
          <t>Backtesting temporal, ventanas de 15 dias</t>
        </is>
      </c>
      <c r="L37" t="inlineStr">
        <is>
          <t>WAPE por semana de la ventana.</t>
        </is>
      </c>
    </row>
    <row r="38">
      <c r="A38" t="inlineStr">
        <is>
          <t>PRAGMA</t>
        </is>
      </c>
      <c r="B38" t="inlineStr">
        <is>
          <t>M1</t>
        </is>
      </c>
      <c r="C38" t="inlineStr">
        <is>
          <t>pagado</t>
        </is>
      </c>
      <c r="D38" t="inlineStr">
        <is>
          <t>predictiva</t>
        </is>
      </c>
      <c r="E38" t="inlineStr">
        <is>
          <t>WAPE (lectura RN-08)</t>
        </is>
      </c>
      <c r="F38" s="27" t="n">
        <v>0.3371179275161052</v>
      </c>
      <c r="G38" t="inlineStr">
        <is>
          <t>porcentaje</t>
        </is>
      </c>
      <c r="H38" t="inlineStr">
        <is>
          <t>Cali</t>
        </is>
      </c>
      <c r="I38" s="23" t="n">
        <v>46251</v>
      </c>
      <c r="J38" s="23" t="n">
        <v>46265</v>
      </c>
      <c r="K38" t="inlineStr">
        <is>
          <t>Backtesting temporal, ventanas de 15 dias</t>
        </is>
      </c>
      <c r="L38" t="inlineStr">
        <is>
          <t>WAPE por ciudad.</t>
        </is>
      </c>
    </row>
    <row r="39">
      <c r="A39" t="inlineStr">
        <is>
          <t>PRAGMA</t>
        </is>
      </c>
      <c r="B39" t="inlineStr">
        <is>
          <t>M1</t>
        </is>
      </c>
      <c r="C39" t="inlineStr">
        <is>
          <t>pagado</t>
        </is>
      </c>
      <c r="D39" t="inlineStr">
        <is>
          <t>predictiva</t>
        </is>
      </c>
      <c r="E39" t="inlineStr">
        <is>
          <t>WAPE (lectura RN-08)</t>
        </is>
      </c>
      <c r="F39" s="27" t="n">
        <v>0.1404089010525676</v>
      </c>
      <c r="G39" t="inlineStr">
        <is>
          <t>porcentaje</t>
        </is>
      </c>
      <c r="H39" t="inlineStr">
        <is>
          <t>Ipiales</t>
        </is>
      </c>
      <c r="I39" s="23" t="n">
        <v>46251</v>
      </c>
      <c r="J39" s="23" t="n">
        <v>46265</v>
      </c>
      <c r="K39" t="inlineStr">
        <is>
          <t>Backtesting temporal, ventanas de 15 dias</t>
        </is>
      </c>
      <c r="L39" t="inlineStr">
        <is>
          <t>WAPE por ciudad.</t>
        </is>
      </c>
    </row>
    <row r="40">
      <c r="A40" t="inlineStr">
        <is>
          <t>PRAGMA</t>
        </is>
      </c>
      <c r="B40" t="inlineStr">
        <is>
          <t>M1</t>
        </is>
      </c>
      <c r="C40" t="inlineStr">
        <is>
          <t>pagado</t>
        </is>
      </c>
      <c r="D40" t="inlineStr">
        <is>
          <t>predictiva</t>
        </is>
      </c>
      <c r="E40" t="inlineStr">
        <is>
          <t>WAPE (lectura RN-08)</t>
        </is>
      </c>
      <c r="F40" s="27" t="n">
        <v>0.1697020981890526</v>
      </c>
      <c r="G40" t="inlineStr">
        <is>
          <t>porcentaje</t>
        </is>
      </c>
      <c r="H40" t="inlineStr">
        <is>
          <t>Pasto</t>
        </is>
      </c>
      <c r="I40" s="23" t="n">
        <v>46251</v>
      </c>
      <c r="J40" s="23" t="n">
        <v>46265</v>
      </c>
      <c r="K40" t="inlineStr">
        <is>
          <t>Backtesting temporal, ventanas de 15 dias</t>
        </is>
      </c>
      <c r="L40" t="inlineStr">
        <is>
          <t>WAPE por ciudad.</t>
        </is>
      </c>
    </row>
    <row r="41">
      <c r="A41" t="inlineStr">
        <is>
          <t>PRAGMA</t>
        </is>
      </c>
      <c r="B41" t="inlineStr">
        <is>
          <t>M1</t>
        </is>
      </c>
      <c r="C41" t="inlineStr">
        <is>
          <t>pagado</t>
        </is>
      </c>
      <c r="D41" t="inlineStr">
        <is>
          <t>predictiva</t>
        </is>
      </c>
      <c r="E41" t="inlineStr">
        <is>
          <t>WAPE (lectura RN-08)</t>
        </is>
      </c>
      <c r="F41" s="27" t="n">
        <v>0.3461679855222571</v>
      </c>
      <c r="G41" t="inlineStr">
        <is>
          <t>porcentaje</t>
        </is>
      </c>
      <c r="H41" t="inlineStr">
        <is>
          <t>Semana 1 (17/08/2026 a 23/08/2026)</t>
        </is>
      </c>
      <c r="I41" s="23" t="n">
        <v>46251</v>
      </c>
      <c r="J41" s="23" t="n">
        <v>46257</v>
      </c>
      <c r="K41" t="inlineStr">
        <is>
          <t>Backtesting temporal, ventanas de 15 dias</t>
        </is>
      </c>
      <c r="L41" t="inlineStr">
        <is>
          <t>WAPE por semana de la ventana.</t>
        </is>
      </c>
    </row>
    <row r="42">
      <c r="A42" t="inlineStr">
        <is>
          <t>PRAGMA</t>
        </is>
      </c>
      <c r="B42" t="inlineStr">
        <is>
          <t>M1</t>
        </is>
      </c>
      <c r="C42" t="inlineStr">
        <is>
          <t>pagado</t>
        </is>
      </c>
      <c r="D42" t="inlineStr">
        <is>
          <t>predictiva</t>
        </is>
      </c>
      <c r="E42" t="inlineStr">
        <is>
          <t>WAPE (lectura RN-08)</t>
        </is>
      </c>
      <c r="F42" s="27" t="n">
        <v>0.2922645623521724</v>
      </c>
      <c r="G42" t="inlineStr">
        <is>
          <t>porcentaje</t>
        </is>
      </c>
      <c r="H42" t="inlineStr">
        <is>
          <t>Semana 2 (24/08/2026 a 31/08/2026)</t>
        </is>
      </c>
      <c r="I42" s="23" t="n">
        <v>46258</v>
      </c>
      <c r="J42" s="23" t="n">
        <v>46265</v>
      </c>
      <c r="K42" t="inlineStr">
        <is>
          <t>Backtesting temporal, ventanas de 15 dias</t>
        </is>
      </c>
      <c r="L42" t="inlineStr">
        <is>
          <t>WAPE por semana de la ventana.</t>
        </is>
      </c>
    </row>
    <row r="43">
      <c r="A43" t="inlineStr">
        <is>
          <t>PRAGMA</t>
        </is>
      </c>
      <c r="B43" t="inlineStr">
        <is>
          <t>M2</t>
        </is>
      </c>
      <c r="C43" t="inlineStr">
        <is>
          <t>cash_in</t>
        </is>
      </c>
      <c r="D43" t="inlineStr">
        <is>
          <t>predictiva</t>
        </is>
      </c>
      <c r="E43" t="inlineStr">
        <is>
          <t>WAPE</t>
        </is>
      </c>
      <c r="F43" s="27" t="n">
        <v>0.3907964467481486</v>
      </c>
      <c r="G43" t="inlineStr">
        <is>
          <t>porcentaje</t>
        </is>
      </c>
      <c r="H43" t="inlineStr">
        <is>
          <t>Cali</t>
        </is>
      </c>
      <c r="I43" s="23" t="n">
        <v>46251</v>
      </c>
      <c r="J43" s="23" t="n">
        <v>46265</v>
      </c>
      <c r="K43" t="inlineStr">
        <is>
          <t>Backtesting temporal, ventanas de 15 dias</t>
        </is>
      </c>
      <c r="L43" t="inlineStr">
        <is>
          <t>WAPE por ciudad.</t>
        </is>
      </c>
    </row>
    <row r="44">
      <c r="A44" t="inlineStr">
        <is>
          <t>PRAGMA</t>
        </is>
      </c>
      <c r="B44" t="inlineStr">
        <is>
          <t>M2</t>
        </is>
      </c>
      <c r="C44" t="inlineStr">
        <is>
          <t>cash_in</t>
        </is>
      </c>
      <c r="D44" t="inlineStr">
        <is>
          <t>predictiva</t>
        </is>
      </c>
      <c r="E44" t="inlineStr">
        <is>
          <t>WAPE</t>
        </is>
      </c>
      <c r="F44" s="27" t="n">
        <v>0.3774732314954728</v>
      </c>
      <c r="G44" t="inlineStr">
        <is>
          <t>porcentaje</t>
        </is>
      </c>
      <c r="H44" t="inlineStr">
        <is>
          <t>Ipiales</t>
        </is>
      </c>
      <c r="I44" s="23" t="n">
        <v>46251</v>
      </c>
      <c r="J44" s="23" t="n">
        <v>46265</v>
      </c>
      <c r="K44" t="inlineStr">
        <is>
          <t>Backtesting temporal, ventanas de 15 dias</t>
        </is>
      </c>
      <c r="L44" t="inlineStr">
        <is>
          <t>WAPE por ciudad.</t>
        </is>
      </c>
    </row>
    <row r="45">
      <c r="A45" t="inlineStr">
        <is>
          <t>PRAGMA</t>
        </is>
      </c>
      <c r="B45" t="inlineStr">
        <is>
          <t>M2</t>
        </is>
      </c>
      <c r="C45" t="inlineStr">
        <is>
          <t>cash_in</t>
        </is>
      </c>
      <c r="D45" t="inlineStr">
        <is>
          <t>predictiva</t>
        </is>
      </c>
      <c r="E45" t="inlineStr">
        <is>
          <t>WAPE</t>
        </is>
      </c>
      <c r="F45" s="27" t="n">
        <v>0.3377652187566588</v>
      </c>
      <c r="G45" t="inlineStr">
        <is>
          <t>porcentaje</t>
        </is>
      </c>
      <c r="H45" t="inlineStr">
        <is>
          <t>Pasto</t>
        </is>
      </c>
      <c r="I45" s="23" t="n">
        <v>46251</v>
      </c>
      <c r="J45" s="23" t="n">
        <v>46265</v>
      </c>
      <c r="K45" t="inlineStr">
        <is>
          <t>Backtesting temporal, ventanas de 15 dias</t>
        </is>
      </c>
      <c r="L45" t="inlineStr">
        <is>
          <t>WAPE por ciudad.</t>
        </is>
      </c>
    </row>
    <row r="46">
      <c r="A46" t="inlineStr">
        <is>
          <t>PRAGMA</t>
        </is>
      </c>
      <c r="B46" t="inlineStr">
        <is>
          <t>M2</t>
        </is>
      </c>
      <c r="C46" t="inlineStr">
        <is>
          <t>cash_in</t>
        </is>
      </c>
      <c r="D46" t="inlineStr">
        <is>
          <t>predictiva</t>
        </is>
      </c>
      <c r="E46" t="inlineStr">
        <is>
          <t>WAPE</t>
        </is>
      </c>
      <c r="F46" s="27" t="n">
        <v>0.4411208463711556</v>
      </c>
      <c r="G46" t="inlineStr">
        <is>
          <t>porcentaje</t>
        </is>
      </c>
      <c r="H46" t="inlineStr">
        <is>
          <t>Semana 1 (17/08/2026 a 23/08/2026)</t>
        </is>
      </c>
      <c r="I46" s="23" t="n">
        <v>46251</v>
      </c>
      <c r="J46" s="23" t="n">
        <v>46257</v>
      </c>
      <c r="K46" t="inlineStr">
        <is>
          <t>Backtesting temporal, ventanas de 15 dias</t>
        </is>
      </c>
      <c r="L46" t="inlineStr">
        <is>
          <t>WAPE por semana de la ventana.</t>
        </is>
      </c>
    </row>
    <row r="47">
      <c r="A47" t="inlineStr">
        <is>
          <t>PRAGMA</t>
        </is>
      </c>
      <c r="B47" t="inlineStr">
        <is>
          <t>M2</t>
        </is>
      </c>
      <c r="C47" t="inlineStr">
        <is>
          <t>cash_in</t>
        </is>
      </c>
      <c r="D47" t="inlineStr">
        <is>
          <t>predictiva</t>
        </is>
      </c>
      <c r="E47" t="inlineStr">
        <is>
          <t>WAPE</t>
        </is>
      </c>
      <c r="F47" s="27" t="n">
        <v>0.3345473677777328</v>
      </c>
      <c r="G47" t="inlineStr">
        <is>
          <t>porcentaje</t>
        </is>
      </c>
      <c r="H47" t="inlineStr">
        <is>
          <t>Semana 2 (24/08/2026 a 31/08/2026)</t>
        </is>
      </c>
      <c r="I47" s="23" t="n">
        <v>46258</v>
      </c>
      <c r="J47" s="23" t="n">
        <v>46265</v>
      </c>
      <c r="K47" t="inlineStr">
        <is>
          <t>Backtesting temporal, ventanas de 15 dias</t>
        </is>
      </c>
      <c r="L47" t="inlineStr">
        <is>
          <t>WAPE por semana de la ventana.</t>
        </is>
      </c>
    </row>
    <row r="48">
      <c r="A48" t="inlineStr">
        <is>
          <t>PRAGMA</t>
        </is>
      </c>
      <c r="B48" t="inlineStr">
        <is>
          <t>M2</t>
        </is>
      </c>
      <c r="C48" t="inlineStr">
        <is>
          <t>cash_in</t>
        </is>
      </c>
      <c r="D48" t="inlineStr">
        <is>
          <t>predictiva</t>
        </is>
      </c>
      <c r="E48" t="inlineStr">
        <is>
          <t>WAPE (lectura RN-08)</t>
        </is>
      </c>
      <c r="F48" s="27" t="n">
        <v>0.4887120817968915</v>
      </c>
      <c r="G48" t="inlineStr">
        <is>
          <t>porcentaje</t>
        </is>
      </c>
      <c r="H48" t="inlineStr">
        <is>
          <t>Cali</t>
        </is>
      </c>
      <c r="I48" s="23" t="n">
        <v>46251</v>
      </c>
      <c r="J48" s="23" t="n">
        <v>46265</v>
      </c>
      <c r="K48" t="inlineStr">
        <is>
          <t>Backtesting temporal, ventanas de 15 dias</t>
        </is>
      </c>
      <c r="L48" t="inlineStr">
        <is>
          <t>WAPE por ciudad.</t>
        </is>
      </c>
    </row>
    <row r="49">
      <c r="A49" t="inlineStr">
        <is>
          <t>PRAGMA</t>
        </is>
      </c>
      <c r="B49" t="inlineStr">
        <is>
          <t>M2</t>
        </is>
      </c>
      <c r="C49" t="inlineStr">
        <is>
          <t>cash_in</t>
        </is>
      </c>
      <c r="D49" t="inlineStr">
        <is>
          <t>predictiva</t>
        </is>
      </c>
      <c r="E49" t="inlineStr">
        <is>
          <t>WAPE (lectura RN-08)</t>
        </is>
      </c>
      <c r="F49" s="27" t="n">
        <v>0.6024854715223804</v>
      </c>
      <c r="G49" t="inlineStr">
        <is>
          <t>porcentaje</t>
        </is>
      </c>
      <c r="H49" t="inlineStr">
        <is>
          <t>Ipiales</t>
        </is>
      </c>
      <c r="I49" s="23" t="n">
        <v>46251</v>
      </c>
      <c r="J49" s="23" t="n">
        <v>46265</v>
      </c>
      <c r="K49" t="inlineStr">
        <is>
          <t>Backtesting temporal, ventanas de 15 dias</t>
        </is>
      </c>
      <c r="L49" t="inlineStr">
        <is>
          <t>WAPE por ciudad.</t>
        </is>
      </c>
    </row>
    <row r="50">
      <c r="A50" t="inlineStr">
        <is>
          <t>PRAGMA</t>
        </is>
      </c>
      <c r="B50" t="inlineStr">
        <is>
          <t>M2</t>
        </is>
      </c>
      <c r="C50" t="inlineStr">
        <is>
          <t>cash_in</t>
        </is>
      </c>
      <c r="D50" t="inlineStr">
        <is>
          <t>predictiva</t>
        </is>
      </c>
      <c r="E50" t="inlineStr">
        <is>
          <t>WAPE (lectura RN-08)</t>
        </is>
      </c>
      <c r="F50" s="27" t="n">
        <v>0.4198522723917915</v>
      </c>
      <c r="G50" t="inlineStr">
        <is>
          <t>porcentaje</t>
        </is>
      </c>
      <c r="H50" t="inlineStr">
        <is>
          <t>Pasto</t>
        </is>
      </c>
      <c r="I50" s="23" t="n">
        <v>46251</v>
      </c>
      <c r="J50" s="23" t="n">
        <v>46265</v>
      </c>
      <c r="K50" t="inlineStr">
        <is>
          <t>Backtesting temporal, ventanas de 15 dias</t>
        </is>
      </c>
      <c r="L50" t="inlineStr">
        <is>
          <t>WAPE por ciudad.</t>
        </is>
      </c>
    </row>
    <row r="51">
      <c r="A51" t="inlineStr">
        <is>
          <t>PRAGMA</t>
        </is>
      </c>
      <c r="B51" t="inlineStr">
        <is>
          <t>M2</t>
        </is>
      </c>
      <c r="C51" t="inlineStr">
        <is>
          <t>cash_in</t>
        </is>
      </c>
      <c r="D51" t="inlineStr">
        <is>
          <t>predictiva</t>
        </is>
      </c>
      <c r="E51" t="inlineStr">
        <is>
          <t>WAPE (lectura RN-08)</t>
        </is>
      </c>
      <c r="F51" s="27" t="n">
        <v>0.5559125067939586</v>
      </c>
      <c r="G51" t="inlineStr">
        <is>
          <t>porcentaje</t>
        </is>
      </c>
      <c r="H51" t="inlineStr">
        <is>
          <t>Semana 1 (17/08/2026 a 23/08/2026)</t>
        </is>
      </c>
      <c r="I51" s="23" t="n">
        <v>46251</v>
      </c>
      <c r="J51" s="23" t="n">
        <v>46257</v>
      </c>
      <c r="K51" t="inlineStr">
        <is>
          <t>Backtesting temporal, ventanas de 15 dias</t>
        </is>
      </c>
      <c r="L51" t="inlineStr">
        <is>
          <t>WAPE por semana de la ventana.</t>
        </is>
      </c>
    </row>
    <row r="52">
      <c r="A52" t="inlineStr">
        <is>
          <t>PRAGMA</t>
        </is>
      </c>
      <c r="B52" t="inlineStr">
        <is>
          <t>M2</t>
        </is>
      </c>
      <c r="C52" t="inlineStr">
        <is>
          <t>cash_in</t>
        </is>
      </c>
      <c r="D52" t="inlineStr">
        <is>
          <t>predictiva</t>
        </is>
      </c>
      <c r="E52" t="inlineStr">
        <is>
          <t>WAPE (lectura RN-08)</t>
        </is>
      </c>
      <c r="F52" s="27" t="n">
        <v>0.4187016949708049</v>
      </c>
      <c r="G52" t="inlineStr">
        <is>
          <t>porcentaje</t>
        </is>
      </c>
      <c r="H52" t="inlineStr">
        <is>
          <t>Semana 2 (24/08/2026 a 31/08/2026)</t>
        </is>
      </c>
      <c r="I52" s="23" t="n">
        <v>46258</v>
      </c>
      <c r="J52" s="23" t="n">
        <v>46265</v>
      </c>
      <c r="K52" t="inlineStr">
        <is>
          <t>Backtesting temporal, ventanas de 15 dias</t>
        </is>
      </c>
      <c r="L52" t="inlineStr">
        <is>
          <t>WAPE por semana de la ventana.</t>
        </is>
      </c>
    </row>
    <row r="53">
      <c r="A53" t="inlineStr">
        <is>
          <t>PRAGMA</t>
        </is>
      </c>
      <c r="B53" t="inlineStr">
        <is>
          <t>M2</t>
        </is>
      </c>
      <c r="C53" t="inlineStr">
        <is>
          <t>pagado</t>
        </is>
      </c>
      <c r="D53" t="inlineStr">
        <is>
          <t>predictiva</t>
        </is>
      </c>
      <c r="E53" t="inlineStr">
        <is>
          <t>WAPE</t>
        </is>
      </c>
      <c r="F53" s="27" t="n">
        <v>0.3664879060370763</v>
      </c>
      <c r="G53" t="inlineStr">
        <is>
          <t>porcentaje</t>
        </is>
      </c>
      <c r="H53" t="inlineStr">
        <is>
          <t>Cali</t>
        </is>
      </c>
      <c r="I53" s="23" t="n">
        <v>46251</v>
      </c>
      <c r="J53" s="23" t="n">
        <v>46265</v>
      </c>
      <c r="K53" t="inlineStr">
        <is>
          <t>Backtesting temporal, ventanas de 15 dias</t>
        </is>
      </c>
      <c r="L53" t="inlineStr">
        <is>
          <t>WAPE por ciudad.</t>
        </is>
      </c>
    </row>
    <row r="54">
      <c r="A54" t="inlineStr">
        <is>
          <t>PRAGMA</t>
        </is>
      </c>
      <c r="B54" t="inlineStr">
        <is>
          <t>M2</t>
        </is>
      </c>
      <c r="C54" t="inlineStr">
        <is>
          <t>pagado</t>
        </is>
      </c>
      <c r="D54" t="inlineStr">
        <is>
          <t>predictiva</t>
        </is>
      </c>
      <c r="E54" t="inlineStr">
        <is>
          <t>WAPE</t>
        </is>
      </c>
      <c r="F54" s="27" t="n">
        <v>0.3320272579364243</v>
      </c>
      <c r="G54" t="inlineStr">
        <is>
          <t>porcentaje</t>
        </is>
      </c>
      <c r="H54" t="inlineStr">
        <is>
          <t>Ipiales</t>
        </is>
      </c>
      <c r="I54" s="23" t="n">
        <v>46251</v>
      </c>
      <c r="J54" s="23" t="n">
        <v>46265</v>
      </c>
      <c r="K54" t="inlineStr">
        <is>
          <t>Backtesting temporal, ventanas de 15 dias</t>
        </is>
      </c>
      <c r="L54" t="inlineStr">
        <is>
          <t>WAPE por ciudad.</t>
        </is>
      </c>
    </row>
    <row r="55">
      <c r="A55" t="inlineStr">
        <is>
          <t>PRAGMA</t>
        </is>
      </c>
      <c r="B55" t="inlineStr">
        <is>
          <t>M2</t>
        </is>
      </c>
      <c r="C55" t="inlineStr">
        <is>
          <t>pagado</t>
        </is>
      </c>
      <c r="D55" t="inlineStr">
        <is>
          <t>predictiva</t>
        </is>
      </c>
      <c r="E55" t="inlineStr">
        <is>
          <t>WAPE</t>
        </is>
      </c>
      <c r="F55" s="27" t="n">
        <v>0.3457956709994278</v>
      </c>
      <c r="G55" t="inlineStr">
        <is>
          <t>porcentaje</t>
        </is>
      </c>
      <c r="H55" t="inlineStr">
        <is>
          <t>Pasto</t>
        </is>
      </c>
      <c r="I55" s="23" t="n">
        <v>46251</v>
      </c>
      <c r="J55" s="23" t="n">
        <v>46265</v>
      </c>
      <c r="K55" t="inlineStr">
        <is>
          <t>Backtesting temporal, ventanas de 15 dias</t>
        </is>
      </c>
      <c r="L55" t="inlineStr">
        <is>
          <t>WAPE por ciudad.</t>
        </is>
      </c>
    </row>
    <row r="56">
      <c r="A56" t="inlineStr">
        <is>
          <t>PRAGMA</t>
        </is>
      </c>
      <c r="B56" t="inlineStr">
        <is>
          <t>M2</t>
        </is>
      </c>
      <c r="C56" t="inlineStr">
        <is>
          <t>pagado</t>
        </is>
      </c>
      <c r="D56" t="inlineStr">
        <is>
          <t>predictiva</t>
        </is>
      </c>
      <c r="E56" t="inlineStr">
        <is>
          <t>WAPE</t>
        </is>
      </c>
      <c r="F56" s="27" t="n">
        <v>0.3989241628216589</v>
      </c>
      <c r="G56" t="inlineStr">
        <is>
          <t>porcentaje</t>
        </is>
      </c>
      <c r="H56" t="inlineStr">
        <is>
          <t>Semana 1 (17/08/2026 a 23/08/2026)</t>
        </is>
      </c>
      <c r="I56" s="23" t="n">
        <v>46251</v>
      </c>
      <c r="J56" s="23" t="n">
        <v>46257</v>
      </c>
      <c r="K56" t="inlineStr">
        <is>
          <t>Backtesting temporal, ventanas de 15 dias</t>
        </is>
      </c>
      <c r="L56" t="inlineStr">
        <is>
          <t>WAPE por semana de la ventana.</t>
        </is>
      </c>
    </row>
    <row r="57">
      <c r="A57" t="inlineStr">
        <is>
          <t>PRAGMA</t>
        </is>
      </c>
      <c r="B57" t="inlineStr">
        <is>
          <t>M2</t>
        </is>
      </c>
      <c r="C57" t="inlineStr">
        <is>
          <t>pagado</t>
        </is>
      </c>
      <c r="D57" t="inlineStr">
        <is>
          <t>predictiva</t>
        </is>
      </c>
      <c r="E57" t="inlineStr">
        <is>
          <t>WAPE</t>
        </is>
      </c>
      <c r="F57" s="27" t="n">
        <v>0.3381127914928033</v>
      </c>
      <c r="G57" t="inlineStr">
        <is>
          <t>porcentaje</t>
        </is>
      </c>
      <c r="H57" t="inlineStr">
        <is>
          <t>Semana 2 (24/08/2026 a 31/08/2026)</t>
        </is>
      </c>
      <c r="I57" s="23" t="n">
        <v>46258</v>
      </c>
      <c r="J57" s="23" t="n">
        <v>46265</v>
      </c>
      <c r="K57" t="inlineStr">
        <is>
          <t>Backtesting temporal, ventanas de 15 dias</t>
        </is>
      </c>
      <c r="L57" t="inlineStr">
        <is>
          <t>WAPE por semana de la ventana.</t>
        </is>
      </c>
    </row>
    <row r="58">
      <c r="A58" t="inlineStr">
        <is>
          <t>PRAGMA</t>
        </is>
      </c>
      <c r="B58" t="inlineStr">
        <is>
          <t>M2</t>
        </is>
      </c>
      <c r="C58" t="inlineStr">
        <is>
          <t>pagado</t>
        </is>
      </c>
      <c r="D58" t="inlineStr">
        <is>
          <t>predictiva</t>
        </is>
      </c>
      <c r="E58" t="inlineStr">
        <is>
          <t>WAPE (lectura RN-08)</t>
        </is>
      </c>
      <c r="F58" s="27" t="n">
        <v>0.4540585710440105</v>
      </c>
      <c r="G58" t="inlineStr">
        <is>
          <t>porcentaje</t>
        </is>
      </c>
      <c r="H58" t="inlineStr">
        <is>
          <t>Cali</t>
        </is>
      </c>
      <c r="I58" s="23" t="n">
        <v>46251</v>
      </c>
      <c r="J58" s="23" t="n">
        <v>46265</v>
      </c>
      <c r="K58" t="inlineStr">
        <is>
          <t>Backtesting temporal, ventanas de 15 dias</t>
        </is>
      </c>
      <c r="L58" t="inlineStr">
        <is>
          <t>WAPE por ciudad.</t>
        </is>
      </c>
    </row>
    <row r="59">
      <c r="A59" t="inlineStr">
        <is>
          <t>PRAGMA</t>
        </is>
      </c>
      <c r="B59" t="inlineStr">
        <is>
          <t>M2</t>
        </is>
      </c>
      <c r="C59" t="inlineStr">
        <is>
          <t>pagado</t>
        </is>
      </c>
      <c r="D59" t="inlineStr">
        <is>
          <t>predictiva</t>
        </is>
      </c>
      <c r="E59" t="inlineStr">
        <is>
          <t>WAPE (lectura RN-08)</t>
        </is>
      </c>
      <c r="F59" s="27" t="n">
        <v>0.3320272579364243</v>
      </c>
      <c r="G59" t="inlineStr">
        <is>
          <t>porcentaje</t>
        </is>
      </c>
      <c r="H59" t="inlineStr">
        <is>
          <t>Ipiales</t>
        </is>
      </c>
      <c r="I59" s="23" t="n">
        <v>46251</v>
      </c>
      <c r="J59" s="23" t="n">
        <v>46265</v>
      </c>
      <c r="K59" t="inlineStr">
        <is>
          <t>Backtesting temporal, ventanas de 15 dias</t>
        </is>
      </c>
      <c r="L59" t="inlineStr">
        <is>
          <t>WAPE por ciudad.</t>
        </is>
      </c>
    </row>
    <row r="60">
      <c r="A60" t="inlineStr">
        <is>
          <t>PRAGMA</t>
        </is>
      </c>
      <c r="B60" t="inlineStr">
        <is>
          <t>M2</t>
        </is>
      </c>
      <c r="C60" t="inlineStr">
        <is>
          <t>pagado</t>
        </is>
      </c>
      <c r="D60" t="inlineStr">
        <is>
          <t>predictiva</t>
        </is>
      </c>
      <c r="E60" t="inlineStr">
        <is>
          <t>WAPE (lectura RN-08)</t>
        </is>
      </c>
      <c r="F60" s="27" t="n">
        <v>0.4162230441656657</v>
      </c>
      <c r="G60" t="inlineStr">
        <is>
          <t>porcentaje</t>
        </is>
      </c>
      <c r="H60" t="inlineStr">
        <is>
          <t>Pasto</t>
        </is>
      </c>
      <c r="I60" s="23" t="n">
        <v>46251</v>
      </c>
      <c r="J60" s="23" t="n">
        <v>46265</v>
      </c>
      <c r="K60" t="inlineStr">
        <is>
          <t>Backtesting temporal, ventanas de 15 dias</t>
        </is>
      </c>
      <c r="L60" t="inlineStr">
        <is>
          <t>WAPE por ciudad.</t>
        </is>
      </c>
    </row>
    <row r="61">
      <c r="A61" t="inlineStr">
        <is>
          <t>PRAGMA</t>
        </is>
      </c>
      <c r="B61" t="inlineStr">
        <is>
          <t>M2</t>
        </is>
      </c>
      <c r="C61" t="inlineStr">
        <is>
          <t>pagado</t>
        </is>
      </c>
      <c r="D61" t="inlineStr">
        <is>
          <t>predictiva</t>
        </is>
      </c>
      <c r="E61" t="inlineStr">
        <is>
          <t>WAPE (lectura RN-08)</t>
        </is>
      </c>
      <c r="F61" s="27" t="n">
        <v>0.5017857758680102</v>
      </c>
      <c r="G61" t="inlineStr">
        <is>
          <t>porcentaje</t>
        </is>
      </c>
      <c r="H61" t="inlineStr">
        <is>
          <t>Semana 1 (17/08/2026 a 23/08/2026)</t>
        </is>
      </c>
      <c r="I61" s="23" t="n">
        <v>46251</v>
      </c>
      <c r="J61" s="23" t="n">
        <v>46257</v>
      </c>
      <c r="K61" t="inlineStr">
        <is>
          <t>Backtesting temporal, ventanas de 15 dias</t>
        </is>
      </c>
      <c r="L61" t="inlineStr">
        <is>
          <t>WAPE por semana de la ventana.</t>
        </is>
      </c>
    </row>
    <row r="62">
      <c r="A62" t="inlineStr">
        <is>
          <t>PRAGMA</t>
        </is>
      </c>
      <c r="B62" t="inlineStr">
        <is>
          <t>M2</t>
        </is>
      </c>
      <c r="C62" t="inlineStr">
        <is>
          <t>pagado</t>
        </is>
      </c>
      <c r="D62" t="inlineStr">
        <is>
          <t>predictiva</t>
        </is>
      </c>
      <c r="E62" t="inlineStr">
        <is>
          <t>WAPE (lectura RN-08)</t>
        </is>
      </c>
      <c r="F62" s="27" t="n">
        <v>0.4089455522458901</v>
      </c>
      <c r="G62" t="inlineStr">
        <is>
          <t>porcentaje</t>
        </is>
      </c>
      <c r="H62" t="inlineStr">
        <is>
          <t>Semana 2 (24/08/2026 a 31/08/2026)</t>
        </is>
      </c>
      <c r="I62" s="23" t="n">
        <v>46258</v>
      </c>
      <c r="J62" s="23" t="n">
        <v>46265</v>
      </c>
      <c r="K62" t="inlineStr">
        <is>
          <t>Backtesting temporal, ventanas de 15 dias</t>
        </is>
      </c>
      <c r="L62" t="inlineStr">
        <is>
          <t>WAPE por semana de la ventana.</t>
        </is>
      </c>
    </row>
    <row r="63">
      <c r="A63" t="inlineStr">
        <is>
          <t>PRAGMA</t>
        </is>
      </c>
      <c r="B63" t="inlineStr">
        <is>
          <t>M3</t>
        </is>
      </c>
      <c r="C63" t="inlineStr">
        <is>
          <t>entradas</t>
        </is>
      </c>
      <c r="D63" t="inlineStr">
        <is>
          <t>predictiva</t>
        </is>
      </c>
      <c r="E63" t="inlineStr">
        <is>
          <t>WAPE</t>
        </is>
      </c>
      <c r="F63" s="27" t="n">
        <v>0.4867068554223579</v>
      </c>
      <c r="G63" t="inlineStr">
        <is>
          <t>porcentaje</t>
        </is>
      </c>
      <c r="H63" t="inlineStr">
        <is>
          <t>Cali</t>
        </is>
      </c>
      <c r="I63" s="23" t="n">
        <v>46251</v>
      </c>
      <c r="J63" s="23" t="n">
        <v>46265</v>
      </c>
      <c r="K63" t="inlineStr">
        <is>
          <t>Backtesting temporal, ventanas de 15 dias</t>
        </is>
      </c>
      <c r="L63" t="inlineStr">
        <is>
          <t>WAPE por ciudad.</t>
        </is>
      </c>
    </row>
    <row r="64">
      <c r="A64" t="inlineStr">
        <is>
          <t>PRAGMA</t>
        </is>
      </c>
      <c r="B64" t="inlineStr">
        <is>
          <t>M3</t>
        </is>
      </c>
      <c r="C64" t="inlineStr">
        <is>
          <t>entradas</t>
        </is>
      </c>
      <c r="D64" t="inlineStr">
        <is>
          <t>predictiva</t>
        </is>
      </c>
      <c r="E64" t="inlineStr">
        <is>
          <t>WAPE</t>
        </is>
      </c>
      <c r="F64" s="27" t="n">
        <v>0.1855627531137429</v>
      </c>
      <c r="G64" t="inlineStr">
        <is>
          <t>porcentaje</t>
        </is>
      </c>
      <c r="H64" t="inlineStr">
        <is>
          <t>Ipiales</t>
        </is>
      </c>
      <c r="I64" s="23" t="n">
        <v>46251</v>
      </c>
      <c r="J64" s="23" t="n">
        <v>46265</v>
      </c>
      <c r="K64" t="inlineStr">
        <is>
          <t>Backtesting temporal, ventanas de 15 dias</t>
        </is>
      </c>
      <c r="L64" t="inlineStr">
        <is>
          <t>WAPE por ciudad.</t>
        </is>
      </c>
    </row>
    <row r="65">
      <c r="A65" t="inlineStr">
        <is>
          <t>PRAGMA</t>
        </is>
      </c>
      <c r="B65" t="inlineStr">
        <is>
          <t>M3</t>
        </is>
      </c>
      <c r="C65" t="inlineStr">
        <is>
          <t>entradas</t>
        </is>
      </c>
      <c r="D65" t="inlineStr">
        <is>
          <t>predictiva</t>
        </is>
      </c>
      <c r="E65" t="inlineStr">
        <is>
          <t>WAPE</t>
        </is>
      </c>
      <c r="F65" s="27" t="n">
        <v>0.1736305186944032</v>
      </c>
      <c r="G65" t="inlineStr">
        <is>
          <t>porcentaje</t>
        </is>
      </c>
      <c r="H65" t="inlineStr">
        <is>
          <t>Pasto</t>
        </is>
      </c>
      <c r="I65" s="23" t="n">
        <v>46251</v>
      </c>
      <c r="J65" s="23" t="n">
        <v>46265</v>
      </c>
      <c r="K65" t="inlineStr">
        <is>
          <t>Backtesting temporal, ventanas de 15 dias</t>
        </is>
      </c>
      <c r="L65" t="inlineStr">
        <is>
          <t>WAPE por ciudad.</t>
        </is>
      </c>
    </row>
    <row r="66">
      <c r="A66" t="inlineStr">
        <is>
          <t>PRAGMA</t>
        </is>
      </c>
      <c r="B66" t="inlineStr">
        <is>
          <t>M3</t>
        </is>
      </c>
      <c r="C66" t="inlineStr">
        <is>
          <t>entradas</t>
        </is>
      </c>
      <c r="D66" t="inlineStr">
        <is>
          <t>predictiva</t>
        </is>
      </c>
      <c r="E66" t="inlineStr">
        <is>
          <t>WAPE</t>
        </is>
      </c>
      <c r="F66" s="27" t="n">
        <v>0.4332096065551763</v>
      </c>
      <c r="G66" t="inlineStr">
        <is>
          <t>porcentaje</t>
        </is>
      </c>
      <c r="H66" t="inlineStr">
        <is>
          <t>Semana 1 (17/08/2026 a 23/08/2026)</t>
        </is>
      </c>
      <c r="I66" s="23" t="n">
        <v>46251</v>
      </c>
      <c r="J66" s="23" t="n">
        <v>46257</v>
      </c>
      <c r="K66" t="inlineStr">
        <is>
          <t>Backtesting temporal, ventanas de 15 dias</t>
        </is>
      </c>
      <c r="L66" t="inlineStr">
        <is>
          <t>WAPE por semana de la ventana.</t>
        </is>
      </c>
    </row>
    <row r="67">
      <c r="A67" t="inlineStr">
        <is>
          <t>PRAGMA</t>
        </is>
      </c>
      <c r="B67" t="inlineStr">
        <is>
          <t>M3</t>
        </is>
      </c>
      <c r="C67" t="inlineStr">
        <is>
          <t>entradas</t>
        </is>
      </c>
      <c r="D67" t="inlineStr">
        <is>
          <t>predictiva</t>
        </is>
      </c>
      <c r="E67" t="inlineStr">
        <is>
          <t>WAPE</t>
        </is>
      </c>
      <c r="F67" s="27" t="n">
        <v>0.3554960911668369</v>
      </c>
      <c r="G67" t="inlineStr">
        <is>
          <t>porcentaje</t>
        </is>
      </c>
      <c r="H67" t="inlineStr">
        <is>
          <t>Semana 2 (24/08/2026 a 31/08/2026)</t>
        </is>
      </c>
      <c r="I67" s="23" t="n">
        <v>46258</v>
      </c>
      <c r="J67" s="23" t="n">
        <v>46265</v>
      </c>
      <c r="K67" t="inlineStr">
        <is>
          <t>Backtesting temporal, ventanas de 15 dias</t>
        </is>
      </c>
      <c r="L67" t="inlineStr">
        <is>
          <t>WAPE por semana de la ventana.</t>
        </is>
      </c>
    </row>
    <row r="68">
      <c r="A68" t="inlineStr">
        <is>
          <t>PRAGMA</t>
        </is>
      </c>
      <c r="B68" t="inlineStr">
        <is>
          <t>M3</t>
        </is>
      </c>
      <c r="C68" t="inlineStr">
        <is>
          <t>salidas</t>
        </is>
      </c>
      <c r="D68" t="inlineStr">
        <is>
          <t>predictiva</t>
        </is>
      </c>
      <c r="E68" t="inlineStr">
        <is>
          <t>WAPE</t>
        </is>
      </c>
      <c r="F68" s="27" t="n">
        <v>0.4915897017175104</v>
      </c>
      <c r="G68" t="inlineStr">
        <is>
          <t>porcentaje</t>
        </is>
      </c>
      <c r="H68" t="inlineStr">
        <is>
          <t>Cali</t>
        </is>
      </c>
      <c r="I68" s="23" t="n">
        <v>46251</v>
      </c>
      <c r="J68" s="23" t="n">
        <v>46265</v>
      </c>
      <c r="K68" t="inlineStr">
        <is>
          <t>Backtesting temporal, ventanas de 15 dias</t>
        </is>
      </c>
      <c r="L68" t="inlineStr">
        <is>
          <t>WAPE por ciudad.</t>
        </is>
      </c>
    </row>
    <row r="69">
      <c r="A69" t="inlineStr">
        <is>
          <t>PRAGMA</t>
        </is>
      </c>
      <c r="B69" t="inlineStr">
        <is>
          <t>M3</t>
        </is>
      </c>
      <c r="C69" t="inlineStr">
        <is>
          <t>salidas</t>
        </is>
      </c>
      <c r="D69" t="inlineStr">
        <is>
          <t>predictiva</t>
        </is>
      </c>
      <c r="E69" t="inlineStr">
        <is>
          <t>WAPE</t>
        </is>
      </c>
      <c r="F69" s="27" t="n">
        <v>0.253230756308527</v>
      </c>
      <c r="G69" t="inlineStr">
        <is>
          <t>porcentaje</t>
        </is>
      </c>
      <c r="H69" t="inlineStr">
        <is>
          <t>Ipiales</t>
        </is>
      </c>
      <c r="I69" s="23" t="n">
        <v>46251</v>
      </c>
      <c r="J69" s="23" t="n">
        <v>46265</v>
      </c>
      <c r="K69" t="inlineStr">
        <is>
          <t>Backtesting temporal, ventanas de 15 dias</t>
        </is>
      </c>
      <c r="L69" t="inlineStr">
        <is>
          <t>WAPE por ciudad.</t>
        </is>
      </c>
    </row>
    <row r="70">
      <c r="A70" t="inlineStr">
        <is>
          <t>PRAGMA</t>
        </is>
      </c>
      <c r="B70" t="inlineStr">
        <is>
          <t>M3</t>
        </is>
      </c>
      <c r="C70" t="inlineStr">
        <is>
          <t>salidas</t>
        </is>
      </c>
      <c r="D70" t="inlineStr">
        <is>
          <t>predictiva</t>
        </is>
      </c>
      <c r="E70" t="inlineStr">
        <is>
          <t>WAPE</t>
        </is>
      </c>
      <c r="F70" s="27" t="n">
        <v>0.3002805793316644</v>
      </c>
      <c r="G70" t="inlineStr">
        <is>
          <t>porcentaje</t>
        </is>
      </c>
      <c r="H70" t="inlineStr">
        <is>
          <t>Pasto</t>
        </is>
      </c>
      <c r="I70" s="23" t="n">
        <v>46251</v>
      </c>
      <c r="J70" s="23" t="n">
        <v>46265</v>
      </c>
      <c r="K70" t="inlineStr">
        <is>
          <t>Backtesting temporal, ventanas de 15 dias</t>
        </is>
      </c>
      <c r="L70" t="inlineStr">
        <is>
          <t>WAPE por ciudad.</t>
        </is>
      </c>
    </row>
    <row r="71">
      <c r="A71" t="inlineStr">
        <is>
          <t>PRAGMA</t>
        </is>
      </c>
      <c r="B71" t="inlineStr">
        <is>
          <t>M3</t>
        </is>
      </c>
      <c r="C71" t="inlineStr">
        <is>
          <t>salidas</t>
        </is>
      </c>
      <c r="D71" t="inlineStr">
        <is>
          <t>predictiva</t>
        </is>
      </c>
      <c r="E71" t="inlineStr">
        <is>
          <t>WAPE</t>
        </is>
      </c>
      <c r="F71" s="27" t="n">
        <v>0.4412382155096135</v>
      </c>
      <c r="G71" t="inlineStr">
        <is>
          <t>porcentaje</t>
        </is>
      </c>
      <c r="H71" t="inlineStr">
        <is>
          <t>Semana 1 (17/08/2026 a 23/08/2026)</t>
        </is>
      </c>
      <c r="I71" s="23" t="n">
        <v>46251</v>
      </c>
      <c r="J71" s="23" t="n">
        <v>46257</v>
      </c>
      <c r="K71" t="inlineStr">
        <is>
          <t>Backtesting temporal, ventanas de 15 dias</t>
        </is>
      </c>
      <c r="L71" t="inlineStr">
        <is>
          <t>WAPE por semana de la ventana.</t>
        </is>
      </c>
    </row>
    <row r="72">
      <c r="A72" t="inlineStr">
        <is>
          <t>PRAGMA</t>
        </is>
      </c>
      <c r="B72" t="inlineStr">
        <is>
          <t>M3</t>
        </is>
      </c>
      <c r="C72" t="inlineStr">
        <is>
          <t>salidas</t>
        </is>
      </c>
      <c r="D72" t="inlineStr">
        <is>
          <t>predictiva</t>
        </is>
      </c>
      <c r="E72" t="inlineStr">
        <is>
          <t>WAPE</t>
        </is>
      </c>
      <c r="F72" s="27" t="n">
        <v>0.3989848372206357</v>
      </c>
      <c r="G72" t="inlineStr">
        <is>
          <t>porcentaje</t>
        </is>
      </c>
      <c r="H72" t="inlineStr">
        <is>
          <t>Semana 2 (24/08/2026 a 31/08/2026)</t>
        </is>
      </c>
      <c r="I72" s="23" t="n">
        <v>46258</v>
      </c>
      <c r="J72" s="23" t="n">
        <v>46265</v>
      </c>
      <c r="K72" t="inlineStr">
        <is>
          <t>Backtesting temporal, ventanas de 15 dias</t>
        </is>
      </c>
      <c r="L72" t="inlineStr">
        <is>
          <t>WAPE por semana de la ventana.</t>
        </is>
      </c>
    </row>
    <row r="73">
      <c r="A73" t="inlineStr">
        <is>
          <t>PRAGMA</t>
        </is>
      </c>
      <c r="B73" t="inlineStr">
        <is>
          <t>M4</t>
        </is>
      </c>
      <c r="C73" t="inlineStr">
        <is>
          <t>ingreso_efectivo_cbr</t>
        </is>
      </c>
      <c r="D73" t="inlineStr">
        <is>
          <t>predictiva</t>
        </is>
      </c>
      <c r="E73" t="inlineStr">
        <is>
          <t>WAPE</t>
        </is>
      </c>
      <c r="F73" s="27" t="n">
        <v>0.3790478395129081</v>
      </c>
      <c r="G73" t="inlineStr">
        <is>
          <t>porcentaje</t>
        </is>
      </c>
      <c r="H73" t="inlineStr">
        <is>
          <t>Cali</t>
        </is>
      </c>
      <c r="I73" s="23" t="n">
        <v>46251</v>
      </c>
      <c r="J73" s="23" t="n">
        <v>46265</v>
      </c>
      <c r="K73" t="inlineStr">
        <is>
          <t>Backtesting temporal, ventanas de 15 dias</t>
        </is>
      </c>
      <c r="L73" t="inlineStr">
        <is>
          <t>WAPE por ciudad.</t>
        </is>
      </c>
    </row>
    <row r="74">
      <c r="A74" t="inlineStr">
        <is>
          <t>PRAGMA</t>
        </is>
      </c>
      <c r="B74" t="inlineStr">
        <is>
          <t>M4</t>
        </is>
      </c>
      <c r="C74" t="inlineStr">
        <is>
          <t>ingreso_efectivo_cbr</t>
        </is>
      </c>
      <c r="D74" t="inlineStr">
        <is>
          <t>predictiva</t>
        </is>
      </c>
      <c r="E74" t="inlineStr">
        <is>
          <t>WAPE</t>
        </is>
      </c>
      <c r="F74" s="27" t="n">
        <v>0.1163622594262612</v>
      </c>
      <c r="G74" t="inlineStr">
        <is>
          <t>porcentaje</t>
        </is>
      </c>
      <c r="H74" t="inlineStr">
        <is>
          <t>Ipiales</t>
        </is>
      </c>
      <c r="I74" s="23" t="n">
        <v>46251</v>
      </c>
      <c r="J74" s="23" t="n">
        <v>46265</v>
      </c>
      <c r="K74" t="inlineStr">
        <is>
          <t>Backtesting temporal, ventanas de 15 dias</t>
        </is>
      </c>
      <c r="L74" t="inlineStr">
        <is>
          <t>WAPE por ciudad.</t>
        </is>
      </c>
    </row>
    <row r="75">
      <c r="A75" t="inlineStr">
        <is>
          <t>PRAGMA</t>
        </is>
      </c>
      <c r="B75" t="inlineStr">
        <is>
          <t>M4</t>
        </is>
      </c>
      <c r="C75" t="inlineStr">
        <is>
          <t>ingreso_efectivo_cbr</t>
        </is>
      </c>
      <c r="D75" t="inlineStr">
        <is>
          <t>predictiva</t>
        </is>
      </c>
      <c r="E75" t="inlineStr">
        <is>
          <t>WAPE</t>
        </is>
      </c>
      <c r="F75" s="27" t="n">
        <v>0.1843640120302971</v>
      </c>
      <c r="G75" t="inlineStr">
        <is>
          <t>porcentaje</t>
        </is>
      </c>
      <c r="H75" t="inlineStr">
        <is>
          <t>Pasto</t>
        </is>
      </c>
      <c r="I75" s="23" t="n">
        <v>46251</v>
      </c>
      <c r="J75" s="23" t="n">
        <v>46265</v>
      </c>
      <c r="K75" t="inlineStr">
        <is>
          <t>Backtesting temporal, ventanas de 15 dias</t>
        </is>
      </c>
      <c r="L75" t="inlineStr">
        <is>
          <t>WAPE por ciudad.</t>
        </is>
      </c>
    </row>
    <row r="76">
      <c r="A76" t="inlineStr">
        <is>
          <t>PRAGMA</t>
        </is>
      </c>
      <c r="B76" t="inlineStr">
        <is>
          <t>M4</t>
        </is>
      </c>
      <c r="C76" t="inlineStr">
        <is>
          <t>ingreso_efectivo_cbr</t>
        </is>
      </c>
      <c r="D76" t="inlineStr">
        <is>
          <t>predictiva</t>
        </is>
      </c>
      <c r="E76" t="inlineStr">
        <is>
          <t>WAPE</t>
        </is>
      </c>
      <c r="F76" s="27" t="n">
        <v>0.2096168653382652</v>
      </c>
      <c r="G76" t="inlineStr">
        <is>
          <t>porcentaje</t>
        </is>
      </c>
      <c r="H76" t="inlineStr">
        <is>
          <t>Semana 1 (18/08/2026 a 22/08/2026)</t>
        </is>
      </c>
      <c r="I76" s="23" t="n">
        <v>46252</v>
      </c>
      <c r="J76" s="23" t="n">
        <v>46256</v>
      </c>
      <c r="K76" t="inlineStr">
        <is>
          <t>Backtesting temporal, ventanas de 15 dias</t>
        </is>
      </c>
      <c r="L76" t="inlineStr">
        <is>
          <t>WAPE por semana de la ventana.</t>
        </is>
      </c>
    </row>
    <row r="77">
      <c r="A77" t="inlineStr">
        <is>
          <t>PRAGMA</t>
        </is>
      </c>
      <c r="B77" t="inlineStr">
        <is>
          <t>M4</t>
        </is>
      </c>
      <c r="C77" t="inlineStr">
        <is>
          <t>ingreso_efectivo_cbr</t>
        </is>
      </c>
      <c r="D77" t="inlineStr">
        <is>
          <t>predictiva</t>
        </is>
      </c>
      <c r="E77" t="inlineStr">
        <is>
          <t>WAPE</t>
        </is>
      </c>
      <c r="F77" s="27" t="n">
        <v>0.4091795059798695</v>
      </c>
      <c r="G77" t="inlineStr">
        <is>
          <t>porcentaje</t>
        </is>
      </c>
      <c r="H77" t="inlineStr">
        <is>
          <t>Semana 2 (24/08/2026 a 31/08/2026)</t>
        </is>
      </c>
      <c r="I77" s="23" t="n">
        <v>46258</v>
      </c>
      <c r="J77" s="23" t="n">
        <v>46265</v>
      </c>
      <c r="K77" t="inlineStr">
        <is>
          <t>Backtesting temporal, ventanas de 15 dias</t>
        </is>
      </c>
      <c r="L77" t="inlineStr">
        <is>
          <t>WAPE por semana de la ventana.</t>
        </is>
      </c>
    </row>
    <row r="78">
      <c r="A78" t="inlineStr">
        <is>
          <t>PRAGMA</t>
        </is>
      </c>
      <c r="B78" t="inlineStr">
        <is>
          <t>M4</t>
        </is>
      </c>
      <c r="C78" t="inlineStr">
        <is>
          <t>ingreso_efectivo_cbr</t>
        </is>
      </c>
      <c r="D78" t="inlineStr">
        <is>
          <t>predictiva</t>
        </is>
      </c>
      <c r="E78" t="inlineStr">
        <is>
          <t>WAPE</t>
        </is>
      </c>
      <c r="F78" s="27" t="n">
        <v>0.1445471386712949</v>
      </c>
      <c r="G78" t="inlineStr">
        <is>
          <t>porcentaje</t>
        </is>
      </c>
      <c r="H78" t="inlineStr">
        <is>
          <t>CALI|TRANSPORTADORA_001</t>
        </is>
      </c>
      <c r="I78" s="23" t="n">
        <v>46251</v>
      </c>
      <c r="J78" s="23" t="n">
        <v>46265</v>
      </c>
      <c r="K78" t="inlineStr">
        <is>
          <t>Backtesting temporal, ventanas de 15 dias</t>
        </is>
      </c>
      <c r="L78" t="inlineStr">
        <is>
          <t>Diagnostico por fondo (la ciudad agrega fondos).</t>
        </is>
      </c>
    </row>
    <row r="79">
      <c r="A79" t="inlineStr">
        <is>
          <t>PRAGMA</t>
        </is>
      </c>
      <c r="B79" t="inlineStr">
        <is>
          <t>M4</t>
        </is>
      </c>
      <c r="C79" t="inlineStr">
        <is>
          <t>ingreso_efectivo_cbr</t>
        </is>
      </c>
      <c r="D79" t="inlineStr">
        <is>
          <t>predictiva</t>
        </is>
      </c>
      <c r="E79" t="inlineStr">
        <is>
          <t>WAPE</t>
        </is>
      </c>
      <c r="F79" s="27" t="n">
        <v>0.1527849200947355</v>
      </c>
      <c r="G79" t="inlineStr">
        <is>
          <t>porcentaje</t>
        </is>
      </c>
      <c r="H79" t="inlineStr">
        <is>
          <t>CALI|TRANSPORTADORA_002</t>
        </is>
      </c>
      <c r="I79" s="23" t="n">
        <v>46251</v>
      </c>
      <c r="J79" s="23" t="n">
        <v>46265</v>
      </c>
      <c r="K79" t="inlineStr">
        <is>
          <t>Backtesting temporal, ventanas de 15 dias</t>
        </is>
      </c>
      <c r="L79" t="inlineStr">
        <is>
          <t>Diagnostico por fondo (la ciudad agrega fondos).</t>
        </is>
      </c>
    </row>
    <row r="80">
      <c r="A80" t="inlineStr">
        <is>
          <t>PRAGMA</t>
        </is>
      </c>
      <c r="B80" t="inlineStr">
        <is>
          <t>M4</t>
        </is>
      </c>
      <c r="C80" t="inlineStr">
        <is>
          <t>ingreso_efectivo_cbr</t>
        </is>
      </c>
      <c r="D80" t="inlineStr">
        <is>
          <t>predictiva</t>
        </is>
      </c>
      <c r="E80" t="inlineStr">
        <is>
          <t>WAPE</t>
        </is>
      </c>
      <c r="F80" s="27" t="n">
        <v>1.203475078720679</v>
      </c>
      <c r="G80" t="inlineStr">
        <is>
          <t>porcentaje</t>
        </is>
      </c>
      <c r="H80" t="inlineStr">
        <is>
          <t>CALI|TRANSPORTADORA_003</t>
        </is>
      </c>
      <c r="I80" s="23" t="n">
        <v>46251</v>
      </c>
      <c r="J80" s="23" t="n">
        <v>46265</v>
      </c>
      <c r="K80" t="inlineStr">
        <is>
          <t>Backtesting temporal, ventanas de 15 dias</t>
        </is>
      </c>
      <c r="L80" t="inlineStr">
        <is>
          <t>Diagnostico por fondo (la ciudad agrega fondos).</t>
        </is>
      </c>
    </row>
    <row r="81">
      <c r="A81" t="inlineStr">
        <is>
          <t>PRAGMA</t>
        </is>
      </c>
      <c r="B81" t="inlineStr">
        <is>
          <t>M4</t>
        </is>
      </c>
      <c r="C81" t="inlineStr">
        <is>
          <t>ingreso_efectivo_cbr</t>
        </is>
      </c>
      <c r="D81" t="inlineStr">
        <is>
          <t>predictiva</t>
        </is>
      </c>
      <c r="E81" t="inlineStr">
        <is>
          <t>WAPE</t>
        </is>
      </c>
      <c r="F81" s="27" t="n">
        <v>0.1163622594262612</v>
      </c>
      <c r="G81" t="inlineStr">
        <is>
          <t>porcentaje</t>
        </is>
      </c>
      <c r="H81" t="inlineStr">
        <is>
          <t>IPIALES|TRANSPORTADORA_002</t>
        </is>
      </c>
      <c r="I81" s="23" t="n">
        <v>46251</v>
      </c>
      <c r="J81" s="23" t="n">
        <v>46265</v>
      </c>
      <c r="K81" t="inlineStr">
        <is>
          <t>Backtesting temporal, ventanas de 15 dias</t>
        </is>
      </c>
      <c r="L81" t="inlineStr">
        <is>
          <t>Diagnostico por fondo (la ciudad agrega fondos).</t>
        </is>
      </c>
    </row>
    <row r="82">
      <c r="A82" t="inlineStr">
        <is>
          <t>PRAGMA</t>
        </is>
      </c>
      <c r="B82" t="inlineStr">
        <is>
          <t>M4</t>
        </is>
      </c>
      <c r="C82" t="inlineStr">
        <is>
          <t>ingreso_efectivo_cbr</t>
        </is>
      </c>
      <c r="D82" t="inlineStr">
        <is>
          <t>predictiva</t>
        </is>
      </c>
      <c r="E82" t="inlineStr">
        <is>
          <t>WAPE</t>
        </is>
      </c>
      <c r="F82" s="27" t="n">
        <v>0.1843640120302971</v>
      </c>
      <c r="G82" t="inlineStr">
        <is>
          <t>porcentaje</t>
        </is>
      </c>
      <c r="H82" t="inlineStr">
        <is>
          <t>PASTO|TRANSPORTADORA_001</t>
        </is>
      </c>
      <c r="I82" s="23" t="n">
        <v>46251</v>
      </c>
      <c r="J82" s="23" t="n">
        <v>46265</v>
      </c>
      <c r="K82" t="inlineStr">
        <is>
          <t>Backtesting temporal, ventanas de 15 dias</t>
        </is>
      </c>
      <c r="L82" t="inlineStr">
        <is>
          <t>Diagnostico por fondo (la ciudad agrega fondos).</t>
        </is>
      </c>
    </row>
    <row r="83">
      <c r="A83" t="inlineStr">
        <is>
          <t>PRAGMA</t>
        </is>
      </c>
      <c r="B83" t="inlineStr">
        <is>
          <t>M5</t>
        </is>
      </c>
      <c r="C83" t="inlineStr">
        <is>
          <t>ingreso_efectivo_clientes</t>
        </is>
      </c>
      <c r="D83" t="inlineStr">
        <is>
          <t>predictiva</t>
        </is>
      </c>
      <c r="E83" t="inlineStr">
        <is>
          <t>WAPE</t>
        </is>
      </c>
      <c r="F83" s="27" t="n">
        <v>0.5073697455925246</v>
      </c>
      <c r="G83" t="inlineStr">
        <is>
          <t>porcentaje</t>
        </is>
      </c>
      <c r="H83" t="inlineStr">
        <is>
          <t>Cali</t>
        </is>
      </c>
      <c r="I83" s="23" t="n">
        <v>46251</v>
      </c>
      <c r="J83" s="23" t="n">
        <v>46265</v>
      </c>
      <c r="K83" t="inlineStr">
        <is>
          <t>Backtesting temporal, ventanas de 15 dias</t>
        </is>
      </c>
      <c r="L83" t="inlineStr">
        <is>
          <t>WAPE por ciudad.</t>
        </is>
      </c>
    </row>
    <row r="84">
      <c r="A84" t="inlineStr">
        <is>
          <t>PRAGMA</t>
        </is>
      </c>
      <c r="B84" t="inlineStr">
        <is>
          <t>M5</t>
        </is>
      </c>
      <c r="C84" t="inlineStr">
        <is>
          <t>ingreso_efectivo_clientes</t>
        </is>
      </c>
      <c r="D84" t="inlineStr">
        <is>
          <t>predictiva</t>
        </is>
      </c>
      <c r="E84" t="inlineStr">
        <is>
          <t>WAPE</t>
        </is>
      </c>
      <c r="F84" s="27" t="n">
        <v>0.544488104350861</v>
      </c>
      <c r="G84" t="inlineStr">
        <is>
          <t>porcentaje</t>
        </is>
      </c>
      <c r="H84" t="inlineStr">
        <is>
          <t>Ipiales</t>
        </is>
      </c>
      <c r="I84" s="23" t="n">
        <v>46251</v>
      </c>
      <c r="J84" s="23" t="n">
        <v>46265</v>
      </c>
      <c r="K84" t="inlineStr">
        <is>
          <t>Backtesting temporal, ventanas de 15 dias</t>
        </is>
      </c>
      <c r="L84" t="inlineStr">
        <is>
          <t>WAPE por ciudad.</t>
        </is>
      </c>
    </row>
    <row r="85">
      <c r="A85" t="inlineStr">
        <is>
          <t>PRAGMA</t>
        </is>
      </c>
      <c r="B85" t="inlineStr">
        <is>
          <t>M5</t>
        </is>
      </c>
      <c r="C85" t="inlineStr">
        <is>
          <t>ingreso_efectivo_clientes</t>
        </is>
      </c>
      <c r="D85" t="inlineStr">
        <is>
          <t>predictiva</t>
        </is>
      </c>
      <c r="E85" t="inlineStr">
        <is>
          <t>WAPE</t>
        </is>
      </c>
      <c r="F85" s="27" t="n">
        <v>0.4873512748339985</v>
      </c>
      <c r="G85" t="inlineStr">
        <is>
          <t>porcentaje</t>
        </is>
      </c>
      <c r="H85" t="inlineStr">
        <is>
          <t>Pasto</t>
        </is>
      </c>
      <c r="I85" s="23" t="n">
        <v>46251</v>
      </c>
      <c r="J85" s="23" t="n">
        <v>46265</v>
      </c>
      <c r="K85" t="inlineStr">
        <is>
          <t>Backtesting temporal, ventanas de 15 dias</t>
        </is>
      </c>
      <c r="L85" t="inlineStr">
        <is>
          <t>WAPE por ciudad.</t>
        </is>
      </c>
    </row>
    <row r="86">
      <c r="A86" t="inlineStr">
        <is>
          <t>PRAGMA</t>
        </is>
      </c>
      <c r="B86" t="inlineStr">
        <is>
          <t>M5</t>
        </is>
      </c>
      <c r="C86" t="inlineStr">
        <is>
          <t>ingreso_efectivo_clientes</t>
        </is>
      </c>
      <c r="D86" t="inlineStr">
        <is>
          <t>predictiva</t>
        </is>
      </c>
      <c r="E86" t="inlineStr">
        <is>
          <t>WAPE</t>
        </is>
      </c>
      <c r="F86" s="27" t="n">
        <v>0.5032435894807573</v>
      </c>
      <c r="G86" t="inlineStr">
        <is>
          <t>porcentaje</t>
        </is>
      </c>
      <c r="H86" t="inlineStr">
        <is>
          <t>Semana 1 (17/08/2026 a 23/08/2026)</t>
        </is>
      </c>
      <c r="I86" s="23" t="n">
        <v>46251</v>
      </c>
      <c r="J86" s="23" t="n">
        <v>46257</v>
      </c>
      <c r="K86" t="inlineStr">
        <is>
          <t>Backtesting temporal, ventanas de 15 dias</t>
        </is>
      </c>
      <c r="L86" t="inlineStr">
        <is>
          <t>WAPE por semana de la ventana.</t>
        </is>
      </c>
    </row>
    <row r="87">
      <c r="A87" t="inlineStr">
        <is>
          <t>PRAGMA</t>
        </is>
      </c>
      <c r="B87" t="inlineStr">
        <is>
          <t>M5</t>
        </is>
      </c>
      <c r="C87" t="inlineStr">
        <is>
          <t>ingreso_efectivo_clientes</t>
        </is>
      </c>
      <c r="D87" t="inlineStr">
        <is>
          <t>predictiva</t>
        </is>
      </c>
      <c r="E87" t="inlineStr">
        <is>
          <t>WAPE</t>
        </is>
      </c>
      <c r="F87" s="27" t="n">
        <v>0.5251358441541328</v>
      </c>
      <c r="G87" t="inlineStr">
        <is>
          <t>porcentaje</t>
        </is>
      </c>
      <c r="H87" t="inlineStr">
        <is>
          <t>Semana 2 (24/08/2026 a 31/08/2026)</t>
        </is>
      </c>
      <c r="I87" s="23" t="n">
        <v>46258</v>
      </c>
      <c r="J87" s="23" t="n">
        <v>46265</v>
      </c>
      <c r="K87" t="inlineStr">
        <is>
          <t>Backtesting temporal, ventanas de 15 dias</t>
        </is>
      </c>
      <c r="L87" t="inlineStr">
        <is>
          <t>WAPE por semana de la ventana.</t>
        </is>
      </c>
    </row>
    <row r="88">
      <c r="A88" t="inlineStr">
        <is>
          <t>PRAGMA</t>
        </is>
      </c>
      <c r="B88" t="inlineStr">
        <is>
          <t>M5</t>
        </is>
      </c>
      <c r="C88" t="inlineStr">
        <is>
          <t>ingreso_efectivo_clientes</t>
        </is>
      </c>
      <c r="D88" t="inlineStr">
        <is>
          <t>predictiva</t>
        </is>
      </c>
      <c r="E88" t="inlineStr">
        <is>
          <t>WAPE</t>
        </is>
      </c>
      <c r="F88" s="27" t="n">
        <v>0.5314821067832284</v>
      </c>
      <c r="G88" t="inlineStr">
        <is>
          <t>porcentaje</t>
        </is>
      </c>
      <c r="H88" t="inlineStr">
        <is>
          <t>CALI|TRANSPORTADORA_001</t>
        </is>
      </c>
      <c r="I88" s="23" t="n">
        <v>46251</v>
      </c>
      <c r="J88" s="23" t="n">
        <v>46265</v>
      </c>
      <c r="K88" t="inlineStr">
        <is>
          <t>Backtesting temporal, ventanas de 15 dias</t>
        </is>
      </c>
      <c r="L88" t="inlineStr">
        <is>
          <t>Diagnostico por fondo (la ciudad agrega fondos).</t>
        </is>
      </c>
    </row>
    <row r="89">
      <c r="A89" t="inlineStr">
        <is>
          <t>PRAGMA</t>
        </is>
      </c>
      <c r="B89" t="inlineStr">
        <is>
          <t>M5</t>
        </is>
      </c>
      <c r="C89" t="inlineStr">
        <is>
          <t>ingreso_efectivo_clientes</t>
        </is>
      </c>
      <c r="D89" t="inlineStr">
        <is>
          <t>predictiva</t>
        </is>
      </c>
      <c r="E89" t="inlineStr">
        <is>
          <t>WAPE</t>
        </is>
      </c>
      <c r="F89" s="27" t="n">
        <v>0.4493074653362665</v>
      </c>
      <c r="G89" t="inlineStr">
        <is>
          <t>porcentaje</t>
        </is>
      </c>
      <c r="H89" t="inlineStr">
        <is>
          <t>CALI|TRANSPORTADORA_002</t>
        </is>
      </c>
      <c r="I89" s="23" t="n">
        <v>46251</v>
      </c>
      <c r="J89" s="23" t="n">
        <v>46265</v>
      </c>
      <c r="K89" t="inlineStr">
        <is>
          <t>Backtesting temporal, ventanas de 15 dias</t>
        </is>
      </c>
      <c r="L89" t="inlineStr">
        <is>
          <t>Diagnostico por fondo (la ciudad agrega fondos).</t>
        </is>
      </c>
    </row>
    <row r="90">
      <c r="A90" t="inlineStr">
        <is>
          <t>PRAGMA</t>
        </is>
      </c>
      <c r="B90" t="inlineStr">
        <is>
          <t>M5</t>
        </is>
      </c>
      <c r="C90" t="inlineStr">
        <is>
          <t>ingreso_efectivo_clientes</t>
        </is>
      </c>
      <c r="D90" t="inlineStr">
        <is>
          <t>predictiva</t>
        </is>
      </c>
      <c r="E90" t="inlineStr">
        <is>
          <t>WAPE</t>
        </is>
      </c>
      <c r="F90" s="27" t="n">
        <v>0.5737403327840307</v>
      </c>
      <c r="G90" t="inlineStr">
        <is>
          <t>porcentaje</t>
        </is>
      </c>
      <c r="H90" t="inlineStr">
        <is>
          <t>CALI|TRANSPORTADORA_003</t>
        </is>
      </c>
      <c r="I90" s="23" t="n">
        <v>46251</v>
      </c>
      <c r="J90" s="23" t="n">
        <v>46265</v>
      </c>
      <c r="K90" t="inlineStr">
        <is>
          <t>Backtesting temporal, ventanas de 15 dias</t>
        </is>
      </c>
      <c r="L90" t="inlineStr">
        <is>
          <t>Diagnostico por fondo (la ciudad agrega fondos).</t>
        </is>
      </c>
    </row>
    <row r="91">
      <c r="A91" t="inlineStr">
        <is>
          <t>PRAGMA</t>
        </is>
      </c>
      <c r="B91" t="inlineStr">
        <is>
          <t>M5</t>
        </is>
      </c>
      <c r="C91" t="inlineStr">
        <is>
          <t>ingreso_efectivo_clientes</t>
        </is>
      </c>
      <c r="D91" t="inlineStr">
        <is>
          <t>predictiva</t>
        </is>
      </c>
      <c r="E91" t="inlineStr">
        <is>
          <t>WAPE</t>
        </is>
      </c>
      <c r="F91" s="27" t="n">
        <v>1.568291933411718</v>
      </c>
      <c r="G91" t="inlineStr">
        <is>
          <t>porcentaje</t>
        </is>
      </c>
      <c r="H91" t="inlineStr">
        <is>
          <t>CALI|TRANSPORTADORA_004</t>
        </is>
      </c>
      <c r="I91" s="23" t="n">
        <v>46251</v>
      </c>
      <c r="J91" s="23" t="n">
        <v>46265</v>
      </c>
      <c r="K91" t="inlineStr">
        <is>
          <t>Backtesting temporal, ventanas de 15 dias</t>
        </is>
      </c>
      <c r="L91" t="inlineStr">
        <is>
          <t>Diagnostico por fondo (la ciudad agrega fondos).</t>
        </is>
      </c>
    </row>
    <row r="92">
      <c r="A92" t="inlineStr">
        <is>
          <t>PRAGMA</t>
        </is>
      </c>
      <c r="B92" t="inlineStr">
        <is>
          <t>M5</t>
        </is>
      </c>
      <c r="C92" t="inlineStr">
        <is>
          <t>ingreso_efectivo_clientes</t>
        </is>
      </c>
      <c r="D92" t="inlineStr">
        <is>
          <t>predictiva</t>
        </is>
      </c>
      <c r="E92" t="inlineStr">
        <is>
          <t>WAPE</t>
        </is>
      </c>
      <c r="F92" s="27" t="n">
        <v>0.544488104350861</v>
      </c>
      <c r="G92" t="inlineStr">
        <is>
          <t>porcentaje</t>
        </is>
      </c>
      <c r="H92" t="inlineStr">
        <is>
          <t>IPIALES|TRANSPORTADORA_002</t>
        </is>
      </c>
      <c r="I92" s="23" t="n">
        <v>46251</v>
      </c>
      <c r="J92" s="23" t="n">
        <v>46265</v>
      </c>
      <c r="K92" t="inlineStr">
        <is>
          <t>Backtesting temporal, ventanas de 15 dias</t>
        </is>
      </c>
      <c r="L92" t="inlineStr">
        <is>
          <t>Diagnostico por fondo (la ciudad agrega fondos).</t>
        </is>
      </c>
    </row>
    <row r="93">
      <c r="A93" t="inlineStr">
        <is>
          <t>PRAGMA</t>
        </is>
      </c>
      <c r="B93" t="inlineStr">
        <is>
          <t>M5</t>
        </is>
      </c>
      <c r="C93" t="inlineStr">
        <is>
          <t>ingreso_efectivo_clientes</t>
        </is>
      </c>
      <c r="D93" t="inlineStr">
        <is>
          <t>predictiva</t>
        </is>
      </c>
      <c r="E93" t="inlineStr">
        <is>
          <t>WAPE</t>
        </is>
      </c>
      <c r="F93" s="27" t="n">
        <v>0.4873512748339985</v>
      </c>
      <c r="G93" t="inlineStr">
        <is>
          <t>porcentaje</t>
        </is>
      </c>
      <c r="H93" t="inlineStr">
        <is>
          <t>PASTO|TRANSPORTADORA_001</t>
        </is>
      </c>
      <c r="I93" s="23" t="n">
        <v>46251</v>
      </c>
      <c r="J93" s="23" t="n">
        <v>46265</v>
      </c>
      <c r="K93" t="inlineStr">
        <is>
          <t>Backtesting temporal, ventanas de 15 dias</t>
        </is>
      </c>
      <c r="L93" t="inlineStr">
        <is>
          <t>Diagnostico por fondo (la ciudad agrega fondos).</t>
        </is>
      </c>
    </row>
    <row r="94">
      <c r="A94" t="inlineStr">
        <is>
          <t>PRAGMA</t>
        </is>
      </c>
      <c r="B94" t="inlineStr">
        <is>
          <t>M1</t>
        </is>
      </c>
      <c r="C94" t="inlineStr">
        <is>
          <t>tasa_agotamiento</t>
        </is>
      </c>
      <c r="D94" t="inlineStr">
        <is>
          <t>operativa</t>
        </is>
      </c>
      <c r="E94" t="inlineStr">
        <is>
          <t>Tasa de agotamiento ATM-dia del plan publicado (contra el pronostico)</t>
        </is>
      </c>
      <c r="F94" s="27" t="n">
        <v>0</v>
      </c>
      <c r="G94" t="inlineStr">
        <is>
          <t>porcentaje</t>
        </is>
      </c>
      <c r="H94" t="inlineStr">
        <is>
          <t>Global</t>
        </is>
      </c>
      <c r="I94" s="23" t="n">
        <v>46266</v>
      </c>
      <c r="J94" s="23" t="n">
        <v>46280</v>
      </c>
      <c r="K94" t="inlineStr">
        <is>
          <t>Simulacion del plan del horizonte con el pronostico central</t>
        </is>
      </c>
      <c r="L94" t="inlineStr">
        <is>
          <t>Fraccion de ATM-dia del horizonte en que el pronostico central supera el saldo tras el plan: 0 de 6525. Es cero por construccion, porque el plan cubre su propio pronostico; la medida contra el real es la del backtest de la politica (filas siguientes).</t>
        </is>
      </c>
    </row>
    <row r="95">
      <c r="A95" t="inlineStr">
        <is>
          <t>PRAGMA</t>
        </is>
      </c>
      <c r="B95" t="inlineStr">
        <is>
          <t>M1</t>
        </is>
      </c>
      <c r="C95" t="inlineStr">
        <is>
          <t>remanente_antes_provision</t>
        </is>
      </c>
      <c r="D95" t="inlineStr">
        <is>
          <t>operativa</t>
        </is>
      </c>
      <c r="E95" t="inlineStr">
        <is>
          <t>Promedio % saldo antes de provision del plan publicado (contra el pronostico)</t>
        </is>
      </c>
      <c r="F95" s="27" t="n">
        <v>0.2139412958636455</v>
      </c>
      <c r="G95" t="inlineStr">
        <is>
          <t>porcentaje del cupo</t>
        </is>
      </c>
      <c r="H95" t="inlineStr">
        <is>
          <t>Global</t>
        </is>
      </c>
      <c r="I95" s="23" t="n">
        <v>46266</v>
      </c>
      <c r="J95" s="23" t="n">
        <v>46280</v>
      </c>
      <c r="K95" t="inlineStr">
        <is>
          <t>Simulacion del plan del horizonte con el pronostico central</t>
        </is>
      </c>
      <c r="L95" t="inlineStr">
        <is>
          <t>Promedio de saldo antes de la provision sobre el cupo operativo, en 1349 provisiones del horizonte, con el saldo que proyecta el pronostico central. La medida contra el real es la del backtest de la politica.</t>
        </is>
      </c>
    </row>
    <row r="96">
      <c r="A96" t="inlineStr">
        <is>
          <t>PRAGMA</t>
        </is>
      </c>
      <c r="B96" t="inlineStr">
        <is>
          <t>M1</t>
        </is>
      </c>
      <c r="C96" t="inlineStr">
        <is>
          <t>tasa_agotamiento_backtest</t>
        </is>
      </c>
      <c r="D96" t="inlineStr">
        <is>
          <t>operativa</t>
        </is>
      </c>
      <c r="E96" t="inlineStr">
        <is>
          <t>Tasa de agotamiento ATM-dia (backtest de la politica, lectura RN-11)</t>
        </is>
      </c>
      <c r="F96" s="27" t="n">
        <v>0.0337</v>
      </c>
      <c r="G96" t="inlineStr">
        <is>
          <t>porcentaje</t>
        </is>
      </c>
      <c r="H96" t="inlineStr">
        <is>
          <t>Global</t>
        </is>
      </c>
      <c r="I96" s="23" t="n">
        <v>45717</v>
      </c>
      <c r="J96" s="23" t="n">
        <v>46157</v>
      </c>
      <c r="K96" t="inlineStr">
        <is>
          <t>Backtest de la politica: 13 episodios historicos de 15 dias con el saldo real, lead time 0</t>
        </is>
      </c>
      <c r="L96" t="inlineStr">
        <is>
          <t>Cada provision llena hasta el cupo con el saldo real del dia (RN-11). IC 95 %: 2,0-5,3 %. Menos agotados que la regla anterior en los 13 episodios.</t>
        </is>
      </c>
    </row>
    <row r="97">
      <c r="A97" t="inlineStr">
        <is>
          <t>PRAGMA</t>
        </is>
      </c>
      <c r="B97" t="inlineStr">
        <is>
          <t>M1</t>
        </is>
      </c>
      <c r="C97" t="inlineStr">
        <is>
          <t>tasa_agotamiento_montos_publicados</t>
        </is>
      </c>
      <c r="D97" t="inlineStr">
        <is>
          <t>operativa</t>
        </is>
      </c>
      <c r="E97" t="inlineStr">
        <is>
          <t>Tasa de agotamiento ATM-dia (backtest, montos publicados sin ajustar)</t>
        </is>
      </c>
      <c r="F97" s="27" t="n">
        <v>0.066</v>
      </c>
      <c r="G97" t="inlineStr">
        <is>
          <t>porcentaje</t>
        </is>
      </c>
      <c r="H97" t="inlineStr">
        <is>
          <t>Global</t>
        </is>
      </c>
      <c r="I97" s="23" t="n">
        <v>45717</v>
      </c>
      <c r="J97" s="23" t="n">
        <v>46157</v>
      </c>
      <c r="K97" t="inlineStr">
        <is>
          <t>Backtest de la politica: 13 episodios historicos de 15 dias con el saldo real, lead time 0</t>
        </is>
      </c>
      <c r="L97" t="inlineStr">
        <is>
          <t>Sensibilidad: se entrega el monto publicado (cupo menos saldo proyectado) aunque el saldo real difiera.</t>
        </is>
      </c>
    </row>
    <row r="98">
      <c r="A98" t="inlineStr">
        <is>
          <t>PRAGMA</t>
        </is>
      </c>
      <c r="B98" t="inlineStr">
        <is>
          <t>M1</t>
        </is>
      </c>
      <c r="C98" t="inlineStr">
        <is>
          <t>tasa_agotamiento_regla_anterior</t>
        </is>
      </c>
      <c r="D98" t="inlineStr">
        <is>
          <t>operativa</t>
        </is>
      </c>
      <c r="E98" t="inlineStr">
        <is>
          <t>Tasa de agotamiento ATM-dia (backtest, regla vigente del banco)</t>
        </is>
      </c>
      <c r="F98" s="27" t="n">
        <v>0.1289</v>
      </c>
      <c r="G98" t="inlineStr">
        <is>
          <t>porcentaje</t>
        </is>
      </c>
      <c r="H98" t="inlineStr">
        <is>
          <t>Global</t>
        </is>
      </c>
      <c r="I98" s="23" t="n">
        <v>45717</v>
      </c>
      <c r="J98" s="23" t="n">
        <v>46157</v>
      </c>
      <c r="K98" t="inlineStr">
        <is>
          <t>Backtest de la politica: 13 episodios historicos de 15 dias con el saldo real, lead time 0</t>
        </is>
      </c>
      <c r="L98" t="inlineStr">
        <is>
          <t>Regla vigente en los mismos 13 episodios. IC 95 %: 10,2-15,8 %. Diferencia pareada contra la politica: -9,5 puntos (IC 95 %: -10,7 a -8,1).</t>
        </is>
      </c>
    </row>
    <row r="99">
      <c r="A99" t="inlineStr">
        <is>
          <t>PRAGMA</t>
        </is>
      </c>
      <c r="B99" t="inlineStr">
        <is>
          <t>M1</t>
        </is>
      </c>
      <c r="C99" t="inlineStr">
        <is>
          <t>remanente_backtest</t>
        </is>
      </c>
      <c r="D99" t="inlineStr">
        <is>
          <t>operativa</t>
        </is>
      </c>
      <c r="E99" t="inlineStr">
        <is>
          <t>Promedio % saldo antes de provision (backtest de la politica)</t>
        </is>
      </c>
      <c r="F99" s="27" t="n">
        <v>0.2456</v>
      </c>
      <c r="G99" t="inlineStr">
        <is>
          <t>porcentaje del cupo</t>
        </is>
      </c>
      <c r="H99" t="inlineStr">
        <is>
          <t>Global</t>
        </is>
      </c>
      <c r="I99" s="23" t="n">
        <v>45717</v>
      </c>
      <c r="J99" s="23" t="n">
        <v>46157</v>
      </c>
      <c r="K99" t="inlineStr">
        <is>
          <t>Backtest de la politica: 13 episodios historicos de 15 dias con el saldo real, lead time 0</t>
        </is>
      </c>
      <c r="L99" t="inlineStr">
        <is>
          <t>IC 95 %: 20,5-29,2 %; meta de RN-12: 22 %. El exceso lo concentran dic-2025 (43,6 %) y abr-2026 (33 %).</t>
        </is>
      </c>
    </row>
    <row r="100">
      <c r="A100" t="inlineStr">
        <is>
          <t>PRAGMA</t>
        </is>
      </c>
      <c r="B100" t="inlineStr">
        <is>
          <t>M1</t>
        </is>
      </c>
      <c r="C100" t="inlineStr">
        <is>
          <t>costo_total</t>
        </is>
      </c>
      <c r="D100" t="inlineStr">
        <is>
          <t>costo</t>
        </is>
      </c>
      <c r="E100" t="inlineStr">
        <is>
          <t>Costo total estimado del plan</t>
        </is>
      </c>
      <c r="F100" s="26" t="n">
        <v>158509198.089929</v>
      </c>
      <c r="G100" t="inlineStr">
        <is>
          <t>COP</t>
        </is>
      </c>
      <c r="H100" t="inlineStr">
        <is>
          <t>Global</t>
        </is>
      </c>
      <c r="I100" s="23" t="n">
        <v>46266</v>
      </c>
      <c r="J100" s="23" t="n">
        <v>46280</v>
      </c>
      <c r="K100" t="inlineStr">
        <is>
          <t>Simulacion del plan del horizonte con el pronostico central</t>
        </is>
      </c>
      <c r="L100" t="inlineStr">
        <is>
          <t>Suma de costo_estimado_cop del plan (Anexo E). 263 acciones sin tarifa cuentan 0.</t>
        </is>
      </c>
    </row>
    <row r="101">
      <c r="A101" t="inlineStr">
        <is>
          <t>PRAGMA</t>
        </is>
      </c>
      <c r="B101" t="inlineStr">
        <is>
          <t>M2</t>
        </is>
      </c>
      <c r="C101" t="inlineStr">
        <is>
          <t>costo_total</t>
        </is>
      </c>
      <c r="D101" t="inlineStr">
        <is>
          <t>costo</t>
        </is>
      </c>
      <c r="E101" t="inlineStr">
        <is>
          <t>Costo total estimado del plan</t>
        </is>
      </c>
      <c r="F101" s="26" t="n">
        <v>71404981</v>
      </c>
      <c r="G101" t="inlineStr">
        <is>
          <t>COP</t>
        </is>
      </c>
      <c r="H101" t="inlineStr">
        <is>
          <t>Global</t>
        </is>
      </c>
      <c r="I101" s="23" t="n">
        <v>46266</v>
      </c>
      <c r="J101" s="23" t="n">
        <v>46280</v>
      </c>
      <c r="K101" t="inlineStr">
        <is>
          <t>Simulacion del plan del horizonte con el pronostico central</t>
        </is>
      </c>
      <c r="L101" t="inlineStr">
        <is>
          <t>Suma de costo_estimado_cop del plan (Anexo E). 308 acciones sin tarifa cuentan 0.</t>
        </is>
      </c>
    </row>
    <row r="102">
      <c r="A102" t="inlineStr">
        <is>
          <t>PRAGMA</t>
        </is>
      </c>
      <c r="B102" t="inlineStr">
        <is>
          <t>M3</t>
        </is>
      </c>
      <c r="C102" t="inlineStr">
        <is>
          <t>costo_total</t>
        </is>
      </c>
      <c r="D102" t="inlineStr">
        <is>
          <t>costo</t>
        </is>
      </c>
      <c r="E102" t="inlineStr">
        <is>
          <t>Costo total estimado del plan</t>
        </is>
      </c>
      <c r="F102" s="26" t="n">
        <v>147650687.643868</v>
      </c>
      <c r="G102" t="inlineStr">
        <is>
          <t>COP</t>
        </is>
      </c>
      <c r="H102" t="inlineStr">
        <is>
          <t>Global</t>
        </is>
      </c>
      <c r="I102" s="23" t="n">
        <v>46266</v>
      </c>
      <c r="J102" s="23" t="n">
        <v>46280</v>
      </c>
      <c r="K102" t="inlineStr">
        <is>
          <t>Simulacion del plan del horizonte con el pronostico central</t>
        </is>
      </c>
      <c r="L102" t="inlineStr">
        <is>
          <t>Suma de costo_estimado_cop del plan (Anexo E). 0 acciones sin tarifa cuentan 0.</t>
        </is>
      </c>
    </row>
    <row r="103">
      <c r="A103" t="inlineStr">
        <is>
          <t>PRAGMA</t>
        </is>
      </c>
      <c r="B103" t="inlineStr">
        <is>
          <t>M6</t>
        </is>
      </c>
      <c r="C103" t="inlineStr">
        <is>
          <t>costo_total</t>
        </is>
      </c>
      <c r="D103" t="inlineStr">
        <is>
          <t>costo</t>
        </is>
      </c>
      <c r="E103" t="inlineStr">
        <is>
          <t>Costo total estimado del plan</t>
        </is>
      </c>
      <c r="F103" s="26" t="n">
        <v>0</v>
      </c>
      <c r="G103" t="inlineStr">
        <is>
          <t>COP</t>
        </is>
      </c>
      <c r="H103" t="inlineStr">
        <is>
          <t>Global</t>
        </is>
      </c>
      <c r="I103" s="23" t="n">
        <v>46266</v>
      </c>
      <c r="J103" s="23" t="n">
        <v>46280</v>
      </c>
      <c r="K103" t="inlineStr">
        <is>
          <t>Simulacion del plan del horizonte con el pronostico central</t>
        </is>
      </c>
      <c r="L103" t="inlineStr">
        <is>
          <t>Suma de costo_estimado_cop del plan (Anexo E). 0 acciones sin tarifa cuentan 0.</t>
        </is>
      </c>
    </row>
    <row r="104">
      <c r="A104" t="inlineStr">
        <is>
          <t>PRAGMA</t>
        </is>
      </c>
      <c r="B104" t="inlineStr">
        <is>
          <t>M6</t>
        </is>
      </c>
      <c r="C104" t="inlineStr">
        <is>
          <t>costo_almacenamiento</t>
        </is>
      </c>
      <c r="D104" t="inlineStr">
        <is>
          <t>costo</t>
        </is>
      </c>
      <c r="E104" t="inlineStr">
        <is>
          <t>Costo de almacenamiento del saldo de los fondos en el horizonte</t>
        </is>
      </c>
      <c r="F104" s="26" t="n">
        <v>43368280.55923127</v>
      </c>
      <c r="G104" t="inlineStr">
        <is>
          <t>COP</t>
        </is>
      </c>
      <c r="H104" t="inlineStr">
        <is>
          <t>Global</t>
        </is>
      </c>
      <c r="I104" s="23" t="n">
        <v>46266</v>
      </c>
      <c r="J104" s="23" t="n">
        <v>46280</v>
      </c>
      <c r="K104" t="inlineStr">
        <is>
          <t>Simulacion del plan del horizonte con el pronostico central</t>
        </is>
      </c>
      <c r="L104" t="inlineStr">
        <is>
          <t>Saldo de cierre de cada fondo-denominacion-dia por la tarifa de almacenamiento del Anexo E de su transportadora (RN-78, RN-79). No es una accion: no aparece en costo_estimado_cop de la hoja 05 ni se suma al costo del plan; entra como criterio al comparar conservar contra actuar.</t>
        </is>
      </c>
    </row>
    <row r="105">
      <c r="A105" t="inlineStr">
        <is>
          <t>PRAGMA</t>
        </is>
      </c>
      <c r="B105" t="inlineStr">
        <is>
          <t>M6</t>
        </is>
      </c>
      <c r="C105" t="inlineStr">
        <is>
          <t>consistencia_balance</t>
        </is>
      </c>
      <c r="D105" t="inlineStr">
        <is>
          <t>operativa</t>
        </is>
      </c>
      <c r="E105" t="inlineStr">
        <is>
          <t>Consistencia del balance de fondos</t>
        </is>
      </c>
      <c r="F105" s="27" t="n">
        <v>1</v>
      </c>
      <c r="G105" t="inlineStr">
        <is>
          <t>fraccion</t>
        </is>
      </c>
      <c r="H105" t="inlineStr">
        <is>
          <t>Global</t>
        </is>
      </c>
      <c r="I105" s="23" t="n">
        <v>46266</v>
      </c>
      <c r="J105" s="23" t="n">
        <v>46280</v>
      </c>
      <c r="K105" t="inlineStr">
        <is>
          <t>Simulacion del plan del horizonte con el pronostico central</t>
        </is>
      </c>
      <c r="L105" t="inlineStr">
        <is>
          <t>Fraccion de filas fondo-denominacion-dia que cumplen la identidad de RN-71; diferencia maxima 0 COP.</t>
        </is>
      </c>
    </row>
    <row r="106">
      <c r="A106" t="inlineStr">
        <is>
          <t>PRAGMA</t>
        </is>
      </c>
      <c r="B106" t="inlineStr">
        <is>
          <t>M6</t>
        </is>
      </c>
      <c r="C106" t="inlineStr">
        <is>
          <t>completitud_saldo_inicial</t>
        </is>
      </c>
      <c r="D106" t="inlineStr">
        <is>
          <t>operativa</t>
        </is>
      </c>
      <c r="E106" t="inlineStr">
        <is>
          <t>completitud_saldo_inicial</t>
        </is>
      </c>
      <c r="F106" s="27" t="n">
        <v>1</v>
      </c>
      <c r="G106" t="inlineStr">
        <is>
          <t>porcentaje</t>
        </is>
      </c>
      <c r="H106" t="inlineStr">
        <is>
          <t>Global</t>
        </is>
      </c>
      <c r="I106" s="23" t="n">
        <v>46251</v>
      </c>
      <c r="J106" s="23" t="n">
        <v>46265</v>
      </c>
      <c r="K106" t="inlineStr">
        <is>
          <t>Backtesting temporal, ventanas de 15 dias</t>
        </is>
      </c>
      <c r="L106" t="inlineStr">
        <is>
          <t>Cobertura del saldo inicial M6: 36 combinaciones fondo x denominacion con saldo &gt; 0, 0 a 0 por falta de registro &lt;= corte (SUP-07). NO es un WAPE: comparar el saldo inicial contra su propia fuente daria 0 tautologico (SUP-11).</t>
        </is>
      </c>
    </row>
    <row r="107">
      <c r="A107" t="inlineStr">
        <is>
          <t>PRAGMA</t>
        </is>
      </c>
      <c r="B107" t="inlineStr">
        <is>
          <t>M6</t>
        </is>
      </c>
      <c r="C107" t="inlineStr">
        <is>
          <t>cobertura_recomendaciones</t>
        </is>
      </c>
      <c r="D107" t="inlineStr">
        <is>
          <t>operativa</t>
        </is>
      </c>
      <c r="E107" t="inlineStr">
        <is>
          <t>cobertura_recomendaciones</t>
        </is>
      </c>
      <c r="F107" s="27" t="n">
        <v>1</v>
      </c>
      <c r="G107" t="inlineStr">
        <is>
          <t>porcentaje</t>
        </is>
      </c>
      <c r="H107" t="inlineStr">
        <is>
          <t>Global</t>
        </is>
      </c>
      <c r="I107" s="23" t="n">
        <v>46251</v>
      </c>
      <c r="J107" s="23" t="n">
        <v>46265</v>
      </c>
      <c r="K107" t="inlineStr">
        <is>
          <t>Backtesting temporal, ventanas de 15 dias</t>
        </is>
      </c>
      <c r="L107" t="inlineStr">
        <is>
          <t>Necesidades de M6 (faltante o excedente por fondo, denominacion y dia): 293; resueltas por una accion 269, conservadas por costo de almacenamiento menor 24, cubiertas solo en parte 0, sin alternativa viable 0. WAPE no aplica (SUP-11).</t>
        </is>
      </c>
    </row>
  </sheetData>
  <autoFilter ref="A2:L20">
    <filterColumn colId="1" hiddenButton="0" showButton="1">
      <filters>
        <filter val="M6"/>
      </filters>
    </filterColumn>
  </autoFilter>
  <mergeCells count="1">
    <mergeCell ref="A1:L1"/>
  </mergeCells>
  <dataValidations count="1">
    <dataValidation sqref="D3:D1017" showDropDown="0" showInputMessage="0" showErrorMessage="0" allowBlank="1" type="list">
      <formula1>"predictiva,operativa,costo"</formula1>
      <formula2>0</formula2>
    </dataValidation>
  </dataValidations>
  <pageMargins left="0.75" right="0.75" top="1" bottom="1" header="0.511811023622047" footer="0.511811023622047"/>
  <pageSetup orientation="portrait" fitToHeight="0" horizontalDpi="300" verticalDpi="300"/>
</worksheet>
</file>

<file path=xl/worksheets/sheet4.xml><?xml version="1.0" encoding="utf-8"?>
<worksheet xmlns="http://schemas.openxmlformats.org/spreadsheetml/2006/main">
  <sheetPr>
    <tabColor rgb="FFFDDA24"/>
    <outlinePr summaryBelow="1" summaryRight="1"/>
    <pageSetUpPr fitToPage="1"/>
  </sheetPr>
  <dimension ref="A1:M10"/>
  <sheetViews>
    <sheetView showGridLines="0" topLeftCell="D1" zoomScaleNormal="100" workbookViewId="0">
      <pane ySplit="2" topLeftCell="A3" activePane="bottomLeft" state="frozen"/>
      <selection pane="bottomLeft" activeCell="D10" sqref="D10"/>
    </sheetView>
  </sheetViews>
  <sheetFormatPr baseColWidth="10" defaultColWidth="8.7265625" defaultRowHeight="15" customHeight="1"/>
  <cols>
    <col width="17" customWidth="1" min="1" max="1"/>
    <col width="8" customWidth="1" min="2" max="2"/>
    <col width="22" customWidth="1" min="3" max="3"/>
    <col width="38" customWidth="1" min="4" max="4"/>
    <col width="24" customWidth="1" min="5" max="5"/>
    <col width="40" customWidth="1" min="6" max="6"/>
    <col width="30" customWidth="1" min="7" max="7"/>
    <col width="22" customWidth="1" min="8" max="8"/>
    <col width="26.54296875" bestFit="1" customWidth="1" min="9" max="9"/>
    <col width="42" customWidth="1" min="10" max="10"/>
    <col width="48" customWidth="1" min="11" max="11"/>
    <col width="22" customWidth="1" min="12" max="12"/>
    <col width="38" customWidth="1" min="13" max="13"/>
  </cols>
  <sheetData>
    <row r="1" ht="26" customHeight="1">
      <c r="A1" s="21" t="inlineStr">
        <is>
          <t>Hoja 04 – Descripción de la solución</t>
        </is>
      </c>
    </row>
    <row r="2" ht="39.75" customHeight="1" thickBot="1">
      <c r="A2" s="1" t="inlineStr">
        <is>
          <t>id_proveedor</t>
        </is>
      </c>
      <c r="B2" s="1" t="inlineStr">
        <is>
          <t>modelo</t>
        </is>
      </c>
      <c r="C2" s="1" t="inlineStr">
        <is>
          <t>variable_objetivo_evaluada</t>
        </is>
      </c>
      <c r="D2" s="1" t="inlineStr">
        <is>
          <t>definicion_variable_objetivo</t>
        </is>
      </c>
      <c r="E2" s="1" t="inlineStr">
        <is>
          <t>algoritmo_o_enfoque</t>
        </is>
      </c>
      <c r="F2" s="1" t="inlineStr">
        <is>
          <t>variables_utilizadas</t>
        </is>
      </c>
      <c r="G2" s="1" t="inlineStr">
        <is>
          <t>variables_mas_relevantes</t>
        </is>
      </c>
      <c r="H2" s="1" t="inlineStr">
        <is>
          <t>horizonte_prediccion</t>
        </is>
      </c>
      <c r="I2" s="1" t="inlineStr">
        <is>
          <t>metodologia_validacion</t>
        </is>
      </c>
      <c r="J2" s="20" t="inlineStr">
        <is>
          <t>transformacion_a_decision_operativa</t>
        </is>
      </c>
      <c r="K2" s="1" t="inlineStr">
        <is>
          <t>limitaciones_identificadas</t>
        </is>
      </c>
      <c r="L2" s="1" t="inlineStr">
        <is>
          <t>dependencias_externas</t>
        </is>
      </c>
      <c r="M2" s="1" t="inlineStr">
        <is>
          <t>supuestos</t>
        </is>
      </c>
    </row>
    <row r="3" ht="75" customHeight="1" thickTop="1">
      <c r="A3" t="inlineStr">
        <is>
          <t>PRAGMA</t>
        </is>
      </c>
      <c r="B3" t="inlineStr">
        <is>
          <t>M1</t>
        </is>
      </c>
      <c r="C3" t="inlineStr">
        <is>
          <t>pagado</t>
        </is>
      </c>
      <c r="D3" t="inlineStr">
        <is>
          <t>Efectivo entregado por el ATM dispensador en el dia (cdgtrn 220, 420, 520).</t>
        </is>
      </c>
      <c r="E3" t="inlineStr">
        <is>
          <t>Boosting de gradiente global con LightGBM (un solo modelo para los 435 cajeros), directo a 15 dias con el horizonte como variable y perdida Tweedie (para montos no negativos con ceros). Predice la razon entre el valor del dia y el nivel reciente del cajero. Elegido por origen rodante (16 cortes) contra el combinado anterior con una regla declarada antes de medir (R1-R5), confirmado en cortes reservados y repetido con los datos corregidos y el maestro "as of" (PARTE 5); sin afinar sobre los cortes de reporte.</t>
        </is>
      </c>
      <c r="F3" t="inlineStr">
        <is>
          <t>Solo datos hasta el corte. Nivel y tendencia del cajero; dia de la semana y su perfil; dia del mes y dias a/desde el pago; festivos de Colombia y calendario detallado (pago 15 y fin de mes, dias despues del pago, puentes, vispera y dia siguiente habiles, primas, temporadas, ferias); rezagos del mismo dia de la semana, anual y medias exponenciales; perfil propio en dias de pago y festivos; intermitencia (dias sin dato, ceros); contexto del maestro de cajeros al corte de cada origen (cupo, administrador, dispositivo, ciudad; ultimo snapshot &lt;= origen, nunca uno posterior) y nivel de la red de su ciudad.</t>
        </is>
      </c>
      <c r="G3" t="inlineStr">
        <is>
          <t>Medido en el backtest, por grupo de variables: puntos de WAPE que se pierden al barajar el grupo. dia del mes y pago (6.2); dia de semana (4.9); festivos (1.2). Mide el modelo publicado.</t>
        </is>
      </c>
      <c r="H3" t="inlineStr">
        <is>
          <t>1 a 15 dias desde el corte (1-15 sep 2026)</t>
        </is>
      </c>
      <c r="I3" t="inlineStr">
        <is>
          <t>Backtesting temporal, ventanas de 15 dias</t>
        </is>
      </c>
      <c r="J3" t="inlineStr">
        <is>
          <t>Politica vigente (umbral_pronostico_a_cupo): se pide provision el dia en que el saldo proyectado con el pronostico baja del 8% del cupo operativo, con margen de 0% sobre el pronostico, y se llena al cupo en la fecha indicada (RN-11, lead time 0 dias, RN-34). Los montos fijos se miden solo como sensibilidad, no se publican.</t>
        </is>
      </c>
      <c r="K3" t="inlineStr">
        <is>
          <t>El objetivo es lo dispensado: cuando el cajero se agota la demanda queda censurada (SUP-34). Cajeros sin snapshot del maestro anterior al origen quedan sin variables de contexto (NaN, sin respaldo con datos futuros). Entidades con menos de 90 dias de historia son el peor segmento. Holdout 1-15 sep con 0 observaciones reales: la validacion es backtest interno (SUP-02). Error de pagado en la ventana de backtest: WAPE 0.249, sesgo -6.9%, 5518 observaciones. Dias del Anexo C sin dato en toda la red: 27 (7 bloques: 2026-04-06 a 2026-04-17; 2026-06-10; 2026-06-16 a 2026-06-18; 2026-06-20; 2026-06-22 a 2026-06-25; 2026-06-30; 2026-07-06 a 2026-07-10). Quedan nulos, nunca en cero: no entran a las metricas (SUP-02) y los rezagos y medias moviles se calculan solo con los dias con dato. El pipeline publicado no imputa; si la imputacion se adopta, vive en los modelos registrados del laboratorio, solo para entrenar y nunca para evaluar (SUP-36). El bloque mas largo dura 12 dias; el efecto de ese bloque sobre el pronostico no se midio por separado. Los 12 cajeros sin dato reciente en la red (1050, 1120, 1121, 1122, 1480, 2122, 4858, 4900, 5778, 7901, 8383, 94) se publican con el tratamiento que declara el informe de silenciosos: cero por RN-07 (desinstalado) | cero por RN-08 (sin dato mientras la red opera) El entrenamiento ignora la ausencia de registro (NaN) porque es una caida imposible de anticipar; entrenar con esos ceros empeoro el WAPE. El banco puntua con RN-08 (ausencia con la red operando = 0 COP), asi que el error esperado es la lectura RN-08. WAPE de pagado: 0.2490 en la lectura de entrenamiento, 0.3145 en la lectura RN-08. Decisiones de Pragma: lead time 0 dia(s) (RN-11: la provision entra al inicio del dia objetivo; el banco confirmo que no fija otro, y 1 dia se mide como sensibilidad); sin tope de visitas (RN-15), cada provision justificada por RN-34; RN-08 aplicada al pronostico de los equipos silenciosos (ver su tratamiento); M5 se publica sin corregir y su total lo corrige M6 con factor movil acotado. Plan de 15 dias fijo, medido como lo pide el pliego (13 episodios historicos, lead time 0): 3,4 % de dias agotados (IC 95 % por remuestreo de episodios: 2,0-5,3 %) contra 12,9 % de la regla anterior; menos agotados en los 13 episodios. Remanente promedio antes de provision de 24,6 % del cupo (IC 95 %: 20,5-29,2 %), sobre el 22 % de RN-12 aunque el intervalo lo incluye (sobre su propio pronostico, el plan proyecta 22,3 % en esos episodios). El exceso lo concentran dic-2025 (43,6 %) y abr-2026 (33 %); 7 de los 13 episodios quedan en 22,9 % o menos. Subir el margen baja los agotados pero sube el remanente (margen 25 %: 30,9 %): las dos metas de RN-12 se oponen, por eso se reporta la frontera. El 3,4 % supone que cada provision llena hasta el cupo con el saldo real del dia; si se entregan los montos publicados sin ajustarlos (cupo menos saldo proyectado, RN-11), los dias agotados suben a 6,6 %. nivel_riesgo de la hoja 02 es el riesgo residual despues de la accion: bandas de ocupacion sobre el saldo despues de actuar (alto bajo 8 % del cupo o sobre el cupo, medio bajo 16 %, bajo el resto). Como la accion lleva el saldo al rango operativo, casi todas las filas quedan en bajo; el riesgo antes de actuar esta en porcentaje_ocupacion_antes y en las alertas.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El objetivo es lo dispensado: cuando el cajero se agota la demanda real queda censurada y no se reconstruye, porque no hay saldo diario observado; el pronostico puede quedar bajo la demanda en cajeros que se agotan seguido (SUP-34).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3" t="inlineStr">
        <is>
          <t>Calendario oficial de Colombia (libreria holidays).</t>
        </is>
      </c>
      <c r="M3" t="inlineStr">
        <is>
          <t>SUP-01, SUP-02, SUP-03, SUP-04, SUP-06, SUP-16, SUP-19. ALX: SUP-24, SUP-25, SUP-26, SUP-27, SUP-28, SUP-30, SUP-31, SUP-33, SUP-34, SUP-35, SUP-36, SUP-38, SUP-39, SUP-40.</t>
        </is>
      </c>
    </row>
    <row r="4" ht="75" customHeight="1">
      <c r="A4" t="inlineStr">
        <is>
          <t>PRAGMA</t>
        </is>
      </c>
      <c r="B4" t="inlineStr">
        <is>
          <t>M2</t>
        </is>
      </c>
      <c r="C4" t="inlineStr">
        <is>
          <t>pagado</t>
        </is>
      </c>
      <c r="D4" t="inlineStr">
        <is>
          <t>Efectivo entregado por el multifuncional en el dia.</t>
        </is>
      </c>
      <c r="E4" t="inlineStr">
        <is>
          <t>Promedio ponderado con pesos fijos de cuatro pronosticos: boosting global LightGBM con perdida absoluta (46 %), CatBoost global con la entidad como categoria (41 %), Prophet por serie con regresores de pago y festivos (11 %) y el boosting anterior con calendario (2 %). Los dos ML usan el contexto del maestro "as of". Los pesos minimizan el WAPE de 16 cortes de backtest y se congelaron antes de los cortes reservados. Elegido con una regla declarada antes de medir y repetido con los datos corregidos y el maestro "as of" (PARTE 5).</t>
        </is>
      </c>
      <c r="F4" t="inlineStr">
        <is>
          <t>Solo datos hasta el corte. Nivel y tendencia del cajero; dia de la semana y su perfil; dia del mes y dias a/desde el pago; festivos de Colombia y calendario detallado; rezagos del mismo dia de la semana, anual y medias exponenciales; perfil propio en dias de pago y festivos; intermitencia; contexto del maestro al corte de cada origen (cupo, administrador, ciudad; ultimo snapshot &lt;= origen) y el cash-in del mismo cajero hasta el origen.</t>
        </is>
      </c>
      <c r="G4" t="inlineStr">
        <is>
          <t>Medido en el backtest, por grupo de variables: puntos de WAPE que se pierden al barajar el grupo. dia de semana (4.9); dia del mes y pago (2.3); festivos (0.8). Mide el componente de boosting del promedio publicado.</t>
        </is>
      </c>
      <c r="H4" t="inlineStr">
        <is>
          <t>1 a 15 dias desde el corte (1-15 sep 2026)</t>
        </is>
      </c>
      <c r="I4" t="inlineStr">
        <is>
          <t>Backtesting temporal, ventanas de 15 dias</t>
        </is>
      </c>
      <c r="J4" t="inlineStr">
        <is>
          <t>Saldo neto con cash_in (RN-19, RN-30); provision hasta el cupo el dia en que el saldo proyectado bajaria del 8% (RN-19A, RN-21).</t>
        </is>
      </c>
      <c r="K4" t="inlineStr">
        <is>
          <t>Demanda censurada en cajeros que se agotan (SUP-34). Los pesos se ajustaron con cortes posteriores al reservado de ago-2025. La ganancia frente al combinado anterior es de alrededor de 2 puntos de WAPE en seleccion y casi nula en el chequeo 17-31 ago. Holdout 1-15 sep con 0 observaciones reales: la validacion es backtest interno (SUP-02). Error de pagado en la ventana de backtest: WAPE 0.364, sesgo -11.2%, 655 observaciones. Dias del Anexo C sin dato en toda la red: 27 (7 bloques: 2026-04-06 a 2026-04-17; 2026-06-10; 2026-06-16 a 2026-06-18; 2026-06-20; 2026-06-22 a 2026-06-25; 2026-06-30; 2026-07-06 a 2026-07-10). Quedan nulos, nunca en cero: no entran a las metricas (SUP-02) y los rezagos y medias moviles se calculan solo con los dias con dato. El pipeline publicado no imputa; si la imputacion se adopta, vive en los modelos registrados del laboratorio, solo para entrenar y nunca para evaluar (SUP-36). El bloque mas largo dura 12 dias; el efecto de ese bloque sobre el pronostico no se midio por separado. Los 3 multifuncionales sin dato reciente (1481, 5028, 5209) se publican con el tratamiento que declara el informe de silenciosos: cero por RN-08 (sin dato mientras la red opera) El entrenamiento ignora la ausencia de registro (NaN) porque es una caida imposible de anticipar; entrenar con esos ceros empeoro el WAPE. El banco puntua con RN-08 (ausencia con la red operando = 0 COP), asi que el error esperado es la lectura RN-08. WAPE de pagado: 0.3642 en la lectura de entrenamiento, 0.4488 en la lectura RN-08. nivel_riesgo de la hoja 02 es el riesgo residual despues de la accion: bandas de ocupacion sobre el saldo despues de actuar (alto bajo 8 % del cupo o sobre el cupo, medio bajo 16 %, bajo el resto). Como la accion lleva el saldo al rango operativo, casi todas las filas quedan en bajo; el riesgo antes de actuar esta en porcentaje_ocupacion_antes y en las alertas.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El objetivo es lo dispensado: cuando el cajero se agota la demanda real queda censurada y no se reconstruye, porque no hay saldo diario observado; el pronostico puede quedar bajo la demanda en cajeros que se agotan seguido (SUP-34).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4" t="inlineStr">
        <is>
          <t>Calendario oficial de Colombia.</t>
        </is>
      </c>
      <c r="M4" t="inlineStr">
        <is>
          <t>SUP-01, SUP-02, SUP-03, SUP-06. ALX: SUP-24, SUP-25, SUP-26, SUP-27, SUP-28, SUP-30, SUP-31, SUP-32, SUP-33, SUP-34, SUP-35, SUP-36, SUP-38, SUP-39, SUP-40.</t>
        </is>
      </c>
    </row>
    <row r="5" ht="75" customHeight="1">
      <c r="A5" t="inlineStr">
        <is>
          <t>PRAGMA</t>
        </is>
      </c>
      <c r="B5" t="inlineStr">
        <is>
          <t>M2</t>
        </is>
      </c>
      <c r="C5" t="inlineStr">
        <is>
          <t>cash_in</t>
        </is>
      </c>
      <c r="D5" t="inlineStr">
        <is>
          <t>Efectivo recibido (depositos) por el multifuncional en el dia.</t>
        </is>
      </c>
      <c r="E5" t="inlineStr">
        <is>
          <t>Promedio ponderado con pesos fijos de cuatro pronosticos: boosting global LightGBM con perdida absoluta (52 %), CatBoost global con la entidad como categoria (31 %), Prophet por serie con regresores de pago y festivos (14 %) y un LightGBM afinado (3 %). Los pesos minimizan el WAPE de 16 cortes de backtest y se congelaron antes de los cortes reservados. Elegido con una regla declarada antes de medir y confirmado en cortes reservados.</t>
        </is>
      </c>
      <c r="F5" t="inlineStr">
        <is>
          <t>Solo datos hasta el corte. Nivel y tendencia de la entidad; dia de la semana y su perfil; dia del mes y dias a/desde el pago; festivos de Colombia y calendario detallado (puentes, vispera y dia siguiente habiles, temporadas); rezagos del mismo dia de la semana y medias exponenciales; perfil propio de la entidad en dias de pago y festivos; intermitencia (dias sin dato, ceros); horizonte.</t>
        </is>
      </c>
      <c r="G5" t="inlineStr">
        <is>
          <t>Medido en el backtest, por grupo de variables: puntos de WAPE que se pierden al barajar el grupo. dia de semana (5.5); festivos (2.1); dia del mes y pago (0.4). Mide el componente de boosting del promedio publicado.</t>
        </is>
      </c>
      <c r="H5" t="inlineStr">
        <is>
          <t>1 a 15 dias desde el corte (1-15 sep 2026)</t>
        </is>
      </c>
      <c r="I5" t="inlineStr">
        <is>
          <t>Backtesting temporal, ventanas de 15 dias</t>
        </is>
      </c>
      <c r="J5" t="inlineStr">
        <is>
          <t>Saldo neto (RN-30): el cash_in se recicla; recoleccion al cierre de lo que pase del cupo (RN-22, RN-35).</t>
        </is>
      </c>
      <c r="K5" t="inlineStr">
        <is>
          <t>Los depositos casi no responden al dia de pago: la ganancia frente al combinado anterior es chica (alrededor de 1,3 puntos de WAPE). Los pesos se ajustaron con cortes posteriores al reservado de ago-2025. Holdout 1-15 sep con 0 observaciones reales: la validacion es backtest interno (SUP-02). Error de cash_in en la ventana de backtest: WAPE 0.383, sesgo -8.3%, 643 observaciones. Dias del Anexo C sin dato en toda la red: 27 (7 bloques: 2026-04-06 a 2026-04-17; 2026-06-10; 2026-06-16 a 2026-06-18; 2026-06-20; 2026-06-22 a 2026-06-25; 2026-06-30; 2026-07-06 a 2026-07-10). Quedan nulos, nunca en cero: no entran a las metricas (SUP-02) y los rezagos y medias moviles se calculan solo con los dias con dato. El pipeline publicado no imputa; si la imputacion se adopta, vive en los modelos registrados del laboratorio, solo para entrenar y nunca para evaluar (SUP-36). El bloque mas largo dura 12 dias; el efecto de ese bloque sobre el pronostico no se midio por separado. Los 3 multifuncionales sin dato reciente (1481, 5028, 5209) se publican con el tratamiento que declara el informe de silenciosos: cero por RN-08 (sin dato mientras la red opera) El entrenamiento ignora la ausencia de registro (NaN) porque es una caida imposible de anticipar; entrenar con esos ceros empeoro el WAPE. El banco puntua con RN-08 (ausencia con la red operando = 0 COP), asi que el error esperado es la lectura RN-08. WAPE de cash_in: 0.3832 en la lectura de entrenamiento, 0.4814 en la lectura RN-08. nivel_riesgo de la hoja 02 es el riesgo residual despues de la accion: bandas de ocupacion sobre el saldo despues de actuar (alto bajo 8 % del cupo o sobre el cupo, medio bajo 16 %, bajo el resto). Como la accion lleva el saldo al rango operativo, casi todas las filas quedan en bajo; el riesgo antes de actuar esta en porcentaje_ocupacion_antes y en las alertas.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5" t="inlineStr">
        <is>
          <t>Calendario oficial de Colombia.</t>
        </is>
      </c>
      <c r="M5" t="inlineStr">
        <is>
          <t>SUP-01, SUP-02, SUP-03, SUP-06. ALX: SUP-24, SUP-25, SUP-26, SUP-27, SUP-28, SUP-30, SUP-31, SUP-32, SUP-33, SUP-35, SUP-36, SUP-38, SUP-39, SUP-40.</t>
        </is>
      </c>
    </row>
    <row r="6" ht="75" customHeight="1">
      <c r="A6" t="inlineStr">
        <is>
          <t>PRAGMA</t>
        </is>
      </c>
      <c r="B6" t="inlineStr">
        <is>
          <t>M3</t>
        </is>
      </c>
      <c r="C6" t="inlineStr">
        <is>
          <t>entradas</t>
        </is>
      </c>
      <c r="D6" t="inlineStr">
        <is>
          <t>Efectivo que entra a la boveda de la sucursal fisica en el dia.</t>
        </is>
      </c>
      <c r="E6" t="inlineStr">
        <is>
          <t>Promedio ponderado con pesos fijos de tres pronosticos globales: LightGBM con perdida absoluta (75 %), el boosting anterior con calendario (14 %) y ExtraTrees/RandomForest (11 %), todos directos a 15 dias. Los pesos minimizan el WAPE de 16 cortes de backtest y se congelaron antes de los cortes reservados. Elegido con una regla declarada antes de medir y confirmado en cortes reservados.</t>
        </is>
      </c>
      <c r="F6" t="inlineStr">
        <is>
          <t>Solo datos hasta el corte. Nivel y tendencia de la sucursal; dia de la semana y su perfil; dia del mes y dias a/desde el pago; festivos de Colombia y calendario colombiano detallado (pago 15 y fin de mes, dias despues del pago, puentes, vispera y dia siguiente HABILES, primas, temporadas); horizonte.</t>
        </is>
      </c>
      <c r="G6" t="inlineStr">
        <is>
          <t>Medido en el backtest, por grupo de variables: puntos de WAPE que se pierden al barajar el grupo. festivos (14.3); dia de semana (9.5); nivel y tendencia (0.7). Mide el componente de boosting del promedio publicado.</t>
        </is>
      </c>
      <c r="H6" t="inlineStr">
        <is>
          <t>1 a 15 dias desde el corte (1-15 sep 2026)</t>
        </is>
      </c>
      <c r="I6" t="inlineStr">
        <is>
          <t>Backtesting temporal, ventanas de 15 dias</t>
        </is>
      </c>
      <c r="J6" t="inlineStr">
        <is>
          <t>Politica diferenciada por sucursal (RN-40, RN-41): provision cuando el saldo previsto baja de la reserva y recoleccion de lo que pasa del techo; la regla de cada accion queda en la hoja 02.</t>
        </is>
      </c>
      <c r="K6" t="inlineStr">
        <is>
          <t>En agosto de 2026 aparecen ceros en dias habiles que ningun corte anterior anticipa: el error y la banda empeoran en esa ventana. Los pesos se ajustaron con cortes posteriores al reservado de ago-2025. Holdout 1-15 sep con 0 observaciones reales: la validacion es backtest interno (SUP-02). Error de entradas en la ventana de backtest: WAPE 0.388, sesgo +2.1%, 568 observaciones. M3 aplica la politica diferenciada por sucursal (reserva segun la variabilidad neta, tope 50% del cupo; provision hasta la reserva mas 3 dias de salidas medias; recoleccion sobre la reserva mas 15 dias), con 180 dias de historia. Con menos de 30 dias validos aplica la regla vigente del banco, sin pronostico. El primer dia del horizonte concentra la recoleccion del exceso acumulado: 36 acciones por 65.262.885.375 COP. El techo de 15 dias es una eleccion de Pragma entre 6, 10 y 15, con criterio escrito antes de medir: mantiene los dias agotados de la regla vigente, reduce el efectivo ocioso (RN-40, RN-44) y es el de menor costo en la ventana. nivel_riesgo de la hoja 02 es el riesgo residual despues de la accion: bandas de ocupacion sobre el saldo despues de actuar (alto bajo 8 % del cupo o sobre el cupo, medio bajo 16 %, bajo el resto). Como la accion lleva el saldo al rango operativo, casi todas las filas quedan en bajo; el riesgo antes de actuar esta en porcentaje_ocupacion_antes y en las alertas.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6" t="inlineStr">
        <is>
          <t>Calendario oficial de Colombia.</t>
        </is>
      </c>
      <c r="M6" t="inlineStr">
        <is>
          <t>SUP-03, SUP-M3-01, SUP-M3-02. ALX: SUP-24, SUP-25, SUP-26, SUP-27, SUP-28, SUP-30, SUP-31, SUP-32, SUP-33, SUP-35, SUP-36, SUP-37, SUP-38, SUP-39, SUP-40.</t>
        </is>
      </c>
    </row>
    <row r="7" ht="75" customHeight="1">
      <c r="A7" t="inlineStr">
        <is>
          <t>PRAGMA</t>
        </is>
      </c>
      <c r="B7" t="inlineStr">
        <is>
          <t>M3</t>
        </is>
      </c>
      <c r="C7" t="inlineStr">
        <is>
          <t>salidas</t>
        </is>
      </c>
      <c r="D7" t="inlineStr">
        <is>
          <t>Efectivo que sale de la boveda de la sucursal fisica en el dia.</t>
        </is>
      </c>
      <c r="E7" t="inlineStr">
        <is>
          <t>Boosting de gradiente global con LightGBM (un solo modelo para todas las entidades), directo a 15 dias con el horizonte como variable y perdida absoluta (apunta a la mediana). Predice la razon entre el valor del dia y el nivel reciente de la entidad. Elegido por origen rodante (16 cortes) contra el boosting anterior con una regla declarada antes de medir y confirmado en cortes reservados; sin afinar sobre los cortes de reporte.</t>
        </is>
      </c>
      <c r="F7" t="inlineStr">
        <is>
          <t>Solo datos hasta el corte. Las del boosting anterior (nivel y tendencia, dia de la semana y su perfil, dia del mes y dias a/desde el pago, festivos, horizonte) mas un calendario colombiano detallado: dia de pago 15 y fin de mes, uno a tres dias despues del pago, dias habiles a/desde el pago, puentes festivos, ultimo habil antes y primero despues de un bloque no habil, vispera y dia siguiente HABILES, primas, Semana Santa, temporada decembrina, Feria de Cali, Carnaval de Pasto y festivos de Ecuador.</t>
        </is>
      </c>
      <c r="G7" t="inlineStr">
        <is>
          <t>Medido en el backtest, por grupo de variables: puntos de WAPE que se pierden al barajar el grupo. dia de semana (11.0); festivos (10.8); nivel y tendencia (6.1). Mide el modelo publicado.</t>
        </is>
      </c>
      <c r="H7" t="inlineStr">
        <is>
          <t>1 a 15 dias desde el corte (1-15 sep 2026)</t>
        </is>
      </c>
      <c r="I7" t="inlineStr">
        <is>
          <t>Backtesting temporal, ventanas de 15 dias</t>
        </is>
      </c>
      <c r="J7" t="inlineStr">
        <is>
          <t>Politica diferenciada por sucursal (RN-40, RN-41): provision cuando el saldo previsto baja de la reserva y recoleccion de lo que pasa del techo; la regla de cada accion queda en la hoja 02.</t>
        </is>
      </c>
      <c r="K7" t="inlineStr">
        <is>
          <t>Subestima valores fuera del rango visto en el entrenamiento. En agosto de 2026 aparecen ceros en dias habiles que ningun corte anterior anticipa: el error y la banda empeoran en esa ventana. Holdout 1-15 sep con 0 observaciones reales: la validacion es backtest interno (SUP-02). Error de salidas en la ventana de backtest: WAPE 0.417, sesgo -10.4%, 568 observaciones. M3 aplica la politica diferenciada por sucursal (reserva segun la variabilidad neta, tope 50% del cupo; provision hasta la reserva mas 3 dias de salidas medias; recoleccion sobre la reserva mas 15 dias), con 180 dias de historia. Con menos de 30 dias validos aplica la regla vigente del banco, sin pronostico. El primer dia del horizonte concentra la recoleccion del exceso acumulado: 36 acciones por 65.262.885.375 COP. El techo de 15 dias es una eleccion de Pragma entre 6, 10 y 15, con criterio escrito antes de medir: mantiene los dias agotados de la regla vigente, reduce el efectivo ocioso (RN-40, RN-44) y es el de menor costo en la ventana. nivel_riesgo de la hoja 02 es el riesgo residual despues de la accion: bandas de ocupacion sobre el saldo despues de actuar (alto bajo 8 % del cupo o sobre el cupo, medio bajo 16 %, bajo el resto). Como la accion lleva el saldo al rango operativo, casi todas las filas quedan en bajo; el riesgo antes de actuar esta en porcentaje_ocupacion_antes y en las alertas.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7" t="inlineStr">
        <is>
          <t>Calendario oficial de Colombia.</t>
        </is>
      </c>
      <c r="M7" t="inlineStr">
        <is>
          <t>SUP-03, SUP-M3-01, SUP-M3-02. ALX: SUP-24, SUP-25, SUP-26, SUP-27, SUP-28, SUP-30, SUP-31, SUP-33, SUP-35, SUP-36, SUP-37, SUP-38, SUP-39, SUP-40.</t>
        </is>
      </c>
    </row>
    <row r="8" ht="75" customHeight="1">
      <c r="A8" t="inlineStr">
        <is>
          <t>PRAGMA</t>
        </is>
      </c>
      <c r="B8" t="inlineStr">
        <is>
          <t>M4</t>
        </is>
      </c>
      <c r="C8" t="inlineStr">
        <is>
          <t>ingreso_efectivo_cbr</t>
        </is>
      </c>
      <c r="D8" t="inlineStr">
        <is>
          <t>Ingreso de efectivo por puntos CBR agregado a nivel fondo-dia (RN-48).</t>
        </is>
      </c>
      <c r="E8" t="inlineStr">
        <is>
          <t>Promedio simple (pesos iguales y fijos) de dos modelos: (1) perfil por dia de la semana (mediana de 8 semanas) por un factor de dia del mes de la red; (2) boosting de gradiente global con perdida absoluta (apunta a la mediana), directo a 15 dias.</t>
        </is>
      </c>
      <c r="F8" t="inlineStr">
        <is>
          <t>Solo datos hasta el corte. Nivel y tendencia de la entidad; dia de la semana; dia del mes y dias al dia de pago; festivos de Colombia; horizonte.</t>
        </is>
      </c>
      <c r="G8" t="inlineStr">
        <is>
          <t>Medido en el backtest, por grupo de variables: puntos de WAPE que se pierden al barajar el grupo. dia de semana (14.7); dia del mes y pago (6.7); nivel y tendencia (6.0). Mide el componente de boosting del promedio publicado.</t>
        </is>
      </c>
      <c r="H8" t="inlineStr">
        <is>
          <t>1 a 15 dias desde el corte (1-15 sep 2026)</t>
        </is>
      </c>
      <c r="I8" t="inlineStr">
        <is>
          <t>Backtesting temporal, ventanas de 15 dias</t>
        </is>
      </c>
      <c r="J8" t="inlineStr">
        <is>
          <t>Insumo de ingreso del balance de fondos M6 (RN-70).</t>
        </is>
      </c>
      <c r="K8" t="inlineStr">
        <is>
          <t>Los picos (pocos valores grandes sin patron de calendario) no se pronostican: el modelo apunta a la mediana y SUBESTIMA el total de la red. Donde el sesgo es estable, M6 corrige ese total con un factor de red medido fuera de muestra (SUP-20). Pocas series (5-6 fondos): las metricas tienen alta dispersion. Holdout 1-15 sep con 0 observaciones reales: la validacion es backtest interno (SUP-02). Error de ingreso_efectivo_cbr en la ventana de backtest: WAPE 0.320, sesgo -6.3%, 60 observaciones.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8" t="inlineStr">
        <is>
          <t>Calendario oficial de Colombia.</t>
        </is>
      </c>
      <c r="M8" t="inlineStr">
        <is>
          <t>SUP-02 (holdout 0 obs); insumo de M6. ALX: SUP-24, SUP-25, SUP-26, SUP-27, SUP-30, SUP-31, SUP-33, SUP-36, SUP-38, SUP-39, SUP-40.</t>
        </is>
      </c>
    </row>
    <row r="9" ht="75" customHeight="1">
      <c r="A9" t="inlineStr">
        <is>
          <t>PRAGMA</t>
        </is>
      </c>
      <c r="B9" t="inlineStr">
        <is>
          <t>M5</t>
        </is>
      </c>
      <c r="C9" t="inlineStr">
        <is>
          <t>ingreso_efectivo_clientes</t>
        </is>
      </c>
      <c r="D9" t="inlineStr">
        <is>
          <t>Ingreso de efectivo por clientes agregado a nivel fondo-dia (RN-48).</t>
        </is>
      </c>
      <c r="E9" t="inlineStr">
        <is>
          <t>Promedio simple (pesos iguales y fijos) de tres boosting globales LightGBM con perdida absoluta, directos a 15 dias: con calendario detallado y rezagos (V3), con calendario detallado afinado (V1) y con contexto de la ciudad del fondo (V4). Elegido por origen rodante (16 cortes) contra el combinado anterior con una regla declarada antes de medir, confirmado en cortes reservados y repetido con los datos corregidos (PARTE 5).</t>
        </is>
      </c>
      <c r="F9" t="inlineStr">
        <is>
          <t>Solo datos hasta el corte. Nivel y tendencia del fondo; dia de la semana y su perfil; dia del mes y dias a/desde el pago; festivos de Colombia y calendario detallado; rezagos del mismo dia de la semana, anual y medias exponenciales; perfil propio en dias de pago y festivos; intermitencia; ciudad del fondo y nivel de su red; horizonte.</t>
        </is>
      </c>
      <c r="G9" t="inlineStr">
        <is>
          <t>Medido en el backtest, por grupo de variables: puntos de WAPE que se pierden al barajar el grupo. festivos (14.0); dia de semana (7.5); nivel y tendencia (3.2). Mide el componente de boosting del promedio publicado.</t>
        </is>
      </c>
      <c r="H9" t="inlineStr">
        <is>
          <t>1 a 15 dias desde el corte (1-15 sep 2026)</t>
        </is>
      </c>
      <c r="I9" t="inlineStr">
        <is>
          <t>Backtesting temporal, ventanas de 15 dias</t>
        </is>
      </c>
      <c r="J9" t="inlineStr">
        <is>
          <t>Insumo de ingreso del balance de fondos M6 (RN-70).</t>
        </is>
      </c>
      <c r="K9" t="inlineStr">
        <is>
          <t>Los picos de los clientes (pocos valores grandes sin patron de calendario) no se pronostican: el modelo apunta a la mediana y SUBESTIMA el total de la red; M6 corrige ese total con un factor movil (SUP-20). Seis fondos: las metricas tienen alta dispersion. Holdout 1-15 sep con 0 observaciones reales: la validacion es backtest interno (SUP-02). Error de ingreso_efectivo_clientes en la ventana de backtest: WAPE 0.516, sesgo -43.0%, 82 observaciones. Validacion del laboratorio: la regla de adopcion R1-R5 se declaro antes de medir y se aplico sin cambios (SUP-30), con k = 2 errores estandar para variantes, afinados y ensambles que contienen la referencia, por la busqueda multiple (SUP-31); los ponderados usan pesos congelados con los 16 cortes de seleccion (SUP-32) y el modelo registrado lleva empaquetado su contexto, de modo que reproduce lo evaluado (SUP-33). En el laboratorio, la entidad con todos sus reales en cero en la ventana sale solo del WAPE agregado y se reporta aparte (SUP-27; la hoja 03 tambien lo aplica y lo anota en el comentario), el maestro de cajeros es el vigente en cada corte, nunca uno posterior (SUP-28) y el duplicado del 13-may-2026 y los montos corruptos se corrigen como dato, no se imputan (SUP-35). La repeticion con datos corregidos cubre solo a los finalistas (SUP-38).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9" t="inlineStr">
        <is>
          <t>Calendario oficial de Colombia.</t>
        </is>
      </c>
      <c r="M9" t="inlineStr">
        <is>
          <t>SUP-02; insumo de M6, que corrige su total (SUP-20). ALX: SUP-24, SUP-25, SUP-26, SUP-27, SUP-28, SUP-30, SUP-31, SUP-33, SUP-36, SUP-38, SUP-39, SUP-40.</t>
        </is>
      </c>
    </row>
    <row r="10" ht="75" customHeight="1">
      <c r="A10" t="inlineStr">
        <is>
          <t>PRAGMA</t>
        </is>
      </c>
      <c r="B10" t="inlineStr">
        <is>
          <t>M6</t>
        </is>
      </c>
      <c r="C10" t="inlineStr">
        <is>
          <t>saldo_proyectado</t>
        </is>
      </c>
      <c r="D10" t="inlineStr">
        <is>
          <t>Saldo proyectado de la boveda por fondo+denominacion (balance determinista derivado de M1-M5).</t>
        </is>
      </c>
      <c r="E10" t="inlineStr">
        <is>
          <t>Balance determinista por fondo+denominacion derivado de M1-M5 + recomendador prescriptivo costeado (Anexo E). NO entrena ni pronostica: simula el balance dia a dia y recomienda acciones logisticas (traslado, venta, BanRep, intercambio y cambio de denominacion).</t>
        </is>
      </c>
      <c r="F10" t="inlineStr">
        <is>
          <t>Pronosticos M1-M5, saldo inicial por denominacion (SUP-07), mezcla historica por denominacion (SUP-09), min/max operativos (SUP-10), tarifas del Anexo E.</t>
        </is>
      </c>
      <c r="G10" t="inlineStr">
        <is>
          <t>Efecto neto M1-M5, mezcla por denominacion, min/max operativos</t>
        </is>
      </c>
      <c r="H10" t="inlineStr">
        <is>
          <t>1 a 15 dias desde el corte (1-15 sep 2026)</t>
        </is>
      </c>
      <c r="I10" t="inlineStr">
        <is>
          <t>Completitud del saldo inicial + cobertura de recomendaciones (sin WAPE, SUP-11).</t>
        </is>
      </c>
      <c r="J10" t="inlineStr">
        <is>
          <t>Recomendaciones costeadas por fondo+denominacion+dia (RN-72..85) con min/max objetivo (SUP-10).</t>
        </is>
      </c>
      <c r="K10" t="inlineStr">
        <is>
          <t>Balance determinista sin WAPE sobre el saldo (SUP-11): la validacion es completitud + cobertura. Habilitacion de operaciones inferida del historico (SUP-08/SUP-13); min/max y mezcla por denominacion son supuestos de Pragma (SUP-09/SUP-10). Balance sin traslado a T+1: el traslado se aplica el mismo dia en origen y destino (RN-74). Los disponibles se corrigen al cargarlos (SUP-29): se excluyen las filas TOTAL de las transportadoras 002 y 003 (subtotal que duplicaba el saldo) y la transportadora 001 se pasa de cantidad de billetes a pesos hasta el 17-jul-2026, cambio detectado en los datos. Para minimos y maximos, los dias con valor en blanco (23 dias de la 004 en 50.000) y los dias con dos formatos de reporte (30 fondo-dias de la 002 y la 003) se tratan como faltantes, nunca como cero ni sumando dos reportes. El saldo inicial no cambia y 10 de los 36 estados de riesgo al 31-ago si. Minimos y maximos por percentiles del historico corregido (SUP-10). La mezcla por denominacion (SUP-09) se calcula con los disponibles corregidos, sin ajustar el perfilado ni el desbalance persistente entre fondos; en los 30 fondo-dias con dos formatos suma los dos reportes y los blancos de la 004 cuentan como 0 (salvedad de SUP-29). BanRep queda habilitado solo para Cali (`banrep.ciudades_habilitadas`, RN-75), supuesto de Pragma. El beneficio de la venta usa la tasa observada en consolidado_ventas (SUP-23, no garantizada) y la venta no tiene costo en el Anexo E. El costo de almacenamiento se reporta aparte del costo de las acciones. El nivel_riesgo de la hoja 05 es el residual despues de actuar, con bandas propias por minimo y maximo (alto si el saldo queda bajo el 50 % del minimo, medio si conserva un excedente sobre el maximo, bajo el resto); las alertas de M6 miden el riesgo antes de actuar. El factor movil de correccion del total se aplica solo a M5 (SUP-20). Las cifras de explicacion_funcional salen del balance exacto; las columnas en COP son enteras y pueden diferir en 1 COP. Procedencia de los datos: los contratos de salida marcan cada fila con origen_dato. Los pronosticos de M1-M5 son PROYECTADO, el balance de M6 es SIMULADO y las recomendaciones, alertas y metricas son ESTIMADO (SUP-24, SUP-25). Ninguna fila del horizonte 1-15 sep 2026 es REAL, porque es posterior al corte del 31-ago (SUP-26). Este Excel no lleva la columna: la procedencia se declara aqui. Entrega con los champions finales del laboratorio (SUP-39): M1 LightGBM V4 Tweedie, M2 pagado y cash-in y M3 entradas ponderados con pesos congelados, M3 salidas LightGBM V1 L1, M4 el combinado de Santiago (ningun candidato cumplio la regla) y M5 media de tres LightGBM; los mismos que models:/poc-daas-ml-&lt;dataset&gt;@champion, entrenados con los datos corregidos (SUP-35) y el maestro "as of" (SUP-28). La imputacion de faltantes se evaluo y no se adopto en ningun modelo: el pipeline no imputa y los dias del Anexo C siguen nulos, nunca en cero (SUP-36). La plantilla del Anexo D usada es la original del banco (Anexo_D_Plantilla_entrega_proveedor_POC.xlsx), que trae 6 hojas (01-05 y 06_Diccionario_Campos): no incluye 00_Instrucciones, GUIA_Descripcion_Solucion ni 07_Catalogo_Ejemplos que menciona el pliego, pregunta abierta al banco (P25); las tarifas son las del Anexo E original (SUP-40).</t>
        </is>
      </c>
      <c r="L10" t="inlineStr">
        <is>
          <t>Anexo E (tarifas), calendario oficial de Colombia.</t>
        </is>
      </c>
      <c r="M10" t="inlineStr">
        <is>
          <t>SUP-07, SUP-08, SUP-09, SUP-10, SUP-11, SUP-12, SUP-13, SUP-14, SUP-20, SUP-23. ALX: SUP-24, SUP-25, SUP-26, SUP-29, SUP-40.</t>
        </is>
      </c>
    </row>
  </sheetData>
  <autoFilter ref="A2:M10"/>
  <mergeCells count="1">
    <mergeCell ref="A1:M1"/>
  </mergeCells>
  <pageMargins left="0.75" right="0.75" top="1" bottom="1" header="0.511811023622047" footer="0.511811023622047"/>
  <pageSetup orientation="portrait" fitToHeight="0" horizontalDpi="300" verticalDpi="300"/>
</worksheet>
</file>

<file path=xl/worksheets/sheet5.xml><?xml version="1.0" encoding="utf-8"?>
<worksheet xmlns="http://schemas.openxmlformats.org/spreadsheetml/2006/main">
  <sheetPr>
    <tabColor rgb="FFFDDA24"/>
    <outlinePr summaryBelow="1" summaryRight="1"/>
    <pageSetUpPr fitToPage="1"/>
  </sheetPr>
  <dimension ref="A1:AE567"/>
  <sheetViews>
    <sheetView showGridLines="0" tabSelected="1" topLeftCell="P1" zoomScaleNormal="100" workbookViewId="0">
      <pane ySplit="2" topLeftCell="A3" activePane="bottomLeft" state="frozen"/>
      <selection pane="bottomLeft" activeCell="W6" sqref="V6:W6"/>
    </sheetView>
  </sheetViews>
  <sheetFormatPr baseColWidth="10" defaultColWidth="8.7265625" defaultRowHeight="15" customHeight="1"/>
  <cols>
    <col width="16" customWidth="1" min="1" max="1"/>
    <col width="26" customWidth="1" min="2" max="2"/>
    <col width="9" customWidth="1" min="3" max="3"/>
    <col width="20" customWidth="1" min="4" max="4"/>
    <col width="12" customWidth="1" min="5" max="6"/>
    <col width="8" customWidth="1" min="7" max="7"/>
    <col width="12" customWidth="1" min="8" max="8"/>
    <col width="17" customWidth="1" min="9" max="9"/>
    <col width="16" customWidth="1" min="10" max="12"/>
    <col width="17" customWidth="1" min="13" max="13"/>
    <col width="16" customWidth="1" min="14" max="17"/>
    <col width="9" customWidth="1" min="18" max="18"/>
    <col width="20" customWidth="1" min="19" max="19"/>
    <col width="11" customWidth="1" min="20" max="20"/>
    <col width="16" customWidth="1" min="21" max="21"/>
    <col width="26" customWidth="1" min="22" max="23"/>
    <col width="17" customWidth="1" min="24" max="24"/>
    <col width="15" customWidth="1" min="25" max="25"/>
    <col width="34" customWidth="1" min="26" max="26"/>
    <col width="36" customWidth="1" min="27" max="27"/>
    <col width="48" customWidth="1" min="28" max="28"/>
    <col width="22" customWidth="1" min="29" max="29"/>
    <col width="12" customWidth="1" min="30" max="30"/>
    <col width="30" customWidth="1" min="31" max="31"/>
  </cols>
  <sheetData>
    <row r="1" ht="26" customHeight="1">
      <c r="A1" s="21" t="inlineStr">
        <is>
          <t>Hoja 05 – Modelo M6: balance de fondos</t>
        </is>
      </c>
    </row>
    <row r="2" ht="39.75" customHeight="1" thickBot="1">
      <c r="A2" s="1" t="inlineStr">
        <is>
          <t>id_proveedor</t>
        </is>
      </c>
      <c r="B2" s="1" t="inlineStr">
        <is>
          <t>fondo_id</t>
        </is>
      </c>
      <c r="C2" s="1" t="inlineStr">
        <is>
          <t>ciudad</t>
        </is>
      </c>
      <c r="D2" s="1" t="inlineStr">
        <is>
          <t>transportadora</t>
        </is>
      </c>
      <c r="E2" s="1" t="inlineStr">
        <is>
          <t>fecha_corte</t>
        </is>
      </c>
      <c r="F2" s="1" t="inlineStr">
        <is>
          <t>fecha_objetivo</t>
        </is>
      </c>
      <c r="G2" s="1" t="inlineStr">
        <is>
          <t>dia_habil</t>
        </is>
      </c>
      <c r="H2" s="1" t="inlineStr">
        <is>
          <t>denominacion_cop</t>
        </is>
      </c>
      <c r="I2" s="1" t="inlineStr">
        <is>
          <t>disponibilidad_inicial_cop</t>
        </is>
      </c>
      <c r="J2" s="1" t="inlineStr">
        <is>
          <t>ingresos_proyectados_cop</t>
        </is>
      </c>
      <c r="K2" s="1" t="inlineStr">
        <is>
          <t>salidas_proyectadas_cop</t>
        </is>
      </c>
      <c r="L2" s="1" t="inlineStr">
        <is>
          <t>presion_neta_canales_cop</t>
        </is>
      </c>
      <c r="M2" s="1" t="inlineStr">
        <is>
          <t>saldo_antes_accion_cop</t>
        </is>
      </c>
      <c r="N2" s="1" t="inlineStr">
        <is>
          <t>nivel_objetivo_min_cop</t>
        </is>
      </c>
      <c r="O2" s="1" t="inlineStr">
        <is>
          <t>nivel_objetivo_max_cop</t>
        </is>
      </c>
      <c r="P2" s="1" t="inlineStr">
        <is>
          <t>faltante_potencial_cop</t>
        </is>
      </c>
      <c r="Q2" s="1" t="inlineStr">
        <is>
          <t>excedente_potencial_cop</t>
        </is>
      </c>
      <c r="R2" s="1" t="inlineStr">
        <is>
          <t>nivel_riesgo</t>
        </is>
      </c>
      <c r="S2" s="1" t="inlineStr">
        <is>
          <t>accion_sugerida</t>
        </is>
      </c>
      <c r="T2" s="1" t="inlineStr">
        <is>
          <t>efecto_en_fondo</t>
        </is>
      </c>
      <c r="U2" s="1" t="inlineStr">
        <is>
          <t>monto_sugerido_cop</t>
        </is>
      </c>
      <c r="V2" s="1" t="inlineStr">
        <is>
          <t>fondo_origen</t>
        </is>
      </c>
      <c r="W2" s="1" t="inlineStr">
        <is>
          <t>fondo_destino</t>
        </is>
      </c>
      <c r="X2" s="1" t="inlineStr">
        <is>
          <t>saldo_despues_accion_cop</t>
        </is>
      </c>
      <c r="Y2" s="1" t="inlineStr">
        <is>
          <t>costo_estimado_cop</t>
        </is>
      </c>
      <c r="Z2" s="1" t="inlineStr">
        <is>
          <t>criterio_aplicado</t>
        </is>
      </c>
      <c r="AA2" s="1" t="inlineStr">
        <is>
          <t>supuesto_utilizado</t>
        </is>
      </c>
      <c r="AB2" s="1" t="inlineStr">
        <is>
          <t>explicacion_funcional</t>
        </is>
      </c>
      <c r="AC2" s="1" t="inlineStr">
        <is>
          <t>origen_disponibilidad</t>
        </is>
      </c>
      <c r="AD2" s="1" t="inlineStr">
        <is>
          <t>origen_presion</t>
        </is>
      </c>
      <c r="AE2" s="1" t="inlineStr">
        <is>
          <t>metodo_distribucion_denominacion</t>
        </is>
      </c>
    </row>
    <row r="3" ht="61.5" customHeight="1" thickTop="1">
      <c r="A3" t="inlineStr">
        <is>
          <t>PRAGMA</t>
        </is>
      </c>
      <c r="B3" t="inlineStr">
        <is>
          <t>CALI|TRANSPORTADORA_001</t>
        </is>
      </c>
      <c r="C3" t="inlineStr">
        <is>
          <t>Cali</t>
        </is>
      </c>
      <c r="D3" t="inlineStr">
        <is>
          <t>TRANSPORTADORA_001</t>
        </is>
      </c>
      <c r="E3" s="23" t="n">
        <v>46265</v>
      </c>
      <c r="F3" s="23" t="n">
        <v>46266</v>
      </c>
      <c r="G3" t="inlineStr">
        <is>
          <t>Sí</t>
        </is>
      </c>
      <c r="H3" s="25" t="n">
        <v>2000</v>
      </c>
      <c r="I3" s="26" t="n">
        <v>549824000</v>
      </c>
      <c r="J3" s="26" t="n">
        <v>238676138</v>
      </c>
      <c r="K3" s="26" t="n">
        <v>218286884</v>
      </c>
      <c r="L3" s="26">
        <f>J3-K3</f>
        <v>20389254</v>
      </c>
      <c r="M3" s="26">
        <f>I3+L3</f>
        <v>570213254</v>
      </c>
      <c r="N3" s="26" t="n">
        <v>432764000</v>
      </c>
      <c r="O3" s="26" t="n">
        <v>850131200</v>
      </c>
      <c r="P3" s="26">
        <f>MAX(0,N3-M3)</f>
        <v>0</v>
      </c>
      <c r="Q3" s="26">
        <f>MAX(0,M3-O3)</f>
        <v>0</v>
      </c>
      <c r="R3" t="inlineStr">
        <is>
          <t>bajo</t>
        </is>
      </c>
      <c r="S3" t="inlineStr">
        <is>
          <t>traslado_fondos</t>
        </is>
      </c>
      <c r="T3" t="inlineStr">
        <is>
          <t>salida</t>
        </is>
      </c>
      <c r="U3" s="26" t="n">
        <v>34438000</v>
      </c>
      <c r="V3" t="inlineStr">
        <is>
          <t>CALI|TRANSPORTADORA_001</t>
        </is>
      </c>
      <c r="W3" t="inlineStr">
        <is>
          <t>CALI|TRANSPORTADORA_003</t>
        </is>
      </c>
      <c r="X3" s="26">
        <f>IF(T3="entrada",M3+U3,IF(T3="salida",M3-U3,M3))</f>
        <v>535775254</v>
      </c>
      <c r="Y3" s="26" t="n">
        <v>0</v>
      </c>
      <c r="Z3" t="inlineStr">
        <is>
          <t>Menor costo neto entre las alternativas que cubren la necesidad completa</t>
        </is>
      </c>
      <c r="AA3" t="inlineStr">
        <is>
          <t>SUP-08, SUP-10</t>
        </is>
      </c>
      <c r="AB3" t="inlineStr">
        <is>
          <t>Contraparte del traslado P00004 en la denominacion 2000: entrega $34.438.000 a CALI|TRANSPORTADORA_003. Saldo de esta fila: $570.213.254 antes y $535.775.254 despues (minimo $432.764.000, maximo $850.131.200). Necesidad que la origina, en CALI|TRANSPORTADORA_003: Faltante de $34.436.568 en la denominacion 2000: saldo $120.403.432 bajo el minimo $154.840.000. Elegida: traslado con CALI|TRANSPORTADORA_001 ($34.438.000; costo $0). Es preferible porque tiene el menor costo neto. Otras alternativas: traslado con CALI|TRANSPORTADORA_002 ($34.438.000; costo $0); traslado con CALI|TRANSPORTADORA_004 ($6.722.000; costo $0, cubre solo una parte); retiro BanRep ($34.438.000; costo $140.980); traslado con IPIALES|TRANSPORTADORA_002 ($34.438.000; costo $192.509); traslado con PASTO|TRANSPORTADORA_001 ($34.438.000; costo $841.029); cambio de denominacion: ninguna otra denominacion del fondo supera su maximo.</t>
        </is>
      </c>
      <c r="AC3" t="inlineStr">
        <is>
          <t>Ultimo disponible al 31/08/2026 (SUP-07)</t>
        </is>
      </c>
      <c r="AD3" t="inlineStr">
        <is>
          <t>estimada</t>
        </is>
      </c>
      <c r="AE3" t="inlineStr">
        <is>
          <t>Participacion historica por denominacion (SUP-09)</t>
        </is>
      </c>
    </row>
    <row r="4" ht="61.5" customHeight="1">
      <c r="A4" t="inlineStr">
        <is>
          <t>PRAGMA</t>
        </is>
      </c>
      <c r="B4" t="inlineStr">
        <is>
          <t>CALI|TRANSPORTADORA_001</t>
        </is>
      </c>
      <c r="C4" t="inlineStr">
        <is>
          <t>Cali</t>
        </is>
      </c>
      <c r="D4" t="inlineStr">
        <is>
          <t>TRANSPORTADORA_001</t>
        </is>
      </c>
      <c r="E4" s="23" t="n">
        <v>46265</v>
      </c>
      <c r="F4" s="23" t="n">
        <v>46266</v>
      </c>
      <c r="G4" t="inlineStr">
        <is>
          <t>Sí</t>
        </is>
      </c>
      <c r="H4" s="25" t="n">
        <v>2000</v>
      </c>
      <c r="I4" s="26" t="n">
        <v>535775254</v>
      </c>
      <c r="J4" s="26" t="n">
        <v>0</v>
      </c>
      <c r="K4" s="26" t="n">
        <v>0</v>
      </c>
      <c r="L4" s="26">
        <f>J4-K4</f>
        <v>0</v>
      </c>
      <c r="M4" s="26">
        <f>I4+L4</f>
        <v>535775254</v>
      </c>
      <c r="N4" s="26" t="n">
        <v>432764000</v>
      </c>
      <c r="O4" s="26" t="n">
        <v>850131200</v>
      </c>
      <c r="P4" s="26">
        <f>MAX(0,N4-M4)</f>
        <v>0</v>
      </c>
      <c r="Q4" s="26">
        <f>MAX(0,M4-O4)</f>
        <v>0</v>
      </c>
      <c r="R4" t="inlineStr">
        <is>
          <t>bajo</t>
        </is>
      </c>
      <c r="S4" t="inlineStr">
        <is>
          <t>traslado_fondos</t>
        </is>
      </c>
      <c r="T4" t="inlineStr">
        <is>
          <t>entrada</t>
        </is>
      </c>
      <c r="U4" s="26" t="n">
        <v>380000</v>
      </c>
      <c r="V4" t="inlineStr">
        <is>
          <t>CALI|TRANSPORTADORA_004</t>
        </is>
      </c>
      <c r="W4" t="inlineStr">
        <is>
          <t>CALI|TRANSPORTADORA_001</t>
        </is>
      </c>
      <c r="X4" s="26">
        <f>IF(T4="entrada",M4+U4,IF(T4="salida",M4-U4,M4))</f>
        <v>536155254</v>
      </c>
      <c r="Y4" s="26" t="n">
        <v>0</v>
      </c>
      <c r="Z4" t="inlineStr">
        <is>
          <t>Menor costo neto entre las alternativas que cubren la necesidad completa</t>
        </is>
      </c>
      <c r="AA4" t="inlineStr">
        <is>
          <t>SUP-08, SUP-10</t>
        </is>
      </c>
      <c r="AB4" t="inlineStr">
        <is>
          <t>Contraparte del traslado P00008 en la denominacion 2000: recibe $380.000 de CALI|TRANSPORTADORA_004. Saldo de esta fila: $535.775.254 antes y $536.155.254 despues (minimo $432.764.000, maximo $850.131.200). Necesidad que la origina, en CALI|TRANSPORTADORA_004: Excedente de $379.283 en la denominacion 2000: saldo $7.013.283 sobre el maximo $6.634.000. Elegida: traslado con CALI|TRANSPORTADORA_001 ($380.000; costo $0). Es preferible porque tiene el menor costo neto. Otras alternativas: traslado con CALI|TRANSPORTADORA_002 ($380.000; costo $0); traslado con CALI|TRANSPORTADORA_003 ($380.000; costo $0); conservar ($380.000; costo de almacenar $60); consignacion BanRep ($380.000; costo $120.868); venta: no habilitada en este fondo (sin historico o fuera de las ciudades BanRep).</t>
        </is>
      </c>
      <c r="AC4" t="inlineStr">
        <is>
          <t>Cierre del dia anterior (saldo encadenado, RN-71)</t>
        </is>
      </c>
      <c r="AD4" t="inlineStr">
        <is>
          <t>estimada</t>
        </is>
      </c>
      <c r="AE4" t="inlineStr">
        <is>
          <t>Participacion historica por denominacion (SUP-09)</t>
        </is>
      </c>
    </row>
    <row r="5" ht="61.5" customHeight="1">
      <c r="A5" t="inlineStr">
        <is>
          <t>PRAGMA</t>
        </is>
      </c>
      <c r="B5" t="inlineStr">
        <is>
          <t>CALI|TRANSPORTADORA_001</t>
        </is>
      </c>
      <c r="C5" t="inlineStr">
        <is>
          <t>Cali</t>
        </is>
      </c>
      <c r="D5" t="inlineStr">
        <is>
          <t>TRANSPORTADORA_001</t>
        </is>
      </c>
      <c r="E5" s="23" t="n">
        <v>46265</v>
      </c>
      <c r="F5" s="23" t="n">
        <v>46267</v>
      </c>
      <c r="G5" t="inlineStr">
        <is>
          <t>Sí</t>
        </is>
      </c>
      <c r="H5" s="25" t="n">
        <v>2000</v>
      </c>
      <c r="I5" s="26" t="n">
        <v>536155254</v>
      </c>
      <c r="J5" s="26" t="n">
        <v>223583334</v>
      </c>
      <c r="K5" s="26" t="n">
        <v>176366547</v>
      </c>
      <c r="L5" s="26">
        <f>J5-K5</f>
        <v>47216787</v>
      </c>
      <c r="M5" s="26">
        <f>I5+L5</f>
        <v>583372041</v>
      </c>
      <c r="N5" s="26" t="n">
        <v>432764000</v>
      </c>
      <c r="O5" s="26" t="n">
        <v>850131200</v>
      </c>
      <c r="P5" s="26">
        <f>MAX(0,N5-M5)</f>
        <v>0</v>
      </c>
      <c r="Q5" s="26">
        <f>MAX(0,M5-O5)</f>
        <v>0</v>
      </c>
      <c r="R5" t="inlineStr">
        <is>
          <t>bajo</t>
        </is>
      </c>
      <c r="S5" t="inlineStr">
        <is>
          <t>traslado_fondos</t>
        </is>
      </c>
      <c r="T5" t="inlineStr">
        <is>
          <t>salida</t>
        </is>
      </c>
      <c r="U5" s="26" t="n">
        <v>21062000</v>
      </c>
      <c r="V5" t="inlineStr">
        <is>
          <t>CALI|TRANSPORTADORA_001</t>
        </is>
      </c>
      <c r="W5" t="inlineStr">
        <is>
          <t>CALI|TRANSPORTADORA_003</t>
        </is>
      </c>
      <c r="X5" s="26">
        <f>IF(T5="entrada",M5+U5,IF(T5="salida",M5-U5,M5))</f>
        <v>562310041</v>
      </c>
      <c r="Y5" s="26" t="n">
        <v>0</v>
      </c>
      <c r="Z5" t="inlineStr">
        <is>
          <t>Menor costo neto entre las alternativas que cubren la necesidad completa</t>
        </is>
      </c>
      <c r="AA5" t="inlineStr">
        <is>
          <t>SUP-08, SUP-10</t>
        </is>
      </c>
      <c r="AB5" t="inlineStr">
        <is>
          <t>Contraparte del traslado P00012 en la denominacion 2000: entrega $21.062.000 a CALI|TRANSPORTADORA_003. Saldo de esta fila: $583.372.041 antes y $562.310.041 despues (minimo $432.764.000, maximo $850.131.200). Necesidad que la origina, en CALI|TRANSPORTADORA_003: Faltante de $21.061.860 en la denominacion 2000: saldo $133.778.140 bajo el minimo $154.840.000. Elegida: traslado con CALI|TRANSPORTADORA_001 ($21.062.000; costo $0). Es preferible porque tiene el menor costo neto. Otras alternativas: traslado con CALI|TRANSPORTADORA_002 ($21.062.000; costo $0); traslado con CALI|TRANSPORTADORA_004 ($6.494.000; costo $0, cubre solo una parte); retiro BanRep ($21.062.000; costo $135.495); traslado con IPIALES|TRANSPORTADORA_002 ($21.062.000; costo $180.845); traslado con PASTO|TRANSPORTADORA_001 ($21.062.000; costo $828.228); cambio de denominacion: ninguna otra denominacion del fondo supera su maximo.</t>
        </is>
      </c>
      <c r="AC5" t="inlineStr">
        <is>
          <t>Cierre del dia anterior (saldo encadenado, RN-71)</t>
        </is>
      </c>
      <c r="AD5" t="inlineStr">
        <is>
          <t>estimada</t>
        </is>
      </c>
      <c r="AE5" t="inlineStr">
        <is>
          <t>Participacion historica por denominacion (SUP-09)</t>
        </is>
      </c>
    </row>
    <row r="6" ht="61.5" customHeight="1">
      <c r="A6" t="inlineStr">
        <is>
          <t>PRAGMA</t>
        </is>
      </c>
      <c r="B6" t="inlineStr">
        <is>
          <t>CALI|TRANSPORTADORA_001</t>
        </is>
      </c>
      <c r="C6" t="inlineStr">
        <is>
          <t>Cali</t>
        </is>
      </c>
      <c r="D6" t="inlineStr">
        <is>
          <t>TRANSPORTADORA_001</t>
        </is>
      </c>
      <c r="E6" s="23" t="n">
        <v>46265</v>
      </c>
      <c r="F6" s="23" t="n">
        <v>46267</v>
      </c>
      <c r="G6" t="inlineStr">
        <is>
          <t>Sí</t>
        </is>
      </c>
      <c r="H6" s="25" t="n">
        <v>2000</v>
      </c>
      <c r="I6" s="26" t="n">
        <v>562310041</v>
      </c>
      <c r="J6" s="26" t="n">
        <v>0</v>
      </c>
      <c r="K6" s="26" t="n">
        <v>0</v>
      </c>
      <c r="L6" s="26">
        <f>J6-K6</f>
        <v>0</v>
      </c>
      <c r="M6" s="26">
        <f>I6+L6</f>
        <v>562310041</v>
      </c>
      <c r="N6" s="26" t="n">
        <v>432764000</v>
      </c>
      <c r="O6" s="26" t="n">
        <v>850131200</v>
      </c>
      <c r="P6" s="26">
        <f>MAX(0,N6-M6)</f>
        <v>0</v>
      </c>
      <c r="Q6" s="26">
        <f>MAX(0,M6-O6)</f>
        <v>0</v>
      </c>
      <c r="R6" t="inlineStr">
        <is>
          <t>bajo</t>
        </is>
      </c>
      <c r="S6" t="inlineStr">
        <is>
          <t>traslado_fondos</t>
        </is>
      </c>
      <c r="T6" t="inlineStr">
        <is>
          <t>entrada</t>
        </is>
      </c>
      <c r="U6" s="26" t="n">
        <v>152000</v>
      </c>
      <c r="V6" t="inlineStr">
        <is>
          <t>CALI|TRANSPORTADORA_004</t>
        </is>
      </c>
      <c r="W6" t="inlineStr">
        <is>
          <t>CALI|TRANSPORTADORA_001</t>
        </is>
      </c>
      <c r="X6" s="26">
        <f>IF(T6="entrada",M6+U6,IF(T6="salida",M6-U6,M6))</f>
        <v>562462041</v>
      </c>
      <c r="Y6" s="26" t="n">
        <v>0</v>
      </c>
      <c r="Z6" t="inlineStr">
        <is>
          <t>Menor costo neto entre las alternativas que cubren la necesidad completa</t>
        </is>
      </c>
      <c r="AA6" t="inlineStr">
        <is>
          <t>SUP-08, SUP-10</t>
        </is>
      </c>
      <c r="AB6" t="inlineStr">
        <is>
          <t>Contraparte del traslado P00016 en la denominacion 2000: recibe $152.000 de CALI|TRANSPORTADORA_004. Saldo de esta fila: $562.310.041 antes y $562.462.041 despues (minimo $432.764.000, maximo $850.131.200). Necesidad que la origina, en CALI|TRANSPORTADORA_004: Excedente de $151.204 en la denominacion 2000: saldo $6.785.204 sobre el maximo $6.634.000. Elegida: traslado con CALI|TRANSPORTADORA_001 ($152.000; costo $0). Es preferible porque tiene el menor costo neto. Otras alternativas: traslado con CALI|TRANSPORTADORA_002 ($152.000; costo $0); traslado con CALI|TRANSPORTADORA_003 ($152.000; costo $0); conservar ($152.000; costo de almacenar $22); consignacion BanRep ($152.000; costo $120.805); venta: no habilitada en este fondo (sin historico o fuera de las ciudades BanRep).</t>
        </is>
      </c>
      <c r="AC6" t="inlineStr">
        <is>
          <t>Cierre del dia anterior (saldo encadenado, RN-71)</t>
        </is>
      </c>
      <c r="AD6" t="inlineStr">
        <is>
          <t>estimada</t>
        </is>
      </c>
      <c r="AE6" t="inlineStr">
        <is>
          <t>Participacion historica por denominacion (SUP-09)</t>
        </is>
      </c>
    </row>
    <row r="7" ht="61.5" customHeight="1">
      <c r="A7" t="inlineStr">
        <is>
          <t>PRAGMA</t>
        </is>
      </c>
      <c r="B7" t="inlineStr">
        <is>
          <t>CALI|TRANSPORTADORA_001</t>
        </is>
      </c>
      <c r="C7" t="inlineStr">
        <is>
          <t>Cali</t>
        </is>
      </c>
      <c r="D7" t="inlineStr">
        <is>
          <t>TRANSPORTADORA_001</t>
        </is>
      </c>
      <c r="E7" s="23" t="n">
        <v>46265</v>
      </c>
      <c r="F7" s="23" t="n">
        <v>46268</v>
      </c>
      <c r="G7" t="inlineStr">
        <is>
          <t>Sí</t>
        </is>
      </c>
      <c r="H7" s="25" t="n">
        <v>2000</v>
      </c>
      <c r="I7" s="26" t="n">
        <v>562462041</v>
      </c>
      <c r="J7" s="26" t="n">
        <v>276298253</v>
      </c>
      <c r="K7" s="26" t="n">
        <v>154427934</v>
      </c>
      <c r="L7" s="26">
        <f>J7-K7</f>
        <v>121870319</v>
      </c>
      <c r="M7" s="26">
        <f>I7+L7</f>
        <v>684332360</v>
      </c>
      <c r="N7" s="26" t="n">
        <v>432764000</v>
      </c>
      <c r="O7" s="26" t="n">
        <v>850131200</v>
      </c>
      <c r="P7" s="26">
        <f>MAX(0,N7-M7)</f>
        <v>0</v>
      </c>
      <c r="Q7" s="26">
        <f>MAX(0,M7-O7)</f>
        <v>0</v>
      </c>
      <c r="R7" t="inlineStr">
        <is>
          <t>bajo</t>
        </is>
      </c>
      <c r="S7" t="inlineStr">
        <is>
          <t>traslado_fondos</t>
        </is>
      </c>
      <c r="T7" t="inlineStr">
        <is>
          <t>entrada</t>
        </is>
      </c>
      <c r="U7" s="26" t="n">
        <v>186000</v>
      </c>
      <c r="V7" t="inlineStr">
        <is>
          <t>CALI|TRANSPORTADORA_004</t>
        </is>
      </c>
      <c r="W7" t="inlineStr">
        <is>
          <t>CALI|TRANSPORTADORA_001</t>
        </is>
      </c>
      <c r="X7" s="26">
        <f>IF(T7="entrada",M7+U7,IF(T7="salida",M7-U7,M7))</f>
        <v>684518360</v>
      </c>
      <c r="Y7" s="26" t="n">
        <v>0</v>
      </c>
      <c r="Z7" t="inlineStr">
        <is>
          <t>Menor costo neto entre las alternativas que cubren la necesidad completa</t>
        </is>
      </c>
      <c r="AA7" t="inlineStr">
        <is>
          <t>SUP-08, SUP-10</t>
        </is>
      </c>
      <c r="AB7" t="inlineStr">
        <is>
          <t>Contraparte del traslado P00020 en la denominacion 2000: recibe $186.000 de CALI|TRANSPORTADORA_004. Saldo de esta fila: $684.332.360 antes y $684.518.360 despues (minimo $432.764.000, maximo $850.131.200). Necesidad que la origina, en CALI|TRANSPORTADORA_004: Excedente de $184.387 en la denominacion 2000: saldo $6.818.387 sobre el maximo $6.634.000. Elegida: traslado con CALI|TRANSPORTADORA_001 ($186.000; costo $0). Es preferible porque tiene el menor costo neto. Otras alternativas: traslado con CALI|TRANSPORTADORA_002 ($186.000; costo $0); traslado con CALI|TRANSPORTADORA_003 ($186.000; costo $0); conservar ($186.000; costo de almacenar $25); consignacion BanRep ($186.000; costo $120.815); venta: no habilitada en este fondo (sin historico o fuera de las ciudades BanRep).</t>
        </is>
      </c>
      <c r="AC7" t="inlineStr">
        <is>
          <t>Cierre del dia anterior (saldo encadenado, RN-71)</t>
        </is>
      </c>
      <c r="AD7" t="inlineStr">
        <is>
          <t>estimada</t>
        </is>
      </c>
      <c r="AE7" t="inlineStr">
        <is>
          <t>Participacion historica por denominacion (SUP-09)</t>
        </is>
      </c>
    </row>
    <row r="8" ht="61.5" customHeight="1">
      <c r="A8" t="inlineStr">
        <is>
          <t>PRAGMA</t>
        </is>
      </c>
      <c r="B8" t="inlineStr">
        <is>
          <t>CALI|TRANSPORTADORA_001</t>
        </is>
      </c>
      <c r="C8" t="inlineStr">
        <is>
          <t>Cali</t>
        </is>
      </c>
      <c r="D8" t="inlineStr">
        <is>
          <t>TRANSPORTADORA_001</t>
        </is>
      </c>
      <c r="E8" s="23" t="n">
        <v>46265</v>
      </c>
      <c r="F8" s="23" t="n">
        <v>46269</v>
      </c>
      <c r="G8" t="inlineStr">
        <is>
          <t>Sí</t>
        </is>
      </c>
      <c r="H8" s="25" t="n">
        <v>2000</v>
      </c>
      <c r="I8" s="26" t="n">
        <v>684518360</v>
      </c>
      <c r="J8" s="26" t="n">
        <v>259195808</v>
      </c>
      <c r="K8" s="26" t="n">
        <v>171471899</v>
      </c>
      <c r="L8" s="26">
        <f>J8-K8</f>
        <v>87723909</v>
      </c>
      <c r="M8" s="26">
        <f>I8+L8</f>
        <v>772242269</v>
      </c>
      <c r="N8" s="26" t="n">
        <v>432764000</v>
      </c>
      <c r="O8" s="26" t="n">
        <v>850131200</v>
      </c>
      <c r="P8" s="26">
        <f>MAX(0,N8-M8)</f>
        <v>0</v>
      </c>
      <c r="Q8" s="26">
        <f>MAX(0,M8-O8)</f>
        <v>0</v>
      </c>
      <c r="R8" t="inlineStr">
        <is>
          <t>bajo</t>
        </is>
      </c>
      <c r="S8" t="inlineStr">
        <is>
          <t>traslado_fondos</t>
        </is>
      </c>
      <c r="T8" t="inlineStr">
        <is>
          <t>salida</t>
        </is>
      </c>
      <c r="U8" s="26" t="n">
        <v>13074000</v>
      </c>
      <c r="V8" t="inlineStr">
        <is>
          <t>CALI|TRANSPORTADORA_001</t>
        </is>
      </c>
      <c r="W8" t="inlineStr">
        <is>
          <t>CALI|TRANSPORTADORA_003</t>
        </is>
      </c>
      <c r="X8" s="26">
        <f>IF(T8="entrada",M8+U8,IF(T8="salida",M8-U8,M8))</f>
        <v>759168269</v>
      </c>
      <c r="Y8" s="26" t="n">
        <v>0</v>
      </c>
      <c r="Z8" t="inlineStr">
        <is>
          <t>Menor costo neto entre las alternativas que cubren la necesidad completa</t>
        </is>
      </c>
      <c r="AA8" t="inlineStr">
        <is>
          <t>SUP-08, SUP-10</t>
        </is>
      </c>
      <c r="AB8" t="inlineStr">
        <is>
          <t>Contraparte del traslado P00024 en la denominacion 2000: entrega $13.074.000 a CALI|TRANSPORTADORA_003. Saldo de esta fila: $772.242.269 antes y $759.168.269 despues (minimo $432.764.000, maximo $850.131.200). Necesidad que la origina, en CALI|TRANSPORTADORA_003: Faltante de $13.073.624 en la denominacion 2000: saldo $141.766.376 bajo el minimo $154.840.000. Elegida: traslado con CALI|TRANSPORTADORA_001 ($13.074.000; costo $0). Es preferible porque tiene el menor costo neto. Otras alternativas: traslado con CALI|TRANSPORTADORA_002 ($13.074.000; costo $0); traslado con CALI|TRANSPORTADORA_004 ($6.564.000; costo $0, cubre solo una parte); retiro BanRep ($13.074.000; costo $132.220); traslado con IPIALES|TRANSPORTADORA_002 ($13.074.000; costo $173.880); traslado con PASTO|TRANSPORTADORA_001 ($13.074.000; costo $820.584); cambio de denominacion: ninguna otra denominacion del fondo supera su maximo.</t>
        </is>
      </c>
      <c r="AC8" t="inlineStr">
        <is>
          <t>Cierre del dia anterior (saldo encadenado, RN-71)</t>
        </is>
      </c>
      <c r="AD8" t="inlineStr">
        <is>
          <t>estimada</t>
        </is>
      </c>
      <c r="AE8" t="inlineStr">
        <is>
          <t>Participacion historica por denominacion (SUP-09)</t>
        </is>
      </c>
    </row>
    <row r="9" ht="61.5" customHeight="1">
      <c r="A9" t="inlineStr">
        <is>
          <t>PRAGMA</t>
        </is>
      </c>
      <c r="B9" t="inlineStr">
        <is>
          <t>CALI|TRANSPORTADORA_001</t>
        </is>
      </c>
      <c r="C9" t="inlineStr">
        <is>
          <t>Cali</t>
        </is>
      </c>
      <c r="D9" t="inlineStr">
        <is>
          <t>TRANSPORTADORA_001</t>
        </is>
      </c>
      <c r="E9" s="23" t="n">
        <v>46265</v>
      </c>
      <c r="F9" s="23" t="n">
        <v>46269</v>
      </c>
      <c r="G9" t="inlineStr">
        <is>
          <t>Sí</t>
        </is>
      </c>
      <c r="H9" s="25" t="n">
        <v>2000</v>
      </c>
      <c r="I9" s="26" t="n">
        <v>759168269</v>
      </c>
      <c r="J9" s="26" t="n">
        <v>0</v>
      </c>
      <c r="K9" s="26" t="n">
        <v>0</v>
      </c>
      <c r="L9" s="26">
        <f>J9-K9</f>
        <v>0</v>
      </c>
      <c r="M9" s="26">
        <f>I9+L9</f>
        <v>759168269</v>
      </c>
      <c r="N9" s="26" t="n">
        <v>432764000</v>
      </c>
      <c r="O9" s="26" t="n">
        <v>850131200</v>
      </c>
      <c r="P9" s="26">
        <f>MAX(0,N9-M9)</f>
        <v>0</v>
      </c>
      <c r="Q9" s="26">
        <f>MAX(0,M9-O9)</f>
        <v>0</v>
      </c>
      <c r="R9" t="inlineStr">
        <is>
          <t>bajo</t>
        </is>
      </c>
      <c r="S9" t="inlineStr">
        <is>
          <t>traslado_fondos</t>
        </is>
      </c>
      <c r="T9" t="inlineStr">
        <is>
          <t>entrada</t>
        </is>
      </c>
      <c r="U9" s="26" t="n">
        <v>224000</v>
      </c>
      <c r="V9" t="inlineStr">
        <is>
          <t>CALI|TRANSPORTADORA_004</t>
        </is>
      </c>
      <c r="W9" t="inlineStr">
        <is>
          <t>CALI|TRANSPORTADORA_001</t>
        </is>
      </c>
      <c r="X9" s="26">
        <f>IF(T9="entrada",M9+U9,IF(T9="salida",M9-U9,M9))</f>
        <v>759392269</v>
      </c>
      <c r="Y9" s="26" t="n">
        <v>0</v>
      </c>
      <c r="Z9" t="inlineStr">
        <is>
          <t>Menor costo neto entre las alternativas que cubren la necesidad completa</t>
        </is>
      </c>
      <c r="AA9" t="inlineStr">
        <is>
          <t>SUP-08, SUP-10</t>
        </is>
      </c>
      <c r="AB9" t="inlineStr">
        <is>
          <t>Contraparte del traslado P00029 en la denominacion 2000: recibe $224.000 de CALI|TRANSPORTADORA_004. Saldo de esta fila: $759.168.269 antes y $759.392.269 despues (minimo $432.764.000, maximo $850.131.200). Necesidad que la origina, en CALI|TRANSPORTADORA_004: Excedente de $222.019 en la denominacion 2000: saldo $6.856.019 sobre el maximo $6.634.000. Elegida: traslado con CALI|TRANSPORTADORA_001 ($224.000; costo $0). Es preferible porque tiene el menor costo neto. Otras alternativas: traslado con CALI|TRANSPORTADORA_002 ($224.000; costo $0); traslado con CALI|TRANSPORTADORA_003 ($224.000; costo $0); conservar ($224.000; costo de almacenar $28); consignacion BanRep ($224.000; costo $120.825); venta: no habilitada en este fondo (sin historico o fuera de las ciudades BanRep); traslado hacia 1 fondo(s) con espacio: ruta sin tarifa en el Anexo E (prohibida).</t>
        </is>
      </c>
      <c r="AC9" t="inlineStr">
        <is>
          <t>Cierre del dia anterior (saldo encadenado, RN-71)</t>
        </is>
      </c>
      <c r="AD9" t="inlineStr">
        <is>
          <t>estimada</t>
        </is>
      </c>
      <c r="AE9" t="inlineStr">
        <is>
          <t>Participacion historica por denominacion (SUP-09)</t>
        </is>
      </c>
    </row>
    <row r="10" ht="61.5" customHeight="1">
      <c r="A10" t="inlineStr">
        <is>
          <t>PRAGMA</t>
        </is>
      </c>
      <c r="B10" t="inlineStr">
        <is>
          <t>CALI|TRANSPORTADORA_001</t>
        </is>
      </c>
      <c r="C10" t="inlineStr">
        <is>
          <t>Cali</t>
        </is>
      </c>
      <c r="D10" t="inlineStr">
        <is>
          <t>TRANSPORTADORA_001</t>
        </is>
      </c>
      <c r="E10" s="23" t="n">
        <v>46265</v>
      </c>
      <c r="F10" s="23" t="n">
        <v>46270</v>
      </c>
      <c r="G10" t="inlineStr">
        <is>
          <t>No</t>
        </is>
      </c>
      <c r="H10" s="25" t="n">
        <v>2000</v>
      </c>
      <c r="I10" s="26" t="n">
        <v>759392269</v>
      </c>
      <c r="J10" s="26" t="n">
        <v>46016288</v>
      </c>
      <c r="K10" s="26" t="n">
        <v>141424567</v>
      </c>
      <c r="L10" s="26">
        <f>J10-K10</f>
        <v>-95408279</v>
      </c>
      <c r="M10" s="26">
        <f>I10+L10</f>
        <v>663983990</v>
      </c>
      <c r="N10" s="26" t="n">
        <v>432764000</v>
      </c>
      <c r="O10" s="26" t="n">
        <v>850131200</v>
      </c>
      <c r="P10" s="26">
        <f>MAX(0,N10-M10)</f>
        <v>0</v>
      </c>
      <c r="Q10" s="26">
        <f>MAX(0,M10-O10)</f>
        <v>0</v>
      </c>
      <c r="R10" t="inlineStr">
        <is>
          <t>bajo</t>
        </is>
      </c>
      <c r="S10" t="inlineStr">
        <is>
          <t>traslado_fondos</t>
        </is>
      </c>
      <c r="T10" t="inlineStr">
        <is>
          <t>salida</t>
        </is>
      </c>
      <c r="U10" s="26" t="n">
        <v>69616000</v>
      </c>
      <c r="V10" t="inlineStr">
        <is>
          <t>CALI|TRANSPORTADORA_001</t>
        </is>
      </c>
      <c r="W10" t="inlineStr">
        <is>
          <t>CALI|TRANSPORTADORA_003</t>
        </is>
      </c>
      <c r="X10" s="26">
        <f>IF(T10="entrada",M10+U10,IF(T10="salida",M10-U10,M10))</f>
        <v>594367990</v>
      </c>
      <c r="Y10" s="26" t="n">
        <v>0</v>
      </c>
      <c r="Z10" t="inlineStr">
        <is>
          <t>Menor costo neto entre las alternativas que cubren la necesidad completa</t>
        </is>
      </c>
      <c r="AA10" t="inlineStr">
        <is>
          <t>SUP-08, SUP-10</t>
        </is>
      </c>
      <c r="AB10" t="inlineStr">
        <is>
          <t>Contraparte del traslado P00033 en la denominacion 2000: entrega $69.616.000 a CALI|TRANSPORTADORA_003. Saldo de esta fila: $663.983.990 antes y $594.367.990 despues (minimo $432.764.000, maximo $850.131.200). Necesidad que la origina, en CALI|TRANSPORTADORA_003: Faltante de $69.615.869 en la denominacion 2000: saldo $85.224.131 bajo el minimo $154.840.000. Elegida: traslado con CALI|TRANSPORTADORA_001 ($69.616.000; costo $0). Es preferible porque tiene el menor costo neto. Otras alternativas: traslado con CALI|TRANSPORTADORA_002 ($69.616.000; costo $0); traslado con CALI|TRANSPORTADORA_004 ($6.388.000; costo $0, cubre solo una parte); traslado con IPIALES|TRANSPORTADORA_002 ($69.616.000; costo $223.184); traslado con PASTO|TRANSPORTADORA_001 ($69.616.000; costo $874.695); retiro BanRep: dia no habil (sabado, domingo o festivo; RN-71A); cambio de denominacion: dia no habil (sabado, domingo o festivo; RN-71A).</t>
        </is>
      </c>
      <c r="AC10" t="inlineStr">
        <is>
          <t>Cierre del dia anterior (saldo encadenado, RN-71)</t>
        </is>
      </c>
      <c r="AD10" t="inlineStr">
        <is>
          <t>estimada</t>
        </is>
      </c>
      <c r="AE10" t="inlineStr">
        <is>
          <t>Participacion historica por denominacion (SUP-09)</t>
        </is>
      </c>
    </row>
    <row r="11" ht="61.5" customHeight="1">
      <c r="A11" t="inlineStr">
        <is>
          <t>PRAGMA</t>
        </is>
      </c>
      <c r="B11" t="inlineStr">
        <is>
          <t>CALI|TRANSPORTADORA_001</t>
        </is>
      </c>
      <c r="C11" t="inlineStr">
        <is>
          <t>Cali</t>
        </is>
      </c>
      <c r="D11" t="inlineStr">
        <is>
          <t>TRANSPORTADORA_001</t>
        </is>
      </c>
      <c r="E11" s="23" t="n">
        <v>46265</v>
      </c>
      <c r="F11" s="23" t="n">
        <v>46270</v>
      </c>
      <c r="G11" t="inlineStr">
        <is>
          <t>No</t>
        </is>
      </c>
      <c r="H11" s="25" t="n">
        <v>2000</v>
      </c>
      <c r="I11" s="26" t="n">
        <v>594367990</v>
      </c>
      <c r="J11" s="26" t="n">
        <v>0</v>
      </c>
      <c r="K11" s="26" t="n">
        <v>0</v>
      </c>
      <c r="L11" s="26">
        <f>J11-K11</f>
        <v>0</v>
      </c>
      <c r="M11" s="26">
        <f>I11+L11</f>
        <v>594367990</v>
      </c>
      <c r="N11" s="26" t="n">
        <v>432764000</v>
      </c>
      <c r="O11" s="26" t="n">
        <v>850131200</v>
      </c>
      <c r="P11" s="26">
        <f>MAX(0,N11-M11)</f>
        <v>0</v>
      </c>
      <c r="Q11" s="26">
        <f>MAX(0,M11-O11)</f>
        <v>0</v>
      </c>
      <c r="R11" t="inlineStr">
        <is>
          <t>bajo</t>
        </is>
      </c>
      <c r="S11" t="inlineStr">
        <is>
          <t>traslado_fondos</t>
        </is>
      </c>
      <c r="T11" t="inlineStr">
        <is>
          <t>entrada</t>
        </is>
      </c>
      <c r="U11" s="26" t="n">
        <v>46000</v>
      </c>
      <c r="V11" t="inlineStr">
        <is>
          <t>CALI|TRANSPORTADORA_004</t>
        </is>
      </c>
      <c r="W11" t="inlineStr">
        <is>
          <t>CALI|TRANSPORTADORA_001</t>
        </is>
      </c>
      <c r="X11" s="26">
        <f>IF(T11="entrada",M11+U11,IF(T11="salida",M11-U11,M11))</f>
        <v>594413990</v>
      </c>
      <c r="Y11" s="26" t="n">
        <v>0</v>
      </c>
      <c r="Z11" t="inlineStr">
        <is>
          <t>Menor costo neto entre las alternativas que cubren la necesidad completa</t>
        </is>
      </c>
      <c r="AA11" t="inlineStr">
        <is>
          <t>SUP-08, SUP-10</t>
        </is>
      </c>
      <c r="AB11" t="inlineStr">
        <is>
          <t>Contraparte del traslado P00038 en la denominacion 2000: recibe $46.000 de CALI|TRANSPORTADORA_004. Saldo de esta fila: $594.367.990 antes y $594.413.990 despues (minimo $432.764.000, maximo $850.131.200). Necesidad que la origina, en CALI|TRANSPORTADORA_004: Excedente de $45.261 en la denominacion 2000: saldo $6.679.261 sobre el maximo $6.634.000. Elegida: traslado con CALI|TRANSPORTADORA_001 ($46.000; costo $0). Es preferible porque tiene el menor costo neto. Otras alternativas: traslado con CALI|TRANSPORTADORA_002 ($46.000; costo $0); traslado con CALI|TRANSPORTADORA_003 ($46.000; costo $0); conservar ($46.000; costo de almacenar $5); venta: dia no habil (sabado, domingo o festivo; RN-71A); consignacion BanRep: dia no habil (sabado, domingo o festivo; RN-71A); traslado hacia 1 fondo(s) con espacio: ruta sin tarifa en el Anexo E (prohibida).</t>
        </is>
      </c>
      <c r="AC11" t="inlineStr">
        <is>
          <t>Cierre del dia anterior (saldo encadenado, RN-71)</t>
        </is>
      </c>
      <c r="AD11" t="inlineStr">
        <is>
          <t>estimada</t>
        </is>
      </c>
      <c r="AE11" t="inlineStr">
        <is>
          <t>Participacion historica por denominacion (SUP-09)</t>
        </is>
      </c>
    </row>
    <row r="12" ht="61.5" customHeight="1">
      <c r="A12" t="inlineStr">
        <is>
          <t>PRAGMA</t>
        </is>
      </c>
      <c r="B12" t="inlineStr">
        <is>
          <t>CALI|TRANSPORTADORA_001</t>
        </is>
      </c>
      <c r="C12" t="inlineStr">
        <is>
          <t>Cali</t>
        </is>
      </c>
      <c r="D12" t="inlineStr">
        <is>
          <t>TRANSPORTADORA_001</t>
        </is>
      </c>
      <c r="E12" s="23" t="n">
        <v>46265</v>
      </c>
      <c r="F12" s="23" t="n">
        <v>46271</v>
      </c>
      <c r="G12" t="inlineStr">
        <is>
          <t>No</t>
        </is>
      </c>
      <c r="H12" s="25" t="n">
        <v>2000</v>
      </c>
      <c r="I12" s="26" t="n">
        <v>594413990</v>
      </c>
      <c r="J12" s="26" t="n">
        <v>24543731</v>
      </c>
      <c r="K12" s="26" t="n">
        <v>69096973</v>
      </c>
      <c r="L12" s="26">
        <f>J12-K12</f>
        <v>-44553242</v>
      </c>
      <c r="M12" s="26">
        <f>I12+L12</f>
        <v>549860748</v>
      </c>
      <c r="N12" s="26" t="n">
        <v>432764000</v>
      </c>
      <c r="O12" s="26" t="n">
        <v>850131200</v>
      </c>
      <c r="P12" s="26">
        <f>MAX(0,N12-M12)</f>
        <v>0</v>
      </c>
      <c r="Q12" s="26">
        <f>MAX(0,M12-O12)</f>
        <v>0</v>
      </c>
      <c r="R12" t="inlineStr">
        <is>
          <t>bajo</t>
        </is>
      </c>
      <c r="S12" t="inlineStr">
        <is>
          <t>traslado_fondos</t>
        </is>
      </c>
      <c r="T12" t="inlineStr">
        <is>
          <t>salida</t>
        </is>
      </c>
      <c r="U12" s="26" t="n">
        <v>45216000</v>
      </c>
      <c r="V12" t="inlineStr">
        <is>
          <t>CALI|TRANSPORTADORA_001</t>
        </is>
      </c>
      <c r="W12" t="inlineStr">
        <is>
          <t>CALI|TRANSPORTADORA_003</t>
        </is>
      </c>
      <c r="X12" s="26">
        <f>IF(T12="entrada",M12+U12,IF(T12="salida",M12-U12,M12))</f>
        <v>504644748</v>
      </c>
      <c r="Y12" s="26" t="n">
        <v>0</v>
      </c>
      <c r="Z12" t="inlineStr">
        <is>
          <t>Menor costo neto entre las alternativas que cubren la necesidad completa</t>
        </is>
      </c>
      <c r="AA12" t="inlineStr">
        <is>
          <t>SUP-08, SUP-10</t>
        </is>
      </c>
      <c r="AB12" t="inlineStr">
        <is>
          <t>Contraparte del traslado P00043 en la denominacion 2000: entrega $45.216.000 a CALI|TRANSPORTADORA_003. Saldo de esta fila: $549.860.748 antes y $504.644.748 despues (minimo $432.764.000, maximo $850.131.200). Necesidad que la origina, en CALI|TRANSPORTADORA_003: Faltante de $45.214.678 en la denominacion 2000: saldo $109.625.322 bajo el minimo $154.840.000. Elegida: traslado con CALI|TRANSPORTADORA_001 ($45.216.000; costo $0). Es preferible porque tiene el menor costo neto. Otras alternativas: traslado con CALI|TRANSPORTADORA_002 ($45.216.000; costo $0); traslado con CALI|TRANSPORTADORA_004 ($6.414.000; costo $0, cubre solo una parte); traslado con IPIALES|TRANSPORTADORA_002 ($45.216.000; costo $201.907); traslado con PASTO|TRANSPORTADORA_001 ($45.216.000; costo $851.344); retiro BanRep: dia no habil (sabado, domingo o festivo; RN-71A); cambio de denominacion: dia no habil (sabado, domingo o festivo; RN-71A).</t>
        </is>
      </c>
      <c r="AC12" t="inlineStr">
        <is>
          <t>Cierre del dia anterior (saldo encadenado, RN-71)</t>
        </is>
      </c>
      <c r="AD12" t="inlineStr">
        <is>
          <t>estimada</t>
        </is>
      </c>
      <c r="AE12" t="inlineStr">
        <is>
          <t>Participacion historica por denominacion (SUP-09)</t>
        </is>
      </c>
    </row>
    <row r="13" ht="61.5" customHeight="1">
      <c r="A13" t="inlineStr">
        <is>
          <t>PRAGMA</t>
        </is>
      </c>
      <c r="B13" t="inlineStr">
        <is>
          <t>CALI|TRANSPORTADORA_001</t>
        </is>
      </c>
      <c r="C13" t="inlineStr">
        <is>
          <t>Cali</t>
        </is>
      </c>
      <c r="D13" t="inlineStr">
        <is>
          <t>TRANSPORTADORA_001</t>
        </is>
      </c>
      <c r="E13" s="23" t="n">
        <v>46265</v>
      </c>
      <c r="F13" s="23" t="n">
        <v>46271</v>
      </c>
      <c r="G13" t="inlineStr">
        <is>
          <t>No</t>
        </is>
      </c>
      <c r="H13" s="25" t="n">
        <v>2000</v>
      </c>
      <c r="I13" s="26" t="n">
        <v>504644748</v>
      </c>
      <c r="J13" s="26" t="n">
        <v>0</v>
      </c>
      <c r="K13" s="26" t="n">
        <v>0</v>
      </c>
      <c r="L13" s="26">
        <f>J13-K13</f>
        <v>0</v>
      </c>
      <c r="M13" s="26">
        <f>I13+L13</f>
        <v>504644748</v>
      </c>
      <c r="N13" s="26" t="n">
        <v>432764000</v>
      </c>
      <c r="O13" s="26" t="n">
        <v>850131200</v>
      </c>
      <c r="P13" s="26">
        <f>MAX(0,N13-M13)</f>
        <v>0</v>
      </c>
      <c r="Q13" s="26">
        <f>MAX(0,M13-O13)</f>
        <v>0</v>
      </c>
      <c r="R13" t="inlineStr">
        <is>
          <t>bajo</t>
        </is>
      </c>
      <c r="S13" t="inlineStr">
        <is>
          <t>traslado_fondos</t>
        </is>
      </c>
      <c r="T13" t="inlineStr">
        <is>
          <t>entrada</t>
        </is>
      </c>
      <c r="U13" s="26" t="n">
        <v>72000</v>
      </c>
      <c r="V13" t="inlineStr">
        <is>
          <t>CALI|TRANSPORTADORA_004</t>
        </is>
      </c>
      <c r="W13" t="inlineStr">
        <is>
          <t>CALI|TRANSPORTADORA_001</t>
        </is>
      </c>
      <c r="X13" s="26">
        <f>IF(T13="entrada",M13+U13,IF(T13="salida",M13-U13,M13))</f>
        <v>504716748</v>
      </c>
      <c r="Y13" s="26" t="n">
        <v>0</v>
      </c>
      <c r="Z13" t="inlineStr">
        <is>
          <t>Menor costo neto entre las alternativas que cubren la necesidad completa</t>
        </is>
      </c>
      <c r="AA13" t="inlineStr">
        <is>
          <t>SUP-08, SUP-10</t>
        </is>
      </c>
      <c r="AB13" t="inlineStr">
        <is>
          <t>Contraparte del traslado P00048 en la denominacion 2000: recibe $72.000 de CALI|TRANSPORTADORA_004. Saldo de esta fila: $504.644.748 antes y $504.716.748 despues (minimo $432.764.000, maximo $850.131.200). Necesidad que la origina, en CALI|TRANSPORTADORA_004: Excedente de $71.744 en la denominacion 2000: saldo $6.705.744 sobre el maximo $6.634.000. Elegida: traslado con CALI|TRANSPORTADORA_001 ($72.000; costo $0). Es preferible porque tiene el menor costo neto. Otras alternativas: traslado con CALI|TRANSPORTADORA_002 ($72.000; costo $0); traslado con CALI|TRANSPORTADORA_003 ($72.000; costo $0); conservar ($72.000; costo de almacenar $8); venta: dia no habil (sabado, domingo o festivo; RN-71A); consignacion BanRep: dia no habil (sabado, domingo o festivo; RN-71A); traslado hacia 1 fondo(s) con espacio: ruta sin tarifa en el Anexo E (prohibida).</t>
        </is>
      </c>
      <c r="AC13" t="inlineStr">
        <is>
          <t>Cierre del dia anterior (saldo encadenado, RN-71)</t>
        </is>
      </c>
      <c r="AD13" t="inlineStr">
        <is>
          <t>estimada</t>
        </is>
      </c>
      <c r="AE13" t="inlineStr">
        <is>
          <t>Participacion historica por denominacion (SUP-09)</t>
        </is>
      </c>
    </row>
    <row r="14">
      <c r="A14" t="inlineStr">
        <is>
          <t>PRAGMA</t>
        </is>
      </c>
      <c r="B14" t="inlineStr">
        <is>
          <t>CALI|TRANSPORTADORA_001</t>
        </is>
      </c>
      <c r="C14" t="inlineStr">
        <is>
          <t>Cali</t>
        </is>
      </c>
      <c r="D14" t="inlineStr">
        <is>
          <t>TRANSPORTADORA_001</t>
        </is>
      </c>
      <c r="E14" s="23" t="n">
        <v>46265</v>
      </c>
      <c r="F14" s="23" t="n">
        <v>46272</v>
      </c>
      <c r="G14" t="inlineStr">
        <is>
          <t>Sí</t>
        </is>
      </c>
      <c r="H14" s="25" t="n">
        <v>2000</v>
      </c>
      <c r="I14" s="26" t="n">
        <v>504716748</v>
      </c>
      <c r="J14" s="26" t="n">
        <v>360008796</v>
      </c>
      <c r="K14" s="26" t="n">
        <v>129766508</v>
      </c>
      <c r="L14" s="26">
        <f>J14-K14</f>
        <v>230242288</v>
      </c>
      <c r="M14" s="26">
        <f>I14+L14</f>
        <v>734959036</v>
      </c>
      <c r="N14" s="26" t="n">
        <v>432764000</v>
      </c>
      <c r="O14" s="26" t="n">
        <v>850131200</v>
      </c>
      <c r="P14" s="26">
        <f>MAX(0,N14-M14)</f>
        <v>0</v>
      </c>
      <c r="Q14" s="26">
        <f>MAX(0,M14-O14)</f>
        <v>0</v>
      </c>
      <c r="R14" t="inlineStr">
        <is>
          <t>bajo</t>
        </is>
      </c>
      <c r="S14" t="inlineStr">
        <is>
          <t>traslado_fondos</t>
        </is>
      </c>
      <c r="T14" t="inlineStr">
        <is>
          <t>salida</t>
        </is>
      </c>
      <c r="U14" s="26" t="n">
        <v>1864000</v>
      </c>
      <c r="V14" t="inlineStr">
        <is>
          <t>CALI|TRANSPORTADORA_001</t>
        </is>
      </c>
      <c r="W14" t="inlineStr">
        <is>
          <t>CALI|TRANSPORTADORA_003</t>
        </is>
      </c>
      <c r="X14" s="26">
        <f>IF(T14="entrada",M14+U14,IF(T14="salida",M14-U14,M14))</f>
        <v>733095036</v>
      </c>
      <c r="Y14" s="26" t="n">
        <v>0</v>
      </c>
      <c r="Z14" t="inlineStr">
        <is>
          <t>Menor costo neto entre las alternativas que cubren la necesidad completa</t>
        </is>
      </c>
      <c r="AA14" t="inlineStr">
        <is>
          <t>SUP-08, SUP-10</t>
        </is>
      </c>
      <c r="AB14" t="inlineStr">
        <is>
          <t>Contraparte del traslado P00053 en la denominacion 2000: entrega $1.864.000 a CALI|TRANSPORTADORA_003. Saldo de esta fila: $734.959.036 antes y $733.095.036 despues (minimo $432.764.000, maximo $850.131.200). Necesidad que la origina, en CALI|TRANSPORTADORA_003: Faltante de $1.863.961 en la denominacion 2000: saldo $152.976.039 bajo el minimo $154.840.000. Elegida: traslado con CALI|TRANSPORTADORA_001 ($1.864.000; costo $0). Es preferible porque tiene el menor costo neto. Otras alternativas: traslado con CALI|TRANSPORTADORA_002 ($1.864.000; costo $0); traslado con CALI|TRANSPORTADORA_004 ($1.864.000; costo $0); retiro BanRep ($1.864.000; costo $127.624); traslado con IPIALES|TRANSPORTADORA_002 ($1.864.000; costo $164.104); traslado con PASTO|TRANSPORTADORA_001 ($1.864.000; costo $809.856); cambio de denominacion: ninguna otra denominacion del fondo supera su maximo.</t>
        </is>
      </c>
      <c r="AC14" t="inlineStr">
        <is>
          <t>Cierre del dia anterior (saldo encadenado, RN-71)</t>
        </is>
      </c>
      <c r="AD14" t="inlineStr">
        <is>
          <t>estimada</t>
        </is>
      </c>
      <c r="AE14" t="inlineStr">
        <is>
          <t>Participacion historica por denominacion (SUP-09)</t>
        </is>
      </c>
    </row>
    <row r="15">
      <c r="A15" t="inlineStr">
        <is>
          <t>PRAGMA</t>
        </is>
      </c>
      <c r="B15" t="inlineStr">
        <is>
          <t>CALI|TRANSPORTADORA_001</t>
        </is>
      </c>
      <c r="C15" t="inlineStr">
        <is>
          <t>Cali</t>
        </is>
      </c>
      <c r="D15" t="inlineStr">
        <is>
          <t>TRANSPORTADORA_001</t>
        </is>
      </c>
      <c r="E15" s="23" t="n">
        <v>46265</v>
      </c>
      <c r="F15" s="23" t="n">
        <v>46272</v>
      </c>
      <c r="G15" t="inlineStr">
        <is>
          <t>Sí</t>
        </is>
      </c>
      <c r="H15" s="25" t="n">
        <v>2000</v>
      </c>
      <c r="I15" s="26" t="n">
        <v>733095036</v>
      </c>
      <c r="J15" s="26" t="n">
        <v>0</v>
      </c>
      <c r="K15" s="26" t="n">
        <v>0</v>
      </c>
      <c r="L15" s="26">
        <f>J15-K15</f>
        <v>0</v>
      </c>
      <c r="M15" s="26">
        <f>I15+L15</f>
        <v>733095036</v>
      </c>
      <c r="N15" s="26" t="n">
        <v>432764000</v>
      </c>
      <c r="O15" s="26" t="n">
        <v>850131200</v>
      </c>
      <c r="P15" s="26">
        <f>MAX(0,N15-M15)</f>
        <v>0</v>
      </c>
      <c r="Q15" s="26">
        <f>MAX(0,M15-O15)</f>
        <v>0</v>
      </c>
      <c r="R15" t="inlineStr">
        <is>
          <t>bajo</t>
        </is>
      </c>
      <c r="S15" t="inlineStr">
        <is>
          <t>traslado_fondos</t>
        </is>
      </c>
      <c r="T15" t="inlineStr">
        <is>
          <t>entrada</t>
        </is>
      </c>
      <c r="U15" s="26" t="n">
        <v>300000</v>
      </c>
      <c r="V15" t="inlineStr">
        <is>
          <t>CALI|TRANSPORTADORA_004</t>
        </is>
      </c>
      <c r="W15" t="inlineStr">
        <is>
          <t>CALI|TRANSPORTADORA_001</t>
        </is>
      </c>
      <c r="X15" s="26">
        <f>IF(T15="entrada",M15+U15,IF(T15="salida",M15-U15,M15))</f>
        <v>733395036</v>
      </c>
      <c r="Y15" s="26" t="n">
        <v>0</v>
      </c>
      <c r="Z15" t="inlineStr">
        <is>
          <t>Menor costo neto entre las alternativas que cubren la necesidad completa</t>
        </is>
      </c>
      <c r="AA15" t="inlineStr">
        <is>
          <t>SUP-08, SUP-10</t>
        </is>
      </c>
      <c r="AB15" t="inlineStr">
        <is>
          <t>Contraparte del traslado P00058 en la denominacion 2000: recibe $300.000 de CALI|TRANSPORTADORA_004. Saldo de esta fila: $733.095.036 antes y $733.395.036 despues (minimo $432.764.000, maximo $850.131.200). Necesidad que la origina, en CALI|TRANSPORTADORA_004: Excedente de $298.255 en la denominacion 2000: saldo $6.932.255 sobre el maximo $6.634.000. Elegida: traslado con CALI|TRANSPORTADORA_001 ($300.000; costo $0). Es preferible porque tiene el menor costo neto. Otras alternativas: traslado con CALI|TRANSPORTADORA_002 ($300.000; costo $0); traslado con CALI|TRANSPORTADORA_003 ($300.000; costo $0); conservar ($300.000; costo de almacenar $28); consignacion BanRep ($300.000; costo $120.846); venta: no habilitada en este fondo (sin historico o fuera de las ciudades BanRep); traslado hacia 1 fondo(s) con espacio: ruta sin tarifa en el Anexo E (prohibida).</t>
        </is>
      </c>
      <c r="AC15" t="inlineStr">
        <is>
          <t>Cierre del dia anterior (saldo encadenado, RN-71)</t>
        </is>
      </c>
      <c r="AD15" t="inlineStr">
        <is>
          <t>estimada</t>
        </is>
      </c>
      <c r="AE15" t="inlineStr">
        <is>
          <t>Participacion historica por denominacion (SUP-09)</t>
        </is>
      </c>
    </row>
    <row r="16">
      <c r="A16" t="inlineStr">
        <is>
          <t>PRAGMA</t>
        </is>
      </c>
      <c r="B16" t="inlineStr">
        <is>
          <t>CALI|TRANSPORTADORA_001</t>
        </is>
      </c>
      <c r="C16" t="inlineStr">
        <is>
          <t>Cali</t>
        </is>
      </c>
      <c r="D16" t="inlineStr">
        <is>
          <t>TRANSPORTADORA_001</t>
        </is>
      </c>
      <c r="E16" s="23" t="n">
        <v>46265</v>
      </c>
      <c r="F16" s="23" t="n">
        <v>46273</v>
      </c>
      <c r="G16" t="inlineStr">
        <is>
          <t>Sí</t>
        </is>
      </c>
      <c r="H16" s="25" t="n">
        <v>2000</v>
      </c>
      <c r="I16" s="26" t="n">
        <v>733395036</v>
      </c>
      <c r="J16" s="26" t="n">
        <v>245975358</v>
      </c>
      <c r="K16" s="26" t="n">
        <v>133967127</v>
      </c>
      <c r="L16" s="26">
        <f>J16-K16</f>
        <v>112008231</v>
      </c>
      <c r="M16" s="26">
        <f>I16+L16</f>
        <v>845403267</v>
      </c>
      <c r="N16" s="26" t="n">
        <v>432764000</v>
      </c>
      <c r="O16" s="26" t="n">
        <v>850131200</v>
      </c>
      <c r="P16" s="26">
        <f>MAX(0,N16-M16)</f>
        <v>0</v>
      </c>
      <c r="Q16" s="26">
        <f>MAX(0,M16-O16)</f>
        <v>0</v>
      </c>
      <c r="R16" t="inlineStr">
        <is>
          <t>bajo</t>
        </is>
      </c>
      <c r="S16" t="inlineStr">
        <is>
          <t>traslado_fondos</t>
        </is>
      </c>
      <c r="T16" t="inlineStr">
        <is>
          <t>entrada</t>
        </is>
      </c>
      <c r="U16" s="26" t="n">
        <v>186000</v>
      </c>
      <c r="V16" t="inlineStr">
        <is>
          <t>CALI|TRANSPORTADORA_004</t>
        </is>
      </c>
      <c r="W16" t="inlineStr">
        <is>
          <t>CALI|TRANSPORTADORA_001</t>
        </is>
      </c>
      <c r="X16" s="26">
        <f>IF(T16="entrada",M16+U16,IF(T16="salida",M16-U16,M16))</f>
        <v>845589267</v>
      </c>
      <c r="Y16" s="26" t="n">
        <v>0</v>
      </c>
      <c r="Z16" t="inlineStr">
        <is>
          <t>Menor costo neto entre las alternativas que cubren la necesidad completa</t>
        </is>
      </c>
      <c r="AA16" t="inlineStr">
        <is>
          <t>SUP-08, SUP-10</t>
        </is>
      </c>
      <c r="AB16" t="inlineStr">
        <is>
          <t>Contraparte del traslado P00063 en la denominacion 2000: recibe $186.000 de CALI|TRANSPORTADORA_004. Saldo de esta fila: $845.403.268 antes y $845.589.268 despues (minimo $432.764.000, maximo $850.131.200). Necesidad que la origina, en CALI|TRANSPORTADORA_004: Excedente de $185.221 en la denominacion 2000: saldo $6.819.221 sobre el maximo $6.634.000. Elegida: traslado con CALI|TRANSPORTADORA_001 ($186.000; costo $0). Es preferible porque tiene el menor costo neto. Otras alternativas: traslado con CALI|TRANSPORTADORA_003 ($186.000; costo $0); conservar ($186.000; costo de almacenar $16); consignacion BanRep ($186.000; costo $120.815); venta: no habilitada en este fondo (sin historico o fuera de las ciudades BanRep).</t>
        </is>
      </c>
      <c r="AC16" t="inlineStr">
        <is>
          <t>Cierre del dia anterior (saldo encadenado, RN-71)</t>
        </is>
      </c>
      <c r="AD16" t="inlineStr">
        <is>
          <t>estimada</t>
        </is>
      </c>
      <c r="AE16" t="inlineStr">
        <is>
          <t>Participacion historica por denominacion (SUP-09)</t>
        </is>
      </c>
    </row>
    <row r="17">
      <c r="A17" t="inlineStr">
        <is>
          <t>PRAGMA</t>
        </is>
      </c>
      <c r="B17" t="inlineStr">
        <is>
          <t>CALI|TRANSPORTADORA_001</t>
        </is>
      </c>
      <c r="C17" t="inlineStr">
        <is>
          <t>Cali</t>
        </is>
      </c>
      <c r="D17" t="inlineStr">
        <is>
          <t>TRANSPORTADORA_001</t>
        </is>
      </c>
      <c r="E17" s="23" t="n">
        <v>46265</v>
      </c>
      <c r="F17" s="23" t="n">
        <v>46274</v>
      </c>
      <c r="G17" t="inlineStr">
        <is>
          <t>Sí</t>
        </is>
      </c>
      <c r="H17" s="25" t="n">
        <v>2000</v>
      </c>
      <c r="I17" s="26" t="n">
        <v>845589268</v>
      </c>
      <c r="J17" s="26" t="n">
        <v>233217397</v>
      </c>
      <c r="K17" s="26" t="n">
        <v>132329101</v>
      </c>
      <c r="L17" s="26">
        <f>J17-K17</f>
        <v>100888296</v>
      </c>
      <c r="M17" s="26">
        <f>I17+L17</f>
        <v>946477564</v>
      </c>
      <c r="N17" s="26" t="n">
        <v>432764000</v>
      </c>
      <c r="O17" s="26" t="n">
        <v>850131200</v>
      </c>
      <c r="P17" s="26">
        <f>MAX(0,N17-M17)</f>
        <v>0</v>
      </c>
      <c r="Q17" s="26">
        <f>MAX(0,M17-O17)</f>
        <v>96346364</v>
      </c>
      <c r="R17" t="inlineStr">
        <is>
          <t>bajo</t>
        </is>
      </c>
      <c r="S17" t="inlineStr">
        <is>
          <t>venta_efectivo</t>
        </is>
      </c>
      <c r="T17" t="inlineStr">
        <is>
          <t>salida</t>
        </is>
      </c>
      <c r="U17" s="26" t="n">
        <v>96348000</v>
      </c>
      <c r="V17" t="inlineStr">
        <is>
          <t>CALI|TRANSPORTADORA_001</t>
        </is>
      </c>
      <c r="X17" s="26">
        <f>IF(T17="entrada",M17+U17,IF(T17="salida",M17-U17,M17))</f>
        <v>850129564</v>
      </c>
      <c r="Y17" s="26" t="n">
        <v>0</v>
      </c>
      <c r="Z17" t="inlineStr">
        <is>
          <t>Menor costo neto entre las alternativas que cubren la necesidad completa</t>
        </is>
      </c>
      <c r="AA17" t="inlineStr">
        <is>
          <t>SUP-08, SUP-10, SUP-23</t>
        </is>
      </c>
      <c r="AB17" t="inlineStr">
        <is>
          <t>Excedente de $96.346.364 en la denominacion 2000: saldo $946.477.564 sobre el maximo $850.131.200. Elegida: venta ($96.348.000; beneficio de referencia $38.539). Es preferible porque tiene el menor costo neto. Otras alternativas: traslado con CALI|TRANSPORTADORA_003 ($96.348.000; costo $0); conservar ($96.348.000; costo de almacenar $6.609); consignacion BanRep ($96.348.000; costo $148.024).</t>
        </is>
      </c>
      <c r="AC17" t="inlineStr">
        <is>
          <t>Cierre del dia anterior (saldo encadenado, RN-71)</t>
        </is>
      </c>
      <c r="AD17" t="inlineStr">
        <is>
          <t>estimada</t>
        </is>
      </c>
      <c r="AE17" t="inlineStr">
        <is>
          <t>Participacion historica por denominacion (SUP-09)</t>
        </is>
      </c>
    </row>
    <row r="18">
      <c r="A18" t="inlineStr">
        <is>
          <t>PRAGMA</t>
        </is>
      </c>
      <c r="B18" t="inlineStr">
        <is>
          <t>CALI|TRANSPORTADORA_001</t>
        </is>
      </c>
      <c r="C18" t="inlineStr">
        <is>
          <t>Cali</t>
        </is>
      </c>
      <c r="D18" t="inlineStr">
        <is>
          <t>TRANSPORTADORA_001</t>
        </is>
      </c>
      <c r="E18" s="23" t="n">
        <v>46265</v>
      </c>
      <c r="F18" s="23" t="n">
        <v>46275</v>
      </c>
      <c r="G18" t="inlineStr">
        <is>
          <t>Sí</t>
        </is>
      </c>
      <c r="H18" s="25" t="n">
        <v>2000</v>
      </c>
      <c r="I18" s="26" t="n">
        <v>850129564</v>
      </c>
      <c r="J18" s="26" t="n">
        <v>236513994</v>
      </c>
      <c r="K18" s="26" t="n">
        <v>123675852</v>
      </c>
      <c r="L18" s="26">
        <f>J18-K18</f>
        <v>112838142</v>
      </c>
      <c r="M18" s="26">
        <f>I18+L18</f>
        <v>962967706</v>
      </c>
      <c r="N18" s="26" t="n">
        <v>432764000</v>
      </c>
      <c r="O18" s="26" t="n">
        <v>850131200</v>
      </c>
      <c r="P18" s="26">
        <f>MAX(0,N18-M18)</f>
        <v>0</v>
      </c>
      <c r="Q18" s="26">
        <f>MAX(0,M18-O18)</f>
        <v>112836506</v>
      </c>
      <c r="R18" t="inlineStr">
        <is>
          <t>bajo</t>
        </is>
      </c>
      <c r="S18" t="inlineStr">
        <is>
          <t>venta_efectivo</t>
        </is>
      </c>
      <c r="T18" t="inlineStr">
        <is>
          <t>salida</t>
        </is>
      </c>
      <c r="U18" s="26" t="n">
        <v>112838000</v>
      </c>
      <c r="V18" t="inlineStr">
        <is>
          <t>CALI|TRANSPORTADORA_001</t>
        </is>
      </c>
      <c r="X18" s="26">
        <f>IF(T18="entrada",M18+U18,IF(T18="salida",M18-U18,M18))</f>
        <v>850129706</v>
      </c>
      <c r="Y18" s="26" t="n">
        <v>0</v>
      </c>
      <c r="Z18" t="inlineStr">
        <is>
          <t>Menor costo neto entre las alternativas que cubren la necesidad completa</t>
        </is>
      </c>
      <c r="AA18" t="inlineStr">
        <is>
          <t>SUP-08, SUP-10, SUP-23</t>
        </is>
      </c>
      <c r="AB18" t="inlineStr">
        <is>
          <t>Excedente de $112.836.506 en la denominacion 2000: saldo $962.967.706 sobre el maximo $850.131.200. Elegida: venta ($112.838.000; beneficio de referencia $45.135). Es preferible porque tiene el menor costo neto. Otras alternativas: traslado con CALI|TRANSPORTADORA_003 ($112.838.000; costo $0); conservar ($112.838.000; costo de almacenar $6.635); consignacion BanRep ($112.838.000; costo $152.130).</t>
        </is>
      </c>
      <c r="AC18" t="inlineStr">
        <is>
          <t>Cierre del dia anterior (saldo encadenado, RN-71)</t>
        </is>
      </c>
      <c r="AD18" t="inlineStr">
        <is>
          <t>estimada</t>
        </is>
      </c>
      <c r="AE18" t="inlineStr">
        <is>
          <t>Participacion historica por denominacion (SUP-09)</t>
        </is>
      </c>
    </row>
    <row r="19">
      <c r="A19" t="inlineStr">
        <is>
          <t>PRAGMA</t>
        </is>
      </c>
      <c r="B19" t="inlineStr">
        <is>
          <t>CALI|TRANSPORTADORA_001</t>
        </is>
      </c>
      <c r="C19" t="inlineStr">
        <is>
          <t>Cali</t>
        </is>
      </c>
      <c r="D19" t="inlineStr">
        <is>
          <t>TRANSPORTADORA_001</t>
        </is>
      </c>
      <c r="E19" s="23" t="n">
        <v>46265</v>
      </c>
      <c r="F19" s="23" t="n">
        <v>46276</v>
      </c>
      <c r="G19" t="inlineStr">
        <is>
          <t>Sí</t>
        </is>
      </c>
      <c r="H19" s="25" t="n">
        <v>2000</v>
      </c>
      <c r="I19" s="26" t="n">
        <v>850129706</v>
      </c>
      <c r="J19" s="26" t="n">
        <v>233844427</v>
      </c>
      <c r="K19" s="26" t="n">
        <v>138510092</v>
      </c>
      <c r="L19" s="26">
        <f>J19-K19</f>
        <v>95334335</v>
      </c>
      <c r="M19" s="26">
        <f>I19+L19</f>
        <v>945464041</v>
      </c>
      <c r="N19" s="26" t="n">
        <v>432764000</v>
      </c>
      <c r="O19" s="26" t="n">
        <v>850131200</v>
      </c>
      <c r="P19" s="26">
        <f>MAX(0,N19-M19)</f>
        <v>0</v>
      </c>
      <c r="Q19" s="26">
        <f>MAX(0,M19-O19)</f>
        <v>95332841</v>
      </c>
      <c r="R19" t="inlineStr">
        <is>
          <t>bajo</t>
        </is>
      </c>
      <c r="S19" t="inlineStr">
        <is>
          <t>venta_efectivo</t>
        </is>
      </c>
      <c r="T19" t="inlineStr">
        <is>
          <t>salida</t>
        </is>
      </c>
      <c r="U19" s="26" t="n">
        <v>95334000</v>
      </c>
      <c r="V19" t="inlineStr">
        <is>
          <t>CALI|TRANSPORTADORA_001</t>
        </is>
      </c>
      <c r="X19" s="26">
        <f>IF(T19="entrada",M19+U19,IF(T19="salida",M19-U19,M19))</f>
        <v>850130041</v>
      </c>
      <c r="Y19" s="26" t="n">
        <v>0</v>
      </c>
      <c r="Z19" t="inlineStr">
        <is>
          <t>Menor costo neto entre las alternativas que cubren la necesidad completa</t>
        </is>
      </c>
      <c r="AA19" t="inlineStr">
        <is>
          <t>SUP-08, SUP-10, SUP-23</t>
        </is>
      </c>
      <c r="AB19" t="inlineStr">
        <is>
          <t>Excedente de $95.332.841 en la denominacion 2000: saldo $945.464.041 sobre el maximo $850.131.200. Elegida: venta ($95.334.000; beneficio de referencia $38.134). Es preferible porque tiene el menor costo neto. Otras alternativas: traslado con CALI|TRANSPORTADORA_003 ($95.334.000; costo $0); conservar ($95.334.000; costo de almacenar $4.671); consignacion BanRep ($95.334.000; costo $147.771).</t>
        </is>
      </c>
      <c r="AC19" t="inlineStr">
        <is>
          <t>Cierre del dia anterior (saldo encadenado, RN-71)</t>
        </is>
      </c>
      <c r="AD19" t="inlineStr">
        <is>
          <t>estimada</t>
        </is>
      </c>
      <c r="AE19" t="inlineStr">
        <is>
          <t>Participacion historica por denominacion (SUP-09)</t>
        </is>
      </c>
    </row>
    <row r="20">
      <c r="A20" t="inlineStr">
        <is>
          <t>PRAGMA</t>
        </is>
      </c>
      <c r="B20" t="inlineStr">
        <is>
          <t>CALI|TRANSPORTADORA_001</t>
        </is>
      </c>
      <c r="C20" t="inlineStr">
        <is>
          <t>Cali</t>
        </is>
      </c>
      <c r="D20" t="inlineStr">
        <is>
          <t>TRANSPORTADORA_001</t>
        </is>
      </c>
      <c r="E20" s="23" t="n">
        <v>46265</v>
      </c>
      <c r="F20" s="23" t="n">
        <v>46277</v>
      </c>
      <c r="G20" t="inlineStr">
        <is>
          <t>No</t>
        </is>
      </c>
      <c r="H20" s="25" t="n">
        <v>2000</v>
      </c>
      <c r="I20" s="26" t="n">
        <v>850130041</v>
      </c>
      <c r="J20" s="26" t="n">
        <v>44110683</v>
      </c>
      <c r="K20" s="26" t="n">
        <v>115188130</v>
      </c>
      <c r="L20" s="26">
        <f>J20-K20</f>
        <v>-71077447</v>
      </c>
      <c r="M20" s="26">
        <f>I20+L20</f>
        <v>779052594</v>
      </c>
      <c r="N20" s="26" t="n">
        <v>432764000</v>
      </c>
      <c r="O20" s="26" t="n">
        <v>850131200</v>
      </c>
      <c r="P20" s="26">
        <f>MAX(0,N20-M20)</f>
        <v>0</v>
      </c>
      <c r="Q20" s="26">
        <f>MAX(0,M20-O20)</f>
        <v>0</v>
      </c>
      <c r="R20" t="inlineStr">
        <is>
          <t>bajo</t>
        </is>
      </c>
      <c r="S20" t="inlineStr">
        <is>
          <t>traslado_fondos</t>
        </is>
      </c>
      <c r="T20" t="inlineStr">
        <is>
          <t>entrada</t>
        </is>
      </c>
      <c r="U20" s="26" t="n">
        <v>38000</v>
      </c>
      <c r="V20" t="inlineStr">
        <is>
          <t>CALI|TRANSPORTADORA_004</t>
        </is>
      </c>
      <c r="W20" t="inlineStr">
        <is>
          <t>CALI|TRANSPORTADORA_001</t>
        </is>
      </c>
      <c r="X20" s="26">
        <f>IF(T20="entrada",M20+U20,IF(T20="salida",M20-U20,M20))</f>
        <v>779090594</v>
      </c>
      <c r="Y20" s="26" t="n">
        <v>0</v>
      </c>
      <c r="Z20" t="inlineStr">
        <is>
          <t>Menor costo neto entre las alternativas que cubren la necesidad completa</t>
        </is>
      </c>
      <c r="AA20" t="inlineStr">
        <is>
          <t>SUP-08, SUP-10</t>
        </is>
      </c>
      <c r="AB20" t="inlineStr">
        <is>
          <t>Contraparte del traslado P00083 en la denominacion 2000: recibe $38.000 de CALI|TRANSPORTADORA_004. Saldo de esta fila: $779.052.593 antes y $779.090.593 despues (minimo $432.764.000, maximo $850.131.200). Necesidad que la origina, en CALI|TRANSPORTADORA_004: Excedente de $36.469 en la denominacion 2000: saldo $6.670.469 sobre el maximo $6.634.000. Elegida: traslado con CALI|TRANSPORTADORA_001 ($38.000; costo $0). Es preferible porque tiene el menor costo neto. Otras alternativas: traslado con CALI|TRANSPORTADORA_002 ($38.000; costo $0); traslado con CALI|TRANSPORTADORA_003 ($38.000; costo $0); conservar ($38.000; costo de almacenar $2); venta: dia no habil (sabado, domingo o festivo; RN-71A); consignacion BanRep: dia no habil (sabado, domingo o festivo; RN-71A); traslado hacia 1 fondo(s) con espacio: ruta sin tarifa en el Anexo E (prohibida).</t>
        </is>
      </c>
      <c r="AC20" t="inlineStr">
        <is>
          <t>Cierre del dia anterior (saldo encadenado, RN-71)</t>
        </is>
      </c>
      <c r="AD20" t="inlineStr">
        <is>
          <t>estimada</t>
        </is>
      </c>
      <c r="AE20" t="inlineStr">
        <is>
          <t>Participacion historica por denominacion (SUP-09)</t>
        </is>
      </c>
    </row>
    <row r="21">
      <c r="A21" t="inlineStr">
        <is>
          <t>PRAGMA</t>
        </is>
      </c>
      <c r="B21" t="inlineStr">
        <is>
          <t>CALI|TRANSPORTADORA_001</t>
        </is>
      </c>
      <c r="C21" t="inlineStr">
        <is>
          <t>Cali</t>
        </is>
      </c>
      <c r="D21" t="inlineStr">
        <is>
          <t>TRANSPORTADORA_001</t>
        </is>
      </c>
      <c r="E21" s="23" t="n">
        <v>46265</v>
      </c>
      <c r="F21" s="23" t="n">
        <v>46278</v>
      </c>
      <c r="G21" t="inlineStr">
        <is>
          <t>No</t>
        </is>
      </c>
      <c r="H21" s="25" t="n">
        <v>2000</v>
      </c>
      <c r="I21" s="26" t="n">
        <v>779090593</v>
      </c>
      <c r="J21" s="26" t="n">
        <v>20679440</v>
      </c>
      <c r="K21" s="26" t="n">
        <v>54569532</v>
      </c>
      <c r="L21" s="26">
        <f>J21-K21</f>
        <v>-33890092</v>
      </c>
      <c r="M21" s="26">
        <f>I21+L21</f>
        <v>745200501</v>
      </c>
      <c r="N21" s="26" t="n">
        <v>432764000</v>
      </c>
      <c r="O21" s="26" t="n">
        <v>850131200</v>
      </c>
      <c r="P21" s="26">
        <f>MAX(0,N21-M21)</f>
        <v>0</v>
      </c>
      <c r="Q21" s="26">
        <f>MAX(0,M21-O21)</f>
        <v>0</v>
      </c>
      <c r="R21" t="inlineStr">
        <is>
          <t>bajo</t>
        </is>
      </c>
      <c r="S21" t="inlineStr">
        <is>
          <t>traslado_fondos</t>
        </is>
      </c>
      <c r="T21" t="inlineStr">
        <is>
          <t>entrada</t>
        </is>
      </c>
      <c r="U21" s="26" t="n">
        <v>34000</v>
      </c>
      <c r="V21" t="inlineStr">
        <is>
          <t>CALI|TRANSPORTADORA_004</t>
        </is>
      </c>
      <c r="W21" t="inlineStr">
        <is>
          <t>CALI|TRANSPORTADORA_001</t>
        </is>
      </c>
      <c r="X21" s="26">
        <f>IF(T21="entrada",M21+U21,IF(T21="salida",M21-U21,M21))</f>
        <v>745234501</v>
      </c>
      <c r="Y21" s="26" t="n">
        <v>0</v>
      </c>
      <c r="Z21" t="inlineStr">
        <is>
          <t>Menor costo neto entre las alternativas que cubren la necesidad completa</t>
        </is>
      </c>
      <c r="AA21" t="inlineStr">
        <is>
          <t>SUP-08, SUP-10</t>
        </is>
      </c>
      <c r="AB21" t="inlineStr">
        <is>
          <t>Contraparte del traslado P00088 en la denominacion 2000: recibe $34.000 de CALI|TRANSPORTADORA_004. Saldo de esta fila: $745.200.501 antes y $745.234.501 despues (minimo $432.764.000, maximo $850.131.200). Necesidad que la origina, en CALI|TRANSPORTADORA_004: Excedente de $32.687 en la denominacion 2000: saldo $6.666.687 sobre el maximo $6.634.000. Elegida: traslado con CALI|TRANSPORTADORA_001 ($34.000; costo $0). Es preferible porque tiene el menor costo neto. Otras alternativas: traslado con CALI|TRANSPORTADORA_002 ($34.000; costo $0); traslado con CALI|TRANSPORTADORA_003 ($34.000; costo $0); conservar ($34.000; costo de almacenar $1); venta: dia no habil (sabado, domingo o festivo; RN-71A); consignacion BanRep: dia no habil (sabado, domingo o festivo; RN-71A); traslado hacia 1 fondo(s) con espacio: ruta sin tarifa en el Anexo E (prohibida).</t>
        </is>
      </c>
      <c r="AC21" t="inlineStr">
        <is>
          <t>Cierre del dia anterior (saldo encadenado, RN-71)</t>
        </is>
      </c>
      <c r="AD21" t="inlineStr">
        <is>
          <t>estimada</t>
        </is>
      </c>
      <c r="AE21" t="inlineStr">
        <is>
          <t>Participacion historica por denominacion (SUP-09)</t>
        </is>
      </c>
    </row>
    <row r="22">
      <c r="A22" t="inlineStr">
        <is>
          <t>PRAGMA</t>
        </is>
      </c>
      <c r="B22" t="inlineStr">
        <is>
          <t>CALI|TRANSPORTADORA_001</t>
        </is>
      </c>
      <c r="C22" t="inlineStr">
        <is>
          <t>Cali</t>
        </is>
      </c>
      <c r="D22" t="inlineStr">
        <is>
          <t>TRANSPORTADORA_001</t>
        </is>
      </c>
      <c r="E22" s="23" t="n">
        <v>46265</v>
      </c>
      <c r="F22" s="23" t="n">
        <v>46279</v>
      </c>
      <c r="G22" t="inlineStr">
        <is>
          <t>Sí</t>
        </is>
      </c>
      <c r="H22" s="25" t="n">
        <v>2000</v>
      </c>
      <c r="I22" s="26" t="n">
        <v>745234501</v>
      </c>
      <c r="J22" s="26" t="n">
        <v>316794769</v>
      </c>
      <c r="K22" s="26" t="n">
        <v>127864977</v>
      </c>
      <c r="L22" s="26">
        <f>J22-K22</f>
        <v>188929792</v>
      </c>
      <c r="M22" s="26">
        <f>I22+L22</f>
        <v>934164293</v>
      </c>
      <c r="N22" s="26" t="n">
        <v>432764000</v>
      </c>
      <c r="O22" s="26" t="n">
        <v>850131200</v>
      </c>
      <c r="P22" s="26">
        <f>MAX(0,N22-M22)</f>
        <v>0</v>
      </c>
      <c r="Q22" s="26">
        <f>MAX(0,M22-O22)</f>
        <v>84033093</v>
      </c>
      <c r="R22" t="inlineStr">
        <is>
          <t>bajo</t>
        </is>
      </c>
      <c r="S22" t="inlineStr">
        <is>
          <t>venta_efectivo</t>
        </is>
      </c>
      <c r="T22" t="inlineStr">
        <is>
          <t>salida</t>
        </is>
      </c>
      <c r="U22" s="26" t="n">
        <v>84034000</v>
      </c>
      <c r="V22" t="inlineStr">
        <is>
          <t>CALI|TRANSPORTADORA_001</t>
        </is>
      </c>
      <c r="X22" s="26">
        <f>IF(T22="entrada",M22+U22,IF(T22="salida",M22-U22,M22))</f>
        <v>850130293</v>
      </c>
      <c r="Y22" s="26" t="n">
        <v>0</v>
      </c>
      <c r="Z22" t="inlineStr">
        <is>
          <t>Menor costo neto entre las alternativas que cubren la necesidad completa</t>
        </is>
      </c>
      <c r="AA22" t="inlineStr">
        <is>
          <t>SUP-08, SUP-10, SUP-23</t>
        </is>
      </c>
      <c r="AB22" t="inlineStr">
        <is>
          <t>Excedente de $84.033.093 en la denominacion 2000: saldo $934.164.293 sobre el maximo $850.131.200. Elegida: venta ($84.034.000; beneficio de referencia $33.614). Es preferible porque tiene el menor costo neto. Otras alternativas: traslado con CALI|TRANSPORTADORA_003 ($84.034.000; costo $0); conservar ($84.034.000; costo de almacenar $1.647); consignacion BanRep ($84.034.000; costo $144.957).</t>
        </is>
      </c>
      <c r="AC22" t="inlineStr">
        <is>
          <t>Cierre del dia anterior (saldo encadenado, RN-71)</t>
        </is>
      </c>
      <c r="AD22" t="inlineStr">
        <is>
          <t>estimada</t>
        </is>
      </c>
      <c r="AE22" t="inlineStr">
        <is>
          <t>Participacion historica por denominacion (SUP-09)</t>
        </is>
      </c>
    </row>
    <row r="23">
      <c r="A23" t="inlineStr">
        <is>
          <t>PRAGMA</t>
        </is>
      </c>
      <c r="B23" t="inlineStr">
        <is>
          <t>CALI|TRANSPORTADORA_001</t>
        </is>
      </c>
      <c r="C23" t="inlineStr">
        <is>
          <t>Cali</t>
        </is>
      </c>
      <c r="D23" t="inlineStr">
        <is>
          <t>TRANSPORTADORA_001</t>
        </is>
      </c>
      <c r="E23" s="23" t="n">
        <v>46265</v>
      </c>
      <c r="F23" s="23" t="n">
        <v>46280</v>
      </c>
      <c r="G23" t="inlineStr">
        <is>
          <t>Sí</t>
        </is>
      </c>
      <c r="H23" s="25" t="n">
        <v>2000</v>
      </c>
      <c r="I23" s="26" t="n">
        <v>850130293</v>
      </c>
      <c r="J23" s="26" t="n">
        <v>245666710</v>
      </c>
      <c r="K23" s="26" t="n">
        <v>176823279</v>
      </c>
      <c r="L23" s="26">
        <f>J23-K23</f>
        <v>68843431</v>
      </c>
      <c r="M23" s="26">
        <f>I23+L23</f>
        <v>918973724</v>
      </c>
      <c r="N23" s="26" t="n">
        <v>432764000</v>
      </c>
      <c r="O23" s="26" t="n">
        <v>850131200</v>
      </c>
      <c r="P23" s="26">
        <f>MAX(0,N23-M23)</f>
        <v>0</v>
      </c>
      <c r="Q23" s="26">
        <f>MAX(0,M23-O23)</f>
        <v>68842524</v>
      </c>
      <c r="R23" t="inlineStr">
        <is>
          <t>bajo</t>
        </is>
      </c>
      <c r="S23" t="inlineStr">
        <is>
          <t>venta_efectivo</t>
        </is>
      </c>
      <c r="T23" t="inlineStr">
        <is>
          <t>salida</t>
        </is>
      </c>
      <c r="U23" s="26" t="n">
        <v>68844000</v>
      </c>
      <c r="V23" t="inlineStr">
        <is>
          <t>CALI|TRANSPORTADORA_001</t>
        </is>
      </c>
      <c r="X23" s="26">
        <f>IF(T23="entrada",M23+U23,IF(T23="salida",M23-U23,M23))</f>
        <v>850129724</v>
      </c>
      <c r="Y23" s="26" t="n">
        <v>0</v>
      </c>
      <c r="Z23" t="inlineStr">
        <is>
          <t>Menor costo neto entre las alternativas que cubren la necesidad completa</t>
        </is>
      </c>
      <c r="AA23" t="inlineStr">
        <is>
          <t>SUP-08, SUP-10, SUP-23</t>
        </is>
      </c>
      <c r="AB23" t="inlineStr">
        <is>
          <t>Excedente de $68.842.525 en la denominacion 2000: saldo $918.973.725 sobre el maximo $850.131.200. Elegida: venta ($68.844.000; beneficio de referencia $27.538). Es preferible porque tiene el menor costo neto. Otras alternativas: traslado con CALI|TRANSPORTADORA_003 ($68.844.000; costo $0); conservar ($68.844.000; costo de almacenar $675); consignacion BanRep ($68.844.000; costo $141.175).</t>
        </is>
      </c>
      <c r="AC23" t="inlineStr">
        <is>
          <t>Cierre del dia anterior (saldo encadenado, RN-71)</t>
        </is>
      </c>
      <c r="AD23" t="inlineStr">
        <is>
          <t>estimada</t>
        </is>
      </c>
      <c r="AE23" t="inlineStr">
        <is>
          <t>Participacion historica por denominacion (SUP-09)</t>
        </is>
      </c>
    </row>
    <row r="24">
      <c r="A24" t="inlineStr">
        <is>
          <t>PRAGMA</t>
        </is>
      </c>
      <c r="B24" t="inlineStr">
        <is>
          <t>CALI|TRANSPORTADORA_001</t>
        </is>
      </c>
      <c r="C24" t="inlineStr">
        <is>
          <t>Cali</t>
        </is>
      </c>
      <c r="D24" t="inlineStr">
        <is>
          <t>TRANSPORTADORA_001</t>
        </is>
      </c>
      <c r="E24" s="23" t="n">
        <v>46265</v>
      </c>
      <c r="F24" s="23" t="n">
        <v>46266</v>
      </c>
      <c r="G24" t="inlineStr">
        <is>
          <t>Sí</t>
        </is>
      </c>
      <c r="H24" s="25" t="n">
        <v>5000</v>
      </c>
      <c r="I24" s="26" t="n">
        <v>1188325000</v>
      </c>
      <c r="J24" s="26" t="n">
        <v>481803536</v>
      </c>
      <c r="K24" s="26" t="n">
        <v>440644772</v>
      </c>
      <c r="L24" s="26">
        <f>J24-K24</f>
        <v>41158764</v>
      </c>
      <c r="M24" s="26">
        <f>I24+L24</f>
        <v>1229483764</v>
      </c>
      <c r="N24" s="26" t="n">
        <v>860590484</v>
      </c>
      <c r="O24" s="26" t="n">
        <v>2038848000</v>
      </c>
      <c r="P24" s="26">
        <f>MAX(0,N24-M24)</f>
        <v>0</v>
      </c>
      <c r="Q24" s="26">
        <f>MAX(0,M24-O24)</f>
        <v>0</v>
      </c>
      <c r="R24" t="inlineStr">
        <is>
          <t>bajo</t>
        </is>
      </c>
      <c r="S24" t="inlineStr">
        <is>
          <t>traslado_fondos</t>
        </is>
      </c>
      <c r="T24" t="inlineStr">
        <is>
          <t>salida</t>
        </is>
      </c>
      <c r="U24" s="26" t="n">
        <v>62335000</v>
      </c>
      <c r="V24" t="inlineStr">
        <is>
          <t>CALI|TRANSPORTADORA_001</t>
        </is>
      </c>
      <c r="W24" t="inlineStr">
        <is>
          <t>CALI|TRANSPORTADORA_003</t>
        </is>
      </c>
      <c r="X24" s="26">
        <f>IF(T24="entrada",M24+U24,IF(T24="salida",M24-U24,M24))</f>
        <v>1167148764</v>
      </c>
      <c r="Y24" s="26" t="n">
        <v>0</v>
      </c>
      <c r="Z24" t="inlineStr">
        <is>
          <t>Menor costo neto entre las alternativas que cubren la necesidad completa</t>
        </is>
      </c>
      <c r="AA24" t="inlineStr">
        <is>
          <t>SUP-08, SUP-10</t>
        </is>
      </c>
      <c r="AB24" t="inlineStr">
        <is>
          <t>Contraparte del traslado P00003 en la denominacion 5000: entrega $62.335.000 a CALI|TRANSPORTADORA_003. Saldo de esta fila: $1.229.483.764 antes y $1.167.148.764 despues (minimo $860.590.484, maximo $2.038.848.000). Necesidad que la origina, en CALI|TRANSPORTADORA_003: Faltante de $62.330.552 en la denominacion 5000: saldo $186.669.448 bajo el minimo $249.000.000. Elegida: traslado con CALI|TRANSPORTADORA_001 ($62.335.000; costo $0). Es preferible porque tiene el menor costo neto. Otras alternativas: traslado con CALI|TRANSPORTADORA_002 ($62.335.000; costo $0); traslado con CALI|TRANSPORTADORA_004 ($8.885.000; costo $0, cubre solo una parte); retiro BanRep ($62.335.000; costo $152.417); traslado con IPIALES|TRANSPORTADORA_002 ($62.335.000; costo $216.835); traslado con PASTO|TRANSPORTADORA_001 ($62.335.000; costo $867.727); cambio de denominacion: ninguna otra denominacion del fondo supera su maximo.</t>
        </is>
      </c>
      <c r="AC24" t="inlineStr">
        <is>
          <t>Ultimo disponible al 31/08/2026 (SUP-07)</t>
        </is>
      </c>
      <c r="AD24" t="inlineStr">
        <is>
          <t>estimada</t>
        </is>
      </c>
      <c r="AE24" t="inlineStr">
        <is>
          <t>Participacion historica por denominacion (SUP-09)</t>
        </is>
      </c>
    </row>
    <row r="25">
      <c r="A25" t="inlineStr">
        <is>
          <t>PRAGMA</t>
        </is>
      </c>
      <c r="B25" t="inlineStr">
        <is>
          <t>CALI|TRANSPORTADORA_001</t>
        </is>
      </c>
      <c r="C25" t="inlineStr">
        <is>
          <t>Cali</t>
        </is>
      </c>
      <c r="D25" t="inlineStr">
        <is>
          <t>TRANSPORTADORA_001</t>
        </is>
      </c>
      <c r="E25" s="23" t="n">
        <v>46265</v>
      </c>
      <c r="F25" s="23" t="n">
        <v>46267</v>
      </c>
      <c r="G25" t="inlineStr">
        <is>
          <t>Sí</t>
        </is>
      </c>
      <c r="H25" s="25" t="n">
        <v>5000</v>
      </c>
      <c r="I25" s="26" t="n">
        <v>1167148764</v>
      </c>
      <c r="J25" s="26" t="n">
        <v>451336450</v>
      </c>
      <c r="K25" s="26" t="n">
        <v>356022293</v>
      </c>
      <c r="L25" s="26">
        <f>J25-K25</f>
        <v>95314157</v>
      </c>
      <c r="M25" s="26">
        <f>I25+L25</f>
        <v>1262462921</v>
      </c>
      <c r="N25" s="26" t="n">
        <v>860590484</v>
      </c>
      <c r="O25" s="26" t="n">
        <v>2038848000</v>
      </c>
      <c r="P25" s="26">
        <f>MAX(0,N25-M25)</f>
        <v>0</v>
      </c>
      <c r="Q25" s="26">
        <f>MAX(0,M25-O25)</f>
        <v>0</v>
      </c>
      <c r="R25" t="inlineStr">
        <is>
          <t>bajo</t>
        </is>
      </c>
      <c r="S25" t="inlineStr">
        <is>
          <t>traslado_fondos</t>
        </is>
      </c>
      <c r="T25" t="inlineStr">
        <is>
          <t>salida</t>
        </is>
      </c>
      <c r="U25" s="26" t="n">
        <v>35595000</v>
      </c>
      <c r="V25" t="inlineStr">
        <is>
          <t>CALI|TRANSPORTADORA_001</t>
        </is>
      </c>
      <c r="W25" t="inlineStr">
        <is>
          <t>CALI|TRANSPORTADORA_003</t>
        </is>
      </c>
      <c r="X25" s="26">
        <f>IF(T25="entrada",M25+U25,IF(T25="salida",M25-U25,M25))</f>
        <v>1226867921</v>
      </c>
      <c r="Y25" s="26" t="n">
        <v>0</v>
      </c>
      <c r="Z25" t="inlineStr">
        <is>
          <t>Menor costo neto entre las alternativas que cubren la necesidad completa</t>
        </is>
      </c>
      <c r="AA25" t="inlineStr">
        <is>
          <t>SUP-08, SUP-10</t>
        </is>
      </c>
      <c r="AB25" t="inlineStr">
        <is>
          <t>Contraparte del traslado P00011 en la denominacion 5000: entrega $35.595.000 a CALI|TRANSPORTADORA_003. Saldo de esta fila: $1.262.462.920 antes y $1.226.867.920 despues (minimo $860.590.484, maximo $2.038.848.000). Necesidad que la origina, en CALI|TRANSPORTADORA_003: Faltante de $35.590.382 en la denominacion 5000: saldo $213.409.618 bajo el minimo $249.000.000. Elegida: traslado con CALI|TRANSPORTADORA_001 ($35.595.000; costo $0). Es preferible porque tiene el menor costo neto. Otras alternativas: traslado con CALI|TRANSPORTADORA_002 ($35.595.000; costo $0); traslado con CALI|TRANSPORTADORA_004 ($9.115.000; costo $0, cubre solo una parte); retiro BanRep ($35.595.000; costo $141.454); traslado con IPIALES|TRANSPORTADORA_002 ($35.595.000; costo $193.518); traslado con PASTO|TRANSPORTADORA_001 ($35.595.000; costo $842.136); cambio de denominacion: ninguna otra denominacion del fondo supera su maximo.</t>
        </is>
      </c>
      <c r="AC25" t="inlineStr">
        <is>
          <t>Cierre del dia anterior (saldo encadenado, RN-71)</t>
        </is>
      </c>
      <c r="AD25" t="inlineStr">
        <is>
          <t>estimada</t>
        </is>
      </c>
      <c r="AE25" t="inlineStr">
        <is>
          <t>Participacion historica por denominacion (SUP-09)</t>
        </is>
      </c>
    </row>
    <row r="26">
      <c r="A26" t="inlineStr">
        <is>
          <t>PRAGMA</t>
        </is>
      </c>
      <c r="B26" t="inlineStr">
        <is>
          <t>CALI|TRANSPORTADORA_001</t>
        </is>
      </c>
      <c r="C26" t="inlineStr">
        <is>
          <t>Cali</t>
        </is>
      </c>
      <c r="D26" t="inlineStr">
        <is>
          <t>TRANSPORTADORA_001</t>
        </is>
      </c>
      <c r="E26" s="23" t="n">
        <v>46265</v>
      </c>
      <c r="F26" s="23" t="n">
        <v>46268</v>
      </c>
      <c r="G26" t="inlineStr">
        <is>
          <t>Sí</t>
        </is>
      </c>
      <c r="H26" s="25" t="n">
        <v>5000</v>
      </c>
      <c r="I26" s="26" t="n">
        <v>1226867920</v>
      </c>
      <c r="J26" s="26" t="n">
        <v>557749409</v>
      </c>
      <c r="K26" s="26" t="n">
        <v>311735916</v>
      </c>
      <c r="L26" s="26">
        <f>J26-K26</f>
        <v>246013493</v>
      </c>
      <c r="M26" s="26">
        <f>I26+L26</f>
        <v>1472881413</v>
      </c>
      <c r="N26" s="26" t="n">
        <v>860590484</v>
      </c>
      <c r="O26" s="26" t="n">
        <v>2038848000</v>
      </c>
      <c r="P26" s="26">
        <f>MAX(0,N26-M26)</f>
        <v>0</v>
      </c>
      <c r="Q26" s="26">
        <f>MAX(0,M26-O26)</f>
        <v>0</v>
      </c>
      <c r="R26" t="inlineStr">
        <is>
          <t>bajo</t>
        </is>
      </c>
      <c r="S26" t="inlineStr">
        <is>
          <t>sin_accion</t>
        </is>
      </c>
      <c r="T26" t="inlineStr">
        <is>
          <t>ninguno</t>
        </is>
      </c>
      <c r="U26" s="26" t="n">
        <v>0</v>
      </c>
      <c r="X26" s="26">
        <f>IF(T26="entrada",M26+U26,IF(T26="salida",M26-U26,M26))</f>
        <v>1472881413</v>
      </c>
      <c r="Y26" s="26" t="n">
        <v>0</v>
      </c>
      <c r="Z26" t="inlineStr">
        <is>
          <t>RN-85: dentro de niveles objetivo (sin_accion)</t>
        </is>
      </c>
      <c r="AA26" t="inlineStr">
        <is>
          <t>SUP-07, SUP-10</t>
        </is>
      </c>
      <c r="AB26" t="inlineStr">
        <is>
          <t>Saldo dentro del rango objetivo; sin accion.</t>
        </is>
      </c>
      <c r="AC26" t="inlineStr">
        <is>
          <t>Cierre del dia anterior (saldo encadenado, RN-71)</t>
        </is>
      </c>
      <c r="AD26" t="inlineStr">
        <is>
          <t>estimada</t>
        </is>
      </c>
      <c r="AE26" t="inlineStr">
        <is>
          <t>Participacion historica por denominacion (SUP-09)</t>
        </is>
      </c>
    </row>
    <row r="27">
      <c r="A27" t="inlineStr">
        <is>
          <t>PRAGMA</t>
        </is>
      </c>
      <c r="B27" t="inlineStr">
        <is>
          <t>CALI|TRANSPORTADORA_001</t>
        </is>
      </c>
      <c r="C27" t="inlineStr">
        <is>
          <t>Cali</t>
        </is>
      </c>
      <c r="D27" t="inlineStr">
        <is>
          <t>TRANSPORTADORA_001</t>
        </is>
      </c>
      <c r="E27" s="23" t="n">
        <v>46265</v>
      </c>
      <c r="F27" s="23" t="n">
        <v>46269</v>
      </c>
      <c r="G27" t="inlineStr">
        <is>
          <t>Sí</t>
        </is>
      </c>
      <c r="H27" s="25" t="n">
        <v>5000</v>
      </c>
      <c r="I27" s="26" t="n">
        <v>1472881414</v>
      </c>
      <c r="J27" s="26" t="n">
        <v>523225563</v>
      </c>
      <c r="K27" s="26" t="n">
        <v>346141712</v>
      </c>
      <c r="L27" s="26">
        <f>J27-K27</f>
        <v>177083851</v>
      </c>
      <c r="M27" s="26">
        <f>I27+L27</f>
        <v>1649965265</v>
      </c>
      <c r="N27" s="26" t="n">
        <v>860590484</v>
      </c>
      <c r="O27" s="26" t="n">
        <v>2038848000</v>
      </c>
      <c r="P27" s="26">
        <f>MAX(0,N27-M27)</f>
        <v>0</v>
      </c>
      <c r="Q27" s="26">
        <f>MAX(0,M27-O27)</f>
        <v>0</v>
      </c>
      <c r="R27" t="inlineStr">
        <is>
          <t>bajo</t>
        </is>
      </c>
      <c r="S27" t="inlineStr">
        <is>
          <t>traslado_fondos</t>
        </is>
      </c>
      <c r="T27" t="inlineStr">
        <is>
          <t>salida</t>
        </is>
      </c>
      <c r="U27" s="26" t="n">
        <v>22090000</v>
      </c>
      <c r="V27" t="inlineStr">
        <is>
          <t>CALI|TRANSPORTADORA_001</t>
        </is>
      </c>
      <c r="W27" t="inlineStr">
        <is>
          <t>CALI|TRANSPORTADORA_003</t>
        </is>
      </c>
      <c r="X27" s="26">
        <f>IF(T27="entrada",M27+U27,IF(T27="salida",M27-U27,M27))</f>
        <v>1627875265</v>
      </c>
      <c r="Y27" s="26" t="n">
        <v>0</v>
      </c>
      <c r="Z27" t="inlineStr">
        <is>
          <t>Menor costo neto entre las alternativas que cubren la necesidad completa</t>
        </is>
      </c>
      <c r="AA27" t="inlineStr">
        <is>
          <t>SUP-08, SUP-10</t>
        </is>
      </c>
      <c r="AB27" t="inlineStr">
        <is>
          <t>Contraparte del traslado P00023 en la denominacion 5000: entrega $22.090.000 a CALI|TRANSPORTADORA_003. Saldo de esta fila: $1.649.965.265 antes y $1.627.875.265 despues (minimo $860.590.484, maximo $2.038.848.000). Necesidad que la origina, en CALI|TRANSPORTADORA_003: Faltante de $22.088.719 en la denominacion 5000: saldo $226.911.281 bajo el minimo $249.000.000. Elegida: traslado con CALI|TRANSPORTADORA_001 ($22.090.000; costo $0). Es preferible porque tiene el menor costo neto. Otras alternativas: traslado con CALI|TRANSPORTADORA_002 ($22.090.000; costo $0); traslado con CALI|TRANSPORTADORA_004 ($9.735.000; costo $0, cubre solo una parte); retiro BanRep ($22.090.000; costo $135.917); traslado con IPIALES|TRANSPORTADORA_002 ($22.090.000; costo $181.741); traslado con PASTO|TRANSPORTADORA_001 ($22.090.000; costo $829.212); cambio de denominacion: ninguna otra denominacion del fondo supera su maximo.</t>
        </is>
      </c>
      <c r="AC27" t="inlineStr">
        <is>
          <t>Cierre del dia anterior (saldo encadenado, RN-71)</t>
        </is>
      </c>
      <c r="AD27" t="inlineStr">
        <is>
          <t>estimada</t>
        </is>
      </c>
      <c r="AE27" t="inlineStr">
        <is>
          <t>Participacion historica por denominacion (SUP-09)</t>
        </is>
      </c>
    </row>
    <row r="28">
      <c r="A28" t="inlineStr">
        <is>
          <t>PRAGMA</t>
        </is>
      </c>
      <c r="B28" t="inlineStr">
        <is>
          <t>CALI|TRANSPORTADORA_001</t>
        </is>
      </c>
      <c r="C28" t="inlineStr">
        <is>
          <t>Cali</t>
        </is>
      </c>
      <c r="D28" t="inlineStr">
        <is>
          <t>TRANSPORTADORA_001</t>
        </is>
      </c>
      <c r="E28" s="23" t="n">
        <v>46265</v>
      </c>
      <c r="F28" s="23" t="n">
        <v>46269</v>
      </c>
      <c r="G28" t="inlineStr">
        <is>
          <t>Sí</t>
        </is>
      </c>
      <c r="H28" s="25" t="n">
        <v>5000</v>
      </c>
      <c r="I28" s="26" t="n">
        <v>1627875265</v>
      </c>
      <c r="J28" s="26" t="n">
        <v>0</v>
      </c>
      <c r="K28" s="26" t="n">
        <v>0</v>
      </c>
      <c r="L28" s="26">
        <f>J28-K28</f>
        <v>0</v>
      </c>
      <c r="M28" s="26">
        <f>I28+L28</f>
        <v>1627875265</v>
      </c>
      <c r="N28" s="26" t="n">
        <v>860590484</v>
      </c>
      <c r="O28" s="26" t="n">
        <v>2038848000</v>
      </c>
      <c r="P28" s="26">
        <f>MAX(0,N28-M28)</f>
        <v>0</v>
      </c>
      <c r="Q28" s="26">
        <f>MAX(0,M28-O28)</f>
        <v>0</v>
      </c>
      <c r="R28" t="inlineStr">
        <is>
          <t>bajo</t>
        </is>
      </c>
      <c r="S28" t="inlineStr">
        <is>
          <t>traslado_fondos</t>
        </is>
      </c>
      <c r="T28" t="inlineStr">
        <is>
          <t>entrada</t>
        </is>
      </c>
      <c r="U28" s="26" t="n">
        <v>325000</v>
      </c>
      <c r="V28" t="inlineStr">
        <is>
          <t>CALI|TRANSPORTADORA_004</t>
        </is>
      </c>
      <c r="W28" t="inlineStr">
        <is>
          <t>CALI|TRANSPORTADORA_001</t>
        </is>
      </c>
      <c r="X28" s="26">
        <f>IF(T28="entrada",M28+U28,IF(T28="salida",M28-U28,M28))</f>
        <v>1628200265</v>
      </c>
      <c r="Y28" s="26" t="n">
        <v>0</v>
      </c>
      <c r="Z28" t="inlineStr">
        <is>
          <t>Menor costo neto entre las alternativas que cubren la necesidad completa</t>
        </is>
      </c>
      <c r="AA28" t="inlineStr">
        <is>
          <t>SUP-08, SUP-10</t>
        </is>
      </c>
      <c r="AB28" t="inlineStr">
        <is>
          <t>Contraparte del traslado P00028 en la denominacion 5000: recibe $325.000 de CALI|TRANSPORTADORA_004. Saldo de esta fila: $1.627.875.265 antes y $1.628.200.265 despues (minimo $860.590.484, maximo $2.038.848.000). Necesidad que la origina, en CALI|TRANSPORTADORA_004: Excedente de $323.498 en la denominacion 5000: saldo $10.145.998 sobre el maximo $9.822.500. Elegida: traslado con CALI|TRANSPORTADORA_001 ($325.000; costo $0). Es preferible porque tiene el menor costo neto. Otras alternativas: traslado con CALI|TRANSPORTADORA_002 ($325.000; costo $0); traslado con CALI|TRANSPORTADORA_003 ($325.000; costo $0); conservar ($325.000; costo de almacenar $41); consignacion BanRep ($325.000; costo $120.853); venta: no habilitada en este fondo (sin historico o fuera de las ciudades BanRep); traslado hacia 1 fondo(s) con espacio: ruta sin tarifa en el Anexo E (prohibida).</t>
        </is>
      </c>
      <c r="AC28" t="inlineStr">
        <is>
          <t>Cierre del dia anterior (saldo encadenado, RN-71)</t>
        </is>
      </c>
      <c r="AD28" t="inlineStr">
        <is>
          <t>estimada</t>
        </is>
      </c>
      <c r="AE28" t="inlineStr">
        <is>
          <t>Participacion historica por denominacion (SUP-09)</t>
        </is>
      </c>
    </row>
    <row r="29">
      <c r="A29" t="inlineStr">
        <is>
          <t>PRAGMA</t>
        </is>
      </c>
      <c r="B29" t="inlineStr">
        <is>
          <t>CALI|TRANSPORTADORA_001</t>
        </is>
      </c>
      <c r="C29" t="inlineStr">
        <is>
          <t>Cali</t>
        </is>
      </c>
      <c r="D29" t="inlineStr">
        <is>
          <t>TRANSPORTADORA_001</t>
        </is>
      </c>
      <c r="E29" s="23" t="n">
        <v>46265</v>
      </c>
      <c r="F29" s="23" t="n">
        <v>46270</v>
      </c>
      <c r="G29" t="inlineStr">
        <is>
          <t>No</t>
        </is>
      </c>
      <c r="H29" s="25" t="n">
        <v>5000</v>
      </c>
      <c r="I29" s="26" t="n">
        <v>1628200265</v>
      </c>
      <c r="J29" s="26" t="n">
        <v>92890770</v>
      </c>
      <c r="K29" s="26" t="n">
        <v>285486673</v>
      </c>
      <c r="L29" s="26">
        <f>J29-K29</f>
        <v>-192595903</v>
      </c>
      <c r="M29" s="26">
        <f>I29+L29</f>
        <v>1435604362</v>
      </c>
      <c r="N29" s="26" t="n">
        <v>860590484</v>
      </c>
      <c r="O29" s="26" t="n">
        <v>2038848000</v>
      </c>
      <c r="P29" s="26">
        <f>MAX(0,N29-M29)</f>
        <v>0</v>
      </c>
      <c r="Q29" s="26">
        <f>MAX(0,M29-O29)</f>
        <v>0</v>
      </c>
      <c r="R29" t="inlineStr">
        <is>
          <t>bajo</t>
        </is>
      </c>
      <c r="S29" t="inlineStr">
        <is>
          <t>traslado_fondos</t>
        </is>
      </c>
      <c r="T29" t="inlineStr">
        <is>
          <t>salida</t>
        </is>
      </c>
      <c r="U29" s="26" t="n">
        <v>117645000</v>
      </c>
      <c r="V29" t="inlineStr">
        <is>
          <t>CALI|TRANSPORTADORA_001</t>
        </is>
      </c>
      <c r="W29" t="inlineStr">
        <is>
          <t>CALI|TRANSPORTADORA_003</t>
        </is>
      </c>
      <c r="X29" s="26">
        <f>IF(T29="entrada",M29+U29,IF(T29="salida",M29-U29,M29))</f>
        <v>1317959362</v>
      </c>
      <c r="Y29" s="26" t="n">
        <v>0</v>
      </c>
      <c r="Z29" t="inlineStr">
        <is>
          <t>Menor costo neto entre las alternativas que cubren la necesidad completa</t>
        </is>
      </c>
      <c r="AA29" t="inlineStr">
        <is>
          <t>SUP-08, SUP-10</t>
        </is>
      </c>
      <c r="AB29" t="inlineStr">
        <is>
          <t>Contraparte del traslado P00032 en la denominacion 5000: entrega $117.645.000 a CALI|TRANSPORTADORA_003. Saldo de esta fila: $1.435.604.361 antes y $1.317.959.361 despues (minimo $860.590.484, maximo $2.038.848.000). Necesidad que la origina, en CALI|TRANSPORTADORA_003: Faltante de $117.643.120 en la denominacion 5000: saldo $131.356.880 bajo el minimo $249.000.000. Elegida: traslado con CALI|TRANSPORTADORA_001 ($117.645.000; costo $0). Es preferible porque tiene el menor costo neto. Otras alternativas: traslado con CALI|TRANSPORTADORA_002 ($117.645.000; costo $0); traslado con CALI|TRANSPORTADORA_004 ($9.485.000; costo $0, cubre solo una parte); traslado con IPIALES|TRANSPORTADORA_002 ($117.645.000; costo $265.065); traslado con PASTO|TRANSPORTADORA_001 ($117.645.000; costo $920.658); retiro BanRep: dia no habil (sabado, domingo o festivo; RN-71A); cambio de denominacion: dia no habil (sabado, domingo o festivo; RN-71A).</t>
        </is>
      </c>
      <c r="AC29" t="inlineStr">
        <is>
          <t>Cierre del dia anterior (saldo encadenado, RN-71)</t>
        </is>
      </c>
      <c r="AD29" t="inlineStr">
        <is>
          <t>estimada</t>
        </is>
      </c>
      <c r="AE29" t="inlineStr">
        <is>
          <t>Participacion historica por denominacion (SUP-09)</t>
        </is>
      </c>
    </row>
    <row r="30">
      <c r="A30" t="inlineStr">
        <is>
          <t>PRAGMA</t>
        </is>
      </c>
      <c r="B30" t="inlineStr">
        <is>
          <t>CALI|TRANSPORTADORA_001</t>
        </is>
      </c>
      <c r="C30" t="inlineStr">
        <is>
          <t>Cali</t>
        </is>
      </c>
      <c r="D30" t="inlineStr">
        <is>
          <t>TRANSPORTADORA_001</t>
        </is>
      </c>
      <c r="E30" s="23" t="n">
        <v>46265</v>
      </c>
      <c r="F30" s="23" t="n">
        <v>46270</v>
      </c>
      <c r="G30" t="inlineStr">
        <is>
          <t>No</t>
        </is>
      </c>
      <c r="H30" s="25" t="n">
        <v>5000</v>
      </c>
      <c r="I30" s="26" t="n">
        <v>1317959361</v>
      </c>
      <c r="J30" s="26" t="n">
        <v>0</v>
      </c>
      <c r="K30" s="26" t="n">
        <v>0</v>
      </c>
      <c r="L30" s="26">
        <f>J30-K30</f>
        <v>0</v>
      </c>
      <c r="M30" s="26">
        <f>I30+L30</f>
        <v>1317959361</v>
      </c>
      <c r="N30" s="26" t="n">
        <v>860590484</v>
      </c>
      <c r="O30" s="26" t="n">
        <v>2038848000</v>
      </c>
      <c r="P30" s="26">
        <f>MAX(0,N30-M30)</f>
        <v>0</v>
      </c>
      <c r="Q30" s="26">
        <f>MAX(0,M30-O30)</f>
        <v>0</v>
      </c>
      <c r="R30" t="inlineStr">
        <is>
          <t>bajo</t>
        </is>
      </c>
      <c r="S30" t="inlineStr">
        <is>
          <t>traslado_fondos</t>
        </is>
      </c>
      <c r="T30" t="inlineStr">
        <is>
          <t>entrada</t>
        </is>
      </c>
      <c r="U30" s="26" t="n">
        <v>75000</v>
      </c>
      <c r="V30" t="inlineStr">
        <is>
          <t>CALI|TRANSPORTADORA_004</t>
        </is>
      </c>
      <c r="W30" t="inlineStr">
        <is>
          <t>CALI|TRANSPORTADORA_001</t>
        </is>
      </c>
      <c r="X30" s="26">
        <f>IF(T30="entrada",M30+U30,IF(T30="salida",M30-U30,M30))</f>
        <v>1318034361</v>
      </c>
      <c r="Y30" s="26" t="n">
        <v>0</v>
      </c>
      <c r="Z30" t="inlineStr">
        <is>
          <t>Menor costo neto entre las alternativas que cubren la necesidad completa</t>
        </is>
      </c>
      <c r="AA30" t="inlineStr">
        <is>
          <t>SUP-08, SUP-10</t>
        </is>
      </c>
      <c r="AB30" t="inlineStr">
        <is>
          <t>Contraparte del traslado P00037 en la denominacion 5000: recibe $75.000 de CALI|TRANSPORTADORA_004. Saldo de esta fila: $1.317.959.361 antes y $1.318.034.361 despues (minimo $860.590.484, maximo $2.038.848.000). Necesidad que la origina, en CALI|TRANSPORTADORA_004: Excedente de $70.118 en la denominacion 5000: saldo $9.892.618 sobre el maximo $9.822.500. Elegida: traslado con CALI|TRANSPORTADORA_001 ($75.000; costo $0). Es preferible porque tiene el menor costo neto. Otras alternativas: traslado con CALI|TRANSPORTADORA_002 ($75.000; costo $0); traslado con CALI|TRANSPORTADORA_003 ($75.000; costo $0); conservar ($75.000; costo de almacenar $9); venta: dia no habil (sabado, domingo o festivo; RN-71A); consignacion BanRep: dia no habil (sabado, domingo o festivo; RN-71A); traslado hacia 1 fondo(s) con espacio: ruta sin tarifa en el Anexo E (prohibida).</t>
        </is>
      </c>
      <c r="AC30" t="inlineStr">
        <is>
          <t>Cierre del dia anterior (saldo encadenado, RN-71)</t>
        </is>
      </c>
      <c r="AD30" t="inlineStr">
        <is>
          <t>estimada</t>
        </is>
      </c>
      <c r="AE30" t="inlineStr">
        <is>
          <t>Participacion historica por denominacion (SUP-09)</t>
        </is>
      </c>
    </row>
    <row r="31">
      <c r="A31" t="inlineStr">
        <is>
          <t>PRAGMA</t>
        </is>
      </c>
      <c r="B31" t="inlineStr">
        <is>
          <t>CALI|TRANSPORTADORA_001</t>
        </is>
      </c>
      <c r="C31" t="inlineStr">
        <is>
          <t>Cali</t>
        </is>
      </c>
      <c r="D31" t="inlineStr">
        <is>
          <t>TRANSPORTADORA_001</t>
        </is>
      </c>
      <c r="E31" s="23" t="n">
        <v>46265</v>
      </c>
      <c r="F31" s="23" t="n">
        <v>46271</v>
      </c>
      <c r="G31" t="inlineStr">
        <is>
          <t>No</t>
        </is>
      </c>
      <c r="H31" s="25" t="n">
        <v>5000</v>
      </c>
      <c r="I31" s="26" t="n">
        <v>1318034361</v>
      </c>
      <c r="J31" s="26" t="n">
        <v>49545197</v>
      </c>
      <c r="K31" s="26" t="n">
        <v>139482589</v>
      </c>
      <c r="L31" s="26">
        <f>J31-K31</f>
        <v>-89937392</v>
      </c>
      <c r="M31" s="26">
        <f>I31+L31</f>
        <v>1228096969</v>
      </c>
      <c r="N31" s="26" t="n">
        <v>860590484</v>
      </c>
      <c r="O31" s="26" t="n">
        <v>2038848000</v>
      </c>
      <c r="P31" s="26">
        <f>MAX(0,N31-M31)</f>
        <v>0</v>
      </c>
      <c r="Q31" s="26">
        <f>MAX(0,M31-O31)</f>
        <v>0</v>
      </c>
      <c r="R31" t="inlineStr">
        <is>
          <t>bajo</t>
        </is>
      </c>
      <c r="S31" t="inlineStr">
        <is>
          <t>traslado_fondos</t>
        </is>
      </c>
      <c r="T31" t="inlineStr">
        <is>
          <t>salida</t>
        </is>
      </c>
      <c r="U31" s="26" t="n">
        <v>76410000</v>
      </c>
      <c r="V31" t="inlineStr">
        <is>
          <t>CALI|TRANSPORTADORA_001</t>
        </is>
      </c>
      <c r="W31" t="inlineStr">
        <is>
          <t>CALI|TRANSPORTADORA_003</t>
        </is>
      </c>
      <c r="X31" s="26">
        <f>IF(T31="entrada",M31+U31,IF(T31="salida",M31-U31,M31))</f>
        <v>1151686969</v>
      </c>
      <c r="Y31" s="26" t="n">
        <v>0</v>
      </c>
      <c r="Z31" t="inlineStr">
        <is>
          <t>Menor costo neto entre las alternativas que cubren la necesidad completa</t>
        </is>
      </c>
      <c r="AA31" t="inlineStr">
        <is>
          <t>SUP-08, SUP-10</t>
        </is>
      </c>
      <c r="AB31" t="inlineStr">
        <is>
          <t>Contraparte del traslado P00042 en la denominacion 5000: entrega $76.410.000 a CALI|TRANSPORTADORA_003. Saldo de esta fila: $1.228.096.969 antes y $1.151.686.969 despues (minimo $860.590.484, maximo $2.038.848.000). Necesidad que la origina, en CALI|TRANSPORTADORA_003: Faltante de $76.406.566 en la denominacion 5000: saldo $172.593.434 bajo el minimo $249.000.000. Elegida: traslado con CALI|TRANSPORTADORA_001 ($76.410.000; costo $0). Es preferible porque tiene el menor costo neto. Otras alternativas: traslado con CALI|TRANSPORTADORA_002 ($76.410.000; costo $0); traslado con CALI|TRANSPORTADORA_004 ($9.520.000; costo $0, cubre solo una parte); traslado con IPIALES|TRANSPORTADORA_002 ($76.410.000; costo $229.109); traslado con PASTO|TRANSPORTADORA_001 ($76.410.000; costo $881.196); retiro BanRep: dia no habil (sabado, domingo o festivo; RN-71A); cambio de denominacion: dia no habil (sabado, domingo o festivo; RN-71A).</t>
        </is>
      </c>
      <c r="AC31" t="inlineStr">
        <is>
          <t>Cierre del dia anterior (saldo encadenado, RN-71)</t>
        </is>
      </c>
      <c r="AD31" t="inlineStr">
        <is>
          <t>estimada</t>
        </is>
      </c>
      <c r="AE31" t="inlineStr">
        <is>
          <t>Participacion historica por denominacion (SUP-09)</t>
        </is>
      </c>
    </row>
    <row r="32">
      <c r="A32" t="inlineStr">
        <is>
          <t>PRAGMA</t>
        </is>
      </c>
      <c r="B32" t="inlineStr">
        <is>
          <t>CALI|TRANSPORTADORA_001</t>
        </is>
      </c>
      <c r="C32" t="inlineStr">
        <is>
          <t>Cali</t>
        </is>
      </c>
      <c r="D32" t="inlineStr">
        <is>
          <t>TRANSPORTADORA_001</t>
        </is>
      </c>
      <c r="E32" s="23" t="n">
        <v>46265</v>
      </c>
      <c r="F32" s="23" t="n">
        <v>46271</v>
      </c>
      <c r="G32" t="inlineStr">
        <is>
          <t>No</t>
        </is>
      </c>
      <c r="H32" s="25" t="n">
        <v>5000</v>
      </c>
      <c r="I32" s="26" t="n">
        <v>1151686969</v>
      </c>
      <c r="J32" s="26" t="n">
        <v>0</v>
      </c>
      <c r="K32" s="26" t="n">
        <v>0</v>
      </c>
      <c r="L32" s="26">
        <f>J32-K32</f>
        <v>0</v>
      </c>
      <c r="M32" s="26">
        <f>I32+L32</f>
        <v>1151686969</v>
      </c>
      <c r="N32" s="26" t="n">
        <v>860590484</v>
      </c>
      <c r="O32" s="26" t="n">
        <v>2038848000</v>
      </c>
      <c r="P32" s="26">
        <f>MAX(0,N32-M32)</f>
        <v>0</v>
      </c>
      <c r="Q32" s="26">
        <f>MAX(0,M32-O32)</f>
        <v>0</v>
      </c>
      <c r="R32" t="inlineStr">
        <is>
          <t>bajo</t>
        </is>
      </c>
      <c r="S32" t="inlineStr">
        <is>
          <t>traslado_fondos</t>
        </is>
      </c>
      <c r="T32" t="inlineStr">
        <is>
          <t>entrada</t>
        </is>
      </c>
      <c r="U32" s="26" t="n">
        <v>110000</v>
      </c>
      <c r="V32" t="inlineStr">
        <is>
          <t>CALI|TRANSPORTADORA_004</t>
        </is>
      </c>
      <c r="W32" t="inlineStr">
        <is>
          <t>CALI|TRANSPORTADORA_001</t>
        </is>
      </c>
      <c r="X32" s="26">
        <f>IF(T32="entrada",M32+U32,IF(T32="salida",M32-U32,M32))</f>
        <v>1151796969</v>
      </c>
      <c r="Y32" s="26" t="n">
        <v>0</v>
      </c>
      <c r="Z32" t="inlineStr">
        <is>
          <t>Menor costo neto entre las alternativas que cubren la necesidad completa</t>
        </is>
      </c>
      <c r="AA32" t="inlineStr">
        <is>
          <t>SUP-08, SUP-10</t>
        </is>
      </c>
      <c r="AB32" t="inlineStr">
        <is>
          <t>Contraparte del traslado P00047 en la denominacion 5000: recibe $110.000 de CALI|TRANSPORTADORA_004. Saldo de esta fila: $1.151.686.969 antes y $1.151.796.969 despues (minimo $860.590.484, maximo $2.038.848.000). Necesidad que la origina, en CALI|TRANSPORTADORA_004: Excedente de $105.006 en la denominacion 5000: saldo $9.927.506 sobre el maximo $9.822.500. Elegida: traslado con CALI|TRANSPORTADORA_001 ($110.000; costo $0). Es preferible porque tiene el menor costo neto. Otras alternativas: traslado con CALI|TRANSPORTADORA_002 ($110.000; costo $0); traslado con CALI|TRANSPORTADORA_003 ($110.000; costo $0); conservar ($110.000; costo de almacenar $12); venta: dia no habil (sabado, domingo o festivo; RN-71A); consignacion BanRep: dia no habil (sabado, domingo o festivo; RN-71A); traslado hacia 1 fondo(s) con espacio: ruta sin tarifa en el Anexo E (prohibida).</t>
        </is>
      </c>
      <c r="AC32" t="inlineStr">
        <is>
          <t>Cierre del dia anterior (saldo encadenado, RN-71)</t>
        </is>
      </c>
      <c r="AD32" t="inlineStr">
        <is>
          <t>estimada</t>
        </is>
      </c>
      <c r="AE32" t="inlineStr">
        <is>
          <t>Participacion historica por denominacion (SUP-09)</t>
        </is>
      </c>
    </row>
    <row r="33">
      <c r="A33" t="inlineStr">
        <is>
          <t>PRAGMA</t>
        </is>
      </c>
      <c r="B33" t="inlineStr">
        <is>
          <t>CALI|TRANSPORTADORA_001</t>
        </is>
      </c>
      <c r="C33" t="inlineStr">
        <is>
          <t>Cali</t>
        </is>
      </c>
      <c r="D33" t="inlineStr">
        <is>
          <t>TRANSPORTADORA_001</t>
        </is>
      </c>
      <c r="E33" s="23" t="n">
        <v>46265</v>
      </c>
      <c r="F33" s="23" t="n">
        <v>46272</v>
      </c>
      <c r="G33" t="inlineStr">
        <is>
          <t>Sí</t>
        </is>
      </c>
      <c r="H33" s="25" t="n">
        <v>5000</v>
      </c>
      <c r="I33" s="26" t="n">
        <v>1151796969</v>
      </c>
      <c r="J33" s="26" t="n">
        <v>726731680</v>
      </c>
      <c r="K33" s="26" t="n">
        <v>261953133</v>
      </c>
      <c r="L33" s="26">
        <f>J33-K33</f>
        <v>464778547</v>
      </c>
      <c r="M33" s="26">
        <f>I33+L33</f>
        <v>1616575516</v>
      </c>
      <c r="N33" s="26" t="n">
        <v>860590484</v>
      </c>
      <c r="O33" s="26" t="n">
        <v>2038848000</v>
      </c>
      <c r="P33" s="26">
        <f>MAX(0,N33-M33)</f>
        <v>0</v>
      </c>
      <c r="Q33" s="26">
        <f>MAX(0,M33-O33)</f>
        <v>0</v>
      </c>
      <c r="R33" t="inlineStr">
        <is>
          <t>bajo</t>
        </is>
      </c>
      <c r="S33" t="inlineStr">
        <is>
          <t>traslado_fondos</t>
        </is>
      </c>
      <c r="T33" t="inlineStr">
        <is>
          <t>salida</t>
        </is>
      </c>
      <c r="U33" s="26" t="n">
        <v>3150000</v>
      </c>
      <c r="V33" t="inlineStr">
        <is>
          <t>CALI|TRANSPORTADORA_001</t>
        </is>
      </c>
      <c r="W33" t="inlineStr">
        <is>
          <t>CALI|TRANSPORTADORA_003</t>
        </is>
      </c>
      <c r="X33" s="26">
        <f>IF(T33="entrada",M33+U33,IF(T33="salida",M33-U33,M33))</f>
        <v>1613425516</v>
      </c>
      <c r="Y33" s="26" t="n">
        <v>0</v>
      </c>
      <c r="Z33" t="inlineStr">
        <is>
          <t>Menor costo neto entre las alternativas que cubren la necesidad completa</t>
        </is>
      </c>
      <c r="AA33" t="inlineStr">
        <is>
          <t>SUP-08, SUP-10</t>
        </is>
      </c>
      <c r="AB33" t="inlineStr">
        <is>
          <t>Contraparte del traslado P00052 en la denominacion 5000: entrega $3.150.000 a CALI|TRANSPORTADORA_003. Saldo de esta fila: $1.616.575.516 antes y $1.613.425.516 despues (minimo $860.590.484, maximo $2.038.848.000). Necesidad que la origina, en CALI|TRANSPORTADORA_003: Faltante de $3.148.705 en la denominacion 5000: saldo $245.851.295 bajo el minimo $249.000.000. Elegida: traslado con CALI|TRANSPORTADORA_001 ($3.150.000; costo $0). Es preferible porque tiene el menor costo neto. Otras alternativas: traslado con CALI|TRANSPORTADORA_002 ($3.150.000; costo $0); traslado con CALI|TRANSPORTADORA_004 ($3.150.000; costo $0); retiro BanRep ($3.150.000; costo $128.152); traslado con IPIALES|TRANSPORTADORA_002 ($3.150.000; costo $165.226); traslado con PASTO|TRANSPORTADORA_001 ($3.150.000; costo $811.087); cambio de denominacion: ninguna otra denominacion del fondo supera su maximo.</t>
        </is>
      </c>
      <c r="AC33" t="inlineStr">
        <is>
          <t>Cierre del dia anterior (saldo encadenado, RN-71)</t>
        </is>
      </c>
      <c r="AD33" t="inlineStr">
        <is>
          <t>estimada</t>
        </is>
      </c>
      <c r="AE33" t="inlineStr">
        <is>
          <t>Participacion historica por denominacion (SUP-09)</t>
        </is>
      </c>
    </row>
    <row r="34">
      <c r="A34" t="inlineStr">
        <is>
          <t>PRAGMA</t>
        </is>
      </c>
      <c r="B34" t="inlineStr">
        <is>
          <t>CALI|TRANSPORTADORA_001</t>
        </is>
      </c>
      <c r="C34" t="inlineStr">
        <is>
          <t>Cali</t>
        </is>
      </c>
      <c r="D34" t="inlineStr">
        <is>
          <t>TRANSPORTADORA_001</t>
        </is>
      </c>
      <c r="E34" s="23" t="n">
        <v>46265</v>
      </c>
      <c r="F34" s="23" t="n">
        <v>46272</v>
      </c>
      <c r="G34" t="inlineStr">
        <is>
          <t>Sí</t>
        </is>
      </c>
      <c r="H34" s="25" t="n">
        <v>5000</v>
      </c>
      <c r="I34" s="26" t="n">
        <v>1613425516</v>
      </c>
      <c r="J34" s="26" t="n">
        <v>0</v>
      </c>
      <c r="K34" s="26" t="n">
        <v>0</v>
      </c>
      <c r="L34" s="26">
        <f>J34-K34</f>
        <v>0</v>
      </c>
      <c r="M34" s="26">
        <f>I34+L34</f>
        <v>1613425516</v>
      </c>
      <c r="N34" s="26" t="n">
        <v>860590484</v>
      </c>
      <c r="O34" s="26" t="n">
        <v>2038848000</v>
      </c>
      <c r="P34" s="26">
        <f>MAX(0,N34-M34)</f>
        <v>0</v>
      </c>
      <c r="Q34" s="26">
        <f>MAX(0,M34-O34)</f>
        <v>0</v>
      </c>
      <c r="R34" t="inlineStr">
        <is>
          <t>bajo</t>
        </is>
      </c>
      <c r="S34" t="inlineStr">
        <is>
          <t>traslado_fondos</t>
        </is>
      </c>
      <c r="T34" t="inlineStr">
        <is>
          <t>entrada</t>
        </is>
      </c>
      <c r="U34" s="26" t="n">
        <v>450000</v>
      </c>
      <c r="V34" t="inlineStr">
        <is>
          <t>CALI|TRANSPORTADORA_004</t>
        </is>
      </c>
      <c r="W34" t="inlineStr">
        <is>
          <t>CALI|TRANSPORTADORA_001</t>
        </is>
      </c>
      <c r="X34" s="26">
        <f>IF(T34="entrada",M34+U34,IF(T34="salida",M34-U34,M34))</f>
        <v>1613875516</v>
      </c>
      <c r="Y34" s="26" t="n">
        <v>0</v>
      </c>
      <c r="Z34" t="inlineStr">
        <is>
          <t>Menor costo neto entre las alternativas que cubren la necesidad completa</t>
        </is>
      </c>
      <c r="AA34" t="inlineStr">
        <is>
          <t>SUP-08, SUP-10</t>
        </is>
      </c>
      <c r="AB34" t="inlineStr">
        <is>
          <t>Contraparte del traslado P00057 en la denominacion 5000: recibe $450.000 de CALI|TRANSPORTADORA_004. Saldo de esta fila: $1.613.425.516 antes y $1.613.875.516 despues (minimo $860.590.484, maximo $2.038.848.000). Necesidad que la origina, en CALI|TRANSPORTADORA_004: Excedente de $447.561 en la denominacion 5000: saldo $10.270.061 sobre el maximo $9.822.500. Elegida: traslado con CALI|TRANSPORTADORA_001 ($450.000; costo $0). Es preferible porque tiene el menor costo neto. Otras alternativas: traslado con CALI|TRANSPORTADORA_003 ($450.000; costo $0); conservar ($450.000; costo de almacenar $43); consignacion BanRep ($450.000; costo $120.887); venta: no habilitada en este fondo (sin historico o fuera de las ciudades BanRep); traslado hacia 1 fondo(s) con espacio: ruta sin tarifa en el Anexo E (prohibida).</t>
        </is>
      </c>
      <c r="AC34" t="inlineStr">
        <is>
          <t>Cierre del dia anterior (saldo encadenado, RN-71)</t>
        </is>
      </c>
      <c r="AD34" t="inlineStr">
        <is>
          <t>estimada</t>
        </is>
      </c>
      <c r="AE34" t="inlineStr">
        <is>
          <t>Participacion historica por denominacion (SUP-09)</t>
        </is>
      </c>
    </row>
    <row r="35">
      <c r="A35" t="inlineStr">
        <is>
          <t>PRAGMA</t>
        </is>
      </c>
      <c r="B35" t="inlineStr">
        <is>
          <t>CALI|TRANSPORTADORA_001</t>
        </is>
      </c>
      <c r="C35" t="inlineStr">
        <is>
          <t>Cali</t>
        </is>
      </c>
      <c r="D35" t="inlineStr">
        <is>
          <t>TRANSPORTADORA_001</t>
        </is>
      </c>
      <c r="E35" s="23" t="n">
        <v>46265</v>
      </c>
      <c r="F35" s="23" t="n">
        <v>46273</v>
      </c>
      <c r="G35" t="inlineStr">
        <is>
          <t>Sí</t>
        </is>
      </c>
      <c r="H35" s="25" t="n">
        <v>5000</v>
      </c>
      <c r="I35" s="26" t="n">
        <v>1613875516</v>
      </c>
      <c r="J35" s="26" t="n">
        <v>496538104</v>
      </c>
      <c r="K35" s="26" t="n">
        <v>270432711</v>
      </c>
      <c r="L35" s="26">
        <f>J35-K35</f>
        <v>226105393</v>
      </c>
      <c r="M35" s="26">
        <f>I35+L35</f>
        <v>1839980909</v>
      </c>
      <c r="N35" s="26" t="n">
        <v>860590484</v>
      </c>
      <c r="O35" s="26" t="n">
        <v>2038848000</v>
      </c>
      <c r="P35" s="26">
        <f>MAX(0,N35-M35)</f>
        <v>0</v>
      </c>
      <c r="Q35" s="26">
        <f>MAX(0,M35-O35)</f>
        <v>0</v>
      </c>
      <c r="R35" t="inlineStr">
        <is>
          <t>bajo</t>
        </is>
      </c>
      <c r="S35" t="inlineStr">
        <is>
          <t>traslado_fondos</t>
        </is>
      </c>
      <c r="T35" t="inlineStr">
        <is>
          <t>entrada</t>
        </is>
      </c>
      <c r="U35" s="26" t="n">
        <v>285000</v>
      </c>
      <c r="V35" t="inlineStr">
        <is>
          <t>CALI|TRANSPORTADORA_004</t>
        </is>
      </c>
      <c r="W35" t="inlineStr">
        <is>
          <t>CALI|TRANSPORTADORA_001</t>
        </is>
      </c>
      <c r="X35" s="26">
        <f>IF(T35="entrada",M35+U35,IF(T35="salida",M35-U35,M35))</f>
        <v>1840265909</v>
      </c>
      <c r="Y35" s="26" t="n">
        <v>0</v>
      </c>
      <c r="Z35" t="inlineStr">
        <is>
          <t>Menor costo neto entre las alternativas que cubren la necesidad completa</t>
        </is>
      </c>
      <c r="AA35" t="inlineStr">
        <is>
          <t>SUP-08, SUP-10</t>
        </is>
      </c>
      <c r="AB35" t="inlineStr">
        <is>
          <t>Contraparte del traslado P00062 en la denominacion 5000: recibe $285.000 de CALI|TRANSPORTADORA_004. Saldo de esta fila: $1.839.980.909 antes y $1.840.265.909 despues (minimo $860.590.484, maximo $2.038.848.000). Necesidad que la origina, en CALI|TRANSPORTADORA_004: Excedente de $281.011 en la denominacion 5000: saldo $10.103.511 sobre el maximo $9.822.500. Elegida: traslado con CALI|TRANSPORTADORA_001 ($285.000; costo $0). Es preferible porque tiene el menor costo neto. Otras alternativas: traslado con CALI|TRANSPORTADORA_003 ($285.000; costo $0); conservar ($285.000; costo de almacenar $24); consignacion BanRep ($285.000; costo $120.842); venta: no habilitada en este fondo (sin historico o fuera de las ciudades BanRep).</t>
        </is>
      </c>
      <c r="AC35" t="inlineStr">
        <is>
          <t>Cierre del dia anterior (saldo encadenado, RN-71)</t>
        </is>
      </c>
      <c r="AD35" t="inlineStr">
        <is>
          <t>estimada</t>
        </is>
      </c>
      <c r="AE35" t="inlineStr">
        <is>
          <t>Participacion historica por denominacion (SUP-09)</t>
        </is>
      </c>
    </row>
    <row r="36">
      <c r="A36" t="inlineStr">
        <is>
          <t>PRAGMA</t>
        </is>
      </c>
      <c r="B36" t="inlineStr">
        <is>
          <t>CALI|TRANSPORTADORA_001</t>
        </is>
      </c>
      <c r="C36" t="inlineStr">
        <is>
          <t>Cali</t>
        </is>
      </c>
      <c r="D36" t="inlineStr">
        <is>
          <t>TRANSPORTADORA_001</t>
        </is>
      </c>
      <c r="E36" s="23" t="n">
        <v>46265</v>
      </c>
      <c r="F36" s="23" t="n">
        <v>46274</v>
      </c>
      <c r="G36" t="inlineStr">
        <is>
          <t>Sí</t>
        </is>
      </c>
      <c r="H36" s="25" t="n">
        <v>5000</v>
      </c>
      <c r="I36" s="26" t="n">
        <v>1840265909</v>
      </c>
      <c r="J36" s="26" t="n">
        <v>470784248</v>
      </c>
      <c r="K36" s="26" t="n">
        <v>267126112</v>
      </c>
      <c r="L36" s="26">
        <f>J36-K36</f>
        <v>203658136</v>
      </c>
      <c r="M36" s="26">
        <f>I36+L36</f>
        <v>2043924045</v>
      </c>
      <c r="N36" s="26" t="n">
        <v>860590484</v>
      </c>
      <c r="O36" s="26" t="n">
        <v>2038848000</v>
      </c>
      <c r="P36" s="26">
        <f>MAX(0,N36-M36)</f>
        <v>0</v>
      </c>
      <c r="Q36" s="26">
        <f>MAX(0,M36-O36)</f>
        <v>5076045</v>
      </c>
      <c r="R36" t="inlineStr">
        <is>
          <t>bajo</t>
        </is>
      </c>
      <c r="S36" t="inlineStr">
        <is>
          <t>venta_efectivo</t>
        </is>
      </c>
      <c r="T36" t="inlineStr">
        <is>
          <t>salida</t>
        </is>
      </c>
      <c r="U36" s="26" t="n">
        <v>5080000</v>
      </c>
      <c r="V36" t="inlineStr">
        <is>
          <t>CALI|TRANSPORTADORA_001</t>
        </is>
      </c>
      <c r="X36" s="26">
        <f>IF(T36="entrada",M36+U36,IF(T36="salida",M36-U36,M36))</f>
        <v>2038844045</v>
      </c>
      <c r="Y36" s="26" t="n">
        <v>0</v>
      </c>
      <c r="Z36" t="inlineStr">
        <is>
          <t>Menor costo neto entre las alternativas que cubren la necesidad completa</t>
        </is>
      </c>
      <c r="AA36" t="inlineStr">
        <is>
          <t>SUP-08, SUP-10, SUP-23</t>
        </is>
      </c>
      <c r="AB36" t="inlineStr">
        <is>
          <t>Excedente de $5.076.045 en la denominacion 5000: saldo $2.043.924.045 sobre el maximo $2.038.848.000. Elegida: venta ($5.080.000; beneficio de referencia $2.032). Es preferible porque tiene el menor costo neto. Otras alternativas: traslado con CALI|TRANSPORTADORA_003 ($5.080.000; costo $0); conservar ($5.080.000; costo de almacenar $348); consignacion BanRep ($5.080.000; costo $125.298).</t>
        </is>
      </c>
      <c r="AC36" t="inlineStr">
        <is>
          <t>Cierre del dia anterior (saldo encadenado, RN-71)</t>
        </is>
      </c>
      <c r="AD36" t="inlineStr">
        <is>
          <t>estimada</t>
        </is>
      </c>
      <c r="AE36" t="inlineStr">
        <is>
          <t>Participacion historica por denominacion (SUP-09)</t>
        </is>
      </c>
    </row>
    <row r="37">
      <c r="A37" t="inlineStr">
        <is>
          <t>PRAGMA</t>
        </is>
      </c>
      <c r="B37" t="inlineStr">
        <is>
          <t>CALI|TRANSPORTADORA_001</t>
        </is>
      </c>
      <c r="C37" t="inlineStr">
        <is>
          <t>Cali</t>
        </is>
      </c>
      <c r="D37" t="inlineStr">
        <is>
          <t>TRANSPORTADORA_001</t>
        </is>
      </c>
      <c r="E37" s="23" t="n">
        <v>46265</v>
      </c>
      <c r="F37" s="23" t="n">
        <v>46275</v>
      </c>
      <c r="G37" t="inlineStr">
        <is>
          <t>Sí</t>
        </is>
      </c>
      <c r="H37" s="25" t="n">
        <v>5000</v>
      </c>
      <c r="I37" s="26" t="n">
        <v>2038844045</v>
      </c>
      <c r="J37" s="26" t="n">
        <v>477438924</v>
      </c>
      <c r="K37" s="26" t="n">
        <v>249658232</v>
      </c>
      <c r="L37" s="26">
        <f>J37-K37</f>
        <v>227780692</v>
      </c>
      <c r="M37" s="26">
        <f>I37+L37</f>
        <v>2266624737</v>
      </c>
      <c r="N37" s="26" t="n">
        <v>860590484</v>
      </c>
      <c r="O37" s="26" t="n">
        <v>2038848000</v>
      </c>
      <c r="P37" s="26">
        <f>MAX(0,N37-M37)</f>
        <v>0</v>
      </c>
      <c r="Q37" s="26">
        <f>MAX(0,M37-O37)</f>
        <v>227776737</v>
      </c>
      <c r="R37" t="inlineStr">
        <is>
          <t>bajo</t>
        </is>
      </c>
      <c r="S37" t="inlineStr">
        <is>
          <t>venta_efectivo</t>
        </is>
      </c>
      <c r="T37" t="inlineStr">
        <is>
          <t>salida</t>
        </is>
      </c>
      <c r="U37" s="26" t="n">
        <v>227780000</v>
      </c>
      <c r="V37" t="inlineStr">
        <is>
          <t>CALI|TRANSPORTADORA_001</t>
        </is>
      </c>
      <c r="X37" s="26">
        <f>IF(T37="entrada",M37+U37,IF(T37="salida",M37-U37,M37))</f>
        <v>2038844737</v>
      </c>
      <c r="Y37" s="26" t="n">
        <v>0</v>
      </c>
      <c r="Z37" t="inlineStr">
        <is>
          <t>Menor costo neto entre las alternativas que cubren la necesidad completa</t>
        </is>
      </c>
      <c r="AA37" t="inlineStr">
        <is>
          <t>SUP-08, SUP-10, SUP-23</t>
        </is>
      </c>
      <c r="AB37" t="inlineStr">
        <is>
          <t>Excedente de $227.776.737 en la denominacion 5000: saldo $2.266.624.737 sobre el maximo $2.038.848.000. Elegida: venta ($227.780.000; beneficio de referencia $91.112). Es preferible porque tiene el menor costo neto. Otras alternativas: traslado con CALI|TRANSPORTADORA_003 ($227.780.000; costo $0); conservar ($227.780.000; costo de almacenar $13.393); consignacion BanRep ($227.780.000; costo $180.750).</t>
        </is>
      </c>
      <c r="AC37" t="inlineStr">
        <is>
          <t>Cierre del dia anterior (saldo encadenado, RN-71)</t>
        </is>
      </c>
      <c r="AD37" t="inlineStr">
        <is>
          <t>estimada</t>
        </is>
      </c>
      <c r="AE37" t="inlineStr">
        <is>
          <t>Participacion historica por denominacion (SUP-09)</t>
        </is>
      </c>
    </row>
    <row r="38">
      <c r="A38" t="inlineStr">
        <is>
          <t>PRAGMA</t>
        </is>
      </c>
      <c r="B38" t="inlineStr">
        <is>
          <t>CALI|TRANSPORTADORA_001</t>
        </is>
      </c>
      <c r="C38" t="inlineStr">
        <is>
          <t>Cali</t>
        </is>
      </c>
      <c r="D38" t="inlineStr">
        <is>
          <t>TRANSPORTADORA_001</t>
        </is>
      </c>
      <c r="E38" s="23" t="n">
        <v>46265</v>
      </c>
      <c r="F38" s="23" t="n">
        <v>46276</v>
      </c>
      <c r="G38" t="inlineStr">
        <is>
          <t>Sí</t>
        </is>
      </c>
      <c r="H38" s="25" t="n">
        <v>5000</v>
      </c>
      <c r="I38" s="26" t="n">
        <v>2038844737</v>
      </c>
      <c r="J38" s="26" t="n">
        <v>472050002</v>
      </c>
      <c r="K38" s="26" t="n">
        <v>279603367</v>
      </c>
      <c r="L38" s="26">
        <f>J38-K38</f>
        <v>192446635</v>
      </c>
      <c r="M38" s="26">
        <f>I38+L38</f>
        <v>2231291372</v>
      </c>
      <c r="N38" s="26" t="n">
        <v>860590484</v>
      </c>
      <c r="O38" s="26" t="n">
        <v>2038848000</v>
      </c>
      <c r="P38" s="26">
        <f>MAX(0,N38-M38)</f>
        <v>0</v>
      </c>
      <c r="Q38" s="26">
        <f>MAX(0,M38-O38)</f>
        <v>192443372</v>
      </c>
      <c r="R38" t="inlineStr">
        <is>
          <t>bajo</t>
        </is>
      </c>
      <c r="S38" t="inlineStr">
        <is>
          <t>venta_efectivo</t>
        </is>
      </c>
      <c r="T38" t="inlineStr">
        <is>
          <t>salida</t>
        </is>
      </c>
      <c r="U38" s="26" t="n">
        <v>192445000</v>
      </c>
      <c r="V38" t="inlineStr">
        <is>
          <t>CALI|TRANSPORTADORA_001</t>
        </is>
      </c>
      <c r="X38" s="26">
        <f>IF(T38="entrada",M38+U38,IF(T38="salida",M38-U38,M38))</f>
        <v>2038846372</v>
      </c>
      <c r="Y38" s="26" t="n">
        <v>0</v>
      </c>
      <c r="Z38" t="inlineStr">
        <is>
          <t>Menor costo neto entre las alternativas que cubren la necesidad completa</t>
        </is>
      </c>
      <c r="AA38" t="inlineStr">
        <is>
          <t>SUP-08, SUP-10, SUP-23</t>
        </is>
      </c>
      <c r="AB38" t="inlineStr">
        <is>
          <t>Excedente de $192.443.372 en la denominacion 5000: saldo $2.231.291.372 sobre el maximo $2.038.848.000. Elegida: venta ($192.445.000; beneficio de referencia $76.978). Es preferible porque tiene el menor costo neto. Otras alternativas: traslado con CALI|TRANSPORTADORA_003 ($192.445.000; costo $0); conservar ($192.445.000; costo de almacenar $9.430); consignacion BanRep ($192.445.000; costo $171.952).</t>
        </is>
      </c>
      <c r="AC38" t="inlineStr">
        <is>
          <t>Cierre del dia anterior (saldo encadenado, RN-71)</t>
        </is>
      </c>
      <c r="AD38" t="inlineStr">
        <is>
          <t>estimada</t>
        </is>
      </c>
      <c r="AE38" t="inlineStr">
        <is>
          <t>Participacion historica por denominacion (SUP-09)</t>
        </is>
      </c>
    </row>
    <row r="39">
      <c r="A39" t="inlineStr">
        <is>
          <t>PRAGMA</t>
        </is>
      </c>
      <c r="B39" t="inlineStr">
        <is>
          <t>CALI|TRANSPORTADORA_001</t>
        </is>
      </c>
      <c r="C39" t="inlineStr">
        <is>
          <t>Cali</t>
        </is>
      </c>
      <c r="D39" t="inlineStr">
        <is>
          <t>TRANSPORTADORA_001</t>
        </is>
      </c>
      <c r="E39" s="23" t="n">
        <v>46265</v>
      </c>
      <c r="F39" s="23" t="n">
        <v>46277</v>
      </c>
      <c r="G39" t="inlineStr">
        <is>
          <t>No</t>
        </is>
      </c>
      <c r="H39" s="25" t="n">
        <v>5000</v>
      </c>
      <c r="I39" s="26" t="n">
        <v>2038846372</v>
      </c>
      <c r="J39" s="26" t="n">
        <v>89044020</v>
      </c>
      <c r="K39" s="26" t="n">
        <v>232524495</v>
      </c>
      <c r="L39" s="26">
        <f>J39-K39</f>
        <v>-143480475</v>
      </c>
      <c r="M39" s="26">
        <f>I39+L39</f>
        <v>1895365897</v>
      </c>
      <c r="N39" s="26" t="n">
        <v>860590484</v>
      </c>
      <c r="O39" s="26" t="n">
        <v>2038848000</v>
      </c>
      <c r="P39" s="26">
        <f>MAX(0,N39-M39)</f>
        <v>0</v>
      </c>
      <c r="Q39" s="26">
        <f>MAX(0,M39-O39)</f>
        <v>0</v>
      </c>
      <c r="R39" t="inlineStr">
        <is>
          <t>bajo</t>
        </is>
      </c>
      <c r="S39" t="inlineStr">
        <is>
          <t>traslado_fondos</t>
        </is>
      </c>
      <c r="T39" t="inlineStr">
        <is>
          <t>entrada</t>
        </is>
      </c>
      <c r="U39" s="26" t="n">
        <v>60000</v>
      </c>
      <c r="V39" t="inlineStr">
        <is>
          <t>CALI|TRANSPORTADORA_004</t>
        </is>
      </c>
      <c r="W39" t="inlineStr">
        <is>
          <t>CALI|TRANSPORTADORA_001</t>
        </is>
      </c>
      <c r="X39" s="26">
        <f>IF(T39="entrada",M39+U39,IF(T39="salida",M39-U39,M39))</f>
        <v>1895425897</v>
      </c>
      <c r="Y39" s="26" t="n">
        <v>0</v>
      </c>
      <c r="Z39" t="inlineStr">
        <is>
          <t>Menor costo neto entre las alternativas que cubren la necesidad completa</t>
        </is>
      </c>
      <c r="AA39" t="inlineStr">
        <is>
          <t>SUP-08, SUP-10</t>
        </is>
      </c>
      <c r="AB39" t="inlineStr">
        <is>
          <t>Contraparte del traslado P00082 en la denominacion 5000: recibe $60.000 de CALI|TRANSPORTADORA_004. Saldo de esta fila: $1.895.365.897 antes y $1.895.425.897 despues (minimo $860.590.484, maximo $2.038.848.000). Necesidad que la origina, en CALI|TRANSPORTADORA_004: Excedente de $55.442 en la denominacion 5000: saldo $9.877.942 sobre el maximo $9.822.500. Elegida: traslado con CALI|TRANSPORTADORA_001 ($60.000; costo $0). Es preferible porque tiene el menor costo neto. Otras alternativas: traslado con CALI|TRANSPORTADORA_002 ($60.000; costo $0); traslado con CALI|TRANSPORTADORA_003 ($60.000; costo $0); conservar ($60.000; costo de almacenar $3); venta: dia no habil (sabado, domingo o festivo; RN-71A); consignacion BanRep: dia no habil (sabado, domingo o festivo; RN-71A); traslado hacia 1 fondo(s) con espacio: ruta sin tarifa en el Anexo E (prohibida).</t>
        </is>
      </c>
      <c r="AC39" t="inlineStr">
        <is>
          <t>Cierre del dia anterior (saldo encadenado, RN-71)</t>
        </is>
      </c>
      <c r="AD39" t="inlineStr">
        <is>
          <t>estimada</t>
        </is>
      </c>
      <c r="AE39" t="inlineStr">
        <is>
          <t>Participacion historica por denominacion (SUP-09)</t>
        </is>
      </c>
    </row>
    <row r="40">
      <c r="A40" t="inlineStr">
        <is>
          <t>PRAGMA</t>
        </is>
      </c>
      <c r="B40" t="inlineStr">
        <is>
          <t>CALI|TRANSPORTADORA_001</t>
        </is>
      </c>
      <c r="C40" t="inlineStr">
        <is>
          <t>Cali</t>
        </is>
      </c>
      <c r="D40" t="inlineStr">
        <is>
          <t>TRANSPORTADORA_001</t>
        </is>
      </c>
      <c r="E40" s="23" t="n">
        <v>46265</v>
      </c>
      <c r="F40" s="23" t="n">
        <v>46278</v>
      </c>
      <c r="G40" t="inlineStr">
        <is>
          <t>No</t>
        </is>
      </c>
      <c r="H40" s="25" t="n">
        <v>5000</v>
      </c>
      <c r="I40" s="26" t="n">
        <v>1895425897</v>
      </c>
      <c r="J40" s="26" t="n">
        <v>41744548</v>
      </c>
      <c r="K40" s="26" t="n">
        <v>110156775</v>
      </c>
      <c r="L40" s="26">
        <f>J40-K40</f>
        <v>-68412227</v>
      </c>
      <c r="M40" s="26">
        <f>I40+L40</f>
        <v>1827013670</v>
      </c>
      <c r="N40" s="26" t="n">
        <v>860590484</v>
      </c>
      <c r="O40" s="26" t="n">
        <v>2038848000</v>
      </c>
      <c r="P40" s="26">
        <f>MAX(0,N40-M40)</f>
        <v>0</v>
      </c>
      <c r="Q40" s="26">
        <f>MAX(0,M40-O40)</f>
        <v>0</v>
      </c>
      <c r="R40" t="inlineStr">
        <is>
          <t>bajo</t>
        </is>
      </c>
      <c r="S40" t="inlineStr">
        <is>
          <t>traslado_fondos</t>
        </is>
      </c>
      <c r="T40" t="inlineStr">
        <is>
          <t>entrada</t>
        </is>
      </c>
      <c r="U40" s="26" t="n">
        <v>50000</v>
      </c>
      <c r="V40" t="inlineStr">
        <is>
          <t>CALI|TRANSPORTADORA_004</t>
        </is>
      </c>
      <c r="W40" t="inlineStr">
        <is>
          <t>CALI|TRANSPORTADORA_001</t>
        </is>
      </c>
      <c r="X40" s="26">
        <f>IF(T40="entrada",M40+U40,IF(T40="salida",M40-U40,M40))</f>
        <v>1827063670</v>
      </c>
      <c r="Y40" s="26" t="n">
        <v>0</v>
      </c>
      <c r="Z40" t="inlineStr">
        <is>
          <t>Menor costo neto entre las alternativas que cubren la necesidad completa</t>
        </is>
      </c>
      <c r="AA40" t="inlineStr">
        <is>
          <t>SUP-08, SUP-10</t>
        </is>
      </c>
      <c r="AB40" t="inlineStr">
        <is>
          <t>Contraparte del traslado P00087 en la denominacion 5000: recibe $50.000 de CALI|TRANSPORTADORA_004. Saldo de esta fila: $1.827.013.670 antes y $1.827.063.670 despues (minimo $860.590.484, maximo $2.038.848.000). Necesidad que la origina, en CALI|TRANSPORTADORA_004: Excedente de $47.318 en la denominacion 5000: saldo $9.869.818 sobre el maximo $9.822.500. Elegida: traslado con CALI|TRANSPORTADORA_001 ($50.000; costo $0). Es preferible porque tiene el menor costo neto. Otras alternativas: traslado con CALI|TRANSPORTADORA_002 ($50.000; costo $0); traslado con CALI|TRANSPORTADORA_003 ($50.000; costo $0); conservar ($50.000; costo de almacenar $2); venta: dia no habil (sabado, domingo o festivo; RN-71A); consignacion BanRep: dia no habil (sabado, domingo o festivo; RN-71A); traslado hacia 1 fondo(s) con espacio: ruta sin tarifa en el Anexo E (prohibida).</t>
        </is>
      </c>
      <c r="AC40" t="inlineStr">
        <is>
          <t>Cierre del dia anterior (saldo encadenado, RN-71)</t>
        </is>
      </c>
      <c r="AD40" t="inlineStr">
        <is>
          <t>estimada</t>
        </is>
      </c>
      <c r="AE40" t="inlineStr">
        <is>
          <t>Participacion historica por denominacion (SUP-09)</t>
        </is>
      </c>
    </row>
    <row r="41">
      <c r="A41" t="inlineStr">
        <is>
          <t>PRAGMA</t>
        </is>
      </c>
      <c r="B41" t="inlineStr">
        <is>
          <t>CALI|TRANSPORTADORA_001</t>
        </is>
      </c>
      <c r="C41" t="inlineStr">
        <is>
          <t>Cali</t>
        </is>
      </c>
      <c r="D41" t="inlineStr">
        <is>
          <t>TRANSPORTADORA_001</t>
        </is>
      </c>
      <c r="E41" s="23" t="n">
        <v>46265</v>
      </c>
      <c r="F41" s="23" t="n">
        <v>46279</v>
      </c>
      <c r="G41" t="inlineStr">
        <is>
          <t>Sí</t>
        </is>
      </c>
      <c r="H41" s="25" t="n">
        <v>5000</v>
      </c>
      <c r="I41" s="26" t="n">
        <v>1827063670</v>
      </c>
      <c r="J41" s="26" t="n">
        <v>639497693</v>
      </c>
      <c r="K41" s="26" t="n">
        <v>258114608</v>
      </c>
      <c r="L41" s="26">
        <f>J41-K41</f>
        <v>381383085</v>
      </c>
      <c r="M41" s="26">
        <f>I41+L41</f>
        <v>2208446755</v>
      </c>
      <c r="N41" s="26" t="n">
        <v>860590484</v>
      </c>
      <c r="O41" s="26" t="n">
        <v>2038848000</v>
      </c>
      <c r="P41" s="26">
        <f>MAX(0,N41-M41)</f>
        <v>0</v>
      </c>
      <c r="Q41" s="26">
        <f>MAX(0,M41-O41)</f>
        <v>169598755</v>
      </c>
      <c r="R41" t="inlineStr">
        <is>
          <t>bajo</t>
        </is>
      </c>
      <c r="S41" t="inlineStr">
        <is>
          <t>venta_efectivo</t>
        </is>
      </c>
      <c r="T41" t="inlineStr">
        <is>
          <t>salida</t>
        </is>
      </c>
      <c r="U41" s="26" t="n">
        <v>169600000</v>
      </c>
      <c r="V41" t="inlineStr">
        <is>
          <t>CALI|TRANSPORTADORA_001</t>
        </is>
      </c>
      <c r="X41" s="26">
        <f>IF(T41="entrada",M41+U41,IF(T41="salida",M41-U41,M41))</f>
        <v>2038846755</v>
      </c>
      <c r="Y41" s="26" t="n">
        <v>0</v>
      </c>
      <c r="Z41" t="inlineStr">
        <is>
          <t>Menor costo neto entre las alternativas que cubren la necesidad completa</t>
        </is>
      </c>
      <c r="AA41" t="inlineStr">
        <is>
          <t>SUP-08, SUP-10, SUP-23</t>
        </is>
      </c>
      <c r="AB41" t="inlineStr">
        <is>
          <t>Excedente de $169.598.755 en la denominacion 5000: saldo $2.208.446.755 sobre el maximo $2.038.848.000. Elegida: venta ($169.600.000; beneficio de referencia $67.840). Es preferible porque tiene el menor costo neto. Otras alternativas: traslado con CALI|TRANSPORTADORA_003 ($169.600.000; costo $0); conservar ($169.600.000; costo de almacenar $3.324); consignacion BanRep ($169.600.000; costo $166.263).</t>
        </is>
      </c>
      <c r="AC41" t="inlineStr">
        <is>
          <t>Cierre del dia anterior (saldo encadenado, RN-71)</t>
        </is>
      </c>
      <c r="AD41" t="inlineStr">
        <is>
          <t>estimada</t>
        </is>
      </c>
      <c r="AE41" t="inlineStr">
        <is>
          <t>Participacion historica por denominacion (SUP-09)</t>
        </is>
      </c>
    </row>
    <row r="42">
      <c r="A42" t="inlineStr">
        <is>
          <t>PRAGMA</t>
        </is>
      </c>
      <c r="B42" t="inlineStr">
        <is>
          <t>CALI|TRANSPORTADORA_001</t>
        </is>
      </c>
      <c r="C42" t="inlineStr">
        <is>
          <t>Cali</t>
        </is>
      </c>
      <c r="D42" t="inlineStr">
        <is>
          <t>TRANSPORTADORA_001</t>
        </is>
      </c>
      <c r="E42" s="23" t="n">
        <v>46265</v>
      </c>
      <c r="F42" s="23" t="n">
        <v>46280</v>
      </c>
      <c r="G42" t="inlineStr">
        <is>
          <t>Sí</t>
        </is>
      </c>
      <c r="H42" s="25" t="n">
        <v>5000</v>
      </c>
      <c r="I42" s="26" t="n">
        <v>2038846755</v>
      </c>
      <c r="J42" s="26" t="n">
        <v>495915052</v>
      </c>
      <c r="K42" s="26" t="n">
        <v>356944274</v>
      </c>
      <c r="L42" s="26">
        <f>J42-K42</f>
        <v>138970778</v>
      </c>
      <c r="M42" s="26">
        <f>I42+L42</f>
        <v>2177817533</v>
      </c>
      <c r="N42" s="26" t="n">
        <v>860590484</v>
      </c>
      <c r="O42" s="26" t="n">
        <v>2038848000</v>
      </c>
      <c r="P42" s="26">
        <f>MAX(0,N42-M42)</f>
        <v>0</v>
      </c>
      <c r="Q42" s="26">
        <f>MAX(0,M42-O42)</f>
        <v>138969533</v>
      </c>
      <c r="R42" t="inlineStr">
        <is>
          <t>bajo</t>
        </is>
      </c>
      <c r="S42" t="inlineStr">
        <is>
          <t>venta_efectivo</t>
        </is>
      </c>
      <c r="T42" t="inlineStr">
        <is>
          <t>salida</t>
        </is>
      </c>
      <c r="U42" s="26" t="n">
        <v>138970000</v>
      </c>
      <c r="V42" t="inlineStr">
        <is>
          <t>CALI|TRANSPORTADORA_001</t>
        </is>
      </c>
      <c r="X42" s="26">
        <f>IF(T42="entrada",M42+U42,IF(T42="salida",M42-U42,M42))</f>
        <v>2038847533</v>
      </c>
      <c r="Y42" s="26" t="n">
        <v>0</v>
      </c>
      <c r="Z42" t="inlineStr">
        <is>
          <t>Menor costo neto entre las alternativas que cubren la necesidad completa</t>
        </is>
      </c>
      <c r="AA42" t="inlineStr">
        <is>
          <t>SUP-08, SUP-10, SUP-23</t>
        </is>
      </c>
      <c r="AB42" t="inlineStr">
        <is>
          <t>Excedente de $138.969.533 en la denominacion 5000: saldo $2.177.817.533 sobre el maximo $2.038.848.000. Elegida: venta ($138.970.000; beneficio de referencia $55.588). Es preferible porque tiene el menor costo neto. Otras alternativas: traslado con CALI|TRANSPORTADORA_003 ($138.970.000; costo $0); conservar ($138.970.000; costo de almacenar $1.362); consignacion BanRep ($138.970.000; costo $158.637).</t>
        </is>
      </c>
      <c r="AC42" t="inlineStr">
        <is>
          <t>Cierre del dia anterior (saldo encadenado, RN-71)</t>
        </is>
      </c>
      <c r="AD42" t="inlineStr">
        <is>
          <t>estimada</t>
        </is>
      </c>
      <c r="AE42" t="inlineStr">
        <is>
          <t>Participacion historica por denominacion (SUP-09)</t>
        </is>
      </c>
    </row>
    <row r="43">
      <c r="A43" t="inlineStr">
        <is>
          <t>PRAGMA</t>
        </is>
      </c>
      <c r="B43" t="inlineStr">
        <is>
          <t>CALI|TRANSPORTADORA_001</t>
        </is>
      </c>
      <c r="C43" t="inlineStr">
        <is>
          <t>Cali</t>
        </is>
      </c>
      <c r="D43" t="inlineStr">
        <is>
          <t>TRANSPORTADORA_001</t>
        </is>
      </c>
      <c r="E43" s="23" t="n">
        <v>46265</v>
      </c>
      <c r="F43" s="23" t="n">
        <v>46266</v>
      </c>
      <c r="G43" t="inlineStr">
        <is>
          <t>Sí</t>
        </is>
      </c>
      <c r="H43" s="25" t="n">
        <v>10000</v>
      </c>
      <c r="I43" s="26" t="n">
        <v>2266270000</v>
      </c>
      <c r="J43" s="26" t="n">
        <v>888511909</v>
      </c>
      <c r="K43" s="26" t="n">
        <v>812609495</v>
      </c>
      <c r="L43" s="26">
        <f>J43-K43</f>
        <v>75902414</v>
      </c>
      <c r="M43" s="26">
        <f>I43+L43</f>
        <v>2342172414</v>
      </c>
      <c r="N43" s="26" t="n">
        <v>1609174000</v>
      </c>
      <c r="O43" s="26" t="n">
        <v>3087852778</v>
      </c>
      <c r="P43" s="26">
        <f>MAX(0,N43-M43)</f>
        <v>0</v>
      </c>
      <c r="Q43" s="26">
        <f>MAX(0,M43-O43)</f>
        <v>0</v>
      </c>
      <c r="R43" t="inlineStr">
        <is>
          <t>bajo</t>
        </is>
      </c>
      <c r="S43" t="inlineStr">
        <is>
          <t>traslado_fondos</t>
        </is>
      </c>
      <c r="T43" t="inlineStr">
        <is>
          <t>salida</t>
        </is>
      </c>
      <c r="U43" s="26" t="n">
        <v>442920000</v>
      </c>
      <c r="V43" t="inlineStr">
        <is>
          <t>CALI|TRANSPORTADORA_001</t>
        </is>
      </c>
      <c r="W43" t="inlineStr">
        <is>
          <t>CALI|TRANSPORTADORA_003</t>
        </is>
      </c>
      <c r="X43" s="26">
        <f>IF(T43="entrada",M43+U43,IF(T43="salida",M43-U43,M43))</f>
        <v>1899252414</v>
      </c>
      <c r="Y43" s="26" t="n">
        <v>0</v>
      </c>
      <c r="Z43" t="inlineStr">
        <is>
          <t>Menor costo neto entre las alternativas que cubren la necesidad completa</t>
        </is>
      </c>
      <c r="AA43" t="inlineStr">
        <is>
          <t>SUP-08, SUP-10</t>
        </is>
      </c>
      <c r="AB43" t="inlineStr">
        <is>
          <t>Contraparte del traslado P00001 en la denominacion 10000: entrega $442.920.000 a CALI|TRANSPORTADORA_003. Saldo de esta fila: $2.342.172.414 antes y $1.899.252.414 despues (minimo $1.609.174.000, maximo $3.087.852.778). Necesidad que la origina, en CALI|TRANSPORTADORA_003: Faltante de $442.915.287 en la denominacion 10000: saldo $714.084.713 bajo el minimo $1.157.000.000. Elegida: traslado con CALI|TRANSPORTADORA_001 ($442.920.000; costo $0). Es preferible porque tiene el menor costo neto. Otras alternativas: traslado con CALI|TRANSPORTADORA_002 ($442.920.000; costo $0); traslado con CALI|TRANSPORTADORA_004 ($39.130.000; costo $0, cubre solo una parte); retiro BanRep ($442.920.000; costo $308.457); traslado con IPIALES|TRANSPORTADORA_002 ($442.920.000; costo $548.705); traslado con PASTO|TRANSPORTADORA_001 ($442.920.000; costo $1.231.946); cambio de denominacion: ninguna otra denominacion del fondo supera su maximo.</t>
        </is>
      </c>
      <c r="AC43" t="inlineStr">
        <is>
          <t>Ultimo disponible al 31/08/2026 (SUP-07)</t>
        </is>
      </c>
      <c r="AD43" t="inlineStr">
        <is>
          <t>estimada</t>
        </is>
      </c>
      <c r="AE43" t="inlineStr">
        <is>
          <t>Participacion historica por denominacion (SUP-09)</t>
        </is>
      </c>
    </row>
    <row r="44">
      <c r="A44" t="inlineStr">
        <is>
          <t>PRAGMA</t>
        </is>
      </c>
      <c r="B44" t="inlineStr">
        <is>
          <t>CALI|TRANSPORTADORA_001</t>
        </is>
      </c>
      <c r="C44" t="inlineStr">
        <is>
          <t>Cali</t>
        </is>
      </c>
      <c r="D44" t="inlineStr">
        <is>
          <t>TRANSPORTADORA_001</t>
        </is>
      </c>
      <c r="E44" s="23" t="n">
        <v>46265</v>
      </c>
      <c r="F44" s="23" t="n">
        <v>46266</v>
      </c>
      <c r="G44" t="inlineStr">
        <is>
          <t>Sí</t>
        </is>
      </c>
      <c r="H44" s="25" t="n">
        <v>10000</v>
      </c>
      <c r="I44" s="26" t="n">
        <v>1899252414</v>
      </c>
      <c r="J44" s="26" t="n">
        <v>0</v>
      </c>
      <c r="K44" s="26" t="n">
        <v>0</v>
      </c>
      <c r="L44" s="26">
        <f>J44-K44</f>
        <v>0</v>
      </c>
      <c r="M44" s="26">
        <f>I44+L44</f>
        <v>1899252414</v>
      </c>
      <c r="N44" s="26" t="n">
        <v>1609174000</v>
      </c>
      <c r="O44" s="26" t="n">
        <v>3087852778</v>
      </c>
      <c r="P44" s="26">
        <f>MAX(0,N44-M44)</f>
        <v>0</v>
      </c>
      <c r="Q44" s="26">
        <f>MAX(0,M44-O44)</f>
        <v>0</v>
      </c>
      <c r="R44" t="inlineStr">
        <is>
          <t>bajo</t>
        </is>
      </c>
      <c r="S44" t="inlineStr">
        <is>
          <t>traslado_fondos</t>
        </is>
      </c>
      <c r="T44" t="inlineStr">
        <is>
          <t>entrada</t>
        </is>
      </c>
      <c r="U44" s="26" t="n">
        <v>1090000</v>
      </c>
      <c r="V44" t="inlineStr">
        <is>
          <t>CALI|TRANSPORTADORA_004</t>
        </is>
      </c>
      <c r="W44" t="inlineStr">
        <is>
          <t>CALI|TRANSPORTADORA_001</t>
        </is>
      </c>
      <c r="X44" s="26">
        <f>IF(T44="entrada",M44+U44,IF(T44="salida",M44-U44,M44))</f>
        <v>1900342414</v>
      </c>
      <c r="Y44" s="26" t="n">
        <v>0</v>
      </c>
      <c r="Z44" t="inlineStr">
        <is>
          <t>Menor costo neto entre las alternativas que cubren la necesidad completa</t>
        </is>
      </c>
      <c r="AA44" t="inlineStr">
        <is>
          <t>SUP-08, SUP-10</t>
        </is>
      </c>
      <c r="AB44" t="inlineStr">
        <is>
          <t>Contraparte del traslado P00007 en la denominacion 10000: recibe $1.090.000 de CALI|TRANSPORTADORA_004. Saldo de esta fila: $1.899.252.414 antes y $1.900.342.414 despues (minimo $1.609.174.000, maximo $3.087.852.778). Necesidad que la origina, en CALI|TRANSPORTADORA_004: Excedente de $1.085.069 en la denominacion 10000: saldo $39.855.069 sobre el maximo $38.770.000. Elegida: traslado con CALI|TRANSPORTADORA_001 ($1.090.000; costo $0). Es preferible porque tiene el menor costo neto. Otras alternativas: traslado con CALI|TRANSPORTADORA_002 ($1.090.000; costo $0); traslado con CALI|TRANSPORTADORA_003 ($1.090.000; costo $0); conservar ($1.090.000; costo de almacenar $172); consignacion BanRep ($1.090.000; costo $121.062); venta: no habilitada en este fondo (sin historico o fuera de las ciudades BanRep); traslado hacia 2 fondo(s) con espacio: ruta sin tarifa en el Anexo E (prohibida).</t>
        </is>
      </c>
      <c r="AC44" t="inlineStr">
        <is>
          <t>Cierre del dia anterior (saldo encadenado, RN-71)</t>
        </is>
      </c>
      <c r="AD44" t="inlineStr">
        <is>
          <t>estimada</t>
        </is>
      </c>
      <c r="AE44" t="inlineStr">
        <is>
          <t>Participacion historica por denominacion (SUP-09)</t>
        </is>
      </c>
    </row>
    <row r="45">
      <c r="A45" t="inlineStr">
        <is>
          <t>PRAGMA</t>
        </is>
      </c>
      <c r="B45" t="inlineStr">
        <is>
          <t>CALI|TRANSPORTADORA_001</t>
        </is>
      </c>
      <c r="C45" t="inlineStr">
        <is>
          <t>Cali</t>
        </is>
      </c>
      <c r="D45" t="inlineStr">
        <is>
          <t>TRANSPORTADORA_001</t>
        </is>
      </c>
      <c r="E45" s="23" t="n">
        <v>46265</v>
      </c>
      <c r="F45" s="23" t="n">
        <v>46267</v>
      </c>
      <c r="G45" t="inlineStr">
        <is>
          <t>Sí</t>
        </is>
      </c>
      <c r="H45" s="25" t="n">
        <v>10000</v>
      </c>
      <c r="I45" s="26" t="n">
        <v>1900342414</v>
      </c>
      <c r="J45" s="26" t="n">
        <v>832326417</v>
      </c>
      <c r="K45" s="26" t="n">
        <v>656554017</v>
      </c>
      <c r="L45" s="26">
        <f>J45-K45</f>
        <v>175772400</v>
      </c>
      <c r="M45" s="26">
        <f>I45+L45</f>
        <v>2076114814</v>
      </c>
      <c r="N45" s="26" t="n">
        <v>1609174000</v>
      </c>
      <c r="O45" s="26" t="n">
        <v>3087852778</v>
      </c>
      <c r="P45" s="26">
        <f>MAX(0,N45-M45)</f>
        <v>0</v>
      </c>
      <c r="Q45" s="26">
        <f>MAX(0,M45-O45)</f>
        <v>0</v>
      </c>
      <c r="R45" t="inlineStr">
        <is>
          <t>bajo</t>
        </is>
      </c>
      <c r="S45" t="inlineStr">
        <is>
          <t>traslado_fondos</t>
        </is>
      </c>
      <c r="T45" t="inlineStr">
        <is>
          <t>salida</t>
        </is>
      </c>
      <c r="U45" s="26" t="n">
        <v>56710000</v>
      </c>
      <c r="V45" t="inlineStr">
        <is>
          <t>CALI|TRANSPORTADORA_001</t>
        </is>
      </c>
      <c r="W45" t="inlineStr">
        <is>
          <t>CALI|TRANSPORTADORA_003</t>
        </is>
      </c>
      <c r="X45" s="26">
        <f>IF(T45="entrada",M45+U45,IF(T45="salida",M45-U45,M45))</f>
        <v>2019404814</v>
      </c>
      <c r="Y45" s="26" t="n">
        <v>0</v>
      </c>
      <c r="Z45" t="inlineStr">
        <is>
          <t>Menor costo neto entre las alternativas que cubren la necesidad completa</t>
        </is>
      </c>
      <c r="AA45" t="inlineStr">
        <is>
          <t>SUP-08, SUP-10</t>
        </is>
      </c>
      <c r="AB45" t="inlineStr">
        <is>
          <t>Contraparte del traslado P00010 en la denominacion 10000: entrega $56.710.000 a CALI|TRANSPORTADORA_003. Saldo de esta fila: $2.076.114.814 antes y $2.019.404.814 despues (minimo $1.609.174.000, maximo $3.087.852.778). Necesidad que la origina, en CALI|TRANSPORTADORA_003: Faltante de $56.705.000 en la denominacion 10000: saldo $1.100.295.000 bajo el minimo $1.157.000.000. Elegida: traslado con CALI|TRANSPORTADORA_001 ($56.710.000; costo $0). Es preferible porque tiene el menor costo neto. Otras alternativas: traslado con CALI|TRANSPORTADORA_002 ($56.710.000; costo $0); traslado con CALI|TRANSPORTADORA_004 ($38.680.000; costo $0, cubre solo una parte); retiro BanRep ($56.710.000; costo $150.111); traslado con IPIALES|TRANSPORTADORA_002 ($56.710.000; costo $211.930); traslado con PASTO|TRANSPORTADORA_001 ($56.710.000; costo $862.343); cambio de denominacion: ninguna otra denominacion del fondo supera su maximo.</t>
        </is>
      </c>
      <c r="AC45" t="inlineStr">
        <is>
          <t>Cierre del dia anterior (saldo encadenado, RN-71)</t>
        </is>
      </c>
      <c r="AD45" t="inlineStr">
        <is>
          <t>estimada</t>
        </is>
      </c>
      <c r="AE45" t="inlineStr">
        <is>
          <t>Participacion historica por denominacion (SUP-09)</t>
        </is>
      </c>
    </row>
    <row r="46">
      <c r="A46" t="inlineStr">
        <is>
          <t>PRAGMA</t>
        </is>
      </c>
      <c r="B46" t="inlineStr">
        <is>
          <t>CALI|TRANSPORTADORA_001</t>
        </is>
      </c>
      <c r="C46" t="inlineStr">
        <is>
          <t>Cali</t>
        </is>
      </c>
      <c r="D46" t="inlineStr">
        <is>
          <t>TRANSPORTADORA_001</t>
        </is>
      </c>
      <c r="E46" s="23" t="n">
        <v>46265</v>
      </c>
      <c r="F46" s="23" t="n">
        <v>46267</v>
      </c>
      <c r="G46" t="inlineStr">
        <is>
          <t>Sí</t>
        </is>
      </c>
      <c r="H46" s="25" t="n">
        <v>10000</v>
      </c>
      <c r="I46" s="26" t="n">
        <v>2019404814</v>
      </c>
      <c r="J46" s="26" t="n">
        <v>0</v>
      </c>
      <c r="K46" s="26" t="n">
        <v>0</v>
      </c>
      <c r="L46" s="26">
        <f>J46-K46</f>
        <v>0</v>
      </c>
      <c r="M46" s="26">
        <f>I46+L46</f>
        <v>2019404814</v>
      </c>
      <c r="N46" s="26" t="n">
        <v>1609174000</v>
      </c>
      <c r="O46" s="26" t="n">
        <v>3087852778</v>
      </c>
      <c r="P46" s="26">
        <f>MAX(0,N46-M46)</f>
        <v>0</v>
      </c>
      <c r="Q46" s="26">
        <f>MAX(0,M46-O46)</f>
        <v>0</v>
      </c>
      <c r="R46" t="inlineStr">
        <is>
          <t>bajo</t>
        </is>
      </c>
      <c r="S46" t="inlineStr">
        <is>
          <t>traslado_fondos</t>
        </is>
      </c>
      <c r="T46" t="inlineStr">
        <is>
          <t>entrada</t>
        </is>
      </c>
      <c r="U46" s="26" t="n">
        <v>640000</v>
      </c>
      <c r="V46" t="inlineStr">
        <is>
          <t>CALI|TRANSPORTADORA_004</t>
        </is>
      </c>
      <c r="W46" t="inlineStr">
        <is>
          <t>CALI|TRANSPORTADORA_001</t>
        </is>
      </c>
      <c r="X46" s="26">
        <f>IF(T46="entrada",M46+U46,IF(T46="salida",M46-U46,M46))</f>
        <v>2020044814</v>
      </c>
      <c r="Y46" s="26" t="n">
        <v>0</v>
      </c>
      <c r="Z46" t="inlineStr">
        <is>
          <t>Menor costo neto entre las alternativas que cubren la necesidad completa</t>
        </is>
      </c>
      <c r="AA46" t="inlineStr">
        <is>
          <t>SUP-08, SUP-10</t>
        </is>
      </c>
      <c r="AB46" t="inlineStr">
        <is>
          <t>Contraparte del traslado P00015 en la denominacion 10000: recibe $640.000 de CALI|TRANSPORTADORA_004. Saldo de esta fila: $2.019.404.814 antes y $2.020.044.814 despues (minimo $1.609.174.000, maximo $3.087.852.778). Necesidad que la origina, en CALI|TRANSPORTADORA_004: Excedente de $630.580 en la denominacion 10000: saldo $39.400.580 sobre el maximo $38.770.000. Elegida: traslado con CALI|TRANSPORTADORA_001 ($640.000; costo $0). Es preferible porque tiene el menor costo neto. Otras alternativas: traslado con CALI|TRANSPORTADORA_002 ($640.000; costo $0); traslado con CALI|TRANSPORTADORA_003 ($640.000; costo $0); conservar ($640.000; costo de almacenar $94); consignacion BanRep ($640.000; costo $120.939); venta: no habilitada en este fondo (sin historico o fuera de las ciudades BanRep); traslado hacia 2 fondo(s) con espacio: ruta sin tarifa en el Anexo E (prohibida).</t>
        </is>
      </c>
      <c r="AC46" t="inlineStr">
        <is>
          <t>Cierre del dia anterior (saldo encadenado, RN-71)</t>
        </is>
      </c>
      <c r="AD46" t="inlineStr">
        <is>
          <t>estimada</t>
        </is>
      </c>
      <c r="AE46" t="inlineStr">
        <is>
          <t>Participacion historica por denominacion (SUP-09)</t>
        </is>
      </c>
    </row>
    <row r="47">
      <c r="A47" t="inlineStr">
        <is>
          <t>PRAGMA</t>
        </is>
      </c>
      <c r="B47" t="inlineStr">
        <is>
          <t>CALI|TRANSPORTADORA_001</t>
        </is>
      </c>
      <c r="C47" t="inlineStr">
        <is>
          <t>Cali</t>
        </is>
      </c>
      <c r="D47" t="inlineStr">
        <is>
          <t>TRANSPORTADORA_001</t>
        </is>
      </c>
      <c r="E47" s="23" t="n">
        <v>46265</v>
      </c>
      <c r="F47" s="23" t="n">
        <v>46268</v>
      </c>
      <c r="G47" t="inlineStr">
        <is>
          <t>Sí</t>
        </is>
      </c>
      <c r="H47" s="25" t="n">
        <v>10000</v>
      </c>
      <c r="I47" s="26" t="n">
        <v>2020044814</v>
      </c>
      <c r="J47" s="26" t="n">
        <v>1028566532</v>
      </c>
      <c r="K47" s="26" t="n">
        <v>574883854</v>
      </c>
      <c r="L47" s="26">
        <f>J47-K47</f>
        <v>453682678</v>
      </c>
      <c r="M47" s="26">
        <f>I47+L47</f>
        <v>2473727492</v>
      </c>
      <c r="N47" s="26" t="n">
        <v>1609174000</v>
      </c>
      <c r="O47" s="26" t="n">
        <v>3087852778</v>
      </c>
      <c r="P47" s="26">
        <f>MAX(0,N47-M47)</f>
        <v>0</v>
      </c>
      <c r="Q47" s="26">
        <f>MAX(0,M47-O47)</f>
        <v>0</v>
      </c>
      <c r="R47" t="inlineStr">
        <is>
          <t>bajo</t>
        </is>
      </c>
      <c r="S47" t="inlineStr">
        <is>
          <t>traslado_fondos</t>
        </is>
      </c>
      <c r="T47" t="inlineStr">
        <is>
          <t>entrada</t>
        </is>
      </c>
      <c r="U47" s="26" t="n">
        <v>770000</v>
      </c>
      <c r="V47" t="inlineStr">
        <is>
          <t>CALI|TRANSPORTADORA_004</t>
        </is>
      </c>
      <c r="W47" t="inlineStr">
        <is>
          <t>CALI|TRANSPORTADORA_001</t>
        </is>
      </c>
      <c r="X47" s="26">
        <f>IF(T47="entrada",M47+U47,IF(T47="salida",M47-U47,M47))</f>
        <v>2474497492</v>
      </c>
      <c r="Y47" s="26" t="n">
        <v>0</v>
      </c>
      <c r="Z47" t="inlineStr">
        <is>
          <t>Menor costo neto entre las alternativas que cubren la necesidad completa</t>
        </is>
      </c>
      <c r="AA47" t="inlineStr">
        <is>
          <t>SUP-08, SUP-10</t>
        </is>
      </c>
      <c r="AB47" t="inlineStr">
        <is>
          <t>Contraparte del traslado P00019 en la denominacion 10000: recibe $770.000 de CALI|TRANSPORTADORA_004. Saldo de esta fila: $2.473.727.492 antes y $2.474.497.492 despues (minimo $1.609.174.000, maximo $3.087.852.778). Necesidad que la origina, en CALI|TRANSPORTADORA_004: Excedente de $765.231 en la denominacion 10000: saldo $39.535.231 sobre el maximo $38.770.000. Elegida: traslado con CALI|TRANSPORTADORA_001 ($770.000; costo $0). Es preferible porque tiene el menor costo neto. Otras alternativas: traslado con CALI|TRANSPORTADORA_003 ($770.000; costo $0); conservar ($770.000; costo de almacenar $105); consignacion BanRep ($770.000; costo $120.974); venta: no habilitada en este fondo (sin historico o fuera de las ciudades BanRep).</t>
        </is>
      </c>
      <c r="AC47" t="inlineStr">
        <is>
          <t>Cierre del dia anterior (saldo encadenado, RN-71)</t>
        </is>
      </c>
      <c r="AD47" t="inlineStr">
        <is>
          <t>estimada</t>
        </is>
      </c>
      <c r="AE47" t="inlineStr">
        <is>
          <t>Participacion historica por denominacion (SUP-09)</t>
        </is>
      </c>
    </row>
    <row r="48">
      <c r="A48" t="inlineStr">
        <is>
          <t>PRAGMA</t>
        </is>
      </c>
      <c r="B48" t="inlineStr">
        <is>
          <t>CALI|TRANSPORTADORA_001</t>
        </is>
      </c>
      <c r="C48" t="inlineStr">
        <is>
          <t>Cali</t>
        </is>
      </c>
      <c r="D48" t="inlineStr">
        <is>
          <t>TRANSPORTADORA_001</t>
        </is>
      </c>
      <c r="E48" s="23" t="n">
        <v>46265</v>
      </c>
      <c r="F48" s="23" t="n">
        <v>46269</v>
      </c>
      <c r="G48" t="inlineStr">
        <is>
          <t>Sí</t>
        </is>
      </c>
      <c r="H48" s="25" t="n">
        <v>10000</v>
      </c>
      <c r="I48" s="26" t="n">
        <v>2474497492</v>
      </c>
      <c r="J48" s="26" t="n">
        <v>964899818</v>
      </c>
      <c r="K48" s="26" t="n">
        <v>638332870</v>
      </c>
      <c r="L48" s="26">
        <f>J48-K48</f>
        <v>326566948</v>
      </c>
      <c r="M48" s="26">
        <f>I48+L48</f>
        <v>2801064440</v>
      </c>
      <c r="N48" s="26" t="n">
        <v>1609174000</v>
      </c>
      <c r="O48" s="26" t="n">
        <v>3087852778</v>
      </c>
      <c r="P48" s="26">
        <f>MAX(0,N48-M48)</f>
        <v>0</v>
      </c>
      <c r="Q48" s="26">
        <f>MAX(0,M48-O48)</f>
        <v>0</v>
      </c>
      <c r="R48" t="inlineStr">
        <is>
          <t>bajo</t>
        </is>
      </c>
      <c r="S48" t="inlineStr">
        <is>
          <t>traslado_fondos</t>
        </is>
      </c>
      <c r="T48" t="inlineStr">
        <is>
          <t>salida</t>
        </is>
      </c>
      <c r="U48" s="26" t="n">
        <v>35200000</v>
      </c>
      <c r="V48" t="inlineStr">
        <is>
          <t>CALI|TRANSPORTADORA_001</t>
        </is>
      </c>
      <c r="W48" t="inlineStr">
        <is>
          <t>CALI|TRANSPORTADORA_003</t>
        </is>
      </c>
      <c r="X48" s="26">
        <f>IF(T48="entrada",M48+U48,IF(T48="salida",M48-U48,M48))</f>
        <v>2765864440</v>
      </c>
      <c r="Y48" s="26" t="n">
        <v>0</v>
      </c>
      <c r="Z48" t="inlineStr">
        <is>
          <t>Menor costo neto entre las alternativas que cubren la necesidad completa</t>
        </is>
      </c>
      <c r="AA48" t="inlineStr">
        <is>
          <t>SUP-08, SUP-10</t>
        </is>
      </c>
      <c r="AB48" t="inlineStr">
        <is>
          <t>Contraparte del traslado P00022 en la denominacion 10000: entrega $35.200.000 a CALI|TRANSPORTADORA_003. Saldo de esta fila: $2.801.064.441 antes y $2.765.864.441 despues (minimo $1.609.174.000, maximo $3.087.852.778). Necesidad que la origina, en CALI|TRANSPORTADORA_003: Faltante de $35.194.123 en la denominacion 10000: saldo $1.121.805.877 bajo el minimo $1.157.000.000. Elegida: traslado con CALI|TRANSPORTADORA_001 ($35.200.000; costo $0). Es preferible porque tiene el menor costo neto. Otras alternativas: traslado con CALI|TRANSPORTADORA_002 ($35.200.000; costo $0); traslado con CALI|TRANSPORTADORA_004 ($35.200.000; costo $0); retiro BanRep ($35.200.000; costo $141.292); traslado con IPIALES|TRANSPORTADORA_002 ($35.200.000; costo $193.173); traslado con PASTO|TRANSPORTADORA_001 ($35.200.000; costo $841.758); cambio de denominacion: ninguna otra denominacion del fondo supera su maximo.</t>
        </is>
      </c>
      <c r="AC48" t="inlineStr">
        <is>
          <t>Cierre del dia anterior (saldo encadenado, RN-71)</t>
        </is>
      </c>
      <c r="AD48" t="inlineStr">
        <is>
          <t>estimada</t>
        </is>
      </c>
      <c r="AE48" t="inlineStr">
        <is>
          <t>Participacion historica por denominacion (SUP-09)</t>
        </is>
      </c>
    </row>
    <row r="49">
      <c r="A49" t="inlineStr">
        <is>
          <t>PRAGMA</t>
        </is>
      </c>
      <c r="B49" t="inlineStr">
        <is>
          <t>CALI|TRANSPORTADORA_001</t>
        </is>
      </c>
      <c r="C49" t="inlineStr">
        <is>
          <t>Cali</t>
        </is>
      </c>
      <c r="D49" t="inlineStr">
        <is>
          <t>TRANSPORTADORA_001</t>
        </is>
      </c>
      <c r="E49" s="23" t="n">
        <v>46265</v>
      </c>
      <c r="F49" s="23" t="n">
        <v>46269</v>
      </c>
      <c r="G49" t="inlineStr">
        <is>
          <t>Sí</t>
        </is>
      </c>
      <c r="H49" s="25" t="n">
        <v>10000</v>
      </c>
      <c r="I49" s="26" t="n">
        <v>2765864441</v>
      </c>
      <c r="J49" s="26" t="n">
        <v>0</v>
      </c>
      <c r="K49" s="26" t="n">
        <v>0</v>
      </c>
      <c r="L49" s="26">
        <f>J49-K49</f>
        <v>0</v>
      </c>
      <c r="M49" s="26">
        <f>I49+L49</f>
        <v>2765864441</v>
      </c>
      <c r="N49" s="26" t="n">
        <v>1609174000</v>
      </c>
      <c r="O49" s="26" t="n">
        <v>3087852778</v>
      </c>
      <c r="P49" s="26">
        <f>MAX(0,N49-M49)</f>
        <v>0</v>
      </c>
      <c r="Q49" s="26">
        <f>MAX(0,M49-O49)</f>
        <v>0</v>
      </c>
      <c r="R49" t="inlineStr">
        <is>
          <t>bajo</t>
        </is>
      </c>
      <c r="S49" t="inlineStr">
        <is>
          <t>traslado_fondos</t>
        </is>
      </c>
      <c r="T49" t="inlineStr">
        <is>
          <t>entrada</t>
        </is>
      </c>
      <c r="U49" s="26" t="n">
        <v>940000</v>
      </c>
      <c r="V49" t="inlineStr">
        <is>
          <t>CALI|TRANSPORTADORA_004</t>
        </is>
      </c>
      <c r="W49" t="inlineStr">
        <is>
          <t>CALI|TRANSPORTADORA_001</t>
        </is>
      </c>
      <c r="X49" s="26">
        <f>IF(T49="entrada",M49+U49,IF(T49="salida",M49-U49,M49))</f>
        <v>2766804441</v>
      </c>
      <c r="Y49" s="26" t="n">
        <v>0</v>
      </c>
      <c r="Z49" t="inlineStr">
        <is>
          <t>Menor costo neto entre las alternativas que cubren la necesidad completa</t>
        </is>
      </c>
      <c r="AA49" t="inlineStr">
        <is>
          <t>SUP-08, SUP-10</t>
        </is>
      </c>
      <c r="AB49" t="inlineStr">
        <is>
          <t>Contraparte del traslado P00027 en la denominacion 10000: recibe $940.000 de CALI|TRANSPORTADORA_004. Saldo de esta fila: $2.765.864.441 antes y $2.766.804.441 despues (minimo $1.609.174.000, maximo $3.087.852.778). Necesidad que la origina, en CALI|TRANSPORTADORA_004: Excedente de $930.726 en la denominacion 10000: saldo $39.700.726 sobre el maximo $38.770.000. Elegida: traslado con CALI|TRANSPORTADORA_001 ($940.000; costo $0). Es preferible porque tiene el menor costo neto. Otras alternativas: traslado con CALI|TRANSPORTADORA_003 ($940.000; costo $0); conservar ($940.000; costo de almacenar $119); consignacion BanRep ($940.000; costo $121.021); venta: no habilitada en este fondo (sin historico o fuera de las ciudades BanRep); traslado hacia 1 fondo(s) con espacio: ruta sin tarifa en el Anexo E (prohibida).</t>
        </is>
      </c>
      <c r="AC49" t="inlineStr">
        <is>
          <t>Cierre del dia anterior (saldo encadenado, RN-71)</t>
        </is>
      </c>
      <c r="AD49" t="inlineStr">
        <is>
          <t>estimada</t>
        </is>
      </c>
      <c r="AE49" t="inlineStr">
        <is>
          <t>Participacion historica por denominacion (SUP-09)</t>
        </is>
      </c>
    </row>
    <row r="50">
      <c r="A50" t="inlineStr">
        <is>
          <t>PRAGMA</t>
        </is>
      </c>
      <c r="B50" t="inlineStr">
        <is>
          <t>CALI|TRANSPORTADORA_001</t>
        </is>
      </c>
      <c r="C50" t="inlineStr">
        <is>
          <t>Cali</t>
        </is>
      </c>
      <c r="D50" t="inlineStr">
        <is>
          <t>TRANSPORTADORA_001</t>
        </is>
      </c>
      <c r="E50" s="23" t="n">
        <v>46265</v>
      </c>
      <c r="F50" s="23" t="n">
        <v>46270</v>
      </c>
      <c r="G50" t="inlineStr">
        <is>
          <t>No</t>
        </is>
      </c>
      <c r="H50" s="25" t="n">
        <v>10000</v>
      </c>
      <c r="I50" s="26" t="n">
        <v>2766804441</v>
      </c>
      <c r="J50" s="26" t="n">
        <v>171303340</v>
      </c>
      <c r="K50" s="26" t="n">
        <v>526476644</v>
      </c>
      <c r="L50" s="26">
        <f>J50-K50</f>
        <v>-355173304</v>
      </c>
      <c r="M50" s="26">
        <f>I50+L50</f>
        <v>2411631137</v>
      </c>
      <c r="N50" s="26" t="n">
        <v>1609174000</v>
      </c>
      <c r="O50" s="26" t="n">
        <v>3087852778</v>
      </c>
      <c r="P50" s="26">
        <f>MAX(0,N50-M50)</f>
        <v>0</v>
      </c>
      <c r="Q50" s="26">
        <f>MAX(0,M50-O50)</f>
        <v>0</v>
      </c>
      <c r="R50" t="inlineStr">
        <is>
          <t>bajo</t>
        </is>
      </c>
      <c r="S50" t="inlineStr">
        <is>
          <t>traslado_fondos</t>
        </is>
      </c>
      <c r="T50" t="inlineStr">
        <is>
          <t>salida</t>
        </is>
      </c>
      <c r="U50" s="26" t="n">
        <v>187430000</v>
      </c>
      <c r="V50" t="inlineStr">
        <is>
          <t>CALI|TRANSPORTADORA_001</t>
        </is>
      </c>
      <c r="W50" t="inlineStr">
        <is>
          <t>CALI|TRANSPORTADORA_003</t>
        </is>
      </c>
      <c r="X50" s="26">
        <f>IF(T50="entrada",M50+U50,IF(T50="salida",M50-U50,M50))</f>
        <v>2224201137</v>
      </c>
      <c r="Y50" s="26" t="n">
        <v>0</v>
      </c>
      <c r="Z50" t="inlineStr">
        <is>
          <t>Menor costo neto entre las alternativas que cubren la necesidad completa</t>
        </is>
      </c>
      <c r="AA50" t="inlineStr">
        <is>
          <t>SUP-08, SUP-10</t>
        </is>
      </c>
      <c r="AB50" t="inlineStr">
        <is>
          <t>Contraparte del traslado P00031 en la denominacion 10000: entrega $187.430.000 a CALI|TRANSPORTADORA_003. Saldo de esta fila: $2.411.631.136 antes y $2.224.201.136 despues (minimo $1.609.174.000, maximo $3.087.852.778). Necesidad que la origina, en CALI|TRANSPORTADORA_003: Faltante de $187.425.282 en la denominacion 10000: saldo $969.574.718 bajo el minimo $1.157.000.000. Elegida: traslado con CALI|TRANSPORTADORA_001 ($187.430.000; costo $0). Es preferible porque tiene el menor costo neto. Otras alternativas: traslado con CALI|TRANSPORTADORA_002 ($187.430.000; costo $0); traslado con CALI|TRANSPORTADORA_004 ($38.230.000; costo $0, cubre solo una parte); traslado con IPIALES|TRANSPORTADORA_002 ($187.430.000; costo $325.918); traslado con PASTO|TRANSPORTADORA_001 ($187.430.000; costo $987.443); retiro BanRep: dia no habil (sabado, domingo o festivo; RN-71A); cambio de denominacion: dia no habil (sabado, domingo o festivo; RN-71A).</t>
        </is>
      </c>
      <c r="AC50" t="inlineStr">
        <is>
          <t>Cierre del dia anterior (saldo encadenado, RN-71)</t>
        </is>
      </c>
      <c r="AD50" t="inlineStr">
        <is>
          <t>estimada</t>
        </is>
      </c>
      <c r="AE50" t="inlineStr">
        <is>
          <t>Participacion historica por denominacion (SUP-09)</t>
        </is>
      </c>
    </row>
    <row r="51">
      <c r="A51" t="inlineStr">
        <is>
          <t>PRAGMA</t>
        </is>
      </c>
      <c r="B51" t="inlineStr">
        <is>
          <t>CALI|TRANSPORTADORA_001</t>
        </is>
      </c>
      <c r="C51" t="inlineStr">
        <is>
          <t>Cali</t>
        </is>
      </c>
      <c r="D51" t="inlineStr">
        <is>
          <t>TRANSPORTADORA_001</t>
        </is>
      </c>
      <c r="E51" s="23" t="n">
        <v>46265</v>
      </c>
      <c r="F51" s="23" t="n">
        <v>46270</v>
      </c>
      <c r="G51" t="inlineStr">
        <is>
          <t>No</t>
        </is>
      </c>
      <c r="H51" s="25" t="n">
        <v>10000</v>
      </c>
      <c r="I51" s="26" t="n">
        <v>2224201136</v>
      </c>
      <c r="J51" s="26" t="n">
        <v>0</v>
      </c>
      <c r="K51" s="26" t="n">
        <v>0</v>
      </c>
      <c r="L51" s="26">
        <f>J51-K51</f>
        <v>0</v>
      </c>
      <c r="M51" s="26">
        <f>I51+L51</f>
        <v>2224201136</v>
      </c>
      <c r="N51" s="26" t="n">
        <v>1609174000</v>
      </c>
      <c r="O51" s="26" t="n">
        <v>3087852778</v>
      </c>
      <c r="P51" s="26">
        <f>MAX(0,N51-M51)</f>
        <v>0</v>
      </c>
      <c r="Q51" s="26">
        <f>MAX(0,M51-O51)</f>
        <v>0</v>
      </c>
      <c r="R51" t="inlineStr">
        <is>
          <t>bajo</t>
        </is>
      </c>
      <c r="S51" t="inlineStr">
        <is>
          <t>traslado_fondos</t>
        </is>
      </c>
      <c r="T51" t="inlineStr">
        <is>
          <t>entrada</t>
        </is>
      </c>
      <c r="U51" s="26" t="n">
        <v>190000</v>
      </c>
      <c r="V51" t="inlineStr">
        <is>
          <t>CALI|TRANSPORTADORA_004</t>
        </is>
      </c>
      <c r="W51" t="inlineStr">
        <is>
          <t>CALI|TRANSPORTADORA_001</t>
        </is>
      </c>
      <c r="X51" s="26">
        <f>IF(T51="entrada",M51+U51,IF(T51="salida",M51-U51,M51))</f>
        <v>2224391136</v>
      </c>
      <c r="Y51" s="26" t="n">
        <v>0</v>
      </c>
      <c r="Z51" t="inlineStr">
        <is>
          <t>Menor costo neto entre las alternativas que cubren la necesidad completa</t>
        </is>
      </c>
      <c r="AA51" t="inlineStr">
        <is>
          <t>SUP-08, SUP-10</t>
        </is>
      </c>
      <c r="AB51" t="inlineStr">
        <is>
          <t>Contraparte del traslado P00036 en la denominacion 10000: recibe $190.000 de CALI|TRANSPORTADORA_004. Saldo de esta fila: $2.224.201.136 antes y $2.224.391.136 despues (minimo $1.609.174.000, maximo $3.087.852.778). Necesidad que la origina, en CALI|TRANSPORTADORA_004: Excedente de $188.345 en la denominacion 10000: saldo $38.958.345 sobre el maximo $38.770.000. Elegida: traslado con CALI|TRANSPORTADORA_001 ($190.000; costo $0). Es preferible porque tiene el menor costo neto. Otras alternativas: traslado con CALI|TRANSPORTADORA_002 ($190.000; costo $0); traslado con CALI|TRANSPORTADORA_003 ($190.000; costo $0); conservar ($190.000; costo de almacenar $22); venta: dia no habil (sabado, domingo o festivo; RN-71A); consignacion BanRep: dia no habil (sabado, domingo o festivo; RN-71A); traslado hacia 1 fondo(s) con espacio: ruta sin tarifa en el Anexo E (prohibida).</t>
        </is>
      </c>
      <c r="AC51" t="inlineStr">
        <is>
          <t>Cierre del dia anterior (saldo encadenado, RN-71)</t>
        </is>
      </c>
      <c r="AD51" t="inlineStr">
        <is>
          <t>estimada</t>
        </is>
      </c>
      <c r="AE51" t="inlineStr">
        <is>
          <t>Participacion historica por denominacion (SUP-09)</t>
        </is>
      </c>
    </row>
    <row r="52">
      <c r="A52" t="inlineStr">
        <is>
          <t>PRAGMA</t>
        </is>
      </c>
      <c r="B52" t="inlineStr">
        <is>
          <t>CALI|TRANSPORTADORA_001</t>
        </is>
      </c>
      <c r="C52" t="inlineStr">
        <is>
          <t>Cali</t>
        </is>
      </c>
      <c r="D52" t="inlineStr">
        <is>
          <t>TRANSPORTADORA_001</t>
        </is>
      </c>
      <c r="E52" s="23" t="n">
        <v>46265</v>
      </c>
      <c r="F52" s="23" t="n">
        <v>46271</v>
      </c>
      <c r="G52" t="inlineStr">
        <is>
          <t>No</t>
        </is>
      </c>
      <c r="H52" s="25" t="n">
        <v>10000</v>
      </c>
      <c r="I52" s="26" t="n">
        <v>2224391136</v>
      </c>
      <c r="J52" s="26" t="n">
        <v>91368149</v>
      </c>
      <c r="K52" s="26" t="n">
        <v>257225056</v>
      </c>
      <c r="L52" s="26">
        <f>J52-K52</f>
        <v>-165856907</v>
      </c>
      <c r="M52" s="26">
        <f>I52+L52</f>
        <v>2058534229</v>
      </c>
      <c r="N52" s="26" t="n">
        <v>1609174000</v>
      </c>
      <c r="O52" s="26" t="n">
        <v>3087852778</v>
      </c>
      <c r="P52" s="26">
        <f>MAX(0,N52-M52)</f>
        <v>0</v>
      </c>
      <c r="Q52" s="26">
        <f>MAX(0,M52-O52)</f>
        <v>0</v>
      </c>
      <c r="R52" t="inlineStr">
        <is>
          <t>bajo</t>
        </is>
      </c>
      <c r="S52" t="inlineStr">
        <is>
          <t>traslado_fondos</t>
        </is>
      </c>
      <c r="T52" t="inlineStr">
        <is>
          <t>salida</t>
        </is>
      </c>
      <c r="U52" s="26" t="n">
        <v>121730000</v>
      </c>
      <c r="V52" t="inlineStr">
        <is>
          <t>CALI|TRANSPORTADORA_001</t>
        </is>
      </c>
      <c r="W52" t="inlineStr">
        <is>
          <t>CALI|TRANSPORTADORA_003</t>
        </is>
      </c>
      <c r="X52" s="26">
        <f>IF(T52="entrada",M52+U52,IF(T52="salida",M52-U52,M52))</f>
        <v>1936804229</v>
      </c>
      <c r="Y52" s="26" t="n">
        <v>0</v>
      </c>
      <c r="Z52" t="inlineStr">
        <is>
          <t>Menor costo neto entre las alternativas que cubren la necesidad completa</t>
        </is>
      </c>
      <c r="AA52" t="inlineStr">
        <is>
          <t>SUP-08, SUP-10</t>
        </is>
      </c>
      <c r="AB52" t="inlineStr">
        <is>
          <t>Contraparte del traslado P00041 en la denominacion 10000: entrega $121.730.000 a CALI|TRANSPORTADORA_003. Saldo de esta fila: $2.058.534.229 antes y $1.936.804.229 despues (minimo $1.609.174.000, maximo $3.087.852.778). Necesidad que la origina, en CALI|TRANSPORTADORA_003: Faltante de $121.729.283 en la denominacion 10000: saldo $1.035.270.717 bajo el minimo $1.157.000.000. Elegida: traslado con CALI|TRANSPORTADORA_001 ($121.730.000; costo $0). Es preferible porque tiene el menor costo neto. Otras alternativas: traslado con CALI|TRANSPORTADORA_002 ($121.730.000; costo $0); traslado con CALI|TRANSPORTADORA_004 ($38.350.000; costo $0, cubre solo una parte); traslado con IPIALES|TRANSPORTADORA_002 ($121.730.000; costo $268.628); traslado con PASTO|TRANSPORTADORA_001 ($121.730.000; costo $924.568); retiro BanRep: dia no habil (sabado, domingo o festivo; RN-71A); cambio de denominacion: dia no habil (sabado, domingo o festivo; RN-71A).</t>
        </is>
      </c>
      <c r="AC52" t="inlineStr">
        <is>
          <t>Cierre del dia anterior (saldo encadenado, RN-71)</t>
        </is>
      </c>
      <c r="AD52" t="inlineStr">
        <is>
          <t>estimada</t>
        </is>
      </c>
      <c r="AE52" t="inlineStr">
        <is>
          <t>Participacion historica por denominacion (SUP-09)</t>
        </is>
      </c>
    </row>
    <row r="53">
      <c r="A53" t="inlineStr">
        <is>
          <t>PRAGMA</t>
        </is>
      </c>
      <c r="B53" t="inlineStr">
        <is>
          <t>CALI|TRANSPORTADORA_001</t>
        </is>
      </c>
      <c r="C53" t="inlineStr">
        <is>
          <t>Cali</t>
        </is>
      </c>
      <c r="D53" t="inlineStr">
        <is>
          <t>TRANSPORTADORA_001</t>
        </is>
      </c>
      <c r="E53" s="23" t="n">
        <v>46265</v>
      </c>
      <c r="F53" s="23" t="n">
        <v>46271</v>
      </c>
      <c r="G53" t="inlineStr">
        <is>
          <t>No</t>
        </is>
      </c>
      <c r="H53" s="25" t="n">
        <v>10000</v>
      </c>
      <c r="I53" s="26" t="n">
        <v>1936804229</v>
      </c>
      <c r="J53" s="26" t="n">
        <v>0</v>
      </c>
      <c r="K53" s="26" t="n">
        <v>0</v>
      </c>
      <c r="L53" s="26">
        <f>J53-K53</f>
        <v>0</v>
      </c>
      <c r="M53" s="26">
        <f>I53+L53</f>
        <v>1936804229</v>
      </c>
      <c r="N53" s="26" t="n">
        <v>1609174000</v>
      </c>
      <c r="O53" s="26" t="n">
        <v>3087852778</v>
      </c>
      <c r="P53" s="26">
        <f>MAX(0,N53-M53)</f>
        <v>0</v>
      </c>
      <c r="Q53" s="26">
        <f>MAX(0,M53-O53)</f>
        <v>0</v>
      </c>
      <c r="R53" t="inlineStr">
        <is>
          <t>bajo</t>
        </is>
      </c>
      <c r="S53" t="inlineStr">
        <is>
          <t>traslado_fondos</t>
        </is>
      </c>
      <c r="T53" t="inlineStr">
        <is>
          <t>entrada</t>
        </is>
      </c>
      <c r="U53" s="26" t="n">
        <v>310000</v>
      </c>
      <c r="V53" t="inlineStr">
        <is>
          <t>CALI|TRANSPORTADORA_004</t>
        </is>
      </c>
      <c r="W53" t="inlineStr">
        <is>
          <t>CALI|TRANSPORTADORA_001</t>
        </is>
      </c>
      <c r="X53" s="26">
        <f>IF(T53="entrada",M53+U53,IF(T53="salida",M53-U53,M53))</f>
        <v>1937114229</v>
      </c>
      <c r="Y53" s="26" t="n">
        <v>0</v>
      </c>
      <c r="Z53" t="inlineStr">
        <is>
          <t>Menor costo neto entre las alternativas que cubren la necesidad completa</t>
        </is>
      </c>
      <c r="AA53" t="inlineStr">
        <is>
          <t>SUP-08, SUP-10</t>
        </is>
      </c>
      <c r="AB53" t="inlineStr">
        <is>
          <t>Contraparte del traslado P00046 en la denominacion 10000: recibe $310.000 de CALI|TRANSPORTADORA_004. Saldo de esta fila: $1.936.804.229 antes y $1.937.114.229 despues (minimo $1.609.174.000, maximo $3.087.852.778). Necesidad que la origina, en CALI|TRANSPORTADORA_004: Excedente de $301.554 en la denominacion 10000: saldo $39.071.554 sobre el maximo $38.770.000. Elegida: traslado con CALI|TRANSPORTADORA_001 ($310.000; costo $0). Es preferible porque tiene el menor costo neto. Otras alternativas: traslado con CALI|TRANSPORTADORA_002 ($310.000; costo $0); traslado con CALI|TRANSPORTADORA_003 ($310.000; costo $0); conservar ($310.000; costo de almacenar $33); venta: dia no habil (sabado, domingo o festivo; RN-71A); consignacion BanRep: dia no habil (sabado, domingo o festivo; RN-71A); traslado hacia 1 fondo(s) con espacio: ruta sin tarifa en el Anexo E (prohibida).</t>
        </is>
      </c>
      <c r="AC53" t="inlineStr">
        <is>
          <t>Cierre del dia anterior (saldo encadenado, RN-71)</t>
        </is>
      </c>
      <c r="AD53" t="inlineStr">
        <is>
          <t>estimada</t>
        </is>
      </c>
      <c r="AE53" t="inlineStr">
        <is>
          <t>Participacion historica por denominacion (SUP-09)</t>
        </is>
      </c>
    </row>
    <row r="54">
      <c r="A54" t="inlineStr">
        <is>
          <t>PRAGMA</t>
        </is>
      </c>
      <c r="B54" t="inlineStr">
        <is>
          <t>CALI|TRANSPORTADORA_001</t>
        </is>
      </c>
      <c r="C54" t="inlineStr">
        <is>
          <t>Cali</t>
        </is>
      </c>
      <c r="D54" t="inlineStr">
        <is>
          <t>TRANSPORTADORA_001</t>
        </is>
      </c>
      <c r="E54" s="23" t="n">
        <v>46265</v>
      </c>
      <c r="F54" s="23" t="n">
        <v>46272</v>
      </c>
      <c r="G54" t="inlineStr">
        <is>
          <t>Sí</t>
        </is>
      </c>
      <c r="H54" s="25" t="n">
        <v>10000</v>
      </c>
      <c r="I54" s="26" t="n">
        <v>1937114229</v>
      </c>
      <c r="J54" s="26" t="n">
        <v>1340193055</v>
      </c>
      <c r="K54" s="26" t="n">
        <v>483077564</v>
      </c>
      <c r="L54" s="26">
        <f>J54-K54</f>
        <v>857115491</v>
      </c>
      <c r="M54" s="26">
        <f>I54+L54</f>
        <v>2794229720</v>
      </c>
      <c r="N54" s="26" t="n">
        <v>1609174000</v>
      </c>
      <c r="O54" s="26" t="n">
        <v>3087852778</v>
      </c>
      <c r="P54" s="26">
        <f>MAX(0,N54-M54)</f>
        <v>0</v>
      </c>
      <c r="Q54" s="26">
        <f>MAX(0,M54-O54)</f>
        <v>0</v>
      </c>
      <c r="R54" t="inlineStr">
        <is>
          <t>bajo</t>
        </is>
      </c>
      <c r="S54" t="inlineStr">
        <is>
          <t>traslado_fondos</t>
        </is>
      </c>
      <c r="T54" t="inlineStr">
        <is>
          <t>salida</t>
        </is>
      </c>
      <c r="U54" s="26" t="n">
        <v>5030000</v>
      </c>
      <c r="V54" t="inlineStr">
        <is>
          <t>CALI|TRANSPORTADORA_001</t>
        </is>
      </c>
      <c r="W54" t="inlineStr">
        <is>
          <t>CALI|TRANSPORTADORA_003</t>
        </is>
      </c>
      <c r="X54" s="26">
        <f>IF(T54="entrada",M54+U54,IF(T54="salida",M54-U54,M54))</f>
        <v>2789199720</v>
      </c>
      <c r="Y54" s="26" t="n">
        <v>0</v>
      </c>
      <c r="Z54" t="inlineStr">
        <is>
          <t>Menor costo neto entre las alternativas que cubren la necesidad completa</t>
        </is>
      </c>
      <c r="AA54" t="inlineStr">
        <is>
          <t>SUP-08, SUP-10</t>
        </is>
      </c>
      <c r="AB54" t="inlineStr">
        <is>
          <t>Contraparte del traslado P00051 en la denominacion 10000: entrega $5.030.000 a CALI|TRANSPORTADORA_003. Saldo de esta fila: $2.794.229.720 antes y $2.789.199.720 despues (minimo $1.609.174.000, maximo $3.087.852.778). Necesidad que la origina, en CALI|TRANSPORTADORA_003: Faltante de $5.021.273 en la denominacion 10000: saldo $1.151.978.727 bajo el minimo $1.157.000.000. Elegida: traslado con CALI|TRANSPORTADORA_001 ($5.030.000; costo $0). Es preferible porque tiene el menor costo neto. Otras alternativas: traslado con CALI|TRANSPORTADORA_002 ($5.030.000; costo $0); traslado con CALI|TRANSPORTADORA_004 ($5.030.000; costo $0); retiro BanRep ($5.030.000; costo $128.922); traslado con IPIALES|TRANSPORTADORA_002 ($5.030.000; costo $166.865); traslado con PASTO|TRANSPORTADORA_001 ($5.030.000; costo $812.886); cambio de denominacion: ninguna otra denominacion del fondo supera su maximo.</t>
        </is>
      </c>
      <c r="AC54" t="inlineStr">
        <is>
          <t>Cierre del dia anterior (saldo encadenado, RN-71)</t>
        </is>
      </c>
      <c r="AD54" t="inlineStr">
        <is>
          <t>estimada</t>
        </is>
      </c>
      <c r="AE54" t="inlineStr">
        <is>
          <t>Participacion historica por denominacion (SUP-09)</t>
        </is>
      </c>
    </row>
    <row r="55">
      <c r="A55" t="inlineStr">
        <is>
          <t>PRAGMA</t>
        </is>
      </c>
      <c r="B55" t="inlineStr">
        <is>
          <t>CALI|TRANSPORTADORA_001</t>
        </is>
      </c>
      <c r="C55" t="inlineStr">
        <is>
          <t>Cali</t>
        </is>
      </c>
      <c r="D55" t="inlineStr">
        <is>
          <t>TRANSPORTADORA_001</t>
        </is>
      </c>
      <c r="E55" s="23" t="n">
        <v>46265</v>
      </c>
      <c r="F55" s="23" t="n">
        <v>46272</v>
      </c>
      <c r="G55" t="inlineStr">
        <is>
          <t>Sí</t>
        </is>
      </c>
      <c r="H55" s="25" t="n">
        <v>10000</v>
      </c>
      <c r="I55" s="26" t="n">
        <v>2789199720</v>
      </c>
      <c r="J55" s="26" t="n">
        <v>0</v>
      </c>
      <c r="K55" s="26" t="n">
        <v>0</v>
      </c>
      <c r="L55" s="26">
        <f>J55-K55</f>
        <v>0</v>
      </c>
      <c r="M55" s="26">
        <f>I55+L55</f>
        <v>2789199720</v>
      </c>
      <c r="N55" s="26" t="n">
        <v>1609174000</v>
      </c>
      <c r="O55" s="26" t="n">
        <v>3087852778</v>
      </c>
      <c r="P55" s="26">
        <f>MAX(0,N55-M55)</f>
        <v>0</v>
      </c>
      <c r="Q55" s="26">
        <f>MAX(0,M55-O55)</f>
        <v>0</v>
      </c>
      <c r="R55" t="inlineStr">
        <is>
          <t>bajo</t>
        </is>
      </c>
      <c r="S55" t="inlineStr">
        <is>
          <t>traslado_fondos</t>
        </is>
      </c>
      <c r="T55" t="inlineStr">
        <is>
          <t>entrada</t>
        </is>
      </c>
      <c r="U55" s="26" t="n">
        <v>1250000</v>
      </c>
      <c r="V55" t="inlineStr">
        <is>
          <t>CALI|TRANSPORTADORA_004</t>
        </is>
      </c>
      <c r="W55" t="inlineStr">
        <is>
          <t>CALI|TRANSPORTADORA_001</t>
        </is>
      </c>
      <c r="X55" s="26">
        <f>IF(T55="entrada",M55+U55,IF(T55="salida",M55-U55,M55))</f>
        <v>2790449720</v>
      </c>
      <c r="Y55" s="26" t="n">
        <v>0</v>
      </c>
      <c r="Z55" t="inlineStr">
        <is>
          <t>Menor costo neto entre las alternativas que cubren la necesidad completa</t>
        </is>
      </c>
      <c r="AA55" t="inlineStr">
        <is>
          <t>SUP-08, SUP-10</t>
        </is>
      </c>
      <c r="AB55" t="inlineStr">
        <is>
          <t>Contraparte del traslado P00056 en la denominacion 10000: recibe $1.250.000 de CALI|TRANSPORTADORA_004. Saldo de esta fila: $2.789.199.720 antes y $2.790.449.720 despues (minimo $1.609.174.000, maximo $3.087.852.778). Necesidad que la origina, en CALI|TRANSPORTADORA_004: Excedente de $1.240.275 en la denominacion 10000: saldo $40.010.275 sobre el maximo $38.770.000. Elegida: traslado con CALI|TRANSPORTADORA_001 ($1.250.000; costo $0). Es preferible porque tiene el menor costo neto. Otras alternativas: traslado con CALI|TRANSPORTADORA_003 ($1.250.000; costo $0); conservar ($1.250.000; costo de almacenar $118); consignacion BanRep ($1.250.000; costo $121.105); venta: no habilitada en este fondo (sin historico o fuera de las ciudades BanRep); traslado hacia 1 fondo(s) con espacio: ruta sin tarifa en el Anexo E (prohibida).</t>
        </is>
      </c>
      <c r="AC55" t="inlineStr">
        <is>
          <t>Cierre del dia anterior (saldo encadenado, RN-71)</t>
        </is>
      </c>
      <c r="AD55" t="inlineStr">
        <is>
          <t>estimada</t>
        </is>
      </c>
      <c r="AE55" t="inlineStr">
        <is>
          <t>Participacion historica por denominacion (SUP-09)</t>
        </is>
      </c>
    </row>
    <row r="56">
      <c r="A56" t="inlineStr">
        <is>
          <t>PRAGMA</t>
        </is>
      </c>
      <c r="B56" t="inlineStr">
        <is>
          <t>CALI|TRANSPORTADORA_001</t>
        </is>
      </c>
      <c r="C56" t="inlineStr">
        <is>
          <t>Cali</t>
        </is>
      </c>
      <c r="D56" t="inlineStr">
        <is>
          <t>TRANSPORTADORA_001</t>
        </is>
      </c>
      <c r="E56" s="23" t="n">
        <v>46265</v>
      </c>
      <c r="F56" s="23" t="n">
        <v>46273</v>
      </c>
      <c r="G56" t="inlineStr">
        <is>
          <t>Sí</t>
        </is>
      </c>
      <c r="H56" s="25" t="n">
        <v>10000</v>
      </c>
      <c r="I56" s="26" t="n">
        <v>2790449720</v>
      </c>
      <c r="J56" s="26" t="n">
        <v>915684477</v>
      </c>
      <c r="K56" s="26" t="n">
        <v>498715071</v>
      </c>
      <c r="L56" s="26">
        <f>J56-K56</f>
        <v>416969406</v>
      </c>
      <c r="M56" s="26">
        <f>I56+L56</f>
        <v>3207419126</v>
      </c>
      <c r="N56" s="26" t="n">
        <v>1609174000</v>
      </c>
      <c r="O56" s="26" t="n">
        <v>3087852778</v>
      </c>
      <c r="P56" s="26">
        <f>MAX(0,N56-M56)</f>
        <v>0</v>
      </c>
      <c r="Q56" s="26">
        <f>MAX(0,M56-O56)</f>
        <v>119566348</v>
      </c>
      <c r="R56" t="inlineStr">
        <is>
          <t>bajo</t>
        </is>
      </c>
      <c r="S56" t="inlineStr">
        <is>
          <t>venta_efectivo</t>
        </is>
      </c>
      <c r="T56" t="inlineStr">
        <is>
          <t>salida</t>
        </is>
      </c>
      <c r="U56" s="26" t="n">
        <v>119570000</v>
      </c>
      <c r="V56" t="inlineStr">
        <is>
          <t>CALI|TRANSPORTADORA_001</t>
        </is>
      </c>
      <c r="X56" s="26">
        <f>IF(T56="entrada",M56+U56,IF(T56="salida",M56-U56,M56))</f>
        <v>3087849126</v>
      </c>
      <c r="Y56" s="26" t="n">
        <v>0</v>
      </c>
      <c r="Z56" t="inlineStr">
        <is>
          <t>Menor costo neto entre las alternativas que cubren la necesidad completa</t>
        </is>
      </c>
      <c r="AA56" t="inlineStr">
        <is>
          <t>SUP-08, SUP-10, SUP-23</t>
        </is>
      </c>
      <c r="AB56" t="inlineStr">
        <is>
          <t>Excedente de $119.566.348 en la denominacion 10000: saldo $3.207.419.126 sobre el maximo $3.087.852.778. Elegida: venta ($119.570.000; beneficio de referencia $47.828). Es preferible porque tiene el menor costo neto. Otras alternativas: traslado con CALI|TRANSPORTADORA_003 ($119.570.000; costo $0); conservar ($119.570.000; costo de almacenar $9.374); consignacion BanRep ($119.570.000; costo $153.806).</t>
        </is>
      </c>
      <c r="AC56" t="inlineStr">
        <is>
          <t>Cierre del dia anterior (saldo encadenado, RN-71)</t>
        </is>
      </c>
      <c r="AD56" t="inlineStr">
        <is>
          <t>estimada</t>
        </is>
      </c>
      <c r="AE56" t="inlineStr">
        <is>
          <t>Participacion historica por denominacion (SUP-09)</t>
        </is>
      </c>
    </row>
    <row r="57">
      <c r="A57" t="inlineStr">
        <is>
          <t>PRAGMA</t>
        </is>
      </c>
      <c r="B57" t="inlineStr">
        <is>
          <t>CALI|TRANSPORTADORA_001</t>
        </is>
      </c>
      <c r="C57" t="inlineStr">
        <is>
          <t>Cali</t>
        </is>
      </c>
      <c r="D57" t="inlineStr">
        <is>
          <t>TRANSPORTADORA_001</t>
        </is>
      </c>
      <c r="E57" s="23" t="n">
        <v>46265</v>
      </c>
      <c r="F57" s="23" t="n">
        <v>46274</v>
      </c>
      <c r="G57" t="inlineStr">
        <is>
          <t>Sí</t>
        </is>
      </c>
      <c r="H57" s="25" t="n">
        <v>10000</v>
      </c>
      <c r="I57" s="26" t="n">
        <v>3087849126</v>
      </c>
      <c r="J57" s="26" t="n">
        <v>868190829</v>
      </c>
      <c r="K57" s="26" t="n">
        <v>492617247</v>
      </c>
      <c r="L57" s="26">
        <f>J57-K57</f>
        <v>375573582</v>
      </c>
      <c r="M57" s="26">
        <f>I57+L57</f>
        <v>3463422708</v>
      </c>
      <c r="N57" s="26" t="n">
        <v>1609174000</v>
      </c>
      <c r="O57" s="26" t="n">
        <v>3087852778</v>
      </c>
      <c r="P57" s="26">
        <f>MAX(0,N57-M57)</f>
        <v>0</v>
      </c>
      <c r="Q57" s="26">
        <f>MAX(0,M57-O57)</f>
        <v>375569930</v>
      </c>
      <c r="R57" t="inlineStr">
        <is>
          <t>bajo</t>
        </is>
      </c>
      <c r="S57" t="inlineStr">
        <is>
          <t>venta_efectivo</t>
        </is>
      </c>
      <c r="T57" t="inlineStr">
        <is>
          <t>salida</t>
        </is>
      </c>
      <c r="U57" s="26" t="n">
        <v>375570000</v>
      </c>
      <c r="V57" t="inlineStr">
        <is>
          <t>CALI|TRANSPORTADORA_001</t>
        </is>
      </c>
      <c r="X57" s="26">
        <f>IF(T57="entrada",M57+U57,IF(T57="salida",M57-U57,M57))</f>
        <v>3087852708</v>
      </c>
      <c r="Y57" s="26" t="n">
        <v>0</v>
      </c>
      <c r="Z57" t="inlineStr">
        <is>
          <t>Menor costo neto entre las alternativas que cubren la necesidad completa</t>
        </is>
      </c>
      <c r="AA57" t="inlineStr">
        <is>
          <t>SUP-08, SUP-10, SUP-23</t>
        </is>
      </c>
      <c r="AB57" t="inlineStr">
        <is>
          <t>Excedente de $375.569.930 en la denominacion 10000: saldo $3.463.422.708 sobre el maximo $3.087.852.778. Elegida: venta ($375.570.000; beneficio de referencia $150.228). Es preferible porque tiene el menor costo neto. Otras alternativas: traslado con CALI|TRANSPORTADORA_003 ($375.570.000; costo $0); conservar ($375.570.000; costo de almacenar $25.764); consignacion BanRep ($375.570.000; costo $217.550).</t>
        </is>
      </c>
      <c r="AC57" t="inlineStr">
        <is>
          <t>Cierre del dia anterior (saldo encadenado, RN-71)</t>
        </is>
      </c>
      <c r="AD57" t="inlineStr">
        <is>
          <t>estimada</t>
        </is>
      </c>
      <c r="AE57" t="inlineStr">
        <is>
          <t>Participacion historica por denominacion (SUP-09)</t>
        </is>
      </c>
    </row>
    <row r="58">
      <c r="A58" t="inlineStr">
        <is>
          <t>PRAGMA</t>
        </is>
      </c>
      <c r="B58" t="inlineStr">
        <is>
          <t>CALI|TRANSPORTADORA_001</t>
        </is>
      </c>
      <c r="C58" t="inlineStr">
        <is>
          <t>Cali</t>
        </is>
      </c>
      <c r="D58" t="inlineStr">
        <is>
          <t>TRANSPORTADORA_001</t>
        </is>
      </c>
      <c r="E58" s="23" t="n">
        <v>46265</v>
      </c>
      <c r="F58" s="23" t="n">
        <v>46275</v>
      </c>
      <c r="G58" t="inlineStr">
        <is>
          <t>Sí</t>
        </is>
      </c>
      <c r="H58" s="25" t="n">
        <v>10000</v>
      </c>
      <c r="I58" s="26" t="n">
        <v>3087852708</v>
      </c>
      <c r="J58" s="26" t="n">
        <v>880462964</v>
      </c>
      <c r="K58" s="26" t="n">
        <v>460404077</v>
      </c>
      <c r="L58" s="26">
        <f>J58-K58</f>
        <v>420058887</v>
      </c>
      <c r="M58" s="26">
        <f>I58+L58</f>
        <v>3507911595</v>
      </c>
      <c r="N58" s="26" t="n">
        <v>1609174000</v>
      </c>
      <c r="O58" s="26" t="n">
        <v>3087852778</v>
      </c>
      <c r="P58" s="26">
        <f>MAX(0,N58-M58)</f>
        <v>0</v>
      </c>
      <c r="Q58" s="26">
        <f>MAX(0,M58-O58)</f>
        <v>420058817</v>
      </c>
      <c r="R58" t="inlineStr">
        <is>
          <t>bajo</t>
        </is>
      </c>
      <c r="S58" t="inlineStr">
        <is>
          <t>venta_efectivo</t>
        </is>
      </c>
      <c r="T58" t="inlineStr">
        <is>
          <t>salida</t>
        </is>
      </c>
      <c r="U58" s="26" t="n">
        <v>420060000</v>
      </c>
      <c r="V58" t="inlineStr">
        <is>
          <t>CALI|TRANSPORTADORA_001</t>
        </is>
      </c>
      <c r="X58" s="26">
        <f>IF(T58="entrada",M58+U58,IF(T58="salida",M58-U58,M58))</f>
        <v>3087851595</v>
      </c>
      <c r="Y58" s="26" t="n">
        <v>0</v>
      </c>
      <c r="Z58" t="inlineStr">
        <is>
          <t>Menor costo neto entre las alternativas que cubren la necesidad completa</t>
        </is>
      </c>
      <c r="AA58" t="inlineStr">
        <is>
          <t>SUP-08, SUP-10, SUP-23</t>
        </is>
      </c>
      <c r="AB58" t="inlineStr">
        <is>
          <t>Excedente de $420.058.817 en la denominacion 10000: saldo $3.507.911.595 sobre el maximo $3.087.852.778. Elegida: venta ($420.060.000; beneficio de referencia $168.024). Es preferible porque tiene el menor costo neto. Otras alternativas: traslado con CALI|TRANSPORTADORA_003 ($420.060.000; costo $0); conservar ($420.060.000; costo de almacenar $24.700); consignacion BanRep ($420.060.000; costo $228.628).</t>
        </is>
      </c>
      <c r="AC58" t="inlineStr">
        <is>
          <t>Cierre del dia anterior (saldo encadenado, RN-71)</t>
        </is>
      </c>
      <c r="AD58" t="inlineStr">
        <is>
          <t>estimada</t>
        </is>
      </c>
      <c r="AE58" t="inlineStr">
        <is>
          <t>Participacion historica por denominacion (SUP-09)</t>
        </is>
      </c>
    </row>
    <row r="59">
      <c r="A59" t="inlineStr">
        <is>
          <t>PRAGMA</t>
        </is>
      </c>
      <c r="B59" t="inlineStr">
        <is>
          <t>CALI|TRANSPORTADORA_001</t>
        </is>
      </c>
      <c r="C59" t="inlineStr">
        <is>
          <t>Cali</t>
        </is>
      </c>
      <c r="D59" t="inlineStr">
        <is>
          <t>TRANSPORTADORA_001</t>
        </is>
      </c>
      <c r="E59" s="23" t="n">
        <v>46265</v>
      </c>
      <c r="F59" s="23" t="n">
        <v>46276</v>
      </c>
      <c r="G59" t="inlineStr">
        <is>
          <t>Sí</t>
        </is>
      </c>
      <c r="H59" s="25" t="n">
        <v>10000</v>
      </c>
      <c r="I59" s="26" t="n">
        <v>3087851595</v>
      </c>
      <c r="J59" s="26" t="n">
        <v>870525053</v>
      </c>
      <c r="K59" s="26" t="n">
        <v>515627020</v>
      </c>
      <c r="L59" s="26">
        <f>J59-K59</f>
        <v>354898033</v>
      </c>
      <c r="M59" s="26">
        <f>I59+L59</f>
        <v>3442749628</v>
      </c>
      <c r="N59" s="26" t="n">
        <v>1609174000</v>
      </c>
      <c r="O59" s="26" t="n">
        <v>3087852778</v>
      </c>
      <c r="P59" s="26">
        <f>MAX(0,N59-M59)</f>
        <v>0</v>
      </c>
      <c r="Q59" s="26">
        <f>MAX(0,M59-O59)</f>
        <v>354896850</v>
      </c>
      <c r="R59" t="inlineStr">
        <is>
          <t>bajo</t>
        </is>
      </c>
      <c r="S59" t="inlineStr">
        <is>
          <t>venta_efectivo</t>
        </is>
      </c>
      <c r="T59" t="inlineStr">
        <is>
          <t>salida</t>
        </is>
      </c>
      <c r="U59" s="26" t="n">
        <v>354900000</v>
      </c>
      <c r="V59" t="inlineStr">
        <is>
          <t>CALI|TRANSPORTADORA_001</t>
        </is>
      </c>
      <c r="X59" s="26">
        <f>IF(T59="entrada",M59+U59,IF(T59="salida",M59-U59,M59))</f>
        <v>3087849628</v>
      </c>
      <c r="Y59" s="26" t="n">
        <v>0</v>
      </c>
      <c r="Z59" t="inlineStr">
        <is>
          <t>Menor costo neto entre las alternativas que cubren la necesidad completa</t>
        </is>
      </c>
      <c r="AA59" t="inlineStr">
        <is>
          <t>SUP-08, SUP-10, SUP-23</t>
        </is>
      </c>
      <c r="AB59" t="inlineStr">
        <is>
          <t>Excedente de $354.896.849 en la denominacion 10000: saldo $3.442.749.628 sobre el maximo $3.087.852.778. Elegida: venta ($354.900.000; beneficio de referencia $141.960). Es preferible porque tiene el menor costo neto. Otras alternativas: traslado con CALI|TRANSPORTADORA_003 ($354.900.000; costo $0); conservar ($354.900.000; costo de almacenar $17.390); consignacion BanRep ($354.900.000; costo $212.403).</t>
        </is>
      </c>
      <c r="AC59" t="inlineStr">
        <is>
          <t>Cierre del dia anterior (saldo encadenado, RN-71)</t>
        </is>
      </c>
      <c r="AD59" t="inlineStr">
        <is>
          <t>estimada</t>
        </is>
      </c>
      <c r="AE59" t="inlineStr">
        <is>
          <t>Participacion historica por denominacion (SUP-09)</t>
        </is>
      </c>
    </row>
    <row r="60">
      <c r="A60" t="inlineStr">
        <is>
          <t>PRAGMA</t>
        </is>
      </c>
      <c r="B60" t="inlineStr">
        <is>
          <t>CALI|TRANSPORTADORA_001</t>
        </is>
      </c>
      <c r="C60" t="inlineStr">
        <is>
          <t>Cali</t>
        </is>
      </c>
      <c r="D60" t="inlineStr">
        <is>
          <t>TRANSPORTADORA_001</t>
        </is>
      </c>
      <c r="E60" s="23" t="n">
        <v>46265</v>
      </c>
      <c r="F60" s="23" t="n">
        <v>46277</v>
      </c>
      <c r="G60" t="inlineStr">
        <is>
          <t>No</t>
        </is>
      </c>
      <c r="H60" s="25" t="n">
        <v>10000</v>
      </c>
      <c r="I60" s="26" t="n">
        <v>3087849628</v>
      </c>
      <c r="J60" s="26" t="n">
        <v>164209406</v>
      </c>
      <c r="K60" s="26" t="n">
        <v>428807112</v>
      </c>
      <c r="L60" s="26">
        <f>J60-K60</f>
        <v>-264597706</v>
      </c>
      <c r="M60" s="26">
        <f>I60+L60</f>
        <v>2823251922</v>
      </c>
      <c r="N60" s="26" t="n">
        <v>1609174000</v>
      </c>
      <c r="O60" s="26" t="n">
        <v>3087852778</v>
      </c>
      <c r="P60" s="26">
        <f>MAX(0,N60-M60)</f>
        <v>0</v>
      </c>
      <c r="Q60" s="26">
        <f>MAX(0,M60-O60)</f>
        <v>0</v>
      </c>
      <c r="R60" t="inlineStr">
        <is>
          <t>bajo</t>
        </is>
      </c>
      <c r="S60" t="inlineStr">
        <is>
          <t>traslado_fondos</t>
        </is>
      </c>
      <c r="T60" t="inlineStr">
        <is>
          <t>entrada</t>
        </is>
      </c>
      <c r="U60" s="26" t="n">
        <v>150000</v>
      </c>
      <c r="V60" t="inlineStr">
        <is>
          <t>CALI|TRANSPORTADORA_004</t>
        </is>
      </c>
      <c r="W60" t="inlineStr">
        <is>
          <t>CALI|TRANSPORTADORA_001</t>
        </is>
      </c>
      <c r="X60" s="26">
        <f>IF(T60="entrada",M60+U60,IF(T60="salida",M60-U60,M60))</f>
        <v>2823401922</v>
      </c>
      <c r="Y60" s="26" t="n">
        <v>0</v>
      </c>
      <c r="Z60" t="inlineStr">
        <is>
          <t>Menor costo neto entre las alternativas que cubren la necesidad completa</t>
        </is>
      </c>
      <c r="AA60" t="inlineStr">
        <is>
          <t>SUP-08, SUP-10</t>
        </is>
      </c>
      <c r="AB60" t="inlineStr">
        <is>
          <t>Contraparte del traslado P00081 en la denominacion 10000: recibe $150.000 de CALI|TRANSPORTADORA_004. Saldo de esta fila: $2.823.251.922 antes y $2.823.401.922 despues (minimo $1.609.174.000, maximo $3.087.852.778). Necesidad que la origina, en CALI|TRANSPORTADORA_004: Excedente de $143.696 en la denominacion 10000: saldo $38.913.696 sobre el maximo $38.770.000. Elegida: traslado con CALI|TRANSPORTADORA_001 ($150.000; costo $0). Es preferible porque tiene el menor costo neto. Otras alternativas: traslado con CALI|TRANSPORTADORA_002 ($150.000; costo $0); traslado con CALI|TRANSPORTADORA_003 ($150.000; costo $0); conservar ($150.000; costo de almacenar $6); venta: dia no habil (sabado, domingo o festivo; RN-71A); consignacion BanRep: dia no habil (sabado, domingo o festivo; RN-71A); traslado hacia 1 fondo(s) con espacio: ruta sin tarifa en el Anexo E (prohibida).</t>
        </is>
      </c>
      <c r="AC60" t="inlineStr">
        <is>
          <t>Cierre del dia anterior (saldo encadenado, RN-71)</t>
        </is>
      </c>
      <c r="AD60" t="inlineStr">
        <is>
          <t>estimada</t>
        </is>
      </c>
      <c r="AE60" t="inlineStr">
        <is>
          <t>Participacion historica por denominacion (SUP-09)</t>
        </is>
      </c>
    </row>
    <row r="61">
      <c r="A61" t="inlineStr">
        <is>
          <t>PRAGMA</t>
        </is>
      </c>
      <c r="B61" t="inlineStr">
        <is>
          <t>CALI|TRANSPORTADORA_001</t>
        </is>
      </c>
      <c r="C61" t="inlineStr">
        <is>
          <t>Cali</t>
        </is>
      </c>
      <c r="D61" t="inlineStr">
        <is>
          <t>TRANSPORTADORA_001</t>
        </is>
      </c>
      <c r="E61" s="23" t="n">
        <v>46265</v>
      </c>
      <c r="F61" s="23" t="n">
        <v>46278</v>
      </c>
      <c r="G61" t="inlineStr">
        <is>
          <t>No</t>
        </is>
      </c>
      <c r="H61" s="25" t="n">
        <v>10000</v>
      </c>
      <c r="I61" s="26" t="n">
        <v>2823401922</v>
      </c>
      <c r="J61" s="26" t="n">
        <v>76982681</v>
      </c>
      <c r="K61" s="26" t="n">
        <v>203144226</v>
      </c>
      <c r="L61" s="26">
        <f>J61-K61</f>
        <v>-126161545</v>
      </c>
      <c r="M61" s="26">
        <f>I61+L61</f>
        <v>2697240377</v>
      </c>
      <c r="N61" s="26" t="n">
        <v>1609174000</v>
      </c>
      <c r="O61" s="26" t="n">
        <v>3087852778</v>
      </c>
      <c r="P61" s="26">
        <f>MAX(0,N61-M61)</f>
        <v>0</v>
      </c>
      <c r="Q61" s="26">
        <f>MAX(0,M61-O61)</f>
        <v>0</v>
      </c>
      <c r="R61" t="inlineStr">
        <is>
          <t>bajo</t>
        </is>
      </c>
      <c r="S61" t="inlineStr">
        <is>
          <t>traslado_fondos</t>
        </is>
      </c>
      <c r="T61" t="inlineStr">
        <is>
          <t>entrada</t>
        </is>
      </c>
      <c r="U61" s="26" t="n">
        <v>140000</v>
      </c>
      <c r="V61" t="inlineStr">
        <is>
          <t>CALI|TRANSPORTADORA_004</t>
        </is>
      </c>
      <c r="W61" t="inlineStr">
        <is>
          <t>CALI|TRANSPORTADORA_001</t>
        </is>
      </c>
      <c r="X61" s="26">
        <f>IF(T61="entrada",M61+U61,IF(T61="salida",M61-U61,M61))</f>
        <v>2697380377</v>
      </c>
      <c r="Y61" s="26" t="n">
        <v>0</v>
      </c>
      <c r="Z61" t="inlineStr">
        <is>
          <t>Menor costo neto entre las alternativas que cubren la necesidad completa</t>
        </is>
      </c>
      <c r="AA61" t="inlineStr">
        <is>
          <t>SUP-08, SUP-10</t>
        </is>
      </c>
      <c r="AB61" t="inlineStr">
        <is>
          <t>Contraparte del traslado P00086 en la denominacion 10000: recibe $140.000 de CALI|TRANSPORTADORA_004. Saldo de esta fila: $2.697.240.377 antes y $2.697.380.377 despues (minimo $1.609.174.000, maximo $3.087.852.778). Necesidad que la origina, en CALI|TRANSPORTADORA_004: Excedente de $136.836 en la denominacion 10000: saldo $38.906.836 sobre el maximo $38.770.000. Elegida: traslado con CALI|TRANSPORTADORA_001 ($140.000; costo $0). Es preferible porque tiene el menor costo neto. Otras alternativas: traslado con CALI|TRANSPORTADORA_002 ($140.000; costo $0); traslado con CALI|TRANSPORTADORA_003 ($140.000; costo $0); conservar ($140.000; costo de almacenar $4); venta: dia no habil (sabado, domingo o festivo; RN-71A); consignacion BanRep: dia no habil (sabado, domingo o festivo; RN-71A); traslado hacia 1 fondo(s) con espacio: ruta sin tarifa en el Anexo E (prohibida).</t>
        </is>
      </c>
      <c r="AC61" t="inlineStr">
        <is>
          <t>Cierre del dia anterior (saldo encadenado, RN-71)</t>
        </is>
      </c>
      <c r="AD61" t="inlineStr">
        <is>
          <t>estimada</t>
        </is>
      </c>
      <c r="AE61" t="inlineStr">
        <is>
          <t>Participacion historica por denominacion (SUP-09)</t>
        </is>
      </c>
    </row>
    <row r="62">
      <c r="A62" t="inlineStr">
        <is>
          <t>PRAGMA</t>
        </is>
      </c>
      <c r="B62" t="inlineStr">
        <is>
          <t>CALI|TRANSPORTADORA_001</t>
        </is>
      </c>
      <c r="C62" t="inlineStr">
        <is>
          <t>Cali</t>
        </is>
      </c>
      <c r="D62" t="inlineStr">
        <is>
          <t>TRANSPORTADORA_001</t>
        </is>
      </c>
      <c r="E62" s="23" t="n">
        <v>46265</v>
      </c>
      <c r="F62" s="23" t="n">
        <v>46279</v>
      </c>
      <c r="G62" t="inlineStr">
        <is>
          <t>Sí</t>
        </is>
      </c>
      <c r="H62" s="25" t="n">
        <v>10000</v>
      </c>
      <c r="I62" s="26" t="n">
        <v>2697380377</v>
      </c>
      <c r="J62" s="26" t="n">
        <v>1179321598</v>
      </c>
      <c r="K62" s="26" t="n">
        <v>475998796</v>
      </c>
      <c r="L62" s="26">
        <f>J62-K62</f>
        <v>703322802</v>
      </c>
      <c r="M62" s="26">
        <f>I62+L62</f>
        <v>3400703179</v>
      </c>
      <c r="N62" s="26" t="n">
        <v>1609174000</v>
      </c>
      <c r="O62" s="26" t="n">
        <v>3087852778</v>
      </c>
      <c r="P62" s="26">
        <f>MAX(0,N62-M62)</f>
        <v>0</v>
      </c>
      <c r="Q62" s="26">
        <f>MAX(0,M62-O62)</f>
        <v>312850401</v>
      </c>
      <c r="R62" t="inlineStr">
        <is>
          <t>bajo</t>
        </is>
      </c>
      <c r="S62" t="inlineStr">
        <is>
          <t>venta_efectivo</t>
        </is>
      </c>
      <c r="T62" t="inlineStr">
        <is>
          <t>salida</t>
        </is>
      </c>
      <c r="U62" s="26" t="n">
        <v>312860000</v>
      </c>
      <c r="V62" t="inlineStr">
        <is>
          <t>CALI|TRANSPORTADORA_001</t>
        </is>
      </c>
      <c r="X62" s="26">
        <f>IF(T62="entrada",M62+U62,IF(T62="salida",M62-U62,M62))</f>
        <v>3087843179</v>
      </c>
      <c r="Y62" s="26" t="n">
        <v>0</v>
      </c>
      <c r="Z62" t="inlineStr">
        <is>
          <t>Menor costo neto entre las alternativas que cubren la necesidad completa</t>
        </is>
      </c>
      <c r="AA62" t="inlineStr">
        <is>
          <t>SUP-08, SUP-10, SUP-23</t>
        </is>
      </c>
      <c r="AB62" t="inlineStr">
        <is>
          <t>Excedente de $312.850.401 en la denominacion 10000: saldo $3.400.703.179 sobre el maximo $3.087.852.778. Elegida: venta ($312.860.000; beneficio de referencia $125.144). Es preferible porque tiene el menor costo neto. Otras alternativas: traslado con CALI|TRANSPORTADORA_003 ($312.860.000; costo $0); conservar ($312.860.000; costo de almacenar $6.132); consignacion BanRep ($312.860.000; costo $201.935).</t>
        </is>
      </c>
      <c r="AC62" t="inlineStr">
        <is>
          <t>Cierre del dia anterior (saldo encadenado, RN-71)</t>
        </is>
      </c>
      <c r="AD62" t="inlineStr">
        <is>
          <t>estimada</t>
        </is>
      </c>
      <c r="AE62" t="inlineStr">
        <is>
          <t>Participacion historica por denominacion (SUP-09)</t>
        </is>
      </c>
    </row>
    <row r="63">
      <c r="A63" t="inlineStr">
        <is>
          <t>PRAGMA</t>
        </is>
      </c>
      <c r="B63" t="inlineStr">
        <is>
          <t>CALI|TRANSPORTADORA_001</t>
        </is>
      </c>
      <c r="C63" t="inlineStr">
        <is>
          <t>Cali</t>
        </is>
      </c>
      <c r="D63" t="inlineStr">
        <is>
          <t>TRANSPORTADORA_001</t>
        </is>
      </c>
      <c r="E63" s="23" t="n">
        <v>46265</v>
      </c>
      <c r="F63" s="23" t="n">
        <v>46280</v>
      </c>
      <c r="G63" t="inlineStr">
        <is>
          <t>Sí</t>
        </is>
      </c>
      <c r="H63" s="25" t="n">
        <v>10000</v>
      </c>
      <c r="I63" s="26" t="n">
        <v>3087843179</v>
      </c>
      <c r="J63" s="26" t="n">
        <v>914535483</v>
      </c>
      <c r="K63" s="26" t="n">
        <v>658254277</v>
      </c>
      <c r="L63" s="26">
        <f>J63-K63</f>
        <v>256281206</v>
      </c>
      <c r="M63" s="26">
        <f>I63+L63</f>
        <v>3344124385</v>
      </c>
      <c r="N63" s="26" t="n">
        <v>1609174000</v>
      </c>
      <c r="O63" s="26" t="n">
        <v>3087852778</v>
      </c>
      <c r="P63" s="26">
        <f>MAX(0,N63-M63)</f>
        <v>0</v>
      </c>
      <c r="Q63" s="26">
        <f>MAX(0,M63-O63)</f>
        <v>256271607</v>
      </c>
      <c r="R63" t="inlineStr">
        <is>
          <t>bajo</t>
        </is>
      </c>
      <c r="S63" t="inlineStr">
        <is>
          <t>venta_efectivo</t>
        </is>
      </c>
      <c r="T63" t="inlineStr">
        <is>
          <t>salida</t>
        </is>
      </c>
      <c r="U63" s="26" t="n">
        <v>256280000</v>
      </c>
      <c r="V63" t="inlineStr">
        <is>
          <t>CALI|TRANSPORTADORA_001</t>
        </is>
      </c>
      <c r="X63" s="26">
        <f>IF(T63="entrada",M63+U63,IF(T63="salida",M63-U63,M63))</f>
        <v>3087844385</v>
      </c>
      <c r="Y63" s="26" t="n">
        <v>0</v>
      </c>
      <c r="Z63" t="inlineStr">
        <is>
          <t>Menor costo neto entre las alternativas que cubren la necesidad completa</t>
        </is>
      </c>
      <c r="AA63" t="inlineStr">
        <is>
          <t>SUP-08, SUP-10, SUP-23</t>
        </is>
      </c>
      <c r="AB63" t="inlineStr">
        <is>
          <t>Excedente de $256.271.607 en la denominacion 10000: saldo $3.344.124.386 sobre el maximo $3.087.852.778. Elegida: venta ($256.280.000; beneficio de referencia $102.512). Es preferible porque tiene el menor costo neto. Otras alternativas: traslado con CALI|TRANSPORTADORA_003 ($256.280.000; costo $0); conservar ($256.280.000; costo de almacenar $2.512); consignacion BanRep ($256.280.000; costo $187.847).</t>
        </is>
      </c>
      <c r="AC63" t="inlineStr">
        <is>
          <t>Cierre del dia anterior (saldo encadenado, RN-71)</t>
        </is>
      </c>
      <c r="AD63" t="inlineStr">
        <is>
          <t>estimada</t>
        </is>
      </c>
      <c r="AE63" t="inlineStr">
        <is>
          <t>Participacion historica por denominacion (SUP-09)</t>
        </is>
      </c>
    </row>
    <row r="64">
      <c r="A64" t="inlineStr">
        <is>
          <t>PRAGMA</t>
        </is>
      </c>
      <c r="B64" t="inlineStr">
        <is>
          <t>CALI|TRANSPORTADORA_001</t>
        </is>
      </c>
      <c r="C64" t="inlineStr">
        <is>
          <t>Cali</t>
        </is>
      </c>
      <c r="D64" t="inlineStr">
        <is>
          <t>TRANSPORTADORA_001</t>
        </is>
      </c>
      <c r="E64" s="23" t="n">
        <v>46265</v>
      </c>
      <c r="F64" s="23" t="n">
        <v>46266</v>
      </c>
      <c r="G64" t="inlineStr">
        <is>
          <t>Sí</t>
        </is>
      </c>
      <c r="H64" s="25" t="n">
        <v>20000</v>
      </c>
      <c r="I64" s="26" t="n">
        <v>4393820000</v>
      </c>
      <c r="J64" s="26" t="n">
        <v>1847774257</v>
      </c>
      <c r="K64" s="26" t="n">
        <v>1689925470</v>
      </c>
      <c r="L64" s="26">
        <f>J64-K64</f>
        <v>157848787</v>
      </c>
      <c r="M64" s="26">
        <f>I64+L64</f>
        <v>4551668787</v>
      </c>
      <c r="N64" s="26" t="n">
        <v>2997996000</v>
      </c>
      <c r="O64" s="26" t="n">
        <v>6846914592</v>
      </c>
      <c r="P64" s="26">
        <f>MAX(0,N64-M64)</f>
        <v>0</v>
      </c>
      <c r="Q64" s="26">
        <f>MAX(0,M64-O64)</f>
        <v>0</v>
      </c>
      <c r="R64" t="inlineStr">
        <is>
          <t>bajo</t>
        </is>
      </c>
      <c r="S64" t="inlineStr">
        <is>
          <t>traslado_fondos</t>
        </is>
      </c>
      <c r="T64" t="inlineStr">
        <is>
          <t>salida</t>
        </is>
      </c>
      <c r="U64" s="26" t="n">
        <v>226760000</v>
      </c>
      <c r="V64" t="inlineStr">
        <is>
          <t>CALI|TRANSPORTADORA_001</t>
        </is>
      </c>
      <c r="W64" t="inlineStr">
        <is>
          <t>CALI|TRANSPORTADORA_003</t>
        </is>
      </c>
      <c r="X64" s="26">
        <f>IF(T64="entrada",M64+U64,IF(T64="salida",M64-U64,M64))</f>
        <v>4324908787</v>
      </c>
      <c r="Y64" s="26" t="n">
        <v>0</v>
      </c>
      <c r="Z64" t="inlineStr">
        <is>
          <t>Menor costo neto entre las alternativas que cubren la necesidad completa</t>
        </is>
      </c>
      <c r="AA64" t="inlineStr">
        <is>
          <t>SUP-08, SUP-10</t>
        </is>
      </c>
      <c r="AB64" t="inlineStr">
        <is>
          <t>Contraparte del traslado P00002 en la denominacion 20000: entrega $226.760.000 a CALI|TRANSPORTADORA_003. Saldo de esta fila: $4.551.668.787 antes y $4.324.908.787 despues (minimo $2.997.996.000, maximo $6.846.914.592). Necesidad que la origina, en CALI|TRANSPORTADORA_003: Faltante de $226.753.297 en la denominacion 20000: saldo $2.013.246.703 bajo el minimo $2.240.000.000. Elegida: traslado con CALI|TRANSPORTADORA_001 ($226.760.000; costo $0). Es preferible porque tiene el menor costo neto. Otras alternativas: traslado con CALI|TRANSPORTADORA_002 ($226.760.000; costo $0); traslado con CALI|TRANSPORTADORA_004 ($226.760.000; costo $0); retiro BanRep ($226.760.000; costo $219.832); traslado con IPIALES|TRANSPORTADORA_002 ($226.760.000; costo $360.214); traslado con PASTO|TRANSPORTADORA_001 ($226.760.000; costo $1.025.081); cambio de denominacion: ninguna otra denominacion del fondo supera su maximo.</t>
        </is>
      </c>
      <c r="AC64" t="inlineStr">
        <is>
          <t>Ultimo disponible al 31/08/2026 (SUP-07)</t>
        </is>
      </c>
      <c r="AD64" t="inlineStr">
        <is>
          <t>estimada</t>
        </is>
      </c>
      <c r="AE64" t="inlineStr">
        <is>
          <t>Participacion historica por denominacion (SUP-09)</t>
        </is>
      </c>
    </row>
    <row r="65">
      <c r="A65" t="inlineStr">
        <is>
          <t>PRAGMA</t>
        </is>
      </c>
      <c r="B65" t="inlineStr">
        <is>
          <t>CALI|TRANSPORTADORA_001</t>
        </is>
      </c>
      <c r="C65" t="inlineStr">
        <is>
          <t>Cali</t>
        </is>
      </c>
      <c r="D65" t="inlineStr">
        <is>
          <t>TRANSPORTADORA_001</t>
        </is>
      </c>
      <c r="E65" s="23" t="n">
        <v>46265</v>
      </c>
      <c r="F65" s="23" t="n">
        <v>46266</v>
      </c>
      <c r="G65" t="inlineStr">
        <is>
          <t>Sí</t>
        </is>
      </c>
      <c r="H65" s="25" t="n">
        <v>20000</v>
      </c>
      <c r="I65" s="26" t="n">
        <v>4324908787</v>
      </c>
      <c r="J65" s="26" t="n">
        <v>0</v>
      </c>
      <c r="K65" s="26" t="n">
        <v>0</v>
      </c>
      <c r="L65" s="26">
        <f>J65-K65</f>
        <v>0</v>
      </c>
      <c r="M65" s="26">
        <f>I65+L65</f>
        <v>4324908787</v>
      </c>
      <c r="N65" s="26" t="n">
        <v>2997996000</v>
      </c>
      <c r="O65" s="26" t="n">
        <v>6846914592</v>
      </c>
      <c r="P65" s="26">
        <f>MAX(0,N65-M65)</f>
        <v>0</v>
      </c>
      <c r="Q65" s="26">
        <f>MAX(0,M65-O65)</f>
        <v>0</v>
      </c>
      <c r="R65" t="inlineStr">
        <is>
          <t>bajo</t>
        </is>
      </c>
      <c r="S65" t="inlineStr">
        <is>
          <t>traslado_fondos</t>
        </is>
      </c>
      <c r="T65" t="inlineStr">
        <is>
          <t>entrada</t>
        </is>
      </c>
      <c r="U65" s="26" t="n">
        <v>7640000</v>
      </c>
      <c r="V65" t="inlineStr">
        <is>
          <t>CALI|TRANSPORTADORA_004</t>
        </is>
      </c>
      <c r="W65" t="inlineStr">
        <is>
          <t>CALI|TRANSPORTADORA_001</t>
        </is>
      </c>
      <c r="X65" s="26">
        <f>IF(T65="entrada",M65+U65,IF(T65="salida",M65-U65,M65))</f>
        <v>4332548787</v>
      </c>
      <c r="Y65" s="26" t="n">
        <v>0</v>
      </c>
      <c r="Z65" t="inlineStr">
        <is>
          <t>Menor costo neto entre las alternativas que cubren la necesidad completa</t>
        </is>
      </c>
      <c r="AA65" t="inlineStr">
        <is>
          <t>SUP-08, SUP-10</t>
        </is>
      </c>
      <c r="AB65" t="inlineStr">
        <is>
          <t>Contraparte del traslado P00006 en la denominacion 20000: recibe $7.640.000 de CALI|TRANSPORTADORA_004. Saldo de esta fila: $4.324.908.787 antes y $4.332.548.787 despues (minimo $2.997.996.000, maximo $6.846.914.592). Necesidad que la origina, en CALI|TRANSPORTADORA_004: Excedente de $7.626.110 en la denominacion 20000: saldo $264.216.110 sobre el maximo $256.590.000. Elegida: traslado con CALI|TRANSPORTADORA_001 ($7.640.000; costo $0). Es preferible porque tiene el menor costo neto. Otras alternativas: traslado con CALI|TRANSPORTADORA_002 ($7.640.000; costo $0); traslado con CALI|TRANSPORTADORA_003 ($7.640.000; costo $0); conservar ($7.640.000; costo de almacenar $1.204); consignacion BanRep ($7.640.000; costo $122.850); venta: no habilitada en este fondo (sin historico o fuera de las ciudades BanRep); traslado hacia 2 fondo(s) con espacio: ruta sin tarifa en el Anexo E (prohibida).</t>
        </is>
      </c>
      <c r="AC65" t="inlineStr">
        <is>
          <t>Cierre del dia anterior (saldo encadenado, RN-71)</t>
        </is>
      </c>
      <c r="AD65" t="inlineStr">
        <is>
          <t>estimada</t>
        </is>
      </c>
      <c r="AE65" t="inlineStr">
        <is>
          <t>Participacion historica por denominacion (SUP-09)</t>
        </is>
      </c>
    </row>
    <row r="66">
      <c r="A66" t="inlineStr">
        <is>
          <t>PRAGMA</t>
        </is>
      </c>
      <c r="B66" t="inlineStr">
        <is>
          <t>CALI|TRANSPORTADORA_001</t>
        </is>
      </c>
      <c r="C66" t="inlineStr">
        <is>
          <t>Cali</t>
        </is>
      </c>
      <c r="D66" t="inlineStr">
        <is>
          <t>TRANSPORTADORA_001</t>
        </is>
      </c>
      <c r="E66" s="23" t="n">
        <v>46265</v>
      </c>
      <c r="F66" s="23" t="n">
        <v>46267</v>
      </c>
      <c r="G66" t="inlineStr">
        <is>
          <t>Sí</t>
        </is>
      </c>
      <c r="H66" s="25" t="n">
        <v>20000</v>
      </c>
      <c r="I66" s="26" t="n">
        <v>4332548787</v>
      </c>
      <c r="J66" s="26" t="n">
        <v>1730929332</v>
      </c>
      <c r="K66" s="26" t="n">
        <v>1365388127</v>
      </c>
      <c r="L66" s="26">
        <f>J66-K66</f>
        <v>365541205</v>
      </c>
      <c r="M66" s="26">
        <f>I66+L66</f>
        <v>4698089992</v>
      </c>
      <c r="N66" s="26" t="n">
        <v>2997996000</v>
      </c>
      <c r="O66" s="26" t="n">
        <v>6846914592</v>
      </c>
      <c r="P66" s="26">
        <f>MAX(0,N66-M66)</f>
        <v>0</v>
      </c>
      <c r="Q66" s="26">
        <f>MAX(0,M66-O66)</f>
        <v>0</v>
      </c>
      <c r="R66" t="inlineStr">
        <is>
          <t>bajo</t>
        </is>
      </c>
      <c r="S66" t="inlineStr">
        <is>
          <t>traslado_fondos</t>
        </is>
      </c>
      <c r="T66" t="inlineStr">
        <is>
          <t>salida</t>
        </is>
      </c>
      <c r="U66" s="26" t="n">
        <v>126840000</v>
      </c>
      <c r="V66" t="inlineStr">
        <is>
          <t>CALI|TRANSPORTADORA_001</t>
        </is>
      </c>
      <c r="W66" t="inlineStr">
        <is>
          <t>CALI|TRANSPORTADORA_003</t>
        </is>
      </c>
      <c r="X66" s="26">
        <f>IF(T66="entrada",M66+U66,IF(T66="salida",M66-U66,M66))</f>
        <v>4571249992</v>
      </c>
      <c r="Y66" s="26" t="n">
        <v>0</v>
      </c>
      <c r="Z66" t="inlineStr">
        <is>
          <t>Menor costo neto entre las alternativas que cubren la necesidad completa</t>
        </is>
      </c>
      <c r="AA66" t="inlineStr">
        <is>
          <t>SUP-08, SUP-10</t>
        </is>
      </c>
      <c r="AB66" t="inlineStr">
        <is>
          <t>Contraparte del traslado P00009 en la denominacion 20000: entrega $126.840.000 a CALI|TRANSPORTADORA_003. Saldo de esta fila: $4.698.089.993 antes y $4.571.249.993 despues (minimo $2.997.996.000, maximo $6.846.914.592). Necesidad que la origina, en CALI|TRANSPORTADORA_003: Faltante de $126.825.891 en la denominacion 20000: saldo $2.113.174.109 bajo el minimo $2.240.000.000. Elegida: traslado con CALI|TRANSPORTADORA_001 ($126.840.000; costo $0). Es preferible porque tiene el menor costo neto. Otras alternativas: traslado con CALI|TRANSPORTADORA_002 ($126.840.000; costo $0); traslado con CALI|TRANSPORTADORA_004 ($126.840.000; costo $0); retiro BanRep ($126.840.000; costo $178.864); traslado con IPIALES|TRANSPORTADORA_002 ($126.840.000; costo $273.083); traslado con PASTO|TRANSPORTADORA_001 ($126.840.000; costo $929.458); cambio de denominacion: ninguna otra denominacion del fondo supera su maximo.</t>
        </is>
      </c>
      <c r="AC66" t="inlineStr">
        <is>
          <t>Cierre del dia anterior (saldo encadenado, RN-71)</t>
        </is>
      </c>
      <c r="AD66" t="inlineStr">
        <is>
          <t>estimada</t>
        </is>
      </c>
      <c r="AE66" t="inlineStr">
        <is>
          <t>Participacion historica por denominacion (SUP-09)</t>
        </is>
      </c>
    </row>
    <row r="67">
      <c r="A67" t="inlineStr">
        <is>
          <t>PRAGMA</t>
        </is>
      </c>
      <c r="B67" t="inlineStr">
        <is>
          <t>CALI|TRANSPORTADORA_001</t>
        </is>
      </c>
      <c r="C67" t="inlineStr">
        <is>
          <t>Cali</t>
        </is>
      </c>
      <c r="D67" t="inlineStr">
        <is>
          <t>TRANSPORTADORA_001</t>
        </is>
      </c>
      <c r="E67" s="23" t="n">
        <v>46265</v>
      </c>
      <c r="F67" s="23" t="n">
        <v>46267</v>
      </c>
      <c r="G67" t="inlineStr">
        <is>
          <t>Sí</t>
        </is>
      </c>
      <c r="H67" s="25" t="n">
        <v>20000</v>
      </c>
      <c r="I67" s="26" t="n">
        <v>4571249993</v>
      </c>
      <c r="J67" s="26" t="n">
        <v>0</v>
      </c>
      <c r="K67" s="26" t="n">
        <v>0</v>
      </c>
      <c r="L67" s="26">
        <f>J67-K67</f>
        <v>0</v>
      </c>
      <c r="M67" s="26">
        <f>I67+L67</f>
        <v>4571249993</v>
      </c>
      <c r="N67" s="26" t="n">
        <v>2997996000</v>
      </c>
      <c r="O67" s="26" t="n">
        <v>6846914592</v>
      </c>
      <c r="P67" s="26">
        <f>MAX(0,N67-M67)</f>
        <v>0</v>
      </c>
      <c r="Q67" s="26">
        <f>MAX(0,M67-O67)</f>
        <v>0</v>
      </c>
      <c r="R67" t="inlineStr">
        <is>
          <t>bajo</t>
        </is>
      </c>
      <c r="S67" t="inlineStr">
        <is>
          <t>traslado_fondos</t>
        </is>
      </c>
      <c r="T67" t="inlineStr">
        <is>
          <t>entrada</t>
        </is>
      </c>
      <c r="U67" s="26" t="n">
        <v>4620000</v>
      </c>
      <c r="V67" t="inlineStr">
        <is>
          <t>CALI|TRANSPORTADORA_004</t>
        </is>
      </c>
      <c r="W67" t="inlineStr">
        <is>
          <t>CALI|TRANSPORTADORA_001</t>
        </is>
      </c>
      <c r="X67" s="26">
        <f>IF(T67="entrada",M67+U67,IF(T67="salida",M67-U67,M67))</f>
        <v>4575869993</v>
      </c>
      <c r="Y67" s="26" t="n">
        <v>0</v>
      </c>
      <c r="Z67" t="inlineStr">
        <is>
          <t>Menor costo neto entre las alternativas que cubren la necesidad completa</t>
        </is>
      </c>
      <c r="AA67" t="inlineStr">
        <is>
          <t>SUP-08, SUP-10</t>
        </is>
      </c>
      <c r="AB67" t="inlineStr">
        <is>
          <t>Contraparte del traslado P00014 en la denominacion 20000: recibe $4.620.000 de CALI|TRANSPORTADORA_004. Saldo de esta fila: $4.571.249.993 antes y $4.575.869.993 despues (minimo $2.997.996.000, maximo $6.846.914.592). Necesidad que la origina, en CALI|TRANSPORTADORA_004: Excedente de $4.607.385 en la denominacion 20000: saldo $261.197.385 sobre el maximo $256.590.000. Elegida: traslado con CALI|TRANSPORTADORA_001 ($4.620.000; costo $0). Es preferible porque tiene el menor costo neto. Otras alternativas: traslado con CALI|TRANSPORTADORA_002 ($4.620.000; costo $0); traslado con CALI|TRANSPORTADORA_003 ($4.620.000; costo $0); conservar ($4.620.000; costo de almacenar $680); consignacion BanRep ($4.620.000; costo $122.025); venta: no habilitada en este fondo (sin historico o fuera de las ciudades BanRep); traslado hacia 1 fondo(s) con espacio: ruta sin tarifa en el Anexo E (prohibida).</t>
        </is>
      </c>
      <c r="AC67" t="inlineStr">
        <is>
          <t>Cierre del dia anterior (saldo encadenado, RN-71)</t>
        </is>
      </c>
      <c r="AD67" t="inlineStr">
        <is>
          <t>estimada</t>
        </is>
      </c>
      <c r="AE67" t="inlineStr">
        <is>
          <t>Participacion historica por denominacion (SUP-09)</t>
        </is>
      </c>
    </row>
    <row r="68">
      <c r="A68" t="inlineStr">
        <is>
          <t>PRAGMA</t>
        </is>
      </c>
      <c r="B68" t="inlineStr">
        <is>
          <t>CALI|TRANSPORTADORA_001</t>
        </is>
      </c>
      <c r="C68" t="inlineStr">
        <is>
          <t>Cali</t>
        </is>
      </c>
      <c r="D68" t="inlineStr">
        <is>
          <t>TRANSPORTADORA_001</t>
        </is>
      </c>
      <c r="E68" s="23" t="n">
        <v>46265</v>
      </c>
      <c r="F68" s="23" t="n">
        <v>46268</v>
      </c>
      <c r="G68" t="inlineStr">
        <is>
          <t>Sí</t>
        </is>
      </c>
      <c r="H68" s="25" t="n">
        <v>20000</v>
      </c>
      <c r="I68" s="26" t="n">
        <v>4575869993</v>
      </c>
      <c r="J68" s="26" t="n">
        <v>2139035775</v>
      </c>
      <c r="K68" s="26" t="n">
        <v>1195544567</v>
      </c>
      <c r="L68" s="26">
        <f>J68-K68</f>
        <v>943491208</v>
      </c>
      <c r="M68" s="26">
        <f>I68+L68</f>
        <v>5519361201</v>
      </c>
      <c r="N68" s="26" t="n">
        <v>2997996000</v>
      </c>
      <c r="O68" s="26" t="n">
        <v>6846914592</v>
      </c>
      <c r="P68" s="26">
        <f>MAX(0,N68-M68)</f>
        <v>0</v>
      </c>
      <c r="Q68" s="26">
        <f>MAX(0,M68-O68)</f>
        <v>0</v>
      </c>
      <c r="R68" t="inlineStr">
        <is>
          <t>bajo</t>
        </is>
      </c>
      <c r="S68" t="inlineStr">
        <is>
          <t>traslado_fondos</t>
        </is>
      </c>
      <c r="T68" t="inlineStr">
        <is>
          <t>entrada</t>
        </is>
      </c>
      <c r="U68" s="26" t="n">
        <v>5640000</v>
      </c>
      <c r="V68" t="inlineStr">
        <is>
          <t>CALI|TRANSPORTADORA_004</t>
        </is>
      </c>
      <c r="W68" t="inlineStr">
        <is>
          <t>CALI|TRANSPORTADORA_001</t>
        </is>
      </c>
      <c r="X68" s="26">
        <f>IF(T68="entrada",M68+U68,IF(T68="salida",M68-U68,M68))</f>
        <v>5525001201</v>
      </c>
      <c r="Y68" s="26" t="n">
        <v>0</v>
      </c>
      <c r="Z68" t="inlineStr">
        <is>
          <t>Menor costo neto entre las alternativas que cubren la necesidad completa</t>
        </is>
      </c>
      <c r="AA68" t="inlineStr">
        <is>
          <t>SUP-08, SUP-10</t>
        </is>
      </c>
      <c r="AB68" t="inlineStr">
        <is>
          <t>Contraparte del traslado P00018 en la denominacion 20000: recibe $5.640.000 de CALI|TRANSPORTADORA_004. Saldo de esta fila: $5.519.361.200 antes y $5.525.001.200 despues (minimo $2.997.996.000, maximo $6.846.914.592). Necesidad que la origina, en CALI|TRANSPORTADORA_004: Excedente de $5.620.455 en la denominacion 20000: saldo $262.210.455 sobre el maximo $256.590.000. Elegida: traslado con CALI|TRANSPORTADORA_001 ($5.640.000; costo $0). Es preferible porque tiene el menor costo neto. Otras alternativas: traslado con CALI|TRANSPORTADORA_003 ($5.640.000; costo $0); conservar ($5.640.000; costo de almacenar $771); consignacion BanRep ($5.640.000; costo $122.304); venta: no habilitada en este fondo (sin historico o fuera de las ciudades BanRep); traslado hacia 1 fondo(s) con espacio: ruta sin tarifa en el Anexo E (prohibida).</t>
        </is>
      </c>
      <c r="AC68" t="inlineStr">
        <is>
          <t>Cierre del dia anterior (saldo encadenado, RN-71)</t>
        </is>
      </c>
      <c r="AD68" t="inlineStr">
        <is>
          <t>estimada</t>
        </is>
      </c>
      <c r="AE68" t="inlineStr">
        <is>
          <t>Participacion historica por denominacion (SUP-09)</t>
        </is>
      </c>
    </row>
    <row r="69">
      <c r="A69" t="inlineStr">
        <is>
          <t>PRAGMA</t>
        </is>
      </c>
      <c r="B69" t="inlineStr">
        <is>
          <t>CALI|TRANSPORTADORA_001</t>
        </is>
      </c>
      <c r="C69" t="inlineStr">
        <is>
          <t>Cali</t>
        </is>
      </c>
      <c r="D69" t="inlineStr">
        <is>
          <t>TRANSPORTADORA_001</t>
        </is>
      </c>
      <c r="E69" s="23" t="n">
        <v>46265</v>
      </c>
      <c r="F69" s="23" t="n">
        <v>46269</v>
      </c>
      <c r="G69" t="inlineStr">
        <is>
          <t>Sí</t>
        </is>
      </c>
      <c r="H69" s="25" t="n">
        <v>20000</v>
      </c>
      <c r="I69" s="26" t="n">
        <v>5525001200</v>
      </c>
      <c r="J69" s="26" t="n">
        <v>2006632693</v>
      </c>
      <c r="K69" s="26" t="n">
        <v>1327494918</v>
      </c>
      <c r="L69" s="26">
        <f>J69-K69</f>
        <v>679137775</v>
      </c>
      <c r="M69" s="26">
        <f>I69+L69</f>
        <v>6204138975</v>
      </c>
      <c r="N69" s="26" t="n">
        <v>2997996000</v>
      </c>
      <c r="O69" s="26" t="n">
        <v>6846914592</v>
      </c>
      <c r="P69" s="26">
        <f>MAX(0,N69-M69)</f>
        <v>0</v>
      </c>
      <c r="Q69" s="26">
        <f>MAX(0,M69-O69)</f>
        <v>0</v>
      </c>
      <c r="R69" t="inlineStr">
        <is>
          <t>bajo</t>
        </is>
      </c>
      <c r="S69" t="inlineStr">
        <is>
          <t>traslado_fondos</t>
        </is>
      </c>
      <c r="T69" t="inlineStr">
        <is>
          <t>salida</t>
        </is>
      </c>
      <c r="U69" s="26" t="n">
        <v>78720000</v>
      </c>
      <c r="V69" t="inlineStr">
        <is>
          <t>CALI|TRANSPORTADORA_001</t>
        </is>
      </c>
      <c r="W69" t="inlineStr">
        <is>
          <t>CALI|TRANSPORTADORA_003</t>
        </is>
      </c>
      <c r="X69" s="26">
        <f>IF(T69="entrada",M69+U69,IF(T69="salida",M69-U69,M69))</f>
        <v>6125418975</v>
      </c>
      <c r="Y69" s="26" t="n">
        <v>0</v>
      </c>
      <c r="Z69" t="inlineStr">
        <is>
          <t>Menor costo neto entre las alternativas que cubren la necesidad completa</t>
        </is>
      </c>
      <c r="AA69" t="inlineStr">
        <is>
          <t>SUP-08, SUP-10</t>
        </is>
      </c>
      <c r="AB69" t="inlineStr">
        <is>
          <t>Contraparte del traslado P00021 en la denominacion 20000: entrega $78.720.000 a CALI|TRANSPORTADORA_003. Saldo de esta fila: $6.204.138.975 antes y $6.125.418.975 despues (minimo $2.997.996.000, maximo $6.846.914.592). Necesidad que la origina, en CALI|TRANSPORTADORA_003: Faltante de $78.709.550 en la denominacion 20000: saldo $2.161.290.450 bajo el minimo $2.240.000.000. Elegida: traslado con CALI|TRANSPORTADORA_001 ($78.720.000; costo $0). Es preferible porque tiene el menor costo neto. Otras alternativas: traslado con CALI|TRANSPORTADORA_002 ($78.720.000; costo $0); traslado con CALI|TRANSPORTADORA_004 ($78.720.000; costo $0); retiro BanRep ($78.720.000; costo $159.135); traslado con IPIALES|TRANSPORTADORA_002 ($78.720.000; costo $231.123); traslado con PASTO|TRANSPORTADORA_001 ($78.720.000; costo $883.407); cambio de denominacion: ninguna otra denominacion del fondo supera su maximo.</t>
        </is>
      </c>
      <c r="AC69" t="inlineStr">
        <is>
          <t>Cierre del dia anterior (saldo encadenado, RN-71)</t>
        </is>
      </c>
      <c r="AD69" t="inlineStr">
        <is>
          <t>estimada</t>
        </is>
      </c>
      <c r="AE69" t="inlineStr">
        <is>
          <t>Participacion historica por denominacion (SUP-09)</t>
        </is>
      </c>
    </row>
    <row r="70">
      <c r="A70" t="inlineStr">
        <is>
          <t>PRAGMA</t>
        </is>
      </c>
      <c r="B70" t="inlineStr">
        <is>
          <t>CALI|TRANSPORTADORA_001</t>
        </is>
      </c>
      <c r="C70" t="inlineStr">
        <is>
          <t>Cali</t>
        </is>
      </c>
      <c r="D70" t="inlineStr">
        <is>
          <t>TRANSPORTADORA_001</t>
        </is>
      </c>
      <c r="E70" s="23" t="n">
        <v>46265</v>
      </c>
      <c r="F70" s="23" t="n">
        <v>46269</v>
      </c>
      <c r="G70" t="inlineStr">
        <is>
          <t>Sí</t>
        </is>
      </c>
      <c r="H70" s="25" t="n">
        <v>20000</v>
      </c>
      <c r="I70" s="26" t="n">
        <v>6125418975</v>
      </c>
      <c r="J70" s="26" t="n">
        <v>0</v>
      </c>
      <c r="K70" s="26" t="n">
        <v>0</v>
      </c>
      <c r="L70" s="26">
        <f>J70-K70</f>
        <v>0</v>
      </c>
      <c r="M70" s="26">
        <f>I70+L70</f>
        <v>6125418975</v>
      </c>
      <c r="N70" s="26" t="n">
        <v>2997996000</v>
      </c>
      <c r="O70" s="26" t="n">
        <v>6846914592</v>
      </c>
      <c r="P70" s="26">
        <f>MAX(0,N70-M70)</f>
        <v>0</v>
      </c>
      <c r="Q70" s="26">
        <f>MAX(0,M70-O70)</f>
        <v>0</v>
      </c>
      <c r="R70" t="inlineStr">
        <is>
          <t>bajo</t>
        </is>
      </c>
      <c r="S70" t="inlineStr">
        <is>
          <t>traslado_fondos</t>
        </is>
      </c>
      <c r="T70" t="inlineStr">
        <is>
          <t>entrada</t>
        </is>
      </c>
      <c r="U70" s="26" t="n">
        <v>6800000</v>
      </c>
      <c r="V70" t="inlineStr">
        <is>
          <t>CALI|TRANSPORTADORA_004</t>
        </is>
      </c>
      <c r="W70" t="inlineStr">
        <is>
          <t>CALI|TRANSPORTADORA_001</t>
        </is>
      </c>
      <c r="X70" s="26">
        <f>IF(T70="entrada",M70+U70,IF(T70="salida",M70-U70,M70))</f>
        <v>6132218975</v>
      </c>
      <c r="Y70" s="26" t="n">
        <v>0</v>
      </c>
      <c r="Z70" t="inlineStr">
        <is>
          <t>Menor costo neto entre las alternativas que cubren la necesidad completa</t>
        </is>
      </c>
      <c r="AA70" t="inlineStr">
        <is>
          <t>SUP-08, SUP-10</t>
        </is>
      </c>
      <c r="AB70" t="inlineStr">
        <is>
          <t>Contraparte del traslado P00026 en la denominacion 20000: recibe $6.800.000 de CALI|TRANSPORTADORA_004. Saldo de esta fila: $6.125.418.975 antes y $6.132.218.975 despues (minimo $2.997.996.000, maximo $6.846.914.592). Necesidad que la origina, en CALI|TRANSPORTADORA_004: Excedente de $6.783.136 en la denominacion 20000: saldo $263.373.136 sobre el maximo $256.590.000. Elegida: traslado con CALI|TRANSPORTADORA_001 ($6.800.000; costo $0). Es preferible porque tiene el menor costo neto. Otras alternativas: traslado con CALI|TRANSPORTADORA_003 ($6.800.000; costo $0); conservar ($6.800.000; costo de almacenar $858); consignacion BanRep ($6.800.000; costo $122.620); venta: no habilitada en este fondo (sin historico o fuera de las ciudades BanRep); traslado hacia 1 fondo(s) con espacio: ruta sin tarifa en el Anexo E (prohibida).</t>
        </is>
      </c>
      <c r="AC70" t="inlineStr">
        <is>
          <t>Cierre del dia anterior (saldo encadenado, RN-71)</t>
        </is>
      </c>
      <c r="AD70" t="inlineStr">
        <is>
          <t>estimada</t>
        </is>
      </c>
      <c r="AE70" t="inlineStr">
        <is>
          <t>Participacion historica por denominacion (SUP-09)</t>
        </is>
      </c>
    </row>
    <row r="71">
      <c r="A71" t="inlineStr">
        <is>
          <t>PRAGMA</t>
        </is>
      </c>
      <c r="B71" t="inlineStr">
        <is>
          <t>CALI|TRANSPORTADORA_001</t>
        </is>
      </c>
      <c r="C71" t="inlineStr">
        <is>
          <t>Cali</t>
        </is>
      </c>
      <c r="D71" t="inlineStr">
        <is>
          <t>TRANSPORTADORA_001</t>
        </is>
      </c>
      <c r="E71" s="23" t="n">
        <v>46265</v>
      </c>
      <c r="F71" s="23" t="n">
        <v>46270</v>
      </c>
      <c r="G71" t="inlineStr">
        <is>
          <t>No</t>
        </is>
      </c>
      <c r="H71" s="25" t="n">
        <v>20000</v>
      </c>
      <c r="I71" s="26" t="n">
        <v>6132218975</v>
      </c>
      <c r="J71" s="26" t="n">
        <v>356247225</v>
      </c>
      <c r="K71" s="26" t="n">
        <v>1094875579</v>
      </c>
      <c r="L71" s="26">
        <f>J71-K71</f>
        <v>-738628354</v>
      </c>
      <c r="M71" s="26">
        <f>I71+L71</f>
        <v>5393590621</v>
      </c>
      <c r="N71" s="26" t="n">
        <v>2997996000</v>
      </c>
      <c r="O71" s="26" t="n">
        <v>6846914592</v>
      </c>
      <c r="P71" s="26">
        <f>MAX(0,N71-M71)</f>
        <v>0</v>
      </c>
      <c r="Q71" s="26">
        <f>MAX(0,M71-O71)</f>
        <v>0</v>
      </c>
      <c r="R71" t="inlineStr">
        <is>
          <t>bajo</t>
        </is>
      </c>
      <c r="S71" t="inlineStr">
        <is>
          <t>traslado_fondos</t>
        </is>
      </c>
      <c r="T71" t="inlineStr">
        <is>
          <t>salida</t>
        </is>
      </c>
      <c r="U71" s="26" t="n">
        <v>419200000</v>
      </c>
      <c r="V71" t="inlineStr">
        <is>
          <t>CALI|TRANSPORTADORA_001</t>
        </is>
      </c>
      <c r="W71" t="inlineStr">
        <is>
          <t>CALI|TRANSPORTADORA_003</t>
        </is>
      </c>
      <c r="X71" s="26">
        <f>IF(T71="entrada",M71+U71,IF(T71="salida",M71-U71,M71))</f>
        <v>4974390621</v>
      </c>
      <c r="Y71" s="26" t="n">
        <v>0</v>
      </c>
      <c r="Z71" t="inlineStr">
        <is>
          <t>Menor costo neto entre las alternativas que cubren la necesidad completa</t>
        </is>
      </c>
      <c r="AA71" t="inlineStr">
        <is>
          <t>SUP-08, SUP-10</t>
        </is>
      </c>
      <c r="AB71" t="inlineStr">
        <is>
          <t>Contraparte del traslado P00030 en la denominacion 20000: entrega $419.200.000 a CALI|TRANSPORTADORA_003. Saldo de esta fila: $5.393.590.621 antes y $4.974.390.621 despues (minimo $2.997.996.000, maximo $6.846.914.592). Necesidad que la origina, en CALI|TRANSPORTADORA_003: Faltante de $419.183.701 en la denominacion 20000: saldo $1.820.816.299 bajo el minimo $2.240.000.000. Elegida: traslado con CALI|TRANSPORTADORA_001 ($419.200.000; costo $0). Es preferible porque tiene el menor costo neto. Otras alternativas: traslado con CALI|TRANSPORTADORA_002 ($419.200.000; costo $0); traslado con CALI|TRANSPORTADORA_004 ($252.320.000; costo $0, cubre solo una parte); traslado con IPIALES|TRANSPORTADORA_002 ($419.200.000; costo $528.021); traslado con PASTO|TRANSPORTADORA_001 ($419.200.000; costo $1.209.246); retiro BanRep: dia no habil (sabado, domingo o festivo; RN-71A); cambio de denominacion: dia no habil (sabado, domingo o festivo; RN-71A).</t>
        </is>
      </c>
      <c r="AC71" t="inlineStr">
        <is>
          <t>Cierre del dia anterior (saldo encadenado, RN-71)</t>
        </is>
      </c>
      <c r="AD71" t="inlineStr">
        <is>
          <t>estimada</t>
        </is>
      </c>
      <c r="AE71" t="inlineStr">
        <is>
          <t>Participacion historica por denominacion (SUP-09)</t>
        </is>
      </c>
    </row>
    <row r="72">
      <c r="A72" t="inlineStr">
        <is>
          <t>PRAGMA</t>
        </is>
      </c>
      <c r="B72" t="inlineStr">
        <is>
          <t>CALI|TRANSPORTADORA_001</t>
        </is>
      </c>
      <c r="C72" t="inlineStr">
        <is>
          <t>Cali</t>
        </is>
      </c>
      <c r="D72" t="inlineStr">
        <is>
          <t>TRANSPORTADORA_001</t>
        </is>
      </c>
      <c r="E72" s="23" t="n">
        <v>46265</v>
      </c>
      <c r="F72" s="23" t="n">
        <v>46270</v>
      </c>
      <c r="G72" t="inlineStr">
        <is>
          <t>No</t>
        </is>
      </c>
      <c r="H72" s="25" t="n">
        <v>20000</v>
      </c>
      <c r="I72" s="26" t="n">
        <v>4974390621</v>
      </c>
      <c r="J72" s="26" t="n">
        <v>0</v>
      </c>
      <c r="K72" s="26" t="n">
        <v>0</v>
      </c>
      <c r="L72" s="26">
        <f>J72-K72</f>
        <v>0</v>
      </c>
      <c r="M72" s="26">
        <f>I72+L72</f>
        <v>4974390621</v>
      </c>
      <c r="N72" s="26" t="n">
        <v>2997996000</v>
      </c>
      <c r="O72" s="26" t="n">
        <v>6846914592</v>
      </c>
      <c r="P72" s="26">
        <f>MAX(0,N72-M72)</f>
        <v>0</v>
      </c>
      <c r="Q72" s="26">
        <f>MAX(0,M72-O72)</f>
        <v>0</v>
      </c>
      <c r="R72" t="inlineStr">
        <is>
          <t>bajo</t>
        </is>
      </c>
      <c r="S72" t="inlineStr">
        <is>
          <t>traslado_fondos</t>
        </is>
      </c>
      <c r="T72" t="inlineStr">
        <is>
          <t>entrada</t>
        </is>
      </c>
      <c r="U72" s="26" t="n">
        <v>1440000</v>
      </c>
      <c r="V72" t="inlineStr">
        <is>
          <t>CALI|TRANSPORTADORA_004</t>
        </is>
      </c>
      <c r="W72" t="inlineStr">
        <is>
          <t>CALI|TRANSPORTADORA_001</t>
        </is>
      </c>
      <c r="X72" s="26">
        <f>IF(T72="entrada",M72+U72,IF(T72="salida",M72-U72,M72))</f>
        <v>4975830621</v>
      </c>
      <c r="Y72" s="26" t="n">
        <v>0</v>
      </c>
      <c r="Z72" t="inlineStr">
        <is>
          <t>Menor costo neto entre las alternativas que cubren la necesidad completa</t>
        </is>
      </c>
      <c r="AA72" t="inlineStr">
        <is>
          <t>SUP-08, SUP-10</t>
        </is>
      </c>
      <c r="AB72" t="inlineStr">
        <is>
          <t>Contraparte del traslado P00035 en la denominacion 20000: recibe $1.440.000 de CALI|TRANSPORTADORA_004. Saldo de esta fila: $4.974.390.621 antes y $4.975.830.621 despues (minimo $2.997.996.000, maximo $6.846.914.592). Necesidad que la origina, en CALI|TRANSPORTADORA_004: Excedente de $1.420.177 en la denominacion 20000: saldo $258.010.177 sobre el maximo $256.590.000. Elegida: traslado con CALI|TRANSPORTADORA_001 ($1.440.000; costo $0). Es preferible porque tiene el menor costo neto. Otras alternativas: traslado con CALI|TRANSPORTADORA_002 ($1.440.000; costo $0); traslado con CALI|TRANSPORTADORA_003 ($1.440.000; costo $0); conservar ($1.440.000; costo de almacenar $166); venta: dia no habil (sabado, domingo o festivo; RN-71A); consignacion BanRep: dia no habil (sabado, domingo o festivo; RN-71A); traslado hacia 1 fondo(s) con espacio: ruta sin tarifa en el Anexo E (prohibida).</t>
        </is>
      </c>
      <c r="AC72" t="inlineStr">
        <is>
          <t>Cierre del dia anterior (saldo encadenado, RN-71)</t>
        </is>
      </c>
      <c r="AD72" t="inlineStr">
        <is>
          <t>estimada</t>
        </is>
      </c>
      <c r="AE72" t="inlineStr">
        <is>
          <t>Participacion historica por denominacion (SUP-09)</t>
        </is>
      </c>
    </row>
    <row r="73">
      <c r="A73" t="inlineStr">
        <is>
          <t>PRAGMA</t>
        </is>
      </c>
      <c r="B73" t="inlineStr">
        <is>
          <t>CALI|TRANSPORTADORA_001</t>
        </is>
      </c>
      <c r="C73" t="inlineStr">
        <is>
          <t>Cali</t>
        </is>
      </c>
      <c r="D73" t="inlineStr">
        <is>
          <t>TRANSPORTADORA_001</t>
        </is>
      </c>
      <c r="E73" s="23" t="n">
        <v>46265</v>
      </c>
      <c r="F73" s="23" t="n">
        <v>46271</v>
      </c>
      <c r="G73" t="inlineStr">
        <is>
          <t>No</t>
        </is>
      </c>
      <c r="H73" s="25" t="n">
        <v>20000</v>
      </c>
      <c r="I73" s="26" t="n">
        <v>4975830621</v>
      </c>
      <c r="J73" s="26" t="n">
        <v>190011762</v>
      </c>
      <c r="K73" s="26" t="n">
        <v>534932433</v>
      </c>
      <c r="L73" s="26">
        <f>J73-K73</f>
        <v>-344920671</v>
      </c>
      <c r="M73" s="26">
        <f>I73+L73</f>
        <v>4630909950</v>
      </c>
      <c r="N73" s="26" t="n">
        <v>2997996000</v>
      </c>
      <c r="O73" s="26" t="n">
        <v>6846914592</v>
      </c>
      <c r="P73" s="26">
        <f>MAX(0,N73-M73)</f>
        <v>0</v>
      </c>
      <c r="Q73" s="26">
        <f>MAX(0,M73-O73)</f>
        <v>0</v>
      </c>
      <c r="R73" t="inlineStr">
        <is>
          <t>bajo</t>
        </is>
      </c>
      <c r="S73" t="inlineStr">
        <is>
          <t>traslado_fondos</t>
        </is>
      </c>
      <c r="T73" t="inlineStr">
        <is>
          <t>salida</t>
        </is>
      </c>
      <c r="U73" s="26" t="n">
        <v>272260000</v>
      </c>
      <c r="V73" t="inlineStr">
        <is>
          <t>CALI|TRANSPORTADORA_001</t>
        </is>
      </c>
      <c r="W73" t="inlineStr">
        <is>
          <t>CALI|TRANSPORTADORA_003</t>
        </is>
      </c>
      <c r="X73" s="26">
        <f>IF(T73="entrada",M73+U73,IF(T73="salida",M73-U73,M73))</f>
        <v>4358649950</v>
      </c>
      <c r="Y73" s="26" t="n">
        <v>0</v>
      </c>
      <c r="Z73" t="inlineStr">
        <is>
          <t>Menor costo neto entre las alternativas que cubren la necesidad completa</t>
        </is>
      </c>
      <c r="AA73" t="inlineStr">
        <is>
          <t>SUP-08, SUP-10</t>
        </is>
      </c>
      <c r="AB73" t="inlineStr">
        <is>
          <t>Contraparte del traslado P00039 en la denominacion 20000: entrega $272.260.000 a CALI|TRANSPORTADORA_003. Saldo de esta fila: $4.630.909.951 antes y $4.358.649.951 despues (minimo $2.997.996.000, maximo $6.846.914.592). Necesidad que la origina, en CALI|TRANSPORTADORA_003: Faltante de $272.244.629 en la denominacion 20000: saldo $1.967.755.371 bajo el minimo $2.240.000.000. Elegida: traslado con CALI|TRANSPORTADORA_001 ($272.260.000; costo $0). Es preferible porque tiene el menor costo neto. Otras alternativas: traslado con CALI|TRANSPORTADORA_002 ($272.260.000; costo $0); traslado con CALI|TRANSPORTADORA_004 ($253.080.000; costo $0, cubre solo una parte); traslado con IPIALES|TRANSPORTADORA_002 ($272.260.000; costo $399.890); traslado con PASTO|TRANSPORTADORA_001 ($272.260.000; costo $1.068.625); retiro BanRep: dia no habil (sabado, domingo o festivo; RN-71A); cambio de denominacion: dia no habil (sabado, domingo o festivo; RN-71A).</t>
        </is>
      </c>
      <c r="AC73" t="inlineStr">
        <is>
          <t>Cierre del dia anterior (saldo encadenado, RN-71)</t>
        </is>
      </c>
      <c r="AD73" t="inlineStr">
        <is>
          <t>estimada</t>
        </is>
      </c>
      <c r="AE73" t="inlineStr">
        <is>
          <t>Participacion historica por denominacion (SUP-09)</t>
        </is>
      </c>
    </row>
    <row r="74">
      <c r="A74" t="inlineStr">
        <is>
          <t>PRAGMA</t>
        </is>
      </c>
      <c r="B74" t="inlineStr">
        <is>
          <t>CALI|TRANSPORTADORA_001</t>
        </is>
      </c>
      <c r="C74" t="inlineStr">
        <is>
          <t>Cali</t>
        </is>
      </c>
      <c r="D74" t="inlineStr">
        <is>
          <t>TRANSPORTADORA_001</t>
        </is>
      </c>
      <c r="E74" s="23" t="n">
        <v>46265</v>
      </c>
      <c r="F74" s="23" t="n">
        <v>46271</v>
      </c>
      <c r="G74" t="inlineStr">
        <is>
          <t>No</t>
        </is>
      </c>
      <c r="H74" s="25" t="n">
        <v>20000</v>
      </c>
      <c r="I74" s="26" t="n">
        <v>4358649951</v>
      </c>
      <c r="J74" s="26" t="n">
        <v>0</v>
      </c>
      <c r="K74" s="26" t="n">
        <v>0</v>
      </c>
      <c r="L74" s="26">
        <f>J74-K74</f>
        <v>0</v>
      </c>
      <c r="M74" s="26">
        <f>I74+L74</f>
        <v>4358649951</v>
      </c>
      <c r="N74" s="26" t="n">
        <v>2997996000</v>
      </c>
      <c r="O74" s="26" t="n">
        <v>6846914592</v>
      </c>
      <c r="P74" s="26">
        <f>MAX(0,N74-M74)</f>
        <v>0</v>
      </c>
      <c r="Q74" s="26">
        <f>MAX(0,M74-O74)</f>
        <v>0</v>
      </c>
      <c r="R74" t="inlineStr">
        <is>
          <t>bajo</t>
        </is>
      </c>
      <c r="S74" t="inlineStr">
        <is>
          <t>traslado_fondos</t>
        </is>
      </c>
      <c r="T74" t="inlineStr">
        <is>
          <t>entrada</t>
        </is>
      </c>
      <c r="U74" s="26" t="n">
        <v>2200000</v>
      </c>
      <c r="V74" t="inlineStr">
        <is>
          <t>CALI|TRANSPORTADORA_004</t>
        </is>
      </c>
      <c r="W74" t="inlineStr">
        <is>
          <t>CALI|TRANSPORTADORA_001</t>
        </is>
      </c>
      <c r="X74" s="26">
        <f>IF(T74="entrada",M74+U74,IF(T74="salida",M74-U74,M74))</f>
        <v>4360849951</v>
      </c>
      <c r="Y74" s="26" t="n">
        <v>0</v>
      </c>
      <c r="Z74" t="inlineStr">
        <is>
          <t>Menor costo neto entre las alternativas que cubren la necesidad completa</t>
        </is>
      </c>
      <c r="AA74" t="inlineStr">
        <is>
          <t>SUP-08, SUP-10</t>
        </is>
      </c>
      <c r="AB74" t="inlineStr">
        <is>
          <t>Contraparte del traslado P00045 en la denominacion 20000: recibe $2.200.000 de CALI|TRANSPORTADORA_004. Saldo de esta fila: $4.358.649.951 antes y $4.360.849.951 despues (minimo $2.997.996.000, maximo $6.846.914.592). Necesidad que la origina, en CALI|TRANSPORTADORA_004: Excedente de $2.185.032 en la denominacion 20000: saldo $258.775.032 sobre el maximo $256.590.000. Elegida: traslado con CALI|TRANSPORTADORA_001 ($2.200.000; costo $0). Es preferible porque tiene el menor costo neto. Otras alternativas: traslado con CALI|TRANSPORTADORA_002 ($2.200.000; costo $0); traslado con CALI|TRANSPORTADORA_003 ($2.200.000; costo $0); conservar ($2.200.000; costo de almacenar $231); venta: dia no habil (sabado, domingo o festivo; RN-71A); consignacion BanRep: dia no habil (sabado, domingo o festivo; RN-71A); traslado hacia 1 fondo(s) con espacio: ruta sin tarifa en el Anexo E (prohibida).</t>
        </is>
      </c>
      <c r="AC74" t="inlineStr">
        <is>
          <t>Cierre del dia anterior (saldo encadenado, RN-71)</t>
        </is>
      </c>
      <c r="AD74" t="inlineStr">
        <is>
          <t>estimada</t>
        </is>
      </c>
      <c r="AE74" t="inlineStr">
        <is>
          <t>Participacion historica por denominacion (SUP-09)</t>
        </is>
      </c>
    </row>
    <row r="75">
      <c r="A75" t="inlineStr">
        <is>
          <t>PRAGMA</t>
        </is>
      </c>
      <c r="B75" t="inlineStr">
        <is>
          <t>CALI|TRANSPORTADORA_001</t>
        </is>
      </c>
      <c r="C75" t="inlineStr">
        <is>
          <t>Cali</t>
        </is>
      </c>
      <c r="D75" t="inlineStr">
        <is>
          <t>TRANSPORTADORA_001</t>
        </is>
      </c>
      <c r="E75" s="23" t="n">
        <v>46265</v>
      </c>
      <c r="F75" s="23" t="n">
        <v>46272</v>
      </c>
      <c r="G75" t="inlineStr">
        <is>
          <t>Sí</t>
        </is>
      </c>
      <c r="H75" s="25" t="n">
        <v>20000</v>
      </c>
      <c r="I75" s="26" t="n">
        <v>4360849951</v>
      </c>
      <c r="J75" s="26" t="n">
        <v>2787103021</v>
      </c>
      <c r="K75" s="26" t="n">
        <v>1004621635</v>
      </c>
      <c r="L75" s="26">
        <f>J75-K75</f>
        <v>1782481386</v>
      </c>
      <c r="M75" s="26">
        <f>I75+L75</f>
        <v>6143331337</v>
      </c>
      <c r="N75" s="26" t="n">
        <v>2997996000</v>
      </c>
      <c r="O75" s="26" t="n">
        <v>6846914592</v>
      </c>
      <c r="P75" s="26">
        <f>MAX(0,N75-M75)</f>
        <v>0</v>
      </c>
      <c r="Q75" s="26">
        <f>MAX(0,M75-O75)</f>
        <v>0</v>
      </c>
      <c r="R75" t="inlineStr">
        <is>
          <t>bajo</t>
        </is>
      </c>
      <c r="S75" t="inlineStr">
        <is>
          <t>traslado_fondos</t>
        </is>
      </c>
      <c r="T75" t="inlineStr">
        <is>
          <t>salida</t>
        </is>
      </c>
      <c r="U75" s="26" t="n">
        <v>11220000</v>
      </c>
      <c r="V75" t="inlineStr">
        <is>
          <t>CALI|TRANSPORTADORA_001</t>
        </is>
      </c>
      <c r="W75" t="inlineStr">
        <is>
          <t>CALI|TRANSPORTADORA_003</t>
        </is>
      </c>
      <c r="X75" s="26">
        <f>IF(T75="entrada",M75+U75,IF(T75="salida",M75-U75,M75))</f>
        <v>6132111337</v>
      </c>
      <c r="Y75" s="26" t="n">
        <v>0</v>
      </c>
      <c r="Z75" t="inlineStr">
        <is>
          <t>Menor costo neto entre las alternativas que cubren la necesidad completa</t>
        </is>
      </c>
      <c r="AA75" t="inlineStr">
        <is>
          <t>SUP-08, SUP-10</t>
        </is>
      </c>
      <c r="AB75" t="inlineStr">
        <is>
          <t>Contraparte del traslado P00050 en la denominacion 20000: entrega $11.220.000 a CALI|TRANSPORTADORA_003. Saldo de esta fila: $6.143.331.337 antes y $6.132.111.337 despues (minimo $2.997.996.000, maximo $6.846.914.592). Necesidad que la origina, en CALI|TRANSPORTADORA_003: Faltante de $11.216.427 en la denominacion 20000: saldo $2.228.783.573 bajo el minimo $2.240.000.000. Elegida: traslado con CALI|TRANSPORTADORA_001 ($11.220.000; costo $0). Es preferible porque tiene el menor costo neto. Otras alternativas: traslado con CALI|TRANSPORTADORA_002 ($11.220.000; costo $0); traslado con CALI|TRANSPORTADORA_004 ($11.220.000; costo $0); retiro BanRep ($11.220.000; costo $131.460); traslado con IPIALES|TRANSPORTADORA_002 ($11.220.000; costo $172.263); traslado con PASTO|TRANSPORTADORA_001 ($11.220.000; costo $818.810); cambio de denominacion: ninguna otra denominacion del fondo supera su maximo.</t>
        </is>
      </c>
      <c r="AC75" t="inlineStr">
        <is>
          <t>Cierre del dia anterior (saldo encadenado, RN-71)</t>
        </is>
      </c>
      <c r="AD75" t="inlineStr">
        <is>
          <t>estimada</t>
        </is>
      </c>
      <c r="AE75" t="inlineStr">
        <is>
          <t>Participacion historica por denominacion (SUP-09)</t>
        </is>
      </c>
    </row>
    <row r="76">
      <c r="A76" t="inlineStr">
        <is>
          <t>PRAGMA</t>
        </is>
      </c>
      <c r="B76" t="inlineStr">
        <is>
          <t>CALI|TRANSPORTADORA_001</t>
        </is>
      </c>
      <c r="C76" t="inlineStr">
        <is>
          <t>Cali</t>
        </is>
      </c>
      <c r="D76" t="inlineStr">
        <is>
          <t>TRANSPORTADORA_001</t>
        </is>
      </c>
      <c r="E76" s="23" t="n">
        <v>46265</v>
      </c>
      <c r="F76" s="23" t="n">
        <v>46272</v>
      </c>
      <c r="G76" t="inlineStr">
        <is>
          <t>Sí</t>
        </is>
      </c>
      <c r="H76" s="25" t="n">
        <v>20000</v>
      </c>
      <c r="I76" s="26" t="n">
        <v>6132111337</v>
      </c>
      <c r="J76" s="26" t="n">
        <v>0</v>
      </c>
      <c r="K76" s="26" t="n">
        <v>0</v>
      </c>
      <c r="L76" s="26">
        <f>J76-K76</f>
        <v>0</v>
      </c>
      <c r="M76" s="26">
        <f>I76+L76</f>
        <v>6132111337</v>
      </c>
      <c r="N76" s="26" t="n">
        <v>2997996000</v>
      </c>
      <c r="O76" s="26" t="n">
        <v>6846914592</v>
      </c>
      <c r="P76" s="26">
        <f>MAX(0,N76-M76)</f>
        <v>0</v>
      </c>
      <c r="Q76" s="26">
        <f>MAX(0,M76-O76)</f>
        <v>0</v>
      </c>
      <c r="R76" t="inlineStr">
        <is>
          <t>bajo</t>
        </is>
      </c>
      <c r="S76" t="inlineStr">
        <is>
          <t>traslado_fondos</t>
        </is>
      </c>
      <c r="T76" t="inlineStr">
        <is>
          <t>entrada</t>
        </is>
      </c>
      <c r="U76" s="26" t="n">
        <v>9080000</v>
      </c>
      <c r="V76" t="inlineStr">
        <is>
          <t>CALI|TRANSPORTADORA_004</t>
        </is>
      </c>
      <c r="W76" t="inlineStr">
        <is>
          <t>CALI|TRANSPORTADORA_001</t>
        </is>
      </c>
      <c r="X76" s="26">
        <f>IF(T76="entrada",M76+U76,IF(T76="salida",M76-U76,M76))</f>
        <v>6141191337</v>
      </c>
      <c r="Y76" s="26" t="n">
        <v>0</v>
      </c>
      <c r="Z76" t="inlineStr">
        <is>
          <t>Menor costo neto entre las alternativas que cubren la necesidad completa</t>
        </is>
      </c>
      <c r="AA76" t="inlineStr">
        <is>
          <t>SUP-08, SUP-10</t>
        </is>
      </c>
      <c r="AB76" t="inlineStr">
        <is>
          <t>Contraparte del traslado P00055 en la denominacion 20000: recibe $9.080.000 de CALI|TRANSPORTADORA_004. Saldo de esta fila: $6.132.111.337 antes y $6.141.191.337 despues (minimo $2.997.996.000, maximo $6.846.914.592). Necesidad que la origina, en CALI|TRANSPORTADORA_004: Excedente de $9.065.419 en la denominacion 20000: saldo $265.655.419 sobre el maximo $256.590.000. Elegida: traslado con CALI|TRANSPORTADORA_001 ($9.080.000; costo $0). Es preferible porque tiene el menor costo neto. Otras alternativas: traslado con CALI|TRANSPORTADORA_003 ($9.080.000; costo $0); conservar ($9.080.000; costo de almacenar $859); consignacion BanRep ($9.080.000; costo $123.243); venta: no habilitada en este fondo (sin historico o fuera de las ciudades BanRep); traslado hacia 1 fondo(s) con espacio: ruta sin tarifa en el Anexo E (prohibida).</t>
        </is>
      </c>
      <c r="AC76" t="inlineStr">
        <is>
          <t>Cierre del dia anterior (saldo encadenado, RN-71)</t>
        </is>
      </c>
      <c r="AD76" t="inlineStr">
        <is>
          <t>estimada</t>
        </is>
      </c>
      <c r="AE76" t="inlineStr">
        <is>
          <t>Participacion historica por denominacion (SUP-09)</t>
        </is>
      </c>
    </row>
    <row r="77">
      <c r="A77" t="inlineStr">
        <is>
          <t>PRAGMA</t>
        </is>
      </c>
      <c r="B77" t="inlineStr">
        <is>
          <t>CALI|TRANSPORTADORA_001</t>
        </is>
      </c>
      <c r="C77" t="inlineStr">
        <is>
          <t>Cali</t>
        </is>
      </c>
      <c r="D77" t="inlineStr">
        <is>
          <t>TRANSPORTADORA_001</t>
        </is>
      </c>
      <c r="E77" s="23" t="n">
        <v>46265</v>
      </c>
      <c r="F77" s="23" t="n">
        <v>46273</v>
      </c>
      <c r="G77" t="inlineStr">
        <is>
          <t>Sí</t>
        </is>
      </c>
      <c r="H77" s="25" t="n">
        <v>20000</v>
      </c>
      <c r="I77" s="26" t="n">
        <v>6141191337</v>
      </c>
      <c r="J77" s="26" t="n">
        <v>1904283091</v>
      </c>
      <c r="K77" s="26" t="n">
        <v>1037141833</v>
      </c>
      <c r="L77" s="26">
        <f>J77-K77</f>
        <v>867141258</v>
      </c>
      <c r="M77" s="26">
        <f>I77+L77</f>
        <v>7008332595</v>
      </c>
      <c r="N77" s="26" t="n">
        <v>2997996000</v>
      </c>
      <c r="O77" s="26" t="n">
        <v>6846914592</v>
      </c>
      <c r="P77" s="26">
        <f>MAX(0,N77-M77)</f>
        <v>0</v>
      </c>
      <c r="Q77" s="26">
        <f>MAX(0,M77-O77)</f>
        <v>161418003</v>
      </c>
      <c r="R77" t="inlineStr">
        <is>
          <t>bajo</t>
        </is>
      </c>
      <c r="S77" t="inlineStr">
        <is>
          <t>venta_efectivo</t>
        </is>
      </c>
      <c r="T77" t="inlineStr">
        <is>
          <t>salida</t>
        </is>
      </c>
      <c r="U77" s="26" t="n">
        <v>161420000</v>
      </c>
      <c r="V77" t="inlineStr">
        <is>
          <t>CALI|TRANSPORTADORA_001</t>
        </is>
      </c>
      <c r="X77" s="26">
        <f>IF(T77="entrada",M77+U77,IF(T77="salida",M77-U77,M77))</f>
        <v>6846912595</v>
      </c>
      <c r="Y77" s="26" t="n">
        <v>0</v>
      </c>
      <c r="Z77" t="inlineStr">
        <is>
          <t>Menor costo neto entre las alternativas que cubren la necesidad completa</t>
        </is>
      </c>
      <c r="AA77" t="inlineStr">
        <is>
          <t>SUP-08, SUP-10, SUP-23</t>
        </is>
      </c>
      <c r="AB77" t="inlineStr">
        <is>
          <t>Excedente de $161.418.003 en la denominacion 20000: saldo $7.008.332.595 sobre el maximo $6.846.914.592. Elegida: venta ($161.420.000; beneficio de referencia $64.568). Es preferible porque tiene el menor costo neto. Otras alternativas: traslado con CALI|TRANSPORTADORA_003 ($161.420.000; costo $0); conservar ($161.420.000; costo de almacenar $12.655); consignacion BanRep ($161.420.000; costo $164.227); traslado con PASTO|TRANSPORTADORA_001 ($161.420.000; costo $962.551).</t>
        </is>
      </c>
      <c r="AC77" t="inlineStr">
        <is>
          <t>Cierre del dia anterior (saldo encadenado, RN-71)</t>
        </is>
      </c>
      <c r="AD77" t="inlineStr">
        <is>
          <t>estimada</t>
        </is>
      </c>
      <c r="AE77" t="inlineStr">
        <is>
          <t>Participacion historica por denominacion (SUP-09)</t>
        </is>
      </c>
    </row>
    <row r="78">
      <c r="A78" t="inlineStr">
        <is>
          <t>PRAGMA</t>
        </is>
      </c>
      <c r="B78" t="inlineStr">
        <is>
          <t>CALI|TRANSPORTADORA_001</t>
        </is>
      </c>
      <c r="C78" t="inlineStr">
        <is>
          <t>Cali</t>
        </is>
      </c>
      <c r="D78" t="inlineStr">
        <is>
          <t>TRANSPORTADORA_001</t>
        </is>
      </c>
      <c r="E78" s="23" t="n">
        <v>46265</v>
      </c>
      <c r="F78" s="23" t="n">
        <v>46274</v>
      </c>
      <c r="G78" t="inlineStr">
        <is>
          <t>Sí</t>
        </is>
      </c>
      <c r="H78" s="25" t="n">
        <v>20000</v>
      </c>
      <c r="I78" s="26" t="n">
        <v>6846912595</v>
      </c>
      <c r="J78" s="26" t="n">
        <v>1805513970</v>
      </c>
      <c r="K78" s="26" t="n">
        <v>1024460628</v>
      </c>
      <c r="L78" s="26">
        <f>J78-K78</f>
        <v>781053342</v>
      </c>
      <c r="M78" s="26">
        <f>I78+L78</f>
        <v>7627965937</v>
      </c>
      <c r="N78" s="26" t="n">
        <v>2997996000</v>
      </c>
      <c r="O78" s="26" t="n">
        <v>6846914592</v>
      </c>
      <c r="P78" s="26">
        <f>MAX(0,N78-M78)</f>
        <v>0</v>
      </c>
      <c r="Q78" s="26">
        <f>MAX(0,M78-O78)</f>
        <v>781051345</v>
      </c>
      <c r="R78" t="inlineStr">
        <is>
          <t>bajo</t>
        </is>
      </c>
      <c r="S78" t="inlineStr">
        <is>
          <t>venta_efectivo</t>
        </is>
      </c>
      <c r="T78" t="inlineStr">
        <is>
          <t>salida</t>
        </is>
      </c>
      <c r="U78" s="26" t="n">
        <v>781060000</v>
      </c>
      <c r="V78" t="inlineStr">
        <is>
          <t>CALI|TRANSPORTADORA_001</t>
        </is>
      </c>
      <c r="X78" s="26">
        <f>IF(T78="entrada",M78+U78,IF(T78="salida",M78-U78,M78))</f>
        <v>6846905937</v>
      </c>
      <c r="Y78" s="26" t="n">
        <v>0</v>
      </c>
      <c r="Z78" t="inlineStr">
        <is>
          <t>Menor costo neto entre las alternativas que cubren la necesidad completa</t>
        </is>
      </c>
      <c r="AA78" t="inlineStr">
        <is>
          <t>SUP-08, SUP-10, SUP-23</t>
        </is>
      </c>
      <c r="AB78" t="inlineStr">
        <is>
          <t>Excedente de $781.051.345 en la denominacion 20000: saldo $7.627.965.937 sobre el maximo $6.846.914.592. Elegida: venta ($781.060.000; beneficio de referencia $312.424). Es preferible porque tiene el menor costo neto. Otras alternativas: traslado con CALI|TRANSPORTADORA_003 ($781.060.000; costo $0); conservar ($781.060.000; costo de almacenar $53.581); consignacion BanRep ($781.060.000; costo $318.517); traslado con PASTO|TRANSPORTADORA_001 ($341.660.000; costo $1.135.041, cubre solo una parte).</t>
        </is>
      </c>
      <c r="AC78" t="inlineStr">
        <is>
          <t>Cierre del dia anterior (saldo encadenado, RN-71)</t>
        </is>
      </c>
      <c r="AD78" t="inlineStr">
        <is>
          <t>estimada</t>
        </is>
      </c>
      <c r="AE78" t="inlineStr">
        <is>
          <t>Participacion historica por denominacion (SUP-09)</t>
        </is>
      </c>
    </row>
    <row r="79">
      <c r="A79" t="inlineStr">
        <is>
          <t>PRAGMA</t>
        </is>
      </c>
      <c r="B79" t="inlineStr">
        <is>
          <t>CALI|TRANSPORTADORA_001</t>
        </is>
      </c>
      <c r="C79" t="inlineStr">
        <is>
          <t>Cali</t>
        </is>
      </c>
      <c r="D79" t="inlineStr">
        <is>
          <t>TRANSPORTADORA_001</t>
        </is>
      </c>
      <c r="E79" s="23" t="n">
        <v>46265</v>
      </c>
      <c r="F79" s="23" t="n">
        <v>46275</v>
      </c>
      <c r="G79" t="inlineStr">
        <is>
          <t>Sí</t>
        </is>
      </c>
      <c r="H79" s="25" t="n">
        <v>20000</v>
      </c>
      <c r="I79" s="26" t="n">
        <v>6846905937</v>
      </c>
      <c r="J79" s="26" t="n">
        <v>1831035446</v>
      </c>
      <c r="K79" s="26" t="n">
        <v>957469217</v>
      </c>
      <c r="L79" s="26">
        <f>J79-K79</f>
        <v>873566229</v>
      </c>
      <c r="M79" s="26">
        <f>I79+L79</f>
        <v>7720472166</v>
      </c>
      <c r="N79" s="26" t="n">
        <v>2997996000</v>
      </c>
      <c r="O79" s="26" t="n">
        <v>6846914592</v>
      </c>
      <c r="P79" s="26">
        <f>MAX(0,N79-M79)</f>
        <v>0</v>
      </c>
      <c r="Q79" s="26">
        <f>MAX(0,M79-O79)</f>
        <v>873557574</v>
      </c>
      <c r="R79" t="inlineStr">
        <is>
          <t>bajo</t>
        </is>
      </c>
      <c r="S79" t="inlineStr">
        <is>
          <t>venta_efectivo</t>
        </is>
      </c>
      <c r="T79" t="inlineStr">
        <is>
          <t>salida</t>
        </is>
      </c>
      <c r="U79" s="26" t="n">
        <v>873560000</v>
      </c>
      <c r="V79" t="inlineStr">
        <is>
          <t>CALI|TRANSPORTADORA_001</t>
        </is>
      </c>
      <c r="X79" s="26">
        <f>IF(T79="entrada",M79+U79,IF(T79="salida",M79-U79,M79))</f>
        <v>6846912166</v>
      </c>
      <c r="Y79" s="26" t="n">
        <v>0</v>
      </c>
      <c r="Z79" t="inlineStr">
        <is>
          <t>Menor costo neto entre las alternativas que cubren la necesidad completa</t>
        </is>
      </c>
      <c r="AA79" t="inlineStr">
        <is>
          <t>SUP-08, SUP-10, SUP-23</t>
        </is>
      </c>
      <c r="AB79" t="inlineStr">
        <is>
          <t>Excedente de $873.557.574 en la denominacion 20000: saldo $7.720.472.166 sobre el maximo $6.846.914.592. Elegida: venta ($873.560.000; beneficio de referencia $349.424). Es preferible porque tiene el menor costo neto. Otras alternativas: traslado con CALI|TRANSPORTADORA_003 ($873.560.000; costo $0); conservar ($873.560.000; costo de almacenar $51.365); consignacion BanRep ($873.560.000; costo $341.549); traslado con PASTO|TRANSPORTADORA_001 ($141.840.000; costo $943.813, cubre solo una parte).</t>
        </is>
      </c>
      <c r="AC79" t="inlineStr">
        <is>
          <t>Cierre del dia anterior (saldo encadenado, RN-71)</t>
        </is>
      </c>
      <c r="AD79" t="inlineStr">
        <is>
          <t>estimada</t>
        </is>
      </c>
      <c r="AE79" t="inlineStr">
        <is>
          <t>Participacion historica por denominacion (SUP-09)</t>
        </is>
      </c>
    </row>
    <row r="80">
      <c r="A80" t="inlineStr">
        <is>
          <t>PRAGMA</t>
        </is>
      </c>
      <c r="B80" t="inlineStr">
        <is>
          <t>CALI|TRANSPORTADORA_001</t>
        </is>
      </c>
      <c r="C80" t="inlineStr">
        <is>
          <t>Cali</t>
        </is>
      </c>
      <c r="D80" t="inlineStr">
        <is>
          <t>TRANSPORTADORA_001</t>
        </is>
      </c>
      <c r="E80" s="23" t="n">
        <v>46265</v>
      </c>
      <c r="F80" s="23" t="n">
        <v>46276</v>
      </c>
      <c r="G80" t="inlineStr">
        <is>
          <t>Sí</t>
        </is>
      </c>
      <c r="H80" s="25" t="n">
        <v>20000</v>
      </c>
      <c r="I80" s="26" t="n">
        <v>6846912166</v>
      </c>
      <c r="J80" s="26" t="n">
        <v>1810368286</v>
      </c>
      <c r="K80" s="26" t="n">
        <v>1072312396</v>
      </c>
      <c r="L80" s="26">
        <f>J80-K80</f>
        <v>738055890</v>
      </c>
      <c r="M80" s="26">
        <f>I80+L80</f>
        <v>7584968056</v>
      </c>
      <c r="N80" s="26" t="n">
        <v>2997996000</v>
      </c>
      <c r="O80" s="26" t="n">
        <v>6846914592</v>
      </c>
      <c r="P80" s="26">
        <f>MAX(0,N80-M80)</f>
        <v>0</v>
      </c>
      <c r="Q80" s="26">
        <f>MAX(0,M80-O80)</f>
        <v>738053464</v>
      </c>
      <c r="R80" t="inlineStr">
        <is>
          <t>bajo</t>
        </is>
      </c>
      <c r="S80" t="inlineStr">
        <is>
          <t>venta_efectivo</t>
        </is>
      </c>
      <c r="T80" t="inlineStr">
        <is>
          <t>salida</t>
        </is>
      </c>
      <c r="U80" s="26" t="n">
        <v>738060000</v>
      </c>
      <c r="V80" t="inlineStr">
        <is>
          <t>CALI|TRANSPORTADORA_001</t>
        </is>
      </c>
      <c r="X80" s="26">
        <f>IF(T80="entrada",M80+U80,IF(T80="salida",M80-U80,M80))</f>
        <v>6846908056</v>
      </c>
      <c r="Y80" s="26" t="n">
        <v>0</v>
      </c>
      <c r="Z80" t="inlineStr">
        <is>
          <t>Menor costo neto entre las alternativas que cubren la necesidad completa</t>
        </is>
      </c>
      <c r="AA80" t="inlineStr">
        <is>
          <t>SUP-08, SUP-10, SUP-23</t>
        </is>
      </c>
      <c r="AB80" t="inlineStr">
        <is>
          <t>Excedente de $738.053.464 en la denominacion 20000: saldo $7.584.968.056 sobre el maximo $6.846.914.592. Elegida: venta ($738.060.000; beneficio de referencia $295.224). Es preferible porque tiene el menor costo neto. Otras alternativas: traslado con CALI|TRANSPORTADORA_003 ($738.060.000; costo $0); conservar ($738.060.000; costo de almacenar $36.165); consignacion BanRep ($738.060.000; costo $307.810).</t>
        </is>
      </c>
      <c r="AC80" t="inlineStr">
        <is>
          <t>Cierre del dia anterior (saldo encadenado, RN-71)</t>
        </is>
      </c>
      <c r="AD80" t="inlineStr">
        <is>
          <t>estimada</t>
        </is>
      </c>
      <c r="AE80" t="inlineStr">
        <is>
          <t>Participacion historica por denominacion (SUP-09)</t>
        </is>
      </c>
    </row>
    <row r="81">
      <c r="A81" t="inlineStr">
        <is>
          <t>PRAGMA</t>
        </is>
      </c>
      <c r="B81" t="inlineStr">
        <is>
          <t>CALI|TRANSPORTADORA_001</t>
        </is>
      </c>
      <c r="C81" t="inlineStr">
        <is>
          <t>Cali</t>
        </is>
      </c>
      <c r="D81" t="inlineStr">
        <is>
          <t>TRANSPORTADORA_001</t>
        </is>
      </c>
      <c r="E81" s="23" t="n">
        <v>46265</v>
      </c>
      <c r="F81" s="23" t="n">
        <v>46277</v>
      </c>
      <c r="G81" t="inlineStr">
        <is>
          <t>No</t>
        </is>
      </c>
      <c r="H81" s="25" t="n">
        <v>20000</v>
      </c>
      <c r="I81" s="26" t="n">
        <v>6846908056</v>
      </c>
      <c r="J81" s="26" t="n">
        <v>341494481</v>
      </c>
      <c r="K81" s="26" t="n">
        <v>891759283</v>
      </c>
      <c r="L81" s="26">
        <f>J81-K81</f>
        <v>-550264802</v>
      </c>
      <c r="M81" s="26">
        <f>I81+L81</f>
        <v>6296643254</v>
      </c>
      <c r="N81" s="26" t="n">
        <v>2997996000</v>
      </c>
      <c r="O81" s="26" t="n">
        <v>6846914592</v>
      </c>
      <c r="P81" s="26">
        <f>MAX(0,N81-M81)</f>
        <v>0</v>
      </c>
      <c r="Q81" s="26">
        <f>MAX(0,M81-O81)</f>
        <v>0</v>
      </c>
      <c r="R81" t="inlineStr">
        <is>
          <t>bajo</t>
        </is>
      </c>
      <c r="S81" t="inlineStr">
        <is>
          <t>traslado_fondos</t>
        </is>
      </c>
      <c r="T81" t="inlineStr">
        <is>
          <t>entrada</t>
        </is>
      </c>
      <c r="U81" s="26" t="n">
        <v>1120000</v>
      </c>
      <c r="V81" t="inlineStr">
        <is>
          <t>CALI|TRANSPORTADORA_004</t>
        </is>
      </c>
      <c r="W81" t="inlineStr">
        <is>
          <t>CALI|TRANSPORTADORA_001</t>
        </is>
      </c>
      <c r="X81" s="26">
        <f>IF(T81="entrada",M81+U81,IF(T81="salida",M81-U81,M81))</f>
        <v>6297763254</v>
      </c>
      <c r="Y81" s="26" t="n">
        <v>0</v>
      </c>
      <c r="Z81" t="inlineStr">
        <is>
          <t>Menor costo neto entre las alternativas que cubren la necesidad completa</t>
        </is>
      </c>
      <c r="AA81" t="inlineStr">
        <is>
          <t>SUP-08, SUP-10</t>
        </is>
      </c>
      <c r="AB81" t="inlineStr">
        <is>
          <t>Contraparte del traslado P00080 en la denominacion 20000: recibe $1.120.000 de CALI|TRANSPORTADORA_004. Saldo de esta fila: $6.296.643.255 antes y $6.297.763.255 despues (minimo $2.997.996.000, maximo $6.846.914.592). Necesidad que la origina, en CALI|TRANSPORTADORA_004: Excedente de $1.107.604 en la denominacion 20000: saldo $257.697.604 sobre el maximo $256.590.000. Elegida: traslado con CALI|TRANSPORTADORA_001 ($1.120.000; costo $0). Es preferible porque tiene el menor costo neto. Otras alternativas: traslado con CALI|TRANSPORTADORA_002 ($1.120.000; costo $0); traslado con CALI|TRANSPORTADORA_003 ($1.120.000; costo $0); conservar ($1.120.000; costo de almacenar $47); venta: dia no habil (sabado, domingo o festivo; RN-71A); consignacion BanRep: dia no habil (sabado, domingo o festivo; RN-71A); traslado hacia 1 fondo(s) con espacio: ruta sin tarifa en el Anexo E (prohibida).</t>
        </is>
      </c>
      <c r="AC81" t="inlineStr">
        <is>
          <t>Cierre del dia anterior (saldo encadenado, RN-71)</t>
        </is>
      </c>
      <c r="AD81" t="inlineStr">
        <is>
          <t>estimada</t>
        </is>
      </c>
      <c r="AE81" t="inlineStr">
        <is>
          <t>Participacion historica por denominacion (SUP-09)</t>
        </is>
      </c>
    </row>
    <row r="82">
      <c r="A82" t="inlineStr">
        <is>
          <t>PRAGMA</t>
        </is>
      </c>
      <c r="B82" t="inlineStr">
        <is>
          <t>CALI|TRANSPORTADORA_001</t>
        </is>
      </c>
      <c r="C82" t="inlineStr">
        <is>
          <t>Cali</t>
        </is>
      </c>
      <c r="D82" t="inlineStr">
        <is>
          <t>TRANSPORTADORA_001</t>
        </is>
      </c>
      <c r="E82" s="23" t="n">
        <v>46265</v>
      </c>
      <c r="F82" s="23" t="n">
        <v>46278</v>
      </c>
      <c r="G82" t="inlineStr">
        <is>
          <t>No</t>
        </is>
      </c>
      <c r="H82" s="25" t="n">
        <v>20000</v>
      </c>
      <c r="I82" s="26" t="n">
        <v>6297763255</v>
      </c>
      <c r="J82" s="26" t="n">
        <v>160095341</v>
      </c>
      <c r="K82" s="26" t="n">
        <v>422464423</v>
      </c>
      <c r="L82" s="26">
        <f>J82-K82</f>
        <v>-262369082</v>
      </c>
      <c r="M82" s="26">
        <f>I82+L82</f>
        <v>6035394173</v>
      </c>
      <c r="N82" s="26" t="n">
        <v>2997996000</v>
      </c>
      <c r="O82" s="26" t="n">
        <v>6846914592</v>
      </c>
      <c r="P82" s="26">
        <f>MAX(0,N82-M82)</f>
        <v>0</v>
      </c>
      <c r="Q82" s="26">
        <f>MAX(0,M82-O82)</f>
        <v>0</v>
      </c>
      <c r="R82" t="inlineStr">
        <is>
          <t>bajo</t>
        </is>
      </c>
      <c r="S82" t="inlineStr">
        <is>
          <t>traslado_fondos</t>
        </is>
      </c>
      <c r="T82" t="inlineStr">
        <is>
          <t>entrada</t>
        </is>
      </c>
      <c r="U82" s="26" t="n">
        <v>1040000</v>
      </c>
      <c r="V82" t="inlineStr">
        <is>
          <t>CALI|TRANSPORTADORA_004</t>
        </is>
      </c>
      <c r="W82" t="inlineStr">
        <is>
          <t>CALI|TRANSPORTADORA_001</t>
        </is>
      </c>
      <c r="X82" s="26">
        <f>IF(T82="entrada",M82+U82,IF(T82="salida",M82-U82,M82))</f>
        <v>6036434173</v>
      </c>
      <c r="Y82" s="26" t="n">
        <v>0</v>
      </c>
      <c r="Z82" t="inlineStr">
        <is>
          <t>Menor costo neto entre las alternativas que cubren la necesidad completa</t>
        </is>
      </c>
      <c r="AA82" t="inlineStr">
        <is>
          <t>SUP-08, SUP-10</t>
        </is>
      </c>
      <c r="AB82" t="inlineStr">
        <is>
          <t>Contraparte del traslado P00085 en la denominacion 20000: recibe $1.040.000 de CALI|TRANSPORTADORA_004. Saldo de esta fila: $6.035.394.172 antes y $6.036.434.172 despues (minimo $2.997.996.000, maximo $6.846.914.592). Necesidad que la origina, en CALI|TRANSPORTADORA_004: Excedente de $1.028.488 en la denominacion 20000: saldo $257.618.488 sobre el maximo $256.590.000. Elegida: traslado con CALI|TRANSPORTADORA_001 ($1.040.000; costo $0). Es preferible porque tiene el menor costo neto. Otras alternativas: traslado con CALI|TRANSPORTADORA_002 ($1.040.000; costo $0); traslado con CALI|TRANSPORTADORA_003 ($1.040.000; costo $0); conservar ($1.040.000; costo de almacenar $33); venta: dia no habil (sabado, domingo o festivo; RN-71A); consignacion BanRep: dia no habil (sabado, domingo o festivo; RN-71A); traslado hacia 1 fondo(s) con espacio: ruta sin tarifa en el Anexo E (prohibida).</t>
        </is>
      </c>
      <c r="AC82" t="inlineStr">
        <is>
          <t>Cierre del dia anterior (saldo encadenado, RN-71)</t>
        </is>
      </c>
      <c r="AD82" t="inlineStr">
        <is>
          <t>estimada</t>
        </is>
      </c>
      <c r="AE82" t="inlineStr">
        <is>
          <t>Participacion historica por denominacion (SUP-09)</t>
        </is>
      </c>
    </row>
    <row r="83">
      <c r="A83" t="inlineStr">
        <is>
          <t>PRAGMA</t>
        </is>
      </c>
      <c r="B83" t="inlineStr">
        <is>
          <t>CALI|TRANSPORTADORA_001</t>
        </is>
      </c>
      <c r="C83" t="inlineStr">
        <is>
          <t>Cali</t>
        </is>
      </c>
      <c r="D83" t="inlineStr">
        <is>
          <t>TRANSPORTADORA_001</t>
        </is>
      </c>
      <c r="E83" s="23" t="n">
        <v>46265</v>
      </c>
      <c r="F83" s="23" t="n">
        <v>46279</v>
      </c>
      <c r="G83" t="inlineStr">
        <is>
          <t>Sí</t>
        </is>
      </c>
      <c r="H83" s="25" t="n">
        <v>20000</v>
      </c>
      <c r="I83" s="26" t="n">
        <v>6036434172</v>
      </c>
      <c r="J83" s="26" t="n">
        <v>2452550233</v>
      </c>
      <c r="K83" s="26" t="n">
        <v>989900430</v>
      </c>
      <c r="L83" s="26">
        <f>J83-K83</f>
        <v>1462649803</v>
      </c>
      <c r="M83" s="26">
        <f>I83+L83</f>
        <v>7499083975</v>
      </c>
      <c r="N83" s="26" t="n">
        <v>2997996000</v>
      </c>
      <c r="O83" s="26" t="n">
        <v>6846914592</v>
      </c>
      <c r="P83" s="26">
        <f>MAX(0,N83-M83)</f>
        <v>0</v>
      </c>
      <c r="Q83" s="26">
        <f>MAX(0,M83-O83)</f>
        <v>652169383</v>
      </c>
      <c r="R83" t="inlineStr">
        <is>
          <t>bajo</t>
        </is>
      </c>
      <c r="S83" t="inlineStr">
        <is>
          <t>venta_efectivo</t>
        </is>
      </c>
      <c r="T83" t="inlineStr">
        <is>
          <t>salida</t>
        </is>
      </c>
      <c r="U83" s="26" t="n">
        <v>652180000</v>
      </c>
      <c r="V83" t="inlineStr">
        <is>
          <t>CALI|TRANSPORTADORA_001</t>
        </is>
      </c>
      <c r="X83" s="26">
        <f>IF(T83="entrada",M83+U83,IF(T83="salida",M83-U83,M83))</f>
        <v>6846903975</v>
      </c>
      <c r="Y83" s="26" t="n">
        <v>0</v>
      </c>
      <c r="Z83" t="inlineStr">
        <is>
          <t>Menor costo neto entre las alternativas que cubren la necesidad completa</t>
        </is>
      </c>
      <c r="AA83" t="inlineStr">
        <is>
          <t>SUP-08, SUP-10, SUP-23</t>
        </is>
      </c>
      <c r="AB83" t="inlineStr">
        <is>
          <t>Excedente de $652.169.383 en la denominacion 20000: saldo $7.499.083.975 sobre el maximo $6.846.914.592. Elegida: venta ($652.180.000; beneficio de referencia $260.872). Es preferible porque tiene el menor costo neto. Otras alternativas: traslado con CALI|TRANSPORTADORA_003 ($652.180.000; costo $0); conservar ($652.180.000; costo de almacenar $12.783); consignacion BanRep ($652.180.000; costo $286.426).</t>
        </is>
      </c>
      <c r="AC83" t="inlineStr">
        <is>
          <t>Cierre del dia anterior (saldo encadenado, RN-71)</t>
        </is>
      </c>
      <c r="AD83" t="inlineStr">
        <is>
          <t>estimada</t>
        </is>
      </c>
      <c r="AE83" t="inlineStr">
        <is>
          <t>Participacion historica por denominacion (SUP-09)</t>
        </is>
      </c>
    </row>
    <row r="84">
      <c r="A84" t="inlineStr">
        <is>
          <t>PRAGMA</t>
        </is>
      </c>
      <c r="B84" t="inlineStr">
        <is>
          <t>CALI|TRANSPORTADORA_001</t>
        </is>
      </c>
      <c r="C84" t="inlineStr">
        <is>
          <t>Cali</t>
        </is>
      </c>
      <c r="D84" t="inlineStr">
        <is>
          <t>TRANSPORTADORA_001</t>
        </is>
      </c>
      <c r="E84" s="23" t="n">
        <v>46265</v>
      </c>
      <c r="F84" s="23" t="n">
        <v>46280</v>
      </c>
      <c r="G84" t="inlineStr">
        <is>
          <t>Sí</t>
        </is>
      </c>
      <c r="H84" s="25" t="n">
        <v>20000</v>
      </c>
      <c r="I84" s="26" t="n">
        <v>6846903975</v>
      </c>
      <c r="J84" s="26" t="n">
        <v>1901893611</v>
      </c>
      <c r="K84" s="26" t="n">
        <v>1368924035</v>
      </c>
      <c r="L84" s="26">
        <f>J84-K84</f>
        <v>532969576</v>
      </c>
      <c r="M84" s="26">
        <f>I84+L84</f>
        <v>7379873551</v>
      </c>
      <c r="N84" s="26" t="n">
        <v>2997996000</v>
      </c>
      <c r="O84" s="26" t="n">
        <v>6846914592</v>
      </c>
      <c r="P84" s="26">
        <f>MAX(0,N84-M84)</f>
        <v>0</v>
      </c>
      <c r="Q84" s="26">
        <f>MAX(0,M84-O84)</f>
        <v>532958959</v>
      </c>
      <c r="R84" t="inlineStr">
        <is>
          <t>bajo</t>
        </is>
      </c>
      <c r="S84" t="inlineStr">
        <is>
          <t>venta_efectivo</t>
        </is>
      </c>
      <c r="T84" t="inlineStr">
        <is>
          <t>salida</t>
        </is>
      </c>
      <c r="U84" s="26" t="n">
        <v>532960000</v>
      </c>
      <c r="V84" t="inlineStr">
        <is>
          <t>CALI|TRANSPORTADORA_001</t>
        </is>
      </c>
      <c r="X84" s="26">
        <f>IF(T84="entrada",M84+U84,IF(T84="salida",M84-U84,M84))</f>
        <v>6846913551</v>
      </c>
      <c r="Y84" s="26" t="n">
        <v>0</v>
      </c>
      <c r="Z84" t="inlineStr">
        <is>
          <t>Menor costo neto entre las alternativas que cubren la necesidad completa</t>
        </is>
      </c>
      <c r="AA84" t="inlineStr">
        <is>
          <t>SUP-08, SUP-10, SUP-23</t>
        </is>
      </c>
      <c r="AB84" t="inlineStr">
        <is>
          <t>Excedente de $532.958.958 en la denominacion 20000: saldo $7.379.873.551 sobre el maximo $6.846.914.592. Elegida: venta ($532.960.000; beneficio de referencia $213.184). Es preferible porque tiene el menor costo neto. Otras alternativas: traslado con CALI|TRANSPORTADORA_003 ($532.960.000; costo $0); conservar ($532.960.000; costo de almacenar $5.223); consignacion BanRep ($532.960.000; costo $256.740).</t>
        </is>
      </c>
      <c r="AC84" t="inlineStr">
        <is>
          <t>Cierre del dia anterior (saldo encadenado, RN-71)</t>
        </is>
      </c>
      <c r="AD84" t="inlineStr">
        <is>
          <t>estimada</t>
        </is>
      </c>
      <c r="AE84" t="inlineStr">
        <is>
          <t>Participacion historica por denominacion (SUP-09)</t>
        </is>
      </c>
    </row>
    <row r="85">
      <c r="A85" t="inlineStr">
        <is>
          <t>PRAGMA</t>
        </is>
      </c>
      <c r="B85" t="inlineStr">
        <is>
          <t>CALI|TRANSPORTADORA_001</t>
        </is>
      </c>
      <c r="C85" t="inlineStr">
        <is>
          <t>Cali</t>
        </is>
      </c>
      <c r="D85" t="inlineStr">
        <is>
          <t>TRANSPORTADORA_001</t>
        </is>
      </c>
      <c r="E85" s="23" t="n">
        <v>46265</v>
      </c>
      <c r="F85" s="23" t="n">
        <v>46266</v>
      </c>
      <c r="G85" t="inlineStr">
        <is>
          <t>Sí</t>
        </is>
      </c>
      <c r="H85" s="25" t="n">
        <v>50000</v>
      </c>
      <c r="I85" s="26" t="n">
        <v>17976850000</v>
      </c>
      <c r="J85" s="26" t="n">
        <v>8068688079</v>
      </c>
      <c r="K85" s="26" t="n">
        <v>7379408736</v>
      </c>
      <c r="L85" s="26">
        <f>J85-K85</f>
        <v>689279343</v>
      </c>
      <c r="M85" s="26">
        <f>I85+L85</f>
        <v>18666129343</v>
      </c>
      <c r="N85" s="26" t="n">
        <v>13047830000</v>
      </c>
      <c r="O85" s="26" t="n">
        <v>29223230000</v>
      </c>
      <c r="P85" s="26">
        <f>MAX(0,N85-M85)</f>
        <v>0</v>
      </c>
      <c r="Q85" s="26">
        <f>MAX(0,M85-O85)</f>
        <v>0</v>
      </c>
      <c r="R85" t="inlineStr">
        <is>
          <t>bajo</t>
        </is>
      </c>
      <c r="S85" t="inlineStr">
        <is>
          <t>traslado_fondos</t>
        </is>
      </c>
      <c r="T85" t="inlineStr">
        <is>
          <t>entrada</t>
        </is>
      </c>
      <c r="U85" s="26" t="n">
        <v>168750000</v>
      </c>
      <c r="V85" t="inlineStr">
        <is>
          <t>CALI|TRANSPORTADORA_004</t>
        </is>
      </c>
      <c r="W85" t="inlineStr">
        <is>
          <t>CALI|TRANSPORTADORA_001</t>
        </is>
      </c>
      <c r="X85" s="26">
        <f>IF(T85="entrada",M85+U85,IF(T85="salida",M85-U85,M85))</f>
        <v>18834879343</v>
      </c>
      <c r="Y85" s="26" t="n">
        <v>0</v>
      </c>
      <c r="Z85" t="inlineStr">
        <is>
          <t>Menor costo neto entre las alternativas que cubren la necesidad completa</t>
        </is>
      </c>
      <c r="AA85" t="inlineStr">
        <is>
          <t>SUP-08, SUP-10</t>
        </is>
      </c>
      <c r="AB85" t="inlineStr">
        <is>
          <t>Contraparte del traslado P00005 en la denominacion 50000: recibe $168.750.000 de CALI|TRANSPORTADORA_004. Saldo de esta fila: $18.666.129.343 antes y $18.834.879.343 despues (minimo $13.047.830.000, maximo $29.223.230.000). Necesidad que la origina, en CALI|TRANSPORTADORA_004: Excedente de $168.742.652 en la denominacion 50000: saldo $2.046.942.652 sobre el maximo $1.878.200.000. Elegida: traslado con CALI|TRANSPORTADORA_001 ($168.750.000; costo $0). Es preferible porque tiene el menor costo neto. Otras alternativas: traslado con CALI|TRANSPORTADORA_002 ($168.750.000; costo $0); traslado con CALI|TRANSPORTADORA_003 ($168.750.000; costo $0); conservar ($168.750.000; costo de almacenar $26.603); consignacion BanRep ($168.750.000; costo $166.833); venta: no habilitada en este fondo (sin historico o fuera de las ciudades BanRep); traslado hacia 2 fondo(s) con espacio: ruta sin tarifa en el Anexo E (prohibida).</t>
        </is>
      </c>
      <c r="AC85" t="inlineStr">
        <is>
          <t>Ultimo disponible al 31/08/2026 (SUP-07)</t>
        </is>
      </c>
      <c r="AD85" t="inlineStr">
        <is>
          <t>estimada</t>
        </is>
      </c>
      <c r="AE85" t="inlineStr">
        <is>
          <t>Participacion historica por denominacion (SUP-09)</t>
        </is>
      </c>
    </row>
    <row r="86">
      <c r="A86" t="inlineStr">
        <is>
          <t>PRAGMA</t>
        </is>
      </c>
      <c r="B86" t="inlineStr">
        <is>
          <t>CALI|TRANSPORTADORA_001</t>
        </is>
      </c>
      <c r="C86" t="inlineStr">
        <is>
          <t>Cali</t>
        </is>
      </c>
      <c r="D86" t="inlineStr">
        <is>
          <t>TRANSPORTADORA_001</t>
        </is>
      </c>
      <c r="E86" s="23" t="n">
        <v>46265</v>
      </c>
      <c r="F86" s="23" t="n">
        <v>46267</v>
      </c>
      <c r="G86" t="inlineStr">
        <is>
          <t>Sí</t>
        </is>
      </c>
      <c r="H86" s="25" t="n">
        <v>50000</v>
      </c>
      <c r="I86" s="26" t="n">
        <v>18834879343</v>
      </c>
      <c r="J86" s="26" t="n">
        <v>7558460573</v>
      </c>
      <c r="K86" s="26" t="n">
        <v>5962249371</v>
      </c>
      <c r="L86" s="26">
        <f>J86-K86</f>
        <v>1596211202</v>
      </c>
      <c r="M86" s="26">
        <f>I86+L86</f>
        <v>20431090545</v>
      </c>
      <c r="N86" s="26" t="n">
        <v>13047830000</v>
      </c>
      <c r="O86" s="26" t="n">
        <v>29223230000</v>
      </c>
      <c r="P86" s="26">
        <f>MAX(0,N86-M86)</f>
        <v>0</v>
      </c>
      <c r="Q86" s="26">
        <f>MAX(0,M86-O86)</f>
        <v>0</v>
      </c>
      <c r="R86" t="inlineStr">
        <is>
          <t>bajo</t>
        </is>
      </c>
      <c r="S86" t="inlineStr">
        <is>
          <t>traslado_fondos</t>
        </is>
      </c>
      <c r="T86" t="inlineStr">
        <is>
          <t>entrada</t>
        </is>
      </c>
      <c r="U86" s="26" t="n">
        <v>52100000</v>
      </c>
      <c r="V86" t="inlineStr">
        <is>
          <t>CALI|TRANSPORTADORA_004</t>
        </is>
      </c>
      <c r="W86" t="inlineStr">
        <is>
          <t>CALI|TRANSPORTADORA_001</t>
        </is>
      </c>
      <c r="X86" s="26">
        <f>IF(T86="entrada",M86+U86,IF(T86="salida",M86-U86,M86))</f>
        <v>20483190545</v>
      </c>
      <c r="Y86" s="26" t="n">
        <v>0</v>
      </c>
      <c r="Z86" t="inlineStr">
        <is>
          <t>Menor costo neto entre las alternativas que cubren la necesidad completa</t>
        </is>
      </c>
      <c r="AA86" t="inlineStr">
        <is>
          <t>SUP-08, SUP-10</t>
        </is>
      </c>
      <c r="AB86" t="inlineStr">
        <is>
          <t>Contraparte del traslado P00013 en la denominacion 50000: recibe $52.100.000 de CALI|TRANSPORTADORA_004. Saldo de esta fila: $20.431.090.545 antes y $20.483.190.545 despues (minimo $13.047.830.000, maximo $29.223.230.000). Necesidad que la origina, en CALI|TRANSPORTADORA_004: Excedente de $52.052.859 en la denominacion 50000: saldo $1.930.252.859 sobre el maximo $1.878.200.000. Elegida: traslado con CALI|TRANSPORTADORA_001 ($52.100.000; costo $0). Es preferible porque tiene el menor costo neto. Otras alternativas: traslado con CALI|TRANSPORTADORA_002 ($52.100.000; costo $0); traslado con CALI|TRANSPORTADORA_003 ($52.100.000; costo $0); conservar ($52.100.000; costo de almacenar $7.666); consignacion BanRep ($52.100.000; costo $134.987); venta: no habilitada en este fondo (sin historico o fuera de las ciudades BanRep); traslado hacia 1 fondo(s) con espacio: ruta sin tarifa en el Anexo E (prohibida).</t>
        </is>
      </c>
      <c r="AC86" t="inlineStr">
        <is>
          <t>Cierre del dia anterior (saldo encadenado, RN-71)</t>
        </is>
      </c>
      <c r="AD86" t="inlineStr">
        <is>
          <t>estimada</t>
        </is>
      </c>
      <c r="AE86" t="inlineStr">
        <is>
          <t>Participacion historica por denominacion (SUP-09)</t>
        </is>
      </c>
    </row>
    <row r="87">
      <c r="A87" t="inlineStr">
        <is>
          <t>PRAGMA</t>
        </is>
      </c>
      <c r="B87" t="inlineStr">
        <is>
          <t>CALI|TRANSPORTADORA_001</t>
        </is>
      </c>
      <c r="C87" t="inlineStr">
        <is>
          <t>Cali</t>
        </is>
      </c>
      <c r="D87" t="inlineStr">
        <is>
          <t>TRANSPORTADORA_001</t>
        </is>
      </c>
      <c r="E87" s="23" t="n">
        <v>46265</v>
      </c>
      <c r="F87" s="23" t="n">
        <v>46268</v>
      </c>
      <c r="G87" t="inlineStr">
        <is>
          <t>Sí</t>
        </is>
      </c>
      <c r="H87" s="25" t="n">
        <v>50000</v>
      </c>
      <c r="I87" s="26" t="n">
        <v>20483190545</v>
      </c>
      <c r="J87" s="26" t="n">
        <v>9340541676</v>
      </c>
      <c r="K87" s="26" t="n">
        <v>5220592374</v>
      </c>
      <c r="L87" s="26">
        <f>J87-K87</f>
        <v>4119949302</v>
      </c>
      <c r="M87" s="26">
        <f>I87+L87</f>
        <v>24603139847</v>
      </c>
      <c r="N87" s="26" t="n">
        <v>13047830000</v>
      </c>
      <c r="O87" s="26" t="n">
        <v>29223230000</v>
      </c>
      <c r="P87" s="26">
        <f>MAX(0,N87-M87)</f>
        <v>0</v>
      </c>
      <c r="Q87" s="26">
        <f>MAX(0,M87-O87)</f>
        <v>0</v>
      </c>
      <c r="R87" t="inlineStr">
        <is>
          <t>bajo</t>
        </is>
      </c>
      <c r="S87" t="inlineStr">
        <is>
          <t>traslado_fondos</t>
        </is>
      </c>
      <c r="T87" t="inlineStr">
        <is>
          <t>entrada</t>
        </is>
      </c>
      <c r="U87" s="26" t="n">
        <v>63450000</v>
      </c>
      <c r="V87" t="inlineStr">
        <is>
          <t>CALI|TRANSPORTADORA_004</t>
        </is>
      </c>
      <c r="W87" t="inlineStr">
        <is>
          <t>CALI|TRANSPORTADORA_001</t>
        </is>
      </c>
      <c r="X87" s="26">
        <f>IF(T87="entrada",M87+U87,IF(T87="salida",M87-U87,M87))</f>
        <v>24666589847</v>
      </c>
      <c r="Y87" s="26" t="n">
        <v>0</v>
      </c>
      <c r="Z87" t="inlineStr">
        <is>
          <t>Menor costo neto entre las alternativas que cubren la necesidad completa</t>
        </is>
      </c>
      <c r="AA87" t="inlineStr">
        <is>
          <t>SUP-08, SUP-10</t>
        </is>
      </c>
      <c r="AB87" t="inlineStr">
        <is>
          <t>Contraparte del traslado P00017 en la denominacion 50000: recibe $63.450.000 de CALI|TRANSPORTADORA_004. Saldo de esta fila: $24.603.139.847 antes y $24.666.589.847 despues (minimo $13.047.830.000, maximo $29.223.230.000). Necesidad que la origina, en CALI|TRANSPORTADORA_004: Excedente de $63.411.262 en la denominacion 50000: saldo $1.941.611.262 sobre el maximo $1.878.200.000. Elegida: traslado con CALI|TRANSPORTADORA_001 ($63.450.000; costo $0). Es preferible porque tiene el menor costo neto. Otras alternativas: traslado con CALI|TRANSPORTADORA_002 ($63.450.000; costo $0); traslado con CALI|TRANSPORTADORA_003 ($63.450.000; costo $0); conservar ($63.450.000; costo de almacenar $8.669); consignacion BanRep ($63.450.000; costo $138.086); venta: no habilitada en este fondo (sin historico o fuera de las ciudades BanRep); traslado hacia 1 fondo(s) con espacio: ruta sin tarifa en el Anexo E (prohibida).</t>
        </is>
      </c>
      <c r="AC87" t="inlineStr">
        <is>
          <t>Cierre del dia anterior (saldo encadenado, RN-71)</t>
        </is>
      </c>
      <c r="AD87" t="inlineStr">
        <is>
          <t>estimada</t>
        </is>
      </c>
      <c r="AE87" t="inlineStr">
        <is>
          <t>Participacion historica por denominacion (SUP-09)</t>
        </is>
      </c>
    </row>
    <row r="88">
      <c r="A88" t="inlineStr">
        <is>
          <t>PRAGMA</t>
        </is>
      </c>
      <c r="B88" t="inlineStr">
        <is>
          <t>CALI|TRANSPORTADORA_001</t>
        </is>
      </c>
      <c r="C88" t="inlineStr">
        <is>
          <t>Cali</t>
        </is>
      </c>
      <c r="D88" t="inlineStr">
        <is>
          <t>TRANSPORTADORA_001</t>
        </is>
      </c>
      <c r="E88" s="23" t="n">
        <v>46265</v>
      </c>
      <c r="F88" s="23" t="n">
        <v>46269</v>
      </c>
      <c r="G88" t="inlineStr">
        <is>
          <t>Sí</t>
        </is>
      </c>
      <c r="H88" s="25" t="n">
        <v>50000</v>
      </c>
      <c r="I88" s="26" t="n">
        <v>24666589847</v>
      </c>
      <c r="J88" s="26" t="n">
        <v>8762376262</v>
      </c>
      <c r="K88" s="26" t="n">
        <v>5796780847</v>
      </c>
      <c r="L88" s="26">
        <f>J88-K88</f>
        <v>2965595415</v>
      </c>
      <c r="M88" s="26">
        <f>I88+L88</f>
        <v>27632185262</v>
      </c>
      <c r="N88" s="26" t="n">
        <v>13047830000</v>
      </c>
      <c r="O88" s="26" t="n">
        <v>29223230000</v>
      </c>
      <c r="P88" s="26">
        <f>MAX(0,N88-M88)</f>
        <v>0</v>
      </c>
      <c r="Q88" s="26">
        <f>MAX(0,M88-O88)</f>
        <v>0</v>
      </c>
      <c r="R88" t="inlineStr">
        <is>
          <t>bajo</t>
        </is>
      </c>
      <c r="S88" t="inlineStr">
        <is>
          <t>traslado_fondos</t>
        </is>
      </c>
      <c r="T88" t="inlineStr">
        <is>
          <t>entrada</t>
        </is>
      </c>
      <c r="U88" s="26" t="n">
        <v>76600000</v>
      </c>
      <c r="V88" t="inlineStr">
        <is>
          <t>CALI|TRANSPORTADORA_004</t>
        </is>
      </c>
      <c r="W88" t="inlineStr">
        <is>
          <t>CALI|TRANSPORTADORA_001</t>
        </is>
      </c>
      <c r="X88" s="26">
        <f>IF(T88="entrada",M88+U88,IF(T88="salida",M88-U88,M88))</f>
        <v>27708785262</v>
      </c>
      <c r="Y88" s="26" t="n">
        <v>0</v>
      </c>
      <c r="Z88" t="inlineStr">
        <is>
          <t>Menor costo neto entre las alternativas que cubren la necesidad completa</t>
        </is>
      </c>
      <c r="AA88" t="inlineStr">
        <is>
          <t>SUP-08, SUP-10</t>
        </is>
      </c>
      <c r="AB88" t="inlineStr">
        <is>
          <t>Contraparte del traslado P00025 en la denominacion 50000: recibe $76.600.000 de CALI|TRANSPORTADORA_004. Saldo de esta fila: $27.632.185.262 antes y $27.708.785.262 despues (minimo $13.047.830.000, maximo $29.223.230.000). Necesidad que la origina, en CALI|TRANSPORTADORA_004: Excedente de $76.595.725 en la denominacion 50000: saldo $1.954.795.725 sobre el maximo $1.878.200.000. Elegida: traslado con CALI|TRANSPORTADORA_001 ($76.600.000; costo $0). Es preferible porque tiene el menor costo neto. Otras alternativas: traslado con CALI|TRANSPORTADORA_002 ($76.600.000; costo $0); traslado con CALI|TRANSPORTADORA_003 ($76.600.000; costo $0); conservar ($76.600.000; costo de almacenar $9.661); consignacion BanRep ($76.600.000; costo $141.676); venta: no habilitada en este fondo (sin historico o fuera de las ciudades BanRep); traslado hacia 1 fondo(s) con espacio: ruta sin tarifa en el Anexo E (prohibida).</t>
        </is>
      </c>
      <c r="AC88" t="inlineStr">
        <is>
          <t>Cierre del dia anterior (saldo encadenado, RN-71)</t>
        </is>
      </c>
      <c r="AD88" t="inlineStr">
        <is>
          <t>estimada</t>
        </is>
      </c>
      <c r="AE88" t="inlineStr">
        <is>
          <t>Participacion historica por denominacion (SUP-09)</t>
        </is>
      </c>
    </row>
    <row r="89">
      <c r="A89" t="inlineStr">
        <is>
          <t>PRAGMA</t>
        </is>
      </c>
      <c r="B89" t="inlineStr">
        <is>
          <t>CALI|TRANSPORTADORA_001</t>
        </is>
      </c>
      <c r="C89" t="inlineStr">
        <is>
          <t>Cali</t>
        </is>
      </c>
      <c r="D89" t="inlineStr">
        <is>
          <t>TRANSPORTADORA_001</t>
        </is>
      </c>
      <c r="E89" s="23" t="n">
        <v>46265</v>
      </c>
      <c r="F89" s="23" t="n">
        <v>46270</v>
      </c>
      <c r="G89" t="inlineStr">
        <is>
          <t>No</t>
        </is>
      </c>
      <c r="H89" s="25" t="n">
        <v>50000</v>
      </c>
      <c r="I89" s="26" t="n">
        <v>27708785262</v>
      </c>
      <c r="J89" s="26" t="n">
        <v>1555627116</v>
      </c>
      <c r="K89" s="26" t="n">
        <v>4781000435</v>
      </c>
      <c r="L89" s="26">
        <f>J89-K89</f>
        <v>-3225373319</v>
      </c>
      <c r="M89" s="26">
        <f>I89+L89</f>
        <v>24483411943</v>
      </c>
      <c r="N89" s="26" t="n">
        <v>13047830000</v>
      </c>
      <c r="O89" s="26" t="n">
        <v>29223230000</v>
      </c>
      <c r="P89" s="26">
        <f>MAX(0,N89-M89)</f>
        <v>0</v>
      </c>
      <c r="Q89" s="26">
        <f>MAX(0,M89-O89)</f>
        <v>0</v>
      </c>
      <c r="R89" t="inlineStr">
        <is>
          <t>bajo</t>
        </is>
      </c>
      <c r="S89" t="inlineStr">
        <is>
          <t>traslado_fondos</t>
        </is>
      </c>
      <c r="T89" t="inlineStr">
        <is>
          <t>entrada</t>
        </is>
      </c>
      <c r="U89" s="26" t="n">
        <v>16200000</v>
      </c>
      <c r="V89" t="inlineStr">
        <is>
          <t>CALI|TRANSPORTADORA_004</t>
        </is>
      </c>
      <c r="W89" t="inlineStr">
        <is>
          <t>CALI|TRANSPORTADORA_001</t>
        </is>
      </c>
      <c r="X89" s="26">
        <f>IF(T89="entrada",M89+U89,IF(T89="salida",M89-U89,M89))</f>
        <v>24499611943</v>
      </c>
      <c r="Y89" s="26" t="n">
        <v>0</v>
      </c>
      <c r="Z89" t="inlineStr">
        <is>
          <t>Menor costo neto entre las alternativas que cubren la necesidad completa</t>
        </is>
      </c>
      <c r="AA89" t="inlineStr">
        <is>
          <t>SUP-08, SUP-10</t>
        </is>
      </c>
      <c r="AB89" t="inlineStr">
        <is>
          <t>Contraparte del traslado P00034 en la denominacion 50000: recibe $16.200.000 de CALI|TRANSPORTADORA_004. Saldo de esta fila: $24.483.411.942 antes y $24.499.611.942 despues (minimo $13.047.830.000, maximo $29.223.230.000). Necesidad que la origina, en CALI|TRANSPORTADORA_004: Excedente de $16.184.468 en la denominacion 50000: saldo $1.894.384.468 sobre el maximo $1.878.200.000. Elegida: traslado con CALI|TRANSPORTADORA_001 ($16.200.000; costo $0). Es preferible porque tiene el menor costo neto. Otras alternativas: traslado con CALI|TRANSPORTADORA_002 ($16.200.000; costo $0); traslado con CALI|TRANSPORTADORA_003 ($16.200.000; costo $0); conservar ($16.200.000; costo de almacenar $1.873); venta: dia no habil (sabado, domingo o festivo; RN-71A); consignacion BanRep: dia no habil (sabado, domingo o festivo; RN-71A); traslado hacia 1 fondo(s) con espacio: ruta sin tarifa en el Anexo E (prohibida).</t>
        </is>
      </c>
      <c r="AC89" t="inlineStr">
        <is>
          <t>Cierre del dia anterior (saldo encadenado, RN-71)</t>
        </is>
      </c>
      <c r="AD89" t="inlineStr">
        <is>
          <t>estimada</t>
        </is>
      </c>
      <c r="AE89" t="inlineStr">
        <is>
          <t>Participacion historica por denominacion (SUP-09)</t>
        </is>
      </c>
    </row>
    <row r="90">
      <c r="A90" t="inlineStr">
        <is>
          <t>PRAGMA</t>
        </is>
      </c>
      <c r="B90" t="inlineStr">
        <is>
          <t>CALI|TRANSPORTADORA_001</t>
        </is>
      </c>
      <c r="C90" t="inlineStr">
        <is>
          <t>Cali</t>
        </is>
      </c>
      <c r="D90" t="inlineStr">
        <is>
          <t>TRANSPORTADORA_001</t>
        </is>
      </c>
      <c r="E90" s="23" t="n">
        <v>46265</v>
      </c>
      <c r="F90" s="23" t="n">
        <v>46271</v>
      </c>
      <c r="G90" t="inlineStr">
        <is>
          <t>No</t>
        </is>
      </c>
      <c r="H90" s="25" t="n">
        <v>50000</v>
      </c>
      <c r="I90" s="26" t="n">
        <v>24499611942</v>
      </c>
      <c r="J90" s="26" t="n">
        <v>829725621</v>
      </c>
      <c r="K90" s="26" t="n">
        <v>2335892994</v>
      </c>
      <c r="L90" s="26">
        <f>J90-K90</f>
        <v>-1506167373</v>
      </c>
      <c r="M90" s="26">
        <f>I90+L90</f>
        <v>22993444569</v>
      </c>
      <c r="N90" s="26" t="n">
        <v>13047830000</v>
      </c>
      <c r="O90" s="26" t="n">
        <v>29223230000</v>
      </c>
      <c r="P90" s="26">
        <f>MAX(0,N90-M90)</f>
        <v>0</v>
      </c>
      <c r="Q90" s="26">
        <f>MAX(0,M90-O90)</f>
        <v>0</v>
      </c>
      <c r="R90" t="inlineStr">
        <is>
          <t>bajo</t>
        </is>
      </c>
      <c r="S90" t="inlineStr">
        <is>
          <t>traslado_fondos</t>
        </is>
      </c>
      <c r="T90" t="inlineStr">
        <is>
          <t>salida</t>
        </is>
      </c>
      <c r="U90" s="26" t="n">
        <v>269400000</v>
      </c>
      <c r="V90" t="inlineStr">
        <is>
          <t>CALI|TRANSPORTADORA_001</t>
        </is>
      </c>
      <c r="W90" t="inlineStr">
        <is>
          <t>CALI|TRANSPORTADORA_003</t>
        </is>
      </c>
      <c r="X90" s="26">
        <f>IF(T90="entrada",M90+U90,IF(T90="salida",M90-U90,M90))</f>
        <v>22724044569</v>
      </c>
      <c r="Y90" s="26" t="n">
        <v>0</v>
      </c>
      <c r="Z90" t="inlineStr">
        <is>
          <t>Menor costo neto entre las alternativas que cubren la necesidad completa</t>
        </is>
      </c>
      <c r="AA90" t="inlineStr">
        <is>
          <t>SUP-08, SUP-10</t>
        </is>
      </c>
      <c r="AB90" t="inlineStr">
        <is>
          <t>Contraparte del traslado P00040 en la denominacion 50000: entrega $269.400.000 a CALI|TRANSPORTADORA_003. Saldo de esta fila: $22.993.444.568 antes y $22.724.044.568 despues (minimo $13.047.830.000, maximo $29.223.230.000). Necesidad que la origina, en CALI|TRANSPORTADORA_003: Faltante de $269.353.310 en la denominacion 50000: saldo $9.470.646.690 bajo el minimo $9.740.000.000. Elegida: traslado con CALI|TRANSPORTADORA_001 ($269.400.000; costo $0). Es preferible porque tiene el menor costo neto. Otras alternativas: traslado con CALI|TRANSPORTADORA_002 ($269.400.000; costo $0); traslado con CALI|TRANSPORTADORA_004 ($269.400.000; costo $0); traslado con IPIALES|TRANSPORTADORA_002 ($269.400.000; costo $397.396); traslado con PASTO|TRANSPORTADORA_001 ($190.500.000; costo $990.380, cubre solo una parte); retiro BanRep: dia no habil (sabado, domingo o festivo; RN-71A); cambio de denominacion: dia no habil (sabado, domingo o festivo; RN-71A).</t>
        </is>
      </c>
      <c r="AC90" t="inlineStr">
        <is>
          <t>Cierre del dia anterior (saldo encadenado, RN-71)</t>
        </is>
      </c>
      <c r="AD90" t="inlineStr">
        <is>
          <t>estimada</t>
        </is>
      </c>
      <c r="AE90" t="inlineStr">
        <is>
          <t>Participacion historica por denominacion (SUP-09)</t>
        </is>
      </c>
    </row>
    <row r="91">
      <c r="A91" t="inlineStr">
        <is>
          <t>PRAGMA</t>
        </is>
      </c>
      <c r="B91" t="inlineStr">
        <is>
          <t>CALI|TRANSPORTADORA_001</t>
        </is>
      </c>
      <c r="C91" t="inlineStr">
        <is>
          <t>Cali</t>
        </is>
      </c>
      <c r="D91" t="inlineStr">
        <is>
          <t>TRANSPORTADORA_001</t>
        </is>
      </c>
      <c r="E91" s="23" t="n">
        <v>46265</v>
      </c>
      <c r="F91" s="23" t="n">
        <v>46271</v>
      </c>
      <c r="G91" t="inlineStr">
        <is>
          <t>No</t>
        </is>
      </c>
      <c r="H91" s="25" t="n">
        <v>50000</v>
      </c>
      <c r="I91" s="26" t="n">
        <v>22724044568</v>
      </c>
      <c r="J91" s="26" t="n">
        <v>0</v>
      </c>
      <c r="K91" s="26" t="n">
        <v>0</v>
      </c>
      <c r="L91" s="26">
        <f>J91-K91</f>
        <v>0</v>
      </c>
      <c r="M91" s="26">
        <f>I91+L91</f>
        <v>22724044568</v>
      </c>
      <c r="N91" s="26" t="n">
        <v>13047830000</v>
      </c>
      <c r="O91" s="26" t="n">
        <v>29223230000</v>
      </c>
      <c r="P91" s="26">
        <f>MAX(0,N91-M91)</f>
        <v>0</v>
      </c>
      <c r="Q91" s="26">
        <f>MAX(0,M91-O91)</f>
        <v>0</v>
      </c>
      <c r="R91" t="inlineStr">
        <is>
          <t>bajo</t>
        </is>
      </c>
      <c r="S91" t="inlineStr">
        <is>
          <t>traslado_fondos</t>
        </is>
      </c>
      <c r="T91" t="inlineStr">
        <is>
          <t>entrada</t>
        </is>
      </c>
      <c r="U91" s="26" t="n">
        <v>24850000</v>
      </c>
      <c r="V91" t="inlineStr">
        <is>
          <t>CALI|TRANSPORTADORA_004</t>
        </is>
      </c>
      <c r="W91" t="inlineStr">
        <is>
          <t>CALI|TRANSPORTADORA_001</t>
        </is>
      </c>
      <c r="X91" s="26">
        <f>IF(T91="entrada",M91+U91,IF(T91="salida",M91-U91,M91))</f>
        <v>22748894568</v>
      </c>
      <c r="Y91" s="26" t="n">
        <v>0</v>
      </c>
      <c r="Z91" t="inlineStr">
        <is>
          <t>Menor costo neto entre las alternativas que cubren la necesidad completa</t>
        </is>
      </c>
      <c r="AA91" t="inlineStr">
        <is>
          <t>SUP-08, SUP-10</t>
        </is>
      </c>
      <c r="AB91" t="inlineStr">
        <is>
          <t>Contraparte del traslado P00044 en la denominacion 50000: recibe $24.850.000 de CALI|TRANSPORTADORA_004. Saldo de esta fila: $22.724.044.568 antes y $22.748.894.568 despues (minimo $13.047.830.000, maximo $29.223.230.000). Necesidad que la origina, en CALI|TRANSPORTADORA_004: Excedente de $24.822.898 en la denominacion 50000: saldo $1.903.022.898 sobre el maximo $1.878.200.000. Elegida: traslado con CALI|TRANSPORTADORA_001 ($24.850.000; costo $0). Es preferible porque tiene el menor costo neto. Otras alternativas: traslado con CALI|TRANSPORTADORA_002 ($24.850.000; costo $0); traslado con CALI|TRANSPORTADORA_003 ($24.850.000; costo $0); conservar ($24.850.000; costo de almacenar $2.612); venta: dia no habil (sabado, domingo o festivo; RN-71A); consignacion BanRep: dia no habil (sabado, domingo o festivo; RN-71A); traslado hacia 1 fondo(s) con espacio: ruta sin tarifa en el Anexo E (prohibida).</t>
        </is>
      </c>
      <c r="AC91" t="inlineStr">
        <is>
          <t>Cierre del dia anterior (saldo encadenado, RN-71)</t>
        </is>
      </c>
      <c r="AD91" t="inlineStr">
        <is>
          <t>estimada</t>
        </is>
      </c>
      <c r="AE91" t="inlineStr">
        <is>
          <t>Participacion historica por denominacion (SUP-09)</t>
        </is>
      </c>
    </row>
    <row r="92">
      <c r="A92" t="inlineStr">
        <is>
          <t>PRAGMA</t>
        </is>
      </c>
      <c r="B92" t="inlineStr">
        <is>
          <t>CALI|TRANSPORTADORA_001</t>
        </is>
      </c>
      <c r="C92" t="inlineStr">
        <is>
          <t>Cali</t>
        </is>
      </c>
      <c r="D92" t="inlineStr">
        <is>
          <t>TRANSPORTADORA_001</t>
        </is>
      </c>
      <c r="E92" s="23" t="n">
        <v>46265</v>
      </c>
      <c r="F92" s="23" t="n">
        <v>46272</v>
      </c>
      <c r="G92" t="inlineStr">
        <is>
          <t>Sí</t>
        </is>
      </c>
      <c r="H92" s="25" t="n">
        <v>50000</v>
      </c>
      <c r="I92" s="26" t="n">
        <v>22748894568</v>
      </c>
      <c r="J92" s="26" t="n">
        <v>12170461211</v>
      </c>
      <c r="K92" s="26" t="n">
        <v>4386887944</v>
      </c>
      <c r="L92" s="26">
        <f>J92-K92</f>
        <v>7783573267</v>
      </c>
      <c r="M92" s="26">
        <f>I92+L92</f>
        <v>30532467835</v>
      </c>
      <c r="N92" s="26" t="n">
        <v>13047830000</v>
      </c>
      <c r="O92" s="26" t="n">
        <v>29223230000</v>
      </c>
      <c r="P92" s="26">
        <f>MAX(0,N92-M92)</f>
        <v>0</v>
      </c>
      <c r="Q92" s="26">
        <f>MAX(0,M92-O92)</f>
        <v>1309237835</v>
      </c>
      <c r="R92" t="inlineStr">
        <is>
          <t>bajo</t>
        </is>
      </c>
      <c r="S92" t="inlineStr">
        <is>
          <t>traslado_fondos</t>
        </is>
      </c>
      <c r="T92" t="inlineStr">
        <is>
          <t>salida</t>
        </is>
      </c>
      <c r="U92" s="26" t="n">
        <v>41400000</v>
      </c>
      <c r="V92" t="inlineStr">
        <is>
          <t>CALI|TRANSPORTADORA_001</t>
        </is>
      </c>
      <c r="W92" t="inlineStr">
        <is>
          <t>CALI|TRANSPORTADORA_003</t>
        </is>
      </c>
      <c r="X92" s="26">
        <f>IF(T92="entrada",M92+U92,IF(T92="salida",M92-U92,M92))</f>
        <v>30491067835</v>
      </c>
      <c r="Y92" s="26" t="n">
        <v>0</v>
      </c>
      <c r="Z92" t="inlineStr">
        <is>
          <t>Menor costo neto entre las alternativas que cubren la necesidad completa</t>
        </is>
      </c>
      <c r="AA92" t="inlineStr">
        <is>
          <t>SUP-08, SUP-10</t>
        </is>
      </c>
      <c r="AB92" t="inlineStr">
        <is>
          <t>Contraparte del traslado P00049 en la denominacion 50000: entrega $41.400.000 a CALI|TRANSPORTADORA_003. Saldo de esta fila: $30.532.467.835 antes y $30.491.067.835 despues (minimo $13.047.830.000, maximo $29.223.230.000). Necesidad que la origina, en CALI|TRANSPORTADORA_003: Faltante de $41.394.224 en la denominacion 50000: saldo $9.698.605.776 bajo el minimo $9.740.000.000. Elegida: traslado con CALI|TRANSPORTADORA_001 ($41.400.000; costo $0). Es preferible porque tiene el menor costo neto. Otras alternativas: traslado con CALI|TRANSPORTADORA_002 ($41.400.000; costo $0); traslado con CALI|TRANSPORTADORA_004 ($41.400.000; costo $0); retiro BanRep ($41.400.000; costo $143.834); traslado con IPIALES|TRANSPORTADORA_002 ($41.400.000; costo $198.580); traslado con PASTO|TRANSPORTADORA_001 ($41.400.000; costo $847.692); cambio de denominacion: ninguna otra denominacion del fondo supera su maximo.</t>
        </is>
      </c>
      <c r="AC92" t="inlineStr">
        <is>
          <t>Cierre del dia anterior (saldo encadenado, RN-71)</t>
        </is>
      </c>
      <c r="AD92" t="inlineStr">
        <is>
          <t>estimada</t>
        </is>
      </c>
      <c r="AE92" t="inlineStr">
        <is>
          <t>Participacion historica por denominacion (SUP-09)</t>
        </is>
      </c>
    </row>
    <row r="93">
      <c r="A93" t="inlineStr">
        <is>
          <t>PRAGMA</t>
        </is>
      </c>
      <c r="B93" t="inlineStr">
        <is>
          <t>CALI|TRANSPORTADORA_001</t>
        </is>
      </c>
      <c r="C93" t="inlineStr">
        <is>
          <t>Cali</t>
        </is>
      </c>
      <c r="D93" t="inlineStr">
        <is>
          <t>TRANSPORTADORA_001</t>
        </is>
      </c>
      <c r="E93" s="23" t="n">
        <v>46265</v>
      </c>
      <c r="F93" s="23" t="n">
        <v>46272</v>
      </c>
      <c r="G93" t="inlineStr">
        <is>
          <t>Sí</t>
        </is>
      </c>
      <c r="H93" s="25" t="n">
        <v>50000</v>
      </c>
      <c r="I93" s="26" t="n">
        <v>30491067835</v>
      </c>
      <c r="J93" s="26" t="n">
        <v>0</v>
      </c>
      <c r="K93" s="26" t="n">
        <v>0</v>
      </c>
      <c r="L93" s="26">
        <f>J93-K93</f>
        <v>0</v>
      </c>
      <c r="M93" s="26">
        <f>I93+L93</f>
        <v>30491067835</v>
      </c>
      <c r="N93" s="26" t="n">
        <v>13047830000</v>
      </c>
      <c r="O93" s="26" t="n">
        <v>29223230000</v>
      </c>
      <c r="P93" s="26">
        <f>MAX(0,N93-M93)</f>
        <v>0</v>
      </c>
      <c r="Q93" s="26">
        <f>MAX(0,M93-O93)</f>
        <v>1267837835</v>
      </c>
      <c r="R93" t="inlineStr">
        <is>
          <t>bajo</t>
        </is>
      </c>
      <c r="S93" t="inlineStr">
        <is>
          <t>venta_efectivo</t>
        </is>
      </c>
      <c r="T93" t="inlineStr">
        <is>
          <t>salida</t>
        </is>
      </c>
      <c r="U93" s="26" t="n">
        <v>1267850000</v>
      </c>
      <c r="V93" t="inlineStr">
        <is>
          <t>CALI|TRANSPORTADORA_001</t>
        </is>
      </c>
      <c r="X93" s="26">
        <f>IF(T93="entrada",M93+U93,IF(T93="salida",M93-U93,M93))</f>
        <v>29223217835</v>
      </c>
      <c r="Y93" s="26" t="n">
        <v>0</v>
      </c>
      <c r="Z93" t="inlineStr">
        <is>
          <t>Menor costo neto entre las alternativas que cubren la necesidad completa</t>
        </is>
      </c>
      <c r="AA93" t="inlineStr">
        <is>
          <t>SUP-08, SUP-10, SUP-23</t>
        </is>
      </c>
      <c r="AB93" t="inlineStr">
        <is>
          <t>Excedente de $1.267.837.835 en la denominacion 50000: saldo $30.491.067.835 sobre el maximo $29.223.230.000. Elegida: venta ($1.267.850.000; beneficio de referencia $507.140). Es preferible porque tiene el menor costo neto. Otras alternativas: traslado con CALI|TRANSPORTADORA_003 ($1.267.850.000; costo $0); conservar ($1.267.850.000; costo de almacenar $111.824); consignacion BanRep ($1.267.850.000; costo $439.728); traslado con PASTO|TRANSPORTADORA_001 ($1.267.850.000; costo $2.021.404).</t>
        </is>
      </c>
      <c r="AC93" t="inlineStr">
        <is>
          <t>Cierre del dia anterior (saldo encadenado, RN-71)</t>
        </is>
      </c>
      <c r="AD93" t="inlineStr">
        <is>
          <t>estimada</t>
        </is>
      </c>
      <c r="AE93" t="inlineStr">
        <is>
          <t>Participacion historica por denominacion (SUP-09)</t>
        </is>
      </c>
    </row>
    <row r="94">
      <c r="A94" t="inlineStr">
        <is>
          <t>PRAGMA</t>
        </is>
      </c>
      <c r="B94" t="inlineStr">
        <is>
          <t>CALI|TRANSPORTADORA_001</t>
        </is>
      </c>
      <c r="C94" t="inlineStr">
        <is>
          <t>Cali</t>
        </is>
      </c>
      <c r="D94" t="inlineStr">
        <is>
          <t>TRANSPORTADORA_001</t>
        </is>
      </c>
      <c r="E94" s="23" t="n">
        <v>46265</v>
      </c>
      <c r="F94" s="23" t="n">
        <v>46273</v>
      </c>
      <c r="G94" t="inlineStr">
        <is>
          <t>Sí</t>
        </is>
      </c>
      <c r="H94" s="25" t="n">
        <v>50000</v>
      </c>
      <c r="I94" s="26" t="n">
        <v>29223217835</v>
      </c>
      <c r="J94" s="26" t="n">
        <v>8315445577</v>
      </c>
      <c r="K94" s="26" t="n">
        <v>4528894107</v>
      </c>
      <c r="L94" s="26">
        <f>J94-K94</f>
        <v>3786551470</v>
      </c>
      <c r="M94" s="26">
        <f>I94+L94</f>
        <v>33009769305</v>
      </c>
      <c r="N94" s="26" t="n">
        <v>13047830000</v>
      </c>
      <c r="O94" s="26" t="n">
        <v>29223230000</v>
      </c>
      <c r="P94" s="26">
        <f>MAX(0,N94-M94)</f>
        <v>0</v>
      </c>
      <c r="Q94" s="26">
        <f>MAX(0,M94-O94)</f>
        <v>3786539305</v>
      </c>
      <c r="R94" t="inlineStr">
        <is>
          <t>bajo</t>
        </is>
      </c>
      <c r="S94" t="inlineStr">
        <is>
          <t>venta_efectivo</t>
        </is>
      </c>
      <c r="T94" t="inlineStr">
        <is>
          <t>salida</t>
        </is>
      </c>
      <c r="U94" s="26" t="n">
        <v>3786550000</v>
      </c>
      <c r="V94" t="inlineStr">
        <is>
          <t>CALI|TRANSPORTADORA_001</t>
        </is>
      </c>
      <c r="X94" s="26">
        <f>IF(T94="entrada",M94+U94,IF(T94="salida",M94-U94,M94))</f>
        <v>29223219305</v>
      </c>
      <c r="Y94" s="26" t="n">
        <v>0</v>
      </c>
      <c r="Z94" t="inlineStr">
        <is>
          <t>Menor costo neto entre las alternativas que cubren la necesidad completa</t>
        </is>
      </c>
      <c r="AA94" t="inlineStr">
        <is>
          <t>SUP-08, SUP-10, SUP-23</t>
        </is>
      </c>
      <c r="AB94" t="inlineStr">
        <is>
          <t>Excedente de $3.786.539.305 en la denominacion 50000: saldo $33.009.769.305 sobre el maximo $29.223.230.000. Elegida: venta ($3.786.550.000; beneficio de referencia $1.514.620). Es preferible porque tiene el menor costo neto. Otras alternativas: traslado con CALI|TRANSPORTADORA_003 ($3.786.550.000; costo $0); conservar ($3.786.550.000; costo de almacenar $296.866); consignacion BanRep ($3.786.550.000; costo $1.066.884); traslado con PASTO|TRANSPORTADORA_001 ($3.786.550.000; costo $4.431.800).</t>
        </is>
      </c>
      <c r="AC94" t="inlineStr">
        <is>
          <t>Cierre del dia anterior (saldo encadenado, RN-71)</t>
        </is>
      </c>
      <c r="AD94" t="inlineStr">
        <is>
          <t>estimada</t>
        </is>
      </c>
      <c r="AE94" t="inlineStr">
        <is>
          <t>Participacion historica por denominacion (SUP-09)</t>
        </is>
      </c>
    </row>
    <row r="95">
      <c r="A95" t="inlineStr">
        <is>
          <t>PRAGMA</t>
        </is>
      </c>
      <c r="B95" t="inlineStr">
        <is>
          <t>CALI|TRANSPORTADORA_001</t>
        </is>
      </c>
      <c r="C95" t="inlineStr">
        <is>
          <t>Cali</t>
        </is>
      </c>
      <c r="D95" t="inlineStr">
        <is>
          <t>TRANSPORTADORA_001</t>
        </is>
      </c>
      <c r="E95" s="23" t="n">
        <v>46265</v>
      </c>
      <c r="F95" s="23" t="n">
        <v>46274</v>
      </c>
      <c r="G95" t="inlineStr">
        <is>
          <t>Sí</t>
        </is>
      </c>
      <c r="H95" s="25" t="n">
        <v>50000</v>
      </c>
      <c r="I95" s="26" t="n">
        <v>29223219305</v>
      </c>
      <c r="J95" s="26" t="n">
        <v>7884149803</v>
      </c>
      <c r="K95" s="26" t="n">
        <v>4473519004</v>
      </c>
      <c r="L95" s="26">
        <f>J95-K95</f>
        <v>3410630799</v>
      </c>
      <c r="M95" s="26">
        <f>I95+L95</f>
        <v>32633850104</v>
      </c>
      <c r="N95" s="26" t="n">
        <v>13047830000</v>
      </c>
      <c r="O95" s="26" t="n">
        <v>29223230000</v>
      </c>
      <c r="P95" s="26">
        <f>MAX(0,N95-M95)</f>
        <v>0</v>
      </c>
      <c r="Q95" s="26">
        <f>MAX(0,M95-O95)</f>
        <v>3410620104</v>
      </c>
      <c r="R95" t="inlineStr">
        <is>
          <t>bajo</t>
        </is>
      </c>
      <c r="S95" t="inlineStr">
        <is>
          <t>venta_efectivo</t>
        </is>
      </c>
      <c r="T95" t="inlineStr">
        <is>
          <t>salida</t>
        </is>
      </c>
      <c r="U95" s="26" t="n">
        <v>3410650000</v>
      </c>
      <c r="V95" t="inlineStr">
        <is>
          <t>CALI|TRANSPORTADORA_001</t>
        </is>
      </c>
      <c r="X95" s="26">
        <f>IF(T95="entrada",M95+U95,IF(T95="salida",M95-U95,M95))</f>
        <v>29223200104</v>
      </c>
      <c r="Y95" s="26" t="n">
        <v>0</v>
      </c>
      <c r="Z95" t="inlineStr">
        <is>
          <t>Menor costo neto entre las alternativas que cubren la necesidad completa</t>
        </is>
      </c>
      <c r="AA95" t="inlineStr">
        <is>
          <t>SUP-08, SUP-10, SUP-23</t>
        </is>
      </c>
      <c r="AB95" t="inlineStr">
        <is>
          <t>Excedente de $3.410.620.104 en la denominacion 50000: saldo $32.633.850.104 sobre el maximo $29.223.230.000. Elegida: venta ($3.410.650.000; beneficio de referencia $1.364.260). Es preferible porque tiene el menor costo neto. Otras alternativas: traslado con CALI|TRANSPORTADORA_003 ($3.410.650.000; costo $0); conservar ($3.410.650.000; costo de almacenar $233.971); consignacion BanRep ($3.410.650.000; costo $973.285); traslado con PASTO|TRANSPORTADORA_001 ($3.410.650.000; costo $4.072.064).</t>
        </is>
      </c>
      <c r="AC95" t="inlineStr">
        <is>
          <t>Cierre del dia anterior (saldo encadenado, RN-71)</t>
        </is>
      </c>
      <c r="AD95" t="inlineStr">
        <is>
          <t>estimada</t>
        </is>
      </c>
      <c r="AE95" t="inlineStr">
        <is>
          <t>Participacion historica por denominacion (SUP-09)</t>
        </is>
      </c>
    </row>
    <row r="96">
      <c r="A96" t="inlineStr">
        <is>
          <t>PRAGMA</t>
        </is>
      </c>
      <c r="B96" t="inlineStr">
        <is>
          <t>CALI|TRANSPORTADORA_001</t>
        </is>
      </c>
      <c r="C96" t="inlineStr">
        <is>
          <t>Cali</t>
        </is>
      </c>
      <c r="D96" t="inlineStr">
        <is>
          <t>TRANSPORTADORA_001</t>
        </is>
      </c>
      <c r="E96" s="23" t="n">
        <v>46265</v>
      </c>
      <c r="F96" s="23" t="n">
        <v>46275</v>
      </c>
      <c r="G96" t="inlineStr">
        <is>
          <t>Sí</t>
        </is>
      </c>
      <c r="H96" s="25" t="n">
        <v>50000</v>
      </c>
      <c r="I96" s="26" t="n">
        <v>29223200104</v>
      </c>
      <c r="J96" s="26" t="n">
        <v>7995594601</v>
      </c>
      <c r="K96" s="26" t="n">
        <v>4180987167</v>
      </c>
      <c r="L96" s="26">
        <f>J96-K96</f>
        <v>3814607434</v>
      </c>
      <c r="M96" s="26">
        <f>I96+L96</f>
        <v>33037807538</v>
      </c>
      <c r="N96" s="26" t="n">
        <v>13047830000</v>
      </c>
      <c r="O96" s="26" t="n">
        <v>29223230000</v>
      </c>
      <c r="P96" s="26">
        <f>MAX(0,N96-M96)</f>
        <v>0</v>
      </c>
      <c r="Q96" s="26">
        <f>MAX(0,M96-O96)</f>
        <v>3814577538</v>
      </c>
      <c r="R96" t="inlineStr">
        <is>
          <t>bajo</t>
        </is>
      </c>
      <c r="S96" t="inlineStr">
        <is>
          <t>venta_efectivo</t>
        </is>
      </c>
      <c r="T96" t="inlineStr">
        <is>
          <t>salida</t>
        </is>
      </c>
      <c r="U96" s="26" t="n">
        <v>3814600000</v>
      </c>
      <c r="V96" t="inlineStr">
        <is>
          <t>CALI|TRANSPORTADORA_001</t>
        </is>
      </c>
      <c r="X96" s="26">
        <f>IF(T96="entrada",M96+U96,IF(T96="salida",M96-U96,M96))</f>
        <v>29223207538</v>
      </c>
      <c r="Y96" s="26" t="n">
        <v>0</v>
      </c>
      <c r="Z96" t="inlineStr">
        <is>
          <t>Menor costo neto entre las alternativas que cubren la necesidad completa</t>
        </is>
      </c>
      <c r="AA96" t="inlineStr">
        <is>
          <t>SUP-08, SUP-10, SUP-23</t>
        </is>
      </c>
      <c r="AB96" t="inlineStr">
        <is>
          <t>Excedente de $3.814.577.538 en la denominacion 50000: saldo $33.037.807.538 sobre el maximo $29.223.230.000. Elegida: venta ($3.814.600.000; beneficio de referencia $1.525.840). Es preferible porque tiene el menor costo neto. Otras alternativas: traslado con CALI|TRANSPORTADORA_003 ($3.814.600.000; costo $0); conservar ($3.814.600.000; costo de almacenar $224.298); consignacion BanRep ($3.814.600.000; costo $1.073.868); traslado con PASTO|TRANSPORTADORA_001 ($3.814.600.000; costo $4.458.644).</t>
        </is>
      </c>
      <c r="AC96" t="inlineStr">
        <is>
          <t>Cierre del dia anterior (saldo encadenado, RN-71)</t>
        </is>
      </c>
      <c r="AD96" t="inlineStr">
        <is>
          <t>estimada</t>
        </is>
      </c>
      <c r="AE96" t="inlineStr">
        <is>
          <t>Participacion historica por denominacion (SUP-09)</t>
        </is>
      </c>
    </row>
    <row r="97">
      <c r="A97" t="inlineStr">
        <is>
          <t>PRAGMA</t>
        </is>
      </c>
      <c r="B97" t="inlineStr">
        <is>
          <t>CALI|TRANSPORTADORA_001</t>
        </is>
      </c>
      <c r="C97" t="inlineStr">
        <is>
          <t>Cali</t>
        </is>
      </c>
      <c r="D97" t="inlineStr">
        <is>
          <t>TRANSPORTADORA_001</t>
        </is>
      </c>
      <c r="E97" s="23" t="n">
        <v>46265</v>
      </c>
      <c r="F97" s="23" t="n">
        <v>46276</v>
      </c>
      <c r="G97" t="inlineStr">
        <is>
          <t>Sí</t>
        </is>
      </c>
      <c r="H97" s="25" t="n">
        <v>50000</v>
      </c>
      <c r="I97" s="26" t="n">
        <v>29223207538</v>
      </c>
      <c r="J97" s="26" t="n">
        <v>7905347179</v>
      </c>
      <c r="K97" s="26" t="n">
        <v>4682473638</v>
      </c>
      <c r="L97" s="26">
        <f>J97-K97</f>
        <v>3222873541</v>
      </c>
      <c r="M97" s="26">
        <f>I97+L97</f>
        <v>32446081079</v>
      </c>
      <c r="N97" s="26" t="n">
        <v>13047830000</v>
      </c>
      <c r="O97" s="26" t="n">
        <v>29223230000</v>
      </c>
      <c r="P97" s="26">
        <f>MAX(0,N97-M97)</f>
        <v>0</v>
      </c>
      <c r="Q97" s="26">
        <f>MAX(0,M97-O97)</f>
        <v>3222851079</v>
      </c>
      <c r="R97" t="inlineStr">
        <is>
          <t>bajo</t>
        </is>
      </c>
      <c r="S97" t="inlineStr">
        <is>
          <t>venta_efectivo</t>
        </is>
      </c>
      <c r="T97" t="inlineStr">
        <is>
          <t>salida</t>
        </is>
      </c>
      <c r="U97" s="26" t="n">
        <v>3222900000</v>
      </c>
      <c r="V97" t="inlineStr">
        <is>
          <t>CALI|TRANSPORTADORA_001</t>
        </is>
      </c>
      <c r="X97" s="26">
        <f>IF(T97="entrada",M97+U97,IF(T97="salida",M97-U97,M97))</f>
        <v>29223181079</v>
      </c>
      <c r="Y97" s="26" t="n">
        <v>0</v>
      </c>
      <c r="Z97" t="inlineStr">
        <is>
          <t>Menor costo neto entre las alternativas que cubren la necesidad completa</t>
        </is>
      </c>
      <c r="AA97" t="inlineStr">
        <is>
          <t>SUP-08, SUP-10, SUP-23</t>
        </is>
      </c>
      <c r="AB97" t="inlineStr">
        <is>
          <t>Excedente de $3.222.851.079 en la denominacion 50000: saldo $32.446.081.079 sobre el maximo $29.223.230.000. Elegida: venta ($3.222.900.000; beneficio de referencia $1.289.160). Es preferible porque tiene el menor costo neto. Otras alternativas: traslado con CALI|TRANSPORTADORA_003 ($3.222.900.000; costo $0); conservar ($3.222.900.000; costo de almacenar $157.922); consignacion BanRep ($3.222.900.000; costo $926.535); traslado con PASTO|TRANSPORTADORA_001 ($3.222.900.000; costo $3.892.387).</t>
        </is>
      </c>
      <c r="AC97" t="inlineStr">
        <is>
          <t>Cierre del dia anterior (saldo encadenado, RN-71)</t>
        </is>
      </c>
      <c r="AD97" t="inlineStr">
        <is>
          <t>estimada</t>
        </is>
      </c>
      <c r="AE97" t="inlineStr">
        <is>
          <t>Participacion historica por denominacion (SUP-09)</t>
        </is>
      </c>
    </row>
    <row r="98">
      <c r="A98" t="inlineStr">
        <is>
          <t>PRAGMA</t>
        </is>
      </c>
      <c r="B98" t="inlineStr">
        <is>
          <t>CALI|TRANSPORTADORA_001</t>
        </is>
      </c>
      <c r="C98" t="inlineStr">
        <is>
          <t>Cali</t>
        </is>
      </c>
      <c r="D98" t="inlineStr">
        <is>
          <t>TRANSPORTADORA_001</t>
        </is>
      </c>
      <c r="E98" s="23" t="n">
        <v>46265</v>
      </c>
      <c r="F98" s="23" t="n">
        <v>46277</v>
      </c>
      <c r="G98" t="inlineStr">
        <is>
          <t>No</t>
        </is>
      </c>
      <c r="H98" s="25" t="n">
        <v>50000</v>
      </c>
      <c r="I98" s="26" t="n">
        <v>29223181079</v>
      </c>
      <c r="J98" s="26" t="n">
        <v>1491206210</v>
      </c>
      <c r="K98" s="26" t="n">
        <v>3894051163</v>
      </c>
      <c r="L98" s="26">
        <f>J98-K98</f>
        <v>-2402844953</v>
      </c>
      <c r="M98" s="26">
        <f>I98+L98</f>
        <v>26820336126</v>
      </c>
      <c r="N98" s="26" t="n">
        <v>13047830000</v>
      </c>
      <c r="O98" s="26" t="n">
        <v>29223230000</v>
      </c>
      <c r="P98" s="26">
        <f>MAX(0,N98-M98)</f>
        <v>0</v>
      </c>
      <c r="Q98" s="26">
        <f>MAX(0,M98-O98)</f>
        <v>0</v>
      </c>
      <c r="R98" t="inlineStr">
        <is>
          <t>bajo</t>
        </is>
      </c>
      <c r="S98" t="inlineStr">
        <is>
          <t>traslado_fondos</t>
        </is>
      </c>
      <c r="T98" t="inlineStr">
        <is>
          <t>entrada</t>
        </is>
      </c>
      <c r="U98" s="26" t="n">
        <v>12600000</v>
      </c>
      <c r="V98" t="inlineStr">
        <is>
          <t>CALI|TRANSPORTADORA_004</t>
        </is>
      </c>
      <c r="W98" t="inlineStr">
        <is>
          <t>CALI|TRANSPORTADORA_001</t>
        </is>
      </c>
      <c r="X98" s="26">
        <f>IF(T98="entrada",M98+U98,IF(T98="salida",M98-U98,M98))</f>
        <v>26832936126</v>
      </c>
      <c r="Y98" s="26" t="n">
        <v>0</v>
      </c>
      <c r="Z98" t="inlineStr">
        <is>
          <t>Menor costo neto entre las alternativas que cubren la necesidad completa</t>
        </is>
      </c>
      <c r="AA98" t="inlineStr">
        <is>
          <t>SUP-08, SUP-10</t>
        </is>
      </c>
      <c r="AB98" t="inlineStr">
        <is>
          <t>Contraparte del traslado P00079 en la denominacion 50000: recibe $12.600.000 de CALI|TRANSPORTADORA_004. Saldo de esta fila: $26.820.336.126 antes y $26.832.936.126 despues (minimo $13.047.830.000, maximo $29.223.230.000). Necesidad que la origina, en CALI|TRANSPORTADORA_004: Excedente de $12.573.052 en la denominacion 50000: saldo $1.890.773.052 sobre el maximo $1.878.200.000. Elegida: traslado con CALI|TRANSPORTADORA_001 ($12.600.000; costo $0). Es preferible porque tiene el menor costo neto. Otras alternativas: traslado con CALI|TRANSPORTADORA_002 ($12.600.000; costo $0); traslado con CALI|TRANSPORTADORA_003 ($12.600.000; costo $0); conservar ($12.600.000; costo de almacenar $530); venta: dia no habil (sabado, domingo o festivo; RN-71A); consignacion BanRep: dia no habil (sabado, domingo o festivo; RN-71A); traslado hacia 1 fondo(s) con espacio: ruta sin tarifa en el Anexo E (prohibida).</t>
        </is>
      </c>
      <c r="AC98" t="inlineStr">
        <is>
          <t>Cierre del dia anterior (saldo encadenado, RN-71)</t>
        </is>
      </c>
      <c r="AD98" t="inlineStr">
        <is>
          <t>estimada</t>
        </is>
      </c>
      <c r="AE98" t="inlineStr">
        <is>
          <t>Participacion historica por denominacion (SUP-09)</t>
        </is>
      </c>
    </row>
    <row r="99">
      <c r="A99" t="inlineStr">
        <is>
          <t>PRAGMA</t>
        </is>
      </c>
      <c r="B99" t="inlineStr">
        <is>
          <t>CALI|TRANSPORTADORA_001</t>
        </is>
      </c>
      <c r="C99" t="inlineStr">
        <is>
          <t>Cali</t>
        </is>
      </c>
      <c r="D99" t="inlineStr">
        <is>
          <t>TRANSPORTADORA_001</t>
        </is>
      </c>
      <c r="E99" s="23" t="n">
        <v>46265</v>
      </c>
      <c r="F99" s="23" t="n">
        <v>46278</v>
      </c>
      <c r="G99" t="inlineStr">
        <is>
          <t>No</t>
        </is>
      </c>
      <c r="H99" s="25" t="n">
        <v>50000</v>
      </c>
      <c r="I99" s="26" t="n">
        <v>26832936126</v>
      </c>
      <c r="J99" s="26" t="n">
        <v>699089384</v>
      </c>
      <c r="K99" s="26" t="n">
        <v>1844778191</v>
      </c>
      <c r="L99" s="26">
        <f>J99-K99</f>
        <v>-1145688807</v>
      </c>
      <c r="M99" s="26">
        <f>I99+L99</f>
        <v>25687247319</v>
      </c>
      <c r="N99" s="26" t="n">
        <v>13047830000</v>
      </c>
      <c r="O99" s="26" t="n">
        <v>29223230000</v>
      </c>
      <c r="P99" s="26">
        <f>MAX(0,N99-M99)</f>
        <v>0</v>
      </c>
      <c r="Q99" s="26">
        <f>MAX(0,M99-O99)</f>
        <v>0</v>
      </c>
      <c r="R99" t="inlineStr">
        <is>
          <t>bajo</t>
        </is>
      </c>
      <c r="S99" t="inlineStr">
        <is>
          <t>traslado_fondos</t>
        </is>
      </c>
      <c r="T99" t="inlineStr">
        <is>
          <t>entrada</t>
        </is>
      </c>
      <c r="U99" s="26" t="n">
        <v>11700000</v>
      </c>
      <c r="V99" t="inlineStr">
        <is>
          <t>CALI|TRANSPORTADORA_004</t>
        </is>
      </c>
      <c r="W99" t="inlineStr">
        <is>
          <t>CALI|TRANSPORTADORA_001</t>
        </is>
      </c>
      <c r="X99" s="26">
        <f>IF(T99="entrada",M99+U99,IF(T99="salida",M99-U99,M99))</f>
        <v>25698947319</v>
      </c>
      <c r="Y99" s="26" t="n">
        <v>0</v>
      </c>
      <c r="Z99" t="inlineStr">
        <is>
          <t>Menor costo neto entre las alternativas que cubren la necesidad completa</t>
        </is>
      </c>
      <c r="AA99" t="inlineStr">
        <is>
          <t>SUP-08, SUP-10</t>
        </is>
      </c>
      <c r="AB99" t="inlineStr">
        <is>
          <t>Contraparte del traslado P00084 en la denominacion 50000: recibe $11.700.000 de CALI|TRANSPORTADORA_004. Saldo de esta fila: $25.687.247.318 antes y $25.698.947.318 despues (minimo $13.047.830.000, maximo $29.223.230.000). Necesidad que la origina, en CALI|TRANSPORTADORA_004: Excedente de $11.698.949 en la denominacion 50000: saldo $1.889.898.949 sobre el maximo $1.878.200.000. Elegida: traslado con CALI|TRANSPORTADORA_001 ($11.700.000; costo $0). Es preferible porque tiene el menor costo neto. Otras alternativas: traslado con CALI|TRANSPORTADORA_002 ($11.700.000; costo $0); traslado con CALI|TRANSPORTADORA_003 ($11.700.000; costo $0); conservar ($11.700.000; costo de almacenar $369); venta: dia no habil (sabado, domingo o festivo; RN-71A); consignacion BanRep: dia no habil (sabado, domingo o festivo; RN-71A); traslado hacia 1 fondo(s) con espacio: ruta sin tarifa en el Anexo E (prohibida).</t>
        </is>
      </c>
      <c r="AC99" t="inlineStr">
        <is>
          <t>Cierre del dia anterior (saldo encadenado, RN-71)</t>
        </is>
      </c>
      <c r="AD99" t="inlineStr">
        <is>
          <t>estimada</t>
        </is>
      </c>
      <c r="AE99" t="inlineStr">
        <is>
          <t>Participacion historica por denominacion (SUP-09)</t>
        </is>
      </c>
    </row>
    <row r="100">
      <c r="A100" t="inlineStr">
        <is>
          <t>PRAGMA</t>
        </is>
      </c>
      <c r="B100" t="inlineStr">
        <is>
          <t>CALI|TRANSPORTADORA_001</t>
        </is>
      </c>
      <c r="C100" t="inlineStr">
        <is>
          <t>Cali</t>
        </is>
      </c>
      <c r="D100" t="inlineStr">
        <is>
          <t>TRANSPORTADORA_001</t>
        </is>
      </c>
      <c r="E100" s="23" t="n">
        <v>46265</v>
      </c>
      <c r="F100" s="23" t="n">
        <v>46279</v>
      </c>
      <c r="G100" t="inlineStr">
        <is>
          <t>Sí</t>
        </is>
      </c>
      <c r="H100" s="25" t="n">
        <v>50000</v>
      </c>
      <c r="I100" s="26" t="n">
        <v>25698947318</v>
      </c>
      <c r="J100" s="26" t="n">
        <v>10709567335</v>
      </c>
      <c r="K100" s="26" t="n">
        <v>4322604761</v>
      </c>
      <c r="L100" s="26">
        <f>J100-K100</f>
        <v>6386962574</v>
      </c>
      <c r="M100" s="26">
        <f>I100+L100</f>
        <v>32085909892</v>
      </c>
      <c r="N100" s="26" t="n">
        <v>13047830000</v>
      </c>
      <c r="O100" s="26" t="n">
        <v>29223230000</v>
      </c>
      <c r="P100" s="26">
        <f>MAX(0,N100-M100)</f>
        <v>0</v>
      </c>
      <c r="Q100" s="26">
        <f>MAX(0,M100-O100)</f>
        <v>2862679892</v>
      </c>
      <c r="R100" t="inlineStr">
        <is>
          <t>bajo</t>
        </is>
      </c>
      <c r="S100" t="inlineStr">
        <is>
          <t>venta_efectivo</t>
        </is>
      </c>
      <c r="T100" t="inlineStr">
        <is>
          <t>salida</t>
        </is>
      </c>
      <c r="U100" s="26" t="n">
        <v>2862700000</v>
      </c>
      <c r="V100" t="inlineStr">
        <is>
          <t>CALI|TRANSPORTADORA_001</t>
        </is>
      </c>
      <c r="X100" s="26">
        <f>IF(T100="entrada",M100+U100,IF(T100="salida",M100-U100,M100))</f>
        <v>29223209892</v>
      </c>
      <c r="Y100" s="26" t="n">
        <v>0</v>
      </c>
      <c r="Z100" t="inlineStr">
        <is>
          <t>Menor costo neto entre las alternativas que cubren la necesidad completa</t>
        </is>
      </c>
      <c r="AA100" t="inlineStr">
        <is>
          <t>SUP-08, SUP-10, SUP-23</t>
        </is>
      </c>
      <c r="AB100" t="inlineStr">
        <is>
          <t>Excedente de $2.862.679.892 en la denominacion 50000: saldo $32.085.909.892 sobre el maximo $29.223.230.000. Elegida: venta ($2.862.700.000; beneficio de referencia $1.145.080). Es preferible porque tiene el menor costo neto. Otras alternativas: traslado con CALI|TRANSPORTADORA_003 ($2.862.700.000; costo $0); conservar ($2.862.700.000; costo de almacenar $56.109); consignacion BanRep ($2.862.700.000; costo $836.845); traslado con PASTO|TRANSPORTADORA_001 ($2.862.700.000; costo $3.547.676).</t>
        </is>
      </c>
      <c r="AC100" t="inlineStr">
        <is>
          <t>Cierre del dia anterior (saldo encadenado, RN-71)</t>
        </is>
      </c>
      <c r="AD100" t="inlineStr">
        <is>
          <t>estimada</t>
        </is>
      </c>
      <c r="AE100" t="inlineStr">
        <is>
          <t>Participacion historica por denominacion (SUP-09)</t>
        </is>
      </c>
    </row>
    <row r="101">
      <c r="A101" t="inlineStr">
        <is>
          <t>PRAGMA</t>
        </is>
      </c>
      <c r="B101" t="inlineStr">
        <is>
          <t>CALI|TRANSPORTADORA_001</t>
        </is>
      </c>
      <c r="C101" t="inlineStr">
        <is>
          <t>Cali</t>
        </is>
      </c>
      <c r="D101" t="inlineStr">
        <is>
          <t>TRANSPORTADORA_001</t>
        </is>
      </c>
      <c r="E101" s="23" t="n">
        <v>46265</v>
      </c>
      <c r="F101" s="23" t="n">
        <v>46280</v>
      </c>
      <c r="G101" t="inlineStr">
        <is>
          <t>Sí</t>
        </is>
      </c>
      <c r="H101" s="25" t="n">
        <v>50000</v>
      </c>
      <c r="I101" s="26" t="n">
        <v>29223209892</v>
      </c>
      <c r="J101" s="26" t="n">
        <v>8305011419</v>
      </c>
      <c r="K101" s="26" t="n">
        <v>5977689645</v>
      </c>
      <c r="L101" s="26">
        <f>J101-K101</f>
        <v>2327321774</v>
      </c>
      <c r="M101" s="26">
        <f>I101+L101</f>
        <v>31550531666</v>
      </c>
      <c r="N101" s="26" t="n">
        <v>13047830000</v>
      </c>
      <c r="O101" s="26" t="n">
        <v>29223230000</v>
      </c>
      <c r="P101" s="26">
        <f>MAX(0,N101-M101)</f>
        <v>0</v>
      </c>
      <c r="Q101" s="26">
        <f>MAX(0,M101-O101)</f>
        <v>2327301666</v>
      </c>
      <c r="R101" t="inlineStr">
        <is>
          <t>bajo</t>
        </is>
      </c>
      <c r="S101" t="inlineStr">
        <is>
          <t>venta_efectivo</t>
        </is>
      </c>
      <c r="T101" t="inlineStr">
        <is>
          <t>salida</t>
        </is>
      </c>
      <c r="U101" s="26" t="n">
        <v>2327350000</v>
      </c>
      <c r="V101" t="inlineStr">
        <is>
          <t>CALI|TRANSPORTADORA_001</t>
        </is>
      </c>
      <c r="X101" s="26">
        <f>IF(T101="entrada",M101+U101,IF(T101="salida",M101-U101,M101))</f>
        <v>29223181666</v>
      </c>
      <c r="Y101" s="26" t="n">
        <v>0</v>
      </c>
      <c r="Z101" t="inlineStr">
        <is>
          <t>Menor costo neto entre las alternativas que cubren la necesidad completa</t>
        </is>
      </c>
      <c r="AA101" t="inlineStr">
        <is>
          <t>SUP-08, SUP-10, SUP-23</t>
        </is>
      </c>
      <c r="AB101" t="inlineStr">
        <is>
          <t>Excedente de $2.327.301.666 en la denominacion 50000: saldo $31.550.531.666 sobre el maximo $29.223.230.000. Elegida: venta ($2.327.350.000; beneficio de referencia $930.940). Es preferible porque tiene el menor costo neto. Otras alternativas: traslado con CALI|TRANSPORTADORA_003 ($2.327.350.000; costo $0); conservar ($2.327.350.000; costo de almacenar $22.808); consignacion BanRep ($2.327.350.000; costo $703.543); traslado con PASTO|TRANSPORTADORA_001 ($2.327.350.000; costo $3.035.346).</t>
        </is>
      </c>
      <c r="AC101" t="inlineStr">
        <is>
          <t>Cierre del dia anterior (saldo encadenado, RN-71)</t>
        </is>
      </c>
      <c r="AD101" t="inlineStr">
        <is>
          <t>estimada</t>
        </is>
      </c>
      <c r="AE101" t="inlineStr">
        <is>
          <t>Participacion historica por denominacion (SUP-09)</t>
        </is>
      </c>
    </row>
    <row r="102">
      <c r="A102" t="inlineStr">
        <is>
          <t>PRAGMA</t>
        </is>
      </c>
      <c r="B102" t="inlineStr">
        <is>
          <t>CALI|TRANSPORTADORA_001</t>
        </is>
      </c>
      <c r="C102" t="inlineStr">
        <is>
          <t>Cali</t>
        </is>
      </c>
      <c r="D102" t="inlineStr">
        <is>
          <t>TRANSPORTADORA_001</t>
        </is>
      </c>
      <c r="E102" s="23" t="n">
        <v>46265</v>
      </c>
      <c r="F102" s="23" t="n">
        <v>46266</v>
      </c>
      <c r="G102" t="inlineStr">
        <is>
          <t>Sí</t>
        </is>
      </c>
      <c r="H102" s="25" t="n">
        <v>100000</v>
      </c>
      <c r="I102" s="26" t="n">
        <v>15220600000</v>
      </c>
      <c r="J102" s="26" t="n">
        <v>7156117411</v>
      </c>
      <c r="K102" s="26" t="n">
        <v>6544795736</v>
      </c>
      <c r="L102" s="26">
        <f>J102-K102</f>
        <v>611321675</v>
      </c>
      <c r="M102" s="26">
        <f>I102+L102</f>
        <v>15831921675</v>
      </c>
      <c r="N102" s="26" t="n">
        <v>10686140000</v>
      </c>
      <c r="O102" s="26" t="n">
        <v>26668320000</v>
      </c>
      <c r="P102" s="26">
        <f>MAX(0,N102-M102)</f>
        <v>0</v>
      </c>
      <c r="Q102" s="26">
        <f>MAX(0,M102-O102)</f>
        <v>0</v>
      </c>
      <c r="R102" t="inlineStr">
        <is>
          <t>bajo</t>
        </is>
      </c>
      <c r="S102" t="inlineStr">
        <is>
          <t>sin_accion</t>
        </is>
      </c>
      <c r="T102" t="inlineStr">
        <is>
          <t>ninguno</t>
        </is>
      </c>
      <c r="U102" s="26" t="n">
        <v>0</v>
      </c>
      <c r="X102" s="26">
        <f>IF(T102="entrada",M102+U102,IF(T102="salida",M102-U102,M102))</f>
        <v>15831921675</v>
      </c>
      <c r="Y102" s="26" t="n">
        <v>0</v>
      </c>
      <c r="Z102" t="inlineStr">
        <is>
          <t>RN-85: dentro de niveles objetivo (sin_accion)</t>
        </is>
      </c>
      <c r="AA102" t="inlineStr">
        <is>
          <t>SUP-07, SUP-10</t>
        </is>
      </c>
      <c r="AB102" t="inlineStr">
        <is>
          <t>Saldo dentro del rango objetivo; sin accion.</t>
        </is>
      </c>
      <c r="AC102" t="inlineStr">
        <is>
          <t>Ultimo disponible al 31/08/2026 (SUP-07)</t>
        </is>
      </c>
      <c r="AD102" t="inlineStr">
        <is>
          <t>estimada</t>
        </is>
      </c>
      <c r="AE102" t="inlineStr">
        <is>
          <t>Participacion historica por denominacion (SUP-09)</t>
        </is>
      </c>
    </row>
    <row r="103">
      <c r="A103" t="inlineStr">
        <is>
          <t>PRAGMA</t>
        </is>
      </c>
      <c r="B103" t="inlineStr">
        <is>
          <t>CALI|TRANSPORTADORA_001</t>
        </is>
      </c>
      <c r="C103" t="inlineStr">
        <is>
          <t>Cali</t>
        </is>
      </c>
      <c r="D103" t="inlineStr">
        <is>
          <t>TRANSPORTADORA_001</t>
        </is>
      </c>
      <c r="E103" s="23" t="n">
        <v>46265</v>
      </c>
      <c r="F103" s="23" t="n">
        <v>46267</v>
      </c>
      <c r="G103" t="inlineStr">
        <is>
          <t>Sí</t>
        </is>
      </c>
      <c r="H103" s="25" t="n">
        <v>100000</v>
      </c>
      <c r="I103" s="26" t="n">
        <v>15831921675</v>
      </c>
      <c r="J103" s="26" t="n">
        <v>6703596764</v>
      </c>
      <c r="K103" s="26" t="n">
        <v>5287917455</v>
      </c>
      <c r="L103" s="26">
        <f>J103-K103</f>
        <v>1415679309</v>
      </c>
      <c r="M103" s="26">
        <f>I103+L103</f>
        <v>17247600984</v>
      </c>
      <c r="N103" s="26" t="n">
        <v>10686140000</v>
      </c>
      <c r="O103" s="26" t="n">
        <v>26668320000</v>
      </c>
      <c r="P103" s="26">
        <f>MAX(0,N103-M103)</f>
        <v>0</v>
      </c>
      <c r="Q103" s="26">
        <f>MAX(0,M103-O103)</f>
        <v>0</v>
      </c>
      <c r="R103" t="inlineStr">
        <is>
          <t>bajo</t>
        </is>
      </c>
      <c r="S103" t="inlineStr">
        <is>
          <t>sin_accion</t>
        </is>
      </c>
      <c r="T103" t="inlineStr">
        <is>
          <t>ninguno</t>
        </is>
      </c>
      <c r="U103" s="26" t="n">
        <v>0</v>
      </c>
      <c r="X103" s="26">
        <f>IF(T103="entrada",M103+U103,IF(T103="salida",M103-U103,M103))</f>
        <v>17247600984</v>
      </c>
      <c r="Y103" s="26" t="n">
        <v>0</v>
      </c>
      <c r="Z103" t="inlineStr">
        <is>
          <t>RN-85: dentro de niveles objetivo (sin_accion)</t>
        </is>
      </c>
      <c r="AA103" t="inlineStr">
        <is>
          <t>SUP-07, SUP-10</t>
        </is>
      </c>
      <c r="AB103" t="inlineStr">
        <is>
          <t>Saldo dentro del rango objetivo; sin accion.</t>
        </is>
      </c>
      <c r="AC103" t="inlineStr">
        <is>
          <t>Cierre del dia anterior (saldo encadenado, RN-71)</t>
        </is>
      </c>
      <c r="AD103" t="inlineStr">
        <is>
          <t>estimada</t>
        </is>
      </c>
      <c r="AE103" t="inlineStr">
        <is>
          <t>Participacion historica por denominacion (SUP-09)</t>
        </is>
      </c>
    </row>
    <row r="104">
      <c r="A104" t="inlineStr">
        <is>
          <t>PRAGMA</t>
        </is>
      </c>
      <c r="B104" t="inlineStr">
        <is>
          <t>CALI|TRANSPORTADORA_001</t>
        </is>
      </c>
      <c r="C104" t="inlineStr">
        <is>
          <t>Cali</t>
        </is>
      </c>
      <c r="D104" t="inlineStr">
        <is>
          <t>TRANSPORTADORA_001</t>
        </is>
      </c>
      <c r="E104" s="23" t="n">
        <v>46265</v>
      </c>
      <c r="F104" s="23" t="n">
        <v>46268</v>
      </c>
      <c r="G104" t="inlineStr">
        <is>
          <t>Sí</t>
        </is>
      </c>
      <c r="H104" s="25" t="n">
        <v>100000</v>
      </c>
      <c r="I104" s="26" t="n">
        <v>17247600984</v>
      </c>
      <c r="J104" s="26" t="n">
        <v>8284124042</v>
      </c>
      <c r="K104" s="26" t="n">
        <v>4630142052</v>
      </c>
      <c r="L104" s="26">
        <f>J104-K104</f>
        <v>3653981990</v>
      </c>
      <c r="M104" s="26">
        <f>I104+L104</f>
        <v>20901582974</v>
      </c>
      <c r="N104" s="26" t="n">
        <v>10686140000</v>
      </c>
      <c r="O104" s="26" t="n">
        <v>26668320000</v>
      </c>
      <c r="P104" s="26">
        <f>MAX(0,N104-M104)</f>
        <v>0</v>
      </c>
      <c r="Q104" s="26">
        <f>MAX(0,M104-O104)</f>
        <v>0</v>
      </c>
      <c r="R104" t="inlineStr">
        <is>
          <t>bajo</t>
        </is>
      </c>
      <c r="S104" t="inlineStr">
        <is>
          <t>sin_accion</t>
        </is>
      </c>
      <c r="T104" t="inlineStr">
        <is>
          <t>ninguno</t>
        </is>
      </c>
      <c r="U104" s="26" t="n">
        <v>0</v>
      </c>
      <c r="X104" s="26">
        <f>IF(T104="entrada",M104+U104,IF(T104="salida",M104-U104,M104))</f>
        <v>20901582974</v>
      </c>
      <c r="Y104" s="26" t="n">
        <v>0</v>
      </c>
      <c r="Z104" t="inlineStr">
        <is>
          <t>RN-85: dentro de niveles objetivo (sin_accion)</t>
        </is>
      </c>
      <c r="AA104" t="inlineStr">
        <is>
          <t>SUP-07, SUP-10</t>
        </is>
      </c>
      <c r="AB104" t="inlineStr">
        <is>
          <t>Saldo dentro del rango objetivo; sin accion.</t>
        </is>
      </c>
      <c r="AC104" t="inlineStr">
        <is>
          <t>Cierre del dia anterior (saldo encadenado, RN-71)</t>
        </is>
      </c>
      <c r="AD104" t="inlineStr">
        <is>
          <t>estimada</t>
        </is>
      </c>
      <c r="AE104" t="inlineStr">
        <is>
          <t>Participacion historica por denominacion (SUP-09)</t>
        </is>
      </c>
    </row>
    <row r="105">
      <c r="A105" t="inlineStr">
        <is>
          <t>PRAGMA</t>
        </is>
      </c>
      <c r="B105" t="inlineStr">
        <is>
          <t>CALI|TRANSPORTADORA_001</t>
        </is>
      </c>
      <c r="C105" t="inlineStr">
        <is>
          <t>Cali</t>
        </is>
      </c>
      <c r="D105" t="inlineStr">
        <is>
          <t>TRANSPORTADORA_001</t>
        </is>
      </c>
      <c r="E105" s="23" t="n">
        <v>46265</v>
      </c>
      <c r="F105" s="23" t="n">
        <v>46269</v>
      </c>
      <c r="G105" t="inlineStr">
        <is>
          <t>Sí</t>
        </is>
      </c>
      <c r="H105" s="25" t="n">
        <v>100000</v>
      </c>
      <c r="I105" s="26" t="n">
        <v>20901582975</v>
      </c>
      <c r="J105" s="26" t="n">
        <v>7771349284</v>
      </c>
      <c r="K105" s="26" t="n">
        <v>5141163463</v>
      </c>
      <c r="L105" s="26">
        <f>J105-K105</f>
        <v>2630185821</v>
      </c>
      <c r="M105" s="26">
        <f>I105+L105</f>
        <v>23531768796</v>
      </c>
      <c r="N105" s="26" t="n">
        <v>10686140000</v>
      </c>
      <c r="O105" s="26" t="n">
        <v>26668320000</v>
      </c>
      <c r="P105" s="26">
        <f>MAX(0,N105-M105)</f>
        <v>0</v>
      </c>
      <c r="Q105" s="26">
        <f>MAX(0,M105-O105)</f>
        <v>0</v>
      </c>
      <c r="R105" t="inlineStr">
        <is>
          <t>bajo</t>
        </is>
      </c>
      <c r="S105" t="inlineStr">
        <is>
          <t>sin_accion</t>
        </is>
      </c>
      <c r="T105" t="inlineStr">
        <is>
          <t>ninguno</t>
        </is>
      </c>
      <c r="U105" s="26" t="n">
        <v>0</v>
      </c>
      <c r="X105" s="26">
        <f>IF(T105="entrada",M105+U105,IF(T105="salida",M105-U105,M105))</f>
        <v>23531768796</v>
      </c>
      <c r="Y105" s="26" t="n">
        <v>0</v>
      </c>
      <c r="Z105" t="inlineStr">
        <is>
          <t>RN-85: dentro de niveles objetivo (sin_accion)</t>
        </is>
      </c>
      <c r="AA105" t="inlineStr">
        <is>
          <t>SUP-07, SUP-10</t>
        </is>
      </c>
      <c r="AB105" t="inlineStr">
        <is>
          <t>Saldo dentro del rango objetivo; sin accion.</t>
        </is>
      </c>
      <c r="AC105" t="inlineStr">
        <is>
          <t>Cierre del dia anterior (saldo encadenado, RN-71)</t>
        </is>
      </c>
      <c r="AD105" t="inlineStr">
        <is>
          <t>estimada</t>
        </is>
      </c>
      <c r="AE105" t="inlineStr">
        <is>
          <t>Participacion historica por denominacion (SUP-09)</t>
        </is>
      </c>
    </row>
    <row r="106">
      <c r="A106" t="inlineStr">
        <is>
          <t>PRAGMA</t>
        </is>
      </c>
      <c r="B106" t="inlineStr">
        <is>
          <t>CALI|TRANSPORTADORA_001</t>
        </is>
      </c>
      <c r="C106" t="inlineStr">
        <is>
          <t>Cali</t>
        </is>
      </c>
      <c r="D106" t="inlineStr">
        <is>
          <t>TRANSPORTADORA_001</t>
        </is>
      </c>
      <c r="E106" s="23" t="n">
        <v>46265</v>
      </c>
      <c r="F106" s="23" t="n">
        <v>46270</v>
      </c>
      <c r="G106" t="inlineStr">
        <is>
          <t>No</t>
        </is>
      </c>
      <c r="H106" s="25" t="n">
        <v>100000</v>
      </c>
      <c r="I106" s="26" t="n">
        <v>23531768796</v>
      </c>
      <c r="J106" s="26" t="n">
        <v>1379685294</v>
      </c>
      <c r="K106" s="26" t="n">
        <v>4240268073</v>
      </c>
      <c r="L106" s="26">
        <f>J106-K106</f>
        <v>-2860582779</v>
      </c>
      <c r="M106" s="26">
        <f>I106+L106</f>
        <v>20671186017</v>
      </c>
      <c r="N106" s="26" t="n">
        <v>10686140000</v>
      </c>
      <c r="O106" s="26" t="n">
        <v>26668320000</v>
      </c>
      <c r="P106" s="26">
        <f>MAX(0,N106-M106)</f>
        <v>0</v>
      </c>
      <c r="Q106" s="26">
        <f>MAX(0,M106-O106)</f>
        <v>0</v>
      </c>
      <c r="R106" t="inlineStr">
        <is>
          <t>bajo</t>
        </is>
      </c>
      <c r="S106" t="inlineStr">
        <is>
          <t>sin_accion</t>
        </is>
      </c>
      <c r="T106" t="inlineStr">
        <is>
          <t>ninguno</t>
        </is>
      </c>
      <c r="U106" s="26" t="n">
        <v>0</v>
      </c>
      <c r="X106" s="26">
        <f>IF(T106="entrada",M106+U106,IF(T106="salida",M106-U106,M106))</f>
        <v>20671186017</v>
      </c>
      <c r="Y106" s="26" t="n">
        <v>0</v>
      </c>
      <c r="Z106" t="inlineStr">
        <is>
          <t>RN-85: dentro de niveles objetivo (sin_accion)</t>
        </is>
      </c>
      <c r="AA106" t="inlineStr">
        <is>
          <t>SUP-07, SUP-10</t>
        </is>
      </c>
      <c r="AB106" t="inlineStr">
        <is>
          <t>Saldo dentro del rango objetivo; sin accion.</t>
        </is>
      </c>
      <c r="AC106" t="inlineStr">
        <is>
          <t>Cierre del dia anterior (saldo encadenado, RN-71)</t>
        </is>
      </c>
      <c r="AD106" t="inlineStr">
        <is>
          <t>estimada</t>
        </is>
      </c>
      <c r="AE106" t="inlineStr">
        <is>
          <t>Participacion historica por denominacion (SUP-09)</t>
        </is>
      </c>
    </row>
    <row r="107">
      <c r="A107" t="inlineStr">
        <is>
          <t>PRAGMA</t>
        </is>
      </c>
      <c r="B107" t="inlineStr">
        <is>
          <t>CALI|TRANSPORTADORA_001</t>
        </is>
      </c>
      <c r="C107" t="inlineStr">
        <is>
          <t>Cali</t>
        </is>
      </c>
      <c r="D107" t="inlineStr">
        <is>
          <t>TRANSPORTADORA_001</t>
        </is>
      </c>
      <c r="E107" s="23" t="n">
        <v>46265</v>
      </c>
      <c r="F107" s="23" t="n">
        <v>46271</v>
      </c>
      <c r="G107" t="inlineStr">
        <is>
          <t>No</t>
        </is>
      </c>
      <c r="H107" s="25" t="n">
        <v>100000</v>
      </c>
      <c r="I107" s="26" t="n">
        <v>20671186017</v>
      </c>
      <c r="J107" s="26" t="n">
        <v>735883442</v>
      </c>
      <c r="K107" s="26" t="n">
        <v>2071702904</v>
      </c>
      <c r="L107" s="26">
        <f>J107-K107</f>
        <v>-1335819462</v>
      </c>
      <c r="M107" s="26">
        <f>I107+L107</f>
        <v>19335366555</v>
      </c>
      <c r="N107" s="26" t="n">
        <v>10686140000</v>
      </c>
      <c r="O107" s="26" t="n">
        <v>26668320000</v>
      </c>
      <c r="P107" s="26">
        <f>MAX(0,N107-M107)</f>
        <v>0</v>
      </c>
      <c r="Q107" s="26">
        <f>MAX(0,M107-O107)</f>
        <v>0</v>
      </c>
      <c r="R107" t="inlineStr">
        <is>
          <t>bajo</t>
        </is>
      </c>
      <c r="S107" t="inlineStr">
        <is>
          <t>sin_accion</t>
        </is>
      </c>
      <c r="T107" t="inlineStr">
        <is>
          <t>ninguno</t>
        </is>
      </c>
      <c r="U107" s="26" t="n">
        <v>0</v>
      </c>
      <c r="X107" s="26">
        <f>IF(T107="entrada",M107+U107,IF(T107="salida",M107-U107,M107))</f>
        <v>19335366555</v>
      </c>
      <c r="Y107" s="26" t="n">
        <v>0</v>
      </c>
      <c r="Z107" t="inlineStr">
        <is>
          <t>RN-85: dentro de niveles objetivo (sin_accion)</t>
        </is>
      </c>
      <c r="AA107" t="inlineStr">
        <is>
          <t>SUP-07, SUP-10</t>
        </is>
      </c>
      <c r="AB107" t="inlineStr">
        <is>
          <t>Saldo dentro del rango objetivo; sin accion.</t>
        </is>
      </c>
      <c r="AC107" t="inlineStr">
        <is>
          <t>Cierre del dia anterior (saldo encadenado, RN-71)</t>
        </is>
      </c>
      <c r="AD107" t="inlineStr">
        <is>
          <t>estimada</t>
        </is>
      </c>
      <c r="AE107" t="inlineStr">
        <is>
          <t>Participacion historica por denominacion (SUP-09)</t>
        </is>
      </c>
    </row>
    <row r="108">
      <c r="A108" t="inlineStr">
        <is>
          <t>PRAGMA</t>
        </is>
      </c>
      <c r="B108" t="inlineStr">
        <is>
          <t>CALI|TRANSPORTADORA_001</t>
        </is>
      </c>
      <c r="C108" t="inlineStr">
        <is>
          <t>Cali</t>
        </is>
      </c>
      <c r="D108" t="inlineStr">
        <is>
          <t>TRANSPORTADORA_001</t>
        </is>
      </c>
      <c r="E108" s="23" t="n">
        <v>46265</v>
      </c>
      <c r="F108" s="23" t="n">
        <v>46272</v>
      </c>
      <c r="G108" t="inlineStr">
        <is>
          <t>Sí</t>
        </is>
      </c>
      <c r="H108" s="25" t="n">
        <v>100000</v>
      </c>
      <c r="I108" s="26" t="n">
        <v>19335366555</v>
      </c>
      <c r="J108" s="26" t="n">
        <v>10793978960</v>
      </c>
      <c r="K108" s="26" t="n">
        <v>3890729805</v>
      </c>
      <c r="L108" s="26">
        <f>J108-K108</f>
        <v>6903249155</v>
      </c>
      <c r="M108" s="26">
        <f>I108+L108</f>
        <v>26238615710</v>
      </c>
      <c r="N108" s="26" t="n">
        <v>10686140000</v>
      </c>
      <c r="O108" s="26" t="n">
        <v>26668320000</v>
      </c>
      <c r="P108" s="26">
        <f>MAX(0,N108-M108)</f>
        <v>0</v>
      </c>
      <c r="Q108" s="26">
        <f>MAX(0,M108-O108)</f>
        <v>0</v>
      </c>
      <c r="R108" t="inlineStr">
        <is>
          <t>bajo</t>
        </is>
      </c>
      <c r="S108" t="inlineStr">
        <is>
          <t>sin_accion</t>
        </is>
      </c>
      <c r="T108" t="inlineStr">
        <is>
          <t>ninguno</t>
        </is>
      </c>
      <c r="U108" s="26" t="n">
        <v>0</v>
      </c>
      <c r="X108" s="26">
        <f>IF(T108="entrada",M108+U108,IF(T108="salida",M108-U108,M108))</f>
        <v>26238615710</v>
      </c>
      <c r="Y108" s="26" t="n">
        <v>0</v>
      </c>
      <c r="Z108" t="inlineStr">
        <is>
          <t>RN-85: dentro de niveles objetivo (sin_accion)</t>
        </is>
      </c>
      <c r="AA108" t="inlineStr">
        <is>
          <t>SUP-07, SUP-10</t>
        </is>
      </c>
      <c r="AB108" t="inlineStr">
        <is>
          <t>Saldo dentro del rango objetivo; sin accion.</t>
        </is>
      </c>
      <c r="AC108" t="inlineStr">
        <is>
          <t>Cierre del dia anterior (saldo encadenado, RN-71)</t>
        </is>
      </c>
      <c r="AD108" t="inlineStr">
        <is>
          <t>estimada</t>
        </is>
      </c>
      <c r="AE108" t="inlineStr">
        <is>
          <t>Participacion historica por denominacion (SUP-09)</t>
        </is>
      </c>
    </row>
    <row r="109">
      <c r="A109" t="inlineStr">
        <is>
          <t>PRAGMA</t>
        </is>
      </c>
      <c r="B109" t="inlineStr">
        <is>
          <t>CALI|TRANSPORTADORA_001</t>
        </is>
      </c>
      <c r="C109" t="inlineStr">
        <is>
          <t>Cali</t>
        </is>
      </c>
      <c r="D109" t="inlineStr">
        <is>
          <t>TRANSPORTADORA_001</t>
        </is>
      </c>
      <c r="E109" s="23" t="n">
        <v>46265</v>
      </c>
      <c r="F109" s="23" t="n">
        <v>46273</v>
      </c>
      <c r="G109" t="inlineStr">
        <is>
          <t>Sí</t>
        </is>
      </c>
      <c r="H109" s="25" t="n">
        <v>100000</v>
      </c>
      <c r="I109" s="26" t="n">
        <v>26238615711</v>
      </c>
      <c r="J109" s="26" t="n">
        <v>7374966573</v>
      </c>
      <c r="K109" s="26" t="n">
        <v>4016675035</v>
      </c>
      <c r="L109" s="26">
        <f>J109-K109</f>
        <v>3358291538</v>
      </c>
      <c r="M109" s="26">
        <f>I109+L109</f>
        <v>29596907249</v>
      </c>
      <c r="N109" s="26" t="n">
        <v>10686140000</v>
      </c>
      <c r="O109" s="26" t="n">
        <v>26668320000</v>
      </c>
      <c r="P109" s="26">
        <f>MAX(0,N109-M109)</f>
        <v>0</v>
      </c>
      <c r="Q109" s="26">
        <f>MAX(0,M109-O109)</f>
        <v>2928587249</v>
      </c>
      <c r="R109" t="inlineStr">
        <is>
          <t>bajo</t>
        </is>
      </c>
      <c r="S109" t="inlineStr">
        <is>
          <t>venta_efectivo</t>
        </is>
      </c>
      <c r="T109" t="inlineStr">
        <is>
          <t>salida</t>
        </is>
      </c>
      <c r="U109" s="26" t="n">
        <v>2928600000</v>
      </c>
      <c r="V109" t="inlineStr">
        <is>
          <t>CALI|TRANSPORTADORA_001</t>
        </is>
      </c>
      <c r="X109" s="26">
        <f>IF(T109="entrada",M109+U109,IF(T109="salida",M109-U109,M109))</f>
        <v>26668307249</v>
      </c>
      <c r="Y109" s="26" t="n">
        <v>0</v>
      </c>
      <c r="Z109" t="inlineStr">
        <is>
          <t>Menor costo neto entre las alternativas que cubren la necesidad completa</t>
        </is>
      </c>
      <c r="AA109" t="inlineStr">
        <is>
          <t>SUP-08, SUP-10, SUP-23</t>
        </is>
      </c>
      <c r="AB109" t="inlineStr">
        <is>
          <t>Excedente de $2.928.587.249 en la denominacion 100000: saldo $29.596.907.249 sobre el maximo $26.668.320.000. Elegida: venta ($2.928.600.000; beneficio de referencia $1.171.440). Es preferible porque tiene el menor costo neto. Otras alternativas: traslado con CALI|TRANSPORTADORA_003 ($2.928.600.000; costo $0); traslado con CALI|TRANSPORTADORA_004 ($182.800.000; costo $0, cubre solo una parte); conservar ($2.928.600.000; costo de almacenar $229.602); consignacion BanRep ($2.928.600.000; costo $853.254); traslado con PASTO|TRANSPORTADORA_001 ($2.928.600.000; costo $3.610.742).</t>
        </is>
      </c>
      <c r="AC109" t="inlineStr">
        <is>
          <t>Cierre del dia anterior (saldo encadenado, RN-71)</t>
        </is>
      </c>
      <c r="AD109" t="inlineStr">
        <is>
          <t>estimada</t>
        </is>
      </c>
      <c r="AE109" t="inlineStr">
        <is>
          <t>Participacion historica por denominacion (SUP-09)</t>
        </is>
      </c>
    </row>
    <row r="110">
      <c r="A110" t="inlineStr">
        <is>
          <t>PRAGMA</t>
        </is>
      </c>
      <c r="B110" t="inlineStr">
        <is>
          <t>CALI|TRANSPORTADORA_001</t>
        </is>
      </c>
      <c r="C110" t="inlineStr">
        <is>
          <t>Cali</t>
        </is>
      </c>
      <c r="D110" t="inlineStr">
        <is>
          <t>TRANSPORTADORA_001</t>
        </is>
      </c>
      <c r="E110" s="23" t="n">
        <v>46265</v>
      </c>
      <c r="F110" s="23" t="n">
        <v>46274</v>
      </c>
      <c r="G110" t="inlineStr">
        <is>
          <t>Sí</t>
        </is>
      </c>
      <c r="H110" s="25" t="n">
        <v>100000</v>
      </c>
      <c r="I110" s="26" t="n">
        <v>26668307249</v>
      </c>
      <c r="J110" s="26" t="n">
        <v>6992450460</v>
      </c>
      <c r="K110" s="26" t="n">
        <v>3967562869</v>
      </c>
      <c r="L110" s="26">
        <f>J110-K110</f>
        <v>3024887591</v>
      </c>
      <c r="M110" s="26">
        <f>I110+L110</f>
        <v>29693194840</v>
      </c>
      <c r="N110" s="26" t="n">
        <v>10686140000</v>
      </c>
      <c r="O110" s="26" t="n">
        <v>26668320000</v>
      </c>
      <c r="P110" s="26">
        <f>MAX(0,N110-M110)</f>
        <v>0</v>
      </c>
      <c r="Q110" s="26">
        <f>MAX(0,M110-O110)</f>
        <v>3024874840</v>
      </c>
      <c r="R110" t="inlineStr">
        <is>
          <t>bajo</t>
        </is>
      </c>
      <c r="S110" t="inlineStr">
        <is>
          <t>venta_efectivo</t>
        </is>
      </c>
      <c r="T110" t="inlineStr">
        <is>
          <t>salida</t>
        </is>
      </c>
      <c r="U110" s="26" t="n">
        <v>3024900000</v>
      </c>
      <c r="V110" t="inlineStr">
        <is>
          <t>CALI|TRANSPORTADORA_001</t>
        </is>
      </c>
      <c r="X110" s="26">
        <f>IF(T110="entrada",M110+U110,IF(T110="salida",M110-U110,M110))</f>
        <v>26668294840</v>
      </c>
      <c r="Y110" s="26" t="n">
        <v>0</v>
      </c>
      <c r="Z110" t="inlineStr">
        <is>
          <t>Menor costo neto entre las alternativas que cubren la necesidad completa</t>
        </is>
      </c>
      <c r="AA110" t="inlineStr">
        <is>
          <t>SUP-08, SUP-10, SUP-23</t>
        </is>
      </c>
      <c r="AB110" t="inlineStr">
        <is>
          <t>Excedente de $3.024.874.840 en la denominacion 100000: saldo $29.693.194.840 sobre el maximo $26.668.320.000. Elegida: venta ($3.024.900.000; beneficio de referencia $1.209.960). Es preferible porque tiene el menor costo neto. Otras alternativas: traslado con CALI|TRANSPORTADORA_003 ($3.024.900.000; costo $0); traslado con CALI|TRANSPORTADORA_004 ($128.700.000; costo $0, cubre solo una parte); conservar ($3.024.900.000; costo de almacenar $207.508); consignacion BanRep ($3.024.900.000; costo $877.233); traslado con PASTO|TRANSPORTADORA_001 ($3.024.900.000; costo $3.702.901).</t>
        </is>
      </c>
      <c r="AC110" t="inlineStr">
        <is>
          <t>Cierre del dia anterior (saldo encadenado, RN-71)</t>
        </is>
      </c>
      <c r="AD110" t="inlineStr">
        <is>
          <t>estimada</t>
        </is>
      </c>
      <c r="AE110" t="inlineStr">
        <is>
          <t>Participacion historica por denominacion (SUP-09)</t>
        </is>
      </c>
    </row>
    <row r="111">
      <c r="A111" t="inlineStr">
        <is>
          <t>PRAGMA</t>
        </is>
      </c>
      <c r="B111" t="inlineStr">
        <is>
          <t>CALI|TRANSPORTADORA_001</t>
        </is>
      </c>
      <c r="C111" t="inlineStr">
        <is>
          <t>Cali</t>
        </is>
      </c>
      <c r="D111" t="inlineStr">
        <is>
          <t>TRANSPORTADORA_001</t>
        </is>
      </c>
      <c r="E111" s="23" t="n">
        <v>46265</v>
      </c>
      <c r="F111" s="23" t="n">
        <v>46275</v>
      </c>
      <c r="G111" t="inlineStr">
        <is>
          <t>Sí</t>
        </is>
      </c>
      <c r="H111" s="25" t="n">
        <v>100000</v>
      </c>
      <c r="I111" s="26" t="n">
        <v>26668294840</v>
      </c>
      <c r="J111" s="26" t="n">
        <v>7091290823</v>
      </c>
      <c r="K111" s="26" t="n">
        <v>3708116458</v>
      </c>
      <c r="L111" s="26">
        <f>J111-K111</f>
        <v>3383174365</v>
      </c>
      <c r="M111" s="26">
        <f>I111+L111</f>
        <v>30051469205</v>
      </c>
      <c r="N111" s="26" t="n">
        <v>10686140000</v>
      </c>
      <c r="O111" s="26" t="n">
        <v>26668320000</v>
      </c>
      <c r="P111" s="26">
        <f>MAX(0,N111-M111)</f>
        <v>0</v>
      </c>
      <c r="Q111" s="26">
        <f>MAX(0,M111-O111)</f>
        <v>3383149205</v>
      </c>
      <c r="R111" t="inlineStr">
        <is>
          <t>bajo</t>
        </is>
      </c>
      <c r="S111" t="inlineStr">
        <is>
          <t>venta_efectivo</t>
        </is>
      </c>
      <c r="T111" t="inlineStr">
        <is>
          <t>salida</t>
        </is>
      </c>
      <c r="U111" s="26" t="n">
        <v>3383200000</v>
      </c>
      <c r="V111" t="inlineStr">
        <is>
          <t>CALI|TRANSPORTADORA_001</t>
        </is>
      </c>
      <c r="X111" s="26">
        <f>IF(T111="entrada",M111+U111,IF(T111="salida",M111-U111,M111))</f>
        <v>26668269205</v>
      </c>
      <c r="Y111" s="26" t="n">
        <v>0</v>
      </c>
      <c r="Z111" t="inlineStr">
        <is>
          <t>Menor costo neto entre las alternativas que cubren la necesidad completa</t>
        </is>
      </c>
      <c r="AA111" t="inlineStr">
        <is>
          <t>SUP-08, SUP-10, SUP-23</t>
        </is>
      </c>
      <c r="AB111" t="inlineStr">
        <is>
          <t>Excedente de $3.383.149.205 en la denominacion 100000: saldo $30.051.469.205 sobre el maximo $26.668.320.000. Elegida: venta ($3.383.200.000; beneficio de referencia $1.353.280). Es preferible porque tiene el menor costo neto. Otras alternativas: traslado con CALI|TRANSPORTADORA_003 ($3.383.200.000; costo $0); traslado con CALI|TRANSPORTADORA_004 ($83.800.000; costo $0, cubre solo una parte); conservar ($3.383.200.000; costo de almacenar $198.932); consignacion BanRep ($3.383.200.000; costo $966.450); traslado con PASTO|TRANSPORTADORA_001 ($3.383.200.000; costo $4.045.794).</t>
        </is>
      </c>
      <c r="AC111" t="inlineStr">
        <is>
          <t>Cierre del dia anterior (saldo encadenado, RN-71)</t>
        </is>
      </c>
      <c r="AD111" t="inlineStr">
        <is>
          <t>estimada</t>
        </is>
      </c>
      <c r="AE111" t="inlineStr">
        <is>
          <t>Participacion historica por denominacion (SUP-09)</t>
        </is>
      </c>
    </row>
    <row r="112">
      <c r="A112" t="inlineStr">
        <is>
          <t>PRAGMA</t>
        </is>
      </c>
      <c r="B112" t="inlineStr">
        <is>
          <t>CALI|TRANSPORTADORA_001</t>
        </is>
      </c>
      <c r="C112" t="inlineStr">
        <is>
          <t>Cali</t>
        </is>
      </c>
      <c r="D112" t="inlineStr">
        <is>
          <t>TRANSPORTADORA_001</t>
        </is>
      </c>
      <c r="E112" s="23" t="n">
        <v>46265</v>
      </c>
      <c r="F112" s="23" t="n">
        <v>46276</v>
      </c>
      <c r="G112" t="inlineStr">
        <is>
          <t>Sí</t>
        </is>
      </c>
      <c r="H112" s="25" t="n">
        <v>100000</v>
      </c>
      <c r="I112" s="26" t="n">
        <v>26668269205</v>
      </c>
      <c r="J112" s="26" t="n">
        <v>7011250407</v>
      </c>
      <c r="K112" s="26" t="n">
        <v>4152884682</v>
      </c>
      <c r="L112" s="26">
        <f>J112-K112</f>
        <v>2858365725</v>
      </c>
      <c r="M112" s="26">
        <f>I112+L112</f>
        <v>29526634930</v>
      </c>
      <c r="N112" s="26" t="n">
        <v>10686140000</v>
      </c>
      <c r="O112" s="26" t="n">
        <v>26668320000</v>
      </c>
      <c r="P112" s="26">
        <f>MAX(0,N112-M112)</f>
        <v>0</v>
      </c>
      <c r="Q112" s="26">
        <f>MAX(0,M112-O112)</f>
        <v>2858314930</v>
      </c>
      <c r="R112" t="inlineStr">
        <is>
          <t>bajo</t>
        </is>
      </c>
      <c r="S112" t="inlineStr">
        <is>
          <t>venta_efectivo</t>
        </is>
      </c>
      <c r="T112" t="inlineStr">
        <is>
          <t>salida</t>
        </is>
      </c>
      <c r="U112" s="26" t="n">
        <v>2858400000</v>
      </c>
      <c r="V112" t="inlineStr">
        <is>
          <t>CALI|TRANSPORTADORA_001</t>
        </is>
      </c>
      <c r="X112" s="26">
        <f>IF(T112="entrada",M112+U112,IF(T112="salida",M112-U112,M112))</f>
        <v>26668234930</v>
      </c>
      <c r="Y112" s="26" t="n">
        <v>0</v>
      </c>
      <c r="Z112" t="inlineStr">
        <is>
          <t>Menor costo neto entre las alternativas que cubren la necesidad completa</t>
        </is>
      </c>
      <c r="AA112" t="inlineStr">
        <is>
          <t>SUP-08, SUP-10, SUP-23</t>
        </is>
      </c>
      <c r="AB112" t="inlineStr">
        <is>
          <t>Excedente de $2.858.314.931 en la denominacion 100000: saldo $29.526.634.931 sobre el maximo $26.668.320.000. Elegida: venta ($2.858.400.000; beneficio de referencia $1.143.360). Es preferible porque tiene el menor costo neto. Otras alternativas: traslado con CALI|TRANSPORTADORA_003 ($2.858.400.000; costo $0); traslado con CALI|TRANSPORTADORA_004 ($48.900.000; costo $0, cubre solo una parte); conservar ($2.858.400.000; costo de almacenar $140.062); consignacion BanRep ($2.858.400.000; costo $835.775); traslado con PASTO|TRANSPORTADORA_001 ($2.858.400.000; costo $3.543.561).</t>
        </is>
      </c>
      <c r="AC112" t="inlineStr">
        <is>
          <t>Cierre del dia anterior (saldo encadenado, RN-71)</t>
        </is>
      </c>
      <c r="AD112" t="inlineStr">
        <is>
          <t>estimada</t>
        </is>
      </c>
      <c r="AE112" t="inlineStr">
        <is>
          <t>Participacion historica por denominacion (SUP-09)</t>
        </is>
      </c>
    </row>
    <row r="113">
      <c r="A113" t="inlineStr">
        <is>
          <t>PRAGMA</t>
        </is>
      </c>
      <c r="B113" t="inlineStr">
        <is>
          <t>CALI|TRANSPORTADORA_001</t>
        </is>
      </c>
      <c r="C113" t="inlineStr">
        <is>
          <t>Cali</t>
        </is>
      </c>
      <c r="D113" t="inlineStr">
        <is>
          <t>TRANSPORTADORA_001</t>
        </is>
      </c>
      <c r="E113" s="23" t="n">
        <v>46265</v>
      </c>
      <c r="F113" s="23" t="n">
        <v>46277</v>
      </c>
      <c r="G113" t="inlineStr">
        <is>
          <t>No</t>
        </is>
      </c>
      <c r="H113" s="25" t="n">
        <v>100000</v>
      </c>
      <c r="I113" s="26" t="n">
        <v>26668234931</v>
      </c>
      <c r="J113" s="26" t="n">
        <v>1322550409</v>
      </c>
      <c r="K113" s="26" t="n">
        <v>3453632988</v>
      </c>
      <c r="L113" s="26">
        <f>J113-K113</f>
        <v>-2131082579</v>
      </c>
      <c r="M113" s="26">
        <f>I113+L113</f>
        <v>24537152352</v>
      </c>
      <c r="N113" s="26" t="n">
        <v>10686140000</v>
      </c>
      <c r="O113" s="26" t="n">
        <v>26668320000</v>
      </c>
      <c r="P113" s="26">
        <f>MAX(0,N113-M113)</f>
        <v>0</v>
      </c>
      <c r="Q113" s="26">
        <f>MAX(0,M113-O113)</f>
        <v>0</v>
      </c>
      <c r="R113" t="inlineStr">
        <is>
          <t>bajo</t>
        </is>
      </c>
      <c r="S113" t="inlineStr">
        <is>
          <t>sin_accion</t>
        </is>
      </c>
      <c r="T113" t="inlineStr">
        <is>
          <t>ninguno</t>
        </is>
      </c>
      <c r="U113" s="26" t="n">
        <v>0</v>
      </c>
      <c r="X113" s="26">
        <f>IF(T113="entrada",M113+U113,IF(T113="salida",M113-U113,M113))</f>
        <v>24537152352</v>
      </c>
      <c r="Y113" s="26" t="n">
        <v>0</v>
      </c>
      <c r="Z113" t="inlineStr">
        <is>
          <t>RN-85: dentro de niveles objetivo (sin_accion)</t>
        </is>
      </c>
      <c r="AA113" t="inlineStr">
        <is>
          <t>SUP-07, SUP-10</t>
        </is>
      </c>
      <c r="AB113" t="inlineStr">
        <is>
          <t>Saldo dentro del rango objetivo; sin accion.</t>
        </is>
      </c>
      <c r="AC113" t="inlineStr">
        <is>
          <t>Cierre del dia anterior (saldo encadenado, RN-71)</t>
        </is>
      </c>
      <c r="AD113" t="inlineStr">
        <is>
          <t>estimada</t>
        </is>
      </c>
      <c r="AE113" t="inlineStr">
        <is>
          <t>Participacion historica por denominacion (SUP-09)</t>
        </is>
      </c>
    </row>
    <row r="114">
      <c r="A114" t="inlineStr">
        <is>
          <t>PRAGMA</t>
        </is>
      </c>
      <c r="B114" t="inlineStr">
        <is>
          <t>CALI|TRANSPORTADORA_001</t>
        </is>
      </c>
      <c r="C114" t="inlineStr">
        <is>
          <t>Cali</t>
        </is>
      </c>
      <c r="D114" t="inlineStr">
        <is>
          <t>TRANSPORTADORA_001</t>
        </is>
      </c>
      <c r="E114" s="23" t="n">
        <v>46265</v>
      </c>
      <c r="F114" s="23" t="n">
        <v>46278</v>
      </c>
      <c r="G114" t="inlineStr">
        <is>
          <t>No</t>
        </is>
      </c>
      <c r="H114" s="25" t="n">
        <v>100000</v>
      </c>
      <c r="I114" s="26" t="n">
        <v>24537152351</v>
      </c>
      <c r="J114" s="26" t="n">
        <v>620022197</v>
      </c>
      <c r="K114" s="26" t="n">
        <v>1636133310</v>
      </c>
      <c r="L114" s="26">
        <f>J114-K114</f>
        <v>-1016111113</v>
      </c>
      <c r="M114" s="26">
        <f>I114+L114</f>
        <v>23521041238</v>
      </c>
      <c r="N114" s="26" t="n">
        <v>10686140000</v>
      </c>
      <c r="O114" s="26" t="n">
        <v>26668320000</v>
      </c>
      <c r="P114" s="26">
        <f>MAX(0,N114-M114)</f>
        <v>0</v>
      </c>
      <c r="Q114" s="26">
        <f>MAX(0,M114-O114)</f>
        <v>0</v>
      </c>
      <c r="R114" t="inlineStr">
        <is>
          <t>bajo</t>
        </is>
      </c>
      <c r="S114" t="inlineStr">
        <is>
          <t>sin_accion</t>
        </is>
      </c>
      <c r="T114" t="inlineStr">
        <is>
          <t>ninguno</t>
        </is>
      </c>
      <c r="U114" s="26" t="n">
        <v>0</v>
      </c>
      <c r="X114" s="26">
        <f>IF(T114="entrada",M114+U114,IF(T114="salida",M114-U114,M114))</f>
        <v>23521041238</v>
      </c>
      <c r="Y114" s="26" t="n">
        <v>0</v>
      </c>
      <c r="Z114" t="inlineStr">
        <is>
          <t>RN-85: dentro de niveles objetivo (sin_accion)</t>
        </is>
      </c>
      <c r="AA114" t="inlineStr">
        <is>
          <t>SUP-07, SUP-10</t>
        </is>
      </c>
      <c r="AB114" t="inlineStr">
        <is>
          <t>Saldo dentro del rango objetivo; sin accion.</t>
        </is>
      </c>
      <c r="AC114" t="inlineStr">
        <is>
          <t>Cierre del dia anterior (saldo encadenado, RN-71)</t>
        </is>
      </c>
      <c r="AD114" t="inlineStr">
        <is>
          <t>estimada</t>
        </is>
      </c>
      <c r="AE114" t="inlineStr">
        <is>
          <t>Participacion historica por denominacion (SUP-09)</t>
        </is>
      </c>
    </row>
    <row r="115">
      <c r="A115" t="inlineStr">
        <is>
          <t>PRAGMA</t>
        </is>
      </c>
      <c r="B115" t="inlineStr">
        <is>
          <t>CALI|TRANSPORTADORA_001</t>
        </is>
      </c>
      <c r="C115" t="inlineStr">
        <is>
          <t>Cali</t>
        </is>
      </c>
      <c r="D115" t="inlineStr">
        <is>
          <t>TRANSPORTADORA_001</t>
        </is>
      </c>
      <c r="E115" s="23" t="n">
        <v>46265</v>
      </c>
      <c r="F115" s="23" t="n">
        <v>46279</v>
      </c>
      <c r="G115" t="inlineStr">
        <is>
          <t>Sí</t>
        </is>
      </c>
      <c r="H115" s="25" t="n">
        <v>100000</v>
      </c>
      <c r="I115" s="26" t="n">
        <v>23521041239</v>
      </c>
      <c r="J115" s="26" t="n">
        <v>9498312552</v>
      </c>
      <c r="K115" s="26" t="n">
        <v>3833717066</v>
      </c>
      <c r="L115" s="26">
        <f>J115-K115</f>
        <v>5664595486</v>
      </c>
      <c r="M115" s="26">
        <f>I115+L115</f>
        <v>29185636725</v>
      </c>
      <c r="N115" s="26" t="n">
        <v>10686140000</v>
      </c>
      <c r="O115" s="26" t="n">
        <v>26668320000</v>
      </c>
      <c r="P115" s="26">
        <f>MAX(0,N115-M115)</f>
        <v>0</v>
      </c>
      <c r="Q115" s="26">
        <f>MAX(0,M115-O115)</f>
        <v>2517316725</v>
      </c>
      <c r="R115" t="inlineStr">
        <is>
          <t>bajo</t>
        </is>
      </c>
      <c r="S115" t="inlineStr">
        <is>
          <t>venta_efectivo</t>
        </is>
      </c>
      <c r="T115" t="inlineStr">
        <is>
          <t>salida</t>
        </is>
      </c>
      <c r="U115" s="26" t="n">
        <v>2517400000</v>
      </c>
      <c r="V115" t="inlineStr">
        <is>
          <t>CALI|TRANSPORTADORA_001</t>
        </is>
      </c>
      <c r="X115" s="26">
        <f>IF(T115="entrada",M115+U115,IF(T115="salida",M115-U115,M115))</f>
        <v>26668236725</v>
      </c>
      <c r="Y115" s="26" t="n">
        <v>0</v>
      </c>
      <c r="Z115" t="inlineStr">
        <is>
          <t>Menor costo neto entre las alternativas que cubren la necesidad completa</t>
        </is>
      </c>
      <c r="AA115" t="inlineStr">
        <is>
          <t>SUP-08, SUP-10, SUP-23</t>
        </is>
      </c>
      <c r="AB115" t="inlineStr">
        <is>
          <t>Excedente de $2.517.316.725 en la denominacion 100000: saldo $29.185.636.725 sobre el maximo $26.668.320.000. Elegida: venta ($2.517.400.000; beneficio de referencia $1.006.960). Es preferible porque tiene el menor costo neto. Otras alternativas: traslado con CALI|TRANSPORTADORA_003 ($2.517.400.000; costo $0); conservar ($2.517.400.000; costo de almacenar $49.341); consignacion BanRep ($2.517.400.000; costo $750.866); traslado con PASTO|TRANSPORTADORA_001 ($2.517.400.000; costo $3.217.224).</t>
        </is>
      </c>
      <c r="AC115" t="inlineStr">
        <is>
          <t>Cierre del dia anterior (saldo encadenado, RN-71)</t>
        </is>
      </c>
      <c r="AD115" t="inlineStr">
        <is>
          <t>estimada</t>
        </is>
      </c>
      <c r="AE115" t="inlineStr">
        <is>
          <t>Participacion historica por denominacion (SUP-09)</t>
        </is>
      </c>
    </row>
    <row r="116">
      <c r="A116" t="inlineStr">
        <is>
          <t>PRAGMA</t>
        </is>
      </c>
      <c r="B116" t="inlineStr">
        <is>
          <t>CALI|TRANSPORTADORA_001</t>
        </is>
      </c>
      <c r="C116" t="inlineStr">
        <is>
          <t>Cali</t>
        </is>
      </c>
      <c r="D116" t="inlineStr">
        <is>
          <t>TRANSPORTADORA_001</t>
        </is>
      </c>
      <c r="E116" s="23" t="n">
        <v>46265</v>
      </c>
      <c r="F116" s="23" t="n">
        <v>46280</v>
      </c>
      <c r="G116" t="inlineStr">
        <is>
          <t>Sí</t>
        </is>
      </c>
      <c r="H116" s="25" t="n">
        <v>100000</v>
      </c>
      <c r="I116" s="26" t="n">
        <v>26668236725</v>
      </c>
      <c r="J116" s="26" t="n">
        <v>7365712521</v>
      </c>
      <c r="K116" s="26" t="n">
        <v>5301611429</v>
      </c>
      <c r="L116" s="26">
        <f>J116-K116</f>
        <v>2064101092</v>
      </c>
      <c r="M116" s="26">
        <f>I116+L116</f>
        <v>28732337817</v>
      </c>
      <c r="N116" s="26" t="n">
        <v>10686140000</v>
      </c>
      <c r="O116" s="26" t="n">
        <v>26668320000</v>
      </c>
      <c r="P116" s="26">
        <f>MAX(0,N116-M116)</f>
        <v>0</v>
      </c>
      <c r="Q116" s="26">
        <f>MAX(0,M116-O116)</f>
        <v>2064017817</v>
      </c>
      <c r="R116" t="inlineStr">
        <is>
          <t>bajo</t>
        </is>
      </c>
      <c r="S116" t="inlineStr">
        <is>
          <t>venta_efectivo</t>
        </is>
      </c>
      <c r="T116" t="inlineStr">
        <is>
          <t>salida</t>
        </is>
      </c>
      <c r="U116" s="26" t="n">
        <v>2064100000</v>
      </c>
      <c r="V116" t="inlineStr">
        <is>
          <t>CALI|TRANSPORTADORA_001</t>
        </is>
      </c>
      <c r="X116" s="26">
        <f>IF(T116="entrada",M116+U116,IF(T116="salida",M116-U116,M116))</f>
        <v>26668237817</v>
      </c>
      <c r="Y116" s="26" t="n">
        <v>0</v>
      </c>
      <c r="Z116" t="inlineStr">
        <is>
          <t>Menor costo neto entre las alternativas que cubren la necesidad completa</t>
        </is>
      </c>
      <c r="AA116" t="inlineStr">
        <is>
          <t>SUP-08, SUP-10, SUP-23</t>
        </is>
      </c>
      <c r="AB116" t="inlineStr">
        <is>
          <t>Excedente de $2.064.017.816 en la denominacion 100000: saldo $28.732.337.816 sobre el maximo $26.668.320.000. Elegida: venta ($2.064.100.000; beneficio de referencia $825.640). Es preferible porque tiene el menor costo neto. Otras alternativas: traslado con CALI|TRANSPORTADORA_003 ($2.064.100.000; costo $0); conservar ($2.064.100.000; costo de almacenar $20.228); consignacion BanRep ($2.064.100.000; costo $637.994); traslado con PASTO|TRANSPORTADORA_001 ($2.064.100.000; costo $2.783.416).</t>
        </is>
      </c>
      <c r="AC116" t="inlineStr">
        <is>
          <t>Cierre del dia anterior (saldo encadenado, RN-71)</t>
        </is>
      </c>
      <c r="AD116" t="inlineStr">
        <is>
          <t>estimada</t>
        </is>
      </c>
      <c r="AE116" t="inlineStr">
        <is>
          <t>Participacion historica por denominacion (SUP-09)</t>
        </is>
      </c>
    </row>
    <row r="117">
      <c r="A117" t="inlineStr">
        <is>
          <t>PRAGMA</t>
        </is>
      </c>
      <c r="B117" t="inlineStr">
        <is>
          <t>CALI|TRANSPORTADORA_002</t>
        </is>
      </c>
      <c r="C117" t="inlineStr">
        <is>
          <t>Cali</t>
        </is>
      </c>
      <c r="D117" t="inlineStr">
        <is>
          <t>TRANSPORTADORA_002</t>
        </is>
      </c>
      <c r="E117" s="23" t="n">
        <v>46265</v>
      </c>
      <c r="F117" s="23" t="n">
        <v>46266</v>
      </c>
      <c r="G117" t="inlineStr">
        <is>
          <t>Sí</t>
        </is>
      </c>
      <c r="H117" s="25" t="n">
        <v>2000</v>
      </c>
      <c r="I117" s="26" t="n">
        <v>219422000</v>
      </c>
      <c r="J117" s="26" t="n">
        <v>209230897</v>
      </c>
      <c r="K117" s="26" t="n">
        <v>173383414</v>
      </c>
      <c r="L117" s="26">
        <f>J117-K117</f>
        <v>35847483</v>
      </c>
      <c r="M117" s="26">
        <f>I117+L117</f>
        <v>255269483</v>
      </c>
      <c r="N117" s="26" t="n">
        <v>165603000</v>
      </c>
      <c r="O117" s="26" t="n">
        <v>461995000</v>
      </c>
      <c r="P117" s="26">
        <f>MAX(0,N117-M117)</f>
        <v>0</v>
      </c>
      <c r="Q117" s="26">
        <f>MAX(0,M117-O117)</f>
        <v>0</v>
      </c>
      <c r="R117" t="inlineStr">
        <is>
          <t>bajo</t>
        </is>
      </c>
      <c r="S117" t="inlineStr">
        <is>
          <t>sin_accion</t>
        </is>
      </c>
      <c r="T117" t="inlineStr">
        <is>
          <t>ninguno</t>
        </is>
      </c>
      <c r="U117" s="26" t="n">
        <v>0</v>
      </c>
      <c r="X117" s="26">
        <f>IF(T117="entrada",M117+U117,IF(T117="salida",M117-U117,M117))</f>
        <v>255269483</v>
      </c>
      <c r="Y117" s="26" t="n">
        <v>0</v>
      </c>
      <c r="Z117" t="inlineStr">
        <is>
          <t>RN-85: dentro de niveles objetivo (sin_accion)</t>
        </is>
      </c>
      <c r="AA117" t="inlineStr">
        <is>
          <t>SUP-07, SUP-10</t>
        </is>
      </c>
      <c r="AB117" t="inlineStr">
        <is>
          <t>Saldo dentro del rango objetivo; sin accion.</t>
        </is>
      </c>
      <c r="AC117" t="inlineStr">
        <is>
          <t>Ultimo disponible al 31/08/2026 (SUP-07)</t>
        </is>
      </c>
      <c r="AD117" t="inlineStr">
        <is>
          <t>estimada</t>
        </is>
      </c>
      <c r="AE117" t="inlineStr">
        <is>
          <t>Participacion historica por denominacion (SUP-09)</t>
        </is>
      </c>
    </row>
    <row r="118">
      <c r="A118" t="inlineStr">
        <is>
          <t>PRAGMA</t>
        </is>
      </c>
      <c r="B118" t="inlineStr">
        <is>
          <t>CALI|TRANSPORTADORA_002</t>
        </is>
      </c>
      <c r="C118" t="inlineStr">
        <is>
          <t>Cali</t>
        </is>
      </c>
      <c r="D118" t="inlineStr">
        <is>
          <t>TRANSPORTADORA_002</t>
        </is>
      </c>
      <c r="E118" s="23" t="n">
        <v>46265</v>
      </c>
      <c r="F118" s="23" t="n">
        <v>46267</v>
      </c>
      <c r="G118" t="inlineStr">
        <is>
          <t>Sí</t>
        </is>
      </c>
      <c r="H118" s="25" t="n">
        <v>2000</v>
      </c>
      <c r="I118" s="26" t="n">
        <v>255269483</v>
      </c>
      <c r="J118" s="26" t="n">
        <v>196383847</v>
      </c>
      <c r="K118" s="26" t="n">
        <v>155854981</v>
      </c>
      <c r="L118" s="26">
        <f>J118-K118</f>
        <v>40528866</v>
      </c>
      <c r="M118" s="26">
        <f>I118+L118</f>
        <v>295798349</v>
      </c>
      <c r="N118" s="26" t="n">
        <v>165603000</v>
      </c>
      <c r="O118" s="26" t="n">
        <v>461995000</v>
      </c>
      <c r="P118" s="26">
        <f>MAX(0,N118-M118)</f>
        <v>0</v>
      </c>
      <c r="Q118" s="26">
        <f>MAX(0,M118-O118)</f>
        <v>0</v>
      </c>
      <c r="R118" t="inlineStr">
        <is>
          <t>bajo</t>
        </is>
      </c>
      <c r="S118" t="inlineStr">
        <is>
          <t>sin_accion</t>
        </is>
      </c>
      <c r="T118" t="inlineStr">
        <is>
          <t>ninguno</t>
        </is>
      </c>
      <c r="U118" s="26" t="n">
        <v>0</v>
      </c>
      <c r="X118" s="26">
        <f>IF(T118="entrada",M118+U118,IF(T118="salida",M118-U118,M118))</f>
        <v>295798349</v>
      </c>
      <c r="Y118" s="26" t="n">
        <v>0</v>
      </c>
      <c r="Z118" t="inlineStr">
        <is>
          <t>RN-85: dentro de niveles objetivo (sin_accion)</t>
        </is>
      </c>
      <c r="AA118" t="inlineStr">
        <is>
          <t>SUP-07, SUP-10</t>
        </is>
      </c>
      <c r="AB118" t="inlineStr">
        <is>
          <t>Saldo dentro del rango objetivo; sin accion.</t>
        </is>
      </c>
      <c r="AC118" t="inlineStr">
        <is>
          <t>Cierre del dia anterior (saldo encadenado, RN-71)</t>
        </is>
      </c>
      <c r="AD118" t="inlineStr">
        <is>
          <t>estimada</t>
        </is>
      </c>
      <c r="AE118" t="inlineStr">
        <is>
          <t>Participacion historica por denominacion (SUP-09)</t>
        </is>
      </c>
    </row>
    <row r="119">
      <c r="A119" t="inlineStr">
        <is>
          <t>PRAGMA</t>
        </is>
      </c>
      <c r="B119" t="inlineStr">
        <is>
          <t>CALI|TRANSPORTADORA_002</t>
        </is>
      </c>
      <c r="C119" t="inlineStr">
        <is>
          <t>Cali</t>
        </is>
      </c>
      <c r="D119" t="inlineStr">
        <is>
          <t>TRANSPORTADORA_002</t>
        </is>
      </c>
      <c r="E119" s="23" t="n">
        <v>46265</v>
      </c>
      <c r="F119" s="23" t="n">
        <v>46268</v>
      </c>
      <c r="G119" t="inlineStr">
        <is>
          <t>Sí</t>
        </is>
      </c>
      <c r="H119" s="25" t="n">
        <v>2000</v>
      </c>
      <c r="I119" s="26" t="n">
        <v>295798349</v>
      </c>
      <c r="J119" s="26" t="n">
        <v>189142261</v>
      </c>
      <c r="K119" s="26" t="n">
        <v>121029202</v>
      </c>
      <c r="L119" s="26">
        <f>J119-K119</f>
        <v>68113059</v>
      </c>
      <c r="M119" s="26">
        <f>I119+L119</f>
        <v>363911408</v>
      </c>
      <c r="N119" s="26" t="n">
        <v>165603000</v>
      </c>
      <c r="O119" s="26" t="n">
        <v>461995000</v>
      </c>
      <c r="P119" s="26">
        <f>MAX(0,N119-M119)</f>
        <v>0</v>
      </c>
      <c r="Q119" s="26">
        <f>MAX(0,M119-O119)</f>
        <v>0</v>
      </c>
      <c r="R119" t="inlineStr">
        <is>
          <t>bajo</t>
        </is>
      </c>
      <c r="S119" t="inlineStr">
        <is>
          <t>sin_accion</t>
        </is>
      </c>
      <c r="T119" t="inlineStr">
        <is>
          <t>ninguno</t>
        </is>
      </c>
      <c r="U119" s="26" t="n">
        <v>0</v>
      </c>
      <c r="X119" s="26">
        <f>IF(T119="entrada",M119+U119,IF(T119="salida",M119-U119,M119))</f>
        <v>363911408</v>
      </c>
      <c r="Y119" s="26" t="n">
        <v>0</v>
      </c>
      <c r="Z119" t="inlineStr">
        <is>
          <t>RN-85: dentro de niveles objetivo (sin_accion)</t>
        </is>
      </c>
      <c r="AA119" t="inlineStr">
        <is>
          <t>SUP-07, SUP-10</t>
        </is>
      </c>
      <c r="AB119" t="inlineStr">
        <is>
          <t>Saldo dentro del rango objetivo; sin accion.</t>
        </is>
      </c>
      <c r="AC119" t="inlineStr">
        <is>
          <t>Cierre del dia anterior (saldo encadenado, RN-71)</t>
        </is>
      </c>
      <c r="AD119" t="inlineStr">
        <is>
          <t>estimada</t>
        </is>
      </c>
      <c r="AE119" t="inlineStr">
        <is>
          <t>Participacion historica por denominacion (SUP-09)</t>
        </is>
      </c>
    </row>
    <row r="120">
      <c r="A120" t="inlineStr">
        <is>
          <t>PRAGMA</t>
        </is>
      </c>
      <c r="B120" t="inlineStr">
        <is>
          <t>CALI|TRANSPORTADORA_002</t>
        </is>
      </c>
      <c r="C120" t="inlineStr">
        <is>
          <t>Cali</t>
        </is>
      </c>
      <c r="D120" t="inlineStr">
        <is>
          <t>TRANSPORTADORA_002</t>
        </is>
      </c>
      <c r="E120" s="23" t="n">
        <v>46265</v>
      </c>
      <c r="F120" s="23" t="n">
        <v>46269</v>
      </c>
      <c r="G120" t="inlineStr">
        <is>
          <t>Sí</t>
        </is>
      </c>
      <c r="H120" s="25" t="n">
        <v>2000</v>
      </c>
      <c r="I120" s="26" t="n">
        <v>363911408</v>
      </c>
      <c r="J120" s="26" t="n">
        <v>199615796</v>
      </c>
      <c r="K120" s="26" t="n">
        <v>155886878</v>
      </c>
      <c r="L120" s="26">
        <f>J120-K120</f>
        <v>43728918</v>
      </c>
      <c r="M120" s="26">
        <f>I120+L120</f>
        <v>407640326</v>
      </c>
      <c r="N120" s="26" t="n">
        <v>165603000</v>
      </c>
      <c r="O120" s="26" t="n">
        <v>461995000</v>
      </c>
      <c r="P120" s="26">
        <f>MAX(0,N120-M120)</f>
        <v>0</v>
      </c>
      <c r="Q120" s="26">
        <f>MAX(0,M120-O120)</f>
        <v>0</v>
      </c>
      <c r="R120" t="inlineStr">
        <is>
          <t>bajo</t>
        </is>
      </c>
      <c r="S120" t="inlineStr">
        <is>
          <t>sin_accion</t>
        </is>
      </c>
      <c r="T120" t="inlineStr">
        <is>
          <t>ninguno</t>
        </is>
      </c>
      <c r="U120" s="26" t="n">
        <v>0</v>
      </c>
      <c r="X120" s="26">
        <f>IF(T120="entrada",M120+U120,IF(T120="salida",M120-U120,M120))</f>
        <v>407640326</v>
      </c>
      <c r="Y120" s="26" t="n">
        <v>0</v>
      </c>
      <c r="Z120" t="inlineStr">
        <is>
          <t>RN-85: dentro de niveles objetivo (sin_accion)</t>
        </is>
      </c>
      <c r="AA120" t="inlineStr">
        <is>
          <t>SUP-07, SUP-10</t>
        </is>
      </c>
      <c r="AB120" t="inlineStr">
        <is>
          <t>Saldo dentro del rango objetivo; sin accion.</t>
        </is>
      </c>
      <c r="AC120" t="inlineStr">
        <is>
          <t>Cierre del dia anterior (saldo encadenado, RN-71)</t>
        </is>
      </c>
      <c r="AD120" t="inlineStr">
        <is>
          <t>estimada</t>
        </is>
      </c>
      <c r="AE120" t="inlineStr">
        <is>
          <t>Participacion historica por denominacion (SUP-09)</t>
        </is>
      </c>
    </row>
    <row r="121">
      <c r="A121" t="inlineStr">
        <is>
          <t>PRAGMA</t>
        </is>
      </c>
      <c r="B121" t="inlineStr">
        <is>
          <t>CALI|TRANSPORTADORA_002</t>
        </is>
      </c>
      <c r="C121" t="inlineStr">
        <is>
          <t>Cali</t>
        </is>
      </c>
      <c r="D121" t="inlineStr">
        <is>
          <t>TRANSPORTADORA_002</t>
        </is>
      </c>
      <c r="E121" s="23" t="n">
        <v>46265</v>
      </c>
      <c r="F121" s="23" t="n">
        <v>46270</v>
      </c>
      <c r="G121" t="inlineStr">
        <is>
          <t>No</t>
        </is>
      </c>
      <c r="H121" s="25" t="n">
        <v>2000</v>
      </c>
      <c r="I121" s="26" t="n">
        <v>407640327</v>
      </c>
      <c r="J121" s="26" t="n">
        <v>61456115</v>
      </c>
      <c r="K121" s="26" t="n">
        <v>90371397</v>
      </c>
      <c r="L121" s="26">
        <f>J121-K121</f>
        <v>-28915282</v>
      </c>
      <c r="M121" s="26">
        <f>I121+L121</f>
        <v>378725045</v>
      </c>
      <c r="N121" s="26" t="n">
        <v>165603000</v>
      </c>
      <c r="O121" s="26" t="n">
        <v>461995000</v>
      </c>
      <c r="P121" s="26">
        <f>MAX(0,N121-M121)</f>
        <v>0</v>
      </c>
      <c r="Q121" s="26">
        <f>MAX(0,M121-O121)</f>
        <v>0</v>
      </c>
      <c r="R121" t="inlineStr">
        <is>
          <t>bajo</t>
        </is>
      </c>
      <c r="S121" t="inlineStr">
        <is>
          <t>sin_accion</t>
        </is>
      </c>
      <c r="T121" t="inlineStr">
        <is>
          <t>ninguno</t>
        </is>
      </c>
      <c r="U121" s="26" t="n">
        <v>0</v>
      </c>
      <c r="X121" s="26">
        <f>IF(T121="entrada",M121+U121,IF(T121="salida",M121-U121,M121))</f>
        <v>378725045</v>
      </c>
      <c r="Y121" s="26" t="n">
        <v>0</v>
      </c>
      <c r="Z121" t="inlineStr">
        <is>
          <t>RN-85: dentro de niveles objetivo (sin_accion)</t>
        </is>
      </c>
      <c r="AA121" t="inlineStr">
        <is>
          <t>SUP-07, SUP-10</t>
        </is>
      </c>
      <c r="AB121" t="inlineStr">
        <is>
          <t>Saldo dentro del rango objetivo; sin accion.</t>
        </is>
      </c>
      <c r="AC121" t="inlineStr">
        <is>
          <t>Cierre del dia anterior (saldo encadenado, RN-71)</t>
        </is>
      </c>
      <c r="AD121" t="inlineStr">
        <is>
          <t>estimada</t>
        </is>
      </c>
      <c r="AE121" t="inlineStr">
        <is>
          <t>Participacion historica por denominacion (SUP-09)</t>
        </is>
      </c>
    </row>
    <row r="122">
      <c r="A122" t="inlineStr">
        <is>
          <t>PRAGMA</t>
        </is>
      </c>
      <c r="B122" t="inlineStr">
        <is>
          <t>CALI|TRANSPORTADORA_002</t>
        </is>
      </c>
      <c r="C122" t="inlineStr">
        <is>
          <t>Cali</t>
        </is>
      </c>
      <c r="D122" t="inlineStr">
        <is>
          <t>TRANSPORTADORA_002</t>
        </is>
      </c>
      <c r="E122" s="23" t="n">
        <v>46265</v>
      </c>
      <c r="F122" s="23" t="n">
        <v>46271</v>
      </c>
      <c r="G122" t="inlineStr">
        <is>
          <t>No</t>
        </is>
      </c>
      <c r="H122" s="25" t="n">
        <v>2000</v>
      </c>
      <c r="I122" s="26" t="n">
        <v>378725045</v>
      </c>
      <c r="J122" s="26" t="n">
        <v>33121368</v>
      </c>
      <c r="K122" s="26" t="n">
        <v>35058700</v>
      </c>
      <c r="L122" s="26">
        <f>J122-K122</f>
        <v>-1937332</v>
      </c>
      <c r="M122" s="26">
        <f>I122+L122</f>
        <v>376787713</v>
      </c>
      <c r="N122" s="26" t="n">
        <v>165603000</v>
      </c>
      <c r="O122" s="26" t="n">
        <v>461995000</v>
      </c>
      <c r="P122" s="26">
        <f>MAX(0,N122-M122)</f>
        <v>0</v>
      </c>
      <c r="Q122" s="26">
        <f>MAX(0,M122-O122)</f>
        <v>0</v>
      </c>
      <c r="R122" t="inlineStr">
        <is>
          <t>bajo</t>
        </is>
      </c>
      <c r="S122" t="inlineStr">
        <is>
          <t>sin_accion</t>
        </is>
      </c>
      <c r="T122" t="inlineStr">
        <is>
          <t>ninguno</t>
        </is>
      </c>
      <c r="U122" s="26" t="n">
        <v>0</v>
      </c>
      <c r="X122" s="26">
        <f>IF(T122="entrada",M122+U122,IF(T122="salida",M122-U122,M122))</f>
        <v>376787713</v>
      </c>
      <c r="Y122" s="26" t="n">
        <v>0</v>
      </c>
      <c r="Z122" t="inlineStr">
        <is>
          <t>RN-85: dentro de niveles objetivo (sin_accion)</t>
        </is>
      </c>
      <c r="AA122" t="inlineStr">
        <is>
          <t>SUP-07, SUP-10</t>
        </is>
      </c>
      <c r="AB122" t="inlineStr">
        <is>
          <t>Saldo dentro del rango objetivo; sin accion.</t>
        </is>
      </c>
      <c r="AC122" t="inlineStr">
        <is>
          <t>Cierre del dia anterior (saldo encadenado, RN-71)</t>
        </is>
      </c>
      <c r="AD122" t="inlineStr">
        <is>
          <t>estimada</t>
        </is>
      </c>
      <c r="AE122" t="inlineStr">
        <is>
          <t>Participacion historica por denominacion (SUP-09)</t>
        </is>
      </c>
    </row>
    <row r="123">
      <c r="A123" t="inlineStr">
        <is>
          <t>PRAGMA</t>
        </is>
      </c>
      <c r="B123" t="inlineStr">
        <is>
          <t>CALI|TRANSPORTADORA_002</t>
        </is>
      </c>
      <c r="C123" t="inlineStr">
        <is>
          <t>Cali</t>
        </is>
      </c>
      <c r="D123" t="inlineStr">
        <is>
          <t>TRANSPORTADORA_002</t>
        </is>
      </c>
      <c r="E123" s="23" t="n">
        <v>46265</v>
      </c>
      <c r="F123" s="23" t="n">
        <v>46272</v>
      </c>
      <c r="G123" t="inlineStr">
        <is>
          <t>Sí</t>
        </is>
      </c>
      <c r="H123" s="25" t="n">
        <v>2000</v>
      </c>
      <c r="I123" s="26" t="n">
        <v>376787713</v>
      </c>
      <c r="J123" s="26" t="n">
        <v>194833265</v>
      </c>
      <c r="K123" s="26" t="n">
        <v>113403271</v>
      </c>
      <c r="L123" s="26">
        <f>J123-K123</f>
        <v>81429994</v>
      </c>
      <c r="M123" s="26">
        <f>I123+L123</f>
        <v>458217707</v>
      </c>
      <c r="N123" s="26" t="n">
        <v>165603000</v>
      </c>
      <c r="O123" s="26" t="n">
        <v>461995000</v>
      </c>
      <c r="P123" s="26">
        <f>MAX(0,N123-M123)</f>
        <v>0</v>
      </c>
      <c r="Q123" s="26">
        <f>MAX(0,M123-O123)</f>
        <v>0</v>
      </c>
      <c r="R123" t="inlineStr">
        <is>
          <t>bajo</t>
        </is>
      </c>
      <c r="S123" t="inlineStr">
        <is>
          <t>sin_accion</t>
        </is>
      </c>
      <c r="T123" t="inlineStr">
        <is>
          <t>ninguno</t>
        </is>
      </c>
      <c r="U123" s="26" t="n">
        <v>0</v>
      </c>
      <c r="X123" s="26">
        <f>IF(T123="entrada",M123+U123,IF(T123="salida",M123-U123,M123))</f>
        <v>458217707</v>
      </c>
      <c r="Y123" s="26" t="n">
        <v>0</v>
      </c>
      <c r="Z123" t="inlineStr">
        <is>
          <t>RN-85: dentro de niveles objetivo (sin_accion)</t>
        </is>
      </c>
      <c r="AA123" t="inlineStr">
        <is>
          <t>SUP-07, SUP-10</t>
        </is>
      </c>
      <c r="AB123" t="inlineStr">
        <is>
          <t>Saldo dentro del rango objetivo; sin accion.</t>
        </is>
      </c>
      <c r="AC123" t="inlineStr">
        <is>
          <t>Cierre del dia anterior (saldo encadenado, RN-71)</t>
        </is>
      </c>
      <c r="AD123" t="inlineStr">
        <is>
          <t>estimada</t>
        </is>
      </c>
      <c r="AE123" t="inlineStr">
        <is>
          <t>Participacion historica por denominacion (SUP-09)</t>
        </is>
      </c>
    </row>
    <row r="124">
      <c r="A124" t="inlineStr">
        <is>
          <t>PRAGMA</t>
        </is>
      </c>
      <c r="B124" t="inlineStr">
        <is>
          <t>CALI|TRANSPORTADORA_002</t>
        </is>
      </c>
      <c r="C124" t="inlineStr">
        <is>
          <t>Cali</t>
        </is>
      </c>
      <c r="D124" t="inlineStr">
        <is>
          <t>TRANSPORTADORA_002</t>
        </is>
      </c>
      <c r="E124" s="23" t="n">
        <v>46265</v>
      </c>
      <c r="F124" s="23" t="n">
        <v>46273</v>
      </c>
      <c r="G124" t="inlineStr">
        <is>
          <t>Sí</t>
        </is>
      </c>
      <c r="H124" s="25" t="n">
        <v>2000</v>
      </c>
      <c r="I124" s="26" t="n">
        <v>458217707</v>
      </c>
      <c r="J124" s="26" t="n">
        <v>214918729</v>
      </c>
      <c r="K124" s="26" t="n">
        <v>129788526</v>
      </c>
      <c r="L124" s="26">
        <f>J124-K124</f>
        <v>85130203</v>
      </c>
      <c r="M124" s="26">
        <f>I124+L124</f>
        <v>543347910</v>
      </c>
      <c r="N124" s="26" t="n">
        <v>165603000</v>
      </c>
      <c r="O124" s="26" t="n">
        <v>461995000</v>
      </c>
      <c r="P124" s="26">
        <f>MAX(0,N124-M124)</f>
        <v>0</v>
      </c>
      <c r="Q124" s="26">
        <f>MAX(0,M124-O124)</f>
        <v>81352910</v>
      </c>
      <c r="R124" t="inlineStr">
        <is>
          <t>bajo</t>
        </is>
      </c>
      <c r="S124" t="inlineStr">
        <is>
          <t>venta_efectivo</t>
        </is>
      </c>
      <c r="T124" t="inlineStr">
        <is>
          <t>salida</t>
        </is>
      </c>
      <c r="U124" s="26" t="n">
        <v>81354000</v>
      </c>
      <c r="V124" t="inlineStr">
        <is>
          <t>CALI|TRANSPORTADORA_002</t>
        </is>
      </c>
      <c r="X124" s="26">
        <f>IF(T124="entrada",M124+U124,IF(T124="salida",M124-U124,M124))</f>
        <v>461993910</v>
      </c>
      <c r="Y124" s="26" t="n">
        <v>0</v>
      </c>
      <c r="Z124" t="inlineStr">
        <is>
          <t>Menor costo neto entre las alternativas que cubren la necesidad completa</t>
        </is>
      </c>
      <c r="AA124" t="inlineStr">
        <is>
          <t>SUP-08, SUP-10, SUP-23</t>
        </is>
      </c>
      <c r="AB124" t="inlineStr">
        <is>
          <t>Excedente de $81.352.910 en la denominacion 2000: saldo $543.347.910 sobre el maximo $461.995.000. Elegida: venta ($81.354.000; beneficio de referencia $32.542). Es preferible porque tiene el menor costo neto. Otras alternativas: traslado con CALI|TRANSPORTADORA_001 ($4.726.000; costo $0, cubre solo una parte); traslado con CALI|TRANSPORTADORA_003 ($81.354.000; costo $0); conservar ($81.354.000; costo de almacenar $6.498); consignacion BanRep ($81.354.000; costo $145.379).</t>
        </is>
      </c>
      <c r="AC124" t="inlineStr">
        <is>
          <t>Cierre del dia anterior (saldo encadenado, RN-71)</t>
        </is>
      </c>
      <c r="AD124" t="inlineStr">
        <is>
          <t>estimada</t>
        </is>
      </c>
      <c r="AE124" t="inlineStr">
        <is>
          <t>Participacion historica por denominacion (SUP-09)</t>
        </is>
      </c>
    </row>
    <row r="125">
      <c r="A125" t="inlineStr">
        <is>
          <t>PRAGMA</t>
        </is>
      </c>
      <c r="B125" t="inlineStr">
        <is>
          <t>CALI|TRANSPORTADORA_002</t>
        </is>
      </c>
      <c r="C125" t="inlineStr">
        <is>
          <t>Cali</t>
        </is>
      </c>
      <c r="D125" t="inlineStr">
        <is>
          <t>TRANSPORTADORA_002</t>
        </is>
      </c>
      <c r="E125" s="23" t="n">
        <v>46265</v>
      </c>
      <c r="F125" s="23" t="n">
        <v>46274</v>
      </c>
      <c r="G125" t="inlineStr">
        <is>
          <t>Sí</t>
        </is>
      </c>
      <c r="H125" s="25" t="n">
        <v>2000</v>
      </c>
      <c r="I125" s="26" t="n">
        <v>461993910</v>
      </c>
      <c r="J125" s="26" t="n">
        <v>202900761</v>
      </c>
      <c r="K125" s="26" t="n">
        <v>129628645</v>
      </c>
      <c r="L125" s="26">
        <f>J125-K125</f>
        <v>73272116</v>
      </c>
      <c r="M125" s="26">
        <f>I125+L125</f>
        <v>535266026</v>
      </c>
      <c r="N125" s="26" t="n">
        <v>165603000</v>
      </c>
      <c r="O125" s="26" t="n">
        <v>461995000</v>
      </c>
      <c r="P125" s="26">
        <f>MAX(0,N125-M125)</f>
        <v>0</v>
      </c>
      <c r="Q125" s="26">
        <f>MAX(0,M125-O125)</f>
        <v>73271026</v>
      </c>
      <c r="R125" t="inlineStr">
        <is>
          <t>bajo</t>
        </is>
      </c>
      <c r="S125" t="inlineStr">
        <is>
          <t>venta_efectivo</t>
        </is>
      </c>
      <c r="T125" t="inlineStr">
        <is>
          <t>salida</t>
        </is>
      </c>
      <c r="U125" s="26" t="n">
        <v>73272000</v>
      </c>
      <c r="V125" t="inlineStr">
        <is>
          <t>CALI|TRANSPORTADORA_002</t>
        </is>
      </c>
      <c r="X125" s="26">
        <f>IF(T125="entrada",M125+U125,IF(T125="salida",M125-U125,M125))</f>
        <v>461994026</v>
      </c>
      <c r="Y125" s="26" t="n">
        <v>0</v>
      </c>
      <c r="Z125" t="inlineStr">
        <is>
          <t>Menor costo neto entre las alternativas que cubren la necesidad completa</t>
        </is>
      </c>
      <c r="AA125" t="inlineStr">
        <is>
          <t>SUP-08, SUP-10, SUP-23</t>
        </is>
      </c>
      <c r="AB125" t="inlineStr">
        <is>
          <t>Excedente de $73.271.026 en la denominacion 2000: saldo $535.266.026 sobre el maximo $461.995.000. Elegida: venta ($73.272.000; beneficio de referencia $29.309). Es preferible porque tiene el menor costo neto. Otras alternativas: traslado con CALI|TRANSPORTADORA_003 ($73.272.000; costo $0); conservar ($73.272.000; costo de almacenar $5.121); consignacion BanRep ($73.272.000; costo $143.172).</t>
        </is>
      </c>
      <c r="AC125" t="inlineStr">
        <is>
          <t>Cierre del dia anterior (saldo encadenado, RN-71)</t>
        </is>
      </c>
      <c r="AD125" t="inlineStr">
        <is>
          <t>estimada</t>
        </is>
      </c>
      <c r="AE125" t="inlineStr">
        <is>
          <t>Participacion historica por denominacion (SUP-09)</t>
        </is>
      </c>
    </row>
    <row r="126">
      <c r="A126" t="inlineStr">
        <is>
          <t>PRAGMA</t>
        </is>
      </c>
      <c r="B126" t="inlineStr">
        <is>
          <t>CALI|TRANSPORTADORA_002</t>
        </is>
      </c>
      <c r="C126" t="inlineStr">
        <is>
          <t>Cali</t>
        </is>
      </c>
      <c r="D126" t="inlineStr">
        <is>
          <t>TRANSPORTADORA_002</t>
        </is>
      </c>
      <c r="E126" s="23" t="n">
        <v>46265</v>
      </c>
      <c r="F126" s="23" t="n">
        <v>46275</v>
      </c>
      <c r="G126" t="inlineStr">
        <is>
          <t>Sí</t>
        </is>
      </c>
      <c r="H126" s="25" t="n">
        <v>2000</v>
      </c>
      <c r="I126" s="26" t="n">
        <v>461994026</v>
      </c>
      <c r="J126" s="26" t="n">
        <v>184356651</v>
      </c>
      <c r="K126" s="26" t="n">
        <v>121681767</v>
      </c>
      <c r="L126" s="26">
        <f>J126-K126</f>
        <v>62674884</v>
      </c>
      <c r="M126" s="26">
        <f>I126+L126</f>
        <v>524668910</v>
      </c>
      <c r="N126" s="26" t="n">
        <v>165603000</v>
      </c>
      <c r="O126" s="26" t="n">
        <v>461995000</v>
      </c>
      <c r="P126" s="26">
        <f>MAX(0,N126-M126)</f>
        <v>0</v>
      </c>
      <c r="Q126" s="26">
        <f>MAX(0,M126-O126)</f>
        <v>62673910</v>
      </c>
      <c r="R126" t="inlineStr">
        <is>
          <t>bajo</t>
        </is>
      </c>
      <c r="S126" t="inlineStr">
        <is>
          <t>venta_efectivo</t>
        </is>
      </c>
      <c r="T126" t="inlineStr">
        <is>
          <t>salida</t>
        </is>
      </c>
      <c r="U126" s="26" t="n">
        <v>62674000</v>
      </c>
      <c r="V126" t="inlineStr">
        <is>
          <t>CALI|TRANSPORTADORA_002</t>
        </is>
      </c>
      <c r="X126" s="26">
        <f>IF(T126="entrada",M126+U126,IF(T126="salida",M126-U126,M126))</f>
        <v>461994910</v>
      </c>
      <c r="Y126" s="26" t="n">
        <v>0</v>
      </c>
      <c r="Z126" t="inlineStr">
        <is>
          <t>Menor costo neto entre las alternativas que cubren la necesidad completa</t>
        </is>
      </c>
      <c r="AA126" t="inlineStr">
        <is>
          <t>SUP-08, SUP-10, SUP-23</t>
        </is>
      </c>
      <c r="AB126" t="inlineStr">
        <is>
          <t>Excedente de $62.673.910 en la denominacion 2000: saldo $524.668.910 sobre el maximo $461.995.000. Elegida: venta ($62.674.000; beneficio de referencia $25.070). Es preferible porque tiene el menor costo neto. Otras alternativas: traslado con CALI|TRANSPORTADORA_003 ($62.674.000; costo $0); conservar ($62.674.000; costo de almacenar $3.755); consignacion BanRep ($62.674.000; costo $140.279).</t>
        </is>
      </c>
      <c r="AC126" t="inlineStr">
        <is>
          <t>Cierre del dia anterior (saldo encadenado, RN-71)</t>
        </is>
      </c>
      <c r="AD126" t="inlineStr">
        <is>
          <t>estimada</t>
        </is>
      </c>
      <c r="AE126" t="inlineStr">
        <is>
          <t>Participacion historica por denominacion (SUP-09)</t>
        </is>
      </c>
    </row>
    <row r="127">
      <c r="A127" t="inlineStr">
        <is>
          <t>PRAGMA</t>
        </is>
      </c>
      <c r="B127" t="inlineStr">
        <is>
          <t>CALI|TRANSPORTADORA_002</t>
        </is>
      </c>
      <c r="C127" t="inlineStr">
        <is>
          <t>Cali</t>
        </is>
      </c>
      <c r="D127" t="inlineStr">
        <is>
          <t>TRANSPORTADORA_002</t>
        </is>
      </c>
      <c r="E127" s="23" t="n">
        <v>46265</v>
      </c>
      <c r="F127" s="23" t="n">
        <v>46276</v>
      </c>
      <c r="G127" t="inlineStr">
        <is>
          <t>Sí</t>
        </is>
      </c>
      <c r="H127" s="25" t="n">
        <v>2000</v>
      </c>
      <c r="I127" s="26" t="n">
        <v>461994910</v>
      </c>
      <c r="J127" s="26" t="n">
        <v>197084988</v>
      </c>
      <c r="K127" s="26" t="n">
        <v>134644395</v>
      </c>
      <c r="L127" s="26">
        <f>J127-K127</f>
        <v>62440593</v>
      </c>
      <c r="M127" s="26">
        <f>I127+L127</f>
        <v>524435503</v>
      </c>
      <c r="N127" s="26" t="n">
        <v>165603000</v>
      </c>
      <c r="O127" s="26" t="n">
        <v>461995000</v>
      </c>
      <c r="P127" s="26">
        <f>MAX(0,N127-M127)</f>
        <v>0</v>
      </c>
      <c r="Q127" s="26">
        <f>MAX(0,M127-O127)</f>
        <v>62440503</v>
      </c>
      <c r="R127" t="inlineStr">
        <is>
          <t>bajo</t>
        </is>
      </c>
      <c r="S127" t="inlineStr">
        <is>
          <t>venta_efectivo</t>
        </is>
      </c>
      <c r="T127" t="inlineStr">
        <is>
          <t>salida</t>
        </is>
      </c>
      <c r="U127" s="26" t="n">
        <v>62442000</v>
      </c>
      <c r="V127" t="inlineStr">
        <is>
          <t>CALI|TRANSPORTADORA_002</t>
        </is>
      </c>
      <c r="X127" s="26">
        <f>IF(T127="entrada",M127+U127,IF(T127="salida",M127-U127,M127))</f>
        <v>461993503</v>
      </c>
      <c r="Y127" s="26" t="n">
        <v>0</v>
      </c>
      <c r="Z127" t="inlineStr">
        <is>
          <t>Menor costo neto entre las alternativas que cubren la necesidad completa</t>
        </is>
      </c>
      <c r="AA127" t="inlineStr">
        <is>
          <t>SUP-08, SUP-10, SUP-23</t>
        </is>
      </c>
      <c r="AB127" t="inlineStr">
        <is>
          <t>Excedente de $62.440.503 en la denominacion 2000: saldo $524.435.503 sobre el maximo $461.995.000. Elegida: venta ($62.442.000; beneficio de referencia $24.977). Es preferible porque tiene el menor costo neto. Otras alternativas: traslado con CALI|TRANSPORTADORA_003 ($62.442.000; costo $0); conservar ($62.442.000; costo de almacenar $3.117); consignacion BanRep ($62.442.000; costo $140.216).</t>
        </is>
      </c>
      <c r="AC127" t="inlineStr">
        <is>
          <t>Cierre del dia anterior (saldo encadenado, RN-71)</t>
        </is>
      </c>
      <c r="AD127" t="inlineStr">
        <is>
          <t>estimada</t>
        </is>
      </c>
      <c r="AE127" t="inlineStr">
        <is>
          <t>Participacion historica por denominacion (SUP-09)</t>
        </is>
      </c>
    </row>
    <row r="128">
      <c r="A128" t="inlineStr">
        <is>
          <t>PRAGMA</t>
        </is>
      </c>
      <c r="B128" t="inlineStr">
        <is>
          <t>CALI|TRANSPORTADORA_002</t>
        </is>
      </c>
      <c r="C128" t="inlineStr">
        <is>
          <t>Cali</t>
        </is>
      </c>
      <c r="D128" t="inlineStr">
        <is>
          <t>TRANSPORTADORA_002</t>
        </is>
      </c>
      <c r="E128" s="23" t="n">
        <v>46265</v>
      </c>
      <c r="F128" s="23" t="n">
        <v>46277</v>
      </c>
      <c r="G128" t="inlineStr">
        <is>
          <t>No</t>
        </is>
      </c>
      <c r="H128" s="25" t="n">
        <v>2000</v>
      </c>
      <c r="I128" s="26" t="n">
        <v>461993503</v>
      </c>
      <c r="J128" s="26" t="n">
        <v>59681505</v>
      </c>
      <c r="K128" s="26" t="n">
        <v>77026715</v>
      </c>
      <c r="L128" s="26">
        <f>J128-K128</f>
        <v>-17345210</v>
      </c>
      <c r="M128" s="26">
        <f>I128+L128</f>
        <v>444648293</v>
      </c>
      <c r="N128" s="26" t="n">
        <v>165603000</v>
      </c>
      <c r="O128" s="26" t="n">
        <v>461995000</v>
      </c>
      <c r="P128" s="26">
        <f>MAX(0,N128-M128)</f>
        <v>0</v>
      </c>
      <c r="Q128" s="26">
        <f>MAX(0,M128-O128)</f>
        <v>0</v>
      </c>
      <c r="R128" t="inlineStr">
        <is>
          <t>bajo</t>
        </is>
      </c>
      <c r="S128" t="inlineStr">
        <is>
          <t>sin_accion</t>
        </is>
      </c>
      <c r="T128" t="inlineStr">
        <is>
          <t>ninguno</t>
        </is>
      </c>
      <c r="U128" s="26" t="n">
        <v>0</v>
      </c>
      <c r="X128" s="26">
        <f>IF(T128="entrada",M128+U128,IF(T128="salida",M128-U128,M128))</f>
        <v>444648293</v>
      </c>
      <c r="Y128" s="26" t="n">
        <v>0</v>
      </c>
      <c r="Z128" t="inlineStr">
        <is>
          <t>RN-85: dentro de niveles objetivo (sin_accion)</t>
        </is>
      </c>
      <c r="AA128" t="inlineStr">
        <is>
          <t>SUP-07, SUP-10</t>
        </is>
      </c>
      <c r="AB128" t="inlineStr">
        <is>
          <t>Saldo dentro del rango objetivo; sin accion.</t>
        </is>
      </c>
      <c r="AC128" t="inlineStr">
        <is>
          <t>Cierre del dia anterior (saldo encadenado, RN-71)</t>
        </is>
      </c>
      <c r="AD128" t="inlineStr">
        <is>
          <t>estimada</t>
        </is>
      </c>
      <c r="AE128" t="inlineStr">
        <is>
          <t>Participacion historica por denominacion (SUP-09)</t>
        </is>
      </c>
    </row>
    <row r="129">
      <c r="A129" t="inlineStr">
        <is>
          <t>PRAGMA</t>
        </is>
      </c>
      <c r="B129" t="inlineStr">
        <is>
          <t>CALI|TRANSPORTADORA_002</t>
        </is>
      </c>
      <c r="C129" t="inlineStr">
        <is>
          <t>Cali</t>
        </is>
      </c>
      <c r="D129" t="inlineStr">
        <is>
          <t>TRANSPORTADORA_002</t>
        </is>
      </c>
      <c r="E129" s="23" t="n">
        <v>46265</v>
      </c>
      <c r="F129" s="23" t="n">
        <v>46278</v>
      </c>
      <c r="G129" t="inlineStr">
        <is>
          <t>No</t>
        </is>
      </c>
      <c r="H129" s="25" t="n">
        <v>2000</v>
      </c>
      <c r="I129" s="26" t="n">
        <v>444648293</v>
      </c>
      <c r="J129" s="26" t="n">
        <v>27582341</v>
      </c>
      <c r="K129" s="26" t="n">
        <v>27300276</v>
      </c>
      <c r="L129" s="26">
        <f>J129-K129</f>
        <v>282065</v>
      </c>
      <c r="M129" s="26">
        <f>I129+L129</f>
        <v>444930358</v>
      </c>
      <c r="N129" s="26" t="n">
        <v>165603000</v>
      </c>
      <c r="O129" s="26" t="n">
        <v>461995000</v>
      </c>
      <c r="P129" s="26">
        <f>MAX(0,N129-M129)</f>
        <v>0</v>
      </c>
      <c r="Q129" s="26">
        <f>MAX(0,M129-O129)</f>
        <v>0</v>
      </c>
      <c r="R129" t="inlineStr">
        <is>
          <t>bajo</t>
        </is>
      </c>
      <c r="S129" t="inlineStr">
        <is>
          <t>sin_accion</t>
        </is>
      </c>
      <c r="T129" t="inlineStr">
        <is>
          <t>ninguno</t>
        </is>
      </c>
      <c r="U129" s="26" t="n">
        <v>0</v>
      </c>
      <c r="X129" s="26">
        <f>IF(T129="entrada",M129+U129,IF(T129="salida",M129-U129,M129))</f>
        <v>444930358</v>
      </c>
      <c r="Y129" s="26" t="n">
        <v>0</v>
      </c>
      <c r="Z129" t="inlineStr">
        <is>
          <t>RN-85: dentro de niveles objetivo (sin_accion)</t>
        </is>
      </c>
      <c r="AA129" t="inlineStr">
        <is>
          <t>SUP-07, SUP-10</t>
        </is>
      </c>
      <c r="AB129" t="inlineStr">
        <is>
          <t>Saldo dentro del rango objetivo; sin accion.</t>
        </is>
      </c>
      <c r="AC129" t="inlineStr">
        <is>
          <t>Cierre del dia anterior (saldo encadenado, RN-71)</t>
        </is>
      </c>
      <c r="AD129" t="inlineStr">
        <is>
          <t>estimada</t>
        </is>
      </c>
      <c r="AE129" t="inlineStr">
        <is>
          <t>Participacion historica por denominacion (SUP-09)</t>
        </is>
      </c>
    </row>
    <row r="130">
      <c r="A130" t="inlineStr">
        <is>
          <t>PRAGMA</t>
        </is>
      </c>
      <c r="B130" t="inlineStr">
        <is>
          <t>CALI|TRANSPORTADORA_002</t>
        </is>
      </c>
      <c r="C130" t="inlineStr">
        <is>
          <t>Cali</t>
        </is>
      </c>
      <c r="D130" t="inlineStr">
        <is>
          <t>TRANSPORTADORA_002</t>
        </is>
      </c>
      <c r="E130" s="23" t="n">
        <v>46265</v>
      </c>
      <c r="F130" s="23" t="n">
        <v>46279</v>
      </c>
      <c r="G130" t="inlineStr">
        <is>
          <t>Sí</t>
        </is>
      </c>
      <c r="H130" s="25" t="n">
        <v>2000</v>
      </c>
      <c r="I130" s="26" t="n">
        <v>444930357</v>
      </c>
      <c r="J130" s="26" t="n">
        <v>197611385</v>
      </c>
      <c r="K130" s="26" t="n">
        <v>115404282</v>
      </c>
      <c r="L130" s="26">
        <f>J130-K130</f>
        <v>82207103</v>
      </c>
      <c r="M130" s="26">
        <f>I130+L130</f>
        <v>527137460</v>
      </c>
      <c r="N130" s="26" t="n">
        <v>165603000</v>
      </c>
      <c r="O130" s="26" t="n">
        <v>461995000</v>
      </c>
      <c r="P130" s="26">
        <f>MAX(0,N130-M130)</f>
        <v>0</v>
      </c>
      <c r="Q130" s="26">
        <f>MAX(0,M130-O130)</f>
        <v>65142460</v>
      </c>
      <c r="R130" t="inlineStr">
        <is>
          <t>bajo</t>
        </is>
      </c>
      <c r="S130" t="inlineStr">
        <is>
          <t>venta_efectivo</t>
        </is>
      </c>
      <c r="T130" t="inlineStr">
        <is>
          <t>salida</t>
        </is>
      </c>
      <c r="U130" s="26" t="n">
        <v>65144000</v>
      </c>
      <c r="V130" t="inlineStr">
        <is>
          <t>CALI|TRANSPORTADORA_002</t>
        </is>
      </c>
      <c r="X130" s="26">
        <f>IF(T130="entrada",M130+U130,IF(T130="salida",M130-U130,M130))</f>
        <v>461993460</v>
      </c>
      <c r="Y130" s="26" t="n">
        <v>0</v>
      </c>
      <c r="Z130" t="inlineStr">
        <is>
          <t>Menor costo neto entre las alternativas que cubren la necesidad completa</t>
        </is>
      </c>
      <c r="AA130" t="inlineStr">
        <is>
          <t>SUP-08, SUP-10, SUP-23</t>
        </is>
      </c>
      <c r="AB130" t="inlineStr">
        <is>
          <t>Excedente de $65.142.460 en la denominacion 2000: saldo $527.137.460 sobre el maximo $461.995.000. Elegida: venta ($65.144.000; beneficio de referencia $26.058). Es preferible porque tiene el menor costo neto. Otras alternativas: traslado con CALI|TRANSPORTADORA_003 ($65.144.000; costo $0); conservar ($65.144.000; costo de almacenar $1.301); consignacion BanRep ($65.144.000; costo $140.953).</t>
        </is>
      </c>
      <c r="AC130" t="inlineStr">
        <is>
          <t>Cierre del dia anterior (saldo encadenado, RN-71)</t>
        </is>
      </c>
      <c r="AD130" t="inlineStr">
        <is>
          <t>estimada</t>
        </is>
      </c>
      <c r="AE130" t="inlineStr">
        <is>
          <t>Participacion historica por denominacion (SUP-09)</t>
        </is>
      </c>
    </row>
    <row r="131">
      <c r="A131" t="inlineStr">
        <is>
          <t>PRAGMA</t>
        </is>
      </c>
      <c r="B131" t="inlineStr">
        <is>
          <t>CALI|TRANSPORTADORA_002</t>
        </is>
      </c>
      <c r="C131" t="inlineStr">
        <is>
          <t>Cali</t>
        </is>
      </c>
      <c r="D131" t="inlineStr">
        <is>
          <t>TRANSPORTADORA_002</t>
        </is>
      </c>
      <c r="E131" s="23" t="n">
        <v>46265</v>
      </c>
      <c r="F131" s="23" t="n">
        <v>46280</v>
      </c>
      <c r="G131" t="inlineStr">
        <is>
          <t>Sí</t>
        </is>
      </c>
      <c r="H131" s="25" t="n">
        <v>2000</v>
      </c>
      <c r="I131" s="26" t="n">
        <v>461993460</v>
      </c>
      <c r="J131" s="26" t="n">
        <v>213474694</v>
      </c>
      <c r="K131" s="26" t="n">
        <v>151245109</v>
      </c>
      <c r="L131" s="26">
        <f>J131-K131</f>
        <v>62229585</v>
      </c>
      <c r="M131" s="26">
        <f>I131+L131</f>
        <v>524223045</v>
      </c>
      <c r="N131" s="26" t="n">
        <v>165603000</v>
      </c>
      <c r="O131" s="26" t="n">
        <v>461995000</v>
      </c>
      <c r="P131" s="26">
        <f>MAX(0,N131-M131)</f>
        <v>0</v>
      </c>
      <c r="Q131" s="26">
        <f>MAX(0,M131-O131)</f>
        <v>62228045</v>
      </c>
      <c r="R131" t="inlineStr">
        <is>
          <t>bajo</t>
        </is>
      </c>
      <c r="S131" t="inlineStr">
        <is>
          <t>venta_efectivo</t>
        </is>
      </c>
      <c r="T131" t="inlineStr">
        <is>
          <t>salida</t>
        </is>
      </c>
      <c r="U131" s="26" t="n">
        <v>62230000</v>
      </c>
      <c r="V131" t="inlineStr">
        <is>
          <t>CALI|TRANSPORTADORA_002</t>
        </is>
      </c>
      <c r="X131" s="26">
        <f>IF(T131="entrada",M131+U131,IF(T131="salida",M131-U131,M131))</f>
        <v>461993045</v>
      </c>
      <c r="Y131" s="26" t="n">
        <v>0</v>
      </c>
      <c r="Z131" t="inlineStr">
        <is>
          <t>Menor costo neto entre las alternativas que cubren la necesidad completa</t>
        </is>
      </c>
      <c r="AA131" t="inlineStr">
        <is>
          <t>SUP-08, SUP-10, SUP-23</t>
        </is>
      </c>
      <c r="AB131" t="inlineStr">
        <is>
          <t>Excedente de $62.228.045 en la denominacion 2000: saldo $524.223.045 sobre el maximo $461.995.000. Elegida: venta ($62.230.000; beneficio de referencia $24.892). Es preferible porque tiene el menor costo neto. Otras alternativas: traslado con CALI|TRANSPORTADORA_003 ($62.230.000; costo $0); conservar ($62.230.000; costo de almacenar $621); consignacion BanRep ($62.230.000; costo $140.158).</t>
        </is>
      </c>
      <c r="AC131" t="inlineStr">
        <is>
          <t>Cierre del dia anterior (saldo encadenado, RN-71)</t>
        </is>
      </c>
      <c r="AD131" t="inlineStr">
        <is>
          <t>estimada</t>
        </is>
      </c>
      <c r="AE131" t="inlineStr">
        <is>
          <t>Participacion historica por denominacion (SUP-09)</t>
        </is>
      </c>
    </row>
    <row r="132">
      <c r="A132" t="inlineStr">
        <is>
          <t>PRAGMA</t>
        </is>
      </c>
      <c r="B132" t="inlineStr">
        <is>
          <t>CALI|TRANSPORTADORA_002</t>
        </is>
      </c>
      <c r="C132" t="inlineStr">
        <is>
          <t>Cali</t>
        </is>
      </c>
      <c r="D132" t="inlineStr">
        <is>
          <t>TRANSPORTADORA_002</t>
        </is>
      </c>
      <c r="E132" s="23" t="n">
        <v>46265</v>
      </c>
      <c r="F132" s="23" t="n">
        <v>46266</v>
      </c>
      <c r="G132" t="inlineStr">
        <is>
          <t>Sí</t>
        </is>
      </c>
      <c r="H132" s="25" t="n">
        <v>5000</v>
      </c>
      <c r="I132" s="26" t="n">
        <v>330965000</v>
      </c>
      <c r="J132" s="26" t="n">
        <v>376143693</v>
      </c>
      <c r="K132" s="26" t="n">
        <v>311699079</v>
      </c>
      <c r="L132" s="26">
        <f>J132-K132</f>
        <v>64444614</v>
      </c>
      <c r="M132" s="26">
        <f>I132+L132</f>
        <v>395409614</v>
      </c>
      <c r="N132" s="26" t="n">
        <v>313972500</v>
      </c>
      <c r="O132" s="26" t="n">
        <v>691400000</v>
      </c>
      <c r="P132" s="26">
        <f>MAX(0,N132-M132)</f>
        <v>0</v>
      </c>
      <c r="Q132" s="26">
        <f>MAX(0,M132-O132)</f>
        <v>0</v>
      </c>
      <c r="R132" t="inlineStr">
        <is>
          <t>bajo</t>
        </is>
      </c>
      <c r="S132" t="inlineStr">
        <is>
          <t>sin_accion</t>
        </is>
      </c>
      <c r="T132" t="inlineStr">
        <is>
          <t>ninguno</t>
        </is>
      </c>
      <c r="U132" s="26" t="n">
        <v>0</v>
      </c>
      <c r="X132" s="26">
        <f>IF(T132="entrada",M132+U132,IF(T132="salida",M132-U132,M132))</f>
        <v>395409614</v>
      </c>
      <c r="Y132" s="26" t="n">
        <v>0</v>
      </c>
      <c r="Z132" t="inlineStr">
        <is>
          <t>RN-85: dentro de niveles objetivo (sin_accion)</t>
        </is>
      </c>
      <c r="AA132" t="inlineStr">
        <is>
          <t>SUP-07, SUP-10</t>
        </is>
      </c>
      <c r="AB132" t="inlineStr">
        <is>
          <t>Saldo dentro del rango objetivo; sin accion.</t>
        </is>
      </c>
      <c r="AC132" t="inlineStr">
        <is>
          <t>Ultimo disponible al 31/08/2026 (SUP-07)</t>
        </is>
      </c>
      <c r="AD132" t="inlineStr">
        <is>
          <t>estimada</t>
        </is>
      </c>
      <c r="AE132" t="inlineStr">
        <is>
          <t>Participacion historica por denominacion (SUP-09)</t>
        </is>
      </c>
    </row>
    <row r="133">
      <c r="A133" t="inlineStr">
        <is>
          <t>PRAGMA</t>
        </is>
      </c>
      <c r="B133" t="inlineStr">
        <is>
          <t>CALI|TRANSPORTADORA_002</t>
        </is>
      </c>
      <c r="C133" t="inlineStr">
        <is>
          <t>Cali</t>
        </is>
      </c>
      <c r="D133" t="inlineStr">
        <is>
          <t>TRANSPORTADORA_002</t>
        </is>
      </c>
      <c r="E133" s="23" t="n">
        <v>46265</v>
      </c>
      <c r="F133" s="23" t="n">
        <v>46267</v>
      </c>
      <c r="G133" t="inlineStr">
        <is>
          <t>Sí</t>
        </is>
      </c>
      <c r="H133" s="25" t="n">
        <v>5000</v>
      </c>
      <c r="I133" s="26" t="n">
        <v>395409615</v>
      </c>
      <c r="J133" s="26" t="n">
        <v>353047982</v>
      </c>
      <c r="K133" s="26" t="n">
        <v>280187435</v>
      </c>
      <c r="L133" s="26">
        <f>J133-K133</f>
        <v>72860547</v>
      </c>
      <c r="M133" s="26">
        <f>I133+L133</f>
        <v>468270162</v>
      </c>
      <c r="N133" s="26" t="n">
        <v>313972500</v>
      </c>
      <c r="O133" s="26" t="n">
        <v>691400000</v>
      </c>
      <c r="P133" s="26">
        <f>MAX(0,N133-M133)</f>
        <v>0</v>
      </c>
      <c r="Q133" s="26">
        <f>MAX(0,M133-O133)</f>
        <v>0</v>
      </c>
      <c r="R133" t="inlineStr">
        <is>
          <t>bajo</t>
        </is>
      </c>
      <c r="S133" t="inlineStr">
        <is>
          <t>sin_accion</t>
        </is>
      </c>
      <c r="T133" t="inlineStr">
        <is>
          <t>ninguno</t>
        </is>
      </c>
      <c r="U133" s="26" t="n">
        <v>0</v>
      </c>
      <c r="X133" s="26">
        <f>IF(T133="entrada",M133+U133,IF(T133="salida",M133-U133,M133))</f>
        <v>468270162</v>
      </c>
      <c r="Y133" s="26" t="n">
        <v>0</v>
      </c>
      <c r="Z133" t="inlineStr">
        <is>
          <t>RN-85: dentro de niveles objetivo (sin_accion)</t>
        </is>
      </c>
      <c r="AA133" t="inlineStr">
        <is>
          <t>SUP-07, SUP-10</t>
        </is>
      </c>
      <c r="AB133" t="inlineStr">
        <is>
          <t>Saldo dentro del rango objetivo; sin accion.</t>
        </is>
      </c>
      <c r="AC133" t="inlineStr">
        <is>
          <t>Cierre del dia anterior (saldo encadenado, RN-71)</t>
        </is>
      </c>
      <c r="AD133" t="inlineStr">
        <is>
          <t>estimada</t>
        </is>
      </c>
      <c r="AE133" t="inlineStr">
        <is>
          <t>Participacion historica por denominacion (SUP-09)</t>
        </is>
      </c>
    </row>
    <row r="134">
      <c r="A134" t="inlineStr">
        <is>
          <t>PRAGMA</t>
        </is>
      </c>
      <c r="B134" t="inlineStr">
        <is>
          <t>CALI|TRANSPORTADORA_002</t>
        </is>
      </c>
      <c r="C134" t="inlineStr">
        <is>
          <t>Cali</t>
        </is>
      </c>
      <c r="D134" t="inlineStr">
        <is>
          <t>TRANSPORTADORA_002</t>
        </is>
      </c>
      <c r="E134" s="23" t="n">
        <v>46265</v>
      </c>
      <c r="F134" s="23" t="n">
        <v>46268</v>
      </c>
      <c r="G134" t="inlineStr">
        <is>
          <t>Sí</t>
        </is>
      </c>
      <c r="H134" s="25" t="n">
        <v>5000</v>
      </c>
      <c r="I134" s="26" t="n">
        <v>468270161</v>
      </c>
      <c r="J134" s="26" t="n">
        <v>340029460</v>
      </c>
      <c r="K134" s="26" t="n">
        <v>217579582</v>
      </c>
      <c r="L134" s="26">
        <f>J134-K134</f>
        <v>122449878</v>
      </c>
      <c r="M134" s="26">
        <f>I134+L134</f>
        <v>590720039</v>
      </c>
      <c r="N134" s="26" t="n">
        <v>313972500</v>
      </c>
      <c r="O134" s="26" t="n">
        <v>691400000</v>
      </c>
      <c r="P134" s="26">
        <f>MAX(0,N134-M134)</f>
        <v>0</v>
      </c>
      <c r="Q134" s="26">
        <f>MAX(0,M134-O134)</f>
        <v>0</v>
      </c>
      <c r="R134" t="inlineStr">
        <is>
          <t>bajo</t>
        </is>
      </c>
      <c r="S134" t="inlineStr">
        <is>
          <t>sin_accion</t>
        </is>
      </c>
      <c r="T134" t="inlineStr">
        <is>
          <t>ninguno</t>
        </is>
      </c>
      <c r="U134" s="26" t="n">
        <v>0</v>
      </c>
      <c r="X134" s="26">
        <f>IF(T134="entrada",M134+U134,IF(T134="salida",M134-U134,M134))</f>
        <v>590720039</v>
      </c>
      <c r="Y134" s="26" t="n">
        <v>0</v>
      </c>
      <c r="Z134" t="inlineStr">
        <is>
          <t>RN-85: dentro de niveles objetivo (sin_accion)</t>
        </is>
      </c>
      <c r="AA134" t="inlineStr">
        <is>
          <t>SUP-07, SUP-10</t>
        </is>
      </c>
      <c r="AB134" t="inlineStr">
        <is>
          <t>Saldo dentro del rango objetivo; sin accion.</t>
        </is>
      </c>
      <c r="AC134" t="inlineStr">
        <is>
          <t>Cierre del dia anterior (saldo encadenado, RN-71)</t>
        </is>
      </c>
      <c r="AD134" t="inlineStr">
        <is>
          <t>estimada</t>
        </is>
      </c>
      <c r="AE134" t="inlineStr">
        <is>
          <t>Participacion historica por denominacion (SUP-09)</t>
        </is>
      </c>
    </row>
    <row r="135">
      <c r="A135" t="inlineStr">
        <is>
          <t>PRAGMA</t>
        </is>
      </c>
      <c r="B135" t="inlineStr">
        <is>
          <t>CALI|TRANSPORTADORA_002</t>
        </is>
      </c>
      <c r="C135" t="inlineStr">
        <is>
          <t>Cali</t>
        </is>
      </c>
      <c r="D135" t="inlineStr">
        <is>
          <t>TRANSPORTADORA_002</t>
        </is>
      </c>
      <c r="E135" s="23" t="n">
        <v>46265</v>
      </c>
      <c r="F135" s="23" t="n">
        <v>46269</v>
      </c>
      <c r="G135" t="inlineStr">
        <is>
          <t>Sí</t>
        </is>
      </c>
      <c r="H135" s="25" t="n">
        <v>5000</v>
      </c>
      <c r="I135" s="26" t="n">
        <v>590720039</v>
      </c>
      <c r="J135" s="26" t="n">
        <v>358858200</v>
      </c>
      <c r="K135" s="26" t="n">
        <v>280244777</v>
      </c>
      <c r="L135" s="26">
        <f>J135-K135</f>
        <v>78613423</v>
      </c>
      <c r="M135" s="26">
        <f>I135+L135</f>
        <v>669333462</v>
      </c>
      <c r="N135" s="26" t="n">
        <v>313972500</v>
      </c>
      <c r="O135" s="26" t="n">
        <v>691400000</v>
      </c>
      <c r="P135" s="26">
        <f>MAX(0,N135-M135)</f>
        <v>0</v>
      </c>
      <c r="Q135" s="26">
        <f>MAX(0,M135-O135)</f>
        <v>0</v>
      </c>
      <c r="R135" t="inlineStr">
        <is>
          <t>bajo</t>
        </is>
      </c>
      <c r="S135" t="inlineStr">
        <is>
          <t>sin_accion</t>
        </is>
      </c>
      <c r="T135" t="inlineStr">
        <is>
          <t>ninguno</t>
        </is>
      </c>
      <c r="U135" s="26" t="n">
        <v>0</v>
      </c>
      <c r="X135" s="26">
        <f>IF(T135="entrada",M135+U135,IF(T135="salida",M135-U135,M135))</f>
        <v>669333462</v>
      </c>
      <c r="Y135" s="26" t="n">
        <v>0</v>
      </c>
      <c r="Z135" t="inlineStr">
        <is>
          <t>RN-85: dentro de niveles objetivo (sin_accion)</t>
        </is>
      </c>
      <c r="AA135" t="inlineStr">
        <is>
          <t>SUP-07, SUP-10</t>
        </is>
      </c>
      <c r="AB135" t="inlineStr">
        <is>
          <t>Saldo dentro del rango objetivo; sin accion.</t>
        </is>
      </c>
      <c r="AC135" t="inlineStr">
        <is>
          <t>Cierre del dia anterior (saldo encadenado, RN-71)</t>
        </is>
      </c>
      <c r="AD135" t="inlineStr">
        <is>
          <t>estimada</t>
        </is>
      </c>
      <c r="AE135" t="inlineStr">
        <is>
          <t>Participacion historica por denominacion (SUP-09)</t>
        </is>
      </c>
    </row>
    <row r="136">
      <c r="A136" t="inlineStr">
        <is>
          <t>PRAGMA</t>
        </is>
      </c>
      <c r="B136" t="inlineStr">
        <is>
          <t>CALI|TRANSPORTADORA_002</t>
        </is>
      </c>
      <c r="C136" t="inlineStr">
        <is>
          <t>Cali</t>
        </is>
      </c>
      <c r="D136" t="inlineStr">
        <is>
          <t>TRANSPORTADORA_002</t>
        </is>
      </c>
      <c r="E136" s="23" t="n">
        <v>46265</v>
      </c>
      <c r="F136" s="23" t="n">
        <v>46270</v>
      </c>
      <c r="G136" t="inlineStr">
        <is>
          <t>No</t>
        </is>
      </c>
      <c r="H136" s="25" t="n">
        <v>5000</v>
      </c>
      <c r="I136" s="26" t="n">
        <v>669333462</v>
      </c>
      <c r="J136" s="26" t="n">
        <v>110482393</v>
      </c>
      <c r="K136" s="26" t="n">
        <v>162464682</v>
      </c>
      <c r="L136" s="26">
        <f>J136-K136</f>
        <v>-51982289</v>
      </c>
      <c r="M136" s="26">
        <f>I136+L136</f>
        <v>617351173</v>
      </c>
      <c r="N136" s="26" t="n">
        <v>313972500</v>
      </c>
      <c r="O136" s="26" t="n">
        <v>691400000</v>
      </c>
      <c r="P136" s="26">
        <f>MAX(0,N136-M136)</f>
        <v>0</v>
      </c>
      <c r="Q136" s="26">
        <f>MAX(0,M136-O136)</f>
        <v>0</v>
      </c>
      <c r="R136" t="inlineStr">
        <is>
          <t>bajo</t>
        </is>
      </c>
      <c r="S136" t="inlineStr">
        <is>
          <t>sin_accion</t>
        </is>
      </c>
      <c r="T136" t="inlineStr">
        <is>
          <t>ninguno</t>
        </is>
      </c>
      <c r="U136" s="26" t="n">
        <v>0</v>
      </c>
      <c r="X136" s="26">
        <f>IF(T136="entrada",M136+U136,IF(T136="salida",M136-U136,M136))</f>
        <v>617351173</v>
      </c>
      <c r="Y136" s="26" t="n">
        <v>0</v>
      </c>
      <c r="Z136" t="inlineStr">
        <is>
          <t>RN-85: dentro de niveles objetivo (sin_accion)</t>
        </is>
      </c>
      <c r="AA136" t="inlineStr">
        <is>
          <t>SUP-07, SUP-10</t>
        </is>
      </c>
      <c r="AB136" t="inlineStr">
        <is>
          <t>Saldo dentro del rango objetivo; sin accion.</t>
        </is>
      </c>
      <c r="AC136" t="inlineStr">
        <is>
          <t>Cierre del dia anterior (saldo encadenado, RN-71)</t>
        </is>
      </c>
      <c r="AD136" t="inlineStr">
        <is>
          <t>estimada</t>
        </is>
      </c>
      <c r="AE136" t="inlineStr">
        <is>
          <t>Participacion historica por denominacion (SUP-09)</t>
        </is>
      </c>
    </row>
    <row r="137">
      <c r="A137" t="inlineStr">
        <is>
          <t>PRAGMA</t>
        </is>
      </c>
      <c r="B137" t="inlineStr">
        <is>
          <t>CALI|TRANSPORTADORA_002</t>
        </is>
      </c>
      <c r="C137" t="inlineStr">
        <is>
          <t>Cali</t>
        </is>
      </c>
      <c r="D137" t="inlineStr">
        <is>
          <t>TRANSPORTADORA_002</t>
        </is>
      </c>
      <c r="E137" s="23" t="n">
        <v>46265</v>
      </c>
      <c r="F137" s="23" t="n">
        <v>46271</v>
      </c>
      <c r="G137" t="inlineStr">
        <is>
          <t>No</t>
        </is>
      </c>
      <c r="H137" s="25" t="n">
        <v>5000</v>
      </c>
      <c r="I137" s="26" t="n">
        <v>617351173</v>
      </c>
      <c r="J137" s="26" t="n">
        <v>59543757</v>
      </c>
      <c r="K137" s="26" t="n">
        <v>63026586</v>
      </c>
      <c r="L137" s="26">
        <f>J137-K137</f>
        <v>-3482829</v>
      </c>
      <c r="M137" s="26">
        <f>I137+L137</f>
        <v>613868344</v>
      </c>
      <c r="N137" s="26" t="n">
        <v>313972500</v>
      </c>
      <c r="O137" s="26" t="n">
        <v>691400000</v>
      </c>
      <c r="P137" s="26">
        <f>MAX(0,N137-M137)</f>
        <v>0</v>
      </c>
      <c r="Q137" s="26">
        <f>MAX(0,M137-O137)</f>
        <v>0</v>
      </c>
      <c r="R137" t="inlineStr">
        <is>
          <t>bajo</t>
        </is>
      </c>
      <c r="S137" t="inlineStr">
        <is>
          <t>sin_accion</t>
        </is>
      </c>
      <c r="T137" t="inlineStr">
        <is>
          <t>ninguno</t>
        </is>
      </c>
      <c r="U137" s="26" t="n">
        <v>0</v>
      </c>
      <c r="X137" s="26">
        <f>IF(T137="entrada",M137+U137,IF(T137="salida",M137-U137,M137))</f>
        <v>613868344</v>
      </c>
      <c r="Y137" s="26" t="n">
        <v>0</v>
      </c>
      <c r="Z137" t="inlineStr">
        <is>
          <t>RN-85: dentro de niveles objetivo (sin_accion)</t>
        </is>
      </c>
      <c r="AA137" t="inlineStr">
        <is>
          <t>SUP-07, SUP-10</t>
        </is>
      </c>
      <c r="AB137" t="inlineStr">
        <is>
          <t>Saldo dentro del rango objetivo; sin accion.</t>
        </is>
      </c>
      <c r="AC137" t="inlineStr">
        <is>
          <t>Cierre del dia anterior (saldo encadenado, RN-71)</t>
        </is>
      </c>
      <c r="AD137" t="inlineStr">
        <is>
          <t>estimada</t>
        </is>
      </c>
      <c r="AE137" t="inlineStr">
        <is>
          <t>Participacion historica por denominacion (SUP-09)</t>
        </is>
      </c>
    </row>
    <row r="138">
      <c r="A138" t="inlineStr">
        <is>
          <t>PRAGMA</t>
        </is>
      </c>
      <c r="B138" t="inlineStr">
        <is>
          <t>CALI|TRANSPORTADORA_002</t>
        </is>
      </c>
      <c r="C138" t="inlineStr">
        <is>
          <t>Cali</t>
        </is>
      </c>
      <c r="D138" t="inlineStr">
        <is>
          <t>TRANSPORTADORA_002</t>
        </is>
      </c>
      <c r="E138" s="23" t="n">
        <v>46265</v>
      </c>
      <c r="F138" s="23" t="n">
        <v>46272</v>
      </c>
      <c r="G138" t="inlineStr">
        <is>
          <t>Sí</t>
        </is>
      </c>
      <c r="H138" s="25" t="n">
        <v>5000</v>
      </c>
      <c r="I138" s="26" t="n">
        <v>613868345</v>
      </c>
      <c r="J138" s="26" t="n">
        <v>350260431</v>
      </c>
      <c r="K138" s="26" t="n">
        <v>203870106</v>
      </c>
      <c r="L138" s="26">
        <f>J138-K138</f>
        <v>146390325</v>
      </c>
      <c r="M138" s="26">
        <f>I138+L138</f>
        <v>760258670</v>
      </c>
      <c r="N138" s="26" t="n">
        <v>313972500</v>
      </c>
      <c r="O138" s="26" t="n">
        <v>691400000</v>
      </c>
      <c r="P138" s="26">
        <f>MAX(0,N138-M138)</f>
        <v>0</v>
      </c>
      <c r="Q138" s="26">
        <f>MAX(0,M138-O138)</f>
        <v>68858670</v>
      </c>
      <c r="R138" t="inlineStr">
        <is>
          <t>bajo</t>
        </is>
      </c>
      <c r="S138" t="inlineStr">
        <is>
          <t>venta_efectivo</t>
        </is>
      </c>
      <c r="T138" t="inlineStr">
        <is>
          <t>salida</t>
        </is>
      </c>
      <c r="U138" s="26" t="n">
        <v>68860000</v>
      </c>
      <c r="V138" t="inlineStr">
        <is>
          <t>CALI|TRANSPORTADORA_002</t>
        </is>
      </c>
      <c r="X138" s="26">
        <f>IF(T138="entrada",M138+U138,IF(T138="salida",M138-U138,M138))</f>
        <v>691398670</v>
      </c>
      <c r="Y138" s="26" t="n">
        <v>0</v>
      </c>
      <c r="Z138" t="inlineStr">
        <is>
          <t>Menor costo neto entre las alternativas que cubren la necesidad completa</t>
        </is>
      </c>
      <c r="AA138" t="inlineStr">
        <is>
          <t>SUP-08, SUP-10, SUP-23</t>
        </is>
      </c>
      <c r="AB138" t="inlineStr">
        <is>
          <t>Excedente de $68.858.669 en la denominacion 5000: saldo $760.258.669 sobre el maximo $691.400.000. Elegida: venta ($68.860.000; beneficio de referencia $27.544). Es preferible porque tiene el menor costo neto. Otras alternativas: traslado con CALI|TRANSPORTADORA_001 ($68.860.000; costo $0); traslado con CALI|TRANSPORTADORA_003 ($68.860.000; costo $0); conservar ($68.860.000; costo de almacenar $6.188); consignacion BanRep ($68.860.000; costo $141.968); traslado hacia 1 fondo(s) con espacio: ruta sin tarifa en el Anexo E (prohibida).</t>
        </is>
      </c>
      <c r="AC138" t="inlineStr">
        <is>
          <t>Cierre del dia anterior (saldo encadenado, RN-71)</t>
        </is>
      </c>
      <c r="AD138" t="inlineStr">
        <is>
          <t>estimada</t>
        </is>
      </c>
      <c r="AE138" t="inlineStr">
        <is>
          <t>Participacion historica por denominacion (SUP-09)</t>
        </is>
      </c>
    </row>
    <row r="139">
      <c r="A139" t="inlineStr">
        <is>
          <t>PRAGMA</t>
        </is>
      </c>
      <c r="B139" t="inlineStr">
        <is>
          <t>CALI|TRANSPORTADORA_002</t>
        </is>
      </c>
      <c r="C139" t="inlineStr">
        <is>
          <t>Cali</t>
        </is>
      </c>
      <c r="D139" t="inlineStr">
        <is>
          <t>TRANSPORTADORA_002</t>
        </is>
      </c>
      <c r="E139" s="23" t="n">
        <v>46265</v>
      </c>
      <c r="F139" s="23" t="n">
        <v>46273</v>
      </c>
      <c r="G139" t="inlineStr">
        <is>
          <t>Sí</t>
        </is>
      </c>
      <c r="H139" s="25" t="n">
        <v>5000</v>
      </c>
      <c r="I139" s="26" t="n">
        <v>691398669</v>
      </c>
      <c r="J139" s="26" t="n">
        <v>386368963</v>
      </c>
      <c r="K139" s="26" t="n">
        <v>233326609</v>
      </c>
      <c r="L139" s="26">
        <f>J139-K139</f>
        <v>153042354</v>
      </c>
      <c r="M139" s="26">
        <f>I139+L139</f>
        <v>844441023</v>
      </c>
      <c r="N139" s="26" t="n">
        <v>313972500</v>
      </c>
      <c r="O139" s="26" t="n">
        <v>691400000</v>
      </c>
      <c r="P139" s="26">
        <f>MAX(0,N139-M139)</f>
        <v>0</v>
      </c>
      <c r="Q139" s="26">
        <f>MAX(0,M139-O139)</f>
        <v>153041023</v>
      </c>
      <c r="R139" t="inlineStr">
        <is>
          <t>bajo</t>
        </is>
      </c>
      <c r="S139" t="inlineStr">
        <is>
          <t>venta_efectivo</t>
        </is>
      </c>
      <c r="T139" t="inlineStr">
        <is>
          <t>salida</t>
        </is>
      </c>
      <c r="U139" s="26" t="n">
        <v>153045000</v>
      </c>
      <c r="V139" t="inlineStr">
        <is>
          <t>CALI|TRANSPORTADORA_002</t>
        </is>
      </c>
      <c r="X139" s="26">
        <f>IF(T139="entrada",M139+U139,IF(T139="salida",M139-U139,M139))</f>
        <v>691396023</v>
      </c>
      <c r="Y139" s="26" t="n">
        <v>0</v>
      </c>
      <c r="Z139" t="inlineStr">
        <is>
          <t>Menor costo neto entre las alternativas que cubren la necesidad completa</t>
        </is>
      </c>
      <c r="AA139" t="inlineStr">
        <is>
          <t>SUP-08, SUP-10, SUP-23</t>
        </is>
      </c>
      <c r="AB139" t="inlineStr">
        <is>
          <t>Excedente de $153.041.023 en la denominacion 5000: saldo $844.441.023 sobre el maximo $691.400.000. Elegida: venta ($153.045.000; beneficio de referencia $61.218). Es preferible porque tiene el menor costo neto. Otras alternativas: traslado con CALI|TRANSPORTADORA_001 ($153.045.000; costo $0); traslado con CALI|TRANSPORTADORA_003 ($153.045.000; costo $0); conservar ($153.045.000; costo de almacenar $12.225); consignacion BanRep ($153.045.000; costo $164.950).</t>
        </is>
      </c>
      <c r="AC139" t="inlineStr">
        <is>
          <t>Cierre del dia anterior (saldo encadenado, RN-71)</t>
        </is>
      </c>
      <c r="AD139" t="inlineStr">
        <is>
          <t>estimada</t>
        </is>
      </c>
      <c r="AE139" t="inlineStr">
        <is>
          <t>Participacion historica por denominacion (SUP-09)</t>
        </is>
      </c>
    </row>
    <row r="140">
      <c r="A140" t="inlineStr">
        <is>
          <t>PRAGMA</t>
        </is>
      </c>
      <c r="B140" t="inlineStr">
        <is>
          <t>CALI|TRANSPORTADORA_002</t>
        </is>
      </c>
      <c r="C140" t="inlineStr">
        <is>
          <t>Cali</t>
        </is>
      </c>
      <c r="D140" t="inlineStr">
        <is>
          <t>TRANSPORTADORA_002</t>
        </is>
      </c>
      <c r="E140" s="23" t="n">
        <v>46265</v>
      </c>
      <c r="F140" s="23" t="n">
        <v>46274</v>
      </c>
      <c r="G140" t="inlineStr">
        <is>
          <t>Sí</t>
        </is>
      </c>
      <c r="H140" s="25" t="n">
        <v>5000</v>
      </c>
      <c r="I140" s="26" t="n">
        <v>691396023</v>
      </c>
      <c r="J140" s="26" t="n">
        <v>364763727</v>
      </c>
      <c r="K140" s="26" t="n">
        <v>233039184</v>
      </c>
      <c r="L140" s="26">
        <f>J140-K140</f>
        <v>131724543</v>
      </c>
      <c r="M140" s="26">
        <f>I140+L140</f>
        <v>823120566</v>
      </c>
      <c r="N140" s="26" t="n">
        <v>313972500</v>
      </c>
      <c r="O140" s="26" t="n">
        <v>691400000</v>
      </c>
      <c r="P140" s="26">
        <f>MAX(0,N140-M140)</f>
        <v>0</v>
      </c>
      <c r="Q140" s="26">
        <f>MAX(0,M140-O140)</f>
        <v>131720566</v>
      </c>
      <c r="R140" t="inlineStr">
        <is>
          <t>bajo</t>
        </is>
      </c>
      <c r="S140" t="inlineStr">
        <is>
          <t>venta_efectivo</t>
        </is>
      </c>
      <c r="T140" t="inlineStr">
        <is>
          <t>salida</t>
        </is>
      </c>
      <c r="U140" s="26" t="n">
        <v>131725000</v>
      </c>
      <c r="V140" t="inlineStr">
        <is>
          <t>CALI|TRANSPORTADORA_002</t>
        </is>
      </c>
      <c r="X140" s="26">
        <f>IF(T140="entrada",M140+U140,IF(T140="salida",M140-U140,M140))</f>
        <v>691395566</v>
      </c>
      <c r="Y140" s="26" t="n">
        <v>0</v>
      </c>
      <c r="Z140" t="inlineStr">
        <is>
          <t>Menor costo neto entre las alternativas que cubren la necesidad completa</t>
        </is>
      </c>
      <c r="AA140" t="inlineStr">
        <is>
          <t>SUP-08, SUP-10, SUP-23</t>
        </is>
      </c>
      <c r="AB140" t="inlineStr">
        <is>
          <t>Excedente de $131.720.567 en la denominacion 5000: saldo $823.120.567 sobre el maximo $691.400.000. Elegida: venta ($131.725.000; beneficio de referencia $52.690). Es preferible porque tiene el menor costo neto. Otras alternativas: traslado con CALI|TRANSPORTADORA_003 ($131.725.000; costo $0); conservar ($131.725.000; costo de almacenar $9.206); consignacion BanRep ($131.725.000; costo $159.130).</t>
        </is>
      </c>
      <c r="AC140" t="inlineStr">
        <is>
          <t>Cierre del dia anterior (saldo encadenado, RN-71)</t>
        </is>
      </c>
      <c r="AD140" t="inlineStr">
        <is>
          <t>estimada</t>
        </is>
      </c>
      <c r="AE140" t="inlineStr">
        <is>
          <t>Participacion historica por denominacion (SUP-09)</t>
        </is>
      </c>
    </row>
    <row r="141">
      <c r="A141" t="inlineStr">
        <is>
          <t>PRAGMA</t>
        </is>
      </c>
      <c r="B141" t="inlineStr">
        <is>
          <t>CALI|TRANSPORTADORA_002</t>
        </is>
      </c>
      <c r="C141" t="inlineStr">
        <is>
          <t>Cali</t>
        </is>
      </c>
      <c r="D141" t="inlineStr">
        <is>
          <t>TRANSPORTADORA_002</t>
        </is>
      </c>
      <c r="E141" s="23" t="n">
        <v>46265</v>
      </c>
      <c r="F141" s="23" t="n">
        <v>46275</v>
      </c>
      <c r="G141" t="inlineStr">
        <is>
          <t>Sí</t>
        </is>
      </c>
      <c r="H141" s="25" t="n">
        <v>5000</v>
      </c>
      <c r="I141" s="26" t="n">
        <v>691395567</v>
      </c>
      <c r="J141" s="26" t="n">
        <v>331426155</v>
      </c>
      <c r="K141" s="26" t="n">
        <v>218752728</v>
      </c>
      <c r="L141" s="26">
        <f>J141-K141</f>
        <v>112673427</v>
      </c>
      <c r="M141" s="26">
        <f>I141+L141</f>
        <v>804068994</v>
      </c>
      <c r="N141" s="26" t="n">
        <v>313972500</v>
      </c>
      <c r="O141" s="26" t="n">
        <v>691400000</v>
      </c>
      <c r="P141" s="26">
        <f>MAX(0,N141-M141)</f>
        <v>0</v>
      </c>
      <c r="Q141" s="26">
        <f>MAX(0,M141-O141)</f>
        <v>112668994</v>
      </c>
      <c r="R141" t="inlineStr">
        <is>
          <t>bajo</t>
        </is>
      </c>
      <c r="S141" t="inlineStr">
        <is>
          <t>venta_efectivo</t>
        </is>
      </c>
      <c r="T141" t="inlineStr">
        <is>
          <t>salida</t>
        </is>
      </c>
      <c r="U141" s="26" t="n">
        <v>112670000</v>
      </c>
      <c r="V141" t="inlineStr">
        <is>
          <t>CALI|TRANSPORTADORA_002</t>
        </is>
      </c>
      <c r="X141" s="26">
        <f>IF(T141="entrada",M141+U141,IF(T141="salida",M141-U141,M141))</f>
        <v>691398994</v>
      </c>
      <c r="Y141" s="26" t="n">
        <v>0</v>
      </c>
      <c r="Z141" t="inlineStr">
        <is>
          <t>Menor costo neto entre las alternativas que cubren la necesidad completa</t>
        </is>
      </c>
      <c r="AA141" t="inlineStr">
        <is>
          <t>SUP-08, SUP-10, SUP-23</t>
        </is>
      </c>
      <c r="AB141" t="inlineStr">
        <is>
          <t>Excedente de $112.668.994 en la denominacion 5000: saldo $804.068.994 sobre el maximo $691.400.000. Elegida: venta ($112.670.000; beneficio de referencia $45.068). Es preferible porque tiene el menor costo neto. Otras alternativas: traslado con CALI|TRANSPORTADORA_003 ($112.670.000; costo $0); conservar ($112.670.000; costo de almacenar $6.750); consignacion BanRep ($112.670.000; costo $153.928).</t>
        </is>
      </c>
      <c r="AC141" t="inlineStr">
        <is>
          <t>Cierre del dia anterior (saldo encadenado, RN-71)</t>
        </is>
      </c>
      <c r="AD141" t="inlineStr">
        <is>
          <t>estimada</t>
        </is>
      </c>
      <c r="AE141" t="inlineStr">
        <is>
          <t>Participacion historica por denominacion (SUP-09)</t>
        </is>
      </c>
    </row>
    <row r="142">
      <c r="A142" t="inlineStr">
        <is>
          <t>PRAGMA</t>
        </is>
      </c>
      <c r="B142" t="inlineStr">
        <is>
          <t>CALI|TRANSPORTADORA_002</t>
        </is>
      </c>
      <c r="C142" t="inlineStr">
        <is>
          <t>Cali</t>
        </is>
      </c>
      <c r="D142" t="inlineStr">
        <is>
          <t>TRANSPORTADORA_002</t>
        </is>
      </c>
      <c r="E142" s="23" t="n">
        <v>46265</v>
      </c>
      <c r="F142" s="23" t="n">
        <v>46276</v>
      </c>
      <c r="G142" t="inlineStr">
        <is>
          <t>Sí</t>
        </is>
      </c>
      <c r="H142" s="25" t="n">
        <v>5000</v>
      </c>
      <c r="I142" s="26" t="n">
        <v>691398994</v>
      </c>
      <c r="J142" s="26" t="n">
        <v>354308453</v>
      </c>
      <c r="K142" s="26" t="n">
        <v>242056220</v>
      </c>
      <c r="L142" s="26">
        <f>J142-K142</f>
        <v>112252233</v>
      </c>
      <c r="M142" s="26">
        <f>I142+L142</f>
        <v>803651227</v>
      </c>
      <c r="N142" s="26" t="n">
        <v>313972500</v>
      </c>
      <c r="O142" s="26" t="n">
        <v>691400000</v>
      </c>
      <c r="P142" s="26">
        <f>MAX(0,N142-M142)</f>
        <v>0</v>
      </c>
      <c r="Q142" s="26">
        <f>MAX(0,M142-O142)</f>
        <v>112251227</v>
      </c>
      <c r="R142" t="inlineStr">
        <is>
          <t>bajo</t>
        </is>
      </c>
      <c r="S142" t="inlineStr">
        <is>
          <t>venta_efectivo</t>
        </is>
      </c>
      <c r="T142" t="inlineStr">
        <is>
          <t>salida</t>
        </is>
      </c>
      <c r="U142" s="26" t="n">
        <v>112255000</v>
      </c>
      <c r="V142" t="inlineStr">
        <is>
          <t>CALI|TRANSPORTADORA_002</t>
        </is>
      </c>
      <c r="X142" s="26">
        <f>IF(T142="entrada",M142+U142,IF(T142="salida",M142-U142,M142))</f>
        <v>691396227</v>
      </c>
      <c r="Y142" s="26" t="n">
        <v>0</v>
      </c>
      <c r="Z142" t="inlineStr">
        <is>
          <t>Menor costo neto entre las alternativas que cubren la necesidad completa</t>
        </is>
      </c>
      <c r="AA142" t="inlineStr">
        <is>
          <t>SUP-08, SUP-10, SUP-23</t>
        </is>
      </c>
      <c r="AB142" t="inlineStr">
        <is>
          <t>Excedente de $112.251.227 en la denominacion 5000: saldo $803.651.227 sobre el maximo $691.400.000. Elegida: venta ($112.255.000; beneficio de referencia $44.902). Es preferible porque tiene el menor costo neto. Otras alternativas: traslado con CALI|TRANSPORTADORA_003 ($112.255.000; costo $0); conservar ($112.255.000; costo de almacenar $5.604); consignacion BanRep ($112.255.000; costo $153.815).</t>
        </is>
      </c>
      <c r="AC142" t="inlineStr">
        <is>
          <t>Cierre del dia anterior (saldo encadenado, RN-71)</t>
        </is>
      </c>
      <c r="AD142" t="inlineStr">
        <is>
          <t>estimada</t>
        </is>
      </c>
      <c r="AE142" t="inlineStr">
        <is>
          <t>Participacion historica por denominacion (SUP-09)</t>
        </is>
      </c>
    </row>
    <row r="143">
      <c r="A143" t="inlineStr">
        <is>
          <t>PRAGMA</t>
        </is>
      </c>
      <c r="B143" t="inlineStr">
        <is>
          <t>CALI|TRANSPORTADORA_002</t>
        </is>
      </c>
      <c r="C143" t="inlineStr">
        <is>
          <t>Cali</t>
        </is>
      </c>
      <c r="D143" t="inlineStr">
        <is>
          <t>TRANSPORTADORA_002</t>
        </is>
      </c>
      <c r="E143" s="23" t="n">
        <v>46265</v>
      </c>
      <c r="F143" s="23" t="n">
        <v>46277</v>
      </c>
      <c r="G143" t="inlineStr">
        <is>
          <t>No</t>
        </is>
      </c>
      <c r="H143" s="25" t="n">
        <v>5000</v>
      </c>
      <c r="I143" s="26" t="n">
        <v>691396227</v>
      </c>
      <c r="J143" s="26" t="n">
        <v>107292098</v>
      </c>
      <c r="K143" s="26" t="n">
        <v>138474354</v>
      </c>
      <c r="L143" s="26">
        <f>J143-K143</f>
        <v>-31182256</v>
      </c>
      <c r="M143" s="26">
        <f>I143+L143</f>
        <v>660213971</v>
      </c>
      <c r="N143" s="26" t="n">
        <v>313972500</v>
      </c>
      <c r="O143" s="26" t="n">
        <v>691400000</v>
      </c>
      <c r="P143" s="26">
        <f>MAX(0,N143-M143)</f>
        <v>0</v>
      </c>
      <c r="Q143" s="26">
        <f>MAX(0,M143-O143)</f>
        <v>0</v>
      </c>
      <c r="R143" t="inlineStr">
        <is>
          <t>bajo</t>
        </is>
      </c>
      <c r="S143" t="inlineStr">
        <is>
          <t>sin_accion</t>
        </is>
      </c>
      <c r="T143" t="inlineStr">
        <is>
          <t>ninguno</t>
        </is>
      </c>
      <c r="U143" s="26" t="n">
        <v>0</v>
      </c>
      <c r="X143" s="26">
        <f>IF(T143="entrada",M143+U143,IF(T143="salida",M143-U143,M143))</f>
        <v>660213971</v>
      </c>
      <c r="Y143" s="26" t="n">
        <v>0</v>
      </c>
      <c r="Z143" t="inlineStr">
        <is>
          <t>RN-85: dentro de niveles objetivo (sin_accion)</t>
        </is>
      </c>
      <c r="AA143" t="inlineStr">
        <is>
          <t>SUP-07, SUP-10</t>
        </is>
      </c>
      <c r="AB143" t="inlineStr">
        <is>
          <t>Saldo dentro del rango objetivo; sin accion.</t>
        </is>
      </c>
      <c r="AC143" t="inlineStr">
        <is>
          <t>Cierre del dia anterior (saldo encadenado, RN-71)</t>
        </is>
      </c>
      <c r="AD143" t="inlineStr">
        <is>
          <t>estimada</t>
        </is>
      </c>
      <c r="AE143" t="inlineStr">
        <is>
          <t>Participacion historica por denominacion (SUP-09)</t>
        </is>
      </c>
    </row>
    <row r="144">
      <c r="A144" t="inlineStr">
        <is>
          <t>PRAGMA</t>
        </is>
      </c>
      <c r="B144" t="inlineStr">
        <is>
          <t>CALI|TRANSPORTADORA_002</t>
        </is>
      </c>
      <c r="C144" t="inlineStr">
        <is>
          <t>Cali</t>
        </is>
      </c>
      <c r="D144" t="inlineStr">
        <is>
          <t>TRANSPORTADORA_002</t>
        </is>
      </c>
      <c r="E144" s="23" t="n">
        <v>46265</v>
      </c>
      <c r="F144" s="23" t="n">
        <v>46278</v>
      </c>
      <c r="G144" t="inlineStr">
        <is>
          <t>No</t>
        </is>
      </c>
      <c r="H144" s="25" t="n">
        <v>5000</v>
      </c>
      <c r="I144" s="26" t="n">
        <v>660213971</v>
      </c>
      <c r="J144" s="26" t="n">
        <v>49586001</v>
      </c>
      <c r="K144" s="26" t="n">
        <v>49078922</v>
      </c>
      <c r="L144" s="26">
        <f>J144-K144</f>
        <v>507079</v>
      </c>
      <c r="M144" s="26">
        <f>I144+L144</f>
        <v>660721050</v>
      </c>
      <c r="N144" s="26" t="n">
        <v>313972500</v>
      </c>
      <c r="O144" s="26" t="n">
        <v>691400000</v>
      </c>
      <c r="P144" s="26">
        <f>MAX(0,N144-M144)</f>
        <v>0</v>
      </c>
      <c r="Q144" s="26">
        <f>MAX(0,M144-O144)</f>
        <v>0</v>
      </c>
      <c r="R144" t="inlineStr">
        <is>
          <t>bajo</t>
        </is>
      </c>
      <c r="S144" t="inlineStr">
        <is>
          <t>sin_accion</t>
        </is>
      </c>
      <c r="T144" t="inlineStr">
        <is>
          <t>ninguno</t>
        </is>
      </c>
      <c r="U144" s="26" t="n">
        <v>0</v>
      </c>
      <c r="X144" s="26">
        <f>IF(T144="entrada",M144+U144,IF(T144="salida",M144-U144,M144))</f>
        <v>660721050</v>
      </c>
      <c r="Y144" s="26" t="n">
        <v>0</v>
      </c>
      <c r="Z144" t="inlineStr">
        <is>
          <t>RN-85: dentro de niveles objetivo (sin_accion)</t>
        </is>
      </c>
      <c r="AA144" t="inlineStr">
        <is>
          <t>SUP-07, SUP-10</t>
        </is>
      </c>
      <c r="AB144" t="inlineStr">
        <is>
          <t>Saldo dentro del rango objetivo; sin accion.</t>
        </is>
      </c>
      <c r="AC144" t="inlineStr">
        <is>
          <t>Cierre del dia anterior (saldo encadenado, RN-71)</t>
        </is>
      </c>
      <c r="AD144" t="inlineStr">
        <is>
          <t>estimada</t>
        </is>
      </c>
      <c r="AE144" t="inlineStr">
        <is>
          <t>Participacion historica por denominacion (SUP-09)</t>
        </is>
      </c>
    </row>
    <row r="145">
      <c r="A145" t="inlineStr">
        <is>
          <t>PRAGMA</t>
        </is>
      </c>
      <c r="B145" t="inlineStr">
        <is>
          <t>CALI|TRANSPORTADORA_002</t>
        </is>
      </c>
      <c r="C145" t="inlineStr">
        <is>
          <t>Cali</t>
        </is>
      </c>
      <c r="D145" t="inlineStr">
        <is>
          <t>TRANSPORTADORA_002</t>
        </is>
      </c>
      <c r="E145" s="23" t="n">
        <v>46265</v>
      </c>
      <c r="F145" s="23" t="n">
        <v>46279</v>
      </c>
      <c r="G145" t="inlineStr">
        <is>
          <t>Sí</t>
        </is>
      </c>
      <c r="H145" s="25" t="n">
        <v>5000</v>
      </c>
      <c r="I145" s="26" t="n">
        <v>660721050</v>
      </c>
      <c r="J145" s="26" t="n">
        <v>355254780</v>
      </c>
      <c r="K145" s="26" t="n">
        <v>207467414</v>
      </c>
      <c r="L145" s="26">
        <f>J145-K145</f>
        <v>147787366</v>
      </c>
      <c r="M145" s="26">
        <f>I145+L145</f>
        <v>808508416</v>
      </c>
      <c r="N145" s="26" t="n">
        <v>313972500</v>
      </c>
      <c r="O145" s="26" t="n">
        <v>691400000</v>
      </c>
      <c r="P145" s="26">
        <f>MAX(0,N145-M145)</f>
        <v>0</v>
      </c>
      <c r="Q145" s="26">
        <f>MAX(0,M145-O145)</f>
        <v>117108416</v>
      </c>
      <c r="R145" t="inlineStr">
        <is>
          <t>bajo</t>
        </is>
      </c>
      <c r="S145" t="inlineStr">
        <is>
          <t>venta_efectivo</t>
        </is>
      </c>
      <c r="T145" t="inlineStr">
        <is>
          <t>salida</t>
        </is>
      </c>
      <c r="U145" s="26" t="n">
        <v>117110000</v>
      </c>
      <c r="V145" t="inlineStr">
        <is>
          <t>CALI|TRANSPORTADORA_002</t>
        </is>
      </c>
      <c r="X145" s="26">
        <f>IF(T145="entrada",M145+U145,IF(T145="salida",M145-U145,M145))</f>
        <v>691398416</v>
      </c>
      <c r="Y145" s="26" t="n">
        <v>0</v>
      </c>
      <c r="Z145" t="inlineStr">
        <is>
          <t>Menor costo neto entre las alternativas que cubren la necesidad completa</t>
        </is>
      </c>
      <c r="AA145" t="inlineStr">
        <is>
          <t>SUP-08, SUP-10, SUP-23</t>
        </is>
      </c>
      <c r="AB145" t="inlineStr">
        <is>
          <t>Excedente de $117.108.417 en la denominacion 5000: saldo $808.508.417 sobre el maximo $691.400.000. Elegida: venta ($117.110.000; beneficio de referencia $46.844). Es preferible porque tiene el menor costo neto. Otras alternativas: traslado con CALI|TRANSPORTADORA_003 ($117.110.000; costo $0); conservar ($117.110.000; costo de almacenar $2.339); consignacion BanRep ($117.110.000; costo $155.140).</t>
        </is>
      </c>
      <c r="AC145" t="inlineStr">
        <is>
          <t>Cierre del dia anterior (saldo encadenado, RN-71)</t>
        </is>
      </c>
      <c r="AD145" t="inlineStr">
        <is>
          <t>estimada</t>
        </is>
      </c>
      <c r="AE145" t="inlineStr">
        <is>
          <t>Participacion historica por denominacion (SUP-09)</t>
        </is>
      </c>
    </row>
    <row r="146">
      <c r="A146" t="inlineStr">
        <is>
          <t>PRAGMA</t>
        </is>
      </c>
      <c r="B146" t="inlineStr">
        <is>
          <t>CALI|TRANSPORTADORA_002</t>
        </is>
      </c>
      <c r="C146" t="inlineStr">
        <is>
          <t>Cali</t>
        </is>
      </c>
      <c r="D146" t="inlineStr">
        <is>
          <t>TRANSPORTADORA_002</t>
        </is>
      </c>
      <c r="E146" s="23" t="n">
        <v>46265</v>
      </c>
      <c r="F146" s="23" t="n">
        <v>46280</v>
      </c>
      <c r="G146" t="inlineStr">
        <is>
          <t>Sí</t>
        </is>
      </c>
      <c r="H146" s="25" t="n">
        <v>5000</v>
      </c>
      <c r="I146" s="26" t="n">
        <v>691398417</v>
      </c>
      <c r="J146" s="26" t="n">
        <v>383772957</v>
      </c>
      <c r="K146" s="26" t="n">
        <v>271900062</v>
      </c>
      <c r="L146" s="26">
        <f>J146-K146</f>
        <v>111872895</v>
      </c>
      <c r="M146" s="26">
        <f>I146+L146</f>
        <v>803271312</v>
      </c>
      <c r="N146" s="26" t="n">
        <v>313972500</v>
      </c>
      <c r="O146" s="26" t="n">
        <v>691400000</v>
      </c>
      <c r="P146" s="26">
        <f>MAX(0,N146-M146)</f>
        <v>0</v>
      </c>
      <c r="Q146" s="26">
        <f>MAX(0,M146-O146)</f>
        <v>111871312</v>
      </c>
      <c r="R146" t="inlineStr">
        <is>
          <t>bajo</t>
        </is>
      </c>
      <c r="S146" t="inlineStr">
        <is>
          <t>venta_efectivo</t>
        </is>
      </c>
      <c r="T146" t="inlineStr">
        <is>
          <t>salida</t>
        </is>
      </c>
      <c r="U146" s="26" t="n">
        <v>111875000</v>
      </c>
      <c r="V146" t="inlineStr">
        <is>
          <t>CALI|TRANSPORTADORA_002</t>
        </is>
      </c>
      <c r="X146" s="26">
        <f>IF(T146="entrada",M146+U146,IF(T146="salida",M146-U146,M146))</f>
        <v>691396312</v>
      </c>
      <c r="Y146" s="26" t="n">
        <v>0</v>
      </c>
      <c r="Z146" t="inlineStr">
        <is>
          <t>Menor costo neto entre las alternativas que cubren la necesidad completa</t>
        </is>
      </c>
      <c r="AA146" t="inlineStr">
        <is>
          <t>SUP-08, SUP-10, SUP-23</t>
        </is>
      </c>
      <c r="AB146" t="inlineStr">
        <is>
          <t>Excedente de $111.871.312 en la denominacion 5000: saldo $803.271.312 sobre el maximo $691.400.000. Elegida: venta ($111.875.000; beneficio de referencia $44.750). Es preferible porque tiene el menor costo neto. Otras alternativas: traslado con CALI|TRANSPORTADORA_003 ($111.875.000; costo $0); conservar ($111.875.000; costo de almacenar $1.117); consignacion BanRep ($111.875.000; costo $153.711).</t>
        </is>
      </c>
      <c r="AC146" t="inlineStr">
        <is>
          <t>Cierre del dia anterior (saldo encadenado, RN-71)</t>
        </is>
      </c>
      <c r="AD146" t="inlineStr">
        <is>
          <t>estimada</t>
        </is>
      </c>
      <c r="AE146" t="inlineStr">
        <is>
          <t>Participacion historica por denominacion (SUP-09)</t>
        </is>
      </c>
    </row>
    <row r="147">
      <c r="A147" t="inlineStr">
        <is>
          <t>PRAGMA</t>
        </is>
      </c>
      <c r="B147" t="inlineStr">
        <is>
          <t>CALI|TRANSPORTADORA_002</t>
        </is>
      </c>
      <c r="C147" t="inlineStr">
        <is>
          <t>Cali</t>
        </is>
      </c>
      <c r="D147" t="inlineStr">
        <is>
          <t>TRANSPORTADORA_002</t>
        </is>
      </c>
      <c r="E147" s="23" t="n">
        <v>46265</v>
      </c>
      <c r="F147" s="23" t="n">
        <v>46266</v>
      </c>
      <c r="G147" t="inlineStr">
        <is>
          <t>Sí</t>
        </is>
      </c>
      <c r="H147" s="25" t="n">
        <v>10000</v>
      </c>
      <c r="I147" s="26" t="n">
        <v>2587120000</v>
      </c>
      <c r="J147" s="26" t="n">
        <v>1744239389</v>
      </c>
      <c r="K147" s="26" t="n">
        <v>1445399246</v>
      </c>
      <c r="L147" s="26">
        <f>J147-K147</f>
        <v>298840143</v>
      </c>
      <c r="M147" s="26">
        <f>I147+L147</f>
        <v>2885960143</v>
      </c>
      <c r="N147" s="26" t="n">
        <v>1487310000</v>
      </c>
      <c r="O147" s="26" t="n">
        <v>3355185000</v>
      </c>
      <c r="P147" s="26">
        <f>MAX(0,N147-M147)</f>
        <v>0</v>
      </c>
      <c r="Q147" s="26">
        <f>MAX(0,M147-O147)</f>
        <v>0</v>
      </c>
      <c r="R147" t="inlineStr">
        <is>
          <t>bajo</t>
        </is>
      </c>
      <c r="S147" t="inlineStr">
        <is>
          <t>sin_accion</t>
        </is>
      </c>
      <c r="T147" t="inlineStr">
        <is>
          <t>ninguno</t>
        </is>
      </c>
      <c r="U147" s="26" t="n">
        <v>0</v>
      </c>
      <c r="X147" s="26">
        <f>IF(T147="entrada",M147+U147,IF(T147="salida",M147-U147,M147))</f>
        <v>2885960143</v>
      </c>
      <c r="Y147" s="26" t="n">
        <v>0</v>
      </c>
      <c r="Z147" t="inlineStr">
        <is>
          <t>RN-85: dentro de niveles objetivo (sin_accion)</t>
        </is>
      </c>
      <c r="AA147" t="inlineStr">
        <is>
          <t>SUP-07, SUP-10</t>
        </is>
      </c>
      <c r="AB147" t="inlineStr">
        <is>
          <t>Saldo dentro del rango objetivo; sin accion.</t>
        </is>
      </c>
      <c r="AC147" t="inlineStr">
        <is>
          <t>Ultimo disponible al 31/08/2026 (SUP-07)</t>
        </is>
      </c>
      <c r="AD147" t="inlineStr">
        <is>
          <t>estimada</t>
        </is>
      </c>
      <c r="AE147" t="inlineStr">
        <is>
          <t>Participacion historica por denominacion (SUP-09)</t>
        </is>
      </c>
    </row>
    <row r="148">
      <c r="A148" t="inlineStr">
        <is>
          <t>PRAGMA</t>
        </is>
      </c>
      <c r="B148" t="inlineStr">
        <is>
          <t>CALI|TRANSPORTADORA_002</t>
        </is>
      </c>
      <c r="C148" t="inlineStr">
        <is>
          <t>Cali</t>
        </is>
      </c>
      <c r="D148" t="inlineStr">
        <is>
          <t>TRANSPORTADORA_002</t>
        </is>
      </c>
      <c r="E148" s="23" t="n">
        <v>46265</v>
      </c>
      <c r="F148" s="23" t="n">
        <v>46267</v>
      </c>
      <c r="G148" t="inlineStr">
        <is>
          <t>Sí</t>
        </is>
      </c>
      <c r="H148" s="25" t="n">
        <v>10000</v>
      </c>
      <c r="I148" s="26" t="n">
        <v>2885960143</v>
      </c>
      <c r="J148" s="26" t="n">
        <v>1637140822</v>
      </c>
      <c r="K148" s="26" t="n">
        <v>1299274637</v>
      </c>
      <c r="L148" s="26">
        <f>J148-K148</f>
        <v>337866185</v>
      </c>
      <c r="M148" s="26">
        <f>I148+L148</f>
        <v>3223826328</v>
      </c>
      <c r="N148" s="26" t="n">
        <v>1487310000</v>
      </c>
      <c r="O148" s="26" t="n">
        <v>3355185000</v>
      </c>
      <c r="P148" s="26">
        <f>MAX(0,N148-M148)</f>
        <v>0</v>
      </c>
      <c r="Q148" s="26">
        <f>MAX(0,M148-O148)</f>
        <v>0</v>
      </c>
      <c r="R148" t="inlineStr">
        <is>
          <t>bajo</t>
        </is>
      </c>
      <c r="S148" t="inlineStr">
        <is>
          <t>sin_accion</t>
        </is>
      </c>
      <c r="T148" t="inlineStr">
        <is>
          <t>ninguno</t>
        </is>
      </c>
      <c r="U148" s="26" t="n">
        <v>0</v>
      </c>
      <c r="X148" s="26">
        <f>IF(T148="entrada",M148+U148,IF(T148="salida",M148-U148,M148))</f>
        <v>3223826328</v>
      </c>
      <c r="Y148" s="26" t="n">
        <v>0</v>
      </c>
      <c r="Z148" t="inlineStr">
        <is>
          <t>RN-85: dentro de niveles objetivo (sin_accion)</t>
        </is>
      </c>
      <c r="AA148" t="inlineStr">
        <is>
          <t>SUP-07, SUP-10</t>
        </is>
      </c>
      <c r="AB148" t="inlineStr">
        <is>
          <t>Saldo dentro del rango objetivo; sin accion.</t>
        </is>
      </c>
      <c r="AC148" t="inlineStr">
        <is>
          <t>Cierre del dia anterior (saldo encadenado, RN-71)</t>
        </is>
      </c>
      <c r="AD148" t="inlineStr">
        <is>
          <t>estimada</t>
        </is>
      </c>
      <c r="AE148" t="inlineStr">
        <is>
          <t>Participacion historica por denominacion (SUP-09)</t>
        </is>
      </c>
    </row>
    <row r="149">
      <c r="A149" t="inlineStr">
        <is>
          <t>PRAGMA</t>
        </is>
      </c>
      <c r="B149" t="inlineStr">
        <is>
          <t>CALI|TRANSPORTADORA_002</t>
        </is>
      </c>
      <c r="C149" t="inlineStr">
        <is>
          <t>Cali</t>
        </is>
      </c>
      <c r="D149" t="inlineStr">
        <is>
          <t>TRANSPORTADORA_002</t>
        </is>
      </c>
      <c r="E149" s="23" t="n">
        <v>46265</v>
      </c>
      <c r="F149" s="23" t="n">
        <v>46268</v>
      </c>
      <c r="G149" t="inlineStr">
        <is>
          <t>Sí</t>
        </is>
      </c>
      <c r="H149" s="25" t="n">
        <v>10000</v>
      </c>
      <c r="I149" s="26" t="n">
        <v>3223826329</v>
      </c>
      <c r="J149" s="26" t="n">
        <v>1576771823</v>
      </c>
      <c r="K149" s="26" t="n">
        <v>1008951853</v>
      </c>
      <c r="L149" s="26">
        <f>J149-K149</f>
        <v>567819970</v>
      </c>
      <c r="M149" s="26">
        <f>I149+L149</f>
        <v>3791646299</v>
      </c>
      <c r="N149" s="26" t="n">
        <v>1487310000</v>
      </c>
      <c r="O149" s="26" t="n">
        <v>3355185000</v>
      </c>
      <c r="P149" s="26">
        <f>MAX(0,N149-M149)</f>
        <v>0</v>
      </c>
      <c r="Q149" s="26">
        <f>MAX(0,M149-O149)</f>
        <v>436461299</v>
      </c>
      <c r="R149" t="inlineStr">
        <is>
          <t>bajo</t>
        </is>
      </c>
      <c r="S149" t="inlineStr">
        <is>
          <t>venta_efectivo</t>
        </is>
      </c>
      <c r="T149" t="inlineStr">
        <is>
          <t>salida</t>
        </is>
      </c>
      <c r="U149" s="26" t="n">
        <v>436470000</v>
      </c>
      <c r="V149" t="inlineStr">
        <is>
          <t>CALI|TRANSPORTADORA_002</t>
        </is>
      </c>
      <c r="X149" s="26">
        <f>IF(T149="entrada",M149+U149,IF(T149="salida",M149-U149,M149))</f>
        <v>3355176299</v>
      </c>
      <c r="Y149" s="26" t="n">
        <v>0</v>
      </c>
      <c r="Z149" t="inlineStr">
        <is>
          <t>Menor costo neto entre las alternativas que cubren la necesidad completa</t>
        </is>
      </c>
      <c r="AA149" t="inlineStr">
        <is>
          <t>SUP-08, SUP-10, SUP-23</t>
        </is>
      </c>
      <c r="AB149" t="inlineStr">
        <is>
          <t>Excedente de $436.461.299 en la denominacion 10000: saldo $3.791.646.299 sobre el maximo $3.355.185.000. Elegida: venta ($436.470.000; beneficio de referencia $174.588). Es preferible porque tiene el menor costo neto. Otras alternativas: traslado con CALI|TRANSPORTADORA_001 ($436.470.000; costo $0); traslado con CALI|TRANSPORTADORA_003 ($436.470.000; costo $0); conservar ($436.470.000; costo de almacenar $56.653); consignacion BanRep ($436.470.000; costo $242.325).</t>
        </is>
      </c>
      <c r="AC149" t="inlineStr">
        <is>
          <t>Cierre del dia anterior (saldo encadenado, RN-71)</t>
        </is>
      </c>
      <c r="AD149" t="inlineStr">
        <is>
          <t>estimada</t>
        </is>
      </c>
      <c r="AE149" t="inlineStr">
        <is>
          <t>Participacion historica por denominacion (SUP-09)</t>
        </is>
      </c>
    </row>
    <row r="150">
      <c r="A150" t="inlineStr">
        <is>
          <t>PRAGMA</t>
        </is>
      </c>
      <c r="B150" t="inlineStr">
        <is>
          <t>CALI|TRANSPORTADORA_002</t>
        </is>
      </c>
      <c r="C150" t="inlineStr">
        <is>
          <t>Cali</t>
        </is>
      </c>
      <c r="D150" t="inlineStr">
        <is>
          <t>TRANSPORTADORA_002</t>
        </is>
      </c>
      <c r="E150" s="23" t="n">
        <v>46265</v>
      </c>
      <c r="F150" s="23" t="n">
        <v>46269</v>
      </c>
      <c r="G150" t="inlineStr">
        <is>
          <t>Sí</t>
        </is>
      </c>
      <c r="H150" s="25" t="n">
        <v>10000</v>
      </c>
      <c r="I150" s="26" t="n">
        <v>3355176299</v>
      </c>
      <c r="J150" s="26" t="n">
        <v>1664083746</v>
      </c>
      <c r="K150" s="26" t="n">
        <v>1299540538</v>
      </c>
      <c r="L150" s="26">
        <f>J150-K150</f>
        <v>364543208</v>
      </c>
      <c r="M150" s="26">
        <f>I150+L150</f>
        <v>3719719507</v>
      </c>
      <c r="N150" s="26" t="n">
        <v>1487310000</v>
      </c>
      <c r="O150" s="26" t="n">
        <v>3355185000</v>
      </c>
      <c r="P150" s="26">
        <f>MAX(0,N150-M150)</f>
        <v>0</v>
      </c>
      <c r="Q150" s="26">
        <f>MAX(0,M150-O150)</f>
        <v>364534507</v>
      </c>
      <c r="R150" t="inlineStr">
        <is>
          <t>bajo</t>
        </is>
      </c>
      <c r="S150" t="inlineStr">
        <is>
          <t>venta_efectivo</t>
        </is>
      </c>
      <c r="T150" t="inlineStr">
        <is>
          <t>salida</t>
        </is>
      </c>
      <c r="U150" s="26" t="n">
        <v>364540000</v>
      </c>
      <c r="V150" t="inlineStr">
        <is>
          <t>CALI|TRANSPORTADORA_002</t>
        </is>
      </c>
      <c r="X150" s="26">
        <f>IF(T150="entrada",M150+U150,IF(T150="salida",M150-U150,M150))</f>
        <v>3355179507</v>
      </c>
      <c r="Y150" s="26" t="n">
        <v>0</v>
      </c>
      <c r="Z150" t="inlineStr">
        <is>
          <t>Menor costo neto entre las alternativas que cubren la necesidad completa</t>
        </is>
      </c>
      <c r="AA150" t="inlineStr">
        <is>
          <t>SUP-08, SUP-10, SUP-23</t>
        </is>
      </c>
      <c r="AB150" t="inlineStr">
        <is>
          <t>Excedente de $364.534.507 en la denominacion 10000: saldo $3.719.719.507 sobre el maximo $3.355.185.000. Elegida: venta ($364.540.000; beneficio de referencia $145.816). Es preferible porque tiene el menor costo neto. Otras alternativas: traslado con CALI|TRANSPORTADORA_001 ($321.980.000; costo $0, cubre solo una parte); traslado con CALI|TRANSPORTADORA_003 ($364.540.000; costo $0); conservar ($364.540.000; costo de almacenar $43.677); consignacion BanRep ($364.540.000; costo $222.688); traslado hacia 1 fondo(s) con espacio: ruta sin tarifa en el Anexo E (prohibida).</t>
        </is>
      </c>
      <c r="AC150" t="inlineStr">
        <is>
          <t>Cierre del dia anterior (saldo encadenado, RN-71)</t>
        </is>
      </c>
      <c r="AD150" t="inlineStr">
        <is>
          <t>estimada</t>
        </is>
      </c>
      <c r="AE150" t="inlineStr">
        <is>
          <t>Participacion historica por denominacion (SUP-09)</t>
        </is>
      </c>
    </row>
    <row r="151">
      <c r="A151" t="inlineStr">
        <is>
          <t>PRAGMA</t>
        </is>
      </c>
      <c r="B151" t="inlineStr">
        <is>
          <t>CALI|TRANSPORTADORA_002</t>
        </is>
      </c>
      <c r="C151" t="inlineStr">
        <is>
          <t>Cali</t>
        </is>
      </c>
      <c r="D151" t="inlineStr">
        <is>
          <t>TRANSPORTADORA_002</t>
        </is>
      </c>
      <c r="E151" s="23" t="n">
        <v>46265</v>
      </c>
      <c r="F151" s="23" t="n">
        <v>46270</v>
      </c>
      <c r="G151" t="inlineStr">
        <is>
          <t>No</t>
        </is>
      </c>
      <c r="H151" s="25" t="n">
        <v>10000</v>
      </c>
      <c r="I151" s="26" t="n">
        <v>3355179507</v>
      </c>
      <c r="J151" s="26" t="n">
        <v>512324797</v>
      </c>
      <c r="K151" s="26" t="n">
        <v>753375113</v>
      </c>
      <c r="L151" s="26">
        <f>J151-K151</f>
        <v>-241050316</v>
      </c>
      <c r="M151" s="26">
        <f>I151+L151</f>
        <v>3114129191</v>
      </c>
      <c r="N151" s="26" t="n">
        <v>1487310000</v>
      </c>
      <c r="O151" s="26" t="n">
        <v>3355185000</v>
      </c>
      <c r="P151" s="26">
        <f>MAX(0,N151-M151)</f>
        <v>0</v>
      </c>
      <c r="Q151" s="26">
        <f>MAX(0,M151-O151)</f>
        <v>0</v>
      </c>
      <c r="R151" t="inlineStr">
        <is>
          <t>bajo</t>
        </is>
      </c>
      <c r="S151" t="inlineStr">
        <is>
          <t>sin_accion</t>
        </is>
      </c>
      <c r="T151" t="inlineStr">
        <is>
          <t>ninguno</t>
        </is>
      </c>
      <c r="U151" s="26" t="n">
        <v>0</v>
      </c>
      <c r="X151" s="26">
        <f>IF(T151="entrada",M151+U151,IF(T151="salida",M151-U151,M151))</f>
        <v>3114129191</v>
      </c>
      <c r="Y151" s="26" t="n">
        <v>0</v>
      </c>
      <c r="Z151" t="inlineStr">
        <is>
          <t>RN-85: dentro de niveles objetivo (sin_accion)</t>
        </is>
      </c>
      <c r="AA151" t="inlineStr">
        <is>
          <t>SUP-07, SUP-10</t>
        </is>
      </c>
      <c r="AB151" t="inlineStr">
        <is>
          <t>Saldo dentro del rango objetivo; sin accion.</t>
        </is>
      </c>
      <c r="AC151" t="inlineStr">
        <is>
          <t>Cierre del dia anterior (saldo encadenado, RN-71)</t>
        </is>
      </c>
      <c r="AD151" t="inlineStr">
        <is>
          <t>estimada</t>
        </is>
      </c>
      <c r="AE151" t="inlineStr">
        <is>
          <t>Participacion historica por denominacion (SUP-09)</t>
        </is>
      </c>
    </row>
    <row r="152">
      <c r="A152" t="inlineStr">
        <is>
          <t>PRAGMA</t>
        </is>
      </c>
      <c r="B152" t="inlineStr">
        <is>
          <t>CALI|TRANSPORTADORA_002</t>
        </is>
      </c>
      <c r="C152" t="inlineStr">
        <is>
          <t>Cali</t>
        </is>
      </c>
      <c r="D152" t="inlineStr">
        <is>
          <t>TRANSPORTADORA_002</t>
        </is>
      </c>
      <c r="E152" s="23" t="n">
        <v>46265</v>
      </c>
      <c r="F152" s="23" t="n">
        <v>46271</v>
      </c>
      <c r="G152" t="inlineStr">
        <is>
          <t>No</t>
        </is>
      </c>
      <c r="H152" s="25" t="n">
        <v>10000</v>
      </c>
      <c r="I152" s="26" t="n">
        <v>3114129191</v>
      </c>
      <c r="J152" s="26" t="n">
        <v>276114073</v>
      </c>
      <c r="K152" s="26" t="n">
        <v>292264514</v>
      </c>
      <c r="L152" s="26">
        <f>J152-K152</f>
        <v>-16150441</v>
      </c>
      <c r="M152" s="26">
        <f>I152+L152</f>
        <v>3097978750</v>
      </c>
      <c r="N152" s="26" t="n">
        <v>1487310000</v>
      </c>
      <c r="O152" s="26" t="n">
        <v>3355185000</v>
      </c>
      <c r="P152" s="26">
        <f>MAX(0,N152-M152)</f>
        <v>0</v>
      </c>
      <c r="Q152" s="26">
        <f>MAX(0,M152-O152)</f>
        <v>0</v>
      </c>
      <c r="R152" t="inlineStr">
        <is>
          <t>bajo</t>
        </is>
      </c>
      <c r="S152" t="inlineStr">
        <is>
          <t>sin_accion</t>
        </is>
      </c>
      <c r="T152" t="inlineStr">
        <is>
          <t>ninguno</t>
        </is>
      </c>
      <c r="U152" s="26" t="n">
        <v>0</v>
      </c>
      <c r="X152" s="26">
        <f>IF(T152="entrada",M152+U152,IF(T152="salida",M152-U152,M152))</f>
        <v>3097978750</v>
      </c>
      <c r="Y152" s="26" t="n">
        <v>0</v>
      </c>
      <c r="Z152" t="inlineStr">
        <is>
          <t>RN-85: dentro de niveles objetivo (sin_accion)</t>
        </is>
      </c>
      <c r="AA152" t="inlineStr">
        <is>
          <t>SUP-07, SUP-10</t>
        </is>
      </c>
      <c r="AB152" t="inlineStr">
        <is>
          <t>Saldo dentro del rango objetivo; sin accion.</t>
        </is>
      </c>
      <c r="AC152" t="inlineStr">
        <is>
          <t>Cierre del dia anterior (saldo encadenado, RN-71)</t>
        </is>
      </c>
      <c r="AD152" t="inlineStr">
        <is>
          <t>estimada</t>
        </is>
      </c>
      <c r="AE152" t="inlineStr">
        <is>
          <t>Participacion historica por denominacion (SUP-09)</t>
        </is>
      </c>
    </row>
    <row r="153">
      <c r="A153" t="inlineStr">
        <is>
          <t>PRAGMA</t>
        </is>
      </c>
      <c r="B153" t="inlineStr">
        <is>
          <t>CALI|TRANSPORTADORA_002</t>
        </is>
      </c>
      <c r="C153" t="inlineStr">
        <is>
          <t>Cali</t>
        </is>
      </c>
      <c r="D153" t="inlineStr">
        <is>
          <t>TRANSPORTADORA_002</t>
        </is>
      </c>
      <c r="E153" s="23" t="n">
        <v>46265</v>
      </c>
      <c r="F153" s="23" t="n">
        <v>46272</v>
      </c>
      <c r="G153" t="inlineStr">
        <is>
          <t>Sí</t>
        </is>
      </c>
      <c r="H153" s="25" t="n">
        <v>10000</v>
      </c>
      <c r="I153" s="26" t="n">
        <v>3097978750</v>
      </c>
      <c r="J153" s="26" t="n">
        <v>1624214497</v>
      </c>
      <c r="K153" s="26" t="n">
        <v>945378789</v>
      </c>
      <c r="L153" s="26">
        <f>J153-K153</f>
        <v>678835708</v>
      </c>
      <c r="M153" s="26">
        <f>I153+L153</f>
        <v>3776814458</v>
      </c>
      <c r="N153" s="26" t="n">
        <v>1487310000</v>
      </c>
      <c r="O153" s="26" t="n">
        <v>3355185000</v>
      </c>
      <c r="P153" s="26">
        <f>MAX(0,N153-M153)</f>
        <v>0</v>
      </c>
      <c r="Q153" s="26">
        <f>MAX(0,M153-O153)</f>
        <v>421629458</v>
      </c>
      <c r="R153" t="inlineStr">
        <is>
          <t>bajo</t>
        </is>
      </c>
      <c r="S153" t="inlineStr">
        <is>
          <t>venta_efectivo</t>
        </is>
      </c>
      <c r="T153" t="inlineStr">
        <is>
          <t>salida</t>
        </is>
      </c>
      <c r="U153" s="26" t="n">
        <v>421630000</v>
      </c>
      <c r="V153" t="inlineStr">
        <is>
          <t>CALI|TRANSPORTADORA_002</t>
        </is>
      </c>
      <c r="X153" s="26">
        <f>IF(T153="entrada",M153+U153,IF(T153="salida",M153-U153,M153))</f>
        <v>3355184458</v>
      </c>
      <c r="Y153" s="26" t="n">
        <v>0</v>
      </c>
      <c r="Z153" t="inlineStr">
        <is>
          <t>Menor costo neto entre las alternativas que cubren la necesidad completa</t>
        </is>
      </c>
      <c r="AA153" t="inlineStr">
        <is>
          <t>SUP-08, SUP-10, SUP-23</t>
        </is>
      </c>
      <c r="AB153" t="inlineStr">
        <is>
          <t>Excedente de $421.629.458 en la denominacion 10000: saldo $3.776.814.458 sobre el maximo $3.355.185.000. Elegida: venta ($421.630.000; beneficio de referencia $168.652). Es preferible porque tiene el menor costo neto. Otras alternativas: traslado con CALI|TRANSPORTADORA_001 ($298.650.000; costo $0, cubre solo una parte); traslado con CALI|TRANSPORTADORA_003 ($421.630.000; costo $0); conservar ($421.630.000; costo de almacenar $37.888); consignacion BanRep ($421.630.000; costo $238.274); traslado hacia 1 fondo(s) con espacio: ruta sin tarifa en el Anexo E (prohibida).</t>
        </is>
      </c>
      <c r="AC153" t="inlineStr">
        <is>
          <t>Cierre del dia anterior (saldo encadenado, RN-71)</t>
        </is>
      </c>
      <c r="AD153" t="inlineStr">
        <is>
          <t>estimada</t>
        </is>
      </c>
      <c r="AE153" t="inlineStr">
        <is>
          <t>Participacion historica por denominacion (SUP-09)</t>
        </is>
      </c>
    </row>
    <row r="154">
      <c r="A154" t="inlineStr">
        <is>
          <t>PRAGMA</t>
        </is>
      </c>
      <c r="B154" t="inlineStr">
        <is>
          <t>CALI|TRANSPORTADORA_002</t>
        </is>
      </c>
      <c r="C154" t="inlineStr">
        <is>
          <t>Cali</t>
        </is>
      </c>
      <c r="D154" t="inlineStr">
        <is>
          <t>TRANSPORTADORA_002</t>
        </is>
      </c>
      <c r="E154" s="23" t="n">
        <v>46265</v>
      </c>
      <c r="F154" s="23" t="n">
        <v>46273</v>
      </c>
      <c r="G154" t="inlineStr">
        <is>
          <t>Sí</t>
        </is>
      </c>
      <c r="H154" s="25" t="n">
        <v>10000</v>
      </c>
      <c r="I154" s="26" t="n">
        <v>3355184458</v>
      </c>
      <c r="J154" s="26" t="n">
        <v>1791655623</v>
      </c>
      <c r="K154" s="26" t="n">
        <v>1081973375</v>
      </c>
      <c r="L154" s="26">
        <f>J154-K154</f>
        <v>709682248</v>
      </c>
      <c r="M154" s="26">
        <f>I154+L154</f>
        <v>4064866706</v>
      </c>
      <c r="N154" s="26" t="n">
        <v>1487310000</v>
      </c>
      <c r="O154" s="26" t="n">
        <v>3355185000</v>
      </c>
      <c r="P154" s="26">
        <f>MAX(0,N154-M154)</f>
        <v>0</v>
      </c>
      <c r="Q154" s="26">
        <f>MAX(0,M154-O154)</f>
        <v>709681706</v>
      </c>
      <c r="R154" t="inlineStr">
        <is>
          <t>bajo</t>
        </is>
      </c>
      <c r="S154" t="inlineStr">
        <is>
          <t>venta_efectivo</t>
        </is>
      </c>
      <c r="T154" t="inlineStr">
        <is>
          <t>salida</t>
        </is>
      </c>
      <c r="U154" s="26" t="n">
        <v>709690000</v>
      </c>
      <c r="V154" t="inlineStr">
        <is>
          <t>CALI|TRANSPORTADORA_002</t>
        </is>
      </c>
      <c r="X154" s="26">
        <f>IF(T154="entrada",M154+U154,IF(T154="salida",M154-U154,M154))</f>
        <v>3355176706</v>
      </c>
      <c r="Y154" s="26" t="n">
        <v>0</v>
      </c>
      <c r="Z154" t="inlineStr">
        <is>
          <t>Menor costo neto entre las alternativas que cubren la necesidad completa</t>
        </is>
      </c>
      <c r="AA154" t="inlineStr">
        <is>
          <t>SUP-08, SUP-10, SUP-23</t>
        </is>
      </c>
      <c r="AB154" t="inlineStr">
        <is>
          <t>Excedente de $709.681.706 en la denominacion 10000: saldo $4.064.866.706 sobre el maximo $3.355.185.000. Elegida: venta ($709.690.000; beneficio de referencia $283.876). Es preferible porque tiene el menor costo neto. Otras alternativas: traslado con CALI|TRANSPORTADORA_003 ($709.690.000; costo $0); conservar ($709.690.000; costo de almacenar $56.687); consignacion BanRep ($709.690.000; costo $316.914).</t>
        </is>
      </c>
      <c r="AC154" t="inlineStr">
        <is>
          <t>Cierre del dia anterior (saldo encadenado, RN-71)</t>
        </is>
      </c>
      <c r="AD154" t="inlineStr">
        <is>
          <t>estimada</t>
        </is>
      </c>
      <c r="AE154" t="inlineStr">
        <is>
          <t>Participacion historica por denominacion (SUP-09)</t>
        </is>
      </c>
    </row>
    <row r="155">
      <c r="A155" t="inlineStr">
        <is>
          <t>PRAGMA</t>
        </is>
      </c>
      <c r="B155" t="inlineStr">
        <is>
          <t>CALI|TRANSPORTADORA_002</t>
        </is>
      </c>
      <c r="C155" t="inlineStr">
        <is>
          <t>Cali</t>
        </is>
      </c>
      <c r="D155" t="inlineStr">
        <is>
          <t>TRANSPORTADORA_002</t>
        </is>
      </c>
      <c r="E155" s="23" t="n">
        <v>46265</v>
      </c>
      <c r="F155" s="23" t="n">
        <v>46274</v>
      </c>
      <c r="G155" t="inlineStr">
        <is>
          <t>Sí</t>
        </is>
      </c>
      <c r="H155" s="25" t="n">
        <v>10000</v>
      </c>
      <c r="I155" s="26" t="n">
        <v>3355176706</v>
      </c>
      <c r="J155" s="26" t="n">
        <v>1691468638</v>
      </c>
      <c r="K155" s="26" t="n">
        <v>1080640538</v>
      </c>
      <c r="L155" s="26">
        <f>J155-K155</f>
        <v>610828100</v>
      </c>
      <c r="M155" s="26">
        <f>I155+L155</f>
        <v>3966004806</v>
      </c>
      <c r="N155" s="26" t="n">
        <v>1487310000</v>
      </c>
      <c r="O155" s="26" t="n">
        <v>3355185000</v>
      </c>
      <c r="P155" s="26">
        <f>MAX(0,N155-M155)</f>
        <v>0</v>
      </c>
      <c r="Q155" s="26">
        <f>MAX(0,M155-O155)</f>
        <v>610819806</v>
      </c>
      <c r="R155" t="inlineStr">
        <is>
          <t>bajo</t>
        </is>
      </c>
      <c r="S155" t="inlineStr">
        <is>
          <t>venta_efectivo</t>
        </is>
      </c>
      <c r="T155" t="inlineStr">
        <is>
          <t>salida</t>
        </is>
      </c>
      <c r="U155" s="26" t="n">
        <v>610820000</v>
      </c>
      <c r="V155" t="inlineStr">
        <is>
          <t>CALI|TRANSPORTADORA_002</t>
        </is>
      </c>
      <c r="X155" s="26">
        <f>IF(T155="entrada",M155+U155,IF(T155="salida",M155-U155,M155))</f>
        <v>3355184806</v>
      </c>
      <c r="Y155" s="26" t="n">
        <v>0</v>
      </c>
      <c r="Z155" t="inlineStr">
        <is>
          <t>Menor costo neto entre las alternativas que cubren la necesidad completa</t>
        </is>
      </c>
      <c r="AA155" t="inlineStr">
        <is>
          <t>SUP-08, SUP-10, SUP-23</t>
        </is>
      </c>
      <c r="AB155" t="inlineStr">
        <is>
          <t>Excedente de $610.819.806 en la denominacion 10000: saldo $3.966.004.806 sobre el maximo $3.355.185.000. Elegida: venta ($610.820.000; beneficio de referencia $244.328). Es preferible porque tiene el menor costo neto. Otras alternativas: traslado con CALI|TRANSPORTADORA_003 ($610.820.000; costo $0); conservar ($610.820.000; costo de almacenar $42.691); consignacion BanRep ($610.820.000; costo $289.923).</t>
        </is>
      </c>
      <c r="AC155" t="inlineStr">
        <is>
          <t>Cierre del dia anterior (saldo encadenado, RN-71)</t>
        </is>
      </c>
      <c r="AD155" t="inlineStr">
        <is>
          <t>estimada</t>
        </is>
      </c>
      <c r="AE155" t="inlineStr">
        <is>
          <t>Participacion historica por denominacion (SUP-09)</t>
        </is>
      </c>
    </row>
    <row r="156">
      <c r="A156" t="inlineStr">
        <is>
          <t>PRAGMA</t>
        </is>
      </c>
      <c r="B156" t="inlineStr">
        <is>
          <t>CALI|TRANSPORTADORA_002</t>
        </is>
      </c>
      <c r="C156" t="inlineStr">
        <is>
          <t>Cali</t>
        </is>
      </c>
      <c r="D156" t="inlineStr">
        <is>
          <t>TRANSPORTADORA_002</t>
        </is>
      </c>
      <c r="E156" s="23" t="n">
        <v>46265</v>
      </c>
      <c r="F156" s="23" t="n">
        <v>46275</v>
      </c>
      <c r="G156" t="inlineStr">
        <is>
          <t>Sí</t>
        </is>
      </c>
      <c r="H156" s="25" t="n">
        <v>10000</v>
      </c>
      <c r="I156" s="26" t="n">
        <v>3355184806</v>
      </c>
      <c r="J156" s="26" t="n">
        <v>1536876903</v>
      </c>
      <c r="K156" s="26" t="n">
        <v>1014391924</v>
      </c>
      <c r="L156" s="26">
        <f>J156-K156</f>
        <v>522484979</v>
      </c>
      <c r="M156" s="26">
        <f>I156+L156</f>
        <v>3877669785</v>
      </c>
      <c r="N156" s="26" t="n">
        <v>1487310000</v>
      </c>
      <c r="O156" s="26" t="n">
        <v>3355185000</v>
      </c>
      <c r="P156" s="26">
        <f>MAX(0,N156-M156)</f>
        <v>0</v>
      </c>
      <c r="Q156" s="26">
        <f>MAX(0,M156-O156)</f>
        <v>522484785</v>
      </c>
      <c r="R156" t="inlineStr">
        <is>
          <t>bajo</t>
        </is>
      </c>
      <c r="S156" t="inlineStr">
        <is>
          <t>venta_efectivo</t>
        </is>
      </c>
      <c r="T156" t="inlineStr">
        <is>
          <t>salida</t>
        </is>
      </c>
      <c r="U156" s="26" t="n">
        <v>522490000</v>
      </c>
      <c r="V156" t="inlineStr">
        <is>
          <t>CALI|TRANSPORTADORA_002</t>
        </is>
      </c>
      <c r="X156" s="26">
        <f>IF(T156="entrada",M156+U156,IF(T156="salida",M156-U156,M156))</f>
        <v>3355179785</v>
      </c>
      <c r="Y156" s="26" t="n">
        <v>0</v>
      </c>
      <c r="Z156" t="inlineStr">
        <is>
          <t>Menor costo neto entre las alternativas que cubren la necesidad completa</t>
        </is>
      </c>
      <c r="AA156" t="inlineStr">
        <is>
          <t>SUP-08, SUP-10, SUP-23</t>
        </is>
      </c>
      <c r="AB156" t="inlineStr">
        <is>
          <t>Excedente de $522.484.785 en la denominacion 10000: saldo $3.877.669.785 sobre el maximo $3.355.185.000. Elegida: venta ($522.490.000; beneficio de referencia $208.996). Es preferible porque tiene el menor costo neto. Otras alternativas: traslado con CALI|TRANSPORTADORA_003 ($522.490.000; costo $0); conservar ($522.490.000; costo de almacenar $31.301); consignacion BanRep ($522.490.000; costo $265.809).</t>
        </is>
      </c>
      <c r="AC156" t="inlineStr">
        <is>
          <t>Cierre del dia anterior (saldo encadenado, RN-71)</t>
        </is>
      </c>
      <c r="AD156" t="inlineStr">
        <is>
          <t>estimada</t>
        </is>
      </c>
      <c r="AE156" t="inlineStr">
        <is>
          <t>Participacion historica por denominacion (SUP-09)</t>
        </is>
      </c>
    </row>
    <row r="157">
      <c r="A157" t="inlineStr">
        <is>
          <t>PRAGMA</t>
        </is>
      </c>
      <c r="B157" t="inlineStr">
        <is>
          <t>CALI|TRANSPORTADORA_002</t>
        </is>
      </c>
      <c r="C157" t="inlineStr">
        <is>
          <t>Cali</t>
        </is>
      </c>
      <c r="D157" t="inlineStr">
        <is>
          <t>TRANSPORTADORA_002</t>
        </is>
      </c>
      <c r="E157" s="23" t="n">
        <v>46265</v>
      </c>
      <c r="F157" s="23" t="n">
        <v>46276</v>
      </c>
      <c r="G157" t="inlineStr">
        <is>
          <t>Sí</t>
        </is>
      </c>
      <c r="H157" s="25" t="n">
        <v>10000</v>
      </c>
      <c r="I157" s="26" t="n">
        <v>3355179785</v>
      </c>
      <c r="J157" s="26" t="n">
        <v>1642985833</v>
      </c>
      <c r="K157" s="26" t="n">
        <v>1122454001</v>
      </c>
      <c r="L157" s="26">
        <f>J157-K157</f>
        <v>520531832</v>
      </c>
      <c r="M157" s="26">
        <f>I157+L157</f>
        <v>3875711617</v>
      </c>
      <c r="N157" s="26" t="n">
        <v>1487310000</v>
      </c>
      <c r="O157" s="26" t="n">
        <v>3355185000</v>
      </c>
      <c r="P157" s="26">
        <f>MAX(0,N157-M157)</f>
        <v>0</v>
      </c>
      <c r="Q157" s="26">
        <f>MAX(0,M157-O157)</f>
        <v>520526617</v>
      </c>
      <c r="R157" t="inlineStr">
        <is>
          <t>bajo</t>
        </is>
      </c>
      <c r="S157" t="inlineStr">
        <is>
          <t>venta_efectivo</t>
        </is>
      </c>
      <c r="T157" t="inlineStr">
        <is>
          <t>salida</t>
        </is>
      </c>
      <c r="U157" s="26" t="n">
        <v>520530000</v>
      </c>
      <c r="V157" t="inlineStr">
        <is>
          <t>CALI|TRANSPORTADORA_002</t>
        </is>
      </c>
      <c r="X157" s="26">
        <f>IF(T157="entrada",M157+U157,IF(T157="salida",M157-U157,M157))</f>
        <v>3355181617</v>
      </c>
      <c r="Y157" s="26" t="n">
        <v>0</v>
      </c>
      <c r="Z157" t="inlineStr">
        <is>
          <t>Menor costo neto entre las alternativas que cubren la necesidad completa</t>
        </is>
      </c>
      <c r="AA157" t="inlineStr">
        <is>
          <t>SUP-08, SUP-10, SUP-23</t>
        </is>
      </c>
      <c r="AB157" t="inlineStr">
        <is>
          <t>Excedente de $520.526.617 en la denominacion 10000: saldo $3.875.711.617 sobre el maximo $3.355.185.000. Elegida: venta ($520.530.000; beneficio de referencia $208.212). Es preferible porque tiene el menor costo neto. Otras alternativas: traslado con CALI|TRANSPORTADORA_003 ($520.530.000; costo $0); conservar ($520.530.000; costo de almacenar $25.986); consignacion BanRep ($520.530.000; costo $265.274).</t>
        </is>
      </c>
      <c r="AC157" t="inlineStr">
        <is>
          <t>Cierre del dia anterior (saldo encadenado, RN-71)</t>
        </is>
      </c>
      <c r="AD157" t="inlineStr">
        <is>
          <t>estimada</t>
        </is>
      </c>
      <c r="AE157" t="inlineStr">
        <is>
          <t>Participacion historica por denominacion (SUP-09)</t>
        </is>
      </c>
    </row>
    <row r="158">
      <c r="A158" t="inlineStr">
        <is>
          <t>PRAGMA</t>
        </is>
      </c>
      <c r="B158" t="inlineStr">
        <is>
          <t>CALI|TRANSPORTADORA_002</t>
        </is>
      </c>
      <c r="C158" t="inlineStr">
        <is>
          <t>Cali</t>
        </is>
      </c>
      <c r="D158" t="inlineStr">
        <is>
          <t>TRANSPORTADORA_002</t>
        </is>
      </c>
      <c r="E158" s="23" t="n">
        <v>46265</v>
      </c>
      <c r="F158" s="23" t="n">
        <v>46277</v>
      </c>
      <c r="G158" t="inlineStr">
        <is>
          <t>No</t>
        </is>
      </c>
      <c r="H158" s="25" t="n">
        <v>10000</v>
      </c>
      <c r="I158" s="26" t="n">
        <v>3355181617</v>
      </c>
      <c r="J158" s="26" t="n">
        <v>497530880</v>
      </c>
      <c r="K158" s="26" t="n">
        <v>642128064</v>
      </c>
      <c r="L158" s="26">
        <f>J158-K158</f>
        <v>-144597184</v>
      </c>
      <c r="M158" s="26">
        <f>I158+L158</f>
        <v>3210584433</v>
      </c>
      <c r="N158" s="26" t="n">
        <v>1487310000</v>
      </c>
      <c r="O158" s="26" t="n">
        <v>3355185000</v>
      </c>
      <c r="P158" s="26">
        <f>MAX(0,N158-M158)</f>
        <v>0</v>
      </c>
      <c r="Q158" s="26">
        <f>MAX(0,M158-O158)</f>
        <v>0</v>
      </c>
      <c r="R158" t="inlineStr">
        <is>
          <t>bajo</t>
        </is>
      </c>
      <c r="S158" t="inlineStr">
        <is>
          <t>sin_accion</t>
        </is>
      </c>
      <c r="T158" t="inlineStr">
        <is>
          <t>ninguno</t>
        </is>
      </c>
      <c r="U158" s="26" t="n">
        <v>0</v>
      </c>
      <c r="X158" s="26">
        <f>IF(T158="entrada",M158+U158,IF(T158="salida",M158-U158,M158))</f>
        <v>3210584433</v>
      </c>
      <c r="Y158" s="26" t="n">
        <v>0</v>
      </c>
      <c r="Z158" t="inlineStr">
        <is>
          <t>RN-85: dentro de niveles objetivo (sin_accion)</t>
        </is>
      </c>
      <c r="AA158" t="inlineStr">
        <is>
          <t>SUP-07, SUP-10</t>
        </is>
      </c>
      <c r="AB158" t="inlineStr">
        <is>
          <t>Saldo dentro del rango objetivo; sin accion.</t>
        </is>
      </c>
      <c r="AC158" t="inlineStr">
        <is>
          <t>Cierre del dia anterior (saldo encadenado, RN-71)</t>
        </is>
      </c>
      <c r="AD158" t="inlineStr">
        <is>
          <t>estimada</t>
        </is>
      </c>
      <c r="AE158" t="inlineStr">
        <is>
          <t>Participacion historica por denominacion (SUP-09)</t>
        </is>
      </c>
    </row>
    <row r="159">
      <c r="A159" t="inlineStr">
        <is>
          <t>PRAGMA</t>
        </is>
      </c>
      <c r="B159" t="inlineStr">
        <is>
          <t>CALI|TRANSPORTADORA_002</t>
        </is>
      </c>
      <c r="C159" t="inlineStr">
        <is>
          <t>Cali</t>
        </is>
      </c>
      <c r="D159" t="inlineStr">
        <is>
          <t>TRANSPORTADORA_002</t>
        </is>
      </c>
      <c r="E159" s="23" t="n">
        <v>46265</v>
      </c>
      <c r="F159" s="23" t="n">
        <v>46278</v>
      </c>
      <c r="G159" t="inlineStr">
        <is>
          <t>No</t>
        </is>
      </c>
      <c r="H159" s="25" t="n">
        <v>10000</v>
      </c>
      <c r="I159" s="26" t="n">
        <v>3210584433</v>
      </c>
      <c r="J159" s="26" t="n">
        <v>229938339</v>
      </c>
      <c r="K159" s="26" t="n">
        <v>227586930</v>
      </c>
      <c r="L159" s="26">
        <f>J159-K159</f>
        <v>2351409</v>
      </c>
      <c r="M159" s="26">
        <f>I159+L159</f>
        <v>3212935842</v>
      </c>
      <c r="N159" s="26" t="n">
        <v>1487310000</v>
      </c>
      <c r="O159" s="26" t="n">
        <v>3355185000</v>
      </c>
      <c r="P159" s="26">
        <f>MAX(0,N159-M159)</f>
        <v>0</v>
      </c>
      <c r="Q159" s="26">
        <f>MAX(0,M159-O159)</f>
        <v>0</v>
      </c>
      <c r="R159" t="inlineStr">
        <is>
          <t>bajo</t>
        </is>
      </c>
      <c r="S159" t="inlineStr">
        <is>
          <t>sin_accion</t>
        </is>
      </c>
      <c r="T159" t="inlineStr">
        <is>
          <t>ninguno</t>
        </is>
      </c>
      <c r="U159" s="26" t="n">
        <v>0</v>
      </c>
      <c r="X159" s="26">
        <f>IF(T159="entrada",M159+U159,IF(T159="salida",M159-U159,M159))</f>
        <v>3212935842</v>
      </c>
      <c r="Y159" s="26" t="n">
        <v>0</v>
      </c>
      <c r="Z159" t="inlineStr">
        <is>
          <t>RN-85: dentro de niveles objetivo (sin_accion)</t>
        </is>
      </c>
      <c r="AA159" t="inlineStr">
        <is>
          <t>SUP-07, SUP-10</t>
        </is>
      </c>
      <c r="AB159" t="inlineStr">
        <is>
          <t>Saldo dentro del rango objetivo; sin accion.</t>
        </is>
      </c>
      <c r="AC159" t="inlineStr">
        <is>
          <t>Cierre del dia anterior (saldo encadenado, RN-71)</t>
        </is>
      </c>
      <c r="AD159" t="inlineStr">
        <is>
          <t>estimada</t>
        </is>
      </c>
      <c r="AE159" t="inlineStr">
        <is>
          <t>Participacion historica por denominacion (SUP-09)</t>
        </is>
      </c>
    </row>
    <row r="160">
      <c r="A160" t="inlineStr">
        <is>
          <t>PRAGMA</t>
        </is>
      </c>
      <c r="B160" t="inlineStr">
        <is>
          <t>CALI|TRANSPORTADORA_002</t>
        </is>
      </c>
      <c r="C160" t="inlineStr">
        <is>
          <t>Cali</t>
        </is>
      </c>
      <c r="D160" t="inlineStr">
        <is>
          <t>TRANSPORTADORA_002</t>
        </is>
      </c>
      <c r="E160" s="23" t="n">
        <v>46265</v>
      </c>
      <c r="F160" s="23" t="n">
        <v>46279</v>
      </c>
      <c r="G160" t="inlineStr">
        <is>
          <t>Sí</t>
        </is>
      </c>
      <c r="H160" s="25" t="n">
        <v>10000</v>
      </c>
      <c r="I160" s="26" t="n">
        <v>3212935842</v>
      </c>
      <c r="J160" s="26" t="n">
        <v>1647374104</v>
      </c>
      <c r="K160" s="26" t="n">
        <v>962060088</v>
      </c>
      <c r="L160" s="26">
        <f>J160-K160</f>
        <v>685314016</v>
      </c>
      <c r="M160" s="26">
        <f>I160+L160</f>
        <v>3898249858</v>
      </c>
      <c r="N160" s="26" t="n">
        <v>1487310000</v>
      </c>
      <c r="O160" s="26" t="n">
        <v>3355185000</v>
      </c>
      <c r="P160" s="26">
        <f>MAX(0,N160-M160)</f>
        <v>0</v>
      </c>
      <c r="Q160" s="26">
        <f>MAX(0,M160-O160)</f>
        <v>543064858</v>
      </c>
      <c r="R160" t="inlineStr">
        <is>
          <t>bajo</t>
        </is>
      </c>
      <c r="S160" t="inlineStr">
        <is>
          <t>venta_efectivo</t>
        </is>
      </c>
      <c r="T160" t="inlineStr">
        <is>
          <t>salida</t>
        </is>
      </c>
      <c r="U160" s="26" t="n">
        <v>543070000</v>
      </c>
      <c r="V160" t="inlineStr">
        <is>
          <t>CALI|TRANSPORTADORA_002</t>
        </is>
      </c>
      <c r="X160" s="26">
        <f>IF(T160="entrada",M160+U160,IF(T160="salida",M160-U160,M160))</f>
        <v>3355179858</v>
      </c>
      <c r="Y160" s="26" t="n">
        <v>0</v>
      </c>
      <c r="Z160" t="inlineStr">
        <is>
          <t>Menor costo neto entre las alternativas que cubren la necesidad completa</t>
        </is>
      </c>
      <c r="AA160" t="inlineStr">
        <is>
          <t>SUP-08, SUP-10, SUP-23</t>
        </is>
      </c>
      <c r="AB160" t="inlineStr">
        <is>
          <t>Excedente de $543.064.858 en la denominacion 10000: saldo $3.898.249.858 sobre el maximo $3.355.185.000. Elegida: venta ($543.070.000; beneficio de referencia $217.228). Es preferible porque tiene el menor costo neto. Otras alternativas: traslado con CALI|TRANSPORTADORA_003 ($543.070.000; costo $0); conservar ($543.070.000; costo de almacenar $10.845); consignacion BanRep ($543.070.000; costo $271.427).</t>
        </is>
      </c>
      <c r="AC160" t="inlineStr">
        <is>
          <t>Cierre del dia anterior (saldo encadenado, RN-71)</t>
        </is>
      </c>
      <c r="AD160" t="inlineStr">
        <is>
          <t>estimada</t>
        </is>
      </c>
      <c r="AE160" t="inlineStr">
        <is>
          <t>Participacion historica por denominacion (SUP-09)</t>
        </is>
      </c>
    </row>
    <row r="161">
      <c r="A161" t="inlineStr">
        <is>
          <t>PRAGMA</t>
        </is>
      </c>
      <c r="B161" t="inlineStr">
        <is>
          <t>CALI|TRANSPORTADORA_002</t>
        </is>
      </c>
      <c r="C161" t="inlineStr">
        <is>
          <t>Cali</t>
        </is>
      </c>
      <c r="D161" t="inlineStr">
        <is>
          <t>TRANSPORTADORA_002</t>
        </is>
      </c>
      <c r="E161" s="23" t="n">
        <v>46265</v>
      </c>
      <c r="F161" s="23" t="n">
        <v>46280</v>
      </c>
      <c r="G161" t="inlineStr">
        <is>
          <t>Sí</t>
        </is>
      </c>
      <c r="H161" s="25" t="n">
        <v>10000</v>
      </c>
      <c r="I161" s="26" t="n">
        <v>3355179858</v>
      </c>
      <c r="J161" s="26" t="n">
        <v>1779617524</v>
      </c>
      <c r="K161" s="26" t="n">
        <v>1260844742</v>
      </c>
      <c r="L161" s="26">
        <f>J161-K161</f>
        <v>518772782</v>
      </c>
      <c r="M161" s="26">
        <f>I161+L161</f>
        <v>3873952640</v>
      </c>
      <c r="N161" s="26" t="n">
        <v>1487310000</v>
      </c>
      <c r="O161" s="26" t="n">
        <v>3355185000</v>
      </c>
      <c r="P161" s="26">
        <f>MAX(0,N161-M161)</f>
        <v>0</v>
      </c>
      <c r="Q161" s="26">
        <f>MAX(0,M161-O161)</f>
        <v>518767640</v>
      </c>
      <c r="R161" t="inlineStr">
        <is>
          <t>bajo</t>
        </is>
      </c>
      <c r="S161" t="inlineStr">
        <is>
          <t>venta_efectivo</t>
        </is>
      </c>
      <c r="T161" t="inlineStr">
        <is>
          <t>salida</t>
        </is>
      </c>
      <c r="U161" s="26" t="n">
        <v>518770000</v>
      </c>
      <c r="V161" t="inlineStr">
        <is>
          <t>CALI|TRANSPORTADORA_002</t>
        </is>
      </c>
      <c r="X161" s="26">
        <f>IF(T161="entrada",M161+U161,IF(T161="salida",M161-U161,M161))</f>
        <v>3355182640</v>
      </c>
      <c r="Y161" s="26" t="n">
        <v>0</v>
      </c>
      <c r="Z161" t="inlineStr">
        <is>
          <t>Menor costo neto entre las alternativas que cubren la necesidad completa</t>
        </is>
      </c>
      <c r="AA161" t="inlineStr">
        <is>
          <t>SUP-08, SUP-10, SUP-23</t>
        </is>
      </c>
      <c r="AB161" t="inlineStr">
        <is>
          <t>Excedente de $518.767.639 en la denominacion 10000: saldo $3.873.952.639 sobre el maximo $3.355.185.000. Elegida: venta ($518.770.000; beneficio de referencia $207.508). Es preferible porque tiene el menor costo neto. Otras alternativas: traslado con CALI|TRANSPORTADORA_003 ($518.770.000; costo $0); conservar ($518.770.000; costo de almacenar $5.180); consignacion BanRep ($518.770.000; costo $264.793).</t>
        </is>
      </c>
      <c r="AC161" t="inlineStr">
        <is>
          <t>Cierre del dia anterior (saldo encadenado, RN-71)</t>
        </is>
      </c>
      <c r="AD161" t="inlineStr">
        <is>
          <t>estimada</t>
        </is>
      </c>
      <c r="AE161" t="inlineStr">
        <is>
          <t>Participacion historica por denominacion (SUP-09)</t>
        </is>
      </c>
    </row>
    <row r="162">
      <c r="A162" t="inlineStr">
        <is>
          <t>PRAGMA</t>
        </is>
      </c>
      <c r="B162" t="inlineStr">
        <is>
          <t>CALI|TRANSPORTADORA_002</t>
        </is>
      </c>
      <c r="C162" t="inlineStr">
        <is>
          <t>Cali</t>
        </is>
      </c>
      <c r="D162" t="inlineStr">
        <is>
          <t>TRANSPORTADORA_002</t>
        </is>
      </c>
      <c r="E162" s="23" t="n">
        <v>46265</v>
      </c>
      <c r="F162" s="23" t="n">
        <v>46266</v>
      </c>
      <c r="G162" t="inlineStr">
        <is>
          <t>Sí</t>
        </is>
      </c>
      <c r="H162" s="25" t="n">
        <v>20000</v>
      </c>
      <c r="I162" s="26" t="n">
        <v>6657820000</v>
      </c>
      <c r="J162" s="26" t="n">
        <v>4391543991</v>
      </c>
      <c r="K162" s="26" t="n">
        <v>3639141745</v>
      </c>
      <c r="L162" s="26">
        <f>J162-K162</f>
        <v>752402246</v>
      </c>
      <c r="M162" s="26">
        <f>I162+L162</f>
        <v>7410222246</v>
      </c>
      <c r="N162" s="26" t="n">
        <v>3428120000</v>
      </c>
      <c r="O162" s="26" t="n">
        <v>8337910000</v>
      </c>
      <c r="P162" s="26">
        <f>MAX(0,N162-M162)</f>
        <v>0</v>
      </c>
      <c r="Q162" s="26">
        <f>MAX(0,M162-O162)</f>
        <v>0</v>
      </c>
      <c r="R162" t="inlineStr">
        <is>
          <t>bajo</t>
        </is>
      </c>
      <c r="S162" t="inlineStr">
        <is>
          <t>sin_accion</t>
        </is>
      </c>
      <c r="T162" t="inlineStr">
        <is>
          <t>ninguno</t>
        </is>
      </c>
      <c r="U162" s="26" t="n">
        <v>0</v>
      </c>
      <c r="X162" s="26">
        <f>IF(T162="entrada",M162+U162,IF(T162="salida",M162-U162,M162))</f>
        <v>7410222246</v>
      </c>
      <c r="Y162" s="26" t="n">
        <v>0</v>
      </c>
      <c r="Z162" t="inlineStr">
        <is>
          <t>RN-85: dentro de niveles objetivo (sin_accion)</t>
        </is>
      </c>
      <c r="AA162" t="inlineStr">
        <is>
          <t>SUP-07, SUP-10</t>
        </is>
      </c>
      <c r="AB162" t="inlineStr">
        <is>
          <t>Saldo dentro del rango objetivo; sin accion.</t>
        </is>
      </c>
      <c r="AC162" t="inlineStr">
        <is>
          <t>Ultimo disponible al 31/08/2026 (SUP-07)</t>
        </is>
      </c>
      <c r="AD162" t="inlineStr">
        <is>
          <t>estimada</t>
        </is>
      </c>
      <c r="AE162" t="inlineStr">
        <is>
          <t>Participacion historica por denominacion (SUP-09)</t>
        </is>
      </c>
    </row>
    <row r="163">
      <c r="A163" t="inlineStr">
        <is>
          <t>PRAGMA</t>
        </is>
      </c>
      <c r="B163" t="inlineStr">
        <is>
          <t>CALI|TRANSPORTADORA_002</t>
        </is>
      </c>
      <c r="C163" t="inlineStr">
        <is>
          <t>Cali</t>
        </is>
      </c>
      <c r="D163" t="inlineStr">
        <is>
          <t>TRANSPORTADORA_002</t>
        </is>
      </c>
      <c r="E163" s="23" t="n">
        <v>46265</v>
      </c>
      <c r="F163" s="23" t="n">
        <v>46267</v>
      </c>
      <c r="G163" t="inlineStr">
        <is>
          <t>Sí</t>
        </is>
      </c>
      <c r="H163" s="25" t="n">
        <v>20000</v>
      </c>
      <c r="I163" s="26" t="n">
        <v>7410222246</v>
      </c>
      <c r="J163" s="26" t="n">
        <v>4121897480</v>
      </c>
      <c r="K163" s="26" t="n">
        <v>3271237744</v>
      </c>
      <c r="L163" s="26">
        <f>J163-K163</f>
        <v>850659736</v>
      </c>
      <c r="M163" s="26">
        <f>I163+L163</f>
        <v>8260881982</v>
      </c>
      <c r="N163" s="26" t="n">
        <v>3428120000</v>
      </c>
      <c r="O163" s="26" t="n">
        <v>8337910000</v>
      </c>
      <c r="P163" s="26">
        <f>MAX(0,N163-M163)</f>
        <v>0</v>
      </c>
      <c r="Q163" s="26">
        <f>MAX(0,M163-O163)</f>
        <v>0</v>
      </c>
      <c r="R163" t="inlineStr">
        <is>
          <t>bajo</t>
        </is>
      </c>
      <c r="S163" t="inlineStr">
        <is>
          <t>sin_accion</t>
        </is>
      </c>
      <c r="T163" t="inlineStr">
        <is>
          <t>ninguno</t>
        </is>
      </c>
      <c r="U163" s="26" t="n">
        <v>0</v>
      </c>
      <c r="X163" s="26">
        <f>IF(T163="entrada",M163+U163,IF(T163="salida",M163-U163,M163))</f>
        <v>8260881982</v>
      </c>
      <c r="Y163" s="26" t="n">
        <v>0</v>
      </c>
      <c r="Z163" t="inlineStr">
        <is>
          <t>RN-85: dentro de niveles objetivo (sin_accion)</t>
        </is>
      </c>
      <c r="AA163" t="inlineStr">
        <is>
          <t>SUP-07, SUP-10</t>
        </is>
      </c>
      <c r="AB163" t="inlineStr">
        <is>
          <t>Saldo dentro del rango objetivo; sin accion.</t>
        </is>
      </c>
      <c r="AC163" t="inlineStr">
        <is>
          <t>Cierre del dia anterior (saldo encadenado, RN-71)</t>
        </is>
      </c>
      <c r="AD163" t="inlineStr">
        <is>
          <t>estimada</t>
        </is>
      </c>
      <c r="AE163" t="inlineStr">
        <is>
          <t>Participacion historica por denominacion (SUP-09)</t>
        </is>
      </c>
    </row>
    <row r="164">
      <c r="A164" t="inlineStr">
        <is>
          <t>PRAGMA</t>
        </is>
      </c>
      <c r="B164" t="inlineStr">
        <is>
          <t>CALI|TRANSPORTADORA_002</t>
        </is>
      </c>
      <c r="C164" t="inlineStr">
        <is>
          <t>Cali</t>
        </is>
      </c>
      <c r="D164" t="inlineStr">
        <is>
          <t>TRANSPORTADORA_002</t>
        </is>
      </c>
      <c r="E164" s="23" t="n">
        <v>46265</v>
      </c>
      <c r="F164" s="23" t="n">
        <v>46268</v>
      </c>
      <c r="G164" t="inlineStr">
        <is>
          <t>Sí</t>
        </is>
      </c>
      <c r="H164" s="25" t="n">
        <v>20000</v>
      </c>
      <c r="I164" s="26" t="n">
        <v>8260881982</v>
      </c>
      <c r="J164" s="26" t="n">
        <v>3969903943</v>
      </c>
      <c r="K164" s="26" t="n">
        <v>2540280007</v>
      </c>
      <c r="L164" s="26">
        <f>J164-K164</f>
        <v>1429623936</v>
      </c>
      <c r="M164" s="26">
        <f>I164+L164</f>
        <v>9690505918</v>
      </c>
      <c r="N164" s="26" t="n">
        <v>3428120000</v>
      </c>
      <c r="O164" s="26" t="n">
        <v>8337910000</v>
      </c>
      <c r="P164" s="26">
        <f>MAX(0,N164-M164)</f>
        <v>0</v>
      </c>
      <c r="Q164" s="26">
        <f>MAX(0,M164-O164)</f>
        <v>1352595918</v>
      </c>
      <c r="R164" t="inlineStr">
        <is>
          <t>bajo</t>
        </is>
      </c>
      <c r="S164" t="inlineStr">
        <is>
          <t>venta_efectivo</t>
        </is>
      </c>
      <c r="T164" t="inlineStr">
        <is>
          <t>salida</t>
        </is>
      </c>
      <c r="U164" s="26" t="n">
        <v>1352600000</v>
      </c>
      <c r="V164" t="inlineStr">
        <is>
          <t>CALI|TRANSPORTADORA_002</t>
        </is>
      </c>
      <c r="X164" s="26">
        <f>IF(T164="entrada",M164+U164,IF(T164="salida",M164-U164,M164))</f>
        <v>8337905918</v>
      </c>
      <c r="Y164" s="26" t="n">
        <v>0</v>
      </c>
      <c r="Z164" t="inlineStr">
        <is>
          <t>Menor costo neto entre las alternativas que cubren la necesidad completa</t>
        </is>
      </c>
      <c r="AA164" t="inlineStr">
        <is>
          <t>SUP-08, SUP-10, SUP-23</t>
        </is>
      </c>
      <c r="AB164" t="inlineStr">
        <is>
          <t>Excedente de $1.352.595.917 en la denominacion 20000: saldo $9.690.505.917 sobre el maximo $8.337.910.000. Elegida: venta ($1.352.600.000; beneficio de referencia $541.040). Es preferible porque tiene el menor costo neto. Otras alternativas: traslado con CALI|TRANSPORTADORA_001 ($1.327.540.000; costo $0, cubre solo una parte); traslado con CALI|TRANSPORTADORA_003 ($1.352.600.000; costo $0); conservar ($1.352.600.000; costo de almacenar $175.565); consignacion BanRep ($1.352.600.000; costo $492.429); traslado hacia 1 fondo(s) con espacio: ruta sin tarifa en el Anexo E (prohibida).</t>
        </is>
      </c>
      <c r="AC164" t="inlineStr">
        <is>
          <t>Cierre del dia anterior (saldo encadenado, RN-71)</t>
        </is>
      </c>
      <c r="AD164" t="inlineStr">
        <is>
          <t>estimada</t>
        </is>
      </c>
      <c r="AE164" t="inlineStr">
        <is>
          <t>Participacion historica por denominacion (SUP-09)</t>
        </is>
      </c>
    </row>
    <row r="165">
      <c r="A165" t="inlineStr">
        <is>
          <t>PRAGMA</t>
        </is>
      </c>
      <c r="B165" t="inlineStr">
        <is>
          <t>CALI|TRANSPORTADORA_002</t>
        </is>
      </c>
      <c r="C165" t="inlineStr">
        <is>
          <t>Cali</t>
        </is>
      </c>
      <c r="D165" t="inlineStr">
        <is>
          <t>TRANSPORTADORA_002</t>
        </is>
      </c>
      <c r="E165" s="23" t="n">
        <v>46265</v>
      </c>
      <c r="F165" s="23" t="n">
        <v>46269</v>
      </c>
      <c r="G165" t="inlineStr">
        <is>
          <t>Sí</t>
        </is>
      </c>
      <c r="H165" s="25" t="n">
        <v>20000</v>
      </c>
      <c r="I165" s="26" t="n">
        <v>8337905917</v>
      </c>
      <c r="J165" s="26" t="n">
        <v>4189732799</v>
      </c>
      <c r="K165" s="26" t="n">
        <v>3271907216</v>
      </c>
      <c r="L165" s="26">
        <f>J165-K165</f>
        <v>917825583</v>
      </c>
      <c r="M165" s="26">
        <f>I165+L165</f>
        <v>9255731500</v>
      </c>
      <c r="N165" s="26" t="n">
        <v>3428120000</v>
      </c>
      <c r="O165" s="26" t="n">
        <v>8337910000</v>
      </c>
      <c r="P165" s="26">
        <f>MAX(0,N165-M165)</f>
        <v>0</v>
      </c>
      <c r="Q165" s="26">
        <f>MAX(0,M165-O165)</f>
        <v>917821500</v>
      </c>
      <c r="R165" t="inlineStr">
        <is>
          <t>bajo</t>
        </is>
      </c>
      <c r="S165" t="inlineStr">
        <is>
          <t>venta_efectivo</t>
        </is>
      </c>
      <c r="T165" t="inlineStr">
        <is>
          <t>salida</t>
        </is>
      </c>
      <c r="U165" s="26" t="n">
        <v>917840000</v>
      </c>
      <c r="V165" t="inlineStr">
        <is>
          <t>CALI|TRANSPORTADORA_002</t>
        </is>
      </c>
      <c r="X165" s="26">
        <f>IF(T165="entrada",M165+U165,IF(T165="salida",M165-U165,M165))</f>
        <v>8337891500</v>
      </c>
      <c r="Y165" s="26" t="n">
        <v>0</v>
      </c>
      <c r="Z165" t="inlineStr">
        <is>
          <t>Menor costo neto entre las alternativas que cubren la necesidad completa</t>
        </is>
      </c>
      <c r="AA165" t="inlineStr">
        <is>
          <t>SUP-08, SUP-10, SUP-23</t>
        </is>
      </c>
      <c r="AB165" t="inlineStr">
        <is>
          <t>Excedente de $917.821.501 en la denominacion 20000: saldo $9.255.731.501 sobre el maximo $8.337.910.000. Elegida: venta ($917.840.000; beneficio de referencia $367.136). Es preferible porque tiene el menor costo neto. Otras alternativas: traslado con CALI|TRANSPORTADORA_001 ($721.480.000; costo $0, cubre solo una parte); traslado con CALI|TRANSPORTADORA_003 ($917.840.000; costo $0); conservar ($917.840.000; costo de almacenar $109.970); consignacion BanRep ($917.840.000; costo $373.739); traslado hacia 1 fondo(s) con espacio: ruta sin tarifa en el Anexo E (prohibida).</t>
        </is>
      </c>
      <c r="AC165" t="inlineStr">
        <is>
          <t>Cierre del dia anterior (saldo encadenado, RN-71)</t>
        </is>
      </c>
      <c r="AD165" t="inlineStr">
        <is>
          <t>estimada</t>
        </is>
      </c>
      <c r="AE165" t="inlineStr">
        <is>
          <t>Participacion historica por denominacion (SUP-09)</t>
        </is>
      </c>
    </row>
    <row r="166">
      <c r="A166" t="inlineStr">
        <is>
          <t>PRAGMA</t>
        </is>
      </c>
      <c r="B166" t="inlineStr">
        <is>
          <t>CALI|TRANSPORTADORA_002</t>
        </is>
      </c>
      <c r="C166" t="inlineStr">
        <is>
          <t>Cali</t>
        </is>
      </c>
      <c r="D166" t="inlineStr">
        <is>
          <t>TRANSPORTADORA_002</t>
        </is>
      </c>
      <c r="E166" s="23" t="n">
        <v>46265</v>
      </c>
      <c r="F166" s="23" t="n">
        <v>46270</v>
      </c>
      <c r="G166" t="inlineStr">
        <is>
          <t>No</t>
        </is>
      </c>
      <c r="H166" s="25" t="n">
        <v>20000</v>
      </c>
      <c r="I166" s="26" t="n">
        <v>8337891501</v>
      </c>
      <c r="J166" s="26" t="n">
        <v>1289901432</v>
      </c>
      <c r="K166" s="26" t="n">
        <v>1896803830</v>
      </c>
      <c r="L166" s="26">
        <f>J166-K166</f>
        <v>-606902398</v>
      </c>
      <c r="M166" s="26">
        <f>I166+L166</f>
        <v>7730989103</v>
      </c>
      <c r="N166" s="26" t="n">
        <v>3428120000</v>
      </c>
      <c r="O166" s="26" t="n">
        <v>8337910000</v>
      </c>
      <c r="P166" s="26">
        <f>MAX(0,N166-M166)</f>
        <v>0</v>
      </c>
      <c r="Q166" s="26">
        <f>MAX(0,M166-O166)</f>
        <v>0</v>
      </c>
      <c r="R166" t="inlineStr">
        <is>
          <t>bajo</t>
        </is>
      </c>
      <c r="S166" t="inlineStr">
        <is>
          <t>sin_accion</t>
        </is>
      </c>
      <c r="T166" t="inlineStr">
        <is>
          <t>ninguno</t>
        </is>
      </c>
      <c r="U166" s="26" t="n">
        <v>0</v>
      </c>
      <c r="X166" s="26">
        <f>IF(T166="entrada",M166+U166,IF(T166="salida",M166-U166,M166))</f>
        <v>7730989103</v>
      </c>
      <c r="Y166" s="26" t="n">
        <v>0</v>
      </c>
      <c r="Z166" t="inlineStr">
        <is>
          <t>RN-85: dentro de niveles objetivo (sin_accion)</t>
        </is>
      </c>
      <c r="AA166" t="inlineStr">
        <is>
          <t>SUP-07, SUP-10</t>
        </is>
      </c>
      <c r="AB166" t="inlineStr">
        <is>
          <t>Saldo dentro del rango objetivo; sin accion.</t>
        </is>
      </c>
      <c r="AC166" t="inlineStr">
        <is>
          <t>Cierre del dia anterior (saldo encadenado, RN-71)</t>
        </is>
      </c>
      <c r="AD166" t="inlineStr">
        <is>
          <t>estimada</t>
        </is>
      </c>
      <c r="AE166" t="inlineStr">
        <is>
          <t>Participacion historica por denominacion (SUP-09)</t>
        </is>
      </c>
    </row>
    <row r="167">
      <c r="A167" t="inlineStr">
        <is>
          <t>PRAGMA</t>
        </is>
      </c>
      <c r="B167" t="inlineStr">
        <is>
          <t>CALI|TRANSPORTADORA_002</t>
        </is>
      </c>
      <c r="C167" t="inlineStr">
        <is>
          <t>Cali</t>
        </is>
      </c>
      <c r="D167" t="inlineStr">
        <is>
          <t>TRANSPORTADORA_002</t>
        </is>
      </c>
      <c r="E167" s="23" t="n">
        <v>46265</v>
      </c>
      <c r="F167" s="23" t="n">
        <v>46271</v>
      </c>
      <c r="G167" t="inlineStr">
        <is>
          <t>No</t>
        </is>
      </c>
      <c r="H167" s="25" t="n">
        <v>20000</v>
      </c>
      <c r="I167" s="26" t="n">
        <v>7730989103</v>
      </c>
      <c r="J167" s="26" t="n">
        <v>695183874</v>
      </c>
      <c r="K167" s="26" t="n">
        <v>735846512</v>
      </c>
      <c r="L167" s="26">
        <f>J167-K167</f>
        <v>-40662638</v>
      </c>
      <c r="M167" s="26">
        <f>I167+L167</f>
        <v>7690326465</v>
      </c>
      <c r="N167" s="26" t="n">
        <v>3428120000</v>
      </c>
      <c r="O167" s="26" t="n">
        <v>8337910000</v>
      </c>
      <c r="P167" s="26">
        <f>MAX(0,N167-M167)</f>
        <v>0</v>
      </c>
      <c r="Q167" s="26">
        <f>MAX(0,M167-O167)</f>
        <v>0</v>
      </c>
      <c r="R167" t="inlineStr">
        <is>
          <t>bajo</t>
        </is>
      </c>
      <c r="S167" t="inlineStr">
        <is>
          <t>sin_accion</t>
        </is>
      </c>
      <c r="T167" t="inlineStr">
        <is>
          <t>ninguno</t>
        </is>
      </c>
      <c r="U167" s="26" t="n">
        <v>0</v>
      </c>
      <c r="X167" s="26">
        <f>IF(T167="entrada",M167+U167,IF(T167="salida",M167-U167,M167))</f>
        <v>7690326465</v>
      </c>
      <c r="Y167" s="26" t="n">
        <v>0</v>
      </c>
      <c r="Z167" t="inlineStr">
        <is>
          <t>RN-85: dentro de niveles objetivo (sin_accion)</t>
        </is>
      </c>
      <c r="AA167" t="inlineStr">
        <is>
          <t>SUP-07, SUP-10</t>
        </is>
      </c>
      <c r="AB167" t="inlineStr">
        <is>
          <t>Saldo dentro del rango objetivo; sin accion.</t>
        </is>
      </c>
      <c r="AC167" t="inlineStr">
        <is>
          <t>Cierre del dia anterior (saldo encadenado, RN-71)</t>
        </is>
      </c>
      <c r="AD167" t="inlineStr">
        <is>
          <t>estimada</t>
        </is>
      </c>
      <c r="AE167" t="inlineStr">
        <is>
          <t>Participacion historica por denominacion (SUP-09)</t>
        </is>
      </c>
    </row>
    <row r="168">
      <c r="A168" t="inlineStr">
        <is>
          <t>PRAGMA</t>
        </is>
      </c>
      <c r="B168" t="inlineStr">
        <is>
          <t>CALI|TRANSPORTADORA_002</t>
        </is>
      </c>
      <c r="C168" t="inlineStr">
        <is>
          <t>Cali</t>
        </is>
      </c>
      <c r="D168" t="inlineStr">
        <is>
          <t>TRANSPORTADORA_002</t>
        </is>
      </c>
      <c r="E168" s="23" t="n">
        <v>46265</v>
      </c>
      <c r="F168" s="23" t="n">
        <v>46272</v>
      </c>
      <c r="G168" t="inlineStr">
        <is>
          <t>Sí</t>
        </is>
      </c>
      <c r="H168" s="25" t="n">
        <v>20000</v>
      </c>
      <c r="I168" s="26" t="n">
        <v>7690326466</v>
      </c>
      <c r="J168" s="26" t="n">
        <v>4089352335</v>
      </c>
      <c r="K168" s="26" t="n">
        <v>2380219462</v>
      </c>
      <c r="L168" s="26">
        <f>J168-K168</f>
        <v>1709132873</v>
      </c>
      <c r="M168" s="26">
        <f>I168+L168</f>
        <v>9399459339</v>
      </c>
      <c r="N168" s="26" t="n">
        <v>3428120000</v>
      </c>
      <c r="O168" s="26" t="n">
        <v>8337910000</v>
      </c>
      <c r="P168" s="26">
        <f>MAX(0,N168-M168)</f>
        <v>0</v>
      </c>
      <c r="Q168" s="26">
        <f>MAX(0,M168-O168)</f>
        <v>1061549339</v>
      </c>
      <c r="R168" t="inlineStr">
        <is>
          <t>bajo</t>
        </is>
      </c>
      <c r="S168" t="inlineStr">
        <is>
          <t>venta_efectivo</t>
        </is>
      </c>
      <c r="T168" t="inlineStr">
        <is>
          <t>salida</t>
        </is>
      </c>
      <c r="U168" s="26" t="n">
        <v>1061560000</v>
      </c>
      <c r="V168" t="inlineStr">
        <is>
          <t>CALI|TRANSPORTADORA_002</t>
        </is>
      </c>
      <c r="X168" s="26">
        <f>IF(T168="entrada",M168+U168,IF(T168="salida",M168-U168,M168))</f>
        <v>8337899339</v>
      </c>
      <c r="Y168" s="26" t="n">
        <v>0</v>
      </c>
      <c r="Z168" t="inlineStr">
        <is>
          <t>Menor costo neto entre las alternativas que cubren la necesidad completa</t>
        </is>
      </c>
      <c r="AA168" t="inlineStr">
        <is>
          <t>SUP-08, SUP-10, SUP-23</t>
        </is>
      </c>
      <c r="AB168" t="inlineStr">
        <is>
          <t>Excedente de $1.061.549.338 en la denominacion 20000: saldo $9.399.459.338 sobre el maximo $8.337.910.000. Elegida: venta ($1.061.560.000; beneficio de referencia $424.624). Es preferible porque tiene el menor costo neto. Otras alternativas: traslado con CALI|TRANSPORTADORA_001 ($714.800.000; costo $0, cubre solo una parte); traslado con CALI|TRANSPORTADORA_003 ($1.061.560.000; costo $0); conservar ($1.061.560.000; costo de almacenar $95.392); consignacion BanRep ($1.061.560.000; costo $412.975); traslado hacia 1 fondo(s) con espacio: ruta sin tarifa en el Anexo E (prohibida).</t>
        </is>
      </c>
      <c r="AC168" t="inlineStr">
        <is>
          <t>Cierre del dia anterior (saldo encadenado, RN-71)</t>
        </is>
      </c>
      <c r="AD168" t="inlineStr">
        <is>
          <t>estimada</t>
        </is>
      </c>
      <c r="AE168" t="inlineStr">
        <is>
          <t>Participacion historica por denominacion (SUP-09)</t>
        </is>
      </c>
    </row>
    <row r="169">
      <c r="A169" t="inlineStr">
        <is>
          <t>PRAGMA</t>
        </is>
      </c>
      <c r="B169" t="inlineStr">
        <is>
          <t>CALI|TRANSPORTADORA_002</t>
        </is>
      </c>
      <c r="C169" t="inlineStr">
        <is>
          <t>Cali</t>
        </is>
      </c>
      <c r="D169" t="inlineStr">
        <is>
          <t>TRANSPORTADORA_002</t>
        </is>
      </c>
      <c r="E169" s="23" t="n">
        <v>46265</v>
      </c>
      <c r="F169" s="23" t="n">
        <v>46273</v>
      </c>
      <c r="G169" t="inlineStr">
        <is>
          <t>Sí</t>
        </is>
      </c>
      <c r="H169" s="25" t="n">
        <v>20000</v>
      </c>
      <c r="I169" s="26" t="n">
        <v>8337899338</v>
      </c>
      <c r="J169" s="26" t="n">
        <v>4510925814</v>
      </c>
      <c r="K169" s="26" t="n">
        <v>2724129328</v>
      </c>
      <c r="L169" s="26">
        <f>J169-K169</f>
        <v>1786796486</v>
      </c>
      <c r="M169" s="26">
        <f>I169+L169</f>
        <v>10124695824</v>
      </c>
      <c r="N169" s="26" t="n">
        <v>3428120000</v>
      </c>
      <c r="O169" s="26" t="n">
        <v>8337910000</v>
      </c>
      <c r="P169" s="26">
        <f>MAX(0,N169-M169)</f>
        <v>0</v>
      </c>
      <c r="Q169" s="26">
        <f>MAX(0,M169-O169)</f>
        <v>1786785824</v>
      </c>
      <c r="R169" t="inlineStr">
        <is>
          <t>bajo</t>
        </is>
      </c>
      <c r="S169" t="inlineStr">
        <is>
          <t>venta_efectivo</t>
        </is>
      </c>
      <c r="T169" t="inlineStr">
        <is>
          <t>salida</t>
        </is>
      </c>
      <c r="U169" s="26" t="n">
        <v>1786800000</v>
      </c>
      <c r="V169" t="inlineStr">
        <is>
          <t>CALI|TRANSPORTADORA_002</t>
        </is>
      </c>
      <c r="X169" s="26">
        <f>IF(T169="entrada",M169+U169,IF(T169="salida",M169-U169,M169))</f>
        <v>8337895824</v>
      </c>
      <c r="Y169" s="26" t="n">
        <v>0</v>
      </c>
      <c r="Z169" t="inlineStr">
        <is>
          <t>Menor costo neto entre las alternativas que cubren la necesidad completa</t>
        </is>
      </c>
      <c r="AA169" t="inlineStr">
        <is>
          <t>SUP-08, SUP-10, SUP-23</t>
        </is>
      </c>
      <c r="AB169" t="inlineStr">
        <is>
          <t>Excedente de $1.786.785.824 en la denominacion 20000: saldo $10.124.695.824 sobre el maximo $8.337.910.000. Elegida: venta ($1.786.800.000; beneficio de referencia $714.720). Es preferible porque tiene el menor costo neto. Otras alternativas: traslado con CALI|TRANSPORTADORA_003 ($1.786.800.000; costo $0); conservar ($1.786.800.000; costo de almacenar $142.722); consignacion BanRep ($1.786.800.000; costo $610.965); traslado hacia 1 fondo(s) con espacio: ruta sin tarifa en el Anexo E (prohibida).</t>
        </is>
      </c>
      <c r="AC169" t="inlineStr">
        <is>
          <t>Cierre del dia anterior (saldo encadenado, RN-71)</t>
        </is>
      </c>
      <c r="AD169" t="inlineStr">
        <is>
          <t>estimada</t>
        </is>
      </c>
      <c r="AE169" t="inlineStr">
        <is>
          <t>Participacion historica por denominacion (SUP-09)</t>
        </is>
      </c>
    </row>
    <row r="170">
      <c r="A170" t="inlineStr">
        <is>
          <t>PRAGMA</t>
        </is>
      </c>
      <c r="B170" t="inlineStr">
        <is>
          <t>CALI|TRANSPORTADORA_002</t>
        </is>
      </c>
      <c r="C170" t="inlineStr">
        <is>
          <t>Cali</t>
        </is>
      </c>
      <c r="D170" t="inlineStr">
        <is>
          <t>TRANSPORTADORA_002</t>
        </is>
      </c>
      <c r="E170" s="23" t="n">
        <v>46265</v>
      </c>
      <c r="F170" s="23" t="n">
        <v>46274</v>
      </c>
      <c r="G170" t="inlineStr">
        <is>
          <t>Sí</t>
        </is>
      </c>
      <c r="H170" s="25" t="n">
        <v>20000</v>
      </c>
      <c r="I170" s="26" t="n">
        <v>8337895824</v>
      </c>
      <c r="J170" s="26" t="n">
        <v>4258680879</v>
      </c>
      <c r="K170" s="26" t="n">
        <v>2720773588</v>
      </c>
      <c r="L170" s="26">
        <f>J170-K170</f>
        <v>1537907291</v>
      </c>
      <c r="M170" s="26">
        <f>I170+L170</f>
        <v>9875803115</v>
      </c>
      <c r="N170" s="26" t="n">
        <v>3428120000</v>
      </c>
      <c r="O170" s="26" t="n">
        <v>8337910000</v>
      </c>
      <c r="P170" s="26">
        <f>MAX(0,N170-M170)</f>
        <v>0</v>
      </c>
      <c r="Q170" s="26">
        <f>MAX(0,M170-O170)</f>
        <v>1537893115</v>
      </c>
      <c r="R170" t="inlineStr">
        <is>
          <t>bajo</t>
        </is>
      </c>
      <c r="S170" t="inlineStr">
        <is>
          <t>venta_efectivo</t>
        </is>
      </c>
      <c r="T170" t="inlineStr">
        <is>
          <t>salida</t>
        </is>
      </c>
      <c r="U170" s="26" t="n">
        <v>1537900000</v>
      </c>
      <c r="V170" t="inlineStr">
        <is>
          <t>CALI|TRANSPORTADORA_002</t>
        </is>
      </c>
      <c r="X170" s="26">
        <f>IF(T170="entrada",M170+U170,IF(T170="salida",M170-U170,M170))</f>
        <v>8337903115</v>
      </c>
      <c r="Y170" s="26" t="n">
        <v>0</v>
      </c>
      <c r="Z170" t="inlineStr">
        <is>
          <t>Menor costo neto entre las alternativas que cubren la necesidad completa</t>
        </is>
      </c>
      <c r="AA170" t="inlineStr">
        <is>
          <t>SUP-08, SUP-10, SUP-23</t>
        </is>
      </c>
      <c r="AB170" t="inlineStr">
        <is>
          <t>Excedente de $1.537.893.115 en la denominacion 20000: saldo $9.875.803.115 sobre el maximo $8.337.910.000. Elegida: venta ($1.537.900.000; beneficio de referencia $615.160). Es preferible porque tiene el menor costo neto. Otras alternativas: traslado con CALI|TRANSPORTADORA_003 ($1.537.900.000; costo $0); conservar ($1.537.900.000; costo de almacenar $107.486); consignacion BanRep ($1.537.900.000; costo $543.016); traslado hacia 1 fondo(s) con espacio: ruta sin tarifa en el Anexo E (prohibida).</t>
        </is>
      </c>
      <c r="AC170" t="inlineStr">
        <is>
          <t>Cierre del dia anterior (saldo encadenado, RN-71)</t>
        </is>
      </c>
      <c r="AD170" t="inlineStr">
        <is>
          <t>estimada</t>
        </is>
      </c>
      <c r="AE170" t="inlineStr">
        <is>
          <t>Participacion historica por denominacion (SUP-09)</t>
        </is>
      </c>
    </row>
    <row r="171">
      <c r="A171" t="inlineStr">
        <is>
          <t>PRAGMA</t>
        </is>
      </c>
      <c r="B171" t="inlineStr">
        <is>
          <t>CALI|TRANSPORTADORA_002</t>
        </is>
      </c>
      <c r="C171" t="inlineStr">
        <is>
          <t>Cali</t>
        </is>
      </c>
      <c r="D171" t="inlineStr">
        <is>
          <t>TRANSPORTADORA_002</t>
        </is>
      </c>
      <c r="E171" s="23" t="n">
        <v>46265</v>
      </c>
      <c r="F171" s="23" t="n">
        <v>46275</v>
      </c>
      <c r="G171" t="inlineStr">
        <is>
          <t>Sí</t>
        </is>
      </c>
      <c r="H171" s="25" t="n">
        <v>20000</v>
      </c>
      <c r="I171" s="26" t="n">
        <v>8337903115</v>
      </c>
      <c r="J171" s="26" t="n">
        <v>3869458844</v>
      </c>
      <c r="K171" s="26" t="n">
        <v>2553976700</v>
      </c>
      <c r="L171" s="26">
        <f>J171-K171</f>
        <v>1315482144</v>
      </c>
      <c r="M171" s="26">
        <f>I171+L171</f>
        <v>9653385259</v>
      </c>
      <c r="N171" s="26" t="n">
        <v>3428120000</v>
      </c>
      <c r="O171" s="26" t="n">
        <v>8337910000</v>
      </c>
      <c r="P171" s="26">
        <f>MAX(0,N171-M171)</f>
        <v>0</v>
      </c>
      <c r="Q171" s="26">
        <f>MAX(0,M171-O171)</f>
        <v>1315475259</v>
      </c>
      <c r="R171" t="inlineStr">
        <is>
          <t>bajo</t>
        </is>
      </c>
      <c r="S171" t="inlineStr">
        <is>
          <t>venta_efectivo</t>
        </is>
      </c>
      <c r="T171" t="inlineStr">
        <is>
          <t>salida</t>
        </is>
      </c>
      <c r="U171" s="26" t="n">
        <v>1315480000</v>
      </c>
      <c r="V171" t="inlineStr">
        <is>
          <t>CALI|TRANSPORTADORA_002</t>
        </is>
      </c>
      <c r="X171" s="26">
        <f>IF(T171="entrada",M171+U171,IF(T171="salida",M171-U171,M171))</f>
        <v>8337905259</v>
      </c>
      <c r="Y171" s="26" t="n">
        <v>0</v>
      </c>
      <c r="Z171" t="inlineStr">
        <is>
          <t>Menor costo neto entre las alternativas que cubren la necesidad completa</t>
        </is>
      </c>
      <c r="AA171" t="inlineStr">
        <is>
          <t>SUP-08, SUP-10, SUP-23</t>
        </is>
      </c>
      <c r="AB171" t="inlineStr">
        <is>
          <t>Excedente de $1.315.475.259 en la denominacion 20000: saldo $9.653.385.259 sobre el maximo $8.337.910.000. Elegida: venta ($1.315.480.000; beneficio de referencia $526.192). Es preferible porque tiene el menor costo neto. Otras alternativas: traslado con CALI|TRANSPORTADORA_003 ($1.315.480.000; costo $0); conservar ($1.315.480.000; costo de almacenar $78.806); consignacion BanRep ($1.315.480.000; costo $482.295); traslado hacia 1 fondo(s) con espacio: ruta sin tarifa en el Anexo E (prohibida).</t>
        </is>
      </c>
      <c r="AC171" t="inlineStr">
        <is>
          <t>Cierre del dia anterior (saldo encadenado, RN-71)</t>
        </is>
      </c>
      <c r="AD171" t="inlineStr">
        <is>
          <t>estimada</t>
        </is>
      </c>
      <c r="AE171" t="inlineStr">
        <is>
          <t>Participacion historica por denominacion (SUP-09)</t>
        </is>
      </c>
    </row>
    <row r="172">
      <c r="A172" t="inlineStr">
        <is>
          <t>PRAGMA</t>
        </is>
      </c>
      <c r="B172" t="inlineStr">
        <is>
          <t>CALI|TRANSPORTADORA_002</t>
        </is>
      </c>
      <c r="C172" t="inlineStr">
        <is>
          <t>Cali</t>
        </is>
      </c>
      <c r="D172" t="inlineStr">
        <is>
          <t>TRANSPORTADORA_002</t>
        </is>
      </c>
      <c r="E172" s="23" t="n">
        <v>46265</v>
      </c>
      <c r="F172" s="23" t="n">
        <v>46276</v>
      </c>
      <c r="G172" t="inlineStr">
        <is>
          <t>Sí</t>
        </is>
      </c>
      <c r="H172" s="25" t="n">
        <v>20000</v>
      </c>
      <c r="I172" s="26" t="n">
        <v>8337905259</v>
      </c>
      <c r="J172" s="26" t="n">
        <v>4136613705</v>
      </c>
      <c r="K172" s="26" t="n">
        <v>2826049081</v>
      </c>
      <c r="L172" s="26">
        <f>J172-K172</f>
        <v>1310564624</v>
      </c>
      <c r="M172" s="26">
        <f>I172+L172</f>
        <v>9648469883</v>
      </c>
      <c r="N172" s="26" t="n">
        <v>3428120000</v>
      </c>
      <c r="O172" s="26" t="n">
        <v>8337910000</v>
      </c>
      <c r="P172" s="26">
        <f>MAX(0,N172-M172)</f>
        <v>0</v>
      </c>
      <c r="Q172" s="26">
        <f>MAX(0,M172-O172)</f>
        <v>1310559883</v>
      </c>
      <c r="R172" t="inlineStr">
        <is>
          <t>bajo</t>
        </is>
      </c>
      <c r="S172" t="inlineStr">
        <is>
          <t>venta_efectivo</t>
        </is>
      </c>
      <c r="T172" t="inlineStr">
        <is>
          <t>salida</t>
        </is>
      </c>
      <c r="U172" s="26" t="n">
        <v>1310560000</v>
      </c>
      <c r="V172" t="inlineStr">
        <is>
          <t>CALI|TRANSPORTADORA_002</t>
        </is>
      </c>
      <c r="X172" s="26">
        <f>IF(T172="entrada",M172+U172,IF(T172="salida",M172-U172,M172))</f>
        <v>8337909883</v>
      </c>
      <c r="Y172" s="26" t="n">
        <v>0</v>
      </c>
      <c r="Z172" t="inlineStr">
        <is>
          <t>Menor costo neto entre las alternativas que cubren la necesidad completa</t>
        </is>
      </c>
      <c r="AA172" t="inlineStr">
        <is>
          <t>SUP-08, SUP-10, SUP-23</t>
        </is>
      </c>
      <c r="AB172" t="inlineStr">
        <is>
          <t>Excedente de $1.310.559.883 en la denominacion 20000: saldo $9.648.469.883 sobre el maximo $8.337.910.000. Elegida: venta ($1.310.560.000; beneficio de referencia $524.224). Es preferible porque tiene el menor costo neto. Otras alternativas: traslado con CALI|TRANSPORTADORA_003 ($1.310.560.000; costo $0); conservar ($1.310.560.000; costo de almacenar $65.426); consignacion BanRep ($1.310.560.000; costo $480.952).</t>
        </is>
      </c>
      <c r="AC172" t="inlineStr">
        <is>
          <t>Cierre del dia anterior (saldo encadenado, RN-71)</t>
        </is>
      </c>
      <c r="AD172" t="inlineStr">
        <is>
          <t>estimada</t>
        </is>
      </c>
      <c r="AE172" t="inlineStr">
        <is>
          <t>Participacion historica por denominacion (SUP-09)</t>
        </is>
      </c>
    </row>
    <row r="173">
      <c r="A173" t="inlineStr">
        <is>
          <t>PRAGMA</t>
        </is>
      </c>
      <c r="B173" t="inlineStr">
        <is>
          <t>CALI|TRANSPORTADORA_002</t>
        </is>
      </c>
      <c r="C173" t="inlineStr">
        <is>
          <t>Cali</t>
        </is>
      </c>
      <c r="D173" t="inlineStr">
        <is>
          <t>TRANSPORTADORA_002</t>
        </is>
      </c>
      <c r="E173" s="23" t="n">
        <v>46265</v>
      </c>
      <c r="F173" s="23" t="n">
        <v>46277</v>
      </c>
      <c r="G173" t="inlineStr">
        <is>
          <t>No</t>
        </is>
      </c>
      <c r="H173" s="25" t="n">
        <v>20000</v>
      </c>
      <c r="I173" s="26" t="n">
        <v>8337909883</v>
      </c>
      <c r="J173" s="26" t="n">
        <v>1252654172</v>
      </c>
      <c r="K173" s="26" t="n">
        <v>1616712511</v>
      </c>
      <c r="L173" s="26">
        <f>J173-K173</f>
        <v>-364058339</v>
      </c>
      <c r="M173" s="26">
        <f>I173+L173</f>
        <v>7973851544</v>
      </c>
      <c r="N173" s="26" t="n">
        <v>3428120000</v>
      </c>
      <c r="O173" s="26" t="n">
        <v>8337910000</v>
      </c>
      <c r="P173" s="26">
        <f>MAX(0,N173-M173)</f>
        <v>0</v>
      </c>
      <c r="Q173" s="26">
        <f>MAX(0,M173-O173)</f>
        <v>0</v>
      </c>
      <c r="R173" t="inlineStr">
        <is>
          <t>bajo</t>
        </is>
      </c>
      <c r="S173" t="inlineStr">
        <is>
          <t>sin_accion</t>
        </is>
      </c>
      <c r="T173" t="inlineStr">
        <is>
          <t>ninguno</t>
        </is>
      </c>
      <c r="U173" s="26" t="n">
        <v>0</v>
      </c>
      <c r="X173" s="26">
        <f>IF(T173="entrada",M173+U173,IF(T173="salida",M173-U173,M173))</f>
        <v>7973851544</v>
      </c>
      <c r="Y173" s="26" t="n">
        <v>0</v>
      </c>
      <c r="Z173" t="inlineStr">
        <is>
          <t>RN-85: dentro de niveles objetivo (sin_accion)</t>
        </is>
      </c>
      <c r="AA173" t="inlineStr">
        <is>
          <t>SUP-07, SUP-10</t>
        </is>
      </c>
      <c r="AB173" t="inlineStr">
        <is>
          <t>Saldo dentro del rango objetivo; sin accion.</t>
        </is>
      </c>
      <c r="AC173" t="inlineStr">
        <is>
          <t>Cierre del dia anterior (saldo encadenado, RN-71)</t>
        </is>
      </c>
      <c r="AD173" t="inlineStr">
        <is>
          <t>estimada</t>
        </is>
      </c>
      <c r="AE173" t="inlineStr">
        <is>
          <t>Participacion historica por denominacion (SUP-09)</t>
        </is>
      </c>
    </row>
    <row r="174">
      <c r="A174" t="inlineStr">
        <is>
          <t>PRAGMA</t>
        </is>
      </c>
      <c r="B174" t="inlineStr">
        <is>
          <t>CALI|TRANSPORTADORA_002</t>
        </is>
      </c>
      <c r="C174" t="inlineStr">
        <is>
          <t>Cali</t>
        </is>
      </c>
      <c r="D174" t="inlineStr">
        <is>
          <t>TRANSPORTADORA_002</t>
        </is>
      </c>
      <c r="E174" s="23" t="n">
        <v>46265</v>
      </c>
      <c r="F174" s="23" t="n">
        <v>46278</v>
      </c>
      <c r="G174" t="inlineStr">
        <is>
          <t>No</t>
        </is>
      </c>
      <c r="H174" s="25" t="n">
        <v>20000</v>
      </c>
      <c r="I174" s="26" t="n">
        <v>7973851544</v>
      </c>
      <c r="J174" s="26" t="n">
        <v>578925311</v>
      </c>
      <c r="K174" s="26" t="n">
        <v>573005071</v>
      </c>
      <c r="L174" s="26">
        <f>J174-K174</f>
        <v>5920240</v>
      </c>
      <c r="M174" s="26">
        <f>I174+L174</f>
        <v>7979771784</v>
      </c>
      <c r="N174" s="26" t="n">
        <v>3428120000</v>
      </c>
      <c r="O174" s="26" t="n">
        <v>8337910000</v>
      </c>
      <c r="P174" s="26">
        <f>MAX(0,N174-M174)</f>
        <v>0</v>
      </c>
      <c r="Q174" s="26">
        <f>MAX(0,M174-O174)</f>
        <v>0</v>
      </c>
      <c r="R174" t="inlineStr">
        <is>
          <t>bajo</t>
        </is>
      </c>
      <c r="S174" t="inlineStr">
        <is>
          <t>sin_accion</t>
        </is>
      </c>
      <c r="T174" t="inlineStr">
        <is>
          <t>ninguno</t>
        </is>
      </c>
      <c r="U174" s="26" t="n">
        <v>0</v>
      </c>
      <c r="X174" s="26">
        <f>IF(T174="entrada",M174+U174,IF(T174="salida",M174-U174,M174))</f>
        <v>7979771784</v>
      </c>
      <c r="Y174" s="26" t="n">
        <v>0</v>
      </c>
      <c r="Z174" t="inlineStr">
        <is>
          <t>RN-85: dentro de niveles objetivo (sin_accion)</t>
        </is>
      </c>
      <c r="AA174" t="inlineStr">
        <is>
          <t>SUP-07, SUP-10</t>
        </is>
      </c>
      <c r="AB174" t="inlineStr">
        <is>
          <t>Saldo dentro del rango objetivo; sin accion.</t>
        </is>
      </c>
      <c r="AC174" t="inlineStr">
        <is>
          <t>Cierre del dia anterior (saldo encadenado, RN-71)</t>
        </is>
      </c>
      <c r="AD174" t="inlineStr">
        <is>
          <t>estimada</t>
        </is>
      </c>
      <c r="AE174" t="inlineStr">
        <is>
          <t>Participacion historica por denominacion (SUP-09)</t>
        </is>
      </c>
    </row>
    <row r="175">
      <c r="A175" t="inlineStr">
        <is>
          <t>PRAGMA</t>
        </is>
      </c>
      <c r="B175" t="inlineStr">
        <is>
          <t>CALI|TRANSPORTADORA_002</t>
        </is>
      </c>
      <c r="C175" t="inlineStr">
        <is>
          <t>Cali</t>
        </is>
      </c>
      <c r="D175" t="inlineStr">
        <is>
          <t>TRANSPORTADORA_002</t>
        </is>
      </c>
      <c r="E175" s="23" t="n">
        <v>46265</v>
      </c>
      <c r="F175" s="23" t="n">
        <v>46279</v>
      </c>
      <c r="G175" t="inlineStr">
        <is>
          <t>Sí</t>
        </is>
      </c>
      <c r="H175" s="25" t="n">
        <v>20000</v>
      </c>
      <c r="I175" s="26" t="n">
        <v>7979771783</v>
      </c>
      <c r="J175" s="26" t="n">
        <v>4147662238</v>
      </c>
      <c r="K175" s="26" t="n">
        <v>2422218662</v>
      </c>
      <c r="L175" s="26">
        <f>J175-K175</f>
        <v>1725443576</v>
      </c>
      <c r="M175" s="26">
        <f>I175+L175</f>
        <v>9705215359</v>
      </c>
      <c r="N175" s="26" t="n">
        <v>3428120000</v>
      </c>
      <c r="O175" s="26" t="n">
        <v>8337910000</v>
      </c>
      <c r="P175" s="26">
        <f>MAX(0,N175-M175)</f>
        <v>0</v>
      </c>
      <c r="Q175" s="26">
        <f>MAX(0,M175-O175)</f>
        <v>1367305359</v>
      </c>
      <c r="R175" t="inlineStr">
        <is>
          <t>bajo</t>
        </is>
      </c>
      <c r="S175" t="inlineStr">
        <is>
          <t>venta_efectivo</t>
        </is>
      </c>
      <c r="T175" t="inlineStr">
        <is>
          <t>salida</t>
        </is>
      </c>
      <c r="U175" s="26" t="n">
        <v>1367320000</v>
      </c>
      <c r="V175" t="inlineStr">
        <is>
          <t>CALI|TRANSPORTADORA_002</t>
        </is>
      </c>
      <c r="X175" s="26">
        <f>IF(T175="entrada",M175+U175,IF(T175="salida",M175-U175,M175))</f>
        <v>8337895359</v>
      </c>
      <c r="Y175" s="26" t="n">
        <v>0</v>
      </c>
      <c r="Z175" t="inlineStr">
        <is>
          <t>Menor costo neto entre las alternativas que cubren la necesidad completa</t>
        </is>
      </c>
      <c r="AA175" t="inlineStr">
        <is>
          <t>SUP-08, SUP-10, SUP-23</t>
        </is>
      </c>
      <c r="AB175" t="inlineStr">
        <is>
          <t>Excedente de $1.367.305.360 en la denominacion 20000: saldo $9.705.215.360 sobre el maximo $8.337.910.000. Elegida: venta ($1.367.320.000; beneficio de referencia $546.928). Es preferible porque tiene el menor costo neto. Otras alternativas: traslado con CALI|TRANSPORTADORA_003 ($1.367.320.000; costo $0); conservar ($1.367.320.000; costo de almacenar $27.304); consignacion BanRep ($1.367.320.000; costo $496.447).</t>
        </is>
      </c>
      <c r="AC175" t="inlineStr">
        <is>
          <t>Cierre del dia anterior (saldo encadenado, RN-71)</t>
        </is>
      </c>
      <c r="AD175" t="inlineStr">
        <is>
          <t>estimada</t>
        </is>
      </c>
      <c r="AE175" t="inlineStr">
        <is>
          <t>Participacion historica por denominacion (SUP-09)</t>
        </is>
      </c>
    </row>
    <row r="176">
      <c r="A176" t="inlineStr">
        <is>
          <t>PRAGMA</t>
        </is>
      </c>
      <c r="B176" t="inlineStr">
        <is>
          <t>CALI|TRANSPORTADORA_002</t>
        </is>
      </c>
      <c r="C176" t="inlineStr">
        <is>
          <t>Cali</t>
        </is>
      </c>
      <c r="D176" t="inlineStr">
        <is>
          <t>TRANSPORTADORA_002</t>
        </is>
      </c>
      <c r="E176" s="23" t="n">
        <v>46265</v>
      </c>
      <c r="F176" s="23" t="n">
        <v>46280</v>
      </c>
      <c r="G176" t="inlineStr">
        <is>
          <t>Sí</t>
        </is>
      </c>
      <c r="H176" s="25" t="n">
        <v>20000</v>
      </c>
      <c r="I176" s="26" t="n">
        <v>8337895360</v>
      </c>
      <c r="J176" s="26" t="n">
        <v>4480616993</v>
      </c>
      <c r="K176" s="26" t="n">
        <v>3174481203</v>
      </c>
      <c r="L176" s="26">
        <f>J176-K176</f>
        <v>1306135790</v>
      </c>
      <c r="M176" s="26">
        <f>I176+L176</f>
        <v>9644031150</v>
      </c>
      <c r="N176" s="26" t="n">
        <v>3428120000</v>
      </c>
      <c r="O176" s="26" t="n">
        <v>8337910000</v>
      </c>
      <c r="P176" s="26">
        <f>MAX(0,N176-M176)</f>
        <v>0</v>
      </c>
      <c r="Q176" s="26">
        <f>MAX(0,M176-O176)</f>
        <v>1306121150</v>
      </c>
      <c r="R176" t="inlineStr">
        <is>
          <t>bajo</t>
        </is>
      </c>
      <c r="S176" t="inlineStr">
        <is>
          <t>venta_efectivo</t>
        </is>
      </c>
      <c r="T176" t="inlineStr">
        <is>
          <t>salida</t>
        </is>
      </c>
      <c r="U176" s="26" t="n">
        <v>1306140000</v>
      </c>
      <c r="V176" t="inlineStr">
        <is>
          <t>CALI|TRANSPORTADORA_002</t>
        </is>
      </c>
      <c r="X176" s="26">
        <f>IF(T176="entrada",M176+U176,IF(T176="salida",M176-U176,M176))</f>
        <v>8337891150</v>
      </c>
      <c r="Y176" s="26" t="n">
        <v>0</v>
      </c>
      <c r="Z176" t="inlineStr">
        <is>
          <t>Menor costo neto entre las alternativas que cubren la necesidad completa</t>
        </is>
      </c>
      <c r="AA176" t="inlineStr">
        <is>
          <t>SUP-08, SUP-10, SUP-23</t>
        </is>
      </c>
      <c r="AB176" t="inlineStr">
        <is>
          <t>Excedente de $1.306.121.150 en la denominacion 20000: saldo $9.644.031.150 sobre el maximo $8.337.910.000. Elegida: venta ($1.306.140.000; beneficio de referencia $522.456). Es preferible porque tiene el menor costo neto. Otras alternativas: traslado con CALI|TRANSPORTADORA_003 ($1.306.140.000; costo $0); conservar ($1.306.140.000; costo de almacenar $13.041); consignacion BanRep ($1.306.140.000; costo $479.745).</t>
        </is>
      </c>
      <c r="AC176" t="inlineStr">
        <is>
          <t>Cierre del dia anterior (saldo encadenado, RN-71)</t>
        </is>
      </c>
      <c r="AD176" t="inlineStr">
        <is>
          <t>estimada</t>
        </is>
      </c>
      <c r="AE176" t="inlineStr">
        <is>
          <t>Participacion historica por denominacion (SUP-09)</t>
        </is>
      </c>
    </row>
    <row r="177">
      <c r="A177" t="inlineStr">
        <is>
          <t>PRAGMA</t>
        </is>
      </c>
      <c r="B177" t="inlineStr">
        <is>
          <t>CALI|TRANSPORTADORA_002</t>
        </is>
      </c>
      <c r="C177" t="inlineStr">
        <is>
          <t>Cali</t>
        </is>
      </c>
      <c r="D177" t="inlineStr">
        <is>
          <t>TRANSPORTADORA_002</t>
        </is>
      </c>
      <c r="E177" s="23" t="n">
        <v>46265</v>
      </c>
      <c r="F177" s="23" t="n">
        <v>46266</v>
      </c>
      <c r="G177" t="inlineStr">
        <is>
          <t>Sí</t>
        </is>
      </c>
      <c r="H177" s="25" t="n">
        <v>50000</v>
      </c>
      <c r="I177" s="26" t="n">
        <v>17948800000</v>
      </c>
      <c r="J177" s="26" t="n">
        <v>20890116778</v>
      </c>
      <c r="K177" s="26" t="n">
        <v>17311017760</v>
      </c>
      <c r="L177" s="26">
        <f>J177-K177</f>
        <v>3579099018</v>
      </c>
      <c r="M177" s="26">
        <f>I177+L177</f>
        <v>21527899018</v>
      </c>
      <c r="N177" s="26" t="n">
        <v>18194325000</v>
      </c>
      <c r="O177" s="26" t="n">
        <v>40286425000</v>
      </c>
      <c r="P177" s="26">
        <f>MAX(0,N177-M177)</f>
        <v>0</v>
      </c>
      <c r="Q177" s="26">
        <f>MAX(0,M177-O177)</f>
        <v>0</v>
      </c>
      <c r="R177" t="inlineStr">
        <is>
          <t>bajo</t>
        </is>
      </c>
      <c r="S177" t="inlineStr">
        <is>
          <t>sin_accion</t>
        </is>
      </c>
      <c r="T177" t="inlineStr">
        <is>
          <t>ninguno</t>
        </is>
      </c>
      <c r="U177" s="26" t="n">
        <v>0</v>
      </c>
      <c r="X177" s="26">
        <f>IF(T177="entrada",M177+U177,IF(T177="salida",M177-U177,M177))</f>
        <v>21527899018</v>
      </c>
      <c r="Y177" s="26" t="n">
        <v>0</v>
      </c>
      <c r="Z177" t="inlineStr">
        <is>
          <t>RN-85: dentro de niveles objetivo (sin_accion)</t>
        </is>
      </c>
      <c r="AA177" t="inlineStr">
        <is>
          <t>SUP-07, SUP-10</t>
        </is>
      </c>
      <c r="AB177" t="inlineStr">
        <is>
          <t>Saldo dentro del rango objetivo; sin accion.</t>
        </is>
      </c>
      <c r="AC177" t="inlineStr">
        <is>
          <t>Ultimo disponible al 31/08/2026 (SUP-07)</t>
        </is>
      </c>
      <c r="AD177" t="inlineStr">
        <is>
          <t>estimada</t>
        </is>
      </c>
      <c r="AE177" t="inlineStr">
        <is>
          <t>Participacion historica por denominacion (SUP-09)</t>
        </is>
      </c>
    </row>
    <row r="178">
      <c r="A178" t="inlineStr">
        <is>
          <t>PRAGMA</t>
        </is>
      </c>
      <c r="B178" t="inlineStr">
        <is>
          <t>CALI|TRANSPORTADORA_002</t>
        </is>
      </c>
      <c r="C178" t="inlineStr">
        <is>
          <t>Cali</t>
        </is>
      </c>
      <c r="D178" t="inlineStr">
        <is>
          <t>TRANSPORTADORA_002</t>
        </is>
      </c>
      <c r="E178" s="23" t="n">
        <v>46265</v>
      </c>
      <c r="F178" s="23" t="n">
        <v>46267</v>
      </c>
      <c r="G178" t="inlineStr">
        <is>
          <t>Sí</t>
        </is>
      </c>
      <c r="H178" s="25" t="n">
        <v>50000</v>
      </c>
      <c r="I178" s="26" t="n">
        <v>21527899018</v>
      </c>
      <c r="J178" s="26" t="n">
        <v>19607436447</v>
      </c>
      <c r="K178" s="26" t="n">
        <v>15560936798</v>
      </c>
      <c r="L178" s="26">
        <f>J178-K178</f>
        <v>4046499649</v>
      </c>
      <c r="M178" s="26">
        <f>I178+L178</f>
        <v>25574398667</v>
      </c>
      <c r="N178" s="26" t="n">
        <v>18194325000</v>
      </c>
      <c r="O178" s="26" t="n">
        <v>40286425000</v>
      </c>
      <c r="P178" s="26">
        <f>MAX(0,N178-M178)</f>
        <v>0</v>
      </c>
      <c r="Q178" s="26">
        <f>MAX(0,M178-O178)</f>
        <v>0</v>
      </c>
      <c r="R178" t="inlineStr">
        <is>
          <t>bajo</t>
        </is>
      </c>
      <c r="S178" t="inlineStr">
        <is>
          <t>sin_accion</t>
        </is>
      </c>
      <c r="T178" t="inlineStr">
        <is>
          <t>ninguno</t>
        </is>
      </c>
      <c r="U178" s="26" t="n">
        <v>0</v>
      </c>
      <c r="X178" s="26">
        <f>IF(T178="entrada",M178+U178,IF(T178="salida",M178-U178,M178))</f>
        <v>25574398667</v>
      </c>
      <c r="Y178" s="26" t="n">
        <v>0</v>
      </c>
      <c r="Z178" t="inlineStr">
        <is>
          <t>RN-85: dentro de niveles objetivo (sin_accion)</t>
        </is>
      </c>
      <c r="AA178" t="inlineStr">
        <is>
          <t>SUP-07, SUP-10</t>
        </is>
      </c>
      <c r="AB178" t="inlineStr">
        <is>
          <t>Saldo dentro del rango objetivo; sin accion.</t>
        </is>
      </c>
      <c r="AC178" t="inlineStr">
        <is>
          <t>Cierre del dia anterior (saldo encadenado, RN-71)</t>
        </is>
      </c>
      <c r="AD178" t="inlineStr">
        <is>
          <t>estimada</t>
        </is>
      </c>
      <c r="AE178" t="inlineStr">
        <is>
          <t>Participacion historica por denominacion (SUP-09)</t>
        </is>
      </c>
    </row>
    <row r="179">
      <c r="A179" t="inlineStr">
        <is>
          <t>PRAGMA</t>
        </is>
      </c>
      <c r="B179" t="inlineStr">
        <is>
          <t>CALI|TRANSPORTADORA_002</t>
        </is>
      </c>
      <c r="C179" t="inlineStr">
        <is>
          <t>Cali</t>
        </is>
      </c>
      <c r="D179" t="inlineStr">
        <is>
          <t>TRANSPORTADORA_002</t>
        </is>
      </c>
      <c r="E179" s="23" t="n">
        <v>46265</v>
      </c>
      <c r="F179" s="23" t="n">
        <v>46268</v>
      </c>
      <c r="G179" t="inlineStr">
        <is>
          <t>Sí</t>
        </is>
      </c>
      <c r="H179" s="25" t="n">
        <v>50000</v>
      </c>
      <c r="I179" s="26" t="n">
        <v>25574398667</v>
      </c>
      <c r="J179" s="26" t="n">
        <v>18884419042</v>
      </c>
      <c r="K179" s="26" t="n">
        <v>12083847074</v>
      </c>
      <c r="L179" s="26">
        <f>J179-K179</f>
        <v>6800571968</v>
      </c>
      <c r="M179" s="26">
        <f>I179+L179</f>
        <v>32374970635</v>
      </c>
      <c r="N179" s="26" t="n">
        <v>18194325000</v>
      </c>
      <c r="O179" s="26" t="n">
        <v>40286425000</v>
      </c>
      <c r="P179" s="26">
        <f>MAX(0,N179-M179)</f>
        <v>0</v>
      </c>
      <c r="Q179" s="26">
        <f>MAX(0,M179-O179)</f>
        <v>0</v>
      </c>
      <c r="R179" t="inlineStr">
        <is>
          <t>bajo</t>
        </is>
      </c>
      <c r="S179" t="inlineStr">
        <is>
          <t>sin_accion</t>
        </is>
      </c>
      <c r="T179" t="inlineStr">
        <is>
          <t>ninguno</t>
        </is>
      </c>
      <c r="U179" s="26" t="n">
        <v>0</v>
      </c>
      <c r="X179" s="26">
        <f>IF(T179="entrada",M179+U179,IF(T179="salida",M179-U179,M179))</f>
        <v>32374970635</v>
      </c>
      <c r="Y179" s="26" t="n">
        <v>0</v>
      </c>
      <c r="Z179" t="inlineStr">
        <is>
          <t>RN-85: dentro de niveles objetivo (sin_accion)</t>
        </is>
      </c>
      <c r="AA179" t="inlineStr">
        <is>
          <t>SUP-07, SUP-10</t>
        </is>
      </c>
      <c r="AB179" t="inlineStr">
        <is>
          <t>Saldo dentro del rango objetivo; sin accion.</t>
        </is>
      </c>
      <c r="AC179" t="inlineStr">
        <is>
          <t>Cierre del dia anterior (saldo encadenado, RN-71)</t>
        </is>
      </c>
      <c r="AD179" t="inlineStr">
        <is>
          <t>estimada</t>
        </is>
      </c>
      <c r="AE179" t="inlineStr">
        <is>
          <t>Participacion historica por denominacion (SUP-09)</t>
        </is>
      </c>
    </row>
    <row r="180">
      <c r="A180" t="inlineStr">
        <is>
          <t>PRAGMA</t>
        </is>
      </c>
      <c r="B180" t="inlineStr">
        <is>
          <t>CALI|TRANSPORTADORA_002</t>
        </is>
      </c>
      <c r="C180" t="inlineStr">
        <is>
          <t>Cali</t>
        </is>
      </c>
      <c r="D180" t="inlineStr">
        <is>
          <t>TRANSPORTADORA_002</t>
        </is>
      </c>
      <c r="E180" s="23" t="n">
        <v>46265</v>
      </c>
      <c r="F180" s="23" t="n">
        <v>46269</v>
      </c>
      <c r="G180" t="inlineStr">
        <is>
          <t>Sí</t>
        </is>
      </c>
      <c r="H180" s="25" t="n">
        <v>50000</v>
      </c>
      <c r="I180" s="26" t="n">
        <v>32374970635</v>
      </c>
      <c r="J180" s="26" t="n">
        <v>19930121986</v>
      </c>
      <c r="K180" s="26" t="n">
        <v>15564121403</v>
      </c>
      <c r="L180" s="26">
        <f>J180-K180</f>
        <v>4366000583</v>
      </c>
      <c r="M180" s="26">
        <f>I180+L180</f>
        <v>36740971218</v>
      </c>
      <c r="N180" s="26" t="n">
        <v>18194325000</v>
      </c>
      <c r="O180" s="26" t="n">
        <v>40286425000</v>
      </c>
      <c r="P180" s="26">
        <f>MAX(0,N180-M180)</f>
        <v>0</v>
      </c>
      <c r="Q180" s="26">
        <f>MAX(0,M180-O180)</f>
        <v>0</v>
      </c>
      <c r="R180" t="inlineStr">
        <is>
          <t>bajo</t>
        </is>
      </c>
      <c r="S180" t="inlineStr">
        <is>
          <t>sin_accion</t>
        </is>
      </c>
      <c r="T180" t="inlineStr">
        <is>
          <t>ninguno</t>
        </is>
      </c>
      <c r="U180" s="26" t="n">
        <v>0</v>
      </c>
      <c r="X180" s="26">
        <f>IF(T180="entrada",M180+U180,IF(T180="salida",M180-U180,M180))</f>
        <v>36740971218</v>
      </c>
      <c r="Y180" s="26" t="n">
        <v>0</v>
      </c>
      <c r="Z180" t="inlineStr">
        <is>
          <t>RN-85: dentro de niveles objetivo (sin_accion)</t>
        </is>
      </c>
      <c r="AA180" t="inlineStr">
        <is>
          <t>SUP-07, SUP-10</t>
        </is>
      </c>
      <c r="AB180" t="inlineStr">
        <is>
          <t>Saldo dentro del rango objetivo; sin accion.</t>
        </is>
      </c>
      <c r="AC180" t="inlineStr">
        <is>
          <t>Cierre del dia anterior (saldo encadenado, RN-71)</t>
        </is>
      </c>
      <c r="AD180" t="inlineStr">
        <is>
          <t>estimada</t>
        </is>
      </c>
      <c r="AE180" t="inlineStr">
        <is>
          <t>Participacion historica por denominacion (SUP-09)</t>
        </is>
      </c>
    </row>
    <row r="181">
      <c r="A181" t="inlineStr">
        <is>
          <t>PRAGMA</t>
        </is>
      </c>
      <c r="B181" t="inlineStr">
        <is>
          <t>CALI|TRANSPORTADORA_002</t>
        </is>
      </c>
      <c r="C181" t="inlineStr">
        <is>
          <t>Cali</t>
        </is>
      </c>
      <c r="D181" t="inlineStr">
        <is>
          <t>TRANSPORTADORA_002</t>
        </is>
      </c>
      <c r="E181" s="23" t="n">
        <v>46265</v>
      </c>
      <c r="F181" s="23" t="n">
        <v>46270</v>
      </c>
      <c r="G181" t="inlineStr">
        <is>
          <t>No</t>
        </is>
      </c>
      <c r="H181" s="25" t="n">
        <v>50000</v>
      </c>
      <c r="I181" s="26" t="n">
        <v>36740971218</v>
      </c>
      <c r="J181" s="26" t="n">
        <v>6135926589</v>
      </c>
      <c r="K181" s="26" t="n">
        <v>9022898003</v>
      </c>
      <c r="L181" s="26">
        <f>J181-K181</f>
        <v>-2886971414</v>
      </c>
      <c r="M181" s="26">
        <f>I181+L181</f>
        <v>33853999804</v>
      </c>
      <c r="N181" s="26" t="n">
        <v>18194325000</v>
      </c>
      <c r="O181" s="26" t="n">
        <v>40286425000</v>
      </c>
      <c r="P181" s="26">
        <f>MAX(0,N181-M181)</f>
        <v>0</v>
      </c>
      <c r="Q181" s="26">
        <f>MAX(0,M181-O181)</f>
        <v>0</v>
      </c>
      <c r="R181" t="inlineStr">
        <is>
          <t>bajo</t>
        </is>
      </c>
      <c r="S181" t="inlineStr">
        <is>
          <t>sin_accion</t>
        </is>
      </c>
      <c r="T181" t="inlineStr">
        <is>
          <t>ninguno</t>
        </is>
      </c>
      <c r="U181" s="26" t="n">
        <v>0</v>
      </c>
      <c r="X181" s="26">
        <f>IF(T181="entrada",M181+U181,IF(T181="salida",M181-U181,M181))</f>
        <v>33853999804</v>
      </c>
      <c r="Y181" s="26" t="n">
        <v>0</v>
      </c>
      <c r="Z181" t="inlineStr">
        <is>
          <t>RN-85: dentro de niveles objetivo (sin_accion)</t>
        </is>
      </c>
      <c r="AA181" t="inlineStr">
        <is>
          <t>SUP-07, SUP-10</t>
        </is>
      </c>
      <c r="AB181" t="inlineStr">
        <is>
          <t>Saldo dentro del rango objetivo; sin accion.</t>
        </is>
      </c>
      <c r="AC181" t="inlineStr">
        <is>
          <t>Cierre del dia anterior (saldo encadenado, RN-71)</t>
        </is>
      </c>
      <c r="AD181" t="inlineStr">
        <is>
          <t>estimada</t>
        </is>
      </c>
      <c r="AE181" t="inlineStr">
        <is>
          <t>Participacion historica por denominacion (SUP-09)</t>
        </is>
      </c>
    </row>
    <row r="182">
      <c r="A182" t="inlineStr">
        <is>
          <t>PRAGMA</t>
        </is>
      </c>
      <c r="B182" t="inlineStr">
        <is>
          <t>CALI|TRANSPORTADORA_002</t>
        </is>
      </c>
      <c r="C182" t="inlineStr">
        <is>
          <t>Cali</t>
        </is>
      </c>
      <c r="D182" t="inlineStr">
        <is>
          <t>TRANSPORTADORA_002</t>
        </is>
      </c>
      <c r="E182" s="23" t="n">
        <v>46265</v>
      </c>
      <c r="F182" s="23" t="n">
        <v>46271</v>
      </c>
      <c r="G182" t="inlineStr">
        <is>
          <t>No</t>
        </is>
      </c>
      <c r="H182" s="25" t="n">
        <v>50000</v>
      </c>
      <c r="I182" s="26" t="n">
        <v>33853999804</v>
      </c>
      <c r="J182" s="26" t="n">
        <v>3306917191</v>
      </c>
      <c r="K182" s="26" t="n">
        <v>3500345117</v>
      </c>
      <c r="L182" s="26">
        <f>J182-K182</f>
        <v>-193427926</v>
      </c>
      <c r="M182" s="26">
        <f>I182+L182</f>
        <v>33660571878</v>
      </c>
      <c r="N182" s="26" t="n">
        <v>18194325000</v>
      </c>
      <c r="O182" s="26" t="n">
        <v>40286425000</v>
      </c>
      <c r="P182" s="26">
        <f>MAX(0,N182-M182)</f>
        <v>0</v>
      </c>
      <c r="Q182" s="26">
        <f>MAX(0,M182-O182)</f>
        <v>0</v>
      </c>
      <c r="R182" t="inlineStr">
        <is>
          <t>bajo</t>
        </is>
      </c>
      <c r="S182" t="inlineStr">
        <is>
          <t>sin_accion</t>
        </is>
      </c>
      <c r="T182" t="inlineStr">
        <is>
          <t>ninguno</t>
        </is>
      </c>
      <c r="U182" s="26" t="n">
        <v>0</v>
      </c>
      <c r="X182" s="26">
        <f>IF(T182="entrada",M182+U182,IF(T182="salida",M182-U182,M182))</f>
        <v>33660571878</v>
      </c>
      <c r="Y182" s="26" t="n">
        <v>0</v>
      </c>
      <c r="Z182" t="inlineStr">
        <is>
          <t>RN-85: dentro de niveles objetivo (sin_accion)</t>
        </is>
      </c>
      <c r="AA182" t="inlineStr">
        <is>
          <t>SUP-07, SUP-10</t>
        </is>
      </c>
      <c r="AB182" t="inlineStr">
        <is>
          <t>Saldo dentro del rango objetivo; sin accion.</t>
        </is>
      </c>
      <c r="AC182" t="inlineStr">
        <is>
          <t>Cierre del dia anterior (saldo encadenado, RN-71)</t>
        </is>
      </c>
      <c r="AD182" t="inlineStr">
        <is>
          <t>estimada</t>
        </is>
      </c>
      <c r="AE182" t="inlineStr">
        <is>
          <t>Participacion historica por denominacion (SUP-09)</t>
        </is>
      </c>
    </row>
    <row r="183">
      <c r="A183" t="inlineStr">
        <is>
          <t>PRAGMA</t>
        </is>
      </c>
      <c r="B183" t="inlineStr">
        <is>
          <t>CALI|TRANSPORTADORA_002</t>
        </is>
      </c>
      <c r="C183" t="inlineStr">
        <is>
          <t>Cali</t>
        </is>
      </c>
      <c r="D183" t="inlineStr">
        <is>
          <t>TRANSPORTADORA_002</t>
        </is>
      </c>
      <c r="E183" s="23" t="n">
        <v>46265</v>
      </c>
      <c r="F183" s="23" t="n">
        <v>46272</v>
      </c>
      <c r="G183" t="inlineStr">
        <is>
          <t>Sí</t>
        </is>
      </c>
      <c r="H183" s="25" t="n">
        <v>50000</v>
      </c>
      <c r="I183" s="26" t="n">
        <v>33660571879</v>
      </c>
      <c r="J183" s="26" t="n">
        <v>19452622585</v>
      </c>
      <c r="K183" s="26" t="n">
        <v>11322455752</v>
      </c>
      <c r="L183" s="26">
        <f>J183-K183</f>
        <v>8130166833</v>
      </c>
      <c r="M183" s="26">
        <f>I183+L183</f>
        <v>41790738712</v>
      </c>
      <c r="N183" s="26" t="n">
        <v>18194325000</v>
      </c>
      <c r="O183" s="26" t="n">
        <v>40286425000</v>
      </c>
      <c r="P183" s="26">
        <f>MAX(0,N183-M183)</f>
        <v>0</v>
      </c>
      <c r="Q183" s="26">
        <f>MAX(0,M183-O183)</f>
        <v>1504313712</v>
      </c>
      <c r="R183" t="inlineStr">
        <is>
          <t>bajo</t>
        </is>
      </c>
      <c r="S183" t="inlineStr">
        <is>
          <t>venta_efectivo</t>
        </is>
      </c>
      <c r="T183" t="inlineStr">
        <is>
          <t>salida</t>
        </is>
      </c>
      <c r="U183" s="26" t="n">
        <v>1504350000</v>
      </c>
      <c r="V183" t="inlineStr">
        <is>
          <t>CALI|TRANSPORTADORA_002</t>
        </is>
      </c>
      <c r="X183" s="26">
        <f>IF(T183="entrada",M183+U183,IF(T183="salida",M183-U183,M183))</f>
        <v>40286388712</v>
      </c>
      <c r="Y183" s="26" t="n">
        <v>0</v>
      </c>
      <c r="Z183" t="inlineStr">
        <is>
          <t>Menor costo neto entre las alternativas que cubren la necesidad completa</t>
        </is>
      </c>
      <c r="AA183" t="inlineStr">
        <is>
          <t>SUP-08, SUP-10, SUP-23</t>
        </is>
      </c>
      <c r="AB183" t="inlineStr">
        <is>
          <t>Excedente de $1.504.313.712 en la denominacion 50000: saldo $41.790.738.712 sobre el maximo $40.286.425.000. Elegida: venta ($1.504.350.000; beneficio de referencia $601.740). Es preferible porque tiene el menor costo neto. Otras alternativas: traslado con CALI|TRANSPORTADORA_003 ($1.504.350.000; costo $0); conservar ($1.504.350.000; costo de almacenar $135.182); consignacion BanRep ($1.504.350.000; costo $533.857); traslado hacia 1 fondo(s) con espacio: ruta sin tarifa en el Anexo E (prohibida).</t>
        </is>
      </c>
      <c r="AC183" t="inlineStr">
        <is>
          <t>Cierre del dia anterior (saldo encadenado, RN-71)</t>
        </is>
      </c>
      <c r="AD183" t="inlineStr">
        <is>
          <t>estimada</t>
        </is>
      </c>
      <c r="AE183" t="inlineStr">
        <is>
          <t>Participacion historica por denominacion (SUP-09)</t>
        </is>
      </c>
    </row>
    <row r="184">
      <c r="A184" t="inlineStr">
        <is>
          <t>PRAGMA</t>
        </is>
      </c>
      <c r="B184" t="inlineStr">
        <is>
          <t>CALI|TRANSPORTADORA_002</t>
        </is>
      </c>
      <c r="C184" t="inlineStr">
        <is>
          <t>Cali</t>
        </is>
      </c>
      <c r="D184" t="inlineStr">
        <is>
          <t>TRANSPORTADORA_002</t>
        </is>
      </c>
      <c r="E184" s="23" t="n">
        <v>46265</v>
      </c>
      <c r="F184" s="23" t="n">
        <v>46273</v>
      </c>
      <c r="G184" t="inlineStr">
        <is>
          <t>Sí</t>
        </is>
      </c>
      <c r="H184" s="25" t="n">
        <v>50000</v>
      </c>
      <c r="I184" s="26" t="n">
        <v>40286388712</v>
      </c>
      <c r="J184" s="26" t="n">
        <v>21458003661</v>
      </c>
      <c r="K184" s="26" t="n">
        <v>12958399121</v>
      </c>
      <c r="L184" s="26">
        <f>J184-K184</f>
        <v>8499604540</v>
      </c>
      <c r="M184" s="26">
        <f>I184+L184</f>
        <v>48785993252</v>
      </c>
      <c r="N184" s="26" t="n">
        <v>18194325000</v>
      </c>
      <c r="O184" s="26" t="n">
        <v>40286425000</v>
      </c>
      <c r="P184" s="26">
        <f>MAX(0,N184-M184)</f>
        <v>0</v>
      </c>
      <c r="Q184" s="26">
        <f>MAX(0,M184-O184)</f>
        <v>8499568252</v>
      </c>
      <c r="R184" t="inlineStr">
        <is>
          <t>bajo</t>
        </is>
      </c>
      <c r="S184" t="inlineStr">
        <is>
          <t>venta_efectivo</t>
        </is>
      </c>
      <c r="T184" t="inlineStr">
        <is>
          <t>salida</t>
        </is>
      </c>
      <c r="U184" s="26" t="n">
        <v>8499600000</v>
      </c>
      <c r="V184" t="inlineStr">
        <is>
          <t>CALI|TRANSPORTADORA_002</t>
        </is>
      </c>
      <c r="X184" s="26">
        <f>IF(T184="entrada",M184+U184,IF(T184="salida",M184-U184,M184))</f>
        <v>40286393252</v>
      </c>
      <c r="Y184" s="26" t="n">
        <v>0</v>
      </c>
      <c r="Z184" t="inlineStr">
        <is>
          <t>Menor costo neto entre las alternativas que cubren la necesidad completa</t>
        </is>
      </c>
      <c r="AA184" t="inlineStr">
        <is>
          <t>SUP-08, SUP-10, SUP-23</t>
        </is>
      </c>
      <c r="AB184" t="inlineStr">
        <is>
          <t>Excedente de $8.499.568.252 en la denominacion 50000: saldo $48.785.993.252 sobre el maximo $40.286.425.000. Elegida: venta ($8.499.600.000; beneficio de referencia $3.399.840). Es preferible porque tiene el menor costo neto. Otras alternativas: traslado con CALI|TRANSPORTADORA_003 ($8.499.600.000; costo $0); conservar ($8.499.600.000; costo de almacenar $678.914); consignacion BanRep ($8.499.600.000; costo $2.443.560); traslado hacia 1 fondo(s) con espacio: ruta sin tarifa en el Anexo E (prohibida).</t>
        </is>
      </c>
      <c r="AC184" t="inlineStr">
        <is>
          <t>Cierre del dia anterior (saldo encadenado, RN-71)</t>
        </is>
      </c>
      <c r="AD184" t="inlineStr">
        <is>
          <t>estimada</t>
        </is>
      </c>
      <c r="AE184" t="inlineStr">
        <is>
          <t>Participacion historica por denominacion (SUP-09)</t>
        </is>
      </c>
    </row>
    <row r="185">
      <c r="A185" t="inlineStr">
        <is>
          <t>PRAGMA</t>
        </is>
      </c>
      <c r="B185" t="inlineStr">
        <is>
          <t>CALI|TRANSPORTADORA_002</t>
        </is>
      </c>
      <c r="C185" t="inlineStr">
        <is>
          <t>Cali</t>
        </is>
      </c>
      <c r="D185" t="inlineStr">
        <is>
          <t>TRANSPORTADORA_002</t>
        </is>
      </c>
      <c r="E185" s="23" t="n">
        <v>46265</v>
      </c>
      <c r="F185" s="23" t="n">
        <v>46274</v>
      </c>
      <c r="G185" t="inlineStr">
        <is>
          <t>Sí</t>
        </is>
      </c>
      <c r="H185" s="25" t="n">
        <v>50000</v>
      </c>
      <c r="I185" s="26" t="n">
        <v>40286393252</v>
      </c>
      <c r="J185" s="26" t="n">
        <v>20258100812</v>
      </c>
      <c r="K185" s="26" t="n">
        <v>12942436212</v>
      </c>
      <c r="L185" s="26">
        <f>J185-K185</f>
        <v>7315664600</v>
      </c>
      <c r="M185" s="26">
        <f>I185+L185</f>
        <v>47602057852</v>
      </c>
      <c r="N185" s="26" t="n">
        <v>18194325000</v>
      </c>
      <c r="O185" s="26" t="n">
        <v>40286425000</v>
      </c>
      <c r="P185" s="26">
        <f>MAX(0,N185-M185)</f>
        <v>0</v>
      </c>
      <c r="Q185" s="26">
        <f>MAX(0,M185-O185)</f>
        <v>7315632852</v>
      </c>
      <c r="R185" t="inlineStr">
        <is>
          <t>bajo</t>
        </is>
      </c>
      <c r="S185" t="inlineStr">
        <is>
          <t>venta_efectivo</t>
        </is>
      </c>
      <c r="T185" t="inlineStr">
        <is>
          <t>salida</t>
        </is>
      </c>
      <c r="U185" s="26" t="n">
        <v>7315650000</v>
      </c>
      <c r="V185" t="inlineStr">
        <is>
          <t>CALI|TRANSPORTADORA_002</t>
        </is>
      </c>
      <c r="X185" s="26">
        <f>IF(T185="entrada",M185+U185,IF(T185="salida",M185-U185,M185))</f>
        <v>40286407852</v>
      </c>
      <c r="Y185" s="26" t="n">
        <v>0</v>
      </c>
      <c r="Z185" t="inlineStr">
        <is>
          <t>Menor costo neto entre las alternativas que cubren la necesidad completa</t>
        </is>
      </c>
      <c r="AA185" t="inlineStr">
        <is>
          <t>SUP-08, SUP-10, SUP-23</t>
        </is>
      </c>
      <c r="AB185" t="inlineStr">
        <is>
          <t>Excedente de $7.315.632.851 en la denominacion 50000: saldo $47.602.057.851 sobre el maximo $40.286.425.000. Elegida: venta ($7.315.650.000; beneficio de referencia $2.926.260). Es preferible porque tiene el menor costo neto. Otras alternativas: traslado con CALI|TRANSPORTADORA_003 ($7.315.650.000; costo $0); conservar ($7.315.650.000; costo de almacenar $511.302); consignacion BanRep ($7.315.650.000; costo $2.120.341); traslado hacia 1 fondo(s) con espacio: ruta sin tarifa en el Anexo E (prohibida).</t>
        </is>
      </c>
      <c r="AC185" t="inlineStr">
        <is>
          <t>Cierre del dia anterior (saldo encadenado, RN-71)</t>
        </is>
      </c>
      <c r="AD185" t="inlineStr">
        <is>
          <t>estimada</t>
        </is>
      </c>
      <c r="AE185" t="inlineStr">
        <is>
          <t>Participacion historica por denominacion (SUP-09)</t>
        </is>
      </c>
    </row>
    <row r="186">
      <c r="A186" t="inlineStr">
        <is>
          <t>PRAGMA</t>
        </is>
      </c>
      <c r="B186" t="inlineStr">
        <is>
          <t>CALI|TRANSPORTADORA_002</t>
        </is>
      </c>
      <c r="C186" t="inlineStr">
        <is>
          <t>Cali</t>
        </is>
      </c>
      <c r="D186" t="inlineStr">
        <is>
          <t>TRANSPORTADORA_002</t>
        </is>
      </c>
      <c r="E186" s="23" t="n">
        <v>46265</v>
      </c>
      <c r="F186" s="23" t="n">
        <v>46275</v>
      </c>
      <c r="G186" t="inlineStr">
        <is>
          <t>Sí</t>
        </is>
      </c>
      <c r="H186" s="25" t="n">
        <v>50000</v>
      </c>
      <c r="I186" s="26" t="n">
        <v>40286407851</v>
      </c>
      <c r="J186" s="26" t="n">
        <v>18406612181</v>
      </c>
      <c r="K186" s="26" t="n">
        <v>12149000810</v>
      </c>
      <c r="L186" s="26">
        <f>J186-K186</f>
        <v>6257611371</v>
      </c>
      <c r="M186" s="26">
        <f>I186+L186</f>
        <v>46544019222</v>
      </c>
      <c r="N186" s="26" t="n">
        <v>18194325000</v>
      </c>
      <c r="O186" s="26" t="n">
        <v>40286425000</v>
      </c>
      <c r="P186" s="26">
        <f>MAX(0,N186-M186)</f>
        <v>0</v>
      </c>
      <c r="Q186" s="26">
        <f>MAX(0,M186-O186)</f>
        <v>6257594222</v>
      </c>
      <c r="R186" t="inlineStr">
        <is>
          <t>bajo</t>
        </is>
      </c>
      <c r="S186" t="inlineStr">
        <is>
          <t>venta_efectivo</t>
        </is>
      </c>
      <c r="T186" t="inlineStr">
        <is>
          <t>salida</t>
        </is>
      </c>
      <c r="U186" s="26" t="n">
        <v>6257600000</v>
      </c>
      <c r="V186" t="inlineStr">
        <is>
          <t>CALI|TRANSPORTADORA_002</t>
        </is>
      </c>
      <c r="X186" s="26">
        <f>IF(T186="entrada",M186+U186,IF(T186="salida",M186-U186,M186))</f>
        <v>40286419222</v>
      </c>
      <c r="Y186" s="26" t="n">
        <v>0</v>
      </c>
      <c r="Z186" t="inlineStr">
        <is>
          <t>Menor costo neto entre las alternativas que cubren la necesidad completa</t>
        </is>
      </c>
      <c r="AA186" t="inlineStr">
        <is>
          <t>SUP-08, SUP-10, SUP-23</t>
        </is>
      </c>
      <c r="AB186" t="inlineStr">
        <is>
          <t>Excedente de $6.257.594.221 en la denominacion 50000: saldo $46.544.019.221 sobre el maximo $40.286.425.000. Elegida: venta ($6.257.600.000; beneficio de referencia $2.503.040). Es preferible porque tiene el menor costo neto. Otras alternativas: traslado con CALI|TRANSPORTADORA_003 ($6.257.600.000; costo $0); conservar ($6.257.600.000; costo de almacenar $374.874); consignacion BanRep ($6.257.600.000; costo $1.831.494); traslado hacia 1 fondo(s) con espacio: ruta sin tarifa en el Anexo E (prohibida).</t>
        </is>
      </c>
      <c r="AC186" t="inlineStr">
        <is>
          <t>Cierre del dia anterior (saldo encadenado, RN-71)</t>
        </is>
      </c>
      <c r="AD186" t="inlineStr">
        <is>
          <t>estimada</t>
        </is>
      </c>
      <c r="AE186" t="inlineStr">
        <is>
          <t>Participacion historica por denominacion (SUP-09)</t>
        </is>
      </c>
    </row>
    <row r="187">
      <c r="A187" t="inlineStr">
        <is>
          <t>PRAGMA</t>
        </is>
      </c>
      <c r="B187" t="inlineStr">
        <is>
          <t>CALI|TRANSPORTADORA_002</t>
        </is>
      </c>
      <c r="C187" t="inlineStr">
        <is>
          <t>Cali</t>
        </is>
      </c>
      <c r="D187" t="inlineStr">
        <is>
          <t>TRANSPORTADORA_002</t>
        </is>
      </c>
      <c r="E187" s="23" t="n">
        <v>46265</v>
      </c>
      <c r="F187" s="23" t="n">
        <v>46276</v>
      </c>
      <c r="G187" t="inlineStr">
        <is>
          <t>Sí</t>
        </is>
      </c>
      <c r="H187" s="25" t="n">
        <v>50000</v>
      </c>
      <c r="I187" s="26" t="n">
        <v>40286419221</v>
      </c>
      <c r="J187" s="26" t="n">
        <v>19677439995</v>
      </c>
      <c r="K187" s="26" t="n">
        <v>13443220757</v>
      </c>
      <c r="L187" s="26">
        <f>J187-K187</f>
        <v>6234219238</v>
      </c>
      <c r="M187" s="26">
        <f>I187+L187</f>
        <v>46520638459</v>
      </c>
      <c r="N187" s="26" t="n">
        <v>18194325000</v>
      </c>
      <c r="O187" s="26" t="n">
        <v>40286425000</v>
      </c>
      <c r="P187" s="26">
        <f>MAX(0,N187-M187)</f>
        <v>0</v>
      </c>
      <c r="Q187" s="26">
        <f>MAX(0,M187-O187)</f>
        <v>6234213459</v>
      </c>
      <c r="R187" t="inlineStr">
        <is>
          <t>bajo</t>
        </is>
      </c>
      <c r="S187" t="inlineStr">
        <is>
          <t>venta_efectivo</t>
        </is>
      </c>
      <c r="T187" t="inlineStr">
        <is>
          <t>salida</t>
        </is>
      </c>
      <c r="U187" s="26" t="n">
        <v>6234250000</v>
      </c>
      <c r="V187" t="inlineStr">
        <is>
          <t>CALI|TRANSPORTADORA_002</t>
        </is>
      </c>
      <c r="X187" s="26">
        <f>IF(T187="entrada",M187+U187,IF(T187="salida",M187-U187,M187))</f>
        <v>40286388459</v>
      </c>
      <c r="Y187" s="26" t="n">
        <v>0</v>
      </c>
      <c r="Z187" t="inlineStr">
        <is>
          <t>Menor costo neto entre las alternativas que cubren la necesidad completa</t>
        </is>
      </c>
      <c r="AA187" t="inlineStr">
        <is>
          <t>SUP-08, SUP-10, SUP-23</t>
        </is>
      </c>
      <c r="AB187" t="inlineStr">
        <is>
          <t>Excedente de $6.234.213.460 en la denominacion 50000: saldo $46.520.638.460 sobre el maximo $40.286.425.000. Elegida: venta ($6.234.250.000; beneficio de referencia $2.493.700). Es preferible porque tiene el menor costo neto. Otras alternativas: traslado con CALI|TRANSPORTADORA_003 ($6.234.250.000; costo $0); conservar ($6.234.250.000; costo de almacenar $311.229); consignacion BanRep ($6.234.250.000; costo $1.825.119); traslado hacia 1 fondo(s) con espacio: ruta sin tarifa en el Anexo E (prohibida).</t>
        </is>
      </c>
      <c r="AC187" t="inlineStr">
        <is>
          <t>Cierre del dia anterior (saldo encadenado, RN-71)</t>
        </is>
      </c>
      <c r="AD187" t="inlineStr">
        <is>
          <t>estimada</t>
        </is>
      </c>
      <c r="AE187" t="inlineStr">
        <is>
          <t>Participacion historica por denominacion (SUP-09)</t>
        </is>
      </c>
    </row>
    <row r="188">
      <c r="A188" t="inlineStr">
        <is>
          <t>PRAGMA</t>
        </is>
      </c>
      <c r="B188" t="inlineStr">
        <is>
          <t>CALI|TRANSPORTADORA_002</t>
        </is>
      </c>
      <c r="C188" t="inlineStr">
        <is>
          <t>Cali</t>
        </is>
      </c>
      <c r="D188" t="inlineStr">
        <is>
          <t>TRANSPORTADORA_002</t>
        </is>
      </c>
      <c r="E188" s="23" t="n">
        <v>46265</v>
      </c>
      <c r="F188" s="23" t="n">
        <v>46277</v>
      </c>
      <c r="G188" t="inlineStr">
        <is>
          <t>No</t>
        </is>
      </c>
      <c r="H188" s="25" t="n">
        <v>50000</v>
      </c>
      <c r="I188" s="26" t="n">
        <v>40286388460</v>
      </c>
      <c r="J188" s="26" t="n">
        <v>5958745261</v>
      </c>
      <c r="K188" s="26" t="n">
        <v>7690532811</v>
      </c>
      <c r="L188" s="26">
        <f>J188-K188</f>
        <v>-1731787550</v>
      </c>
      <c r="M188" s="26">
        <f>I188+L188</f>
        <v>38554600910</v>
      </c>
      <c r="N188" s="26" t="n">
        <v>18194325000</v>
      </c>
      <c r="O188" s="26" t="n">
        <v>40286425000</v>
      </c>
      <c r="P188" s="26">
        <f>MAX(0,N188-M188)</f>
        <v>0</v>
      </c>
      <c r="Q188" s="26">
        <f>MAX(0,M188-O188)</f>
        <v>0</v>
      </c>
      <c r="R188" t="inlineStr">
        <is>
          <t>bajo</t>
        </is>
      </c>
      <c r="S188" t="inlineStr">
        <is>
          <t>sin_accion</t>
        </is>
      </c>
      <c r="T188" t="inlineStr">
        <is>
          <t>ninguno</t>
        </is>
      </c>
      <c r="U188" s="26" t="n">
        <v>0</v>
      </c>
      <c r="X188" s="26">
        <f>IF(T188="entrada",M188+U188,IF(T188="salida",M188-U188,M188))</f>
        <v>38554600910</v>
      </c>
      <c r="Y188" s="26" t="n">
        <v>0</v>
      </c>
      <c r="Z188" t="inlineStr">
        <is>
          <t>RN-85: dentro de niveles objetivo (sin_accion)</t>
        </is>
      </c>
      <c r="AA188" t="inlineStr">
        <is>
          <t>SUP-07, SUP-10</t>
        </is>
      </c>
      <c r="AB188" t="inlineStr">
        <is>
          <t>Saldo dentro del rango objetivo; sin accion.</t>
        </is>
      </c>
      <c r="AC188" t="inlineStr">
        <is>
          <t>Cierre del dia anterior (saldo encadenado, RN-71)</t>
        </is>
      </c>
      <c r="AD188" t="inlineStr">
        <is>
          <t>estimada</t>
        </is>
      </c>
      <c r="AE188" t="inlineStr">
        <is>
          <t>Participacion historica por denominacion (SUP-09)</t>
        </is>
      </c>
    </row>
    <row r="189">
      <c r="A189" t="inlineStr">
        <is>
          <t>PRAGMA</t>
        </is>
      </c>
      <c r="B189" t="inlineStr">
        <is>
          <t>CALI|TRANSPORTADORA_002</t>
        </is>
      </c>
      <c r="C189" t="inlineStr">
        <is>
          <t>Cali</t>
        </is>
      </c>
      <c r="D189" t="inlineStr">
        <is>
          <t>TRANSPORTADORA_002</t>
        </is>
      </c>
      <c r="E189" s="23" t="n">
        <v>46265</v>
      </c>
      <c r="F189" s="23" t="n">
        <v>46278</v>
      </c>
      <c r="G189" t="inlineStr">
        <is>
          <t>No</t>
        </is>
      </c>
      <c r="H189" s="25" t="n">
        <v>50000</v>
      </c>
      <c r="I189" s="26" t="n">
        <v>38554600910</v>
      </c>
      <c r="J189" s="26" t="n">
        <v>2753887329</v>
      </c>
      <c r="K189" s="26" t="n">
        <v>2725725367</v>
      </c>
      <c r="L189" s="26">
        <f>J189-K189</f>
        <v>28161962</v>
      </c>
      <c r="M189" s="26">
        <f>I189+L189</f>
        <v>38582762872</v>
      </c>
      <c r="N189" s="26" t="n">
        <v>18194325000</v>
      </c>
      <c r="O189" s="26" t="n">
        <v>40286425000</v>
      </c>
      <c r="P189" s="26">
        <f>MAX(0,N189-M189)</f>
        <v>0</v>
      </c>
      <c r="Q189" s="26">
        <f>MAX(0,M189-O189)</f>
        <v>0</v>
      </c>
      <c r="R189" t="inlineStr">
        <is>
          <t>bajo</t>
        </is>
      </c>
      <c r="S189" t="inlineStr">
        <is>
          <t>sin_accion</t>
        </is>
      </c>
      <c r="T189" t="inlineStr">
        <is>
          <t>ninguno</t>
        </is>
      </c>
      <c r="U189" s="26" t="n">
        <v>0</v>
      </c>
      <c r="X189" s="26">
        <f>IF(T189="entrada",M189+U189,IF(T189="salida",M189-U189,M189))</f>
        <v>38582762872</v>
      </c>
      <c r="Y189" s="26" t="n">
        <v>0</v>
      </c>
      <c r="Z189" t="inlineStr">
        <is>
          <t>RN-85: dentro de niveles objetivo (sin_accion)</t>
        </is>
      </c>
      <c r="AA189" t="inlineStr">
        <is>
          <t>SUP-07, SUP-10</t>
        </is>
      </c>
      <c r="AB189" t="inlineStr">
        <is>
          <t>Saldo dentro del rango objetivo; sin accion.</t>
        </is>
      </c>
      <c r="AC189" t="inlineStr">
        <is>
          <t>Cierre del dia anterior (saldo encadenado, RN-71)</t>
        </is>
      </c>
      <c r="AD189" t="inlineStr">
        <is>
          <t>estimada</t>
        </is>
      </c>
      <c r="AE189" t="inlineStr">
        <is>
          <t>Participacion historica por denominacion (SUP-09)</t>
        </is>
      </c>
    </row>
    <row r="190">
      <c r="A190" t="inlineStr">
        <is>
          <t>PRAGMA</t>
        </is>
      </c>
      <c r="B190" t="inlineStr">
        <is>
          <t>CALI|TRANSPORTADORA_002</t>
        </is>
      </c>
      <c r="C190" t="inlineStr">
        <is>
          <t>Cali</t>
        </is>
      </c>
      <c r="D190" t="inlineStr">
        <is>
          <t>TRANSPORTADORA_002</t>
        </is>
      </c>
      <c r="E190" s="23" t="n">
        <v>46265</v>
      </c>
      <c r="F190" s="23" t="n">
        <v>46279</v>
      </c>
      <c r="G190" t="inlineStr">
        <is>
          <t>Sí</t>
        </is>
      </c>
      <c r="H190" s="25" t="n">
        <v>50000</v>
      </c>
      <c r="I190" s="26" t="n">
        <v>38582762871</v>
      </c>
      <c r="J190" s="26" t="n">
        <v>19729996716</v>
      </c>
      <c r="K190" s="26" t="n">
        <v>11522241566</v>
      </c>
      <c r="L190" s="26">
        <f>J190-K190</f>
        <v>8207755150</v>
      </c>
      <c r="M190" s="26">
        <f>I190+L190</f>
        <v>46790518021</v>
      </c>
      <c r="N190" s="26" t="n">
        <v>18194325000</v>
      </c>
      <c r="O190" s="26" t="n">
        <v>40286425000</v>
      </c>
      <c r="P190" s="26">
        <f>MAX(0,N190-M190)</f>
        <v>0</v>
      </c>
      <c r="Q190" s="26">
        <f>MAX(0,M190-O190)</f>
        <v>6504093021</v>
      </c>
      <c r="R190" t="inlineStr">
        <is>
          <t>bajo</t>
        </is>
      </c>
      <c r="S190" t="inlineStr">
        <is>
          <t>venta_efectivo</t>
        </is>
      </c>
      <c r="T190" t="inlineStr">
        <is>
          <t>salida</t>
        </is>
      </c>
      <c r="U190" s="26" t="n">
        <v>6504100000</v>
      </c>
      <c r="V190" t="inlineStr">
        <is>
          <t>CALI|TRANSPORTADORA_002</t>
        </is>
      </c>
      <c r="X190" s="26">
        <f>IF(T190="entrada",M190+U190,IF(T190="salida",M190-U190,M190))</f>
        <v>40286418021</v>
      </c>
      <c r="Y190" s="26" t="n">
        <v>0</v>
      </c>
      <c r="Z190" t="inlineStr">
        <is>
          <t>Menor costo neto entre las alternativas que cubren la necesidad completa</t>
        </is>
      </c>
      <c r="AA190" t="inlineStr">
        <is>
          <t>SUP-08, SUP-10, SUP-23</t>
        </is>
      </c>
      <c r="AB190" t="inlineStr">
        <is>
          <t>Excedente de $6.504.093.021 en la denominacion 50000: saldo $46.790.518.021 sobre el maximo $40.286.425.000. Elegida: venta ($6.504.100.000; beneficio de referencia $2.601.640). Es preferible porque tiene el menor costo neto. Otras alternativas: traslado con CALI|TRANSPORTADORA_003 ($6.504.100.000; costo $0); conservar ($6.504.100.000; costo de almacenar $129.880); consignacion BanRep ($6.504.100.000; costo $1.898.788); traslado hacia 1 fondo(s) con espacio: ruta sin tarifa en el Anexo E (prohibida).</t>
        </is>
      </c>
      <c r="AC190" t="inlineStr">
        <is>
          <t>Cierre del dia anterior (saldo encadenado, RN-71)</t>
        </is>
      </c>
      <c r="AD190" t="inlineStr">
        <is>
          <t>estimada</t>
        </is>
      </c>
      <c r="AE190" t="inlineStr">
        <is>
          <t>Participacion historica por denominacion (SUP-09)</t>
        </is>
      </c>
    </row>
    <row r="191">
      <c r="A191" t="inlineStr">
        <is>
          <t>PRAGMA</t>
        </is>
      </c>
      <c r="B191" t="inlineStr">
        <is>
          <t>CALI|TRANSPORTADORA_002</t>
        </is>
      </c>
      <c r="C191" t="inlineStr">
        <is>
          <t>Cali</t>
        </is>
      </c>
      <c r="D191" t="inlineStr">
        <is>
          <t>TRANSPORTADORA_002</t>
        </is>
      </c>
      <c r="E191" s="23" t="n">
        <v>46265</v>
      </c>
      <c r="F191" s="23" t="n">
        <v>46280</v>
      </c>
      <c r="G191" t="inlineStr">
        <is>
          <t>Sí</t>
        </is>
      </c>
      <c r="H191" s="25" t="n">
        <v>50000</v>
      </c>
      <c r="I191" s="26" t="n">
        <v>40286418021</v>
      </c>
      <c r="J191" s="26" t="n">
        <v>21313827760</v>
      </c>
      <c r="K191" s="26" t="n">
        <v>15100676021</v>
      </c>
      <c r="L191" s="26">
        <f>J191-K191</f>
        <v>6213151739</v>
      </c>
      <c r="M191" s="26">
        <f>I191+L191</f>
        <v>46499569760</v>
      </c>
      <c r="N191" s="26" t="n">
        <v>18194325000</v>
      </c>
      <c r="O191" s="26" t="n">
        <v>40286425000</v>
      </c>
      <c r="P191" s="26">
        <f>MAX(0,N191-M191)</f>
        <v>0</v>
      </c>
      <c r="Q191" s="26">
        <f>MAX(0,M191-O191)</f>
        <v>6213144760</v>
      </c>
      <c r="R191" t="inlineStr">
        <is>
          <t>bajo</t>
        </is>
      </c>
      <c r="S191" t="inlineStr">
        <is>
          <t>venta_efectivo</t>
        </is>
      </c>
      <c r="T191" t="inlineStr">
        <is>
          <t>salida</t>
        </is>
      </c>
      <c r="U191" s="26" t="n">
        <v>6213150000</v>
      </c>
      <c r="V191" t="inlineStr">
        <is>
          <t>CALI|TRANSPORTADORA_002</t>
        </is>
      </c>
      <c r="X191" s="26">
        <f>IF(T191="entrada",M191+U191,IF(T191="salida",M191-U191,M191))</f>
        <v>40286419760</v>
      </c>
      <c r="Y191" s="26" t="n">
        <v>0</v>
      </c>
      <c r="Z191" t="inlineStr">
        <is>
          <t>Menor costo neto entre las alternativas que cubren la necesidad completa</t>
        </is>
      </c>
      <c r="AA191" t="inlineStr">
        <is>
          <t>SUP-08, SUP-10, SUP-23</t>
        </is>
      </c>
      <c r="AB191" t="inlineStr">
        <is>
          <t>Excedente de $6.213.144.760 en la denominacion 50000: saldo $46.499.569.760 sobre el maximo $40.286.425.000. Elegida: venta ($6.213.150.000; beneficio de referencia $2.485.260). Es preferible porque tiene el menor costo neto. Otras alternativas: traslado con CALI|TRANSPORTADORA_003 ($6.213.150.000; costo $0); conservar ($6.213.150.000; costo de almacenar $62.035); consignacion BanRep ($6.213.150.000; costo $1.819.359); traslado hacia 1 fondo(s) con espacio: ruta sin tarifa en el Anexo E (prohibida).</t>
        </is>
      </c>
      <c r="AC191" t="inlineStr">
        <is>
          <t>Cierre del dia anterior (saldo encadenado, RN-71)</t>
        </is>
      </c>
      <c r="AD191" t="inlineStr">
        <is>
          <t>estimada</t>
        </is>
      </c>
      <c r="AE191" t="inlineStr">
        <is>
          <t>Participacion historica por denominacion (SUP-09)</t>
        </is>
      </c>
    </row>
    <row r="192">
      <c r="A192" t="inlineStr">
        <is>
          <t>PRAGMA</t>
        </is>
      </c>
      <c r="B192" t="inlineStr">
        <is>
          <t>CALI|TRANSPORTADORA_002</t>
        </is>
      </c>
      <c r="C192" t="inlineStr">
        <is>
          <t>Cali</t>
        </is>
      </c>
      <c r="D192" t="inlineStr">
        <is>
          <t>TRANSPORTADORA_002</t>
        </is>
      </c>
      <c r="E192" s="23" t="n">
        <v>46265</v>
      </c>
      <c r="F192" s="23" t="n">
        <v>46266</v>
      </c>
      <c r="G192" t="inlineStr">
        <is>
          <t>Sí</t>
        </is>
      </c>
      <c r="H192" s="25" t="n">
        <v>100000</v>
      </c>
      <c r="I192" s="26" t="n">
        <v>35033400000</v>
      </c>
      <c r="J192" s="26" t="n">
        <v>23009977922</v>
      </c>
      <c r="K192" s="26" t="n">
        <v>19067683570</v>
      </c>
      <c r="L192" s="26">
        <f>J192-K192</f>
        <v>3942294352</v>
      </c>
      <c r="M192" s="26">
        <f>I192+L192</f>
        <v>38975694352</v>
      </c>
      <c r="N192" s="26" t="n">
        <v>16927950000</v>
      </c>
      <c r="O192" s="26" t="n">
        <v>50871000000</v>
      </c>
      <c r="P192" s="26">
        <f>MAX(0,N192-M192)</f>
        <v>0</v>
      </c>
      <c r="Q192" s="26">
        <f>MAX(0,M192-O192)</f>
        <v>0</v>
      </c>
      <c r="R192" t="inlineStr">
        <is>
          <t>bajo</t>
        </is>
      </c>
      <c r="S192" t="inlineStr">
        <is>
          <t>sin_accion</t>
        </is>
      </c>
      <c r="T192" t="inlineStr">
        <is>
          <t>ninguno</t>
        </is>
      </c>
      <c r="U192" s="26" t="n">
        <v>0</v>
      </c>
      <c r="X192" s="26">
        <f>IF(T192="entrada",M192+U192,IF(T192="salida",M192-U192,M192))</f>
        <v>38975694352</v>
      </c>
      <c r="Y192" s="26" t="n">
        <v>0</v>
      </c>
      <c r="Z192" t="inlineStr">
        <is>
          <t>RN-85: dentro de niveles objetivo (sin_accion)</t>
        </is>
      </c>
      <c r="AA192" t="inlineStr">
        <is>
          <t>SUP-07, SUP-10</t>
        </is>
      </c>
      <c r="AB192" t="inlineStr">
        <is>
          <t>Saldo dentro del rango objetivo; sin accion.</t>
        </is>
      </c>
      <c r="AC192" t="inlineStr">
        <is>
          <t>Ultimo disponible al 31/08/2026 (SUP-07)</t>
        </is>
      </c>
      <c r="AD192" t="inlineStr">
        <is>
          <t>estimada</t>
        </is>
      </c>
      <c r="AE192" t="inlineStr">
        <is>
          <t>Participacion historica por denominacion (SUP-09)</t>
        </is>
      </c>
    </row>
    <row r="193">
      <c r="A193" t="inlineStr">
        <is>
          <t>PRAGMA</t>
        </is>
      </c>
      <c r="B193" t="inlineStr">
        <is>
          <t>CALI|TRANSPORTADORA_002</t>
        </is>
      </c>
      <c r="C193" t="inlineStr">
        <is>
          <t>Cali</t>
        </is>
      </c>
      <c r="D193" t="inlineStr">
        <is>
          <t>TRANSPORTADORA_002</t>
        </is>
      </c>
      <c r="E193" s="23" t="n">
        <v>46265</v>
      </c>
      <c r="F193" s="23" t="n">
        <v>46267</v>
      </c>
      <c r="G193" t="inlineStr">
        <is>
          <t>Sí</t>
        </is>
      </c>
      <c r="H193" s="25" t="n">
        <v>100000</v>
      </c>
      <c r="I193" s="26" t="n">
        <v>38975694352</v>
      </c>
      <c r="J193" s="26" t="n">
        <v>21597135360</v>
      </c>
      <c r="K193" s="26" t="n">
        <v>17140010081</v>
      </c>
      <c r="L193" s="26">
        <f>J193-K193</f>
        <v>4457125279</v>
      </c>
      <c r="M193" s="26">
        <f>I193+L193</f>
        <v>43432819631</v>
      </c>
      <c r="N193" s="26" t="n">
        <v>16927950000</v>
      </c>
      <c r="O193" s="26" t="n">
        <v>50871000000</v>
      </c>
      <c r="P193" s="26">
        <f>MAX(0,N193-M193)</f>
        <v>0</v>
      </c>
      <c r="Q193" s="26">
        <f>MAX(0,M193-O193)</f>
        <v>0</v>
      </c>
      <c r="R193" t="inlineStr">
        <is>
          <t>bajo</t>
        </is>
      </c>
      <c r="S193" t="inlineStr">
        <is>
          <t>sin_accion</t>
        </is>
      </c>
      <c r="T193" t="inlineStr">
        <is>
          <t>ninguno</t>
        </is>
      </c>
      <c r="U193" s="26" t="n">
        <v>0</v>
      </c>
      <c r="X193" s="26">
        <f>IF(T193="entrada",M193+U193,IF(T193="salida",M193-U193,M193))</f>
        <v>43432819631</v>
      </c>
      <c r="Y193" s="26" t="n">
        <v>0</v>
      </c>
      <c r="Z193" t="inlineStr">
        <is>
          <t>RN-85: dentro de niveles objetivo (sin_accion)</t>
        </is>
      </c>
      <c r="AA193" t="inlineStr">
        <is>
          <t>SUP-07, SUP-10</t>
        </is>
      </c>
      <c r="AB193" t="inlineStr">
        <is>
          <t>Saldo dentro del rango objetivo; sin accion.</t>
        </is>
      </c>
      <c r="AC193" t="inlineStr">
        <is>
          <t>Cierre del dia anterior (saldo encadenado, RN-71)</t>
        </is>
      </c>
      <c r="AD193" t="inlineStr">
        <is>
          <t>estimada</t>
        </is>
      </c>
      <c r="AE193" t="inlineStr">
        <is>
          <t>Participacion historica por denominacion (SUP-09)</t>
        </is>
      </c>
    </row>
    <row r="194">
      <c r="A194" t="inlineStr">
        <is>
          <t>PRAGMA</t>
        </is>
      </c>
      <c r="B194" t="inlineStr">
        <is>
          <t>CALI|TRANSPORTADORA_002</t>
        </is>
      </c>
      <c r="C194" t="inlineStr">
        <is>
          <t>Cali</t>
        </is>
      </c>
      <c r="D194" t="inlineStr">
        <is>
          <t>TRANSPORTADORA_002</t>
        </is>
      </c>
      <c r="E194" s="23" t="n">
        <v>46265</v>
      </c>
      <c r="F194" s="23" t="n">
        <v>46268</v>
      </c>
      <c r="G194" t="inlineStr">
        <is>
          <t>Sí</t>
        </is>
      </c>
      <c r="H194" s="25" t="n">
        <v>100000</v>
      </c>
      <c r="I194" s="26" t="n">
        <v>43432819631</v>
      </c>
      <c r="J194" s="26" t="n">
        <v>20800748499</v>
      </c>
      <c r="K194" s="26" t="n">
        <v>13310076594</v>
      </c>
      <c r="L194" s="26">
        <f>J194-K194</f>
        <v>7490671905</v>
      </c>
      <c r="M194" s="26">
        <f>I194+L194</f>
        <v>50923491536</v>
      </c>
      <c r="N194" s="26" t="n">
        <v>16927950000</v>
      </c>
      <c r="O194" s="26" t="n">
        <v>50871000000</v>
      </c>
      <c r="P194" s="26">
        <f>MAX(0,N194-M194)</f>
        <v>0</v>
      </c>
      <c r="Q194" s="26">
        <f>MAX(0,M194-O194)</f>
        <v>52491536</v>
      </c>
      <c r="R194" t="inlineStr">
        <is>
          <t>bajo</t>
        </is>
      </c>
      <c r="S194" t="inlineStr">
        <is>
          <t>venta_efectivo</t>
        </is>
      </c>
      <c r="T194" t="inlineStr">
        <is>
          <t>salida</t>
        </is>
      </c>
      <c r="U194" s="26" t="n">
        <v>52500000</v>
      </c>
      <c r="V194" t="inlineStr">
        <is>
          <t>CALI|TRANSPORTADORA_002</t>
        </is>
      </c>
      <c r="X194" s="26">
        <f>IF(T194="entrada",M194+U194,IF(T194="salida",M194-U194,M194))</f>
        <v>50870991536</v>
      </c>
      <c r="Y194" s="26" t="n">
        <v>0</v>
      </c>
      <c r="Z194" t="inlineStr">
        <is>
          <t>Menor costo neto entre las alternativas que cubren la necesidad completa</t>
        </is>
      </c>
      <c r="AA194" t="inlineStr">
        <is>
          <t>SUP-08, SUP-10, SUP-23</t>
        </is>
      </c>
      <c r="AB194" t="inlineStr">
        <is>
          <t>Excedente de $52.491.536 en la denominacion 100000: saldo $50.923.491.536 sobre el maximo $50.871.000.000. Elegida: venta ($52.500.000; beneficio de referencia $21.000). Es preferible porque tiene el menor costo neto. Otras alternativas: traslado con CALI|TRANSPORTADORA_001 ($52.500.000; costo $0); traslado con CALI|TRANSPORTADORA_003 ($52.500.000; costo $0); traslado con CALI|TRANSPORTADORA_004 ($52.500.000; costo $0); conservar ($52.500.000; costo de almacenar $6.814); consignacion BanRep ($52.500.000; costo $137.502); traslado hacia 1 fondo(s) con espacio: ruta sin tarifa en el Anexo E (prohibida).</t>
        </is>
      </c>
      <c r="AC194" t="inlineStr">
        <is>
          <t>Cierre del dia anterior (saldo encadenado, RN-71)</t>
        </is>
      </c>
      <c r="AD194" t="inlineStr">
        <is>
          <t>estimada</t>
        </is>
      </c>
      <c r="AE194" t="inlineStr">
        <is>
          <t>Participacion historica por denominacion (SUP-09)</t>
        </is>
      </c>
    </row>
    <row r="195">
      <c r="A195" t="inlineStr">
        <is>
          <t>PRAGMA</t>
        </is>
      </c>
      <c r="B195" t="inlineStr">
        <is>
          <t>CALI|TRANSPORTADORA_002</t>
        </is>
      </c>
      <c r="C195" t="inlineStr">
        <is>
          <t>Cali</t>
        </is>
      </c>
      <c r="D195" t="inlineStr">
        <is>
          <t>TRANSPORTADORA_002</t>
        </is>
      </c>
      <c r="E195" s="23" t="n">
        <v>46265</v>
      </c>
      <c r="F195" s="23" t="n">
        <v>46269</v>
      </c>
      <c r="G195" t="inlineStr">
        <is>
          <t>Sí</t>
        </is>
      </c>
      <c r="H195" s="25" t="n">
        <v>100000</v>
      </c>
      <c r="I195" s="26" t="n">
        <v>50870991536</v>
      </c>
      <c r="J195" s="26" t="n">
        <v>21952565979</v>
      </c>
      <c r="K195" s="26" t="n">
        <v>17143517849</v>
      </c>
      <c r="L195" s="26">
        <f>J195-K195</f>
        <v>4809048130</v>
      </c>
      <c r="M195" s="26">
        <f>I195+L195</f>
        <v>55680039666</v>
      </c>
      <c r="N195" s="26" t="n">
        <v>16927950000</v>
      </c>
      <c r="O195" s="26" t="n">
        <v>50871000000</v>
      </c>
      <c r="P195" s="26">
        <f>MAX(0,N195-M195)</f>
        <v>0</v>
      </c>
      <c r="Q195" s="26">
        <f>MAX(0,M195-O195)</f>
        <v>4809039666</v>
      </c>
      <c r="R195" t="inlineStr">
        <is>
          <t>bajo</t>
        </is>
      </c>
      <c r="S195" t="inlineStr">
        <is>
          <t>venta_efectivo</t>
        </is>
      </c>
      <c r="T195" t="inlineStr">
        <is>
          <t>salida</t>
        </is>
      </c>
      <c r="U195" s="26" t="n">
        <v>4809100000</v>
      </c>
      <c r="V195" t="inlineStr">
        <is>
          <t>CALI|TRANSPORTADORA_002</t>
        </is>
      </c>
      <c r="X195" s="26">
        <f>IF(T195="entrada",M195+U195,IF(T195="salida",M195-U195,M195))</f>
        <v>50870939666</v>
      </c>
      <c r="Y195" s="26" t="n">
        <v>0</v>
      </c>
      <c r="Z195" t="inlineStr">
        <is>
          <t>Menor costo neto entre las alternativas que cubren la necesidad completa</t>
        </is>
      </c>
      <c r="AA195" t="inlineStr">
        <is>
          <t>SUP-08, SUP-10, SUP-23</t>
        </is>
      </c>
      <c r="AB195" t="inlineStr">
        <is>
          <t>Excedente de $4.809.039.666 en la denominacion 100000: saldo $55.680.039.666 sobre el maximo $50.871.000.000. Elegida: venta ($4.809.100.000; beneficio de referencia $1.923.640). Es preferible porque tiene el menor costo neto. Otras alternativas: traslado con CALI|TRANSPORTADORA_001 ($3.136.500.000; costo $0, cubre solo una parte); traslado con CALI|TRANSPORTADORA_003 ($4.809.100.000; costo $0); traslado con CALI|TRANSPORTADORA_004 ($369.100.000; costo $0, cubre solo una parte); conservar ($4.809.100.000; costo de almacenar $576.198); consignacion BanRep ($4.809.100.000; costo $1.436.053); traslado hacia 1 fondo(s) con espacio: ruta sin tarifa en el Anexo E (prohibida).</t>
        </is>
      </c>
      <c r="AC195" t="inlineStr">
        <is>
          <t>Cierre del dia anterior (saldo encadenado, RN-71)</t>
        </is>
      </c>
      <c r="AD195" t="inlineStr">
        <is>
          <t>estimada</t>
        </is>
      </c>
      <c r="AE195" t="inlineStr">
        <is>
          <t>Participacion historica por denominacion (SUP-09)</t>
        </is>
      </c>
    </row>
    <row r="196">
      <c r="A196" t="inlineStr">
        <is>
          <t>PRAGMA</t>
        </is>
      </c>
      <c r="B196" t="inlineStr">
        <is>
          <t>CALI|TRANSPORTADORA_002</t>
        </is>
      </c>
      <c r="C196" t="inlineStr">
        <is>
          <t>Cali</t>
        </is>
      </c>
      <c r="D196" t="inlineStr">
        <is>
          <t>TRANSPORTADORA_002</t>
        </is>
      </c>
      <c r="E196" s="23" t="n">
        <v>46265</v>
      </c>
      <c r="F196" s="23" t="n">
        <v>46270</v>
      </c>
      <c r="G196" t="inlineStr">
        <is>
          <t>No</t>
        </is>
      </c>
      <c r="H196" s="25" t="n">
        <v>100000</v>
      </c>
      <c r="I196" s="26" t="n">
        <v>50870939666</v>
      </c>
      <c r="J196" s="26" t="n">
        <v>6758580473</v>
      </c>
      <c r="K196" s="26" t="n">
        <v>9938512362</v>
      </c>
      <c r="L196" s="26">
        <f>J196-K196</f>
        <v>-3179931889</v>
      </c>
      <c r="M196" s="26">
        <f>I196+L196</f>
        <v>47691007777</v>
      </c>
      <c r="N196" s="26" t="n">
        <v>16927950000</v>
      </c>
      <c r="O196" s="26" t="n">
        <v>50871000000</v>
      </c>
      <c r="P196" s="26">
        <f>MAX(0,N196-M196)</f>
        <v>0</v>
      </c>
      <c r="Q196" s="26">
        <f>MAX(0,M196-O196)</f>
        <v>0</v>
      </c>
      <c r="R196" t="inlineStr">
        <is>
          <t>bajo</t>
        </is>
      </c>
      <c r="S196" t="inlineStr">
        <is>
          <t>sin_accion</t>
        </is>
      </c>
      <c r="T196" t="inlineStr">
        <is>
          <t>ninguno</t>
        </is>
      </c>
      <c r="U196" s="26" t="n">
        <v>0</v>
      </c>
      <c r="X196" s="26">
        <f>IF(T196="entrada",M196+U196,IF(T196="salida",M196-U196,M196))</f>
        <v>47691007777</v>
      </c>
      <c r="Y196" s="26" t="n">
        <v>0</v>
      </c>
      <c r="Z196" t="inlineStr">
        <is>
          <t>RN-85: dentro de niveles objetivo (sin_accion)</t>
        </is>
      </c>
      <c r="AA196" t="inlineStr">
        <is>
          <t>SUP-07, SUP-10</t>
        </is>
      </c>
      <c r="AB196" t="inlineStr">
        <is>
          <t>Saldo dentro del rango objetivo; sin accion.</t>
        </is>
      </c>
      <c r="AC196" t="inlineStr">
        <is>
          <t>Cierre del dia anterior (saldo encadenado, RN-71)</t>
        </is>
      </c>
      <c r="AD196" t="inlineStr">
        <is>
          <t>estimada</t>
        </is>
      </c>
      <c r="AE196" t="inlineStr">
        <is>
          <t>Participacion historica por denominacion (SUP-09)</t>
        </is>
      </c>
    </row>
    <row r="197">
      <c r="A197" t="inlineStr">
        <is>
          <t>PRAGMA</t>
        </is>
      </c>
      <c r="B197" t="inlineStr">
        <is>
          <t>CALI|TRANSPORTADORA_002</t>
        </is>
      </c>
      <c r="C197" t="inlineStr">
        <is>
          <t>Cali</t>
        </is>
      </c>
      <c r="D197" t="inlineStr">
        <is>
          <t>TRANSPORTADORA_002</t>
        </is>
      </c>
      <c r="E197" s="23" t="n">
        <v>46265</v>
      </c>
      <c r="F197" s="23" t="n">
        <v>46271</v>
      </c>
      <c r="G197" t="inlineStr">
        <is>
          <t>No</t>
        </is>
      </c>
      <c r="H197" s="25" t="n">
        <v>100000</v>
      </c>
      <c r="I197" s="26" t="n">
        <v>47691007778</v>
      </c>
      <c r="J197" s="26" t="n">
        <v>3642492398</v>
      </c>
      <c r="K197" s="26" t="n">
        <v>3855548761</v>
      </c>
      <c r="L197" s="26">
        <f>J197-K197</f>
        <v>-213056363</v>
      </c>
      <c r="M197" s="26">
        <f>I197+L197</f>
        <v>47477951415</v>
      </c>
      <c r="N197" s="26" t="n">
        <v>16927950000</v>
      </c>
      <c r="O197" s="26" t="n">
        <v>50871000000</v>
      </c>
      <c r="P197" s="26">
        <f>MAX(0,N197-M197)</f>
        <v>0</v>
      </c>
      <c r="Q197" s="26">
        <f>MAX(0,M197-O197)</f>
        <v>0</v>
      </c>
      <c r="R197" t="inlineStr">
        <is>
          <t>bajo</t>
        </is>
      </c>
      <c r="S197" t="inlineStr">
        <is>
          <t>sin_accion</t>
        </is>
      </c>
      <c r="T197" t="inlineStr">
        <is>
          <t>ninguno</t>
        </is>
      </c>
      <c r="U197" s="26" t="n">
        <v>0</v>
      </c>
      <c r="X197" s="26">
        <f>IF(T197="entrada",M197+U197,IF(T197="salida",M197-U197,M197))</f>
        <v>47477951415</v>
      </c>
      <c r="Y197" s="26" t="n">
        <v>0</v>
      </c>
      <c r="Z197" t="inlineStr">
        <is>
          <t>RN-85: dentro de niveles objetivo (sin_accion)</t>
        </is>
      </c>
      <c r="AA197" t="inlineStr">
        <is>
          <t>SUP-07, SUP-10</t>
        </is>
      </c>
      <c r="AB197" t="inlineStr">
        <is>
          <t>Saldo dentro del rango objetivo; sin accion.</t>
        </is>
      </c>
      <c r="AC197" t="inlineStr">
        <is>
          <t>Cierre del dia anterior (saldo encadenado, RN-71)</t>
        </is>
      </c>
      <c r="AD197" t="inlineStr">
        <is>
          <t>estimada</t>
        </is>
      </c>
      <c r="AE197" t="inlineStr">
        <is>
          <t>Participacion historica por denominacion (SUP-09)</t>
        </is>
      </c>
    </row>
    <row r="198">
      <c r="A198" t="inlineStr">
        <is>
          <t>PRAGMA</t>
        </is>
      </c>
      <c r="B198" t="inlineStr">
        <is>
          <t>CALI|TRANSPORTADORA_002</t>
        </is>
      </c>
      <c r="C198" t="inlineStr">
        <is>
          <t>Cali</t>
        </is>
      </c>
      <c r="D198" t="inlineStr">
        <is>
          <t>TRANSPORTADORA_002</t>
        </is>
      </c>
      <c r="E198" s="23" t="n">
        <v>46265</v>
      </c>
      <c r="F198" s="23" t="n">
        <v>46272</v>
      </c>
      <c r="G198" t="inlineStr">
        <is>
          <t>Sí</t>
        </is>
      </c>
      <c r="H198" s="25" t="n">
        <v>100000</v>
      </c>
      <c r="I198" s="26" t="n">
        <v>47477951415</v>
      </c>
      <c r="J198" s="26" t="n">
        <v>21426611490</v>
      </c>
      <c r="K198" s="26" t="n">
        <v>12471421756</v>
      </c>
      <c r="L198" s="26">
        <f>J198-K198</f>
        <v>8955189734</v>
      </c>
      <c r="M198" s="26">
        <f>I198+L198</f>
        <v>56433141149</v>
      </c>
      <c r="N198" s="26" t="n">
        <v>16927950000</v>
      </c>
      <c r="O198" s="26" t="n">
        <v>50871000000</v>
      </c>
      <c r="P198" s="26">
        <f>MAX(0,N198-M198)</f>
        <v>0</v>
      </c>
      <c r="Q198" s="26">
        <f>MAX(0,M198-O198)</f>
        <v>5562141149</v>
      </c>
      <c r="R198" t="inlineStr">
        <is>
          <t>bajo</t>
        </is>
      </c>
      <c r="S198" t="inlineStr">
        <is>
          <t>venta_efectivo</t>
        </is>
      </c>
      <c r="T198" t="inlineStr">
        <is>
          <t>salida</t>
        </is>
      </c>
      <c r="U198" s="26" t="n">
        <v>5562200000</v>
      </c>
      <c r="V198" t="inlineStr">
        <is>
          <t>CALI|TRANSPORTADORA_002</t>
        </is>
      </c>
      <c r="X198" s="26">
        <f>IF(T198="entrada",M198+U198,IF(T198="salida",M198-U198,M198))</f>
        <v>50870941149</v>
      </c>
      <c r="Y198" s="26" t="n">
        <v>0</v>
      </c>
      <c r="Z198" t="inlineStr">
        <is>
          <t>Menor costo neto entre las alternativas que cubren la necesidad completa</t>
        </is>
      </c>
      <c r="AA198" t="inlineStr">
        <is>
          <t>SUP-08, SUP-10, SUP-23</t>
        </is>
      </c>
      <c r="AB198" t="inlineStr">
        <is>
          <t>Excedente de $5.562.141.150 en la denominacion 100000: saldo $56.433.141.150 sobre el maximo $50.871.000.000. Elegida: venta ($5.562.200.000; beneficio de referencia $2.224.880). Es preferible porque tiene el menor costo neto. Otras alternativas: traslado con CALI|TRANSPORTADORA_001 ($429.700.000; costo $0, cubre solo una parte); traslado con CALI|TRANSPORTADORA_003 ($5.562.200.000; costo $0); traslado con CALI|TRANSPORTADORA_004 ($240.300.000; costo $0, cubre solo una parte); conservar ($5.562.200.000; costo de almacenar $499.822); consignacion BanRep ($5.562.200.000; costo $1.641.650); traslado hacia 1 fondo(s) con espacio: ruta sin tarifa en el Anexo E (prohibida).</t>
        </is>
      </c>
      <c r="AC198" t="inlineStr">
        <is>
          <t>Cierre del dia anterior (saldo encadenado, RN-71)</t>
        </is>
      </c>
      <c r="AD198" t="inlineStr">
        <is>
          <t>estimada</t>
        </is>
      </c>
      <c r="AE198" t="inlineStr">
        <is>
          <t>Participacion historica por denominacion (SUP-09)</t>
        </is>
      </c>
    </row>
    <row r="199">
      <c r="A199" t="inlineStr">
        <is>
          <t>PRAGMA</t>
        </is>
      </c>
      <c r="B199" t="inlineStr">
        <is>
          <t>CALI|TRANSPORTADORA_002</t>
        </is>
      </c>
      <c r="C199" t="inlineStr">
        <is>
          <t>Cali</t>
        </is>
      </c>
      <c r="D199" t="inlineStr">
        <is>
          <t>TRANSPORTADORA_002</t>
        </is>
      </c>
      <c r="E199" s="23" t="n">
        <v>46265</v>
      </c>
      <c r="F199" s="23" t="n">
        <v>46273</v>
      </c>
      <c r="G199" t="inlineStr">
        <is>
          <t>Sí</t>
        </is>
      </c>
      <c r="H199" s="25" t="n">
        <v>100000</v>
      </c>
      <c r="I199" s="26" t="n">
        <v>50870941150</v>
      </c>
      <c r="J199" s="26" t="n">
        <v>23635492119</v>
      </c>
      <c r="K199" s="26" t="n">
        <v>14273375340</v>
      </c>
      <c r="L199" s="26">
        <f>J199-K199</f>
        <v>9362116779</v>
      </c>
      <c r="M199" s="26">
        <f>I199+L199</f>
        <v>60233057929</v>
      </c>
      <c r="N199" s="26" t="n">
        <v>16927950000</v>
      </c>
      <c r="O199" s="26" t="n">
        <v>50871000000</v>
      </c>
      <c r="P199" s="26">
        <f>MAX(0,N199-M199)</f>
        <v>0</v>
      </c>
      <c r="Q199" s="26">
        <f>MAX(0,M199-O199)</f>
        <v>9362057929</v>
      </c>
      <c r="R199" t="inlineStr">
        <is>
          <t>bajo</t>
        </is>
      </c>
      <c r="S199" t="inlineStr">
        <is>
          <t>venta_efectivo</t>
        </is>
      </c>
      <c r="T199" t="inlineStr">
        <is>
          <t>salida</t>
        </is>
      </c>
      <c r="U199" s="26" t="n">
        <v>9362100000</v>
      </c>
      <c r="V199" t="inlineStr">
        <is>
          <t>CALI|TRANSPORTADORA_002</t>
        </is>
      </c>
      <c r="X199" s="26">
        <f>IF(T199="entrada",M199+U199,IF(T199="salida",M199-U199,M199))</f>
        <v>50870957929</v>
      </c>
      <c r="Y199" s="26" t="n">
        <v>0</v>
      </c>
      <c r="Z199" t="inlineStr">
        <is>
          <t>Menor costo neto entre las alternativas que cubren la necesidad completa</t>
        </is>
      </c>
      <c r="AA199" t="inlineStr">
        <is>
          <t>SUP-08, SUP-10, SUP-23</t>
        </is>
      </c>
      <c r="AB199" t="inlineStr">
        <is>
          <t>Excedente de $9.362.057.929 en la denominacion 100000: saldo $60.233.057.929 sobre el maximo $50.871.000.000. Elegida: venta ($9.362.100.000; beneficio de referencia $3.744.840). Es preferible porque tiene el menor costo neto. Otras alternativas: traslado con CALI|TRANSPORTADORA_003 ($6.507.000.000; costo $0, cubre solo una parte); traslado con CALI|TRANSPORTADORA_004 ($182.800.000; costo $0, cubre solo una parte); conservar ($9.362.100.000; costo de almacenar $747.807); consignacion BanRep ($9.362.100.000; costo $2.679.022); traslado hacia 1 fondo(s) con espacio: ruta sin tarifa en el Anexo E (prohibida).</t>
        </is>
      </c>
      <c r="AC199" t="inlineStr">
        <is>
          <t>Cierre del dia anterior (saldo encadenado, RN-71)</t>
        </is>
      </c>
      <c r="AD199" t="inlineStr">
        <is>
          <t>estimada</t>
        </is>
      </c>
      <c r="AE199" t="inlineStr">
        <is>
          <t>Participacion historica por denominacion (SUP-09)</t>
        </is>
      </c>
    </row>
    <row r="200">
      <c r="A200" t="inlineStr">
        <is>
          <t>PRAGMA</t>
        </is>
      </c>
      <c r="B200" t="inlineStr">
        <is>
          <t>CALI|TRANSPORTADORA_002</t>
        </is>
      </c>
      <c r="C200" t="inlineStr">
        <is>
          <t>Cali</t>
        </is>
      </c>
      <c r="D200" t="inlineStr">
        <is>
          <t>TRANSPORTADORA_002</t>
        </is>
      </c>
      <c r="E200" s="23" t="n">
        <v>46265</v>
      </c>
      <c r="F200" s="23" t="n">
        <v>46274</v>
      </c>
      <c r="G200" t="inlineStr">
        <is>
          <t>Sí</t>
        </is>
      </c>
      <c r="H200" s="25" t="n">
        <v>100000</v>
      </c>
      <c r="I200" s="26" t="n">
        <v>50870957929</v>
      </c>
      <c r="J200" s="26" t="n">
        <v>22313827029</v>
      </c>
      <c r="K200" s="26" t="n">
        <v>14255792568</v>
      </c>
      <c r="L200" s="26">
        <f>J200-K200</f>
        <v>8058034461</v>
      </c>
      <c r="M200" s="26">
        <f>I200+L200</f>
        <v>58928992390</v>
      </c>
      <c r="N200" s="26" t="n">
        <v>16927950000</v>
      </c>
      <c r="O200" s="26" t="n">
        <v>50871000000</v>
      </c>
      <c r="P200" s="26">
        <f>MAX(0,N200-M200)</f>
        <v>0</v>
      </c>
      <c r="Q200" s="26">
        <f>MAX(0,M200-O200)</f>
        <v>8057992390</v>
      </c>
      <c r="R200" t="inlineStr">
        <is>
          <t>bajo</t>
        </is>
      </c>
      <c r="S200" t="inlineStr">
        <is>
          <t>venta_efectivo</t>
        </is>
      </c>
      <c r="T200" t="inlineStr">
        <is>
          <t>salida</t>
        </is>
      </c>
      <c r="U200" s="26" t="n">
        <v>8058000000</v>
      </c>
      <c r="V200" t="inlineStr">
        <is>
          <t>CALI|TRANSPORTADORA_002</t>
        </is>
      </c>
      <c r="X200" s="26">
        <f>IF(T200="entrada",M200+U200,IF(T200="salida",M200-U200,M200))</f>
        <v>50870992390</v>
      </c>
      <c r="Y200" s="26" t="n">
        <v>0</v>
      </c>
      <c r="Z200" t="inlineStr">
        <is>
          <t>Menor costo neto entre las alternativas que cubren la necesidad completa</t>
        </is>
      </c>
      <c r="AA200" t="inlineStr">
        <is>
          <t>SUP-08, SUP-10, SUP-23</t>
        </is>
      </c>
      <c r="AB200" t="inlineStr">
        <is>
          <t>Excedente de $8.057.992.391 en la denominacion 100000: saldo $58.928.992.391 sobre el maximo $50.871.000.000. Elegida: venta ($8.058.000.000; beneficio de referencia $3.223.200). Es preferible porque tiene el menor costo neto. Otras alternativas: traslado con CALI|TRANSPORTADORA_003 ($5.248.000.000; costo $0, cubre solo una parte); traslado con CALI|TRANSPORTADORA_004 ($128.700.000; costo $0, cubre solo una parte); conservar ($8.058.000.000; costo de almacenar $563.186); consignacion BanRep ($8.058.000.000; costo $2.323.003); traslado hacia 1 fondo(s) con espacio: ruta sin tarifa en el Anexo E (prohibida).</t>
        </is>
      </c>
      <c r="AC200" t="inlineStr">
        <is>
          <t>Cierre del dia anterior (saldo encadenado, RN-71)</t>
        </is>
      </c>
      <c r="AD200" t="inlineStr">
        <is>
          <t>estimada</t>
        </is>
      </c>
      <c r="AE200" t="inlineStr">
        <is>
          <t>Participacion historica por denominacion (SUP-09)</t>
        </is>
      </c>
    </row>
    <row r="201">
      <c r="A201" t="inlineStr">
        <is>
          <t>PRAGMA</t>
        </is>
      </c>
      <c r="B201" t="inlineStr">
        <is>
          <t>CALI|TRANSPORTADORA_002</t>
        </is>
      </c>
      <c r="C201" t="inlineStr">
        <is>
          <t>Cali</t>
        </is>
      </c>
      <c r="D201" t="inlineStr">
        <is>
          <t>TRANSPORTADORA_002</t>
        </is>
      </c>
      <c r="E201" s="23" t="n">
        <v>46265</v>
      </c>
      <c r="F201" s="23" t="n">
        <v>46275</v>
      </c>
      <c r="G201" t="inlineStr">
        <is>
          <t>Sí</t>
        </is>
      </c>
      <c r="H201" s="25" t="n">
        <v>100000</v>
      </c>
      <c r="I201" s="26" t="n">
        <v>50870992391</v>
      </c>
      <c r="J201" s="26" t="n">
        <v>20274455351</v>
      </c>
      <c r="K201" s="26" t="n">
        <v>13381841920</v>
      </c>
      <c r="L201" s="26">
        <f>J201-K201</f>
        <v>6892613431</v>
      </c>
      <c r="M201" s="26">
        <f>I201+L201</f>
        <v>57763605822</v>
      </c>
      <c r="N201" s="26" t="n">
        <v>16927950000</v>
      </c>
      <c r="O201" s="26" t="n">
        <v>50871000000</v>
      </c>
      <c r="P201" s="26">
        <f>MAX(0,N201-M201)</f>
        <v>0</v>
      </c>
      <c r="Q201" s="26">
        <f>MAX(0,M201-O201)</f>
        <v>6892605822</v>
      </c>
      <c r="R201" t="inlineStr">
        <is>
          <t>bajo</t>
        </is>
      </c>
      <c r="S201" t="inlineStr">
        <is>
          <t>venta_efectivo</t>
        </is>
      </c>
      <c r="T201" t="inlineStr">
        <is>
          <t>salida</t>
        </is>
      </c>
      <c r="U201" s="26" t="n">
        <v>6892700000</v>
      </c>
      <c r="V201" t="inlineStr">
        <is>
          <t>CALI|TRANSPORTADORA_002</t>
        </is>
      </c>
      <c r="X201" s="26">
        <f>IF(T201="entrada",M201+U201,IF(T201="salida",M201-U201,M201))</f>
        <v>50870905822</v>
      </c>
      <c r="Y201" s="26" t="n">
        <v>0</v>
      </c>
      <c r="Z201" t="inlineStr">
        <is>
          <t>Menor costo neto entre las alternativas que cubren la necesidad completa</t>
        </is>
      </c>
      <c r="AA201" t="inlineStr">
        <is>
          <t>SUP-08, SUP-10, SUP-23</t>
        </is>
      </c>
      <c r="AB201" t="inlineStr">
        <is>
          <t>Excedente de $6.892.605.822 en la denominacion 100000: saldo $57.763.605.822 sobre el maximo $50.871.000.000. Elegida: venta ($6.892.700.000; beneficio de referencia $2.757.080). Es preferible porque tiene el menor costo neto. Otras alternativas: traslado con CALI|TRANSPORTADORA_003 ($3.697.200.000; costo $0, cubre solo una parte); traslado con CALI|TRANSPORTADORA_004 ($83.800.000; costo $0, cubre solo una parte); conservar ($6.892.700.000; costo de almacenar $412.921); consignacion BanRep ($6.892.700.000; costo $2.004.876); traslado hacia 1 fondo(s) con espacio: ruta sin tarifa en el Anexo E (prohibida).</t>
        </is>
      </c>
      <c r="AC201" t="inlineStr">
        <is>
          <t>Cierre del dia anterior (saldo encadenado, RN-71)</t>
        </is>
      </c>
      <c r="AD201" t="inlineStr">
        <is>
          <t>estimada</t>
        </is>
      </c>
      <c r="AE201" t="inlineStr">
        <is>
          <t>Participacion historica por denominacion (SUP-09)</t>
        </is>
      </c>
    </row>
    <row r="202">
      <c r="A202" t="inlineStr">
        <is>
          <t>PRAGMA</t>
        </is>
      </c>
      <c r="B202" t="inlineStr">
        <is>
          <t>CALI|TRANSPORTADORA_002</t>
        </is>
      </c>
      <c r="C202" t="inlineStr">
        <is>
          <t>Cali</t>
        </is>
      </c>
      <c r="D202" t="inlineStr">
        <is>
          <t>TRANSPORTADORA_002</t>
        </is>
      </c>
      <c r="E202" s="23" t="n">
        <v>46265</v>
      </c>
      <c r="F202" s="23" t="n">
        <v>46276</v>
      </c>
      <c r="G202" t="inlineStr">
        <is>
          <t>Sí</t>
        </is>
      </c>
      <c r="H202" s="25" t="n">
        <v>100000</v>
      </c>
      <c r="I202" s="26" t="n">
        <v>50870905822</v>
      </c>
      <c r="J202" s="26" t="n">
        <v>21674242641</v>
      </c>
      <c r="K202" s="26" t="n">
        <v>14807395100</v>
      </c>
      <c r="L202" s="26">
        <f>J202-K202</f>
        <v>6866847541</v>
      </c>
      <c r="M202" s="26">
        <f>I202+L202</f>
        <v>57737753363</v>
      </c>
      <c r="N202" s="26" t="n">
        <v>16927950000</v>
      </c>
      <c r="O202" s="26" t="n">
        <v>50871000000</v>
      </c>
      <c r="P202" s="26">
        <f>MAX(0,N202-M202)</f>
        <v>0</v>
      </c>
      <c r="Q202" s="26">
        <f>MAX(0,M202-O202)</f>
        <v>6866753363</v>
      </c>
      <c r="R202" t="inlineStr">
        <is>
          <t>bajo</t>
        </is>
      </c>
      <c r="S202" t="inlineStr">
        <is>
          <t>venta_efectivo</t>
        </is>
      </c>
      <c r="T202" t="inlineStr">
        <is>
          <t>salida</t>
        </is>
      </c>
      <c r="U202" s="26" t="n">
        <v>6866800000</v>
      </c>
      <c r="V202" t="inlineStr">
        <is>
          <t>CALI|TRANSPORTADORA_002</t>
        </is>
      </c>
      <c r="X202" s="26">
        <f>IF(T202="entrada",M202+U202,IF(T202="salida",M202-U202,M202))</f>
        <v>50870953363</v>
      </c>
      <c r="Y202" s="26" t="n">
        <v>0</v>
      </c>
      <c r="Z202" t="inlineStr">
        <is>
          <t>Menor costo neto entre las alternativas que cubren la necesidad completa</t>
        </is>
      </c>
      <c r="AA202" t="inlineStr">
        <is>
          <t>SUP-08, SUP-10, SUP-23</t>
        </is>
      </c>
      <c r="AB202" t="inlineStr">
        <is>
          <t>Excedente de $6.866.753.363 en la denominacion 100000: saldo $57.737.753.363 sobre el maximo $50.871.000.000. Elegida: venta ($6.866.800.000; beneficio de referencia $2.746.720). Es preferible porque tiene el menor costo neto. Otras alternativas: traslado con CALI|TRANSPORTADORA_003 ($3.466.100.000; costo $0, cubre solo una parte); traslado con CALI|TRANSPORTADORA_004 ($48.900.000; costo $0, cubre solo una parte); conservar ($6.866.800.000; costo de almacenar $342.808); consignacion BanRep ($6.866.800.000; costo $1.997.805); traslado hacia 1 fondo(s) con espacio: ruta sin tarifa en el Anexo E (prohibida).</t>
        </is>
      </c>
      <c r="AC202" t="inlineStr">
        <is>
          <t>Cierre del dia anterior (saldo encadenado, RN-71)</t>
        </is>
      </c>
      <c r="AD202" t="inlineStr">
        <is>
          <t>estimada</t>
        </is>
      </c>
      <c r="AE202" t="inlineStr">
        <is>
          <t>Participacion historica por denominacion (SUP-09)</t>
        </is>
      </c>
    </row>
    <row r="203">
      <c r="A203" t="inlineStr">
        <is>
          <t>PRAGMA</t>
        </is>
      </c>
      <c r="B203" t="inlineStr">
        <is>
          <t>CALI|TRANSPORTADORA_002</t>
        </is>
      </c>
      <c r="C203" t="inlineStr">
        <is>
          <t>Cali</t>
        </is>
      </c>
      <c r="D203" t="inlineStr">
        <is>
          <t>TRANSPORTADORA_002</t>
        </is>
      </c>
      <c r="E203" s="23" t="n">
        <v>46265</v>
      </c>
      <c r="F203" s="23" t="n">
        <v>46277</v>
      </c>
      <c r="G203" t="inlineStr">
        <is>
          <t>No</t>
        </is>
      </c>
      <c r="H203" s="25" t="n">
        <v>100000</v>
      </c>
      <c r="I203" s="26" t="n">
        <v>50870953363</v>
      </c>
      <c r="J203" s="26" t="n">
        <v>6563419360</v>
      </c>
      <c r="K203" s="26" t="n">
        <v>8470943081</v>
      </c>
      <c r="L203" s="26">
        <f>J203-K203</f>
        <v>-1907523721</v>
      </c>
      <c r="M203" s="26">
        <f>I203+L203</f>
        <v>48963429642</v>
      </c>
      <c r="N203" s="26" t="n">
        <v>16927950000</v>
      </c>
      <c r="O203" s="26" t="n">
        <v>50871000000</v>
      </c>
      <c r="P203" s="26">
        <f>MAX(0,N203-M203)</f>
        <v>0</v>
      </c>
      <c r="Q203" s="26">
        <f>MAX(0,M203-O203)</f>
        <v>0</v>
      </c>
      <c r="R203" t="inlineStr">
        <is>
          <t>bajo</t>
        </is>
      </c>
      <c r="S203" t="inlineStr">
        <is>
          <t>sin_accion</t>
        </is>
      </c>
      <c r="T203" t="inlineStr">
        <is>
          <t>ninguno</t>
        </is>
      </c>
      <c r="U203" s="26" t="n">
        <v>0</v>
      </c>
      <c r="X203" s="26">
        <f>IF(T203="entrada",M203+U203,IF(T203="salida",M203-U203,M203))</f>
        <v>48963429642</v>
      </c>
      <c r="Y203" s="26" t="n">
        <v>0</v>
      </c>
      <c r="Z203" t="inlineStr">
        <is>
          <t>RN-85: dentro de niveles objetivo (sin_accion)</t>
        </is>
      </c>
      <c r="AA203" t="inlineStr">
        <is>
          <t>SUP-07, SUP-10</t>
        </is>
      </c>
      <c r="AB203" t="inlineStr">
        <is>
          <t>Saldo dentro del rango objetivo; sin accion.</t>
        </is>
      </c>
      <c r="AC203" t="inlineStr">
        <is>
          <t>Cierre del dia anterior (saldo encadenado, RN-71)</t>
        </is>
      </c>
      <c r="AD203" t="inlineStr">
        <is>
          <t>estimada</t>
        </is>
      </c>
      <c r="AE203" t="inlineStr">
        <is>
          <t>Participacion historica por denominacion (SUP-09)</t>
        </is>
      </c>
    </row>
    <row r="204">
      <c r="A204" t="inlineStr">
        <is>
          <t>PRAGMA</t>
        </is>
      </c>
      <c r="B204" t="inlineStr">
        <is>
          <t>CALI|TRANSPORTADORA_002</t>
        </is>
      </c>
      <c r="C204" t="inlineStr">
        <is>
          <t>Cali</t>
        </is>
      </c>
      <c r="D204" t="inlineStr">
        <is>
          <t>TRANSPORTADORA_002</t>
        </is>
      </c>
      <c r="E204" s="23" t="n">
        <v>46265</v>
      </c>
      <c r="F204" s="23" t="n">
        <v>46278</v>
      </c>
      <c r="G204" t="inlineStr">
        <is>
          <t>No</t>
        </is>
      </c>
      <c r="H204" s="25" t="n">
        <v>100000</v>
      </c>
      <c r="I204" s="26" t="n">
        <v>48963429642</v>
      </c>
      <c r="J204" s="26" t="n">
        <v>3033342863</v>
      </c>
      <c r="K204" s="26" t="n">
        <v>3002323117</v>
      </c>
      <c r="L204" s="26">
        <f>J204-K204</f>
        <v>31019746</v>
      </c>
      <c r="M204" s="26">
        <f>I204+L204</f>
        <v>48994449388</v>
      </c>
      <c r="N204" s="26" t="n">
        <v>16927950000</v>
      </c>
      <c r="O204" s="26" t="n">
        <v>50871000000</v>
      </c>
      <c r="P204" s="26">
        <f>MAX(0,N204-M204)</f>
        <v>0</v>
      </c>
      <c r="Q204" s="26">
        <f>MAX(0,M204-O204)</f>
        <v>0</v>
      </c>
      <c r="R204" t="inlineStr">
        <is>
          <t>bajo</t>
        </is>
      </c>
      <c r="S204" t="inlineStr">
        <is>
          <t>sin_accion</t>
        </is>
      </c>
      <c r="T204" t="inlineStr">
        <is>
          <t>ninguno</t>
        </is>
      </c>
      <c r="U204" s="26" t="n">
        <v>0</v>
      </c>
      <c r="X204" s="26">
        <f>IF(T204="entrada",M204+U204,IF(T204="salida",M204-U204,M204))</f>
        <v>48994449388</v>
      </c>
      <c r="Y204" s="26" t="n">
        <v>0</v>
      </c>
      <c r="Z204" t="inlineStr">
        <is>
          <t>RN-85: dentro de niveles objetivo (sin_accion)</t>
        </is>
      </c>
      <c r="AA204" t="inlineStr">
        <is>
          <t>SUP-07, SUP-10</t>
        </is>
      </c>
      <c r="AB204" t="inlineStr">
        <is>
          <t>Saldo dentro del rango objetivo; sin accion.</t>
        </is>
      </c>
      <c r="AC204" t="inlineStr">
        <is>
          <t>Cierre del dia anterior (saldo encadenado, RN-71)</t>
        </is>
      </c>
      <c r="AD204" t="inlineStr">
        <is>
          <t>estimada</t>
        </is>
      </c>
      <c r="AE204" t="inlineStr">
        <is>
          <t>Participacion historica por denominacion (SUP-09)</t>
        </is>
      </c>
    </row>
    <row r="205">
      <c r="A205" t="inlineStr">
        <is>
          <t>PRAGMA</t>
        </is>
      </c>
      <c r="B205" t="inlineStr">
        <is>
          <t>CALI|TRANSPORTADORA_002</t>
        </is>
      </c>
      <c r="C205" t="inlineStr">
        <is>
          <t>Cali</t>
        </is>
      </c>
      <c r="D205" t="inlineStr">
        <is>
          <t>TRANSPORTADORA_002</t>
        </is>
      </c>
      <c r="E205" s="23" t="n">
        <v>46265</v>
      </c>
      <c r="F205" s="23" t="n">
        <v>46279</v>
      </c>
      <c r="G205" t="inlineStr">
        <is>
          <t>Sí</t>
        </is>
      </c>
      <c r="H205" s="25" t="n">
        <v>100000</v>
      </c>
      <c r="I205" s="26" t="n">
        <v>48994449387</v>
      </c>
      <c r="J205" s="26" t="n">
        <v>21732132647</v>
      </c>
      <c r="K205" s="26" t="n">
        <v>12691481185</v>
      </c>
      <c r="L205" s="26">
        <f>J205-K205</f>
        <v>9040651462</v>
      </c>
      <c r="M205" s="26">
        <f>I205+L205</f>
        <v>58035100849</v>
      </c>
      <c r="N205" s="26" t="n">
        <v>16927950000</v>
      </c>
      <c r="O205" s="26" t="n">
        <v>50871000000</v>
      </c>
      <c r="P205" s="26">
        <f>MAX(0,N205-M205)</f>
        <v>0</v>
      </c>
      <c r="Q205" s="26">
        <f>MAX(0,M205-O205)</f>
        <v>7164100849</v>
      </c>
      <c r="R205" t="inlineStr">
        <is>
          <t>bajo</t>
        </is>
      </c>
      <c r="S205" t="inlineStr">
        <is>
          <t>venta_efectivo</t>
        </is>
      </c>
      <c r="T205" t="inlineStr">
        <is>
          <t>salida</t>
        </is>
      </c>
      <c r="U205" s="26" t="n">
        <v>7164200000</v>
      </c>
      <c r="V205" t="inlineStr">
        <is>
          <t>CALI|TRANSPORTADORA_002</t>
        </is>
      </c>
      <c r="X205" s="26">
        <f>IF(T205="entrada",M205+U205,IF(T205="salida",M205-U205,M205))</f>
        <v>50870900849</v>
      </c>
      <c r="Y205" s="26" t="n">
        <v>0</v>
      </c>
      <c r="Z205" t="inlineStr">
        <is>
          <t>Menor costo neto entre las alternativas que cubren la necesidad completa</t>
        </is>
      </c>
      <c r="AA205" t="inlineStr">
        <is>
          <t>SUP-08, SUP-10, SUP-23</t>
        </is>
      </c>
      <c r="AB205" t="inlineStr">
        <is>
          <t>Excedente de $7.164.100.849 en la denominacion 100000: saldo $58.035.100.849 sobre el maximo $50.871.000.000. Elegida: venta ($7.164.200.000; beneficio de referencia $2.865.680). Es preferible porque tiene el menor costo neto. Otras alternativas: traslado con CALI|TRANSPORTADORA_003 ($5.400.500.000; costo $0, cubre solo una parte); conservar ($7.164.200.000; costo de almacenar $143.062); consignacion BanRep ($7.164.200.000; costo $2.078.996); traslado hacia 1 fondo(s) con espacio: ruta sin tarifa en el Anexo E (prohibida).</t>
        </is>
      </c>
      <c r="AC205" t="inlineStr">
        <is>
          <t>Cierre del dia anterior (saldo encadenado, RN-71)</t>
        </is>
      </c>
      <c r="AD205" t="inlineStr">
        <is>
          <t>estimada</t>
        </is>
      </c>
      <c r="AE205" t="inlineStr">
        <is>
          <t>Participacion historica por denominacion (SUP-09)</t>
        </is>
      </c>
    </row>
    <row r="206">
      <c r="A206" t="inlineStr">
        <is>
          <t>PRAGMA</t>
        </is>
      </c>
      <c r="B206" t="inlineStr">
        <is>
          <t>CALI|TRANSPORTADORA_002</t>
        </is>
      </c>
      <c r="C206" t="inlineStr">
        <is>
          <t>Cali</t>
        </is>
      </c>
      <c r="D206" t="inlineStr">
        <is>
          <t>TRANSPORTADORA_002</t>
        </is>
      </c>
      <c r="E206" s="23" t="n">
        <v>46265</v>
      </c>
      <c r="F206" s="23" t="n">
        <v>46280</v>
      </c>
      <c r="G206" t="inlineStr">
        <is>
          <t>Sí</t>
        </is>
      </c>
      <c r="H206" s="25" t="n">
        <v>100000</v>
      </c>
      <c r="I206" s="26" t="n">
        <v>50870900849</v>
      </c>
      <c r="J206" s="26" t="n">
        <v>23476685716</v>
      </c>
      <c r="K206" s="26" t="n">
        <v>16633043536</v>
      </c>
      <c r="L206" s="26">
        <f>J206-K206</f>
        <v>6843642180</v>
      </c>
      <c r="M206" s="26">
        <f>I206+L206</f>
        <v>57714543029</v>
      </c>
      <c r="N206" s="26" t="n">
        <v>16927950000</v>
      </c>
      <c r="O206" s="26" t="n">
        <v>50871000000</v>
      </c>
      <c r="P206" s="26">
        <f>MAX(0,N206-M206)</f>
        <v>0</v>
      </c>
      <c r="Q206" s="26">
        <f>MAX(0,M206-O206)</f>
        <v>6843543029</v>
      </c>
      <c r="R206" t="inlineStr">
        <is>
          <t>bajo</t>
        </is>
      </c>
      <c r="S206" t="inlineStr">
        <is>
          <t>venta_efectivo</t>
        </is>
      </c>
      <c r="T206" t="inlineStr">
        <is>
          <t>salida</t>
        </is>
      </c>
      <c r="U206" s="26" t="n">
        <v>6843600000</v>
      </c>
      <c r="V206" t="inlineStr">
        <is>
          <t>CALI|TRANSPORTADORA_002</t>
        </is>
      </c>
      <c r="X206" s="26">
        <f>IF(T206="entrada",M206+U206,IF(T206="salida",M206-U206,M206))</f>
        <v>50870943029</v>
      </c>
      <c r="Y206" s="26" t="n">
        <v>0</v>
      </c>
      <c r="Z206" t="inlineStr">
        <is>
          <t>Menor costo neto entre las alternativas que cubren la necesidad completa</t>
        </is>
      </c>
      <c r="AA206" t="inlineStr">
        <is>
          <t>SUP-08, SUP-10, SUP-23</t>
        </is>
      </c>
      <c r="AB206" t="inlineStr">
        <is>
          <t>Excedente de $6.843.543.030 en la denominacion 100000: saldo $57.714.543.030 sobre el maximo $50.871.000.000. Elegida: venta ($6.843.600.000; beneficio de referencia $2.737.440). Es preferible porque tiene el menor costo neto. Otras alternativas: traslado con CALI|TRANSPORTADORA_003 ($5.008.300.000; costo $0, cubre solo una parte); conservar ($6.843.600.000; costo de almacenar $68.330); consignacion BanRep ($6.843.600.000; costo $1.991.472); traslado hacia 1 fondo(s) con espacio: ruta sin tarifa en el Anexo E (prohibida).</t>
        </is>
      </c>
      <c r="AC206" t="inlineStr">
        <is>
          <t>Cierre del dia anterior (saldo encadenado, RN-71)</t>
        </is>
      </c>
      <c r="AD206" t="inlineStr">
        <is>
          <t>estimada</t>
        </is>
      </c>
      <c r="AE206" t="inlineStr">
        <is>
          <t>Participacion historica por denominacion (SUP-09)</t>
        </is>
      </c>
    </row>
    <row r="207">
      <c r="A207" t="inlineStr">
        <is>
          <t>PRAGMA</t>
        </is>
      </c>
      <c r="B207" t="inlineStr">
        <is>
          <t>CALI|TRANSPORTADORA_003</t>
        </is>
      </c>
      <c r="C207" t="inlineStr">
        <is>
          <t>Cali</t>
        </is>
      </c>
      <c r="D207" t="inlineStr">
        <is>
          <t>TRANSPORTADORA_003</t>
        </is>
      </c>
      <c r="E207" s="23" t="n">
        <v>46265</v>
      </c>
      <c r="F207" s="23" t="n">
        <v>46266</v>
      </c>
      <c r="G207" t="inlineStr">
        <is>
          <t>Sí</t>
        </is>
      </c>
      <c r="H207" s="25" t="n">
        <v>2000</v>
      </c>
      <c r="I207" s="26" t="n">
        <v>156400000</v>
      </c>
      <c r="J207" s="26" t="n">
        <v>190598755</v>
      </c>
      <c r="K207" s="26" t="n">
        <v>226595323</v>
      </c>
      <c r="L207" s="26">
        <f>J207-K207</f>
        <v>-35996568</v>
      </c>
      <c r="M207" s="26">
        <f>I207+L207</f>
        <v>120403432</v>
      </c>
      <c r="N207" s="26" t="n">
        <v>154840000</v>
      </c>
      <c r="O207" s="26" t="n">
        <v>2233440000</v>
      </c>
      <c r="P207" s="26">
        <f>MAX(0,N207-M207)</f>
        <v>34436568</v>
      </c>
      <c r="Q207" s="26">
        <f>MAX(0,M207-O207)</f>
        <v>0</v>
      </c>
      <c r="R207" t="inlineStr">
        <is>
          <t>bajo</t>
        </is>
      </c>
      <c r="S207" t="inlineStr">
        <is>
          <t>traslado_fondos</t>
        </is>
      </c>
      <c r="T207" t="inlineStr">
        <is>
          <t>entrada</t>
        </is>
      </c>
      <c r="U207" s="26" t="n">
        <v>34438000</v>
      </c>
      <c r="V207" t="inlineStr">
        <is>
          <t>CALI|TRANSPORTADORA_001</t>
        </is>
      </c>
      <c r="W207" t="inlineStr">
        <is>
          <t>CALI|TRANSPORTADORA_003</t>
        </is>
      </c>
      <c r="X207" s="26">
        <f>IF(T207="entrada",M207+U207,IF(T207="salida",M207-U207,M207))</f>
        <v>154841432</v>
      </c>
      <c r="Y207" s="26" t="n">
        <v>0</v>
      </c>
      <c r="Z207" t="inlineStr">
        <is>
          <t>Menor costo neto entre las alternativas que cubren la necesidad completa</t>
        </is>
      </c>
      <c r="AA207" t="inlineStr">
        <is>
          <t>SUP-08, SUP-10</t>
        </is>
      </c>
      <c r="AB207" t="inlineStr">
        <is>
          <t>Faltante de $34.436.568 en la denominacion 2000: saldo $120.403.432 bajo el minimo $154.840.000. Elegida: traslado con CALI|TRANSPORTADORA_001 ($34.438.000; costo $0). Es preferible porque tiene el menor costo neto. Otras alternativas: traslado con CALI|TRANSPORTADORA_002 ($34.438.000; costo $0); traslado con CALI|TRANSPORTADORA_004 ($6.722.000; costo $0, cubre solo una parte); retiro BanRep ($34.438.000; costo $140.980); traslado con IPIALES|TRANSPORTADORA_002 ($34.438.000; costo $192.509); traslado con PASTO|TRANSPORTADORA_001 ($34.438.000; costo $841.029); cambio de denominacion: ninguna otra denominacion del fondo supera su maximo.</t>
        </is>
      </c>
      <c r="AC207" t="inlineStr">
        <is>
          <t>Ultimo disponible al 31/08/2026 (SUP-07)</t>
        </is>
      </c>
      <c r="AD207" t="inlineStr">
        <is>
          <t>estimada</t>
        </is>
      </c>
      <c r="AE207" t="inlineStr">
        <is>
          <t>Participacion historica por denominacion (SUP-09)</t>
        </is>
      </c>
    </row>
    <row r="208">
      <c r="A208" t="inlineStr">
        <is>
          <t>PRAGMA</t>
        </is>
      </c>
      <c r="B208" t="inlineStr">
        <is>
          <t>CALI|TRANSPORTADORA_003</t>
        </is>
      </c>
      <c r="C208" t="inlineStr">
        <is>
          <t>Cali</t>
        </is>
      </c>
      <c r="D208" t="inlineStr">
        <is>
          <t>TRANSPORTADORA_003</t>
        </is>
      </c>
      <c r="E208" s="23" t="n">
        <v>46265</v>
      </c>
      <c r="F208" s="23" t="n">
        <v>46267</v>
      </c>
      <c r="G208" t="inlineStr">
        <is>
          <t>Sí</t>
        </is>
      </c>
      <c r="H208" s="25" t="n">
        <v>2000</v>
      </c>
      <c r="I208" s="26" t="n">
        <v>154841432</v>
      </c>
      <c r="J208" s="26" t="n">
        <v>163456154</v>
      </c>
      <c r="K208" s="26" t="n">
        <v>184519446</v>
      </c>
      <c r="L208" s="26">
        <f>J208-K208</f>
        <v>-21063292</v>
      </c>
      <c r="M208" s="26">
        <f>I208+L208</f>
        <v>133778140</v>
      </c>
      <c r="N208" s="26" t="n">
        <v>154840000</v>
      </c>
      <c r="O208" s="26" t="n">
        <v>2233440000</v>
      </c>
      <c r="P208" s="26">
        <f>MAX(0,N208-M208)</f>
        <v>21061860</v>
      </c>
      <c r="Q208" s="26">
        <f>MAX(0,M208-O208)</f>
        <v>0</v>
      </c>
      <c r="R208" t="inlineStr">
        <is>
          <t>bajo</t>
        </is>
      </c>
      <c r="S208" t="inlineStr">
        <is>
          <t>traslado_fondos</t>
        </is>
      </c>
      <c r="T208" t="inlineStr">
        <is>
          <t>entrada</t>
        </is>
      </c>
      <c r="U208" s="26" t="n">
        <v>21062000</v>
      </c>
      <c r="V208" t="inlineStr">
        <is>
          <t>CALI|TRANSPORTADORA_001</t>
        </is>
      </c>
      <c r="W208" t="inlineStr">
        <is>
          <t>CALI|TRANSPORTADORA_003</t>
        </is>
      </c>
      <c r="X208" s="26">
        <f>IF(T208="entrada",M208+U208,IF(T208="salida",M208-U208,M208))</f>
        <v>154840140</v>
      </c>
      <c r="Y208" s="26" t="n">
        <v>0</v>
      </c>
      <c r="Z208" t="inlineStr">
        <is>
          <t>Menor costo neto entre las alternativas que cubren la necesidad completa</t>
        </is>
      </c>
      <c r="AA208" t="inlineStr">
        <is>
          <t>SUP-08, SUP-10</t>
        </is>
      </c>
      <c r="AB208" t="inlineStr">
        <is>
          <t>Faltante de $21.061.860 en la denominacion 2000: saldo $133.778.140 bajo el minimo $154.840.000. Elegida: traslado con CALI|TRANSPORTADORA_001 ($21.062.000; costo $0). Es preferible porque tiene el menor costo neto. Otras alternativas: traslado con CALI|TRANSPORTADORA_002 ($21.062.000; costo $0); traslado con CALI|TRANSPORTADORA_004 ($6.494.000; costo $0, cubre solo una parte); retiro BanRep ($21.062.000; costo $135.495); traslado con IPIALES|TRANSPORTADORA_002 ($21.062.000; costo $180.845); traslado con PASTO|TRANSPORTADORA_001 ($21.062.000; costo $828.228); cambio de denominacion: ninguna otra denominacion del fondo supera su maximo.</t>
        </is>
      </c>
      <c r="AC208" t="inlineStr">
        <is>
          <t>Cierre del dia anterior (saldo encadenado, RN-71)</t>
        </is>
      </c>
      <c r="AD208" t="inlineStr">
        <is>
          <t>estimada</t>
        </is>
      </c>
      <c r="AE208" t="inlineStr">
        <is>
          <t>Participacion historica por denominacion (SUP-09)</t>
        </is>
      </c>
    </row>
    <row r="209">
      <c r="A209" t="inlineStr">
        <is>
          <t>PRAGMA</t>
        </is>
      </c>
      <c r="B209" t="inlineStr">
        <is>
          <t>CALI|TRANSPORTADORA_003</t>
        </is>
      </c>
      <c r="C209" t="inlineStr">
        <is>
          <t>Cali</t>
        </is>
      </c>
      <c r="D209" t="inlineStr">
        <is>
          <t>TRANSPORTADORA_003</t>
        </is>
      </c>
      <c r="E209" s="23" t="n">
        <v>46265</v>
      </c>
      <c r="F209" s="23" t="n">
        <v>46268</v>
      </c>
      <c r="G209" t="inlineStr">
        <is>
          <t>Sí</t>
        </is>
      </c>
      <c r="H209" s="25" t="n">
        <v>2000</v>
      </c>
      <c r="I209" s="26" t="n">
        <v>154840140</v>
      </c>
      <c r="J209" s="26" t="n">
        <v>168025585</v>
      </c>
      <c r="K209" s="26" t="n">
        <v>153206277</v>
      </c>
      <c r="L209" s="26">
        <f>J209-K209</f>
        <v>14819308</v>
      </c>
      <c r="M209" s="26">
        <f>I209+L209</f>
        <v>169659448</v>
      </c>
      <c r="N209" s="26" t="n">
        <v>154840000</v>
      </c>
      <c r="O209" s="26" t="n">
        <v>2233440000</v>
      </c>
      <c r="P209" s="26">
        <f>MAX(0,N209-M209)</f>
        <v>0</v>
      </c>
      <c r="Q209" s="26">
        <f>MAX(0,M209-O209)</f>
        <v>0</v>
      </c>
      <c r="R209" t="inlineStr">
        <is>
          <t>bajo</t>
        </is>
      </c>
      <c r="S209" t="inlineStr">
        <is>
          <t>sin_accion</t>
        </is>
      </c>
      <c r="T209" t="inlineStr">
        <is>
          <t>ninguno</t>
        </is>
      </c>
      <c r="U209" s="26" t="n">
        <v>0</v>
      </c>
      <c r="X209" s="26">
        <f>IF(T209="entrada",M209+U209,IF(T209="salida",M209-U209,M209))</f>
        <v>169659448</v>
      </c>
      <c r="Y209" s="26" t="n">
        <v>0</v>
      </c>
      <c r="Z209" t="inlineStr">
        <is>
          <t>RN-85: dentro de niveles objetivo (sin_accion)</t>
        </is>
      </c>
      <c r="AA209" t="inlineStr">
        <is>
          <t>SUP-07, SUP-10</t>
        </is>
      </c>
      <c r="AB209" t="inlineStr">
        <is>
          <t>Saldo dentro del rango objetivo; sin accion.</t>
        </is>
      </c>
      <c r="AC209" t="inlineStr">
        <is>
          <t>Cierre del dia anterior (saldo encadenado, RN-71)</t>
        </is>
      </c>
      <c r="AD209" t="inlineStr">
        <is>
          <t>estimada</t>
        </is>
      </c>
      <c r="AE209" t="inlineStr">
        <is>
          <t>Participacion historica por denominacion (SUP-09)</t>
        </is>
      </c>
    </row>
    <row r="210">
      <c r="A210" t="inlineStr">
        <is>
          <t>PRAGMA</t>
        </is>
      </c>
      <c r="B210" t="inlineStr">
        <is>
          <t>CALI|TRANSPORTADORA_003</t>
        </is>
      </c>
      <c r="C210" t="inlineStr">
        <is>
          <t>Cali</t>
        </is>
      </c>
      <c r="D210" t="inlineStr">
        <is>
          <t>TRANSPORTADORA_003</t>
        </is>
      </c>
      <c r="E210" s="23" t="n">
        <v>46265</v>
      </c>
      <c r="F210" s="23" t="n">
        <v>46269</v>
      </c>
      <c r="G210" t="inlineStr">
        <is>
          <t>Sí</t>
        </is>
      </c>
      <c r="H210" s="25" t="n">
        <v>2000</v>
      </c>
      <c r="I210" s="26" t="n">
        <v>169659449</v>
      </c>
      <c r="J210" s="26" t="n">
        <v>147074825</v>
      </c>
      <c r="K210" s="26" t="n">
        <v>174967897</v>
      </c>
      <c r="L210" s="26">
        <f>J210-K210</f>
        <v>-27893072</v>
      </c>
      <c r="M210" s="26">
        <f>I210+L210</f>
        <v>141766377</v>
      </c>
      <c r="N210" s="26" t="n">
        <v>154840000</v>
      </c>
      <c r="O210" s="26" t="n">
        <v>2233440000</v>
      </c>
      <c r="P210" s="26">
        <f>MAX(0,N210-M210)</f>
        <v>13073623</v>
      </c>
      <c r="Q210" s="26">
        <f>MAX(0,M210-O210)</f>
        <v>0</v>
      </c>
      <c r="R210" t="inlineStr">
        <is>
          <t>bajo</t>
        </is>
      </c>
      <c r="S210" t="inlineStr">
        <is>
          <t>traslado_fondos</t>
        </is>
      </c>
      <c r="T210" t="inlineStr">
        <is>
          <t>entrada</t>
        </is>
      </c>
      <c r="U210" s="26" t="n">
        <v>13074000</v>
      </c>
      <c r="V210" t="inlineStr">
        <is>
          <t>CALI|TRANSPORTADORA_001</t>
        </is>
      </c>
      <c r="W210" t="inlineStr">
        <is>
          <t>CALI|TRANSPORTADORA_003</t>
        </is>
      </c>
      <c r="X210" s="26">
        <f>IF(T210="entrada",M210+U210,IF(T210="salida",M210-U210,M210))</f>
        <v>154840377</v>
      </c>
      <c r="Y210" s="26" t="n">
        <v>0</v>
      </c>
      <c r="Z210" t="inlineStr">
        <is>
          <t>Menor costo neto entre las alternativas que cubren la necesidad completa</t>
        </is>
      </c>
      <c r="AA210" t="inlineStr">
        <is>
          <t>SUP-08, SUP-10</t>
        </is>
      </c>
      <c r="AB210" t="inlineStr">
        <is>
          <t>Faltante de $13.073.624 en la denominacion 2000: saldo $141.766.376 bajo el minimo $154.840.000. Elegida: traslado con CALI|TRANSPORTADORA_001 ($13.074.000; costo $0). Es preferible porque tiene el menor costo neto. Otras alternativas: traslado con CALI|TRANSPORTADORA_002 ($13.074.000; costo $0); traslado con CALI|TRANSPORTADORA_004 ($6.564.000; costo $0, cubre solo una parte); retiro BanRep ($13.074.000; costo $132.220); traslado con IPIALES|TRANSPORTADORA_002 ($13.074.000; costo $173.880); traslado con PASTO|TRANSPORTADORA_001 ($13.074.000; costo $820.584); cambio de denominacion: ninguna otra denominacion del fondo supera su maximo.</t>
        </is>
      </c>
      <c r="AC210" t="inlineStr">
        <is>
          <t>Cierre del dia anterior (saldo encadenado, RN-71)</t>
        </is>
      </c>
      <c r="AD210" t="inlineStr">
        <is>
          <t>estimada</t>
        </is>
      </c>
      <c r="AE210" t="inlineStr">
        <is>
          <t>Participacion historica por denominacion (SUP-09)</t>
        </is>
      </c>
    </row>
    <row r="211">
      <c r="A211" t="inlineStr">
        <is>
          <t>PRAGMA</t>
        </is>
      </c>
      <c r="B211" t="inlineStr">
        <is>
          <t>CALI|TRANSPORTADORA_003</t>
        </is>
      </c>
      <c r="C211" t="inlineStr">
        <is>
          <t>Cali</t>
        </is>
      </c>
      <c r="D211" t="inlineStr">
        <is>
          <t>TRANSPORTADORA_003</t>
        </is>
      </c>
      <c r="E211" s="23" t="n">
        <v>46265</v>
      </c>
      <c r="F211" s="23" t="n">
        <v>46270</v>
      </c>
      <c r="G211" t="inlineStr">
        <is>
          <t>No</t>
        </is>
      </c>
      <c r="H211" s="25" t="n">
        <v>2000</v>
      </c>
      <c r="I211" s="26" t="n">
        <v>154840376</v>
      </c>
      <c r="J211" s="26" t="n">
        <v>76295400</v>
      </c>
      <c r="K211" s="26" t="n">
        <v>145911644</v>
      </c>
      <c r="L211" s="26">
        <f>J211-K211</f>
        <v>-69616244</v>
      </c>
      <c r="M211" s="26">
        <f>I211+L211</f>
        <v>85224132</v>
      </c>
      <c r="N211" s="26" t="n">
        <v>154840000</v>
      </c>
      <c r="O211" s="26" t="n">
        <v>2233440000</v>
      </c>
      <c r="P211" s="26">
        <f>MAX(0,N211-M211)</f>
        <v>69615868</v>
      </c>
      <c r="Q211" s="26">
        <f>MAX(0,M211-O211)</f>
        <v>0</v>
      </c>
      <c r="R211" t="inlineStr">
        <is>
          <t>bajo</t>
        </is>
      </c>
      <c r="S211" t="inlineStr">
        <is>
          <t>traslado_fondos</t>
        </is>
      </c>
      <c r="T211" t="inlineStr">
        <is>
          <t>entrada</t>
        </is>
      </c>
      <c r="U211" s="26" t="n">
        <v>69616000</v>
      </c>
      <c r="V211" t="inlineStr">
        <is>
          <t>CALI|TRANSPORTADORA_001</t>
        </is>
      </c>
      <c r="W211" t="inlineStr">
        <is>
          <t>CALI|TRANSPORTADORA_003</t>
        </is>
      </c>
      <c r="X211" s="26">
        <f>IF(T211="entrada",M211+U211,IF(T211="salida",M211-U211,M211))</f>
        <v>154840132</v>
      </c>
      <c r="Y211" s="26" t="n">
        <v>0</v>
      </c>
      <c r="Z211" t="inlineStr">
        <is>
          <t>Menor costo neto entre las alternativas que cubren la necesidad completa</t>
        </is>
      </c>
      <c r="AA211" t="inlineStr">
        <is>
          <t>SUP-08, SUP-10</t>
        </is>
      </c>
      <c r="AB211" t="inlineStr">
        <is>
          <t>Faltante de $69.615.869 en la denominacion 2000: saldo $85.224.131 bajo el minimo $154.840.000. Elegida: traslado con CALI|TRANSPORTADORA_001 ($69.616.000; costo $0). Es preferible porque tiene el menor costo neto. Otras alternativas: traslado con CALI|TRANSPORTADORA_002 ($69.616.000; costo $0); traslado con CALI|TRANSPORTADORA_004 ($6.388.000; costo $0, cubre solo una parte); traslado con IPIALES|TRANSPORTADORA_002 ($69.616.000; costo $223.184); traslado con PASTO|TRANSPORTADORA_001 ($69.616.000; costo $874.695); retiro BanRep: dia no habil (sabado, domingo o festivo; RN-71A); cambio de denominacion: dia no habil (sabado, domingo o festivo; RN-71A).</t>
        </is>
      </c>
      <c r="AC211" t="inlineStr">
        <is>
          <t>Cierre del dia anterior (saldo encadenado, RN-71)</t>
        </is>
      </c>
      <c r="AD211" t="inlineStr">
        <is>
          <t>estimada</t>
        </is>
      </c>
      <c r="AE211" t="inlineStr">
        <is>
          <t>Participacion historica por denominacion (SUP-09)</t>
        </is>
      </c>
    </row>
    <row r="212">
      <c r="A212" t="inlineStr">
        <is>
          <t>PRAGMA</t>
        </is>
      </c>
      <c r="B212" t="inlineStr">
        <is>
          <t>CALI|TRANSPORTADORA_003</t>
        </is>
      </c>
      <c r="C212" t="inlineStr">
        <is>
          <t>Cali</t>
        </is>
      </c>
      <c r="D212" t="inlineStr">
        <is>
          <t>TRANSPORTADORA_003</t>
        </is>
      </c>
      <c r="E212" s="23" t="n">
        <v>46265</v>
      </c>
      <c r="F212" s="23" t="n">
        <v>46271</v>
      </c>
      <c r="G212" t="inlineStr">
        <is>
          <t>No</t>
        </is>
      </c>
      <c r="H212" s="25" t="n">
        <v>2000</v>
      </c>
      <c r="I212" s="26" t="n">
        <v>154840131</v>
      </c>
      <c r="J212" s="26" t="n">
        <v>38744682</v>
      </c>
      <c r="K212" s="26" t="n">
        <v>83959491</v>
      </c>
      <c r="L212" s="26">
        <f>J212-K212</f>
        <v>-45214809</v>
      </c>
      <c r="M212" s="26">
        <f>I212+L212</f>
        <v>109625322</v>
      </c>
      <c r="N212" s="26" t="n">
        <v>154840000</v>
      </c>
      <c r="O212" s="26" t="n">
        <v>2233440000</v>
      </c>
      <c r="P212" s="26">
        <f>MAX(0,N212-M212)</f>
        <v>45214678</v>
      </c>
      <c r="Q212" s="26">
        <f>MAX(0,M212-O212)</f>
        <v>0</v>
      </c>
      <c r="R212" t="inlineStr">
        <is>
          <t>bajo</t>
        </is>
      </c>
      <c r="S212" t="inlineStr">
        <is>
          <t>traslado_fondos</t>
        </is>
      </c>
      <c r="T212" t="inlineStr">
        <is>
          <t>entrada</t>
        </is>
      </c>
      <c r="U212" s="26" t="n">
        <v>45216000</v>
      </c>
      <c r="V212" t="inlineStr">
        <is>
          <t>CALI|TRANSPORTADORA_001</t>
        </is>
      </c>
      <c r="W212" t="inlineStr">
        <is>
          <t>CALI|TRANSPORTADORA_003</t>
        </is>
      </c>
      <c r="X212" s="26">
        <f>IF(T212="entrada",M212+U212,IF(T212="salida",M212-U212,M212))</f>
        <v>154841322</v>
      </c>
      <c r="Y212" s="26" t="n">
        <v>0</v>
      </c>
      <c r="Z212" t="inlineStr">
        <is>
          <t>Menor costo neto entre las alternativas que cubren la necesidad completa</t>
        </is>
      </c>
      <c r="AA212" t="inlineStr">
        <is>
          <t>SUP-08, SUP-10</t>
        </is>
      </c>
      <c r="AB212" t="inlineStr">
        <is>
          <t>Faltante de $45.214.678 en la denominacion 2000: saldo $109.625.322 bajo el minimo $154.840.000. Elegida: traslado con CALI|TRANSPORTADORA_001 ($45.216.000; costo $0). Es preferible porque tiene el menor costo neto. Otras alternativas: traslado con CALI|TRANSPORTADORA_002 ($45.216.000; costo $0); traslado con CALI|TRANSPORTADORA_004 ($6.414.000; costo $0, cubre solo una parte); traslado con IPIALES|TRANSPORTADORA_002 ($45.216.000; costo $201.907); traslado con PASTO|TRANSPORTADORA_001 ($45.216.000; costo $851.344); retiro BanRep: dia no habil (sabado, domingo o festivo; RN-71A); cambio de denominacion: dia no habil (sabado, domingo o festivo; RN-71A).</t>
        </is>
      </c>
      <c r="AC212" t="inlineStr">
        <is>
          <t>Cierre del dia anterior (saldo encadenado, RN-71)</t>
        </is>
      </c>
      <c r="AD212" t="inlineStr">
        <is>
          <t>estimada</t>
        </is>
      </c>
      <c r="AE212" t="inlineStr">
        <is>
          <t>Participacion historica por denominacion (SUP-09)</t>
        </is>
      </c>
    </row>
    <row r="213">
      <c r="A213" t="inlineStr">
        <is>
          <t>PRAGMA</t>
        </is>
      </c>
      <c r="B213" t="inlineStr">
        <is>
          <t>CALI|TRANSPORTADORA_003</t>
        </is>
      </c>
      <c r="C213" t="inlineStr">
        <is>
          <t>Cali</t>
        </is>
      </c>
      <c r="D213" t="inlineStr">
        <is>
          <t>TRANSPORTADORA_003</t>
        </is>
      </c>
      <c r="E213" s="23" t="n">
        <v>46265</v>
      </c>
      <c r="F213" s="23" t="n">
        <v>46272</v>
      </c>
      <c r="G213" t="inlineStr">
        <is>
          <t>Sí</t>
        </is>
      </c>
      <c r="H213" s="25" t="n">
        <v>2000</v>
      </c>
      <c r="I213" s="26" t="n">
        <v>154841322</v>
      </c>
      <c r="J213" s="26" t="n">
        <v>131197168</v>
      </c>
      <c r="K213" s="26" t="n">
        <v>133062450</v>
      </c>
      <c r="L213" s="26">
        <f>J213-K213</f>
        <v>-1865282</v>
      </c>
      <c r="M213" s="26">
        <f>I213+L213</f>
        <v>152976040</v>
      </c>
      <c r="N213" s="26" t="n">
        <v>154840000</v>
      </c>
      <c r="O213" s="26" t="n">
        <v>2233440000</v>
      </c>
      <c r="P213" s="26">
        <f>MAX(0,N213-M213)</f>
        <v>1863960</v>
      </c>
      <c r="Q213" s="26">
        <f>MAX(0,M213-O213)</f>
        <v>0</v>
      </c>
      <c r="R213" t="inlineStr">
        <is>
          <t>bajo</t>
        </is>
      </c>
      <c r="S213" t="inlineStr">
        <is>
          <t>traslado_fondos</t>
        </is>
      </c>
      <c r="T213" t="inlineStr">
        <is>
          <t>entrada</t>
        </is>
      </c>
      <c r="U213" s="26" t="n">
        <v>1864000</v>
      </c>
      <c r="V213" t="inlineStr">
        <is>
          <t>CALI|TRANSPORTADORA_001</t>
        </is>
      </c>
      <c r="W213" t="inlineStr">
        <is>
          <t>CALI|TRANSPORTADORA_003</t>
        </is>
      </c>
      <c r="X213" s="26">
        <f>IF(T213="entrada",M213+U213,IF(T213="salida",M213-U213,M213))</f>
        <v>154840040</v>
      </c>
      <c r="Y213" s="26" t="n">
        <v>0</v>
      </c>
      <c r="Z213" t="inlineStr">
        <is>
          <t>Menor costo neto entre las alternativas que cubren la necesidad completa</t>
        </is>
      </c>
      <c r="AA213" t="inlineStr">
        <is>
          <t>SUP-08, SUP-10</t>
        </is>
      </c>
      <c r="AB213" t="inlineStr">
        <is>
          <t>Faltante de $1.863.961 en la denominacion 2000: saldo $152.976.039 bajo el minimo $154.840.000. Elegida: traslado con CALI|TRANSPORTADORA_001 ($1.864.000; costo $0). Es preferible porque tiene el menor costo neto. Otras alternativas: traslado con CALI|TRANSPORTADORA_002 ($1.864.000; costo $0); traslado con CALI|TRANSPORTADORA_004 ($1.864.000; costo $0); retiro BanRep ($1.864.000; costo $127.624); traslado con IPIALES|TRANSPORTADORA_002 ($1.864.000; costo $164.104); traslado con PASTO|TRANSPORTADORA_001 ($1.864.000; costo $809.856); cambio de denominacion: ninguna otra denominacion del fondo supera su maximo.</t>
        </is>
      </c>
      <c r="AC213" t="inlineStr">
        <is>
          <t>Cierre del dia anterior (saldo encadenado, RN-71)</t>
        </is>
      </c>
      <c r="AD213" t="inlineStr">
        <is>
          <t>estimada</t>
        </is>
      </c>
      <c r="AE213" t="inlineStr">
        <is>
          <t>Participacion historica por denominacion (SUP-09)</t>
        </is>
      </c>
    </row>
    <row r="214">
      <c r="A214" t="inlineStr">
        <is>
          <t>PRAGMA</t>
        </is>
      </c>
      <c r="B214" t="inlineStr">
        <is>
          <t>CALI|TRANSPORTADORA_003</t>
        </is>
      </c>
      <c r="C214" t="inlineStr">
        <is>
          <t>Cali</t>
        </is>
      </c>
      <c r="D214" t="inlineStr">
        <is>
          <t>TRANSPORTADORA_003</t>
        </is>
      </c>
      <c r="E214" s="23" t="n">
        <v>46265</v>
      </c>
      <c r="F214" s="23" t="n">
        <v>46273</v>
      </c>
      <c r="G214" t="inlineStr">
        <is>
          <t>Sí</t>
        </is>
      </c>
      <c r="H214" s="25" t="n">
        <v>2000</v>
      </c>
      <c r="I214" s="26" t="n">
        <v>154840039</v>
      </c>
      <c r="J214" s="26" t="n">
        <v>189206524</v>
      </c>
      <c r="K214" s="26" t="n">
        <v>133735783</v>
      </c>
      <c r="L214" s="26">
        <f>J214-K214</f>
        <v>55470741</v>
      </c>
      <c r="M214" s="26">
        <f>I214+L214</f>
        <v>210310780</v>
      </c>
      <c r="N214" s="26" t="n">
        <v>154840000</v>
      </c>
      <c r="O214" s="26" t="n">
        <v>2233440000</v>
      </c>
      <c r="P214" s="26">
        <f>MAX(0,N214-M214)</f>
        <v>0</v>
      </c>
      <c r="Q214" s="26">
        <f>MAX(0,M214-O214)</f>
        <v>0</v>
      </c>
      <c r="R214" t="inlineStr">
        <is>
          <t>bajo</t>
        </is>
      </c>
      <c r="S214" t="inlineStr">
        <is>
          <t>sin_accion</t>
        </is>
      </c>
      <c r="T214" t="inlineStr">
        <is>
          <t>ninguno</t>
        </is>
      </c>
      <c r="U214" s="26" t="n">
        <v>0</v>
      </c>
      <c r="X214" s="26">
        <f>IF(T214="entrada",M214+U214,IF(T214="salida",M214-U214,M214))</f>
        <v>210310780</v>
      </c>
      <c r="Y214" s="26" t="n">
        <v>0</v>
      </c>
      <c r="Z214" t="inlineStr">
        <is>
          <t>RN-85: dentro de niveles objetivo (sin_accion)</t>
        </is>
      </c>
      <c r="AA214" t="inlineStr">
        <is>
          <t>SUP-07, SUP-10</t>
        </is>
      </c>
      <c r="AB214" t="inlineStr">
        <is>
          <t>Saldo dentro del rango objetivo; sin accion.</t>
        </is>
      </c>
      <c r="AC214" t="inlineStr">
        <is>
          <t>Cierre del dia anterior (saldo encadenado, RN-71)</t>
        </is>
      </c>
      <c r="AD214" t="inlineStr">
        <is>
          <t>estimada</t>
        </is>
      </c>
      <c r="AE214" t="inlineStr">
        <is>
          <t>Participacion historica por denominacion (SUP-09)</t>
        </is>
      </c>
    </row>
    <row r="215">
      <c r="A215" t="inlineStr">
        <is>
          <t>PRAGMA</t>
        </is>
      </c>
      <c r="B215" t="inlineStr">
        <is>
          <t>CALI|TRANSPORTADORA_003</t>
        </is>
      </c>
      <c r="C215" t="inlineStr">
        <is>
          <t>Cali</t>
        </is>
      </c>
      <c r="D215" t="inlineStr">
        <is>
          <t>TRANSPORTADORA_003</t>
        </is>
      </c>
      <c r="E215" s="23" t="n">
        <v>46265</v>
      </c>
      <c r="F215" s="23" t="n">
        <v>46274</v>
      </c>
      <c r="G215" t="inlineStr">
        <is>
          <t>Sí</t>
        </is>
      </c>
      <c r="H215" s="25" t="n">
        <v>2000</v>
      </c>
      <c r="I215" s="26" t="n">
        <v>210310780</v>
      </c>
      <c r="J215" s="26" t="n">
        <v>177358828</v>
      </c>
      <c r="K215" s="26" t="n">
        <v>131950394</v>
      </c>
      <c r="L215" s="26">
        <f>J215-K215</f>
        <v>45408434</v>
      </c>
      <c r="M215" s="26">
        <f>I215+L215</f>
        <v>255719214</v>
      </c>
      <c r="N215" s="26" t="n">
        <v>154840000</v>
      </c>
      <c r="O215" s="26" t="n">
        <v>2233440000</v>
      </c>
      <c r="P215" s="26">
        <f>MAX(0,N215-M215)</f>
        <v>0</v>
      </c>
      <c r="Q215" s="26">
        <f>MAX(0,M215-O215)</f>
        <v>0</v>
      </c>
      <c r="R215" t="inlineStr">
        <is>
          <t>bajo</t>
        </is>
      </c>
      <c r="S215" t="inlineStr">
        <is>
          <t>traslado_fondos</t>
        </is>
      </c>
      <c r="T215" t="inlineStr">
        <is>
          <t>entrada</t>
        </is>
      </c>
      <c r="U215" s="26" t="n">
        <v>176000</v>
      </c>
      <c r="V215" t="inlineStr">
        <is>
          <t>CALI|TRANSPORTADORA_004</t>
        </is>
      </c>
      <c r="W215" t="inlineStr">
        <is>
          <t>CALI|TRANSPORTADORA_003</t>
        </is>
      </c>
      <c r="X215" s="26">
        <f>IF(T215="entrada",M215+U215,IF(T215="salida",M215-U215,M215))</f>
        <v>255895214</v>
      </c>
      <c r="Y215" s="26" t="n">
        <v>0</v>
      </c>
      <c r="Z215" t="inlineStr">
        <is>
          <t>Menor costo neto entre las alternativas que cubren la necesidad completa</t>
        </is>
      </c>
      <c r="AA215" t="inlineStr">
        <is>
          <t>SUP-08, SUP-10</t>
        </is>
      </c>
      <c r="AB215" t="inlineStr">
        <is>
          <t>Contraparte del traslado P00068 en la denominacion 2000: recibe $176.000 de CALI|TRANSPORTADORA_004. Saldo de esta fila: $255.719.215 antes y $255.895.215 despues (minimo $154.840.000, maximo $2.233.440.000). Necesidad que la origina, en CALI|TRANSPORTADORA_004: Excedente de $174.906 en la denominacion 2000: saldo $6.808.906 sobre el maximo $6.634.000. Elegida: traslado con CALI|TRANSPORTADORA_003 ($176.000; costo $0). Es preferible porque tiene el menor costo neto. Otras alternativas: conservar ($176.000; costo de almacenar $13); consignacion BanRep ($176.000; costo $120.812); venta: no habilitada en este fondo (sin historico o fuera de las ciudades BanRep).</t>
        </is>
      </c>
      <c r="AC215" t="inlineStr">
        <is>
          <t>Cierre del dia anterior (saldo encadenado, RN-71)</t>
        </is>
      </c>
      <c r="AD215" t="inlineStr">
        <is>
          <t>estimada</t>
        </is>
      </c>
      <c r="AE215" t="inlineStr">
        <is>
          <t>Participacion historica por denominacion (SUP-09)</t>
        </is>
      </c>
    </row>
    <row r="216">
      <c r="A216" t="inlineStr">
        <is>
          <t>PRAGMA</t>
        </is>
      </c>
      <c r="B216" t="inlineStr">
        <is>
          <t>CALI|TRANSPORTADORA_003</t>
        </is>
      </c>
      <c r="C216" t="inlineStr">
        <is>
          <t>Cali</t>
        </is>
      </c>
      <c r="D216" t="inlineStr">
        <is>
          <t>TRANSPORTADORA_003</t>
        </is>
      </c>
      <c r="E216" s="23" t="n">
        <v>46265</v>
      </c>
      <c r="F216" s="23" t="n">
        <v>46275</v>
      </c>
      <c r="G216" t="inlineStr">
        <is>
          <t>Sí</t>
        </is>
      </c>
      <c r="H216" s="25" t="n">
        <v>2000</v>
      </c>
      <c r="I216" s="26" t="n">
        <v>255895215</v>
      </c>
      <c r="J216" s="26" t="n">
        <v>176599101</v>
      </c>
      <c r="K216" s="26" t="n">
        <v>120666199</v>
      </c>
      <c r="L216" s="26">
        <f>J216-K216</f>
        <v>55932902</v>
      </c>
      <c r="M216" s="26">
        <f>I216+L216</f>
        <v>311828117</v>
      </c>
      <c r="N216" s="26" t="n">
        <v>154840000</v>
      </c>
      <c r="O216" s="26" t="n">
        <v>2233440000</v>
      </c>
      <c r="P216" s="26">
        <f>MAX(0,N216-M216)</f>
        <v>0</v>
      </c>
      <c r="Q216" s="26">
        <f>MAX(0,M216-O216)</f>
        <v>0</v>
      </c>
      <c r="R216" t="inlineStr">
        <is>
          <t>bajo</t>
        </is>
      </c>
      <c r="S216" t="inlineStr">
        <is>
          <t>traslado_fondos</t>
        </is>
      </c>
      <c r="T216" t="inlineStr">
        <is>
          <t>entrada</t>
        </is>
      </c>
      <c r="U216" s="26" t="n">
        <v>146000</v>
      </c>
      <c r="V216" t="inlineStr">
        <is>
          <t>CALI|TRANSPORTADORA_004</t>
        </is>
      </c>
      <c r="W216" t="inlineStr">
        <is>
          <t>CALI|TRANSPORTADORA_003</t>
        </is>
      </c>
      <c r="X216" s="26">
        <f>IF(T216="entrada",M216+U216,IF(T216="salida",M216-U216,M216))</f>
        <v>311974117</v>
      </c>
      <c r="Y216" s="26" t="n">
        <v>0</v>
      </c>
      <c r="Z216" t="inlineStr">
        <is>
          <t>Menor costo neto entre las alternativas que cubren la necesidad completa</t>
        </is>
      </c>
      <c r="AA216" t="inlineStr">
        <is>
          <t>SUP-08, SUP-10</t>
        </is>
      </c>
      <c r="AB216" t="inlineStr">
        <is>
          <t>Contraparte del traslado P00073 en la denominacion 2000: recibe $146.000 de CALI|TRANSPORTADORA_004. Saldo de esta fila: $311.828.116 antes y $311.974.116 despues (minimo $154.840.000, maximo $2.233.440.000). Necesidad que la origina, en CALI|TRANSPORTADORA_004: Excedente de $144.513 en la denominacion 2000: saldo $6.778.513 sobre el maximo $6.634.000. Elegida: traslado con CALI|TRANSPORTADORA_003 ($146.000; costo $0). Es preferible porque tiene el menor costo neto. Otras alternativas: conservar ($146.000; costo de almacenar $9); consignacion BanRep ($146.000; costo $120.804); venta: no habilitada en este fondo (sin historico o fuera de las ciudades BanRep).</t>
        </is>
      </c>
      <c r="AC216" t="inlineStr">
        <is>
          <t>Cierre del dia anterior (saldo encadenado, RN-71)</t>
        </is>
      </c>
      <c r="AD216" t="inlineStr">
        <is>
          <t>estimada</t>
        </is>
      </c>
      <c r="AE216" t="inlineStr">
        <is>
          <t>Participacion historica por denominacion (SUP-09)</t>
        </is>
      </c>
    </row>
    <row r="217">
      <c r="A217" t="inlineStr">
        <is>
          <t>PRAGMA</t>
        </is>
      </c>
      <c r="B217" t="inlineStr">
        <is>
          <t>CALI|TRANSPORTADORA_003</t>
        </is>
      </c>
      <c r="C217" t="inlineStr">
        <is>
          <t>Cali</t>
        </is>
      </c>
      <c r="D217" t="inlineStr">
        <is>
          <t>TRANSPORTADORA_003</t>
        </is>
      </c>
      <c r="E217" s="23" t="n">
        <v>46265</v>
      </c>
      <c r="F217" s="23" t="n">
        <v>46276</v>
      </c>
      <c r="G217" t="inlineStr">
        <is>
          <t>Sí</t>
        </is>
      </c>
      <c r="H217" s="25" t="n">
        <v>2000</v>
      </c>
      <c r="I217" s="26" t="n">
        <v>311974116</v>
      </c>
      <c r="J217" s="26" t="n">
        <v>144042530</v>
      </c>
      <c r="K217" s="26" t="n">
        <v>135706004</v>
      </c>
      <c r="L217" s="26">
        <f>J217-K217</f>
        <v>8336526</v>
      </c>
      <c r="M217" s="26">
        <f>I217+L217</f>
        <v>320310642</v>
      </c>
      <c r="N217" s="26" t="n">
        <v>154840000</v>
      </c>
      <c r="O217" s="26" t="n">
        <v>2233440000</v>
      </c>
      <c r="P217" s="26">
        <f>MAX(0,N217-M217)</f>
        <v>0</v>
      </c>
      <c r="Q217" s="26">
        <f>MAX(0,M217-O217)</f>
        <v>0</v>
      </c>
      <c r="R217" t="inlineStr">
        <is>
          <t>bajo</t>
        </is>
      </c>
      <c r="S217" t="inlineStr">
        <is>
          <t>traslado_fondos</t>
        </is>
      </c>
      <c r="T217" t="inlineStr">
        <is>
          <t>entrada</t>
        </is>
      </c>
      <c r="U217" s="26" t="n">
        <v>112000</v>
      </c>
      <c r="V217" t="inlineStr">
        <is>
          <t>CALI|TRANSPORTADORA_004</t>
        </is>
      </c>
      <c r="W217" t="inlineStr">
        <is>
          <t>CALI|TRANSPORTADORA_003</t>
        </is>
      </c>
      <c r="X217" s="26">
        <f>IF(T217="entrada",M217+U217,IF(T217="salida",M217-U217,M217))</f>
        <v>320422642</v>
      </c>
      <c r="Y217" s="26" t="n">
        <v>0</v>
      </c>
      <c r="Z217" t="inlineStr">
        <is>
          <t>Menor costo neto entre las alternativas que cubren la necesidad completa</t>
        </is>
      </c>
      <c r="AA217" t="inlineStr">
        <is>
          <t>SUP-08, SUP-10</t>
        </is>
      </c>
      <c r="AB217" t="inlineStr">
        <is>
          <t>Contraparte del traslado P00078 en la denominacion 2000: recibe $112.000 de CALI|TRANSPORTADORA_004. Saldo de esta fila: $320.310.642 antes y $320.422.642 despues (minimo $154.840.000, maximo $2.233.440.000). Necesidad que la origina, en CALI|TRANSPORTADORA_004: Excedente de $111.767 en la denominacion 2000: saldo $6.745.767 sobre el maximo $6.634.000. Elegida: traslado con CALI|TRANSPORTADORA_003 ($112.000; costo $0). Es preferible porque tiene el menor costo neto. Otras alternativas: conservar ($112.000; costo de almacenar $6); consignacion BanRep ($112.000; costo $120.795); venta: no habilitada en este fondo (sin historico o fuera de las ciudades BanRep).</t>
        </is>
      </c>
      <c r="AC217" t="inlineStr">
        <is>
          <t>Cierre del dia anterior (saldo encadenado, RN-71)</t>
        </is>
      </c>
      <c r="AD217" t="inlineStr">
        <is>
          <t>estimada</t>
        </is>
      </c>
      <c r="AE217" t="inlineStr">
        <is>
          <t>Participacion historica por denominacion (SUP-09)</t>
        </is>
      </c>
    </row>
    <row r="218">
      <c r="A218" t="inlineStr">
        <is>
          <t>PRAGMA</t>
        </is>
      </c>
      <c r="B218" t="inlineStr">
        <is>
          <t>CALI|TRANSPORTADORA_003</t>
        </is>
      </c>
      <c r="C218" t="inlineStr">
        <is>
          <t>Cali</t>
        </is>
      </c>
      <c r="D218" t="inlineStr">
        <is>
          <t>TRANSPORTADORA_003</t>
        </is>
      </c>
      <c r="E218" s="23" t="n">
        <v>46265</v>
      </c>
      <c r="F218" s="23" t="n">
        <v>46277</v>
      </c>
      <c r="G218" t="inlineStr">
        <is>
          <t>No</t>
        </is>
      </c>
      <c r="H218" s="25" t="n">
        <v>2000</v>
      </c>
      <c r="I218" s="26" t="n">
        <v>320422642</v>
      </c>
      <c r="J218" s="26" t="n">
        <v>77576943</v>
      </c>
      <c r="K218" s="26" t="n">
        <v>114659412</v>
      </c>
      <c r="L218" s="26">
        <f>J218-K218</f>
        <v>-37082469</v>
      </c>
      <c r="M218" s="26">
        <f>I218+L218</f>
        <v>283340173</v>
      </c>
      <c r="N218" s="26" t="n">
        <v>154840000</v>
      </c>
      <c r="O218" s="26" t="n">
        <v>2233440000</v>
      </c>
      <c r="P218" s="26">
        <f>MAX(0,N218-M218)</f>
        <v>0</v>
      </c>
      <c r="Q218" s="26">
        <f>MAX(0,M218-O218)</f>
        <v>0</v>
      </c>
      <c r="R218" t="inlineStr">
        <is>
          <t>bajo</t>
        </is>
      </c>
      <c r="S218" t="inlineStr">
        <is>
          <t>sin_accion</t>
        </is>
      </c>
      <c r="T218" t="inlineStr">
        <is>
          <t>ninguno</t>
        </is>
      </c>
      <c r="U218" s="26" t="n">
        <v>0</v>
      </c>
      <c r="X218" s="26">
        <f>IF(T218="entrada",M218+U218,IF(T218="salida",M218-U218,M218))</f>
        <v>283340173</v>
      </c>
      <c r="Y218" s="26" t="n">
        <v>0</v>
      </c>
      <c r="Z218" t="inlineStr">
        <is>
          <t>RN-85: dentro de niveles objetivo (sin_accion)</t>
        </is>
      </c>
      <c r="AA218" t="inlineStr">
        <is>
          <t>SUP-07, SUP-10</t>
        </is>
      </c>
      <c r="AB218" t="inlineStr">
        <is>
          <t>Saldo dentro del rango objetivo; sin accion.</t>
        </is>
      </c>
      <c r="AC218" t="inlineStr">
        <is>
          <t>Cierre del dia anterior (saldo encadenado, RN-71)</t>
        </is>
      </c>
      <c r="AD218" t="inlineStr">
        <is>
          <t>estimada</t>
        </is>
      </c>
      <c r="AE218" t="inlineStr">
        <is>
          <t>Participacion historica por denominacion (SUP-09)</t>
        </is>
      </c>
    </row>
    <row r="219">
      <c r="A219" t="inlineStr">
        <is>
          <t>PRAGMA</t>
        </is>
      </c>
      <c r="B219" t="inlineStr">
        <is>
          <t>CALI|TRANSPORTADORA_003</t>
        </is>
      </c>
      <c r="C219" t="inlineStr">
        <is>
          <t>Cali</t>
        </is>
      </c>
      <c r="D219" t="inlineStr">
        <is>
          <t>TRANSPORTADORA_003</t>
        </is>
      </c>
      <c r="E219" s="23" t="n">
        <v>46265</v>
      </c>
      <c r="F219" s="23" t="n">
        <v>46278</v>
      </c>
      <c r="G219" t="inlineStr">
        <is>
          <t>No</t>
        </is>
      </c>
      <c r="H219" s="25" t="n">
        <v>2000</v>
      </c>
      <c r="I219" s="26" t="n">
        <v>283340173</v>
      </c>
      <c r="J219" s="26" t="n">
        <v>31755470</v>
      </c>
      <c r="K219" s="26" t="n">
        <v>63688200</v>
      </c>
      <c r="L219" s="26">
        <f>J219-K219</f>
        <v>-31932730</v>
      </c>
      <c r="M219" s="26">
        <f>I219+L219</f>
        <v>251407443</v>
      </c>
      <c r="N219" s="26" t="n">
        <v>154840000</v>
      </c>
      <c r="O219" s="26" t="n">
        <v>2233440000</v>
      </c>
      <c r="P219" s="26">
        <f>MAX(0,N219-M219)</f>
        <v>0</v>
      </c>
      <c r="Q219" s="26">
        <f>MAX(0,M219-O219)</f>
        <v>0</v>
      </c>
      <c r="R219" t="inlineStr">
        <is>
          <t>bajo</t>
        </is>
      </c>
      <c r="S219" t="inlineStr">
        <is>
          <t>sin_accion</t>
        </is>
      </c>
      <c r="T219" t="inlineStr">
        <is>
          <t>ninguno</t>
        </is>
      </c>
      <c r="U219" s="26" t="n">
        <v>0</v>
      </c>
      <c r="X219" s="26">
        <f>IF(T219="entrada",M219+U219,IF(T219="salida",M219-U219,M219))</f>
        <v>251407443</v>
      </c>
      <c r="Y219" s="26" t="n">
        <v>0</v>
      </c>
      <c r="Z219" t="inlineStr">
        <is>
          <t>RN-85: dentro de niveles objetivo (sin_accion)</t>
        </is>
      </c>
      <c r="AA219" t="inlineStr">
        <is>
          <t>SUP-07, SUP-10</t>
        </is>
      </c>
      <c r="AB219" t="inlineStr">
        <is>
          <t>Saldo dentro del rango objetivo; sin accion.</t>
        </is>
      </c>
      <c r="AC219" t="inlineStr">
        <is>
          <t>Cierre del dia anterior (saldo encadenado, RN-71)</t>
        </is>
      </c>
      <c r="AD219" t="inlineStr">
        <is>
          <t>estimada</t>
        </is>
      </c>
      <c r="AE219" t="inlineStr">
        <is>
          <t>Participacion historica por denominacion (SUP-09)</t>
        </is>
      </c>
    </row>
    <row r="220">
      <c r="A220" t="inlineStr">
        <is>
          <t>PRAGMA</t>
        </is>
      </c>
      <c r="B220" t="inlineStr">
        <is>
          <t>CALI|TRANSPORTADORA_003</t>
        </is>
      </c>
      <c r="C220" t="inlineStr">
        <is>
          <t>Cali</t>
        </is>
      </c>
      <c r="D220" t="inlineStr">
        <is>
          <t>TRANSPORTADORA_003</t>
        </is>
      </c>
      <c r="E220" s="23" t="n">
        <v>46265</v>
      </c>
      <c r="F220" s="23" t="n">
        <v>46279</v>
      </c>
      <c r="G220" t="inlineStr">
        <is>
          <t>Sí</t>
        </is>
      </c>
      <c r="H220" s="25" t="n">
        <v>2000</v>
      </c>
      <c r="I220" s="26" t="n">
        <v>251407443</v>
      </c>
      <c r="J220" s="26" t="n">
        <v>128504285</v>
      </c>
      <c r="K220" s="26" t="n">
        <v>129258324</v>
      </c>
      <c r="L220" s="26">
        <f>J220-K220</f>
        <v>-754039</v>
      </c>
      <c r="M220" s="26">
        <f>I220+L220</f>
        <v>250653404</v>
      </c>
      <c r="N220" s="26" t="n">
        <v>154840000</v>
      </c>
      <c r="O220" s="26" t="n">
        <v>2233440000</v>
      </c>
      <c r="P220" s="26">
        <f>MAX(0,N220-M220)</f>
        <v>0</v>
      </c>
      <c r="Q220" s="26">
        <f>MAX(0,M220-O220)</f>
        <v>0</v>
      </c>
      <c r="R220" t="inlineStr">
        <is>
          <t>bajo</t>
        </is>
      </c>
      <c r="S220" t="inlineStr">
        <is>
          <t>traslado_fondos</t>
        </is>
      </c>
      <c r="T220" t="inlineStr">
        <is>
          <t>entrada</t>
        </is>
      </c>
      <c r="U220" s="26" t="n">
        <v>210000</v>
      </c>
      <c r="V220" t="inlineStr">
        <is>
          <t>CALI|TRANSPORTADORA_004</t>
        </is>
      </c>
      <c r="W220" t="inlineStr">
        <is>
          <t>CALI|TRANSPORTADORA_003</t>
        </is>
      </c>
      <c r="X220" s="26">
        <f>IF(T220="entrada",M220+U220,IF(T220="salida",M220-U220,M220))</f>
        <v>250863404</v>
      </c>
      <c r="Y220" s="26" t="n">
        <v>0</v>
      </c>
      <c r="Z220" t="inlineStr">
        <is>
          <t>Menor costo neto entre las alternativas que cubren la necesidad completa</t>
        </is>
      </c>
      <c r="AA220" t="inlineStr">
        <is>
          <t>SUP-08, SUP-10</t>
        </is>
      </c>
      <c r="AB220" t="inlineStr">
        <is>
          <t>Contraparte del traslado P00094 en la denominacion 2000: recibe $210.000 de CALI|TRANSPORTADORA_004. Saldo de esta fila: $250.653.403 antes y $250.863.403 despues (minimo $154.840.000, maximo $2.233.440.000). Necesidad que la origina, en CALI|TRANSPORTADORA_004: Excedente de $208.671 en la denominacion 2000: saldo $6.842.671 sobre el maximo $6.634.000. Elegida: traslado con CALI|TRANSPORTADORA_003 ($210.000; costo $0). Es preferible porque tiene el menor costo neto. Otras alternativas: conservar ($210.000; costo de almacenar $4); consignacion BanRep ($210.000; costo $120.821); venta: no habilitada en este fondo (sin historico o fuera de las ciudades BanRep).</t>
        </is>
      </c>
      <c r="AC220" t="inlineStr">
        <is>
          <t>Cierre del dia anterior (saldo encadenado, RN-71)</t>
        </is>
      </c>
      <c r="AD220" t="inlineStr">
        <is>
          <t>estimada</t>
        </is>
      </c>
      <c r="AE220" t="inlineStr">
        <is>
          <t>Participacion historica por denominacion (SUP-09)</t>
        </is>
      </c>
    </row>
    <row r="221">
      <c r="A221" t="inlineStr">
        <is>
          <t>PRAGMA</t>
        </is>
      </c>
      <c r="B221" t="inlineStr">
        <is>
          <t>CALI|TRANSPORTADORA_003</t>
        </is>
      </c>
      <c r="C221" t="inlineStr">
        <is>
          <t>Cali</t>
        </is>
      </c>
      <c r="D221" t="inlineStr">
        <is>
          <t>TRANSPORTADORA_003</t>
        </is>
      </c>
      <c r="E221" s="23" t="n">
        <v>46265</v>
      </c>
      <c r="F221" s="23" t="n">
        <v>46280</v>
      </c>
      <c r="G221" t="inlineStr">
        <is>
          <t>Sí</t>
        </is>
      </c>
      <c r="H221" s="25" t="n">
        <v>2000</v>
      </c>
      <c r="I221" s="26" t="n">
        <v>250863403</v>
      </c>
      <c r="J221" s="26" t="n">
        <v>192011325</v>
      </c>
      <c r="K221" s="26" t="n">
        <v>179221863</v>
      </c>
      <c r="L221" s="26">
        <f>J221-K221</f>
        <v>12789462</v>
      </c>
      <c r="M221" s="26">
        <f>I221+L221</f>
        <v>263652865</v>
      </c>
      <c r="N221" s="26" t="n">
        <v>154840000</v>
      </c>
      <c r="O221" s="26" t="n">
        <v>2233440000</v>
      </c>
      <c r="P221" s="26">
        <f>MAX(0,N221-M221)</f>
        <v>0</v>
      </c>
      <c r="Q221" s="26">
        <f>MAX(0,M221-O221)</f>
        <v>0</v>
      </c>
      <c r="R221" t="inlineStr">
        <is>
          <t>bajo</t>
        </is>
      </c>
      <c r="S221" t="inlineStr">
        <is>
          <t>traslado_fondos</t>
        </is>
      </c>
      <c r="T221" t="inlineStr">
        <is>
          <t>entrada</t>
        </is>
      </c>
      <c r="U221" s="26" t="n">
        <v>134000</v>
      </c>
      <c r="V221" t="inlineStr">
        <is>
          <t>CALI|TRANSPORTADORA_004</t>
        </is>
      </c>
      <c r="W221" t="inlineStr">
        <is>
          <t>CALI|TRANSPORTADORA_003</t>
        </is>
      </c>
      <c r="X221" s="26">
        <f>IF(T221="entrada",M221+U221,IF(T221="salida",M221-U221,M221))</f>
        <v>263786865</v>
      </c>
      <c r="Y221" s="26" t="n">
        <v>0</v>
      </c>
      <c r="Z221" t="inlineStr">
        <is>
          <t>Menor costo neto entre las alternativas que cubren la necesidad completa</t>
        </is>
      </c>
      <c r="AA221" t="inlineStr">
        <is>
          <t>SUP-08, SUP-10</t>
        </is>
      </c>
      <c r="AB221" t="inlineStr">
        <is>
          <t>Contraparte del traslado P00100 en la denominacion 2000: recibe $134.000 de CALI|TRANSPORTADORA_004. Saldo de esta fila: $263.652.865 antes y $263.786.865 despues (minimo $154.840.000, maximo $2.233.440.000). Necesidad que la origina, en CALI|TRANSPORTADORA_004: Excedente de $132.711 en la denominacion 2000: saldo $6.766.711 sobre el maximo $6.634.000. Elegida: traslado con CALI|TRANSPORTADORA_003 ($134.000; costo $0). Es preferible porque tiene el menor costo neto. Otras alternativas: conservar ($134.000; costo de almacenar $1); consignacion BanRep ($134.000; costo $120.801); venta: no habilitada en este fondo (sin historico o fuera de las ciudades BanRep).</t>
        </is>
      </c>
      <c r="AC221" t="inlineStr">
        <is>
          <t>Cierre del dia anterior (saldo encadenado, RN-71)</t>
        </is>
      </c>
      <c r="AD221" t="inlineStr">
        <is>
          <t>estimada</t>
        </is>
      </c>
      <c r="AE221" t="inlineStr">
        <is>
          <t>Participacion historica por denominacion (SUP-09)</t>
        </is>
      </c>
    </row>
    <row r="222">
      <c r="A222" t="inlineStr">
        <is>
          <t>PRAGMA</t>
        </is>
      </c>
      <c r="B222" t="inlineStr">
        <is>
          <t>CALI|TRANSPORTADORA_003</t>
        </is>
      </c>
      <c r="C222" t="inlineStr">
        <is>
          <t>Cali</t>
        </is>
      </c>
      <c r="D222" t="inlineStr">
        <is>
          <t>TRANSPORTADORA_003</t>
        </is>
      </c>
      <c r="E222" s="23" t="n">
        <v>46265</v>
      </c>
      <c r="F222" s="23" t="n">
        <v>46266</v>
      </c>
      <c r="G222" t="inlineStr">
        <is>
          <t>Sí</t>
        </is>
      </c>
      <c r="H222" s="25" t="n">
        <v>5000</v>
      </c>
      <c r="I222" s="26" t="n">
        <v>247500000</v>
      </c>
      <c r="J222" s="26" t="n">
        <v>322092586</v>
      </c>
      <c r="K222" s="26" t="n">
        <v>382923138</v>
      </c>
      <c r="L222" s="26">
        <f>J222-K222</f>
        <v>-60830552</v>
      </c>
      <c r="M222" s="26">
        <f>I222+L222</f>
        <v>186669448</v>
      </c>
      <c r="N222" s="26" t="n">
        <v>249000000</v>
      </c>
      <c r="O222" s="26" t="n">
        <v>4136750000</v>
      </c>
      <c r="P222" s="26">
        <f>MAX(0,N222-M222)</f>
        <v>62330552</v>
      </c>
      <c r="Q222" s="26">
        <f>MAX(0,M222-O222)</f>
        <v>0</v>
      </c>
      <c r="R222" t="inlineStr">
        <is>
          <t>bajo</t>
        </is>
      </c>
      <c r="S222" t="inlineStr">
        <is>
          <t>traslado_fondos</t>
        </is>
      </c>
      <c r="T222" t="inlineStr">
        <is>
          <t>entrada</t>
        </is>
      </c>
      <c r="U222" s="26" t="n">
        <v>62335000</v>
      </c>
      <c r="V222" t="inlineStr">
        <is>
          <t>CALI|TRANSPORTADORA_001</t>
        </is>
      </c>
      <c r="W222" t="inlineStr">
        <is>
          <t>CALI|TRANSPORTADORA_003</t>
        </is>
      </c>
      <c r="X222" s="26">
        <f>IF(T222="entrada",M222+U222,IF(T222="salida",M222-U222,M222))</f>
        <v>249004448</v>
      </c>
      <c r="Y222" s="26" t="n">
        <v>0</v>
      </c>
      <c r="Z222" t="inlineStr">
        <is>
          <t>Menor costo neto entre las alternativas que cubren la necesidad completa</t>
        </is>
      </c>
      <c r="AA222" t="inlineStr">
        <is>
          <t>SUP-08, SUP-10</t>
        </is>
      </c>
      <c r="AB222" t="inlineStr">
        <is>
          <t>Faltante de $62.330.552 en la denominacion 5000: saldo $186.669.448 bajo el minimo $249.000.000. Elegida: traslado con CALI|TRANSPORTADORA_001 ($62.335.000; costo $0). Es preferible porque tiene el menor costo neto. Otras alternativas: traslado con CALI|TRANSPORTADORA_002 ($62.335.000; costo $0); traslado con CALI|TRANSPORTADORA_004 ($8.885.000; costo $0, cubre solo una parte); retiro BanRep ($62.335.000; costo $152.417); traslado con IPIALES|TRANSPORTADORA_002 ($62.335.000; costo $216.835); traslado con PASTO|TRANSPORTADORA_001 ($62.335.000; costo $867.727); cambio de denominacion: ninguna otra denominacion del fondo supera su maximo.</t>
        </is>
      </c>
      <c r="AC222" t="inlineStr">
        <is>
          <t>Ultimo disponible al 31/08/2026 (SUP-07)</t>
        </is>
      </c>
      <c r="AD222" t="inlineStr">
        <is>
          <t>estimada</t>
        </is>
      </c>
      <c r="AE222" t="inlineStr">
        <is>
          <t>Participacion historica por denominacion (SUP-09)</t>
        </is>
      </c>
    </row>
    <row r="223">
      <c r="A223" t="inlineStr">
        <is>
          <t>PRAGMA</t>
        </is>
      </c>
      <c r="B223" t="inlineStr">
        <is>
          <t>CALI|TRANSPORTADORA_003</t>
        </is>
      </c>
      <c r="C223" t="inlineStr">
        <is>
          <t>Cali</t>
        </is>
      </c>
      <c r="D223" t="inlineStr">
        <is>
          <t>TRANSPORTADORA_003</t>
        </is>
      </c>
      <c r="E223" s="23" t="n">
        <v>46265</v>
      </c>
      <c r="F223" s="23" t="n">
        <v>46267</v>
      </c>
      <c r="G223" t="inlineStr">
        <is>
          <t>Sí</t>
        </is>
      </c>
      <c r="H223" s="25" t="n">
        <v>5000</v>
      </c>
      <c r="I223" s="26" t="n">
        <v>249004448</v>
      </c>
      <c r="J223" s="26" t="n">
        <v>276224340</v>
      </c>
      <c r="K223" s="26" t="n">
        <v>311819170</v>
      </c>
      <c r="L223" s="26">
        <f>J223-K223</f>
        <v>-35594830</v>
      </c>
      <c r="M223" s="26">
        <f>I223+L223</f>
        <v>213409618</v>
      </c>
      <c r="N223" s="26" t="n">
        <v>249000000</v>
      </c>
      <c r="O223" s="26" t="n">
        <v>4136750000</v>
      </c>
      <c r="P223" s="26">
        <f>MAX(0,N223-M223)</f>
        <v>35590382</v>
      </c>
      <c r="Q223" s="26">
        <f>MAX(0,M223-O223)</f>
        <v>0</v>
      </c>
      <c r="R223" t="inlineStr">
        <is>
          <t>bajo</t>
        </is>
      </c>
      <c r="S223" t="inlineStr">
        <is>
          <t>traslado_fondos</t>
        </is>
      </c>
      <c r="T223" t="inlineStr">
        <is>
          <t>entrada</t>
        </is>
      </c>
      <c r="U223" s="26" t="n">
        <v>35595000</v>
      </c>
      <c r="V223" t="inlineStr">
        <is>
          <t>CALI|TRANSPORTADORA_001</t>
        </is>
      </c>
      <c r="W223" t="inlineStr">
        <is>
          <t>CALI|TRANSPORTADORA_003</t>
        </is>
      </c>
      <c r="X223" s="26">
        <f>IF(T223="entrada",M223+U223,IF(T223="salida",M223-U223,M223))</f>
        <v>249004618</v>
      </c>
      <c r="Y223" s="26" t="n">
        <v>0</v>
      </c>
      <c r="Z223" t="inlineStr">
        <is>
          <t>Menor costo neto entre las alternativas que cubren la necesidad completa</t>
        </is>
      </c>
      <c r="AA223" t="inlineStr">
        <is>
          <t>SUP-08, SUP-10</t>
        </is>
      </c>
      <c r="AB223" t="inlineStr">
        <is>
          <t>Faltante de $35.590.382 en la denominacion 5000: saldo $213.409.618 bajo el minimo $249.000.000. Elegida: traslado con CALI|TRANSPORTADORA_001 ($35.595.000; costo $0). Es preferible porque tiene el menor costo neto. Otras alternativas: traslado con CALI|TRANSPORTADORA_002 ($35.595.000; costo $0); traslado con CALI|TRANSPORTADORA_004 ($9.115.000; costo $0, cubre solo una parte); retiro BanRep ($35.595.000; costo $141.454); traslado con IPIALES|TRANSPORTADORA_002 ($35.595.000; costo $193.518); traslado con PASTO|TRANSPORTADORA_001 ($35.595.000; costo $842.136); cambio de denominacion: ninguna otra denominacion del fondo supera su maximo.</t>
        </is>
      </c>
      <c r="AC223" t="inlineStr">
        <is>
          <t>Cierre del dia anterior (saldo encadenado, RN-71)</t>
        </is>
      </c>
      <c r="AD223" t="inlineStr">
        <is>
          <t>estimada</t>
        </is>
      </c>
      <c r="AE223" t="inlineStr">
        <is>
          <t>Participacion historica por denominacion (SUP-09)</t>
        </is>
      </c>
    </row>
    <row r="224">
      <c r="A224" t="inlineStr">
        <is>
          <t>PRAGMA</t>
        </is>
      </c>
      <c r="B224" t="inlineStr">
        <is>
          <t>CALI|TRANSPORTADORA_003</t>
        </is>
      </c>
      <c r="C224" t="inlineStr">
        <is>
          <t>Cali</t>
        </is>
      </c>
      <c r="D224" t="inlineStr">
        <is>
          <t>TRANSPORTADORA_003</t>
        </is>
      </c>
      <c r="E224" s="23" t="n">
        <v>46265</v>
      </c>
      <c r="F224" s="23" t="n">
        <v>46268</v>
      </c>
      <c r="G224" t="inlineStr">
        <is>
          <t>Sí</t>
        </is>
      </c>
      <c r="H224" s="25" t="n">
        <v>5000</v>
      </c>
      <c r="I224" s="26" t="n">
        <v>249004618</v>
      </c>
      <c r="J224" s="26" t="n">
        <v>283946216</v>
      </c>
      <c r="K224" s="26" t="n">
        <v>258903086</v>
      </c>
      <c r="L224" s="26">
        <f>J224-K224</f>
        <v>25043130</v>
      </c>
      <c r="M224" s="26">
        <f>I224+L224</f>
        <v>274047748</v>
      </c>
      <c r="N224" s="26" t="n">
        <v>249000000</v>
      </c>
      <c r="O224" s="26" t="n">
        <v>4136750000</v>
      </c>
      <c r="P224" s="26">
        <f>MAX(0,N224-M224)</f>
        <v>0</v>
      </c>
      <c r="Q224" s="26">
        <f>MAX(0,M224-O224)</f>
        <v>0</v>
      </c>
      <c r="R224" t="inlineStr">
        <is>
          <t>bajo</t>
        </is>
      </c>
      <c r="S224" t="inlineStr">
        <is>
          <t>sin_accion</t>
        </is>
      </c>
      <c r="T224" t="inlineStr">
        <is>
          <t>ninguno</t>
        </is>
      </c>
      <c r="U224" s="26" t="n">
        <v>0</v>
      </c>
      <c r="X224" s="26">
        <f>IF(T224="entrada",M224+U224,IF(T224="salida",M224-U224,M224))</f>
        <v>274047748</v>
      </c>
      <c r="Y224" s="26" t="n">
        <v>0</v>
      </c>
      <c r="Z224" t="inlineStr">
        <is>
          <t>RN-85: dentro de niveles objetivo (sin_accion)</t>
        </is>
      </c>
      <c r="AA224" t="inlineStr">
        <is>
          <t>SUP-07, SUP-10</t>
        </is>
      </c>
      <c r="AB224" t="inlineStr">
        <is>
          <t>Saldo dentro del rango objetivo; sin accion.</t>
        </is>
      </c>
      <c r="AC224" t="inlineStr">
        <is>
          <t>Cierre del dia anterior (saldo encadenado, RN-71)</t>
        </is>
      </c>
      <c r="AD224" t="inlineStr">
        <is>
          <t>estimada</t>
        </is>
      </c>
      <c r="AE224" t="inlineStr">
        <is>
          <t>Participacion historica por denominacion (SUP-09)</t>
        </is>
      </c>
    </row>
    <row r="225">
      <c r="A225" t="inlineStr">
        <is>
          <t>PRAGMA</t>
        </is>
      </c>
      <c r="B225" t="inlineStr">
        <is>
          <t>CALI|TRANSPORTADORA_003</t>
        </is>
      </c>
      <c r="C225" t="inlineStr">
        <is>
          <t>Cali</t>
        </is>
      </c>
      <c r="D225" t="inlineStr">
        <is>
          <t>TRANSPORTADORA_003</t>
        </is>
      </c>
      <c r="E225" s="23" t="n">
        <v>46265</v>
      </c>
      <c r="F225" s="23" t="n">
        <v>46269</v>
      </c>
      <c r="G225" t="inlineStr">
        <is>
          <t>Sí</t>
        </is>
      </c>
      <c r="H225" s="25" t="n">
        <v>5000</v>
      </c>
      <c r="I225" s="26" t="n">
        <v>274047748</v>
      </c>
      <c r="J225" s="26" t="n">
        <v>248541553</v>
      </c>
      <c r="K225" s="26" t="n">
        <v>295678020</v>
      </c>
      <c r="L225" s="26">
        <f>J225-K225</f>
        <v>-47136467</v>
      </c>
      <c r="M225" s="26">
        <f>I225+L225</f>
        <v>226911281</v>
      </c>
      <c r="N225" s="26" t="n">
        <v>249000000</v>
      </c>
      <c r="O225" s="26" t="n">
        <v>4136750000</v>
      </c>
      <c r="P225" s="26">
        <f>MAX(0,N225-M225)</f>
        <v>22088719</v>
      </c>
      <c r="Q225" s="26">
        <f>MAX(0,M225-O225)</f>
        <v>0</v>
      </c>
      <c r="R225" t="inlineStr">
        <is>
          <t>bajo</t>
        </is>
      </c>
      <c r="S225" t="inlineStr">
        <is>
          <t>traslado_fondos</t>
        </is>
      </c>
      <c r="T225" t="inlineStr">
        <is>
          <t>entrada</t>
        </is>
      </c>
      <c r="U225" s="26" t="n">
        <v>22090000</v>
      </c>
      <c r="V225" t="inlineStr">
        <is>
          <t>CALI|TRANSPORTADORA_001</t>
        </is>
      </c>
      <c r="W225" t="inlineStr">
        <is>
          <t>CALI|TRANSPORTADORA_003</t>
        </is>
      </c>
      <c r="X225" s="26">
        <f>IF(T225="entrada",M225+U225,IF(T225="salida",M225-U225,M225))</f>
        <v>249001281</v>
      </c>
      <c r="Y225" s="26" t="n">
        <v>0</v>
      </c>
      <c r="Z225" t="inlineStr">
        <is>
          <t>Menor costo neto entre las alternativas que cubren la necesidad completa</t>
        </is>
      </c>
      <c r="AA225" t="inlineStr">
        <is>
          <t>SUP-08, SUP-10</t>
        </is>
      </c>
      <c r="AB225" t="inlineStr">
        <is>
          <t>Faltante de $22.088.719 en la denominacion 5000: saldo $226.911.281 bajo el minimo $249.000.000. Elegida: traslado con CALI|TRANSPORTADORA_001 ($22.090.000; costo $0). Es preferible porque tiene el menor costo neto. Otras alternativas: traslado con CALI|TRANSPORTADORA_002 ($22.090.000; costo $0); traslado con CALI|TRANSPORTADORA_004 ($9.735.000; costo $0, cubre solo una parte); retiro BanRep ($22.090.000; costo $135.917); traslado con IPIALES|TRANSPORTADORA_002 ($22.090.000; costo $181.741); traslado con PASTO|TRANSPORTADORA_001 ($22.090.000; costo $829.212); cambio de denominacion: ninguna otra denominacion del fondo supera su maximo.</t>
        </is>
      </c>
      <c r="AC225" t="inlineStr">
        <is>
          <t>Cierre del dia anterior (saldo encadenado, RN-71)</t>
        </is>
      </c>
      <c r="AD225" t="inlineStr">
        <is>
          <t>estimada</t>
        </is>
      </c>
      <c r="AE225" t="inlineStr">
        <is>
          <t>Participacion historica por denominacion (SUP-09)</t>
        </is>
      </c>
    </row>
    <row r="226">
      <c r="A226" t="inlineStr">
        <is>
          <t>PRAGMA</t>
        </is>
      </c>
      <c r="B226" t="inlineStr">
        <is>
          <t>CALI|TRANSPORTADORA_003</t>
        </is>
      </c>
      <c r="C226" t="inlineStr">
        <is>
          <t>Cali</t>
        </is>
      </c>
      <c r="D226" t="inlineStr">
        <is>
          <t>TRANSPORTADORA_003</t>
        </is>
      </c>
      <c r="E226" s="23" t="n">
        <v>46265</v>
      </c>
      <c r="F226" s="23" t="n">
        <v>46270</v>
      </c>
      <c r="G226" t="inlineStr">
        <is>
          <t>No</t>
        </is>
      </c>
      <c r="H226" s="25" t="n">
        <v>5000</v>
      </c>
      <c r="I226" s="26" t="n">
        <v>249001281</v>
      </c>
      <c r="J226" s="26" t="n">
        <v>128931495</v>
      </c>
      <c r="K226" s="26" t="n">
        <v>246575896</v>
      </c>
      <c r="L226" s="26">
        <f>J226-K226</f>
        <v>-117644401</v>
      </c>
      <c r="M226" s="26">
        <f>I226+L226</f>
        <v>131356880</v>
      </c>
      <c r="N226" s="26" t="n">
        <v>249000000</v>
      </c>
      <c r="O226" s="26" t="n">
        <v>4136750000</v>
      </c>
      <c r="P226" s="26">
        <f>MAX(0,N226-M226)</f>
        <v>117643120</v>
      </c>
      <c r="Q226" s="26">
        <f>MAX(0,M226-O226)</f>
        <v>0</v>
      </c>
      <c r="R226" t="inlineStr">
        <is>
          <t>bajo</t>
        </is>
      </c>
      <c r="S226" t="inlineStr">
        <is>
          <t>traslado_fondos</t>
        </is>
      </c>
      <c r="T226" t="inlineStr">
        <is>
          <t>entrada</t>
        </is>
      </c>
      <c r="U226" s="26" t="n">
        <v>117645000</v>
      </c>
      <c r="V226" t="inlineStr">
        <is>
          <t>CALI|TRANSPORTADORA_001</t>
        </is>
      </c>
      <c r="W226" t="inlineStr">
        <is>
          <t>CALI|TRANSPORTADORA_003</t>
        </is>
      </c>
      <c r="X226" s="26">
        <f>IF(T226="entrada",M226+U226,IF(T226="salida",M226-U226,M226))</f>
        <v>249001880</v>
      </c>
      <c r="Y226" s="26" t="n">
        <v>0</v>
      </c>
      <c r="Z226" t="inlineStr">
        <is>
          <t>Menor costo neto entre las alternativas que cubren la necesidad completa</t>
        </is>
      </c>
      <c r="AA226" t="inlineStr">
        <is>
          <t>SUP-08, SUP-10</t>
        </is>
      </c>
      <c r="AB226" t="inlineStr">
        <is>
          <t>Faltante de $117.643.120 en la denominacion 5000: saldo $131.356.880 bajo el minimo $249.000.000. Elegida: traslado con CALI|TRANSPORTADORA_001 ($117.645.000; costo $0). Es preferible porque tiene el menor costo neto. Otras alternativas: traslado con CALI|TRANSPORTADORA_002 ($117.645.000; costo $0); traslado con CALI|TRANSPORTADORA_004 ($9.485.000; costo $0, cubre solo una parte); traslado con IPIALES|TRANSPORTADORA_002 ($117.645.000; costo $265.065); traslado con PASTO|TRANSPORTADORA_001 ($117.645.000; costo $920.658); retiro BanRep: dia no habil (sabado, domingo o festivo; RN-71A); cambio de denominacion: dia no habil (sabado, domingo o festivo; RN-71A).</t>
        </is>
      </c>
      <c r="AC226" t="inlineStr">
        <is>
          <t>Cierre del dia anterior (saldo encadenado, RN-71)</t>
        </is>
      </c>
      <c r="AD226" t="inlineStr">
        <is>
          <t>estimada</t>
        </is>
      </c>
      <c r="AE226" t="inlineStr">
        <is>
          <t>Participacion historica por denominacion (SUP-09)</t>
        </is>
      </c>
    </row>
    <row r="227">
      <c r="A227" t="inlineStr">
        <is>
          <t>PRAGMA</t>
        </is>
      </c>
      <c r="B227" t="inlineStr">
        <is>
          <t>CALI|TRANSPORTADORA_003</t>
        </is>
      </c>
      <c r="C227" t="inlineStr">
        <is>
          <t>Cali</t>
        </is>
      </c>
      <c r="D227" t="inlineStr">
        <is>
          <t>TRANSPORTADORA_003</t>
        </is>
      </c>
      <c r="E227" s="23" t="n">
        <v>46265</v>
      </c>
      <c r="F227" s="23" t="n">
        <v>46271</v>
      </c>
      <c r="G227" t="inlineStr">
        <is>
          <t>No</t>
        </is>
      </c>
      <c r="H227" s="25" t="n">
        <v>5000</v>
      </c>
      <c r="I227" s="26" t="n">
        <v>249001880</v>
      </c>
      <c r="J227" s="26" t="n">
        <v>65474588</v>
      </c>
      <c r="K227" s="26" t="n">
        <v>141883034</v>
      </c>
      <c r="L227" s="26">
        <f>J227-K227</f>
        <v>-76408446</v>
      </c>
      <c r="M227" s="26">
        <f>I227+L227</f>
        <v>172593434</v>
      </c>
      <c r="N227" s="26" t="n">
        <v>249000000</v>
      </c>
      <c r="O227" s="26" t="n">
        <v>4136750000</v>
      </c>
      <c r="P227" s="26">
        <f>MAX(0,N227-M227)</f>
        <v>76406566</v>
      </c>
      <c r="Q227" s="26">
        <f>MAX(0,M227-O227)</f>
        <v>0</v>
      </c>
      <c r="R227" t="inlineStr">
        <is>
          <t>bajo</t>
        </is>
      </c>
      <c r="S227" t="inlineStr">
        <is>
          <t>traslado_fondos</t>
        </is>
      </c>
      <c r="T227" t="inlineStr">
        <is>
          <t>entrada</t>
        </is>
      </c>
      <c r="U227" s="26" t="n">
        <v>76410000</v>
      </c>
      <c r="V227" t="inlineStr">
        <is>
          <t>CALI|TRANSPORTADORA_001</t>
        </is>
      </c>
      <c r="W227" t="inlineStr">
        <is>
          <t>CALI|TRANSPORTADORA_003</t>
        </is>
      </c>
      <c r="X227" s="26">
        <f>IF(T227="entrada",M227+U227,IF(T227="salida",M227-U227,M227))</f>
        <v>249003434</v>
      </c>
      <c r="Y227" s="26" t="n">
        <v>0</v>
      </c>
      <c r="Z227" t="inlineStr">
        <is>
          <t>Menor costo neto entre las alternativas que cubren la necesidad completa</t>
        </is>
      </c>
      <c r="AA227" t="inlineStr">
        <is>
          <t>SUP-08, SUP-10</t>
        </is>
      </c>
      <c r="AB227" t="inlineStr">
        <is>
          <t>Faltante de $76.406.566 en la denominacion 5000: saldo $172.593.434 bajo el minimo $249.000.000. Elegida: traslado con CALI|TRANSPORTADORA_001 ($76.410.000; costo $0). Es preferible porque tiene el menor costo neto. Otras alternativas: traslado con CALI|TRANSPORTADORA_002 ($76.410.000; costo $0); traslado con CALI|TRANSPORTADORA_004 ($9.520.000; costo $0, cubre solo una parte); traslado con IPIALES|TRANSPORTADORA_002 ($76.410.000; costo $229.109); traslado con PASTO|TRANSPORTADORA_001 ($76.410.000; costo $881.196); retiro BanRep: dia no habil (sabado, domingo o festivo; RN-71A); cambio de denominacion: dia no habil (sabado, domingo o festivo; RN-71A).</t>
        </is>
      </c>
      <c r="AC227" t="inlineStr">
        <is>
          <t>Cierre del dia anterior (saldo encadenado, RN-71)</t>
        </is>
      </c>
      <c r="AD227" t="inlineStr">
        <is>
          <t>estimada</t>
        </is>
      </c>
      <c r="AE227" t="inlineStr">
        <is>
          <t>Participacion historica por denominacion (SUP-09)</t>
        </is>
      </c>
    </row>
    <row r="228">
      <c r="A228" t="inlineStr">
        <is>
          <t>PRAGMA</t>
        </is>
      </c>
      <c r="B228" t="inlineStr">
        <is>
          <t>CALI|TRANSPORTADORA_003</t>
        </is>
      </c>
      <c r="C228" t="inlineStr">
        <is>
          <t>Cali</t>
        </is>
      </c>
      <c r="D228" t="inlineStr">
        <is>
          <t>TRANSPORTADORA_003</t>
        </is>
      </c>
      <c r="E228" s="23" t="n">
        <v>46265</v>
      </c>
      <c r="F228" s="23" t="n">
        <v>46272</v>
      </c>
      <c r="G228" t="inlineStr">
        <is>
          <t>Sí</t>
        </is>
      </c>
      <c r="H228" s="25" t="n">
        <v>5000</v>
      </c>
      <c r="I228" s="26" t="n">
        <v>249003434</v>
      </c>
      <c r="J228" s="26" t="n">
        <v>221709921</v>
      </c>
      <c r="K228" s="26" t="n">
        <v>224862060</v>
      </c>
      <c r="L228" s="26">
        <f>J228-K228</f>
        <v>-3152139</v>
      </c>
      <c r="M228" s="26">
        <f>I228+L228</f>
        <v>245851295</v>
      </c>
      <c r="N228" s="26" t="n">
        <v>249000000</v>
      </c>
      <c r="O228" s="26" t="n">
        <v>4136750000</v>
      </c>
      <c r="P228" s="26">
        <f>MAX(0,N228-M228)</f>
        <v>3148705</v>
      </c>
      <c r="Q228" s="26">
        <f>MAX(0,M228-O228)</f>
        <v>0</v>
      </c>
      <c r="R228" t="inlineStr">
        <is>
          <t>bajo</t>
        </is>
      </c>
      <c r="S228" t="inlineStr">
        <is>
          <t>traslado_fondos</t>
        </is>
      </c>
      <c r="T228" t="inlineStr">
        <is>
          <t>entrada</t>
        </is>
      </c>
      <c r="U228" s="26" t="n">
        <v>3150000</v>
      </c>
      <c r="V228" t="inlineStr">
        <is>
          <t>CALI|TRANSPORTADORA_001</t>
        </is>
      </c>
      <c r="W228" t="inlineStr">
        <is>
          <t>CALI|TRANSPORTADORA_003</t>
        </is>
      </c>
      <c r="X228" s="26">
        <f>IF(T228="entrada",M228+U228,IF(T228="salida",M228-U228,M228))</f>
        <v>249001295</v>
      </c>
      <c r="Y228" s="26" t="n">
        <v>0</v>
      </c>
      <c r="Z228" t="inlineStr">
        <is>
          <t>Menor costo neto entre las alternativas que cubren la necesidad completa</t>
        </is>
      </c>
      <c r="AA228" t="inlineStr">
        <is>
          <t>SUP-08, SUP-10</t>
        </is>
      </c>
      <c r="AB228" t="inlineStr">
        <is>
          <t>Faltante de $3.148.705 en la denominacion 5000: saldo $245.851.295 bajo el minimo $249.000.000. Elegida: traslado con CALI|TRANSPORTADORA_001 ($3.150.000; costo $0). Es preferible porque tiene el menor costo neto. Otras alternativas: traslado con CALI|TRANSPORTADORA_002 ($3.150.000; costo $0); traslado con CALI|TRANSPORTADORA_004 ($3.150.000; costo $0); retiro BanRep ($3.150.000; costo $128.152); traslado con IPIALES|TRANSPORTADORA_002 ($3.150.000; costo $165.226); traslado con PASTO|TRANSPORTADORA_001 ($3.150.000; costo $811.087); cambio de denominacion: ninguna otra denominacion del fondo supera su maximo.</t>
        </is>
      </c>
      <c r="AC228" t="inlineStr">
        <is>
          <t>Cierre del dia anterior (saldo encadenado, RN-71)</t>
        </is>
      </c>
      <c r="AD228" t="inlineStr">
        <is>
          <t>estimada</t>
        </is>
      </c>
      <c r="AE228" t="inlineStr">
        <is>
          <t>Participacion historica por denominacion (SUP-09)</t>
        </is>
      </c>
    </row>
    <row r="229">
      <c r="A229" t="inlineStr">
        <is>
          <t>PRAGMA</t>
        </is>
      </c>
      <c r="B229" t="inlineStr">
        <is>
          <t>CALI|TRANSPORTADORA_003</t>
        </is>
      </c>
      <c r="C229" t="inlineStr">
        <is>
          <t>Cali</t>
        </is>
      </c>
      <c r="D229" t="inlineStr">
        <is>
          <t>TRANSPORTADORA_003</t>
        </is>
      </c>
      <c r="E229" s="23" t="n">
        <v>46265</v>
      </c>
      <c r="F229" s="23" t="n">
        <v>46273</v>
      </c>
      <c r="G229" t="inlineStr">
        <is>
          <t>Sí</t>
        </is>
      </c>
      <c r="H229" s="25" t="n">
        <v>5000</v>
      </c>
      <c r="I229" s="26" t="n">
        <v>249001295</v>
      </c>
      <c r="J229" s="26" t="n">
        <v>319739855</v>
      </c>
      <c r="K229" s="26" t="n">
        <v>225999923</v>
      </c>
      <c r="L229" s="26">
        <f>J229-K229</f>
        <v>93739932</v>
      </c>
      <c r="M229" s="26">
        <f>I229+L229</f>
        <v>342741227</v>
      </c>
      <c r="N229" s="26" t="n">
        <v>249000000</v>
      </c>
      <c r="O229" s="26" t="n">
        <v>4136750000</v>
      </c>
      <c r="P229" s="26">
        <f>MAX(0,N229-M229)</f>
        <v>0</v>
      </c>
      <c r="Q229" s="26">
        <f>MAX(0,M229-O229)</f>
        <v>0</v>
      </c>
      <c r="R229" t="inlineStr">
        <is>
          <t>bajo</t>
        </is>
      </c>
      <c r="S229" t="inlineStr">
        <is>
          <t>sin_accion</t>
        </is>
      </c>
      <c r="T229" t="inlineStr">
        <is>
          <t>ninguno</t>
        </is>
      </c>
      <c r="U229" s="26" t="n">
        <v>0</v>
      </c>
      <c r="X229" s="26">
        <f>IF(T229="entrada",M229+U229,IF(T229="salida",M229-U229,M229))</f>
        <v>342741227</v>
      </c>
      <c r="Y229" s="26" t="n">
        <v>0</v>
      </c>
      <c r="Z229" t="inlineStr">
        <is>
          <t>RN-85: dentro de niveles objetivo (sin_accion)</t>
        </is>
      </c>
      <c r="AA229" t="inlineStr">
        <is>
          <t>SUP-07, SUP-10</t>
        </is>
      </c>
      <c r="AB229" t="inlineStr">
        <is>
          <t>Saldo dentro del rango objetivo; sin accion.</t>
        </is>
      </c>
      <c r="AC229" t="inlineStr">
        <is>
          <t>Cierre del dia anterior (saldo encadenado, RN-71)</t>
        </is>
      </c>
      <c r="AD229" t="inlineStr">
        <is>
          <t>estimada</t>
        </is>
      </c>
      <c r="AE229" t="inlineStr">
        <is>
          <t>Participacion historica por denominacion (SUP-09)</t>
        </is>
      </c>
    </row>
    <row r="230">
      <c r="A230" t="inlineStr">
        <is>
          <t>PRAGMA</t>
        </is>
      </c>
      <c r="B230" t="inlineStr">
        <is>
          <t>CALI|TRANSPORTADORA_003</t>
        </is>
      </c>
      <c r="C230" t="inlineStr">
        <is>
          <t>Cali</t>
        </is>
      </c>
      <c r="D230" t="inlineStr">
        <is>
          <t>TRANSPORTADORA_003</t>
        </is>
      </c>
      <c r="E230" s="23" t="n">
        <v>46265</v>
      </c>
      <c r="F230" s="23" t="n">
        <v>46274</v>
      </c>
      <c r="G230" t="inlineStr">
        <is>
          <t>Sí</t>
        </is>
      </c>
      <c r="H230" s="25" t="n">
        <v>5000</v>
      </c>
      <c r="I230" s="26" t="n">
        <v>342741228</v>
      </c>
      <c r="J230" s="26" t="n">
        <v>299718451</v>
      </c>
      <c r="K230" s="26" t="n">
        <v>222982798</v>
      </c>
      <c r="L230" s="26">
        <f>J230-K230</f>
        <v>76735653</v>
      </c>
      <c r="M230" s="26">
        <f>I230+L230</f>
        <v>419476881</v>
      </c>
      <c r="N230" s="26" t="n">
        <v>249000000</v>
      </c>
      <c r="O230" s="26" t="n">
        <v>4136750000</v>
      </c>
      <c r="P230" s="26">
        <f>MAX(0,N230-M230)</f>
        <v>0</v>
      </c>
      <c r="Q230" s="26">
        <f>MAX(0,M230-O230)</f>
        <v>0</v>
      </c>
      <c r="R230" t="inlineStr">
        <is>
          <t>bajo</t>
        </is>
      </c>
      <c r="S230" t="inlineStr">
        <is>
          <t>traslado_fondos</t>
        </is>
      </c>
      <c r="T230" t="inlineStr">
        <is>
          <t>entrada</t>
        </is>
      </c>
      <c r="U230" s="26" t="n">
        <v>265000</v>
      </c>
      <c r="V230" t="inlineStr">
        <is>
          <t>CALI|TRANSPORTADORA_004</t>
        </is>
      </c>
      <c r="W230" t="inlineStr">
        <is>
          <t>CALI|TRANSPORTADORA_003</t>
        </is>
      </c>
      <c r="X230" s="26">
        <f>IF(T230="entrada",M230+U230,IF(T230="salida",M230-U230,M230))</f>
        <v>419741881</v>
      </c>
      <c r="Y230" s="26" t="n">
        <v>0</v>
      </c>
      <c r="Z230" t="inlineStr">
        <is>
          <t>Menor costo neto entre las alternativas que cubren la necesidad completa</t>
        </is>
      </c>
      <c r="AA230" t="inlineStr">
        <is>
          <t>SUP-08, SUP-10</t>
        </is>
      </c>
      <c r="AB230" t="inlineStr">
        <is>
          <t>Contraparte del traslado P00067 en la denominacion 5000: recibe $265.000 de CALI|TRANSPORTADORA_004. Saldo de esta fila: $419.476.881 antes y $419.741.881 despues (minimo $249.000.000, maximo $4.136.750.000). Necesidad que la origina, en CALI|TRANSPORTADORA_004: Excedente de $262.357 en la denominacion 5000: saldo $10.084.857 sobre el maximo $9.822.500. Elegida: traslado con CALI|TRANSPORTADORA_003 ($265.000; costo $0). Es preferible porque tiene el menor costo neto. Otras alternativas: conservar ($265.000; costo de almacenar $19); consignacion BanRep ($265.000; costo $120.836); venta: no habilitada en este fondo (sin historico o fuera de las ciudades BanRep).</t>
        </is>
      </c>
      <c r="AC230" t="inlineStr">
        <is>
          <t>Cierre del dia anterior (saldo encadenado, RN-71)</t>
        </is>
      </c>
      <c r="AD230" t="inlineStr">
        <is>
          <t>estimada</t>
        </is>
      </c>
      <c r="AE230" t="inlineStr">
        <is>
          <t>Participacion historica por denominacion (SUP-09)</t>
        </is>
      </c>
    </row>
    <row r="231">
      <c r="A231" t="inlineStr">
        <is>
          <t>PRAGMA</t>
        </is>
      </c>
      <c r="B231" t="inlineStr">
        <is>
          <t>CALI|TRANSPORTADORA_003</t>
        </is>
      </c>
      <c r="C231" t="inlineStr">
        <is>
          <t>Cali</t>
        </is>
      </c>
      <c r="D231" t="inlineStr">
        <is>
          <t>TRANSPORTADORA_003</t>
        </is>
      </c>
      <c r="E231" s="23" t="n">
        <v>46265</v>
      </c>
      <c r="F231" s="23" t="n">
        <v>46275</v>
      </c>
      <c r="G231" t="inlineStr">
        <is>
          <t>Sí</t>
        </is>
      </c>
      <c r="H231" s="25" t="n">
        <v>5000</v>
      </c>
      <c r="I231" s="26" t="n">
        <v>419741881</v>
      </c>
      <c r="J231" s="26" t="n">
        <v>298434588</v>
      </c>
      <c r="K231" s="26" t="n">
        <v>203913651</v>
      </c>
      <c r="L231" s="26">
        <f>J231-K231</f>
        <v>94520937</v>
      </c>
      <c r="M231" s="26">
        <f>I231+L231</f>
        <v>514262818</v>
      </c>
      <c r="N231" s="26" t="n">
        <v>249000000</v>
      </c>
      <c r="O231" s="26" t="n">
        <v>4136750000</v>
      </c>
      <c r="P231" s="26">
        <f>MAX(0,N231-M231)</f>
        <v>0</v>
      </c>
      <c r="Q231" s="26">
        <f>MAX(0,M231-O231)</f>
        <v>0</v>
      </c>
      <c r="R231" t="inlineStr">
        <is>
          <t>bajo</t>
        </is>
      </c>
      <c r="S231" t="inlineStr">
        <is>
          <t>traslado_fondos</t>
        </is>
      </c>
      <c r="T231" t="inlineStr">
        <is>
          <t>entrada</t>
        </is>
      </c>
      <c r="U231" s="26" t="n">
        <v>220000</v>
      </c>
      <c r="V231" t="inlineStr">
        <is>
          <t>CALI|TRANSPORTADORA_004</t>
        </is>
      </c>
      <c r="W231" t="inlineStr">
        <is>
          <t>CALI|TRANSPORTADORA_003</t>
        </is>
      </c>
      <c r="X231" s="26">
        <f>IF(T231="entrada",M231+U231,IF(T231="salida",M231-U231,M231))</f>
        <v>514482818</v>
      </c>
      <c r="Y231" s="26" t="n">
        <v>0</v>
      </c>
      <c r="Z231" t="inlineStr">
        <is>
          <t>Menor costo neto entre las alternativas que cubren la necesidad completa</t>
        </is>
      </c>
      <c r="AA231" t="inlineStr">
        <is>
          <t>SUP-08, SUP-10</t>
        </is>
      </c>
      <c r="AB231" t="inlineStr">
        <is>
          <t>Contraparte del traslado P00072 en la denominacion 5000: recibe $220.000 de CALI|TRANSPORTADORA_004. Saldo de esta fila: $514.262.817 antes y $514.482.817 despues (minimo $249.000.000, maximo $4.136.750.000). Necesidad que la origina, en CALI|TRANSPORTADORA_004: Excedente de $218.103 en la denominacion 5000: saldo $10.040.603 sobre el maximo $9.822.500. Elegida: traslado con CALI|TRANSPORTADORA_003 ($220.000; costo $0). Es preferible porque tiene el menor costo neto. Otras alternativas: conservar ($220.000; costo de almacenar $14); consignacion BanRep ($220.000; costo $120.824); venta: no habilitada en este fondo (sin historico o fuera de las ciudades BanRep).</t>
        </is>
      </c>
      <c r="AC231" t="inlineStr">
        <is>
          <t>Cierre del dia anterior (saldo encadenado, RN-71)</t>
        </is>
      </c>
      <c r="AD231" t="inlineStr">
        <is>
          <t>estimada</t>
        </is>
      </c>
      <c r="AE231" t="inlineStr">
        <is>
          <t>Participacion historica por denominacion (SUP-09)</t>
        </is>
      </c>
    </row>
    <row r="232">
      <c r="A232" t="inlineStr">
        <is>
          <t>PRAGMA</t>
        </is>
      </c>
      <c r="B232" t="inlineStr">
        <is>
          <t>CALI|TRANSPORTADORA_003</t>
        </is>
      </c>
      <c r="C232" t="inlineStr">
        <is>
          <t>Cali</t>
        </is>
      </c>
      <c r="D232" t="inlineStr">
        <is>
          <t>TRANSPORTADORA_003</t>
        </is>
      </c>
      <c r="E232" s="23" t="n">
        <v>46265</v>
      </c>
      <c r="F232" s="23" t="n">
        <v>46276</v>
      </c>
      <c r="G232" t="inlineStr">
        <is>
          <t>Sí</t>
        </is>
      </c>
      <c r="H232" s="25" t="n">
        <v>5000</v>
      </c>
      <c r="I232" s="26" t="n">
        <v>514482817</v>
      </c>
      <c r="J232" s="26" t="n">
        <v>243417282</v>
      </c>
      <c r="K232" s="26" t="n">
        <v>229329398</v>
      </c>
      <c r="L232" s="26">
        <f>J232-K232</f>
        <v>14087884</v>
      </c>
      <c r="M232" s="26">
        <f>I232+L232</f>
        <v>528570701</v>
      </c>
      <c r="N232" s="26" t="n">
        <v>249000000</v>
      </c>
      <c r="O232" s="26" t="n">
        <v>4136750000</v>
      </c>
      <c r="P232" s="26">
        <f>MAX(0,N232-M232)</f>
        <v>0</v>
      </c>
      <c r="Q232" s="26">
        <f>MAX(0,M232-O232)</f>
        <v>0</v>
      </c>
      <c r="R232" t="inlineStr">
        <is>
          <t>bajo</t>
        </is>
      </c>
      <c r="S232" t="inlineStr">
        <is>
          <t>traslado_fondos</t>
        </is>
      </c>
      <c r="T232" t="inlineStr">
        <is>
          <t>entrada</t>
        </is>
      </c>
      <c r="U232" s="26" t="n">
        <v>170000</v>
      </c>
      <c r="V232" t="inlineStr">
        <is>
          <t>CALI|TRANSPORTADORA_004</t>
        </is>
      </c>
      <c r="W232" t="inlineStr">
        <is>
          <t>CALI|TRANSPORTADORA_003</t>
        </is>
      </c>
      <c r="X232" s="26">
        <f>IF(T232="entrada",M232+U232,IF(T232="salida",M232-U232,M232))</f>
        <v>528740701</v>
      </c>
      <c r="Y232" s="26" t="n">
        <v>0</v>
      </c>
      <c r="Z232" t="inlineStr">
        <is>
          <t>Menor costo neto entre las alternativas que cubren la necesidad completa</t>
        </is>
      </c>
      <c r="AA232" t="inlineStr">
        <is>
          <t>SUP-08, SUP-10</t>
        </is>
      </c>
      <c r="AB232" t="inlineStr">
        <is>
          <t>Contraparte del traslado P00077 en la denominacion 5000: recibe $170.000 de CALI|TRANSPORTADORA_004. Saldo de esta fila: $528.570.701 antes y $528.740.701 despues (minimo $249.000.000, maximo $4.136.750.000). Necesidad que la origina, en CALI|TRANSPORTADORA_004: Excedente de $169.801 en la denominacion 5000: saldo $9.992.301 sobre el maximo $9.822.500. Elegida: traslado con CALI|TRANSPORTADORA_003 ($170.000; costo $0). Es preferible porque tiene el menor costo neto. Otras alternativas: conservar ($170.000; costo de almacenar $9); consignacion BanRep ($170.000; costo $120.810); venta: no habilitada en este fondo (sin historico o fuera de las ciudades BanRep).</t>
        </is>
      </c>
      <c r="AC232" t="inlineStr">
        <is>
          <t>Cierre del dia anterior (saldo encadenado, RN-71)</t>
        </is>
      </c>
      <c r="AD232" t="inlineStr">
        <is>
          <t>estimada</t>
        </is>
      </c>
      <c r="AE232" t="inlineStr">
        <is>
          <t>Participacion historica por denominacion (SUP-09)</t>
        </is>
      </c>
    </row>
    <row r="233">
      <c r="A233" t="inlineStr">
        <is>
          <t>PRAGMA</t>
        </is>
      </c>
      <c r="B233" t="inlineStr">
        <is>
          <t>CALI|TRANSPORTADORA_003</t>
        </is>
      </c>
      <c r="C233" t="inlineStr">
        <is>
          <t>Cali</t>
        </is>
      </c>
      <c r="D233" t="inlineStr">
        <is>
          <t>TRANSPORTADORA_003</t>
        </is>
      </c>
      <c r="E233" s="23" t="n">
        <v>46265</v>
      </c>
      <c r="F233" s="23" t="n">
        <v>46277</v>
      </c>
      <c r="G233" t="inlineStr">
        <is>
          <t>No</t>
        </is>
      </c>
      <c r="H233" s="25" t="n">
        <v>5000</v>
      </c>
      <c r="I233" s="26" t="n">
        <v>528740701</v>
      </c>
      <c r="J233" s="26" t="n">
        <v>131097173</v>
      </c>
      <c r="K233" s="26" t="n">
        <v>193762789</v>
      </c>
      <c r="L233" s="26">
        <f>J233-K233</f>
        <v>-62665616</v>
      </c>
      <c r="M233" s="26">
        <f>I233+L233</f>
        <v>466075085</v>
      </c>
      <c r="N233" s="26" t="n">
        <v>249000000</v>
      </c>
      <c r="O233" s="26" t="n">
        <v>4136750000</v>
      </c>
      <c r="P233" s="26">
        <f>MAX(0,N233-M233)</f>
        <v>0</v>
      </c>
      <c r="Q233" s="26">
        <f>MAX(0,M233-O233)</f>
        <v>0</v>
      </c>
      <c r="R233" t="inlineStr">
        <is>
          <t>bajo</t>
        </is>
      </c>
      <c r="S233" t="inlineStr">
        <is>
          <t>sin_accion</t>
        </is>
      </c>
      <c r="T233" t="inlineStr">
        <is>
          <t>ninguno</t>
        </is>
      </c>
      <c r="U233" s="26" t="n">
        <v>0</v>
      </c>
      <c r="X233" s="26">
        <f>IF(T233="entrada",M233+U233,IF(T233="salida",M233-U233,M233))</f>
        <v>466075085</v>
      </c>
      <c r="Y233" s="26" t="n">
        <v>0</v>
      </c>
      <c r="Z233" t="inlineStr">
        <is>
          <t>RN-85: dentro de niveles objetivo (sin_accion)</t>
        </is>
      </c>
      <c r="AA233" t="inlineStr">
        <is>
          <t>SUP-07, SUP-10</t>
        </is>
      </c>
      <c r="AB233" t="inlineStr">
        <is>
          <t>Saldo dentro del rango objetivo; sin accion.</t>
        </is>
      </c>
      <c r="AC233" t="inlineStr">
        <is>
          <t>Cierre del dia anterior (saldo encadenado, RN-71)</t>
        </is>
      </c>
      <c r="AD233" t="inlineStr">
        <is>
          <t>estimada</t>
        </is>
      </c>
      <c r="AE233" t="inlineStr">
        <is>
          <t>Participacion historica por denominacion (SUP-09)</t>
        </is>
      </c>
    </row>
    <row r="234">
      <c r="A234" t="inlineStr">
        <is>
          <t>PRAGMA</t>
        </is>
      </c>
      <c r="B234" t="inlineStr">
        <is>
          <t>CALI|TRANSPORTADORA_003</t>
        </is>
      </c>
      <c r="C234" t="inlineStr">
        <is>
          <t>Cali</t>
        </is>
      </c>
      <c r="D234" t="inlineStr">
        <is>
          <t>TRANSPORTADORA_003</t>
        </is>
      </c>
      <c r="E234" s="23" t="n">
        <v>46265</v>
      </c>
      <c r="F234" s="23" t="n">
        <v>46278</v>
      </c>
      <c r="G234" t="inlineStr">
        <is>
          <t>No</t>
        </is>
      </c>
      <c r="H234" s="25" t="n">
        <v>5000</v>
      </c>
      <c r="I234" s="26" t="n">
        <v>466075086</v>
      </c>
      <c r="J234" s="26" t="n">
        <v>53663526</v>
      </c>
      <c r="K234" s="26" t="n">
        <v>107626605</v>
      </c>
      <c r="L234" s="26">
        <f>J234-K234</f>
        <v>-53963079</v>
      </c>
      <c r="M234" s="26">
        <f>I234+L234</f>
        <v>412112007</v>
      </c>
      <c r="N234" s="26" t="n">
        <v>249000000</v>
      </c>
      <c r="O234" s="26" t="n">
        <v>4136750000</v>
      </c>
      <c r="P234" s="26">
        <f>MAX(0,N234-M234)</f>
        <v>0</v>
      </c>
      <c r="Q234" s="26">
        <f>MAX(0,M234-O234)</f>
        <v>0</v>
      </c>
      <c r="R234" t="inlineStr">
        <is>
          <t>bajo</t>
        </is>
      </c>
      <c r="S234" t="inlineStr">
        <is>
          <t>sin_accion</t>
        </is>
      </c>
      <c r="T234" t="inlineStr">
        <is>
          <t>ninguno</t>
        </is>
      </c>
      <c r="U234" s="26" t="n">
        <v>0</v>
      </c>
      <c r="X234" s="26">
        <f>IF(T234="entrada",M234+U234,IF(T234="salida",M234-U234,M234))</f>
        <v>412112007</v>
      </c>
      <c r="Y234" s="26" t="n">
        <v>0</v>
      </c>
      <c r="Z234" t="inlineStr">
        <is>
          <t>RN-85: dentro de niveles objetivo (sin_accion)</t>
        </is>
      </c>
      <c r="AA234" t="inlineStr">
        <is>
          <t>SUP-07, SUP-10</t>
        </is>
      </c>
      <c r="AB234" t="inlineStr">
        <is>
          <t>Saldo dentro del rango objetivo; sin accion.</t>
        </is>
      </c>
      <c r="AC234" t="inlineStr">
        <is>
          <t>Cierre del dia anterior (saldo encadenado, RN-71)</t>
        </is>
      </c>
      <c r="AD234" t="inlineStr">
        <is>
          <t>estimada</t>
        </is>
      </c>
      <c r="AE234" t="inlineStr">
        <is>
          <t>Participacion historica por denominacion (SUP-09)</t>
        </is>
      </c>
    </row>
    <row r="235">
      <c r="A235" t="inlineStr">
        <is>
          <t>PRAGMA</t>
        </is>
      </c>
      <c r="B235" t="inlineStr">
        <is>
          <t>CALI|TRANSPORTADORA_003</t>
        </is>
      </c>
      <c r="C235" t="inlineStr">
        <is>
          <t>Cali</t>
        </is>
      </c>
      <c r="D235" t="inlineStr">
        <is>
          <t>TRANSPORTADORA_003</t>
        </is>
      </c>
      <c r="E235" s="23" t="n">
        <v>46265</v>
      </c>
      <c r="F235" s="23" t="n">
        <v>46279</v>
      </c>
      <c r="G235" t="inlineStr">
        <is>
          <t>Sí</t>
        </is>
      </c>
      <c r="H235" s="25" t="n">
        <v>5000</v>
      </c>
      <c r="I235" s="26" t="n">
        <v>412112007</v>
      </c>
      <c r="J235" s="26" t="n">
        <v>217159222</v>
      </c>
      <c r="K235" s="26" t="n">
        <v>218433473</v>
      </c>
      <c r="L235" s="26">
        <f>J235-K235</f>
        <v>-1274251</v>
      </c>
      <c r="M235" s="26">
        <f>I235+L235</f>
        <v>410837756</v>
      </c>
      <c r="N235" s="26" t="n">
        <v>249000000</v>
      </c>
      <c r="O235" s="26" t="n">
        <v>4136750000</v>
      </c>
      <c r="P235" s="26">
        <f>MAX(0,N235-M235)</f>
        <v>0</v>
      </c>
      <c r="Q235" s="26">
        <f>MAX(0,M235-O235)</f>
        <v>0</v>
      </c>
      <c r="R235" t="inlineStr">
        <is>
          <t>bajo</t>
        </is>
      </c>
      <c r="S235" t="inlineStr">
        <is>
          <t>traslado_fondos</t>
        </is>
      </c>
      <c r="T235" t="inlineStr">
        <is>
          <t>entrada</t>
        </is>
      </c>
      <c r="U235" s="26" t="n">
        <v>320000</v>
      </c>
      <c r="V235" t="inlineStr">
        <is>
          <t>CALI|TRANSPORTADORA_004</t>
        </is>
      </c>
      <c r="W235" t="inlineStr">
        <is>
          <t>CALI|TRANSPORTADORA_003</t>
        </is>
      </c>
      <c r="X235" s="26">
        <f>IF(T235="entrada",M235+U235,IF(T235="salida",M235-U235,M235))</f>
        <v>411157756</v>
      </c>
      <c r="Y235" s="26" t="n">
        <v>0</v>
      </c>
      <c r="Z235" t="inlineStr">
        <is>
          <t>Menor costo neto entre las alternativas que cubren la necesidad completa</t>
        </is>
      </c>
      <c r="AA235" t="inlineStr">
        <is>
          <t>SUP-08, SUP-10</t>
        </is>
      </c>
      <c r="AB235" t="inlineStr">
        <is>
          <t>Contraparte del traslado P00093 en la denominacion 5000: recibe $320.000 de CALI|TRANSPORTADORA_004. Saldo de esta fila: $410.837.756 antes y $411.157.756 despues (minimo $249.000.000, maximo $4.136.750.000). Necesidad que la origina, en CALI|TRANSPORTADORA_004: Excedente de $315.663 en la denominacion 5000: saldo $10.138.163 sobre el maximo $9.822.500. Elegida: traslado con CALI|TRANSPORTADORA_003 ($320.000; costo $0). Es preferible porque tiene el menor costo neto. Otras alternativas: conservar ($320.000; costo de almacenar $7); consignacion BanRep ($320.000; costo $120.851); venta: no habilitada en este fondo (sin historico o fuera de las ciudades BanRep).</t>
        </is>
      </c>
      <c r="AC235" t="inlineStr">
        <is>
          <t>Cierre del dia anterior (saldo encadenado, RN-71)</t>
        </is>
      </c>
      <c r="AD235" t="inlineStr">
        <is>
          <t>estimada</t>
        </is>
      </c>
      <c r="AE235" t="inlineStr">
        <is>
          <t>Participacion historica por denominacion (SUP-09)</t>
        </is>
      </c>
    </row>
    <row r="236">
      <c r="A236" t="inlineStr">
        <is>
          <t>PRAGMA</t>
        </is>
      </c>
      <c r="B236" t="inlineStr">
        <is>
          <t>CALI|TRANSPORTADORA_003</t>
        </is>
      </c>
      <c r="C236" t="inlineStr">
        <is>
          <t>Cali</t>
        </is>
      </c>
      <c r="D236" t="inlineStr">
        <is>
          <t>TRANSPORTADORA_003</t>
        </is>
      </c>
      <c r="E236" s="23" t="n">
        <v>46265</v>
      </c>
      <c r="F236" s="23" t="n">
        <v>46280</v>
      </c>
      <c r="G236" t="inlineStr">
        <is>
          <t>Sí</t>
        </is>
      </c>
      <c r="H236" s="25" t="n">
        <v>5000</v>
      </c>
      <c r="I236" s="26" t="n">
        <v>411157756</v>
      </c>
      <c r="J236" s="26" t="n">
        <v>324479686</v>
      </c>
      <c r="K236" s="26" t="n">
        <v>302866791</v>
      </c>
      <c r="L236" s="26">
        <f>J236-K236</f>
        <v>21612895</v>
      </c>
      <c r="M236" s="26">
        <f>I236+L236</f>
        <v>432770651</v>
      </c>
      <c r="N236" s="26" t="n">
        <v>249000000</v>
      </c>
      <c r="O236" s="26" t="n">
        <v>4136750000</v>
      </c>
      <c r="P236" s="26">
        <f>MAX(0,N236-M236)</f>
        <v>0</v>
      </c>
      <c r="Q236" s="26">
        <f>MAX(0,M236-O236)</f>
        <v>0</v>
      </c>
      <c r="R236" t="inlineStr">
        <is>
          <t>bajo</t>
        </is>
      </c>
      <c r="S236" t="inlineStr">
        <is>
          <t>traslado_fondos</t>
        </is>
      </c>
      <c r="T236" t="inlineStr">
        <is>
          <t>entrada</t>
        </is>
      </c>
      <c r="U236" s="26" t="n">
        <v>200000</v>
      </c>
      <c r="V236" t="inlineStr">
        <is>
          <t>CALI|TRANSPORTADORA_004</t>
        </is>
      </c>
      <c r="W236" t="inlineStr">
        <is>
          <t>CALI|TRANSPORTADORA_003</t>
        </is>
      </c>
      <c r="X236" s="26">
        <f>IF(T236="entrada",M236+U236,IF(T236="salida",M236-U236,M236))</f>
        <v>432970651</v>
      </c>
      <c r="Y236" s="26" t="n">
        <v>0</v>
      </c>
      <c r="Z236" t="inlineStr">
        <is>
          <t>Menor costo neto entre las alternativas que cubren la necesidad completa</t>
        </is>
      </c>
      <c r="AA236" t="inlineStr">
        <is>
          <t>SUP-08, SUP-10</t>
        </is>
      </c>
      <c r="AB236" t="inlineStr">
        <is>
          <t>Contraparte del traslado P00099 en la denominacion 5000: recibe $200.000 de CALI|TRANSPORTADORA_004. Saldo de esta fila: $432.770.651 antes y $432.970.651 despues (minimo $249.000.000, maximo $4.136.750.000). Necesidad que la origina, en CALI|TRANSPORTADORA_004: Excedente de $198.874 en la denominacion 5000: saldo $10.021.374 sobre el maximo $9.822.500. Elegida: traslado con CALI|TRANSPORTADORA_003 ($200.000; costo $0). Es preferible porque tiene el menor costo neto. Otras alternativas: conservar ($200.000; costo de almacenar $2); consignacion BanRep ($200.000; costo $120.819); venta: no habilitada en este fondo (sin historico o fuera de las ciudades BanRep).</t>
        </is>
      </c>
      <c r="AC236" t="inlineStr">
        <is>
          <t>Cierre del dia anterior (saldo encadenado, RN-71)</t>
        </is>
      </c>
      <c r="AD236" t="inlineStr">
        <is>
          <t>estimada</t>
        </is>
      </c>
      <c r="AE236" t="inlineStr">
        <is>
          <t>Participacion historica por denominacion (SUP-09)</t>
        </is>
      </c>
    </row>
    <row r="237">
      <c r="A237" t="inlineStr">
        <is>
          <t>PRAGMA</t>
        </is>
      </c>
      <c r="B237" t="inlineStr">
        <is>
          <t>CALI|TRANSPORTADORA_003</t>
        </is>
      </c>
      <c r="C237" t="inlineStr">
        <is>
          <t>Cali</t>
        </is>
      </c>
      <c r="D237" t="inlineStr">
        <is>
          <t>TRANSPORTADORA_003</t>
        </is>
      </c>
      <c r="E237" s="23" t="n">
        <v>46265</v>
      </c>
      <c r="F237" s="23" t="n">
        <v>46266</v>
      </c>
      <c r="G237" t="inlineStr">
        <is>
          <t>Sí</t>
        </is>
      </c>
      <c r="H237" s="25" t="n">
        <v>10000</v>
      </c>
      <c r="I237" s="26" t="n">
        <v>811000000</v>
      </c>
      <c r="J237" s="26" t="n">
        <v>513158180</v>
      </c>
      <c r="K237" s="26" t="n">
        <v>610073467</v>
      </c>
      <c r="L237" s="26">
        <f>J237-K237</f>
        <v>-96915287</v>
      </c>
      <c r="M237" s="26">
        <f>I237+L237</f>
        <v>714084713</v>
      </c>
      <c r="N237" s="26" t="n">
        <v>1157000000</v>
      </c>
      <c r="O237" s="26" t="n">
        <v>3055500000</v>
      </c>
      <c r="P237" s="26">
        <f>MAX(0,N237-M237)</f>
        <v>442915287</v>
      </c>
      <c r="Q237" s="26">
        <f>MAX(0,M237-O237)</f>
        <v>0</v>
      </c>
      <c r="R237" t="inlineStr">
        <is>
          <t>bajo</t>
        </is>
      </c>
      <c r="S237" t="inlineStr">
        <is>
          <t>traslado_fondos</t>
        </is>
      </c>
      <c r="T237" t="inlineStr">
        <is>
          <t>entrada</t>
        </is>
      </c>
      <c r="U237" s="26" t="n">
        <v>442920000</v>
      </c>
      <c r="V237" t="inlineStr">
        <is>
          <t>CALI|TRANSPORTADORA_001</t>
        </is>
      </c>
      <c r="W237" t="inlineStr">
        <is>
          <t>CALI|TRANSPORTADORA_003</t>
        </is>
      </c>
      <c r="X237" s="26">
        <f>IF(T237="entrada",M237+U237,IF(T237="salida",M237-U237,M237))</f>
        <v>1157004713</v>
      </c>
      <c r="Y237" s="26" t="n">
        <v>0</v>
      </c>
      <c r="Z237" t="inlineStr">
        <is>
          <t>Menor costo neto entre las alternativas que cubren la necesidad completa</t>
        </is>
      </c>
      <c r="AA237" t="inlineStr">
        <is>
          <t>SUP-08, SUP-10</t>
        </is>
      </c>
      <c r="AB237" t="inlineStr">
        <is>
          <t>Faltante de $442.915.287 en la denominacion 10000: saldo $714.084.713 bajo el minimo $1.157.000.000. Elegida: traslado con CALI|TRANSPORTADORA_001 ($442.920.000; costo $0). Es preferible porque tiene el menor costo neto. Otras alternativas: traslado con CALI|TRANSPORTADORA_002 ($442.920.000; costo $0); traslado con CALI|TRANSPORTADORA_004 ($39.130.000; costo $0, cubre solo una parte); retiro BanRep ($442.920.000; costo $308.457); traslado con IPIALES|TRANSPORTADORA_002 ($442.920.000; costo $548.705); traslado con PASTO|TRANSPORTADORA_001 ($442.920.000; costo $1.231.946); cambio de denominacion: ninguna otra denominacion del fondo supera su maximo.</t>
        </is>
      </c>
      <c r="AC237" t="inlineStr">
        <is>
          <t>Ultimo disponible al 31/08/2026 (SUP-07)</t>
        </is>
      </c>
      <c r="AD237" t="inlineStr">
        <is>
          <t>estimada</t>
        </is>
      </c>
      <c r="AE237" t="inlineStr">
        <is>
          <t>Participacion historica por denominacion (SUP-09)</t>
        </is>
      </c>
    </row>
    <row r="238">
      <c r="A238" t="inlineStr">
        <is>
          <t>PRAGMA</t>
        </is>
      </c>
      <c r="B238" t="inlineStr">
        <is>
          <t>CALI|TRANSPORTADORA_003</t>
        </is>
      </c>
      <c r="C238" t="inlineStr">
        <is>
          <t>Cali</t>
        </is>
      </c>
      <c r="D238" t="inlineStr">
        <is>
          <t>TRANSPORTADORA_003</t>
        </is>
      </c>
      <c r="E238" s="23" t="n">
        <v>46265</v>
      </c>
      <c r="F238" s="23" t="n">
        <v>46267</v>
      </c>
      <c r="G238" t="inlineStr">
        <is>
          <t>Sí</t>
        </is>
      </c>
      <c r="H238" s="25" t="n">
        <v>10000</v>
      </c>
      <c r="I238" s="26" t="n">
        <v>1157004713</v>
      </c>
      <c r="J238" s="26" t="n">
        <v>440080852</v>
      </c>
      <c r="K238" s="26" t="n">
        <v>496790565</v>
      </c>
      <c r="L238" s="26">
        <f>J238-K238</f>
        <v>-56709713</v>
      </c>
      <c r="M238" s="26">
        <f>I238+L238</f>
        <v>1100295000</v>
      </c>
      <c r="N238" s="26" t="n">
        <v>1157000000</v>
      </c>
      <c r="O238" s="26" t="n">
        <v>3055500000</v>
      </c>
      <c r="P238" s="26">
        <f>MAX(0,N238-M238)</f>
        <v>56705000</v>
      </c>
      <c r="Q238" s="26">
        <f>MAX(0,M238-O238)</f>
        <v>0</v>
      </c>
      <c r="R238" t="inlineStr">
        <is>
          <t>bajo</t>
        </is>
      </c>
      <c r="S238" t="inlineStr">
        <is>
          <t>traslado_fondos</t>
        </is>
      </c>
      <c r="T238" t="inlineStr">
        <is>
          <t>entrada</t>
        </is>
      </c>
      <c r="U238" s="26" t="n">
        <v>56710000</v>
      </c>
      <c r="V238" t="inlineStr">
        <is>
          <t>CALI|TRANSPORTADORA_001</t>
        </is>
      </c>
      <c r="W238" t="inlineStr">
        <is>
          <t>CALI|TRANSPORTADORA_003</t>
        </is>
      </c>
      <c r="X238" s="26">
        <f>IF(T238="entrada",M238+U238,IF(T238="salida",M238-U238,M238))</f>
        <v>1157005000</v>
      </c>
      <c r="Y238" s="26" t="n">
        <v>0</v>
      </c>
      <c r="Z238" t="inlineStr">
        <is>
          <t>Menor costo neto entre las alternativas que cubren la necesidad completa</t>
        </is>
      </c>
      <c r="AA238" t="inlineStr">
        <is>
          <t>SUP-08, SUP-10</t>
        </is>
      </c>
      <c r="AB238" t="inlineStr">
        <is>
          <t>Faltante de $56.705.000 en la denominacion 10000: saldo $1.100.295.000 bajo el minimo $1.157.000.000. Elegida: traslado con CALI|TRANSPORTADORA_001 ($56.710.000; costo $0). Es preferible porque tiene el menor costo neto. Otras alternativas: traslado con CALI|TRANSPORTADORA_002 ($56.710.000; costo $0); traslado con CALI|TRANSPORTADORA_004 ($38.680.000; costo $0, cubre solo una parte); retiro BanRep ($56.710.000; costo $150.111); traslado con IPIALES|TRANSPORTADORA_002 ($56.710.000; costo $211.930); traslado con PASTO|TRANSPORTADORA_001 ($56.710.000; costo $862.343); cambio de denominacion: ninguna otra denominacion del fondo supera su maximo.</t>
        </is>
      </c>
      <c r="AC238" t="inlineStr">
        <is>
          <t>Cierre del dia anterior (saldo encadenado, RN-71)</t>
        </is>
      </c>
      <c r="AD238" t="inlineStr">
        <is>
          <t>estimada</t>
        </is>
      </c>
      <c r="AE238" t="inlineStr">
        <is>
          <t>Participacion historica por denominacion (SUP-09)</t>
        </is>
      </c>
    </row>
    <row r="239">
      <c r="A239" t="inlineStr">
        <is>
          <t>PRAGMA</t>
        </is>
      </c>
      <c r="B239" t="inlineStr">
        <is>
          <t>CALI|TRANSPORTADORA_003</t>
        </is>
      </c>
      <c r="C239" t="inlineStr">
        <is>
          <t>Cali</t>
        </is>
      </c>
      <c r="D239" t="inlineStr">
        <is>
          <t>TRANSPORTADORA_003</t>
        </is>
      </c>
      <c r="E239" s="23" t="n">
        <v>46265</v>
      </c>
      <c r="F239" s="23" t="n">
        <v>46268</v>
      </c>
      <c r="G239" t="inlineStr">
        <is>
          <t>Sí</t>
        </is>
      </c>
      <c r="H239" s="25" t="n">
        <v>10000</v>
      </c>
      <c r="I239" s="26" t="n">
        <v>1157005000</v>
      </c>
      <c r="J239" s="26" t="n">
        <v>452383351</v>
      </c>
      <c r="K239" s="26" t="n">
        <v>412484615</v>
      </c>
      <c r="L239" s="26">
        <f>J239-K239</f>
        <v>39898736</v>
      </c>
      <c r="M239" s="26">
        <f>I239+L239</f>
        <v>1196903736</v>
      </c>
      <c r="N239" s="26" t="n">
        <v>1157000000</v>
      </c>
      <c r="O239" s="26" t="n">
        <v>3055500000</v>
      </c>
      <c r="P239" s="26">
        <f>MAX(0,N239-M239)</f>
        <v>0</v>
      </c>
      <c r="Q239" s="26">
        <f>MAX(0,M239-O239)</f>
        <v>0</v>
      </c>
      <c r="R239" t="inlineStr">
        <is>
          <t>bajo</t>
        </is>
      </c>
      <c r="S239" t="inlineStr">
        <is>
          <t>sin_accion</t>
        </is>
      </c>
      <c r="T239" t="inlineStr">
        <is>
          <t>ninguno</t>
        </is>
      </c>
      <c r="U239" s="26" t="n">
        <v>0</v>
      </c>
      <c r="X239" s="26">
        <f>IF(T239="entrada",M239+U239,IF(T239="salida",M239-U239,M239))</f>
        <v>1196903736</v>
      </c>
      <c r="Y239" s="26" t="n">
        <v>0</v>
      </c>
      <c r="Z239" t="inlineStr">
        <is>
          <t>RN-85: dentro de niveles objetivo (sin_accion)</t>
        </is>
      </c>
      <c r="AA239" t="inlineStr">
        <is>
          <t>SUP-07, SUP-10</t>
        </is>
      </c>
      <c r="AB239" t="inlineStr">
        <is>
          <t>Saldo dentro del rango objetivo; sin accion.</t>
        </is>
      </c>
      <c r="AC239" t="inlineStr">
        <is>
          <t>Cierre del dia anterior (saldo encadenado, RN-71)</t>
        </is>
      </c>
      <c r="AD239" t="inlineStr">
        <is>
          <t>estimada</t>
        </is>
      </c>
      <c r="AE239" t="inlineStr">
        <is>
          <t>Participacion historica por denominacion (SUP-09)</t>
        </is>
      </c>
    </row>
    <row r="240">
      <c r="A240" t="inlineStr">
        <is>
          <t>PRAGMA</t>
        </is>
      </c>
      <c r="B240" t="inlineStr">
        <is>
          <t>CALI|TRANSPORTADORA_003</t>
        </is>
      </c>
      <c r="C240" t="inlineStr">
        <is>
          <t>Cali</t>
        </is>
      </c>
      <c r="D240" t="inlineStr">
        <is>
          <t>TRANSPORTADORA_003</t>
        </is>
      </c>
      <c r="E240" s="23" t="n">
        <v>46265</v>
      </c>
      <c r="F240" s="23" t="n">
        <v>46269</v>
      </c>
      <c r="G240" t="inlineStr">
        <is>
          <t>Sí</t>
        </is>
      </c>
      <c r="H240" s="25" t="n">
        <v>10000</v>
      </c>
      <c r="I240" s="26" t="n">
        <v>1196903736</v>
      </c>
      <c r="J240" s="26" t="n">
        <v>395976611</v>
      </c>
      <c r="K240" s="26" t="n">
        <v>471074471</v>
      </c>
      <c r="L240" s="26">
        <f>J240-K240</f>
        <v>-75097860</v>
      </c>
      <c r="M240" s="26">
        <f>I240+L240</f>
        <v>1121805876</v>
      </c>
      <c r="N240" s="26" t="n">
        <v>1157000000</v>
      </c>
      <c r="O240" s="26" t="n">
        <v>3055500000</v>
      </c>
      <c r="P240" s="26">
        <f>MAX(0,N240-M240)</f>
        <v>35194124</v>
      </c>
      <c r="Q240" s="26">
        <f>MAX(0,M240-O240)</f>
        <v>0</v>
      </c>
      <c r="R240" t="inlineStr">
        <is>
          <t>bajo</t>
        </is>
      </c>
      <c r="S240" t="inlineStr">
        <is>
          <t>traslado_fondos</t>
        </is>
      </c>
      <c r="T240" t="inlineStr">
        <is>
          <t>entrada</t>
        </is>
      </c>
      <c r="U240" s="26" t="n">
        <v>35200000</v>
      </c>
      <c r="V240" t="inlineStr">
        <is>
          <t>CALI|TRANSPORTADORA_001</t>
        </is>
      </c>
      <c r="W240" t="inlineStr">
        <is>
          <t>CALI|TRANSPORTADORA_003</t>
        </is>
      </c>
      <c r="X240" s="26">
        <f>IF(T240="entrada",M240+U240,IF(T240="salida",M240-U240,M240))</f>
        <v>1157005876</v>
      </c>
      <c r="Y240" s="26" t="n">
        <v>0</v>
      </c>
      <c r="Z240" t="inlineStr">
        <is>
          <t>Menor costo neto entre las alternativas que cubren la necesidad completa</t>
        </is>
      </c>
      <c r="AA240" t="inlineStr">
        <is>
          <t>SUP-08, SUP-10</t>
        </is>
      </c>
      <c r="AB240" t="inlineStr">
        <is>
          <t>Faltante de $35.194.123 en la denominacion 10000: saldo $1.121.805.877 bajo el minimo $1.157.000.000. Elegida: traslado con CALI|TRANSPORTADORA_001 ($35.200.000; costo $0). Es preferible porque tiene el menor costo neto. Otras alternativas: traslado con CALI|TRANSPORTADORA_002 ($35.200.000; costo $0); traslado con CALI|TRANSPORTADORA_004 ($35.200.000; costo $0); retiro BanRep ($35.200.000; costo $141.292); traslado con IPIALES|TRANSPORTADORA_002 ($35.200.000; costo $193.173); traslado con PASTO|TRANSPORTADORA_001 ($35.200.000; costo $841.758); cambio de denominacion: ninguna otra denominacion del fondo supera su maximo.</t>
        </is>
      </c>
      <c r="AC240" t="inlineStr">
        <is>
          <t>Cierre del dia anterior (saldo encadenado, RN-71)</t>
        </is>
      </c>
      <c r="AD240" t="inlineStr">
        <is>
          <t>estimada</t>
        </is>
      </c>
      <c r="AE240" t="inlineStr">
        <is>
          <t>Participacion historica por denominacion (SUP-09)</t>
        </is>
      </c>
    </row>
    <row r="241">
      <c r="A241" t="inlineStr">
        <is>
          <t>PRAGMA</t>
        </is>
      </c>
      <c r="B241" t="inlineStr">
        <is>
          <t>CALI|TRANSPORTADORA_003</t>
        </is>
      </c>
      <c r="C241" t="inlineStr">
        <is>
          <t>Cali</t>
        </is>
      </c>
      <c r="D241" t="inlineStr">
        <is>
          <t>TRANSPORTADORA_003</t>
        </is>
      </c>
      <c r="E241" s="23" t="n">
        <v>46265</v>
      </c>
      <c r="F241" s="23" t="n">
        <v>46270</v>
      </c>
      <c r="G241" t="inlineStr">
        <is>
          <t>No</t>
        </is>
      </c>
      <c r="H241" s="25" t="n">
        <v>10000</v>
      </c>
      <c r="I241" s="26" t="n">
        <v>1157005877</v>
      </c>
      <c r="J241" s="26" t="n">
        <v>205413767</v>
      </c>
      <c r="K241" s="26" t="n">
        <v>392844926</v>
      </c>
      <c r="L241" s="26">
        <f>J241-K241</f>
        <v>-187431159</v>
      </c>
      <c r="M241" s="26">
        <f>I241+L241</f>
        <v>969574718</v>
      </c>
      <c r="N241" s="26" t="n">
        <v>1157000000</v>
      </c>
      <c r="O241" s="26" t="n">
        <v>3055500000</v>
      </c>
      <c r="P241" s="26">
        <f>MAX(0,N241-M241)</f>
        <v>187425282</v>
      </c>
      <c r="Q241" s="26">
        <f>MAX(0,M241-O241)</f>
        <v>0</v>
      </c>
      <c r="R241" t="inlineStr">
        <is>
          <t>bajo</t>
        </is>
      </c>
      <c r="S241" t="inlineStr">
        <is>
          <t>traslado_fondos</t>
        </is>
      </c>
      <c r="T241" t="inlineStr">
        <is>
          <t>entrada</t>
        </is>
      </c>
      <c r="U241" s="26" t="n">
        <v>187430000</v>
      </c>
      <c r="V241" t="inlineStr">
        <is>
          <t>CALI|TRANSPORTADORA_001</t>
        </is>
      </c>
      <c r="W241" t="inlineStr">
        <is>
          <t>CALI|TRANSPORTADORA_003</t>
        </is>
      </c>
      <c r="X241" s="26">
        <f>IF(T241="entrada",M241+U241,IF(T241="salida",M241-U241,M241))</f>
        <v>1157004718</v>
      </c>
      <c r="Y241" s="26" t="n">
        <v>0</v>
      </c>
      <c r="Z241" t="inlineStr">
        <is>
          <t>Menor costo neto entre las alternativas que cubren la necesidad completa</t>
        </is>
      </c>
      <c r="AA241" t="inlineStr">
        <is>
          <t>SUP-08, SUP-10</t>
        </is>
      </c>
      <c r="AB241" t="inlineStr">
        <is>
          <t>Faltante de $187.425.282 en la denominacion 10000: saldo $969.574.718 bajo el minimo $1.157.000.000. Elegida: traslado con CALI|TRANSPORTADORA_001 ($187.430.000; costo $0). Es preferible porque tiene el menor costo neto. Otras alternativas: traslado con CALI|TRANSPORTADORA_002 ($187.430.000; costo $0); traslado con CALI|TRANSPORTADORA_004 ($38.230.000; costo $0, cubre solo una parte); traslado con IPIALES|TRANSPORTADORA_002 ($187.430.000; costo $325.918); traslado con PASTO|TRANSPORTADORA_001 ($187.430.000; costo $987.443); retiro BanRep: dia no habil (sabado, domingo o festivo; RN-71A); cambio de denominacion: dia no habil (sabado, domingo o festivo; RN-71A).</t>
        </is>
      </c>
      <c r="AC241" t="inlineStr">
        <is>
          <t>Cierre del dia anterior (saldo encadenado, RN-71)</t>
        </is>
      </c>
      <c r="AD241" t="inlineStr">
        <is>
          <t>estimada</t>
        </is>
      </c>
      <c r="AE241" t="inlineStr">
        <is>
          <t>Participacion historica por denominacion (SUP-09)</t>
        </is>
      </c>
    </row>
    <row r="242">
      <c r="A242" t="inlineStr">
        <is>
          <t>PRAGMA</t>
        </is>
      </c>
      <c r="B242" t="inlineStr">
        <is>
          <t>CALI|TRANSPORTADORA_003</t>
        </is>
      </c>
      <c r="C242" t="inlineStr">
        <is>
          <t>Cali</t>
        </is>
      </c>
      <c r="D242" t="inlineStr">
        <is>
          <t>TRANSPORTADORA_003</t>
        </is>
      </c>
      <c r="E242" s="23" t="n">
        <v>46265</v>
      </c>
      <c r="F242" s="23" t="n">
        <v>46271</v>
      </c>
      <c r="G242" t="inlineStr">
        <is>
          <t>No</t>
        </is>
      </c>
      <c r="H242" s="25" t="n">
        <v>10000</v>
      </c>
      <c r="I242" s="26" t="n">
        <v>1157004718</v>
      </c>
      <c r="J242" s="26" t="n">
        <v>104314169</v>
      </c>
      <c r="K242" s="26" t="n">
        <v>226048170</v>
      </c>
      <c r="L242" s="26">
        <f>J242-K242</f>
        <v>-121734001</v>
      </c>
      <c r="M242" s="26">
        <f>I242+L242</f>
        <v>1035270717</v>
      </c>
      <c r="N242" s="26" t="n">
        <v>1157000000</v>
      </c>
      <c r="O242" s="26" t="n">
        <v>3055500000</v>
      </c>
      <c r="P242" s="26">
        <f>MAX(0,N242-M242)</f>
        <v>121729283</v>
      </c>
      <c r="Q242" s="26">
        <f>MAX(0,M242-O242)</f>
        <v>0</v>
      </c>
      <c r="R242" t="inlineStr">
        <is>
          <t>bajo</t>
        </is>
      </c>
      <c r="S242" t="inlineStr">
        <is>
          <t>traslado_fondos</t>
        </is>
      </c>
      <c r="T242" t="inlineStr">
        <is>
          <t>entrada</t>
        </is>
      </c>
      <c r="U242" s="26" t="n">
        <v>121730000</v>
      </c>
      <c r="V242" t="inlineStr">
        <is>
          <t>CALI|TRANSPORTADORA_001</t>
        </is>
      </c>
      <c r="W242" t="inlineStr">
        <is>
          <t>CALI|TRANSPORTADORA_003</t>
        </is>
      </c>
      <c r="X242" s="26">
        <f>IF(T242="entrada",M242+U242,IF(T242="salida",M242-U242,M242))</f>
        <v>1157000717</v>
      </c>
      <c r="Y242" s="26" t="n">
        <v>0</v>
      </c>
      <c r="Z242" t="inlineStr">
        <is>
          <t>Menor costo neto entre las alternativas que cubren la necesidad completa</t>
        </is>
      </c>
      <c r="AA242" t="inlineStr">
        <is>
          <t>SUP-08, SUP-10</t>
        </is>
      </c>
      <c r="AB242" t="inlineStr">
        <is>
          <t>Faltante de $121.729.283 en la denominacion 10000: saldo $1.035.270.717 bajo el minimo $1.157.000.000. Elegida: traslado con CALI|TRANSPORTADORA_001 ($121.730.000; costo $0). Es preferible porque tiene el menor costo neto. Otras alternativas: traslado con CALI|TRANSPORTADORA_002 ($121.730.000; costo $0); traslado con CALI|TRANSPORTADORA_004 ($38.350.000; costo $0, cubre solo una parte); traslado con IPIALES|TRANSPORTADORA_002 ($121.730.000; costo $268.628); traslado con PASTO|TRANSPORTADORA_001 ($121.730.000; costo $924.568); retiro BanRep: dia no habil (sabado, domingo o festivo; RN-71A); cambio de denominacion: dia no habil (sabado, domingo o festivo; RN-71A).</t>
        </is>
      </c>
      <c r="AC242" t="inlineStr">
        <is>
          <t>Cierre del dia anterior (saldo encadenado, RN-71)</t>
        </is>
      </c>
      <c r="AD242" t="inlineStr">
        <is>
          <t>estimada</t>
        </is>
      </c>
      <c r="AE242" t="inlineStr">
        <is>
          <t>Participacion historica por denominacion (SUP-09)</t>
        </is>
      </c>
    </row>
    <row r="243">
      <c r="A243" t="inlineStr">
        <is>
          <t>PRAGMA</t>
        </is>
      </c>
      <c r="B243" t="inlineStr">
        <is>
          <t>CALI|TRANSPORTADORA_003</t>
        </is>
      </c>
      <c r="C243" t="inlineStr">
        <is>
          <t>Cali</t>
        </is>
      </c>
      <c r="D243" t="inlineStr">
        <is>
          <t>TRANSPORTADORA_003</t>
        </is>
      </c>
      <c r="E243" s="23" t="n">
        <v>46265</v>
      </c>
      <c r="F243" s="23" t="n">
        <v>46272</v>
      </c>
      <c r="G243" t="inlineStr">
        <is>
          <t>Sí</t>
        </is>
      </c>
      <c r="H243" s="25" t="n">
        <v>10000</v>
      </c>
      <c r="I243" s="26" t="n">
        <v>1157000717</v>
      </c>
      <c r="J243" s="26" t="n">
        <v>353228434</v>
      </c>
      <c r="K243" s="26" t="n">
        <v>358250424</v>
      </c>
      <c r="L243" s="26">
        <f>J243-K243</f>
        <v>-5021990</v>
      </c>
      <c r="M243" s="26">
        <f>I243+L243</f>
        <v>1151978727</v>
      </c>
      <c r="N243" s="26" t="n">
        <v>1157000000</v>
      </c>
      <c r="O243" s="26" t="n">
        <v>3055500000</v>
      </c>
      <c r="P243" s="26">
        <f>MAX(0,N243-M243)</f>
        <v>5021273</v>
      </c>
      <c r="Q243" s="26">
        <f>MAX(0,M243-O243)</f>
        <v>0</v>
      </c>
      <c r="R243" t="inlineStr">
        <is>
          <t>bajo</t>
        </is>
      </c>
      <c r="S243" t="inlineStr">
        <is>
          <t>traslado_fondos</t>
        </is>
      </c>
      <c r="T243" t="inlineStr">
        <is>
          <t>entrada</t>
        </is>
      </c>
      <c r="U243" s="26" t="n">
        <v>5030000</v>
      </c>
      <c r="V243" t="inlineStr">
        <is>
          <t>CALI|TRANSPORTADORA_001</t>
        </is>
      </c>
      <c r="W243" t="inlineStr">
        <is>
          <t>CALI|TRANSPORTADORA_003</t>
        </is>
      </c>
      <c r="X243" s="26">
        <f>IF(T243="entrada",M243+U243,IF(T243="salida",M243-U243,M243))</f>
        <v>1157008727</v>
      </c>
      <c r="Y243" s="26" t="n">
        <v>0</v>
      </c>
      <c r="Z243" t="inlineStr">
        <is>
          <t>Menor costo neto entre las alternativas que cubren la necesidad completa</t>
        </is>
      </c>
      <c r="AA243" t="inlineStr">
        <is>
          <t>SUP-08, SUP-10</t>
        </is>
      </c>
      <c r="AB243" t="inlineStr">
        <is>
          <t>Faltante de $5.021.273 en la denominacion 10000: saldo $1.151.978.727 bajo el minimo $1.157.000.000. Elegida: traslado con CALI|TRANSPORTADORA_001 ($5.030.000; costo $0). Es preferible porque tiene el menor costo neto. Otras alternativas: traslado con CALI|TRANSPORTADORA_002 ($5.030.000; costo $0); traslado con CALI|TRANSPORTADORA_004 ($5.030.000; costo $0); retiro BanRep ($5.030.000; costo $128.922); traslado con IPIALES|TRANSPORTADORA_002 ($5.030.000; costo $166.865); traslado con PASTO|TRANSPORTADORA_001 ($5.030.000; costo $812.886); cambio de denominacion: ninguna otra denominacion del fondo supera su maximo.</t>
        </is>
      </c>
      <c r="AC243" t="inlineStr">
        <is>
          <t>Cierre del dia anterior (saldo encadenado, RN-71)</t>
        </is>
      </c>
      <c r="AD243" t="inlineStr">
        <is>
          <t>estimada</t>
        </is>
      </c>
      <c r="AE243" t="inlineStr">
        <is>
          <t>Participacion historica por denominacion (SUP-09)</t>
        </is>
      </c>
    </row>
    <row r="244">
      <c r="A244" t="inlineStr">
        <is>
          <t>PRAGMA</t>
        </is>
      </c>
      <c r="B244" t="inlineStr">
        <is>
          <t>CALI|TRANSPORTADORA_003</t>
        </is>
      </c>
      <c r="C244" t="inlineStr">
        <is>
          <t>Cali</t>
        </is>
      </c>
      <c r="D244" t="inlineStr">
        <is>
          <t>TRANSPORTADORA_003</t>
        </is>
      </c>
      <c r="E244" s="23" t="n">
        <v>46265</v>
      </c>
      <c r="F244" s="23" t="n">
        <v>46273</v>
      </c>
      <c r="G244" t="inlineStr">
        <is>
          <t>Sí</t>
        </is>
      </c>
      <c r="H244" s="25" t="n">
        <v>10000</v>
      </c>
      <c r="I244" s="26" t="n">
        <v>1157008727</v>
      </c>
      <c r="J244" s="26" t="n">
        <v>509409807</v>
      </c>
      <c r="K244" s="26" t="n">
        <v>360063268</v>
      </c>
      <c r="L244" s="26">
        <f>J244-K244</f>
        <v>149346539</v>
      </c>
      <c r="M244" s="26">
        <f>I244+L244</f>
        <v>1306355266</v>
      </c>
      <c r="N244" s="26" t="n">
        <v>1157000000</v>
      </c>
      <c r="O244" s="26" t="n">
        <v>3055500000</v>
      </c>
      <c r="P244" s="26">
        <f>MAX(0,N244-M244)</f>
        <v>0</v>
      </c>
      <c r="Q244" s="26">
        <f>MAX(0,M244-O244)</f>
        <v>0</v>
      </c>
      <c r="R244" t="inlineStr">
        <is>
          <t>bajo</t>
        </is>
      </c>
      <c r="S244" t="inlineStr">
        <is>
          <t>traslado_fondos</t>
        </is>
      </c>
      <c r="T244" t="inlineStr">
        <is>
          <t>entrada</t>
        </is>
      </c>
      <c r="U244" s="26" t="n">
        <v>780000</v>
      </c>
      <c r="V244" t="inlineStr">
        <is>
          <t>CALI|TRANSPORTADORA_004</t>
        </is>
      </c>
      <c r="W244" t="inlineStr">
        <is>
          <t>CALI|TRANSPORTADORA_003</t>
        </is>
      </c>
      <c r="X244" s="26">
        <f>IF(T244="entrada",M244+U244,IF(T244="salida",M244-U244,M244))</f>
        <v>1307135266</v>
      </c>
      <c r="Y244" s="26" t="n">
        <v>0</v>
      </c>
      <c r="Z244" t="inlineStr">
        <is>
          <t>Menor costo neto entre las alternativas que cubren la necesidad completa</t>
        </is>
      </c>
      <c r="AA244" t="inlineStr">
        <is>
          <t>SUP-08, SUP-10</t>
        </is>
      </c>
      <c r="AB244" t="inlineStr">
        <is>
          <t>Contraparte del traslado P00061 en la denominacion 10000: recibe $780.000 de CALI|TRANSPORTADORA_004. Saldo de esta fila: $1.306.355.266 antes y $1.307.135.266 despues (minimo $1.157.000.000, maximo $3.055.500.000). Necesidad que la origina, en CALI|TRANSPORTADORA_004: Excedente de $772.388 en la denominacion 10000: saldo $39.542.388 sobre el maximo $38.770.000. Elegida: traslado con CALI|TRANSPORTADORA_003 ($780.000; costo $0). Es preferible porque tiene el menor costo neto. Otras alternativas: conservar ($780.000; costo de almacenar $66); consignacion BanRep ($780.000; costo $120.977); venta: no habilitada en este fondo (sin historico o fuera de las ciudades BanRep).</t>
        </is>
      </c>
      <c r="AC244" t="inlineStr">
        <is>
          <t>Cierre del dia anterior (saldo encadenado, RN-71)</t>
        </is>
      </c>
      <c r="AD244" t="inlineStr">
        <is>
          <t>estimada</t>
        </is>
      </c>
      <c r="AE244" t="inlineStr">
        <is>
          <t>Participacion historica por denominacion (SUP-09)</t>
        </is>
      </c>
    </row>
    <row r="245">
      <c r="A245" t="inlineStr">
        <is>
          <t>PRAGMA</t>
        </is>
      </c>
      <c r="B245" t="inlineStr">
        <is>
          <t>CALI|TRANSPORTADORA_003</t>
        </is>
      </c>
      <c r="C245" t="inlineStr">
        <is>
          <t>Cali</t>
        </is>
      </c>
      <c r="D245" t="inlineStr">
        <is>
          <t>TRANSPORTADORA_003</t>
        </is>
      </c>
      <c r="E245" s="23" t="n">
        <v>46265</v>
      </c>
      <c r="F245" s="23" t="n">
        <v>46274</v>
      </c>
      <c r="G245" t="inlineStr">
        <is>
          <t>Sí</t>
        </is>
      </c>
      <c r="H245" s="25" t="n">
        <v>10000</v>
      </c>
      <c r="I245" s="26" t="n">
        <v>1307135266</v>
      </c>
      <c r="J245" s="26" t="n">
        <v>477511689</v>
      </c>
      <c r="K245" s="26" t="n">
        <v>355256382</v>
      </c>
      <c r="L245" s="26">
        <f>J245-K245</f>
        <v>122255307</v>
      </c>
      <c r="M245" s="26">
        <f>I245+L245</f>
        <v>1429390573</v>
      </c>
      <c r="N245" s="26" t="n">
        <v>1157000000</v>
      </c>
      <c r="O245" s="26" t="n">
        <v>3055500000</v>
      </c>
      <c r="P245" s="26">
        <f>MAX(0,N245-M245)</f>
        <v>0</v>
      </c>
      <c r="Q245" s="26">
        <f>MAX(0,M245-O245)</f>
        <v>0</v>
      </c>
      <c r="R245" t="inlineStr">
        <is>
          <t>bajo</t>
        </is>
      </c>
      <c r="S245" t="inlineStr">
        <is>
          <t>traslado_fondos</t>
        </is>
      </c>
      <c r="T245" t="inlineStr">
        <is>
          <t>entrada</t>
        </is>
      </c>
      <c r="U245" s="26" t="n">
        <v>730000</v>
      </c>
      <c r="V245" t="inlineStr">
        <is>
          <t>CALI|TRANSPORTADORA_004</t>
        </is>
      </c>
      <c r="W245" t="inlineStr">
        <is>
          <t>CALI|TRANSPORTADORA_003</t>
        </is>
      </c>
      <c r="X245" s="26">
        <f>IF(T245="entrada",M245+U245,IF(T245="salida",M245-U245,M245))</f>
        <v>1430120573</v>
      </c>
      <c r="Y245" s="26" t="n">
        <v>0</v>
      </c>
      <c r="Z245" t="inlineStr">
        <is>
          <t>Menor costo neto entre las alternativas que cubren la necesidad completa</t>
        </is>
      </c>
      <c r="AA245" t="inlineStr">
        <is>
          <t>SUP-08, SUP-10</t>
        </is>
      </c>
      <c r="AB245" t="inlineStr">
        <is>
          <t>Contraparte del traslado P00066 en la denominacion 10000: recibe $730.000 de CALI|TRANSPORTADORA_004. Saldo de esta fila: $1.429.390.574 antes y $1.430.120.574 despues (minimo $1.157.000.000, maximo $3.055.500.000). Necesidad que la origina, en CALI|TRANSPORTADORA_004: Excedente de $727.308 en la denominacion 10000: saldo $39.497.308 sobre el maximo $38.770.000. Elegida: traslado con CALI|TRANSPORTADORA_003 ($730.000; costo $0). Es preferible porque tiene el menor costo neto. Otras alternativas: conservar ($730.000; costo de almacenar $54); consignacion BanRep ($730.000; costo $120.963); venta: no habilitada en este fondo (sin historico o fuera de las ciudades BanRep).</t>
        </is>
      </c>
      <c r="AC245" t="inlineStr">
        <is>
          <t>Cierre del dia anterior (saldo encadenado, RN-71)</t>
        </is>
      </c>
      <c r="AD245" t="inlineStr">
        <is>
          <t>estimada</t>
        </is>
      </c>
      <c r="AE245" t="inlineStr">
        <is>
          <t>Participacion historica por denominacion (SUP-09)</t>
        </is>
      </c>
    </row>
    <row r="246">
      <c r="A246" t="inlineStr">
        <is>
          <t>PRAGMA</t>
        </is>
      </c>
      <c r="B246" t="inlineStr">
        <is>
          <t>CALI|TRANSPORTADORA_003</t>
        </is>
      </c>
      <c r="C246" t="inlineStr">
        <is>
          <t>Cali</t>
        </is>
      </c>
      <c r="D246" t="inlineStr">
        <is>
          <t>TRANSPORTADORA_003</t>
        </is>
      </c>
      <c r="E246" s="23" t="n">
        <v>46265</v>
      </c>
      <c r="F246" s="23" t="n">
        <v>46275</v>
      </c>
      <c r="G246" t="inlineStr">
        <is>
          <t>Sí</t>
        </is>
      </c>
      <c r="H246" s="25" t="n">
        <v>10000</v>
      </c>
      <c r="I246" s="26" t="n">
        <v>1430120574</v>
      </c>
      <c r="J246" s="26" t="n">
        <v>475466237</v>
      </c>
      <c r="K246" s="26" t="n">
        <v>324875401</v>
      </c>
      <c r="L246" s="26">
        <f>J246-K246</f>
        <v>150590836</v>
      </c>
      <c r="M246" s="26">
        <f>I246+L246</f>
        <v>1580711410</v>
      </c>
      <c r="N246" s="26" t="n">
        <v>1157000000</v>
      </c>
      <c r="O246" s="26" t="n">
        <v>3055500000</v>
      </c>
      <c r="P246" s="26">
        <f>MAX(0,N246-M246)</f>
        <v>0</v>
      </c>
      <c r="Q246" s="26">
        <f>MAX(0,M246-O246)</f>
        <v>0</v>
      </c>
      <c r="R246" t="inlineStr">
        <is>
          <t>bajo</t>
        </is>
      </c>
      <c r="S246" t="inlineStr">
        <is>
          <t>traslado_fondos</t>
        </is>
      </c>
      <c r="T246" t="inlineStr">
        <is>
          <t>entrada</t>
        </is>
      </c>
      <c r="U246" s="26" t="n">
        <v>610000</v>
      </c>
      <c r="V246" t="inlineStr">
        <is>
          <t>CALI|TRANSPORTADORA_004</t>
        </is>
      </c>
      <c r="W246" t="inlineStr">
        <is>
          <t>CALI|TRANSPORTADORA_003</t>
        </is>
      </c>
      <c r="X246" s="26">
        <f>IF(T246="entrada",M246+U246,IF(T246="salida",M246-U246,M246))</f>
        <v>1581321410</v>
      </c>
      <c r="Y246" s="26" t="n">
        <v>0</v>
      </c>
      <c r="Z246" t="inlineStr">
        <is>
          <t>Menor costo neto entre las alternativas que cubren la necesidad completa</t>
        </is>
      </c>
      <c r="AA246" t="inlineStr">
        <is>
          <t>SUP-08, SUP-10</t>
        </is>
      </c>
      <c r="AB246" t="inlineStr">
        <is>
          <t>Contraparte del traslado P00071 en la denominacion 10000: recibe $610.000 de CALI|TRANSPORTADORA_004. Saldo de esta fila: $1.580.711.410 antes y $1.581.321.410 despues (minimo $1.157.000.000, maximo $3.055.500.000). Necesidad que la origina, en CALI|TRANSPORTADORA_004: Excedente de $606.407 en la denominacion 10000: saldo $39.376.407 sobre el maximo $38.770.000. Elegida: traslado con CALI|TRANSPORTADORA_003 ($610.000; costo $0). Es preferible porque tiene el menor costo neto. Otras alternativas: conservar ($610.000; costo de almacenar $38); consignacion BanRep ($610.000; costo $120.931); venta: no habilitada en este fondo (sin historico o fuera de las ciudades BanRep).</t>
        </is>
      </c>
      <c r="AC246" t="inlineStr">
        <is>
          <t>Cierre del dia anterior (saldo encadenado, RN-71)</t>
        </is>
      </c>
      <c r="AD246" t="inlineStr">
        <is>
          <t>estimada</t>
        </is>
      </c>
      <c r="AE246" t="inlineStr">
        <is>
          <t>Participacion historica por denominacion (SUP-09)</t>
        </is>
      </c>
    </row>
    <row r="247">
      <c r="A247" t="inlineStr">
        <is>
          <t>PRAGMA</t>
        </is>
      </c>
      <c r="B247" t="inlineStr">
        <is>
          <t>CALI|TRANSPORTADORA_003</t>
        </is>
      </c>
      <c r="C247" t="inlineStr">
        <is>
          <t>Cali</t>
        </is>
      </c>
      <c r="D247" t="inlineStr">
        <is>
          <t>TRANSPORTADORA_003</t>
        </is>
      </c>
      <c r="E247" s="23" t="n">
        <v>46265</v>
      </c>
      <c r="F247" s="23" t="n">
        <v>46276</v>
      </c>
      <c r="G247" t="inlineStr">
        <is>
          <t>Sí</t>
        </is>
      </c>
      <c r="H247" s="25" t="n">
        <v>10000</v>
      </c>
      <c r="I247" s="26" t="n">
        <v>1581321410</v>
      </c>
      <c r="J247" s="26" t="n">
        <v>387812620</v>
      </c>
      <c r="K247" s="26" t="n">
        <v>365367791</v>
      </c>
      <c r="L247" s="26">
        <f>J247-K247</f>
        <v>22444829</v>
      </c>
      <c r="M247" s="26">
        <f>I247+L247</f>
        <v>1603766239</v>
      </c>
      <c r="N247" s="26" t="n">
        <v>1157000000</v>
      </c>
      <c r="O247" s="26" t="n">
        <v>3055500000</v>
      </c>
      <c r="P247" s="26">
        <f>MAX(0,N247-M247)</f>
        <v>0</v>
      </c>
      <c r="Q247" s="26">
        <f>MAX(0,M247-O247)</f>
        <v>0</v>
      </c>
      <c r="R247" t="inlineStr">
        <is>
          <t>bajo</t>
        </is>
      </c>
      <c r="S247" t="inlineStr">
        <is>
          <t>traslado_fondos</t>
        </is>
      </c>
      <c r="T247" t="inlineStr">
        <is>
          <t>entrada</t>
        </is>
      </c>
      <c r="U247" s="26" t="n">
        <v>480000</v>
      </c>
      <c r="V247" t="inlineStr">
        <is>
          <t>CALI|TRANSPORTADORA_004</t>
        </is>
      </c>
      <c r="W247" t="inlineStr">
        <is>
          <t>CALI|TRANSPORTADORA_003</t>
        </is>
      </c>
      <c r="X247" s="26">
        <f>IF(T247="entrada",M247+U247,IF(T247="salida",M247-U247,M247))</f>
        <v>1604246239</v>
      </c>
      <c r="Y247" s="26" t="n">
        <v>0</v>
      </c>
      <c r="Z247" t="inlineStr">
        <is>
          <t>Menor costo neto entre las alternativas que cubren la necesidad completa</t>
        </is>
      </c>
      <c r="AA247" t="inlineStr">
        <is>
          <t>SUP-08, SUP-10</t>
        </is>
      </c>
      <c r="AB247" t="inlineStr">
        <is>
          <t>Contraparte del traslado P00076 en la denominacion 10000: recibe $480.000 de CALI|TRANSPORTADORA_004. Saldo de esta fila: $1.603.766.239 antes y $1.604.246.239 despues (minimo $1.157.000.000, maximo $3.055.500.000). Necesidad que la origina, en CALI|TRANSPORTADORA_004: Excedente de $470.168 en la denominacion 10000: saldo $39.240.168 sobre el maximo $38.770.000. Elegida: traslado con CALI|TRANSPORTADORA_003 ($480.000; costo $0). Es preferible porque tiene el menor costo neto. Otras alternativas: conservar ($480.000; costo de almacenar $25); consignacion BanRep ($480.000; costo $120.895); venta: no habilitada en este fondo (sin historico o fuera de las ciudades BanRep).</t>
        </is>
      </c>
      <c r="AC247" t="inlineStr">
        <is>
          <t>Cierre del dia anterior (saldo encadenado, RN-71)</t>
        </is>
      </c>
      <c r="AD247" t="inlineStr">
        <is>
          <t>estimada</t>
        </is>
      </c>
      <c r="AE247" t="inlineStr">
        <is>
          <t>Participacion historica por denominacion (SUP-09)</t>
        </is>
      </c>
    </row>
    <row r="248">
      <c r="A248" t="inlineStr">
        <is>
          <t>PRAGMA</t>
        </is>
      </c>
      <c r="B248" t="inlineStr">
        <is>
          <t>CALI|TRANSPORTADORA_003</t>
        </is>
      </c>
      <c r="C248" t="inlineStr">
        <is>
          <t>Cali</t>
        </is>
      </c>
      <c r="D248" t="inlineStr">
        <is>
          <t>TRANSPORTADORA_003</t>
        </is>
      </c>
      <c r="E248" s="23" t="n">
        <v>46265</v>
      </c>
      <c r="F248" s="23" t="n">
        <v>46277</v>
      </c>
      <c r="G248" t="inlineStr">
        <is>
          <t>No</t>
        </is>
      </c>
      <c r="H248" s="25" t="n">
        <v>10000</v>
      </c>
      <c r="I248" s="26" t="n">
        <v>1604246239</v>
      </c>
      <c r="J248" s="26" t="n">
        <v>208864127</v>
      </c>
      <c r="K248" s="26" t="n">
        <v>308703039</v>
      </c>
      <c r="L248" s="26">
        <f>J248-K248</f>
        <v>-99838912</v>
      </c>
      <c r="M248" s="26">
        <f>I248+L248</f>
        <v>1504407327</v>
      </c>
      <c r="N248" s="26" t="n">
        <v>1157000000</v>
      </c>
      <c r="O248" s="26" t="n">
        <v>3055500000</v>
      </c>
      <c r="P248" s="26">
        <f>MAX(0,N248-M248)</f>
        <v>0</v>
      </c>
      <c r="Q248" s="26">
        <f>MAX(0,M248-O248)</f>
        <v>0</v>
      </c>
      <c r="R248" t="inlineStr">
        <is>
          <t>bajo</t>
        </is>
      </c>
      <c r="S248" t="inlineStr">
        <is>
          <t>sin_accion</t>
        </is>
      </c>
      <c r="T248" t="inlineStr">
        <is>
          <t>ninguno</t>
        </is>
      </c>
      <c r="U248" s="26" t="n">
        <v>0</v>
      </c>
      <c r="X248" s="26">
        <f>IF(T248="entrada",M248+U248,IF(T248="salida",M248-U248,M248))</f>
        <v>1504407327</v>
      </c>
      <c r="Y248" s="26" t="n">
        <v>0</v>
      </c>
      <c r="Z248" t="inlineStr">
        <is>
          <t>RN-85: dentro de niveles objetivo (sin_accion)</t>
        </is>
      </c>
      <c r="AA248" t="inlineStr">
        <is>
          <t>SUP-07, SUP-10</t>
        </is>
      </c>
      <c r="AB248" t="inlineStr">
        <is>
          <t>Saldo dentro del rango objetivo; sin accion.</t>
        </is>
      </c>
      <c r="AC248" t="inlineStr">
        <is>
          <t>Cierre del dia anterior (saldo encadenado, RN-71)</t>
        </is>
      </c>
      <c r="AD248" t="inlineStr">
        <is>
          <t>estimada</t>
        </is>
      </c>
      <c r="AE248" t="inlineStr">
        <is>
          <t>Participacion historica por denominacion (SUP-09)</t>
        </is>
      </c>
    </row>
    <row r="249">
      <c r="A249" t="inlineStr">
        <is>
          <t>PRAGMA</t>
        </is>
      </c>
      <c r="B249" t="inlineStr">
        <is>
          <t>CALI|TRANSPORTADORA_003</t>
        </is>
      </c>
      <c r="C249" t="inlineStr">
        <is>
          <t>Cali</t>
        </is>
      </c>
      <c r="D249" t="inlineStr">
        <is>
          <t>TRANSPORTADORA_003</t>
        </is>
      </c>
      <c r="E249" s="23" t="n">
        <v>46265</v>
      </c>
      <c r="F249" s="23" t="n">
        <v>46278</v>
      </c>
      <c r="G249" t="inlineStr">
        <is>
          <t>No</t>
        </is>
      </c>
      <c r="H249" s="25" t="n">
        <v>10000</v>
      </c>
      <c r="I249" s="26" t="n">
        <v>1504407327</v>
      </c>
      <c r="J249" s="26" t="n">
        <v>85496776</v>
      </c>
      <c r="K249" s="26" t="n">
        <v>171470798</v>
      </c>
      <c r="L249" s="26">
        <f>J249-K249</f>
        <v>-85974022</v>
      </c>
      <c r="M249" s="26">
        <f>I249+L249</f>
        <v>1418433305</v>
      </c>
      <c r="N249" s="26" t="n">
        <v>1157000000</v>
      </c>
      <c r="O249" s="26" t="n">
        <v>3055500000</v>
      </c>
      <c r="P249" s="26">
        <f>MAX(0,N249-M249)</f>
        <v>0</v>
      </c>
      <c r="Q249" s="26">
        <f>MAX(0,M249-O249)</f>
        <v>0</v>
      </c>
      <c r="R249" t="inlineStr">
        <is>
          <t>bajo</t>
        </is>
      </c>
      <c r="S249" t="inlineStr">
        <is>
          <t>sin_accion</t>
        </is>
      </c>
      <c r="T249" t="inlineStr">
        <is>
          <t>ninguno</t>
        </is>
      </c>
      <c r="U249" s="26" t="n">
        <v>0</v>
      </c>
      <c r="X249" s="26">
        <f>IF(T249="entrada",M249+U249,IF(T249="salida",M249-U249,M249))</f>
        <v>1418433305</v>
      </c>
      <c r="Y249" s="26" t="n">
        <v>0</v>
      </c>
      <c r="Z249" t="inlineStr">
        <is>
          <t>RN-85: dentro de niveles objetivo (sin_accion)</t>
        </is>
      </c>
      <c r="AA249" t="inlineStr">
        <is>
          <t>SUP-07, SUP-10</t>
        </is>
      </c>
      <c r="AB249" t="inlineStr">
        <is>
          <t>Saldo dentro del rango objetivo; sin accion.</t>
        </is>
      </c>
      <c r="AC249" t="inlineStr">
        <is>
          <t>Cierre del dia anterior (saldo encadenado, RN-71)</t>
        </is>
      </c>
      <c r="AD249" t="inlineStr">
        <is>
          <t>estimada</t>
        </is>
      </c>
      <c r="AE249" t="inlineStr">
        <is>
          <t>Participacion historica por denominacion (SUP-09)</t>
        </is>
      </c>
    </row>
    <row r="250">
      <c r="A250" t="inlineStr">
        <is>
          <t>PRAGMA</t>
        </is>
      </c>
      <c r="B250" t="inlineStr">
        <is>
          <t>CALI|TRANSPORTADORA_003</t>
        </is>
      </c>
      <c r="C250" t="inlineStr">
        <is>
          <t>Cali</t>
        </is>
      </c>
      <c r="D250" t="inlineStr">
        <is>
          <t>TRANSPORTADORA_003</t>
        </is>
      </c>
      <c r="E250" s="23" t="n">
        <v>46265</v>
      </c>
      <c r="F250" s="23" t="n">
        <v>46279</v>
      </c>
      <c r="G250" t="inlineStr">
        <is>
          <t>Sí</t>
        </is>
      </c>
      <c r="H250" s="25" t="n">
        <v>10000</v>
      </c>
      <c r="I250" s="26" t="n">
        <v>1418433305</v>
      </c>
      <c r="J250" s="26" t="n">
        <v>345978255</v>
      </c>
      <c r="K250" s="26" t="n">
        <v>348008393</v>
      </c>
      <c r="L250" s="26">
        <f>J250-K250</f>
        <v>-2030138</v>
      </c>
      <c r="M250" s="26">
        <f>I250+L250</f>
        <v>1416403167</v>
      </c>
      <c r="N250" s="26" t="n">
        <v>1157000000</v>
      </c>
      <c r="O250" s="26" t="n">
        <v>3055500000</v>
      </c>
      <c r="P250" s="26">
        <f>MAX(0,N250-M250)</f>
        <v>0</v>
      </c>
      <c r="Q250" s="26">
        <f>MAX(0,M250-O250)</f>
        <v>0</v>
      </c>
      <c r="R250" t="inlineStr">
        <is>
          <t>bajo</t>
        </is>
      </c>
      <c r="S250" t="inlineStr">
        <is>
          <t>traslado_fondos</t>
        </is>
      </c>
      <c r="T250" t="inlineStr">
        <is>
          <t>entrada</t>
        </is>
      </c>
      <c r="U250" s="26" t="n">
        <v>880000</v>
      </c>
      <c r="V250" t="inlineStr">
        <is>
          <t>CALI|TRANSPORTADORA_004</t>
        </is>
      </c>
      <c r="W250" t="inlineStr">
        <is>
          <t>CALI|TRANSPORTADORA_003</t>
        </is>
      </c>
      <c r="X250" s="26">
        <f>IF(T250="entrada",M250+U250,IF(T250="salida",M250-U250,M250))</f>
        <v>1417283167</v>
      </c>
      <c r="Y250" s="26" t="n">
        <v>0</v>
      </c>
      <c r="Z250" t="inlineStr">
        <is>
          <t>Menor costo neto entre las alternativas que cubren la necesidad completa</t>
        </is>
      </c>
      <c r="AA250" t="inlineStr">
        <is>
          <t>SUP-08, SUP-10</t>
        </is>
      </c>
      <c r="AB250" t="inlineStr">
        <is>
          <t>Contraparte del traslado P00092 en la denominacion 10000: recibe $880.000 de CALI|TRANSPORTADORA_004. Saldo de esta fila: $1.416.403.167 antes y $1.417.283.167 despues (minimo $1.157.000.000, maximo $3.055.500.000). Necesidad que la origina, en CALI|TRANSPORTADORA_004: Excedente de $875.233 en la denominacion 10000: saldo $39.645.233 sobre el maximo $38.770.000. Elegida: traslado con CALI|TRANSPORTADORA_003 ($880.000; costo $0). Es preferible porque tiene el menor costo neto. Otras alternativas: conservar ($880.000; costo de almacenar $18); consignacion BanRep ($880.000; costo $121.004); venta: no habilitada en este fondo (sin historico o fuera de las ciudades BanRep).</t>
        </is>
      </c>
      <c r="AC250" t="inlineStr">
        <is>
          <t>Cierre del dia anterior (saldo encadenado, RN-71)</t>
        </is>
      </c>
      <c r="AD250" t="inlineStr">
        <is>
          <t>estimada</t>
        </is>
      </c>
      <c r="AE250" t="inlineStr">
        <is>
          <t>Participacion historica por denominacion (SUP-09)</t>
        </is>
      </c>
    </row>
    <row r="251">
      <c r="A251" t="inlineStr">
        <is>
          <t>PRAGMA</t>
        </is>
      </c>
      <c r="B251" t="inlineStr">
        <is>
          <t>CALI|TRANSPORTADORA_003</t>
        </is>
      </c>
      <c r="C251" t="inlineStr">
        <is>
          <t>Cali</t>
        </is>
      </c>
      <c r="D251" t="inlineStr">
        <is>
          <t>TRANSPORTADORA_003</t>
        </is>
      </c>
      <c r="E251" s="23" t="n">
        <v>46265</v>
      </c>
      <c r="F251" s="23" t="n">
        <v>46280</v>
      </c>
      <c r="G251" t="inlineStr">
        <is>
          <t>Sí</t>
        </is>
      </c>
      <c r="H251" s="25" t="n">
        <v>10000</v>
      </c>
      <c r="I251" s="26" t="n">
        <v>1417283167</v>
      </c>
      <c r="J251" s="26" t="n">
        <v>516961309</v>
      </c>
      <c r="K251" s="26" t="n">
        <v>482527627</v>
      </c>
      <c r="L251" s="26">
        <f>J251-K251</f>
        <v>34433682</v>
      </c>
      <c r="M251" s="26">
        <f>I251+L251</f>
        <v>1451716849</v>
      </c>
      <c r="N251" s="26" t="n">
        <v>1157000000</v>
      </c>
      <c r="O251" s="26" t="n">
        <v>3055500000</v>
      </c>
      <c r="P251" s="26">
        <f>MAX(0,N251-M251)</f>
        <v>0</v>
      </c>
      <c r="Q251" s="26">
        <f>MAX(0,M251-O251)</f>
        <v>0</v>
      </c>
      <c r="R251" t="inlineStr">
        <is>
          <t>bajo</t>
        </is>
      </c>
      <c r="S251" t="inlineStr">
        <is>
          <t>traslado_fondos</t>
        </is>
      </c>
      <c r="T251" t="inlineStr">
        <is>
          <t>entrada</t>
        </is>
      </c>
      <c r="U251" s="26" t="n">
        <v>560000</v>
      </c>
      <c r="V251" t="inlineStr">
        <is>
          <t>CALI|TRANSPORTADORA_004</t>
        </is>
      </c>
      <c r="W251" t="inlineStr">
        <is>
          <t>CALI|TRANSPORTADORA_003</t>
        </is>
      </c>
      <c r="X251" s="26">
        <f>IF(T251="entrada",M251+U251,IF(T251="salida",M251-U251,M251))</f>
        <v>1452276849</v>
      </c>
      <c r="Y251" s="26" t="n">
        <v>0</v>
      </c>
      <c r="Z251" t="inlineStr">
        <is>
          <t>Menor costo neto entre las alternativas que cubren la necesidad completa</t>
        </is>
      </c>
      <c r="AA251" t="inlineStr">
        <is>
          <t>SUP-08, SUP-10</t>
        </is>
      </c>
      <c r="AB251" t="inlineStr">
        <is>
          <t>Contraparte del traslado P00098 en la denominacion 10000: recibe $560.000 de CALI|TRANSPORTADORA_004. Saldo de esta fila: $1.451.716.849 antes y $1.452.276.849 despues (minimo $1.157.000.000, maximo $3.055.500.000). Necesidad que la origina, en CALI|TRANSPORTADORA_004: Excedente de $555.948 en la denominacion 10000: saldo $39.325.948 sobre el maximo $38.770.000. Elegida: traslado con CALI|TRANSPORTADORA_003 ($560.000; costo $0). Es preferible porque tiene el menor costo neto. Otras alternativas: conservar ($560.000; costo de almacenar $6); consignacion BanRep ($560.000; costo $120.917); venta: no habilitada en este fondo (sin historico o fuera de las ciudades BanRep).</t>
        </is>
      </c>
      <c r="AC251" t="inlineStr">
        <is>
          <t>Cierre del dia anterior (saldo encadenado, RN-71)</t>
        </is>
      </c>
      <c r="AD251" t="inlineStr">
        <is>
          <t>estimada</t>
        </is>
      </c>
      <c r="AE251" t="inlineStr">
        <is>
          <t>Participacion historica por denominacion (SUP-09)</t>
        </is>
      </c>
    </row>
    <row r="252">
      <c r="A252" t="inlineStr">
        <is>
          <t>PRAGMA</t>
        </is>
      </c>
      <c r="B252" t="inlineStr">
        <is>
          <t>CALI|TRANSPORTADORA_003</t>
        </is>
      </c>
      <c r="C252" t="inlineStr">
        <is>
          <t>Cali</t>
        </is>
      </c>
      <c r="D252" t="inlineStr">
        <is>
          <t>TRANSPORTADORA_003</t>
        </is>
      </c>
      <c r="E252" s="23" t="n">
        <v>46265</v>
      </c>
      <c r="F252" s="23" t="n">
        <v>46266</v>
      </c>
      <c r="G252" t="inlineStr">
        <is>
          <t>Sí</t>
        </is>
      </c>
      <c r="H252" s="25" t="n">
        <v>20000</v>
      </c>
      <c r="I252" s="26" t="n">
        <v>2230000000</v>
      </c>
      <c r="J252" s="26" t="n">
        <v>1147690221</v>
      </c>
      <c r="K252" s="26" t="n">
        <v>1364443518</v>
      </c>
      <c r="L252" s="26">
        <f>J252-K252</f>
        <v>-216753297</v>
      </c>
      <c r="M252" s="26">
        <f>I252+L252</f>
        <v>2013246703</v>
      </c>
      <c r="N252" s="26" t="n">
        <v>2240000000</v>
      </c>
      <c r="O252" s="26" t="n">
        <v>7279000000</v>
      </c>
      <c r="P252" s="26">
        <f>MAX(0,N252-M252)</f>
        <v>226753297</v>
      </c>
      <c r="Q252" s="26">
        <f>MAX(0,M252-O252)</f>
        <v>0</v>
      </c>
      <c r="R252" t="inlineStr">
        <is>
          <t>bajo</t>
        </is>
      </c>
      <c r="S252" t="inlineStr">
        <is>
          <t>traslado_fondos</t>
        </is>
      </c>
      <c r="T252" t="inlineStr">
        <is>
          <t>entrada</t>
        </is>
      </c>
      <c r="U252" s="26" t="n">
        <v>226760000</v>
      </c>
      <c r="V252" t="inlineStr">
        <is>
          <t>CALI|TRANSPORTADORA_001</t>
        </is>
      </c>
      <c r="W252" t="inlineStr">
        <is>
          <t>CALI|TRANSPORTADORA_003</t>
        </is>
      </c>
      <c r="X252" s="26">
        <f>IF(T252="entrada",M252+U252,IF(T252="salida",M252-U252,M252))</f>
        <v>2240006703</v>
      </c>
      <c r="Y252" s="26" t="n">
        <v>0</v>
      </c>
      <c r="Z252" t="inlineStr">
        <is>
          <t>Menor costo neto entre las alternativas que cubren la necesidad completa</t>
        </is>
      </c>
      <c r="AA252" t="inlineStr">
        <is>
          <t>SUP-08, SUP-10</t>
        </is>
      </c>
      <c r="AB252" t="inlineStr">
        <is>
          <t>Faltante de $226.753.297 en la denominacion 20000: saldo $2.013.246.703 bajo el minimo $2.240.000.000. Elegida: traslado con CALI|TRANSPORTADORA_001 ($226.760.000; costo $0). Es preferible porque tiene el menor costo neto. Otras alternativas: traslado con CALI|TRANSPORTADORA_002 ($226.760.000; costo $0); traslado con CALI|TRANSPORTADORA_004 ($226.760.000; costo $0); retiro BanRep ($226.760.000; costo $219.832); traslado con IPIALES|TRANSPORTADORA_002 ($226.760.000; costo $360.214); traslado con PASTO|TRANSPORTADORA_001 ($226.760.000; costo $1.025.081); cambio de denominacion: ninguna otra denominacion del fondo supera su maximo.</t>
        </is>
      </c>
      <c r="AC252" t="inlineStr">
        <is>
          <t>Ultimo disponible al 31/08/2026 (SUP-07)</t>
        </is>
      </c>
      <c r="AD252" t="inlineStr">
        <is>
          <t>estimada</t>
        </is>
      </c>
      <c r="AE252" t="inlineStr">
        <is>
          <t>Participacion historica por denominacion (SUP-09)</t>
        </is>
      </c>
    </row>
    <row r="253">
      <c r="A253" t="inlineStr">
        <is>
          <t>PRAGMA</t>
        </is>
      </c>
      <c r="B253" t="inlineStr">
        <is>
          <t>CALI|TRANSPORTADORA_003</t>
        </is>
      </c>
      <c r="C253" t="inlineStr">
        <is>
          <t>Cali</t>
        </is>
      </c>
      <c r="D253" t="inlineStr">
        <is>
          <t>TRANSPORTADORA_003</t>
        </is>
      </c>
      <c r="E253" s="23" t="n">
        <v>46265</v>
      </c>
      <c r="F253" s="23" t="n">
        <v>46267</v>
      </c>
      <c r="G253" t="inlineStr">
        <is>
          <t>Sí</t>
        </is>
      </c>
      <c r="H253" s="25" t="n">
        <v>20000</v>
      </c>
      <c r="I253" s="26" t="n">
        <v>2240006703</v>
      </c>
      <c r="J253" s="26" t="n">
        <v>984251075</v>
      </c>
      <c r="K253" s="26" t="n">
        <v>1111083669</v>
      </c>
      <c r="L253" s="26">
        <f>J253-K253</f>
        <v>-126832594</v>
      </c>
      <c r="M253" s="26">
        <f>I253+L253</f>
        <v>2113174109</v>
      </c>
      <c r="N253" s="26" t="n">
        <v>2240000000</v>
      </c>
      <c r="O253" s="26" t="n">
        <v>7279000000</v>
      </c>
      <c r="P253" s="26">
        <f>MAX(0,N253-M253)</f>
        <v>126825891</v>
      </c>
      <c r="Q253" s="26">
        <f>MAX(0,M253-O253)</f>
        <v>0</v>
      </c>
      <c r="R253" t="inlineStr">
        <is>
          <t>bajo</t>
        </is>
      </c>
      <c r="S253" t="inlineStr">
        <is>
          <t>traslado_fondos</t>
        </is>
      </c>
      <c r="T253" t="inlineStr">
        <is>
          <t>entrada</t>
        </is>
      </c>
      <c r="U253" s="26" t="n">
        <v>126840000</v>
      </c>
      <c r="V253" t="inlineStr">
        <is>
          <t>CALI|TRANSPORTADORA_001</t>
        </is>
      </c>
      <c r="W253" t="inlineStr">
        <is>
          <t>CALI|TRANSPORTADORA_003</t>
        </is>
      </c>
      <c r="X253" s="26">
        <f>IF(T253="entrada",M253+U253,IF(T253="salida",M253-U253,M253))</f>
        <v>2240014109</v>
      </c>
      <c r="Y253" s="26" t="n">
        <v>0</v>
      </c>
      <c r="Z253" t="inlineStr">
        <is>
          <t>Menor costo neto entre las alternativas que cubren la necesidad completa</t>
        </is>
      </c>
      <c r="AA253" t="inlineStr">
        <is>
          <t>SUP-08, SUP-10</t>
        </is>
      </c>
      <c r="AB253" t="inlineStr">
        <is>
          <t>Faltante de $126.825.891 en la denominacion 20000: saldo $2.113.174.109 bajo el minimo $2.240.000.000. Elegida: traslado con CALI|TRANSPORTADORA_001 ($126.840.000; costo $0). Es preferible porque tiene el menor costo neto. Otras alternativas: traslado con CALI|TRANSPORTADORA_002 ($126.840.000; costo $0); traslado con CALI|TRANSPORTADORA_004 ($126.840.000; costo $0); retiro BanRep ($126.840.000; costo $178.864); traslado con IPIALES|TRANSPORTADORA_002 ($126.840.000; costo $273.083); traslado con PASTO|TRANSPORTADORA_001 ($126.840.000; costo $929.458); cambio de denominacion: ninguna otra denominacion del fondo supera su maximo.</t>
        </is>
      </c>
      <c r="AC253" t="inlineStr">
        <is>
          <t>Cierre del dia anterior (saldo encadenado, RN-71)</t>
        </is>
      </c>
      <c r="AD253" t="inlineStr">
        <is>
          <t>estimada</t>
        </is>
      </c>
      <c r="AE253" t="inlineStr">
        <is>
          <t>Participacion historica por denominacion (SUP-09)</t>
        </is>
      </c>
    </row>
    <row r="254">
      <c r="A254" t="inlineStr">
        <is>
          <t>PRAGMA</t>
        </is>
      </c>
      <c r="B254" t="inlineStr">
        <is>
          <t>CALI|TRANSPORTADORA_003</t>
        </is>
      </c>
      <c r="C254" t="inlineStr">
        <is>
          <t>Cali</t>
        </is>
      </c>
      <c r="D254" t="inlineStr">
        <is>
          <t>TRANSPORTADORA_003</t>
        </is>
      </c>
      <c r="E254" s="23" t="n">
        <v>46265</v>
      </c>
      <c r="F254" s="23" t="n">
        <v>46268</v>
      </c>
      <c r="G254" t="inlineStr">
        <is>
          <t>Sí</t>
        </is>
      </c>
      <c r="H254" s="25" t="n">
        <v>20000</v>
      </c>
      <c r="I254" s="26" t="n">
        <v>2240014109</v>
      </c>
      <c r="J254" s="26" t="n">
        <v>1011765901</v>
      </c>
      <c r="K254" s="26" t="n">
        <v>922531449</v>
      </c>
      <c r="L254" s="26">
        <f>J254-K254</f>
        <v>89234452</v>
      </c>
      <c r="M254" s="26">
        <f>I254+L254</f>
        <v>2329248561</v>
      </c>
      <c r="N254" s="26" t="n">
        <v>2240000000</v>
      </c>
      <c r="O254" s="26" t="n">
        <v>7279000000</v>
      </c>
      <c r="P254" s="26">
        <f>MAX(0,N254-M254)</f>
        <v>0</v>
      </c>
      <c r="Q254" s="26">
        <f>MAX(0,M254-O254)</f>
        <v>0</v>
      </c>
      <c r="R254" t="inlineStr">
        <is>
          <t>bajo</t>
        </is>
      </c>
      <c r="S254" t="inlineStr">
        <is>
          <t>sin_accion</t>
        </is>
      </c>
      <c r="T254" t="inlineStr">
        <is>
          <t>ninguno</t>
        </is>
      </c>
      <c r="U254" s="26" t="n">
        <v>0</v>
      </c>
      <c r="X254" s="26">
        <f>IF(T254="entrada",M254+U254,IF(T254="salida",M254-U254,M254))</f>
        <v>2329248561</v>
      </c>
      <c r="Y254" s="26" t="n">
        <v>0</v>
      </c>
      <c r="Z254" t="inlineStr">
        <is>
          <t>RN-85: dentro de niveles objetivo (sin_accion)</t>
        </is>
      </c>
      <c r="AA254" t="inlineStr">
        <is>
          <t>SUP-07, SUP-10</t>
        </is>
      </c>
      <c r="AB254" t="inlineStr">
        <is>
          <t>Saldo dentro del rango objetivo; sin accion.</t>
        </is>
      </c>
      <c r="AC254" t="inlineStr">
        <is>
          <t>Cierre del dia anterior (saldo encadenado, RN-71)</t>
        </is>
      </c>
      <c r="AD254" t="inlineStr">
        <is>
          <t>estimada</t>
        </is>
      </c>
      <c r="AE254" t="inlineStr">
        <is>
          <t>Participacion historica por denominacion (SUP-09)</t>
        </is>
      </c>
    </row>
    <row r="255">
      <c r="A255" t="inlineStr">
        <is>
          <t>PRAGMA</t>
        </is>
      </c>
      <c r="B255" t="inlineStr">
        <is>
          <t>CALI|TRANSPORTADORA_003</t>
        </is>
      </c>
      <c r="C255" t="inlineStr">
        <is>
          <t>Cali</t>
        </is>
      </c>
      <c r="D255" t="inlineStr">
        <is>
          <t>TRANSPORTADORA_003</t>
        </is>
      </c>
      <c r="E255" s="23" t="n">
        <v>46265</v>
      </c>
      <c r="F255" s="23" t="n">
        <v>46269</v>
      </c>
      <c r="G255" t="inlineStr">
        <is>
          <t>Sí</t>
        </is>
      </c>
      <c r="H255" s="25" t="n">
        <v>20000</v>
      </c>
      <c r="I255" s="26" t="n">
        <v>2329248561</v>
      </c>
      <c r="J255" s="26" t="n">
        <v>885610914</v>
      </c>
      <c r="K255" s="26" t="n">
        <v>1053569025</v>
      </c>
      <c r="L255" s="26">
        <f>J255-K255</f>
        <v>-167958111</v>
      </c>
      <c r="M255" s="26">
        <f>I255+L255</f>
        <v>2161290450</v>
      </c>
      <c r="N255" s="26" t="n">
        <v>2240000000</v>
      </c>
      <c r="O255" s="26" t="n">
        <v>7279000000</v>
      </c>
      <c r="P255" s="26">
        <f>MAX(0,N255-M255)</f>
        <v>78709550</v>
      </c>
      <c r="Q255" s="26">
        <f>MAX(0,M255-O255)</f>
        <v>0</v>
      </c>
      <c r="R255" t="inlineStr">
        <is>
          <t>bajo</t>
        </is>
      </c>
      <c r="S255" t="inlineStr">
        <is>
          <t>traslado_fondos</t>
        </is>
      </c>
      <c r="T255" t="inlineStr">
        <is>
          <t>entrada</t>
        </is>
      </c>
      <c r="U255" s="26" t="n">
        <v>78720000</v>
      </c>
      <c r="V255" t="inlineStr">
        <is>
          <t>CALI|TRANSPORTADORA_001</t>
        </is>
      </c>
      <c r="W255" t="inlineStr">
        <is>
          <t>CALI|TRANSPORTADORA_003</t>
        </is>
      </c>
      <c r="X255" s="26">
        <f>IF(T255="entrada",M255+U255,IF(T255="salida",M255-U255,M255))</f>
        <v>2240010450</v>
      </c>
      <c r="Y255" s="26" t="n">
        <v>0</v>
      </c>
      <c r="Z255" t="inlineStr">
        <is>
          <t>Menor costo neto entre las alternativas que cubren la necesidad completa</t>
        </is>
      </c>
      <c r="AA255" t="inlineStr">
        <is>
          <t>SUP-08, SUP-10</t>
        </is>
      </c>
      <c r="AB255" t="inlineStr">
        <is>
          <t>Faltante de $78.709.550 en la denominacion 20000: saldo $2.161.290.450 bajo el minimo $2.240.000.000. Elegida: traslado con CALI|TRANSPORTADORA_001 ($78.720.000; costo $0). Es preferible porque tiene el menor costo neto. Otras alternativas: traslado con CALI|TRANSPORTADORA_002 ($78.720.000; costo $0); traslado con CALI|TRANSPORTADORA_004 ($78.720.000; costo $0); retiro BanRep ($78.720.000; costo $159.135); traslado con IPIALES|TRANSPORTADORA_002 ($78.720.000; costo $231.123); traslado con PASTO|TRANSPORTADORA_001 ($78.720.000; costo $883.407); cambio de denominacion: ninguna otra denominacion del fondo supera su maximo.</t>
        </is>
      </c>
      <c r="AC255" t="inlineStr">
        <is>
          <t>Cierre del dia anterior (saldo encadenado, RN-71)</t>
        </is>
      </c>
      <c r="AD255" t="inlineStr">
        <is>
          <t>estimada</t>
        </is>
      </c>
      <c r="AE255" t="inlineStr">
        <is>
          <t>Participacion historica por denominacion (SUP-09)</t>
        </is>
      </c>
    </row>
    <row r="256">
      <c r="A256" t="inlineStr">
        <is>
          <t>PRAGMA</t>
        </is>
      </c>
      <c r="B256" t="inlineStr">
        <is>
          <t>CALI|TRANSPORTADORA_003</t>
        </is>
      </c>
      <c r="C256" t="inlineStr">
        <is>
          <t>Cali</t>
        </is>
      </c>
      <c r="D256" t="inlineStr">
        <is>
          <t>TRANSPORTADORA_003</t>
        </is>
      </c>
      <c r="E256" s="23" t="n">
        <v>46265</v>
      </c>
      <c r="F256" s="23" t="n">
        <v>46270</v>
      </c>
      <c r="G256" t="inlineStr">
        <is>
          <t>No</t>
        </is>
      </c>
      <c r="H256" s="25" t="n">
        <v>20000</v>
      </c>
      <c r="I256" s="26" t="n">
        <v>2240010450</v>
      </c>
      <c r="J256" s="26" t="n">
        <v>459412675</v>
      </c>
      <c r="K256" s="26" t="n">
        <v>878606826</v>
      </c>
      <c r="L256" s="26">
        <f>J256-K256</f>
        <v>-419194151</v>
      </c>
      <c r="M256" s="26">
        <f>I256+L256</f>
        <v>1820816299</v>
      </c>
      <c r="N256" s="26" t="n">
        <v>2240000000</v>
      </c>
      <c r="O256" s="26" t="n">
        <v>7279000000</v>
      </c>
      <c r="P256" s="26">
        <f>MAX(0,N256-M256)</f>
        <v>419183701</v>
      </c>
      <c r="Q256" s="26">
        <f>MAX(0,M256-O256)</f>
        <v>0</v>
      </c>
      <c r="R256" t="inlineStr">
        <is>
          <t>bajo</t>
        </is>
      </c>
      <c r="S256" t="inlineStr">
        <is>
          <t>traslado_fondos</t>
        </is>
      </c>
      <c r="T256" t="inlineStr">
        <is>
          <t>entrada</t>
        </is>
      </c>
      <c r="U256" s="26" t="n">
        <v>419200000</v>
      </c>
      <c r="V256" t="inlineStr">
        <is>
          <t>CALI|TRANSPORTADORA_001</t>
        </is>
      </c>
      <c r="W256" t="inlineStr">
        <is>
          <t>CALI|TRANSPORTADORA_003</t>
        </is>
      </c>
      <c r="X256" s="26">
        <f>IF(T256="entrada",M256+U256,IF(T256="salida",M256-U256,M256))</f>
        <v>2240016299</v>
      </c>
      <c r="Y256" s="26" t="n">
        <v>0</v>
      </c>
      <c r="Z256" t="inlineStr">
        <is>
          <t>Menor costo neto entre las alternativas que cubren la necesidad completa</t>
        </is>
      </c>
      <c r="AA256" t="inlineStr">
        <is>
          <t>SUP-08, SUP-10</t>
        </is>
      </c>
      <c r="AB256" t="inlineStr">
        <is>
          <t>Faltante de $419.183.701 en la denominacion 20000: saldo $1.820.816.299 bajo el minimo $2.240.000.000. Elegida: traslado con CALI|TRANSPORTADORA_001 ($419.200.000; costo $0). Es preferible porque tiene el menor costo neto. Otras alternativas: traslado con CALI|TRANSPORTADORA_002 ($419.200.000; costo $0); traslado con CALI|TRANSPORTADORA_004 ($252.320.000; costo $0, cubre solo una parte); traslado con IPIALES|TRANSPORTADORA_002 ($419.200.000; costo $528.021); traslado con PASTO|TRANSPORTADORA_001 ($419.200.000; costo $1.209.246); retiro BanRep: dia no habil (sabado, domingo o festivo; RN-71A); cambio de denominacion: dia no habil (sabado, domingo o festivo; RN-71A).</t>
        </is>
      </c>
      <c r="AC256" t="inlineStr">
        <is>
          <t>Cierre del dia anterior (saldo encadenado, RN-71)</t>
        </is>
      </c>
      <c r="AD256" t="inlineStr">
        <is>
          <t>estimada</t>
        </is>
      </c>
      <c r="AE256" t="inlineStr">
        <is>
          <t>Participacion historica por denominacion (SUP-09)</t>
        </is>
      </c>
    </row>
    <row r="257">
      <c r="A257" t="inlineStr">
        <is>
          <t>PRAGMA</t>
        </is>
      </c>
      <c r="B257" t="inlineStr">
        <is>
          <t>CALI|TRANSPORTADORA_003</t>
        </is>
      </c>
      <c r="C257" t="inlineStr">
        <is>
          <t>Cali</t>
        </is>
      </c>
      <c r="D257" t="inlineStr">
        <is>
          <t>TRANSPORTADORA_003</t>
        </is>
      </c>
      <c r="E257" s="23" t="n">
        <v>46265</v>
      </c>
      <c r="F257" s="23" t="n">
        <v>46271</v>
      </c>
      <c r="G257" t="inlineStr">
        <is>
          <t>No</t>
        </is>
      </c>
      <c r="H257" s="25" t="n">
        <v>20000</v>
      </c>
      <c r="I257" s="26" t="n">
        <v>2240016299</v>
      </c>
      <c r="J257" s="26" t="n">
        <v>233301067</v>
      </c>
      <c r="K257" s="26" t="n">
        <v>505561996</v>
      </c>
      <c r="L257" s="26">
        <f>J257-K257</f>
        <v>-272260929</v>
      </c>
      <c r="M257" s="26">
        <f>I257+L257</f>
        <v>1967755370</v>
      </c>
      <c r="N257" s="26" t="n">
        <v>2240000000</v>
      </c>
      <c r="O257" s="26" t="n">
        <v>7279000000</v>
      </c>
      <c r="P257" s="26">
        <f>MAX(0,N257-M257)</f>
        <v>272244630</v>
      </c>
      <c r="Q257" s="26">
        <f>MAX(0,M257-O257)</f>
        <v>0</v>
      </c>
      <c r="R257" t="inlineStr">
        <is>
          <t>bajo</t>
        </is>
      </c>
      <c r="S257" t="inlineStr">
        <is>
          <t>traslado_fondos</t>
        </is>
      </c>
      <c r="T257" t="inlineStr">
        <is>
          <t>entrada</t>
        </is>
      </c>
      <c r="U257" s="26" t="n">
        <v>272260000</v>
      </c>
      <c r="V257" t="inlineStr">
        <is>
          <t>CALI|TRANSPORTADORA_001</t>
        </is>
      </c>
      <c r="W257" t="inlineStr">
        <is>
          <t>CALI|TRANSPORTADORA_003</t>
        </is>
      </c>
      <c r="X257" s="26">
        <f>IF(T257="entrada",M257+U257,IF(T257="salida",M257-U257,M257))</f>
        <v>2240015370</v>
      </c>
      <c r="Y257" s="26" t="n">
        <v>0</v>
      </c>
      <c r="Z257" t="inlineStr">
        <is>
          <t>Menor costo neto entre las alternativas que cubren la necesidad completa</t>
        </is>
      </c>
      <c r="AA257" t="inlineStr">
        <is>
          <t>SUP-08, SUP-10</t>
        </is>
      </c>
      <c r="AB257" t="inlineStr">
        <is>
          <t>Faltante de $272.244.629 en la denominacion 20000: saldo $1.967.755.371 bajo el minimo $2.240.000.000. Elegida: traslado con CALI|TRANSPORTADORA_001 ($272.260.000; costo $0). Es preferible porque tiene el menor costo neto. Otras alternativas: traslado con CALI|TRANSPORTADORA_002 ($272.260.000; costo $0); traslado con CALI|TRANSPORTADORA_004 ($253.080.000; costo $0, cubre solo una parte); traslado con IPIALES|TRANSPORTADORA_002 ($272.260.000; costo $399.890); traslado con PASTO|TRANSPORTADORA_001 ($272.260.000; costo $1.068.625); retiro BanRep: dia no habil (sabado, domingo o festivo; RN-71A); cambio de denominacion: dia no habil (sabado, domingo o festivo; RN-71A).</t>
        </is>
      </c>
      <c r="AC257" t="inlineStr">
        <is>
          <t>Cierre del dia anterior (saldo encadenado, RN-71)</t>
        </is>
      </c>
      <c r="AD257" t="inlineStr">
        <is>
          <t>estimada</t>
        </is>
      </c>
      <c r="AE257" t="inlineStr">
        <is>
          <t>Participacion historica por denominacion (SUP-09)</t>
        </is>
      </c>
    </row>
    <row r="258">
      <c r="A258" t="inlineStr">
        <is>
          <t>PRAGMA</t>
        </is>
      </c>
      <c r="B258" t="inlineStr">
        <is>
          <t>CALI|TRANSPORTADORA_003</t>
        </is>
      </c>
      <c r="C258" t="inlineStr">
        <is>
          <t>Cali</t>
        </is>
      </c>
      <c r="D258" t="inlineStr">
        <is>
          <t>TRANSPORTADORA_003</t>
        </is>
      </c>
      <c r="E258" s="23" t="n">
        <v>46265</v>
      </c>
      <c r="F258" s="23" t="n">
        <v>46272</v>
      </c>
      <c r="G258" t="inlineStr">
        <is>
          <t>Sí</t>
        </is>
      </c>
      <c r="H258" s="25" t="n">
        <v>20000</v>
      </c>
      <c r="I258" s="26" t="n">
        <v>2240015371</v>
      </c>
      <c r="J258" s="26" t="n">
        <v>790003619</v>
      </c>
      <c r="K258" s="26" t="n">
        <v>801235417</v>
      </c>
      <c r="L258" s="26">
        <f>J258-K258</f>
        <v>-11231798</v>
      </c>
      <c r="M258" s="26">
        <f>I258+L258</f>
        <v>2228783573</v>
      </c>
      <c r="N258" s="26" t="n">
        <v>2240000000</v>
      </c>
      <c r="O258" s="26" t="n">
        <v>7279000000</v>
      </c>
      <c r="P258" s="26">
        <f>MAX(0,N258-M258)</f>
        <v>11216427</v>
      </c>
      <c r="Q258" s="26">
        <f>MAX(0,M258-O258)</f>
        <v>0</v>
      </c>
      <c r="R258" t="inlineStr">
        <is>
          <t>bajo</t>
        </is>
      </c>
      <c r="S258" t="inlineStr">
        <is>
          <t>traslado_fondos</t>
        </is>
      </c>
      <c r="T258" t="inlineStr">
        <is>
          <t>entrada</t>
        </is>
      </c>
      <c r="U258" s="26" t="n">
        <v>11220000</v>
      </c>
      <c r="V258" t="inlineStr">
        <is>
          <t>CALI|TRANSPORTADORA_001</t>
        </is>
      </c>
      <c r="W258" t="inlineStr">
        <is>
          <t>CALI|TRANSPORTADORA_003</t>
        </is>
      </c>
      <c r="X258" s="26">
        <f>IF(T258="entrada",M258+U258,IF(T258="salida",M258-U258,M258))</f>
        <v>2240003573</v>
      </c>
      <c r="Y258" s="26" t="n">
        <v>0</v>
      </c>
      <c r="Z258" t="inlineStr">
        <is>
          <t>Menor costo neto entre las alternativas que cubren la necesidad completa</t>
        </is>
      </c>
      <c r="AA258" t="inlineStr">
        <is>
          <t>SUP-08, SUP-10</t>
        </is>
      </c>
      <c r="AB258" t="inlineStr">
        <is>
          <t>Faltante de $11.216.427 en la denominacion 20000: saldo $2.228.783.573 bajo el minimo $2.240.000.000. Elegida: traslado con CALI|TRANSPORTADORA_001 ($11.220.000; costo $0). Es preferible porque tiene el menor costo neto. Otras alternativas: traslado con CALI|TRANSPORTADORA_002 ($11.220.000; costo $0); traslado con CALI|TRANSPORTADORA_004 ($11.220.000; costo $0); retiro BanRep ($11.220.000; costo $131.460); traslado con IPIALES|TRANSPORTADORA_002 ($11.220.000; costo $172.263); traslado con PASTO|TRANSPORTADORA_001 ($11.220.000; costo $818.810); cambio de denominacion: ninguna otra denominacion del fondo supera su maximo.</t>
        </is>
      </c>
      <c r="AC258" t="inlineStr">
        <is>
          <t>Cierre del dia anterior (saldo encadenado, RN-71)</t>
        </is>
      </c>
      <c r="AD258" t="inlineStr">
        <is>
          <t>estimada</t>
        </is>
      </c>
      <c r="AE258" t="inlineStr">
        <is>
          <t>Participacion historica por denominacion (SUP-09)</t>
        </is>
      </c>
    </row>
    <row r="259">
      <c r="A259" t="inlineStr">
        <is>
          <t>PRAGMA</t>
        </is>
      </c>
      <c r="B259" t="inlineStr">
        <is>
          <t>CALI|TRANSPORTADORA_003</t>
        </is>
      </c>
      <c r="C259" t="inlineStr">
        <is>
          <t>Cali</t>
        </is>
      </c>
      <c r="D259" t="inlineStr">
        <is>
          <t>TRANSPORTADORA_003</t>
        </is>
      </c>
      <c r="E259" s="23" t="n">
        <v>46265</v>
      </c>
      <c r="F259" s="23" t="n">
        <v>46273</v>
      </c>
      <c r="G259" t="inlineStr">
        <is>
          <t>Sí</t>
        </is>
      </c>
      <c r="H259" s="25" t="n">
        <v>20000</v>
      </c>
      <c r="I259" s="26" t="n">
        <v>2240003573</v>
      </c>
      <c r="J259" s="26" t="n">
        <v>1139306899</v>
      </c>
      <c r="K259" s="26" t="n">
        <v>805289886</v>
      </c>
      <c r="L259" s="26">
        <f>J259-K259</f>
        <v>334017013</v>
      </c>
      <c r="M259" s="26">
        <f>I259+L259</f>
        <v>2574020586</v>
      </c>
      <c r="N259" s="26" t="n">
        <v>2240000000</v>
      </c>
      <c r="O259" s="26" t="n">
        <v>7279000000</v>
      </c>
      <c r="P259" s="26">
        <f>MAX(0,N259-M259)</f>
        <v>0</v>
      </c>
      <c r="Q259" s="26">
        <f>MAX(0,M259-O259)</f>
        <v>0</v>
      </c>
      <c r="R259" t="inlineStr">
        <is>
          <t>bajo</t>
        </is>
      </c>
      <c r="S259" t="inlineStr">
        <is>
          <t>traslado_fondos</t>
        </is>
      </c>
      <c r="T259" t="inlineStr">
        <is>
          <t>entrada</t>
        </is>
      </c>
      <c r="U259" s="26" t="n">
        <v>5680000</v>
      </c>
      <c r="V259" t="inlineStr">
        <is>
          <t>CALI|TRANSPORTADORA_004</t>
        </is>
      </c>
      <c r="W259" t="inlineStr">
        <is>
          <t>CALI|TRANSPORTADORA_003</t>
        </is>
      </c>
      <c r="X259" s="26">
        <f>IF(T259="entrada",M259+U259,IF(T259="salida",M259-U259,M259))</f>
        <v>2579700586</v>
      </c>
      <c r="Y259" s="26" t="n">
        <v>0</v>
      </c>
      <c r="Z259" t="inlineStr">
        <is>
          <t>Menor costo neto entre las alternativas que cubren la necesidad completa</t>
        </is>
      </c>
      <c r="AA259" t="inlineStr">
        <is>
          <t>SUP-08, SUP-10</t>
        </is>
      </c>
      <c r="AB259" t="inlineStr">
        <is>
          <t>Contraparte del traslado P00060 en la denominacion 20000: recibe $5.680.000 de CALI|TRANSPORTADORA_004. Saldo de esta fila: $2.574.020.586 antes y $2.579.700.586 despues (minimo $2.240.000.000, maximo $7.279.000.000). Necesidad que la origina, en CALI|TRANSPORTADORA_004: Excedente de $5.672.751 en la denominacion 20000: saldo $262.262.751 sobre el maximo $256.590.000. Elegida: traslado con CALI|TRANSPORTADORA_003 ($5.680.000; costo $0). Es preferible porque tiene el menor costo neto. Otras alternativas: conservar ($5.680.000; costo de almacenar $478); consignacion BanRep ($5.680.000; costo $122.315); venta: no habilitada en este fondo (sin historico o fuera de las ciudades BanRep); traslado hacia 1 fondo(s) con espacio: ruta sin tarifa en el Anexo E (prohibida).</t>
        </is>
      </c>
      <c r="AC259" t="inlineStr">
        <is>
          <t>Cierre del dia anterior (saldo encadenado, RN-71)</t>
        </is>
      </c>
      <c r="AD259" t="inlineStr">
        <is>
          <t>estimada</t>
        </is>
      </c>
      <c r="AE259" t="inlineStr">
        <is>
          <t>Participacion historica por denominacion (SUP-09)</t>
        </is>
      </c>
    </row>
    <row r="260">
      <c r="A260" t="inlineStr">
        <is>
          <t>PRAGMA</t>
        </is>
      </c>
      <c r="B260" t="inlineStr">
        <is>
          <t>CALI|TRANSPORTADORA_003</t>
        </is>
      </c>
      <c r="C260" t="inlineStr">
        <is>
          <t>Cali</t>
        </is>
      </c>
      <c r="D260" t="inlineStr">
        <is>
          <t>TRANSPORTADORA_003</t>
        </is>
      </c>
      <c r="E260" s="23" t="n">
        <v>46265</v>
      </c>
      <c r="F260" s="23" t="n">
        <v>46274</v>
      </c>
      <c r="G260" t="inlineStr">
        <is>
          <t>Sí</t>
        </is>
      </c>
      <c r="H260" s="25" t="n">
        <v>20000</v>
      </c>
      <c r="I260" s="26" t="n">
        <v>2579700586</v>
      </c>
      <c r="J260" s="26" t="n">
        <v>1067966014</v>
      </c>
      <c r="K260" s="26" t="n">
        <v>794539172</v>
      </c>
      <c r="L260" s="26">
        <f>J260-K260</f>
        <v>273426842</v>
      </c>
      <c r="M260" s="26">
        <f>I260+L260</f>
        <v>2853127428</v>
      </c>
      <c r="N260" s="26" t="n">
        <v>2240000000</v>
      </c>
      <c r="O260" s="26" t="n">
        <v>7279000000</v>
      </c>
      <c r="P260" s="26">
        <f>MAX(0,N260-M260)</f>
        <v>0</v>
      </c>
      <c r="Q260" s="26">
        <f>MAX(0,M260-O260)</f>
        <v>0</v>
      </c>
      <c r="R260" t="inlineStr">
        <is>
          <t>bajo</t>
        </is>
      </c>
      <c r="S260" t="inlineStr">
        <is>
          <t>traslado_fondos</t>
        </is>
      </c>
      <c r="T260" t="inlineStr">
        <is>
          <t>entrada</t>
        </is>
      </c>
      <c r="U260" s="26" t="n">
        <v>5340000</v>
      </c>
      <c r="V260" t="inlineStr">
        <is>
          <t>CALI|TRANSPORTADORA_004</t>
        </is>
      </c>
      <c r="W260" t="inlineStr">
        <is>
          <t>CALI|TRANSPORTADORA_003</t>
        </is>
      </c>
      <c r="X260" s="26">
        <f>IF(T260="entrada",M260+U260,IF(T260="salida",M260-U260,M260))</f>
        <v>2858467428</v>
      </c>
      <c r="Y260" s="26" t="n">
        <v>0</v>
      </c>
      <c r="Z260" t="inlineStr">
        <is>
          <t>Menor costo neto entre las alternativas que cubren la necesidad completa</t>
        </is>
      </c>
      <c r="AA260" t="inlineStr">
        <is>
          <t>SUP-08, SUP-10</t>
        </is>
      </c>
      <c r="AB260" t="inlineStr">
        <is>
          <t>Contraparte del traslado P00065 en la denominacion 20000: recibe $5.340.000 de CALI|TRANSPORTADORA_004. Saldo de esta fila: $2.853.127.428 antes y $2.858.467.428 despues (minimo $2.240.000.000, maximo $7.279.000.000). Necesidad que la origina, en CALI|TRANSPORTADORA_004: Excedente de $5.336.906 en la denominacion 20000: saldo $261.926.906 sobre el maximo $256.590.000. Elegida: traslado con CALI|TRANSPORTADORA_003 ($5.340.000; costo $0). Es preferible porque tiene el menor costo neto. Otras alternativas: conservar ($5.340.000; costo de almacenar $393); consignacion BanRep ($5.340.000; costo $122.222); venta: no habilitada en este fondo (sin historico o fuera de las ciudades BanRep); traslado hacia 1 fondo(s) con espacio: ruta sin tarifa en el Anexo E (prohibida).</t>
        </is>
      </c>
      <c r="AC260" t="inlineStr">
        <is>
          <t>Cierre del dia anterior (saldo encadenado, RN-71)</t>
        </is>
      </c>
      <c r="AD260" t="inlineStr">
        <is>
          <t>estimada</t>
        </is>
      </c>
      <c r="AE260" t="inlineStr">
        <is>
          <t>Participacion historica por denominacion (SUP-09)</t>
        </is>
      </c>
    </row>
    <row r="261">
      <c r="A261" t="inlineStr">
        <is>
          <t>PRAGMA</t>
        </is>
      </c>
      <c r="B261" t="inlineStr">
        <is>
          <t>CALI|TRANSPORTADORA_003</t>
        </is>
      </c>
      <c r="C261" t="inlineStr">
        <is>
          <t>Cali</t>
        </is>
      </c>
      <c r="D261" t="inlineStr">
        <is>
          <t>TRANSPORTADORA_003</t>
        </is>
      </c>
      <c r="E261" s="23" t="n">
        <v>46265</v>
      </c>
      <c r="F261" s="23" t="n">
        <v>46275</v>
      </c>
      <c r="G261" t="inlineStr">
        <is>
          <t>Sí</t>
        </is>
      </c>
      <c r="H261" s="25" t="n">
        <v>20000</v>
      </c>
      <c r="I261" s="26" t="n">
        <v>2858467428</v>
      </c>
      <c r="J261" s="26" t="n">
        <v>1063391314</v>
      </c>
      <c r="K261" s="26" t="n">
        <v>726591401</v>
      </c>
      <c r="L261" s="26">
        <f>J261-K261</f>
        <v>336799913</v>
      </c>
      <c r="M261" s="26">
        <f>I261+L261</f>
        <v>3195267341</v>
      </c>
      <c r="N261" s="26" t="n">
        <v>2240000000</v>
      </c>
      <c r="O261" s="26" t="n">
        <v>7279000000</v>
      </c>
      <c r="P261" s="26">
        <f>MAX(0,N261-M261)</f>
        <v>0</v>
      </c>
      <c r="Q261" s="26">
        <f>MAX(0,M261-O261)</f>
        <v>0</v>
      </c>
      <c r="R261" t="inlineStr">
        <is>
          <t>bajo</t>
        </is>
      </c>
      <c r="S261" t="inlineStr">
        <is>
          <t>traslado_fondos</t>
        </is>
      </c>
      <c r="T261" t="inlineStr">
        <is>
          <t>entrada</t>
        </is>
      </c>
      <c r="U261" s="26" t="n">
        <v>4440000</v>
      </c>
      <c r="V261" t="inlineStr">
        <is>
          <t>CALI|TRANSPORTADORA_004</t>
        </is>
      </c>
      <c r="W261" t="inlineStr">
        <is>
          <t>CALI|TRANSPORTADORA_003</t>
        </is>
      </c>
      <c r="X261" s="26">
        <f>IF(T261="entrada",M261+U261,IF(T261="salida",M261-U261,M261))</f>
        <v>3199707341</v>
      </c>
      <c r="Y261" s="26" t="n">
        <v>0</v>
      </c>
      <c r="Z261" t="inlineStr">
        <is>
          <t>Menor costo neto entre las alternativas que cubren la necesidad completa</t>
        </is>
      </c>
      <c r="AA261" t="inlineStr">
        <is>
          <t>SUP-08, SUP-10</t>
        </is>
      </c>
      <c r="AB261" t="inlineStr">
        <is>
          <t>Contraparte del traslado P00070 en la denominacion 20000: recibe $4.440.000 de CALI|TRANSPORTADORA_004. Saldo de esta fila: $3.195.267.341 antes y $3.199.707.341 despues (minimo $2.240.000.000, maximo $7.279.000.000). Necesidad que la origina, en CALI|TRANSPORTADORA_004: Excedente de $4.426.116 en la denominacion 20000: saldo $261.016.116 sobre el maximo $256.590.000. Elegida: traslado con CALI|TRANSPORTADORA_003 ($4.440.000; costo $0). Es preferible porque tiene el menor costo neto. Otras alternativas: conservar ($4.440.000; costo de almacenar $280); consignacion BanRep ($4.440.000; costo $121.976); venta: no habilitada en este fondo (sin historico o fuera de las ciudades BanRep); traslado hacia 1 fondo(s) con espacio: ruta sin tarifa en el Anexo E (prohibida).</t>
        </is>
      </c>
      <c r="AC261" t="inlineStr">
        <is>
          <t>Cierre del dia anterior (saldo encadenado, RN-71)</t>
        </is>
      </c>
      <c r="AD261" t="inlineStr">
        <is>
          <t>estimada</t>
        </is>
      </c>
      <c r="AE261" t="inlineStr">
        <is>
          <t>Participacion historica por denominacion (SUP-09)</t>
        </is>
      </c>
    </row>
    <row r="262">
      <c r="A262" t="inlineStr">
        <is>
          <t>PRAGMA</t>
        </is>
      </c>
      <c r="B262" t="inlineStr">
        <is>
          <t>CALI|TRANSPORTADORA_003</t>
        </is>
      </c>
      <c r="C262" t="inlineStr">
        <is>
          <t>Cali</t>
        </is>
      </c>
      <c r="D262" t="inlineStr">
        <is>
          <t>TRANSPORTADORA_003</t>
        </is>
      </c>
      <c r="E262" s="23" t="n">
        <v>46265</v>
      </c>
      <c r="F262" s="23" t="n">
        <v>46276</v>
      </c>
      <c r="G262" t="inlineStr">
        <is>
          <t>Sí</t>
        </is>
      </c>
      <c r="H262" s="25" t="n">
        <v>20000</v>
      </c>
      <c r="I262" s="26" t="n">
        <v>3199707341</v>
      </c>
      <c r="J262" s="26" t="n">
        <v>867351957</v>
      </c>
      <c r="K262" s="26" t="n">
        <v>817153575</v>
      </c>
      <c r="L262" s="26">
        <f>J262-K262</f>
        <v>50198382</v>
      </c>
      <c r="M262" s="26">
        <f>I262+L262</f>
        <v>3249905723</v>
      </c>
      <c r="N262" s="26" t="n">
        <v>2240000000</v>
      </c>
      <c r="O262" s="26" t="n">
        <v>7279000000</v>
      </c>
      <c r="P262" s="26">
        <f>MAX(0,N262-M262)</f>
        <v>0</v>
      </c>
      <c r="Q262" s="26">
        <f>MAX(0,M262-O262)</f>
        <v>0</v>
      </c>
      <c r="R262" t="inlineStr">
        <is>
          <t>bajo</t>
        </is>
      </c>
      <c r="S262" t="inlineStr">
        <is>
          <t>traslado_fondos</t>
        </is>
      </c>
      <c r="T262" t="inlineStr">
        <is>
          <t>entrada</t>
        </is>
      </c>
      <c r="U262" s="26" t="n">
        <v>3440000</v>
      </c>
      <c r="V262" t="inlineStr">
        <is>
          <t>CALI|TRANSPORTADORA_004</t>
        </is>
      </c>
      <c r="W262" t="inlineStr">
        <is>
          <t>CALI|TRANSPORTADORA_003</t>
        </is>
      </c>
      <c r="X262" s="26">
        <f>IF(T262="entrada",M262+U262,IF(T262="salida",M262-U262,M262))</f>
        <v>3253345723</v>
      </c>
      <c r="Y262" s="26" t="n">
        <v>0</v>
      </c>
      <c r="Z262" t="inlineStr">
        <is>
          <t>Menor costo neto entre las alternativas que cubren la necesidad completa</t>
        </is>
      </c>
      <c r="AA262" t="inlineStr">
        <is>
          <t>SUP-08, SUP-10</t>
        </is>
      </c>
      <c r="AB262" t="inlineStr">
        <is>
          <t>Contraparte del traslado P00075 en la denominacion 20000: recibe $3.440.000 de CALI|TRANSPORTADORA_004. Saldo de esta fila: $3.249.905.723 antes y $3.253.345.723 despues (minimo $2.240.000.000, maximo $7.279.000.000). Necesidad que la origina, en CALI|TRANSPORTADORA_004: Excedente de $3.431.191 en la denominacion 20000: saldo $260.021.191 sobre el maximo $256.590.000. Elegida: traslado con CALI|TRANSPORTADORA_003 ($3.440.000; costo $0). Es preferible porque tiene el menor costo neto. Otras alternativas: conservar ($3.440.000; costo de almacenar $181); consignacion BanRep ($3.440.000; costo $121.703); venta: no habilitada en este fondo (sin historico o fuera de las ciudades BanRep).</t>
        </is>
      </c>
      <c r="AC262" t="inlineStr">
        <is>
          <t>Cierre del dia anterior (saldo encadenado, RN-71)</t>
        </is>
      </c>
      <c r="AD262" t="inlineStr">
        <is>
          <t>estimada</t>
        </is>
      </c>
      <c r="AE262" t="inlineStr">
        <is>
          <t>Participacion historica por denominacion (SUP-09)</t>
        </is>
      </c>
    </row>
    <row r="263">
      <c r="A263" t="inlineStr">
        <is>
          <t>PRAGMA</t>
        </is>
      </c>
      <c r="B263" t="inlineStr">
        <is>
          <t>CALI|TRANSPORTADORA_003</t>
        </is>
      </c>
      <c r="C263" t="inlineStr">
        <is>
          <t>Cali</t>
        </is>
      </c>
      <c r="D263" t="inlineStr">
        <is>
          <t>TRANSPORTADORA_003</t>
        </is>
      </c>
      <c r="E263" s="23" t="n">
        <v>46265</v>
      </c>
      <c r="F263" s="23" t="n">
        <v>46277</v>
      </c>
      <c r="G263" t="inlineStr">
        <is>
          <t>No</t>
        </is>
      </c>
      <c r="H263" s="25" t="n">
        <v>20000</v>
      </c>
      <c r="I263" s="26" t="n">
        <v>3253345723</v>
      </c>
      <c r="J263" s="26" t="n">
        <v>467129485</v>
      </c>
      <c r="K263" s="26" t="n">
        <v>690421537</v>
      </c>
      <c r="L263" s="26">
        <f>J263-K263</f>
        <v>-223292052</v>
      </c>
      <c r="M263" s="26">
        <f>I263+L263</f>
        <v>3030053671</v>
      </c>
      <c r="N263" s="26" t="n">
        <v>2240000000</v>
      </c>
      <c r="O263" s="26" t="n">
        <v>7279000000</v>
      </c>
      <c r="P263" s="26">
        <f>MAX(0,N263-M263)</f>
        <v>0</v>
      </c>
      <c r="Q263" s="26">
        <f>MAX(0,M263-O263)</f>
        <v>0</v>
      </c>
      <c r="R263" t="inlineStr">
        <is>
          <t>bajo</t>
        </is>
      </c>
      <c r="S263" t="inlineStr">
        <is>
          <t>sin_accion</t>
        </is>
      </c>
      <c r="T263" t="inlineStr">
        <is>
          <t>ninguno</t>
        </is>
      </c>
      <c r="U263" s="26" t="n">
        <v>0</v>
      </c>
      <c r="X263" s="26">
        <f>IF(T263="entrada",M263+U263,IF(T263="salida",M263-U263,M263))</f>
        <v>3030053671</v>
      </c>
      <c r="Y263" s="26" t="n">
        <v>0</v>
      </c>
      <c r="Z263" t="inlineStr">
        <is>
          <t>RN-85: dentro de niveles objetivo (sin_accion)</t>
        </is>
      </c>
      <c r="AA263" t="inlineStr">
        <is>
          <t>SUP-07, SUP-10</t>
        </is>
      </c>
      <c r="AB263" t="inlineStr">
        <is>
          <t>Saldo dentro del rango objetivo; sin accion.</t>
        </is>
      </c>
      <c r="AC263" t="inlineStr">
        <is>
          <t>Cierre del dia anterior (saldo encadenado, RN-71)</t>
        </is>
      </c>
      <c r="AD263" t="inlineStr">
        <is>
          <t>estimada</t>
        </is>
      </c>
      <c r="AE263" t="inlineStr">
        <is>
          <t>Participacion historica por denominacion (SUP-09)</t>
        </is>
      </c>
    </row>
    <row r="264">
      <c r="A264" t="inlineStr">
        <is>
          <t>PRAGMA</t>
        </is>
      </c>
      <c r="B264" t="inlineStr">
        <is>
          <t>CALI|TRANSPORTADORA_003</t>
        </is>
      </c>
      <c r="C264" t="inlineStr">
        <is>
          <t>Cali</t>
        </is>
      </c>
      <c r="D264" t="inlineStr">
        <is>
          <t>TRANSPORTADORA_003</t>
        </is>
      </c>
      <c r="E264" s="23" t="n">
        <v>46265</v>
      </c>
      <c r="F264" s="23" t="n">
        <v>46278</v>
      </c>
      <c r="G264" t="inlineStr">
        <is>
          <t>No</t>
        </is>
      </c>
      <c r="H264" s="25" t="n">
        <v>20000</v>
      </c>
      <c r="I264" s="26" t="n">
        <v>3030053672</v>
      </c>
      <c r="J264" s="26" t="n">
        <v>191215530</v>
      </c>
      <c r="K264" s="26" t="n">
        <v>383498433</v>
      </c>
      <c r="L264" s="26">
        <f>J264-K264</f>
        <v>-192282903</v>
      </c>
      <c r="M264" s="26">
        <f>I264+L264</f>
        <v>2837770769</v>
      </c>
      <c r="N264" s="26" t="n">
        <v>2240000000</v>
      </c>
      <c r="O264" s="26" t="n">
        <v>7279000000</v>
      </c>
      <c r="P264" s="26">
        <f>MAX(0,N264-M264)</f>
        <v>0</v>
      </c>
      <c r="Q264" s="26">
        <f>MAX(0,M264-O264)</f>
        <v>0</v>
      </c>
      <c r="R264" t="inlineStr">
        <is>
          <t>bajo</t>
        </is>
      </c>
      <c r="S264" t="inlineStr">
        <is>
          <t>sin_accion</t>
        </is>
      </c>
      <c r="T264" t="inlineStr">
        <is>
          <t>ninguno</t>
        </is>
      </c>
      <c r="U264" s="26" t="n">
        <v>0</v>
      </c>
      <c r="X264" s="26">
        <f>IF(T264="entrada",M264+U264,IF(T264="salida",M264-U264,M264))</f>
        <v>2837770769</v>
      </c>
      <c r="Y264" s="26" t="n">
        <v>0</v>
      </c>
      <c r="Z264" t="inlineStr">
        <is>
          <t>RN-85: dentro de niveles objetivo (sin_accion)</t>
        </is>
      </c>
      <c r="AA264" t="inlineStr">
        <is>
          <t>SUP-07, SUP-10</t>
        </is>
      </c>
      <c r="AB264" t="inlineStr">
        <is>
          <t>Saldo dentro del rango objetivo; sin accion.</t>
        </is>
      </c>
      <c r="AC264" t="inlineStr">
        <is>
          <t>Cierre del dia anterior (saldo encadenado, RN-71)</t>
        </is>
      </c>
      <c r="AD264" t="inlineStr">
        <is>
          <t>estimada</t>
        </is>
      </c>
      <c r="AE264" t="inlineStr">
        <is>
          <t>Participacion historica por denominacion (SUP-09)</t>
        </is>
      </c>
    </row>
    <row r="265">
      <c r="A265" t="inlineStr">
        <is>
          <t>PRAGMA</t>
        </is>
      </c>
      <c r="B265" t="inlineStr">
        <is>
          <t>CALI|TRANSPORTADORA_003</t>
        </is>
      </c>
      <c r="C265" t="inlineStr">
        <is>
          <t>Cali</t>
        </is>
      </c>
      <c r="D265" t="inlineStr">
        <is>
          <t>TRANSPORTADORA_003</t>
        </is>
      </c>
      <c r="E265" s="23" t="n">
        <v>46265</v>
      </c>
      <c r="F265" s="23" t="n">
        <v>46279</v>
      </c>
      <c r="G265" t="inlineStr">
        <is>
          <t>Sí</t>
        </is>
      </c>
      <c r="H265" s="25" t="n">
        <v>20000</v>
      </c>
      <c r="I265" s="26" t="n">
        <v>2837770768</v>
      </c>
      <c r="J265" s="26" t="n">
        <v>773788426</v>
      </c>
      <c r="K265" s="26" t="n">
        <v>778328876</v>
      </c>
      <c r="L265" s="26">
        <f>J265-K265</f>
        <v>-4540450</v>
      </c>
      <c r="M265" s="26">
        <f>I265+L265</f>
        <v>2833230318</v>
      </c>
      <c r="N265" s="26" t="n">
        <v>2240000000</v>
      </c>
      <c r="O265" s="26" t="n">
        <v>7279000000</v>
      </c>
      <c r="P265" s="26">
        <f>MAX(0,N265-M265)</f>
        <v>0</v>
      </c>
      <c r="Q265" s="26">
        <f>MAX(0,M265-O265)</f>
        <v>0</v>
      </c>
      <c r="R265" t="inlineStr">
        <is>
          <t>bajo</t>
        </is>
      </c>
      <c r="S265" t="inlineStr">
        <is>
          <t>traslado_fondos</t>
        </is>
      </c>
      <c r="T265" t="inlineStr">
        <is>
          <t>entrada</t>
        </is>
      </c>
      <c r="U265" s="26" t="n">
        <v>6380000</v>
      </c>
      <c r="V265" t="inlineStr">
        <is>
          <t>CALI|TRANSPORTADORA_004</t>
        </is>
      </c>
      <c r="W265" t="inlineStr">
        <is>
          <t>CALI|TRANSPORTADORA_003</t>
        </is>
      </c>
      <c r="X265" s="26">
        <f>IF(T265="entrada",M265+U265,IF(T265="salida",M265-U265,M265))</f>
        <v>2839610318</v>
      </c>
      <c r="Y265" s="26" t="n">
        <v>0</v>
      </c>
      <c r="Z265" t="inlineStr">
        <is>
          <t>Menor costo neto entre las alternativas que cubren la necesidad completa</t>
        </is>
      </c>
      <c r="AA265" t="inlineStr">
        <is>
          <t>SUP-08, SUP-10</t>
        </is>
      </c>
      <c r="AB265" t="inlineStr">
        <is>
          <t>Contraparte del traslado P00091 en la denominacion 20000: recibe $6.380.000 de CALI|TRANSPORTADORA_004. Saldo de esta fila: $2.833.230.318 antes y $2.839.610.318 despues (minimo $2.240.000.000, maximo $7.279.000.000). Necesidad que la origina, en CALI|TRANSPORTADORA_004: Excedente de $6.375.972 en la denominacion 20000: saldo $262.965.972 sobre el maximo $256.590.000. Elegida: traslado con CALI|TRANSPORTADORA_003 ($6.380.000; costo $0). Es preferible porque tiene el menor costo neto. Otras alternativas: conservar ($6.380.000; costo de almacenar $134); consignacion BanRep ($6.380.000; costo $122.506); venta: no habilitada en este fondo (sin historico o fuera de las ciudades BanRep).</t>
        </is>
      </c>
      <c r="AC265" t="inlineStr">
        <is>
          <t>Cierre del dia anterior (saldo encadenado, RN-71)</t>
        </is>
      </c>
      <c r="AD265" t="inlineStr">
        <is>
          <t>estimada</t>
        </is>
      </c>
      <c r="AE265" t="inlineStr">
        <is>
          <t>Participacion historica por denominacion (SUP-09)</t>
        </is>
      </c>
    </row>
    <row r="266">
      <c r="A266" t="inlineStr">
        <is>
          <t>PRAGMA</t>
        </is>
      </c>
      <c r="B266" t="inlineStr">
        <is>
          <t>CALI|TRANSPORTADORA_003</t>
        </is>
      </c>
      <c r="C266" t="inlineStr">
        <is>
          <t>Cali</t>
        </is>
      </c>
      <c r="D266" t="inlineStr">
        <is>
          <t>TRANSPORTADORA_003</t>
        </is>
      </c>
      <c r="E266" s="23" t="n">
        <v>46265</v>
      </c>
      <c r="F266" s="23" t="n">
        <v>46280</v>
      </c>
      <c r="G266" t="inlineStr">
        <is>
          <t>Sí</t>
        </is>
      </c>
      <c r="H266" s="25" t="n">
        <v>20000</v>
      </c>
      <c r="I266" s="26" t="n">
        <v>2839610318</v>
      </c>
      <c r="J266" s="26" t="n">
        <v>1156196008</v>
      </c>
      <c r="K266" s="26" t="n">
        <v>1079184276</v>
      </c>
      <c r="L266" s="26">
        <f>J266-K266</f>
        <v>77011732</v>
      </c>
      <c r="M266" s="26">
        <f>I266+L266</f>
        <v>2916622050</v>
      </c>
      <c r="N266" s="26" t="n">
        <v>2240000000</v>
      </c>
      <c r="O266" s="26" t="n">
        <v>7279000000</v>
      </c>
      <c r="P266" s="26">
        <f>MAX(0,N266-M266)</f>
        <v>0</v>
      </c>
      <c r="Q266" s="26">
        <f>MAX(0,M266-O266)</f>
        <v>0</v>
      </c>
      <c r="R266" t="inlineStr">
        <is>
          <t>bajo</t>
        </is>
      </c>
      <c r="S266" t="inlineStr">
        <is>
          <t>traslado_fondos</t>
        </is>
      </c>
      <c r="T266" t="inlineStr">
        <is>
          <t>entrada</t>
        </is>
      </c>
      <c r="U266" s="26" t="n">
        <v>4080000</v>
      </c>
      <c r="V266" t="inlineStr">
        <is>
          <t>CALI|TRANSPORTADORA_004</t>
        </is>
      </c>
      <c r="W266" t="inlineStr">
        <is>
          <t>CALI|TRANSPORTADORA_003</t>
        </is>
      </c>
      <c r="X266" s="26">
        <f>IF(T266="entrada",M266+U266,IF(T266="salida",M266-U266,M266))</f>
        <v>2920702050</v>
      </c>
      <c r="Y266" s="26" t="n">
        <v>0</v>
      </c>
      <c r="Z266" t="inlineStr">
        <is>
          <t>Menor costo neto entre las alternativas que cubren la necesidad completa</t>
        </is>
      </c>
      <c r="AA266" t="inlineStr">
        <is>
          <t>SUP-08, SUP-10</t>
        </is>
      </c>
      <c r="AB266" t="inlineStr">
        <is>
          <t>Contraparte del traslado P00097 en la denominacion 20000: recibe $4.080.000 de CALI|TRANSPORTADORA_004. Saldo de esta fila: $2.916.622.050 antes y $2.920.702.050 despues (minimo $2.240.000.000, maximo $7.279.000.000). Necesidad que la origina, en CALI|TRANSPORTADORA_004: Excedente de $4.073.348 en la denominacion 20000: saldo $260.663.348 sobre el maximo $256.590.000. Elegida: traslado con CALI|TRANSPORTADORA_003 ($4.080.000; costo $0). Es preferible porque tiene el menor costo neto. Otras alternativas: conservar ($4.080.000; costo de almacenar $43); consignacion BanRep ($4.080.000; costo $121.878); venta: no habilitada en este fondo (sin historico o fuera de las ciudades BanRep).</t>
        </is>
      </c>
      <c r="AC266" t="inlineStr">
        <is>
          <t>Cierre del dia anterior (saldo encadenado, RN-71)</t>
        </is>
      </c>
      <c r="AD266" t="inlineStr">
        <is>
          <t>estimada</t>
        </is>
      </c>
      <c r="AE266" t="inlineStr">
        <is>
          <t>Participacion historica por denominacion (SUP-09)</t>
        </is>
      </c>
    </row>
    <row r="267">
      <c r="A267" t="inlineStr">
        <is>
          <t>PRAGMA</t>
        </is>
      </c>
      <c r="B267" t="inlineStr">
        <is>
          <t>CALI|TRANSPORTADORA_003</t>
        </is>
      </c>
      <c r="C267" t="inlineStr">
        <is>
          <t>Cali</t>
        </is>
      </c>
      <c r="D267" t="inlineStr">
        <is>
          <t>TRANSPORTADORA_003</t>
        </is>
      </c>
      <c r="E267" s="23" t="n">
        <v>46265</v>
      </c>
      <c r="F267" s="23" t="n">
        <v>46266</v>
      </c>
      <c r="G267" t="inlineStr">
        <is>
          <t>Sí</t>
        </is>
      </c>
      <c r="H267" s="25" t="n">
        <v>50000</v>
      </c>
      <c r="I267" s="26" t="n">
        <v>13580000000</v>
      </c>
      <c r="J267" s="26" t="n">
        <v>4234525396</v>
      </c>
      <c r="K267" s="26" t="n">
        <v>5034259786</v>
      </c>
      <c r="L267" s="26">
        <f>J267-K267</f>
        <v>-799734390</v>
      </c>
      <c r="M267" s="26">
        <f>I267+L267</f>
        <v>12780265610</v>
      </c>
      <c r="N267" s="26" t="n">
        <v>9740000000</v>
      </c>
      <c r="O267" s="26" t="n">
        <v>24877500000</v>
      </c>
      <c r="P267" s="26">
        <f>MAX(0,N267-M267)</f>
        <v>0</v>
      </c>
      <c r="Q267" s="26">
        <f>MAX(0,M267-O267)</f>
        <v>0</v>
      </c>
      <c r="R267" t="inlineStr">
        <is>
          <t>bajo</t>
        </is>
      </c>
      <c r="S267" t="inlineStr">
        <is>
          <t>sin_accion</t>
        </is>
      </c>
      <c r="T267" t="inlineStr">
        <is>
          <t>ninguno</t>
        </is>
      </c>
      <c r="U267" s="26" t="n">
        <v>0</v>
      </c>
      <c r="X267" s="26">
        <f>IF(T267="entrada",M267+U267,IF(T267="salida",M267-U267,M267))</f>
        <v>12780265610</v>
      </c>
      <c r="Y267" s="26" t="n">
        <v>0</v>
      </c>
      <c r="Z267" t="inlineStr">
        <is>
          <t>RN-85: dentro de niveles objetivo (sin_accion)</t>
        </is>
      </c>
      <c r="AA267" t="inlineStr">
        <is>
          <t>SUP-07, SUP-10</t>
        </is>
      </c>
      <c r="AB267" t="inlineStr">
        <is>
          <t>Saldo dentro del rango objetivo; sin accion.</t>
        </is>
      </c>
      <c r="AC267" t="inlineStr">
        <is>
          <t>Ultimo disponible al 31/08/2026 (SUP-07)</t>
        </is>
      </c>
      <c r="AD267" t="inlineStr">
        <is>
          <t>estimada</t>
        </is>
      </c>
      <c r="AE267" t="inlineStr">
        <is>
          <t>Participacion historica por denominacion (SUP-09)</t>
        </is>
      </c>
    </row>
    <row r="268">
      <c r="A268" t="inlineStr">
        <is>
          <t>PRAGMA</t>
        </is>
      </c>
      <c r="B268" t="inlineStr">
        <is>
          <t>CALI|TRANSPORTADORA_003</t>
        </is>
      </c>
      <c r="C268" t="inlineStr">
        <is>
          <t>Cali</t>
        </is>
      </c>
      <c r="D268" t="inlineStr">
        <is>
          <t>TRANSPORTADORA_003</t>
        </is>
      </c>
      <c r="E268" s="23" t="n">
        <v>46265</v>
      </c>
      <c r="F268" s="23" t="n">
        <v>46267</v>
      </c>
      <c r="G268" t="inlineStr">
        <is>
          <t>Sí</t>
        </is>
      </c>
      <c r="H268" s="25" t="n">
        <v>50000</v>
      </c>
      <c r="I268" s="26" t="n">
        <v>12780265609</v>
      </c>
      <c r="J268" s="26" t="n">
        <v>3631499246</v>
      </c>
      <c r="K268" s="26" t="n">
        <v>4099461619</v>
      </c>
      <c r="L268" s="26">
        <f>J268-K268</f>
        <v>-467962373</v>
      </c>
      <c r="M268" s="26">
        <f>I268+L268</f>
        <v>12312303236</v>
      </c>
      <c r="N268" s="26" t="n">
        <v>9740000000</v>
      </c>
      <c r="O268" s="26" t="n">
        <v>24877500000</v>
      </c>
      <c r="P268" s="26">
        <f>MAX(0,N268-M268)</f>
        <v>0</v>
      </c>
      <c r="Q268" s="26">
        <f>MAX(0,M268-O268)</f>
        <v>0</v>
      </c>
      <c r="R268" t="inlineStr">
        <is>
          <t>bajo</t>
        </is>
      </c>
      <c r="S268" t="inlineStr">
        <is>
          <t>sin_accion</t>
        </is>
      </c>
      <c r="T268" t="inlineStr">
        <is>
          <t>ninguno</t>
        </is>
      </c>
      <c r="U268" s="26" t="n">
        <v>0</v>
      </c>
      <c r="X268" s="26">
        <f>IF(T268="entrada",M268+U268,IF(T268="salida",M268-U268,M268))</f>
        <v>12312303236</v>
      </c>
      <c r="Y268" s="26" t="n">
        <v>0</v>
      </c>
      <c r="Z268" t="inlineStr">
        <is>
          <t>RN-85: dentro de niveles objetivo (sin_accion)</t>
        </is>
      </c>
      <c r="AA268" t="inlineStr">
        <is>
          <t>SUP-07, SUP-10</t>
        </is>
      </c>
      <c r="AB268" t="inlineStr">
        <is>
          <t>Saldo dentro del rango objetivo; sin accion.</t>
        </is>
      </c>
      <c r="AC268" t="inlineStr">
        <is>
          <t>Cierre del dia anterior (saldo encadenado, RN-71)</t>
        </is>
      </c>
      <c r="AD268" t="inlineStr">
        <is>
          <t>estimada</t>
        </is>
      </c>
      <c r="AE268" t="inlineStr">
        <is>
          <t>Participacion historica por denominacion (SUP-09)</t>
        </is>
      </c>
    </row>
    <row r="269">
      <c r="A269" t="inlineStr">
        <is>
          <t>PRAGMA</t>
        </is>
      </c>
      <c r="B269" t="inlineStr">
        <is>
          <t>CALI|TRANSPORTADORA_003</t>
        </is>
      </c>
      <c r="C269" t="inlineStr">
        <is>
          <t>Cali</t>
        </is>
      </c>
      <c r="D269" t="inlineStr">
        <is>
          <t>TRANSPORTADORA_003</t>
        </is>
      </c>
      <c r="E269" s="23" t="n">
        <v>46265</v>
      </c>
      <c r="F269" s="23" t="n">
        <v>46268</v>
      </c>
      <c r="G269" t="inlineStr">
        <is>
          <t>Sí</t>
        </is>
      </c>
      <c r="H269" s="25" t="n">
        <v>50000</v>
      </c>
      <c r="I269" s="26" t="n">
        <v>12312303236</v>
      </c>
      <c r="J269" s="26" t="n">
        <v>3733018128</v>
      </c>
      <c r="K269" s="26" t="n">
        <v>3403778106</v>
      </c>
      <c r="L269" s="26">
        <f>J269-K269</f>
        <v>329240022</v>
      </c>
      <c r="M269" s="26">
        <f>I269+L269</f>
        <v>12641543258</v>
      </c>
      <c r="N269" s="26" t="n">
        <v>9740000000</v>
      </c>
      <c r="O269" s="26" t="n">
        <v>24877500000</v>
      </c>
      <c r="P269" s="26">
        <f>MAX(0,N269-M269)</f>
        <v>0</v>
      </c>
      <c r="Q269" s="26">
        <f>MAX(0,M269-O269)</f>
        <v>0</v>
      </c>
      <c r="R269" t="inlineStr">
        <is>
          <t>bajo</t>
        </is>
      </c>
      <c r="S269" t="inlineStr">
        <is>
          <t>sin_accion</t>
        </is>
      </c>
      <c r="T269" t="inlineStr">
        <is>
          <t>ninguno</t>
        </is>
      </c>
      <c r="U269" s="26" t="n">
        <v>0</v>
      </c>
      <c r="X269" s="26">
        <f>IF(T269="entrada",M269+U269,IF(T269="salida",M269-U269,M269))</f>
        <v>12641543258</v>
      </c>
      <c r="Y269" s="26" t="n">
        <v>0</v>
      </c>
      <c r="Z269" t="inlineStr">
        <is>
          <t>RN-85: dentro de niveles objetivo (sin_accion)</t>
        </is>
      </c>
      <c r="AA269" t="inlineStr">
        <is>
          <t>SUP-07, SUP-10</t>
        </is>
      </c>
      <c r="AB269" t="inlineStr">
        <is>
          <t>Saldo dentro del rango objetivo; sin accion.</t>
        </is>
      </c>
      <c r="AC269" t="inlineStr">
        <is>
          <t>Cierre del dia anterior (saldo encadenado, RN-71)</t>
        </is>
      </c>
      <c r="AD269" t="inlineStr">
        <is>
          <t>estimada</t>
        </is>
      </c>
      <c r="AE269" t="inlineStr">
        <is>
          <t>Participacion historica por denominacion (SUP-09)</t>
        </is>
      </c>
    </row>
    <row r="270">
      <c r="A270" t="inlineStr">
        <is>
          <t>PRAGMA</t>
        </is>
      </c>
      <c r="B270" t="inlineStr">
        <is>
          <t>CALI|TRANSPORTADORA_003</t>
        </is>
      </c>
      <c r="C270" t="inlineStr">
        <is>
          <t>Cali</t>
        </is>
      </c>
      <c r="D270" t="inlineStr">
        <is>
          <t>TRANSPORTADORA_003</t>
        </is>
      </c>
      <c r="E270" s="23" t="n">
        <v>46265</v>
      </c>
      <c r="F270" s="23" t="n">
        <v>46269</v>
      </c>
      <c r="G270" t="inlineStr">
        <is>
          <t>Sí</t>
        </is>
      </c>
      <c r="H270" s="25" t="n">
        <v>50000</v>
      </c>
      <c r="I270" s="26" t="n">
        <v>12641543258</v>
      </c>
      <c r="J270" s="26" t="n">
        <v>3267555859</v>
      </c>
      <c r="K270" s="26" t="n">
        <v>3887255212</v>
      </c>
      <c r="L270" s="26">
        <f>J270-K270</f>
        <v>-619699353</v>
      </c>
      <c r="M270" s="26">
        <f>I270+L270</f>
        <v>12021843905</v>
      </c>
      <c r="N270" s="26" t="n">
        <v>9740000000</v>
      </c>
      <c r="O270" s="26" t="n">
        <v>24877500000</v>
      </c>
      <c r="P270" s="26">
        <f>MAX(0,N270-M270)</f>
        <v>0</v>
      </c>
      <c r="Q270" s="26">
        <f>MAX(0,M270-O270)</f>
        <v>0</v>
      </c>
      <c r="R270" t="inlineStr">
        <is>
          <t>bajo</t>
        </is>
      </c>
      <c r="S270" t="inlineStr">
        <is>
          <t>sin_accion</t>
        </is>
      </c>
      <c r="T270" t="inlineStr">
        <is>
          <t>ninguno</t>
        </is>
      </c>
      <c r="U270" s="26" t="n">
        <v>0</v>
      </c>
      <c r="X270" s="26">
        <f>IF(T270="entrada",M270+U270,IF(T270="salida",M270-U270,M270))</f>
        <v>12021843905</v>
      </c>
      <c r="Y270" s="26" t="n">
        <v>0</v>
      </c>
      <c r="Z270" t="inlineStr">
        <is>
          <t>RN-85: dentro de niveles objetivo (sin_accion)</t>
        </is>
      </c>
      <c r="AA270" t="inlineStr">
        <is>
          <t>SUP-07, SUP-10</t>
        </is>
      </c>
      <c r="AB270" t="inlineStr">
        <is>
          <t>Saldo dentro del rango objetivo; sin accion.</t>
        </is>
      </c>
      <c r="AC270" t="inlineStr">
        <is>
          <t>Cierre del dia anterior (saldo encadenado, RN-71)</t>
        </is>
      </c>
      <c r="AD270" t="inlineStr">
        <is>
          <t>estimada</t>
        </is>
      </c>
      <c r="AE270" t="inlineStr">
        <is>
          <t>Participacion historica por denominacion (SUP-09)</t>
        </is>
      </c>
    </row>
    <row r="271">
      <c r="A271" t="inlineStr">
        <is>
          <t>PRAGMA</t>
        </is>
      </c>
      <c r="B271" t="inlineStr">
        <is>
          <t>CALI|TRANSPORTADORA_003</t>
        </is>
      </c>
      <c r="C271" t="inlineStr">
        <is>
          <t>Cali</t>
        </is>
      </c>
      <c r="D271" t="inlineStr">
        <is>
          <t>TRANSPORTADORA_003</t>
        </is>
      </c>
      <c r="E271" s="23" t="n">
        <v>46265</v>
      </c>
      <c r="F271" s="23" t="n">
        <v>46270</v>
      </c>
      <c r="G271" t="inlineStr">
        <is>
          <t>No</t>
        </is>
      </c>
      <c r="H271" s="25" t="n">
        <v>50000</v>
      </c>
      <c r="I271" s="26" t="n">
        <v>12021843905</v>
      </c>
      <c r="J271" s="26" t="n">
        <v>1695052029</v>
      </c>
      <c r="K271" s="26" t="n">
        <v>3241713529</v>
      </c>
      <c r="L271" s="26">
        <f>J271-K271</f>
        <v>-1546661500</v>
      </c>
      <c r="M271" s="26">
        <f>I271+L271</f>
        <v>10475182405</v>
      </c>
      <c r="N271" s="26" t="n">
        <v>9740000000</v>
      </c>
      <c r="O271" s="26" t="n">
        <v>24877500000</v>
      </c>
      <c r="P271" s="26">
        <f>MAX(0,N271-M271)</f>
        <v>0</v>
      </c>
      <c r="Q271" s="26">
        <f>MAX(0,M271-O271)</f>
        <v>0</v>
      </c>
      <c r="R271" t="inlineStr">
        <is>
          <t>bajo</t>
        </is>
      </c>
      <c r="S271" t="inlineStr">
        <is>
          <t>sin_accion</t>
        </is>
      </c>
      <c r="T271" t="inlineStr">
        <is>
          <t>ninguno</t>
        </is>
      </c>
      <c r="U271" s="26" t="n">
        <v>0</v>
      </c>
      <c r="X271" s="26">
        <f>IF(T271="entrada",M271+U271,IF(T271="salida",M271-U271,M271))</f>
        <v>10475182405</v>
      </c>
      <c r="Y271" s="26" t="n">
        <v>0</v>
      </c>
      <c r="Z271" t="inlineStr">
        <is>
          <t>RN-85: dentro de niveles objetivo (sin_accion)</t>
        </is>
      </c>
      <c r="AA271" t="inlineStr">
        <is>
          <t>SUP-07, SUP-10</t>
        </is>
      </c>
      <c r="AB271" t="inlineStr">
        <is>
          <t>Saldo dentro del rango objetivo; sin accion.</t>
        </is>
      </c>
      <c r="AC271" t="inlineStr">
        <is>
          <t>Cierre del dia anterior (saldo encadenado, RN-71)</t>
        </is>
      </c>
      <c r="AD271" t="inlineStr">
        <is>
          <t>estimada</t>
        </is>
      </c>
      <c r="AE271" t="inlineStr">
        <is>
          <t>Participacion historica por denominacion (SUP-09)</t>
        </is>
      </c>
    </row>
    <row r="272">
      <c r="A272" t="inlineStr">
        <is>
          <t>PRAGMA</t>
        </is>
      </c>
      <c r="B272" t="inlineStr">
        <is>
          <t>CALI|TRANSPORTADORA_003</t>
        </is>
      </c>
      <c r="C272" t="inlineStr">
        <is>
          <t>Cali</t>
        </is>
      </c>
      <c r="D272" t="inlineStr">
        <is>
          <t>TRANSPORTADORA_003</t>
        </is>
      </c>
      <c r="E272" s="23" t="n">
        <v>46265</v>
      </c>
      <c r="F272" s="23" t="n">
        <v>46271</v>
      </c>
      <c r="G272" t="inlineStr">
        <is>
          <t>No</t>
        </is>
      </c>
      <c r="H272" s="25" t="n">
        <v>50000</v>
      </c>
      <c r="I272" s="26" t="n">
        <v>10475182405</v>
      </c>
      <c r="J272" s="26" t="n">
        <v>860789155</v>
      </c>
      <c r="K272" s="26" t="n">
        <v>1865324869</v>
      </c>
      <c r="L272" s="26">
        <f>J272-K272</f>
        <v>-1004535714</v>
      </c>
      <c r="M272" s="26">
        <f>I272+L272</f>
        <v>9470646691</v>
      </c>
      <c r="N272" s="26" t="n">
        <v>9740000000</v>
      </c>
      <c r="O272" s="26" t="n">
        <v>24877500000</v>
      </c>
      <c r="P272" s="26">
        <f>MAX(0,N272-M272)</f>
        <v>269353309</v>
      </c>
      <c r="Q272" s="26">
        <f>MAX(0,M272-O272)</f>
        <v>0</v>
      </c>
      <c r="R272" t="inlineStr">
        <is>
          <t>bajo</t>
        </is>
      </c>
      <c r="S272" t="inlineStr">
        <is>
          <t>traslado_fondos</t>
        </is>
      </c>
      <c r="T272" t="inlineStr">
        <is>
          <t>entrada</t>
        </is>
      </c>
      <c r="U272" s="26" t="n">
        <v>269400000</v>
      </c>
      <c r="V272" t="inlineStr">
        <is>
          <t>CALI|TRANSPORTADORA_001</t>
        </is>
      </c>
      <c r="W272" t="inlineStr">
        <is>
          <t>CALI|TRANSPORTADORA_003</t>
        </is>
      </c>
      <c r="X272" s="26">
        <f>IF(T272="entrada",M272+U272,IF(T272="salida",M272-U272,M272))</f>
        <v>9740046691</v>
      </c>
      <c r="Y272" s="26" t="n">
        <v>0</v>
      </c>
      <c r="Z272" t="inlineStr">
        <is>
          <t>Menor costo neto entre las alternativas que cubren la necesidad completa</t>
        </is>
      </c>
      <c r="AA272" t="inlineStr">
        <is>
          <t>SUP-08, SUP-10</t>
        </is>
      </c>
      <c r="AB272" t="inlineStr">
        <is>
          <t>Faltante de $269.353.310 en la denominacion 50000: saldo $9.470.646.690 bajo el minimo $9.740.000.000. Elegida: traslado con CALI|TRANSPORTADORA_001 ($269.400.000; costo $0). Es preferible porque tiene el menor costo neto. Otras alternativas: traslado con CALI|TRANSPORTADORA_002 ($269.400.000; costo $0); traslado con CALI|TRANSPORTADORA_004 ($269.400.000; costo $0); traslado con IPIALES|TRANSPORTADORA_002 ($269.400.000; costo $397.396); traslado con PASTO|TRANSPORTADORA_001 ($190.500.000; costo $990.380, cubre solo una parte); retiro BanRep: dia no habil (sabado, domingo o festivo; RN-71A); cambio de denominacion: dia no habil (sabado, domingo o festivo; RN-71A).</t>
        </is>
      </c>
      <c r="AC272" t="inlineStr">
        <is>
          <t>Cierre del dia anterior (saldo encadenado, RN-71)</t>
        </is>
      </c>
      <c r="AD272" t="inlineStr">
        <is>
          <t>estimada</t>
        </is>
      </c>
      <c r="AE272" t="inlineStr">
        <is>
          <t>Participacion historica por denominacion (SUP-09)</t>
        </is>
      </c>
    </row>
    <row r="273">
      <c r="A273" t="inlineStr">
        <is>
          <t>PRAGMA</t>
        </is>
      </c>
      <c r="B273" t="inlineStr">
        <is>
          <t>CALI|TRANSPORTADORA_003</t>
        </is>
      </c>
      <c r="C273" t="inlineStr">
        <is>
          <t>Cali</t>
        </is>
      </c>
      <c r="D273" t="inlineStr">
        <is>
          <t>TRANSPORTADORA_003</t>
        </is>
      </c>
      <c r="E273" s="23" t="n">
        <v>46265</v>
      </c>
      <c r="F273" s="23" t="n">
        <v>46272</v>
      </c>
      <c r="G273" t="inlineStr">
        <is>
          <t>Sí</t>
        </is>
      </c>
      <c r="H273" s="25" t="n">
        <v>50000</v>
      </c>
      <c r="I273" s="26" t="n">
        <v>9740046690</v>
      </c>
      <c r="J273" s="26" t="n">
        <v>2914802555</v>
      </c>
      <c r="K273" s="26" t="n">
        <v>2956243470</v>
      </c>
      <c r="L273" s="26">
        <f>J273-K273</f>
        <v>-41440915</v>
      </c>
      <c r="M273" s="26">
        <f>I273+L273</f>
        <v>9698605775</v>
      </c>
      <c r="N273" s="26" t="n">
        <v>9740000000</v>
      </c>
      <c r="O273" s="26" t="n">
        <v>24877500000</v>
      </c>
      <c r="P273" s="26">
        <f>MAX(0,N273-M273)</f>
        <v>41394225</v>
      </c>
      <c r="Q273" s="26">
        <f>MAX(0,M273-O273)</f>
        <v>0</v>
      </c>
      <c r="R273" t="inlineStr">
        <is>
          <t>bajo</t>
        </is>
      </c>
      <c r="S273" t="inlineStr">
        <is>
          <t>traslado_fondos</t>
        </is>
      </c>
      <c r="T273" t="inlineStr">
        <is>
          <t>entrada</t>
        </is>
      </c>
      <c r="U273" s="26" t="n">
        <v>41400000</v>
      </c>
      <c r="V273" t="inlineStr">
        <is>
          <t>CALI|TRANSPORTADORA_001</t>
        </is>
      </c>
      <c r="W273" t="inlineStr">
        <is>
          <t>CALI|TRANSPORTADORA_003</t>
        </is>
      </c>
      <c r="X273" s="26">
        <f>IF(T273="entrada",M273+U273,IF(T273="salida",M273-U273,M273))</f>
        <v>9740005775</v>
      </c>
      <c r="Y273" s="26" t="n">
        <v>0</v>
      </c>
      <c r="Z273" t="inlineStr">
        <is>
          <t>Menor costo neto entre las alternativas que cubren la necesidad completa</t>
        </is>
      </c>
      <c r="AA273" t="inlineStr">
        <is>
          <t>SUP-08, SUP-10</t>
        </is>
      </c>
      <c r="AB273" t="inlineStr">
        <is>
          <t>Faltante de $41.394.224 en la denominacion 50000: saldo $9.698.605.776 bajo el minimo $9.740.000.000. Elegida: traslado con CALI|TRANSPORTADORA_001 ($41.400.000; costo $0). Es preferible porque tiene el menor costo neto. Otras alternativas: traslado con CALI|TRANSPORTADORA_002 ($41.400.000; costo $0); traslado con CALI|TRANSPORTADORA_004 ($41.400.000; costo $0); retiro BanRep ($41.400.000; costo $143.834); traslado con IPIALES|TRANSPORTADORA_002 ($41.400.000; costo $198.580); traslado con PASTO|TRANSPORTADORA_001 ($41.400.000; costo $847.692); cambio de denominacion: ninguna otra denominacion del fondo supera su maximo.</t>
        </is>
      </c>
      <c r="AC273" t="inlineStr">
        <is>
          <t>Cierre del dia anterior (saldo encadenado, RN-71)</t>
        </is>
      </c>
      <c r="AD273" t="inlineStr">
        <is>
          <t>estimada</t>
        </is>
      </c>
      <c r="AE273" t="inlineStr">
        <is>
          <t>Participacion historica por denominacion (SUP-09)</t>
        </is>
      </c>
    </row>
    <row r="274">
      <c r="A274" t="inlineStr">
        <is>
          <t>PRAGMA</t>
        </is>
      </c>
      <c r="B274" t="inlineStr">
        <is>
          <t>CALI|TRANSPORTADORA_003</t>
        </is>
      </c>
      <c r="C274" t="inlineStr">
        <is>
          <t>Cali</t>
        </is>
      </c>
      <c r="D274" t="inlineStr">
        <is>
          <t>TRANSPORTADORA_003</t>
        </is>
      </c>
      <c r="E274" s="23" t="n">
        <v>46265</v>
      </c>
      <c r="F274" s="23" t="n">
        <v>46272</v>
      </c>
      <c r="G274" t="inlineStr">
        <is>
          <t>Sí</t>
        </is>
      </c>
      <c r="H274" s="25" t="n">
        <v>50000</v>
      </c>
      <c r="I274" s="26" t="n">
        <v>9740005776</v>
      </c>
      <c r="J274" s="26" t="n">
        <v>0</v>
      </c>
      <c r="K274" s="26" t="n">
        <v>0</v>
      </c>
      <c r="L274" s="26">
        <f>J274-K274</f>
        <v>0</v>
      </c>
      <c r="M274" s="26">
        <f>I274+L274</f>
        <v>9740005776</v>
      </c>
      <c r="N274" s="26" t="n">
        <v>9740000000</v>
      </c>
      <c r="O274" s="26" t="n">
        <v>24877500000</v>
      </c>
      <c r="P274" s="26">
        <f>MAX(0,N274-M274)</f>
        <v>0</v>
      </c>
      <c r="Q274" s="26">
        <f>MAX(0,M274-O274)</f>
        <v>0</v>
      </c>
      <c r="R274" t="inlineStr">
        <is>
          <t>bajo</t>
        </is>
      </c>
      <c r="S274" t="inlineStr">
        <is>
          <t>traslado_fondos</t>
        </is>
      </c>
      <c r="T274" t="inlineStr">
        <is>
          <t>entrada</t>
        </is>
      </c>
      <c r="U274" s="26" t="n">
        <v>102300000</v>
      </c>
      <c r="V274" t="inlineStr">
        <is>
          <t>CALI|TRANSPORTADORA_004</t>
        </is>
      </c>
      <c r="W274" t="inlineStr">
        <is>
          <t>CALI|TRANSPORTADORA_003</t>
        </is>
      </c>
      <c r="X274" s="26">
        <f>IF(T274="entrada",M274+U274,IF(T274="salida",M274-U274,M274))</f>
        <v>9842305776</v>
      </c>
      <c r="Y274" s="26" t="n">
        <v>0</v>
      </c>
      <c r="Z274" t="inlineStr">
        <is>
          <t>Menor costo neto entre las alternativas que cubren la necesidad completa</t>
        </is>
      </c>
      <c r="AA274" t="inlineStr">
        <is>
          <t>SUP-08, SUP-10</t>
        </is>
      </c>
      <c r="AB274" t="inlineStr">
        <is>
          <t>Contraparte del traslado P00054 en la denominacion 50000: recibe $102.300.000 de CALI|TRANSPORTADORA_004. Saldo de esta fila: $9.740.005.776 antes y $9.842.305.776 despues (minimo $9.740.000.000, maximo $24.877.500.000). Necesidad que la origina, en CALI|TRANSPORTADORA_004: Excedente de $102.266.477 en la denominacion 50000: saldo $1.980.466.477 sobre el maximo $1.878.200.000. Elegida: traslado con CALI|TRANSPORTADORA_003 ($102.300.000; costo $0). Es preferible porque tiene el menor costo neto. Otras alternativas: conservar ($102.300.000; costo de almacenar $9.677); consignacion BanRep ($102.300.000; costo $148.692); venta: no habilitada en este fondo (sin historico o fuera de las ciudades BanRep); traslado hacia 1 fondo(s) con espacio: ruta sin tarifa en el Anexo E (prohibida).</t>
        </is>
      </c>
      <c r="AC274" t="inlineStr">
        <is>
          <t>Cierre del dia anterior (saldo encadenado, RN-71)</t>
        </is>
      </c>
      <c r="AD274" t="inlineStr">
        <is>
          <t>estimada</t>
        </is>
      </c>
      <c r="AE274" t="inlineStr">
        <is>
          <t>Participacion historica por denominacion (SUP-09)</t>
        </is>
      </c>
    </row>
    <row r="275">
      <c r="A275" t="inlineStr">
        <is>
          <t>PRAGMA</t>
        </is>
      </c>
      <c r="B275" t="inlineStr">
        <is>
          <t>CALI|TRANSPORTADORA_003</t>
        </is>
      </c>
      <c r="C275" t="inlineStr">
        <is>
          <t>Cali</t>
        </is>
      </c>
      <c r="D275" t="inlineStr">
        <is>
          <t>TRANSPORTADORA_003</t>
        </is>
      </c>
      <c r="E275" s="23" t="n">
        <v>46265</v>
      </c>
      <c r="F275" s="23" t="n">
        <v>46273</v>
      </c>
      <c r="G275" t="inlineStr">
        <is>
          <t>Sí</t>
        </is>
      </c>
      <c r="H275" s="25" t="n">
        <v>50000</v>
      </c>
      <c r="I275" s="26" t="n">
        <v>9842305776</v>
      </c>
      <c r="J275" s="26" t="n">
        <v>4203594235</v>
      </c>
      <c r="K275" s="26" t="n">
        <v>2971202864</v>
      </c>
      <c r="L275" s="26">
        <f>J275-K275</f>
        <v>1232391371</v>
      </c>
      <c r="M275" s="26">
        <f>I275+L275</f>
        <v>11074697147</v>
      </c>
      <c r="N275" s="26" t="n">
        <v>9740000000</v>
      </c>
      <c r="O275" s="26" t="n">
        <v>24877500000</v>
      </c>
      <c r="P275" s="26">
        <f>MAX(0,N275-M275)</f>
        <v>0</v>
      </c>
      <c r="Q275" s="26">
        <f>MAX(0,M275-O275)</f>
        <v>0</v>
      </c>
      <c r="R275" t="inlineStr">
        <is>
          <t>bajo</t>
        </is>
      </c>
      <c r="S275" t="inlineStr">
        <is>
          <t>traslado_fondos</t>
        </is>
      </c>
      <c r="T275" t="inlineStr">
        <is>
          <t>entrada</t>
        </is>
      </c>
      <c r="U275" s="26" t="n">
        <v>64050000</v>
      </c>
      <c r="V275" t="inlineStr">
        <is>
          <t>CALI|TRANSPORTADORA_004</t>
        </is>
      </c>
      <c r="W275" t="inlineStr">
        <is>
          <t>CALI|TRANSPORTADORA_003</t>
        </is>
      </c>
      <c r="X275" s="26">
        <f>IF(T275="entrada",M275+U275,IF(T275="salida",M275-U275,M275))</f>
        <v>11138747147</v>
      </c>
      <c r="Y275" s="26" t="n">
        <v>0</v>
      </c>
      <c r="Z275" t="inlineStr">
        <is>
          <t>Menor costo neto entre las alternativas que cubren la necesidad completa</t>
        </is>
      </c>
      <c r="AA275" t="inlineStr">
        <is>
          <t>SUP-08, SUP-10</t>
        </is>
      </c>
      <c r="AB275" t="inlineStr">
        <is>
          <t>Contraparte del traslado P00059 en la denominacion 50000: recibe $64.050.000 de CALI|TRANSPORTADORA_004. Saldo de esta fila: $11.074.697.148 antes y $11.138.747.148 despues (minimo $9.740.000.000, maximo $24.877.500.000). Necesidad que la origina, en CALI|TRANSPORTADORA_004: Excedente de $64.036.166 en la denominacion 50000: saldo $1.942.236.166 sobre el maximo $1.878.200.000. Elegida: traslado con CALI|TRANSPORTADORA_003 ($64.050.000; costo $0). Es preferible porque tiene el menor costo neto. Otras alternativas: conservar ($64.050.000; costo de almacenar $5.385); consignacion BanRep ($64.050.000; costo $138.250); venta: no habilitada en este fondo (sin historico o fuera de las ciudades BanRep); traslado hacia 1 fondo(s) con espacio: ruta sin tarifa en el Anexo E (prohibida).</t>
        </is>
      </c>
      <c r="AC275" t="inlineStr">
        <is>
          <t>Cierre del dia anterior (saldo encadenado, RN-71)</t>
        </is>
      </c>
      <c r="AD275" t="inlineStr">
        <is>
          <t>estimada</t>
        </is>
      </c>
      <c r="AE275" t="inlineStr">
        <is>
          <t>Participacion historica por denominacion (SUP-09)</t>
        </is>
      </c>
    </row>
    <row r="276">
      <c r="A276" t="inlineStr">
        <is>
          <t>PRAGMA</t>
        </is>
      </c>
      <c r="B276" t="inlineStr">
        <is>
          <t>CALI|TRANSPORTADORA_003</t>
        </is>
      </c>
      <c r="C276" t="inlineStr">
        <is>
          <t>Cali</t>
        </is>
      </c>
      <c r="D276" t="inlineStr">
        <is>
          <t>TRANSPORTADORA_003</t>
        </is>
      </c>
      <c r="E276" s="23" t="n">
        <v>46265</v>
      </c>
      <c r="F276" s="23" t="n">
        <v>46274</v>
      </c>
      <c r="G276" t="inlineStr">
        <is>
          <t>Sí</t>
        </is>
      </c>
      <c r="H276" s="25" t="n">
        <v>50000</v>
      </c>
      <c r="I276" s="26" t="n">
        <v>11138747148</v>
      </c>
      <c r="J276" s="26" t="n">
        <v>3940374435</v>
      </c>
      <c r="K276" s="26" t="n">
        <v>2931536958</v>
      </c>
      <c r="L276" s="26">
        <f>J276-K276</f>
        <v>1008837477</v>
      </c>
      <c r="M276" s="26">
        <f>I276+L276</f>
        <v>12147584625</v>
      </c>
      <c r="N276" s="26" t="n">
        <v>9740000000</v>
      </c>
      <c r="O276" s="26" t="n">
        <v>24877500000</v>
      </c>
      <c r="P276" s="26">
        <f>MAX(0,N276-M276)</f>
        <v>0</v>
      </c>
      <c r="Q276" s="26">
        <f>MAX(0,M276-O276)</f>
        <v>0</v>
      </c>
      <c r="R276" t="inlineStr">
        <is>
          <t>bajo</t>
        </is>
      </c>
      <c r="S276" t="inlineStr">
        <is>
          <t>traslado_fondos</t>
        </is>
      </c>
      <c r="T276" t="inlineStr">
        <is>
          <t>entrada</t>
        </is>
      </c>
      <c r="U276" s="26" t="n">
        <v>60200000</v>
      </c>
      <c r="V276" t="inlineStr">
        <is>
          <t>CALI|TRANSPORTADORA_004</t>
        </is>
      </c>
      <c r="W276" t="inlineStr">
        <is>
          <t>CALI|TRANSPORTADORA_003</t>
        </is>
      </c>
      <c r="X276" s="26">
        <f>IF(T276="entrada",M276+U276,IF(T276="salida",M276-U276,M276))</f>
        <v>12207784625</v>
      </c>
      <c r="Y276" s="26" t="n">
        <v>0</v>
      </c>
      <c r="Z276" t="inlineStr">
        <is>
          <t>Menor costo neto entre las alternativas que cubren la necesidad completa</t>
        </is>
      </c>
      <c r="AA276" t="inlineStr">
        <is>
          <t>SUP-08, SUP-10</t>
        </is>
      </c>
      <c r="AB276" t="inlineStr">
        <is>
          <t>Contraparte del traslado P00064 en la denominacion 50000: recibe $60.200.000 de CALI|TRANSPORTADORA_004. Saldo de esta fila: $12.147.584.624 antes y $12.207.784.624 despues (minimo $9.740.000.000, maximo $24.877.500.000). Necesidad que la origina, en CALI|TRANSPORTADORA_004: Excedente de $60.189.848 en la denominacion 50000: saldo $1.938.389.848 sobre el maximo $1.878.200.000. Elegida: traslado con CALI|TRANSPORTADORA_003 ($60.200.000; costo $0). Es preferible porque tiene el menor costo neto. Otras alternativas: conservar ($60.200.000; costo de almacenar $4.429); consignacion BanRep ($60.200.000; costo $137.199); venta: no habilitada en este fondo (sin historico o fuera de las ciudades BanRep); traslado hacia 1 fondo(s) con espacio: ruta sin tarifa en el Anexo E (prohibida).</t>
        </is>
      </c>
      <c r="AC276" t="inlineStr">
        <is>
          <t>Cierre del dia anterior (saldo encadenado, RN-71)</t>
        </is>
      </c>
      <c r="AD276" t="inlineStr">
        <is>
          <t>estimada</t>
        </is>
      </c>
      <c r="AE276" t="inlineStr">
        <is>
          <t>Participacion historica por denominacion (SUP-09)</t>
        </is>
      </c>
    </row>
    <row r="277">
      <c r="A277" t="inlineStr">
        <is>
          <t>PRAGMA</t>
        </is>
      </c>
      <c r="B277" t="inlineStr">
        <is>
          <t>CALI|TRANSPORTADORA_003</t>
        </is>
      </c>
      <c r="C277" t="inlineStr">
        <is>
          <t>Cali</t>
        </is>
      </c>
      <c r="D277" t="inlineStr">
        <is>
          <t>TRANSPORTADORA_003</t>
        </is>
      </c>
      <c r="E277" s="23" t="n">
        <v>46265</v>
      </c>
      <c r="F277" s="23" t="n">
        <v>46275</v>
      </c>
      <c r="G277" t="inlineStr">
        <is>
          <t>Sí</t>
        </is>
      </c>
      <c r="H277" s="25" t="n">
        <v>50000</v>
      </c>
      <c r="I277" s="26" t="n">
        <v>12207784624</v>
      </c>
      <c r="J277" s="26" t="n">
        <v>3923495593</v>
      </c>
      <c r="K277" s="26" t="n">
        <v>2680836418</v>
      </c>
      <c r="L277" s="26">
        <f>J277-K277</f>
        <v>1242659175</v>
      </c>
      <c r="M277" s="26">
        <f>I277+L277</f>
        <v>13450443799</v>
      </c>
      <c r="N277" s="26" t="n">
        <v>9740000000</v>
      </c>
      <c r="O277" s="26" t="n">
        <v>24877500000</v>
      </c>
      <c r="P277" s="26">
        <f>MAX(0,N277-M277)</f>
        <v>0</v>
      </c>
      <c r="Q277" s="26">
        <f>MAX(0,M277-O277)</f>
        <v>0</v>
      </c>
      <c r="R277" t="inlineStr">
        <is>
          <t>bajo</t>
        </is>
      </c>
      <c r="S277" t="inlineStr">
        <is>
          <t>traslado_fondos</t>
        </is>
      </c>
      <c r="T277" t="inlineStr">
        <is>
          <t>entrada</t>
        </is>
      </c>
      <c r="U277" s="26" t="n">
        <v>49900000</v>
      </c>
      <c r="V277" t="inlineStr">
        <is>
          <t>CALI|TRANSPORTADORA_004</t>
        </is>
      </c>
      <c r="W277" t="inlineStr">
        <is>
          <t>CALI|TRANSPORTADORA_003</t>
        </is>
      </c>
      <c r="X277" s="26">
        <f>IF(T277="entrada",M277+U277,IF(T277="salida",M277-U277,M277))</f>
        <v>13500343799</v>
      </c>
      <c r="Y277" s="26" t="n">
        <v>0</v>
      </c>
      <c r="Z277" t="inlineStr">
        <is>
          <t>Menor costo neto entre las alternativas que cubren la necesidad completa</t>
        </is>
      </c>
      <c r="AA277" t="inlineStr">
        <is>
          <t>SUP-08, SUP-10</t>
        </is>
      </c>
      <c r="AB277" t="inlineStr">
        <is>
          <t>Contraparte del traslado P00069 en la denominacion 50000: recibe $49.900.000 de CALI|TRANSPORTADORA_004. Saldo de esta fila: $13.450.443.800 antes y $13.500.343.800 despues (minimo $9.740.000.000, maximo $24.877.500.000). Necesidad que la origina, en CALI|TRANSPORTADORA_004: Excedente de $49.886.367 en la denominacion 50000: saldo $1.928.086.367 sobre el maximo $1.878.200.000. Elegida: traslado con CALI|TRANSPORTADORA_003 ($49.900.000; costo $0). Es preferible porque tiene el menor costo neto. Otras alternativas: conservar ($49.900.000; costo de almacenar $3.147); consignacion BanRep ($49.900.000; costo $134.387); venta: no habilitada en este fondo (sin historico o fuera de las ciudades BanRep); traslado hacia 1 fondo(s) con espacio: ruta sin tarifa en el Anexo E (prohibida).</t>
        </is>
      </c>
      <c r="AC277" t="inlineStr">
        <is>
          <t>Cierre del dia anterior (saldo encadenado, RN-71)</t>
        </is>
      </c>
      <c r="AD277" t="inlineStr">
        <is>
          <t>estimada</t>
        </is>
      </c>
      <c r="AE277" t="inlineStr">
        <is>
          <t>Participacion historica por denominacion (SUP-09)</t>
        </is>
      </c>
    </row>
    <row r="278">
      <c r="A278" t="inlineStr">
        <is>
          <t>PRAGMA</t>
        </is>
      </c>
      <c r="B278" t="inlineStr">
        <is>
          <t>CALI|TRANSPORTADORA_003</t>
        </is>
      </c>
      <c r="C278" t="inlineStr">
        <is>
          <t>Cali</t>
        </is>
      </c>
      <c r="D278" t="inlineStr">
        <is>
          <t>TRANSPORTADORA_003</t>
        </is>
      </c>
      <c r="E278" s="23" t="n">
        <v>46265</v>
      </c>
      <c r="F278" s="23" t="n">
        <v>46276</v>
      </c>
      <c r="G278" t="inlineStr">
        <is>
          <t>Sí</t>
        </is>
      </c>
      <c r="H278" s="25" t="n">
        <v>50000</v>
      </c>
      <c r="I278" s="26" t="n">
        <v>13500343800</v>
      </c>
      <c r="J278" s="26" t="n">
        <v>3200187490</v>
      </c>
      <c r="K278" s="26" t="n">
        <v>3014975209</v>
      </c>
      <c r="L278" s="26">
        <f>J278-K278</f>
        <v>185212281</v>
      </c>
      <c r="M278" s="26">
        <f>I278+L278</f>
        <v>13685556081</v>
      </c>
      <c r="N278" s="26" t="n">
        <v>9740000000</v>
      </c>
      <c r="O278" s="26" t="n">
        <v>24877500000</v>
      </c>
      <c r="P278" s="26">
        <f>MAX(0,N278-M278)</f>
        <v>0</v>
      </c>
      <c r="Q278" s="26">
        <f>MAX(0,M278-O278)</f>
        <v>0</v>
      </c>
      <c r="R278" t="inlineStr">
        <is>
          <t>bajo</t>
        </is>
      </c>
      <c r="S278" t="inlineStr">
        <is>
          <t>traslado_fondos</t>
        </is>
      </c>
      <c r="T278" t="inlineStr">
        <is>
          <t>entrada</t>
        </is>
      </c>
      <c r="U278" s="26" t="n">
        <v>38800000</v>
      </c>
      <c r="V278" t="inlineStr">
        <is>
          <t>CALI|TRANSPORTADORA_004</t>
        </is>
      </c>
      <c r="W278" t="inlineStr">
        <is>
          <t>CALI|TRANSPORTADORA_003</t>
        </is>
      </c>
      <c r="X278" s="26">
        <f>IF(T278="entrada",M278+U278,IF(T278="salida",M278-U278,M278))</f>
        <v>13724356081</v>
      </c>
      <c r="Y278" s="26" t="n">
        <v>0</v>
      </c>
      <c r="Z278" t="inlineStr">
        <is>
          <t>Menor costo neto entre las alternativas que cubren la necesidad completa</t>
        </is>
      </c>
      <c r="AA278" t="inlineStr">
        <is>
          <t>SUP-08, SUP-10</t>
        </is>
      </c>
      <c r="AB278" t="inlineStr">
        <is>
          <t>Contraparte del traslado P00074 en la denominacion 50000: recibe $38.800.000 de CALI|TRANSPORTADORA_004. Saldo de esta fila: $13.685.556.080 antes y $13.724.356.080 despues (minimo $9.740.000.000, maximo $24.877.500.000). Necesidad que la origina, en CALI|TRANSPORTADORA_004: Excedente de $38.796.284 en la denominacion 50000: saldo $1.916.996.284 sobre el maximo $1.878.200.000. Elegida: traslado con CALI|TRANSPORTADORA_003 ($38.800.000; costo $0). Es preferible porque tiene el menor costo neto. Otras alternativas: conservar ($38.800.000; costo de almacenar $2.039); consignacion BanRep ($38.800.000; costo $131.356); venta: no habilitada en este fondo (sin historico o fuera de las ciudades BanRep); traslado hacia 1 fondo(s) con espacio: ruta sin tarifa en el Anexo E (prohibida).</t>
        </is>
      </c>
      <c r="AC278" t="inlineStr">
        <is>
          <t>Cierre del dia anterior (saldo encadenado, RN-71)</t>
        </is>
      </c>
      <c r="AD278" t="inlineStr">
        <is>
          <t>estimada</t>
        </is>
      </c>
      <c r="AE278" t="inlineStr">
        <is>
          <t>Participacion historica por denominacion (SUP-09)</t>
        </is>
      </c>
    </row>
    <row r="279">
      <c r="A279" t="inlineStr">
        <is>
          <t>PRAGMA</t>
        </is>
      </c>
      <c r="B279" t="inlineStr">
        <is>
          <t>CALI|TRANSPORTADORA_003</t>
        </is>
      </c>
      <c r="C279" t="inlineStr">
        <is>
          <t>Cali</t>
        </is>
      </c>
      <c r="D279" t="inlineStr">
        <is>
          <t>TRANSPORTADORA_003</t>
        </is>
      </c>
      <c r="E279" s="23" t="n">
        <v>46265</v>
      </c>
      <c r="F279" s="23" t="n">
        <v>46277</v>
      </c>
      <c r="G279" t="inlineStr">
        <is>
          <t>No</t>
        </is>
      </c>
      <c r="H279" s="25" t="n">
        <v>50000</v>
      </c>
      <c r="I279" s="26" t="n">
        <v>13724356080</v>
      </c>
      <c r="J279" s="26" t="n">
        <v>1723524024</v>
      </c>
      <c r="K279" s="26" t="n">
        <v>2547383847</v>
      </c>
      <c r="L279" s="26">
        <f>J279-K279</f>
        <v>-823859823</v>
      </c>
      <c r="M279" s="26">
        <f>I279+L279</f>
        <v>12900496257</v>
      </c>
      <c r="N279" s="26" t="n">
        <v>9740000000</v>
      </c>
      <c r="O279" s="26" t="n">
        <v>24877500000</v>
      </c>
      <c r="P279" s="26">
        <f>MAX(0,N279-M279)</f>
        <v>0</v>
      </c>
      <c r="Q279" s="26">
        <f>MAX(0,M279-O279)</f>
        <v>0</v>
      </c>
      <c r="R279" t="inlineStr">
        <is>
          <t>bajo</t>
        </is>
      </c>
      <c r="S279" t="inlineStr">
        <is>
          <t>sin_accion</t>
        </is>
      </c>
      <c r="T279" t="inlineStr">
        <is>
          <t>ninguno</t>
        </is>
      </c>
      <c r="U279" s="26" t="n">
        <v>0</v>
      </c>
      <c r="X279" s="26">
        <f>IF(T279="entrada",M279+U279,IF(T279="salida",M279-U279,M279))</f>
        <v>12900496257</v>
      </c>
      <c r="Y279" s="26" t="n">
        <v>0</v>
      </c>
      <c r="Z279" t="inlineStr">
        <is>
          <t>RN-85: dentro de niveles objetivo (sin_accion)</t>
        </is>
      </c>
      <c r="AA279" t="inlineStr">
        <is>
          <t>SUP-07, SUP-10</t>
        </is>
      </c>
      <c r="AB279" t="inlineStr">
        <is>
          <t>Saldo dentro del rango objetivo; sin accion.</t>
        </is>
      </c>
      <c r="AC279" t="inlineStr">
        <is>
          <t>Cierre del dia anterior (saldo encadenado, RN-71)</t>
        </is>
      </c>
      <c r="AD279" t="inlineStr">
        <is>
          <t>estimada</t>
        </is>
      </c>
      <c r="AE279" t="inlineStr">
        <is>
          <t>Participacion historica por denominacion (SUP-09)</t>
        </is>
      </c>
    </row>
    <row r="280">
      <c r="A280" t="inlineStr">
        <is>
          <t>PRAGMA</t>
        </is>
      </c>
      <c r="B280" t="inlineStr">
        <is>
          <t>CALI|TRANSPORTADORA_003</t>
        </is>
      </c>
      <c r="C280" t="inlineStr">
        <is>
          <t>Cali</t>
        </is>
      </c>
      <c r="D280" t="inlineStr">
        <is>
          <t>TRANSPORTADORA_003</t>
        </is>
      </c>
      <c r="E280" s="23" t="n">
        <v>46265</v>
      </c>
      <c r="F280" s="23" t="n">
        <v>46278</v>
      </c>
      <c r="G280" t="inlineStr">
        <is>
          <t>No</t>
        </is>
      </c>
      <c r="H280" s="25" t="n">
        <v>50000</v>
      </c>
      <c r="I280" s="26" t="n">
        <v>12900496257</v>
      </c>
      <c r="J280" s="26" t="n">
        <v>705510077</v>
      </c>
      <c r="K280" s="26" t="n">
        <v>1414958344</v>
      </c>
      <c r="L280" s="26">
        <f>J280-K280</f>
        <v>-709448267</v>
      </c>
      <c r="M280" s="26">
        <f>I280+L280</f>
        <v>12191047990</v>
      </c>
      <c r="N280" s="26" t="n">
        <v>9740000000</v>
      </c>
      <c r="O280" s="26" t="n">
        <v>24877500000</v>
      </c>
      <c r="P280" s="26">
        <f>MAX(0,N280-M280)</f>
        <v>0</v>
      </c>
      <c r="Q280" s="26">
        <f>MAX(0,M280-O280)</f>
        <v>0</v>
      </c>
      <c r="R280" t="inlineStr">
        <is>
          <t>bajo</t>
        </is>
      </c>
      <c r="S280" t="inlineStr">
        <is>
          <t>sin_accion</t>
        </is>
      </c>
      <c r="T280" t="inlineStr">
        <is>
          <t>ninguno</t>
        </is>
      </c>
      <c r="U280" s="26" t="n">
        <v>0</v>
      </c>
      <c r="X280" s="26">
        <f>IF(T280="entrada",M280+U280,IF(T280="salida",M280-U280,M280))</f>
        <v>12191047990</v>
      </c>
      <c r="Y280" s="26" t="n">
        <v>0</v>
      </c>
      <c r="Z280" t="inlineStr">
        <is>
          <t>RN-85: dentro de niveles objetivo (sin_accion)</t>
        </is>
      </c>
      <c r="AA280" t="inlineStr">
        <is>
          <t>SUP-07, SUP-10</t>
        </is>
      </c>
      <c r="AB280" t="inlineStr">
        <is>
          <t>Saldo dentro del rango objetivo; sin accion.</t>
        </is>
      </c>
      <c r="AC280" t="inlineStr">
        <is>
          <t>Cierre del dia anterior (saldo encadenado, RN-71)</t>
        </is>
      </c>
      <c r="AD280" t="inlineStr">
        <is>
          <t>estimada</t>
        </is>
      </c>
      <c r="AE280" t="inlineStr">
        <is>
          <t>Participacion historica por denominacion (SUP-09)</t>
        </is>
      </c>
    </row>
    <row r="281">
      <c r="A281" t="inlineStr">
        <is>
          <t>PRAGMA</t>
        </is>
      </c>
      <c r="B281" t="inlineStr">
        <is>
          <t>CALI|TRANSPORTADORA_003</t>
        </is>
      </c>
      <c r="C281" t="inlineStr">
        <is>
          <t>Cali</t>
        </is>
      </c>
      <c r="D281" t="inlineStr">
        <is>
          <t>TRANSPORTADORA_003</t>
        </is>
      </c>
      <c r="E281" s="23" t="n">
        <v>46265</v>
      </c>
      <c r="F281" s="23" t="n">
        <v>46279</v>
      </c>
      <c r="G281" t="inlineStr">
        <is>
          <t>Sí</t>
        </is>
      </c>
      <c r="H281" s="25" t="n">
        <v>50000</v>
      </c>
      <c r="I281" s="26" t="n">
        <v>12191047991</v>
      </c>
      <c r="J281" s="26" t="n">
        <v>2854974870</v>
      </c>
      <c r="K281" s="26" t="n">
        <v>2871727345</v>
      </c>
      <c r="L281" s="26">
        <f>J281-K281</f>
        <v>-16752475</v>
      </c>
      <c r="M281" s="26">
        <f>I281+L281</f>
        <v>12174295516</v>
      </c>
      <c r="N281" s="26" t="n">
        <v>9740000000</v>
      </c>
      <c r="O281" s="26" t="n">
        <v>24877500000</v>
      </c>
      <c r="P281" s="26">
        <f>MAX(0,N281-M281)</f>
        <v>0</v>
      </c>
      <c r="Q281" s="26">
        <f>MAX(0,M281-O281)</f>
        <v>0</v>
      </c>
      <c r="R281" t="inlineStr">
        <is>
          <t>bajo</t>
        </is>
      </c>
      <c r="S281" t="inlineStr">
        <is>
          <t>traslado_fondos</t>
        </is>
      </c>
      <c r="T281" t="inlineStr">
        <is>
          <t>entrada</t>
        </is>
      </c>
      <c r="U281" s="26" t="n">
        <v>72000000</v>
      </c>
      <c r="V281" t="inlineStr">
        <is>
          <t>CALI|TRANSPORTADORA_004</t>
        </is>
      </c>
      <c r="W281" t="inlineStr">
        <is>
          <t>CALI|TRANSPORTADORA_003</t>
        </is>
      </c>
      <c r="X281" s="26">
        <f>IF(T281="entrada",M281+U281,IF(T281="salida",M281-U281,M281))</f>
        <v>12246295516</v>
      </c>
      <c r="Y281" s="26" t="n">
        <v>0</v>
      </c>
      <c r="Z281" t="inlineStr">
        <is>
          <t>Menor costo neto entre las alternativas que cubren la necesidad completa</t>
        </is>
      </c>
      <c r="AA281" t="inlineStr">
        <is>
          <t>SUP-08, SUP-10</t>
        </is>
      </c>
      <c r="AB281" t="inlineStr">
        <is>
          <t>Contraparte del traslado P00089 en la denominacion 50000: recibe $72.000.000 de CALI|TRANSPORTADORA_004. Saldo de esta fila: $12.174.295.515 antes y $12.246.295.515 despues (minimo $9.740.000.000, maximo $24.877.500.000). Necesidad que la origina, en CALI|TRANSPORTADORA_004: Excedente de $71.956.081 en la denominacion 50000: saldo $1.950.156.081 sobre el maximo $1.878.200.000. Elegida: traslado con CALI|TRANSPORTADORA_003 ($72.000.000; costo $0). Es preferible porque tiene el menor costo neto. Otras alternativas: conservar ($72.000.000; costo de almacenar $1.513); consignacion BanRep ($72.000.000; costo $140.420); venta: no habilitada en este fondo (sin historico o fuera de las ciudades BanRep); traslado hacia 1 fondo(s) con espacio: ruta sin tarifa en el Anexo E (prohibida).</t>
        </is>
      </c>
      <c r="AC281" t="inlineStr">
        <is>
          <t>Cierre del dia anterior (saldo encadenado, RN-71)</t>
        </is>
      </c>
      <c r="AD281" t="inlineStr">
        <is>
          <t>estimada</t>
        </is>
      </c>
      <c r="AE281" t="inlineStr">
        <is>
          <t>Participacion historica por denominacion (SUP-09)</t>
        </is>
      </c>
    </row>
    <row r="282">
      <c r="A282" t="inlineStr">
        <is>
          <t>PRAGMA</t>
        </is>
      </c>
      <c r="B282" t="inlineStr">
        <is>
          <t>CALI|TRANSPORTADORA_003</t>
        </is>
      </c>
      <c r="C282" t="inlineStr">
        <is>
          <t>Cali</t>
        </is>
      </c>
      <c r="D282" t="inlineStr">
        <is>
          <t>TRANSPORTADORA_003</t>
        </is>
      </c>
      <c r="E282" s="23" t="n">
        <v>46265</v>
      </c>
      <c r="F282" s="23" t="n">
        <v>46280</v>
      </c>
      <c r="G282" t="inlineStr">
        <is>
          <t>Sí</t>
        </is>
      </c>
      <c r="H282" s="25" t="n">
        <v>50000</v>
      </c>
      <c r="I282" s="26" t="n">
        <v>12246295515</v>
      </c>
      <c r="J282" s="26" t="n">
        <v>4265908402</v>
      </c>
      <c r="K282" s="26" t="n">
        <v>3981765410</v>
      </c>
      <c r="L282" s="26">
        <f>J282-K282</f>
        <v>284142992</v>
      </c>
      <c r="M282" s="26">
        <f>I282+L282</f>
        <v>12530438507</v>
      </c>
      <c r="N282" s="26" t="n">
        <v>9740000000</v>
      </c>
      <c r="O282" s="26" t="n">
        <v>24877500000</v>
      </c>
      <c r="P282" s="26">
        <f>MAX(0,N282-M282)</f>
        <v>0</v>
      </c>
      <c r="Q282" s="26">
        <f>MAX(0,M282-O282)</f>
        <v>0</v>
      </c>
      <c r="R282" t="inlineStr">
        <is>
          <t>bajo</t>
        </is>
      </c>
      <c r="S282" t="inlineStr">
        <is>
          <t>traslado_fondos</t>
        </is>
      </c>
      <c r="T282" t="inlineStr">
        <is>
          <t>entrada</t>
        </is>
      </c>
      <c r="U282" s="26" t="n">
        <v>45900000</v>
      </c>
      <c r="V282" t="inlineStr">
        <is>
          <t>CALI|TRANSPORTADORA_004</t>
        </is>
      </c>
      <c r="W282" t="inlineStr">
        <is>
          <t>CALI|TRANSPORTADORA_003</t>
        </is>
      </c>
      <c r="X282" s="26">
        <f>IF(T282="entrada",M282+U282,IF(T282="salida",M282-U282,M282))</f>
        <v>12576338507</v>
      </c>
      <c r="Y282" s="26" t="n">
        <v>0</v>
      </c>
      <c r="Z282" t="inlineStr">
        <is>
          <t>Menor costo neto entre las alternativas que cubren la necesidad completa</t>
        </is>
      </c>
      <c r="AA282" t="inlineStr">
        <is>
          <t>SUP-08, SUP-10</t>
        </is>
      </c>
      <c r="AB282" t="inlineStr">
        <is>
          <t>Contraparte del traslado P00095 en la denominacion 50000: recibe $45.900.000 de CALI|TRANSPORTADORA_004. Saldo de esta fila: $12.530.438.508 antes y $12.576.338.508 despues (minimo $9.740.000.000, maximo $24.877.500.000). Necesidad que la origina, en CALI|TRANSPORTADORA_004: Excedente de $45.889.084 en la denominacion 50000: saldo $1.924.089.084 sobre el maximo $1.878.200.000. Elegida: traslado con CALI|TRANSPORTADORA_003 ($45.900.000; costo $0). Es preferible porque tiene el menor costo neto. Otras alternativas: conservar ($45.900.000; costo de almacenar $482); consignacion BanRep ($45.900.000; costo $133.295); venta: no habilitada en este fondo (sin historico o fuera de las ciudades BanRep); traslado hacia 1 fondo(s) con espacio: ruta sin tarifa en el Anexo E (prohibida).</t>
        </is>
      </c>
      <c r="AC282" t="inlineStr">
        <is>
          <t>Cierre del dia anterior (saldo encadenado, RN-71)</t>
        </is>
      </c>
      <c r="AD282" t="inlineStr">
        <is>
          <t>estimada</t>
        </is>
      </c>
      <c r="AE282" t="inlineStr">
        <is>
          <t>Participacion historica por denominacion (SUP-09)</t>
        </is>
      </c>
    </row>
    <row r="283">
      <c r="A283" t="inlineStr">
        <is>
          <t>PRAGMA</t>
        </is>
      </c>
      <c r="B283" t="inlineStr">
        <is>
          <t>CALI|TRANSPORTADORA_003</t>
        </is>
      </c>
      <c r="C283" t="inlineStr">
        <is>
          <t>Cali</t>
        </is>
      </c>
      <c r="D283" t="inlineStr">
        <is>
          <t>TRANSPORTADORA_003</t>
        </is>
      </c>
      <c r="E283" s="23" t="n">
        <v>46265</v>
      </c>
      <c r="F283" s="23" t="n">
        <v>46266</v>
      </c>
      <c r="G283" t="inlineStr">
        <is>
          <t>Sí</t>
        </is>
      </c>
      <c r="H283" s="25" t="n">
        <v>100000</v>
      </c>
      <c r="I283" s="26" t="n">
        <v>34250000000</v>
      </c>
      <c r="J283" s="26" t="n">
        <v>5284558320</v>
      </c>
      <c r="K283" s="26" t="n">
        <v>6282602405</v>
      </c>
      <c r="L283" s="26">
        <f>J283-K283</f>
        <v>-998044085</v>
      </c>
      <c r="M283" s="26">
        <f>I283+L283</f>
        <v>33251955915</v>
      </c>
      <c r="N283" s="26" t="n">
        <v>10285000000</v>
      </c>
      <c r="O283" s="26" t="n">
        <v>37115000000</v>
      </c>
      <c r="P283" s="26">
        <f>MAX(0,N283-M283)</f>
        <v>0</v>
      </c>
      <c r="Q283" s="26">
        <f>MAX(0,M283-O283)</f>
        <v>0</v>
      </c>
      <c r="R283" t="inlineStr">
        <is>
          <t>bajo</t>
        </is>
      </c>
      <c r="S283" t="inlineStr">
        <is>
          <t>sin_accion</t>
        </is>
      </c>
      <c r="T283" t="inlineStr">
        <is>
          <t>ninguno</t>
        </is>
      </c>
      <c r="U283" s="26" t="n">
        <v>0</v>
      </c>
      <c r="X283" s="26">
        <f>IF(T283="entrada",M283+U283,IF(T283="salida",M283-U283,M283))</f>
        <v>33251955915</v>
      </c>
      <c r="Y283" s="26" t="n">
        <v>0</v>
      </c>
      <c r="Z283" t="inlineStr">
        <is>
          <t>RN-85: dentro de niveles objetivo (sin_accion)</t>
        </is>
      </c>
      <c r="AA283" t="inlineStr">
        <is>
          <t>SUP-07, SUP-10</t>
        </is>
      </c>
      <c r="AB283" t="inlineStr">
        <is>
          <t>Saldo dentro del rango objetivo; sin accion.</t>
        </is>
      </c>
      <c r="AC283" t="inlineStr">
        <is>
          <t>Ultimo disponible al 31/08/2026 (SUP-07)</t>
        </is>
      </c>
      <c r="AD283" t="inlineStr">
        <is>
          <t>estimada</t>
        </is>
      </c>
      <c r="AE283" t="inlineStr">
        <is>
          <t>Participacion historica por denominacion (SUP-09)</t>
        </is>
      </c>
    </row>
    <row r="284">
      <c r="A284" t="inlineStr">
        <is>
          <t>PRAGMA</t>
        </is>
      </c>
      <c r="B284" t="inlineStr">
        <is>
          <t>CALI|TRANSPORTADORA_003</t>
        </is>
      </c>
      <c r="C284" t="inlineStr">
        <is>
          <t>Cali</t>
        </is>
      </c>
      <c r="D284" t="inlineStr">
        <is>
          <t>TRANSPORTADORA_003</t>
        </is>
      </c>
      <c r="E284" s="23" t="n">
        <v>46265</v>
      </c>
      <c r="F284" s="23" t="n">
        <v>46267</v>
      </c>
      <c r="G284" t="inlineStr">
        <is>
          <t>Sí</t>
        </is>
      </c>
      <c r="H284" s="25" t="n">
        <v>100000</v>
      </c>
      <c r="I284" s="26" t="n">
        <v>33251955914</v>
      </c>
      <c r="J284" s="26" t="n">
        <v>4532000108</v>
      </c>
      <c r="K284" s="26" t="n">
        <v>5116002853</v>
      </c>
      <c r="L284" s="26">
        <f>J284-K284</f>
        <v>-584002745</v>
      </c>
      <c r="M284" s="26">
        <f>I284+L284</f>
        <v>32667953169</v>
      </c>
      <c r="N284" s="26" t="n">
        <v>10285000000</v>
      </c>
      <c r="O284" s="26" t="n">
        <v>37115000000</v>
      </c>
      <c r="P284" s="26">
        <f>MAX(0,N284-M284)</f>
        <v>0</v>
      </c>
      <c r="Q284" s="26">
        <f>MAX(0,M284-O284)</f>
        <v>0</v>
      </c>
      <c r="R284" t="inlineStr">
        <is>
          <t>bajo</t>
        </is>
      </c>
      <c r="S284" t="inlineStr">
        <is>
          <t>sin_accion</t>
        </is>
      </c>
      <c r="T284" t="inlineStr">
        <is>
          <t>ninguno</t>
        </is>
      </c>
      <c r="U284" s="26" t="n">
        <v>0</v>
      </c>
      <c r="X284" s="26">
        <f>IF(T284="entrada",M284+U284,IF(T284="salida",M284-U284,M284))</f>
        <v>32667953169</v>
      </c>
      <c r="Y284" s="26" t="n">
        <v>0</v>
      </c>
      <c r="Z284" t="inlineStr">
        <is>
          <t>RN-85: dentro de niveles objetivo (sin_accion)</t>
        </is>
      </c>
      <c r="AA284" t="inlineStr">
        <is>
          <t>SUP-07, SUP-10</t>
        </is>
      </c>
      <c r="AB284" t="inlineStr">
        <is>
          <t>Saldo dentro del rango objetivo; sin accion.</t>
        </is>
      </c>
      <c r="AC284" t="inlineStr">
        <is>
          <t>Cierre del dia anterior (saldo encadenado, RN-71)</t>
        </is>
      </c>
      <c r="AD284" t="inlineStr">
        <is>
          <t>estimada</t>
        </is>
      </c>
      <c r="AE284" t="inlineStr">
        <is>
          <t>Participacion historica por denominacion (SUP-09)</t>
        </is>
      </c>
    </row>
    <row r="285">
      <c r="A285" t="inlineStr">
        <is>
          <t>PRAGMA</t>
        </is>
      </c>
      <c r="B285" t="inlineStr">
        <is>
          <t>CALI|TRANSPORTADORA_003</t>
        </is>
      </c>
      <c r="C285" t="inlineStr">
        <is>
          <t>Cali</t>
        </is>
      </c>
      <c r="D285" t="inlineStr">
        <is>
          <t>TRANSPORTADORA_003</t>
        </is>
      </c>
      <c r="E285" s="23" t="n">
        <v>46265</v>
      </c>
      <c r="F285" s="23" t="n">
        <v>46268</v>
      </c>
      <c r="G285" t="inlineStr">
        <is>
          <t>Sí</t>
        </is>
      </c>
      <c r="H285" s="25" t="n">
        <v>100000</v>
      </c>
      <c r="I285" s="26" t="n">
        <v>32667953169</v>
      </c>
      <c r="J285" s="26" t="n">
        <v>4658692572</v>
      </c>
      <c r="K285" s="26" t="n">
        <v>4247811084</v>
      </c>
      <c r="L285" s="26">
        <f>J285-K285</f>
        <v>410881488</v>
      </c>
      <c r="M285" s="26">
        <f>I285+L285</f>
        <v>33078834657</v>
      </c>
      <c r="N285" s="26" t="n">
        <v>10285000000</v>
      </c>
      <c r="O285" s="26" t="n">
        <v>37115000000</v>
      </c>
      <c r="P285" s="26">
        <f>MAX(0,N285-M285)</f>
        <v>0</v>
      </c>
      <c r="Q285" s="26">
        <f>MAX(0,M285-O285)</f>
        <v>0</v>
      </c>
      <c r="R285" t="inlineStr">
        <is>
          <t>bajo</t>
        </is>
      </c>
      <c r="S285" t="inlineStr">
        <is>
          <t>sin_accion</t>
        </is>
      </c>
      <c r="T285" t="inlineStr">
        <is>
          <t>ninguno</t>
        </is>
      </c>
      <c r="U285" s="26" t="n">
        <v>0</v>
      </c>
      <c r="X285" s="26">
        <f>IF(T285="entrada",M285+U285,IF(T285="salida",M285-U285,M285))</f>
        <v>33078834657</v>
      </c>
      <c r="Y285" s="26" t="n">
        <v>0</v>
      </c>
      <c r="Z285" t="inlineStr">
        <is>
          <t>RN-85: dentro de niveles objetivo (sin_accion)</t>
        </is>
      </c>
      <c r="AA285" t="inlineStr">
        <is>
          <t>SUP-07, SUP-10</t>
        </is>
      </c>
      <c r="AB285" t="inlineStr">
        <is>
          <t>Saldo dentro del rango objetivo; sin accion.</t>
        </is>
      </c>
      <c r="AC285" t="inlineStr">
        <is>
          <t>Cierre del dia anterior (saldo encadenado, RN-71)</t>
        </is>
      </c>
      <c r="AD285" t="inlineStr">
        <is>
          <t>estimada</t>
        </is>
      </c>
      <c r="AE285" t="inlineStr">
        <is>
          <t>Participacion historica por denominacion (SUP-09)</t>
        </is>
      </c>
    </row>
    <row r="286">
      <c r="A286" t="inlineStr">
        <is>
          <t>PRAGMA</t>
        </is>
      </c>
      <c r="B286" t="inlineStr">
        <is>
          <t>CALI|TRANSPORTADORA_003</t>
        </is>
      </c>
      <c r="C286" t="inlineStr">
        <is>
          <t>Cali</t>
        </is>
      </c>
      <c r="D286" t="inlineStr">
        <is>
          <t>TRANSPORTADORA_003</t>
        </is>
      </c>
      <c r="E286" s="23" t="n">
        <v>46265</v>
      </c>
      <c r="F286" s="23" t="n">
        <v>46269</v>
      </c>
      <c r="G286" t="inlineStr">
        <is>
          <t>Sí</t>
        </is>
      </c>
      <c r="H286" s="25" t="n">
        <v>100000</v>
      </c>
      <c r="I286" s="26" t="n">
        <v>33078834658</v>
      </c>
      <c r="J286" s="26" t="n">
        <v>4077809881</v>
      </c>
      <c r="K286" s="26" t="n">
        <v>4851175740</v>
      </c>
      <c r="L286" s="26">
        <f>J286-K286</f>
        <v>-773365859</v>
      </c>
      <c r="M286" s="26">
        <f>I286+L286</f>
        <v>32305468799</v>
      </c>
      <c r="N286" s="26" t="n">
        <v>10285000000</v>
      </c>
      <c r="O286" s="26" t="n">
        <v>37115000000</v>
      </c>
      <c r="P286" s="26">
        <f>MAX(0,N286-M286)</f>
        <v>0</v>
      </c>
      <c r="Q286" s="26">
        <f>MAX(0,M286-O286)</f>
        <v>0</v>
      </c>
      <c r="R286" t="inlineStr">
        <is>
          <t>bajo</t>
        </is>
      </c>
      <c r="S286" t="inlineStr">
        <is>
          <t>sin_accion</t>
        </is>
      </c>
      <c r="T286" t="inlineStr">
        <is>
          <t>ninguno</t>
        </is>
      </c>
      <c r="U286" s="26" t="n">
        <v>0</v>
      </c>
      <c r="X286" s="26">
        <f>IF(T286="entrada",M286+U286,IF(T286="salida",M286-U286,M286))</f>
        <v>32305468799</v>
      </c>
      <c r="Y286" s="26" t="n">
        <v>0</v>
      </c>
      <c r="Z286" t="inlineStr">
        <is>
          <t>RN-85: dentro de niveles objetivo (sin_accion)</t>
        </is>
      </c>
      <c r="AA286" t="inlineStr">
        <is>
          <t>SUP-07, SUP-10</t>
        </is>
      </c>
      <c r="AB286" t="inlineStr">
        <is>
          <t>Saldo dentro del rango objetivo; sin accion.</t>
        </is>
      </c>
      <c r="AC286" t="inlineStr">
        <is>
          <t>Cierre del dia anterior (saldo encadenado, RN-71)</t>
        </is>
      </c>
      <c r="AD286" t="inlineStr">
        <is>
          <t>estimada</t>
        </is>
      </c>
      <c r="AE286" t="inlineStr">
        <is>
          <t>Participacion historica por denominacion (SUP-09)</t>
        </is>
      </c>
    </row>
    <row r="287">
      <c r="A287" t="inlineStr">
        <is>
          <t>PRAGMA</t>
        </is>
      </c>
      <c r="B287" t="inlineStr">
        <is>
          <t>CALI|TRANSPORTADORA_003</t>
        </is>
      </c>
      <c r="C287" t="inlineStr">
        <is>
          <t>Cali</t>
        </is>
      </c>
      <c r="D287" t="inlineStr">
        <is>
          <t>TRANSPORTADORA_003</t>
        </is>
      </c>
      <c r="E287" s="23" t="n">
        <v>46265</v>
      </c>
      <c r="F287" s="23" t="n">
        <v>46270</v>
      </c>
      <c r="G287" t="inlineStr">
        <is>
          <t>No</t>
        </is>
      </c>
      <c r="H287" s="25" t="n">
        <v>100000</v>
      </c>
      <c r="I287" s="26" t="n">
        <v>32305468799</v>
      </c>
      <c r="J287" s="26" t="n">
        <v>2115373144</v>
      </c>
      <c r="K287" s="26" t="n">
        <v>4045559442</v>
      </c>
      <c r="L287" s="26">
        <f>J287-K287</f>
        <v>-1930186298</v>
      </c>
      <c r="M287" s="26">
        <f>I287+L287</f>
        <v>30375282501</v>
      </c>
      <c r="N287" s="26" t="n">
        <v>10285000000</v>
      </c>
      <c r="O287" s="26" t="n">
        <v>37115000000</v>
      </c>
      <c r="P287" s="26">
        <f>MAX(0,N287-M287)</f>
        <v>0</v>
      </c>
      <c r="Q287" s="26">
        <f>MAX(0,M287-O287)</f>
        <v>0</v>
      </c>
      <c r="R287" t="inlineStr">
        <is>
          <t>bajo</t>
        </is>
      </c>
      <c r="S287" t="inlineStr">
        <is>
          <t>sin_accion</t>
        </is>
      </c>
      <c r="T287" t="inlineStr">
        <is>
          <t>ninguno</t>
        </is>
      </c>
      <c r="U287" s="26" t="n">
        <v>0</v>
      </c>
      <c r="X287" s="26">
        <f>IF(T287="entrada",M287+U287,IF(T287="salida",M287-U287,M287))</f>
        <v>30375282501</v>
      </c>
      <c r="Y287" s="26" t="n">
        <v>0</v>
      </c>
      <c r="Z287" t="inlineStr">
        <is>
          <t>RN-85: dentro de niveles objetivo (sin_accion)</t>
        </is>
      </c>
      <c r="AA287" t="inlineStr">
        <is>
          <t>SUP-07, SUP-10</t>
        </is>
      </c>
      <c r="AB287" t="inlineStr">
        <is>
          <t>Saldo dentro del rango objetivo; sin accion.</t>
        </is>
      </c>
      <c r="AC287" t="inlineStr">
        <is>
          <t>Cierre del dia anterior (saldo encadenado, RN-71)</t>
        </is>
      </c>
      <c r="AD287" t="inlineStr">
        <is>
          <t>estimada</t>
        </is>
      </c>
      <c r="AE287" t="inlineStr">
        <is>
          <t>Participacion historica por denominacion (SUP-09)</t>
        </is>
      </c>
    </row>
    <row r="288">
      <c r="A288" t="inlineStr">
        <is>
          <t>PRAGMA</t>
        </is>
      </c>
      <c r="B288" t="inlineStr">
        <is>
          <t>CALI|TRANSPORTADORA_003</t>
        </is>
      </c>
      <c r="C288" t="inlineStr">
        <is>
          <t>Cali</t>
        </is>
      </c>
      <c r="D288" t="inlineStr">
        <is>
          <t>TRANSPORTADORA_003</t>
        </is>
      </c>
      <c r="E288" s="23" t="n">
        <v>46265</v>
      </c>
      <c r="F288" s="23" t="n">
        <v>46271</v>
      </c>
      <c r="G288" t="inlineStr">
        <is>
          <t>No</t>
        </is>
      </c>
      <c r="H288" s="25" t="n">
        <v>100000</v>
      </c>
      <c r="I288" s="26" t="n">
        <v>30375282501</v>
      </c>
      <c r="J288" s="26" t="n">
        <v>1074238566</v>
      </c>
      <c r="K288" s="26" t="n">
        <v>2327868447</v>
      </c>
      <c r="L288" s="26">
        <f>J288-K288</f>
        <v>-1253629881</v>
      </c>
      <c r="M288" s="26">
        <f>I288+L288</f>
        <v>29121652620</v>
      </c>
      <c r="N288" s="26" t="n">
        <v>10285000000</v>
      </c>
      <c r="O288" s="26" t="n">
        <v>37115000000</v>
      </c>
      <c r="P288" s="26">
        <f>MAX(0,N288-M288)</f>
        <v>0</v>
      </c>
      <c r="Q288" s="26">
        <f>MAX(0,M288-O288)</f>
        <v>0</v>
      </c>
      <c r="R288" t="inlineStr">
        <is>
          <t>bajo</t>
        </is>
      </c>
      <c r="S288" t="inlineStr">
        <is>
          <t>sin_accion</t>
        </is>
      </c>
      <c r="T288" t="inlineStr">
        <is>
          <t>ninguno</t>
        </is>
      </c>
      <c r="U288" s="26" t="n">
        <v>0</v>
      </c>
      <c r="X288" s="26">
        <f>IF(T288="entrada",M288+U288,IF(T288="salida",M288-U288,M288))</f>
        <v>29121652620</v>
      </c>
      <c r="Y288" s="26" t="n">
        <v>0</v>
      </c>
      <c r="Z288" t="inlineStr">
        <is>
          <t>RN-85: dentro de niveles objetivo (sin_accion)</t>
        </is>
      </c>
      <c r="AA288" t="inlineStr">
        <is>
          <t>SUP-07, SUP-10</t>
        </is>
      </c>
      <c r="AB288" t="inlineStr">
        <is>
          <t>Saldo dentro del rango objetivo; sin accion.</t>
        </is>
      </c>
      <c r="AC288" t="inlineStr">
        <is>
          <t>Cierre del dia anterior (saldo encadenado, RN-71)</t>
        </is>
      </c>
      <c r="AD288" t="inlineStr">
        <is>
          <t>estimada</t>
        </is>
      </c>
      <c r="AE288" t="inlineStr">
        <is>
          <t>Participacion historica por denominacion (SUP-09)</t>
        </is>
      </c>
    </row>
    <row r="289">
      <c r="A289" t="inlineStr">
        <is>
          <t>PRAGMA</t>
        </is>
      </c>
      <c r="B289" t="inlineStr">
        <is>
          <t>CALI|TRANSPORTADORA_003</t>
        </is>
      </c>
      <c r="C289" t="inlineStr">
        <is>
          <t>Cali</t>
        </is>
      </c>
      <c r="D289" t="inlineStr">
        <is>
          <t>TRANSPORTADORA_003</t>
        </is>
      </c>
      <c r="E289" s="23" t="n">
        <v>46265</v>
      </c>
      <c r="F289" s="23" t="n">
        <v>46272</v>
      </c>
      <c r="G289" t="inlineStr">
        <is>
          <t>Sí</t>
        </is>
      </c>
      <c r="H289" s="25" t="n">
        <v>100000</v>
      </c>
      <c r="I289" s="26" t="n">
        <v>29121652620</v>
      </c>
      <c r="J289" s="26" t="n">
        <v>3637584535</v>
      </c>
      <c r="K289" s="26" t="n">
        <v>3689301530</v>
      </c>
      <c r="L289" s="26">
        <f>J289-K289</f>
        <v>-51716995</v>
      </c>
      <c r="M289" s="26">
        <f>I289+L289</f>
        <v>29069935625</v>
      </c>
      <c r="N289" s="26" t="n">
        <v>10285000000</v>
      </c>
      <c r="O289" s="26" t="n">
        <v>37115000000</v>
      </c>
      <c r="P289" s="26">
        <f>MAX(0,N289-M289)</f>
        <v>0</v>
      </c>
      <c r="Q289" s="26">
        <f>MAX(0,M289-O289)</f>
        <v>0</v>
      </c>
      <c r="R289" t="inlineStr">
        <is>
          <t>bajo</t>
        </is>
      </c>
      <c r="S289" t="inlineStr">
        <is>
          <t>sin_accion</t>
        </is>
      </c>
      <c r="T289" t="inlineStr">
        <is>
          <t>ninguno</t>
        </is>
      </c>
      <c r="U289" s="26" t="n">
        <v>0</v>
      </c>
      <c r="X289" s="26">
        <f>IF(T289="entrada",M289+U289,IF(T289="salida",M289-U289,M289))</f>
        <v>29069935625</v>
      </c>
      <c r="Y289" s="26" t="n">
        <v>0</v>
      </c>
      <c r="Z289" t="inlineStr">
        <is>
          <t>RN-85: dentro de niveles objetivo (sin_accion)</t>
        </is>
      </c>
      <c r="AA289" t="inlineStr">
        <is>
          <t>SUP-07, SUP-10</t>
        </is>
      </c>
      <c r="AB289" t="inlineStr">
        <is>
          <t>Saldo dentro del rango objetivo; sin accion.</t>
        </is>
      </c>
      <c r="AC289" t="inlineStr">
        <is>
          <t>Cierre del dia anterior (saldo encadenado, RN-71)</t>
        </is>
      </c>
      <c r="AD289" t="inlineStr">
        <is>
          <t>estimada</t>
        </is>
      </c>
      <c r="AE289" t="inlineStr">
        <is>
          <t>Participacion historica por denominacion (SUP-09)</t>
        </is>
      </c>
    </row>
    <row r="290">
      <c r="A290" t="inlineStr">
        <is>
          <t>PRAGMA</t>
        </is>
      </c>
      <c r="B290" t="inlineStr">
        <is>
          <t>CALI|TRANSPORTADORA_003</t>
        </is>
      </c>
      <c r="C290" t="inlineStr">
        <is>
          <t>Cali</t>
        </is>
      </c>
      <c r="D290" t="inlineStr">
        <is>
          <t>TRANSPORTADORA_003</t>
        </is>
      </c>
      <c r="E290" s="23" t="n">
        <v>46265</v>
      </c>
      <c r="F290" s="23" t="n">
        <v>46273</v>
      </c>
      <c r="G290" t="inlineStr">
        <is>
          <t>Sí</t>
        </is>
      </c>
      <c r="H290" s="25" t="n">
        <v>100000</v>
      </c>
      <c r="I290" s="26" t="n">
        <v>29069935625</v>
      </c>
      <c r="J290" s="26" t="n">
        <v>5245957176</v>
      </c>
      <c r="K290" s="26" t="n">
        <v>3707970397</v>
      </c>
      <c r="L290" s="26">
        <f>J290-K290</f>
        <v>1537986779</v>
      </c>
      <c r="M290" s="26">
        <f>I290+L290</f>
        <v>30607922404</v>
      </c>
      <c r="N290" s="26" t="n">
        <v>10285000000</v>
      </c>
      <c r="O290" s="26" t="n">
        <v>37115000000</v>
      </c>
      <c r="P290" s="26">
        <f>MAX(0,N290-M290)</f>
        <v>0</v>
      </c>
      <c r="Q290" s="26">
        <f>MAX(0,M290-O290)</f>
        <v>0</v>
      </c>
      <c r="R290" t="inlineStr">
        <is>
          <t>bajo</t>
        </is>
      </c>
      <c r="S290" t="inlineStr">
        <is>
          <t>sin_accion</t>
        </is>
      </c>
      <c r="T290" t="inlineStr">
        <is>
          <t>ninguno</t>
        </is>
      </c>
      <c r="U290" s="26" t="n">
        <v>0</v>
      </c>
      <c r="X290" s="26">
        <f>IF(T290="entrada",M290+U290,IF(T290="salida",M290-U290,M290))</f>
        <v>30607922404</v>
      </c>
      <c r="Y290" s="26" t="n">
        <v>0</v>
      </c>
      <c r="Z290" t="inlineStr">
        <is>
          <t>RN-85: dentro de niveles objetivo (sin_accion)</t>
        </is>
      </c>
      <c r="AA290" t="inlineStr">
        <is>
          <t>SUP-07, SUP-10</t>
        </is>
      </c>
      <c r="AB290" t="inlineStr">
        <is>
          <t>Saldo dentro del rango objetivo; sin accion.</t>
        </is>
      </c>
      <c r="AC290" t="inlineStr">
        <is>
          <t>Cierre del dia anterior (saldo encadenado, RN-71)</t>
        </is>
      </c>
      <c r="AD290" t="inlineStr">
        <is>
          <t>estimada</t>
        </is>
      </c>
      <c r="AE290" t="inlineStr">
        <is>
          <t>Participacion historica por denominacion (SUP-09)</t>
        </is>
      </c>
    </row>
    <row r="291">
      <c r="A291" t="inlineStr">
        <is>
          <t>PRAGMA</t>
        </is>
      </c>
      <c r="B291" t="inlineStr">
        <is>
          <t>CALI|TRANSPORTADORA_003</t>
        </is>
      </c>
      <c r="C291" t="inlineStr">
        <is>
          <t>Cali</t>
        </is>
      </c>
      <c r="D291" t="inlineStr">
        <is>
          <t>TRANSPORTADORA_003</t>
        </is>
      </c>
      <c r="E291" s="23" t="n">
        <v>46265</v>
      </c>
      <c r="F291" s="23" t="n">
        <v>46274</v>
      </c>
      <c r="G291" t="inlineStr">
        <is>
          <t>Sí</t>
        </is>
      </c>
      <c r="H291" s="25" t="n">
        <v>100000</v>
      </c>
      <c r="I291" s="26" t="n">
        <v>30607922404</v>
      </c>
      <c r="J291" s="26" t="n">
        <v>4917466907</v>
      </c>
      <c r="K291" s="26" t="n">
        <v>3658468559</v>
      </c>
      <c r="L291" s="26">
        <f>J291-K291</f>
        <v>1258998348</v>
      </c>
      <c r="M291" s="26">
        <f>I291+L291</f>
        <v>31866920752</v>
      </c>
      <c r="N291" s="26" t="n">
        <v>10285000000</v>
      </c>
      <c r="O291" s="26" t="n">
        <v>37115000000</v>
      </c>
      <c r="P291" s="26">
        <f>MAX(0,N291-M291)</f>
        <v>0</v>
      </c>
      <c r="Q291" s="26">
        <f>MAX(0,M291-O291)</f>
        <v>0</v>
      </c>
      <c r="R291" t="inlineStr">
        <is>
          <t>bajo</t>
        </is>
      </c>
      <c r="S291" t="inlineStr">
        <is>
          <t>sin_accion</t>
        </is>
      </c>
      <c r="T291" t="inlineStr">
        <is>
          <t>ninguno</t>
        </is>
      </c>
      <c r="U291" s="26" t="n">
        <v>0</v>
      </c>
      <c r="X291" s="26">
        <f>IF(T291="entrada",M291+U291,IF(T291="salida",M291-U291,M291))</f>
        <v>31866920752</v>
      </c>
      <c r="Y291" s="26" t="n">
        <v>0</v>
      </c>
      <c r="Z291" t="inlineStr">
        <is>
          <t>RN-85: dentro de niveles objetivo (sin_accion)</t>
        </is>
      </c>
      <c r="AA291" t="inlineStr">
        <is>
          <t>SUP-07, SUP-10</t>
        </is>
      </c>
      <c r="AB291" t="inlineStr">
        <is>
          <t>Saldo dentro del rango objetivo; sin accion.</t>
        </is>
      </c>
      <c r="AC291" t="inlineStr">
        <is>
          <t>Cierre del dia anterior (saldo encadenado, RN-71)</t>
        </is>
      </c>
      <c r="AD291" t="inlineStr">
        <is>
          <t>estimada</t>
        </is>
      </c>
      <c r="AE291" t="inlineStr">
        <is>
          <t>Participacion historica por denominacion (SUP-09)</t>
        </is>
      </c>
    </row>
    <row r="292">
      <c r="A292" t="inlineStr">
        <is>
          <t>PRAGMA</t>
        </is>
      </c>
      <c r="B292" t="inlineStr">
        <is>
          <t>CALI|TRANSPORTADORA_003</t>
        </is>
      </c>
      <c r="C292" t="inlineStr">
        <is>
          <t>Cali</t>
        </is>
      </c>
      <c r="D292" t="inlineStr">
        <is>
          <t>TRANSPORTADORA_003</t>
        </is>
      </c>
      <c r="E292" s="23" t="n">
        <v>46265</v>
      </c>
      <c r="F292" s="23" t="n">
        <v>46275</v>
      </c>
      <c r="G292" t="inlineStr">
        <is>
          <t>Sí</t>
        </is>
      </c>
      <c r="H292" s="25" t="n">
        <v>100000</v>
      </c>
      <c r="I292" s="26" t="n">
        <v>31866920753</v>
      </c>
      <c r="J292" s="26" t="n">
        <v>4896402629</v>
      </c>
      <c r="K292" s="26" t="n">
        <v>3345601944</v>
      </c>
      <c r="L292" s="26">
        <f>J292-K292</f>
        <v>1550800685</v>
      </c>
      <c r="M292" s="26">
        <f>I292+L292</f>
        <v>33417721438</v>
      </c>
      <c r="N292" s="26" t="n">
        <v>10285000000</v>
      </c>
      <c r="O292" s="26" t="n">
        <v>37115000000</v>
      </c>
      <c r="P292" s="26">
        <f>MAX(0,N292-M292)</f>
        <v>0</v>
      </c>
      <c r="Q292" s="26">
        <f>MAX(0,M292-O292)</f>
        <v>0</v>
      </c>
      <c r="R292" t="inlineStr">
        <is>
          <t>bajo</t>
        </is>
      </c>
      <c r="S292" t="inlineStr">
        <is>
          <t>sin_accion</t>
        </is>
      </c>
      <c r="T292" t="inlineStr">
        <is>
          <t>ninguno</t>
        </is>
      </c>
      <c r="U292" s="26" t="n">
        <v>0</v>
      </c>
      <c r="X292" s="26">
        <f>IF(T292="entrada",M292+U292,IF(T292="salida",M292-U292,M292))</f>
        <v>33417721438</v>
      </c>
      <c r="Y292" s="26" t="n">
        <v>0</v>
      </c>
      <c r="Z292" t="inlineStr">
        <is>
          <t>RN-85: dentro de niveles objetivo (sin_accion)</t>
        </is>
      </c>
      <c r="AA292" t="inlineStr">
        <is>
          <t>SUP-07, SUP-10</t>
        </is>
      </c>
      <c r="AB292" t="inlineStr">
        <is>
          <t>Saldo dentro del rango objetivo; sin accion.</t>
        </is>
      </c>
      <c r="AC292" t="inlineStr">
        <is>
          <t>Cierre del dia anterior (saldo encadenado, RN-71)</t>
        </is>
      </c>
      <c r="AD292" t="inlineStr">
        <is>
          <t>estimada</t>
        </is>
      </c>
      <c r="AE292" t="inlineStr">
        <is>
          <t>Participacion historica por denominacion (SUP-09)</t>
        </is>
      </c>
    </row>
    <row r="293">
      <c r="A293" t="inlineStr">
        <is>
          <t>PRAGMA</t>
        </is>
      </c>
      <c r="B293" t="inlineStr">
        <is>
          <t>CALI|TRANSPORTADORA_003</t>
        </is>
      </c>
      <c r="C293" t="inlineStr">
        <is>
          <t>Cali</t>
        </is>
      </c>
      <c r="D293" t="inlineStr">
        <is>
          <t>TRANSPORTADORA_003</t>
        </is>
      </c>
      <c r="E293" s="23" t="n">
        <v>46265</v>
      </c>
      <c r="F293" s="23" t="n">
        <v>46276</v>
      </c>
      <c r="G293" t="inlineStr">
        <is>
          <t>Sí</t>
        </is>
      </c>
      <c r="H293" s="25" t="n">
        <v>100000</v>
      </c>
      <c r="I293" s="26" t="n">
        <v>33417721438</v>
      </c>
      <c r="J293" s="26" t="n">
        <v>3993736214</v>
      </c>
      <c r="K293" s="26" t="n">
        <v>3762596946</v>
      </c>
      <c r="L293" s="26">
        <f>J293-K293</f>
        <v>231139268</v>
      </c>
      <c r="M293" s="26">
        <f>I293+L293</f>
        <v>33648860706</v>
      </c>
      <c r="N293" s="26" t="n">
        <v>10285000000</v>
      </c>
      <c r="O293" s="26" t="n">
        <v>37115000000</v>
      </c>
      <c r="P293" s="26">
        <f>MAX(0,N293-M293)</f>
        <v>0</v>
      </c>
      <c r="Q293" s="26">
        <f>MAX(0,M293-O293)</f>
        <v>0</v>
      </c>
      <c r="R293" t="inlineStr">
        <is>
          <t>bajo</t>
        </is>
      </c>
      <c r="S293" t="inlineStr">
        <is>
          <t>sin_accion</t>
        </is>
      </c>
      <c r="T293" t="inlineStr">
        <is>
          <t>ninguno</t>
        </is>
      </c>
      <c r="U293" s="26" t="n">
        <v>0</v>
      </c>
      <c r="X293" s="26">
        <f>IF(T293="entrada",M293+U293,IF(T293="salida",M293-U293,M293))</f>
        <v>33648860706</v>
      </c>
      <c r="Y293" s="26" t="n">
        <v>0</v>
      </c>
      <c r="Z293" t="inlineStr">
        <is>
          <t>RN-85: dentro de niveles objetivo (sin_accion)</t>
        </is>
      </c>
      <c r="AA293" t="inlineStr">
        <is>
          <t>SUP-07, SUP-10</t>
        </is>
      </c>
      <c r="AB293" t="inlineStr">
        <is>
          <t>Saldo dentro del rango objetivo; sin accion.</t>
        </is>
      </c>
      <c r="AC293" t="inlineStr">
        <is>
          <t>Cierre del dia anterior (saldo encadenado, RN-71)</t>
        </is>
      </c>
      <c r="AD293" t="inlineStr">
        <is>
          <t>estimada</t>
        </is>
      </c>
      <c r="AE293" t="inlineStr">
        <is>
          <t>Participacion historica por denominacion (SUP-09)</t>
        </is>
      </c>
    </row>
    <row r="294">
      <c r="A294" t="inlineStr">
        <is>
          <t>PRAGMA</t>
        </is>
      </c>
      <c r="B294" t="inlineStr">
        <is>
          <t>CALI|TRANSPORTADORA_003</t>
        </is>
      </c>
      <c r="C294" t="inlineStr">
        <is>
          <t>Cali</t>
        </is>
      </c>
      <c r="D294" t="inlineStr">
        <is>
          <t>TRANSPORTADORA_003</t>
        </is>
      </c>
      <c r="E294" s="23" t="n">
        <v>46265</v>
      </c>
      <c r="F294" s="23" t="n">
        <v>46277</v>
      </c>
      <c r="G294" t="inlineStr">
        <is>
          <t>No</t>
        </is>
      </c>
      <c r="H294" s="25" t="n">
        <v>100000</v>
      </c>
      <c r="I294" s="26" t="n">
        <v>33648860705</v>
      </c>
      <c r="J294" s="26" t="n">
        <v>2150905324</v>
      </c>
      <c r="K294" s="26" t="n">
        <v>3179057213</v>
      </c>
      <c r="L294" s="26">
        <f>J294-K294</f>
        <v>-1028151889</v>
      </c>
      <c r="M294" s="26">
        <f>I294+L294</f>
        <v>32620708816</v>
      </c>
      <c r="N294" s="26" t="n">
        <v>10285000000</v>
      </c>
      <c r="O294" s="26" t="n">
        <v>37115000000</v>
      </c>
      <c r="P294" s="26">
        <f>MAX(0,N294-M294)</f>
        <v>0</v>
      </c>
      <c r="Q294" s="26">
        <f>MAX(0,M294-O294)</f>
        <v>0</v>
      </c>
      <c r="R294" t="inlineStr">
        <is>
          <t>bajo</t>
        </is>
      </c>
      <c r="S294" t="inlineStr">
        <is>
          <t>sin_accion</t>
        </is>
      </c>
      <c r="T294" t="inlineStr">
        <is>
          <t>ninguno</t>
        </is>
      </c>
      <c r="U294" s="26" t="n">
        <v>0</v>
      </c>
      <c r="X294" s="26">
        <f>IF(T294="entrada",M294+U294,IF(T294="salida",M294-U294,M294))</f>
        <v>32620708816</v>
      </c>
      <c r="Y294" s="26" t="n">
        <v>0</v>
      </c>
      <c r="Z294" t="inlineStr">
        <is>
          <t>RN-85: dentro de niveles objetivo (sin_accion)</t>
        </is>
      </c>
      <c r="AA294" t="inlineStr">
        <is>
          <t>SUP-07, SUP-10</t>
        </is>
      </c>
      <c r="AB294" t="inlineStr">
        <is>
          <t>Saldo dentro del rango objetivo; sin accion.</t>
        </is>
      </c>
      <c r="AC294" t="inlineStr">
        <is>
          <t>Cierre del dia anterior (saldo encadenado, RN-71)</t>
        </is>
      </c>
      <c r="AD294" t="inlineStr">
        <is>
          <t>estimada</t>
        </is>
      </c>
      <c r="AE294" t="inlineStr">
        <is>
          <t>Participacion historica por denominacion (SUP-09)</t>
        </is>
      </c>
    </row>
    <row r="295">
      <c r="A295" t="inlineStr">
        <is>
          <t>PRAGMA</t>
        </is>
      </c>
      <c r="B295" t="inlineStr">
        <is>
          <t>CALI|TRANSPORTADORA_003</t>
        </is>
      </c>
      <c r="C295" t="inlineStr">
        <is>
          <t>Cali</t>
        </is>
      </c>
      <c r="D295" t="inlineStr">
        <is>
          <t>TRANSPORTADORA_003</t>
        </is>
      </c>
      <c r="E295" s="23" t="n">
        <v>46265</v>
      </c>
      <c r="F295" s="23" t="n">
        <v>46278</v>
      </c>
      <c r="G295" t="inlineStr">
        <is>
          <t>No</t>
        </is>
      </c>
      <c r="H295" s="25" t="n">
        <v>100000</v>
      </c>
      <c r="I295" s="26" t="n">
        <v>32620708817</v>
      </c>
      <c r="J295" s="26" t="n">
        <v>880455022</v>
      </c>
      <c r="K295" s="26" t="n">
        <v>1765824783</v>
      </c>
      <c r="L295" s="26">
        <f>J295-K295</f>
        <v>-885369761</v>
      </c>
      <c r="M295" s="26">
        <f>I295+L295</f>
        <v>31735339056</v>
      </c>
      <c r="N295" s="26" t="n">
        <v>10285000000</v>
      </c>
      <c r="O295" s="26" t="n">
        <v>37115000000</v>
      </c>
      <c r="P295" s="26">
        <f>MAX(0,N295-M295)</f>
        <v>0</v>
      </c>
      <c r="Q295" s="26">
        <f>MAX(0,M295-O295)</f>
        <v>0</v>
      </c>
      <c r="R295" t="inlineStr">
        <is>
          <t>bajo</t>
        </is>
      </c>
      <c r="S295" t="inlineStr">
        <is>
          <t>sin_accion</t>
        </is>
      </c>
      <c r="T295" t="inlineStr">
        <is>
          <t>ninguno</t>
        </is>
      </c>
      <c r="U295" s="26" t="n">
        <v>0</v>
      </c>
      <c r="X295" s="26">
        <f>IF(T295="entrada",M295+U295,IF(T295="salida",M295-U295,M295))</f>
        <v>31735339056</v>
      </c>
      <c r="Y295" s="26" t="n">
        <v>0</v>
      </c>
      <c r="Z295" t="inlineStr">
        <is>
          <t>RN-85: dentro de niveles objetivo (sin_accion)</t>
        </is>
      </c>
      <c r="AA295" t="inlineStr">
        <is>
          <t>SUP-07, SUP-10</t>
        </is>
      </c>
      <c r="AB295" t="inlineStr">
        <is>
          <t>Saldo dentro del rango objetivo; sin accion.</t>
        </is>
      </c>
      <c r="AC295" t="inlineStr">
        <is>
          <t>Cierre del dia anterior (saldo encadenado, RN-71)</t>
        </is>
      </c>
      <c r="AD295" t="inlineStr">
        <is>
          <t>estimada</t>
        </is>
      </c>
      <c r="AE295" t="inlineStr">
        <is>
          <t>Participacion historica por denominacion (SUP-09)</t>
        </is>
      </c>
    </row>
    <row r="296">
      <c r="A296" t="inlineStr">
        <is>
          <t>PRAGMA</t>
        </is>
      </c>
      <c r="B296" t="inlineStr">
        <is>
          <t>CALI|TRANSPORTADORA_003</t>
        </is>
      </c>
      <c r="C296" t="inlineStr">
        <is>
          <t>Cali</t>
        </is>
      </c>
      <c r="D296" t="inlineStr">
        <is>
          <t>TRANSPORTADORA_003</t>
        </is>
      </c>
      <c r="E296" s="23" t="n">
        <v>46265</v>
      </c>
      <c r="F296" s="23" t="n">
        <v>46279</v>
      </c>
      <c r="G296" t="inlineStr">
        <is>
          <t>Sí</t>
        </is>
      </c>
      <c r="H296" s="25" t="n">
        <v>100000</v>
      </c>
      <c r="I296" s="26" t="n">
        <v>31735339056</v>
      </c>
      <c r="J296" s="26" t="n">
        <v>3562921412</v>
      </c>
      <c r="K296" s="26" t="n">
        <v>3583827989</v>
      </c>
      <c r="L296" s="26">
        <f>J296-K296</f>
        <v>-20906577</v>
      </c>
      <c r="M296" s="26">
        <f>I296+L296</f>
        <v>31714432479</v>
      </c>
      <c r="N296" s="26" t="n">
        <v>10285000000</v>
      </c>
      <c r="O296" s="26" t="n">
        <v>37115000000</v>
      </c>
      <c r="P296" s="26">
        <f>MAX(0,N296-M296)</f>
        <v>0</v>
      </c>
      <c r="Q296" s="26">
        <f>MAX(0,M296-O296)</f>
        <v>0</v>
      </c>
      <c r="R296" t="inlineStr">
        <is>
          <t>bajo</t>
        </is>
      </c>
      <c r="S296" t="inlineStr">
        <is>
          <t>traslado_fondos</t>
        </is>
      </c>
      <c r="T296" t="inlineStr">
        <is>
          <t>entrada</t>
        </is>
      </c>
      <c r="U296" s="26" t="n">
        <v>37600000</v>
      </c>
      <c r="V296" t="inlineStr">
        <is>
          <t>CALI|TRANSPORTADORA_004</t>
        </is>
      </c>
      <c r="W296" t="inlineStr">
        <is>
          <t>CALI|TRANSPORTADORA_003</t>
        </is>
      </c>
      <c r="X296" s="26">
        <f>IF(T296="entrada",M296+U296,IF(T296="salida",M296-U296,M296))</f>
        <v>31752032479</v>
      </c>
      <c r="Y296" s="26" t="n">
        <v>0</v>
      </c>
      <c r="Z296" t="inlineStr">
        <is>
          <t>Menor costo neto entre las alternativas que cubren la necesidad completa</t>
        </is>
      </c>
      <c r="AA296" t="inlineStr">
        <is>
          <t>SUP-08, SUP-10</t>
        </is>
      </c>
      <c r="AB296" t="inlineStr">
        <is>
          <t>Contraparte del traslado P00090 en la denominacion 100000: recibe $37.600.000 de CALI|TRANSPORTADORA_004. Saldo de esta fila: $31.714.432.478 antes y $31.752.032.478 despues (minimo $10.285.000.000, maximo $37.115.000.000). Necesidad que la origina, en CALI|TRANSPORTADORA_004: Excedente de $37.528.249 en la denominacion 100000: saldo $1.663.778.249 sobre el maximo $1.626.250.000. Elegida: traslado con CALI|TRANSPORTADORA_003 ($37.600.000; costo $0). Es preferible porque tiene el menor costo neto. Otras alternativas: conservar ($37.600.000; costo de almacenar $790); consignacion BanRep ($37.600.000; costo $131.029); venta: no habilitada en este fondo (sin historico o fuera de las ciudades BanRep); traslado hacia 1 fondo(s) con espacio: ruta sin tarifa en el Anexo E (prohibida).</t>
        </is>
      </c>
      <c r="AC296" t="inlineStr">
        <is>
          <t>Cierre del dia anterior (saldo encadenado, RN-71)</t>
        </is>
      </c>
      <c r="AD296" t="inlineStr">
        <is>
          <t>estimada</t>
        </is>
      </c>
      <c r="AE296" t="inlineStr">
        <is>
          <t>Participacion historica por denominacion (SUP-09)</t>
        </is>
      </c>
    </row>
    <row r="297">
      <c r="A297" t="inlineStr">
        <is>
          <t>PRAGMA</t>
        </is>
      </c>
      <c r="B297" t="inlineStr">
        <is>
          <t>CALI|TRANSPORTADORA_003</t>
        </is>
      </c>
      <c r="C297" t="inlineStr">
        <is>
          <t>Cali</t>
        </is>
      </c>
      <c r="D297" t="inlineStr">
        <is>
          <t>TRANSPORTADORA_003</t>
        </is>
      </c>
      <c r="E297" s="23" t="n">
        <v>46265</v>
      </c>
      <c r="F297" s="23" t="n">
        <v>46280</v>
      </c>
      <c r="G297" t="inlineStr">
        <is>
          <t>Sí</t>
        </is>
      </c>
      <c r="H297" s="25" t="n">
        <v>100000</v>
      </c>
      <c r="I297" s="26" t="n">
        <v>31752032478</v>
      </c>
      <c r="J297" s="26" t="n">
        <v>5323723353</v>
      </c>
      <c r="K297" s="26" t="n">
        <v>4969121579</v>
      </c>
      <c r="L297" s="26">
        <f>J297-K297</f>
        <v>354601774</v>
      </c>
      <c r="M297" s="26">
        <f>I297+L297</f>
        <v>32106634252</v>
      </c>
      <c r="N297" s="26" t="n">
        <v>10285000000</v>
      </c>
      <c r="O297" s="26" t="n">
        <v>37115000000</v>
      </c>
      <c r="P297" s="26">
        <f>MAX(0,N297-M297)</f>
        <v>0</v>
      </c>
      <c r="Q297" s="26">
        <f>MAX(0,M297-O297)</f>
        <v>0</v>
      </c>
      <c r="R297" t="inlineStr">
        <is>
          <t>bajo</t>
        </is>
      </c>
      <c r="S297" t="inlineStr">
        <is>
          <t>traslado_fondos</t>
        </is>
      </c>
      <c r="T297" t="inlineStr">
        <is>
          <t>entrada</t>
        </is>
      </c>
      <c r="U297" s="26" t="n">
        <v>41300000</v>
      </c>
      <c r="V297" t="inlineStr">
        <is>
          <t>CALI|TRANSPORTADORA_004</t>
        </is>
      </c>
      <c r="W297" t="inlineStr">
        <is>
          <t>CALI|TRANSPORTADORA_003</t>
        </is>
      </c>
      <c r="X297" s="26">
        <f>IF(T297="entrada",M297+U297,IF(T297="salida",M297-U297,M297))</f>
        <v>32147934252</v>
      </c>
      <c r="Y297" s="26" t="n">
        <v>0</v>
      </c>
      <c r="Z297" t="inlineStr">
        <is>
          <t>Menor costo neto entre las alternativas que cubren la necesidad completa</t>
        </is>
      </c>
      <c r="AA297" t="inlineStr">
        <is>
          <t>SUP-08, SUP-10</t>
        </is>
      </c>
      <c r="AB297" t="inlineStr">
        <is>
          <t>Contraparte del traslado P00096 en la denominacion 100000: recibe $41.300.000 de CALI|TRANSPORTADORA_004. Saldo de esta fila: $32.106.634.251 antes y $32.147.934.251 despues (minimo $10.285.000.000, maximo $37.115.000.000). Necesidad que la origina, en CALI|TRANSPORTADORA_004: Excedente de $41.209.110 en la denominacion 100000: saldo $1.667.459.110 sobre el maximo $1.626.250.000. Elegida: traslado con CALI|TRANSPORTADORA_003 ($41.300.000; costo $0). Es preferible porque tiene el menor costo neto. Otras alternativas: conservar ($41.300.000; costo de almacenar $434); consignacion BanRep ($41.300.000; costo $132.039); venta: no habilitada en este fondo (sin historico o fuera de las ciudades BanRep); traslado hacia 1 fondo(s) con espacio: ruta sin tarifa en el Anexo E (prohibida).</t>
        </is>
      </c>
      <c r="AC297" t="inlineStr">
        <is>
          <t>Cierre del dia anterior (saldo encadenado, RN-71)</t>
        </is>
      </c>
      <c r="AD297" t="inlineStr">
        <is>
          <t>estimada</t>
        </is>
      </c>
      <c r="AE297" t="inlineStr">
        <is>
          <t>Participacion historica por denominacion (SUP-09)</t>
        </is>
      </c>
    </row>
    <row r="298">
      <c r="A298" t="inlineStr">
        <is>
          <t>PRAGMA</t>
        </is>
      </c>
      <c r="B298" t="inlineStr">
        <is>
          <t>CALI|TRANSPORTADORA_004</t>
        </is>
      </c>
      <c r="C298" t="inlineStr">
        <is>
          <t>Cali</t>
        </is>
      </c>
      <c r="D298" t="inlineStr">
        <is>
          <t>TRANSPORTADORA_004</t>
        </is>
      </c>
      <c r="E298" s="23" t="n">
        <v>46265</v>
      </c>
      <c r="F298" s="23" t="n">
        <v>46266</v>
      </c>
      <c r="G298" t="inlineStr">
        <is>
          <t>Sí</t>
        </is>
      </c>
      <c r="H298" s="25" t="n">
        <v>2000</v>
      </c>
      <c r="I298" s="26" t="n">
        <v>6828000</v>
      </c>
      <c r="J298" s="26" t="n">
        <v>185283</v>
      </c>
      <c r="K298" s="26" t="n">
        <v>0</v>
      </c>
      <c r="L298" s="26">
        <f>J298-K298</f>
        <v>185283</v>
      </c>
      <c r="M298" s="26">
        <f>I298+L298</f>
        <v>7013283</v>
      </c>
      <c r="N298" s="26" t="n">
        <v>291000</v>
      </c>
      <c r="O298" s="26" t="n">
        <v>6634000</v>
      </c>
      <c r="P298" s="26">
        <f>MAX(0,N298-M298)</f>
        <v>0</v>
      </c>
      <c r="Q298" s="26">
        <f>MAX(0,M298-O298)</f>
        <v>379283</v>
      </c>
      <c r="R298" t="inlineStr">
        <is>
          <t>bajo</t>
        </is>
      </c>
      <c r="S298" t="inlineStr">
        <is>
          <t>traslado_fondos</t>
        </is>
      </c>
      <c r="T298" t="inlineStr">
        <is>
          <t>salida</t>
        </is>
      </c>
      <c r="U298" s="26" t="n">
        <v>380000</v>
      </c>
      <c r="V298" t="inlineStr">
        <is>
          <t>CALI|TRANSPORTADORA_004</t>
        </is>
      </c>
      <c r="W298" t="inlineStr">
        <is>
          <t>CALI|TRANSPORTADORA_001</t>
        </is>
      </c>
      <c r="X298" s="26">
        <f>IF(T298="entrada",M298+U298,IF(T298="salida",M298-U298,M298))</f>
        <v>6633283</v>
      </c>
      <c r="Y298" s="26" t="n">
        <v>0</v>
      </c>
      <c r="Z298" t="inlineStr">
        <is>
          <t>Menor costo neto entre las alternativas que cubren la necesidad completa</t>
        </is>
      </c>
      <c r="AA298" t="inlineStr">
        <is>
          <t>SUP-08, SUP-10</t>
        </is>
      </c>
      <c r="AB298" t="inlineStr">
        <is>
          <t>Excedente de $379.283 en la denominacion 2000: saldo $7.013.283 sobre el maximo $6.634.000. Elegida: traslado con CALI|TRANSPORTADORA_001 ($380.000; costo $0). Es preferible porque tiene el menor costo neto. Otras alternativas: traslado con CALI|TRANSPORTADORA_002 ($380.000; costo $0); traslado con CALI|TRANSPORTADORA_003 ($380.000; costo $0); conservar ($380.000; costo de almacenar $60); consignacion BanRep ($380.000; costo $120.868); venta: no habilitada en este fondo (sin historico o fuera de las ciudades BanRep).</t>
        </is>
      </c>
      <c r="AC298" t="inlineStr">
        <is>
          <t>Ultimo disponible al 31/08/2026 (SUP-07)</t>
        </is>
      </c>
      <c r="AD298" t="inlineStr">
        <is>
          <t>estimada</t>
        </is>
      </c>
      <c r="AE298" t="inlineStr">
        <is>
          <t>Participacion historica por denominacion (SUP-09)</t>
        </is>
      </c>
    </row>
    <row r="299">
      <c r="A299" t="inlineStr">
        <is>
          <t>PRAGMA</t>
        </is>
      </c>
      <c r="B299" t="inlineStr">
        <is>
          <t>CALI|TRANSPORTADORA_004</t>
        </is>
      </c>
      <c r="C299" t="inlineStr">
        <is>
          <t>Cali</t>
        </is>
      </c>
      <c r="D299" t="inlineStr">
        <is>
          <t>TRANSPORTADORA_004</t>
        </is>
      </c>
      <c r="E299" s="23" t="n">
        <v>46265</v>
      </c>
      <c r="F299" s="23" t="n">
        <v>46267</v>
      </c>
      <c r="G299" t="inlineStr">
        <is>
          <t>Sí</t>
        </is>
      </c>
      <c r="H299" s="25" t="n">
        <v>2000</v>
      </c>
      <c r="I299" s="26" t="n">
        <v>6633283</v>
      </c>
      <c r="J299" s="26" t="n">
        <v>151921</v>
      </c>
      <c r="K299" s="26" t="n">
        <v>0</v>
      </c>
      <c r="L299" s="26">
        <f>J299-K299</f>
        <v>151921</v>
      </c>
      <c r="M299" s="26">
        <f>I299+L299</f>
        <v>6785204</v>
      </c>
      <c r="N299" s="26" t="n">
        <v>291000</v>
      </c>
      <c r="O299" s="26" t="n">
        <v>6634000</v>
      </c>
      <c r="P299" s="26">
        <f>MAX(0,N299-M299)</f>
        <v>0</v>
      </c>
      <c r="Q299" s="26">
        <f>MAX(0,M299-O299)</f>
        <v>151204</v>
      </c>
      <c r="R299" t="inlineStr">
        <is>
          <t>bajo</t>
        </is>
      </c>
      <c r="S299" t="inlineStr">
        <is>
          <t>traslado_fondos</t>
        </is>
      </c>
      <c r="T299" t="inlineStr">
        <is>
          <t>salida</t>
        </is>
      </c>
      <c r="U299" s="26" t="n">
        <v>152000</v>
      </c>
      <c r="V299" t="inlineStr">
        <is>
          <t>CALI|TRANSPORTADORA_004</t>
        </is>
      </c>
      <c r="W299" t="inlineStr">
        <is>
          <t>CALI|TRANSPORTADORA_001</t>
        </is>
      </c>
      <c r="X299" s="26">
        <f>IF(T299="entrada",M299+U299,IF(T299="salida",M299-U299,M299))</f>
        <v>6633204</v>
      </c>
      <c r="Y299" s="26" t="n">
        <v>0</v>
      </c>
      <c r="Z299" t="inlineStr">
        <is>
          <t>Menor costo neto entre las alternativas que cubren la necesidad completa</t>
        </is>
      </c>
      <c r="AA299" t="inlineStr">
        <is>
          <t>SUP-08, SUP-10</t>
        </is>
      </c>
      <c r="AB299" t="inlineStr">
        <is>
          <t>Excedente de $151.204 en la denominacion 2000: saldo $6.785.204 sobre el maximo $6.634.000. Elegida: traslado con CALI|TRANSPORTADORA_001 ($152.000; costo $0). Es preferible porque tiene el menor costo neto. Otras alternativas: traslado con CALI|TRANSPORTADORA_002 ($152.000; costo $0); traslado con CALI|TRANSPORTADORA_003 ($152.000; costo $0); conservar ($152.000; costo de almacenar $22); consignacion BanRep ($152.000; costo $120.805); venta: no habilitada en este fondo (sin historico o fuera de las ciudades BanRep).</t>
        </is>
      </c>
      <c r="AC299" t="inlineStr">
        <is>
          <t>Cierre del dia anterior (saldo encadenado, RN-71)</t>
        </is>
      </c>
      <c r="AD299" t="inlineStr">
        <is>
          <t>estimada</t>
        </is>
      </c>
      <c r="AE299" t="inlineStr">
        <is>
          <t>Participacion historica por denominacion (SUP-09)</t>
        </is>
      </c>
    </row>
    <row r="300">
      <c r="A300" t="inlineStr">
        <is>
          <t>PRAGMA</t>
        </is>
      </c>
      <c r="B300" t="inlineStr">
        <is>
          <t>CALI|TRANSPORTADORA_004</t>
        </is>
      </c>
      <c r="C300" t="inlineStr">
        <is>
          <t>Cali</t>
        </is>
      </c>
      <c r="D300" t="inlineStr">
        <is>
          <t>TRANSPORTADORA_004</t>
        </is>
      </c>
      <c r="E300" s="23" t="n">
        <v>46265</v>
      </c>
      <c r="F300" s="23" t="n">
        <v>46268</v>
      </c>
      <c r="G300" t="inlineStr">
        <is>
          <t>Sí</t>
        </is>
      </c>
      <c r="H300" s="25" t="n">
        <v>2000</v>
      </c>
      <c r="I300" s="26" t="n">
        <v>6633204</v>
      </c>
      <c r="J300" s="26" t="n">
        <v>185183</v>
      </c>
      <c r="K300" s="26" t="n">
        <v>0</v>
      </c>
      <c r="L300" s="26">
        <f>J300-K300</f>
        <v>185183</v>
      </c>
      <c r="M300" s="26">
        <f>I300+L300</f>
        <v>6818387</v>
      </c>
      <c r="N300" s="26" t="n">
        <v>291000</v>
      </c>
      <c r="O300" s="26" t="n">
        <v>6634000</v>
      </c>
      <c r="P300" s="26">
        <f>MAX(0,N300-M300)</f>
        <v>0</v>
      </c>
      <c r="Q300" s="26">
        <f>MAX(0,M300-O300)</f>
        <v>184387</v>
      </c>
      <c r="R300" t="inlineStr">
        <is>
          <t>bajo</t>
        </is>
      </c>
      <c r="S300" t="inlineStr">
        <is>
          <t>traslado_fondos</t>
        </is>
      </c>
      <c r="T300" t="inlineStr">
        <is>
          <t>salida</t>
        </is>
      </c>
      <c r="U300" s="26" t="n">
        <v>186000</v>
      </c>
      <c r="V300" t="inlineStr">
        <is>
          <t>CALI|TRANSPORTADORA_004</t>
        </is>
      </c>
      <c r="W300" t="inlineStr">
        <is>
          <t>CALI|TRANSPORTADORA_001</t>
        </is>
      </c>
      <c r="X300" s="26">
        <f>IF(T300="entrada",M300+U300,IF(T300="salida",M300-U300,M300))</f>
        <v>6632387</v>
      </c>
      <c r="Y300" s="26" t="n">
        <v>0</v>
      </c>
      <c r="Z300" t="inlineStr">
        <is>
          <t>Menor costo neto entre las alternativas que cubren la necesidad completa</t>
        </is>
      </c>
      <c r="AA300" t="inlineStr">
        <is>
          <t>SUP-08, SUP-10</t>
        </is>
      </c>
      <c r="AB300" t="inlineStr">
        <is>
          <t>Excedente de $184.387 en la denominacion 2000: saldo $6.818.387 sobre el maximo $6.634.000. Elegida: traslado con CALI|TRANSPORTADORA_001 ($186.000; costo $0). Es preferible porque tiene el menor costo neto. Otras alternativas: traslado con CALI|TRANSPORTADORA_002 ($186.000; costo $0); traslado con CALI|TRANSPORTADORA_003 ($186.000; costo $0); conservar ($186.000; costo de almacenar $25); consignacion BanRep ($186.000; costo $120.815); venta: no habilitada en este fondo (sin historico o fuera de las ciudades BanRep).</t>
        </is>
      </c>
      <c r="AC300" t="inlineStr">
        <is>
          <t>Cierre del dia anterior (saldo encadenado, RN-71)</t>
        </is>
      </c>
      <c r="AD300" t="inlineStr">
        <is>
          <t>estimada</t>
        </is>
      </c>
      <c r="AE300" t="inlineStr">
        <is>
          <t>Participacion historica por denominacion (SUP-09)</t>
        </is>
      </c>
    </row>
    <row r="301">
      <c r="A301" t="inlineStr">
        <is>
          <t>PRAGMA</t>
        </is>
      </c>
      <c r="B301" t="inlineStr">
        <is>
          <t>CALI|TRANSPORTADORA_004</t>
        </is>
      </c>
      <c r="C301" t="inlineStr">
        <is>
          <t>Cali</t>
        </is>
      </c>
      <c r="D301" t="inlineStr">
        <is>
          <t>TRANSPORTADORA_004</t>
        </is>
      </c>
      <c r="E301" s="23" t="n">
        <v>46265</v>
      </c>
      <c r="F301" s="23" t="n">
        <v>46269</v>
      </c>
      <c r="G301" t="inlineStr">
        <is>
          <t>Sí</t>
        </is>
      </c>
      <c r="H301" s="25" t="n">
        <v>2000</v>
      </c>
      <c r="I301" s="26" t="n">
        <v>6632387</v>
      </c>
      <c r="J301" s="26" t="n">
        <v>223633</v>
      </c>
      <c r="K301" s="26" t="n">
        <v>0</v>
      </c>
      <c r="L301" s="26">
        <f>J301-K301</f>
        <v>223633</v>
      </c>
      <c r="M301" s="26">
        <f>I301+L301</f>
        <v>6856020</v>
      </c>
      <c r="N301" s="26" t="n">
        <v>291000</v>
      </c>
      <c r="O301" s="26" t="n">
        <v>6634000</v>
      </c>
      <c r="P301" s="26">
        <f>MAX(0,N301-M301)</f>
        <v>0</v>
      </c>
      <c r="Q301" s="26">
        <f>MAX(0,M301-O301)</f>
        <v>222020</v>
      </c>
      <c r="R301" t="inlineStr">
        <is>
          <t>bajo</t>
        </is>
      </c>
      <c r="S301" t="inlineStr">
        <is>
          <t>traslado_fondos</t>
        </is>
      </c>
      <c r="T301" t="inlineStr">
        <is>
          <t>salida</t>
        </is>
      </c>
      <c r="U301" s="26" t="n">
        <v>224000</v>
      </c>
      <c r="V301" t="inlineStr">
        <is>
          <t>CALI|TRANSPORTADORA_004</t>
        </is>
      </c>
      <c r="W301" t="inlineStr">
        <is>
          <t>CALI|TRANSPORTADORA_001</t>
        </is>
      </c>
      <c r="X301" s="26">
        <f>IF(T301="entrada",M301+U301,IF(T301="salida",M301-U301,M301))</f>
        <v>6632020</v>
      </c>
      <c r="Y301" s="26" t="n">
        <v>0</v>
      </c>
      <c r="Z301" t="inlineStr">
        <is>
          <t>Menor costo neto entre las alternativas que cubren la necesidad completa</t>
        </is>
      </c>
      <c r="AA301" t="inlineStr">
        <is>
          <t>SUP-08, SUP-10</t>
        </is>
      </c>
      <c r="AB301" t="inlineStr">
        <is>
          <t>Excedente de $222.019 en la denominacion 2000: saldo $6.856.019 sobre el maximo $6.634.000. Elegida: traslado con CALI|TRANSPORTADORA_001 ($224.000; costo $0). Es preferible porque tiene el menor costo neto. Otras alternativas: traslado con CALI|TRANSPORTADORA_002 ($224.000; costo $0); traslado con CALI|TRANSPORTADORA_003 ($224.000; costo $0); conservar ($224.000; costo de almacenar $28); consignacion BanRep ($224.000; costo $120.825); venta: no habilitada en este fondo (sin historico o fuera de las ciudades BanRep); traslado hacia 1 fondo(s) con espacio: ruta sin tarifa en el Anexo E (prohibida).</t>
        </is>
      </c>
      <c r="AC301" t="inlineStr">
        <is>
          <t>Cierre del dia anterior (saldo encadenado, RN-71)</t>
        </is>
      </c>
      <c r="AD301" t="inlineStr">
        <is>
          <t>estimada</t>
        </is>
      </c>
      <c r="AE301" t="inlineStr">
        <is>
          <t>Participacion historica por denominacion (SUP-09)</t>
        </is>
      </c>
    </row>
    <row r="302">
      <c r="A302" t="inlineStr">
        <is>
          <t>PRAGMA</t>
        </is>
      </c>
      <c r="B302" t="inlineStr">
        <is>
          <t>CALI|TRANSPORTADORA_004</t>
        </is>
      </c>
      <c r="C302" t="inlineStr">
        <is>
          <t>Cali</t>
        </is>
      </c>
      <c r="D302" t="inlineStr">
        <is>
          <t>TRANSPORTADORA_004</t>
        </is>
      </c>
      <c r="E302" s="23" t="n">
        <v>46265</v>
      </c>
      <c r="F302" s="23" t="n">
        <v>46270</v>
      </c>
      <c r="G302" t="inlineStr">
        <is>
          <t>No</t>
        </is>
      </c>
      <c r="H302" s="25" t="n">
        <v>2000</v>
      </c>
      <c r="I302" s="26" t="n">
        <v>6632019</v>
      </c>
      <c r="J302" s="26" t="n">
        <v>47242</v>
      </c>
      <c r="K302" s="26" t="n">
        <v>0</v>
      </c>
      <c r="L302" s="26">
        <f>J302-K302</f>
        <v>47242</v>
      </c>
      <c r="M302" s="26">
        <f>I302+L302</f>
        <v>6679261</v>
      </c>
      <c r="N302" s="26" t="n">
        <v>291000</v>
      </c>
      <c r="O302" s="26" t="n">
        <v>6634000</v>
      </c>
      <c r="P302" s="26">
        <f>MAX(0,N302-M302)</f>
        <v>0</v>
      </c>
      <c r="Q302" s="26">
        <f>MAX(0,M302-O302)</f>
        <v>45261</v>
      </c>
      <c r="R302" t="inlineStr">
        <is>
          <t>bajo</t>
        </is>
      </c>
      <c r="S302" t="inlineStr">
        <is>
          <t>traslado_fondos</t>
        </is>
      </c>
      <c r="T302" t="inlineStr">
        <is>
          <t>salida</t>
        </is>
      </c>
      <c r="U302" s="26" t="n">
        <v>46000</v>
      </c>
      <c r="V302" t="inlineStr">
        <is>
          <t>CALI|TRANSPORTADORA_004</t>
        </is>
      </c>
      <c r="W302" t="inlineStr">
        <is>
          <t>CALI|TRANSPORTADORA_001</t>
        </is>
      </c>
      <c r="X302" s="26">
        <f>IF(T302="entrada",M302+U302,IF(T302="salida",M302-U302,M302))</f>
        <v>6633261</v>
      </c>
      <c r="Y302" s="26" t="n">
        <v>0</v>
      </c>
      <c r="Z302" t="inlineStr">
        <is>
          <t>Menor costo neto entre las alternativas que cubren la necesidad completa</t>
        </is>
      </c>
      <c r="AA302" t="inlineStr">
        <is>
          <t>SUP-08, SUP-10</t>
        </is>
      </c>
      <c r="AB302" t="inlineStr">
        <is>
          <t>Excedente de $45.261 en la denominacion 2000: saldo $6.679.261 sobre el maximo $6.634.000. Elegida: traslado con CALI|TRANSPORTADORA_001 ($46.000; costo $0). Es preferible porque tiene el menor costo neto. Otras alternativas: traslado con CALI|TRANSPORTADORA_002 ($46.000; costo $0); traslado con CALI|TRANSPORTADORA_003 ($46.000; costo $0); conservar ($46.000; costo de almacenar $5); venta: dia no habil (sabado, domingo o festivo; RN-71A); consignacion BanRep: dia no habil (sabado, domingo o festivo; RN-71A); traslado hacia 1 fondo(s) con espacio: ruta sin tarifa en el Anexo E (prohibida).</t>
        </is>
      </c>
      <c r="AC302" t="inlineStr">
        <is>
          <t>Cierre del dia anterior (saldo encadenado, RN-71)</t>
        </is>
      </c>
      <c r="AD302" t="inlineStr">
        <is>
          <t>estimada</t>
        </is>
      </c>
      <c r="AE302" t="inlineStr">
        <is>
          <t>Participacion historica por denominacion (SUP-09)</t>
        </is>
      </c>
    </row>
    <row r="303">
      <c r="A303" t="inlineStr">
        <is>
          <t>PRAGMA</t>
        </is>
      </c>
      <c r="B303" t="inlineStr">
        <is>
          <t>CALI|TRANSPORTADORA_004</t>
        </is>
      </c>
      <c r="C303" t="inlineStr">
        <is>
          <t>Cali</t>
        </is>
      </c>
      <c r="D303" t="inlineStr">
        <is>
          <t>TRANSPORTADORA_004</t>
        </is>
      </c>
      <c r="E303" s="23" t="n">
        <v>46265</v>
      </c>
      <c r="F303" s="23" t="n">
        <v>46271</v>
      </c>
      <c r="G303" t="inlineStr">
        <is>
          <t>No</t>
        </is>
      </c>
      <c r="H303" s="25" t="n">
        <v>2000</v>
      </c>
      <c r="I303" s="26" t="n">
        <v>6633261</v>
      </c>
      <c r="J303" s="26" t="n">
        <v>72483</v>
      </c>
      <c r="K303" s="26" t="n">
        <v>0</v>
      </c>
      <c r="L303" s="26">
        <f>J303-K303</f>
        <v>72483</v>
      </c>
      <c r="M303" s="26">
        <f>I303+L303</f>
        <v>6705744</v>
      </c>
      <c r="N303" s="26" t="n">
        <v>291000</v>
      </c>
      <c r="O303" s="26" t="n">
        <v>6634000</v>
      </c>
      <c r="P303" s="26">
        <f>MAX(0,N303-M303)</f>
        <v>0</v>
      </c>
      <c r="Q303" s="26">
        <f>MAX(0,M303-O303)</f>
        <v>71744</v>
      </c>
      <c r="R303" t="inlineStr">
        <is>
          <t>bajo</t>
        </is>
      </c>
      <c r="S303" t="inlineStr">
        <is>
          <t>traslado_fondos</t>
        </is>
      </c>
      <c r="T303" t="inlineStr">
        <is>
          <t>salida</t>
        </is>
      </c>
      <c r="U303" s="26" t="n">
        <v>72000</v>
      </c>
      <c r="V303" t="inlineStr">
        <is>
          <t>CALI|TRANSPORTADORA_004</t>
        </is>
      </c>
      <c r="W303" t="inlineStr">
        <is>
          <t>CALI|TRANSPORTADORA_001</t>
        </is>
      </c>
      <c r="X303" s="26">
        <f>IF(T303="entrada",M303+U303,IF(T303="salida",M303-U303,M303))</f>
        <v>6633744</v>
      </c>
      <c r="Y303" s="26" t="n">
        <v>0</v>
      </c>
      <c r="Z303" t="inlineStr">
        <is>
          <t>Menor costo neto entre las alternativas que cubren la necesidad completa</t>
        </is>
      </c>
      <c r="AA303" t="inlineStr">
        <is>
          <t>SUP-08, SUP-10</t>
        </is>
      </c>
      <c r="AB303" t="inlineStr">
        <is>
          <t>Excedente de $71.744 en la denominacion 2000: saldo $6.705.744 sobre el maximo $6.634.000. Elegida: traslado con CALI|TRANSPORTADORA_001 ($72.000; costo $0). Es preferible porque tiene el menor costo neto. Otras alternativas: traslado con CALI|TRANSPORTADORA_002 ($72.000; costo $0); traslado con CALI|TRANSPORTADORA_003 ($72.000; costo $0); conservar ($72.000; costo de almacenar $8); venta: dia no habil (sabado, domingo o festivo; RN-71A); consignacion BanRep: dia no habil (sabado, domingo o festivo; RN-71A); traslado hacia 1 fondo(s) con espacio: ruta sin tarifa en el Anexo E (prohibida).</t>
        </is>
      </c>
      <c r="AC303" t="inlineStr">
        <is>
          <t>Cierre del dia anterior (saldo encadenado, RN-71)</t>
        </is>
      </c>
      <c r="AD303" t="inlineStr">
        <is>
          <t>estimada</t>
        </is>
      </c>
      <c r="AE303" t="inlineStr">
        <is>
          <t>Participacion historica por denominacion (SUP-09)</t>
        </is>
      </c>
    </row>
    <row r="304">
      <c r="A304" t="inlineStr">
        <is>
          <t>PRAGMA</t>
        </is>
      </c>
      <c r="B304" t="inlineStr">
        <is>
          <t>CALI|TRANSPORTADORA_004</t>
        </is>
      </c>
      <c r="C304" t="inlineStr">
        <is>
          <t>Cali</t>
        </is>
      </c>
      <c r="D304" t="inlineStr">
        <is>
          <t>TRANSPORTADORA_004</t>
        </is>
      </c>
      <c r="E304" s="23" t="n">
        <v>46265</v>
      </c>
      <c r="F304" s="23" t="n">
        <v>46272</v>
      </c>
      <c r="G304" t="inlineStr">
        <is>
          <t>Sí</t>
        </is>
      </c>
      <c r="H304" s="25" t="n">
        <v>2000</v>
      </c>
      <c r="I304" s="26" t="n">
        <v>6633744</v>
      </c>
      <c r="J304" s="26" t="n">
        <v>298511</v>
      </c>
      <c r="K304" s="26" t="n">
        <v>0</v>
      </c>
      <c r="L304" s="26">
        <f>J304-K304</f>
        <v>298511</v>
      </c>
      <c r="M304" s="26">
        <f>I304+L304</f>
        <v>6932255</v>
      </c>
      <c r="N304" s="26" t="n">
        <v>291000</v>
      </c>
      <c r="O304" s="26" t="n">
        <v>6634000</v>
      </c>
      <c r="P304" s="26">
        <f>MAX(0,N304-M304)</f>
        <v>0</v>
      </c>
      <c r="Q304" s="26">
        <f>MAX(0,M304-O304)</f>
        <v>298255</v>
      </c>
      <c r="R304" t="inlineStr">
        <is>
          <t>bajo</t>
        </is>
      </c>
      <c r="S304" t="inlineStr">
        <is>
          <t>traslado_fondos</t>
        </is>
      </c>
      <c r="T304" t="inlineStr">
        <is>
          <t>salida</t>
        </is>
      </c>
      <c r="U304" s="26" t="n">
        <v>300000</v>
      </c>
      <c r="V304" t="inlineStr">
        <is>
          <t>CALI|TRANSPORTADORA_004</t>
        </is>
      </c>
      <c r="W304" t="inlineStr">
        <is>
          <t>CALI|TRANSPORTADORA_001</t>
        </is>
      </c>
      <c r="X304" s="26">
        <f>IF(T304="entrada",M304+U304,IF(T304="salida",M304-U304,M304))</f>
        <v>6632255</v>
      </c>
      <c r="Y304" s="26" t="n">
        <v>0</v>
      </c>
      <c r="Z304" t="inlineStr">
        <is>
          <t>Menor costo neto entre las alternativas que cubren la necesidad completa</t>
        </is>
      </c>
      <c r="AA304" t="inlineStr">
        <is>
          <t>SUP-08, SUP-10</t>
        </is>
      </c>
      <c r="AB304" t="inlineStr">
        <is>
          <t>Excedente de $298.255 en la denominacion 2000: saldo $6.932.255 sobre el maximo $6.634.000. Elegida: traslado con CALI|TRANSPORTADORA_001 ($300.000; costo $0). Es preferible porque tiene el menor costo neto. Otras alternativas: traslado con CALI|TRANSPORTADORA_002 ($300.000; costo $0); traslado con CALI|TRANSPORTADORA_003 ($300.000; costo $0); conservar ($300.000; costo de almacenar $28); consignacion BanRep ($300.000; costo $120.846); venta: no habilitada en este fondo (sin historico o fuera de las ciudades BanRep); traslado hacia 1 fondo(s) con espacio: ruta sin tarifa en el Anexo E (prohibida).</t>
        </is>
      </c>
      <c r="AC304" t="inlineStr">
        <is>
          <t>Cierre del dia anterior (saldo encadenado, RN-71)</t>
        </is>
      </c>
      <c r="AD304" t="inlineStr">
        <is>
          <t>estimada</t>
        </is>
      </c>
      <c r="AE304" t="inlineStr">
        <is>
          <t>Participacion historica por denominacion (SUP-09)</t>
        </is>
      </c>
    </row>
    <row r="305">
      <c r="A305" t="inlineStr">
        <is>
          <t>PRAGMA</t>
        </is>
      </c>
      <c r="B305" t="inlineStr">
        <is>
          <t>CALI|TRANSPORTADORA_004</t>
        </is>
      </c>
      <c r="C305" t="inlineStr">
        <is>
          <t>Cali</t>
        </is>
      </c>
      <c r="D305" t="inlineStr">
        <is>
          <t>TRANSPORTADORA_004</t>
        </is>
      </c>
      <c r="E305" s="23" t="n">
        <v>46265</v>
      </c>
      <c r="F305" s="23" t="n">
        <v>46273</v>
      </c>
      <c r="G305" t="inlineStr">
        <is>
          <t>Sí</t>
        </is>
      </c>
      <c r="H305" s="25" t="n">
        <v>2000</v>
      </c>
      <c r="I305" s="26" t="n">
        <v>6632255</v>
      </c>
      <c r="J305" s="26" t="n">
        <v>186967</v>
      </c>
      <c r="K305" s="26" t="n">
        <v>0</v>
      </c>
      <c r="L305" s="26">
        <f>J305-K305</f>
        <v>186967</v>
      </c>
      <c r="M305" s="26">
        <f>I305+L305</f>
        <v>6819222</v>
      </c>
      <c r="N305" s="26" t="n">
        <v>291000</v>
      </c>
      <c r="O305" s="26" t="n">
        <v>6634000</v>
      </c>
      <c r="P305" s="26">
        <f>MAX(0,N305-M305)</f>
        <v>0</v>
      </c>
      <c r="Q305" s="26">
        <f>MAX(0,M305-O305)</f>
        <v>185222</v>
      </c>
      <c r="R305" t="inlineStr">
        <is>
          <t>bajo</t>
        </is>
      </c>
      <c r="S305" t="inlineStr">
        <is>
          <t>traslado_fondos</t>
        </is>
      </c>
      <c r="T305" t="inlineStr">
        <is>
          <t>salida</t>
        </is>
      </c>
      <c r="U305" s="26" t="n">
        <v>186000</v>
      </c>
      <c r="V305" t="inlineStr">
        <is>
          <t>CALI|TRANSPORTADORA_004</t>
        </is>
      </c>
      <c r="W305" t="inlineStr">
        <is>
          <t>CALI|TRANSPORTADORA_001</t>
        </is>
      </c>
      <c r="X305" s="26">
        <f>IF(T305="entrada",M305+U305,IF(T305="salida",M305-U305,M305))</f>
        <v>6633222</v>
      </c>
      <c r="Y305" s="26" t="n">
        <v>0</v>
      </c>
      <c r="Z305" t="inlineStr">
        <is>
          <t>Menor costo neto entre las alternativas que cubren la necesidad completa</t>
        </is>
      </c>
      <c r="AA305" t="inlineStr">
        <is>
          <t>SUP-08, SUP-10</t>
        </is>
      </c>
      <c r="AB305" t="inlineStr">
        <is>
          <t>Excedente de $185.221 en la denominacion 2000: saldo $6.819.221 sobre el maximo $6.634.000. Elegida: traslado con CALI|TRANSPORTADORA_001 ($186.000; costo $0). Es preferible porque tiene el menor costo neto. Otras alternativas: traslado con CALI|TRANSPORTADORA_003 ($186.000; costo $0); conservar ($186.000; costo de almacenar $16); consignacion BanRep ($186.000; costo $120.815); venta: no habilitada en este fondo (sin historico o fuera de las ciudades BanRep).</t>
        </is>
      </c>
      <c r="AC305" t="inlineStr">
        <is>
          <t>Cierre del dia anterior (saldo encadenado, RN-71)</t>
        </is>
      </c>
      <c r="AD305" t="inlineStr">
        <is>
          <t>estimada</t>
        </is>
      </c>
      <c r="AE305" t="inlineStr">
        <is>
          <t>Participacion historica por denominacion (SUP-09)</t>
        </is>
      </c>
    </row>
    <row r="306">
      <c r="A306" t="inlineStr">
        <is>
          <t>PRAGMA</t>
        </is>
      </c>
      <c r="B306" t="inlineStr">
        <is>
          <t>CALI|TRANSPORTADORA_004</t>
        </is>
      </c>
      <c r="C306" t="inlineStr">
        <is>
          <t>Cali</t>
        </is>
      </c>
      <c r="D306" t="inlineStr">
        <is>
          <t>TRANSPORTADORA_004</t>
        </is>
      </c>
      <c r="E306" s="23" t="n">
        <v>46265</v>
      </c>
      <c r="F306" s="23" t="n">
        <v>46274</v>
      </c>
      <c r="G306" t="inlineStr">
        <is>
          <t>Sí</t>
        </is>
      </c>
      <c r="H306" s="25" t="n">
        <v>2000</v>
      </c>
      <c r="I306" s="26" t="n">
        <v>6633221</v>
      </c>
      <c r="J306" s="26" t="n">
        <v>175685</v>
      </c>
      <c r="K306" s="26" t="n">
        <v>0</v>
      </c>
      <c r="L306" s="26">
        <f>J306-K306</f>
        <v>175685</v>
      </c>
      <c r="M306" s="26">
        <f>I306+L306</f>
        <v>6808906</v>
      </c>
      <c r="N306" s="26" t="n">
        <v>291000</v>
      </c>
      <c r="O306" s="26" t="n">
        <v>6634000</v>
      </c>
      <c r="P306" s="26">
        <f>MAX(0,N306-M306)</f>
        <v>0</v>
      </c>
      <c r="Q306" s="26">
        <f>MAX(0,M306-O306)</f>
        <v>174906</v>
      </c>
      <c r="R306" t="inlineStr">
        <is>
          <t>bajo</t>
        </is>
      </c>
      <c r="S306" t="inlineStr">
        <is>
          <t>traslado_fondos</t>
        </is>
      </c>
      <c r="T306" t="inlineStr">
        <is>
          <t>salida</t>
        </is>
      </c>
      <c r="U306" s="26" t="n">
        <v>176000</v>
      </c>
      <c r="V306" t="inlineStr">
        <is>
          <t>CALI|TRANSPORTADORA_004</t>
        </is>
      </c>
      <c r="W306" t="inlineStr">
        <is>
          <t>CALI|TRANSPORTADORA_003</t>
        </is>
      </c>
      <c r="X306" s="26">
        <f>IF(T306="entrada",M306+U306,IF(T306="salida",M306-U306,M306))</f>
        <v>6632906</v>
      </c>
      <c r="Y306" s="26" t="n">
        <v>0</v>
      </c>
      <c r="Z306" t="inlineStr">
        <is>
          <t>Menor costo neto entre las alternativas que cubren la necesidad completa</t>
        </is>
      </c>
      <c r="AA306" t="inlineStr">
        <is>
          <t>SUP-08, SUP-10</t>
        </is>
      </c>
      <c r="AB306" t="inlineStr">
        <is>
          <t>Excedente de $174.906 en la denominacion 2000: saldo $6.808.906 sobre el maximo $6.634.000. Elegida: traslado con CALI|TRANSPORTADORA_003 ($176.000; costo $0). Es preferible porque tiene el menor costo neto. Otras alternativas: conservar ($176.000; costo de almacenar $13); consignacion BanRep ($176.000; costo $120.812); venta: no habilitada en este fondo (sin historico o fuera de las ciudades BanRep).</t>
        </is>
      </c>
      <c r="AC306" t="inlineStr">
        <is>
          <t>Cierre del dia anterior (saldo encadenado, RN-71)</t>
        </is>
      </c>
      <c r="AD306" t="inlineStr">
        <is>
          <t>estimada</t>
        </is>
      </c>
      <c r="AE306" t="inlineStr">
        <is>
          <t>Participacion historica por denominacion (SUP-09)</t>
        </is>
      </c>
    </row>
    <row r="307">
      <c r="A307" t="inlineStr">
        <is>
          <t>PRAGMA</t>
        </is>
      </c>
      <c r="B307" t="inlineStr">
        <is>
          <t>CALI|TRANSPORTADORA_004</t>
        </is>
      </c>
      <c r="C307" t="inlineStr">
        <is>
          <t>Cali</t>
        </is>
      </c>
      <c r="D307" t="inlineStr">
        <is>
          <t>TRANSPORTADORA_004</t>
        </is>
      </c>
      <c r="E307" s="23" t="n">
        <v>46265</v>
      </c>
      <c r="F307" s="23" t="n">
        <v>46275</v>
      </c>
      <c r="G307" t="inlineStr">
        <is>
          <t>Sí</t>
        </is>
      </c>
      <c r="H307" s="25" t="n">
        <v>2000</v>
      </c>
      <c r="I307" s="26" t="n">
        <v>6632906</v>
      </c>
      <c r="J307" s="26" t="n">
        <v>145607</v>
      </c>
      <c r="K307" s="26" t="n">
        <v>0</v>
      </c>
      <c r="L307" s="26">
        <f>J307-K307</f>
        <v>145607</v>
      </c>
      <c r="M307" s="26">
        <f>I307+L307</f>
        <v>6778513</v>
      </c>
      <c r="N307" s="26" t="n">
        <v>291000</v>
      </c>
      <c r="O307" s="26" t="n">
        <v>6634000</v>
      </c>
      <c r="P307" s="26">
        <f>MAX(0,N307-M307)</f>
        <v>0</v>
      </c>
      <c r="Q307" s="26">
        <f>MAX(0,M307-O307)</f>
        <v>144513</v>
      </c>
      <c r="R307" t="inlineStr">
        <is>
          <t>bajo</t>
        </is>
      </c>
      <c r="S307" t="inlineStr">
        <is>
          <t>traslado_fondos</t>
        </is>
      </c>
      <c r="T307" t="inlineStr">
        <is>
          <t>salida</t>
        </is>
      </c>
      <c r="U307" s="26" t="n">
        <v>146000</v>
      </c>
      <c r="V307" t="inlineStr">
        <is>
          <t>CALI|TRANSPORTADORA_004</t>
        </is>
      </c>
      <c r="W307" t="inlineStr">
        <is>
          <t>CALI|TRANSPORTADORA_003</t>
        </is>
      </c>
      <c r="X307" s="26">
        <f>IF(T307="entrada",M307+U307,IF(T307="salida",M307-U307,M307))</f>
        <v>6632513</v>
      </c>
      <c r="Y307" s="26" t="n">
        <v>0</v>
      </c>
      <c r="Z307" t="inlineStr">
        <is>
          <t>Menor costo neto entre las alternativas que cubren la necesidad completa</t>
        </is>
      </c>
      <c r="AA307" t="inlineStr">
        <is>
          <t>SUP-08, SUP-10</t>
        </is>
      </c>
      <c r="AB307" t="inlineStr">
        <is>
          <t>Excedente de $144.513 en la denominacion 2000: saldo $6.778.513 sobre el maximo $6.634.000. Elegida: traslado con CALI|TRANSPORTADORA_003 ($146.000; costo $0). Es preferible porque tiene el menor costo neto. Otras alternativas: conservar ($146.000; costo de almacenar $9); consignacion BanRep ($146.000; costo $120.804); venta: no habilitada en este fondo (sin historico o fuera de las ciudades BanRep).</t>
        </is>
      </c>
      <c r="AC307" t="inlineStr">
        <is>
          <t>Cierre del dia anterior (saldo encadenado, RN-71)</t>
        </is>
      </c>
      <c r="AD307" t="inlineStr">
        <is>
          <t>estimada</t>
        </is>
      </c>
      <c r="AE307" t="inlineStr">
        <is>
          <t>Participacion historica por denominacion (SUP-09)</t>
        </is>
      </c>
    </row>
    <row r="308">
      <c r="A308" t="inlineStr">
        <is>
          <t>PRAGMA</t>
        </is>
      </c>
      <c r="B308" t="inlineStr">
        <is>
          <t>CALI|TRANSPORTADORA_004</t>
        </is>
      </c>
      <c r="C308" t="inlineStr">
        <is>
          <t>Cali</t>
        </is>
      </c>
      <c r="D308" t="inlineStr">
        <is>
          <t>TRANSPORTADORA_004</t>
        </is>
      </c>
      <c r="E308" s="23" t="n">
        <v>46265</v>
      </c>
      <c r="F308" s="23" t="n">
        <v>46276</v>
      </c>
      <c r="G308" t="inlineStr">
        <is>
          <t>Sí</t>
        </is>
      </c>
      <c r="H308" s="25" t="n">
        <v>2000</v>
      </c>
      <c r="I308" s="26" t="n">
        <v>6632513</v>
      </c>
      <c r="J308" s="26" t="n">
        <v>113254</v>
      </c>
      <c r="K308" s="26" t="n">
        <v>0</v>
      </c>
      <c r="L308" s="26">
        <f>J308-K308</f>
        <v>113254</v>
      </c>
      <c r="M308" s="26">
        <f>I308+L308</f>
        <v>6745767</v>
      </c>
      <c r="N308" s="26" t="n">
        <v>291000</v>
      </c>
      <c r="O308" s="26" t="n">
        <v>6634000</v>
      </c>
      <c r="P308" s="26">
        <f>MAX(0,N308-M308)</f>
        <v>0</v>
      </c>
      <c r="Q308" s="26">
        <f>MAX(0,M308-O308)</f>
        <v>111767</v>
      </c>
      <c r="R308" t="inlineStr">
        <is>
          <t>bajo</t>
        </is>
      </c>
      <c r="S308" t="inlineStr">
        <is>
          <t>traslado_fondos</t>
        </is>
      </c>
      <c r="T308" t="inlineStr">
        <is>
          <t>salida</t>
        </is>
      </c>
      <c r="U308" s="26" t="n">
        <v>112000</v>
      </c>
      <c r="V308" t="inlineStr">
        <is>
          <t>CALI|TRANSPORTADORA_004</t>
        </is>
      </c>
      <c r="W308" t="inlineStr">
        <is>
          <t>CALI|TRANSPORTADORA_003</t>
        </is>
      </c>
      <c r="X308" s="26">
        <f>IF(T308="entrada",M308+U308,IF(T308="salida",M308-U308,M308))</f>
        <v>6633767</v>
      </c>
      <c r="Y308" s="26" t="n">
        <v>0</v>
      </c>
      <c r="Z308" t="inlineStr">
        <is>
          <t>Menor costo neto entre las alternativas que cubren la necesidad completa</t>
        </is>
      </c>
      <c r="AA308" t="inlineStr">
        <is>
          <t>SUP-08, SUP-10</t>
        </is>
      </c>
      <c r="AB308" t="inlineStr">
        <is>
          <t>Excedente de $111.767 en la denominacion 2000: saldo $6.745.767 sobre el maximo $6.634.000. Elegida: traslado con CALI|TRANSPORTADORA_003 ($112.000; costo $0). Es preferible porque tiene el menor costo neto. Otras alternativas: conservar ($112.000; costo de almacenar $6); consignacion BanRep ($112.000; costo $120.795); venta: no habilitada en este fondo (sin historico o fuera de las ciudades BanRep).</t>
        </is>
      </c>
      <c r="AC308" t="inlineStr">
        <is>
          <t>Cierre del dia anterior (saldo encadenado, RN-71)</t>
        </is>
      </c>
      <c r="AD308" t="inlineStr">
        <is>
          <t>estimada</t>
        </is>
      </c>
      <c r="AE308" t="inlineStr">
        <is>
          <t>Participacion historica por denominacion (SUP-09)</t>
        </is>
      </c>
    </row>
    <row r="309">
      <c r="A309" t="inlineStr">
        <is>
          <t>PRAGMA</t>
        </is>
      </c>
      <c r="B309" t="inlineStr">
        <is>
          <t>CALI|TRANSPORTADORA_004</t>
        </is>
      </c>
      <c r="C309" t="inlineStr">
        <is>
          <t>Cali</t>
        </is>
      </c>
      <c r="D309" t="inlineStr">
        <is>
          <t>TRANSPORTADORA_004</t>
        </is>
      </c>
      <c r="E309" s="23" t="n">
        <v>46265</v>
      </c>
      <c r="F309" s="23" t="n">
        <v>46277</v>
      </c>
      <c r="G309" t="inlineStr">
        <is>
          <t>No</t>
        </is>
      </c>
      <c r="H309" s="25" t="n">
        <v>2000</v>
      </c>
      <c r="I309" s="26" t="n">
        <v>6633767</v>
      </c>
      <c r="J309" s="26" t="n">
        <v>36701</v>
      </c>
      <c r="K309" s="26" t="n">
        <v>0</v>
      </c>
      <c r="L309" s="26">
        <f>J309-K309</f>
        <v>36701</v>
      </c>
      <c r="M309" s="26">
        <f>I309+L309</f>
        <v>6670468</v>
      </c>
      <c r="N309" s="26" t="n">
        <v>291000</v>
      </c>
      <c r="O309" s="26" t="n">
        <v>6634000</v>
      </c>
      <c r="P309" s="26">
        <f>MAX(0,N309-M309)</f>
        <v>0</v>
      </c>
      <c r="Q309" s="26">
        <f>MAX(0,M309-O309)</f>
        <v>36468</v>
      </c>
      <c r="R309" t="inlineStr">
        <is>
          <t>bajo</t>
        </is>
      </c>
      <c r="S309" t="inlineStr">
        <is>
          <t>traslado_fondos</t>
        </is>
      </c>
      <c r="T309" t="inlineStr">
        <is>
          <t>salida</t>
        </is>
      </c>
      <c r="U309" s="26" t="n">
        <v>38000</v>
      </c>
      <c r="V309" t="inlineStr">
        <is>
          <t>CALI|TRANSPORTADORA_004</t>
        </is>
      </c>
      <c r="W309" t="inlineStr">
        <is>
          <t>CALI|TRANSPORTADORA_001</t>
        </is>
      </c>
      <c r="X309" s="26">
        <f>IF(T309="entrada",M309+U309,IF(T309="salida",M309-U309,M309))</f>
        <v>6632468</v>
      </c>
      <c r="Y309" s="26" t="n">
        <v>0</v>
      </c>
      <c r="Z309" t="inlineStr">
        <is>
          <t>Menor costo neto entre las alternativas que cubren la necesidad completa</t>
        </is>
      </c>
      <c r="AA309" t="inlineStr">
        <is>
          <t>SUP-08, SUP-10</t>
        </is>
      </c>
      <c r="AB309" t="inlineStr">
        <is>
          <t>Excedente de $36.469 en la denominacion 2000: saldo $6.670.469 sobre el maximo $6.634.000. Elegida: traslado con CALI|TRANSPORTADORA_001 ($38.000; costo $0). Es preferible porque tiene el menor costo neto. Otras alternativas: traslado con CALI|TRANSPORTADORA_002 ($38.000; costo $0); traslado con CALI|TRANSPORTADORA_003 ($38.000; costo $0); conservar ($38.000; costo de almacenar $2); venta: dia no habil (sabado, domingo o festivo; RN-71A); consignacion BanRep: dia no habil (sabado, domingo o festivo; RN-71A); traslado hacia 1 fondo(s) con espacio: ruta sin tarifa en el Anexo E (prohibida).</t>
        </is>
      </c>
      <c r="AC309" t="inlineStr">
        <is>
          <t>Cierre del dia anterior (saldo encadenado, RN-71)</t>
        </is>
      </c>
      <c r="AD309" t="inlineStr">
        <is>
          <t>estimada</t>
        </is>
      </c>
      <c r="AE309" t="inlineStr">
        <is>
          <t>Participacion historica por denominacion (SUP-09)</t>
        </is>
      </c>
    </row>
    <row r="310">
      <c r="A310" t="inlineStr">
        <is>
          <t>PRAGMA</t>
        </is>
      </c>
      <c r="B310" t="inlineStr">
        <is>
          <t>CALI|TRANSPORTADORA_004</t>
        </is>
      </c>
      <c r="C310" t="inlineStr">
        <is>
          <t>Cali</t>
        </is>
      </c>
      <c r="D310" t="inlineStr">
        <is>
          <t>TRANSPORTADORA_004</t>
        </is>
      </c>
      <c r="E310" s="23" t="n">
        <v>46265</v>
      </c>
      <c r="F310" s="23" t="n">
        <v>46278</v>
      </c>
      <c r="G310" t="inlineStr">
        <is>
          <t>No</t>
        </is>
      </c>
      <c r="H310" s="25" t="n">
        <v>2000</v>
      </c>
      <c r="I310" s="26" t="n">
        <v>6632469</v>
      </c>
      <c r="J310" s="26" t="n">
        <v>34218</v>
      </c>
      <c r="K310" s="26" t="n">
        <v>0</v>
      </c>
      <c r="L310" s="26">
        <f>J310-K310</f>
        <v>34218</v>
      </c>
      <c r="M310" s="26">
        <f>I310+L310</f>
        <v>6666687</v>
      </c>
      <c r="N310" s="26" t="n">
        <v>291000</v>
      </c>
      <c r="O310" s="26" t="n">
        <v>6634000</v>
      </c>
      <c r="P310" s="26">
        <f>MAX(0,N310-M310)</f>
        <v>0</v>
      </c>
      <c r="Q310" s="26">
        <f>MAX(0,M310-O310)</f>
        <v>32687</v>
      </c>
      <c r="R310" t="inlineStr">
        <is>
          <t>bajo</t>
        </is>
      </c>
      <c r="S310" t="inlineStr">
        <is>
          <t>traslado_fondos</t>
        </is>
      </c>
      <c r="T310" t="inlineStr">
        <is>
          <t>salida</t>
        </is>
      </c>
      <c r="U310" s="26" t="n">
        <v>34000</v>
      </c>
      <c r="V310" t="inlineStr">
        <is>
          <t>CALI|TRANSPORTADORA_004</t>
        </is>
      </c>
      <c r="W310" t="inlineStr">
        <is>
          <t>CALI|TRANSPORTADORA_001</t>
        </is>
      </c>
      <c r="X310" s="26">
        <f>IF(T310="entrada",M310+U310,IF(T310="salida",M310-U310,M310))</f>
        <v>6632687</v>
      </c>
      <c r="Y310" s="26" t="n">
        <v>0</v>
      </c>
      <c r="Z310" t="inlineStr">
        <is>
          <t>Menor costo neto entre las alternativas que cubren la necesidad completa</t>
        </is>
      </c>
      <c r="AA310" t="inlineStr">
        <is>
          <t>SUP-08, SUP-10</t>
        </is>
      </c>
      <c r="AB310" t="inlineStr">
        <is>
          <t>Excedente de $32.687 en la denominacion 2000: saldo $6.666.687 sobre el maximo $6.634.000. Elegida: traslado con CALI|TRANSPORTADORA_001 ($34.000; costo $0). Es preferible porque tiene el menor costo neto. Otras alternativas: traslado con CALI|TRANSPORTADORA_002 ($34.000; costo $0); traslado con CALI|TRANSPORTADORA_003 ($34.000; costo $0); conservar ($34.000; costo de almacenar $1); venta: dia no habil (sabado, domingo o festivo; RN-71A); consignacion BanRep: dia no habil (sabado, domingo o festivo; RN-71A); traslado hacia 1 fondo(s) con espacio: ruta sin tarifa en el Anexo E (prohibida).</t>
        </is>
      </c>
      <c r="AC310" t="inlineStr">
        <is>
          <t>Cierre del dia anterior (saldo encadenado, RN-71)</t>
        </is>
      </c>
      <c r="AD310" t="inlineStr">
        <is>
          <t>estimada</t>
        </is>
      </c>
      <c r="AE310" t="inlineStr">
        <is>
          <t>Participacion historica por denominacion (SUP-09)</t>
        </is>
      </c>
    </row>
    <row r="311">
      <c r="A311" t="inlineStr">
        <is>
          <t>PRAGMA</t>
        </is>
      </c>
      <c r="B311" t="inlineStr">
        <is>
          <t>CALI|TRANSPORTADORA_004</t>
        </is>
      </c>
      <c r="C311" t="inlineStr">
        <is>
          <t>Cali</t>
        </is>
      </c>
      <c r="D311" t="inlineStr">
        <is>
          <t>TRANSPORTADORA_004</t>
        </is>
      </c>
      <c r="E311" s="23" t="n">
        <v>46265</v>
      </c>
      <c r="F311" s="23" t="n">
        <v>46279</v>
      </c>
      <c r="G311" t="inlineStr">
        <is>
          <t>Sí</t>
        </is>
      </c>
      <c r="H311" s="25" t="n">
        <v>2000</v>
      </c>
      <c r="I311" s="26" t="n">
        <v>6632687</v>
      </c>
      <c r="J311" s="26" t="n">
        <v>209984</v>
      </c>
      <c r="K311" s="26" t="n">
        <v>0</v>
      </c>
      <c r="L311" s="26">
        <f>J311-K311</f>
        <v>209984</v>
      </c>
      <c r="M311" s="26">
        <f>I311+L311</f>
        <v>6842671</v>
      </c>
      <c r="N311" s="26" t="n">
        <v>291000</v>
      </c>
      <c r="O311" s="26" t="n">
        <v>6634000</v>
      </c>
      <c r="P311" s="26">
        <f>MAX(0,N311-M311)</f>
        <v>0</v>
      </c>
      <c r="Q311" s="26">
        <f>MAX(0,M311-O311)</f>
        <v>208671</v>
      </c>
      <c r="R311" t="inlineStr">
        <is>
          <t>bajo</t>
        </is>
      </c>
      <c r="S311" t="inlineStr">
        <is>
          <t>traslado_fondos</t>
        </is>
      </c>
      <c r="T311" t="inlineStr">
        <is>
          <t>salida</t>
        </is>
      </c>
      <c r="U311" s="26" t="n">
        <v>210000</v>
      </c>
      <c r="V311" t="inlineStr">
        <is>
          <t>CALI|TRANSPORTADORA_004</t>
        </is>
      </c>
      <c r="W311" t="inlineStr">
        <is>
          <t>CALI|TRANSPORTADORA_003</t>
        </is>
      </c>
      <c r="X311" s="26">
        <f>IF(T311="entrada",M311+U311,IF(T311="salida",M311-U311,M311))</f>
        <v>6632671</v>
      </c>
      <c r="Y311" s="26" t="n">
        <v>0</v>
      </c>
      <c r="Z311" t="inlineStr">
        <is>
          <t>Menor costo neto entre las alternativas que cubren la necesidad completa</t>
        </is>
      </c>
      <c r="AA311" t="inlineStr">
        <is>
          <t>SUP-08, SUP-10</t>
        </is>
      </c>
      <c r="AB311" t="inlineStr">
        <is>
          <t>Excedente de $208.671 en la denominacion 2000: saldo $6.842.671 sobre el maximo $6.634.000. Elegida: traslado con CALI|TRANSPORTADORA_003 ($210.000; costo $0). Es preferible porque tiene el menor costo neto. Otras alternativas: conservar ($210.000; costo de almacenar $4); consignacion BanRep ($210.000; costo $120.821); venta: no habilitada en este fondo (sin historico o fuera de las ciudades BanRep).</t>
        </is>
      </c>
      <c r="AC311" t="inlineStr">
        <is>
          <t>Cierre del dia anterior (saldo encadenado, RN-71)</t>
        </is>
      </c>
      <c r="AD311" t="inlineStr">
        <is>
          <t>estimada</t>
        </is>
      </c>
      <c r="AE311" t="inlineStr">
        <is>
          <t>Participacion historica por denominacion (SUP-09)</t>
        </is>
      </c>
    </row>
    <row r="312">
      <c r="A312" t="inlineStr">
        <is>
          <t>PRAGMA</t>
        </is>
      </c>
      <c r="B312" t="inlineStr">
        <is>
          <t>CALI|TRANSPORTADORA_004</t>
        </is>
      </c>
      <c r="C312" t="inlineStr">
        <is>
          <t>Cali</t>
        </is>
      </c>
      <c r="D312" t="inlineStr">
        <is>
          <t>TRANSPORTADORA_004</t>
        </is>
      </c>
      <c r="E312" s="23" t="n">
        <v>46265</v>
      </c>
      <c r="F312" s="23" t="n">
        <v>46280</v>
      </c>
      <c r="G312" t="inlineStr">
        <is>
          <t>Sí</t>
        </is>
      </c>
      <c r="H312" s="25" t="n">
        <v>2000</v>
      </c>
      <c r="I312" s="26" t="n">
        <v>6632671</v>
      </c>
      <c r="J312" s="26" t="n">
        <v>134041</v>
      </c>
      <c r="K312" s="26" t="n">
        <v>0</v>
      </c>
      <c r="L312" s="26">
        <f>J312-K312</f>
        <v>134041</v>
      </c>
      <c r="M312" s="26">
        <f>I312+L312</f>
        <v>6766712</v>
      </c>
      <c r="N312" s="26" t="n">
        <v>291000</v>
      </c>
      <c r="O312" s="26" t="n">
        <v>6634000</v>
      </c>
      <c r="P312" s="26">
        <f>MAX(0,N312-M312)</f>
        <v>0</v>
      </c>
      <c r="Q312" s="26">
        <f>MAX(0,M312-O312)</f>
        <v>132712</v>
      </c>
      <c r="R312" t="inlineStr">
        <is>
          <t>bajo</t>
        </is>
      </c>
      <c r="S312" t="inlineStr">
        <is>
          <t>traslado_fondos</t>
        </is>
      </c>
      <c r="T312" t="inlineStr">
        <is>
          <t>salida</t>
        </is>
      </c>
      <c r="U312" s="26" t="n">
        <v>134000</v>
      </c>
      <c r="V312" t="inlineStr">
        <is>
          <t>CALI|TRANSPORTADORA_004</t>
        </is>
      </c>
      <c r="W312" t="inlineStr">
        <is>
          <t>CALI|TRANSPORTADORA_003</t>
        </is>
      </c>
      <c r="X312" s="26">
        <f>IF(T312="entrada",M312+U312,IF(T312="salida",M312-U312,M312))</f>
        <v>6632712</v>
      </c>
      <c r="Y312" s="26" t="n">
        <v>0</v>
      </c>
      <c r="Z312" t="inlineStr">
        <is>
          <t>Menor costo neto entre las alternativas que cubren la necesidad completa</t>
        </is>
      </c>
      <c r="AA312" t="inlineStr">
        <is>
          <t>SUP-08, SUP-10</t>
        </is>
      </c>
      <c r="AB312" t="inlineStr">
        <is>
          <t>Excedente de $132.711 en la denominacion 2000: saldo $6.766.711 sobre el maximo $6.634.000. Elegida: traslado con CALI|TRANSPORTADORA_003 ($134.000; costo $0). Es preferible porque tiene el menor costo neto. Otras alternativas: conservar ($134.000; costo de almacenar $1); consignacion BanRep ($134.000; costo $120.801); venta: no habilitada en este fondo (sin historico o fuera de las ciudades BanRep).</t>
        </is>
      </c>
      <c r="AC312" t="inlineStr">
        <is>
          <t>Cierre del dia anterior (saldo encadenado, RN-71)</t>
        </is>
      </c>
      <c r="AD312" t="inlineStr">
        <is>
          <t>estimada</t>
        </is>
      </c>
      <c r="AE312" t="inlineStr">
        <is>
          <t>Participacion historica por denominacion (SUP-09)</t>
        </is>
      </c>
    </row>
    <row r="313">
      <c r="A313" t="inlineStr">
        <is>
          <t>PRAGMA</t>
        </is>
      </c>
      <c r="B313" t="inlineStr">
        <is>
          <t>CALI|TRANSPORTADORA_004</t>
        </is>
      </c>
      <c r="C313" t="inlineStr">
        <is>
          <t>Cali</t>
        </is>
      </c>
      <c r="D313" t="inlineStr">
        <is>
          <t>TRANSPORTADORA_004</t>
        </is>
      </c>
      <c r="E313" s="23" t="n">
        <v>46265</v>
      </c>
      <c r="F313" s="23" t="n">
        <v>46266</v>
      </c>
      <c r="G313" t="inlineStr">
        <is>
          <t>Sí</t>
        </is>
      </c>
      <c r="H313" s="25" t="n">
        <v>5000</v>
      </c>
      <c r="I313" s="26" t="n">
        <v>9015000</v>
      </c>
      <c r="J313" s="26" t="n">
        <v>280897</v>
      </c>
      <c r="K313" s="26" t="n">
        <v>0</v>
      </c>
      <c r="L313" s="26">
        <f>J313-K313</f>
        <v>280897</v>
      </c>
      <c r="M313" s="26">
        <f>I313+L313</f>
        <v>9295897</v>
      </c>
      <c r="N313" s="26" t="n">
        <v>407500</v>
      </c>
      <c r="O313" s="26" t="n">
        <v>9822500</v>
      </c>
      <c r="P313" s="26">
        <f>MAX(0,N313-M313)</f>
        <v>0</v>
      </c>
      <c r="Q313" s="26">
        <f>MAX(0,M313-O313)</f>
        <v>0</v>
      </c>
      <c r="R313" t="inlineStr">
        <is>
          <t>bajo</t>
        </is>
      </c>
      <c r="S313" t="inlineStr">
        <is>
          <t>sin_accion</t>
        </is>
      </c>
      <c r="T313" t="inlineStr">
        <is>
          <t>ninguno</t>
        </is>
      </c>
      <c r="U313" s="26" t="n">
        <v>0</v>
      </c>
      <c r="X313" s="26">
        <f>IF(T313="entrada",M313+U313,IF(T313="salida",M313-U313,M313))</f>
        <v>9295897</v>
      </c>
      <c r="Y313" s="26" t="n">
        <v>0</v>
      </c>
      <c r="Z313" t="inlineStr">
        <is>
          <t>RN-85: dentro de niveles objetivo (sin_accion)</t>
        </is>
      </c>
      <c r="AA313" t="inlineStr">
        <is>
          <t>SUP-07, SUP-10</t>
        </is>
      </c>
      <c r="AB313" t="inlineStr">
        <is>
          <t>Saldo dentro del rango objetivo; sin accion.</t>
        </is>
      </c>
      <c r="AC313" t="inlineStr">
        <is>
          <t>Ultimo disponible al 31/08/2026 (SUP-07)</t>
        </is>
      </c>
      <c r="AD313" t="inlineStr">
        <is>
          <t>estimada</t>
        </is>
      </c>
      <c r="AE313" t="inlineStr">
        <is>
          <t>Participacion historica por denominacion (SUP-09)</t>
        </is>
      </c>
    </row>
    <row r="314">
      <c r="A314" t="inlineStr">
        <is>
          <t>PRAGMA</t>
        </is>
      </c>
      <c r="B314" t="inlineStr">
        <is>
          <t>CALI|TRANSPORTADORA_004</t>
        </is>
      </c>
      <c r="C314" t="inlineStr">
        <is>
          <t>Cali</t>
        </is>
      </c>
      <c r="D314" t="inlineStr">
        <is>
          <t>TRANSPORTADORA_004</t>
        </is>
      </c>
      <c r="E314" s="23" t="n">
        <v>46265</v>
      </c>
      <c r="F314" s="23" t="n">
        <v>46267</v>
      </c>
      <c r="G314" t="inlineStr">
        <is>
          <t>Sí</t>
        </is>
      </c>
      <c r="H314" s="25" t="n">
        <v>5000</v>
      </c>
      <c r="I314" s="26" t="n">
        <v>9295897</v>
      </c>
      <c r="J314" s="26" t="n">
        <v>230319</v>
      </c>
      <c r="K314" s="26" t="n">
        <v>0</v>
      </c>
      <c r="L314" s="26">
        <f>J314-K314</f>
        <v>230319</v>
      </c>
      <c r="M314" s="26">
        <f>I314+L314</f>
        <v>9526216</v>
      </c>
      <c r="N314" s="26" t="n">
        <v>407500</v>
      </c>
      <c r="O314" s="26" t="n">
        <v>9822500</v>
      </c>
      <c r="P314" s="26">
        <f>MAX(0,N314-M314)</f>
        <v>0</v>
      </c>
      <c r="Q314" s="26">
        <f>MAX(0,M314-O314)</f>
        <v>0</v>
      </c>
      <c r="R314" t="inlineStr">
        <is>
          <t>bajo</t>
        </is>
      </c>
      <c r="S314" t="inlineStr">
        <is>
          <t>sin_accion</t>
        </is>
      </c>
      <c r="T314" t="inlineStr">
        <is>
          <t>ninguno</t>
        </is>
      </c>
      <c r="U314" s="26" t="n">
        <v>0</v>
      </c>
      <c r="X314" s="26">
        <f>IF(T314="entrada",M314+U314,IF(T314="salida",M314-U314,M314))</f>
        <v>9526216</v>
      </c>
      <c r="Y314" s="26" t="n">
        <v>0</v>
      </c>
      <c r="Z314" t="inlineStr">
        <is>
          <t>RN-85: dentro de niveles objetivo (sin_accion)</t>
        </is>
      </c>
      <c r="AA314" t="inlineStr">
        <is>
          <t>SUP-07, SUP-10</t>
        </is>
      </c>
      <c r="AB314" t="inlineStr">
        <is>
          <t>Saldo dentro del rango objetivo; sin accion.</t>
        </is>
      </c>
      <c r="AC314" t="inlineStr">
        <is>
          <t>Cierre del dia anterior (saldo encadenado, RN-71)</t>
        </is>
      </c>
      <c r="AD314" t="inlineStr">
        <is>
          <t>estimada</t>
        </is>
      </c>
      <c r="AE314" t="inlineStr">
        <is>
          <t>Participacion historica por denominacion (SUP-09)</t>
        </is>
      </c>
    </row>
    <row r="315">
      <c r="A315" t="inlineStr">
        <is>
          <t>PRAGMA</t>
        </is>
      </c>
      <c r="B315" t="inlineStr">
        <is>
          <t>CALI|TRANSPORTADORA_004</t>
        </is>
      </c>
      <c r="C315" t="inlineStr">
        <is>
          <t>Cali</t>
        </is>
      </c>
      <c r="D315" t="inlineStr">
        <is>
          <t>TRANSPORTADORA_004</t>
        </is>
      </c>
      <c r="E315" s="23" t="n">
        <v>46265</v>
      </c>
      <c r="F315" s="23" t="n">
        <v>46268</v>
      </c>
      <c r="G315" t="inlineStr">
        <is>
          <t>Sí</t>
        </is>
      </c>
      <c r="H315" s="25" t="n">
        <v>5000</v>
      </c>
      <c r="I315" s="26" t="n">
        <v>9526215</v>
      </c>
      <c r="J315" s="26" t="n">
        <v>280745</v>
      </c>
      <c r="K315" s="26" t="n">
        <v>0</v>
      </c>
      <c r="L315" s="26">
        <f>J315-K315</f>
        <v>280745</v>
      </c>
      <c r="M315" s="26">
        <f>I315+L315</f>
        <v>9806960</v>
      </c>
      <c r="N315" s="26" t="n">
        <v>407500</v>
      </c>
      <c r="O315" s="26" t="n">
        <v>9822500</v>
      </c>
      <c r="P315" s="26">
        <f>MAX(0,N315-M315)</f>
        <v>0</v>
      </c>
      <c r="Q315" s="26">
        <f>MAX(0,M315-O315)</f>
        <v>0</v>
      </c>
      <c r="R315" t="inlineStr">
        <is>
          <t>bajo</t>
        </is>
      </c>
      <c r="S315" t="inlineStr">
        <is>
          <t>sin_accion</t>
        </is>
      </c>
      <c r="T315" t="inlineStr">
        <is>
          <t>ninguno</t>
        </is>
      </c>
      <c r="U315" s="26" t="n">
        <v>0</v>
      </c>
      <c r="X315" s="26">
        <f>IF(T315="entrada",M315+U315,IF(T315="salida",M315-U315,M315))</f>
        <v>9806960</v>
      </c>
      <c r="Y315" s="26" t="n">
        <v>0</v>
      </c>
      <c r="Z315" t="inlineStr">
        <is>
          <t>RN-85: dentro de niveles objetivo (sin_accion)</t>
        </is>
      </c>
      <c r="AA315" t="inlineStr">
        <is>
          <t>SUP-07, SUP-10</t>
        </is>
      </c>
      <c r="AB315" t="inlineStr">
        <is>
          <t>Saldo dentro del rango objetivo; sin accion.</t>
        </is>
      </c>
      <c r="AC315" t="inlineStr">
        <is>
          <t>Cierre del dia anterior (saldo encadenado, RN-71)</t>
        </is>
      </c>
      <c r="AD315" t="inlineStr">
        <is>
          <t>estimada</t>
        </is>
      </c>
      <c r="AE315" t="inlineStr">
        <is>
          <t>Participacion historica por denominacion (SUP-09)</t>
        </is>
      </c>
    </row>
    <row r="316">
      <c r="A316" t="inlineStr">
        <is>
          <t>PRAGMA</t>
        </is>
      </c>
      <c r="B316" t="inlineStr">
        <is>
          <t>CALI|TRANSPORTADORA_004</t>
        </is>
      </c>
      <c r="C316" t="inlineStr">
        <is>
          <t>Cali</t>
        </is>
      </c>
      <c r="D316" t="inlineStr">
        <is>
          <t>TRANSPORTADORA_004</t>
        </is>
      </c>
      <c r="E316" s="23" t="n">
        <v>46265</v>
      </c>
      <c r="F316" s="23" t="n">
        <v>46269</v>
      </c>
      <c r="G316" t="inlineStr">
        <is>
          <t>Sí</t>
        </is>
      </c>
      <c r="H316" s="25" t="n">
        <v>5000</v>
      </c>
      <c r="I316" s="26" t="n">
        <v>9806961</v>
      </c>
      <c r="J316" s="26" t="n">
        <v>339037</v>
      </c>
      <c r="K316" s="26" t="n">
        <v>0</v>
      </c>
      <c r="L316" s="26">
        <f>J316-K316</f>
        <v>339037</v>
      </c>
      <c r="M316" s="26">
        <f>I316+L316</f>
        <v>10145998</v>
      </c>
      <c r="N316" s="26" t="n">
        <v>407500</v>
      </c>
      <c r="O316" s="26" t="n">
        <v>9822500</v>
      </c>
      <c r="P316" s="26">
        <f>MAX(0,N316-M316)</f>
        <v>0</v>
      </c>
      <c r="Q316" s="26">
        <f>MAX(0,M316-O316)</f>
        <v>323498</v>
      </c>
      <c r="R316" t="inlineStr">
        <is>
          <t>bajo</t>
        </is>
      </c>
      <c r="S316" t="inlineStr">
        <is>
          <t>traslado_fondos</t>
        </is>
      </c>
      <c r="T316" t="inlineStr">
        <is>
          <t>salida</t>
        </is>
      </c>
      <c r="U316" s="26" t="n">
        <v>325000</v>
      </c>
      <c r="V316" t="inlineStr">
        <is>
          <t>CALI|TRANSPORTADORA_004</t>
        </is>
      </c>
      <c r="W316" t="inlineStr">
        <is>
          <t>CALI|TRANSPORTADORA_001</t>
        </is>
      </c>
      <c r="X316" s="26">
        <f>IF(T316="entrada",M316+U316,IF(T316="salida",M316-U316,M316))</f>
        <v>9820998</v>
      </c>
      <c r="Y316" s="26" t="n">
        <v>0</v>
      </c>
      <c r="Z316" t="inlineStr">
        <is>
          <t>Menor costo neto entre las alternativas que cubren la necesidad completa</t>
        </is>
      </c>
      <c r="AA316" t="inlineStr">
        <is>
          <t>SUP-08, SUP-10</t>
        </is>
      </c>
      <c r="AB316" t="inlineStr">
        <is>
          <t>Excedente de $323.498 en la denominacion 5000: saldo $10.145.998 sobre el maximo $9.822.500. Elegida: traslado con CALI|TRANSPORTADORA_001 ($325.000; costo $0). Es preferible porque tiene el menor costo neto. Otras alternativas: traslado con CALI|TRANSPORTADORA_002 ($325.000; costo $0); traslado con CALI|TRANSPORTADORA_003 ($325.000; costo $0); conservar ($325.000; costo de almacenar $41); consignacion BanRep ($325.000; costo $120.853); venta: no habilitada en este fondo (sin historico o fuera de las ciudades BanRep); traslado hacia 1 fondo(s) con espacio: ruta sin tarifa en el Anexo E (prohibida).</t>
        </is>
      </c>
      <c r="AC316" t="inlineStr">
        <is>
          <t>Cierre del dia anterior (saldo encadenado, RN-71)</t>
        </is>
      </c>
      <c r="AD316" t="inlineStr">
        <is>
          <t>estimada</t>
        </is>
      </c>
      <c r="AE316" t="inlineStr">
        <is>
          <t>Participacion historica por denominacion (SUP-09)</t>
        </is>
      </c>
    </row>
    <row r="317">
      <c r="A317" t="inlineStr">
        <is>
          <t>PRAGMA</t>
        </is>
      </c>
      <c r="B317" t="inlineStr">
        <is>
          <t>CALI|TRANSPORTADORA_004</t>
        </is>
      </c>
      <c r="C317" t="inlineStr">
        <is>
          <t>Cali</t>
        </is>
      </c>
      <c r="D317" t="inlineStr">
        <is>
          <t>TRANSPORTADORA_004</t>
        </is>
      </c>
      <c r="E317" s="23" t="n">
        <v>46265</v>
      </c>
      <c r="F317" s="23" t="n">
        <v>46270</v>
      </c>
      <c r="G317" t="inlineStr">
        <is>
          <t>No</t>
        </is>
      </c>
      <c r="H317" s="25" t="n">
        <v>5000</v>
      </c>
      <c r="I317" s="26" t="n">
        <v>9820998</v>
      </c>
      <c r="J317" s="26" t="n">
        <v>71620</v>
      </c>
      <c r="K317" s="26" t="n">
        <v>0</v>
      </c>
      <c r="L317" s="26">
        <f>J317-K317</f>
        <v>71620</v>
      </c>
      <c r="M317" s="26">
        <f>I317+L317</f>
        <v>9892618</v>
      </c>
      <c r="N317" s="26" t="n">
        <v>407500</v>
      </c>
      <c r="O317" s="26" t="n">
        <v>9822500</v>
      </c>
      <c r="P317" s="26">
        <f>MAX(0,N317-M317)</f>
        <v>0</v>
      </c>
      <c r="Q317" s="26">
        <f>MAX(0,M317-O317)</f>
        <v>70118</v>
      </c>
      <c r="R317" t="inlineStr">
        <is>
          <t>bajo</t>
        </is>
      </c>
      <c r="S317" t="inlineStr">
        <is>
          <t>traslado_fondos</t>
        </is>
      </c>
      <c r="T317" t="inlineStr">
        <is>
          <t>salida</t>
        </is>
      </c>
      <c r="U317" s="26" t="n">
        <v>75000</v>
      </c>
      <c r="V317" t="inlineStr">
        <is>
          <t>CALI|TRANSPORTADORA_004</t>
        </is>
      </c>
      <c r="W317" t="inlineStr">
        <is>
          <t>CALI|TRANSPORTADORA_001</t>
        </is>
      </c>
      <c r="X317" s="26">
        <f>IF(T317="entrada",M317+U317,IF(T317="salida",M317-U317,M317))</f>
        <v>9817618</v>
      </c>
      <c r="Y317" s="26" t="n">
        <v>0</v>
      </c>
      <c r="Z317" t="inlineStr">
        <is>
          <t>Menor costo neto entre las alternativas que cubren la necesidad completa</t>
        </is>
      </c>
      <c r="AA317" t="inlineStr">
        <is>
          <t>SUP-08, SUP-10</t>
        </is>
      </c>
      <c r="AB317" t="inlineStr">
        <is>
          <t>Excedente de $70.118 en la denominacion 5000: saldo $9.892.618 sobre el maximo $9.822.500. Elegida: traslado con CALI|TRANSPORTADORA_001 ($75.000; costo $0). Es preferible porque tiene el menor costo neto. Otras alternativas: traslado con CALI|TRANSPORTADORA_002 ($75.000; costo $0); traslado con CALI|TRANSPORTADORA_003 ($75.000; costo $0); conservar ($75.000; costo de almacenar $9); venta: dia no habil (sabado, domingo o festivo; RN-71A); consignacion BanRep: dia no habil (sabado, domingo o festivo; RN-71A); traslado hacia 1 fondo(s) con espacio: ruta sin tarifa en el Anexo E (prohibida).</t>
        </is>
      </c>
      <c r="AC317" t="inlineStr">
        <is>
          <t>Cierre del dia anterior (saldo encadenado, RN-71)</t>
        </is>
      </c>
      <c r="AD317" t="inlineStr">
        <is>
          <t>estimada</t>
        </is>
      </c>
      <c r="AE317" t="inlineStr">
        <is>
          <t>Participacion historica por denominacion (SUP-09)</t>
        </is>
      </c>
    </row>
    <row r="318">
      <c r="A318" t="inlineStr">
        <is>
          <t>PRAGMA</t>
        </is>
      </c>
      <c r="B318" t="inlineStr">
        <is>
          <t>CALI|TRANSPORTADORA_004</t>
        </is>
      </c>
      <c r="C318" t="inlineStr">
        <is>
          <t>Cali</t>
        </is>
      </c>
      <c r="D318" t="inlineStr">
        <is>
          <t>TRANSPORTADORA_004</t>
        </is>
      </c>
      <c r="E318" s="23" t="n">
        <v>46265</v>
      </c>
      <c r="F318" s="23" t="n">
        <v>46271</v>
      </c>
      <c r="G318" t="inlineStr">
        <is>
          <t>No</t>
        </is>
      </c>
      <c r="H318" s="25" t="n">
        <v>5000</v>
      </c>
      <c r="I318" s="26" t="n">
        <v>9817618</v>
      </c>
      <c r="J318" s="26" t="n">
        <v>109887</v>
      </c>
      <c r="K318" s="26" t="n">
        <v>0</v>
      </c>
      <c r="L318" s="26">
        <f>J318-K318</f>
        <v>109887</v>
      </c>
      <c r="M318" s="26">
        <f>I318+L318</f>
        <v>9927505</v>
      </c>
      <c r="N318" s="26" t="n">
        <v>407500</v>
      </c>
      <c r="O318" s="26" t="n">
        <v>9822500</v>
      </c>
      <c r="P318" s="26">
        <f>MAX(0,N318-M318)</f>
        <v>0</v>
      </c>
      <c r="Q318" s="26">
        <f>MAX(0,M318-O318)</f>
        <v>105005</v>
      </c>
      <c r="R318" t="inlineStr">
        <is>
          <t>bajo</t>
        </is>
      </c>
      <c r="S318" t="inlineStr">
        <is>
          <t>traslado_fondos</t>
        </is>
      </c>
      <c r="T318" t="inlineStr">
        <is>
          <t>salida</t>
        </is>
      </c>
      <c r="U318" s="26" t="n">
        <v>110000</v>
      </c>
      <c r="V318" t="inlineStr">
        <is>
          <t>CALI|TRANSPORTADORA_004</t>
        </is>
      </c>
      <c r="W318" t="inlineStr">
        <is>
          <t>CALI|TRANSPORTADORA_001</t>
        </is>
      </c>
      <c r="X318" s="26">
        <f>IF(T318="entrada",M318+U318,IF(T318="salida",M318-U318,M318))</f>
        <v>9817505</v>
      </c>
      <c r="Y318" s="26" t="n">
        <v>0</v>
      </c>
      <c r="Z318" t="inlineStr">
        <is>
          <t>Menor costo neto entre las alternativas que cubren la necesidad completa</t>
        </is>
      </c>
      <c r="AA318" t="inlineStr">
        <is>
          <t>SUP-08, SUP-10</t>
        </is>
      </c>
      <c r="AB318" t="inlineStr">
        <is>
          <t>Excedente de $105.006 en la denominacion 5000: saldo $9.927.506 sobre el maximo $9.822.500. Elegida: traslado con CALI|TRANSPORTADORA_001 ($110.000; costo $0). Es preferible porque tiene el menor costo neto. Otras alternativas: traslado con CALI|TRANSPORTADORA_002 ($110.000; costo $0); traslado con CALI|TRANSPORTADORA_003 ($110.000; costo $0); conservar ($110.000; costo de almacenar $12); venta: dia no habil (sabado, domingo o festivo; RN-71A); consignacion BanRep: dia no habil (sabado, domingo o festivo; RN-71A); traslado hacia 1 fondo(s) con espacio: ruta sin tarifa en el Anexo E (prohibida).</t>
        </is>
      </c>
      <c r="AC318" t="inlineStr">
        <is>
          <t>Cierre del dia anterior (saldo encadenado, RN-71)</t>
        </is>
      </c>
      <c r="AD318" t="inlineStr">
        <is>
          <t>estimada</t>
        </is>
      </c>
      <c r="AE318" t="inlineStr">
        <is>
          <t>Participacion historica por denominacion (SUP-09)</t>
        </is>
      </c>
    </row>
    <row r="319">
      <c r="A319" t="inlineStr">
        <is>
          <t>PRAGMA</t>
        </is>
      </c>
      <c r="B319" t="inlineStr">
        <is>
          <t>CALI|TRANSPORTADORA_004</t>
        </is>
      </c>
      <c r="C319" t="inlineStr">
        <is>
          <t>Cali</t>
        </is>
      </c>
      <c r="D319" t="inlineStr">
        <is>
          <t>TRANSPORTADORA_004</t>
        </is>
      </c>
      <c r="E319" s="23" t="n">
        <v>46265</v>
      </c>
      <c r="F319" s="23" t="n">
        <v>46272</v>
      </c>
      <c r="G319" t="inlineStr">
        <is>
          <t>Sí</t>
        </is>
      </c>
      <c r="H319" s="25" t="n">
        <v>5000</v>
      </c>
      <c r="I319" s="26" t="n">
        <v>9817506</v>
      </c>
      <c r="J319" s="26" t="n">
        <v>452555</v>
      </c>
      <c r="K319" s="26" t="n">
        <v>0</v>
      </c>
      <c r="L319" s="26">
        <f>J319-K319</f>
        <v>452555</v>
      </c>
      <c r="M319" s="26">
        <f>I319+L319</f>
        <v>10270061</v>
      </c>
      <c r="N319" s="26" t="n">
        <v>407500</v>
      </c>
      <c r="O319" s="26" t="n">
        <v>9822500</v>
      </c>
      <c r="P319" s="26">
        <f>MAX(0,N319-M319)</f>
        <v>0</v>
      </c>
      <c r="Q319" s="26">
        <f>MAX(0,M319-O319)</f>
        <v>447561</v>
      </c>
      <c r="R319" t="inlineStr">
        <is>
          <t>bajo</t>
        </is>
      </c>
      <c r="S319" t="inlineStr">
        <is>
          <t>traslado_fondos</t>
        </is>
      </c>
      <c r="T319" t="inlineStr">
        <is>
          <t>salida</t>
        </is>
      </c>
      <c r="U319" s="26" t="n">
        <v>450000</v>
      </c>
      <c r="V319" t="inlineStr">
        <is>
          <t>CALI|TRANSPORTADORA_004</t>
        </is>
      </c>
      <c r="W319" t="inlineStr">
        <is>
          <t>CALI|TRANSPORTADORA_001</t>
        </is>
      </c>
      <c r="X319" s="26">
        <f>IF(T319="entrada",M319+U319,IF(T319="salida",M319-U319,M319))</f>
        <v>9820061</v>
      </c>
      <c r="Y319" s="26" t="n">
        <v>0</v>
      </c>
      <c r="Z319" t="inlineStr">
        <is>
          <t>Menor costo neto entre las alternativas que cubren la necesidad completa</t>
        </is>
      </c>
      <c r="AA319" t="inlineStr">
        <is>
          <t>SUP-08, SUP-10</t>
        </is>
      </c>
      <c r="AB319" t="inlineStr">
        <is>
          <t>Excedente de $447.561 en la denominacion 5000: saldo $10.270.061 sobre el maximo $9.822.500. Elegida: traslado con CALI|TRANSPORTADORA_001 ($450.000; costo $0). Es preferible porque tiene el menor costo neto. Otras alternativas: traslado con CALI|TRANSPORTADORA_003 ($450.000; costo $0); conservar ($450.000; costo de almacenar $43); consignacion BanRep ($450.000; costo $120.887); venta: no habilitada en este fondo (sin historico o fuera de las ciudades BanRep); traslado hacia 1 fondo(s) con espacio: ruta sin tarifa en el Anexo E (prohibida).</t>
        </is>
      </c>
      <c r="AC319" t="inlineStr">
        <is>
          <t>Cierre del dia anterior (saldo encadenado, RN-71)</t>
        </is>
      </c>
      <c r="AD319" t="inlineStr">
        <is>
          <t>estimada</t>
        </is>
      </c>
      <c r="AE319" t="inlineStr">
        <is>
          <t>Participacion historica por denominacion (SUP-09)</t>
        </is>
      </c>
    </row>
    <row r="320">
      <c r="A320" t="inlineStr">
        <is>
          <t>PRAGMA</t>
        </is>
      </c>
      <c r="B320" t="inlineStr">
        <is>
          <t>CALI|TRANSPORTADORA_004</t>
        </is>
      </c>
      <c r="C320" t="inlineStr">
        <is>
          <t>Cali</t>
        </is>
      </c>
      <c r="D320" t="inlineStr">
        <is>
          <t>TRANSPORTADORA_004</t>
        </is>
      </c>
      <c r="E320" s="23" t="n">
        <v>46265</v>
      </c>
      <c r="F320" s="23" t="n">
        <v>46273</v>
      </c>
      <c r="G320" t="inlineStr">
        <is>
          <t>Sí</t>
        </is>
      </c>
      <c r="H320" s="25" t="n">
        <v>5000</v>
      </c>
      <c r="I320" s="26" t="n">
        <v>9820061</v>
      </c>
      <c r="J320" s="26" t="n">
        <v>283450</v>
      </c>
      <c r="K320" s="26" t="n">
        <v>0</v>
      </c>
      <c r="L320" s="26">
        <f>J320-K320</f>
        <v>283450</v>
      </c>
      <c r="M320" s="26">
        <f>I320+L320</f>
        <v>10103511</v>
      </c>
      <c r="N320" s="26" t="n">
        <v>407500</v>
      </c>
      <c r="O320" s="26" t="n">
        <v>9822500</v>
      </c>
      <c r="P320" s="26">
        <f>MAX(0,N320-M320)</f>
        <v>0</v>
      </c>
      <c r="Q320" s="26">
        <f>MAX(0,M320-O320)</f>
        <v>281011</v>
      </c>
      <c r="R320" t="inlineStr">
        <is>
          <t>bajo</t>
        </is>
      </c>
      <c r="S320" t="inlineStr">
        <is>
          <t>traslado_fondos</t>
        </is>
      </c>
      <c r="T320" t="inlineStr">
        <is>
          <t>salida</t>
        </is>
      </c>
      <c r="U320" s="26" t="n">
        <v>285000</v>
      </c>
      <c r="V320" t="inlineStr">
        <is>
          <t>CALI|TRANSPORTADORA_004</t>
        </is>
      </c>
      <c r="W320" t="inlineStr">
        <is>
          <t>CALI|TRANSPORTADORA_001</t>
        </is>
      </c>
      <c r="X320" s="26">
        <f>IF(T320="entrada",M320+U320,IF(T320="salida",M320-U320,M320))</f>
        <v>9818511</v>
      </c>
      <c r="Y320" s="26" t="n">
        <v>0</v>
      </c>
      <c r="Z320" t="inlineStr">
        <is>
          <t>Menor costo neto entre las alternativas que cubren la necesidad completa</t>
        </is>
      </c>
      <c r="AA320" t="inlineStr">
        <is>
          <t>SUP-08, SUP-10</t>
        </is>
      </c>
      <c r="AB320" t="inlineStr">
        <is>
          <t>Excedente de $281.011 en la denominacion 5000: saldo $10.103.511 sobre el maximo $9.822.500. Elegida: traslado con CALI|TRANSPORTADORA_001 ($285.000; costo $0). Es preferible porque tiene el menor costo neto. Otras alternativas: traslado con CALI|TRANSPORTADORA_003 ($285.000; costo $0); conservar ($285.000; costo de almacenar $24); consignacion BanRep ($285.000; costo $120.842); venta: no habilitada en este fondo (sin historico o fuera de las ciudades BanRep).</t>
        </is>
      </c>
      <c r="AC320" t="inlineStr">
        <is>
          <t>Cierre del dia anterior (saldo encadenado, RN-71)</t>
        </is>
      </c>
      <c r="AD320" t="inlineStr">
        <is>
          <t>estimada</t>
        </is>
      </c>
      <c r="AE320" t="inlineStr">
        <is>
          <t>Participacion historica por denominacion (SUP-09)</t>
        </is>
      </c>
    </row>
    <row r="321">
      <c r="A321" t="inlineStr">
        <is>
          <t>PRAGMA</t>
        </is>
      </c>
      <c r="B321" t="inlineStr">
        <is>
          <t>CALI|TRANSPORTADORA_004</t>
        </is>
      </c>
      <c r="C321" t="inlineStr">
        <is>
          <t>Cali</t>
        </is>
      </c>
      <c r="D321" t="inlineStr">
        <is>
          <t>TRANSPORTADORA_004</t>
        </is>
      </c>
      <c r="E321" s="23" t="n">
        <v>46265</v>
      </c>
      <c r="F321" s="23" t="n">
        <v>46274</v>
      </c>
      <c r="G321" t="inlineStr">
        <is>
          <t>Sí</t>
        </is>
      </c>
      <c r="H321" s="25" t="n">
        <v>5000</v>
      </c>
      <c r="I321" s="26" t="n">
        <v>9818511</v>
      </c>
      <c r="J321" s="26" t="n">
        <v>266346</v>
      </c>
      <c r="K321" s="26" t="n">
        <v>0</v>
      </c>
      <c r="L321" s="26">
        <f>J321-K321</f>
        <v>266346</v>
      </c>
      <c r="M321" s="26">
        <f>I321+L321</f>
        <v>10084857</v>
      </c>
      <c r="N321" s="26" t="n">
        <v>407500</v>
      </c>
      <c r="O321" s="26" t="n">
        <v>9822500</v>
      </c>
      <c r="P321" s="26">
        <f>MAX(0,N321-M321)</f>
        <v>0</v>
      </c>
      <c r="Q321" s="26">
        <f>MAX(0,M321-O321)</f>
        <v>262357</v>
      </c>
      <c r="R321" t="inlineStr">
        <is>
          <t>bajo</t>
        </is>
      </c>
      <c r="S321" t="inlineStr">
        <is>
          <t>traslado_fondos</t>
        </is>
      </c>
      <c r="T321" t="inlineStr">
        <is>
          <t>salida</t>
        </is>
      </c>
      <c r="U321" s="26" t="n">
        <v>265000</v>
      </c>
      <c r="V321" t="inlineStr">
        <is>
          <t>CALI|TRANSPORTADORA_004</t>
        </is>
      </c>
      <c r="W321" t="inlineStr">
        <is>
          <t>CALI|TRANSPORTADORA_003</t>
        </is>
      </c>
      <c r="X321" s="26">
        <f>IF(T321="entrada",M321+U321,IF(T321="salida",M321-U321,M321))</f>
        <v>9819857</v>
      </c>
      <c r="Y321" s="26" t="n">
        <v>0</v>
      </c>
      <c r="Z321" t="inlineStr">
        <is>
          <t>Menor costo neto entre las alternativas que cubren la necesidad completa</t>
        </is>
      </c>
      <c r="AA321" t="inlineStr">
        <is>
          <t>SUP-08, SUP-10</t>
        </is>
      </c>
      <c r="AB321" t="inlineStr">
        <is>
          <t>Excedente de $262.357 en la denominacion 5000: saldo $10.084.857 sobre el maximo $9.822.500. Elegida: traslado con CALI|TRANSPORTADORA_003 ($265.000; costo $0). Es preferible porque tiene el menor costo neto. Otras alternativas: conservar ($265.000; costo de almacenar $19); consignacion BanRep ($265.000; costo $120.836); venta: no habilitada en este fondo (sin historico o fuera de las ciudades BanRep).</t>
        </is>
      </c>
      <c r="AC321" t="inlineStr">
        <is>
          <t>Cierre del dia anterior (saldo encadenado, RN-71)</t>
        </is>
      </c>
      <c r="AD321" t="inlineStr">
        <is>
          <t>estimada</t>
        </is>
      </c>
      <c r="AE321" t="inlineStr">
        <is>
          <t>Participacion historica por denominacion (SUP-09)</t>
        </is>
      </c>
    </row>
    <row r="322">
      <c r="A322" t="inlineStr">
        <is>
          <t>PRAGMA</t>
        </is>
      </c>
      <c r="B322" t="inlineStr">
        <is>
          <t>CALI|TRANSPORTADORA_004</t>
        </is>
      </c>
      <c r="C322" t="inlineStr">
        <is>
          <t>Cali</t>
        </is>
      </c>
      <c r="D322" t="inlineStr">
        <is>
          <t>TRANSPORTADORA_004</t>
        </is>
      </c>
      <c r="E322" s="23" t="n">
        <v>46265</v>
      </c>
      <c r="F322" s="23" t="n">
        <v>46275</v>
      </c>
      <c r="G322" t="inlineStr">
        <is>
          <t>Sí</t>
        </is>
      </c>
      <c r="H322" s="25" t="n">
        <v>5000</v>
      </c>
      <c r="I322" s="26" t="n">
        <v>9819857</v>
      </c>
      <c r="J322" s="26" t="n">
        <v>220746</v>
      </c>
      <c r="K322" s="26" t="n">
        <v>0</v>
      </c>
      <c r="L322" s="26">
        <f>J322-K322</f>
        <v>220746</v>
      </c>
      <c r="M322" s="26">
        <f>I322+L322</f>
        <v>10040603</v>
      </c>
      <c r="N322" s="26" t="n">
        <v>407500</v>
      </c>
      <c r="O322" s="26" t="n">
        <v>9822500</v>
      </c>
      <c r="P322" s="26">
        <f>MAX(0,N322-M322)</f>
        <v>0</v>
      </c>
      <c r="Q322" s="26">
        <f>MAX(0,M322-O322)</f>
        <v>218103</v>
      </c>
      <c r="R322" t="inlineStr">
        <is>
          <t>bajo</t>
        </is>
      </c>
      <c r="S322" t="inlineStr">
        <is>
          <t>traslado_fondos</t>
        </is>
      </c>
      <c r="T322" t="inlineStr">
        <is>
          <t>salida</t>
        </is>
      </c>
      <c r="U322" s="26" t="n">
        <v>220000</v>
      </c>
      <c r="V322" t="inlineStr">
        <is>
          <t>CALI|TRANSPORTADORA_004</t>
        </is>
      </c>
      <c r="W322" t="inlineStr">
        <is>
          <t>CALI|TRANSPORTADORA_003</t>
        </is>
      </c>
      <c r="X322" s="26">
        <f>IF(T322="entrada",M322+U322,IF(T322="salida",M322-U322,M322))</f>
        <v>9820603</v>
      </c>
      <c r="Y322" s="26" t="n">
        <v>0</v>
      </c>
      <c r="Z322" t="inlineStr">
        <is>
          <t>Menor costo neto entre las alternativas que cubren la necesidad completa</t>
        </is>
      </c>
      <c r="AA322" t="inlineStr">
        <is>
          <t>SUP-08, SUP-10</t>
        </is>
      </c>
      <c r="AB322" t="inlineStr">
        <is>
          <t>Excedente de $218.103 en la denominacion 5000: saldo $10.040.603 sobre el maximo $9.822.500. Elegida: traslado con CALI|TRANSPORTADORA_003 ($220.000; costo $0). Es preferible porque tiene el menor costo neto. Otras alternativas: conservar ($220.000; costo de almacenar $14); consignacion BanRep ($220.000; costo $120.824); venta: no habilitada en este fondo (sin historico o fuera de las ciudades BanRep).</t>
        </is>
      </c>
      <c r="AC322" t="inlineStr">
        <is>
          <t>Cierre del dia anterior (saldo encadenado, RN-71)</t>
        </is>
      </c>
      <c r="AD322" t="inlineStr">
        <is>
          <t>estimada</t>
        </is>
      </c>
      <c r="AE322" t="inlineStr">
        <is>
          <t>Participacion historica por denominacion (SUP-09)</t>
        </is>
      </c>
    </row>
    <row r="323">
      <c r="A323" t="inlineStr">
        <is>
          <t>PRAGMA</t>
        </is>
      </c>
      <c r="B323" t="inlineStr">
        <is>
          <t>CALI|TRANSPORTADORA_004</t>
        </is>
      </c>
      <c r="C323" t="inlineStr">
        <is>
          <t>Cali</t>
        </is>
      </c>
      <c r="D323" t="inlineStr">
        <is>
          <t>TRANSPORTADORA_004</t>
        </is>
      </c>
      <c r="E323" s="23" t="n">
        <v>46265</v>
      </c>
      <c r="F323" s="23" t="n">
        <v>46276</v>
      </c>
      <c r="G323" t="inlineStr">
        <is>
          <t>Sí</t>
        </is>
      </c>
      <c r="H323" s="25" t="n">
        <v>5000</v>
      </c>
      <c r="I323" s="26" t="n">
        <v>9820603</v>
      </c>
      <c r="J323" s="26" t="n">
        <v>171698</v>
      </c>
      <c r="K323" s="26" t="n">
        <v>0</v>
      </c>
      <c r="L323" s="26">
        <f>J323-K323</f>
        <v>171698</v>
      </c>
      <c r="M323" s="26">
        <f>I323+L323</f>
        <v>9992301</v>
      </c>
      <c r="N323" s="26" t="n">
        <v>407500</v>
      </c>
      <c r="O323" s="26" t="n">
        <v>9822500</v>
      </c>
      <c r="P323" s="26">
        <f>MAX(0,N323-M323)</f>
        <v>0</v>
      </c>
      <c r="Q323" s="26">
        <f>MAX(0,M323-O323)</f>
        <v>169801</v>
      </c>
      <c r="R323" t="inlineStr">
        <is>
          <t>bajo</t>
        </is>
      </c>
      <c r="S323" t="inlineStr">
        <is>
          <t>traslado_fondos</t>
        </is>
      </c>
      <c r="T323" t="inlineStr">
        <is>
          <t>salida</t>
        </is>
      </c>
      <c r="U323" s="26" t="n">
        <v>170000</v>
      </c>
      <c r="V323" t="inlineStr">
        <is>
          <t>CALI|TRANSPORTADORA_004</t>
        </is>
      </c>
      <c r="W323" t="inlineStr">
        <is>
          <t>CALI|TRANSPORTADORA_003</t>
        </is>
      </c>
      <c r="X323" s="26">
        <f>IF(T323="entrada",M323+U323,IF(T323="salida",M323-U323,M323))</f>
        <v>9822301</v>
      </c>
      <c r="Y323" s="26" t="n">
        <v>0</v>
      </c>
      <c r="Z323" t="inlineStr">
        <is>
          <t>Menor costo neto entre las alternativas que cubren la necesidad completa</t>
        </is>
      </c>
      <c r="AA323" t="inlineStr">
        <is>
          <t>SUP-08, SUP-10</t>
        </is>
      </c>
      <c r="AB323" t="inlineStr">
        <is>
          <t>Excedente de $169.801 en la denominacion 5000: saldo $9.992.301 sobre el maximo $9.822.500. Elegida: traslado con CALI|TRANSPORTADORA_003 ($170.000; costo $0). Es preferible porque tiene el menor costo neto. Otras alternativas: conservar ($170.000; costo de almacenar $9); consignacion BanRep ($170.000; costo $120.810); venta: no habilitada en este fondo (sin historico o fuera de las ciudades BanRep).</t>
        </is>
      </c>
      <c r="AC323" t="inlineStr">
        <is>
          <t>Cierre del dia anterior (saldo encadenado, RN-71)</t>
        </is>
      </c>
      <c r="AD323" t="inlineStr">
        <is>
          <t>estimada</t>
        </is>
      </c>
      <c r="AE323" t="inlineStr">
        <is>
          <t>Participacion historica por denominacion (SUP-09)</t>
        </is>
      </c>
    </row>
    <row r="324">
      <c r="A324" t="inlineStr">
        <is>
          <t>PRAGMA</t>
        </is>
      </c>
      <c r="B324" t="inlineStr">
        <is>
          <t>CALI|TRANSPORTADORA_004</t>
        </is>
      </c>
      <c r="C324" t="inlineStr">
        <is>
          <t>Cali</t>
        </is>
      </c>
      <c r="D324" t="inlineStr">
        <is>
          <t>TRANSPORTADORA_004</t>
        </is>
      </c>
      <c r="E324" s="23" t="n">
        <v>46265</v>
      </c>
      <c r="F324" s="23" t="n">
        <v>46277</v>
      </c>
      <c r="G324" t="inlineStr">
        <is>
          <t>No</t>
        </is>
      </c>
      <c r="H324" s="25" t="n">
        <v>5000</v>
      </c>
      <c r="I324" s="26" t="n">
        <v>9822301</v>
      </c>
      <c r="J324" s="26" t="n">
        <v>55641</v>
      </c>
      <c r="K324" s="26" t="n">
        <v>0</v>
      </c>
      <c r="L324" s="26">
        <f>J324-K324</f>
        <v>55641</v>
      </c>
      <c r="M324" s="26">
        <f>I324+L324</f>
        <v>9877942</v>
      </c>
      <c r="N324" s="26" t="n">
        <v>407500</v>
      </c>
      <c r="O324" s="26" t="n">
        <v>9822500</v>
      </c>
      <c r="P324" s="26">
        <f>MAX(0,N324-M324)</f>
        <v>0</v>
      </c>
      <c r="Q324" s="26">
        <f>MAX(0,M324-O324)</f>
        <v>55442</v>
      </c>
      <c r="R324" t="inlineStr">
        <is>
          <t>bajo</t>
        </is>
      </c>
      <c r="S324" t="inlineStr">
        <is>
          <t>traslado_fondos</t>
        </is>
      </c>
      <c r="T324" t="inlineStr">
        <is>
          <t>salida</t>
        </is>
      </c>
      <c r="U324" s="26" t="n">
        <v>60000</v>
      </c>
      <c r="V324" t="inlineStr">
        <is>
          <t>CALI|TRANSPORTADORA_004</t>
        </is>
      </c>
      <c r="W324" t="inlineStr">
        <is>
          <t>CALI|TRANSPORTADORA_001</t>
        </is>
      </c>
      <c r="X324" s="26">
        <f>IF(T324="entrada",M324+U324,IF(T324="salida",M324-U324,M324))</f>
        <v>9817942</v>
      </c>
      <c r="Y324" s="26" t="n">
        <v>0</v>
      </c>
      <c r="Z324" t="inlineStr">
        <is>
          <t>Menor costo neto entre las alternativas que cubren la necesidad completa</t>
        </is>
      </c>
      <c r="AA324" t="inlineStr">
        <is>
          <t>SUP-08, SUP-10</t>
        </is>
      </c>
      <c r="AB324" t="inlineStr">
        <is>
          <t>Excedente de $55.442 en la denominacion 5000: saldo $9.877.942 sobre el maximo $9.822.500. Elegida: traslado con CALI|TRANSPORTADORA_001 ($60.000; costo $0). Es preferible porque tiene el menor costo neto. Otras alternativas: traslado con CALI|TRANSPORTADORA_002 ($60.000; costo $0); traslado con CALI|TRANSPORTADORA_003 ($60.000; costo $0); conservar ($60.000; costo de almacenar $3); venta: dia no habil (sabado, domingo o festivo; RN-71A); consignacion BanRep: dia no habil (sabado, domingo o festivo; RN-71A); traslado hacia 1 fondo(s) con espacio: ruta sin tarifa en el Anexo E (prohibida).</t>
        </is>
      </c>
      <c r="AC324" t="inlineStr">
        <is>
          <t>Cierre del dia anterior (saldo encadenado, RN-71)</t>
        </is>
      </c>
      <c r="AD324" t="inlineStr">
        <is>
          <t>estimada</t>
        </is>
      </c>
      <c r="AE324" t="inlineStr">
        <is>
          <t>Participacion historica por denominacion (SUP-09)</t>
        </is>
      </c>
    </row>
    <row r="325">
      <c r="A325" t="inlineStr">
        <is>
          <t>PRAGMA</t>
        </is>
      </c>
      <c r="B325" t="inlineStr">
        <is>
          <t>CALI|TRANSPORTADORA_004</t>
        </is>
      </c>
      <c r="C325" t="inlineStr">
        <is>
          <t>Cali</t>
        </is>
      </c>
      <c r="D325" t="inlineStr">
        <is>
          <t>TRANSPORTADORA_004</t>
        </is>
      </c>
      <c r="E325" s="23" t="n">
        <v>46265</v>
      </c>
      <c r="F325" s="23" t="n">
        <v>46278</v>
      </c>
      <c r="G325" t="inlineStr">
        <is>
          <t>No</t>
        </is>
      </c>
      <c r="H325" s="25" t="n">
        <v>5000</v>
      </c>
      <c r="I325" s="26" t="n">
        <v>9817942</v>
      </c>
      <c r="J325" s="26" t="n">
        <v>51876</v>
      </c>
      <c r="K325" s="26" t="n">
        <v>0</v>
      </c>
      <c r="L325" s="26">
        <f>J325-K325</f>
        <v>51876</v>
      </c>
      <c r="M325" s="26">
        <f>I325+L325</f>
        <v>9869818</v>
      </c>
      <c r="N325" s="26" t="n">
        <v>407500</v>
      </c>
      <c r="O325" s="26" t="n">
        <v>9822500</v>
      </c>
      <c r="P325" s="26">
        <f>MAX(0,N325-M325)</f>
        <v>0</v>
      </c>
      <c r="Q325" s="26">
        <f>MAX(0,M325-O325)</f>
        <v>47318</v>
      </c>
      <c r="R325" t="inlineStr">
        <is>
          <t>bajo</t>
        </is>
      </c>
      <c r="S325" t="inlineStr">
        <is>
          <t>traslado_fondos</t>
        </is>
      </c>
      <c r="T325" t="inlineStr">
        <is>
          <t>salida</t>
        </is>
      </c>
      <c r="U325" s="26" t="n">
        <v>50000</v>
      </c>
      <c r="V325" t="inlineStr">
        <is>
          <t>CALI|TRANSPORTADORA_004</t>
        </is>
      </c>
      <c r="W325" t="inlineStr">
        <is>
          <t>CALI|TRANSPORTADORA_001</t>
        </is>
      </c>
      <c r="X325" s="26">
        <f>IF(T325="entrada",M325+U325,IF(T325="salida",M325-U325,M325))</f>
        <v>9819818</v>
      </c>
      <c r="Y325" s="26" t="n">
        <v>0</v>
      </c>
      <c r="Z325" t="inlineStr">
        <is>
          <t>Menor costo neto entre las alternativas que cubren la necesidad completa</t>
        </is>
      </c>
      <c r="AA325" t="inlineStr">
        <is>
          <t>SUP-08, SUP-10</t>
        </is>
      </c>
      <c r="AB325" t="inlineStr">
        <is>
          <t>Excedente de $47.318 en la denominacion 5000: saldo $9.869.818 sobre el maximo $9.822.500. Elegida: traslado con CALI|TRANSPORTADORA_001 ($50.000; costo $0). Es preferible porque tiene el menor costo neto. Otras alternativas: traslado con CALI|TRANSPORTADORA_002 ($50.000; costo $0); traslado con CALI|TRANSPORTADORA_003 ($50.000; costo $0); conservar ($50.000; costo de almacenar $2); venta: dia no habil (sabado, domingo o festivo; RN-71A); consignacion BanRep: dia no habil (sabado, domingo o festivo; RN-71A); traslado hacia 1 fondo(s) con espacio: ruta sin tarifa en el Anexo E (prohibida).</t>
        </is>
      </c>
      <c r="AC325" t="inlineStr">
        <is>
          <t>Cierre del dia anterior (saldo encadenado, RN-71)</t>
        </is>
      </c>
      <c r="AD325" t="inlineStr">
        <is>
          <t>estimada</t>
        </is>
      </c>
      <c r="AE325" t="inlineStr">
        <is>
          <t>Participacion historica por denominacion (SUP-09)</t>
        </is>
      </c>
    </row>
    <row r="326">
      <c r="A326" t="inlineStr">
        <is>
          <t>PRAGMA</t>
        </is>
      </c>
      <c r="B326" t="inlineStr">
        <is>
          <t>CALI|TRANSPORTADORA_004</t>
        </is>
      </c>
      <c r="C326" t="inlineStr">
        <is>
          <t>Cali</t>
        </is>
      </c>
      <c r="D326" t="inlineStr">
        <is>
          <t>TRANSPORTADORA_004</t>
        </is>
      </c>
      <c r="E326" s="23" t="n">
        <v>46265</v>
      </c>
      <c r="F326" s="23" t="n">
        <v>46279</v>
      </c>
      <c r="G326" t="inlineStr">
        <is>
          <t>Sí</t>
        </is>
      </c>
      <c r="H326" s="25" t="n">
        <v>5000</v>
      </c>
      <c r="I326" s="26" t="n">
        <v>9819818</v>
      </c>
      <c r="J326" s="26" t="n">
        <v>318344</v>
      </c>
      <c r="K326" s="26" t="n">
        <v>0</v>
      </c>
      <c r="L326" s="26">
        <f>J326-K326</f>
        <v>318344</v>
      </c>
      <c r="M326" s="26">
        <f>I326+L326</f>
        <v>10138162</v>
      </c>
      <c r="N326" s="26" t="n">
        <v>407500</v>
      </c>
      <c r="O326" s="26" t="n">
        <v>9822500</v>
      </c>
      <c r="P326" s="26">
        <f>MAX(0,N326-M326)</f>
        <v>0</v>
      </c>
      <c r="Q326" s="26">
        <f>MAX(0,M326-O326)</f>
        <v>315662</v>
      </c>
      <c r="R326" t="inlineStr">
        <is>
          <t>bajo</t>
        </is>
      </c>
      <c r="S326" t="inlineStr">
        <is>
          <t>traslado_fondos</t>
        </is>
      </c>
      <c r="T326" t="inlineStr">
        <is>
          <t>salida</t>
        </is>
      </c>
      <c r="U326" s="26" t="n">
        <v>320000</v>
      </c>
      <c r="V326" t="inlineStr">
        <is>
          <t>CALI|TRANSPORTADORA_004</t>
        </is>
      </c>
      <c r="W326" t="inlineStr">
        <is>
          <t>CALI|TRANSPORTADORA_003</t>
        </is>
      </c>
      <c r="X326" s="26">
        <f>IF(T326="entrada",M326+U326,IF(T326="salida",M326-U326,M326))</f>
        <v>9818162</v>
      </c>
      <c r="Y326" s="26" t="n">
        <v>0</v>
      </c>
      <c r="Z326" t="inlineStr">
        <is>
          <t>Menor costo neto entre las alternativas que cubren la necesidad completa</t>
        </is>
      </c>
      <c r="AA326" t="inlineStr">
        <is>
          <t>SUP-08, SUP-10</t>
        </is>
      </c>
      <c r="AB326" t="inlineStr">
        <is>
          <t>Excedente de $315.663 en la denominacion 5000: saldo $10.138.163 sobre el maximo $9.822.500. Elegida: traslado con CALI|TRANSPORTADORA_003 ($320.000; costo $0). Es preferible porque tiene el menor costo neto. Otras alternativas: conservar ($320.000; costo de almacenar $7); consignacion BanRep ($320.000; costo $120.851); venta: no habilitada en este fondo (sin historico o fuera de las ciudades BanRep).</t>
        </is>
      </c>
      <c r="AC326" t="inlineStr">
        <is>
          <t>Cierre del dia anterior (saldo encadenado, RN-71)</t>
        </is>
      </c>
      <c r="AD326" t="inlineStr">
        <is>
          <t>estimada</t>
        </is>
      </c>
      <c r="AE326" t="inlineStr">
        <is>
          <t>Participacion historica por denominacion (SUP-09)</t>
        </is>
      </c>
    </row>
    <row r="327">
      <c r="A327" t="inlineStr">
        <is>
          <t>PRAGMA</t>
        </is>
      </c>
      <c r="B327" t="inlineStr">
        <is>
          <t>CALI|TRANSPORTADORA_004</t>
        </is>
      </c>
      <c r="C327" t="inlineStr">
        <is>
          <t>Cali</t>
        </is>
      </c>
      <c r="D327" t="inlineStr">
        <is>
          <t>TRANSPORTADORA_004</t>
        </is>
      </c>
      <c r="E327" s="23" t="n">
        <v>46265</v>
      </c>
      <c r="F327" s="23" t="n">
        <v>46280</v>
      </c>
      <c r="G327" t="inlineStr">
        <is>
          <t>Sí</t>
        </is>
      </c>
      <c r="H327" s="25" t="n">
        <v>5000</v>
      </c>
      <c r="I327" s="26" t="n">
        <v>9818163</v>
      </c>
      <c r="J327" s="26" t="n">
        <v>203211</v>
      </c>
      <c r="K327" s="26" t="n">
        <v>0</v>
      </c>
      <c r="L327" s="26">
        <f>J327-K327</f>
        <v>203211</v>
      </c>
      <c r="M327" s="26">
        <f>I327+L327</f>
        <v>10021374</v>
      </c>
      <c r="N327" s="26" t="n">
        <v>407500</v>
      </c>
      <c r="O327" s="26" t="n">
        <v>9822500</v>
      </c>
      <c r="P327" s="26">
        <f>MAX(0,N327-M327)</f>
        <v>0</v>
      </c>
      <c r="Q327" s="26">
        <f>MAX(0,M327-O327)</f>
        <v>198874</v>
      </c>
      <c r="R327" t="inlineStr">
        <is>
          <t>bajo</t>
        </is>
      </c>
      <c r="S327" t="inlineStr">
        <is>
          <t>traslado_fondos</t>
        </is>
      </c>
      <c r="T327" t="inlineStr">
        <is>
          <t>salida</t>
        </is>
      </c>
      <c r="U327" s="26" t="n">
        <v>200000</v>
      </c>
      <c r="V327" t="inlineStr">
        <is>
          <t>CALI|TRANSPORTADORA_004</t>
        </is>
      </c>
      <c r="W327" t="inlineStr">
        <is>
          <t>CALI|TRANSPORTADORA_003</t>
        </is>
      </c>
      <c r="X327" s="26">
        <f>IF(T327="entrada",M327+U327,IF(T327="salida",M327-U327,M327))</f>
        <v>9821374</v>
      </c>
      <c r="Y327" s="26" t="n">
        <v>0</v>
      </c>
      <c r="Z327" t="inlineStr">
        <is>
          <t>Menor costo neto entre las alternativas que cubren la necesidad completa</t>
        </is>
      </c>
      <c r="AA327" t="inlineStr">
        <is>
          <t>SUP-08, SUP-10</t>
        </is>
      </c>
      <c r="AB327" t="inlineStr">
        <is>
          <t>Excedente de $198.874 en la denominacion 5000: saldo $10.021.374 sobre el maximo $9.822.500. Elegida: traslado con CALI|TRANSPORTADORA_003 ($200.000; costo $0). Es preferible porque tiene el menor costo neto. Otras alternativas: conservar ($200.000; costo de almacenar $2); consignacion BanRep ($200.000; costo $120.819); venta: no habilitada en este fondo (sin historico o fuera de las ciudades BanRep).</t>
        </is>
      </c>
      <c r="AC327" t="inlineStr">
        <is>
          <t>Cierre del dia anterior (saldo encadenado, RN-71)</t>
        </is>
      </c>
      <c r="AD327" t="inlineStr">
        <is>
          <t>estimada</t>
        </is>
      </c>
      <c r="AE327" t="inlineStr">
        <is>
          <t>Participacion historica por denominacion (SUP-09)</t>
        </is>
      </c>
    </row>
    <row r="328">
      <c r="A328" t="inlineStr">
        <is>
          <t>PRAGMA</t>
        </is>
      </c>
      <c r="B328" t="inlineStr">
        <is>
          <t>CALI|TRANSPORTADORA_004</t>
        </is>
      </c>
      <c r="C328" t="inlineStr">
        <is>
          <t>Cali</t>
        </is>
      </c>
      <c r="D328" t="inlineStr">
        <is>
          <t>TRANSPORTADORA_004</t>
        </is>
      </c>
      <c r="E328" s="23" t="n">
        <v>46265</v>
      </c>
      <c r="F328" s="23" t="n">
        <v>46266</v>
      </c>
      <c r="G328" t="inlineStr">
        <is>
          <t>Sí</t>
        </is>
      </c>
      <c r="H328" s="25" t="n">
        <v>10000</v>
      </c>
      <c r="I328" s="26" t="n">
        <v>39080000</v>
      </c>
      <c r="J328" s="26" t="n">
        <v>775069</v>
      </c>
      <c r="K328" s="26" t="n">
        <v>0</v>
      </c>
      <c r="L328" s="26">
        <f>J328-K328</f>
        <v>775069</v>
      </c>
      <c r="M328" s="26">
        <f>I328+L328</f>
        <v>39855069</v>
      </c>
      <c r="N328" s="26" t="n">
        <v>720000</v>
      </c>
      <c r="O328" s="26" t="n">
        <v>38770000</v>
      </c>
      <c r="P328" s="26">
        <f>MAX(0,N328-M328)</f>
        <v>0</v>
      </c>
      <c r="Q328" s="26">
        <f>MAX(0,M328-O328)</f>
        <v>1085069</v>
      </c>
      <c r="R328" t="inlineStr">
        <is>
          <t>bajo</t>
        </is>
      </c>
      <c r="S328" t="inlineStr">
        <is>
          <t>traslado_fondos</t>
        </is>
      </c>
      <c r="T328" t="inlineStr">
        <is>
          <t>salida</t>
        </is>
      </c>
      <c r="U328" s="26" t="n">
        <v>1090000</v>
      </c>
      <c r="V328" t="inlineStr">
        <is>
          <t>CALI|TRANSPORTADORA_004</t>
        </is>
      </c>
      <c r="W328" t="inlineStr">
        <is>
          <t>CALI|TRANSPORTADORA_001</t>
        </is>
      </c>
      <c r="X328" s="26">
        <f>IF(T328="entrada",M328+U328,IF(T328="salida",M328-U328,M328))</f>
        <v>38765069</v>
      </c>
      <c r="Y328" s="26" t="n">
        <v>0</v>
      </c>
      <c r="Z328" t="inlineStr">
        <is>
          <t>Menor costo neto entre las alternativas que cubren la necesidad completa</t>
        </is>
      </c>
      <c r="AA328" t="inlineStr">
        <is>
          <t>SUP-08, SUP-10</t>
        </is>
      </c>
      <c r="AB328" t="inlineStr">
        <is>
          <t>Excedente de $1.085.069 en la denominacion 10000: saldo $39.855.069 sobre el maximo $38.770.000. Elegida: traslado con CALI|TRANSPORTADORA_001 ($1.090.000; costo $0). Es preferible porque tiene el menor costo neto. Otras alternativas: traslado con CALI|TRANSPORTADORA_002 ($1.090.000; costo $0); traslado con CALI|TRANSPORTADORA_003 ($1.090.000; costo $0); conservar ($1.090.000; costo de almacenar $172); consignacion BanRep ($1.090.000; costo $121.062); venta: no habilitada en este fondo (sin historico o fuera de las ciudades BanRep); traslado hacia 2 fondo(s) con espacio: ruta sin tarifa en el Anexo E (prohibida).</t>
        </is>
      </c>
      <c r="AC328" t="inlineStr">
        <is>
          <t>Ultimo disponible al 31/08/2026 (SUP-07)</t>
        </is>
      </c>
      <c r="AD328" t="inlineStr">
        <is>
          <t>estimada</t>
        </is>
      </c>
      <c r="AE328" t="inlineStr">
        <is>
          <t>Participacion historica por denominacion (SUP-09)</t>
        </is>
      </c>
    </row>
    <row r="329">
      <c r="A329" t="inlineStr">
        <is>
          <t>PRAGMA</t>
        </is>
      </c>
      <c r="B329" t="inlineStr">
        <is>
          <t>CALI|TRANSPORTADORA_004</t>
        </is>
      </c>
      <c r="C329" t="inlineStr">
        <is>
          <t>Cali</t>
        </is>
      </c>
      <c r="D329" t="inlineStr">
        <is>
          <t>TRANSPORTADORA_004</t>
        </is>
      </c>
      <c r="E329" s="23" t="n">
        <v>46265</v>
      </c>
      <c r="F329" s="23" t="n">
        <v>46267</v>
      </c>
      <c r="G329" t="inlineStr">
        <is>
          <t>Sí</t>
        </is>
      </c>
      <c r="H329" s="25" t="n">
        <v>10000</v>
      </c>
      <c r="I329" s="26" t="n">
        <v>38765069</v>
      </c>
      <c r="J329" s="26" t="n">
        <v>635511</v>
      </c>
      <c r="K329" s="26" t="n">
        <v>0</v>
      </c>
      <c r="L329" s="26">
        <f>J329-K329</f>
        <v>635511</v>
      </c>
      <c r="M329" s="26">
        <f>I329+L329</f>
        <v>39400580</v>
      </c>
      <c r="N329" s="26" t="n">
        <v>720000</v>
      </c>
      <c r="O329" s="26" t="n">
        <v>38770000</v>
      </c>
      <c r="P329" s="26">
        <f>MAX(0,N329-M329)</f>
        <v>0</v>
      </c>
      <c r="Q329" s="26">
        <f>MAX(0,M329-O329)</f>
        <v>630580</v>
      </c>
      <c r="R329" t="inlineStr">
        <is>
          <t>bajo</t>
        </is>
      </c>
      <c r="S329" t="inlineStr">
        <is>
          <t>traslado_fondos</t>
        </is>
      </c>
      <c r="T329" t="inlineStr">
        <is>
          <t>salida</t>
        </is>
      </c>
      <c r="U329" s="26" t="n">
        <v>640000</v>
      </c>
      <c r="V329" t="inlineStr">
        <is>
          <t>CALI|TRANSPORTADORA_004</t>
        </is>
      </c>
      <c r="W329" t="inlineStr">
        <is>
          <t>CALI|TRANSPORTADORA_001</t>
        </is>
      </c>
      <c r="X329" s="26">
        <f>IF(T329="entrada",M329+U329,IF(T329="salida",M329-U329,M329))</f>
        <v>38760580</v>
      </c>
      <c r="Y329" s="26" t="n">
        <v>0</v>
      </c>
      <c r="Z329" t="inlineStr">
        <is>
          <t>Menor costo neto entre las alternativas que cubren la necesidad completa</t>
        </is>
      </c>
      <c r="AA329" t="inlineStr">
        <is>
          <t>SUP-08, SUP-10</t>
        </is>
      </c>
      <c r="AB329" t="inlineStr">
        <is>
          <t>Excedente de $630.580 en la denominacion 10000: saldo $39.400.580 sobre el maximo $38.770.000. Elegida: traslado con CALI|TRANSPORTADORA_001 ($640.000; costo $0). Es preferible porque tiene el menor costo neto. Otras alternativas: traslado con CALI|TRANSPORTADORA_002 ($640.000; costo $0); traslado con CALI|TRANSPORTADORA_003 ($640.000; costo $0); conservar ($640.000; costo de almacenar $94); consignacion BanRep ($640.000; costo $120.939); venta: no habilitada en este fondo (sin historico o fuera de las ciudades BanRep); traslado hacia 2 fondo(s) con espacio: ruta sin tarifa en el Anexo E (prohibida).</t>
        </is>
      </c>
      <c r="AC329" t="inlineStr">
        <is>
          <t>Cierre del dia anterior (saldo encadenado, RN-71)</t>
        </is>
      </c>
      <c r="AD329" t="inlineStr">
        <is>
          <t>estimada</t>
        </is>
      </c>
      <c r="AE329" t="inlineStr">
        <is>
          <t>Participacion historica por denominacion (SUP-09)</t>
        </is>
      </c>
    </row>
    <row r="330">
      <c r="A330" t="inlineStr">
        <is>
          <t>PRAGMA</t>
        </is>
      </c>
      <c r="B330" t="inlineStr">
        <is>
          <t>CALI|TRANSPORTADORA_004</t>
        </is>
      </c>
      <c r="C330" t="inlineStr">
        <is>
          <t>Cali</t>
        </is>
      </c>
      <c r="D330" t="inlineStr">
        <is>
          <t>TRANSPORTADORA_004</t>
        </is>
      </c>
      <c r="E330" s="23" t="n">
        <v>46265</v>
      </c>
      <c r="F330" s="23" t="n">
        <v>46268</v>
      </c>
      <c r="G330" t="inlineStr">
        <is>
          <t>Sí</t>
        </is>
      </c>
      <c r="H330" s="25" t="n">
        <v>10000</v>
      </c>
      <c r="I330" s="26" t="n">
        <v>38760580</v>
      </c>
      <c r="J330" s="26" t="n">
        <v>774651</v>
      </c>
      <c r="K330" s="26" t="n">
        <v>0</v>
      </c>
      <c r="L330" s="26">
        <f>J330-K330</f>
        <v>774651</v>
      </c>
      <c r="M330" s="26">
        <f>I330+L330</f>
        <v>39535231</v>
      </c>
      <c r="N330" s="26" t="n">
        <v>720000</v>
      </c>
      <c r="O330" s="26" t="n">
        <v>38770000</v>
      </c>
      <c r="P330" s="26">
        <f>MAX(0,N330-M330)</f>
        <v>0</v>
      </c>
      <c r="Q330" s="26">
        <f>MAX(0,M330-O330)</f>
        <v>765231</v>
      </c>
      <c r="R330" t="inlineStr">
        <is>
          <t>bajo</t>
        </is>
      </c>
      <c r="S330" t="inlineStr">
        <is>
          <t>traslado_fondos</t>
        </is>
      </c>
      <c r="T330" t="inlineStr">
        <is>
          <t>salida</t>
        </is>
      </c>
      <c r="U330" s="26" t="n">
        <v>770000</v>
      </c>
      <c r="V330" t="inlineStr">
        <is>
          <t>CALI|TRANSPORTADORA_004</t>
        </is>
      </c>
      <c r="W330" t="inlineStr">
        <is>
          <t>CALI|TRANSPORTADORA_001</t>
        </is>
      </c>
      <c r="X330" s="26">
        <f>IF(T330="entrada",M330+U330,IF(T330="salida",M330-U330,M330))</f>
        <v>38765231</v>
      </c>
      <c r="Y330" s="26" t="n">
        <v>0</v>
      </c>
      <c r="Z330" t="inlineStr">
        <is>
          <t>Menor costo neto entre las alternativas que cubren la necesidad completa</t>
        </is>
      </c>
      <c r="AA330" t="inlineStr">
        <is>
          <t>SUP-08, SUP-10</t>
        </is>
      </c>
      <c r="AB330" t="inlineStr">
        <is>
          <t>Excedente de $765.231 en la denominacion 10000: saldo $39.535.231 sobre el maximo $38.770.000. Elegida: traslado con CALI|TRANSPORTADORA_001 ($770.000; costo $0). Es preferible porque tiene el menor costo neto. Otras alternativas: traslado con CALI|TRANSPORTADORA_003 ($770.000; costo $0); conservar ($770.000; costo de almacenar $105); consignacion BanRep ($770.000; costo $120.974); venta: no habilitada en este fondo (sin historico o fuera de las ciudades BanRep).</t>
        </is>
      </c>
      <c r="AC330" t="inlineStr">
        <is>
          <t>Cierre del dia anterior (saldo encadenado, RN-71)</t>
        </is>
      </c>
      <c r="AD330" t="inlineStr">
        <is>
          <t>estimada</t>
        </is>
      </c>
      <c r="AE330" t="inlineStr">
        <is>
          <t>Participacion historica por denominacion (SUP-09)</t>
        </is>
      </c>
    </row>
    <row r="331">
      <c r="A331" t="inlineStr">
        <is>
          <t>PRAGMA</t>
        </is>
      </c>
      <c r="B331" t="inlineStr">
        <is>
          <t>CALI|TRANSPORTADORA_004</t>
        </is>
      </c>
      <c r="C331" t="inlineStr">
        <is>
          <t>Cali</t>
        </is>
      </c>
      <c r="D331" t="inlineStr">
        <is>
          <t>TRANSPORTADORA_004</t>
        </is>
      </c>
      <c r="E331" s="23" t="n">
        <v>46265</v>
      </c>
      <c r="F331" s="23" t="n">
        <v>46269</v>
      </c>
      <c r="G331" t="inlineStr">
        <is>
          <t>Sí</t>
        </is>
      </c>
      <c r="H331" s="25" t="n">
        <v>10000</v>
      </c>
      <c r="I331" s="26" t="n">
        <v>38765231</v>
      </c>
      <c r="J331" s="26" t="n">
        <v>935494</v>
      </c>
      <c r="K331" s="26" t="n">
        <v>0</v>
      </c>
      <c r="L331" s="26">
        <f>J331-K331</f>
        <v>935494</v>
      </c>
      <c r="M331" s="26">
        <f>I331+L331</f>
        <v>39700725</v>
      </c>
      <c r="N331" s="26" t="n">
        <v>720000</v>
      </c>
      <c r="O331" s="26" t="n">
        <v>38770000</v>
      </c>
      <c r="P331" s="26">
        <f>MAX(0,N331-M331)</f>
        <v>0</v>
      </c>
      <c r="Q331" s="26">
        <f>MAX(0,M331-O331)</f>
        <v>930725</v>
      </c>
      <c r="R331" t="inlineStr">
        <is>
          <t>bajo</t>
        </is>
      </c>
      <c r="S331" t="inlineStr">
        <is>
          <t>traslado_fondos</t>
        </is>
      </c>
      <c r="T331" t="inlineStr">
        <is>
          <t>salida</t>
        </is>
      </c>
      <c r="U331" s="26" t="n">
        <v>940000</v>
      </c>
      <c r="V331" t="inlineStr">
        <is>
          <t>CALI|TRANSPORTADORA_004</t>
        </is>
      </c>
      <c r="W331" t="inlineStr">
        <is>
          <t>CALI|TRANSPORTADORA_001</t>
        </is>
      </c>
      <c r="X331" s="26">
        <f>IF(T331="entrada",M331+U331,IF(T331="salida",M331-U331,M331))</f>
        <v>38760725</v>
      </c>
      <c r="Y331" s="26" t="n">
        <v>0</v>
      </c>
      <c r="Z331" t="inlineStr">
        <is>
          <t>Menor costo neto entre las alternativas que cubren la necesidad completa</t>
        </is>
      </c>
      <c r="AA331" t="inlineStr">
        <is>
          <t>SUP-08, SUP-10</t>
        </is>
      </c>
      <c r="AB331" t="inlineStr">
        <is>
          <t>Excedente de $930.726 en la denominacion 10000: saldo $39.700.726 sobre el maximo $38.770.000. Elegida: traslado con CALI|TRANSPORTADORA_001 ($940.000; costo $0). Es preferible porque tiene el menor costo neto. Otras alternativas: traslado con CALI|TRANSPORTADORA_003 ($940.000; costo $0); conservar ($940.000; costo de almacenar $119); consignacion BanRep ($940.000; costo $121.021); venta: no habilitada en este fondo (sin historico o fuera de las ciudades BanRep); traslado hacia 1 fondo(s) con espacio: ruta sin tarifa en el Anexo E (prohibida).</t>
        </is>
      </c>
      <c r="AC331" t="inlineStr">
        <is>
          <t>Cierre del dia anterior (saldo encadenado, RN-71)</t>
        </is>
      </c>
      <c r="AD331" t="inlineStr">
        <is>
          <t>estimada</t>
        </is>
      </c>
      <c r="AE331" t="inlineStr">
        <is>
          <t>Participacion historica por denominacion (SUP-09)</t>
        </is>
      </c>
    </row>
    <row r="332">
      <c r="A332" t="inlineStr">
        <is>
          <t>PRAGMA</t>
        </is>
      </c>
      <c r="B332" t="inlineStr">
        <is>
          <t>CALI|TRANSPORTADORA_004</t>
        </is>
      </c>
      <c r="C332" t="inlineStr">
        <is>
          <t>Cali</t>
        </is>
      </c>
      <c r="D332" t="inlineStr">
        <is>
          <t>TRANSPORTADORA_004</t>
        </is>
      </c>
      <c r="E332" s="23" t="n">
        <v>46265</v>
      </c>
      <c r="F332" s="23" t="n">
        <v>46270</v>
      </c>
      <c r="G332" t="inlineStr">
        <is>
          <t>No</t>
        </is>
      </c>
      <c r="H332" s="25" t="n">
        <v>10000</v>
      </c>
      <c r="I332" s="26" t="n">
        <v>38760726</v>
      </c>
      <c r="J332" s="26" t="n">
        <v>197620</v>
      </c>
      <c r="K332" s="26" t="n">
        <v>0</v>
      </c>
      <c r="L332" s="26">
        <f>J332-K332</f>
        <v>197620</v>
      </c>
      <c r="M332" s="26">
        <f>I332+L332</f>
        <v>38958346</v>
      </c>
      <c r="N332" s="26" t="n">
        <v>720000</v>
      </c>
      <c r="O332" s="26" t="n">
        <v>38770000</v>
      </c>
      <c r="P332" s="26">
        <f>MAX(0,N332-M332)</f>
        <v>0</v>
      </c>
      <c r="Q332" s="26">
        <f>MAX(0,M332-O332)</f>
        <v>188346</v>
      </c>
      <c r="R332" t="inlineStr">
        <is>
          <t>bajo</t>
        </is>
      </c>
      <c r="S332" t="inlineStr">
        <is>
          <t>traslado_fondos</t>
        </is>
      </c>
      <c r="T332" t="inlineStr">
        <is>
          <t>salida</t>
        </is>
      </c>
      <c r="U332" s="26" t="n">
        <v>190000</v>
      </c>
      <c r="V332" t="inlineStr">
        <is>
          <t>CALI|TRANSPORTADORA_004</t>
        </is>
      </c>
      <c r="W332" t="inlineStr">
        <is>
          <t>CALI|TRANSPORTADORA_001</t>
        </is>
      </c>
      <c r="X332" s="26">
        <f>IF(T332="entrada",M332+U332,IF(T332="salida",M332-U332,M332))</f>
        <v>38768346</v>
      </c>
      <c r="Y332" s="26" t="n">
        <v>0</v>
      </c>
      <c r="Z332" t="inlineStr">
        <is>
          <t>Menor costo neto entre las alternativas que cubren la necesidad completa</t>
        </is>
      </c>
      <c r="AA332" t="inlineStr">
        <is>
          <t>SUP-08, SUP-10</t>
        </is>
      </c>
      <c r="AB332" t="inlineStr">
        <is>
          <t>Excedente de $188.345 en la denominacion 10000: saldo $38.958.345 sobre el maximo $38.770.000. Elegida: traslado con CALI|TRANSPORTADORA_001 ($190.000; costo $0). Es preferible porque tiene el menor costo neto. Otras alternativas: traslado con CALI|TRANSPORTADORA_002 ($190.000; costo $0); traslado con CALI|TRANSPORTADORA_003 ($190.000; costo $0); conservar ($190.000; costo de almacenar $22); venta: dia no habil (sabado, domingo o festivo; RN-71A); consignacion BanRep: dia no habil (sabado, domingo o festivo; RN-71A); traslado hacia 1 fondo(s) con espacio: ruta sin tarifa en el Anexo E (prohibida).</t>
        </is>
      </c>
      <c r="AC332" t="inlineStr">
        <is>
          <t>Cierre del dia anterior (saldo encadenado, RN-71)</t>
        </is>
      </c>
      <c r="AD332" t="inlineStr">
        <is>
          <t>estimada</t>
        </is>
      </c>
      <c r="AE332" t="inlineStr">
        <is>
          <t>Participacion historica por denominacion (SUP-09)</t>
        </is>
      </c>
    </row>
    <row r="333">
      <c r="A333" t="inlineStr">
        <is>
          <t>PRAGMA</t>
        </is>
      </c>
      <c r="B333" t="inlineStr">
        <is>
          <t>CALI|TRANSPORTADORA_004</t>
        </is>
      </c>
      <c r="C333" t="inlineStr">
        <is>
          <t>Cali</t>
        </is>
      </c>
      <c r="D333" t="inlineStr">
        <is>
          <t>TRANSPORTADORA_004</t>
        </is>
      </c>
      <c r="E333" s="23" t="n">
        <v>46265</v>
      </c>
      <c r="F333" s="23" t="n">
        <v>46271</v>
      </c>
      <c r="G333" t="inlineStr">
        <is>
          <t>No</t>
        </is>
      </c>
      <c r="H333" s="25" t="n">
        <v>10000</v>
      </c>
      <c r="I333" s="26" t="n">
        <v>38768345</v>
      </c>
      <c r="J333" s="26" t="n">
        <v>303208</v>
      </c>
      <c r="K333" s="26" t="n">
        <v>0</v>
      </c>
      <c r="L333" s="26">
        <f>J333-K333</f>
        <v>303208</v>
      </c>
      <c r="M333" s="26">
        <f>I333+L333</f>
        <v>39071553</v>
      </c>
      <c r="N333" s="26" t="n">
        <v>720000</v>
      </c>
      <c r="O333" s="26" t="n">
        <v>38770000</v>
      </c>
      <c r="P333" s="26">
        <f>MAX(0,N333-M333)</f>
        <v>0</v>
      </c>
      <c r="Q333" s="26">
        <f>MAX(0,M333-O333)</f>
        <v>301553</v>
      </c>
      <c r="R333" t="inlineStr">
        <is>
          <t>bajo</t>
        </is>
      </c>
      <c r="S333" t="inlineStr">
        <is>
          <t>traslado_fondos</t>
        </is>
      </c>
      <c r="T333" t="inlineStr">
        <is>
          <t>salida</t>
        </is>
      </c>
      <c r="U333" s="26" t="n">
        <v>310000</v>
      </c>
      <c r="V333" t="inlineStr">
        <is>
          <t>CALI|TRANSPORTADORA_004</t>
        </is>
      </c>
      <c r="W333" t="inlineStr">
        <is>
          <t>CALI|TRANSPORTADORA_001</t>
        </is>
      </c>
      <c r="X333" s="26">
        <f>IF(T333="entrada",M333+U333,IF(T333="salida",M333-U333,M333))</f>
        <v>38761553</v>
      </c>
      <c r="Y333" s="26" t="n">
        <v>0</v>
      </c>
      <c r="Z333" t="inlineStr">
        <is>
          <t>Menor costo neto entre las alternativas que cubren la necesidad completa</t>
        </is>
      </c>
      <c r="AA333" t="inlineStr">
        <is>
          <t>SUP-08, SUP-10</t>
        </is>
      </c>
      <c r="AB333" t="inlineStr">
        <is>
          <t>Excedente de $301.554 en la denominacion 10000: saldo $39.071.554 sobre el maximo $38.770.000. Elegida: traslado con CALI|TRANSPORTADORA_001 ($310.000; costo $0). Es preferible porque tiene el menor costo neto. Otras alternativas: traslado con CALI|TRANSPORTADORA_002 ($310.000; costo $0); traslado con CALI|TRANSPORTADORA_003 ($310.000; costo $0); conservar ($310.000; costo de almacenar $33); venta: dia no habil (sabado, domingo o festivo; RN-71A); consignacion BanRep: dia no habil (sabado, domingo o festivo; RN-71A); traslado hacia 1 fondo(s) con espacio: ruta sin tarifa en el Anexo E (prohibida).</t>
        </is>
      </c>
      <c r="AC333" t="inlineStr">
        <is>
          <t>Cierre del dia anterior (saldo encadenado, RN-71)</t>
        </is>
      </c>
      <c r="AD333" t="inlineStr">
        <is>
          <t>estimada</t>
        </is>
      </c>
      <c r="AE333" t="inlineStr">
        <is>
          <t>Participacion historica por denominacion (SUP-09)</t>
        </is>
      </c>
    </row>
    <row r="334">
      <c r="A334" t="inlineStr">
        <is>
          <t>PRAGMA</t>
        </is>
      </c>
      <c r="B334" t="inlineStr">
        <is>
          <t>CALI|TRANSPORTADORA_004</t>
        </is>
      </c>
      <c r="C334" t="inlineStr">
        <is>
          <t>Cali</t>
        </is>
      </c>
      <c r="D334" t="inlineStr">
        <is>
          <t>TRANSPORTADORA_004</t>
        </is>
      </c>
      <c r="E334" s="23" t="n">
        <v>46265</v>
      </c>
      <c r="F334" s="23" t="n">
        <v>46272</v>
      </c>
      <c r="G334" t="inlineStr">
        <is>
          <t>Sí</t>
        </is>
      </c>
      <c r="H334" s="25" t="n">
        <v>10000</v>
      </c>
      <c r="I334" s="26" t="n">
        <v>38761554</v>
      </c>
      <c r="J334" s="26" t="n">
        <v>1248721</v>
      </c>
      <c r="K334" s="26" t="n">
        <v>0</v>
      </c>
      <c r="L334" s="26">
        <f>J334-K334</f>
        <v>1248721</v>
      </c>
      <c r="M334" s="26">
        <f>I334+L334</f>
        <v>40010275</v>
      </c>
      <c r="N334" s="26" t="n">
        <v>720000</v>
      </c>
      <c r="O334" s="26" t="n">
        <v>38770000</v>
      </c>
      <c r="P334" s="26">
        <f>MAX(0,N334-M334)</f>
        <v>0</v>
      </c>
      <c r="Q334" s="26">
        <f>MAX(0,M334-O334)</f>
        <v>1240275</v>
      </c>
      <c r="R334" t="inlineStr">
        <is>
          <t>bajo</t>
        </is>
      </c>
      <c r="S334" t="inlineStr">
        <is>
          <t>traslado_fondos</t>
        </is>
      </c>
      <c r="T334" t="inlineStr">
        <is>
          <t>salida</t>
        </is>
      </c>
      <c r="U334" s="26" t="n">
        <v>1250000</v>
      </c>
      <c r="V334" t="inlineStr">
        <is>
          <t>CALI|TRANSPORTADORA_004</t>
        </is>
      </c>
      <c r="W334" t="inlineStr">
        <is>
          <t>CALI|TRANSPORTADORA_001</t>
        </is>
      </c>
      <c r="X334" s="26">
        <f>IF(T334="entrada",M334+U334,IF(T334="salida",M334-U334,M334))</f>
        <v>38760275</v>
      </c>
      <c r="Y334" s="26" t="n">
        <v>0</v>
      </c>
      <c r="Z334" t="inlineStr">
        <is>
          <t>Menor costo neto entre las alternativas que cubren la necesidad completa</t>
        </is>
      </c>
      <c r="AA334" t="inlineStr">
        <is>
          <t>SUP-08, SUP-10</t>
        </is>
      </c>
      <c r="AB334" t="inlineStr">
        <is>
          <t>Excedente de $1.240.275 en la denominacion 10000: saldo $40.010.275 sobre el maximo $38.770.000. Elegida: traslado con CALI|TRANSPORTADORA_001 ($1.250.000; costo $0). Es preferible porque tiene el menor costo neto. Otras alternativas: traslado con CALI|TRANSPORTADORA_003 ($1.250.000; costo $0); conservar ($1.250.000; costo de almacenar $118); consignacion BanRep ($1.250.000; costo $121.105); venta: no habilitada en este fondo (sin historico o fuera de las ciudades BanRep); traslado hacia 1 fondo(s) con espacio: ruta sin tarifa en el Anexo E (prohibida).</t>
        </is>
      </c>
      <c r="AC334" t="inlineStr">
        <is>
          <t>Cierre del dia anterior (saldo encadenado, RN-71)</t>
        </is>
      </c>
      <c r="AD334" t="inlineStr">
        <is>
          <t>estimada</t>
        </is>
      </c>
      <c r="AE334" t="inlineStr">
        <is>
          <t>Participacion historica por denominacion (SUP-09)</t>
        </is>
      </c>
    </row>
    <row r="335">
      <c r="A335" t="inlineStr">
        <is>
          <t>PRAGMA</t>
        </is>
      </c>
      <c r="B335" t="inlineStr">
        <is>
          <t>CALI|TRANSPORTADORA_004</t>
        </is>
      </c>
      <c r="C335" t="inlineStr">
        <is>
          <t>Cali</t>
        </is>
      </c>
      <c r="D335" t="inlineStr">
        <is>
          <t>TRANSPORTADORA_004</t>
        </is>
      </c>
      <c r="E335" s="23" t="n">
        <v>46265</v>
      </c>
      <c r="F335" s="23" t="n">
        <v>46273</v>
      </c>
      <c r="G335" t="inlineStr">
        <is>
          <t>Sí</t>
        </is>
      </c>
      <c r="H335" s="25" t="n">
        <v>10000</v>
      </c>
      <c r="I335" s="26" t="n">
        <v>38760275</v>
      </c>
      <c r="J335" s="26" t="n">
        <v>782113</v>
      </c>
      <c r="K335" s="26" t="n">
        <v>0</v>
      </c>
      <c r="L335" s="26">
        <f>J335-K335</f>
        <v>782113</v>
      </c>
      <c r="M335" s="26">
        <f>I335+L335</f>
        <v>39542388</v>
      </c>
      <c r="N335" s="26" t="n">
        <v>720000</v>
      </c>
      <c r="O335" s="26" t="n">
        <v>38770000</v>
      </c>
      <c r="P335" s="26">
        <f>MAX(0,N335-M335)</f>
        <v>0</v>
      </c>
      <c r="Q335" s="26">
        <f>MAX(0,M335-O335)</f>
        <v>772388</v>
      </c>
      <c r="R335" t="inlineStr">
        <is>
          <t>bajo</t>
        </is>
      </c>
      <c r="S335" t="inlineStr">
        <is>
          <t>traslado_fondos</t>
        </is>
      </c>
      <c r="T335" t="inlineStr">
        <is>
          <t>salida</t>
        </is>
      </c>
      <c r="U335" s="26" t="n">
        <v>780000</v>
      </c>
      <c r="V335" t="inlineStr">
        <is>
          <t>CALI|TRANSPORTADORA_004</t>
        </is>
      </c>
      <c r="W335" t="inlineStr">
        <is>
          <t>CALI|TRANSPORTADORA_003</t>
        </is>
      </c>
      <c r="X335" s="26">
        <f>IF(T335="entrada",M335+U335,IF(T335="salida",M335-U335,M335))</f>
        <v>38762388</v>
      </c>
      <c r="Y335" s="26" t="n">
        <v>0</v>
      </c>
      <c r="Z335" t="inlineStr">
        <is>
          <t>Menor costo neto entre las alternativas que cubren la necesidad completa</t>
        </is>
      </c>
      <c r="AA335" t="inlineStr">
        <is>
          <t>SUP-08, SUP-10</t>
        </is>
      </c>
      <c r="AB335" t="inlineStr">
        <is>
          <t>Excedente de $772.388 en la denominacion 10000: saldo $39.542.388 sobre el maximo $38.770.000. Elegida: traslado con CALI|TRANSPORTADORA_003 ($780.000; costo $0). Es preferible porque tiene el menor costo neto. Otras alternativas: conservar ($780.000; costo de almacenar $66); consignacion BanRep ($780.000; costo $120.977); venta: no habilitada en este fondo (sin historico o fuera de las ciudades BanRep).</t>
        </is>
      </c>
      <c r="AC335" t="inlineStr">
        <is>
          <t>Cierre del dia anterior (saldo encadenado, RN-71)</t>
        </is>
      </c>
      <c r="AD335" t="inlineStr">
        <is>
          <t>estimada</t>
        </is>
      </c>
      <c r="AE335" t="inlineStr">
        <is>
          <t>Participacion historica por denominacion (SUP-09)</t>
        </is>
      </c>
    </row>
    <row r="336">
      <c r="A336" t="inlineStr">
        <is>
          <t>PRAGMA</t>
        </is>
      </c>
      <c r="B336" t="inlineStr">
        <is>
          <t>CALI|TRANSPORTADORA_004</t>
        </is>
      </c>
      <c r="C336" t="inlineStr">
        <is>
          <t>Cali</t>
        </is>
      </c>
      <c r="D336" t="inlineStr">
        <is>
          <t>TRANSPORTADORA_004</t>
        </is>
      </c>
      <c r="E336" s="23" t="n">
        <v>46265</v>
      </c>
      <c r="F336" s="23" t="n">
        <v>46274</v>
      </c>
      <c r="G336" t="inlineStr">
        <is>
          <t>Sí</t>
        </is>
      </c>
      <c r="H336" s="25" t="n">
        <v>10000</v>
      </c>
      <c r="I336" s="26" t="n">
        <v>38762388</v>
      </c>
      <c r="J336" s="26" t="n">
        <v>734920</v>
      </c>
      <c r="K336" s="26" t="n">
        <v>0</v>
      </c>
      <c r="L336" s="26">
        <f>J336-K336</f>
        <v>734920</v>
      </c>
      <c r="M336" s="26">
        <f>I336+L336</f>
        <v>39497308</v>
      </c>
      <c r="N336" s="26" t="n">
        <v>720000</v>
      </c>
      <c r="O336" s="26" t="n">
        <v>38770000</v>
      </c>
      <c r="P336" s="26">
        <f>MAX(0,N336-M336)</f>
        <v>0</v>
      </c>
      <c r="Q336" s="26">
        <f>MAX(0,M336-O336)</f>
        <v>727308</v>
      </c>
      <c r="R336" t="inlineStr">
        <is>
          <t>bajo</t>
        </is>
      </c>
      <c r="S336" t="inlineStr">
        <is>
          <t>traslado_fondos</t>
        </is>
      </c>
      <c r="T336" t="inlineStr">
        <is>
          <t>salida</t>
        </is>
      </c>
      <c r="U336" s="26" t="n">
        <v>730000</v>
      </c>
      <c r="V336" t="inlineStr">
        <is>
          <t>CALI|TRANSPORTADORA_004</t>
        </is>
      </c>
      <c r="W336" t="inlineStr">
        <is>
          <t>CALI|TRANSPORTADORA_003</t>
        </is>
      </c>
      <c r="X336" s="26">
        <f>IF(T336="entrada",M336+U336,IF(T336="salida",M336-U336,M336))</f>
        <v>38767308</v>
      </c>
      <c r="Y336" s="26" t="n">
        <v>0</v>
      </c>
      <c r="Z336" t="inlineStr">
        <is>
          <t>Menor costo neto entre las alternativas que cubren la necesidad completa</t>
        </is>
      </c>
      <c r="AA336" t="inlineStr">
        <is>
          <t>SUP-08, SUP-10</t>
        </is>
      </c>
      <c r="AB336" t="inlineStr">
        <is>
          <t>Excedente de $727.308 en la denominacion 10000: saldo $39.497.308 sobre el maximo $38.770.000. Elegida: traslado con CALI|TRANSPORTADORA_003 ($730.000; costo $0). Es preferible porque tiene el menor costo neto. Otras alternativas: conservar ($730.000; costo de almacenar $54); consignacion BanRep ($730.000; costo $120.963); venta: no habilitada en este fondo (sin historico o fuera de las ciudades BanRep).</t>
        </is>
      </c>
      <c r="AC336" t="inlineStr">
        <is>
          <t>Cierre del dia anterior (saldo encadenado, RN-71)</t>
        </is>
      </c>
      <c r="AD336" t="inlineStr">
        <is>
          <t>estimada</t>
        </is>
      </c>
      <c r="AE336" t="inlineStr">
        <is>
          <t>Participacion historica por denominacion (SUP-09)</t>
        </is>
      </c>
    </row>
    <row r="337">
      <c r="A337" t="inlineStr">
        <is>
          <t>PRAGMA</t>
        </is>
      </c>
      <c r="B337" t="inlineStr">
        <is>
          <t>CALI|TRANSPORTADORA_004</t>
        </is>
      </c>
      <c r="C337" t="inlineStr">
        <is>
          <t>Cali</t>
        </is>
      </c>
      <c r="D337" t="inlineStr">
        <is>
          <t>TRANSPORTADORA_004</t>
        </is>
      </c>
      <c r="E337" s="23" t="n">
        <v>46265</v>
      </c>
      <c r="F337" s="23" t="n">
        <v>46275</v>
      </c>
      <c r="G337" t="inlineStr">
        <is>
          <t>Sí</t>
        </is>
      </c>
      <c r="H337" s="25" t="n">
        <v>10000</v>
      </c>
      <c r="I337" s="26" t="n">
        <v>38767308</v>
      </c>
      <c r="J337" s="26" t="n">
        <v>609098</v>
      </c>
      <c r="K337" s="26" t="n">
        <v>0</v>
      </c>
      <c r="L337" s="26">
        <f>J337-K337</f>
        <v>609098</v>
      </c>
      <c r="M337" s="26">
        <f>I337+L337</f>
        <v>39376406</v>
      </c>
      <c r="N337" s="26" t="n">
        <v>720000</v>
      </c>
      <c r="O337" s="26" t="n">
        <v>38770000</v>
      </c>
      <c r="P337" s="26">
        <f>MAX(0,N337-M337)</f>
        <v>0</v>
      </c>
      <c r="Q337" s="26">
        <f>MAX(0,M337-O337)</f>
        <v>606406</v>
      </c>
      <c r="R337" t="inlineStr">
        <is>
          <t>bajo</t>
        </is>
      </c>
      <c r="S337" t="inlineStr">
        <is>
          <t>traslado_fondos</t>
        </is>
      </c>
      <c r="T337" t="inlineStr">
        <is>
          <t>salida</t>
        </is>
      </c>
      <c r="U337" s="26" t="n">
        <v>610000</v>
      </c>
      <c r="V337" t="inlineStr">
        <is>
          <t>CALI|TRANSPORTADORA_004</t>
        </is>
      </c>
      <c r="W337" t="inlineStr">
        <is>
          <t>CALI|TRANSPORTADORA_003</t>
        </is>
      </c>
      <c r="X337" s="26">
        <f>IF(T337="entrada",M337+U337,IF(T337="salida",M337-U337,M337))</f>
        <v>38766406</v>
      </c>
      <c r="Y337" s="26" t="n">
        <v>0</v>
      </c>
      <c r="Z337" t="inlineStr">
        <is>
          <t>Menor costo neto entre las alternativas que cubren la necesidad completa</t>
        </is>
      </c>
      <c r="AA337" t="inlineStr">
        <is>
          <t>SUP-08, SUP-10</t>
        </is>
      </c>
      <c r="AB337" t="inlineStr">
        <is>
          <t>Excedente de $606.407 en la denominacion 10000: saldo $39.376.407 sobre el maximo $38.770.000. Elegida: traslado con CALI|TRANSPORTADORA_003 ($610.000; costo $0). Es preferible porque tiene el menor costo neto. Otras alternativas: conservar ($610.000; costo de almacenar $38); consignacion BanRep ($610.000; costo $120.931); venta: no habilitada en este fondo (sin historico o fuera de las ciudades BanRep).</t>
        </is>
      </c>
      <c r="AC337" t="inlineStr">
        <is>
          <t>Cierre del dia anterior (saldo encadenado, RN-71)</t>
        </is>
      </c>
      <c r="AD337" t="inlineStr">
        <is>
          <t>estimada</t>
        </is>
      </c>
      <c r="AE337" t="inlineStr">
        <is>
          <t>Participacion historica por denominacion (SUP-09)</t>
        </is>
      </c>
    </row>
    <row r="338">
      <c r="A338" t="inlineStr">
        <is>
          <t>PRAGMA</t>
        </is>
      </c>
      <c r="B338" t="inlineStr">
        <is>
          <t>CALI|TRANSPORTADORA_004</t>
        </is>
      </c>
      <c r="C338" t="inlineStr">
        <is>
          <t>Cali</t>
        </is>
      </c>
      <c r="D338" t="inlineStr">
        <is>
          <t>TRANSPORTADORA_004</t>
        </is>
      </c>
      <c r="E338" s="23" t="n">
        <v>46265</v>
      </c>
      <c r="F338" s="23" t="n">
        <v>46276</v>
      </c>
      <c r="G338" t="inlineStr">
        <is>
          <t>Sí</t>
        </is>
      </c>
      <c r="H338" s="25" t="n">
        <v>10000</v>
      </c>
      <c r="I338" s="26" t="n">
        <v>38766407</v>
      </c>
      <c r="J338" s="26" t="n">
        <v>473762</v>
      </c>
      <c r="K338" s="26" t="n">
        <v>0</v>
      </c>
      <c r="L338" s="26">
        <f>J338-K338</f>
        <v>473762</v>
      </c>
      <c r="M338" s="26">
        <f>I338+L338</f>
        <v>39240169</v>
      </c>
      <c r="N338" s="26" t="n">
        <v>720000</v>
      </c>
      <c r="O338" s="26" t="n">
        <v>38770000</v>
      </c>
      <c r="P338" s="26">
        <f>MAX(0,N338-M338)</f>
        <v>0</v>
      </c>
      <c r="Q338" s="26">
        <f>MAX(0,M338-O338)</f>
        <v>470169</v>
      </c>
      <c r="R338" t="inlineStr">
        <is>
          <t>bajo</t>
        </is>
      </c>
      <c r="S338" t="inlineStr">
        <is>
          <t>traslado_fondos</t>
        </is>
      </c>
      <c r="T338" t="inlineStr">
        <is>
          <t>salida</t>
        </is>
      </c>
      <c r="U338" s="26" t="n">
        <v>480000</v>
      </c>
      <c r="V338" t="inlineStr">
        <is>
          <t>CALI|TRANSPORTADORA_004</t>
        </is>
      </c>
      <c r="W338" t="inlineStr">
        <is>
          <t>CALI|TRANSPORTADORA_003</t>
        </is>
      </c>
      <c r="X338" s="26">
        <f>IF(T338="entrada",M338+U338,IF(T338="salida",M338-U338,M338))</f>
        <v>38760169</v>
      </c>
      <c r="Y338" s="26" t="n">
        <v>0</v>
      </c>
      <c r="Z338" t="inlineStr">
        <is>
          <t>Menor costo neto entre las alternativas que cubren la necesidad completa</t>
        </is>
      </c>
      <c r="AA338" t="inlineStr">
        <is>
          <t>SUP-08, SUP-10</t>
        </is>
      </c>
      <c r="AB338" t="inlineStr">
        <is>
          <t>Excedente de $470.168 en la denominacion 10000: saldo $39.240.168 sobre el maximo $38.770.000. Elegida: traslado con CALI|TRANSPORTADORA_003 ($480.000; costo $0). Es preferible porque tiene el menor costo neto. Otras alternativas: conservar ($480.000; costo de almacenar $25); consignacion BanRep ($480.000; costo $120.895); venta: no habilitada en este fondo (sin historico o fuera de las ciudades BanRep).</t>
        </is>
      </c>
      <c r="AC338" t="inlineStr">
        <is>
          <t>Cierre del dia anterior (saldo encadenado, RN-71)</t>
        </is>
      </c>
      <c r="AD338" t="inlineStr">
        <is>
          <t>estimada</t>
        </is>
      </c>
      <c r="AE338" t="inlineStr">
        <is>
          <t>Participacion historica por denominacion (SUP-09)</t>
        </is>
      </c>
    </row>
    <row r="339">
      <c r="A339" t="inlineStr">
        <is>
          <t>PRAGMA</t>
        </is>
      </c>
      <c r="B339" t="inlineStr">
        <is>
          <t>CALI|TRANSPORTADORA_004</t>
        </is>
      </c>
      <c r="C339" t="inlineStr">
        <is>
          <t>Cali</t>
        </is>
      </c>
      <c r="D339" t="inlineStr">
        <is>
          <t>TRANSPORTADORA_004</t>
        </is>
      </c>
      <c r="E339" s="23" t="n">
        <v>46265</v>
      </c>
      <c r="F339" s="23" t="n">
        <v>46277</v>
      </c>
      <c r="G339" t="inlineStr">
        <is>
          <t>No</t>
        </is>
      </c>
      <c r="H339" s="25" t="n">
        <v>10000</v>
      </c>
      <c r="I339" s="26" t="n">
        <v>38760168</v>
      </c>
      <c r="J339" s="26" t="n">
        <v>153527</v>
      </c>
      <c r="K339" s="26" t="n">
        <v>0</v>
      </c>
      <c r="L339" s="26">
        <f>J339-K339</f>
        <v>153527</v>
      </c>
      <c r="M339" s="26">
        <f>I339+L339</f>
        <v>38913695</v>
      </c>
      <c r="N339" s="26" t="n">
        <v>720000</v>
      </c>
      <c r="O339" s="26" t="n">
        <v>38770000</v>
      </c>
      <c r="P339" s="26">
        <f>MAX(0,N339-M339)</f>
        <v>0</v>
      </c>
      <c r="Q339" s="26">
        <f>MAX(0,M339-O339)</f>
        <v>143695</v>
      </c>
      <c r="R339" t="inlineStr">
        <is>
          <t>bajo</t>
        </is>
      </c>
      <c r="S339" t="inlineStr">
        <is>
          <t>traslado_fondos</t>
        </is>
      </c>
      <c r="T339" t="inlineStr">
        <is>
          <t>salida</t>
        </is>
      </c>
      <c r="U339" s="26" t="n">
        <v>150000</v>
      </c>
      <c r="V339" t="inlineStr">
        <is>
          <t>CALI|TRANSPORTADORA_004</t>
        </is>
      </c>
      <c r="W339" t="inlineStr">
        <is>
          <t>CALI|TRANSPORTADORA_001</t>
        </is>
      </c>
      <c r="X339" s="26">
        <f>IF(T339="entrada",M339+U339,IF(T339="salida",M339-U339,M339))</f>
        <v>38763695</v>
      </c>
      <c r="Y339" s="26" t="n">
        <v>0</v>
      </c>
      <c r="Z339" t="inlineStr">
        <is>
          <t>Menor costo neto entre las alternativas que cubren la necesidad completa</t>
        </is>
      </c>
      <c r="AA339" t="inlineStr">
        <is>
          <t>SUP-08, SUP-10</t>
        </is>
      </c>
      <c r="AB339" t="inlineStr">
        <is>
          <t>Excedente de $143.696 en la denominacion 10000: saldo $38.913.696 sobre el maximo $38.770.000. Elegida: traslado con CALI|TRANSPORTADORA_001 ($150.000; costo $0). Es preferible porque tiene el menor costo neto. Otras alternativas: traslado con CALI|TRANSPORTADORA_002 ($150.000; costo $0); traslado con CALI|TRANSPORTADORA_003 ($150.000; costo $0); conservar ($150.000; costo de almacenar $6); venta: dia no habil (sabado, domingo o festivo; RN-71A); consignacion BanRep: dia no habil (sabado, domingo o festivo; RN-71A); traslado hacia 1 fondo(s) con espacio: ruta sin tarifa en el Anexo E (prohibida).</t>
        </is>
      </c>
      <c r="AC339" t="inlineStr">
        <is>
          <t>Cierre del dia anterior (saldo encadenado, RN-71)</t>
        </is>
      </c>
      <c r="AD339" t="inlineStr">
        <is>
          <t>estimada</t>
        </is>
      </c>
      <c r="AE339" t="inlineStr">
        <is>
          <t>Participacion historica por denominacion (SUP-09)</t>
        </is>
      </c>
    </row>
    <row r="340">
      <c r="A340" t="inlineStr">
        <is>
          <t>PRAGMA</t>
        </is>
      </c>
      <c r="B340" t="inlineStr">
        <is>
          <t>CALI|TRANSPORTADORA_004</t>
        </is>
      </c>
      <c r="C340" t="inlineStr">
        <is>
          <t>Cali</t>
        </is>
      </c>
      <c r="D340" t="inlineStr">
        <is>
          <t>TRANSPORTADORA_004</t>
        </is>
      </c>
      <c r="E340" s="23" t="n">
        <v>46265</v>
      </c>
      <c r="F340" s="23" t="n">
        <v>46278</v>
      </c>
      <c r="G340" t="inlineStr">
        <is>
          <t>No</t>
        </is>
      </c>
      <c r="H340" s="25" t="n">
        <v>10000</v>
      </c>
      <c r="I340" s="26" t="n">
        <v>38763696</v>
      </c>
      <c r="J340" s="26" t="n">
        <v>143141</v>
      </c>
      <c r="K340" s="26" t="n">
        <v>0</v>
      </c>
      <c r="L340" s="26">
        <f>J340-K340</f>
        <v>143141</v>
      </c>
      <c r="M340" s="26">
        <f>I340+L340</f>
        <v>38906837</v>
      </c>
      <c r="N340" s="26" t="n">
        <v>720000</v>
      </c>
      <c r="O340" s="26" t="n">
        <v>38770000</v>
      </c>
      <c r="P340" s="26">
        <f>MAX(0,N340-M340)</f>
        <v>0</v>
      </c>
      <c r="Q340" s="26">
        <f>MAX(0,M340-O340)</f>
        <v>136837</v>
      </c>
      <c r="R340" t="inlineStr">
        <is>
          <t>bajo</t>
        </is>
      </c>
      <c r="S340" t="inlineStr">
        <is>
          <t>traslado_fondos</t>
        </is>
      </c>
      <c r="T340" t="inlineStr">
        <is>
          <t>salida</t>
        </is>
      </c>
      <c r="U340" s="26" t="n">
        <v>140000</v>
      </c>
      <c r="V340" t="inlineStr">
        <is>
          <t>CALI|TRANSPORTADORA_004</t>
        </is>
      </c>
      <c r="W340" t="inlineStr">
        <is>
          <t>CALI|TRANSPORTADORA_001</t>
        </is>
      </c>
      <c r="X340" s="26">
        <f>IF(T340="entrada",M340+U340,IF(T340="salida",M340-U340,M340))</f>
        <v>38766837</v>
      </c>
      <c r="Y340" s="26" t="n">
        <v>0</v>
      </c>
      <c r="Z340" t="inlineStr">
        <is>
          <t>Menor costo neto entre las alternativas que cubren la necesidad completa</t>
        </is>
      </c>
      <c r="AA340" t="inlineStr">
        <is>
          <t>SUP-08, SUP-10</t>
        </is>
      </c>
      <c r="AB340" t="inlineStr">
        <is>
          <t>Excedente de $136.836 en la denominacion 10000: saldo $38.906.836 sobre el maximo $38.770.000. Elegida: traslado con CALI|TRANSPORTADORA_001 ($140.000; costo $0). Es preferible porque tiene el menor costo neto. Otras alternativas: traslado con CALI|TRANSPORTADORA_002 ($140.000; costo $0); traslado con CALI|TRANSPORTADORA_003 ($140.000; costo $0); conservar ($140.000; costo de almacenar $4); venta: dia no habil (sabado, domingo o festivo; RN-71A); consignacion BanRep: dia no habil (sabado, domingo o festivo; RN-71A); traslado hacia 1 fondo(s) con espacio: ruta sin tarifa en el Anexo E (prohibida).</t>
        </is>
      </c>
      <c r="AC340" t="inlineStr">
        <is>
          <t>Cierre del dia anterior (saldo encadenado, RN-71)</t>
        </is>
      </c>
      <c r="AD340" t="inlineStr">
        <is>
          <t>estimada</t>
        </is>
      </c>
      <c r="AE340" t="inlineStr">
        <is>
          <t>Participacion historica por denominacion (SUP-09)</t>
        </is>
      </c>
    </row>
    <row r="341">
      <c r="A341" t="inlineStr">
        <is>
          <t>PRAGMA</t>
        </is>
      </c>
      <c r="B341" t="inlineStr">
        <is>
          <t>CALI|TRANSPORTADORA_004</t>
        </is>
      </c>
      <c r="C341" t="inlineStr">
        <is>
          <t>Cali</t>
        </is>
      </c>
      <c r="D341" t="inlineStr">
        <is>
          <t>TRANSPORTADORA_004</t>
        </is>
      </c>
      <c r="E341" s="23" t="n">
        <v>46265</v>
      </c>
      <c r="F341" s="23" t="n">
        <v>46279</v>
      </c>
      <c r="G341" t="inlineStr">
        <is>
          <t>Sí</t>
        </is>
      </c>
      <c r="H341" s="25" t="n">
        <v>10000</v>
      </c>
      <c r="I341" s="26" t="n">
        <v>38766836</v>
      </c>
      <c r="J341" s="26" t="n">
        <v>878397</v>
      </c>
      <c r="K341" s="26" t="n">
        <v>0</v>
      </c>
      <c r="L341" s="26">
        <f>J341-K341</f>
        <v>878397</v>
      </c>
      <c r="M341" s="26">
        <f>I341+L341</f>
        <v>39645233</v>
      </c>
      <c r="N341" s="26" t="n">
        <v>720000</v>
      </c>
      <c r="O341" s="26" t="n">
        <v>38770000</v>
      </c>
      <c r="P341" s="26">
        <f>MAX(0,N341-M341)</f>
        <v>0</v>
      </c>
      <c r="Q341" s="26">
        <f>MAX(0,M341-O341)</f>
        <v>875233</v>
      </c>
      <c r="R341" t="inlineStr">
        <is>
          <t>bajo</t>
        </is>
      </c>
      <c r="S341" t="inlineStr">
        <is>
          <t>traslado_fondos</t>
        </is>
      </c>
      <c r="T341" t="inlineStr">
        <is>
          <t>salida</t>
        </is>
      </c>
      <c r="U341" s="26" t="n">
        <v>880000</v>
      </c>
      <c r="V341" t="inlineStr">
        <is>
          <t>CALI|TRANSPORTADORA_004</t>
        </is>
      </c>
      <c r="W341" t="inlineStr">
        <is>
          <t>CALI|TRANSPORTADORA_003</t>
        </is>
      </c>
      <c r="X341" s="26">
        <f>IF(T341="entrada",M341+U341,IF(T341="salida",M341-U341,M341))</f>
        <v>38765233</v>
      </c>
      <c r="Y341" s="26" t="n">
        <v>0</v>
      </c>
      <c r="Z341" t="inlineStr">
        <is>
          <t>Menor costo neto entre las alternativas que cubren la necesidad completa</t>
        </is>
      </c>
      <c r="AA341" t="inlineStr">
        <is>
          <t>SUP-08, SUP-10</t>
        </is>
      </c>
      <c r="AB341" t="inlineStr">
        <is>
          <t>Excedente de $875.233 en la denominacion 10000: saldo $39.645.233 sobre el maximo $38.770.000. Elegida: traslado con CALI|TRANSPORTADORA_003 ($880.000; costo $0). Es preferible porque tiene el menor costo neto. Otras alternativas: conservar ($880.000; costo de almacenar $18); consignacion BanRep ($880.000; costo $121.004); venta: no habilitada en este fondo (sin historico o fuera de las ciudades BanRep).</t>
        </is>
      </c>
      <c r="AC341" t="inlineStr">
        <is>
          <t>Cierre del dia anterior (saldo encadenado, RN-71)</t>
        </is>
      </c>
      <c r="AD341" t="inlineStr">
        <is>
          <t>estimada</t>
        </is>
      </c>
      <c r="AE341" t="inlineStr">
        <is>
          <t>Participacion historica por denominacion (SUP-09)</t>
        </is>
      </c>
    </row>
    <row r="342">
      <c r="A342" t="inlineStr">
        <is>
          <t>PRAGMA</t>
        </is>
      </c>
      <c r="B342" t="inlineStr">
        <is>
          <t>CALI|TRANSPORTADORA_004</t>
        </is>
      </c>
      <c r="C342" t="inlineStr">
        <is>
          <t>Cali</t>
        </is>
      </c>
      <c r="D342" t="inlineStr">
        <is>
          <t>TRANSPORTADORA_004</t>
        </is>
      </c>
      <c r="E342" s="23" t="n">
        <v>46265</v>
      </c>
      <c r="F342" s="23" t="n">
        <v>46280</v>
      </c>
      <c r="G342" t="inlineStr">
        <is>
          <t>Sí</t>
        </is>
      </c>
      <c r="H342" s="25" t="n">
        <v>10000</v>
      </c>
      <c r="I342" s="26" t="n">
        <v>38765233</v>
      </c>
      <c r="J342" s="26" t="n">
        <v>560715</v>
      </c>
      <c r="K342" s="26" t="n">
        <v>0</v>
      </c>
      <c r="L342" s="26">
        <f>J342-K342</f>
        <v>560715</v>
      </c>
      <c r="M342" s="26">
        <f>I342+L342</f>
        <v>39325948</v>
      </c>
      <c r="N342" s="26" t="n">
        <v>720000</v>
      </c>
      <c r="O342" s="26" t="n">
        <v>38770000</v>
      </c>
      <c r="P342" s="26">
        <f>MAX(0,N342-M342)</f>
        <v>0</v>
      </c>
      <c r="Q342" s="26">
        <f>MAX(0,M342-O342)</f>
        <v>555948</v>
      </c>
      <c r="R342" t="inlineStr">
        <is>
          <t>bajo</t>
        </is>
      </c>
      <c r="S342" t="inlineStr">
        <is>
          <t>traslado_fondos</t>
        </is>
      </c>
      <c r="T342" t="inlineStr">
        <is>
          <t>salida</t>
        </is>
      </c>
      <c r="U342" s="26" t="n">
        <v>560000</v>
      </c>
      <c r="V342" t="inlineStr">
        <is>
          <t>CALI|TRANSPORTADORA_004</t>
        </is>
      </c>
      <c r="W342" t="inlineStr">
        <is>
          <t>CALI|TRANSPORTADORA_003</t>
        </is>
      </c>
      <c r="X342" s="26">
        <f>IF(T342="entrada",M342+U342,IF(T342="salida",M342-U342,M342))</f>
        <v>38765948</v>
      </c>
      <c r="Y342" s="26" t="n">
        <v>0</v>
      </c>
      <c r="Z342" t="inlineStr">
        <is>
          <t>Menor costo neto entre las alternativas que cubren la necesidad completa</t>
        </is>
      </c>
      <c r="AA342" t="inlineStr">
        <is>
          <t>SUP-08, SUP-10</t>
        </is>
      </c>
      <c r="AB342" t="inlineStr">
        <is>
          <t>Excedente de $555.948 en la denominacion 10000: saldo $39.325.948 sobre el maximo $38.770.000. Elegida: traslado con CALI|TRANSPORTADORA_003 ($560.000; costo $0). Es preferible porque tiene el menor costo neto. Otras alternativas: conservar ($560.000; costo de almacenar $6); consignacion BanRep ($560.000; costo $120.917); venta: no habilitada en este fondo (sin historico o fuera de las ciudades BanRep).</t>
        </is>
      </c>
      <c r="AC342" t="inlineStr">
        <is>
          <t>Cierre del dia anterior (saldo encadenado, RN-71)</t>
        </is>
      </c>
      <c r="AD342" t="inlineStr">
        <is>
          <t>estimada</t>
        </is>
      </c>
      <c r="AE342" t="inlineStr">
        <is>
          <t>Participacion historica por denominacion (SUP-09)</t>
        </is>
      </c>
    </row>
    <row r="343">
      <c r="A343" t="inlineStr">
        <is>
          <t>PRAGMA</t>
        </is>
      </c>
      <c r="B343" t="inlineStr">
        <is>
          <t>CALI|TRANSPORTADORA_004</t>
        </is>
      </c>
      <c r="C343" t="inlineStr">
        <is>
          <t>Cali</t>
        </is>
      </c>
      <c r="D343" t="inlineStr">
        <is>
          <t>TRANSPORTADORA_004</t>
        </is>
      </c>
      <c r="E343" s="23" t="n">
        <v>46265</v>
      </c>
      <c r="F343" s="23" t="n">
        <v>46266</v>
      </c>
      <c r="G343" t="inlineStr">
        <is>
          <t>Sí</t>
        </is>
      </c>
      <c r="H343" s="25" t="n">
        <v>20000</v>
      </c>
      <c r="I343" s="26" t="n">
        <v>258580000</v>
      </c>
      <c r="J343" s="26" t="n">
        <v>5636110</v>
      </c>
      <c r="K343" s="26" t="n">
        <v>0</v>
      </c>
      <c r="L343" s="26">
        <f>J343-K343</f>
        <v>5636110</v>
      </c>
      <c r="M343" s="26">
        <f>I343+L343</f>
        <v>264216110</v>
      </c>
      <c r="N343" s="26" t="n">
        <v>5680000</v>
      </c>
      <c r="O343" s="26" t="n">
        <v>256590000</v>
      </c>
      <c r="P343" s="26">
        <f>MAX(0,N343-M343)</f>
        <v>0</v>
      </c>
      <c r="Q343" s="26">
        <f>MAX(0,M343-O343)</f>
        <v>7626110</v>
      </c>
      <c r="R343" t="inlineStr">
        <is>
          <t>bajo</t>
        </is>
      </c>
      <c r="S343" t="inlineStr">
        <is>
          <t>traslado_fondos</t>
        </is>
      </c>
      <c r="T343" t="inlineStr">
        <is>
          <t>salida</t>
        </is>
      </c>
      <c r="U343" s="26" t="n">
        <v>7640000</v>
      </c>
      <c r="V343" t="inlineStr">
        <is>
          <t>CALI|TRANSPORTADORA_004</t>
        </is>
      </c>
      <c r="W343" t="inlineStr">
        <is>
          <t>CALI|TRANSPORTADORA_001</t>
        </is>
      </c>
      <c r="X343" s="26">
        <f>IF(T343="entrada",M343+U343,IF(T343="salida",M343-U343,M343))</f>
        <v>256576110</v>
      </c>
      <c r="Y343" s="26" t="n">
        <v>0</v>
      </c>
      <c r="Z343" t="inlineStr">
        <is>
          <t>Menor costo neto entre las alternativas que cubren la necesidad completa</t>
        </is>
      </c>
      <c r="AA343" t="inlineStr">
        <is>
          <t>SUP-08, SUP-10</t>
        </is>
      </c>
      <c r="AB343" t="inlineStr">
        <is>
          <t>Excedente de $7.626.110 en la denominacion 20000: saldo $264.216.110 sobre el maximo $256.590.000. Elegida: traslado con CALI|TRANSPORTADORA_001 ($7.640.000; costo $0). Es preferible porque tiene el menor costo neto. Otras alternativas: traslado con CALI|TRANSPORTADORA_002 ($7.640.000; costo $0); traslado con CALI|TRANSPORTADORA_003 ($7.640.000; costo $0); conservar ($7.640.000; costo de almacenar $1.204); consignacion BanRep ($7.640.000; costo $122.850); venta: no habilitada en este fondo (sin historico o fuera de las ciudades BanRep); traslado hacia 2 fondo(s) con espacio: ruta sin tarifa en el Anexo E (prohibida).</t>
        </is>
      </c>
      <c r="AC343" t="inlineStr">
        <is>
          <t>Ultimo disponible al 31/08/2026 (SUP-07)</t>
        </is>
      </c>
      <c r="AD343" t="inlineStr">
        <is>
          <t>estimada</t>
        </is>
      </c>
      <c r="AE343" t="inlineStr">
        <is>
          <t>Participacion historica por denominacion (SUP-09)</t>
        </is>
      </c>
    </row>
    <row r="344">
      <c r="A344" t="inlineStr">
        <is>
          <t>PRAGMA</t>
        </is>
      </c>
      <c r="B344" t="inlineStr">
        <is>
          <t>CALI|TRANSPORTADORA_004</t>
        </is>
      </c>
      <c r="C344" t="inlineStr">
        <is>
          <t>Cali</t>
        </is>
      </c>
      <c r="D344" t="inlineStr">
        <is>
          <t>TRANSPORTADORA_004</t>
        </is>
      </c>
      <c r="E344" s="23" t="n">
        <v>46265</v>
      </c>
      <c r="F344" s="23" t="n">
        <v>46267</v>
      </c>
      <c r="G344" t="inlineStr">
        <is>
          <t>Sí</t>
        </is>
      </c>
      <c r="H344" s="25" t="n">
        <v>20000</v>
      </c>
      <c r="I344" s="26" t="n">
        <v>256576110</v>
      </c>
      <c r="J344" s="26" t="n">
        <v>4621276</v>
      </c>
      <c r="K344" s="26" t="n">
        <v>0</v>
      </c>
      <c r="L344" s="26">
        <f>J344-K344</f>
        <v>4621276</v>
      </c>
      <c r="M344" s="26">
        <f>I344+L344</f>
        <v>261197386</v>
      </c>
      <c r="N344" s="26" t="n">
        <v>5680000</v>
      </c>
      <c r="O344" s="26" t="n">
        <v>256590000</v>
      </c>
      <c r="P344" s="26">
        <f>MAX(0,N344-M344)</f>
        <v>0</v>
      </c>
      <c r="Q344" s="26">
        <f>MAX(0,M344-O344)</f>
        <v>4607386</v>
      </c>
      <c r="R344" t="inlineStr">
        <is>
          <t>bajo</t>
        </is>
      </c>
      <c r="S344" t="inlineStr">
        <is>
          <t>traslado_fondos</t>
        </is>
      </c>
      <c r="T344" t="inlineStr">
        <is>
          <t>salida</t>
        </is>
      </c>
      <c r="U344" s="26" t="n">
        <v>4620000</v>
      </c>
      <c r="V344" t="inlineStr">
        <is>
          <t>CALI|TRANSPORTADORA_004</t>
        </is>
      </c>
      <c r="W344" t="inlineStr">
        <is>
          <t>CALI|TRANSPORTADORA_001</t>
        </is>
      </c>
      <c r="X344" s="26">
        <f>IF(T344="entrada",M344+U344,IF(T344="salida",M344-U344,M344))</f>
        <v>256577386</v>
      </c>
      <c r="Y344" s="26" t="n">
        <v>0</v>
      </c>
      <c r="Z344" t="inlineStr">
        <is>
          <t>Menor costo neto entre las alternativas que cubren la necesidad completa</t>
        </is>
      </c>
      <c r="AA344" t="inlineStr">
        <is>
          <t>SUP-08, SUP-10</t>
        </is>
      </c>
      <c r="AB344" t="inlineStr">
        <is>
          <t>Excedente de $4.607.385 en la denominacion 20000: saldo $261.197.385 sobre el maximo $256.590.000. Elegida: traslado con CALI|TRANSPORTADORA_001 ($4.620.000; costo $0). Es preferible porque tiene el menor costo neto. Otras alternativas: traslado con CALI|TRANSPORTADORA_002 ($4.620.000; costo $0); traslado con CALI|TRANSPORTADORA_003 ($4.620.000; costo $0); conservar ($4.620.000; costo de almacenar $680); consignacion BanRep ($4.620.000; costo $122.025); venta: no habilitada en este fondo (sin historico o fuera de las ciudades BanRep); traslado hacia 1 fondo(s) con espacio: ruta sin tarifa en el Anexo E (prohibida).</t>
        </is>
      </c>
      <c r="AC344" t="inlineStr">
        <is>
          <t>Cierre del dia anterior (saldo encadenado, RN-71)</t>
        </is>
      </c>
      <c r="AD344" t="inlineStr">
        <is>
          <t>estimada</t>
        </is>
      </c>
      <c r="AE344" t="inlineStr">
        <is>
          <t>Participacion historica por denominacion (SUP-09)</t>
        </is>
      </c>
    </row>
    <row r="345">
      <c r="A345" t="inlineStr">
        <is>
          <t>PRAGMA</t>
        </is>
      </c>
      <c r="B345" t="inlineStr">
        <is>
          <t>CALI|TRANSPORTADORA_004</t>
        </is>
      </c>
      <c r="C345" t="inlineStr">
        <is>
          <t>Cali</t>
        </is>
      </c>
      <c r="D345" t="inlineStr">
        <is>
          <t>TRANSPORTADORA_004</t>
        </is>
      </c>
      <c r="E345" s="23" t="n">
        <v>46265</v>
      </c>
      <c r="F345" s="23" t="n">
        <v>46268</v>
      </c>
      <c r="G345" t="inlineStr">
        <is>
          <t>Sí</t>
        </is>
      </c>
      <c r="H345" s="25" t="n">
        <v>20000</v>
      </c>
      <c r="I345" s="26" t="n">
        <v>256577385</v>
      </c>
      <c r="J345" s="26" t="n">
        <v>5633070</v>
      </c>
      <c r="K345" s="26" t="n">
        <v>0</v>
      </c>
      <c r="L345" s="26">
        <f>J345-K345</f>
        <v>5633070</v>
      </c>
      <c r="M345" s="26">
        <f>I345+L345</f>
        <v>262210455</v>
      </c>
      <c r="N345" s="26" t="n">
        <v>5680000</v>
      </c>
      <c r="O345" s="26" t="n">
        <v>256590000</v>
      </c>
      <c r="P345" s="26">
        <f>MAX(0,N345-M345)</f>
        <v>0</v>
      </c>
      <c r="Q345" s="26">
        <f>MAX(0,M345-O345)</f>
        <v>5620455</v>
      </c>
      <c r="R345" t="inlineStr">
        <is>
          <t>bajo</t>
        </is>
      </c>
      <c r="S345" t="inlineStr">
        <is>
          <t>traslado_fondos</t>
        </is>
      </c>
      <c r="T345" t="inlineStr">
        <is>
          <t>salida</t>
        </is>
      </c>
      <c r="U345" s="26" t="n">
        <v>5640000</v>
      </c>
      <c r="V345" t="inlineStr">
        <is>
          <t>CALI|TRANSPORTADORA_004</t>
        </is>
      </c>
      <c r="W345" t="inlineStr">
        <is>
          <t>CALI|TRANSPORTADORA_001</t>
        </is>
      </c>
      <c r="X345" s="26">
        <f>IF(T345="entrada",M345+U345,IF(T345="salida",M345-U345,M345))</f>
        <v>256570455</v>
      </c>
      <c r="Y345" s="26" t="n">
        <v>0</v>
      </c>
      <c r="Z345" t="inlineStr">
        <is>
          <t>Menor costo neto entre las alternativas que cubren la necesidad completa</t>
        </is>
      </c>
      <c r="AA345" t="inlineStr">
        <is>
          <t>SUP-08, SUP-10</t>
        </is>
      </c>
      <c r="AB345" t="inlineStr">
        <is>
          <t>Excedente de $5.620.455 en la denominacion 20000: saldo $262.210.455 sobre el maximo $256.590.000. Elegida: traslado con CALI|TRANSPORTADORA_001 ($5.640.000; costo $0). Es preferible porque tiene el menor costo neto. Otras alternativas: traslado con CALI|TRANSPORTADORA_003 ($5.640.000; costo $0); conservar ($5.640.000; costo de almacenar $771); consignacion BanRep ($5.640.000; costo $122.304); venta: no habilitada en este fondo (sin historico o fuera de las ciudades BanRep); traslado hacia 1 fondo(s) con espacio: ruta sin tarifa en el Anexo E (prohibida).</t>
        </is>
      </c>
      <c r="AC345" t="inlineStr">
        <is>
          <t>Cierre del dia anterior (saldo encadenado, RN-71)</t>
        </is>
      </c>
      <c r="AD345" t="inlineStr">
        <is>
          <t>estimada</t>
        </is>
      </c>
      <c r="AE345" t="inlineStr">
        <is>
          <t>Participacion historica por denominacion (SUP-09)</t>
        </is>
      </c>
    </row>
    <row r="346">
      <c r="A346" t="inlineStr">
        <is>
          <t>PRAGMA</t>
        </is>
      </c>
      <c r="B346" t="inlineStr">
        <is>
          <t>CALI|TRANSPORTADORA_004</t>
        </is>
      </c>
      <c r="C346" t="inlineStr">
        <is>
          <t>Cali</t>
        </is>
      </c>
      <c r="D346" t="inlineStr">
        <is>
          <t>TRANSPORTADORA_004</t>
        </is>
      </c>
      <c r="E346" s="23" t="n">
        <v>46265</v>
      </c>
      <c r="F346" s="23" t="n">
        <v>46269</v>
      </c>
      <c r="G346" t="inlineStr">
        <is>
          <t>Sí</t>
        </is>
      </c>
      <c r="H346" s="25" t="n">
        <v>20000</v>
      </c>
      <c r="I346" s="26" t="n">
        <v>256570455</v>
      </c>
      <c r="J346" s="26" t="n">
        <v>6802681</v>
      </c>
      <c r="K346" s="26" t="n">
        <v>0</v>
      </c>
      <c r="L346" s="26">
        <f>J346-K346</f>
        <v>6802681</v>
      </c>
      <c r="M346" s="26">
        <f>I346+L346</f>
        <v>263373136</v>
      </c>
      <c r="N346" s="26" t="n">
        <v>5680000</v>
      </c>
      <c r="O346" s="26" t="n">
        <v>256590000</v>
      </c>
      <c r="P346" s="26">
        <f>MAX(0,N346-M346)</f>
        <v>0</v>
      </c>
      <c r="Q346" s="26">
        <f>MAX(0,M346-O346)</f>
        <v>6783136</v>
      </c>
      <c r="R346" t="inlineStr">
        <is>
          <t>bajo</t>
        </is>
      </c>
      <c r="S346" t="inlineStr">
        <is>
          <t>traslado_fondos</t>
        </is>
      </c>
      <c r="T346" t="inlineStr">
        <is>
          <t>salida</t>
        </is>
      </c>
      <c r="U346" s="26" t="n">
        <v>6800000</v>
      </c>
      <c r="V346" t="inlineStr">
        <is>
          <t>CALI|TRANSPORTADORA_004</t>
        </is>
      </c>
      <c r="W346" t="inlineStr">
        <is>
          <t>CALI|TRANSPORTADORA_001</t>
        </is>
      </c>
      <c r="X346" s="26">
        <f>IF(T346="entrada",M346+U346,IF(T346="salida",M346-U346,M346))</f>
        <v>256573136</v>
      </c>
      <c r="Y346" s="26" t="n">
        <v>0</v>
      </c>
      <c r="Z346" t="inlineStr">
        <is>
          <t>Menor costo neto entre las alternativas que cubren la necesidad completa</t>
        </is>
      </c>
      <c r="AA346" t="inlineStr">
        <is>
          <t>SUP-08, SUP-10</t>
        </is>
      </c>
      <c r="AB346" t="inlineStr">
        <is>
          <t>Excedente de $6.783.136 en la denominacion 20000: saldo $263.373.136 sobre el maximo $256.590.000. Elegida: traslado con CALI|TRANSPORTADORA_001 ($6.800.000; costo $0). Es preferible porque tiene el menor costo neto. Otras alternativas: traslado con CALI|TRANSPORTADORA_003 ($6.800.000; costo $0); conservar ($6.800.000; costo de almacenar $858); consignacion BanRep ($6.800.000; costo $122.620); venta: no habilitada en este fondo (sin historico o fuera de las ciudades BanRep); traslado hacia 1 fondo(s) con espacio: ruta sin tarifa en el Anexo E (prohibida).</t>
        </is>
      </c>
      <c r="AC346" t="inlineStr">
        <is>
          <t>Cierre del dia anterior (saldo encadenado, RN-71)</t>
        </is>
      </c>
      <c r="AD346" t="inlineStr">
        <is>
          <t>estimada</t>
        </is>
      </c>
      <c r="AE346" t="inlineStr">
        <is>
          <t>Participacion historica por denominacion (SUP-09)</t>
        </is>
      </c>
    </row>
    <row r="347">
      <c r="A347" t="inlineStr">
        <is>
          <t>PRAGMA</t>
        </is>
      </c>
      <c r="B347" t="inlineStr">
        <is>
          <t>CALI|TRANSPORTADORA_004</t>
        </is>
      </c>
      <c r="C347" t="inlineStr">
        <is>
          <t>Cali</t>
        </is>
      </c>
      <c r="D347" t="inlineStr">
        <is>
          <t>TRANSPORTADORA_004</t>
        </is>
      </c>
      <c r="E347" s="23" t="n">
        <v>46265</v>
      </c>
      <c r="F347" s="23" t="n">
        <v>46270</v>
      </c>
      <c r="G347" t="inlineStr">
        <is>
          <t>No</t>
        </is>
      </c>
      <c r="H347" s="25" t="n">
        <v>20000</v>
      </c>
      <c r="I347" s="26" t="n">
        <v>256573136</v>
      </c>
      <c r="J347" s="26" t="n">
        <v>1437041</v>
      </c>
      <c r="K347" s="26" t="n">
        <v>0</v>
      </c>
      <c r="L347" s="26">
        <f>J347-K347</f>
        <v>1437041</v>
      </c>
      <c r="M347" s="26">
        <f>I347+L347</f>
        <v>258010177</v>
      </c>
      <c r="N347" s="26" t="n">
        <v>5680000</v>
      </c>
      <c r="O347" s="26" t="n">
        <v>256590000</v>
      </c>
      <c r="P347" s="26">
        <f>MAX(0,N347-M347)</f>
        <v>0</v>
      </c>
      <c r="Q347" s="26">
        <f>MAX(0,M347-O347)</f>
        <v>1420177</v>
      </c>
      <c r="R347" t="inlineStr">
        <is>
          <t>bajo</t>
        </is>
      </c>
      <c r="S347" t="inlineStr">
        <is>
          <t>traslado_fondos</t>
        </is>
      </c>
      <c r="T347" t="inlineStr">
        <is>
          <t>salida</t>
        </is>
      </c>
      <c r="U347" s="26" t="n">
        <v>1440000</v>
      </c>
      <c r="V347" t="inlineStr">
        <is>
          <t>CALI|TRANSPORTADORA_004</t>
        </is>
      </c>
      <c r="W347" t="inlineStr">
        <is>
          <t>CALI|TRANSPORTADORA_001</t>
        </is>
      </c>
      <c r="X347" s="26">
        <f>IF(T347="entrada",M347+U347,IF(T347="salida",M347-U347,M347))</f>
        <v>256570177</v>
      </c>
      <c r="Y347" s="26" t="n">
        <v>0</v>
      </c>
      <c r="Z347" t="inlineStr">
        <is>
          <t>Menor costo neto entre las alternativas que cubren la necesidad completa</t>
        </is>
      </c>
      <c r="AA347" t="inlineStr">
        <is>
          <t>SUP-08, SUP-10</t>
        </is>
      </c>
      <c r="AB347" t="inlineStr">
        <is>
          <t>Excedente de $1.420.177 en la denominacion 20000: saldo $258.010.177 sobre el maximo $256.590.000. Elegida: traslado con CALI|TRANSPORTADORA_001 ($1.440.000; costo $0). Es preferible porque tiene el menor costo neto. Otras alternativas: traslado con CALI|TRANSPORTADORA_002 ($1.440.000; costo $0); traslado con CALI|TRANSPORTADORA_003 ($1.440.000; costo $0); conservar ($1.440.000; costo de almacenar $166); venta: dia no habil (sabado, domingo o festivo; RN-71A); consignacion BanRep: dia no habil (sabado, domingo o festivo; RN-71A); traslado hacia 1 fondo(s) con espacio: ruta sin tarifa en el Anexo E (prohibida).</t>
        </is>
      </c>
      <c r="AC347" t="inlineStr">
        <is>
          <t>Cierre del dia anterior (saldo encadenado, RN-71)</t>
        </is>
      </c>
      <c r="AD347" t="inlineStr">
        <is>
          <t>estimada</t>
        </is>
      </c>
      <c r="AE347" t="inlineStr">
        <is>
          <t>Participacion historica por denominacion (SUP-09)</t>
        </is>
      </c>
    </row>
    <row r="348">
      <c r="A348" t="inlineStr">
        <is>
          <t>PRAGMA</t>
        </is>
      </c>
      <c r="B348" t="inlineStr">
        <is>
          <t>CALI|TRANSPORTADORA_004</t>
        </is>
      </c>
      <c r="C348" t="inlineStr">
        <is>
          <t>Cali</t>
        </is>
      </c>
      <c r="D348" t="inlineStr">
        <is>
          <t>TRANSPORTADORA_004</t>
        </is>
      </c>
      <c r="E348" s="23" t="n">
        <v>46265</v>
      </c>
      <c r="F348" s="23" t="n">
        <v>46271</v>
      </c>
      <c r="G348" t="inlineStr">
        <is>
          <t>No</t>
        </is>
      </c>
      <c r="H348" s="25" t="n">
        <v>20000</v>
      </c>
      <c r="I348" s="26" t="n">
        <v>256570177</v>
      </c>
      <c r="J348" s="26" t="n">
        <v>2204855</v>
      </c>
      <c r="K348" s="26" t="n">
        <v>0</v>
      </c>
      <c r="L348" s="26">
        <f>J348-K348</f>
        <v>2204855</v>
      </c>
      <c r="M348" s="26">
        <f>I348+L348</f>
        <v>258775032</v>
      </c>
      <c r="N348" s="26" t="n">
        <v>5680000</v>
      </c>
      <c r="O348" s="26" t="n">
        <v>256590000</v>
      </c>
      <c r="P348" s="26">
        <f>MAX(0,N348-M348)</f>
        <v>0</v>
      </c>
      <c r="Q348" s="26">
        <f>MAX(0,M348-O348)</f>
        <v>2185032</v>
      </c>
      <c r="R348" t="inlineStr">
        <is>
          <t>bajo</t>
        </is>
      </c>
      <c r="S348" t="inlineStr">
        <is>
          <t>traslado_fondos</t>
        </is>
      </c>
      <c r="T348" t="inlineStr">
        <is>
          <t>salida</t>
        </is>
      </c>
      <c r="U348" s="26" t="n">
        <v>2200000</v>
      </c>
      <c r="V348" t="inlineStr">
        <is>
          <t>CALI|TRANSPORTADORA_004</t>
        </is>
      </c>
      <c r="W348" t="inlineStr">
        <is>
          <t>CALI|TRANSPORTADORA_001</t>
        </is>
      </c>
      <c r="X348" s="26">
        <f>IF(T348="entrada",M348+U348,IF(T348="salida",M348-U348,M348))</f>
        <v>256575032</v>
      </c>
      <c r="Y348" s="26" t="n">
        <v>0</v>
      </c>
      <c r="Z348" t="inlineStr">
        <is>
          <t>Menor costo neto entre las alternativas que cubren la necesidad completa</t>
        </is>
      </c>
      <c r="AA348" t="inlineStr">
        <is>
          <t>SUP-08, SUP-10</t>
        </is>
      </c>
      <c r="AB348" t="inlineStr">
        <is>
          <t>Excedente de $2.185.032 en la denominacion 20000: saldo $258.775.032 sobre el maximo $256.590.000. Elegida: traslado con CALI|TRANSPORTADORA_001 ($2.200.000; costo $0). Es preferible porque tiene el menor costo neto. Otras alternativas: traslado con CALI|TRANSPORTADORA_002 ($2.200.000; costo $0); traslado con CALI|TRANSPORTADORA_003 ($2.200.000; costo $0); conservar ($2.200.000; costo de almacenar $231); venta: dia no habil (sabado, domingo o festivo; RN-71A); consignacion BanRep: dia no habil (sabado, domingo o festivo; RN-71A); traslado hacia 1 fondo(s) con espacio: ruta sin tarifa en el Anexo E (prohibida).</t>
        </is>
      </c>
      <c r="AC348" t="inlineStr">
        <is>
          <t>Cierre del dia anterior (saldo encadenado, RN-71)</t>
        </is>
      </c>
      <c r="AD348" t="inlineStr">
        <is>
          <t>estimada</t>
        </is>
      </c>
      <c r="AE348" t="inlineStr">
        <is>
          <t>Participacion historica por denominacion (SUP-09)</t>
        </is>
      </c>
    </row>
    <row r="349">
      <c r="A349" t="inlineStr">
        <is>
          <t>PRAGMA</t>
        </is>
      </c>
      <c r="B349" t="inlineStr">
        <is>
          <t>CALI|TRANSPORTADORA_004</t>
        </is>
      </c>
      <c r="C349" t="inlineStr">
        <is>
          <t>Cali</t>
        </is>
      </c>
      <c r="D349" t="inlineStr">
        <is>
          <t>TRANSPORTADORA_004</t>
        </is>
      </c>
      <c r="E349" s="23" t="n">
        <v>46265</v>
      </c>
      <c r="F349" s="23" t="n">
        <v>46272</v>
      </c>
      <c r="G349" t="inlineStr">
        <is>
          <t>Sí</t>
        </is>
      </c>
      <c r="H349" s="25" t="n">
        <v>20000</v>
      </c>
      <c r="I349" s="26" t="n">
        <v>256575032</v>
      </c>
      <c r="J349" s="26" t="n">
        <v>9080387</v>
      </c>
      <c r="K349" s="26" t="n">
        <v>0</v>
      </c>
      <c r="L349" s="26">
        <f>J349-K349</f>
        <v>9080387</v>
      </c>
      <c r="M349" s="26">
        <f>I349+L349</f>
        <v>265655419</v>
      </c>
      <c r="N349" s="26" t="n">
        <v>5680000</v>
      </c>
      <c r="O349" s="26" t="n">
        <v>256590000</v>
      </c>
      <c r="P349" s="26">
        <f>MAX(0,N349-M349)</f>
        <v>0</v>
      </c>
      <c r="Q349" s="26">
        <f>MAX(0,M349-O349)</f>
        <v>9065419</v>
      </c>
      <c r="R349" t="inlineStr">
        <is>
          <t>bajo</t>
        </is>
      </c>
      <c r="S349" t="inlineStr">
        <is>
          <t>traslado_fondos</t>
        </is>
      </c>
      <c r="T349" t="inlineStr">
        <is>
          <t>salida</t>
        </is>
      </c>
      <c r="U349" s="26" t="n">
        <v>9080000</v>
      </c>
      <c r="V349" t="inlineStr">
        <is>
          <t>CALI|TRANSPORTADORA_004</t>
        </is>
      </c>
      <c r="W349" t="inlineStr">
        <is>
          <t>CALI|TRANSPORTADORA_001</t>
        </is>
      </c>
      <c r="X349" s="26">
        <f>IF(T349="entrada",M349+U349,IF(T349="salida",M349-U349,M349))</f>
        <v>256575419</v>
      </c>
      <c r="Y349" s="26" t="n">
        <v>0</v>
      </c>
      <c r="Z349" t="inlineStr">
        <is>
          <t>Menor costo neto entre las alternativas que cubren la necesidad completa</t>
        </is>
      </c>
      <c r="AA349" t="inlineStr">
        <is>
          <t>SUP-08, SUP-10</t>
        </is>
      </c>
      <c r="AB349" t="inlineStr">
        <is>
          <t>Excedente de $9.065.419 en la denominacion 20000: saldo $265.655.419 sobre el maximo $256.590.000. Elegida: traslado con CALI|TRANSPORTADORA_001 ($9.080.000; costo $0). Es preferible porque tiene el menor costo neto. Otras alternativas: traslado con CALI|TRANSPORTADORA_003 ($9.080.000; costo $0); conservar ($9.080.000; costo de almacenar $859); consignacion BanRep ($9.080.000; costo $123.243); venta: no habilitada en este fondo (sin historico o fuera de las ciudades BanRep); traslado hacia 1 fondo(s) con espacio: ruta sin tarifa en el Anexo E (prohibida).</t>
        </is>
      </c>
      <c r="AC349" t="inlineStr">
        <is>
          <t>Cierre del dia anterior (saldo encadenado, RN-71)</t>
        </is>
      </c>
      <c r="AD349" t="inlineStr">
        <is>
          <t>estimada</t>
        </is>
      </c>
      <c r="AE349" t="inlineStr">
        <is>
          <t>Participacion historica por denominacion (SUP-09)</t>
        </is>
      </c>
    </row>
    <row r="350">
      <c r="A350" t="inlineStr">
        <is>
          <t>PRAGMA</t>
        </is>
      </c>
      <c r="B350" t="inlineStr">
        <is>
          <t>CALI|TRANSPORTADORA_004</t>
        </is>
      </c>
      <c r="C350" t="inlineStr">
        <is>
          <t>Cali</t>
        </is>
      </c>
      <c r="D350" t="inlineStr">
        <is>
          <t>TRANSPORTADORA_004</t>
        </is>
      </c>
      <c r="E350" s="23" t="n">
        <v>46265</v>
      </c>
      <c r="F350" s="23" t="n">
        <v>46273</v>
      </c>
      <c r="G350" t="inlineStr">
        <is>
          <t>Sí</t>
        </is>
      </c>
      <c r="H350" s="25" t="n">
        <v>20000</v>
      </c>
      <c r="I350" s="26" t="n">
        <v>256575419</v>
      </c>
      <c r="J350" s="26" t="n">
        <v>5687332</v>
      </c>
      <c r="K350" s="26" t="n">
        <v>0</v>
      </c>
      <c r="L350" s="26">
        <f>J350-K350</f>
        <v>5687332</v>
      </c>
      <c r="M350" s="26">
        <f>I350+L350</f>
        <v>262262751</v>
      </c>
      <c r="N350" s="26" t="n">
        <v>5680000</v>
      </c>
      <c r="O350" s="26" t="n">
        <v>256590000</v>
      </c>
      <c r="P350" s="26">
        <f>MAX(0,N350-M350)</f>
        <v>0</v>
      </c>
      <c r="Q350" s="26">
        <f>MAX(0,M350-O350)</f>
        <v>5672751</v>
      </c>
      <c r="R350" t="inlineStr">
        <is>
          <t>bajo</t>
        </is>
      </c>
      <c r="S350" t="inlineStr">
        <is>
          <t>traslado_fondos</t>
        </is>
      </c>
      <c r="T350" t="inlineStr">
        <is>
          <t>salida</t>
        </is>
      </c>
      <c r="U350" s="26" t="n">
        <v>5680000</v>
      </c>
      <c r="V350" t="inlineStr">
        <is>
          <t>CALI|TRANSPORTADORA_004</t>
        </is>
      </c>
      <c r="W350" t="inlineStr">
        <is>
          <t>CALI|TRANSPORTADORA_003</t>
        </is>
      </c>
      <c r="X350" s="26">
        <f>IF(T350="entrada",M350+U350,IF(T350="salida",M350-U350,M350))</f>
        <v>256582751</v>
      </c>
      <c r="Y350" s="26" t="n">
        <v>0</v>
      </c>
      <c r="Z350" t="inlineStr">
        <is>
          <t>Menor costo neto entre las alternativas que cubren la necesidad completa</t>
        </is>
      </c>
      <c r="AA350" t="inlineStr">
        <is>
          <t>SUP-08, SUP-10</t>
        </is>
      </c>
      <c r="AB350" t="inlineStr">
        <is>
          <t>Excedente de $5.672.751 en la denominacion 20000: saldo $262.262.751 sobre el maximo $256.590.000. Elegida: traslado con CALI|TRANSPORTADORA_003 ($5.680.000; costo $0). Es preferible porque tiene el menor costo neto. Otras alternativas: conservar ($5.680.000; costo de almacenar $478); consignacion BanRep ($5.680.000; costo $122.315); venta: no habilitada en este fondo (sin historico o fuera de las ciudades BanRep); traslado hacia 1 fondo(s) con espacio: ruta sin tarifa en el Anexo E (prohibida).</t>
        </is>
      </c>
      <c r="AC350" t="inlineStr">
        <is>
          <t>Cierre del dia anterior (saldo encadenado, RN-71)</t>
        </is>
      </c>
      <c r="AD350" t="inlineStr">
        <is>
          <t>estimada</t>
        </is>
      </c>
      <c r="AE350" t="inlineStr">
        <is>
          <t>Participacion historica por denominacion (SUP-09)</t>
        </is>
      </c>
    </row>
    <row r="351">
      <c r="A351" t="inlineStr">
        <is>
          <t>PRAGMA</t>
        </is>
      </c>
      <c r="B351" t="inlineStr">
        <is>
          <t>CALI|TRANSPORTADORA_004</t>
        </is>
      </c>
      <c r="C351" t="inlineStr">
        <is>
          <t>Cali</t>
        </is>
      </c>
      <c r="D351" t="inlineStr">
        <is>
          <t>TRANSPORTADORA_004</t>
        </is>
      </c>
      <c r="E351" s="23" t="n">
        <v>46265</v>
      </c>
      <c r="F351" s="23" t="n">
        <v>46274</v>
      </c>
      <c r="G351" t="inlineStr">
        <is>
          <t>Sí</t>
        </is>
      </c>
      <c r="H351" s="25" t="n">
        <v>20000</v>
      </c>
      <c r="I351" s="26" t="n">
        <v>256582751</v>
      </c>
      <c r="J351" s="26" t="n">
        <v>5344155</v>
      </c>
      <c r="K351" s="26" t="n">
        <v>0</v>
      </c>
      <c r="L351" s="26">
        <f>J351-K351</f>
        <v>5344155</v>
      </c>
      <c r="M351" s="26">
        <f>I351+L351</f>
        <v>261926906</v>
      </c>
      <c r="N351" s="26" t="n">
        <v>5680000</v>
      </c>
      <c r="O351" s="26" t="n">
        <v>256590000</v>
      </c>
      <c r="P351" s="26">
        <f>MAX(0,N351-M351)</f>
        <v>0</v>
      </c>
      <c r="Q351" s="26">
        <f>MAX(0,M351-O351)</f>
        <v>5336906</v>
      </c>
      <c r="R351" t="inlineStr">
        <is>
          <t>bajo</t>
        </is>
      </c>
      <c r="S351" t="inlineStr">
        <is>
          <t>traslado_fondos</t>
        </is>
      </c>
      <c r="T351" t="inlineStr">
        <is>
          <t>salida</t>
        </is>
      </c>
      <c r="U351" s="26" t="n">
        <v>5340000</v>
      </c>
      <c r="V351" t="inlineStr">
        <is>
          <t>CALI|TRANSPORTADORA_004</t>
        </is>
      </c>
      <c r="W351" t="inlineStr">
        <is>
          <t>CALI|TRANSPORTADORA_003</t>
        </is>
      </c>
      <c r="X351" s="26">
        <f>IF(T351="entrada",M351+U351,IF(T351="salida",M351-U351,M351))</f>
        <v>256586906</v>
      </c>
      <c r="Y351" s="26" t="n">
        <v>0</v>
      </c>
      <c r="Z351" t="inlineStr">
        <is>
          <t>Menor costo neto entre las alternativas que cubren la necesidad completa</t>
        </is>
      </c>
      <c r="AA351" t="inlineStr">
        <is>
          <t>SUP-08, SUP-10</t>
        </is>
      </c>
      <c r="AB351" t="inlineStr">
        <is>
          <t>Excedente de $5.336.906 en la denominacion 20000: saldo $261.926.906 sobre el maximo $256.590.000. Elegida: traslado con CALI|TRANSPORTADORA_003 ($5.340.000; costo $0). Es preferible porque tiene el menor costo neto. Otras alternativas: conservar ($5.340.000; costo de almacenar $393); consignacion BanRep ($5.340.000; costo $122.222); venta: no habilitada en este fondo (sin historico o fuera de las ciudades BanRep); traslado hacia 1 fondo(s) con espacio: ruta sin tarifa en el Anexo E (prohibida).</t>
        </is>
      </c>
      <c r="AC351" t="inlineStr">
        <is>
          <t>Cierre del dia anterior (saldo encadenado, RN-71)</t>
        </is>
      </c>
      <c r="AD351" t="inlineStr">
        <is>
          <t>estimada</t>
        </is>
      </c>
      <c r="AE351" t="inlineStr">
        <is>
          <t>Participacion historica por denominacion (SUP-09)</t>
        </is>
      </c>
    </row>
    <row r="352">
      <c r="A352" t="inlineStr">
        <is>
          <t>PRAGMA</t>
        </is>
      </c>
      <c r="B352" t="inlineStr">
        <is>
          <t>CALI|TRANSPORTADORA_004</t>
        </is>
      </c>
      <c r="C352" t="inlineStr">
        <is>
          <t>Cali</t>
        </is>
      </c>
      <c r="D352" t="inlineStr">
        <is>
          <t>TRANSPORTADORA_004</t>
        </is>
      </c>
      <c r="E352" s="23" t="n">
        <v>46265</v>
      </c>
      <c r="F352" s="23" t="n">
        <v>46275</v>
      </c>
      <c r="G352" t="inlineStr">
        <is>
          <t>Sí</t>
        </is>
      </c>
      <c r="H352" s="25" t="n">
        <v>20000</v>
      </c>
      <c r="I352" s="26" t="n">
        <v>256586906</v>
      </c>
      <c r="J352" s="26" t="n">
        <v>4429210</v>
      </c>
      <c r="K352" s="26" t="n">
        <v>0</v>
      </c>
      <c r="L352" s="26">
        <f>J352-K352</f>
        <v>4429210</v>
      </c>
      <c r="M352" s="26">
        <f>I352+L352</f>
        <v>261016116</v>
      </c>
      <c r="N352" s="26" t="n">
        <v>5680000</v>
      </c>
      <c r="O352" s="26" t="n">
        <v>256590000</v>
      </c>
      <c r="P352" s="26">
        <f>MAX(0,N352-M352)</f>
        <v>0</v>
      </c>
      <c r="Q352" s="26">
        <f>MAX(0,M352-O352)</f>
        <v>4426116</v>
      </c>
      <c r="R352" t="inlineStr">
        <is>
          <t>bajo</t>
        </is>
      </c>
      <c r="S352" t="inlineStr">
        <is>
          <t>traslado_fondos</t>
        </is>
      </c>
      <c r="T352" t="inlineStr">
        <is>
          <t>salida</t>
        </is>
      </c>
      <c r="U352" s="26" t="n">
        <v>4440000</v>
      </c>
      <c r="V352" t="inlineStr">
        <is>
          <t>CALI|TRANSPORTADORA_004</t>
        </is>
      </c>
      <c r="W352" t="inlineStr">
        <is>
          <t>CALI|TRANSPORTADORA_003</t>
        </is>
      </c>
      <c r="X352" s="26">
        <f>IF(T352="entrada",M352+U352,IF(T352="salida",M352-U352,M352))</f>
        <v>256576116</v>
      </c>
      <c r="Y352" s="26" t="n">
        <v>0</v>
      </c>
      <c r="Z352" t="inlineStr">
        <is>
          <t>Menor costo neto entre las alternativas que cubren la necesidad completa</t>
        </is>
      </c>
      <c r="AA352" t="inlineStr">
        <is>
          <t>SUP-08, SUP-10</t>
        </is>
      </c>
      <c r="AB352" t="inlineStr">
        <is>
          <t>Excedente de $4.426.116 en la denominacion 20000: saldo $261.016.116 sobre el maximo $256.590.000. Elegida: traslado con CALI|TRANSPORTADORA_003 ($4.440.000; costo $0). Es preferible porque tiene el menor costo neto. Otras alternativas: conservar ($4.440.000; costo de almacenar $280); consignacion BanRep ($4.440.000; costo $121.976); venta: no habilitada en este fondo (sin historico o fuera de las ciudades BanRep); traslado hacia 1 fondo(s) con espacio: ruta sin tarifa en el Anexo E (prohibida).</t>
        </is>
      </c>
      <c r="AC352" t="inlineStr">
        <is>
          <t>Cierre del dia anterior (saldo encadenado, RN-71)</t>
        </is>
      </c>
      <c r="AD352" t="inlineStr">
        <is>
          <t>estimada</t>
        </is>
      </c>
      <c r="AE352" t="inlineStr">
        <is>
          <t>Participacion historica por denominacion (SUP-09)</t>
        </is>
      </c>
    </row>
    <row r="353">
      <c r="A353" t="inlineStr">
        <is>
          <t>PRAGMA</t>
        </is>
      </c>
      <c r="B353" t="inlineStr">
        <is>
          <t>CALI|TRANSPORTADORA_004</t>
        </is>
      </c>
      <c r="C353" t="inlineStr">
        <is>
          <t>Cali</t>
        </is>
      </c>
      <c r="D353" t="inlineStr">
        <is>
          <t>TRANSPORTADORA_004</t>
        </is>
      </c>
      <c r="E353" s="23" t="n">
        <v>46265</v>
      </c>
      <c r="F353" s="23" t="n">
        <v>46276</v>
      </c>
      <c r="G353" t="inlineStr">
        <is>
          <t>Sí</t>
        </is>
      </c>
      <c r="H353" s="25" t="n">
        <v>20000</v>
      </c>
      <c r="I353" s="26" t="n">
        <v>256576116</v>
      </c>
      <c r="J353" s="26" t="n">
        <v>3445075</v>
      </c>
      <c r="K353" s="26" t="n">
        <v>0</v>
      </c>
      <c r="L353" s="26">
        <f>J353-K353</f>
        <v>3445075</v>
      </c>
      <c r="M353" s="26">
        <f>I353+L353</f>
        <v>260021191</v>
      </c>
      <c r="N353" s="26" t="n">
        <v>5680000</v>
      </c>
      <c r="O353" s="26" t="n">
        <v>256590000</v>
      </c>
      <c r="P353" s="26">
        <f>MAX(0,N353-M353)</f>
        <v>0</v>
      </c>
      <c r="Q353" s="26">
        <f>MAX(0,M353-O353)</f>
        <v>3431191</v>
      </c>
      <c r="R353" t="inlineStr">
        <is>
          <t>bajo</t>
        </is>
      </c>
      <c r="S353" t="inlineStr">
        <is>
          <t>traslado_fondos</t>
        </is>
      </c>
      <c r="T353" t="inlineStr">
        <is>
          <t>salida</t>
        </is>
      </c>
      <c r="U353" s="26" t="n">
        <v>3440000</v>
      </c>
      <c r="V353" t="inlineStr">
        <is>
          <t>CALI|TRANSPORTADORA_004</t>
        </is>
      </c>
      <c r="W353" t="inlineStr">
        <is>
          <t>CALI|TRANSPORTADORA_003</t>
        </is>
      </c>
      <c r="X353" s="26">
        <f>IF(T353="entrada",M353+U353,IF(T353="salida",M353-U353,M353))</f>
        <v>256581191</v>
      </c>
      <c r="Y353" s="26" t="n">
        <v>0</v>
      </c>
      <c r="Z353" t="inlineStr">
        <is>
          <t>Menor costo neto entre las alternativas que cubren la necesidad completa</t>
        </is>
      </c>
      <c r="AA353" t="inlineStr">
        <is>
          <t>SUP-08, SUP-10</t>
        </is>
      </c>
      <c r="AB353" t="inlineStr">
        <is>
          <t>Excedente de $3.431.191 en la denominacion 20000: saldo $260.021.191 sobre el maximo $256.590.000. Elegida: traslado con CALI|TRANSPORTADORA_003 ($3.440.000; costo $0). Es preferible porque tiene el menor costo neto. Otras alternativas: conservar ($3.440.000; costo de almacenar $181); consignacion BanRep ($3.440.000; costo $121.703); venta: no habilitada en este fondo (sin historico o fuera de las ciudades BanRep).</t>
        </is>
      </c>
      <c r="AC353" t="inlineStr">
        <is>
          <t>Cierre del dia anterior (saldo encadenado, RN-71)</t>
        </is>
      </c>
      <c r="AD353" t="inlineStr">
        <is>
          <t>estimada</t>
        </is>
      </c>
      <c r="AE353" t="inlineStr">
        <is>
          <t>Participacion historica por denominacion (SUP-09)</t>
        </is>
      </c>
    </row>
    <row r="354">
      <c r="A354" t="inlineStr">
        <is>
          <t>PRAGMA</t>
        </is>
      </c>
      <c r="B354" t="inlineStr">
        <is>
          <t>CALI|TRANSPORTADORA_004</t>
        </is>
      </c>
      <c r="C354" t="inlineStr">
        <is>
          <t>Cali</t>
        </is>
      </c>
      <c r="D354" t="inlineStr">
        <is>
          <t>TRANSPORTADORA_004</t>
        </is>
      </c>
      <c r="E354" s="23" t="n">
        <v>46265</v>
      </c>
      <c r="F354" s="23" t="n">
        <v>46277</v>
      </c>
      <c r="G354" t="inlineStr">
        <is>
          <t>No</t>
        </is>
      </c>
      <c r="H354" s="25" t="n">
        <v>20000</v>
      </c>
      <c r="I354" s="26" t="n">
        <v>256581191</v>
      </c>
      <c r="J354" s="26" t="n">
        <v>1116413</v>
      </c>
      <c r="K354" s="26" t="n">
        <v>0</v>
      </c>
      <c r="L354" s="26">
        <f>J354-K354</f>
        <v>1116413</v>
      </c>
      <c r="M354" s="26">
        <f>I354+L354</f>
        <v>257697604</v>
      </c>
      <c r="N354" s="26" t="n">
        <v>5680000</v>
      </c>
      <c r="O354" s="26" t="n">
        <v>256590000</v>
      </c>
      <c r="P354" s="26">
        <f>MAX(0,N354-M354)</f>
        <v>0</v>
      </c>
      <c r="Q354" s="26">
        <f>MAX(0,M354-O354)</f>
        <v>1107604</v>
      </c>
      <c r="R354" t="inlineStr">
        <is>
          <t>bajo</t>
        </is>
      </c>
      <c r="S354" t="inlineStr">
        <is>
          <t>traslado_fondos</t>
        </is>
      </c>
      <c r="T354" t="inlineStr">
        <is>
          <t>salida</t>
        </is>
      </c>
      <c r="U354" s="26" t="n">
        <v>1120000</v>
      </c>
      <c r="V354" t="inlineStr">
        <is>
          <t>CALI|TRANSPORTADORA_004</t>
        </is>
      </c>
      <c r="W354" t="inlineStr">
        <is>
          <t>CALI|TRANSPORTADORA_001</t>
        </is>
      </c>
      <c r="X354" s="26">
        <f>IF(T354="entrada",M354+U354,IF(T354="salida",M354-U354,M354))</f>
        <v>256577604</v>
      </c>
      <c r="Y354" s="26" t="n">
        <v>0</v>
      </c>
      <c r="Z354" t="inlineStr">
        <is>
          <t>Menor costo neto entre las alternativas que cubren la necesidad completa</t>
        </is>
      </c>
      <c r="AA354" t="inlineStr">
        <is>
          <t>SUP-08, SUP-10</t>
        </is>
      </c>
      <c r="AB354" t="inlineStr">
        <is>
          <t>Excedente de $1.107.604 en la denominacion 20000: saldo $257.697.604 sobre el maximo $256.590.000. Elegida: traslado con CALI|TRANSPORTADORA_001 ($1.120.000; costo $0). Es preferible porque tiene el menor costo neto. Otras alternativas: traslado con CALI|TRANSPORTADORA_002 ($1.120.000; costo $0); traslado con CALI|TRANSPORTADORA_003 ($1.120.000; costo $0); conservar ($1.120.000; costo de almacenar $47); venta: dia no habil (sabado, domingo o festivo; RN-71A); consignacion BanRep: dia no habil (sabado, domingo o festivo; RN-71A); traslado hacia 1 fondo(s) con espacio: ruta sin tarifa en el Anexo E (prohibida).</t>
        </is>
      </c>
      <c r="AC354" t="inlineStr">
        <is>
          <t>Cierre del dia anterior (saldo encadenado, RN-71)</t>
        </is>
      </c>
      <c r="AD354" t="inlineStr">
        <is>
          <t>estimada</t>
        </is>
      </c>
      <c r="AE354" t="inlineStr">
        <is>
          <t>Participacion historica por denominacion (SUP-09)</t>
        </is>
      </c>
    </row>
    <row r="355">
      <c r="A355" t="inlineStr">
        <is>
          <t>PRAGMA</t>
        </is>
      </c>
      <c r="B355" t="inlineStr">
        <is>
          <t>CALI|TRANSPORTADORA_004</t>
        </is>
      </c>
      <c r="C355" t="inlineStr">
        <is>
          <t>Cali</t>
        </is>
      </c>
      <c r="D355" t="inlineStr">
        <is>
          <t>TRANSPORTADORA_004</t>
        </is>
      </c>
      <c r="E355" s="23" t="n">
        <v>46265</v>
      </c>
      <c r="F355" s="23" t="n">
        <v>46278</v>
      </c>
      <c r="G355" t="inlineStr">
        <is>
          <t>No</t>
        </is>
      </c>
      <c r="H355" s="25" t="n">
        <v>20000</v>
      </c>
      <c r="I355" s="26" t="n">
        <v>256577604</v>
      </c>
      <c r="J355" s="26" t="n">
        <v>1040883</v>
      </c>
      <c r="K355" s="26" t="n">
        <v>0</v>
      </c>
      <c r="L355" s="26">
        <f>J355-K355</f>
        <v>1040883</v>
      </c>
      <c r="M355" s="26">
        <f>I355+L355</f>
        <v>257618487</v>
      </c>
      <c r="N355" s="26" t="n">
        <v>5680000</v>
      </c>
      <c r="O355" s="26" t="n">
        <v>256590000</v>
      </c>
      <c r="P355" s="26">
        <f>MAX(0,N355-M355)</f>
        <v>0</v>
      </c>
      <c r="Q355" s="26">
        <f>MAX(0,M355-O355)</f>
        <v>1028487</v>
      </c>
      <c r="R355" t="inlineStr">
        <is>
          <t>bajo</t>
        </is>
      </c>
      <c r="S355" t="inlineStr">
        <is>
          <t>traslado_fondos</t>
        </is>
      </c>
      <c r="T355" t="inlineStr">
        <is>
          <t>salida</t>
        </is>
      </c>
      <c r="U355" s="26" t="n">
        <v>1040000</v>
      </c>
      <c r="V355" t="inlineStr">
        <is>
          <t>CALI|TRANSPORTADORA_004</t>
        </is>
      </c>
      <c r="W355" t="inlineStr">
        <is>
          <t>CALI|TRANSPORTADORA_001</t>
        </is>
      </c>
      <c r="X355" s="26">
        <f>IF(T355="entrada",M355+U355,IF(T355="salida",M355-U355,M355))</f>
        <v>256578487</v>
      </c>
      <c r="Y355" s="26" t="n">
        <v>0</v>
      </c>
      <c r="Z355" t="inlineStr">
        <is>
          <t>Menor costo neto entre las alternativas que cubren la necesidad completa</t>
        </is>
      </c>
      <c r="AA355" t="inlineStr">
        <is>
          <t>SUP-08, SUP-10</t>
        </is>
      </c>
      <c r="AB355" t="inlineStr">
        <is>
          <t>Excedente de $1.028.488 en la denominacion 20000: saldo $257.618.488 sobre el maximo $256.590.000. Elegida: traslado con CALI|TRANSPORTADORA_001 ($1.040.000; costo $0). Es preferible porque tiene el menor costo neto. Otras alternativas: traslado con CALI|TRANSPORTADORA_002 ($1.040.000; costo $0); traslado con CALI|TRANSPORTADORA_003 ($1.040.000; costo $0); conservar ($1.040.000; costo de almacenar $33); venta: dia no habil (sabado, domingo o festivo; RN-71A); consignacion BanRep: dia no habil (sabado, domingo o festivo; RN-71A); traslado hacia 1 fondo(s) con espacio: ruta sin tarifa en el Anexo E (prohibida).</t>
        </is>
      </c>
      <c r="AC355" t="inlineStr">
        <is>
          <t>Cierre del dia anterior (saldo encadenado, RN-71)</t>
        </is>
      </c>
      <c r="AD355" t="inlineStr">
        <is>
          <t>estimada</t>
        </is>
      </c>
      <c r="AE355" t="inlineStr">
        <is>
          <t>Participacion historica por denominacion (SUP-09)</t>
        </is>
      </c>
    </row>
    <row r="356">
      <c r="A356" t="inlineStr">
        <is>
          <t>PRAGMA</t>
        </is>
      </c>
      <c r="B356" t="inlineStr">
        <is>
          <t>CALI|TRANSPORTADORA_004</t>
        </is>
      </c>
      <c r="C356" t="inlineStr">
        <is>
          <t>Cali</t>
        </is>
      </c>
      <c r="D356" t="inlineStr">
        <is>
          <t>TRANSPORTADORA_004</t>
        </is>
      </c>
      <c r="E356" s="23" t="n">
        <v>46265</v>
      </c>
      <c r="F356" s="23" t="n">
        <v>46279</v>
      </c>
      <c r="G356" t="inlineStr">
        <is>
          <t>Sí</t>
        </is>
      </c>
      <c r="H356" s="25" t="n">
        <v>20000</v>
      </c>
      <c r="I356" s="26" t="n">
        <v>256578488</v>
      </c>
      <c r="J356" s="26" t="n">
        <v>6387484</v>
      </c>
      <c r="K356" s="26" t="n">
        <v>0</v>
      </c>
      <c r="L356" s="26">
        <f>J356-K356</f>
        <v>6387484</v>
      </c>
      <c r="M356" s="26">
        <f>I356+L356</f>
        <v>262965972</v>
      </c>
      <c r="N356" s="26" t="n">
        <v>5680000</v>
      </c>
      <c r="O356" s="26" t="n">
        <v>256590000</v>
      </c>
      <c r="P356" s="26">
        <f>MAX(0,N356-M356)</f>
        <v>0</v>
      </c>
      <c r="Q356" s="26">
        <f>MAX(0,M356-O356)</f>
        <v>6375972</v>
      </c>
      <c r="R356" t="inlineStr">
        <is>
          <t>bajo</t>
        </is>
      </c>
      <c r="S356" t="inlineStr">
        <is>
          <t>traslado_fondos</t>
        </is>
      </c>
      <c r="T356" t="inlineStr">
        <is>
          <t>salida</t>
        </is>
      </c>
      <c r="U356" s="26" t="n">
        <v>6380000</v>
      </c>
      <c r="V356" t="inlineStr">
        <is>
          <t>CALI|TRANSPORTADORA_004</t>
        </is>
      </c>
      <c r="W356" t="inlineStr">
        <is>
          <t>CALI|TRANSPORTADORA_003</t>
        </is>
      </c>
      <c r="X356" s="26">
        <f>IF(T356="entrada",M356+U356,IF(T356="salida",M356-U356,M356))</f>
        <v>256585972</v>
      </c>
      <c r="Y356" s="26" t="n">
        <v>0</v>
      </c>
      <c r="Z356" t="inlineStr">
        <is>
          <t>Menor costo neto entre las alternativas que cubren la necesidad completa</t>
        </is>
      </c>
      <c r="AA356" t="inlineStr">
        <is>
          <t>SUP-08, SUP-10</t>
        </is>
      </c>
      <c r="AB356" t="inlineStr">
        <is>
          <t>Excedente de $6.375.972 en la denominacion 20000: saldo $262.965.972 sobre el maximo $256.590.000. Elegida: traslado con CALI|TRANSPORTADORA_003 ($6.380.000; costo $0). Es preferible porque tiene el menor costo neto. Otras alternativas: conservar ($6.380.000; costo de almacenar $134); consignacion BanRep ($6.380.000; costo $122.506); venta: no habilitada en este fondo (sin historico o fuera de las ciudades BanRep).</t>
        </is>
      </c>
      <c r="AC356" t="inlineStr">
        <is>
          <t>Cierre del dia anterior (saldo encadenado, RN-71)</t>
        </is>
      </c>
      <c r="AD356" t="inlineStr">
        <is>
          <t>estimada</t>
        </is>
      </c>
      <c r="AE356" t="inlineStr">
        <is>
          <t>Participacion historica por denominacion (SUP-09)</t>
        </is>
      </c>
    </row>
    <row r="357">
      <c r="A357" t="inlineStr">
        <is>
          <t>PRAGMA</t>
        </is>
      </c>
      <c r="B357" t="inlineStr">
        <is>
          <t>CALI|TRANSPORTADORA_004</t>
        </is>
      </c>
      <c r="C357" t="inlineStr">
        <is>
          <t>Cali</t>
        </is>
      </c>
      <c r="D357" t="inlineStr">
        <is>
          <t>TRANSPORTADORA_004</t>
        </is>
      </c>
      <c r="E357" s="23" t="n">
        <v>46265</v>
      </c>
      <c r="F357" s="23" t="n">
        <v>46280</v>
      </c>
      <c r="G357" t="inlineStr">
        <is>
          <t>Sí</t>
        </is>
      </c>
      <c r="H357" s="25" t="n">
        <v>20000</v>
      </c>
      <c r="I357" s="26" t="n">
        <v>256585972</v>
      </c>
      <c r="J357" s="26" t="n">
        <v>4077377</v>
      </c>
      <c r="K357" s="26" t="n">
        <v>0</v>
      </c>
      <c r="L357" s="26">
        <f>J357-K357</f>
        <v>4077377</v>
      </c>
      <c r="M357" s="26">
        <f>I357+L357</f>
        <v>260663349</v>
      </c>
      <c r="N357" s="26" t="n">
        <v>5680000</v>
      </c>
      <c r="O357" s="26" t="n">
        <v>256590000</v>
      </c>
      <c r="P357" s="26">
        <f>MAX(0,N357-M357)</f>
        <v>0</v>
      </c>
      <c r="Q357" s="26">
        <f>MAX(0,M357-O357)</f>
        <v>4073349</v>
      </c>
      <c r="R357" t="inlineStr">
        <is>
          <t>bajo</t>
        </is>
      </c>
      <c r="S357" t="inlineStr">
        <is>
          <t>traslado_fondos</t>
        </is>
      </c>
      <c r="T357" t="inlineStr">
        <is>
          <t>salida</t>
        </is>
      </c>
      <c r="U357" s="26" t="n">
        <v>4080000</v>
      </c>
      <c r="V357" t="inlineStr">
        <is>
          <t>CALI|TRANSPORTADORA_004</t>
        </is>
      </c>
      <c r="W357" t="inlineStr">
        <is>
          <t>CALI|TRANSPORTADORA_003</t>
        </is>
      </c>
      <c r="X357" s="26">
        <f>IF(T357="entrada",M357+U357,IF(T357="salida",M357-U357,M357))</f>
        <v>256583349</v>
      </c>
      <c r="Y357" s="26" t="n">
        <v>0</v>
      </c>
      <c r="Z357" t="inlineStr">
        <is>
          <t>Menor costo neto entre las alternativas que cubren la necesidad completa</t>
        </is>
      </c>
      <c r="AA357" t="inlineStr">
        <is>
          <t>SUP-08, SUP-10</t>
        </is>
      </c>
      <c r="AB357" t="inlineStr">
        <is>
          <t>Excedente de $4.073.348 en la denominacion 20000: saldo $260.663.348 sobre el maximo $256.590.000. Elegida: traslado con CALI|TRANSPORTADORA_003 ($4.080.000; costo $0). Es preferible porque tiene el menor costo neto. Otras alternativas: conservar ($4.080.000; costo de almacenar $43); consignacion BanRep ($4.080.000; costo $121.878); venta: no habilitada en este fondo (sin historico o fuera de las ciudades BanRep).</t>
        </is>
      </c>
      <c r="AC357" t="inlineStr">
        <is>
          <t>Cierre del dia anterior (saldo encadenado, RN-71)</t>
        </is>
      </c>
      <c r="AD357" t="inlineStr">
        <is>
          <t>estimada</t>
        </is>
      </c>
      <c r="AE357" t="inlineStr">
        <is>
          <t>Participacion historica por denominacion (SUP-09)</t>
        </is>
      </c>
    </row>
    <row r="358">
      <c r="A358" t="inlineStr">
        <is>
          <t>PRAGMA</t>
        </is>
      </c>
      <c r="B358" t="inlineStr">
        <is>
          <t>CALI|TRANSPORTADORA_004</t>
        </is>
      </c>
      <c r="C358" t="inlineStr">
        <is>
          <t>Cali</t>
        </is>
      </c>
      <c r="D358" t="inlineStr">
        <is>
          <t>TRANSPORTADORA_004</t>
        </is>
      </c>
      <c r="E358" s="23" t="n">
        <v>46265</v>
      </c>
      <c r="F358" s="23" t="n">
        <v>46266</v>
      </c>
      <c r="G358" t="inlineStr">
        <is>
          <t>Sí</t>
        </is>
      </c>
      <c r="H358" s="25" t="n">
        <v>50000</v>
      </c>
      <c r="I358" s="26" t="n">
        <v>1983450000</v>
      </c>
      <c r="J358" s="26" t="n">
        <v>63492652</v>
      </c>
      <c r="K358" s="26" t="n">
        <v>0</v>
      </c>
      <c r="L358" s="26">
        <f>J358-K358</f>
        <v>63492652</v>
      </c>
      <c r="M358" s="26">
        <f>I358+L358</f>
        <v>2046942652</v>
      </c>
      <c r="N358" s="26" t="n">
        <v>145750000</v>
      </c>
      <c r="O358" s="26" t="n">
        <v>1878200000</v>
      </c>
      <c r="P358" s="26">
        <f>MAX(0,N358-M358)</f>
        <v>0</v>
      </c>
      <c r="Q358" s="26">
        <f>MAX(0,M358-O358)</f>
        <v>168742652</v>
      </c>
      <c r="R358" t="inlineStr">
        <is>
          <t>bajo</t>
        </is>
      </c>
      <c r="S358" t="inlineStr">
        <is>
          <t>traslado_fondos</t>
        </is>
      </c>
      <c r="T358" t="inlineStr">
        <is>
          <t>salida</t>
        </is>
      </c>
      <c r="U358" s="26" t="n">
        <v>168750000</v>
      </c>
      <c r="V358" t="inlineStr">
        <is>
          <t>CALI|TRANSPORTADORA_004</t>
        </is>
      </c>
      <c r="W358" t="inlineStr">
        <is>
          <t>CALI|TRANSPORTADORA_001</t>
        </is>
      </c>
      <c r="X358" s="26">
        <f>IF(T358="entrada",M358+U358,IF(T358="salida",M358-U358,M358))</f>
        <v>1878192652</v>
      </c>
      <c r="Y358" s="26" t="n">
        <v>0</v>
      </c>
      <c r="Z358" t="inlineStr">
        <is>
          <t>Menor costo neto entre las alternativas que cubren la necesidad completa</t>
        </is>
      </c>
      <c r="AA358" t="inlineStr">
        <is>
          <t>SUP-08, SUP-10</t>
        </is>
      </c>
      <c r="AB358" t="inlineStr">
        <is>
          <t>Excedente de $168.742.652 en la denominacion 50000: saldo $2.046.942.652 sobre el maximo $1.878.200.000. Elegida: traslado con CALI|TRANSPORTADORA_001 ($168.750.000; costo $0). Es preferible porque tiene el menor costo neto. Otras alternativas: traslado con CALI|TRANSPORTADORA_002 ($168.750.000; costo $0); traslado con CALI|TRANSPORTADORA_003 ($168.750.000; costo $0); conservar ($168.750.000; costo de almacenar $26.603); consignacion BanRep ($168.750.000; costo $166.833); venta: no habilitada en este fondo (sin historico o fuera de las ciudades BanRep); traslado hacia 2 fondo(s) con espacio: ruta sin tarifa en el Anexo E (prohibida).</t>
        </is>
      </c>
      <c r="AC358" t="inlineStr">
        <is>
          <t>Ultimo disponible al 31/08/2026 (SUP-07)</t>
        </is>
      </c>
      <c r="AD358" t="inlineStr">
        <is>
          <t>estimada</t>
        </is>
      </c>
      <c r="AE358" t="inlineStr">
        <is>
          <t>Participacion historica por denominacion (SUP-09)</t>
        </is>
      </c>
    </row>
    <row r="359">
      <c r="A359" t="inlineStr">
        <is>
          <t>PRAGMA</t>
        </is>
      </c>
      <c r="B359" t="inlineStr">
        <is>
          <t>CALI|TRANSPORTADORA_004</t>
        </is>
      </c>
      <c r="C359" t="inlineStr">
        <is>
          <t>Cali</t>
        </is>
      </c>
      <c r="D359" t="inlineStr">
        <is>
          <t>TRANSPORTADORA_004</t>
        </is>
      </c>
      <c r="E359" s="23" t="n">
        <v>46265</v>
      </c>
      <c r="F359" s="23" t="n">
        <v>46267</v>
      </c>
      <c r="G359" t="inlineStr">
        <is>
          <t>Sí</t>
        </is>
      </c>
      <c r="H359" s="25" t="n">
        <v>50000</v>
      </c>
      <c r="I359" s="26" t="n">
        <v>1878192652</v>
      </c>
      <c r="J359" s="26" t="n">
        <v>52060208</v>
      </c>
      <c r="K359" s="26" t="n">
        <v>0</v>
      </c>
      <c r="L359" s="26">
        <f>J359-K359</f>
        <v>52060208</v>
      </c>
      <c r="M359" s="26">
        <f>I359+L359</f>
        <v>1930252860</v>
      </c>
      <c r="N359" s="26" t="n">
        <v>145750000</v>
      </c>
      <c r="O359" s="26" t="n">
        <v>1878200000</v>
      </c>
      <c r="P359" s="26">
        <f>MAX(0,N359-M359)</f>
        <v>0</v>
      </c>
      <c r="Q359" s="26">
        <f>MAX(0,M359-O359)</f>
        <v>52052860</v>
      </c>
      <c r="R359" t="inlineStr">
        <is>
          <t>bajo</t>
        </is>
      </c>
      <c r="S359" t="inlineStr">
        <is>
          <t>traslado_fondos</t>
        </is>
      </c>
      <c r="T359" t="inlineStr">
        <is>
          <t>salida</t>
        </is>
      </c>
      <c r="U359" s="26" t="n">
        <v>52100000</v>
      </c>
      <c r="V359" t="inlineStr">
        <is>
          <t>CALI|TRANSPORTADORA_004</t>
        </is>
      </c>
      <c r="W359" t="inlineStr">
        <is>
          <t>CALI|TRANSPORTADORA_001</t>
        </is>
      </c>
      <c r="X359" s="26">
        <f>IF(T359="entrada",M359+U359,IF(T359="salida",M359-U359,M359))</f>
        <v>1878152860</v>
      </c>
      <c r="Y359" s="26" t="n">
        <v>0</v>
      </c>
      <c r="Z359" t="inlineStr">
        <is>
          <t>Menor costo neto entre las alternativas que cubren la necesidad completa</t>
        </is>
      </c>
      <c r="AA359" t="inlineStr">
        <is>
          <t>SUP-08, SUP-10</t>
        </is>
      </c>
      <c r="AB359" t="inlineStr">
        <is>
          <t>Excedente de $52.052.859 en la denominacion 50000: saldo $1.930.252.859 sobre el maximo $1.878.200.000. Elegida: traslado con CALI|TRANSPORTADORA_001 ($52.100.000; costo $0). Es preferible porque tiene el menor costo neto. Otras alternativas: traslado con CALI|TRANSPORTADORA_002 ($52.100.000; costo $0); traslado con CALI|TRANSPORTADORA_003 ($52.100.000; costo $0); conservar ($52.100.000; costo de almacenar $7.666); consignacion BanRep ($52.100.000; costo $134.987); venta: no habilitada en este fondo (sin historico o fuera de las ciudades BanRep); traslado hacia 1 fondo(s) con espacio: ruta sin tarifa en el Anexo E (prohibida).</t>
        </is>
      </c>
      <c r="AC359" t="inlineStr">
        <is>
          <t>Cierre del dia anterior (saldo encadenado, RN-71)</t>
        </is>
      </c>
      <c r="AD359" t="inlineStr">
        <is>
          <t>estimada</t>
        </is>
      </c>
      <c r="AE359" t="inlineStr">
        <is>
          <t>Participacion historica por denominacion (SUP-09)</t>
        </is>
      </c>
    </row>
    <row r="360">
      <c r="A360" t="inlineStr">
        <is>
          <t>PRAGMA</t>
        </is>
      </c>
      <c r="B360" t="inlineStr">
        <is>
          <t>CALI|TRANSPORTADORA_004</t>
        </is>
      </c>
      <c r="C360" t="inlineStr">
        <is>
          <t>Cali</t>
        </is>
      </c>
      <c r="D360" t="inlineStr">
        <is>
          <t>TRANSPORTADORA_004</t>
        </is>
      </c>
      <c r="E360" s="23" t="n">
        <v>46265</v>
      </c>
      <c r="F360" s="23" t="n">
        <v>46268</v>
      </c>
      <c r="G360" t="inlineStr">
        <is>
          <t>Sí</t>
        </is>
      </c>
      <c r="H360" s="25" t="n">
        <v>50000</v>
      </c>
      <c r="I360" s="26" t="n">
        <v>1878152859</v>
      </c>
      <c r="J360" s="26" t="n">
        <v>63458402</v>
      </c>
      <c r="K360" s="26" t="n">
        <v>0</v>
      </c>
      <c r="L360" s="26">
        <f>J360-K360</f>
        <v>63458402</v>
      </c>
      <c r="M360" s="26">
        <f>I360+L360</f>
        <v>1941611261</v>
      </c>
      <c r="N360" s="26" t="n">
        <v>145750000</v>
      </c>
      <c r="O360" s="26" t="n">
        <v>1878200000</v>
      </c>
      <c r="P360" s="26">
        <f>MAX(0,N360-M360)</f>
        <v>0</v>
      </c>
      <c r="Q360" s="26">
        <f>MAX(0,M360-O360)</f>
        <v>63411261</v>
      </c>
      <c r="R360" t="inlineStr">
        <is>
          <t>bajo</t>
        </is>
      </c>
      <c r="S360" t="inlineStr">
        <is>
          <t>traslado_fondos</t>
        </is>
      </c>
      <c r="T360" t="inlineStr">
        <is>
          <t>salida</t>
        </is>
      </c>
      <c r="U360" s="26" t="n">
        <v>63450000</v>
      </c>
      <c r="V360" t="inlineStr">
        <is>
          <t>CALI|TRANSPORTADORA_004</t>
        </is>
      </c>
      <c r="W360" t="inlineStr">
        <is>
          <t>CALI|TRANSPORTADORA_001</t>
        </is>
      </c>
      <c r="X360" s="26">
        <f>IF(T360="entrada",M360+U360,IF(T360="salida",M360-U360,M360))</f>
        <v>1878161261</v>
      </c>
      <c r="Y360" s="26" t="n">
        <v>0</v>
      </c>
      <c r="Z360" t="inlineStr">
        <is>
          <t>Menor costo neto entre las alternativas que cubren la necesidad completa</t>
        </is>
      </c>
      <c r="AA360" t="inlineStr">
        <is>
          <t>SUP-08, SUP-10</t>
        </is>
      </c>
      <c r="AB360" t="inlineStr">
        <is>
          <t>Excedente de $63.411.262 en la denominacion 50000: saldo $1.941.611.262 sobre el maximo $1.878.200.000. Elegida: traslado con CALI|TRANSPORTADORA_001 ($63.450.000; costo $0). Es preferible porque tiene el menor costo neto. Otras alternativas: traslado con CALI|TRANSPORTADORA_002 ($63.450.000; costo $0); traslado con CALI|TRANSPORTADORA_003 ($63.450.000; costo $0); conservar ($63.450.000; costo de almacenar $8.669); consignacion BanRep ($63.450.000; costo $138.086); venta: no habilitada en este fondo (sin historico o fuera de las ciudades BanRep); traslado hacia 1 fondo(s) con espacio: ruta sin tarifa en el Anexo E (prohibida).</t>
        </is>
      </c>
      <c r="AC360" t="inlineStr">
        <is>
          <t>Cierre del dia anterior (saldo encadenado, RN-71)</t>
        </is>
      </c>
      <c r="AD360" t="inlineStr">
        <is>
          <t>estimada</t>
        </is>
      </c>
      <c r="AE360" t="inlineStr">
        <is>
          <t>Participacion historica por denominacion (SUP-09)</t>
        </is>
      </c>
    </row>
    <row r="361">
      <c r="A361" t="inlineStr">
        <is>
          <t>PRAGMA</t>
        </is>
      </c>
      <c r="B361" t="inlineStr">
        <is>
          <t>CALI|TRANSPORTADORA_004</t>
        </is>
      </c>
      <c r="C361" t="inlineStr">
        <is>
          <t>Cali</t>
        </is>
      </c>
      <c r="D361" t="inlineStr">
        <is>
          <t>TRANSPORTADORA_004</t>
        </is>
      </c>
      <c r="E361" s="23" t="n">
        <v>46265</v>
      </c>
      <c r="F361" s="23" t="n">
        <v>46269</v>
      </c>
      <c r="G361" t="inlineStr">
        <is>
          <t>Sí</t>
        </is>
      </c>
      <c r="H361" s="25" t="n">
        <v>50000</v>
      </c>
      <c r="I361" s="26" t="n">
        <v>1878161262</v>
      </c>
      <c r="J361" s="26" t="n">
        <v>76634463</v>
      </c>
      <c r="K361" s="26" t="n">
        <v>0</v>
      </c>
      <c r="L361" s="26">
        <f>J361-K361</f>
        <v>76634463</v>
      </c>
      <c r="M361" s="26">
        <f>I361+L361</f>
        <v>1954795725</v>
      </c>
      <c r="N361" s="26" t="n">
        <v>145750000</v>
      </c>
      <c r="O361" s="26" t="n">
        <v>1878200000</v>
      </c>
      <c r="P361" s="26">
        <f>MAX(0,N361-M361)</f>
        <v>0</v>
      </c>
      <c r="Q361" s="26">
        <f>MAX(0,M361-O361)</f>
        <v>76595725</v>
      </c>
      <c r="R361" t="inlineStr">
        <is>
          <t>bajo</t>
        </is>
      </c>
      <c r="S361" t="inlineStr">
        <is>
          <t>traslado_fondos</t>
        </is>
      </c>
      <c r="T361" t="inlineStr">
        <is>
          <t>salida</t>
        </is>
      </c>
      <c r="U361" s="26" t="n">
        <v>76600000</v>
      </c>
      <c r="V361" t="inlineStr">
        <is>
          <t>CALI|TRANSPORTADORA_004</t>
        </is>
      </c>
      <c r="W361" t="inlineStr">
        <is>
          <t>CALI|TRANSPORTADORA_001</t>
        </is>
      </c>
      <c r="X361" s="26">
        <f>IF(T361="entrada",M361+U361,IF(T361="salida",M361-U361,M361))</f>
        <v>1878195725</v>
      </c>
      <c r="Y361" s="26" t="n">
        <v>0</v>
      </c>
      <c r="Z361" t="inlineStr">
        <is>
          <t>Menor costo neto entre las alternativas que cubren la necesidad completa</t>
        </is>
      </c>
      <c r="AA361" t="inlineStr">
        <is>
          <t>SUP-08, SUP-10</t>
        </is>
      </c>
      <c r="AB361" t="inlineStr">
        <is>
          <t>Excedente de $76.595.725 en la denominacion 50000: saldo $1.954.795.725 sobre el maximo $1.878.200.000. Elegida: traslado con CALI|TRANSPORTADORA_001 ($76.600.000; costo $0). Es preferible porque tiene el menor costo neto. Otras alternativas: traslado con CALI|TRANSPORTADORA_002 ($76.600.000; costo $0); traslado con CALI|TRANSPORTADORA_003 ($76.600.000; costo $0); conservar ($76.600.000; costo de almacenar $9.661); consignacion BanRep ($76.600.000; costo $141.676); venta: no habilitada en este fondo (sin historico o fuera de las ciudades BanRep); traslado hacia 1 fondo(s) con espacio: ruta sin tarifa en el Anexo E (prohibida).</t>
        </is>
      </c>
      <c r="AC361" t="inlineStr">
        <is>
          <t>Cierre del dia anterior (saldo encadenado, RN-71)</t>
        </is>
      </c>
      <c r="AD361" t="inlineStr">
        <is>
          <t>estimada</t>
        </is>
      </c>
      <c r="AE361" t="inlineStr">
        <is>
          <t>Participacion historica por denominacion (SUP-09)</t>
        </is>
      </c>
    </row>
    <row r="362">
      <c r="A362" t="inlineStr">
        <is>
          <t>PRAGMA</t>
        </is>
      </c>
      <c r="B362" t="inlineStr">
        <is>
          <t>CALI|TRANSPORTADORA_004</t>
        </is>
      </c>
      <c r="C362" t="inlineStr">
        <is>
          <t>Cali</t>
        </is>
      </c>
      <c r="D362" t="inlineStr">
        <is>
          <t>TRANSPORTADORA_004</t>
        </is>
      </c>
      <c r="E362" s="23" t="n">
        <v>46265</v>
      </c>
      <c r="F362" s="23" t="n">
        <v>46270</v>
      </c>
      <c r="G362" t="inlineStr">
        <is>
          <t>No</t>
        </is>
      </c>
      <c r="H362" s="25" t="n">
        <v>50000</v>
      </c>
      <c r="I362" s="26" t="n">
        <v>1878195725</v>
      </c>
      <c r="J362" s="26" t="n">
        <v>16188743</v>
      </c>
      <c r="K362" s="26" t="n">
        <v>0</v>
      </c>
      <c r="L362" s="26">
        <f>J362-K362</f>
        <v>16188743</v>
      </c>
      <c r="M362" s="26">
        <f>I362+L362</f>
        <v>1894384468</v>
      </c>
      <c r="N362" s="26" t="n">
        <v>145750000</v>
      </c>
      <c r="O362" s="26" t="n">
        <v>1878200000</v>
      </c>
      <c r="P362" s="26">
        <f>MAX(0,N362-M362)</f>
        <v>0</v>
      </c>
      <c r="Q362" s="26">
        <f>MAX(0,M362-O362)</f>
        <v>16184468</v>
      </c>
      <c r="R362" t="inlineStr">
        <is>
          <t>bajo</t>
        </is>
      </c>
      <c r="S362" t="inlineStr">
        <is>
          <t>traslado_fondos</t>
        </is>
      </c>
      <c r="T362" t="inlineStr">
        <is>
          <t>salida</t>
        </is>
      </c>
      <c r="U362" s="26" t="n">
        <v>16200000</v>
      </c>
      <c r="V362" t="inlineStr">
        <is>
          <t>CALI|TRANSPORTADORA_004</t>
        </is>
      </c>
      <c r="W362" t="inlineStr">
        <is>
          <t>CALI|TRANSPORTADORA_001</t>
        </is>
      </c>
      <c r="X362" s="26">
        <f>IF(T362="entrada",M362+U362,IF(T362="salida",M362-U362,M362))</f>
        <v>1878184468</v>
      </c>
      <c r="Y362" s="26" t="n">
        <v>0</v>
      </c>
      <c r="Z362" t="inlineStr">
        <is>
          <t>Menor costo neto entre las alternativas que cubren la necesidad completa</t>
        </is>
      </c>
      <c r="AA362" t="inlineStr">
        <is>
          <t>SUP-08, SUP-10</t>
        </is>
      </c>
      <c r="AB362" t="inlineStr">
        <is>
          <t>Excedente de $16.184.468 en la denominacion 50000: saldo $1.894.384.468 sobre el maximo $1.878.200.000. Elegida: traslado con CALI|TRANSPORTADORA_001 ($16.200.000; costo $0). Es preferible porque tiene el menor costo neto. Otras alternativas: traslado con CALI|TRANSPORTADORA_002 ($16.200.000; costo $0); traslado con CALI|TRANSPORTADORA_003 ($16.200.000; costo $0); conservar ($16.200.000; costo de almacenar $1.873); venta: dia no habil (sabado, domingo o festivo; RN-71A); consignacion BanRep: dia no habil (sabado, domingo o festivo; RN-71A); traslado hacia 1 fondo(s) con espacio: ruta sin tarifa en el Anexo E (prohibida).</t>
        </is>
      </c>
      <c r="AC362" t="inlineStr">
        <is>
          <t>Cierre del dia anterior (saldo encadenado, RN-71)</t>
        </is>
      </c>
      <c r="AD362" t="inlineStr">
        <is>
          <t>estimada</t>
        </is>
      </c>
      <c r="AE362" t="inlineStr">
        <is>
          <t>Participacion historica por denominacion (SUP-09)</t>
        </is>
      </c>
    </row>
    <row r="363">
      <c r="A363" t="inlineStr">
        <is>
          <t>PRAGMA</t>
        </is>
      </c>
      <c r="B363" t="inlineStr">
        <is>
          <t>CALI|TRANSPORTADORA_004</t>
        </is>
      </c>
      <c r="C363" t="inlineStr">
        <is>
          <t>Cali</t>
        </is>
      </c>
      <c r="D363" t="inlineStr">
        <is>
          <t>TRANSPORTADORA_004</t>
        </is>
      </c>
      <c r="E363" s="23" t="n">
        <v>46265</v>
      </c>
      <c r="F363" s="23" t="n">
        <v>46271</v>
      </c>
      <c r="G363" t="inlineStr">
        <is>
          <t>No</t>
        </is>
      </c>
      <c r="H363" s="25" t="n">
        <v>50000</v>
      </c>
      <c r="I363" s="26" t="n">
        <v>1878184468</v>
      </c>
      <c r="J363" s="26" t="n">
        <v>24838430</v>
      </c>
      <c r="K363" s="26" t="n">
        <v>0</v>
      </c>
      <c r="L363" s="26">
        <f>J363-K363</f>
        <v>24838430</v>
      </c>
      <c r="M363" s="26">
        <f>I363+L363</f>
        <v>1903022898</v>
      </c>
      <c r="N363" s="26" t="n">
        <v>145750000</v>
      </c>
      <c r="O363" s="26" t="n">
        <v>1878200000</v>
      </c>
      <c r="P363" s="26">
        <f>MAX(0,N363-M363)</f>
        <v>0</v>
      </c>
      <c r="Q363" s="26">
        <f>MAX(0,M363-O363)</f>
        <v>24822898</v>
      </c>
      <c r="R363" t="inlineStr">
        <is>
          <t>bajo</t>
        </is>
      </c>
      <c r="S363" t="inlineStr">
        <is>
          <t>traslado_fondos</t>
        </is>
      </c>
      <c r="T363" t="inlineStr">
        <is>
          <t>salida</t>
        </is>
      </c>
      <c r="U363" s="26" t="n">
        <v>24850000</v>
      </c>
      <c r="V363" t="inlineStr">
        <is>
          <t>CALI|TRANSPORTADORA_004</t>
        </is>
      </c>
      <c r="W363" t="inlineStr">
        <is>
          <t>CALI|TRANSPORTADORA_001</t>
        </is>
      </c>
      <c r="X363" s="26">
        <f>IF(T363="entrada",M363+U363,IF(T363="salida",M363-U363,M363))</f>
        <v>1878172898</v>
      </c>
      <c r="Y363" s="26" t="n">
        <v>0</v>
      </c>
      <c r="Z363" t="inlineStr">
        <is>
          <t>Menor costo neto entre las alternativas que cubren la necesidad completa</t>
        </is>
      </c>
      <c r="AA363" t="inlineStr">
        <is>
          <t>SUP-08, SUP-10</t>
        </is>
      </c>
      <c r="AB363" t="inlineStr">
        <is>
          <t>Excedente de $24.822.898 en la denominacion 50000: saldo $1.903.022.898 sobre el maximo $1.878.200.000. Elegida: traslado con CALI|TRANSPORTADORA_001 ($24.850.000; costo $0). Es preferible porque tiene el menor costo neto. Otras alternativas: traslado con CALI|TRANSPORTADORA_002 ($24.850.000; costo $0); traslado con CALI|TRANSPORTADORA_003 ($24.850.000; costo $0); conservar ($24.850.000; costo de almacenar $2.612); venta: dia no habil (sabado, domingo o festivo; RN-71A); consignacion BanRep: dia no habil (sabado, domingo o festivo; RN-71A); traslado hacia 1 fondo(s) con espacio: ruta sin tarifa en el Anexo E (prohibida).</t>
        </is>
      </c>
      <c r="AC363" t="inlineStr">
        <is>
          <t>Cierre del dia anterior (saldo encadenado, RN-71)</t>
        </is>
      </c>
      <c r="AD363" t="inlineStr">
        <is>
          <t>estimada</t>
        </is>
      </c>
      <c r="AE363" t="inlineStr">
        <is>
          <t>Participacion historica por denominacion (SUP-09)</t>
        </is>
      </c>
    </row>
    <row r="364">
      <c r="A364" t="inlineStr">
        <is>
          <t>PRAGMA</t>
        </is>
      </c>
      <c r="B364" t="inlineStr">
        <is>
          <t>CALI|TRANSPORTADORA_004</t>
        </is>
      </c>
      <c r="C364" t="inlineStr">
        <is>
          <t>Cali</t>
        </is>
      </c>
      <c r="D364" t="inlineStr">
        <is>
          <t>TRANSPORTADORA_004</t>
        </is>
      </c>
      <c r="E364" s="23" t="n">
        <v>46265</v>
      </c>
      <c r="F364" s="23" t="n">
        <v>46272</v>
      </c>
      <c r="G364" t="inlineStr">
        <is>
          <t>Sí</t>
        </is>
      </c>
      <c r="H364" s="25" t="n">
        <v>50000</v>
      </c>
      <c r="I364" s="26" t="n">
        <v>1878172898</v>
      </c>
      <c r="J364" s="26" t="n">
        <v>102293579</v>
      </c>
      <c r="K364" s="26" t="n">
        <v>0</v>
      </c>
      <c r="L364" s="26">
        <f>J364-K364</f>
        <v>102293579</v>
      </c>
      <c r="M364" s="26">
        <f>I364+L364</f>
        <v>1980466477</v>
      </c>
      <c r="N364" s="26" t="n">
        <v>145750000</v>
      </c>
      <c r="O364" s="26" t="n">
        <v>1878200000</v>
      </c>
      <c r="P364" s="26">
        <f>MAX(0,N364-M364)</f>
        <v>0</v>
      </c>
      <c r="Q364" s="26">
        <f>MAX(0,M364-O364)</f>
        <v>102266477</v>
      </c>
      <c r="R364" t="inlineStr">
        <is>
          <t>bajo</t>
        </is>
      </c>
      <c r="S364" t="inlineStr">
        <is>
          <t>traslado_fondos</t>
        </is>
      </c>
      <c r="T364" t="inlineStr">
        <is>
          <t>salida</t>
        </is>
      </c>
      <c r="U364" s="26" t="n">
        <v>102300000</v>
      </c>
      <c r="V364" t="inlineStr">
        <is>
          <t>CALI|TRANSPORTADORA_004</t>
        </is>
      </c>
      <c r="W364" t="inlineStr">
        <is>
          <t>CALI|TRANSPORTADORA_003</t>
        </is>
      </c>
      <c r="X364" s="26">
        <f>IF(T364="entrada",M364+U364,IF(T364="salida",M364-U364,M364))</f>
        <v>1878166477</v>
      </c>
      <c r="Y364" s="26" t="n">
        <v>0</v>
      </c>
      <c r="Z364" t="inlineStr">
        <is>
          <t>Menor costo neto entre las alternativas que cubren la necesidad completa</t>
        </is>
      </c>
      <c r="AA364" t="inlineStr">
        <is>
          <t>SUP-08, SUP-10</t>
        </is>
      </c>
      <c r="AB364" t="inlineStr">
        <is>
          <t>Excedente de $102.266.477 en la denominacion 50000: saldo $1.980.466.477 sobre el maximo $1.878.200.000. Elegida: traslado con CALI|TRANSPORTADORA_003 ($102.300.000; costo $0). Es preferible porque tiene el menor costo neto. Otras alternativas: conservar ($102.300.000; costo de almacenar $9.677); consignacion BanRep ($102.300.000; costo $148.692); venta: no habilitada en este fondo (sin historico o fuera de las ciudades BanRep); traslado hacia 1 fondo(s) con espacio: ruta sin tarifa en el Anexo E (prohibida).</t>
        </is>
      </c>
      <c r="AC364" t="inlineStr">
        <is>
          <t>Cierre del dia anterior (saldo encadenado, RN-71)</t>
        </is>
      </c>
      <c r="AD364" t="inlineStr">
        <is>
          <t>estimada</t>
        </is>
      </c>
      <c r="AE364" t="inlineStr">
        <is>
          <t>Participacion historica por denominacion (SUP-09)</t>
        </is>
      </c>
    </row>
    <row r="365">
      <c r="A365" t="inlineStr">
        <is>
          <t>PRAGMA</t>
        </is>
      </c>
      <c r="B365" t="inlineStr">
        <is>
          <t>CALI|TRANSPORTADORA_004</t>
        </is>
      </c>
      <c r="C365" t="inlineStr">
        <is>
          <t>Cali</t>
        </is>
      </c>
      <c r="D365" t="inlineStr">
        <is>
          <t>TRANSPORTADORA_004</t>
        </is>
      </c>
      <c r="E365" s="23" t="n">
        <v>46265</v>
      </c>
      <c r="F365" s="23" t="n">
        <v>46273</v>
      </c>
      <c r="G365" t="inlineStr">
        <is>
          <t>Sí</t>
        </is>
      </c>
      <c r="H365" s="25" t="n">
        <v>50000</v>
      </c>
      <c r="I365" s="26" t="n">
        <v>1878166477</v>
      </c>
      <c r="J365" s="26" t="n">
        <v>64069689</v>
      </c>
      <c r="K365" s="26" t="n">
        <v>0</v>
      </c>
      <c r="L365" s="26">
        <f>J365-K365</f>
        <v>64069689</v>
      </c>
      <c r="M365" s="26">
        <f>I365+L365</f>
        <v>1942236166</v>
      </c>
      <c r="N365" s="26" t="n">
        <v>145750000</v>
      </c>
      <c r="O365" s="26" t="n">
        <v>1878200000</v>
      </c>
      <c r="P365" s="26">
        <f>MAX(0,N365-M365)</f>
        <v>0</v>
      </c>
      <c r="Q365" s="26">
        <f>MAX(0,M365-O365)</f>
        <v>64036166</v>
      </c>
      <c r="R365" t="inlineStr">
        <is>
          <t>bajo</t>
        </is>
      </c>
      <c r="S365" t="inlineStr">
        <is>
          <t>traslado_fondos</t>
        </is>
      </c>
      <c r="T365" t="inlineStr">
        <is>
          <t>salida</t>
        </is>
      </c>
      <c r="U365" s="26" t="n">
        <v>64050000</v>
      </c>
      <c r="V365" t="inlineStr">
        <is>
          <t>CALI|TRANSPORTADORA_004</t>
        </is>
      </c>
      <c r="W365" t="inlineStr">
        <is>
          <t>CALI|TRANSPORTADORA_003</t>
        </is>
      </c>
      <c r="X365" s="26">
        <f>IF(T365="entrada",M365+U365,IF(T365="salida",M365-U365,M365))</f>
        <v>1878186166</v>
      </c>
      <c r="Y365" s="26" t="n">
        <v>0</v>
      </c>
      <c r="Z365" t="inlineStr">
        <is>
          <t>Menor costo neto entre las alternativas que cubren la necesidad completa</t>
        </is>
      </c>
      <c r="AA365" t="inlineStr">
        <is>
          <t>SUP-08, SUP-10</t>
        </is>
      </c>
      <c r="AB365" t="inlineStr">
        <is>
          <t>Excedente de $64.036.166 en la denominacion 50000: saldo $1.942.236.166 sobre el maximo $1.878.200.000. Elegida: traslado con CALI|TRANSPORTADORA_003 ($64.050.000; costo $0). Es preferible porque tiene el menor costo neto. Otras alternativas: conservar ($64.050.000; costo de almacenar $5.385); consignacion BanRep ($64.050.000; costo $138.250); venta: no habilitada en este fondo (sin historico o fuera de las ciudades BanRep); traslado hacia 1 fondo(s) con espacio: ruta sin tarifa en el Anexo E (prohibida).</t>
        </is>
      </c>
      <c r="AC365" t="inlineStr">
        <is>
          <t>Cierre del dia anterior (saldo encadenado, RN-71)</t>
        </is>
      </c>
      <c r="AD365" t="inlineStr">
        <is>
          <t>estimada</t>
        </is>
      </c>
      <c r="AE365" t="inlineStr">
        <is>
          <t>Participacion historica por denominacion (SUP-09)</t>
        </is>
      </c>
    </row>
    <row r="366">
      <c r="A366" t="inlineStr">
        <is>
          <t>PRAGMA</t>
        </is>
      </c>
      <c r="B366" t="inlineStr">
        <is>
          <t>CALI|TRANSPORTADORA_004</t>
        </is>
      </c>
      <c r="C366" t="inlineStr">
        <is>
          <t>Cali</t>
        </is>
      </c>
      <c r="D366" t="inlineStr">
        <is>
          <t>TRANSPORTADORA_004</t>
        </is>
      </c>
      <c r="E366" s="23" t="n">
        <v>46265</v>
      </c>
      <c r="F366" s="23" t="n">
        <v>46274</v>
      </c>
      <c r="G366" t="inlineStr">
        <is>
          <t>Sí</t>
        </is>
      </c>
      <c r="H366" s="25" t="n">
        <v>50000</v>
      </c>
      <c r="I366" s="26" t="n">
        <v>1878186166</v>
      </c>
      <c r="J366" s="26" t="n">
        <v>60203682</v>
      </c>
      <c r="K366" s="26" t="n">
        <v>0</v>
      </c>
      <c r="L366" s="26">
        <f>J366-K366</f>
        <v>60203682</v>
      </c>
      <c r="M366" s="26">
        <f>I366+L366</f>
        <v>1938389848</v>
      </c>
      <c r="N366" s="26" t="n">
        <v>145750000</v>
      </c>
      <c r="O366" s="26" t="n">
        <v>1878200000</v>
      </c>
      <c r="P366" s="26">
        <f>MAX(0,N366-M366)</f>
        <v>0</v>
      </c>
      <c r="Q366" s="26">
        <f>MAX(0,M366-O366)</f>
        <v>60189848</v>
      </c>
      <c r="R366" t="inlineStr">
        <is>
          <t>bajo</t>
        </is>
      </c>
      <c r="S366" t="inlineStr">
        <is>
          <t>traslado_fondos</t>
        </is>
      </c>
      <c r="T366" t="inlineStr">
        <is>
          <t>salida</t>
        </is>
      </c>
      <c r="U366" s="26" t="n">
        <v>60200000</v>
      </c>
      <c r="V366" t="inlineStr">
        <is>
          <t>CALI|TRANSPORTADORA_004</t>
        </is>
      </c>
      <c r="W366" t="inlineStr">
        <is>
          <t>CALI|TRANSPORTADORA_003</t>
        </is>
      </c>
      <c r="X366" s="26">
        <f>IF(T366="entrada",M366+U366,IF(T366="salida",M366-U366,M366))</f>
        <v>1878189848</v>
      </c>
      <c r="Y366" s="26" t="n">
        <v>0</v>
      </c>
      <c r="Z366" t="inlineStr">
        <is>
          <t>Menor costo neto entre las alternativas que cubren la necesidad completa</t>
        </is>
      </c>
      <c r="AA366" t="inlineStr">
        <is>
          <t>SUP-08, SUP-10</t>
        </is>
      </c>
      <c r="AB366" t="inlineStr">
        <is>
          <t>Excedente de $60.189.848 en la denominacion 50000: saldo $1.938.389.848 sobre el maximo $1.878.200.000. Elegida: traslado con CALI|TRANSPORTADORA_003 ($60.200.000; costo $0). Es preferible porque tiene el menor costo neto. Otras alternativas: conservar ($60.200.000; costo de almacenar $4.429); consignacion BanRep ($60.200.000; costo $137.199); venta: no habilitada en este fondo (sin historico o fuera de las ciudades BanRep); traslado hacia 1 fondo(s) con espacio: ruta sin tarifa en el Anexo E (prohibida).</t>
        </is>
      </c>
      <c r="AC366" t="inlineStr">
        <is>
          <t>Cierre del dia anterior (saldo encadenado, RN-71)</t>
        </is>
      </c>
      <c r="AD366" t="inlineStr">
        <is>
          <t>estimada</t>
        </is>
      </c>
      <c r="AE366" t="inlineStr">
        <is>
          <t>Participacion historica por denominacion (SUP-09)</t>
        </is>
      </c>
    </row>
    <row r="367">
      <c r="A367" t="inlineStr">
        <is>
          <t>PRAGMA</t>
        </is>
      </c>
      <c r="B367" t="inlineStr">
        <is>
          <t>CALI|TRANSPORTADORA_004</t>
        </is>
      </c>
      <c r="C367" t="inlineStr">
        <is>
          <t>Cali</t>
        </is>
      </c>
      <c r="D367" t="inlineStr">
        <is>
          <t>TRANSPORTADORA_004</t>
        </is>
      </c>
      <c r="E367" s="23" t="n">
        <v>46265</v>
      </c>
      <c r="F367" s="23" t="n">
        <v>46275</v>
      </c>
      <c r="G367" t="inlineStr">
        <is>
          <t>Sí</t>
        </is>
      </c>
      <c r="H367" s="25" t="n">
        <v>50000</v>
      </c>
      <c r="I367" s="26" t="n">
        <v>1878189848</v>
      </c>
      <c r="J367" s="26" t="n">
        <v>49896519</v>
      </c>
      <c r="K367" s="26" t="n">
        <v>0</v>
      </c>
      <c r="L367" s="26">
        <f>J367-K367</f>
        <v>49896519</v>
      </c>
      <c r="M367" s="26">
        <f>I367+L367</f>
        <v>1928086367</v>
      </c>
      <c r="N367" s="26" t="n">
        <v>145750000</v>
      </c>
      <c r="O367" s="26" t="n">
        <v>1878200000</v>
      </c>
      <c r="P367" s="26">
        <f>MAX(0,N367-M367)</f>
        <v>0</v>
      </c>
      <c r="Q367" s="26">
        <f>MAX(0,M367-O367)</f>
        <v>49886367</v>
      </c>
      <c r="R367" t="inlineStr">
        <is>
          <t>bajo</t>
        </is>
      </c>
      <c r="S367" t="inlineStr">
        <is>
          <t>traslado_fondos</t>
        </is>
      </c>
      <c r="T367" t="inlineStr">
        <is>
          <t>salida</t>
        </is>
      </c>
      <c r="U367" s="26" t="n">
        <v>49900000</v>
      </c>
      <c r="V367" t="inlineStr">
        <is>
          <t>CALI|TRANSPORTADORA_004</t>
        </is>
      </c>
      <c r="W367" t="inlineStr">
        <is>
          <t>CALI|TRANSPORTADORA_003</t>
        </is>
      </c>
      <c r="X367" s="26">
        <f>IF(T367="entrada",M367+U367,IF(T367="salida",M367-U367,M367))</f>
        <v>1878186367</v>
      </c>
      <c r="Y367" s="26" t="n">
        <v>0</v>
      </c>
      <c r="Z367" t="inlineStr">
        <is>
          <t>Menor costo neto entre las alternativas que cubren la necesidad completa</t>
        </is>
      </c>
      <c r="AA367" t="inlineStr">
        <is>
          <t>SUP-08, SUP-10</t>
        </is>
      </c>
      <c r="AB367" t="inlineStr">
        <is>
          <t>Excedente de $49.886.367 en la denominacion 50000: saldo $1.928.086.367 sobre el maximo $1.878.200.000. Elegida: traslado con CALI|TRANSPORTADORA_003 ($49.900.000; costo $0). Es preferible porque tiene el menor costo neto. Otras alternativas: conservar ($49.900.000; costo de almacenar $3.147); consignacion BanRep ($49.900.000; costo $134.387); venta: no habilitada en este fondo (sin historico o fuera de las ciudades BanRep); traslado hacia 1 fondo(s) con espacio: ruta sin tarifa en el Anexo E (prohibida).</t>
        </is>
      </c>
      <c r="AC367" t="inlineStr">
        <is>
          <t>Cierre del dia anterior (saldo encadenado, RN-71)</t>
        </is>
      </c>
      <c r="AD367" t="inlineStr">
        <is>
          <t>estimada</t>
        </is>
      </c>
      <c r="AE367" t="inlineStr">
        <is>
          <t>Participacion historica por denominacion (SUP-09)</t>
        </is>
      </c>
    </row>
    <row r="368">
      <c r="A368" t="inlineStr">
        <is>
          <t>PRAGMA</t>
        </is>
      </c>
      <c r="B368" t="inlineStr">
        <is>
          <t>CALI|TRANSPORTADORA_004</t>
        </is>
      </c>
      <c r="C368" t="inlineStr">
        <is>
          <t>Cali</t>
        </is>
      </c>
      <c r="D368" t="inlineStr">
        <is>
          <t>TRANSPORTADORA_004</t>
        </is>
      </c>
      <c r="E368" s="23" t="n">
        <v>46265</v>
      </c>
      <c r="F368" s="23" t="n">
        <v>46276</v>
      </c>
      <c r="G368" t="inlineStr">
        <is>
          <t>Sí</t>
        </is>
      </c>
      <c r="H368" s="25" t="n">
        <v>50000</v>
      </c>
      <c r="I368" s="26" t="n">
        <v>1878186367</v>
      </c>
      <c r="J368" s="26" t="n">
        <v>38809916</v>
      </c>
      <c r="K368" s="26" t="n">
        <v>0</v>
      </c>
      <c r="L368" s="26">
        <f>J368-K368</f>
        <v>38809916</v>
      </c>
      <c r="M368" s="26">
        <f>I368+L368</f>
        <v>1916996283</v>
      </c>
      <c r="N368" s="26" t="n">
        <v>145750000</v>
      </c>
      <c r="O368" s="26" t="n">
        <v>1878200000</v>
      </c>
      <c r="P368" s="26">
        <f>MAX(0,N368-M368)</f>
        <v>0</v>
      </c>
      <c r="Q368" s="26">
        <f>MAX(0,M368-O368)</f>
        <v>38796283</v>
      </c>
      <c r="R368" t="inlineStr">
        <is>
          <t>bajo</t>
        </is>
      </c>
      <c r="S368" t="inlineStr">
        <is>
          <t>traslado_fondos</t>
        </is>
      </c>
      <c r="T368" t="inlineStr">
        <is>
          <t>salida</t>
        </is>
      </c>
      <c r="U368" s="26" t="n">
        <v>38800000</v>
      </c>
      <c r="V368" t="inlineStr">
        <is>
          <t>CALI|TRANSPORTADORA_004</t>
        </is>
      </c>
      <c r="W368" t="inlineStr">
        <is>
          <t>CALI|TRANSPORTADORA_003</t>
        </is>
      </c>
      <c r="X368" s="26">
        <f>IF(T368="entrada",M368+U368,IF(T368="salida",M368-U368,M368))</f>
        <v>1878196283</v>
      </c>
      <c r="Y368" s="26" t="n">
        <v>0</v>
      </c>
      <c r="Z368" t="inlineStr">
        <is>
          <t>Menor costo neto entre las alternativas que cubren la necesidad completa</t>
        </is>
      </c>
      <c r="AA368" t="inlineStr">
        <is>
          <t>SUP-08, SUP-10</t>
        </is>
      </c>
      <c r="AB368" t="inlineStr">
        <is>
          <t>Excedente de $38.796.284 en la denominacion 50000: saldo $1.916.996.284 sobre el maximo $1.878.200.000. Elegida: traslado con CALI|TRANSPORTADORA_003 ($38.800.000; costo $0). Es preferible porque tiene el menor costo neto. Otras alternativas: conservar ($38.800.000; costo de almacenar $2.039); consignacion BanRep ($38.800.000; costo $131.356); venta: no habilitada en este fondo (sin historico o fuera de las ciudades BanRep); traslado hacia 1 fondo(s) con espacio: ruta sin tarifa en el Anexo E (prohibida).</t>
        </is>
      </c>
      <c r="AC368" t="inlineStr">
        <is>
          <t>Cierre del dia anterior (saldo encadenado, RN-71)</t>
        </is>
      </c>
      <c r="AD368" t="inlineStr">
        <is>
          <t>estimada</t>
        </is>
      </c>
      <c r="AE368" t="inlineStr">
        <is>
          <t>Participacion historica por denominacion (SUP-09)</t>
        </is>
      </c>
    </row>
    <row r="369">
      <c r="A369" t="inlineStr">
        <is>
          <t>PRAGMA</t>
        </is>
      </c>
      <c r="B369" t="inlineStr">
        <is>
          <t>CALI|TRANSPORTADORA_004</t>
        </is>
      </c>
      <c r="C369" t="inlineStr">
        <is>
          <t>Cali</t>
        </is>
      </c>
      <c r="D369" t="inlineStr">
        <is>
          <t>TRANSPORTADORA_004</t>
        </is>
      </c>
      <c r="E369" s="23" t="n">
        <v>46265</v>
      </c>
      <c r="F369" s="23" t="n">
        <v>46277</v>
      </c>
      <c r="G369" t="inlineStr">
        <is>
          <t>No</t>
        </is>
      </c>
      <c r="H369" s="25" t="n">
        <v>50000</v>
      </c>
      <c r="I369" s="26" t="n">
        <v>1878196284</v>
      </c>
      <c r="J369" s="26" t="n">
        <v>12576769</v>
      </c>
      <c r="K369" s="26" t="n">
        <v>0</v>
      </c>
      <c r="L369" s="26">
        <f>J369-K369</f>
        <v>12576769</v>
      </c>
      <c r="M369" s="26">
        <f>I369+L369</f>
        <v>1890773053</v>
      </c>
      <c r="N369" s="26" t="n">
        <v>145750000</v>
      </c>
      <c r="O369" s="26" t="n">
        <v>1878200000</v>
      </c>
      <c r="P369" s="26">
        <f>MAX(0,N369-M369)</f>
        <v>0</v>
      </c>
      <c r="Q369" s="26">
        <f>MAX(0,M369-O369)</f>
        <v>12573053</v>
      </c>
      <c r="R369" t="inlineStr">
        <is>
          <t>bajo</t>
        </is>
      </c>
      <c r="S369" t="inlineStr">
        <is>
          <t>traslado_fondos</t>
        </is>
      </c>
      <c r="T369" t="inlineStr">
        <is>
          <t>salida</t>
        </is>
      </c>
      <c r="U369" s="26" t="n">
        <v>12600000</v>
      </c>
      <c r="V369" t="inlineStr">
        <is>
          <t>CALI|TRANSPORTADORA_004</t>
        </is>
      </c>
      <c r="W369" t="inlineStr">
        <is>
          <t>CALI|TRANSPORTADORA_001</t>
        </is>
      </c>
      <c r="X369" s="26">
        <f>IF(T369="entrada",M369+U369,IF(T369="salida",M369-U369,M369))</f>
        <v>1878173053</v>
      </c>
      <c r="Y369" s="26" t="n">
        <v>0</v>
      </c>
      <c r="Z369" t="inlineStr">
        <is>
          <t>Menor costo neto entre las alternativas que cubren la necesidad completa</t>
        </is>
      </c>
      <c r="AA369" t="inlineStr">
        <is>
          <t>SUP-08, SUP-10</t>
        </is>
      </c>
      <c r="AB369" t="inlineStr">
        <is>
          <t>Excedente de $12.573.052 en la denominacion 50000: saldo $1.890.773.052 sobre el maximo $1.878.200.000. Elegida: traslado con CALI|TRANSPORTADORA_001 ($12.600.000; costo $0). Es preferible porque tiene el menor costo neto. Otras alternativas: traslado con CALI|TRANSPORTADORA_002 ($12.600.000; costo $0); traslado con CALI|TRANSPORTADORA_003 ($12.600.000; costo $0); conservar ($12.600.000; costo de almacenar $530); venta: dia no habil (sabado, domingo o festivo; RN-71A); consignacion BanRep: dia no habil (sabado, domingo o festivo; RN-71A); traslado hacia 1 fondo(s) con espacio: ruta sin tarifa en el Anexo E (prohibida).</t>
        </is>
      </c>
      <c r="AC369" t="inlineStr">
        <is>
          <t>Cierre del dia anterior (saldo encadenado, RN-71)</t>
        </is>
      </c>
      <c r="AD369" t="inlineStr">
        <is>
          <t>estimada</t>
        </is>
      </c>
      <c r="AE369" t="inlineStr">
        <is>
          <t>Participacion historica por denominacion (SUP-09)</t>
        </is>
      </c>
    </row>
    <row r="370">
      <c r="A370" t="inlineStr">
        <is>
          <t>PRAGMA</t>
        </is>
      </c>
      <c r="B370" t="inlineStr">
        <is>
          <t>CALI|TRANSPORTADORA_004</t>
        </is>
      </c>
      <c r="C370" t="inlineStr">
        <is>
          <t>Cali</t>
        </is>
      </c>
      <c r="D370" t="inlineStr">
        <is>
          <t>TRANSPORTADORA_004</t>
        </is>
      </c>
      <c r="E370" s="23" t="n">
        <v>46265</v>
      </c>
      <c r="F370" s="23" t="n">
        <v>46278</v>
      </c>
      <c r="G370" t="inlineStr">
        <is>
          <t>No</t>
        </is>
      </c>
      <c r="H370" s="25" t="n">
        <v>50000</v>
      </c>
      <c r="I370" s="26" t="n">
        <v>1878173052</v>
      </c>
      <c r="J370" s="26" t="n">
        <v>11725897</v>
      </c>
      <c r="K370" s="26" t="n">
        <v>0</v>
      </c>
      <c r="L370" s="26">
        <f>J370-K370</f>
        <v>11725897</v>
      </c>
      <c r="M370" s="26">
        <f>I370+L370</f>
        <v>1889898949</v>
      </c>
      <c r="N370" s="26" t="n">
        <v>145750000</v>
      </c>
      <c r="O370" s="26" t="n">
        <v>1878200000</v>
      </c>
      <c r="P370" s="26">
        <f>MAX(0,N370-M370)</f>
        <v>0</v>
      </c>
      <c r="Q370" s="26">
        <f>MAX(0,M370-O370)</f>
        <v>11698949</v>
      </c>
      <c r="R370" t="inlineStr">
        <is>
          <t>bajo</t>
        </is>
      </c>
      <c r="S370" t="inlineStr">
        <is>
          <t>traslado_fondos</t>
        </is>
      </c>
      <c r="T370" t="inlineStr">
        <is>
          <t>salida</t>
        </is>
      </c>
      <c r="U370" s="26" t="n">
        <v>11700000</v>
      </c>
      <c r="V370" t="inlineStr">
        <is>
          <t>CALI|TRANSPORTADORA_004</t>
        </is>
      </c>
      <c r="W370" t="inlineStr">
        <is>
          <t>CALI|TRANSPORTADORA_001</t>
        </is>
      </c>
      <c r="X370" s="26">
        <f>IF(T370="entrada",M370+U370,IF(T370="salida",M370-U370,M370))</f>
        <v>1878198949</v>
      </c>
      <c r="Y370" s="26" t="n">
        <v>0</v>
      </c>
      <c r="Z370" t="inlineStr">
        <is>
          <t>Menor costo neto entre las alternativas que cubren la necesidad completa</t>
        </is>
      </c>
      <c r="AA370" t="inlineStr">
        <is>
          <t>SUP-08, SUP-10</t>
        </is>
      </c>
      <c r="AB370" t="inlineStr">
        <is>
          <t>Excedente de $11.698.949 en la denominacion 50000: saldo $1.889.898.949 sobre el maximo $1.878.200.000. Elegida: traslado con CALI|TRANSPORTADORA_001 ($11.700.000; costo $0). Es preferible porque tiene el menor costo neto. Otras alternativas: traslado con CALI|TRANSPORTADORA_002 ($11.700.000; costo $0); traslado con CALI|TRANSPORTADORA_003 ($11.700.000; costo $0); conservar ($11.700.000; costo de almacenar $369); venta: dia no habil (sabado, domingo o festivo; RN-71A); consignacion BanRep: dia no habil (sabado, domingo o festivo; RN-71A); traslado hacia 1 fondo(s) con espacio: ruta sin tarifa en el Anexo E (prohibida).</t>
        </is>
      </c>
      <c r="AC370" t="inlineStr">
        <is>
          <t>Cierre del dia anterior (saldo encadenado, RN-71)</t>
        </is>
      </c>
      <c r="AD370" t="inlineStr">
        <is>
          <t>estimada</t>
        </is>
      </c>
      <c r="AE370" t="inlineStr">
        <is>
          <t>Participacion historica por denominacion (SUP-09)</t>
        </is>
      </c>
    </row>
    <row r="371">
      <c r="A371" t="inlineStr">
        <is>
          <t>PRAGMA</t>
        </is>
      </c>
      <c r="B371" t="inlineStr">
        <is>
          <t>CALI|TRANSPORTADORA_004</t>
        </is>
      </c>
      <c r="C371" t="inlineStr">
        <is>
          <t>Cali</t>
        </is>
      </c>
      <c r="D371" t="inlineStr">
        <is>
          <t>TRANSPORTADORA_004</t>
        </is>
      </c>
      <c r="E371" s="23" t="n">
        <v>46265</v>
      </c>
      <c r="F371" s="23" t="n">
        <v>46279</v>
      </c>
      <c r="G371" t="inlineStr">
        <is>
          <t>Sí</t>
        </is>
      </c>
      <c r="H371" s="25" t="n">
        <v>50000</v>
      </c>
      <c r="I371" s="26" t="n">
        <v>1878198949</v>
      </c>
      <c r="J371" s="26" t="n">
        <v>71957133</v>
      </c>
      <c r="K371" s="26" t="n">
        <v>0</v>
      </c>
      <c r="L371" s="26">
        <f>J371-K371</f>
        <v>71957133</v>
      </c>
      <c r="M371" s="26">
        <f>I371+L371</f>
        <v>1950156082</v>
      </c>
      <c r="N371" s="26" t="n">
        <v>145750000</v>
      </c>
      <c r="O371" s="26" t="n">
        <v>1878200000</v>
      </c>
      <c r="P371" s="26">
        <f>MAX(0,N371-M371)</f>
        <v>0</v>
      </c>
      <c r="Q371" s="26">
        <f>MAX(0,M371-O371)</f>
        <v>71956082</v>
      </c>
      <c r="R371" t="inlineStr">
        <is>
          <t>bajo</t>
        </is>
      </c>
      <c r="S371" t="inlineStr">
        <is>
          <t>traslado_fondos</t>
        </is>
      </c>
      <c r="T371" t="inlineStr">
        <is>
          <t>salida</t>
        </is>
      </c>
      <c r="U371" s="26" t="n">
        <v>72000000</v>
      </c>
      <c r="V371" t="inlineStr">
        <is>
          <t>CALI|TRANSPORTADORA_004</t>
        </is>
      </c>
      <c r="W371" t="inlineStr">
        <is>
          <t>CALI|TRANSPORTADORA_003</t>
        </is>
      </c>
      <c r="X371" s="26">
        <f>IF(T371="entrada",M371+U371,IF(T371="salida",M371-U371,M371))</f>
        <v>1878156082</v>
      </c>
      <c r="Y371" s="26" t="n">
        <v>0</v>
      </c>
      <c r="Z371" t="inlineStr">
        <is>
          <t>Menor costo neto entre las alternativas que cubren la necesidad completa</t>
        </is>
      </c>
      <c r="AA371" t="inlineStr">
        <is>
          <t>SUP-08, SUP-10</t>
        </is>
      </c>
      <c r="AB371" t="inlineStr">
        <is>
          <t>Excedente de $71.956.081 en la denominacion 50000: saldo $1.950.156.081 sobre el maximo $1.878.200.000. Elegida: traslado con CALI|TRANSPORTADORA_003 ($72.000.000; costo $0). Es preferible porque tiene el menor costo neto. Otras alternativas: conservar ($72.000.000; costo de almacenar $1.513); consignacion BanRep ($72.000.000; costo $140.420); venta: no habilitada en este fondo (sin historico o fuera de las ciudades BanRep); traslado hacia 1 fondo(s) con espacio: ruta sin tarifa en el Anexo E (prohibida).</t>
        </is>
      </c>
      <c r="AC371" t="inlineStr">
        <is>
          <t>Cierre del dia anterior (saldo encadenado, RN-71)</t>
        </is>
      </c>
      <c r="AD371" t="inlineStr">
        <is>
          <t>estimada</t>
        </is>
      </c>
      <c r="AE371" t="inlineStr">
        <is>
          <t>Participacion historica por denominacion (SUP-09)</t>
        </is>
      </c>
    </row>
    <row r="372">
      <c r="A372" t="inlineStr">
        <is>
          <t>PRAGMA</t>
        </is>
      </c>
      <c r="B372" t="inlineStr">
        <is>
          <t>CALI|TRANSPORTADORA_004</t>
        </is>
      </c>
      <c r="C372" t="inlineStr">
        <is>
          <t>Cali</t>
        </is>
      </c>
      <c r="D372" t="inlineStr">
        <is>
          <t>TRANSPORTADORA_004</t>
        </is>
      </c>
      <c r="E372" s="23" t="n">
        <v>46265</v>
      </c>
      <c r="F372" s="23" t="n">
        <v>46280</v>
      </c>
      <c r="G372" t="inlineStr">
        <is>
          <t>Sí</t>
        </is>
      </c>
      <c r="H372" s="25" t="n">
        <v>50000</v>
      </c>
      <c r="I372" s="26" t="n">
        <v>1878156081</v>
      </c>
      <c r="J372" s="26" t="n">
        <v>45933003</v>
      </c>
      <c r="K372" s="26" t="n">
        <v>0</v>
      </c>
      <c r="L372" s="26">
        <f>J372-K372</f>
        <v>45933003</v>
      </c>
      <c r="M372" s="26">
        <f>I372+L372</f>
        <v>1924089084</v>
      </c>
      <c r="N372" s="26" t="n">
        <v>145750000</v>
      </c>
      <c r="O372" s="26" t="n">
        <v>1878200000</v>
      </c>
      <c r="P372" s="26">
        <f>MAX(0,N372-M372)</f>
        <v>0</v>
      </c>
      <c r="Q372" s="26">
        <f>MAX(0,M372-O372)</f>
        <v>45889084</v>
      </c>
      <c r="R372" t="inlineStr">
        <is>
          <t>bajo</t>
        </is>
      </c>
      <c r="S372" t="inlineStr">
        <is>
          <t>traslado_fondos</t>
        </is>
      </c>
      <c r="T372" t="inlineStr">
        <is>
          <t>salida</t>
        </is>
      </c>
      <c r="U372" s="26" t="n">
        <v>45900000</v>
      </c>
      <c r="V372" t="inlineStr">
        <is>
          <t>CALI|TRANSPORTADORA_004</t>
        </is>
      </c>
      <c r="W372" t="inlineStr">
        <is>
          <t>CALI|TRANSPORTADORA_003</t>
        </is>
      </c>
      <c r="X372" s="26">
        <f>IF(T372="entrada",M372+U372,IF(T372="salida",M372-U372,M372))</f>
        <v>1878189084</v>
      </c>
      <c r="Y372" s="26" t="n">
        <v>0</v>
      </c>
      <c r="Z372" t="inlineStr">
        <is>
          <t>Menor costo neto entre las alternativas que cubren la necesidad completa</t>
        </is>
      </c>
      <c r="AA372" t="inlineStr">
        <is>
          <t>SUP-08, SUP-10</t>
        </is>
      </c>
      <c r="AB372" t="inlineStr">
        <is>
          <t>Excedente de $45.889.084 en la denominacion 50000: saldo $1.924.089.084 sobre el maximo $1.878.200.000. Elegida: traslado con CALI|TRANSPORTADORA_003 ($45.900.000; costo $0). Es preferible porque tiene el menor costo neto. Otras alternativas: conservar ($45.900.000; costo de almacenar $482); consignacion BanRep ($45.900.000; costo $133.295); venta: no habilitada en este fondo (sin historico o fuera de las ciudades BanRep); traslado hacia 1 fondo(s) con espacio: ruta sin tarifa en el Anexo E (prohibida).</t>
        </is>
      </c>
      <c r="AC372" t="inlineStr">
        <is>
          <t>Cierre del dia anterior (saldo encadenado, RN-71)</t>
        </is>
      </c>
      <c r="AD372" t="inlineStr">
        <is>
          <t>estimada</t>
        </is>
      </c>
      <c r="AE372" t="inlineStr">
        <is>
          <t>Participacion historica por denominacion (SUP-09)</t>
        </is>
      </c>
    </row>
    <row r="373">
      <c r="A373" t="inlineStr">
        <is>
          <t>PRAGMA</t>
        </is>
      </c>
      <c r="B373" t="inlineStr">
        <is>
          <t>CALI|TRANSPORTADORA_004</t>
        </is>
      </c>
      <c r="C373" t="inlineStr">
        <is>
          <t>Cali</t>
        </is>
      </c>
      <c r="D373" t="inlineStr">
        <is>
          <t>TRANSPORTADORA_004</t>
        </is>
      </c>
      <c r="E373" s="23" t="n">
        <v>46265</v>
      </c>
      <c r="F373" s="23" t="n">
        <v>46266</v>
      </c>
      <c r="G373" t="inlineStr">
        <is>
          <t>Sí</t>
        </is>
      </c>
      <c r="H373" s="25" t="n">
        <v>100000</v>
      </c>
      <c r="I373" s="26" t="n">
        <v>1027300000</v>
      </c>
      <c r="J373" s="26" t="n">
        <v>57062051</v>
      </c>
      <c r="K373" s="26" t="n">
        <v>0</v>
      </c>
      <c r="L373" s="26">
        <f>J373-K373</f>
        <v>57062051</v>
      </c>
      <c r="M373" s="26">
        <f>I373+L373</f>
        <v>1084362051</v>
      </c>
      <c r="N373" s="26" t="n">
        <v>173350000</v>
      </c>
      <c r="O373" s="26" t="n">
        <v>1626250000</v>
      </c>
      <c r="P373" s="26">
        <f>MAX(0,N373-M373)</f>
        <v>0</v>
      </c>
      <c r="Q373" s="26">
        <f>MAX(0,M373-O373)</f>
        <v>0</v>
      </c>
      <c r="R373" t="inlineStr">
        <is>
          <t>bajo</t>
        </is>
      </c>
      <c r="S373" t="inlineStr">
        <is>
          <t>sin_accion</t>
        </is>
      </c>
      <c r="T373" t="inlineStr">
        <is>
          <t>ninguno</t>
        </is>
      </c>
      <c r="U373" s="26" t="n">
        <v>0</v>
      </c>
      <c r="X373" s="26">
        <f>IF(T373="entrada",M373+U373,IF(T373="salida",M373-U373,M373))</f>
        <v>1084362051</v>
      </c>
      <c r="Y373" s="26" t="n">
        <v>0</v>
      </c>
      <c r="Z373" t="inlineStr">
        <is>
          <t>RN-85: dentro de niveles objetivo (sin_accion)</t>
        </is>
      </c>
      <c r="AA373" t="inlineStr">
        <is>
          <t>SUP-07, SUP-10</t>
        </is>
      </c>
      <c r="AB373" t="inlineStr">
        <is>
          <t>Saldo dentro del rango objetivo; sin accion.</t>
        </is>
      </c>
      <c r="AC373" t="inlineStr">
        <is>
          <t>Ultimo disponible al 31/08/2026 (SUP-07)</t>
        </is>
      </c>
      <c r="AD373" t="inlineStr">
        <is>
          <t>estimada</t>
        </is>
      </c>
      <c r="AE373" t="inlineStr">
        <is>
          <t>Participacion historica por denominacion (SUP-09)</t>
        </is>
      </c>
    </row>
    <row r="374">
      <c r="A374" t="inlineStr">
        <is>
          <t>PRAGMA</t>
        </is>
      </c>
      <c r="B374" t="inlineStr">
        <is>
          <t>CALI|TRANSPORTADORA_004</t>
        </is>
      </c>
      <c r="C374" t="inlineStr">
        <is>
          <t>Cali</t>
        </is>
      </c>
      <c r="D374" t="inlineStr">
        <is>
          <t>TRANSPORTADORA_004</t>
        </is>
      </c>
      <c r="E374" s="23" t="n">
        <v>46265</v>
      </c>
      <c r="F374" s="23" t="n">
        <v>46267</v>
      </c>
      <c r="G374" t="inlineStr">
        <is>
          <t>Sí</t>
        </is>
      </c>
      <c r="H374" s="25" t="n">
        <v>100000</v>
      </c>
      <c r="I374" s="26" t="n">
        <v>1084362051</v>
      </c>
      <c r="J374" s="26" t="n">
        <v>46787497</v>
      </c>
      <c r="K374" s="26" t="n">
        <v>0</v>
      </c>
      <c r="L374" s="26">
        <f>J374-K374</f>
        <v>46787497</v>
      </c>
      <c r="M374" s="26">
        <f>I374+L374</f>
        <v>1131149548</v>
      </c>
      <c r="N374" s="26" t="n">
        <v>173350000</v>
      </c>
      <c r="O374" s="26" t="n">
        <v>1626250000</v>
      </c>
      <c r="P374" s="26">
        <f>MAX(0,N374-M374)</f>
        <v>0</v>
      </c>
      <c r="Q374" s="26">
        <f>MAX(0,M374-O374)</f>
        <v>0</v>
      </c>
      <c r="R374" t="inlineStr">
        <is>
          <t>bajo</t>
        </is>
      </c>
      <c r="S374" t="inlineStr">
        <is>
          <t>sin_accion</t>
        </is>
      </c>
      <c r="T374" t="inlineStr">
        <is>
          <t>ninguno</t>
        </is>
      </c>
      <c r="U374" s="26" t="n">
        <v>0</v>
      </c>
      <c r="X374" s="26">
        <f>IF(T374="entrada",M374+U374,IF(T374="salida",M374-U374,M374))</f>
        <v>1131149548</v>
      </c>
      <c r="Y374" s="26" t="n">
        <v>0</v>
      </c>
      <c r="Z374" t="inlineStr">
        <is>
          <t>RN-85: dentro de niveles objetivo (sin_accion)</t>
        </is>
      </c>
      <c r="AA374" t="inlineStr">
        <is>
          <t>SUP-07, SUP-10</t>
        </is>
      </c>
      <c r="AB374" t="inlineStr">
        <is>
          <t>Saldo dentro del rango objetivo; sin accion.</t>
        </is>
      </c>
      <c r="AC374" t="inlineStr">
        <is>
          <t>Cierre del dia anterior (saldo encadenado, RN-71)</t>
        </is>
      </c>
      <c r="AD374" t="inlineStr">
        <is>
          <t>estimada</t>
        </is>
      </c>
      <c r="AE374" t="inlineStr">
        <is>
          <t>Participacion historica por denominacion (SUP-09)</t>
        </is>
      </c>
    </row>
    <row r="375">
      <c r="A375" t="inlineStr">
        <is>
          <t>PRAGMA</t>
        </is>
      </c>
      <c r="B375" t="inlineStr">
        <is>
          <t>CALI|TRANSPORTADORA_004</t>
        </is>
      </c>
      <c r="C375" t="inlineStr">
        <is>
          <t>Cali</t>
        </is>
      </c>
      <c r="D375" t="inlineStr">
        <is>
          <t>TRANSPORTADORA_004</t>
        </is>
      </c>
      <c r="E375" s="23" t="n">
        <v>46265</v>
      </c>
      <c r="F375" s="23" t="n">
        <v>46268</v>
      </c>
      <c r="G375" t="inlineStr">
        <is>
          <t>Sí</t>
        </is>
      </c>
      <c r="H375" s="25" t="n">
        <v>100000</v>
      </c>
      <c r="I375" s="26" t="n">
        <v>1131149548</v>
      </c>
      <c r="J375" s="26" t="n">
        <v>57031271</v>
      </c>
      <c r="K375" s="26" t="n">
        <v>0</v>
      </c>
      <c r="L375" s="26">
        <f>J375-K375</f>
        <v>57031271</v>
      </c>
      <c r="M375" s="26">
        <f>I375+L375</f>
        <v>1188180819</v>
      </c>
      <c r="N375" s="26" t="n">
        <v>173350000</v>
      </c>
      <c r="O375" s="26" t="n">
        <v>1626250000</v>
      </c>
      <c r="P375" s="26">
        <f>MAX(0,N375-M375)</f>
        <v>0</v>
      </c>
      <c r="Q375" s="26">
        <f>MAX(0,M375-O375)</f>
        <v>0</v>
      </c>
      <c r="R375" t="inlineStr">
        <is>
          <t>bajo</t>
        </is>
      </c>
      <c r="S375" t="inlineStr">
        <is>
          <t>sin_accion</t>
        </is>
      </c>
      <c r="T375" t="inlineStr">
        <is>
          <t>ninguno</t>
        </is>
      </c>
      <c r="U375" s="26" t="n">
        <v>0</v>
      </c>
      <c r="X375" s="26">
        <f>IF(T375="entrada",M375+U375,IF(T375="salida",M375-U375,M375))</f>
        <v>1188180819</v>
      </c>
      <c r="Y375" s="26" t="n">
        <v>0</v>
      </c>
      <c r="Z375" t="inlineStr">
        <is>
          <t>RN-85: dentro de niveles objetivo (sin_accion)</t>
        </is>
      </c>
      <c r="AA375" t="inlineStr">
        <is>
          <t>SUP-07, SUP-10</t>
        </is>
      </c>
      <c r="AB375" t="inlineStr">
        <is>
          <t>Saldo dentro del rango objetivo; sin accion.</t>
        </is>
      </c>
      <c r="AC375" t="inlineStr">
        <is>
          <t>Cierre del dia anterior (saldo encadenado, RN-71)</t>
        </is>
      </c>
      <c r="AD375" t="inlineStr">
        <is>
          <t>estimada</t>
        </is>
      </c>
      <c r="AE375" t="inlineStr">
        <is>
          <t>Participacion historica por denominacion (SUP-09)</t>
        </is>
      </c>
    </row>
    <row r="376">
      <c r="A376" t="inlineStr">
        <is>
          <t>PRAGMA</t>
        </is>
      </c>
      <c r="B376" t="inlineStr">
        <is>
          <t>CALI|TRANSPORTADORA_004</t>
        </is>
      </c>
      <c r="C376" t="inlineStr">
        <is>
          <t>Cali</t>
        </is>
      </c>
      <c r="D376" t="inlineStr">
        <is>
          <t>TRANSPORTADORA_004</t>
        </is>
      </c>
      <c r="E376" s="23" t="n">
        <v>46265</v>
      </c>
      <c r="F376" s="23" t="n">
        <v>46269</v>
      </c>
      <c r="G376" t="inlineStr">
        <is>
          <t>Sí</t>
        </is>
      </c>
      <c r="H376" s="25" t="n">
        <v>100000</v>
      </c>
      <c r="I376" s="26" t="n">
        <v>1188180819</v>
      </c>
      <c r="J376" s="26" t="n">
        <v>68872846</v>
      </c>
      <c r="K376" s="26" t="n">
        <v>0</v>
      </c>
      <c r="L376" s="26">
        <f>J376-K376</f>
        <v>68872846</v>
      </c>
      <c r="M376" s="26">
        <f>I376+L376</f>
        <v>1257053665</v>
      </c>
      <c r="N376" s="26" t="n">
        <v>173350000</v>
      </c>
      <c r="O376" s="26" t="n">
        <v>1626250000</v>
      </c>
      <c r="P376" s="26">
        <f>MAX(0,N376-M376)</f>
        <v>0</v>
      </c>
      <c r="Q376" s="26">
        <f>MAX(0,M376-O376)</f>
        <v>0</v>
      </c>
      <c r="R376" t="inlineStr">
        <is>
          <t>bajo</t>
        </is>
      </c>
      <c r="S376" t="inlineStr">
        <is>
          <t>sin_accion</t>
        </is>
      </c>
      <c r="T376" t="inlineStr">
        <is>
          <t>ninguno</t>
        </is>
      </c>
      <c r="U376" s="26" t="n">
        <v>0</v>
      </c>
      <c r="X376" s="26">
        <f>IF(T376="entrada",M376+U376,IF(T376="salida",M376-U376,M376))</f>
        <v>1257053665</v>
      </c>
      <c r="Y376" s="26" t="n">
        <v>0</v>
      </c>
      <c r="Z376" t="inlineStr">
        <is>
          <t>RN-85: dentro de niveles objetivo (sin_accion)</t>
        </is>
      </c>
      <c r="AA376" t="inlineStr">
        <is>
          <t>SUP-07, SUP-10</t>
        </is>
      </c>
      <c r="AB376" t="inlineStr">
        <is>
          <t>Saldo dentro del rango objetivo; sin accion.</t>
        </is>
      </c>
      <c r="AC376" t="inlineStr">
        <is>
          <t>Cierre del dia anterior (saldo encadenado, RN-71)</t>
        </is>
      </c>
      <c r="AD376" t="inlineStr">
        <is>
          <t>estimada</t>
        </is>
      </c>
      <c r="AE376" t="inlineStr">
        <is>
          <t>Participacion historica por denominacion (SUP-09)</t>
        </is>
      </c>
    </row>
    <row r="377">
      <c r="A377" t="inlineStr">
        <is>
          <t>PRAGMA</t>
        </is>
      </c>
      <c r="B377" t="inlineStr">
        <is>
          <t>CALI|TRANSPORTADORA_004</t>
        </is>
      </c>
      <c r="C377" t="inlineStr">
        <is>
          <t>Cali</t>
        </is>
      </c>
      <c r="D377" t="inlineStr">
        <is>
          <t>TRANSPORTADORA_004</t>
        </is>
      </c>
      <c r="E377" s="23" t="n">
        <v>46265</v>
      </c>
      <c r="F377" s="23" t="n">
        <v>46270</v>
      </c>
      <c r="G377" t="inlineStr">
        <is>
          <t>No</t>
        </is>
      </c>
      <c r="H377" s="25" t="n">
        <v>100000</v>
      </c>
      <c r="I377" s="26" t="n">
        <v>1257053665</v>
      </c>
      <c r="J377" s="26" t="n">
        <v>14549131</v>
      </c>
      <c r="K377" s="26" t="n">
        <v>0</v>
      </c>
      <c r="L377" s="26">
        <f>J377-K377</f>
        <v>14549131</v>
      </c>
      <c r="M377" s="26">
        <f>I377+L377</f>
        <v>1271602796</v>
      </c>
      <c r="N377" s="26" t="n">
        <v>173350000</v>
      </c>
      <c r="O377" s="26" t="n">
        <v>1626250000</v>
      </c>
      <c r="P377" s="26">
        <f>MAX(0,N377-M377)</f>
        <v>0</v>
      </c>
      <c r="Q377" s="26">
        <f>MAX(0,M377-O377)</f>
        <v>0</v>
      </c>
      <c r="R377" t="inlineStr">
        <is>
          <t>bajo</t>
        </is>
      </c>
      <c r="S377" t="inlineStr">
        <is>
          <t>sin_accion</t>
        </is>
      </c>
      <c r="T377" t="inlineStr">
        <is>
          <t>ninguno</t>
        </is>
      </c>
      <c r="U377" s="26" t="n">
        <v>0</v>
      </c>
      <c r="X377" s="26">
        <f>IF(T377="entrada",M377+U377,IF(T377="salida",M377-U377,M377))</f>
        <v>1271602796</v>
      </c>
      <c r="Y377" s="26" t="n">
        <v>0</v>
      </c>
      <c r="Z377" t="inlineStr">
        <is>
          <t>RN-85: dentro de niveles objetivo (sin_accion)</t>
        </is>
      </c>
      <c r="AA377" t="inlineStr">
        <is>
          <t>SUP-07, SUP-10</t>
        </is>
      </c>
      <c r="AB377" t="inlineStr">
        <is>
          <t>Saldo dentro del rango objetivo; sin accion.</t>
        </is>
      </c>
      <c r="AC377" t="inlineStr">
        <is>
          <t>Cierre del dia anterior (saldo encadenado, RN-71)</t>
        </is>
      </c>
      <c r="AD377" t="inlineStr">
        <is>
          <t>estimada</t>
        </is>
      </c>
      <c r="AE377" t="inlineStr">
        <is>
          <t>Participacion historica por denominacion (SUP-09)</t>
        </is>
      </c>
    </row>
    <row r="378">
      <c r="A378" t="inlineStr">
        <is>
          <t>PRAGMA</t>
        </is>
      </c>
      <c r="B378" t="inlineStr">
        <is>
          <t>CALI|TRANSPORTADORA_004</t>
        </is>
      </c>
      <c r="C378" t="inlineStr">
        <is>
          <t>Cali</t>
        </is>
      </c>
      <c r="D378" t="inlineStr">
        <is>
          <t>TRANSPORTADORA_004</t>
        </is>
      </c>
      <c r="E378" s="23" t="n">
        <v>46265</v>
      </c>
      <c r="F378" s="23" t="n">
        <v>46271</v>
      </c>
      <c r="G378" t="inlineStr">
        <is>
          <t>No</t>
        </is>
      </c>
      <c r="H378" s="25" t="n">
        <v>100000</v>
      </c>
      <c r="I378" s="26" t="n">
        <v>1271602796</v>
      </c>
      <c r="J378" s="26" t="n">
        <v>22322769</v>
      </c>
      <c r="K378" s="26" t="n">
        <v>0</v>
      </c>
      <c r="L378" s="26">
        <f>J378-K378</f>
        <v>22322769</v>
      </c>
      <c r="M378" s="26">
        <f>I378+L378</f>
        <v>1293925565</v>
      </c>
      <c r="N378" s="26" t="n">
        <v>173350000</v>
      </c>
      <c r="O378" s="26" t="n">
        <v>1626250000</v>
      </c>
      <c r="P378" s="26">
        <f>MAX(0,N378-M378)</f>
        <v>0</v>
      </c>
      <c r="Q378" s="26">
        <f>MAX(0,M378-O378)</f>
        <v>0</v>
      </c>
      <c r="R378" t="inlineStr">
        <is>
          <t>bajo</t>
        </is>
      </c>
      <c r="S378" t="inlineStr">
        <is>
          <t>sin_accion</t>
        </is>
      </c>
      <c r="T378" t="inlineStr">
        <is>
          <t>ninguno</t>
        </is>
      </c>
      <c r="U378" s="26" t="n">
        <v>0</v>
      </c>
      <c r="X378" s="26">
        <f>IF(T378="entrada",M378+U378,IF(T378="salida",M378-U378,M378))</f>
        <v>1293925565</v>
      </c>
      <c r="Y378" s="26" t="n">
        <v>0</v>
      </c>
      <c r="Z378" t="inlineStr">
        <is>
          <t>RN-85: dentro de niveles objetivo (sin_accion)</t>
        </is>
      </c>
      <c r="AA378" t="inlineStr">
        <is>
          <t>SUP-07, SUP-10</t>
        </is>
      </c>
      <c r="AB378" t="inlineStr">
        <is>
          <t>Saldo dentro del rango objetivo; sin accion.</t>
        </is>
      </c>
      <c r="AC378" t="inlineStr">
        <is>
          <t>Cierre del dia anterior (saldo encadenado, RN-71)</t>
        </is>
      </c>
      <c r="AD378" t="inlineStr">
        <is>
          <t>estimada</t>
        </is>
      </c>
      <c r="AE378" t="inlineStr">
        <is>
          <t>Participacion historica por denominacion (SUP-09)</t>
        </is>
      </c>
    </row>
    <row r="379">
      <c r="A379" t="inlineStr">
        <is>
          <t>PRAGMA</t>
        </is>
      </c>
      <c r="B379" t="inlineStr">
        <is>
          <t>CALI|TRANSPORTADORA_004</t>
        </is>
      </c>
      <c r="C379" t="inlineStr">
        <is>
          <t>Cali</t>
        </is>
      </c>
      <c r="D379" t="inlineStr">
        <is>
          <t>TRANSPORTADORA_004</t>
        </is>
      </c>
      <c r="E379" s="23" t="n">
        <v>46265</v>
      </c>
      <c r="F379" s="23" t="n">
        <v>46272</v>
      </c>
      <c r="G379" t="inlineStr">
        <is>
          <t>Sí</t>
        </is>
      </c>
      <c r="H379" s="25" t="n">
        <v>100000</v>
      </c>
      <c r="I379" s="26" t="n">
        <v>1293925565</v>
      </c>
      <c r="J379" s="26" t="n">
        <v>91933181</v>
      </c>
      <c r="K379" s="26" t="n">
        <v>0</v>
      </c>
      <c r="L379" s="26">
        <f>J379-K379</f>
        <v>91933181</v>
      </c>
      <c r="M379" s="26">
        <f>I379+L379</f>
        <v>1385858746</v>
      </c>
      <c r="N379" s="26" t="n">
        <v>173350000</v>
      </c>
      <c r="O379" s="26" t="n">
        <v>1626250000</v>
      </c>
      <c r="P379" s="26">
        <f>MAX(0,N379-M379)</f>
        <v>0</v>
      </c>
      <c r="Q379" s="26">
        <f>MAX(0,M379-O379)</f>
        <v>0</v>
      </c>
      <c r="R379" t="inlineStr">
        <is>
          <t>bajo</t>
        </is>
      </c>
      <c r="S379" t="inlineStr">
        <is>
          <t>sin_accion</t>
        </is>
      </c>
      <c r="T379" t="inlineStr">
        <is>
          <t>ninguno</t>
        </is>
      </c>
      <c r="U379" s="26" t="n">
        <v>0</v>
      </c>
      <c r="X379" s="26">
        <f>IF(T379="entrada",M379+U379,IF(T379="salida",M379-U379,M379))</f>
        <v>1385858746</v>
      </c>
      <c r="Y379" s="26" t="n">
        <v>0</v>
      </c>
      <c r="Z379" t="inlineStr">
        <is>
          <t>RN-85: dentro de niveles objetivo (sin_accion)</t>
        </is>
      </c>
      <c r="AA379" t="inlineStr">
        <is>
          <t>SUP-07, SUP-10</t>
        </is>
      </c>
      <c r="AB379" t="inlineStr">
        <is>
          <t>Saldo dentro del rango objetivo; sin accion.</t>
        </is>
      </c>
      <c r="AC379" t="inlineStr">
        <is>
          <t>Cierre del dia anterior (saldo encadenado, RN-71)</t>
        </is>
      </c>
      <c r="AD379" t="inlineStr">
        <is>
          <t>estimada</t>
        </is>
      </c>
      <c r="AE379" t="inlineStr">
        <is>
          <t>Participacion historica por denominacion (SUP-09)</t>
        </is>
      </c>
    </row>
    <row r="380">
      <c r="A380" t="inlineStr">
        <is>
          <t>PRAGMA</t>
        </is>
      </c>
      <c r="B380" t="inlineStr">
        <is>
          <t>CALI|TRANSPORTADORA_004</t>
        </is>
      </c>
      <c r="C380" t="inlineStr">
        <is>
          <t>Cali</t>
        </is>
      </c>
      <c r="D380" t="inlineStr">
        <is>
          <t>TRANSPORTADORA_004</t>
        </is>
      </c>
      <c r="E380" s="23" t="n">
        <v>46265</v>
      </c>
      <c r="F380" s="23" t="n">
        <v>46273</v>
      </c>
      <c r="G380" t="inlineStr">
        <is>
          <t>Sí</t>
        </is>
      </c>
      <c r="H380" s="25" t="n">
        <v>100000</v>
      </c>
      <c r="I380" s="26" t="n">
        <v>1385858746</v>
      </c>
      <c r="J380" s="26" t="n">
        <v>57580646</v>
      </c>
      <c r="K380" s="26" t="n">
        <v>0</v>
      </c>
      <c r="L380" s="26">
        <f>J380-K380</f>
        <v>57580646</v>
      </c>
      <c r="M380" s="26">
        <f>I380+L380</f>
        <v>1443439392</v>
      </c>
      <c r="N380" s="26" t="n">
        <v>173350000</v>
      </c>
      <c r="O380" s="26" t="n">
        <v>1626250000</v>
      </c>
      <c r="P380" s="26">
        <f>MAX(0,N380-M380)</f>
        <v>0</v>
      </c>
      <c r="Q380" s="26">
        <f>MAX(0,M380-O380)</f>
        <v>0</v>
      </c>
      <c r="R380" t="inlineStr">
        <is>
          <t>bajo</t>
        </is>
      </c>
      <c r="S380" t="inlineStr">
        <is>
          <t>sin_accion</t>
        </is>
      </c>
      <c r="T380" t="inlineStr">
        <is>
          <t>ninguno</t>
        </is>
      </c>
      <c r="U380" s="26" t="n">
        <v>0</v>
      </c>
      <c r="X380" s="26">
        <f>IF(T380="entrada",M380+U380,IF(T380="salida",M380-U380,M380))</f>
        <v>1443439392</v>
      </c>
      <c r="Y380" s="26" t="n">
        <v>0</v>
      </c>
      <c r="Z380" t="inlineStr">
        <is>
          <t>RN-85: dentro de niveles objetivo (sin_accion)</t>
        </is>
      </c>
      <c r="AA380" t="inlineStr">
        <is>
          <t>SUP-07, SUP-10</t>
        </is>
      </c>
      <c r="AB380" t="inlineStr">
        <is>
          <t>Saldo dentro del rango objetivo; sin accion.</t>
        </is>
      </c>
      <c r="AC380" t="inlineStr">
        <is>
          <t>Cierre del dia anterior (saldo encadenado, RN-71)</t>
        </is>
      </c>
      <c r="AD380" t="inlineStr">
        <is>
          <t>estimada</t>
        </is>
      </c>
      <c r="AE380" t="inlineStr">
        <is>
          <t>Participacion historica por denominacion (SUP-09)</t>
        </is>
      </c>
    </row>
    <row r="381">
      <c r="A381" t="inlineStr">
        <is>
          <t>PRAGMA</t>
        </is>
      </c>
      <c r="B381" t="inlineStr">
        <is>
          <t>CALI|TRANSPORTADORA_004</t>
        </is>
      </c>
      <c r="C381" t="inlineStr">
        <is>
          <t>Cali</t>
        </is>
      </c>
      <c r="D381" t="inlineStr">
        <is>
          <t>TRANSPORTADORA_004</t>
        </is>
      </c>
      <c r="E381" s="23" t="n">
        <v>46265</v>
      </c>
      <c r="F381" s="23" t="n">
        <v>46274</v>
      </c>
      <c r="G381" t="inlineStr">
        <is>
          <t>Sí</t>
        </is>
      </c>
      <c r="H381" s="25" t="n">
        <v>100000</v>
      </c>
      <c r="I381" s="26" t="n">
        <v>1443439392</v>
      </c>
      <c r="J381" s="26" t="n">
        <v>54106192</v>
      </c>
      <c r="K381" s="26" t="n">
        <v>0</v>
      </c>
      <c r="L381" s="26">
        <f>J381-K381</f>
        <v>54106192</v>
      </c>
      <c r="M381" s="26">
        <f>I381+L381</f>
        <v>1497545584</v>
      </c>
      <c r="N381" s="26" t="n">
        <v>173350000</v>
      </c>
      <c r="O381" s="26" t="n">
        <v>1626250000</v>
      </c>
      <c r="P381" s="26">
        <f>MAX(0,N381-M381)</f>
        <v>0</v>
      </c>
      <c r="Q381" s="26">
        <f>MAX(0,M381-O381)</f>
        <v>0</v>
      </c>
      <c r="R381" t="inlineStr">
        <is>
          <t>bajo</t>
        </is>
      </c>
      <c r="S381" t="inlineStr">
        <is>
          <t>sin_accion</t>
        </is>
      </c>
      <c r="T381" t="inlineStr">
        <is>
          <t>ninguno</t>
        </is>
      </c>
      <c r="U381" s="26" t="n">
        <v>0</v>
      </c>
      <c r="X381" s="26">
        <f>IF(T381="entrada",M381+U381,IF(T381="salida",M381-U381,M381))</f>
        <v>1497545584</v>
      </c>
      <c r="Y381" s="26" t="n">
        <v>0</v>
      </c>
      <c r="Z381" t="inlineStr">
        <is>
          <t>RN-85: dentro de niveles objetivo (sin_accion)</t>
        </is>
      </c>
      <c r="AA381" t="inlineStr">
        <is>
          <t>SUP-07, SUP-10</t>
        </is>
      </c>
      <c r="AB381" t="inlineStr">
        <is>
          <t>Saldo dentro del rango objetivo; sin accion.</t>
        </is>
      </c>
      <c r="AC381" t="inlineStr">
        <is>
          <t>Cierre del dia anterior (saldo encadenado, RN-71)</t>
        </is>
      </c>
      <c r="AD381" t="inlineStr">
        <is>
          <t>estimada</t>
        </is>
      </c>
      <c r="AE381" t="inlineStr">
        <is>
          <t>Participacion historica por denominacion (SUP-09)</t>
        </is>
      </c>
    </row>
    <row r="382">
      <c r="A382" t="inlineStr">
        <is>
          <t>PRAGMA</t>
        </is>
      </c>
      <c r="B382" t="inlineStr">
        <is>
          <t>CALI|TRANSPORTADORA_004</t>
        </is>
      </c>
      <c r="C382" t="inlineStr">
        <is>
          <t>Cali</t>
        </is>
      </c>
      <c r="D382" t="inlineStr">
        <is>
          <t>TRANSPORTADORA_004</t>
        </is>
      </c>
      <c r="E382" s="23" t="n">
        <v>46265</v>
      </c>
      <c r="F382" s="23" t="n">
        <v>46275</v>
      </c>
      <c r="G382" t="inlineStr">
        <is>
          <t>Sí</t>
        </is>
      </c>
      <c r="H382" s="25" t="n">
        <v>100000</v>
      </c>
      <c r="I382" s="26" t="n">
        <v>1497545584</v>
      </c>
      <c r="J382" s="26" t="n">
        <v>44842949</v>
      </c>
      <c r="K382" s="26" t="n">
        <v>0</v>
      </c>
      <c r="L382" s="26">
        <f>J382-K382</f>
        <v>44842949</v>
      </c>
      <c r="M382" s="26">
        <f>I382+L382</f>
        <v>1542388533</v>
      </c>
      <c r="N382" s="26" t="n">
        <v>173350000</v>
      </c>
      <c r="O382" s="26" t="n">
        <v>1626250000</v>
      </c>
      <c r="P382" s="26">
        <f>MAX(0,N382-M382)</f>
        <v>0</v>
      </c>
      <c r="Q382" s="26">
        <f>MAX(0,M382-O382)</f>
        <v>0</v>
      </c>
      <c r="R382" t="inlineStr">
        <is>
          <t>bajo</t>
        </is>
      </c>
      <c r="S382" t="inlineStr">
        <is>
          <t>sin_accion</t>
        </is>
      </c>
      <c r="T382" t="inlineStr">
        <is>
          <t>ninguno</t>
        </is>
      </c>
      <c r="U382" s="26" t="n">
        <v>0</v>
      </c>
      <c r="X382" s="26">
        <f>IF(T382="entrada",M382+U382,IF(T382="salida",M382-U382,M382))</f>
        <v>1542388533</v>
      </c>
      <c r="Y382" s="26" t="n">
        <v>0</v>
      </c>
      <c r="Z382" t="inlineStr">
        <is>
          <t>RN-85: dentro de niveles objetivo (sin_accion)</t>
        </is>
      </c>
      <c r="AA382" t="inlineStr">
        <is>
          <t>SUP-07, SUP-10</t>
        </is>
      </c>
      <c r="AB382" t="inlineStr">
        <is>
          <t>Saldo dentro del rango objetivo; sin accion.</t>
        </is>
      </c>
      <c r="AC382" t="inlineStr">
        <is>
          <t>Cierre del dia anterior (saldo encadenado, RN-71)</t>
        </is>
      </c>
      <c r="AD382" t="inlineStr">
        <is>
          <t>estimada</t>
        </is>
      </c>
      <c r="AE382" t="inlineStr">
        <is>
          <t>Participacion historica por denominacion (SUP-09)</t>
        </is>
      </c>
    </row>
    <row r="383">
      <c r="A383" t="inlineStr">
        <is>
          <t>PRAGMA</t>
        </is>
      </c>
      <c r="B383" t="inlineStr">
        <is>
          <t>CALI|TRANSPORTADORA_004</t>
        </is>
      </c>
      <c r="C383" t="inlineStr">
        <is>
          <t>Cali</t>
        </is>
      </c>
      <c r="D383" t="inlineStr">
        <is>
          <t>TRANSPORTADORA_004</t>
        </is>
      </c>
      <c r="E383" s="23" t="n">
        <v>46265</v>
      </c>
      <c r="F383" s="23" t="n">
        <v>46276</v>
      </c>
      <c r="G383" t="inlineStr">
        <is>
          <t>Sí</t>
        </is>
      </c>
      <c r="H383" s="25" t="n">
        <v>100000</v>
      </c>
      <c r="I383" s="26" t="n">
        <v>1542388533</v>
      </c>
      <c r="J383" s="26" t="n">
        <v>34879208</v>
      </c>
      <c r="K383" s="26" t="n">
        <v>0</v>
      </c>
      <c r="L383" s="26">
        <f>J383-K383</f>
        <v>34879208</v>
      </c>
      <c r="M383" s="26">
        <f>I383+L383</f>
        <v>1577267741</v>
      </c>
      <c r="N383" s="26" t="n">
        <v>173350000</v>
      </c>
      <c r="O383" s="26" t="n">
        <v>1626250000</v>
      </c>
      <c r="P383" s="26">
        <f>MAX(0,N383-M383)</f>
        <v>0</v>
      </c>
      <c r="Q383" s="26">
        <f>MAX(0,M383-O383)</f>
        <v>0</v>
      </c>
      <c r="R383" t="inlineStr">
        <is>
          <t>bajo</t>
        </is>
      </c>
      <c r="S383" t="inlineStr">
        <is>
          <t>sin_accion</t>
        </is>
      </c>
      <c r="T383" t="inlineStr">
        <is>
          <t>ninguno</t>
        </is>
      </c>
      <c r="U383" s="26" t="n">
        <v>0</v>
      </c>
      <c r="X383" s="26">
        <f>IF(T383="entrada",M383+U383,IF(T383="salida",M383-U383,M383))</f>
        <v>1577267741</v>
      </c>
      <c r="Y383" s="26" t="n">
        <v>0</v>
      </c>
      <c r="Z383" t="inlineStr">
        <is>
          <t>RN-85: dentro de niveles objetivo (sin_accion)</t>
        </is>
      </c>
      <c r="AA383" t="inlineStr">
        <is>
          <t>SUP-07, SUP-10</t>
        </is>
      </c>
      <c r="AB383" t="inlineStr">
        <is>
          <t>Saldo dentro del rango objetivo; sin accion.</t>
        </is>
      </c>
      <c r="AC383" t="inlineStr">
        <is>
          <t>Cierre del dia anterior (saldo encadenado, RN-71)</t>
        </is>
      </c>
      <c r="AD383" t="inlineStr">
        <is>
          <t>estimada</t>
        </is>
      </c>
      <c r="AE383" t="inlineStr">
        <is>
          <t>Participacion historica por denominacion (SUP-09)</t>
        </is>
      </c>
    </row>
    <row r="384">
      <c r="A384" t="inlineStr">
        <is>
          <t>PRAGMA</t>
        </is>
      </c>
      <c r="B384" t="inlineStr">
        <is>
          <t>CALI|TRANSPORTADORA_004</t>
        </is>
      </c>
      <c r="C384" t="inlineStr">
        <is>
          <t>Cali</t>
        </is>
      </c>
      <c r="D384" t="inlineStr">
        <is>
          <t>TRANSPORTADORA_004</t>
        </is>
      </c>
      <c r="E384" s="23" t="n">
        <v>46265</v>
      </c>
      <c r="F384" s="23" t="n">
        <v>46277</v>
      </c>
      <c r="G384" t="inlineStr">
        <is>
          <t>No</t>
        </is>
      </c>
      <c r="H384" s="25" t="n">
        <v>100000</v>
      </c>
      <c r="I384" s="26" t="n">
        <v>1577267741</v>
      </c>
      <c r="J384" s="26" t="n">
        <v>11302981</v>
      </c>
      <c r="K384" s="26" t="n">
        <v>0</v>
      </c>
      <c r="L384" s="26">
        <f>J384-K384</f>
        <v>11302981</v>
      </c>
      <c r="M384" s="26">
        <f>I384+L384</f>
        <v>1588570722</v>
      </c>
      <c r="N384" s="26" t="n">
        <v>173350000</v>
      </c>
      <c r="O384" s="26" t="n">
        <v>1626250000</v>
      </c>
      <c r="P384" s="26">
        <f>MAX(0,N384-M384)</f>
        <v>0</v>
      </c>
      <c r="Q384" s="26">
        <f>MAX(0,M384-O384)</f>
        <v>0</v>
      </c>
      <c r="R384" t="inlineStr">
        <is>
          <t>bajo</t>
        </is>
      </c>
      <c r="S384" t="inlineStr">
        <is>
          <t>sin_accion</t>
        </is>
      </c>
      <c r="T384" t="inlineStr">
        <is>
          <t>ninguno</t>
        </is>
      </c>
      <c r="U384" s="26" t="n">
        <v>0</v>
      </c>
      <c r="X384" s="26">
        <f>IF(T384="entrada",M384+U384,IF(T384="salida",M384-U384,M384))</f>
        <v>1588570722</v>
      </c>
      <c r="Y384" s="26" t="n">
        <v>0</v>
      </c>
      <c r="Z384" t="inlineStr">
        <is>
          <t>RN-85: dentro de niveles objetivo (sin_accion)</t>
        </is>
      </c>
      <c r="AA384" t="inlineStr">
        <is>
          <t>SUP-07, SUP-10</t>
        </is>
      </c>
      <c r="AB384" t="inlineStr">
        <is>
          <t>Saldo dentro del rango objetivo; sin accion.</t>
        </is>
      </c>
      <c r="AC384" t="inlineStr">
        <is>
          <t>Cierre del dia anterior (saldo encadenado, RN-71)</t>
        </is>
      </c>
      <c r="AD384" t="inlineStr">
        <is>
          <t>estimada</t>
        </is>
      </c>
      <c r="AE384" t="inlineStr">
        <is>
          <t>Participacion historica por denominacion (SUP-09)</t>
        </is>
      </c>
    </row>
    <row r="385">
      <c r="A385" t="inlineStr">
        <is>
          <t>PRAGMA</t>
        </is>
      </c>
      <c r="B385" t="inlineStr">
        <is>
          <t>CALI|TRANSPORTADORA_004</t>
        </is>
      </c>
      <c r="C385" t="inlineStr">
        <is>
          <t>Cali</t>
        </is>
      </c>
      <c r="D385" t="inlineStr">
        <is>
          <t>TRANSPORTADORA_004</t>
        </is>
      </c>
      <c r="E385" s="23" t="n">
        <v>46265</v>
      </c>
      <c r="F385" s="23" t="n">
        <v>46278</v>
      </c>
      <c r="G385" t="inlineStr">
        <is>
          <t>No</t>
        </is>
      </c>
      <c r="H385" s="25" t="n">
        <v>100000</v>
      </c>
      <c r="I385" s="26" t="n">
        <v>1588570722</v>
      </c>
      <c r="J385" s="26" t="n">
        <v>10538286</v>
      </c>
      <c r="K385" s="26" t="n">
        <v>0</v>
      </c>
      <c r="L385" s="26">
        <f>J385-K385</f>
        <v>10538286</v>
      </c>
      <c r="M385" s="26">
        <f>I385+L385</f>
        <v>1599109008</v>
      </c>
      <c r="N385" s="26" t="n">
        <v>173350000</v>
      </c>
      <c r="O385" s="26" t="n">
        <v>1626250000</v>
      </c>
      <c r="P385" s="26">
        <f>MAX(0,N385-M385)</f>
        <v>0</v>
      </c>
      <c r="Q385" s="26">
        <f>MAX(0,M385-O385)</f>
        <v>0</v>
      </c>
      <c r="R385" t="inlineStr">
        <is>
          <t>bajo</t>
        </is>
      </c>
      <c r="S385" t="inlineStr">
        <is>
          <t>sin_accion</t>
        </is>
      </c>
      <c r="T385" t="inlineStr">
        <is>
          <t>ninguno</t>
        </is>
      </c>
      <c r="U385" s="26" t="n">
        <v>0</v>
      </c>
      <c r="X385" s="26">
        <f>IF(T385="entrada",M385+U385,IF(T385="salida",M385-U385,M385))</f>
        <v>1599109008</v>
      </c>
      <c r="Y385" s="26" t="n">
        <v>0</v>
      </c>
      <c r="Z385" t="inlineStr">
        <is>
          <t>RN-85: dentro de niveles objetivo (sin_accion)</t>
        </is>
      </c>
      <c r="AA385" t="inlineStr">
        <is>
          <t>SUP-07, SUP-10</t>
        </is>
      </c>
      <c r="AB385" t="inlineStr">
        <is>
          <t>Saldo dentro del rango objetivo; sin accion.</t>
        </is>
      </c>
      <c r="AC385" t="inlineStr">
        <is>
          <t>Cierre del dia anterior (saldo encadenado, RN-71)</t>
        </is>
      </c>
      <c r="AD385" t="inlineStr">
        <is>
          <t>estimada</t>
        </is>
      </c>
      <c r="AE385" t="inlineStr">
        <is>
          <t>Participacion historica por denominacion (SUP-09)</t>
        </is>
      </c>
    </row>
    <row r="386">
      <c r="A386" t="inlineStr">
        <is>
          <t>PRAGMA</t>
        </is>
      </c>
      <c r="B386" t="inlineStr">
        <is>
          <t>CALI|TRANSPORTADORA_004</t>
        </is>
      </c>
      <c r="C386" t="inlineStr">
        <is>
          <t>Cali</t>
        </is>
      </c>
      <c r="D386" t="inlineStr">
        <is>
          <t>TRANSPORTADORA_004</t>
        </is>
      </c>
      <c r="E386" s="23" t="n">
        <v>46265</v>
      </c>
      <c r="F386" s="23" t="n">
        <v>46279</v>
      </c>
      <c r="G386" t="inlineStr">
        <is>
          <t>Sí</t>
        </is>
      </c>
      <c r="H386" s="25" t="n">
        <v>100000</v>
      </c>
      <c r="I386" s="26" t="n">
        <v>1599109008</v>
      </c>
      <c r="J386" s="26" t="n">
        <v>64669241</v>
      </c>
      <c r="K386" s="26" t="n">
        <v>0</v>
      </c>
      <c r="L386" s="26">
        <f>J386-K386</f>
        <v>64669241</v>
      </c>
      <c r="M386" s="26">
        <f>I386+L386</f>
        <v>1663778249</v>
      </c>
      <c r="N386" s="26" t="n">
        <v>173350000</v>
      </c>
      <c r="O386" s="26" t="n">
        <v>1626250000</v>
      </c>
      <c r="P386" s="26">
        <f>MAX(0,N386-M386)</f>
        <v>0</v>
      </c>
      <c r="Q386" s="26">
        <f>MAX(0,M386-O386)</f>
        <v>37528249</v>
      </c>
      <c r="R386" t="inlineStr">
        <is>
          <t>bajo</t>
        </is>
      </c>
      <c r="S386" t="inlineStr">
        <is>
          <t>traslado_fondos</t>
        </is>
      </c>
      <c r="T386" t="inlineStr">
        <is>
          <t>salida</t>
        </is>
      </c>
      <c r="U386" s="26" t="n">
        <v>37600000</v>
      </c>
      <c r="V386" t="inlineStr">
        <is>
          <t>CALI|TRANSPORTADORA_004</t>
        </is>
      </c>
      <c r="W386" t="inlineStr">
        <is>
          <t>CALI|TRANSPORTADORA_003</t>
        </is>
      </c>
      <c r="X386" s="26">
        <f>IF(T386="entrada",M386+U386,IF(T386="salida",M386-U386,M386))</f>
        <v>1626178249</v>
      </c>
      <c r="Y386" s="26" t="n">
        <v>0</v>
      </c>
      <c r="Z386" t="inlineStr">
        <is>
          <t>Menor costo neto entre las alternativas que cubren la necesidad completa</t>
        </is>
      </c>
      <c r="AA386" t="inlineStr">
        <is>
          <t>SUP-08, SUP-10</t>
        </is>
      </c>
      <c r="AB386" t="inlineStr">
        <is>
          <t>Excedente de $37.528.249 en la denominacion 100000: saldo $1.663.778.249 sobre el maximo $1.626.250.000. Elegida: traslado con CALI|TRANSPORTADORA_003 ($37.600.000; costo $0). Es preferible porque tiene el menor costo neto. Otras alternativas: conservar ($37.600.000; costo de almacenar $790); consignacion BanRep ($37.600.000; costo $131.029); venta: no habilitada en este fondo (sin historico o fuera de las ciudades BanRep); traslado hacia 1 fondo(s) con espacio: ruta sin tarifa en el Anexo E (prohibida).</t>
        </is>
      </c>
      <c r="AC386" t="inlineStr">
        <is>
          <t>Cierre del dia anterior (saldo encadenado, RN-71)</t>
        </is>
      </c>
      <c r="AD386" t="inlineStr">
        <is>
          <t>estimada</t>
        </is>
      </c>
      <c r="AE386" t="inlineStr">
        <is>
          <t>Participacion historica por denominacion (SUP-09)</t>
        </is>
      </c>
    </row>
    <row r="387">
      <c r="A387" t="inlineStr">
        <is>
          <t>PRAGMA</t>
        </is>
      </c>
      <c r="B387" t="inlineStr">
        <is>
          <t>CALI|TRANSPORTADORA_004</t>
        </is>
      </c>
      <c r="C387" t="inlineStr">
        <is>
          <t>Cali</t>
        </is>
      </c>
      <c r="D387" t="inlineStr">
        <is>
          <t>TRANSPORTADORA_004</t>
        </is>
      </c>
      <c r="E387" s="23" t="n">
        <v>46265</v>
      </c>
      <c r="F387" s="23" t="n">
        <v>46280</v>
      </c>
      <c r="G387" t="inlineStr">
        <is>
          <t>Sí</t>
        </is>
      </c>
      <c r="H387" s="25" t="n">
        <v>100000</v>
      </c>
      <c r="I387" s="26" t="n">
        <v>1626178249</v>
      </c>
      <c r="J387" s="26" t="n">
        <v>41280862</v>
      </c>
      <c r="K387" s="26" t="n">
        <v>0</v>
      </c>
      <c r="L387" s="26">
        <f>J387-K387</f>
        <v>41280862</v>
      </c>
      <c r="M387" s="26">
        <f>I387+L387</f>
        <v>1667459111</v>
      </c>
      <c r="N387" s="26" t="n">
        <v>173350000</v>
      </c>
      <c r="O387" s="26" t="n">
        <v>1626250000</v>
      </c>
      <c r="P387" s="26">
        <f>MAX(0,N387-M387)</f>
        <v>0</v>
      </c>
      <c r="Q387" s="26">
        <f>MAX(0,M387-O387)</f>
        <v>41209111</v>
      </c>
      <c r="R387" t="inlineStr">
        <is>
          <t>bajo</t>
        </is>
      </c>
      <c r="S387" t="inlineStr">
        <is>
          <t>traslado_fondos</t>
        </is>
      </c>
      <c r="T387" t="inlineStr">
        <is>
          <t>salida</t>
        </is>
      </c>
      <c r="U387" s="26" t="n">
        <v>41300000</v>
      </c>
      <c r="V387" t="inlineStr">
        <is>
          <t>CALI|TRANSPORTADORA_004</t>
        </is>
      </c>
      <c r="W387" t="inlineStr">
        <is>
          <t>CALI|TRANSPORTADORA_003</t>
        </is>
      </c>
      <c r="X387" s="26">
        <f>IF(T387="entrada",M387+U387,IF(T387="salida",M387-U387,M387))</f>
        <v>1626159111</v>
      </c>
      <c r="Y387" s="26" t="n">
        <v>0</v>
      </c>
      <c r="Z387" t="inlineStr">
        <is>
          <t>Menor costo neto entre las alternativas que cubren la necesidad completa</t>
        </is>
      </c>
      <c r="AA387" t="inlineStr">
        <is>
          <t>SUP-08, SUP-10</t>
        </is>
      </c>
      <c r="AB387" t="inlineStr">
        <is>
          <t>Excedente de $41.209.110 en la denominacion 100000: saldo $1.667.459.110 sobre el maximo $1.626.250.000. Elegida: traslado con CALI|TRANSPORTADORA_003 ($41.300.000; costo $0). Es preferible porque tiene el menor costo neto. Otras alternativas: conservar ($41.300.000; costo de almacenar $434); consignacion BanRep ($41.300.000; costo $132.039); venta: no habilitada en este fondo (sin historico o fuera de las ciudades BanRep); traslado hacia 1 fondo(s) con espacio: ruta sin tarifa en el Anexo E (prohibida).</t>
        </is>
      </c>
      <c r="AC387" t="inlineStr">
        <is>
          <t>Cierre del dia anterior (saldo encadenado, RN-71)</t>
        </is>
      </c>
      <c r="AD387" t="inlineStr">
        <is>
          <t>estimada</t>
        </is>
      </c>
      <c r="AE387" t="inlineStr">
        <is>
          <t>Participacion historica por denominacion (SUP-09)</t>
        </is>
      </c>
    </row>
    <row r="388">
      <c r="A388" t="inlineStr">
        <is>
          <t>PRAGMA</t>
        </is>
      </c>
      <c r="B388" t="inlineStr">
        <is>
          <t>IPIALES|TRANSPORTADORA_002</t>
        </is>
      </c>
      <c r="C388" t="inlineStr">
        <is>
          <t>Ipiales</t>
        </is>
      </c>
      <c r="D388" t="inlineStr">
        <is>
          <t>TRANSPORTADORA_002</t>
        </is>
      </c>
      <c r="E388" s="23" t="n">
        <v>46265</v>
      </c>
      <c r="F388" s="23" t="n">
        <v>46266</v>
      </c>
      <c r="G388" t="inlineStr">
        <is>
          <t>Sí</t>
        </is>
      </c>
      <c r="H388" s="25" t="n">
        <v>2000</v>
      </c>
      <c r="I388" s="26" t="n">
        <v>323830000</v>
      </c>
      <c r="J388" s="26" t="n">
        <v>205034086</v>
      </c>
      <c r="K388" s="26" t="n">
        <v>81161172</v>
      </c>
      <c r="L388" s="26">
        <f>J388-K388</f>
        <v>123872914</v>
      </c>
      <c r="M388" s="26">
        <f>I388+L388</f>
        <v>447702914</v>
      </c>
      <c r="N388" s="26" t="n">
        <v>227773000</v>
      </c>
      <c r="O388" s="26" t="n">
        <v>444852000</v>
      </c>
      <c r="P388" s="26">
        <f>MAX(0,N388-M388)</f>
        <v>0</v>
      </c>
      <c r="Q388" s="26">
        <f>MAX(0,M388-O388)</f>
        <v>2850914</v>
      </c>
      <c r="R388" t="inlineStr">
        <is>
          <t>bajo</t>
        </is>
      </c>
      <c r="S388" t="inlineStr">
        <is>
          <t>venta_efectivo</t>
        </is>
      </c>
      <c r="T388" t="inlineStr">
        <is>
          <t>salida</t>
        </is>
      </c>
      <c r="U388" s="26" t="n">
        <v>2852000</v>
      </c>
      <c r="V388" t="inlineStr">
        <is>
          <t>IPIALES|TRANSPORTADORA_002</t>
        </is>
      </c>
      <c r="X388" s="26">
        <f>IF(T388="entrada",M388+U388,IF(T388="salida",M388-U388,M388))</f>
        <v>444850914</v>
      </c>
      <c r="Y388" s="26" t="n">
        <v>0</v>
      </c>
      <c r="Z388" t="inlineStr">
        <is>
          <t>Menor costo neto entre las alternativas que cubren la necesidad completa</t>
        </is>
      </c>
      <c r="AA388" t="inlineStr">
        <is>
          <t>SUP-08, SUP-10, SUP-23</t>
        </is>
      </c>
      <c r="AB388" t="inlineStr">
        <is>
          <t>Excedente de $2.850.914 en la denominacion 2000: saldo $447.702.914 sobre el maximo $444.852.000. Elegida: venta ($2.852.000; beneficio de referencia $1.141). Es preferible porque tiene el menor costo neto. Otras alternativas: conservar ($2.852.000; costo de almacenar $427); traslado con CALI|TRANSPORTADORA_001 ($2.852.000; costo $164.966); traslado con CALI|TRANSPORTADORA_002 ($2.852.000; costo $164.966); traslado con CALI|TRANSPORTADORA_003 ($2.852.000; costo $164.966); consignacion BanRep: no habilitada en este fondo (sin historico o fuera de las ciudades BanRep).</t>
        </is>
      </c>
      <c r="AC388" t="inlineStr">
        <is>
          <t>Ultimo disponible al 31/08/2026 (SUP-07)</t>
        </is>
      </c>
      <c r="AD388" t="inlineStr">
        <is>
          <t>estimada</t>
        </is>
      </c>
      <c r="AE388" t="inlineStr">
        <is>
          <t>Participacion historica por denominacion (SUP-09)</t>
        </is>
      </c>
    </row>
    <row r="389">
      <c r="A389" t="inlineStr">
        <is>
          <t>PRAGMA</t>
        </is>
      </c>
      <c r="B389" t="inlineStr">
        <is>
          <t>IPIALES|TRANSPORTADORA_002</t>
        </is>
      </c>
      <c r="C389" t="inlineStr">
        <is>
          <t>Ipiales</t>
        </is>
      </c>
      <c r="D389" t="inlineStr">
        <is>
          <t>TRANSPORTADORA_002</t>
        </is>
      </c>
      <c r="E389" s="23" t="n">
        <v>46265</v>
      </c>
      <c r="F389" s="23" t="n">
        <v>46267</v>
      </c>
      <c r="G389" t="inlineStr">
        <is>
          <t>Sí</t>
        </is>
      </c>
      <c r="H389" s="25" t="n">
        <v>2000</v>
      </c>
      <c r="I389" s="26" t="n">
        <v>444850914</v>
      </c>
      <c r="J389" s="26" t="n">
        <v>215567389</v>
      </c>
      <c r="K389" s="26" t="n">
        <v>76833395</v>
      </c>
      <c r="L389" s="26">
        <f>J389-K389</f>
        <v>138733994</v>
      </c>
      <c r="M389" s="26">
        <f>I389+L389</f>
        <v>583584908</v>
      </c>
      <c r="N389" s="26" t="n">
        <v>227773000</v>
      </c>
      <c r="O389" s="26" t="n">
        <v>444852000</v>
      </c>
      <c r="P389" s="26">
        <f>MAX(0,N389-M389)</f>
        <v>0</v>
      </c>
      <c r="Q389" s="26">
        <f>MAX(0,M389-O389)</f>
        <v>138732908</v>
      </c>
      <c r="R389" t="inlineStr">
        <is>
          <t>bajo</t>
        </is>
      </c>
      <c r="S389" t="inlineStr">
        <is>
          <t>venta_efectivo</t>
        </is>
      </c>
      <c r="T389" t="inlineStr">
        <is>
          <t>salida</t>
        </is>
      </c>
      <c r="U389" s="26" t="n">
        <v>138734000</v>
      </c>
      <c r="V389" t="inlineStr">
        <is>
          <t>IPIALES|TRANSPORTADORA_002</t>
        </is>
      </c>
      <c r="X389" s="26">
        <f>IF(T389="entrada",M389+U389,IF(T389="salida",M389-U389,M389))</f>
        <v>444850908</v>
      </c>
      <c r="Y389" s="26" t="n">
        <v>0</v>
      </c>
      <c r="Z389" t="inlineStr">
        <is>
          <t>Menor costo neto entre las alternativas que cubren la necesidad completa</t>
        </is>
      </c>
      <c r="AA389" t="inlineStr">
        <is>
          <t>SUP-08, SUP-10, SUP-23</t>
        </is>
      </c>
      <c r="AB389" t="inlineStr">
        <is>
          <t>Excedente de $138.732.908 en la denominacion 2000: saldo $583.584.908 sobre el maximo $444.852.000. Elegida: venta ($138.734.000; beneficio de referencia $55.494). Es preferible porque tiene el menor costo neto. Otras alternativas: conservar ($138.734.000; costo de almacenar $19.393); traslado con CALI|TRANSPORTADORA_001 ($138.734.000; costo $283.455); traslado con CALI|TRANSPORTADORA_002 ($138.734.000; costo $283.455); traslado con CALI|TRANSPORTADORA_003 ($138.734.000; costo $283.455); consignacion BanRep: no habilitada en este fondo (sin historico o fuera de las ciudades BanRep).</t>
        </is>
      </c>
      <c r="AC389" t="inlineStr">
        <is>
          <t>Cierre del dia anterior (saldo encadenado, RN-71)</t>
        </is>
      </c>
      <c r="AD389" t="inlineStr">
        <is>
          <t>estimada</t>
        </is>
      </c>
      <c r="AE389" t="inlineStr">
        <is>
          <t>Participacion historica por denominacion (SUP-09)</t>
        </is>
      </c>
    </row>
    <row r="390">
      <c r="A390" t="inlineStr">
        <is>
          <t>PRAGMA</t>
        </is>
      </c>
      <c r="B390" t="inlineStr">
        <is>
          <t>IPIALES|TRANSPORTADORA_002</t>
        </is>
      </c>
      <c r="C390" t="inlineStr">
        <is>
          <t>Ipiales</t>
        </is>
      </c>
      <c r="D390" t="inlineStr">
        <is>
          <t>TRANSPORTADORA_002</t>
        </is>
      </c>
      <c r="E390" s="23" t="n">
        <v>46265</v>
      </c>
      <c r="F390" s="23" t="n">
        <v>46268</v>
      </c>
      <c r="G390" t="inlineStr">
        <is>
          <t>Sí</t>
        </is>
      </c>
      <c r="H390" s="25" t="n">
        <v>2000</v>
      </c>
      <c r="I390" s="26" t="n">
        <v>444850908</v>
      </c>
      <c r="J390" s="26" t="n">
        <v>213409576</v>
      </c>
      <c r="K390" s="26" t="n">
        <v>55520387</v>
      </c>
      <c r="L390" s="26">
        <f>J390-K390</f>
        <v>157889189</v>
      </c>
      <c r="M390" s="26">
        <f>I390+L390</f>
        <v>602740097</v>
      </c>
      <c r="N390" s="26" t="n">
        <v>227773000</v>
      </c>
      <c r="O390" s="26" t="n">
        <v>444852000</v>
      </c>
      <c r="P390" s="26">
        <f>MAX(0,N390-M390)</f>
        <v>0</v>
      </c>
      <c r="Q390" s="26">
        <f>MAX(0,M390-O390)</f>
        <v>157888097</v>
      </c>
      <c r="R390" t="inlineStr">
        <is>
          <t>bajo</t>
        </is>
      </c>
      <c r="S390" t="inlineStr">
        <is>
          <t>venta_efectivo</t>
        </is>
      </c>
      <c r="T390" t="inlineStr">
        <is>
          <t>salida</t>
        </is>
      </c>
      <c r="U390" s="26" t="n">
        <v>157890000</v>
      </c>
      <c r="V390" t="inlineStr">
        <is>
          <t>IPIALES|TRANSPORTADORA_002</t>
        </is>
      </c>
      <c r="X390" s="26">
        <f>IF(T390="entrada",M390+U390,IF(T390="salida",M390-U390,M390))</f>
        <v>444850097</v>
      </c>
      <c r="Y390" s="26" t="n">
        <v>0</v>
      </c>
      <c r="Z390" t="inlineStr">
        <is>
          <t>Menor costo neto entre las alternativas que cubren la necesidad completa</t>
        </is>
      </c>
      <c r="AA390" t="inlineStr">
        <is>
          <t>SUP-08, SUP-10, SUP-23</t>
        </is>
      </c>
      <c r="AB390" t="inlineStr">
        <is>
          <t>Excedente de $157.888.097 en la denominacion 2000: saldo $602.740.097 sobre el maximo $444.852.000. Elegida: venta ($157.890.000; beneficio de referencia $63.156). Es preferible porque tiene el menor costo neto. Otras alternativas: conservar ($157.890.000; costo de almacenar $20.494); traslado con CALI|TRANSPORTADORA_002 ($98.082.000; costo $248.007, cubre solo una parte); traslado con CALI|TRANSPORTADORA_001 ($157.890.000; costo $300.159); traslado con CALI|TRANSPORTADORA_003 ($157.890.000; costo $300.159); consignacion BanRep: no habilitada en este fondo (sin historico o fuera de las ciudades BanRep).</t>
        </is>
      </c>
      <c r="AC390" t="inlineStr">
        <is>
          <t>Cierre del dia anterior (saldo encadenado, RN-71)</t>
        </is>
      </c>
      <c r="AD390" t="inlineStr">
        <is>
          <t>estimada</t>
        </is>
      </c>
      <c r="AE390" t="inlineStr">
        <is>
          <t>Participacion historica por denominacion (SUP-09)</t>
        </is>
      </c>
    </row>
    <row r="391">
      <c r="A391" t="inlineStr">
        <is>
          <t>PRAGMA</t>
        </is>
      </c>
      <c r="B391" t="inlineStr">
        <is>
          <t>IPIALES|TRANSPORTADORA_002</t>
        </is>
      </c>
      <c r="C391" t="inlineStr">
        <is>
          <t>Ipiales</t>
        </is>
      </c>
      <c r="D391" t="inlineStr">
        <is>
          <t>TRANSPORTADORA_002</t>
        </is>
      </c>
      <c r="E391" s="23" t="n">
        <v>46265</v>
      </c>
      <c r="F391" s="23" t="n">
        <v>46269</v>
      </c>
      <c r="G391" t="inlineStr">
        <is>
          <t>Sí</t>
        </is>
      </c>
      <c r="H391" s="25" t="n">
        <v>2000</v>
      </c>
      <c r="I391" s="26" t="n">
        <v>444850097</v>
      </c>
      <c r="J391" s="26" t="n">
        <v>231464532</v>
      </c>
      <c r="K391" s="26" t="n">
        <v>82185052</v>
      </c>
      <c r="L391" s="26">
        <f>J391-K391</f>
        <v>149279480</v>
      </c>
      <c r="M391" s="26">
        <f>I391+L391</f>
        <v>594129577</v>
      </c>
      <c r="N391" s="26" t="n">
        <v>227773000</v>
      </c>
      <c r="O391" s="26" t="n">
        <v>444852000</v>
      </c>
      <c r="P391" s="26">
        <f>MAX(0,N391-M391)</f>
        <v>0</v>
      </c>
      <c r="Q391" s="26">
        <f>MAX(0,M391-O391)</f>
        <v>149277577</v>
      </c>
      <c r="R391" t="inlineStr">
        <is>
          <t>bajo</t>
        </is>
      </c>
      <c r="S391" t="inlineStr">
        <is>
          <t>venta_efectivo</t>
        </is>
      </c>
      <c r="T391" t="inlineStr">
        <is>
          <t>salida</t>
        </is>
      </c>
      <c r="U391" s="26" t="n">
        <v>149278000</v>
      </c>
      <c r="V391" t="inlineStr">
        <is>
          <t>IPIALES|TRANSPORTADORA_002</t>
        </is>
      </c>
      <c r="X391" s="26">
        <f>IF(T391="entrada",M391+U391,IF(T391="salida",M391-U391,M391))</f>
        <v>444851577</v>
      </c>
      <c r="Y391" s="26" t="n">
        <v>0</v>
      </c>
      <c r="Z391" t="inlineStr">
        <is>
          <t>Menor costo neto entre las alternativas que cubren la necesidad completa</t>
        </is>
      </c>
      <c r="AA391" t="inlineStr">
        <is>
          <t>SUP-08, SUP-10, SUP-23</t>
        </is>
      </c>
      <c r="AB391" t="inlineStr">
        <is>
          <t>Excedente de $149.277.577 en la denominacion 2000: saldo $594.129.577 sobre el maximo $444.852.000. Elegida: venta ($149.278.000; beneficio de referencia $59.711). Es preferible porque tiene el menor costo neto. Otras alternativas: traslado con PASTO|TRANSPORTADORA_001 ($2.378.000; costo $17.028, cubre solo una parte); conservar ($149.278.000; costo de almacenar $17.886); traslado con CALI|TRANSPORTADORA_002 ($54.354.000; costo $209.876, cubre solo una parte); traslado con CALI|TRANSPORTADORA_001 ($90.962.000; costo $241.798, cubre solo una parte); traslado con CALI|TRANSPORTADORA_003 ($149.278.000; costo $292.649); consignacion BanRep: no habilitada en este fondo (sin historico o fuera de las ciudades BanRep).</t>
        </is>
      </c>
      <c r="AC391" t="inlineStr">
        <is>
          <t>Cierre del dia anterior (saldo encadenado, RN-71)</t>
        </is>
      </c>
      <c r="AD391" t="inlineStr">
        <is>
          <t>estimada</t>
        </is>
      </c>
      <c r="AE391" t="inlineStr">
        <is>
          <t>Participacion historica por denominacion (SUP-09)</t>
        </is>
      </c>
    </row>
    <row r="392">
      <c r="A392" t="inlineStr">
        <is>
          <t>PRAGMA</t>
        </is>
      </c>
      <c r="B392" t="inlineStr">
        <is>
          <t>IPIALES|TRANSPORTADORA_002</t>
        </is>
      </c>
      <c r="C392" t="inlineStr">
        <is>
          <t>Ipiales</t>
        </is>
      </c>
      <c r="D392" t="inlineStr">
        <is>
          <t>TRANSPORTADORA_002</t>
        </is>
      </c>
      <c r="E392" s="23" t="n">
        <v>46265</v>
      </c>
      <c r="F392" s="23" t="n">
        <v>46270</v>
      </c>
      <c r="G392" t="inlineStr">
        <is>
          <t>No</t>
        </is>
      </c>
      <c r="H392" s="25" t="n">
        <v>2000</v>
      </c>
      <c r="I392" s="26" t="n">
        <v>444851577</v>
      </c>
      <c r="J392" s="26" t="n">
        <v>27068285</v>
      </c>
      <c r="K392" s="26" t="n">
        <v>10897168</v>
      </c>
      <c r="L392" s="26">
        <f>J392-K392</f>
        <v>16171117</v>
      </c>
      <c r="M392" s="26">
        <f>I392+L392</f>
        <v>461022694</v>
      </c>
      <c r="N392" s="26" t="n">
        <v>227773000</v>
      </c>
      <c r="O392" s="26" t="n">
        <v>444852000</v>
      </c>
      <c r="P392" s="26">
        <f>MAX(0,N392-M392)</f>
        <v>0</v>
      </c>
      <c r="Q392" s="26">
        <f>MAX(0,M392-O392)</f>
        <v>16170694</v>
      </c>
      <c r="R392" t="inlineStr">
        <is>
          <t>medio</t>
        </is>
      </c>
      <c r="S392" t="inlineStr">
        <is>
          <t>sin_accion</t>
        </is>
      </c>
      <c r="T392" t="inlineStr">
        <is>
          <t>ninguno</t>
        </is>
      </c>
      <c r="U392" s="26" t="n">
        <v>0</v>
      </c>
      <c r="X392" s="26">
        <f>IF(T392="entrada",M392+U392,IF(T392="salida",M392-U392,M392))</f>
        <v>461022694</v>
      </c>
      <c r="Y392" s="26" t="n">
        <v>0</v>
      </c>
      <c r="Z392" t="inlineStr">
        <is>
          <t>Costo de almacenar menor que el de actuar</t>
        </is>
      </c>
      <c r="AA392" t="inlineStr">
        <is>
          <t>SUP-07, SUP-10</t>
        </is>
      </c>
      <c r="AB392" t="inlineStr">
        <is>
          <t>Excedente de $16.170.693 en la denominacion 2000: saldo $461.022.693 sobre el maximo $444.852.000. Se conserva: guardarlo hasta el fin del horizonte cuesta $1.776 (Anexo E, almacenamiento), menos que cualquier accion. Alternativas: traslado con PASTO|TRANSPORTADORA_001 ($16.172.000; costo $21.717); traslado con CALI|TRANSPORTADORA_001 ($16.172.000; costo $176.581); traslado con CALI|TRANSPORTADORA_002 ($16.172.000; costo $176.581); traslado con CALI|TRANSPORTADORA_003 ($16.172.000; costo $176.581); venta: dia no habil (sabado, domingo o festivo; RN-71A); consignacion BanRep: dia no habil (sabado, domingo o festivo; RN-71A).</t>
        </is>
      </c>
      <c r="AC392" t="inlineStr">
        <is>
          <t>Cierre del dia anterior (saldo encadenado, RN-71)</t>
        </is>
      </c>
      <c r="AD392" t="inlineStr">
        <is>
          <t>estimada</t>
        </is>
      </c>
      <c r="AE392" t="inlineStr">
        <is>
          <t>Participacion historica por denominacion (SUP-09)</t>
        </is>
      </c>
    </row>
    <row r="393">
      <c r="A393" t="inlineStr">
        <is>
          <t>PRAGMA</t>
        </is>
      </c>
      <c r="B393" t="inlineStr">
        <is>
          <t>IPIALES|TRANSPORTADORA_002</t>
        </is>
      </c>
      <c r="C393" t="inlineStr">
        <is>
          <t>Ipiales</t>
        </is>
      </c>
      <c r="D393" t="inlineStr">
        <is>
          <t>TRANSPORTADORA_002</t>
        </is>
      </c>
      <c r="E393" s="23" t="n">
        <v>46265</v>
      </c>
      <c r="F393" s="23" t="n">
        <v>46271</v>
      </c>
      <c r="G393" t="inlineStr">
        <is>
          <t>No</t>
        </is>
      </c>
      <c r="H393" s="25" t="n">
        <v>2000</v>
      </c>
      <c r="I393" s="26" t="n">
        <v>461022693</v>
      </c>
      <c r="J393" s="26" t="n">
        <v>31013710</v>
      </c>
      <c r="K393" s="26" t="n">
        <v>7059560</v>
      </c>
      <c r="L393" s="26">
        <f>J393-K393</f>
        <v>23954150</v>
      </c>
      <c r="M393" s="26">
        <f>I393+L393</f>
        <v>484976843</v>
      </c>
      <c r="N393" s="26" t="n">
        <v>227773000</v>
      </c>
      <c r="O393" s="26" t="n">
        <v>444852000</v>
      </c>
      <c r="P393" s="26">
        <f>MAX(0,N393-M393)</f>
        <v>0</v>
      </c>
      <c r="Q393" s="26">
        <f>MAX(0,M393-O393)</f>
        <v>40124843</v>
      </c>
      <c r="R393" t="inlineStr">
        <is>
          <t>medio</t>
        </is>
      </c>
      <c r="S393" t="inlineStr">
        <is>
          <t>sin_accion</t>
        </is>
      </c>
      <c r="T393" t="inlineStr">
        <is>
          <t>ninguno</t>
        </is>
      </c>
      <c r="U393" s="26" t="n">
        <v>0</v>
      </c>
      <c r="X393" s="26">
        <f>IF(T393="entrada",M393+U393,IF(T393="salida",M393-U393,M393))</f>
        <v>484976843</v>
      </c>
      <c r="Y393" s="26" t="n">
        <v>0</v>
      </c>
      <c r="Z393" t="inlineStr">
        <is>
          <t>Costo de almacenar menor que el de actuar</t>
        </is>
      </c>
      <c r="AA393" t="inlineStr">
        <is>
          <t>SUP-07, SUP-10</t>
        </is>
      </c>
      <c r="AB393" t="inlineStr">
        <is>
          <t>Excedente de $40.124.843 en la denominacion 2000: saldo $484.976.843 sobre el maximo $444.852.000. Se conserva: guardarlo hasta el fin del horizonte cuesta $4.006 (Anexo E, almacenamiento), menos que cualquier accion. Alternativas: traslado con PASTO|TRANSPORTADORA_001 ($19.946.000; costo $23.001, cubre solo una parte); traslado con CALI|TRANSPORTADORA_001 ($40.126.000; costo $197.469); traslado con CALI|TRANSPORTADORA_002 ($40.126.000; costo $197.469); traslado con CALI|TRANSPORTADORA_003 ($40.126.000; costo $197.469); venta: dia no habil (sabado, domingo o festivo; RN-71A); consignacion BanRep: dia no habil (sabado, domingo o festivo; RN-71A).</t>
        </is>
      </c>
      <c r="AC393" t="inlineStr">
        <is>
          <t>Cierre del dia anterior (saldo encadenado, RN-71)</t>
        </is>
      </c>
      <c r="AD393" t="inlineStr">
        <is>
          <t>estimada</t>
        </is>
      </c>
      <c r="AE393" t="inlineStr">
        <is>
          <t>Participacion historica por denominacion (SUP-09)</t>
        </is>
      </c>
    </row>
    <row r="394">
      <c r="A394" t="inlineStr">
        <is>
          <t>PRAGMA</t>
        </is>
      </c>
      <c r="B394" t="inlineStr">
        <is>
          <t>IPIALES|TRANSPORTADORA_002</t>
        </is>
      </c>
      <c r="C394" t="inlineStr">
        <is>
          <t>Ipiales</t>
        </is>
      </c>
      <c r="D394" t="inlineStr">
        <is>
          <t>TRANSPORTADORA_002</t>
        </is>
      </c>
      <c r="E394" s="23" t="n">
        <v>46265</v>
      </c>
      <c r="F394" s="23" t="n">
        <v>46272</v>
      </c>
      <c r="G394" t="inlineStr">
        <is>
          <t>Sí</t>
        </is>
      </c>
      <c r="H394" s="25" t="n">
        <v>2000</v>
      </c>
      <c r="I394" s="26" t="n">
        <v>484976843</v>
      </c>
      <c r="J394" s="26" t="n">
        <v>223163254</v>
      </c>
      <c r="K394" s="26" t="n">
        <v>69887293</v>
      </c>
      <c r="L394" s="26">
        <f>J394-K394</f>
        <v>153275961</v>
      </c>
      <c r="M394" s="26">
        <f>I394+L394</f>
        <v>638252804</v>
      </c>
      <c r="N394" s="26" t="n">
        <v>227773000</v>
      </c>
      <c r="O394" s="26" t="n">
        <v>444852000</v>
      </c>
      <c r="P394" s="26">
        <f>MAX(0,N394-M394)</f>
        <v>0</v>
      </c>
      <c r="Q394" s="26">
        <f>MAX(0,M394-O394)</f>
        <v>193400804</v>
      </c>
      <c r="R394" t="inlineStr">
        <is>
          <t>bajo</t>
        </is>
      </c>
      <c r="S394" t="inlineStr">
        <is>
          <t>venta_efectivo</t>
        </is>
      </c>
      <c r="T394" t="inlineStr">
        <is>
          <t>salida</t>
        </is>
      </c>
      <c r="U394" s="26" t="n">
        <v>193402000</v>
      </c>
      <c r="V394" t="inlineStr">
        <is>
          <t>IPIALES|TRANSPORTADORA_002</t>
        </is>
      </c>
      <c r="X394" s="26">
        <f>IF(T394="entrada",M394+U394,IF(T394="salida",M394-U394,M394))</f>
        <v>444850804</v>
      </c>
      <c r="Y394" s="26" t="n">
        <v>0</v>
      </c>
      <c r="Z394" t="inlineStr">
        <is>
          <t>Menor costo neto entre las alternativas que cubren la necesidad completa</t>
        </is>
      </c>
      <c r="AA394" t="inlineStr">
        <is>
          <t>SUP-08, SUP-10, SUP-23</t>
        </is>
      </c>
      <c r="AB394" t="inlineStr">
        <is>
          <t>Excedente de $193.400.804 en la denominacion 2000: saldo $638.252.804 sobre el maximo $444.852.000. Elegida: venta ($193.402.000; beneficio de referencia $77.361). Es preferible porque tiene el menor costo neto. Otras alternativas: conservar ($193.402.000; costo de almacenar $17.379); traslado con PASTO|TRANSPORTADORA_001 ($3.606.000; costo $17.445, cubre solo una parte); traslado con CALI|TRANSPORTADORA_002 ($3.776.000; costo $165.772, cubre solo una parte); traslado con CALI|TRANSPORTADORA_001 ($117.036.000; costo $264.534, cubre solo una parte); traslado con CALI|TRANSPORTADORA_003 ($193.402.000; costo $331.126); consignacion BanRep: no habilitada en este fondo (sin historico o fuera de las ciudades BanRep).</t>
        </is>
      </c>
      <c r="AC394" t="inlineStr">
        <is>
          <t>Cierre del dia anterior (saldo encadenado, RN-71)</t>
        </is>
      </c>
      <c r="AD394" t="inlineStr">
        <is>
          <t>estimada</t>
        </is>
      </c>
      <c r="AE394" t="inlineStr">
        <is>
          <t>Participacion historica por denominacion (SUP-09)</t>
        </is>
      </c>
    </row>
    <row r="395">
      <c r="A395" t="inlineStr">
        <is>
          <t>PRAGMA</t>
        </is>
      </c>
      <c r="B395" t="inlineStr">
        <is>
          <t>IPIALES|TRANSPORTADORA_002</t>
        </is>
      </c>
      <c r="C395" t="inlineStr">
        <is>
          <t>Ipiales</t>
        </is>
      </c>
      <c r="D395" t="inlineStr">
        <is>
          <t>TRANSPORTADORA_002</t>
        </is>
      </c>
      <c r="E395" s="23" t="n">
        <v>46265</v>
      </c>
      <c r="F395" s="23" t="n">
        <v>46273</v>
      </c>
      <c r="G395" t="inlineStr">
        <is>
          <t>Sí</t>
        </is>
      </c>
      <c r="H395" s="25" t="n">
        <v>2000</v>
      </c>
      <c r="I395" s="26" t="n">
        <v>444850804</v>
      </c>
      <c r="J395" s="26" t="n">
        <v>193442074</v>
      </c>
      <c r="K395" s="26" t="n">
        <v>71508487</v>
      </c>
      <c r="L395" s="26">
        <f>J395-K395</f>
        <v>121933587</v>
      </c>
      <c r="M395" s="26">
        <f>I395+L395</f>
        <v>566784391</v>
      </c>
      <c r="N395" s="26" t="n">
        <v>227773000</v>
      </c>
      <c r="O395" s="26" t="n">
        <v>444852000</v>
      </c>
      <c r="P395" s="26">
        <f>MAX(0,N395-M395)</f>
        <v>0</v>
      </c>
      <c r="Q395" s="26">
        <f>MAX(0,M395-O395)</f>
        <v>121932391</v>
      </c>
      <c r="R395" t="inlineStr">
        <is>
          <t>bajo</t>
        </is>
      </c>
      <c r="S395" t="inlineStr">
        <is>
          <t>venta_efectivo</t>
        </is>
      </c>
      <c r="T395" t="inlineStr">
        <is>
          <t>salida</t>
        </is>
      </c>
      <c r="U395" s="26" t="n">
        <v>121934000</v>
      </c>
      <c r="V395" t="inlineStr">
        <is>
          <t>IPIALES|TRANSPORTADORA_002</t>
        </is>
      </c>
      <c r="X395" s="26">
        <f>IF(T395="entrada",M395+U395,IF(T395="salida",M395-U395,M395))</f>
        <v>444850391</v>
      </c>
      <c r="Y395" s="26" t="n">
        <v>0</v>
      </c>
      <c r="Z395" t="inlineStr">
        <is>
          <t>Menor costo neto entre las alternativas que cubren la necesidad completa</t>
        </is>
      </c>
      <c r="AA395" t="inlineStr">
        <is>
          <t>SUP-08, SUP-10, SUP-23</t>
        </is>
      </c>
      <c r="AB395" t="inlineStr">
        <is>
          <t>Excedente de $121.932.391 en la denominacion 2000: saldo $566.784.391 sobre el maximo $444.852.000. Elegida: venta ($121.934.000; beneficio de referencia $48.774). Es preferible porque tiene el menor costo neto. Otras alternativas: conservar ($121.934.000; costo de almacenar $9.740); traslado con CALI|TRANSPORTADORA_001 ($4.726.000; costo $166.600, cubre solo una parte); traslado con CALI|TRANSPORTADORA_003 ($121.934.000; costo $268.805); consignacion BanRep: no habilitada en este fondo (sin historico o fuera de las ciudades BanRep).</t>
        </is>
      </c>
      <c r="AC395" t="inlineStr">
        <is>
          <t>Cierre del dia anterior (saldo encadenado, RN-71)</t>
        </is>
      </c>
      <c r="AD395" t="inlineStr">
        <is>
          <t>estimada</t>
        </is>
      </c>
      <c r="AE395" t="inlineStr">
        <is>
          <t>Participacion historica por denominacion (SUP-09)</t>
        </is>
      </c>
    </row>
    <row r="396">
      <c r="A396" t="inlineStr">
        <is>
          <t>PRAGMA</t>
        </is>
      </c>
      <c r="B396" t="inlineStr">
        <is>
          <t>IPIALES|TRANSPORTADORA_002</t>
        </is>
      </c>
      <c r="C396" t="inlineStr">
        <is>
          <t>Ipiales</t>
        </is>
      </c>
      <c r="D396" t="inlineStr">
        <is>
          <t>TRANSPORTADORA_002</t>
        </is>
      </c>
      <c r="E396" s="23" t="n">
        <v>46265</v>
      </c>
      <c r="F396" s="23" t="n">
        <v>46274</v>
      </c>
      <c r="G396" t="inlineStr">
        <is>
          <t>Sí</t>
        </is>
      </c>
      <c r="H396" s="25" t="n">
        <v>2000</v>
      </c>
      <c r="I396" s="26" t="n">
        <v>444850391</v>
      </c>
      <c r="J396" s="26" t="n">
        <v>190840968</v>
      </c>
      <c r="K396" s="26" t="n">
        <v>70879130</v>
      </c>
      <c r="L396" s="26">
        <f>J396-K396</f>
        <v>119961838</v>
      </c>
      <c r="M396" s="26">
        <f>I396+L396</f>
        <v>564812229</v>
      </c>
      <c r="N396" s="26" t="n">
        <v>227773000</v>
      </c>
      <c r="O396" s="26" t="n">
        <v>444852000</v>
      </c>
      <c r="P396" s="26">
        <f>MAX(0,N396-M396)</f>
        <v>0</v>
      </c>
      <c r="Q396" s="26">
        <f>MAX(0,M396-O396)</f>
        <v>119960229</v>
      </c>
      <c r="R396" t="inlineStr">
        <is>
          <t>bajo</t>
        </is>
      </c>
      <c r="S396" t="inlineStr">
        <is>
          <t>venta_efectivo</t>
        </is>
      </c>
      <c r="T396" t="inlineStr">
        <is>
          <t>salida</t>
        </is>
      </c>
      <c r="U396" s="26" t="n">
        <v>119962000</v>
      </c>
      <c r="V396" t="inlineStr">
        <is>
          <t>IPIALES|TRANSPORTADORA_002</t>
        </is>
      </c>
      <c r="X396" s="26">
        <f>IF(T396="entrada",M396+U396,IF(T396="salida",M396-U396,M396))</f>
        <v>444850229</v>
      </c>
      <c r="Y396" s="26" t="n">
        <v>0</v>
      </c>
      <c r="Z396" t="inlineStr">
        <is>
          <t>Menor costo neto entre las alternativas que cubren la necesidad completa</t>
        </is>
      </c>
      <c r="AA396" t="inlineStr">
        <is>
          <t>SUP-08, SUP-10, SUP-23</t>
        </is>
      </c>
      <c r="AB396" t="inlineStr">
        <is>
          <t>Excedente de $119.960.229 en la denominacion 2000: saldo $564.812.229 sobre el maximo $444.852.000. Elegida: venta ($119.962.000; beneficio de referencia $47.985). Es preferible porque tiene el menor costo neto. Otras alternativas: conservar ($119.962.000; costo de almacenar $8.384); traslado con CALI|TRANSPORTADORA_003 ($119.962.000; costo $267.086); consignacion BanRep: no habilitada en este fondo (sin historico o fuera de las ciudades BanRep).</t>
        </is>
      </c>
      <c r="AC396" t="inlineStr">
        <is>
          <t>Cierre del dia anterior (saldo encadenado, RN-71)</t>
        </is>
      </c>
      <c r="AD396" t="inlineStr">
        <is>
          <t>estimada</t>
        </is>
      </c>
      <c r="AE396" t="inlineStr">
        <is>
          <t>Participacion historica por denominacion (SUP-09)</t>
        </is>
      </c>
    </row>
    <row r="397">
      <c r="A397" t="inlineStr">
        <is>
          <t>PRAGMA</t>
        </is>
      </c>
      <c r="B397" t="inlineStr">
        <is>
          <t>IPIALES|TRANSPORTADORA_002</t>
        </is>
      </c>
      <c r="C397" t="inlineStr">
        <is>
          <t>Ipiales</t>
        </is>
      </c>
      <c r="D397" t="inlineStr">
        <is>
          <t>TRANSPORTADORA_002</t>
        </is>
      </c>
      <c r="E397" s="23" t="n">
        <v>46265</v>
      </c>
      <c r="F397" s="23" t="n">
        <v>46275</v>
      </c>
      <c r="G397" t="inlineStr">
        <is>
          <t>Sí</t>
        </is>
      </c>
      <c r="H397" s="25" t="n">
        <v>2000</v>
      </c>
      <c r="I397" s="26" t="n">
        <v>444850229</v>
      </c>
      <c r="J397" s="26" t="n">
        <v>170014974</v>
      </c>
      <c r="K397" s="26" t="n">
        <v>66332195</v>
      </c>
      <c r="L397" s="26">
        <f>J397-K397</f>
        <v>103682779</v>
      </c>
      <c r="M397" s="26">
        <f>I397+L397</f>
        <v>548533008</v>
      </c>
      <c r="N397" s="26" t="n">
        <v>227773000</v>
      </c>
      <c r="O397" s="26" t="n">
        <v>444852000</v>
      </c>
      <c r="P397" s="26">
        <f>MAX(0,N397-M397)</f>
        <v>0</v>
      </c>
      <c r="Q397" s="26">
        <f>MAX(0,M397-O397)</f>
        <v>103681008</v>
      </c>
      <c r="R397" t="inlineStr">
        <is>
          <t>bajo</t>
        </is>
      </c>
      <c r="S397" t="inlineStr">
        <is>
          <t>venta_efectivo</t>
        </is>
      </c>
      <c r="T397" t="inlineStr">
        <is>
          <t>salida</t>
        </is>
      </c>
      <c r="U397" s="26" t="n">
        <v>103682000</v>
      </c>
      <c r="V397" t="inlineStr">
        <is>
          <t>IPIALES|TRANSPORTADORA_002</t>
        </is>
      </c>
      <c r="X397" s="26">
        <f>IF(T397="entrada",M397+U397,IF(T397="salida",M397-U397,M397))</f>
        <v>444851008</v>
      </c>
      <c r="Y397" s="26" t="n">
        <v>0</v>
      </c>
      <c r="Z397" t="inlineStr">
        <is>
          <t>Menor costo neto entre las alternativas que cubren la necesidad completa</t>
        </is>
      </c>
      <c r="AA397" t="inlineStr">
        <is>
          <t>SUP-08, SUP-10, SUP-23</t>
        </is>
      </c>
      <c r="AB397" t="inlineStr">
        <is>
          <t>Excedente de $103.681.009 en la denominacion 2000: saldo $548.533.009 sobre el maximo $444.852.000. Elegida: venta ($103.682.000; beneficio de referencia $41.473). Es preferible porque tiene el menor costo neto. Otras alternativas: conservar ($103.682.000; costo de almacenar $6.211); traslado con CALI|TRANSPORTADORA_003 ($103.682.000; costo $252.890); consignacion BanRep: no habilitada en este fondo (sin historico o fuera de las ciudades BanRep).</t>
        </is>
      </c>
      <c r="AC397" t="inlineStr">
        <is>
          <t>Cierre del dia anterior (saldo encadenado, RN-71)</t>
        </is>
      </c>
      <c r="AD397" t="inlineStr">
        <is>
          <t>estimada</t>
        </is>
      </c>
      <c r="AE397" t="inlineStr">
        <is>
          <t>Participacion historica por denominacion (SUP-09)</t>
        </is>
      </c>
    </row>
    <row r="398">
      <c r="A398" t="inlineStr">
        <is>
          <t>PRAGMA</t>
        </is>
      </c>
      <c r="B398" t="inlineStr">
        <is>
          <t>IPIALES|TRANSPORTADORA_002</t>
        </is>
      </c>
      <c r="C398" t="inlineStr">
        <is>
          <t>Ipiales</t>
        </is>
      </c>
      <c r="D398" t="inlineStr">
        <is>
          <t>TRANSPORTADORA_002</t>
        </is>
      </c>
      <c r="E398" s="23" t="n">
        <v>46265</v>
      </c>
      <c r="F398" s="23" t="n">
        <v>46276</v>
      </c>
      <c r="G398" t="inlineStr">
        <is>
          <t>Sí</t>
        </is>
      </c>
      <c r="H398" s="25" t="n">
        <v>2000</v>
      </c>
      <c r="I398" s="26" t="n">
        <v>444851009</v>
      </c>
      <c r="J398" s="26" t="n">
        <v>208189813</v>
      </c>
      <c r="K398" s="26" t="n">
        <v>74278674</v>
      </c>
      <c r="L398" s="26">
        <f>J398-K398</f>
        <v>133911139</v>
      </c>
      <c r="M398" s="26">
        <f>I398+L398</f>
        <v>578762148</v>
      </c>
      <c r="N398" s="26" t="n">
        <v>227773000</v>
      </c>
      <c r="O398" s="26" t="n">
        <v>444852000</v>
      </c>
      <c r="P398" s="26">
        <f>MAX(0,N398-M398)</f>
        <v>0</v>
      </c>
      <c r="Q398" s="26">
        <f>MAX(0,M398-O398)</f>
        <v>133910148</v>
      </c>
      <c r="R398" t="inlineStr">
        <is>
          <t>bajo</t>
        </is>
      </c>
      <c r="S398" t="inlineStr">
        <is>
          <t>venta_efectivo</t>
        </is>
      </c>
      <c r="T398" t="inlineStr">
        <is>
          <t>salida</t>
        </is>
      </c>
      <c r="U398" s="26" t="n">
        <v>133912000</v>
      </c>
      <c r="V398" t="inlineStr">
        <is>
          <t>IPIALES|TRANSPORTADORA_002</t>
        </is>
      </c>
      <c r="X398" s="26">
        <f>IF(T398="entrada",M398+U398,IF(T398="salida",M398-U398,M398))</f>
        <v>444850148</v>
      </c>
      <c r="Y398" s="26" t="n">
        <v>0</v>
      </c>
      <c r="Z398" t="inlineStr">
        <is>
          <t>Menor costo neto entre las alternativas que cubren la necesidad completa</t>
        </is>
      </c>
      <c r="AA398" t="inlineStr">
        <is>
          <t>SUP-08, SUP-10, SUP-23</t>
        </is>
      </c>
      <c r="AB398" t="inlineStr">
        <is>
          <t>Excedente de $133.910.148 en la denominacion 2000: saldo $578.762.148 sobre el maximo $444.852.000. Elegida: venta ($133.912.000; beneficio de referencia $53.565). Es preferible porque tiene el menor costo neto. Otras alternativas: conservar ($133.912.000; costo de almacenar $6.685); traslado con CALI|TRANSPORTADORA_003 ($133.912.000; costo $279.250); consignacion BanRep: no habilitada en este fondo (sin historico o fuera de las ciudades BanRep).</t>
        </is>
      </c>
      <c r="AC398" t="inlineStr">
        <is>
          <t>Cierre del dia anterior (saldo encadenado, RN-71)</t>
        </is>
      </c>
      <c r="AD398" t="inlineStr">
        <is>
          <t>estimada</t>
        </is>
      </c>
      <c r="AE398" t="inlineStr">
        <is>
          <t>Participacion historica por denominacion (SUP-09)</t>
        </is>
      </c>
    </row>
    <row r="399">
      <c r="A399" t="inlineStr">
        <is>
          <t>PRAGMA</t>
        </is>
      </c>
      <c r="B399" t="inlineStr">
        <is>
          <t>IPIALES|TRANSPORTADORA_002</t>
        </is>
      </c>
      <c r="C399" t="inlineStr">
        <is>
          <t>Ipiales</t>
        </is>
      </c>
      <c r="D399" t="inlineStr">
        <is>
          <t>TRANSPORTADORA_002</t>
        </is>
      </c>
      <c r="E399" s="23" t="n">
        <v>46265</v>
      </c>
      <c r="F399" s="23" t="n">
        <v>46277</v>
      </c>
      <c r="G399" t="inlineStr">
        <is>
          <t>No</t>
        </is>
      </c>
      <c r="H399" s="25" t="n">
        <v>2000</v>
      </c>
      <c r="I399" s="26" t="n">
        <v>444850148</v>
      </c>
      <c r="J399" s="26" t="n">
        <v>24008815</v>
      </c>
      <c r="K399" s="26" t="n">
        <v>8966936</v>
      </c>
      <c r="L399" s="26">
        <f>J399-K399</f>
        <v>15041879</v>
      </c>
      <c r="M399" s="26">
        <f>I399+L399</f>
        <v>459892027</v>
      </c>
      <c r="N399" s="26" t="n">
        <v>227773000</v>
      </c>
      <c r="O399" s="26" t="n">
        <v>444852000</v>
      </c>
      <c r="P399" s="26">
        <f>MAX(0,N399-M399)</f>
        <v>0</v>
      </c>
      <c r="Q399" s="26">
        <f>MAX(0,M399-O399)</f>
        <v>15040027</v>
      </c>
      <c r="R399" t="inlineStr">
        <is>
          <t>medio</t>
        </is>
      </c>
      <c r="S399" t="inlineStr">
        <is>
          <t>sin_accion</t>
        </is>
      </c>
      <c r="T399" t="inlineStr">
        <is>
          <t>ninguno</t>
        </is>
      </c>
      <c r="U399" s="26" t="n">
        <v>0</v>
      </c>
      <c r="X399" s="26">
        <f>IF(T399="entrada",M399+U399,IF(T399="salida",M399-U399,M399))</f>
        <v>459892027</v>
      </c>
      <c r="Y399" s="26" t="n">
        <v>0</v>
      </c>
      <c r="Z399" t="inlineStr">
        <is>
          <t>Costo de almacenar menor que el de actuar</t>
        </is>
      </c>
      <c r="AA399" t="inlineStr">
        <is>
          <t>SUP-07, SUP-10</t>
        </is>
      </c>
      <c r="AB399" t="inlineStr">
        <is>
          <t>Excedente de $15.040.027 en la denominacion 2000: saldo $459.892.027 sobre el maximo $444.852.000. Se conserva: guardarlo hasta el fin del horizonte cuesta $601 (Anexo E, almacenamiento), menos que cualquier accion. Alternativas: traslado con PASTO|TRANSPORTADORA_001 ($11.222.000; costo $20.034, cubre solo una parte); traslado con CALI|TRANSPORTADORA_001 ($15.042.000; costo $175.596); traslado con CALI|TRANSPORTADORA_002 ($15.042.000; costo $175.596); traslado con CALI|TRANSPORTADORA_003 ($15.042.000; costo $175.596); venta: dia no habil (sabado, domingo o festivo; RN-71A); consignacion BanRep: dia no habil (sabado, domingo o festivo; RN-71A).</t>
        </is>
      </c>
      <c r="AC399" t="inlineStr">
        <is>
          <t>Cierre del dia anterior (saldo encadenado, RN-71)</t>
        </is>
      </c>
      <c r="AD399" t="inlineStr">
        <is>
          <t>estimada</t>
        </is>
      </c>
      <c r="AE399" t="inlineStr">
        <is>
          <t>Participacion historica por denominacion (SUP-09)</t>
        </is>
      </c>
    </row>
    <row r="400">
      <c r="A400" t="inlineStr">
        <is>
          <t>PRAGMA</t>
        </is>
      </c>
      <c r="B400" t="inlineStr">
        <is>
          <t>IPIALES|TRANSPORTADORA_002</t>
        </is>
      </c>
      <c r="C400" t="inlineStr">
        <is>
          <t>Ipiales</t>
        </is>
      </c>
      <c r="D400" t="inlineStr">
        <is>
          <t>TRANSPORTADORA_002</t>
        </is>
      </c>
      <c r="E400" s="23" t="n">
        <v>46265</v>
      </c>
      <c r="F400" s="23" t="n">
        <v>46278</v>
      </c>
      <c r="G400" t="inlineStr">
        <is>
          <t>No</t>
        </is>
      </c>
      <c r="H400" s="25" t="n">
        <v>2000</v>
      </c>
      <c r="I400" s="26" t="n">
        <v>459892027</v>
      </c>
      <c r="J400" s="26" t="n">
        <v>21112300</v>
      </c>
      <c r="K400" s="26" t="n">
        <v>5651528</v>
      </c>
      <c r="L400" s="26">
        <f>J400-K400</f>
        <v>15460772</v>
      </c>
      <c r="M400" s="26">
        <f>I400+L400</f>
        <v>475352799</v>
      </c>
      <c r="N400" s="26" t="n">
        <v>227773000</v>
      </c>
      <c r="O400" s="26" t="n">
        <v>444852000</v>
      </c>
      <c r="P400" s="26">
        <f>MAX(0,N400-M400)</f>
        <v>0</v>
      </c>
      <c r="Q400" s="26">
        <f>MAX(0,M400-O400)</f>
        <v>30500799</v>
      </c>
      <c r="R400" t="inlineStr">
        <is>
          <t>medio</t>
        </is>
      </c>
      <c r="S400" t="inlineStr">
        <is>
          <t>sin_accion</t>
        </is>
      </c>
      <c r="T400" t="inlineStr">
        <is>
          <t>ninguno</t>
        </is>
      </c>
      <c r="U400" s="26" t="n">
        <v>0</v>
      </c>
      <c r="X400" s="26">
        <f>IF(T400="entrada",M400+U400,IF(T400="salida",M400-U400,M400))</f>
        <v>475352799</v>
      </c>
      <c r="Y400" s="26" t="n">
        <v>0</v>
      </c>
      <c r="Z400" t="inlineStr">
        <is>
          <t>Costo de almacenar menor que el de actuar</t>
        </is>
      </c>
      <c r="AA400" t="inlineStr">
        <is>
          <t>SUP-07, SUP-10</t>
        </is>
      </c>
      <c r="AB400" t="inlineStr">
        <is>
          <t>Excedente de $30.500.798 en la denominacion 2000: saldo $475.352.798 sobre el maximo $444.852.000. Se conserva: guardarlo hasta el fin del horizonte cuesta $914 (Anexo E, almacenamiento), menos que cualquier accion. Alternativas: traslado con PASTO|TRANSPORTADORA_001 ($13.502.000; costo $20.810, cubre solo una parte); traslado con CALI|TRANSPORTADORA_002 ($17.064.000; costo $177.359, cubre solo una parte); traslado con CALI|TRANSPORTADORA_001 ($30.502.000; costo $189.077); traslado con CALI|TRANSPORTADORA_003 ($30.502.000; costo $189.077); venta: dia no habil (sabado, domingo o festivo; RN-71A); consignacion BanRep: dia no habil (sabado, domingo o festivo; RN-71A).</t>
        </is>
      </c>
      <c r="AC400" t="inlineStr">
        <is>
          <t>Cierre del dia anterior (saldo encadenado, RN-71)</t>
        </is>
      </c>
      <c r="AD400" t="inlineStr">
        <is>
          <t>estimada</t>
        </is>
      </c>
      <c r="AE400" t="inlineStr">
        <is>
          <t>Participacion historica por denominacion (SUP-09)</t>
        </is>
      </c>
    </row>
    <row r="401">
      <c r="A401" t="inlineStr">
        <is>
          <t>PRAGMA</t>
        </is>
      </c>
      <c r="B401" t="inlineStr">
        <is>
          <t>IPIALES|TRANSPORTADORA_002</t>
        </is>
      </c>
      <c r="C401" t="inlineStr">
        <is>
          <t>Ipiales</t>
        </is>
      </c>
      <c r="D401" t="inlineStr">
        <is>
          <t>TRANSPORTADORA_002</t>
        </is>
      </c>
      <c r="E401" s="23" t="n">
        <v>46265</v>
      </c>
      <c r="F401" s="23" t="n">
        <v>46279</v>
      </c>
      <c r="G401" t="inlineStr">
        <is>
          <t>Sí</t>
        </is>
      </c>
      <c r="H401" s="25" t="n">
        <v>2000</v>
      </c>
      <c r="I401" s="26" t="n">
        <v>475352798</v>
      </c>
      <c r="J401" s="26" t="n">
        <v>227315534</v>
      </c>
      <c r="K401" s="26" t="n">
        <v>69848029</v>
      </c>
      <c r="L401" s="26">
        <f>J401-K401</f>
        <v>157467505</v>
      </c>
      <c r="M401" s="26">
        <f>I401+L401</f>
        <v>632820303</v>
      </c>
      <c r="N401" s="26" t="n">
        <v>227773000</v>
      </c>
      <c r="O401" s="26" t="n">
        <v>444852000</v>
      </c>
      <c r="P401" s="26">
        <f>MAX(0,N401-M401)</f>
        <v>0</v>
      </c>
      <c r="Q401" s="26">
        <f>MAX(0,M401-O401)</f>
        <v>187968303</v>
      </c>
      <c r="R401" t="inlineStr">
        <is>
          <t>bajo</t>
        </is>
      </c>
      <c r="S401" t="inlineStr">
        <is>
          <t>venta_efectivo</t>
        </is>
      </c>
      <c r="T401" t="inlineStr">
        <is>
          <t>salida</t>
        </is>
      </c>
      <c r="U401" s="26" t="n">
        <v>187970000</v>
      </c>
      <c r="V401" t="inlineStr">
        <is>
          <t>IPIALES|TRANSPORTADORA_002</t>
        </is>
      </c>
      <c r="X401" s="26">
        <f>IF(T401="entrada",M401+U401,IF(T401="salida",M401-U401,M401))</f>
        <v>444850303</v>
      </c>
      <c r="Y401" s="26" t="n">
        <v>0</v>
      </c>
      <c r="Z401" t="inlineStr">
        <is>
          <t>Menor costo neto entre las alternativas que cubren la necesidad completa</t>
        </is>
      </c>
      <c r="AA401" t="inlineStr">
        <is>
          <t>SUP-08, SUP-10, SUP-23</t>
        </is>
      </c>
      <c r="AB401" t="inlineStr">
        <is>
          <t>Excedente de $187.968.303 en la denominacion 2000: saldo $632.820.303 sobre el maximo $444.852.000. Elegida: venta ($187.970.000; beneficio de referencia $75.188). Es preferible porque tiene el menor costo neto. Otras alternativas: conservar ($187.970.000; costo de almacenar $3.754); traslado con CALI|TRANSPORTADORA_003 ($187.970.000; costo $326.389); consignacion BanRep: no habilitada en este fondo (sin historico o fuera de las ciudades BanRep).</t>
        </is>
      </c>
      <c r="AC401" t="inlineStr">
        <is>
          <t>Cierre del dia anterior (saldo encadenado, RN-71)</t>
        </is>
      </c>
      <c r="AD401" t="inlineStr">
        <is>
          <t>estimada</t>
        </is>
      </c>
      <c r="AE401" t="inlineStr">
        <is>
          <t>Participacion historica por denominacion (SUP-09)</t>
        </is>
      </c>
    </row>
    <row r="402">
      <c r="A402" t="inlineStr">
        <is>
          <t>PRAGMA</t>
        </is>
      </c>
      <c r="B402" t="inlineStr">
        <is>
          <t>IPIALES|TRANSPORTADORA_002</t>
        </is>
      </c>
      <c r="C402" t="inlineStr">
        <is>
          <t>Ipiales</t>
        </is>
      </c>
      <c r="D402" t="inlineStr">
        <is>
          <t>TRANSPORTADORA_002</t>
        </is>
      </c>
      <c r="E402" s="23" t="n">
        <v>46265</v>
      </c>
      <c r="F402" s="23" t="n">
        <v>46280</v>
      </c>
      <c r="G402" t="inlineStr">
        <is>
          <t>Sí</t>
        </is>
      </c>
      <c r="H402" s="25" t="n">
        <v>2000</v>
      </c>
      <c r="I402" s="26" t="n">
        <v>444850303</v>
      </c>
      <c r="J402" s="26" t="n">
        <v>202065821</v>
      </c>
      <c r="K402" s="26" t="n">
        <v>75124451</v>
      </c>
      <c r="L402" s="26">
        <f>J402-K402</f>
        <v>126941370</v>
      </c>
      <c r="M402" s="26">
        <f>I402+L402</f>
        <v>571791673</v>
      </c>
      <c r="N402" s="26" t="n">
        <v>227773000</v>
      </c>
      <c r="O402" s="26" t="n">
        <v>444852000</v>
      </c>
      <c r="P402" s="26">
        <f>MAX(0,N402-M402)</f>
        <v>0</v>
      </c>
      <c r="Q402" s="26">
        <f>MAX(0,M402-O402)</f>
        <v>126939673</v>
      </c>
      <c r="R402" t="inlineStr">
        <is>
          <t>bajo</t>
        </is>
      </c>
      <c r="S402" t="inlineStr">
        <is>
          <t>venta_efectivo</t>
        </is>
      </c>
      <c r="T402" t="inlineStr">
        <is>
          <t>salida</t>
        </is>
      </c>
      <c r="U402" s="26" t="n">
        <v>126940000</v>
      </c>
      <c r="V402" t="inlineStr">
        <is>
          <t>IPIALES|TRANSPORTADORA_002</t>
        </is>
      </c>
      <c r="X402" s="26">
        <f>IF(T402="entrada",M402+U402,IF(T402="salida",M402-U402,M402))</f>
        <v>444851673</v>
      </c>
      <c r="Y402" s="26" t="n">
        <v>0</v>
      </c>
      <c r="Z402" t="inlineStr">
        <is>
          <t>Menor costo neto entre las alternativas que cubren la necesidad completa</t>
        </is>
      </c>
      <c r="AA402" t="inlineStr">
        <is>
          <t>SUP-08, SUP-10, SUP-23</t>
        </is>
      </c>
      <c r="AB402" t="inlineStr">
        <is>
          <t>Excedente de $126.939.674 en la denominacion 2000: saldo $571.791.674 sobre el maximo $444.852.000. Elegida: venta ($126.940.000; beneficio de referencia $50.776). Es preferible porque tiene el menor costo neto. Otras alternativas: conservar ($126.940.000; costo de almacenar $1.267); traslado con CALI|TRANSPORTADORA_003 ($126.940.000; costo $273.171); consignacion BanRep: no habilitada en este fondo (sin historico o fuera de las ciudades BanRep).</t>
        </is>
      </c>
      <c r="AC402" t="inlineStr">
        <is>
          <t>Cierre del dia anterior (saldo encadenado, RN-71)</t>
        </is>
      </c>
      <c r="AD402" t="inlineStr">
        <is>
          <t>estimada</t>
        </is>
      </c>
      <c r="AE402" t="inlineStr">
        <is>
          <t>Participacion historica por denominacion (SUP-09)</t>
        </is>
      </c>
    </row>
    <row r="403">
      <c r="A403" t="inlineStr">
        <is>
          <t>PRAGMA</t>
        </is>
      </c>
      <c r="B403" t="inlineStr">
        <is>
          <t>IPIALES|TRANSPORTADORA_002</t>
        </is>
      </c>
      <c r="C403" t="inlineStr">
        <is>
          <t>Ipiales</t>
        </is>
      </c>
      <c r="D403" t="inlineStr">
        <is>
          <t>TRANSPORTADORA_002</t>
        </is>
      </c>
      <c r="E403" s="23" t="n">
        <v>46265</v>
      </c>
      <c r="F403" s="23" t="n">
        <v>46266</v>
      </c>
      <c r="G403" t="inlineStr">
        <is>
          <t>Sí</t>
        </is>
      </c>
      <c r="H403" s="25" t="n">
        <v>5000</v>
      </c>
      <c r="I403" s="26" t="n">
        <v>247710000</v>
      </c>
      <c r="J403" s="26" t="n">
        <v>201685575</v>
      </c>
      <c r="K403" s="26" t="n">
        <v>79835690</v>
      </c>
      <c r="L403" s="26">
        <f>J403-K403</f>
        <v>121849885</v>
      </c>
      <c r="M403" s="26">
        <f>I403+L403</f>
        <v>369559885</v>
      </c>
      <c r="N403" s="26" t="n">
        <v>153990000</v>
      </c>
      <c r="O403" s="26" t="n">
        <v>571187500</v>
      </c>
      <c r="P403" s="26">
        <f>MAX(0,N403-M403)</f>
        <v>0</v>
      </c>
      <c r="Q403" s="26">
        <f>MAX(0,M403-O403)</f>
        <v>0</v>
      </c>
      <c r="R403" t="inlineStr">
        <is>
          <t>bajo</t>
        </is>
      </c>
      <c r="S403" t="inlineStr">
        <is>
          <t>sin_accion</t>
        </is>
      </c>
      <c r="T403" t="inlineStr">
        <is>
          <t>ninguno</t>
        </is>
      </c>
      <c r="U403" s="26" t="n">
        <v>0</v>
      </c>
      <c r="X403" s="26">
        <f>IF(T403="entrada",M403+U403,IF(T403="salida",M403-U403,M403))</f>
        <v>369559885</v>
      </c>
      <c r="Y403" s="26" t="n">
        <v>0</v>
      </c>
      <c r="Z403" t="inlineStr">
        <is>
          <t>RN-85: dentro de niveles objetivo (sin_accion)</t>
        </is>
      </c>
      <c r="AA403" t="inlineStr">
        <is>
          <t>SUP-07, SUP-10</t>
        </is>
      </c>
      <c r="AB403" t="inlineStr">
        <is>
          <t>Saldo dentro del rango objetivo; sin accion.</t>
        </is>
      </c>
      <c r="AC403" t="inlineStr">
        <is>
          <t>Ultimo disponible al 31/08/2026 (SUP-07)</t>
        </is>
      </c>
      <c r="AD403" t="inlineStr">
        <is>
          <t>estimada</t>
        </is>
      </c>
      <c r="AE403" t="inlineStr">
        <is>
          <t>Participacion historica por denominacion (SUP-09)</t>
        </is>
      </c>
    </row>
    <row r="404">
      <c r="A404" t="inlineStr">
        <is>
          <t>PRAGMA</t>
        </is>
      </c>
      <c r="B404" t="inlineStr">
        <is>
          <t>IPIALES|TRANSPORTADORA_002</t>
        </is>
      </c>
      <c r="C404" t="inlineStr">
        <is>
          <t>Ipiales</t>
        </is>
      </c>
      <c r="D404" t="inlineStr">
        <is>
          <t>TRANSPORTADORA_002</t>
        </is>
      </c>
      <c r="E404" s="23" t="n">
        <v>46265</v>
      </c>
      <c r="F404" s="23" t="n">
        <v>46267</v>
      </c>
      <c r="G404" t="inlineStr">
        <is>
          <t>Sí</t>
        </is>
      </c>
      <c r="H404" s="25" t="n">
        <v>5000</v>
      </c>
      <c r="I404" s="26" t="n">
        <v>369559885</v>
      </c>
      <c r="J404" s="26" t="n">
        <v>212046853</v>
      </c>
      <c r="K404" s="26" t="n">
        <v>75578591</v>
      </c>
      <c r="L404" s="26">
        <f>J404-K404</f>
        <v>136468262</v>
      </c>
      <c r="M404" s="26">
        <f>I404+L404</f>
        <v>506028147</v>
      </c>
      <c r="N404" s="26" t="n">
        <v>153990000</v>
      </c>
      <c r="O404" s="26" t="n">
        <v>571187500</v>
      </c>
      <c r="P404" s="26">
        <f>MAX(0,N404-M404)</f>
        <v>0</v>
      </c>
      <c r="Q404" s="26">
        <f>MAX(0,M404-O404)</f>
        <v>0</v>
      </c>
      <c r="R404" t="inlineStr">
        <is>
          <t>bajo</t>
        </is>
      </c>
      <c r="S404" t="inlineStr">
        <is>
          <t>sin_accion</t>
        </is>
      </c>
      <c r="T404" t="inlineStr">
        <is>
          <t>ninguno</t>
        </is>
      </c>
      <c r="U404" s="26" t="n">
        <v>0</v>
      </c>
      <c r="X404" s="26">
        <f>IF(T404="entrada",M404+U404,IF(T404="salida",M404-U404,M404))</f>
        <v>506028147</v>
      </c>
      <c r="Y404" s="26" t="n">
        <v>0</v>
      </c>
      <c r="Z404" t="inlineStr">
        <is>
          <t>RN-85: dentro de niveles objetivo (sin_accion)</t>
        </is>
      </c>
      <c r="AA404" t="inlineStr">
        <is>
          <t>SUP-07, SUP-10</t>
        </is>
      </c>
      <c r="AB404" t="inlineStr">
        <is>
          <t>Saldo dentro del rango objetivo; sin accion.</t>
        </is>
      </c>
      <c r="AC404" t="inlineStr">
        <is>
          <t>Cierre del dia anterior (saldo encadenado, RN-71)</t>
        </is>
      </c>
      <c r="AD404" t="inlineStr">
        <is>
          <t>estimada</t>
        </is>
      </c>
      <c r="AE404" t="inlineStr">
        <is>
          <t>Participacion historica por denominacion (SUP-09)</t>
        </is>
      </c>
    </row>
    <row r="405">
      <c r="A405" t="inlineStr">
        <is>
          <t>PRAGMA</t>
        </is>
      </c>
      <c r="B405" t="inlineStr">
        <is>
          <t>IPIALES|TRANSPORTADORA_002</t>
        </is>
      </c>
      <c r="C405" t="inlineStr">
        <is>
          <t>Ipiales</t>
        </is>
      </c>
      <c r="D405" t="inlineStr">
        <is>
          <t>TRANSPORTADORA_002</t>
        </is>
      </c>
      <c r="E405" s="23" t="n">
        <v>46265</v>
      </c>
      <c r="F405" s="23" t="n">
        <v>46268</v>
      </c>
      <c r="G405" t="inlineStr">
        <is>
          <t>Sí</t>
        </is>
      </c>
      <c r="H405" s="25" t="n">
        <v>5000</v>
      </c>
      <c r="I405" s="26" t="n">
        <v>506028146</v>
      </c>
      <c r="J405" s="26" t="n">
        <v>209924281</v>
      </c>
      <c r="K405" s="26" t="n">
        <v>54613656</v>
      </c>
      <c r="L405" s="26">
        <f>J405-K405</f>
        <v>155310625</v>
      </c>
      <c r="M405" s="26">
        <f>I405+L405</f>
        <v>661338771</v>
      </c>
      <c r="N405" s="26" t="n">
        <v>153990000</v>
      </c>
      <c r="O405" s="26" t="n">
        <v>571187500</v>
      </c>
      <c r="P405" s="26">
        <f>MAX(0,N405-M405)</f>
        <v>0</v>
      </c>
      <c r="Q405" s="26">
        <f>MAX(0,M405-O405)</f>
        <v>90151271</v>
      </c>
      <c r="R405" t="inlineStr">
        <is>
          <t>bajo</t>
        </is>
      </c>
      <c r="S405" t="inlineStr">
        <is>
          <t>venta_efectivo</t>
        </is>
      </c>
      <c r="T405" t="inlineStr">
        <is>
          <t>salida</t>
        </is>
      </c>
      <c r="U405" s="26" t="n">
        <v>90155000</v>
      </c>
      <c r="V405" t="inlineStr">
        <is>
          <t>IPIALES|TRANSPORTADORA_002</t>
        </is>
      </c>
      <c r="X405" s="26">
        <f>IF(T405="entrada",M405+U405,IF(T405="salida",M405-U405,M405))</f>
        <v>571183771</v>
      </c>
      <c r="Y405" s="26" t="n">
        <v>0</v>
      </c>
      <c r="Z405" t="inlineStr">
        <is>
          <t>Menor costo neto entre las alternativas que cubren la necesidad completa</t>
        </is>
      </c>
      <c r="AA405" t="inlineStr">
        <is>
          <t>SUP-08, SUP-10, SUP-23</t>
        </is>
      </c>
      <c r="AB405" t="inlineStr">
        <is>
          <t>Excedente de $90.151.271 en la denominacion 5000: saldo $661.338.771 sobre el maximo $571.187.500. Elegida: venta ($90.155.000; beneficio de referencia $36.062). Es preferible porque tiene el menor costo neto. Otras alternativas: conservar ($90.155.000; costo de almacenar $11.702); traslado con CALI|TRANSPORTADORA_004 ($15.000; costo $162.492, cubre solo una parte); traslado con CALI|TRANSPORTADORA_001 ($90.155.000; costo $241.094); traslado con CALI|TRANSPORTADORA_002 ($90.155.000; costo $241.094); traslado con CALI|TRANSPORTADORA_003 ($90.155.000; costo $241.094); consignacion BanRep: no habilitada en este fondo (sin historico o fuera de las ciudades BanRep).</t>
        </is>
      </c>
      <c r="AC405" t="inlineStr">
        <is>
          <t>Cierre del dia anterior (saldo encadenado, RN-71)</t>
        </is>
      </c>
      <c r="AD405" t="inlineStr">
        <is>
          <t>estimada</t>
        </is>
      </c>
      <c r="AE405" t="inlineStr">
        <is>
          <t>Participacion historica por denominacion (SUP-09)</t>
        </is>
      </c>
    </row>
    <row r="406">
      <c r="A406" t="inlineStr">
        <is>
          <t>PRAGMA</t>
        </is>
      </c>
      <c r="B406" t="inlineStr">
        <is>
          <t>IPIALES|TRANSPORTADORA_002</t>
        </is>
      </c>
      <c r="C406" t="inlineStr">
        <is>
          <t>Ipiales</t>
        </is>
      </c>
      <c r="D406" t="inlineStr">
        <is>
          <t>TRANSPORTADORA_002</t>
        </is>
      </c>
      <c r="E406" s="23" t="n">
        <v>46265</v>
      </c>
      <c r="F406" s="23" t="n">
        <v>46269</v>
      </c>
      <c r="G406" t="inlineStr">
        <is>
          <t>Sí</t>
        </is>
      </c>
      <c r="H406" s="25" t="n">
        <v>5000</v>
      </c>
      <c r="I406" s="26" t="n">
        <v>571183771</v>
      </c>
      <c r="J406" s="26" t="n">
        <v>227684372</v>
      </c>
      <c r="K406" s="26" t="n">
        <v>80842848</v>
      </c>
      <c r="L406" s="26">
        <f>J406-K406</f>
        <v>146841524</v>
      </c>
      <c r="M406" s="26">
        <f>I406+L406</f>
        <v>718025295</v>
      </c>
      <c r="N406" s="26" t="n">
        <v>153990000</v>
      </c>
      <c r="O406" s="26" t="n">
        <v>571187500</v>
      </c>
      <c r="P406" s="26">
        <f>MAX(0,N406-M406)</f>
        <v>0</v>
      </c>
      <c r="Q406" s="26">
        <f>MAX(0,M406-O406)</f>
        <v>146837795</v>
      </c>
      <c r="R406" t="inlineStr">
        <is>
          <t>bajo</t>
        </is>
      </c>
      <c r="S406" t="inlineStr">
        <is>
          <t>venta_efectivo</t>
        </is>
      </c>
      <c r="T406" t="inlineStr">
        <is>
          <t>salida</t>
        </is>
      </c>
      <c r="U406" s="26" t="n">
        <v>146840000</v>
      </c>
      <c r="V406" t="inlineStr">
        <is>
          <t>IPIALES|TRANSPORTADORA_002</t>
        </is>
      </c>
      <c r="X406" s="26">
        <f>IF(T406="entrada",M406+U406,IF(T406="salida",M406-U406,M406))</f>
        <v>571185295</v>
      </c>
      <c r="Y406" s="26" t="n">
        <v>0</v>
      </c>
      <c r="Z406" t="inlineStr">
        <is>
          <t>Menor costo neto entre las alternativas que cubren la necesidad completa</t>
        </is>
      </c>
      <c r="AA406" t="inlineStr">
        <is>
          <t>SUP-08, SUP-10, SUP-23</t>
        </is>
      </c>
      <c r="AB406" t="inlineStr">
        <is>
          <t>Excedente de $146.837.795 en la denominacion 5000: saldo $718.025.295 sobre el maximo $571.187.500. Elegida: venta ($146.840.000; beneficio de referencia $58.736). Es preferible porque tiene el menor costo neto. Otras alternativas: conservar ($146.840.000; costo de almacenar $17.593); traslado con PASTO|TRANSPORTADORA_001 ($7.170.000; costo $18.657, cubre solo una parte); traslado con CALI|TRANSPORTADORA_002 ($22.065.000; costo $181.720, cubre solo una parte); traslado con CALI|TRANSPORTADORA_001 ($146.840.000; costo $290.523); traslado con CALI|TRANSPORTADORA_003 ($146.840.000; costo $290.523); consignacion BanRep: no habilitada en este fondo (sin historico o fuera de las ciudades BanRep).</t>
        </is>
      </c>
      <c r="AC406" t="inlineStr">
        <is>
          <t>Cierre del dia anterior (saldo encadenado, RN-71)</t>
        </is>
      </c>
      <c r="AD406" t="inlineStr">
        <is>
          <t>estimada</t>
        </is>
      </c>
      <c r="AE406" t="inlineStr">
        <is>
          <t>Participacion historica por denominacion (SUP-09)</t>
        </is>
      </c>
    </row>
    <row r="407">
      <c r="A407" t="inlineStr">
        <is>
          <t>PRAGMA</t>
        </is>
      </c>
      <c r="B407" t="inlineStr">
        <is>
          <t>IPIALES|TRANSPORTADORA_002</t>
        </is>
      </c>
      <c r="C407" t="inlineStr">
        <is>
          <t>Ipiales</t>
        </is>
      </c>
      <c r="D407" t="inlineStr">
        <is>
          <t>TRANSPORTADORA_002</t>
        </is>
      </c>
      <c r="E407" s="23" t="n">
        <v>46265</v>
      </c>
      <c r="F407" s="23" t="n">
        <v>46270</v>
      </c>
      <c r="G407" t="inlineStr">
        <is>
          <t>No</t>
        </is>
      </c>
      <c r="H407" s="25" t="n">
        <v>5000</v>
      </c>
      <c r="I407" s="26" t="n">
        <v>571185295</v>
      </c>
      <c r="J407" s="26" t="n">
        <v>26626219</v>
      </c>
      <c r="K407" s="26" t="n">
        <v>10719201</v>
      </c>
      <c r="L407" s="26">
        <f>J407-K407</f>
        <v>15907018</v>
      </c>
      <c r="M407" s="26">
        <f>I407+L407</f>
        <v>587092313</v>
      </c>
      <c r="N407" s="26" t="n">
        <v>153990000</v>
      </c>
      <c r="O407" s="26" t="n">
        <v>571187500</v>
      </c>
      <c r="P407" s="26">
        <f>MAX(0,N407-M407)</f>
        <v>0</v>
      </c>
      <c r="Q407" s="26">
        <f>MAX(0,M407-O407)</f>
        <v>15904813</v>
      </c>
      <c r="R407" t="inlineStr">
        <is>
          <t>medio</t>
        </is>
      </c>
      <c r="S407" t="inlineStr">
        <is>
          <t>sin_accion</t>
        </is>
      </c>
      <c r="T407" t="inlineStr">
        <is>
          <t>ninguno</t>
        </is>
      </c>
      <c r="U407" s="26" t="n">
        <v>0</v>
      </c>
      <c r="X407" s="26">
        <f>IF(T407="entrada",M407+U407,IF(T407="salida",M407-U407,M407))</f>
        <v>587092313</v>
      </c>
      <c r="Y407" s="26" t="n">
        <v>0</v>
      </c>
      <c r="Z407" t="inlineStr">
        <is>
          <t>Costo de almacenar menor que el de actuar</t>
        </is>
      </c>
      <c r="AA407" t="inlineStr">
        <is>
          <t>SUP-07, SUP-10</t>
        </is>
      </c>
      <c r="AB407" t="inlineStr">
        <is>
          <t>Excedente de $15.904.813 en la denominacion 5000: saldo $587.092.313 sobre el maximo $571.187.500. Se conserva: guardarlo hasta el fin del horizonte cuesta $1.747 (Anexo E, almacenamiento), menos que cualquier accion. Alternativas: traslado con PASTO|TRANSPORTADORA_001 ($15.905.000; costo $21.627); traslado con CALI|TRANSPORTADORA_001 ($15.905.000; costo $176.348); traslado con CALI|TRANSPORTADORA_002 ($15.905.000; costo $176.348); traslado con CALI|TRANSPORTADORA_003 ($15.905.000; costo $176.348); venta: dia no habil (sabado, domingo o festivo; RN-71A); consignacion BanRep: dia no habil (sabado, domingo o festivo; RN-71A).</t>
        </is>
      </c>
      <c r="AC407" t="inlineStr">
        <is>
          <t>Cierre del dia anterior (saldo encadenado, RN-71)</t>
        </is>
      </c>
      <c r="AD407" t="inlineStr">
        <is>
          <t>estimada</t>
        </is>
      </c>
      <c r="AE407" t="inlineStr">
        <is>
          <t>Participacion historica por denominacion (SUP-09)</t>
        </is>
      </c>
    </row>
    <row r="408">
      <c r="A408" t="inlineStr">
        <is>
          <t>PRAGMA</t>
        </is>
      </c>
      <c r="B408" t="inlineStr">
        <is>
          <t>IPIALES|TRANSPORTADORA_002</t>
        </is>
      </c>
      <c r="C408" t="inlineStr">
        <is>
          <t>Ipiales</t>
        </is>
      </c>
      <c r="D408" t="inlineStr">
        <is>
          <t>TRANSPORTADORA_002</t>
        </is>
      </c>
      <c r="E408" s="23" t="n">
        <v>46265</v>
      </c>
      <c r="F408" s="23" t="n">
        <v>46271</v>
      </c>
      <c r="G408" t="inlineStr">
        <is>
          <t>No</t>
        </is>
      </c>
      <c r="H408" s="25" t="n">
        <v>5000</v>
      </c>
      <c r="I408" s="26" t="n">
        <v>587092313</v>
      </c>
      <c r="J408" s="26" t="n">
        <v>30507210</v>
      </c>
      <c r="K408" s="26" t="n">
        <v>6944267</v>
      </c>
      <c r="L408" s="26">
        <f>J408-K408</f>
        <v>23562943</v>
      </c>
      <c r="M408" s="26">
        <f>I408+L408</f>
        <v>610655256</v>
      </c>
      <c r="N408" s="26" t="n">
        <v>153990000</v>
      </c>
      <c r="O408" s="26" t="n">
        <v>571187500</v>
      </c>
      <c r="P408" s="26">
        <f>MAX(0,N408-M408)</f>
        <v>0</v>
      </c>
      <c r="Q408" s="26">
        <f>MAX(0,M408-O408)</f>
        <v>39467756</v>
      </c>
      <c r="R408" t="inlineStr">
        <is>
          <t>medio</t>
        </is>
      </c>
      <c r="S408" t="inlineStr">
        <is>
          <t>sin_accion</t>
        </is>
      </c>
      <c r="T408" t="inlineStr">
        <is>
          <t>ninguno</t>
        </is>
      </c>
      <c r="U408" s="26" t="n">
        <v>0</v>
      </c>
      <c r="X408" s="26">
        <f>IF(T408="entrada",M408+U408,IF(T408="salida",M408-U408,M408))</f>
        <v>610655256</v>
      </c>
      <c r="Y408" s="26" t="n">
        <v>0</v>
      </c>
      <c r="Z408" t="inlineStr">
        <is>
          <t>Costo de almacenar menor que el de actuar</t>
        </is>
      </c>
      <c r="AA408" t="inlineStr">
        <is>
          <t>SUP-07, SUP-10</t>
        </is>
      </c>
      <c r="AB408" t="inlineStr">
        <is>
          <t>Excedente de $39.467.756 en la denominacion 5000: saldo $610.655.256 sobre el maximo $571.187.500. Se conserva: guardarlo hasta el fin del horizonte cuesta $3.941 (Anexo E, almacenamiento), menos que cualquier accion. Alternativas: traslado con PASTO|TRANSPORTADORA_001 ($39.470.000; costo $29.639); traslado con CALI|TRANSPORTADORA_001 ($39.470.000; costo $196.897); traslado con CALI|TRANSPORTADORA_002 ($39.470.000; costo $196.897); traslado con CALI|TRANSPORTADORA_003 ($39.470.000; costo $196.897); venta: dia no habil (sabado, domingo o festivo; RN-71A); consignacion BanRep: dia no habil (sabado, domingo o festivo; RN-71A).</t>
        </is>
      </c>
      <c r="AC408" t="inlineStr">
        <is>
          <t>Cierre del dia anterior (saldo encadenado, RN-71)</t>
        </is>
      </c>
      <c r="AD408" t="inlineStr">
        <is>
          <t>estimada</t>
        </is>
      </c>
      <c r="AE408" t="inlineStr">
        <is>
          <t>Participacion historica por denominacion (SUP-09)</t>
        </is>
      </c>
    </row>
    <row r="409">
      <c r="A409" t="inlineStr">
        <is>
          <t>PRAGMA</t>
        </is>
      </c>
      <c r="B409" t="inlineStr">
        <is>
          <t>IPIALES|TRANSPORTADORA_002</t>
        </is>
      </c>
      <c r="C409" t="inlineStr">
        <is>
          <t>Ipiales</t>
        </is>
      </c>
      <c r="D409" t="inlineStr">
        <is>
          <t>TRANSPORTADORA_002</t>
        </is>
      </c>
      <c r="E409" s="23" t="n">
        <v>46265</v>
      </c>
      <c r="F409" s="23" t="n">
        <v>46272</v>
      </c>
      <c r="G409" t="inlineStr">
        <is>
          <t>Sí</t>
        </is>
      </c>
      <c r="H409" s="25" t="n">
        <v>5000</v>
      </c>
      <c r="I409" s="26" t="n">
        <v>610655256</v>
      </c>
      <c r="J409" s="26" t="n">
        <v>219518666</v>
      </c>
      <c r="K409" s="26" t="n">
        <v>68745929</v>
      </c>
      <c r="L409" s="26">
        <f>J409-K409</f>
        <v>150772737</v>
      </c>
      <c r="M409" s="26">
        <f>I409+L409</f>
        <v>761427993</v>
      </c>
      <c r="N409" s="26" t="n">
        <v>153990000</v>
      </c>
      <c r="O409" s="26" t="n">
        <v>571187500</v>
      </c>
      <c r="P409" s="26">
        <f>MAX(0,N409-M409)</f>
        <v>0</v>
      </c>
      <c r="Q409" s="26">
        <f>MAX(0,M409-O409)</f>
        <v>190240493</v>
      </c>
      <c r="R409" t="inlineStr">
        <is>
          <t>bajo</t>
        </is>
      </c>
      <c r="S409" t="inlineStr">
        <is>
          <t>venta_efectivo</t>
        </is>
      </c>
      <c r="T409" t="inlineStr">
        <is>
          <t>salida</t>
        </is>
      </c>
      <c r="U409" s="26" t="n">
        <v>190245000</v>
      </c>
      <c r="V409" t="inlineStr">
        <is>
          <t>IPIALES|TRANSPORTADORA_002</t>
        </is>
      </c>
      <c r="X409" s="26">
        <f>IF(T409="entrada",M409+U409,IF(T409="salida",M409-U409,M409))</f>
        <v>571182993</v>
      </c>
      <c r="Y409" s="26" t="n">
        <v>0</v>
      </c>
      <c r="Z409" t="inlineStr">
        <is>
          <t>Menor costo neto entre las alternativas que cubren la necesidad completa</t>
        </is>
      </c>
      <c r="AA409" t="inlineStr">
        <is>
          <t>SUP-08, SUP-10, SUP-23</t>
        </is>
      </c>
      <c r="AB409" t="inlineStr">
        <is>
          <t>Excedente de $190.240.492 en la denominacion 5000: saldo $761.427.992 sobre el maximo $571.187.500. Elegida: venta ($190.245.000; beneficio de referencia $76.098). Es preferible porque tiene el menor costo neto. Otras alternativas: conservar ($190.245.000; costo de almacenar $17.096); traslado con PASTO|TRANSPORTADORA_001 ($10.880.000; costo $19.918, cubre solo una parte); traslado con CALI|TRANSPORTADORA_001 ($190.245.000; costo $328.373); traslado con CALI|TRANSPORTADORA_003 ($190.245.000; costo $328.373); consignacion BanRep: no habilitada en este fondo (sin historico o fuera de las ciudades BanRep).</t>
        </is>
      </c>
      <c r="AC409" t="inlineStr">
        <is>
          <t>Cierre del dia anterior (saldo encadenado, RN-71)</t>
        </is>
      </c>
      <c r="AD409" t="inlineStr">
        <is>
          <t>estimada</t>
        </is>
      </c>
      <c r="AE409" t="inlineStr">
        <is>
          <t>Participacion historica por denominacion (SUP-09)</t>
        </is>
      </c>
    </row>
    <row r="410">
      <c r="A410" t="inlineStr">
        <is>
          <t>PRAGMA</t>
        </is>
      </c>
      <c r="B410" t="inlineStr">
        <is>
          <t>IPIALES|TRANSPORTADORA_002</t>
        </is>
      </c>
      <c r="C410" t="inlineStr">
        <is>
          <t>Ipiales</t>
        </is>
      </c>
      <c r="D410" t="inlineStr">
        <is>
          <t>TRANSPORTADORA_002</t>
        </is>
      </c>
      <c r="E410" s="23" t="n">
        <v>46265</v>
      </c>
      <c r="F410" s="23" t="n">
        <v>46273</v>
      </c>
      <c r="G410" t="inlineStr">
        <is>
          <t>Sí</t>
        </is>
      </c>
      <c r="H410" s="25" t="n">
        <v>5000</v>
      </c>
      <c r="I410" s="26" t="n">
        <v>571182992</v>
      </c>
      <c r="J410" s="26" t="n">
        <v>190282877</v>
      </c>
      <c r="K410" s="26" t="n">
        <v>70340647</v>
      </c>
      <c r="L410" s="26">
        <f>J410-K410</f>
        <v>119942230</v>
      </c>
      <c r="M410" s="26">
        <f>I410+L410</f>
        <v>691125222</v>
      </c>
      <c r="N410" s="26" t="n">
        <v>153990000</v>
      </c>
      <c r="O410" s="26" t="n">
        <v>571187500</v>
      </c>
      <c r="P410" s="26">
        <f>MAX(0,N410-M410)</f>
        <v>0</v>
      </c>
      <c r="Q410" s="26">
        <f>MAX(0,M410-O410)</f>
        <v>119937722</v>
      </c>
      <c r="R410" t="inlineStr">
        <is>
          <t>bajo</t>
        </is>
      </c>
      <c r="S410" t="inlineStr">
        <is>
          <t>venta_efectivo</t>
        </is>
      </c>
      <c r="T410" t="inlineStr">
        <is>
          <t>salida</t>
        </is>
      </c>
      <c r="U410" s="26" t="n">
        <v>119940000</v>
      </c>
      <c r="V410" t="inlineStr">
        <is>
          <t>IPIALES|TRANSPORTADORA_002</t>
        </is>
      </c>
      <c r="X410" s="26">
        <f>IF(T410="entrada",M410+U410,IF(T410="salida",M410-U410,M410))</f>
        <v>571185222</v>
      </c>
      <c r="Y410" s="26" t="n">
        <v>0</v>
      </c>
      <c r="Z410" t="inlineStr">
        <is>
          <t>Menor costo neto entre las alternativas que cubren la necesidad completa</t>
        </is>
      </c>
      <c r="AA410" t="inlineStr">
        <is>
          <t>SUP-08, SUP-10, SUP-23</t>
        </is>
      </c>
      <c r="AB410" t="inlineStr">
        <is>
          <t>Excedente de $119.937.723 en la denominacion 5000: saldo $691.125.223 sobre el maximo $571.187.500. Elegida: venta ($119.940.000; beneficio de referencia $47.976). Es preferible porque tiene el menor costo neto. Otras alternativas: conservar ($119.940.000; costo de almacenar $9.580); traslado con CALI|TRANSPORTADORA_001 ($119.940.000; costo $267.067); traslado con CALI|TRANSPORTADORA_003 ($119.940.000; costo $267.067); consignacion BanRep: no habilitada en este fondo (sin historico o fuera de las ciudades BanRep).</t>
        </is>
      </c>
      <c r="AC410" t="inlineStr">
        <is>
          <t>Cierre del dia anterior (saldo encadenado, RN-71)</t>
        </is>
      </c>
      <c r="AD410" t="inlineStr">
        <is>
          <t>estimada</t>
        </is>
      </c>
      <c r="AE410" t="inlineStr">
        <is>
          <t>Participacion historica por denominacion (SUP-09)</t>
        </is>
      </c>
    </row>
    <row r="411">
      <c r="A411" t="inlineStr">
        <is>
          <t>PRAGMA</t>
        </is>
      </c>
      <c r="B411" t="inlineStr">
        <is>
          <t>IPIALES|TRANSPORTADORA_002</t>
        </is>
      </c>
      <c r="C411" t="inlineStr">
        <is>
          <t>Ipiales</t>
        </is>
      </c>
      <c r="D411" t="inlineStr">
        <is>
          <t>TRANSPORTADORA_002</t>
        </is>
      </c>
      <c r="E411" s="23" t="n">
        <v>46265</v>
      </c>
      <c r="F411" s="23" t="n">
        <v>46274</v>
      </c>
      <c r="G411" t="inlineStr">
        <is>
          <t>Sí</t>
        </is>
      </c>
      <c r="H411" s="25" t="n">
        <v>5000</v>
      </c>
      <c r="I411" s="26" t="n">
        <v>571185223</v>
      </c>
      <c r="J411" s="26" t="n">
        <v>187724251</v>
      </c>
      <c r="K411" s="26" t="n">
        <v>69721568</v>
      </c>
      <c r="L411" s="26">
        <f>J411-K411</f>
        <v>118002683</v>
      </c>
      <c r="M411" s="26">
        <f>I411+L411</f>
        <v>689187906</v>
      </c>
      <c r="N411" s="26" t="n">
        <v>153990000</v>
      </c>
      <c r="O411" s="26" t="n">
        <v>571187500</v>
      </c>
      <c r="P411" s="26">
        <f>MAX(0,N411-M411)</f>
        <v>0</v>
      </c>
      <c r="Q411" s="26">
        <f>MAX(0,M411-O411)</f>
        <v>118000406</v>
      </c>
      <c r="R411" t="inlineStr">
        <is>
          <t>bajo</t>
        </is>
      </c>
      <c r="S411" t="inlineStr">
        <is>
          <t>venta_efectivo</t>
        </is>
      </c>
      <c r="T411" t="inlineStr">
        <is>
          <t>salida</t>
        </is>
      </c>
      <c r="U411" s="26" t="n">
        <v>118005000</v>
      </c>
      <c r="V411" t="inlineStr">
        <is>
          <t>IPIALES|TRANSPORTADORA_002</t>
        </is>
      </c>
      <c r="X411" s="26">
        <f>IF(T411="entrada",M411+U411,IF(T411="salida",M411-U411,M411))</f>
        <v>571182906</v>
      </c>
      <c r="Y411" s="26" t="n">
        <v>0</v>
      </c>
      <c r="Z411" t="inlineStr">
        <is>
          <t>Menor costo neto entre las alternativas que cubren la necesidad completa</t>
        </is>
      </c>
      <c r="AA411" t="inlineStr">
        <is>
          <t>SUP-08, SUP-10, SUP-23</t>
        </is>
      </c>
      <c r="AB411" t="inlineStr">
        <is>
          <t>Excedente de $118.000.406 en la denominacion 5000: saldo $689.187.906 sobre el maximo $571.187.500. Elegida: venta ($118.005.000; beneficio de referencia $47.202). Es preferible porque tiene el menor costo neto. Otras alternativas: conservar ($118.005.000; costo de almacenar $8.248); traslado con CALI|TRANSPORTADORA_003 ($118.005.000; costo $265.379); consignacion BanRep: no habilitada en este fondo (sin historico o fuera de las ciudades BanRep).</t>
        </is>
      </c>
      <c r="AC411" t="inlineStr">
        <is>
          <t>Cierre del dia anterior (saldo encadenado, RN-71)</t>
        </is>
      </c>
      <c r="AD411" t="inlineStr">
        <is>
          <t>estimada</t>
        </is>
      </c>
      <c r="AE411" t="inlineStr">
        <is>
          <t>Participacion historica por denominacion (SUP-09)</t>
        </is>
      </c>
    </row>
    <row r="412">
      <c r="A412" t="inlineStr">
        <is>
          <t>PRAGMA</t>
        </is>
      </c>
      <c r="B412" t="inlineStr">
        <is>
          <t>IPIALES|TRANSPORTADORA_002</t>
        </is>
      </c>
      <c r="C412" t="inlineStr">
        <is>
          <t>Ipiales</t>
        </is>
      </c>
      <c r="D412" t="inlineStr">
        <is>
          <t>TRANSPORTADORA_002</t>
        </is>
      </c>
      <c r="E412" s="23" t="n">
        <v>46265</v>
      </c>
      <c r="F412" s="23" t="n">
        <v>46275</v>
      </c>
      <c r="G412" t="inlineStr">
        <is>
          <t>Sí</t>
        </is>
      </c>
      <c r="H412" s="25" t="n">
        <v>5000</v>
      </c>
      <c r="I412" s="26" t="n">
        <v>571182906</v>
      </c>
      <c r="J412" s="26" t="n">
        <v>167238377</v>
      </c>
      <c r="K412" s="26" t="n">
        <v>65248891</v>
      </c>
      <c r="L412" s="26">
        <f>J412-K412</f>
        <v>101989486</v>
      </c>
      <c r="M412" s="26">
        <f>I412+L412</f>
        <v>673172392</v>
      </c>
      <c r="N412" s="26" t="n">
        <v>153990000</v>
      </c>
      <c r="O412" s="26" t="n">
        <v>571187500</v>
      </c>
      <c r="P412" s="26">
        <f>MAX(0,N412-M412)</f>
        <v>0</v>
      </c>
      <c r="Q412" s="26">
        <f>MAX(0,M412-O412)</f>
        <v>101984892</v>
      </c>
      <c r="R412" t="inlineStr">
        <is>
          <t>bajo</t>
        </is>
      </c>
      <c r="S412" t="inlineStr">
        <is>
          <t>venta_efectivo</t>
        </is>
      </c>
      <c r="T412" t="inlineStr">
        <is>
          <t>salida</t>
        </is>
      </c>
      <c r="U412" s="26" t="n">
        <v>101985000</v>
      </c>
      <c r="V412" t="inlineStr">
        <is>
          <t>IPIALES|TRANSPORTADORA_002</t>
        </is>
      </c>
      <c r="X412" s="26">
        <f>IF(T412="entrada",M412+U412,IF(T412="salida",M412-U412,M412))</f>
        <v>571187392</v>
      </c>
      <c r="Y412" s="26" t="n">
        <v>0</v>
      </c>
      <c r="Z412" t="inlineStr">
        <is>
          <t>Menor costo neto entre las alternativas que cubren la necesidad completa</t>
        </is>
      </c>
      <c r="AA412" t="inlineStr">
        <is>
          <t>SUP-08, SUP-10, SUP-23</t>
        </is>
      </c>
      <c r="AB412" t="inlineStr">
        <is>
          <t>Excedente de $101.984.891 en la denominacion 5000: saldo $673.172.391 sobre el maximo $571.187.500. Elegida: venta ($101.985.000; beneficio de referencia $40.794). Es preferible porque tiene el menor costo neto. Otras alternativas: conservar ($101.985.000; costo de almacenar $6.110); traslado con CALI|TRANSPORTADORA_003 ($101.985.000; costo $251.410); consignacion BanRep: no habilitada en este fondo (sin historico o fuera de las ciudades BanRep).</t>
        </is>
      </c>
      <c r="AC412" t="inlineStr">
        <is>
          <t>Cierre del dia anterior (saldo encadenado, RN-71)</t>
        </is>
      </c>
      <c r="AD412" t="inlineStr">
        <is>
          <t>estimada</t>
        </is>
      </c>
      <c r="AE412" t="inlineStr">
        <is>
          <t>Participacion historica por denominacion (SUP-09)</t>
        </is>
      </c>
    </row>
    <row r="413">
      <c r="A413" t="inlineStr">
        <is>
          <t>PRAGMA</t>
        </is>
      </c>
      <c r="B413" t="inlineStr">
        <is>
          <t>IPIALES|TRANSPORTADORA_002</t>
        </is>
      </c>
      <c r="C413" t="inlineStr">
        <is>
          <t>Ipiales</t>
        </is>
      </c>
      <c r="D413" t="inlineStr">
        <is>
          <t>TRANSPORTADORA_002</t>
        </is>
      </c>
      <c r="E413" s="23" t="n">
        <v>46265</v>
      </c>
      <c r="F413" s="23" t="n">
        <v>46276</v>
      </c>
      <c r="G413" t="inlineStr">
        <is>
          <t>Sí</t>
        </is>
      </c>
      <c r="H413" s="25" t="n">
        <v>5000</v>
      </c>
      <c r="I413" s="26" t="n">
        <v>571187391</v>
      </c>
      <c r="J413" s="26" t="n">
        <v>204789764</v>
      </c>
      <c r="K413" s="26" t="n">
        <v>73065593</v>
      </c>
      <c r="L413" s="26">
        <f>J413-K413</f>
        <v>131724171</v>
      </c>
      <c r="M413" s="26">
        <f>I413+L413</f>
        <v>702911562</v>
      </c>
      <c r="N413" s="26" t="n">
        <v>153990000</v>
      </c>
      <c r="O413" s="26" t="n">
        <v>571187500</v>
      </c>
      <c r="P413" s="26">
        <f>MAX(0,N413-M413)</f>
        <v>0</v>
      </c>
      <c r="Q413" s="26">
        <f>MAX(0,M413-O413)</f>
        <v>131724062</v>
      </c>
      <c r="R413" t="inlineStr">
        <is>
          <t>bajo</t>
        </is>
      </c>
      <c r="S413" t="inlineStr">
        <is>
          <t>venta_efectivo</t>
        </is>
      </c>
      <c r="T413" t="inlineStr">
        <is>
          <t>salida</t>
        </is>
      </c>
      <c r="U413" s="26" t="n">
        <v>131725000</v>
      </c>
      <c r="V413" t="inlineStr">
        <is>
          <t>IPIALES|TRANSPORTADORA_002</t>
        </is>
      </c>
      <c r="X413" s="26">
        <f>IF(T413="entrada",M413+U413,IF(T413="salida",M413-U413,M413))</f>
        <v>571186562</v>
      </c>
      <c r="Y413" s="26" t="n">
        <v>0</v>
      </c>
      <c r="Z413" t="inlineStr">
        <is>
          <t>Menor costo neto entre las alternativas que cubren la necesidad completa</t>
        </is>
      </c>
      <c r="AA413" t="inlineStr">
        <is>
          <t>SUP-08, SUP-10, SUP-23</t>
        </is>
      </c>
      <c r="AB413" t="inlineStr">
        <is>
          <t>Excedente de $131.724.062 en la denominacion 5000: saldo $702.911.562 sobre el maximo $571.187.500. Elegida: venta ($131.725.000; beneficio de referencia $52.690). Es preferible porque tiene el menor costo neto. Otras alternativas: conservar ($131.725.000; costo de almacenar $6.576); traslado con CALI|TRANSPORTADORA_003 ($131.725.000; costo $277.343); consignacion BanRep: no habilitada en este fondo (sin historico o fuera de las ciudades BanRep).</t>
        </is>
      </c>
      <c r="AC413" t="inlineStr">
        <is>
          <t>Cierre del dia anterior (saldo encadenado, RN-71)</t>
        </is>
      </c>
      <c r="AD413" t="inlineStr">
        <is>
          <t>estimada</t>
        </is>
      </c>
      <c r="AE413" t="inlineStr">
        <is>
          <t>Participacion historica por denominacion (SUP-09)</t>
        </is>
      </c>
    </row>
    <row r="414">
      <c r="A414" t="inlineStr">
        <is>
          <t>PRAGMA</t>
        </is>
      </c>
      <c r="B414" t="inlineStr">
        <is>
          <t>IPIALES|TRANSPORTADORA_002</t>
        </is>
      </c>
      <c r="C414" t="inlineStr">
        <is>
          <t>Ipiales</t>
        </is>
      </c>
      <c r="D414" t="inlineStr">
        <is>
          <t>TRANSPORTADORA_002</t>
        </is>
      </c>
      <c r="E414" s="23" t="n">
        <v>46265</v>
      </c>
      <c r="F414" s="23" t="n">
        <v>46277</v>
      </c>
      <c r="G414" t="inlineStr">
        <is>
          <t>No</t>
        </is>
      </c>
      <c r="H414" s="25" t="n">
        <v>5000</v>
      </c>
      <c r="I414" s="26" t="n">
        <v>571186562</v>
      </c>
      <c r="J414" s="26" t="n">
        <v>23616715</v>
      </c>
      <c r="K414" s="26" t="n">
        <v>8820492</v>
      </c>
      <c r="L414" s="26">
        <f>J414-K414</f>
        <v>14796223</v>
      </c>
      <c r="M414" s="26">
        <f>I414+L414</f>
        <v>585982785</v>
      </c>
      <c r="N414" s="26" t="n">
        <v>153990000</v>
      </c>
      <c r="O414" s="26" t="n">
        <v>571187500</v>
      </c>
      <c r="P414" s="26">
        <f>MAX(0,N414-M414)</f>
        <v>0</v>
      </c>
      <c r="Q414" s="26">
        <f>MAX(0,M414-O414)</f>
        <v>14795285</v>
      </c>
      <c r="R414" t="inlineStr">
        <is>
          <t>medio</t>
        </is>
      </c>
      <c r="S414" t="inlineStr">
        <is>
          <t>sin_accion</t>
        </is>
      </c>
      <c r="T414" t="inlineStr">
        <is>
          <t>ninguno</t>
        </is>
      </c>
      <c r="U414" s="26" t="n">
        <v>0</v>
      </c>
      <c r="X414" s="26">
        <f>IF(T414="entrada",M414+U414,IF(T414="salida",M414-U414,M414))</f>
        <v>585982785</v>
      </c>
      <c r="Y414" s="26" t="n">
        <v>0</v>
      </c>
      <c r="Z414" t="inlineStr">
        <is>
          <t>Costo de almacenar menor que el de actuar</t>
        </is>
      </c>
      <c r="AA414" t="inlineStr">
        <is>
          <t>SUP-07, SUP-10</t>
        </is>
      </c>
      <c r="AB414" t="inlineStr">
        <is>
          <t>Excedente de $14.795.285 en la denominacion 5000: saldo $585.982.785 sobre el maximo $571.187.500. Se conserva: guardarlo hasta el fin del horizonte cuesta $591 (Anexo E, almacenamiento), menos que cualquier accion. Alternativas: traslado con PASTO|TRANSPORTADORA_001 ($14.800.000; costo $21.251); traslado con CALI|TRANSPORTADORA_001 ($14.800.000; costo $175.385); traslado con CALI|TRANSPORTADORA_002 ($14.800.000; costo $175.385); traslado con CALI|TRANSPORTADORA_003 ($14.800.000; costo $175.385); venta: dia no habil (sabado, domingo o festivo; RN-71A); consignacion BanRep: dia no habil (sabado, domingo o festivo; RN-71A).</t>
        </is>
      </c>
      <c r="AC414" t="inlineStr">
        <is>
          <t>Cierre del dia anterior (saldo encadenado, RN-71)</t>
        </is>
      </c>
      <c r="AD414" t="inlineStr">
        <is>
          <t>estimada</t>
        </is>
      </c>
      <c r="AE414" t="inlineStr">
        <is>
          <t>Participacion historica por denominacion (SUP-09)</t>
        </is>
      </c>
    </row>
    <row r="415">
      <c r="A415" t="inlineStr">
        <is>
          <t>PRAGMA</t>
        </is>
      </c>
      <c r="B415" t="inlineStr">
        <is>
          <t>IPIALES|TRANSPORTADORA_002</t>
        </is>
      </c>
      <c r="C415" t="inlineStr">
        <is>
          <t>Ipiales</t>
        </is>
      </c>
      <c r="D415" t="inlineStr">
        <is>
          <t>TRANSPORTADORA_002</t>
        </is>
      </c>
      <c r="E415" s="23" t="n">
        <v>46265</v>
      </c>
      <c r="F415" s="23" t="n">
        <v>46278</v>
      </c>
      <c r="G415" t="inlineStr">
        <is>
          <t>No</t>
        </is>
      </c>
      <c r="H415" s="25" t="n">
        <v>5000</v>
      </c>
      <c r="I415" s="26" t="n">
        <v>585982785</v>
      </c>
      <c r="J415" s="26" t="n">
        <v>20767505</v>
      </c>
      <c r="K415" s="26" t="n">
        <v>5559231</v>
      </c>
      <c r="L415" s="26">
        <f>J415-K415</f>
        <v>15208274</v>
      </c>
      <c r="M415" s="26">
        <f>I415+L415</f>
        <v>601191059</v>
      </c>
      <c r="N415" s="26" t="n">
        <v>153990000</v>
      </c>
      <c r="O415" s="26" t="n">
        <v>571187500</v>
      </c>
      <c r="P415" s="26">
        <f>MAX(0,N415-M415)</f>
        <v>0</v>
      </c>
      <c r="Q415" s="26">
        <f>MAX(0,M415-O415)</f>
        <v>30003559</v>
      </c>
      <c r="R415" t="inlineStr">
        <is>
          <t>medio</t>
        </is>
      </c>
      <c r="S415" t="inlineStr">
        <is>
          <t>sin_accion</t>
        </is>
      </c>
      <c r="T415" t="inlineStr">
        <is>
          <t>ninguno</t>
        </is>
      </c>
      <c r="U415" s="26" t="n">
        <v>0</v>
      </c>
      <c r="X415" s="26">
        <f>IF(T415="entrada",M415+U415,IF(T415="salida",M415-U415,M415))</f>
        <v>601191059</v>
      </c>
      <c r="Y415" s="26" t="n">
        <v>0</v>
      </c>
      <c r="Z415" t="inlineStr">
        <is>
          <t>Costo de almacenar menor que el de actuar</t>
        </is>
      </c>
      <c r="AA415" t="inlineStr">
        <is>
          <t>SUP-07, SUP-10</t>
        </is>
      </c>
      <c r="AB415" t="inlineStr">
        <is>
          <t>Excedente de $30.003.559 en la denominacion 5000: saldo $601.191.059 sobre el maximo $571.187.500. Se conserva: guardarlo hasta el fin del horizonte cuesta $899 (Anexo E, almacenamiento), menos que cualquier accion. Alternativas: traslado con PASTO|TRANSPORTADORA_001 ($30.005.000; costo $26.421); traslado con CALI|TRANSPORTADORA_001 ($30.005.000; costo $188.643); traslado con CALI|TRANSPORTADORA_002 ($30.005.000; costo $188.643); traslado con CALI|TRANSPORTADORA_003 ($30.005.000; costo $188.643); venta: dia no habil (sabado, domingo o festivo; RN-71A); consignacion BanRep: dia no habil (sabado, domingo o festivo; RN-71A).</t>
        </is>
      </c>
      <c r="AC415" t="inlineStr">
        <is>
          <t>Cierre del dia anterior (saldo encadenado, RN-71)</t>
        </is>
      </c>
      <c r="AD415" t="inlineStr">
        <is>
          <t>estimada</t>
        </is>
      </c>
      <c r="AE415" t="inlineStr">
        <is>
          <t>Participacion historica por denominacion (SUP-09)</t>
        </is>
      </c>
    </row>
    <row r="416">
      <c r="A416" t="inlineStr">
        <is>
          <t>PRAGMA</t>
        </is>
      </c>
      <c r="B416" t="inlineStr">
        <is>
          <t>IPIALES|TRANSPORTADORA_002</t>
        </is>
      </c>
      <c r="C416" t="inlineStr">
        <is>
          <t>Ipiales</t>
        </is>
      </c>
      <c r="D416" t="inlineStr">
        <is>
          <t>TRANSPORTADORA_002</t>
        </is>
      </c>
      <c r="E416" s="23" t="n">
        <v>46265</v>
      </c>
      <c r="F416" s="23" t="n">
        <v>46279</v>
      </c>
      <c r="G416" t="inlineStr">
        <is>
          <t>Sí</t>
        </is>
      </c>
      <c r="H416" s="25" t="n">
        <v>5000</v>
      </c>
      <c r="I416" s="26" t="n">
        <v>601191059</v>
      </c>
      <c r="J416" s="26" t="n">
        <v>223603133</v>
      </c>
      <c r="K416" s="26" t="n">
        <v>68707306</v>
      </c>
      <c r="L416" s="26">
        <f>J416-K416</f>
        <v>154895827</v>
      </c>
      <c r="M416" s="26">
        <f>I416+L416</f>
        <v>756086886</v>
      </c>
      <c r="N416" s="26" t="n">
        <v>153990000</v>
      </c>
      <c r="O416" s="26" t="n">
        <v>571187500</v>
      </c>
      <c r="P416" s="26">
        <f>MAX(0,N416-M416)</f>
        <v>0</v>
      </c>
      <c r="Q416" s="26">
        <f>MAX(0,M416-O416)</f>
        <v>184899386</v>
      </c>
      <c r="R416" t="inlineStr">
        <is>
          <t>bajo</t>
        </is>
      </c>
      <c r="S416" t="inlineStr">
        <is>
          <t>venta_efectivo</t>
        </is>
      </c>
      <c r="T416" t="inlineStr">
        <is>
          <t>salida</t>
        </is>
      </c>
      <c r="U416" s="26" t="n">
        <v>184900000</v>
      </c>
      <c r="V416" t="inlineStr">
        <is>
          <t>IPIALES|TRANSPORTADORA_002</t>
        </is>
      </c>
      <c r="X416" s="26">
        <f>IF(T416="entrada",M416+U416,IF(T416="salida",M416-U416,M416))</f>
        <v>571186886</v>
      </c>
      <c r="Y416" s="26" t="n">
        <v>0</v>
      </c>
      <c r="Z416" t="inlineStr">
        <is>
          <t>Menor costo neto entre las alternativas que cubren la necesidad completa</t>
        </is>
      </c>
      <c r="AA416" t="inlineStr">
        <is>
          <t>SUP-08, SUP-10, SUP-23</t>
        </is>
      </c>
      <c r="AB416" t="inlineStr">
        <is>
          <t>Excedente de $184.899.386 en la denominacion 5000: saldo $756.086.886 sobre el maximo $571.187.500. Elegida: venta ($184.900.000; beneficio de referencia $73.960). Es preferible porque tiene el menor costo neto. Otras alternativas: conservar ($184.900.000; costo de almacenar $3.692); traslado con CALI|TRANSPORTADORA_003 ($184.900.000; costo $323.712); consignacion BanRep: no habilitada en este fondo (sin historico o fuera de las ciudades BanRep).</t>
        </is>
      </c>
      <c r="AC416" t="inlineStr">
        <is>
          <t>Cierre del dia anterior (saldo encadenado, RN-71)</t>
        </is>
      </c>
      <c r="AD416" t="inlineStr">
        <is>
          <t>estimada</t>
        </is>
      </c>
      <c r="AE416" t="inlineStr">
        <is>
          <t>Participacion historica por denominacion (SUP-09)</t>
        </is>
      </c>
    </row>
    <row r="417">
      <c r="A417" t="inlineStr">
        <is>
          <t>PRAGMA</t>
        </is>
      </c>
      <c r="B417" t="inlineStr">
        <is>
          <t>IPIALES|TRANSPORTADORA_002</t>
        </is>
      </c>
      <c r="C417" t="inlineStr">
        <is>
          <t>Ipiales</t>
        </is>
      </c>
      <c r="D417" t="inlineStr">
        <is>
          <t>TRANSPORTADORA_002</t>
        </is>
      </c>
      <c r="E417" s="23" t="n">
        <v>46265</v>
      </c>
      <c r="F417" s="23" t="n">
        <v>46280</v>
      </c>
      <c r="G417" t="inlineStr">
        <is>
          <t>Sí</t>
        </is>
      </c>
      <c r="H417" s="25" t="n">
        <v>5000</v>
      </c>
      <c r="I417" s="26" t="n">
        <v>571186886</v>
      </c>
      <c r="J417" s="26" t="n">
        <v>198765786</v>
      </c>
      <c r="K417" s="26" t="n">
        <v>73897557</v>
      </c>
      <c r="L417" s="26">
        <f>J417-K417</f>
        <v>124868229</v>
      </c>
      <c r="M417" s="26">
        <f>I417+L417</f>
        <v>696055115</v>
      </c>
      <c r="N417" s="26" t="n">
        <v>153990000</v>
      </c>
      <c r="O417" s="26" t="n">
        <v>571187500</v>
      </c>
      <c r="P417" s="26">
        <f>MAX(0,N417-M417)</f>
        <v>0</v>
      </c>
      <c r="Q417" s="26">
        <f>MAX(0,M417-O417)</f>
        <v>124867615</v>
      </c>
      <c r="R417" t="inlineStr">
        <is>
          <t>bajo</t>
        </is>
      </c>
      <c r="S417" t="inlineStr">
        <is>
          <t>venta_efectivo</t>
        </is>
      </c>
      <c r="T417" t="inlineStr">
        <is>
          <t>salida</t>
        </is>
      </c>
      <c r="U417" s="26" t="n">
        <v>124870000</v>
      </c>
      <c r="V417" t="inlineStr">
        <is>
          <t>IPIALES|TRANSPORTADORA_002</t>
        </is>
      </c>
      <c r="X417" s="26">
        <f>IF(T417="entrada",M417+U417,IF(T417="salida",M417-U417,M417))</f>
        <v>571185115</v>
      </c>
      <c r="Y417" s="26" t="n">
        <v>0</v>
      </c>
      <c r="Z417" t="inlineStr">
        <is>
          <t>Menor costo neto entre las alternativas que cubren la necesidad completa</t>
        </is>
      </c>
      <c r="AA417" t="inlineStr">
        <is>
          <t>SUP-08, SUP-10, SUP-23</t>
        </is>
      </c>
      <c r="AB417" t="inlineStr">
        <is>
          <t>Excedente de $124.867.615 en la denominacion 5000: saldo $696.055.115 sobre el maximo $571.187.500. Elegida: venta ($124.870.000; beneficio de referencia $49.948). Es preferible porque tiene el menor costo neto. Otras alternativas: conservar ($124.870.000; costo de almacenar $1.247); traslado con CALI|TRANSPORTADORA_003 ($124.870.000; costo $271.366); consignacion BanRep: no habilitada en este fondo (sin historico o fuera de las ciudades BanRep).</t>
        </is>
      </c>
      <c r="AC417" t="inlineStr">
        <is>
          <t>Cierre del dia anterior (saldo encadenado, RN-71)</t>
        </is>
      </c>
      <c r="AD417" t="inlineStr">
        <is>
          <t>estimada</t>
        </is>
      </c>
      <c r="AE417" t="inlineStr">
        <is>
          <t>Participacion historica por denominacion (SUP-09)</t>
        </is>
      </c>
    </row>
    <row r="418">
      <c r="A418" t="inlineStr">
        <is>
          <t>PRAGMA</t>
        </is>
      </c>
      <c r="B418" t="inlineStr">
        <is>
          <t>IPIALES|TRANSPORTADORA_002</t>
        </is>
      </c>
      <c r="C418" t="inlineStr">
        <is>
          <t>Ipiales</t>
        </is>
      </c>
      <c r="D418" t="inlineStr">
        <is>
          <t>TRANSPORTADORA_002</t>
        </is>
      </c>
      <c r="E418" s="23" t="n">
        <v>46265</v>
      </c>
      <c r="F418" s="23" t="n">
        <v>46266</v>
      </c>
      <c r="G418" t="inlineStr">
        <is>
          <t>Sí</t>
        </is>
      </c>
      <c r="H418" s="25" t="n">
        <v>10000</v>
      </c>
      <c r="I418" s="26" t="n">
        <v>544150000</v>
      </c>
      <c r="J418" s="26" t="n">
        <v>426263078</v>
      </c>
      <c r="K418" s="26" t="n">
        <v>168732974</v>
      </c>
      <c r="L418" s="26">
        <f>J418-K418</f>
        <v>257530104</v>
      </c>
      <c r="M418" s="26">
        <f>I418+L418</f>
        <v>801680104</v>
      </c>
      <c r="N418" s="26" t="n">
        <v>275145000</v>
      </c>
      <c r="O418" s="26" t="n">
        <v>1126510000</v>
      </c>
      <c r="P418" s="26">
        <f>MAX(0,N418-M418)</f>
        <v>0</v>
      </c>
      <c r="Q418" s="26">
        <f>MAX(0,M418-O418)</f>
        <v>0</v>
      </c>
      <c r="R418" t="inlineStr">
        <is>
          <t>bajo</t>
        </is>
      </c>
      <c r="S418" t="inlineStr">
        <is>
          <t>sin_accion</t>
        </is>
      </c>
      <c r="T418" t="inlineStr">
        <is>
          <t>ninguno</t>
        </is>
      </c>
      <c r="U418" s="26" t="n">
        <v>0</v>
      </c>
      <c r="X418" s="26">
        <f>IF(T418="entrada",M418+U418,IF(T418="salida",M418-U418,M418))</f>
        <v>801680104</v>
      </c>
      <c r="Y418" s="26" t="n">
        <v>0</v>
      </c>
      <c r="Z418" t="inlineStr">
        <is>
          <t>RN-85: dentro de niveles objetivo (sin_accion)</t>
        </is>
      </c>
      <c r="AA418" t="inlineStr">
        <is>
          <t>SUP-07, SUP-10</t>
        </is>
      </c>
      <c r="AB418" t="inlineStr">
        <is>
          <t>Saldo dentro del rango objetivo; sin accion.</t>
        </is>
      </c>
      <c r="AC418" t="inlineStr">
        <is>
          <t>Ultimo disponible al 31/08/2026 (SUP-07)</t>
        </is>
      </c>
      <c r="AD418" t="inlineStr">
        <is>
          <t>estimada</t>
        </is>
      </c>
      <c r="AE418" t="inlineStr">
        <is>
          <t>Participacion historica por denominacion (SUP-09)</t>
        </is>
      </c>
    </row>
    <row r="419">
      <c r="A419" t="inlineStr">
        <is>
          <t>PRAGMA</t>
        </is>
      </c>
      <c r="B419" t="inlineStr">
        <is>
          <t>IPIALES|TRANSPORTADORA_002</t>
        </is>
      </c>
      <c r="C419" t="inlineStr">
        <is>
          <t>Ipiales</t>
        </is>
      </c>
      <c r="D419" t="inlineStr">
        <is>
          <t>TRANSPORTADORA_002</t>
        </is>
      </c>
      <c r="E419" s="23" t="n">
        <v>46265</v>
      </c>
      <c r="F419" s="23" t="n">
        <v>46267</v>
      </c>
      <c r="G419" t="inlineStr">
        <is>
          <t>Sí</t>
        </is>
      </c>
      <c r="H419" s="25" t="n">
        <v>10000</v>
      </c>
      <c r="I419" s="26" t="n">
        <v>801680104</v>
      </c>
      <c r="J419" s="26" t="n">
        <v>448161670</v>
      </c>
      <c r="K419" s="26" t="n">
        <v>159735584</v>
      </c>
      <c r="L419" s="26">
        <f>J419-K419</f>
        <v>288426086</v>
      </c>
      <c r="M419" s="26">
        <f>I419+L419</f>
        <v>1090106190</v>
      </c>
      <c r="N419" s="26" t="n">
        <v>275145000</v>
      </c>
      <c r="O419" s="26" t="n">
        <v>1126510000</v>
      </c>
      <c r="P419" s="26">
        <f>MAX(0,N419-M419)</f>
        <v>0</v>
      </c>
      <c r="Q419" s="26">
        <f>MAX(0,M419-O419)</f>
        <v>0</v>
      </c>
      <c r="R419" t="inlineStr">
        <is>
          <t>bajo</t>
        </is>
      </c>
      <c r="S419" t="inlineStr">
        <is>
          <t>sin_accion</t>
        </is>
      </c>
      <c r="T419" t="inlineStr">
        <is>
          <t>ninguno</t>
        </is>
      </c>
      <c r="U419" s="26" t="n">
        <v>0</v>
      </c>
      <c r="X419" s="26">
        <f>IF(T419="entrada",M419+U419,IF(T419="salida",M419-U419,M419))</f>
        <v>1090106190</v>
      </c>
      <c r="Y419" s="26" t="n">
        <v>0</v>
      </c>
      <c r="Z419" t="inlineStr">
        <is>
          <t>RN-85: dentro de niveles objetivo (sin_accion)</t>
        </is>
      </c>
      <c r="AA419" t="inlineStr">
        <is>
          <t>SUP-07, SUP-10</t>
        </is>
      </c>
      <c r="AB419" t="inlineStr">
        <is>
          <t>Saldo dentro del rango objetivo; sin accion.</t>
        </is>
      </c>
      <c r="AC419" t="inlineStr">
        <is>
          <t>Cierre del dia anterior (saldo encadenado, RN-71)</t>
        </is>
      </c>
      <c r="AD419" t="inlineStr">
        <is>
          <t>estimada</t>
        </is>
      </c>
      <c r="AE419" t="inlineStr">
        <is>
          <t>Participacion historica por denominacion (SUP-09)</t>
        </is>
      </c>
    </row>
    <row r="420">
      <c r="A420" t="inlineStr">
        <is>
          <t>PRAGMA</t>
        </is>
      </c>
      <c r="B420" t="inlineStr">
        <is>
          <t>IPIALES|TRANSPORTADORA_002</t>
        </is>
      </c>
      <c r="C420" t="inlineStr">
        <is>
          <t>Ipiales</t>
        </is>
      </c>
      <c r="D420" t="inlineStr">
        <is>
          <t>TRANSPORTADORA_002</t>
        </is>
      </c>
      <c r="E420" s="23" t="n">
        <v>46265</v>
      </c>
      <c r="F420" s="23" t="n">
        <v>46268</v>
      </c>
      <c r="G420" t="inlineStr">
        <is>
          <t>Sí</t>
        </is>
      </c>
      <c r="H420" s="25" t="n">
        <v>10000</v>
      </c>
      <c r="I420" s="26" t="n">
        <v>1090106191</v>
      </c>
      <c r="J420" s="26" t="n">
        <v>443675608</v>
      </c>
      <c r="K420" s="26" t="n">
        <v>115426130</v>
      </c>
      <c r="L420" s="26">
        <f>J420-K420</f>
        <v>328249478</v>
      </c>
      <c r="M420" s="26">
        <f>I420+L420</f>
        <v>1418355669</v>
      </c>
      <c r="N420" s="26" t="n">
        <v>275145000</v>
      </c>
      <c r="O420" s="26" t="n">
        <v>1126510000</v>
      </c>
      <c r="P420" s="26">
        <f>MAX(0,N420-M420)</f>
        <v>0</v>
      </c>
      <c r="Q420" s="26">
        <f>MAX(0,M420-O420)</f>
        <v>291845669</v>
      </c>
      <c r="R420" t="inlineStr">
        <is>
          <t>bajo</t>
        </is>
      </c>
      <c r="S420" t="inlineStr">
        <is>
          <t>venta_efectivo</t>
        </is>
      </c>
      <c r="T420" t="inlineStr">
        <is>
          <t>salida</t>
        </is>
      </c>
      <c r="U420" s="26" t="n">
        <v>291850000</v>
      </c>
      <c r="V420" t="inlineStr">
        <is>
          <t>IPIALES|TRANSPORTADORA_002</t>
        </is>
      </c>
      <c r="X420" s="26">
        <f>IF(T420="entrada",M420+U420,IF(T420="salida",M420-U420,M420))</f>
        <v>1126505669</v>
      </c>
      <c r="Y420" s="26" t="n">
        <v>0</v>
      </c>
      <c r="Z420" t="inlineStr">
        <is>
          <t>Menor costo neto entre las alternativas que cubren la necesidad completa</t>
        </is>
      </c>
      <c r="AA420" t="inlineStr">
        <is>
          <t>SUP-08, SUP-10, SUP-23</t>
        </is>
      </c>
      <c r="AB420" t="inlineStr">
        <is>
          <t>Excedente de $291.845.670 en la denominacion 10000: saldo $1.418.355.670 sobre el maximo $1.126.510.000. Elegida: venta ($291.850.000; beneficio de referencia $116.740). Es preferible porque tiene el menor costo neto. Otras alternativas: conservar ($291.850.000; costo de almacenar $37.882); traslado con CALI|TRANSPORTADORA_001 ($291.850.000; costo $416.972); traslado con CALI|TRANSPORTADORA_003 ($291.850.000; costo $416.972); consignacion BanRep: no habilitada en este fondo (sin historico o fuera de las ciudades BanRep).</t>
        </is>
      </c>
      <c r="AC420" t="inlineStr">
        <is>
          <t>Cierre del dia anterior (saldo encadenado, RN-71)</t>
        </is>
      </c>
      <c r="AD420" t="inlineStr">
        <is>
          <t>estimada</t>
        </is>
      </c>
      <c r="AE420" t="inlineStr">
        <is>
          <t>Participacion historica por denominacion (SUP-09)</t>
        </is>
      </c>
    </row>
    <row r="421">
      <c r="A421" t="inlineStr">
        <is>
          <t>PRAGMA</t>
        </is>
      </c>
      <c r="B421" t="inlineStr">
        <is>
          <t>IPIALES|TRANSPORTADORA_002</t>
        </is>
      </c>
      <c r="C421" t="inlineStr">
        <is>
          <t>Ipiales</t>
        </is>
      </c>
      <c r="D421" t="inlineStr">
        <is>
          <t>TRANSPORTADORA_002</t>
        </is>
      </c>
      <c r="E421" s="23" t="n">
        <v>46265</v>
      </c>
      <c r="F421" s="23" t="n">
        <v>46269</v>
      </c>
      <c r="G421" t="inlineStr">
        <is>
          <t>Sí</t>
        </is>
      </c>
      <c r="H421" s="25" t="n">
        <v>10000</v>
      </c>
      <c r="I421" s="26" t="n">
        <v>1126505670</v>
      </c>
      <c r="J421" s="26" t="n">
        <v>481211615</v>
      </c>
      <c r="K421" s="26" t="n">
        <v>170861606</v>
      </c>
      <c r="L421" s="26">
        <f>J421-K421</f>
        <v>310350009</v>
      </c>
      <c r="M421" s="26">
        <f>I421+L421</f>
        <v>1436855679</v>
      </c>
      <c r="N421" s="26" t="n">
        <v>275145000</v>
      </c>
      <c r="O421" s="26" t="n">
        <v>1126510000</v>
      </c>
      <c r="P421" s="26">
        <f>MAX(0,N421-M421)</f>
        <v>0</v>
      </c>
      <c r="Q421" s="26">
        <f>MAX(0,M421-O421)</f>
        <v>310345679</v>
      </c>
      <c r="R421" t="inlineStr">
        <is>
          <t>bajo</t>
        </is>
      </c>
      <c r="S421" t="inlineStr">
        <is>
          <t>venta_efectivo</t>
        </is>
      </c>
      <c r="T421" t="inlineStr">
        <is>
          <t>salida</t>
        </is>
      </c>
      <c r="U421" s="26" t="n">
        <v>310350000</v>
      </c>
      <c r="V421" t="inlineStr">
        <is>
          <t>IPIALES|TRANSPORTADORA_002</t>
        </is>
      </c>
      <c r="X421" s="26">
        <f>IF(T421="entrada",M421+U421,IF(T421="salida",M421-U421,M421))</f>
        <v>1126505679</v>
      </c>
      <c r="Y421" s="26" t="n">
        <v>0</v>
      </c>
      <c r="Z421" t="inlineStr">
        <is>
          <t>Menor costo neto entre las alternativas que cubren la necesidad completa</t>
        </is>
      </c>
      <c r="AA421" t="inlineStr">
        <is>
          <t>SUP-08, SUP-10, SUP-23</t>
        </is>
      </c>
      <c r="AB421" t="inlineStr">
        <is>
          <t>Excedente de $310.345.679 en la denominacion 10000: saldo $1.436.855.679 sobre el maximo $1.126.510.000. Elegida: venta ($310.350.000; beneficio de referencia $124.140). Es preferible porque tiene el menor costo neto. Otras alternativas: traslado con PASTO|TRANSPORTADORA_001 ($27.480.000; costo $25.562, cubre solo una parte); conservar ($310.350.000; costo de almacenar $37.184); traslado con CALI|TRANSPORTADORA_001 ($310.350.000; costo $433.104); traslado con CALI|TRANSPORTADORA_003 ($310.350.000; costo $433.104); consignacion BanRep: no habilitada en este fondo (sin historico o fuera de las ciudades BanRep).</t>
        </is>
      </c>
      <c r="AC421" t="inlineStr">
        <is>
          <t>Cierre del dia anterior (saldo encadenado, RN-71)</t>
        </is>
      </c>
      <c r="AD421" t="inlineStr">
        <is>
          <t>estimada</t>
        </is>
      </c>
      <c r="AE421" t="inlineStr">
        <is>
          <t>Participacion historica por denominacion (SUP-09)</t>
        </is>
      </c>
    </row>
    <row r="422">
      <c r="A422" t="inlineStr">
        <is>
          <t>PRAGMA</t>
        </is>
      </c>
      <c r="B422" t="inlineStr">
        <is>
          <t>IPIALES|TRANSPORTADORA_002</t>
        </is>
      </c>
      <c r="C422" t="inlineStr">
        <is>
          <t>Ipiales</t>
        </is>
      </c>
      <c r="D422" t="inlineStr">
        <is>
          <t>TRANSPORTADORA_002</t>
        </is>
      </c>
      <c r="E422" s="23" t="n">
        <v>46265</v>
      </c>
      <c r="F422" s="23" t="n">
        <v>46270</v>
      </c>
      <c r="G422" t="inlineStr">
        <is>
          <t>No</t>
        </is>
      </c>
      <c r="H422" s="25" t="n">
        <v>10000</v>
      </c>
      <c r="I422" s="26" t="n">
        <v>1126505679</v>
      </c>
      <c r="J422" s="26" t="n">
        <v>56274596</v>
      </c>
      <c r="K422" s="26" t="n">
        <v>22655065</v>
      </c>
      <c r="L422" s="26">
        <f>J422-K422</f>
        <v>33619531</v>
      </c>
      <c r="M422" s="26">
        <f>I422+L422</f>
        <v>1160125210</v>
      </c>
      <c r="N422" s="26" t="n">
        <v>275145000</v>
      </c>
      <c r="O422" s="26" t="n">
        <v>1126510000</v>
      </c>
      <c r="P422" s="26">
        <f>MAX(0,N422-M422)</f>
        <v>0</v>
      </c>
      <c r="Q422" s="26">
        <f>MAX(0,M422-O422)</f>
        <v>33615210</v>
      </c>
      <c r="R422" t="inlineStr">
        <is>
          <t>medio</t>
        </is>
      </c>
      <c r="S422" t="inlineStr">
        <is>
          <t>sin_accion</t>
        </is>
      </c>
      <c r="T422" t="inlineStr">
        <is>
          <t>ninguno</t>
        </is>
      </c>
      <c r="U422" s="26" t="n">
        <v>0</v>
      </c>
      <c r="X422" s="26">
        <f>IF(T422="entrada",M422+U422,IF(T422="salida",M422-U422,M422))</f>
        <v>1160125210</v>
      </c>
      <c r="Y422" s="26" t="n">
        <v>0</v>
      </c>
      <c r="Z422" t="inlineStr">
        <is>
          <t>Costo de almacenar menor que el de actuar</t>
        </is>
      </c>
      <c r="AA422" t="inlineStr">
        <is>
          <t>SUP-07, SUP-10</t>
        </is>
      </c>
      <c r="AB422" t="inlineStr">
        <is>
          <t>Excedente de $33.615.210 en la denominacion 10000: saldo $1.160.125.210 sobre el maximo $1.126.510.000. Se conserva: guardarlo hasta el fin del horizonte cuesta $3.692 (Anexo E, almacenamiento), menos que cualquier accion. Alternativas: traslado con PASTO|TRANSPORTADORA_001 ($33.620.000; costo $27.650); traslado con CALI|TRANSPORTADORA_001 ($33.620.000; costo $191.796); traslado con CALI|TRANSPORTADORA_002 ($33.620.000; costo $191.796); traslado con CALI|TRANSPORTADORA_003 ($33.620.000; costo $191.796); venta: dia no habil (sabado, domingo o festivo; RN-71A); consignacion BanRep: dia no habil (sabado, domingo o festivo; RN-71A).</t>
        </is>
      </c>
      <c r="AC422" t="inlineStr">
        <is>
          <t>Cierre del dia anterior (saldo encadenado, RN-71)</t>
        </is>
      </c>
      <c r="AD422" t="inlineStr">
        <is>
          <t>estimada</t>
        </is>
      </c>
      <c r="AE422" t="inlineStr">
        <is>
          <t>Participacion historica por denominacion (SUP-09)</t>
        </is>
      </c>
    </row>
    <row r="423">
      <c r="A423" t="inlineStr">
        <is>
          <t>PRAGMA</t>
        </is>
      </c>
      <c r="B423" t="inlineStr">
        <is>
          <t>IPIALES|TRANSPORTADORA_002</t>
        </is>
      </c>
      <c r="C423" t="inlineStr">
        <is>
          <t>Ipiales</t>
        </is>
      </c>
      <c r="D423" t="inlineStr">
        <is>
          <t>TRANSPORTADORA_002</t>
        </is>
      </c>
      <c r="E423" s="23" t="n">
        <v>46265</v>
      </c>
      <c r="F423" s="23" t="n">
        <v>46271</v>
      </c>
      <c r="G423" t="inlineStr">
        <is>
          <t>No</t>
        </is>
      </c>
      <c r="H423" s="25" t="n">
        <v>10000</v>
      </c>
      <c r="I423" s="26" t="n">
        <v>1160125210</v>
      </c>
      <c r="J423" s="26" t="n">
        <v>64477081</v>
      </c>
      <c r="K423" s="26" t="n">
        <v>14676730</v>
      </c>
      <c r="L423" s="26">
        <f>J423-K423</f>
        <v>49800351</v>
      </c>
      <c r="M423" s="26">
        <f>I423+L423</f>
        <v>1209925561</v>
      </c>
      <c r="N423" s="26" t="n">
        <v>275145000</v>
      </c>
      <c r="O423" s="26" t="n">
        <v>1126510000</v>
      </c>
      <c r="P423" s="26">
        <f>MAX(0,N423-M423)</f>
        <v>0</v>
      </c>
      <c r="Q423" s="26">
        <f>MAX(0,M423-O423)</f>
        <v>83415561</v>
      </c>
      <c r="R423" t="inlineStr">
        <is>
          <t>medio</t>
        </is>
      </c>
      <c r="S423" t="inlineStr">
        <is>
          <t>sin_accion</t>
        </is>
      </c>
      <c r="T423" t="inlineStr">
        <is>
          <t>ninguno</t>
        </is>
      </c>
      <c r="U423" s="26" t="n">
        <v>0</v>
      </c>
      <c r="X423" s="26">
        <f>IF(T423="entrada",M423+U423,IF(T423="salida",M423-U423,M423))</f>
        <v>1209925561</v>
      </c>
      <c r="Y423" s="26" t="n">
        <v>0</v>
      </c>
      <c r="Z423" t="inlineStr">
        <is>
          <t>Costo de almacenar menor que el de actuar</t>
        </is>
      </c>
      <c r="AA423" t="inlineStr">
        <is>
          <t>SUP-07, SUP-10</t>
        </is>
      </c>
      <c r="AB423" t="inlineStr">
        <is>
          <t>Excedente de $83.415.562 en la denominacion 10000: saldo $1.209.925.562 sobre el maximo $1.126.510.000. Se conserva: guardarlo hasta el fin del horizonte cuesta $8.329 (Anexo E, almacenamiento), menos que cualquier accion. Alternativas: traslado con PASTO|TRANSPORTADORA_001 ($83.420.000; costo $44.582); traslado con CALI|TRANSPORTADORA_001 ($83.420.000; costo $235.221); traslado con CALI|TRANSPORTADORA_002 ($83.420.000; costo $235.221); traslado con CALI|TRANSPORTADORA_003 ($83.420.000; costo $235.221); venta: dia no habil (sabado, domingo o festivo; RN-71A); consignacion BanRep: dia no habil (sabado, domingo o festivo; RN-71A).</t>
        </is>
      </c>
      <c r="AC423" t="inlineStr">
        <is>
          <t>Cierre del dia anterior (saldo encadenado, RN-71)</t>
        </is>
      </c>
      <c r="AD423" t="inlineStr">
        <is>
          <t>estimada</t>
        </is>
      </c>
      <c r="AE423" t="inlineStr">
        <is>
          <t>Participacion historica por denominacion (SUP-09)</t>
        </is>
      </c>
    </row>
    <row r="424">
      <c r="A424" t="inlineStr">
        <is>
          <t>PRAGMA</t>
        </is>
      </c>
      <c r="B424" t="inlineStr">
        <is>
          <t>IPIALES|TRANSPORTADORA_002</t>
        </is>
      </c>
      <c r="C424" t="inlineStr">
        <is>
          <t>Ipiales</t>
        </is>
      </c>
      <c r="D424" t="inlineStr">
        <is>
          <t>TRANSPORTADORA_002</t>
        </is>
      </c>
      <c r="E424" s="23" t="n">
        <v>46265</v>
      </c>
      <c r="F424" s="23" t="n">
        <v>46272</v>
      </c>
      <c r="G424" t="inlineStr">
        <is>
          <t>Sí</t>
        </is>
      </c>
      <c r="H424" s="25" t="n">
        <v>10000</v>
      </c>
      <c r="I424" s="26" t="n">
        <v>1209925562</v>
      </c>
      <c r="J424" s="26" t="n">
        <v>463953371</v>
      </c>
      <c r="K424" s="26" t="n">
        <v>145294732</v>
      </c>
      <c r="L424" s="26">
        <f>J424-K424</f>
        <v>318658639</v>
      </c>
      <c r="M424" s="26">
        <f>I424+L424</f>
        <v>1528584201</v>
      </c>
      <c r="N424" s="26" t="n">
        <v>275145000</v>
      </c>
      <c r="O424" s="26" t="n">
        <v>1126510000</v>
      </c>
      <c r="P424" s="26">
        <f>MAX(0,N424-M424)</f>
        <v>0</v>
      </c>
      <c r="Q424" s="26">
        <f>MAX(0,M424-O424)</f>
        <v>402074201</v>
      </c>
      <c r="R424" t="inlineStr">
        <is>
          <t>bajo</t>
        </is>
      </c>
      <c r="S424" t="inlineStr">
        <is>
          <t>venta_efectivo</t>
        </is>
      </c>
      <c r="T424" t="inlineStr">
        <is>
          <t>salida</t>
        </is>
      </c>
      <c r="U424" s="26" t="n">
        <v>402080000</v>
      </c>
      <c r="V424" t="inlineStr">
        <is>
          <t>IPIALES|TRANSPORTADORA_002</t>
        </is>
      </c>
      <c r="X424" s="26">
        <f>IF(T424="entrada",M424+U424,IF(T424="salida",M424-U424,M424))</f>
        <v>1126504201</v>
      </c>
      <c r="Y424" s="26" t="n">
        <v>0</v>
      </c>
      <c r="Z424" t="inlineStr">
        <is>
          <t>Menor costo neto entre las alternativas que cubren la necesidad completa</t>
        </is>
      </c>
      <c r="AA424" t="inlineStr">
        <is>
          <t>SUP-08, SUP-10, SUP-23</t>
        </is>
      </c>
      <c r="AB424" t="inlineStr">
        <is>
          <t>Excedente de $402.074.201 en la denominacion 10000: saldo $1.528.584.201 sobre el maximo $1.126.510.000. Elegida: venta ($402.080.000; beneficio de referencia $160.832). Es preferible porque tiene el menor costo neto. Otras alternativas: traslado con PASTO|TRANSPORTADORA_001 ($41.680.000; costo $30.390, cubre solo una parte); conservar ($402.080.000; costo de almacenar $36.131); traslado con CALI|TRANSPORTADORA_001 ($298.650.000; costo $422.902, cubre solo una parte); traslado con CALI|TRANSPORTADORA_003 ($402.080.000; costo $513.093); consignacion BanRep: no habilitada en este fondo (sin historico o fuera de las ciudades BanRep).</t>
        </is>
      </c>
      <c r="AC424" t="inlineStr">
        <is>
          <t>Cierre del dia anterior (saldo encadenado, RN-71)</t>
        </is>
      </c>
      <c r="AD424" t="inlineStr">
        <is>
          <t>estimada</t>
        </is>
      </c>
      <c r="AE424" t="inlineStr">
        <is>
          <t>Participacion historica por denominacion (SUP-09)</t>
        </is>
      </c>
    </row>
    <row r="425">
      <c r="A425" t="inlineStr">
        <is>
          <t>PRAGMA</t>
        </is>
      </c>
      <c r="B425" t="inlineStr">
        <is>
          <t>IPIALES|TRANSPORTADORA_002</t>
        </is>
      </c>
      <c r="C425" t="inlineStr">
        <is>
          <t>Ipiales</t>
        </is>
      </c>
      <c r="D425" t="inlineStr">
        <is>
          <t>TRANSPORTADORA_002</t>
        </is>
      </c>
      <c r="E425" s="23" t="n">
        <v>46265</v>
      </c>
      <c r="F425" s="23" t="n">
        <v>46273</v>
      </c>
      <c r="G425" t="inlineStr">
        <is>
          <t>Sí</t>
        </is>
      </c>
      <c r="H425" s="25" t="n">
        <v>10000</v>
      </c>
      <c r="I425" s="26" t="n">
        <v>1126504201</v>
      </c>
      <c r="J425" s="26" t="n">
        <v>402163442</v>
      </c>
      <c r="K425" s="26" t="n">
        <v>148665172</v>
      </c>
      <c r="L425" s="26">
        <f>J425-K425</f>
        <v>253498270</v>
      </c>
      <c r="M425" s="26">
        <f>I425+L425</f>
        <v>1380002471</v>
      </c>
      <c r="N425" s="26" t="n">
        <v>275145000</v>
      </c>
      <c r="O425" s="26" t="n">
        <v>1126510000</v>
      </c>
      <c r="P425" s="26">
        <f>MAX(0,N425-M425)</f>
        <v>0</v>
      </c>
      <c r="Q425" s="26">
        <f>MAX(0,M425-O425)</f>
        <v>253492471</v>
      </c>
      <c r="R425" t="inlineStr">
        <is>
          <t>bajo</t>
        </is>
      </c>
      <c r="S425" t="inlineStr">
        <is>
          <t>venta_efectivo</t>
        </is>
      </c>
      <c r="T425" t="inlineStr">
        <is>
          <t>salida</t>
        </is>
      </c>
      <c r="U425" s="26" t="n">
        <v>253500000</v>
      </c>
      <c r="V425" t="inlineStr">
        <is>
          <t>IPIALES|TRANSPORTADORA_002</t>
        </is>
      </c>
      <c r="X425" s="26">
        <f>IF(T425="entrada",M425+U425,IF(T425="salida",M425-U425,M425))</f>
        <v>1126502471</v>
      </c>
      <c r="Y425" s="26" t="n">
        <v>0</v>
      </c>
      <c r="Z425" t="inlineStr">
        <is>
          <t>Menor costo neto entre las alternativas que cubren la necesidad completa</t>
        </is>
      </c>
      <c r="AA425" t="inlineStr">
        <is>
          <t>SUP-08, SUP-10, SUP-23</t>
        </is>
      </c>
      <c r="AB425" t="inlineStr">
        <is>
          <t>Excedente de $253.492.472 en la denominacion 10000: saldo $1.380.002.472 sobre el maximo $1.126.510.000. Elegida: venta ($253.500.000; beneficio de referencia $101.400). Es preferible porque tiene el menor costo neto. Otras alternativas: conservar ($253.500.000; costo de almacenar $20.249); traslado con CALI|TRANSPORTADORA_003 ($253.500.000; costo $383.531); consignacion BanRep: no habilitada en este fondo (sin historico o fuera de las ciudades BanRep).</t>
        </is>
      </c>
      <c r="AC425" t="inlineStr">
        <is>
          <t>Cierre del dia anterior (saldo encadenado, RN-71)</t>
        </is>
      </c>
      <c r="AD425" t="inlineStr">
        <is>
          <t>estimada</t>
        </is>
      </c>
      <c r="AE425" t="inlineStr">
        <is>
          <t>Participacion historica por denominacion (SUP-09)</t>
        </is>
      </c>
    </row>
    <row r="426">
      <c r="A426" t="inlineStr">
        <is>
          <t>PRAGMA</t>
        </is>
      </c>
      <c r="B426" t="inlineStr">
        <is>
          <t>IPIALES|TRANSPORTADORA_002</t>
        </is>
      </c>
      <c r="C426" t="inlineStr">
        <is>
          <t>Ipiales</t>
        </is>
      </c>
      <c r="D426" t="inlineStr">
        <is>
          <t>TRANSPORTADORA_002</t>
        </is>
      </c>
      <c r="E426" s="23" t="n">
        <v>46265</v>
      </c>
      <c r="F426" s="23" t="n">
        <v>46274</v>
      </c>
      <c r="G426" t="inlineStr">
        <is>
          <t>Sí</t>
        </is>
      </c>
      <c r="H426" s="25" t="n">
        <v>10000</v>
      </c>
      <c r="I426" s="26" t="n">
        <v>1126502472</v>
      </c>
      <c r="J426" s="26" t="n">
        <v>396755778</v>
      </c>
      <c r="K426" s="26" t="n">
        <v>147356747</v>
      </c>
      <c r="L426" s="26">
        <f>J426-K426</f>
        <v>249399031</v>
      </c>
      <c r="M426" s="26">
        <f>I426+L426</f>
        <v>1375901503</v>
      </c>
      <c r="N426" s="26" t="n">
        <v>275145000</v>
      </c>
      <c r="O426" s="26" t="n">
        <v>1126510000</v>
      </c>
      <c r="P426" s="26">
        <f>MAX(0,N426-M426)</f>
        <v>0</v>
      </c>
      <c r="Q426" s="26">
        <f>MAX(0,M426-O426)</f>
        <v>249391503</v>
      </c>
      <c r="R426" t="inlineStr">
        <is>
          <t>bajo</t>
        </is>
      </c>
      <c r="S426" t="inlineStr">
        <is>
          <t>venta_efectivo</t>
        </is>
      </c>
      <c r="T426" t="inlineStr">
        <is>
          <t>salida</t>
        </is>
      </c>
      <c r="U426" s="26" t="n">
        <v>249400000</v>
      </c>
      <c r="V426" t="inlineStr">
        <is>
          <t>IPIALES|TRANSPORTADORA_002</t>
        </is>
      </c>
      <c r="X426" s="26">
        <f>IF(T426="entrada",M426+U426,IF(T426="salida",M426-U426,M426))</f>
        <v>1126501503</v>
      </c>
      <c r="Y426" s="26" t="n">
        <v>0</v>
      </c>
      <c r="Z426" t="inlineStr">
        <is>
          <t>Menor costo neto entre las alternativas que cubren la necesidad completa</t>
        </is>
      </c>
      <c r="AA426" t="inlineStr">
        <is>
          <t>SUP-08, SUP-10, SUP-23</t>
        </is>
      </c>
      <c r="AB426" t="inlineStr">
        <is>
          <t>Excedente de $249.391.502 en la denominacion 10000: saldo $1.375.901.502 sobre el maximo $1.126.510.000. Elegida: venta ($249.400.000; beneficio de referencia $99.760). Es preferible porque tiene el menor costo neto. Otras alternativas: conservar ($249.400.000; costo de almacenar $17.431); traslado con CALI|TRANSPORTADORA_003 ($249.400.000; costo $379.956); consignacion BanRep: no habilitada en este fondo (sin historico o fuera de las ciudades BanRep).</t>
        </is>
      </c>
      <c r="AC426" t="inlineStr">
        <is>
          <t>Cierre del dia anterior (saldo encadenado, RN-71)</t>
        </is>
      </c>
      <c r="AD426" t="inlineStr">
        <is>
          <t>estimada</t>
        </is>
      </c>
      <c r="AE426" t="inlineStr">
        <is>
          <t>Participacion historica por denominacion (SUP-09)</t>
        </is>
      </c>
    </row>
    <row r="427">
      <c r="A427" t="inlineStr">
        <is>
          <t>PRAGMA</t>
        </is>
      </c>
      <c r="B427" t="inlineStr">
        <is>
          <t>IPIALES|TRANSPORTADORA_002</t>
        </is>
      </c>
      <c r="C427" t="inlineStr">
        <is>
          <t>Ipiales</t>
        </is>
      </c>
      <c r="D427" t="inlineStr">
        <is>
          <t>TRANSPORTADORA_002</t>
        </is>
      </c>
      <c r="E427" s="23" t="n">
        <v>46265</v>
      </c>
      <c r="F427" s="23" t="n">
        <v>46275</v>
      </c>
      <c r="G427" t="inlineStr">
        <is>
          <t>Sí</t>
        </is>
      </c>
      <c r="H427" s="25" t="n">
        <v>10000</v>
      </c>
      <c r="I427" s="26" t="n">
        <v>1126501502</v>
      </c>
      <c r="J427" s="26" t="n">
        <v>353458820</v>
      </c>
      <c r="K427" s="26" t="n">
        <v>137903731</v>
      </c>
      <c r="L427" s="26">
        <f>J427-K427</f>
        <v>215555089</v>
      </c>
      <c r="M427" s="26">
        <f>I427+L427</f>
        <v>1342056591</v>
      </c>
      <c r="N427" s="26" t="n">
        <v>275145000</v>
      </c>
      <c r="O427" s="26" t="n">
        <v>1126510000</v>
      </c>
      <c r="P427" s="26">
        <f>MAX(0,N427-M427)</f>
        <v>0</v>
      </c>
      <c r="Q427" s="26">
        <f>MAX(0,M427-O427)</f>
        <v>215546591</v>
      </c>
      <c r="R427" t="inlineStr">
        <is>
          <t>bajo</t>
        </is>
      </c>
      <c r="S427" t="inlineStr">
        <is>
          <t>venta_efectivo</t>
        </is>
      </c>
      <c r="T427" t="inlineStr">
        <is>
          <t>salida</t>
        </is>
      </c>
      <c r="U427" s="26" t="n">
        <v>215550000</v>
      </c>
      <c r="V427" t="inlineStr">
        <is>
          <t>IPIALES|TRANSPORTADORA_002</t>
        </is>
      </c>
      <c r="X427" s="26">
        <f>IF(T427="entrada",M427+U427,IF(T427="salida",M427-U427,M427))</f>
        <v>1126506591</v>
      </c>
      <c r="Y427" s="26" t="n">
        <v>0</v>
      </c>
      <c r="Z427" t="inlineStr">
        <is>
          <t>Menor costo neto entre las alternativas que cubren la necesidad completa</t>
        </is>
      </c>
      <c r="AA427" t="inlineStr">
        <is>
          <t>SUP-08, SUP-10, SUP-23</t>
        </is>
      </c>
      <c r="AB427" t="inlineStr">
        <is>
          <t>Excedente de $215.546.591 en la denominacion 10000: saldo $1.342.056.591 sobre el maximo $1.126.510.000. Elegida: venta ($215.550.000; beneficio de referencia $86.220). Es preferible porque tiene el menor costo neto. Otras alternativas: conservar ($215.550.000; costo de almacenar $12.913); traslado con CALI|TRANSPORTADORA_003 ($215.550.000; costo $350.439); consignacion BanRep: no habilitada en este fondo (sin historico o fuera de las ciudades BanRep).</t>
        </is>
      </c>
      <c r="AC427" t="inlineStr">
        <is>
          <t>Cierre del dia anterior (saldo encadenado, RN-71)</t>
        </is>
      </c>
      <c r="AD427" t="inlineStr">
        <is>
          <t>estimada</t>
        </is>
      </c>
      <c r="AE427" t="inlineStr">
        <is>
          <t>Participacion historica por denominacion (SUP-09)</t>
        </is>
      </c>
    </row>
    <row r="428">
      <c r="A428" t="inlineStr">
        <is>
          <t>PRAGMA</t>
        </is>
      </c>
      <c r="B428" t="inlineStr">
        <is>
          <t>IPIALES|TRANSPORTADORA_002</t>
        </is>
      </c>
      <c r="C428" t="inlineStr">
        <is>
          <t>Ipiales</t>
        </is>
      </c>
      <c r="D428" t="inlineStr">
        <is>
          <t>TRANSPORTADORA_002</t>
        </is>
      </c>
      <c r="E428" s="23" t="n">
        <v>46265</v>
      </c>
      <c r="F428" s="23" t="n">
        <v>46276</v>
      </c>
      <c r="G428" t="inlineStr">
        <is>
          <t>Sí</t>
        </is>
      </c>
      <c r="H428" s="25" t="n">
        <v>10000</v>
      </c>
      <c r="I428" s="26" t="n">
        <v>1126506591</v>
      </c>
      <c r="J428" s="26" t="n">
        <v>432823792</v>
      </c>
      <c r="K428" s="26" t="n">
        <v>154424354</v>
      </c>
      <c r="L428" s="26">
        <f>J428-K428</f>
        <v>278399438</v>
      </c>
      <c r="M428" s="26">
        <f>I428+L428</f>
        <v>1404906029</v>
      </c>
      <c r="N428" s="26" t="n">
        <v>275145000</v>
      </c>
      <c r="O428" s="26" t="n">
        <v>1126510000</v>
      </c>
      <c r="P428" s="26">
        <f>MAX(0,N428-M428)</f>
        <v>0</v>
      </c>
      <c r="Q428" s="26">
        <f>MAX(0,M428-O428)</f>
        <v>278396029</v>
      </c>
      <c r="R428" t="inlineStr">
        <is>
          <t>bajo</t>
        </is>
      </c>
      <c r="S428" t="inlineStr">
        <is>
          <t>venta_efectivo</t>
        </is>
      </c>
      <c r="T428" t="inlineStr">
        <is>
          <t>salida</t>
        </is>
      </c>
      <c r="U428" s="26" t="n">
        <v>278400000</v>
      </c>
      <c r="V428" t="inlineStr">
        <is>
          <t>IPIALES|TRANSPORTADORA_002</t>
        </is>
      </c>
      <c r="X428" s="26">
        <f>IF(T428="entrada",M428+U428,IF(T428="salida",M428-U428,M428))</f>
        <v>1126506029</v>
      </c>
      <c r="Y428" s="26" t="n">
        <v>0</v>
      </c>
      <c r="Z428" t="inlineStr">
        <is>
          <t>Menor costo neto entre las alternativas que cubren la necesidad completa</t>
        </is>
      </c>
      <c r="AA428" t="inlineStr">
        <is>
          <t>SUP-08, SUP-10, SUP-23</t>
        </is>
      </c>
      <c r="AB428" t="inlineStr">
        <is>
          <t>Excedente de $278.396.029 en la denominacion 10000: saldo $1.404.906.029 sobre el maximo $1.126.510.000. Elegida: venta ($278.400.000; beneficio de referencia $111.360). Es preferible porque tiene el menor costo neto. Otras alternativas: conservar ($278.400.000; costo de almacenar $13.898); traslado con CALI|TRANSPORTADORA_003 ($278.400.000; costo $405.244); consignacion BanRep: no habilitada en este fondo (sin historico o fuera de las ciudades BanRep).</t>
        </is>
      </c>
      <c r="AC428" t="inlineStr">
        <is>
          <t>Cierre del dia anterior (saldo encadenado, RN-71)</t>
        </is>
      </c>
      <c r="AD428" t="inlineStr">
        <is>
          <t>estimada</t>
        </is>
      </c>
      <c r="AE428" t="inlineStr">
        <is>
          <t>Participacion historica por denominacion (SUP-09)</t>
        </is>
      </c>
    </row>
    <row r="429">
      <c r="A429" t="inlineStr">
        <is>
          <t>PRAGMA</t>
        </is>
      </c>
      <c r="B429" t="inlineStr">
        <is>
          <t>IPIALES|TRANSPORTADORA_002</t>
        </is>
      </c>
      <c r="C429" t="inlineStr">
        <is>
          <t>Ipiales</t>
        </is>
      </c>
      <c r="D429" t="inlineStr">
        <is>
          <t>TRANSPORTADORA_002</t>
        </is>
      </c>
      <c r="E429" s="23" t="n">
        <v>46265</v>
      </c>
      <c r="F429" s="23" t="n">
        <v>46277</v>
      </c>
      <c r="G429" t="inlineStr">
        <is>
          <t>No</t>
        </is>
      </c>
      <c r="H429" s="25" t="n">
        <v>10000</v>
      </c>
      <c r="I429" s="26" t="n">
        <v>1126506029</v>
      </c>
      <c r="J429" s="26" t="n">
        <v>49913999</v>
      </c>
      <c r="K429" s="26" t="n">
        <v>18642138</v>
      </c>
      <c r="L429" s="26">
        <f>J429-K429</f>
        <v>31271861</v>
      </c>
      <c r="M429" s="26">
        <f>I429+L429</f>
        <v>1157777890</v>
      </c>
      <c r="N429" s="26" t="n">
        <v>275145000</v>
      </c>
      <c r="O429" s="26" t="n">
        <v>1126510000</v>
      </c>
      <c r="P429" s="26">
        <f>MAX(0,N429-M429)</f>
        <v>0</v>
      </c>
      <c r="Q429" s="26">
        <f>MAX(0,M429-O429)</f>
        <v>31267890</v>
      </c>
      <c r="R429" t="inlineStr">
        <is>
          <t>medio</t>
        </is>
      </c>
      <c r="S429" t="inlineStr">
        <is>
          <t>sin_accion</t>
        </is>
      </c>
      <c r="T429" t="inlineStr">
        <is>
          <t>ninguno</t>
        </is>
      </c>
      <c r="U429" s="26" t="n">
        <v>0</v>
      </c>
      <c r="X429" s="26">
        <f>IF(T429="entrada",M429+U429,IF(T429="salida",M429-U429,M429))</f>
        <v>1157777890</v>
      </c>
      <c r="Y429" s="26" t="n">
        <v>0</v>
      </c>
      <c r="Z429" t="inlineStr">
        <is>
          <t>Costo de almacenar menor que el de actuar</t>
        </is>
      </c>
      <c r="AA429" t="inlineStr">
        <is>
          <t>SUP-07, SUP-10</t>
        </is>
      </c>
      <c r="AB429" t="inlineStr">
        <is>
          <t>Excedente de $31.267.890 en la denominacion 10000: saldo $1.157.777.890 sobre el maximo $1.126.510.000. Se conserva: guardarlo hasta el fin del horizonte cuesta $1.249 (Anexo E, almacenamiento), menos que cualquier accion. Alternativas: traslado con PASTO|TRANSPORTADORA_001 ($31.270.000; costo $26.851); traslado con CALI|TRANSPORTADORA_001 ($31.270.000; costo $189.746); traslado con CALI|TRANSPORTADORA_002 ($31.270.000; costo $189.746); traslado con CALI|TRANSPORTADORA_003 ($31.270.000; costo $189.746); venta: dia no habil (sabado, domingo o festivo; RN-71A); consignacion BanRep: dia no habil (sabado, domingo o festivo; RN-71A).</t>
        </is>
      </c>
      <c r="AC429" t="inlineStr">
        <is>
          <t>Cierre del dia anterior (saldo encadenado, RN-71)</t>
        </is>
      </c>
      <c r="AD429" t="inlineStr">
        <is>
          <t>estimada</t>
        </is>
      </c>
      <c r="AE429" t="inlineStr">
        <is>
          <t>Participacion historica por denominacion (SUP-09)</t>
        </is>
      </c>
    </row>
    <row r="430">
      <c r="A430" t="inlineStr">
        <is>
          <t>PRAGMA</t>
        </is>
      </c>
      <c r="B430" t="inlineStr">
        <is>
          <t>IPIALES|TRANSPORTADORA_002</t>
        </is>
      </c>
      <c r="C430" t="inlineStr">
        <is>
          <t>Ipiales</t>
        </is>
      </c>
      <c r="D430" t="inlineStr">
        <is>
          <t>TRANSPORTADORA_002</t>
        </is>
      </c>
      <c r="E430" s="23" t="n">
        <v>46265</v>
      </c>
      <c r="F430" s="23" t="n">
        <v>46278</v>
      </c>
      <c r="G430" t="inlineStr">
        <is>
          <t>No</t>
        </is>
      </c>
      <c r="H430" s="25" t="n">
        <v>10000</v>
      </c>
      <c r="I430" s="26" t="n">
        <v>1157777890</v>
      </c>
      <c r="J430" s="26" t="n">
        <v>43892185</v>
      </c>
      <c r="K430" s="26" t="n">
        <v>11749451</v>
      </c>
      <c r="L430" s="26">
        <f>J430-K430</f>
        <v>32142734</v>
      </c>
      <c r="M430" s="26">
        <f>I430+L430</f>
        <v>1189920624</v>
      </c>
      <c r="N430" s="26" t="n">
        <v>275145000</v>
      </c>
      <c r="O430" s="26" t="n">
        <v>1126510000</v>
      </c>
      <c r="P430" s="26">
        <f>MAX(0,N430-M430)</f>
        <v>0</v>
      </c>
      <c r="Q430" s="26">
        <f>MAX(0,M430-O430)</f>
        <v>63410624</v>
      </c>
      <c r="R430" t="inlineStr">
        <is>
          <t>medio</t>
        </is>
      </c>
      <c r="S430" t="inlineStr">
        <is>
          <t>sin_accion</t>
        </is>
      </c>
      <c r="T430" t="inlineStr">
        <is>
          <t>ninguno</t>
        </is>
      </c>
      <c r="U430" s="26" t="n">
        <v>0</v>
      </c>
      <c r="X430" s="26">
        <f>IF(T430="entrada",M430+U430,IF(T430="salida",M430-U430,M430))</f>
        <v>1189920624</v>
      </c>
      <c r="Y430" s="26" t="n">
        <v>0</v>
      </c>
      <c r="Z430" t="inlineStr">
        <is>
          <t>Costo de almacenar menor que el de actuar</t>
        </is>
      </c>
      <c r="AA430" t="inlineStr">
        <is>
          <t>SUP-07, SUP-10</t>
        </is>
      </c>
      <c r="AB430" t="inlineStr">
        <is>
          <t>Excedente de $63.410.624 en la denominacion 10000: saldo $1.189.920.624 sobre el maximo $1.126.510.000. Se conserva: guardarlo hasta el fin del horizonte cuesta $1.900 (Anexo E, almacenamiento), menos que cualquier accion. Alternativas: traslado con PASTO|TRANSPORTADORA_001 ($63.420.000; costo $37.782); traslado con CALI|TRANSPORTADORA_001 ($63.420.000; costo $217.781); traslado con CALI|TRANSPORTADORA_002 ($63.420.000; costo $217.781); traslado con CALI|TRANSPORTADORA_003 ($63.420.000; costo $217.781); venta: dia no habil (sabado, domingo o festivo; RN-71A); consignacion BanRep: dia no habil (sabado, domingo o festivo; RN-71A).</t>
        </is>
      </c>
      <c r="AC430" t="inlineStr">
        <is>
          <t>Cierre del dia anterior (saldo encadenado, RN-71)</t>
        </is>
      </c>
      <c r="AD430" t="inlineStr">
        <is>
          <t>estimada</t>
        </is>
      </c>
      <c r="AE430" t="inlineStr">
        <is>
          <t>Participacion historica por denominacion (SUP-09)</t>
        </is>
      </c>
    </row>
    <row r="431">
      <c r="A431" t="inlineStr">
        <is>
          <t>PRAGMA</t>
        </is>
      </c>
      <c r="B431" t="inlineStr">
        <is>
          <t>IPIALES|TRANSPORTADORA_002</t>
        </is>
      </c>
      <c r="C431" t="inlineStr">
        <is>
          <t>Ipiales</t>
        </is>
      </c>
      <c r="D431" t="inlineStr">
        <is>
          <t>TRANSPORTADORA_002</t>
        </is>
      </c>
      <c r="E431" s="23" t="n">
        <v>46265</v>
      </c>
      <c r="F431" s="23" t="n">
        <v>46279</v>
      </c>
      <c r="G431" t="inlineStr">
        <is>
          <t>Sí</t>
        </is>
      </c>
      <c r="H431" s="25" t="n">
        <v>10000</v>
      </c>
      <c r="I431" s="26" t="n">
        <v>1189920624</v>
      </c>
      <c r="J431" s="26" t="n">
        <v>472585905</v>
      </c>
      <c r="K431" s="26" t="n">
        <v>145213102</v>
      </c>
      <c r="L431" s="26">
        <f>J431-K431</f>
        <v>327372803</v>
      </c>
      <c r="M431" s="26">
        <f>I431+L431</f>
        <v>1517293427</v>
      </c>
      <c r="N431" s="26" t="n">
        <v>275145000</v>
      </c>
      <c r="O431" s="26" t="n">
        <v>1126510000</v>
      </c>
      <c r="P431" s="26">
        <f>MAX(0,N431-M431)</f>
        <v>0</v>
      </c>
      <c r="Q431" s="26">
        <f>MAX(0,M431-O431)</f>
        <v>390783427</v>
      </c>
      <c r="R431" t="inlineStr">
        <is>
          <t>bajo</t>
        </is>
      </c>
      <c r="S431" t="inlineStr">
        <is>
          <t>venta_efectivo</t>
        </is>
      </c>
      <c r="T431" t="inlineStr">
        <is>
          <t>salida</t>
        </is>
      </c>
      <c r="U431" s="26" t="n">
        <v>390790000</v>
      </c>
      <c r="V431" t="inlineStr">
        <is>
          <t>IPIALES|TRANSPORTADORA_002</t>
        </is>
      </c>
      <c r="X431" s="26">
        <f>IF(T431="entrada",M431+U431,IF(T431="salida",M431-U431,M431))</f>
        <v>1126503427</v>
      </c>
      <c r="Y431" s="26" t="n">
        <v>0</v>
      </c>
      <c r="Z431" t="inlineStr">
        <is>
          <t>Menor costo neto entre las alternativas que cubren la necesidad completa</t>
        </is>
      </c>
      <c r="AA431" t="inlineStr">
        <is>
          <t>SUP-08, SUP-10, SUP-23</t>
        </is>
      </c>
      <c r="AB431" t="inlineStr">
        <is>
          <t>Excedente de $390.783.427 en la denominacion 10000: saldo $1.517.293.427 sobre el maximo $1.126.510.000. Elegida: venta ($390.790.000; beneficio de referencia $156.316). Es preferible porque tiene el menor costo neto. Otras alternativas: conservar ($390.790.000; costo de almacenar $7.804); traslado con CALI|TRANSPORTADORA_003 ($390.790.000; costo $503.248); consignacion BanRep: no habilitada en este fondo (sin historico o fuera de las ciudades BanRep).</t>
        </is>
      </c>
      <c r="AC431" t="inlineStr">
        <is>
          <t>Cierre del dia anterior (saldo encadenado, RN-71)</t>
        </is>
      </c>
      <c r="AD431" t="inlineStr">
        <is>
          <t>estimada</t>
        </is>
      </c>
      <c r="AE431" t="inlineStr">
        <is>
          <t>Participacion historica por denominacion (SUP-09)</t>
        </is>
      </c>
    </row>
    <row r="432">
      <c r="A432" t="inlineStr">
        <is>
          <t>PRAGMA</t>
        </is>
      </c>
      <c r="B432" t="inlineStr">
        <is>
          <t>IPIALES|TRANSPORTADORA_002</t>
        </is>
      </c>
      <c r="C432" t="inlineStr">
        <is>
          <t>Ipiales</t>
        </is>
      </c>
      <c r="D432" t="inlineStr">
        <is>
          <t>TRANSPORTADORA_002</t>
        </is>
      </c>
      <c r="E432" s="23" t="n">
        <v>46265</v>
      </c>
      <c r="F432" s="23" t="n">
        <v>46280</v>
      </c>
      <c r="G432" t="inlineStr">
        <is>
          <t>Sí</t>
        </is>
      </c>
      <c r="H432" s="25" t="n">
        <v>10000</v>
      </c>
      <c r="I432" s="26" t="n">
        <v>1126503427</v>
      </c>
      <c r="J432" s="26" t="n">
        <v>420092095</v>
      </c>
      <c r="K432" s="26" t="n">
        <v>156182712</v>
      </c>
      <c r="L432" s="26">
        <f>J432-K432</f>
        <v>263909383</v>
      </c>
      <c r="M432" s="26">
        <f>I432+L432</f>
        <v>1390412810</v>
      </c>
      <c r="N432" s="26" t="n">
        <v>275145000</v>
      </c>
      <c r="O432" s="26" t="n">
        <v>1126510000</v>
      </c>
      <c r="P432" s="26">
        <f>MAX(0,N432-M432)</f>
        <v>0</v>
      </c>
      <c r="Q432" s="26">
        <f>MAX(0,M432-O432)</f>
        <v>263902810</v>
      </c>
      <c r="R432" t="inlineStr">
        <is>
          <t>bajo</t>
        </is>
      </c>
      <c r="S432" t="inlineStr">
        <is>
          <t>venta_efectivo</t>
        </is>
      </c>
      <c r="T432" t="inlineStr">
        <is>
          <t>salida</t>
        </is>
      </c>
      <c r="U432" s="26" t="n">
        <v>263910000</v>
      </c>
      <c r="V432" t="inlineStr">
        <is>
          <t>IPIALES|TRANSPORTADORA_002</t>
        </is>
      </c>
      <c r="X432" s="26">
        <f>IF(T432="entrada",M432+U432,IF(T432="salida",M432-U432,M432))</f>
        <v>1126502810</v>
      </c>
      <c r="Y432" s="26" t="n">
        <v>0</v>
      </c>
      <c r="Z432" t="inlineStr">
        <is>
          <t>Menor costo neto entre las alternativas que cubren la necesidad completa</t>
        </is>
      </c>
      <c r="AA432" t="inlineStr">
        <is>
          <t>SUP-08, SUP-10, SUP-23</t>
        </is>
      </c>
      <c r="AB432" t="inlineStr">
        <is>
          <t>Excedente de $263.902.810 en la denominacion 10000: saldo $1.390.412.810 sobre el maximo $1.126.510.000. Elegida: venta ($263.910.000; beneficio de referencia $105.564). Es preferible porque tiene el menor costo neto. Otras alternativas: conservar ($263.910.000; costo de almacenar $2.635); traslado con CALI|TRANSPORTADORA_003 ($263.910.000; costo $392.609); consignacion BanRep: no habilitada en este fondo (sin historico o fuera de las ciudades BanRep).</t>
        </is>
      </c>
      <c r="AC432" t="inlineStr">
        <is>
          <t>Cierre del dia anterior (saldo encadenado, RN-71)</t>
        </is>
      </c>
      <c r="AD432" t="inlineStr">
        <is>
          <t>estimada</t>
        </is>
      </c>
      <c r="AE432" t="inlineStr">
        <is>
          <t>Participacion historica por denominacion (SUP-09)</t>
        </is>
      </c>
    </row>
    <row r="433">
      <c r="A433" t="inlineStr">
        <is>
          <t>PRAGMA</t>
        </is>
      </c>
      <c r="B433" t="inlineStr">
        <is>
          <t>IPIALES|TRANSPORTADORA_002</t>
        </is>
      </c>
      <c r="C433" t="inlineStr">
        <is>
          <t>Ipiales</t>
        </is>
      </c>
      <c r="D433" t="inlineStr">
        <is>
          <t>TRANSPORTADORA_002</t>
        </is>
      </c>
      <c r="E433" s="23" t="n">
        <v>46265</v>
      </c>
      <c r="F433" s="23" t="n">
        <v>46266</v>
      </c>
      <c r="G433" t="inlineStr">
        <is>
          <t>Sí</t>
        </is>
      </c>
      <c r="H433" s="25" t="n">
        <v>20000</v>
      </c>
      <c r="I433" s="26" t="n">
        <v>1410660000</v>
      </c>
      <c r="J433" s="26" t="n">
        <v>1647864037</v>
      </c>
      <c r="K433" s="26" t="n">
        <v>652294356</v>
      </c>
      <c r="L433" s="26">
        <f>J433-K433</f>
        <v>995569681</v>
      </c>
      <c r="M433" s="26">
        <f>I433+L433</f>
        <v>2406229681</v>
      </c>
      <c r="N433" s="26" t="n">
        <v>1400960000</v>
      </c>
      <c r="O433" s="26" t="n">
        <v>3033520000</v>
      </c>
      <c r="P433" s="26">
        <f>MAX(0,N433-M433)</f>
        <v>0</v>
      </c>
      <c r="Q433" s="26">
        <f>MAX(0,M433-O433)</f>
        <v>0</v>
      </c>
      <c r="R433" t="inlineStr">
        <is>
          <t>bajo</t>
        </is>
      </c>
      <c r="S433" t="inlineStr">
        <is>
          <t>sin_accion</t>
        </is>
      </c>
      <c r="T433" t="inlineStr">
        <is>
          <t>ninguno</t>
        </is>
      </c>
      <c r="U433" s="26" t="n">
        <v>0</v>
      </c>
      <c r="X433" s="26">
        <f>IF(T433="entrada",M433+U433,IF(T433="salida",M433-U433,M433))</f>
        <v>2406229681</v>
      </c>
      <c r="Y433" s="26" t="n">
        <v>0</v>
      </c>
      <c r="Z433" t="inlineStr">
        <is>
          <t>RN-85: dentro de niveles objetivo (sin_accion)</t>
        </is>
      </c>
      <c r="AA433" t="inlineStr">
        <is>
          <t>SUP-07, SUP-10</t>
        </is>
      </c>
      <c r="AB433" t="inlineStr">
        <is>
          <t>Saldo dentro del rango objetivo; sin accion.</t>
        </is>
      </c>
      <c r="AC433" t="inlineStr">
        <is>
          <t>Ultimo disponible al 31/08/2026 (SUP-07)</t>
        </is>
      </c>
      <c r="AD433" t="inlineStr">
        <is>
          <t>estimada</t>
        </is>
      </c>
      <c r="AE433" t="inlineStr">
        <is>
          <t>Participacion historica por denominacion (SUP-09)</t>
        </is>
      </c>
    </row>
    <row r="434">
      <c r="A434" t="inlineStr">
        <is>
          <t>PRAGMA</t>
        </is>
      </c>
      <c r="B434" t="inlineStr">
        <is>
          <t>IPIALES|TRANSPORTADORA_002</t>
        </is>
      </c>
      <c r="C434" t="inlineStr">
        <is>
          <t>Ipiales</t>
        </is>
      </c>
      <c r="D434" t="inlineStr">
        <is>
          <t>TRANSPORTADORA_002</t>
        </is>
      </c>
      <c r="E434" s="23" t="n">
        <v>46265</v>
      </c>
      <c r="F434" s="23" t="n">
        <v>46267</v>
      </c>
      <c r="G434" t="inlineStr">
        <is>
          <t>Sí</t>
        </is>
      </c>
      <c r="H434" s="25" t="n">
        <v>20000</v>
      </c>
      <c r="I434" s="26" t="n">
        <v>2406229681</v>
      </c>
      <c r="J434" s="26" t="n">
        <v>1732520448</v>
      </c>
      <c r="K434" s="26" t="n">
        <v>617511900</v>
      </c>
      <c r="L434" s="26">
        <f>J434-K434</f>
        <v>1115008548</v>
      </c>
      <c r="M434" s="26">
        <f>I434+L434</f>
        <v>3521238229</v>
      </c>
      <c r="N434" s="26" t="n">
        <v>1400960000</v>
      </c>
      <c r="O434" s="26" t="n">
        <v>3033520000</v>
      </c>
      <c r="P434" s="26">
        <f>MAX(0,N434-M434)</f>
        <v>0</v>
      </c>
      <c r="Q434" s="26">
        <f>MAX(0,M434-O434)</f>
        <v>487718229</v>
      </c>
      <c r="R434" t="inlineStr">
        <is>
          <t>bajo</t>
        </is>
      </c>
      <c r="S434" t="inlineStr">
        <is>
          <t>venta_efectivo</t>
        </is>
      </c>
      <c r="T434" t="inlineStr">
        <is>
          <t>salida</t>
        </is>
      </c>
      <c r="U434" s="26" t="n">
        <v>487720000</v>
      </c>
      <c r="V434" t="inlineStr">
        <is>
          <t>IPIALES|TRANSPORTADORA_002</t>
        </is>
      </c>
      <c r="X434" s="26">
        <f>IF(T434="entrada",M434+U434,IF(T434="salida",M434-U434,M434))</f>
        <v>3033518229</v>
      </c>
      <c r="Y434" s="26" t="n">
        <v>0</v>
      </c>
      <c r="Z434" t="inlineStr">
        <is>
          <t>Menor costo neto entre las alternativas que cubren la necesidad completa</t>
        </is>
      </c>
      <c r="AA434" t="inlineStr">
        <is>
          <t>SUP-08, SUP-10, SUP-23</t>
        </is>
      </c>
      <c r="AB434" t="inlineStr">
        <is>
          <t>Excedente de $487.718.228 en la denominacion 20000: saldo $3.521.238.228 sobre el maximo $3.033.520.000. Elegida: venta ($487.720.000; beneficio de referencia $195.088). Es preferible porque tiene el menor costo neto. Otras alternativas: conservar ($487.720.000; costo de almacenar $68.175); traslado con PASTO|TRANSPORTADORA_001 ($487.720.000; costo $182.044); traslado con CALI|TRANSPORTADORA_002 ($77.020.000; costo $229.640, cubre solo una parte); traslado con CALI|TRANSPORTADORA_001 ($487.720.000; costo $587.771); traslado con CALI|TRANSPORTADORA_003 ($487.720.000; costo $587.771); consignacion BanRep: no habilitada en este fondo (sin historico o fuera de las ciudades BanRep).</t>
        </is>
      </c>
      <c r="AC434" t="inlineStr">
        <is>
          <t>Cierre del dia anterior (saldo encadenado, RN-71)</t>
        </is>
      </c>
      <c r="AD434" t="inlineStr">
        <is>
          <t>estimada</t>
        </is>
      </c>
      <c r="AE434" t="inlineStr">
        <is>
          <t>Participacion historica por denominacion (SUP-09)</t>
        </is>
      </c>
    </row>
    <row r="435">
      <c r="A435" t="inlineStr">
        <is>
          <t>PRAGMA</t>
        </is>
      </c>
      <c r="B435" t="inlineStr">
        <is>
          <t>IPIALES|TRANSPORTADORA_002</t>
        </is>
      </c>
      <c r="C435" t="inlineStr">
        <is>
          <t>Ipiales</t>
        </is>
      </c>
      <c r="D435" t="inlineStr">
        <is>
          <t>TRANSPORTADORA_002</t>
        </is>
      </c>
      <c r="E435" s="23" t="n">
        <v>46265</v>
      </c>
      <c r="F435" s="23" t="n">
        <v>46268</v>
      </c>
      <c r="G435" t="inlineStr">
        <is>
          <t>Sí</t>
        </is>
      </c>
      <c r="H435" s="25" t="n">
        <v>20000</v>
      </c>
      <c r="I435" s="26" t="n">
        <v>3033518228</v>
      </c>
      <c r="J435" s="26" t="n">
        <v>1715178057</v>
      </c>
      <c r="K435" s="26" t="n">
        <v>446218726</v>
      </c>
      <c r="L435" s="26">
        <f>J435-K435</f>
        <v>1268959331</v>
      </c>
      <c r="M435" s="26">
        <f>I435+L435</f>
        <v>4302477559</v>
      </c>
      <c r="N435" s="26" t="n">
        <v>1400960000</v>
      </c>
      <c r="O435" s="26" t="n">
        <v>3033520000</v>
      </c>
      <c r="P435" s="26">
        <f>MAX(0,N435-M435)</f>
        <v>0</v>
      </c>
      <c r="Q435" s="26">
        <f>MAX(0,M435-O435)</f>
        <v>1268957559</v>
      </c>
      <c r="R435" t="inlineStr">
        <is>
          <t>bajo</t>
        </is>
      </c>
      <c r="S435" t="inlineStr">
        <is>
          <t>venta_efectivo</t>
        </is>
      </c>
      <c r="T435" t="inlineStr">
        <is>
          <t>salida</t>
        </is>
      </c>
      <c r="U435" s="26" t="n">
        <v>1268960000</v>
      </c>
      <c r="V435" t="inlineStr">
        <is>
          <t>IPIALES|TRANSPORTADORA_002</t>
        </is>
      </c>
      <c r="X435" s="26">
        <f>IF(T435="entrada",M435+U435,IF(T435="salida",M435-U435,M435))</f>
        <v>3033517559</v>
      </c>
      <c r="Y435" s="26" t="n">
        <v>0</v>
      </c>
      <c r="Z435" t="inlineStr">
        <is>
          <t>Menor costo neto entre las alternativas que cubren la necesidad completa</t>
        </is>
      </c>
      <c r="AA435" t="inlineStr">
        <is>
          <t>SUP-08, SUP-10, SUP-23</t>
        </is>
      </c>
      <c r="AB435" t="inlineStr">
        <is>
          <t>Excedente de $1.268.957.560 en la denominacion 20000: saldo $4.302.477.560 sobre el maximo $3.033.520.000. Elegida: venta ($1.268.960.000; beneficio de referencia $507.584). Es preferible porque tiene el menor costo neto. Otras alternativas: conservar ($1.268.960.000; costo de almacenar $164.709); traslado con PASTO|TRANSPORTADORA_001 ($912.600.000; costo $326.503, cubre solo una parte); traslado con CALI|TRANSPORTADORA_001 ($1.268.960.000; costo $1.269.012); traslado con CALI|TRANSPORTADORA_003 ($1.268.960.000; costo $1.269.012); consignacion BanRep: no habilitada en este fondo (sin historico o fuera de las ciudades BanRep).</t>
        </is>
      </c>
      <c r="AC435" t="inlineStr">
        <is>
          <t>Cierre del dia anterior (saldo encadenado, RN-71)</t>
        </is>
      </c>
      <c r="AD435" t="inlineStr">
        <is>
          <t>estimada</t>
        </is>
      </c>
      <c r="AE435" t="inlineStr">
        <is>
          <t>Participacion historica por denominacion (SUP-09)</t>
        </is>
      </c>
    </row>
    <row r="436">
      <c r="A436" t="inlineStr">
        <is>
          <t>PRAGMA</t>
        </is>
      </c>
      <c r="B436" t="inlineStr">
        <is>
          <t>IPIALES|TRANSPORTADORA_002</t>
        </is>
      </c>
      <c r="C436" t="inlineStr">
        <is>
          <t>Ipiales</t>
        </is>
      </c>
      <c r="D436" t="inlineStr">
        <is>
          <t>TRANSPORTADORA_002</t>
        </is>
      </c>
      <c r="E436" s="23" t="n">
        <v>46265</v>
      </c>
      <c r="F436" s="23" t="n">
        <v>46269</v>
      </c>
      <c r="G436" t="inlineStr">
        <is>
          <t>Sí</t>
        </is>
      </c>
      <c r="H436" s="25" t="n">
        <v>20000</v>
      </c>
      <c r="I436" s="26" t="n">
        <v>3033517560</v>
      </c>
      <c r="J436" s="26" t="n">
        <v>1860286183</v>
      </c>
      <c r="K436" s="26" t="n">
        <v>660523300</v>
      </c>
      <c r="L436" s="26">
        <f>J436-K436</f>
        <v>1199762883</v>
      </c>
      <c r="M436" s="26">
        <f>I436+L436</f>
        <v>4233280443</v>
      </c>
      <c r="N436" s="26" t="n">
        <v>1400960000</v>
      </c>
      <c r="O436" s="26" t="n">
        <v>3033520000</v>
      </c>
      <c r="P436" s="26">
        <f>MAX(0,N436-M436)</f>
        <v>0</v>
      </c>
      <c r="Q436" s="26">
        <f>MAX(0,M436-O436)</f>
        <v>1199760443</v>
      </c>
      <c r="R436" t="inlineStr">
        <is>
          <t>bajo</t>
        </is>
      </c>
      <c r="S436" t="inlineStr">
        <is>
          <t>venta_efectivo</t>
        </is>
      </c>
      <c r="T436" t="inlineStr">
        <is>
          <t>salida</t>
        </is>
      </c>
      <c r="U436" s="26" t="n">
        <v>1199780000</v>
      </c>
      <c r="V436" t="inlineStr">
        <is>
          <t>IPIALES|TRANSPORTADORA_002</t>
        </is>
      </c>
      <c r="X436" s="26">
        <f>IF(T436="entrada",M436+U436,IF(T436="salida",M436-U436,M436))</f>
        <v>3033500443</v>
      </c>
      <c r="Y436" s="26" t="n">
        <v>0</v>
      </c>
      <c r="Z436" t="inlineStr">
        <is>
          <t>Menor costo neto entre las alternativas que cubren la necesidad completa</t>
        </is>
      </c>
      <c r="AA436" t="inlineStr">
        <is>
          <t>SUP-08, SUP-10, SUP-23</t>
        </is>
      </c>
      <c r="AB436" t="inlineStr">
        <is>
          <t>Excedente de $1.199.760.443 en la denominacion 20000: saldo $4.233.280.443 sobre el maximo $3.033.520.000. Elegida: venta ($1.199.780.000; beneficio de referencia $479.912). Es preferible porque tiene el menor costo neto. Otras alternativas: conservar ($1.199.780.000; costo de almacenar $143.750); traslado con PASTO|TRANSPORTADORA_001 ($979.400.000; costo $349.215, cubre solo una parte); traslado con CALI|TRANSPORTADORA_001 ($721.480.000; costo $791.610, cubre solo una parte); traslado con CALI|TRANSPORTADORA_003 ($1.199.780.000; costo $1.208.687); consignacion BanRep: no habilitada en este fondo (sin historico o fuera de las ciudades BanRep).</t>
        </is>
      </c>
      <c r="AC436" t="inlineStr">
        <is>
          <t>Cierre del dia anterior (saldo encadenado, RN-71)</t>
        </is>
      </c>
      <c r="AD436" t="inlineStr">
        <is>
          <t>estimada</t>
        </is>
      </c>
      <c r="AE436" t="inlineStr">
        <is>
          <t>Participacion historica por denominacion (SUP-09)</t>
        </is>
      </c>
    </row>
    <row r="437">
      <c r="A437" t="inlineStr">
        <is>
          <t>PRAGMA</t>
        </is>
      </c>
      <c r="B437" t="inlineStr">
        <is>
          <t>IPIALES|TRANSPORTADORA_002</t>
        </is>
      </c>
      <c r="C437" t="inlineStr">
        <is>
          <t>Ipiales</t>
        </is>
      </c>
      <c r="D437" t="inlineStr">
        <is>
          <t>TRANSPORTADORA_002</t>
        </is>
      </c>
      <c r="E437" s="23" t="n">
        <v>46265</v>
      </c>
      <c r="F437" s="23" t="n">
        <v>46270</v>
      </c>
      <c r="G437" t="inlineStr">
        <is>
          <t>No</t>
        </is>
      </c>
      <c r="H437" s="25" t="n">
        <v>20000</v>
      </c>
      <c r="I437" s="26" t="n">
        <v>3033500443</v>
      </c>
      <c r="J437" s="26" t="n">
        <v>217548475</v>
      </c>
      <c r="K437" s="26" t="n">
        <v>87580811</v>
      </c>
      <c r="L437" s="26">
        <f>J437-K437</f>
        <v>129967664</v>
      </c>
      <c r="M437" s="26">
        <f>I437+L437</f>
        <v>3163468107</v>
      </c>
      <c r="N437" s="26" t="n">
        <v>1400960000</v>
      </c>
      <c r="O437" s="26" t="n">
        <v>3033520000</v>
      </c>
      <c r="P437" s="26">
        <f>MAX(0,N437-M437)</f>
        <v>0</v>
      </c>
      <c r="Q437" s="26">
        <f>MAX(0,M437-O437)</f>
        <v>129948107</v>
      </c>
      <c r="R437" t="inlineStr">
        <is>
          <t>medio</t>
        </is>
      </c>
      <c r="S437" t="inlineStr">
        <is>
          <t>sin_accion</t>
        </is>
      </c>
      <c r="T437" t="inlineStr">
        <is>
          <t>ninguno</t>
        </is>
      </c>
      <c r="U437" s="26" t="n">
        <v>0</v>
      </c>
      <c r="X437" s="26">
        <f>IF(T437="entrada",M437+U437,IF(T437="salida",M437-U437,M437))</f>
        <v>3163468107</v>
      </c>
      <c r="Y437" s="26" t="n">
        <v>0</v>
      </c>
      <c r="Z437" t="inlineStr">
        <is>
          <t>Costo de almacenar menor que el de actuar</t>
        </is>
      </c>
      <c r="AA437" t="inlineStr">
        <is>
          <t>SUP-07, SUP-10</t>
        </is>
      </c>
      <c r="AB437" t="inlineStr">
        <is>
          <t>Excedente de $129.948.106 en la denominacion 20000: saldo $3.163.468.106 sobre el maximo $3.033.520.000. Se conserva: guardarlo hasta el fin del horizonte cuesta $14.273 (Anexo E, almacenamiento), menos que cualquier accion. Alternativas: traslado con PASTO|TRANSPORTADORA_001 ($129.960.000; costo $60.405); traslado con CALI|TRANSPORTADORA_001 ($129.960.000; costo $275.804); traslado con CALI|TRANSPORTADORA_002 ($129.960.000; costo $275.804); traslado con CALI|TRANSPORTADORA_003 ($129.960.000; costo $275.804); venta: dia no habil (sabado, domingo o festivo; RN-71A); consignacion BanRep: dia no habil (sabado, domingo o festivo; RN-71A).</t>
        </is>
      </c>
      <c r="AC437" t="inlineStr">
        <is>
          <t>Cierre del dia anterior (saldo encadenado, RN-71)</t>
        </is>
      </c>
      <c r="AD437" t="inlineStr">
        <is>
          <t>estimada</t>
        </is>
      </c>
      <c r="AE437" t="inlineStr">
        <is>
          <t>Participacion historica por denominacion (SUP-09)</t>
        </is>
      </c>
    </row>
    <row r="438">
      <c r="A438" t="inlineStr">
        <is>
          <t>PRAGMA</t>
        </is>
      </c>
      <c r="B438" t="inlineStr">
        <is>
          <t>IPIALES|TRANSPORTADORA_002</t>
        </is>
      </c>
      <c r="C438" t="inlineStr">
        <is>
          <t>Ipiales</t>
        </is>
      </c>
      <c r="D438" t="inlineStr">
        <is>
          <t>TRANSPORTADORA_002</t>
        </is>
      </c>
      <c r="E438" s="23" t="n">
        <v>46265</v>
      </c>
      <c r="F438" s="23" t="n">
        <v>46271</v>
      </c>
      <c r="G438" t="inlineStr">
        <is>
          <t>No</t>
        </is>
      </c>
      <c r="H438" s="25" t="n">
        <v>20000</v>
      </c>
      <c r="I438" s="26" t="n">
        <v>3163468106</v>
      </c>
      <c r="J438" s="26" t="n">
        <v>249257956</v>
      </c>
      <c r="K438" s="26" t="n">
        <v>56737862</v>
      </c>
      <c r="L438" s="26">
        <f>J438-K438</f>
        <v>192520094</v>
      </c>
      <c r="M438" s="26">
        <f>I438+L438</f>
        <v>3355988200</v>
      </c>
      <c r="N438" s="26" t="n">
        <v>1400960000</v>
      </c>
      <c r="O438" s="26" t="n">
        <v>3033520000</v>
      </c>
      <c r="P438" s="26">
        <f>MAX(0,N438-M438)</f>
        <v>0</v>
      </c>
      <c r="Q438" s="26">
        <f>MAX(0,M438-O438)</f>
        <v>322468200</v>
      </c>
      <c r="R438" t="inlineStr">
        <is>
          <t>medio</t>
        </is>
      </c>
      <c r="S438" t="inlineStr">
        <is>
          <t>sin_accion</t>
        </is>
      </c>
      <c r="T438" t="inlineStr">
        <is>
          <t>ninguno</t>
        </is>
      </c>
      <c r="U438" s="26" t="n">
        <v>0</v>
      </c>
      <c r="X438" s="26">
        <f>IF(T438="entrada",M438+U438,IF(T438="salida",M438-U438,M438))</f>
        <v>3355988200</v>
      </c>
      <c r="Y438" s="26" t="n">
        <v>0</v>
      </c>
      <c r="Z438" t="inlineStr">
        <is>
          <t>Costo de almacenar menor que el de actuar</t>
        </is>
      </c>
      <c r="AA438" t="inlineStr">
        <is>
          <t>SUP-07, SUP-10</t>
        </is>
      </c>
      <c r="AB438" t="inlineStr">
        <is>
          <t>Excedente de $322.468.200 en la denominacion 20000: saldo $3.355.988.200 sobre el maximo $3.033.520.000. Se conserva: guardarlo hasta el fin del horizonte cuesta $32.198 (Anexo E, almacenamiento), menos que cualquier accion. Alternativas: traslado con PASTO|TRANSPORTADORA_001 ($322.480.000; costo $125.862); traslado con CALI|TRANSPORTADORA_001 ($322.480.000; costo $443.682); traslado con CALI|TRANSPORTADORA_002 ($322.480.000; costo $443.682); traslado con CALI|TRANSPORTADORA_003 ($322.480.000; costo $443.682); venta: dia no habil (sabado, domingo o festivo; RN-71A); consignacion BanRep: dia no habil (sabado, domingo o festivo; RN-71A).</t>
        </is>
      </c>
      <c r="AC438" t="inlineStr">
        <is>
          <t>Cierre del dia anterior (saldo encadenado, RN-71)</t>
        </is>
      </c>
      <c r="AD438" t="inlineStr">
        <is>
          <t>estimada</t>
        </is>
      </c>
      <c r="AE438" t="inlineStr">
        <is>
          <t>Participacion historica por denominacion (SUP-09)</t>
        </is>
      </c>
    </row>
    <row r="439">
      <c r="A439" t="inlineStr">
        <is>
          <t>PRAGMA</t>
        </is>
      </c>
      <c r="B439" t="inlineStr">
        <is>
          <t>IPIALES|TRANSPORTADORA_002</t>
        </is>
      </c>
      <c r="C439" t="inlineStr">
        <is>
          <t>Ipiales</t>
        </is>
      </c>
      <c r="D439" t="inlineStr">
        <is>
          <t>TRANSPORTADORA_002</t>
        </is>
      </c>
      <c r="E439" s="23" t="n">
        <v>46265</v>
      </c>
      <c r="F439" s="23" t="n">
        <v>46272</v>
      </c>
      <c r="G439" t="inlineStr">
        <is>
          <t>Sí</t>
        </is>
      </c>
      <c r="H439" s="25" t="n">
        <v>20000</v>
      </c>
      <c r="I439" s="26" t="n">
        <v>3355988200</v>
      </c>
      <c r="J439" s="26" t="n">
        <v>1793568605</v>
      </c>
      <c r="K439" s="26" t="n">
        <v>561685906</v>
      </c>
      <c r="L439" s="26">
        <f>J439-K439</f>
        <v>1231882699</v>
      </c>
      <c r="M439" s="26">
        <f>I439+L439</f>
        <v>4587870899</v>
      </c>
      <c r="N439" s="26" t="n">
        <v>1400960000</v>
      </c>
      <c r="O439" s="26" t="n">
        <v>3033520000</v>
      </c>
      <c r="P439" s="26">
        <f>MAX(0,N439-M439)</f>
        <v>0</v>
      </c>
      <c r="Q439" s="26">
        <f>MAX(0,M439-O439)</f>
        <v>1554350899</v>
      </c>
      <c r="R439" t="inlineStr">
        <is>
          <t>bajo</t>
        </is>
      </c>
      <c r="S439" t="inlineStr">
        <is>
          <t>venta_efectivo</t>
        </is>
      </c>
      <c r="T439" t="inlineStr">
        <is>
          <t>salida</t>
        </is>
      </c>
      <c r="U439" s="26" t="n">
        <v>1554360000</v>
      </c>
      <c r="V439" t="inlineStr">
        <is>
          <t>IPIALES|TRANSPORTADORA_002</t>
        </is>
      </c>
      <c r="X439" s="26">
        <f>IF(T439="entrada",M439+U439,IF(T439="salida",M439-U439,M439))</f>
        <v>3033510899</v>
      </c>
      <c r="Y439" s="26" t="n">
        <v>0</v>
      </c>
      <c r="Z439" t="inlineStr">
        <is>
          <t>Menor costo neto entre las alternativas que cubren la necesidad completa</t>
        </is>
      </c>
      <c r="AA439" t="inlineStr">
        <is>
          <t>SUP-08, SUP-10, SUP-23</t>
        </is>
      </c>
      <c r="AB439" t="inlineStr">
        <is>
          <t>Excedente de $1.554.350.899 en la denominacion 20000: saldo $4.587.870.899 sobre el maximo $3.033.520.000. Elegida: venta ($1.554.360.000; beneficio de referencia $621.744). Es preferible porque tiene el menor costo neto. Otras alternativas: conservar ($1.554.360.000; costo de almacenar $139.676); traslado con PASTO|TRANSPORTADORA_001 ($1.013.920.000; costo $360.952, cubre solo una parte); traslado con CALI|TRANSPORTADORA_001 ($714.800.000; costo $785.785, cubre solo una parte); traslado con CALI|TRANSPORTADORA_003 ($1.554.360.000; costo $1.517.881); consignacion BanRep: no habilitada en este fondo (sin historico o fuera de las ciudades BanRep).</t>
        </is>
      </c>
      <c r="AC439" t="inlineStr">
        <is>
          <t>Cierre del dia anterior (saldo encadenado, RN-71)</t>
        </is>
      </c>
      <c r="AD439" t="inlineStr">
        <is>
          <t>estimada</t>
        </is>
      </c>
      <c r="AE439" t="inlineStr">
        <is>
          <t>Participacion historica por denominacion (SUP-09)</t>
        </is>
      </c>
    </row>
    <row r="440">
      <c r="A440" t="inlineStr">
        <is>
          <t>PRAGMA</t>
        </is>
      </c>
      <c r="B440" t="inlineStr">
        <is>
          <t>IPIALES|TRANSPORTADORA_002</t>
        </is>
      </c>
      <c r="C440" t="inlineStr">
        <is>
          <t>Ipiales</t>
        </is>
      </c>
      <c r="D440" t="inlineStr">
        <is>
          <t>TRANSPORTADORA_002</t>
        </is>
      </c>
      <c r="E440" s="23" t="n">
        <v>46265</v>
      </c>
      <c r="F440" s="23" t="n">
        <v>46273</v>
      </c>
      <c r="G440" t="inlineStr">
        <is>
          <t>Sí</t>
        </is>
      </c>
      <c r="H440" s="25" t="n">
        <v>20000</v>
      </c>
      <c r="I440" s="26" t="n">
        <v>3033510899</v>
      </c>
      <c r="J440" s="26" t="n">
        <v>1554698746</v>
      </c>
      <c r="K440" s="26" t="n">
        <v>574715480</v>
      </c>
      <c r="L440" s="26">
        <f>J440-K440</f>
        <v>979983266</v>
      </c>
      <c r="M440" s="26">
        <f>I440+L440</f>
        <v>4013494165</v>
      </c>
      <c r="N440" s="26" t="n">
        <v>1400960000</v>
      </c>
      <c r="O440" s="26" t="n">
        <v>3033520000</v>
      </c>
      <c r="P440" s="26">
        <f>MAX(0,N440-M440)</f>
        <v>0</v>
      </c>
      <c r="Q440" s="26">
        <f>MAX(0,M440-O440)</f>
        <v>979974165</v>
      </c>
      <c r="R440" t="inlineStr">
        <is>
          <t>bajo</t>
        </is>
      </c>
      <c r="S440" t="inlineStr">
        <is>
          <t>venta_efectivo</t>
        </is>
      </c>
      <c r="T440" t="inlineStr">
        <is>
          <t>salida</t>
        </is>
      </c>
      <c r="U440" s="26" t="n">
        <v>979980000</v>
      </c>
      <c r="V440" t="inlineStr">
        <is>
          <t>IPIALES|TRANSPORTADORA_002</t>
        </is>
      </c>
      <c r="X440" s="26">
        <f>IF(T440="entrada",M440+U440,IF(T440="salida",M440-U440,M440))</f>
        <v>3033514165</v>
      </c>
      <c r="Y440" s="26" t="n">
        <v>0</v>
      </c>
      <c r="Z440" t="inlineStr">
        <is>
          <t>Menor costo neto entre las alternativas que cubren la necesidad completa</t>
        </is>
      </c>
      <c r="AA440" t="inlineStr">
        <is>
          <t>SUP-08, SUP-10, SUP-23</t>
        </is>
      </c>
      <c r="AB440" t="inlineStr">
        <is>
          <t>Excedente de $979.974.165 en la denominacion 20000: saldo $4.013.494.165 sobre el maximo $3.033.520.000. Elegida: venta ($979.980.000; beneficio de referencia $391.992). Es preferible porque tiene el menor costo neto. Otras alternativas: conservar ($979.980.000; costo de almacenar $78.277); traslado con PASTO|TRANSPORTADORA_001 ($667.220.000; costo $243.074, cubre solo una parte); traslado con CALI|TRANSPORTADORA_003 ($979.980.000; costo $1.017.022); consignacion BanRep: no habilitada en este fondo (sin historico o fuera de las ciudades BanRep).</t>
        </is>
      </c>
      <c r="AC440" t="inlineStr">
        <is>
          <t>Cierre del dia anterior (saldo encadenado, RN-71)</t>
        </is>
      </c>
      <c r="AD440" t="inlineStr">
        <is>
          <t>estimada</t>
        </is>
      </c>
      <c r="AE440" t="inlineStr">
        <is>
          <t>Participacion historica por denominacion (SUP-09)</t>
        </is>
      </c>
    </row>
    <row r="441">
      <c r="A441" t="inlineStr">
        <is>
          <t>PRAGMA</t>
        </is>
      </c>
      <c r="B441" t="inlineStr">
        <is>
          <t>IPIALES|TRANSPORTADORA_002</t>
        </is>
      </c>
      <c r="C441" t="inlineStr">
        <is>
          <t>Ipiales</t>
        </is>
      </c>
      <c r="D441" t="inlineStr">
        <is>
          <t>TRANSPORTADORA_002</t>
        </is>
      </c>
      <c r="E441" s="23" t="n">
        <v>46265</v>
      </c>
      <c r="F441" s="23" t="n">
        <v>46274</v>
      </c>
      <c r="G441" t="inlineStr">
        <is>
          <t>Sí</t>
        </is>
      </c>
      <c r="H441" s="25" t="n">
        <v>20000</v>
      </c>
      <c r="I441" s="26" t="n">
        <v>3033514165</v>
      </c>
      <c r="J441" s="26" t="n">
        <v>1533793592</v>
      </c>
      <c r="K441" s="26" t="n">
        <v>569657324</v>
      </c>
      <c r="L441" s="26">
        <f>J441-K441</f>
        <v>964136268</v>
      </c>
      <c r="M441" s="26">
        <f>I441+L441</f>
        <v>3997650433</v>
      </c>
      <c r="N441" s="26" t="n">
        <v>1400960000</v>
      </c>
      <c r="O441" s="26" t="n">
        <v>3033520000</v>
      </c>
      <c r="P441" s="26">
        <f>MAX(0,N441-M441)</f>
        <v>0</v>
      </c>
      <c r="Q441" s="26">
        <f>MAX(0,M441-O441)</f>
        <v>964130433</v>
      </c>
      <c r="R441" t="inlineStr">
        <is>
          <t>bajo</t>
        </is>
      </c>
      <c r="S441" t="inlineStr">
        <is>
          <t>venta_efectivo</t>
        </is>
      </c>
      <c r="T441" t="inlineStr">
        <is>
          <t>salida</t>
        </is>
      </c>
      <c r="U441" s="26" t="n">
        <v>964140000</v>
      </c>
      <c r="V441" t="inlineStr">
        <is>
          <t>IPIALES|TRANSPORTADORA_002</t>
        </is>
      </c>
      <c r="X441" s="26">
        <f>IF(T441="entrada",M441+U441,IF(T441="salida",M441-U441,M441))</f>
        <v>3033510433</v>
      </c>
      <c r="Y441" s="26" t="n">
        <v>0</v>
      </c>
      <c r="Z441" t="inlineStr">
        <is>
          <t>Menor costo neto entre las alternativas que cubren la necesidad completa</t>
        </is>
      </c>
      <c r="AA441" t="inlineStr">
        <is>
          <t>SUP-08, SUP-10, SUP-23</t>
        </is>
      </c>
      <c r="AB441" t="inlineStr">
        <is>
          <t>Excedente de $964.130.433 en la denominacion 20000: saldo $3.997.650.433 sobre el maximo $3.033.520.000. Elegida: venta ($964.140.000; beneficio de referencia $385.656). Es preferible porque tiene el menor costo neto. Otras alternativas: conservar ($964.140.000; costo de almacenar $67.385); traslado con PASTO|TRANSPORTADORA_001 ($341.660.000; costo $132.383, cubre solo una parte); traslado con CALI|TRANSPORTADORA_003 ($964.140.000; costo $1.003.209); consignacion BanRep: no habilitada en este fondo (sin historico o fuera de las ciudades BanRep).</t>
        </is>
      </c>
      <c r="AC441" t="inlineStr">
        <is>
          <t>Cierre del dia anterior (saldo encadenado, RN-71)</t>
        </is>
      </c>
      <c r="AD441" t="inlineStr">
        <is>
          <t>estimada</t>
        </is>
      </c>
      <c r="AE441" t="inlineStr">
        <is>
          <t>Participacion historica por denominacion (SUP-09)</t>
        </is>
      </c>
    </row>
    <row r="442">
      <c r="A442" t="inlineStr">
        <is>
          <t>PRAGMA</t>
        </is>
      </c>
      <c r="B442" t="inlineStr">
        <is>
          <t>IPIALES|TRANSPORTADORA_002</t>
        </is>
      </c>
      <c r="C442" t="inlineStr">
        <is>
          <t>Ipiales</t>
        </is>
      </c>
      <c r="D442" t="inlineStr">
        <is>
          <t>TRANSPORTADORA_002</t>
        </is>
      </c>
      <c r="E442" s="23" t="n">
        <v>46265</v>
      </c>
      <c r="F442" s="23" t="n">
        <v>46275</v>
      </c>
      <c r="G442" t="inlineStr">
        <is>
          <t>Sí</t>
        </is>
      </c>
      <c r="H442" s="25" t="n">
        <v>20000</v>
      </c>
      <c r="I442" s="26" t="n">
        <v>3033510433</v>
      </c>
      <c r="J442" s="26" t="n">
        <v>1366414563</v>
      </c>
      <c r="K442" s="26" t="n">
        <v>533113494</v>
      </c>
      <c r="L442" s="26">
        <f>J442-K442</f>
        <v>833301069</v>
      </c>
      <c r="M442" s="26">
        <f>I442+L442</f>
        <v>3866811502</v>
      </c>
      <c r="N442" s="26" t="n">
        <v>1400960000</v>
      </c>
      <c r="O442" s="26" t="n">
        <v>3033520000</v>
      </c>
      <c r="P442" s="26">
        <f>MAX(0,N442-M442)</f>
        <v>0</v>
      </c>
      <c r="Q442" s="26">
        <f>MAX(0,M442-O442)</f>
        <v>833291502</v>
      </c>
      <c r="R442" t="inlineStr">
        <is>
          <t>bajo</t>
        </is>
      </c>
      <c r="S442" t="inlineStr">
        <is>
          <t>venta_efectivo</t>
        </is>
      </c>
      <c r="T442" t="inlineStr">
        <is>
          <t>salida</t>
        </is>
      </c>
      <c r="U442" s="26" t="n">
        <v>833300000</v>
      </c>
      <c r="V442" t="inlineStr">
        <is>
          <t>IPIALES|TRANSPORTADORA_002</t>
        </is>
      </c>
      <c r="X442" s="26">
        <f>IF(T442="entrada",M442+U442,IF(T442="salida",M442-U442,M442))</f>
        <v>3033511502</v>
      </c>
      <c r="Y442" s="26" t="n">
        <v>0</v>
      </c>
      <c r="Z442" t="inlineStr">
        <is>
          <t>Menor costo neto entre las alternativas que cubren la necesidad completa</t>
        </is>
      </c>
      <c r="AA442" t="inlineStr">
        <is>
          <t>SUP-08, SUP-10, SUP-23</t>
        </is>
      </c>
      <c r="AB442" t="inlineStr">
        <is>
          <t>Excedente de $833.291.502 en la denominacion 20000: saldo $3.866.811.502 sobre el maximo $3.033.520.000. Elegida: venta ($833.300.000; beneficio de referencia $333.320). Es preferible porque tiene el menor costo neto. Otras alternativas: conservar ($833.300.000; costo de almacenar $49.921); traslado con PASTO|TRANSPORTADORA_001 ($141.840.000; costo $64.445, cubre solo una parte); traslado con CALI|TRANSPORTADORA_003 ($833.300.000; costo $889.117); consignacion BanRep: no habilitada en este fondo (sin historico o fuera de las ciudades BanRep).</t>
        </is>
      </c>
      <c r="AC442" t="inlineStr">
        <is>
          <t>Cierre del dia anterior (saldo encadenado, RN-71)</t>
        </is>
      </c>
      <c r="AD442" t="inlineStr">
        <is>
          <t>estimada</t>
        </is>
      </c>
      <c r="AE442" t="inlineStr">
        <is>
          <t>Participacion historica por denominacion (SUP-09)</t>
        </is>
      </c>
    </row>
    <row r="443">
      <c r="A443" t="inlineStr">
        <is>
          <t>PRAGMA</t>
        </is>
      </c>
      <c r="B443" t="inlineStr">
        <is>
          <t>IPIALES|TRANSPORTADORA_002</t>
        </is>
      </c>
      <c r="C443" t="inlineStr">
        <is>
          <t>Ipiales</t>
        </is>
      </c>
      <c r="D443" t="inlineStr">
        <is>
          <t>TRANSPORTADORA_002</t>
        </is>
      </c>
      <c r="E443" s="23" t="n">
        <v>46265</v>
      </c>
      <c r="F443" s="23" t="n">
        <v>46276</v>
      </c>
      <c r="G443" t="inlineStr">
        <is>
          <t>Sí</t>
        </is>
      </c>
      <c r="H443" s="25" t="n">
        <v>20000</v>
      </c>
      <c r="I443" s="26" t="n">
        <v>3033511502</v>
      </c>
      <c r="J443" s="26" t="n">
        <v>1673226692</v>
      </c>
      <c r="K443" s="26" t="n">
        <v>596979548</v>
      </c>
      <c r="L443" s="26">
        <f>J443-K443</f>
        <v>1076247144</v>
      </c>
      <c r="M443" s="26">
        <f>I443+L443</f>
        <v>4109758646</v>
      </c>
      <c r="N443" s="26" t="n">
        <v>1400960000</v>
      </c>
      <c r="O443" s="26" t="n">
        <v>3033520000</v>
      </c>
      <c r="P443" s="26">
        <f>MAX(0,N443-M443)</f>
        <v>0</v>
      </c>
      <c r="Q443" s="26">
        <f>MAX(0,M443-O443)</f>
        <v>1076238646</v>
      </c>
      <c r="R443" t="inlineStr">
        <is>
          <t>bajo</t>
        </is>
      </c>
      <c r="S443" t="inlineStr">
        <is>
          <t>venta_efectivo</t>
        </is>
      </c>
      <c r="T443" t="inlineStr">
        <is>
          <t>salida</t>
        </is>
      </c>
      <c r="U443" s="26" t="n">
        <v>1076240000</v>
      </c>
      <c r="V443" t="inlineStr">
        <is>
          <t>IPIALES|TRANSPORTADORA_002</t>
        </is>
      </c>
      <c r="X443" s="26">
        <f>IF(T443="entrada",M443+U443,IF(T443="salida",M443-U443,M443))</f>
        <v>3033518646</v>
      </c>
      <c r="Y443" s="26" t="n">
        <v>0</v>
      </c>
      <c r="Z443" t="inlineStr">
        <is>
          <t>Menor costo neto entre las alternativas que cubren la necesidad completa</t>
        </is>
      </c>
      <c r="AA443" t="inlineStr">
        <is>
          <t>SUP-08, SUP-10, SUP-23</t>
        </is>
      </c>
      <c r="AB443" t="inlineStr">
        <is>
          <t>Excedente de $1.076.238.646 en la denominacion 20000: saldo $4.109.758.646 sobre el maximo $3.033.520.000. Elegida: venta ($1.076.240.000; beneficio de referencia $430.496). Es preferible porque tiene el menor costo neto. Otras alternativas: conservar ($1.076.240.000; costo de almacenar $53.729); traslado con CALI|TRANSPORTADORA_003 ($1.076.240.000; costo $1.100.960); consignacion BanRep: no habilitada en este fondo (sin historico o fuera de las ciudades BanRep).</t>
        </is>
      </c>
      <c r="AC443" t="inlineStr">
        <is>
          <t>Cierre del dia anterior (saldo encadenado, RN-71)</t>
        </is>
      </c>
      <c r="AD443" t="inlineStr">
        <is>
          <t>estimada</t>
        </is>
      </c>
      <c r="AE443" t="inlineStr">
        <is>
          <t>Participacion historica por denominacion (SUP-09)</t>
        </is>
      </c>
    </row>
    <row r="444">
      <c r="A444" t="inlineStr">
        <is>
          <t>PRAGMA</t>
        </is>
      </c>
      <c r="B444" t="inlineStr">
        <is>
          <t>IPIALES|TRANSPORTADORA_002</t>
        </is>
      </c>
      <c r="C444" t="inlineStr">
        <is>
          <t>Ipiales</t>
        </is>
      </c>
      <c r="D444" t="inlineStr">
        <is>
          <t>TRANSPORTADORA_002</t>
        </is>
      </c>
      <c r="E444" s="23" t="n">
        <v>46265</v>
      </c>
      <c r="F444" s="23" t="n">
        <v>46277</v>
      </c>
      <c r="G444" t="inlineStr">
        <is>
          <t>No</t>
        </is>
      </c>
      <c r="H444" s="25" t="n">
        <v>20000</v>
      </c>
      <c r="I444" s="26" t="n">
        <v>3033518646</v>
      </c>
      <c r="J444" s="26" t="n">
        <v>192959439</v>
      </c>
      <c r="K444" s="26" t="n">
        <v>72067486</v>
      </c>
      <c r="L444" s="26">
        <f>J444-K444</f>
        <v>120891953</v>
      </c>
      <c r="M444" s="26">
        <f>I444+L444</f>
        <v>3154410599</v>
      </c>
      <c r="N444" s="26" t="n">
        <v>1400960000</v>
      </c>
      <c r="O444" s="26" t="n">
        <v>3033520000</v>
      </c>
      <c r="P444" s="26">
        <f>MAX(0,N444-M444)</f>
        <v>0</v>
      </c>
      <c r="Q444" s="26">
        <f>MAX(0,M444-O444)</f>
        <v>120890599</v>
      </c>
      <c r="R444" t="inlineStr">
        <is>
          <t>medio</t>
        </is>
      </c>
      <c r="S444" t="inlineStr">
        <is>
          <t>sin_accion</t>
        </is>
      </c>
      <c r="T444" t="inlineStr">
        <is>
          <t>ninguno</t>
        </is>
      </c>
      <c r="U444" s="26" t="n">
        <v>0</v>
      </c>
      <c r="X444" s="26">
        <f>IF(T444="entrada",M444+U444,IF(T444="salida",M444-U444,M444))</f>
        <v>3154410599</v>
      </c>
      <c r="Y444" s="26" t="n">
        <v>0</v>
      </c>
      <c r="Z444" t="inlineStr">
        <is>
          <t>Costo de almacenar menor que el de actuar</t>
        </is>
      </c>
      <c r="AA444" t="inlineStr">
        <is>
          <t>SUP-07, SUP-10</t>
        </is>
      </c>
      <c r="AB444" t="inlineStr">
        <is>
          <t>Excedente de $120.890.600 en la denominacion 20000: saldo $3.154.410.600 sobre el maximo $3.033.520.000. Se conserva: guardarlo hasta el fin del horizonte cuesta $4.829 (Anexo E, almacenamiento), menos que cualquier accion. Alternativas: traslado con PASTO|TRANSPORTADORA_001 ($120.900.000; costo $57.325); traslado con CALI|TRANSPORTADORA_001 ($120.900.000; costo $267.904); traslado con CALI|TRANSPORTADORA_002 ($120.900.000; costo $267.904); traslado con CALI|TRANSPORTADORA_003 ($120.900.000; costo $267.904); venta: dia no habil (sabado, domingo o festivo; RN-71A); consignacion BanRep: dia no habil (sabado, domingo o festivo; RN-71A).</t>
        </is>
      </c>
      <c r="AC444" t="inlineStr">
        <is>
          <t>Cierre del dia anterior (saldo encadenado, RN-71)</t>
        </is>
      </c>
      <c r="AD444" t="inlineStr">
        <is>
          <t>estimada</t>
        </is>
      </c>
      <c r="AE444" t="inlineStr">
        <is>
          <t>Participacion historica por denominacion (SUP-09)</t>
        </is>
      </c>
    </row>
    <row r="445">
      <c r="A445" t="inlineStr">
        <is>
          <t>PRAGMA</t>
        </is>
      </c>
      <c r="B445" t="inlineStr">
        <is>
          <t>IPIALES|TRANSPORTADORA_002</t>
        </is>
      </c>
      <c r="C445" t="inlineStr">
        <is>
          <t>Ipiales</t>
        </is>
      </c>
      <c r="D445" t="inlineStr">
        <is>
          <t>TRANSPORTADORA_002</t>
        </is>
      </c>
      <c r="E445" s="23" t="n">
        <v>46265</v>
      </c>
      <c r="F445" s="23" t="n">
        <v>46278</v>
      </c>
      <c r="G445" t="inlineStr">
        <is>
          <t>No</t>
        </is>
      </c>
      <c r="H445" s="25" t="n">
        <v>20000</v>
      </c>
      <c r="I445" s="26" t="n">
        <v>3154410600</v>
      </c>
      <c r="J445" s="26" t="n">
        <v>169680080</v>
      </c>
      <c r="K445" s="26" t="n">
        <v>45421474</v>
      </c>
      <c r="L445" s="26">
        <f>J445-K445</f>
        <v>124258606</v>
      </c>
      <c r="M445" s="26">
        <f>I445+L445</f>
        <v>3278669206</v>
      </c>
      <c r="N445" s="26" t="n">
        <v>1400960000</v>
      </c>
      <c r="O445" s="26" t="n">
        <v>3033520000</v>
      </c>
      <c r="P445" s="26">
        <f>MAX(0,N445-M445)</f>
        <v>0</v>
      </c>
      <c r="Q445" s="26">
        <f>MAX(0,M445-O445)</f>
        <v>245149206</v>
      </c>
      <c r="R445" t="inlineStr">
        <is>
          <t>medio</t>
        </is>
      </c>
      <c r="S445" t="inlineStr">
        <is>
          <t>sin_accion</t>
        </is>
      </c>
      <c r="T445" t="inlineStr">
        <is>
          <t>ninguno</t>
        </is>
      </c>
      <c r="U445" s="26" t="n">
        <v>0</v>
      </c>
      <c r="X445" s="26">
        <f>IF(T445="entrada",M445+U445,IF(T445="salida",M445-U445,M445))</f>
        <v>3278669206</v>
      </c>
      <c r="Y445" s="26" t="n">
        <v>0</v>
      </c>
      <c r="Z445" t="inlineStr">
        <is>
          <t>Costo de almacenar menor que el de actuar</t>
        </is>
      </c>
      <c r="AA445" t="inlineStr">
        <is>
          <t>SUP-07, SUP-10</t>
        </is>
      </c>
      <c r="AB445" t="inlineStr">
        <is>
          <t>Excedente de $245.149.206 en la denominacion 20000: saldo $3.278.669.206 sobre el maximo $3.033.520.000. Se conserva: guardarlo hasta el fin del horizonte cuesta $7.343 (Anexo E, almacenamiento), menos que cualquier accion. Alternativas: traslado con PASTO|TRANSPORTADORA_001 ($245.160.000; costo $99.573); traslado con CALI|TRANSPORTADORA_001 ($245.160.000; costo $376.259); traslado con CALI|TRANSPORTADORA_002 ($245.160.000; costo $376.259); traslado con CALI|TRANSPORTADORA_003 ($245.160.000; costo $376.259); venta: dia no habil (sabado, domingo o festivo; RN-71A); consignacion BanRep: dia no habil (sabado, domingo o festivo; RN-71A).</t>
        </is>
      </c>
      <c r="AC445" t="inlineStr">
        <is>
          <t>Cierre del dia anterior (saldo encadenado, RN-71)</t>
        </is>
      </c>
      <c r="AD445" t="inlineStr">
        <is>
          <t>estimada</t>
        </is>
      </c>
      <c r="AE445" t="inlineStr">
        <is>
          <t>Participacion historica por denominacion (SUP-09)</t>
        </is>
      </c>
    </row>
    <row r="446">
      <c r="A446" t="inlineStr">
        <is>
          <t>PRAGMA</t>
        </is>
      </c>
      <c r="B446" t="inlineStr">
        <is>
          <t>IPIALES|TRANSPORTADORA_002</t>
        </is>
      </c>
      <c r="C446" t="inlineStr">
        <is>
          <t>Ipiales</t>
        </is>
      </c>
      <c r="D446" t="inlineStr">
        <is>
          <t>TRANSPORTADORA_002</t>
        </is>
      </c>
      <c r="E446" s="23" t="n">
        <v>46265</v>
      </c>
      <c r="F446" s="23" t="n">
        <v>46279</v>
      </c>
      <c r="G446" t="inlineStr">
        <is>
          <t>Sí</t>
        </is>
      </c>
      <c r="H446" s="25" t="n">
        <v>20000</v>
      </c>
      <c r="I446" s="26" t="n">
        <v>3278669206</v>
      </c>
      <c r="J446" s="26" t="n">
        <v>1826940582</v>
      </c>
      <c r="K446" s="26" t="n">
        <v>561370338</v>
      </c>
      <c r="L446" s="26">
        <f>J446-K446</f>
        <v>1265570244</v>
      </c>
      <c r="M446" s="26">
        <f>I446+L446</f>
        <v>4544239450</v>
      </c>
      <c r="N446" s="26" t="n">
        <v>1400960000</v>
      </c>
      <c r="O446" s="26" t="n">
        <v>3033520000</v>
      </c>
      <c r="P446" s="26">
        <f>MAX(0,N446-M446)</f>
        <v>0</v>
      </c>
      <c r="Q446" s="26">
        <f>MAX(0,M446-O446)</f>
        <v>1510719450</v>
      </c>
      <c r="R446" t="inlineStr">
        <is>
          <t>bajo</t>
        </is>
      </c>
      <c r="S446" t="inlineStr">
        <is>
          <t>venta_efectivo</t>
        </is>
      </c>
      <c r="T446" t="inlineStr">
        <is>
          <t>salida</t>
        </is>
      </c>
      <c r="U446" s="26" t="n">
        <v>1510720000</v>
      </c>
      <c r="V446" t="inlineStr">
        <is>
          <t>IPIALES|TRANSPORTADORA_002</t>
        </is>
      </c>
      <c r="X446" s="26">
        <f>IF(T446="entrada",M446+U446,IF(T446="salida",M446-U446,M446))</f>
        <v>3033519450</v>
      </c>
      <c r="Y446" s="26" t="n">
        <v>0</v>
      </c>
      <c r="Z446" t="inlineStr">
        <is>
          <t>Menor costo neto entre las alternativas que cubren la necesidad completa</t>
        </is>
      </c>
      <c r="AA446" t="inlineStr">
        <is>
          <t>SUP-08, SUP-10, SUP-23</t>
        </is>
      </c>
      <c r="AB446" t="inlineStr">
        <is>
          <t>Excedente de $1.510.719.450 en la denominacion 20000: saldo $4.544.239.450 sobre el maximo $3.033.520.000. Elegida: venta ($1.510.720.000; beneficio de referencia $604.288). Es preferible porque tiene el menor costo neto. Otras alternativas: conservar ($1.510.720.000; costo de almacenar $30.168); traslado con CALI|TRANSPORTADORA_003 ($1.510.720.000; costo $1.479.827); consignacion BanRep: no habilitada en este fondo (sin historico o fuera de las ciudades BanRep).</t>
        </is>
      </c>
      <c r="AC446" t="inlineStr">
        <is>
          <t>Cierre del dia anterior (saldo encadenado, RN-71)</t>
        </is>
      </c>
      <c r="AD446" t="inlineStr">
        <is>
          <t>estimada</t>
        </is>
      </c>
      <c r="AE446" t="inlineStr">
        <is>
          <t>Participacion historica por denominacion (SUP-09)</t>
        </is>
      </c>
    </row>
    <row r="447">
      <c r="A447" t="inlineStr">
        <is>
          <t>PRAGMA</t>
        </is>
      </c>
      <c r="B447" t="inlineStr">
        <is>
          <t>IPIALES|TRANSPORTADORA_002</t>
        </is>
      </c>
      <c r="C447" t="inlineStr">
        <is>
          <t>Ipiales</t>
        </is>
      </c>
      <c r="D447" t="inlineStr">
        <is>
          <t>TRANSPORTADORA_002</t>
        </is>
      </c>
      <c r="E447" s="23" t="n">
        <v>46265</v>
      </c>
      <c r="F447" s="23" t="n">
        <v>46280</v>
      </c>
      <c r="G447" t="inlineStr">
        <is>
          <t>Sí</t>
        </is>
      </c>
      <c r="H447" s="25" t="n">
        <v>20000</v>
      </c>
      <c r="I447" s="26" t="n">
        <v>3033519450</v>
      </c>
      <c r="J447" s="26" t="n">
        <v>1624008013</v>
      </c>
      <c r="K447" s="26" t="n">
        <v>603777074</v>
      </c>
      <c r="L447" s="26">
        <f>J447-K447</f>
        <v>1020230939</v>
      </c>
      <c r="M447" s="26">
        <f>I447+L447</f>
        <v>4053750389</v>
      </c>
      <c r="N447" s="26" t="n">
        <v>1400960000</v>
      </c>
      <c r="O447" s="26" t="n">
        <v>3033520000</v>
      </c>
      <c r="P447" s="26">
        <f>MAX(0,N447-M447)</f>
        <v>0</v>
      </c>
      <c r="Q447" s="26">
        <f>MAX(0,M447-O447)</f>
        <v>1020230389</v>
      </c>
      <c r="R447" t="inlineStr">
        <is>
          <t>bajo</t>
        </is>
      </c>
      <c r="S447" t="inlineStr">
        <is>
          <t>venta_efectivo</t>
        </is>
      </c>
      <c r="T447" t="inlineStr">
        <is>
          <t>salida</t>
        </is>
      </c>
      <c r="U447" s="26" t="n">
        <v>1020240000</v>
      </c>
      <c r="V447" t="inlineStr">
        <is>
          <t>IPIALES|TRANSPORTADORA_002</t>
        </is>
      </c>
      <c r="X447" s="26">
        <f>IF(T447="entrada",M447+U447,IF(T447="salida",M447-U447,M447))</f>
        <v>3033510389</v>
      </c>
      <c r="Y447" s="26" t="n">
        <v>0</v>
      </c>
      <c r="Z447" t="inlineStr">
        <is>
          <t>Menor costo neto entre las alternativas que cubren la necesidad completa</t>
        </is>
      </c>
      <c r="AA447" t="inlineStr">
        <is>
          <t>SUP-08, SUP-10, SUP-23</t>
        </is>
      </c>
      <c r="AB447" t="inlineStr">
        <is>
          <t>Excedente de $1.020.230.389 en la denominacion 20000: saldo $4.053.750.389 sobre el maximo $3.033.520.000. Elegida: venta ($1.020.240.000; beneficio de referencia $408.096). Es preferible porque tiene el menor costo neto. Otras alternativas: conservar ($1.020.240.000; costo de almacenar $10.187); traslado con CALI|TRANSPORTADORA_003 ($1.020.240.000; costo $1.052.128); consignacion BanRep: no habilitada en este fondo (sin historico o fuera de las ciudades BanRep).</t>
        </is>
      </c>
      <c r="AC447" t="inlineStr">
        <is>
          <t>Cierre del dia anterior (saldo encadenado, RN-71)</t>
        </is>
      </c>
      <c r="AD447" t="inlineStr">
        <is>
          <t>estimada</t>
        </is>
      </c>
      <c r="AE447" t="inlineStr">
        <is>
          <t>Participacion historica por denominacion (SUP-09)</t>
        </is>
      </c>
    </row>
    <row r="448">
      <c r="A448" t="inlineStr">
        <is>
          <t>PRAGMA</t>
        </is>
      </c>
      <c r="B448" t="inlineStr">
        <is>
          <t>IPIALES|TRANSPORTADORA_002</t>
        </is>
      </c>
      <c r="C448" t="inlineStr">
        <is>
          <t>Ipiales</t>
        </is>
      </c>
      <c r="D448" t="inlineStr">
        <is>
          <t>TRANSPORTADORA_002</t>
        </is>
      </c>
      <c r="E448" s="23" t="n">
        <v>46265</v>
      </c>
      <c r="F448" s="23" t="n">
        <v>46266</v>
      </c>
      <c r="G448" t="inlineStr">
        <is>
          <t>Sí</t>
        </is>
      </c>
      <c r="H448" s="25" t="n">
        <v>50000</v>
      </c>
      <c r="I448" s="26" t="n">
        <v>11581600000</v>
      </c>
      <c r="J448" s="26" t="n">
        <v>10654826894</v>
      </c>
      <c r="K448" s="26" t="n">
        <v>4217631607</v>
      </c>
      <c r="L448" s="26">
        <f>J448-K448</f>
        <v>6437195287</v>
      </c>
      <c r="M448" s="26">
        <f>I448+L448</f>
        <v>18018795287</v>
      </c>
      <c r="N448" s="26" t="n">
        <v>8483025000</v>
      </c>
      <c r="O448" s="26" t="n">
        <v>21968800000</v>
      </c>
      <c r="P448" s="26">
        <f>MAX(0,N448-M448)</f>
        <v>0</v>
      </c>
      <c r="Q448" s="26">
        <f>MAX(0,M448-O448)</f>
        <v>0</v>
      </c>
      <c r="R448" t="inlineStr">
        <is>
          <t>bajo</t>
        </is>
      </c>
      <c r="S448" t="inlineStr">
        <is>
          <t>sin_accion</t>
        </is>
      </c>
      <c r="T448" t="inlineStr">
        <is>
          <t>ninguno</t>
        </is>
      </c>
      <c r="U448" s="26" t="n">
        <v>0</v>
      </c>
      <c r="X448" s="26">
        <f>IF(T448="entrada",M448+U448,IF(T448="salida",M448-U448,M448))</f>
        <v>18018795287</v>
      </c>
      <c r="Y448" s="26" t="n">
        <v>0</v>
      </c>
      <c r="Z448" t="inlineStr">
        <is>
          <t>RN-85: dentro de niveles objetivo (sin_accion)</t>
        </is>
      </c>
      <c r="AA448" t="inlineStr">
        <is>
          <t>SUP-07, SUP-10</t>
        </is>
      </c>
      <c r="AB448" t="inlineStr">
        <is>
          <t>Saldo dentro del rango objetivo; sin accion.</t>
        </is>
      </c>
      <c r="AC448" t="inlineStr">
        <is>
          <t>Ultimo disponible al 31/08/2026 (SUP-07)</t>
        </is>
      </c>
      <c r="AD448" t="inlineStr">
        <is>
          <t>estimada</t>
        </is>
      </c>
      <c r="AE448" t="inlineStr">
        <is>
          <t>Participacion historica por denominacion (SUP-09)</t>
        </is>
      </c>
    </row>
    <row r="449">
      <c r="A449" t="inlineStr">
        <is>
          <t>PRAGMA</t>
        </is>
      </c>
      <c r="B449" t="inlineStr">
        <is>
          <t>IPIALES|TRANSPORTADORA_002</t>
        </is>
      </c>
      <c r="C449" t="inlineStr">
        <is>
          <t>Ipiales</t>
        </is>
      </c>
      <c r="D449" t="inlineStr">
        <is>
          <t>TRANSPORTADORA_002</t>
        </is>
      </c>
      <c r="E449" s="23" t="n">
        <v>46265</v>
      </c>
      <c r="F449" s="23" t="n">
        <v>46267</v>
      </c>
      <c r="G449" t="inlineStr">
        <is>
          <t>Sí</t>
        </is>
      </c>
      <c r="H449" s="25" t="n">
        <v>50000</v>
      </c>
      <c r="I449" s="26" t="n">
        <v>18018795287</v>
      </c>
      <c r="J449" s="26" t="n">
        <v>11202201786</v>
      </c>
      <c r="K449" s="26" t="n">
        <v>3992733779</v>
      </c>
      <c r="L449" s="26">
        <f>J449-K449</f>
        <v>7209468007</v>
      </c>
      <c r="M449" s="26">
        <f>I449+L449</f>
        <v>25228263294</v>
      </c>
      <c r="N449" s="26" t="n">
        <v>8483025000</v>
      </c>
      <c r="O449" s="26" t="n">
        <v>21968800000</v>
      </c>
      <c r="P449" s="26">
        <f>MAX(0,N449-M449)</f>
        <v>0</v>
      </c>
      <c r="Q449" s="26">
        <f>MAX(0,M449-O449)</f>
        <v>3259463294</v>
      </c>
      <c r="R449" t="inlineStr">
        <is>
          <t>bajo</t>
        </is>
      </c>
      <c r="S449" t="inlineStr">
        <is>
          <t>venta_efectivo</t>
        </is>
      </c>
      <c r="T449" t="inlineStr">
        <is>
          <t>salida</t>
        </is>
      </c>
      <c r="U449" s="26" t="n">
        <v>3259500000</v>
      </c>
      <c r="V449" t="inlineStr">
        <is>
          <t>IPIALES|TRANSPORTADORA_002</t>
        </is>
      </c>
      <c r="X449" s="26">
        <f>IF(T449="entrada",M449+U449,IF(T449="salida",M449-U449,M449))</f>
        <v>21968763294</v>
      </c>
      <c r="Y449" s="26" t="n">
        <v>0</v>
      </c>
      <c r="Z449" t="inlineStr">
        <is>
          <t>Menor costo neto entre las alternativas que cubren la necesidad completa</t>
        </is>
      </c>
      <c r="AA449" t="inlineStr">
        <is>
          <t>SUP-08, SUP-10, SUP-23</t>
        </is>
      </c>
      <c r="AB449" t="inlineStr">
        <is>
          <t>Excedente de $3.259.463.294 en la denominacion 50000: saldo $25.228.263.294 sobre el maximo $21.968.800.000. Elegida: venta ($3.259.500.000; beneficio de referencia $1.303.800). Es preferible porque tiene el menor costo neto. Otras alternativas: conservar ($3.259.500.000; costo de almacenar $455.623); traslado con PASTO|TRANSPORTADORA_001 ($3.259.500.000; costo $1.124.449); traslado con CALI|TRANSPORTADORA_001 ($3.259.500.000; costo $3.004.763); traslado con CALI|TRANSPORTADORA_002 ($3.259.500.000; costo $3.004.763); traslado con CALI|TRANSPORTADORA_003 ($3.259.500.000; costo $3.004.763); consignacion BanRep: no habilitada en este fondo (sin historico o fuera de las ciudades BanRep).</t>
        </is>
      </c>
      <c r="AC449" t="inlineStr">
        <is>
          <t>Cierre del dia anterior (saldo encadenado, RN-71)</t>
        </is>
      </c>
      <c r="AD449" t="inlineStr">
        <is>
          <t>estimada</t>
        </is>
      </c>
      <c r="AE449" t="inlineStr">
        <is>
          <t>Participacion historica por denominacion (SUP-09)</t>
        </is>
      </c>
    </row>
    <row r="450">
      <c r="A450" t="inlineStr">
        <is>
          <t>PRAGMA</t>
        </is>
      </c>
      <c r="B450" t="inlineStr">
        <is>
          <t>IPIALES|TRANSPORTADORA_002</t>
        </is>
      </c>
      <c r="C450" t="inlineStr">
        <is>
          <t>Ipiales</t>
        </is>
      </c>
      <c r="D450" t="inlineStr">
        <is>
          <t>TRANSPORTADORA_002</t>
        </is>
      </c>
      <c r="E450" s="23" t="n">
        <v>46265</v>
      </c>
      <c r="F450" s="23" t="n">
        <v>46268</v>
      </c>
      <c r="G450" t="inlineStr">
        <is>
          <t>Sí</t>
        </is>
      </c>
      <c r="H450" s="25" t="n">
        <v>50000</v>
      </c>
      <c r="I450" s="26" t="n">
        <v>21968763294</v>
      </c>
      <c r="J450" s="26" t="n">
        <v>11090068648</v>
      </c>
      <c r="K450" s="26" t="n">
        <v>2885179344</v>
      </c>
      <c r="L450" s="26">
        <f>J450-K450</f>
        <v>8204889304</v>
      </c>
      <c r="M450" s="26">
        <f>I450+L450</f>
        <v>30173652598</v>
      </c>
      <c r="N450" s="26" t="n">
        <v>8483025000</v>
      </c>
      <c r="O450" s="26" t="n">
        <v>21968800000</v>
      </c>
      <c r="P450" s="26">
        <f>MAX(0,N450-M450)</f>
        <v>0</v>
      </c>
      <c r="Q450" s="26">
        <f>MAX(0,M450-O450)</f>
        <v>8204852598</v>
      </c>
      <c r="R450" t="inlineStr">
        <is>
          <t>bajo</t>
        </is>
      </c>
      <c r="S450" t="inlineStr">
        <is>
          <t>venta_efectivo</t>
        </is>
      </c>
      <c r="T450" t="inlineStr">
        <is>
          <t>salida</t>
        </is>
      </c>
      <c r="U450" s="26" t="n">
        <v>8204900000</v>
      </c>
      <c r="V450" t="inlineStr">
        <is>
          <t>IPIALES|TRANSPORTADORA_002</t>
        </is>
      </c>
      <c r="X450" s="26">
        <f>IF(T450="entrada",M450+U450,IF(T450="salida",M450-U450,M450))</f>
        <v>21968752598</v>
      </c>
      <c r="Y450" s="26" t="n">
        <v>0</v>
      </c>
      <c r="Z450" t="inlineStr">
        <is>
          <t>Menor costo neto entre las alternativas que cubren la necesidad completa</t>
        </is>
      </c>
      <c r="AA450" t="inlineStr">
        <is>
          <t>SUP-08, SUP-10, SUP-23</t>
        </is>
      </c>
      <c r="AB450" t="inlineStr">
        <is>
          <t>Excedente de $8.204.852.598 en la denominacion 50000: saldo $30.173.652.598 sobre el maximo $21.968.800.000. Elegida: venta ($8.204.900.000; beneficio de referencia $3.281.960). Es preferible porque tiene el menor costo neto. Otras alternativas: conservar ($8.204.900.000; costo de almacenar $1.064.984); traslado con PASTO|TRANSPORTADORA_001 ($8.204.900.000; costo $2.805.885); traslado con CALI|TRANSPORTADORA_001 ($4.620.050.000; costo $4.191.163, cubre solo una parte); traslado con CALI|TRANSPORTADORA_002 ($7.911.450.000; costo $7.061.263, cubre solo una parte); traslado con CALI|TRANSPORTADORA_003 ($8.204.900.000; costo $7.317.152); consignacion BanRep: no habilitada en este fondo (sin historico o fuera de las ciudades BanRep).</t>
        </is>
      </c>
      <c r="AC450" t="inlineStr">
        <is>
          <t>Cierre del dia anterior (saldo encadenado, RN-71)</t>
        </is>
      </c>
      <c r="AD450" t="inlineStr">
        <is>
          <t>estimada</t>
        </is>
      </c>
      <c r="AE450" t="inlineStr">
        <is>
          <t>Participacion historica por denominacion (SUP-09)</t>
        </is>
      </c>
    </row>
    <row r="451">
      <c r="A451" t="inlineStr">
        <is>
          <t>PRAGMA</t>
        </is>
      </c>
      <c r="B451" t="inlineStr">
        <is>
          <t>IPIALES|TRANSPORTADORA_002</t>
        </is>
      </c>
      <c r="C451" t="inlineStr">
        <is>
          <t>Ipiales</t>
        </is>
      </c>
      <c r="D451" t="inlineStr">
        <is>
          <t>TRANSPORTADORA_002</t>
        </is>
      </c>
      <c r="E451" s="23" t="n">
        <v>46265</v>
      </c>
      <c r="F451" s="23" t="n">
        <v>46269</v>
      </c>
      <c r="G451" t="inlineStr">
        <is>
          <t>Sí</t>
        </is>
      </c>
      <c r="H451" s="25" t="n">
        <v>50000</v>
      </c>
      <c r="I451" s="26" t="n">
        <v>21968752598</v>
      </c>
      <c r="J451" s="26" t="n">
        <v>12028314716</v>
      </c>
      <c r="K451" s="26" t="n">
        <v>4270838650</v>
      </c>
      <c r="L451" s="26">
        <f>J451-K451</f>
        <v>7757476066</v>
      </c>
      <c r="M451" s="26">
        <f>I451+L451</f>
        <v>29726228664</v>
      </c>
      <c r="N451" s="26" t="n">
        <v>8483025000</v>
      </c>
      <c r="O451" s="26" t="n">
        <v>21968800000</v>
      </c>
      <c r="P451" s="26">
        <f>MAX(0,N451-M451)</f>
        <v>0</v>
      </c>
      <c r="Q451" s="26">
        <f>MAX(0,M451-O451)</f>
        <v>7757428664</v>
      </c>
      <c r="R451" t="inlineStr">
        <is>
          <t>bajo</t>
        </is>
      </c>
      <c r="S451" t="inlineStr">
        <is>
          <t>venta_efectivo</t>
        </is>
      </c>
      <c r="T451" t="inlineStr">
        <is>
          <t>salida</t>
        </is>
      </c>
      <c r="U451" s="26" t="n">
        <v>7757450000</v>
      </c>
      <c r="V451" t="inlineStr">
        <is>
          <t>IPIALES|TRANSPORTADORA_002</t>
        </is>
      </c>
      <c r="X451" s="26">
        <f>IF(T451="entrada",M451+U451,IF(T451="salida",M451-U451,M451))</f>
        <v>21968778664</v>
      </c>
      <c r="Y451" s="26" t="n">
        <v>0</v>
      </c>
      <c r="Z451" t="inlineStr">
        <is>
          <t>Menor costo neto entre las alternativas que cubren la necesidad completa</t>
        </is>
      </c>
      <c r="AA451" t="inlineStr">
        <is>
          <t>SUP-08, SUP-10, SUP-23</t>
        </is>
      </c>
      <c r="AB451" t="inlineStr">
        <is>
          <t>Excedente de $7.757.428.664 en la denominacion 50000: saldo $29.726.228.664 sobre el maximo $21.968.800.000. Elegida: venta ($7.757.450.000; beneficio de referencia $3.102.980). Es preferible porque tiene el menor costo neto. Otras alternativas: conservar ($7.757.450.000; costo de almacenar $929.451); traslado con CALI|TRANSPORTADORA_001 ($1.591.000.000; costo $1.549.831, cubre solo una parte); traslado con PASTO|TRANSPORTADORA_001 ($7.757.450.000; costo $2.653.752); traslado con CALI|TRANSPORTADORA_002 ($3.545.450.000; costo $3.254.111, cubre solo una parte); traslado con CALI|TRANSPORTADORA_003 ($7.757.450.000; costo $6.926.975); consignacion BanRep: no habilitada en este fondo (sin historico o fuera de las ciudades BanRep).</t>
        </is>
      </c>
      <c r="AC451" t="inlineStr">
        <is>
          <t>Cierre del dia anterior (saldo encadenado, RN-71)</t>
        </is>
      </c>
      <c r="AD451" t="inlineStr">
        <is>
          <t>estimada</t>
        </is>
      </c>
      <c r="AE451" t="inlineStr">
        <is>
          <t>Participacion historica por denominacion (SUP-09)</t>
        </is>
      </c>
    </row>
    <row r="452">
      <c r="A452" t="inlineStr">
        <is>
          <t>PRAGMA</t>
        </is>
      </c>
      <c r="B452" t="inlineStr">
        <is>
          <t>IPIALES|TRANSPORTADORA_002</t>
        </is>
      </c>
      <c r="C452" t="inlineStr">
        <is>
          <t>Ipiales</t>
        </is>
      </c>
      <c r="D452" t="inlineStr">
        <is>
          <t>TRANSPORTADORA_002</t>
        </is>
      </c>
      <c r="E452" s="23" t="n">
        <v>46265</v>
      </c>
      <c r="F452" s="23" t="n">
        <v>46270</v>
      </c>
      <c r="G452" t="inlineStr">
        <is>
          <t>No</t>
        </is>
      </c>
      <c r="H452" s="25" t="n">
        <v>50000</v>
      </c>
      <c r="I452" s="26" t="n">
        <v>21968778664</v>
      </c>
      <c r="J452" s="26" t="n">
        <v>1406633853</v>
      </c>
      <c r="K452" s="26" t="n">
        <v>566283603</v>
      </c>
      <c r="L452" s="26">
        <f>J452-K452</f>
        <v>840350250</v>
      </c>
      <c r="M452" s="26">
        <f>I452+L452</f>
        <v>22809128914</v>
      </c>
      <c r="N452" s="26" t="n">
        <v>8483025000</v>
      </c>
      <c r="O452" s="26" t="n">
        <v>21968800000</v>
      </c>
      <c r="P452" s="26">
        <f>MAX(0,N452-M452)</f>
        <v>0</v>
      </c>
      <c r="Q452" s="26">
        <f>MAX(0,M452-O452)</f>
        <v>840328914</v>
      </c>
      <c r="R452" t="inlineStr">
        <is>
          <t>medio</t>
        </is>
      </c>
      <c r="S452" t="inlineStr">
        <is>
          <t>sin_accion</t>
        </is>
      </c>
      <c r="T452" t="inlineStr">
        <is>
          <t>ninguno</t>
        </is>
      </c>
      <c r="U452" s="26" t="n">
        <v>0</v>
      </c>
      <c r="X452" s="26">
        <f>IF(T452="entrada",M452+U452,IF(T452="salida",M452-U452,M452))</f>
        <v>22809128914</v>
      </c>
      <c r="Y452" s="26" t="n">
        <v>0</v>
      </c>
      <c r="Z452" t="inlineStr">
        <is>
          <t>Costo de almacenar menor que el de actuar</t>
        </is>
      </c>
      <c r="AA452" t="inlineStr">
        <is>
          <t>SUP-07, SUP-10</t>
        </is>
      </c>
      <c r="AB452" t="inlineStr">
        <is>
          <t>Excedente de $840.328.914 en la denominacion 50000: saldo $22.809.128.914 sobre el maximo $21.968.800.000. Se conserva: guardarlo hasta el fin del horizonte cuesta $92.295 (Anexo E, almacenamiento), menos que cualquier accion. Alternativas: traslado con PASTO|TRANSPORTADORA_001 ($840.350.000; costo $301.938); traslado con CALI|TRANSPORTADORA_001 ($840.350.000; costo $895.264); traslado con CALI|TRANSPORTADORA_002 ($840.350.000; costo $895.264); traslado con CALI|TRANSPORTADORA_003 ($840.350.000; costo $895.264); venta: dia no habil (sabado, domingo o festivo; RN-71A); consignacion BanRep: dia no habil (sabado, domingo o festivo; RN-71A).</t>
        </is>
      </c>
      <c r="AC452" t="inlineStr">
        <is>
          <t>Cierre del dia anterior (saldo encadenado, RN-71)</t>
        </is>
      </c>
      <c r="AD452" t="inlineStr">
        <is>
          <t>estimada</t>
        </is>
      </c>
      <c r="AE452" t="inlineStr">
        <is>
          <t>Participacion historica por denominacion (SUP-09)</t>
        </is>
      </c>
    </row>
    <row r="453">
      <c r="A453" t="inlineStr">
        <is>
          <t>PRAGMA</t>
        </is>
      </c>
      <c r="B453" t="inlineStr">
        <is>
          <t>IPIALES|TRANSPORTADORA_002</t>
        </is>
      </c>
      <c r="C453" t="inlineStr">
        <is>
          <t>Ipiales</t>
        </is>
      </c>
      <c r="D453" t="inlineStr">
        <is>
          <t>TRANSPORTADORA_002</t>
        </is>
      </c>
      <c r="E453" s="23" t="n">
        <v>46265</v>
      </c>
      <c r="F453" s="23" t="n">
        <v>46271</v>
      </c>
      <c r="G453" t="inlineStr">
        <is>
          <t>No</t>
        </is>
      </c>
      <c r="H453" s="25" t="n">
        <v>50000</v>
      </c>
      <c r="I453" s="26" t="n">
        <v>22809128914</v>
      </c>
      <c r="J453" s="26" t="n">
        <v>1611662319</v>
      </c>
      <c r="K453" s="26" t="n">
        <v>366857998</v>
      </c>
      <c r="L453" s="26">
        <f>J453-K453</f>
        <v>1244804321</v>
      </c>
      <c r="M453" s="26">
        <f>I453+L453</f>
        <v>24053933235</v>
      </c>
      <c r="N453" s="26" t="n">
        <v>8483025000</v>
      </c>
      <c r="O453" s="26" t="n">
        <v>21968800000</v>
      </c>
      <c r="P453" s="26">
        <f>MAX(0,N453-M453)</f>
        <v>0</v>
      </c>
      <c r="Q453" s="26">
        <f>MAX(0,M453-O453)</f>
        <v>2085133235</v>
      </c>
      <c r="R453" t="inlineStr">
        <is>
          <t>medio</t>
        </is>
      </c>
      <c r="S453" t="inlineStr">
        <is>
          <t>sin_accion</t>
        </is>
      </c>
      <c r="T453" t="inlineStr">
        <is>
          <t>ninguno</t>
        </is>
      </c>
      <c r="U453" s="26" t="n">
        <v>0</v>
      </c>
      <c r="X453" s="26">
        <f>IF(T453="entrada",M453+U453,IF(T453="salida",M453-U453,M453))</f>
        <v>24053933235</v>
      </c>
      <c r="Y453" s="26" t="n">
        <v>0</v>
      </c>
      <c r="Z453" t="inlineStr">
        <is>
          <t>Costo de almacenar menor que el de actuar</t>
        </is>
      </c>
      <c r="AA453" t="inlineStr">
        <is>
          <t>SUP-07, SUP-10</t>
        </is>
      </c>
      <c r="AB453" t="inlineStr">
        <is>
          <t>Excedente de $2.085.133.235 en la denominacion 50000: saldo $24.053.933.235 sobre el maximo $21.968.800.000. Se conserva: guardarlo hasta el fin del horizonte cuesta $208.192 (Anexo E, almacenamiento), menos que cualquier accion. Alternativas: traslado con PASTO|TRANSPORTADORA_001 ($2.085.150.000; costo $725.170); traslado con CALI|TRANSPORTADORA_001 ($2.085.150.000; costo $1.980.730); traslado con CALI|TRANSPORTADORA_002 ($2.085.150.000; costo $1.980.730); traslado con CALI|TRANSPORTADORA_003 ($2.085.150.000; costo $1.980.730); venta: dia no habil (sabado, domingo o festivo; RN-71A); consignacion BanRep: dia no habil (sabado, domingo o festivo; RN-71A).</t>
        </is>
      </c>
      <c r="AC453" t="inlineStr">
        <is>
          <t>Cierre del dia anterior (saldo encadenado, RN-71)</t>
        </is>
      </c>
      <c r="AD453" t="inlineStr">
        <is>
          <t>estimada</t>
        </is>
      </c>
      <c r="AE453" t="inlineStr">
        <is>
          <t>Participacion historica por denominacion (SUP-09)</t>
        </is>
      </c>
    </row>
    <row r="454">
      <c r="A454" t="inlineStr">
        <is>
          <t>PRAGMA</t>
        </is>
      </c>
      <c r="B454" t="inlineStr">
        <is>
          <t>IPIALES|TRANSPORTADORA_002</t>
        </is>
      </c>
      <c r="C454" t="inlineStr">
        <is>
          <t>Ipiales</t>
        </is>
      </c>
      <c r="D454" t="inlineStr">
        <is>
          <t>TRANSPORTADORA_002</t>
        </is>
      </c>
      <c r="E454" s="23" t="n">
        <v>46265</v>
      </c>
      <c r="F454" s="23" t="n">
        <v>46272</v>
      </c>
      <c r="G454" t="inlineStr">
        <is>
          <t>Sí</t>
        </is>
      </c>
      <c r="H454" s="25" t="n">
        <v>50000</v>
      </c>
      <c r="I454" s="26" t="n">
        <v>24053933235</v>
      </c>
      <c r="J454" s="26" t="n">
        <v>11596929465</v>
      </c>
      <c r="K454" s="26" t="n">
        <v>3631771772</v>
      </c>
      <c r="L454" s="26">
        <f>J454-K454</f>
        <v>7965157693</v>
      </c>
      <c r="M454" s="26">
        <f>I454+L454</f>
        <v>32019090928</v>
      </c>
      <c r="N454" s="26" t="n">
        <v>8483025000</v>
      </c>
      <c r="O454" s="26" t="n">
        <v>21968800000</v>
      </c>
      <c r="P454" s="26">
        <f>MAX(0,N454-M454)</f>
        <v>0</v>
      </c>
      <c r="Q454" s="26">
        <f>MAX(0,M454-O454)</f>
        <v>10050290928</v>
      </c>
      <c r="R454" t="inlineStr">
        <is>
          <t>bajo</t>
        </is>
      </c>
      <c r="S454" t="inlineStr">
        <is>
          <t>venta_efectivo</t>
        </is>
      </c>
      <c r="T454" t="inlineStr">
        <is>
          <t>salida</t>
        </is>
      </c>
      <c r="U454" s="26" t="n">
        <v>10050300000</v>
      </c>
      <c r="V454" t="inlineStr">
        <is>
          <t>IPIALES|TRANSPORTADORA_002</t>
        </is>
      </c>
      <c r="X454" s="26">
        <f>IF(T454="entrada",M454+U454,IF(T454="salida",M454-U454,M454))</f>
        <v>21968790928</v>
      </c>
      <c r="Y454" s="26" t="n">
        <v>0</v>
      </c>
      <c r="Z454" t="inlineStr">
        <is>
          <t>Menor costo neto entre las alternativas que cubren la necesidad completa</t>
        </is>
      </c>
      <c r="AA454" t="inlineStr">
        <is>
          <t>SUP-08, SUP-10, SUP-23</t>
        </is>
      </c>
      <c r="AB454" t="inlineStr">
        <is>
          <t>Excedente de $10.050.290.928 en la denominacion 50000: saldo $32.019.090.928 sobre el maximo $21.968.800.000. Elegida: venta ($10.050.300.000; beneficio de referencia $4.020.120). Es preferible porque tiene el menor costo neto. Otras alternativas: conservar ($10.050.300.000; costo de almacenar $903.125); traslado con PASTO|TRANSPORTADORA_001 ($10.050.300.000; costo $3.433.321); traslado con CALI|TRANSPORTADORA_003 ($10.050.300.000; costo $8.926.341); consignacion BanRep: no habilitada en este fondo (sin historico o fuera de las ciudades BanRep).</t>
        </is>
      </c>
      <c r="AC454" t="inlineStr">
        <is>
          <t>Cierre del dia anterior (saldo encadenado, RN-71)</t>
        </is>
      </c>
      <c r="AD454" t="inlineStr">
        <is>
          <t>estimada</t>
        </is>
      </c>
      <c r="AE454" t="inlineStr">
        <is>
          <t>Participacion historica por denominacion (SUP-09)</t>
        </is>
      </c>
    </row>
    <row r="455">
      <c r="A455" t="inlineStr">
        <is>
          <t>PRAGMA</t>
        </is>
      </c>
      <c r="B455" t="inlineStr">
        <is>
          <t>IPIALES|TRANSPORTADORA_002</t>
        </is>
      </c>
      <c r="C455" t="inlineStr">
        <is>
          <t>Ipiales</t>
        </is>
      </c>
      <c r="D455" t="inlineStr">
        <is>
          <t>TRANSPORTADORA_002</t>
        </is>
      </c>
      <c r="E455" s="23" t="n">
        <v>46265</v>
      </c>
      <c r="F455" s="23" t="n">
        <v>46273</v>
      </c>
      <c r="G455" t="inlineStr">
        <is>
          <t>Sí</t>
        </is>
      </c>
      <c r="H455" s="25" t="n">
        <v>50000</v>
      </c>
      <c r="I455" s="26" t="n">
        <v>21968790928</v>
      </c>
      <c r="J455" s="26" t="n">
        <v>10052434934</v>
      </c>
      <c r="K455" s="26" t="n">
        <v>3716018928</v>
      </c>
      <c r="L455" s="26">
        <f>J455-K455</f>
        <v>6336416006</v>
      </c>
      <c r="M455" s="26">
        <f>I455+L455</f>
        <v>28305206934</v>
      </c>
      <c r="N455" s="26" t="n">
        <v>8483025000</v>
      </c>
      <c r="O455" s="26" t="n">
        <v>21968800000</v>
      </c>
      <c r="P455" s="26">
        <f>MAX(0,N455-M455)</f>
        <v>0</v>
      </c>
      <c r="Q455" s="26">
        <f>MAX(0,M455-O455)</f>
        <v>6336406934</v>
      </c>
      <c r="R455" t="inlineStr">
        <is>
          <t>bajo</t>
        </is>
      </c>
      <c r="S455" t="inlineStr">
        <is>
          <t>venta_efectivo</t>
        </is>
      </c>
      <c r="T455" t="inlineStr">
        <is>
          <t>salida</t>
        </is>
      </c>
      <c r="U455" s="26" t="n">
        <v>6336450000</v>
      </c>
      <c r="V455" t="inlineStr">
        <is>
          <t>IPIALES|TRANSPORTADORA_002</t>
        </is>
      </c>
      <c r="X455" s="26">
        <f>IF(T455="entrada",M455+U455,IF(T455="salida",M455-U455,M455))</f>
        <v>21968756934</v>
      </c>
      <c r="Y455" s="26" t="n">
        <v>0</v>
      </c>
      <c r="Z455" t="inlineStr">
        <is>
          <t>Menor costo neto entre las alternativas que cubren la necesidad completa</t>
        </is>
      </c>
      <c r="AA455" t="inlineStr">
        <is>
          <t>SUP-08, SUP-10, SUP-23</t>
        </is>
      </c>
      <c r="AB455" t="inlineStr">
        <is>
          <t>Excedente de $6.336.406.935 en la denominacion 50000: saldo $28.305.206.935 sobre el maximo $21.968.800.000. Elegida: venta ($6.336.450.000; beneficio de referencia $2.534.580). Es preferible porque tiene el menor costo neto. Otras alternativas: conservar ($6.336.450.000; costo de almacenar $506.130); traslado con PASTO|TRANSPORTADORA_001 ($6.336.450.000; costo $2.170.612); traslado con CALI|TRANSPORTADORA_003 ($6.336.450.000; costo $5.687.863); consignacion BanRep: no habilitada en este fondo (sin historico o fuera de las ciudades BanRep).</t>
        </is>
      </c>
      <c r="AC455" t="inlineStr">
        <is>
          <t>Cierre del dia anterior (saldo encadenado, RN-71)</t>
        </is>
      </c>
      <c r="AD455" t="inlineStr">
        <is>
          <t>estimada</t>
        </is>
      </c>
      <c r="AE455" t="inlineStr">
        <is>
          <t>Participacion historica por denominacion (SUP-09)</t>
        </is>
      </c>
    </row>
    <row r="456">
      <c r="A456" t="inlineStr">
        <is>
          <t>PRAGMA</t>
        </is>
      </c>
      <c r="B456" t="inlineStr">
        <is>
          <t>IPIALES|TRANSPORTADORA_002</t>
        </is>
      </c>
      <c r="C456" t="inlineStr">
        <is>
          <t>Ipiales</t>
        </is>
      </c>
      <c r="D456" t="inlineStr">
        <is>
          <t>TRANSPORTADORA_002</t>
        </is>
      </c>
      <c r="E456" s="23" t="n">
        <v>46265</v>
      </c>
      <c r="F456" s="23" t="n">
        <v>46274</v>
      </c>
      <c r="G456" t="inlineStr">
        <is>
          <t>Sí</t>
        </is>
      </c>
      <c r="H456" s="25" t="n">
        <v>50000</v>
      </c>
      <c r="I456" s="26" t="n">
        <v>21968756935</v>
      </c>
      <c r="J456" s="26" t="n">
        <v>9917265528</v>
      </c>
      <c r="K456" s="26" t="n">
        <v>3683313693</v>
      </c>
      <c r="L456" s="26">
        <f>J456-K456</f>
        <v>6233951835</v>
      </c>
      <c r="M456" s="26">
        <f>I456+L456</f>
        <v>28202708770</v>
      </c>
      <c r="N456" s="26" t="n">
        <v>8483025000</v>
      </c>
      <c r="O456" s="26" t="n">
        <v>21968800000</v>
      </c>
      <c r="P456" s="26">
        <f>MAX(0,N456-M456)</f>
        <v>0</v>
      </c>
      <c r="Q456" s="26">
        <f>MAX(0,M456-O456)</f>
        <v>6233908770</v>
      </c>
      <c r="R456" t="inlineStr">
        <is>
          <t>bajo</t>
        </is>
      </c>
      <c r="S456" t="inlineStr">
        <is>
          <t>venta_efectivo</t>
        </is>
      </c>
      <c r="T456" t="inlineStr">
        <is>
          <t>salida</t>
        </is>
      </c>
      <c r="U456" s="26" t="n">
        <v>6233950000</v>
      </c>
      <c r="V456" t="inlineStr">
        <is>
          <t>IPIALES|TRANSPORTADORA_002</t>
        </is>
      </c>
      <c r="X456" s="26">
        <f>IF(T456="entrada",M456+U456,IF(T456="salida",M456-U456,M456))</f>
        <v>21968758770</v>
      </c>
      <c r="Y456" s="26" t="n">
        <v>0</v>
      </c>
      <c r="Z456" t="inlineStr">
        <is>
          <t>Menor costo neto entre las alternativas que cubren la necesidad completa</t>
        </is>
      </c>
      <c r="AA456" t="inlineStr">
        <is>
          <t>SUP-08, SUP-10, SUP-23</t>
        </is>
      </c>
      <c r="AB456" t="inlineStr">
        <is>
          <t>Excedente de $6.233.908.770 en la denominacion 50000: saldo $28.202.708.770 sobre el maximo $21.968.800.000. Elegida: venta ($6.233.950.000; beneficio de referencia $2.493.580). Es preferible porque tiene el menor costo neto. Otras alternativas: conservar ($6.233.950.000; costo de almacenar $435.700); traslado con PASTO|TRANSPORTADORA_001 ($6.233.950.000; costo $2.135.762); traslado con CALI|TRANSPORTADORA_003 ($6.233.950.000; costo $5.598.483); consignacion BanRep: no habilitada en este fondo (sin historico o fuera de las ciudades BanRep).</t>
        </is>
      </c>
      <c r="AC456" t="inlineStr">
        <is>
          <t>Cierre del dia anterior (saldo encadenado, RN-71)</t>
        </is>
      </c>
      <c r="AD456" t="inlineStr">
        <is>
          <t>estimada</t>
        </is>
      </c>
      <c r="AE456" t="inlineStr">
        <is>
          <t>Participacion historica por denominacion (SUP-09)</t>
        </is>
      </c>
    </row>
    <row r="457">
      <c r="A457" t="inlineStr">
        <is>
          <t>PRAGMA</t>
        </is>
      </c>
      <c r="B457" t="inlineStr">
        <is>
          <t>IPIALES|TRANSPORTADORA_002</t>
        </is>
      </c>
      <c r="C457" t="inlineStr">
        <is>
          <t>Ipiales</t>
        </is>
      </c>
      <c r="D457" t="inlineStr">
        <is>
          <t>TRANSPORTADORA_002</t>
        </is>
      </c>
      <c r="E457" s="23" t="n">
        <v>46265</v>
      </c>
      <c r="F457" s="23" t="n">
        <v>46275</v>
      </c>
      <c r="G457" t="inlineStr">
        <is>
          <t>Sí</t>
        </is>
      </c>
      <c r="H457" s="25" t="n">
        <v>50000</v>
      </c>
      <c r="I457" s="26" t="n">
        <v>21968758770</v>
      </c>
      <c r="J457" s="26" t="n">
        <v>8835019337</v>
      </c>
      <c r="K457" s="26" t="n">
        <v>3447027101</v>
      </c>
      <c r="L457" s="26">
        <f>J457-K457</f>
        <v>5387992236</v>
      </c>
      <c r="M457" s="26">
        <f>I457+L457</f>
        <v>27356751006</v>
      </c>
      <c r="N457" s="26" t="n">
        <v>8483025000</v>
      </c>
      <c r="O457" s="26" t="n">
        <v>21968800000</v>
      </c>
      <c r="P457" s="26">
        <f>MAX(0,N457-M457)</f>
        <v>0</v>
      </c>
      <c r="Q457" s="26">
        <f>MAX(0,M457-O457)</f>
        <v>5387951006</v>
      </c>
      <c r="R457" t="inlineStr">
        <is>
          <t>bajo</t>
        </is>
      </c>
      <c r="S457" t="inlineStr">
        <is>
          <t>venta_efectivo</t>
        </is>
      </c>
      <c r="T457" t="inlineStr">
        <is>
          <t>salida</t>
        </is>
      </c>
      <c r="U457" s="26" t="n">
        <v>5388000000</v>
      </c>
      <c r="V457" t="inlineStr">
        <is>
          <t>IPIALES|TRANSPORTADORA_002</t>
        </is>
      </c>
      <c r="X457" s="26">
        <f>IF(T457="entrada",M457+U457,IF(T457="salida",M457-U457,M457))</f>
        <v>21968751006</v>
      </c>
      <c r="Y457" s="26" t="n">
        <v>0</v>
      </c>
      <c r="Z457" t="inlineStr">
        <is>
          <t>Menor costo neto entre las alternativas que cubren la necesidad completa</t>
        </is>
      </c>
      <c r="AA457" t="inlineStr">
        <is>
          <t>SUP-08, SUP-10, SUP-23</t>
        </is>
      </c>
      <c r="AB457" t="inlineStr">
        <is>
          <t>Excedente de $5.387.951.005 en la denominacion 50000: saldo $27.356.751.005 sobre el maximo $21.968.800.000. Elegida: venta ($5.388.000.000; beneficio de referencia $2.155.200). Es preferible porque tiene el menor costo neto. Otras alternativas: conservar ($5.388.000.000; costo de almacenar $322.779); traslado con PASTO|TRANSPORTADORA_001 ($5.388.000.000; costo $1.848.139); traslado con CALI|TRANSPORTADORA_003 ($5.388.000.000; costo $4.860.815); consignacion BanRep: no habilitada en este fondo (sin historico o fuera de las ciudades BanRep).</t>
        </is>
      </c>
      <c r="AC457" t="inlineStr">
        <is>
          <t>Cierre del dia anterior (saldo encadenado, RN-71)</t>
        </is>
      </c>
      <c r="AD457" t="inlineStr">
        <is>
          <t>estimada</t>
        </is>
      </c>
      <c r="AE457" t="inlineStr">
        <is>
          <t>Participacion historica por denominacion (SUP-09)</t>
        </is>
      </c>
    </row>
    <row r="458">
      <c r="A458" t="inlineStr">
        <is>
          <t>PRAGMA</t>
        </is>
      </c>
      <c r="B458" t="inlineStr">
        <is>
          <t>IPIALES|TRANSPORTADORA_002</t>
        </is>
      </c>
      <c r="C458" t="inlineStr">
        <is>
          <t>Ipiales</t>
        </is>
      </c>
      <c r="D458" t="inlineStr">
        <is>
          <t>TRANSPORTADORA_002</t>
        </is>
      </c>
      <c r="E458" s="23" t="n">
        <v>46265</v>
      </c>
      <c r="F458" s="23" t="n">
        <v>46276</v>
      </c>
      <c r="G458" t="inlineStr">
        <is>
          <t>Sí</t>
        </is>
      </c>
      <c r="H458" s="25" t="n">
        <v>50000</v>
      </c>
      <c r="I458" s="26" t="n">
        <v>21968751005</v>
      </c>
      <c r="J458" s="26" t="n">
        <v>10818817788</v>
      </c>
      <c r="K458" s="26" t="n">
        <v>3859974850</v>
      </c>
      <c r="L458" s="26">
        <f>J458-K458</f>
        <v>6958842938</v>
      </c>
      <c r="M458" s="26">
        <f>I458+L458</f>
        <v>28927593943</v>
      </c>
      <c r="N458" s="26" t="n">
        <v>8483025000</v>
      </c>
      <c r="O458" s="26" t="n">
        <v>21968800000</v>
      </c>
      <c r="P458" s="26">
        <f>MAX(0,N458-M458)</f>
        <v>0</v>
      </c>
      <c r="Q458" s="26">
        <f>MAX(0,M458-O458)</f>
        <v>6958793943</v>
      </c>
      <c r="R458" t="inlineStr">
        <is>
          <t>bajo</t>
        </is>
      </c>
      <c r="S458" t="inlineStr">
        <is>
          <t>venta_efectivo</t>
        </is>
      </c>
      <c r="T458" t="inlineStr">
        <is>
          <t>salida</t>
        </is>
      </c>
      <c r="U458" s="26" t="n">
        <v>6958800000</v>
      </c>
      <c r="V458" t="inlineStr">
        <is>
          <t>IPIALES|TRANSPORTADORA_002</t>
        </is>
      </c>
      <c r="X458" s="26">
        <f>IF(T458="entrada",M458+U458,IF(T458="salida",M458-U458,M458))</f>
        <v>21968793943</v>
      </c>
      <c r="Y458" s="26" t="n">
        <v>0</v>
      </c>
      <c r="Z458" t="inlineStr">
        <is>
          <t>Menor costo neto entre las alternativas que cubren la necesidad completa</t>
        </is>
      </c>
      <c r="AA458" t="inlineStr">
        <is>
          <t>SUP-08, SUP-10, SUP-23</t>
        </is>
      </c>
      <c r="AB458" t="inlineStr">
        <is>
          <t>Excedente de $6.958.793.943 en la denominacion 50000: saldo $28.927.593.943 sobre el maximo $21.968.800.000. Elegida: venta ($6.958.800.000; beneficio de referencia $2.783.520). Es preferible porque tiene el menor costo neto. Otras alternativas: conservar ($6.958.800.000; costo de almacenar $347.401); traslado con PASTO|TRANSPORTADORA_001 ($6.958.800.000; costo $2.382.211); traslado con CALI|TRANSPORTADORA_003 ($6.958.800.000; costo $6.230.553); consignacion BanRep: no habilitada en este fondo (sin historico o fuera de las ciudades BanRep).</t>
        </is>
      </c>
      <c r="AC458" t="inlineStr">
        <is>
          <t>Cierre del dia anterior (saldo encadenado, RN-71)</t>
        </is>
      </c>
      <c r="AD458" t="inlineStr">
        <is>
          <t>estimada</t>
        </is>
      </c>
      <c r="AE458" t="inlineStr">
        <is>
          <t>Participacion historica por denominacion (SUP-09)</t>
        </is>
      </c>
    </row>
    <row r="459">
      <c r="A459" t="inlineStr">
        <is>
          <t>PRAGMA</t>
        </is>
      </c>
      <c r="B459" t="inlineStr">
        <is>
          <t>IPIALES|TRANSPORTADORA_002</t>
        </is>
      </c>
      <c r="C459" t="inlineStr">
        <is>
          <t>Ipiales</t>
        </is>
      </c>
      <c r="D459" t="inlineStr">
        <is>
          <t>TRANSPORTADORA_002</t>
        </is>
      </c>
      <c r="E459" s="23" t="n">
        <v>46265</v>
      </c>
      <c r="F459" s="23" t="n">
        <v>46277</v>
      </c>
      <c r="G459" t="inlineStr">
        <is>
          <t>No</t>
        </is>
      </c>
      <c r="H459" s="25" t="n">
        <v>50000</v>
      </c>
      <c r="I459" s="26" t="n">
        <v>21968793943</v>
      </c>
      <c r="J459" s="26" t="n">
        <v>1247645060</v>
      </c>
      <c r="K459" s="26" t="n">
        <v>465976906</v>
      </c>
      <c r="L459" s="26">
        <f>J459-K459</f>
        <v>781668154</v>
      </c>
      <c r="M459" s="26">
        <f>I459+L459</f>
        <v>22750462097</v>
      </c>
      <c r="N459" s="26" t="n">
        <v>8483025000</v>
      </c>
      <c r="O459" s="26" t="n">
        <v>21968800000</v>
      </c>
      <c r="P459" s="26">
        <f>MAX(0,N459-M459)</f>
        <v>0</v>
      </c>
      <c r="Q459" s="26">
        <f>MAX(0,M459-O459)</f>
        <v>781662097</v>
      </c>
      <c r="R459" t="inlineStr">
        <is>
          <t>medio</t>
        </is>
      </c>
      <c r="S459" t="inlineStr">
        <is>
          <t>sin_accion</t>
        </is>
      </c>
      <c r="T459" t="inlineStr">
        <is>
          <t>ninguno</t>
        </is>
      </c>
      <c r="U459" s="26" t="n">
        <v>0</v>
      </c>
      <c r="X459" s="26">
        <f>IF(T459="entrada",M459+U459,IF(T459="salida",M459-U459,M459))</f>
        <v>22750462097</v>
      </c>
      <c r="Y459" s="26" t="n">
        <v>0</v>
      </c>
      <c r="Z459" t="inlineStr">
        <is>
          <t>Costo de almacenar menor que el de actuar</t>
        </is>
      </c>
      <c r="AA459" t="inlineStr">
        <is>
          <t>SUP-07, SUP-10</t>
        </is>
      </c>
      <c r="AB459" t="inlineStr">
        <is>
          <t>Excedente de $781.662.097 en la denominacion 50000: saldo $22.750.462.097 sobre el maximo $21.968.800.000. Se conserva: guardarlo hasta el fin del horizonte cuesta $31.220 (Anexo E, almacenamiento), menos que cualquier accion. Alternativas: traslado con PASTO|TRANSPORTADORA_001 ($781.700.000; costo $281.997); traslado con CALI|TRANSPORTADORA_001 ($781.700.000; costo $844.121); traslado con CALI|TRANSPORTADORA_002 ($781.700.000; costo $844.121); traslado con CALI|TRANSPORTADORA_003 ($781.700.000; costo $844.121); venta: dia no habil (sabado, domingo o festivo; RN-71A); consignacion BanRep: dia no habil (sabado, domingo o festivo; RN-71A).</t>
        </is>
      </c>
      <c r="AC459" t="inlineStr">
        <is>
          <t>Cierre del dia anterior (saldo encadenado, RN-71)</t>
        </is>
      </c>
      <c r="AD459" t="inlineStr">
        <is>
          <t>estimada</t>
        </is>
      </c>
      <c r="AE459" t="inlineStr">
        <is>
          <t>Participacion historica por denominacion (SUP-09)</t>
        </is>
      </c>
    </row>
    <row r="460">
      <c r="A460" t="inlineStr">
        <is>
          <t>PRAGMA</t>
        </is>
      </c>
      <c r="B460" t="inlineStr">
        <is>
          <t>IPIALES|TRANSPORTADORA_002</t>
        </is>
      </c>
      <c r="C460" t="inlineStr">
        <is>
          <t>Ipiales</t>
        </is>
      </c>
      <c r="D460" t="inlineStr">
        <is>
          <t>TRANSPORTADORA_002</t>
        </is>
      </c>
      <c r="E460" s="23" t="n">
        <v>46265</v>
      </c>
      <c r="F460" s="23" t="n">
        <v>46278</v>
      </c>
      <c r="G460" t="inlineStr">
        <is>
          <t>No</t>
        </is>
      </c>
      <c r="H460" s="25" t="n">
        <v>50000</v>
      </c>
      <c r="I460" s="26" t="n">
        <v>22750462097</v>
      </c>
      <c r="J460" s="26" t="n">
        <v>1097124421</v>
      </c>
      <c r="K460" s="26" t="n">
        <v>293688031</v>
      </c>
      <c r="L460" s="26">
        <f>J460-K460</f>
        <v>803436390</v>
      </c>
      <c r="M460" s="26">
        <f>I460+L460</f>
        <v>23553898487</v>
      </c>
      <c r="N460" s="26" t="n">
        <v>8483025000</v>
      </c>
      <c r="O460" s="26" t="n">
        <v>21968800000</v>
      </c>
      <c r="P460" s="26">
        <f>MAX(0,N460-M460)</f>
        <v>0</v>
      </c>
      <c r="Q460" s="26">
        <f>MAX(0,M460-O460)</f>
        <v>1585098487</v>
      </c>
      <c r="R460" t="inlineStr">
        <is>
          <t>medio</t>
        </is>
      </c>
      <c r="S460" t="inlineStr">
        <is>
          <t>sin_accion</t>
        </is>
      </c>
      <c r="T460" t="inlineStr">
        <is>
          <t>ninguno</t>
        </is>
      </c>
      <c r="U460" s="26" t="n">
        <v>0</v>
      </c>
      <c r="X460" s="26">
        <f>IF(T460="entrada",M460+U460,IF(T460="salida",M460-U460,M460))</f>
        <v>23553898487</v>
      </c>
      <c r="Y460" s="26" t="n">
        <v>0</v>
      </c>
      <c r="Z460" t="inlineStr">
        <is>
          <t>Costo de almacenar menor que el de actuar</t>
        </is>
      </c>
      <c r="AA460" t="inlineStr">
        <is>
          <t>SUP-07, SUP-10</t>
        </is>
      </c>
      <c r="AB460" t="inlineStr">
        <is>
          <t>Excedente de $1.585.098.487 en la denominacion 50000: saldo $23.553.898.487 sobre el maximo $21.968.800.000. Se conserva: guardarlo hasta el fin del horizonte cuesta $47.479 (Anexo E, almacenamiento), menos que cualquier accion. Alternativas: traslado con PASTO|TRANSPORTADORA_001 ($1.585.100.000; costo $555.153); traslado con CALI|TRANSPORTADORA_001 ($1.585.100.000; costo $1.544.686); traslado con CALI|TRANSPORTADORA_002 ($1.585.100.000; costo $1.544.686); traslado con CALI|TRANSPORTADORA_003 ($1.585.100.000; costo $1.544.686); venta: dia no habil (sabado, domingo o festivo; RN-71A); consignacion BanRep: dia no habil (sabado, domingo o festivo; RN-71A).</t>
        </is>
      </c>
      <c r="AC460" t="inlineStr">
        <is>
          <t>Cierre del dia anterior (saldo encadenado, RN-71)</t>
        </is>
      </c>
      <c r="AD460" t="inlineStr">
        <is>
          <t>estimada</t>
        </is>
      </c>
      <c r="AE460" t="inlineStr">
        <is>
          <t>Participacion historica por denominacion (SUP-09)</t>
        </is>
      </c>
    </row>
    <row r="461">
      <c r="A461" t="inlineStr">
        <is>
          <t>PRAGMA</t>
        </is>
      </c>
      <c r="B461" t="inlineStr">
        <is>
          <t>IPIALES|TRANSPORTADORA_002</t>
        </is>
      </c>
      <c r="C461" t="inlineStr">
        <is>
          <t>Ipiales</t>
        </is>
      </c>
      <c r="D461" t="inlineStr">
        <is>
          <t>TRANSPORTADORA_002</t>
        </is>
      </c>
      <c r="E461" s="23" t="n">
        <v>46265</v>
      </c>
      <c r="F461" s="23" t="n">
        <v>46279</v>
      </c>
      <c r="G461" t="inlineStr">
        <is>
          <t>Sí</t>
        </is>
      </c>
      <c r="H461" s="25" t="n">
        <v>50000</v>
      </c>
      <c r="I461" s="26" t="n">
        <v>23553898487</v>
      </c>
      <c r="J461" s="26" t="n">
        <v>11812707366</v>
      </c>
      <c r="K461" s="26" t="n">
        <v>3629731361</v>
      </c>
      <c r="L461" s="26">
        <f>J461-K461</f>
        <v>8182976005</v>
      </c>
      <c r="M461" s="26">
        <f>I461+L461</f>
        <v>31736874492</v>
      </c>
      <c r="N461" s="26" t="n">
        <v>8483025000</v>
      </c>
      <c r="O461" s="26" t="n">
        <v>21968800000</v>
      </c>
      <c r="P461" s="26">
        <f>MAX(0,N461-M461)</f>
        <v>0</v>
      </c>
      <c r="Q461" s="26">
        <f>MAX(0,M461-O461)</f>
        <v>9768074492</v>
      </c>
      <c r="R461" t="inlineStr">
        <is>
          <t>bajo</t>
        </is>
      </c>
      <c r="S461" t="inlineStr">
        <is>
          <t>venta_efectivo</t>
        </is>
      </c>
      <c r="T461" t="inlineStr">
        <is>
          <t>salida</t>
        </is>
      </c>
      <c r="U461" s="26" t="n">
        <v>9768100000</v>
      </c>
      <c r="V461" t="inlineStr">
        <is>
          <t>IPIALES|TRANSPORTADORA_002</t>
        </is>
      </c>
      <c r="X461" s="26">
        <f>IF(T461="entrada",M461+U461,IF(T461="salida",M461-U461,M461))</f>
        <v>21968774492</v>
      </c>
      <c r="Y461" s="26" t="n">
        <v>0</v>
      </c>
      <c r="Z461" t="inlineStr">
        <is>
          <t>Menor costo neto entre las alternativas que cubren la necesidad completa</t>
        </is>
      </c>
      <c r="AA461" t="inlineStr">
        <is>
          <t>SUP-08, SUP-10, SUP-23</t>
        </is>
      </c>
      <c r="AB461" t="inlineStr">
        <is>
          <t>Excedente de $9.768.074.493 en la denominacion 50000: saldo $31.736.874.493 sobre el maximo $21.968.800.000. Elegida: venta ($9.768.100.000; beneficio de referencia $3.907.240). Es preferible porque tiene el menor costo neto. Otras alternativas: conservar ($9.768.100.000; costo de almacenar $195.059); traslado con PASTO|TRANSPORTADORA_001 ($8.450.350.000; costo $2.889.338, cubre solo una parte); traslado con CALI|TRANSPORTADORA_003 ($9.768.100.000; costo $8.680.262); consignacion BanRep: no habilitada en este fondo (sin historico o fuera de las ciudades BanRep).</t>
        </is>
      </c>
      <c r="AC461" t="inlineStr">
        <is>
          <t>Cierre del dia anterior (saldo encadenado, RN-71)</t>
        </is>
      </c>
      <c r="AD461" t="inlineStr">
        <is>
          <t>estimada</t>
        </is>
      </c>
      <c r="AE461" t="inlineStr">
        <is>
          <t>Participacion historica por denominacion (SUP-09)</t>
        </is>
      </c>
    </row>
    <row r="462">
      <c r="A462" t="inlineStr">
        <is>
          <t>PRAGMA</t>
        </is>
      </c>
      <c r="B462" t="inlineStr">
        <is>
          <t>IPIALES|TRANSPORTADORA_002</t>
        </is>
      </c>
      <c r="C462" t="inlineStr">
        <is>
          <t>Ipiales</t>
        </is>
      </c>
      <c r="D462" t="inlineStr">
        <is>
          <t>TRANSPORTADORA_002</t>
        </is>
      </c>
      <c r="E462" s="23" t="n">
        <v>46265</v>
      </c>
      <c r="F462" s="23" t="n">
        <v>46280</v>
      </c>
      <c r="G462" t="inlineStr">
        <is>
          <t>Sí</t>
        </is>
      </c>
      <c r="H462" s="25" t="n">
        <v>50000</v>
      </c>
      <c r="I462" s="26" t="n">
        <v>21968774493</v>
      </c>
      <c r="J462" s="26" t="n">
        <v>10500577634</v>
      </c>
      <c r="K462" s="26" t="n">
        <v>3903926573</v>
      </c>
      <c r="L462" s="26">
        <f>J462-K462</f>
        <v>6596651061</v>
      </c>
      <c r="M462" s="26">
        <f>I462+L462</f>
        <v>28565425554</v>
      </c>
      <c r="N462" s="26" t="n">
        <v>8483025000</v>
      </c>
      <c r="O462" s="26" t="n">
        <v>21968800000</v>
      </c>
      <c r="P462" s="26">
        <f>MAX(0,N462-M462)</f>
        <v>0</v>
      </c>
      <c r="Q462" s="26">
        <f>MAX(0,M462-O462)</f>
        <v>6596625554</v>
      </c>
      <c r="R462" t="inlineStr">
        <is>
          <t>bajo</t>
        </is>
      </c>
      <c r="S462" t="inlineStr">
        <is>
          <t>venta_efectivo</t>
        </is>
      </c>
      <c r="T462" t="inlineStr">
        <is>
          <t>salida</t>
        </is>
      </c>
      <c r="U462" s="26" t="n">
        <v>6596650000</v>
      </c>
      <c r="V462" t="inlineStr">
        <is>
          <t>IPIALES|TRANSPORTADORA_002</t>
        </is>
      </c>
      <c r="X462" s="26">
        <f>IF(T462="entrada",M462+U462,IF(T462="salida",M462-U462,M462))</f>
        <v>21968775554</v>
      </c>
      <c r="Y462" s="26" t="n">
        <v>0</v>
      </c>
      <c r="Z462" t="inlineStr">
        <is>
          <t>Menor costo neto entre las alternativas que cubren la necesidad completa</t>
        </is>
      </c>
      <c r="AA462" t="inlineStr">
        <is>
          <t>SUP-08, SUP-10, SUP-23</t>
        </is>
      </c>
      <c r="AB462" t="inlineStr">
        <is>
          <t>Excedente de $6.596.625.554 en la denominacion 50000: saldo $28.565.425.554 sobre el maximo $21.968.800.000. Elegida: venta ($6.596.650.000; beneficio de referencia $2.638.660). Es preferible porque tiene el menor costo neto. Otras alternativas: conservar ($6.596.650.000; costo de almacenar $65.864); traslado con PASTO|TRANSPORTADORA_001 ($6.596.650.000; costo $2.259.080); traslado con CALI|TRANSPORTADORA_003 ($6.596.650.000; costo $5.914.758); consignacion BanRep: no habilitada en este fondo (sin historico o fuera de las ciudades BanRep).</t>
        </is>
      </c>
      <c r="AC462" t="inlineStr">
        <is>
          <t>Cierre del dia anterior (saldo encadenado, RN-71)</t>
        </is>
      </c>
      <c r="AD462" t="inlineStr">
        <is>
          <t>estimada</t>
        </is>
      </c>
      <c r="AE462" t="inlineStr">
        <is>
          <t>Participacion historica por denominacion (SUP-09)</t>
        </is>
      </c>
    </row>
    <row r="463">
      <c r="A463" t="inlineStr">
        <is>
          <t>PRAGMA</t>
        </is>
      </c>
      <c r="B463" t="inlineStr">
        <is>
          <t>IPIALES|TRANSPORTADORA_002</t>
        </is>
      </c>
      <c r="C463" t="inlineStr">
        <is>
          <t>Ipiales</t>
        </is>
      </c>
      <c r="D463" t="inlineStr">
        <is>
          <t>TRANSPORTADORA_002</t>
        </is>
      </c>
      <c r="E463" s="23" t="n">
        <v>46265</v>
      </c>
      <c r="F463" s="23" t="n">
        <v>46266</v>
      </c>
      <c r="G463" t="inlineStr">
        <is>
          <t>Sí</t>
        </is>
      </c>
      <c r="H463" s="25" t="n">
        <v>100000</v>
      </c>
      <c r="I463" s="26" t="n">
        <v>8300600000</v>
      </c>
      <c r="J463" s="26" t="n">
        <v>6114982514</v>
      </c>
      <c r="K463" s="26" t="n">
        <v>2420568985</v>
      </c>
      <c r="L463" s="26">
        <f>J463-K463</f>
        <v>3694413529</v>
      </c>
      <c r="M463" s="26">
        <f>I463+L463</f>
        <v>11995013529</v>
      </c>
      <c r="N463" s="26" t="n">
        <v>4613800000</v>
      </c>
      <c r="O463" s="26" t="n">
        <v>12915000000</v>
      </c>
      <c r="P463" s="26">
        <f>MAX(0,N463-M463)</f>
        <v>0</v>
      </c>
      <c r="Q463" s="26">
        <f>MAX(0,M463-O463)</f>
        <v>0</v>
      </c>
      <c r="R463" t="inlineStr">
        <is>
          <t>bajo</t>
        </is>
      </c>
      <c r="S463" t="inlineStr">
        <is>
          <t>sin_accion</t>
        </is>
      </c>
      <c r="T463" t="inlineStr">
        <is>
          <t>ninguno</t>
        </is>
      </c>
      <c r="U463" s="26" t="n">
        <v>0</v>
      </c>
      <c r="X463" s="26">
        <f>IF(T463="entrada",M463+U463,IF(T463="salida",M463-U463,M463))</f>
        <v>11995013529</v>
      </c>
      <c r="Y463" s="26" t="n">
        <v>0</v>
      </c>
      <c r="Z463" t="inlineStr">
        <is>
          <t>RN-85: dentro de niveles objetivo (sin_accion)</t>
        </is>
      </c>
      <c r="AA463" t="inlineStr">
        <is>
          <t>SUP-07, SUP-10</t>
        </is>
      </c>
      <c r="AB463" t="inlineStr">
        <is>
          <t>Saldo dentro del rango objetivo; sin accion.</t>
        </is>
      </c>
      <c r="AC463" t="inlineStr">
        <is>
          <t>Ultimo disponible al 31/08/2026 (SUP-07)</t>
        </is>
      </c>
      <c r="AD463" t="inlineStr">
        <is>
          <t>estimada</t>
        </is>
      </c>
      <c r="AE463" t="inlineStr">
        <is>
          <t>Participacion historica por denominacion (SUP-09)</t>
        </is>
      </c>
    </row>
    <row r="464">
      <c r="A464" t="inlineStr">
        <is>
          <t>PRAGMA</t>
        </is>
      </c>
      <c r="B464" t="inlineStr">
        <is>
          <t>IPIALES|TRANSPORTADORA_002</t>
        </is>
      </c>
      <c r="C464" t="inlineStr">
        <is>
          <t>Ipiales</t>
        </is>
      </c>
      <c r="D464" t="inlineStr">
        <is>
          <t>TRANSPORTADORA_002</t>
        </is>
      </c>
      <c r="E464" s="23" t="n">
        <v>46265</v>
      </c>
      <c r="F464" s="23" t="n">
        <v>46267</v>
      </c>
      <c r="G464" t="inlineStr">
        <is>
          <t>Sí</t>
        </is>
      </c>
      <c r="H464" s="25" t="n">
        <v>100000</v>
      </c>
      <c r="I464" s="26" t="n">
        <v>11995013528</v>
      </c>
      <c r="J464" s="26" t="n">
        <v>6429130076</v>
      </c>
      <c r="K464" s="26" t="n">
        <v>2291496379</v>
      </c>
      <c r="L464" s="26">
        <f>J464-K464</f>
        <v>4137633697</v>
      </c>
      <c r="M464" s="26">
        <f>I464+L464</f>
        <v>16132647225</v>
      </c>
      <c r="N464" s="26" t="n">
        <v>4613800000</v>
      </c>
      <c r="O464" s="26" t="n">
        <v>12915000000</v>
      </c>
      <c r="P464" s="26">
        <f>MAX(0,N464-M464)</f>
        <v>0</v>
      </c>
      <c r="Q464" s="26">
        <f>MAX(0,M464-O464)</f>
        <v>3217647225</v>
      </c>
      <c r="R464" t="inlineStr">
        <is>
          <t>bajo</t>
        </is>
      </c>
      <c r="S464" t="inlineStr">
        <is>
          <t>venta_efectivo</t>
        </is>
      </c>
      <c r="T464" t="inlineStr">
        <is>
          <t>salida</t>
        </is>
      </c>
      <c r="U464" s="26" t="n">
        <v>3217700000</v>
      </c>
      <c r="V464" t="inlineStr">
        <is>
          <t>IPIALES|TRANSPORTADORA_002</t>
        </is>
      </c>
      <c r="X464" s="26">
        <f>IF(T464="entrada",M464+U464,IF(T464="salida",M464-U464,M464))</f>
        <v>12914947225</v>
      </c>
      <c r="Y464" s="26" t="n">
        <v>0</v>
      </c>
      <c r="Z464" t="inlineStr">
        <is>
          <t>Menor costo neto entre las alternativas que cubren la necesidad completa</t>
        </is>
      </c>
      <c r="AA464" t="inlineStr">
        <is>
          <t>SUP-08, SUP-10, SUP-23</t>
        </is>
      </c>
      <c r="AB464" t="inlineStr">
        <is>
          <t>Excedente de $3.217.647.226 en la denominacion 100000: saldo $16.132.647.226 sobre el maximo $12.915.000.000. Elegida: venta ($3.217.700.000; beneficio de referencia $1.287.080). Es preferible porque tiene el menor costo neto. Otras alternativas: conservar ($3.217.700.000; costo de almacenar $449.780); traslado con CALI|TRANSPORTADORA_004 ($495.100.000; costo $594.206, cubre solo una parte); traslado con PASTO|TRANSPORTADORA_001 ($3.217.700.000; costo $1.110.237); traslado con CALI|TRANSPORTADORA_001 ($3.217.700.000; costo $2.968.313); traslado con CALI|TRANSPORTADORA_002 ($3.217.700.000; costo $2.968.313); traslado con CALI|TRANSPORTADORA_003 ($3.217.700.000; costo $2.968.313); consignacion BanRep: no habilitada en este fondo (sin historico o fuera de las ciudades BanRep).</t>
        </is>
      </c>
      <c r="AC464" t="inlineStr">
        <is>
          <t>Cierre del dia anterior (saldo encadenado, RN-71)</t>
        </is>
      </c>
      <c r="AD464" t="inlineStr">
        <is>
          <t>estimada</t>
        </is>
      </c>
      <c r="AE464" t="inlineStr">
        <is>
          <t>Participacion historica por denominacion (SUP-09)</t>
        </is>
      </c>
    </row>
    <row r="465">
      <c r="A465" t="inlineStr">
        <is>
          <t>PRAGMA</t>
        </is>
      </c>
      <c r="B465" t="inlineStr">
        <is>
          <t>IPIALES|TRANSPORTADORA_002</t>
        </is>
      </c>
      <c r="C465" t="inlineStr">
        <is>
          <t>Ipiales</t>
        </is>
      </c>
      <c r="D465" t="inlineStr">
        <is>
          <t>TRANSPORTADORA_002</t>
        </is>
      </c>
      <c r="E465" s="23" t="n">
        <v>46265</v>
      </c>
      <c r="F465" s="23" t="n">
        <v>46268</v>
      </c>
      <c r="G465" t="inlineStr">
        <is>
          <t>Sí</t>
        </is>
      </c>
      <c r="H465" s="25" t="n">
        <v>100000</v>
      </c>
      <c r="I465" s="26" t="n">
        <v>12914947226</v>
      </c>
      <c r="J465" s="26" t="n">
        <v>6364775001</v>
      </c>
      <c r="K465" s="26" t="n">
        <v>1655852452</v>
      </c>
      <c r="L465" s="26">
        <f>J465-K465</f>
        <v>4708922549</v>
      </c>
      <c r="M465" s="26">
        <f>I465+L465</f>
        <v>17623869775</v>
      </c>
      <c r="N465" s="26" t="n">
        <v>4613800000</v>
      </c>
      <c r="O465" s="26" t="n">
        <v>12915000000</v>
      </c>
      <c r="P465" s="26">
        <f>MAX(0,N465-M465)</f>
        <v>0</v>
      </c>
      <c r="Q465" s="26">
        <f>MAX(0,M465-O465)</f>
        <v>4708869775</v>
      </c>
      <c r="R465" t="inlineStr">
        <is>
          <t>bajo</t>
        </is>
      </c>
      <c r="S465" t="inlineStr">
        <is>
          <t>venta_efectivo</t>
        </is>
      </c>
      <c r="T465" t="inlineStr">
        <is>
          <t>salida</t>
        </is>
      </c>
      <c r="U465" s="26" t="n">
        <v>4708900000</v>
      </c>
      <c r="V465" t="inlineStr">
        <is>
          <t>IPIALES|TRANSPORTADORA_002</t>
        </is>
      </c>
      <c r="X465" s="26">
        <f>IF(T465="entrada",M465+U465,IF(T465="salida",M465-U465,M465))</f>
        <v>12914969775</v>
      </c>
      <c r="Y465" s="26" t="n">
        <v>0</v>
      </c>
      <c r="Z465" t="inlineStr">
        <is>
          <t>Menor costo neto entre las alternativas que cubren la necesidad completa</t>
        </is>
      </c>
      <c r="AA465" t="inlineStr">
        <is>
          <t>SUP-08, SUP-10, SUP-23</t>
        </is>
      </c>
      <c r="AB465" t="inlineStr">
        <is>
          <t>Excedente de $4.708.869.775 en la denominacion 100000: saldo $17.623.869.775 sobre el maximo $12.915.000.000. Elegida: venta ($4.708.900.000; beneficio de referencia $1.883.560). Es preferible porque tiene el menor costo neto. Otras alternativas: traslado con CALI|TRANSPORTADORA_004 ($438.000.000; costo $544.415, cubre solo una parte); conservar ($4.708.900.000; costo de almacenar $611.208); traslado con PASTO|TRANSPORTADORA_001 ($4.708.900.000; costo $1.617.245); traslado con CALI|TRANSPORTADORA_003 ($4.036.100.000; costo $3.681.958, cubre solo una parte); traslado con CALI|TRANSPORTADORA_001 ($4.708.900.000; costo $4.268.640); consignacion BanRep: no habilitada en este fondo (sin historico o fuera de las ciudades BanRep).</t>
        </is>
      </c>
      <c r="AC465" t="inlineStr">
        <is>
          <t>Cierre del dia anterior (saldo encadenado, RN-71)</t>
        </is>
      </c>
      <c r="AD465" t="inlineStr">
        <is>
          <t>estimada</t>
        </is>
      </c>
      <c r="AE465" t="inlineStr">
        <is>
          <t>Participacion historica por denominacion (SUP-09)</t>
        </is>
      </c>
    </row>
    <row r="466">
      <c r="A466" t="inlineStr">
        <is>
          <t>PRAGMA</t>
        </is>
      </c>
      <c r="B466" t="inlineStr">
        <is>
          <t>IPIALES|TRANSPORTADORA_002</t>
        </is>
      </c>
      <c r="C466" t="inlineStr">
        <is>
          <t>Ipiales</t>
        </is>
      </c>
      <c r="D466" t="inlineStr">
        <is>
          <t>TRANSPORTADORA_002</t>
        </is>
      </c>
      <c r="E466" s="23" t="n">
        <v>46265</v>
      </c>
      <c r="F466" s="23" t="n">
        <v>46269</v>
      </c>
      <c r="G466" t="inlineStr">
        <is>
          <t>Sí</t>
        </is>
      </c>
      <c r="H466" s="25" t="n">
        <v>100000</v>
      </c>
      <c r="I466" s="26" t="n">
        <v>12914969775</v>
      </c>
      <c r="J466" s="26" t="n">
        <v>6903250038</v>
      </c>
      <c r="K466" s="26" t="n">
        <v>2451105393</v>
      </c>
      <c r="L466" s="26">
        <f>J466-K466</f>
        <v>4452144645</v>
      </c>
      <c r="M466" s="26">
        <f>I466+L466</f>
        <v>17367114420</v>
      </c>
      <c r="N466" s="26" t="n">
        <v>4613800000</v>
      </c>
      <c r="O466" s="26" t="n">
        <v>12915000000</v>
      </c>
      <c r="P466" s="26">
        <f>MAX(0,N466-M466)</f>
        <v>0</v>
      </c>
      <c r="Q466" s="26">
        <f>MAX(0,M466-O466)</f>
        <v>4452114420</v>
      </c>
      <c r="R466" t="inlineStr">
        <is>
          <t>bajo</t>
        </is>
      </c>
      <c r="S466" t="inlineStr">
        <is>
          <t>venta_efectivo</t>
        </is>
      </c>
      <c r="T466" t="inlineStr">
        <is>
          <t>salida</t>
        </is>
      </c>
      <c r="U466" s="26" t="n">
        <v>4452200000</v>
      </c>
      <c r="V466" t="inlineStr">
        <is>
          <t>IPIALES|TRANSPORTADORA_002</t>
        </is>
      </c>
      <c r="X466" s="26">
        <f>IF(T466="entrada",M466+U466,IF(T466="salida",M466-U466,M466))</f>
        <v>12914914420</v>
      </c>
      <c r="Y466" s="26" t="n">
        <v>0</v>
      </c>
      <c r="Z466" t="inlineStr">
        <is>
          <t>Menor costo neto entre las alternativas que cubren la necesidad completa</t>
        </is>
      </c>
      <c r="AA466" t="inlineStr">
        <is>
          <t>SUP-08, SUP-10, SUP-23</t>
        </is>
      </c>
      <c r="AB466" t="inlineStr">
        <is>
          <t>Excedente de $4.452.114.420 en la denominacion 100000: saldo $17.367.114.420 sobre el maximo $12.915.000.000. Elegida: venta ($4.452.200.000; beneficio de referencia $1.780.880). Es preferible porque tiene el menor costo neto. Otras alternativas: traslado con CALI|TRANSPORTADORA_004 ($369.100.000; costo $484.334, cubre solo una parte); conservar ($4.452.200.000; costo de almacenar $533.436); traslado con PASTO|TRANSPORTADORA_001 ($4.452.200.000; costo $1.529.967); traslado con CALI|TRANSPORTADORA_001 ($3.136.500.000; costo $2.897.507, cubre solo una parte); traslado con CALI|TRANSPORTADORA_003 ($4.452.200.000; costo $4.044.797); consignacion BanRep: no habilitada en este fondo (sin historico o fuera de las ciudades BanRep).</t>
        </is>
      </c>
      <c r="AC466" t="inlineStr">
        <is>
          <t>Cierre del dia anterior (saldo encadenado, RN-71)</t>
        </is>
      </c>
      <c r="AD466" t="inlineStr">
        <is>
          <t>estimada</t>
        </is>
      </c>
      <c r="AE466" t="inlineStr">
        <is>
          <t>Participacion historica por denominacion (SUP-09)</t>
        </is>
      </c>
    </row>
    <row r="467">
      <c r="A467" t="inlineStr">
        <is>
          <t>PRAGMA</t>
        </is>
      </c>
      <c r="B467" t="inlineStr">
        <is>
          <t>IPIALES|TRANSPORTADORA_002</t>
        </is>
      </c>
      <c r="C467" t="inlineStr">
        <is>
          <t>Ipiales</t>
        </is>
      </c>
      <c r="D467" t="inlineStr">
        <is>
          <t>TRANSPORTADORA_002</t>
        </is>
      </c>
      <c r="E467" s="23" t="n">
        <v>46265</v>
      </c>
      <c r="F467" s="23" t="n">
        <v>46270</v>
      </c>
      <c r="G467" t="inlineStr">
        <is>
          <t>No</t>
        </is>
      </c>
      <c r="H467" s="25" t="n">
        <v>100000</v>
      </c>
      <c r="I467" s="26" t="n">
        <v>12914914420</v>
      </c>
      <c r="J467" s="26" t="n">
        <v>807290583</v>
      </c>
      <c r="K467" s="26" t="n">
        <v>324999586</v>
      </c>
      <c r="L467" s="26">
        <f>J467-K467</f>
        <v>482290997</v>
      </c>
      <c r="M467" s="26">
        <f>I467+L467</f>
        <v>13397205417</v>
      </c>
      <c r="N467" s="26" t="n">
        <v>4613800000</v>
      </c>
      <c r="O467" s="26" t="n">
        <v>12915000000</v>
      </c>
      <c r="P467" s="26">
        <f>MAX(0,N467-M467)</f>
        <v>0</v>
      </c>
      <c r="Q467" s="26">
        <f>MAX(0,M467-O467)</f>
        <v>482205417</v>
      </c>
      <c r="R467" t="inlineStr">
        <is>
          <t>medio</t>
        </is>
      </c>
      <c r="S467" t="inlineStr">
        <is>
          <t>sin_accion</t>
        </is>
      </c>
      <c r="T467" t="inlineStr">
        <is>
          <t>ninguno</t>
        </is>
      </c>
      <c r="U467" s="26" t="n">
        <v>0</v>
      </c>
      <c r="X467" s="26">
        <f>IF(T467="entrada",M467+U467,IF(T467="salida",M467-U467,M467))</f>
        <v>13397205417</v>
      </c>
      <c r="Y467" s="26" t="n">
        <v>0</v>
      </c>
      <c r="Z467" t="inlineStr">
        <is>
          <t>Costo de almacenar menor que el de actuar</t>
        </is>
      </c>
      <c r="AA467" t="inlineStr">
        <is>
          <t>SUP-07, SUP-10</t>
        </is>
      </c>
      <c r="AB467" t="inlineStr">
        <is>
          <t>Excedente de $482.205.417 en la denominacion 100000: saldo $13.397.205.417 sobre el maximo $12.915.000.000. Se conserva: guardarlo hasta el fin del horizonte cuesta $52.971 (Anexo E, almacenamiento), menos que cualquier accion. Alternativas: traslado con PASTO|TRANSPORTADORA_001 ($482.300.000; costo $180.201); traslado con CALI|TRANSPORTADORA_004 ($354.600.000; costo $471.690, cubre solo una parte); traslado con CALI|TRANSPORTADORA_001 ($482.300.000; costo $583.045); traslado con CALI|TRANSPORTADORA_002 ($482.300.000; costo $583.045); traslado con CALI|TRANSPORTADORA_003 ($482.300.000; costo $583.045); venta: dia no habil (sabado, domingo o festivo; RN-71A); consignacion BanRep: dia no habil (sabado, domingo o festivo; RN-71A).</t>
        </is>
      </c>
      <c r="AC467" t="inlineStr">
        <is>
          <t>Cierre del dia anterior (saldo encadenado, RN-71)</t>
        </is>
      </c>
      <c r="AD467" t="inlineStr">
        <is>
          <t>estimada</t>
        </is>
      </c>
      <c r="AE467" t="inlineStr">
        <is>
          <t>Participacion historica por denominacion (SUP-09)</t>
        </is>
      </c>
    </row>
    <row r="468">
      <c r="A468" t="inlineStr">
        <is>
          <t>PRAGMA</t>
        </is>
      </c>
      <c r="B468" t="inlineStr">
        <is>
          <t>IPIALES|TRANSPORTADORA_002</t>
        </is>
      </c>
      <c r="C468" t="inlineStr">
        <is>
          <t>Ipiales</t>
        </is>
      </c>
      <c r="D468" t="inlineStr">
        <is>
          <t>TRANSPORTADORA_002</t>
        </is>
      </c>
      <c r="E468" s="23" t="n">
        <v>46265</v>
      </c>
      <c r="F468" s="23" t="n">
        <v>46271</v>
      </c>
      <c r="G468" t="inlineStr">
        <is>
          <t>No</t>
        </is>
      </c>
      <c r="H468" s="25" t="n">
        <v>100000</v>
      </c>
      <c r="I468" s="26" t="n">
        <v>13397205417</v>
      </c>
      <c r="J468" s="26" t="n">
        <v>924959833</v>
      </c>
      <c r="K468" s="26" t="n">
        <v>210545912</v>
      </c>
      <c r="L468" s="26">
        <f>J468-K468</f>
        <v>714413921</v>
      </c>
      <c r="M468" s="26">
        <f>I468+L468</f>
        <v>14111619338</v>
      </c>
      <c r="N468" s="26" t="n">
        <v>4613800000</v>
      </c>
      <c r="O468" s="26" t="n">
        <v>12915000000</v>
      </c>
      <c r="P468" s="26">
        <f>MAX(0,N468-M468)</f>
        <v>0</v>
      </c>
      <c r="Q468" s="26">
        <f>MAX(0,M468-O468)</f>
        <v>1196619338</v>
      </c>
      <c r="R468" t="inlineStr">
        <is>
          <t>medio</t>
        </is>
      </c>
      <c r="S468" t="inlineStr">
        <is>
          <t>sin_accion</t>
        </is>
      </c>
      <c r="T468" t="inlineStr">
        <is>
          <t>ninguno</t>
        </is>
      </c>
      <c r="U468" s="26" t="n">
        <v>0</v>
      </c>
      <c r="X468" s="26">
        <f>IF(T468="entrada",M468+U468,IF(T468="salida",M468-U468,M468))</f>
        <v>14111619338</v>
      </c>
      <c r="Y468" s="26" t="n">
        <v>0</v>
      </c>
      <c r="Z468" t="inlineStr">
        <is>
          <t>Costo de almacenar menor que el de actuar</t>
        </is>
      </c>
      <c r="AA468" t="inlineStr">
        <is>
          <t>SUP-07, SUP-10</t>
        </is>
      </c>
      <c r="AB468" t="inlineStr">
        <is>
          <t>Excedente de $1.196.619.337 en la denominacion 100000: saldo $14.111.619.337 sobre el maximo $12.915.000.000. Se conserva: guardarlo hasta el fin del horizonte cuesta $119.485 (Anexo E, almacenamiento), menos que cualquier accion. Alternativas: traslado con PASTO|TRANSPORTADORA_001 ($1.196.700.000; costo $423.097); traslado con CALI|TRANSPORTADORA_004 ($332.300.000; costo $452.245, cubre solo una parte); traslado con CALI|TRANSPORTADORA_001 ($1.196.700.000; costo $1.206.001); traslado con CALI|TRANSPORTADORA_002 ($1.196.700.000; costo $1.206.001); traslado con CALI|TRANSPORTADORA_003 ($1.196.700.000; costo $1.206.001); venta: dia no habil (sabado, domingo o festivo; RN-71A); consignacion BanRep: dia no habil (sabado, domingo o festivo; RN-71A).</t>
        </is>
      </c>
      <c r="AC468" t="inlineStr">
        <is>
          <t>Cierre del dia anterior (saldo encadenado, RN-71)</t>
        </is>
      </c>
      <c r="AD468" t="inlineStr">
        <is>
          <t>estimada</t>
        </is>
      </c>
      <c r="AE468" t="inlineStr">
        <is>
          <t>Participacion historica por denominacion (SUP-09)</t>
        </is>
      </c>
    </row>
    <row r="469">
      <c r="A469" t="inlineStr">
        <is>
          <t>PRAGMA</t>
        </is>
      </c>
      <c r="B469" t="inlineStr">
        <is>
          <t>IPIALES|TRANSPORTADORA_002</t>
        </is>
      </c>
      <c r="C469" t="inlineStr">
        <is>
          <t>Ipiales</t>
        </is>
      </c>
      <c r="D469" t="inlineStr">
        <is>
          <t>TRANSPORTADORA_002</t>
        </is>
      </c>
      <c r="E469" s="23" t="n">
        <v>46265</v>
      </c>
      <c r="F469" s="23" t="n">
        <v>46272</v>
      </c>
      <c r="G469" t="inlineStr">
        <is>
          <t>Sí</t>
        </is>
      </c>
      <c r="H469" s="25" t="n">
        <v>100000</v>
      </c>
      <c r="I469" s="26" t="n">
        <v>14111619337</v>
      </c>
      <c r="J469" s="26" t="n">
        <v>6655670862</v>
      </c>
      <c r="K469" s="26" t="n">
        <v>2084334274</v>
      </c>
      <c r="L469" s="26">
        <f>J469-K469</f>
        <v>4571336588</v>
      </c>
      <c r="M469" s="26">
        <f>I469+L469</f>
        <v>18682955925</v>
      </c>
      <c r="N469" s="26" t="n">
        <v>4613800000</v>
      </c>
      <c r="O469" s="26" t="n">
        <v>12915000000</v>
      </c>
      <c r="P469" s="26">
        <f>MAX(0,N469-M469)</f>
        <v>0</v>
      </c>
      <c r="Q469" s="26">
        <f>MAX(0,M469-O469)</f>
        <v>5767955925</v>
      </c>
      <c r="R469" t="inlineStr">
        <is>
          <t>bajo</t>
        </is>
      </c>
      <c r="S469" t="inlineStr">
        <is>
          <t>venta_efectivo</t>
        </is>
      </c>
      <c r="T469" t="inlineStr">
        <is>
          <t>salida</t>
        </is>
      </c>
      <c r="U469" s="26" t="n">
        <v>5768000000</v>
      </c>
      <c r="V469" t="inlineStr">
        <is>
          <t>IPIALES|TRANSPORTADORA_002</t>
        </is>
      </c>
      <c r="X469" s="26">
        <f>IF(T469="entrada",M469+U469,IF(T469="salida",M469-U469,M469))</f>
        <v>12914955925</v>
      </c>
      <c r="Y469" s="26" t="n">
        <v>0</v>
      </c>
      <c r="Z469" t="inlineStr">
        <is>
          <t>Menor costo neto entre las alternativas que cubren la necesidad completa</t>
        </is>
      </c>
      <c r="AA469" t="inlineStr">
        <is>
          <t>SUP-08, SUP-10, SUP-23</t>
        </is>
      </c>
      <c r="AB469" t="inlineStr">
        <is>
          <t>Excedente de $5.767.955.925 en la denominacion 100000: saldo $18.682.955.925 sobre el maximo $12.915.000.000. Elegida: venta ($5.768.000.000; beneficio de referencia $2.307.200). Es preferible porque tiene el menor costo neto. Otras alternativas: traslado con CALI|TRANSPORTADORA_004 ($240.300.000; costo $372.021, cubre solo una parte); conservar ($5.768.000.000; costo de almacenar $518.315); traslado con CALI|TRANSPORTADORA_001 ($429.700.000; costo $537.177, cubre solo una parte); traslado con PASTO|TRANSPORTADORA_001 ($5.768.000.000; costo $1.977.339); traslado con CALI|TRANSPORTADORA_003 ($5.768.000.000; costo $5.192.175); consignacion BanRep: no habilitada en este fondo (sin historico o fuera de las ciudades BanRep).</t>
        </is>
      </c>
      <c r="AC469" t="inlineStr">
        <is>
          <t>Cierre del dia anterior (saldo encadenado, RN-71)</t>
        </is>
      </c>
      <c r="AD469" t="inlineStr">
        <is>
          <t>estimada</t>
        </is>
      </c>
      <c r="AE469" t="inlineStr">
        <is>
          <t>Participacion historica por denominacion (SUP-09)</t>
        </is>
      </c>
    </row>
    <row r="470">
      <c r="A470" t="inlineStr">
        <is>
          <t>PRAGMA</t>
        </is>
      </c>
      <c r="B470" t="inlineStr">
        <is>
          <t>IPIALES|TRANSPORTADORA_002</t>
        </is>
      </c>
      <c r="C470" t="inlineStr">
        <is>
          <t>Ipiales</t>
        </is>
      </c>
      <c r="D470" t="inlineStr">
        <is>
          <t>TRANSPORTADORA_002</t>
        </is>
      </c>
      <c r="E470" s="23" t="n">
        <v>46265</v>
      </c>
      <c r="F470" s="23" t="n">
        <v>46273</v>
      </c>
      <c r="G470" t="inlineStr">
        <is>
          <t>Sí</t>
        </is>
      </c>
      <c r="H470" s="25" t="n">
        <v>100000</v>
      </c>
      <c r="I470" s="26" t="n">
        <v>12914955925</v>
      </c>
      <c r="J470" s="26" t="n">
        <v>5769259741</v>
      </c>
      <c r="K470" s="26" t="n">
        <v>2132685119</v>
      </c>
      <c r="L470" s="26">
        <f>J470-K470</f>
        <v>3636574622</v>
      </c>
      <c r="M470" s="26">
        <f>I470+L470</f>
        <v>16551530547</v>
      </c>
      <c r="N470" s="26" t="n">
        <v>4613800000</v>
      </c>
      <c r="O470" s="26" t="n">
        <v>12915000000</v>
      </c>
      <c r="P470" s="26">
        <f>MAX(0,N470-M470)</f>
        <v>0</v>
      </c>
      <c r="Q470" s="26">
        <f>MAX(0,M470-O470)</f>
        <v>3636530547</v>
      </c>
      <c r="R470" t="inlineStr">
        <is>
          <t>bajo</t>
        </is>
      </c>
      <c r="S470" t="inlineStr">
        <is>
          <t>venta_efectivo</t>
        </is>
      </c>
      <c r="T470" t="inlineStr">
        <is>
          <t>salida</t>
        </is>
      </c>
      <c r="U470" s="26" t="n">
        <v>3636600000</v>
      </c>
      <c r="V470" t="inlineStr">
        <is>
          <t>IPIALES|TRANSPORTADORA_002</t>
        </is>
      </c>
      <c r="X470" s="26">
        <f>IF(T470="entrada",M470+U470,IF(T470="salida",M470-U470,M470))</f>
        <v>12914930547</v>
      </c>
      <c r="Y470" s="26" t="n">
        <v>0</v>
      </c>
      <c r="Z470" t="inlineStr">
        <is>
          <t>Menor costo neto entre las alternativas que cubren la necesidad completa</t>
        </is>
      </c>
      <c r="AA470" t="inlineStr">
        <is>
          <t>SUP-08, SUP-10, SUP-23</t>
        </is>
      </c>
      <c r="AB470" t="inlineStr">
        <is>
          <t>Excedente de $3.636.530.546 en la denominacion 100000: saldo $16.551.530.546 sobre el maximo $12.915.000.000. Elegida: venta ($3.636.600.000; beneficio de referencia $1.454.640). Es preferible porque tiene el menor costo neto. Otras alternativas: conservar ($3.636.600.000; costo de almacenar $290.477); traslado con CALI|TRANSPORTADORA_004 ($182.800.000; costo $321.881, cubre solo una parte); traslado con PASTO|TRANSPORTADORA_001 ($3.636.600.000; costo $1.252.663); traslado con CALI|TRANSPORTADORA_003 ($3.636.600.000; costo $3.333.594); consignacion BanRep: no habilitada en este fondo (sin historico o fuera de las ciudades BanRep).</t>
        </is>
      </c>
      <c r="AC470" t="inlineStr">
        <is>
          <t>Cierre del dia anterior (saldo encadenado, RN-71)</t>
        </is>
      </c>
      <c r="AD470" t="inlineStr">
        <is>
          <t>estimada</t>
        </is>
      </c>
      <c r="AE470" t="inlineStr">
        <is>
          <t>Participacion historica por denominacion (SUP-09)</t>
        </is>
      </c>
    </row>
    <row r="471">
      <c r="A471" t="inlineStr">
        <is>
          <t>PRAGMA</t>
        </is>
      </c>
      <c r="B471" t="inlineStr">
        <is>
          <t>IPIALES|TRANSPORTADORA_002</t>
        </is>
      </c>
      <c r="C471" t="inlineStr">
        <is>
          <t>Ipiales</t>
        </is>
      </c>
      <c r="D471" t="inlineStr">
        <is>
          <t>TRANSPORTADORA_002</t>
        </is>
      </c>
      <c r="E471" s="23" t="n">
        <v>46265</v>
      </c>
      <c r="F471" s="23" t="n">
        <v>46274</v>
      </c>
      <c r="G471" t="inlineStr">
        <is>
          <t>Sí</t>
        </is>
      </c>
      <c r="H471" s="25" t="n">
        <v>100000</v>
      </c>
      <c r="I471" s="26" t="n">
        <v>12914930546</v>
      </c>
      <c r="J471" s="26" t="n">
        <v>5691683768</v>
      </c>
      <c r="K471" s="26" t="n">
        <v>2113915040</v>
      </c>
      <c r="L471" s="26">
        <f>J471-K471</f>
        <v>3577768728</v>
      </c>
      <c r="M471" s="26">
        <f>I471+L471</f>
        <v>16492699274</v>
      </c>
      <c r="N471" s="26" t="n">
        <v>4613800000</v>
      </c>
      <c r="O471" s="26" t="n">
        <v>12915000000</v>
      </c>
      <c r="P471" s="26">
        <f>MAX(0,N471-M471)</f>
        <v>0</v>
      </c>
      <c r="Q471" s="26">
        <f>MAX(0,M471-O471)</f>
        <v>3577699274</v>
      </c>
      <c r="R471" t="inlineStr">
        <is>
          <t>bajo</t>
        </is>
      </c>
      <c r="S471" t="inlineStr">
        <is>
          <t>venta_efectivo</t>
        </is>
      </c>
      <c r="T471" t="inlineStr">
        <is>
          <t>salida</t>
        </is>
      </c>
      <c r="U471" s="26" t="n">
        <v>3577700000</v>
      </c>
      <c r="V471" t="inlineStr">
        <is>
          <t>IPIALES|TRANSPORTADORA_002</t>
        </is>
      </c>
      <c r="X471" s="26">
        <f>IF(T471="entrada",M471+U471,IF(T471="salida",M471-U471,M471))</f>
        <v>12914999274</v>
      </c>
      <c r="Y471" s="26" t="n">
        <v>0</v>
      </c>
      <c r="Z471" t="inlineStr">
        <is>
          <t>Menor costo neto entre las alternativas que cubren la necesidad completa</t>
        </is>
      </c>
      <c r="AA471" t="inlineStr">
        <is>
          <t>SUP-08, SUP-10, SUP-23</t>
        </is>
      </c>
      <c r="AB471" t="inlineStr">
        <is>
          <t>Excedente de $3.577.699.274 en la denominacion 100000: saldo $16.492.699.274 sobre el maximo $12.915.000.000. Elegida: venta ($3.577.700.000; beneficio de referencia $1.431.080). Es preferible porque tiene el menor costo neto. Otras alternativas: conservar ($3.577.700.000; costo de almacenar $250.051); traslado con CALI|TRANSPORTADORA_004 ($128.700.000; costo $274.705, cubre solo una parte); traslado con PASTO|TRANSPORTADORA_001 ($3.577.700.000; costo $1.232.637); traslado con CALI|TRANSPORTADORA_003 ($3.577.700.000; costo $3.282.233); consignacion BanRep: no habilitada en este fondo (sin historico o fuera de las ciudades BanRep).</t>
        </is>
      </c>
      <c r="AC471" t="inlineStr">
        <is>
          <t>Cierre del dia anterior (saldo encadenado, RN-71)</t>
        </is>
      </c>
      <c r="AD471" t="inlineStr">
        <is>
          <t>estimada</t>
        </is>
      </c>
      <c r="AE471" t="inlineStr">
        <is>
          <t>Participacion historica por denominacion (SUP-09)</t>
        </is>
      </c>
    </row>
    <row r="472">
      <c r="A472" t="inlineStr">
        <is>
          <t>PRAGMA</t>
        </is>
      </c>
      <c r="B472" t="inlineStr">
        <is>
          <t>IPIALES|TRANSPORTADORA_002</t>
        </is>
      </c>
      <c r="C472" t="inlineStr">
        <is>
          <t>Ipiales</t>
        </is>
      </c>
      <c r="D472" t="inlineStr">
        <is>
          <t>TRANSPORTADORA_002</t>
        </is>
      </c>
      <c r="E472" s="23" t="n">
        <v>46265</v>
      </c>
      <c r="F472" s="23" t="n">
        <v>46275</v>
      </c>
      <c r="G472" t="inlineStr">
        <is>
          <t>Sí</t>
        </is>
      </c>
      <c r="H472" s="25" t="n">
        <v>100000</v>
      </c>
      <c r="I472" s="26" t="n">
        <v>12914999274</v>
      </c>
      <c r="J472" s="26" t="n">
        <v>5070564664</v>
      </c>
      <c r="K472" s="26" t="n">
        <v>1978306232</v>
      </c>
      <c r="L472" s="26">
        <f>J472-K472</f>
        <v>3092258432</v>
      </c>
      <c r="M472" s="26">
        <f>I472+L472</f>
        <v>16007257706</v>
      </c>
      <c r="N472" s="26" t="n">
        <v>4613800000</v>
      </c>
      <c r="O472" s="26" t="n">
        <v>12915000000</v>
      </c>
      <c r="P472" s="26">
        <f>MAX(0,N472-M472)</f>
        <v>0</v>
      </c>
      <c r="Q472" s="26">
        <f>MAX(0,M472-O472)</f>
        <v>3092257706</v>
      </c>
      <c r="R472" t="inlineStr">
        <is>
          <t>bajo</t>
        </is>
      </c>
      <c r="S472" t="inlineStr">
        <is>
          <t>venta_efectivo</t>
        </is>
      </c>
      <c r="T472" t="inlineStr">
        <is>
          <t>salida</t>
        </is>
      </c>
      <c r="U472" s="26" t="n">
        <v>3092300000</v>
      </c>
      <c r="V472" t="inlineStr">
        <is>
          <t>IPIALES|TRANSPORTADORA_002</t>
        </is>
      </c>
      <c r="X472" s="26">
        <f>IF(T472="entrada",M472+U472,IF(T472="salida",M472-U472,M472))</f>
        <v>12914957706</v>
      </c>
      <c r="Y472" s="26" t="n">
        <v>0</v>
      </c>
      <c r="Z472" t="inlineStr">
        <is>
          <t>Menor costo neto entre las alternativas que cubren la necesidad completa</t>
        </is>
      </c>
      <c r="AA472" t="inlineStr">
        <is>
          <t>SUP-08, SUP-10, SUP-23</t>
        </is>
      </c>
      <c r="AB472" t="inlineStr">
        <is>
          <t>Excedente de $3.092.257.706 en la denominacion 100000: saldo $16.007.257.706 sobre el maximo $12.915.000.000. Elegida: venta ($3.092.300.000; beneficio de referencia $1.236.920). Es preferible porque tiene el menor costo neto. Otras alternativas: conservar ($3.092.300.000; costo de almacenar $185.250); traslado con CALI|TRANSPORTADORA_004 ($83.800.000; costo $235.553, cubre solo una parte); traslado con PASTO|TRANSPORTADORA_001 ($3.092.300.000; costo $1.067.601); traslado con CALI|TRANSPORTADORA_003 ($3.092.300.000; costo $2.858.965); consignacion BanRep: no habilitada en este fondo (sin historico o fuera de las ciudades BanRep).</t>
        </is>
      </c>
      <c r="AC472" t="inlineStr">
        <is>
          <t>Cierre del dia anterior (saldo encadenado, RN-71)</t>
        </is>
      </c>
      <c r="AD472" t="inlineStr">
        <is>
          <t>estimada</t>
        </is>
      </c>
      <c r="AE472" t="inlineStr">
        <is>
          <t>Participacion historica por denominacion (SUP-09)</t>
        </is>
      </c>
    </row>
    <row r="473">
      <c r="A473" t="inlineStr">
        <is>
          <t>PRAGMA</t>
        </is>
      </c>
      <c r="B473" t="inlineStr">
        <is>
          <t>IPIALES|TRANSPORTADORA_002</t>
        </is>
      </c>
      <c r="C473" t="inlineStr">
        <is>
          <t>Ipiales</t>
        </is>
      </c>
      <c r="D473" t="inlineStr">
        <is>
          <t>TRANSPORTADORA_002</t>
        </is>
      </c>
      <c r="E473" s="23" t="n">
        <v>46265</v>
      </c>
      <c r="F473" s="23" t="n">
        <v>46276</v>
      </c>
      <c r="G473" t="inlineStr">
        <is>
          <t>Sí</t>
        </is>
      </c>
      <c r="H473" s="25" t="n">
        <v>100000</v>
      </c>
      <c r="I473" s="26" t="n">
        <v>12914957706</v>
      </c>
      <c r="J473" s="26" t="n">
        <v>6209099618</v>
      </c>
      <c r="K473" s="26" t="n">
        <v>2215303819</v>
      </c>
      <c r="L473" s="26">
        <f>J473-K473</f>
        <v>3993795799</v>
      </c>
      <c r="M473" s="26">
        <f>I473+L473</f>
        <v>16908753505</v>
      </c>
      <c r="N473" s="26" t="n">
        <v>4613800000</v>
      </c>
      <c r="O473" s="26" t="n">
        <v>12915000000</v>
      </c>
      <c r="P473" s="26">
        <f>MAX(0,N473-M473)</f>
        <v>0</v>
      </c>
      <c r="Q473" s="26">
        <f>MAX(0,M473-O473)</f>
        <v>3993753505</v>
      </c>
      <c r="R473" t="inlineStr">
        <is>
          <t>bajo</t>
        </is>
      </c>
      <c r="S473" t="inlineStr">
        <is>
          <t>venta_efectivo</t>
        </is>
      </c>
      <c r="T473" t="inlineStr">
        <is>
          <t>salida</t>
        </is>
      </c>
      <c r="U473" s="26" t="n">
        <v>3993800000</v>
      </c>
      <c r="V473" t="inlineStr">
        <is>
          <t>IPIALES|TRANSPORTADORA_002</t>
        </is>
      </c>
      <c r="X473" s="26">
        <f>IF(T473="entrada",M473+U473,IF(T473="salida",M473-U473,M473))</f>
        <v>12914953505</v>
      </c>
      <c r="Y473" s="26" t="n">
        <v>0</v>
      </c>
      <c r="Z473" t="inlineStr">
        <is>
          <t>Menor costo neto entre las alternativas que cubren la necesidad completa</t>
        </is>
      </c>
      <c r="AA473" t="inlineStr">
        <is>
          <t>SUP-08, SUP-10, SUP-23</t>
        </is>
      </c>
      <c r="AB473" t="inlineStr">
        <is>
          <t>Excedente de $3.993.753.505 en la denominacion 100000: saldo $16.908.753.505 sobre el maximo $12.915.000.000. Elegida: venta ($3.993.800.000; beneficio de referencia $1.597.520). Es preferible porque tiene el menor costo neto. Otras alternativas: conservar ($3.993.800.000; costo de almacenar $199.380); traslado con CALI|TRANSPORTADORA_004 ($48.900.000; costo $205.120, cubre solo una parte); traslado con PASTO|TRANSPORTADORA_001 ($3.993.800.000; costo $1.374.111); traslado con CALI|TRANSPORTADORA_003 ($3.466.100.000; costo $3.184.918, cubre solo una parte); consignacion BanRep: no habilitada en este fondo (sin historico o fuera de las ciudades BanRep).</t>
        </is>
      </c>
      <c r="AC473" t="inlineStr">
        <is>
          <t>Cierre del dia anterior (saldo encadenado, RN-71)</t>
        </is>
      </c>
      <c r="AD473" t="inlineStr">
        <is>
          <t>estimada</t>
        </is>
      </c>
      <c r="AE473" t="inlineStr">
        <is>
          <t>Participacion historica por denominacion (SUP-09)</t>
        </is>
      </c>
    </row>
    <row r="474">
      <c r="A474" t="inlineStr">
        <is>
          <t>PRAGMA</t>
        </is>
      </c>
      <c r="B474" t="inlineStr">
        <is>
          <t>IPIALES|TRANSPORTADORA_002</t>
        </is>
      </c>
      <c r="C474" t="inlineStr">
        <is>
          <t>Ipiales</t>
        </is>
      </c>
      <c r="D474" t="inlineStr">
        <is>
          <t>TRANSPORTADORA_002</t>
        </is>
      </c>
      <c r="E474" s="23" t="n">
        <v>46265</v>
      </c>
      <c r="F474" s="23" t="n">
        <v>46277</v>
      </c>
      <c r="G474" t="inlineStr">
        <is>
          <t>No</t>
        </is>
      </c>
      <c r="H474" s="25" t="n">
        <v>100000</v>
      </c>
      <c r="I474" s="26" t="n">
        <v>12914953505</v>
      </c>
      <c r="J474" s="26" t="n">
        <v>716044268</v>
      </c>
      <c r="K474" s="26" t="n">
        <v>267431903</v>
      </c>
      <c r="L474" s="26">
        <f>J474-K474</f>
        <v>448612365</v>
      </c>
      <c r="M474" s="26">
        <f>I474+L474</f>
        <v>13363565870</v>
      </c>
      <c r="N474" s="26" t="n">
        <v>4613800000</v>
      </c>
      <c r="O474" s="26" t="n">
        <v>12915000000</v>
      </c>
      <c r="P474" s="26">
        <f>MAX(0,N474-M474)</f>
        <v>0</v>
      </c>
      <c r="Q474" s="26">
        <f>MAX(0,M474-O474)</f>
        <v>448565870</v>
      </c>
      <c r="R474" t="inlineStr">
        <is>
          <t>medio</t>
        </is>
      </c>
      <c r="S474" t="inlineStr">
        <is>
          <t>sin_accion</t>
        </is>
      </c>
      <c r="T474" t="inlineStr">
        <is>
          <t>ninguno</t>
        </is>
      </c>
      <c r="U474" s="26" t="n">
        <v>0</v>
      </c>
      <c r="X474" s="26">
        <f>IF(T474="entrada",M474+U474,IF(T474="salida",M474-U474,M474))</f>
        <v>13363565870</v>
      </c>
      <c r="Y474" s="26" t="n">
        <v>0</v>
      </c>
      <c r="Z474" t="inlineStr">
        <is>
          <t>Costo de almacenar menor que el de actuar</t>
        </is>
      </c>
      <c r="AA474" t="inlineStr">
        <is>
          <t>SUP-07, SUP-10</t>
        </is>
      </c>
      <c r="AB474" t="inlineStr">
        <is>
          <t>Excedente de $448.565.870 en la denominacion 100000: saldo $13.363.565.870 sobre el maximo $12.915.000.000. Se conserva: guardarlo hasta el fin del horizonte cuesta $17.916 (Anexo E, almacenamiento), menos que cualquier accion. Alternativas: traslado con PASTO|TRANSPORTADORA_001 ($448.600.000; costo $168.743); traslado con CALI|TRANSPORTADORA_004 ($37.600.000; costo $195.266, cubre solo una parte); traslado con CALI|TRANSPORTADORA_001 ($448.600.000; costo $553.658); traslado con CALI|TRANSPORTADORA_002 ($448.600.000; costo $553.658); traslado con CALI|TRANSPORTADORA_003 ($448.600.000; costo $553.658); venta: dia no habil (sabado, domingo o festivo; RN-71A); consignacion BanRep: dia no habil (sabado, domingo o festivo; RN-71A).</t>
        </is>
      </c>
      <c r="AC474" t="inlineStr">
        <is>
          <t>Cierre del dia anterior (saldo encadenado, RN-71)</t>
        </is>
      </c>
      <c r="AD474" t="inlineStr">
        <is>
          <t>estimada</t>
        </is>
      </c>
      <c r="AE474" t="inlineStr">
        <is>
          <t>Participacion historica por denominacion (SUP-09)</t>
        </is>
      </c>
    </row>
    <row r="475">
      <c r="A475" t="inlineStr">
        <is>
          <t>PRAGMA</t>
        </is>
      </c>
      <c r="B475" t="inlineStr">
        <is>
          <t>IPIALES|TRANSPORTADORA_002</t>
        </is>
      </c>
      <c r="C475" t="inlineStr">
        <is>
          <t>Ipiales</t>
        </is>
      </c>
      <c r="D475" t="inlineStr">
        <is>
          <t>TRANSPORTADORA_002</t>
        </is>
      </c>
      <c r="E475" s="23" t="n">
        <v>46265</v>
      </c>
      <c r="F475" s="23" t="n">
        <v>46278</v>
      </c>
      <c r="G475" t="inlineStr">
        <is>
          <t>No</t>
        </is>
      </c>
      <c r="H475" s="25" t="n">
        <v>100000</v>
      </c>
      <c r="I475" s="26" t="n">
        <v>13363565870</v>
      </c>
      <c r="J475" s="26" t="n">
        <v>629657968</v>
      </c>
      <c r="K475" s="26" t="n">
        <v>168552450</v>
      </c>
      <c r="L475" s="26">
        <f>J475-K475</f>
        <v>461105518</v>
      </c>
      <c r="M475" s="26">
        <f>I475+L475</f>
        <v>13824671388</v>
      </c>
      <c r="N475" s="26" t="n">
        <v>4613800000</v>
      </c>
      <c r="O475" s="26" t="n">
        <v>12915000000</v>
      </c>
      <c r="P475" s="26">
        <f>MAX(0,N475-M475)</f>
        <v>0</v>
      </c>
      <c r="Q475" s="26">
        <f>MAX(0,M475-O475)</f>
        <v>909671388</v>
      </c>
      <c r="R475" t="inlineStr">
        <is>
          <t>medio</t>
        </is>
      </c>
      <c r="S475" t="inlineStr">
        <is>
          <t>sin_accion</t>
        </is>
      </c>
      <c r="T475" t="inlineStr">
        <is>
          <t>ninguno</t>
        </is>
      </c>
      <c r="U475" s="26" t="n">
        <v>0</v>
      </c>
      <c r="X475" s="26">
        <f>IF(T475="entrada",M475+U475,IF(T475="salida",M475-U475,M475))</f>
        <v>13824671388</v>
      </c>
      <c r="Y475" s="26" t="n">
        <v>0</v>
      </c>
      <c r="Z475" t="inlineStr">
        <is>
          <t>Costo de almacenar menor que el de actuar</t>
        </is>
      </c>
      <c r="AA475" t="inlineStr">
        <is>
          <t>SUP-07, SUP-10</t>
        </is>
      </c>
      <c r="AB475" t="inlineStr">
        <is>
          <t>Excedente de $909.671.388 en la denominacion 100000: saldo $13.824.671.388 sobre el maximo $12.915.000.000. Se conserva: guardarlo hasta el fin del horizonte cuesta $27.249 (Anexo E, almacenamiento), menos que cualquier accion. Alternativas: traslado con CALI|TRANSPORTADORA_004 ($27.100.000; costo $186.110, cubre solo una parte); traslado con PASTO|TRANSPORTADORA_001 ($909.700.000; costo $325.517); traslado con CALI|TRANSPORTADORA_001 ($909.700.000; costo $955.737); traslado con CALI|TRANSPORTADORA_002 ($909.700.000; costo $955.737); traslado con CALI|TRANSPORTADORA_003 ($909.700.000; costo $955.737); venta: dia no habil (sabado, domingo o festivo; RN-71A); consignacion BanRep: dia no habil (sabado, domingo o festivo; RN-71A).</t>
        </is>
      </c>
      <c r="AC475" t="inlineStr">
        <is>
          <t>Cierre del dia anterior (saldo encadenado, RN-71)</t>
        </is>
      </c>
      <c r="AD475" t="inlineStr">
        <is>
          <t>estimada</t>
        </is>
      </c>
      <c r="AE475" t="inlineStr">
        <is>
          <t>Participacion historica por denominacion (SUP-09)</t>
        </is>
      </c>
    </row>
    <row r="476">
      <c r="A476" t="inlineStr">
        <is>
          <t>PRAGMA</t>
        </is>
      </c>
      <c r="B476" t="inlineStr">
        <is>
          <t>IPIALES|TRANSPORTADORA_002</t>
        </is>
      </c>
      <c r="C476" t="inlineStr">
        <is>
          <t>Ipiales</t>
        </is>
      </c>
      <c r="D476" t="inlineStr">
        <is>
          <t>TRANSPORTADORA_002</t>
        </is>
      </c>
      <c r="E476" s="23" t="n">
        <v>46265</v>
      </c>
      <c r="F476" s="23" t="n">
        <v>46279</v>
      </c>
      <c r="G476" t="inlineStr">
        <is>
          <t>Sí</t>
        </is>
      </c>
      <c r="H476" s="25" t="n">
        <v>100000</v>
      </c>
      <c r="I476" s="26" t="n">
        <v>13824671388</v>
      </c>
      <c r="J476" s="26" t="n">
        <v>6779509391</v>
      </c>
      <c r="K476" s="26" t="n">
        <v>2083163248</v>
      </c>
      <c r="L476" s="26">
        <f>J476-K476</f>
        <v>4696346143</v>
      </c>
      <c r="M476" s="26">
        <f>I476+L476</f>
        <v>18521017531</v>
      </c>
      <c r="N476" s="26" t="n">
        <v>4613800000</v>
      </c>
      <c r="O476" s="26" t="n">
        <v>12915000000</v>
      </c>
      <c r="P476" s="26">
        <f>MAX(0,N476-M476)</f>
        <v>0</v>
      </c>
      <c r="Q476" s="26">
        <f>MAX(0,M476-O476)</f>
        <v>5606017531</v>
      </c>
      <c r="R476" t="inlineStr">
        <is>
          <t>bajo</t>
        </is>
      </c>
      <c r="S476" t="inlineStr">
        <is>
          <t>venta_efectivo</t>
        </is>
      </c>
      <c r="T476" t="inlineStr">
        <is>
          <t>salida</t>
        </is>
      </c>
      <c r="U476" s="26" t="n">
        <v>5606100000</v>
      </c>
      <c r="V476" t="inlineStr">
        <is>
          <t>IPIALES|TRANSPORTADORA_002</t>
        </is>
      </c>
      <c r="X476" s="26">
        <f>IF(T476="entrada",M476+U476,IF(T476="salida",M476-U476,M476))</f>
        <v>12914917531</v>
      </c>
      <c r="Y476" s="26" t="n">
        <v>0</v>
      </c>
      <c r="Z476" t="inlineStr">
        <is>
          <t>Menor costo neto entre las alternativas que cubren la necesidad completa</t>
        </is>
      </c>
      <c r="AA476" t="inlineStr">
        <is>
          <t>SUP-08, SUP-10, SUP-23</t>
        </is>
      </c>
      <c r="AB476" t="inlineStr">
        <is>
          <t>Excedente de $5.606.017.531 en la denominacion 100000: saldo $18.521.017.531 sobre el maximo $12.915.000.000. Elegida: venta ($5.606.100.000; beneficio de referencia $2.242.440). Es preferible porque tiene el menor costo neto. Otras alternativas: conservar ($5.606.100.000; costo de almacenar $111.948); traslado con PASTO|TRANSPORTADORA_001 ($4.435.200.000; costo $1.524.187, cubre solo una parte); traslado con CALI|TRANSPORTADORA_003 ($5.400.500.000; costo $4.871.715, cubre solo una parte); consignacion BanRep: no habilitada en este fondo (sin historico o fuera de las ciudades BanRep).</t>
        </is>
      </c>
      <c r="AC476" t="inlineStr">
        <is>
          <t>Cierre del dia anterior (saldo encadenado, RN-71)</t>
        </is>
      </c>
      <c r="AD476" t="inlineStr">
        <is>
          <t>estimada</t>
        </is>
      </c>
      <c r="AE476" t="inlineStr">
        <is>
          <t>Participacion historica por denominacion (SUP-09)</t>
        </is>
      </c>
    </row>
    <row r="477">
      <c r="A477" t="inlineStr">
        <is>
          <t>PRAGMA</t>
        </is>
      </c>
      <c r="B477" t="inlineStr">
        <is>
          <t>IPIALES|TRANSPORTADORA_002</t>
        </is>
      </c>
      <c r="C477" t="inlineStr">
        <is>
          <t>Ipiales</t>
        </is>
      </c>
      <c r="D477" t="inlineStr">
        <is>
          <t>TRANSPORTADORA_002</t>
        </is>
      </c>
      <c r="E477" s="23" t="n">
        <v>46265</v>
      </c>
      <c r="F477" s="23" t="n">
        <v>46280</v>
      </c>
      <c r="G477" t="inlineStr">
        <is>
          <t>Sí</t>
        </is>
      </c>
      <c r="H477" s="25" t="n">
        <v>100000</v>
      </c>
      <c r="I477" s="26" t="n">
        <v>12914917531</v>
      </c>
      <c r="J477" s="26" t="n">
        <v>6026456296</v>
      </c>
      <c r="K477" s="26" t="n">
        <v>2240528445</v>
      </c>
      <c r="L477" s="26">
        <f>J477-K477</f>
        <v>3785927851</v>
      </c>
      <c r="M477" s="26">
        <f>I477+L477</f>
        <v>16700845382</v>
      </c>
      <c r="N477" s="26" t="n">
        <v>4613800000</v>
      </c>
      <c r="O477" s="26" t="n">
        <v>12915000000</v>
      </c>
      <c r="P477" s="26">
        <f>MAX(0,N477-M477)</f>
        <v>0</v>
      </c>
      <c r="Q477" s="26">
        <f>MAX(0,M477-O477)</f>
        <v>3785845382</v>
      </c>
      <c r="R477" t="inlineStr">
        <is>
          <t>bajo</t>
        </is>
      </c>
      <c r="S477" t="inlineStr">
        <is>
          <t>venta_efectivo</t>
        </is>
      </c>
      <c r="T477" t="inlineStr">
        <is>
          <t>salida</t>
        </is>
      </c>
      <c r="U477" s="26" t="n">
        <v>3785900000</v>
      </c>
      <c r="V477" t="inlineStr">
        <is>
          <t>IPIALES|TRANSPORTADORA_002</t>
        </is>
      </c>
      <c r="X477" s="26">
        <f>IF(T477="entrada",M477+U477,IF(T477="salida",M477-U477,M477))</f>
        <v>12914945382</v>
      </c>
      <c r="Y477" s="26" t="n">
        <v>0</v>
      </c>
      <c r="Z477" t="inlineStr">
        <is>
          <t>Menor costo neto entre las alternativas que cubren la necesidad completa</t>
        </is>
      </c>
      <c r="AA477" t="inlineStr">
        <is>
          <t>SUP-08, SUP-10, SUP-23</t>
        </is>
      </c>
      <c r="AB477" t="inlineStr">
        <is>
          <t>Excedente de $3.785.845.382 en la denominacion 100000: saldo $16.700.845.382 sobre el maximo $12.915.000.000. Elegida: venta ($3.785.900.000; beneficio de referencia $1.514.360). Es preferible porque tiene el menor costo neto. Otras alternativas: conservar ($3.785.900.000; costo de almacenar $37.800); traslado con PASTO|TRANSPORTADORA_001 ($3.677.100.000; costo $1.266.433, cubre solo una parte); traslado con CALI|TRANSPORTADORA_003 ($3.785.900.000; costo $3.463.784); consignacion BanRep: no habilitada en este fondo (sin historico o fuera de las ciudades BanRep).</t>
        </is>
      </c>
      <c r="AC477" t="inlineStr">
        <is>
          <t>Cierre del dia anterior (saldo encadenado, RN-71)</t>
        </is>
      </c>
      <c r="AD477" t="inlineStr">
        <is>
          <t>estimada</t>
        </is>
      </c>
      <c r="AE477" t="inlineStr">
        <is>
          <t>Participacion historica por denominacion (SUP-09)</t>
        </is>
      </c>
    </row>
    <row r="478">
      <c r="A478" t="inlineStr">
        <is>
          <t>PRAGMA</t>
        </is>
      </c>
      <c r="B478" t="inlineStr">
        <is>
          <t>PASTO|TRANSPORTADORA_001</t>
        </is>
      </c>
      <c r="C478" t="inlineStr">
        <is>
          <t>Pasto</t>
        </is>
      </c>
      <c r="D478" t="inlineStr">
        <is>
          <t>TRANSPORTADORA_001</t>
        </is>
      </c>
      <c r="E478" s="23" t="n">
        <v>46265</v>
      </c>
      <c r="F478" s="23" t="n">
        <v>46266</v>
      </c>
      <c r="G478" t="inlineStr">
        <is>
          <t>Sí</t>
        </is>
      </c>
      <c r="H478" s="25" t="n">
        <v>2000</v>
      </c>
      <c r="I478" s="26" t="n">
        <v>242482000</v>
      </c>
      <c r="J478" s="26" t="n">
        <v>55253462</v>
      </c>
      <c r="K478" s="26" t="n">
        <v>54981692</v>
      </c>
      <c r="L478" s="26">
        <f>J478-K478</f>
        <v>271770</v>
      </c>
      <c r="M478" s="26">
        <f>I478+L478</f>
        <v>242753770</v>
      </c>
      <c r="N478" s="26" t="n">
        <v>60099200</v>
      </c>
      <c r="O478" s="26" t="n">
        <v>218512000</v>
      </c>
      <c r="P478" s="26">
        <f>MAX(0,N478-M478)</f>
        <v>0</v>
      </c>
      <c r="Q478" s="26">
        <f>MAX(0,M478-O478)</f>
        <v>24241770</v>
      </c>
      <c r="R478" t="inlineStr">
        <is>
          <t>bajo</t>
        </is>
      </c>
      <c r="S478" t="inlineStr">
        <is>
          <t>venta_efectivo</t>
        </is>
      </c>
      <c r="T478" t="inlineStr">
        <is>
          <t>salida</t>
        </is>
      </c>
      <c r="U478" s="26" t="n">
        <v>24242000</v>
      </c>
      <c r="V478" t="inlineStr">
        <is>
          <t>PASTO|TRANSPORTADORA_001</t>
        </is>
      </c>
      <c r="X478" s="26">
        <f>IF(T478="entrada",M478+U478,IF(T478="salida",M478-U478,M478))</f>
        <v>218511770</v>
      </c>
      <c r="Y478" s="26" t="n">
        <v>0</v>
      </c>
      <c r="Z478" t="inlineStr">
        <is>
          <t>Menor costo neto entre las alternativas que cubren la necesidad completa</t>
        </is>
      </c>
      <c r="AA478" t="inlineStr">
        <is>
          <t>SUP-08, SUP-10, SUP-23</t>
        </is>
      </c>
      <c r="AB478" t="inlineStr">
        <is>
          <t>Excedente de $24.241.771 en la denominacion 2000: saldo $242.753.771 sobre el maximo $218.512.000. Elegida: venta ($24.242.000; beneficio de referencia $9.697). Es preferible porque tiene el menor costo neto. Otras alternativas: conservar ($24.242.000; costo de almacenar $3.564); traslado con CALI|TRANSPORTADORA_001 ($24.242.000; costo $831.272); traslado con CALI|TRANSPORTADORA_002 ($24.242.000; costo $831.272); traslado con CALI|TRANSPORTADORA_003 ($24.242.000; costo $831.272); consignacion BanRep: no habilitada en este fondo (sin historico o fuera de las ciudades BanRep).</t>
        </is>
      </c>
      <c r="AC478" t="inlineStr">
        <is>
          <t>Ultimo disponible al 31/08/2026 (SUP-07)</t>
        </is>
      </c>
      <c r="AD478" t="inlineStr">
        <is>
          <t>estimada</t>
        </is>
      </c>
      <c r="AE478" t="inlineStr">
        <is>
          <t>Participacion historica por denominacion (SUP-09)</t>
        </is>
      </c>
    </row>
    <row r="479">
      <c r="A479" t="inlineStr">
        <is>
          <t>PRAGMA</t>
        </is>
      </c>
      <c r="B479" t="inlineStr">
        <is>
          <t>PASTO|TRANSPORTADORA_001</t>
        </is>
      </c>
      <c r="C479" t="inlineStr">
        <is>
          <t>Pasto</t>
        </is>
      </c>
      <c r="D479" t="inlineStr">
        <is>
          <t>TRANSPORTADORA_001</t>
        </is>
      </c>
      <c r="E479" s="23" t="n">
        <v>46265</v>
      </c>
      <c r="F479" s="23" t="n">
        <v>46267</v>
      </c>
      <c r="G479" t="inlineStr">
        <is>
          <t>Sí</t>
        </is>
      </c>
      <c r="H479" s="25" t="n">
        <v>2000</v>
      </c>
      <c r="I479" s="26" t="n">
        <v>218511771</v>
      </c>
      <c r="J479" s="26" t="n">
        <v>56315501</v>
      </c>
      <c r="K479" s="26" t="n">
        <v>52960290</v>
      </c>
      <c r="L479" s="26">
        <f>J479-K479</f>
        <v>3355211</v>
      </c>
      <c r="M479" s="26">
        <f>I479+L479</f>
        <v>221866982</v>
      </c>
      <c r="N479" s="26" t="n">
        <v>60099200</v>
      </c>
      <c r="O479" s="26" t="n">
        <v>218512000</v>
      </c>
      <c r="P479" s="26">
        <f>MAX(0,N479-M479)</f>
        <v>0</v>
      </c>
      <c r="Q479" s="26">
        <f>MAX(0,M479-O479)</f>
        <v>3354982</v>
      </c>
      <c r="R479" t="inlineStr">
        <is>
          <t>bajo</t>
        </is>
      </c>
      <c r="S479" t="inlineStr">
        <is>
          <t>venta_efectivo</t>
        </is>
      </c>
      <c r="T479" t="inlineStr">
        <is>
          <t>salida</t>
        </is>
      </c>
      <c r="U479" s="26" t="n">
        <v>3356000</v>
      </c>
      <c r="V479" t="inlineStr">
        <is>
          <t>PASTO|TRANSPORTADORA_001</t>
        </is>
      </c>
      <c r="X479" s="26">
        <f>IF(T479="entrada",M479+U479,IF(T479="salida",M479-U479,M479))</f>
        <v>218510982</v>
      </c>
      <c r="Y479" s="26" t="n">
        <v>0</v>
      </c>
      <c r="Z479" t="inlineStr">
        <is>
          <t>Menor costo neto entre las alternativas que cubren la necesidad completa</t>
        </is>
      </c>
      <c r="AA479" t="inlineStr">
        <is>
          <t>SUP-08, SUP-10, SUP-23</t>
        </is>
      </c>
      <c r="AB479" t="inlineStr">
        <is>
          <t>Excedente de $3.354.981 en la denominacion 2000: saldo $221.866.981 sobre el maximo $218.512.000. Elegida: venta ($3.356.000; beneficio de referencia $1.342). Es preferible porque tiene el menor costo neto. Otras alternativas: conservar ($3.356.000; costo de almacenar $460); traslado con CALI|TRANSPORTADORA_001 ($3.356.000; costo $811.284); traslado con CALI|TRANSPORTADORA_002 ($3.356.000; costo $811.284); traslado con CALI|TRANSPORTADORA_003 ($3.356.000; costo $811.284); consignacion BanRep: no habilitada en este fondo (sin historico o fuera de las ciudades BanRep).</t>
        </is>
      </c>
      <c r="AC479" t="inlineStr">
        <is>
          <t>Cierre del dia anterior (saldo encadenado, RN-71)</t>
        </is>
      </c>
      <c r="AD479" t="inlineStr">
        <is>
          <t>estimada</t>
        </is>
      </c>
      <c r="AE479" t="inlineStr">
        <is>
          <t>Participacion historica por denominacion (SUP-09)</t>
        </is>
      </c>
    </row>
    <row r="480">
      <c r="A480" t="inlineStr">
        <is>
          <t>PRAGMA</t>
        </is>
      </c>
      <c r="B480" t="inlineStr">
        <is>
          <t>PASTO|TRANSPORTADORA_001</t>
        </is>
      </c>
      <c r="C480" t="inlineStr">
        <is>
          <t>Pasto</t>
        </is>
      </c>
      <c r="D480" t="inlineStr">
        <is>
          <t>TRANSPORTADORA_001</t>
        </is>
      </c>
      <c r="E480" s="23" t="n">
        <v>46265</v>
      </c>
      <c r="F480" s="23" t="n">
        <v>46268</v>
      </c>
      <c r="G480" t="inlineStr">
        <is>
          <t>Sí</t>
        </is>
      </c>
      <c r="H480" s="25" t="n">
        <v>2000</v>
      </c>
      <c r="I480" s="26" t="n">
        <v>218510981</v>
      </c>
      <c r="J480" s="26" t="n">
        <v>51707521</v>
      </c>
      <c r="K480" s="26" t="n">
        <v>38800024</v>
      </c>
      <c r="L480" s="26">
        <f>J480-K480</f>
        <v>12907497</v>
      </c>
      <c r="M480" s="26">
        <f>I480+L480</f>
        <v>231418478</v>
      </c>
      <c r="N480" s="26" t="n">
        <v>60099200</v>
      </c>
      <c r="O480" s="26" t="n">
        <v>218512000</v>
      </c>
      <c r="P480" s="26">
        <f>MAX(0,N480-M480)</f>
        <v>0</v>
      </c>
      <c r="Q480" s="26">
        <f>MAX(0,M480-O480)</f>
        <v>12906478</v>
      </c>
      <c r="R480" t="inlineStr">
        <is>
          <t>bajo</t>
        </is>
      </c>
      <c r="S480" t="inlineStr">
        <is>
          <t>venta_efectivo</t>
        </is>
      </c>
      <c r="T480" t="inlineStr">
        <is>
          <t>salida</t>
        </is>
      </c>
      <c r="U480" s="26" t="n">
        <v>12908000</v>
      </c>
      <c r="V480" t="inlineStr">
        <is>
          <t>PASTO|TRANSPORTADORA_001</t>
        </is>
      </c>
      <c r="X480" s="26">
        <f>IF(T480="entrada",M480+U480,IF(T480="salida",M480-U480,M480))</f>
        <v>218510478</v>
      </c>
      <c r="Y480" s="26" t="n">
        <v>0</v>
      </c>
      <c r="Z480" t="inlineStr">
        <is>
          <t>Menor costo neto entre las alternativas que cubren la necesidad completa</t>
        </is>
      </c>
      <c r="AA480" t="inlineStr">
        <is>
          <t>SUP-08, SUP-10, SUP-23</t>
        </is>
      </c>
      <c r="AB480" t="inlineStr">
        <is>
          <t>Excedente de $12.906.478 en la denominacion 2000: saldo $231.418.478 sobre el maximo $218.512.000. Elegida: venta ($12.908.000; beneficio de referencia $5.163). Es preferible porque tiene el menor costo neto. Otras alternativas: conservar ($12.908.000; costo de almacenar $1.644); traslado con CALI|TRANSPORTADORA_001 ($12.908.000; costo $820.425); traslado con CALI|TRANSPORTADORA_002 ($12.908.000; costo $820.425); traslado con CALI|TRANSPORTADORA_003 ($12.908.000; costo $820.425); consignacion BanRep: no habilitada en este fondo (sin historico o fuera de las ciudades BanRep).</t>
        </is>
      </c>
      <c r="AC480" t="inlineStr">
        <is>
          <t>Cierre del dia anterior (saldo encadenado, RN-71)</t>
        </is>
      </c>
      <c r="AD480" t="inlineStr">
        <is>
          <t>estimada</t>
        </is>
      </c>
      <c r="AE480" t="inlineStr">
        <is>
          <t>Participacion historica por denominacion (SUP-09)</t>
        </is>
      </c>
    </row>
    <row r="481">
      <c r="A481" t="inlineStr">
        <is>
          <t>PRAGMA</t>
        </is>
      </c>
      <c r="B481" t="inlineStr">
        <is>
          <t>PASTO|TRANSPORTADORA_001</t>
        </is>
      </c>
      <c r="C481" t="inlineStr">
        <is>
          <t>Pasto</t>
        </is>
      </c>
      <c r="D481" t="inlineStr">
        <is>
          <t>TRANSPORTADORA_001</t>
        </is>
      </c>
      <c r="E481" s="23" t="n">
        <v>46265</v>
      </c>
      <c r="F481" s="23" t="n">
        <v>46269</v>
      </c>
      <c r="G481" t="inlineStr">
        <is>
          <t>Sí</t>
        </is>
      </c>
      <c r="H481" s="25" t="n">
        <v>2000</v>
      </c>
      <c r="I481" s="26" t="n">
        <v>218510478</v>
      </c>
      <c r="J481" s="26" t="n">
        <v>53944142</v>
      </c>
      <c r="K481" s="26" t="n">
        <v>56320976</v>
      </c>
      <c r="L481" s="26">
        <f>J481-K481</f>
        <v>-2376834</v>
      </c>
      <c r="M481" s="26">
        <f>I481+L481</f>
        <v>216133644</v>
      </c>
      <c r="N481" s="26" t="n">
        <v>60099200</v>
      </c>
      <c r="O481" s="26" t="n">
        <v>218512000</v>
      </c>
      <c r="P481" s="26">
        <f>MAX(0,N481-M481)</f>
        <v>0</v>
      </c>
      <c r="Q481" s="26">
        <f>MAX(0,M481-O481)</f>
        <v>0</v>
      </c>
      <c r="R481" t="inlineStr">
        <is>
          <t>bajo</t>
        </is>
      </c>
      <c r="S481" t="inlineStr">
        <is>
          <t>sin_accion</t>
        </is>
      </c>
      <c r="T481" t="inlineStr">
        <is>
          <t>ninguno</t>
        </is>
      </c>
      <c r="U481" s="26" t="n">
        <v>0</v>
      </c>
      <c r="X481" s="26">
        <f>IF(T481="entrada",M481+U481,IF(T481="salida",M481-U481,M481))</f>
        <v>216133644</v>
      </c>
      <c r="Y481" s="26" t="n">
        <v>0</v>
      </c>
      <c r="Z481" t="inlineStr">
        <is>
          <t>RN-85: dentro de niveles objetivo (sin_accion)</t>
        </is>
      </c>
      <c r="AA481" t="inlineStr">
        <is>
          <t>SUP-07, SUP-10</t>
        </is>
      </c>
      <c r="AB481" t="inlineStr">
        <is>
          <t>Saldo dentro del rango objetivo; sin accion.</t>
        </is>
      </c>
      <c r="AC481" t="inlineStr">
        <is>
          <t>Cierre del dia anterior (saldo encadenado, RN-71)</t>
        </is>
      </c>
      <c r="AD481" t="inlineStr">
        <is>
          <t>estimada</t>
        </is>
      </c>
      <c r="AE481" t="inlineStr">
        <is>
          <t>Participacion historica por denominacion (SUP-09)</t>
        </is>
      </c>
    </row>
    <row r="482">
      <c r="A482" t="inlineStr">
        <is>
          <t>PRAGMA</t>
        </is>
      </c>
      <c r="B482" t="inlineStr">
        <is>
          <t>PASTO|TRANSPORTADORA_001</t>
        </is>
      </c>
      <c r="C482" t="inlineStr">
        <is>
          <t>Pasto</t>
        </is>
      </c>
      <c r="D482" t="inlineStr">
        <is>
          <t>TRANSPORTADORA_001</t>
        </is>
      </c>
      <c r="E482" s="23" t="n">
        <v>46265</v>
      </c>
      <c r="F482" s="23" t="n">
        <v>46270</v>
      </c>
      <c r="G482" t="inlineStr">
        <is>
          <t>No</t>
        </is>
      </c>
      <c r="H482" s="25" t="n">
        <v>2000</v>
      </c>
      <c r="I482" s="26" t="n">
        <v>216133644</v>
      </c>
      <c r="J482" s="26" t="n">
        <v>22016038</v>
      </c>
      <c r="K482" s="26" t="n">
        <v>36120873</v>
      </c>
      <c r="L482" s="26">
        <f>J482-K482</f>
        <v>-14104835</v>
      </c>
      <c r="M482" s="26">
        <f>I482+L482</f>
        <v>202028809</v>
      </c>
      <c r="N482" s="26" t="n">
        <v>60099200</v>
      </c>
      <c r="O482" s="26" t="n">
        <v>218512000</v>
      </c>
      <c r="P482" s="26">
        <f>MAX(0,N482-M482)</f>
        <v>0</v>
      </c>
      <c r="Q482" s="26">
        <f>MAX(0,M482-O482)</f>
        <v>0</v>
      </c>
      <c r="R482" t="inlineStr">
        <is>
          <t>bajo</t>
        </is>
      </c>
      <c r="S482" t="inlineStr">
        <is>
          <t>sin_accion</t>
        </is>
      </c>
      <c r="T482" t="inlineStr">
        <is>
          <t>ninguno</t>
        </is>
      </c>
      <c r="U482" s="26" t="n">
        <v>0</v>
      </c>
      <c r="X482" s="26">
        <f>IF(T482="entrada",M482+U482,IF(T482="salida",M482-U482,M482))</f>
        <v>202028809</v>
      </c>
      <c r="Y482" s="26" t="n">
        <v>0</v>
      </c>
      <c r="Z482" t="inlineStr">
        <is>
          <t>RN-85: dentro de niveles objetivo (sin_accion)</t>
        </is>
      </c>
      <c r="AA482" t="inlineStr">
        <is>
          <t>SUP-07, SUP-10</t>
        </is>
      </c>
      <c r="AB482" t="inlineStr">
        <is>
          <t>Saldo dentro del rango objetivo; sin accion.</t>
        </is>
      </c>
      <c r="AC482" t="inlineStr">
        <is>
          <t>Cierre del dia anterior (saldo encadenado, RN-71)</t>
        </is>
      </c>
      <c r="AD482" t="inlineStr">
        <is>
          <t>estimada</t>
        </is>
      </c>
      <c r="AE482" t="inlineStr">
        <is>
          <t>Participacion historica por denominacion (SUP-09)</t>
        </is>
      </c>
    </row>
    <row r="483">
      <c r="A483" t="inlineStr">
        <is>
          <t>PRAGMA</t>
        </is>
      </c>
      <c r="B483" t="inlineStr">
        <is>
          <t>PASTO|TRANSPORTADORA_001</t>
        </is>
      </c>
      <c r="C483" t="inlineStr">
        <is>
          <t>Pasto</t>
        </is>
      </c>
      <c r="D483" t="inlineStr">
        <is>
          <t>TRANSPORTADORA_001</t>
        </is>
      </c>
      <c r="E483" s="23" t="n">
        <v>46265</v>
      </c>
      <c r="F483" s="23" t="n">
        <v>46271</v>
      </c>
      <c r="G483" t="inlineStr">
        <is>
          <t>No</t>
        </is>
      </c>
      <c r="H483" s="25" t="n">
        <v>2000</v>
      </c>
      <c r="I483" s="26" t="n">
        <v>202028809</v>
      </c>
      <c r="J483" s="26" t="n">
        <v>4001279</v>
      </c>
      <c r="K483" s="26" t="n">
        <v>7465620</v>
      </c>
      <c r="L483" s="26">
        <f>J483-K483</f>
        <v>-3464341</v>
      </c>
      <c r="M483" s="26">
        <f>I483+L483</f>
        <v>198564468</v>
      </c>
      <c r="N483" s="26" t="n">
        <v>60099200</v>
      </c>
      <c r="O483" s="26" t="n">
        <v>218512000</v>
      </c>
      <c r="P483" s="26">
        <f>MAX(0,N483-M483)</f>
        <v>0</v>
      </c>
      <c r="Q483" s="26">
        <f>MAX(0,M483-O483)</f>
        <v>0</v>
      </c>
      <c r="R483" t="inlineStr">
        <is>
          <t>bajo</t>
        </is>
      </c>
      <c r="S483" t="inlineStr">
        <is>
          <t>sin_accion</t>
        </is>
      </c>
      <c r="T483" t="inlineStr">
        <is>
          <t>ninguno</t>
        </is>
      </c>
      <c r="U483" s="26" t="n">
        <v>0</v>
      </c>
      <c r="X483" s="26">
        <f>IF(T483="entrada",M483+U483,IF(T483="salida",M483-U483,M483))</f>
        <v>198564468</v>
      </c>
      <c r="Y483" s="26" t="n">
        <v>0</v>
      </c>
      <c r="Z483" t="inlineStr">
        <is>
          <t>RN-85: dentro de niveles objetivo (sin_accion)</t>
        </is>
      </c>
      <c r="AA483" t="inlineStr">
        <is>
          <t>SUP-07, SUP-10</t>
        </is>
      </c>
      <c r="AB483" t="inlineStr">
        <is>
          <t>Saldo dentro del rango objetivo; sin accion.</t>
        </is>
      </c>
      <c r="AC483" t="inlineStr">
        <is>
          <t>Cierre del dia anterior (saldo encadenado, RN-71)</t>
        </is>
      </c>
      <c r="AD483" t="inlineStr">
        <is>
          <t>estimada</t>
        </is>
      </c>
      <c r="AE483" t="inlineStr">
        <is>
          <t>Participacion historica por denominacion (SUP-09)</t>
        </is>
      </c>
    </row>
    <row r="484">
      <c r="A484" t="inlineStr">
        <is>
          <t>PRAGMA</t>
        </is>
      </c>
      <c r="B484" t="inlineStr">
        <is>
          <t>PASTO|TRANSPORTADORA_001</t>
        </is>
      </c>
      <c r="C484" t="inlineStr">
        <is>
          <t>Pasto</t>
        </is>
      </c>
      <c r="D484" t="inlineStr">
        <is>
          <t>TRANSPORTADORA_001</t>
        </is>
      </c>
      <c r="E484" s="23" t="n">
        <v>46265</v>
      </c>
      <c r="F484" s="23" t="n">
        <v>46272</v>
      </c>
      <c r="G484" t="inlineStr">
        <is>
          <t>Sí</t>
        </is>
      </c>
      <c r="H484" s="25" t="n">
        <v>2000</v>
      </c>
      <c r="I484" s="26" t="n">
        <v>198564468</v>
      </c>
      <c r="J484" s="26" t="n">
        <v>50081135</v>
      </c>
      <c r="K484" s="26" t="n">
        <v>33740568</v>
      </c>
      <c r="L484" s="26">
        <f>J484-K484</f>
        <v>16340567</v>
      </c>
      <c r="M484" s="26">
        <f>I484+L484</f>
        <v>214905035</v>
      </c>
      <c r="N484" s="26" t="n">
        <v>60099200</v>
      </c>
      <c r="O484" s="26" t="n">
        <v>218512000</v>
      </c>
      <c r="P484" s="26">
        <f>MAX(0,N484-M484)</f>
        <v>0</v>
      </c>
      <c r="Q484" s="26">
        <f>MAX(0,M484-O484)</f>
        <v>0</v>
      </c>
      <c r="R484" t="inlineStr">
        <is>
          <t>bajo</t>
        </is>
      </c>
      <c r="S484" t="inlineStr">
        <is>
          <t>sin_accion</t>
        </is>
      </c>
      <c r="T484" t="inlineStr">
        <is>
          <t>ninguno</t>
        </is>
      </c>
      <c r="U484" s="26" t="n">
        <v>0</v>
      </c>
      <c r="X484" s="26">
        <f>IF(T484="entrada",M484+U484,IF(T484="salida",M484-U484,M484))</f>
        <v>214905035</v>
      </c>
      <c r="Y484" s="26" t="n">
        <v>0</v>
      </c>
      <c r="Z484" t="inlineStr">
        <is>
          <t>RN-85: dentro de niveles objetivo (sin_accion)</t>
        </is>
      </c>
      <c r="AA484" t="inlineStr">
        <is>
          <t>SUP-07, SUP-10</t>
        </is>
      </c>
      <c r="AB484" t="inlineStr">
        <is>
          <t>Saldo dentro del rango objetivo; sin accion.</t>
        </is>
      </c>
      <c r="AC484" t="inlineStr">
        <is>
          <t>Cierre del dia anterior (saldo encadenado, RN-71)</t>
        </is>
      </c>
      <c r="AD484" t="inlineStr">
        <is>
          <t>estimada</t>
        </is>
      </c>
      <c r="AE484" t="inlineStr">
        <is>
          <t>Participacion historica por denominacion (SUP-09)</t>
        </is>
      </c>
    </row>
    <row r="485">
      <c r="A485" t="inlineStr">
        <is>
          <t>PRAGMA</t>
        </is>
      </c>
      <c r="B485" t="inlineStr">
        <is>
          <t>PASTO|TRANSPORTADORA_001</t>
        </is>
      </c>
      <c r="C485" t="inlineStr">
        <is>
          <t>Pasto</t>
        </is>
      </c>
      <c r="D485" t="inlineStr">
        <is>
          <t>TRANSPORTADORA_001</t>
        </is>
      </c>
      <c r="E485" s="23" t="n">
        <v>46265</v>
      </c>
      <c r="F485" s="23" t="n">
        <v>46273</v>
      </c>
      <c r="G485" t="inlineStr">
        <is>
          <t>Sí</t>
        </is>
      </c>
      <c r="H485" s="25" t="n">
        <v>2000</v>
      </c>
      <c r="I485" s="26" t="n">
        <v>214905036</v>
      </c>
      <c r="J485" s="26" t="n">
        <v>57406541</v>
      </c>
      <c r="K485" s="26" t="n">
        <v>45070304</v>
      </c>
      <c r="L485" s="26">
        <f>J485-K485</f>
        <v>12336237</v>
      </c>
      <c r="M485" s="26">
        <f>I485+L485</f>
        <v>227241273</v>
      </c>
      <c r="N485" s="26" t="n">
        <v>60099200</v>
      </c>
      <c r="O485" s="26" t="n">
        <v>218512000</v>
      </c>
      <c r="P485" s="26">
        <f>MAX(0,N485-M485)</f>
        <v>0</v>
      </c>
      <c r="Q485" s="26">
        <f>MAX(0,M485-O485)</f>
        <v>8729273</v>
      </c>
      <c r="R485" t="inlineStr">
        <is>
          <t>bajo</t>
        </is>
      </c>
      <c r="S485" t="inlineStr">
        <is>
          <t>venta_efectivo</t>
        </is>
      </c>
      <c r="T485" t="inlineStr">
        <is>
          <t>salida</t>
        </is>
      </c>
      <c r="U485" s="26" t="n">
        <v>8730000</v>
      </c>
      <c r="V485" t="inlineStr">
        <is>
          <t>PASTO|TRANSPORTADORA_001</t>
        </is>
      </c>
      <c r="X485" s="26">
        <f>IF(T485="entrada",M485+U485,IF(T485="salida",M485-U485,M485))</f>
        <v>218511273</v>
      </c>
      <c r="Y485" s="26" t="n">
        <v>0</v>
      </c>
      <c r="Z485" t="inlineStr">
        <is>
          <t>Menor costo neto entre las alternativas que cubren la necesidad completa</t>
        </is>
      </c>
      <c r="AA485" t="inlineStr">
        <is>
          <t>SUP-08, SUP-10, SUP-23</t>
        </is>
      </c>
      <c r="AB485" t="inlineStr">
        <is>
          <t>Excedente de $8.729.272 en la denominacion 2000: saldo $227.241.272 sobre el maximo $218.512.000. Elegida: venta ($8.730.000; beneficio de referencia $3.492). Es preferible porque tiene el menor costo neto. Otras alternativas: conservar ($8.730.000; costo de almacenar $684); traslado con CALI|TRANSPORTADORA_001 ($4.726.000; costo $812.595, cubre solo una parte); traslado con CALI|TRANSPORTADORA_003 ($8.730.000; costo $816.427); consignacion BanRep: no habilitada en este fondo (sin historico o fuera de las ciudades BanRep).</t>
        </is>
      </c>
      <c r="AC485" t="inlineStr">
        <is>
          <t>Cierre del dia anterior (saldo encadenado, RN-71)</t>
        </is>
      </c>
      <c r="AD485" t="inlineStr">
        <is>
          <t>estimada</t>
        </is>
      </c>
      <c r="AE485" t="inlineStr">
        <is>
          <t>Participacion historica por denominacion (SUP-09)</t>
        </is>
      </c>
    </row>
    <row r="486">
      <c r="A486" t="inlineStr">
        <is>
          <t>PRAGMA</t>
        </is>
      </c>
      <c r="B486" t="inlineStr">
        <is>
          <t>PASTO|TRANSPORTADORA_001</t>
        </is>
      </c>
      <c r="C486" t="inlineStr">
        <is>
          <t>Pasto</t>
        </is>
      </c>
      <c r="D486" t="inlineStr">
        <is>
          <t>TRANSPORTADORA_001</t>
        </is>
      </c>
      <c r="E486" s="23" t="n">
        <v>46265</v>
      </c>
      <c r="F486" s="23" t="n">
        <v>46274</v>
      </c>
      <c r="G486" t="inlineStr">
        <is>
          <t>Sí</t>
        </is>
      </c>
      <c r="H486" s="25" t="n">
        <v>2000</v>
      </c>
      <c r="I486" s="26" t="n">
        <v>218511272</v>
      </c>
      <c r="J486" s="26" t="n">
        <v>57062547</v>
      </c>
      <c r="K486" s="26" t="n">
        <v>45479014</v>
      </c>
      <c r="L486" s="26">
        <f>J486-K486</f>
        <v>11583533</v>
      </c>
      <c r="M486" s="26">
        <f>I486+L486</f>
        <v>230094805</v>
      </c>
      <c r="N486" s="26" t="n">
        <v>60099200</v>
      </c>
      <c r="O486" s="26" t="n">
        <v>218512000</v>
      </c>
      <c r="P486" s="26">
        <f>MAX(0,N486-M486)</f>
        <v>0</v>
      </c>
      <c r="Q486" s="26">
        <f>MAX(0,M486-O486)</f>
        <v>11582805</v>
      </c>
      <c r="R486" t="inlineStr">
        <is>
          <t>bajo</t>
        </is>
      </c>
      <c r="S486" t="inlineStr">
        <is>
          <t>venta_efectivo</t>
        </is>
      </c>
      <c r="T486" t="inlineStr">
        <is>
          <t>salida</t>
        </is>
      </c>
      <c r="U486" s="26" t="n">
        <v>11584000</v>
      </c>
      <c r="V486" t="inlineStr">
        <is>
          <t>PASTO|TRANSPORTADORA_001</t>
        </is>
      </c>
      <c r="X486" s="26">
        <f>IF(T486="entrada",M486+U486,IF(T486="salida",M486-U486,M486))</f>
        <v>218510805</v>
      </c>
      <c r="Y486" s="26" t="n">
        <v>0</v>
      </c>
      <c r="Z486" t="inlineStr">
        <is>
          <t>Menor costo neto entre las alternativas que cubren la necesidad completa</t>
        </is>
      </c>
      <c r="AA486" t="inlineStr">
        <is>
          <t>SUP-08, SUP-10, SUP-23</t>
        </is>
      </c>
      <c r="AB486" t="inlineStr">
        <is>
          <t>Excedente de $11.582.805 en la denominacion 2000: saldo $230.094.805 sobre el maximo $218.512.000. Elegida: venta ($11.584.000; beneficio de referencia $4.634). Es preferible porque tiene el menor costo neto. Otras alternativas: conservar ($11.584.000; costo de almacenar $795); traslado con CALI|TRANSPORTADORA_003 ($11.584.000; costo $819.158); consignacion BanRep: no habilitada en este fondo (sin historico o fuera de las ciudades BanRep).</t>
        </is>
      </c>
      <c r="AC486" t="inlineStr">
        <is>
          <t>Cierre del dia anterior (saldo encadenado, RN-71)</t>
        </is>
      </c>
      <c r="AD486" t="inlineStr">
        <is>
          <t>estimada</t>
        </is>
      </c>
      <c r="AE486" t="inlineStr">
        <is>
          <t>Participacion historica por denominacion (SUP-09)</t>
        </is>
      </c>
    </row>
    <row r="487">
      <c r="A487" t="inlineStr">
        <is>
          <t>PRAGMA</t>
        </is>
      </c>
      <c r="B487" t="inlineStr">
        <is>
          <t>PASTO|TRANSPORTADORA_001</t>
        </is>
      </c>
      <c r="C487" t="inlineStr">
        <is>
          <t>Pasto</t>
        </is>
      </c>
      <c r="D487" t="inlineStr">
        <is>
          <t>TRANSPORTADORA_001</t>
        </is>
      </c>
      <c r="E487" s="23" t="n">
        <v>46265</v>
      </c>
      <c r="F487" s="23" t="n">
        <v>46275</v>
      </c>
      <c r="G487" t="inlineStr">
        <is>
          <t>Sí</t>
        </is>
      </c>
      <c r="H487" s="25" t="n">
        <v>2000</v>
      </c>
      <c r="I487" s="26" t="n">
        <v>218510805</v>
      </c>
      <c r="J487" s="26" t="n">
        <v>49599289</v>
      </c>
      <c r="K487" s="26" t="n">
        <v>42489148</v>
      </c>
      <c r="L487" s="26">
        <f>J487-K487</f>
        <v>7110141</v>
      </c>
      <c r="M487" s="26">
        <f>I487+L487</f>
        <v>225620946</v>
      </c>
      <c r="N487" s="26" t="n">
        <v>60099200</v>
      </c>
      <c r="O487" s="26" t="n">
        <v>218512000</v>
      </c>
      <c r="P487" s="26">
        <f>MAX(0,N487-M487)</f>
        <v>0</v>
      </c>
      <c r="Q487" s="26">
        <f>MAX(0,M487-O487)</f>
        <v>7108946</v>
      </c>
      <c r="R487" t="inlineStr">
        <is>
          <t>bajo</t>
        </is>
      </c>
      <c r="S487" t="inlineStr">
        <is>
          <t>venta_efectivo</t>
        </is>
      </c>
      <c r="T487" t="inlineStr">
        <is>
          <t>salida</t>
        </is>
      </c>
      <c r="U487" s="26" t="n">
        <v>7110000</v>
      </c>
      <c r="V487" t="inlineStr">
        <is>
          <t>PASTO|TRANSPORTADORA_001</t>
        </is>
      </c>
      <c r="X487" s="26">
        <f>IF(T487="entrada",M487+U487,IF(T487="salida",M487-U487,M487))</f>
        <v>218510946</v>
      </c>
      <c r="Y487" s="26" t="n">
        <v>0</v>
      </c>
      <c r="Z487" t="inlineStr">
        <is>
          <t>Menor costo neto entre las alternativas que cubren la necesidad completa</t>
        </is>
      </c>
      <c r="AA487" t="inlineStr">
        <is>
          <t>SUP-08, SUP-10, SUP-23</t>
        </is>
      </c>
      <c r="AB487" t="inlineStr">
        <is>
          <t>Excedente de $7.108.946 en la denominacion 2000: saldo $225.620.946 sobre el maximo $218.512.000. Elegida: venta ($7.110.000; beneficio de referencia $2.844). Es preferible porque tiene el menor costo neto. Otras alternativas: conservar ($7.110.000; costo de almacenar $418); traslado con CALI|TRANSPORTADORA_003 ($7.110.000; costo $814.876); consignacion BanRep: no habilitada en este fondo (sin historico o fuera de las ciudades BanRep).</t>
        </is>
      </c>
      <c r="AC487" t="inlineStr">
        <is>
          <t>Cierre del dia anterior (saldo encadenado, RN-71)</t>
        </is>
      </c>
      <c r="AD487" t="inlineStr">
        <is>
          <t>estimada</t>
        </is>
      </c>
      <c r="AE487" t="inlineStr">
        <is>
          <t>Participacion historica por denominacion (SUP-09)</t>
        </is>
      </c>
    </row>
    <row r="488">
      <c r="A488" t="inlineStr">
        <is>
          <t>PRAGMA</t>
        </is>
      </c>
      <c r="B488" t="inlineStr">
        <is>
          <t>PASTO|TRANSPORTADORA_001</t>
        </is>
      </c>
      <c r="C488" t="inlineStr">
        <is>
          <t>Pasto</t>
        </is>
      </c>
      <c r="D488" t="inlineStr">
        <is>
          <t>TRANSPORTADORA_001</t>
        </is>
      </c>
      <c r="E488" s="23" t="n">
        <v>46265</v>
      </c>
      <c r="F488" s="23" t="n">
        <v>46276</v>
      </c>
      <c r="G488" t="inlineStr">
        <is>
          <t>Sí</t>
        </is>
      </c>
      <c r="H488" s="25" t="n">
        <v>2000</v>
      </c>
      <c r="I488" s="26" t="n">
        <v>218510946</v>
      </c>
      <c r="J488" s="26" t="n">
        <v>54561761</v>
      </c>
      <c r="K488" s="26" t="n">
        <v>48163514</v>
      </c>
      <c r="L488" s="26">
        <f>J488-K488</f>
        <v>6398247</v>
      </c>
      <c r="M488" s="26">
        <f>I488+L488</f>
        <v>224909193</v>
      </c>
      <c r="N488" s="26" t="n">
        <v>60099200</v>
      </c>
      <c r="O488" s="26" t="n">
        <v>218512000</v>
      </c>
      <c r="P488" s="26">
        <f>MAX(0,N488-M488)</f>
        <v>0</v>
      </c>
      <c r="Q488" s="26">
        <f>MAX(0,M488-O488)</f>
        <v>6397193</v>
      </c>
      <c r="R488" t="inlineStr">
        <is>
          <t>bajo</t>
        </is>
      </c>
      <c r="S488" t="inlineStr">
        <is>
          <t>venta_efectivo</t>
        </is>
      </c>
      <c r="T488" t="inlineStr">
        <is>
          <t>salida</t>
        </is>
      </c>
      <c r="U488" s="26" t="n">
        <v>6398000</v>
      </c>
      <c r="V488" t="inlineStr">
        <is>
          <t>PASTO|TRANSPORTADORA_001</t>
        </is>
      </c>
      <c r="X488" s="26">
        <f>IF(T488="entrada",M488+U488,IF(T488="salida",M488-U488,M488))</f>
        <v>218511193</v>
      </c>
      <c r="Y488" s="26" t="n">
        <v>0</v>
      </c>
      <c r="Z488" t="inlineStr">
        <is>
          <t>Menor costo neto entre las alternativas que cubren la necesidad completa</t>
        </is>
      </c>
      <c r="AA488" t="inlineStr">
        <is>
          <t>SUP-08, SUP-10, SUP-23</t>
        </is>
      </c>
      <c r="AB488" t="inlineStr">
        <is>
          <t>Excedente de $6.397.193 en la denominacion 2000: saldo $224.909.193 sobre el maximo $218.512.000. Elegida: venta ($6.398.000; beneficio de referencia $2.559). Es preferible porque tiene el menor costo neto. Otras alternativas: conservar ($6.398.000; costo de almacenar $314); traslado con CALI|TRANSPORTADORA_003 ($6.398.000; costo $814.195); consignacion BanRep: no habilitada en este fondo (sin historico o fuera de las ciudades BanRep).</t>
        </is>
      </c>
      <c r="AC488" t="inlineStr">
        <is>
          <t>Cierre del dia anterior (saldo encadenado, RN-71)</t>
        </is>
      </c>
      <c r="AD488" t="inlineStr">
        <is>
          <t>estimada</t>
        </is>
      </c>
      <c r="AE488" t="inlineStr">
        <is>
          <t>Participacion historica por denominacion (SUP-09)</t>
        </is>
      </c>
    </row>
    <row r="489">
      <c r="A489" t="inlineStr">
        <is>
          <t>PRAGMA</t>
        </is>
      </c>
      <c r="B489" t="inlineStr">
        <is>
          <t>PASTO|TRANSPORTADORA_001</t>
        </is>
      </c>
      <c r="C489" t="inlineStr">
        <is>
          <t>Pasto</t>
        </is>
      </c>
      <c r="D489" t="inlineStr">
        <is>
          <t>TRANSPORTADORA_001</t>
        </is>
      </c>
      <c r="E489" s="23" t="n">
        <v>46265</v>
      </c>
      <c r="F489" s="23" t="n">
        <v>46277</v>
      </c>
      <c r="G489" t="inlineStr">
        <is>
          <t>No</t>
        </is>
      </c>
      <c r="H489" s="25" t="n">
        <v>2000</v>
      </c>
      <c r="I489" s="26" t="n">
        <v>218511193</v>
      </c>
      <c r="J489" s="26" t="n">
        <v>20857754</v>
      </c>
      <c r="K489" s="26" t="n">
        <v>32080516</v>
      </c>
      <c r="L489" s="26">
        <f>J489-K489</f>
        <v>-11222762</v>
      </c>
      <c r="M489" s="26">
        <f>I489+L489</f>
        <v>207288431</v>
      </c>
      <c r="N489" s="26" t="n">
        <v>60099200</v>
      </c>
      <c r="O489" s="26" t="n">
        <v>218512000</v>
      </c>
      <c r="P489" s="26">
        <f>MAX(0,N489-M489)</f>
        <v>0</v>
      </c>
      <c r="Q489" s="26">
        <f>MAX(0,M489-O489)</f>
        <v>0</v>
      </c>
      <c r="R489" t="inlineStr">
        <is>
          <t>bajo</t>
        </is>
      </c>
      <c r="S489" t="inlineStr">
        <is>
          <t>sin_accion</t>
        </is>
      </c>
      <c r="T489" t="inlineStr">
        <is>
          <t>ninguno</t>
        </is>
      </c>
      <c r="U489" s="26" t="n">
        <v>0</v>
      </c>
      <c r="X489" s="26">
        <f>IF(T489="entrada",M489+U489,IF(T489="salida",M489-U489,M489))</f>
        <v>207288431</v>
      </c>
      <c r="Y489" s="26" t="n">
        <v>0</v>
      </c>
      <c r="Z489" t="inlineStr">
        <is>
          <t>RN-85: dentro de niveles objetivo (sin_accion)</t>
        </is>
      </c>
      <c r="AA489" t="inlineStr">
        <is>
          <t>SUP-07, SUP-10</t>
        </is>
      </c>
      <c r="AB489" t="inlineStr">
        <is>
          <t>Saldo dentro del rango objetivo; sin accion.</t>
        </is>
      </c>
      <c r="AC489" t="inlineStr">
        <is>
          <t>Cierre del dia anterior (saldo encadenado, RN-71)</t>
        </is>
      </c>
      <c r="AD489" t="inlineStr">
        <is>
          <t>estimada</t>
        </is>
      </c>
      <c r="AE489" t="inlineStr">
        <is>
          <t>Participacion historica por denominacion (SUP-09)</t>
        </is>
      </c>
    </row>
    <row r="490">
      <c r="A490" t="inlineStr">
        <is>
          <t>PRAGMA</t>
        </is>
      </c>
      <c r="B490" t="inlineStr">
        <is>
          <t>PASTO|TRANSPORTADORA_001</t>
        </is>
      </c>
      <c r="C490" t="inlineStr">
        <is>
          <t>Pasto</t>
        </is>
      </c>
      <c r="D490" t="inlineStr">
        <is>
          <t>TRANSPORTADORA_001</t>
        </is>
      </c>
      <c r="E490" s="23" t="n">
        <v>46265</v>
      </c>
      <c r="F490" s="23" t="n">
        <v>46278</v>
      </c>
      <c r="G490" t="inlineStr">
        <is>
          <t>No</t>
        </is>
      </c>
      <c r="H490" s="25" t="n">
        <v>2000</v>
      </c>
      <c r="I490" s="26" t="n">
        <v>207288430</v>
      </c>
      <c r="J490" s="26" t="n">
        <v>3342470</v>
      </c>
      <c r="K490" s="26" t="n">
        <v>5621509</v>
      </c>
      <c r="L490" s="26">
        <f>J490-K490</f>
        <v>-2279039</v>
      </c>
      <c r="M490" s="26">
        <f>I490+L490</f>
        <v>205009391</v>
      </c>
      <c r="N490" s="26" t="n">
        <v>60099200</v>
      </c>
      <c r="O490" s="26" t="n">
        <v>218512000</v>
      </c>
      <c r="P490" s="26">
        <f>MAX(0,N490-M490)</f>
        <v>0</v>
      </c>
      <c r="Q490" s="26">
        <f>MAX(0,M490-O490)</f>
        <v>0</v>
      </c>
      <c r="R490" t="inlineStr">
        <is>
          <t>bajo</t>
        </is>
      </c>
      <c r="S490" t="inlineStr">
        <is>
          <t>sin_accion</t>
        </is>
      </c>
      <c r="T490" t="inlineStr">
        <is>
          <t>ninguno</t>
        </is>
      </c>
      <c r="U490" s="26" t="n">
        <v>0</v>
      </c>
      <c r="X490" s="26">
        <f>IF(T490="entrada",M490+U490,IF(T490="salida",M490-U490,M490))</f>
        <v>205009391</v>
      </c>
      <c r="Y490" s="26" t="n">
        <v>0</v>
      </c>
      <c r="Z490" t="inlineStr">
        <is>
          <t>RN-85: dentro de niveles objetivo (sin_accion)</t>
        </is>
      </c>
      <c r="AA490" t="inlineStr">
        <is>
          <t>SUP-07, SUP-10</t>
        </is>
      </c>
      <c r="AB490" t="inlineStr">
        <is>
          <t>Saldo dentro del rango objetivo; sin accion.</t>
        </is>
      </c>
      <c r="AC490" t="inlineStr">
        <is>
          <t>Cierre del dia anterior (saldo encadenado, RN-71)</t>
        </is>
      </c>
      <c r="AD490" t="inlineStr">
        <is>
          <t>estimada</t>
        </is>
      </c>
      <c r="AE490" t="inlineStr">
        <is>
          <t>Participacion historica por denominacion (SUP-09)</t>
        </is>
      </c>
    </row>
    <row r="491">
      <c r="A491" t="inlineStr">
        <is>
          <t>PRAGMA</t>
        </is>
      </c>
      <c r="B491" t="inlineStr">
        <is>
          <t>PASTO|TRANSPORTADORA_001</t>
        </is>
      </c>
      <c r="C491" t="inlineStr">
        <is>
          <t>Pasto</t>
        </is>
      </c>
      <c r="D491" t="inlineStr">
        <is>
          <t>TRANSPORTADORA_001</t>
        </is>
      </c>
      <c r="E491" s="23" t="n">
        <v>46265</v>
      </c>
      <c r="F491" s="23" t="n">
        <v>46279</v>
      </c>
      <c r="G491" t="inlineStr">
        <is>
          <t>Sí</t>
        </is>
      </c>
      <c r="H491" s="25" t="n">
        <v>2000</v>
      </c>
      <c r="I491" s="26" t="n">
        <v>205009392</v>
      </c>
      <c r="J491" s="26" t="n">
        <v>47783123</v>
      </c>
      <c r="K491" s="26" t="n">
        <v>32149886</v>
      </c>
      <c r="L491" s="26">
        <f>J491-K491</f>
        <v>15633237</v>
      </c>
      <c r="M491" s="26">
        <f>I491+L491</f>
        <v>220642629</v>
      </c>
      <c r="N491" s="26" t="n">
        <v>60099200</v>
      </c>
      <c r="O491" s="26" t="n">
        <v>218512000</v>
      </c>
      <c r="P491" s="26">
        <f>MAX(0,N491-M491)</f>
        <v>0</v>
      </c>
      <c r="Q491" s="26">
        <f>MAX(0,M491-O491)</f>
        <v>2130629</v>
      </c>
      <c r="R491" t="inlineStr">
        <is>
          <t>bajo</t>
        </is>
      </c>
      <c r="S491" t="inlineStr">
        <is>
          <t>venta_efectivo</t>
        </is>
      </c>
      <c r="T491" t="inlineStr">
        <is>
          <t>salida</t>
        </is>
      </c>
      <c r="U491" s="26" t="n">
        <v>2132000</v>
      </c>
      <c r="V491" t="inlineStr">
        <is>
          <t>PASTO|TRANSPORTADORA_001</t>
        </is>
      </c>
      <c r="X491" s="26">
        <f>IF(T491="entrada",M491+U491,IF(T491="salida",M491-U491,M491))</f>
        <v>218510629</v>
      </c>
      <c r="Y491" s="26" t="n">
        <v>0</v>
      </c>
      <c r="Z491" t="inlineStr">
        <is>
          <t>Menor costo neto entre las alternativas que cubren la necesidad completa</t>
        </is>
      </c>
      <c r="AA491" t="inlineStr">
        <is>
          <t>SUP-08, SUP-10, SUP-23</t>
        </is>
      </c>
      <c r="AB491" t="inlineStr">
        <is>
          <t>Excedente de $2.130.630 en la denominacion 2000: saldo $220.642.630 sobre el maximo $218.512.000. Elegida: venta ($2.132.000; beneficio de referencia $853). Es preferible porque tiene el menor costo neto. Otras alternativas: conservar ($2.132.000; costo de almacenar $42); traslado con CALI|TRANSPORTADORA_003 ($2.132.000; costo $810.112); consignacion BanRep: no habilitada en este fondo (sin historico o fuera de las ciudades BanRep).</t>
        </is>
      </c>
      <c r="AC491" t="inlineStr">
        <is>
          <t>Cierre del dia anterior (saldo encadenado, RN-71)</t>
        </is>
      </c>
      <c r="AD491" t="inlineStr">
        <is>
          <t>estimada</t>
        </is>
      </c>
      <c r="AE491" t="inlineStr">
        <is>
          <t>Participacion historica por denominacion (SUP-09)</t>
        </is>
      </c>
    </row>
    <row r="492">
      <c r="A492" t="inlineStr">
        <is>
          <t>PRAGMA</t>
        </is>
      </c>
      <c r="B492" t="inlineStr">
        <is>
          <t>PASTO|TRANSPORTADORA_001</t>
        </is>
      </c>
      <c r="C492" t="inlineStr">
        <is>
          <t>Pasto</t>
        </is>
      </c>
      <c r="D492" t="inlineStr">
        <is>
          <t>TRANSPORTADORA_001</t>
        </is>
      </c>
      <c r="E492" s="23" t="n">
        <v>46265</v>
      </c>
      <c r="F492" s="23" t="n">
        <v>46280</v>
      </c>
      <c r="G492" t="inlineStr">
        <is>
          <t>Sí</t>
        </is>
      </c>
      <c r="H492" s="25" t="n">
        <v>2000</v>
      </c>
      <c r="I492" s="26" t="n">
        <v>218510630</v>
      </c>
      <c r="J492" s="26" t="n">
        <v>56303929</v>
      </c>
      <c r="K492" s="26" t="n">
        <v>47409032</v>
      </c>
      <c r="L492" s="26">
        <f>J492-K492</f>
        <v>8894897</v>
      </c>
      <c r="M492" s="26">
        <f>I492+L492</f>
        <v>227405527</v>
      </c>
      <c r="N492" s="26" t="n">
        <v>60099200</v>
      </c>
      <c r="O492" s="26" t="n">
        <v>218512000</v>
      </c>
      <c r="P492" s="26">
        <f>MAX(0,N492-M492)</f>
        <v>0</v>
      </c>
      <c r="Q492" s="26">
        <f>MAX(0,M492-O492)</f>
        <v>8893527</v>
      </c>
      <c r="R492" t="inlineStr">
        <is>
          <t>bajo</t>
        </is>
      </c>
      <c r="S492" t="inlineStr">
        <is>
          <t>venta_efectivo</t>
        </is>
      </c>
      <c r="T492" t="inlineStr">
        <is>
          <t>salida</t>
        </is>
      </c>
      <c r="U492" s="26" t="n">
        <v>8894000</v>
      </c>
      <c r="V492" t="inlineStr">
        <is>
          <t>PASTO|TRANSPORTADORA_001</t>
        </is>
      </c>
      <c r="X492" s="26">
        <f>IF(T492="entrada",M492+U492,IF(T492="salida",M492-U492,M492))</f>
        <v>218511527</v>
      </c>
      <c r="Y492" s="26" t="n">
        <v>0</v>
      </c>
      <c r="Z492" t="inlineStr">
        <is>
          <t>Menor costo neto entre las alternativas que cubren la necesidad completa</t>
        </is>
      </c>
      <c r="AA492" t="inlineStr">
        <is>
          <t>SUP-08, SUP-10, SUP-23</t>
        </is>
      </c>
      <c r="AB492" t="inlineStr">
        <is>
          <t>Excedente de $8.893.527 en la denominacion 2000: saldo $227.405.527 sobre el maximo $218.512.000. Elegida: venta ($8.894.000; beneficio de referencia $3.558). Es preferible porque tiene el menor costo neto. Otras alternativas: conservar ($8.894.000; costo de almacenar $87); traslado con CALI|TRANSPORTADORA_003 ($8.894.000; costo $816.584); consignacion BanRep: no habilitada en este fondo (sin historico o fuera de las ciudades BanRep).</t>
        </is>
      </c>
      <c r="AC492" t="inlineStr">
        <is>
          <t>Cierre del dia anterior (saldo encadenado, RN-71)</t>
        </is>
      </c>
      <c r="AD492" t="inlineStr">
        <is>
          <t>estimada</t>
        </is>
      </c>
      <c r="AE492" t="inlineStr">
        <is>
          <t>Participacion historica por denominacion (SUP-09)</t>
        </is>
      </c>
    </row>
    <row r="493">
      <c r="A493" t="inlineStr">
        <is>
          <t>PRAGMA</t>
        </is>
      </c>
      <c r="B493" t="inlineStr">
        <is>
          <t>PASTO|TRANSPORTADORA_001</t>
        </is>
      </c>
      <c r="C493" t="inlineStr">
        <is>
          <t>Pasto</t>
        </is>
      </c>
      <c r="D493" t="inlineStr">
        <is>
          <t>TRANSPORTADORA_001</t>
        </is>
      </c>
      <c r="E493" s="23" t="n">
        <v>46265</v>
      </c>
      <c r="F493" s="23" t="n">
        <v>46266</v>
      </c>
      <c r="G493" t="inlineStr">
        <is>
          <t>Sí</t>
        </is>
      </c>
      <c r="H493" s="25" t="n">
        <v>5000</v>
      </c>
      <c r="I493" s="26" t="n">
        <v>798395000</v>
      </c>
      <c r="J493" s="26" t="n">
        <v>166777549</v>
      </c>
      <c r="K493" s="26" t="n">
        <v>165957234</v>
      </c>
      <c r="L493" s="26">
        <f>J493-K493</f>
        <v>820315</v>
      </c>
      <c r="M493" s="26">
        <f>I493+L493</f>
        <v>799215315</v>
      </c>
      <c r="N493" s="26" t="n">
        <v>271436000</v>
      </c>
      <c r="O493" s="26" t="n">
        <v>546523000</v>
      </c>
      <c r="P493" s="26">
        <f>MAX(0,N493-M493)</f>
        <v>0</v>
      </c>
      <c r="Q493" s="26">
        <f>MAX(0,M493-O493)</f>
        <v>252692315</v>
      </c>
      <c r="R493" t="inlineStr">
        <is>
          <t>bajo</t>
        </is>
      </c>
      <c r="S493" t="inlineStr">
        <is>
          <t>venta_efectivo</t>
        </is>
      </c>
      <c r="T493" t="inlineStr">
        <is>
          <t>salida</t>
        </is>
      </c>
      <c r="U493" s="26" t="n">
        <v>252695000</v>
      </c>
      <c r="V493" t="inlineStr">
        <is>
          <t>PASTO|TRANSPORTADORA_001</t>
        </is>
      </c>
      <c r="X493" s="26">
        <f>IF(T493="entrada",M493+U493,IF(T493="salida",M493-U493,M493))</f>
        <v>546520315</v>
      </c>
      <c r="Y493" s="26" t="n">
        <v>0</v>
      </c>
      <c r="Z493" t="inlineStr">
        <is>
          <t>Menor costo neto entre las alternativas que cubren la necesidad completa</t>
        </is>
      </c>
      <c r="AA493" t="inlineStr">
        <is>
          <t>SUP-08, SUP-10, SUP-23</t>
        </is>
      </c>
      <c r="AB493" t="inlineStr">
        <is>
          <t>Excedente de $252.692.315 en la denominacion 5000: saldo $799.215.315 sobre el maximo $546.523.000. Elegida: venta ($252.695.000; beneficio de referencia $101.078). Es preferible porque tiene el menor costo neto. Otras alternativas: conservar ($252.695.000; costo de almacenar $37.146); traslado con IPIALES|TRANSPORTADORA_002 ($201.625.000; costo $156.976, cubre solo una parte); traslado con CALI|TRANSPORTADORA_004 ($525.000; costo $808.574, cubre solo una parte); traslado con CALI|TRANSPORTADORA_001 ($252.695.000; costo $1.049.901); traslado con CALI|TRANSPORTADORA_002 ($252.695.000; costo $1.049.901); traslado con CALI|TRANSPORTADORA_003 ($252.695.000; costo $1.049.901); consignacion BanRep: no habilitada en este fondo (sin historico o fuera de las ciudades BanRep).</t>
        </is>
      </c>
      <c r="AC493" t="inlineStr">
        <is>
          <t>Ultimo disponible al 31/08/2026 (SUP-07)</t>
        </is>
      </c>
      <c r="AD493" t="inlineStr">
        <is>
          <t>estimada</t>
        </is>
      </c>
      <c r="AE493" t="inlineStr">
        <is>
          <t>Participacion historica por denominacion (SUP-09)</t>
        </is>
      </c>
    </row>
    <row r="494">
      <c r="A494" t="inlineStr">
        <is>
          <t>PRAGMA</t>
        </is>
      </c>
      <c r="B494" t="inlineStr">
        <is>
          <t>PASTO|TRANSPORTADORA_001</t>
        </is>
      </c>
      <c r="C494" t="inlineStr">
        <is>
          <t>Pasto</t>
        </is>
      </c>
      <c r="D494" t="inlineStr">
        <is>
          <t>TRANSPORTADORA_001</t>
        </is>
      </c>
      <c r="E494" s="23" t="n">
        <v>46265</v>
      </c>
      <c r="F494" s="23" t="n">
        <v>46267</v>
      </c>
      <c r="G494" t="inlineStr">
        <is>
          <t>Sí</t>
        </is>
      </c>
      <c r="H494" s="25" t="n">
        <v>5000</v>
      </c>
      <c r="I494" s="26" t="n">
        <v>546520315</v>
      </c>
      <c r="J494" s="26" t="n">
        <v>169983217</v>
      </c>
      <c r="K494" s="26" t="n">
        <v>159855818</v>
      </c>
      <c r="L494" s="26">
        <f>J494-K494</f>
        <v>10127399</v>
      </c>
      <c r="M494" s="26">
        <f>I494+L494</f>
        <v>556647714</v>
      </c>
      <c r="N494" s="26" t="n">
        <v>271436000</v>
      </c>
      <c r="O494" s="26" t="n">
        <v>546523000</v>
      </c>
      <c r="P494" s="26">
        <f>MAX(0,N494-M494)</f>
        <v>0</v>
      </c>
      <c r="Q494" s="26">
        <f>MAX(0,M494-O494)</f>
        <v>10124714</v>
      </c>
      <c r="R494" t="inlineStr">
        <is>
          <t>bajo</t>
        </is>
      </c>
      <c r="S494" t="inlineStr">
        <is>
          <t>venta_efectivo</t>
        </is>
      </c>
      <c r="T494" t="inlineStr">
        <is>
          <t>salida</t>
        </is>
      </c>
      <c r="U494" s="26" t="n">
        <v>10125000</v>
      </c>
      <c r="V494" t="inlineStr">
        <is>
          <t>PASTO|TRANSPORTADORA_001</t>
        </is>
      </c>
      <c r="X494" s="26">
        <f>IF(T494="entrada",M494+U494,IF(T494="salida",M494-U494,M494))</f>
        <v>546522714</v>
      </c>
      <c r="Y494" s="26" t="n">
        <v>0</v>
      </c>
      <c r="Z494" t="inlineStr">
        <is>
          <t>Menor costo neto entre las alternativas que cubren la necesidad completa</t>
        </is>
      </c>
      <c r="AA494" t="inlineStr">
        <is>
          <t>SUP-08, SUP-10, SUP-23</t>
        </is>
      </c>
      <c r="AB494" t="inlineStr">
        <is>
          <t>Excedente de $10.124.714 en la denominacion 5000: saldo $556.647.714 sobre el maximo $546.523.000. Elegida: venta ($10.125.000; beneficio de referencia $4.050). Es preferible porque tiene el menor costo neto. Otras alternativas: conservar ($10.125.000; costo de almacenar $1.389); traslado con IPIALES|TRANSPORTADORA_002 ($10.125.000; costo $48.779); traslado con CALI|TRANSPORTADORA_004 ($295.000; costo $808.354, cubre solo una parte); traslado con CALI|TRANSPORTADORA_001 ($10.125.000; costo $817.762); traslado con CALI|TRANSPORTADORA_002 ($10.125.000; costo $817.762); traslado con CALI|TRANSPORTADORA_003 ($10.125.000; costo $817.762); consignacion BanRep: no habilitada en este fondo (sin historico o fuera de las ciudades BanRep).</t>
        </is>
      </c>
      <c r="AC494" t="inlineStr">
        <is>
          <t>Cierre del dia anterior (saldo encadenado, RN-71)</t>
        </is>
      </c>
      <c r="AD494" t="inlineStr">
        <is>
          <t>estimada</t>
        </is>
      </c>
      <c r="AE494" t="inlineStr">
        <is>
          <t>Participacion historica por denominacion (SUP-09)</t>
        </is>
      </c>
    </row>
    <row r="495">
      <c r="A495" t="inlineStr">
        <is>
          <t>PRAGMA</t>
        </is>
      </c>
      <c r="B495" t="inlineStr">
        <is>
          <t>PASTO|TRANSPORTADORA_001</t>
        </is>
      </c>
      <c r="C495" t="inlineStr">
        <is>
          <t>Pasto</t>
        </is>
      </c>
      <c r="D495" t="inlineStr">
        <is>
          <t>TRANSPORTADORA_001</t>
        </is>
      </c>
      <c r="E495" s="23" t="n">
        <v>46265</v>
      </c>
      <c r="F495" s="23" t="n">
        <v>46268</v>
      </c>
      <c r="G495" t="inlineStr">
        <is>
          <t>Sí</t>
        </is>
      </c>
      <c r="H495" s="25" t="n">
        <v>5000</v>
      </c>
      <c r="I495" s="26" t="n">
        <v>546522714</v>
      </c>
      <c r="J495" s="26" t="n">
        <v>156074448</v>
      </c>
      <c r="K495" s="26" t="n">
        <v>117114344</v>
      </c>
      <c r="L495" s="26">
        <f>J495-K495</f>
        <v>38960104</v>
      </c>
      <c r="M495" s="26">
        <f>I495+L495</f>
        <v>585482818</v>
      </c>
      <c r="N495" s="26" t="n">
        <v>271436000</v>
      </c>
      <c r="O495" s="26" t="n">
        <v>546523000</v>
      </c>
      <c r="P495" s="26">
        <f>MAX(0,N495-M495)</f>
        <v>0</v>
      </c>
      <c r="Q495" s="26">
        <f>MAX(0,M495-O495)</f>
        <v>38959818</v>
      </c>
      <c r="R495" t="inlineStr">
        <is>
          <t>bajo</t>
        </is>
      </c>
      <c r="S495" t="inlineStr">
        <is>
          <t>venta_efectivo</t>
        </is>
      </c>
      <c r="T495" t="inlineStr">
        <is>
          <t>salida</t>
        </is>
      </c>
      <c r="U495" s="26" t="n">
        <v>38960000</v>
      </c>
      <c r="V495" t="inlineStr">
        <is>
          <t>PASTO|TRANSPORTADORA_001</t>
        </is>
      </c>
      <c r="X495" s="26">
        <f>IF(T495="entrada",M495+U495,IF(T495="salida",M495-U495,M495))</f>
        <v>546522818</v>
      </c>
      <c r="Y495" s="26" t="n">
        <v>0</v>
      </c>
      <c r="Z495" t="inlineStr">
        <is>
          <t>Menor costo neto entre las alternativas que cubren la necesidad completa</t>
        </is>
      </c>
      <c r="AA495" t="inlineStr">
        <is>
          <t>SUP-08, SUP-10, SUP-23</t>
        </is>
      </c>
      <c r="AB495" t="inlineStr">
        <is>
          <t>Excedente de $38.959.817 en la denominacion 5000: saldo $585.482.817 sobre el maximo $546.523.000. Elegida: venta ($38.960.000; beneficio de referencia $15.584). Es preferible porque tiene el menor costo neto. Otras alternativas: conservar ($38.960.000; costo de almacenar $4.964); traslado con CALI|TRANSPORTADORA_004 ($15.000; costo $808.086, cubre solo una parte); traslado con CALI|TRANSPORTADORA_001 ($38.960.000; costo $845.357); traslado con CALI|TRANSPORTADORA_002 ($38.960.000; costo $845.357); traslado con CALI|TRANSPORTADORA_003 ($38.960.000; costo $845.357); consignacion BanRep: no habilitada en este fondo (sin historico o fuera de las ciudades BanRep).</t>
        </is>
      </c>
      <c r="AC495" t="inlineStr">
        <is>
          <t>Cierre del dia anterior (saldo encadenado, RN-71)</t>
        </is>
      </c>
      <c r="AD495" t="inlineStr">
        <is>
          <t>estimada</t>
        </is>
      </c>
      <c r="AE495" t="inlineStr">
        <is>
          <t>Participacion historica por denominacion (SUP-09)</t>
        </is>
      </c>
    </row>
    <row r="496">
      <c r="A496" t="inlineStr">
        <is>
          <t>PRAGMA</t>
        </is>
      </c>
      <c r="B496" t="inlineStr">
        <is>
          <t>PASTO|TRANSPORTADORA_001</t>
        </is>
      </c>
      <c r="C496" t="inlineStr">
        <is>
          <t>Pasto</t>
        </is>
      </c>
      <c r="D496" t="inlineStr">
        <is>
          <t>TRANSPORTADORA_001</t>
        </is>
      </c>
      <c r="E496" s="23" t="n">
        <v>46265</v>
      </c>
      <c r="F496" s="23" t="n">
        <v>46269</v>
      </c>
      <c r="G496" t="inlineStr">
        <is>
          <t>Sí</t>
        </is>
      </c>
      <c r="H496" s="25" t="n">
        <v>5000</v>
      </c>
      <c r="I496" s="26" t="n">
        <v>546522817</v>
      </c>
      <c r="J496" s="26" t="n">
        <v>162825484</v>
      </c>
      <c r="K496" s="26" t="n">
        <v>169999742</v>
      </c>
      <c r="L496" s="26">
        <f>J496-K496</f>
        <v>-7174258</v>
      </c>
      <c r="M496" s="26">
        <f>I496+L496</f>
        <v>539348559</v>
      </c>
      <c r="N496" s="26" t="n">
        <v>271436000</v>
      </c>
      <c r="O496" s="26" t="n">
        <v>546523000</v>
      </c>
      <c r="P496" s="26">
        <f>MAX(0,N496-M496)</f>
        <v>0</v>
      </c>
      <c r="Q496" s="26">
        <f>MAX(0,M496-O496)</f>
        <v>0</v>
      </c>
      <c r="R496" t="inlineStr">
        <is>
          <t>bajo</t>
        </is>
      </c>
      <c r="S496" t="inlineStr">
        <is>
          <t>sin_accion</t>
        </is>
      </c>
      <c r="T496" t="inlineStr">
        <is>
          <t>ninguno</t>
        </is>
      </c>
      <c r="U496" s="26" t="n">
        <v>0</v>
      </c>
      <c r="X496" s="26">
        <f>IF(T496="entrada",M496+U496,IF(T496="salida",M496-U496,M496))</f>
        <v>539348559</v>
      </c>
      <c r="Y496" s="26" t="n">
        <v>0</v>
      </c>
      <c r="Z496" t="inlineStr">
        <is>
          <t>RN-85: dentro de niveles objetivo (sin_accion)</t>
        </is>
      </c>
      <c r="AA496" t="inlineStr">
        <is>
          <t>SUP-07, SUP-10</t>
        </is>
      </c>
      <c r="AB496" t="inlineStr">
        <is>
          <t>Saldo dentro del rango objetivo; sin accion.</t>
        </is>
      </c>
      <c r="AC496" t="inlineStr">
        <is>
          <t>Cierre del dia anterior (saldo encadenado, RN-71)</t>
        </is>
      </c>
      <c r="AD496" t="inlineStr">
        <is>
          <t>estimada</t>
        </is>
      </c>
      <c r="AE496" t="inlineStr">
        <is>
          <t>Participacion historica por denominacion (SUP-09)</t>
        </is>
      </c>
    </row>
    <row r="497">
      <c r="A497" t="inlineStr">
        <is>
          <t>PRAGMA</t>
        </is>
      </c>
      <c r="B497" t="inlineStr">
        <is>
          <t>PASTO|TRANSPORTADORA_001</t>
        </is>
      </c>
      <c r="C497" t="inlineStr">
        <is>
          <t>Pasto</t>
        </is>
      </c>
      <c r="D497" t="inlineStr">
        <is>
          <t>TRANSPORTADORA_001</t>
        </is>
      </c>
      <c r="E497" s="23" t="n">
        <v>46265</v>
      </c>
      <c r="F497" s="23" t="n">
        <v>46270</v>
      </c>
      <c r="G497" t="inlineStr">
        <is>
          <t>No</t>
        </is>
      </c>
      <c r="H497" s="25" t="n">
        <v>5000</v>
      </c>
      <c r="I497" s="26" t="n">
        <v>539348559</v>
      </c>
      <c r="J497" s="26" t="n">
        <v>66453409</v>
      </c>
      <c r="K497" s="26" t="n">
        <v>109027569</v>
      </c>
      <c r="L497" s="26">
        <f>J497-K497</f>
        <v>-42574160</v>
      </c>
      <c r="M497" s="26">
        <f>I497+L497</f>
        <v>496774399</v>
      </c>
      <c r="N497" s="26" t="n">
        <v>271436000</v>
      </c>
      <c r="O497" s="26" t="n">
        <v>546523000</v>
      </c>
      <c r="P497" s="26">
        <f>MAX(0,N497-M497)</f>
        <v>0</v>
      </c>
      <c r="Q497" s="26">
        <f>MAX(0,M497-O497)</f>
        <v>0</v>
      </c>
      <c r="R497" t="inlineStr">
        <is>
          <t>bajo</t>
        </is>
      </c>
      <c r="S497" t="inlineStr">
        <is>
          <t>sin_accion</t>
        </is>
      </c>
      <c r="T497" t="inlineStr">
        <is>
          <t>ninguno</t>
        </is>
      </c>
      <c r="U497" s="26" t="n">
        <v>0</v>
      </c>
      <c r="X497" s="26">
        <f>IF(T497="entrada",M497+U497,IF(T497="salida",M497-U497,M497))</f>
        <v>496774399</v>
      </c>
      <c r="Y497" s="26" t="n">
        <v>0</v>
      </c>
      <c r="Z497" t="inlineStr">
        <is>
          <t>RN-85: dentro de niveles objetivo (sin_accion)</t>
        </is>
      </c>
      <c r="AA497" t="inlineStr">
        <is>
          <t>SUP-07, SUP-10</t>
        </is>
      </c>
      <c r="AB497" t="inlineStr">
        <is>
          <t>Saldo dentro del rango objetivo; sin accion.</t>
        </is>
      </c>
      <c r="AC497" t="inlineStr">
        <is>
          <t>Cierre del dia anterior (saldo encadenado, RN-71)</t>
        </is>
      </c>
      <c r="AD497" t="inlineStr">
        <is>
          <t>estimada</t>
        </is>
      </c>
      <c r="AE497" t="inlineStr">
        <is>
          <t>Participacion historica por denominacion (SUP-09)</t>
        </is>
      </c>
    </row>
    <row r="498">
      <c r="A498" t="inlineStr">
        <is>
          <t>PRAGMA</t>
        </is>
      </c>
      <c r="B498" t="inlineStr">
        <is>
          <t>PASTO|TRANSPORTADORA_001</t>
        </is>
      </c>
      <c r="C498" t="inlineStr">
        <is>
          <t>Pasto</t>
        </is>
      </c>
      <c r="D498" t="inlineStr">
        <is>
          <t>TRANSPORTADORA_001</t>
        </is>
      </c>
      <c r="E498" s="23" t="n">
        <v>46265</v>
      </c>
      <c r="F498" s="23" t="n">
        <v>46271</v>
      </c>
      <c r="G498" t="inlineStr">
        <is>
          <t>No</t>
        </is>
      </c>
      <c r="H498" s="25" t="n">
        <v>5000</v>
      </c>
      <c r="I498" s="26" t="n">
        <v>496774399</v>
      </c>
      <c r="J498" s="26" t="n">
        <v>12077498</v>
      </c>
      <c r="K498" s="26" t="n">
        <v>22534295</v>
      </c>
      <c r="L498" s="26">
        <f>J498-K498</f>
        <v>-10456797</v>
      </c>
      <c r="M498" s="26">
        <f>I498+L498</f>
        <v>486317602</v>
      </c>
      <c r="N498" s="26" t="n">
        <v>271436000</v>
      </c>
      <c r="O498" s="26" t="n">
        <v>546523000</v>
      </c>
      <c r="P498" s="26">
        <f>MAX(0,N498-M498)</f>
        <v>0</v>
      </c>
      <c r="Q498" s="26">
        <f>MAX(0,M498-O498)</f>
        <v>0</v>
      </c>
      <c r="R498" t="inlineStr">
        <is>
          <t>bajo</t>
        </is>
      </c>
      <c r="S498" t="inlineStr">
        <is>
          <t>sin_accion</t>
        </is>
      </c>
      <c r="T498" t="inlineStr">
        <is>
          <t>ninguno</t>
        </is>
      </c>
      <c r="U498" s="26" t="n">
        <v>0</v>
      </c>
      <c r="X498" s="26">
        <f>IF(T498="entrada",M498+U498,IF(T498="salida",M498-U498,M498))</f>
        <v>486317602</v>
      </c>
      <c r="Y498" s="26" t="n">
        <v>0</v>
      </c>
      <c r="Z498" t="inlineStr">
        <is>
          <t>RN-85: dentro de niveles objetivo (sin_accion)</t>
        </is>
      </c>
      <c r="AA498" t="inlineStr">
        <is>
          <t>SUP-07, SUP-10</t>
        </is>
      </c>
      <c r="AB498" t="inlineStr">
        <is>
          <t>Saldo dentro del rango objetivo; sin accion.</t>
        </is>
      </c>
      <c r="AC498" t="inlineStr">
        <is>
          <t>Cierre del dia anterior (saldo encadenado, RN-71)</t>
        </is>
      </c>
      <c r="AD498" t="inlineStr">
        <is>
          <t>estimada</t>
        </is>
      </c>
      <c r="AE498" t="inlineStr">
        <is>
          <t>Participacion historica por denominacion (SUP-09)</t>
        </is>
      </c>
    </row>
    <row r="499">
      <c r="A499" t="inlineStr">
        <is>
          <t>PRAGMA</t>
        </is>
      </c>
      <c r="B499" t="inlineStr">
        <is>
          <t>PASTO|TRANSPORTADORA_001</t>
        </is>
      </c>
      <c r="C499" t="inlineStr">
        <is>
          <t>Pasto</t>
        </is>
      </c>
      <c r="D499" t="inlineStr">
        <is>
          <t>TRANSPORTADORA_001</t>
        </is>
      </c>
      <c r="E499" s="23" t="n">
        <v>46265</v>
      </c>
      <c r="F499" s="23" t="n">
        <v>46272</v>
      </c>
      <c r="G499" t="inlineStr">
        <is>
          <t>Sí</t>
        </is>
      </c>
      <c r="H499" s="25" t="n">
        <v>5000</v>
      </c>
      <c r="I499" s="26" t="n">
        <v>486317602</v>
      </c>
      <c r="J499" s="26" t="n">
        <v>151165351</v>
      </c>
      <c r="K499" s="26" t="n">
        <v>101842835</v>
      </c>
      <c r="L499" s="26">
        <f>J499-K499</f>
        <v>49322516</v>
      </c>
      <c r="M499" s="26">
        <f>I499+L499</f>
        <v>535640118</v>
      </c>
      <c r="N499" s="26" t="n">
        <v>271436000</v>
      </c>
      <c r="O499" s="26" t="n">
        <v>546523000</v>
      </c>
      <c r="P499" s="26">
        <f>MAX(0,N499-M499)</f>
        <v>0</v>
      </c>
      <c r="Q499" s="26">
        <f>MAX(0,M499-O499)</f>
        <v>0</v>
      </c>
      <c r="R499" t="inlineStr">
        <is>
          <t>bajo</t>
        </is>
      </c>
      <c r="S499" t="inlineStr">
        <is>
          <t>sin_accion</t>
        </is>
      </c>
      <c r="T499" t="inlineStr">
        <is>
          <t>ninguno</t>
        </is>
      </c>
      <c r="U499" s="26" t="n">
        <v>0</v>
      </c>
      <c r="X499" s="26">
        <f>IF(T499="entrada",M499+U499,IF(T499="salida",M499-U499,M499))</f>
        <v>535640118</v>
      </c>
      <c r="Y499" s="26" t="n">
        <v>0</v>
      </c>
      <c r="Z499" t="inlineStr">
        <is>
          <t>RN-85: dentro de niveles objetivo (sin_accion)</t>
        </is>
      </c>
      <c r="AA499" t="inlineStr">
        <is>
          <t>SUP-07, SUP-10</t>
        </is>
      </c>
      <c r="AB499" t="inlineStr">
        <is>
          <t>Saldo dentro del rango objetivo; sin accion.</t>
        </is>
      </c>
      <c r="AC499" t="inlineStr">
        <is>
          <t>Cierre del dia anterior (saldo encadenado, RN-71)</t>
        </is>
      </c>
      <c r="AD499" t="inlineStr">
        <is>
          <t>estimada</t>
        </is>
      </c>
      <c r="AE499" t="inlineStr">
        <is>
          <t>Participacion historica por denominacion (SUP-09)</t>
        </is>
      </c>
    </row>
    <row r="500">
      <c r="A500" t="inlineStr">
        <is>
          <t>PRAGMA</t>
        </is>
      </c>
      <c r="B500" t="inlineStr">
        <is>
          <t>PASTO|TRANSPORTADORA_001</t>
        </is>
      </c>
      <c r="C500" t="inlineStr">
        <is>
          <t>Pasto</t>
        </is>
      </c>
      <c r="D500" t="inlineStr">
        <is>
          <t>TRANSPORTADORA_001</t>
        </is>
      </c>
      <c r="E500" s="23" t="n">
        <v>46265</v>
      </c>
      <c r="F500" s="23" t="n">
        <v>46273</v>
      </c>
      <c r="G500" t="inlineStr">
        <is>
          <t>Sí</t>
        </is>
      </c>
      <c r="H500" s="25" t="n">
        <v>5000</v>
      </c>
      <c r="I500" s="26" t="n">
        <v>535640118</v>
      </c>
      <c r="J500" s="26" t="n">
        <v>173276422</v>
      </c>
      <c r="K500" s="26" t="n">
        <v>136040614</v>
      </c>
      <c r="L500" s="26">
        <f>J500-K500</f>
        <v>37235808</v>
      </c>
      <c r="M500" s="26">
        <f>I500+L500</f>
        <v>572875926</v>
      </c>
      <c r="N500" s="26" t="n">
        <v>271436000</v>
      </c>
      <c r="O500" s="26" t="n">
        <v>546523000</v>
      </c>
      <c r="P500" s="26">
        <f>MAX(0,N500-M500)</f>
        <v>0</v>
      </c>
      <c r="Q500" s="26">
        <f>MAX(0,M500-O500)</f>
        <v>26352926</v>
      </c>
      <c r="R500" t="inlineStr">
        <is>
          <t>bajo</t>
        </is>
      </c>
      <c r="S500" t="inlineStr">
        <is>
          <t>venta_efectivo</t>
        </is>
      </c>
      <c r="T500" t="inlineStr">
        <is>
          <t>salida</t>
        </is>
      </c>
      <c r="U500" s="26" t="n">
        <v>26355000</v>
      </c>
      <c r="V500" t="inlineStr">
        <is>
          <t>PASTO|TRANSPORTADORA_001</t>
        </is>
      </c>
      <c r="X500" s="26">
        <f>IF(T500="entrada",M500+U500,IF(T500="salida",M500-U500,M500))</f>
        <v>546520926</v>
      </c>
      <c r="Y500" s="26" t="n">
        <v>0</v>
      </c>
      <c r="Z500" t="inlineStr">
        <is>
          <t>Menor costo neto entre las alternativas que cubren la necesidad completa</t>
        </is>
      </c>
      <c r="AA500" t="inlineStr">
        <is>
          <t>SUP-08, SUP-10, SUP-23</t>
        </is>
      </c>
      <c r="AB500" t="inlineStr">
        <is>
          <t>Excedente de $26.352.926 en la denominacion 5000: saldo $572.875.926 sobre el maximo $546.523.000. Elegida: venta ($26.355.000; beneficio de referencia $10.542). Es preferible porque tiene el menor costo neto. Otras alternativas: conservar ($26.355.000; costo de almacenar $2.066); traslado con CALI|TRANSPORTADORA_001 ($26.355.000; costo $833.294); traslado con CALI|TRANSPORTADORA_003 ($26.355.000; costo $833.294); consignacion BanRep: no habilitada en este fondo (sin historico o fuera de las ciudades BanRep).</t>
        </is>
      </c>
      <c r="AC500" t="inlineStr">
        <is>
          <t>Cierre del dia anterior (saldo encadenado, RN-71)</t>
        </is>
      </c>
      <c r="AD500" t="inlineStr">
        <is>
          <t>estimada</t>
        </is>
      </c>
      <c r="AE500" t="inlineStr">
        <is>
          <t>Participacion historica por denominacion (SUP-09)</t>
        </is>
      </c>
    </row>
    <row r="501">
      <c r="A501" t="inlineStr">
        <is>
          <t>PRAGMA</t>
        </is>
      </c>
      <c r="B501" t="inlineStr">
        <is>
          <t>PASTO|TRANSPORTADORA_001</t>
        </is>
      </c>
      <c r="C501" t="inlineStr">
        <is>
          <t>Pasto</t>
        </is>
      </c>
      <c r="D501" t="inlineStr">
        <is>
          <t>TRANSPORTADORA_001</t>
        </is>
      </c>
      <c r="E501" s="23" t="n">
        <v>46265</v>
      </c>
      <c r="F501" s="23" t="n">
        <v>46274</v>
      </c>
      <c r="G501" t="inlineStr">
        <is>
          <t>Sí</t>
        </is>
      </c>
      <c r="H501" s="25" t="n">
        <v>5000</v>
      </c>
      <c r="I501" s="26" t="n">
        <v>546520926</v>
      </c>
      <c r="J501" s="26" t="n">
        <v>172238108</v>
      </c>
      <c r="K501" s="26" t="n">
        <v>137274268</v>
      </c>
      <c r="L501" s="26">
        <f>J501-K501</f>
        <v>34963840</v>
      </c>
      <c r="M501" s="26">
        <f>I501+L501</f>
        <v>581484766</v>
      </c>
      <c r="N501" s="26" t="n">
        <v>271436000</v>
      </c>
      <c r="O501" s="26" t="n">
        <v>546523000</v>
      </c>
      <c r="P501" s="26">
        <f>MAX(0,N501-M501)</f>
        <v>0</v>
      </c>
      <c r="Q501" s="26">
        <f>MAX(0,M501-O501)</f>
        <v>34961766</v>
      </c>
      <c r="R501" t="inlineStr">
        <is>
          <t>bajo</t>
        </is>
      </c>
      <c r="S501" t="inlineStr">
        <is>
          <t>venta_efectivo</t>
        </is>
      </c>
      <c r="T501" t="inlineStr">
        <is>
          <t>salida</t>
        </is>
      </c>
      <c r="U501" s="26" t="n">
        <v>34965000</v>
      </c>
      <c r="V501" t="inlineStr">
        <is>
          <t>PASTO|TRANSPORTADORA_001</t>
        </is>
      </c>
      <c r="X501" s="26">
        <f>IF(T501="entrada",M501+U501,IF(T501="salida",M501-U501,M501))</f>
        <v>546519766</v>
      </c>
      <c r="Y501" s="26" t="n">
        <v>0</v>
      </c>
      <c r="Z501" t="inlineStr">
        <is>
          <t>Menor costo neto entre las alternativas que cubren la necesidad completa</t>
        </is>
      </c>
      <c r="AA501" t="inlineStr">
        <is>
          <t>SUP-08, SUP-10, SUP-23</t>
        </is>
      </c>
      <c r="AB501" t="inlineStr">
        <is>
          <t>Excedente de $34.961.765 en la denominacion 5000: saldo $581.484.765 sobre el maximo $546.523.000. Elegida: venta ($34.965.000; beneficio de referencia $13.986). Es preferible porque tiene el menor costo neto. Otras alternativas: conservar ($34.965.000; costo de almacenar $2.399); traslado con CALI|TRANSPORTADORA_003 ($34.965.000; costo $841.534); consignacion BanRep: no habilitada en este fondo (sin historico o fuera de las ciudades BanRep).</t>
        </is>
      </c>
      <c r="AC501" t="inlineStr">
        <is>
          <t>Cierre del dia anterior (saldo encadenado, RN-71)</t>
        </is>
      </c>
      <c r="AD501" t="inlineStr">
        <is>
          <t>estimada</t>
        </is>
      </c>
      <c r="AE501" t="inlineStr">
        <is>
          <t>Participacion historica por denominacion (SUP-09)</t>
        </is>
      </c>
    </row>
    <row r="502">
      <c r="A502" t="inlineStr">
        <is>
          <t>PRAGMA</t>
        </is>
      </c>
      <c r="B502" t="inlineStr">
        <is>
          <t>PASTO|TRANSPORTADORA_001</t>
        </is>
      </c>
      <c r="C502" t="inlineStr">
        <is>
          <t>Pasto</t>
        </is>
      </c>
      <c r="D502" t="inlineStr">
        <is>
          <t>TRANSPORTADORA_001</t>
        </is>
      </c>
      <c r="E502" s="23" t="n">
        <v>46265</v>
      </c>
      <c r="F502" s="23" t="n">
        <v>46275</v>
      </c>
      <c r="G502" t="inlineStr">
        <is>
          <t>Sí</t>
        </is>
      </c>
      <c r="H502" s="25" t="n">
        <v>5000</v>
      </c>
      <c r="I502" s="26" t="n">
        <v>546519765</v>
      </c>
      <c r="J502" s="26" t="n">
        <v>149710943</v>
      </c>
      <c r="K502" s="26" t="n">
        <v>128249629</v>
      </c>
      <c r="L502" s="26">
        <f>J502-K502</f>
        <v>21461314</v>
      </c>
      <c r="M502" s="26">
        <f>I502+L502</f>
        <v>567981079</v>
      </c>
      <c r="N502" s="26" t="n">
        <v>271436000</v>
      </c>
      <c r="O502" s="26" t="n">
        <v>546523000</v>
      </c>
      <c r="P502" s="26">
        <f>MAX(0,N502-M502)</f>
        <v>0</v>
      </c>
      <c r="Q502" s="26">
        <f>MAX(0,M502-O502)</f>
        <v>21458079</v>
      </c>
      <c r="R502" t="inlineStr">
        <is>
          <t>bajo</t>
        </is>
      </c>
      <c r="S502" t="inlineStr">
        <is>
          <t>venta_efectivo</t>
        </is>
      </c>
      <c r="T502" t="inlineStr">
        <is>
          <t>salida</t>
        </is>
      </c>
      <c r="U502" s="26" t="n">
        <v>21460000</v>
      </c>
      <c r="V502" t="inlineStr">
        <is>
          <t>PASTO|TRANSPORTADORA_001</t>
        </is>
      </c>
      <c r="X502" s="26">
        <f>IF(T502="entrada",M502+U502,IF(T502="salida",M502-U502,M502))</f>
        <v>546521079</v>
      </c>
      <c r="Y502" s="26" t="n">
        <v>0</v>
      </c>
      <c r="Z502" t="inlineStr">
        <is>
          <t>Menor costo neto entre las alternativas que cubren la necesidad completa</t>
        </is>
      </c>
      <c r="AA502" t="inlineStr">
        <is>
          <t>SUP-08, SUP-10, SUP-23</t>
        </is>
      </c>
      <c r="AB502" t="inlineStr">
        <is>
          <t>Excedente de $21.458.079 en la denominacion 5000: saldo $567.981.079 sobre el maximo $546.523.000. Elegida: venta ($21.460.000; beneficio de referencia $8.584). Es preferible porque tiene el menor costo neto. Otras alternativas: conservar ($21.460.000; costo de almacenar $1.262); traslado con CALI|TRANSPORTADORA_003 ($21.460.000; costo $828.609); consignacion BanRep: no habilitada en este fondo (sin historico o fuera de las ciudades BanRep).</t>
        </is>
      </c>
      <c r="AC502" t="inlineStr">
        <is>
          <t>Cierre del dia anterior (saldo encadenado, RN-71)</t>
        </is>
      </c>
      <c r="AD502" t="inlineStr">
        <is>
          <t>estimada</t>
        </is>
      </c>
      <c r="AE502" t="inlineStr">
        <is>
          <t>Participacion historica por denominacion (SUP-09)</t>
        </is>
      </c>
    </row>
    <row r="503">
      <c r="A503" t="inlineStr">
        <is>
          <t>PRAGMA</t>
        </is>
      </c>
      <c r="B503" t="inlineStr">
        <is>
          <t>PASTO|TRANSPORTADORA_001</t>
        </is>
      </c>
      <c r="C503" t="inlineStr">
        <is>
          <t>Pasto</t>
        </is>
      </c>
      <c r="D503" t="inlineStr">
        <is>
          <t>TRANSPORTADORA_001</t>
        </is>
      </c>
      <c r="E503" s="23" t="n">
        <v>46265</v>
      </c>
      <c r="F503" s="23" t="n">
        <v>46276</v>
      </c>
      <c r="G503" t="inlineStr">
        <is>
          <t>Sí</t>
        </is>
      </c>
      <c r="H503" s="25" t="n">
        <v>5000</v>
      </c>
      <c r="I503" s="26" t="n">
        <v>546521079</v>
      </c>
      <c r="J503" s="26" t="n">
        <v>164689713</v>
      </c>
      <c r="K503" s="26" t="n">
        <v>145377187</v>
      </c>
      <c r="L503" s="26">
        <f>J503-K503</f>
        <v>19312526</v>
      </c>
      <c r="M503" s="26">
        <f>I503+L503</f>
        <v>565833605</v>
      </c>
      <c r="N503" s="26" t="n">
        <v>271436000</v>
      </c>
      <c r="O503" s="26" t="n">
        <v>546523000</v>
      </c>
      <c r="P503" s="26">
        <f>MAX(0,N503-M503)</f>
        <v>0</v>
      </c>
      <c r="Q503" s="26">
        <f>MAX(0,M503-O503)</f>
        <v>19310605</v>
      </c>
      <c r="R503" t="inlineStr">
        <is>
          <t>bajo</t>
        </is>
      </c>
      <c r="S503" t="inlineStr">
        <is>
          <t>venta_efectivo</t>
        </is>
      </c>
      <c r="T503" t="inlineStr">
        <is>
          <t>salida</t>
        </is>
      </c>
      <c r="U503" s="26" t="n">
        <v>19315000</v>
      </c>
      <c r="V503" t="inlineStr">
        <is>
          <t>PASTO|TRANSPORTADORA_001</t>
        </is>
      </c>
      <c r="X503" s="26">
        <f>IF(T503="entrada",M503+U503,IF(T503="salida",M503-U503,M503))</f>
        <v>546518605</v>
      </c>
      <c r="Y503" s="26" t="n">
        <v>0</v>
      </c>
      <c r="Z503" t="inlineStr">
        <is>
          <t>Menor costo neto entre las alternativas que cubren la necesidad completa</t>
        </is>
      </c>
      <c r="AA503" t="inlineStr">
        <is>
          <t>SUP-08, SUP-10, SUP-23</t>
        </is>
      </c>
      <c r="AB503" t="inlineStr">
        <is>
          <t>Excedente de $19.310.605 en la denominacion 5000: saldo $565.833.605 sobre el maximo $546.523.000. Elegida: venta ($19.315.000; beneficio de referencia $7.726). Es preferible porque tiene el menor costo neto. Otras alternativas: conservar ($19.315.000; costo de almacenar $946); traslado con CALI|TRANSPORTADORA_003 ($19.315.000; costo $826.556); consignacion BanRep: no habilitada en este fondo (sin historico o fuera de las ciudades BanRep).</t>
        </is>
      </c>
      <c r="AC503" t="inlineStr">
        <is>
          <t>Cierre del dia anterior (saldo encadenado, RN-71)</t>
        </is>
      </c>
      <c r="AD503" t="inlineStr">
        <is>
          <t>estimada</t>
        </is>
      </c>
      <c r="AE503" t="inlineStr">
        <is>
          <t>Participacion historica por denominacion (SUP-09)</t>
        </is>
      </c>
    </row>
    <row r="504">
      <c r="A504" t="inlineStr">
        <is>
          <t>PRAGMA</t>
        </is>
      </c>
      <c r="B504" t="inlineStr">
        <is>
          <t>PASTO|TRANSPORTADORA_001</t>
        </is>
      </c>
      <c r="C504" t="inlineStr">
        <is>
          <t>Pasto</t>
        </is>
      </c>
      <c r="D504" t="inlineStr">
        <is>
          <t>TRANSPORTADORA_001</t>
        </is>
      </c>
      <c r="E504" s="23" t="n">
        <v>46265</v>
      </c>
      <c r="F504" s="23" t="n">
        <v>46277</v>
      </c>
      <c r="G504" t="inlineStr">
        <is>
          <t>No</t>
        </is>
      </c>
      <c r="H504" s="25" t="n">
        <v>5000</v>
      </c>
      <c r="I504" s="26" t="n">
        <v>546518605</v>
      </c>
      <c r="J504" s="26" t="n">
        <v>62957232</v>
      </c>
      <c r="K504" s="26" t="n">
        <v>96832119</v>
      </c>
      <c r="L504" s="26">
        <f>J504-K504</f>
        <v>-33874887</v>
      </c>
      <c r="M504" s="26">
        <f>I504+L504</f>
        <v>512643718</v>
      </c>
      <c r="N504" s="26" t="n">
        <v>271436000</v>
      </c>
      <c r="O504" s="26" t="n">
        <v>546523000</v>
      </c>
      <c r="P504" s="26">
        <f>MAX(0,N504-M504)</f>
        <v>0</v>
      </c>
      <c r="Q504" s="26">
        <f>MAX(0,M504-O504)</f>
        <v>0</v>
      </c>
      <c r="R504" t="inlineStr">
        <is>
          <t>bajo</t>
        </is>
      </c>
      <c r="S504" t="inlineStr">
        <is>
          <t>sin_accion</t>
        </is>
      </c>
      <c r="T504" t="inlineStr">
        <is>
          <t>ninguno</t>
        </is>
      </c>
      <c r="U504" s="26" t="n">
        <v>0</v>
      </c>
      <c r="X504" s="26">
        <f>IF(T504="entrada",M504+U504,IF(T504="salida",M504-U504,M504))</f>
        <v>512643718</v>
      </c>
      <c r="Y504" s="26" t="n">
        <v>0</v>
      </c>
      <c r="Z504" t="inlineStr">
        <is>
          <t>RN-85: dentro de niveles objetivo (sin_accion)</t>
        </is>
      </c>
      <c r="AA504" t="inlineStr">
        <is>
          <t>SUP-07, SUP-10</t>
        </is>
      </c>
      <c r="AB504" t="inlineStr">
        <is>
          <t>Saldo dentro del rango objetivo; sin accion.</t>
        </is>
      </c>
      <c r="AC504" t="inlineStr">
        <is>
          <t>Cierre del dia anterior (saldo encadenado, RN-71)</t>
        </is>
      </c>
      <c r="AD504" t="inlineStr">
        <is>
          <t>estimada</t>
        </is>
      </c>
      <c r="AE504" t="inlineStr">
        <is>
          <t>Participacion historica por denominacion (SUP-09)</t>
        </is>
      </c>
    </row>
    <row r="505">
      <c r="A505" t="inlineStr">
        <is>
          <t>PRAGMA</t>
        </is>
      </c>
      <c r="B505" t="inlineStr">
        <is>
          <t>PASTO|TRANSPORTADORA_001</t>
        </is>
      </c>
      <c r="C505" t="inlineStr">
        <is>
          <t>Pasto</t>
        </is>
      </c>
      <c r="D505" t="inlineStr">
        <is>
          <t>TRANSPORTADORA_001</t>
        </is>
      </c>
      <c r="E505" s="23" t="n">
        <v>46265</v>
      </c>
      <c r="F505" s="23" t="n">
        <v>46278</v>
      </c>
      <c r="G505" t="inlineStr">
        <is>
          <t>No</t>
        </is>
      </c>
      <c r="H505" s="25" t="n">
        <v>5000</v>
      </c>
      <c r="I505" s="26" t="n">
        <v>512643718</v>
      </c>
      <c r="J505" s="26" t="n">
        <v>10088943</v>
      </c>
      <c r="K505" s="26" t="n">
        <v>16968012</v>
      </c>
      <c r="L505" s="26">
        <f>J505-K505</f>
        <v>-6879069</v>
      </c>
      <c r="M505" s="26">
        <f>I505+L505</f>
        <v>505764649</v>
      </c>
      <c r="N505" s="26" t="n">
        <v>271436000</v>
      </c>
      <c r="O505" s="26" t="n">
        <v>546523000</v>
      </c>
      <c r="P505" s="26">
        <f>MAX(0,N505-M505)</f>
        <v>0</v>
      </c>
      <c r="Q505" s="26">
        <f>MAX(0,M505-O505)</f>
        <v>0</v>
      </c>
      <c r="R505" t="inlineStr">
        <is>
          <t>bajo</t>
        </is>
      </c>
      <c r="S505" t="inlineStr">
        <is>
          <t>sin_accion</t>
        </is>
      </c>
      <c r="T505" t="inlineStr">
        <is>
          <t>ninguno</t>
        </is>
      </c>
      <c r="U505" s="26" t="n">
        <v>0</v>
      </c>
      <c r="X505" s="26">
        <f>IF(T505="entrada",M505+U505,IF(T505="salida",M505-U505,M505))</f>
        <v>505764649</v>
      </c>
      <c r="Y505" s="26" t="n">
        <v>0</v>
      </c>
      <c r="Z505" t="inlineStr">
        <is>
          <t>RN-85: dentro de niveles objetivo (sin_accion)</t>
        </is>
      </c>
      <c r="AA505" t="inlineStr">
        <is>
          <t>SUP-07, SUP-10</t>
        </is>
      </c>
      <c r="AB505" t="inlineStr">
        <is>
          <t>Saldo dentro del rango objetivo; sin accion.</t>
        </is>
      </c>
      <c r="AC505" t="inlineStr">
        <is>
          <t>Cierre del dia anterior (saldo encadenado, RN-71)</t>
        </is>
      </c>
      <c r="AD505" t="inlineStr">
        <is>
          <t>estimada</t>
        </is>
      </c>
      <c r="AE505" t="inlineStr">
        <is>
          <t>Participacion historica por denominacion (SUP-09)</t>
        </is>
      </c>
    </row>
    <row r="506">
      <c r="A506" t="inlineStr">
        <is>
          <t>PRAGMA</t>
        </is>
      </c>
      <c r="B506" t="inlineStr">
        <is>
          <t>PASTO|TRANSPORTADORA_001</t>
        </is>
      </c>
      <c r="C506" t="inlineStr">
        <is>
          <t>Pasto</t>
        </is>
      </c>
      <c r="D506" t="inlineStr">
        <is>
          <t>TRANSPORTADORA_001</t>
        </is>
      </c>
      <c r="E506" s="23" t="n">
        <v>46265</v>
      </c>
      <c r="F506" s="23" t="n">
        <v>46279</v>
      </c>
      <c r="G506" t="inlineStr">
        <is>
          <t>Sí</t>
        </is>
      </c>
      <c r="H506" s="25" t="n">
        <v>5000</v>
      </c>
      <c r="I506" s="26" t="n">
        <v>505764648</v>
      </c>
      <c r="J506" s="26" t="n">
        <v>144229011</v>
      </c>
      <c r="K506" s="26" t="n">
        <v>97041505</v>
      </c>
      <c r="L506" s="26">
        <f>J506-K506</f>
        <v>47187506</v>
      </c>
      <c r="M506" s="26">
        <f>I506+L506</f>
        <v>552952154</v>
      </c>
      <c r="N506" s="26" t="n">
        <v>271436000</v>
      </c>
      <c r="O506" s="26" t="n">
        <v>546523000</v>
      </c>
      <c r="P506" s="26">
        <f>MAX(0,N506-M506)</f>
        <v>0</v>
      </c>
      <c r="Q506" s="26">
        <f>MAX(0,M506-O506)</f>
        <v>6429154</v>
      </c>
      <c r="R506" t="inlineStr">
        <is>
          <t>bajo</t>
        </is>
      </c>
      <c r="S506" t="inlineStr">
        <is>
          <t>venta_efectivo</t>
        </is>
      </c>
      <c r="T506" t="inlineStr">
        <is>
          <t>salida</t>
        </is>
      </c>
      <c r="U506" s="26" t="n">
        <v>6430000</v>
      </c>
      <c r="V506" t="inlineStr">
        <is>
          <t>PASTO|TRANSPORTADORA_001</t>
        </is>
      </c>
      <c r="X506" s="26">
        <f>IF(T506="entrada",M506+U506,IF(T506="salida",M506-U506,M506))</f>
        <v>546522154</v>
      </c>
      <c r="Y506" s="26" t="n">
        <v>0</v>
      </c>
      <c r="Z506" t="inlineStr">
        <is>
          <t>Menor costo neto entre las alternativas que cubren la necesidad completa</t>
        </is>
      </c>
      <c r="AA506" t="inlineStr">
        <is>
          <t>SUP-08, SUP-10, SUP-23</t>
        </is>
      </c>
      <c r="AB506" t="inlineStr">
        <is>
          <t>Excedente de $6.429.154 en la denominacion 5000: saldo $552.952.154 sobre el maximo $546.523.000. Elegida: venta ($6.430.000; beneficio de referencia $2.572). Es preferible porque tiene el menor costo neto. Otras alternativas: conservar ($6.430.000; costo de almacenar $126); traslado con CALI|TRANSPORTADORA_003 ($6.430.000; costo $814.226); consignacion BanRep: no habilitada en este fondo (sin historico o fuera de las ciudades BanRep).</t>
        </is>
      </c>
      <c r="AC506" t="inlineStr">
        <is>
          <t>Cierre del dia anterior (saldo encadenado, RN-71)</t>
        </is>
      </c>
      <c r="AD506" t="inlineStr">
        <is>
          <t>estimada</t>
        </is>
      </c>
      <c r="AE506" t="inlineStr">
        <is>
          <t>Participacion historica por denominacion (SUP-09)</t>
        </is>
      </c>
    </row>
    <row r="507">
      <c r="A507" t="inlineStr">
        <is>
          <t>PRAGMA</t>
        </is>
      </c>
      <c r="B507" t="inlineStr">
        <is>
          <t>PASTO|TRANSPORTADORA_001</t>
        </is>
      </c>
      <c r="C507" t="inlineStr">
        <is>
          <t>Pasto</t>
        </is>
      </c>
      <c r="D507" t="inlineStr">
        <is>
          <t>TRANSPORTADORA_001</t>
        </is>
      </c>
      <c r="E507" s="23" t="n">
        <v>46265</v>
      </c>
      <c r="F507" s="23" t="n">
        <v>46280</v>
      </c>
      <c r="G507" t="inlineStr">
        <is>
          <t>Sí</t>
        </is>
      </c>
      <c r="H507" s="25" t="n">
        <v>5000</v>
      </c>
      <c r="I507" s="26" t="n">
        <v>546522154</v>
      </c>
      <c r="J507" s="26" t="n">
        <v>169948288</v>
      </c>
      <c r="K507" s="26" t="n">
        <v>143099851</v>
      </c>
      <c r="L507" s="26">
        <f>J507-K507</f>
        <v>26848437</v>
      </c>
      <c r="M507" s="26">
        <f>I507+L507</f>
        <v>573370591</v>
      </c>
      <c r="N507" s="26" t="n">
        <v>271436000</v>
      </c>
      <c r="O507" s="26" t="n">
        <v>546523000</v>
      </c>
      <c r="P507" s="26">
        <f>MAX(0,N507-M507)</f>
        <v>0</v>
      </c>
      <c r="Q507" s="26">
        <f>MAX(0,M507-O507)</f>
        <v>26847591</v>
      </c>
      <c r="R507" t="inlineStr">
        <is>
          <t>bajo</t>
        </is>
      </c>
      <c r="S507" t="inlineStr">
        <is>
          <t>venta_efectivo</t>
        </is>
      </c>
      <c r="T507" t="inlineStr">
        <is>
          <t>salida</t>
        </is>
      </c>
      <c r="U507" s="26" t="n">
        <v>26850000</v>
      </c>
      <c r="V507" t="inlineStr">
        <is>
          <t>PASTO|TRANSPORTADORA_001</t>
        </is>
      </c>
      <c r="X507" s="26">
        <f>IF(T507="entrada",M507+U507,IF(T507="salida",M507-U507,M507))</f>
        <v>546520591</v>
      </c>
      <c r="Y507" s="26" t="n">
        <v>0</v>
      </c>
      <c r="Z507" t="inlineStr">
        <is>
          <t>Menor costo neto entre las alternativas que cubren la necesidad completa</t>
        </is>
      </c>
      <c r="AA507" t="inlineStr">
        <is>
          <t>SUP-08, SUP-10, SUP-23</t>
        </is>
      </c>
      <c r="AB507" t="inlineStr">
        <is>
          <t>Excedente de $26.847.591 en la denominacion 5000: saldo $573.370.591 sobre el maximo $546.523.000. Elegida: venta ($26.850.000; beneficio de referencia $10.740). Es preferible porque tiene el menor costo neto. Otras alternativas: conservar ($26.850.000; costo de almacenar $263); traslado con CALI|TRANSPORTADORA_003 ($26.850.000; costo $833.767); consignacion BanRep: no habilitada en este fondo (sin historico o fuera de las ciudades BanRep).</t>
        </is>
      </c>
      <c r="AC507" t="inlineStr">
        <is>
          <t>Cierre del dia anterior (saldo encadenado, RN-71)</t>
        </is>
      </c>
      <c r="AD507" t="inlineStr">
        <is>
          <t>estimada</t>
        </is>
      </c>
      <c r="AE507" t="inlineStr">
        <is>
          <t>Participacion historica por denominacion (SUP-09)</t>
        </is>
      </c>
    </row>
    <row r="508">
      <c r="A508" t="inlineStr">
        <is>
          <t>PRAGMA</t>
        </is>
      </c>
      <c r="B508" t="inlineStr">
        <is>
          <t>PASTO|TRANSPORTADORA_001</t>
        </is>
      </c>
      <c r="C508" t="inlineStr">
        <is>
          <t>Pasto</t>
        </is>
      </c>
      <c r="D508" t="inlineStr">
        <is>
          <t>TRANSPORTADORA_001</t>
        </is>
      </c>
      <c r="E508" s="23" t="n">
        <v>46265</v>
      </c>
      <c r="F508" s="23" t="n">
        <v>46266</v>
      </c>
      <c r="G508" t="inlineStr">
        <is>
          <t>Sí</t>
        </is>
      </c>
      <c r="H508" s="25" t="n">
        <v>10000</v>
      </c>
      <c r="I508" s="26" t="n">
        <v>1863150000</v>
      </c>
      <c r="J508" s="26" t="n">
        <v>638812801</v>
      </c>
      <c r="K508" s="26" t="n">
        <v>635670726</v>
      </c>
      <c r="L508" s="26">
        <f>J508-K508</f>
        <v>3142075</v>
      </c>
      <c r="M508" s="26">
        <f>I508+L508</f>
        <v>1866292075</v>
      </c>
      <c r="N508" s="26" t="n">
        <v>1181596000</v>
      </c>
      <c r="O508" s="26" t="n">
        <v>2038646000</v>
      </c>
      <c r="P508" s="26">
        <f>MAX(0,N508-M508)</f>
        <v>0</v>
      </c>
      <c r="Q508" s="26">
        <f>MAX(0,M508-O508)</f>
        <v>0</v>
      </c>
      <c r="R508" t="inlineStr">
        <is>
          <t>bajo</t>
        </is>
      </c>
      <c r="S508" t="inlineStr">
        <is>
          <t>sin_accion</t>
        </is>
      </c>
      <c r="T508" t="inlineStr">
        <is>
          <t>ninguno</t>
        </is>
      </c>
      <c r="U508" s="26" t="n">
        <v>0</v>
      </c>
      <c r="X508" s="26">
        <f>IF(T508="entrada",M508+U508,IF(T508="salida",M508-U508,M508))</f>
        <v>1866292075</v>
      </c>
      <c r="Y508" s="26" t="n">
        <v>0</v>
      </c>
      <c r="Z508" t="inlineStr">
        <is>
          <t>RN-85: dentro de niveles objetivo (sin_accion)</t>
        </is>
      </c>
      <c r="AA508" t="inlineStr">
        <is>
          <t>SUP-07, SUP-10</t>
        </is>
      </c>
      <c r="AB508" t="inlineStr">
        <is>
          <t>Saldo dentro del rango objetivo; sin accion.</t>
        </is>
      </c>
      <c r="AC508" t="inlineStr">
        <is>
          <t>Ultimo disponible al 31/08/2026 (SUP-07)</t>
        </is>
      </c>
      <c r="AD508" t="inlineStr">
        <is>
          <t>estimada</t>
        </is>
      </c>
      <c r="AE508" t="inlineStr">
        <is>
          <t>Participacion historica por denominacion (SUP-09)</t>
        </is>
      </c>
    </row>
    <row r="509">
      <c r="A509" t="inlineStr">
        <is>
          <t>PRAGMA</t>
        </is>
      </c>
      <c r="B509" t="inlineStr">
        <is>
          <t>PASTO|TRANSPORTADORA_001</t>
        </is>
      </c>
      <c r="C509" t="inlineStr">
        <is>
          <t>Pasto</t>
        </is>
      </c>
      <c r="D509" t="inlineStr">
        <is>
          <t>TRANSPORTADORA_001</t>
        </is>
      </c>
      <c r="E509" s="23" t="n">
        <v>46265</v>
      </c>
      <c r="F509" s="23" t="n">
        <v>46267</v>
      </c>
      <c r="G509" t="inlineStr">
        <is>
          <t>Sí</t>
        </is>
      </c>
      <c r="H509" s="25" t="n">
        <v>10000</v>
      </c>
      <c r="I509" s="26" t="n">
        <v>1866292075</v>
      </c>
      <c r="J509" s="26" t="n">
        <v>651091560</v>
      </c>
      <c r="K509" s="26" t="n">
        <v>612300296</v>
      </c>
      <c r="L509" s="26">
        <f>J509-K509</f>
        <v>38791264</v>
      </c>
      <c r="M509" s="26">
        <f>I509+L509</f>
        <v>1905083339</v>
      </c>
      <c r="N509" s="26" t="n">
        <v>1181596000</v>
      </c>
      <c r="O509" s="26" t="n">
        <v>2038646000</v>
      </c>
      <c r="P509" s="26">
        <f>MAX(0,N509-M509)</f>
        <v>0</v>
      </c>
      <c r="Q509" s="26">
        <f>MAX(0,M509-O509)</f>
        <v>0</v>
      </c>
      <c r="R509" t="inlineStr">
        <is>
          <t>bajo</t>
        </is>
      </c>
      <c r="S509" t="inlineStr">
        <is>
          <t>sin_accion</t>
        </is>
      </c>
      <c r="T509" t="inlineStr">
        <is>
          <t>ninguno</t>
        </is>
      </c>
      <c r="U509" s="26" t="n">
        <v>0</v>
      </c>
      <c r="X509" s="26">
        <f>IF(T509="entrada",M509+U509,IF(T509="salida",M509-U509,M509))</f>
        <v>1905083339</v>
      </c>
      <c r="Y509" s="26" t="n">
        <v>0</v>
      </c>
      <c r="Z509" t="inlineStr">
        <is>
          <t>RN-85: dentro de niveles objetivo (sin_accion)</t>
        </is>
      </c>
      <c r="AA509" t="inlineStr">
        <is>
          <t>SUP-07, SUP-10</t>
        </is>
      </c>
      <c r="AB509" t="inlineStr">
        <is>
          <t>Saldo dentro del rango objetivo; sin accion.</t>
        </is>
      </c>
      <c r="AC509" t="inlineStr">
        <is>
          <t>Cierre del dia anterior (saldo encadenado, RN-71)</t>
        </is>
      </c>
      <c r="AD509" t="inlineStr">
        <is>
          <t>estimada</t>
        </is>
      </c>
      <c r="AE509" t="inlineStr">
        <is>
          <t>Participacion historica por denominacion (SUP-09)</t>
        </is>
      </c>
    </row>
    <row r="510">
      <c r="A510" t="inlineStr">
        <is>
          <t>PRAGMA</t>
        </is>
      </c>
      <c r="B510" t="inlineStr">
        <is>
          <t>PASTO|TRANSPORTADORA_001</t>
        </is>
      </c>
      <c r="C510" t="inlineStr">
        <is>
          <t>Pasto</t>
        </is>
      </c>
      <c r="D510" t="inlineStr">
        <is>
          <t>TRANSPORTADORA_001</t>
        </is>
      </c>
      <c r="E510" s="23" t="n">
        <v>46265</v>
      </c>
      <c r="F510" s="23" t="n">
        <v>46268</v>
      </c>
      <c r="G510" t="inlineStr">
        <is>
          <t>Sí</t>
        </is>
      </c>
      <c r="H510" s="25" t="n">
        <v>10000</v>
      </c>
      <c r="I510" s="26" t="n">
        <v>1905083339</v>
      </c>
      <c r="J510" s="26" t="n">
        <v>597816407</v>
      </c>
      <c r="K510" s="26" t="n">
        <v>448586412</v>
      </c>
      <c r="L510" s="26">
        <f>J510-K510</f>
        <v>149229995</v>
      </c>
      <c r="M510" s="26">
        <f>I510+L510</f>
        <v>2054313334</v>
      </c>
      <c r="N510" s="26" t="n">
        <v>1181596000</v>
      </c>
      <c r="O510" s="26" t="n">
        <v>2038646000</v>
      </c>
      <c r="P510" s="26">
        <f>MAX(0,N510-M510)</f>
        <v>0</v>
      </c>
      <c r="Q510" s="26">
        <f>MAX(0,M510-O510)</f>
        <v>15667334</v>
      </c>
      <c r="R510" t="inlineStr">
        <is>
          <t>bajo</t>
        </is>
      </c>
      <c r="S510" t="inlineStr">
        <is>
          <t>venta_efectivo</t>
        </is>
      </c>
      <c r="T510" t="inlineStr">
        <is>
          <t>salida</t>
        </is>
      </c>
      <c r="U510" s="26" t="n">
        <v>15670000</v>
      </c>
      <c r="V510" t="inlineStr">
        <is>
          <t>PASTO|TRANSPORTADORA_001</t>
        </is>
      </c>
      <c r="X510" s="26">
        <f>IF(T510="entrada",M510+U510,IF(T510="salida",M510-U510,M510))</f>
        <v>2038643334</v>
      </c>
      <c r="Y510" s="26" t="n">
        <v>0</v>
      </c>
      <c r="Z510" t="inlineStr">
        <is>
          <t>Menor costo neto entre las alternativas que cubren la necesidad completa</t>
        </is>
      </c>
      <c r="AA510" t="inlineStr">
        <is>
          <t>SUP-08, SUP-10, SUP-23</t>
        </is>
      </c>
      <c r="AB510" t="inlineStr">
        <is>
          <t>Excedente de $15.667.334 en la denominacion 10000: saldo $2.054.313.334 sobre el maximo $2.038.646.000. Elegida: venta ($15.670.000; beneficio de referencia $6.268). Es preferible porque tiene el menor costo neto. Otras alternativas: conservar ($15.670.000; costo de almacenar $1.996); traslado con CALI|TRANSPORTADORA_001 ($15.670.000; costo $823.068); traslado con CALI|TRANSPORTADORA_003 ($15.670.000; costo $823.068); consignacion BanRep: no habilitada en este fondo (sin historico o fuera de las ciudades BanRep).</t>
        </is>
      </c>
      <c r="AC510" t="inlineStr">
        <is>
          <t>Cierre del dia anterior (saldo encadenado, RN-71)</t>
        </is>
      </c>
      <c r="AD510" t="inlineStr">
        <is>
          <t>estimada</t>
        </is>
      </c>
      <c r="AE510" t="inlineStr">
        <is>
          <t>Participacion historica por denominacion (SUP-09)</t>
        </is>
      </c>
    </row>
    <row r="511">
      <c r="A511" t="inlineStr">
        <is>
          <t>PRAGMA</t>
        </is>
      </c>
      <c r="B511" t="inlineStr">
        <is>
          <t>PASTO|TRANSPORTADORA_001</t>
        </is>
      </c>
      <c r="C511" t="inlineStr">
        <is>
          <t>Pasto</t>
        </is>
      </c>
      <c r="D511" t="inlineStr">
        <is>
          <t>TRANSPORTADORA_001</t>
        </is>
      </c>
      <c r="E511" s="23" t="n">
        <v>46265</v>
      </c>
      <c r="F511" s="23" t="n">
        <v>46269</v>
      </c>
      <c r="G511" t="inlineStr">
        <is>
          <t>Sí</t>
        </is>
      </c>
      <c r="H511" s="25" t="n">
        <v>10000</v>
      </c>
      <c r="I511" s="26" t="n">
        <v>2038643334</v>
      </c>
      <c r="J511" s="26" t="n">
        <v>623675094</v>
      </c>
      <c r="K511" s="26" t="n">
        <v>651154857</v>
      </c>
      <c r="L511" s="26">
        <f>J511-K511</f>
        <v>-27479763</v>
      </c>
      <c r="M511" s="26">
        <f>I511+L511</f>
        <v>2011163571</v>
      </c>
      <c r="N511" s="26" t="n">
        <v>1181596000</v>
      </c>
      <c r="O511" s="26" t="n">
        <v>2038646000</v>
      </c>
      <c r="P511" s="26">
        <f>MAX(0,N511-M511)</f>
        <v>0</v>
      </c>
      <c r="Q511" s="26">
        <f>MAX(0,M511-O511)</f>
        <v>0</v>
      </c>
      <c r="R511" t="inlineStr">
        <is>
          <t>bajo</t>
        </is>
      </c>
      <c r="S511" t="inlineStr">
        <is>
          <t>sin_accion</t>
        </is>
      </c>
      <c r="T511" t="inlineStr">
        <is>
          <t>ninguno</t>
        </is>
      </c>
      <c r="U511" s="26" t="n">
        <v>0</v>
      </c>
      <c r="X511" s="26">
        <f>IF(T511="entrada",M511+U511,IF(T511="salida",M511-U511,M511))</f>
        <v>2011163571</v>
      </c>
      <c r="Y511" s="26" t="n">
        <v>0</v>
      </c>
      <c r="Z511" t="inlineStr">
        <is>
          <t>RN-85: dentro de niveles objetivo (sin_accion)</t>
        </is>
      </c>
      <c r="AA511" t="inlineStr">
        <is>
          <t>SUP-07, SUP-10</t>
        </is>
      </c>
      <c r="AB511" t="inlineStr">
        <is>
          <t>Saldo dentro del rango objetivo; sin accion.</t>
        </is>
      </c>
      <c r="AC511" t="inlineStr">
        <is>
          <t>Cierre del dia anterior (saldo encadenado, RN-71)</t>
        </is>
      </c>
      <c r="AD511" t="inlineStr">
        <is>
          <t>estimada</t>
        </is>
      </c>
      <c r="AE511" t="inlineStr">
        <is>
          <t>Participacion historica por denominacion (SUP-09)</t>
        </is>
      </c>
    </row>
    <row r="512">
      <c r="A512" t="inlineStr">
        <is>
          <t>PRAGMA</t>
        </is>
      </c>
      <c r="B512" t="inlineStr">
        <is>
          <t>PASTO|TRANSPORTADORA_001</t>
        </is>
      </c>
      <c r="C512" t="inlineStr">
        <is>
          <t>Pasto</t>
        </is>
      </c>
      <c r="D512" t="inlineStr">
        <is>
          <t>TRANSPORTADORA_001</t>
        </is>
      </c>
      <c r="E512" s="23" t="n">
        <v>46265</v>
      </c>
      <c r="F512" s="23" t="n">
        <v>46270</v>
      </c>
      <c r="G512" t="inlineStr">
        <is>
          <t>No</t>
        </is>
      </c>
      <c r="H512" s="25" t="n">
        <v>10000</v>
      </c>
      <c r="I512" s="26" t="n">
        <v>2011163571</v>
      </c>
      <c r="J512" s="26" t="n">
        <v>254538388</v>
      </c>
      <c r="K512" s="26" t="n">
        <v>417611407</v>
      </c>
      <c r="L512" s="26">
        <f>J512-K512</f>
        <v>-163073019</v>
      </c>
      <c r="M512" s="26">
        <f>I512+L512</f>
        <v>1848090552</v>
      </c>
      <c r="N512" s="26" t="n">
        <v>1181596000</v>
      </c>
      <c r="O512" s="26" t="n">
        <v>2038646000</v>
      </c>
      <c r="P512" s="26">
        <f>MAX(0,N512-M512)</f>
        <v>0</v>
      </c>
      <c r="Q512" s="26">
        <f>MAX(0,M512-O512)</f>
        <v>0</v>
      </c>
      <c r="R512" t="inlineStr">
        <is>
          <t>bajo</t>
        </is>
      </c>
      <c r="S512" t="inlineStr">
        <is>
          <t>sin_accion</t>
        </is>
      </c>
      <c r="T512" t="inlineStr">
        <is>
          <t>ninguno</t>
        </is>
      </c>
      <c r="U512" s="26" t="n">
        <v>0</v>
      </c>
      <c r="X512" s="26">
        <f>IF(T512="entrada",M512+U512,IF(T512="salida",M512-U512,M512))</f>
        <v>1848090552</v>
      </c>
      <c r="Y512" s="26" t="n">
        <v>0</v>
      </c>
      <c r="Z512" t="inlineStr">
        <is>
          <t>RN-85: dentro de niveles objetivo (sin_accion)</t>
        </is>
      </c>
      <c r="AA512" t="inlineStr">
        <is>
          <t>SUP-07, SUP-10</t>
        </is>
      </c>
      <c r="AB512" t="inlineStr">
        <is>
          <t>Saldo dentro del rango objetivo; sin accion.</t>
        </is>
      </c>
      <c r="AC512" t="inlineStr">
        <is>
          <t>Cierre del dia anterior (saldo encadenado, RN-71)</t>
        </is>
      </c>
      <c r="AD512" t="inlineStr">
        <is>
          <t>estimada</t>
        </is>
      </c>
      <c r="AE512" t="inlineStr">
        <is>
          <t>Participacion historica por denominacion (SUP-09)</t>
        </is>
      </c>
    </row>
    <row r="513">
      <c r="A513" t="inlineStr">
        <is>
          <t>PRAGMA</t>
        </is>
      </c>
      <c r="B513" t="inlineStr">
        <is>
          <t>PASTO|TRANSPORTADORA_001</t>
        </is>
      </c>
      <c r="C513" t="inlineStr">
        <is>
          <t>Pasto</t>
        </is>
      </c>
      <c r="D513" t="inlineStr">
        <is>
          <t>TRANSPORTADORA_001</t>
        </is>
      </c>
      <c r="E513" s="23" t="n">
        <v>46265</v>
      </c>
      <c r="F513" s="23" t="n">
        <v>46271</v>
      </c>
      <c r="G513" t="inlineStr">
        <is>
          <t>No</t>
        </is>
      </c>
      <c r="H513" s="25" t="n">
        <v>10000</v>
      </c>
      <c r="I513" s="26" t="n">
        <v>1848090552</v>
      </c>
      <c r="J513" s="26" t="n">
        <v>46260784</v>
      </c>
      <c r="K513" s="26" t="n">
        <v>86313754</v>
      </c>
      <c r="L513" s="26">
        <f>J513-K513</f>
        <v>-40052970</v>
      </c>
      <c r="M513" s="26">
        <f>I513+L513</f>
        <v>1808037582</v>
      </c>
      <c r="N513" s="26" t="n">
        <v>1181596000</v>
      </c>
      <c r="O513" s="26" t="n">
        <v>2038646000</v>
      </c>
      <c r="P513" s="26">
        <f>MAX(0,N513-M513)</f>
        <v>0</v>
      </c>
      <c r="Q513" s="26">
        <f>MAX(0,M513-O513)</f>
        <v>0</v>
      </c>
      <c r="R513" t="inlineStr">
        <is>
          <t>bajo</t>
        </is>
      </c>
      <c r="S513" t="inlineStr">
        <is>
          <t>sin_accion</t>
        </is>
      </c>
      <c r="T513" t="inlineStr">
        <is>
          <t>ninguno</t>
        </is>
      </c>
      <c r="U513" s="26" t="n">
        <v>0</v>
      </c>
      <c r="X513" s="26">
        <f>IF(T513="entrada",M513+U513,IF(T513="salida",M513-U513,M513))</f>
        <v>1808037582</v>
      </c>
      <c r="Y513" s="26" t="n">
        <v>0</v>
      </c>
      <c r="Z513" t="inlineStr">
        <is>
          <t>RN-85: dentro de niveles objetivo (sin_accion)</t>
        </is>
      </c>
      <c r="AA513" t="inlineStr">
        <is>
          <t>SUP-07, SUP-10</t>
        </is>
      </c>
      <c r="AB513" t="inlineStr">
        <is>
          <t>Saldo dentro del rango objetivo; sin accion.</t>
        </is>
      </c>
      <c r="AC513" t="inlineStr">
        <is>
          <t>Cierre del dia anterior (saldo encadenado, RN-71)</t>
        </is>
      </c>
      <c r="AD513" t="inlineStr">
        <is>
          <t>estimada</t>
        </is>
      </c>
      <c r="AE513" t="inlineStr">
        <is>
          <t>Participacion historica por denominacion (SUP-09)</t>
        </is>
      </c>
    </row>
    <row r="514">
      <c r="A514" t="inlineStr">
        <is>
          <t>PRAGMA</t>
        </is>
      </c>
      <c r="B514" t="inlineStr">
        <is>
          <t>PASTO|TRANSPORTADORA_001</t>
        </is>
      </c>
      <c r="C514" t="inlineStr">
        <is>
          <t>Pasto</t>
        </is>
      </c>
      <c r="D514" t="inlineStr">
        <is>
          <t>TRANSPORTADORA_001</t>
        </is>
      </c>
      <c r="E514" s="23" t="n">
        <v>46265</v>
      </c>
      <c r="F514" s="23" t="n">
        <v>46272</v>
      </c>
      <c r="G514" t="inlineStr">
        <is>
          <t>Sí</t>
        </is>
      </c>
      <c r="H514" s="25" t="n">
        <v>10000</v>
      </c>
      <c r="I514" s="26" t="n">
        <v>1808037582</v>
      </c>
      <c r="J514" s="26" t="n">
        <v>579012953</v>
      </c>
      <c r="K514" s="26" t="n">
        <v>390091513</v>
      </c>
      <c r="L514" s="26">
        <f>J514-K514</f>
        <v>188921440</v>
      </c>
      <c r="M514" s="26">
        <f>I514+L514</f>
        <v>1996959022</v>
      </c>
      <c r="N514" s="26" t="n">
        <v>1181596000</v>
      </c>
      <c r="O514" s="26" t="n">
        <v>2038646000</v>
      </c>
      <c r="P514" s="26">
        <f>MAX(0,N514-M514)</f>
        <v>0</v>
      </c>
      <c r="Q514" s="26">
        <f>MAX(0,M514-O514)</f>
        <v>0</v>
      </c>
      <c r="R514" t="inlineStr">
        <is>
          <t>bajo</t>
        </is>
      </c>
      <c r="S514" t="inlineStr">
        <is>
          <t>sin_accion</t>
        </is>
      </c>
      <c r="T514" t="inlineStr">
        <is>
          <t>ninguno</t>
        </is>
      </c>
      <c r="U514" s="26" t="n">
        <v>0</v>
      </c>
      <c r="X514" s="26">
        <f>IF(T514="entrada",M514+U514,IF(T514="salida",M514-U514,M514))</f>
        <v>1996959022</v>
      </c>
      <c r="Y514" s="26" t="n">
        <v>0</v>
      </c>
      <c r="Z514" t="inlineStr">
        <is>
          <t>RN-85: dentro de niveles objetivo (sin_accion)</t>
        </is>
      </c>
      <c r="AA514" t="inlineStr">
        <is>
          <t>SUP-07, SUP-10</t>
        </is>
      </c>
      <c r="AB514" t="inlineStr">
        <is>
          <t>Saldo dentro del rango objetivo; sin accion.</t>
        </is>
      </c>
      <c r="AC514" t="inlineStr">
        <is>
          <t>Cierre del dia anterior (saldo encadenado, RN-71)</t>
        </is>
      </c>
      <c r="AD514" t="inlineStr">
        <is>
          <t>estimada</t>
        </is>
      </c>
      <c r="AE514" t="inlineStr">
        <is>
          <t>Participacion historica por denominacion (SUP-09)</t>
        </is>
      </c>
    </row>
    <row r="515">
      <c r="A515" t="inlineStr">
        <is>
          <t>PRAGMA</t>
        </is>
      </c>
      <c r="B515" t="inlineStr">
        <is>
          <t>PASTO|TRANSPORTADORA_001</t>
        </is>
      </c>
      <c r="C515" t="inlineStr">
        <is>
          <t>Pasto</t>
        </is>
      </c>
      <c r="D515" t="inlineStr">
        <is>
          <t>TRANSPORTADORA_001</t>
        </is>
      </c>
      <c r="E515" s="23" t="n">
        <v>46265</v>
      </c>
      <c r="F515" s="23" t="n">
        <v>46273</v>
      </c>
      <c r="G515" t="inlineStr">
        <is>
          <t>Sí</t>
        </is>
      </c>
      <c r="H515" s="25" t="n">
        <v>10000</v>
      </c>
      <c r="I515" s="26" t="n">
        <v>1996959022</v>
      </c>
      <c r="J515" s="26" t="n">
        <v>663705618</v>
      </c>
      <c r="K515" s="26" t="n">
        <v>521080242</v>
      </c>
      <c r="L515" s="26">
        <f>J515-K515</f>
        <v>142625376</v>
      </c>
      <c r="M515" s="26">
        <f>I515+L515</f>
        <v>2139584398</v>
      </c>
      <c r="N515" s="26" t="n">
        <v>1181596000</v>
      </c>
      <c r="O515" s="26" t="n">
        <v>2038646000</v>
      </c>
      <c r="P515" s="26">
        <f>MAX(0,N515-M515)</f>
        <v>0</v>
      </c>
      <c r="Q515" s="26">
        <f>MAX(0,M515-O515)</f>
        <v>100938398</v>
      </c>
      <c r="R515" t="inlineStr">
        <is>
          <t>bajo</t>
        </is>
      </c>
      <c r="S515" t="inlineStr">
        <is>
          <t>venta_efectivo</t>
        </is>
      </c>
      <c r="T515" t="inlineStr">
        <is>
          <t>salida</t>
        </is>
      </c>
      <c r="U515" s="26" t="n">
        <v>100940000</v>
      </c>
      <c r="V515" t="inlineStr">
        <is>
          <t>PASTO|TRANSPORTADORA_001</t>
        </is>
      </c>
      <c r="X515" s="26">
        <f>IF(T515="entrada",M515+U515,IF(T515="salida",M515-U515,M515))</f>
        <v>2038644398</v>
      </c>
      <c r="Y515" s="26" t="n">
        <v>0</v>
      </c>
      <c r="Z515" t="inlineStr">
        <is>
          <t>Menor costo neto entre las alternativas que cubren la necesidad completa</t>
        </is>
      </c>
      <c r="AA515" t="inlineStr">
        <is>
          <t>SUP-08, SUP-10, SUP-23</t>
        </is>
      </c>
      <c r="AB515" t="inlineStr">
        <is>
          <t>Excedente de $100.938.397 en la denominacion 10000: saldo $2.139.584.397 sobre el maximo $2.038.646.000. Elegida: venta ($100.940.000; beneficio de referencia $40.376). Es preferible porque tiene el menor costo neto. Otras alternativas: conservar ($100.940.000; costo de almacenar $7.914); traslado con CALI|TRANSPORTADORA_003 ($100.940.000; costo $904.672); consignacion BanRep: no habilitada en este fondo (sin historico o fuera de las ciudades BanRep).</t>
        </is>
      </c>
      <c r="AC515" t="inlineStr">
        <is>
          <t>Cierre del dia anterior (saldo encadenado, RN-71)</t>
        </is>
      </c>
      <c r="AD515" t="inlineStr">
        <is>
          <t>estimada</t>
        </is>
      </c>
      <c r="AE515" t="inlineStr">
        <is>
          <t>Participacion historica por denominacion (SUP-09)</t>
        </is>
      </c>
    </row>
    <row r="516">
      <c r="A516" t="inlineStr">
        <is>
          <t>PRAGMA</t>
        </is>
      </c>
      <c r="B516" t="inlineStr">
        <is>
          <t>PASTO|TRANSPORTADORA_001</t>
        </is>
      </c>
      <c r="C516" t="inlineStr">
        <is>
          <t>Pasto</t>
        </is>
      </c>
      <c r="D516" t="inlineStr">
        <is>
          <t>TRANSPORTADORA_001</t>
        </is>
      </c>
      <c r="E516" s="23" t="n">
        <v>46265</v>
      </c>
      <c r="F516" s="23" t="n">
        <v>46274</v>
      </c>
      <c r="G516" t="inlineStr">
        <is>
          <t>Sí</t>
        </is>
      </c>
      <c r="H516" s="25" t="n">
        <v>10000</v>
      </c>
      <c r="I516" s="26" t="n">
        <v>2038644397</v>
      </c>
      <c r="J516" s="26" t="n">
        <v>659728534</v>
      </c>
      <c r="K516" s="26" t="n">
        <v>525805542</v>
      </c>
      <c r="L516" s="26">
        <f>J516-K516</f>
        <v>133922992</v>
      </c>
      <c r="M516" s="26">
        <f>I516+L516</f>
        <v>2172567389</v>
      </c>
      <c r="N516" s="26" t="n">
        <v>1181596000</v>
      </c>
      <c r="O516" s="26" t="n">
        <v>2038646000</v>
      </c>
      <c r="P516" s="26">
        <f>MAX(0,N516-M516)</f>
        <v>0</v>
      </c>
      <c r="Q516" s="26">
        <f>MAX(0,M516-O516)</f>
        <v>133921389</v>
      </c>
      <c r="R516" t="inlineStr">
        <is>
          <t>bajo</t>
        </is>
      </c>
      <c r="S516" t="inlineStr">
        <is>
          <t>venta_efectivo</t>
        </is>
      </c>
      <c r="T516" t="inlineStr">
        <is>
          <t>salida</t>
        </is>
      </c>
      <c r="U516" s="26" t="n">
        <v>133930000</v>
      </c>
      <c r="V516" t="inlineStr">
        <is>
          <t>PASTO|TRANSPORTADORA_001</t>
        </is>
      </c>
      <c r="X516" s="26">
        <f>IF(T516="entrada",M516+U516,IF(T516="salida",M516-U516,M516))</f>
        <v>2038637389</v>
      </c>
      <c r="Y516" s="26" t="n">
        <v>0</v>
      </c>
      <c r="Z516" t="inlineStr">
        <is>
          <t>Menor costo neto entre las alternativas que cubren la necesidad completa</t>
        </is>
      </c>
      <c r="AA516" t="inlineStr">
        <is>
          <t>SUP-08, SUP-10, SUP-23</t>
        </is>
      </c>
      <c r="AB516" t="inlineStr">
        <is>
          <t>Excedente de $133.921.390 en la denominacion 10000: saldo $2.172.567.390 sobre el maximo $2.038.646.000. Elegida: venta ($133.930.000; beneficio de referencia $53.572). Es preferible porque tiene el menor costo neto. Otras alternativas: conservar ($133.930.000; costo de almacenar $9.188); traslado con CALI|TRANSPORTADORA_003 ($133.930.000; costo $936.243); consignacion BanRep: no habilitada en este fondo (sin historico o fuera de las ciudades BanRep).</t>
        </is>
      </c>
      <c r="AC516" t="inlineStr">
        <is>
          <t>Cierre del dia anterior (saldo encadenado, RN-71)</t>
        </is>
      </c>
      <c r="AD516" t="inlineStr">
        <is>
          <t>estimada</t>
        </is>
      </c>
      <c r="AE516" t="inlineStr">
        <is>
          <t>Participacion historica por denominacion (SUP-09)</t>
        </is>
      </c>
    </row>
    <row r="517">
      <c r="A517" t="inlineStr">
        <is>
          <t>PRAGMA</t>
        </is>
      </c>
      <c r="B517" t="inlineStr">
        <is>
          <t>PASTO|TRANSPORTADORA_001</t>
        </is>
      </c>
      <c r="C517" t="inlineStr">
        <is>
          <t>Pasto</t>
        </is>
      </c>
      <c r="D517" t="inlineStr">
        <is>
          <t>TRANSPORTADORA_001</t>
        </is>
      </c>
      <c r="E517" s="23" t="n">
        <v>46265</v>
      </c>
      <c r="F517" s="23" t="n">
        <v>46275</v>
      </c>
      <c r="G517" t="inlineStr">
        <is>
          <t>Sí</t>
        </is>
      </c>
      <c r="H517" s="25" t="n">
        <v>10000</v>
      </c>
      <c r="I517" s="26" t="n">
        <v>2038637390</v>
      </c>
      <c r="J517" s="26" t="n">
        <v>573442092</v>
      </c>
      <c r="K517" s="26" t="n">
        <v>491238211</v>
      </c>
      <c r="L517" s="26">
        <f>J517-K517</f>
        <v>82203881</v>
      </c>
      <c r="M517" s="26">
        <f>I517+L517</f>
        <v>2120841271</v>
      </c>
      <c r="N517" s="26" t="n">
        <v>1181596000</v>
      </c>
      <c r="O517" s="26" t="n">
        <v>2038646000</v>
      </c>
      <c r="P517" s="26">
        <f>MAX(0,N517-M517)</f>
        <v>0</v>
      </c>
      <c r="Q517" s="26">
        <f>MAX(0,M517-O517)</f>
        <v>82195271</v>
      </c>
      <c r="R517" t="inlineStr">
        <is>
          <t>bajo</t>
        </is>
      </c>
      <c r="S517" t="inlineStr">
        <is>
          <t>venta_efectivo</t>
        </is>
      </c>
      <c r="T517" t="inlineStr">
        <is>
          <t>salida</t>
        </is>
      </c>
      <c r="U517" s="26" t="n">
        <v>82200000</v>
      </c>
      <c r="V517" t="inlineStr">
        <is>
          <t>PASTO|TRANSPORTADORA_001</t>
        </is>
      </c>
      <c r="X517" s="26">
        <f>IF(T517="entrada",M517+U517,IF(T517="salida",M517-U517,M517))</f>
        <v>2038641271</v>
      </c>
      <c r="Y517" s="26" t="n">
        <v>0</v>
      </c>
      <c r="Z517" t="inlineStr">
        <is>
          <t>Menor costo neto entre las alternativas que cubren la necesidad completa</t>
        </is>
      </c>
      <c r="AA517" t="inlineStr">
        <is>
          <t>SUP-08, SUP-10, SUP-23</t>
        </is>
      </c>
      <c r="AB517" t="inlineStr">
        <is>
          <t>Excedente de $82.195.270 en la denominacion 10000: saldo $2.120.841.270 sobre el maximo $2.038.646.000. Elegida: venta ($82.200.000; beneficio de referencia $32.880). Es preferible porque tiene el menor costo neto. Otras alternativas: conservar ($82.200.000; costo de almacenar $4.833); traslado con CALI|TRANSPORTADORA_003 ($82.200.000; costo $886.737); consignacion BanRep: no habilitada en este fondo (sin historico o fuera de las ciudades BanRep).</t>
        </is>
      </c>
      <c r="AC517" t="inlineStr">
        <is>
          <t>Cierre del dia anterior (saldo encadenado, RN-71)</t>
        </is>
      </c>
      <c r="AD517" t="inlineStr">
        <is>
          <t>estimada</t>
        </is>
      </c>
      <c r="AE517" t="inlineStr">
        <is>
          <t>Participacion historica por denominacion (SUP-09)</t>
        </is>
      </c>
    </row>
    <row r="518">
      <c r="A518" t="inlineStr">
        <is>
          <t>PRAGMA</t>
        </is>
      </c>
      <c r="B518" t="inlineStr">
        <is>
          <t>PASTO|TRANSPORTADORA_001</t>
        </is>
      </c>
      <c r="C518" t="inlineStr">
        <is>
          <t>Pasto</t>
        </is>
      </c>
      <c r="D518" t="inlineStr">
        <is>
          <t>TRANSPORTADORA_001</t>
        </is>
      </c>
      <c r="E518" s="23" t="n">
        <v>46265</v>
      </c>
      <c r="F518" s="23" t="n">
        <v>46276</v>
      </c>
      <c r="G518" t="inlineStr">
        <is>
          <t>Sí</t>
        </is>
      </c>
      <c r="H518" s="25" t="n">
        <v>10000</v>
      </c>
      <c r="I518" s="26" t="n">
        <v>2038641270</v>
      </c>
      <c r="J518" s="26" t="n">
        <v>630815704</v>
      </c>
      <c r="K518" s="26" t="n">
        <v>556842383</v>
      </c>
      <c r="L518" s="26">
        <f>J518-K518</f>
        <v>73973321</v>
      </c>
      <c r="M518" s="26">
        <f>I518+L518</f>
        <v>2112614591</v>
      </c>
      <c r="N518" s="26" t="n">
        <v>1181596000</v>
      </c>
      <c r="O518" s="26" t="n">
        <v>2038646000</v>
      </c>
      <c r="P518" s="26">
        <f>MAX(0,N518-M518)</f>
        <v>0</v>
      </c>
      <c r="Q518" s="26">
        <f>MAX(0,M518-O518)</f>
        <v>73968591</v>
      </c>
      <c r="R518" t="inlineStr">
        <is>
          <t>bajo</t>
        </is>
      </c>
      <c r="S518" t="inlineStr">
        <is>
          <t>venta_efectivo</t>
        </is>
      </c>
      <c r="T518" t="inlineStr">
        <is>
          <t>salida</t>
        </is>
      </c>
      <c r="U518" s="26" t="n">
        <v>73970000</v>
      </c>
      <c r="V518" t="inlineStr">
        <is>
          <t>PASTO|TRANSPORTADORA_001</t>
        </is>
      </c>
      <c r="X518" s="26">
        <f>IF(T518="entrada",M518+U518,IF(T518="salida",M518-U518,M518))</f>
        <v>2038644591</v>
      </c>
      <c r="Y518" s="26" t="n">
        <v>0</v>
      </c>
      <c r="Z518" t="inlineStr">
        <is>
          <t>Menor costo neto entre las alternativas que cubren la necesidad completa</t>
        </is>
      </c>
      <c r="AA518" t="inlineStr">
        <is>
          <t>SUP-08, SUP-10, SUP-23</t>
        </is>
      </c>
      <c r="AB518" t="inlineStr">
        <is>
          <t>Excedente de $73.968.591 en la denominacion 10000: saldo $2.112.614.591 sobre el maximo $2.038.646.000. Elegida: venta ($73.970.000; beneficio de referencia $29.588). Es preferible porque tiene el menor costo neto. Otras alternativas: conservar ($73.970.000; costo de almacenar $3.625); traslado con CALI|TRANSPORTADORA_003 ($73.970.000; costo $878.861); consignacion BanRep: no habilitada en este fondo (sin historico o fuera de las ciudades BanRep).</t>
        </is>
      </c>
      <c r="AC518" t="inlineStr">
        <is>
          <t>Cierre del dia anterior (saldo encadenado, RN-71)</t>
        </is>
      </c>
      <c r="AD518" t="inlineStr">
        <is>
          <t>estimada</t>
        </is>
      </c>
      <c r="AE518" t="inlineStr">
        <is>
          <t>Participacion historica por denominacion (SUP-09)</t>
        </is>
      </c>
    </row>
    <row r="519">
      <c r="A519" t="inlineStr">
        <is>
          <t>PRAGMA</t>
        </is>
      </c>
      <c r="B519" t="inlineStr">
        <is>
          <t>PASTO|TRANSPORTADORA_001</t>
        </is>
      </c>
      <c r="C519" t="inlineStr">
        <is>
          <t>Pasto</t>
        </is>
      </c>
      <c r="D519" t="inlineStr">
        <is>
          <t>TRANSPORTADORA_001</t>
        </is>
      </c>
      <c r="E519" s="23" t="n">
        <v>46265</v>
      </c>
      <c r="F519" s="23" t="n">
        <v>46277</v>
      </c>
      <c r="G519" t="inlineStr">
        <is>
          <t>No</t>
        </is>
      </c>
      <c r="H519" s="25" t="n">
        <v>10000</v>
      </c>
      <c r="I519" s="26" t="n">
        <v>2038644591</v>
      </c>
      <c r="J519" s="26" t="n">
        <v>241146880</v>
      </c>
      <c r="K519" s="26" t="n">
        <v>370898826</v>
      </c>
      <c r="L519" s="26">
        <f>J519-K519</f>
        <v>-129751946</v>
      </c>
      <c r="M519" s="26">
        <f>I519+L519</f>
        <v>1908892645</v>
      </c>
      <c r="N519" s="26" t="n">
        <v>1181596000</v>
      </c>
      <c r="O519" s="26" t="n">
        <v>2038646000</v>
      </c>
      <c r="P519" s="26">
        <f>MAX(0,N519-M519)</f>
        <v>0</v>
      </c>
      <c r="Q519" s="26">
        <f>MAX(0,M519-O519)</f>
        <v>0</v>
      </c>
      <c r="R519" t="inlineStr">
        <is>
          <t>bajo</t>
        </is>
      </c>
      <c r="S519" t="inlineStr">
        <is>
          <t>sin_accion</t>
        </is>
      </c>
      <c r="T519" t="inlineStr">
        <is>
          <t>ninguno</t>
        </is>
      </c>
      <c r="U519" s="26" t="n">
        <v>0</v>
      </c>
      <c r="X519" s="26">
        <f>IF(T519="entrada",M519+U519,IF(T519="salida",M519-U519,M519))</f>
        <v>1908892645</v>
      </c>
      <c r="Y519" s="26" t="n">
        <v>0</v>
      </c>
      <c r="Z519" t="inlineStr">
        <is>
          <t>RN-85: dentro de niveles objetivo (sin_accion)</t>
        </is>
      </c>
      <c r="AA519" t="inlineStr">
        <is>
          <t>SUP-07, SUP-10</t>
        </is>
      </c>
      <c r="AB519" t="inlineStr">
        <is>
          <t>Saldo dentro del rango objetivo; sin accion.</t>
        </is>
      </c>
      <c r="AC519" t="inlineStr">
        <is>
          <t>Cierre del dia anterior (saldo encadenado, RN-71)</t>
        </is>
      </c>
      <c r="AD519" t="inlineStr">
        <is>
          <t>estimada</t>
        </is>
      </c>
      <c r="AE519" t="inlineStr">
        <is>
          <t>Participacion historica por denominacion (SUP-09)</t>
        </is>
      </c>
    </row>
    <row r="520">
      <c r="A520" t="inlineStr">
        <is>
          <t>PRAGMA</t>
        </is>
      </c>
      <c r="B520" t="inlineStr">
        <is>
          <t>PASTO|TRANSPORTADORA_001</t>
        </is>
      </c>
      <c r="C520" t="inlineStr">
        <is>
          <t>Pasto</t>
        </is>
      </c>
      <c r="D520" t="inlineStr">
        <is>
          <t>TRANSPORTADORA_001</t>
        </is>
      </c>
      <c r="E520" s="23" t="n">
        <v>46265</v>
      </c>
      <c r="F520" s="23" t="n">
        <v>46278</v>
      </c>
      <c r="G520" t="inlineStr">
        <is>
          <t>No</t>
        </is>
      </c>
      <c r="H520" s="25" t="n">
        <v>10000</v>
      </c>
      <c r="I520" s="26" t="n">
        <v>1908892644</v>
      </c>
      <c r="J520" s="26" t="n">
        <v>38643965</v>
      </c>
      <c r="K520" s="26" t="n">
        <v>64993062</v>
      </c>
      <c r="L520" s="26">
        <f>J520-K520</f>
        <v>-26349097</v>
      </c>
      <c r="M520" s="26">
        <f>I520+L520</f>
        <v>1882543547</v>
      </c>
      <c r="N520" s="26" t="n">
        <v>1181596000</v>
      </c>
      <c r="O520" s="26" t="n">
        <v>2038646000</v>
      </c>
      <c r="P520" s="26">
        <f>MAX(0,N520-M520)</f>
        <v>0</v>
      </c>
      <c r="Q520" s="26">
        <f>MAX(0,M520-O520)</f>
        <v>0</v>
      </c>
      <c r="R520" t="inlineStr">
        <is>
          <t>bajo</t>
        </is>
      </c>
      <c r="S520" t="inlineStr">
        <is>
          <t>sin_accion</t>
        </is>
      </c>
      <c r="T520" t="inlineStr">
        <is>
          <t>ninguno</t>
        </is>
      </c>
      <c r="U520" s="26" t="n">
        <v>0</v>
      </c>
      <c r="X520" s="26">
        <f>IF(T520="entrada",M520+U520,IF(T520="salida",M520-U520,M520))</f>
        <v>1882543547</v>
      </c>
      <c r="Y520" s="26" t="n">
        <v>0</v>
      </c>
      <c r="Z520" t="inlineStr">
        <is>
          <t>RN-85: dentro de niveles objetivo (sin_accion)</t>
        </is>
      </c>
      <c r="AA520" t="inlineStr">
        <is>
          <t>SUP-07, SUP-10</t>
        </is>
      </c>
      <c r="AB520" t="inlineStr">
        <is>
          <t>Saldo dentro del rango objetivo; sin accion.</t>
        </is>
      </c>
      <c r="AC520" t="inlineStr">
        <is>
          <t>Cierre del dia anterior (saldo encadenado, RN-71)</t>
        </is>
      </c>
      <c r="AD520" t="inlineStr">
        <is>
          <t>estimada</t>
        </is>
      </c>
      <c r="AE520" t="inlineStr">
        <is>
          <t>Participacion historica por denominacion (SUP-09)</t>
        </is>
      </c>
    </row>
    <row r="521">
      <c r="A521" t="inlineStr">
        <is>
          <t>PRAGMA</t>
        </is>
      </c>
      <c r="B521" t="inlineStr">
        <is>
          <t>PASTO|TRANSPORTADORA_001</t>
        </is>
      </c>
      <c r="C521" t="inlineStr">
        <is>
          <t>Pasto</t>
        </is>
      </c>
      <c r="D521" t="inlineStr">
        <is>
          <t>TRANSPORTADORA_001</t>
        </is>
      </c>
      <c r="E521" s="23" t="n">
        <v>46265</v>
      </c>
      <c r="F521" s="23" t="n">
        <v>46279</v>
      </c>
      <c r="G521" t="inlineStr">
        <is>
          <t>Sí</t>
        </is>
      </c>
      <c r="H521" s="25" t="n">
        <v>10000</v>
      </c>
      <c r="I521" s="26" t="n">
        <v>1882543548</v>
      </c>
      <c r="J521" s="26" t="n">
        <v>552444493</v>
      </c>
      <c r="K521" s="26" t="n">
        <v>371700844</v>
      </c>
      <c r="L521" s="26">
        <f>J521-K521</f>
        <v>180743649</v>
      </c>
      <c r="M521" s="26">
        <f>I521+L521</f>
        <v>2063287197</v>
      </c>
      <c r="N521" s="26" t="n">
        <v>1181596000</v>
      </c>
      <c r="O521" s="26" t="n">
        <v>2038646000</v>
      </c>
      <c r="P521" s="26">
        <f>MAX(0,N521-M521)</f>
        <v>0</v>
      </c>
      <c r="Q521" s="26">
        <f>MAX(0,M521-O521)</f>
        <v>24641197</v>
      </c>
      <c r="R521" t="inlineStr">
        <is>
          <t>bajo</t>
        </is>
      </c>
      <c r="S521" t="inlineStr">
        <is>
          <t>venta_efectivo</t>
        </is>
      </c>
      <c r="T521" t="inlineStr">
        <is>
          <t>salida</t>
        </is>
      </c>
      <c r="U521" s="26" t="n">
        <v>24650000</v>
      </c>
      <c r="V521" t="inlineStr">
        <is>
          <t>PASTO|TRANSPORTADORA_001</t>
        </is>
      </c>
      <c r="X521" s="26">
        <f>IF(T521="entrada",M521+U521,IF(T521="salida",M521-U521,M521))</f>
        <v>2038637197</v>
      </c>
      <c r="Y521" s="26" t="n">
        <v>0</v>
      </c>
      <c r="Z521" t="inlineStr">
        <is>
          <t>Menor costo neto entre las alternativas que cubren la necesidad completa</t>
        </is>
      </c>
      <c r="AA521" t="inlineStr">
        <is>
          <t>SUP-08, SUP-10, SUP-23</t>
        </is>
      </c>
      <c r="AB521" t="inlineStr">
        <is>
          <t>Excedente de $24.641.197 en la denominacion 10000: saldo $2.063.287.197 sobre el maximo $2.038.646.000. Elegida: venta ($24.650.000; beneficio de referencia $9.860). Es preferible porque tiene el menor costo neto. Otras alternativas: conservar ($24.650.000; costo de almacenar $483); traslado con CALI|TRANSPORTADORA_003 ($24.650.000; costo $831.662); consignacion BanRep: no habilitada en este fondo (sin historico o fuera de las ciudades BanRep).</t>
        </is>
      </c>
      <c r="AC521" t="inlineStr">
        <is>
          <t>Cierre del dia anterior (saldo encadenado, RN-71)</t>
        </is>
      </c>
      <c r="AD521" t="inlineStr">
        <is>
          <t>estimada</t>
        </is>
      </c>
      <c r="AE521" t="inlineStr">
        <is>
          <t>Participacion historica por denominacion (SUP-09)</t>
        </is>
      </c>
    </row>
    <row r="522">
      <c r="A522" t="inlineStr">
        <is>
          <t>PRAGMA</t>
        </is>
      </c>
      <c r="B522" t="inlineStr">
        <is>
          <t>PASTO|TRANSPORTADORA_001</t>
        </is>
      </c>
      <c r="C522" t="inlineStr">
        <is>
          <t>Pasto</t>
        </is>
      </c>
      <c r="D522" t="inlineStr">
        <is>
          <t>TRANSPORTADORA_001</t>
        </is>
      </c>
      <c r="E522" s="23" t="n">
        <v>46265</v>
      </c>
      <c r="F522" s="23" t="n">
        <v>46280</v>
      </c>
      <c r="G522" t="inlineStr">
        <is>
          <t>Sí</t>
        </is>
      </c>
      <c r="H522" s="25" t="n">
        <v>10000</v>
      </c>
      <c r="I522" s="26" t="n">
        <v>2038637197</v>
      </c>
      <c r="J522" s="26" t="n">
        <v>650957772</v>
      </c>
      <c r="K522" s="26" t="n">
        <v>548119439</v>
      </c>
      <c r="L522" s="26">
        <f>J522-K522</f>
        <v>102838333</v>
      </c>
      <c r="M522" s="26">
        <f>I522+L522</f>
        <v>2141475530</v>
      </c>
      <c r="N522" s="26" t="n">
        <v>1181596000</v>
      </c>
      <c r="O522" s="26" t="n">
        <v>2038646000</v>
      </c>
      <c r="P522" s="26">
        <f>MAX(0,N522-M522)</f>
        <v>0</v>
      </c>
      <c r="Q522" s="26">
        <f>MAX(0,M522-O522)</f>
        <v>102829530</v>
      </c>
      <c r="R522" t="inlineStr">
        <is>
          <t>bajo</t>
        </is>
      </c>
      <c r="S522" t="inlineStr">
        <is>
          <t>venta_efectivo</t>
        </is>
      </c>
      <c r="T522" t="inlineStr">
        <is>
          <t>salida</t>
        </is>
      </c>
      <c r="U522" s="26" t="n">
        <v>102830000</v>
      </c>
      <c r="V522" t="inlineStr">
        <is>
          <t>PASTO|TRANSPORTADORA_001</t>
        </is>
      </c>
      <c r="X522" s="26">
        <f>IF(T522="entrada",M522+U522,IF(T522="salida",M522-U522,M522))</f>
        <v>2038645530</v>
      </c>
      <c r="Y522" s="26" t="n">
        <v>0</v>
      </c>
      <c r="Z522" t="inlineStr">
        <is>
          <t>Menor costo neto entre las alternativas que cubren la necesidad completa</t>
        </is>
      </c>
      <c r="AA522" t="inlineStr">
        <is>
          <t>SUP-08, SUP-10, SUP-23</t>
        </is>
      </c>
      <c r="AB522" t="inlineStr">
        <is>
          <t>Excedente de $102.829.530 en la denominacion 10000: saldo $2.141.475.530 sobre el maximo $2.038.646.000. Elegida: venta ($102.830.000; beneficio de referencia $41.132). Es preferible porque tiene el menor costo neto. Otras alternativas: conservar ($102.830.000; costo de almacenar $1.008); traslado con CALI|TRANSPORTADORA_003 ($102.830.000; costo $906.480); consignacion BanRep: no habilitada en este fondo (sin historico o fuera de las ciudades BanRep).</t>
        </is>
      </c>
      <c r="AC522" t="inlineStr">
        <is>
          <t>Cierre del dia anterior (saldo encadenado, RN-71)</t>
        </is>
      </c>
      <c r="AD522" t="inlineStr">
        <is>
          <t>estimada</t>
        </is>
      </c>
      <c r="AE522" t="inlineStr">
        <is>
          <t>Participacion historica por denominacion (SUP-09)</t>
        </is>
      </c>
    </row>
    <row r="523">
      <c r="A523" t="inlineStr">
        <is>
          <t>PRAGMA</t>
        </is>
      </c>
      <c r="B523" t="inlineStr">
        <is>
          <t>PASTO|TRANSPORTADORA_001</t>
        </is>
      </c>
      <c r="C523" t="inlineStr">
        <is>
          <t>Pasto</t>
        </is>
      </c>
      <c r="D523" t="inlineStr">
        <is>
          <t>TRANSPORTADORA_001</t>
        </is>
      </c>
      <c r="E523" s="23" t="n">
        <v>46265</v>
      </c>
      <c r="F523" s="23" t="n">
        <v>46266</v>
      </c>
      <c r="G523" t="inlineStr">
        <is>
          <t>Sí</t>
        </is>
      </c>
      <c r="H523" s="25" t="n">
        <v>20000</v>
      </c>
      <c r="I523" s="26" t="n">
        <v>4241240000</v>
      </c>
      <c r="J523" s="26" t="n">
        <v>1552882058</v>
      </c>
      <c r="K523" s="26" t="n">
        <v>1545244027</v>
      </c>
      <c r="L523" s="26">
        <f>J523-K523</f>
        <v>7638031</v>
      </c>
      <c r="M523" s="26">
        <f>I523+L523</f>
        <v>4248878031</v>
      </c>
      <c r="N523" s="26" t="n">
        <v>2108620000</v>
      </c>
      <c r="O523" s="26" t="n">
        <v>5618540458</v>
      </c>
      <c r="P523" s="26">
        <f>MAX(0,N523-M523)</f>
        <v>0</v>
      </c>
      <c r="Q523" s="26">
        <f>MAX(0,M523-O523)</f>
        <v>0</v>
      </c>
      <c r="R523" t="inlineStr">
        <is>
          <t>bajo</t>
        </is>
      </c>
      <c r="S523" t="inlineStr">
        <is>
          <t>sin_accion</t>
        </is>
      </c>
      <c r="T523" t="inlineStr">
        <is>
          <t>ninguno</t>
        </is>
      </c>
      <c r="U523" s="26" t="n">
        <v>0</v>
      </c>
      <c r="X523" s="26">
        <f>IF(T523="entrada",M523+U523,IF(T523="salida",M523-U523,M523))</f>
        <v>4248878031</v>
      </c>
      <c r="Y523" s="26" t="n">
        <v>0</v>
      </c>
      <c r="Z523" t="inlineStr">
        <is>
          <t>RN-85: dentro de niveles objetivo (sin_accion)</t>
        </is>
      </c>
      <c r="AA523" t="inlineStr">
        <is>
          <t>SUP-07, SUP-10</t>
        </is>
      </c>
      <c r="AB523" t="inlineStr">
        <is>
          <t>Saldo dentro del rango objetivo; sin accion.</t>
        </is>
      </c>
      <c r="AC523" t="inlineStr">
        <is>
          <t>Ultimo disponible al 31/08/2026 (SUP-07)</t>
        </is>
      </c>
      <c r="AD523" t="inlineStr">
        <is>
          <t>estimada</t>
        </is>
      </c>
      <c r="AE523" t="inlineStr">
        <is>
          <t>Participacion historica por denominacion (SUP-09)</t>
        </is>
      </c>
    </row>
    <row r="524">
      <c r="A524" t="inlineStr">
        <is>
          <t>PRAGMA</t>
        </is>
      </c>
      <c r="B524" t="inlineStr">
        <is>
          <t>PASTO|TRANSPORTADORA_001</t>
        </is>
      </c>
      <c r="C524" t="inlineStr">
        <is>
          <t>Pasto</t>
        </is>
      </c>
      <c r="D524" t="inlineStr">
        <is>
          <t>TRANSPORTADORA_001</t>
        </is>
      </c>
      <c r="E524" s="23" t="n">
        <v>46265</v>
      </c>
      <c r="F524" s="23" t="n">
        <v>46267</v>
      </c>
      <c r="G524" t="inlineStr">
        <is>
          <t>Sí</t>
        </is>
      </c>
      <c r="H524" s="25" t="n">
        <v>20000</v>
      </c>
      <c r="I524" s="26" t="n">
        <v>4248878032</v>
      </c>
      <c r="J524" s="26" t="n">
        <v>1582730339</v>
      </c>
      <c r="K524" s="26" t="n">
        <v>1488433141</v>
      </c>
      <c r="L524" s="26">
        <f>J524-K524</f>
        <v>94297198</v>
      </c>
      <c r="M524" s="26">
        <f>I524+L524</f>
        <v>4343175230</v>
      </c>
      <c r="N524" s="26" t="n">
        <v>2108620000</v>
      </c>
      <c r="O524" s="26" t="n">
        <v>5618540458</v>
      </c>
      <c r="P524" s="26">
        <f>MAX(0,N524-M524)</f>
        <v>0</v>
      </c>
      <c r="Q524" s="26">
        <f>MAX(0,M524-O524)</f>
        <v>0</v>
      </c>
      <c r="R524" t="inlineStr">
        <is>
          <t>bajo</t>
        </is>
      </c>
      <c r="S524" t="inlineStr">
        <is>
          <t>sin_accion</t>
        </is>
      </c>
      <c r="T524" t="inlineStr">
        <is>
          <t>ninguno</t>
        </is>
      </c>
      <c r="U524" s="26" t="n">
        <v>0</v>
      </c>
      <c r="X524" s="26">
        <f>IF(T524="entrada",M524+U524,IF(T524="salida",M524-U524,M524))</f>
        <v>4343175230</v>
      </c>
      <c r="Y524" s="26" t="n">
        <v>0</v>
      </c>
      <c r="Z524" t="inlineStr">
        <is>
          <t>RN-85: dentro de niveles objetivo (sin_accion)</t>
        </is>
      </c>
      <c r="AA524" t="inlineStr">
        <is>
          <t>SUP-07, SUP-10</t>
        </is>
      </c>
      <c r="AB524" t="inlineStr">
        <is>
          <t>Saldo dentro del rango objetivo; sin accion.</t>
        </is>
      </c>
      <c r="AC524" t="inlineStr">
        <is>
          <t>Cierre del dia anterior (saldo encadenado, RN-71)</t>
        </is>
      </c>
      <c r="AD524" t="inlineStr">
        <is>
          <t>estimada</t>
        </is>
      </c>
      <c r="AE524" t="inlineStr">
        <is>
          <t>Participacion historica por denominacion (SUP-09)</t>
        </is>
      </c>
    </row>
    <row r="525">
      <c r="A525" t="inlineStr">
        <is>
          <t>PRAGMA</t>
        </is>
      </c>
      <c r="B525" t="inlineStr">
        <is>
          <t>PASTO|TRANSPORTADORA_001</t>
        </is>
      </c>
      <c r="C525" t="inlineStr">
        <is>
          <t>Pasto</t>
        </is>
      </c>
      <c r="D525" t="inlineStr">
        <is>
          <t>TRANSPORTADORA_001</t>
        </is>
      </c>
      <c r="E525" s="23" t="n">
        <v>46265</v>
      </c>
      <c r="F525" s="23" t="n">
        <v>46268</v>
      </c>
      <c r="G525" t="inlineStr">
        <is>
          <t>Sí</t>
        </is>
      </c>
      <c r="H525" s="25" t="n">
        <v>20000</v>
      </c>
      <c r="I525" s="26" t="n">
        <v>4343175230</v>
      </c>
      <c r="J525" s="26" t="n">
        <v>1453224436</v>
      </c>
      <c r="K525" s="26" t="n">
        <v>1090463105</v>
      </c>
      <c r="L525" s="26">
        <f>J525-K525</f>
        <v>362761331</v>
      </c>
      <c r="M525" s="26">
        <f>I525+L525</f>
        <v>4705936561</v>
      </c>
      <c r="N525" s="26" t="n">
        <v>2108620000</v>
      </c>
      <c r="O525" s="26" t="n">
        <v>5618540458</v>
      </c>
      <c r="P525" s="26">
        <f>MAX(0,N525-M525)</f>
        <v>0</v>
      </c>
      <c r="Q525" s="26">
        <f>MAX(0,M525-O525)</f>
        <v>0</v>
      </c>
      <c r="R525" t="inlineStr">
        <is>
          <t>bajo</t>
        </is>
      </c>
      <c r="S525" t="inlineStr">
        <is>
          <t>sin_accion</t>
        </is>
      </c>
      <c r="T525" t="inlineStr">
        <is>
          <t>ninguno</t>
        </is>
      </c>
      <c r="U525" s="26" t="n">
        <v>0</v>
      </c>
      <c r="X525" s="26">
        <f>IF(T525="entrada",M525+U525,IF(T525="salida",M525-U525,M525))</f>
        <v>4705936561</v>
      </c>
      <c r="Y525" s="26" t="n">
        <v>0</v>
      </c>
      <c r="Z525" t="inlineStr">
        <is>
          <t>RN-85: dentro de niveles objetivo (sin_accion)</t>
        </is>
      </c>
      <c r="AA525" t="inlineStr">
        <is>
          <t>SUP-07, SUP-10</t>
        </is>
      </c>
      <c r="AB525" t="inlineStr">
        <is>
          <t>Saldo dentro del rango objetivo; sin accion.</t>
        </is>
      </c>
      <c r="AC525" t="inlineStr">
        <is>
          <t>Cierre del dia anterior (saldo encadenado, RN-71)</t>
        </is>
      </c>
      <c r="AD525" t="inlineStr">
        <is>
          <t>estimada</t>
        </is>
      </c>
      <c r="AE525" t="inlineStr">
        <is>
          <t>Participacion historica por denominacion (SUP-09)</t>
        </is>
      </c>
    </row>
    <row r="526">
      <c r="A526" t="inlineStr">
        <is>
          <t>PRAGMA</t>
        </is>
      </c>
      <c r="B526" t="inlineStr">
        <is>
          <t>PASTO|TRANSPORTADORA_001</t>
        </is>
      </c>
      <c r="C526" t="inlineStr">
        <is>
          <t>Pasto</t>
        </is>
      </c>
      <c r="D526" t="inlineStr">
        <is>
          <t>TRANSPORTADORA_001</t>
        </is>
      </c>
      <c r="E526" s="23" t="n">
        <v>46265</v>
      </c>
      <c r="F526" s="23" t="n">
        <v>46269</v>
      </c>
      <c r="G526" t="inlineStr">
        <is>
          <t>Sí</t>
        </is>
      </c>
      <c r="H526" s="25" t="n">
        <v>20000</v>
      </c>
      <c r="I526" s="26" t="n">
        <v>4705936561</v>
      </c>
      <c r="J526" s="26" t="n">
        <v>1516083995</v>
      </c>
      <c r="K526" s="26" t="n">
        <v>1582884207</v>
      </c>
      <c r="L526" s="26">
        <f>J526-K526</f>
        <v>-66800212</v>
      </c>
      <c r="M526" s="26">
        <f>I526+L526</f>
        <v>4639136349</v>
      </c>
      <c r="N526" s="26" t="n">
        <v>2108620000</v>
      </c>
      <c r="O526" s="26" t="n">
        <v>5618540458</v>
      </c>
      <c r="P526" s="26">
        <f>MAX(0,N526-M526)</f>
        <v>0</v>
      </c>
      <c r="Q526" s="26">
        <f>MAX(0,M526-O526)</f>
        <v>0</v>
      </c>
      <c r="R526" t="inlineStr">
        <is>
          <t>bajo</t>
        </is>
      </c>
      <c r="S526" t="inlineStr">
        <is>
          <t>sin_accion</t>
        </is>
      </c>
      <c r="T526" t="inlineStr">
        <is>
          <t>ninguno</t>
        </is>
      </c>
      <c r="U526" s="26" t="n">
        <v>0</v>
      </c>
      <c r="X526" s="26">
        <f>IF(T526="entrada",M526+U526,IF(T526="salida",M526-U526,M526))</f>
        <v>4639136349</v>
      </c>
      <c r="Y526" s="26" t="n">
        <v>0</v>
      </c>
      <c r="Z526" t="inlineStr">
        <is>
          <t>RN-85: dentro de niveles objetivo (sin_accion)</t>
        </is>
      </c>
      <c r="AA526" t="inlineStr">
        <is>
          <t>SUP-07, SUP-10</t>
        </is>
      </c>
      <c r="AB526" t="inlineStr">
        <is>
          <t>Saldo dentro del rango objetivo; sin accion.</t>
        </is>
      </c>
      <c r="AC526" t="inlineStr">
        <is>
          <t>Cierre del dia anterior (saldo encadenado, RN-71)</t>
        </is>
      </c>
      <c r="AD526" t="inlineStr">
        <is>
          <t>estimada</t>
        </is>
      </c>
      <c r="AE526" t="inlineStr">
        <is>
          <t>Participacion historica por denominacion (SUP-09)</t>
        </is>
      </c>
    </row>
    <row r="527">
      <c r="A527" t="inlineStr">
        <is>
          <t>PRAGMA</t>
        </is>
      </c>
      <c r="B527" t="inlineStr">
        <is>
          <t>PASTO|TRANSPORTADORA_001</t>
        </is>
      </c>
      <c r="C527" t="inlineStr">
        <is>
          <t>Pasto</t>
        </is>
      </c>
      <c r="D527" t="inlineStr">
        <is>
          <t>TRANSPORTADORA_001</t>
        </is>
      </c>
      <c r="E527" s="23" t="n">
        <v>46265</v>
      </c>
      <c r="F527" s="23" t="n">
        <v>46270</v>
      </c>
      <c r="G527" t="inlineStr">
        <is>
          <t>No</t>
        </is>
      </c>
      <c r="H527" s="25" t="n">
        <v>20000</v>
      </c>
      <c r="I527" s="26" t="n">
        <v>4639136348</v>
      </c>
      <c r="J527" s="26" t="n">
        <v>618754187</v>
      </c>
      <c r="K527" s="26" t="n">
        <v>1015166352</v>
      </c>
      <c r="L527" s="26">
        <f>J527-K527</f>
        <v>-396412165</v>
      </c>
      <c r="M527" s="26">
        <f>I527+L527</f>
        <v>4242724183</v>
      </c>
      <c r="N527" s="26" t="n">
        <v>2108620000</v>
      </c>
      <c r="O527" s="26" t="n">
        <v>5618540458</v>
      </c>
      <c r="P527" s="26">
        <f>MAX(0,N527-M527)</f>
        <v>0</v>
      </c>
      <c r="Q527" s="26">
        <f>MAX(0,M527-O527)</f>
        <v>0</v>
      </c>
      <c r="R527" t="inlineStr">
        <is>
          <t>bajo</t>
        </is>
      </c>
      <c r="S527" t="inlineStr">
        <is>
          <t>sin_accion</t>
        </is>
      </c>
      <c r="T527" t="inlineStr">
        <is>
          <t>ninguno</t>
        </is>
      </c>
      <c r="U527" s="26" t="n">
        <v>0</v>
      </c>
      <c r="X527" s="26">
        <f>IF(T527="entrada",M527+U527,IF(T527="salida",M527-U527,M527))</f>
        <v>4242724183</v>
      </c>
      <c r="Y527" s="26" t="n">
        <v>0</v>
      </c>
      <c r="Z527" t="inlineStr">
        <is>
          <t>RN-85: dentro de niveles objetivo (sin_accion)</t>
        </is>
      </c>
      <c r="AA527" t="inlineStr">
        <is>
          <t>SUP-07, SUP-10</t>
        </is>
      </c>
      <c r="AB527" t="inlineStr">
        <is>
          <t>Saldo dentro del rango objetivo; sin accion.</t>
        </is>
      </c>
      <c r="AC527" t="inlineStr">
        <is>
          <t>Cierre del dia anterior (saldo encadenado, RN-71)</t>
        </is>
      </c>
      <c r="AD527" t="inlineStr">
        <is>
          <t>estimada</t>
        </is>
      </c>
      <c r="AE527" t="inlineStr">
        <is>
          <t>Participacion historica por denominacion (SUP-09)</t>
        </is>
      </c>
    </row>
    <row r="528">
      <c r="A528" t="inlineStr">
        <is>
          <t>PRAGMA</t>
        </is>
      </c>
      <c r="B528" t="inlineStr">
        <is>
          <t>PASTO|TRANSPORTADORA_001</t>
        </is>
      </c>
      <c r="C528" t="inlineStr">
        <is>
          <t>Pasto</t>
        </is>
      </c>
      <c r="D528" t="inlineStr">
        <is>
          <t>TRANSPORTADORA_001</t>
        </is>
      </c>
      <c r="E528" s="23" t="n">
        <v>46265</v>
      </c>
      <c r="F528" s="23" t="n">
        <v>46271</v>
      </c>
      <c r="G528" t="inlineStr">
        <is>
          <t>No</t>
        </is>
      </c>
      <c r="H528" s="25" t="n">
        <v>20000</v>
      </c>
      <c r="I528" s="26" t="n">
        <v>4242724183</v>
      </c>
      <c r="J528" s="26" t="n">
        <v>112454763</v>
      </c>
      <c r="K528" s="26" t="n">
        <v>209819027</v>
      </c>
      <c r="L528" s="26">
        <f>J528-K528</f>
        <v>-97364264</v>
      </c>
      <c r="M528" s="26">
        <f>I528+L528</f>
        <v>4145359919</v>
      </c>
      <c r="N528" s="26" t="n">
        <v>2108620000</v>
      </c>
      <c r="O528" s="26" t="n">
        <v>5618540458</v>
      </c>
      <c r="P528" s="26">
        <f>MAX(0,N528-M528)</f>
        <v>0</v>
      </c>
      <c r="Q528" s="26">
        <f>MAX(0,M528-O528)</f>
        <v>0</v>
      </c>
      <c r="R528" t="inlineStr">
        <is>
          <t>bajo</t>
        </is>
      </c>
      <c r="S528" t="inlineStr">
        <is>
          <t>sin_accion</t>
        </is>
      </c>
      <c r="T528" t="inlineStr">
        <is>
          <t>ninguno</t>
        </is>
      </c>
      <c r="U528" s="26" t="n">
        <v>0</v>
      </c>
      <c r="X528" s="26">
        <f>IF(T528="entrada",M528+U528,IF(T528="salida",M528-U528,M528))</f>
        <v>4145359919</v>
      </c>
      <c r="Y528" s="26" t="n">
        <v>0</v>
      </c>
      <c r="Z528" t="inlineStr">
        <is>
          <t>RN-85: dentro de niveles objetivo (sin_accion)</t>
        </is>
      </c>
      <c r="AA528" t="inlineStr">
        <is>
          <t>SUP-07, SUP-10</t>
        </is>
      </c>
      <c r="AB528" t="inlineStr">
        <is>
          <t>Saldo dentro del rango objetivo; sin accion.</t>
        </is>
      </c>
      <c r="AC528" t="inlineStr">
        <is>
          <t>Cierre del dia anterior (saldo encadenado, RN-71)</t>
        </is>
      </c>
      <c r="AD528" t="inlineStr">
        <is>
          <t>estimada</t>
        </is>
      </c>
      <c r="AE528" t="inlineStr">
        <is>
          <t>Participacion historica por denominacion (SUP-09)</t>
        </is>
      </c>
    </row>
    <row r="529">
      <c r="A529" t="inlineStr">
        <is>
          <t>PRAGMA</t>
        </is>
      </c>
      <c r="B529" t="inlineStr">
        <is>
          <t>PASTO|TRANSPORTADORA_001</t>
        </is>
      </c>
      <c r="C529" t="inlineStr">
        <is>
          <t>Pasto</t>
        </is>
      </c>
      <c r="D529" t="inlineStr">
        <is>
          <t>TRANSPORTADORA_001</t>
        </is>
      </c>
      <c r="E529" s="23" t="n">
        <v>46265</v>
      </c>
      <c r="F529" s="23" t="n">
        <v>46272</v>
      </c>
      <c r="G529" t="inlineStr">
        <is>
          <t>Sí</t>
        </is>
      </c>
      <c r="H529" s="25" t="n">
        <v>20000</v>
      </c>
      <c r="I529" s="26" t="n">
        <v>4145359919</v>
      </c>
      <c r="J529" s="26" t="n">
        <v>1407515354</v>
      </c>
      <c r="K529" s="26" t="n">
        <v>948268585</v>
      </c>
      <c r="L529" s="26">
        <f>J529-K529</f>
        <v>459246769</v>
      </c>
      <c r="M529" s="26">
        <f>I529+L529</f>
        <v>4604606688</v>
      </c>
      <c r="N529" s="26" t="n">
        <v>2108620000</v>
      </c>
      <c r="O529" s="26" t="n">
        <v>5618540458</v>
      </c>
      <c r="P529" s="26">
        <f>MAX(0,N529-M529)</f>
        <v>0</v>
      </c>
      <c r="Q529" s="26">
        <f>MAX(0,M529-O529)</f>
        <v>0</v>
      </c>
      <c r="R529" t="inlineStr">
        <is>
          <t>bajo</t>
        </is>
      </c>
      <c r="S529" t="inlineStr">
        <is>
          <t>sin_accion</t>
        </is>
      </c>
      <c r="T529" t="inlineStr">
        <is>
          <t>ninguno</t>
        </is>
      </c>
      <c r="U529" s="26" t="n">
        <v>0</v>
      </c>
      <c r="X529" s="26">
        <f>IF(T529="entrada",M529+U529,IF(T529="salida",M529-U529,M529))</f>
        <v>4604606688</v>
      </c>
      <c r="Y529" s="26" t="n">
        <v>0</v>
      </c>
      <c r="Z529" t="inlineStr">
        <is>
          <t>RN-85: dentro de niveles objetivo (sin_accion)</t>
        </is>
      </c>
      <c r="AA529" t="inlineStr">
        <is>
          <t>SUP-07, SUP-10</t>
        </is>
      </c>
      <c r="AB529" t="inlineStr">
        <is>
          <t>Saldo dentro del rango objetivo; sin accion.</t>
        </is>
      </c>
      <c r="AC529" t="inlineStr">
        <is>
          <t>Cierre del dia anterior (saldo encadenado, RN-71)</t>
        </is>
      </c>
      <c r="AD529" t="inlineStr">
        <is>
          <t>estimada</t>
        </is>
      </c>
      <c r="AE529" t="inlineStr">
        <is>
          <t>Participacion historica por denominacion (SUP-09)</t>
        </is>
      </c>
    </row>
    <row r="530">
      <c r="A530" t="inlineStr">
        <is>
          <t>PRAGMA</t>
        </is>
      </c>
      <c r="B530" t="inlineStr">
        <is>
          <t>PASTO|TRANSPORTADORA_001</t>
        </is>
      </c>
      <c r="C530" t="inlineStr">
        <is>
          <t>Pasto</t>
        </is>
      </c>
      <c r="D530" t="inlineStr">
        <is>
          <t>TRANSPORTADORA_001</t>
        </is>
      </c>
      <c r="E530" s="23" t="n">
        <v>46265</v>
      </c>
      <c r="F530" s="23" t="n">
        <v>46273</v>
      </c>
      <c r="G530" t="inlineStr">
        <is>
          <t>Sí</t>
        </is>
      </c>
      <c r="H530" s="25" t="n">
        <v>20000</v>
      </c>
      <c r="I530" s="26" t="n">
        <v>4604606687</v>
      </c>
      <c r="J530" s="26" t="n">
        <v>1613393695</v>
      </c>
      <c r="K530" s="26" t="n">
        <v>1266687452</v>
      </c>
      <c r="L530" s="26">
        <f>J530-K530</f>
        <v>346706243</v>
      </c>
      <c r="M530" s="26">
        <f>I530+L530</f>
        <v>4951312930</v>
      </c>
      <c r="N530" s="26" t="n">
        <v>2108620000</v>
      </c>
      <c r="O530" s="26" t="n">
        <v>5618540458</v>
      </c>
      <c r="P530" s="26">
        <f>MAX(0,N530-M530)</f>
        <v>0</v>
      </c>
      <c r="Q530" s="26">
        <f>MAX(0,M530-O530)</f>
        <v>0</v>
      </c>
      <c r="R530" t="inlineStr">
        <is>
          <t>bajo</t>
        </is>
      </c>
      <c r="S530" t="inlineStr">
        <is>
          <t>sin_accion</t>
        </is>
      </c>
      <c r="T530" t="inlineStr">
        <is>
          <t>ninguno</t>
        </is>
      </c>
      <c r="U530" s="26" t="n">
        <v>0</v>
      </c>
      <c r="X530" s="26">
        <f>IF(T530="entrada",M530+U530,IF(T530="salida",M530-U530,M530))</f>
        <v>4951312930</v>
      </c>
      <c r="Y530" s="26" t="n">
        <v>0</v>
      </c>
      <c r="Z530" t="inlineStr">
        <is>
          <t>RN-85: dentro de niveles objetivo (sin_accion)</t>
        </is>
      </c>
      <c r="AA530" t="inlineStr">
        <is>
          <t>SUP-07, SUP-10</t>
        </is>
      </c>
      <c r="AB530" t="inlineStr">
        <is>
          <t>Saldo dentro del rango objetivo; sin accion.</t>
        </is>
      </c>
      <c r="AC530" t="inlineStr">
        <is>
          <t>Cierre del dia anterior (saldo encadenado, RN-71)</t>
        </is>
      </c>
      <c r="AD530" t="inlineStr">
        <is>
          <t>estimada</t>
        </is>
      </c>
      <c r="AE530" t="inlineStr">
        <is>
          <t>Participacion historica por denominacion (SUP-09)</t>
        </is>
      </c>
    </row>
    <row r="531">
      <c r="A531" t="inlineStr">
        <is>
          <t>PRAGMA</t>
        </is>
      </c>
      <c r="B531" t="inlineStr">
        <is>
          <t>PASTO|TRANSPORTADORA_001</t>
        </is>
      </c>
      <c r="C531" t="inlineStr">
        <is>
          <t>Pasto</t>
        </is>
      </c>
      <c r="D531" t="inlineStr">
        <is>
          <t>TRANSPORTADORA_001</t>
        </is>
      </c>
      <c r="E531" s="23" t="n">
        <v>46265</v>
      </c>
      <c r="F531" s="23" t="n">
        <v>46274</v>
      </c>
      <c r="G531" t="inlineStr">
        <is>
          <t>Sí</t>
        </is>
      </c>
      <c r="H531" s="25" t="n">
        <v>20000</v>
      </c>
      <c r="I531" s="26" t="n">
        <v>4951312930</v>
      </c>
      <c r="J531" s="26" t="n">
        <v>1603725853</v>
      </c>
      <c r="K531" s="26" t="n">
        <v>1278174123</v>
      </c>
      <c r="L531" s="26">
        <f>J531-K531</f>
        <v>325551730</v>
      </c>
      <c r="M531" s="26">
        <f>I531+L531</f>
        <v>5276864660</v>
      </c>
      <c r="N531" s="26" t="n">
        <v>2108620000</v>
      </c>
      <c r="O531" s="26" t="n">
        <v>5618540458</v>
      </c>
      <c r="P531" s="26">
        <f>MAX(0,N531-M531)</f>
        <v>0</v>
      </c>
      <c r="Q531" s="26">
        <f>MAX(0,M531-O531)</f>
        <v>0</v>
      </c>
      <c r="R531" t="inlineStr">
        <is>
          <t>bajo</t>
        </is>
      </c>
      <c r="S531" t="inlineStr">
        <is>
          <t>sin_accion</t>
        </is>
      </c>
      <c r="T531" t="inlineStr">
        <is>
          <t>ninguno</t>
        </is>
      </c>
      <c r="U531" s="26" t="n">
        <v>0</v>
      </c>
      <c r="X531" s="26">
        <f>IF(T531="entrada",M531+U531,IF(T531="salida",M531-U531,M531))</f>
        <v>5276864660</v>
      </c>
      <c r="Y531" s="26" t="n">
        <v>0</v>
      </c>
      <c r="Z531" t="inlineStr">
        <is>
          <t>RN-85: dentro de niveles objetivo (sin_accion)</t>
        </is>
      </c>
      <c r="AA531" t="inlineStr">
        <is>
          <t>SUP-07, SUP-10</t>
        </is>
      </c>
      <c r="AB531" t="inlineStr">
        <is>
          <t>Saldo dentro del rango objetivo; sin accion.</t>
        </is>
      </c>
      <c r="AC531" t="inlineStr">
        <is>
          <t>Cierre del dia anterior (saldo encadenado, RN-71)</t>
        </is>
      </c>
      <c r="AD531" t="inlineStr">
        <is>
          <t>estimada</t>
        </is>
      </c>
      <c r="AE531" t="inlineStr">
        <is>
          <t>Participacion historica por denominacion (SUP-09)</t>
        </is>
      </c>
    </row>
    <row r="532">
      <c r="A532" t="inlineStr">
        <is>
          <t>PRAGMA</t>
        </is>
      </c>
      <c r="B532" t="inlineStr">
        <is>
          <t>PASTO|TRANSPORTADORA_001</t>
        </is>
      </c>
      <c r="C532" t="inlineStr">
        <is>
          <t>Pasto</t>
        </is>
      </c>
      <c r="D532" t="inlineStr">
        <is>
          <t>TRANSPORTADORA_001</t>
        </is>
      </c>
      <c r="E532" s="23" t="n">
        <v>46265</v>
      </c>
      <c r="F532" s="23" t="n">
        <v>46275</v>
      </c>
      <c r="G532" t="inlineStr">
        <is>
          <t>Sí</t>
        </is>
      </c>
      <c r="H532" s="25" t="n">
        <v>20000</v>
      </c>
      <c r="I532" s="26" t="n">
        <v>5276864659</v>
      </c>
      <c r="J532" s="26" t="n">
        <v>1393973217</v>
      </c>
      <c r="K532" s="26" t="n">
        <v>1194144831</v>
      </c>
      <c r="L532" s="26">
        <f>J532-K532</f>
        <v>199828386</v>
      </c>
      <c r="M532" s="26">
        <f>I532+L532</f>
        <v>5476693045</v>
      </c>
      <c r="N532" s="26" t="n">
        <v>2108620000</v>
      </c>
      <c r="O532" s="26" t="n">
        <v>5618540458</v>
      </c>
      <c r="P532" s="26">
        <f>MAX(0,N532-M532)</f>
        <v>0</v>
      </c>
      <c r="Q532" s="26">
        <f>MAX(0,M532-O532)</f>
        <v>0</v>
      </c>
      <c r="R532" t="inlineStr">
        <is>
          <t>bajo</t>
        </is>
      </c>
      <c r="S532" t="inlineStr">
        <is>
          <t>sin_accion</t>
        </is>
      </c>
      <c r="T532" t="inlineStr">
        <is>
          <t>ninguno</t>
        </is>
      </c>
      <c r="U532" s="26" t="n">
        <v>0</v>
      </c>
      <c r="X532" s="26">
        <f>IF(T532="entrada",M532+U532,IF(T532="salida",M532-U532,M532))</f>
        <v>5476693045</v>
      </c>
      <c r="Y532" s="26" t="n">
        <v>0</v>
      </c>
      <c r="Z532" t="inlineStr">
        <is>
          <t>RN-85: dentro de niveles objetivo (sin_accion)</t>
        </is>
      </c>
      <c r="AA532" t="inlineStr">
        <is>
          <t>SUP-07, SUP-10</t>
        </is>
      </c>
      <c r="AB532" t="inlineStr">
        <is>
          <t>Saldo dentro del rango objetivo; sin accion.</t>
        </is>
      </c>
      <c r="AC532" t="inlineStr">
        <is>
          <t>Cierre del dia anterior (saldo encadenado, RN-71)</t>
        </is>
      </c>
      <c r="AD532" t="inlineStr">
        <is>
          <t>estimada</t>
        </is>
      </c>
      <c r="AE532" t="inlineStr">
        <is>
          <t>Participacion historica por denominacion (SUP-09)</t>
        </is>
      </c>
    </row>
    <row r="533">
      <c r="A533" t="inlineStr">
        <is>
          <t>PRAGMA</t>
        </is>
      </c>
      <c r="B533" t="inlineStr">
        <is>
          <t>PASTO|TRANSPORTADORA_001</t>
        </is>
      </c>
      <c r="C533" t="inlineStr">
        <is>
          <t>Pasto</t>
        </is>
      </c>
      <c r="D533" t="inlineStr">
        <is>
          <t>TRANSPORTADORA_001</t>
        </is>
      </c>
      <c r="E533" s="23" t="n">
        <v>46265</v>
      </c>
      <c r="F533" s="23" t="n">
        <v>46276</v>
      </c>
      <c r="G533" t="inlineStr">
        <is>
          <t>Sí</t>
        </is>
      </c>
      <c r="H533" s="25" t="n">
        <v>20000</v>
      </c>
      <c r="I533" s="26" t="n">
        <v>5476693046</v>
      </c>
      <c r="J533" s="26" t="n">
        <v>1533442014</v>
      </c>
      <c r="K533" s="26" t="n">
        <v>1353621193</v>
      </c>
      <c r="L533" s="26">
        <f>J533-K533</f>
        <v>179820821</v>
      </c>
      <c r="M533" s="26">
        <f>I533+L533</f>
        <v>5656513867</v>
      </c>
      <c r="N533" s="26" t="n">
        <v>2108620000</v>
      </c>
      <c r="O533" s="26" t="n">
        <v>5618540458</v>
      </c>
      <c r="P533" s="26">
        <f>MAX(0,N533-M533)</f>
        <v>0</v>
      </c>
      <c r="Q533" s="26">
        <f>MAX(0,M533-O533)</f>
        <v>37973409</v>
      </c>
      <c r="R533" t="inlineStr">
        <is>
          <t>bajo</t>
        </is>
      </c>
      <c r="S533" t="inlineStr">
        <is>
          <t>venta_efectivo</t>
        </is>
      </c>
      <c r="T533" t="inlineStr">
        <is>
          <t>salida</t>
        </is>
      </c>
      <c r="U533" s="26" t="n">
        <v>37980000</v>
      </c>
      <c r="V533" t="inlineStr">
        <is>
          <t>PASTO|TRANSPORTADORA_001</t>
        </is>
      </c>
      <c r="X533" s="26">
        <f>IF(T533="entrada",M533+U533,IF(T533="salida",M533-U533,M533))</f>
        <v>5618533867</v>
      </c>
      <c r="Y533" s="26" t="n">
        <v>0</v>
      </c>
      <c r="Z533" t="inlineStr">
        <is>
          <t>Menor costo neto entre las alternativas que cubren la necesidad completa</t>
        </is>
      </c>
      <c r="AA533" t="inlineStr">
        <is>
          <t>SUP-08, SUP-10, SUP-23</t>
        </is>
      </c>
      <c r="AB533" t="inlineStr">
        <is>
          <t>Excedente de $37.973.409 en la denominacion 20000: saldo $5.656.513.866 sobre el maximo $5.618.540.458. Elegida: venta ($37.980.000; beneficio de referencia $15.192). Es preferible porque tiene el menor costo neto. Otras alternativas: conservar ($37.980.000; costo de almacenar $1.861); traslado con CALI|TRANSPORTADORA_003 ($37.980.000; costo $844.419); consignacion BanRep: no habilitada en este fondo (sin historico o fuera de las ciudades BanRep).</t>
        </is>
      </c>
      <c r="AC533" t="inlineStr">
        <is>
          <t>Cierre del dia anterior (saldo encadenado, RN-71)</t>
        </is>
      </c>
      <c r="AD533" t="inlineStr">
        <is>
          <t>estimada</t>
        </is>
      </c>
      <c r="AE533" t="inlineStr">
        <is>
          <t>Participacion historica por denominacion (SUP-09)</t>
        </is>
      </c>
    </row>
    <row r="534">
      <c r="A534" t="inlineStr">
        <is>
          <t>PRAGMA</t>
        </is>
      </c>
      <c r="B534" t="inlineStr">
        <is>
          <t>PASTO|TRANSPORTADORA_001</t>
        </is>
      </c>
      <c r="C534" t="inlineStr">
        <is>
          <t>Pasto</t>
        </is>
      </c>
      <c r="D534" t="inlineStr">
        <is>
          <t>TRANSPORTADORA_001</t>
        </is>
      </c>
      <c r="E534" s="23" t="n">
        <v>46265</v>
      </c>
      <c r="F534" s="23" t="n">
        <v>46277</v>
      </c>
      <c r="G534" t="inlineStr">
        <is>
          <t>No</t>
        </is>
      </c>
      <c r="H534" s="25" t="n">
        <v>20000</v>
      </c>
      <c r="I534" s="26" t="n">
        <v>5618533866</v>
      </c>
      <c r="J534" s="26" t="n">
        <v>586200938</v>
      </c>
      <c r="K534" s="26" t="n">
        <v>901613324</v>
      </c>
      <c r="L534" s="26">
        <f>J534-K534</f>
        <v>-315412386</v>
      </c>
      <c r="M534" s="26">
        <f>I534+L534</f>
        <v>5303121480</v>
      </c>
      <c r="N534" s="26" t="n">
        <v>2108620000</v>
      </c>
      <c r="O534" s="26" t="n">
        <v>5618540458</v>
      </c>
      <c r="P534" s="26">
        <f>MAX(0,N534-M534)</f>
        <v>0</v>
      </c>
      <c r="Q534" s="26">
        <f>MAX(0,M534-O534)</f>
        <v>0</v>
      </c>
      <c r="R534" t="inlineStr">
        <is>
          <t>bajo</t>
        </is>
      </c>
      <c r="S534" t="inlineStr">
        <is>
          <t>sin_accion</t>
        </is>
      </c>
      <c r="T534" t="inlineStr">
        <is>
          <t>ninguno</t>
        </is>
      </c>
      <c r="U534" s="26" t="n">
        <v>0</v>
      </c>
      <c r="X534" s="26">
        <f>IF(T534="entrada",M534+U534,IF(T534="salida",M534-U534,M534))</f>
        <v>5303121480</v>
      </c>
      <c r="Y534" s="26" t="n">
        <v>0</v>
      </c>
      <c r="Z534" t="inlineStr">
        <is>
          <t>RN-85: dentro de niveles objetivo (sin_accion)</t>
        </is>
      </c>
      <c r="AA534" t="inlineStr">
        <is>
          <t>SUP-07, SUP-10</t>
        </is>
      </c>
      <c r="AB534" t="inlineStr">
        <is>
          <t>Saldo dentro del rango objetivo; sin accion.</t>
        </is>
      </c>
      <c r="AC534" t="inlineStr">
        <is>
          <t>Cierre del dia anterior (saldo encadenado, RN-71)</t>
        </is>
      </c>
      <c r="AD534" t="inlineStr">
        <is>
          <t>estimada</t>
        </is>
      </c>
      <c r="AE534" t="inlineStr">
        <is>
          <t>Participacion historica por denominacion (SUP-09)</t>
        </is>
      </c>
    </row>
    <row r="535">
      <c r="A535" t="inlineStr">
        <is>
          <t>PRAGMA</t>
        </is>
      </c>
      <c r="B535" t="inlineStr">
        <is>
          <t>PASTO|TRANSPORTADORA_001</t>
        </is>
      </c>
      <c r="C535" t="inlineStr">
        <is>
          <t>Pasto</t>
        </is>
      </c>
      <c r="D535" t="inlineStr">
        <is>
          <t>TRANSPORTADORA_001</t>
        </is>
      </c>
      <c r="E535" s="23" t="n">
        <v>46265</v>
      </c>
      <c r="F535" s="23" t="n">
        <v>46278</v>
      </c>
      <c r="G535" t="inlineStr">
        <is>
          <t>No</t>
        </is>
      </c>
      <c r="H535" s="25" t="n">
        <v>20000</v>
      </c>
      <c r="I535" s="26" t="n">
        <v>5303121481</v>
      </c>
      <c r="J535" s="26" t="n">
        <v>93939133</v>
      </c>
      <c r="K535" s="26" t="n">
        <v>157990822</v>
      </c>
      <c r="L535" s="26">
        <f>J535-K535</f>
        <v>-64051689</v>
      </c>
      <c r="M535" s="26">
        <f>I535+L535</f>
        <v>5239069792</v>
      </c>
      <c r="N535" s="26" t="n">
        <v>2108620000</v>
      </c>
      <c r="O535" s="26" t="n">
        <v>5618540458</v>
      </c>
      <c r="P535" s="26">
        <f>MAX(0,N535-M535)</f>
        <v>0</v>
      </c>
      <c r="Q535" s="26">
        <f>MAX(0,M535-O535)</f>
        <v>0</v>
      </c>
      <c r="R535" t="inlineStr">
        <is>
          <t>bajo</t>
        </is>
      </c>
      <c r="S535" t="inlineStr">
        <is>
          <t>sin_accion</t>
        </is>
      </c>
      <c r="T535" t="inlineStr">
        <is>
          <t>ninguno</t>
        </is>
      </c>
      <c r="U535" s="26" t="n">
        <v>0</v>
      </c>
      <c r="X535" s="26">
        <f>IF(T535="entrada",M535+U535,IF(T535="salida",M535-U535,M535))</f>
        <v>5239069792</v>
      </c>
      <c r="Y535" s="26" t="n">
        <v>0</v>
      </c>
      <c r="Z535" t="inlineStr">
        <is>
          <t>RN-85: dentro de niveles objetivo (sin_accion)</t>
        </is>
      </c>
      <c r="AA535" t="inlineStr">
        <is>
          <t>SUP-07, SUP-10</t>
        </is>
      </c>
      <c r="AB535" t="inlineStr">
        <is>
          <t>Saldo dentro del rango objetivo; sin accion.</t>
        </is>
      </c>
      <c r="AC535" t="inlineStr">
        <is>
          <t>Cierre del dia anterior (saldo encadenado, RN-71)</t>
        </is>
      </c>
      <c r="AD535" t="inlineStr">
        <is>
          <t>estimada</t>
        </is>
      </c>
      <c r="AE535" t="inlineStr">
        <is>
          <t>Participacion historica por denominacion (SUP-09)</t>
        </is>
      </c>
    </row>
    <row r="536">
      <c r="A536" t="inlineStr">
        <is>
          <t>PRAGMA</t>
        </is>
      </c>
      <c r="B536" t="inlineStr">
        <is>
          <t>PASTO|TRANSPORTADORA_001</t>
        </is>
      </c>
      <c r="C536" t="inlineStr">
        <is>
          <t>Pasto</t>
        </is>
      </c>
      <c r="D536" t="inlineStr">
        <is>
          <t>TRANSPORTADORA_001</t>
        </is>
      </c>
      <c r="E536" s="23" t="n">
        <v>46265</v>
      </c>
      <c r="F536" s="23" t="n">
        <v>46279</v>
      </c>
      <c r="G536" t="inlineStr">
        <is>
          <t>Sí</t>
        </is>
      </c>
      <c r="H536" s="25" t="n">
        <v>20000</v>
      </c>
      <c r="I536" s="26" t="n">
        <v>5239069791</v>
      </c>
      <c r="J536" s="26" t="n">
        <v>1342930417</v>
      </c>
      <c r="K536" s="26" t="n">
        <v>903562938</v>
      </c>
      <c r="L536" s="26">
        <f>J536-K536</f>
        <v>439367479</v>
      </c>
      <c r="M536" s="26">
        <f>I536+L536</f>
        <v>5678437270</v>
      </c>
      <c r="N536" s="26" t="n">
        <v>2108620000</v>
      </c>
      <c r="O536" s="26" t="n">
        <v>5618540458</v>
      </c>
      <c r="P536" s="26">
        <f>MAX(0,N536-M536)</f>
        <v>0</v>
      </c>
      <c r="Q536" s="26">
        <f>MAX(0,M536-O536)</f>
        <v>59896812</v>
      </c>
      <c r="R536" t="inlineStr">
        <is>
          <t>bajo</t>
        </is>
      </c>
      <c r="S536" t="inlineStr">
        <is>
          <t>venta_efectivo</t>
        </is>
      </c>
      <c r="T536" t="inlineStr">
        <is>
          <t>salida</t>
        </is>
      </c>
      <c r="U536" s="26" t="n">
        <v>59900000</v>
      </c>
      <c r="V536" t="inlineStr">
        <is>
          <t>PASTO|TRANSPORTADORA_001</t>
        </is>
      </c>
      <c r="X536" s="26">
        <f>IF(T536="entrada",M536+U536,IF(T536="salida",M536-U536,M536))</f>
        <v>5618537270</v>
      </c>
      <c r="Y536" s="26" t="n">
        <v>0</v>
      </c>
      <c r="Z536" t="inlineStr">
        <is>
          <t>Menor costo neto entre las alternativas que cubren la necesidad completa</t>
        </is>
      </c>
      <c r="AA536" t="inlineStr">
        <is>
          <t>SUP-08, SUP-10, SUP-23</t>
        </is>
      </c>
      <c r="AB536" t="inlineStr">
        <is>
          <t>Excedente de $59.896.812 en la denominacion 20000: saldo $5.678.437.270 sobre el maximo $5.618.540.458. Elegida: venta ($59.900.000; beneficio de referencia $23.960). Es preferible porque tiene el menor costo neto. Otras alternativas: conservar ($59.900.000; costo de almacenar $1.174); traslado con CALI|TRANSPORTADORA_003 ($59.900.000; costo $865.396); consignacion BanRep: no habilitada en este fondo (sin historico o fuera de las ciudades BanRep).</t>
        </is>
      </c>
      <c r="AC536" t="inlineStr">
        <is>
          <t>Cierre del dia anterior (saldo encadenado, RN-71)</t>
        </is>
      </c>
      <c r="AD536" t="inlineStr">
        <is>
          <t>estimada</t>
        </is>
      </c>
      <c r="AE536" t="inlineStr">
        <is>
          <t>Participacion historica por denominacion (SUP-09)</t>
        </is>
      </c>
    </row>
    <row r="537">
      <c r="A537" t="inlineStr">
        <is>
          <t>PRAGMA</t>
        </is>
      </c>
      <c r="B537" t="inlineStr">
        <is>
          <t>PASTO|TRANSPORTADORA_001</t>
        </is>
      </c>
      <c r="C537" t="inlineStr">
        <is>
          <t>Pasto</t>
        </is>
      </c>
      <c r="D537" t="inlineStr">
        <is>
          <t>TRANSPORTADORA_001</t>
        </is>
      </c>
      <c r="E537" s="23" t="n">
        <v>46265</v>
      </c>
      <c r="F537" s="23" t="n">
        <v>46280</v>
      </c>
      <c r="G537" t="inlineStr">
        <is>
          <t>Sí</t>
        </is>
      </c>
      <c r="H537" s="25" t="n">
        <v>20000</v>
      </c>
      <c r="I537" s="26" t="n">
        <v>5618537270</v>
      </c>
      <c r="J537" s="26" t="n">
        <v>1582405117</v>
      </c>
      <c r="K537" s="26" t="n">
        <v>1332416697</v>
      </c>
      <c r="L537" s="26">
        <f>J537-K537</f>
        <v>249988420</v>
      </c>
      <c r="M537" s="26">
        <f>I537+L537</f>
        <v>5868525690</v>
      </c>
      <c r="N537" s="26" t="n">
        <v>2108620000</v>
      </c>
      <c r="O537" s="26" t="n">
        <v>5618540458</v>
      </c>
      <c r="P537" s="26">
        <f>MAX(0,N537-M537)</f>
        <v>0</v>
      </c>
      <c r="Q537" s="26">
        <f>MAX(0,M537-O537)</f>
        <v>249985232</v>
      </c>
      <c r="R537" t="inlineStr">
        <is>
          <t>bajo</t>
        </is>
      </c>
      <c r="S537" t="inlineStr">
        <is>
          <t>venta_efectivo</t>
        </is>
      </c>
      <c r="T537" t="inlineStr">
        <is>
          <t>salida</t>
        </is>
      </c>
      <c r="U537" s="26" t="n">
        <v>250000000</v>
      </c>
      <c r="V537" t="inlineStr">
        <is>
          <t>PASTO|TRANSPORTADORA_001</t>
        </is>
      </c>
      <c r="X537" s="26">
        <f>IF(T537="entrada",M537+U537,IF(T537="salida",M537-U537,M537))</f>
        <v>5618525690</v>
      </c>
      <c r="Y537" s="26" t="n">
        <v>0</v>
      </c>
      <c r="Z537" t="inlineStr">
        <is>
          <t>Menor costo neto entre las alternativas que cubren la necesidad completa</t>
        </is>
      </c>
      <c r="AA537" t="inlineStr">
        <is>
          <t>SUP-08, SUP-10, SUP-23</t>
        </is>
      </c>
      <c r="AB537" t="inlineStr">
        <is>
          <t>Excedente de $249.985.232 en la denominacion 20000: saldo $5.868.525.690 sobre el maximo $5.618.540.458. Elegida: venta ($250.000.000; beneficio de referencia $100.000). Es preferible porque tiene el menor costo neto. Otras alternativas: conservar ($250.000.000; costo de almacenar $2.450); traslado con CALI|TRANSPORTADORA_003 ($250.000.000; costo $1.047.322); consignacion BanRep: no habilitada en este fondo (sin historico o fuera de las ciudades BanRep).</t>
        </is>
      </c>
      <c r="AC537" t="inlineStr">
        <is>
          <t>Cierre del dia anterior (saldo encadenado, RN-71)</t>
        </is>
      </c>
      <c r="AD537" t="inlineStr">
        <is>
          <t>estimada</t>
        </is>
      </c>
      <c r="AE537" t="inlineStr">
        <is>
          <t>Participacion historica por denominacion (SUP-09)</t>
        </is>
      </c>
    </row>
    <row r="538">
      <c r="A538" t="inlineStr">
        <is>
          <t>PRAGMA</t>
        </is>
      </c>
      <c r="B538" t="inlineStr">
        <is>
          <t>PASTO|TRANSPORTADORA_001</t>
        </is>
      </c>
      <c r="C538" t="inlineStr">
        <is>
          <t>Pasto</t>
        </is>
      </c>
      <c r="D538" t="inlineStr">
        <is>
          <t>TRANSPORTADORA_001</t>
        </is>
      </c>
      <c r="E538" s="23" t="n">
        <v>46265</v>
      </c>
      <c r="F538" s="23" t="n">
        <v>46266</v>
      </c>
      <c r="G538" t="inlineStr">
        <is>
          <t>Sí</t>
        </is>
      </c>
      <c r="H538" s="25" t="n">
        <v>50000</v>
      </c>
      <c r="I538" s="26" t="n">
        <v>13926950000</v>
      </c>
      <c r="J538" s="26" t="n">
        <v>9068493626</v>
      </c>
      <c r="K538" s="26" t="n">
        <v>9023889181</v>
      </c>
      <c r="L538" s="26">
        <f>J538-K538</f>
        <v>44604445</v>
      </c>
      <c r="M538" s="26">
        <f>I538+L538</f>
        <v>13971554445</v>
      </c>
      <c r="N538" s="26" t="n">
        <v>13176530000</v>
      </c>
      <c r="O538" s="26" t="n">
        <v>30992060000</v>
      </c>
      <c r="P538" s="26">
        <f>MAX(0,N538-M538)</f>
        <v>0</v>
      </c>
      <c r="Q538" s="26">
        <f>MAX(0,M538-O538)</f>
        <v>0</v>
      </c>
      <c r="R538" t="inlineStr">
        <is>
          <t>bajo</t>
        </is>
      </c>
      <c r="S538" t="inlineStr">
        <is>
          <t>sin_accion</t>
        </is>
      </c>
      <c r="T538" t="inlineStr">
        <is>
          <t>ninguno</t>
        </is>
      </c>
      <c r="U538" s="26" t="n">
        <v>0</v>
      </c>
      <c r="X538" s="26">
        <f>IF(T538="entrada",M538+U538,IF(T538="salida",M538-U538,M538))</f>
        <v>13971554445</v>
      </c>
      <c r="Y538" s="26" t="n">
        <v>0</v>
      </c>
      <c r="Z538" t="inlineStr">
        <is>
          <t>RN-85: dentro de niveles objetivo (sin_accion)</t>
        </is>
      </c>
      <c r="AA538" t="inlineStr">
        <is>
          <t>SUP-07, SUP-10</t>
        </is>
      </c>
      <c r="AB538" t="inlineStr">
        <is>
          <t>Saldo dentro del rango objetivo; sin accion.</t>
        </is>
      </c>
      <c r="AC538" t="inlineStr">
        <is>
          <t>Ultimo disponible al 31/08/2026 (SUP-07)</t>
        </is>
      </c>
      <c r="AD538" t="inlineStr">
        <is>
          <t>estimada</t>
        </is>
      </c>
      <c r="AE538" t="inlineStr">
        <is>
          <t>Participacion historica por denominacion (SUP-09)</t>
        </is>
      </c>
    </row>
    <row r="539">
      <c r="A539" t="inlineStr">
        <is>
          <t>PRAGMA</t>
        </is>
      </c>
      <c r="B539" t="inlineStr">
        <is>
          <t>PASTO|TRANSPORTADORA_001</t>
        </is>
      </c>
      <c r="C539" t="inlineStr">
        <is>
          <t>Pasto</t>
        </is>
      </c>
      <c r="D539" t="inlineStr">
        <is>
          <t>TRANSPORTADORA_001</t>
        </is>
      </c>
      <c r="E539" s="23" t="n">
        <v>46265</v>
      </c>
      <c r="F539" s="23" t="n">
        <v>46267</v>
      </c>
      <c r="G539" t="inlineStr">
        <is>
          <t>Sí</t>
        </is>
      </c>
      <c r="H539" s="25" t="n">
        <v>50000</v>
      </c>
      <c r="I539" s="26" t="n">
        <v>13971554445</v>
      </c>
      <c r="J539" s="26" t="n">
        <v>9242801096</v>
      </c>
      <c r="K539" s="26" t="n">
        <v>8692125958</v>
      </c>
      <c r="L539" s="26">
        <f>J539-K539</f>
        <v>550675138</v>
      </c>
      <c r="M539" s="26">
        <f>I539+L539</f>
        <v>14522229583</v>
      </c>
      <c r="N539" s="26" t="n">
        <v>13176530000</v>
      </c>
      <c r="O539" s="26" t="n">
        <v>30992060000</v>
      </c>
      <c r="P539" s="26">
        <f>MAX(0,N539-M539)</f>
        <v>0</v>
      </c>
      <c r="Q539" s="26">
        <f>MAX(0,M539-O539)</f>
        <v>0</v>
      </c>
      <c r="R539" t="inlineStr">
        <is>
          <t>bajo</t>
        </is>
      </c>
      <c r="S539" t="inlineStr">
        <is>
          <t>sin_accion</t>
        </is>
      </c>
      <c r="T539" t="inlineStr">
        <is>
          <t>ninguno</t>
        </is>
      </c>
      <c r="U539" s="26" t="n">
        <v>0</v>
      </c>
      <c r="X539" s="26">
        <f>IF(T539="entrada",M539+U539,IF(T539="salida",M539-U539,M539))</f>
        <v>14522229583</v>
      </c>
      <c r="Y539" s="26" t="n">
        <v>0</v>
      </c>
      <c r="Z539" t="inlineStr">
        <is>
          <t>RN-85: dentro de niveles objetivo (sin_accion)</t>
        </is>
      </c>
      <c r="AA539" t="inlineStr">
        <is>
          <t>SUP-07, SUP-10</t>
        </is>
      </c>
      <c r="AB539" t="inlineStr">
        <is>
          <t>Saldo dentro del rango objetivo; sin accion.</t>
        </is>
      </c>
      <c r="AC539" t="inlineStr">
        <is>
          <t>Cierre del dia anterior (saldo encadenado, RN-71)</t>
        </is>
      </c>
      <c r="AD539" t="inlineStr">
        <is>
          <t>estimada</t>
        </is>
      </c>
      <c r="AE539" t="inlineStr">
        <is>
          <t>Participacion historica por denominacion (SUP-09)</t>
        </is>
      </c>
    </row>
    <row r="540">
      <c r="A540" t="inlineStr">
        <is>
          <t>PRAGMA</t>
        </is>
      </c>
      <c r="B540" t="inlineStr">
        <is>
          <t>PASTO|TRANSPORTADORA_001</t>
        </is>
      </c>
      <c r="C540" t="inlineStr">
        <is>
          <t>Pasto</t>
        </is>
      </c>
      <c r="D540" t="inlineStr">
        <is>
          <t>TRANSPORTADORA_001</t>
        </is>
      </c>
      <c r="E540" s="23" t="n">
        <v>46265</v>
      </c>
      <c r="F540" s="23" t="n">
        <v>46268</v>
      </c>
      <c r="G540" t="inlineStr">
        <is>
          <t>Sí</t>
        </is>
      </c>
      <c r="H540" s="25" t="n">
        <v>50000</v>
      </c>
      <c r="I540" s="26" t="n">
        <v>14522229584</v>
      </c>
      <c r="J540" s="26" t="n">
        <v>8486514774</v>
      </c>
      <c r="K540" s="26" t="n">
        <v>6368067469</v>
      </c>
      <c r="L540" s="26">
        <f>J540-K540</f>
        <v>2118447305</v>
      </c>
      <c r="M540" s="26">
        <f>I540+L540</f>
        <v>16640676889</v>
      </c>
      <c r="N540" s="26" t="n">
        <v>13176530000</v>
      </c>
      <c r="O540" s="26" t="n">
        <v>30992060000</v>
      </c>
      <c r="P540" s="26">
        <f>MAX(0,N540-M540)</f>
        <v>0</v>
      </c>
      <c r="Q540" s="26">
        <f>MAX(0,M540-O540)</f>
        <v>0</v>
      </c>
      <c r="R540" t="inlineStr">
        <is>
          <t>bajo</t>
        </is>
      </c>
      <c r="S540" t="inlineStr">
        <is>
          <t>sin_accion</t>
        </is>
      </c>
      <c r="T540" t="inlineStr">
        <is>
          <t>ninguno</t>
        </is>
      </c>
      <c r="U540" s="26" t="n">
        <v>0</v>
      </c>
      <c r="X540" s="26">
        <f>IF(T540="entrada",M540+U540,IF(T540="salida",M540-U540,M540))</f>
        <v>16640676889</v>
      </c>
      <c r="Y540" s="26" t="n">
        <v>0</v>
      </c>
      <c r="Z540" t="inlineStr">
        <is>
          <t>RN-85: dentro de niveles objetivo (sin_accion)</t>
        </is>
      </c>
      <c r="AA540" t="inlineStr">
        <is>
          <t>SUP-07, SUP-10</t>
        </is>
      </c>
      <c r="AB540" t="inlineStr">
        <is>
          <t>Saldo dentro del rango objetivo; sin accion.</t>
        </is>
      </c>
      <c r="AC540" t="inlineStr">
        <is>
          <t>Cierre del dia anterior (saldo encadenado, RN-71)</t>
        </is>
      </c>
      <c r="AD540" t="inlineStr">
        <is>
          <t>estimada</t>
        </is>
      </c>
      <c r="AE540" t="inlineStr">
        <is>
          <t>Participacion historica por denominacion (SUP-09)</t>
        </is>
      </c>
    </row>
    <row r="541">
      <c r="A541" t="inlineStr">
        <is>
          <t>PRAGMA</t>
        </is>
      </c>
      <c r="B541" t="inlineStr">
        <is>
          <t>PASTO|TRANSPORTADORA_001</t>
        </is>
      </c>
      <c r="C541" t="inlineStr">
        <is>
          <t>Pasto</t>
        </is>
      </c>
      <c r="D541" t="inlineStr">
        <is>
          <t>TRANSPORTADORA_001</t>
        </is>
      </c>
      <c r="E541" s="23" t="n">
        <v>46265</v>
      </c>
      <c r="F541" s="23" t="n">
        <v>46269</v>
      </c>
      <c r="G541" t="inlineStr">
        <is>
          <t>Sí</t>
        </is>
      </c>
      <c r="H541" s="25" t="n">
        <v>50000</v>
      </c>
      <c r="I541" s="26" t="n">
        <v>16640676890</v>
      </c>
      <c r="J541" s="26" t="n">
        <v>8853600934</v>
      </c>
      <c r="K541" s="26" t="n">
        <v>9243699654</v>
      </c>
      <c r="L541" s="26">
        <f>J541-K541</f>
        <v>-390098720</v>
      </c>
      <c r="M541" s="26">
        <f>I541+L541</f>
        <v>16250578170</v>
      </c>
      <c r="N541" s="26" t="n">
        <v>13176530000</v>
      </c>
      <c r="O541" s="26" t="n">
        <v>30992060000</v>
      </c>
      <c r="P541" s="26">
        <f>MAX(0,N541-M541)</f>
        <v>0</v>
      </c>
      <c r="Q541" s="26">
        <f>MAX(0,M541-O541)</f>
        <v>0</v>
      </c>
      <c r="R541" t="inlineStr">
        <is>
          <t>bajo</t>
        </is>
      </c>
      <c r="S541" t="inlineStr">
        <is>
          <t>sin_accion</t>
        </is>
      </c>
      <c r="T541" t="inlineStr">
        <is>
          <t>ninguno</t>
        </is>
      </c>
      <c r="U541" s="26" t="n">
        <v>0</v>
      </c>
      <c r="X541" s="26">
        <f>IF(T541="entrada",M541+U541,IF(T541="salida",M541-U541,M541))</f>
        <v>16250578170</v>
      </c>
      <c r="Y541" s="26" t="n">
        <v>0</v>
      </c>
      <c r="Z541" t="inlineStr">
        <is>
          <t>RN-85: dentro de niveles objetivo (sin_accion)</t>
        </is>
      </c>
      <c r="AA541" t="inlineStr">
        <is>
          <t>SUP-07, SUP-10</t>
        </is>
      </c>
      <c r="AB541" t="inlineStr">
        <is>
          <t>Saldo dentro del rango objetivo; sin accion.</t>
        </is>
      </c>
      <c r="AC541" t="inlineStr">
        <is>
          <t>Cierre del dia anterior (saldo encadenado, RN-71)</t>
        </is>
      </c>
      <c r="AD541" t="inlineStr">
        <is>
          <t>estimada</t>
        </is>
      </c>
      <c r="AE541" t="inlineStr">
        <is>
          <t>Participacion historica por denominacion (SUP-09)</t>
        </is>
      </c>
    </row>
    <row r="542">
      <c r="A542" t="inlineStr">
        <is>
          <t>PRAGMA</t>
        </is>
      </c>
      <c r="B542" t="inlineStr">
        <is>
          <t>PASTO|TRANSPORTADORA_001</t>
        </is>
      </c>
      <c r="C542" t="inlineStr">
        <is>
          <t>Pasto</t>
        </is>
      </c>
      <c r="D542" t="inlineStr">
        <is>
          <t>TRANSPORTADORA_001</t>
        </is>
      </c>
      <c r="E542" s="23" t="n">
        <v>46265</v>
      </c>
      <c r="F542" s="23" t="n">
        <v>46270</v>
      </c>
      <c r="G542" t="inlineStr">
        <is>
          <t>No</t>
        </is>
      </c>
      <c r="H542" s="25" t="n">
        <v>50000</v>
      </c>
      <c r="I542" s="26" t="n">
        <v>16250578170</v>
      </c>
      <c r="J542" s="26" t="n">
        <v>3613389937</v>
      </c>
      <c r="K542" s="26" t="n">
        <v>5928350800</v>
      </c>
      <c r="L542" s="26">
        <f>J542-K542</f>
        <v>-2314960863</v>
      </c>
      <c r="M542" s="26">
        <f>I542+L542</f>
        <v>13935617307</v>
      </c>
      <c r="N542" s="26" t="n">
        <v>13176530000</v>
      </c>
      <c r="O542" s="26" t="n">
        <v>30992060000</v>
      </c>
      <c r="P542" s="26">
        <f>MAX(0,N542-M542)</f>
        <v>0</v>
      </c>
      <c r="Q542" s="26">
        <f>MAX(0,M542-O542)</f>
        <v>0</v>
      </c>
      <c r="R542" t="inlineStr">
        <is>
          <t>bajo</t>
        </is>
      </c>
      <c r="S542" t="inlineStr">
        <is>
          <t>sin_accion</t>
        </is>
      </c>
      <c r="T542" t="inlineStr">
        <is>
          <t>ninguno</t>
        </is>
      </c>
      <c r="U542" s="26" t="n">
        <v>0</v>
      </c>
      <c r="X542" s="26">
        <f>IF(T542="entrada",M542+U542,IF(T542="salida",M542-U542,M542))</f>
        <v>13935617307</v>
      </c>
      <c r="Y542" s="26" t="n">
        <v>0</v>
      </c>
      <c r="Z542" t="inlineStr">
        <is>
          <t>RN-85: dentro de niveles objetivo (sin_accion)</t>
        </is>
      </c>
      <c r="AA542" t="inlineStr">
        <is>
          <t>SUP-07, SUP-10</t>
        </is>
      </c>
      <c r="AB542" t="inlineStr">
        <is>
          <t>Saldo dentro del rango objetivo; sin accion.</t>
        </is>
      </c>
      <c r="AC542" t="inlineStr">
        <is>
          <t>Cierre del dia anterior (saldo encadenado, RN-71)</t>
        </is>
      </c>
      <c r="AD542" t="inlineStr">
        <is>
          <t>estimada</t>
        </is>
      </c>
      <c r="AE542" t="inlineStr">
        <is>
          <t>Participacion historica por denominacion (SUP-09)</t>
        </is>
      </c>
    </row>
    <row r="543">
      <c r="A543" t="inlineStr">
        <is>
          <t>PRAGMA</t>
        </is>
      </c>
      <c r="B543" t="inlineStr">
        <is>
          <t>PASTO|TRANSPORTADORA_001</t>
        </is>
      </c>
      <c r="C543" t="inlineStr">
        <is>
          <t>Pasto</t>
        </is>
      </c>
      <c r="D543" t="inlineStr">
        <is>
          <t>TRANSPORTADORA_001</t>
        </is>
      </c>
      <c r="E543" s="23" t="n">
        <v>46265</v>
      </c>
      <c r="F543" s="23" t="n">
        <v>46271</v>
      </c>
      <c r="G543" t="inlineStr">
        <is>
          <t>No</t>
        </is>
      </c>
      <c r="H543" s="25" t="n">
        <v>50000</v>
      </c>
      <c r="I543" s="26" t="n">
        <v>13935617306</v>
      </c>
      <c r="J543" s="26" t="n">
        <v>656711366</v>
      </c>
      <c r="K543" s="26" t="n">
        <v>1225297504</v>
      </c>
      <c r="L543" s="26">
        <f>J543-K543</f>
        <v>-568586138</v>
      </c>
      <c r="M543" s="26">
        <f>I543+L543</f>
        <v>13367031168</v>
      </c>
      <c r="N543" s="26" t="n">
        <v>13176530000</v>
      </c>
      <c r="O543" s="26" t="n">
        <v>30992060000</v>
      </c>
      <c r="P543" s="26">
        <f>MAX(0,N543-M543)</f>
        <v>0</v>
      </c>
      <c r="Q543" s="26">
        <f>MAX(0,M543-O543)</f>
        <v>0</v>
      </c>
      <c r="R543" t="inlineStr">
        <is>
          <t>bajo</t>
        </is>
      </c>
      <c r="S543" t="inlineStr">
        <is>
          <t>sin_accion</t>
        </is>
      </c>
      <c r="T543" t="inlineStr">
        <is>
          <t>ninguno</t>
        </is>
      </c>
      <c r="U543" s="26" t="n">
        <v>0</v>
      </c>
      <c r="X543" s="26">
        <f>IF(T543="entrada",M543+U543,IF(T543="salida",M543-U543,M543))</f>
        <v>13367031168</v>
      </c>
      <c r="Y543" s="26" t="n">
        <v>0</v>
      </c>
      <c r="Z543" t="inlineStr">
        <is>
          <t>RN-85: dentro de niveles objetivo (sin_accion)</t>
        </is>
      </c>
      <c r="AA543" t="inlineStr">
        <is>
          <t>SUP-07, SUP-10</t>
        </is>
      </c>
      <c r="AB543" t="inlineStr">
        <is>
          <t>Saldo dentro del rango objetivo; sin accion.</t>
        </is>
      </c>
      <c r="AC543" t="inlineStr">
        <is>
          <t>Cierre del dia anterior (saldo encadenado, RN-71)</t>
        </is>
      </c>
      <c r="AD543" t="inlineStr">
        <is>
          <t>estimada</t>
        </is>
      </c>
      <c r="AE543" t="inlineStr">
        <is>
          <t>Participacion historica por denominacion (SUP-09)</t>
        </is>
      </c>
    </row>
    <row r="544">
      <c r="A544" t="inlineStr">
        <is>
          <t>PRAGMA</t>
        </is>
      </c>
      <c r="B544" t="inlineStr">
        <is>
          <t>PASTO|TRANSPORTADORA_001</t>
        </is>
      </c>
      <c r="C544" t="inlineStr">
        <is>
          <t>Pasto</t>
        </is>
      </c>
      <c r="D544" t="inlineStr">
        <is>
          <t>TRANSPORTADORA_001</t>
        </is>
      </c>
      <c r="E544" s="23" t="n">
        <v>46265</v>
      </c>
      <c r="F544" s="23" t="n">
        <v>46272</v>
      </c>
      <c r="G544" t="inlineStr">
        <is>
          <t>Sí</t>
        </is>
      </c>
      <c r="H544" s="25" t="n">
        <v>50000</v>
      </c>
      <c r="I544" s="26" t="n">
        <v>13367031169</v>
      </c>
      <c r="J544" s="26" t="n">
        <v>8219583674</v>
      </c>
      <c r="K544" s="26" t="n">
        <v>5537682387</v>
      </c>
      <c r="L544" s="26">
        <f>J544-K544</f>
        <v>2681901287</v>
      </c>
      <c r="M544" s="26">
        <f>I544+L544</f>
        <v>16048932456</v>
      </c>
      <c r="N544" s="26" t="n">
        <v>13176530000</v>
      </c>
      <c r="O544" s="26" t="n">
        <v>30992060000</v>
      </c>
      <c r="P544" s="26">
        <f>MAX(0,N544-M544)</f>
        <v>0</v>
      </c>
      <c r="Q544" s="26">
        <f>MAX(0,M544-O544)</f>
        <v>0</v>
      </c>
      <c r="R544" t="inlineStr">
        <is>
          <t>bajo</t>
        </is>
      </c>
      <c r="S544" t="inlineStr">
        <is>
          <t>sin_accion</t>
        </is>
      </c>
      <c r="T544" t="inlineStr">
        <is>
          <t>ninguno</t>
        </is>
      </c>
      <c r="U544" s="26" t="n">
        <v>0</v>
      </c>
      <c r="X544" s="26">
        <f>IF(T544="entrada",M544+U544,IF(T544="salida",M544-U544,M544))</f>
        <v>16048932456</v>
      </c>
      <c r="Y544" s="26" t="n">
        <v>0</v>
      </c>
      <c r="Z544" t="inlineStr">
        <is>
          <t>RN-85: dentro de niveles objetivo (sin_accion)</t>
        </is>
      </c>
      <c r="AA544" t="inlineStr">
        <is>
          <t>SUP-07, SUP-10</t>
        </is>
      </c>
      <c r="AB544" t="inlineStr">
        <is>
          <t>Saldo dentro del rango objetivo; sin accion.</t>
        </is>
      </c>
      <c r="AC544" t="inlineStr">
        <is>
          <t>Cierre del dia anterior (saldo encadenado, RN-71)</t>
        </is>
      </c>
      <c r="AD544" t="inlineStr">
        <is>
          <t>estimada</t>
        </is>
      </c>
      <c r="AE544" t="inlineStr">
        <is>
          <t>Participacion historica por denominacion (SUP-09)</t>
        </is>
      </c>
    </row>
    <row r="545">
      <c r="A545" t="inlineStr">
        <is>
          <t>PRAGMA</t>
        </is>
      </c>
      <c r="B545" t="inlineStr">
        <is>
          <t>PASTO|TRANSPORTADORA_001</t>
        </is>
      </c>
      <c r="C545" t="inlineStr">
        <is>
          <t>Pasto</t>
        </is>
      </c>
      <c r="D545" t="inlineStr">
        <is>
          <t>TRANSPORTADORA_001</t>
        </is>
      </c>
      <c r="E545" s="23" t="n">
        <v>46265</v>
      </c>
      <c r="F545" s="23" t="n">
        <v>46273</v>
      </c>
      <c r="G545" t="inlineStr">
        <is>
          <t>Sí</t>
        </is>
      </c>
      <c r="H545" s="25" t="n">
        <v>50000</v>
      </c>
      <c r="I545" s="26" t="n">
        <v>16048932456</v>
      </c>
      <c r="J545" s="26" t="n">
        <v>9421868427</v>
      </c>
      <c r="K545" s="26" t="n">
        <v>7397179341</v>
      </c>
      <c r="L545" s="26">
        <f>J545-K545</f>
        <v>2024689086</v>
      </c>
      <c r="M545" s="26">
        <f>I545+L545</f>
        <v>18073621542</v>
      </c>
      <c r="N545" s="26" t="n">
        <v>13176530000</v>
      </c>
      <c r="O545" s="26" t="n">
        <v>30992060000</v>
      </c>
      <c r="P545" s="26">
        <f>MAX(0,N545-M545)</f>
        <v>0</v>
      </c>
      <c r="Q545" s="26">
        <f>MAX(0,M545-O545)</f>
        <v>0</v>
      </c>
      <c r="R545" t="inlineStr">
        <is>
          <t>bajo</t>
        </is>
      </c>
      <c r="S545" t="inlineStr">
        <is>
          <t>sin_accion</t>
        </is>
      </c>
      <c r="T545" t="inlineStr">
        <is>
          <t>ninguno</t>
        </is>
      </c>
      <c r="U545" s="26" t="n">
        <v>0</v>
      </c>
      <c r="X545" s="26">
        <f>IF(T545="entrada",M545+U545,IF(T545="salida",M545-U545,M545))</f>
        <v>18073621542</v>
      </c>
      <c r="Y545" s="26" t="n">
        <v>0</v>
      </c>
      <c r="Z545" t="inlineStr">
        <is>
          <t>RN-85: dentro de niveles objetivo (sin_accion)</t>
        </is>
      </c>
      <c r="AA545" t="inlineStr">
        <is>
          <t>SUP-07, SUP-10</t>
        </is>
      </c>
      <c r="AB545" t="inlineStr">
        <is>
          <t>Saldo dentro del rango objetivo; sin accion.</t>
        </is>
      </c>
      <c r="AC545" t="inlineStr">
        <is>
          <t>Cierre del dia anterior (saldo encadenado, RN-71)</t>
        </is>
      </c>
      <c r="AD545" t="inlineStr">
        <is>
          <t>estimada</t>
        </is>
      </c>
      <c r="AE545" t="inlineStr">
        <is>
          <t>Participacion historica por denominacion (SUP-09)</t>
        </is>
      </c>
    </row>
    <row r="546">
      <c r="A546" t="inlineStr">
        <is>
          <t>PRAGMA</t>
        </is>
      </c>
      <c r="B546" t="inlineStr">
        <is>
          <t>PASTO|TRANSPORTADORA_001</t>
        </is>
      </c>
      <c r="C546" t="inlineStr">
        <is>
          <t>Pasto</t>
        </is>
      </c>
      <c r="D546" t="inlineStr">
        <is>
          <t>TRANSPORTADORA_001</t>
        </is>
      </c>
      <c r="E546" s="23" t="n">
        <v>46265</v>
      </c>
      <c r="F546" s="23" t="n">
        <v>46274</v>
      </c>
      <c r="G546" t="inlineStr">
        <is>
          <t>Sí</t>
        </is>
      </c>
      <c r="H546" s="25" t="n">
        <v>50000</v>
      </c>
      <c r="I546" s="26" t="n">
        <v>18073621542</v>
      </c>
      <c r="J546" s="26" t="n">
        <v>9365410333</v>
      </c>
      <c r="K546" s="26" t="n">
        <v>7464259007</v>
      </c>
      <c r="L546" s="26">
        <f>J546-K546</f>
        <v>1901151326</v>
      </c>
      <c r="M546" s="26">
        <f>I546+L546</f>
        <v>19974772868</v>
      </c>
      <c r="N546" s="26" t="n">
        <v>13176530000</v>
      </c>
      <c r="O546" s="26" t="n">
        <v>30992060000</v>
      </c>
      <c r="P546" s="26">
        <f>MAX(0,N546-M546)</f>
        <v>0</v>
      </c>
      <c r="Q546" s="26">
        <f>MAX(0,M546-O546)</f>
        <v>0</v>
      </c>
      <c r="R546" t="inlineStr">
        <is>
          <t>bajo</t>
        </is>
      </c>
      <c r="S546" t="inlineStr">
        <is>
          <t>sin_accion</t>
        </is>
      </c>
      <c r="T546" t="inlineStr">
        <is>
          <t>ninguno</t>
        </is>
      </c>
      <c r="U546" s="26" t="n">
        <v>0</v>
      </c>
      <c r="X546" s="26">
        <f>IF(T546="entrada",M546+U546,IF(T546="salida",M546-U546,M546))</f>
        <v>19974772868</v>
      </c>
      <c r="Y546" s="26" t="n">
        <v>0</v>
      </c>
      <c r="Z546" t="inlineStr">
        <is>
          <t>RN-85: dentro de niveles objetivo (sin_accion)</t>
        </is>
      </c>
      <c r="AA546" t="inlineStr">
        <is>
          <t>SUP-07, SUP-10</t>
        </is>
      </c>
      <c r="AB546" t="inlineStr">
        <is>
          <t>Saldo dentro del rango objetivo; sin accion.</t>
        </is>
      </c>
      <c r="AC546" t="inlineStr">
        <is>
          <t>Cierre del dia anterior (saldo encadenado, RN-71)</t>
        </is>
      </c>
      <c r="AD546" t="inlineStr">
        <is>
          <t>estimada</t>
        </is>
      </c>
      <c r="AE546" t="inlineStr">
        <is>
          <t>Participacion historica por denominacion (SUP-09)</t>
        </is>
      </c>
    </row>
    <row r="547">
      <c r="A547" t="inlineStr">
        <is>
          <t>PRAGMA</t>
        </is>
      </c>
      <c r="B547" t="inlineStr">
        <is>
          <t>PASTO|TRANSPORTADORA_001</t>
        </is>
      </c>
      <c r="C547" t="inlineStr">
        <is>
          <t>Pasto</t>
        </is>
      </c>
      <c r="D547" t="inlineStr">
        <is>
          <t>TRANSPORTADORA_001</t>
        </is>
      </c>
      <c r="E547" s="23" t="n">
        <v>46265</v>
      </c>
      <c r="F547" s="23" t="n">
        <v>46275</v>
      </c>
      <c r="G547" t="inlineStr">
        <is>
          <t>Sí</t>
        </is>
      </c>
      <c r="H547" s="25" t="n">
        <v>50000</v>
      </c>
      <c r="I547" s="26" t="n">
        <v>19974772868</v>
      </c>
      <c r="J547" s="26" t="n">
        <v>8140500542</v>
      </c>
      <c r="K547" s="26" t="n">
        <v>6973546208</v>
      </c>
      <c r="L547" s="26">
        <f>J547-K547</f>
        <v>1166954334</v>
      </c>
      <c r="M547" s="26">
        <f>I547+L547</f>
        <v>21141727202</v>
      </c>
      <c r="N547" s="26" t="n">
        <v>13176530000</v>
      </c>
      <c r="O547" s="26" t="n">
        <v>30992060000</v>
      </c>
      <c r="P547" s="26">
        <f>MAX(0,N547-M547)</f>
        <v>0</v>
      </c>
      <c r="Q547" s="26">
        <f>MAX(0,M547-O547)</f>
        <v>0</v>
      </c>
      <c r="R547" t="inlineStr">
        <is>
          <t>bajo</t>
        </is>
      </c>
      <c r="S547" t="inlineStr">
        <is>
          <t>sin_accion</t>
        </is>
      </c>
      <c r="T547" t="inlineStr">
        <is>
          <t>ninguno</t>
        </is>
      </c>
      <c r="U547" s="26" t="n">
        <v>0</v>
      </c>
      <c r="X547" s="26">
        <f>IF(T547="entrada",M547+U547,IF(T547="salida",M547-U547,M547))</f>
        <v>21141727202</v>
      </c>
      <c r="Y547" s="26" t="n">
        <v>0</v>
      </c>
      <c r="Z547" t="inlineStr">
        <is>
          <t>RN-85: dentro de niveles objetivo (sin_accion)</t>
        </is>
      </c>
      <c r="AA547" t="inlineStr">
        <is>
          <t>SUP-07, SUP-10</t>
        </is>
      </c>
      <c r="AB547" t="inlineStr">
        <is>
          <t>Saldo dentro del rango objetivo; sin accion.</t>
        </is>
      </c>
      <c r="AC547" t="inlineStr">
        <is>
          <t>Cierre del dia anterior (saldo encadenado, RN-71)</t>
        </is>
      </c>
      <c r="AD547" t="inlineStr">
        <is>
          <t>estimada</t>
        </is>
      </c>
      <c r="AE547" t="inlineStr">
        <is>
          <t>Participacion historica por denominacion (SUP-09)</t>
        </is>
      </c>
    </row>
    <row r="548">
      <c r="A548" t="inlineStr">
        <is>
          <t>PRAGMA</t>
        </is>
      </c>
      <c r="B548" t="inlineStr">
        <is>
          <t>PASTO|TRANSPORTADORA_001</t>
        </is>
      </c>
      <c r="C548" t="inlineStr">
        <is>
          <t>Pasto</t>
        </is>
      </c>
      <c r="D548" t="inlineStr">
        <is>
          <t>TRANSPORTADORA_001</t>
        </is>
      </c>
      <c r="E548" s="23" t="n">
        <v>46265</v>
      </c>
      <c r="F548" s="23" t="n">
        <v>46276</v>
      </c>
      <c r="G548" t="inlineStr">
        <is>
          <t>Sí</t>
        </is>
      </c>
      <c r="H548" s="25" t="n">
        <v>50000</v>
      </c>
      <c r="I548" s="26" t="n">
        <v>21141727201</v>
      </c>
      <c r="J548" s="26" t="n">
        <v>8954967993</v>
      </c>
      <c r="K548" s="26" t="n">
        <v>7904853494</v>
      </c>
      <c r="L548" s="26">
        <f>J548-K548</f>
        <v>1050114499</v>
      </c>
      <c r="M548" s="26">
        <f>I548+L548</f>
        <v>22191841700</v>
      </c>
      <c r="N548" s="26" t="n">
        <v>13176530000</v>
      </c>
      <c r="O548" s="26" t="n">
        <v>30992060000</v>
      </c>
      <c r="P548" s="26">
        <f>MAX(0,N548-M548)</f>
        <v>0</v>
      </c>
      <c r="Q548" s="26">
        <f>MAX(0,M548-O548)</f>
        <v>0</v>
      </c>
      <c r="R548" t="inlineStr">
        <is>
          <t>bajo</t>
        </is>
      </c>
      <c r="S548" t="inlineStr">
        <is>
          <t>sin_accion</t>
        </is>
      </c>
      <c r="T548" t="inlineStr">
        <is>
          <t>ninguno</t>
        </is>
      </c>
      <c r="U548" s="26" t="n">
        <v>0</v>
      </c>
      <c r="X548" s="26">
        <f>IF(T548="entrada",M548+U548,IF(T548="salida",M548-U548,M548))</f>
        <v>22191841700</v>
      </c>
      <c r="Y548" s="26" t="n">
        <v>0</v>
      </c>
      <c r="Z548" t="inlineStr">
        <is>
          <t>RN-85: dentro de niveles objetivo (sin_accion)</t>
        </is>
      </c>
      <c r="AA548" t="inlineStr">
        <is>
          <t>SUP-07, SUP-10</t>
        </is>
      </c>
      <c r="AB548" t="inlineStr">
        <is>
          <t>Saldo dentro del rango objetivo; sin accion.</t>
        </is>
      </c>
      <c r="AC548" t="inlineStr">
        <is>
          <t>Cierre del dia anterior (saldo encadenado, RN-71)</t>
        </is>
      </c>
      <c r="AD548" t="inlineStr">
        <is>
          <t>estimada</t>
        </is>
      </c>
      <c r="AE548" t="inlineStr">
        <is>
          <t>Participacion historica por denominacion (SUP-09)</t>
        </is>
      </c>
    </row>
    <row r="549">
      <c r="A549" t="inlineStr">
        <is>
          <t>PRAGMA</t>
        </is>
      </c>
      <c r="B549" t="inlineStr">
        <is>
          <t>PASTO|TRANSPORTADORA_001</t>
        </is>
      </c>
      <c r="C549" t="inlineStr">
        <is>
          <t>Pasto</t>
        </is>
      </c>
      <c r="D549" t="inlineStr">
        <is>
          <t>TRANSPORTADORA_001</t>
        </is>
      </c>
      <c r="E549" s="23" t="n">
        <v>46265</v>
      </c>
      <c r="F549" s="23" t="n">
        <v>46277</v>
      </c>
      <c r="G549" t="inlineStr">
        <is>
          <t>No</t>
        </is>
      </c>
      <c r="H549" s="25" t="n">
        <v>50000</v>
      </c>
      <c r="I549" s="26" t="n">
        <v>22191841701</v>
      </c>
      <c r="J549" s="26" t="n">
        <v>3423286040</v>
      </c>
      <c r="K549" s="26" t="n">
        <v>5265225802</v>
      </c>
      <c r="L549" s="26">
        <f>J549-K549</f>
        <v>-1841939762</v>
      </c>
      <c r="M549" s="26">
        <f>I549+L549</f>
        <v>20349901939</v>
      </c>
      <c r="N549" s="26" t="n">
        <v>13176530000</v>
      </c>
      <c r="O549" s="26" t="n">
        <v>30992060000</v>
      </c>
      <c r="P549" s="26">
        <f>MAX(0,N549-M549)</f>
        <v>0</v>
      </c>
      <c r="Q549" s="26">
        <f>MAX(0,M549-O549)</f>
        <v>0</v>
      </c>
      <c r="R549" t="inlineStr">
        <is>
          <t>bajo</t>
        </is>
      </c>
      <c r="S549" t="inlineStr">
        <is>
          <t>sin_accion</t>
        </is>
      </c>
      <c r="T549" t="inlineStr">
        <is>
          <t>ninguno</t>
        </is>
      </c>
      <c r="U549" s="26" t="n">
        <v>0</v>
      </c>
      <c r="X549" s="26">
        <f>IF(T549="entrada",M549+U549,IF(T549="salida",M549-U549,M549))</f>
        <v>20349901939</v>
      </c>
      <c r="Y549" s="26" t="n">
        <v>0</v>
      </c>
      <c r="Z549" t="inlineStr">
        <is>
          <t>RN-85: dentro de niveles objetivo (sin_accion)</t>
        </is>
      </c>
      <c r="AA549" t="inlineStr">
        <is>
          <t>SUP-07, SUP-10</t>
        </is>
      </c>
      <c r="AB549" t="inlineStr">
        <is>
          <t>Saldo dentro del rango objetivo; sin accion.</t>
        </is>
      </c>
      <c r="AC549" t="inlineStr">
        <is>
          <t>Cierre del dia anterior (saldo encadenado, RN-71)</t>
        </is>
      </c>
      <c r="AD549" t="inlineStr">
        <is>
          <t>estimada</t>
        </is>
      </c>
      <c r="AE549" t="inlineStr">
        <is>
          <t>Participacion historica por denominacion (SUP-09)</t>
        </is>
      </c>
    </row>
    <row r="550">
      <c r="A550" t="inlineStr">
        <is>
          <t>PRAGMA</t>
        </is>
      </c>
      <c r="B550" t="inlineStr">
        <is>
          <t>PASTO|TRANSPORTADORA_001</t>
        </is>
      </c>
      <c r="C550" t="inlineStr">
        <is>
          <t>Pasto</t>
        </is>
      </c>
      <c r="D550" t="inlineStr">
        <is>
          <t>TRANSPORTADORA_001</t>
        </is>
      </c>
      <c r="E550" s="23" t="n">
        <v>46265</v>
      </c>
      <c r="F550" s="23" t="n">
        <v>46278</v>
      </c>
      <c r="G550" t="inlineStr">
        <is>
          <t>No</t>
        </is>
      </c>
      <c r="H550" s="25" t="n">
        <v>50000</v>
      </c>
      <c r="I550" s="26" t="n">
        <v>20349901938</v>
      </c>
      <c r="J550" s="26" t="n">
        <v>548584112</v>
      </c>
      <c r="K550" s="26" t="n">
        <v>922632052</v>
      </c>
      <c r="L550" s="26">
        <f>J550-K550</f>
        <v>-374047940</v>
      </c>
      <c r="M550" s="26">
        <f>I550+L550</f>
        <v>19975853998</v>
      </c>
      <c r="N550" s="26" t="n">
        <v>13176530000</v>
      </c>
      <c r="O550" s="26" t="n">
        <v>30992060000</v>
      </c>
      <c r="P550" s="26">
        <f>MAX(0,N550-M550)</f>
        <v>0</v>
      </c>
      <c r="Q550" s="26">
        <f>MAX(0,M550-O550)</f>
        <v>0</v>
      </c>
      <c r="R550" t="inlineStr">
        <is>
          <t>bajo</t>
        </is>
      </c>
      <c r="S550" t="inlineStr">
        <is>
          <t>sin_accion</t>
        </is>
      </c>
      <c r="T550" t="inlineStr">
        <is>
          <t>ninguno</t>
        </is>
      </c>
      <c r="U550" s="26" t="n">
        <v>0</v>
      </c>
      <c r="X550" s="26">
        <f>IF(T550="entrada",M550+U550,IF(T550="salida",M550-U550,M550))</f>
        <v>19975853998</v>
      </c>
      <c r="Y550" s="26" t="n">
        <v>0</v>
      </c>
      <c r="Z550" t="inlineStr">
        <is>
          <t>RN-85: dentro de niveles objetivo (sin_accion)</t>
        </is>
      </c>
      <c r="AA550" t="inlineStr">
        <is>
          <t>SUP-07, SUP-10</t>
        </is>
      </c>
      <c r="AB550" t="inlineStr">
        <is>
          <t>Saldo dentro del rango objetivo; sin accion.</t>
        </is>
      </c>
      <c r="AC550" t="inlineStr">
        <is>
          <t>Cierre del dia anterior (saldo encadenado, RN-71)</t>
        </is>
      </c>
      <c r="AD550" t="inlineStr">
        <is>
          <t>estimada</t>
        </is>
      </c>
      <c r="AE550" t="inlineStr">
        <is>
          <t>Participacion historica por denominacion (SUP-09)</t>
        </is>
      </c>
    </row>
    <row r="551">
      <c r="A551" t="inlineStr">
        <is>
          <t>PRAGMA</t>
        </is>
      </c>
      <c r="B551" t="inlineStr">
        <is>
          <t>PASTO|TRANSPORTADORA_001</t>
        </is>
      </c>
      <c r="C551" t="inlineStr">
        <is>
          <t>Pasto</t>
        </is>
      </c>
      <c r="D551" t="inlineStr">
        <is>
          <t>TRANSPORTADORA_001</t>
        </is>
      </c>
      <c r="E551" s="23" t="n">
        <v>46265</v>
      </c>
      <c r="F551" s="23" t="n">
        <v>46279</v>
      </c>
      <c r="G551" t="inlineStr">
        <is>
          <t>Sí</t>
        </is>
      </c>
      <c r="H551" s="25" t="n">
        <v>50000</v>
      </c>
      <c r="I551" s="26" t="n">
        <v>19975853998</v>
      </c>
      <c r="J551" s="26" t="n">
        <v>7842421684</v>
      </c>
      <c r="K551" s="26" t="n">
        <v>5276611126</v>
      </c>
      <c r="L551" s="26">
        <f>J551-K551</f>
        <v>2565810558</v>
      </c>
      <c r="M551" s="26">
        <f>I551+L551</f>
        <v>22541664556</v>
      </c>
      <c r="N551" s="26" t="n">
        <v>13176530000</v>
      </c>
      <c r="O551" s="26" t="n">
        <v>30992060000</v>
      </c>
      <c r="P551" s="26">
        <f>MAX(0,N551-M551)</f>
        <v>0</v>
      </c>
      <c r="Q551" s="26">
        <f>MAX(0,M551-O551)</f>
        <v>0</v>
      </c>
      <c r="R551" t="inlineStr">
        <is>
          <t>bajo</t>
        </is>
      </c>
      <c r="S551" t="inlineStr">
        <is>
          <t>sin_accion</t>
        </is>
      </c>
      <c r="T551" t="inlineStr">
        <is>
          <t>ninguno</t>
        </is>
      </c>
      <c r="U551" s="26" t="n">
        <v>0</v>
      </c>
      <c r="X551" s="26">
        <f>IF(T551="entrada",M551+U551,IF(T551="salida",M551-U551,M551))</f>
        <v>22541664556</v>
      </c>
      <c r="Y551" s="26" t="n">
        <v>0</v>
      </c>
      <c r="Z551" t="inlineStr">
        <is>
          <t>RN-85: dentro de niveles objetivo (sin_accion)</t>
        </is>
      </c>
      <c r="AA551" t="inlineStr">
        <is>
          <t>SUP-07, SUP-10</t>
        </is>
      </c>
      <c r="AB551" t="inlineStr">
        <is>
          <t>Saldo dentro del rango objetivo; sin accion.</t>
        </is>
      </c>
      <c r="AC551" t="inlineStr">
        <is>
          <t>Cierre del dia anterior (saldo encadenado, RN-71)</t>
        </is>
      </c>
      <c r="AD551" t="inlineStr">
        <is>
          <t>estimada</t>
        </is>
      </c>
      <c r="AE551" t="inlineStr">
        <is>
          <t>Participacion historica por denominacion (SUP-09)</t>
        </is>
      </c>
    </row>
    <row r="552">
      <c r="A552" t="inlineStr">
        <is>
          <t>PRAGMA</t>
        </is>
      </c>
      <c r="B552" t="inlineStr">
        <is>
          <t>PASTO|TRANSPORTADORA_001</t>
        </is>
      </c>
      <c r="C552" t="inlineStr">
        <is>
          <t>Pasto</t>
        </is>
      </c>
      <c r="D552" t="inlineStr">
        <is>
          <t>TRANSPORTADORA_001</t>
        </is>
      </c>
      <c r="E552" s="23" t="n">
        <v>46265</v>
      </c>
      <c r="F552" s="23" t="n">
        <v>46280</v>
      </c>
      <c r="G552" t="inlineStr">
        <is>
          <t>Sí</t>
        </is>
      </c>
      <c r="H552" s="25" t="n">
        <v>50000</v>
      </c>
      <c r="I552" s="26" t="n">
        <v>22541664556</v>
      </c>
      <c r="J552" s="26" t="n">
        <v>9240901869</v>
      </c>
      <c r="K552" s="26" t="n">
        <v>7781023845</v>
      </c>
      <c r="L552" s="26">
        <f>J552-K552</f>
        <v>1459878024</v>
      </c>
      <c r="M552" s="26">
        <f>I552+L552</f>
        <v>24001542580</v>
      </c>
      <c r="N552" s="26" t="n">
        <v>13176530000</v>
      </c>
      <c r="O552" s="26" t="n">
        <v>30992060000</v>
      </c>
      <c r="P552" s="26">
        <f>MAX(0,N552-M552)</f>
        <v>0</v>
      </c>
      <c r="Q552" s="26">
        <f>MAX(0,M552-O552)</f>
        <v>0</v>
      </c>
      <c r="R552" t="inlineStr">
        <is>
          <t>bajo</t>
        </is>
      </c>
      <c r="S552" t="inlineStr">
        <is>
          <t>sin_accion</t>
        </is>
      </c>
      <c r="T552" t="inlineStr">
        <is>
          <t>ninguno</t>
        </is>
      </c>
      <c r="U552" s="26" t="n">
        <v>0</v>
      </c>
      <c r="X552" s="26">
        <f>IF(T552="entrada",M552+U552,IF(T552="salida",M552-U552,M552))</f>
        <v>24001542580</v>
      </c>
      <c r="Y552" s="26" t="n">
        <v>0</v>
      </c>
      <c r="Z552" t="inlineStr">
        <is>
          <t>RN-85: dentro de niveles objetivo (sin_accion)</t>
        </is>
      </c>
      <c r="AA552" t="inlineStr">
        <is>
          <t>SUP-07, SUP-10</t>
        </is>
      </c>
      <c r="AB552" t="inlineStr">
        <is>
          <t>Saldo dentro del rango objetivo; sin accion.</t>
        </is>
      </c>
      <c r="AC552" t="inlineStr">
        <is>
          <t>Cierre del dia anterior (saldo encadenado, RN-71)</t>
        </is>
      </c>
      <c r="AD552" t="inlineStr">
        <is>
          <t>estimada</t>
        </is>
      </c>
      <c r="AE552" t="inlineStr">
        <is>
          <t>Participacion historica por denominacion (SUP-09)</t>
        </is>
      </c>
    </row>
    <row r="553">
      <c r="A553" t="inlineStr">
        <is>
          <t>PRAGMA</t>
        </is>
      </c>
      <c r="B553" t="inlineStr">
        <is>
          <t>PASTO|TRANSPORTADORA_001</t>
        </is>
      </c>
      <c r="C553" t="inlineStr">
        <is>
          <t>Pasto</t>
        </is>
      </c>
      <c r="D553" t="inlineStr">
        <is>
          <t>TRANSPORTADORA_001</t>
        </is>
      </c>
      <c r="E553" s="23" t="n">
        <v>46265</v>
      </c>
      <c r="F553" s="23" t="n">
        <v>46266</v>
      </c>
      <c r="G553" t="inlineStr">
        <is>
          <t>Sí</t>
        </is>
      </c>
      <c r="H553" s="25" t="n">
        <v>100000</v>
      </c>
      <c r="I553" s="26" t="n">
        <v>9878500000</v>
      </c>
      <c r="J553" s="26" t="n">
        <v>4709131127</v>
      </c>
      <c r="K553" s="26" t="n">
        <v>4685968715</v>
      </c>
      <c r="L553" s="26">
        <f>J553-K553</f>
        <v>23162412</v>
      </c>
      <c r="M553" s="26">
        <f>I553+L553</f>
        <v>9901662412</v>
      </c>
      <c r="N553" s="26" t="n">
        <v>5721061695</v>
      </c>
      <c r="O553" s="26" t="n">
        <v>18787240000</v>
      </c>
      <c r="P553" s="26">
        <f>MAX(0,N553-M553)</f>
        <v>0</v>
      </c>
      <c r="Q553" s="26">
        <f>MAX(0,M553-O553)</f>
        <v>0</v>
      </c>
      <c r="R553" t="inlineStr">
        <is>
          <t>bajo</t>
        </is>
      </c>
      <c r="S553" t="inlineStr">
        <is>
          <t>sin_accion</t>
        </is>
      </c>
      <c r="T553" t="inlineStr">
        <is>
          <t>ninguno</t>
        </is>
      </c>
      <c r="U553" s="26" t="n">
        <v>0</v>
      </c>
      <c r="X553" s="26">
        <f>IF(T553="entrada",M553+U553,IF(T553="salida",M553-U553,M553))</f>
        <v>9901662412</v>
      </c>
      <c r="Y553" s="26" t="n">
        <v>0</v>
      </c>
      <c r="Z553" t="inlineStr">
        <is>
          <t>RN-85: dentro de niveles objetivo (sin_accion)</t>
        </is>
      </c>
      <c r="AA553" t="inlineStr">
        <is>
          <t>SUP-07, SUP-10</t>
        </is>
      </c>
      <c r="AB553" t="inlineStr">
        <is>
          <t>Saldo dentro del rango objetivo; sin accion.</t>
        </is>
      </c>
      <c r="AC553" t="inlineStr">
        <is>
          <t>Ultimo disponible al 31/08/2026 (SUP-07)</t>
        </is>
      </c>
      <c r="AD553" t="inlineStr">
        <is>
          <t>estimada</t>
        </is>
      </c>
      <c r="AE553" t="inlineStr">
        <is>
          <t>Participacion historica por denominacion (SUP-09)</t>
        </is>
      </c>
    </row>
    <row r="554">
      <c r="A554" t="inlineStr">
        <is>
          <t>PRAGMA</t>
        </is>
      </c>
      <c r="B554" t="inlineStr">
        <is>
          <t>PASTO|TRANSPORTADORA_001</t>
        </is>
      </c>
      <c r="C554" t="inlineStr">
        <is>
          <t>Pasto</t>
        </is>
      </c>
      <c r="D554" t="inlineStr">
        <is>
          <t>TRANSPORTADORA_001</t>
        </is>
      </c>
      <c r="E554" s="23" t="n">
        <v>46265</v>
      </c>
      <c r="F554" s="23" t="n">
        <v>46267</v>
      </c>
      <c r="G554" t="inlineStr">
        <is>
          <t>Sí</t>
        </is>
      </c>
      <c r="H554" s="25" t="n">
        <v>100000</v>
      </c>
      <c r="I554" s="26" t="n">
        <v>9901662411</v>
      </c>
      <c r="J554" s="26" t="n">
        <v>4799646351</v>
      </c>
      <c r="K554" s="26" t="n">
        <v>4513689108</v>
      </c>
      <c r="L554" s="26">
        <f>J554-K554</f>
        <v>285957243</v>
      </c>
      <c r="M554" s="26">
        <f>I554+L554</f>
        <v>10187619654</v>
      </c>
      <c r="N554" s="26" t="n">
        <v>5721061695</v>
      </c>
      <c r="O554" s="26" t="n">
        <v>18787240000</v>
      </c>
      <c r="P554" s="26">
        <f>MAX(0,N554-M554)</f>
        <v>0</v>
      </c>
      <c r="Q554" s="26">
        <f>MAX(0,M554-O554)</f>
        <v>0</v>
      </c>
      <c r="R554" t="inlineStr">
        <is>
          <t>bajo</t>
        </is>
      </c>
      <c r="S554" t="inlineStr">
        <is>
          <t>sin_accion</t>
        </is>
      </c>
      <c r="T554" t="inlineStr">
        <is>
          <t>ninguno</t>
        </is>
      </c>
      <c r="U554" s="26" t="n">
        <v>0</v>
      </c>
      <c r="X554" s="26">
        <f>IF(T554="entrada",M554+U554,IF(T554="salida",M554-U554,M554))</f>
        <v>10187619654</v>
      </c>
      <c r="Y554" s="26" t="n">
        <v>0</v>
      </c>
      <c r="Z554" t="inlineStr">
        <is>
          <t>RN-85: dentro de niveles objetivo (sin_accion)</t>
        </is>
      </c>
      <c r="AA554" t="inlineStr">
        <is>
          <t>SUP-07, SUP-10</t>
        </is>
      </c>
      <c r="AB554" t="inlineStr">
        <is>
          <t>Saldo dentro del rango objetivo; sin accion.</t>
        </is>
      </c>
      <c r="AC554" t="inlineStr">
        <is>
          <t>Cierre del dia anterior (saldo encadenado, RN-71)</t>
        </is>
      </c>
      <c r="AD554" t="inlineStr">
        <is>
          <t>estimada</t>
        </is>
      </c>
      <c r="AE554" t="inlineStr">
        <is>
          <t>Participacion historica por denominacion (SUP-09)</t>
        </is>
      </c>
    </row>
    <row r="555">
      <c r="A555" t="inlineStr">
        <is>
          <t>PRAGMA</t>
        </is>
      </c>
      <c r="B555" t="inlineStr">
        <is>
          <t>PASTO|TRANSPORTADORA_001</t>
        </is>
      </c>
      <c r="C555" t="inlineStr">
        <is>
          <t>Pasto</t>
        </is>
      </c>
      <c r="D555" t="inlineStr">
        <is>
          <t>TRANSPORTADORA_001</t>
        </is>
      </c>
      <c r="E555" s="23" t="n">
        <v>46265</v>
      </c>
      <c r="F555" s="23" t="n">
        <v>46268</v>
      </c>
      <c r="G555" t="inlineStr">
        <is>
          <t>Sí</t>
        </is>
      </c>
      <c r="H555" s="25" t="n">
        <v>100000</v>
      </c>
      <c r="I555" s="26" t="n">
        <v>10187619655</v>
      </c>
      <c r="J555" s="26" t="n">
        <v>4406918341</v>
      </c>
      <c r="K555" s="26" t="n">
        <v>3306840802</v>
      </c>
      <c r="L555" s="26">
        <f>J555-K555</f>
        <v>1100077539</v>
      </c>
      <c r="M555" s="26">
        <f>I555+L555</f>
        <v>11287697194</v>
      </c>
      <c r="N555" s="26" t="n">
        <v>5721061695</v>
      </c>
      <c r="O555" s="26" t="n">
        <v>18787240000</v>
      </c>
      <c r="P555" s="26">
        <f>MAX(0,N555-M555)</f>
        <v>0</v>
      </c>
      <c r="Q555" s="26">
        <f>MAX(0,M555-O555)</f>
        <v>0</v>
      </c>
      <c r="R555" t="inlineStr">
        <is>
          <t>bajo</t>
        </is>
      </c>
      <c r="S555" t="inlineStr">
        <is>
          <t>sin_accion</t>
        </is>
      </c>
      <c r="T555" t="inlineStr">
        <is>
          <t>ninguno</t>
        </is>
      </c>
      <c r="U555" s="26" t="n">
        <v>0</v>
      </c>
      <c r="X555" s="26">
        <f>IF(T555="entrada",M555+U555,IF(T555="salida",M555-U555,M555))</f>
        <v>11287697194</v>
      </c>
      <c r="Y555" s="26" t="n">
        <v>0</v>
      </c>
      <c r="Z555" t="inlineStr">
        <is>
          <t>RN-85: dentro de niveles objetivo (sin_accion)</t>
        </is>
      </c>
      <c r="AA555" t="inlineStr">
        <is>
          <t>SUP-07, SUP-10</t>
        </is>
      </c>
      <c r="AB555" t="inlineStr">
        <is>
          <t>Saldo dentro del rango objetivo; sin accion.</t>
        </is>
      </c>
      <c r="AC555" t="inlineStr">
        <is>
          <t>Cierre del dia anterior (saldo encadenado, RN-71)</t>
        </is>
      </c>
      <c r="AD555" t="inlineStr">
        <is>
          <t>estimada</t>
        </is>
      </c>
      <c r="AE555" t="inlineStr">
        <is>
          <t>Participacion historica por denominacion (SUP-09)</t>
        </is>
      </c>
    </row>
    <row r="556">
      <c r="A556" t="inlineStr">
        <is>
          <t>PRAGMA</t>
        </is>
      </c>
      <c r="B556" t="inlineStr">
        <is>
          <t>PASTO|TRANSPORTADORA_001</t>
        </is>
      </c>
      <c r="C556" t="inlineStr">
        <is>
          <t>Pasto</t>
        </is>
      </c>
      <c r="D556" t="inlineStr">
        <is>
          <t>TRANSPORTADORA_001</t>
        </is>
      </c>
      <c r="E556" s="23" t="n">
        <v>46265</v>
      </c>
      <c r="F556" s="23" t="n">
        <v>46269</v>
      </c>
      <c r="G556" t="inlineStr">
        <is>
          <t>Sí</t>
        </is>
      </c>
      <c r="H556" s="25" t="n">
        <v>100000</v>
      </c>
      <c r="I556" s="26" t="n">
        <v>11287697193</v>
      </c>
      <c r="J556" s="26" t="n">
        <v>4597540613</v>
      </c>
      <c r="K556" s="26" t="n">
        <v>4800112958</v>
      </c>
      <c r="L556" s="26">
        <f>J556-K556</f>
        <v>-202572345</v>
      </c>
      <c r="M556" s="26">
        <f>I556+L556</f>
        <v>11085124848</v>
      </c>
      <c r="N556" s="26" t="n">
        <v>5721061695</v>
      </c>
      <c r="O556" s="26" t="n">
        <v>18787240000</v>
      </c>
      <c r="P556" s="26">
        <f>MAX(0,N556-M556)</f>
        <v>0</v>
      </c>
      <c r="Q556" s="26">
        <f>MAX(0,M556-O556)</f>
        <v>0</v>
      </c>
      <c r="R556" t="inlineStr">
        <is>
          <t>bajo</t>
        </is>
      </c>
      <c r="S556" t="inlineStr">
        <is>
          <t>sin_accion</t>
        </is>
      </c>
      <c r="T556" t="inlineStr">
        <is>
          <t>ninguno</t>
        </is>
      </c>
      <c r="U556" s="26" t="n">
        <v>0</v>
      </c>
      <c r="X556" s="26">
        <f>IF(T556="entrada",M556+U556,IF(T556="salida",M556-U556,M556))</f>
        <v>11085124848</v>
      </c>
      <c r="Y556" s="26" t="n">
        <v>0</v>
      </c>
      <c r="Z556" t="inlineStr">
        <is>
          <t>RN-85: dentro de niveles objetivo (sin_accion)</t>
        </is>
      </c>
      <c r="AA556" t="inlineStr">
        <is>
          <t>SUP-07, SUP-10</t>
        </is>
      </c>
      <c r="AB556" t="inlineStr">
        <is>
          <t>Saldo dentro del rango objetivo; sin accion.</t>
        </is>
      </c>
      <c r="AC556" t="inlineStr">
        <is>
          <t>Cierre del dia anterior (saldo encadenado, RN-71)</t>
        </is>
      </c>
      <c r="AD556" t="inlineStr">
        <is>
          <t>estimada</t>
        </is>
      </c>
      <c r="AE556" t="inlineStr">
        <is>
          <t>Participacion historica por denominacion (SUP-09)</t>
        </is>
      </c>
    </row>
    <row r="557">
      <c r="A557" t="inlineStr">
        <is>
          <t>PRAGMA</t>
        </is>
      </c>
      <c r="B557" t="inlineStr">
        <is>
          <t>PASTO|TRANSPORTADORA_001</t>
        </is>
      </c>
      <c r="C557" t="inlineStr">
        <is>
          <t>Pasto</t>
        </is>
      </c>
      <c r="D557" t="inlineStr">
        <is>
          <t>TRANSPORTADORA_001</t>
        </is>
      </c>
      <c r="E557" s="23" t="n">
        <v>46265</v>
      </c>
      <c r="F557" s="23" t="n">
        <v>46270</v>
      </c>
      <c r="G557" t="inlineStr">
        <is>
          <t>No</t>
        </is>
      </c>
      <c r="H557" s="25" t="n">
        <v>100000</v>
      </c>
      <c r="I557" s="26" t="n">
        <v>11085124848</v>
      </c>
      <c r="J557" s="26" t="n">
        <v>1876378562</v>
      </c>
      <c r="K557" s="26" t="n">
        <v>3078502609</v>
      </c>
      <c r="L557" s="26">
        <f>J557-K557</f>
        <v>-1202124047</v>
      </c>
      <c r="M557" s="26">
        <f>I557+L557</f>
        <v>9883000801</v>
      </c>
      <c r="N557" s="26" t="n">
        <v>5721061695</v>
      </c>
      <c r="O557" s="26" t="n">
        <v>18787240000</v>
      </c>
      <c r="P557" s="26">
        <f>MAX(0,N557-M557)</f>
        <v>0</v>
      </c>
      <c r="Q557" s="26">
        <f>MAX(0,M557-O557)</f>
        <v>0</v>
      </c>
      <c r="R557" t="inlineStr">
        <is>
          <t>bajo</t>
        </is>
      </c>
      <c r="S557" t="inlineStr">
        <is>
          <t>sin_accion</t>
        </is>
      </c>
      <c r="T557" t="inlineStr">
        <is>
          <t>ninguno</t>
        </is>
      </c>
      <c r="U557" s="26" t="n">
        <v>0</v>
      </c>
      <c r="X557" s="26">
        <f>IF(T557="entrada",M557+U557,IF(T557="salida",M557-U557,M557))</f>
        <v>9883000801</v>
      </c>
      <c r="Y557" s="26" t="n">
        <v>0</v>
      </c>
      <c r="Z557" t="inlineStr">
        <is>
          <t>RN-85: dentro de niveles objetivo (sin_accion)</t>
        </is>
      </c>
      <c r="AA557" t="inlineStr">
        <is>
          <t>SUP-07, SUP-10</t>
        </is>
      </c>
      <c r="AB557" t="inlineStr">
        <is>
          <t>Saldo dentro del rango objetivo; sin accion.</t>
        </is>
      </c>
      <c r="AC557" t="inlineStr">
        <is>
          <t>Cierre del dia anterior (saldo encadenado, RN-71)</t>
        </is>
      </c>
      <c r="AD557" t="inlineStr">
        <is>
          <t>estimada</t>
        </is>
      </c>
      <c r="AE557" t="inlineStr">
        <is>
          <t>Participacion historica por denominacion (SUP-09)</t>
        </is>
      </c>
    </row>
    <row r="558">
      <c r="A558" t="inlineStr">
        <is>
          <t>PRAGMA</t>
        </is>
      </c>
      <c r="B558" t="inlineStr">
        <is>
          <t>PASTO|TRANSPORTADORA_001</t>
        </is>
      </c>
      <c r="C558" t="inlineStr">
        <is>
          <t>Pasto</t>
        </is>
      </c>
      <c r="D558" t="inlineStr">
        <is>
          <t>TRANSPORTADORA_001</t>
        </is>
      </c>
      <c r="E558" s="23" t="n">
        <v>46265</v>
      </c>
      <c r="F558" s="23" t="n">
        <v>46271</v>
      </c>
      <c r="G558" t="inlineStr">
        <is>
          <t>No</t>
        </is>
      </c>
      <c r="H558" s="25" t="n">
        <v>100000</v>
      </c>
      <c r="I558" s="26" t="n">
        <v>9883000801</v>
      </c>
      <c r="J558" s="26" t="n">
        <v>341020247</v>
      </c>
      <c r="K558" s="26" t="n">
        <v>636278400</v>
      </c>
      <c r="L558" s="26">
        <f>J558-K558</f>
        <v>-295258153</v>
      </c>
      <c r="M558" s="26">
        <f>I558+L558</f>
        <v>9587742648</v>
      </c>
      <c r="N558" s="26" t="n">
        <v>5721061695</v>
      </c>
      <c r="O558" s="26" t="n">
        <v>18787240000</v>
      </c>
      <c r="P558" s="26">
        <f>MAX(0,N558-M558)</f>
        <v>0</v>
      </c>
      <c r="Q558" s="26">
        <f>MAX(0,M558-O558)</f>
        <v>0</v>
      </c>
      <c r="R558" t="inlineStr">
        <is>
          <t>bajo</t>
        </is>
      </c>
      <c r="S558" t="inlineStr">
        <is>
          <t>sin_accion</t>
        </is>
      </c>
      <c r="T558" t="inlineStr">
        <is>
          <t>ninguno</t>
        </is>
      </c>
      <c r="U558" s="26" t="n">
        <v>0</v>
      </c>
      <c r="X558" s="26">
        <f>IF(T558="entrada",M558+U558,IF(T558="salida",M558-U558,M558))</f>
        <v>9587742648</v>
      </c>
      <c r="Y558" s="26" t="n">
        <v>0</v>
      </c>
      <c r="Z558" t="inlineStr">
        <is>
          <t>RN-85: dentro de niveles objetivo (sin_accion)</t>
        </is>
      </c>
      <c r="AA558" t="inlineStr">
        <is>
          <t>SUP-07, SUP-10</t>
        </is>
      </c>
      <c r="AB558" t="inlineStr">
        <is>
          <t>Saldo dentro del rango objetivo; sin accion.</t>
        </is>
      </c>
      <c r="AC558" t="inlineStr">
        <is>
          <t>Cierre del dia anterior (saldo encadenado, RN-71)</t>
        </is>
      </c>
      <c r="AD558" t="inlineStr">
        <is>
          <t>estimada</t>
        </is>
      </c>
      <c r="AE558" t="inlineStr">
        <is>
          <t>Participacion historica por denominacion (SUP-09)</t>
        </is>
      </c>
    </row>
    <row r="559">
      <c r="A559" t="inlineStr">
        <is>
          <t>PRAGMA</t>
        </is>
      </c>
      <c r="B559" t="inlineStr">
        <is>
          <t>PASTO|TRANSPORTADORA_001</t>
        </is>
      </c>
      <c r="C559" t="inlineStr">
        <is>
          <t>Pasto</t>
        </is>
      </c>
      <c r="D559" t="inlineStr">
        <is>
          <t>TRANSPORTADORA_001</t>
        </is>
      </c>
      <c r="E559" s="23" t="n">
        <v>46265</v>
      </c>
      <c r="F559" s="23" t="n">
        <v>46272</v>
      </c>
      <c r="G559" t="inlineStr">
        <is>
          <t>Sí</t>
        </is>
      </c>
      <c r="H559" s="25" t="n">
        <v>100000</v>
      </c>
      <c r="I559" s="26" t="n">
        <v>9587742648</v>
      </c>
      <c r="J559" s="26" t="n">
        <v>4268305071</v>
      </c>
      <c r="K559" s="26" t="n">
        <v>2875634430</v>
      </c>
      <c r="L559" s="26">
        <f>J559-K559</f>
        <v>1392670641</v>
      </c>
      <c r="M559" s="26">
        <f>I559+L559</f>
        <v>10980413289</v>
      </c>
      <c r="N559" s="26" t="n">
        <v>5721061695</v>
      </c>
      <c r="O559" s="26" t="n">
        <v>18787240000</v>
      </c>
      <c r="P559" s="26">
        <f>MAX(0,N559-M559)</f>
        <v>0</v>
      </c>
      <c r="Q559" s="26">
        <f>MAX(0,M559-O559)</f>
        <v>0</v>
      </c>
      <c r="R559" t="inlineStr">
        <is>
          <t>bajo</t>
        </is>
      </c>
      <c r="S559" t="inlineStr">
        <is>
          <t>sin_accion</t>
        </is>
      </c>
      <c r="T559" t="inlineStr">
        <is>
          <t>ninguno</t>
        </is>
      </c>
      <c r="U559" s="26" t="n">
        <v>0</v>
      </c>
      <c r="X559" s="26">
        <f>IF(T559="entrada",M559+U559,IF(T559="salida",M559-U559,M559))</f>
        <v>10980413289</v>
      </c>
      <c r="Y559" s="26" t="n">
        <v>0</v>
      </c>
      <c r="Z559" t="inlineStr">
        <is>
          <t>RN-85: dentro de niveles objetivo (sin_accion)</t>
        </is>
      </c>
      <c r="AA559" t="inlineStr">
        <is>
          <t>SUP-07, SUP-10</t>
        </is>
      </c>
      <c r="AB559" t="inlineStr">
        <is>
          <t>Saldo dentro del rango objetivo; sin accion.</t>
        </is>
      </c>
      <c r="AC559" t="inlineStr">
        <is>
          <t>Cierre del dia anterior (saldo encadenado, RN-71)</t>
        </is>
      </c>
      <c r="AD559" t="inlineStr">
        <is>
          <t>estimada</t>
        </is>
      </c>
      <c r="AE559" t="inlineStr">
        <is>
          <t>Participacion historica por denominacion (SUP-09)</t>
        </is>
      </c>
    </row>
    <row r="560">
      <c r="A560" t="inlineStr">
        <is>
          <t>PRAGMA</t>
        </is>
      </c>
      <c r="B560" t="inlineStr">
        <is>
          <t>PASTO|TRANSPORTADORA_001</t>
        </is>
      </c>
      <c r="C560" t="inlineStr">
        <is>
          <t>Pasto</t>
        </is>
      </c>
      <c r="D560" t="inlineStr">
        <is>
          <t>TRANSPORTADORA_001</t>
        </is>
      </c>
      <c r="E560" s="23" t="n">
        <v>46265</v>
      </c>
      <c r="F560" s="23" t="n">
        <v>46273</v>
      </c>
      <c r="G560" t="inlineStr">
        <is>
          <t>Sí</t>
        </is>
      </c>
      <c r="H560" s="25" t="n">
        <v>100000</v>
      </c>
      <c r="I560" s="26" t="n">
        <v>10980413289</v>
      </c>
      <c r="J560" s="26" t="n">
        <v>4892633299</v>
      </c>
      <c r="K560" s="26" t="n">
        <v>3841242981</v>
      </c>
      <c r="L560" s="26">
        <f>J560-K560</f>
        <v>1051390318</v>
      </c>
      <c r="M560" s="26">
        <f>I560+L560</f>
        <v>12031803607</v>
      </c>
      <c r="N560" s="26" t="n">
        <v>5721061695</v>
      </c>
      <c r="O560" s="26" t="n">
        <v>18787240000</v>
      </c>
      <c r="P560" s="26">
        <f>MAX(0,N560-M560)</f>
        <v>0</v>
      </c>
      <c r="Q560" s="26">
        <f>MAX(0,M560-O560)</f>
        <v>0</v>
      </c>
      <c r="R560" t="inlineStr">
        <is>
          <t>bajo</t>
        </is>
      </c>
      <c r="S560" t="inlineStr">
        <is>
          <t>sin_accion</t>
        </is>
      </c>
      <c r="T560" t="inlineStr">
        <is>
          <t>ninguno</t>
        </is>
      </c>
      <c r="U560" s="26" t="n">
        <v>0</v>
      </c>
      <c r="X560" s="26">
        <f>IF(T560="entrada",M560+U560,IF(T560="salida",M560-U560,M560))</f>
        <v>12031803607</v>
      </c>
      <c r="Y560" s="26" t="n">
        <v>0</v>
      </c>
      <c r="Z560" t="inlineStr">
        <is>
          <t>RN-85: dentro de niveles objetivo (sin_accion)</t>
        </is>
      </c>
      <c r="AA560" t="inlineStr">
        <is>
          <t>SUP-07, SUP-10</t>
        </is>
      </c>
      <c r="AB560" t="inlineStr">
        <is>
          <t>Saldo dentro del rango objetivo; sin accion.</t>
        </is>
      </c>
      <c r="AC560" t="inlineStr">
        <is>
          <t>Cierre del dia anterior (saldo encadenado, RN-71)</t>
        </is>
      </c>
      <c r="AD560" t="inlineStr">
        <is>
          <t>estimada</t>
        </is>
      </c>
      <c r="AE560" t="inlineStr">
        <is>
          <t>Participacion historica por denominacion (SUP-09)</t>
        </is>
      </c>
    </row>
    <row r="561">
      <c r="A561" t="inlineStr">
        <is>
          <t>PRAGMA</t>
        </is>
      </c>
      <c r="B561" t="inlineStr">
        <is>
          <t>PASTO|TRANSPORTADORA_001</t>
        </is>
      </c>
      <c r="C561" t="inlineStr">
        <is>
          <t>Pasto</t>
        </is>
      </c>
      <c r="D561" t="inlineStr">
        <is>
          <t>TRANSPORTADORA_001</t>
        </is>
      </c>
      <c r="E561" s="23" t="n">
        <v>46265</v>
      </c>
      <c r="F561" s="23" t="n">
        <v>46274</v>
      </c>
      <c r="G561" t="inlineStr">
        <is>
          <t>Sí</t>
        </is>
      </c>
      <c r="H561" s="25" t="n">
        <v>100000</v>
      </c>
      <c r="I561" s="26" t="n">
        <v>12031803606</v>
      </c>
      <c r="J561" s="26" t="n">
        <v>4863315467</v>
      </c>
      <c r="K561" s="26" t="n">
        <v>3876076433</v>
      </c>
      <c r="L561" s="26">
        <f>J561-K561</f>
        <v>987239034</v>
      </c>
      <c r="M561" s="26">
        <f>I561+L561</f>
        <v>13019042640</v>
      </c>
      <c r="N561" s="26" t="n">
        <v>5721061695</v>
      </c>
      <c r="O561" s="26" t="n">
        <v>18787240000</v>
      </c>
      <c r="P561" s="26">
        <f>MAX(0,N561-M561)</f>
        <v>0</v>
      </c>
      <c r="Q561" s="26">
        <f>MAX(0,M561-O561)</f>
        <v>0</v>
      </c>
      <c r="R561" t="inlineStr">
        <is>
          <t>bajo</t>
        </is>
      </c>
      <c r="S561" t="inlineStr">
        <is>
          <t>sin_accion</t>
        </is>
      </c>
      <c r="T561" t="inlineStr">
        <is>
          <t>ninguno</t>
        </is>
      </c>
      <c r="U561" s="26" t="n">
        <v>0</v>
      </c>
      <c r="X561" s="26">
        <f>IF(T561="entrada",M561+U561,IF(T561="salida",M561-U561,M561))</f>
        <v>13019042640</v>
      </c>
      <c r="Y561" s="26" t="n">
        <v>0</v>
      </c>
      <c r="Z561" t="inlineStr">
        <is>
          <t>RN-85: dentro de niveles objetivo (sin_accion)</t>
        </is>
      </c>
      <c r="AA561" t="inlineStr">
        <is>
          <t>SUP-07, SUP-10</t>
        </is>
      </c>
      <c r="AB561" t="inlineStr">
        <is>
          <t>Saldo dentro del rango objetivo; sin accion.</t>
        </is>
      </c>
      <c r="AC561" t="inlineStr">
        <is>
          <t>Cierre del dia anterior (saldo encadenado, RN-71)</t>
        </is>
      </c>
      <c r="AD561" t="inlineStr">
        <is>
          <t>estimada</t>
        </is>
      </c>
      <c r="AE561" t="inlineStr">
        <is>
          <t>Participacion historica por denominacion (SUP-09)</t>
        </is>
      </c>
    </row>
    <row r="562">
      <c r="A562" t="inlineStr">
        <is>
          <t>PRAGMA</t>
        </is>
      </c>
      <c r="B562" t="inlineStr">
        <is>
          <t>PASTO|TRANSPORTADORA_001</t>
        </is>
      </c>
      <c r="C562" t="inlineStr">
        <is>
          <t>Pasto</t>
        </is>
      </c>
      <c r="D562" t="inlineStr">
        <is>
          <t>TRANSPORTADORA_001</t>
        </is>
      </c>
      <c r="E562" s="23" t="n">
        <v>46265</v>
      </c>
      <c r="F562" s="23" t="n">
        <v>46275</v>
      </c>
      <c r="G562" t="inlineStr">
        <is>
          <t>Sí</t>
        </is>
      </c>
      <c r="H562" s="25" t="n">
        <v>100000</v>
      </c>
      <c r="I562" s="26" t="n">
        <v>13019042640</v>
      </c>
      <c r="J562" s="26" t="n">
        <v>4227238400</v>
      </c>
      <c r="K562" s="26" t="n">
        <v>3621256723</v>
      </c>
      <c r="L562" s="26">
        <f>J562-K562</f>
        <v>605981677</v>
      </c>
      <c r="M562" s="26">
        <f>I562+L562</f>
        <v>13625024317</v>
      </c>
      <c r="N562" s="26" t="n">
        <v>5721061695</v>
      </c>
      <c r="O562" s="26" t="n">
        <v>18787240000</v>
      </c>
      <c r="P562" s="26">
        <f>MAX(0,N562-M562)</f>
        <v>0</v>
      </c>
      <c r="Q562" s="26">
        <f>MAX(0,M562-O562)</f>
        <v>0</v>
      </c>
      <c r="R562" t="inlineStr">
        <is>
          <t>bajo</t>
        </is>
      </c>
      <c r="S562" t="inlineStr">
        <is>
          <t>sin_accion</t>
        </is>
      </c>
      <c r="T562" t="inlineStr">
        <is>
          <t>ninguno</t>
        </is>
      </c>
      <c r="U562" s="26" t="n">
        <v>0</v>
      </c>
      <c r="X562" s="26">
        <f>IF(T562="entrada",M562+U562,IF(T562="salida",M562-U562,M562))</f>
        <v>13625024317</v>
      </c>
      <c r="Y562" s="26" t="n">
        <v>0</v>
      </c>
      <c r="Z562" t="inlineStr">
        <is>
          <t>RN-85: dentro de niveles objetivo (sin_accion)</t>
        </is>
      </c>
      <c r="AA562" t="inlineStr">
        <is>
          <t>SUP-07, SUP-10</t>
        </is>
      </c>
      <c r="AB562" t="inlineStr">
        <is>
          <t>Saldo dentro del rango objetivo; sin accion.</t>
        </is>
      </c>
      <c r="AC562" t="inlineStr">
        <is>
          <t>Cierre del dia anterior (saldo encadenado, RN-71)</t>
        </is>
      </c>
      <c r="AD562" t="inlineStr">
        <is>
          <t>estimada</t>
        </is>
      </c>
      <c r="AE562" t="inlineStr">
        <is>
          <t>Participacion historica por denominacion (SUP-09)</t>
        </is>
      </c>
    </row>
    <row r="563">
      <c r="A563" t="inlineStr">
        <is>
          <t>PRAGMA</t>
        </is>
      </c>
      <c r="B563" t="inlineStr">
        <is>
          <t>PASTO|TRANSPORTADORA_001</t>
        </is>
      </c>
      <c r="C563" t="inlineStr">
        <is>
          <t>Pasto</t>
        </is>
      </c>
      <c r="D563" t="inlineStr">
        <is>
          <t>TRANSPORTADORA_001</t>
        </is>
      </c>
      <c r="E563" s="23" t="n">
        <v>46265</v>
      </c>
      <c r="F563" s="23" t="n">
        <v>46276</v>
      </c>
      <c r="G563" t="inlineStr">
        <is>
          <t>Sí</t>
        </is>
      </c>
      <c r="H563" s="25" t="n">
        <v>100000</v>
      </c>
      <c r="I563" s="26" t="n">
        <v>13625024317</v>
      </c>
      <c r="J563" s="26" t="n">
        <v>4650178988</v>
      </c>
      <c r="K563" s="26" t="n">
        <v>4104870464</v>
      </c>
      <c r="L563" s="26">
        <f>J563-K563</f>
        <v>545308524</v>
      </c>
      <c r="M563" s="26">
        <f>I563+L563</f>
        <v>14170332841</v>
      </c>
      <c r="N563" s="26" t="n">
        <v>5721061695</v>
      </c>
      <c r="O563" s="26" t="n">
        <v>18787240000</v>
      </c>
      <c r="P563" s="26">
        <f>MAX(0,N563-M563)</f>
        <v>0</v>
      </c>
      <c r="Q563" s="26">
        <f>MAX(0,M563-O563)</f>
        <v>0</v>
      </c>
      <c r="R563" t="inlineStr">
        <is>
          <t>bajo</t>
        </is>
      </c>
      <c r="S563" t="inlineStr">
        <is>
          <t>sin_accion</t>
        </is>
      </c>
      <c r="T563" t="inlineStr">
        <is>
          <t>ninguno</t>
        </is>
      </c>
      <c r="U563" s="26" t="n">
        <v>0</v>
      </c>
      <c r="X563" s="26">
        <f>IF(T563="entrada",M563+U563,IF(T563="salida",M563-U563,M563))</f>
        <v>14170332841</v>
      </c>
      <c r="Y563" s="26" t="n">
        <v>0</v>
      </c>
      <c r="Z563" t="inlineStr">
        <is>
          <t>RN-85: dentro de niveles objetivo (sin_accion)</t>
        </is>
      </c>
      <c r="AA563" t="inlineStr">
        <is>
          <t>SUP-07, SUP-10</t>
        </is>
      </c>
      <c r="AB563" t="inlineStr">
        <is>
          <t>Saldo dentro del rango objetivo; sin accion.</t>
        </is>
      </c>
      <c r="AC563" t="inlineStr">
        <is>
          <t>Cierre del dia anterior (saldo encadenado, RN-71)</t>
        </is>
      </c>
      <c r="AD563" t="inlineStr">
        <is>
          <t>estimada</t>
        </is>
      </c>
      <c r="AE563" t="inlineStr">
        <is>
          <t>Participacion historica por denominacion (SUP-09)</t>
        </is>
      </c>
    </row>
    <row r="564">
      <c r="A564" t="inlineStr">
        <is>
          <t>PRAGMA</t>
        </is>
      </c>
      <c r="B564" t="inlineStr">
        <is>
          <t>PASTO|TRANSPORTADORA_001</t>
        </is>
      </c>
      <c r="C564" t="inlineStr">
        <is>
          <t>Pasto</t>
        </is>
      </c>
      <c r="D564" t="inlineStr">
        <is>
          <t>TRANSPORTADORA_001</t>
        </is>
      </c>
      <c r="E564" s="23" t="n">
        <v>46265</v>
      </c>
      <c r="F564" s="23" t="n">
        <v>46277</v>
      </c>
      <c r="G564" t="inlineStr">
        <is>
          <t>No</t>
        </is>
      </c>
      <c r="H564" s="25" t="n">
        <v>100000</v>
      </c>
      <c r="I564" s="26" t="n">
        <v>14170332842</v>
      </c>
      <c r="J564" s="26" t="n">
        <v>1777660493</v>
      </c>
      <c r="K564" s="26" t="n">
        <v>2734151860</v>
      </c>
      <c r="L564" s="26">
        <f>J564-K564</f>
        <v>-956491367</v>
      </c>
      <c r="M564" s="26">
        <f>I564+L564</f>
        <v>13213841475</v>
      </c>
      <c r="N564" s="26" t="n">
        <v>5721061695</v>
      </c>
      <c r="O564" s="26" t="n">
        <v>18787240000</v>
      </c>
      <c r="P564" s="26">
        <f>MAX(0,N564-M564)</f>
        <v>0</v>
      </c>
      <c r="Q564" s="26">
        <f>MAX(0,M564-O564)</f>
        <v>0</v>
      </c>
      <c r="R564" t="inlineStr">
        <is>
          <t>bajo</t>
        </is>
      </c>
      <c r="S564" t="inlineStr">
        <is>
          <t>sin_accion</t>
        </is>
      </c>
      <c r="T564" t="inlineStr">
        <is>
          <t>ninguno</t>
        </is>
      </c>
      <c r="U564" s="26" t="n">
        <v>0</v>
      </c>
      <c r="X564" s="26">
        <f>IF(T564="entrada",M564+U564,IF(T564="salida",M564-U564,M564))</f>
        <v>13213841475</v>
      </c>
      <c r="Y564" s="26" t="n">
        <v>0</v>
      </c>
      <c r="Z564" t="inlineStr">
        <is>
          <t>RN-85: dentro de niveles objetivo (sin_accion)</t>
        </is>
      </c>
      <c r="AA564" t="inlineStr">
        <is>
          <t>SUP-07, SUP-10</t>
        </is>
      </c>
      <c r="AB564" t="inlineStr">
        <is>
          <t>Saldo dentro del rango objetivo; sin accion.</t>
        </is>
      </c>
      <c r="AC564" t="inlineStr">
        <is>
          <t>Cierre del dia anterior (saldo encadenado, RN-71)</t>
        </is>
      </c>
      <c r="AD564" t="inlineStr">
        <is>
          <t>estimada</t>
        </is>
      </c>
      <c r="AE564" t="inlineStr">
        <is>
          <t>Participacion historica por denominacion (SUP-09)</t>
        </is>
      </c>
    </row>
    <row r="565">
      <c r="A565" t="inlineStr">
        <is>
          <t>PRAGMA</t>
        </is>
      </c>
      <c r="B565" t="inlineStr">
        <is>
          <t>PASTO|TRANSPORTADORA_001</t>
        </is>
      </c>
      <c r="C565" t="inlineStr">
        <is>
          <t>Pasto</t>
        </is>
      </c>
      <c r="D565" t="inlineStr">
        <is>
          <t>TRANSPORTADORA_001</t>
        </is>
      </c>
      <c r="E565" s="23" t="n">
        <v>46265</v>
      </c>
      <c r="F565" s="23" t="n">
        <v>46278</v>
      </c>
      <c r="G565" t="inlineStr">
        <is>
          <t>No</t>
        </is>
      </c>
      <c r="H565" s="25" t="n">
        <v>100000</v>
      </c>
      <c r="I565" s="26" t="n">
        <v>13213841474</v>
      </c>
      <c r="J565" s="26" t="n">
        <v>284871405</v>
      </c>
      <c r="K565" s="26" t="n">
        <v>479108824</v>
      </c>
      <c r="L565" s="26">
        <f>J565-K565</f>
        <v>-194237419</v>
      </c>
      <c r="M565" s="26">
        <f>I565+L565</f>
        <v>13019604055</v>
      </c>
      <c r="N565" s="26" t="n">
        <v>5721061695</v>
      </c>
      <c r="O565" s="26" t="n">
        <v>18787240000</v>
      </c>
      <c r="P565" s="26">
        <f>MAX(0,N565-M565)</f>
        <v>0</v>
      </c>
      <c r="Q565" s="26">
        <f>MAX(0,M565-O565)</f>
        <v>0</v>
      </c>
      <c r="R565" t="inlineStr">
        <is>
          <t>bajo</t>
        </is>
      </c>
      <c r="S565" t="inlineStr">
        <is>
          <t>sin_accion</t>
        </is>
      </c>
      <c r="T565" t="inlineStr">
        <is>
          <t>ninguno</t>
        </is>
      </c>
      <c r="U565" s="26" t="n">
        <v>0</v>
      </c>
      <c r="X565" s="26">
        <f>IF(T565="entrada",M565+U565,IF(T565="salida",M565-U565,M565))</f>
        <v>13019604055</v>
      </c>
      <c r="Y565" s="26" t="n">
        <v>0</v>
      </c>
      <c r="Z565" t="inlineStr">
        <is>
          <t>RN-85: dentro de niveles objetivo (sin_accion)</t>
        </is>
      </c>
      <c r="AA565" t="inlineStr">
        <is>
          <t>SUP-07, SUP-10</t>
        </is>
      </c>
      <c r="AB565" t="inlineStr">
        <is>
          <t>Saldo dentro del rango objetivo; sin accion.</t>
        </is>
      </c>
      <c r="AC565" t="inlineStr">
        <is>
          <t>Cierre del dia anterior (saldo encadenado, RN-71)</t>
        </is>
      </c>
      <c r="AD565" t="inlineStr">
        <is>
          <t>estimada</t>
        </is>
      </c>
      <c r="AE565" t="inlineStr">
        <is>
          <t>Participacion historica por denominacion (SUP-09)</t>
        </is>
      </c>
    </row>
    <row r="566">
      <c r="A566" t="inlineStr">
        <is>
          <t>PRAGMA</t>
        </is>
      </c>
      <c r="B566" t="inlineStr">
        <is>
          <t>PASTO|TRANSPORTADORA_001</t>
        </is>
      </c>
      <c r="C566" t="inlineStr">
        <is>
          <t>Pasto</t>
        </is>
      </c>
      <c r="D566" t="inlineStr">
        <is>
          <t>TRANSPORTADORA_001</t>
        </is>
      </c>
      <c r="E566" s="23" t="n">
        <v>46265</v>
      </c>
      <c r="F566" s="23" t="n">
        <v>46279</v>
      </c>
      <c r="G566" t="inlineStr">
        <is>
          <t>Sí</t>
        </is>
      </c>
      <c r="H566" s="25" t="n">
        <v>100000</v>
      </c>
      <c r="I566" s="26" t="n">
        <v>13019604055</v>
      </c>
      <c r="J566" s="26" t="n">
        <v>4072450573</v>
      </c>
      <c r="K566" s="26" t="n">
        <v>2740064086</v>
      </c>
      <c r="L566" s="26">
        <f>J566-K566</f>
        <v>1332386487</v>
      </c>
      <c r="M566" s="26">
        <f>I566+L566</f>
        <v>14351990542</v>
      </c>
      <c r="N566" s="26" t="n">
        <v>5721061695</v>
      </c>
      <c r="O566" s="26" t="n">
        <v>18787240000</v>
      </c>
      <c r="P566" s="26">
        <f>MAX(0,N566-M566)</f>
        <v>0</v>
      </c>
      <c r="Q566" s="26">
        <f>MAX(0,M566-O566)</f>
        <v>0</v>
      </c>
      <c r="R566" t="inlineStr">
        <is>
          <t>bajo</t>
        </is>
      </c>
      <c r="S566" t="inlineStr">
        <is>
          <t>sin_accion</t>
        </is>
      </c>
      <c r="T566" t="inlineStr">
        <is>
          <t>ninguno</t>
        </is>
      </c>
      <c r="U566" s="26" t="n">
        <v>0</v>
      </c>
      <c r="X566" s="26">
        <f>IF(T566="entrada",M566+U566,IF(T566="salida",M566-U566,M566))</f>
        <v>14351990542</v>
      </c>
      <c r="Y566" s="26" t="n">
        <v>0</v>
      </c>
      <c r="Z566" t="inlineStr">
        <is>
          <t>RN-85: dentro de niveles objetivo (sin_accion)</t>
        </is>
      </c>
      <c r="AA566" t="inlineStr">
        <is>
          <t>SUP-07, SUP-10</t>
        </is>
      </c>
      <c r="AB566" t="inlineStr">
        <is>
          <t>Saldo dentro del rango objetivo; sin accion.</t>
        </is>
      </c>
      <c r="AC566" t="inlineStr">
        <is>
          <t>Cierre del dia anterior (saldo encadenado, RN-71)</t>
        </is>
      </c>
      <c r="AD566" t="inlineStr">
        <is>
          <t>estimada</t>
        </is>
      </c>
      <c r="AE566" t="inlineStr">
        <is>
          <t>Participacion historica por denominacion (SUP-09)</t>
        </is>
      </c>
    </row>
    <row r="567">
      <c r="A567" t="inlineStr">
        <is>
          <t>PRAGMA</t>
        </is>
      </c>
      <c r="B567" t="inlineStr">
        <is>
          <t>PASTO|TRANSPORTADORA_001</t>
        </is>
      </c>
      <c r="C567" t="inlineStr">
        <is>
          <t>Pasto</t>
        </is>
      </c>
      <c r="D567" t="inlineStr">
        <is>
          <t>TRANSPORTADORA_001</t>
        </is>
      </c>
      <c r="E567" s="23" t="n">
        <v>46265</v>
      </c>
      <c r="F567" s="23" t="n">
        <v>46280</v>
      </c>
      <c r="G567" t="inlineStr">
        <is>
          <t>Sí</t>
        </is>
      </c>
      <c r="H567" s="25" t="n">
        <v>100000</v>
      </c>
      <c r="I567" s="26" t="n">
        <v>14351990542</v>
      </c>
      <c r="J567" s="26" t="n">
        <v>4798660111</v>
      </c>
      <c r="K567" s="26" t="n">
        <v>4040567607</v>
      </c>
      <c r="L567" s="26">
        <f>J567-K567</f>
        <v>758092504</v>
      </c>
      <c r="M567" s="26">
        <f>I567+L567</f>
        <v>15110083046</v>
      </c>
      <c r="N567" s="26" t="n">
        <v>5721061695</v>
      </c>
      <c r="O567" s="26" t="n">
        <v>18787240000</v>
      </c>
      <c r="P567" s="26">
        <f>MAX(0,N567-M567)</f>
        <v>0</v>
      </c>
      <c r="Q567" s="26">
        <f>MAX(0,M567-O567)</f>
        <v>0</v>
      </c>
      <c r="R567" t="inlineStr">
        <is>
          <t>bajo</t>
        </is>
      </c>
      <c r="S567" t="inlineStr">
        <is>
          <t>sin_accion</t>
        </is>
      </c>
      <c r="T567" t="inlineStr">
        <is>
          <t>ninguno</t>
        </is>
      </c>
      <c r="U567" s="26" t="n">
        <v>0</v>
      </c>
      <c r="X567" s="26">
        <f>IF(T567="entrada",M567+U567,IF(T567="salida",M567-U567,M567))</f>
        <v>15110083046</v>
      </c>
      <c r="Y567" s="26" t="n">
        <v>0</v>
      </c>
      <c r="Z567" t="inlineStr">
        <is>
          <t>RN-85: dentro de niveles objetivo (sin_accion)</t>
        </is>
      </c>
      <c r="AA567" t="inlineStr">
        <is>
          <t>SUP-07, SUP-10</t>
        </is>
      </c>
      <c r="AB567" t="inlineStr">
        <is>
          <t>Saldo dentro del rango objetivo; sin accion.</t>
        </is>
      </c>
      <c r="AC567" t="inlineStr">
        <is>
          <t>Cierre del dia anterior (saldo encadenado, RN-71)</t>
        </is>
      </c>
      <c r="AD567" t="inlineStr">
        <is>
          <t>estimada</t>
        </is>
      </c>
      <c r="AE567" t="inlineStr">
        <is>
          <t>Participacion historica por denominacion (SUP-09)</t>
        </is>
      </c>
    </row>
  </sheetData>
  <autoFilter ref="A2:AE13"/>
  <mergeCells count="1">
    <mergeCell ref="A1:AE1"/>
  </mergeCells>
  <dataValidations count="6">
    <dataValidation sqref="G3:G1013" showDropDown="0" showInputMessage="0" showErrorMessage="0" allowBlank="1" type="list">
      <formula1>"Sí,No"</formula1>
      <formula2>0</formula2>
    </dataValidation>
    <dataValidation sqref="H3:H1013" showDropDown="0" showInputMessage="0" showErrorMessage="0" allowBlank="1" type="list">
      <formula1>"100000,50000,20000,10000,5000,2000"</formula1>
      <formula2>0</formula2>
    </dataValidation>
    <dataValidation sqref="R3:R1013" showDropDown="0" showInputMessage="0" showErrorMessage="0" allowBlank="1" type="list">
      <formula1>"alto,medio,bajo"</formula1>
      <formula2>0</formula2>
    </dataValidation>
    <dataValidation sqref="S3:S1013" showDropDown="0" showInputMessage="0" showErrorMessage="0" allowBlank="1" type="list">
      <formula1>"traslado_fondos,venta_efectivo,consignacion_banrep,retiro_banrep,cambio_denominacion,intercambio_bancos,otra_accion_justificada,sin_accion"</formula1>
      <formula2>0</formula2>
    </dataValidation>
    <dataValidation sqref="T3:T1013" showDropDown="0" showInputMessage="0" showErrorMessage="0" allowBlank="1" type="list">
      <formula1>"entrada,salida,ninguno"</formula1>
      <formula2>0</formula2>
    </dataValidation>
    <dataValidation sqref="AD3:AD1013" showDropDown="0" showInputMessage="0" showErrorMessage="0" allowBlank="1" type="list">
      <formula1>"observada,derivada,estimada"</formula1>
      <formula2>0</formula2>
    </dataValidation>
  </dataValidations>
  <pageMargins left="0.75" right="0.75" top="1" bottom="1" header="0.511811023622047" footer="0.511811023622047"/>
  <pageSetup orientation="portrait" fitToHeight="0" horizontalDpi="300" verticalDpi="300"/>
</worksheet>
</file>

<file path=xl/worksheets/sheet6.xml><?xml version="1.0" encoding="utf-8"?>
<worksheet xmlns="http://schemas.openxmlformats.org/spreadsheetml/2006/main">
  <sheetPr>
    <tabColor rgb="FFABA59D"/>
    <outlinePr summaryBelow="1" summaryRight="1"/>
    <pageSetUpPr fitToPage="1"/>
  </sheetPr>
  <dimension ref="A1:F22"/>
  <sheetViews>
    <sheetView showGridLines="0" zoomScaleNormal="100" workbookViewId="0">
      <pane ySplit="2" topLeftCell="A3" activePane="bottomLeft" state="frozen"/>
      <selection pane="bottomLeft" activeCell="A1" sqref="A1:XFD1048576"/>
    </sheetView>
  </sheetViews>
  <sheetFormatPr baseColWidth="10" defaultColWidth="8.7265625" defaultRowHeight="15" customHeight="1"/>
  <cols>
    <col width="22" customWidth="1" min="1" max="1"/>
    <col width="30" customWidth="1" min="2" max="2"/>
    <col width="50" customWidth="1" min="3" max="3"/>
    <col width="20" customWidth="1" min="4" max="4"/>
    <col width="13" customWidth="1" min="5" max="5"/>
    <col width="60" customWidth="1" min="6" max="6"/>
  </cols>
  <sheetData>
    <row r="1" ht="26" customHeight="1">
      <c r="A1" s="21" t="inlineStr">
        <is>
          <t>Hoja 06 – Diccionario de campos críticos</t>
        </is>
      </c>
    </row>
    <row r="2" ht="39.75" customHeight="1" thickBot="1">
      <c r="A2" s="1" t="inlineStr">
        <is>
          <t>Hoja</t>
        </is>
      </c>
      <c r="B2" s="1" t="inlineStr">
        <is>
          <t>Campo</t>
        </is>
      </c>
      <c r="C2" s="1" t="inlineStr">
        <is>
          <t>Definición</t>
        </is>
      </c>
      <c r="D2" s="1" t="inlineStr">
        <is>
          <t>Tipo/formato</t>
        </is>
      </c>
      <c r="E2" s="1" t="inlineStr">
        <is>
          <t>Aplica a</t>
        </is>
      </c>
      <c r="F2" s="1" t="inlineStr">
        <is>
          <t>Regla de diligenciamiento</t>
        </is>
      </c>
    </row>
    <row r="3" ht="34.5" customHeight="1" thickTop="1">
      <c r="A3" s="2" t="inlineStr">
        <is>
          <t>01</t>
        </is>
      </c>
      <c r="B3" s="2" t="inlineStr">
        <is>
          <t>id_entidad</t>
        </is>
      </c>
      <c r="C3" s="2" t="inlineStr">
        <is>
          <t>Identificador de la unidad pronosticada.</t>
        </is>
      </c>
      <c r="D3" s="2" t="inlineStr">
        <is>
          <t>texto</t>
        </is>
      </c>
      <c r="E3" s="2" t="inlineStr">
        <is>
          <t>M1-M5</t>
        </is>
      </c>
      <c r="F3" s="2" t="inlineStr">
        <is>
          <t>M1-M3: identificador anonimizado. M4-M5: CIUDAD|TRANSPORTADORA.</t>
        </is>
      </c>
    </row>
    <row r="4" ht="34.5" customHeight="1">
      <c r="A4" s="3" t="inlineStr">
        <is>
          <t>01</t>
        </is>
      </c>
      <c r="B4" s="3" t="inlineStr">
        <is>
          <t>horizonte_dias</t>
        </is>
      </c>
      <c r="C4" s="3" t="inlineStr">
        <is>
          <t>Días entre fecha_corte y fecha_objetivo.</t>
        </is>
      </c>
      <c r="D4" s="3" t="inlineStr">
        <is>
          <t>entero 1-15</t>
        </is>
      </c>
      <c r="E4" s="3" t="inlineStr">
        <is>
          <t>M1-M5</t>
        </is>
      </c>
      <c r="F4" s="3" t="inlineStr">
        <is>
          <t>Fórmula.</t>
        </is>
      </c>
    </row>
    <row r="5" ht="34.5" customHeight="1">
      <c r="A5" s="4" t="inlineStr">
        <is>
          <t>01</t>
        </is>
      </c>
      <c r="B5" s="4" t="inlineStr">
        <is>
          <t>valor_pronosticado_cop</t>
        </is>
      </c>
      <c r="C5" s="4" t="inlineStr">
        <is>
          <t>Pronóstico de la variable objetivo.</t>
        </is>
      </c>
      <c r="D5" s="4" t="inlineStr">
        <is>
          <t>entero COP &gt;= 0</t>
        </is>
      </c>
      <c r="E5" s="4" t="inlineStr">
        <is>
          <t>M1-M5</t>
        </is>
      </c>
      <c r="F5" s="4" t="inlineStr">
        <is>
          <t>Ver RN-07.</t>
        </is>
      </c>
    </row>
    <row r="6" ht="34.5" customHeight="1">
      <c r="A6" s="3" t="inlineStr">
        <is>
          <t>01</t>
        </is>
      </c>
      <c r="B6" s="3" t="inlineStr">
        <is>
          <t>nivel_agregacion</t>
        </is>
      </c>
      <c r="C6" s="3" t="inlineStr">
        <is>
          <t>Nivel del pronóstico.</t>
        </is>
      </c>
      <c r="D6" s="3" t="inlineStr">
        <is>
          <t>entidad-dia / fondo-dia</t>
        </is>
      </c>
      <c r="E6" s="3" t="inlineStr">
        <is>
          <t>M1-M5</t>
        </is>
      </c>
      <c r="F6" s="3" t="inlineStr">
        <is>
          <t>M4 y M5: fondo-dia (RN-48).</t>
        </is>
      </c>
    </row>
    <row r="7" ht="34.5" customHeight="1">
      <c r="A7" s="4" t="inlineStr">
        <is>
          <t>02</t>
        </is>
      </c>
      <c r="B7" s="4" t="inlineStr">
        <is>
          <t>tipo_administracion</t>
        </is>
      </c>
      <c r="C7" s="4" t="inlineStr">
        <is>
          <t>TDV o Sucursal según admon del maestro CP.</t>
        </is>
      </c>
      <c r="D7" s="4" t="inlineStr">
        <is>
          <t>texto</t>
        </is>
      </c>
      <c r="E7" s="4" t="inlineStr">
        <is>
          <t>M1-M2</t>
        </is>
      </c>
      <c r="F7" s="4" t="inlineStr">
        <is>
          <t>Ver RN-08A. M3 = No aplica.</t>
        </is>
      </c>
    </row>
    <row r="8" ht="34.5" customHeight="1">
      <c r="A8" s="3" t="inlineStr">
        <is>
          <t>02</t>
        </is>
      </c>
      <c r="B8" s="3" t="inlineStr">
        <is>
          <t>cupo_entidad_cop</t>
        </is>
      </c>
      <c r="C8" s="3" t="inlineStr">
        <is>
          <t>Cupo aplicable de la simulación.</t>
        </is>
      </c>
      <c r="D8" s="3" t="inlineStr">
        <is>
          <t>entero COP &gt; 0</t>
        </is>
      </c>
      <c r="E8" s="3" t="inlineStr">
        <is>
          <t>M1-M3</t>
        </is>
      </c>
      <c r="F8" s="3" t="inlineStr">
        <is>
          <t>M1: RN-09. M2: RN-18 y RN-24. M3: RN-38 y RN-39.</t>
        </is>
      </c>
    </row>
    <row r="9" ht="34.5" customHeight="1">
      <c r="A9" s="4" t="inlineStr">
        <is>
          <t>02</t>
        </is>
      </c>
      <c r="B9" s="4" t="inlineStr">
        <is>
          <t>saldo_antes_accion_cop</t>
        </is>
      </c>
      <c r="C9" s="4" t="inlineStr">
        <is>
          <t>Saldo simulado inmediatamente antes de la acción.</t>
        </is>
      </c>
      <c r="D9" s="4" t="inlineStr">
        <is>
          <t>entero COP &gt;= 0</t>
        </is>
      </c>
      <c r="E9" s="4" t="inlineStr">
        <is>
          <t>M1-M3</t>
        </is>
      </c>
      <c r="F9" s="4" t="inlineStr">
        <is>
          <t>sin_accion = No aplica (RN-02).</t>
        </is>
      </c>
    </row>
    <row r="10" ht="34.5" customHeight="1">
      <c r="A10" s="3" t="inlineStr">
        <is>
          <t>02</t>
        </is>
      </c>
      <c r="B10" s="3" t="inlineStr">
        <is>
          <t>porcentaje_ocupacion_antes</t>
        </is>
      </c>
      <c r="C10" s="3" t="inlineStr">
        <is>
          <t>saldo_antes / cupo.</t>
        </is>
      </c>
      <c r="D10" s="3" t="inlineStr">
        <is>
          <t>porcentaje</t>
        </is>
      </c>
      <c r="E10" s="3" t="inlineStr">
        <is>
          <t>M1-M3</t>
        </is>
      </c>
      <c r="F10" s="3" t="inlineStr">
        <is>
          <t>Fórmula. Puede superar 100 % en recolección.</t>
        </is>
      </c>
    </row>
    <row r="11" ht="34.5" customHeight="1">
      <c r="A11" s="4" t="inlineStr">
        <is>
          <t>02</t>
        </is>
      </c>
      <c r="B11" s="4" t="inlineStr">
        <is>
          <t>saldo_despues_accion_cop</t>
        </is>
      </c>
      <c r="C11" s="4" t="inlineStr">
        <is>
          <t>Saldo antes + provisión o − recolección.</t>
        </is>
      </c>
      <c r="D11" s="4" t="inlineStr">
        <is>
          <t>entero COP &gt;= 0</t>
        </is>
      </c>
      <c r="E11" s="4" t="inlineStr">
        <is>
          <t>M1-M3</t>
        </is>
      </c>
      <c r="F11" s="4" t="inlineStr">
        <is>
          <t>Fórmula.</t>
        </is>
      </c>
    </row>
    <row r="12" ht="34.5" customHeight="1">
      <c r="A12" s="3" t="inlineStr">
        <is>
          <t>02</t>
        </is>
      </c>
      <c r="B12" s="3" t="inlineStr">
        <is>
          <t>cumple_regla_saldo_objetivo</t>
        </is>
      </c>
      <c r="C12" s="3" t="inlineStr">
        <is>
          <t>Si el saldo posterior cumple la regla del modelo y la acción.</t>
        </is>
      </c>
      <c r="D12" s="3" t="inlineStr">
        <is>
          <t>Sí/No/No aplica</t>
        </is>
      </c>
      <c r="E12" s="3" t="inlineStr">
        <is>
          <t>M1-M3</t>
        </is>
      </c>
      <c r="F12" s="3" t="inlineStr">
        <is>
          <t>M1: RN-11. M2: RN-19A, RN-22 y RN-27. M3: RN-38.</t>
        </is>
      </c>
    </row>
    <row r="13" ht="34.5" customHeight="1">
      <c r="A13" s="4" t="inlineStr">
        <is>
          <t>02 y 05</t>
        </is>
      </c>
      <c r="B13" s="4" t="inlineStr">
        <is>
          <t>costo_estimado_cop</t>
        </is>
      </c>
      <c r="C13" s="4" t="inlineStr">
        <is>
          <t>Costo estimado de la acción según Anexo E.</t>
        </is>
      </c>
      <c r="D13" s="4" t="inlineStr">
        <is>
          <t>entero COP &gt;= 0</t>
        </is>
      </c>
      <c r="E13" s="4" t="inlineStr">
        <is>
          <t>M1-M3, M6</t>
        </is>
      </c>
      <c r="F13" s="4" t="inlineStr">
        <is>
          <t>Ver RN-04A y Anexo E.</t>
        </is>
      </c>
    </row>
    <row r="14" ht="34.5" customHeight="1">
      <c r="A14" s="3" t="inlineStr">
        <is>
          <t>03</t>
        </is>
      </c>
      <c r="B14" s="3" t="inlineStr">
        <is>
          <t>tipo_metrica</t>
        </is>
      </c>
      <c r="C14" s="3" t="inlineStr">
        <is>
          <t>Clase de métrica.</t>
        </is>
      </c>
      <c r="D14" s="3" t="inlineStr">
        <is>
          <t>predictiva/operativa/costo</t>
        </is>
      </c>
      <c r="E14" s="3" t="inlineStr">
        <is>
          <t>Todos</t>
        </is>
      </c>
      <c r="F14" s="3" t="inlineStr">
        <is>
          <t>M6 sin métricas predictivas (RN-68).</t>
        </is>
      </c>
    </row>
    <row r="15" ht="34.5" customHeight="1">
      <c r="A15" s="4" t="inlineStr">
        <is>
          <t>05</t>
        </is>
      </c>
      <c r="B15" s="4" t="inlineStr">
        <is>
          <t>fondo_id</t>
        </is>
      </c>
      <c r="C15" s="4" t="inlineStr">
        <is>
          <t>Identificador del fondo.</t>
        </is>
      </c>
      <c r="D15" s="4" t="inlineStr">
        <is>
          <t>CIUDAD|TRANSPORTADORA</t>
        </is>
      </c>
      <c r="E15" s="4" t="inlineStr">
        <is>
          <t>M6</t>
        </is>
      </c>
      <c r="F15" s="4" t="n"/>
    </row>
    <row r="16" ht="34.5" customHeight="1">
      <c r="A16" s="3" t="inlineStr">
        <is>
          <t>05</t>
        </is>
      </c>
      <c r="B16" s="3" t="inlineStr">
        <is>
          <t>dia_habil</t>
        </is>
      </c>
      <c r="C16" s="3" t="inlineStr">
        <is>
          <t>Si la fecha es día hábil.</t>
        </is>
      </c>
      <c r="D16" s="3" t="inlineStr">
        <is>
          <t>Sí/No</t>
        </is>
      </c>
      <c r="E16" s="3" t="inlineStr">
        <is>
          <t>M6</t>
        </is>
      </c>
      <c r="F16" s="3" t="inlineStr">
        <is>
          <t>Ver RN-71A.</t>
        </is>
      </c>
    </row>
    <row r="17" ht="34.5" customHeight="1">
      <c r="A17" s="4" t="inlineStr">
        <is>
          <t>05</t>
        </is>
      </c>
      <c r="B17" s="4" t="inlineStr">
        <is>
          <t>presion_neta_canales_cop</t>
        </is>
      </c>
      <c r="C17" s="4" t="inlineStr">
        <is>
          <t>ingresos − salidas proyectadas de canales.</t>
        </is>
      </c>
      <c r="D17" s="4" t="inlineStr">
        <is>
          <t>entero COP con signo</t>
        </is>
      </c>
      <c r="E17" s="4" t="inlineStr">
        <is>
          <t>M6</t>
        </is>
      </c>
      <c r="F17" s="4" t="inlineStr">
        <is>
          <t>Fórmula. Positivo = entra al fondo.</t>
        </is>
      </c>
    </row>
    <row r="18" ht="34.5" customHeight="1">
      <c r="A18" s="3" t="inlineStr">
        <is>
          <t>05</t>
        </is>
      </c>
      <c r="B18" s="3" t="inlineStr">
        <is>
          <t>nivel_objetivo_min_cop / max_cop</t>
        </is>
      </c>
      <c r="C18" s="3" t="inlineStr">
        <is>
          <t>Rango objetivo propuesto por el proveedor.</t>
        </is>
      </c>
      <c r="D18" s="3" t="inlineStr">
        <is>
          <t>entero COP</t>
        </is>
      </c>
      <c r="E18" s="3" t="inlineStr">
        <is>
          <t>M6</t>
        </is>
      </c>
      <c r="F18" s="3" t="inlineStr">
        <is>
          <t>Documentar criterio en 04.</t>
        </is>
      </c>
    </row>
    <row r="19" ht="34.5" customHeight="1">
      <c r="A19" s="4" t="inlineStr">
        <is>
          <t>05</t>
        </is>
      </c>
      <c r="B19" s="4" t="inlineStr">
        <is>
          <t>faltante / excedente_potencial_cop</t>
        </is>
      </c>
      <c r="C19" s="4" t="inlineStr">
        <is>
          <t>Distancia del saldo antes de la acción al rango objetivo.</t>
        </is>
      </c>
      <c r="D19" s="4" t="inlineStr">
        <is>
          <t>entero COP &gt;= 0</t>
        </is>
      </c>
      <c r="E19" s="4" t="inlineStr">
        <is>
          <t>M6</t>
        </is>
      </c>
      <c r="F19" s="4" t="inlineStr">
        <is>
          <t>Fórmula.</t>
        </is>
      </c>
    </row>
    <row r="20" ht="34.5" customHeight="1">
      <c r="A20" s="3" t="inlineStr">
        <is>
          <t>05</t>
        </is>
      </c>
      <c r="B20" s="3" t="inlineStr">
        <is>
          <t>efecto_en_fondo</t>
        </is>
      </c>
      <c r="C20" s="3" t="inlineStr">
        <is>
          <t>Sentido del movimiento para el fondo de la fila.</t>
        </is>
      </c>
      <c r="D20" s="3" t="inlineStr">
        <is>
          <t>entrada/salida/ninguno</t>
        </is>
      </c>
      <c r="E20" s="3" t="inlineStr">
        <is>
          <t>M6</t>
        </is>
      </c>
      <c r="F20" s="3" t="inlineStr">
        <is>
          <t>Determina el saldo después.</t>
        </is>
      </c>
    </row>
    <row r="21" ht="34.5" customHeight="1">
      <c r="A21" s="4" t="inlineStr">
        <is>
          <t>05</t>
        </is>
      </c>
      <c r="B21" s="4" t="inlineStr">
        <is>
          <t>origen_presion</t>
        </is>
      </c>
      <c r="C21" s="4" t="inlineStr">
        <is>
          <t>Si la presión por denominación es observada, derivada o estimada.</t>
        </is>
      </c>
      <c r="D21" s="4" t="inlineStr">
        <is>
          <t>texto</t>
        </is>
      </c>
      <c r="E21" s="4" t="inlineStr">
        <is>
          <t>M6</t>
        </is>
      </c>
      <c r="F21" s="4" t="inlineStr">
        <is>
          <t>Si es estimada, documentar el método.</t>
        </is>
      </c>
    </row>
    <row r="22" ht="15" customHeight="1">
      <c r="A22" s="19" t="inlineStr">
        <is>
          <t>05</t>
        </is>
      </c>
      <c r="B22" s="3" t="inlineStr">
        <is>
          <t>saldo_antes_accion_cop</t>
        </is>
      </c>
      <c r="C22" s="3" t="inlineStr">
        <is>
          <t>Saldo del fondo antes de la acción M6.</t>
        </is>
      </c>
      <c r="D22" s="3" t="inlineStr">
        <is>
          <t>entero COP &gt;= 0</t>
        </is>
      </c>
      <c r="E22" s="3" t="inlineStr">
        <is>
          <t>M6</t>
        </is>
      </c>
      <c r="F22" s="3" t="inlineStr">
        <is>
          <t>Fórmula. Varias acciones en la misma combinación: ver RN-85.</t>
        </is>
      </c>
    </row>
  </sheetData>
  <autoFilter ref="A2:F21"/>
  <mergeCells count="1">
    <mergeCell ref="A1:F1"/>
  </mergeCells>
  <pageMargins left="0.75" right="0.75" top="1" bottom="1" header="0.511811023622047" footer="0.511811023622047"/>
  <pageSetup orientation="portrait"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Jenny Elizabeth Valencia Carmona</dc:creator>
  <dcterms:created xsi:type="dcterms:W3CDTF">2026-09-27T21:42:38Z</dcterms:created>
  <dcterms:modified xsi:type="dcterms:W3CDTF">2026-10-21T13:22:05Z</dcterms:modified>
  <cp:lastModifiedBy>Jenny Elizabeth Valencia Carmona</cp:lastModifiedBy>
  <cp:revision>0</cp:revision>
</cp:coreProperties>
</file>

<file path=docProps/custom.xml><?xml version="1.0" encoding="utf-8"?>
<Properties xmlns:vt="http://schemas.openxmlformats.org/officeDocument/2006/docPropsVTypes" xmlns="http://schemas.openxmlformats.org/officeDocument/2006/custom-properties">
  <property name="MSIP_Label_71bdff26-5887-4e5c-8426-6e404c233df0_Enabled" fmtid="{D5CDD505-2E9C-101B-9397-08002B2CF9AE}" pid="2">
    <vt:lpwstr>true</vt:lpwstr>
  </property>
  <property name="MSIP_Label_71bdff26-5887-4e5c-8426-6e404c233df0_SetDate" fmtid="{D5CDD505-2E9C-101B-9397-08002B2CF9AE}" pid="3">
    <vt:lpwstr>2026-09-28T00:56:39Z</vt:lpwstr>
  </property>
  <property name="MSIP_Label_71bdff26-5887-4e5c-8426-6e404c233df0_Method" fmtid="{D5CDD505-2E9C-101B-9397-08002B2CF9AE}" pid="4">
    <vt:lpwstr>Standard</vt:lpwstr>
  </property>
  <property name="MSIP_Label_71bdff26-5887-4e5c-8426-6e404c233df0_Name" fmtid="{D5CDD505-2E9C-101B-9397-08002B2CF9AE}" pid="5">
    <vt:lpwstr>71bdff26-5887-4e5c-8426-6e404c233df0</vt:lpwstr>
  </property>
  <property name="MSIP_Label_71bdff26-5887-4e5c-8426-6e404c233df0_SiteId" fmtid="{D5CDD505-2E9C-101B-9397-08002B2CF9AE}" pid="6">
    <vt:lpwstr>b5e244bd-c492-495b-8b10-61bfd453e423</vt:lpwstr>
  </property>
  <property name="MSIP_Label_71bdff26-5887-4e5c-8426-6e404c233df0_ActionId" fmtid="{D5CDD505-2E9C-101B-9397-08002B2CF9AE}" pid="7">
    <vt:lpwstr>845f1880-5a2c-40ba-a49c-f6effa860381</vt:lpwstr>
  </property>
  <property name="MSIP_Label_71bdff26-5887-4e5c-8426-6e404c233df0_ContentBits" fmtid="{D5CDD505-2E9C-101B-9397-08002B2CF9AE}" pid="8">
    <vt:lpwstr>0</vt:lpwstr>
  </property>
  <property name="MSIP_Label_71bdff26-5887-4e5c-8426-6e404c233df0_Tag" fmtid="{D5CDD505-2E9C-101B-9397-08002B2CF9AE}" pid="9">
    <vt:lpwstr>10, 1, 2, 1</vt:lpwstr>
  </property>
  <property name="ContentTypeId" fmtid="{D5CDD505-2E9C-101B-9397-08002B2CF9AE}" pid="10">
    <vt:lpwstr>0x0101007C928CD4E23FCB4B8496D39C613E71BF</vt:lpwstr>
  </property>
</Properties>
</file>